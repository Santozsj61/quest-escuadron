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analista.retail\Downloads\"/>
    </mc:Choice>
  </mc:AlternateContent>
  <xr:revisionPtr revIDLastSave="0" documentId="13_ncr:1_{9FECD482-168A-412C-81BF-0D86C0312B66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esumen" sheetId="6" state="hidden" r:id="rId1"/>
    <sheet name="Base2" sheetId="1" r:id="rId2"/>
  </sheets>
  <calcPr calcId="191029"/>
  <pivotCaches>
    <pivotCache cacheId="5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D5" i="6"/>
  <c r="D6" i="6"/>
  <c r="D7" i="6"/>
  <c r="D8" i="6"/>
  <c r="D9" i="6"/>
  <c r="D10" i="6"/>
  <c r="D11" i="6"/>
  <c r="D12" i="6"/>
  <c r="D13" i="6"/>
  <c r="D14" i="6"/>
  <c r="F1471" i="1" l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</calcChain>
</file>

<file path=xl/sharedStrings.xml><?xml version="1.0" encoding="utf-8"?>
<sst xmlns="http://schemas.openxmlformats.org/spreadsheetml/2006/main" count="55245" uniqueCount="877">
  <si>
    <t>Desc. U.N.</t>
  </si>
  <si>
    <t>Desc. C.O.</t>
  </si>
  <si>
    <t>Mes de Fecha</t>
  </si>
  <si>
    <t>Día de Fecha</t>
  </si>
  <si>
    <t>Vendedor</t>
  </si>
  <si>
    <t>Nombre vendedor</t>
  </si>
  <si>
    <t>Cantidad inv.</t>
  </si>
  <si>
    <t>Ppto Valor subtotal</t>
  </si>
  <si>
    <t>Valor subtotal</t>
  </si>
  <si>
    <t>Franquicias Sell Out QUEST</t>
  </si>
  <si>
    <t>Fq 112 - Yumbo Centro</t>
  </si>
  <si>
    <t>septiembre</t>
  </si>
  <si>
    <t>JARAMILLO  ANGIE CAROLINA</t>
  </si>
  <si>
    <t>NÚÑEZ ESPAÑA EVELING</t>
  </si>
  <si>
    <t>octubre</t>
  </si>
  <si>
    <t>FQ90 Tauramena - Casanare</t>
  </si>
  <si>
    <t>PEREZ BONILLA DORA AMANDA</t>
  </si>
  <si>
    <t>FQ91 - La Unión - Nariño</t>
  </si>
  <si>
    <t>GÓMEZ DIAZ  JOSE MANUEL</t>
  </si>
  <si>
    <t>MONTERO AULLON  TANIA KATHERIN</t>
  </si>
  <si>
    <t>FQ92 - El Bordo - Cauca</t>
  </si>
  <si>
    <t>ROJAS RIVERA  YESICA ANSORENA</t>
  </si>
  <si>
    <t>CHILITO MENESES  JENNIFER YULIANA</t>
  </si>
  <si>
    <t>FQ93 - Sogamoso - Boyacá</t>
  </si>
  <si>
    <t>GARCIAS RONDEROS DIARA</t>
  </si>
  <si>
    <t>MONTAÑA BOADA LEIDY VIVIANA</t>
  </si>
  <si>
    <t>MORENO  SOFIA</t>
  </si>
  <si>
    <t>FQ94 - Puerto Tejada - Cauca</t>
  </si>
  <si>
    <t>TIRADO  JOSE EDISON</t>
  </si>
  <si>
    <t>VASQUEZ VIAFARA DARCY</t>
  </si>
  <si>
    <t>POLO  MARIA DEL PILAR</t>
  </si>
  <si>
    <t>FQ95 - Melgar - Tolima</t>
  </si>
  <si>
    <t>SALCEDO  ANGELA</t>
  </si>
  <si>
    <t>MARTINEZ  LUZ YANETH</t>
  </si>
  <si>
    <t>MARTÍNEZ RODRÍGUEZ JAZ</t>
  </si>
  <si>
    <t>MARTINEZ  MARBEL EDITH</t>
  </si>
  <si>
    <t>FQ96 - Túquerres - Nariño</t>
  </si>
  <si>
    <t>LÓPEZ  DAYANA</t>
  </si>
  <si>
    <t>FIGUEROA  KATHERINNE</t>
  </si>
  <si>
    <t>PANTOJA ZAMBRANO OSCAR JAVIER</t>
  </si>
  <si>
    <t>FQ97 - San Gil - Santander</t>
  </si>
  <si>
    <t>TIRADO ESTÉVEZ JEIDY VANESSA</t>
  </si>
  <si>
    <t>MOTTA  LAURA VANESSA</t>
  </si>
  <si>
    <t>FQ99 - Puerto Gaitan - Meta</t>
  </si>
  <si>
    <t>MAGDA MARCELA MARTINEZ MUÑOS</t>
  </si>
  <si>
    <t>CRUZ BETANCOURTH BIBIANA JISSETH</t>
  </si>
  <si>
    <t>ALFONSO  KAROL</t>
  </si>
  <si>
    <t>FQ006 - Florida - Valle del Cauca</t>
  </si>
  <si>
    <t>RIZO LOSADA ALONSO</t>
  </si>
  <si>
    <t>FQ008 - Cucuta - CC Unicentro</t>
  </si>
  <si>
    <t>PITA BLANCO ANGELLY NATALIA</t>
  </si>
  <si>
    <t>TRUJILLO SANCHEZ NICOLAS ANDRES</t>
  </si>
  <si>
    <t>BLANCO CARDENAS YOHAN FERNANDO</t>
  </si>
  <si>
    <t>SANCHEZ TRUJILLO ANDRES FELIPE</t>
  </si>
  <si>
    <t>CETINA LANDINEZ ALEXA</t>
  </si>
  <si>
    <t>PIZA YURGENSEN  YEISON FABIAN</t>
  </si>
  <si>
    <t>FQ012 - Buga - Centro</t>
  </si>
  <si>
    <t>GRISALES  YURLEY</t>
  </si>
  <si>
    <t>RESTREPO YULE  LISA MARIA</t>
  </si>
  <si>
    <t>HERNANDEZ CUARAN YEILEY MARCELA</t>
  </si>
  <si>
    <t>CUADROS OBANDO MARIA CAMILA</t>
  </si>
  <si>
    <t>JIMENEZ SOTO MARIA ALEJANDRA</t>
  </si>
  <si>
    <t>GONZALEZ GONZALEZ ISABELA</t>
  </si>
  <si>
    <t>JIMENEZ SOTO LUISA FERNANDA</t>
  </si>
  <si>
    <t>BERMUDEZ GOMEZ JUAN MANUEL</t>
  </si>
  <si>
    <t>BETANCOURT VIRAMAR SANDRA YADIRA</t>
  </si>
  <si>
    <t>FQ013 - Quibdó - Chocó</t>
  </si>
  <si>
    <t>GRANADA RÍOS ELEANA</t>
  </si>
  <si>
    <t>ORTIZ  JESSICA MARCELA</t>
  </si>
  <si>
    <t>RODRÍGUEZ VAHOS YULIANA</t>
  </si>
  <si>
    <t>FQ014 - Buga - CC Buga Plaza</t>
  </si>
  <si>
    <t>FQ016 - Jamundí - Valle del Cauca</t>
  </si>
  <si>
    <t>GIRALDO  JULIANA</t>
  </si>
  <si>
    <t>YANDI  LIZA MARIA</t>
  </si>
  <si>
    <t>FQ017 - Buenaventura - Centro</t>
  </si>
  <si>
    <t>ANDULCE PERLAZA  JANER ANDRES</t>
  </si>
  <si>
    <t>ALVARADO JIMÉNEZ  LEIDY LORENA</t>
  </si>
  <si>
    <t>HERRERA GUARIN MARIA VICTORIA</t>
  </si>
  <si>
    <t>ARBOLEDA PERLASA YARY STEFHANNYA</t>
  </si>
  <si>
    <t>CUERTO CONGOLINA  JUAN CAMILO</t>
  </si>
  <si>
    <t>FQ021 - Granada - Meta</t>
  </si>
  <si>
    <t>TÉLLEZ MENDOZA  SOLANYI</t>
  </si>
  <si>
    <t>FQ032 - Santander de Quilichao - Cauca</t>
  </si>
  <si>
    <t>CASTRILLON MEJIA ADERLEIN</t>
  </si>
  <si>
    <t>GIL HERNANDEZ JONAIKEL ADOLFO</t>
  </si>
  <si>
    <t>FQ033 - Pasto Nariño</t>
  </si>
  <si>
    <t>ORTEGA  JEICK</t>
  </si>
  <si>
    <t>LEITON  EVELYN</t>
  </si>
  <si>
    <t>RODRIGUEZ  NILSAN</t>
  </si>
  <si>
    <t>CUASTUMAL FIGUEROA DANILO</t>
  </si>
  <si>
    <t>FQ034 - Ocaña - Norte de Santander</t>
  </si>
  <si>
    <t>PAREDES PACHECO LUDI MILENA</t>
  </si>
  <si>
    <t>SANCHEZ LAZARO KAREN LORENA</t>
  </si>
  <si>
    <t>PÉREZ QUINTERO MELANY</t>
  </si>
  <si>
    <t>GUERRERO AVENDAÑO LINA MARCELA</t>
  </si>
  <si>
    <t>PACHECO LAGO PAOLA ALEXANDRA</t>
  </si>
  <si>
    <t>MONTAÑEZ MONTAÑEZ  SINDY NAYARITH</t>
  </si>
  <si>
    <t>MENA ALVAREZ SAMUEL DAVID</t>
  </si>
  <si>
    <t>Generico</t>
  </si>
  <si>
    <t>GENÉRICO</t>
  </si>
  <si>
    <t>FQ036 - Acacias - Meta</t>
  </si>
  <si>
    <t>CASTAÑEDA SALDAÑA VALERIA</t>
  </si>
  <si>
    <t>MORA CASANOVA YEISON FABIAN</t>
  </si>
  <si>
    <t>REYES PINZON LAURA LUCIA</t>
  </si>
  <si>
    <t>FQ038 - Tumaco - Nariño</t>
  </si>
  <si>
    <t>MONTAÑO  ESTEFANIA</t>
  </si>
  <si>
    <t>CHALAPUD  JAIRO</t>
  </si>
  <si>
    <t>GUERRERO  AMANDA</t>
  </si>
  <si>
    <t>FQ041- Aguachica - Cesar</t>
  </si>
  <si>
    <t>GALLARDO MANZANO  KAREN DAYANA</t>
  </si>
  <si>
    <t>SECAIRA CONTRERAS XIMENA ALEXANDRA</t>
  </si>
  <si>
    <t>FQ042 - Pamplona - Norte de Santander</t>
  </si>
  <si>
    <t>MEDINA JAIMES MARÍA FERNANDA</t>
  </si>
  <si>
    <t>MONTAÑEZ RINCÓN  MARÍA NAZARETH</t>
  </si>
  <si>
    <t>FQ043 - Arauca - Arauca</t>
  </si>
  <si>
    <t>SALAS RICAURTE TANIA ISABEL</t>
  </si>
  <si>
    <t>ARIZA QUINTERO MAITE LILY</t>
  </si>
  <si>
    <t>PATRICIA MENDONZA  LEILA</t>
  </si>
  <si>
    <t>SOGAMOSO  CAREN ALEJANDRA</t>
  </si>
  <si>
    <t>FQ044- Puerto Asis - Putumayo</t>
  </si>
  <si>
    <t>SALAZAR LASSO SHARON ANGELICA</t>
  </si>
  <si>
    <t>SOTO CHACON LUZ ANDREA</t>
  </si>
  <si>
    <t>LONDOÑO GOMEZ BRAHYMAN ANDRES</t>
  </si>
  <si>
    <t>FQ045-LA UNION - Valle del Cauca</t>
  </si>
  <si>
    <t>ORTIZ ACEVEDO JULIAN HERNANDO</t>
  </si>
  <si>
    <t>RUEDA GONZÁLEZ JUAN CAMILO</t>
  </si>
  <si>
    <t>FQ046-San Jose del Guaviare - Guaviare</t>
  </si>
  <si>
    <t>BURGOS ROMERO EDWIN MIGUEL</t>
  </si>
  <si>
    <t>FQ047 Mocoa - Putumayo</t>
  </si>
  <si>
    <t>ORDOÑEZ JARAMILLO DEISY YAMILETH</t>
  </si>
  <si>
    <t>ENRRIQUEZ TORRES ALEJANDRA</t>
  </si>
  <si>
    <t>JOAQUI SAMBONI NELLY MAGALY</t>
  </si>
  <si>
    <t>SOLARTE ERAZO KAREN JOHANA</t>
  </si>
  <si>
    <t>ITER MESTIZO IRMA RUBY</t>
  </si>
  <si>
    <t>ORODÑEZ JARAMILLO FAVIAN</t>
  </si>
  <si>
    <t>CORTES SINISTERRA LUISA MARIA</t>
  </si>
  <si>
    <t>CHAPID CONZÁLEZ JENNIFER ALEJANDRA</t>
  </si>
  <si>
    <t>MARTINEZ GALLARDO HEIDY NERIETH</t>
  </si>
  <si>
    <t>FQ048 Garzon - Huila</t>
  </si>
  <si>
    <t>CALDERON  SHIRLEY</t>
  </si>
  <si>
    <t>POLO  SANDY</t>
  </si>
  <si>
    <t>FQ049 Candelaria - Valle del Cauca</t>
  </si>
  <si>
    <t>CARABALI NUÑEZ  SULAY</t>
  </si>
  <si>
    <t>REVELO SALDANA YILBER YOAN</t>
  </si>
  <si>
    <t>SAA DIAZ  YEINER ENRIQUE</t>
  </si>
  <si>
    <t>FQ050 Roldanillo - Valle del Cauca</t>
  </si>
  <si>
    <t>SABOGAL  DORA MERCEDES</t>
  </si>
  <si>
    <t>GALVEZ MORENO AURA STEFANY</t>
  </si>
  <si>
    <t>VELEZ MARULANDA JHONIER ENRIQUE</t>
  </si>
  <si>
    <t>GARCIA  LIZETH</t>
  </si>
  <si>
    <t>FQ051 Villanueva - Casanare</t>
  </si>
  <si>
    <t>AVILA  LILIANA</t>
  </si>
  <si>
    <t>GARCIA  BETSY</t>
  </si>
  <si>
    <t>FQ052 Barbosa - Santander</t>
  </si>
  <si>
    <t>LÓPEZ GUTIÉRREZ DUVELLY ALEJANDRA</t>
  </si>
  <si>
    <t>ESPITIA  PAULA</t>
  </si>
  <si>
    <t>FQ054 Dagua - Valle del Cauca</t>
  </si>
  <si>
    <t>RUEDA RODRIGUEZ HEIDEMBERTH SNEIDER</t>
  </si>
  <si>
    <t>BOLAÑOS LOPEZ KELLY TATIANA</t>
  </si>
  <si>
    <t>VALENCIA MONTOYA ESMERALDA</t>
  </si>
  <si>
    <t>FQ055-Tame - Arauca</t>
  </si>
  <si>
    <t>GARCIA SERRANO  YUSNEY</t>
  </si>
  <si>
    <t>SARMIENTO BELLO SAYRA DANIELA</t>
  </si>
  <si>
    <t>GOYENECHE  YOSELIN PAMELA</t>
  </si>
  <si>
    <t>FQ056- Darien - Valle del Cauca</t>
  </si>
  <si>
    <t>PATERNINA  CAROLINA</t>
  </si>
  <si>
    <t>GONZALEZ  LUISA MARIA</t>
  </si>
  <si>
    <t>PATERNINA ALVAREZ CAROLINA</t>
  </si>
  <si>
    <t>FQ057- Cerrito - Valle del Cauca</t>
  </si>
  <si>
    <t>HENAO TENORIO ISABELLA</t>
  </si>
  <si>
    <t>ALZATE GUAPACHA DAYANA ANDREA</t>
  </si>
  <si>
    <t>FQ058-Villavicencio - Meta</t>
  </si>
  <si>
    <t>SERNA  JUAN CARLOS</t>
  </si>
  <si>
    <t>RODRIGUEZ  MILENA</t>
  </si>
  <si>
    <t>HERNANDEZ ARIAS RICHARD STEVEN</t>
  </si>
  <si>
    <t>RÍOS  GERAL</t>
  </si>
  <si>
    <t>HERNÁNDEZ  JHOJAN</t>
  </si>
  <si>
    <t>BARBOSA  GISELLA</t>
  </si>
  <si>
    <t>FQ059-Chinchina - Caldas</t>
  </si>
  <si>
    <t>RODRIGUEZ  YURI ELENA</t>
  </si>
  <si>
    <t>SIERRA OCHOA DIANA MARITZA</t>
  </si>
  <si>
    <t>FQ060 Santa Rosa-Risaralda</t>
  </si>
  <si>
    <t>GRANADA LOPEZ  CRISTIAN CAMILO</t>
  </si>
  <si>
    <t>QUINTERO  JENNIFER JHOANA</t>
  </si>
  <si>
    <t>GARCIA BEDOYA LUISA FERNANDA</t>
  </si>
  <si>
    <t>FQ061 Caicedonia-Valle del Cauca</t>
  </si>
  <si>
    <t>GARCIA LEON YURI SHIRLEY</t>
  </si>
  <si>
    <t>RIOS QUINTERO LIDA MARCELA</t>
  </si>
  <si>
    <t>FQ062-Zarzal-Valle del Cauca</t>
  </si>
  <si>
    <t>MURILLO  DANIELA</t>
  </si>
  <si>
    <t>FQ063-Pradera-Valle del Cauca</t>
  </si>
  <si>
    <t>ANGULO MONTAÑO MARIA LUISA</t>
  </si>
  <si>
    <t>FQ064-Puerto Boyaca-Boyaca</t>
  </si>
  <si>
    <t>OSORIO RUIZ VALENTINA</t>
  </si>
  <si>
    <t>GUTIÉRREZ SALINAS KARINA</t>
  </si>
  <si>
    <t>TRUJILLO ECHEVERRY YENNY PATRICIA</t>
  </si>
  <si>
    <t>FQ066-Calarca-Quindio</t>
  </si>
  <si>
    <t>CULMA  YESSICA</t>
  </si>
  <si>
    <t>GUTIÉRREZ USECHE VANESSA</t>
  </si>
  <si>
    <t>MURILLO  ALEXANDRA</t>
  </si>
  <si>
    <t>FQ067-Leticia-Amazonas</t>
  </si>
  <si>
    <t>PULIDO CASTRO YESICA</t>
  </si>
  <si>
    <t>GARCIA CAGHUACHE IDALI</t>
  </si>
  <si>
    <t>BOLAÑOS  JESSICA ELENA</t>
  </si>
  <si>
    <t>FQ068-La Dorada - Caldas</t>
  </si>
  <si>
    <t>VELÁSQUEZ  VALENTINA</t>
  </si>
  <si>
    <t>USECHE  SOFIA</t>
  </si>
  <si>
    <t>GONZÁLEZ  ELIANA</t>
  </si>
  <si>
    <t>FQ069-Saravena - Arauca</t>
  </si>
  <si>
    <t>COTE PABÓN IRAIDA PAOLA</t>
  </si>
  <si>
    <t>GAMBOA ARAQUE VALERIE FERNANDA</t>
  </si>
  <si>
    <t>ZUTANEME HERNÁNDEZ GISELLY YULEDSY</t>
  </si>
  <si>
    <t>FQ070-Villa del Rosario - Nte Santander</t>
  </si>
  <si>
    <t>CONTRERAS LEON LUZ DARY</t>
  </si>
  <si>
    <t>ZAMBRANO  SEBASTIAN</t>
  </si>
  <si>
    <t>FQ071-Paz de Ariporo -Casanare</t>
  </si>
  <si>
    <t>BRAVO ZAPATA BERMARY DESSIREE</t>
  </si>
  <si>
    <t>RODRIGUEZ ARANA ANGIE CAMILA</t>
  </si>
  <si>
    <t>FIGUEROA  LAURA</t>
  </si>
  <si>
    <t>FQ072-Los Patios - Nte de Santander</t>
  </si>
  <si>
    <t>MEAURI DIAZ YERLEY ALEJANDRA</t>
  </si>
  <si>
    <t>FQ073-Florencia - Caquetá</t>
  </si>
  <si>
    <t>SANCHEZ TOLEDO ADRIANA</t>
  </si>
  <si>
    <t>GUARNIZO MUÑOZ INGRID YULIANA</t>
  </si>
  <si>
    <t>FQ074-Neiva - CC Santa Lucia</t>
  </si>
  <si>
    <t>CONDE RAMIREZ KATHERIN DEL PILAR</t>
  </si>
  <si>
    <t>CHILA BUSTOS ANDRES MAURICIO</t>
  </si>
  <si>
    <t>CONDE RAMIREZ  GLORIA ANDREA</t>
  </si>
  <si>
    <t>FQ075-Fusagasuga - Cundinamarca</t>
  </si>
  <si>
    <t>BELLO  ANA LUCIA</t>
  </si>
  <si>
    <t>FQ076 - Malaga - Santander</t>
  </si>
  <si>
    <t>CASTELLANOS CARREÑO SERGIO ALEXANDER</t>
  </si>
  <si>
    <t>TORRES PEÑALOZA CAROLINA DEL MAR</t>
  </si>
  <si>
    <t>FQ077 - Cereté - Córdoba</t>
  </si>
  <si>
    <t>ECHEVERRIA SANDOVAL RAUL ALBERTO</t>
  </si>
  <si>
    <t>DIAZ VELASQUEZ ANDREA CRISTINA</t>
  </si>
  <si>
    <t>GONZALEZ VARGAS MELISSA ISABEL</t>
  </si>
  <si>
    <t>LOPEZ RODRIGUEZ LIZETH KARINA</t>
  </si>
  <si>
    <t>FQ078 - Codazzi - Cesar</t>
  </si>
  <si>
    <t>BONILLA ANAYA  MADELIN</t>
  </si>
  <si>
    <t>GARCÍA  YANELIS</t>
  </si>
  <si>
    <t>FQ080 - Pitalito - Huila</t>
  </si>
  <si>
    <t>FLOREZ CANO DAYANA VALENTINA</t>
  </si>
  <si>
    <t>BARRERO GABONA  YUNEIDY</t>
  </si>
  <si>
    <t>LOPEZ MENESES YUBELY</t>
  </si>
  <si>
    <t>ANACONA SILVA LICETH JHERALDINE</t>
  </si>
  <si>
    <t>MURCIA  KAROL MICHELLE</t>
  </si>
  <si>
    <t>FQ081 - Santo Tomas - CC Poblado Plaza</t>
  </si>
  <si>
    <t>ALZATE  MARÍA TERESA</t>
  </si>
  <si>
    <t>SUÁREZ MALDONADO  KELLY</t>
  </si>
  <si>
    <t>FQ084 - La Virginia - Risaralda</t>
  </si>
  <si>
    <t>HERNANDEZ  JENIFER PAOLA</t>
  </si>
  <si>
    <t>FLOREZ OCAMPO JESSICA</t>
  </si>
  <si>
    <t>PIMIENTA LONDOÑO VALENTINA</t>
  </si>
  <si>
    <t>FQ085 - Istmina - Chocó</t>
  </si>
  <si>
    <t>MURILLO MANYOMA ELCY BELARMINA</t>
  </si>
  <si>
    <t>MOSQUERA VIVEROS SANDRA PAOLA</t>
  </si>
  <si>
    <t>FQ086 - Magangué - Bolivar</t>
  </si>
  <si>
    <t>DELGADO VILLAMIZAR JORGE IVAN</t>
  </si>
  <si>
    <t>INELA RODRIGUEZ MABELIS MARIA</t>
  </si>
  <si>
    <t>TURIZO ATENCIA DAYANA</t>
  </si>
  <si>
    <t>CHACÓN  MELISSA MARÍA</t>
  </si>
  <si>
    <t>FQ088- Turbaco - Bolívar</t>
  </si>
  <si>
    <t>ALCALÁ CARDONA INELCY</t>
  </si>
  <si>
    <t>TAPIAS CARO MARIA MERCEDES</t>
  </si>
  <si>
    <t>MARQUEZ  ADRIANA DEL PILAR</t>
  </si>
  <si>
    <t>FQ089 - El Espinal - Tolima</t>
  </si>
  <si>
    <t>PEÑA  CAMILA</t>
  </si>
  <si>
    <t>CARDOSO  TATIANA</t>
  </si>
  <si>
    <t>PABON URIBE YULEINER DIVIANA</t>
  </si>
  <si>
    <t>FQ100 - Puerto Carreño - Vichada</t>
  </si>
  <si>
    <t>GARCÍA DAZA DANNA KATHERINE</t>
  </si>
  <si>
    <t>FQ101  - Cartagena - CC La Gran Manzana</t>
  </si>
  <si>
    <t>CAMACHO MADRID PAOLA</t>
  </si>
  <si>
    <t>MARIMON SANCHEZ ANA MILENA</t>
  </si>
  <si>
    <t>FQ102 - Apartado - CC Plaza del Rio</t>
  </si>
  <si>
    <t>CASTAÑEDA  BIBIANA</t>
  </si>
  <si>
    <t>FQ103 - La Plata - Huila</t>
  </si>
  <si>
    <t>CHAPID GOMEZ ANDREA LORENA</t>
  </si>
  <si>
    <t>TORRES ROJAS AYDA NURY</t>
  </si>
  <si>
    <t>FQ104 - Piendamo - Cauca</t>
  </si>
  <si>
    <t>VALENCIA  MARTHA CECILIA</t>
  </si>
  <si>
    <t>FLOR VIVAS PAULA MARCELA</t>
  </si>
  <si>
    <t>FQ105 - Montería, Córdoba</t>
  </si>
  <si>
    <t>RODRÍGUEZ CALDERÓN SILVIA SOLEDAD</t>
  </si>
  <si>
    <t>RUIZ HERRERA SONIA MILENA</t>
  </si>
  <si>
    <t>FQ106 - Sevilla - Valle del Cauca</t>
  </si>
  <si>
    <t>MADROÑERO  DARIEN</t>
  </si>
  <si>
    <t>ZAPATA TABARES LIZETH FERNANDA</t>
  </si>
  <si>
    <t>VANEGAS ROJAS CAROLINA</t>
  </si>
  <si>
    <t>FQ107 - Orito - Putumayo</t>
  </si>
  <si>
    <t>MENESES DIAZ DARLYN</t>
  </si>
  <si>
    <t>RODRIGUEZ  HELENA PATRICIA</t>
  </si>
  <si>
    <t>FQ108 - San Alberto, Cesar</t>
  </si>
  <si>
    <t>BATISTA  CLAUDIA SIOMARA</t>
  </si>
  <si>
    <t>JAIMES  ILDA</t>
  </si>
  <si>
    <t>SANCHEZ BATISTA EUDER CAMILO</t>
  </si>
  <si>
    <t>JIMENEZ DUARTE DANIELA</t>
  </si>
  <si>
    <t>FQ110 San Vicente del Caguan - Caqueta</t>
  </si>
  <si>
    <t>DIAZ YAFI ERIKA FERNANDA</t>
  </si>
  <si>
    <t>QUINTERO PRIETO JESSICA PAOLA</t>
  </si>
  <si>
    <t>FLOREZ  ISABELLA</t>
  </si>
  <si>
    <t>VALLEJO  KAROL</t>
  </si>
  <si>
    <t>VASQUEZ  VALENTINA</t>
  </si>
  <si>
    <t>MURCIA ROJAS WALTER ANDRES</t>
  </si>
  <si>
    <t>FQ111 - Tulua - CC Super Centro la 14</t>
  </si>
  <si>
    <t>GARCÍA MONTERO MAICOL</t>
  </si>
  <si>
    <t>GONZÁLEZ DEVIA CAMILA ANDREA</t>
  </si>
  <si>
    <t>Fq113 - Barrancabermeja Centro</t>
  </si>
  <si>
    <t>TORRES  TATIANA</t>
  </si>
  <si>
    <t>PAVA VIRGUETT NATALIA YULIZA</t>
  </si>
  <si>
    <t>LÓPEZ GUERRA KASSANDRA</t>
  </si>
  <si>
    <t>PEÑA AFANADOR YESICA PAOLA</t>
  </si>
  <si>
    <t>Fq114 - Bucaramanga - Cc Cacique</t>
  </si>
  <si>
    <t>DÍAZ SANDOVAL VIVIANA ANDREA</t>
  </si>
  <si>
    <t>PARRA  NOHORA</t>
  </si>
  <si>
    <t>ALVARADO  GLORIA</t>
  </si>
  <si>
    <t>CORREA  ALEXANDER</t>
  </si>
  <si>
    <t>GÓMEZ VILLAMIL STEVEN ANDRÉS</t>
  </si>
  <si>
    <t>FLOREZ  JOHAN</t>
  </si>
  <si>
    <t>Fq115 - Bucaramanga - Cc Unico</t>
  </si>
  <si>
    <t>CONTRERAS  ANGÉLICA</t>
  </si>
  <si>
    <t>CASTILLO TORO RAFAEL ANDRES</t>
  </si>
  <si>
    <t>HERNÁNDEZ GREY JOSÉ JHON WELL</t>
  </si>
  <si>
    <t>FQ116 - Bucaramanga - Cc Megamall</t>
  </si>
  <si>
    <t>RODRÍGUEZ  YOSELIN</t>
  </si>
  <si>
    <t>Retail</t>
  </si>
  <si>
    <t>N10-Carpa Quest Medellin-CC DEMODA Outle</t>
  </si>
  <si>
    <t>LEAL PEROZO JOSE JAVIER</t>
  </si>
  <si>
    <t>MARIN SALAZAR BRAYAN ALEXIS</t>
  </si>
  <si>
    <t>Q003 - Cali - Calle 23</t>
  </si>
  <si>
    <t>FLOREZ  GARCÍA SAMUEL </t>
  </si>
  <si>
    <t>ESCOBAR QUINTERO MARLON</t>
  </si>
  <si>
    <t>BARRERA TOLA LEIDY JOANA</t>
  </si>
  <si>
    <t>GRAJALES TROCHEZ JUAN  MANUEL</t>
  </si>
  <si>
    <t>ARVAJAL PIEDRAHITA SANTIAGO</t>
  </si>
  <si>
    <t>TELLO CASTRO NICOLAS</t>
  </si>
  <si>
    <t>PEÑA FIGUEROA GERSON  ESTEBAN</t>
  </si>
  <si>
    <t>ESCOBAR PERNA SEBASTIAN DAVID</t>
  </si>
  <si>
    <t>CASTILLO SOLIS CARMEN CECILIA</t>
  </si>
  <si>
    <t>RODRIGUEZ MELENDEZ ERWIN JOSE</t>
  </si>
  <si>
    <t>MENESES OLAYA SEBASTIAN</t>
  </si>
  <si>
    <t>RIVERA ZUÑIGA JUAN DIEGO</t>
  </si>
  <si>
    <t>Q007 - Tulua - Centro</t>
  </si>
  <si>
    <t>MORENO POLANCO VIVIANA</t>
  </si>
  <si>
    <t>OCAMPO ANGRINO MELISSA</t>
  </si>
  <si>
    <t>LONDOÑO VILLEGAS NICOLE ANDREA</t>
  </si>
  <si>
    <t>PARRA  JIMENEZ YENNY LORENA </t>
  </si>
  <si>
    <t>LOPEZ ARBELAEZ ESTEBAN</t>
  </si>
  <si>
    <t>GONZALEZ CAICEDO SANDRA YURANI</t>
  </si>
  <si>
    <t>HERNANDEZ SOLANO GEIDY CAROLINA</t>
  </si>
  <si>
    <t>Q008 - Cali - Alameda</t>
  </si>
  <si>
    <t>ARCE CASTELLANOS CRISTIAN ALBERTO</t>
  </si>
  <si>
    <t>LONDOÑO RODRIGUEZ NIKOL ANDREA</t>
  </si>
  <si>
    <t>PADILLA DOSMAN  ANGEL MARIO</t>
  </si>
  <si>
    <t>POPO MOSQUERA ANGIE   NATHALIA</t>
  </si>
  <si>
    <t>HURTADO PAREDES CRISTIAN ANDRES</t>
  </si>
  <si>
    <t>GOMEZ MONTANA DIANA CAROLINA</t>
  </si>
  <si>
    <t>TORRES SALINAS JUAN DAVID</t>
  </si>
  <si>
    <t>CASTILLO CASTILLO JOHAN SEBASTIAN</t>
  </si>
  <si>
    <t>GAMBOA OROZCO EDWIN FERNANDO</t>
  </si>
  <si>
    <t>CALDERON CASTANEDA CRISTHIAN CAMILO</t>
  </si>
  <si>
    <t>GAVIRIA MONTAÑO PAOLA PILAR</t>
  </si>
  <si>
    <t>MADRID M MADRID CASTELLANOS MILANGELY ALEJANDRA </t>
  </si>
  <si>
    <t>CASTILLO CASTILLO LEYDI YOMARA</t>
  </si>
  <si>
    <t>MURILLO VALENCIA JHONIER</t>
  </si>
  <si>
    <t>Q014 - Tulua - Cc Herradura</t>
  </si>
  <si>
    <t>SALINAS OSPINA JHOAN STEVEN</t>
  </si>
  <si>
    <t>RIVERA  MARIA BRILLY</t>
  </si>
  <si>
    <t>BECERRA OSPINA SOFIA</t>
  </si>
  <si>
    <t>HOYOS  LEON WENDY VANESSA </t>
  </si>
  <si>
    <t>CARDONA TRUJILLO JUAN SEBASTIAN</t>
  </si>
  <si>
    <t>Q016 - Cali - Cc Palmetto</t>
  </si>
  <si>
    <t>SANCHEZ FIGUEROA RUDY KELLY</t>
  </si>
  <si>
    <t>GALLEGO  CAMPO SEBASTIAN </t>
  </si>
  <si>
    <t>OCAMPO  JUAN</t>
  </si>
  <si>
    <t>PERDOMO GAVIRIA MAURICIO STIVEN</t>
  </si>
  <si>
    <t>COLONIA ORTIZ CRISTOBAL</t>
  </si>
  <si>
    <t>GONZALEZ QUIÑONES JUAN CAMILO</t>
  </si>
  <si>
    <t>ZAPATA GIRALDO JUAN CAMILO</t>
  </si>
  <si>
    <t>CAICEDO PALACIO MICHELL  CAMILA</t>
  </si>
  <si>
    <t>MUÑOZ ANGARITA ANGIE KATHERINE</t>
  </si>
  <si>
    <t>OCAMPO MENDOZA JHON FEITHER</t>
  </si>
  <si>
    <t>ACEVEDO  PEREZ ANGUIE CATALINA </t>
  </si>
  <si>
    <t>OLAVE RODRIGUEZ ANGEL  JOSUE</t>
  </si>
  <si>
    <t>SALAZAR SANCHEZ ESTEBAN</t>
  </si>
  <si>
    <t>SALCEDO CASTRILLON FRACHED</t>
  </si>
  <si>
    <t>Q018 - Cali - Cc Jardin Plaza</t>
  </si>
  <si>
    <t>MINA CRUZ SANTIAGO</t>
  </si>
  <si>
    <t>RIOFRIO JIMENEZ NICOLAS</t>
  </si>
  <si>
    <t>GONZALEZ PENA EDWARD FABIAN</t>
  </si>
  <si>
    <t>CAMARGO DELGADO JHONAIDER JOSUE</t>
  </si>
  <si>
    <t>MOSQUERA MOLINA JHOAN SEBASTIAN</t>
  </si>
  <si>
    <t>CUBIDES MELO DAVID</t>
  </si>
  <si>
    <t>RAMOS PANAMEÑO KAREN VALERIA</t>
  </si>
  <si>
    <t>SANCHEZ ARCINIEGAS STEVEN</t>
  </si>
  <si>
    <t>LOPEZ LOAIZA JESSICA MARIA</t>
  </si>
  <si>
    <t>CORREDOR  BUITRAGO ANGIE LIZETH </t>
  </si>
  <si>
    <t>MUTIZ VALDES NATHALIE</t>
  </si>
  <si>
    <t>Q021 - Cali - Cc Chipichape</t>
  </si>
  <si>
    <t>LLANOS HURTADO LEIDY VANNESSA</t>
  </si>
  <si>
    <t>PRADO  MURIEL SANTIAGO </t>
  </si>
  <si>
    <t>DAYLERINN  FAJARDO SANCHEZ</t>
  </si>
  <si>
    <t>JOYA ORTIZ ANDER FABIAN</t>
  </si>
  <si>
    <t>FIGUEROA LOZANO JUAN DAVID</t>
  </si>
  <si>
    <t>Q023 - Barranquilla - Cc Portal</t>
  </si>
  <si>
    <t>SARMIENTO BOLAÑOS ZULEHIMA PATRICIA</t>
  </si>
  <si>
    <t>BARRAZA  MORENO BRANDON JOSE </t>
  </si>
  <si>
    <t>MORILLO  POLANCO MARIA ANGELICA </t>
  </si>
  <si>
    <t>JIMENEZ VARELA ALISSON DAYANNA</t>
  </si>
  <si>
    <t>BOLIVAR ROCA BRENDA CAROLINA</t>
  </si>
  <si>
    <t>ARRIETA HAMBURGER CINTHIA PATRICIA</t>
  </si>
  <si>
    <t>Q027 - Cucuta - Cc Ventura Plaza</t>
  </si>
  <si>
    <t>SUÁREZ MUNEVAR DOMINICK DANIEL</t>
  </si>
  <si>
    <t>VILLAMIZAR  CHINCHILLA JUAN SEBASTIAN </t>
  </si>
  <si>
    <t>MANRIQUE GONZALEZ ANYI LORENA</t>
  </si>
  <si>
    <t>INFANTE ROJAS GISSEL  NATALIA</t>
  </si>
  <si>
    <t>ARISTIZABAL BARRANGA MARLEIDY</t>
  </si>
  <si>
    <t>PEREZ TEJADA YINETH VALENTINA</t>
  </si>
  <si>
    <t>NERCY ROJAS DIEGO ALBERTO</t>
  </si>
  <si>
    <t>ALVAREZ AFANADOR SHARICK ELIZABETH</t>
  </si>
  <si>
    <t>CORREA BARBOSA KEVIN JORSEPTH</t>
  </si>
  <si>
    <t>Q028 - Cali - Centro Calle 13</t>
  </si>
  <si>
    <t>VIAFARA GOMEZ MARGIE YULLEISY</t>
  </si>
  <si>
    <t>ALEGRIA ORTIZ MAYERLI FERNANDA</t>
  </si>
  <si>
    <t>BALANTA ASPRILLA SEBASTIAN</t>
  </si>
  <si>
    <t>OSPINA MONCAYO LESLI KATERINE</t>
  </si>
  <si>
    <t>DIAZ BERRIDO DIANA MARLLELY</t>
  </si>
  <si>
    <t>Q029 - Cali - Cc Unico 1</t>
  </si>
  <si>
    <t>CORREA DUQUE JOHN FAVER</t>
  </si>
  <si>
    <t>SMITH ANGULO ESTEFANI JANIS</t>
  </si>
  <si>
    <t>ROJAS CAPERA SARA  LIZETH</t>
  </si>
  <si>
    <t>YEPE QUINTERO DANIELA</t>
  </si>
  <si>
    <t>BRAND MOSQUERA LINDA  MARYORI</t>
  </si>
  <si>
    <t>GONZALEZ AGREDO ISABEL CRISTINA</t>
  </si>
  <si>
    <t>Q030 - Popayan - Cc Campanario</t>
  </si>
  <si>
    <t>CACHIMBO SANCHEZ VALERIA</t>
  </si>
  <si>
    <t>GAVIRIA CALVACHE WILLIAN</t>
  </si>
  <si>
    <t>HERNANDEZ  MAILE CAMILA</t>
  </si>
  <si>
    <t>RIASCOS  ARMERO KAROL TATIANA </t>
  </si>
  <si>
    <t>NAVIA CAJAS LUIS FERNANDO</t>
  </si>
  <si>
    <t>BALANTA BURBANO MELISSA</t>
  </si>
  <si>
    <t>MUSSE PERDOMO  MAIRA ALEJANDRA</t>
  </si>
  <si>
    <t>QUIÑONES AGREDO  JUAN PABLO</t>
  </si>
  <si>
    <t>POTOSI GOMEZ DEISY LORENA</t>
  </si>
  <si>
    <t>MOSQUERA GUAR  CARLOS ANDRÉS</t>
  </si>
  <si>
    <t>RAMIREZ  TORRES INGRITH MICHELLE </t>
  </si>
  <si>
    <t>PECHENE CASAMACHIN EDWIN YESID</t>
  </si>
  <si>
    <t>NARVAEZ  JHOINNER EFREN</t>
  </si>
  <si>
    <t>CHILITO  BAIRON ANDRES</t>
  </si>
  <si>
    <t>PALECHOR  YOLILYN ANDREA</t>
  </si>
  <si>
    <t>MONTENEGRO COTACIO MARY LUZ</t>
  </si>
  <si>
    <t>RUIZ  MAGALY ANDREA</t>
  </si>
  <si>
    <t>FLOR PIZO LEIDY ALEJANDRA</t>
  </si>
  <si>
    <t>IMBAJOA DELACRUZ LUISA FERNANDA</t>
  </si>
  <si>
    <t>LASSO ORDOÑEZ DORIS ADRIANA</t>
  </si>
  <si>
    <t>GUERRERO GAVIRIA PAOLA ALEJANDRA</t>
  </si>
  <si>
    <t>ARIAS SALAMANCA LUISA FERNANDA</t>
  </si>
  <si>
    <t>Q031 - Cali - Centro 1</t>
  </si>
  <si>
    <t>GARCÍA URDA ALEX ALBERTO</t>
  </si>
  <si>
    <t>IRIARTE MELENGUE NATALIA VANESSA</t>
  </si>
  <si>
    <t>BOLAÑOS GIL KAREN MILET</t>
  </si>
  <si>
    <t>PATINO LENIS FREDDY ALEXANDER</t>
  </si>
  <si>
    <t>BONILLA CHOCO CRISTIAN FELIPE</t>
  </si>
  <si>
    <t>MOLINA MUÑOZ  KAREN   MAYERLI</t>
  </si>
  <si>
    <t>Q033 - Cartagena - Cc Caribe Plaza</t>
  </si>
  <si>
    <t>PEREZ PEREZ WILSON DEL CRISTO</t>
  </si>
  <si>
    <t>MACOTT MARRUGO ELVIA MILENA</t>
  </si>
  <si>
    <t>SERNA PAUTT CRISTINA ISABEL</t>
  </si>
  <si>
    <t>SABALZA HERRERA STEFANI PAOLA</t>
  </si>
  <si>
    <t>RAMOS PEREZ MARILUZ</t>
  </si>
  <si>
    <t>BOSCAN ALARCON DISNEY DE LOS ANGELES</t>
  </si>
  <si>
    <t>SALCEDO GONZALEZ AMAURY ENRIQUE</t>
  </si>
  <si>
    <t>PAJARO REYES KAREN PAMELA</t>
  </si>
  <si>
    <t>SALAZAR PEREZ LUISA MARIA</t>
  </si>
  <si>
    <t>REINOSO  ROJAS DANNA VALENTINA </t>
  </si>
  <si>
    <t>PENA PATERNINA MARIA ANGELICA</t>
  </si>
  <si>
    <t>PACHECO  DINA CANDY</t>
  </si>
  <si>
    <t>RODRIGUEZ GUERRERO MARIA ANGELICA</t>
  </si>
  <si>
    <t>CAMPUZANO CAGUA ETILVIA   ROSA</t>
  </si>
  <si>
    <t>MARIMON POMBO  YONAICER</t>
  </si>
  <si>
    <t>Q035 - Barranquilla - Cc Unico</t>
  </si>
  <si>
    <t>SANDOVAL JIMENEZ YESID ARTURO</t>
  </si>
  <si>
    <t>MARINEZ TORNEZ ANA MERCEDES</t>
  </si>
  <si>
    <t>MATTOS CERVANTES JHONNY DAVID</t>
  </si>
  <si>
    <t>TORRES  SALCEDO CRISTIAN DAVID </t>
  </si>
  <si>
    <t>VASQUEZ PUERTA OLGA LUCIA</t>
  </si>
  <si>
    <t>ARIAS BARRIOS ANA GABRIELA</t>
  </si>
  <si>
    <t>GARCIA SAMPAYO KATIA PAMELA</t>
  </si>
  <si>
    <t>REBOLLEDO  KENDRY</t>
  </si>
  <si>
    <t>BONETH GALINDO KEVIN CAMILO</t>
  </si>
  <si>
    <t>VESGA CALA DIANA KATHERINE</t>
  </si>
  <si>
    <t>SANCHEZ MEDINA MARIA ANGELICA</t>
  </si>
  <si>
    <t>Q038 - Pereira - Cc Unicentro</t>
  </si>
  <si>
    <t>RICO GÓMEZ CAMILA ANDREA</t>
  </si>
  <si>
    <t>FLOREZ AGUDELO  ANGIE </t>
  </si>
  <si>
    <t>RIVERA QUINTERO ANGELLI</t>
  </si>
  <si>
    <t>RUIZ  PARRA MATTHYW </t>
  </si>
  <si>
    <t>CASTAÑO VILLEGAS JHONATAN</t>
  </si>
  <si>
    <t>ROJAS DUQUE EISENHAWUER</t>
  </si>
  <si>
    <t>PINEDA RODRIGUEZ ANDERSON</t>
  </si>
  <si>
    <t>RADA GONZALEZ MARIA LAURA</t>
  </si>
  <si>
    <t>CARDENAS CASTAÑO SOFIA</t>
  </si>
  <si>
    <t>FRANCO RAMIREZ JACKELINE</t>
  </si>
  <si>
    <t>DUQUE CUERVO SERGIO ANDRES</t>
  </si>
  <si>
    <t>GONZÁLEZ BERMÚDEZ ALEXANDRA  DEL CARMEN</t>
  </si>
  <si>
    <t>DE LA CRUZ BUSTAMANTE MARIA ALEJANDRA</t>
  </si>
  <si>
    <t>ROMAN REBELLO ALEJANDRO</t>
  </si>
  <si>
    <t>Q039 - Cali - Cc Unico 2</t>
  </si>
  <si>
    <t>GUERRERO ATUESTA JUAN PABLO</t>
  </si>
  <si>
    <t>BUITRAGO QUINTERO MADELEIN</t>
  </si>
  <si>
    <t>Q040 - Cali - Cc Unicentro 2</t>
  </si>
  <si>
    <t>VALENCIA CARDONA RANDY STIVEN</t>
  </si>
  <si>
    <t>GARCIA RIOS DANIELA</t>
  </si>
  <si>
    <t>OSSA  MENESES VALERIA </t>
  </si>
  <si>
    <t>MORENO MINA D¨LESSANDRO</t>
  </si>
  <si>
    <t>MAYOR SERNA NATALIA</t>
  </si>
  <si>
    <t>QUINTANA MONTAÑA  JUAN  SEBASTIAN</t>
  </si>
  <si>
    <t>Q041 - Cali - Cc Calima</t>
  </si>
  <si>
    <t>BELLO MANCO HAIDY MICHELLE</t>
  </si>
  <si>
    <t>MONTES OROZCO  JORGE ANDRES</t>
  </si>
  <si>
    <t>Q044 - Popayan - Centro</t>
  </si>
  <si>
    <t>TORRES MUÑETON ANA SOFIA</t>
  </si>
  <si>
    <t>Q045 - Pasto - Cc Unicentro</t>
  </si>
  <si>
    <t>VALENCIA  VIVIANA</t>
  </si>
  <si>
    <t>PILPUD ENRIQUEZ YULIETH CATHERINE</t>
  </si>
  <si>
    <t>PORTILLA BARBOSA BRIGYTH YURANY</t>
  </si>
  <si>
    <t>CABRERA CAICEDO ANGELY  GABRIELA</t>
  </si>
  <si>
    <t>MONTENEGRO ORTEGA SANTIAGO ESLEANY</t>
  </si>
  <si>
    <t>SALAZAR MENESES VICTOR FELIPE</t>
  </si>
  <si>
    <t>SALAMANCA ESTRADA CLAUDIA ANDREA</t>
  </si>
  <si>
    <t>SANTACRUZ GERRERO CARLOS FELIPE</t>
  </si>
  <si>
    <t>Q046 - Cucuta - Centro 2</t>
  </si>
  <si>
    <t>CARRASCAL RIOS DEISY TORCOROMA</t>
  </si>
  <si>
    <t>RIVERA  BOTELLO VIANEY </t>
  </si>
  <si>
    <t>CASTILLO OBANDO JOHAN EBED</t>
  </si>
  <si>
    <t>RAVELO CARDENAS OSMANY</t>
  </si>
  <si>
    <t>GARCIA MEDINA LUIS  ANTONIO</t>
  </si>
  <si>
    <t>RINCON  CARDONA ESNEIDER </t>
  </si>
  <si>
    <t>HENRIQUEZ GUALDRON WILSON LEONEL</t>
  </si>
  <si>
    <t>PEÑALOZA FLOREZ BLEIMAR </t>
  </si>
  <si>
    <t>Q049 - Dosquebradas - Cc Unico</t>
  </si>
  <si>
    <t>MOLINA ARTEGA VERONICA</t>
  </si>
  <si>
    <t>LOPEZ AGUIRRE CESAR AUGUSTO</t>
  </si>
  <si>
    <t>RODAS MURILLO ESTEFANIA</t>
  </si>
  <si>
    <t>BARRIOS  MONTIEL NORMARY ELIZABETH </t>
  </si>
  <si>
    <t>RAMIREZ  FLOREZ CAROLINA </t>
  </si>
  <si>
    <t>ARIAS VELASQUEZ PAOLA ANDREA</t>
  </si>
  <si>
    <t>OROZCO SALGADO KEREN  LISETH</t>
  </si>
  <si>
    <t>ARICAPA CALVO  MONICA  ANDREA</t>
  </si>
  <si>
    <t>LEAL MAYORGA JENNIFER KATHERINE</t>
  </si>
  <si>
    <t>RAMOS RODRIGUEZ SAMUEL</t>
  </si>
  <si>
    <t>Q053 - Neiva - Cc San Pedro Plaza</t>
  </si>
  <si>
    <t>SIERRA  NOVOA ORIHANA GABRIELA </t>
  </si>
  <si>
    <t>CHARRY RODRIGUEZ AIDA INES</t>
  </si>
  <si>
    <t>FONSECA BUSTOS GLORIA YANNETH</t>
  </si>
  <si>
    <t>CASTAÑEDA PAVÓN DIANA CRISTINA</t>
  </si>
  <si>
    <t>PASTRANA GONZALEZ JUAN CAMILO</t>
  </si>
  <si>
    <t>SIERRA TRUJILLO MIGUEL  ANGEL</t>
  </si>
  <si>
    <t>CASTILLO BOCANEGRA JUAN DAVID</t>
  </si>
  <si>
    <t>ALDANA VARGAS LEYDY ADRIANA</t>
  </si>
  <si>
    <t>PINO  ORDOÑEZ KATHERINE ANDREA </t>
  </si>
  <si>
    <t>MOSQUERA SANCHEZ CATALINA</t>
  </si>
  <si>
    <t>BENAVIDEZ BOLAÑOS LAURA SOFIA</t>
  </si>
  <si>
    <t>ROMERO CRUZ MARIA PAULA</t>
  </si>
  <si>
    <t>Q054 - Sincelejo - Centro</t>
  </si>
  <si>
    <t>PENA GONZALEZ YESICA ESTHER</t>
  </si>
  <si>
    <t>BUELVAS OSUNA YULIANA DEL CARMEN</t>
  </si>
  <si>
    <t>SALAS ALQUERQUE LILIANA SOFIA</t>
  </si>
  <si>
    <t>GARCIA GONZALEZ ANGELICA MILENA</t>
  </si>
  <si>
    <t>Q056 - Pitalito - Cc San Antonio</t>
  </si>
  <si>
    <t>GARCIA  MEDINA PAULA STELLA </t>
  </si>
  <si>
    <t>CARRILLO  ANDRES FELIPE</t>
  </si>
  <si>
    <t>BENAVIDES CLAROS KAREN SOFIA</t>
  </si>
  <si>
    <t>CARRERA VARGAS SONIA VALERIA</t>
  </si>
  <si>
    <t>RODAS  MAZO CINDY DAIANNA </t>
  </si>
  <si>
    <t>Q057 - Pasto - Cc Unico</t>
  </si>
  <si>
    <t>CISNEROS DE LA CRUZ SANTIAGO</t>
  </si>
  <si>
    <t>OBANDO  MERA MARIA ALEJANDRA </t>
  </si>
  <si>
    <t>SINISTERRA  ALZATE VALENTINA </t>
  </si>
  <si>
    <t>CEBALLOS ROSAS JENNY SOFIA</t>
  </si>
  <si>
    <t>FIERRO MORA SANTIAGO  ALEJANDRO</t>
  </si>
  <si>
    <t>BLANDON VIETERI MARIA JOSE</t>
  </si>
  <si>
    <t>CHILES BANDA LEIDY VANESA</t>
  </si>
  <si>
    <t>ARANGO LOPEZ DIANA PATRICIA</t>
  </si>
  <si>
    <t>MONCAYO  ANDRADE DIANA MARCELA </t>
  </si>
  <si>
    <t>Q058 - Pereira - Cc Victoria Plaza</t>
  </si>
  <si>
    <t>RODRIGUEZ BUENO DEISY TATIANA</t>
  </si>
  <si>
    <t>OSORIO LONDOÑO GERALDIN</t>
  </si>
  <si>
    <t>ROMAN POSADA DANIELA</t>
  </si>
  <si>
    <t>Q061 - Armenia - Cc Unicentro</t>
  </si>
  <si>
    <t>OSPINA BETANCUR LAURA SOFIA</t>
  </si>
  <si>
    <t>NERYS MEJIA DENIS SELENIA</t>
  </si>
  <si>
    <t> LOPEZ  AVENDAÑO VANESSA</t>
  </si>
  <si>
    <t>OPANCE COLORADO DAISLY YULEIDY</t>
  </si>
  <si>
    <t>RODRIGUEZ  NATALY</t>
  </si>
  <si>
    <t>JIMENEZ BARRERA SANDRA MILENA</t>
  </si>
  <si>
    <t>RIVERA DEOSSA RUBEN</t>
  </si>
  <si>
    <t>GÓMEZ GALVEZ LUISA FERNANDA</t>
  </si>
  <si>
    <t>BETANCOURTH CARDONA DANIELA</t>
  </si>
  <si>
    <t>VILLA ARIAS MARIEN MELIZA</t>
  </si>
  <si>
    <t>OSORIO CAMPIÑO INGRID KATERINE</t>
  </si>
  <si>
    <t>Q062 - Monteria - Cc Alamedas</t>
  </si>
  <si>
    <t>ANDRADE REGINO OSCAR</t>
  </si>
  <si>
    <t>MARIMON ESQUIVIA ENA MARGARITA</t>
  </si>
  <si>
    <t>SIMANCA CAMPO LEXY ROSARIO</t>
  </si>
  <si>
    <t>AREIZA AGAMEZ OSNEIDER</t>
  </si>
  <si>
    <t>CERVANTES DOMINGUEZ WAYNNY JHOANA</t>
  </si>
  <si>
    <t>SUAREZ PEÑATE JEFERSON DARIO</t>
  </si>
  <si>
    <t>Q068 - Cartagena - Cc Outlet del Bosque</t>
  </si>
  <si>
    <t>SUAREZ  MONTERO JOCELIN </t>
  </si>
  <si>
    <t>PAJARO ROENES MELISSA  ANDREA</t>
  </si>
  <si>
    <t>MARTINEZ MOSQUERA YERALDIN INES</t>
  </si>
  <si>
    <t>Q069 - Ibague - Centro</t>
  </si>
  <si>
    <t>MORERA GONZALEZ JHON WILMAR</t>
  </si>
  <si>
    <t>CASTRO QUINA LINDA YAZMIN</t>
  </si>
  <si>
    <t>OSORIO ROJAS LINA JOHANA</t>
  </si>
  <si>
    <t>GUZMAN LOZANO JHON EDISSON</t>
  </si>
  <si>
    <t>DIMAS LOPEZ ERIK  ADRIAN</t>
  </si>
  <si>
    <t>DIAZ CIFUENTES  DANA GABRIELA</t>
  </si>
  <si>
    <t>CRISTANCHO VARON DANIELA</t>
  </si>
  <si>
    <t>ARTUNDUAGA PARGA MARIA  ALEJANDRA</t>
  </si>
  <si>
    <t>Q071 - Neiva - Centro</t>
  </si>
  <si>
    <t>PERDOMO SAENZ CLAUDIA LILIANA</t>
  </si>
  <si>
    <t>Q073 - Yumbo - Cc Unico</t>
  </si>
  <si>
    <t>SARRIA VIDAL IVAN DANIEL</t>
  </si>
  <si>
    <t>CAICEDO PARRA ALEXANDER</t>
  </si>
  <si>
    <t>Q074 - Villavicencio - Cc Unico</t>
  </si>
  <si>
    <t>RIVERA CORTINA JUAN PABLO</t>
  </si>
  <si>
    <t>SANCHEZ  DIAZ HEIDY CAROLINA </t>
  </si>
  <si>
    <t>ARANA  CARRILLO GIOVANNA VALENTINA </t>
  </si>
  <si>
    <t>SIERRA  VALENCIA ANDREA </t>
  </si>
  <si>
    <t>AGUIRRE VIAZUS KEVIN  ANDRES</t>
  </si>
  <si>
    <t>RAMOS PEREZ KEVIN SANTIAGO</t>
  </si>
  <si>
    <t>CERPA  DANIELA</t>
  </si>
  <si>
    <t>BELTRAN CONCHA CAMILA TATIANA</t>
  </si>
  <si>
    <t>Q076 - Medellin - Cc Florida</t>
  </si>
  <si>
    <t>HERNANDEZ AGUDELO YESENIA</t>
  </si>
  <si>
    <t>SANCHEZ BENITEZ DIEGO ANDRES</t>
  </si>
  <si>
    <t>LOPEZ  ALZATE JESSICA ALEJANDRA </t>
  </si>
  <si>
    <t>BETANCUR ARANGO SEBASTIAN</t>
  </si>
  <si>
    <t>ANDUQUIA LOPEZ ANYI CATERINE</t>
  </si>
  <si>
    <t>CORREA OLAYA JANNIN JULIANA</t>
  </si>
  <si>
    <t>VANEGAS GOMEZ JENNY LORENA</t>
  </si>
  <si>
    <t>PIÑERES FRANCO MAYRA  ALEJANDRA</t>
  </si>
  <si>
    <t>RODRIGUEZ CAICEDO MARIA  JOSE</t>
  </si>
  <si>
    <t>BEDOYA  ALVAREZ CAMILA ANDREA </t>
  </si>
  <si>
    <t>ESPINOSA  CEBALLOS NATALIA ANDREA</t>
  </si>
  <si>
    <t>Q077 - Florencia - Cc Gran Plaza</t>
  </si>
  <si>
    <t>LOZADA SICERY DUBERNEY</t>
  </si>
  <si>
    <t>MOTTA SIERRA DAYANA</t>
  </si>
  <si>
    <t>MURCIA  VALENTINA</t>
  </si>
  <si>
    <t>GONZALEZ SANCHEZ VIVIANA</t>
  </si>
  <si>
    <t>VALENCIA ALZATE MARLI  YISETH</t>
  </si>
  <si>
    <t>Q078 - Soledad - Cc Gran Plaza</t>
  </si>
  <si>
    <t>CAJIGAS VILORIA TRINITY</t>
  </si>
  <si>
    <t>JARABA MERCADO LAURA LUZ</t>
  </si>
  <si>
    <t>BENAVIDES ALBARRACIN JUSLEIDYS</t>
  </si>
  <si>
    <t>Q080 - Valledupar - Cc Mayales</t>
  </si>
  <si>
    <t>QUINTERO MENDEZ NAYIBE SOFIA</t>
  </si>
  <si>
    <t>CASTRO DAZA CARLOS ANDRES</t>
  </si>
  <si>
    <t>DIAZ RHENALS CAMILO ANDRES</t>
  </si>
  <si>
    <t>ROMERO CUELLO CESAR DANIEL</t>
  </si>
  <si>
    <t>MUNIBE SOLIS DANIEL EDUARDO</t>
  </si>
  <si>
    <t>VALENCIA SCOOP EDWIN  JOEL</t>
  </si>
  <si>
    <t>ARDILA OVIEDO EVER SAMIR</t>
  </si>
  <si>
    <t>ESPINOZA MARTINEZ ARON MOISE</t>
  </si>
  <si>
    <t>Q083 - Yopal - Cc Unicentro</t>
  </si>
  <si>
    <t>CABRA  HIGUERA PEDRO ANTONIO</t>
  </si>
  <si>
    <t>DUQUE  SANCHEZ LEONARDO </t>
  </si>
  <si>
    <t>SALCEDO GONZALEZ MILTON HERNANDO</t>
  </si>
  <si>
    <t>REINA MALDONADO ANDRES FELIPE</t>
  </si>
  <si>
    <t>RODRIGUEZ PULIDO LISETH LORENA</t>
  </si>
  <si>
    <t>SUREZ PONGUTA KAREN LISETH</t>
  </si>
  <si>
    <t>LOMBANA CHAPARRO DEIBY LORENA</t>
  </si>
  <si>
    <t>LÓPEZ PLAZAS CRISTIAN  YANDAWER</t>
  </si>
  <si>
    <t>PEREZ HERNANDEZ YASMIN ELIANA</t>
  </si>
  <si>
    <t>Q084 - Santa Marta - Centro</t>
  </si>
  <si>
    <t>PÉREZ  GERALDINE</t>
  </si>
  <si>
    <t>GUTIERREZ ARIAS HASBLEYDI</t>
  </si>
  <si>
    <t>ARIZA DAZA YURAINI PATRICIA</t>
  </si>
  <si>
    <t>RAMIREZ SANCHEZ LIZETH MANUELA</t>
  </si>
  <si>
    <t>APARICIO CARRILLO SOFIA PATRICIA</t>
  </si>
  <si>
    <t>SILVA VELASQUEZ LUDY  VIVIANA MARCELA</t>
  </si>
  <si>
    <t>Q085 - Ibague - Cc La Estacion</t>
  </si>
  <si>
    <t>CESPEDES TINJACA MARIA JOSE</t>
  </si>
  <si>
    <t>Q086 - Villavicencio - Cc Viva</t>
  </si>
  <si>
    <t>LADINO RUIZ ESNEIDER YESID</t>
  </si>
  <si>
    <t>DEVIA FERIA MARLON STIVENN</t>
  </si>
  <si>
    <t>RINCON  QUINTERO SONIA LILIANA </t>
  </si>
  <si>
    <t>Q087 - Palmira - Centro</t>
  </si>
  <si>
    <t>MONTOYA GAMEÑA BRIYITH VALERIA</t>
  </si>
  <si>
    <t>URBANO  CASANOVA ISRAEL ALEJANDRO </t>
  </si>
  <si>
    <t>BAIK IRIZA ISRAEL DAVID</t>
  </si>
  <si>
    <t>ORBES ZAMBRANO ANDRES FELIPE</t>
  </si>
  <si>
    <t>ARAUJO PORTILLA LYRA AMANDA</t>
  </si>
  <si>
    <t>GONZALEZ VIEDMA DURLEY FERNANDA</t>
  </si>
  <si>
    <t>Q088 - Palmira - Cc Llanogrande</t>
  </si>
  <si>
    <t>CRUZ SALDARRIAGA JUAN FELIPE</t>
  </si>
  <si>
    <t>Q089 - Palmira - Cc Unicentro</t>
  </si>
  <si>
    <t>MONCAYO PINTO GABRIELA</t>
  </si>
  <si>
    <t>Q090 - Ipiales - Cc Gran Plaza</t>
  </si>
  <si>
    <t>LAGOS QUENGUAN JOHANA ELIZABETH</t>
  </si>
  <si>
    <t>CHACÓN  ANDREA LORENA</t>
  </si>
  <si>
    <t>QUENGUAN PUPIALES RICHARD WALTER</t>
  </si>
  <si>
    <t>RECALDE TARAPUES JUAN DAVID</t>
  </si>
  <si>
    <t>PANTOJA  ANNY GABRIELA</t>
  </si>
  <si>
    <t>DELGADO RECALDE MONICA ROCIO</t>
  </si>
  <si>
    <t>GARAY MALTE YORLID PÁOLA</t>
  </si>
  <si>
    <t>ERAZO FIGUEROA JESSIKA KATHERINE</t>
  </si>
  <si>
    <t>Q091 - Armenia - Centro</t>
  </si>
  <si>
    <t>CANO CORTES JOFI ESTEBAN</t>
  </si>
  <si>
    <t>Q092 - Cartagena - Cc San Fernando</t>
  </si>
  <si>
    <t>CARDENAS OLASCOAGA JARIT MILETH</t>
  </si>
  <si>
    <t>LARA CASTRO ROSA ANGELICA</t>
  </si>
  <si>
    <t>Q094 - Medellin - Cc Aventura</t>
  </si>
  <si>
    <t>HENAO  AGUDELO LAURA VALENTINA </t>
  </si>
  <si>
    <t>GOMEZ VELASQUEZ DANYS MILEIDY</t>
  </si>
  <si>
    <t>SALINAS CHAVARRÍA LAURYS DANIELA</t>
  </si>
  <si>
    <t>GONZALEZ  GAVIRIA JUAN MANUEL </t>
  </si>
  <si>
    <t>MONA MORALES YULIETH</t>
  </si>
  <si>
    <t>GOMEZ  DAYANA</t>
  </si>
  <si>
    <t>Q097 - Cartago - Centro</t>
  </si>
  <si>
    <t>NOVOA BENTACUR KELLIN NATALIA</t>
  </si>
  <si>
    <t>LLANOS  BERNAL KERLEN LISANYURI </t>
  </si>
  <si>
    <t>TINOCO MARÍN ALEJANDRO</t>
  </si>
  <si>
    <t>RUIZ SILVA JHOANNI ANDRES</t>
  </si>
  <si>
    <t>LAVERDE PEA JUAN DAVID</t>
  </si>
  <si>
    <t>MARIN AGUDELO MARIA CAMILA</t>
  </si>
  <si>
    <t>Q102 - Valledupar - Cc Guatapuri</t>
  </si>
  <si>
    <t>CABARCAS SUAREZ ANDREA VANESSA </t>
  </si>
  <si>
    <t>VALBUENA GONZALES LINA MAYRETH</t>
  </si>
  <si>
    <t>ESCOBAR MORENO YILMAR JOSE</t>
  </si>
  <si>
    <t>VIZCAINO GOMEZ SHIRLY</t>
  </si>
  <si>
    <t>Q106 - Soledad - Cc Nuestro Atlantico</t>
  </si>
  <si>
    <t>BOLAÑO SANCHEZ SHIRLEY DAYANNA</t>
  </si>
  <si>
    <t>Q107 - Monteria - Cc Nuestro Monteria</t>
  </si>
  <si>
    <t>Q109 - Cartagena - Cc La Castellana</t>
  </si>
  <si>
    <t>Q112 - Medellin - Cc Molinos Medellin</t>
  </si>
  <si>
    <t>SUAREZ  CRISTIAN</t>
  </si>
  <si>
    <t>MORENO  VARGAS MARIA FERNANDA </t>
  </si>
  <si>
    <t>DAVID  DAVID MARIA CLARA </t>
  </si>
  <si>
    <t>MONAGAS CHAVEZ CARIBYA ANDREINA</t>
  </si>
  <si>
    <t>MARTINEZ MARTINEZ KEISY DANIELA</t>
  </si>
  <si>
    <t>CUERVO CATAÑO JOHAN MAURICIO</t>
  </si>
  <si>
    <t>ZAPATA CANO LEIDY VANESSA</t>
  </si>
  <si>
    <t>PELAEZ  GALEANO LENNY YANID </t>
  </si>
  <si>
    <t>GUERRERO CHILLAMBO JEYSON ESTEVEN</t>
  </si>
  <si>
    <t>OCHOA GALLEGO  MATEO</t>
  </si>
  <si>
    <t>CAJAMARCA HENAO JESSICA</t>
  </si>
  <si>
    <t>Q113 - Envigado - Cc Viva Local-221</t>
  </si>
  <si>
    <t>FERNÁNDEZ PÉREZ MARÍA VICTORIA</t>
  </si>
  <si>
    <t>ZEA  MARIA ALEIDA</t>
  </si>
  <si>
    <t>RESTREPO RAMIREZ TATIANA</t>
  </si>
  <si>
    <t>ORTIZ QUIROZ YULIANA</t>
  </si>
  <si>
    <t>GOMEZ TREJOS MARIA FERNANDA</t>
  </si>
  <si>
    <t>LOPEZ  HENAO EDWARD </t>
  </si>
  <si>
    <t>ARCILA  DUQUE MATEO ALEJANDRO </t>
  </si>
  <si>
    <t>PATERNINA OVIEDO JAIDITH ROSA</t>
  </si>
  <si>
    <t>MEJIA  ZULETA JOHARA </t>
  </si>
  <si>
    <t>Q115 - Cucuta - Centro</t>
  </si>
  <si>
    <t>MONSALVE  RODRIGUEZ JOHANNA GABRIELA </t>
  </si>
  <si>
    <t>VESGA MORA LUZ  ANGELICA</t>
  </si>
  <si>
    <t>NARIÑO GUTIEREZ STEFANY MISHEL</t>
  </si>
  <si>
    <t>SANCHEZ ORTEGA FABIAN ISNARDO</t>
  </si>
  <si>
    <t>Q116 - Cartago - Cc Nuestro Cartago</t>
  </si>
  <si>
    <t>Q117 - Neiva - Cc Unico</t>
  </si>
  <si>
    <t>GAHONA ESPAÑA LEIDY  DAYANA</t>
  </si>
  <si>
    <t>CASTRO CURACA DUVIER DANILO</t>
  </si>
  <si>
    <t>SANCHEZ LONDOÑO LUZ  ANGELA</t>
  </si>
  <si>
    <t>Q118 - Sincelejo - Cc Guacari</t>
  </si>
  <si>
    <t>RUIZ MARTINEZ KAREN LORENA</t>
  </si>
  <si>
    <t>BANQUEZ MORENO MARIA JOSE</t>
  </si>
  <si>
    <t>Q120 - Cali- Plaza Q</t>
  </si>
  <si>
    <t>AGUIRRE TORO EFRAIN DE JESUS</t>
  </si>
  <si>
    <t>Q122 - Tulua- Centro Calle 27</t>
  </si>
  <si>
    <t>Q124 - Bogotá - Cc Nuestro Bogotá</t>
  </si>
  <si>
    <t>TRUJILLO  MORALES NATALIA </t>
  </si>
  <si>
    <t>MARTINEZ  IMBACHI JULIO CESAR </t>
  </si>
  <si>
    <t>PARDO CASTAÑEDA NICOLAS</t>
  </si>
  <si>
    <t>GUTIERREZ CALDERON GUTIERREZ CALDERON DIANA MARCELA</t>
  </si>
  <si>
    <t>PALACIOS  LADERA WILLESTHER ALEJANDRO </t>
  </si>
  <si>
    <t>SALAMANCA  GOMEZ NATALIA </t>
  </si>
  <si>
    <t>Q125 - Bello - Cc Plaza Fabricato</t>
  </si>
  <si>
    <t>RUIZ SANTOS MARLON</t>
  </si>
  <si>
    <t>ROLDÁN ÚSUGA VALENTINA</t>
  </si>
  <si>
    <t>VANEGAS URIBE HILARY</t>
  </si>
  <si>
    <t>CARVAJAL GALEANO MARÍA  ELENA</t>
  </si>
  <si>
    <t>LEON  LEON PEDRO LUIS </t>
  </si>
  <si>
    <t>Q126 - Ipiales - Centro</t>
  </si>
  <si>
    <t>ARDILA SANDOVAL JOIMAR JOSE</t>
  </si>
  <si>
    <t>GUAMANZAR CASTRO YESICA ESTEFANA</t>
  </si>
  <si>
    <t>GUANCHA CHAPID IVAN DARIO</t>
  </si>
  <si>
    <t>Q127- Sabaneta CC Mayorca</t>
  </si>
  <si>
    <t>LOAIZA BOLIVAR SARY LUNA</t>
  </si>
  <si>
    <t>QUINTERO QUIRAMA MELISSA</t>
  </si>
  <si>
    <t>TRUJILLO CALLE JULIANA</t>
  </si>
  <si>
    <t>Q128- Barranquilla cc parque alegra</t>
  </si>
  <si>
    <t>CASTRO GALINDO BERLIS JOHANA</t>
  </si>
  <si>
    <t>OSPINO REDONDO LUIS MANUEL</t>
  </si>
  <si>
    <t>Q129-Bogota-cc plaza de las americas</t>
  </si>
  <si>
    <t>ORTIZ MARTÍNEZ NICOLE  JOHANNA</t>
  </si>
  <si>
    <t>PADILLA AVILA KEVIN  ALEJANDO</t>
  </si>
  <si>
    <t>Q131-Cucuta-CC Jardin Plaza</t>
  </si>
  <si>
    <t>Q133-Popayan-Cc Terra Plaza</t>
  </si>
  <si>
    <t>Q135 - Pasto - Centro</t>
  </si>
  <si>
    <t>MONCAYO ERAZO CHELSIN NICOLE</t>
  </si>
  <si>
    <t>Q136 Yopal-Centro</t>
  </si>
  <si>
    <t>GUTIERREZ PAEZ MAURICIO</t>
  </si>
  <si>
    <t>TIGREROS CAMPO YURANI ANDREA</t>
  </si>
  <si>
    <t>ABRIL VARGAS JIMMY ESTEBAN</t>
  </si>
  <si>
    <t>SALAS GRANADOS CARLOS ALBERTO</t>
  </si>
  <si>
    <t>Q138 Manizales - CC Fundadores</t>
  </si>
  <si>
    <t>BALLESTEROS VALDERRAMA CRISTIAN CAMILO</t>
  </si>
  <si>
    <t>AVILEZ ROMERO LUIS CARLOS</t>
  </si>
  <si>
    <t>SANCHEZ TANGARIFE PAULA ANDREA</t>
  </si>
  <si>
    <t>CAMPO MORENO MAIRA  ALEJANDRA</t>
  </si>
  <si>
    <t>LOPEZ GIRALDO PAOLA</t>
  </si>
  <si>
    <t>Q139 Armenia - Centro 2</t>
  </si>
  <si>
    <t>Q140 Cartagena - CC Mall Plaza</t>
  </si>
  <si>
    <t>ESTUPIÑAN SOLIS  PAOLA KARINA</t>
  </si>
  <si>
    <t>Q143 Sabaneta - CC Mayorca Etapa 1</t>
  </si>
  <si>
    <t>RODRIGUEZ CARDILES NATALIA ISABEL</t>
  </si>
  <si>
    <t>Q144 Popayan - Centro 2</t>
  </si>
  <si>
    <t>Q145 Neiva - CC Unicentro</t>
  </si>
  <si>
    <t>VARGAS MONTEALEGRE CRISTIAN  FELIPE</t>
  </si>
  <si>
    <t>NINCO COLLAZOS NATHALIA</t>
  </si>
  <si>
    <t>Q146 Palmira - Centro 2</t>
  </si>
  <si>
    <t>Q147 Cali - Cali Mall Plaza</t>
  </si>
  <si>
    <t>LARGO BAÑOL YILBER DANILO</t>
  </si>
  <si>
    <t>Q148 Medellín - Carabobo Centro</t>
  </si>
  <si>
    <t>GARCIA  RODRIGUEZ JAIME ADRIAN </t>
  </si>
  <si>
    <t>FLOREZ ESCUDERO REINA MILEIDY</t>
  </si>
  <si>
    <t>JULIO BUELVAS NESTOR  DAVID</t>
  </si>
  <si>
    <t>GIRALDO VALDERRAMA ANLLY LORENA</t>
  </si>
  <si>
    <t>CORDOBA VASCO JUAN SEBASTIAN</t>
  </si>
  <si>
    <t>GONZALEZ ECHAVARRIA LIZETH MARIANA</t>
  </si>
  <si>
    <t>Q149 Medellín - Centro</t>
  </si>
  <si>
    <t>ESPINOSA  PATIÑO MIGUEL ANGEL </t>
  </si>
  <si>
    <t>CORREA OSORIO  DURLEY ANDREA</t>
  </si>
  <si>
    <t>GARCÍA MONTOYA LUIS ALFREDO </t>
  </si>
  <si>
    <t>Q152 - Rionegro - Cc San nicolas</t>
  </si>
  <si>
    <t>SUAREZ  YANEZ GENESIS ANDREINA </t>
  </si>
  <si>
    <t>MEZA  ARRIETA MARTHA CRISTINA </t>
  </si>
  <si>
    <t>CASTAÑEDA ZEMANATE LICETH VALENTINA</t>
  </si>
  <si>
    <t>Q153 - Palmira - CC Llanogrande</t>
  </si>
  <si>
    <t>Q154 - Santa Marta - CC Buenavista</t>
  </si>
  <si>
    <t>FONTALVO ALMENDRALES ERIKA PATRICIA</t>
  </si>
  <si>
    <t>Q155 - Bogota - CC Outlet las Americas</t>
  </si>
  <si>
    <t>BECERRA IBARRA IVONNE  NATALIA</t>
  </si>
  <si>
    <t>BARROS RAMOS MANUEL  DAVID</t>
  </si>
  <si>
    <t>TIQUE VERA JEIMY DANIELA</t>
  </si>
  <si>
    <t>Q156 - Medellin - CC Santa Fe</t>
  </si>
  <si>
    <t>HIGUITA RESTREPO JOSELYN</t>
  </si>
  <si>
    <t>CALDERON  CADAVID NATALIA </t>
  </si>
  <si>
    <t>HERRERA   BEDOYA MARIA JOSE </t>
  </si>
  <si>
    <t>Q157 - Riohacha - CC Viva Wajira</t>
  </si>
  <si>
    <t>QUINTERO OBREDOR RORAIMA </t>
  </si>
  <si>
    <t>PELAEZ BOHORQUEZ LUZ STELLA</t>
  </si>
  <si>
    <t>BRAVO OROZCO DAYANA PAOLA</t>
  </si>
  <si>
    <t>fecha</t>
  </si>
  <si>
    <t>Etiquetas de fila</t>
  </si>
  <si>
    <t>Total general</t>
  </si>
  <si>
    <t>Suma de Ppto Valor subtotal</t>
  </si>
  <si>
    <t>Suma de Valor subtotal</t>
  </si>
  <si>
    <t>Zona</t>
  </si>
  <si>
    <t xml:space="preserve"> Zona Costa</t>
  </si>
  <si>
    <t xml:space="preserve"> Zona Valle Centro </t>
  </si>
  <si>
    <t xml:space="preserve"> Zona Valle Sur Y Cauca </t>
  </si>
  <si>
    <t>Zona Antioquia 2</t>
  </si>
  <si>
    <t xml:space="preserve">Zona Antioquia Y Casanare </t>
  </si>
  <si>
    <t xml:space="preserve">Zona Cali </t>
  </si>
  <si>
    <t>Zona Centro</t>
  </si>
  <si>
    <t>Zona Eje Cafetero</t>
  </si>
  <si>
    <t>Zona Nariño</t>
  </si>
  <si>
    <t>Zona Santanderes Y Cesar</t>
  </si>
  <si>
    <t>Zona Tolhuca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</si>
</sst>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3">
    <dxf>
      <numFmt numFmtId="3" formatCode="#,##0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Hortua" refreshedDate="46316.47119074074" createdVersion="8" refreshedVersion="8" minRefreshableVersion="3" recordCount="11570" xr:uid="{078CA496-494C-4F03-A6C8-2E667F4B79B6}">
  <cacheSource type="worksheet">
    <worksheetSource name="Tabla1"/>
  </cacheSource>
  <cacheFields count="11">
    <cacheField name="Desc. U.N." numFmtId="0">
      <sharedItems/>
    </cacheField>
    <cacheField name="Desc. C.O." numFmtId="0">
      <sharedItems/>
    </cacheField>
    <cacheField name="Zona" numFmtId="0">
      <sharedItems count="11">
        <s v=" Zona Costa"/>
        <s v=" Zona Valle Centro "/>
        <s v=" Zona Valle Sur Y Cauca "/>
        <s v="Zona Antioquia 2"/>
        <s v="Zona Antioquia Y Casanare "/>
        <s v="Zona Cali "/>
        <s v="Zona Centro"/>
        <s v="Zona Eje Cafetero"/>
        <s v="Zona Nariño"/>
        <s v="Zona Santanderes Y Cesar"/>
        <s v="Zona Tolhuca"/>
      </sharedItems>
    </cacheField>
    <cacheField name="Mes de Fecha" numFmtId="0">
      <sharedItems/>
    </cacheField>
    <cacheField name="Día de Fecha" numFmtId="0">
      <sharedItems containsSemiMixedTypes="0" containsString="0" containsNumber="1" containsInteger="1" minValue="1" maxValue="30"/>
    </cacheField>
    <cacheField name="fecha" numFmtId="14">
      <sharedItems containsSemiMixedTypes="0" containsNonDate="0" containsDate="1" containsString="0" minDate="2026-09-23T00:00:00" maxDate="2026-10-08T00:00:00"/>
    </cacheField>
    <cacheField name="Vendedor" numFmtId="0">
      <sharedItems containsBlank="1" containsMixedTypes="1" containsNumber="1" containsInteger="1" minValue="1408011" maxValue="11167925556"/>
    </cacheField>
    <cacheField name="Nombre vendedor" numFmtId="0">
      <sharedItems containsBlank="1"/>
    </cacheField>
    <cacheField name="Cantidad inv." numFmtId="0">
      <sharedItems containsSemiMixedTypes="0" containsString="0" containsNumber="1" containsInteger="1" minValue="-8" maxValue="763"/>
    </cacheField>
    <cacheField name="Ppto Valor subtotal" numFmtId="0">
      <sharedItems containsSemiMixedTypes="0" containsString="0" containsNumber="1" containsInteger="1" minValue="0" maxValue="73899619"/>
    </cacheField>
    <cacheField name="Valor subtotal" numFmtId="0">
      <sharedItems containsSemiMixedTypes="0" containsString="0" containsNumber="1" containsInteger="1" minValue="-466009" maxValue="1986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70">
  <r>
    <s v="Franquicias Sell Out QUEST"/>
    <s v="FQ077 - Cereté - Córdoba"/>
    <x v="0"/>
    <s v="septiembre"/>
    <n v="23"/>
    <d v="2026-09-23T00:00:00"/>
    <m/>
    <m/>
    <n v="0"/>
    <n v="1862320"/>
    <n v="0"/>
  </r>
  <r>
    <s v="Franquicias Sell Out QUEST"/>
    <s v="FQ077 - Cereté - Córdoba"/>
    <x v="0"/>
    <s v="septiembre"/>
    <n v="23"/>
    <d v="2026-09-23T00:00:00"/>
    <n v="1065000247"/>
    <s v="DIAZ VELASQUEZ ANDREA CRISTINA"/>
    <n v="23"/>
    <n v="0"/>
    <n v="1280547"/>
  </r>
  <r>
    <s v="Franquicias Sell Out QUEST"/>
    <s v="FQ077 - Cereté - Córdoba"/>
    <x v="0"/>
    <s v="septiembre"/>
    <n v="23"/>
    <d v="2026-09-23T00:00:00"/>
    <n v="1193105936"/>
    <s v="GONZALEZ VARGAS MELISSA ISABEL"/>
    <n v="10"/>
    <n v="0"/>
    <n v="482776"/>
  </r>
  <r>
    <s v="Franquicias Sell Out QUEST"/>
    <s v="FQ077 - Cereté - Córdoba"/>
    <x v="0"/>
    <s v="septiembre"/>
    <n v="24"/>
    <d v="2026-09-24T00:00:00"/>
    <m/>
    <m/>
    <n v="0"/>
    <n v="4816322"/>
    <n v="0"/>
  </r>
  <r>
    <s v="Franquicias Sell Out QUEST"/>
    <s v="FQ077 - Cereté - Córdoba"/>
    <x v="0"/>
    <s v="septiembre"/>
    <n v="24"/>
    <d v="2026-09-24T00:00:00"/>
    <n v="1062955457"/>
    <s v="ECHEVERRIA SANDOVAL RAUL ALBERTO"/>
    <n v="39"/>
    <n v="0"/>
    <n v="2132817"/>
  </r>
  <r>
    <s v="Franquicias Sell Out QUEST"/>
    <s v="FQ077 - Cereté - Córdoba"/>
    <x v="0"/>
    <s v="septiembre"/>
    <n v="24"/>
    <d v="2026-09-24T00:00:00"/>
    <n v="1065000247"/>
    <s v="DIAZ VELASQUEZ ANDREA CRISTINA"/>
    <n v="0"/>
    <n v="0"/>
    <n v="0"/>
  </r>
  <r>
    <s v="Franquicias Sell Out QUEST"/>
    <s v="FQ077 - Cereté - Córdoba"/>
    <x v="0"/>
    <s v="septiembre"/>
    <n v="24"/>
    <d v="2026-09-24T00:00:00"/>
    <n v="1193105936"/>
    <s v="GONZALEZ VARGAS MELISSA ISABEL"/>
    <n v="28"/>
    <n v="0"/>
    <n v="1339162"/>
  </r>
  <r>
    <s v="Franquicias Sell Out QUEST"/>
    <s v="FQ077 - Cereté - Córdoba"/>
    <x v="0"/>
    <s v="septiembre"/>
    <n v="25"/>
    <d v="2026-09-25T00:00:00"/>
    <m/>
    <m/>
    <n v="0"/>
    <n v="5144094"/>
    <n v="0"/>
  </r>
  <r>
    <s v="Franquicias Sell Out QUEST"/>
    <s v="FQ077 - Cereté - Córdoba"/>
    <x v="0"/>
    <s v="septiembre"/>
    <n v="25"/>
    <d v="2026-09-25T00:00:00"/>
    <n v="1062955457"/>
    <s v="ECHEVERRIA SANDOVAL RAUL ALBERTO"/>
    <n v="33"/>
    <n v="0"/>
    <n v="1809541"/>
  </r>
  <r>
    <s v="Franquicias Sell Out QUEST"/>
    <s v="FQ077 - Cereté - Córdoba"/>
    <x v="0"/>
    <s v="septiembre"/>
    <n v="25"/>
    <d v="2026-09-25T00:00:00"/>
    <n v="1065000247"/>
    <s v="DIAZ VELASQUEZ ANDREA CRISTINA"/>
    <n v="43"/>
    <n v="0"/>
    <n v="2309118"/>
  </r>
  <r>
    <s v="Franquicias Sell Out QUEST"/>
    <s v="FQ077 - Cereté - Córdoba"/>
    <x v="0"/>
    <s v="septiembre"/>
    <n v="25"/>
    <d v="2026-09-25T00:00:00"/>
    <n v="1193105936"/>
    <s v="GONZALEZ VARGAS MELISSA ISABEL"/>
    <n v="29"/>
    <n v="0"/>
    <n v="1519794"/>
  </r>
  <r>
    <s v="Franquicias Sell Out QUEST"/>
    <s v="FQ077 - Cereté - Córdoba"/>
    <x v="0"/>
    <s v="septiembre"/>
    <n v="26"/>
    <d v="2026-09-26T00:00:00"/>
    <m/>
    <m/>
    <n v="0"/>
    <n v="6486571"/>
    <n v="0"/>
  </r>
  <r>
    <s v="Franquicias Sell Out QUEST"/>
    <s v="FQ077 - Cereté - Córdoba"/>
    <x v="0"/>
    <s v="septiembre"/>
    <n v="26"/>
    <d v="2026-09-26T00:00:00"/>
    <n v="68295017"/>
    <s v="LOPEZ RODRIGUEZ LIZETH KARINA"/>
    <n v="36"/>
    <n v="0"/>
    <n v="1922861"/>
  </r>
  <r>
    <s v="Franquicias Sell Out QUEST"/>
    <s v="FQ077 - Cereté - Córdoba"/>
    <x v="0"/>
    <s v="septiembre"/>
    <n v="26"/>
    <d v="2026-09-26T00:00:00"/>
    <n v="1062955457"/>
    <s v="ECHEVERRIA SANDOVAL RAUL ALBERTO"/>
    <n v="2"/>
    <n v="0"/>
    <n v="109160"/>
  </r>
  <r>
    <s v="Franquicias Sell Out QUEST"/>
    <s v="FQ077 - Cereté - Córdoba"/>
    <x v="0"/>
    <s v="septiembre"/>
    <n v="26"/>
    <d v="2026-09-26T00:00:00"/>
    <n v="1065000247"/>
    <s v="DIAZ VELASQUEZ ANDREA CRISTINA"/>
    <n v="46"/>
    <n v="0"/>
    <n v="2403493"/>
  </r>
  <r>
    <s v="Franquicias Sell Out QUEST"/>
    <s v="FQ077 - Cereté - Córdoba"/>
    <x v="0"/>
    <s v="septiembre"/>
    <n v="26"/>
    <d v="2026-09-26T00:00:00"/>
    <n v="1193105936"/>
    <s v="GONZALEZ VARGAS MELISSA ISABEL"/>
    <n v="22"/>
    <n v="0"/>
    <n v="1301602"/>
  </r>
  <r>
    <s v="Franquicias Sell Out QUEST"/>
    <s v="FQ077 - Cereté - Córdoba"/>
    <x v="0"/>
    <s v="septiembre"/>
    <n v="27"/>
    <d v="2026-09-27T00:00:00"/>
    <m/>
    <m/>
    <n v="0"/>
    <n v="3424847"/>
    <n v="0"/>
  </r>
  <r>
    <s v="Franquicias Sell Out QUEST"/>
    <s v="FQ077 - Cereté - Córdoba"/>
    <x v="0"/>
    <s v="septiembre"/>
    <n v="27"/>
    <d v="2026-09-27T00:00:00"/>
    <n v="1062955457"/>
    <s v="ECHEVERRIA SANDOVAL RAUL ALBERTO"/>
    <n v="1"/>
    <n v="0"/>
    <n v="75588"/>
  </r>
  <r>
    <s v="Franquicias Sell Out QUEST"/>
    <s v="FQ077 - Cereté - Córdoba"/>
    <x v="0"/>
    <s v="septiembre"/>
    <n v="27"/>
    <d v="2026-09-27T00:00:00"/>
    <n v="1065000247"/>
    <s v="DIAZ VELASQUEZ ANDREA CRISTINA"/>
    <n v="8"/>
    <n v="0"/>
    <n v="457647"/>
  </r>
  <r>
    <s v="Franquicias Sell Out QUEST"/>
    <s v="FQ077 - Cereté - Córdoba"/>
    <x v="0"/>
    <s v="septiembre"/>
    <n v="27"/>
    <d v="2026-09-27T00:00:00"/>
    <n v="1193105936"/>
    <s v="GONZALEZ VARGAS MELISSA ISABEL"/>
    <n v="11"/>
    <n v="0"/>
    <n v="659202"/>
  </r>
  <r>
    <s v="Franquicias Sell Out QUEST"/>
    <s v="FQ077 - Cereté - Córdoba"/>
    <x v="0"/>
    <s v="septiembre"/>
    <n v="28"/>
    <d v="2026-09-28T00:00:00"/>
    <m/>
    <m/>
    <n v="0"/>
    <n v="2808004"/>
    <n v="0"/>
  </r>
  <r>
    <s v="Franquicias Sell Out QUEST"/>
    <s v="FQ077 - Cereté - Córdoba"/>
    <x v="0"/>
    <s v="septiembre"/>
    <n v="28"/>
    <d v="2026-09-28T00:00:00"/>
    <n v="68295017"/>
    <s v="LOPEZ RODRIGUEZ LIZETH KARINA"/>
    <n v="14"/>
    <n v="0"/>
    <n v="692650"/>
  </r>
  <r>
    <s v="Franquicias Sell Out QUEST"/>
    <s v="FQ077 - Cereté - Córdoba"/>
    <x v="0"/>
    <s v="septiembre"/>
    <n v="28"/>
    <d v="2026-09-28T00:00:00"/>
    <n v="1062955457"/>
    <s v="ECHEVERRIA SANDOVAL RAUL ALBERTO"/>
    <n v="0"/>
    <n v="0"/>
    <n v="0"/>
  </r>
  <r>
    <s v="Franquicias Sell Out QUEST"/>
    <s v="FQ077 - Cereté - Córdoba"/>
    <x v="0"/>
    <s v="septiembre"/>
    <n v="28"/>
    <d v="2026-09-28T00:00:00"/>
    <n v="1065000247"/>
    <s v="DIAZ VELASQUEZ ANDREA CRISTINA"/>
    <n v="24"/>
    <n v="0"/>
    <n v="1171261"/>
  </r>
  <r>
    <s v="Franquicias Sell Out QUEST"/>
    <s v="FQ077 - Cereté - Córdoba"/>
    <x v="0"/>
    <s v="septiembre"/>
    <n v="28"/>
    <d v="2026-09-28T00:00:00"/>
    <n v="1193105936"/>
    <s v="GONZALEZ VARGAS MELISSA ISABEL"/>
    <n v="10"/>
    <n v="0"/>
    <n v="436557"/>
  </r>
  <r>
    <s v="Franquicias Sell Out QUEST"/>
    <s v="FQ077 - Cereté - Córdoba"/>
    <x v="0"/>
    <s v="septiembre"/>
    <n v="29"/>
    <d v="2026-09-29T00:00:00"/>
    <m/>
    <m/>
    <n v="0"/>
    <n v="3121668"/>
    <n v="0"/>
  </r>
  <r>
    <s v="Franquicias Sell Out QUEST"/>
    <s v="FQ077 - Cereté - Córdoba"/>
    <x v="0"/>
    <s v="septiembre"/>
    <n v="29"/>
    <d v="2026-09-29T00:00:00"/>
    <n v="68295017"/>
    <s v="LOPEZ RODRIGUEZ LIZETH KARINA"/>
    <n v="18"/>
    <n v="0"/>
    <n v="894077"/>
  </r>
  <r>
    <s v="Franquicias Sell Out QUEST"/>
    <s v="FQ077 - Cereté - Córdoba"/>
    <x v="0"/>
    <s v="septiembre"/>
    <n v="29"/>
    <d v="2026-09-29T00:00:00"/>
    <n v="1062955457"/>
    <s v="ECHEVERRIA SANDOVAL RAUL ALBERTO"/>
    <n v="0"/>
    <n v="0"/>
    <n v="0"/>
  </r>
  <r>
    <s v="Franquicias Sell Out QUEST"/>
    <s v="FQ077 - Cereté - Córdoba"/>
    <x v="0"/>
    <s v="septiembre"/>
    <n v="29"/>
    <d v="2026-09-29T00:00:00"/>
    <n v="1065000247"/>
    <s v="DIAZ VELASQUEZ ANDREA CRISTINA"/>
    <n v="1"/>
    <n v="0"/>
    <n v="113403"/>
  </r>
  <r>
    <s v="Franquicias Sell Out QUEST"/>
    <s v="FQ077 - Cereté - Córdoba"/>
    <x v="0"/>
    <s v="septiembre"/>
    <n v="29"/>
    <d v="2026-09-29T00:00:00"/>
    <n v="1193105936"/>
    <s v="GONZALEZ VARGAS MELISSA ISABEL"/>
    <n v="11"/>
    <n v="0"/>
    <n v="509959"/>
  </r>
  <r>
    <s v="Franquicias Sell Out QUEST"/>
    <s v="FQ077 - Cereté - Córdoba"/>
    <x v="0"/>
    <s v="septiembre"/>
    <n v="30"/>
    <d v="2026-09-30T00:00:00"/>
    <m/>
    <m/>
    <n v="0"/>
    <n v="3305946"/>
    <n v="0"/>
  </r>
  <r>
    <s v="Franquicias Sell Out QUEST"/>
    <s v="FQ077 - Cereté - Córdoba"/>
    <x v="0"/>
    <s v="septiembre"/>
    <n v="30"/>
    <d v="2026-09-30T00:00:00"/>
    <n v="68295017"/>
    <s v="LOPEZ RODRIGUEZ LIZETH KARINA"/>
    <n v="29"/>
    <n v="0"/>
    <n v="1578489"/>
  </r>
  <r>
    <s v="Franquicias Sell Out QUEST"/>
    <s v="FQ077 - Cereté - Córdoba"/>
    <x v="0"/>
    <s v="septiembre"/>
    <n v="30"/>
    <d v="2026-09-30T00:00:00"/>
    <n v="1065000247"/>
    <s v="DIAZ VELASQUEZ ANDREA CRISTINA"/>
    <n v="29"/>
    <n v="0"/>
    <n v="1578615"/>
  </r>
  <r>
    <s v="Franquicias Sell Out QUEST"/>
    <s v="FQ077 - Cereté - Córdoba"/>
    <x v="0"/>
    <s v="septiembre"/>
    <n v="30"/>
    <d v="2026-09-30T00:00:00"/>
    <n v="1193105936"/>
    <s v="GONZALEZ VARGAS MELISSA ISABEL"/>
    <n v="24"/>
    <n v="0"/>
    <n v="1322481"/>
  </r>
  <r>
    <s v="Franquicias Sell Out QUEST"/>
    <s v="FQ077 - Cereté - Córdoba"/>
    <x v="0"/>
    <s v="octubre"/>
    <n v="1"/>
    <d v="2026-10-01T00:00:00"/>
    <m/>
    <m/>
    <n v="0"/>
    <n v="4702340"/>
    <n v="0"/>
  </r>
  <r>
    <s v="Franquicias Sell Out QUEST"/>
    <s v="FQ077 - Cereté - Córdoba"/>
    <x v="0"/>
    <s v="octubre"/>
    <n v="1"/>
    <d v="2026-10-01T00:00:00"/>
    <n v="68295017"/>
    <s v="LOPEZ RODRIGUEZ LIZETH KARINA"/>
    <n v="37"/>
    <n v="0"/>
    <n v="2122271"/>
  </r>
  <r>
    <s v="Franquicias Sell Out QUEST"/>
    <s v="FQ077 - Cereté - Córdoba"/>
    <x v="0"/>
    <s v="octubre"/>
    <n v="1"/>
    <d v="2026-10-01T00:00:00"/>
    <n v="1065000247"/>
    <s v="DIAZ VELASQUEZ ANDREA CRISTINA"/>
    <n v="1"/>
    <n v="0"/>
    <n v="41975"/>
  </r>
  <r>
    <s v="Franquicias Sell Out QUEST"/>
    <s v="FQ077 - Cereté - Córdoba"/>
    <x v="0"/>
    <s v="octubre"/>
    <n v="1"/>
    <d v="2026-10-01T00:00:00"/>
    <n v="1193105936"/>
    <s v="GONZALEZ VARGAS MELISSA ISABEL"/>
    <n v="22"/>
    <n v="0"/>
    <n v="1318363"/>
  </r>
  <r>
    <s v="Franquicias Sell Out QUEST"/>
    <s v="FQ077 - Cereté - Córdoba"/>
    <x v="0"/>
    <s v="octubre"/>
    <n v="2"/>
    <d v="2026-10-02T00:00:00"/>
    <m/>
    <m/>
    <n v="0"/>
    <n v="8214804"/>
    <n v="0"/>
  </r>
  <r>
    <s v="Franquicias Sell Out QUEST"/>
    <s v="FQ077 - Cereté - Córdoba"/>
    <x v="0"/>
    <s v="octubre"/>
    <n v="2"/>
    <d v="2026-10-02T00:00:00"/>
    <n v="68295017"/>
    <s v="LOPEZ RODRIGUEZ LIZETH KARINA"/>
    <n v="21"/>
    <n v="0"/>
    <n v="1087313"/>
  </r>
  <r>
    <s v="Franquicias Sell Out QUEST"/>
    <s v="FQ077 - Cereté - Córdoba"/>
    <x v="0"/>
    <s v="octubre"/>
    <n v="2"/>
    <d v="2026-10-02T00:00:00"/>
    <n v="1065000247"/>
    <s v="DIAZ VELASQUEZ ANDREA CRISTINA"/>
    <n v="28"/>
    <n v="0"/>
    <n v="1498782"/>
  </r>
  <r>
    <s v="Franquicias Sell Out QUEST"/>
    <s v="FQ077 - Cereté - Córdoba"/>
    <x v="0"/>
    <s v="octubre"/>
    <n v="2"/>
    <d v="2026-10-02T00:00:00"/>
    <n v="1193105936"/>
    <s v="GONZALEZ VARGAS MELISSA ISABEL"/>
    <n v="18"/>
    <n v="0"/>
    <n v="1011852"/>
  </r>
  <r>
    <s v="Franquicias Sell Out QUEST"/>
    <s v="FQ077 - Cereté - Córdoba"/>
    <x v="0"/>
    <s v="octubre"/>
    <n v="3"/>
    <d v="2026-10-03T00:00:00"/>
    <m/>
    <m/>
    <n v="0"/>
    <n v="6485203"/>
    <n v="0"/>
  </r>
  <r>
    <s v="Franquicias Sell Out QUEST"/>
    <s v="FQ077 - Cereté - Córdoba"/>
    <x v="0"/>
    <s v="octubre"/>
    <n v="3"/>
    <d v="2026-10-03T00:00:00"/>
    <n v="68295017"/>
    <s v="LOPEZ RODRIGUEZ LIZETH KARINA"/>
    <n v="20"/>
    <n v="0"/>
    <n v="978178"/>
  </r>
  <r>
    <s v="Franquicias Sell Out QUEST"/>
    <s v="FQ077 - Cereté - Córdoba"/>
    <x v="0"/>
    <s v="octubre"/>
    <n v="3"/>
    <d v="2026-10-03T00:00:00"/>
    <n v="1065000247"/>
    <s v="DIAZ VELASQUEZ ANDREA CRISTINA"/>
    <n v="47"/>
    <n v="0"/>
    <n v="2446861"/>
  </r>
  <r>
    <s v="Franquicias Sell Out QUEST"/>
    <s v="FQ077 - Cereté - Córdoba"/>
    <x v="0"/>
    <s v="octubre"/>
    <n v="3"/>
    <d v="2026-10-03T00:00:00"/>
    <n v="1193105936"/>
    <s v="GONZALEZ VARGAS MELISSA ISABEL"/>
    <n v="15"/>
    <n v="0"/>
    <n v="806130"/>
  </r>
  <r>
    <s v="Franquicias Sell Out QUEST"/>
    <s v="FQ077 - Cereté - Córdoba"/>
    <x v="0"/>
    <s v="octubre"/>
    <n v="4"/>
    <d v="2026-10-04T00:00:00"/>
    <m/>
    <m/>
    <n v="0"/>
    <n v="1992147"/>
    <n v="0"/>
  </r>
  <r>
    <s v="Franquicias Sell Out QUEST"/>
    <s v="FQ077 - Cereté - Córdoba"/>
    <x v="0"/>
    <s v="octubre"/>
    <n v="4"/>
    <d v="2026-10-04T00:00:00"/>
    <n v="68295017"/>
    <s v="LOPEZ RODRIGUEZ LIZETH KARINA"/>
    <n v="25"/>
    <n v="0"/>
    <n v="1717438"/>
  </r>
  <r>
    <s v="Franquicias Sell Out QUEST"/>
    <s v="FQ077 - Cereté - Córdoba"/>
    <x v="0"/>
    <s v="octubre"/>
    <n v="4"/>
    <d v="2026-10-04T00:00:00"/>
    <n v="1065000247"/>
    <s v="DIAZ VELASQUEZ ANDREA CRISTINA"/>
    <n v="26"/>
    <n v="0"/>
    <n v="1536725"/>
  </r>
  <r>
    <s v="Franquicias Sell Out QUEST"/>
    <s v="FQ077 - Cereté - Córdoba"/>
    <x v="0"/>
    <s v="octubre"/>
    <n v="5"/>
    <d v="2026-10-05T00:00:00"/>
    <m/>
    <m/>
    <n v="0"/>
    <n v="8791604"/>
    <n v="0"/>
  </r>
  <r>
    <s v="Franquicias Sell Out QUEST"/>
    <s v="FQ077 - Cereté - Córdoba"/>
    <x v="0"/>
    <s v="octubre"/>
    <n v="5"/>
    <d v="2026-10-05T00:00:00"/>
    <n v="68295017"/>
    <s v="LOPEZ RODRIGUEZ LIZETH KARINA"/>
    <n v="18"/>
    <n v="0"/>
    <n v="984540"/>
  </r>
  <r>
    <s v="Franquicias Sell Out QUEST"/>
    <s v="FQ077 - Cereté - Córdoba"/>
    <x v="0"/>
    <s v="octubre"/>
    <n v="5"/>
    <d v="2026-10-05T00:00:00"/>
    <n v="1065000247"/>
    <s v="DIAZ VELASQUEZ ANDREA CRISTINA"/>
    <n v="30"/>
    <n v="0"/>
    <n v="1818027"/>
  </r>
  <r>
    <s v="Franquicias Sell Out QUEST"/>
    <s v="FQ077 - Cereté - Córdoba"/>
    <x v="0"/>
    <s v="octubre"/>
    <n v="5"/>
    <d v="2026-10-05T00:00:00"/>
    <n v="1193105936"/>
    <s v="GONZALEZ VARGAS MELISSA ISABEL"/>
    <n v="12"/>
    <n v="0"/>
    <n v="535129"/>
  </r>
  <r>
    <s v="Franquicias Sell Out QUEST"/>
    <s v="FQ077 - Cereté - Córdoba"/>
    <x v="0"/>
    <s v="octubre"/>
    <n v="6"/>
    <d v="2026-10-06T00:00:00"/>
    <m/>
    <m/>
    <n v="0"/>
    <n v="1950529"/>
    <n v="0"/>
  </r>
  <r>
    <s v="Franquicias Sell Out QUEST"/>
    <s v="FQ077 - Cereté - Córdoba"/>
    <x v="0"/>
    <s v="octubre"/>
    <n v="6"/>
    <d v="2026-10-06T00:00:00"/>
    <n v="68295017"/>
    <s v="LOPEZ RODRIGUEZ LIZETH KARINA"/>
    <n v="38"/>
    <n v="0"/>
    <n v="2137017"/>
  </r>
  <r>
    <s v="Franquicias Sell Out QUEST"/>
    <s v="FQ077 - Cereté - Córdoba"/>
    <x v="0"/>
    <s v="octubre"/>
    <n v="6"/>
    <d v="2026-10-06T00:00:00"/>
    <n v="1065000247"/>
    <s v="DIAZ VELASQUEZ ANDREA CRISTINA"/>
    <n v="0"/>
    <n v="0"/>
    <n v="4201"/>
  </r>
  <r>
    <s v="Franquicias Sell Out QUEST"/>
    <s v="FQ077 - Cereté - Córdoba"/>
    <x v="0"/>
    <s v="octubre"/>
    <n v="6"/>
    <d v="2026-10-06T00:00:00"/>
    <n v="1193105936"/>
    <s v="GONZALEZ VARGAS MELISSA ISABEL"/>
    <n v="36"/>
    <n v="0"/>
    <n v="1857691"/>
  </r>
  <r>
    <s v="Franquicias Sell Out QUEST"/>
    <s v="FQ077 - Cereté - Córdoba"/>
    <x v="0"/>
    <s v="octubre"/>
    <n v="7"/>
    <d v="2026-10-07T00:00:00"/>
    <m/>
    <m/>
    <n v="0"/>
    <n v="699915"/>
    <n v="0"/>
  </r>
  <r>
    <s v="Franquicias Sell Out QUEST"/>
    <s v="FQ077 - Cereté - Córdoba"/>
    <x v="0"/>
    <s v="octubre"/>
    <n v="7"/>
    <d v="2026-10-07T00:00:00"/>
    <n v="68295017"/>
    <s v="LOPEZ RODRIGUEZ LIZETH KARINA"/>
    <n v="22"/>
    <n v="0"/>
    <n v="1309874"/>
  </r>
  <r>
    <s v="Franquicias Sell Out QUEST"/>
    <s v="FQ077 - Cereté - Córdoba"/>
    <x v="0"/>
    <s v="octubre"/>
    <n v="7"/>
    <d v="2026-10-07T00:00:00"/>
    <n v="1065000247"/>
    <s v="DIAZ VELASQUEZ ANDREA CRISTINA"/>
    <n v="17"/>
    <n v="0"/>
    <n v="719874"/>
  </r>
  <r>
    <s v="Franquicias Sell Out QUEST"/>
    <s v="FQ077 - Cereté - Córdoba"/>
    <x v="0"/>
    <s v="octubre"/>
    <n v="7"/>
    <d v="2026-10-07T00:00:00"/>
    <n v="1193105936"/>
    <s v="GONZALEZ VARGAS MELISSA ISABEL"/>
    <n v="21"/>
    <n v="0"/>
    <n v="912984"/>
  </r>
  <r>
    <s v="Franquicias Sell Out QUEST"/>
    <s v="FQ081 - Santo Tomas - CC Poblado Plaza"/>
    <x v="0"/>
    <s v="septiembre"/>
    <n v="23"/>
    <d v="2026-09-23T00:00:00"/>
    <m/>
    <m/>
    <n v="0"/>
    <n v="2615363"/>
    <n v="0"/>
  </r>
  <r>
    <s v="Franquicias Sell Out QUEST"/>
    <s v="FQ081 - Santo Tomas - CC Poblado Plaza"/>
    <x v="0"/>
    <s v="septiembre"/>
    <n v="23"/>
    <d v="2026-09-23T00:00:00"/>
    <n v="1007133770"/>
    <s v="SUÁREZ MALDONADO  KELLY"/>
    <n v="16"/>
    <n v="0"/>
    <n v="1112773"/>
  </r>
  <r>
    <s v="Franquicias Sell Out QUEST"/>
    <s v="FQ081 - Santo Tomas - CC Poblado Plaza"/>
    <x v="0"/>
    <s v="septiembre"/>
    <n v="23"/>
    <d v="2026-09-23T00:00:00"/>
    <n v="1047360979"/>
    <s v="ALZATE  MARÍA TERESA"/>
    <n v="31"/>
    <n v="0"/>
    <n v="1696178"/>
  </r>
  <r>
    <s v="Franquicias Sell Out QUEST"/>
    <s v="FQ081 - Santo Tomas - CC Poblado Plaza"/>
    <x v="0"/>
    <s v="septiembre"/>
    <n v="24"/>
    <d v="2026-09-24T00:00:00"/>
    <m/>
    <m/>
    <n v="0"/>
    <n v="6763837"/>
    <n v="0"/>
  </r>
  <r>
    <s v="Franquicias Sell Out QUEST"/>
    <s v="FQ081 - Santo Tomas - CC Poblado Plaza"/>
    <x v="0"/>
    <s v="septiembre"/>
    <n v="24"/>
    <d v="2026-09-24T00:00:00"/>
    <n v="1007133770"/>
    <s v="SUÁREZ MALDONADO  KELLY"/>
    <n v="11"/>
    <n v="0"/>
    <n v="461724"/>
  </r>
  <r>
    <s v="Franquicias Sell Out QUEST"/>
    <s v="FQ081 - Santo Tomas - CC Poblado Plaza"/>
    <x v="0"/>
    <s v="septiembre"/>
    <n v="24"/>
    <d v="2026-09-24T00:00:00"/>
    <n v="1047360979"/>
    <s v="ALZATE  MARÍA TERESA"/>
    <n v="115"/>
    <n v="0"/>
    <n v="6245175"/>
  </r>
  <r>
    <s v="Franquicias Sell Out QUEST"/>
    <s v="FQ081 - Santo Tomas - CC Poblado Plaza"/>
    <x v="0"/>
    <s v="septiembre"/>
    <n v="25"/>
    <d v="2026-09-25T00:00:00"/>
    <m/>
    <m/>
    <n v="0"/>
    <n v="7224147"/>
    <n v="0"/>
  </r>
  <r>
    <s v="Franquicias Sell Out QUEST"/>
    <s v="FQ081 - Santo Tomas - CC Poblado Plaza"/>
    <x v="0"/>
    <s v="septiembre"/>
    <n v="25"/>
    <d v="2026-09-25T00:00:00"/>
    <n v="1047360979"/>
    <s v="ALZATE  MARÍA TERESA"/>
    <n v="126"/>
    <n v="0"/>
    <n v="6408581"/>
  </r>
  <r>
    <s v="Franquicias Sell Out QUEST"/>
    <s v="FQ081 - Santo Tomas - CC Poblado Plaza"/>
    <x v="0"/>
    <s v="septiembre"/>
    <n v="26"/>
    <d v="2026-09-26T00:00:00"/>
    <m/>
    <m/>
    <n v="0"/>
    <n v="9109467"/>
    <n v="0"/>
  </r>
  <r>
    <s v="Franquicias Sell Out QUEST"/>
    <s v="FQ081 - Santo Tomas - CC Poblado Plaza"/>
    <x v="0"/>
    <s v="septiembre"/>
    <n v="26"/>
    <d v="2026-09-26T00:00:00"/>
    <n v="1007133770"/>
    <s v="SUÁREZ MALDONADO  KELLY"/>
    <n v="28"/>
    <n v="0"/>
    <n v="843824"/>
  </r>
  <r>
    <s v="Franquicias Sell Out QUEST"/>
    <s v="FQ081 - Santo Tomas - CC Poblado Plaza"/>
    <x v="0"/>
    <s v="septiembre"/>
    <n v="26"/>
    <d v="2026-09-26T00:00:00"/>
    <n v="1047360979"/>
    <s v="ALZATE  MARÍA TERESA"/>
    <n v="64"/>
    <n v="0"/>
    <n v="3066436"/>
  </r>
  <r>
    <s v="Franquicias Sell Out QUEST"/>
    <s v="FQ081 - Santo Tomas - CC Poblado Plaza"/>
    <x v="0"/>
    <s v="septiembre"/>
    <n v="27"/>
    <d v="2026-09-27T00:00:00"/>
    <m/>
    <m/>
    <n v="0"/>
    <n v="4809713"/>
    <n v="0"/>
  </r>
  <r>
    <s v="Franquicias Sell Out QUEST"/>
    <s v="FQ081 - Santo Tomas - CC Poblado Plaza"/>
    <x v="0"/>
    <s v="septiembre"/>
    <n v="27"/>
    <d v="2026-09-27T00:00:00"/>
    <n v="1047360979"/>
    <s v="ALZATE  MARÍA TERESA"/>
    <n v="116"/>
    <n v="0"/>
    <n v="6230221"/>
  </r>
  <r>
    <s v="Franquicias Sell Out QUEST"/>
    <s v="FQ081 - Santo Tomas - CC Poblado Plaza"/>
    <x v="0"/>
    <s v="septiembre"/>
    <n v="28"/>
    <d v="2026-09-28T00:00:00"/>
    <m/>
    <m/>
    <n v="0"/>
    <n v="3943442"/>
    <n v="0"/>
  </r>
  <r>
    <s v="Franquicias Sell Out QUEST"/>
    <s v="FQ081 - Santo Tomas - CC Poblado Plaza"/>
    <x v="0"/>
    <s v="septiembre"/>
    <n v="28"/>
    <d v="2026-09-28T00:00:00"/>
    <n v="1047360979"/>
    <s v="ALZATE  MARÍA TERESA"/>
    <n v="52"/>
    <n v="0"/>
    <n v="2680383"/>
  </r>
  <r>
    <s v="Franquicias Sell Out QUEST"/>
    <s v="FQ081 - Santo Tomas - CC Poblado Plaza"/>
    <x v="0"/>
    <s v="septiembre"/>
    <n v="29"/>
    <d v="2026-09-29T00:00:00"/>
    <m/>
    <m/>
    <n v="0"/>
    <n v="4383941"/>
    <n v="0"/>
  </r>
  <r>
    <s v="Franquicias Sell Out QUEST"/>
    <s v="FQ081 - Santo Tomas - CC Poblado Plaza"/>
    <x v="0"/>
    <s v="septiembre"/>
    <n v="29"/>
    <d v="2026-09-29T00:00:00"/>
    <n v="1007133770"/>
    <s v="SUÁREZ MALDONADO  KELLY"/>
    <n v="8"/>
    <n v="0"/>
    <n v="440841"/>
  </r>
  <r>
    <s v="Franquicias Sell Out QUEST"/>
    <s v="FQ081 - Santo Tomas - CC Poblado Plaza"/>
    <x v="0"/>
    <s v="septiembre"/>
    <n v="29"/>
    <d v="2026-09-29T00:00:00"/>
    <n v="1047360979"/>
    <s v="ALZATE  MARÍA TERESA"/>
    <n v="60"/>
    <n v="0"/>
    <n v="3673740"/>
  </r>
  <r>
    <s v="Franquicias Sell Out QUEST"/>
    <s v="FQ081 - Santo Tomas - CC Poblado Plaza"/>
    <x v="0"/>
    <s v="septiembre"/>
    <n v="30"/>
    <d v="2026-09-30T00:00:00"/>
    <m/>
    <m/>
    <n v="0"/>
    <n v="4642733"/>
    <n v="0"/>
  </r>
  <r>
    <s v="Franquicias Sell Out QUEST"/>
    <s v="FQ081 - Santo Tomas - CC Poblado Plaza"/>
    <x v="0"/>
    <s v="septiembre"/>
    <n v="30"/>
    <d v="2026-09-30T00:00:00"/>
    <n v="1047360979"/>
    <s v="ALZATE  MARÍA TERESA"/>
    <n v="53"/>
    <n v="0"/>
    <n v="2930258"/>
  </r>
  <r>
    <s v="Franquicias Sell Out QUEST"/>
    <s v="FQ081 - Santo Tomas - CC Poblado Plaza"/>
    <x v="0"/>
    <s v="octubre"/>
    <n v="1"/>
    <d v="2026-10-01T00:00:00"/>
    <m/>
    <m/>
    <n v="0"/>
    <n v="6985108"/>
    <n v="0"/>
  </r>
  <r>
    <s v="Franquicias Sell Out QUEST"/>
    <s v="FQ081 - Santo Tomas - CC Poblado Plaza"/>
    <x v="0"/>
    <s v="octubre"/>
    <n v="1"/>
    <d v="2026-10-01T00:00:00"/>
    <n v="1047360979"/>
    <s v="ALZATE  MARÍA TERESA"/>
    <n v="84"/>
    <n v="0"/>
    <n v="4416564"/>
  </r>
  <r>
    <s v="Franquicias Sell Out QUEST"/>
    <s v="FQ081 - Santo Tomas - CC Poblado Plaza"/>
    <x v="0"/>
    <s v="octubre"/>
    <n v="2"/>
    <d v="2026-10-02T00:00:00"/>
    <m/>
    <m/>
    <n v="0"/>
    <n v="6423268"/>
    <n v="0"/>
  </r>
  <r>
    <s v="Franquicias Sell Out QUEST"/>
    <s v="FQ081 - Santo Tomas - CC Poblado Plaza"/>
    <x v="0"/>
    <s v="octubre"/>
    <n v="2"/>
    <d v="2026-10-02T00:00:00"/>
    <n v="1047360979"/>
    <s v="ALZATE  MARÍA TERESA"/>
    <n v="99"/>
    <n v="0"/>
    <n v="5577694"/>
  </r>
  <r>
    <s v="Franquicias Sell Out QUEST"/>
    <s v="FQ081 - Santo Tomas - CC Poblado Plaza"/>
    <x v="0"/>
    <s v="octubre"/>
    <n v="3"/>
    <d v="2026-10-03T00:00:00"/>
    <m/>
    <m/>
    <n v="0"/>
    <n v="7154217"/>
    <n v="0"/>
  </r>
  <r>
    <s v="Franquicias Sell Out QUEST"/>
    <s v="FQ081 - Santo Tomas - CC Poblado Plaza"/>
    <x v="0"/>
    <s v="octubre"/>
    <n v="3"/>
    <d v="2026-10-03T00:00:00"/>
    <n v="1047360979"/>
    <s v="ALZATE  MARÍA TERESA"/>
    <n v="110"/>
    <n v="0"/>
    <n v="6136068"/>
  </r>
  <r>
    <s v="Franquicias Sell Out QUEST"/>
    <s v="FQ081 - Santo Tomas - CC Poblado Plaza"/>
    <x v="0"/>
    <s v="octubre"/>
    <n v="4"/>
    <d v="2026-10-04T00:00:00"/>
    <m/>
    <m/>
    <n v="0"/>
    <n v="8130935"/>
    <n v="0"/>
  </r>
  <r>
    <s v="Franquicias Sell Out QUEST"/>
    <s v="FQ081 - Santo Tomas - CC Poblado Plaza"/>
    <x v="0"/>
    <s v="octubre"/>
    <n v="4"/>
    <d v="2026-10-04T00:00:00"/>
    <n v="1047360979"/>
    <s v="ALZATE  MARÍA TERESA"/>
    <n v="96"/>
    <n v="0"/>
    <n v="5426312"/>
  </r>
  <r>
    <s v="Franquicias Sell Out QUEST"/>
    <s v="FQ081 - Santo Tomas - CC Poblado Plaza"/>
    <x v="0"/>
    <s v="octubre"/>
    <n v="5"/>
    <d v="2026-10-05T00:00:00"/>
    <m/>
    <m/>
    <n v="0"/>
    <n v="4015544"/>
    <n v="0"/>
  </r>
  <r>
    <s v="Franquicias Sell Out QUEST"/>
    <s v="FQ081 - Santo Tomas - CC Poblado Plaza"/>
    <x v="0"/>
    <s v="octubre"/>
    <n v="5"/>
    <d v="2026-10-05T00:00:00"/>
    <n v="1047360979"/>
    <s v="ALZATE  MARÍA TERESA"/>
    <n v="91"/>
    <n v="0"/>
    <n v="5004294"/>
  </r>
  <r>
    <s v="Franquicias Sell Out QUEST"/>
    <s v="FQ081 - Santo Tomas - CC Poblado Plaza"/>
    <x v="0"/>
    <s v="octubre"/>
    <n v="6"/>
    <d v="2026-10-06T00:00:00"/>
    <m/>
    <m/>
    <n v="0"/>
    <n v="2973888"/>
    <n v="0"/>
  </r>
  <r>
    <s v="Franquicias Sell Out QUEST"/>
    <s v="FQ081 - Santo Tomas - CC Poblado Plaza"/>
    <x v="0"/>
    <s v="octubre"/>
    <n v="6"/>
    <d v="2026-10-06T00:00:00"/>
    <n v="1047360979"/>
    <s v="ALZATE  MARÍA TERESA"/>
    <n v="52"/>
    <n v="0"/>
    <n v="2903155"/>
  </r>
  <r>
    <s v="Franquicias Sell Out QUEST"/>
    <s v="FQ081 - Santo Tomas - CC Poblado Plaza"/>
    <x v="0"/>
    <s v="octubre"/>
    <n v="7"/>
    <d v="2026-10-07T00:00:00"/>
    <m/>
    <m/>
    <n v="0"/>
    <n v="2076447"/>
    <n v="0"/>
  </r>
  <r>
    <s v="Franquicias Sell Out QUEST"/>
    <s v="FQ081 - Santo Tomas - CC Poblado Plaza"/>
    <x v="0"/>
    <s v="octubre"/>
    <n v="7"/>
    <d v="2026-10-07T00:00:00"/>
    <n v="1047360979"/>
    <s v="ALZATE  MARÍA TERESA"/>
    <n v="24"/>
    <n v="0"/>
    <n v="1461095"/>
  </r>
  <r>
    <s v="Franquicias Sell Out QUEST"/>
    <s v="FQ086 - Magangué - Bolivar"/>
    <x v="0"/>
    <s v="septiembre"/>
    <n v="23"/>
    <d v="2026-09-23T00:00:00"/>
    <m/>
    <m/>
    <n v="0"/>
    <n v="3123687"/>
    <n v="0"/>
  </r>
  <r>
    <s v="Franquicias Sell Out QUEST"/>
    <s v="FQ086 - Magangué - Bolivar"/>
    <x v="0"/>
    <s v="septiembre"/>
    <n v="23"/>
    <d v="2026-09-23T00:00:00"/>
    <n v="33310810"/>
    <s v="INELA RODRIGUEZ MABELIS MARIA"/>
    <n v="14"/>
    <n v="0"/>
    <n v="656976"/>
  </r>
  <r>
    <s v="Franquicias Sell Out QUEST"/>
    <s v="FQ086 - Magangué - Bolivar"/>
    <x v="0"/>
    <s v="septiembre"/>
    <n v="23"/>
    <d v="2026-09-23T00:00:00"/>
    <n v="1002487706"/>
    <s v="TURIZO ATENCIA DAYANA"/>
    <n v="44"/>
    <n v="0"/>
    <n v="2407816"/>
  </r>
  <r>
    <s v="Franquicias Sell Out QUEST"/>
    <s v="FQ086 - Magangué - Bolivar"/>
    <x v="0"/>
    <s v="septiembre"/>
    <n v="23"/>
    <d v="2026-09-23T00:00:00"/>
    <n v="1002491035"/>
    <s v="CHACÓN  MELISSA MARÍA"/>
    <n v="33"/>
    <n v="0"/>
    <n v="1591052"/>
  </r>
  <r>
    <s v="Franquicias Sell Out QUEST"/>
    <s v="FQ086 - Magangué - Bolivar"/>
    <x v="0"/>
    <s v="septiembre"/>
    <n v="23"/>
    <d v="2026-09-23T00:00:00"/>
    <n v="1093141855"/>
    <s v="DELGADO VILLAMIZAR JORGE IVAN"/>
    <n v="5"/>
    <n v="0"/>
    <n v="403109"/>
  </r>
  <r>
    <s v="Franquicias Sell Out QUEST"/>
    <s v="FQ086 - Magangué - Bolivar"/>
    <x v="0"/>
    <s v="septiembre"/>
    <n v="24"/>
    <d v="2026-09-24T00:00:00"/>
    <m/>
    <m/>
    <n v="0"/>
    <n v="8078449"/>
    <n v="0"/>
  </r>
  <r>
    <s v="Franquicias Sell Out QUEST"/>
    <s v="FQ086 - Magangué - Bolivar"/>
    <x v="0"/>
    <s v="septiembre"/>
    <n v="24"/>
    <d v="2026-09-24T00:00:00"/>
    <n v="33310810"/>
    <s v="INELA RODRIGUEZ MABELIS MARIA"/>
    <n v="59"/>
    <n v="0"/>
    <n v="2673993"/>
  </r>
  <r>
    <s v="Franquicias Sell Out QUEST"/>
    <s v="FQ086 - Magangué - Bolivar"/>
    <x v="0"/>
    <s v="septiembre"/>
    <n v="24"/>
    <d v="2026-09-24T00:00:00"/>
    <n v="1002487706"/>
    <s v="TURIZO ATENCIA DAYANA"/>
    <n v="45"/>
    <n v="0"/>
    <n v="2615758"/>
  </r>
  <r>
    <s v="Franquicias Sell Out QUEST"/>
    <s v="FQ086 - Magangué - Bolivar"/>
    <x v="0"/>
    <s v="septiembre"/>
    <n v="24"/>
    <d v="2026-09-24T00:00:00"/>
    <n v="1002491035"/>
    <s v="CHACÓN  MELISSA MARÍA"/>
    <n v="35"/>
    <n v="0"/>
    <n v="1876682"/>
  </r>
  <r>
    <s v="Franquicias Sell Out QUEST"/>
    <s v="FQ086 - Magangué - Bolivar"/>
    <x v="0"/>
    <s v="septiembre"/>
    <n v="24"/>
    <d v="2026-09-24T00:00:00"/>
    <n v="1093141855"/>
    <s v="DELGADO VILLAMIZAR JORGE IVAN"/>
    <n v="18"/>
    <n v="0"/>
    <n v="938319"/>
  </r>
  <r>
    <s v="Franquicias Sell Out QUEST"/>
    <s v="FQ086 - Magangué - Bolivar"/>
    <x v="0"/>
    <s v="septiembre"/>
    <n v="25"/>
    <d v="2026-09-25T00:00:00"/>
    <m/>
    <m/>
    <n v="0"/>
    <n v="8628227"/>
    <n v="0"/>
  </r>
  <r>
    <s v="Franquicias Sell Out QUEST"/>
    <s v="FQ086 - Magangué - Bolivar"/>
    <x v="0"/>
    <s v="septiembre"/>
    <n v="25"/>
    <d v="2026-09-25T00:00:00"/>
    <n v="33310810"/>
    <s v="INELA RODRIGUEZ MABELIS MARIA"/>
    <n v="43"/>
    <n v="0"/>
    <n v="2323827"/>
  </r>
  <r>
    <s v="Franquicias Sell Out QUEST"/>
    <s v="FQ086 - Magangué - Bolivar"/>
    <x v="0"/>
    <s v="septiembre"/>
    <n v="25"/>
    <d v="2026-09-25T00:00:00"/>
    <n v="1002487706"/>
    <s v="TURIZO ATENCIA DAYANA"/>
    <n v="35"/>
    <n v="0"/>
    <n v="1948108"/>
  </r>
  <r>
    <s v="Franquicias Sell Out QUEST"/>
    <s v="FQ086 - Magangué - Bolivar"/>
    <x v="0"/>
    <s v="septiembre"/>
    <n v="25"/>
    <d v="2026-09-25T00:00:00"/>
    <n v="1002491035"/>
    <s v="CHACÓN  MELISSA MARÍA"/>
    <n v="52"/>
    <n v="0"/>
    <n v="2688995"/>
  </r>
  <r>
    <s v="Franquicias Sell Out QUEST"/>
    <s v="FQ086 - Magangué - Bolivar"/>
    <x v="0"/>
    <s v="septiembre"/>
    <n v="25"/>
    <d v="2026-09-25T00:00:00"/>
    <n v="1093141855"/>
    <s v="DELGADO VILLAMIZAR JORGE IVAN"/>
    <n v="13"/>
    <n v="0"/>
    <n v="671725"/>
  </r>
  <r>
    <s v="Franquicias Sell Out QUEST"/>
    <s v="FQ086 - Magangué - Bolivar"/>
    <x v="0"/>
    <s v="septiembre"/>
    <n v="26"/>
    <d v="2026-09-26T00:00:00"/>
    <m/>
    <m/>
    <n v="0"/>
    <n v="10879980"/>
    <n v="0"/>
  </r>
  <r>
    <s v="Franquicias Sell Out QUEST"/>
    <s v="FQ086 - Magangué - Bolivar"/>
    <x v="0"/>
    <s v="septiembre"/>
    <n v="26"/>
    <d v="2026-09-26T00:00:00"/>
    <n v="33310810"/>
    <s v="INELA RODRIGUEZ MABELIS MARIA"/>
    <n v="36"/>
    <n v="0"/>
    <n v="2191768"/>
  </r>
  <r>
    <s v="Franquicias Sell Out QUEST"/>
    <s v="FQ086 - Magangué - Bolivar"/>
    <x v="0"/>
    <s v="septiembre"/>
    <n v="26"/>
    <d v="2026-09-26T00:00:00"/>
    <n v="1002487706"/>
    <s v="TURIZO ATENCIA DAYANA"/>
    <n v="24"/>
    <n v="0"/>
    <n v="1314117"/>
  </r>
  <r>
    <s v="Franquicias Sell Out QUEST"/>
    <s v="FQ086 - Magangué - Bolivar"/>
    <x v="0"/>
    <s v="septiembre"/>
    <n v="26"/>
    <d v="2026-09-26T00:00:00"/>
    <n v="1002491035"/>
    <s v="CHACÓN  MELISSA MARÍA"/>
    <n v="32"/>
    <n v="0"/>
    <n v="1467146"/>
  </r>
  <r>
    <s v="Franquicias Sell Out QUEST"/>
    <s v="FQ086 - Magangué - Bolivar"/>
    <x v="0"/>
    <s v="septiembre"/>
    <n v="26"/>
    <d v="2026-09-26T00:00:00"/>
    <n v="1093141855"/>
    <s v="DELGADO VILLAMIZAR JORGE IVAN"/>
    <n v="15"/>
    <n v="0"/>
    <n v="761934"/>
  </r>
  <r>
    <s v="Franquicias Sell Out QUEST"/>
    <s v="FQ086 - Magangué - Bolivar"/>
    <x v="0"/>
    <s v="septiembre"/>
    <n v="27"/>
    <d v="2026-09-27T00:00:00"/>
    <m/>
    <m/>
    <n v="0"/>
    <n v="5744523"/>
    <n v="0"/>
  </r>
  <r>
    <s v="Franquicias Sell Out QUEST"/>
    <s v="FQ086 - Magangué - Bolivar"/>
    <x v="0"/>
    <s v="septiembre"/>
    <n v="27"/>
    <d v="2026-09-27T00:00:00"/>
    <n v="33310810"/>
    <s v="INELA RODRIGUEZ MABELIS MARIA"/>
    <n v="32"/>
    <n v="0"/>
    <n v="1876762"/>
  </r>
  <r>
    <s v="Franquicias Sell Out QUEST"/>
    <s v="FQ086 - Magangué - Bolivar"/>
    <x v="0"/>
    <s v="septiembre"/>
    <n v="27"/>
    <d v="2026-09-27T00:00:00"/>
    <n v="1002487706"/>
    <s v="TURIZO ATENCIA DAYANA"/>
    <n v="32"/>
    <n v="0"/>
    <n v="1860003"/>
  </r>
  <r>
    <s v="Franquicias Sell Out QUEST"/>
    <s v="FQ086 - Magangué - Bolivar"/>
    <x v="0"/>
    <s v="septiembre"/>
    <n v="27"/>
    <d v="2026-09-27T00:00:00"/>
    <n v="1002491035"/>
    <s v="CHACÓN  MELISSA MARÍA"/>
    <n v="23"/>
    <n v="0"/>
    <n v="1049415"/>
  </r>
  <r>
    <s v="Franquicias Sell Out QUEST"/>
    <s v="FQ086 - Magangué - Bolivar"/>
    <x v="0"/>
    <s v="septiembre"/>
    <n v="27"/>
    <d v="2026-09-27T00:00:00"/>
    <n v="1093141855"/>
    <s v="DELGADO VILLAMIZAR JORGE IVAN"/>
    <n v="23"/>
    <n v="0"/>
    <n v="1299370"/>
  </r>
  <r>
    <s v="Franquicias Sell Out QUEST"/>
    <s v="FQ086 - Magangué - Bolivar"/>
    <x v="0"/>
    <s v="septiembre"/>
    <n v="28"/>
    <d v="2026-09-28T00:00:00"/>
    <m/>
    <m/>
    <n v="0"/>
    <n v="4709885"/>
    <n v="0"/>
  </r>
  <r>
    <s v="Franquicias Sell Out QUEST"/>
    <s v="FQ086 - Magangué - Bolivar"/>
    <x v="0"/>
    <s v="septiembre"/>
    <n v="28"/>
    <d v="2026-09-28T00:00:00"/>
    <n v="33310810"/>
    <s v="INELA RODRIGUEZ MABELIS MARIA"/>
    <n v="25"/>
    <n v="0"/>
    <n v="1450632"/>
  </r>
  <r>
    <s v="Franquicias Sell Out QUEST"/>
    <s v="FQ086 - Magangué - Bolivar"/>
    <x v="0"/>
    <s v="septiembre"/>
    <n v="28"/>
    <d v="2026-09-28T00:00:00"/>
    <n v="1002487706"/>
    <s v="TURIZO ATENCIA DAYANA"/>
    <n v="9"/>
    <n v="0"/>
    <n v="562648"/>
  </r>
  <r>
    <s v="Franquicias Sell Out QUEST"/>
    <s v="FQ086 - Magangué - Bolivar"/>
    <x v="0"/>
    <s v="septiembre"/>
    <n v="28"/>
    <d v="2026-09-28T00:00:00"/>
    <n v="1002491035"/>
    <s v="CHACÓN  MELISSA MARÍA"/>
    <n v="16"/>
    <n v="0"/>
    <n v="747230"/>
  </r>
  <r>
    <s v="Franquicias Sell Out QUEST"/>
    <s v="FQ086 - Magangué - Bolivar"/>
    <x v="0"/>
    <s v="septiembre"/>
    <n v="28"/>
    <d v="2026-09-28T00:00:00"/>
    <n v="1093141855"/>
    <s v="DELGADO VILLAMIZAR JORGE IVAN"/>
    <n v="7"/>
    <n v="0"/>
    <n v="398866"/>
  </r>
  <r>
    <s v="Franquicias Sell Out QUEST"/>
    <s v="FQ086 - Magangué - Bolivar"/>
    <x v="0"/>
    <s v="septiembre"/>
    <n v="29"/>
    <d v="2026-09-29T00:00:00"/>
    <m/>
    <m/>
    <n v="0"/>
    <n v="5236001"/>
    <n v="0"/>
  </r>
  <r>
    <s v="Franquicias Sell Out QUEST"/>
    <s v="FQ086 - Magangué - Bolivar"/>
    <x v="0"/>
    <s v="septiembre"/>
    <n v="29"/>
    <d v="2026-09-29T00:00:00"/>
    <n v="33310810"/>
    <s v="INELA RODRIGUEZ MABELIS MARIA"/>
    <n v="27"/>
    <n v="0"/>
    <n v="1381094"/>
  </r>
  <r>
    <s v="Franquicias Sell Out QUEST"/>
    <s v="FQ086 - Magangué - Bolivar"/>
    <x v="0"/>
    <s v="septiembre"/>
    <n v="29"/>
    <d v="2026-09-29T00:00:00"/>
    <n v="1002487706"/>
    <s v="TURIZO ATENCIA DAYANA"/>
    <n v="13"/>
    <n v="0"/>
    <n v="671724"/>
  </r>
  <r>
    <s v="Franquicias Sell Out QUEST"/>
    <s v="FQ086 - Magangué - Bolivar"/>
    <x v="0"/>
    <s v="septiembre"/>
    <n v="29"/>
    <d v="2026-09-29T00:00:00"/>
    <n v="1002491035"/>
    <s v="CHACÓN  MELISSA MARÍA"/>
    <n v="19"/>
    <n v="0"/>
    <n v="1020086"/>
  </r>
  <r>
    <s v="Franquicias Sell Out QUEST"/>
    <s v="FQ086 - Magangué - Bolivar"/>
    <x v="0"/>
    <s v="septiembre"/>
    <n v="29"/>
    <d v="2026-09-29T00:00:00"/>
    <n v="1093141855"/>
    <s v="DELGADO VILLAMIZAR JORGE IVAN"/>
    <n v="10"/>
    <n v="0"/>
    <n v="617227"/>
  </r>
  <r>
    <s v="Franquicias Sell Out QUEST"/>
    <s v="FQ086 - Magangué - Bolivar"/>
    <x v="0"/>
    <s v="septiembre"/>
    <n v="30"/>
    <d v="2026-09-30T00:00:00"/>
    <m/>
    <m/>
    <n v="0"/>
    <n v="5545093"/>
    <n v="0"/>
  </r>
  <r>
    <s v="Franquicias Sell Out QUEST"/>
    <s v="FQ086 - Magangué - Bolivar"/>
    <x v="0"/>
    <s v="septiembre"/>
    <n v="30"/>
    <d v="2026-09-30T00:00:00"/>
    <n v="33310810"/>
    <s v="INELA RODRIGUEZ MABELIS MARIA"/>
    <n v="35"/>
    <n v="0"/>
    <n v="1605590"/>
  </r>
  <r>
    <s v="Franquicias Sell Out QUEST"/>
    <s v="FQ086 - Magangué - Bolivar"/>
    <x v="0"/>
    <s v="septiembre"/>
    <n v="30"/>
    <d v="2026-09-30T00:00:00"/>
    <n v="1002487706"/>
    <s v="TURIZO ATENCIA DAYANA"/>
    <n v="51"/>
    <n v="0"/>
    <n v="2753994"/>
  </r>
  <r>
    <s v="Franquicias Sell Out QUEST"/>
    <s v="FQ086 - Magangué - Bolivar"/>
    <x v="0"/>
    <s v="septiembre"/>
    <n v="30"/>
    <d v="2026-09-30T00:00:00"/>
    <n v="1002491035"/>
    <s v="CHACÓN  MELISSA MARÍA"/>
    <n v="34"/>
    <n v="0"/>
    <n v="1843113"/>
  </r>
  <r>
    <s v="Franquicias Sell Out QUEST"/>
    <s v="FQ086 - Magangué - Bolivar"/>
    <x v="0"/>
    <s v="septiembre"/>
    <n v="30"/>
    <d v="2026-09-30T00:00:00"/>
    <n v="1093141855"/>
    <s v="DELGADO VILLAMIZAR JORGE IVAN"/>
    <n v="25"/>
    <n v="0"/>
    <n v="1322481"/>
  </r>
  <r>
    <s v="Franquicias Sell Out QUEST"/>
    <s v="FQ086 - Magangué - Bolivar"/>
    <x v="0"/>
    <s v="octubre"/>
    <n v="1"/>
    <d v="2026-10-01T00:00:00"/>
    <m/>
    <m/>
    <n v="0"/>
    <n v="7718489"/>
    <n v="0"/>
  </r>
  <r>
    <s v="Franquicias Sell Out QUEST"/>
    <s v="FQ086 - Magangué - Bolivar"/>
    <x v="0"/>
    <s v="octubre"/>
    <n v="1"/>
    <d v="2026-10-01T00:00:00"/>
    <n v="33310810"/>
    <s v="INELA RODRIGUEZ MABELIS MARIA"/>
    <n v="34"/>
    <n v="0"/>
    <n v="2175000"/>
  </r>
  <r>
    <s v="Franquicias Sell Out QUEST"/>
    <s v="FQ086 - Magangué - Bolivar"/>
    <x v="0"/>
    <s v="octubre"/>
    <n v="1"/>
    <d v="2026-10-01T00:00:00"/>
    <n v="1002487706"/>
    <s v="TURIZO ATENCIA DAYANA"/>
    <n v="16"/>
    <n v="0"/>
    <n v="864872"/>
  </r>
  <r>
    <s v="Franquicias Sell Out QUEST"/>
    <s v="FQ086 - Magangué - Bolivar"/>
    <x v="0"/>
    <s v="octubre"/>
    <n v="1"/>
    <d v="2026-10-01T00:00:00"/>
    <n v="1002491035"/>
    <s v="CHACÓN  MELISSA MARÍA"/>
    <n v="31"/>
    <n v="0"/>
    <n v="1614203"/>
  </r>
  <r>
    <s v="Franquicias Sell Out QUEST"/>
    <s v="FQ086 - Magangué - Bolivar"/>
    <x v="0"/>
    <s v="octubre"/>
    <n v="1"/>
    <d v="2026-10-01T00:00:00"/>
    <n v="1093141855"/>
    <s v="DELGADO VILLAMIZAR JORGE IVAN"/>
    <n v="11"/>
    <n v="0"/>
    <n v="684412"/>
  </r>
  <r>
    <s v="Franquicias Sell Out QUEST"/>
    <s v="FQ086 - Magangué - Bolivar"/>
    <x v="0"/>
    <s v="octubre"/>
    <n v="2"/>
    <d v="2026-10-02T00:00:00"/>
    <m/>
    <m/>
    <n v="0"/>
    <n v="9844082"/>
    <n v="0"/>
  </r>
  <r>
    <s v="Franquicias Sell Out QUEST"/>
    <s v="FQ086 - Magangué - Bolivar"/>
    <x v="0"/>
    <s v="octubre"/>
    <n v="2"/>
    <d v="2026-10-02T00:00:00"/>
    <n v="33310810"/>
    <s v="INELA RODRIGUEZ MABELIS MARIA"/>
    <n v="21"/>
    <n v="0"/>
    <n v="1181891"/>
  </r>
  <r>
    <s v="Franquicias Sell Out QUEST"/>
    <s v="FQ086 - Magangué - Bolivar"/>
    <x v="0"/>
    <s v="octubre"/>
    <n v="2"/>
    <d v="2026-10-02T00:00:00"/>
    <n v="1002487706"/>
    <s v="TURIZO ATENCIA DAYANA"/>
    <n v="36"/>
    <n v="0"/>
    <n v="1853485"/>
  </r>
  <r>
    <s v="Franquicias Sell Out QUEST"/>
    <s v="FQ086 - Magangué - Bolivar"/>
    <x v="0"/>
    <s v="octubre"/>
    <n v="2"/>
    <d v="2026-10-02T00:00:00"/>
    <n v="1002491035"/>
    <s v="CHACÓN  MELISSA MARÍA"/>
    <n v="26"/>
    <n v="0"/>
    <n v="1385299"/>
  </r>
  <r>
    <s v="Franquicias Sell Out QUEST"/>
    <s v="FQ086 - Magangué - Bolivar"/>
    <x v="0"/>
    <s v="octubre"/>
    <n v="2"/>
    <d v="2026-10-02T00:00:00"/>
    <n v="1093141855"/>
    <s v="DELGADO VILLAMIZAR JORGE IVAN"/>
    <n v="22"/>
    <n v="0"/>
    <n v="1255339"/>
  </r>
  <r>
    <s v="Franquicias Sell Out QUEST"/>
    <s v="FQ086 - Magangué - Bolivar"/>
    <x v="0"/>
    <s v="octubre"/>
    <n v="3"/>
    <d v="2026-10-03T00:00:00"/>
    <m/>
    <m/>
    <n v="0"/>
    <n v="13964155"/>
    <n v="0"/>
  </r>
  <r>
    <s v="Franquicias Sell Out QUEST"/>
    <s v="FQ086 - Magangué - Bolivar"/>
    <x v="0"/>
    <s v="octubre"/>
    <n v="3"/>
    <d v="2026-10-03T00:00:00"/>
    <n v="33310810"/>
    <s v="INELA RODRIGUEZ MABELIS MARIA"/>
    <n v="45"/>
    <n v="0"/>
    <n v="2466164"/>
  </r>
  <r>
    <s v="Franquicias Sell Out QUEST"/>
    <s v="FQ086 - Magangué - Bolivar"/>
    <x v="0"/>
    <s v="octubre"/>
    <n v="3"/>
    <d v="2026-10-03T00:00:00"/>
    <n v="1002487706"/>
    <s v="TURIZO ATENCIA DAYANA"/>
    <n v="29"/>
    <n v="0"/>
    <n v="1370236"/>
  </r>
  <r>
    <s v="Franquicias Sell Out QUEST"/>
    <s v="FQ086 - Magangué - Bolivar"/>
    <x v="0"/>
    <s v="octubre"/>
    <n v="3"/>
    <d v="2026-10-03T00:00:00"/>
    <n v="1002491035"/>
    <s v="CHACÓN  MELISSA MARÍA"/>
    <n v="39"/>
    <n v="0"/>
    <n v="1951312"/>
  </r>
  <r>
    <s v="Franquicias Sell Out QUEST"/>
    <s v="FQ086 - Magangué - Bolivar"/>
    <x v="0"/>
    <s v="octubre"/>
    <n v="3"/>
    <d v="2026-10-03T00:00:00"/>
    <n v="1093141855"/>
    <s v="DELGADO VILLAMIZAR JORGE IVAN"/>
    <n v="35"/>
    <n v="0"/>
    <n v="1456608"/>
  </r>
  <r>
    <s v="Franquicias Sell Out QUEST"/>
    <s v="FQ086 - Magangué - Bolivar"/>
    <x v="0"/>
    <s v="octubre"/>
    <n v="4"/>
    <d v="2026-10-04T00:00:00"/>
    <m/>
    <m/>
    <n v="0"/>
    <n v="9729667"/>
    <n v="0"/>
  </r>
  <r>
    <s v="Franquicias Sell Out QUEST"/>
    <s v="FQ086 - Magangué - Bolivar"/>
    <x v="0"/>
    <s v="octubre"/>
    <n v="4"/>
    <d v="2026-10-04T00:00:00"/>
    <n v="33310810"/>
    <s v="INELA RODRIGUEZ MABELIS MARIA"/>
    <n v="13"/>
    <n v="0"/>
    <n v="696932"/>
  </r>
  <r>
    <s v="Franquicias Sell Out QUEST"/>
    <s v="FQ086 - Magangué - Bolivar"/>
    <x v="0"/>
    <s v="octubre"/>
    <n v="4"/>
    <d v="2026-10-04T00:00:00"/>
    <n v="1002487706"/>
    <s v="TURIZO ATENCIA DAYANA"/>
    <n v="15"/>
    <n v="0"/>
    <n v="722019"/>
  </r>
  <r>
    <s v="Franquicias Sell Out QUEST"/>
    <s v="FQ086 - Magangué - Bolivar"/>
    <x v="0"/>
    <s v="octubre"/>
    <n v="4"/>
    <d v="2026-10-04T00:00:00"/>
    <n v="1002491035"/>
    <s v="CHACÓN  MELISSA MARÍA"/>
    <n v="21"/>
    <n v="0"/>
    <n v="1221724"/>
  </r>
  <r>
    <s v="Franquicias Sell Out QUEST"/>
    <s v="FQ086 - Magangué - Bolivar"/>
    <x v="0"/>
    <s v="octubre"/>
    <n v="4"/>
    <d v="2026-10-04T00:00:00"/>
    <n v="1093141855"/>
    <s v="DELGADO VILLAMIZAR JORGE IVAN"/>
    <n v="8"/>
    <n v="0"/>
    <n v="482858"/>
  </r>
  <r>
    <s v="Franquicias Sell Out QUEST"/>
    <s v="FQ086 - Magangué - Bolivar"/>
    <x v="0"/>
    <s v="octubre"/>
    <n v="5"/>
    <d v="2026-10-05T00:00:00"/>
    <m/>
    <m/>
    <n v="0"/>
    <n v="7183461"/>
    <n v="0"/>
  </r>
  <r>
    <s v="Franquicias Sell Out QUEST"/>
    <s v="FQ086 - Magangué - Bolivar"/>
    <x v="0"/>
    <s v="octubre"/>
    <n v="5"/>
    <d v="2026-10-05T00:00:00"/>
    <n v="33310810"/>
    <s v="INELA RODRIGUEZ MABELIS MARIA"/>
    <n v="31"/>
    <n v="0"/>
    <n v="1605839"/>
  </r>
  <r>
    <s v="Franquicias Sell Out QUEST"/>
    <s v="FQ086 - Magangué - Bolivar"/>
    <x v="0"/>
    <s v="octubre"/>
    <n v="5"/>
    <d v="2026-10-05T00:00:00"/>
    <n v="1002491035"/>
    <s v="CHACÓN  MELISSA MARÍA"/>
    <n v="18"/>
    <n v="0"/>
    <n v="839413"/>
  </r>
  <r>
    <s v="Franquicias Sell Out QUEST"/>
    <s v="FQ086 - Magangué - Bolivar"/>
    <x v="0"/>
    <s v="octubre"/>
    <n v="5"/>
    <d v="2026-10-05T00:00:00"/>
    <n v="1093141855"/>
    <s v="DELGADO VILLAMIZAR JORGE IVAN"/>
    <n v="17"/>
    <n v="0"/>
    <n v="852228"/>
  </r>
  <r>
    <s v="Franquicias Sell Out QUEST"/>
    <s v="FQ086 - Magangué - Bolivar"/>
    <x v="0"/>
    <s v="octubre"/>
    <n v="6"/>
    <d v="2026-10-06T00:00:00"/>
    <m/>
    <m/>
    <n v="0"/>
    <n v="5460909"/>
    <n v="0"/>
  </r>
  <r>
    <s v="Franquicias Sell Out QUEST"/>
    <s v="FQ086 - Magangué - Bolivar"/>
    <x v="0"/>
    <s v="octubre"/>
    <n v="6"/>
    <d v="2026-10-06T00:00:00"/>
    <n v="1002487706"/>
    <s v="TURIZO ATENCIA DAYANA"/>
    <n v="21"/>
    <n v="0"/>
    <n v="1133573"/>
  </r>
  <r>
    <s v="Franquicias Sell Out QUEST"/>
    <s v="FQ086 - Magangué - Bolivar"/>
    <x v="0"/>
    <s v="octubre"/>
    <n v="6"/>
    <d v="2026-10-06T00:00:00"/>
    <n v="1002491035"/>
    <s v="CHACÓN  MELISSA MARÍA"/>
    <n v="10"/>
    <n v="0"/>
    <n v="394538"/>
  </r>
  <r>
    <s v="Franquicias Sell Out QUEST"/>
    <s v="FQ086 - Magangué - Bolivar"/>
    <x v="0"/>
    <s v="octubre"/>
    <n v="6"/>
    <d v="2026-10-06T00:00:00"/>
    <n v="1093141855"/>
    <s v="DELGADO VILLAMIZAR JORGE IVAN"/>
    <n v="8"/>
    <n v="0"/>
    <n v="455547"/>
  </r>
  <r>
    <s v="Franquicias Sell Out QUEST"/>
    <s v="FQ086 - Magangué - Bolivar"/>
    <x v="0"/>
    <s v="octubre"/>
    <n v="7"/>
    <d v="2026-10-07T00:00:00"/>
    <m/>
    <m/>
    <n v="0"/>
    <n v="640306"/>
    <n v="0"/>
  </r>
  <r>
    <s v="Franquicias Sell Out QUEST"/>
    <s v="FQ086 - Magangué - Bolivar"/>
    <x v="0"/>
    <s v="octubre"/>
    <n v="7"/>
    <d v="2026-10-07T00:00:00"/>
    <n v="33310810"/>
    <s v="INELA RODRIGUEZ MABELIS MARIA"/>
    <n v="47"/>
    <n v="0"/>
    <n v="2456012"/>
  </r>
  <r>
    <s v="Franquicias Sell Out QUEST"/>
    <s v="FQ086 - Magangué - Bolivar"/>
    <x v="0"/>
    <s v="octubre"/>
    <n v="7"/>
    <d v="2026-10-07T00:00:00"/>
    <n v="1002487706"/>
    <s v="TURIZO ATENCIA DAYANA"/>
    <n v="17"/>
    <n v="0"/>
    <n v="751388"/>
  </r>
  <r>
    <s v="Franquicias Sell Out QUEST"/>
    <s v="FQ086 - Magangué - Bolivar"/>
    <x v="0"/>
    <s v="octubre"/>
    <n v="7"/>
    <d v="2026-10-07T00:00:00"/>
    <n v="1093141855"/>
    <s v="DELGADO VILLAMIZAR JORGE IVAN"/>
    <n v="26"/>
    <n v="0"/>
    <n v="1313911"/>
  </r>
  <r>
    <s v="Franquicias Sell Out QUEST"/>
    <s v="FQ088- Turbaco - Bolívar"/>
    <x v="0"/>
    <s v="septiembre"/>
    <n v="23"/>
    <d v="2026-09-23T00:00:00"/>
    <m/>
    <m/>
    <n v="0"/>
    <n v="3779263"/>
    <n v="0"/>
  </r>
  <r>
    <s v="Franquicias Sell Out QUEST"/>
    <s v="FQ088- Turbaco - Bolívar"/>
    <x v="0"/>
    <s v="septiembre"/>
    <n v="23"/>
    <d v="2026-09-23T00:00:00"/>
    <n v="30873217"/>
    <s v="ALCALÁ CARDONA INELCY"/>
    <n v="54"/>
    <n v="0"/>
    <n v="2951558"/>
  </r>
  <r>
    <s v="Franquicias Sell Out QUEST"/>
    <s v="FQ088- Turbaco - Bolívar"/>
    <x v="0"/>
    <s v="septiembre"/>
    <n v="23"/>
    <d v="2026-09-23T00:00:00"/>
    <n v="1143388884"/>
    <s v="MARQUEZ  ADRIANA DEL PILAR"/>
    <n v="55"/>
    <n v="0"/>
    <n v="2827527"/>
  </r>
  <r>
    <s v="Franquicias Sell Out QUEST"/>
    <s v="FQ088- Turbaco - Bolívar"/>
    <x v="0"/>
    <s v="septiembre"/>
    <n v="24"/>
    <d v="2026-09-24T00:00:00"/>
    <m/>
    <m/>
    <n v="0"/>
    <n v="9773899"/>
    <n v="0"/>
  </r>
  <r>
    <s v="Franquicias Sell Out QUEST"/>
    <s v="FQ088- Turbaco - Bolívar"/>
    <x v="0"/>
    <s v="septiembre"/>
    <n v="24"/>
    <d v="2026-09-24T00:00:00"/>
    <n v="30873217"/>
    <s v="ALCALÁ CARDONA INELCY"/>
    <n v="81"/>
    <n v="0"/>
    <n v="3954629"/>
  </r>
  <r>
    <s v="Franquicias Sell Out QUEST"/>
    <s v="FQ088- Turbaco - Bolívar"/>
    <x v="0"/>
    <s v="septiembre"/>
    <n v="24"/>
    <d v="2026-09-24T00:00:00"/>
    <n v="1050949022"/>
    <s v="TAPIAS CARO MARIA MERCEDES"/>
    <n v="9"/>
    <n v="0"/>
    <n v="524789"/>
  </r>
  <r>
    <s v="Franquicias Sell Out QUEST"/>
    <s v="FQ088- Turbaco - Bolívar"/>
    <x v="0"/>
    <s v="septiembre"/>
    <n v="24"/>
    <d v="2026-09-24T00:00:00"/>
    <n v="1143388884"/>
    <s v="MARQUEZ  ADRIANA DEL PILAR"/>
    <n v="98"/>
    <n v="0"/>
    <n v="4953873"/>
  </r>
  <r>
    <s v="Franquicias Sell Out QUEST"/>
    <s v="FQ088- Turbaco - Bolívar"/>
    <x v="0"/>
    <s v="septiembre"/>
    <n v="25"/>
    <d v="2026-09-25T00:00:00"/>
    <m/>
    <m/>
    <n v="0"/>
    <n v="10439061"/>
    <n v="0"/>
  </r>
  <r>
    <s v="Franquicias Sell Out QUEST"/>
    <s v="FQ088- Turbaco - Bolívar"/>
    <x v="0"/>
    <s v="septiembre"/>
    <n v="25"/>
    <d v="2026-09-25T00:00:00"/>
    <n v="30873217"/>
    <s v="ALCALÁ CARDONA INELCY"/>
    <n v="52"/>
    <n v="0"/>
    <n v="2623869"/>
  </r>
  <r>
    <s v="Franquicias Sell Out QUEST"/>
    <s v="FQ088- Turbaco - Bolívar"/>
    <x v="0"/>
    <s v="septiembre"/>
    <n v="25"/>
    <d v="2026-09-25T00:00:00"/>
    <n v="1143388884"/>
    <s v="MARQUEZ  ADRIANA DEL PILAR"/>
    <n v="71"/>
    <n v="0"/>
    <n v="4408784"/>
  </r>
  <r>
    <s v="Franquicias Sell Out QUEST"/>
    <s v="FQ088- Turbaco - Bolívar"/>
    <x v="0"/>
    <s v="septiembre"/>
    <n v="26"/>
    <d v="2026-09-26T00:00:00"/>
    <m/>
    <m/>
    <n v="0"/>
    <n v="13163393"/>
    <n v="0"/>
  </r>
  <r>
    <s v="Franquicias Sell Out QUEST"/>
    <s v="FQ088- Turbaco - Bolívar"/>
    <x v="0"/>
    <s v="septiembre"/>
    <n v="26"/>
    <d v="2026-09-26T00:00:00"/>
    <n v="30873217"/>
    <s v="ALCALÁ CARDONA INELCY"/>
    <n v="106"/>
    <n v="0"/>
    <n v="5419751"/>
  </r>
  <r>
    <s v="Franquicias Sell Out QUEST"/>
    <s v="FQ088- Turbaco - Bolívar"/>
    <x v="0"/>
    <s v="septiembre"/>
    <n v="26"/>
    <d v="2026-09-26T00:00:00"/>
    <n v="1143388884"/>
    <s v="MARQUEZ  ADRIANA DEL PILAR"/>
    <n v="108"/>
    <n v="0"/>
    <n v="6197060"/>
  </r>
  <r>
    <s v="Franquicias Sell Out QUEST"/>
    <s v="FQ088- Turbaco - Bolívar"/>
    <x v="0"/>
    <s v="septiembre"/>
    <n v="27"/>
    <d v="2026-09-27T00:00:00"/>
    <m/>
    <m/>
    <n v="0"/>
    <n v="6950146"/>
    <n v="0"/>
  </r>
  <r>
    <s v="Franquicias Sell Out QUEST"/>
    <s v="FQ088- Turbaco - Bolívar"/>
    <x v="0"/>
    <s v="septiembre"/>
    <n v="27"/>
    <d v="2026-09-27T00:00:00"/>
    <n v="30873217"/>
    <s v="ALCALÁ CARDONA INELCY"/>
    <n v="78"/>
    <n v="0"/>
    <n v="3895509"/>
  </r>
  <r>
    <s v="Franquicias Sell Out QUEST"/>
    <s v="FQ088- Turbaco - Bolívar"/>
    <x v="0"/>
    <s v="septiembre"/>
    <n v="27"/>
    <d v="2026-09-27T00:00:00"/>
    <n v="1143388884"/>
    <s v="MARQUEZ  ADRIANA DEL PILAR"/>
    <n v="89"/>
    <n v="0"/>
    <n v="4363325"/>
  </r>
  <r>
    <s v="Franquicias Sell Out QUEST"/>
    <s v="FQ088- Turbaco - Bolívar"/>
    <x v="0"/>
    <s v="septiembre"/>
    <n v="28"/>
    <d v="2026-09-28T00:00:00"/>
    <m/>
    <m/>
    <n v="0"/>
    <n v="5698361"/>
    <n v="0"/>
  </r>
  <r>
    <s v="Franquicias Sell Out QUEST"/>
    <s v="FQ088- Turbaco - Bolívar"/>
    <x v="0"/>
    <s v="septiembre"/>
    <n v="28"/>
    <d v="2026-09-28T00:00:00"/>
    <n v="30873217"/>
    <s v="ALCALÁ CARDONA INELCY"/>
    <n v="23"/>
    <n v="0"/>
    <n v="1190128"/>
  </r>
  <r>
    <s v="Franquicias Sell Out QUEST"/>
    <s v="FQ088- Turbaco - Bolívar"/>
    <x v="0"/>
    <s v="septiembre"/>
    <n v="28"/>
    <d v="2026-09-28T00:00:00"/>
    <n v="1143388884"/>
    <s v="MARQUEZ  ADRIANA DEL PILAR"/>
    <n v="50"/>
    <n v="0"/>
    <n v="2413786"/>
  </r>
  <r>
    <s v="Franquicias Sell Out QUEST"/>
    <s v="FQ088- Turbaco - Bolívar"/>
    <x v="0"/>
    <s v="septiembre"/>
    <n v="29"/>
    <d v="2026-09-29T00:00:00"/>
    <m/>
    <m/>
    <n v="0"/>
    <n v="6334896"/>
    <n v="0"/>
  </r>
  <r>
    <s v="Franquicias Sell Out QUEST"/>
    <s v="FQ088- Turbaco - Bolívar"/>
    <x v="0"/>
    <s v="septiembre"/>
    <n v="29"/>
    <d v="2026-09-29T00:00:00"/>
    <n v="30873217"/>
    <s v="ALCALÁ CARDONA INELCY"/>
    <n v="29"/>
    <n v="0"/>
    <n v="1248574"/>
  </r>
  <r>
    <s v="Franquicias Sell Out QUEST"/>
    <s v="FQ088- Turbaco - Bolívar"/>
    <x v="0"/>
    <s v="septiembre"/>
    <n v="29"/>
    <d v="2026-09-29T00:00:00"/>
    <n v="1143388884"/>
    <s v="MARQUEZ  ADRIANA DEL PILAR"/>
    <n v="49"/>
    <n v="0"/>
    <n v="2638615"/>
  </r>
  <r>
    <s v="Franquicias Sell Out QUEST"/>
    <s v="FQ088- Turbaco - Bolívar"/>
    <x v="0"/>
    <s v="septiembre"/>
    <n v="30"/>
    <d v="2026-09-30T00:00:00"/>
    <m/>
    <m/>
    <n v="0"/>
    <n v="6708854"/>
    <n v="0"/>
  </r>
  <r>
    <s v="Franquicias Sell Out QUEST"/>
    <s v="FQ088- Turbaco - Bolívar"/>
    <x v="0"/>
    <s v="septiembre"/>
    <n v="30"/>
    <d v="2026-09-30T00:00:00"/>
    <n v="30873217"/>
    <s v="ALCALÁ CARDONA INELCY"/>
    <n v="90"/>
    <n v="0"/>
    <n v="4645172"/>
  </r>
  <r>
    <s v="Franquicias Sell Out QUEST"/>
    <s v="FQ088- Turbaco - Bolívar"/>
    <x v="0"/>
    <s v="septiembre"/>
    <n v="30"/>
    <d v="2026-09-30T00:00:00"/>
    <n v="1143388884"/>
    <s v="MARQUEZ  ADRIANA DEL PILAR"/>
    <n v="4"/>
    <n v="0"/>
    <n v="235126"/>
  </r>
  <r>
    <s v="Franquicias Sell Out QUEST"/>
    <s v="FQ088- Turbaco - Bolívar"/>
    <x v="0"/>
    <s v="octubre"/>
    <n v="1"/>
    <d v="2026-10-01T00:00:00"/>
    <m/>
    <m/>
    <n v="0"/>
    <n v="6740974"/>
    <n v="0"/>
  </r>
  <r>
    <s v="Franquicias Sell Out QUEST"/>
    <s v="FQ088- Turbaco - Bolívar"/>
    <x v="0"/>
    <s v="octubre"/>
    <n v="1"/>
    <d v="2026-10-01T00:00:00"/>
    <n v="30873217"/>
    <s v="ALCALÁ CARDONA INELCY"/>
    <n v="82"/>
    <n v="0"/>
    <n v="3861940"/>
  </r>
  <r>
    <s v="Franquicias Sell Out QUEST"/>
    <s v="FQ088- Turbaco - Bolívar"/>
    <x v="0"/>
    <s v="octubre"/>
    <n v="1"/>
    <d v="2026-10-01T00:00:00"/>
    <n v="1050949022"/>
    <s v="TAPIAS CARO MARIA MERCEDES"/>
    <n v="55"/>
    <n v="0"/>
    <n v="2575046"/>
  </r>
  <r>
    <s v="Franquicias Sell Out QUEST"/>
    <s v="FQ088- Turbaco - Bolívar"/>
    <x v="0"/>
    <s v="octubre"/>
    <n v="2"/>
    <d v="2026-10-02T00:00:00"/>
    <m/>
    <m/>
    <n v="0"/>
    <n v="8159591"/>
    <n v="0"/>
  </r>
  <r>
    <s v="Franquicias Sell Out QUEST"/>
    <s v="FQ088- Turbaco - Bolívar"/>
    <x v="0"/>
    <s v="octubre"/>
    <n v="2"/>
    <d v="2026-10-02T00:00:00"/>
    <n v="30873217"/>
    <s v="ALCALÁ CARDONA INELCY"/>
    <n v="42"/>
    <n v="0"/>
    <n v="2254331"/>
  </r>
  <r>
    <s v="Franquicias Sell Out QUEST"/>
    <s v="FQ088- Turbaco - Bolívar"/>
    <x v="0"/>
    <s v="octubre"/>
    <n v="2"/>
    <d v="2026-10-02T00:00:00"/>
    <n v="1050949022"/>
    <s v="TAPIAS CARO MARIA MERCEDES"/>
    <n v="27"/>
    <n v="0"/>
    <n v="1299245"/>
  </r>
  <r>
    <s v="Franquicias Sell Out QUEST"/>
    <s v="FQ088- Turbaco - Bolívar"/>
    <x v="0"/>
    <s v="octubre"/>
    <n v="3"/>
    <d v="2026-10-03T00:00:00"/>
    <m/>
    <m/>
    <n v="0"/>
    <n v="15978900"/>
    <n v="0"/>
  </r>
  <r>
    <s v="Franquicias Sell Out QUEST"/>
    <s v="FQ088- Turbaco - Bolívar"/>
    <x v="0"/>
    <s v="octubre"/>
    <n v="3"/>
    <d v="2026-10-03T00:00:00"/>
    <n v="30873217"/>
    <s v="ALCALÁ CARDONA INELCY"/>
    <n v="119"/>
    <n v="0"/>
    <n v="5642813"/>
  </r>
  <r>
    <s v="Franquicias Sell Out QUEST"/>
    <s v="FQ088- Turbaco - Bolívar"/>
    <x v="0"/>
    <s v="octubre"/>
    <n v="3"/>
    <d v="2026-10-03T00:00:00"/>
    <n v="1050949022"/>
    <s v="TAPIAS CARO MARIA MERCEDES"/>
    <n v="35"/>
    <n v="0"/>
    <n v="1534903"/>
  </r>
  <r>
    <s v="Franquicias Sell Out QUEST"/>
    <s v="FQ088- Turbaco - Bolívar"/>
    <x v="0"/>
    <s v="octubre"/>
    <n v="4"/>
    <d v="2026-10-04T00:00:00"/>
    <m/>
    <m/>
    <n v="0"/>
    <n v="8961417"/>
    <n v="0"/>
  </r>
  <r>
    <s v="Franquicias Sell Out QUEST"/>
    <s v="FQ088- Turbaco - Bolívar"/>
    <x v="0"/>
    <s v="octubre"/>
    <n v="4"/>
    <d v="2026-10-04T00:00:00"/>
    <n v="30873217"/>
    <s v="ALCALÁ CARDONA INELCY"/>
    <n v="101"/>
    <n v="0"/>
    <n v="5522949"/>
  </r>
  <r>
    <s v="Franquicias Sell Out QUEST"/>
    <s v="FQ088- Turbaco - Bolívar"/>
    <x v="0"/>
    <s v="octubre"/>
    <n v="4"/>
    <d v="2026-10-04T00:00:00"/>
    <n v="1050949022"/>
    <s v="TAPIAS CARO MARIA MERCEDES"/>
    <n v="13"/>
    <n v="0"/>
    <n v="474204"/>
  </r>
  <r>
    <s v="Franquicias Sell Out QUEST"/>
    <s v="FQ088- Turbaco - Bolívar"/>
    <x v="0"/>
    <s v="octubre"/>
    <n v="5"/>
    <d v="2026-10-05T00:00:00"/>
    <m/>
    <m/>
    <n v="0"/>
    <n v="5870593"/>
    <n v="0"/>
  </r>
  <r>
    <s v="Franquicias Sell Out QUEST"/>
    <s v="FQ088- Turbaco - Bolívar"/>
    <x v="0"/>
    <s v="octubre"/>
    <n v="5"/>
    <d v="2026-10-05T00:00:00"/>
    <n v="30873217"/>
    <s v="ALCALÁ CARDONA INELCY"/>
    <n v="68"/>
    <n v="0"/>
    <n v="3736223"/>
  </r>
  <r>
    <s v="Franquicias Sell Out QUEST"/>
    <s v="FQ088- Turbaco - Bolívar"/>
    <x v="0"/>
    <s v="octubre"/>
    <n v="5"/>
    <d v="2026-10-05T00:00:00"/>
    <n v="1050949022"/>
    <s v="TAPIAS CARO MARIA MERCEDES"/>
    <n v="3"/>
    <n v="0"/>
    <n v="197353"/>
  </r>
  <r>
    <s v="Franquicias Sell Out QUEST"/>
    <s v="FQ088- Turbaco - Bolívar"/>
    <x v="0"/>
    <s v="octubre"/>
    <n v="6"/>
    <d v="2026-10-06T00:00:00"/>
    <m/>
    <m/>
    <n v="0"/>
    <n v="2841500"/>
    <n v="0"/>
  </r>
  <r>
    <s v="Franquicias Sell Out QUEST"/>
    <s v="FQ088- Turbaco - Bolívar"/>
    <x v="0"/>
    <s v="octubre"/>
    <n v="6"/>
    <d v="2026-10-06T00:00:00"/>
    <n v="30873217"/>
    <s v="ALCALÁ CARDONA INELCY"/>
    <n v="107"/>
    <n v="0"/>
    <n v="5141685"/>
  </r>
  <r>
    <s v="Franquicias Sell Out QUEST"/>
    <s v="FQ088- Turbaco - Bolívar"/>
    <x v="0"/>
    <s v="octubre"/>
    <n v="7"/>
    <d v="2026-10-07T00:00:00"/>
    <m/>
    <m/>
    <n v="0"/>
    <n v="2512703"/>
    <n v="0"/>
  </r>
  <r>
    <s v="Franquicias Sell Out QUEST"/>
    <s v="FQ088- Turbaco - Bolívar"/>
    <x v="0"/>
    <s v="octubre"/>
    <n v="7"/>
    <d v="2026-10-07T00:00:00"/>
    <n v="30873217"/>
    <s v="ALCALÁ CARDONA INELCY"/>
    <n v="37"/>
    <n v="0"/>
    <n v="1666134"/>
  </r>
  <r>
    <s v="Franquicias Sell Out QUEST"/>
    <s v="FQ101  - Cartagena - CC La Gran Manzana"/>
    <x v="0"/>
    <s v="septiembre"/>
    <n v="23"/>
    <d v="2026-09-23T00:00:00"/>
    <m/>
    <m/>
    <n v="0"/>
    <n v="4154586"/>
    <n v="0"/>
  </r>
  <r>
    <s v="Franquicias Sell Out QUEST"/>
    <s v="FQ101  - Cartagena - CC La Gran Manzana"/>
    <x v="0"/>
    <s v="septiembre"/>
    <n v="23"/>
    <d v="2026-09-23T00:00:00"/>
    <n v="1047472890"/>
    <s v="CAMACHO MADRID PAOLA"/>
    <n v="76"/>
    <n v="0"/>
    <n v="3864458"/>
  </r>
  <r>
    <s v="Franquicias Sell Out QUEST"/>
    <s v="FQ101  - Cartagena - CC La Gran Manzana"/>
    <x v="0"/>
    <s v="septiembre"/>
    <n v="23"/>
    <d v="2026-09-23T00:00:00"/>
    <n v="1128050513"/>
    <s v="MARIMON SANCHEZ ANA MILENA"/>
    <n v="90"/>
    <n v="0"/>
    <n v="4510927"/>
  </r>
  <r>
    <s v="Franquicias Sell Out QUEST"/>
    <s v="FQ101  - Cartagena - CC La Gran Manzana"/>
    <x v="0"/>
    <s v="septiembre"/>
    <n v="24"/>
    <d v="2026-09-24T00:00:00"/>
    <m/>
    <m/>
    <n v="0"/>
    <n v="10744559"/>
    <n v="0"/>
  </r>
  <r>
    <s v="Franquicias Sell Out QUEST"/>
    <s v="FQ101  - Cartagena - CC La Gran Manzana"/>
    <x v="0"/>
    <s v="septiembre"/>
    <n v="24"/>
    <d v="2026-09-24T00:00:00"/>
    <n v="1047472890"/>
    <s v="CAMACHO MADRID PAOLA"/>
    <n v="84"/>
    <n v="0"/>
    <n v="4469165"/>
  </r>
  <r>
    <s v="Franquicias Sell Out QUEST"/>
    <s v="FQ101  - Cartagena - CC La Gran Manzana"/>
    <x v="0"/>
    <s v="septiembre"/>
    <n v="24"/>
    <d v="2026-09-24T00:00:00"/>
    <n v="1128050513"/>
    <s v="MARIMON SANCHEZ ANA MILENA"/>
    <n v="85"/>
    <n v="0"/>
    <n v="4626687"/>
  </r>
  <r>
    <s v="Franquicias Sell Out QUEST"/>
    <s v="FQ101  - Cartagena - CC La Gran Manzana"/>
    <x v="0"/>
    <s v="septiembre"/>
    <n v="25"/>
    <d v="2026-09-25T00:00:00"/>
    <m/>
    <m/>
    <n v="0"/>
    <n v="11475774"/>
    <n v="0"/>
  </r>
  <r>
    <s v="Franquicias Sell Out QUEST"/>
    <s v="FQ101  - Cartagena - CC La Gran Manzana"/>
    <x v="0"/>
    <s v="septiembre"/>
    <n v="25"/>
    <d v="2026-09-25T00:00:00"/>
    <n v="1047472890"/>
    <s v="CAMACHO MADRID PAOLA"/>
    <n v="96"/>
    <n v="0"/>
    <n v="4804802"/>
  </r>
  <r>
    <s v="Franquicias Sell Out QUEST"/>
    <s v="FQ101  - Cartagena - CC La Gran Manzana"/>
    <x v="0"/>
    <s v="septiembre"/>
    <n v="25"/>
    <d v="2026-09-25T00:00:00"/>
    <n v="1128050513"/>
    <s v="MARIMON SANCHEZ ANA MILENA"/>
    <n v="99"/>
    <n v="0"/>
    <n v="5533662"/>
  </r>
  <r>
    <s v="Franquicias Sell Out QUEST"/>
    <s v="FQ101  - Cartagena - CC La Gran Manzana"/>
    <x v="0"/>
    <s v="septiembre"/>
    <n v="26"/>
    <d v="2026-09-26T00:00:00"/>
    <m/>
    <m/>
    <n v="0"/>
    <n v="14470662"/>
    <n v="0"/>
  </r>
  <r>
    <s v="Franquicias Sell Out QUEST"/>
    <s v="FQ101  - Cartagena - CC La Gran Manzana"/>
    <x v="0"/>
    <s v="septiembre"/>
    <n v="26"/>
    <d v="2026-09-26T00:00:00"/>
    <n v="1047472890"/>
    <s v="CAMACHO MADRID PAOLA"/>
    <n v="173"/>
    <n v="0"/>
    <n v="9067873"/>
  </r>
  <r>
    <s v="Franquicias Sell Out QUEST"/>
    <s v="FQ101  - Cartagena - CC La Gran Manzana"/>
    <x v="0"/>
    <s v="septiembre"/>
    <n v="26"/>
    <d v="2026-09-26T00:00:00"/>
    <n v="1128050513"/>
    <s v="MARIMON SANCHEZ ANA MILENA"/>
    <n v="179"/>
    <n v="0"/>
    <n v="7665073"/>
  </r>
  <r>
    <s v="Franquicias Sell Out QUEST"/>
    <s v="FQ101  - Cartagena - CC La Gran Manzana"/>
    <x v="0"/>
    <s v="septiembre"/>
    <n v="27"/>
    <d v="2026-09-27T00:00:00"/>
    <m/>
    <m/>
    <n v="0"/>
    <n v="7640370"/>
    <n v="0"/>
  </r>
  <r>
    <s v="Franquicias Sell Out QUEST"/>
    <s v="FQ101  - Cartagena - CC La Gran Manzana"/>
    <x v="0"/>
    <s v="septiembre"/>
    <n v="27"/>
    <d v="2026-09-27T00:00:00"/>
    <n v="1047472890"/>
    <s v="CAMACHO MADRID PAOLA"/>
    <n v="115"/>
    <n v="0"/>
    <n v="6343667"/>
  </r>
  <r>
    <s v="Franquicias Sell Out QUEST"/>
    <s v="FQ101  - Cartagena - CC La Gran Manzana"/>
    <x v="0"/>
    <s v="septiembre"/>
    <n v="27"/>
    <d v="2026-09-27T00:00:00"/>
    <n v="1128050513"/>
    <s v="MARIMON SANCHEZ ANA MILENA"/>
    <n v="129"/>
    <n v="0"/>
    <n v="6586856"/>
  </r>
  <r>
    <s v="Franquicias Sell Out QUEST"/>
    <s v="FQ101  - Cartagena - CC La Gran Manzana"/>
    <x v="0"/>
    <s v="septiembre"/>
    <n v="28"/>
    <d v="2026-09-28T00:00:00"/>
    <m/>
    <m/>
    <n v="0"/>
    <n v="6264273"/>
    <n v="0"/>
  </r>
  <r>
    <s v="Franquicias Sell Out QUEST"/>
    <s v="FQ101  - Cartagena - CC La Gran Manzana"/>
    <x v="0"/>
    <s v="septiembre"/>
    <n v="28"/>
    <d v="2026-09-28T00:00:00"/>
    <n v="1047472890"/>
    <s v="CAMACHO MADRID PAOLA"/>
    <n v="43"/>
    <n v="0"/>
    <n v="2327817"/>
  </r>
  <r>
    <s v="Franquicias Sell Out QUEST"/>
    <s v="FQ101  - Cartagena - CC La Gran Manzana"/>
    <x v="0"/>
    <s v="septiembre"/>
    <n v="28"/>
    <d v="2026-09-28T00:00:00"/>
    <n v="1128050513"/>
    <s v="MARIMON SANCHEZ ANA MILENA"/>
    <n v="67"/>
    <n v="0"/>
    <n v="3442147"/>
  </r>
  <r>
    <s v="Franquicias Sell Out QUEST"/>
    <s v="FQ101  - Cartagena - CC La Gran Manzana"/>
    <x v="0"/>
    <s v="septiembre"/>
    <n v="29"/>
    <d v="2026-09-29T00:00:00"/>
    <m/>
    <m/>
    <n v="0"/>
    <n v="6964020"/>
    <n v="0"/>
  </r>
  <r>
    <s v="Franquicias Sell Out QUEST"/>
    <s v="FQ101  - Cartagena - CC La Gran Manzana"/>
    <x v="0"/>
    <s v="septiembre"/>
    <n v="29"/>
    <d v="2026-09-29T00:00:00"/>
    <n v="1047472890"/>
    <s v="CAMACHO MADRID PAOLA"/>
    <n v="74"/>
    <n v="0"/>
    <n v="3967359"/>
  </r>
  <r>
    <s v="Franquicias Sell Out QUEST"/>
    <s v="FQ101  - Cartagena - CC La Gran Manzana"/>
    <x v="0"/>
    <s v="septiembre"/>
    <n v="29"/>
    <d v="2026-09-29T00:00:00"/>
    <n v="1128050513"/>
    <s v="MARIMON SANCHEZ ANA MILENA"/>
    <n v="64"/>
    <n v="0"/>
    <n v="3328949"/>
  </r>
  <r>
    <s v="Franquicias Sell Out QUEST"/>
    <s v="FQ101  - Cartagena - CC La Gran Manzana"/>
    <x v="0"/>
    <s v="septiembre"/>
    <n v="30"/>
    <d v="2026-09-30T00:00:00"/>
    <m/>
    <m/>
    <n v="0"/>
    <n v="7375117"/>
    <n v="0"/>
  </r>
  <r>
    <s v="Franquicias Sell Out QUEST"/>
    <s v="FQ101  - Cartagena - CC La Gran Manzana"/>
    <x v="0"/>
    <s v="septiembre"/>
    <n v="30"/>
    <d v="2026-09-30T00:00:00"/>
    <n v="1047472890"/>
    <s v="CAMACHO MADRID PAOLA"/>
    <n v="66"/>
    <n v="0"/>
    <n v="3497064"/>
  </r>
  <r>
    <s v="Franquicias Sell Out QUEST"/>
    <s v="FQ101  - Cartagena - CC La Gran Manzana"/>
    <x v="0"/>
    <s v="septiembre"/>
    <n v="30"/>
    <d v="2026-09-30T00:00:00"/>
    <n v="1128050513"/>
    <s v="MARIMON SANCHEZ ANA MILENA"/>
    <n v="73"/>
    <n v="0"/>
    <n v="3746600"/>
  </r>
  <r>
    <s v="Franquicias Sell Out QUEST"/>
    <s v="FQ101  - Cartagena - CC La Gran Manzana"/>
    <x v="0"/>
    <s v="octubre"/>
    <n v="1"/>
    <d v="2026-10-01T00:00:00"/>
    <m/>
    <m/>
    <n v="0"/>
    <n v="11334044"/>
    <n v="0"/>
  </r>
  <r>
    <s v="Franquicias Sell Out QUEST"/>
    <s v="FQ101  - Cartagena - CC La Gran Manzana"/>
    <x v="0"/>
    <s v="octubre"/>
    <n v="1"/>
    <d v="2026-10-01T00:00:00"/>
    <n v="1047472890"/>
    <s v="CAMACHO MADRID PAOLA"/>
    <n v="59"/>
    <n v="0"/>
    <n v="3266307"/>
  </r>
  <r>
    <s v="Franquicias Sell Out QUEST"/>
    <s v="FQ101  - Cartagena - CC La Gran Manzana"/>
    <x v="0"/>
    <s v="octubre"/>
    <n v="1"/>
    <d v="2026-10-01T00:00:00"/>
    <n v="1128050513"/>
    <s v="MARIMON SANCHEZ ANA MILENA"/>
    <n v="85"/>
    <n v="0"/>
    <n v="4742023"/>
  </r>
  <r>
    <s v="Franquicias Sell Out QUEST"/>
    <s v="FQ101  - Cartagena - CC La Gran Manzana"/>
    <x v="0"/>
    <s v="octubre"/>
    <n v="1"/>
    <d v="2026-10-01T00:00:00"/>
    <n v="1143388884"/>
    <s v="MARQUEZ  ADRIANA DEL PILAR"/>
    <n v="-1"/>
    <n v="0"/>
    <n v="-117605"/>
  </r>
  <r>
    <s v="Franquicias Sell Out QUEST"/>
    <s v="FQ101  - Cartagena - CC La Gran Manzana"/>
    <x v="0"/>
    <s v="octubre"/>
    <n v="2"/>
    <d v="2026-10-02T00:00:00"/>
    <m/>
    <m/>
    <n v="0"/>
    <n v="16753683"/>
    <n v="0"/>
  </r>
  <r>
    <s v="Franquicias Sell Out QUEST"/>
    <s v="FQ101  - Cartagena - CC La Gran Manzana"/>
    <x v="0"/>
    <s v="octubre"/>
    <n v="2"/>
    <d v="2026-10-02T00:00:00"/>
    <n v="1047472890"/>
    <s v="CAMACHO MADRID PAOLA"/>
    <n v="115"/>
    <n v="0"/>
    <n v="6419209"/>
  </r>
  <r>
    <s v="Franquicias Sell Out QUEST"/>
    <s v="FQ101  - Cartagena - CC La Gran Manzana"/>
    <x v="0"/>
    <s v="octubre"/>
    <n v="2"/>
    <d v="2026-10-02T00:00:00"/>
    <n v="1128050513"/>
    <s v="MARIMON SANCHEZ ANA MILENA"/>
    <n v="91"/>
    <n v="0"/>
    <n v="5332185"/>
  </r>
  <r>
    <s v="Franquicias Sell Out QUEST"/>
    <s v="FQ101  - Cartagena - CC La Gran Manzana"/>
    <x v="0"/>
    <s v="octubre"/>
    <n v="3"/>
    <d v="2026-10-03T00:00:00"/>
    <m/>
    <m/>
    <n v="0"/>
    <n v="24721406"/>
    <n v="0"/>
  </r>
  <r>
    <s v="Franquicias Sell Out QUEST"/>
    <s v="FQ101  - Cartagena - CC La Gran Manzana"/>
    <x v="0"/>
    <s v="octubre"/>
    <n v="3"/>
    <d v="2026-10-03T00:00:00"/>
    <n v="1047472890"/>
    <s v="CAMACHO MADRID PAOLA"/>
    <n v="144"/>
    <n v="0"/>
    <n v="6427083"/>
  </r>
  <r>
    <s v="Franquicias Sell Out QUEST"/>
    <s v="FQ101  - Cartagena - CC La Gran Manzana"/>
    <x v="0"/>
    <s v="octubre"/>
    <n v="3"/>
    <d v="2026-10-03T00:00:00"/>
    <n v="1128050513"/>
    <s v="MARIMON SANCHEZ ANA MILENA"/>
    <n v="124"/>
    <n v="0"/>
    <n v="5896911"/>
  </r>
  <r>
    <s v="Franquicias Sell Out QUEST"/>
    <s v="FQ101  - Cartagena - CC La Gran Manzana"/>
    <x v="0"/>
    <s v="octubre"/>
    <n v="4"/>
    <d v="2026-10-04T00:00:00"/>
    <m/>
    <m/>
    <n v="0"/>
    <n v="12481040"/>
    <n v="0"/>
  </r>
  <r>
    <s v="Franquicias Sell Out QUEST"/>
    <s v="FQ101  - Cartagena - CC La Gran Manzana"/>
    <x v="0"/>
    <s v="octubre"/>
    <n v="4"/>
    <d v="2026-10-04T00:00:00"/>
    <n v="1047472890"/>
    <s v="CAMACHO MADRID PAOLA"/>
    <n v="98"/>
    <n v="0"/>
    <n v="5379796"/>
  </r>
  <r>
    <s v="Franquicias Sell Out QUEST"/>
    <s v="FQ101  - Cartagena - CC La Gran Manzana"/>
    <x v="0"/>
    <s v="octubre"/>
    <n v="4"/>
    <d v="2026-10-04T00:00:00"/>
    <n v="1128050513"/>
    <s v="MARIMON SANCHEZ ANA MILENA"/>
    <n v="94"/>
    <n v="0"/>
    <n v="4804120"/>
  </r>
  <r>
    <s v="Franquicias Sell Out QUEST"/>
    <s v="FQ101  - Cartagena - CC La Gran Manzana"/>
    <x v="0"/>
    <s v="octubre"/>
    <n v="5"/>
    <d v="2026-10-05T00:00:00"/>
    <m/>
    <m/>
    <n v="0"/>
    <n v="5755099"/>
    <n v="0"/>
  </r>
  <r>
    <s v="Franquicias Sell Out QUEST"/>
    <s v="FQ101  - Cartagena - CC La Gran Manzana"/>
    <x v="0"/>
    <s v="octubre"/>
    <n v="5"/>
    <d v="2026-10-05T00:00:00"/>
    <n v="1047472890"/>
    <s v="CAMACHO MADRID PAOLA"/>
    <n v="42"/>
    <n v="0"/>
    <n v="2481262"/>
  </r>
  <r>
    <s v="Franquicias Sell Out QUEST"/>
    <s v="FQ101  - Cartagena - CC La Gran Manzana"/>
    <x v="0"/>
    <s v="octubre"/>
    <n v="5"/>
    <d v="2026-10-05T00:00:00"/>
    <n v="1128050513"/>
    <s v="MARIMON SANCHEZ ANA MILENA"/>
    <n v="47"/>
    <n v="0"/>
    <n v="2691179"/>
  </r>
  <r>
    <s v="Franquicias Sell Out QUEST"/>
    <s v="FQ101  - Cartagena - CC La Gran Manzana"/>
    <x v="0"/>
    <s v="octubre"/>
    <n v="6"/>
    <d v="2026-10-06T00:00:00"/>
    <m/>
    <m/>
    <n v="0"/>
    <n v="5891905"/>
    <n v="0"/>
  </r>
  <r>
    <s v="Franquicias Sell Out QUEST"/>
    <s v="FQ101  - Cartagena - CC La Gran Manzana"/>
    <x v="0"/>
    <s v="octubre"/>
    <n v="6"/>
    <d v="2026-10-06T00:00:00"/>
    <n v="1047472890"/>
    <s v="CAMACHO MADRID PAOLA"/>
    <n v="28"/>
    <n v="0"/>
    <n v="1341011"/>
  </r>
  <r>
    <s v="Franquicias Sell Out QUEST"/>
    <s v="FQ101  - Cartagena - CC La Gran Manzana"/>
    <x v="0"/>
    <s v="octubre"/>
    <n v="6"/>
    <d v="2026-10-06T00:00:00"/>
    <n v="1128050513"/>
    <s v="MARIMON SANCHEZ ANA MILENA"/>
    <n v="39"/>
    <n v="0"/>
    <n v="1485000"/>
  </r>
  <r>
    <s v="Franquicias Sell Out QUEST"/>
    <s v="FQ101  - Cartagena - CC La Gran Manzana"/>
    <x v="0"/>
    <s v="octubre"/>
    <n v="7"/>
    <d v="2026-10-07T00:00:00"/>
    <m/>
    <m/>
    <n v="0"/>
    <n v="3997571"/>
    <n v="0"/>
  </r>
  <r>
    <s v="Franquicias Sell Out QUEST"/>
    <s v="FQ101  - Cartagena - CC La Gran Manzana"/>
    <x v="0"/>
    <s v="octubre"/>
    <n v="7"/>
    <d v="2026-10-07T00:00:00"/>
    <n v="1047472890"/>
    <s v="CAMACHO MADRID PAOLA"/>
    <n v="25"/>
    <n v="0"/>
    <n v="1200254"/>
  </r>
  <r>
    <s v="Franquicias Sell Out QUEST"/>
    <s v="FQ101  - Cartagena - CC La Gran Manzana"/>
    <x v="0"/>
    <s v="octubre"/>
    <n v="7"/>
    <d v="2026-10-07T00:00:00"/>
    <n v="1128050513"/>
    <s v="MARIMON SANCHEZ ANA MILENA"/>
    <n v="27"/>
    <n v="0"/>
    <n v="1254836"/>
  </r>
  <r>
    <s v="Franquicias Sell Out QUEST"/>
    <s v="FQ105 - Montería, Córdoba"/>
    <x v="0"/>
    <s v="septiembre"/>
    <n v="23"/>
    <d v="2026-09-23T00:00:00"/>
    <m/>
    <m/>
    <n v="0"/>
    <n v="1254447"/>
    <n v="0"/>
  </r>
  <r>
    <s v="Franquicias Sell Out QUEST"/>
    <s v="FQ105 - Montería, Córdoba"/>
    <x v="0"/>
    <s v="septiembre"/>
    <n v="23"/>
    <d v="2026-09-23T00:00:00"/>
    <n v="68291425"/>
    <s v="RODRÍGUEZ CALDERÓN SILVIA SOLEDAD"/>
    <n v="31"/>
    <n v="0"/>
    <n v="1607901"/>
  </r>
  <r>
    <s v="Franquicias Sell Out QUEST"/>
    <s v="FQ105 - Montería, Córdoba"/>
    <x v="0"/>
    <s v="septiembre"/>
    <n v="23"/>
    <d v="2026-09-23T00:00:00"/>
    <n v="1065009482"/>
    <s v="RUIZ HERRERA SONIA MILENA"/>
    <n v="17"/>
    <n v="0"/>
    <n v="971891"/>
  </r>
  <r>
    <s v="Franquicias Sell Out QUEST"/>
    <s v="FQ105 - Montería, Córdoba"/>
    <x v="0"/>
    <s v="septiembre"/>
    <n v="23"/>
    <d v="2026-09-23T00:00:00"/>
    <n v="1193105936"/>
    <s v="GONZALEZ VARGAS MELISSA ISABEL"/>
    <n v="12"/>
    <n v="0"/>
    <n v="688570"/>
  </r>
  <r>
    <s v="Franquicias Sell Out QUEST"/>
    <s v="FQ105 - Montería, Córdoba"/>
    <x v="0"/>
    <s v="septiembre"/>
    <n v="24"/>
    <d v="2026-09-24T00:00:00"/>
    <m/>
    <m/>
    <n v="0"/>
    <n v="3244243"/>
    <n v="0"/>
  </r>
  <r>
    <s v="Franquicias Sell Out QUEST"/>
    <s v="FQ105 - Montería, Córdoba"/>
    <x v="0"/>
    <s v="septiembre"/>
    <n v="24"/>
    <d v="2026-09-24T00:00:00"/>
    <n v="68291425"/>
    <s v="RODRÍGUEZ CALDERÓN SILVIA SOLEDAD"/>
    <n v="52"/>
    <n v="0"/>
    <n v="2733075"/>
  </r>
  <r>
    <s v="Franquicias Sell Out QUEST"/>
    <s v="FQ105 - Montería, Córdoba"/>
    <x v="0"/>
    <s v="septiembre"/>
    <n v="24"/>
    <d v="2026-09-24T00:00:00"/>
    <n v="1065009482"/>
    <s v="RUIZ HERRERA SONIA MILENA"/>
    <n v="15"/>
    <n v="0"/>
    <n v="953154"/>
  </r>
  <r>
    <s v="Franquicias Sell Out QUEST"/>
    <s v="FQ105 - Montería, Córdoba"/>
    <x v="0"/>
    <s v="septiembre"/>
    <n v="24"/>
    <d v="2026-09-24T00:00:00"/>
    <n v="1193105936"/>
    <s v="GONZALEZ VARGAS MELISSA ISABEL"/>
    <n v="23"/>
    <n v="0"/>
    <n v="1337270"/>
  </r>
  <r>
    <s v="Franquicias Sell Out QUEST"/>
    <s v="FQ105 - Montería, Córdoba"/>
    <x v="0"/>
    <s v="septiembre"/>
    <n v="25"/>
    <d v="2026-09-25T00:00:00"/>
    <m/>
    <m/>
    <n v="0"/>
    <n v="3465029"/>
    <n v="0"/>
  </r>
  <r>
    <s v="Franquicias Sell Out QUEST"/>
    <s v="FQ105 - Montería, Córdoba"/>
    <x v="0"/>
    <s v="septiembre"/>
    <n v="25"/>
    <d v="2026-09-25T00:00:00"/>
    <n v="68291425"/>
    <s v="RODRÍGUEZ CALDERÓN SILVIA SOLEDAD"/>
    <n v="27"/>
    <n v="0"/>
    <n v="1227860"/>
  </r>
  <r>
    <s v="Franquicias Sell Out QUEST"/>
    <s v="FQ105 - Montería, Córdoba"/>
    <x v="0"/>
    <s v="septiembre"/>
    <n v="25"/>
    <d v="2026-09-25T00:00:00"/>
    <n v="1065009482"/>
    <s v="RUIZ HERRERA SONIA MILENA"/>
    <n v="12"/>
    <n v="0"/>
    <n v="621346"/>
  </r>
  <r>
    <s v="Franquicias Sell Out QUEST"/>
    <s v="FQ105 - Montería, Córdoba"/>
    <x v="0"/>
    <s v="septiembre"/>
    <n v="25"/>
    <d v="2026-09-25T00:00:00"/>
    <n v="1193105936"/>
    <s v="GONZALEZ VARGAS MELISSA ISABEL"/>
    <n v="14"/>
    <n v="0"/>
    <n v="881767"/>
  </r>
  <r>
    <s v="Franquicias Sell Out QUEST"/>
    <s v="FQ105 - Montería, Córdoba"/>
    <x v="0"/>
    <s v="septiembre"/>
    <n v="26"/>
    <d v="2026-09-26T00:00:00"/>
    <m/>
    <m/>
    <n v="0"/>
    <n v="4369317"/>
    <n v="0"/>
  </r>
  <r>
    <s v="Franquicias Sell Out QUEST"/>
    <s v="FQ105 - Montería, Córdoba"/>
    <x v="0"/>
    <s v="septiembre"/>
    <n v="26"/>
    <d v="2026-09-26T00:00:00"/>
    <n v="68291425"/>
    <s v="RODRÍGUEZ CALDERÓN SILVIA SOLEDAD"/>
    <n v="62"/>
    <n v="0"/>
    <n v="3173868"/>
  </r>
  <r>
    <s v="Franquicias Sell Out QUEST"/>
    <s v="FQ105 - Montería, Córdoba"/>
    <x v="0"/>
    <s v="septiembre"/>
    <n v="26"/>
    <d v="2026-09-26T00:00:00"/>
    <n v="1065009482"/>
    <s v="RUIZ HERRERA SONIA MILENA"/>
    <n v="36"/>
    <n v="0"/>
    <n v="1895549"/>
  </r>
  <r>
    <s v="Franquicias Sell Out QUEST"/>
    <s v="FQ105 - Montería, Córdoba"/>
    <x v="0"/>
    <s v="septiembre"/>
    <n v="26"/>
    <d v="2026-09-26T00:00:00"/>
    <n v="1193105936"/>
    <s v="GONZALEZ VARGAS MELISSA ISABEL"/>
    <n v="38"/>
    <n v="0"/>
    <n v="1994206"/>
  </r>
  <r>
    <s v="Franquicias Sell Out QUEST"/>
    <s v="FQ105 - Montería, Córdoba"/>
    <x v="0"/>
    <s v="septiembre"/>
    <n v="27"/>
    <d v="2026-09-27T00:00:00"/>
    <m/>
    <m/>
    <n v="0"/>
    <n v="2306957"/>
    <n v="0"/>
  </r>
  <r>
    <s v="Franquicias Sell Out QUEST"/>
    <s v="FQ105 - Montería, Córdoba"/>
    <x v="0"/>
    <s v="septiembre"/>
    <n v="27"/>
    <d v="2026-09-27T00:00:00"/>
    <n v="68291425"/>
    <s v="RODRÍGUEZ CALDERÓN SILVIA SOLEDAD"/>
    <n v="3"/>
    <n v="0"/>
    <n v="104916"/>
  </r>
  <r>
    <s v="Franquicias Sell Out QUEST"/>
    <s v="FQ105 - Montería, Córdoba"/>
    <x v="0"/>
    <s v="septiembre"/>
    <n v="27"/>
    <d v="2026-09-27T00:00:00"/>
    <n v="1065009482"/>
    <s v="RUIZ HERRERA SONIA MILENA"/>
    <n v="2"/>
    <n v="0"/>
    <n v="121765"/>
  </r>
  <r>
    <s v="Franquicias Sell Out QUEST"/>
    <s v="FQ105 - Montería, Córdoba"/>
    <x v="0"/>
    <s v="septiembre"/>
    <n v="27"/>
    <d v="2026-09-27T00:00:00"/>
    <n v="1193105936"/>
    <s v="GONZALEZ VARGAS MELISSA ISABEL"/>
    <n v="1"/>
    <n v="0"/>
    <n v="46177"/>
  </r>
  <r>
    <s v="Franquicias Sell Out QUEST"/>
    <s v="FQ105 - Montería, Córdoba"/>
    <x v="0"/>
    <s v="septiembre"/>
    <n v="28"/>
    <d v="2026-09-28T00:00:00"/>
    <m/>
    <m/>
    <n v="0"/>
    <n v="1891452"/>
    <n v="0"/>
  </r>
  <r>
    <s v="Franquicias Sell Out QUEST"/>
    <s v="FQ105 - Montería, Córdoba"/>
    <x v="0"/>
    <s v="septiembre"/>
    <n v="28"/>
    <d v="2026-09-28T00:00:00"/>
    <n v="1065009482"/>
    <s v="RUIZ HERRERA SONIA MILENA"/>
    <n v="22"/>
    <n v="0"/>
    <n v="1028277"/>
  </r>
  <r>
    <s v="Franquicias Sell Out QUEST"/>
    <s v="FQ105 - Montería, Córdoba"/>
    <x v="0"/>
    <s v="septiembre"/>
    <n v="28"/>
    <d v="2026-09-28T00:00:00"/>
    <n v="1193105936"/>
    <s v="GONZALEZ VARGAS MELISSA ISABEL"/>
    <n v="23"/>
    <n v="0"/>
    <n v="1377189"/>
  </r>
  <r>
    <s v="Franquicias Sell Out QUEST"/>
    <s v="FQ105 - Montería, Córdoba"/>
    <x v="0"/>
    <s v="septiembre"/>
    <n v="29"/>
    <d v="2026-09-29T00:00:00"/>
    <m/>
    <m/>
    <n v="0"/>
    <n v="2102737"/>
    <n v="0"/>
  </r>
  <r>
    <s v="Franquicias Sell Out QUEST"/>
    <s v="FQ105 - Montería, Córdoba"/>
    <x v="0"/>
    <s v="septiembre"/>
    <n v="29"/>
    <d v="2026-09-29T00:00:00"/>
    <n v="68291425"/>
    <s v="RODRÍGUEZ CALDERÓN SILVIA SOLEDAD"/>
    <n v="38"/>
    <n v="0"/>
    <n v="2120086"/>
  </r>
  <r>
    <s v="Franquicias Sell Out QUEST"/>
    <s v="FQ105 - Montería, Córdoba"/>
    <x v="0"/>
    <s v="septiembre"/>
    <n v="29"/>
    <d v="2026-09-29T00:00:00"/>
    <n v="1193105936"/>
    <s v="GONZALEZ VARGAS MELISSA ISABEL"/>
    <n v="39"/>
    <n v="0"/>
    <n v="1598952"/>
  </r>
  <r>
    <s v="Franquicias Sell Out QUEST"/>
    <s v="FQ105 - Montería, Córdoba"/>
    <x v="0"/>
    <s v="septiembre"/>
    <n v="30"/>
    <d v="2026-09-30T00:00:00"/>
    <m/>
    <m/>
    <n v="0"/>
    <n v="2226867"/>
    <n v="0"/>
  </r>
  <r>
    <s v="Franquicias Sell Out QUEST"/>
    <s v="FQ105 - Montería, Córdoba"/>
    <x v="0"/>
    <s v="septiembre"/>
    <n v="30"/>
    <d v="2026-09-30T00:00:00"/>
    <n v="68291425"/>
    <s v="RODRÍGUEZ CALDERÓN SILVIA SOLEDAD"/>
    <n v="40"/>
    <n v="0"/>
    <n v="1935085"/>
  </r>
  <r>
    <s v="Franquicias Sell Out QUEST"/>
    <s v="FQ105 - Montería, Córdoba"/>
    <x v="0"/>
    <s v="septiembre"/>
    <n v="30"/>
    <d v="2026-09-30T00:00:00"/>
    <n v="1065009482"/>
    <s v="RUIZ HERRERA SONIA MILENA"/>
    <n v="24"/>
    <n v="0"/>
    <n v="1259414"/>
  </r>
  <r>
    <s v="Franquicias Sell Out QUEST"/>
    <s v="FQ105 - Montería, Córdoba"/>
    <x v="0"/>
    <s v="septiembre"/>
    <n v="30"/>
    <d v="2026-09-30T00:00:00"/>
    <n v="1193105936"/>
    <s v="GONZALEZ VARGAS MELISSA ISABEL"/>
    <n v="28"/>
    <n v="0"/>
    <n v="1162566"/>
  </r>
  <r>
    <s v="Franquicias Sell Out QUEST"/>
    <s v="FQ105 - Montería, Córdoba"/>
    <x v="0"/>
    <s v="octubre"/>
    <n v="1"/>
    <d v="2026-10-01T00:00:00"/>
    <m/>
    <m/>
    <n v="0"/>
    <n v="4366234"/>
    <n v="0"/>
  </r>
  <r>
    <s v="Franquicias Sell Out QUEST"/>
    <s v="FQ105 - Montería, Córdoba"/>
    <x v="0"/>
    <s v="octubre"/>
    <n v="1"/>
    <d v="2026-10-01T00:00:00"/>
    <n v="68291425"/>
    <s v="RODRÍGUEZ CALDERÓN SILVIA SOLEDAD"/>
    <n v="27"/>
    <n v="0"/>
    <n v="1440002"/>
  </r>
  <r>
    <s v="Franquicias Sell Out QUEST"/>
    <s v="FQ105 - Montería, Córdoba"/>
    <x v="0"/>
    <s v="octubre"/>
    <n v="1"/>
    <d v="2026-10-01T00:00:00"/>
    <n v="1065009482"/>
    <s v="RUIZ HERRERA SONIA MILENA"/>
    <n v="18"/>
    <n v="0"/>
    <n v="772227"/>
  </r>
  <r>
    <s v="Franquicias Sell Out QUEST"/>
    <s v="FQ105 - Montería, Córdoba"/>
    <x v="0"/>
    <s v="octubre"/>
    <n v="1"/>
    <d v="2026-10-01T00:00:00"/>
    <n v="1193105936"/>
    <s v="GONZALEZ VARGAS MELISSA ISABEL"/>
    <n v="22"/>
    <n v="0"/>
    <n v="1053617"/>
  </r>
  <r>
    <s v="Franquicias Sell Out QUEST"/>
    <s v="FQ105 - Montería, Córdoba"/>
    <x v="0"/>
    <s v="octubre"/>
    <n v="2"/>
    <d v="2026-10-02T00:00:00"/>
    <m/>
    <m/>
    <n v="0"/>
    <n v="7627634"/>
    <n v="0"/>
  </r>
  <r>
    <s v="Franquicias Sell Out QUEST"/>
    <s v="FQ105 - Montería, Córdoba"/>
    <x v="0"/>
    <s v="octubre"/>
    <n v="2"/>
    <d v="2026-10-02T00:00:00"/>
    <n v="68291425"/>
    <s v="RODRÍGUEZ CALDERÓN SILVIA SOLEDAD"/>
    <n v="34"/>
    <n v="0"/>
    <n v="1641222"/>
  </r>
  <r>
    <s v="Franquicias Sell Out QUEST"/>
    <s v="FQ105 - Montería, Córdoba"/>
    <x v="0"/>
    <s v="octubre"/>
    <n v="2"/>
    <d v="2026-10-02T00:00:00"/>
    <n v="1065009482"/>
    <s v="RUIZ HERRERA SONIA MILENA"/>
    <n v="20"/>
    <n v="0"/>
    <n v="1070504"/>
  </r>
  <r>
    <s v="Franquicias Sell Out QUEST"/>
    <s v="FQ105 - Montería, Córdoba"/>
    <x v="0"/>
    <s v="octubre"/>
    <n v="2"/>
    <d v="2026-10-02T00:00:00"/>
    <n v="1193105936"/>
    <s v="GONZALEZ VARGAS MELISSA ISABEL"/>
    <n v="22"/>
    <n v="0"/>
    <n v="1015800"/>
  </r>
  <r>
    <s v="Franquicias Sell Out QUEST"/>
    <s v="FQ105 - Montería, Córdoba"/>
    <x v="0"/>
    <s v="octubre"/>
    <n v="3"/>
    <d v="2026-10-03T00:00:00"/>
    <m/>
    <m/>
    <n v="0"/>
    <n v="6021662"/>
    <n v="0"/>
  </r>
  <r>
    <s v="Franquicias Sell Out QUEST"/>
    <s v="FQ105 - Montería, Córdoba"/>
    <x v="0"/>
    <s v="octubre"/>
    <n v="3"/>
    <d v="2026-10-03T00:00:00"/>
    <n v="68291425"/>
    <s v="RODRÍGUEZ CALDERÓN SILVIA SOLEDAD"/>
    <n v="25"/>
    <n v="0"/>
    <n v="1179988"/>
  </r>
  <r>
    <s v="Franquicias Sell Out QUEST"/>
    <s v="FQ105 - Montería, Córdoba"/>
    <x v="0"/>
    <s v="octubre"/>
    <n v="3"/>
    <d v="2026-10-03T00:00:00"/>
    <n v="1065009482"/>
    <s v="RUIZ HERRERA SONIA MILENA"/>
    <n v="22"/>
    <n v="0"/>
    <n v="1026573"/>
  </r>
  <r>
    <s v="Franquicias Sell Out QUEST"/>
    <s v="FQ105 - Montería, Córdoba"/>
    <x v="0"/>
    <s v="octubre"/>
    <n v="3"/>
    <d v="2026-10-03T00:00:00"/>
    <n v="1193105936"/>
    <s v="GONZALEZ VARGAS MELISSA ISABEL"/>
    <n v="31"/>
    <n v="0"/>
    <n v="1421404"/>
  </r>
  <r>
    <s v="Franquicias Sell Out QUEST"/>
    <s v="FQ105 - Montería, Córdoba"/>
    <x v="0"/>
    <s v="octubre"/>
    <n v="4"/>
    <d v="2026-10-04T00:00:00"/>
    <m/>
    <m/>
    <n v="0"/>
    <n v="1849752"/>
    <n v="0"/>
  </r>
  <r>
    <s v="Franquicias Sell Out QUEST"/>
    <s v="FQ105 - Montería, Córdoba"/>
    <x v="0"/>
    <s v="octubre"/>
    <n v="5"/>
    <d v="2026-10-05T00:00:00"/>
    <m/>
    <m/>
    <n v="0"/>
    <n v="8163207"/>
    <n v="0"/>
  </r>
  <r>
    <s v="Franquicias Sell Out QUEST"/>
    <s v="FQ105 - Montería, Córdoba"/>
    <x v="0"/>
    <s v="octubre"/>
    <n v="5"/>
    <d v="2026-10-05T00:00:00"/>
    <n v="68291425"/>
    <s v="RODRÍGUEZ CALDERÓN SILVIA SOLEDAD"/>
    <n v="3"/>
    <n v="0"/>
    <n v="159453"/>
  </r>
  <r>
    <s v="Franquicias Sell Out QUEST"/>
    <s v="FQ105 - Montería, Córdoba"/>
    <x v="0"/>
    <s v="octubre"/>
    <n v="5"/>
    <d v="2026-10-05T00:00:00"/>
    <n v="1065009482"/>
    <s v="RUIZ HERRERA SONIA MILENA"/>
    <n v="40"/>
    <n v="0"/>
    <n v="1888998"/>
  </r>
  <r>
    <s v="Franquicias Sell Out QUEST"/>
    <s v="FQ105 - Montería, Córdoba"/>
    <x v="0"/>
    <s v="octubre"/>
    <n v="5"/>
    <d v="2026-10-05T00:00:00"/>
    <n v="1193105936"/>
    <s v="GONZALEZ VARGAS MELISSA ISABEL"/>
    <n v="26"/>
    <n v="0"/>
    <n v="1347482"/>
  </r>
  <r>
    <s v="Franquicias Sell Out QUEST"/>
    <s v="FQ105 - Montería, Córdoba"/>
    <x v="0"/>
    <s v="octubre"/>
    <n v="6"/>
    <d v="2026-10-06T00:00:00"/>
    <m/>
    <m/>
    <n v="0"/>
    <n v="749981"/>
    <n v="0"/>
  </r>
  <r>
    <s v="Franquicias Sell Out QUEST"/>
    <s v="FQ105 - Montería, Córdoba"/>
    <x v="0"/>
    <s v="octubre"/>
    <n v="6"/>
    <d v="2026-10-06T00:00:00"/>
    <n v="68291425"/>
    <s v="RODRÍGUEZ CALDERÓN SILVIA SOLEDAD"/>
    <n v="32"/>
    <n v="0"/>
    <n v="1699775"/>
  </r>
  <r>
    <s v="Franquicias Sell Out QUEST"/>
    <s v="FQ105 - Montería, Córdoba"/>
    <x v="0"/>
    <s v="octubre"/>
    <n v="6"/>
    <d v="2026-10-06T00:00:00"/>
    <n v="1065009482"/>
    <s v="RUIZ HERRERA SONIA MILENA"/>
    <n v="1"/>
    <n v="0"/>
    <n v="50378"/>
  </r>
  <r>
    <s v="Franquicias Sell Out QUEST"/>
    <s v="FQ105 - Montería, Córdoba"/>
    <x v="0"/>
    <s v="octubre"/>
    <n v="6"/>
    <d v="2026-10-06T00:00:00"/>
    <n v="1193105936"/>
    <s v="GONZALEZ VARGAS MELISSA ISABEL"/>
    <n v="31"/>
    <n v="0"/>
    <n v="1646820"/>
  </r>
  <r>
    <s v="Franquicias Sell Out QUEST"/>
    <s v="FQ105 - Montería, Córdoba"/>
    <x v="0"/>
    <s v="octubre"/>
    <n v="7"/>
    <d v="2026-10-07T00:00:00"/>
    <m/>
    <m/>
    <n v="0"/>
    <n v="462322"/>
    <n v="0"/>
  </r>
  <r>
    <s v="Franquicias Sell Out QUEST"/>
    <s v="FQ105 - Montería, Córdoba"/>
    <x v="0"/>
    <s v="octubre"/>
    <n v="7"/>
    <d v="2026-10-07T00:00:00"/>
    <n v="68291425"/>
    <s v="RODRÍGUEZ CALDERÓN SILVIA SOLEDAD"/>
    <n v="10"/>
    <n v="0"/>
    <n v="461766"/>
  </r>
  <r>
    <s v="Franquicias Sell Out QUEST"/>
    <s v="FQ105 - Montería, Córdoba"/>
    <x v="0"/>
    <s v="octubre"/>
    <n v="7"/>
    <d v="2026-10-07T00:00:00"/>
    <n v="1065009482"/>
    <s v="RUIZ HERRERA SONIA MILENA"/>
    <n v="6"/>
    <n v="0"/>
    <n v="214035"/>
  </r>
  <r>
    <s v="Franquicias Sell Out QUEST"/>
    <s v="FQ105 - Montería, Córdoba"/>
    <x v="0"/>
    <s v="octubre"/>
    <n v="7"/>
    <d v="2026-10-07T00:00:00"/>
    <n v="1193105936"/>
    <s v="GONZALEZ VARGAS MELISSA ISABEL"/>
    <n v="4"/>
    <n v="0"/>
    <n v="176219"/>
  </r>
  <r>
    <s v="Retail"/>
    <s v="Q023 - Barranquilla - Cc Portal"/>
    <x v="0"/>
    <s v="septiembre"/>
    <n v="23"/>
    <d v="2026-09-23T00:00:00"/>
    <m/>
    <m/>
    <n v="0"/>
    <n v="15965689"/>
    <n v="0"/>
  </r>
  <r>
    <s v="Retail"/>
    <s v="Q023 - Barranquilla - Cc Portal"/>
    <x v="0"/>
    <s v="septiembre"/>
    <n v="23"/>
    <d v="2026-09-23T00:00:00"/>
    <n v="6849990"/>
    <s v="MORILLO  POLANCO MARIA ANGELICA "/>
    <n v="109"/>
    <n v="0"/>
    <n v="5671769"/>
  </r>
  <r>
    <s v="Retail"/>
    <s v="Q023 - Barranquilla - Cc Portal"/>
    <x v="0"/>
    <s v="septiembre"/>
    <n v="23"/>
    <d v="2026-09-23T00:00:00"/>
    <n v="55300073"/>
    <s v="SARMIENTO BOLAÑOS ZULEHIMA PATRICIA"/>
    <n v="138"/>
    <n v="0"/>
    <n v="7451938"/>
  </r>
  <r>
    <s v="Retail"/>
    <s v="Q023 - Barranquilla - Cc Portal"/>
    <x v="0"/>
    <s v="septiembre"/>
    <n v="23"/>
    <d v="2026-09-23T00:00:00"/>
    <n v="1045752106"/>
    <s v="JIMENEZ VARELA ALISSON DAYANNA"/>
    <n v="20"/>
    <n v="0"/>
    <n v="967649"/>
  </r>
  <r>
    <s v="Retail"/>
    <s v="Q023 - Barranquilla - Cc Portal"/>
    <x v="0"/>
    <s v="septiembre"/>
    <n v="23"/>
    <d v="2026-09-23T00:00:00"/>
    <n v="1193581193"/>
    <s v="BOLIVAR ROCA BRENDA CAROLINA"/>
    <n v="19"/>
    <n v="0"/>
    <n v="940338"/>
  </r>
  <r>
    <s v="Retail"/>
    <s v="Q023 - Barranquilla - Cc Portal"/>
    <x v="0"/>
    <s v="septiembre"/>
    <n v="24"/>
    <d v="2026-09-24T00:00:00"/>
    <m/>
    <m/>
    <n v="0"/>
    <n v="24389388"/>
    <n v="0"/>
  </r>
  <r>
    <s v="Retail"/>
    <s v="Q023 - Barranquilla - Cc Portal"/>
    <x v="0"/>
    <s v="septiembre"/>
    <n v="24"/>
    <d v="2026-09-24T00:00:00"/>
    <n v="6849990"/>
    <s v="MORILLO  POLANCO MARIA ANGELICA "/>
    <n v="87"/>
    <n v="0"/>
    <n v="4836559"/>
  </r>
  <r>
    <s v="Retail"/>
    <s v="Q023 - Barranquilla - Cc Portal"/>
    <x v="0"/>
    <s v="septiembre"/>
    <n v="24"/>
    <d v="2026-09-24T00:00:00"/>
    <n v="55300073"/>
    <s v="SARMIENTO BOLAÑOS ZULEHIMA PATRICIA"/>
    <n v="120"/>
    <n v="0"/>
    <n v="6442364"/>
  </r>
  <r>
    <s v="Retail"/>
    <s v="Q023 - Barranquilla - Cc Portal"/>
    <x v="0"/>
    <s v="septiembre"/>
    <n v="24"/>
    <d v="2026-09-24T00:00:00"/>
    <n v="1045752106"/>
    <s v="JIMENEZ VARELA ALISSON DAYANNA"/>
    <n v="22"/>
    <n v="0"/>
    <n v="1179707"/>
  </r>
  <r>
    <s v="Retail"/>
    <s v="Q023 - Barranquilla - Cc Portal"/>
    <x v="0"/>
    <s v="septiembre"/>
    <n v="24"/>
    <d v="2026-09-24T00:00:00"/>
    <n v="1193581193"/>
    <s v="BOLIVAR ROCA BRENDA CAROLINA"/>
    <n v="32"/>
    <n v="0"/>
    <n v="1830591"/>
  </r>
  <r>
    <s v="Retail"/>
    <s v="Q023 - Barranquilla - Cc Portal"/>
    <x v="0"/>
    <s v="septiembre"/>
    <n v="25"/>
    <d v="2026-09-25T00:00:00"/>
    <m/>
    <m/>
    <n v="0"/>
    <n v="24335393"/>
    <n v="0"/>
  </r>
  <r>
    <s v="Retail"/>
    <s v="Q023 - Barranquilla - Cc Portal"/>
    <x v="0"/>
    <s v="septiembre"/>
    <n v="25"/>
    <d v="2026-09-25T00:00:00"/>
    <n v="6849990"/>
    <s v="MORILLO  POLANCO MARIA ANGELICA "/>
    <n v="88"/>
    <n v="0"/>
    <n v="5050680"/>
  </r>
  <r>
    <s v="Retail"/>
    <s v="Q023 - Barranquilla - Cc Portal"/>
    <x v="0"/>
    <s v="septiembre"/>
    <n v="25"/>
    <d v="2026-09-25T00:00:00"/>
    <n v="55300073"/>
    <s v="SARMIENTO BOLAÑOS ZULEHIMA PATRICIA"/>
    <n v="87"/>
    <n v="0"/>
    <n v="5145424"/>
  </r>
  <r>
    <s v="Retail"/>
    <s v="Q023 - Barranquilla - Cc Portal"/>
    <x v="0"/>
    <s v="septiembre"/>
    <n v="25"/>
    <d v="2026-09-25T00:00:00"/>
    <n v="1045752106"/>
    <s v="JIMENEZ VARELA ALISSON DAYANNA"/>
    <n v="15"/>
    <n v="0"/>
    <n v="776684"/>
  </r>
  <r>
    <s v="Retail"/>
    <s v="Q023 - Barranquilla - Cc Portal"/>
    <x v="0"/>
    <s v="septiembre"/>
    <n v="25"/>
    <d v="2026-09-25T00:00:00"/>
    <n v="1193581193"/>
    <s v="BOLIVAR ROCA BRENDA CAROLINA"/>
    <n v="24"/>
    <n v="0"/>
    <n v="1494790"/>
  </r>
  <r>
    <s v="Retail"/>
    <s v="Q023 - Barranquilla - Cc Portal"/>
    <x v="0"/>
    <s v="septiembre"/>
    <n v="26"/>
    <d v="2026-09-26T00:00:00"/>
    <m/>
    <m/>
    <n v="0"/>
    <n v="34973459"/>
    <n v="0"/>
  </r>
  <r>
    <s v="Retail"/>
    <s v="Q023 - Barranquilla - Cc Portal"/>
    <x v="0"/>
    <s v="septiembre"/>
    <n v="26"/>
    <d v="2026-09-26T00:00:00"/>
    <n v="6849990"/>
    <s v="MORILLO  POLANCO MARIA ANGELICA "/>
    <n v="136"/>
    <n v="0"/>
    <n v="7378663"/>
  </r>
  <r>
    <s v="Retail"/>
    <s v="Q023 - Barranquilla - Cc Portal"/>
    <x v="0"/>
    <s v="septiembre"/>
    <n v="26"/>
    <d v="2026-09-26T00:00:00"/>
    <n v="55300073"/>
    <s v="SARMIENTO BOLAÑOS ZULEHIMA PATRICIA"/>
    <n v="147"/>
    <n v="0"/>
    <n v="8405423"/>
  </r>
  <r>
    <s v="Retail"/>
    <s v="Q023 - Barranquilla - Cc Portal"/>
    <x v="0"/>
    <s v="septiembre"/>
    <n v="26"/>
    <d v="2026-09-26T00:00:00"/>
    <n v="1045752106"/>
    <s v="JIMENEZ VARELA ALISSON DAYANNA"/>
    <n v="28"/>
    <n v="0"/>
    <n v="1456724"/>
  </r>
  <r>
    <s v="Retail"/>
    <s v="Q023 - Barranquilla - Cc Portal"/>
    <x v="0"/>
    <s v="septiembre"/>
    <n v="26"/>
    <d v="2026-09-26T00:00:00"/>
    <n v="1193581193"/>
    <s v="BOLIVAR ROCA BRENDA CAROLINA"/>
    <n v="20"/>
    <n v="0"/>
    <n v="1018069"/>
  </r>
  <r>
    <s v="Retail"/>
    <s v="Q023 - Barranquilla - Cc Portal"/>
    <x v="0"/>
    <s v="septiembre"/>
    <n v="27"/>
    <d v="2026-09-27T00:00:00"/>
    <m/>
    <m/>
    <n v="0"/>
    <n v="27706019"/>
    <n v="0"/>
  </r>
  <r>
    <s v="Retail"/>
    <s v="Q023 - Barranquilla - Cc Portal"/>
    <x v="0"/>
    <s v="septiembre"/>
    <n v="27"/>
    <d v="2026-09-27T00:00:00"/>
    <n v="6849990"/>
    <s v="MORILLO  POLANCO MARIA ANGELICA "/>
    <n v="61"/>
    <n v="0"/>
    <n v="3894336"/>
  </r>
  <r>
    <s v="Retail"/>
    <s v="Q023 - Barranquilla - Cc Portal"/>
    <x v="0"/>
    <s v="septiembre"/>
    <n v="27"/>
    <d v="2026-09-27T00:00:00"/>
    <n v="55300073"/>
    <s v="SARMIENTO BOLAÑOS ZULEHIMA PATRICIA"/>
    <n v="102"/>
    <n v="0"/>
    <n v="4896600"/>
  </r>
  <r>
    <s v="Retail"/>
    <s v="Q023 - Barranquilla - Cc Portal"/>
    <x v="0"/>
    <s v="septiembre"/>
    <n v="27"/>
    <d v="2026-09-27T00:00:00"/>
    <n v="1045752106"/>
    <s v="JIMENEZ VARELA ALISSON DAYANNA"/>
    <n v="7"/>
    <n v="0"/>
    <n v="449287"/>
  </r>
  <r>
    <s v="Retail"/>
    <s v="Q023 - Barranquilla - Cc Portal"/>
    <x v="0"/>
    <s v="septiembre"/>
    <n v="27"/>
    <d v="2026-09-27T00:00:00"/>
    <n v="1193581193"/>
    <s v="BOLIVAR ROCA BRENDA CAROLINA"/>
    <n v="9"/>
    <n v="0"/>
    <n v="465966"/>
  </r>
  <r>
    <s v="Retail"/>
    <s v="Q023 - Barranquilla - Cc Portal"/>
    <x v="0"/>
    <s v="septiembre"/>
    <n v="28"/>
    <d v="2026-09-28T00:00:00"/>
    <m/>
    <m/>
    <n v="0"/>
    <n v="15248256"/>
    <n v="0"/>
  </r>
  <r>
    <s v="Retail"/>
    <s v="Q023 - Barranquilla - Cc Portal"/>
    <x v="0"/>
    <s v="septiembre"/>
    <n v="28"/>
    <d v="2026-09-28T00:00:00"/>
    <n v="6849990"/>
    <s v="MORILLO  POLANCO MARIA ANGELICA "/>
    <n v="48"/>
    <n v="0"/>
    <n v="2535759"/>
  </r>
  <r>
    <s v="Retail"/>
    <s v="Q023 - Barranquilla - Cc Portal"/>
    <x v="0"/>
    <s v="septiembre"/>
    <n v="28"/>
    <d v="2026-09-28T00:00:00"/>
    <n v="55300073"/>
    <s v="SARMIENTO BOLAÑOS ZULEHIMA PATRICIA"/>
    <n v="71"/>
    <n v="0"/>
    <n v="3874962"/>
  </r>
  <r>
    <s v="Retail"/>
    <s v="Q023 - Barranquilla - Cc Portal"/>
    <x v="0"/>
    <s v="septiembre"/>
    <n v="28"/>
    <d v="2026-09-28T00:00:00"/>
    <n v="1045752106"/>
    <s v="JIMENEZ VARELA ALISSON DAYANNA"/>
    <n v="12"/>
    <n v="0"/>
    <n v="747395"/>
  </r>
  <r>
    <s v="Retail"/>
    <s v="Q023 - Barranquilla - Cc Portal"/>
    <x v="0"/>
    <s v="septiembre"/>
    <n v="28"/>
    <d v="2026-09-28T00:00:00"/>
    <n v="1193581193"/>
    <s v="BOLIVAR ROCA BRENDA CAROLINA"/>
    <n v="7"/>
    <n v="0"/>
    <n v="428278"/>
  </r>
  <r>
    <s v="Retail"/>
    <s v="Q023 - Barranquilla - Cc Portal"/>
    <x v="0"/>
    <s v="septiembre"/>
    <n v="29"/>
    <d v="2026-09-29T00:00:00"/>
    <m/>
    <m/>
    <n v="0"/>
    <n v="16288122"/>
    <n v="0"/>
  </r>
  <r>
    <s v="Retail"/>
    <s v="Q023 - Barranquilla - Cc Portal"/>
    <x v="0"/>
    <s v="septiembre"/>
    <n v="29"/>
    <d v="2026-09-29T00:00:00"/>
    <n v="6849990"/>
    <s v="MORILLO  POLANCO MARIA ANGELICA "/>
    <n v="51"/>
    <n v="0"/>
    <n v="2762566"/>
  </r>
  <r>
    <s v="Retail"/>
    <s v="Q023 - Barranquilla - Cc Portal"/>
    <x v="0"/>
    <s v="septiembre"/>
    <n v="29"/>
    <d v="2026-09-29T00:00:00"/>
    <n v="55300073"/>
    <s v="SARMIENTO BOLAÑOS ZULEHIMA PATRICIA"/>
    <n v="84"/>
    <n v="0"/>
    <n v="4553028"/>
  </r>
  <r>
    <s v="Retail"/>
    <s v="Q023 - Barranquilla - Cc Portal"/>
    <x v="0"/>
    <s v="septiembre"/>
    <n v="29"/>
    <d v="2026-09-29T00:00:00"/>
    <n v="1045752106"/>
    <s v="JIMENEZ VARELA ALISSON DAYANNA"/>
    <n v="4"/>
    <n v="0"/>
    <n v="272942"/>
  </r>
  <r>
    <s v="Retail"/>
    <s v="Q023 - Barranquilla - Cc Portal"/>
    <x v="0"/>
    <s v="septiembre"/>
    <n v="29"/>
    <d v="2026-09-29T00:00:00"/>
    <n v="1193581193"/>
    <s v="BOLIVAR ROCA BRENDA CAROLINA"/>
    <n v="-1"/>
    <n v="0"/>
    <n v="-35244"/>
  </r>
  <r>
    <s v="Retail"/>
    <s v="Q023 - Barranquilla - Cc Portal"/>
    <x v="0"/>
    <s v="septiembre"/>
    <n v="30"/>
    <d v="2026-09-30T00:00:00"/>
    <m/>
    <m/>
    <n v="0"/>
    <n v="16825920"/>
    <n v="0"/>
  </r>
  <r>
    <s v="Retail"/>
    <s v="Q023 - Barranquilla - Cc Portal"/>
    <x v="0"/>
    <s v="septiembre"/>
    <n v="30"/>
    <d v="2026-09-30T00:00:00"/>
    <n v="6849990"/>
    <s v="MORILLO  POLANCO MARIA ANGELICA "/>
    <n v="88"/>
    <n v="0"/>
    <n v="5010932"/>
  </r>
  <r>
    <s v="Retail"/>
    <s v="Q023 - Barranquilla - Cc Portal"/>
    <x v="0"/>
    <s v="septiembre"/>
    <n v="30"/>
    <d v="2026-09-30T00:00:00"/>
    <n v="55300073"/>
    <s v="SARMIENTO BOLAÑOS ZULEHIMA PATRICIA"/>
    <n v="62"/>
    <n v="0"/>
    <n v="3041519"/>
  </r>
  <r>
    <s v="Retail"/>
    <s v="Q023 - Barranquilla - Cc Portal"/>
    <x v="0"/>
    <s v="septiembre"/>
    <n v="30"/>
    <d v="2026-09-30T00:00:00"/>
    <n v="1045752106"/>
    <s v="JIMENEZ VARELA ALISSON DAYANNA"/>
    <n v="16"/>
    <n v="0"/>
    <n v="927901"/>
  </r>
  <r>
    <s v="Retail"/>
    <s v="Q023 - Barranquilla - Cc Portal"/>
    <x v="0"/>
    <s v="septiembre"/>
    <n v="30"/>
    <d v="2026-09-30T00:00:00"/>
    <n v="1193581193"/>
    <s v="BOLIVAR ROCA BRENDA CAROLINA"/>
    <n v="13"/>
    <n v="0"/>
    <n v="533068"/>
  </r>
  <r>
    <s v="Retail"/>
    <s v="Q023 - Barranquilla - Cc Portal"/>
    <x v="0"/>
    <s v="octubre"/>
    <n v="1"/>
    <d v="2026-10-01T00:00:00"/>
    <m/>
    <m/>
    <n v="0"/>
    <n v="18246071"/>
    <n v="0"/>
  </r>
  <r>
    <s v="Retail"/>
    <s v="Q023 - Barranquilla - Cc Portal"/>
    <x v="0"/>
    <s v="octubre"/>
    <n v="1"/>
    <d v="2026-10-01T00:00:00"/>
    <n v="6849990"/>
    <s v="MORILLO  POLANCO MARIA ANGELICA "/>
    <n v="106"/>
    <n v="0"/>
    <n v="6108872"/>
  </r>
  <r>
    <s v="Retail"/>
    <s v="Q023 - Barranquilla - Cc Portal"/>
    <x v="0"/>
    <s v="octubre"/>
    <n v="1"/>
    <d v="2026-10-01T00:00:00"/>
    <n v="55300073"/>
    <s v="SARMIENTO BOLAÑOS ZULEHIMA PATRICIA"/>
    <n v="157"/>
    <n v="0"/>
    <n v="8396360"/>
  </r>
  <r>
    <s v="Retail"/>
    <s v="Q023 - Barranquilla - Cc Portal"/>
    <x v="0"/>
    <s v="octubre"/>
    <n v="1"/>
    <d v="2026-10-01T00:00:00"/>
    <n v="1045752106"/>
    <s v="JIMENEZ VARELA ALISSON DAYANNA"/>
    <n v="22"/>
    <n v="0"/>
    <n v="1314202"/>
  </r>
  <r>
    <s v="Retail"/>
    <s v="Q023 - Barranquilla - Cc Portal"/>
    <x v="0"/>
    <s v="octubre"/>
    <n v="1"/>
    <d v="2026-10-01T00:00:00"/>
    <n v="1193581193"/>
    <s v="BOLIVAR ROCA BRENDA CAROLINA"/>
    <n v="24"/>
    <n v="0"/>
    <n v="1263700"/>
  </r>
  <r>
    <s v="Retail"/>
    <s v="Q023 - Barranquilla - Cc Portal"/>
    <x v="0"/>
    <s v="octubre"/>
    <n v="2"/>
    <d v="2026-10-02T00:00:00"/>
    <m/>
    <m/>
    <n v="0"/>
    <n v="14032361"/>
    <n v="0"/>
  </r>
  <r>
    <s v="Retail"/>
    <s v="Q023 - Barranquilla - Cc Portal"/>
    <x v="0"/>
    <s v="octubre"/>
    <n v="2"/>
    <d v="2026-10-02T00:00:00"/>
    <n v="6849990"/>
    <s v="MORILLO  POLANCO MARIA ANGELICA "/>
    <n v="125"/>
    <n v="0"/>
    <n v="6668875"/>
  </r>
  <r>
    <s v="Retail"/>
    <s v="Q023 - Barranquilla - Cc Portal"/>
    <x v="0"/>
    <s v="octubre"/>
    <n v="2"/>
    <d v="2026-10-02T00:00:00"/>
    <n v="55300073"/>
    <s v="SARMIENTO BOLAÑOS ZULEHIMA PATRICIA"/>
    <n v="151"/>
    <n v="0"/>
    <n v="8514165"/>
  </r>
  <r>
    <s v="Retail"/>
    <s v="Q023 - Barranquilla - Cc Portal"/>
    <x v="0"/>
    <s v="octubre"/>
    <n v="2"/>
    <d v="2026-10-02T00:00:00"/>
    <n v="1045752106"/>
    <s v="JIMENEZ VARELA ALISSON DAYANNA"/>
    <n v="9"/>
    <n v="0"/>
    <n v="466009"/>
  </r>
  <r>
    <s v="Retail"/>
    <s v="Q023 - Barranquilla - Cc Portal"/>
    <x v="0"/>
    <s v="octubre"/>
    <n v="2"/>
    <d v="2026-10-02T00:00:00"/>
    <n v="1143142715"/>
    <s v="BARRAZA  MORENO BRANDON JOSE "/>
    <n v="-1"/>
    <n v="0"/>
    <n v="-210000"/>
  </r>
  <r>
    <s v="Retail"/>
    <s v="Q023 - Barranquilla - Cc Portal"/>
    <x v="0"/>
    <s v="octubre"/>
    <n v="2"/>
    <d v="2026-10-02T00:00:00"/>
    <n v="1193581193"/>
    <s v="BOLIVAR ROCA BRENDA CAROLINA"/>
    <n v="26"/>
    <n v="0"/>
    <n v="1360211"/>
  </r>
  <r>
    <s v="Retail"/>
    <s v="Q023 - Barranquilla - Cc Portal"/>
    <x v="0"/>
    <s v="octubre"/>
    <n v="3"/>
    <d v="2026-10-03T00:00:00"/>
    <m/>
    <m/>
    <n v="0"/>
    <n v="16854986"/>
    <n v="0"/>
  </r>
  <r>
    <s v="Retail"/>
    <s v="Q023 - Barranquilla - Cc Portal"/>
    <x v="0"/>
    <s v="octubre"/>
    <n v="3"/>
    <d v="2026-10-03T00:00:00"/>
    <n v="6849990"/>
    <s v="MORILLO  POLANCO MARIA ANGELICA "/>
    <n v="173"/>
    <n v="0"/>
    <n v="8909423"/>
  </r>
  <r>
    <s v="Retail"/>
    <s v="Q023 - Barranquilla - Cc Portal"/>
    <x v="0"/>
    <s v="octubre"/>
    <n v="3"/>
    <d v="2026-10-03T00:00:00"/>
    <n v="55300073"/>
    <s v="SARMIENTO BOLAÑOS ZULEHIMA PATRICIA"/>
    <n v="218"/>
    <n v="0"/>
    <n v="10963365"/>
  </r>
  <r>
    <s v="Retail"/>
    <s v="Q023 - Barranquilla - Cc Portal"/>
    <x v="0"/>
    <s v="octubre"/>
    <n v="3"/>
    <d v="2026-10-03T00:00:00"/>
    <n v="1045752106"/>
    <s v="JIMENEZ VARELA ALISSON DAYANNA"/>
    <n v="18"/>
    <n v="0"/>
    <n v="1226513"/>
  </r>
  <r>
    <s v="Retail"/>
    <s v="Q023 - Barranquilla - Cc Portal"/>
    <x v="0"/>
    <s v="octubre"/>
    <n v="3"/>
    <d v="2026-10-03T00:00:00"/>
    <n v="1193581193"/>
    <s v="BOLIVAR ROCA BRENDA CAROLINA"/>
    <n v="32"/>
    <n v="0"/>
    <n v="1446616"/>
  </r>
  <r>
    <s v="Retail"/>
    <s v="Q023 - Barranquilla - Cc Portal"/>
    <x v="0"/>
    <s v="octubre"/>
    <n v="4"/>
    <d v="2026-10-04T00:00:00"/>
    <m/>
    <m/>
    <n v="0"/>
    <n v="9811671"/>
    <n v="0"/>
  </r>
  <r>
    <s v="Retail"/>
    <s v="Q023 - Barranquilla - Cc Portal"/>
    <x v="0"/>
    <s v="octubre"/>
    <n v="4"/>
    <d v="2026-10-04T00:00:00"/>
    <n v="6849990"/>
    <s v="MORILLO  POLANCO MARIA ANGELICA "/>
    <n v="89"/>
    <n v="0"/>
    <n v="4985256"/>
  </r>
  <r>
    <s v="Retail"/>
    <s v="Q023 - Barranquilla - Cc Portal"/>
    <x v="0"/>
    <s v="octubre"/>
    <n v="4"/>
    <d v="2026-10-04T00:00:00"/>
    <n v="55300073"/>
    <s v="SARMIENTO BOLAÑOS ZULEHIMA PATRICIA"/>
    <n v="84"/>
    <n v="0"/>
    <n v="4439587"/>
  </r>
  <r>
    <s v="Retail"/>
    <s v="Q023 - Barranquilla - Cc Portal"/>
    <x v="0"/>
    <s v="octubre"/>
    <n v="4"/>
    <d v="2026-10-04T00:00:00"/>
    <n v="1045752106"/>
    <s v="JIMENEZ VARELA ALISSON DAYANNA"/>
    <n v="8"/>
    <n v="0"/>
    <n v="314792"/>
  </r>
  <r>
    <s v="Retail"/>
    <s v="Q023 - Barranquilla - Cc Portal"/>
    <x v="0"/>
    <s v="octubre"/>
    <n v="4"/>
    <d v="2026-10-04T00:00:00"/>
    <n v="1193581193"/>
    <s v="BOLIVAR ROCA BRENDA CAROLINA"/>
    <n v="23"/>
    <n v="0"/>
    <n v="1249404"/>
  </r>
  <r>
    <s v="Retail"/>
    <s v="Q023 - Barranquilla - Cc Portal"/>
    <x v="0"/>
    <s v="octubre"/>
    <n v="5"/>
    <d v="2026-10-05T00:00:00"/>
    <m/>
    <m/>
    <n v="0"/>
    <n v="13003693"/>
    <n v="0"/>
  </r>
  <r>
    <s v="Retail"/>
    <s v="Q023 - Barranquilla - Cc Portal"/>
    <x v="0"/>
    <s v="octubre"/>
    <n v="5"/>
    <d v="2026-10-05T00:00:00"/>
    <n v="6849990"/>
    <s v="MORILLO  POLANCO MARIA ANGELICA "/>
    <n v="84"/>
    <n v="0"/>
    <n v="4492516"/>
  </r>
  <r>
    <s v="Retail"/>
    <s v="Q023 - Barranquilla - Cc Portal"/>
    <x v="0"/>
    <s v="octubre"/>
    <n v="5"/>
    <d v="2026-10-05T00:00:00"/>
    <n v="55300073"/>
    <s v="SARMIENTO BOLAÑOS ZULEHIMA PATRICIA"/>
    <n v="102"/>
    <n v="0"/>
    <n v="5608786"/>
  </r>
  <r>
    <s v="Retail"/>
    <s v="Q023 - Barranquilla - Cc Portal"/>
    <x v="0"/>
    <s v="octubre"/>
    <n v="5"/>
    <d v="2026-10-05T00:00:00"/>
    <n v="1045752106"/>
    <s v="JIMENEZ VARELA ALISSON DAYANNA"/>
    <n v="3"/>
    <n v="0"/>
    <n v="119623"/>
  </r>
  <r>
    <s v="Retail"/>
    <s v="Q023 - Barranquilla - Cc Portal"/>
    <x v="0"/>
    <s v="octubre"/>
    <n v="5"/>
    <d v="2026-10-05T00:00:00"/>
    <n v="1193581193"/>
    <s v="BOLIVAR ROCA BRENDA CAROLINA"/>
    <n v="4"/>
    <n v="0"/>
    <n v="230926"/>
  </r>
  <r>
    <s v="Retail"/>
    <s v="Q023 - Barranquilla - Cc Portal"/>
    <x v="0"/>
    <s v="octubre"/>
    <n v="6"/>
    <d v="2026-10-06T00:00:00"/>
    <m/>
    <m/>
    <n v="0"/>
    <n v="7411770"/>
    <n v="0"/>
  </r>
  <r>
    <s v="Retail"/>
    <s v="Q023 - Barranquilla - Cc Portal"/>
    <x v="0"/>
    <s v="octubre"/>
    <n v="6"/>
    <d v="2026-10-06T00:00:00"/>
    <n v="6849990"/>
    <s v="MORILLO  POLANCO MARIA ANGELICA "/>
    <n v="43"/>
    <n v="0"/>
    <n v="2491598"/>
  </r>
  <r>
    <s v="Retail"/>
    <s v="Q023 - Barranquilla - Cc Portal"/>
    <x v="0"/>
    <s v="octubre"/>
    <n v="6"/>
    <d v="2026-10-06T00:00:00"/>
    <n v="55300073"/>
    <s v="SARMIENTO BOLAÑOS ZULEHIMA PATRICIA"/>
    <n v="48"/>
    <n v="0"/>
    <n v="2447400"/>
  </r>
  <r>
    <s v="Retail"/>
    <s v="Q023 - Barranquilla - Cc Portal"/>
    <x v="0"/>
    <s v="octubre"/>
    <n v="7"/>
    <d v="2026-10-07T00:00:00"/>
    <m/>
    <m/>
    <n v="0"/>
    <n v="7314245"/>
    <n v="0"/>
  </r>
  <r>
    <s v="Retail"/>
    <s v="Q023 - Barranquilla - Cc Portal"/>
    <x v="0"/>
    <s v="octubre"/>
    <n v="7"/>
    <d v="2026-10-07T00:00:00"/>
    <n v="6849990"/>
    <s v="MORILLO  POLANCO MARIA ANGELICA "/>
    <n v="56"/>
    <n v="0"/>
    <n v="3052272"/>
  </r>
  <r>
    <s v="Retail"/>
    <s v="Q023 - Barranquilla - Cc Portal"/>
    <x v="0"/>
    <s v="octubre"/>
    <n v="7"/>
    <d v="2026-10-07T00:00:00"/>
    <n v="55300073"/>
    <s v="SARMIENTO BOLAÑOS ZULEHIMA PATRICIA"/>
    <n v="58"/>
    <n v="0"/>
    <n v="3066685"/>
  </r>
  <r>
    <s v="Retail"/>
    <s v="Q033 - Cartagena - Cc Caribe Plaza"/>
    <x v="0"/>
    <s v="septiembre"/>
    <n v="23"/>
    <d v="2026-09-23T00:00:00"/>
    <m/>
    <m/>
    <n v="0"/>
    <n v="31174878"/>
    <n v="0"/>
  </r>
  <r>
    <s v="Retail"/>
    <s v="Q033 - Cartagena - Cc Caribe Plaza"/>
    <x v="0"/>
    <s v="septiembre"/>
    <n v="23"/>
    <d v="2026-09-23T00:00:00"/>
    <n v="3811650"/>
    <s v="PEREZ PEREZ WILSON DEL CRISTO"/>
    <n v="176"/>
    <n v="0"/>
    <n v="8943493"/>
  </r>
  <r>
    <s v="Retail"/>
    <s v="Q033 - Cartagena - Cc Caribe Plaza"/>
    <x v="0"/>
    <s v="septiembre"/>
    <n v="23"/>
    <d v="2026-09-23T00:00:00"/>
    <n v="45691762"/>
    <s v="MACOTT MARRUGO ELVIA MILENA"/>
    <n v="175"/>
    <n v="0"/>
    <n v="8149208"/>
  </r>
  <r>
    <s v="Retail"/>
    <s v="Q033 - Cartagena - Cc Caribe Plaza"/>
    <x v="0"/>
    <s v="septiembre"/>
    <n v="23"/>
    <d v="2026-09-23T00:00:00"/>
    <n v="1047425678"/>
    <s v="SERNA PAUTT CRISTINA ISABEL"/>
    <n v="119"/>
    <n v="0"/>
    <n v="6650263"/>
  </r>
  <r>
    <s v="Retail"/>
    <s v="Q033 - Cartagena - Cc Caribe Plaza"/>
    <x v="0"/>
    <s v="septiembre"/>
    <n v="23"/>
    <d v="2026-09-23T00:00:00"/>
    <n v="1047465660"/>
    <s v="SABALZA HERRERA STEFANI PAOLA"/>
    <n v="59"/>
    <n v="0"/>
    <n v="2747315"/>
  </r>
  <r>
    <s v="Retail"/>
    <s v="Q033 - Cartagena - Cc Caribe Plaza"/>
    <x v="0"/>
    <s v="septiembre"/>
    <n v="23"/>
    <d v="2026-09-23T00:00:00"/>
    <n v="1047485937"/>
    <s v="RAMOS PEREZ MARILUZ"/>
    <n v="34"/>
    <n v="0"/>
    <n v="1853575"/>
  </r>
  <r>
    <s v="Retail"/>
    <s v="Q033 - Cartagena - Cc Caribe Plaza"/>
    <x v="0"/>
    <s v="septiembre"/>
    <n v="24"/>
    <d v="2026-09-24T00:00:00"/>
    <m/>
    <m/>
    <n v="0"/>
    <n v="47623133"/>
    <n v="0"/>
  </r>
  <r>
    <s v="Retail"/>
    <s v="Q033 - Cartagena - Cc Caribe Plaza"/>
    <x v="0"/>
    <s v="septiembre"/>
    <n v="24"/>
    <d v="2026-09-24T00:00:00"/>
    <n v="3811650"/>
    <s v="PEREZ PEREZ WILSON DEL CRISTO"/>
    <n v="222"/>
    <n v="0"/>
    <n v="10985517"/>
  </r>
  <r>
    <s v="Retail"/>
    <s v="Q033 - Cartagena - Cc Caribe Plaza"/>
    <x v="0"/>
    <s v="septiembre"/>
    <n v="24"/>
    <d v="2026-09-24T00:00:00"/>
    <n v="45691762"/>
    <s v="MACOTT MARRUGO ELVIA MILENA"/>
    <n v="163"/>
    <n v="0"/>
    <n v="8745008"/>
  </r>
  <r>
    <s v="Retail"/>
    <s v="Q033 - Cartagena - Cc Caribe Plaza"/>
    <x v="0"/>
    <s v="septiembre"/>
    <n v="24"/>
    <d v="2026-09-24T00:00:00"/>
    <n v="1047425678"/>
    <s v="SERNA PAUTT CRISTINA ISABEL"/>
    <n v="122"/>
    <n v="0"/>
    <n v="6221476"/>
  </r>
  <r>
    <s v="Retail"/>
    <s v="Q033 - Cartagena - Cc Caribe Plaza"/>
    <x v="0"/>
    <s v="septiembre"/>
    <n v="24"/>
    <d v="2026-09-24T00:00:00"/>
    <n v="1047465660"/>
    <s v="SABALZA HERRERA STEFANI PAOLA"/>
    <n v="78"/>
    <n v="0"/>
    <n v="3943955"/>
  </r>
  <r>
    <s v="Retail"/>
    <s v="Q033 - Cartagena - Cc Caribe Plaza"/>
    <x v="0"/>
    <s v="septiembre"/>
    <n v="24"/>
    <d v="2026-09-24T00:00:00"/>
    <n v="1047485937"/>
    <s v="RAMOS PEREZ MARILUZ"/>
    <n v="34"/>
    <n v="0"/>
    <n v="1670757"/>
  </r>
  <r>
    <s v="Retail"/>
    <s v="Q033 - Cartagena - Cc Caribe Plaza"/>
    <x v="0"/>
    <s v="septiembre"/>
    <n v="25"/>
    <d v="2026-09-25T00:00:00"/>
    <m/>
    <m/>
    <n v="0"/>
    <n v="47517704"/>
    <n v="0"/>
  </r>
  <r>
    <s v="Retail"/>
    <s v="Q033 - Cartagena - Cc Caribe Plaza"/>
    <x v="0"/>
    <s v="septiembre"/>
    <n v="25"/>
    <d v="2026-09-25T00:00:00"/>
    <n v="3739915"/>
    <s v="BOSCAN ALARCON DISNEY DE LOS ANGELES"/>
    <n v="51"/>
    <n v="0"/>
    <n v="3035634"/>
  </r>
  <r>
    <s v="Retail"/>
    <s v="Q033 - Cartagena - Cc Caribe Plaza"/>
    <x v="0"/>
    <s v="septiembre"/>
    <n v="25"/>
    <d v="2026-09-25T00:00:00"/>
    <n v="3811650"/>
    <s v="PEREZ PEREZ WILSON DEL CRISTO"/>
    <n v="208"/>
    <n v="0"/>
    <n v="10675392"/>
  </r>
  <r>
    <s v="Retail"/>
    <s v="Q033 - Cartagena - Cc Caribe Plaza"/>
    <x v="0"/>
    <s v="septiembre"/>
    <n v="25"/>
    <d v="2026-09-25T00:00:00"/>
    <n v="45691762"/>
    <s v="MACOTT MARRUGO ELVIA MILENA"/>
    <n v="185"/>
    <n v="0"/>
    <n v="9789930"/>
  </r>
  <r>
    <s v="Retail"/>
    <s v="Q033 - Cartagena - Cc Caribe Plaza"/>
    <x v="0"/>
    <s v="septiembre"/>
    <n v="25"/>
    <d v="2026-09-25T00:00:00"/>
    <n v="1047425678"/>
    <s v="SERNA PAUTT CRISTINA ISABEL"/>
    <n v="167"/>
    <n v="0"/>
    <n v="8770012"/>
  </r>
  <r>
    <s v="Retail"/>
    <s v="Q033 - Cartagena - Cc Caribe Plaza"/>
    <x v="0"/>
    <s v="septiembre"/>
    <n v="25"/>
    <d v="2026-09-25T00:00:00"/>
    <n v="1047465660"/>
    <s v="SABALZA HERRERA STEFANI PAOLA"/>
    <n v="84"/>
    <n v="0"/>
    <n v="4343069"/>
  </r>
  <r>
    <s v="Retail"/>
    <s v="Q033 - Cartagena - Cc Caribe Plaza"/>
    <x v="0"/>
    <s v="septiembre"/>
    <n v="26"/>
    <d v="2026-09-26T00:00:00"/>
    <m/>
    <m/>
    <n v="0"/>
    <n v="68289772"/>
    <n v="0"/>
  </r>
  <r>
    <s v="Retail"/>
    <s v="Q033 - Cartagena - Cc Caribe Plaza"/>
    <x v="0"/>
    <s v="septiembre"/>
    <n v="26"/>
    <d v="2026-09-26T00:00:00"/>
    <n v="3739915"/>
    <s v="BOSCAN ALARCON DISNEY DE LOS ANGELES"/>
    <n v="77"/>
    <n v="0"/>
    <n v="4509292"/>
  </r>
  <r>
    <s v="Retail"/>
    <s v="Q033 - Cartagena - Cc Caribe Plaza"/>
    <x v="0"/>
    <s v="septiembre"/>
    <n v="26"/>
    <d v="2026-09-26T00:00:00"/>
    <n v="3811650"/>
    <s v="PEREZ PEREZ WILSON DEL CRISTO"/>
    <n v="297"/>
    <n v="0"/>
    <n v="16381907"/>
  </r>
  <r>
    <s v="Retail"/>
    <s v="Q033 - Cartagena - Cc Caribe Plaza"/>
    <x v="0"/>
    <s v="septiembre"/>
    <n v="26"/>
    <d v="2026-09-26T00:00:00"/>
    <n v="45691762"/>
    <s v="MACOTT MARRUGO ELVIA MILENA"/>
    <n v="280"/>
    <n v="0"/>
    <n v="15550897"/>
  </r>
  <r>
    <s v="Retail"/>
    <s v="Q033 - Cartagena - Cc Caribe Plaza"/>
    <x v="0"/>
    <s v="septiembre"/>
    <n v="26"/>
    <d v="2026-09-26T00:00:00"/>
    <n v="73578286"/>
    <s v="SALCEDO GONZALEZ AMAURY ENRIQUE"/>
    <n v="-1"/>
    <n v="0"/>
    <n v="-50378"/>
  </r>
  <r>
    <s v="Retail"/>
    <s v="Q033 - Cartagena - Cc Caribe Plaza"/>
    <x v="0"/>
    <s v="septiembre"/>
    <n v="26"/>
    <d v="2026-09-26T00:00:00"/>
    <n v="1002249169"/>
    <s v="PAJARO REYES KAREN PAMELA"/>
    <n v="-2"/>
    <n v="0"/>
    <n v="-121723"/>
  </r>
  <r>
    <s v="Retail"/>
    <s v="Q033 - Cartagena - Cc Caribe Plaza"/>
    <x v="0"/>
    <s v="septiembre"/>
    <n v="26"/>
    <d v="2026-09-26T00:00:00"/>
    <n v="1047425678"/>
    <s v="SERNA PAUTT CRISTINA ISABEL"/>
    <n v="194"/>
    <n v="0"/>
    <n v="10691228"/>
  </r>
  <r>
    <s v="Retail"/>
    <s v="Q033 - Cartagena - Cc Caribe Plaza"/>
    <x v="0"/>
    <s v="septiembre"/>
    <n v="26"/>
    <d v="2026-09-26T00:00:00"/>
    <n v="1047465660"/>
    <s v="SABALZA HERRERA STEFANI PAOLA"/>
    <n v="150"/>
    <n v="0"/>
    <n v="8029255"/>
  </r>
  <r>
    <s v="Retail"/>
    <s v="Q033 - Cartagena - Cc Caribe Plaza"/>
    <x v="0"/>
    <s v="septiembre"/>
    <n v="27"/>
    <d v="2026-09-27T00:00:00"/>
    <m/>
    <m/>
    <n v="0"/>
    <n v="54099248"/>
    <n v="0"/>
  </r>
  <r>
    <s v="Retail"/>
    <s v="Q033 - Cartagena - Cc Caribe Plaza"/>
    <x v="0"/>
    <s v="septiembre"/>
    <n v="27"/>
    <d v="2026-09-27T00:00:00"/>
    <n v="3739915"/>
    <s v="BOSCAN ALARCON DISNEY DE LOS ANGELES"/>
    <n v="76"/>
    <n v="0"/>
    <n v="4540885"/>
  </r>
  <r>
    <s v="Retail"/>
    <s v="Q033 - Cartagena - Cc Caribe Plaza"/>
    <x v="0"/>
    <s v="septiembre"/>
    <n v="27"/>
    <d v="2026-09-27T00:00:00"/>
    <n v="3811650"/>
    <s v="PEREZ PEREZ WILSON DEL CRISTO"/>
    <n v="252"/>
    <n v="0"/>
    <n v="13368712"/>
  </r>
  <r>
    <s v="Retail"/>
    <s v="Q033 - Cartagena - Cc Caribe Plaza"/>
    <x v="0"/>
    <s v="septiembre"/>
    <n v="27"/>
    <d v="2026-09-27T00:00:00"/>
    <n v="45691762"/>
    <s v="MACOTT MARRUGO ELVIA MILENA"/>
    <n v="231"/>
    <n v="0"/>
    <n v="13219001"/>
  </r>
  <r>
    <s v="Retail"/>
    <s v="Q033 - Cartagena - Cc Caribe Plaza"/>
    <x v="0"/>
    <s v="septiembre"/>
    <n v="27"/>
    <d v="2026-09-27T00:00:00"/>
    <n v="1047425678"/>
    <s v="SERNA PAUTT CRISTINA ISABEL"/>
    <n v="210"/>
    <n v="0"/>
    <n v="12343796"/>
  </r>
  <r>
    <s v="Retail"/>
    <s v="Q033 - Cartagena - Cc Caribe Plaza"/>
    <x v="0"/>
    <s v="septiembre"/>
    <n v="27"/>
    <d v="2026-09-27T00:00:00"/>
    <n v="1047439766"/>
    <s v="SALAZAR PEREZ LUISA MARIA"/>
    <n v="-1"/>
    <n v="0"/>
    <n v="-58765"/>
  </r>
  <r>
    <s v="Retail"/>
    <s v="Q033 - Cartagena - Cc Caribe Plaza"/>
    <x v="0"/>
    <s v="septiembre"/>
    <n v="27"/>
    <d v="2026-09-27T00:00:00"/>
    <n v="1047465660"/>
    <s v="SABALZA HERRERA STEFANI PAOLA"/>
    <n v="98"/>
    <n v="0"/>
    <n v="5806600"/>
  </r>
  <r>
    <s v="Retail"/>
    <s v="Q033 - Cartagena - Cc Caribe Plaza"/>
    <x v="0"/>
    <s v="septiembre"/>
    <n v="27"/>
    <d v="2026-09-27T00:00:00"/>
    <n v="1047485937"/>
    <s v="RAMOS PEREZ MARILUZ"/>
    <n v="-1"/>
    <n v="0"/>
    <n v="-58781"/>
  </r>
  <r>
    <s v="Retail"/>
    <s v="Q033 - Cartagena - Cc Caribe Plaza"/>
    <x v="0"/>
    <s v="septiembre"/>
    <n v="28"/>
    <d v="2026-09-28T00:00:00"/>
    <m/>
    <m/>
    <n v="0"/>
    <n v="29774005"/>
    <n v="0"/>
  </r>
  <r>
    <s v="Retail"/>
    <s v="Q033 - Cartagena - Cc Caribe Plaza"/>
    <x v="0"/>
    <s v="septiembre"/>
    <n v="28"/>
    <d v="2026-09-28T00:00:00"/>
    <n v="3739915"/>
    <s v="BOSCAN ALARCON DISNEY DE LOS ANGELES"/>
    <n v="32"/>
    <n v="0"/>
    <n v="1901978"/>
  </r>
  <r>
    <s v="Retail"/>
    <s v="Q033 - Cartagena - Cc Caribe Plaza"/>
    <x v="0"/>
    <s v="septiembre"/>
    <n v="28"/>
    <d v="2026-09-28T00:00:00"/>
    <n v="3811650"/>
    <s v="PEREZ PEREZ WILSON DEL CRISTO"/>
    <n v="128"/>
    <n v="0"/>
    <n v="6594879"/>
  </r>
  <r>
    <s v="Retail"/>
    <s v="Q033 - Cartagena - Cc Caribe Plaza"/>
    <x v="0"/>
    <s v="septiembre"/>
    <n v="28"/>
    <d v="2026-09-28T00:00:00"/>
    <n v="45691762"/>
    <s v="MACOTT MARRUGO ELVIA MILENA"/>
    <n v="129"/>
    <n v="0"/>
    <n v="7048699"/>
  </r>
  <r>
    <s v="Retail"/>
    <s v="Q033 - Cartagena - Cc Caribe Plaza"/>
    <x v="0"/>
    <s v="septiembre"/>
    <n v="28"/>
    <d v="2026-09-28T00:00:00"/>
    <n v="1047425678"/>
    <s v="SERNA PAUTT CRISTINA ISABEL"/>
    <n v="100"/>
    <n v="0"/>
    <n v="6256136"/>
  </r>
  <r>
    <s v="Retail"/>
    <s v="Q033 - Cartagena - Cc Caribe Plaza"/>
    <x v="0"/>
    <s v="septiembre"/>
    <n v="28"/>
    <d v="2026-09-28T00:00:00"/>
    <n v="1047465660"/>
    <s v="SABALZA HERRERA STEFANI PAOLA"/>
    <n v="2"/>
    <n v="0"/>
    <n v="155378"/>
  </r>
  <r>
    <s v="Retail"/>
    <s v="Q033 - Cartagena - Cc Caribe Plaza"/>
    <x v="0"/>
    <s v="septiembre"/>
    <n v="29"/>
    <d v="2026-09-29T00:00:00"/>
    <m/>
    <m/>
    <n v="0"/>
    <n v="31804466"/>
    <n v="0"/>
  </r>
  <r>
    <s v="Retail"/>
    <s v="Q033 - Cartagena - Cc Caribe Plaza"/>
    <x v="0"/>
    <s v="septiembre"/>
    <n v="29"/>
    <d v="2026-09-29T00:00:00"/>
    <n v="3739915"/>
    <s v="BOSCAN ALARCON DISNEY DE LOS ANGELES"/>
    <n v="37"/>
    <n v="0"/>
    <n v="2076221"/>
  </r>
  <r>
    <s v="Retail"/>
    <s v="Q033 - Cartagena - Cc Caribe Plaza"/>
    <x v="0"/>
    <s v="septiembre"/>
    <n v="29"/>
    <d v="2026-09-29T00:00:00"/>
    <n v="3811650"/>
    <s v="PEREZ PEREZ WILSON DEL CRISTO"/>
    <n v="94"/>
    <n v="0"/>
    <n v="5888827"/>
  </r>
  <r>
    <s v="Retail"/>
    <s v="Q033 - Cartagena - Cc Caribe Plaza"/>
    <x v="0"/>
    <s v="septiembre"/>
    <n v="29"/>
    <d v="2026-09-29T00:00:00"/>
    <n v="45691762"/>
    <s v="MACOTT MARRUGO ELVIA MILENA"/>
    <n v="116"/>
    <n v="0"/>
    <n v="6778409"/>
  </r>
  <r>
    <s v="Retail"/>
    <s v="Q033 - Cartagena - Cc Caribe Plaza"/>
    <x v="0"/>
    <s v="septiembre"/>
    <n v="29"/>
    <d v="2026-09-29T00:00:00"/>
    <n v="1047425678"/>
    <s v="SERNA PAUTT CRISTINA ISABEL"/>
    <n v="135"/>
    <n v="0"/>
    <n v="7582280"/>
  </r>
  <r>
    <s v="Retail"/>
    <s v="Q033 - Cartagena - Cc Caribe Plaza"/>
    <x v="0"/>
    <s v="septiembre"/>
    <n v="29"/>
    <d v="2026-09-29T00:00:00"/>
    <n v="1047465660"/>
    <s v="SABALZA HERRERA STEFANI PAOLA"/>
    <n v="54"/>
    <n v="0"/>
    <n v="3373746"/>
  </r>
  <r>
    <s v="Retail"/>
    <s v="Q033 - Cartagena - Cc Caribe Plaza"/>
    <x v="0"/>
    <s v="septiembre"/>
    <n v="30"/>
    <d v="2026-09-30T00:00:00"/>
    <m/>
    <m/>
    <n v="0"/>
    <n v="32854581"/>
    <n v="0"/>
  </r>
  <r>
    <s v="Retail"/>
    <s v="Q033 - Cartagena - Cc Caribe Plaza"/>
    <x v="0"/>
    <s v="septiembre"/>
    <n v="30"/>
    <d v="2026-09-30T00:00:00"/>
    <n v="3739915"/>
    <s v="BOSCAN ALARCON DISNEY DE LOS ANGELES"/>
    <n v="36"/>
    <n v="0"/>
    <n v="1975338"/>
  </r>
  <r>
    <s v="Retail"/>
    <s v="Q033 - Cartagena - Cc Caribe Plaza"/>
    <x v="0"/>
    <s v="septiembre"/>
    <n v="30"/>
    <d v="2026-09-30T00:00:00"/>
    <n v="3811650"/>
    <s v="PEREZ PEREZ WILSON DEL CRISTO"/>
    <n v="174"/>
    <n v="0"/>
    <n v="9260649"/>
  </r>
  <r>
    <s v="Retail"/>
    <s v="Q033 - Cartagena - Cc Caribe Plaza"/>
    <x v="0"/>
    <s v="septiembre"/>
    <n v="30"/>
    <d v="2026-09-30T00:00:00"/>
    <n v="45691762"/>
    <s v="MACOTT MARRUGO ELVIA MILENA"/>
    <n v="128"/>
    <n v="0"/>
    <n v="7437781"/>
  </r>
  <r>
    <s v="Retail"/>
    <s v="Q033 - Cartagena - Cc Caribe Plaza"/>
    <x v="0"/>
    <s v="septiembre"/>
    <n v="30"/>
    <d v="2026-09-30T00:00:00"/>
    <n v="1007371954"/>
    <s v="REINOSO  ROJAS DANNA VALENTINA "/>
    <n v="-3"/>
    <n v="0"/>
    <n v="-369496"/>
  </r>
  <r>
    <s v="Retail"/>
    <s v="Q033 - Cartagena - Cc Caribe Plaza"/>
    <x v="0"/>
    <s v="septiembre"/>
    <n v="30"/>
    <d v="2026-09-30T00:00:00"/>
    <n v="1047425678"/>
    <s v="SERNA PAUTT CRISTINA ISABEL"/>
    <n v="135"/>
    <n v="0"/>
    <n v="7726771"/>
  </r>
  <r>
    <s v="Retail"/>
    <s v="Q033 - Cartagena - Cc Caribe Plaza"/>
    <x v="0"/>
    <s v="septiembre"/>
    <n v="30"/>
    <d v="2026-09-30T00:00:00"/>
    <n v="1047465660"/>
    <s v="SABALZA HERRERA STEFANI PAOLA"/>
    <n v="58"/>
    <n v="0"/>
    <n v="3392405"/>
  </r>
  <r>
    <s v="Retail"/>
    <s v="Q033 - Cartagena - Cc Caribe Plaza"/>
    <x v="0"/>
    <s v="septiembre"/>
    <n v="30"/>
    <d v="2026-09-30T00:00:00"/>
    <n v="1067882225"/>
    <s v="PENA PATERNINA MARIA ANGELICA"/>
    <n v="-1"/>
    <n v="0"/>
    <n v="-46177"/>
  </r>
  <r>
    <s v="Retail"/>
    <s v="Q033 - Cartagena - Cc Caribe Plaza"/>
    <x v="0"/>
    <s v="octubre"/>
    <n v="1"/>
    <d v="2026-10-01T00:00:00"/>
    <m/>
    <m/>
    <n v="0"/>
    <n v="37681149"/>
    <n v="0"/>
  </r>
  <r>
    <s v="Retail"/>
    <s v="Q033 - Cartagena - Cc Caribe Plaza"/>
    <x v="0"/>
    <s v="octubre"/>
    <n v="1"/>
    <d v="2026-10-01T00:00:00"/>
    <n v="3739915"/>
    <s v="BOSCAN ALARCON DISNEY DE LOS ANGELES"/>
    <n v="45"/>
    <n v="0"/>
    <n v="2636725"/>
  </r>
  <r>
    <s v="Retail"/>
    <s v="Q033 - Cartagena - Cc Caribe Plaza"/>
    <x v="0"/>
    <s v="octubre"/>
    <n v="1"/>
    <d v="2026-10-01T00:00:00"/>
    <n v="3811650"/>
    <s v="PEREZ PEREZ WILSON DEL CRISTO"/>
    <n v="0"/>
    <n v="0"/>
    <n v="0"/>
  </r>
  <r>
    <s v="Retail"/>
    <s v="Q033 - Cartagena - Cc Caribe Plaza"/>
    <x v="0"/>
    <s v="octubre"/>
    <n v="1"/>
    <d v="2026-10-01T00:00:00"/>
    <n v="45548590"/>
    <s v="PACHECO  DINA CANDY"/>
    <n v="-1"/>
    <n v="0"/>
    <n v="-155420"/>
  </r>
  <r>
    <s v="Retail"/>
    <s v="Q033 - Cartagena - Cc Caribe Plaza"/>
    <x v="0"/>
    <s v="octubre"/>
    <n v="1"/>
    <d v="2026-10-01T00:00:00"/>
    <n v="45691762"/>
    <s v="MACOTT MARRUGO ELVIA MILENA"/>
    <n v="197"/>
    <n v="0"/>
    <n v="11310848"/>
  </r>
  <r>
    <s v="Retail"/>
    <s v="Q033 - Cartagena - Cc Caribe Plaza"/>
    <x v="0"/>
    <s v="octubre"/>
    <n v="1"/>
    <d v="2026-10-01T00:00:00"/>
    <n v="1000130937"/>
    <s v="RODRIGUEZ GUERRERO MARIA ANGELICA"/>
    <n v="-1"/>
    <n v="0"/>
    <n v="-46177"/>
  </r>
  <r>
    <s v="Retail"/>
    <s v="Q033 - Cartagena - Cc Caribe Plaza"/>
    <x v="0"/>
    <s v="octubre"/>
    <n v="1"/>
    <d v="2026-10-01T00:00:00"/>
    <n v="1047425678"/>
    <s v="SERNA PAUTT CRISTINA ISABEL"/>
    <n v="192"/>
    <n v="0"/>
    <n v="10159802"/>
  </r>
  <r>
    <s v="Retail"/>
    <s v="Q033 - Cartagena - Cc Caribe Plaza"/>
    <x v="0"/>
    <s v="octubre"/>
    <n v="1"/>
    <d v="2026-10-01T00:00:00"/>
    <n v="1047439766"/>
    <s v="SALAZAR PEREZ LUISA MARIA"/>
    <n v="-1"/>
    <n v="0"/>
    <n v="-33529"/>
  </r>
  <r>
    <s v="Retail"/>
    <s v="Q033 - Cartagena - Cc Caribe Plaza"/>
    <x v="0"/>
    <s v="octubre"/>
    <n v="1"/>
    <d v="2026-10-01T00:00:00"/>
    <n v="1047465660"/>
    <s v="SABALZA HERRERA STEFANI PAOLA"/>
    <n v="74"/>
    <n v="0"/>
    <n v="3750807"/>
  </r>
  <r>
    <s v="Retail"/>
    <s v="Q033 - Cartagena - Cc Caribe Plaza"/>
    <x v="0"/>
    <s v="octubre"/>
    <n v="2"/>
    <d v="2026-10-02T00:00:00"/>
    <m/>
    <m/>
    <n v="0"/>
    <n v="29187303"/>
    <n v="0"/>
  </r>
  <r>
    <s v="Retail"/>
    <s v="Q033 - Cartagena - Cc Caribe Plaza"/>
    <x v="0"/>
    <s v="octubre"/>
    <n v="2"/>
    <d v="2026-10-02T00:00:00"/>
    <n v="3739915"/>
    <s v="BOSCAN ALARCON DISNEY DE LOS ANGELES"/>
    <n v="24"/>
    <n v="0"/>
    <n v="1669162"/>
  </r>
  <r>
    <s v="Retail"/>
    <s v="Q033 - Cartagena - Cc Caribe Plaza"/>
    <x v="0"/>
    <s v="octubre"/>
    <n v="2"/>
    <d v="2026-10-02T00:00:00"/>
    <n v="3811650"/>
    <s v="PEREZ PEREZ WILSON DEL CRISTO"/>
    <n v="139"/>
    <n v="0"/>
    <n v="7954124"/>
  </r>
  <r>
    <s v="Retail"/>
    <s v="Q033 - Cartagena - Cc Caribe Plaza"/>
    <x v="0"/>
    <s v="octubre"/>
    <n v="2"/>
    <d v="2026-10-02T00:00:00"/>
    <n v="45691762"/>
    <s v="MACOTT MARRUGO ELVIA MILENA"/>
    <n v="118"/>
    <n v="0"/>
    <n v="7272192"/>
  </r>
  <r>
    <s v="Retail"/>
    <s v="Q033 - Cartagena - Cc Caribe Plaza"/>
    <x v="0"/>
    <s v="octubre"/>
    <n v="2"/>
    <d v="2026-10-02T00:00:00"/>
    <n v="1047425678"/>
    <s v="SERNA PAUTT CRISTINA ISABEL"/>
    <n v="118"/>
    <n v="0"/>
    <n v="6375174"/>
  </r>
  <r>
    <s v="Retail"/>
    <s v="Q033 - Cartagena - Cc Caribe Plaza"/>
    <x v="0"/>
    <s v="octubre"/>
    <n v="2"/>
    <d v="2026-10-02T00:00:00"/>
    <n v="1047465660"/>
    <s v="SABALZA HERRERA STEFANI PAOLA"/>
    <n v="52"/>
    <n v="0"/>
    <n v="3172103"/>
  </r>
  <r>
    <s v="Retail"/>
    <s v="Q033 - Cartagena - Cc Caribe Plaza"/>
    <x v="0"/>
    <s v="octubre"/>
    <n v="3"/>
    <d v="2026-10-03T00:00:00"/>
    <m/>
    <m/>
    <n v="0"/>
    <n v="50316300"/>
    <n v="0"/>
  </r>
  <r>
    <s v="Retail"/>
    <s v="Q033 - Cartagena - Cc Caribe Plaza"/>
    <x v="0"/>
    <s v="octubre"/>
    <n v="3"/>
    <d v="2026-10-03T00:00:00"/>
    <n v="3739915"/>
    <s v="BOSCAN ALARCON DISNEY DE LOS ANGELES"/>
    <n v="52"/>
    <n v="0"/>
    <n v="2882044"/>
  </r>
  <r>
    <s v="Retail"/>
    <s v="Q033 - Cartagena - Cc Caribe Plaza"/>
    <x v="0"/>
    <s v="octubre"/>
    <n v="3"/>
    <d v="2026-10-03T00:00:00"/>
    <n v="3811650"/>
    <s v="PEREZ PEREZ WILSON DEL CRISTO"/>
    <n v="291"/>
    <n v="0"/>
    <n v="15330400"/>
  </r>
  <r>
    <s v="Retail"/>
    <s v="Q033 - Cartagena - Cc Caribe Plaza"/>
    <x v="0"/>
    <s v="octubre"/>
    <n v="3"/>
    <d v="2026-10-03T00:00:00"/>
    <n v="45548590"/>
    <s v="PACHECO  DINA CANDY"/>
    <n v="-1"/>
    <n v="0"/>
    <n v="-83992"/>
  </r>
  <r>
    <s v="Retail"/>
    <s v="Q033 - Cartagena - Cc Caribe Plaza"/>
    <x v="0"/>
    <s v="octubre"/>
    <n v="3"/>
    <d v="2026-10-03T00:00:00"/>
    <n v="45691762"/>
    <s v="MACOTT MARRUGO ELVIA MILENA"/>
    <n v="272"/>
    <n v="0"/>
    <n v="14194174"/>
  </r>
  <r>
    <s v="Retail"/>
    <s v="Q033 - Cartagena - Cc Caribe Plaza"/>
    <x v="0"/>
    <s v="octubre"/>
    <n v="3"/>
    <d v="2026-10-03T00:00:00"/>
    <n v="1047425678"/>
    <s v="SERNA PAUTT CRISTINA ISABEL"/>
    <n v="209"/>
    <n v="0"/>
    <n v="11152674"/>
  </r>
  <r>
    <s v="Retail"/>
    <s v="Q033 - Cartagena - Cc Caribe Plaza"/>
    <x v="0"/>
    <s v="octubre"/>
    <n v="3"/>
    <d v="2026-10-03T00:00:00"/>
    <n v="1047465660"/>
    <s v="SABALZA HERRERA STEFANI PAOLA"/>
    <n v="119"/>
    <n v="0"/>
    <n v="6113951"/>
  </r>
  <r>
    <s v="Retail"/>
    <s v="Q033 - Cartagena - Cc Caribe Plaza"/>
    <x v="0"/>
    <s v="octubre"/>
    <n v="4"/>
    <d v="2026-10-04T00:00:00"/>
    <m/>
    <m/>
    <n v="0"/>
    <n v="36135200"/>
    <n v="0"/>
  </r>
  <r>
    <s v="Retail"/>
    <s v="Q033 - Cartagena - Cc Caribe Plaza"/>
    <x v="0"/>
    <s v="octubre"/>
    <n v="4"/>
    <d v="2026-10-04T00:00:00"/>
    <n v="3739915"/>
    <s v="BOSCAN ALARCON DISNEY DE LOS ANGELES"/>
    <n v="51"/>
    <n v="0"/>
    <n v="2842316"/>
  </r>
  <r>
    <s v="Retail"/>
    <s v="Q033 - Cartagena - Cc Caribe Plaza"/>
    <x v="0"/>
    <s v="octubre"/>
    <n v="4"/>
    <d v="2026-10-04T00:00:00"/>
    <n v="3811650"/>
    <s v="PEREZ PEREZ WILSON DEL CRISTO"/>
    <n v="209"/>
    <n v="0"/>
    <n v="12354588"/>
  </r>
  <r>
    <s v="Retail"/>
    <s v="Q033 - Cartagena - Cc Caribe Plaza"/>
    <x v="0"/>
    <s v="octubre"/>
    <n v="4"/>
    <d v="2026-10-04T00:00:00"/>
    <n v="45691762"/>
    <s v="MACOTT MARRUGO ELVIA MILENA"/>
    <n v="204"/>
    <n v="0"/>
    <n v="11394548"/>
  </r>
  <r>
    <s v="Retail"/>
    <s v="Q033 - Cartagena - Cc Caribe Plaza"/>
    <x v="0"/>
    <s v="octubre"/>
    <n v="4"/>
    <d v="2026-10-04T00:00:00"/>
    <n v="1047425678"/>
    <s v="SERNA PAUTT CRISTINA ISABEL"/>
    <n v="216"/>
    <n v="0"/>
    <n v="13177862"/>
  </r>
  <r>
    <s v="Retail"/>
    <s v="Q033 - Cartagena - Cc Caribe Plaza"/>
    <x v="0"/>
    <s v="octubre"/>
    <n v="4"/>
    <d v="2026-10-04T00:00:00"/>
    <n v="1047439766"/>
    <s v="SALAZAR PEREZ LUISA MARIA"/>
    <n v="-1"/>
    <n v="0"/>
    <n v="-58765"/>
  </r>
  <r>
    <s v="Retail"/>
    <s v="Q033 - Cartagena - Cc Caribe Plaza"/>
    <x v="0"/>
    <s v="octubre"/>
    <n v="4"/>
    <d v="2026-10-04T00:00:00"/>
    <n v="1047465660"/>
    <s v="SABALZA HERRERA STEFANI PAOLA"/>
    <n v="56"/>
    <n v="0"/>
    <n v="3300090"/>
  </r>
  <r>
    <s v="Retail"/>
    <s v="Q033 - Cartagena - Cc Caribe Plaza"/>
    <x v="0"/>
    <s v="octubre"/>
    <n v="5"/>
    <d v="2026-10-05T00:00:00"/>
    <m/>
    <m/>
    <n v="0"/>
    <n v="23106048"/>
    <n v="0"/>
  </r>
  <r>
    <s v="Retail"/>
    <s v="Q033 - Cartagena - Cc Caribe Plaza"/>
    <x v="0"/>
    <s v="octubre"/>
    <n v="5"/>
    <d v="2026-10-05T00:00:00"/>
    <n v="3739915"/>
    <s v="BOSCAN ALARCON DISNEY DE LOS ANGELES"/>
    <n v="38"/>
    <n v="0"/>
    <n v="2166474"/>
  </r>
  <r>
    <s v="Retail"/>
    <s v="Q033 - Cartagena - Cc Caribe Plaza"/>
    <x v="0"/>
    <s v="octubre"/>
    <n v="5"/>
    <d v="2026-10-05T00:00:00"/>
    <n v="3811650"/>
    <s v="PEREZ PEREZ WILSON DEL CRISTO"/>
    <n v="0"/>
    <n v="0"/>
    <n v="-2101"/>
  </r>
  <r>
    <s v="Retail"/>
    <s v="Q033 - Cartagena - Cc Caribe Plaza"/>
    <x v="0"/>
    <s v="octubre"/>
    <n v="5"/>
    <d v="2026-10-05T00:00:00"/>
    <n v="45548590"/>
    <s v="PACHECO  DINA CANDY"/>
    <n v="-1"/>
    <n v="0"/>
    <n v="-37773"/>
  </r>
  <r>
    <s v="Retail"/>
    <s v="Q033 - Cartagena - Cc Caribe Plaza"/>
    <x v="0"/>
    <s v="octubre"/>
    <n v="5"/>
    <d v="2026-10-05T00:00:00"/>
    <n v="45691762"/>
    <s v="MACOTT MARRUGO ELVIA MILENA"/>
    <n v="152"/>
    <n v="0"/>
    <n v="7835977"/>
  </r>
  <r>
    <s v="Retail"/>
    <s v="Q033 - Cartagena - Cc Caribe Plaza"/>
    <x v="0"/>
    <s v="octubre"/>
    <n v="5"/>
    <d v="2026-10-05T00:00:00"/>
    <n v="1047425678"/>
    <s v="SERNA PAUTT CRISTINA ISABEL"/>
    <n v="98"/>
    <n v="0"/>
    <n v="6046676"/>
  </r>
  <r>
    <s v="Retail"/>
    <s v="Q033 - Cartagena - Cc Caribe Plaza"/>
    <x v="0"/>
    <s v="octubre"/>
    <n v="5"/>
    <d v="2026-10-05T00:00:00"/>
    <n v="1047465660"/>
    <s v="SABALZA HERRERA STEFANI PAOLA"/>
    <n v="68"/>
    <n v="0"/>
    <n v="3511809"/>
  </r>
  <r>
    <s v="Retail"/>
    <s v="Q033 - Cartagena - Cc Caribe Plaza"/>
    <x v="0"/>
    <s v="octubre"/>
    <n v="6"/>
    <d v="2026-10-06T00:00:00"/>
    <m/>
    <m/>
    <n v="0"/>
    <n v="15429985"/>
    <n v="0"/>
  </r>
  <r>
    <s v="Retail"/>
    <s v="Q033 - Cartagena - Cc Caribe Plaza"/>
    <x v="0"/>
    <s v="octubre"/>
    <n v="6"/>
    <d v="2026-10-06T00:00:00"/>
    <n v="3739915"/>
    <s v="BOSCAN ALARCON DISNEY DE LOS ANGELES"/>
    <n v="29"/>
    <n v="0"/>
    <n v="1855926"/>
  </r>
  <r>
    <s v="Retail"/>
    <s v="Q033 - Cartagena - Cc Caribe Plaza"/>
    <x v="0"/>
    <s v="octubre"/>
    <n v="6"/>
    <d v="2026-10-06T00:00:00"/>
    <n v="3811650"/>
    <s v="PEREZ PEREZ WILSON DEL CRISTO"/>
    <n v="-1"/>
    <n v="0"/>
    <n v="-62983"/>
  </r>
  <r>
    <s v="Retail"/>
    <s v="Q033 - Cartagena - Cc Caribe Plaza"/>
    <x v="0"/>
    <s v="octubre"/>
    <n v="6"/>
    <d v="2026-10-06T00:00:00"/>
    <n v="45691762"/>
    <s v="MACOTT MARRUGO ELVIA MILENA"/>
    <n v="108"/>
    <n v="0"/>
    <n v="5413369"/>
  </r>
  <r>
    <s v="Retail"/>
    <s v="Q033 - Cartagena - Cc Caribe Plaza"/>
    <x v="0"/>
    <s v="octubre"/>
    <n v="6"/>
    <d v="2026-10-06T00:00:00"/>
    <n v="1047425678"/>
    <s v="SERNA PAUTT CRISTINA ISABEL"/>
    <n v="88"/>
    <n v="0"/>
    <n v="4866016"/>
  </r>
  <r>
    <s v="Retail"/>
    <s v="Q033 - Cartagena - Cc Caribe Plaza"/>
    <x v="0"/>
    <s v="octubre"/>
    <n v="6"/>
    <d v="2026-10-06T00:00:00"/>
    <n v="1047465660"/>
    <s v="SABALZA HERRERA STEFANI PAOLA"/>
    <n v="35"/>
    <n v="0"/>
    <n v="1828321"/>
  </r>
  <r>
    <s v="Retail"/>
    <s v="Q033 - Cartagena - Cc Caribe Plaza"/>
    <x v="0"/>
    <s v="octubre"/>
    <n v="7"/>
    <d v="2026-10-07T00:00:00"/>
    <m/>
    <m/>
    <n v="0"/>
    <n v="15226957"/>
    <n v="0"/>
  </r>
  <r>
    <s v="Retail"/>
    <s v="Q033 - Cartagena - Cc Caribe Plaza"/>
    <x v="0"/>
    <s v="octubre"/>
    <n v="7"/>
    <d v="2026-10-07T00:00:00"/>
    <n v="3739915"/>
    <s v="BOSCAN ALARCON DISNEY DE LOS ANGELES"/>
    <n v="37"/>
    <n v="0"/>
    <n v="2349288"/>
  </r>
  <r>
    <s v="Retail"/>
    <s v="Q033 - Cartagena - Cc Caribe Plaza"/>
    <x v="0"/>
    <s v="octubre"/>
    <n v="7"/>
    <d v="2026-10-07T00:00:00"/>
    <n v="45691762"/>
    <s v="MACOTT MARRUGO ELVIA MILENA"/>
    <n v="164"/>
    <n v="0"/>
    <n v="9060259"/>
  </r>
  <r>
    <s v="Retail"/>
    <s v="Q033 - Cartagena - Cc Caribe Plaza"/>
    <x v="0"/>
    <s v="octubre"/>
    <n v="7"/>
    <d v="2026-10-07T00:00:00"/>
    <n v="1047425678"/>
    <s v="SERNA PAUTT CRISTINA ISABEL"/>
    <n v="87"/>
    <n v="0"/>
    <n v="5176975"/>
  </r>
  <r>
    <s v="Retail"/>
    <s v="Q033 - Cartagena - Cc Caribe Plaza"/>
    <x v="0"/>
    <s v="octubre"/>
    <n v="7"/>
    <d v="2026-10-07T00:00:00"/>
    <n v="1104254048"/>
    <s v="CAMPUZANO CAGUA ETILVIA   ROSA"/>
    <n v="-1"/>
    <n v="0"/>
    <n v="-41975"/>
  </r>
  <r>
    <s v="Retail"/>
    <s v="Q035 - Barranquilla - Cc Unico"/>
    <x v="0"/>
    <s v="septiembre"/>
    <n v="23"/>
    <d v="2026-09-23T00:00:00"/>
    <m/>
    <m/>
    <n v="0"/>
    <n v="14848229"/>
    <n v="0"/>
  </r>
  <r>
    <s v="Retail"/>
    <s v="Q035 - Barranquilla - Cc Unico"/>
    <x v="0"/>
    <s v="septiembre"/>
    <n v="23"/>
    <d v="2026-09-23T00:00:00"/>
    <n v="1001878009"/>
    <s v="SANDOVAL JIMENEZ YESID ARTURO"/>
    <n v="49"/>
    <n v="0"/>
    <n v="2520003"/>
  </r>
  <r>
    <s v="Retail"/>
    <s v="Q035 - Barranquilla - Cc Unico"/>
    <x v="0"/>
    <s v="septiembre"/>
    <n v="23"/>
    <d v="2026-09-23T00:00:00"/>
    <n v="1048292768"/>
    <s v="MARINEZ TORNEZ ANA MERCEDES"/>
    <n v="84"/>
    <n v="0"/>
    <n v="4472315"/>
  </r>
  <r>
    <s v="Retail"/>
    <s v="Q035 - Barranquilla - Cc Unico"/>
    <x v="0"/>
    <s v="septiembre"/>
    <n v="23"/>
    <d v="2026-09-23T00:00:00"/>
    <n v="1127584684"/>
    <s v="ARIAS BARRIOS ANA GABRIELA"/>
    <n v="14"/>
    <n v="0"/>
    <n v="654832"/>
  </r>
  <r>
    <s v="Retail"/>
    <s v="Q035 - Barranquilla - Cc Unico"/>
    <x v="0"/>
    <s v="septiembre"/>
    <n v="23"/>
    <d v="2026-09-23T00:00:00"/>
    <n v="1143148766"/>
    <s v="MATTOS CERVANTES JHONNY DAVID"/>
    <n v="54"/>
    <n v="0"/>
    <n v="2955633"/>
  </r>
  <r>
    <s v="Retail"/>
    <s v="Q035 - Barranquilla - Cc Unico"/>
    <x v="0"/>
    <s v="septiembre"/>
    <n v="24"/>
    <d v="2026-09-24T00:00:00"/>
    <m/>
    <m/>
    <n v="0"/>
    <n v="22682339"/>
    <n v="0"/>
  </r>
  <r>
    <s v="Retail"/>
    <s v="Q035 - Barranquilla - Cc Unico"/>
    <x v="0"/>
    <s v="septiembre"/>
    <n v="24"/>
    <d v="2026-09-24T00:00:00"/>
    <n v="1001878009"/>
    <s v="SANDOVAL JIMENEZ YESID ARTURO"/>
    <n v="90"/>
    <n v="0"/>
    <n v="4559079"/>
  </r>
  <r>
    <s v="Retail"/>
    <s v="Q035 - Barranquilla - Cc Unico"/>
    <x v="0"/>
    <s v="septiembre"/>
    <n v="24"/>
    <d v="2026-09-24T00:00:00"/>
    <n v="1045739667"/>
    <s v="GARCIA SAMPAYO KATIA PAMELA"/>
    <n v="20"/>
    <n v="0"/>
    <n v="969579"/>
  </r>
  <r>
    <s v="Retail"/>
    <s v="Q035 - Barranquilla - Cc Unico"/>
    <x v="0"/>
    <s v="septiembre"/>
    <n v="24"/>
    <d v="2026-09-24T00:00:00"/>
    <n v="1048292768"/>
    <s v="MARINEZ TORNEZ ANA MERCEDES"/>
    <n v="109"/>
    <n v="0"/>
    <n v="5740847"/>
  </r>
  <r>
    <s v="Retail"/>
    <s v="Q035 - Barranquilla - Cc Unico"/>
    <x v="0"/>
    <s v="septiembre"/>
    <n v="24"/>
    <d v="2026-09-24T00:00:00"/>
    <n v="1127584684"/>
    <s v="ARIAS BARRIOS ANA GABRIELA"/>
    <n v="2"/>
    <n v="0"/>
    <n v="71345"/>
  </r>
  <r>
    <s v="Retail"/>
    <s v="Q035 - Barranquilla - Cc Unico"/>
    <x v="0"/>
    <s v="septiembre"/>
    <n v="24"/>
    <d v="2026-09-24T00:00:00"/>
    <n v="1143148766"/>
    <s v="MATTOS CERVANTES JHONNY DAVID"/>
    <n v="87"/>
    <n v="0"/>
    <n v="4548703"/>
  </r>
  <r>
    <s v="Retail"/>
    <s v="Q035 - Barranquilla - Cc Unico"/>
    <x v="0"/>
    <s v="septiembre"/>
    <n v="25"/>
    <d v="2026-09-25T00:00:00"/>
    <m/>
    <m/>
    <n v="0"/>
    <n v="22632125"/>
    <n v="0"/>
  </r>
  <r>
    <s v="Retail"/>
    <s v="Q035 - Barranquilla - Cc Unico"/>
    <x v="0"/>
    <s v="septiembre"/>
    <n v="25"/>
    <d v="2026-09-25T00:00:00"/>
    <n v="1001878009"/>
    <s v="SANDOVAL JIMENEZ YESID ARTURO"/>
    <n v="83"/>
    <n v="0"/>
    <n v="3809374"/>
  </r>
  <r>
    <s v="Retail"/>
    <s v="Q035 - Barranquilla - Cc Unico"/>
    <x v="0"/>
    <s v="septiembre"/>
    <n v="25"/>
    <d v="2026-09-25T00:00:00"/>
    <n v="1045739667"/>
    <s v="GARCIA SAMPAYO KATIA PAMELA"/>
    <n v="38"/>
    <n v="0"/>
    <n v="1731348"/>
  </r>
  <r>
    <s v="Retail"/>
    <s v="Q035 - Barranquilla - Cc Unico"/>
    <x v="0"/>
    <s v="septiembre"/>
    <n v="25"/>
    <d v="2026-09-25T00:00:00"/>
    <n v="1048292768"/>
    <s v="MARINEZ TORNEZ ANA MERCEDES"/>
    <n v="129"/>
    <n v="0"/>
    <n v="5962725"/>
  </r>
  <r>
    <s v="Retail"/>
    <s v="Q035 - Barranquilla - Cc Unico"/>
    <x v="0"/>
    <s v="septiembre"/>
    <n v="25"/>
    <d v="2026-09-25T00:00:00"/>
    <n v="1127584684"/>
    <s v="ARIAS BARRIOS ANA GABRIELA"/>
    <n v="34"/>
    <n v="0"/>
    <n v="1746432"/>
  </r>
  <r>
    <s v="Retail"/>
    <s v="Q035 - Barranquilla - Cc Unico"/>
    <x v="0"/>
    <s v="septiembre"/>
    <n v="25"/>
    <d v="2026-09-25T00:00:00"/>
    <n v="1143148766"/>
    <s v="MATTOS CERVANTES JHONNY DAVID"/>
    <n v="78"/>
    <n v="0"/>
    <n v="4042815"/>
  </r>
  <r>
    <s v="Retail"/>
    <s v="Q035 - Barranquilla - Cc Unico"/>
    <x v="0"/>
    <s v="septiembre"/>
    <n v="26"/>
    <d v="2026-09-26T00:00:00"/>
    <m/>
    <m/>
    <n v="0"/>
    <n v="32525618"/>
    <n v="0"/>
  </r>
  <r>
    <s v="Retail"/>
    <s v="Q035 - Barranquilla - Cc Unico"/>
    <x v="0"/>
    <s v="septiembre"/>
    <n v="26"/>
    <d v="2026-09-26T00:00:00"/>
    <n v="1001820021"/>
    <s v="REBOLLEDO  KENDRY"/>
    <n v="-1"/>
    <n v="0"/>
    <n v="-41975"/>
  </r>
  <r>
    <s v="Retail"/>
    <s v="Q035 - Barranquilla - Cc Unico"/>
    <x v="0"/>
    <s v="septiembre"/>
    <n v="26"/>
    <d v="2026-09-26T00:00:00"/>
    <n v="1001878009"/>
    <s v="SANDOVAL JIMENEZ YESID ARTURO"/>
    <n v="129"/>
    <n v="0"/>
    <n v="6248535"/>
  </r>
  <r>
    <s v="Retail"/>
    <s v="Q035 - Barranquilla - Cc Unico"/>
    <x v="0"/>
    <s v="septiembre"/>
    <n v="26"/>
    <d v="2026-09-26T00:00:00"/>
    <n v="1003173576"/>
    <s v="BONETH GALINDO KEVIN CAMILO"/>
    <n v="-1"/>
    <n v="0"/>
    <n v="-37773"/>
  </r>
  <r>
    <s v="Retail"/>
    <s v="Q035 - Barranquilla - Cc Unico"/>
    <x v="0"/>
    <s v="septiembre"/>
    <n v="26"/>
    <d v="2026-09-26T00:00:00"/>
    <n v="1045739667"/>
    <s v="GARCIA SAMPAYO KATIA PAMELA"/>
    <n v="62"/>
    <n v="0"/>
    <n v="2900636"/>
  </r>
  <r>
    <s v="Retail"/>
    <s v="Q035 - Barranquilla - Cc Unico"/>
    <x v="0"/>
    <s v="septiembre"/>
    <n v="26"/>
    <d v="2026-09-26T00:00:00"/>
    <n v="1048292768"/>
    <s v="MARINEZ TORNEZ ANA MERCEDES"/>
    <n v="178"/>
    <n v="0"/>
    <n v="8655639"/>
  </r>
  <r>
    <s v="Retail"/>
    <s v="Q035 - Barranquilla - Cc Unico"/>
    <x v="0"/>
    <s v="septiembre"/>
    <n v="26"/>
    <d v="2026-09-26T00:00:00"/>
    <n v="1127584684"/>
    <s v="ARIAS BARRIOS ANA GABRIELA"/>
    <n v="65"/>
    <n v="0"/>
    <n v="2848660"/>
  </r>
  <r>
    <s v="Retail"/>
    <s v="Q035 - Barranquilla - Cc Unico"/>
    <x v="0"/>
    <s v="septiembre"/>
    <n v="26"/>
    <d v="2026-09-26T00:00:00"/>
    <n v="1143148766"/>
    <s v="MATTOS CERVANTES JHONNY DAVID"/>
    <n v="124"/>
    <n v="0"/>
    <n v="5920848"/>
  </r>
  <r>
    <s v="Retail"/>
    <s v="Q035 - Barranquilla - Cc Unico"/>
    <x v="0"/>
    <s v="septiembre"/>
    <n v="27"/>
    <d v="2026-09-27T00:00:00"/>
    <m/>
    <m/>
    <n v="0"/>
    <n v="25766838"/>
    <n v="0"/>
  </r>
  <r>
    <s v="Retail"/>
    <s v="Q035 - Barranquilla - Cc Unico"/>
    <x v="0"/>
    <s v="septiembre"/>
    <n v="27"/>
    <d v="2026-09-27T00:00:00"/>
    <n v="1001878009"/>
    <s v="SANDOVAL JIMENEZ YESID ARTURO"/>
    <n v="99"/>
    <n v="0"/>
    <n v="5205380"/>
  </r>
  <r>
    <s v="Retail"/>
    <s v="Q035 - Barranquilla - Cc Unico"/>
    <x v="0"/>
    <s v="septiembre"/>
    <n v="27"/>
    <d v="2026-09-27T00:00:00"/>
    <n v="1045739667"/>
    <s v="GARCIA SAMPAYO KATIA PAMELA"/>
    <n v="40"/>
    <n v="0"/>
    <n v="2359417"/>
  </r>
  <r>
    <s v="Retail"/>
    <s v="Q035 - Barranquilla - Cc Unico"/>
    <x v="0"/>
    <s v="septiembre"/>
    <n v="27"/>
    <d v="2026-09-27T00:00:00"/>
    <n v="1048292768"/>
    <s v="MARINEZ TORNEZ ANA MERCEDES"/>
    <n v="135"/>
    <n v="0"/>
    <n v="7506436"/>
  </r>
  <r>
    <s v="Retail"/>
    <s v="Q035 - Barranquilla - Cc Unico"/>
    <x v="0"/>
    <s v="septiembre"/>
    <n v="27"/>
    <d v="2026-09-27T00:00:00"/>
    <n v="1127584684"/>
    <s v="ARIAS BARRIOS ANA GABRIELA"/>
    <n v="49"/>
    <n v="0"/>
    <n v="2485045"/>
  </r>
  <r>
    <s v="Retail"/>
    <s v="Q035 - Barranquilla - Cc Unico"/>
    <x v="0"/>
    <s v="septiembre"/>
    <n v="27"/>
    <d v="2026-09-27T00:00:00"/>
    <n v="1143148766"/>
    <s v="MATTOS CERVANTES JHONNY DAVID"/>
    <n v="83"/>
    <n v="0"/>
    <n v="4300804"/>
  </r>
  <r>
    <s v="Retail"/>
    <s v="Q035 - Barranquilla - Cc Unico"/>
    <x v="0"/>
    <s v="septiembre"/>
    <n v="28"/>
    <d v="2026-09-28T00:00:00"/>
    <m/>
    <m/>
    <n v="0"/>
    <n v="14181009"/>
    <n v="0"/>
  </r>
  <r>
    <s v="Retail"/>
    <s v="Q035 - Barranquilla - Cc Unico"/>
    <x v="0"/>
    <s v="septiembre"/>
    <n v="28"/>
    <d v="2026-09-28T00:00:00"/>
    <n v="1001878009"/>
    <s v="SANDOVAL JIMENEZ YESID ARTURO"/>
    <n v="31"/>
    <n v="0"/>
    <n v="1273698"/>
  </r>
  <r>
    <s v="Retail"/>
    <s v="Q035 - Barranquilla - Cc Unico"/>
    <x v="0"/>
    <s v="septiembre"/>
    <n v="28"/>
    <d v="2026-09-28T00:00:00"/>
    <n v="1045739667"/>
    <s v="GARCIA SAMPAYO KATIA PAMELA"/>
    <n v="12"/>
    <n v="0"/>
    <n v="596010"/>
  </r>
  <r>
    <s v="Retail"/>
    <s v="Q035 - Barranquilla - Cc Unico"/>
    <x v="0"/>
    <s v="septiembre"/>
    <n v="28"/>
    <d v="2026-09-28T00:00:00"/>
    <n v="1048292768"/>
    <s v="MARINEZ TORNEZ ANA MERCEDES"/>
    <n v="64"/>
    <n v="0"/>
    <n v="3238068"/>
  </r>
  <r>
    <s v="Retail"/>
    <s v="Q035 - Barranquilla - Cc Unico"/>
    <x v="0"/>
    <s v="septiembre"/>
    <n v="28"/>
    <d v="2026-09-28T00:00:00"/>
    <n v="1127584684"/>
    <s v="ARIAS BARRIOS ANA GABRIELA"/>
    <n v="10"/>
    <n v="0"/>
    <n v="444915"/>
  </r>
  <r>
    <s v="Retail"/>
    <s v="Q035 - Barranquilla - Cc Unico"/>
    <x v="0"/>
    <s v="septiembre"/>
    <n v="28"/>
    <d v="2026-09-28T00:00:00"/>
    <n v="1143148766"/>
    <s v="MATTOS CERVANTES JHONNY DAVID"/>
    <n v="58"/>
    <n v="0"/>
    <n v="2404874"/>
  </r>
  <r>
    <s v="Retail"/>
    <s v="Q035 - Barranquilla - Cc Unico"/>
    <x v="0"/>
    <s v="septiembre"/>
    <n v="29"/>
    <d v="2026-09-29T00:00:00"/>
    <m/>
    <m/>
    <n v="0"/>
    <n v="15148094"/>
    <n v="0"/>
  </r>
  <r>
    <s v="Retail"/>
    <s v="Q035 - Barranquilla - Cc Unico"/>
    <x v="0"/>
    <s v="septiembre"/>
    <n v="29"/>
    <d v="2026-09-29T00:00:00"/>
    <n v="1001878009"/>
    <s v="SANDOVAL JIMENEZ YESID ARTURO"/>
    <n v="59"/>
    <n v="0"/>
    <n v="2559666"/>
  </r>
  <r>
    <s v="Retail"/>
    <s v="Q035 - Barranquilla - Cc Unico"/>
    <x v="0"/>
    <s v="septiembre"/>
    <n v="29"/>
    <d v="2026-09-29T00:00:00"/>
    <n v="1045739667"/>
    <s v="GARCIA SAMPAYO KATIA PAMELA"/>
    <n v="29"/>
    <n v="0"/>
    <n v="1116092"/>
  </r>
  <r>
    <s v="Retail"/>
    <s v="Q035 - Barranquilla - Cc Unico"/>
    <x v="0"/>
    <s v="septiembre"/>
    <n v="29"/>
    <d v="2026-09-29T00:00:00"/>
    <n v="1048292768"/>
    <s v="MARINEZ TORNEZ ANA MERCEDES"/>
    <n v="140"/>
    <n v="0"/>
    <n v="5560884"/>
  </r>
  <r>
    <s v="Retail"/>
    <s v="Q035 - Barranquilla - Cc Unico"/>
    <x v="0"/>
    <s v="septiembre"/>
    <n v="29"/>
    <d v="2026-09-29T00:00:00"/>
    <n v="1127584684"/>
    <s v="ARIAS BARRIOS ANA GABRIELA"/>
    <n v="27"/>
    <n v="0"/>
    <n v="1443909"/>
  </r>
  <r>
    <s v="Retail"/>
    <s v="Q035 - Barranquilla - Cc Unico"/>
    <x v="0"/>
    <s v="septiembre"/>
    <n v="29"/>
    <d v="2026-09-29T00:00:00"/>
    <n v="1143148766"/>
    <s v="MATTOS CERVANTES JHONNY DAVID"/>
    <n v="49"/>
    <n v="0"/>
    <n v="2423570"/>
  </r>
  <r>
    <s v="Retail"/>
    <s v="Q035 - Barranquilla - Cc Unico"/>
    <x v="0"/>
    <s v="septiembre"/>
    <n v="30"/>
    <d v="2026-09-30T00:00:00"/>
    <m/>
    <m/>
    <n v="0"/>
    <n v="15648252"/>
    <n v="0"/>
  </r>
  <r>
    <s v="Retail"/>
    <s v="Q035 - Barranquilla - Cc Unico"/>
    <x v="0"/>
    <s v="septiembre"/>
    <n v="30"/>
    <d v="2026-09-30T00:00:00"/>
    <n v="1001878009"/>
    <s v="SANDOVAL JIMENEZ YESID ARTURO"/>
    <n v="42"/>
    <n v="0"/>
    <n v="1804497"/>
  </r>
  <r>
    <s v="Retail"/>
    <s v="Q035 - Barranquilla - Cc Unico"/>
    <x v="0"/>
    <s v="septiembre"/>
    <n v="30"/>
    <d v="2026-09-30T00:00:00"/>
    <n v="1045739667"/>
    <s v="GARCIA SAMPAYO KATIA PAMELA"/>
    <n v="28"/>
    <n v="0"/>
    <n v="860043"/>
  </r>
  <r>
    <s v="Retail"/>
    <s v="Q035 - Barranquilla - Cc Unico"/>
    <x v="0"/>
    <s v="septiembre"/>
    <n v="30"/>
    <d v="2026-09-30T00:00:00"/>
    <n v="1048292768"/>
    <s v="MARINEZ TORNEZ ANA MERCEDES"/>
    <n v="149"/>
    <n v="0"/>
    <n v="6763534"/>
  </r>
  <r>
    <s v="Retail"/>
    <s v="Q035 - Barranquilla - Cc Unico"/>
    <x v="0"/>
    <s v="septiembre"/>
    <n v="30"/>
    <d v="2026-09-30T00:00:00"/>
    <n v="1127584684"/>
    <s v="ARIAS BARRIOS ANA GABRIELA"/>
    <n v="38"/>
    <n v="0"/>
    <n v="2090715"/>
  </r>
  <r>
    <s v="Retail"/>
    <s v="Q035 - Barranquilla - Cc Unico"/>
    <x v="0"/>
    <s v="septiembre"/>
    <n v="30"/>
    <d v="2026-09-30T00:00:00"/>
    <n v="1143148766"/>
    <s v="MATTOS CERVANTES JHONNY DAVID"/>
    <n v="66"/>
    <n v="0"/>
    <n v="2652226"/>
  </r>
  <r>
    <s v="Retail"/>
    <s v="Q035 - Barranquilla - Cc Unico"/>
    <x v="0"/>
    <s v="octubre"/>
    <n v="1"/>
    <d v="2026-10-01T00:00:00"/>
    <m/>
    <m/>
    <n v="0"/>
    <n v="17074483"/>
    <n v="0"/>
  </r>
  <r>
    <s v="Retail"/>
    <s v="Q035 - Barranquilla - Cc Unico"/>
    <x v="0"/>
    <s v="octubre"/>
    <n v="1"/>
    <d v="2026-10-01T00:00:00"/>
    <n v="1001878009"/>
    <s v="SANDOVAL JIMENEZ YESID ARTURO"/>
    <n v="84"/>
    <n v="0"/>
    <n v="3610970"/>
  </r>
  <r>
    <s v="Retail"/>
    <s v="Q035 - Barranquilla - Cc Unico"/>
    <x v="0"/>
    <s v="octubre"/>
    <n v="1"/>
    <d v="2026-10-01T00:00:00"/>
    <n v="1045739667"/>
    <s v="GARCIA SAMPAYO KATIA PAMELA"/>
    <n v="16"/>
    <n v="0"/>
    <n v="803825"/>
  </r>
  <r>
    <s v="Retail"/>
    <s v="Q035 - Barranquilla - Cc Unico"/>
    <x v="0"/>
    <s v="octubre"/>
    <n v="1"/>
    <d v="2026-10-01T00:00:00"/>
    <n v="1048292768"/>
    <s v="MARINEZ TORNEZ ANA MERCEDES"/>
    <n v="160"/>
    <n v="0"/>
    <n v="6074580"/>
  </r>
  <r>
    <s v="Retail"/>
    <s v="Q035 - Barranquilla - Cc Unico"/>
    <x v="0"/>
    <s v="octubre"/>
    <n v="1"/>
    <d v="2026-10-01T00:00:00"/>
    <n v="1127584684"/>
    <s v="ARIAS BARRIOS ANA GABRIELA"/>
    <n v="43"/>
    <n v="0"/>
    <n v="1835757"/>
  </r>
  <r>
    <s v="Retail"/>
    <s v="Q035 - Barranquilla - Cc Unico"/>
    <x v="0"/>
    <s v="octubre"/>
    <n v="1"/>
    <d v="2026-10-01T00:00:00"/>
    <n v="1143148766"/>
    <s v="MATTOS CERVANTES JHONNY DAVID"/>
    <n v="84"/>
    <n v="0"/>
    <n v="3798450"/>
  </r>
  <r>
    <s v="Retail"/>
    <s v="Q035 - Barranquilla - Cc Unico"/>
    <x v="0"/>
    <s v="octubre"/>
    <n v="2"/>
    <d v="2026-10-02T00:00:00"/>
    <m/>
    <m/>
    <n v="0"/>
    <n v="15983799"/>
    <n v="0"/>
  </r>
  <r>
    <s v="Retail"/>
    <s v="Q035 - Barranquilla - Cc Unico"/>
    <x v="0"/>
    <s v="octubre"/>
    <n v="2"/>
    <d v="2026-10-02T00:00:00"/>
    <n v="1001878009"/>
    <s v="SANDOVAL JIMENEZ YESID ARTURO"/>
    <n v="0"/>
    <n v="0"/>
    <n v="8403"/>
  </r>
  <r>
    <s v="Retail"/>
    <s v="Q035 - Barranquilla - Cc Unico"/>
    <x v="0"/>
    <s v="octubre"/>
    <n v="2"/>
    <d v="2026-10-02T00:00:00"/>
    <n v="1045739667"/>
    <s v="GARCIA SAMPAYO KATIA PAMELA"/>
    <n v="13"/>
    <n v="0"/>
    <n v="629539"/>
  </r>
  <r>
    <s v="Retail"/>
    <s v="Q035 - Barranquilla - Cc Unico"/>
    <x v="0"/>
    <s v="octubre"/>
    <n v="2"/>
    <d v="2026-10-02T00:00:00"/>
    <n v="1048292768"/>
    <s v="MARINEZ TORNEZ ANA MERCEDES"/>
    <n v="122"/>
    <n v="0"/>
    <n v="5498028"/>
  </r>
  <r>
    <s v="Retail"/>
    <s v="Q035 - Barranquilla - Cc Unico"/>
    <x v="0"/>
    <s v="octubre"/>
    <n v="2"/>
    <d v="2026-10-02T00:00:00"/>
    <n v="1127584684"/>
    <s v="ARIAS BARRIOS ANA GABRIELA"/>
    <n v="36"/>
    <n v="0"/>
    <n v="1290339"/>
  </r>
  <r>
    <s v="Retail"/>
    <s v="Q035 - Barranquilla - Cc Unico"/>
    <x v="0"/>
    <s v="octubre"/>
    <n v="2"/>
    <d v="2026-10-02T00:00:00"/>
    <n v="1143148766"/>
    <s v="MATTOS CERVANTES JHONNY DAVID"/>
    <n v="78"/>
    <n v="0"/>
    <n v="3975088"/>
  </r>
  <r>
    <s v="Retail"/>
    <s v="Q035 - Barranquilla - Cc Unico"/>
    <x v="0"/>
    <s v="octubre"/>
    <n v="3"/>
    <d v="2026-10-03T00:00:00"/>
    <m/>
    <m/>
    <n v="0"/>
    <n v="26742000"/>
    <n v="0"/>
  </r>
  <r>
    <s v="Retail"/>
    <s v="Q035 - Barranquilla - Cc Unico"/>
    <x v="0"/>
    <s v="octubre"/>
    <n v="3"/>
    <d v="2026-10-03T00:00:00"/>
    <n v="1001878009"/>
    <s v="SANDOVAL JIMENEZ YESID ARTURO"/>
    <n v="154"/>
    <n v="0"/>
    <n v="8600334"/>
  </r>
  <r>
    <s v="Retail"/>
    <s v="Q035 - Barranquilla - Cc Unico"/>
    <x v="0"/>
    <s v="octubre"/>
    <n v="3"/>
    <d v="2026-10-03T00:00:00"/>
    <n v="1045739667"/>
    <s v="GARCIA SAMPAYO KATIA PAMELA"/>
    <n v="54"/>
    <n v="0"/>
    <n v="2112588"/>
  </r>
  <r>
    <s v="Retail"/>
    <s v="Q035 - Barranquilla - Cc Unico"/>
    <x v="0"/>
    <s v="octubre"/>
    <n v="3"/>
    <d v="2026-10-03T00:00:00"/>
    <n v="1048292768"/>
    <s v="MARINEZ TORNEZ ANA MERCEDES"/>
    <n v="74"/>
    <n v="0"/>
    <n v="3110263"/>
  </r>
  <r>
    <s v="Retail"/>
    <s v="Q035 - Barranquilla - Cc Unico"/>
    <x v="0"/>
    <s v="octubre"/>
    <n v="3"/>
    <d v="2026-10-03T00:00:00"/>
    <n v="1127584684"/>
    <s v="ARIAS BARRIOS ANA GABRIELA"/>
    <n v="68"/>
    <n v="0"/>
    <n v="3201842"/>
  </r>
  <r>
    <s v="Retail"/>
    <s v="Q035 - Barranquilla - Cc Unico"/>
    <x v="0"/>
    <s v="octubre"/>
    <n v="3"/>
    <d v="2026-10-03T00:00:00"/>
    <n v="1143148766"/>
    <s v="MATTOS CERVANTES JHONNY DAVID"/>
    <n v="208"/>
    <n v="0"/>
    <n v="8692112"/>
  </r>
  <r>
    <s v="Retail"/>
    <s v="Q035 - Barranquilla - Cc Unico"/>
    <x v="0"/>
    <s v="octubre"/>
    <n v="4"/>
    <d v="2026-10-04T00:00:00"/>
    <m/>
    <m/>
    <n v="0"/>
    <n v="23326262"/>
    <n v="0"/>
  </r>
  <r>
    <s v="Retail"/>
    <s v="Q035 - Barranquilla - Cc Unico"/>
    <x v="0"/>
    <s v="octubre"/>
    <n v="4"/>
    <d v="2026-10-04T00:00:00"/>
    <n v="1001878009"/>
    <s v="SANDOVAL JIMENEZ YESID ARTURO"/>
    <n v="108"/>
    <n v="0"/>
    <n v="5179417"/>
  </r>
  <r>
    <s v="Retail"/>
    <s v="Q035 - Barranquilla - Cc Unico"/>
    <x v="0"/>
    <s v="octubre"/>
    <n v="4"/>
    <d v="2026-10-04T00:00:00"/>
    <n v="1045739667"/>
    <s v="GARCIA SAMPAYO KATIA PAMELA"/>
    <n v="39"/>
    <n v="0"/>
    <n v="1817311"/>
  </r>
  <r>
    <s v="Retail"/>
    <s v="Q035 - Barranquilla - Cc Unico"/>
    <x v="0"/>
    <s v="octubre"/>
    <n v="4"/>
    <d v="2026-10-04T00:00:00"/>
    <n v="1048292768"/>
    <s v="MARINEZ TORNEZ ANA MERCEDES"/>
    <n v="144"/>
    <n v="0"/>
    <n v="7539333"/>
  </r>
  <r>
    <s v="Retail"/>
    <s v="Q035 - Barranquilla - Cc Unico"/>
    <x v="0"/>
    <s v="octubre"/>
    <n v="4"/>
    <d v="2026-10-04T00:00:00"/>
    <n v="1127584684"/>
    <s v="ARIAS BARRIOS ANA GABRIELA"/>
    <n v="29"/>
    <n v="0"/>
    <n v="1628865"/>
  </r>
  <r>
    <s v="Retail"/>
    <s v="Q035 - Barranquilla - Cc Unico"/>
    <x v="0"/>
    <s v="octubre"/>
    <n v="4"/>
    <d v="2026-10-04T00:00:00"/>
    <n v="1143142715"/>
    <s v="BARRAZA  MORENO BRANDON JOSE "/>
    <n v="-1"/>
    <n v="0"/>
    <n v="-54580"/>
  </r>
  <r>
    <s v="Retail"/>
    <s v="Q035 - Barranquilla - Cc Unico"/>
    <x v="0"/>
    <s v="octubre"/>
    <n v="4"/>
    <d v="2026-10-04T00:00:00"/>
    <n v="1143148766"/>
    <s v="MATTOS CERVANTES JHONNY DAVID"/>
    <n v="81"/>
    <n v="0"/>
    <n v="4353240"/>
  </r>
  <r>
    <s v="Retail"/>
    <s v="Q035 - Barranquilla - Cc Unico"/>
    <x v="0"/>
    <s v="octubre"/>
    <n v="5"/>
    <d v="2026-10-05T00:00:00"/>
    <m/>
    <m/>
    <n v="0"/>
    <n v="10488200"/>
    <n v="0"/>
  </r>
  <r>
    <s v="Retail"/>
    <s v="Q035 - Barranquilla - Cc Unico"/>
    <x v="0"/>
    <s v="octubre"/>
    <n v="5"/>
    <d v="2026-10-05T00:00:00"/>
    <n v="1001878009"/>
    <s v="SANDOVAL JIMENEZ YESID ARTURO"/>
    <n v="54"/>
    <n v="0"/>
    <n v="2639876"/>
  </r>
  <r>
    <s v="Retail"/>
    <s v="Q035 - Barranquilla - Cc Unico"/>
    <x v="0"/>
    <s v="octubre"/>
    <n v="5"/>
    <d v="2026-10-05T00:00:00"/>
    <n v="1045739667"/>
    <s v="GARCIA SAMPAYO KATIA PAMELA"/>
    <n v="6"/>
    <n v="0"/>
    <n v="474538"/>
  </r>
  <r>
    <s v="Retail"/>
    <s v="Q035 - Barranquilla - Cc Unico"/>
    <x v="0"/>
    <s v="octubre"/>
    <n v="5"/>
    <d v="2026-10-05T00:00:00"/>
    <n v="1048292768"/>
    <s v="MARINEZ TORNEZ ANA MERCEDES"/>
    <n v="73"/>
    <n v="0"/>
    <n v="3249917"/>
  </r>
  <r>
    <s v="Retail"/>
    <s v="Q035 - Barranquilla - Cc Unico"/>
    <x v="0"/>
    <s v="octubre"/>
    <n v="5"/>
    <d v="2026-10-05T00:00:00"/>
    <n v="1127584684"/>
    <s v="ARIAS BARRIOS ANA GABRIELA"/>
    <n v="6"/>
    <n v="0"/>
    <n v="269462"/>
  </r>
  <r>
    <s v="Retail"/>
    <s v="Q035 - Barranquilla - Cc Unico"/>
    <x v="0"/>
    <s v="octubre"/>
    <n v="5"/>
    <d v="2026-10-05T00:00:00"/>
    <n v="1143148766"/>
    <s v="MATTOS CERVANTES JHONNY DAVID"/>
    <n v="41"/>
    <n v="0"/>
    <n v="2052605"/>
  </r>
  <r>
    <s v="Retail"/>
    <s v="Q035 - Barranquilla - Cc Unico"/>
    <x v="0"/>
    <s v="octubre"/>
    <n v="6"/>
    <d v="2026-10-06T00:00:00"/>
    <m/>
    <m/>
    <n v="0"/>
    <n v="9244597"/>
    <n v="0"/>
  </r>
  <r>
    <s v="Retail"/>
    <s v="Q035 - Barranquilla - Cc Unico"/>
    <x v="0"/>
    <s v="octubre"/>
    <n v="6"/>
    <d v="2026-10-06T00:00:00"/>
    <n v="1001878009"/>
    <s v="SANDOVAL JIMENEZ YESID ARTURO"/>
    <n v="27"/>
    <n v="0"/>
    <n v="1330630"/>
  </r>
  <r>
    <s v="Retail"/>
    <s v="Q035 - Barranquilla - Cc Unico"/>
    <x v="0"/>
    <s v="octubre"/>
    <n v="6"/>
    <d v="2026-10-06T00:00:00"/>
    <n v="1045739667"/>
    <s v="GARCIA SAMPAYO KATIA PAMELA"/>
    <n v="10"/>
    <n v="0"/>
    <n v="415505"/>
  </r>
  <r>
    <s v="Retail"/>
    <s v="Q035 - Barranquilla - Cc Unico"/>
    <x v="0"/>
    <s v="octubre"/>
    <n v="6"/>
    <d v="2026-10-06T00:00:00"/>
    <n v="1048292768"/>
    <s v="MARINEZ TORNEZ ANA MERCEDES"/>
    <n v="37"/>
    <n v="0"/>
    <n v="1884876"/>
  </r>
  <r>
    <s v="Retail"/>
    <s v="Q035 - Barranquilla - Cc Unico"/>
    <x v="0"/>
    <s v="octubre"/>
    <n v="6"/>
    <d v="2026-10-06T00:00:00"/>
    <n v="1127584684"/>
    <s v="ARIAS BARRIOS ANA GABRIELA"/>
    <n v="10"/>
    <n v="0"/>
    <n v="365043"/>
  </r>
  <r>
    <s v="Retail"/>
    <s v="Q035 - Barranquilla - Cc Unico"/>
    <x v="0"/>
    <s v="octubre"/>
    <n v="6"/>
    <d v="2026-10-06T00:00:00"/>
    <n v="1143148766"/>
    <s v="MATTOS CERVANTES JHONNY DAVID"/>
    <n v="71"/>
    <n v="0"/>
    <n v="1629205"/>
  </r>
  <r>
    <s v="Retail"/>
    <s v="Q035 - Barranquilla - Cc Unico"/>
    <x v="0"/>
    <s v="octubre"/>
    <n v="7"/>
    <d v="2026-10-07T00:00:00"/>
    <m/>
    <m/>
    <n v="0"/>
    <n v="9171963"/>
    <n v="0"/>
  </r>
  <r>
    <s v="Retail"/>
    <s v="Q035 - Barranquilla - Cc Unico"/>
    <x v="0"/>
    <s v="octubre"/>
    <n v="7"/>
    <d v="2026-10-07T00:00:00"/>
    <n v="1001878009"/>
    <s v="SANDOVAL JIMENEZ YESID ARTURO"/>
    <n v="30"/>
    <n v="0"/>
    <n v="1641429"/>
  </r>
  <r>
    <s v="Retail"/>
    <s v="Q035 - Barranquilla - Cc Unico"/>
    <x v="0"/>
    <s v="octubre"/>
    <n v="7"/>
    <d v="2026-10-07T00:00:00"/>
    <n v="1045739667"/>
    <s v="GARCIA SAMPAYO KATIA PAMELA"/>
    <n v="5"/>
    <n v="0"/>
    <n v="232983"/>
  </r>
  <r>
    <s v="Retail"/>
    <s v="Q035 - Barranquilla - Cc Unico"/>
    <x v="0"/>
    <s v="octubre"/>
    <n v="7"/>
    <d v="2026-10-07T00:00:00"/>
    <n v="1048292768"/>
    <s v="MARINEZ TORNEZ ANA MERCEDES"/>
    <n v="42"/>
    <n v="0"/>
    <n v="2031556"/>
  </r>
  <r>
    <s v="Retail"/>
    <s v="Q035 - Barranquilla - Cc Unico"/>
    <x v="0"/>
    <s v="octubre"/>
    <n v="7"/>
    <d v="2026-10-07T00:00:00"/>
    <n v="1098200569"/>
    <s v="VESGA CALA DIANA KATHERINE"/>
    <n v="-1"/>
    <n v="0"/>
    <n v="-67185"/>
  </r>
  <r>
    <s v="Retail"/>
    <s v="Q035 - Barranquilla - Cc Unico"/>
    <x v="0"/>
    <s v="octubre"/>
    <n v="7"/>
    <d v="2026-10-07T00:00:00"/>
    <n v="1127584684"/>
    <s v="ARIAS BARRIOS ANA GABRIELA"/>
    <n v="4"/>
    <n v="0"/>
    <n v="272941"/>
  </r>
  <r>
    <s v="Retail"/>
    <s v="Q035 - Barranquilla - Cc Unico"/>
    <x v="0"/>
    <s v="octubre"/>
    <n v="7"/>
    <d v="2026-10-07T00:00:00"/>
    <n v="1143148766"/>
    <s v="MATTOS CERVANTES JHONNY DAVID"/>
    <n v="22"/>
    <n v="0"/>
    <n v="1251051"/>
  </r>
  <r>
    <s v="Retail"/>
    <s v="Q054 - Sincelejo - Centro"/>
    <x v="0"/>
    <s v="septiembre"/>
    <n v="23"/>
    <d v="2026-09-23T00:00:00"/>
    <m/>
    <m/>
    <n v="0"/>
    <n v="14397969"/>
    <n v="0"/>
  </r>
  <r>
    <s v="Retail"/>
    <s v="Q054 - Sincelejo - Centro"/>
    <x v="0"/>
    <s v="septiembre"/>
    <n v="23"/>
    <d v="2026-09-23T00:00:00"/>
    <n v="1045700677"/>
    <s v="BUELVAS OSUNA YULIANA DEL CARMEN"/>
    <n v="20"/>
    <n v="0"/>
    <n v="931010"/>
  </r>
  <r>
    <s v="Retail"/>
    <s v="Q054 - Sincelejo - Centro"/>
    <x v="0"/>
    <s v="septiembre"/>
    <n v="23"/>
    <d v="2026-09-23T00:00:00"/>
    <n v="1102809500"/>
    <s v="VASQUEZ PUERTA OLGA LUCIA"/>
    <n v="219"/>
    <n v="0"/>
    <n v="13252780"/>
  </r>
  <r>
    <s v="Retail"/>
    <s v="Q054 - Sincelejo - Centro"/>
    <x v="0"/>
    <s v="septiembre"/>
    <n v="23"/>
    <d v="2026-09-23T00:00:00"/>
    <n v="1102826282"/>
    <s v="SALAS ALQUERQUE LILIANA SOFIA"/>
    <n v="14"/>
    <n v="0"/>
    <n v="709497"/>
  </r>
  <r>
    <s v="Retail"/>
    <s v="Q054 - Sincelejo - Centro"/>
    <x v="0"/>
    <s v="septiembre"/>
    <n v="23"/>
    <d v="2026-09-23T00:00:00"/>
    <n v="1103109383"/>
    <s v="PENA GONZALEZ YESICA ESTHER"/>
    <n v="130"/>
    <n v="0"/>
    <n v="7082315"/>
  </r>
  <r>
    <s v="Retail"/>
    <s v="Q054 - Sincelejo - Centro"/>
    <x v="0"/>
    <s v="septiembre"/>
    <n v="24"/>
    <d v="2026-09-24T00:00:00"/>
    <m/>
    <m/>
    <n v="0"/>
    <n v="21994518"/>
    <n v="0"/>
  </r>
  <r>
    <s v="Retail"/>
    <s v="Q054 - Sincelejo - Centro"/>
    <x v="0"/>
    <s v="septiembre"/>
    <n v="24"/>
    <d v="2026-09-24T00:00:00"/>
    <n v="1045700677"/>
    <s v="BUELVAS OSUNA YULIANA DEL CARMEN"/>
    <n v="30"/>
    <n v="0"/>
    <n v="1369706"/>
  </r>
  <r>
    <s v="Retail"/>
    <s v="Q054 - Sincelejo - Centro"/>
    <x v="0"/>
    <s v="septiembre"/>
    <n v="24"/>
    <d v="2026-09-24T00:00:00"/>
    <n v="1102809500"/>
    <s v="VASQUEZ PUERTA OLGA LUCIA"/>
    <n v="136"/>
    <n v="0"/>
    <n v="7142947"/>
  </r>
  <r>
    <s v="Retail"/>
    <s v="Q054 - Sincelejo - Centro"/>
    <x v="0"/>
    <s v="septiembre"/>
    <n v="24"/>
    <d v="2026-09-24T00:00:00"/>
    <n v="1102826282"/>
    <s v="SALAS ALQUERQUE LILIANA SOFIA"/>
    <n v="17"/>
    <n v="0"/>
    <n v="831178"/>
  </r>
  <r>
    <s v="Retail"/>
    <s v="Q054 - Sincelejo - Centro"/>
    <x v="0"/>
    <s v="septiembre"/>
    <n v="24"/>
    <d v="2026-09-24T00:00:00"/>
    <n v="1103109383"/>
    <s v="PENA GONZALEZ YESICA ESTHER"/>
    <n v="65"/>
    <n v="0"/>
    <n v="3545381"/>
  </r>
  <r>
    <s v="Retail"/>
    <s v="Q054 - Sincelejo - Centro"/>
    <x v="0"/>
    <s v="septiembre"/>
    <n v="25"/>
    <d v="2026-09-25T00:00:00"/>
    <m/>
    <m/>
    <n v="0"/>
    <n v="21945831"/>
    <n v="0"/>
  </r>
  <r>
    <s v="Retail"/>
    <s v="Q054 - Sincelejo - Centro"/>
    <x v="0"/>
    <s v="septiembre"/>
    <n v="25"/>
    <d v="2026-09-25T00:00:00"/>
    <n v="1045700677"/>
    <s v="BUELVAS OSUNA YULIANA DEL CARMEN"/>
    <n v="26"/>
    <n v="0"/>
    <n v="1215255"/>
  </r>
  <r>
    <s v="Retail"/>
    <s v="Q054 - Sincelejo - Centro"/>
    <x v="0"/>
    <s v="septiembre"/>
    <n v="25"/>
    <d v="2026-09-25T00:00:00"/>
    <n v="1102809500"/>
    <s v="VASQUEZ PUERTA OLGA LUCIA"/>
    <n v="191"/>
    <n v="0"/>
    <n v="10677859"/>
  </r>
  <r>
    <s v="Retail"/>
    <s v="Q054 - Sincelejo - Centro"/>
    <x v="0"/>
    <s v="septiembre"/>
    <n v="25"/>
    <d v="2026-09-25T00:00:00"/>
    <n v="1102826282"/>
    <s v="SALAS ALQUERQUE LILIANA SOFIA"/>
    <n v="27"/>
    <n v="0"/>
    <n v="1305591"/>
  </r>
  <r>
    <s v="Retail"/>
    <s v="Q054 - Sincelejo - Centro"/>
    <x v="0"/>
    <s v="septiembre"/>
    <n v="25"/>
    <d v="2026-09-25T00:00:00"/>
    <n v="1103109383"/>
    <s v="PENA GONZALEZ YESICA ESTHER"/>
    <n v="143"/>
    <n v="0"/>
    <n v="7819331"/>
  </r>
  <r>
    <s v="Retail"/>
    <s v="Q054 - Sincelejo - Centro"/>
    <x v="0"/>
    <s v="septiembre"/>
    <n v="26"/>
    <d v="2026-09-26T00:00:00"/>
    <m/>
    <m/>
    <n v="0"/>
    <n v="31539310"/>
    <n v="0"/>
  </r>
  <r>
    <s v="Retail"/>
    <s v="Q054 - Sincelejo - Centro"/>
    <x v="0"/>
    <s v="septiembre"/>
    <n v="26"/>
    <d v="2026-09-26T00:00:00"/>
    <n v="1045700677"/>
    <s v="BUELVAS OSUNA YULIANA DEL CARMEN"/>
    <n v="27"/>
    <n v="0"/>
    <n v="1063868"/>
  </r>
  <r>
    <s v="Retail"/>
    <s v="Q054 - Sincelejo - Centro"/>
    <x v="0"/>
    <s v="septiembre"/>
    <n v="26"/>
    <d v="2026-09-26T00:00:00"/>
    <n v="1102809500"/>
    <s v="VASQUEZ PUERTA OLGA LUCIA"/>
    <n v="157"/>
    <n v="0"/>
    <n v="7912569"/>
  </r>
  <r>
    <s v="Retail"/>
    <s v="Q054 - Sincelejo - Centro"/>
    <x v="0"/>
    <s v="septiembre"/>
    <n v="26"/>
    <d v="2026-09-26T00:00:00"/>
    <n v="1102826282"/>
    <s v="SALAS ALQUERQUE LILIANA SOFIA"/>
    <n v="50"/>
    <n v="0"/>
    <n v="2367189"/>
  </r>
  <r>
    <s v="Retail"/>
    <s v="Q054 - Sincelejo - Centro"/>
    <x v="0"/>
    <s v="septiembre"/>
    <n v="26"/>
    <d v="2026-09-26T00:00:00"/>
    <n v="1103109383"/>
    <s v="PENA GONZALEZ YESICA ESTHER"/>
    <n v="142"/>
    <n v="0"/>
    <n v="8159287"/>
  </r>
  <r>
    <s v="Retail"/>
    <s v="Q054 - Sincelejo - Centro"/>
    <x v="0"/>
    <s v="septiembre"/>
    <n v="27"/>
    <d v="2026-09-27T00:00:00"/>
    <m/>
    <m/>
    <n v="0"/>
    <n v="24985483"/>
    <n v="0"/>
  </r>
  <r>
    <s v="Retail"/>
    <s v="Q054 - Sincelejo - Centro"/>
    <x v="0"/>
    <s v="septiembre"/>
    <n v="27"/>
    <d v="2026-09-27T00:00:00"/>
    <n v="1045700677"/>
    <s v="BUELVAS OSUNA YULIANA DEL CARMEN"/>
    <n v="16"/>
    <n v="0"/>
    <n v="827018"/>
  </r>
  <r>
    <s v="Retail"/>
    <s v="Q054 - Sincelejo - Centro"/>
    <x v="0"/>
    <s v="septiembre"/>
    <n v="27"/>
    <d v="2026-09-27T00:00:00"/>
    <n v="1102809500"/>
    <s v="VASQUEZ PUERTA OLGA LUCIA"/>
    <n v="103"/>
    <n v="0"/>
    <n v="5303991"/>
  </r>
  <r>
    <s v="Retail"/>
    <s v="Q054 - Sincelejo - Centro"/>
    <x v="0"/>
    <s v="septiembre"/>
    <n v="27"/>
    <d v="2026-09-27T00:00:00"/>
    <n v="1102826282"/>
    <s v="SALAS ALQUERQUE LILIANA SOFIA"/>
    <n v="24"/>
    <n v="0"/>
    <n v="931388"/>
  </r>
  <r>
    <s v="Retail"/>
    <s v="Q054 - Sincelejo - Centro"/>
    <x v="0"/>
    <s v="septiembre"/>
    <n v="27"/>
    <d v="2026-09-27T00:00:00"/>
    <n v="1103109383"/>
    <s v="PENA GONZALEZ YESICA ESTHER"/>
    <n v="68"/>
    <n v="0"/>
    <n v="3723573"/>
  </r>
  <r>
    <s v="Retail"/>
    <s v="Q054 - Sincelejo - Centro"/>
    <x v="0"/>
    <s v="septiembre"/>
    <n v="28"/>
    <d v="2026-09-28T00:00:00"/>
    <m/>
    <m/>
    <n v="0"/>
    <n v="14067936"/>
    <n v="0"/>
  </r>
  <r>
    <s v="Retail"/>
    <s v="Q054 - Sincelejo - Centro"/>
    <x v="0"/>
    <s v="septiembre"/>
    <n v="28"/>
    <d v="2026-09-28T00:00:00"/>
    <n v="1045700677"/>
    <s v="BUELVAS OSUNA YULIANA DEL CARMEN"/>
    <n v="9"/>
    <n v="0"/>
    <n v="318866"/>
  </r>
  <r>
    <s v="Retail"/>
    <s v="Q054 - Sincelejo - Centro"/>
    <x v="0"/>
    <s v="septiembre"/>
    <n v="28"/>
    <d v="2026-09-28T00:00:00"/>
    <n v="1102809500"/>
    <s v="VASQUEZ PUERTA OLGA LUCIA"/>
    <n v="62"/>
    <n v="0"/>
    <n v="2788364"/>
  </r>
  <r>
    <s v="Retail"/>
    <s v="Q054 - Sincelejo - Centro"/>
    <x v="0"/>
    <s v="septiembre"/>
    <n v="28"/>
    <d v="2026-09-28T00:00:00"/>
    <n v="1102826282"/>
    <s v="SALAS ALQUERQUE LILIANA SOFIA"/>
    <n v="14"/>
    <n v="0"/>
    <n v="448698"/>
  </r>
  <r>
    <s v="Retail"/>
    <s v="Q054 - Sincelejo - Centro"/>
    <x v="0"/>
    <s v="septiembre"/>
    <n v="28"/>
    <d v="2026-09-28T00:00:00"/>
    <n v="1103109383"/>
    <s v="PENA GONZALEZ YESICA ESTHER"/>
    <n v="83"/>
    <n v="0"/>
    <n v="4149037"/>
  </r>
  <r>
    <s v="Retail"/>
    <s v="Q054 - Sincelejo - Centro"/>
    <x v="0"/>
    <s v="septiembre"/>
    <n v="29"/>
    <d v="2026-09-29T00:00:00"/>
    <m/>
    <m/>
    <n v="0"/>
    <n v="14371789"/>
    <n v="0"/>
  </r>
  <r>
    <s v="Retail"/>
    <s v="Q054 - Sincelejo - Centro"/>
    <x v="0"/>
    <s v="septiembre"/>
    <n v="29"/>
    <d v="2026-09-29T00:00:00"/>
    <n v="1045700677"/>
    <s v="BUELVAS OSUNA YULIANA DEL CARMEN"/>
    <n v="11"/>
    <n v="0"/>
    <n v="381766"/>
  </r>
  <r>
    <s v="Retail"/>
    <s v="Q054 - Sincelejo - Centro"/>
    <x v="0"/>
    <s v="septiembre"/>
    <n v="29"/>
    <d v="2026-09-29T00:00:00"/>
    <n v="1102809500"/>
    <s v="VASQUEZ PUERTA OLGA LUCIA"/>
    <n v="143"/>
    <n v="0"/>
    <n v="6618617"/>
  </r>
  <r>
    <s v="Retail"/>
    <s v="Q054 - Sincelejo - Centro"/>
    <x v="0"/>
    <s v="septiembre"/>
    <n v="29"/>
    <d v="2026-09-29T00:00:00"/>
    <n v="1102826282"/>
    <s v="SALAS ALQUERQUE LILIANA SOFIA"/>
    <n v="14"/>
    <n v="0"/>
    <n v="553951"/>
  </r>
  <r>
    <s v="Retail"/>
    <s v="Q054 - Sincelejo - Centro"/>
    <x v="0"/>
    <s v="septiembre"/>
    <n v="29"/>
    <d v="2026-09-29T00:00:00"/>
    <n v="1103109383"/>
    <s v="PENA GONZALEZ YESICA ESTHER"/>
    <n v="98"/>
    <n v="0"/>
    <n v="5621179"/>
  </r>
  <r>
    <s v="Retail"/>
    <s v="Q054 - Sincelejo - Centro"/>
    <x v="0"/>
    <s v="septiembre"/>
    <n v="30"/>
    <d v="2026-09-30T00:00:00"/>
    <m/>
    <m/>
    <n v="0"/>
    <n v="15173734"/>
    <n v="0"/>
  </r>
  <r>
    <s v="Retail"/>
    <s v="Q054 - Sincelejo - Centro"/>
    <x v="0"/>
    <s v="septiembre"/>
    <n v="30"/>
    <d v="2026-09-30T00:00:00"/>
    <n v="1045700677"/>
    <s v="BUELVAS OSUNA YULIANA DEL CARMEN"/>
    <n v="11"/>
    <n v="0"/>
    <n v="491092"/>
  </r>
  <r>
    <s v="Retail"/>
    <s v="Q054 - Sincelejo - Centro"/>
    <x v="0"/>
    <s v="septiembre"/>
    <n v="30"/>
    <d v="2026-09-30T00:00:00"/>
    <n v="1102809500"/>
    <s v="VASQUEZ PUERTA OLGA LUCIA"/>
    <n v="31"/>
    <n v="0"/>
    <n v="1517397"/>
  </r>
  <r>
    <s v="Retail"/>
    <s v="Q054 - Sincelejo - Centro"/>
    <x v="0"/>
    <s v="septiembre"/>
    <n v="30"/>
    <d v="2026-09-30T00:00:00"/>
    <n v="1102826282"/>
    <s v="SALAS ALQUERQUE LILIANA SOFIA"/>
    <n v="24"/>
    <n v="0"/>
    <n v="1406512"/>
  </r>
  <r>
    <s v="Retail"/>
    <s v="Q054 - Sincelejo - Centro"/>
    <x v="0"/>
    <s v="septiembre"/>
    <n v="30"/>
    <d v="2026-09-30T00:00:00"/>
    <n v="1103109383"/>
    <s v="PENA GONZALEZ YESICA ESTHER"/>
    <n v="109"/>
    <n v="0"/>
    <n v="5244712"/>
  </r>
  <r>
    <s v="Retail"/>
    <s v="Q054 - Sincelejo - Centro"/>
    <x v="0"/>
    <s v="octubre"/>
    <n v="1"/>
    <d v="2026-10-01T00:00:00"/>
    <m/>
    <m/>
    <n v="0"/>
    <n v="18354614"/>
    <n v="0"/>
  </r>
  <r>
    <s v="Retail"/>
    <s v="Q054 - Sincelejo - Centro"/>
    <x v="0"/>
    <s v="octubre"/>
    <n v="1"/>
    <d v="2026-10-01T00:00:00"/>
    <n v="1045700677"/>
    <s v="BUELVAS OSUNA YULIANA DEL CARMEN"/>
    <n v="16"/>
    <n v="0"/>
    <n v="747187"/>
  </r>
  <r>
    <s v="Retail"/>
    <s v="Q054 - Sincelejo - Centro"/>
    <x v="0"/>
    <s v="octubre"/>
    <n v="1"/>
    <d v="2026-10-01T00:00:00"/>
    <n v="1102809500"/>
    <s v="VASQUEZ PUERTA OLGA LUCIA"/>
    <n v="145"/>
    <n v="0"/>
    <n v="6025632"/>
  </r>
  <r>
    <s v="Retail"/>
    <s v="Q054 - Sincelejo - Centro"/>
    <x v="0"/>
    <s v="octubre"/>
    <n v="1"/>
    <d v="2026-10-01T00:00:00"/>
    <n v="1102826282"/>
    <s v="SALAS ALQUERQUE LILIANA SOFIA"/>
    <n v="78"/>
    <n v="0"/>
    <n v="2208908"/>
  </r>
  <r>
    <s v="Retail"/>
    <s v="Q054 - Sincelejo - Centro"/>
    <x v="0"/>
    <s v="octubre"/>
    <n v="1"/>
    <d v="2026-10-01T00:00:00"/>
    <n v="1103109383"/>
    <s v="PENA GONZALEZ YESICA ESTHER"/>
    <n v="85"/>
    <n v="0"/>
    <n v="4302611"/>
  </r>
  <r>
    <s v="Retail"/>
    <s v="Q054 - Sincelejo - Centro"/>
    <x v="0"/>
    <s v="octubre"/>
    <n v="2"/>
    <d v="2026-10-02T00:00:00"/>
    <m/>
    <m/>
    <n v="0"/>
    <n v="17042957"/>
    <n v="0"/>
  </r>
  <r>
    <s v="Retail"/>
    <s v="Q054 - Sincelejo - Centro"/>
    <x v="0"/>
    <s v="octubre"/>
    <n v="2"/>
    <d v="2026-10-02T00:00:00"/>
    <n v="1045700677"/>
    <s v="BUELVAS OSUNA YULIANA DEL CARMEN"/>
    <n v="35"/>
    <n v="0"/>
    <n v="1500504"/>
  </r>
  <r>
    <s v="Retail"/>
    <s v="Q054 - Sincelejo - Centro"/>
    <x v="0"/>
    <s v="octubre"/>
    <n v="2"/>
    <d v="2026-10-02T00:00:00"/>
    <n v="1102809500"/>
    <s v="VASQUEZ PUERTA OLGA LUCIA"/>
    <n v="123"/>
    <n v="0"/>
    <n v="5693367"/>
  </r>
  <r>
    <s v="Retail"/>
    <s v="Q054 - Sincelejo - Centro"/>
    <x v="0"/>
    <s v="octubre"/>
    <n v="2"/>
    <d v="2026-10-02T00:00:00"/>
    <n v="1102826282"/>
    <s v="SALAS ALQUERQUE LILIANA SOFIA"/>
    <n v="29"/>
    <n v="0"/>
    <n v="1368322"/>
  </r>
  <r>
    <s v="Retail"/>
    <s v="Q054 - Sincelejo - Centro"/>
    <x v="0"/>
    <s v="octubre"/>
    <n v="2"/>
    <d v="2026-10-02T00:00:00"/>
    <n v="1103109383"/>
    <s v="PENA GONZALEZ YESICA ESTHER"/>
    <n v="77"/>
    <n v="0"/>
    <n v="4143363"/>
  </r>
  <r>
    <s v="Retail"/>
    <s v="Q054 - Sincelejo - Centro"/>
    <x v="0"/>
    <s v="octubre"/>
    <n v="3"/>
    <d v="2026-10-03T00:00:00"/>
    <m/>
    <m/>
    <n v="0"/>
    <n v="20925620"/>
    <n v="0"/>
  </r>
  <r>
    <s v="Retail"/>
    <s v="Q054 - Sincelejo - Centro"/>
    <x v="0"/>
    <s v="octubre"/>
    <n v="3"/>
    <d v="2026-10-03T00:00:00"/>
    <n v="1045700677"/>
    <s v="BUELVAS OSUNA YULIANA DEL CARMEN"/>
    <n v="38"/>
    <n v="0"/>
    <n v="1632850"/>
  </r>
  <r>
    <s v="Retail"/>
    <s v="Q054 - Sincelejo - Centro"/>
    <x v="0"/>
    <s v="octubre"/>
    <n v="3"/>
    <d v="2026-10-03T00:00:00"/>
    <n v="1102809500"/>
    <s v="VASQUEZ PUERTA OLGA LUCIA"/>
    <n v="169"/>
    <n v="0"/>
    <n v="8426686"/>
  </r>
  <r>
    <s v="Retail"/>
    <s v="Q054 - Sincelejo - Centro"/>
    <x v="0"/>
    <s v="octubre"/>
    <n v="3"/>
    <d v="2026-10-03T00:00:00"/>
    <n v="1102826282"/>
    <s v="SALAS ALQUERQUE LILIANA SOFIA"/>
    <n v="38"/>
    <n v="0"/>
    <n v="1637660"/>
  </r>
  <r>
    <s v="Retail"/>
    <s v="Q054 - Sincelejo - Centro"/>
    <x v="0"/>
    <s v="octubre"/>
    <n v="3"/>
    <d v="2026-10-03T00:00:00"/>
    <n v="1103109383"/>
    <s v="PENA GONZALEZ YESICA ESTHER"/>
    <n v="122"/>
    <n v="0"/>
    <n v="5859732"/>
  </r>
  <r>
    <s v="Retail"/>
    <s v="Q054 - Sincelejo - Centro"/>
    <x v="0"/>
    <s v="octubre"/>
    <n v="4"/>
    <d v="2026-10-04T00:00:00"/>
    <m/>
    <m/>
    <n v="0"/>
    <n v="7881606"/>
    <n v="0"/>
  </r>
  <r>
    <s v="Retail"/>
    <s v="Q054 - Sincelejo - Centro"/>
    <x v="0"/>
    <s v="octubre"/>
    <n v="4"/>
    <d v="2026-10-04T00:00:00"/>
    <n v="1045700677"/>
    <s v="BUELVAS OSUNA YULIANA DEL CARMEN"/>
    <n v="3"/>
    <n v="0"/>
    <n v="178445"/>
  </r>
  <r>
    <s v="Retail"/>
    <s v="Q054 - Sincelejo - Centro"/>
    <x v="0"/>
    <s v="octubre"/>
    <n v="4"/>
    <d v="2026-10-04T00:00:00"/>
    <n v="1102809500"/>
    <s v="VASQUEZ PUERTA OLGA LUCIA"/>
    <n v="71"/>
    <n v="0"/>
    <n v="2881094"/>
  </r>
  <r>
    <s v="Retail"/>
    <s v="Q054 - Sincelejo - Centro"/>
    <x v="0"/>
    <s v="octubre"/>
    <n v="4"/>
    <d v="2026-10-04T00:00:00"/>
    <n v="1102826282"/>
    <s v="SALAS ALQUERQUE LILIANA SOFIA"/>
    <n v="36"/>
    <n v="0"/>
    <n v="989033"/>
  </r>
  <r>
    <s v="Retail"/>
    <s v="Q054 - Sincelejo - Centro"/>
    <x v="0"/>
    <s v="octubre"/>
    <n v="4"/>
    <d v="2026-10-04T00:00:00"/>
    <n v="1103109383"/>
    <s v="PENA GONZALEZ YESICA ESTHER"/>
    <n v="55"/>
    <n v="0"/>
    <n v="2541136"/>
  </r>
  <r>
    <s v="Retail"/>
    <s v="Q054 - Sincelejo - Centro"/>
    <x v="0"/>
    <s v="octubre"/>
    <n v="5"/>
    <d v="2026-10-05T00:00:00"/>
    <m/>
    <m/>
    <n v="0"/>
    <n v="12990451"/>
    <n v="0"/>
  </r>
  <r>
    <s v="Retail"/>
    <s v="Q054 - Sincelejo - Centro"/>
    <x v="0"/>
    <s v="octubre"/>
    <n v="5"/>
    <d v="2026-10-05T00:00:00"/>
    <n v="1045700677"/>
    <s v="BUELVAS OSUNA YULIANA DEL CARMEN"/>
    <n v="1"/>
    <n v="0"/>
    <n v="8319"/>
  </r>
  <r>
    <s v="Retail"/>
    <s v="Q054 - Sincelejo - Centro"/>
    <x v="0"/>
    <s v="octubre"/>
    <n v="5"/>
    <d v="2026-10-05T00:00:00"/>
    <n v="1102809500"/>
    <s v="VASQUEZ PUERTA OLGA LUCIA"/>
    <n v="100"/>
    <n v="0"/>
    <n v="4875253"/>
  </r>
  <r>
    <s v="Retail"/>
    <s v="Q054 - Sincelejo - Centro"/>
    <x v="0"/>
    <s v="octubre"/>
    <n v="5"/>
    <d v="2026-10-05T00:00:00"/>
    <n v="1102826282"/>
    <s v="SALAS ALQUERQUE LILIANA SOFIA"/>
    <n v="5"/>
    <n v="0"/>
    <n v="226554"/>
  </r>
  <r>
    <s v="Retail"/>
    <s v="Q054 - Sincelejo - Centro"/>
    <x v="0"/>
    <s v="octubre"/>
    <n v="5"/>
    <d v="2026-10-05T00:00:00"/>
    <n v="1103109383"/>
    <s v="PENA GONZALEZ YESICA ESTHER"/>
    <n v="131"/>
    <n v="0"/>
    <n v="6439628"/>
  </r>
  <r>
    <s v="Retail"/>
    <s v="Q054 - Sincelejo - Centro"/>
    <x v="0"/>
    <s v="octubre"/>
    <n v="6"/>
    <d v="2026-10-06T00:00:00"/>
    <m/>
    <m/>
    <n v="0"/>
    <n v="8648601"/>
    <n v="0"/>
  </r>
  <r>
    <s v="Retail"/>
    <s v="Q054 - Sincelejo - Centro"/>
    <x v="0"/>
    <s v="octubre"/>
    <n v="6"/>
    <d v="2026-10-06T00:00:00"/>
    <n v="1045700677"/>
    <s v="BUELVAS OSUNA YULIANA DEL CARMEN"/>
    <n v="8"/>
    <n v="0"/>
    <n v="611009"/>
  </r>
  <r>
    <s v="Retail"/>
    <s v="Q054 - Sincelejo - Centro"/>
    <x v="0"/>
    <s v="octubre"/>
    <n v="6"/>
    <d v="2026-10-06T00:00:00"/>
    <n v="1102809500"/>
    <s v="VASQUEZ PUERTA OLGA LUCIA"/>
    <n v="54"/>
    <n v="0"/>
    <n v="2472364"/>
  </r>
  <r>
    <s v="Retail"/>
    <s v="Q054 - Sincelejo - Centro"/>
    <x v="0"/>
    <s v="octubre"/>
    <n v="6"/>
    <d v="2026-10-06T00:00:00"/>
    <n v="1102826282"/>
    <s v="SALAS ALQUERQUE LILIANA SOFIA"/>
    <n v="10"/>
    <n v="0"/>
    <n v="364873"/>
  </r>
  <r>
    <s v="Retail"/>
    <s v="Q054 - Sincelejo - Centro"/>
    <x v="0"/>
    <s v="octubre"/>
    <n v="6"/>
    <d v="2026-10-06T00:00:00"/>
    <n v="1103109383"/>
    <s v="PENA GONZALEZ YESICA ESTHER"/>
    <n v="67"/>
    <n v="0"/>
    <n v="3252395"/>
  </r>
  <r>
    <s v="Retail"/>
    <s v="Q054 - Sincelejo - Centro"/>
    <x v="0"/>
    <s v="octubre"/>
    <n v="7"/>
    <d v="2026-10-07T00:00:00"/>
    <m/>
    <m/>
    <n v="0"/>
    <n v="8557787"/>
    <n v="0"/>
  </r>
  <r>
    <s v="Retail"/>
    <s v="Q054 - Sincelejo - Centro"/>
    <x v="0"/>
    <s v="octubre"/>
    <n v="7"/>
    <d v="2026-10-07T00:00:00"/>
    <n v="1045700677"/>
    <s v="BUELVAS OSUNA YULIANA DEL CARMEN"/>
    <n v="4"/>
    <n v="0"/>
    <n v="121638"/>
  </r>
  <r>
    <s v="Retail"/>
    <s v="Q054 - Sincelejo - Centro"/>
    <x v="0"/>
    <s v="octubre"/>
    <n v="7"/>
    <d v="2026-10-07T00:00:00"/>
    <n v="1102809500"/>
    <s v="VASQUEZ PUERTA OLGA LUCIA"/>
    <n v="82"/>
    <n v="0"/>
    <n v="3640589"/>
  </r>
  <r>
    <s v="Retail"/>
    <s v="Q054 - Sincelejo - Centro"/>
    <x v="0"/>
    <s v="octubre"/>
    <n v="7"/>
    <d v="2026-10-07T00:00:00"/>
    <n v="1102826282"/>
    <s v="SALAS ALQUERQUE LILIANA SOFIA"/>
    <n v="9"/>
    <n v="0"/>
    <n v="369370"/>
  </r>
  <r>
    <s v="Retail"/>
    <s v="Q054 - Sincelejo - Centro"/>
    <x v="0"/>
    <s v="octubre"/>
    <n v="7"/>
    <d v="2026-10-07T00:00:00"/>
    <n v="1103109383"/>
    <s v="PENA GONZALEZ YESICA ESTHER"/>
    <n v="39"/>
    <n v="0"/>
    <n v="1998030"/>
  </r>
  <r>
    <s v="Retail"/>
    <s v="Q062 - Monteria - Cc Alamedas"/>
    <x v="0"/>
    <s v="septiembre"/>
    <n v="23"/>
    <d v="2026-09-23T00:00:00"/>
    <m/>
    <m/>
    <n v="0"/>
    <n v="8906569"/>
    <n v="0"/>
  </r>
  <r>
    <s v="Retail"/>
    <s v="Q062 - Monteria - Cc Alamedas"/>
    <x v="0"/>
    <s v="septiembre"/>
    <n v="23"/>
    <d v="2026-09-23T00:00:00"/>
    <n v="1065006748"/>
    <s v="ANDRADE REGINO OSCAR"/>
    <n v="84"/>
    <n v="0"/>
    <n v="4815759"/>
  </r>
  <r>
    <s v="Retail"/>
    <s v="Q062 - Monteria - Cc Alamedas"/>
    <x v="0"/>
    <s v="septiembre"/>
    <n v="23"/>
    <d v="2026-09-23T00:00:00"/>
    <n v="1067899060"/>
    <s v="AREIZA AGAMEZ OSNEIDER"/>
    <n v="32"/>
    <n v="0"/>
    <n v="2076387"/>
  </r>
  <r>
    <s v="Retail"/>
    <s v="Q062 - Monteria - Cc Alamedas"/>
    <x v="0"/>
    <s v="septiembre"/>
    <n v="23"/>
    <d v="2026-09-23T00:00:00"/>
    <n v="1067921548"/>
    <s v="MARIMON ESQUIVIA ENA MARGARITA"/>
    <n v="129"/>
    <n v="0"/>
    <n v="7006940"/>
  </r>
  <r>
    <s v="Retail"/>
    <s v="Q062 - Monteria - Cc Alamedas"/>
    <x v="0"/>
    <s v="septiembre"/>
    <n v="24"/>
    <d v="2026-09-24T00:00:00"/>
    <m/>
    <m/>
    <n v="0"/>
    <n v="13605786"/>
    <n v="0"/>
  </r>
  <r>
    <s v="Retail"/>
    <s v="Q062 - Monteria - Cc Alamedas"/>
    <x v="0"/>
    <s v="septiembre"/>
    <n v="24"/>
    <d v="2026-09-24T00:00:00"/>
    <n v="1065006748"/>
    <s v="ANDRADE REGINO OSCAR"/>
    <n v="116"/>
    <n v="0"/>
    <n v="6413076"/>
  </r>
  <r>
    <s v="Retail"/>
    <s v="Q062 - Monteria - Cc Alamedas"/>
    <x v="0"/>
    <s v="septiembre"/>
    <n v="24"/>
    <d v="2026-09-24T00:00:00"/>
    <n v="1067899060"/>
    <s v="AREIZA AGAMEZ OSNEIDER"/>
    <n v="24"/>
    <n v="0"/>
    <n v="1429580"/>
  </r>
  <r>
    <s v="Retail"/>
    <s v="Q062 - Monteria - Cc Alamedas"/>
    <x v="0"/>
    <s v="septiembre"/>
    <n v="24"/>
    <d v="2026-09-24T00:00:00"/>
    <n v="1067921548"/>
    <s v="MARIMON ESQUIVIA ENA MARGARITA"/>
    <n v="189"/>
    <n v="0"/>
    <n v="10275262"/>
  </r>
  <r>
    <s v="Retail"/>
    <s v="Q062 - Monteria - Cc Alamedas"/>
    <x v="0"/>
    <s v="septiembre"/>
    <n v="25"/>
    <d v="2026-09-25T00:00:00"/>
    <m/>
    <m/>
    <n v="0"/>
    <n v="13575666"/>
    <n v="0"/>
  </r>
  <r>
    <s v="Retail"/>
    <s v="Q062 - Monteria - Cc Alamedas"/>
    <x v="0"/>
    <s v="septiembre"/>
    <n v="25"/>
    <d v="2026-09-25T00:00:00"/>
    <n v="1065006748"/>
    <s v="ANDRADE REGINO OSCAR"/>
    <n v="98"/>
    <n v="0"/>
    <n v="5661689"/>
  </r>
  <r>
    <s v="Retail"/>
    <s v="Q062 - Monteria - Cc Alamedas"/>
    <x v="0"/>
    <s v="septiembre"/>
    <n v="25"/>
    <d v="2026-09-25T00:00:00"/>
    <n v="1067899060"/>
    <s v="AREIZA AGAMEZ OSNEIDER"/>
    <n v="25"/>
    <n v="0"/>
    <n v="1372859"/>
  </r>
  <r>
    <s v="Retail"/>
    <s v="Q062 - Monteria - Cc Alamedas"/>
    <x v="0"/>
    <s v="septiembre"/>
    <n v="25"/>
    <d v="2026-09-25T00:00:00"/>
    <n v="1067921548"/>
    <s v="MARIMON ESQUIVIA ENA MARGARITA"/>
    <n v="124"/>
    <n v="0"/>
    <n v="6826612"/>
  </r>
  <r>
    <s v="Retail"/>
    <s v="Q062 - Monteria - Cc Alamedas"/>
    <x v="0"/>
    <s v="septiembre"/>
    <n v="26"/>
    <d v="2026-09-26T00:00:00"/>
    <m/>
    <m/>
    <n v="0"/>
    <n v="19510185"/>
    <n v="0"/>
  </r>
  <r>
    <s v="Retail"/>
    <s v="Q062 - Monteria - Cc Alamedas"/>
    <x v="0"/>
    <s v="septiembre"/>
    <n v="26"/>
    <d v="2026-09-26T00:00:00"/>
    <n v="1065006748"/>
    <s v="ANDRADE REGINO OSCAR"/>
    <n v="129"/>
    <n v="0"/>
    <n v="7301064"/>
  </r>
  <r>
    <s v="Retail"/>
    <s v="Q062 - Monteria - Cc Alamedas"/>
    <x v="0"/>
    <s v="septiembre"/>
    <n v="26"/>
    <d v="2026-09-26T00:00:00"/>
    <n v="1067899060"/>
    <s v="AREIZA AGAMEZ OSNEIDER"/>
    <n v="16"/>
    <n v="0"/>
    <n v="1066558"/>
  </r>
  <r>
    <s v="Retail"/>
    <s v="Q062 - Monteria - Cc Alamedas"/>
    <x v="0"/>
    <s v="septiembre"/>
    <n v="26"/>
    <d v="2026-09-26T00:00:00"/>
    <n v="1067921548"/>
    <s v="MARIMON ESQUIVIA ENA MARGARITA"/>
    <n v="155"/>
    <n v="0"/>
    <n v="8430223"/>
  </r>
  <r>
    <s v="Retail"/>
    <s v="Q062 - Monteria - Cc Alamedas"/>
    <x v="0"/>
    <s v="septiembre"/>
    <n v="27"/>
    <d v="2026-09-27T00:00:00"/>
    <m/>
    <m/>
    <n v="0"/>
    <n v="15455995"/>
    <n v="0"/>
  </r>
  <r>
    <s v="Retail"/>
    <s v="Q062 - Monteria - Cc Alamedas"/>
    <x v="0"/>
    <s v="septiembre"/>
    <n v="27"/>
    <d v="2026-09-27T00:00:00"/>
    <n v="1065006748"/>
    <s v="ANDRADE REGINO OSCAR"/>
    <n v="67"/>
    <n v="0"/>
    <n v="3568492"/>
  </r>
  <r>
    <s v="Retail"/>
    <s v="Q062 - Monteria - Cc Alamedas"/>
    <x v="0"/>
    <s v="septiembre"/>
    <n v="27"/>
    <d v="2026-09-27T00:00:00"/>
    <n v="1067899060"/>
    <s v="AREIZA AGAMEZ OSNEIDER"/>
    <n v="13"/>
    <n v="0"/>
    <n v="936429"/>
  </r>
  <r>
    <s v="Retail"/>
    <s v="Q062 - Monteria - Cc Alamedas"/>
    <x v="0"/>
    <s v="septiembre"/>
    <n v="27"/>
    <d v="2026-09-27T00:00:00"/>
    <n v="1067921548"/>
    <s v="MARIMON ESQUIVIA ENA MARGARITA"/>
    <n v="83"/>
    <n v="0"/>
    <n v="4519585"/>
  </r>
  <r>
    <s v="Retail"/>
    <s v="Q062 - Monteria - Cc Alamedas"/>
    <x v="0"/>
    <s v="septiembre"/>
    <n v="28"/>
    <d v="2026-09-28T00:00:00"/>
    <m/>
    <m/>
    <n v="0"/>
    <n v="8506344"/>
    <n v="0"/>
  </r>
  <r>
    <s v="Retail"/>
    <s v="Q062 - Monteria - Cc Alamedas"/>
    <x v="0"/>
    <s v="septiembre"/>
    <n v="28"/>
    <d v="2026-09-28T00:00:00"/>
    <n v="1065006748"/>
    <s v="ANDRADE REGINO OSCAR"/>
    <n v="41"/>
    <n v="0"/>
    <n v="2599039"/>
  </r>
  <r>
    <s v="Retail"/>
    <s v="Q062 - Monteria - Cc Alamedas"/>
    <x v="0"/>
    <s v="septiembre"/>
    <n v="28"/>
    <d v="2026-09-28T00:00:00"/>
    <n v="1067899060"/>
    <s v="AREIZA AGAMEZ OSNEIDER"/>
    <n v="20"/>
    <n v="0"/>
    <n v="1028572"/>
  </r>
  <r>
    <s v="Retail"/>
    <s v="Q062 - Monteria - Cc Alamedas"/>
    <x v="0"/>
    <s v="septiembre"/>
    <n v="28"/>
    <d v="2026-09-28T00:00:00"/>
    <n v="1067921548"/>
    <s v="MARIMON ESQUIVIA ENA MARGARITA"/>
    <n v="66"/>
    <n v="0"/>
    <n v="3608369"/>
  </r>
  <r>
    <s v="Retail"/>
    <s v="Q062 - Monteria - Cc Alamedas"/>
    <x v="0"/>
    <s v="septiembre"/>
    <n v="29"/>
    <d v="2026-09-29T00:00:00"/>
    <m/>
    <m/>
    <n v="0"/>
    <n v="9086443"/>
    <n v="0"/>
  </r>
  <r>
    <s v="Retail"/>
    <s v="Q062 - Monteria - Cc Alamedas"/>
    <x v="0"/>
    <s v="septiembre"/>
    <n v="29"/>
    <d v="2026-09-29T00:00:00"/>
    <n v="1065006748"/>
    <s v="ANDRADE REGINO OSCAR"/>
    <n v="71"/>
    <n v="0"/>
    <n v="3532607"/>
  </r>
  <r>
    <s v="Retail"/>
    <s v="Q062 - Monteria - Cc Alamedas"/>
    <x v="0"/>
    <s v="septiembre"/>
    <n v="29"/>
    <d v="2026-09-29T00:00:00"/>
    <n v="1067899060"/>
    <s v="AREIZA AGAMEZ OSNEIDER"/>
    <n v="16"/>
    <n v="0"/>
    <n v="848026"/>
  </r>
  <r>
    <s v="Retail"/>
    <s v="Q062 - Monteria - Cc Alamedas"/>
    <x v="0"/>
    <s v="septiembre"/>
    <n v="29"/>
    <d v="2026-09-29T00:00:00"/>
    <n v="1067921548"/>
    <s v="MARIMON ESQUIVIA ENA MARGARITA"/>
    <n v="80"/>
    <n v="0"/>
    <n v="4458662"/>
  </r>
  <r>
    <s v="Retail"/>
    <s v="Q062 - Monteria - Cc Alamedas"/>
    <x v="0"/>
    <s v="septiembre"/>
    <n v="30"/>
    <d v="2026-09-30T00:00:00"/>
    <m/>
    <m/>
    <n v="0"/>
    <n v="9386452"/>
    <n v="0"/>
  </r>
  <r>
    <s v="Retail"/>
    <s v="Q062 - Monteria - Cc Alamedas"/>
    <x v="0"/>
    <s v="septiembre"/>
    <n v="30"/>
    <d v="2026-09-30T00:00:00"/>
    <n v="1065006748"/>
    <s v="ANDRADE REGINO OSCAR"/>
    <n v="132"/>
    <n v="0"/>
    <n v="7233457"/>
  </r>
  <r>
    <s v="Retail"/>
    <s v="Q062 - Monteria - Cc Alamedas"/>
    <x v="0"/>
    <s v="septiembre"/>
    <n v="30"/>
    <d v="2026-09-30T00:00:00"/>
    <n v="1067899060"/>
    <s v="AREIZA AGAMEZ OSNEIDER"/>
    <n v="12"/>
    <n v="0"/>
    <n v="570884"/>
  </r>
  <r>
    <s v="Retail"/>
    <s v="Q062 - Monteria - Cc Alamedas"/>
    <x v="0"/>
    <s v="septiembre"/>
    <n v="30"/>
    <d v="2026-09-30T00:00:00"/>
    <n v="1067921548"/>
    <s v="MARIMON ESQUIVIA ENA MARGARITA"/>
    <n v="42"/>
    <n v="0"/>
    <n v="2657820"/>
  </r>
  <r>
    <s v="Retail"/>
    <s v="Q062 - Monteria - Cc Alamedas"/>
    <x v="0"/>
    <s v="octubre"/>
    <n v="1"/>
    <d v="2026-10-01T00:00:00"/>
    <m/>
    <m/>
    <n v="0"/>
    <n v="11454025"/>
    <n v="0"/>
  </r>
  <r>
    <s v="Retail"/>
    <s v="Q062 - Monteria - Cc Alamedas"/>
    <x v="0"/>
    <s v="octubre"/>
    <n v="1"/>
    <d v="2026-10-01T00:00:00"/>
    <n v="1065006748"/>
    <s v="ANDRADE REGINO OSCAR"/>
    <n v="66"/>
    <n v="0"/>
    <n v="4030807"/>
  </r>
  <r>
    <s v="Retail"/>
    <s v="Q062 - Monteria - Cc Alamedas"/>
    <x v="0"/>
    <s v="octubre"/>
    <n v="1"/>
    <d v="2026-10-01T00:00:00"/>
    <n v="1067899060"/>
    <s v="AREIZA AGAMEZ OSNEIDER"/>
    <n v="17"/>
    <n v="0"/>
    <n v="1127437"/>
  </r>
  <r>
    <s v="Retail"/>
    <s v="Q062 - Monteria - Cc Alamedas"/>
    <x v="0"/>
    <s v="octubre"/>
    <n v="1"/>
    <d v="2026-10-01T00:00:00"/>
    <n v="1067921548"/>
    <s v="MARIMON ESQUIVIA ENA MARGARITA"/>
    <n v="122"/>
    <n v="0"/>
    <n v="6717455"/>
  </r>
  <r>
    <s v="Retail"/>
    <s v="Q062 - Monteria - Cc Alamedas"/>
    <x v="0"/>
    <s v="octubre"/>
    <n v="2"/>
    <d v="2026-10-02T00:00:00"/>
    <m/>
    <m/>
    <n v="0"/>
    <n v="14482849"/>
    <n v="0"/>
  </r>
  <r>
    <s v="Retail"/>
    <s v="Q062 - Monteria - Cc Alamedas"/>
    <x v="0"/>
    <s v="octubre"/>
    <n v="2"/>
    <d v="2026-10-02T00:00:00"/>
    <n v="1065006748"/>
    <s v="ANDRADE REGINO OSCAR"/>
    <n v="92"/>
    <n v="0"/>
    <n v="4523285"/>
  </r>
  <r>
    <s v="Retail"/>
    <s v="Q062 - Monteria - Cc Alamedas"/>
    <x v="0"/>
    <s v="octubre"/>
    <n v="2"/>
    <d v="2026-10-02T00:00:00"/>
    <n v="1067899060"/>
    <s v="AREIZA AGAMEZ OSNEIDER"/>
    <n v="19"/>
    <n v="0"/>
    <n v="1196683"/>
  </r>
  <r>
    <s v="Retail"/>
    <s v="Q062 - Monteria - Cc Alamedas"/>
    <x v="0"/>
    <s v="octubre"/>
    <n v="2"/>
    <d v="2026-10-02T00:00:00"/>
    <n v="1067921548"/>
    <s v="MARIMON ESQUIVIA ENA MARGARITA"/>
    <n v="117"/>
    <n v="0"/>
    <n v="6809801"/>
  </r>
  <r>
    <s v="Retail"/>
    <s v="Q062 - Monteria - Cc Alamedas"/>
    <x v="0"/>
    <s v="octubre"/>
    <n v="3"/>
    <d v="2026-10-03T00:00:00"/>
    <m/>
    <m/>
    <n v="0"/>
    <n v="13369113"/>
    <n v="0"/>
  </r>
  <r>
    <s v="Retail"/>
    <s v="Q062 - Monteria - Cc Alamedas"/>
    <x v="0"/>
    <s v="octubre"/>
    <n v="3"/>
    <d v="2026-10-03T00:00:00"/>
    <n v="1065006748"/>
    <s v="ANDRADE REGINO OSCAR"/>
    <n v="84"/>
    <n v="0"/>
    <n v="4485700"/>
  </r>
  <r>
    <s v="Retail"/>
    <s v="Q062 - Monteria - Cc Alamedas"/>
    <x v="0"/>
    <s v="octubre"/>
    <n v="3"/>
    <d v="2026-10-03T00:00:00"/>
    <n v="1067899060"/>
    <s v="AREIZA AGAMEZ OSNEIDER"/>
    <n v="19"/>
    <n v="0"/>
    <n v="1029448"/>
  </r>
  <r>
    <s v="Retail"/>
    <s v="Q062 - Monteria - Cc Alamedas"/>
    <x v="0"/>
    <s v="octubre"/>
    <n v="3"/>
    <d v="2026-10-03T00:00:00"/>
    <n v="1067921548"/>
    <s v="MARIMON ESQUIVIA ENA MARGARITA"/>
    <n v="132"/>
    <n v="0"/>
    <n v="7041522"/>
  </r>
  <r>
    <s v="Retail"/>
    <s v="Q062 - Monteria - Cc Alamedas"/>
    <x v="0"/>
    <s v="octubre"/>
    <n v="4"/>
    <d v="2026-10-04T00:00:00"/>
    <m/>
    <m/>
    <n v="0"/>
    <n v="8376983"/>
    <n v="0"/>
  </r>
  <r>
    <s v="Retail"/>
    <s v="Q062 - Monteria - Cc Alamedas"/>
    <x v="0"/>
    <s v="octubre"/>
    <n v="4"/>
    <d v="2026-10-04T00:00:00"/>
    <n v="1043013098"/>
    <s v="CERVANTES DOMINGUEZ WAYNNY JHOANA"/>
    <n v="-1"/>
    <n v="0"/>
    <n v="-75588"/>
  </r>
  <r>
    <s v="Retail"/>
    <s v="Q062 - Monteria - Cc Alamedas"/>
    <x v="0"/>
    <s v="octubre"/>
    <n v="4"/>
    <d v="2026-10-04T00:00:00"/>
    <n v="1065006748"/>
    <s v="ANDRADE REGINO OSCAR"/>
    <n v="59"/>
    <n v="0"/>
    <n v="3232609"/>
  </r>
  <r>
    <s v="Retail"/>
    <s v="Q062 - Monteria - Cc Alamedas"/>
    <x v="0"/>
    <s v="octubre"/>
    <n v="4"/>
    <d v="2026-10-04T00:00:00"/>
    <n v="1067899060"/>
    <s v="AREIZA AGAMEZ OSNEIDER"/>
    <n v="9"/>
    <n v="0"/>
    <n v="634034"/>
  </r>
  <r>
    <s v="Retail"/>
    <s v="Q062 - Monteria - Cc Alamedas"/>
    <x v="0"/>
    <s v="octubre"/>
    <n v="4"/>
    <d v="2026-10-04T00:00:00"/>
    <n v="1067921548"/>
    <s v="MARIMON ESQUIVIA ENA MARGARITA"/>
    <n v="72"/>
    <n v="0"/>
    <n v="4210883"/>
  </r>
  <r>
    <s v="Retail"/>
    <s v="Q062 - Monteria - Cc Alamedas"/>
    <x v="0"/>
    <s v="octubre"/>
    <n v="5"/>
    <d v="2026-10-05T00:00:00"/>
    <m/>
    <m/>
    <n v="0"/>
    <n v="9660912"/>
    <n v="0"/>
  </r>
  <r>
    <s v="Retail"/>
    <s v="Q062 - Monteria - Cc Alamedas"/>
    <x v="0"/>
    <s v="octubre"/>
    <n v="5"/>
    <d v="2026-10-05T00:00:00"/>
    <n v="1065002298"/>
    <s v="SUAREZ PEÑATE JEFERSON DARIO"/>
    <n v="-1"/>
    <n v="0"/>
    <n v="-37773"/>
  </r>
  <r>
    <s v="Retail"/>
    <s v="Q062 - Monteria - Cc Alamedas"/>
    <x v="0"/>
    <s v="octubre"/>
    <n v="5"/>
    <d v="2026-10-05T00:00:00"/>
    <n v="1065006748"/>
    <s v="ANDRADE REGINO OSCAR"/>
    <n v="69"/>
    <n v="0"/>
    <n v="3723826"/>
  </r>
  <r>
    <s v="Retail"/>
    <s v="Q062 - Monteria - Cc Alamedas"/>
    <x v="0"/>
    <s v="octubre"/>
    <n v="5"/>
    <d v="2026-10-05T00:00:00"/>
    <n v="1067899060"/>
    <s v="AREIZA AGAMEZ OSNEIDER"/>
    <n v="12"/>
    <n v="0"/>
    <n v="587732"/>
  </r>
  <r>
    <s v="Retail"/>
    <s v="Q062 - Monteria - Cc Alamedas"/>
    <x v="0"/>
    <s v="octubre"/>
    <n v="5"/>
    <d v="2026-10-05T00:00:00"/>
    <n v="1067921548"/>
    <s v="MARIMON ESQUIVIA ENA MARGARITA"/>
    <n v="75"/>
    <n v="0"/>
    <n v="4448154"/>
  </r>
  <r>
    <s v="Retail"/>
    <s v="Q062 - Monteria - Cc Alamedas"/>
    <x v="0"/>
    <s v="octubre"/>
    <n v="6"/>
    <d v="2026-10-06T00:00:00"/>
    <m/>
    <m/>
    <n v="0"/>
    <n v="3520506"/>
    <n v="0"/>
  </r>
  <r>
    <s v="Retail"/>
    <s v="Q062 - Monteria - Cc Alamedas"/>
    <x v="0"/>
    <s v="octubre"/>
    <n v="6"/>
    <d v="2026-10-06T00:00:00"/>
    <n v="1065006748"/>
    <s v="ANDRADE REGINO OSCAR"/>
    <n v="50"/>
    <n v="0"/>
    <n v="2651053"/>
  </r>
  <r>
    <s v="Retail"/>
    <s v="Q062 - Monteria - Cc Alamedas"/>
    <x v="0"/>
    <s v="octubre"/>
    <n v="6"/>
    <d v="2026-10-06T00:00:00"/>
    <n v="1067899060"/>
    <s v="AREIZA AGAMEZ OSNEIDER"/>
    <n v="5"/>
    <n v="0"/>
    <n v="403153"/>
  </r>
  <r>
    <s v="Retail"/>
    <s v="Q062 - Monteria - Cc Alamedas"/>
    <x v="0"/>
    <s v="octubre"/>
    <n v="6"/>
    <d v="2026-10-06T00:00:00"/>
    <n v="1067921548"/>
    <s v="MARIMON ESQUIVIA ENA MARGARITA"/>
    <n v="40"/>
    <n v="0"/>
    <n v="2019122"/>
  </r>
  <r>
    <s v="Retail"/>
    <s v="Q062 - Monteria - Cc Alamedas"/>
    <x v="0"/>
    <s v="octubre"/>
    <n v="7"/>
    <d v="2026-10-07T00:00:00"/>
    <m/>
    <m/>
    <n v="0"/>
    <n v="3474182"/>
    <n v="0"/>
  </r>
  <r>
    <s v="Retail"/>
    <s v="Q062 - Monteria - Cc Alamedas"/>
    <x v="0"/>
    <s v="octubre"/>
    <n v="7"/>
    <d v="2026-10-07T00:00:00"/>
    <n v="1065006748"/>
    <s v="ANDRADE REGINO OSCAR"/>
    <n v="36"/>
    <n v="0"/>
    <n v="1628659"/>
  </r>
  <r>
    <s v="Retail"/>
    <s v="Q062 - Monteria - Cc Alamedas"/>
    <x v="0"/>
    <s v="octubre"/>
    <n v="7"/>
    <d v="2026-10-07T00:00:00"/>
    <n v="1067899060"/>
    <s v="AREIZA AGAMEZ OSNEIDER"/>
    <n v="3"/>
    <n v="0"/>
    <n v="119622"/>
  </r>
  <r>
    <s v="Retail"/>
    <s v="Q062 - Monteria - Cc Alamedas"/>
    <x v="0"/>
    <s v="octubre"/>
    <n v="7"/>
    <d v="2026-10-07T00:00:00"/>
    <n v="1067921548"/>
    <s v="MARIMON ESQUIVIA ENA MARGARITA"/>
    <n v="29"/>
    <n v="0"/>
    <n v="1603783"/>
  </r>
  <r>
    <s v="Retail"/>
    <s v="Q068 - Cartagena - Cc Outlet del Bosque"/>
    <x v="0"/>
    <s v="septiembre"/>
    <n v="23"/>
    <d v="2026-09-23T00:00:00"/>
    <m/>
    <m/>
    <n v="0"/>
    <n v="9621259"/>
    <n v="0"/>
  </r>
  <r>
    <s v="Retail"/>
    <s v="Q068 - Cartagena - Cc Outlet del Bosque"/>
    <x v="0"/>
    <s v="septiembre"/>
    <n v="23"/>
    <d v="2026-09-23T00:00:00"/>
    <n v="55300073"/>
    <s v="SARMIENTO BOLAÑOS ZULEHIMA PATRICIA"/>
    <n v="-1"/>
    <n v="0"/>
    <n v="-67143"/>
  </r>
  <r>
    <s v="Retail"/>
    <s v="Q068 - Cartagena - Cc Outlet del Bosque"/>
    <x v="0"/>
    <s v="septiembre"/>
    <n v="23"/>
    <d v="2026-09-23T00:00:00"/>
    <n v="1000130937"/>
    <s v="RODRIGUEZ GUERRERO MARIA ANGELICA"/>
    <n v="45"/>
    <n v="0"/>
    <n v="1905506"/>
  </r>
  <r>
    <s v="Retail"/>
    <s v="Q068 - Cartagena - Cc Outlet del Bosque"/>
    <x v="0"/>
    <s v="septiembre"/>
    <n v="23"/>
    <d v="2026-09-23T00:00:00"/>
    <n v="1047439766"/>
    <s v="SALAZAR PEREZ LUISA MARIA"/>
    <n v="70"/>
    <n v="0"/>
    <n v="3618408"/>
  </r>
  <r>
    <s v="Retail"/>
    <s v="Q068 - Cartagena - Cc Outlet del Bosque"/>
    <x v="0"/>
    <s v="septiembre"/>
    <n v="23"/>
    <d v="2026-09-23T00:00:00"/>
    <n v="1124030949"/>
    <s v="SUAREZ  MONTERO JOCELIN "/>
    <n v="80"/>
    <n v="0"/>
    <n v="3891180"/>
  </r>
  <r>
    <s v="Retail"/>
    <s v="Q068 - Cartagena - Cc Outlet del Bosque"/>
    <x v="0"/>
    <s v="septiembre"/>
    <n v="24"/>
    <d v="2026-09-24T00:00:00"/>
    <m/>
    <m/>
    <n v="0"/>
    <n v="14697558"/>
    <n v="0"/>
  </r>
  <r>
    <s v="Retail"/>
    <s v="Q068 - Cartagena - Cc Outlet del Bosque"/>
    <x v="0"/>
    <s v="septiembre"/>
    <n v="24"/>
    <d v="2026-09-24T00:00:00"/>
    <n v="1000130937"/>
    <s v="RODRIGUEZ GUERRERO MARIA ANGELICA"/>
    <n v="57"/>
    <n v="0"/>
    <n v="2181681"/>
  </r>
  <r>
    <s v="Retail"/>
    <s v="Q068 - Cartagena - Cc Outlet del Bosque"/>
    <x v="0"/>
    <s v="septiembre"/>
    <n v="24"/>
    <d v="2026-09-24T00:00:00"/>
    <n v="1047439766"/>
    <s v="SALAZAR PEREZ LUISA MARIA"/>
    <n v="78"/>
    <n v="0"/>
    <n v="4021617"/>
  </r>
  <r>
    <s v="Retail"/>
    <s v="Q068 - Cartagena - Cc Outlet del Bosque"/>
    <x v="0"/>
    <s v="septiembre"/>
    <n v="24"/>
    <d v="2026-09-24T00:00:00"/>
    <n v="1124030949"/>
    <s v="SUAREZ  MONTERO JOCELIN "/>
    <n v="83"/>
    <n v="0"/>
    <n v="4105424"/>
  </r>
  <r>
    <s v="Retail"/>
    <s v="Q068 - Cartagena - Cc Outlet del Bosque"/>
    <x v="0"/>
    <s v="septiembre"/>
    <n v="25"/>
    <d v="2026-09-25T00:00:00"/>
    <m/>
    <m/>
    <n v="0"/>
    <n v="14665018"/>
    <n v="0"/>
  </r>
  <r>
    <s v="Retail"/>
    <s v="Q068 - Cartagena - Cc Outlet del Bosque"/>
    <x v="0"/>
    <s v="septiembre"/>
    <n v="25"/>
    <d v="2026-09-25T00:00:00"/>
    <n v="1000130937"/>
    <s v="RODRIGUEZ GUERRERO MARIA ANGELICA"/>
    <n v="32"/>
    <n v="0"/>
    <n v="1439834"/>
  </r>
  <r>
    <s v="Retail"/>
    <s v="Q068 - Cartagena - Cc Outlet del Bosque"/>
    <x v="0"/>
    <s v="septiembre"/>
    <n v="25"/>
    <d v="2026-09-25T00:00:00"/>
    <n v="1047439766"/>
    <s v="SALAZAR PEREZ LUISA MARIA"/>
    <n v="95"/>
    <n v="0"/>
    <n v="4973533"/>
  </r>
  <r>
    <s v="Retail"/>
    <s v="Q068 - Cartagena - Cc Outlet del Bosque"/>
    <x v="0"/>
    <s v="septiembre"/>
    <n v="25"/>
    <d v="2026-09-25T00:00:00"/>
    <n v="1124030949"/>
    <s v="SUAREZ  MONTERO JOCELIN "/>
    <n v="103"/>
    <n v="0"/>
    <n v="5161853"/>
  </r>
  <r>
    <s v="Retail"/>
    <s v="Q068 - Cartagena - Cc Outlet del Bosque"/>
    <x v="0"/>
    <s v="septiembre"/>
    <n v="26"/>
    <d v="2026-09-26T00:00:00"/>
    <m/>
    <m/>
    <n v="0"/>
    <n v="21075741"/>
    <n v="0"/>
  </r>
  <r>
    <s v="Retail"/>
    <s v="Q068 - Cartagena - Cc Outlet del Bosque"/>
    <x v="0"/>
    <s v="septiembre"/>
    <n v="26"/>
    <d v="2026-09-26T00:00:00"/>
    <n v="1000130937"/>
    <s v="RODRIGUEZ GUERRERO MARIA ANGELICA"/>
    <n v="47"/>
    <n v="0"/>
    <n v="2317187"/>
  </r>
  <r>
    <s v="Retail"/>
    <s v="Q068 - Cartagena - Cc Outlet del Bosque"/>
    <x v="0"/>
    <s v="septiembre"/>
    <n v="26"/>
    <d v="2026-09-26T00:00:00"/>
    <n v="1047439766"/>
    <s v="SALAZAR PEREZ LUISA MARIA"/>
    <n v="76"/>
    <n v="0"/>
    <n v="3836561"/>
  </r>
  <r>
    <s v="Retail"/>
    <s v="Q068 - Cartagena - Cc Outlet del Bosque"/>
    <x v="0"/>
    <s v="septiembre"/>
    <n v="26"/>
    <d v="2026-09-26T00:00:00"/>
    <n v="1124030949"/>
    <s v="SUAREZ  MONTERO JOCELIN "/>
    <n v="76"/>
    <n v="0"/>
    <n v="3652023"/>
  </r>
  <r>
    <s v="Retail"/>
    <s v="Q068 - Cartagena - Cc Outlet del Bosque"/>
    <x v="0"/>
    <s v="septiembre"/>
    <n v="27"/>
    <d v="2026-09-27T00:00:00"/>
    <m/>
    <m/>
    <n v="0"/>
    <n v="16696230"/>
    <n v="0"/>
  </r>
  <r>
    <s v="Retail"/>
    <s v="Q068 - Cartagena - Cc Outlet del Bosque"/>
    <x v="0"/>
    <s v="septiembre"/>
    <n v="27"/>
    <d v="2026-09-27T00:00:00"/>
    <n v="1000130937"/>
    <s v="RODRIGUEZ GUERRERO MARIA ANGELICA"/>
    <n v="33"/>
    <n v="0"/>
    <n v="1580423"/>
  </r>
  <r>
    <s v="Retail"/>
    <s v="Q068 - Cartagena - Cc Outlet del Bosque"/>
    <x v="0"/>
    <s v="septiembre"/>
    <n v="27"/>
    <d v="2026-09-27T00:00:00"/>
    <n v="1047439766"/>
    <s v="SALAZAR PEREZ LUISA MARIA"/>
    <n v="57"/>
    <n v="0"/>
    <n v="3024793"/>
  </r>
  <r>
    <s v="Retail"/>
    <s v="Q068 - Cartagena - Cc Outlet del Bosque"/>
    <x v="0"/>
    <s v="septiembre"/>
    <n v="27"/>
    <d v="2026-09-27T00:00:00"/>
    <n v="1124030949"/>
    <s v="SUAREZ  MONTERO JOCELIN "/>
    <n v="46"/>
    <n v="0"/>
    <n v="2612945"/>
  </r>
  <r>
    <s v="Retail"/>
    <s v="Q068 - Cartagena - Cc Outlet del Bosque"/>
    <x v="0"/>
    <s v="septiembre"/>
    <n v="28"/>
    <d v="2026-09-28T00:00:00"/>
    <m/>
    <m/>
    <n v="0"/>
    <n v="9400719"/>
    <n v="0"/>
  </r>
  <r>
    <s v="Retail"/>
    <s v="Q068 - Cartagena - Cc Outlet del Bosque"/>
    <x v="0"/>
    <s v="septiembre"/>
    <n v="28"/>
    <d v="2026-09-28T00:00:00"/>
    <n v="1000130937"/>
    <s v="RODRIGUEZ GUERRERO MARIA ANGELICA"/>
    <n v="13"/>
    <n v="0"/>
    <n v="465714"/>
  </r>
  <r>
    <s v="Retail"/>
    <s v="Q068 - Cartagena - Cc Outlet del Bosque"/>
    <x v="0"/>
    <s v="septiembre"/>
    <n v="28"/>
    <d v="2026-09-28T00:00:00"/>
    <n v="1047439766"/>
    <s v="SALAZAR PEREZ LUISA MARIA"/>
    <n v="48"/>
    <n v="0"/>
    <n v="2430546"/>
  </r>
  <r>
    <s v="Retail"/>
    <s v="Q068 - Cartagena - Cc Outlet del Bosque"/>
    <x v="0"/>
    <s v="septiembre"/>
    <n v="28"/>
    <d v="2026-09-28T00:00:00"/>
    <n v="1124030949"/>
    <s v="SUAREZ  MONTERO JOCELIN "/>
    <n v="50"/>
    <n v="0"/>
    <n v="2304457"/>
  </r>
  <r>
    <s v="Retail"/>
    <s v="Q068 - Cartagena - Cc Outlet del Bosque"/>
    <x v="0"/>
    <s v="septiembre"/>
    <n v="29"/>
    <d v="2026-09-29T00:00:00"/>
    <m/>
    <m/>
    <n v="0"/>
    <n v="9603767"/>
    <n v="0"/>
  </r>
  <r>
    <s v="Retail"/>
    <s v="Q068 - Cartagena - Cc Outlet del Bosque"/>
    <x v="0"/>
    <s v="septiembre"/>
    <n v="29"/>
    <d v="2026-09-29T00:00:00"/>
    <n v="73578286"/>
    <s v="SALCEDO GONZALEZ AMAURY ENRIQUE"/>
    <n v="-1"/>
    <n v="0"/>
    <n v="-54580"/>
  </r>
  <r>
    <s v="Retail"/>
    <s v="Q068 - Cartagena - Cc Outlet del Bosque"/>
    <x v="0"/>
    <s v="septiembre"/>
    <n v="29"/>
    <d v="2026-09-29T00:00:00"/>
    <n v="1000130937"/>
    <s v="RODRIGUEZ GUERRERO MARIA ANGELICA"/>
    <n v="16"/>
    <n v="0"/>
    <n v="654665"/>
  </r>
  <r>
    <s v="Retail"/>
    <s v="Q068 - Cartagena - Cc Outlet del Bosque"/>
    <x v="0"/>
    <s v="septiembre"/>
    <n v="29"/>
    <d v="2026-09-29T00:00:00"/>
    <n v="1047439766"/>
    <s v="SALAZAR PEREZ LUISA MARIA"/>
    <n v="77"/>
    <n v="0"/>
    <n v="3752105"/>
  </r>
  <r>
    <s v="Retail"/>
    <s v="Q068 - Cartagena - Cc Outlet del Bosque"/>
    <x v="0"/>
    <s v="septiembre"/>
    <n v="29"/>
    <d v="2026-09-29T00:00:00"/>
    <n v="1124030949"/>
    <s v="SUAREZ  MONTERO JOCELIN "/>
    <n v="67"/>
    <n v="0"/>
    <n v="3429499"/>
  </r>
  <r>
    <s v="Retail"/>
    <s v="Q068 - Cartagena - Cc Outlet del Bosque"/>
    <x v="0"/>
    <s v="septiembre"/>
    <n v="30"/>
    <d v="2026-09-30T00:00:00"/>
    <m/>
    <m/>
    <n v="0"/>
    <n v="10139653"/>
    <n v="0"/>
  </r>
  <r>
    <s v="Retail"/>
    <s v="Q068 - Cartagena - Cc Outlet del Bosque"/>
    <x v="0"/>
    <s v="septiembre"/>
    <n v="30"/>
    <d v="2026-09-30T00:00:00"/>
    <n v="1000130937"/>
    <s v="RODRIGUEZ GUERRERO MARIA ANGELICA"/>
    <n v="-1"/>
    <n v="0"/>
    <n v="-46177"/>
  </r>
  <r>
    <s v="Retail"/>
    <s v="Q068 - Cartagena - Cc Outlet del Bosque"/>
    <x v="0"/>
    <s v="septiembre"/>
    <n v="30"/>
    <d v="2026-09-30T00:00:00"/>
    <n v="1047439766"/>
    <s v="SALAZAR PEREZ LUISA MARIA"/>
    <n v="113"/>
    <n v="0"/>
    <n v="6101348"/>
  </r>
  <r>
    <s v="Retail"/>
    <s v="Q068 - Cartagena - Cc Outlet del Bosque"/>
    <x v="0"/>
    <s v="septiembre"/>
    <n v="30"/>
    <d v="2026-09-30T00:00:00"/>
    <n v="1124030949"/>
    <s v="SUAREZ  MONTERO JOCELIN "/>
    <n v="78"/>
    <n v="0"/>
    <n v="4084543"/>
  </r>
  <r>
    <s v="Retail"/>
    <s v="Q068 - Cartagena - Cc Outlet del Bosque"/>
    <x v="0"/>
    <s v="octubre"/>
    <n v="1"/>
    <d v="2026-10-01T00:00:00"/>
    <m/>
    <m/>
    <n v="0"/>
    <n v="15705019"/>
    <n v="0"/>
  </r>
  <r>
    <s v="Retail"/>
    <s v="Q068 - Cartagena - Cc Outlet del Bosque"/>
    <x v="0"/>
    <s v="octubre"/>
    <n v="1"/>
    <d v="2026-10-01T00:00:00"/>
    <n v="1000130937"/>
    <s v="RODRIGUEZ GUERRERO MARIA ANGELICA"/>
    <n v="-1"/>
    <n v="0"/>
    <n v="-41975"/>
  </r>
  <r>
    <s v="Retail"/>
    <s v="Q068 - Cartagena - Cc Outlet del Bosque"/>
    <x v="0"/>
    <s v="octubre"/>
    <n v="1"/>
    <d v="2026-10-01T00:00:00"/>
    <n v="1047439766"/>
    <s v="SALAZAR PEREZ LUISA MARIA"/>
    <n v="73"/>
    <n v="0"/>
    <n v="3483322"/>
  </r>
  <r>
    <s v="Retail"/>
    <s v="Q068 - Cartagena - Cc Outlet del Bosque"/>
    <x v="0"/>
    <s v="octubre"/>
    <n v="1"/>
    <d v="2026-10-01T00:00:00"/>
    <n v="1124030949"/>
    <s v="SUAREZ  MONTERO JOCELIN "/>
    <n v="103"/>
    <n v="0"/>
    <n v="5328323"/>
  </r>
  <r>
    <s v="Retail"/>
    <s v="Q068 - Cartagena - Cc Outlet del Bosque"/>
    <x v="0"/>
    <s v="octubre"/>
    <n v="2"/>
    <d v="2026-10-02T00:00:00"/>
    <m/>
    <m/>
    <n v="0"/>
    <n v="19399387"/>
    <n v="0"/>
  </r>
  <r>
    <s v="Retail"/>
    <s v="Q068 - Cartagena - Cc Outlet del Bosque"/>
    <x v="0"/>
    <s v="octubre"/>
    <n v="2"/>
    <d v="2026-10-02T00:00:00"/>
    <n v="1047439766"/>
    <s v="SALAZAR PEREZ LUISA MARIA"/>
    <n v="70"/>
    <n v="0"/>
    <n v="3353198"/>
  </r>
  <r>
    <s v="Retail"/>
    <s v="Q068 - Cartagena - Cc Outlet del Bosque"/>
    <x v="0"/>
    <s v="octubre"/>
    <n v="2"/>
    <d v="2026-10-02T00:00:00"/>
    <n v="1124030949"/>
    <s v="SUAREZ  MONTERO JOCELIN "/>
    <n v="74"/>
    <n v="0"/>
    <n v="3436812"/>
  </r>
  <r>
    <s v="Retail"/>
    <s v="Q068 - Cartagena - Cc Outlet del Bosque"/>
    <x v="0"/>
    <s v="octubre"/>
    <n v="2"/>
    <d v="2026-10-02T00:00:00"/>
    <n v="1143370244"/>
    <s v="MARTINEZ MOSQUERA YERALDIN INES"/>
    <n v="56"/>
    <n v="0"/>
    <n v="2534703"/>
  </r>
  <r>
    <s v="Retail"/>
    <s v="Q068 - Cartagena - Cc Outlet del Bosque"/>
    <x v="0"/>
    <s v="octubre"/>
    <n v="3"/>
    <d v="2026-10-03T00:00:00"/>
    <m/>
    <m/>
    <n v="0"/>
    <n v="16807305"/>
    <n v="0"/>
  </r>
  <r>
    <s v="Retail"/>
    <s v="Q068 - Cartagena - Cc Outlet del Bosque"/>
    <x v="0"/>
    <s v="octubre"/>
    <n v="3"/>
    <d v="2026-10-03T00:00:00"/>
    <n v="1047439766"/>
    <s v="SALAZAR PEREZ LUISA MARIA"/>
    <n v="135"/>
    <n v="0"/>
    <n v="6758027"/>
  </r>
  <r>
    <s v="Retail"/>
    <s v="Q068 - Cartagena - Cc Outlet del Bosque"/>
    <x v="0"/>
    <s v="octubre"/>
    <n v="3"/>
    <d v="2026-10-03T00:00:00"/>
    <n v="1124030949"/>
    <s v="SUAREZ  MONTERO JOCELIN "/>
    <n v="121"/>
    <n v="0"/>
    <n v="5726876"/>
  </r>
  <r>
    <s v="Retail"/>
    <s v="Q068 - Cartagena - Cc Outlet del Bosque"/>
    <x v="0"/>
    <s v="octubre"/>
    <n v="3"/>
    <d v="2026-10-03T00:00:00"/>
    <n v="1143370244"/>
    <s v="MARTINEZ MOSQUERA YERALDIN INES"/>
    <n v="108"/>
    <n v="0"/>
    <n v="4872540"/>
  </r>
  <r>
    <s v="Retail"/>
    <s v="Q068 - Cartagena - Cc Outlet del Bosque"/>
    <x v="0"/>
    <s v="octubre"/>
    <n v="4"/>
    <d v="2026-10-04T00:00:00"/>
    <m/>
    <m/>
    <n v="0"/>
    <n v="10724756"/>
    <n v="0"/>
  </r>
  <r>
    <s v="Retail"/>
    <s v="Q068 - Cartagena - Cc Outlet del Bosque"/>
    <x v="0"/>
    <s v="octubre"/>
    <n v="4"/>
    <d v="2026-10-04T00:00:00"/>
    <n v="1047439766"/>
    <s v="SALAZAR PEREZ LUISA MARIA"/>
    <n v="65"/>
    <n v="0"/>
    <n v="3105883"/>
  </r>
  <r>
    <s v="Retail"/>
    <s v="Q068 - Cartagena - Cc Outlet del Bosque"/>
    <x v="0"/>
    <s v="octubre"/>
    <n v="4"/>
    <d v="2026-10-04T00:00:00"/>
    <n v="1124030949"/>
    <s v="SUAREZ  MONTERO JOCELIN "/>
    <n v="48"/>
    <n v="0"/>
    <n v="2510170"/>
  </r>
  <r>
    <s v="Retail"/>
    <s v="Q068 - Cartagena - Cc Outlet del Bosque"/>
    <x v="0"/>
    <s v="octubre"/>
    <n v="4"/>
    <d v="2026-10-04T00:00:00"/>
    <n v="1143370244"/>
    <s v="MARTINEZ MOSQUERA YERALDIN INES"/>
    <n v="64"/>
    <n v="0"/>
    <n v="3416976"/>
  </r>
  <r>
    <s v="Retail"/>
    <s v="Q068 - Cartagena - Cc Outlet del Bosque"/>
    <x v="0"/>
    <s v="octubre"/>
    <n v="5"/>
    <d v="2026-10-05T00:00:00"/>
    <m/>
    <m/>
    <n v="0"/>
    <n v="13651322"/>
    <n v="0"/>
  </r>
  <r>
    <s v="Retail"/>
    <s v="Q068 - Cartagena - Cc Outlet del Bosque"/>
    <x v="0"/>
    <s v="octubre"/>
    <n v="5"/>
    <d v="2026-10-05T00:00:00"/>
    <n v="45691762"/>
    <s v="MACOTT MARRUGO ELVIA MILENA"/>
    <n v="-1"/>
    <n v="0"/>
    <n v="-46177"/>
  </r>
  <r>
    <s v="Retail"/>
    <s v="Q068 - Cartagena - Cc Outlet del Bosque"/>
    <x v="0"/>
    <s v="octubre"/>
    <n v="5"/>
    <d v="2026-10-05T00:00:00"/>
    <n v="1047439766"/>
    <s v="SALAZAR PEREZ LUISA MARIA"/>
    <n v="56"/>
    <n v="0"/>
    <n v="2778146"/>
  </r>
  <r>
    <s v="Retail"/>
    <s v="Q068 - Cartagena - Cc Outlet del Bosque"/>
    <x v="0"/>
    <s v="octubre"/>
    <n v="5"/>
    <d v="2026-10-05T00:00:00"/>
    <n v="1124030949"/>
    <s v="SUAREZ  MONTERO JOCELIN "/>
    <n v="58"/>
    <n v="0"/>
    <n v="2679959"/>
  </r>
  <r>
    <s v="Retail"/>
    <s v="Q068 - Cartagena - Cc Outlet del Bosque"/>
    <x v="0"/>
    <s v="octubre"/>
    <n v="5"/>
    <d v="2026-10-05T00:00:00"/>
    <n v="1143370244"/>
    <s v="MARTINEZ MOSQUERA YERALDIN INES"/>
    <n v="72"/>
    <n v="0"/>
    <n v="3882775"/>
  </r>
  <r>
    <s v="Retail"/>
    <s v="Q068 - Cartagena - Cc Outlet del Bosque"/>
    <x v="0"/>
    <s v="octubre"/>
    <n v="6"/>
    <d v="2026-10-06T00:00:00"/>
    <m/>
    <m/>
    <n v="0"/>
    <n v="6710088"/>
    <n v="0"/>
  </r>
  <r>
    <s v="Retail"/>
    <s v="Q068 - Cartagena - Cc Outlet del Bosque"/>
    <x v="0"/>
    <s v="octubre"/>
    <n v="6"/>
    <d v="2026-10-06T00:00:00"/>
    <n v="1047439766"/>
    <s v="SALAZAR PEREZ LUISA MARIA"/>
    <n v="19"/>
    <n v="0"/>
    <n v="852059"/>
  </r>
  <r>
    <s v="Retail"/>
    <s v="Q068 - Cartagena - Cc Outlet del Bosque"/>
    <x v="0"/>
    <s v="octubre"/>
    <n v="6"/>
    <d v="2026-10-06T00:00:00"/>
    <n v="1124030949"/>
    <s v="SUAREZ  MONTERO JOCELIN "/>
    <n v="11"/>
    <n v="0"/>
    <n v="629791"/>
  </r>
  <r>
    <s v="Retail"/>
    <s v="Q068 - Cartagena - Cc Outlet del Bosque"/>
    <x v="0"/>
    <s v="octubre"/>
    <n v="6"/>
    <d v="2026-10-06T00:00:00"/>
    <n v="1143370244"/>
    <s v="MARTINEZ MOSQUERA YERALDIN INES"/>
    <n v="35"/>
    <n v="0"/>
    <n v="1376050"/>
  </r>
  <r>
    <s v="Retail"/>
    <s v="Q068 - Cartagena - Cc Outlet del Bosque"/>
    <x v="0"/>
    <s v="octubre"/>
    <n v="7"/>
    <d v="2026-10-07T00:00:00"/>
    <m/>
    <m/>
    <n v="0"/>
    <n v="6657369"/>
    <n v="0"/>
  </r>
  <r>
    <s v="Retail"/>
    <s v="Q068 - Cartagena - Cc Outlet del Bosque"/>
    <x v="0"/>
    <s v="octubre"/>
    <n v="7"/>
    <d v="2026-10-07T00:00:00"/>
    <n v="3811650"/>
    <s v="PEREZ PEREZ WILSON DEL CRISTO"/>
    <n v="-2"/>
    <n v="0"/>
    <n v="-50252"/>
  </r>
  <r>
    <s v="Retail"/>
    <s v="Q068 - Cartagena - Cc Outlet del Bosque"/>
    <x v="0"/>
    <s v="octubre"/>
    <n v="7"/>
    <d v="2026-10-07T00:00:00"/>
    <n v="1047439766"/>
    <s v="SALAZAR PEREZ LUISA MARIA"/>
    <n v="22"/>
    <n v="0"/>
    <n v="855799"/>
  </r>
  <r>
    <s v="Retail"/>
    <s v="Q068 - Cartagena - Cc Outlet del Bosque"/>
    <x v="0"/>
    <s v="octubre"/>
    <n v="7"/>
    <d v="2026-10-07T00:00:00"/>
    <n v="1124030949"/>
    <s v="SUAREZ  MONTERO JOCELIN "/>
    <n v="30"/>
    <n v="0"/>
    <n v="1389412"/>
  </r>
  <r>
    <s v="Retail"/>
    <s v="Q068 - Cartagena - Cc Outlet del Bosque"/>
    <x v="0"/>
    <s v="octubre"/>
    <n v="7"/>
    <d v="2026-10-07T00:00:00"/>
    <n v="1143370244"/>
    <s v="MARTINEZ MOSQUERA YERALDIN INES"/>
    <n v="51"/>
    <n v="0"/>
    <n v="2232440"/>
  </r>
  <r>
    <s v="Retail"/>
    <s v="Q078 - Soledad - Cc Gran Plaza"/>
    <x v="0"/>
    <s v="septiembre"/>
    <n v="23"/>
    <d v="2026-09-23T00:00:00"/>
    <m/>
    <m/>
    <n v="0"/>
    <n v="11200136"/>
    <n v="0"/>
  </r>
  <r>
    <s v="Retail"/>
    <s v="Q078 - Soledad - Cc Gran Plaza"/>
    <x v="0"/>
    <s v="septiembre"/>
    <n v="23"/>
    <d v="2026-09-23T00:00:00"/>
    <n v="1003173576"/>
    <s v="BONETH GALINDO KEVIN CAMILO"/>
    <n v="120"/>
    <n v="0"/>
    <n v="6372990"/>
  </r>
  <r>
    <s v="Retail"/>
    <s v="Q078 - Soledad - Cc Gran Plaza"/>
    <x v="0"/>
    <s v="septiembre"/>
    <n v="23"/>
    <d v="2026-09-23T00:00:00"/>
    <n v="1007173439"/>
    <s v="TORRES  SALCEDO CRISTIAN DAVID "/>
    <n v="79"/>
    <n v="0"/>
    <n v="4454458"/>
  </r>
  <r>
    <s v="Retail"/>
    <s v="Q078 - Soledad - Cc Gran Plaza"/>
    <x v="0"/>
    <s v="septiembre"/>
    <n v="23"/>
    <d v="2026-09-23T00:00:00"/>
    <n v="1044611604"/>
    <s v="CAJIGAS VILORIA TRINITY"/>
    <n v="16"/>
    <n v="0"/>
    <n v="894286"/>
  </r>
  <r>
    <s v="Retail"/>
    <s v="Q078 - Soledad - Cc Gran Plaza"/>
    <x v="0"/>
    <s v="septiembre"/>
    <n v="23"/>
    <d v="2026-09-23T00:00:00"/>
    <n v="1045753937"/>
    <s v="JARABA MERCADO LAURA LUZ"/>
    <n v="40"/>
    <n v="0"/>
    <n v="1981471"/>
  </r>
  <r>
    <s v="Retail"/>
    <s v="Q078 - Soledad - Cc Gran Plaza"/>
    <x v="0"/>
    <s v="septiembre"/>
    <n v="23"/>
    <d v="2026-09-23T00:00:00"/>
    <n v="1098200569"/>
    <s v="VESGA CALA DIANA KATHERINE"/>
    <n v="-1"/>
    <n v="0"/>
    <n v="-125966"/>
  </r>
  <r>
    <s v="Retail"/>
    <s v="Q078 - Soledad - Cc Gran Plaza"/>
    <x v="0"/>
    <s v="septiembre"/>
    <n v="24"/>
    <d v="2026-09-24T00:00:00"/>
    <m/>
    <m/>
    <n v="0"/>
    <n v="17109465"/>
    <n v="0"/>
  </r>
  <r>
    <s v="Retail"/>
    <s v="Q078 - Soledad - Cc Gran Plaza"/>
    <x v="0"/>
    <s v="septiembre"/>
    <n v="24"/>
    <d v="2026-09-24T00:00:00"/>
    <n v="1003173576"/>
    <s v="BONETH GALINDO KEVIN CAMILO"/>
    <n v="96"/>
    <n v="0"/>
    <n v="5262443"/>
  </r>
  <r>
    <s v="Retail"/>
    <s v="Q078 - Soledad - Cc Gran Plaza"/>
    <x v="0"/>
    <s v="septiembre"/>
    <n v="24"/>
    <d v="2026-09-24T00:00:00"/>
    <n v="1007173439"/>
    <s v="TORRES  SALCEDO CRISTIAN DAVID "/>
    <n v="66"/>
    <n v="0"/>
    <n v="3734503"/>
  </r>
  <r>
    <s v="Retail"/>
    <s v="Q078 - Soledad - Cc Gran Plaza"/>
    <x v="0"/>
    <s v="septiembre"/>
    <n v="24"/>
    <d v="2026-09-24T00:00:00"/>
    <n v="1044611604"/>
    <s v="CAJIGAS VILORIA TRINITY"/>
    <n v="45"/>
    <n v="0"/>
    <n v="2206096"/>
  </r>
  <r>
    <s v="Retail"/>
    <s v="Q078 - Soledad - Cc Gran Plaza"/>
    <x v="0"/>
    <s v="septiembre"/>
    <n v="24"/>
    <d v="2026-09-24T00:00:00"/>
    <n v="1045753937"/>
    <s v="JARABA MERCADO LAURA LUZ"/>
    <n v="48"/>
    <n v="0"/>
    <n v="2493617"/>
  </r>
  <r>
    <s v="Retail"/>
    <s v="Q078 - Soledad - Cc Gran Plaza"/>
    <x v="0"/>
    <s v="septiembre"/>
    <n v="25"/>
    <d v="2026-09-25T00:00:00"/>
    <m/>
    <m/>
    <n v="0"/>
    <n v="17071588"/>
    <n v="0"/>
  </r>
  <r>
    <s v="Retail"/>
    <s v="Q078 - Soledad - Cc Gran Plaza"/>
    <x v="0"/>
    <s v="septiembre"/>
    <n v="25"/>
    <d v="2026-09-25T00:00:00"/>
    <n v="1003173576"/>
    <s v="BONETH GALINDO KEVIN CAMILO"/>
    <n v="90"/>
    <n v="0"/>
    <n v="4176766"/>
  </r>
  <r>
    <s v="Retail"/>
    <s v="Q078 - Soledad - Cc Gran Plaza"/>
    <x v="0"/>
    <s v="septiembre"/>
    <n v="25"/>
    <d v="2026-09-25T00:00:00"/>
    <n v="1007173439"/>
    <s v="TORRES  SALCEDO CRISTIAN DAVID "/>
    <n v="71"/>
    <n v="0"/>
    <n v="3784498"/>
  </r>
  <r>
    <s v="Retail"/>
    <s v="Q078 - Soledad - Cc Gran Plaza"/>
    <x v="0"/>
    <s v="septiembre"/>
    <n v="25"/>
    <d v="2026-09-25T00:00:00"/>
    <n v="1044611604"/>
    <s v="CAJIGAS VILORIA TRINITY"/>
    <n v="70"/>
    <n v="0"/>
    <n v="4072648"/>
  </r>
  <r>
    <s v="Retail"/>
    <s v="Q078 - Soledad - Cc Gran Plaza"/>
    <x v="0"/>
    <s v="septiembre"/>
    <n v="25"/>
    <d v="2026-09-25T00:00:00"/>
    <n v="1045753937"/>
    <s v="JARABA MERCADO LAURA LUZ"/>
    <n v="48"/>
    <n v="0"/>
    <n v="2594544"/>
  </r>
  <r>
    <s v="Retail"/>
    <s v="Q078 - Soledad - Cc Gran Plaza"/>
    <x v="0"/>
    <s v="septiembre"/>
    <n v="26"/>
    <d v="2026-09-26T00:00:00"/>
    <m/>
    <m/>
    <n v="0"/>
    <n v="24534327"/>
    <n v="0"/>
  </r>
  <r>
    <s v="Retail"/>
    <s v="Q078 - Soledad - Cc Gran Plaza"/>
    <x v="0"/>
    <s v="septiembre"/>
    <n v="26"/>
    <d v="2026-09-26T00:00:00"/>
    <n v="1003173576"/>
    <s v="BONETH GALINDO KEVIN CAMILO"/>
    <n v="117"/>
    <n v="0"/>
    <n v="6715512"/>
  </r>
  <r>
    <s v="Retail"/>
    <s v="Q078 - Soledad - Cc Gran Plaza"/>
    <x v="0"/>
    <s v="septiembre"/>
    <n v="26"/>
    <d v="2026-09-26T00:00:00"/>
    <n v="1007173439"/>
    <s v="TORRES  SALCEDO CRISTIAN DAVID "/>
    <n v="119"/>
    <n v="0"/>
    <n v="6421142"/>
  </r>
  <r>
    <s v="Retail"/>
    <s v="Q078 - Soledad - Cc Gran Plaza"/>
    <x v="0"/>
    <s v="septiembre"/>
    <n v="26"/>
    <d v="2026-09-26T00:00:00"/>
    <n v="1044611604"/>
    <s v="CAJIGAS VILORIA TRINITY"/>
    <n v="56"/>
    <n v="0"/>
    <n v="3518578"/>
  </r>
  <r>
    <s v="Retail"/>
    <s v="Q078 - Soledad - Cc Gran Plaza"/>
    <x v="0"/>
    <s v="septiembre"/>
    <n v="26"/>
    <d v="2026-09-26T00:00:00"/>
    <n v="1045753937"/>
    <s v="JARABA MERCADO LAURA LUZ"/>
    <n v="75"/>
    <n v="0"/>
    <n v="3723701"/>
  </r>
  <r>
    <s v="Retail"/>
    <s v="Q078 - Soledad - Cc Gran Plaza"/>
    <x v="0"/>
    <s v="septiembre"/>
    <n v="27"/>
    <d v="2026-09-27T00:00:00"/>
    <m/>
    <m/>
    <n v="0"/>
    <n v="19436126"/>
    <n v="0"/>
  </r>
  <r>
    <s v="Retail"/>
    <s v="Q078 - Soledad - Cc Gran Plaza"/>
    <x v="0"/>
    <s v="septiembre"/>
    <n v="27"/>
    <d v="2026-09-27T00:00:00"/>
    <n v="1003173576"/>
    <s v="BONETH GALINDO KEVIN CAMILO"/>
    <n v="76"/>
    <n v="0"/>
    <n v="4171098"/>
  </r>
  <r>
    <s v="Retail"/>
    <s v="Q078 - Soledad - Cc Gran Plaza"/>
    <x v="0"/>
    <s v="septiembre"/>
    <n v="27"/>
    <d v="2026-09-27T00:00:00"/>
    <n v="1007173439"/>
    <s v="TORRES  SALCEDO CRISTIAN DAVID "/>
    <n v="64"/>
    <n v="0"/>
    <n v="3728327"/>
  </r>
  <r>
    <s v="Retail"/>
    <s v="Q078 - Soledad - Cc Gran Plaza"/>
    <x v="0"/>
    <s v="septiembre"/>
    <n v="27"/>
    <d v="2026-09-27T00:00:00"/>
    <n v="1044611604"/>
    <s v="CAJIGAS VILORIA TRINITY"/>
    <n v="39"/>
    <n v="0"/>
    <n v="2183235"/>
  </r>
  <r>
    <s v="Retail"/>
    <s v="Q078 - Soledad - Cc Gran Plaza"/>
    <x v="0"/>
    <s v="septiembre"/>
    <n v="27"/>
    <d v="2026-09-27T00:00:00"/>
    <n v="1045753937"/>
    <s v="JARABA MERCADO LAURA LUZ"/>
    <n v="35"/>
    <n v="0"/>
    <n v="1826263"/>
  </r>
  <r>
    <s v="Retail"/>
    <s v="Q078 - Soledad - Cc Gran Plaza"/>
    <x v="0"/>
    <s v="septiembre"/>
    <n v="27"/>
    <d v="2026-09-27T00:00:00"/>
    <n v="1143148766"/>
    <s v="MATTOS CERVANTES JHONNY DAVID"/>
    <n v="-1"/>
    <n v="0"/>
    <n v="-46177"/>
  </r>
  <r>
    <s v="Retail"/>
    <s v="Q078 - Soledad - Cc Gran Plaza"/>
    <x v="0"/>
    <s v="septiembre"/>
    <n v="28"/>
    <d v="2026-09-28T00:00:00"/>
    <m/>
    <m/>
    <n v="0"/>
    <n v="10696845"/>
    <n v="0"/>
  </r>
  <r>
    <s v="Retail"/>
    <s v="Q078 - Soledad - Cc Gran Plaza"/>
    <x v="0"/>
    <s v="septiembre"/>
    <n v="28"/>
    <d v="2026-09-28T00:00:00"/>
    <n v="1003173576"/>
    <s v="BONETH GALINDO KEVIN CAMILO"/>
    <n v="41"/>
    <n v="0"/>
    <n v="2012986"/>
  </r>
  <r>
    <s v="Retail"/>
    <s v="Q078 - Soledad - Cc Gran Plaza"/>
    <x v="0"/>
    <s v="septiembre"/>
    <n v="28"/>
    <d v="2026-09-28T00:00:00"/>
    <n v="1007173439"/>
    <s v="TORRES  SALCEDO CRISTIAN DAVID "/>
    <n v="46"/>
    <n v="0"/>
    <n v="2058995"/>
  </r>
  <r>
    <s v="Retail"/>
    <s v="Q078 - Soledad - Cc Gran Plaza"/>
    <x v="0"/>
    <s v="septiembre"/>
    <n v="28"/>
    <d v="2026-09-28T00:00:00"/>
    <n v="1044611604"/>
    <s v="CAJIGAS VILORIA TRINITY"/>
    <n v="9"/>
    <n v="0"/>
    <n v="638279"/>
  </r>
  <r>
    <s v="Retail"/>
    <s v="Q078 - Soledad - Cc Gran Plaza"/>
    <x v="0"/>
    <s v="septiembre"/>
    <n v="28"/>
    <d v="2026-09-28T00:00:00"/>
    <n v="1045753937"/>
    <s v="JARABA MERCADO LAURA LUZ"/>
    <n v="15"/>
    <n v="0"/>
    <n v="734664"/>
  </r>
  <r>
    <s v="Retail"/>
    <s v="Q078 - Soledad - Cc Gran Plaza"/>
    <x v="0"/>
    <s v="septiembre"/>
    <n v="29"/>
    <d v="2026-09-29T00:00:00"/>
    <m/>
    <m/>
    <n v="0"/>
    <n v="11426324"/>
    <n v="0"/>
  </r>
  <r>
    <s v="Retail"/>
    <s v="Q078 - Soledad - Cc Gran Plaza"/>
    <x v="0"/>
    <s v="septiembre"/>
    <n v="29"/>
    <d v="2026-09-29T00:00:00"/>
    <n v="1003173576"/>
    <s v="BONETH GALINDO KEVIN CAMILO"/>
    <n v="63"/>
    <n v="0"/>
    <n v="3451099"/>
  </r>
  <r>
    <s v="Retail"/>
    <s v="Q078 - Soledad - Cc Gran Plaza"/>
    <x v="0"/>
    <s v="septiembre"/>
    <n v="29"/>
    <d v="2026-09-29T00:00:00"/>
    <n v="1007173439"/>
    <s v="TORRES  SALCEDO CRISTIAN DAVID "/>
    <n v="71"/>
    <n v="0"/>
    <n v="3837275"/>
  </r>
  <r>
    <s v="Retail"/>
    <s v="Q078 - Soledad - Cc Gran Plaza"/>
    <x v="0"/>
    <s v="septiembre"/>
    <n v="29"/>
    <d v="2026-09-29T00:00:00"/>
    <n v="1044611604"/>
    <s v="CAJIGAS VILORIA TRINITY"/>
    <n v="14"/>
    <n v="0"/>
    <n v="650589"/>
  </r>
  <r>
    <s v="Retail"/>
    <s v="Q078 - Soledad - Cc Gran Plaza"/>
    <x v="0"/>
    <s v="septiembre"/>
    <n v="29"/>
    <d v="2026-09-29T00:00:00"/>
    <n v="1045753937"/>
    <s v="JARABA MERCADO LAURA LUZ"/>
    <n v="9"/>
    <n v="0"/>
    <n v="453406"/>
  </r>
  <r>
    <s v="Retail"/>
    <s v="Q078 - Soledad - Cc Gran Plaza"/>
    <x v="0"/>
    <s v="septiembre"/>
    <n v="30"/>
    <d v="2026-09-30T00:00:00"/>
    <m/>
    <m/>
    <n v="0"/>
    <n v="11803598"/>
    <n v="0"/>
  </r>
  <r>
    <s v="Retail"/>
    <s v="Q078 - Soledad - Cc Gran Plaza"/>
    <x v="0"/>
    <s v="septiembre"/>
    <n v="30"/>
    <d v="2026-09-30T00:00:00"/>
    <n v="1003173576"/>
    <s v="BONETH GALINDO KEVIN CAMILO"/>
    <n v="134"/>
    <n v="0"/>
    <n v="7145093"/>
  </r>
  <r>
    <s v="Retail"/>
    <s v="Q078 - Soledad - Cc Gran Plaza"/>
    <x v="0"/>
    <s v="septiembre"/>
    <n v="30"/>
    <d v="2026-09-30T00:00:00"/>
    <n v="1007173439"/>
    <s v="TORRES  SALCEDO CRISTIAN DAVID "/>
    <n v="20"/>
    <n v="0"/>
    <n v="1154623"/>
  </r>
  <r>
    <s v="Retail"/>
    <s v="Q078 - Soledad - Cc Gran Plaza"/>
    <x v="0"/>
    <s v="septiembre"/>
    <n v="30"/>
    <d v="2026-09-30T00:00:00"/>
    <n v="1044611604"/>
    <s v="CAJIGAS VILORIA TRINITY"/>
    <n v="54"/>
    <n v="0"/>
    <n v="2926094"/>
  </r>
  <r>
    <s v="Retail"/>
    <s v="Q078 - Soledad - Cc Gran Plaza"/>
    <x v="0"/>
    <s v="septiembre"/>
    <n v="30"/>
    <d v="2026-09-30T00:00:00"/>
    <n v="1045753937"/>
    <s v="JARABA MERCADO LAURA LUZ"/>
    <n v="9"/>
    <n v="0"/>
    <n v="339790"/>
  </r>
  <r>
    <s v="Retail"/>
    <s v="Q078 - Soledad - Cc Gran Plaza"/>
    <x v="0"/>
    <s v="octubre"/>
    <n v="1"/>
    <d v="2026-10-01T00:00:00"/>
    <m/>
    <m/>
    <n v="0"/>
    <n v="15565367"/>
    <n v="0"/>
  </r>
  <r>
    <s v="Retail"/>
    <s v="Q078 - Soledad - Cc Gran Plaza"/>
    <x v="0"/>
    <s v="octubre"/>
    <n v="1"/>
    <d v="2026-10-01T00:00:00"/>
    <n v="1003173576"/>
    <s v="BONETH GALINDO KEVIN CAMILO"/>
    <n v="60"/>
    <n v="0"/>
    <n v="2877570"/>
  </r>
  <r>
    <s v="Retail"/>
    <s v="Q078 - Soledad - Cc Gran Plaza"/>
    <x v="0"/>
    <s v="octubre"/>
    <n v="1"/>
    <d v="2026-10-01T00:00:00"/>
    <n v="1007173439"/>
    <s v="TORRES  SALCEDO CRISTIAN DAVID "/>
    <n v="78"/>
    <n v="0"/>
    <n v="3861852"/>
  </r>
  <r>
    <s v="Retail"/>
    <s v="Q078 - Soledad - Cc Gran Plaza"/>
    <x v="0"/>
    <s v="octubre"/>
    <n v="1"/>
    <d v="2026-10-01T00:00:00"/>
    <n v="1044611604"/>
    <s v="CAJIGAS VILORIA TRINITY"/>
    <n v="28"/>
    <n v="0"/>
    <n v="1297019"/>
  </r>
  <r>
    <s v="Retail"/>
    <s v="Q078 - Soledad - Cc Gran Plaza"/>
    <x v="0"/>
    <s v="octubre"/>
    <n v="1"/>
    <d v="2026-10-01T00:00:00"/>
    <n v="1045753937"/>
    <s v="JARABA MERCADO LAURA LUZ"/>
    <n v="20"/>
    <n v="0"/>
    <n v="942355"/>
  </r>
  <r>
    <s v="Retail"/>
    <s v="Q078 - Soledad - Cc Gran Plaza"/>
    <x v="0"/>
    <s v="octubre"/>
    <n v="2"/>
    <d v="2026-10-02T00:00:00"/>
    <m/>
    <m/>
    <n v="0"/>
    <n v="15177550"/>
    <n v="0"/>
  </r>
  <r>
    <s v="Retail"/>
    <s v="Q078 - Soledad - Cc Gran Plaza"/>
    <x v="0"/>
    <s v="octubre"/>
    <n v="2"/>
    <d v="2026-10-02T00:00:00"/>
    <n v="1003173576"/>
    <s v="BONETH GALINDO KEVIN CAMILO"/>
    <n v="114"/>
    <n v="0"/>
    <n v="5690467"/>
  </r>
  <r>
    <s v="Retail"/>
    <s v="Q078 - Soledad - Cc Gran Plaza"/>
    <x v="0"/>
    <s v="octubre"/>
    <n v="2"/>
    <d v="2026-10-02T00:00:00"/>
    <n v="1007173439"/>
    <s v="TORRES  SALCEDO CRISTIAN DAVID "/>
    <n v="104"/>
    <n v="0"/>
    <n v="5375718"/>
  </r>
  <r>
    <s v="Retail"/>
    <s v="Q078 - Soledad - Cc Gran Plaza"/>
    <x v="0"/>
    <s v="octubre"/>
    <n v="2"/>
    <d v="2026-10-02T00:00:00"/>
    <n v="1044611604"/>
    <s v="CAJIGAS VILORIA TRINITY"/>
    <n v="85"/>
    <n v="0"/>
    <n v="4901391"/>
  </r>
  <r>
    <s v="Retail"/>
    <s v="Q078 - Soledad - Cc Gran Plaza"/>
    <x v="0"/>
    <s v="octubre"/>
    <n v="2"/>
    <d v="2026-10-02T00:00:00"/>
    <n v="1045753937"/>
    <s v="JARABA MERCADO LAURA LUZ"/>
    <n v="63"/>
    <n v="0"/>
    <n v="3032948"/>
  </r>
  <r>
    <s v="Retail"/>
    <s v="Q078 - Soledad - Cc Gran Plaza"/>
    <x v="0"/>
    <s v="octubre"/>
    <n v="3"/>
    <d v="2026-10-03T00:00:00"/>
    <m/>
    <m/>
    <n v="0"/>
    <n v="24761057"/>
    <n v="0"/>
  </r>
  <r>
    <s v="Retail"/>
    <s v="Q078 - Soledad - Cc Gran Plaza"/>
    <x v="0"/>
    <s v="octubre"/>
    <n v="3"/>
    <d v="2026-10-03T00:00:00"/>
    <n v="1003173576"/>
    <s v="BONETH GALINDO KEVIN CAMILO"/>
    <n v="97"/>
    <n v="0"/>
    <n v="4781688"/>
  </r>
  <r>
    <s v="Retail"/>
    <s v="Q078 - Soledad - Cc Gran Plaza"/>
    <x v="0"/>
    <s v="octubre"/>
    <n v="3"/>
    <d v="2026-10-03T00:00:00"/>
    <n v="1007173439"/>
    <s v="TORRES  SALCEDO CRISTIAN DAVID "/>
    <n v="107"/>
    <n v="0"/>
    <n v="5325749"/>
  </r>
  <r>
    <s v="Retail"/>
    <s v="Q078 - Soledad - Cc Gran Plaza"/>
    <x v="0"/>
    <s v="octubre"/>
    <n v="3"/>
    <d v="2026-10-03T00:00:00"/>
    <n v="1044611604"/>
    <s v="CAJIGAS VILORIA TRINITY"/>
    <n v="52"/>
    <n v="0"/>
    <n v="2493116"/>
  </r>
  <r>
    <s v="Retail"/>
    <s v="Q078 - Soledad - Cc Gran Plaza"/>
    <x v="0"/>
    <s v="octubre"/>
    <n v="3"/>
    <d v="2026-10-03T00:00:00"/>
    <n v="1045753937"/>
    <s v="JARABA MERCADO LAURA LUZ"/>
    <n v="45"/>
    <n v="0"/>
    <n v="1900818"/>
  </r>
  <r>
    <s v="Retail"/>
    <s v="Q078 - Soledad - Cc Gran Plaza"/>
    <x v="0"/>
    <s v="octubre"/>
    <n v="3"/>
    <d v="2026-10-03T00:00:00"/>
    <n v="1098200569"/>
    <s v="VESGA CALA DIANA KATHERINE"/>
    <n v="-1"/>
    <n v="0"/>
    <n v="-41975"/>
  </r>
  <r>
    <s v="Retail"/>
    <s v="Q078 - Soledad - Cc Gran Plaza"/>
    <x v="0"/>
    <s v="octubre"/>
    <n v="4"/>
    <d v="2026-10-04T00:00:00"/>
    <m/>
    <m/>
    <n v="0"/>
    <n v="15719394"/>
    <n v="0"/>
  </r>
  <r>
    <s v="Retail"/>
    <s v="Q078 - Soledad - Cc Gran Plaza"/>
    <x v="0"/>
    <s v="octubre"/>
    <n v="4"/>
    <d v="2026-10-04T00:00:00"/>
    <n v="1003173576"/>
    <s v="BONETH GALINDO KEVIN CAMILO"/>
    <n v="80"/>
    <n v="0"/>
    <n v="4328947"/>
  </r>
  <r>
    <s v="Retail"/>
    <s v="Q078 - Soledad - Cc Gran Plaza"/>
    <x v="0"/>
    <s v="octubre"/>
    <n v="4"/>
    <d v="2026-10-04T00:00:00"/>
    <n v="1007173439"/>
    <s v="TORRES  SALCEDO CRISTIAN DAVID "/>
    <n v="66"/>
    <n v="0"/>
    <n v="3988788"/>
  </r>
  <r>
    <s v="Retail"/>
    <s v="Q078 - Soledad - Cc Gran Plaza"/>
    <x v="0"/>
    <s v="octubre"/>
    <n v="4"/>
    <d v="2026-10-04T00:00:00"/>
    <n v="1044611604"/>
    <s v="CAJIGAS VILORIA TRINITY"/>
    <n v="39"/>
    <n v="0"/>
    <n v="2380634"/>
  </r>
  <r>
    <s v="Retail"/>
    <s v="Q078 - Soledad - Cc Gran Plaza"/>
    <x v="0"/>
    <s v="octubre"/>
    <n v="4"/>
    <d v="2026-10-04T00:00:00"/>
    <n v="1045753937"/>
    <s v="JARABA MERCADO LAURA LUZ"/>
    <n v="55"/>
    <n v="0"/>
    <n v="3306801"/>
  </r>
  <r>
    <s v="Retail"/>
    <s v="Q078 - Soledad - Cc Gran Plaza"/>
    <x v="0"/>
    <s v="octubre"/>
    <n v="5"/>
    <d v="2026-10-05T00:00:00"/>
    <m/>
    <m/>
    <n v="0"/>
    <n v="10787163"/>
    <n v="0"/>
  </r>
  <r>
    <s v="Retail"/>
    <s v="Q078 - Soledad - Cc Gran Plaza"/>
    <x v="0"/>
    <s v="octubre"/>
    <n v="5"/>
    <d v="2026-10-05T00:00:00"/>
    <n v="1003173576"/>
    <s v="BONETH GALINDO KEVIN CAMILO"/>
    <n v="51"/>
    <n v="0"/>
    <n v="2605335"/>
  </r>
  <r>
    <s v="Retail"/>
    <s v="Q078 - Soledad - Cc Gran Plaza"/>
    <x v="0"/>
    <s v="octubre"/>
    <n v="5"/>
    <d v="2026-10-05T00:00:00"/>
    <n v="1007173439"/>
    <s v="TORRES  SALCEDO CRISTIAN DAVID "/>
    <n v="68"/>
    <n v="0"/>
    <n v="3843571"/>
  </r>
  <r>
    <s v="Retail"/>
    <s v="Q078 - Soledad - Cc Gran Plaza"/>
    <x v="0"/>
    <s v="octubre"/>
    <n v="5"/>
    <d v="2026-10-05T00:00:00"/>
    <n v="1044611604"/>
    <s v="CAJIGAS VILORIA TRINITY"/>
    <n v="36"/>
    <n v="0"/>
    <n v="1624372"/>
  </r>
  <r>
    <s v="Retail"/>
    <s v="Q078 - Soledad - Cc Gran Plaza"/>
    <x v="0"/>
    <s v="octubre"/>
    <n v="5"/>
    <d v="2026-10-05T00:00:00"/>
    <n v="1045753937"/>
    <s v="JARABA MERCADO LAURA LUZ"/>
    <n v="37"/>
    <n v="0"/>
    <n v="1956347"/>
  </r>
  <r>
    <s v="Retail"/>
    <s v="Q078 - Soledad - Cc Gran Plaza"/>
    <x v="0"/>
    <s v="octubre"/>
    <n v="6"/>
    <d v="2026-10-06T00:00:00"/>
    <m/>
    <m/>
    <n v="0"/>
    <n v="6044471"/>
    <n v="0"/>
  </r>
  <r>
    <s v="Retail"/>
    <s v="Q078 - Soledad - Cc Gran Plaza"/>
    <x v="0"/>
    <s v="octubre"/>
    <n v="6"/>
    <d v="2026-10-06T00:00:00"/>
    <n v="1003173576"/>
    <s v="BONETH GALINDO KEVIN CAMILO"/>
    <n v="33"/>
    <n v="0"/>
    <n v="1654078"/>
  </r>
  <r>
    <s v="Retail"/>
    <s v="Q078 - Soledad - Cc Gran Plaza"/>
    <x v="0"/>
    <s v="octubre"/>
    <n v="6"/>
    <d v="2026-10-06T00:00:00"/>
    <n v="1007173439"/>
    <s v="TORRES  SALCEDO CRISTIAN DAVID "/>
    <n v="23"/>
    <n v="0"/>
    <n v="1368742"/>
  </r>
  <r>
    <s v="Retail"/>
    <s v="Q078 - Soledad - Cc Gran Plaza"/>
    <x v="0"/>
    <s v="octubre"/>
    <n v="6"/>
    <d v="2026-10-06T00:00:00"/>
    <n v="1044611604"/>
    <s v="CAJIGAS VILORIA TRINITY"/>
    <n v="16"/>
    <n v="0"/>
    <n v="831261"/>
  </r>
  <r>
    <s v="Retail"/>
    <s v="Q078 - Soledad - Cc Gran Plaza"/>
    <x v="0"/>
    <s v="octubre"/>
    <n v="6"/>
    <d v="2026-10-06T00:00:00"/>
    <n v="1045753937"/>
    <s v="JARABA MERCADO LAURA LUZ"/>
    <n v="13"/>
    <n v="0"/>
    <n v="690631"/>
  </r>
  <r>
    <s v="Retail"/>
    <s v="Q078 - Soledad - Cc Gran Plaza"/>
    <x v="0"/>
    <s v="octubre"/>
    <n v="6"/>
    <d v="2026-10-06T00:00:00"/>
    <n v="1045756535"/>
    <s v="BENAVIDES ALBARRACIN JUSLEIDYS"/>
    <n v="-1"/>
    <n v="0"/>
    <n v="-71386"/>
  </r>
  <r>
    <s v="Retail"/>
    <s v="Q078 - Soledad - Cc Gran Plaza"/>
    <x v="0"/>
    <s v="octubre"/>
    <n v="7"/>
    <d v="2026-10-07T00:00:00"/>
    <m/>
    <m/>
    <n v="0"/>
    <n v="5964940"/>
    <n v="0"/>
  </r>
  <r>
    <s v="Retail"/>
    <s v="Q078 - Soledad - Cc Gran Plaza"/>
    <x v="0"/>
    <s v="octubre"/>
    <n v="7"/>
    <d v="2026-10-07T00:00:00"/>
    <n v="1003173576"/>
    <s v="BONETH GALINDO KEVIN CAMILO"/>
    <n v="37"/>
    <n v="0"/>
    <n v="2023576"/>
  </r>
  <r>
    <s v="Retail"/>
    <s v="Q078 - Soledad - Cc Gran Plaza"/>
    <x v="0"/>
    <s v="octubre"/>
    <n v="7"/>
    <d v="2026-10-07T00:00:00"/>
    <n v="1007173439"/>
    <s v="TORRES  SALCEDO CRISTIAN DAVID "/>
    <n v="45"/>
    <n v="0"/>
    <n v="2325801"/>
  </r>
  <r>
    <s v="Retail"/>
    <s v="Q078 - Soledad - Cc Gran Plaza"/>
    <x v="0"/>
    <s v="octubre"/>
    <n v="7"/>
    <d v="2026-10-07T00:00:00"/>
    <n v="1044611604"/>
    <s v="CAJIGAS VILORIA TRINITY"/>
    <n v="29"/>
    <n v="0"/>
    <n v="1406346"/>
  </r>
  <r>
    <s v="Retail"/>
    <s v="Q078 - Soledad - Cc Gran Plaza"/>
    <x v="0"/>
    <s v="octubre"/>
    <n v="7"/>
    <d v="2026-10-07T00:00:00"/>
    <n v="1045753937"/>
    <s v="JARABA MERCADO LAURA LUZ"/>
    <n v="27"/>
    <n v="0"/>
    <n v="1683742"/>
  </r>
  <r>
    <s v="Retail"/>
    <s v="Q078 - Soledad - Cc Gran Plaza"/>
    <x v="0"/>
    <s v="octubre"/>
    <n v="7"/>
    <d v="2026-10-07T00:00:00"/>
    <n v="1143142715"/>
    <s v="BARRAZA  MORENO BRANDON JOSE "/>
    <n v="-1"/>
    <n v="0"/>
    <n v="-71386"/>
  </r>
  <r>
    <s v="Retail"/>
    <s v="Q084 - Santa Marta - Centro"/>
    <x v="0"/>
    <s v="septiembre"/>
    <n v="23"/>
    <d v="2026-09-23T00:00:00"/>
    <m/>
    <m/>
    <n v="0"/>
    <n v="0"/>
    <n v="0"/>
  </r>
  <r>
    <s v="Retail"/>
    <s v="Q084 - Santa Marta - Centro"/>
    <x v="0"/>
    <s v="septiembre"/>
    <n v="24"/>
    <d v="2026-09-24T00:00:00"/>
    <m/>
    <m/>
    <n v="0"/>
    <n v="1101935"/>
    <n v="0"/>
  </r>
  <r>
    <s v="Retail"/>
    <s v="Q084 - Santa Marta - Centro"/>
    <x v="0"/>
    <s v="septiembre"/>
    <n v="24"/>
    <d v="2026-09-24T00:00:00"/>
    <n v="1004274455"/>
    <s v="PÉREZ  GERALDINE"/>
    <n v="8"/>
    <n v="0"/>
    <n v="388320"/>
  </r>
  <r>
    <s v="Retail"/>
    <s v="Q084 - Santa Marta - Centro"/>
    <x v="0"/>
    <s v="septiembre"/>
    <n v="24"/>
    <d v="2026-09-24T00:00:00"/>
    <n v="1083011955"/>
    <s v="GUTIERREZ ARIAS HASBLEYDI"/>
    <n v="5"/>
    <n v="0"/>
    <n v="256092"/>
  </r>
  <r>
    <s v="Retail"/>
    <s v="Q084 - Santa Marta - Centro"/>
    <x v="0"/>
    <s v="septiembre"/>
    <n v="24"/>
    <d v="2026-09-24T00:00:00"/>
    <n v="1083017921"/>
    <s v="ARIZA DAZA YURAINI PATRICIA"/>
    <n v="1"/>
    <n v="0"/>
    <n v="54580"/>
  </r>
  <r>
    <s v="Retail"/>
    <s v="Q084 - Santa Marta - Centro"/>
    <x v="0"/>
    <s v="septiembre"/>
    <n v="24"/>
    <d v="2026-09-24T00:00:00"/>
    <n v="1113858490"/>
    <s v="RAMIREZ SANCHEZ LIZETH MANUELA"/>
    <n v="3"/>
    <n v="0"/>
    <n v="121723"/>
  </r>
  <r>
    <s v="Retail"/>
    <s v="Q084 - Santa Marta - Centro"/>
    <x v="0"/>
    <s v="septiembre"/>
    <n v="24"/>
    <d v="2026-09-24T00:00:00"/>
    <n v="1193566789"/>
    <s v="APARICIO CARRILLO SOFIA PATRICIA"/>
    <n v="6"/>
    <n v="0"/>
    <n v="281219"/>
  </r>
  <r>
    <s v="Retail"/>
    <s v="Q084 - Santa Marta - Centro"/>
    <x v="0"/>
    <s v="septiembre"/>
    <n v="25"/>
    <d v="2026-09-25T00:00:00"/>
    <m/>
    <m/>
    <n v="0"/>
    <n v="14039615"/>
    <n v="0"/>
  </r>
  <r>
    <s v="Retail"/>
    <s v="Q084 - Santa Marta - Centro"/>
    <x v="0"/>
    <s v="septiembre"/>
    <n v="25"/>
    <d v="2026-09-25T00:00:00"/>
    <n v="1004274455"/>
    <s v="PÉREZ  GERALDINE"/>
    <n v="47"/>
    <n v="0"/>
    <n v="2321387"/>
  </r>
  <r>
    <s v="Retail"/>
    <s v="Q084 - Santa Marta - Centro"/>
    <x v="0"/>
    <s v="septiembre"/>
    <n v="25"/>
    <d v="2026-09-25T00:00:00"/>
    <n v="1083011955"/>
    <s v="GUTIERREZ ARIAS HASBLEYDI"/>
    <n v="45"/>
    <n v="0"/>
    <n v="2378195"/>
  </r>
  <r>
    <s v="Retail"/>
    <s v="Q084 - Santa Marta - Centro"/>
    <x v="0"/>
    <s v="septiembre"/>
    <n v="25"/>
    <d v="2026-09-25T00:00:00"/>
    <n v="1083017921"/>
    <s v="ARIZA DAZA YURAINI PATRICIA"/>
    <n v="108"/>
    <n v="0"/>
    <n v="3706473"/>
  </r>
  <r>
    <s v="Retail"/>
    <s v="Q084 - Santa Marta - Centro"/>
    <x v="0"/>
    <s v="septiembre"/>
    <n v="25"/>
    <d v="2026-09-25T00:00:00"/>
    <n v="1113858490"/>
    <s v="RAMIREZ SANCHEZ LIZETH MANUELA"/>
    <n v="39"/>
    <n v="0"/>
    <n v="1994040"/>
  </r>
  <r>
    <s v="Retail"/>
    <s v="Q084 - Santa Marta - Centro"/>
    <x v="0"/>
    <s v="septiembre"/>
    <n v="25"/>
    <d v="2026-09-25T00:00:00"/>
    <n v="1193566789"/>
    <s v="APARICIO CARRILLO SOFIA PATRICIA"/>
    <n v="65"/>
    <n v="0"/>
    <n v="3242860"/>
  </r>
  <r>
    <s v="Retail"/>
    <s v="Q084 - Santa Marta - Centro"/>
    <x v="0"/>
    <s v="septiembre"/>
    <n v="26"/>
    <d v="2026-09-26T00:00:00"/>
    <m/>
    <m/>
    <n v="0"/>
    <n v="20176942"/>
    <n v="0"/>
  </r>
  <r>
    <s v="Retail"/>
    <s v="Q084 - Santa Marta - Centro"/>
    <x v="0"/>
    <s v="septiembre"/>
    <n v="26"/>
    <d v="2026-09-26T00:00:00"/>
    <n v="1004274455"/>
    <s v="PÉREZ  GERALDINE"/>
    <n v="39"/>
    <n v="0"/>
    <n v="2040382"/>
  </r>
  <r>
    <s v="Retail"/>
    <s v="Q084 - Santa Marta - Centro"/>
    <x v="0"/>
    <s v="septiembre"/>
    <n v="26"/>
    <d v="2026-09-26T00:00:00"/>
    <n v="1083011955"/>
    <s v="GUTIERREZ ARIAS HASBLEYDI"/>
    <n v="45"/>
    <n v="0"/>
    <n v="2086222"/>
  </r>
  <r>
    <s v="Retail"/>
    <s v="Q084 - Santa Marta - Centro"/>
    <x v="0"/>
    <s v="septiembre"/>
    <n v="26"/>
    <d v="2026-09-26T00:00:00"/>
    <n v="1083017921"/>
    <s v="ARIZA DAZA YURAINI PATRICIA"/>
    <n v="45"/>
    <n v="0"/>
    <n v="2231138"/>
  </r>
  <r>
    <s v="Retail"/>
    <s v="Q084 - Santa Marta - Centro"/>
    <x v="0"/>
    <s v="septiembre"/>
    <n v="26"/>
    <d v="2026-09-26T00:00:00"/>
    <n v="1113858490"/>
    <s v="RAMIREZ SANCHEZ LIZETH MANUELA"/>
    <n v="33"/>
    <n v="0"/>
    <n v="1868278"/>
  </r>
  <r>
    <s v="Retail"/>
    <s v="Q084 - Santa Marta - Centro"/>
    <x v="0"/>
    <s v="septiembre"/>
    <n v="26"/>
    <d v="2026-09-26T00:00:00"/>
    <n v="1193566789"/>
    <s v="APARICIO CARRILLO SOFIA PATRICIA"/>
    <n v="33"/>
    <n v="0"/>
    <n v="1523826"/>
  </r>
  <r>
    <s v="Retail"/>
    <s v="Q084 - Santa Marta - Centro"/>
    <x v="0"/>
    <s v="septiembre"/>
    <n v="27"/>
    <d v="2026-09-27T00:00:00"/>
    <m/>
    <m/>
    <n v="0"/>
    <n v="15984202"/>
    <n v="0"/>
  </r>
  <r>
    <s v="Retail"/>
    <s v="Q084 - Santa Marta - Centro"/>
    <x v="0"/>
    <s v="septiembre"/>
    <n v="27"/>
    <d v="2026-09-27T00:00:00"/>
    <n v="1004274455"/>
    <s v="PÉREZ  GERALDINE"/>
    <n v="21"/>
    <n v="0"/>
    <n v="1030590"/>
  </r>
  <r>
    <s v="Retail"/>
    <s v="Q084 - Santa Marta - Centro"/>
    <x v="0"/>
    <s v="septiembre"/>
    <n v="27"/>
    <d v="2026-09-27T00:00:00"/>
    <n v="1083011955"/>
    <s v="GUTIERREZ ARIAS HASBLEYDI"/>
    <n v="23"/>
    <n v="0"/>
    <n v="1038784"/>
  </r>
  <r>
    <s v="Retail"/>
    <s v="Q084 - Santa Marta - Centro"/>
    <x v="0"/>
    <s v="septiembre"/>
    <n v="27"/>
    <d v="2026-09-27T00:00:00"/>
    <n v="1083017921"/>
    <s v="ARIZA DAZA YURAINI PATRICIA"/>
    <n v="55"/>
    <n v="0"/>
    <n v="3159160"/>
  </r>
  <r>
    <s v="Retail"/>
    <s v="Q084 - Santa Marta - Centro"/>
    <x v="0"/>
    <s v="septiembre"/>
    <n v="27"/>
    <d v="2026-09-27T00:00:00"/>
    <n v="1113858490"/>
    <s v="RAMIREZ SANCHEZ LIZETH MANUELA"/>
    <n v="42"/>
    <n v="0"/>
    <n v="2071640"/>
  </r>
  <r>
    <s v="Retail"/>
    <s v="Q084 - Santa Marta - Centro"/>
    <x v="0"/>
    <s v="septiembre"/>
    <n v="27"/>
    <d v="2026-09-27T00:00:00"/>
    <n v="1193566789"/>
    <s v="APARICIO CARRILLO SOFIA PATRICIA"/>
    <n v="32"/>
    <n v="0"/>
    <n v="1792690"/>
  </r>
  <r>
    <s v="Retail"/>
    <s v="Q084 - Santa Marta - Centro"/>
    <x v="0"/>
    <s v="septiembre"/>
    <n v="28"/>
    <d v="2026-09-28T00:00:00"/>
    <m/>
    <m/>
    <n v="0"/>
    <n v="8999813"/>
    <n v="0"/>
  </r>
  <r>
    <s v="Retail"/>
    <s v="Q084 - Santa Marta - Centro"/>
    <x v="0"/>
    <s v="septiembre"/>
    <n v="28"/>
    <d v="2026-09-28T00:00:00"/>
    <n v="1004274455"/>
    <s v="PÉREZ  GERALDINE"/>
    <n v="25"/>
    <n v="0"/>
    <n v="1335044"/>
  </r>
  <r>
    <s v="Retail"/>
    <s v="Q084 - Santa Marta - Centro"/>
    <x v="0"/>
    <s v="septiembre"/>
    <n v="28"/>
    <d v="2026-09-28T00:00:00"/>
    <n v="1083011955"/>
    <s v="GUTIERREZ ARIAS HASBLEYDI"/>
    <n v="15"/>
    <n v="0"/>
    <n v="814456"/>
  </r>
  <r>
    <s v="Retail"/>
    <s v="Q084 - Santa Marta - Centro"/>
    <x v="0"/>
    <s v="septiembre"/>
    <n v="28"/>
    <d v="2026-09-28T00:00:00"/>
    <n v="1083017921"/>
    <s v="ARIZA DAZA YURAINI PATRICIA"/>
    <n v="10"/>
    <n v="0"/>
    <n v="499454"/>
  </r>
  <r>
    <s v="Retail"/>
    <s v="Q084 - Santa Marta - Centro"/>
    <x v="0"/>
    <s v="septiembre"/>
    <n v="28"/>
    <d v="2026-09-28T00:00:00"/>
    <n v="1113858490"/>
    <s v="RAMIREZ SANCHEZ LIZETH MANUELA"/>
    <n v="34"/>
    <n v="0"/>
    <n v="1931220"/>
  </r>
  <r>
    <s v="Retail"/>
    <s v="Q084 - Santa Marta - Centro"/>
    <x v="0"/>
    <s v="septiembre"/>
    <n v="28"/>
    <d v="2026-09-28T00:00:00"/>
    <n v="1193566789"/>
    <s v="APARICIO CARRILLO SOFIA PATRICIA"/>
    <n v="31"/>
    <n v="0"/>
    <n v="1469160"/>
  </r>
  <r>
    <s v="Retail"/>
    <s v="Q084 - Santa Marta - Centro"/>
    <x v="0"/>
    <s v="septiembre"/>
    <n v="29"/>
    <d v="2026-09-29T00:00:00"/>
    <m/>
    <m/>
    <n v="0"/>
    <n v="9194202"/>
    <n v="0"/>
  </r>
  <r>
    <s v="Retail"/>
    <s v="Q084 - Santa Marta - Centro"/>
    <x v="0"/>
    <s v="septiembre"/>
    <n v="29"/>
    <d v="2026-09-29T00:00:00"/>
    <n v="1004274455"/>
    <s v="PÉREZ  GERALDINE"/>
    <n v="52"/>
    <n v="0"/>
    <n v="2371642"/>
  </r>
  <r>
    <s v="Retail"/>
    <s v="Q084 - Santa Marta - Centro"/>
    <x v="0"/>
    <s v="septiembre"/>
    <n v="29"/>
    <d v="2026-09-29T00:00:00"/>
    <n v="1083011955"/>
    <s v="GUTIERREZ ARIAS HASBLEYDI"/>
    <n v="25"/>
    <n v="0"/>
    <n v="1120762"/>
  </r>
  <r>
    <s v="Retail"/>
    <s v="Q084 - Santa Marta - Centro"/>
    <x v="0"/>
    <s v="septiembre"/>
    <n v="29"/>
    <d v="2026-09-29T00:00:00"/>
    <n v="1083017921"/>
    <s v="ARIZA DAZA YURAINI PATRICIA"/>
    <n v="34"/>
    <n v="0"/>
    <n v="1590799"/>
  </r>
  <r>
    <s v="Retail"/>
    <s v="Q084 - Santa Marta - Centro"/>
    <x v="0"/>
    <s v="septiembre"/>
    <n v="29"/>
    <d v="2026-09-29T00:00:00"/>
    <n v="1113858490"/>
    <s v="RAMIREZ SANCHEZ LIZETH MANUELA"/>
    <n v="28"/>
    <n v="0"/>
    <n v="1332735"/>
  </r>
  <r>
    <s v="Retail"/>
    <s v="Q084 - Santa Marta - Centro"/>
    <x v="0"/>
    <s v="septiembre"/>
    <n v="29"/>
    <d v="2026-09-29T00:00:00"/>
    <n v="1193566789"/>
    <s v="APARICIO CARRILLO SOFIA PATRICIA"/>
    <n v="45"/>
    <n v="0"/>
    <n v="2443532"/>
  </r>
  <r>
    <s v="Retail"/>
    <s v="Q084 - Santa Marta - Centro"/>
    <x v="0"/>
    <s v="septiembre"/>
    <n v="30"/>
    <d v="2026-09-30T00:00:00"/>
    <m/>
    <m/>
    <n v="0"/>
    <n v="7354634"/>
    <n v="0"/>
  </r>
  <r>
    <s v="Retail"/>
    <s v="Q084 - Santa Marta - Centro"/>
    <x v="0"/>
    <s v="septiembre"/>
    <n v="30"/>
    <d v="2026-09-30T00:00:00"/>
    <n v="1004274455"/>
    <s v="PÉREZ  GERALDINE"/>
    <n v="31"/>
    <n v="0"/>
    <n v="1431429"/>
  </r>
  <r>
    <s v="Retail"/>
    <s v="Q084 - Santa Marta - Centro"/>
    <x v="0"/>
    <s v="septiembre"/>
    <n v="30"/>
    <d v="2026-09-30T00:00:00"/>
    <n v="1083011955"/>
    <s v="GUTIERREZ ARIAS HASBLEYDI"/>
    <n v="18"/>
    <n v="0"/>
    <n v="944623"/>
  </r>
  <r>
    <s v="Retail"/>
    <s v="Q084 - Santa Marta - Centro"/>
    <x v="0"/>
    <s v="septiembre"/>
    <n v="30"/>
    <d v="2026-09-30T00:00:00"/>
    <n v="1083017921"/>
    <s v="ARIZA DAZA YURAINI PATRICIA"/>
    <n v="31"/>
    <n v="0"/>
    <n v="1502647"/>
  </r>
  <r>
    <s v="Retail"/>
    <s v="Q084 - Santa Marta - Centro"/>
    <x v="0"/>
    <s v="septiembre"/>
    <n v="30"/>
    <d v="2026-09-30T00:00:00"/>
    <n v="1113858490"/>
    <s v="RAMIREZ SANCHEZ LIZETH MANUELA"/>
    <n v="43"/>
    <n v="0"/>
    <n v="2124164"/>
  </r>
  <r>
    <s v="Retail"/>
    <s v="Q084 - Santa Marta - Centro"/>
    <x v="0"/>
    <s v="septiembre"/>
    <n v="30"/>
    <d v="2026-09-30T00:00:00"/>
    <n v="1193566789"/>
    <s v="APARICIO CARRILLO SOFIA PATRICIA"/>
    <n v="26"/>
    <n v="0"/>
    <n v="1351770"/>
  </r>
  <r>
    <s v="Retail"/>
    <s v="Q084 - Santa Marta - Centro"/>
    <x v="0"/>
    <s v="octubre"/>
    <n v="1"/>
    <d v="2026-10-01T00:00:00"/>
    <m/>
    <m/>
    <n v="0"/>
    <n v="14063703"/>
    <n v="0"/>
  </r>
  <r>
    <s v="Retail"/>
    <s v="Q084 - Santa Marta - Centro"/>
    <x v="0"/>
    <s v="octubre"/>
    <n v="1"/>
    <d v="2026-10-01T00:00:00"/>
    <n v="1004274455"/>
    <s v="PÉREZ  GERALDINE"/>
    <n v="44"/>
    <n v="0"/>
    <n v="2636809"/>
  </r>
  <r>
    <s v="Retail"/>
    <s v="Q084 - Santa Marta - Centro"/>
    <x v="0"/>
    <s v="octubre"/>
    <n v="1"/>
    <d v="2026-10-01T00:00:00"/>
    <n v="1082922050"/>
    <s v="SILVA VELASQUEZ LUDY  VIVIANA MARCELA"/>
    <n v="-1"/>
    <n v="0"/>
    <n v="-105000"/>
  </r>
  <r>
    <s v="Retail"/>
    <s v="Q084 - Santa Marta - Centro"/>
    <x v="0"/>
    <s v="octubre"/>
    <n v="1"/>
    <d v="2026-10-01T00:00:00"/>
    <n v="1083011955"/>
    <s v="GUTIERREZ ARIAS HASBLEYDI"/>
    <n v="63"/>
    <n v="0"/>
    <n v="3390174"/>
  </r>
  <r>
    <s v="Retail"/>
    <s v="Q084 - Santa Marta - Centro"/>
    <x v="0"/>
    <s v="octubre"/>
    <n v="1"/>
    <d v="2026-10-01T00:00:00"/>
    <n v="1083017921"/>
    <s v="ARIZA DAZA YURAINI PATRICIA"/>
    <n v="64"/>
    <n v="0"/>
    <n v="3440421"/>
  </r>
  <r>
    <s v="Retail"/>
    <s v="Q084 - Santa Marta - Centro"/>
    <x v="0"/>
    <s v="octubre"/>
    <n v="1"/>
    <d v="2026-10-01T00:00:00"/>
    <n v="1113858490"/>
    <s v="RAMIREZ SANCHEZ LIZETH MANUELA"/>
    <n v="55"/>
    <n v="0"/>
    <n v="2533198"/>
  </r>
  <r>
    <s v="Retail"/>
    <s v="Q084 - Santa Marta - Centro"/>
    <x v="0"/>
    <s v="octubre"/>
    <n v="1"/>
    <d v="2026-10-01T00:00:00"/>
    <n v="1193566789"/>
    <s v="APARICIO CARRILLO SOFIA PATRICIA"/>
    <n v="49"/>
    <n v="0"/>
    <n v="2384458"/>
  </r>
  <r>
    <s v="Retail"/>
    <s v="Q084 - Santa Marta - Centro"/>
    <x v="0"/>
    <s v="octubre"/>
    <n v="2"/>
    <d v="2026-10-02T00:00:00"/>
    <m/>
    <m/>
    <n v="0"/>
    <n v="15842194"/>
    <n v="0"/>
  </r>
  <r>
    <s v="Retail"/>
    <s v="Q084 - Santa Marta - Centro"/>
    <x v="0"/>
    <s v="octubre"/>
    <n v="2"/>
    <d v="2026-10-02T00:00:00"/>
    <n v="1004274455"/>
    <s v="PÉREZ  GERALDINE"/>
    <n v="57"/>
    <n v="0"/>
    <n v="2993281"/>
  </r>
  <r>
    <s v="Retail"/>
    <s v="Q084 - Santa Marta - Centro"/>
    <x v="0"/>
    <s v="octubre"/>
    <n v="2"/>
    <d v="2026-10-02T00:00:00"/>
    <n v="1083011955"/>
    <s v="GUTIERREZ ARIAS HASBLEYDI"/>
    <n v="61"/>
    <n v="0"/>
    <n v="2955254"/>
  </r>
  <r>
    <s v="Retail"/>
    <s v="Q084 - Santa Marta - Centro"/>
    <x v="0"/>
    <s v="octubre"/>
    <n v="2"/>
    <d v="2026-10-02T00:00:00"/>
    <n v="1083017921"/>
    <s v="ARIZA DAZA YURAINI PATRICIA"/>
    <n v="73"/>
    <n v="0"/>
    <n v="3721304"/>
  </r>
  <r>
    <s v="Retail"/>
    <s v="Q084 - Santa Marta - Centro"/>
    <x v="0"/>
    <s v="octubre"/>
    <n v="2"/>
    <d v="2026-10-02T00:00:00"/>
    <n v="1113858490"/>
    <s v="RAMIREZ SANCHEZ LIZETH MANUELA"/>
    <n v="37"/>
    <n v="0"/>
    <n v="1653830"/>
  </r>
  <r>
    <s v="Retail"/>
    <s v="Q084 - Santa Marta - Centro"/>
    <x v="0"/>
    <s v="octubre"/>
    <n v="2"/>
    <d v="2026-10-02T00:00:00"/>
    <n v="1193566789"/>
    <s v="APARICIO CARRILLO SOFIA PATRICIA"/>
    <n v="49"/>
    <n v="0"/>
    <n v="2327668"/>
  </r>
  <r>
    <s v="Retail"/>
    <s v="Q084 - Santa Marta - Centro"/>
    <x v="0"/>
    <s v="octubre"/>
    <n v="3"/>
    <d v="2026-10-03T00:00:00"/>
    <m/>
    <m/>
    <n v="0"/>
    <n v="17222975"/>
    <n v="0"/>
  </r>
  <r>
    <s v="Retail"/>
    <s v="Q084 - Santa Marta - Centro"/>
    <x v="0"/>
    <s v="octubre"/>
    <n v="3"/>
    <d v="2026-10-03T00:00:00"/>
    <n v="1004274455"/>
    <s v="PÉREZ  GERALDINE"/>
    <n v="47"/>
    <n v="0"/>
    <n v="2243017"/>
  </r>
  <r>
    <s v="Retail"/>
    <s v="Q084 - Santa Marta - Centro"/>
    <x v="0"/>
    <s v="octubre"/>
    <n v="3"/>
    <d v="2026-10-03T00:00:00"/>
    <n v="1083011955"/>
    <s v="GUTIERREZ ARIAS HASBLEYDI"/>
    <n v="43"/>
    <n v="0"/>
    <n v="2115476"/>
  </r>
  <r>
    <s v="Retail"/>
    <s v="Q084 - Santa Marta - Centro"/>
    <x v="0"/>
    <s v="octubre"/>
    <n v="3"/>
    <d v="2026-10-03T00:00:00"/>
    <n v="1083017921"/>
    <s v="ARIZA DAZA YURAINI PATRICIA"/>
    <n v="55"/>
    <n v="0"/>
    <n v="3011240"/>
  </r>
  <r>
    <s v="Retail"/>
    <s v="Q084 - Santa Marta - Centro"/>
    <x v="0"/>
    <s v="octubre"/>
    <n v="3"/>
    <d v="2026-10-03T00:00:00"/>
    <n v="1113858490"/>
    <s v="RAMIREZ SANCHEZ LIZETH MANUELA"/>
    <n v="49"/>
    <n v="0"/>
    <n v="2379046"/>
  </r>
  <r>
    <s v="Retail"/>
    <s v="Q084 - Santa Marta - Centro"/>
    <x v="0"/>
    <s v="octubre"/>
    <n v="4"/>
    <d v="2026-10-04T00:00:00"/>
    <m/>
    <m/>
    <n v="0"/>
    <n v="8464543"/>
    <n v="0"/>
  </r>
  <r>
    <s v="Retail"/>
    <s v="Q084 - Santa Marta - Centro"/>
    <x v="0"/>
    <s v="octubre"/>
    <n v="4"/>
    <d v="2026-10-04T00:00:00"/>
    <n v="1004274455"/>
    <s v="PÉREZ  GERALDINE"/>
    <n v="32"/>
    <n v="0"/>
    <n v="1410380"/>
  </r>
  <r>
    <s v="Retail"/>
    <s v="Q084 - Santa Marta - Centro"/>
    <x v="0"/>
    <s v="octubre"/>
    <n v="4"/>
    <d v="2026-10-04T00:00:00"/>
    <n v="1083011955"/>
    <s v="GUTIERREZ ARIAS HASBLEYDI"/>
    <n v="18"/>
    <n v="0"/>
    <n v="1003362"/>
  </r>
  <r>
    <s v="Retail"/>
    <s v="Q084 - Santa Marta - Centro"/>
    <x v="0"/>
    <s v="octubre"/>
    <n v="4"/>
    <d v="2026-10-04T00:00:00"/>
    <n v="1083017921"/>
    <s v="ARIZA DAZA YURAINI PATRICIA"/>
    <n v="5"/>
    <n v="0"/>
    <n v="176219"/>
  </r>
  <r>
    <s v="Retail"/>
    <s v="Q084 - Santa Marta - Centro"/>
    <x v="0"/>
    <s v="octubre"/>
    <n v="4"/>
    <d v="2026-10-04T00:00:00"/>
    <n v="1113858490"/>
    <s v="RAMIREZ SANCHEZ LIZETH MANUELA"/>
    <n v="28"/>
    <n v="0"/>
    <n v="1641597"/>
  </r>
  <r>
    <s v="Retail"/>
    <s v="Q084 - Santa Marta - Centro"/>
    <x v="0"/>
    <s v="octubre"/>
    <n v="5"/>
    <d v="2026-10-05T00:00:00"/>
    <m/>
    <m/>
    <n v="0"/>
    <n v="8544657"/>
    <n v="0"/>
  </r>
  <r>
    <s v="Retail"/>
    <s v="Q084 - Santa Marta - Centro"/>
    <x v="0"/>
    <s v="octubre"/>
    <n v="5"/>
    <d v="2026-10-05T00:00:00"/>
    <n v="1004274455"/>
    <s v="PÉREZ  GERALDINE"/>
    <n v="58"/>
    <n v="0"/>
    <n v="2831557"/>
  </r>
  <r>
    <s v="Retail"/>
    <s v="Q084 - Santa Marta - Centro"/>
    <x v="0"/>
    <s v="octubre"/>
    <n v="5"/>
    <d v="2026-10-05T00:00:00"/>
    <n v="1083011955"/>
    <s v="GUTIERREZ ARIAS HASBLEYDI"/>
    <n v="63"/>
    <n v="0"/>
    <n v="3385634"/>
  </r>
  <r>
    <s v="Retail"/>
    <s v="Q084 - Santa Marta - Centro"/>
    <x v="0"/>
    <s v="octubre"/>
    <n v="5"/>
    <d v="2026-10-05T00:00:00"/>
    <n v="1083017921"/>
    <s v="ARIZA DAZA YURAINI PATRICIA"/>
    <n v="36"/>
    <n v="0"/>
    <n v="1945759"/>
  </r>
  <r>
    <s v="Retail"/>
    <s v="Q084 - Santa Marta - Centro"/>
    <x v="0"/>
    <s v="octubre"/>
    <n v="5"/>
    <d v="2026-10-05T00:00:00"/>
    <n v="1113858490"/>
    <s v="RAMIREZ SANCHEZ LIZETH MANUELA"/>
    <n v="44"/>
    <n v="0"/>
    <n v="2540046"/>
  </r>
  <r>
    <s v="Retail"/>
    <s v="Q084 - Santa Marta - Centro"/>
    <x v="0"/>
    <s v="octubre"/>
    <n v="6"/>
    <d v="2026-10-06T00:00:00"/>
    <m/>
    <m/>
    <n v="0"/>
    <n v="5358743"/>
    <n v="0"/>
  </r>
  <r>
    <s v="Retail"/>
    <s v="Q084 - Santa Marta - Centro"/>
    <x v="0"/>
    <s v="octubre"/>
    <n v="6"/>
    <d v="2026-10-06T00:00:00"/>
    <n v="1004274455"/>
    <s v="PÉREZ  GERALDINE"/>
    <n v="30"/>
    <n v="0"/>
    <n v="1599499"/>
  </r>
  <r>
    <s v="Retail"/>
    <s v="Q084 - Santa Marta - Centro"/>
    <x v="0"/>
    <s v="octubre"/>
    <n v="6"/>
    <d v="2026-10-06T00:00:00"/>
    <n v="1004347266"/>
    <s v="SANCHEZ MEDINA MARIA ANGELICA"/>
    <n v="-2"/>
    <n v="0"/>
    <n v="-134328"/>
  </r>
  <r>
    <s v="Retail"/>
    <s v="Q084 - Santa Marta - Centro"/>
    <x v="0"/>
    <s v="octubre"/>
    <n v="6"/>
    <d v="2026-10-06T00:00:00"/>
    <n v="1083011955"/>
    <s v="GUTIERREZ ARIAS HASBLEYDI"/>
    <n v="26"/>
    <n v="0"/>
    <n v="1498491"/>
  </r>
  <r>
    <s v="Retail"/>
    <s v="Q084 - Santa Marta - Centro"/>
    <x v="0"/>
    <s v="octubre"/>
    <n v="6"/>
    <d v="2026-10-06T00:00:00"/>
    <n v="1083017921"/>
    <s v="ARIZA DAZA YURAINI PATRICIA"/>
    <n v="15"/>
    <n v="0"/>
    <n v="745084"/>
  </r>
  <r>
    <s v="Retail"/>
    <s v="Q084 - Santa Marta - Centro"/>
    <x v="0"/>
    <s v="octubre"/>
    <n v="6"/>
    <d v="2026-10-06T00:00:00"/>
    <n v="1113858490"/>
    <s v="RAMIREZ SANCHEZ LIZETH MANUELA"/>
    <n v="46"/>
    <n v="0"/>
    <n v="2593807"/>
  </r>
  <r>
    <s v="Retail"/>
    <s v="Q084 - Santa Marta - Centro"/>
    <x v="0"/>
    <s v="octubre"/>
    <n v="7"/>
    <d v="2026-10-07T00:00:00"/>
    <m/>
    <m/>
    <n v="0"/>
    <n v="5302469"/>
    <n v="0"/>
  </r>
  <r>
    <s v="Retail"/>
    <s v="Q084 - Santa Marta - Centro"/>
    <x v="0"/>
    <s v="octubre"/>
    <n v="7"/>
    <d v="2026-10-07T00:00:00"/>
    <n v="1004274455"/>
    <s v="PÉREZ  GERALDINE"/>
    <n v="23"/>
    <n v="0"/>
    <n v="1257226"/>
  </r>
  <r>
    <s v="Retail"/>
    <s v="Q084 - Santa Marta - Centro"/>
    <x v="0"/>
    <s v="octubre"/>
    <n v="7"/>
    <d v="2026-10-07T00:00:00"/>
    <n v="1083011955"/>
    <s v="GUTIERREZ ARIAS HASBLEYDI"/>
    <n v="23"/>
    <n v="0"/>
    <n v="994539"/>
  </r>
  <r>
    <s v="Retail"/>
    <s v="Q084 - Santa Marta - Centro"/>
    <x v="0"/>
    <s v="octubre"/>
    <n v="7"/>
    <d v="2026-10-07T00:00:00"/>
    <n v="1083017921"/>
    <s v="ARIZA DAZA YURAINI PATRICIA"/>
    <n v="28"/>
    <n v="0"/>
    <n v="1427144"/>
  </r>
  <r>
    <s v="Retail"/>
    <s v="Q084 - Santa Marta - Centro"/>
    <x v="0"/>
    <s v="octubre"/>
    <n v="7"/>
    <d v="2026-10-07T00:00:00"/>
    <n v="1113858490"/>
    <s v="RAMIREZ SANCHEZ LIZETH MANUELA"/>
    <n v="32"/>
    <n v="0"/>
    <n v="1565715"/>
  </r>
  <r>
    <s v="Retail"/>
    <s v="Q092 - Cartagena - Cc San Fernando"/>
    <x v="0"/>
    <s v="septiembre"/>
    <n v="23"/>
    <d v="2026-09-23T00:00:00"/>
    <m/>
    <m/>
    <n v="0"/>
    <n v="8564110"/>
    <n v="0"/>
  </r>
  <r>
    <s v="Retail"/>
    <s v="Q092 - Cartagena - Cc San Fernando"/>
    <x v="0"/>
    <s v="septiembre"/>
    <n v="23"/>
    <d v="2026-09-23T00:00:00"/>
    <n v="73578286"/>
    <s v="SALCEDO GONZALEZ AMAURY ENRIQUE"/>
    <n v="82"/>
    <n v="0"/>
    <n v="4406179"/>
  </r>
  <r>
    <s v="Retail"/>
    <s v="Q092 - Cartagena - Cc San Fernando"/>
    <x v="0"/>
    <s v="septiembre"/>
    <n v="23"/>
    <d v="2026-09-23T00:00:00"/>
    <n v="1128057310"/>
    <s v="CARDENAS OLASCOAGA JARIT MILETH"/>
    <n v="27"/>
    <n v="0"/>
    <n v="1572312"/>
  </r>
  <r>
    <s v="Retail"/>
    <s v="Q092 - Cartagena - Cc San Fernando"/>
    <x v="0"/>
    <s v="septiembre"/>
    <n v="23"/>
    <d v="2026-09-23T00:00:00"/>
    <n v="1148693394"/>
    <s v="PAJARO ROENES MELISSA  ANDREA"/>
    <n v="79"/>
    <n v="0"/>
    <n v="3786349"/>
  </r>
  <r>
    <s v="Retail"/>
    <s v="Q092 - Cartagena - Cc San Fernando"/>
    <x v="0"/>
    <s v="septiembre"/>
    <n v="24"/>
    <d v="2026-09-24T00:00:00"/>
    <m/>
    <m/>
    <n v="0"/>
    <n v="13082642"/>
    <n v="0"/>
  </r>
  <r>
    <s v="Retail"/>
    <s v="Q092 - Cartagena - Cc San Fernando"/>
    <x v="0"/>
    <s v="septiembre"/>
    <n v="24"/>
    <d v="2026-09-24T00:00:00"/>
    <n v="73578286"/>
    <s v="SALCEDO GONZALEZ AMAURY ENRIQUE"/>
    <n v="129"/>
    <n v="0"/>
    <n v="6660380"/>
  </r>
  <r>
    <s v="Retail"/>
    <s v="Q092 - Cartagena - Cc San Fernando"/>
    <x v="0"/>
    <s v="septiembre"/>
    <n v="24"/>
    <d v="2026-09-24T00:00:00"/>
    <n v="1128057310"/>
    <s v="CARDENAS OLASCOAGA JARIT MILETH"/>
    <n v="42"/>
    <n v="0"/>
    <n v="1951975"/>
  </r>
  <r>
    <s v="Retail"/>
    <s v="Q092 - Cartagena - Cc San Fernando"/>
    <x v="0"/>
    <s v="septiembre"/>
    <n v="24"/>
    <d v="2026-09-24T00:00:00"/>
    <n v="1148693394"/>
    <s v="PAJARO ROENES MELISSA  ANDREA"/>
    <n v="62"/>
    <n v="0"/>
    <n v="3465394"/>
  </r>
  <r>
    <s v="Retail"/>
    <s v="Q092 - Cartagena - Cc San Fernando"/>
    <x v="0"/>
    <s v="septiembre"/>
    <n v="25"/>
    <d v="2026-09-25T00:00:00"/>
    <m/>
    <m/>
    <n v="0"/>
    <n v="13053683"/>
    <n v="0"/>
  </r>
  <r>
    <s v="Retail"/>
    <s v="Q092 - Cartagena - Cc San Fernando"/>
    <x v="0"/>
    <s v="septiembre"/>
    <n v="25"/>
    <d v="2026-09-25T00:00:00"/>
    <n v="73578286"/>
    <s v="SALCEDO GONZALEZ AMAURY ENRIQUE"/>
    <n v="87"/>
    <n v="0"/>
    <n v="4162314"/>
  </r>
  <r>
    <s v="Retail"/>
    <s v="Q092 - Cartagena - Cc San Fernando"/>
    <x v="0"/>
    <s v="septiembre"/>
    <n v="25"/>
    <d v="2026-09-25T00:00:00"/>
    <n v="1128057310"/>
    <s v="CARDENAS OLASCOAGA JARIT MILETH"/>
    <n v="41"/>
    <n v="0"/>
    <n v="2199919"/>
  </r>
  <r>
    <s v="Retail"/>
    <s v="Q092 - Cartagena - Cc San Fernando"/>
    <x v="0"/>
    <s v="septiembre"/>
    <n v="25"/>
    <d v="2026-09-25T00:00:00"/>
    <n v="1148693394"/>
    <s v="PAJARO ROENES MELISSA  ANDREA"/>
    <n v="72"/>
    <n v="0"/>
    <n v="3818241"/>
  </r>
  <r>
    <s v="Retail"/>
    <s v="Q092 - Cartagena - Cc San Fernando"/>
    <x v="0"/>
    <s v="septiembre"/>
    <n v="26"/>
    <d v="2026-09-26T00:00:00"/>
    <m/>
    <m/>
    <n v="0"/>
    <n v="18760014"/>
    <n v="0"/>
  </r>
  <r>
    <s v="Retail"/>
    <s v="Q092 - Cartagena - Cc San Fernando"/>
    <x v="0"/>
    <s v="septiembre"/>
    <n v="26"/>
    <d v="2026-09-26T00:00:00"/>
    <n v="73578286"/>
    <s v="SALCEDO GONZALEZ AMAURY ENRIQUE"/>
    <n v="76"/>
    <n v="0"/>
    <n v="4274035"/>
  </r>
  <r>
    <s v="Retail"/>
    <s v="Q092 - Cartagena - Cc San Fernando"/>
    <x v="0"/>
    <s v="septiembre"/>
    <n v="26"/>
    <d v="2026-09-26T00:00:00"/>
    <n v="1128057310"/>
    <s v="CARDENAS OLASCOAGA JARIT MILETH"/>
    <n v="40"/>
    <n v="0"/>
    <n v="2221011"/>
  </r>
  <r>
    <s v="Retail"/>
    <s v="Q092 - Cartagena - Cc San Fernando"/>
    <x v="0"/>
    <s v="septiembre"/>
    <n v="26"/>
    <d v="2026-09-26T00:00:00"/>
    <n v="1148693394"/>
    <s v="PAJARO ROENES MELISSA  ANDREA"/>
    <n v="76"/>
    <n v="0"/>
    <n v="3795089"/>
  </r>
  <r>
    <s v="Retail"/>
    <s v="Q092 - Cartagena - Cc San Fernando"/>
    <x v="0"/>
    <s v="septiembre"/>
    <n v="27"/>
    <d v="2026-09-27T00:00:00"/>
    <m/>
    <m/>
    <n v="0"/>
    <n v="14861710"/>
    <n v="0"/>
  </r>
  <r>
    <s v="Retail"/>
    <s v="Q092 - Cartagena - Cc San Fernando"/>
    <x v="0"/>
    <s v="septiembre"/>
    <n v="27"/>
    <d v="2026-09-27T00:00:00"/>
    <n v="73578286"/>
    <s v="SALCEDO GONZALEZ AMAURY ENRIQUE"/>
    <n v="88"/>
    <n v="0"/>
    <n v="4567524"/>
  </r>
  <r>
    <s v="Retail"/>
    <s v="Q092 - Cartagena - Cc San Fernando"/>
    <x v="0"/>
    <s v="septiembre"/>
    <n v="27"/>
    <d v="2026-09-27T00:00:00"/>
    <n v="1128057310"/>
    <s v="CARDENAS OLASCOAGA JARIT MILETH"/>
    <n v="66"/>
    <n v="0"/>
    <n v="3064459"/>
  </r>
  <r>
    <s v="Retail"/>
    <s v="Q092 - Cartagena - Cc San Fernando"/>
    <x v="0"/>
    <s v="septiembre"/>
    <n v="27"/>
    <d v="2026-09-27T00:00:00"/>
    <n v="1148693394"/>
    <s v="PAJARO ROENES MELISSA  ANDREA"/>
    <n v="75"/>
    <n v="0"/>
    <n v="3990506"/>
  </r>
  <r>
    <s v="Retail"/>
    <s v="Q092 - Cartagena - Cc San Fernando"/>
    <x v="0"/>
    <s v="septiembre"/>
    <n v="28"/>
    <d v="2026-09-28T00:00:00"/>
    <m/>
    <m/>
    <n v="0"/>
    <n v="8179274"/>
    <n v="0"/>
  </r>
  <r>
    <s v="Retail"/>
    <s v="Q092 - Cartagena - Cc San Fernando"/>
    <x v="0"/>
    <s v="septiembre"/>
    <n v="28"/>
    <d v="2026-09-28T00:00:00"/>
    <n v="73578286"/>
    <s v="SALCEDO GONZALEZ AMAURY ENRIQUE"/>
    <n v="70"/>
    <n v="0"/>
    <n v="4005427"/>
  </r>
  <r>
    <s v="Retail"/>
    <s v="Q092 - Cartagena - Cc San Fernando"/>
    <x v="0"/>
    <s v="septiembre"/>
    <n v="28"/>
    <d v="2026-09-28T00:00:00"/>
    <n v="1007740486"/>
    <s v="LARA CASTRO ROSA ANGELICA"/>
    <n v="-1"/>
    <n v="0"/>
    <n v="-46177"/>
  </r>
  <r>
    <s v="Retail"/>
    <s v="Q092 - Cartagena - Cc San Fernando"/>
    <x v="0"/>
    <s v="septiembre"/>
    <n v="28"/>
    <d v="2026-09-28T00:00:00"/>
    <n v="1128057310"/>
    <s v="CARDENAS OLASCOAGA JARIT MILETH"/>
    <n v="47"/>
    <n v="0"/>
    <n v="2346724"/>
  </r>
  <r>
    <s v="Retail"/>
    <s v="Q092 - Cartagena - Cc San Fernando"/>
    <x v="0"/>
    <s v="septiembre"/>
    <n v="28"/>
    <d v="2026-09-28T00:00:00"/>
    <n v="1148693394"/>
    <s v="PAJARO ROENES MELISSA  ANDREA"/>
    <n v="40"/>
    <n v="0"/>
    <n v="2111683"/>
  </r>
  <r>
    <s v="Retail"/>
    <s v="Q092 - Cartagena - Cc San Fernando"/>
    <x v="0"/>
    <s v="septiembre"/>
    <n v="29"/>
    <d v="2026-09-29T00:00:00"/>
    <m/>
    <m/>
    <n v="0"/>
    <n v="8737069"/>
    <n v="0"/>
  </r>
  <r>
    <s v="Retail"/>
    <s v="Q092 - Cartagena - Cc San Fernando"/>
    <x v="0"/>
    <s v="septiembre"/>
    <n v="29"/>
    <d v="2026-09-29T00:00:00"/>
    <n v="73578286"/>
    <s v="SALCEDO GONZALEZ AMAURY ENRIQUE"/>
    <n v="57"/>
    <n v="0"/>
    <n v="2913534"/>
  </r>
  <r>
    <s v="Retail"/>
    <s v="Q092 - Cartagena - Cc San Fernando"/>
    <x v="0"/>
    <s v="septiembre"/>
    <n v="29"/>
    <d v="2026-09-29T00:00:00"/>
    <n v="1128057310"/>
    <s v="CARDENAS OLASCOAGA JARIT MILETH"/>
    <n v="24"/>
    <n v="0"/>
    <n v="1314037"/>
  </r>
  <r>
    <s v="Retail"/>
    <s v="Q092 - Cartagena - Cc San Fernando"/>
    <x v="0"/>
    <s v="septiembre"/>
    <n v="29"/>
    <d v="2026-09-29T00:00:00"/>
    <n v="1148693394"/>
    <s v="PAJARO ROENES MELISSA  ANDREA"/>
    <n v="32"/>
    <n v="0"/>
    <n v="1790548"/>
  </r>
  <r>
    <s v="Retail"/>
    <s v="Q092 - Cartagena - Cc San Fernando"/>
    <x v="0"/>
    <s v="septiembre"/>
    <n v="30"/>
    <d v="2026-09-30T00:00:00"/>
    <m/>
    <m/>
    <n v="0"/>
    <n v="9025544"/>
    <n v="0"/>
  </r>
  <r>
    <s v="Retail"/>
    <s v="Q092 - Cartagena - Cc San Fernando"/>
    <x v="0"/>
    <s v="septiembre"/>
    <n v="30"/>
    <d v="2026-09-30T00:00:00"/>
    <n v="73578286"/>
    <s v="SALCEDO GONZALEZ AMAURY ENRIQUE"/>
    <n v="65"/>
    <n v="0"/>
    <n v="3503579"/>
  </r>
  <r>
    <s v="Retail"/>
    <s v="Q092 - Cartagena - Cc San Fernando"/>
    <x v="0"/>
    <s v="septiembre"/>
    <n v="30"/>
    <d v="2026-09-30T00:00:00"/>
    <n v="1128057310"/>
    <s v="CARDENAS OLASCOAGA JARIT MILETH"/>
    <n v="28"/>
    <n v="0"/>
    <n v="1460971"/>
  </r>
  <r>
    <s v="Retail"/>
    <s v="Q092 - Cartagena - Cc San Fernando"/>
    <x v="0"/>
    <s v="septiembre"/>
    <n v="30"/>
    <d v="2026-09-30T00:00:00"/>
    <n v="1148693394"/>
    <s v="PAJARO ROENES MELISSA  ANDREA"/>
    <n v="1"/>
    <n v="0"/>
    <n v="33572"/>
  </r>
  <r>
    <s v="Retail"/>
    <s v="Q092 - Cartagena - Cc San Fernando"/>
    <x v="0"/>
    <s v="octubre"/>
    <n v="1"/>
    <d v="2026-10-01T00:00:00"/>
    <m/>
    <m/>
    <n v="0"/>
    <n v="9791164"/>
    <n v="0"/>
  </r>
  <r>
    <s v="Retail"/>
    <s v="Q092 - Cartagena - Cc San Fernando"/>
    <x v="0"/>
    <s v="octubre"/>
    <n v="1"/>
    <d v="2026-10-01T00:00:00"/>
    <n v="73578286"/>
    <s v="SALCEDO GONZALEZ AMAURY ENRIQUE"/>
    <n v="70"/>
    <n v="0"/>
    <n v="4110128"/>
  </r>
  <r>
    <s v="Retail"/>
    <s v="Q092 - Cartagena - Cc San Fernando"/>
    <x v="0"/>
    <s v="octubre"/>
    <n v="1"/>
    <d v="2026-10-01T00:00:00"/>
    <n v="1047439766"/>
    <s v="SALAZAR PEREZ LUISA MARIA"/>
    <n v="-1"/>
    <n v="0"/>
    <n v="-62983"/>
  </r>
  <r>
    <s v="Retail"/>
    <s v="Q092 - Cartagena - Cc San Fernando"/>
    <x v="0"/>
    <s v="octubre"/>
    <n v="1"/>
    <d v="2026-10-01T00:00:00"/>
    <n v="1128057310"/>
    <s v="CARDENAS OLASCOAGA JARIT MILETH"/>
    <n v="47"/>
    <n v="0"/>
    <n v="2519039"/>
  </r>
  <r>
    <s v="Retail"/>
    <s v="Q092 - Cartagena - Cc San Fernando"/>
    <x v="0"/>
    <s v="octubre"/>
    <n v="1"/>
    <d v="2026-10-01T00:00:00"/>
    <n v="1148693394"/>
    <s v="PAJARO ROENES MELISSA  ANDREA"/>
    <n v="71"/>
    <n v="0"/>
    <n v="3728028"/>
  </r>
  <r>
    <s v="Retail"/>
    <s v="Q092 - Cartagena - Cc San Fernando"/>
    <x v="0"/>
    <s v="octubre"/>
    <n v="2"/>
    <d v="2026-10-02T00:00:00"/>
    <m/>
    <m/>
    <n v="0"/>
    <n v="11841238"/>
    <n v="0"/>
  </r>
  <r>
    <s v="Retail"/>
    <s v="Q092 - Cartagena - Cc San Fernando"/>
    <x v="0"/>
    <s v="octubre"/>
    <n v="2"/>
    <d v="2026-10-02T00:00:00"/>
    <n v="73578286"/>
    <s v="SALCEDO GONZALEZ AMAURY ENRIQUE"/>
    <n v="66"/>
    <n v="0"/>
    <n v="3688281"/>
  </r>
  <r>
    <s v="Retail"/>
    <s v="Q092 - Cartagena - Cc San Fernando"/>
    <x v="0"/>
    <s v="octubre"/>
    <n v="2"/>
    <d v="2026-10-02T00:00:00"/>
    <n v="1002249169"/>
    <s v="PAJARO REYES KAREN PAMELA"/>
    <n v="-1"/>
    <n v="0"/>
    <n v="-75588"/>
  </r>
  <r>
    <s v="Retail"/>
    <s v="Q092 - Cartagena - Cc San Fernando"/>
    <x v="0"/>
    <s v="octubre"/>
    <n v="2"/>
    <d v="2026-10-02T00:00:00"/>
    <n v="1128057310"/>
    <s v="CARDENAS OLASCOAGA JARIT MILETH"/>
    <n v="38"/>
    <n v="0"/>
    <n v="1876431"/>
  </r>
  <r>
    <s v="Retail"/>
    <s v="Q092 - Cartagena - Cc San Fernando"/>
    <x v="0"/>
    <s v="octubre"/>
    <n v="2"/>
    <d v="2026-10-02T00:00:00"/>
    <n v="1148693394"/>
    <s v="PAJARO ROENES MELISSA  ANDREA"/>
    <n v="58"/>
    <n v="0"/>
    <n v="3636138"/>
  </r>
  <r>
    <s v="Retail"/>
    <s v="Q092 - Cartagena - Cc San Fernando"/>
    <x v="0"/>
    <s v="octubre"/>
    <n v="3"/>
    <d v="2026-10-03T00:00:00"/>
    <m/>
    <m/>
    <n v="0"/>
    <n v="13755777"/>
    <n v="0"/>
  </r>
  <r>
    <s v="Retail"/>
    <s v="Q092 - Cartagena - Cc San Fernando"/>
    <x v="0"/>
    <s v="octubre"/>
    <n v="3"/>
    <d v="2026-10-03T00:00:00"/>
    <n v="45691762"/>
    <s v="MACOTT MARRUGO ELVIA MILENA"/>
    <n v="-1"/>
    <n v="0"/>
    <n v="-50336"/>
  </r>
  <r>
    <s v="Retail"/>
    <s v="Q092 - Cartagena - Cc San Fernando"/>
    <x v="0"/>
    <s v="octubre"/>
    <n v="3"/>
    <d v="2026-10-03T00:00:00"/>
    <n v="73578286"/>
    <s v="SALCEDO GONZALEZ AMAURY ENRIQUE"/>
    <n v="56"/>
    <n v="0"/>
    <n v="2986089"/>
  </r>
  <r>
    <s v="Retail"/>
    <s v="Q092 - Cartagena - Cc San Fernando"/>
    <x v="0"/>
    <s v="octubre"/>
    <n v="3"/>
    <d v="2026-10-03T00:00:00"/>
    <n v="1047465660"/>
    <s v="SABALZA HERRERA STEFANI PAOLA"/>
    <n v="-2"/>
    <n v="0"/>
    <n v="-100672"/>
  </r>
  <r>
    <s v="Retail"/>
    <s v="Q092 - Cartagena - Cc San Fernando"/>
    <x v="0"/>
    <s v="octubre"/>
    <n v="3"/>
    <d v="2026-10-03T00:00:00"/>
    <n v="1128057310"/>
    <s v="CARDENAS OLASCOAGA JARIT MILETH"/>
    <n v="54"/>
    <n v="0"/>
    <n v="2770726"/>
  </r>
  <r>
    <s v="Retail"/>
    <s v="Q092 - Cartagena - Cc San Fernando"/>
    <x v="0"/>
    <s v="octubre"/>
    <n v="3"/>
    <d v="2026-10-03T00:00:00"/>
    <n v="1148693394"/>
    <s v="PAJARO ROENES MELISSA  ANDREA"/>
    <n v="66"/>
    <n v="0"/>
    <n v="3350910"/>
  </r>
  <r>
    <s v="Retail"/>
    <s v="Q092 - Cartagena - Cc San Fernando"/>
    <x v="0"/>
    <s v="octubre"/>
    <n v="4"/>
    <d v="2026-10-04T00:00:00"/>
    <m/>
    <m/>
    <n v="0"/>
    <n v="10042743"/>
    <n v="0"/>
  </r>
  <r>
    <s v="Retail"/>
    <s v="Q092 - Cartagena - Cc San Fernando"/>
    <x v="0"/>
    <s v="octubre"/>
    <n v="4"/>
    <d v="2026-10-04T00:00:00"/>
    <n v="73578286"/>
    <s v="SALCEDO GONZALEZ AMAURY ENRIQUE"/>
    <n v="42"/>
    <n v="0"/>
    <n v="2342650"/>
  </r>
  <r>
    <s v="Retail"/>
    <s v="Q092 - Cartagena - Cc San Fernando"/>
    <x v="0"/>
    <s v="octubre"/>
    <n v="4"/>
    <d v="2026-10-04T00:00:00"/>
    <n v="1128057310"/>
    <s v="CARDENAS OLASCOAGA JARIT MILETH"/>
    <n v="27"/>
    <n v="0"/>
    <n v="1465210"/>
  </r>
  <r>
    <s v="Retail"/>
    <s v="Q092 - Cartagena - Cc San Fernando"/>
    <x v="0"/>
    <s v="octubre"/>
    <n v="4"/>
    <d v="2026-10-04T00:00:00"/>
    <n v="1148693394"/>
    <s v="PAJARO ROENES MELISSA  ANDREA"/>
    <n v="45"/>
    <n v="0"/>
    <n v="2401348"/>
  </r>
  <r>
    <s v="Retail"/>
    <s v="Q092 - Cartagena - Cc San Fernando"/>
    <x v="0"/>
    <s v="octubre"/>
    <n v="5"/>
    <d v="2026-10-05T00:00:00"/>
    <m/>
    <m/>
    <n v="0"/>
    <n v="11355041"/>
    <n v="0"/>
  </r>
  <r>
    <s v="Retail"/>
    <s v="Q092 - Cartagena - Cc San Fernando"/>
    <x v="0"/>
    <s v="octubre"/>
    <n v="5"/>
    <d v="2026-10-05T00:00:00"/>
    <n v="73578286"/>
    <s v="SALCEDO GONZALEZ AMAURY ENRIQUE"/>
    <n v="55"/>
    <n v="0"/>
    <n v="3005666"/>
  </r>
  <r>
    <s v="Retail"/>
    <s v="Q092 - Cartagena - Cc San Fernando"/>
    <x v="0"/>
    <s v="octubre"/>
    <n v="5"/>
    <d v="2026-10-05T00:00:00"/>
    <n v="1128057310"/>
    <s v="CARDENAS OLASCOAGA JARIT MILETH"/>
    <n v="31"/>
    <n v="0"/>
    <n v="2002902"/>
  </r>
  <r>
    <s v="Retail"/>
    <s v="Q092 - Cartagena - Cc San Fernando"/>
    <x v="0"/>
    <s v="octubre"/>
    <n v="5"/>
    <d v="2026-10-05T00:00:00"/>
    <n v="1148693394"/>
    <s v="PAJARO ROENES MELISSA  ANDREA"/>
    <n v="63"/>
    <n v="0"/>
    <n v="3417445"/>
  </r>
  <r>
    <s v="Retail"/>
    <s v="Q092 - Cartagena - Cc San Fernando"/>
    <x v="0"/>
    <s v="octubre"/>
    <n v="6"/>
    <d v="2026-10-06T00:00:00"/>
    <m/>
    <m/>
    <n v="0"/>
    <n v="5602986"/>
    <n v="0"/>
  </r>
  <r>
    <s v="Retail"/>
    <s v="Q092 - Cartagena - Cc San Fernando"/>
    <x v="0"/>
    <s v="octubre"/>
    <n v="6"/>
    <d v="2026-10-06T00:00:00"/>
    <n v="73578286"/>
    <s v="SALCEDO GONZALEZ AMAURY ENRIQUE"/>
    <n v="35"/>
    <n v="0"/>
    <n v="1908153"/>
  </r>
  <r>
    <s v="Retail"/>
    <s v="Q092 - Cartagena - Cc San Fernando"/>
    <x v="0"/>
    <s v="octubre"/>
    <n v="6"/>
    <d v="2026-10-06T00:00:00"/>
    <n v="1047480286"/>
    <s v="MARIMON POMBO  YONAICER"/>
    <n v="-1"/>
    <n v="0"/>
    <n v="-109202"/>
  </r>
  <r>
    <s v="Retail"/>
    <s v="Q092 - Cartagena - Cc San Fernando"/>
    <x v="0"/>
    <s v="octubre"/>
    <n v="6"/>
    <d v="2026-10-06T00:00:00"/>
    <n v="1128057310"/>
    <s v="CARDENAS OLASCOAGA JARIT MILETH"/>
    <n v="10"/>
    <n v="0"/>
    <n v="619329"/>
  </r>
  <r>
    <s v="Retail"/>
    <s v="Q092 - Cartagena - Cc San Fernando"/>
    <x v="0"/>
    <s v="octubre"/>
    <n v="6"/>
    <d v="2026-10-06T00:00:00"/>
    <n v="1148693394"/>
    <s v="PAJARO ROENES MELISSA  ANDREA"/>
    <n v="18"/>
    <n v="0"/>
    <n v="1028614"/>
  </r>
  <r>
    <s v="Retail"/>
    <s v="Q092 - Cartagena - Cc San Fernando"/>
    <x v="0"/>
    <s v="octubre"/>
    <n v="7"/>
    <d v="2026-10-07T00:00:00"/>
    <m/>
    <m/>
    <n v="0"/>
    <n v="5544150"/>
    <n v="0"/>
  </r>
  <r>
    <s v="Retail"/>
    <s v="Q092 - Cartagena - Cc San Fernando"/>
    <x v="0"/>
    <s v="octubre"/>
    <n v="7"/>
    <d v="2026-10-07T00:00:00"/>
    <n v="73578286"/>
    <s v="SALCEDO GONZALEZ AMAURY ENRIQUE"/>
    <n v="27"/>
    <n v="0"/>
    <n v="1666848"/>
  </r>
  <r>
    <s v="Retail"/>
    <s v="Q092 - Cartagena - Cc San Fernando"/>
    <x v="0"/>
    <s v="octubre"/>
    <n v="7"/>
    <d v="2026-10-07T00:00:00"/>
    <n v="1067882225"/>
    <s v="PENA PATERNINA MARIA ANGELICA"/>
    <n v="-1"/>
    <n v="0"/>
    <n v="-71386"/>
  </r>
  <r>
    <s v="Retail"/>
    <s v="Q092 - Cartagena - Cc San Fernando"/>
    <x v="0"/>
    <s v="octubre"/>
    <n v="7"/>
    <d v="2026-10-07T00:00:00"/>
    <n v="1128057310"/>
    <s v="CARDENAS OLASCOAGA JARIT MILETH"/>
    <n v="21"/>
    <n v="0"/>
    <n v="961304"/>
  </r>
  <r>
    <s v="Retail"/>
    <s v="Q092 - Cartagena - Cc San Fernando"/>
    <x v="0"/>
    <s v="octubre"/>
    <n v="7"/>
    <d v="2026-10-07T00:00:00"/>
    <n v="1148693394"/>
    <s v="PAJARO ROENES MELISSA  ANDREA"/>
    <n v="32"/>
    <n v="0"/>
    <n v="1679247"/>
  </r>
  <r>
    <s v="Retail"/>
    <s v="Q106 - Soledad - Cc Nuestro Atlantico"/>
    <x v="0"/>
    <s v="septiembre"/>
    <n v="23"/>
    <d v="2026-09-23T00:00:00"/>
    <m/>
    <m/>
    <n v="0"/>
    <n v="12964302"/>
    <n v="0"/>
  </r>
  <r>
    <s v="Retail"/>
    <s v="Q106 - Soledad - Cc Nuestro Atlantico"/>
    <x v="0"/>
    <s v="septiembre"/>
    <n v="23"/>
    <d v="2026-09-23T00:00:00"/>
    <n v="1001820021"/>
    <s v="REBOLLEDO  KENDRY"/>
    <n v="41"/>
    <n v="0"/>
    <n v="2391052"/>
  </r>
  <r>
    <s v="Retail"/>
    <s v="Q106 - Soledad - Cc Nuestro Atlantico"/>
    <x v="0"/>
    <s v="septiembre"/>
    <n v="23"/>
    <d v="2026-09-23T00:00:00"/>
    <n v="1045756535"/>
    <s v="BENAVIDES ALBARRACIN JUSLEIDYS"/>
    <n v="71"/>
    <n v="0"/>
    <n v="3667189"/>
  </r>
  <r>
    <s v="Retail"/>
    <s v="Q106 - Soledad - Cc Nuestro Atlantico"/>
    <x v="0"/>
    <s v="septiembre"/>
    <n v="23"/>
    <d v="2026-09-23T00:00:00"/>
    <n v="1234093311"/>
    <s v="BOLAÑO SANCHEZ SHIRLEY DAYANNA"/>
    <n v="90"/>
    <n v="0"/>
    <n v="4996137"/>
  </r>
  <r>
    <s v="Retail"/>
    <s v="Q106 - Soledad - Cc Nuestro Atlantico"/>
    <x v="0"/>
    <s v="septiembre"/>
    <n v="24"/>
    <d v="2026-09-24T00:00:00"/>
    <m/>
    <m/>
    <n v="0"/>
    <n v="19804427"/>
    <n v="0"/>
  </r>
  <r>
    <s v="Retail"/>
    <s v="Q106 - Soledad - Cc Nuestro Atlantico"/>
    <x v="0"/>
    <s v="septiembre"/>
    <n v="24"/>
    <d v="2026-09-24T00:00:00"/>
    <n v="1001820021"/>
    <s v="REBOLLEDO  KENDRY"/>
    <n v="64"/>
    <n v="0"/>
    <n v="3263829"/>
  </r>
  <r>
    <s v="Retail"/>
    <s v="Q106 - Soledad - Cc Nuestro Atlantico"/>
    <x v="0"/>
    <s v="septiembre"/>
    <n v="24"/>
    <d v="2026-09-24T00:00:00"/>
    <n v="1045756535"/>
    <s v="BENAVIDES ALBARRACIN JUSLEIDYS"/>
    <n v="121"/>
    <n v="0"/>
    <n v="6288833"/>
  </r>
  <r>
    <s v="Retail"/>
    <s v="Q106 - Soledad - Cc Nuestro Atlantico"/>
    <x v="0"/>
    <s v="septiembre"/>
    <n v="24"/>
    <d v="2026-09-24T00:00:00"/>
    <n v="1234093311"/>
    <s v="BOLAÑO SANCHEZ SHIRLEY DAYANNA"/>
    <n v="74"/>
    <n v="0"/>
    <n v="4009417"/>
  </r>
  <r>
    <s v="Retail"/>
    <s v="Q106 - Soledad - Cc Nuestro Atlantico"/>
    <x v="0"/>
    <s v="septiembre"/>
    <n v="25"/>
    <d v="2026-09-25T00:00:00"/>
    <m/>
    <m/>
    <n v="0"/>
    <n v="19760587"/>
    <n v="0"/>
  </r>
  <r>
    <s v="Retail"/>
    <s v="Q106 - Soledad - Cc Nuestro Atlantico"/>
    <x v="0"/>
    <s v="septiembre"/>
    <n v="25"/>
    <d v="2026-09-25T00:00:00"/>
    <n v="1001820021"/>
    <s v="REBOLLEDO  KENDRY"/>
    <n v="87"/>
    <n v="0"/>
    <n v="4340593"/>
  </r>
  <r>
    <s v="Retail"/>
    <s v="Q106 - Soledad - Cc Nuestro Atlantico"/>
    <x v="0"/>
    <s v="septiembre"/>
    <n v="25"/>
    <d v="2026-09-25T00:00:00"/>
    <n v="1045756535"/>
    <s v="BENAVIDES ALBARRACIN JUSLEIDYS"/>
    <n v="67"/>
    <n v="0"/>
    <n v="3694541"/>
  </r>
  <r>
    <s v="Retail"/>
    <s v="Q106 - Soledad - Cc Nuestro Atlantico"/>
    <x v="0"/>
    <s v="septiembre"/>
    <n v="25"/>
    <d v="2026-09-25T00:00:00"/>
    <n v="1234093311"/>
    <s v="BOLAÑO SANCHEZ SHIRLEY DAYANNA"/>
    <n v="108"/>
    <n v="0"/>
    <n v="5871350"/>
  </r>
  <r>
    <s v="Retail"/>
    <s v="Q106 - Soledad - Cc Nuestro Atlantico"/>
    <x v="0"/>
    <s v="septiembre"/>
    <n v="26"/>
    <d v="2026-09-26T00:00:00"/>
    <m/>
    <m/>
    <n v="0"/>
    <n v="28398802"/>
    <n v="0"/>
  </r>
  <r>
    <s v="Retail"/>
    <s v="Q106 - Soledad - Cc Nuestro Atlantico"/>
    <x v="0"/>
    <s v="septiembre"/>
    <n v="26"/>
    <d v="2026-09-26T00:00:00"/>
    <n v="1001820021"/>
    <s v="REBOLLEDO  KENDRY"/>
    <n v="99"/>
    <n v="0"/>
    <n v="5230806"/>
  </r>
  <r>
    <s v="Retail"/>
    <s v="Q106 - Soledad - Cc Nuestro Atlantico"/>
    <x v="0"/>
    <s v="septiembre"/>
    <n v="26"/>
    <d v="2026-09-26T00:00:00"/>
    <n v="1045756535"/>
    <s v="BENAVIDES ALBARRACIN JUSLEIDYS"/>
    <n v="203"/>
    <n v="0"/>
    <n v="10354168"/>
  </r>
  <r>
    <s v="Retail"/>
    <s v="Q106 - Soledad - Cc Nuestro Atlantico"/>
    <x v="0"/>
    <s v="septiembre"/>
    <n v="26"/>
    <d v="2026-09-26T00:00:00"/>
    <n v="1234093311"/>
    <s v="BOLAÑO SANCHEZ SHIRLEY DAYANNA"/>
    <n v="158"/>
    <n v="0"/>
    <n v="8634834"/>
  </r>
  <r>
    <s v="Retail"/>
    <s v="Q106 - Soledad - Cc Nuestro Atlantico"/>
    <x v="0"/>
    <s v="septiembre"/>
    <n v="27"/>
    <d v="2026-09-27T00:00:00"/>
    <m/>
    <m/>
    <n v="0"/>
    <n v="22497569"/>
    <n v="0"/>
  </r>
  <r>
    <s v="Retail"/>
    <s v="Q106 - Soledad - Cc Nuestro Atlantico"/>
    <x v="0"/>
    <s v="septiembre"/>
    <n v="27"/>
    <d v="2026-09-27T00:00:00"/>
    <n v="1001820021"/>
    <s v="REBOLLEDO  KENDRY"/>
    <n v="62"/>
    <n v="0"/>
    <n v="2818156"/>
  </r>
  <r>
    <s v="Retail"/>
    <s v="Q106 - Soledad - Cc Nuestro Atlantico"/>
    <x v="0"/>
    <s v="septiembre"/>
    <n v="27"/>
    <d v="2026-09-27T00:00:00"/>
    <n v="1045756535"/>
    <s v="BENAVIDES ALBARRACIN JUSLEIDYS"/>
    <n v="87"/>
    <n v="0"/>
    <n v="4619876"/>
  </r>
  <r>
    <s v="Retail"/>
    <s v="Q106 - Soledad - Cc Nuestro Atlantico"/>
    <x v="0"/>
    <s v="septiembre"/>
    <n v="27"/>
    <d v="2026-09-27T00:00:00"/>
    <n v="1234093311"/>
    <s v="BOLAÑO SANCHEZ SHIRLEY DAYANNA"/>
    <n v="85"/>
    <n v="0"/>
    <n v="4550679"/>
  </r>
  <r>
    <s v="Retail"/>
    <s v="Q106 - Soledad - Cc Nuestro Atlantico"/>
    <x v="0"/>
    <s v="septiembre"/>
    <n v="28"/>
    <d v="2026-09-28T00:00:00"/>
    <m/>
    <m/>
    <n v="0"/>
    <n v="12381737"/>
    <n v="0"/>
  </r>
  <r>
    <s v="Retail"/>
    <s v="Q106 - Soledad - Cc Nuestro Atlantico"/>
    <x v="0"/>
    <s v="septiembre"/>
    <n v="28"/>
    <d v="2026-09-28T00:00:00"/>
    <n v="1001820021"/>
    <s v="REBOLLEDO  KENDRY"/>
    <n v="17"/>
    <n v="0"/>
    <n v="616683"/>
  </r>
  <r>
    <s v="Retail"/>
    <s v="Q106 - Soledad - Cc Nuestro Atlantico"/>
    <x v="0"/>
    <s v="septiembre"/>
    <n v="28"/>
    <d v="2026-09-28T00:00:00"/>
    <n v="1045756535"/>
    <s v="BENAVIDES ALBARRACIN JUSLEIDYS"/>
    <n v="79"/>
    <n v="0"/>
    <n v="3065174"/>
  </r>
  <r>
    <s v="Retail"/>
    <s v="Q106 - Soledad - Cc Nuestro Atlantico"/>
    <x v="0"/>
    <s v="septiembre"/>
    <n v="28"/>
    <d v="2026-09-28T00:00:00"/>
    <n v="1234093311"/>
    <s v="BOLAÑO SANCHEZ SHIRLEY DAYANNA"/>
    <n v="39"/>
    <n v="0"/>
    <n v="1931094"/>
  </r>
  <r>
    <s v="Retail"/>
    <s v="Q106 - Soledad - Cc Nuestro Atlantico"/>
    <x v="0"/>
    <s v="septiembre"/>
    <n v="29"/>
    <d v="2026-09-29T00:00:00"/>
    <m/>
    <m/>
    <n v="0"/>
    <n v="13226119"/>
    <n v="0"/>
  </r>
  <r>
    <s v="Retail"/>
    <s v="Q106 - Soledad - Cc Nuestro Atlantico"/>
    <x v="0"/>
    <s v="septiembre"/>
    <n v="29"/>
    <d v="2026-09-29T00:00:00"/>
    <n v="1001820021"/>
    <s v="REBOLLEDO  KENDRY"/>
    <n v="27"/>
    <n v="0"/>
    <n v="1351809"/>
  </r>
  <r>
    <s v="Retail"/>
    <s v="Q106 - Soledad - Cc Nuestro Atlantico"/>
    <x v="0"/>
    <s v="septiembre"/>
    <n v="29"/>
    <d v="2026-09-29T00:00:00"/>
    <n v="1045756535"/>
    <s v="BENAVIDES ALBARRACIN JUSLEIDYS"/>
    <n v="78"/>
    <n v="0"/>
    <n v="3699917"/>
  </r>
  <r>
    <s v="Retail"/>
    <s v="Q106 - Soledad - Cc Nuestro Atlantico"/>
    <x v="0"/>
    <s v="septiembre"/>
    <n v="29"/>
    <d v="2026-09-29T00:00:00"/>
    <n v="1234093311"/>
    <s v="BOLAÑO SANCHEZ SHIRLEY DAYANNA"/>
    <n v="51"/>
    <n v="0"/>
    <n v="2459708"/>
  </r>
  <r>
    <s v="Retail"/>
    <s v="Q106 - Soledad - Cc Nuestro Atlantico"/>
    <x v="0"/>
    <s v="septiembre"/>
    <n v="30"/>
    <d v="2026-09-30T00:00:00"/>
    <m/>
    <m/>
    <n v="0"/>
    <n v="13662818"/>
    <n v="0"/>
  </r>
  <r>
    <s v="Retail"/>
    <s v="Q106 - Soledad - Cc Nuestro Atlantico"/>
    <x v="0"/>
    <s v="septiembre"/>
    <n v="30"/>
    <d v="2026-09-30T00:00:00"/>
    <n v="1001820021"/>
    <s v="REBOLLEDO  KENDRY"/>
    <n v="52"/>
    <n v="0"/>
    <n v="2394585"/>
  </r>
  <r>
    <s v="Retail"/>
    <s v="Q106 - Soledad - Cc Nuestro Atlantico"/>
    <x v="0"/>
    <s v="septiembre"/>
    <n v="30"/>
    <d v="2026-09-30T00:00:00"/>
    <n v="1045756535"/>
    <s v="BENAVIDES ALBARRACIN JUSLEIDYS"/>
    <n v="39"/>
    <n v="0"/>
    <n v="1998320"/>
  </r>
  <r>
    <s v="Retail"/>
    <s v="Q106 - Soledad - Cc Nuestro Atlantico"/>
    <x v="0"/>
    <s v="septiembre"/>
    <n v="30"/>
    <d v="2026-09-30T00:00:00"/>
    <n v="1234093311"/>
    <s v="BOLAÑO SANCHEZ SHIRLEY DAYANNA"/>
    <n v="77"/>
    <n v="0"/>
    <n v="3790635"/>
  </r>
  <r>
    <s v="Retail"/>
    <s v="Q106 - Soledad - Cc Nuestro Atlantico"/>
    <x v="0"/>
    <s v="octubre"/>
    <n v="1"/>
    <d v="2026-10-01T00:00:00"/>
    <m/>
    <m/>
    <n v="0"/>
    <n v="14170073"/>
    <n v="0"/>
  </r>
  <r>
    <s v="Retail"/>
    <s v="Q106 - Soledad - Cc Nuestro Atlantico"/>
    <x v="0"/>
    <s v="octubre"/>
    <n v="1"/>
    <d v="2026-10-01T00:00:00"/>
    <n v="1001820021"/>
    <s v="REBOLLEDO  KENDRY"/>
    <n v="31"/>
    <n v="0"/>
    <n v="1244039"/>
  </r>
  <r>
    <s v="Retail"/>
    <s v="Q106 - Soledad - Cc Nuestro Atlantico"/>
    <x v="0"/>
    <s v="octubre"/>
    <n v="1"/>
    <d v="2026-10-01T00:00:00"/>
    <n v="1045756535"/>
    <s v="BENAVIDES ALBARRACIN JUSLEIDYS"/>
    <n v="104"/>
    <n v="0"/>
    <n v="5035092"/>
  </r>
  <r>
    <s v="Retail"/>
    <s v="Q106 - Soledad - Cc Nuestro Atlantico"/>
    <x v="0"/>
    <s v="octubre"/>
    <n v="1"/>
    <d v="2026-10-01T00:00:00"/>
    <n v="1234093311"/>
    <s v="BOLAÑO SANCHEZ SHIRLEY DAYANNA"/>
    <n v="105"/>
    <n v="0"/>
    <n v="5076857"/>
  </r>
  <r>
    <s v="Retail"/>
    <s v="Q106 - Soledad - Cc Nuestro Atlantico"/>
    <x v="0"/>
    <s v="octubre"/>
    <n v="2"/>
    <d v="2026-10-02T00:00:00"/>
    <m/>
    <m/>
    <n v="0"/>
    <n v="9478624"/>
    <n v="0"/>
  </r>
  <r>
    <s v="Retail"/>
    <s v="Q106 - Soledad - Cc Nuestro Atlantico"/>
    <x v="0"/>
    <s v="octubre"/>
    <n v="2"/>
    <d v="2026-10-02T00:00:00"/>
    <n v="1001820021"/>
    <s v="REBOLLEDO  KENDRY"/>
    <n v="41"/>
    <n v="0"/>
    <n v="2140927"/>
  </r>
  <r>
    <s v="Retail"/>
    <s v="Q106 - Soledad - Cc Nuestro Atlantico"/>
    <x v="0"/>
    <s v="octubre"/>
    <n v="2"/>
    <d v="2026-10-02T00:00:00"/>
    <n v="1045756535"/>
    <s v="BENAVIDES ALBARRACIN JUSLEIDYS"/>
    <n v="72"/>
    <n v="0"/>
    <n v="3624754"/>
  </r>
  <r>
    <s v="Retail"/>
    <s v="Q106 - Soledad - Cc Nuestro Atlantico"/>
    <x v="0"/>
    <s v="octubre"/>
    <n v="2"/>
    <d v="2026-10-02T00:00:00"/>
    <n v="1234093311"/>
    <s v="BOLAÑO SANCHEZ SHIRLEY DAYANNA"/>
    <n v="79"/>
    <n v="0"/>
    <n v="3878326"/>
  </r>
  <r>
    <s v="Retail"/>
    <s v="Q106 - Soledad - Cc Nuestro Atlantico"/>
    <x v="0"/>
    <s v="octubre"/>
    <n v="3"/>
    <d v="2026-10-03T00:00:00"/>
    <m/>
    <m/>
    <n v="0"/>
    <n v="18688800"/>
    <n v="0"/>
  </r>
  <r>
    <s v="Retail"/>
    <s v="Q106 - Soledad - Cc Nuestro Atlantico"/>
    <x v="0"/>
    <s v="octubre"/>
    <n v="3"/>
    <d v="2026-10-03T00:00:00"/>
    <n v="1001820021"/>
    <s v="REBOLLEDO  KENDRY"/>
    <n v="55"/>
    <n v="0"/>
    <n v="2296759"/>
  </r>
  <r>
    <s v="Retail"/>
    <s v="Q106 - Soledad - Cc Nuestro Atlantico"/>
    <x v="0"/>
    <s v="octubre"/>
    <n v="3"/>
    <d v="2026-10-03T00:00:00"/>
    <n v="1045756535"/>
    <s v="BENAVIDES ALBARRACIN JUSLEIDYS"/>
    <n v="115"/>
    <n v="0"/>
    <n v="5611476"/>
  </r>
  <r>
    <s v="Retail"/>
    <s v="Q106 - Soledad - Cc Nuestro Atlantico"/>
    <x v="0"/>
    <s v="octubre"/>
    <n v="3"/>
    <d v="2026-10-03T00:00:00"/>
    <n v="1234093311"/>
    <s v="BOLAÑO SANCHEZ SHIRLEY DAYANNA"/>
    <n v="124"/>
    <n v="0"/>
    <n v="5544898"/>
  </r>
  <r>
    <s v="Retail"/>
    <s v="Q106 - Soledad - Cc Nuestro Atlantico"/>
    <x v="0"/>
    <s v="octubre"/>
    <n v="4"/>
    <d v="2026-10-04T00:00:00"/>
    <m/>
    <m/>
    <n v="0"/>
    <n v="16067066"/>
    <n v="0"/>
  </r>
  <r>
    <s v="Retail"/>
    <s v="Q106 - Soledad - Cc Nuestro Atlantico"/>
    <x v="0"/>
    <s v="octubre"/>
    <n v="4"/>
    <d v="2026-10-04T00:00:00"/>
    <n v="1001820021"/>
    <s v="REBOLLEDO  KENDRY"/>
    <n v="69"/>
    <n v="0"/>
    <n v="3803448"/>
  </r>
  <r>
    <s v="Retail"/>
    <s v="Q106 - Soledad - Cc Nuestro Atlantico"/>
    <x v="0"/>
    <s v="octubre"/>
    <n v="4"/>
    <d v="2026-10-04T00:00:00"/>
    <n v="1045756535"/>
    <s v="BENAVIDES ALBARRACIN JUSLEIDYS"/>
    <n v="74"/>
    <n v="0"/>
    <n v="3403953"/>
  </r>
  <r>
    <s v="Retail"/>
    <s v="Q106 - Soledad - Cc Nuestro Atlantico"/>
    <x v="0"/>
    <s v="octubre"/>
    <n v="4"/>
    <d v="2026-10-04T00:00:00"/>
    <n v="1234093311"/>
    <s v="BOLAÑO SANCHEZ SHIRLEY DAYANNA"/>
    <n v="72"/>
    <n v="0"/>
    <n v="3803365"/>
  </r>
  <r>
    <s v="Retail"/>
    <s v="Q106 - Soledad - Cc Nuestro Atlantico"/>
    <x v="0"/>
    <s v="octubre"/>
    <n v="5"/>
    <d v="2026-10-05T00:00:00"/>
    <m/>
    <m/>
    <n v="0"/>
    <n v="12190490"/>
    <n v="0"/>
  </r>
  <r>
    <s v="Retail"/>
    <s v="Q106 - Soledad - Cc Nuestro Atlantico"/>
    <x v="0"/>
    <s v="octubre"/>
    <n v="5"/>
    <d v="2026-10-05T00:00:00"/>
    <n v="1001820021"/>
    <s v="REBOLLEDO  KENDRY"/>
    <n v="51"/>
    <n v="0"/>
    <n v="2762355"/>
  </r>
  <r>
    <s v="Retail"/>
    <s v="Q106 - Soledad - Cc Nuestro Atlantico"/>
    <x v="0"/>
    <s v="octubre"/>
    <n v="5"/>
    <d v="2026-10-05T00:00:00"/>
    <n v="1045756535"/>
    <s v="BENAVIDES ALBARRACIN JUSLEIDYS"/>
    <n v="89"/>
    <n v="0"/>
    <n v="4441308"/>
  </r>
  <r>
    <s v="Retail"/>
    <s v="Q106 - Soledad - Cc Nuestro Atlantico"/>
    <x v="0"/>
    <s v="octubre"/>
    <n v="5"/>
    <d v="2026-10-05T00:00:00"/>
    <n v="1234093311"/>
    <s v="BOLAÑO SANCHEZ SHIRLEY DAYANNA"/>
    <n v="94"/>
    <n v="0"/>
    <n v="5115594"/>
  </r>
  <r>
    <s v="Retail"/>
    <s v="Q106 - Soledad - Cc Nuestro Atlantico"/>
    <x v="0"/>
    <s v="octubre"/>
    <n v="6"/>
    <d v="2026-10-06T00:00:00"/>
    <m/>
    <m/>
    <n v="0"/>
    <n v="5302231"/>
    <n v="0"/>
  </r>
  <r>
    <s v="Retail"/>
    <s v="Q106 - Soledad - Cc Nuestro Atlantico"/>
    <x v="0"/>
    <s v="octubre"/>
    <n v="6"/>
    <d v="2026-10-06T00:00:00"/>
    <n v="1001820021"/>
    <s v="REBOLLEDO  KENDRY"/>
    <n v="15"/>
    <n v="0"/>
    <n v="738699"/>
  </r>
  <r>
    <s v="Retail"/>
    <s v="Q106 - Soledad - Cc Nuestro Atlantico"/>
    <x v="0"/>
    <s v="octubre"/>
    <n v="6"/>
    <d v="2026-10-06T00:00:00"/>
    <n v="1045756535"/>
    <s v="BENAVIDES ALBARRACIN JUSLEIDYS"/>
    <n v="40"/>
    <n v="0"/>
    <n v="1951976"/>
  </r>
  <r>
    <s v="Retail"/>
    <s v="Q106 - Soledad - Cc Nuestro Atlantico"/>
    <x v="0"/>
    <s v="octubre"/>
    <n v="6"/>
    <d v="2026-10-06T00:00:00"/>
    <n v="1234093311"/>
    <s v="BOLAÑO SANCHEZ SHIRLEY DAYANNA"/>
    <n v="37"/>
    <n v="0"/>
    <n v="2263012"/>
  </r>
  <r>
    <s v="Retail"/>
    <s v="Q106 - Soledad - Cc Nuestro Atlantico"/>
    <x v="0"/>
    <s v="octubre"/>
    <n v="7"/>
    <d v="2026-10-07T00:00:00"/>
    <m/>
    <m/>
    <n v="0"/>
    <n v="5246556"/>
    <n v="0"/>
  </r>
  <r>
    <s v="Retail"/>
    <s v="Q106 - Soledad - Cc Nuestro Atlantico"/>
    <x v="0"/>
    <s v="octubre"/>
    <n v="7"/>
    <d v="2026-10-07T00:00:00"/>
    <n v="1001820021"/>
    <s v="REBOLLEDO  KENDRY"/>
    <n v="7"/>
    <n v="0"/>
    <n v="449286"/>
  </r>
  <r>
    <s v="Retail"/>
    <s v="Q106 - Soledad - Cc Nuestro Atlantico"/>
    <x v="0"/>
    <s v="octubre"/>
    <n v="7"/>
    <d v="2026-10-07T00:00:00"/>
    <n v="1045756535"/>
    <s v="BENAVIDES ALBARRACIN JUSLEIDYS"/>
    <n v="7"/>
    <n v="0"/>
    <n v="293781"/>
  </r>
  <r>
    <s v="Retail"/>
    <s v="Q106 - Soledad - Cc Nuestro Atlantico"/>
    <x v="0"/>
    <s v="octubre"/>
    <n v="7"/>
    <d v="2026-10-07T00:00:00"/>
    <n v="1234093311"/>
    <s v="BOLAÑO SANCHEZ SHIRLEY DAYANNA"/>
    <n v="32"/>
    <n v="0"/>
    <n v="1577530"/>
  </r>
  <r>
    <s v="Retail"/>
    <s v="Q107 - Monteria - Cc Nuestro Monteria"/>
    <x v="0"/>
    <s v="septiembre"/>
    <n v="23"/>
    <d v="2026-09-23T00:00:00"/>
    <m/>
    <m/>
    <n v="0"/>
    <n v="14739707"/>
    <n v="0"/>
  </r>
  <r>
    <s v="Retail"/>
    <s v="Q107 - Monteria - Cc Nuestro Monteria"/>
    <x v="0"/>
    <s v="septiembre"/>
    <n v="23"/>
    <d v="2026-09-23T00:00:00"/>
    <n v="1005676304"/>
    <s v="SIMANCA CAMPO LEXY ROSARIO"/>
    <n v="135"/>
    <n v="0"/>
    <n v="7442198"/>
  </r>
  <r>
    <s v="Retail"/>
    <s v="Q107 - Monteria - Cc Nuestro Monteria"/>
    <x v="0"/>
    <s v="septiembre"/>
    <n v="23"/>
    <d v="2026-09-23T00:00:00"/>
    <n v="1043013098"/>
    <s v="CERVANTES DOMINGUEZ WAYNNY JHOANA"/>
    <n v="40"/>
    <n v="0"/>
    <n v="2233487"/>
  </r>
  <r>
    <s v="Retail"/>
    <s v="Q107 - Monteria - Cc Nuestro Monteria"/>
    <x v="0"/>
    <s v="septiembre"/>
    <n v="23"/>
    <d v="2026-09-23T00:00:00"/>
    <n v="1065002298"/>
    <s v="SUAREZ PEÑATE JEFERSON DARIO"/>
    <n v="98"/>
    <n v="0"/>
    <n v="6346685"/>
  </r>
  <r>
    <s v="Retail"/>
    <s v="Q107 - Monteria - Cc Nuestro Monteria"/>
    <x v="0"/>
    <s v="septiembre"/>
    <n v="24"/>
    <d v="2026-09-24T00:00:00"/>
    <m/>
    <m/>
    <n v="0"/>
    <n v="22516564"/>
    <n v="0"/>
  </r>
  <r>
    <s v="Retail"/>
    <s v="Q107 - Monteria - Cc Nuestro Monteria"/>
    <x v="0"/>
    <s v="septiembre"/>
    <n v="24"/>
    <d v="2026-09-24T00:00:00"/>
    <n v="1005676304"/>
    <s v="SIMANCA CAMPO LEXY ROSARIO"/>
    <n v="109"/>
    <n v="0"/>
    <n v="5963661"/>
  </r>
  <r>
    <s v="Retail"/>
    <s v="Q107 - Monteria - Cc Nuestro Monteria"/>
    <x v="0"/>
    <s v="septiembre"/>
    <n v="24"/>
    <d v="2026-09-24T00:00:00"/>
    <n v="1043013098"/>
    <s v="CERVANTES DOMINGUEZ WAYNNY JHOANA"/>
    <n v="40"/>
    <n v="0"/>
    <n v="2036053"/>
  </r>
  <r>
    <s v="Retail"/>
    <s v="Q107 - Monteria - Cc Nuestro Monteria"/>
    <x v="0"/>
    <s v="septiembre"/>
    <n v="24"/>
    <d v="2026-09-24T00:00:00"/>
    <n v="1065002298"/>
    <s v="SUAREZ PEÑATE JEFERSON DARIO"/>
    <n v="89"/>
    <n v="0"/>
    <n v="4546562"/>
  </r>
  <r>
    <s v="Retail"/>
    <s v="Q107 - Monteria - Cc Nuestro Monteria"/>
    <x v="0"/>
    <s v="septiembre"/>
    <n v="25"/>
    <d v="2026-09-25T00:00:00"/>
    <m/>
    <m/>
    <n v="0"/>
    <n v="22466717"/>
    <n v="0"/>
  </r>
  <r>
    <s v="Retail"/>
    <s v="Q107 - Monteria - Cc Nuestro Monteria"/>
    <x v="0"/>
    <s v="septiembre"/>
    <n v="25"/>
    <d v="2026-09-25T00:00:00"/>
    <n v="1005676304"/>
    <s v="SIMANCA CAMPO LEXY ROSARIO"/>
    <n v="121"/>
    <n v="0"/>
    <n v="6587275"/>
  </r>
  <r>
    <s v="Retail"/>
    <s v="Q107 - Monteria - Cc Nuestro Monteria"/>
    <x v="0"/>
    <s v="septiembre"/>
    <n v="25"/>
    <d v="2026-09-25T00:00:00"/>
    <n v="1043013098"/>
    <s v="CERVANTES DOMINGUEZ WAYNNY JHOANA"/>
    <n v="61"/>
    <n v="0"/>
    <n v="3236768"/>
  </r>
  <r>
    <s v="Retail"/>
    <s v="Q107 - Monteria - Cc Nuestro Monteria"/>
    <x v="0"/>
    <s v="septiembre"/>
    <n v="25"/>
    <d v="2026-09-25T00:00:00"/>
    <n v="1065002298"/>
    <s v="SUAREZ PEÑATE JEFERSON DARIO"/>
    <n v="124"/>
    <n v="0"/>
    <n v="7217445"/>
  </r>
  <r>
    <s v="Retail"/>
    <s v="Q107 - Monteria - Cc Nuestro Monteria"/>
    <x v="0"/>
    <s v="septiembre"/>
    <n v="26"/>
    <d v="2026-09-26T00:00:00"/>
    <m/>
    <m/>
    <n v="0"/>
    <n v="32287901"/>
    <n v="0"/>
  </r>
  <r>
    <s v="Retail"/>
    <s v="Q107 - Monteria - Cc Nuestro Monteria"/>
    <x v="0"/>
    <s v="septiembre"/>
    <n v="26"/>
    <d v="2026-09-26T00:00:00"/>
    <n v="1005676304"/>
    <s v="SIMANCA CAMPO LEXY ROSARIO"/>
    <n v="190"/>
    <n v="0"/>
    <n v="11218710"/>
  </r>
  <r>
    <s v="Retail"/>
    <s v="Q107 - Monteria - Cc Nuestro Monteria"/>
    <x v="0"/>
    <s v="septiembre"/>
    <n v="26"/>
    <d v="2026-09-26T00:00:00"/>
    <n v="1043013098"/>
    <s v="CERVANTES DOMINGUEZ WAYNNY JHOANA"/>
    <n v="68"/>
    <n v="0"/>
    <n v="3650385"/>
  </r>
  <r>
    <s v="Retail"/>
    <s v="Q107 - Monteria - Cc Nuestro Monteria"/>
    <x v="0"/>
    <s v="septiembre"/>
    <n v="26"/>
    <d v="2026-09-26T00:00:00"/>
    <n v="1065002298"/>
    <s v="SUAREZ PEÑATE JEFERSON DARIO"/>
    <n v="189"/>
    <n v="0"/>
    <n v="9989635"/>
  </r>
  <r>
    <s v="Retail"/>
    <s v="Q107 - Monteria - Cc Nuestro Monteria"/>
    <x v="0"/>
    <s v="septiembre"/>
    <n v="27"/>
    <d v="2026-09-27T00:00:00"/>
    <m/>
    <m/>
    <n v="0"/>
    <n v="25578518"/>
    <n v="0"/>
  </r>
  <r>
    <s v="Retail"/>
    <s v="Q107 - Monteria - Cc Nuestro Monteria"/>
    <x v="0"/>
    <s v="septiembre"/>
    <n v="27"/>
    <d v="2026-09-27T00:00:00"/>
    <n v="1005676304"/>
    <s v="SIMANCA CAMPO LEXY ROSARIO"/>
    <n v="139"/>
    <n v="0"/>
    <n v="7958206"/>
  </r>
  <r>
    <s v="Retail"/>
    <s v="Q107 - Monteria - Cc Nuestro Monteria"/>
    <x v="0"/>
    <s v="septiembre"/>
    <n v="27"/>
    <d v="2026-09-27T00:00:00"/>
    <n v="1043013098"/>
    <s v="CERVANTES DOMINGUEZ WAYNNY JHOANA"/>
    <n v="44"/>
    <n v="0"/>
    <n v="2941304"/>
  </r>
  <r>
    <s v="Retail"/>
    <s v="Q107 - Monteria - Cc Nuestro Monteria"/>
    <x v="0"/>
    <s v="septiembre"/>
    <n v="27"/>
    <d v="2026-09-27T00:00:00"/>
    <n v="1065002298"/>
    <s v="SUAREZ PEÑATE JEFERSON DARIO"/>
    <n v="89"/>
    <n v="0"/>
    <n v="5178874"/>
  </r>
  <r>
    <s v="Retail"/>
    <s v="Q107 - Monteria - Cc Nuestro Monteria"/>
    <x v="0"/>
    <s v="septiembre"/>
    <n v="28"/>
    <d v="2026-09-28T00:00:00"/>
    <m/>
    <m/>
    <n v="0"/>
    <n v="14077367"/>
    <n v="0"/>
  </r>
  <r>
    <s v="Retail"/>
    <s v="Q107 - Monteria - Cc Nuestro Monteria"/>
    <x v="0"/>
    <s v="septiembre"/>
    <n v="28"/>
    <d v="2026-09-28T00:00:00"/>
    <n v="1005676304"/>
    <s v="SIMANCA CAMPO LEXY ROSARIO"/>
    <n v="78"/>
    <n v="0"/>
    <n v="4683659"/>
  </r>
  <r>
    <s v="Retail"/>
    <s v="Q107 - Monteria - Cc Nuestro Monteria"/>
    <x v="0"/>
    <s v="septiembre"/>
    <n v="28"/>
    <d v="2026-09-28T00:00:00"/>
    <n v="1043013098"/>
    <s v="CERVANTES DOMINGUEZ WAYNNY JHOANA"/>
    <n v="17"/>
    <n v="0"/>
    <n v="986641"/>
  </r>
  <r>
    <s v="Retail"/>
    <s v="Q107 - Monteria - Cc Nuestro Monteria"/>
    <x v="0"/>
    <s v="septiembre"/>
    <n v="28"/>
    <d v="2026-09-28T00:00:00"/>
    <n v="1065002298"/>
    <s v="SUAREZ PEÑATE JEFERSON DARIO"/>
    <n v="37"/>
    <n v="0"/>
    <n v="1880759"/>
  </r>
  <r>
    <s v="Retail"/>
    <s v="Q107 - Monteria - Cc Nuestro Monteria"/>
    <x v="0"/>
    <s v="septiembre"/>
    <n v="29"/>
    <d v="2026-09-29T00:00:00"/>
    <m/>
    <m/>
    <n v="0"/>
    <n v="15037381"/>
    <n v="0"/>
  </r>
  <r>
    <s v="Retail"/>
    <s v="Q107 - Monteria - Cc Nuestro Monteria"/>
    <x v="0"/>
    <s v="septiembre"/>
    <n v="29"/>
    <d v="2026-09-29T00:00:00"/>
    <n v="1005676304"/>
    <s v="SIMANCA CAMPO LEXY ROSARIO"/>
    <n v="90"/>
    <n v="0"/>
    <n v="4987654"/>
  </r>
  <r>
    <s v="Retail"/>
    <s v="Q107 - Monteria - Cc Nuestro Monteria"/>
    <x v="0"/>
    <s v="septiembre"/>
    <n v="29"/>
    <d v="2026-09-29T00:00:00"/>
    <n v="1043013098"/>
    <s v="CERVANTES DOMINGUEZ WAYNNY JHOANA"/>
    <n v="35"/>
    <n v="0"/>
    <n v="1973278"/>
  </r>
  <r>
    <s v="Retail"/>
    <s v="Q107 - Monteria - Cc Nuestro Monteria"/>
    <x v="0"/>
    <s v="septiembre"/>
    <n v="29"/>
    <d v="2026-09-29T00:00:00"/>
    <n v="1065002298"/>
    <s v="SUAREZ PEÑATE JEFERSON DARIO"/>
    <n v="66"/>
    <n v="0"/>
    <n v="3276226"/>
  </r>
  <r>
    <s v="Retail"/>
    <s v="Q107 - Monteria - Cc Nuestro Monteria"/>
    <x v="0"/>
    <s v="septiembre"/>
    <n v="30"/>
    <d v="2026-09-30T00:00:00"/>
    <m/>
    <m/>
    <n v="0"/>
    <n v="15533885"/>
    <n v="0"/>
  </r>
  <r>
    <s v="Retail"/>
    <s v="Q107 - Monteria - Cc Nuestro Monteria"/>
    <x v="0"/>
    <s v="septiembre"/>
    <n v="30"/>
    <d v="2026-09-30T00:00:00"/>
    <n v="1005676304"/>
    <s v="SIMANCA CAMPO LEXY ROSARIO"/>
    <n v="116"/>
    <n v="0"/>
    <n v="6219588"/>
  </r>
  <r>
    <s v="Retail"/>
    <s v="Q107 - Monteria - Cc Nuestro Monteria"/>
    <x v="0"/>
    <s v="septiembre"/>
    <n v="30"/>
    <d v="2026-09-30T00:00:00"/>
    <n v="1043013098"/>
    <s v="CERVANTES DOMINGUEZ WAYNNY JHOANA"/>
    <n v="45"/>
    <n v="0"/>
    <n v="2228783"/>
  </r>
  <r>
    <s v="Retail"/>
    <s v="Q107 - Monteria - Cc Nuestro Monteria"/>
    <x v="0"/>
    <s v="septiembre"/>
    <n v="30"/>
    <d v="2026-09-30T00:00:00"/>
    <n v="1065002298"/>
    <s v="SUAREZ PEÑATE JEFERSON DARIO"/>
    <n v="80"/>
    <n v="0"/>
    <n v="4303032"/>
  </r>
  <r>
    <s v="Retail"/>
    <s v="Q107 - Monteria - Cc Nuestro Monteria"/>
    <x v="0"/>
    <s v="octubre"/>
    <n v="1"/>
    <d v="2026-10-01T00:00:00"/>
    <m/>
    <m/>
    <n v="0"/>
    <n v="19947388"/>
    <n v="0"/>
  </r>
  <r>
    <s v="Retail"/>
    <s v="Q107 - Monteria - Cc Nuestro Monteria"/>
    <x v="0"/>
    <s v="octubre"/>
    <n v="1"/>
    <d v="2026-10-01T00:00:00"/>
    <n v="1005676304"/>
    <s v="SIMANCA CAMPO LEXY ROSARIO"/>
    <n v="109"/>
    <n v="0"/>
    <n v="5593621"/>
  </r>
  <r>
    <s v="Retail"/>
    <s v="Q107 - Monteria - Cc Nuestro Monteria"/>
    <x v="0"/>
    <s v="octubre"/>
    <n v="1"/>
    <d v="2026-10-01T00:00:00"/>
    <n v="1043013098"/>
    <s v="CERVANTES DOMINGUEZ WAYNNY JHOANA"/>
    <n v="54"/>
    <n v="0"/>
    <n v="2694754"/>
  </r>
  <r>
    <s v="Retail"/>
    <s v="Q107 - Monteria - Cc Nuestro Monteria"/>
    <x v="0"/>
    <s v="octubre"/>
    <n v="1"/>
    <d v="2026-10-01T00:00:00"/>
    <n v="1065002298"/>
    <s v="SUAREZ PEÑATE JEFERSON DARIO"/>
    <n v="111"/>
    <n v="0"/>
    <n v="6133747"/>
  </r>
  <r>
    <s v="Retail"/>
    <s v="Q107 - Monteria - Cc Nuestro Monteria"/>
    <x v="0"/>
    <s v="octubre"/>
    <n v="2"/>
    <d v="2026-10-02T00:00:00"/>
    <m/>
    <m/>
    <n v="0"/>
    <n v="20796464"/>
    <n v="0"/>
  </r>
  <r>
    <s v="Retail"/>
    <s v="Q107 - Monteria - Cc Nuestro Monteria"/>
    <x v="0"/>
    <s v="octubre"/>
    <n v="2"/>
    <d v="2026-10-02T00:00:00"/>
    <n v="1005676304"/>
    <s v="SIMANCA CAMPO LEXY ROSARIO"/>
    <n v="143"/>
    <n v="0"/>
    <n v="7703538"/>
  </r>
  <r>
    <s v="Retail"/>
    <s v="Q107 - Monteria - Cc Nuestro Monteria"/>
    <x v="0"/>
    <s v="octubre"/>
    <n v="2"/>
    <d v="2026-10-02T00:00:00"/>
    <n v="1043013098"/>
    <s v="CERVANTES DOMINGUEZ WAYNNY JHOANA"/>
    <n v="48"/>
    <n v="0"/>
    <n v="2443030"/>
  </r>
  <r>
    <s v="Retail"/>
    <s v="Q107 - Monteria - Cc Nuestro Monteria"/>
    <x v="0"/>
    <s v="octubre"/>
    <n v="2"/>
    <d v="2026-10-02T00:00:00"/>
    <n v="1065002298"/>
    <s v="SUAREZ PEÑATE JEFERSON DARIO"/>
    <n v="121"/>
    <n v="0"/>
    <n v="6377192"/>
  </r>
  <r>
    <s v="Retail"/>
    <s v="Q107 - Monteria - Cc Nuestro Monteria"/>
    <x v="0"/>
    <s v="octubre"/>
    <n v="3"/>
    <d v="2026-10-03T00:00:00"/>
    <m/>
    <m/>
    <n v="0"/>
    <n v="24214547"/>
    <n v="0"/>
  </r>
  <r>
    <s v="Retail"/>
    <s v="Q107 - Monteria - Cc Nuestro Monteria"/>
    <x v="0"/>
    <s v="octubre"/>
    <n v="3"/>
    <d v="2026-10-03T00:00:00"/>
    <n v="1005676304"/>
    <s v="SIMANCA CAMPO LEXY ROSARIO"/>
    <n v="203"/>
    <n v="0"/>
    <n v="10591778"/>
  </r>
  <r>
    <s v="Retail"/>
    <s v="Q107 - Monteria - Cc Nuestro Monteria"/>
    <x v="0"/>
    <s v="octubre"/>
    <n v="3"/>
    <d v="2026-10-03T00:00:00"/>
    <n v="1043013098"/>
    <s v="CERVANTES DOMINGUEZ WAYNNY JHOANA"/>
    <n v="95"/>
    <n v="0"/>
    <n v="4788586"/>
  </r>
  <r>
    <s v="Retail"/>
    <s v="Q107 - Monteria - Cc Nuestro Monteria"/>
    <x v="0"/>
    <s v="octubre"/>
    <n v="3"/>
    <d v="2026-10-03T00:00:00"/>
    <n v="1065002298"/>
    <s v="SUAREZ PEÑATE JEFERSON DARIO"/>
    <n v="190"/>
    <n v="0"/>
    <n v="10073657"/>
  </r>
  <r>
    <s v="Retail"/>
    <s v="Q107 - Monteria - Cc Nuestro Monteria"/>
    <x v="0"/>
    <s v="octubre"/>
    <n v="4"/>
    <d v="2026-10-04T00:00:00"/>
    <m/>
    <m/>
    <n v="0"/>
    <n v="23880788"/>
    <n v="0"/>
  </r>
  <r>
    <s v="Retail"/>
    <s v="Q107 - Monteria - Cc Nuestro Monteria"/>
    <x v="0"/>
    <s v="octubre"/>
    <n v="4"/>
    <d v="2026-10-04T00:00:00"/>
    <n v="1005676304"/>
    <s v="SIMANCA CAMPO LEXY ROSARIO"/>
    <n v="164"/>
    <n v="0"/>
    <n v="8782825"/>
  </r>
  <r>
    <s v="Retail"/>
    <s v="Q107 - Monteria - Cc Nuestro Monteria"/>
    <x v="0"/>
    <s v="octubre"/>
    <n v="4"/>
    <d v="2026-10-04T00:00:00"/>
    <n v="1043013098"/>
    <s v="CERVANTES DOMINGUEZ WAYNNY JHOANA"/>
    <n v="82"/>
    <n v="0"/>
    <n v="4063575"/>
  </r>
  <r>
    <s v="Retail"/>
    <s v="Q107 - Monteria - Cc Nuestro Monteria"/>
    <x v="0"/>
    <s v="octubre"/>
    <n v="4"/>
    <d v="2026-10-04T00:00:00"/>
    <n v="1065002298"/>
    <s v="SUAREZ PEÑATE JEFERSON DARIO"/>
    <n v="115"/>
    <n v="0"/>
    <n v="6692615"/>
  </r>
  <r>
    <s v="Retail"/>
    <s v="Q107 - Monteria - Cc Nuestro Monteria"/>
    <x v="0"/>
    <s v="octubre"/>
    <n v="5"/>
    <d v="2026-10-05T00:00:00"/>
    <m/>
    <m/>
    <n v="0"/>
    <n v="8623695"/>
    <n v="0"/>
  </r>
  <r>
    <s v="Retail"/>
    <s v="Q107 - Monteria - Cc Nuestro Monteria"/>
    <x v="0"/>
    <s v="octubre"/>
    <n v="5"/>
    <d v="2026-10-05T00:00:00"/>
    <n v="1005676304"/>
    <s v="SIMANCA CAMPO LEXY ROSARIO"/>
    <n v="86"/>
    <n v="0"/>
    <n v="4949710"/>
  </r>
  <r>
    <s v="Retail"/>
    <s v="Q107 - Monteria - Cc Nuestro Monteria"/>
    <x v="0"/>
    <s v="octubre"/>
    <n v="5"/>
    <d v="2026-10-05T00:00:00"/>
    <n v="1043013098"/>
    <s v="CERVANTES DOMINGUEZ WAYNNY JHOANA"/>
    <n v="35"/>
    <n v="0"/>
    <n v="2026970"/>
  </r>
  <r>
    <s v="Retail"/>
    <s v="Q107 - Monteria - Cc Nuestro Monteria"/>
    <x v="0"/>
    <s v="octubre"/>
    <n v="5"/>
    <d v="2026-10-05T00:00:00"/>
    <n v="1065002298"/>
    <s v="SUAREZ PEÑATE JEFERSON DARIO"/>
    <n v="71"/>
    <n v="0"/>
    <n v="4341354"/>
  </r>
  <r>
    <s v="Retail"/>
    <s v="Q107 - Monteria - Cc Nuestro Monteria"/>
    <x v="0"/>
    <s v="octubre"/>
    <n v="5"/>
    <d v="2026-10-05T00:00:00"/>
    <n v="1065006748"/>
    <s v="ANDRADE REGINO OSCAR"/>
    <n v="-1"/>
    <n v="0"/>
    <n v="-83992"/>
  </r>
  <r>
    <s v="Retail"/>
    <s v="Q107 - Monteria - Cc Nuestro Monteria"/>
    <x v="0"/>
    <s v="octubre"/>
    <n v="6"/>
    <d v="2026-10-06T00:00:00"/>
    <m/>
    <m/>
    <n v="0"/>
    <n v="6444464"/>
    <n v="0"/>
  </r>
  <r>
    <s v="Retail"/>
    <s v="Q107 - Monteria - Cc Nuestro Monteria"/>
    <x v="0"/>
    <s v="octubre"/>
    <n v="6"/>
    <d v="2026-10-06T00:00:00"/>
    <n v="1005676304"/>
    <s v="SIMANCA CAMPO LEXY ROSARIO"/>
    <n v="48"/>
    <n v="0"/>
    <n v="2712104"/>
  </r>
  <r>
    <s v="Retail"/>
    <s v="Q107 - Monteria - Cc Nuestro Monteria"/>
    <x v="0"/>
    <s v="octubre"/>
    <n v="6"/>
    <d v="2026-10-06T00:00:00"/>
    <n v="1043013098"/>
    <s v="CERVANTES DOMINGUEZ WAYNNY JHOANA"/>
    <n v="33"/>
    <n v="0"/>
    <n v="1876642"/>
  </r>
  <r>
    <s v="Retail"/>
    <s v="Q107 - Monteria - Cc Nuestro Monteria"/>
    <x v="0"/>
    <s v="octubre"/>
    <n v="6"/>
    <d v="2026-10-06T00:00:00"/>
    <n v="1065002298"/>
    <s v="SUAREZ PEÑATE JEFERSON DARIO"/>
    <n v="39"/>
    <n v="0"/>
    <n v="2132694"/>
  </r>
  <r>
    <s v="Retail"/>
    <s v="Q107 - Monteria - Cc Nuestro Monteria"/>
    <x v="0"/>
    <s v="octubre"/>
    <n v="7"/>
    <d v="2026-10-07T00:00:00"/>
    <m/>
    <m/>
    <n v="0"/>
    <n v="6359667"/>
    <n v="0"/>
  </r>
  <r>
    <s v="Retail"/>
    <s v="Q107 - Monteria - Cc Nuestro Monteria"/>
    <x v="0"/>
    <s v="octubre"/>
    <n v="7"/>
    <d v="2026-10-07T00:00:00"/>
    <n v="1005676304"/>
    <s v="SIMANCA CAMPO LEXY ROSARIO"/>
    <n v="39"/>
    <n v="0"/>
    <n v="2166265"/>
  </r>
  <r>
    <s v="Retail"/>
    <s v="Q107 - Monteria - Cc Nuestro Monteria"/>
    <x v="0"/>
    <s v="octubre"/>
    <n v="7"/>
    <d v="2026-10-07T00:00:00"/>
    <n v="1043013098"/>
    <s v="CERVANTES DOMINGUEZ WAYNNY JHOANA"/>
    <n v="18"/>
    <n v="0"/>
    <n v="877353"/>
  </r>
  <r>
    <s v="Retail"/>
    <s v="Q107 - Monteria - Cc Nuestro Monteria"/>
    <x v="0"/>
    <s v="octubre"/>
    <n v="7"/>
    <d v="2026-10-07T00:00:00"/>
    <n v="1065002298"/>
    <s v="SUAREZ PEÑATE JEFERSON DARIO"/>
    <n v="23"/>
    <n v="0"/>
    <n v="1503281"/>
  </r>
  <r>
    <s v="Retail"/>
    <s v="Q107 - Monteria - Cc Nuestro Monteria"/>
    <x v="0"/>
    <s v="octubre"/>
    <n v="7"/>
    <d v="2026-10-07T00:00:00"/>
    <n v="1065006748"/>
    <s v="ANDRADE REGINO OSCAR"/>
    <n v="-1"/>
    <n v="0"/>
    <n v="-126008"/>
  </r>
  <r>
    <s v="Retail"/>
    <s v="Q109 - Cartagena - Cc La Castellana"/>
    <x v="0"/>
    <s v="septiembre"/>
    <n v="23"/>
    <d v="2026-09-23T00:00:00"/>
    <m/>
    <m/>
    <n v="0"/>
    <n v="17205224"/>
    <n v="0"/>
  </r>
  <r>
    <s v="Retail"/>
    <s v="Q109 - Cartagena - Cc La Castellana"/>
    <x v="0"/>
    <s v="septiembre"/>
    <n v="23"/>
    <d v="2026-09-23T00:00:00"/>
    <n v="1007740486"/>
    <s v="LARA CASTRO ROSA ANGELICA"/>
    <n v="25"/>
    <n v="0"/>
    <n v="1461136"/>
  </r>
  <r>
    <s v="Retail"/>
    <s v="Q109 - Cartagena - Cc La Castellana"/>
    <x v="0"/>
    <s v="septiembre"/>
    <n v="23"/>
    <d v="2026-09-23T00:00:00"/>
    <n v="1047480286"/>
    <s v="MARIMON POMBO  YONAICER"/>
    <n v="83"/>
    <n v="0"/>
    <n v="4341058"/>
  </r>
  <r>
    <s v="Retail"/>
    <s v="Q109 - Cartagena - Cc La Castellana"/>
    <x v="0"/>
    <s v="septiembre"/>
    <n v="23"/>
    <d v="2026-09-23T00:00:00"/>
    <n v="1067882225"/>
    <s v="PENA PATERNINA MARIA ANGELICA"/>
    <n v="92"/>
    <n v="0"/>
    <n v="4813323"/>
  </r>
  <r>
    <s v="Retail"/>
    <s v="Q109 - Cartagena - Cc La Castellana"/>
    <x v="0"/>
    <s v="septiembre"/>
    <n v="23"/>
    <d v="2026-09-23T00:00:00"/>
    <n v="1104254048"/>
    <s v="CAMPUZANO CAGUA ETILVIA   ROSA"/>
    <n v="41"/>
    <n v="0"/>
    <n v="2025549"/>
  </r>
  <r>
    <s v="Retail"/>
    <s v="Q109 - Cartagena - Cc La Castellana"/>
    <x v="0"/>
    <s v="septiembre"/>
    <n v="24"/>
    <d v="2026-09-24T00:00:00"/>
    <m/>
    <m/>
    <n v="0"/>
    <n v="26282918"/>
    <n v="0"/>
  </r>
  <r>
    <s v="Retail"/>
    <s v="Q109 - Cartagena - Cc La Castellana"/>
    <x v="0"/>
    <s v="septiembre"/>
    <n v="24"/>
    <d v="2026-09-24T00:00:00"/>
    <n v="1007740486"/>
    <s v="LARA CASTRO ROSA ANGELICA"/>
    <n v="54"/>
    <n v="0"/>
    <n v="2953615"/>
  </r>
  <r>
    <s v="Retail"/>
    <s v="Q109 - Cartagena - Cc La Castellana"/>
    <x v="0"/>
    <s v="septiembre"/>
    <n v="24"/>
    <d v="2026-09-24T00:00:00"/>
    <n v="1047480286"/>
    <s v="MARIMON POMBO  YONAICER"/>
    <n v="140"/>
    <n v="0"/>
    <n v="7414277"/>
  </r>
  <r>
    <s v="Retail"/>
    <s v="Q109 - Cartagena - Cc La Castellana"/>
    <x v="0"/>
    <s v="septiembre"/>
    <n v="24"/>
    <d v="2026-09-24T00:00:00"/>
    <n v="1067882225"/>
    <s v="PENA PATERNINA MARIA ANGELICA"/>
    <n v="138"/>
    <n v="0"/>
    <n v="8052994"/>
  </r>
  <r>
    <s v="Retail"/>
    <s v="Q109 - Cartagena - Cc La Castellana"/>
    <x v="0"/>
    <s v="septiembre"/>
    <n v="24"/>
    <d v="2026-09-24T00:00:00"/>
    <n v="1104254048"/>
    <s v="CAMPUZANO CAGUA ETILVIA   ROSA"/>
    <n v="65"/>
    <n v="0"/>
    <n v="3425804"/>
  </r>
  <r>
    <s v="Retail"/>
    <s v="Q109 - Cartagena - Cc La Castellana"/>
    <x v="0"/>
    <s v="septiembre"/>
    <n v="25"/>
    <d v="2026-09-25T00:00:00"/>
    <m/>
    <m/>
    <n v="0"/>
    <n v="26224731"/>
    <n v="0"/>
  </r>
  <r>
    <s v="Retail"/>
    <s v="Q109 - Cartagena - Cc La Castellana"/>
    <x v="0"/>
    <s v="septiembre"/>
    <n v="25"/>
    <d v="2026-09-25T00:00:00"/>
    <n v="45691762"/>
    <s v="MACOTT MARRUGO ELVIA MILENA"/>
    <n v="-1"/>
    <n v="0"/>
    <n v="-54580"/>
  </r>
  <r>
    <s v="Retail"/>
    <s v="Q109 - Cartagena - Cc La Castellana"/>
    <x v="0"/>
    <s v="septiembre"/>
    <n v="25"/>
    <d v="2026-09-25T00:00:00"/>
    <n v="1007740486"/>
    <s v="LARA CASTRO ROSA ANGELICA"/>
    <n v="71"/>
    <n v="0"/>
    <n v="3759584"/>
  </r>
  <r>
    <s v="Retail"/>
    <s v="Q109 - Cartagena - Cc La Castellana"/>
    <x v="0"/>
    <s v="septiembre"/>
    <n v="25"/>
    <d v="2026-09-25T00:00:00"/>
    <n v="1047439766"/>
    <s v="SALAZAR PEREZ LUISA MARIA"/>
    <n v="-1"/>
    <n v="0"/>
    <n v="-96597"/>
  </r>
  <r>
    <s v="Retail"/>
    <s v="Q109 - Cartagena - Cc La Castellana"/>
    <x v="0"/>
    <s v="septiembre"/>
    <n v="25"/>
    <d v="2026-09-25T00:00:00"/>
    <n v="1047465660"/>
    <s v="SABALZA HERRERA STEFANI PAOLA"/>
    <n v="-1"/>
    <n v="0"/>
    <n v="-46177"/>
  </r>
  <r>
    <s v="Retail"/>
    <s v="Q109 - Cartagena - Cc La Castellana"/>
    <x v="0"/>
    <s v="septiembre"/>
    <n v="25"/>
    <d v="2026-09-25T00:00:00"/>
    <n v="1047480286"/>
    <s v="MARIMON POMBO  YONAICER"/>
    <n v="140"/>
    <n v="0"/>
    <n v="6905724"/>
  </r>
  <r>
    <s v="Retail"/>
    <s v="Q109 - Cartagena - Cc La Castellana"/>
    <x v="0"/>
    <s v="septiembre"/>
    <n v="25"/>
    <d v="2026-09-25T00:00:00"/>
    <n v="1067882225"/>
    <s v="PENA PATERNINA MARIA ANGELICA"/>
    <n v="147"/>
    <n v="0"/>
    <n v="8390803"/>
  </r>
  <r>
    <s v="Retail"/>
    <s v="Q109 - Cartagena - Cc La Castellana"/>
    <x v="0"/>
    <s v="septiembre"/>
    <n v="25"/>
    <d v="2026-09-25T00:00:00"/>
    <n v="1104254048"/>
    <s v="CAMPUZANO CAGUA ETILVIA   ROSA"/>
    <n v="63"/>
    <n v="0"/>
    <n v="3854501"/>
  </r>
  <r>
    <s v="Retail"/>
    <s v="Q109 - Cartagena - Cc La Castellana"/>
    <x v="0"/>
    <s v="septiembre"/>
    <n v="26"/>
    <d v="2026-09-26T00:00:00"/>
    <m/>
    <m/>
    <n v="0"/>
    <n v="37688707"/>
    <n v="0"/>
  </r>
  <r>
    <s v="Retail"/>
    <s v="Q109 - Cartagena - Cc La Castellana"/>
    <x v="0"/>
    <s v="septiembre"/>
    <n v="26"/>
    <d v="2026-09-26T00:00:00"/>
    <n v="1007740486"/>
    <s v="LARA CASTRO ROSA ANGELICA"/>
    <n v="66"/>
    <n v="0"/>
    <n v="3938362"/>
  </r>
  <r>
    <s v="Retail"/>
    <s v="Q109 - Cartagena - Cc La Castellana"/>
    <x v="0"/>
    <s v="septiembre"/>
    <n v="26"/>
    <d v="2026-09-26T00:00:00"/>
    <n v="1047425678"/>
    <s v="SERNA PAUTT CRISTINA ISABEL"/>
    <n v="-1"/>
    <n v="0"/>
    <n v="-46177"/>
  </r>
  <r>
    <s v="Retail"/>
    <s v="Q109 - Cartagena - Cc La Castellana"/>
    <x v="0"/>
    <s v="septiembre"/>
    <n v="26"/>
    <d v="2026-09-26T00:00:00"/>
    <n v="1047480286"/>
    <s v="MARIMON POMBO  YONAICER"/>
    <n v="198"/>
    <n v="0"/>
    <n v="10800481"/>
  </r>
  <r>
    <s v="Retail"/>
    <s v="Q109 - Cartagena - Cc La Castellana"/>
    <x v="0"/>
    <s v="septiembre"/>
    <n v="26"/>
    <d v="2026-09-26T00:00:00"/>
    <n v="1067882225"/>
    <s v="PENA PATERNINA MARIA ANGELICA"/>
    <n v="194"/>
    <n v="0"/>
    <n v="11325766"/>
  </r>
  <r>
    <s v="Retail"/>
    <s v="Q109 - Cartagena - Cc La Castellana"/>
    <x v="0"/>
    <s v="septiembre"/>
    <n v="26"/>
    <d v="2026-09-26T00:00:00"/>
    <n v="1104254048"/>
    <s v="CAMPUZANO CAGUA ETILVIA   ROSA"/>
    <n v="69"/>
    <n v="0"/>
    <n v="3950804"/>
  </r>
  <r>
    <s v="Retail"/>
    <s v="Q109 - Cartagena - Cc La Castellana"/>
    <x v="0"/>
    <s v="septiembre"/>
    <n v="27"/>
    <d v="2026-09-27T00:00:00"/>
    <m/>
    <m/>
    <n v="0"/>
    <n v="29857043"/>
    <n v="0"/>
  </r>
  <r>
    <s v="Retail"/>
    <s v="Q109 - Cartagena - Cc La Castellana"/>
    <x v="0"/>
    <s v="septiembre"/>
    <n v="27"/>
    <d v="2026-09-27T00:00:00"/>
    <n v="1007740486"/>
    <s v="LARA CASTRO ROSA ANGELICA"/>
    <n v="32"/>
    <n v="0"/>
    <n v="1870461"/>
  </r>
  <r>
    <s v="Retail"/>
    <s v="Q109 - Cartagena - Cc La Castellana"/>
    <x v="0"/>
    <s v="septiembre"/>
    <n v="27"/>
    <d v="2026-09-27T00:00:00"/>
    <n v="1047480286"/>
    <s v="MARIMON POMBO  YONAICER"/>
    <n v="97"/>
    <n v="0"/>
    <n v="5674501"/>
  </r>
  <r>
    <s v="Retail"/>
    <s v="Q109 - Cartagena - Cc La Castellana"/>
    <x v="0"/>
    <s v="septiembre"/>
    <n v="27"/>
    <d v="2026-09-27T00:00:00"/>
    <n v="1067882225"/>
    <s v="PENA PATERNINA MARIA ANGELICA"/>
    <n v="92"/>
    <n v="0"/>
    <n v="4800721"/>
  </r>
  <r>
    <s v="Retail"/>
    <s v="Q109 - Cartagena - Cc La Castellana"/>
    <x v="0"/>
    <s v="septiembre"/>
    <n v="27"/>
    <d v="2026-09-27T00:00:00"/>
    <n v="1104254048"/>
    <s v="CAMPUZANO CAGUA ETILVIA   ROSA"/>
    <n v="55"/>
    <n v="0"/>
    <n v="3003954"/>
  </r>
  <r>
    <s v="Retail"/>
    <s v="Q109 - Cartagena - Cc La Castellana"/>
    <x v="0"/>
    <s v="septiembre"/>
    <n v="28"/>
    <d v="2026-09-28T00:00:00"/>
    <m/>
    <m/>
    <n v="0"/>
    <n v="16432091"/>
    <n v="0"/>
  </r>
  <r>
    <s v="Retail"/>
    <s v="Q109 - Cartagena - Cc La Castellana"/>
    <x v="0"/>
    <s v="septiembre"/>
    <n v="28"/>
    <d v="2026-09-28T00:00:00"/>
    <n v="1007740486"/>
    <s v="LARA CASTRO ROSA ANGELICA"/>
    <n v="11"/>
    <n v="0"/>
    <n v="570968"/>
  </r>
  <r>
    <s v="Retail"/>
    <s v="Q109 - Cartagena - Cc La Castellana"/>
    <x v="0"/>
    <s v="septiembre"/>
    <n v="28"/>
    <d v="2026-09-28T00:00:00"/>
    <n v="1047425678"/>
    <s v="SERNA PAUTT CRISTINA ISABEL"/>
    <n v="-1"/>
    <n v="0"/>
    <n v="-67185"/>
  </r>
  <r>
    <s v="Retail"/>
    <s v="Q109 - Cartagena - Cc La Castellana"/>
    <x v="0"/>
    <s v="septiembre"/>
    <n v="28"/>
    <d v="2026-09-28T00:00:00"/>
    <n v="1047480286"/>
    <s v="MARIMON POMBO  YONAICER"/>
    <n v="71"/>
    <n v="0"/>
    <n v="4060048"/>
  </r>
  <r>
    <s v="Retail"/>
    <s v="Q109 - Cartagena - Cc La Castellana"/>
    <x v="0"/>
    <s v="septiembre"/>
    <n v="28"/>
    <d v="2026-09-28T00:00:00"/>
    <n v="1067882225"/>
    <s v="PENA PATERNINA MARIA ANGELICA"/>
    <n v="64"/>
    <n v="0"/>
    <n v="3505595"/>
  </r>
  <r>
    <s v="Retail"/>
    <s v="Q109 - Cartagena - Cc La Castellana"/>
    <x v="0"/>
    <s v="septiembre"/>
    <n v="28"/>
    <d v="2026-09-28T00:00:00"/>
    <n v="1104254048"/>
    <s v="CAMPUZANO CAGUA ETILVIA   ROSA"/>
    <n v="15"/>
    <n v="0"/>
    <n v="755673"/>
  </r>
  <r>
    <s v="Retail"/>
    <s v="Q109 - Cartagena - Cc La Castellana"/>
    <x v="0"/>
    <s v="septiembre"/>
    <n v="29"/>
    <d v="2026-09-29T00:00:00"/>
    <m/>
    <m/>
    <n v="0"/>
    <n v="17552688"/>
    <n v="0"/>
  </r>
  <r>
    <s v="Retail"/>
    <s v="Q109 - Cartagena - Cc La Castellana"/>
    <x v="0"/>
    <s v="septiembre"/>
    <n v="29"/>
    <d v="2026-09-29T00:00:00"/>
    <n v="1007740486"/>
    <s v="LARA CASTRO ROSA ANGELICA"/>
    <n v="17"/>
    <n v="0"/>
    <n v="948866"/>
  </r>
  <r>
    <s v="Retail"/>
    <s v="Q109 - Cartagena - Cc La Castellana"/>
    <x v="0"/>
    <s v="septiembre"/>
    <n v="29"/>
    <d v="2026-09-29T00:00:00"/>
    <n v="1047480286"/>
    <s v="MARIMON POMBO  YONAICER"/>
    <n v="68"/>
    <n v="0"/>
    <n v="3658955"/>
  </r>
  <r>
    <s v="Retail"/>
    <s v="Q109 - Cartagena - Cc La Castellana"/>
    <x v="0"/>
    <s v="septiembre"/>
    <n v="29"/>
    <d v="2026-09-29T00:00:00"/>
    <n v="1067882225"/>
    <s v="PENA PATERNINA MARIA ANGELICA"/>
    <n v="72"/>
    <n v="0"/>
    <n v="3929713"/>
  </r>
  <r>
    <s v="Retail"/>
    <s v="Q109 - Cartagena - Cc La Castellana"/>
    <x v="0"/>
    <s v="septiembre"/>
    <n v="29"/>
    <d v="2026-09-29T00:00:00"/>
    <n v="1104254048"/>
    <s v="CAMPUZANO CAGUA ETILVIA   ROSA"/>
    <n v="28"/>
    <n v="0"/>
    <n v="1246725"/>
  </r>
  <r>
    <s v="Retail"/>
    <s v="Q109 - Cartagena - Cc La Castellana"/>
    <x v="0"/>
    <s v="septiembre"/>
    <n v="30"/>
    <d v="2026-09-30T00:00:00"/>
    <m/>
    <m/>
    <n v="0"/>
    <n v="18132242"/>
    <n v="0"/>
  </r>
  <r>
    <s v="Retail"/>
    <s v="Q109 - Cartagena - Cc La Castellana"/>
    <x v="0"/>
    <s v="septiembre"/>
    <n v="30"/>
    <d v="2026-09-30T00:00:00"/>
    <n v="1007740486"/>
    <s v="LARA CASTRO ROSA ANGELICA"/>
    <n v="28"/>
    <n v="0"/>
    <n v="1339163"/>
  </r>
  <r>
    <s v="Retail"/>
    <s v="Q109 - Cartagena - Cc La Castellana"/>
    <x v="0"/>
    <s v="septiembre"/>
    <n v="30"/>
    <d v="2026-09-30T00:00:00"/>
    <n v="1047480286"/>
    <s v="MARIMON POMBO  YONAICER"/>
    <n v="109"/>
    <n v="0"/>
    <n v="5749626"/>
  </r>
  <r>
    <s v="Retail"/>
    <s v="Q109 - Cartagena - Cc La Castellana"/>
    <x v="0"/>
    <s v="septiembre"/>
    <n v="30"/>
    <d v="2026-09-30T00:00:00"/>
    <n v="1067882225"/>
    <s v="PENA PATERNINA MARIA ANGELICA"/>
    <n v="98"/>
    <n v="0"/>
    <n v="5388746"/>
  </r>
  <r>
    <s v="Retail"/>
    <s v="Q109 - Cartagena - Cc La Castellana"/>
    <x v="0"/>
    <s v="septiembre"/>
    <n v="30"/>
    <d v="2026-09-30T00:00:00"/>
    <n v="1104254048"/>
    <s v="CAMPUZANO CAGUA ETILVIA   ROSA"/>
    <n v="31"/>
    <n v="0"/>
    <n v="1612144"/>
  </r>
  <r>
    <s v="Retail"/>
    <s v="Q109 - Cartagena - Cc La Castellana"/>
    <x v="0"/>
    <s v="octubre"/>
    <n v="1"/>
    <d v="2026-10-01T00:00:00"/>
    <m/>
    <m/>
    <n v="0"/>
    <n v="22912240"/>
    <n v="0"/>
  </r>
  <r>
    <s v="Retail"/>
    <s v="Q109 - Cartagena - Cc La Castellana"/>
    <x v="0"/>
    <s v="octubre"/>
    <n v="1"/>
    <d v="2026-10-01T00:00:00"/>
    <n v="1007740486"/>
    <s v="LARA CASTRO ROSA ANGELICA"/>
    <n v="63"/>
    <n v="0"/>
    <n v="3383910"/>
  </r>
  <r>
    <s v="Retail"/>
    <s v="Q109 - Cartagena - Cc La Castellana"/>
    <x v="0"/>
    <s v="octubre"/>
    <n v="1"/>
    <d v="2026-10-01T00:00:00"/>
    <n v="1047480286"/>
    <s v="MARIMON POMBO  YONAICER"/>
    <n v="164"/>
    <n v="0"/>
    <n v="8658918"/>
  </r>
  <r>
    <s v="Retail"/>
    <s v="Q109 - Cartagena - Cc La Castellana"/>
    <x v="0"/>
    <s v="octubre"/>
    <n v="1"/>
    <d v="2026-10-01T00:00:00"/>
    <n v="1067882225"/>
    <s v="PENA PATERNINA MARIA ANGELICA"/>
    <n v="150"/>
    <n v="0"/>
    <n v="9130256"/>
  </r>
  <r>
    <s v="Retail"/>
    <s v="Q109 - Cartagena - Cc La Castellana"/>
    <x v="0"/>
    <s v="octubre"/>
    <n v="1"/>
    <d v="2026-10-01T00:00:00"/>
    <n v="1104254048"/>
    <s v="CAMPUZANO CAGUA ETILVIA   ROSA"/>
    <n v="65"/>
    <n v="0"/>
    <n v="3587607"/>
  </r>
  <r>
    <s v="Retail"/>
    <s v="Q109 - Cartagena - Cc La Castellana"/>
    <x v="0"/>
    <s v="octubre"/>
    <n v="2"/>
    <d v="2026-10-02T00:00:00"/>
    <m/>
    <m/>
    <n v="0"/>
    <n v="16349277"/>
    <n v="0"/>
  </r>
  <r>
    <s v="Retail"/>
    <s v="Q109 - Cartagena - Cc La Castellana"/>
    <x v="0"/>
    <s v="octubre"/>
    <n v="2"/>
    <d v="2026-10-02T00:00:00"/>
    <n v="1007740486"/>
    <s v="LARA CASTRO ROSA ANGELICA"/>
    <n v="44"/>
    <n v="0"/>
    <n v="2752357"/>
  </r>
  <r>
    <s v="Retail"/>
    <s v="Q109 - Cartagena - Cc La Castellana"/>
    <x v="0"/>
    <s v="octubre"/>
    <n v="2"/>
    <d v="2026-10-02T00:00:00"/>
    <n v="1047480286"/>
    <s v="MARIMON POMBO  YONAICER"/>
    <n v="175"/>
    <n v="0"/>
    <n v="8664799"/>
  </r>
  <r>
    <s v="Retail"/>
    <s v="Q109 - Cartagena - Cc La Castellana"/>
    <x v="0"/>
    <s v="octubre"/>
    <n v="2"/>
    <d v="2026-10-02T00:00:00"/>
    <n v="1067882225"/>
    <s v="PENA PATERNINA MARIA ANGELICA"/>
    <n v="152"/>
    <n v="0"/>
    <n v="8955763"/>
  </r>
  <r>
    <s v="Retail"/>
    <s v="Q109 - Cartagena - Cc La Castellana"/>
    <x v="0"/>
    <s v="octubre"/>
    <n v="2"/>
    <d v="2026-10-02T00:00:00"/>
    <n v="1104254048"/>
    <s v="CAMPUZANO CAGUA ETILVIA   ROSA"/>
    <n v="49"/>
    <n v="0"/>
    <n v="2567187"/>
  </r>
  <r>
    <s v="Retail"/>
    <s v="Q109 - Cartagena - Cc La Castellana"/>
    <x v="0"/>
    <s v="octubre"/>
    <n v="3"/>
    <d v="2026-10-03T00:00:00"/>
    <m/>
    <m/>
    <n v="0"/>
    <n v="30292805"/>
    <n v="0"/>
  </r>
  <r>
    <s v="Retail"/>
    <s v="Q109 - Cartagena - Cc La Castellana"/>
    <x v="0"/>
    <s v="octubre"/>
    <n v="3"/>
    <d v="2026-10-03T00:00:00"/>
    <n v="1007740486"/>
    <s v="LARA CASTRO ROSA ANGELICA"/>
    <n v="62"/>
    <n v="0"/>
    <n v="3191658"/>
  </r>
  <r>
    <s v="Retail"/>
    <s v="Q109 - Cartagena - Cc La Castellana"/>
    <x v="0"/>
    <s v="octubre"/>
    <n v="3"/>
    <d v="2026-10-03T00:00:00"/>
    <n v="1047425678"/>
    <s v="SERNA PAUTT CRISTINA ISABEL"/>
    <n v="-1"/>
    <n v="0"/>
    <n v="-138614"/>
  </r>
  <r>
    <s v="Retail"/>
    <s v="Q109 - Cartagena - Cc La Castellana"/>
    <x v="0"/>
    <s v="octubre"/>
    <n v="3"/>
    <d v="2026-10-03T00:00:00"/>
    <n v="1047480286"/>
    <s v="MARIMON POMBO  YONAICER"/>
    <n v="193"/>
    <n v="0"/>
    <n v="10788028"/>
  </r>
  <r>
    <s v="Retail"/>
    <s v="Q109 - Cartagena - Cc La Castellana"/>
    <x v="0"/>
    <s v="octubre"/>
    <n v="3"/>
    <d v="2026-10-03T00:00:00"/>
    <n v="1067882225"/>
    <s v="PENA PATERNINA MARIA ANGELICA"/>
    <n v="241"/>
    <n v="0"/>
    <n v="12698934"/>
  </r>
  <r>
    <s v="Retail"/>
    <s v="Q109 - Cartagena - Cc La Castellana"/>
    <x v="0"/>
    <s v="octubre"/>
    <n v="3"/>
    <d v="2026-10-03T00:00:00"/>
    <n v="1104254048"/>
    <s v="CAMPUZANO CAGUA ETILVIA   ROSA"/>
    <n v="76"/>
    <n v="0"/>
    <n v="3867583"/>
  </r>
  <r>
    <s v="Retail"/>
    <s v="Q109 - Cartagena - Cc La Castellana"/>
    <x v="0"/>
    <s v="octubre"/>
    <n v="4"/>
    <d v="2026-10-04T00:00:00"/>
    <m/>
    <m/>
    <n v="0"/>
    <n v="14009018"/>
    <n v="0"/>
  </r>
  <r>
    <s v="Retail"/>
    <s v="Q109 - Cartagena - Cc La Castellana"/>
    <x v="0"/>
    <s v="octubre"/>
    <n v="4"/>
    <d v="2026-10-04T00:00:00"/>
    <n v="1007740486"/>
    <s v="LARA CASTRO ROSA ANGELICA"/>
    <n v="57"/>
    <n v="0"/>
    <n v="3287356"/>
  </r>
  <r>
    <s v="Retail"/>
    <s v="Q109 - Cartagena - Cc La Castellana"/>
    <x v="0"/>
    <s v="octubre"/>
    <n v="4"/>
    <d v="2026-10-04T00:00:00"/>
    <n v="1047480286"/>
    <s v="MARIMON POMBO  YONAICER"/>
    <n v="157"/>
    <n v="0"/>
    <n v="9390386"/>
  </r>
  <r>
    <s v="Retail"/>
    <s v="Q109 - Cartagena - Cc La Castellana"/>
    <x v="0"/>
    <s v="octubre"/>
    <n v="4"/>
    <d v="2026-10-04T00:00:00"/>
    <n v="1067882225"/>
    <s v="PENA PATERNINA MARIA ANGELICA"/>
    <n v="107"/>
    <n v="0"/>
    <n v="6802019"/>
  </r>
  <r>
    <s v="Retail"/>
    <s v="Q109 - Cartagena - Cc La Castellana"/>
    <x v="0"/>
    <s v="octubre"/>
    <n v="4"/>
    <d v="2026-10-04T00:00:00"/>
    <n v="1104254048"/>
    <s v="CAMPUZANO CAGUA ETILVIA   ROSA"/>
    <n v="40"/>
    <n v="0"/>
    <n v="2678950"/>
  </r>
  <r>
    <s v="Retail"/>
    <s v="Q109 - Cartagena - Cc La Castellana"/>
    <x v="0"/>
    <s v="octubre"/>
    <n v="5"/>
    <d v="2026-10-05T00:00:00"/>
    <m/>
    <m/>
    <n v="0"/>
    <n v="8637963"/>
    <n v="0"/>
  </r>
  <r>
    <s v="Retail"/>
    <s v="Q109 - Cartagena - Cc La Castellana"/>
    <x v="0"/>
    <s v="octubre"/>
    <n v="5"/>
    <d v="2026-10-05T00:00:00"/>
    <n v="1007740486"/>
    <s v="LARA CASTRO ROSA ANGELICA"/>
    <n v="32"/>
    <n v="0"/>
    <n v="1780085"/>
  </r>
  <r>
    <s v="Retail"/>
    <s v="Q109 - Cartagena - Cc La Castellana"/>
    <x v="0"/>
    <s v="octubre"/>
    <n v="5"/>
    <d v="2026-10-05T00:00:00"/>
    <n v="1047480286"/>
    <s v="MARIMON POMBO  YONAICER"/>
    <n v="106"/>
    <n v="0"/>
    <n v="5911474"/>
  </r>
  <r>
    <s v="Retail"/>
    <s v="Q109 - Cartagena - Cc La Castellana"/>
    <x v="0"/>
    <s v="octubre"/>
    <n v="5"/>
    <d v="2026-10-05T00:00:00"/>
    <n v="1067882225"/>
    <s v="PENA PATERNINA MARIA ANGELICA"/>
    <n v="110"/>
    <n v="0"/>
    <n v="6814417"/>
  </r>
  <r>
    <s v="Retail"/>
    <s v="Q109 - Cartagena - Cc La Castellana"/>
    <x v="0"/>
    <s v="octubre"/>
    <n v="5"/>
    <d v="2026-10-05T00:00:00"/>
    <n v="1104254048"/>
    <s v="CAMPUZANO CAGUA ETILVIA   ROSA"/>
    <n v="43"/>
    <n v="0"/>
    <n v="2372107"/>
  </r>
  <r>
    <s v="Retail"/>
    <s v="Q109 - Cartagena - Cc La Castellana"/>
    <x v="0"/>
    <s v="octubre"/>
    <n v="6"/>
    <d v="2026-10-06T00:00:00"/>
    <m/>
    <m/>
    <n v="0"/>
    <n v="6732960"/>
    <n v="0"/>
  </r>
  <r>
    <s v="Retail"/>
    <s v="Q109 - Cartagena - Cc La Castellana"/>
    <x v="0"/>
    <s v="octubre"/>
    <n v="6"/>
    <d v="2026-10-06T00:00:00"/>
    <n v="1007740486"/>
    <s v="LARA CASTRO ROSA ANGELICA"/>
    <n v="22"/>
    <n v="0"/>
    <n v="1484374"/>
  </r>
  <r>
    <s v="Retail"/>
    <s v="Q109 - Cartagena - Cc La Castellana"/>
    <x v="0"/>
    <s v="octubre"/>
    <n v="6"/>
    <d v="2026-10-06T00:00:00"/>
    <n v="1047480286"/>
    <s v="MARIMON POMBO  YONAICER"/>
    <n v="58"/>
    <n v="0"/>
    <n v="3503785"/>
  </r>
  <r>
    <s v="Retail"/>
    <s v="Q109 - Cartagena - Cc La Castellana"/>
    <x v="0"/>
    <s v="octubre"/>
    <n v="6"/>
    <d v="2026-10-06T00:00:00"/>
    <n v="1067882225"/>
    <s v="PENA PATERNINA MARIA ANGELICA"/>
    <n v="51"/>
    <n v="0"/>
    <n v="2903197"/>
  </r>
  <r>
    <s v="Retail"/>
    <s v="Q109 - Cartagena - Cc La Castellana"/>
    <x v="0"/>
    <s v="octubre"/>
    <n v="6"/>
    <d v="2026-10-06T00:00:00"/>
    <n v="1104254048"/>
    <s v="CAMPUZANO CAGUA ETILVIA   ROSA"/>
    <n v="26"/>
    <n v="0"/>
    <n v="1360211"/>
  </r>
  <r>
    <s v="Retail"/>
    <s v="Q109 - Cartagena - Cc La Castellana"/>
    <x v="0"/>
    <s v="octubre"/>
    <n v="7"/>
    <d v="2026-10-07T00:00:00"/>
    <m/>
    <m/>
    <n v="0"/>
    <n v="6644367"/>
    <n v="0"/>
  </r>
  <r>
    <s v="Retail"/>
    <s v="Q109 - Cartagena - Cc La Castellana"/>
    <x v="0"/>
    <s v="octubre"/>
    <n v="7"/>
    <d v="2026-10-07T00:00:00"/>
    <n v="1007740486"/>
    <s v="LARA CASTRO ROSA ANGELICA"/>
    <n v="2"/>
    <n v="0"/>
    <n v="197395"/>
  </r>
  <r>
    <s v="Retail"/>
    <s v="Q109 - Cartagena - Cc La Castellana"/>
    <x v="0"/>
    <s v="octubre"/>
    <n v="7"/>
    <d v="2026-10-07T00:00:00"/>
    <n v="1047480286"/>
    <s v="MARIMON POMBO  YONAICER"/>
    <n v="84"/>
    <n v="0"/>
    <n v="4975258"/>
  </r>
  <r>
    <s v="Retail"/>
    <s v="Q109 - Cartagena - Cc La Castellana"/>
    <x v="0"/>
    <s v="octubre"/>
    <n v="7"/>
    <d v="2026-10-07T00:00:00"/>
    <n v="1067882225"/>
    <s v="PENA PATERNINA MARIA ANGELICA"/>
    <n v="94"/>
    <n v="0"/>
    <n v="5386764"/>
  </r>
  <r>
    <s v="Retail"/>
    <s v="Q109 - Cartagena - Cc La Castellana"/>
    <x v="0"/>
    <s v="octubre"/>
    <n v="7"/>
    <d v="2026-10-07T00:00:00"/>
    <n v="1104254048"/>
    <s v="CAMPUZANO CAGUA ETILVIA   ROSA"/>
    <n v="0"/>
    <n v="0"/>
    <n v="0"/>
  </r>
  <r>
    <s v="Retail"/>
    <s v="Q118 - Sincelejo - Cc Guacari"/>
    <x v="0"/>
    <s v="septiembre"/>
    <n v="23"/>
    <d v="2026-09-23T00:00:00"/>
    <m/>
    <m/>
    <n v="0"/>
    <n v="11609796"/>
    <n v="0"/>
  </r>
  <r>
    <s v="Retail"/>
    <s v="Q118 - Sincelejo - Cc Guacari"/>
    <x v="0"/>
    <s v="septiembre"/>
    <n v="23"/>
    <d v="2026-09-23T00:00:00"/>
    <n v="23178785"/>
    <s v="RUIZ MARTINEZ KAREN LORENA"/>
    <n v="109"/>
    <n v="0"/>
    <n v="5885851"/>
  </r>
  <r>
    <s v="Retail"/>
    <s v="Q118 - Sincelejo - Cc Guacari"/>
    <x v="0"/>
    <s v="septiembre"/>
    <n v="23"/>
    <d v="2026-09-23T00:00:00"/>
    <n v="1148946437"/>
    <s v="GARCIA GONZALEZ ANGELICA MILENA"/>
    <n v="139"/>
    <n v="0"/>
    <n v="7752444"/>
  </r>
  <r>
    <s v="Retail"/>
    <s v="Q118 - Sincelejo - Cc Guacari"/>
    <x v="0"/>
    <s v="septiembre"/>
    <n v="24"/>
    <d v="2026-09-24T00:00:00"/>
    <m/>
    <m/>
    <n v="0"/>
    <n v="17735271"/>
    <n v="0"/>
  </r>
  <r>
    <s v="Retail"/>
    <s v="Q118 - Sincelejo - Cc Guacari"/>
    <x v="0"/>
    <s v="septiembre"/>
    <n v="24"/>
    <d v="2026-09-24T00:00:00"/>
    <n v="23178785"/>
    <s v="RUIZ MARTINEZ KAREN LORENA"/>
    <n v="97"/>
    <n v="0"/>
    <n v="4603033"/>
  </r>
  <r>
    <s v="Retail"/>
    <s v="Q118 - Sincelejo - Cc Guacari"/>
    <x v="0"/>
    <s v="septiembre"/>
    <n v="24"/>
    <d v="2026-09-24T00:00:00"/>
    <n v="1102813946"/>
    <s v="BANQUEZ MORENO MARIA JOSE"/>
    <n v="31"/>
    <n v="0"/>
    <n v="1610002"/>
  </r>
  <r>
    <s v="Retail"/>
    <s v="Q118 - Sincelejo - Cc Guacari"/>
    <x v="0"/>
    <s v="septiembre"/>
    <n v="24"/>
    <d v="2026-09-24T00:00:00"/>
    <n v="1148946437"/>
    <s v="GARCIA GONZALEZ ANGELICA MILENA"/>
    <n v="127"/>
    <n v="0"/>
    <n v="6145850"/>
  </r>
  <r>
    <s v="Retail"/>
    <s v="Q118 - Sincelejo - Cc Guacari"/>
    <x v="0"/>
    <s v="septiembre"/>
    <n v="25"/>
    <d v="2026-09-25T00:00:00"/>
    <m/>
    <m/>
    <n v="0"/>
    <n v="17696009"/>
    <n v="0"/>
  </r>
  <r>
    <s v="Retail"/>
    <s v="Q118 - Sincelejo - Cc Guacari"/>
    <x v="0"/>
    <s v="septiembre"/>
    <n v="25"/>
    <d v="2026-09-25T00:00:00"/>
    <n v="23178785"/>
    <s v="RUIZ MARTINEZ KAREN LORENA"/>
    <n v="105"/>
    <n v="0"/>
    <n v="5709758"/>
  </r>
  <r>
    <s v="Retail"/>
    <s v="Q118 - Sincelejo - Cc Guacari"/>
    <x v="0"/>
    <s v="septiembre"/>
    <n v="25"/>
    <d v="2026-09-25T00:00:00"/>
    <n v="1102813946"/>
    <s v="BANQUEZ MORENO MARIA JOSE"/>
    <n v="51"/>
    <n v="0"/>
    <n v="2512445"/>
  </r>
  <r>
    <s v="Retail"/>
    <s v="Q118 - Sincelejo - Cc Guacari"/>
    <x v="0"/>
    <s v="septiembre"/>
    <n v="25"/>
    <d v="2026-09-25T00:00:00"/>
    <n v="1148946437"/>
    <s v="GARCIA GONZALEZ ANGELICA MILENA"/>
    <n v="90"/>
    <n v="0"/>
    <n v="5615887"/>
  </r>
  <r>
    <s v="Retail"/>
    <s v="Q118 - Sincelejo - Cc Guacari"/>
    <x v="0"/>
    <s v="septiembre"/>
    <n v="26"/>
    <d v="2026-09-26T00:00:00"/>
    <m/>
    <m/>
    <n v="0"/>
    <n v="25431705"/>
    <n v="0"/>
  </r>
  <r>
    <s v="Retail"/>
    <s v="Q118 - Sincelejo - Cc Guacari"/>
    <x v="0"/>
    <s v="septiembre"/>
    <n v="26"/>
    <d v="2026-09-26T00:00:00"/>
    <n v="23178785"/>
    <s v="RUIZ MARTINEZ KAREN LORENA"/>
    <n v="123"/>
    <n v="0"/>
    <n v="6876858"/>
  </r>
  <r>
    <s v="Retail"/>
    <s v="Q118 - Sincelejo - Cc Guacari"/>
    <x v="0"/>
    <s v="septiembre"/>
    <n v="26"/>
    <d v="2026-09-26T00:00:00"/>
    <n v="1102813946"/>
    <s v="BANQUEZ MORENO MARIA JOSE"/>
    <n v="57"/>
    <n v="0"/>
    <n v="3306391"/>
  </r>
  <r>
    <s v="Retail"/>
    <s v="Q118 - Sincelejo - Cc Guacari"/>
    <x v="0"/>
    <s v="septiembre"/>
    <n v="26"/>
    <d v="2026-09-26T00:00:00"/>
    <n v="1148946437"/>
    <s v="GARCIA GONZALEZ ANGELICA MILENA"/>
    <n v="145"/>
    <n v="0"/>
    <n v="8077782"/>
  </r>
  <r>
    <s v="Retail"/>
    <s v="Q118 - Sincelejo - Cc Guacari"/>
    <x v="0"/>
    <s v="septiembre"/>
    <n v="27"/>
    <d v="2026-09-27T00:00:00"/>
    <m/>
    <m/>
    <n v="0"/>
    <n v="20147031"/>
    <n v="0"/>
  </r>
  <r>
    <s v="Retail"/>
    <s v="Q118 - Sincelejo - Cc Guacari"/>
    <x v="0"/>
    <s v="septiembre"/>
    <n v="27"/>
    <d v="2026-09-27T00:00:00"/>
    <n v="23178785"/>
    <s v="RUIZ MARTINEZ KAREN LORENA"/>
    <n v="74"/>
    <n v="0"/>
    <n v="4024168"/>
  </r>
  <r>
    <s v="Retail"/>
    <s v="Q118 - Sincelejo - Cc Guacari"/>
    <x v="0"/>
    <s v="septiembre"/>
    <n v="27"/>
    <d v="2026-09-27T00:00:00"/>
    <n v="1102813946"/>
    <s v="BANQUEZ MORENO MARIA JOSE"/>
    <n v="28"/>
    <n v="0"/>
    <n v="1860127"/>
  </r>
  <r>
    <s v="Retail"/>
    <s v="Q118 - Sincelejo - Cc Guacari"/>
    <x v="0"/>
    <s v="septiembre"/>
    <n v="27"/>
    <d v="2026-09-27T00:00:00"/>
    <n v="1103109383"/>
    <s v="PENA GONZALEZ YESICA ESTHER"/>
    <n v="-1"/>
    <n v="0"/>
    <n v="-50336"/>
  </r>
  <r>
    <s v="Retail"/>
    <s v="Q118 - Sincelejo - Cc Guacari"/>
    <x v="0"/>
    <s v="septiembre"/>
    <n v="27"/>
    <d v="2026-09-27T00:00:00"/>
    <n v="1148946437"/>
    <s v="GARCIA GONZALEZ ANGELICA MILENA"/>
    <n v="86"/>
    <n v="0"/>
    <n v="5002611"/>
  </r>
  <r>
    <s v="Retail"/>
    <s v="Q118 - Sincelejo - Cc Guacari"/>
    <x v="0"/>
    <s v="septiembre"/>
    <n v="28"/>
    <d v="2026-09-28T00:00:00"/>
    <m/>
    <m/>
    <n v="0"/>
    <n v="11088098"/>
    <n v="0"/>
  </r>
  <r>
    <s v="Retail"/>
    <s v="Q118 - Sincelejo - Cc Guacari"/>
    <x v="0"/>
    <s v="septiembre"/>
    <n v="28"/>
    <d v="2026-09-28T00:00:00"/>
    <n v="23178785"/>
    <s v="RUIZ MARTINEZ KAREN LORENA"/>
    <n v="34"/>
    <n v="0"/>
    <n v="1624497"/>
  </r>
  <r>
    <s v="Retail"/>
    <s v="Q118 - Sincelejo - Cc Guacari"/>
    <x v="0"/>
    <s v="septiembre"/>
    <n v="28"/>
    <d v="2026-09-28T00:00:00"/>
    <n v="1102813946"/>
    <s v="BANQUEZ MORENO MARIA JOSE"/>
    <n v="8"/>
    <n v="0"/>
    <n v="617312"/>
  </r>
  <r>
    <s v="Retail"/>
    <s v="Q118 - Sincelejo - Cc Guacari"/>
    <x v="0"/>
    <s v="septiembre"/>
    <n v="28"/>
    <d v="2026-09-28T00:00:00"/>
    <n v="1148946437"/>
    <s v="GARCIA GONZALEZ ANGELICA MILENA"/>
    <n v="52"/>
    <n v="0"/>
    <n v="3123784"/>
  </r>
  <r>
    <s v="Retail"/>
    <s v="Q118 - Sincelejo - Cc Guacari"/>
    <x v="0"/>
    <s v="septiembre"/>
    <n v="29"/>
    <d v="2026-09-29T00:00:00"/>
    <m/>
    <m/>
    <n v="0"/>
    <n v="11844261"/>
    <n v="0"/>
  </r>
  <r>
    <s v="Retail"/>
    <s v="Q118 - Sincelejo - Cc Guacari"/>
    <x v="0"/>
    <s v="septiembre"/>
    <n v="29"/>
    <d v="2026-09-29T00:00:00"/>
    <n v="23178785"/>
    <s v="RUIZ MARTINEZ KAREN LORENA"/>
    <n v="64"/>
    <n v="0"/>
    <n v="3736682"/>
  </r>
  <r>
    <s v="Retail"/>
    <s v="Q118 - Sincelejo - Cc Guacari"/>
    <x v="0"/>
    <s v="septiembre"/>
    <n v="29"/>
    <d v="2026-09-29T00:00:00"/>
    <n v="1102813946"/>
    <s v="BANQUEZ MORENO MARIA JOSE"/>
    <n v="9"/>
    <n v="0"/>
    <n v="487018"/>
  </r>
  <r>
    <s v="Retail"/>
    <s v="Q118 - Sincelejo - Cc Guacari"/>
    <x v="0"/>
    <s v="septiembre"/>
    <n v="29"/>
    <d v="2026-09-29T00:00:00"/>
    <n v="1148946437"/>
    <s v="GARCIA GONZALEZ ANGELICA MILENA"/>
    <n v="60"/>
    <n v="0"/>
    <n v="2896434"/>
  </r>
  <r>
    <s v="Retail"/>
    <s v="Q118 - Sincelejo - Cc Guacari"/>
    <x v="0"/>
    <s v="septiembre"/>
    <n v="30"/>
    <d v="2026-09-30T00:00:00"/>
    <m/>
    <m/>
    <n v="0"/>
    <n v="12235331"/>
    <n v="0"/>
  </r>
  <r>
    <s v="Retail"/>
    <s v="Q118 - Sincelejo - Cc Guacari"/>
    <x v="0"/>
    <s v="septiembre"/>
    <n v="30"/>
    <d v="2026-09-30T00:00:00"/>
    <n v="23178785"/>
    <s v="RUIZ MARTINEZ KAREN LORENA"/>
    <n v="85"/>
    <n v="0"/>
    <n v="4378281"/>
  </r>
  <r>
    <s v="Retail"/>
    <s v="Q118 - Sincelejo - Cc Guacari"/>
    <x v="0"/>
    <s v="septiembre"/>
    <n v="30"/>
    <d v="2026-09-30T00:00:00"/>
    <n v="1102813946"/>
    <s v="BANQUEZ MORENO MARIA JOSE"/>
    <n v="16"/>
    <n v="0"/>
    <n v="835463"/>
  </r>
  <r>
    <s v="Retail"/>
    <s v="Q118 - Sincelejo - Cc Guacari"/>
    <x v="0"/>
    <s v="septiembre"/>
    <n v="30"/>
    <d v="2026-09-30T00:00:00"/>
    <n v="1148946437"/>
    <s v="GARCIA GONZALEZ ANGELICA MILENA"/>
    <n v="24"/>
    <n v="0"/>
    <n v="1192018"/>
  </r>
  <r>
    <s v="Retail"/>
    <s v="Q118 - Sincelejo - Cc Guacari"/>
    <x v="0"/>
    <s v="octubre"/>
    <n v="1"/>
    <d v="2026-10-01T00:00:00"/>
    <m/>
    <m/>
    <n v="0"/>
    <n v="11971964"/>
    <n v="0"/>
  </r>
  <r>
    <s v="Retail"/>
    <s v="Q118 - Sincelejo - Cc Guacari"/>
    <x v="0"/>
    <s v="octubre"/>
    <n v="1"/>
    <d v="2026-10-01T00:00:00"/>
    <n v="23178785"/>
    <s v="RUIZ MARTINEZ KAREN LORENA"/>
    <n v="74"/>
    <n v="0"/>
    <n v="4017697"/>
  </r>
  <r>
    <s v="Retail"/>
    <s v="Q118 - Sincelejo - Cc Guacari"/>
    <x v="0"/>
    <s v="octubre"/>
    <n v="1"/>
    <d v="2026-10-01T00:00:00"/>
    <n v="1102813946"/>
    <s v="BANQUEZ MORENO MARIA JOSE"/>
    <n v="22"/>
    <n v="0"/>
    <n v="1230085"/>
  </r>
  <r>
    <s v="Retail"/>
    <s v="Q118 - Sincelejo - Cc Guacari"/>
    <x v="0"/>
    <s v="octubre"/>
    <n v="1"/>
    <d v="2026-10-01T00:00:00"/>
    <n v="1103109383"/>
    <s v="PENA GONZALEZ YESICA ESTHER"/>
    <n v="-1"/>
    <n v="0"/>
    <n v="-105000"/>
  </r>
  <r>
    <s v="Retail"/>
    <s v="Q118 - Sincelejo - Cc Guacari"/>
    <x v="0"/>
    <s v="octubre"/>
    <n v="1"/>
    <d v="2026-10-01T00:00:00"/>
    <n v="1148946437"/>
    <s v="GARCIA GONZALEZ ANGELICA MILENA"/>
    <n v="57"/>
    <n v="0"/>
    <n v="3201184"/>
  </r>
  <r>
    <s v="Retail"/>
    <s v="Q118 - Sincelejo - Cc Guacari"/>
    <x v="0"/>
    <s v="octubre"/>
    <n v="2"/>
    <d v="2026-10-02T00:00:00"/>
    <m/>
    <m/>
    <n v="0"/>
    <n v="9725400"/>
    <n v="0"/>
  </r>
  <r>
    <s v="Retail"/>
    <s v="Q118 - Sincelejo - Cc Guacari"/>
    <x v="0"/>
    <s v="octubre"/>
    <n v="2"/>
    <d v="2026-10-02T00:00:00"/>
    <n v="23178785"/>
    <s v="RUIZ MARTINEZ KAREN LORENA"/>
    <n v="88"/>
    <n v="0"/>
    <n v="5250258"/>
  </r>
  <r>
    <s v="Retail"/>
    <s v="Q118 - Sincelejo - Cc Guacari"/>
    <x v="0"/>
    <s v="octubre"/>
    <n v="2"/>
    <d v="2026-10-02T00:00:00"/>
    <n v="1102813946"/>
    <s v="BANQUEZ MORENO MARIA JOSE"/>
    <n v="21"/>
    <n v="0"/>
    <n v="1108195"/>
  </r>
  <r>
    <s v="Retail"/>
    <s v="Q118 - Sincelejo - Cc Guacari"/>
    <x v="0"/>
    <s v="octubre"/>
    <n v="2"/>
    <d v="2026-10-02T00:00:00"/>
    <n v="1148946437"/>
    <s v="GARCIA GONZALEZ ANGELICA MILENA"/>
    <n v="111"/>
    <n v="0"/>
    <n v="6003582"/>
  </r>
  <r>
    <s v="Retail"/>
    <s v="Q118 - Sincelejo - Cc Guacari"/>
    <x v="0"/>
    <s v="octubre"/>
    <n v="3"/>
    <d v="2026-10-03T00:00:00"/>
    <m/>
    <m/>
    <n v="0"/>
    <n v="20589732"/>
    <n v="0"/>
  </r>
  <r>
    <s v="Retail"/>
    <s v="Q118 - Sincelejo - Cc Guacari"/>
    <x v="0"/>
    <s v="octubre"/>
    <n v="3"/>
    <d v="2026-10-03T00:00:00"/>
    <n v="23178785"/>
    <s v="RUIZ MARTINEZ KAREN LORENA"/>
    <n v="152"/>
    <n v="0"/>
    <n v="7984132"/>
  </r>
  <r>
    <s v="Retail"/>
    <s v="Q118 - Sincelejo - Cc Guacari"/>
    <x v="0"/>
    <s v="octubre"/>
    <n v="3"/>
    <d v="2026-10-03T00:00:00"/>
    <n v="1102813946"/>
    <s v="BANQUEZ MORENO MARIA JOSE"/>
    <n v="28"/>
    <n v="0"/>
    <n v="1452573"/>
  </r>
  <r>
    <s v="Retail"/>
    <s v="Q118 - Sincelejo - Cc Guacari"/>
    <x v="0"/>
    <s v="octubre"/>
    <n v="3"/>
    <d v="2026-10-03T00:00:00"/>
    <n v="1148946437"/>
    <s v="GARCIA GONZALEZ ANGELICA MILENA"/>
    <n v="142"/>
    <n v="0"/>
    <n v="7404443"/>
  </r>
  <r>
    <s v="Retail"/>
    <s v="Q118 - Sincelejo - Cc Guacari"/>
    <x v="0"/>
    <s v="octubre"/>
    <n v="4"/>
    <d v="2026-10-04T00:00:00"/>
    <m/>
    <m/>
    <n v="0"/>
    <n v="13962212"/>
    <n v="0"/>
  </r>
  <r>
    <s v="Retail"/>
    <s v="Q118 - Sincelejo - Cc Guacari"/>
    <x v="0"/>
    <s v="octubre"/>
    <n v="4"/>
    <d v="2026-10-04T00:00:00"/>
    <n v="23178785"/>
    <s v="RUIZ MARTINEZ KAREN LORENA"/>
    <n v="88"/>
    <n v="0"/>
    <n v="5218620"/>
  </r>
  <r>
    <s v="Retail"/>
    <s v="Q118 - Sincelejo - Cc Guacari"/>
    <x v="0"/>
    <s v="octubre"/>
    <n v="4"/>
    <d v="2026-10-04T00:00:00"/>
    <n v="1102813946"/>
    <s v="BANQUEZ MORENO MARIA JOSE"/>
    <n v="49"/>
    <n v="0"/>
    <n v="2865508"/>
  </r>
  <r>
    <s v="Retail"/>
    <s v="Q118 - Sincelejo - Cc Guacari"/>
    <x v="0"/>
    <s v="octubre"/>
    <n v="4"/>
    <d v="2026-10-04T00:00:00"/>
    <n v="1148946437"/>
    <s v="GARCIA GONZALEZ ANGELICA MILENA"/>
    <n v="114"/>
    <n v="0"/>
    <n v="6097827"/>
  </r>
  <r>
    <s v="Retail"/>
    <s v="Q118 - Sincelejo - Cc Guacari"/>
    <x v="0"/>
    <s v="octubre"/>
    <n v="5"/>
    <d v="2026-10-05T00:00:00"/>
    <m/>
    <m/>
    <n v="0"/>
    <n v="7910220"/>
    <n v="0"/>
  </r>
  <r>
    <s v="Retail"/>
    <s v="Q118 - Sincelejo - Cc Guacari"/>
    <x v="0"/>
    <s v="octubre"/>
    <n v="5"/>
    <d v="2026-10-05T00:00:00"/>
    <n v="23178785"/>
    <s v="RUIZ MARTINEZ KAREN LORENA"/>
    <n v="61"/>
    <n v="0"/>
    <n v="3007610"/>
  </r>
  <r>
    <s v="Retail"/>
    <s v="Q118 - Sincelejo - Cc Guacari"/>
    <x v="0"/>
    <s v="octubre"/>
    <n v="5"/>
    <d v="2026-10-05T00:00:00"/>
    <n v="1102813946"/>
    <s v="BANQUEZ MORENO MARIA JOSE"/>
    <n v="19"/>
    <n v="0"/>
    <n v="1032775"/>
  </r>
  <r>
    <s v="Retail"/>
    <s v="Q118 - Sincelejo - Cc Guacari"/>
    <x v="0"/>
    <s v="octubre"/>
    <n v="5"/>
    <d v="2026-10-05T00:00:00"/>
    <n v="1148946437"/>
    <s v="GARCIA GONZALEZ ANGELICA MILENA"/>
    <n v="49"/>
    <n v="0"/>
    <n v="2624348"/>
  </r>
  <r>
    <s v="Retail"/>
    <s v="Q118 - Sincelejo - Cc Guacari"/>
    <x v="0"/>
    <s v="octubre"/>
    <n v="6"/>
    <d v="2026-10-06T00:00:00"/>
    <m/>
    <m/>
    <n v="0"/>
    <n v="7716952"/>
    <n v="0"/>
  </r>
  <r>
    <s v="Retail"/>
    <s v="Q118 - Sincelejo - Cc Guacari"/>
    <x v="0"/>
    <s v="octubre"/>
    <n v="6"/>
    <d v="2026-10-06T00:00:00"/>
    <n v="23178785"/>
    <s v="RUIZ MARTINEZ KAREN LORENA"/>
    <n v="21"/>
    <n v="0"/>
    <n v="1167186"/>
  </r>
  <r>
    <s v="Retail"/>
    <s v="Q118 - Sincelejo - Cc Guacari"/>
    <x v="0"/>
    <s v="octubre"/>
    <n v="6"/>
    <d v="2026-10-06T00:00:00"/>
    <n v="1102813946"/>
    <s v="BANQUEZ MORENO MARIA JOSE"/>
    <n v="4"/>
    <n v="0"/>
    <n v="251933"/>
  </r>
  <r>
    <s v="Retail"/>
    <s v="Q118 - Sincelejo - Cc Guacari"/>
    <x v="0"/>
    <s v="octubre"/>
    <n v="6"/>
    <d v="2026-10-06T00:00:00"/>
    <n v="1148946437"/>
    <s v="GARCIA GONZALEZ ANGELICA MILENA"/>
    <n v="22"/>
    <n v="0"/>
    <n v="1469580"/>
  </r>
  <r>
    <s v="Retail"/>
    <s v="Q118 - Sincelejo - Cc Guacari"/>
    <x v="0"/>
    <s v="octubre"/>
    <n v="7"/>
    <d v="2026-10-07T00:00:00"/>
    <m/>
    <m/>
    <n v="0"/>
    <n v="7615416"/>
    <n v="0"/>
  </r>
  <r>
    <s v="Retail"/>
    <s v="Q118 - Sincelejo - Cc Guacari"/>
    <x v="0"/>
    <s v="octubre"/>
    <n v="7"/>
    <d v="2026-10-07T00:00:00"/>
    <n v="23178785"/>
    <s v="RUIZ MARTINEZ KAREN LORENA"/>
    <n v="26"/>
    <n v="0"/>
    <n v="1414751"/>
  </r>
  <r>
    <s v="Retail"/>
    <s v="Q118 - Sincelejo - Cc Guacari"/>
    <x v="0"/>
    <s v="octubre"/>
    <n v="7"/>
    <d v="2026-10-07T00:00:00"/>
    <n v="1102813946"/>
    <s v="BANQUEZ MORENO MARIA JOSE"/>
    <n v="7"/>
    <n v="0"/>
    <n v="344202"/>
  </r>
  <r>
    <s v="Retail"/>
    <s v="Q118 - Sincelejo - Cc Guacari"/>
    <x v="0"/>
    <s v="octubre"/>
    <n v="7"/>
    <d v="2026-10-07T00:00:00"/>
    <n v="1148946437"/>
    <s v="GARCIA GONZALEZ ANGELICA MILENA"/>
    <n v="32"/>
    <n v="0"/>
    <n v="1998490"/>
  </r>
  <r>
    <s v="Retail"/>
    <s v="Q128- Barranquilla cc parque alegra"/>
    <x v="0"/>
    <s v="septiembre"/>
    <n v="23"/>
    <d v="2026-09-23T00:00:00"/>
    <m/>
    <m/>
    <n v="0"/>
    <n v="17189555"/>
    <n v="0"/>
  </r>
  <r>
    <s v="Retail"/>
    <s v="Q128- Barranquilla cc parque alegra"/>
    <x v="0"/>
    <s v="septiembre"/>
    <n v="23"/>
    <d v="2026-09-23T00:00:00"/>
    <n v="22533177"/>
    <s v="ARRIETA HAMBURGER CINTHIA PATRICIA"/>
    <n v="101"/>
    <n v="0"/>
    <n v="5315092"/>
  </r>
  <r>
    <s v="Retail"/>
    <s v="Q128- Barranquilla cc parque alegra"/>
    <x v="0"/>
    <s v="septiembre"/>
    <n v="23"/>
    <d v="2026-09-23T00:00:00"/>
    <n v="1044434618"/>
    <s v="CASTRO GALINDO BERLIS JOHANA"/>
    <n v="27"/>
    <n v="0"/>
    <n v="1356011"/>
  </r>
  <r>
    <s v="Retail"/>
    <s v="Q128- Barranquilla cc parque alegra"/>
    <x v="0"/>
    <s v="septiembre"/>
    <n v="23"/>
    <d v="2026-09-23T00:00:00"/>
    <n v="1098200569"/>
    <s v="VESGA CALA DIANA KATHERINE"/>
    <n v="126"/>
    <n v="0"/>
    <n v="7007315"/>
  </r>
  <r>
    <s v="Retail"/>
    <s v="Q128- Barranquilla cc parque alegra"/>
    <x v="0"/>
    <s v="septiembre"/>
    <n v="23"/>
    <d v="2026-09-23T00:00:00"/>
    <n v="1143142715"/>
    <s v="BARRAZA  MORENO BRANDON JOSE "/>
    <n v="99"/>
    <n v="0"/>
    <n v="4945424"/>
  </r>
  <r>
    <s v="Retail"/>
    <s v="Q128- Barranquilla cc parque alegra"/>
    <x v="0"/>
    <s v="septiembre"/>
    <n v="24"/>
    <d v="2026-09-24T00:00:00"/>
    <m/>
    <m/>
    <n v="0"/>
    <n v="26258981"/>
    <n v="0"/>
  </r>
  <r>
    <s v="Retail"/>
    <s v="Q128- Barranquilla cc parque alegra"/>
    <x v="0"/>
    <s v="septiembre"/>
    <n v="24"/>
    <d v="2026-09-24T00:00:00"/>
    <n v="22533177"/>
    <s v="ARRIETA HAMBURGER CINTHIA PATRICIA"/>
    <n v="103"/>
    <n v="0"/>
    <n v="6029244"/>
  </r>
  <r>
    <s v="Retail"/>
    <s v="Q128- Barranquilla cc parque alegra"/>
    <x v="0"/>
    <s v="septiembre"/>
    <n v="24"/>
    <d v="2026-09-24T00:00:00"/>
    <n v="1044434618"/>
    <s v="CASTRO GALINDO BERLIS JOHANA"/>
    <n v="38"/>
    <n v="0"/>
    <n v="1994160"/>
  </r>
  <r>
    <s v="Retail"/>
    <s v="Q128- Barranquilla cc parque alegra"/>
    <x v="0"/>
    <s v="septiembre"/>
    <n v="24"/>
    <d v="2026-09-24T00:00:00"/>
    <n v="1098200569"/>
    <s v="VESGA CALA DIANA KATHERINE"/>
    <n v="97"/>
    <n v="0"/>
    <n v="5285845"/>
  </r>
  <r>
    <s v="Retail"/>
    <s v="Q128- Barranquilla cc parque alegra"/>
    <x v="0"/>
    <s v="septiembre"/>
    <n v="24"/>
    <d v="2026-09-24T00:00:00"/>
    <n v="1143142715"/>
    <s v="BARRAZA  MORENO BRANDON JOSE "/>
    <n v="96"/>
    <n v="0"/>
    <n v="5340510"/>
  </r>
  <r>
    <s v="Retail"/>
    <s v="Q128- Barranquilla cc parque alegra"/>
    <x v="0"/>
    <s v="septiembre"/>
    <n v="25"/>
    <d v="2026-09-25T00:00:00"/>
    <m/>
    <m/>
    <n v="0"/>
    <n v="26200849"/>
    <n v="0"/>
  </r>
  <r>
    <s v="Retail"/>
    <s v="Q128- Barranquilla cc parque alegra"/>
    <x v="0"/>
    <s v="septiembre"/>
    <n v="25"/>
    <d v="2026-09-25T00:00:00"/>
    <n v="22533177"/>
    <s v="ARRIETA HAMBURGER CINTHIA PATRICIA"/>
    <n v="131"/>
    <n v="0"/>
    <n v="7044796"/>
  </r>
  <r>
    <s v="Retail"/>
    <s v="Q128- Barranquilla cc parque alegra"/>
    <x v="0"/>
    <s v="septiembre"/>
    <n v="25"/>
    <d v="2026-09-25T00:00:00"/>
    <n v="1044434618"/>
    <s v="CASTRO GALINDO BERLIS JOHANA"/>
    <n v="43"/>
    <n v="0"/>
    <n v="2006556"/>
  </r>
  <r>
    <s v="Retail"/>
    <s v="Q128- Barranquilla cc parque alegra"/>
    <x v="0"/>
    <s v="septiembre"/>
    <n v="25"/>
    <d v="2026-09-25T00:00:00"/>
    <n v="1098200569"/>
    <s v="VESGA CALA DIANA KATHERINE"/>
    <n v="125"/>
    <n v="0"/>
    <n v="6636742"/>
  </r>
  <r>
    <s v="Retail"/>
    <s v="Q128- Barranquilla cc parque alegra"/>
    <x v="0"/>
    <s v="septiembre"/>
    <n v="25"/>
    <d v="2026-09-25T00:00:00"/>
    <n v="1143142715"/>
    <s v="BARRAZA  MORENO BRANDON JOSE "/>
    <n v="93"/>
    <n v="0"/>
    <n v="4252271"/>
  </r>
  <r>
    <s v="Retail"/>
    <s v="Q128- Barranquilla cc parque alegra"/>
    <x v="0"/>
    <s v="septiembre"/>
    <n v="26"/>
    <d v="2026-09-26T00:00:00"/>
    <m/>
    <m/>
    <n v="0"/>
    <n v="37654388"/>
    <n v="0"/>
  </r>
  <r>
    <s v="Retail"/>
    <s v="Q128- Barranquilla cc parque alegra"/>
    <x v="0"/>
    <s v="septiembre"/>
    <n v="26"/>
    <d v="2026-09-26T00:00:00"/>
    <n v="22533177"/>
    <s v="ARRIETA HAMBURGER CINTHIA PATRICIA"/>
    <n v="182"/>
    <n v="0"/>
    <n v="10290512"/>
  </r>
  <r>
    <s v="Retail"/>
    <s v="Q128- Barranquilla cc parque alegra"/>
    <x v="0"/>
    <s v="septiembre"/>
    <n v="26"/>
    <d v="2026-09-26T00:00:00"/>
    <n v="1044434618"/>
    <s v="CASTRO GALINDO BERLIS JOHANA"/>
    <n v="52"/>
    <n v="0"/>
    <n v="2695296"/>
  </r>
  <r>
    <s v="Retail"/>
    <s v="Q128- Barranquilla cc parque alegra"/>
    <x v="0"/>
    <s v="septiembre"/>
    <n v="26"/>
    <d v="2026-09-26T00:00:00"/>
    <n v="1098200569"/>
    <s v="VESGA CALA DIANA KATHERINE"/>
    <n v="218"/>
    <n v="0"/>
    <n v="12123079"/>
  </r>
  <r>
    <s v="Retail"/>
    <s v="Q128- Barranquilla cc parque alegra"/>
    <x v="0"/>
    <s v="septiembre"/>
    <n v="26"/>
    <d v="2026-09-26T00:00:00"/>
    <n v="1143142715"/>
    <s v="BARRAZA  MORENO BRANDON JOSE "/>
    <n v="113"/>
    <n v="0"/>
    <n v="6243033"/>
  </r>
  <r>
    <s v="Retail"/>
    <s v="Q128- Barranquilla cc parque alegra"/>
    <x v="0"/>
    <s v="septiembre"/>
    <n v="27"/>
    <d v="2026-09-27T00:00:00"/>
    <m/>
    <m/>
    <n v="0"/>
    <n v="29829855"/>
    <n v="0"/>
  </r>
  <r>
    <s v="Retail"/>
    <s v="Q128- Barranquilla cc parque alegra"/>
    <x v="0"/>
    <s v="septiembre"/>
    <n v="27"/>
    <d v="2026-09-27T00:00:00"/>
    <n v="22533177"/>
    <s v="ARRIETA HAMBURGER CINTHIA PATRICIA"/>
    <n v="146"/>
    <n v="0"/>
    <n v="8191354"/>
  </r>
  <r>
    <s v="Retail"/>
    <s v="Q128- Barranquilla cc parque alegra"/>
    <x v="0"/>
    <s v="septiembre"/>
    <n v="27"/>
    <d v="2026-09-27T00:00:00"/>
    <n v="1044434618"/>
    <s v="CASTRO GALINDO BERLIS JOHANA"/>
    <n v="52"/>
    <n v="0"/>
    <n v="2833911"/>
  </r>
  <r>
    <s v="Retail"/>
    <s v="Q128- Barranquilla cc parque alegra"/>
    <x v="0"/>
    <s v="septiembre"/>
    <n v="27"/>
    <d v="2026-09-27T00:00:00"/>
    <n v="1098200569"/>
    <s v="VESGA CALA DIANA KATHERINE"/>
    <n v="159"/>
    <n v="0"/>
    <n v="8879841"/>
  </r>
  <r>
    <s v="Retail"/>
    <s v="Q128- Barranquilla cc parque alegra"/>
    <x v="0"/>
    <s v="septiembre"/>
    <n v="27"/>
    <d v="2026-09-27T00:00:00"/>
    <n v="1143142715"/>
    <s v="BARRAZA  MORENO BRANDON JOSE "/>
    <n v="150"/>
    <n v="0"/>
    <n v="7779417"/>
  </r>
  <r>
    <s v="Retail"/>
    <s v="Q128- Barranquilla cc parque alegra"/>
    <x v="0"/>
    <s v="septiembre"/>
    <n v="28"/>
    <d v="2026-09-28T00:00:00"/>
    <m/>
    <m/>
    <n v="0"/>
    <n v="16417128"/>
    <n v="0"/>
  </r>
  <r>
    <s v="Retail"/>
    <s v="Q128- Barranquilla cc parque alegra"/>
    <x v="0"/>
    <s v="septiembre"/>
    <n v="28"/>
    <d v="2026-09-28T00:00:00"/>
    <n v="22533177"/>
    <s v="ARRIETA HAMBURGER CINTHIA PATRICIA"/>
    <n v="65"/>
    <n v="0"/>
    <n v="3566386"/>
  </r>
  <r>
    <s v="Retail"/>
    <s v="Q128- Barranquilla cc parque alegra"/>
    <x v="0"/>
    <s v="septiembre"/>
    <n v="28"/>
    <d v="2026-09-28T00:00:00"/>
    <n v="1044434618"/>
    <s v="CASTRO GALINDO BERLIS JOHANA"/>
    <n v="19"/>
    <n v="0"/>
    <n v="1053741"/>
  </r>
  <r>
    <s v="Retail"/>
    <s v="Q128- Barranquilla cc parque alegra"/>
    <x v="0"/>
    <s v="septiembre"/>
    <n v="28"/>
    <d v="2026-09-28T00:00:00"/>
    <n v="1098200569"/>
    <s v="VESGA CALA DIANA KATHERINE"/>
    <n v="65"/>
    <n v="0"/>
    <n v="3345842"/>
  </r>
  <r>
    <s v="Retail"/>
    <s v="Q128- Barranquilla cc parque alegra"/>
    <x v="0"/>
    <s v="septiembre"/>
    <n v="28"/>
    <d v="2026-09-28T00:00:00"/>
    <n v="1143142715"/>
    <s v="BARRAZA  MORENO BRANDON JOSE "/>
    <n v="34"/>
    <n v="0"/>
    <n v="1775885"/>
  </r>
  <r>
    <s v="Retail"/>
    <s v="Q128- Barranquilla cc parque alegra"/>
    <x v="0"/>
    <s v="septiembre"/>
    <n v="29"/>
    <d v="2026-09-29T00:00:00"/>
    <m/>
    <m/>
    <n v="0"/>
    <n v="17536705"/>
    <n v="0"/>
  </r>
  <r>
    <s v="Retail"/>
    <s v="Q128- Barranquilla cc parque alegra"/>
    <x v="0"/>
    <s v="septiembre"/>
    <n v="29"/>
    <d v="2026-09-29T00:00:00"/>
    <n v="22533177"/>
    <s v="ARRIETA HAMBURGER CINTHIA PATRICIA"/>
    <n v="78"/>
    <n v="0"/>
    <n v="4000553"/>
  </r>
  <r>
    <s v="Retail"/>
    <s v="Q128- Barranquilla cc parque alegra"/>
    <x v="0"/>
    <s v="septiembre"/>
    <n v="29"/>
    <d v="2026-09-29T00:00:00"/>
    <n v="1098200569"/>
    <s v="VESGA CALA DIANA KATHERINE"/>
    <n v="99"/>
    <n v="0"/>
    <n v="4497061"/>
  </r>
  <r>
    <s v="Retail"/>
    <s v="Q128- Barranquilla cc parque alegra"/>
    <x v="0"/>
    <s v="septiembre"/>
    <n v="29"/>
    <d v="2026-09-29T00:00:00"/>
    <n v="1143142715"/>
    <s v="BARRAZA  MORENO BRANDON JOSE "/>
    <n v="75"/>
    <n v="0"/>
    <n v="3605845"/>
  </r>
  <r>
    <s v="Retail"/>
    <s v="Q128- Barranquilla cc parque alegra"/>
    <x v="0"/>
    <s v="septiembre"/>
    <n v="30"/>
    <d v="2026-09-30T00:00:00"/>
    <m/>
    <m/>
    <n v="0"/>
    <n v="18115728"/>
    <n v="0"/>
  </r>
  <r>
    <s v="Retail"/>
    <s v="Q128- Barranquilla cc parque alegra"/>
    <x v="0"/>
    <s v="septiembre"/>
    <n v="30"/>
    <d v="2026-09-30T00:00:00"/>
    <n v="22533177"/>
    <s v="ARRIETA HAMBURGER CINTHIA PATRICIA"/>
    <n v="77"/>
    <n v="0"/>
    <n v="4114038"/>
  </r>
  <r>
    <s v="Retail"/>
    <s v="Q128- Barranquilla cc parque alegra"/>
    <x v="0"/>
    <s v="septiembre"/>
    <n v="30"/>
    <d v="2026-09-30T00:00:00"/>
    <n v="1098200569"/>
    <s v="VESGA CALA DIANA KATHERINE"/>
    <n v="76"/>
    <n v="0"/>
    <n v="3689329"/>
  </r>
  <r>
    <s v="Retail"/>
    <s v="Q128- Barranquilla cc parque alegra"/>
    <x v="0"/>
    <s v="septiembre"/>
    <n v="30"/>
    <d v="2026-09-30T00:00:00"/>
    <n v="1143142715"/>
    <s v="BARRAZA  MORENO BRANDON JOSE "/>
    <n v="154"/>
    <n v="0"/>
    <n v="6923161"/>
  </r>
  <r>
    <s v="Retail"/>
    <s v="Q128- Barranquilla cc parque alegra"/>
    <x v="0"/>
    <s v="octubre"/>
    <n v="1"/>
    <d v="2026-10-01T00:00:00"/>
    <m/>
    <m/>
    <n v="0"/>
    <n v="18433236"/>
    <n v="0"/>
  </r>
  <r>
    <s v="Retail"/>
    <s v="Q128- Barranquilla cc parque alegra"/>
    <x v="0"/>
    <s v="octubre"/>
    <n v="1"/>
    <d v="2026-10-01T00:00:00"/>
    <n v="22533177"/>
    <s v="ARRIETA HAMBURGER CINTHIA PATRICIA"/>
    <n v="112"/>
    <n v="0"/>
    <n v="6011978"/>
  </r>
  <r>
    <s v="Retail"/>
    <s v="Q128- Barranquilla cc parque alegra"/>
    <x v="0"/>
    <s v="octubre"/>
    <n v="1"/>
    <d v="2026-10-01T00:00:00"/>
    <n v="1098200569"/>
    <s v="VESGA CALA DIANA KATHERINE"/>
    <n v="95"/>
    <n v="0"/>
    <n v="4939208"/>
  </r>
  <r>
    <s v="Retail"/>
    <s v="Q128- Barranquilla cc parque alegra"/>
    <x v="0"/>
    <s v="octubre"/>
    <n v="1"/>
    <d v="2026-10-01T00:00:00"/>
    <n v="1143142715"/>
    <s v="BARRAZA  MORENO BRANDON JOSE "/>
    <n v="116"/>
    <n v="0"/>
    <n v="5335133"/>
  </r>
  <r>
    <s v="Retail"/>
    <s v="Q128- Barranquilla cc parque alegra"/>
    <x v="0"/>
    <s v="octubre"/>
    <n v="2"/>
    <d v="2026-10-02T00:00:00"/>
    <m/>
    <m/>
    <n v="0"/>
    <n v="15905593"/>
    <n v="0"/>
  </r>
  <r>
    <s v="Retail"/>
    <s v="Q128- Barranquilla cc parque alegra"/>
    <x v="0"/>
    <s v="octubre"/>
    <n v="2"/>
    <d v="2026-10-02T00:00:00"/>
    <n v="22533177"/>
    <s v="ARRIETA HAMBURGER CINTHIA PATRICIA"/>
    <n v="131"/>
    <n v="0"/>
    <n v="7574045"/>
  </r>
  <r>
    <s v="Retail"/>
    <s v="Q128- Barranquilla cc parque alegra"/>
    <x v="0"/>
    <s v="octubre"/>
    <n v="2"/>
    <d v="2026-10-02T00:00:00"/>
    <n v="1098200569"/>
    <s v="VESGA CALA DIANA KATHERINE"/>
    <n v="145"/>
    <n v="0"/>
    <n v="7701607"/>
  </r>
  <r>
    <s v="Retail"/>
    <s v="Q128- Barranquilla cc parque alegra"/>
    <x v="0"/>
    <s v="octubre"/>
    <n v="2"/>
    <d v="2026-10-02T00:00:00"/>
    <n v="1143142715"/>
    <s v="BARRAZA  MORENO BRANDON JOSE "/>
    <n v="124"/>
    <n v="0"/>
    <n v="6849711"/>
  </r>
  <r>
    <s v="Retail"/>
    <s v="Q128- Barranquilla cc parque alegra"/>
    <x v="0"/>
    <s v="octubre"/>
    <n v="3"/>
    <d v="2026-10-03T00:00:00"/>
    <m/>
    <m/>
    <n v="0"/>
    <n v="25242476"/>
    <n v="0"/>
  </r>
  <r>
    <s v="Retail"/>
    <s v="Q128- Barranquilla cc parque alegra"/>
    <x v="0"/>
    <s v="octubre"/>
    <n v="3"/>
    <d v="2026-10-03T00:00:00"/>
    <n v="22533177"/>
    <s v="ARRIETA HAMBURGER CINTHIA PATRICIA"/>
    <n v="151"/>
    <n v="0"/>
    <n v="7812982"/>
  </r>
  <r>
    <s v="Retail"/>
    <s v="Q128- Barranquilla cc parque alegra"/>
    <x v="0"/>
    <s v="octubre"/>
    <n v="3"/>
    <d v="2026-10-03T00:00:00"/>
    <n v="1041771498"/>
    <s v="OSPINO REDONDO LUIS MANUEL"/>
    <n v="69"/>
    <n v="0"/>
    <n v="3546868"/>
  </r>
  <r>
    <s v="Retail"/>
    <s v="Q128- Barranquilla cc parque alegra"/>
    <x v="0"/>
    <s v="octubre"/>
    <n v="3"/>
    <d v="2026-10-03T00:00:00"/>
    <n v="1098200569"/>
    <s v="VESGA CALA DIANA KATHERINE"/>
    <n v="215"/>
    <n v="0"/>
    <n v="10238232"/>
  </r>
  <r>
    <s v="Retail"/>
    <s v="Q128- Barranquilla cc parque alegra"/>
    <x v="0"/>
    <s v="octubre"/>
    <n v="3"/>
    <d v="2026-10-03T00:00:00"/>
    <n v="1143142715"/>
    <s v="BARRAZA  MORENO BRANDON JOSE "/>
    <n v="128"/>
    <n v="0"/>
    <n v="5727586"/>
  </r>
  <r>
    <s v="Retail"/>
    <s v="Q128- Barranquilla cc parque alegra"/>
    <x v="0"/>
    <s v="octubre"/>
    <n v="4"/>
    <d v="2026-10-04T00:00:00"/>
    <m/>
    <m/>
    <n v="0"/>
    <n v="16936918"/>
    <n v="0"/>
  </r>
  <r>
    <s v="Retail"/>
    <s v="Q128- Barranquilla cc parque alegra"/>
    <x v="0"/>
    <s v="octubre"/>
    <n v="4"/>
    <d v="2026-10-04T00:00:00"/>
    <n v="22533177"/>
    <s v="ARRIETA HAMBURGER CINTHIA PATRICIA"/>
    <n v="194"/>
    <n v="0"/>
    <n v="10041398"/>
  </r>
  <r>
    <s v="Retail"/>
    <s v="Q128- Barranquilla cc parque alegra"/>
    <x v="0"/>
    <s v="octubre"/>
    <n v="4"/>
    <d v="2026-10-04T00:00:00"/>
    <n v="1041771498"/>
    <s v="OSPINO REDONDO LUIS MANUEL"/>
    <n v="48"/>
    <n v="0"/>
    <n v="2737484"/>
  </r>
  <r>
    <s v="Retail"/>
    <s v="Q128- Barranquilla cc parque alegra"/>
    <x v="0"/>
    <s v="octubre"/>
    <n v="4"/>
    <d v="2026-10-04T00:00:00"/>
    <n v="1098200569"/>
    <s v="VESGA CALA DIANA KATHERINE"/>
    <n v="166"/>
    <n v="0"/>
    <n v="9324506"/>
  </r>
  <r>
    <s v="Retail"/>
    <s v="Q128- Barranquilla cc parque alegra"/>
    <x v="0"/>
    <s v="octubre"/>
    <n v="4"/>
    <d v="2026-10-04T00:00:00"/>
    <n v="1143142715"/>
    <s v="BARRAZA  MORENO BRANDON JOSE "/>
    <n v="175"/>
    <n v="0"/>
    <n v="8781396"/>
  </r>
  <r>
    <s v="Retail"/>
    <s v="Q128- Barranquilla cc parque alegra"/>
    <x v="0"/>
    <s v="octubre"/>
    <n v="4"/>
    <d v="2026-10-04T00:00:00"/>
    <n v="1143148766"/>
    <s v="MATTOS CERVANTES JHONNY DAVID"/>
    <n v="-1"/>
    <n v="0"/>
    <n v="-79790"/>
  </r>
  <r>
    <s v="Retail"/>
    <s v="Q128- Barranquilla cc parque alegra"/>
    <x v="0"/>
    <s v="octubre"/>
    <n v="5"/>
    <d v="2026-10-05T00:00:00"/>
    <m/>
    <m/>
    <n v="0"/>
    <n v="13751689"/>
    <n v="0"/>
  </r>
  <r>
    <s v="Retail"/>
    <s v="Q128- Barranquilla cc parque alegra"/>
    <x v="0"/>
    <s v="octubre"/>
    <n v="5"/>
    <d v="2026-10-05T00:00:00"/>
    <n v="22533177"/>
    <s v="ARRIETA HAMBURGER CINTHIA PATRICIA"/>
    <n v="81"/>
    <n v="0"/>
    <n v="4139123"/>
  </r>
  <r>
    <s v="Retail"/>
    <s v="Q128- Barranquilla cc parque alegra"/>
    <x v="0"/>
    <s v="octubre"/>
    <n v="5"/>
    <d v="2026-10-05T00:00:00"/>
    <n v="1041771498"/>
    <s v="OSPINO REDONDO LUIS MANUEL"/>
    <n v="50"/>
    <n v="0"/>
    <n v="2947481"/>
  </r>
  <r>
    <s v="Retail"/>
    <s v="Q128- Barranquilla cc parque alegra"/>
    <x v="0"/>
    <s v="octubre"/>
    <n v="5"/>
    <d v="2026-10-05T00:00:00"/>
    <n v="1098200569"/>
    <s v="VESGA CALA DIANA KATHERINE"/>
    <n v="92"/>
    <n v="0"/>
    <n v="4541214"/>
  </r>
  <r>
    <s v="Retail"/>
    <s v="Q128- Barranquilla cc parque alegra"/>
    <x v="0"/>
    <s v="octubre"/>
    <n v="5"/>
    <d v="2026-10-05T00:00:00"/>
    <n v="1143142715"/>
    <s v="BARRAZA  MORENO BRANDON JOSE "/>
    <n v="59"/>
    <n v="0"/>
    <n v="2829248"/>
  </r>
  <r>
    <s v="Retail"/>
    <s v="Q128- Barranquilla cc parque alegra"/>
    <x v="0"/>
    <s v="octubre"/>
    <n v="6"/>
    <d v="2026-10-06T00:00:00"/>
    <m/>
    <m/>
    <n v="0"/>
    <n v="5298248"/>
    <n v="0"/>
  </r>
  <r>
    <s v="Retail"/>
    <s v="Q128- Barranquilla cc parque alegra"/>
    <x v="0"/>
    <s v="octubre"/>
    <n v="6"/>
    <d v="2026-10-06T00:00:00"/>
    <n v="22533177"/>
    <s v="ARRIETA HAMBURGER CINTHIA PATRICIA"/>
    <n v="58"/>
    <n v="0"/>
    <n v="3022189"/>
  </r>
  <r>
    <s v="Retail"/>
    <s v="Q128- Barranquilla cc parque alegra"/>
    <x v="0"/>
    <s v="octubre"/>
    <n v="6"/>
    <d v="2026-10-06T00:00:00"/>
    <n v="1041771498"/>
    <s v="OSPINO REDONDO LUIS MANUEL"/>
    <n v="29"/>
    <n v="0"/>
    <n v="1637439"/>
  </r>
  <r>
    <s v="Retail"/>
    <s v="Q128- Barranquilla cc parque alegra"/>
    <x v="0"/>
    <s v="octubre"/>
    <n v="6"/>
    <d v="2026-10-06T00:00:00"/>
    <n v="1098200569"/>
    <s v="VESGA CALA DIANA KATHERINE"/>
    <n v="42"/>
    <n v="0"/>
    <n v="2330134"/>
  </r>
  <r>
    <s v="Retail"/>
    <s v="Q128- Barranquilla cc parque alegra"/>
    <x v="0"/>
    <s v="octubre"/>
    <n v="6"/>
    <d v="2026-10-06T00:00:00"/>
    <n v="1143142715"/>
    <s v="BARRAZA  MORENO BRANDON JOSE "/>
    <n v="42"/>
    <n v="0"/>
    <n v="2548533"/>
  </r>
  <r>
    <s v="Retail"/>
    <s v="Q128- Barranquilla cc parque alegra"/>
    <x v="0"/>
    <s v="octubre"/>
    <n v="7"/>
    <d v="2026-10-07T00:00:00"/>
    <m/>
    <m/>
    <n v="0"/>
    <n v="5228532"/>
    <n v="0"/>
  </r>
  <r>
    <s v="Retail"/>
    <s v="Q128- Barranquilla cc parque alegra"/>
    <x v="0"/>
    <s v="octubre"/>
    <n v="7"/>
    <d v="2026-10-07T00:00:00"/>
    <n v="22533177"/>
    <s v="ARRIETA HAMBURGER CINTHIA PATRICIA"/>
    <n v="51"/>
    <n v="0"/>
    <n v="2741386"/>
  </r>
  <r>
    <s v="Retail"/>
    <s v="Q128- Barranquilla cc parque alegra"/>
    <x v="0"/>
    <s v="octubre"/>
    <n v="7"/>
    <d v="2026-10-07T00:00:00"/>
    <n v="1041771498"/>
    <s v="OSPINO REDONDO LUIS MANUEL"/>
    <n v="16"/>
    <n v="0"/>
    <n v="1020337"/>
  </r>
  <r>
    <s v="Retail"/>
    <s v="Q128- Barranquilla cc parque alegra"/>
    <x v="0"/>
    <s v="octubre"/>
    <n v="7"/>
    <d v="2026-10-07T00:00:00"/>
    <n v="1098200569"/>
    <s v="VESGA CALA DIANA KATHERINE"/>
    <n v="42"/>
    <n v="0"/>
    <n v="2624204"/>
  </r>
  <r>
    <s v="Retail"/>
    <s v="Q128- Barranquilla cc parque alegra"/>
    <x v="0"/>
    <s v="octubre"/>
    <n v="7"/>
    <d v="2026-10-07T00:00:00"/>
    <n v="1143142715"/>
    <s v="BARRAZA  MORENO BRANDON JOSE "/>
    <n v="47"/>
    <n v="0"/>
    <n v="2678658"/>
  </r>
  <r>
    <s v="Retail"/>
    <s v="Q140 Cartagena - CC Mall Plaza"/>
    <x v="0"/>
    <s v="septiembre"/>
    <n v="23"/>
    <d v="2026-09-23T00:00:00"/>
    <m/>
    <m/>
    <n v="0"/>
    <n v="9858635"/>
    <n v="0"/>
  </r>
  <r>
    <s v="Retail"/>
    <s v="Q140 Cartagena - CC Mall Plaza"/>
    <x v="0"/>
    <s v="septiembre"/>
    <n v="23"/>
    <d v="2026-09-23T00:00:00"/>
    <n v="45548590"/>
    <s v="PACHECO  DINA CANDY"/>
    <n v="77"/>
    <n v="0"/>
    <n v="3479206"/>
  </r>
  <r>
    <s v="Retail"/>
    <s v="Q140 Cartagena - CC Mall Plaza"/>
    <x v="0"/>
    <s v="septiembre"/>
    <n v="23"/>
    <d v="2026-09-23T00:00:00"/>
    <n v="1002249169"/>
    <s v="PAJARO REYES KAREN PAMELA"/>
    <n v="116"/>
    <n v="0"/>
    <n v="6021979"/>
  </r>
  <r>
    <s v="Retail"/>
    <s v="Q140 Cartagena - CC Mall Plaza"/>
    <x v="0"/>
    <s v="septiembre"/>
    <n v="23"/>
    <d v="2026-09-23T00:00:00"/>
    <n v="1087806783"/>
    <s v="ESTUPIÑAN SOLIS  PAOLA KARINA"/>
    <n v="43"/>
    <n v="0"/>
    <n v="1911893"/>
  </r>
  <r>
    <s v="Retail"/>
    <s v="Q140 Cartagena - CC Mall Plaza"/>
    <x v="0"/>
    <s v="septiembre"/>
    <n v="23"/>
    <d v="2026-09-23T00:00:00"/>
    <n v="1124030949"/>
    <s v="SUAREZ  MONTERO JOCELIN "/>
    <n v="-1"/>
    <n v="0"/>
    <n v="-41933"/>
  </r>
  <r>
    <s v="Retail"/>
    <s v="Q140 Cartagena - CC Mall Plaza"/>
    <x v="0"/>
    <s v="septiembre"/>
    <n v="24"/>
    <d v="2026-09-24T00:00:00"/>
    <m/>
    <m/>
    <n v="0"/>
    <n v="15060177"/>
    <n v="0"/>
  </r>
  <r>
    <s v="Retail"/>
    <s v="Q140 Cartagena - CC Mall Plaza"/>
    <x v="0"/>
    <s v="septiembre"/>
    <n v="24"/>
    <d v="2026-09-24T00:00:00"/>
    <n v="45548590"/>
    <s v="PACHECO  DINA CANDY"/>
    <n v="67"/>
    <n v="0"/>
    <n v="3454924"/>
  </r>
  <r>
    <s v="Retail"/>
    <s v="Q140 Cartagena - CC Mall Plaza"/>
    <x v="0"/>
    <s v="septiembre"/>
    <n v="24"/>
    <d v="2026-09-24T00:00:00"/>
    <n v="1002249169"/>
    <s v="PAJARO REYES KAREN PAMELA"/>
    <n v="98"/>
    <n v="0"/>
    <n v="4475972"/>
  </r>
  <r>
    <s v="Retail"/>
    <s v="Q140 Cartagena - CC Mall Plaza"/>
    <x v="0"/>
    <s v="septiembre"/>
    <n v="24"/>
    <d v="2026-09-24T00:00:00"/>
    <n v="1087806783"/>
    <s v="ESTUPIÑAN SOLIS  PAOLA KARINA"/>
    <n v="42"/>
    <n v="0"/>
    <n v="2370045"/>
  </r>
  <r>
    <s v="Retail"/>
    <s v="Q140 Cartagena - CC Mall Plaza"/>
    <x v="0"/>
    <s v="septiembre"/>
    <n v="25"/>
    <d v="2026-09-25T00:00:00"/>
    <m/>
    <m/>
    <n v="0"/>
    <n v="15026835"/>
    <n v="0"/>
  </r>
  <r>
    <s v="Retail"/>
    <s v="Q140 Cartagena - CC Mall Plaza"/>
    <x v="0"/>
    <s v="septiembre"/>
    <n v="25"/>
    <d v="2026-09-25T00:00:00"/>
    <n v="45548590"/>
    <s v="PACHECO  DINA CANDY"/>
    <n v="79"/>
    <n v="0"/>
    <n v="4969160"/>
  </r>
  <r>
    <s v="Retail"/>
    <s v="Q140 Cartagena - CC Mall Plaza"/>
    <x v="0"/>
    <s v="septiembre"/>
    <n v="25"/>
    <d v="2026-09-25T00:00:00"/>
    <n v="1002249169"/>
    <s v="PAJARO REYES KAREN PAMELA"/>
    <n v="101"/>
    <n v="0"/>
    <n v="5735006"/>
  </r>
  <r>
    <s v="Retail"/>
    <s v="Q140 Cartagena - CC Mall Plaza"/>
    <x v="0"/>
    <s v="septiembre"/>
    <n v="25"/>
    <d v="2026-09-25T00:00:00"/>
    <n v="1087806783"/>
    <s v="ESTUPIÑAN SOLIS  PAOLA KARINA"/>
    <n v="38"/>
    <n v="0"/>
    <n v="1981513"/>
  </r>
  <r>
    <s v="Retail"/>
    <s v="Q140 Cartagena - CC Mall Plaza"/>
    <x v="0"/>
    <s v="septiembre"/>
    <n v="26"/>
    <d v="2026-09-26T00:00:00"/>
    <m/>
    <m/>
    <n v="0"/>
    <n v="21595723"/>
    <n v="0"/>
  </r>
  <r>
    <s v="Retail"/>
    <s v="Q140 Cartagena - CC Mall Plaza"/>
    <x v="0"/>
    <s v="septiembre"/>
    <n v="26"/>
    <d v="2026-09-26T00:00:00"/>
    <n v="45548590"/>
    <s v="PACHECO  DINA CANDY"/>
    <n v="114"/>
    <n v="0"/>
    <n v="6423621"/>
  </r>
  <r>
    <s v="Retail"/>
    <s v="Q140 Cartagena - CC Mall Plaza"/>
    <x v="0"/>
    <s v="septiembre"/>
    <n v="26"/>
    <d v="2026-09-26T00:00:00"/>
    <n v="1002249169"/>
    <s v="PAJARO REYES KAREN PAMELA"/>
    <n v="164"/>
    <n v="0"/>
    <n v="9820592"/>
  </r>
  <r>
    <s v="Retail"/>
    <s v="Q140 Cartagena - CC Mall Plaza"/>
    <x v="0"/>
    <s v="septiembre"/>
    <n v="26"/>
    <d v="2026-09-26T00:00:00"/>
    <n v="1087806783"/>
    <s v="ESTUPIÑAN SOLIS  PAOLA KARINA"/>
    <n v="63"/>
    <n v="0"/>
    <n v="3707272"/>
  </r>
  <r>
    <s v="Retail"/>
    <s v="Q140 Cartagena - CC Mall Plaza"/>
    <x v="0"/>
    <s v="septiembre"/>
    <n v="27"/>
    <d v="2026-09-27T00:00:00"/>
    <m/>
    <m/>
    <n v="0"/>
    <n v="17108160"/>
    <n v="0"/>
  </r>
  <r>
    <s v="Retail"/>
    <s v="Q140 Cartagena - CC Mall Plaza"/>
    <x v="0"/>
    <s v="septiembre"/>
    <n v="27"/>
    <d v="2026-09-27T00:00:00"/>
    <n v="45548590"/>
    <s v="PACHECO  DINA CANDY"/>
    <n v="117"/>
    <n v="0"/>
    <n v="6628951"/>
  </r>
  <r>
    <s v="Retail"/>
    <s v="Q140 Cartagena - CC Mall Plaza"/>
    <x v="0"/>
    <s v="septiembre"/>
    <n v="27"/>
    <d v="2026-09-27T00:00:00"/>
    <n v="1002249169"/>
    <s v="PAJARO REYES KAREN PAMELA"/>
    <n v="127"/>
    <n v="0"/>
    <n v="6443621"/>
  </r>
  <r>
    <s v="Retail"/>
    <s v="Q140 Cartagena - CC Mall Plaza"/>
    <x v="0"/>
    <s v="septiembre"/>
    <n v="27"/>
    <d v="2026-09-27T00:00:00"/>
    <n v="1087806783"/>
    <s v="ESTUPIÑAN SOLIS  PAOLA KARINA"/>
    <n v="68"/>
    <n v="0"/>
    <n v="3515676"/>
  </r>
  <r>
    <s v="Retail"/>
    <s v="Q140 Cartagena - CC Mall Plaza"/>
    <x v="0"/>
    <s v="septiembre"/>
    <n v="28"/>
    <d v="2026-09-28T00:00:00"/>
    <m/>
    <m/>
    <n v="0"/>
    <n v="9415627"/>
    <n v="0"/>
  </r>
  <r>
    <s v="Retail"/>
    <s v="Q140 Cartagena - CC Mall Plaza"/>
    <x v="0"/>
    <s v="septiembre"/>
    <n v="28"/>
    <d v="2026-09-28T00:00:00"/>
    <n v="45548590"/>
    <s v="PACHECO  DINA CANDY"/>
    <n v="61"/>
    <n v="0"/>
    <n v="3778702"/>
  </r>
  <r>
    <s v="Retail"/>
    <s v="Q140 Cartagena - CC Mall Plaza"/>
    <x v="0"/>
    <s v="septiembre"/>
    <n v="28"/>
    <d v="2026-09-28T00:00:00"/>
    <n v="1002249169"/>
    <s v="PAJARO REYES KAREN PAMELA"/>
    <n v="59"/>
    <n v="0"/>
    <n v="2763828"/>
  </r>
  <r>
    <s v="Retail"/>
    <s v="Q140 Cartagena - CC Mall Plaza"/>
    <x v="0"/>
    <s v="septiembre"/>
    <n v="28"/>
    <d v="2026-09-28T00:00:00"/>
    <n v="1067882225"/>
    <s v="PENA PATERNINA MARIA ANGELICA"/>
    <n v="-1"/>
    <n v="0"/>
    <n v="-46177"/>
  </r>
  <r>
    <s v="Retail"/>
    <s v="Q140 Cartagena - CC Mall Plaza"/>
    <x v="0"/>
    <s v="septiembre"/>
    <n v="28"/>
    <d v="2026-09-28T00:00:00"/>
    <n v="1087806783"/>
    <s v="ESTUPIÑAN SOLIS  PAOLA KARINA"/>
    <n v="23"/>
    <n v="0"/>
    <n v="1187899"/>
  </r>
  <r>
    <s v="Retail"/>
    <s v="Q140 Cartagena - CC Mall Plaza"/>
    <x v="0"/>
    <s v="septiembre"/>
    <n v="29"/>
    <d v="2026-09-29T00:00:00"/>
    <m/>
    <m/>
    <n v="0"/>
    <n v="10057733"/>
    <n v="0"/>
  </r>
  <r>
    <s v="Retail"/>
    <s v="Q140 Cartagena - CC Mall Plaza"/>
    <x v="0"/>
    <s v="septiembre"/>
    <n v="29"/>
    <d v="2026-09-29T00:00:00"/>
    <n v="45548590"/>
    <s v="PACHECO  DINA CANDY"/>
    <n v="59"/>
    <n v="0"/>
    <n v="3404665"/>
  </r>
  <r>
    <s v="Retail"/>
    <s v="Q140 Cartagena - CC Mall Plaza"/>
    <x v="0"/>
    <s v="septiembre"/>
    <n v="29"/>
    <d v="2026-09-29T00:00:00"/>
    <n v="1002249169"/>
    <s v="PAJARO REYES KAREN PAMELA"/>
    <n v="75"/>
    <n v="0"/>
    <n v="3965129"/>
  </r>
  <r>
    <s v="Retail"/>
    <s v="Q140 Cartagena - CC Mall Plaza"/>
    <x v="0"/>
    <s v="septiembre"/>
    <n v="29"/>
    <d v="2026-09-29T00:00:00"/>
    <n v="1087806783"/>
    <s v="ESTUPIÑAN SOLIS  PAOLA KARINA"/>
    <n v="29"/>
    <n v="0"/>
    <n v="1649835"/>
  </r>
  <r>
    <s v="Retail"/>
    <s v="Q140 Cartagena - CC Mall Plaza"/>
    <x v="0"/>
    <s v="septiembre"/>
    <n v="30"/>
    <d v="2026-09-30T00:00:00"/>
    <m/>
    <m/>
    <n v="0"/>
    <n v="10389821"/>
    <n v="0"/>
  </r>
  <r>
    <s v="Retail"/>
    <s v="Q140 Cartagena - CC Mall Plaza"/>
    <x v="0"/>
    <s v="septiembre"/>
    <n v="30"/>
    <d v="2026-09-30T00:00:00"/>
    <n v="45548590"/>
    <s v="PACHECO  DINA CANDY"/>
    <n v="55"/>
    <n v="0"/>
    <n v="3026767"/>
  </r>
  <r>
    <s v="Retail"/>
    <s v="Q140 Cartagena - CC Mall Plaza"/>
    <x v="0"/>
    <s v="septiembre"/>
    <n v="30"/>
    <d v="2026-09-30T00:00:00"/>
    <n v="1002249169"/>
    <s v="PAJARO REYES KAREN PAMELA"/>
    <n v="102"/>
    <n v="0"/>
    <n v="4725596"/>
  </r>
  <r>
    <s v="Retail"/>
    <s v="Q140 Cartagena - CC Mall Plaza"/>
    <x v="0"/>
    <s v="septiembre"/>
    <n v="30"/>
    <d v="2026-09-30T00:00:00"/>
    <n v="1087806783"/>
    <s v="ESTUPIÑAN SOLIS  PAOLA KARINA"/>
    <n v="35"/>
    <n v="0"/>
    <n v="1624411"/>
  </r>
  <r>
    <s v="Retail"/>
    <s v="Q140 Cartagena - CC Mall Plaza"/>
    <x v="0"/>
    <s v="octubre"/>
    <n v="1"/>
    <d v="2026-10-01T00:00:00"/>
    <m/>
    <m/>
    <n v="0"/>
    <n v="7616498"/>
    <n v="0"/>
  </r>
  <r>
    <s v="Retail"/>
    <s v="Q140 Cartagena - CC Mall Plaza"/>
    <x v="0"/>
    <s v="octubre"/>
    <n v="1"/>
    <d v="2026-10-01T00:00:00"/>
    <n v="45548590"/>
    <s v="PACHECO  DINA CANDY"/>
    <n v="100"/>
    <n v="0"/>
    <n v="5932398"/>
  </r>
  <r>
    <s v="Retail"/>
    <s v="Q140 Cartagena - CC Mall Plaza"/>
    <x v="0"/>
    <s v="octubre"/>
    <n v="1"/>
    <d v="2026-10-01T00:00:00"/>
    <n v="1002249169"/>
    <s v="PAJARO REYES KAREN PAMELA"/>
    <n v="103"/>
    <n v="0"/>
    <n v="5242737"/>
  </r>
  <r>
    <s v="Retail"/>
    <s v="Q140 Cartagena - CC Mall Plaza"/>
    <x v="0"/>
    <s v="octubre"/>
    <n v="1"/>
    <d v="2026-10-01T00:00:00"/>
    <n v="1087806783"/>
    <s v="ESTUPIÑAN SOLIS  PAOLA KARINA"/>
    <n v="33"/>
    <n v="0"/>
    <n v="1708530"/>
  </r>
  <r>
    <s v="Retail"/>
    <s v="Q140 Cartagena - CC Mall Plaza"/>
    <x v="0"/>
    <s v="octubre"/>
    <n v="2"/>
    <d v="2026-10-02T00:00:00"/>
    <m/>
    <m/>
    <n v="0"/>
    <n v="11043629"/>
    <n v="0"/>
  </r>
  <r>
    <s v="Retail"/>
    <s v="Q140 Cartagena - CC Mall Plaza"/>
    <x v="0"/>
    <s v="octubre"/>
    <n v="2"/>
    <d v="2026-10-02T00:00:00"/>
    <n v="3811650"/>
    <s v="PEREZ PEREZ WILSON DEL CRISTO"/>
    <n v="-1"/>
    <n v="0"/>
    <n v="-117605"/>
  </r>
  <r>
    <s v="Retail"/>
    <s v="Q140 Cartagena - CC Mall Plaza"/>
    <x v="0"/>
    <s v="octubre"/>
    <n v="2"/>
    <d v="2026-10-02T00:00:00"/>
    <n v="45548590"/>
    <s v="PACHECO  DINA CANDY"/>
    <n v="96"/>
    <n v="0"/>
    <n v="5619463"/>
  </r>
  <r>
    <s v="Retail"/>
    <s v="Q140 Cartagena - CC Mall Plaza"/>
    <x v="0"/>
    <s v="octubre"/>
    <n v="2"/>
    <d v="2026-10-02T00:00:00"/>
    <n v="1002249169"/>
    <s v="PAJARO REYES KAREN PAMELA"/>
    <n v="87"/>
    <n v="0"/>
    <n v="4365594"/>
  </r>
  <r>
    <s v="Retail"/>
    <s v="Q140 Cartagena - CC Mall Plaza"/>
    <x v="0"/>
    <s v="octubre"/>
    <n v="2"/>
    <d v="2026-10-02T00:00:00"/>
    <n v="1087806783"/>
    <s v="ESTUPIÑAN SOLIS  PAOLA KARINA"/>
    <n v="56"/>
    <n v="0"/>
    <n v="3043572"/>
  </r>
  <r>
    <s v="Retail"/>
    <s v="Q140 Cartagena - CC Mall Plaza"/>
    <x v="0"/>
    <s v="octubre"/>
    <n v="2"/>
    <d v="2026-10-02T00:00:00"/>
    <n v="1113038720"/>
    <s v="GONZALEZ CAICEDO SANDRA YURANI"/>
    <n v="-1"/>
    <n v="0"/>
    <n v="-67185"/>
  </r>
  <r>
    <s v="Retail"/>
    <s v="Q140 Cartagena - CC Mall Plaza"/>
    <x v="0"/>
    <s v="octubre"/>
    <n v="3"/>
    <d v="2026-10-03T00:00:00"/>
    <m/>
    <m/>
    <n v="0"/>
    <n v="14865197"/>
    <n v="0"/>
  </r>
  <r>
    <s v="Retail"/>
    <s v="Q140 Cartagena - CC Mall Plaza"/>
    <x v="0"/>
    <s v="octubre"/>
    <n v="3"/>
    <d v="2026-10-03T00:00:00"/>
    <n v="45548590"/>
    <s v="PACHECO  DINA CANDY"/>
    <n v="107"/>
    <n v="0"/>
    <n v="5507952"/>
  </r>
  <r>
    <s v="Retail"/>
    <s v="Q140 Cartagena - CC Mall Plaza"/>
    <x v="0"/>
    <s v="octubre"/>
    <n v="3"/>
    <d v="2026-10-03T00:00:00"/>
    <n v="1002249169"/>
    <s v="PAJARO REYES KAREN PAMELA"/>
    <n v="103"/>
    <n v="0"/>
    <n v="5345742"/>
  </r>
  <r>
    <s v="Retail"/>
    <s v="Q140 Cartagena - CC Mall Plaza"/>
    <x v="0"/>
    <s v="octubre"/>
    <n v="3"/>
    <d v="2026-10-03T00:00:00"/>
    <n v="1047480286"/>
    <s v="MARIMON POMBO  YONAICER"/>
    <n v="-1"/>
    <n v="0"/>
    <n v="-46177"/>
  </r>
  <r>
    <s v="Retail"/>
    <s v="Q140 Cartagena - CC Mall Plaza"/>
    <x v="0"/>
    <s v="octubre"/>
    <n v="3"/>
    <d v="2026-10-03T00:00:00"/>
    <n v="1047485937"/>
    <s v="RAMOS PEREZ MARILUZ"/>
    <n v="-1"/>
    <n v="0"/>
    <n v="-71386"/>
  </r>
  <r>
    <s v="Retail"/>
    <s v="Q140 Cartagena - CC Mall Plaza"/>
    <x v="0"/>
    <s v="octubre"/>
    <n v="3"/>
    <d v="2026-10-03T00:00:00"/>
    <n v="1087806783"/>
    <s v="ESTUPIÑAN SOLIS  PAOLA KARINA"/>
    <n v="51"/>
    <n v="0"/>
    <n v="2426919"/>
  </r>
  <r>
    <s v="Retail"/>
    <s v="Q140 Cartagena - CC Mall Plaza"/>
    <x v="0"/>
    <s v="octubre"/>
    <n v="3"/>
    <d v="2026-10-03T00:00:00"/>
    <n v="1124030949"/>
    <s v="SUAREZ  MONTERO JOCELIN "/>
    <n v="-1"/>
    <n v="0"/>
    <n v="-54580"/>
  </r>
  <r>
    <s v="Retail"/>
    <s v="Q140 Cartagena - CC Mall Plaza"/>
    <x v="0"/>
    <s v="octubre"/>
    <n v="4"/>
    <d v="2026-10-04T00:00:00"/>
    <m/>
    <m/>
    <n v="0"/>
    <n v="11593347"/>
    <n v="0"/>
  </r>
  <r>
    <s v="Retail"/>
    <s v="Q140 Cartagena - CC Mall Plaza"/>
    <x v="0"/>
    <s v="octubre"/>
    <n v="4"/>
    <d v="2026-10-04T00:00:00"/>
    <n v="45548590"/>
    <s v="PACHECO  DINA CANDY"/>
    <n v="101"/>
    <n v="0"/>
    <n v="5756013"/>
  </r>
  <r>
    <s v="Retail"/>
    <s v="Q140 Cartagena - CC Mall Plaza"/>
    <x v="0"/>
    <s v="octubre"/>
    <n v="4"/>
    <d v="2026-10-04T00:00:00"/>
    <n v="1002249169"/>
    <s v="PAJARO REYES KAREN PAMELA"/>
    <n v="81"/>
    <n v="0"/>
    <n v="4935165"/>
  </r>
  <r>
    <s v="Retail"/>
    <s v="Q140 Cartagena - CC Mall Plaza"/>
    <x v="0"/>
    <s v="octubre"/>
    <n v="4"/>
    <d v="2026-10-04T00:00:00"/>
    <n v="1087806783"/>
    <s v="ESTUPIÑAN SOLIS  PAOLA KARINA"/>
    <n v="37"/>
    <n v="0"/>
    <n v="1905843"/>
  </r>
  <r>
    <s v="Retail"/>
    <s v="Q140 Cartagena - CC Mall Plaza"/>
    <x v="0"/>
    <s v="octubre"/>
    <n v="5"/>
    <d v="2026-10-05T00:00:00"/>
    <m/>
    <m/>
    <n v="0"/>
    <n v="8697849"/>
    <n v="0"/>
  </r>
  <r>
    <s v="Retail"/>
    <s v="Q140 Cartagena - CC Mall Plaza"/>
    <x v="0"/>
    <s v="octubre"/>
    <n v="5"/>
    <d v="2026-10-05T00:00:00"/>
    <n v="45548590"/>
    <s v="PACHECO  DINA CANDY"/>
    <n v="58"/>
    <n v="0"/>
    <n v="3428030"/>
  </r>
  <r>
    <s v="Retail"/>
    <s v="Q140 Cartagena - CC Mall Plaza"/>
    <x v="0"/>
    <s v="octubre"/>
    <n v="5"/>
    <d v="2026-10-05T00:00:00"/>
    <n v="1002249169"/>
    <s v="PAJARO REYES KAREN PAMELA"/>
    <n v="67"/>
    <n v="0"/>
    <n v="3543236"/>
  </r>
  <r>
    <s v="Retail"/>
    <s v="Q140 Cartagena - CC Mall Plaza"/>
    <x v="0"/>
    <s v="octubre"/>
    <n v="5"/>
    <d v="2026-10-05T00:00:00"/>
    <n v="1087806783"/>
    <s v="ESTUPIÑAN SOLIS  PAOLA KARINA"/>
    <n v="24"/>
    <n v="0"/>
    <n v="1469580"/>
  </r>
  <r>
    <s v="Retail"/>
    <s v="Q140 Cartagena - CC Mall Plaza"/>
    <x v="0"/>
    <s v="octubre"/>
    <n v="6"/>
    <d v="2026-10-06T00:00:00"/>
    <m/>
    <m/>
    <n v="0"/>
    <n v="5315778"/>
    <n v="0"/>
  </r>
  <r>
    <s v="Retail"/>
    <s v="Q140 Cartagena - CC Mall Plaza"/>
    <x v="0"/>
    <s v="octubre"/>
    <n v="6"/>
    <d v="2026-10-06T00:00:00"/>
    <n v="45548590"/>
    <s v="PACHECO  DINA CANDY"/>
    <n v="51"/>
    <n v="0"/>
    <n v="2812901"/>
  </r>
  <r>
    <s v="Retail"/>
    <s v="Q140 Cartagena - CC Mall Plaza"/>
    <x v="0"/>
    <s v="octubre"/>
    <n v="6"/>
    <d v="2026-10-06T00:00:00"/>
    <n v="1002249169"/>
    <s v="PAJARO REYES KAREN PAMELA"/>
    <n v="41"/>
    <n v="0"/>
    <n v="2631086"/>
  </r>
  <r>
    <s v="Retail"/>
    <s v="Q140 Cartagena - CC Mall Plaza"/>
    <x v="0"/>
    <s v="octubre"/>
    <n v="6"/>
    <d v="2026-10-06T00:00:00"/>
    <n v="1087806783"/>
    <s v="ESTUPIÑAN SOLIS  PAOLA KARINA"/>
    <n v="32"/>
    <n v="0"/>
    <n v="1935508"/>
  </r>
  <r>
    <s v="Retail"/>
    <s v="Q140 Cartagena - CC Mall Plaza"/>
    <x v="0"/>
    <s v="octubre"/>
    <n v="7"/>
    <d v="2026-10-07T00:00:00"/>
    <m/>
    <m/>
    <n v="0"/>
    <n v="5245833"/>
    <n v="0"/>
  </r>
  <r>
    <s v="Retail"/>
    <s v="Q140 Cartagena - CC Mall Plaza"/>
    <x v="0"/>
    <s v="octubre"/>
    <n v="7"/>
    <d v="2026-10-07T00:00:00"/>
    <n v="45548590"/>
    <s v="PACHECO  DINA CANDY"/>
    <n v="45"/>
    <n v="0"/>
    <n v="2712397"/>
  </r>
  <r>
    <s v="Retail"/>
    <s v="Q140 Cartagena - CC Mall Plaza"/>
    <x v="0"/>
    <s v="octubre"/>
    <n v="7"/>
    <d v="2026-10-07T00:00:00"/>
    <n v="1002249169"/>
    <s v="PAJARO REYES KAREN PAMELA"/>
    <n v="43"/>
    <n v="0"/>
    <n v="2069541"/>
  </r>
  <r>
    <s v="Retail"/>
    <s v="Q140 Cartagena - CC Mall Plaza"/>
    <x v="0"/>
    <s v="octubre"/>
    <n v="7"/>
    <d v="2026-10-07T00:00:00"/>
    <n v="1087806783"/>
    <s v="ESTUPIÑAN SOLIS  PAOLA KARINA"/>
    <n v="11"/>
    <n v="0"/>
    <n v="507816"/>
  </r>
  <r>
    <s v="Retail"/>
    <s v="Q154 - Santa Marta - CC Buenavista"/>
    <x v="0"/>
    <s v="septiembre"/>
    <n v="23"/>
    <d v="2026-09-23T00:00:00"/>
    <m/>
    <m/>
    <n v="0"/>
    <n v="0"/>
    <n v="0"/>
  </r>
  <r>
    <s v="Retail"/>
    <s v="Q154 - Santa Marta - CC Buenavista"/>
    <x v="0"/>
    <s v="septiembre"/>
    <n v="24"/>
    <d v="2026-09-24T00:00:00"/>
    <m/>
    <m/>
    <n v="0"/>
    <n v="4983830"/>
    <n v="0"/>
  </r>
  <r>
    <s v="Retail"/>
    <s v="Q154 - Santa Marta - CC Buenavista"/>
    <x v="0"/>
    <s v="septiembre"/>
    <n v="24"/>
    <d v="2026-09-24T00:00:00"/>
    <n v="1004347266"/>
    <s v="SANCHEZ MEDINA MARIA ANGELICA"/>
    <n v="29"/>
    <n v="0"/>
    <n v="1561811"/>
  </r>
  <r>
    <s v="Retail"/>
    <s v="Q154 - Santa Marta - CC Buenavista"/>
    <x v="0"/>
    <s v="septiembre"/>
    <n v="24"/>
    <d v="2026-09-24T00:00:00"/>
    <n v="1082922050"/>
    <s v="SILVA VELASQUEZ LUDY  VIVIANA MARCELA"/>
    <n v="27"/>
    <n v="0"/>
    <n v="1650129"/>
  </r>
  <r>
    <s v="Retail"/>
    <s v="Q154 - Santa Marta - CC Buenavista"/>
    <x v="0"/>
    <s v="septiembre"/>
    <n v="24"/>
    <d v="2026-09-24T00:00:00"/>
    <n v="1143452487"/>
    <s v="FONTALVO ALMENDRALES ERIKA PATRICIA"/>
    <n v="29"/>
    <n v="0"/>
    <n v="1771891"/>
  </r>
  <r>
    <s v="Retail"/>
    <s v="Q154 - Santa Marta - CC Buenavista"/>
    <x v="0"/>
    <s v="septiembre"/>
    <n v="25"/>
    <d v="2026-09-25T00:00:00"/>
    <m/>
    <m/>
    <n v="0"/>
    <n v="12629396"/>
    <n v="0"/>
  </r>
  <r>
    <s v="Retail"/>
    <s v="Q154 - Santa Marta - CC Buenavista"/>
    <x v="0"/>
    <s v="septiembre"/>
    <n v="25"/>
    <d v="2026-09-25T00:00:00"/>
    <n v="1004347266"/>
    <s v="SANCHEZ MEDINA MARIA ANGELICA"/>
    <n v="75"/>
    <n v="0"/>
    <n v="4610213"/>
  </r>
  <r>
    <s v="Retail"/>
    <s v="Q154 - Santa Marta - CC Buenavista"/>
    <x v="0"/>
    <s v="septiembre"/>
    <n v="25"/>
    <d v="2026-09-25T00:00:00"/>
    <n v="1082922050"/>
    <s v="SILVA VELASQUEZ LUDY  VIVIANA MARCELA"/>
    <n v="78"/>
    <n v="0"/>
    <n v="4805545"/>
  </r>
  <r>
    <s v="Retail"/>
    <s v="Q154 - Santa Marta - CC Buenavista"/>
    <x v="0"/>
    <s v="septiembre"/>
    <n v="25"/>
    <d v="2026-09-25T00:00:00"/>
    <n v="1143452487"/>
    <s v="FONTALVO ALMENDRALES ERIKA PATRICIA"/>
    <n v="69"/>
    <n v="0"/>
    <n v="3648240"/>
  </r>
  <r>
    <s v="Retail"/>
    <s v="Q154 - Santa Marta - CC Buenavista"/>
    <x v="0"/>
    <s v="septiembre"/>
    <n v="26"/>
    <d v="2026-09-26T00:00:00"/>
    <m/>
    <m/>
    <n v="0"/>
    <n v="18150262"/>
    <n v="0"/>
  </r>
  <r>
    <s v="Retail"/>
    <s v="Q154 - Santa Marta - CC Buenavista"/>
    <x v="0"/>
    <s v="septiembre"/>
    <n v="26"/>
    <d v="2026-09-26T00:00:00"/>
    <n v="1004347266"/>
    <s v="SANCHEZ MEDINA MARIA ANGELICA"/>
    <n v="67"/>
    <n v="0"/>
    <n v="3516096"/>
  </r>
  <r>
    <s v="Retail"/>
    <s v="Q154 - Santa Marta - CC Buenavista"/>
    <x v="0"/>
    <s v="septiembre"/>
    <n v="26"/>
    <d v="2026-09-26T00:00:00"/>
    <n v="1082922050"/>
    <s v="SILVA VELASQUEZ LUDY  VIVIANA MARCELA"/>
    <n v="43"/>
    <n v="0"/>
    <n v="2275464"/>
  </r>
  <r>
    <s v="Retail"/>
    <s v="Q154 - Santa Marta - CC Buenavista"/>
    <x v="0"/>
    <s v="septiembre"/>
    <n v="26"/>
    <d v="2026-09-26T00:00:00"/>
    <n v="1143452487"/>
    <s v="FONTALVO ALMENDRALES ERIKA PATRICIA"/>
    <n v="64"/>
    <n v="0"/>
    <n v="3560383"/>
  </r>
  <r>
    <s v="Retail"/>
    <s v="Q154 - Santa Marta - CC Buenavista"/>
    <x v="0"/>
    <s v="septiembre"/>
    <n v="27"/>
    <d v="2026-09-27T00:00:00"/>
    <m/>
    <m/>
    <n v="0"/>
    <n v="14378661"/>
    <n v="0"/>
  </r>
  <r>
    <s v="Retail"/>
    <s v="Q154 - Santa Marta - CC Buenavista"/>
    <x v="0"/>
    <s v="septiembre"/>
    <n v="27"/>
    <d v="2026-09-27T00:00:00"/>
    <n v="1004347266"/>
    <s v="SANCHEZ MEDINA MARIA ANGELICA"/>
    <n v="100"/>
    <n v="0"/>
    <n v="6224628"/>
  </r>
  <r>
    <s v="Retail"/>
    <s v="Q154 - Santa Marta - CC Buenavista"/>
    <x v="0"/>
    <s v="septiembre"/>
    <n v="27"/>
    <d v="2026-09-27T00:00:00"/>
    <n v="1082922050"/>
    <s v="SILVA VELASQUEZ LUDY  VIVIANA MARCELA"/>
    <n v="44"/>
    <n v="0"/>
    <n v="3208236"/>
  </r>
  <r>
    <s v="Retail"/>
    <s v="Q154 - Santa Marta - CC Buenavista"/>
    <x v="0"/>
    <s v="septiembre"/>
    <n v="27"/>
    <d v="2026-09-27T00:00:00"/>
    <n v="1143452487"/>
    <s v="FONTALVO ALMENDRALES ERIKA PATRICIA"/>
    <n v="85"/>
    <n v="0"/>
    <n v="5065677"/>
  </r>
  <r>
    <s v="Retail"/>
    <s v="Q154 - Santa Marta - CC Buenavista"/>
    <x v="0"/>
    <s v="septiembre"/>
    <n v="28"/>
    <d v="2026-09-28T00:00:00"/>
    <m/>
    <m/>
    <n v="0"/>
    <n v="7913423"/>
    <n v="0"/>
  </r>
  <r>
    <s v="Retail"/>
    <s v="Q154 - Santa Marta - CC Buenavista"/>
    <x v="0"/>
    <s v="septiembre"/>
    <n v="28"/>
    <d v="2026-09-28T00:00:00"/>
    <n v="1004347266"/>
    <s v="SANCHEZ MEDINA MARIA ANGELICA"/>
    <n v="26"/>
    <n v="0"/>
    <n v="1557692"/>
  </r>
  <r>
    <s v="Retail"/>
    <s v="Q154 - Santa Marta - CC Buenavista"/>
    <x v="0"/>
    <s v="septiembre"/>
    <n v="28"/>
    <d v="2026-09-28T00:00:00"/>
    <n v="1082922050"/>
    <s v="SILVA VELASQUEZ LUDY  VIVIANA MARCELA"/>
    <n v="31"/>
    <n v="0"/>
    <n v="1532272"/>
  </r>
  <r>
    <s v="Retail"/>
    <s v="Q154 - Santa Marta - CC Buenavista"/>
    <x v="0"/>
    <s v="septiembre"/>
    <n v="28"/>
    <d v="2026-09-28T00:00:00"/>
    <n v="1143452487"/>
    <s v="FONTALVO ALMENDRALES ERIKA PATRICIA"/>
    <n v="45"/>
    <n v="0"/>
    <n v="2520971"/>
  </r>
  <r>
    <s v="Retail"/>
    <s v="Q154 - Santa Marta - CC Buenavista"/>
    <x v="0"/>
    <s v="septiembre"/>
    <n v="29"/>
    <d v="2026-09-29T00:00:00"/>
    <m/>
    <m/>
    <n v="0"/>
    <n v="8453086"/>
    <n v="0"/>
  </r>
  <r>
    <s v="Retail"/>
    <s v="Q154 - Santa Marta - CC Buenavista"/>
    <x v="0"/>
    <s v="septiembre"/>
    <n v="29"/>
    <d v="2026-09-29T00:00:00"/>
    <n v="1004347266"/>
    <s v="SANCHEZ MEDINA MARIA ANGELICA"/>
    <n v="56"/>
    <n v="0"/>
    <n v="3346304"/>
  </r>
  <r>
    <s v="Retail"/>
    <s v="Q154 - Santa Marta - CC Buenavista"/>
    <x v="0"/>
    <s v="septiembre"/>
    <n v="29"/>
    <d v="2026-09-29T00:00:00"/>
    <n v="1082922050"/>
    <s v="SILVA VELASQUEZ LUDY  VIVIANA MARCELA"/>
    <n v="36"/>
    <n v="0"/>
    <n v="2286138"/>
  </r>
  <r>
    <s v="Retail"/>
    <s v="Q154 - Santa Marta - CC Buenavista"/>
    <x v="0"/>
    <s v="septiembre"/>
    <n v="29"/>
    <d v="2026-09-29T00:00:00"/>
    <n v="1143452487"/>
    <s v="FONTALVO ALMENDRALES ERIKA PATRICIA"/>
    <n v="80"/>
    <n v="0"/>
    <n v="4483910"/>
  </r>
  <r>
    <s v="Retail"/>
    <s v="Q154 - Santa Marta - CC Buenavista"/>
    <x v="0"/>
    <s v="septiembre"/>
    <n v="30"/>
    <d v="2026-09-30T00:00:00"/>
    <m/>
    <m/>
    <n v="0"/>
    <n v="8732189"/>
    <n v="0"/>
  </r>
  <r>
    <s v="Retail"/>
    <s v="Q154 - Santa Marta - CC Buenavista"/>
    <x v="0"/>
    <s v="septiembre"/>
    <n v="30"/>
    <d v="2026-09-30T00:00:00"/>
    <n v="1004347266"/>
    <s v="SANCHEZ MEDINA MARIA ANGELICA"/>
    <n v="65"/>
    <n v="0"/>
    <n v="3738870"/>
  </r>
  <r>
    <s v="Retail"/>
    <s v="Q154 - Santa Marta - CC Buenavista"/>
    <x v="0"/>
    <s v="septiembre"/>
    <n v="30"/>
    <d v="2026-09-30T00:00:00"/>
    <n v="1143452487"/>
    <s v="FONTALVO ALMENDRALES ERIKA PATRICIA"/>
    <n v="62"/>
    <n v="0"/>
    <n v="3482654"/>
  </r>
  <r>
    <s v="Retail"/>
    <s v="Q154 - Santa Marta - CC Buenavista"/>
    <x v="0"/>
    <s v="octubre"/>
    <n v="1"/>
    <d v="2026-10-01T00:00:00"/>
    <m/>
    <m/>
    <n v="0"/>
    <n v="14367725"/>
    <n v="0"/>
  </r>
  <r>
    <s v="Retail"/>
    <s v="Q154 - Santa Marta - CC Buenavista"/>
    <x v="0"/>
    <s v="octubre"/>
    <n v="1"/>
    <d v="2026-10-01T00:00:00"/>
    <n v="1004347266"/>
    <s v="SANCHEZ MEDINA MARIA ANGELICA"/>
    <n v="48"/>
    <n v="0"/>
    <n v="2867566"/>
  </r>
  <r>
    <s v="Retail"/>
    <s v="Q154 - Santa Marta - CC Buenavista"/>
    <x v="0"/>
    <s v="octubre"/>
    <n v="1"/>
    <d v="2026-10-01T00:00:00"/>
    <n v="1082922050"/>
    <s v="SILVA VELASQUEZ LUDY  VIVIANA MARCELA"/>
    <n v="60"/>
    <n v="0"/>
    <n v="2951056"/>
  </r>
  <r>
    <s v="Retail"/>
    <s v="Q154 - Santa Marta - CC Buenavista"/>
    <x v="0"/>
    <s v="octubre"/>
    <n v="1"/>
    <d v="2026-10-01T00:00:00"/>
    <n v="1143452487"/>
    <s v="FONTALVO ALMENDRALES ERIKA PATRICIA"/>
    <n v="52"/>
    <n v="0"/>
    <n v="2867483"/>
  </r>
  <r>
    <s v="Retail"/>
    <s v="Q154 - Santa Marta - CC Buenavista"/>
    <x v="0"/>
    <s v="octubre"/>
    <n v="2"/>
    <d v="2026-10-02T00:00:00"/>
    <m/>
    <m/>
    <n v="0"/>
    <n v="6502660"/>
    <n v="0"/>
  </r>
  <r>
    <s v="Retail"/>
    <s v="Q154 - Santa Marta - CC Buenavista"/>
    <x v="0"/>
    <s v="octubre"/>
    <n v="2"/>
    <d v="2026-10-02T00:00:00"/>
    <n v="1004347266"/>
    <s v="SANCHEZ MEDINA MARIA ANGELICA"/>
    <n v="79"/>
    <n v="0"/>
    <n v="4521810"/>
  </r>
  <r>
    <s v="Retail"/>
    <s v="Q154 - Santa Marta - CC Buenavista"/>
    <x v="0"/>
    <s v="octubre"/>
    <n v="2"/>
    <d v="2026-10-02T00:00:00"/>
    <n v="1082922050"/>
    <s v="SILVA VELASQUEZ LUDY  VIVIANA MARCELA"/>
    <n v="47"/>
    <n v="0"/>
    <n v="2565130"/>
  </r>
  <r>
    <s v="Retail"/>
    <s v="Q154 - Santa Marta - CC Buenavista"/>
    <x v="0"/>
    <s v="octubre"/>
    <n v="2"/>
    <d v="2026-10-02T00:00:00"/>
    <n v="1143452487"/>
    <s v="FONTALVO ALMENDRALES ERIKA PATRICIA"/>
    <n v="102"/>
    <n v="0"/>
    <n v="5838113"/>
  </r>
  <r>
    <s v="Retail"/>
    <s v="Q154 - Santa Marta - CC Buenavista"/>
    <x v="0"/>
    <s v="octubre"/>
    <n v="3"/>
    <d v="2026-10-03T00:00:00"/>
    <m/>
    <m/>
    <n v="0"/>
    <n v="10667483"/>
    <n v="0"/>
  </r>
  <r>
    <s v="Retail"/>
    <s v="Q154 - Santa Marta - CC Buenavista"/>
    <x v="0"/>
    <s v="octubre"/>
    <n v="3"/>
    <d v="2026-10-03T00:00:00"/>
    <n v="1004347266"/>
    <s v="SANCHEZ MEDINA MARIA ANGELICA"/>
    <n v="72"/>
    <n v="0"/>
    <n v="3599535"/>
  </r>
  <r>
    <s v="Retail"/>
    <s v="Q154 - Santa Marta - CC Buenavista"/>
    <x v="0"/>
    <s v="octubre"/>
    <n v="3"/>
    <d v="2026-10-03T00:00:00"/>
    <n v="1082922050"/>
    <s v="SILVA VELASQUEZ LUDY  VIVIANA MARCELA"/>
    <n v="50"/>
    <n v="0"/>
    <n v="2523681"/>
  </r>
  <r>
    <s v="Retail"/>
    <s v="Q154 - Santa Marta - CC Buenavista"/>
    <x v="0"/>
    <s v="octubre"/>
    <n v="3"/>
    <d v="2026-10-03T00:00:00"/>
    <n v="1143452487"/>
    <s v="FONTALVO ALMENDRALES ERIKA PATRICIA"/>
    <n v="95"/>
    <n v="0"/>
    <n v="4804195"/>
  </r>
  <r>
    <s v="Retail"/>
    <s v="Q154 - Santa Marta - CC Buenavista"/>
    <x v="0"/>
    <s v="octubre"/>
    <n v="4"/>
    <d v="2026-10-04T00:00:00"/>
    <m/>
    <m/>
    <n v="0"/>
    <n v="8237198"/>
    <n v="0"/>
  </r>
  <r>
    <s v="Retail"/>
    <s v="Q154 - Santa Marta - CC Buenavista"/>
    <x v="0"/>
    <s v="octubre"/>
    <n v="4"/>
    <d v="2026-10-04T00:00:00"/>
    <n v="1004347266"/>
    <s v="SANCHEZ MEDINA MARIA ANGELICA"/>
    <n v="91"/>
    <n v="0"/>
    <n v="5634794"/>
  </r>
  <r>
    <s v="Retail"/>
    <s v="Q154 - Santa Marta - CC Buenavista"/>
    <x v="0"/>
    <s v="octubre"/>
    <n v="4"/>
    <d v="2026-10-04T00:00:00"/>
    <n v="1082922050"/>
    <s v="SILVA VELASQUEZ LUDY  VIVIANA MARCELA"/>
    <n v="39"/>
    <n v="0"/>
    <n v="2506766"/>
  </r>
  <r>
    <s v="Retail"/>
    <s v="Q154 - Santa Marta - CC Buenavista"/>
    <x v="0"/>
    <s v="octubre"/>
    <n v="4"/>
    <d v="2026-10-04T00:00:00"/>
    <n v="1143452487"/>
    <s v="FONTALVO ALMENDRALES ERIKA PATRICIA"/>
    <n v="80"/>
    <n v="0"/>
    <n v="4794965"/>
  </r>
  <r>
    <s v="Retail"/>
    <s v="Q154 - Santa Marta - CC Buenavista"/>
    <x v="0"/>
    <s v="octubre"/>
    <n v="4"/>
    <d v="2026-10-04T00:00:00"/>
    <n v="1193566789"/>
    <s v="APARICIO CARRILLO SOFIA PATRICIA"/>
    <n v="47"/>
    <n v="0"/>
    <n v="2926599"/>
  </r>
  <r>
    <s v="Retail"/>
    <s v="Q154 - Santa Marta - CC Buenavista"/>
    <x v="0"/>
    <s v="octubre"/>
    <n v="5"/>
    <d v="2026-10-05T00:00:00"/>
    <m/>
    <m/>
    <n v="0"/>
    <n v="4276030"/>
    <n v="0"/>
  </r>
  <r>
    <s v="Retail"/>
    <s v="Q154 - Santa Marta - CC Buenavista"/>
    <x v="0"/>
    <s v="octubre"/>
    <n v="5"/>
    <d v="2026-10-05T00:00:00"/>
    <n v="1004347266"/>
    <s v="SANCHEZ MEDINA MARIA ANGELICA"/>
    <n v="62"/>
    <n v="0"/>
    <n v="3169543"/>
  </r>
  <r>
    <s v="Retail"/>
    <s v="Q154 - Santa Marta - CC Buenavista"/>
    <x v="0"/>
    <s v="octubre"/>
    <n v="5"/>
    <d v="2026-10-05T00:00:00"/>
    <n v="1082922050"/>
    <s v="SILVA VELASQUEZ LUDY  VIVIANA MARCELA"/>
    <n v="2"/>
    <n v="0"/>
    <n v="83950"/>
  </r>
  <r>
    <s v="Retail"/>
    <s v="Q154 - Santa Marta - CC Buenavista"/>
    <x v="0"/>
    <s v="octubre"/>
    <n v="5"/>
    <d v="2026-10-05T00:00:00"/>
    <n v="1143452487"/>
    <s v="FONTALVO ALMENDRALES ERIKA PATRICIA"/>
    <n v="48"/>
    <n v="0"/>
    <n v="3027394"/>
  </r>
  <r>
    <s v="Retail"/>
    <s v="Q154 - Santa Marta - CC Buenavista"/>
    <x v="0"/>
    <s v="octubre"/>
    <n v="5"/>
    <d v="2026-10-05T00:00:00"/>
    <n v="1193566789"/>
    <s v="APARICIO CARRILLO SOFIA PATRICIA"/>
    <n v="4"/>
    <n v="0"/>
    <n v="382185"/>
  </r>
  <r>
    <s v="Retail"/>
    <s v="Q154 - Santa Marta - CC Buenavista"/>
    <x v="0"/>
    <s v="octubre"/>
    <n v="6"/>
    <d v="2026-10-06T00:00:00"/>
    <m/>
    <m/>
    <n v="0"/>
    <n v="3678986"/>
    <n v="0"/>
  </r>
  <r>
    <s v="Retail"/>
    <s v="Q154 - Santa Marta - CC Buenavista"/>
    <x v="0"/>
    <s v="octubre"/>
    <n v="6"/>
    <d v="2026-10-06T00:00:00"/>
    <n v="1004347266"/>
    <s v="SANCHEZ MEDINA MARIA ANGELICA"/>
    <n v="26"/>
    <n v="0"/>
    <n v="1587101"/>
  </r>
  <r>
    <s v="Retail"/>
    <s v="Q154 - Santa Marta - CC Buenavista"/>
    <x v="0"/>
    <s v="octubre"/>
    <n v="6"/>
    <d v="2026-10-06T00:00:00"/>
    <n v="1143452487"/>
    <s v="FONTALVO ALMENDRALES ERIKA PATRICIA"/>
    <n v="23"/>
    <n v="0"/>
    <n v="1314161"/>
  </r>
  <r>
    <s v="Retail"/>
    <s v="Q154 - Santa Marta - CC Buenavista"/>
    <x v="0"/>
    <s v="octubre"/>
    <n v="6"/>
    <d v="2026-10-06T00:00:00"/>
    <n v="1193566789"/>
    <s v="APARICIO CARRILLO SOFIA PATRICIA"/>
    <n v="8"/>
    <n v="0"/>
    <n v="558489"/>
  </r>
  <r>
    <s v="Retail"/>
    <s v="Q154 - Santa Marta - CC Buenavista"/>
    <x v="0"/>
    <s v="octubre"/>
    <n v="7"/>
    <d v="2026-10-07T00:00:00"/>
    <m/>
    <m/>
    <n v="0"/>
    <n v="3630577"/>
    <n v="0"/>
  </r>
  <r>
    <s v="Retail"/>
    <s v="Q154 - Santa Marta - CC Buenavista"/>
    <x v="0"/>
    <s v="octubre"/>
    <n v="7"/>
    <d v="2026-10-07T00:00:00"/>
    <n v="1004347266"/>
    <s v="SANCHEZ MEDINA MARIA ANGELICA"/>
    <n v="17"/>
    <n v="0"/>
    <n v="1255589"/>
  </r>
  <r>
    <s v="Retail"/>
    <s v="Q154 - Santa Marta - CC Buenavista"/>
    <x v="0"/>
    <s v="octubre"/>
    <n v="7"/>
    <d v="2026-10-07T00:00:00"/>
    <n v="1143452487"/>
    <s v="FONTALVO ALMENDRALES ERIKA PATRICIA"/>
    <n v="25"/>
    <n v="0"/>
    <n v="1486306"/>
  </r>
  <r>
    <s v="Retail"/>
    <s v="Q154 - Santa Marta - CC Buenavista"/>
    <x v="0"/>
    <s v="octubre"/>
    <n v="7"/>
    <d v="2026-10-07T00:00:00"/>
    <n v="1193566789"/>
    <s v="APARICIO CARRILLO SOFIA PATRICIA"/>
    <n v="6"/>
    <n v="0"/>
    <n v="386304"/>
  </r>
  <r>
    <s v="Franquicias Sell Out QUEST"/>
    <s v="Fq 112 - Yumbo Centro"/>
    <x v="1"/>
    <s v="septiembre"/>
    <n v="23"/>
    <d v="2026-09-23T00:00:00"/>
    <m/>
    <m/>
    <n v="0"/>
    <n v="2248928"/>
    <n v="0"/>
  </r>
  <r>
    <s v="Franquicias Sell Out QUEST"/>
    <s v="Fq 112 - Yumbo Centro"/>
    <x v="1"/>
    <s v="septiembre"/>
    <n v="23"/>
    <d v="2026-09-23T00:00:00"/>
    <n v="1112497492"/>
    <s v="JARAMILLO  ANGIE CAROLINA"/>
    <n v="13"/>
    <n v="0"/>
    <n v="753655"/>
  </r>
  <r>
    <s v="Franquicias Sell Out QUEST"/>
    <s v="Fq 112 - Yumbo Centro"/>
    <x v="1"/>
    <s v="septiembre"/>
    <n v="23"/>
    <d v="2026-09-23T00:00:00"/>
    <n v="1118301691"/>
    <s v="NÚÑEZ ESPAÑA EVELING"/>
    <n v="4"/>
    <n v="0"/>
    <n v="205715"/>
  </r>
  <r>
    <s v="Franquicias Sell Out QUEST"/>
    <s v="Fq 112 - Yumbo Centro"/>
    <x v="1"/>
    <s v="septiembre"/>
    <n v="24"/>
    <d v="2026-09-24T00:00:00"/>
    <m/>
    <m/>
    <n v="0"/>
    <n v="5816158"/>
    <n v="0"/>
  </r>
  <r>
    <s v="Franquicias Sell Out QUEST"/>
    <s v="Fq 112 - Yumbo Centro"/>
    <x v="1"/>
    <s v="septiembre"/>
    <n v="24"/>
    <d v="2026-09-24T00:00:00"/>
    <n v="1112497492"/>
    <s v="JARAMILLO  ANGIE CAROLINA"/>
    <n v="21"/>
    <n v="0"/>
    <n v="1036935"/>
  </r>
  <r>
    <s v="Franquicias Sell Out QUEST"/>
    <s v="Fq 112 - Yumbo Centro"/>
    <x v="1"/>
    <s v="septiembre"/>
    <n v="24"/>
    <d v="2026-09-24T00:00:00"/>
    <n v="1118301691"/>
    <s v="NÚÑEZ ESPAÑA EVELING"/>
    <n v="32"/>
    <n v="0"/>
    <n v="1637314"/>
  </r>
  <r>
    <s v="Franquicias Sell Out QUEST"/>
    <s v="Fq 112 - Yumbo Centro"/>
    <x v="1"/>
    <s v="septiembre"/>
    <n v="25"/>
    <d v="2026-09-25T00:00:00"/>
    <m/>
    <m/>
    <n v="0"/>
    <n v="6211972"/>
    <n v="0"/>
  </r>
  <r>
    <s v="Franquicias Sell Out QUEST"/>
    <s v="Fq 112 - Yumbo Centro"/>
    <x v="1"/>
    <s v="septiembre"/>
    <n v="25"/>
    <d v="2026-09-25T00:00:00"/>
    <n v="1112497492"/>
    <s v="JARAMILLO  ANGIE CAROLINA"/>
    <n v="15"/>
    <n v="0"/>
    <n v="747271"/>
  </r>
  <r>
    <s v="Franquicias Sell Out QUEST"/>
    <s v="Fq 112 - Yumbo Centro"/>
    <x v="1"/>
    <s v="septiembre"/>
    <n v="25"/>
    <d v="2026-09-25T00:00:00"/>
    <n v="1118301691"/>
    <s v="NÚÑEZ ESPAÑA EVELING"/>
    <n v="27"/>
    <n v="0"/>
    <n v="1542985"/>
  </r>
  <r>
    <s v="Franquicias Sell Out QUEST"/>
    <s v="Fq 112 - Yumbo Centro"/>
    <x v="1"/>
    <s v="septiembre"/>
    <n v="26"/>
    <d v="2026-09-26T00:00:00"/>
    <m/>
    <m/>
    <n v="0"/>
    <n v="7833143"/>
    <n v="0"/>
  </r>
  <r>
    <s v="Franquicias Sell Out QUEST"/>
    <s v="Fq 112 - Yumbo Centro"/>
    <x v="1"/>
    <s v="septiembre"/>
    <n v="26"/>
    <d v="2026-09-26T00:00:00"/>
    <n v="1112497492"/>
    <s v="JARAMILLO  ANGIE CAROLINA"/>
    <n v="71"/>
    <n v="0"/>
    <n v="3219416"/>
  </r>
  <r>
    <s v="Franquicias Sell Out QUEST"/>
    <s v="Fq 112 - Yumbo Centro"/>
    <x v="1"/>
    <s v="septiembre"/>
    <n v="26"/>
    <d v="2026-09-26T00:00:00"/>
    <n v="1118301691"/>
    <s v="NÚÑEZ ESPAÑA EVELING"/>
    <n v="65"/>
    <n v="0"/>
    <n v="3311895"/>
  </r>
  <r>
    <s v="Franquicias Sell Out QUEST"/>
    <s v="Fq 112 - Yumbo Centro"/>
    <x v="1"/>
    <s v="septiembre"/>
    <n v="27"/>
    <d v="2026-09-27T00:00:00"/>
    <m/>
    <m/>
    <n v="0"/>
    <n v="4135823"/>
    <n v="0"/>
  </r>
  <r>
    <s v="Franquicias Sell Out QUEST"/>
    <s v="Fq 112 - Yumbo Centro"/>
    <x v="1"/>
    <s v="septiembre"/>
    <n v="27"/>
    <d v="2026-09-27T00:00:00"/>
    <n v="1112497492"/>
    <s v="JARAMILLO  ANGIE CAROLINA"/>
    <n v="43"/>
    <n v="0"/>
    <n v="2397059"/>
  </r>
  <r>
    <s v="Franquicias Sell Out QUEST"/>
    <s v="Fq 112 - Yumbo Centro"/>
    <x v="1"/>
    <s v="septiembre"/>
    <n v="28"/>
    <d v="2026-09-28T00:00:00"/>
    <m/>
    <m/>
    <n v="0"/>
    <n v="3390925"/>
    <n v="0"/>
  </r>
  <r>
    <s v="Franquicias Sell Out QUEST"/>
    <s v="Fq 112 - Yumbo Centro"/>
    <x v="1"/>
    <s v="septiembre"/>
    <n v="28"/>
    <d v="2026-09-28T00:00:00"/>
    <n v="1112497492"/>
    <s v="JARAMILLO  ANGIE CAROLINA"/>
    <n v="3"/>
    <n v="0"/>
    <n v="163698"/>
  </r>
  <r>
    <s v="Franquicias Sell Out QUEST"/>
    <s v="Fq 112 - Yumbo Centro"/>
    <x v="1"/>
    <s v="septiembre"/>
    <n v="28"/>
    <d v="2026-09-28T00:00:00"/>
    <n v="1118301691"/>
    <s v="NÚÑEZ ESPAÑA EVELING"/>
    <n v="90"/>
    <n v="0"/>
    <n v="4949128"/>
  </r>
  <r>
    <s v="Franquicias Sell Out QUEST"/>
    <s v="Fq 112 - Yumbo Centro"/>
    <x v="1"/>
    <s v="septiembre"/>
    <n v="29"/>
    <d v="2026-09-29T00:00:00"/>
    <m/>
    <m/>
    <n v="0"/>
    <n v="3769705"/>
    <n v="0"/>
  </r>
  <r>
    <s v="Franquicias Sell Out QUEST"/>
    <s v="Fq 112 - Yumbo Centro"/>
    <x v="1"/>
    <s v="septiembre"/>
    <n v="29"/>
    <d v="2026-09-29T00:00:00"/>
    <n v="1112497492"/>
    <s v="JARAMILLO  ANGIE CAROLINA"/>
    <n v="15"/>
    <n v="0"/>
    <n v="742983"/>
  </r>
  <r>
    <s v="Franquicias Sell Out QUEST"/>
    <s v="Fq 112 - Yumbo Centro"/>
    <x v="1"/>
    <s v="septiembre"/>
    <n v="29"/>
    <d v="2026-09-29T00:00:00"/>
    <n v="1118301691"/>
    <s v="NÚÑEZ ESPAÑA EVELING"/>
    <n v="32"/>
    <n v="0"/>
    <n v="1897733"/>
  </r>
  <r>
    <s v="Franquicias Sell Out QUEST"/>
    <s v="Fq 112 - Yumbo Centro"/>
    <x v="1"/>
    <s v="septiembre"/>
    <n v="30"/>
    <d v="2026-09-30T00:00:00"/>
    <m/>
    <m/>
    <n v="0"/>
    <n v="3992237"/>
    <n v="0"/>
  </r>
  <r>
    <s v="Franquicias Sell Out QUEST"/>
    <s v="Fq 112 - Yumbo Centro"/>
    <x v="1"/>
    <s v="septiembre"/>
    <n v="30"/>
    <d v="2026-09-30T00:00:00"/>
    <n v="1112497492"/>
    <s v="JARAMILLO  ANGIE CAROLINA"/>
    <n v="52"/>
    <n v="0"/>
    <n v="2211600"/>
  </r>
  <r>
    <s v="Franquicias Sell Out QUEST"/>
    <s v="Fq 112 - Yumbo Centro"/>
    <x v="1"/>
    <s v="septiembre"/>
    <n v="30"/>
    <d v="2026-09-30T00:00:00"/>
    <n v="1118301691"/>
    <s v="NÚÑEZ ESPAÑA EVELING"/>
    <n v="33"/>
    <n v="0"/>
    <n v="1559244"/>
  </r>
  <r>
    <s v="Franquicias Sell Out QUEST"/>
    <s v="Fq 112 - Yumbo Centro"/>
    <x v="1"/>
    <s v="octubre"/>
    <n v="1"/>
    <d v="2026-10-01T00:00:00"/>
    <m/>
    <m/>
    <n v="0"/>
    <n v="7410874"/>
    <n v="0"/>
  </r>
  <r>
    <s v="Franquicias Sell Out QUEST"/>
    <s v="Fq 112 - Yumbo Centro"/>
    <x v="1"/>
    <s v="octubre"/>
    <n v="1"/>
    <d v="2026-10-01T00:00:00"/>
    <n v="1112497492"/>
    <s v="JARAMILLO  ANGIE CAROLINA"/>
    <n v="51"/>
    <n v="0"/>
    <n v="2324877"/>
  </r>
  <r>
    <s v="Franquicias Sell Out QUEST"/>
    <s v="Fq 112 - Yumbo Centro"/>
    <x v="1"/>
    <s v="octubre"/>
    <n v="1"/>
    <d v="2026-10-01T00:00:00"/>
    <n v="1118301691"/>
    <s v="NÚÑEZ ESPAÑA EVELING"/>
    <n v="48"/>
    <n v="0"/>
    <n v="2191135"/>
  </r>
  <r>
    <s v="Franquicias Sell Out QUEST"/>
    <s v="Fq 112 - Yumbo Centro"/>
    <x v="1"/>
    <s v="octubre"/>
    <n v="2"/>
    <d v="2026-10-02T00:00:00"/>
    <m/>
    <m/>
    <n v="0"/>
    <n v="7651968"/>
    <n v="0"/>
  </r>
  <r>
    <s v="Franquicias Sell Out QUEST"/>
    <s v="Fq 112 - Yumbo Centro"/>
    <x v="1"/>
    <s v="octubre"/>
    <n v="2"/>
    <d v="2026-10-02T00:00:00"/>
    <n v="1112497492"/>
    <s v="JARAMILLO  ANGIE CAROLINA"/>
    <n v="30"/>
    <n v="0"/>
    <n v="1368320"/>
  </r>
  <r>
    <s v="Franquicias Sell Out QUEST"/>
    <s v="Fq 112 - Yumbo Centro"/>
    <x v="1"/>
    <s v="octubre"/>
    <n v="2"/>
    <d v="2026-10-02T00:00:00"/>
    <n v="1118301691"/>
    <s v="NÚÑEZ ESPAÑA EVELING"/>
    <n v="31"/>
    <n v="0"/>
    <n v="1630968"/>
  </r>
  <r>
    <s v="Franquicias Sell Out QUEST"/>
    <s v="Fq 112 - Yumbo Centro"/>
    <x v="1"/>
    <s v="octubre"/>
    <n v="3"/>
    <d v="2026-10-03T00:00:00"/>
    <m/>
    <m/>
    <n v="0"/>
    <n v="14272444"/>
    <n v="0"/>
  </r>
  <r>
    <s v="Franquicias Sell Out QUEST"/>
    <s v="Fq 112 - Yumbo Centro"/>
    <x v="1"/>
    <s v="octubre"/>
    <n v="3"/>
    <d v="2026-10-03T00:00:00"/>
    <n v="1112497492"/>
    <s v="JARAMILLO  ANGIE CAROLINA"/>
    <n v="97"/>
    <n v="0"/>
    <n v="4550393"/>
  </r>
  <r>
    <s v="Franquicias Sell Out QUEST"/>
    <s v="Fq 112 - Yumbo Centro"/>
    <x v="1"/>
    <s v="octubre"/>
    <n v="3"/>
    <d v="2026-10-03T00:00:00"/>
    <n v="1118301691"/>
    <s v="NÚÑEZ ESPAÑA EVELING"/>
    <n v="98"/>
    <n v="0"/>
    <n v="4895934"/>
  </r>
  <r>
    <s v="Franquicias Sell Out QUEST"/>
    <s v="Fq 112 - Yumbo Centro"/>
    <x v="1"/>
    <s v="octubre"/>
    <n v="4"/>
    <d v="2026-10-04T00:00:00"/>
    <m/>
    <m/>
    <n v="0"/>
    <n v="6779969"/>
    <n v="0"/>
  </r>
  <r>
    <s v="Franquicias Sell Out QUEST"/>
    <s v="Fq 112 - Yumbo Centro"/>
    <x v="1"/>
    <s v="octubre"/>
    <n v="4"/>
    <d v="2026-10-04T00:00:00"/>
    <n v="1112497492"/>
    <s v="JARAMILLO  ANGIE CAROLINA"/>
    <n v="43"/>
    <n v="0"/>
    <n v="2531514"/>
  </r>
  <r>
    <s v="Franquicias Sell Out QUEST"/>
    <s v="Fq 112 - Yumbo Centro"/>
    <x v="1"/>
    <s v="octubre"/>
    <n v="4"/>
    <d v="2026-10-04T00:00:00"/>
    <n v="1118301691"/>
    <s v="NÚÑEZ ESPAÑA EVELING"/>
    <n v="49"/>
    <n v="0"/>
    <n v="2485298"/>
  </r>
  <r>
    <s v="Franquicias Sell Out QUEST"/>
    <s v="Fq 112 - Yumbo Centro"/>
    <x v="1"/>
    <s v="octubre"/>
    <n v="5"/>
    <d v="2026-10-05T00:00:00"/>
    <m/>
    <m/>
    <n v="0"/>
    <n v="6678262"/>
    <n v="0"/>
  </r>
  <r>
    <s v="Franquicias Sell Out QUEST"/>
    <s v="Fq 112 - Yumbo Centro"/>
    <x v="1"/>
    <s v="octubre"/>
    <n v="5"/>
    <d v="2026-10-05T00:00:00"/>
    <n v="1112497492"/>
    <s v="JARAMILLO  ANGIE CAROLINA"/>
    <n v="52"/>
    <n v="0"/>
    <n v="2493197"/>
  </r>
  <r>
    <s v="Franquicias Sell Out QUEST"/>
    <s v="Fq 112 - Yumbo Centro"/>
    <x v="1"/>
    <s v="octubre"/>
    <n v="5"/>
    <d v="2026-10-05T00:00:00"/>
    <n v="1118301691"/>
    <s v="NÚÑEZ ESPAÑA EVELING"/>
    <n v="26"/>
    <n v="0"/>
    <n v="1700465"/>
  </r>
  <r>
    <s v="Franquicias Sell Out QUEST"/>
    <s v="Fq 112 - Yumbo Centro"/>
    <x v="1"/>
    <s v="octubre"/>
    <n v="6"/>
    <d v="2026-10-06T00:00:00"/>
    <m/>
    <m/>
    <n v="0"/>
    <n v="2108639"/>
    <n v="0"/>
  </r>
  <r>
    <s v="Franquicias Sell Out QUEST"/>
    <s v="Fq 112 - Yumbo Centro"/>
    <x v="1"/>
    <s v="octubre"/>
    <n v="6"/>
    <d v="2026-10-06T00:00:00"/>
    <n v="1112497492"/>
    <s v="JARAMILLO  ANGIE CAROLINA"/>
    <n v="75"/>
    <n v="0"/>
    <n v="3958228"/>
  </r>
  <r>
    <s v="Franquicias Sell Out QUEST"/>
    <s v="Fq 112 - Yumbo Centro"/>
    <x v="1"/>
    <s v="octubre"/>
    <n v="6"/>
    <d v="2026-10-06T00:00:00"/>
    <n v="1118301691"/>
    <s v="NÚÑEZ ESPAÑA EVELING"/>
    <n v="0"/>
    <n v="0"/>
    <n v="25210"/>
  </r>
  <r>
    <s v="Franquicias Sell Out QUEST"/>
    <s v="Fq 112 - Yumbo Centro"/>
    <x v="1"/>
    <s v="octubre"/>
    <n v="7"/>
    <d v="2026-10-07T00:00:00"/>
    <m/>
    <m/>
    <n v="0"/>
    <n v="1919948"/>
    <n v="0"/>
  </r>
  <r>
    <s v="Franquicias Sell Out QUEST"/>
    <s v="Fq 112 - Yumbo Centro"/>
    <x v="1"/>
    <s v="octubre"/>
    <n v="7"/>
    <d v="2026-10-07T00:00:00"/>
    <n v="1112497492"/>
    <s v="JARAMILLO  ANGIE CAROLINA"/>
    <n v="16"/>
    <n v="0"/>
    <n v="1112648"/>
  </r>
  <r>
    <s v="Franquicias Sell Out QUEST"/>
    <s v="Fq 112 - Yumbo Centro"/>
    <x v="1"/>
    <s v="octubre"/>
    <n v="7"/>
    <d v="2026-10-07T00:00:00"/>
    <n v="1118301691"/>
    <s v="NÚÑEZ ESPAÑA EVELING"/>
    <n v="25"/>
    <n v="0"/>
    <n v="1650170"/>
  </r>
  <r>
    <s v="Franquicias Sell Out QUEST"/>
    <s v="FQ012 - Buga - Centro"/>
    <x v="1"/>
    <s v="septiembre"/>
    <n v="23"/>
    <d v="2026-09-23T00:00:00"/>
    <m/>
    <m/>
    <n v="0"/>
    <n v="3973081"/>
    <n v="0"/>
  </r>
  <r>
    <s v="Franquicias Sell Out QUEST"/>
    <s v="FQ012 - Buga - Centro"/>
    <x v="1"/>
    <s v="septiembre"/>
    <n v="23"/>
    <d v="2026-09-23T00:00:00"/>
    <n v="1115076540"/>
    <s v="RESTREPO YULE  LISA MARIA"/>
    <n v="54"/>
    <n v="0"/>
    <n v="3153196"/>
  </r>
  <r>
    <s v="Franquicias Sell Out QUEST"/>
    <s v="FQ012 - Buga - Centro"/>
    <x v="1"/>
    <s v="septiembre"/>
    <n v="23"/>
    <d v="2026-09-23T00:00:00"/>
    <n v="1115076961"/>
    <s v="CUADROS OBANDO MARIA CAMILA"/>
    <n v="26"/>
    <n v="0"/>
    <n v="1448491"/>
  </r>
  <r>
    <s v="Franquicias Sell Out QUEST"/>
    <s v="FQ012 - Buga - Centro"/>
    <x v="1"/>
    <s v="septiembre"/>
    <n v="23"/>
    <d v="2026-09-23T00:00:00"/>
    <n v="1115087772"/>
    <s v="GRISALES  YURLEY"/>
    <n v="64"/>
    <n v="0"/>
    <n v="3352355"/>
  </r>
  <r>
    <s v="Franquicias Sell Out QUEST"/>
    <s v="FQ012 - Buga - Centro"/>
    <x v="1"/>
    <s v="septiembre"/>
    <n v="24"/>
    <d v="2026-09-24T00:00:00"/>
    <m/>
    <m/>
    <n v="0"/>
    <n v="10275155"/>
    <n v="0"/>
  </r>
  <r>
    <s v="Franquicias Sell Out QUEST"/>
    <s v="FQ012 - Buga - Centro"/>
    <x v="1"/>
    <s v="septiembre"/>
    <n v="24"/>
    <d v="2026-09-24T00:00:00"/>
    <n v="1112389670"/>
    <s v="HERNANDEZ CUARAN YEILEY MARCELA"/>
    <n v="31"/>
    <n v="0"/>
    <n v="1813825"/>
  </r>
  <r>
    <s v="Franquicias Sell Out QUEST"/>
    <s v="FQ012 - Buga - Centro"/>
    <x v="1"/>
    <s v="septiembre"/>
    <n v="24"/>
    <d v="2026-09-24T00:00:00"/>
    <n v="1115076540"/>
    <s v="RESTREPO YULE  LISA MARIA"/>
    <n v="40"/>
    <n v="0"/>
    <n v="2229414"/>
  </r>
  <r>
    <s v="Franquicias Sell Out QUEST"/>
    <s v="FQ012 - Buga - Centro"/>
    <x v="1"/>
    <s v="septiembre"/>
    <n v="24"/>
    <d v="2026-09-24T00:00:00"/>
    <n v="1115076961"/>
    <s v="CUADROS OBANDO MARIA CAMILA"/>
    <n v="32"/>
    <n v="0"/>
    <n v="1687774"/>
  </r>
  <r>
    <s v="Franquicias Sell Out QUEST"/>
    <s v="FQ012 - Buga - Centro"/>
    <x v="1"/>
    <s v="septiembre"/>
    <n v="24"/>
    <d v="2026-09-24T00:00:00"/>
    <n v="1115087772"/>
    <s v="GRISALES  YURLEY"/>
    <n v="42"/>
    <n v="0"/>
    <n v="2414201"/>
  </r>
  <r>
    <s v="Franquicias Sell Out QUEST"/>
    <s v="FQ012 - Buga - Centro"/>
    <x v="1"/>
    <s v="septiembre"/>
    <n v="25"/>
    <d v="2026-09-25T00:00:00"/>
    <m/>
    <m/>
    <n v="0"/>
    <n v="10974427"/>
    <n v="0"/>
  </r>
  <r>
    <s v="Franquicias Sell Out QUEST"/>
    <s v="FQ012 - Buga - Centro"/>
    <x v="1"/>
    <s v="septiembre"/>
    <n v="25"/>
    <d v="2026-09-25T00:00:00"/>
    <n v="1105371696"/>
    <s v="JIMENEZ SOTO LUISA FERNANDA"/>
    <n v="54"/>
    <n v="0"/>
    <n v="2648994"/>
  </r>
  <r>
    <s v="Franquicias Sell Out QUEST"/>
    <s v="FQ012 - Buga - Centro"/>
    <x v="1"/>
    <s v="septiembre"/>
    <n v="25"/>
    <d v="2026-09-25T00:00:00"/>
    <n v="1105371697"/>
    <s v="JIMENEZ SOTO MARIA ALEJANDRA"/>
    <n v="51"/>
    <n v="0"/>
    <n v="2495757"/>
  </r>
  <r>
    <s v="Franquicias Sell Out QUEST"/>
    <s v="FQ012 - Buga - Centro"/>
    <x v="1"/>
    <s v="septiembre"/>
    <n v="25"/>
    <d v="2026-09-25T00:00:00"/>
    <n v="1115076540"/>
    <s v="RESTREPO YULE  LISA MARIA"/>
    <n v="27"/>
    <n v="0"/>
    <n v="1549287"/>
  </r>
  <r>
    <s v="Franquicias Sell Out QUEST"/>
    <s v="FQ012 - Buga - Centro"/>
    <x v="1"/>
    <s v="septiembre"/>
    <n v="25"/>
    <d v="2026-09-25T00:00:00"/>
    <n v="1115076961"/>
    <s v="CUADROS OBANDO MARIA CAMILA"/>
    <n v="19"/>
    <n v="0"/>
    <n v="1192480"/>
  </r>
  <r>
    <s v="Franquicias Sell Out QUEST"/>
    <s v="FQ012 - Buga - Centro"/>
    <x v="1"/>
    <s v="septiembre"/>
    <n v="25"/>
    <d v="2026-09-25T00:00:00"/>
    <n v="1115087772"/>
    <s v="GRISALES  YURLEY"/>
    <n v="14"/>
    <n v="0"/>
    <n v="726303"/>
  </r>
  <r>
    <s v="Franquicias Sell Out QUEST"/>
    <s v="FQ012 - Buga - Centro"/>
    <x v="1"/>
    <s v="septiembre"/>
    <n v="26"/>
    <d v="2026-09-26T00:00:00"/>
    <m/>
    <m/>
    <n v="0"/>
    <n v="13838472"/>
    <n v="0"/>
  </r>
  <r>
    <s v="Franquicias Sell Out QUEST"/>
    <s v="FQ012 - Buga - Centro"/>
    <x v="1"/>
    <s v="septiembre"/>
    <n v="26"/>
    <d v="2026-09-26T00:00:00"/>
    <n v="1105371696"/>
    <s v="JIMENEZ SOTO LUISA FERNANDA"/>
    <n v="91"/>
    <n v="0"/>
    <n v="5313282"/>
  </r>
  <r>
    <s v="Franquicias Sell Out QUEST"/>
    <s v="FQ012 - Buga - Centro"/>
    <x v="1"/>
    <s v="septiembre"/>
    <n v="26"/>
    <d v="2026-09-26T00:00:00"/>
    <n v="1105371697"/>
    <s v="JIMENEZ SOTO MARIA ALEJANDRA"/>
    <n v="54"/>
    <n v="0"/>
    <n v="2665591"/>
  </r>
  <r>
    <s v="Franquicias Sell Out QUEST"/>
    <s v="FQ012 - Buga - Centro"/>
    <x v="1"/>
    <s v="septiembre"/>
    <n v="26"/>
    <d v="2026-09-26T00:00:00"/>
    <n v="1115076540"/>
    <s v="RESTREPO YULE  LISA MARIA"/>
    <n v="31"/>
    <n v="0"/>
    <n v="2259204"/>
  </r>
  <r>
    <s v="Franquicias Sell Out QUEST"/>
    <s v="FQ012 - Buga - Centro"/>
    <x v="1"/>
    <s v="septiembre"/>
    <n v="26"/>
    <d v="2026-09-26T00:00:00"/>
    <n v="1115076961"/>
    <s v="CUADROS OBANDO MARIA CAMILA"/>
    <n v="37"/>
    <n v="0"/>
    <n v="1836684"/>
  </r>
  <r>
    <s v="Franquicias Sell Out QUEST"/>
    <s v="FQ012 - Buga - Centro"/>
    <x v="1"/>
    <s v="septiembre"/>
    <n v="26"/>
    <d v="2026-09-26T00:00:00"/>
    <n v="1115087772"/>
    <s v="GRISALES  YURLEY"/>
    <n v="77"/>
    <n v="0"/>
    <n v="4734313"/>
  </r>
  <r>
    <s v="Franquicias Sell Out QUEST"/>
    <s v="FQ012 - Buga - Centro"/>
    <x v="1"/>
    <s v="septiembre"/>
    <n v="27"/>
    <d v="2026-09-27T00:00:00"/>
    <m/>
    <m/>
    <n v="0"/>
    <n v="7306582"/>
    <n v="0"/>
  </r>
  <r>
    <s v="Franquicias Sell Out QUEST"/>
    <s v="FQ012 - Buga - Centro"/>
    <x v="1"/>
    <s v="septiembre"/>
    <n v="27"/>
    <d v="2026-09-27T00:00:00"/>
    <n v="1006016558"/>
    <s v="BERMUDEZ GOMEZ JUAN MANUEL"/>
    <n v="55"/>
    <n v="0"/>
    <n v="3027020"/>
  </r>
  <r>
    <s v="Franquicias Sell Out QUEST"/>
    <s v="FQ012 - Buga - Centro"/>
    <x v="1"/>
    <s v="septiembre"/>
    <n v="27"/>
    <d v="2026-09-27T00:00:00"/>
    <n v="1105371696"/>
    <s v="JIMENEZ SOTO LUISA FERNANDA"/>
    <n v="38"/>
    <n v="0"/>
    <n v="2023573"/>
  </r>
  <r>
    <s v="Franquicias Sell Out QUEST"/>
    <s v="FQ012 - Buga - Centro"/>
    <x v="1"/>
    <s v="septiembre"/>
    <n v="27"/>
    <d v="2026-09-27T00:00:00"/>
    <n v="1105371697"/>
    <s v="JIMENEZ SOTO MARIA ALEJANDRA"/>
    <n v="26"/>
    <n v="0"/>
    <n v="1419077"/>
  </r>
  <r>
    <s v="Franquicias Sell Out QUEST"/>
    <s v="FQ012 - Buga - Centro"/>
    <x v="1"/>
    <s v="septiembre"/>
    <n v="27"/>
    <d v="2026-09-27T00:00:00"/>
    <n v="1115076540"/>
    <s v="RESTREPO YULE  LISA MARIA"/>
    <n v="17"/>
    <n v="0"/>
    <n v="940464"/>
  </r>
  <r>
    <s v="Franquicias Sell Out QUEST"/>
    <s v="FQ012 - Buga - Centro"/>
    <x v="1"/>
    <s v="septiembre"/>
    <n v="27"/>
    <d v="2026-09-27T00:00:00"/>
    <n v="1115076961"/>
    <s v="CUADROS OBANDO MARIA CAMILA"/>
    <n v="41"/>
    <n v="0"/>
    <n v="1636513"/>
  </r>
  <r>
    <s v="Franquicias Sell Out QUEST"/>
    <s v="FQ012 - Buga - Centro"/>
    <x v="1"/>
    <s v="septiembre"/>
    <n v="28"/>
    <d v="2026-09-28T00:00:00"/>
    <m/>
    <m/>
    <n v="0"/>
    <n v="5990600"/>
    <n v="0"/>
  </r>
  <r>
    <s v="Franquicias Sell Out QUEST"/>
    <s v="FQ012 - Buga - Centro"/>
    <x v="1"/>
    <s v="septiembre"/>
    <n v="28"/>
    <d v="2026-09-28T00:00:00"/>
    <n v="1105371696"/>
    <s v="JIMENEZ SOTO LUISA FERNANDA"/>
    <n v="35"/>
    <n v="0"/>
    <n v="1906094"/>
  </r>
  <r>
    <s v="Franquicias Sell Out QUEST"/>
    <s v="FQ012 - Buga - Centro"/>
    <x v="1"/>
    <s v="septiembre"/>
    <n v="28"/>
    <d v="2026-09-28T00:00:00"/>
    <n v="1115076540"/>
    <s v="RESTREPO YULE  LISA MARIA"/>
    <n v="28"/>
    <n v="0"/>
    <n v="1717102"/>
  </r>
  <r>
    <s v="Franquicias Sell Out QUEST"/>
    <s v="FQ012 - Buga - Centro"/>
    <x v="1"/>
    <s v="septiembre"/>
    <n v="28"/>
    <d v="2026-09-28T00:00:00"/>
    <n v="1115076961"/>
    <s v="CUADROS OBANDO MARIA CAMILA"/>
    <n v="27"/>
    <n v="0"/>
    <n v="1507187"/>
  </r>
  <r>
    <s v="Franquicias Sell Out QUEST"/>
    <s v="FQ012 - Buga - Centro"/>
    <x v="1"/>
    <s v="septiembre"/>
    <n v="28"/>
    <d v="2026-09-28T00:00:00"/>
    <n v="1115087772"/>
    <s v="GRISALES  YURLEY"/>
    <n v="40"/>
    <n v="0"/>
    <n v="2401599"/>
  </r>
  <r>
    <s v="Franquicias Sell Out QUEST"/>
    <s v="FQ012 - Buga - Centro"/>
    <x v="1"/>
    <s v="septiembre"/>
    <n v="29"/>
    <d v="2026-09-29T00:00:00"/>
    <m/>
    <m/>
    <n v="0"/>
    <n v="6659776"/>
    <n v="0"/>
  </r>
  <r>
    <s v="Franquicias Sell Out QUEST"/>
    <s v="FQ012 - Buga - Centro"/>
    <x v="1"/>
    <s v="septiembre"/>
    <n v="29"/>
    <d v="2026-09-29T00:00:00"/>
    <n v="1115076540"/>
    <s v="RESTREPO YULE  LISA MARIA"/>
    <n v="46"/>
    <n v="0"/>
    <n v="2523110"/>
  </r>
  <r>
    <s v="Franquicias Sell Out QUEST"/>
    <s v="FQ012 - Buga - Centro"/>
    <x v="1"/>
    <s v="septiembre"/>
    <n v="29"/>
    <d v="2026-09-29T00:00:00"/>
    <n v="1115076961"/>
    <s v="CUADROS OBANDO MARIA CAMILA"/>
    <n v="23"/>
    <n v="0"/>
    <n v="1318406"/>
  </r>
  <r>
    <s v="Franquicias Sell Out QUEST"/>
    <s v="FQ012 - Buga - Centro"/>
    <x v="1"/>
    <s v="septiembre"/>
    <n v="29"/>
    <d v="2026-09-29T00:00:00"/>
    <n v="1115087772"/>
    <s v="GRISALES  YURLEY"/>
    <n v="47"/>
    <n v="0"/>
    <n v="2745762"/>
  </r>
  <r>
    <s v="Franquicias Sell Out QUEST"/>
    <s v="FQ012 - Buga - Centro"/>
    <x v="1"/>
    <s v="septiembre"/>
    <n v="30"/>
    <d v="2026-09-30T00:00:00"/>
    <m/>
    <m/>
    <n v="0"/>
    <n v="7052917"/>
    <n v="0"/>
  </r>
  <r>
    <s v="Franquicias Sell Out QUEST"/>
    <s v="FQ012 - Buga - Centro"/>
    <x v="1"/>
    <s v="septiembre"/>
    <n v="30"/>
    <d v="2026-09-30T00:00:00"/>
    <n v="1112389670"/>
    <s v="HERNANDEZ CUARAN YEILEY MARCELA"/>
    <n v="42"/>
    <n v="0"/>
    <n v="2023322"/>
  </r>
  <r>
    <s v="Franquicias Sell Out QUEST"/>
    <s v="FQ012 - Buga - Centro"/>
    <x v="1"/>
    <s v="septiembre"/>
    <n v="30"/>
    <d v="2026-09-30T00:00:00"/>
    <n v="1115076540"/>
    <s v="RESTREPO YULE  LISA MARIA"/>
    <n v="21"/>
    <n v="0"/>
    <n v="1183993"/>
  </r>
  <r>
    <s v="Franquicias Sell Out QUEST"/>
    <s v="FQ012 - Buga - Centro"/>
    <x v="1"/>
    <s v="septiembre"/>
    <n v="30"/>
    <d v="2026-09-30T00:00:00"/>
    <n v="1115076961"/>
    <s v="CUADROS OBANDO MARIA CAMILA"/>
    <n v="17"/>
    <n v="0"/>
    <n v="902607"/>
  </r>
  <r>
    <s v="Franquicias Sell Out QUEST"/>
    <s v="FQ012 - Buga - Centro"/>
    <x v="1"/>
    <s v="septiembre"/>
    <n v="30"/>
    <d v="2026-09-30T00:00:00"/>
    <n v="1115087772"/>
    <s v="GRISALES  YURLEY"/>
    <n v="39"/>
    <n v="0"/>
    <n v="2338571"/>
  </r>
  <r>
    <s v="Franquicias Sell Out QUEST"/>
    <s v="FQ012 - Buga - Centro"/>
    <x v="1"/>
    <s v="octubre"/>
    <n v="1"/>
    <d v="2026-10-01T00:00:00"/>
    <m/>
    <m/>
    <n v="0"/>
    <n v="6579791"/>
    <n v="0"/>
  </r>
  <r>
    <s v="Franquicias Sell Out QUEST"/>
    <s v="FQ012 - Buga - Centro"/>
    <x v="1"/>
    <s v="octubre"/>
    <n v="1"/>
    <d v="2026-10-01T00:00:00"/>
    <n v="1112389670"/>
    <s v="HERNANDEZ CUARAN YEILEY MARCELA"/>
    <n v="38"/>
    <n v="0"/>
    <n v="1868028"/>
  </r>
  <r>
    <s v="Franquicias Sell Out QUEST"/>
    <s v="FQ012 - Buga - Centro"/>
    <x v="1"/>
    <s v="octubre"/>
    <n v="1"/>
    <d v="2026-10-01T00:00:00"/>
    <n v="1115076540"/>
    <s v="RESTREPO YULE  LISA MARIA"/>
    <n v="23"/>
    <n v="0"/>
    <n v="1246891"/>
  </r>
  <r>
    <s v="Franquicias Sell Out QUEST"/>
    <s v="FQ012 - Buga - Centro"/>
    <x v="1"/>
    <s v="octubre"/>
    <n v="1"/>
    <d v="2026-10-01T00:00:00"/>
    <n v="1115076961"/>
    <s v="CUADROS OBANDO MARIA CAMILA"/>
    <n v="17"/>
    <n v="0"/>
    <n v="847941"/>
  </r>
  <r>
    <s v="Franquicias Sell Out QUEST"/>
    <s v="FQ012 - Buga - Centro"/>
    <x v="1"/>
    <s v="octubre"/>
    <n v="1"/>
    <d v="2026-10-01T00:00:00"/>
    <n v="1115087772"/>
    <s v="GRISALES  YURLEY"/>
    <n v="38"/>
    <n v="0"/>
    <n v="2347063"/>
  </r>
  <r>
    <s v="Franquicias Sell Out QUEST"/>
    <s v="FQ012 - Buga - Centro"/>
    <x v="1"/>
    <s v="octubre"/>
    <n v="2"/>
    <d v="2026-10-02T00:00:00"/>
    <m/>
    <m/>
    <n v="0"/>
    <n v="7305337"/>
    <n v="0"/>
  </r>
  <r>
    <s v="Franquicias Sell Out QUEST"/>
    <s v="FQ012 - Buga - Centro"/>
    <x v="1"/>
    <s v="octubre"/>
    <n v="2"/>
    <d v="2026-10-02T00:00:00"/>
    <n v="1105371696"/>
    <s v="JIMENEZ SOTO LUISA FERNANDA"/>
    <n v="25"/>
    <n v="0"/>
    <n v="1469497"/>
  </r>
  <r>
    <s v="Franquicias Sell Out QUEST"/>
    <s v="FQ012 - Buga - Centro"/>
    <x v="1"/>
    <s v="octubre"/>
    <n v="2"/>
    <d v="2026-10-02T00:00:00"/>
    <n v="1105371697"/>
    <s v="JIMENEZ SOTO MARIA ALEJANDRA"/>
    <n v="16"/>
    <n v="0"/>
    <n v="990926"/>
  </r>
  <r>
    <s v="Franquicias Sell Out QUEST"/>
    <s v="FQ012 - Buga - Centro"/>
    <x v="1"/>
    <s v="octubre"/>
    <n v="2"/>
    <d v="2026-10-02T00:00:00"/>
    <n v="1115076540"/>
    <s v="RESTREPO YULE  LISA MARIA"/>
    <n v="13"/>
    <n v="0"/>
    <n v="692732"/>
  </r>
  <r>
    <s v="Franquicias Sell Out QUEST"/>
    <s v="FQ012 - Buga - Centro"/>
    <x v="1"/>
    <s v="octubre"/>
    <n v="2"/>
    <d v="2026-10-02T00:00:00"/>
    <n v="1115076961"/>
    <s v="CUADROS OBANDO MARIA CAMILA"/>
    <n v="9"/>
    <n v="0"/>
    <n v="402857"/>
  </r>
  <r>
    <s v="Franquicias Sell Out QUEST"/>
    <s v="FQ012 - Buga - Centro"/>
    <x v="1"/>
    <s v="octubre"/>
    <n v="3"/>
    <d v="2026-10-03T00:00:00"/>
    <m/>
    <m/>
    <n v="0"/>
    <n v="13771428"/>
    <n v="0"/>
  </r>
  <r>
    <s v="Franquicias Sell Out QUEST"/>
    <s v="FQ012 - Buga - Centro"/>
    <x v="1"/>
    <s v="octubre"/>
    <n v="3"/>
    <d v="2026-10-03T00:00:00"/>
    <n v="1105371696"/>
    <s v="JIMENEZ SOTO LUISA FERNANDA"/>
    <n v="11"/>
    <n v="0"/>
    <n v="442438"/>
  </r>
  <r>
    <s v="Franquicias Sell Out QUEST"/>
    <s v="FQ012 - Buga - Centro"/>
    <x v="1"/>
    <s v="octubre"/>
    <n v="3"/>
    <d v="2026-10-03T00:00:00"/>
    <n v="1105371697"/>
    <s v="JIMENEZ SOTO MARIA ALEJANDRA"/>
    <n v="64"/>
    <n v="0"/>
    <n v="3204038"/>
  </r>
  <r>
    <s v="Franquicias Sell Out QUEST"/>
    <s v="FQ012 - Buga - Centro"/>
    <x v="1"/>
    <s v="octubre"/>
    <n v="3"/>
    <d v="2026-10-03T00:00:00"/>
    <n v="1115076540"/>
    <s v="RESTREPO YULE  LISA MARIA"/>
    <n v="45"/>
    <n v="0"/>
    <n v="2588103"/>
  </r>
  <r>
    <s v="Franquicias Sell Out QUEST"/>
    <s v="FQ012 - Buga - Centro"/>
    <x v="1"/>
    <s v="octubre"/>
    <n v="3"/>
    <d v="2026-10-03T00:00:00"/>
    <n v="1115076961"/>
    <s v="CUADROS OBANDO MARIA CAMILA"/>
    <n v="30"/>
    <n v="0"/>
    <n v="1491574"/>
  </r>
  <r>
    <s v="Franquicias Sell Out QUEST"/>
    <s v="FQ012 - Buga - Centro"/>
    <x v="1"/>
    <s v="octubre"/>
    <n v="3"/>
    <d v="2026-10-03T00:00:00"/>
    <n v="1115087772"/>
    <s v="GRISALES  YURLEY"/>
    <n v="79"/>
    <n v="0"/>
    <n v="3969146"/>
  </r>
  <r>
    <s v="Franquicias Sell Out QUEST"/>
    <s v="FQ012 - Buga - Centro"/>
    <x v="1"/>
    <s v="octubre"/>
    <n v="4"/>
    <d v="2026-10-04T00:00:00"/>
    <m/>
    <m/>
    <n v="0"/>
    <n v="4453884"/>
    <n v="0"/>
  </r>
  <r>
    <s v="Franquicias Sell Out QUEST"/>
    <s v="FQ012 - Buga - Centro"/>
    <x v="1"/>
    <s v="octubre"/>
    <n v="4"/>
    <d v="2026-10-04T00:00:00"/>
    <n v="1105371697"/>
    <s v="JIMENEZ SOTO MARIA ALEJANDRA"/>
    <n v="17"/>
    <n v="0"/>
    <n v="1175673"/>
  </r>
  <r>
    <s v="Franquicias Sell Out QUEST"/>
    <s v="FQ012 - Buga - Centro"/>
    <x v="1"/>
    <s v="octubre"/>
    <n v="4"/>
    <d v="2026-10-04T00:00:00"/>
    <n v="1112389670"/>
    <s v="HERNANDEZ CUARAN YEILEY MARCELA"/>
    <n v="24"/>
    <n v="0"/>
    <n v="1309876"/>
  </r>
  <r>
    <s v="Franquicias Sell Out QUEST"/>
    <s v="FQ012 - Buga - Centro"/>
    <x v="1"/>
    <s v="octubre"/>
    <n v="4"/>
    <d v="2026-10-04T00:00:00"/>
    <n v="1115076540"/>
    <s v="RESTREPO YULE  LISA MARIA"/>
    <n v="29"/>
    <n v="0"/>
    <n v="1675131"/>
  </r>
  <r>
    <s v="Franquicias Sell Out QUEST"/>
    <s v="FQ012 - Buga - Centro"/>
    <x v="1"/>
    <s v="octubre"/>
    <n v="4"/>
    <d v="2026-10-04T00:00:00"/>
    <n v="1115076961"/>
    <s v="CUADROS OBANDO MARIA CAMILA"/>
    <n v="17"/>
    <n v="0"/>
    <n v="1003488"/>
  </r>
  <r>
    <s v="Franquicias Sell Out QUEST"/>
    <s v="FQ012 - Buga - Centro"/>
    <x v="1"/>
    <s v="octubre"/>
    <n v="4"/>
    <d v="2026-10-04T00:00:00"/>
    <n v="1115087772"/>
    <s v="GRISALES  YURLEY"/>
    <n v="-1"/>
    <n v="0"/>
    <n v="-67143"/>
  </r>
  <r>
    <s v="Franquicias Sell Out QUEST"/>
    <s v="FQ012 - Buga - Centro"/>
    <x v="1"/>
    <s v="octubre"/>
    <n v="5"/>
    <d v="2026-10-05T00:00:00"/>
    <m/>
    <m/>
    <n v="0"/>
    <n v="6031384"/>
    <n v="0"/>
  </r>
  <r>
    <s v="Franquicias Sell Out QUEST"/>
    <s v="FQ012 - Buga - Centro"/>
    <x v="1"/>
    <s v="octubre"/>
    <n v="5"/>
    <d v="2026-10-05T00:00:00"/>
    <n v="1105371697"/>
    <s v="JIMENEZ SOTO MARIA ALEJANDRA"/>
    <n v="-2"/>
    <n v="0"/>
    <n v="-83950"/>
  </r>
  <r>
    <s v="Franquicias Sell Out QUEST"/>
    <s v="FQ012 - Buga - Centro"/>
    <x v="1"/>
    <s v="octubre"/>
    <n v="5"/>
    <d v="2026-10-05T00:00:00"/>
    <n v="1112389670"/>
    <s v="HERNANDEZ CUARAN YEILEY MARCELA"/>
    <n v="54"/>
    <n v="0"/>
    <n v="2951389"/>
  </r>
  <r>
    <s v="Franquicias Sell Out QUEST"/>
    <s v="FQ012 - Buga - Centro"/>
    <x v="1"/>
    <s v="octubre"/>
    <n v="5"/>
    <d v="2026-10-05T00:00:00"/>
    <n v="1115076540"/>
    <s v="RESTREPO YULE  LISA MARIA"/>
    <n v="-1"/>
    <n v="0"/>
    <n v="-134370"/>
  </r>
  <r>
    <s v="Franquicias Sell Out QUEST"/>
    <s v="FQ012 - Buga - Centro"/>
    <x v="1"/>
    <s v="octubre"/>
    <n v="5"/>
    <d v="2026-10-05T00:00:00"/>
    <n v="1115076961"/>
    <s v="CUADROS OBANDO MARIA CAMILA"/>
    <n v="60"/>
    <n v="0"/>
    <n v="3095885"/>
  </r>
  <r>
    <s v="Franquicias Sell Out QUEST"/>
    <s v="FQ012 - Buga - Centro"/>
    <x v="1"/>
    <s v="octubre"/>
    <n v="5"/>
    <d v="2026-10-05T00:00:00"/>
    <n v="1115087772"/>
    <s v="GRISALES  YURLEY"/>
    <n v="46"/>
    <n v="0"/>
    <n v="3000045"/>
  </r>
  <r>
    <s v="Franquicias Sell Out QUEST"/>
    <s v="FQ012 - Buga - Centro"/>
    <x v="1"/>
    <s v="octubre"/>
    <n v="6"/>
    <d v="2026-10-06T00:00:00"/>
    <m/>
    <m/>
    <n v="0"/>
    <n v="4389423"/>
    <n v="0"/>
  </r>
  <r>
    <s v="Franquicias Sell Out QUEST"/>
    <s v="FQ012 - Buga - Centro"/>
    <x v="1"/>
    <s v="octubre"/>
    <n v="6"/>
    <d v="2026-10-06T00:00:00"/>
    <n v="113096249"/>
    <s v="BETANCOURT VIRAMAR SANDRA YADIRA"/>
    <n v="26"/>
    <n v="0"/>
    <n v="1183741"/>
  </r>
  <r>
    <s v="Franquicias Sell Out QUEST"/>
    <s v="FQ012 - Buga - Centro"/>
    <x v="1"/>
    <s v="octubre"/>
    <n v="6"/>
    <d v="2026-10-06T00:00:00"/>
    <n v="1115076540"/>
    <s v="RESTREPO YULE  LISA MARIA"/>
    <n v="8"/>
    <n v="0"/>
    <n v="474454"/>
  </r>
  <r>
    <s v="Franquicias Sell Out QUEST"/>
    <s v="FQ012 - Buga - Centro"/>
    <x v="1"/>
    <s v="octubre"/>
    <n v="6"/>
    <d v="2026-10-06T00:00:00"/>
    <n v="1115076961"/>
    <s v="CUADROS OBANDO MARIA CAMILA"/>
    <n v="4"/>
    <n v="0"/>
    <n v="188866"/>
  </r>
  <r>
    <s v="Franquicias Sell Out QUEST"/>
    <s v="FQ012 - Buga - Centro"/>
    <x v="1"/>
    <s v="octubre"/>
    <n v="6"/>
    <d v="2026-10-06T00:00:00"/>
    <n v="1115087772"/>
    <s v="GRISALES  YURLEY"/>
    <n v="15"/>
    <n v="0"/>
    <n v="579077"/>
  </r>
  <r>
    <s v="Franquicias Sell Out QUEST"/>
    <s v="FQ012 - Buga - Centro"/>
    <x v="1"/>
    <s v="octubre"/>
    <n v="7"/>
    <d v="2026-10-07T00:00:00"/>
    <m/>
    <m/>
    <n v="0"/>
    <n v="3094648"/>
    <n v="0"/>
  </r>
  <r>
    <s v="Franquicias Sell Out QUEST"/>
    <s v="FQ012 - Buga - Centro"/>
    <x v="1"/>
    <s v="octubre"/>
    <n v="7"/>
    <d v="2026-10-07T00:00:00"/>
    <n v="1115076540"/>
    <s v="RESTREPO YULE  LISA MARIA"/>
    <n v="21"/>
    <n v="0"/>
    <n v="1133572"/>
  </r>
  <r>
    <s v="Franquicias Sell Out QUEST"/>
    <s v="FQ012 - Buga - Centro"/>
    <x v="1"/>
    <s v="octubre"/>
    <n v="7"/>
    <d v="2026-10-07T00:00:00"/>
    <n v="1115076961"/>
    <s v="CUADROS OBANDO MARIA CAMILA"/>
    <n v="34"/>
    <n v="0"/>
    <n v="1634664"/>
  </r>
  <r>
    <s v="Franquicias Sell Out QUEST"/>
    <s v="FQ012 - Buga - Centro"/>
    <x v="1"/>
    <s v="octubre"/>
    <n v="7"/>
    <d v="2026-10-07T00:00:00"/>
    <n v="1115087772"/>
    <s v="GRISALES  YURLEY"/>
    <n v="12"/>
    <n v="0"/>
    <n v="570840"/>
  </r>
  <r>
    <s v="Franquicias Sell Out QUEST"/>
    <s v="FQ014 - Buga - CC Buga Plaza"/>
    <x v="1"/>
    <s v="septiembre"/>
    <n v="23"/>
    <d v="2026-09-23T00:00:00"/>
    <m/>
    <m/>
    <n v="0"/>
    <n v="2984367"/>
    <n v="0"/>
  </r>
  <r>
    <s v="Franquicias Sell Out QUEST"/>
    <s v="FQ014 - Buga - CC Buga Plaza"/>
    <x v="1"/>
    <s v="septiembre"/>
    <n v="23"/>
    <d v="2026-09-23T00:00:00"/>
    <n v="1006209867"/>
    <s v="GONZALEZ GONZALEZ ISABELA"/>
    <n v="21"/>
    <n v="0"/>
    <n v="1217606"/>
  </r>
  <r>
    <s v="Franquicias Sell Out QUEST"/>
    <s v="FQ014 - Buga - CC Buga Plaza"/>
    <x v="1"/>
    <s v="septiembre"/>
    <n v="23"/>
    <d v="2026-09-23T00:00:00"/>
    <n v="1115083881"/>
    <m/>
    <n v="41"/>
    <n v="0"/>
    <n v="2294518"/>
  </r>
  <r>
    <s v="Franquicias Sell Out QUEST"/>
    <s v="FQ014 - Buga - CC Buga Plaza"/>
    <x v="1"/>
    <s v="septiembre"/>
    <n v="24"/>
    <d v="2026-09-24T00:00:00"/>
    <m/>
    <m/>
    <n v="0"/>
    <n v="7718142"/>
    <n v="0"/>
  </r>
  <r>
    <s v="Franquicias Sell Out QUEST"/>
    <s v="FQ014 - Buga - CC Buga Plaza"/>
    <x v="1"/>
    <s v="septiembre"/>
    <n v="24"/>
    <d v="2026-09-24T00:00:00"/>
    <n v="1006209867"/>
    <s v="GONZALEZ GONZALEZ ISABELA"/>
    <n v="44"/>
    <n v="0"/>
    <n v="2512447"/>
  </r>
  <r>
    <s v="Franquicias Sell Out QUEST"/>
    <s v="FQ014 - Buga - CC Buga Plaza"/>
    <x v="1"/>
    <s v="septiembre"/>
    <n v="24"/>
    <d v="2026-09-24T00:00:00"/>
    <n v="1115083881"/>
    <m/>
    <n v="68"/>
    <n v="0"/>
    <n v="4623153"/>
  </r>
  <r>
    <s v="Franquicias Sell Out QUEST"/>
    <s v="FQ014 - Buga - CC Buga Plaza"/>
    <x v="1"/>
    <s v="septiembre"/>
    <n v="25"/>
    <d v="2026-09-25T00:00:00"/>
    <m/>
    <m/>
    <n v="0"/>
    <n v="8243393"/>
    <n v="0"/>
  </r>
  <r>
    <s v="Franquicias Sell Out QUEST"/>
    <s v="FQ014 - Buga - CC Buga Plaza"/>
    <x v="1"/>
    <s v="septiembre"/>
    <n v="25"/>
    <d v="2026-09-25T00:00:00"/>
    <n v="1006209867"/>
    <s v="GONZALEZ GONZALEZ ISABELA"/>
    <n v="40"/>
    <n v="0"/>
    <n v="2221009"/>
  </r>
  <r>
    <s v="Franquicias Sell Out QUEST"/>
    <s v="FQ014 - Buga - CC Buga Plaza"/>
    <x v="1"/>
    <s v="septiembre"/>
    <n v="25"/>
    <d v="2026-09-25T00:00:00"/>
    <n v="1115083881"/>
    <m/>
    <n v="31"/>
    <n v="0"/>
    <n v="1771810"/>
  </r>
  <r>
    <s v="Franquicias Sell Out QUEST"/>
    <s v="FQ014 - Buga - CC Buga Plaza"/>
    <x v="1"/>
    <s v="septiembre"/>
    <n v="26"/>
    <d v="2026-09-26T00:00:00"/>
    <m/>
    <m/>
    <n v="0"/>
    <n v="10394714"/>
    <n v="0"/>
  </r>
  <r>
    <s v="Franquicias Sell Out QUEST"/>
    <s v="FQ014 - Buga - CC Buga Plaza"/>
    <x v="1"/>
    <s v="septiembre"/>
    <n v="26"/>
    <d v="2026-09-26T00:00:00"/>
    <n v="1006209867"/>
    <s v="GONZALEZ GONZALEZ ISABELA"/>
    <n v="92"/>
    <n v="0"/>
    <n v="4445215"/>
  </r>
  <r>
    <s v="Franquicias Sell Out QUEST"/>
    <s v="FQ014 - Buga - CC Buga Plaza"/>
    <x v="1"/>
    <s v="septiembre"/>
    <n v="26"/>
    <d v="2026-09-26T00:00:00"/>
    <n v="1115083881"/>
    <m/>
    <n v="85"/>
    <n v="0"/>
    <n v="4600511"/>
  </r>
  <r>
    <s v="Franquicias Sell Out QUEST"/>
    <s v="FQ014 - Buga - CC Buga Plaza"/>
    <x v="1"/>
    <s v="septiembre"/>
    <n v="27"/>
    <d v="2026-09-27T00:00:00"/>
    <m/>
    <m/>
    <n v="0"/>
    <n v="5488310"/>
    <n v="0"/>
  </r>
  <r>
    <s v="Franquicias Sell Out QUEST"/>
    <s v="FQ014 - Buga - CC Buga Plaza"/>
    <x v="1"/>
    <s v="septiembre"/>
    <n v="27"/>
    <d v="2026-09-27T00:00:00"/>
    <n v="1006209867"/>
    <s v="GONZALEZ GONZALEZ ISABELA"/>
    <n v="85"/>
    <n v="0"/>
    <n v="5029625"/>
  </r>
  <r>
    <s v="Franquicias Sell Out QUEST"/>
    <s v="FQ014 - Buga - CC Buga Plaza"/>
    <x v="1"/>
    <s v="septiembre"/>
    <n v="27"/>
    <d v="2026-09-27T00:00:00"/>
    <n v="1115083881"/>
    <m/>
    <n v="114"/>
    <n v="0"/>
    <n v="6517945"/>
  </r>
  <r>
    <s v="Franquicias Sell Out QUEST"/>
    <s v="FQ014 - Buga - CC Buga Plaza"/>
    <x v="1"/>
    <s v="septiembre"/>
    <n v="27"/>
    <d v="2026-09-27T00:00:00"/>
    <n v="1115087772"/>
    <s v="GRISALES  YURLEY"/>
    <n v="-1"/>
    <n v="0"/>
    <n v="-92353"/>
  </r>
  <r>
    <s v="Franquicias Sell Out QUEST"/>
    <s v="FQ014 - Buga - CC Buga Plaza"/>
    <x v="1"/>
    <s v="septiembre"/>
    <n v="28"/>
    <d v="2026-09-28T00:00:00"/>
    <m/>
    <m/>
    <n v="0"/>
    <n v="4499818"/>
    <n v="0"/>
  </r>
  <r>
    <s v="Franquicias Sell Out QUEST"/>
    <s v="FQ014 - Buga - CC Buga Plaza"/>
    <x v="1"/>
    <s v="septiembre"/>
    <n v="28"/>
    <d v="2026-09-28T00:00:00"/>
    <n v="1006209867"/>
    <s v="GONZALEZ GONZALEZ ISABELA"/>
    <n v="15"/>
    <n v="0"/>
    <n v="665296"/>
  </r>
  <r>
    <s v="Franquicias Sell Out QUEST"/>
    <s v="FQ014 - Buga - CC Buga Plaza"/>
    <x v="1"/>
    <s v="septiembre"/>
    <n v="28"/>
    <d v="2026-09-28T00:00:00"/>
    <n v="1115083881"/>
    <m/>
    <n v="20"/>
    <n v="0"/>
    <n v="1059959"/>
  </r>
  <r>
    <s v="Franquicias Sell Out QUEST"/>
    <s v="FQ014 - Buga - CC Buga Plaza"/>
    <x v="1"/>
    <s v="septiembre"/>
    <n v="29"/>
    <d v="2026-09-29T00:00:00"/>
    <m/>
    <m/>
    <n v="0"/>
    <n v="5002466"/>
    <n v="0"/>
  </r>
  <r>
    <s v="Franquicias Sell Out QUEST"/>
    <s v="FQ014 - Buga - CC Buga Plaza"/>
    <x v="1"/>
    <s v="septiembre"/>
    <n v="29"/>
    <d v="2026-09-29T00:00:00"/>
    <n v="1006209867"/>
    <s v="GONZALEZ GONZALEZ ISABELA"/>
    <n v="22"/>
    <n v="0"/>
    <n v="1223824"/>
  </r>
  <r>
    <s v="Franquicias Sell Out QUEST"/>
    <s v="FQ014 - Buga - CC Buga Plaza"/>
    <x v="1"/>
    <s v="septiembre"/>
    <n v="29"/>
    <d v="2026-09-29T00:00:00"/>
    <n v="1115083881"/>
    <m/>
    <n v="37"/>
    <n v="0"/>
    <n v="2519369"/>
  </r>
  <r>
    <s v="Franquicias Sell Out QUEST"/>
    <s v="FQ014 - Buga - CC Buga Plaza"/>
    <x v="1"/>
    <s v="septiembre"/>
    <n v="30"/>
    <d v="2026-09-30T00:00:00"/>
    <m/>
    <m/>
    <n v="0"/>
    <n v="5297770"/>
    <n v="0"/>
  </r>
  <r>
    <s v="Franquicias Sell Out QUEST"/>
    <s v="FQ014 - Buga - CC Buga Plaza"/>
    <x v="1"/>
    <s v="septiembre"/>
    <n v="30"/>
    <d v="2026-09-30T00:00:00"/>
    <n v="1006209867"/>
    <s v="GONZALEZ GONZALEZ ISABELA"/>
    <n v="27"/>
    <n v="0"/>
    <n v="1414874"/>
  </r>
  <r>
    <s v="Franquicias Sell Out QUEST"/>
    <s v="FQ014 - Buga - CC Buga Plaza"/>
    <x v="1"/>
    <s v="septiembre"/>
    <n v="30"/>
    <d v="2026-09-30T00:00:00"/>
    <n v="1115083881"/>
    <m/>
    <n v="46"/>
    <n v="0"/>
    <n v="2151181"/>
  </r>
  <r>
    <s v="Franquicias Sell Out QUEST"/>
    <s v="FQ014 - Buga - CC Buga Plaza"/>
    <x v="1"/>
    <s v="octubre"/>
    <n v="1"/>
    <d v="2026-10-01T00:00:00"/>
    <m/>
    <m/>
    <n v="0"/>
    <n v="6025325"/>
    <n v="0"/>
  </r>
  <r>
    <s v="Franquicias Sell Out QUEST"/>
    <s v="FQ014 - Buga - CC Buga Plaza"/>
    <x v="1"/>
    <s v="octubre"/>
    <n v="1"/>
    <d v="2026-10-01T00:00:00"/>
    <n v="1006209867"/>
    <s v="GONZALEZ GONZALEZ ISABELA"/>
    <n v="17"/>
    <n v="0"/>
    <n v="669329"/>
  </r>
  <r>
    <s v="Franquicias Sell Out QUEST"/>
    <s v="FQ014 - Buga - CC Buga Plaza"/>
    <x v="1"/>
    <s v="octubre"/>
    <n v="1"/>
    <d v="2026-10-01T00:00:00"/>
    <n v="1115083881"/>
    <m/>
    <n v="28"/>
    <n v="0"/>
    <n v="1343277"/>
  </r>
  <r>
    <s v="Franquicias Sell Out QUEST"/>
    <s v="FQ014 - Buga - CC Buga Plaza"/>
    <x v="1"/>
    <s v="octubre"/>
    <n v="1"/>
    <d v="2026-10-01T00:00:00"/>
    <n v="1115087772"/>
    <s v="GRISALES  YURLEY"/>
    <n v="-1"/>
    <n v="0"/>
    <n v="-117563"/>
  </r>
  <r>
    <s v="Franquicias Sell Out QUEST"/>
    <s v="FQ014 - Buga - CC Buga Plaza"/>
    <x v="1"/>
    <s v="octubre"/>
    <n v="2"/>
    <d v="2026-10-02T00:00:00"/>
    <m/>
    <m/>
    <n v="0"/>
    <n v="6426076"/>
    <n v="0"/>
  </r>
  <r>
    <s v="Franquicias Sell Out QUEST"/>
    <s v="FQ014 - Buga - CC Buga Plaza"/>
    <x v="1"/>
    <s v="octubre"/>
    <n v="2"/>
    <d v="2026-10-02T00:00:00"/>
    <n v="1006209867"/>
    <s v="GONZALEZ GONZALEZ ISABELA"/>
    <n v="28"/>
    <n v="0"/>
    <n v="1559336"/>
  </r>
  <r>
    <s v="Franquicias Sell Out QUEST"/>
    <s v="FQ014 - Buga - CC Buga Plaza"/>
    <x v="1"/>
    <s v="octubre"/>
    <n v="2"/>
    <d v="2026-10-02T00:00:00"/>
    <n v="1115083881"/>
    <m/>
    <n v="37"/>
    <n v="0"/>
    <n v="2330336"/>
  </r>
  <r>
    <s v="Franquicias Sell Out QUEST"/>
    <s v="FQ014 - Buga - CC Buga Plaza"/>
    <x v="1"/>
    <s v="octubre"/>
    <n v="3"/>
    <d v="2026-10-03T00:00:00"/>
    <m/>
    <m/>
    <n v="0"/>
    <n v="12375254"/>
    <n v="0"/>
  </r>
  <r>
    <s v="Franquicias Sell Out QUEST"/>
    <s v="FQ014 - Buga - CC Buga Plaza"/>
    <x v="1"/>
    <s v="octubre"/>
    <n v="3"/>
    <d v="2026-10-03T00:00:00"/>
    <n v="1006209867"/>
    <s v="GONZALEZ GONZALEZ ISABELA"/>
    <n v="73"/>
    <n v="0"/>
    <n v="3911876"/>
  </r>
  <r>
    <s v="Franquicias Sell Out QUEST"/>
    <s v="FQ014 - Buga - CC Buga Plaza"/>
    <x v="1"/>
    <s v="octubre"/>
    <n v="3"/>
    <d v="2026-10-03T00:00:00"/>
    <n v="1115076540"/>
    <s v="RESTREPO YULE  LISA MARIA"/>
    <n v="-1"/>
    <n v="0"/>
    <n v="-54580"/>
  </r>
  <r>
    <s v="Franquicias Sell Out QUEST"/>
    <s v="FQ014 - Buga - CC Buga Plaza"/>
    <x v="1"/>
    <s v="octubre"/>
    <n v="3"/>
    <d v="2026-10-03T00:00:00"/>
    <n v="1115083881"/>
    <m/>
    <n v="78"/>
    <n v="0"/>
    <n v="3658700"/>
  </r>
  <r>
    <s v="Franquicias Sell Out QUEST"/>
    <s v="FQ014 - Buga - CC Buga Plaza"/>
    <x v="1"/>
    <s v="octubre"/>
    <n v="4"/>
    <d v="2026-10-04T00:00:00"/>
    <m/>
    <m/>
    <n v="0"/>
    <n v="11184044"/>
    <n v="0"/>
  </r>
  <r>
    <s v="Franquicias Sell Out QUEST"/>
    <s v="FQ014 - Buga - CC Buga Plaza"/>
    <x v="1"/>
    <s v="octubre"/>
    <n v="4"/>
    <d v="2026-10-04T00:00:00"/>
    <n v="1006209867"/>
    <s v="GONZALEZ GONZALEZ ISABELA"/>
    <n v="73"/>
    <n v="0"/>
    <n v="4118405"/>
  </r>
  <r>
    <s v="Franquicias Sell Out QUEST"/>
    <s v="FQ014 - Buga - CC Buga Plaza"/>
    <x v="1"/>
    <s v="octubre"/>
    <n v="4"/>
    <d v="2026-10-04T00:00:00"/>
    <n v="1115083881"/>
    <m/>
    <n v="38"/>
    <n v="0"/>
    <n v="2489027"/>
  </r>
  <r>
    <s v="Franquicias Sell Out QUEST"/>
    <s v="FQ014 - Buga - CC Buga Plaza"/>
    <x v="1"/>
    <s v="octubre"/>
    <n v="5"/>
    <d v="2026-10-05T00:00:00"/>
    <m/>
    <m/>
    <n v="0"/>
    <n v="3480886"/>
    <n v="0"/>
  </r>
  <r>
    <s v="Franquicias Sell Out QUEST"/>
    <s v="FQ014 - Buga - CC Buga Plaza"/>
    <x v="1"/>
    <s v="octubre"/>
    <n v="5"/>
    <d v="2026-10-05T00:00:00"/>
    <n v="1006209867"/>
    <s v="GONZALEZ GONZALEZ ISABELA"/>
    <n v="35"/>
    <n v="0"/>
    <n v="2444238"/>
  </r>
  <r>
    <s v="Franquicias Sell Out QUEST"/>
    <s v="FQ014 - Buga - CC Buga Plaza"/>
    <x v="1"/>
    <s v="octubre"/>
    <n v="5"/>
    <d v="2026-10-05T00:00:00"/>
    <n v="1115083881"/>
    <m/>
    <n v="81"/>
    <n v="0"/>
    <n v="4584376"/>
  </r>
  <r>
    <s v="Franquicias Sell Out QUEST"/>
    <s v="FQ014 - Buga - CC Buga Plaza"/>
    <x v="1"/>
    <s v="octubre"/>
    <n v="5"/>
    <d v="2026-10-05T00:00:00"/>
    <n v="1115087772"/>
    <s v="GRISALES  YURLEY"/>
    <n v="-1"/>
    <n v="0"/>
    <n v="-92353"/>
  </r>
  <r>
    <s v="Franquicias Sell Out QUEST"/>
    <s v="FQ014 - Buga - CC Buga Plaza"/>
    <x v="1"/>
    <s v="octubre"/>
    <n v="6"/>
    <d v="2026-10-06T00:00:00"/>
    <m/>
    <m/>
    <n v="0"/>
    <n v="2112607"/>
    <n v="0"/>
  </r>
  <r>
    <s v="Franquicias Sell Out QUEST"/>
    <s v="FQ014 - Buga - CC Buga Plaza"/>
    <x v="1"/>
    <s v="octubre"/>
    <n v="6"/>
    <d v="2026-10-06T00:00:00"/>
    <n v="1006209867"/>
    <s v="GONZALEZ GONZALEZ ISABELA"/>
    <n v="25"/>
    <n v="0"/>
    <n v="1364369"/>
  </r>
  <r>
    <s v="Franquicias Sell Out QUEST"/>
    <s v="FQ014 - Buga - CC Buga Plaza"/>
    <x v="1"/>
    <s v="octubre"/>
    <n v="6"/>
    <d v="2026-10-06T00:00:00"/>
    <n v="1105371697"/>
    <s v="JIMENEZ SOTO MARIA ALEJANDRA"/>
    <n v="-1"/>
    <n v="0"/>
    <n v="-79790"/>
  </r>
  <r>
    <s v="Franquicias Sell Out QUEST"/>
    <s v="FQ014 - Buga - CC Buga Plaza"/>
    <x v="1"/>
    <s v="octubre"/>
    <n v="6"/>
    <d v="2026-10-06T00:00:00"/>
    <n v="1115083881"/>
    <m/>
    <n v="33"/>
    <n v="0"/>
    <n v="1466807"/>
  </r>
  <r>
    <s v="Franquicias Sell Out QUEST"/>
    <s v="FQ014 - Buga - CC Buga Plaza"/>
    <x v="1"/>
    <s v="octubre"/>
    <n v="7"/>
    <d v="2026-10-07T00:00:00"/>
    <m/>
    <m/>
    <n v="0"/>
    <n v="1129537"/>
    <n v="0"/>
  </r>
  <r>
    <s v="Franquicias Sell Out QUEST"/>
    <s v="FQ014 - Buga - CC Buga Plaza"/>
    <x v="1"/>
    <s v="octubre"/>
    <n v="7"/>
    <d v="2026-10-07T00:00:00"/>
    <n v="1006209867"/>
    <s v="GONZALEZ GONZALEZ ISABELA"/>
    <n v="58"/>
    <n v="0"/>
    <n v="2648235"/>
  </r>
  <r>
    <s v="Franquicias Sell Out QUEST"/>
    <s v="FQ014 - Buga - CC Buga Plaza"/>
    <x v="1"/>
    <s v="octubre"/>
    <n v="7"/>
    <d v="2026-10-07T00:00:00"/>
    <n v="1115083881"/>
    <m/>
    <n v="37"/>
    <n v="0"/>
    <n v="2292354"/>
  </r>
  <r>
    <s v="Franquicias Sell Out QUEST"/>
    <s v="FQ017 - Buenaventura - Centro"/>
    <x v="1"/>
    <s v="septiembre"/>
    <n v="23"/>
    <d v="2026-09-23T00:00:00"/>
    <m/>
    <m/>
    <n v="0"/>
    <n v="7155672"/>
    <n v="0"/>
  </r>
  <r>
    <s v="Franquicias Sell Out QUEST"/>
    <s v="FQ017 - Buenaventura - Centro"/>
    <x v="1"/>
    <s v="septiembre"/>
    <n v="23"/>
    <d v="2026-09-23T00:00:00"/>
    <n v="1007882360"/>
    <s v="ARBOLEDA PERLASA YARY STEFHANNYA"/>
    <n v="23"/>
    <n v="0"/>
    <n v="1305757"/>
  </r>
  <r>
    <s v="Franquicias Sell Out QUEST"/>
    <s v="FQ017 - Buenaventura - Centro"/>
    <x v="1"/>
    <s v="septiembre"/>
    <n v="23"/>
    <d v="2026-09-23T00:00:00"/>
    <n v="1111756000"/>
    <s v="ANDULCE PERLAZA  JANER ANDRES"/>
    <n v="108"/>
    <n v="0"/>
    <n v="6174040"/>
  </r>
  <r>
    <s v="Franquicias Sell Out QUEST"/>
    <s v="FQ017 - Buenaventura - Centro"/>
    <x v="1"/>
    <s v="septiembre"/>
    <n v="23"/>
    <d v="2026-09-23T00:00:00"/>
    <n v="1111796592"/>
    <s v="ALVARADO JIMÉNEZ  LEIDY LORENA"/>
    <n v="107"/>
    <n v="0"/>
    <n v="5869457"/>
  </r>
  <r>
    <s v="Franquicias Sell Out QUEST"/>
    <s v="FQ017 - Buenaventura - Centro"/>
    <x v="1"/>
    <s v="septiembre"/>
    <n v="23"/>
    <d v="2026-09-23T00:00:00"/>
    <n v="1144086068"/>
    <s v="HERRERA GUARIN MARIA VICTORIA"/>
    <n v="25"/>
    <n v="0"/>
    <n v="1242649"/>
  </r>
  <r>
    <s v="Franquicias Sell Out QUEST"/>
    <s v="FQ017 - Buenaventura - Centro"/>
    <x v="1"/>
    <s v="septiembre"/>
    <n v="24"/>
    <d v="2026-09-24T00:00:00"/>
    <m/>
    <m/>
    <n v="0"/>
    <n v="18505950"/>
    <n v="0"/>
  </r>
  <r>
    <s v="Franquicias Sell Out QUEST"/>
    <s v="FQ017 - Buenaventura - Centro"/>
    <x v="1"/>
    <s v="septiembre"/>
    <n v="24"/>
    <d v="2026-09-24T00:00:00"/>
    <n v="1007882360"/>
    <s v="ARBOLEDA PERLASA YARY STEFHANNYA"/>
    <n v="75"/>
    <n v="0"/>
    <n v="4391813"/>
  </r>
  <r>
    <s v="Franquicias Sell Out QUEST"/>
    <s v="FQ017 - Buenaventura - Centro"/>
    <x v="1"/>
    <s v="septiembre"/>
    <n v="24"/>
    <d v="2026-09-24T00:00:00"/>
    <n v="1111756000"/>
    <s v="ANDULCE PERLAZA  JANER ANDRES"/>
    <n v="84"/>
    <n v="0"/>
    <n v="5135131"/>
  </r>
  <r>
    <s v="Franquicias Sell Out QUEST"/>
    <s v="FQ017 - Buenaventura - Centro"/>
    <x v="1"/>
    <s v="septiembre"/>
    <n v="24"/>
    <d v="2026-09-24T00:00:00"/>
    <n v="1111796592"/>
    <s v="ALVARADO JIMÉNEZ  LEIDY LORENA"/>
    <n v="82"/>
    <n v="0"/>
    <n v="4910422"/>
  </r>
  <r>
    <s v="Franquicias Sell Out QUEST"/>
    <s v="FQ017 - Buenaventura - Centro"/>
    <x v="1"/>
    <s v="septiembre"/>
    <n v="24"/>
    <d v="2026-09-24T00:00:00"/>
    <n v="1144086068"/>
    <s v="HERRERA GUARIN MARIA VICTORIA"/>
    <n v="31"/>
    <n v="0"/>
    <n v="1656263"/>
  </r>
  <r>
    <s v="Franquicias Sell Out QUEST"/>
    <s v="FQ017 - Buenaventura - Centro"/>
    <x v="1"/>
    <s v="septiembre"/>
    <n v="25"/>
    <d v="2026-09-25T00:00:00"/>
    <m/>
    <m/>
    <n v="0"/>
    <n v="19765365"/>
    <n v="0"/>
  </r>
  <r>
    <s v="Franquicias Sell Out QUEST"/>
    <s v="FQ017 - Buenaventura - Centro"/>
    <x v="1"/>
    <s v="septiembre"/>
    <n v="25"/>
    <d v="2026-09-25T00:00:00"/>
    <n v="1007882360"/>
    <s v="ARBOLEDA PERLASA YARY STEFHANNYA"/>
    <n v="54"/>
    <n v="0"/>
    <n v="2980928"/>
  </r>
  <r>
    <s v="Franquicias Sell Out QUEST"/>
    <s v="FQ017 - Buenaventura - Centro"/>
    <x v="1"/>
    <s v="septiembre"/>
    <n v="25"/>
    <d v="2026-09-25T00:00:00"/>
    <n v="1111756000"/>
    <s v="ANDULCE PERLAZA  JANER ANDRES"/>
    <n v="151"/>
    <n v="0"/>
    <n v="8663744"/>
  </r>
  <r>
    <s v="Franquicias Sell Out QUEST"/>
    <s v="FQ017 - Buenaventura - Centro"/>
    <x v="1"/>
    <s v="septiembre"/>
    <n v="25"/>
    <d v="2026-09-25T00:00:00"/>
    <n v="1111796592"/>
    <s v="ALVARADO JIMÉNEZ  LEIDY LORENA"/>
    <n v="120"/>
    <n v="0"/>
    <n v="7715553"/>
  </r>
  <r>
    <s v="Franquicias Sell Out QUEST"/>
    <s v="FQ017 - Buenaventura - Centro"/>
    <x v="1"/>
    <s v="septiembre"/>
    <n v="25"/>
    <d v="2026-09-25T00:00:00"/>
    <n v="1144086068"/>
    <s v="HERRERA GUARIN MARIA VICTORIA"/>
    <n v="30"/>
    <n v="0"/>
    <n v="1654203"/>
  </r>
  <r>
    <s v="Franquicias Sell Out QUEST"/>
    <s v="FQ017 - Buenaventura - Centro"/>
    <x v="1"/>
    <s v="septiembre"/>
    <n v="26"/>
    <d v="2026-09-26T00:00:00"/>
    <m/>
    <m/>
    <n v="0"/>
    <n v="24923625"/>
    <n v="0"/>
  </r>
  <r>
    <s v="Franquicias Sell Out QUEST"/>
    <s v="FQ017 - Buenaventura - Centro"/>
    <x v="1"/>
    <s v="septiembre"/>
    <n v="26"/>
    <d v="2026-09-26T00:00:00"/>
    <n v="1007882360"/>
    <s v="ARBOLEDA PERLASA YARY STEFHANNYA"/>
    <n v="66"/>
    <n v="0"/>
    <n v="3301601"/>
  </r>
  <r>
    <s v="Franquicias Sell Out QUEST"/>
    <s v="FQ017 - Buenaventura - Centro"/>
    <x v="1"/>
    <s v="septiembre"/>
    <n v="26"/>
    <d v="2026-09-26T00:00:00"/>
    <n v="1111756000"/>
    <s v="ANDULCE PERLAZA  JANER ANDRES"/>
    <n v="181"/>
    <n v="0"/>
    <n v="10601100"/>
  </r>
  <r>
    <s v="Franquicias Sell Out QUEST"/>
    <s v="FQ017 - Buenaventura - Centro"/>
    <x v="1"/>
    <s v="septiembre"/>
    <n v="26"/>
    <d v="2026-09-26T00:00:00"/>
    <n v="1111796592"/>
    <s v="ALVARADO JIMÉNEZ  LEIDY LORENA"/>
    <n v="97"/>
    <n v="0"/>
    <n v="5999962"/>
  </r>
  <r>
    <s v="Franquicias Sell Out QUEST"/>
    <s v="FQ017 - Buenaventura - Centro"/>
    <x v="1"/>
    <s v="septiembre"/>
    <n v="26"/>
    <d v="2026-09-26T00:00:00"/>
    <n v="1111819991"/>
    <s v="CUERTO CONGOLINA  JUAN CAMILO"/>
    <n v="45"/>
    <n v="0"/>
    <n v="2569330"/>
  </r>
  <r>
    <s v="Franquicias Sell Out QUEST"/>
    <s v="FQ017 - Buenaventura - Centro"/>
    <x v="1"/>
    <s v="septiembre"/>
    <n v="26"/>
    <d v="2026-09-26T00:00:00"/>
    <n v="1144086068"/>
    <s v="HERRERA GUARIN MARIA VICTORIA"/>
    <n v="15"/>
    <n v="0"/>
    <n v="759665"/>
  </r>
  <r>
    <s v="Franquicias Sell Out QUEST"/>
    <s v="FQ017 - Buenaventura - Centro"/>
    <x v="1"/>
    <s v="septiembre"/>
    <n v="27"/>
    <d v="2026-09-27T00:00:00"/>
    <m/>
    <m/>
    <n v="0"/>
    <n v="13159434"/>
    <n v="0"/>
  </r>
  <r>
    <s v="Franquicias Sell Out QUEST"/>
    <s v="FQ017 - Buenaventura - Centro"/>
    <x v="1"/>
    <s v="septiembre"/>
    <n v="27"/>
    <d v="2026-09-27T00:00:00"/>
    <n v="1007882360"/>
    <s v="ARBOLEDA PERLASA YARY STEFHANNYA"/>
    <n v="9"/>
    <n v="0"/>
    <n v="497480"/>
  </r>
  <r>
    <s v="Franquicias Sell Out QUEST"/>
    <s v="FQ017 - Buenaventura - Centro"/>
    <x v="1"/>
    <s v="septiembre"/>
    <n v="27"/>
    <d v="2026-09-27T00:00:00"/>
    <n v="1111756000"/>
    <s v="ANDULCE PERLAZA  JANER ANDRES"/>
    <n v="53"/>
    <n v="0"/>
    <n v="3152990"/>
  </r>
  <r>
    <s v="Franquicias Sell Out QUEST"/>
    <s v="FQ017 - Buenaventura - Centro"/>
    <x v="1"/>
    <s v="septiembre"/>
    <n v="27"/>
    <d v="2026-09-27T00:00:00"/>
    <n v="1111796592"/>
    <s v="ALVARADO JIMÉNEZ  LEIDY LORENA"/>
    <n v="107"/>
    <n v="0"/>
    <n v="6083409"/>
  </r>
  <r>
    <s v="Franquicias Sell Out QUEST"/>
    <s v="FQ017 - Buenaventura - Centro"/>
    <x v="1"/>
    <s v="septiembre"/>
    <n v="27"/>
    <d v="2026-09-27T00:00:00"/>
    <n v="1111819991"/>
    <s v="CUERTO CONGOLINA  JUAN CAMILO"/>
    <n v="29"/>
    <n v="0"/>
    <n v="1765505"/>
  </r>
  <r>
    <s v="Franquicias Sell Out QUEST"/>
    <s v="FQ017 - Buenaventura - Centro"/>
    <x v="1"/>
    <s v="septiembre"/>
    <n v="28"/>
    <d v="2026-09-28T00:00:00"/>
    <m/>
    <m/>
    <n v="0"/>
    <n v="10789305"/>
    <n v="0"/>
  </r>
  <r>
    <s v="Franquicias Sell Out QUEST"/>
    <s v="FQ017 - Buenaventura - Centro"/>
    <x v="1"/>
    <s v="septiembre"/>
    <n v="28"/>
    <d v="2026-09-28T00:00:00"/>
    <n v="1007882360"/>
    <s v="ARBOLEDA PERLASA YARY STEFHANNYA"/>
    <n v="28"/>
    <n v="0"/>
    <n v="1311681"/>
  </r>
  <r>
    <s v="Franquicias Sell Out QUEST"/>
    <s v="FQ017 - Buenaventura - Centro"/>
    <x v="1"/>
    <s v="septiembre"/>
    <n v="28"/>
    <d v="2026-09-28T00:00:00"/>
    <n v="1111756000"/>
    <s v="ANDULCE PERLAZA  JANER ANDRES"/>
    <n v="58"/>
    <n v="0"/>
    <n v="3374415"/>
  </r>
  <r>
    <s v="Franquicias Sell Out QUEST"/>
    <s v="FQ017 - Buenaventura - Centro"/>
    <x v="1"/>
    <s v="septiembre"/>
    <n v="28"/>
    <d v="2026-09-28T00:00:00"/>
    <n v="1111796592"/>
    <s v="ALVARADO JIMÉNEZ  LEIDY LORENA"/>
    <n v="49"/>
    <n v="0"/>
    <n v="3073320"/>
  </r>
  <r>
    <s v="Franquicias Sell Out QUEST"/>
    <s v="FQ017 - Buenaventura - Centro"/>
    <x v="1"/>
    <s v="septiembre"/>
    <n v="28"/>
    <d v="2026-09-28T00:00:00"/>
    <n v="1111819991"/>
    <s v="CUERTO CONGOLINA  JUAN CAMILO"/>
    <n v="16"/>
    <n v="0"/>
    <n v="911052"/>
  </r>
  <r>
    <s v="Franquicias Sell Out QUEST"/>
    <s v="FQ017 - Buenaventura - Centro"/>
    <x v="1"/>
    <s v="septiembre"/>
    <n v="28"/>
    <d v="2026-09-28T00:00:00"/>
    <n v="1144086068"/>
    <s v="HERRERA GUARIN MARIA VICTORIA"/>
    <n v="2"/>
    <n v="0"/>
    <n v="88110"/>
  </r>
  <r>
    <s v="Franquicias Sell Out QUEST"/>
    <s v="FQ017 - Buenaventura - Centro"/>
    <x v="1"/>
    <s v="septiembre"/>
    <n v="29"/>
    <d v="2026-09-29T00:00:00"/>
    <m/>
    <m/>
    <n v="0"/>
    <n v="11994517"/>
    <n v="0"/>
  </r>
  <r>
    <s v="Franquicias Sell Out QUEST"/>
    <s v="FQ017 - Buenaventura - Centro"/>
    <x v="1"/>
    <s v="septiembre"/>
    <n v="29"/>
    <d v="2026-09-29T00:00:00"/>
    <n v="1007882360"/>
    <s v="ARBOLEDA PERLASA YARY STEFHANNYA"/>
    <n v="21"/>
    <n v="0"/>
    <n v="1022414"/>
  </r>
  <r>
    <s v="Franquicias Sell Out QUEST"/>
    <s v="FQ017 - Buenaventura - Centro"/>
    <x v="1"/>
    <s v="septiembre"/>
    <n v="29"/>
    <d v="2026-09-29T00:00:00"/>
    <n v="1111756000"/>
    <s v="ANDULCE PERLAZA  JANER ANDRES"/>
    <n v="48"/>
    <n v="0"/>
    <n v="2428153"/>
  </r>
  <r>
    <s v="Franquicias Sell Out QUEST"/>
    <s v="FQ017 - Buenaventura - Centro"/>
    <x v="1"/>
    <s v="septiembre"/>
    <n v="29"/>
    <d v="2026-09-29T00:00:00"/>
    <n v="1111796592"/>
    <s v="ALVARADO JIMÉNEZ  LEIDY LORENA"/>
    <n v="56"/>
    <n v="0"/>
    <n v="3403029"/>
  </r>
  <r>
    <s v="Franquicias Sell Out QUEST"/>
    <s v="FQ017 - Buenaventura - Centro"/>
    <x v="1"/>
    <s v="septiembre"/>
    <n v="29"/>
    <d v="2026-09-29T00:00:00"/>
    <n v="1111819991"/>
    <s v="CUERTO CONGOLINA  JUAN CAMILO"/>
    <n v="24"/>
    <n v="0"/>
    <n v="1654455"/>
  </r>
  <r>
    <s v="Franquicias Sell Out QUEST"/>
    <s v="FQ017 - Buenaventura - Centro"/>
    <x v="1"/>
    <s v="septiembre"/>
    <n v="29"/>
    <d v="2026-09-29T00:00:00"/>
    <n v="1144086068"/>
    <s v="HERRERA GUARIN MARIA VICTORIA"/>
    <n v="20"/>
    <n v="0"/>
    <n v="1200547"/>
  </r>
  <r>
    <s v="Franquicias Sell Out QUEST"/>
    <s v="FQ017 - Buenaventura - Centro"/>
    <x v="1"/>
    <s v="septiembre"/>
    <n v="30"/>
    <d v="2026-09-30T00:00:00"/>
    <m/>
    <m/>
    <n v="0"/>
    <n v="12702575"/>
    <n v="0"/>
  </r>
  <r>
    <s v="Franquicias Sell Out QUEST"/>
    <s v="FQ017 - Buenaventura - Centro"/>
    <x v="1"/>
    <s v="septiembre"/>
    <n v="30"/>
    <d v="2026-09-30T00:00:00"/>
    <n v="1007882360"/>
    <s v="ARBOLEDA PERLASA YARY STEFHANNYA"/>
    <n v="26"/>
    <n v="0"/>
    <n v="1612143"/>
  </r>
  <r>
    <s v="Franquicias Sell Out QUEST"/>
    <s v="FQ017 - Buenaventura - Centro"/>
    <x v="1"/>
    <s v="septiembre"/>
    <n v="30"/>
    <d v="2026-09-30T00:00:00"/>
    <n v="1111756000"/>
    <s v="ANDULCE PERLAZA  JANER ANDRES"/>
    <n v="89"/>
    <n v="0"/>
    <n v="5214753"/>
  </r>
  <r>
    <s v="Franquicias Sell Out QUEST"/>
    <s v="FQ017 - Buenaventura - Centro"/>
    <x v="1"/>
    <s v="septiembre"/>
    <n v="30"/>
    <d v="2026-09-30T00:00:00"/>
    <n v="1111796592"/>
    <s v="ALVARADO JIMÉNEZ  LEIDY LORENA"/>
    <n v="160"/>
    <n v="0"/>
    <n v="9746814"/>
  </r>
  <r>
    <s v="Franquicias Sell Out QUEST"/>
    <s v="FQ017 - Buenaventura - Centro"/>
    <x v="1"/>
    <s v="septiembre"/>
    <n v="30"/>
    <d v="2026-09-30T00:00:00"/>
    <n v="1111819991"/>
    <s v="CUERTO CONGOLINA  JUAN CAMILO"/>
    <n v="75"/>
    <n v="0"/>
    <n v="3897819"/>
  </r>
  <r>
    <s v="Franquicias Sell Out QUEST"/>
    <s v="FQ017 - Buenaventura - Centro"/>
    <x v="1"/>
    <s v="septiembre"/>
    <n v="30"/>
    <d v="2026-09-30T00:00:00"/>
    <n v="1144086068"/>
    <s v="HERRERA GUARIN MARIA VICTORIA"/>
    <n v="17"/>
    <n v="0"/>
    <n v="826976"/>
  </r>
  <r>
    <s v="Franquicias Sell Out QUEST"/>
    <s v="FQ017 - Buenaventura - Centro"/>
    <x v="1"/>
    <s v="octubre"/>
    <n v="1"/>
    <d v="2026-10-01T00:00:00"/>
    <m/>
    <m/>
    <n v="0"/>
    <n v="17138566"/>
    <n v="0"/>
  </r>
  <r>
    <s v="Franquicias Sell Out QUEST"/>
    <s v="FQ017 - Buenaventura - Centro"/>
    <x v="1"/>
    <s v="octubre"/>
    <n v="1"/>
    <d v="2026-10-01T00:00:00"/>
    <n v="1007882360"/>
    <s v="ARBOLEDA PERLASA YARY STEFHANNYA"/>
    <n v="56"/>
    <n v="0"/>
    <n v="3350506"/>
  </r>
  <r>
    <s v="Franquicias Sell Out QUEST"/>
    <s v="FQ017 - Buenaventura - Centro"/>
    <x v="1"/>
    <s v="octubre"/>
    <n v="1"/>
    <d v="2026-10-01T00:00:00"/>
    <n v="1111756000"/>
    <s v="ANDULCE PERLAZA  JANER ANDRES"/>
    <n v="42"/>
    <n v="0"/>
    <n v="2689330"/>
  </r>
  <r>
    <s v="Franquicias Sell Out QUEST"/>
    <s v="FQ017 - Buenaventura - Centro"/>
    <x v="1"/>
    <s v="octubre"/>
    <n v="1"/>
    <d v="2026-10-01T00:00:00"/>
    <n v="1111796592"/>
    <s v="ALVARADO JIMÉNEZ  LEIDY LORENA"/>
    <n v="95"/>
    <n v="0"/>
    <n v="5409456"/>
  </r>
  <r>
    <s v="Franquicias Sell Out QUEST"/>
    <s v="FQ017 - Buenaventura - Centro"/>
    <x v="1"/>
    <s v="octubre"/>
    <n v="1"/>
    <d v="2026-10-01T00:00:00"/>
    <n v="1111819991"/>
    <s v="CUERTO CONGOLINA  JUAN CAMILO"/>
    <n v="55"/>
    <n v="0"/>
    <n v="3468071"/>
  </r>
  <r>
    <s v="Franquicias Sell Out QUEST"/>
    <s v="FQ017 - Buenaventura - Centro"/>
    <x v="1"/>
    <s v="octubre"/>
    <n v="1"/>
    <d v="2026-10-01T00:00:00"/>
    <n v="1144086068"/>
    <s v="HERRERA GUARIN MARIA VICTORIA"/>
    <n v="4"/>
    <n v="0"/>
    <n v="226723"/>
  </r>
  <r>
    <s v="Franquicias Sell Out QUEST"/>
    <s v="FQ017 - Buenaventura - Centro"/>
    <x v="1"/>
    <s v="octubre"/>
    <n v="2"/>
    <d v="2026-10-02T00:00:00"/>
    <m/>
    <m/>
    <n v="0"/>
    <n v="22675087"/>
    <n v="0"/>
  </r>
  <r>
    <s v="Franquicias Sell Out QUEST"/>
    <s v="FQ017 - Buenaventura - Centro"/>
    <x v="1"/>
    <s v="octubre"/>
    <n v="2"/>
    <d v="2026-10-02T00:00:00"/>
    <n v="1007882360"/>
    <s v="ARBOLEDA PERLASA YARY STEFHANNYA"/>
    <n v="57"/>
    <n v="0"/>
    <n v="3379919"/>
  </r>
  <r>
    <s v="Franquicias Sell Out QUEST"/>
    <s v="FQ017 - Buenaventura - Centro"/>
    <x v="1"/>
    <s v="octubre"/>
    <n v="2"/>
    <d v="2026-10-02T00:00:00"/>
    <n v="1111756000"/>
    <s v="ANDULCE PERLAZA  JANER ANDRES"/>
    <n v="41"/>
    <n v="0"/>
    <n v="2359581"/>
  </r>
  <r>
    <s v="Franquicias Sell Out QUEST"/>
    <s v="FQ017 - Buenaventura - Centro"/>
    <x v="1"/>
    <s v="octubre"/>
    <n v="2"/>
    <d v="2026-10-02T00:00:00"/>
    <n v="1111796592"/>
    <s v="ALVARADO JIMÉNEZ  LEIDY LORENA"/>
    <n v="62"/>
    <n v="0"/>
    <n v="3463615"/>
  </r>
  <r>
    <s v="Franquicias Sell Out QUEST"/>
    <s v="FQ017 - Buenaventura - Centro"/>
    <x v="1"/>
    <s v="octubre"/>
    <n v="2"/>
    <d v="2026-10-02T00:00:00"/>
    <n v="1111819991"/>
    <s v="CUERTO CONGOLINA  JUAN CAMILO"/>
    <n v="31"/>
    <n v="0"/>
    <n v="1925129"/>
  </r>
  <r>
    <s v="Franquicias Sell Out QUEST"/>
    <s v="FQ017 - Buenaventura - Centro"/>
    <x v="1"/>
    <s v="octubre"/>
    <n v="3"/>
    <d v="2026-10-03T00:00:00"/>
    <m/>
    <m/>
    <n v="0"/>
    <n v="25202988"/>
    <n v="0"/>
  </r>
  <r>
    <s v="Franquicias Sell Out QUEST"/>
    <s v="FQ017 - Buenaventura - Centro"/>
    <x v="1"/>
    <s v="octubre"/>
    <n v="3"/>
    <d v="2026-10-03T00:00:00"/>
    <n v="1007882360"/>
    <s v="ARBOLEDA PERLASA YARY STEFHANNYA"/>
    <n v="66"/>
    <n v="0"/>
    <n v="3295490"/>
  </r>
  <r>
    <s v="Franquicias Sell Out QUEST"/>
    <s v="FQ017 - Buenaventura - Centro"/>
    <x v="1"/>
    <s v="octubre"/>
    <n v="3"/>
    <d v="2026-10-03T00:00:00"/>
    <n v="1111756000"/>
    <s v="ANDULCE PERLAZA  JANER ANDRES"/>
    <n v="169"/>
    <n v="0"/>
    <n v="8706066"/>
  </r>
  <r>
    <s v="Franquicias Sell Out QUEST"/>
    <s v="FQ017 - Buenaventura - Centro"/>
    <x v="1"/>
    <s v="octubre"/>
    <n v="3"/>
    <d v="2026-10-03T00:00:00"/>
    <n v="1111796592"/>
    <s v="ALVARADO JIMÉNEZ  LEIDY LORENA"/>
    <n v="180"/>
    <n v="0"/>
    <n v="9625646"/>
  </r>
  <r>
    <s v="Franquicias Sell Out QUEST"/>
    <s v="FQ017 - Buenaventura - Centro"/>
    <x v="1"/>
    <s v="octubre"/>
    <n v="3"/>
    <d v="2026-10-03T00:00:00"/>
    <n v="1111819991"/>
    <s v="CUERTO CONGOLINA  JUAN CAMILO"/>
    <n v="63"/>
    <n v="0"/>
    <n v="3260491"/>
  </r>
  <r>
    <s v="Franquicias Sell Out QUEST"/>
    <s v="FQ017 - Buenaventura - Centro"/>
    <x v="1"/>
    <s v="octubre"/>
    <n v="3"/>
    <d v="2026-10-03T00:00:00"/>
    <n v="1144086068"/>
    <s v="HERRERA GUARIN MARIA VICTORIA"/>
    <n v="3"/>
    <n v="0"/>
    <n v="233495"/>
  </r>
  <r>
    <s v="Franquicias Sell Out QUEST"/>
    <s v="FQ017 - Buenaventura - Centro"/>
    <x v="1"/>
    <s v="octubre"/>
    <n v="4"/>
    <d v="2026-10-04T00:00:00"/>
    <m/>
    <m/>
    <n v="0"/>
    <n v="7100974"/>
    <n v="0"/>
  </r>
  <r>
    <s v="Franquicias Sell Out QUEST"/>
    <s v="FQ017 - Buenaventura - Centro"/>
    <x v="1"/>
    <s v="octubre"/>
    <n v="4"/>
    <d v="2026-10-04T00:00:00"/>
    <n v="1007882360"/>
    <s v="ARBOLEDA PERLASA YARY STEFHANNYA"/>
    <n v="7"/>
    <n v="0"/>
    <n v="331555"/>
  </r>
  <r>
    <s v="Franquicias Sell Out QUEST"/>
    <s v="FQ017 - Buenaventura - Centro"/>
    <x v="1"/>
    <s v="octubre"/>
    <n v="4"/>
    <d v="2026-10-04T00:00:00"/>
    <n v="1111756000"/>
    <s v="ANDULCE PERLAZA  JANER ANDRES"/>
    <n v="79"/>
    <n v="0"/>
    <n v="4517356"/>
  </r>
  <r>
    <s v="Franquicias Sell Out QUEST"/>
    <s v="FQ017 - Buenaventura - Centro"/>
    <x v="1"/>
    <s v="octubre"/>
    <n v="4"/>
    <d v="2026-10-04T00:00:00"/>
    <n v="1111796592"/>
    <s v="ALVARADO JIMÉNEZ  LEIDY LORENA"/>
    <n v="75"/>
    <n v="0"/>
    <n v="4305298"/>
  </r>
  <r>
    <s v="Franquicias Sell Out QUEST"/>
    <s v="FQ017 - Buenaventura - Centro"/>
    <x v="1"/>
    <s v="octubre"/>
    <n v="4"/>
    <d v="2026-10-04T00:00:00"/>
    <n v="1111819991"/>
    <s v="CUERTO CONGOLINA  JUAN CAMILO"/>
    <n v="41"/>
    <n v="0"/>
    <n v="2031766"/>
  </r>
  <r>
    <s v="Franquicias Sell Out QUEST"/>
    <s v="FQ017 - Buenaventura - Centro"/>
    <x v="1"/>
    <s v="octubre"/>
    <n v="5"/>
    <d v="2026-10-05T00:00:00"/>
    <m/>
    <m/>
    <n v="0"/>
    <n v="14089113"/>
    <n v="0"/>
  </r>
  <r>
    <s v="Franquicias Sell Out QUEST"/>
    <s v="FQ017 - Buenaventura - Centro"/>
    <x v="1"/>
    <s v="octubre"/>
    <n v="5"/>
    <d v="2026-10-05T00:00:00"/>
    <n v="1111756000"/>
    <s v="ANDULCE PERLAZA  JANER ANDRES"/>
    <n v="116"/>
    <n v="0"/>
    <n v="6763452"/>
  </r>
  <r>
    <s v="Franquicias Sell Out QUEST"/>
    <s v="FQ017 - Buenaventura - Centro"/>
    <x v="1"/>
    <s v="octubre"/>
    <n v="5"/>
    <d v="2026-10-05T00:00:00"/>
    <n v="1111796592"/>
    <s v="ALVARADO JIMÉNEZ  LEIDY LORENA"/>
    <n v="106"/>
    <n v="0"/>
    <n v="5667484"/>
  </r>
  <r>
    <s v="Franquicias Sell Out QUEST"/>
    <s v="FQ017 - Buenaventura - Centro"/>
    <x v="1"/>
    <s v="octubre"/>
    <n v="5"/>
    <d v="2026-10-05T00:00:00"/>
    <n v="1111819991"/>
    <s v="CUERTO CONGOLINA  JUAN CAMILO"/>
    <n v="35"/>
    <n v="0"/>
    <n v="1998404"/>
  </r>
  <r>
    <s v="Franquicias Sell Out QUEST"/>
    <s v="FQ017 - Buenaventura - Centro"/>
    <x v="1"/>
    <s v="octubre"/>
    <n v="5"/>
    <d v="2026-10-05T00:00:00"/>
    <n v="1144086068"/>
    <s v="HERRERA GUARIN MARIA VICTORIA"/>
    <n v="3"/>
    <n v="0"/>
    <n v="205715"/>
  </r>
  <r>
    <s v="Franquicias Sell Out QUEST"/>
    <s v="FQ017 - Buenaventura - Centro"/>
    <x v="1"/>
    <s v="octubre"/>
    <n v="6"/>
    <d v="2026-10-06T00:00:00"/>
    <m/>
    <m/>
    <n v="0"/>
    <n v="5692413"/>
    <n v="0"/>
  </r>
  <r>
    <s v="Franquicias Sell Out QUEST"/>
    <s v="FQ017 - Buenaventura - Centro"/>
    <x v="1"/>
    <s v="octubre"/>
    <n v="6"/>
    <d v="2026-10-06T00:00:00"/>
    <n v="1111796592"/>
    <s v="ALVARADO JIMÉNEZ  LEIDY LORENA"/>
    <n v="52"/>
    <n v="0"/>
    <n v="3035550"/>
  </r>
  <r>
    <s v="Franquicias Sell Out QUEST"/>
    <s v="FQ017 - Buenaventura - Centro"/>
    <x v="1"/>
    <s v="octubre"/>
    <n v="6"/>
    <d v="2026-10-06T00:00:00"/>
    <n v="1111819991"/>
    <s v="CUERTO CONGOLINA  JUAN CAMILO"/>
    <n v="17"/>
    <n v="0"/>
    <n v="860547"/>
  </r>
  <r>
    <s v="Franquicias Sell Out QUEST"/>
    <s v="FQ017 - Buenaventura - Centro"/>
    <x v="1"/>
    <s v="octubre"/>
    <n v="6"/>
    <d v="2026-10-06T00:00:00"/>
    <n v="1144086068"/>
    <s v="HERRERA GUARIN MARIA VICTORIA"/>
    <n v="9"/>
    <n v="0"/>
    <n v="428025"/>
  </r>
  <r>
    <s v="Franquicias Sell Out QUEST"/>
    <s v="FQ017 - Buenaventura - Centro"/>
    <x v="1"/>
    <s v="octubre"/>
    <n v="7"/>
    <d v="2026-10-07T00:00:00"/>
    <m/>
    <m/>
    <n v="0"/>
    <n v="8521543"/>
    <n v="0"/>
  </r>
  <r>
    <s v="Franquicias Sell Out QUEST"/>
    <s v="FQ017 - Buenaventura - Centro"/>
    <x v="1"/>
    <s v="octubre"/>
    <n v="7"/>
    <d v="2026-10-07T00:00:00"/>
    <n v="1111756000"/>
    <s v="ANDULCE PERLAZA  JANER ANDRES"/>
    <n v="62"/>
    <n v="0"/>
    <n v="3703108"/>
  </r>
  <r>
    <s v="Franquicias Sell Out QUEST"/>
    <s v="FQ017 - Buenaventura - Centro"/>
    <x v="1"/>
    <s v="octubre"/>
    <n v="7"/>
    <d v="2026-10-07T00:00:00"/>
    <n v="1111796592"/>
    <s v="ALVARADO JIMÉNEZ  LEIDY LORENA"/>
    <n v="66"/>
    <n v="0"/>
    <n v="3438108"/>
  </r>
  <r>
    <s v="Franquicias Sell Out QUEST"/>
    <s v="FQ017 - Buenaventura - Centro"/>
    <x v="1"/>
    <s v="octubre"/>
    <n v="7"/>
    <d v="2026-10-07T00:00:00"/>
    <n v="1144086068"/>
    <s v="HERRERA GUARIN MARIA VICTORIA"/>
    <n v="1"/>
    <n v="0"/>
    <n v="37773"/>
  </r>
  <r>
    <s v="Franquicias Sell Out QUEST"/>
    <s v="FQ045-LA UNION - Valle del Cauca"/>
    <x v="1"/>
    <s v="septiembre"/>
    <n v="23"/>
    <d v="2026-09-23T00:00:00"/>
    <m/>
    <m/>
    <n v="0"/>
    <n v="4806140"/>
    <n v="0"/>
  </r>
  <r>
    <s v="Franquicias Sell Out QUEST"/>
    <s v="FQ045-LA UNION - Valle del Cauca"/>
    <x v="1"/>
    <s v="septiembre"/>
    <n v="23"/>
    <d v="2026-09-23T00:00:00"/>
    <n v="1112626038"/>
    <s v="RUEDA GONZÁLEZ JUAN CAMILO"/>
    <n v="43"/>
    <n v="0"/>
    <n v="2466682"/>
  </r>
  <r>
    <s v="Franquicias Sell Out QUEST"/>
    <s v="FQ045-LA UNION - Valle del Cauca"/>
    <x v="1"/>
    <s v="septiembre"/>
    <n v="23"/>
    <d v="2026-09-23T00:00:00"/>
    <n v="1130676658"/>
    <m/>
    <n v="80"/>
    <n v="0"/>
    <n v="4895757"/>
  </r>
  <r>
    <s v="Franquicias Sell Out QUEST"/>
    <s v="FQ045-LA UNION - Valle del Cauca"/>
    <x v="1"/>
    <s v="septiembre"/>
    <n v="23"/>
    <d v="2026-09-23T00:00:00"/>
    <n v="1140417159"/>
    <s v="ORTIZ ACEVEDO JULIAN HERNANDO"/>
    <n v="14"/>
    <n v="0"/>
    <n v="816682"/>
  </r>
  <r>
    <s v="Franquicias Sell Out QUEST"/>
    <s v="FQ045-LA UNION - Valle del Cauca"/>
    <x v="1"/>
    <s v="septiembre"/>
    <n v="24"/>
    <d v="2026-09-24T00:00:00"/>
    <m/>
    <m/>
    <n v="0"/>
    <n v="12429601"/>
    <n v="0"/>
  </r>
  <r>
    <s v="Franquicias Sell Out QUEST"/>
    <s v="FQ045-LA UNION - Valle del Cauca"/>
    <x v="1"/>
    <s v="septiembre"/>
    <n v="24"/>
    <d v="2026-09-24T00:00:00"/>
    <n v="1112626038"/>
    <s v="RUEDA GONZÁLEZ JUAN CAMILO"/>
    <n v="101"/>
    <n v="0"/>
    <n v="5665924"/>
  </r>
  <r>
    <s v="Franquicias Sell Out QUEST"/>
    <s v="FQ045-LA UNION - Valle del Cauca"/>
    <x v="1"/>
    <s v="septiembre"/>
    <n v="24"/>
    <d v="2026-09-24T00:00:00"/>
    <n v="1130676658"/>
    <m/>
    <n v="126"/>
    <n v="0"/>
    <n v="6998908"/>
  </r>
  <r>
    <s v="Franquicias Sell Out QUEST"/>
    <s v="FQ045-LA UNION - Valle del Cauca"/>
    <x v="1"/>
    <s v="septiembre"/>
    <n v="24"/>
    <d v="2026-09-24T00:00:00"/>
    <n v="1140417159"/>
    <s v="ORTIZ ACEVEDO JULIAN HERNANDO"/>
    <n v="38"/>
    <n v="0"/>
    <n v="2153868"/>
  </r>
  <r>
    <s v="Franquicias Sell Out QUEST"/>
    <s v="FQ045-LA UNION - Valle del Cauca"/>
    <x v="1"/>
    <s v="septiembre"/>
    <n v="25"/>
    <d v="2026-09-25T00:00:00"/>
    <m/>
    <m/>
    <n v="0"/>
    <n v="13275491"/>
    <n v="0"/>
  </r>
  <r>
    <s v="Franquicias Sell Out QUEST"/>
    <s v="FQ045-LA UNION - Valle del Cauca"/>
    <x v="1"/>
    <s v="septiembre"/>
    <n v="25"/>
    <d v="2026-09-25T00:00:00"/>
    <n v="1112626038"/>
    <s v="RUEDA GONZÁLEZ JUAN CAMILO"/>
    <n v="29"/>
    <n v="0"/>
    <n v="1488277"/>
  </r>
  <r>
    <s v="Franquicias Sell Out QUEST"/>
    <s v="FQ045-LA UNION - Valle del Cauca"/>
    <x v="1"/>
    <s v="septiembre"/>
    <n v="25"/>
    <d v="2026-09-25T00:00:00"/>
    <n v="1130676658"/>
    <m/>
    <n v="90"/>
    <n v="0"/>
    <n v="5657985"/>
  </r>
  <r>
    <s v="Franquicias Sell Out QUEST"/>
    <s v="FQ045-LA UNION - Valle del Cauca"/>
    <x v="1"/>
    <s v="septiembre"/>
    <n v="25"/>
    <d v="2026-09-25T00:00:00"/>
    <n v="1140417159"/>
    <s v="ORTIZ ACEVEDO JULIAN HERNANDO"/>
    <n v="17"/>
    <n v="0"/>
    <n v="898447"/>
  </r>
  <r>
    <s v="Franquicias Sell Out QUEST"/>
    <s v="FQ045-LA UNION - Valle del Cauca"/>
    <x v="1"/>
    <s v="septiembre"/>
    <n v="26"/>
    <d v="2026-09-26T00:00:00"/>
    <m/>
    <m/>
    <n v="0"/>
    <n v="16740062"/>
    <n v="0"/>
  </r>
  <r>
    <s v="Franquicias Sell Out QUEST"/>
    <s v="FQ045-LA UNION - Valle del Cauca"/>
    <x v="1"/>
    <s v="septiembre"/>
    <n v="26"/>
    <d v="2026-09-26T00:00:00"/>
    <n v="1112626038"/>
    <s v="RUEDA GONZÁLEZ JUAN CAMILO"/>
    <n v="33"/>
    <n v="0"/>
    <n v="1855590"/>
  </r>
  <r>
    <s v="Franquicias Sell Out QUEST"/>
    <s v="FQ045-LA UNION - Valle del Cauca"/>
    <x v="1"/>
    <s v="septiembre"/>
    <n v="26"/>
    <d v="2026-09-26T00:00:00"/>
    <n v="1130676658"/>
    <m/>
    <n v="107"/>
    <n v="0"/>
    <n v="5896603"/>
  </r>
  <r>
    <s v="Franquicias Sell Out QUEST"/>
    <s v="FQ045-LA UNION - Valle del Cauca"/>
    <x v="1"/>
    <s v="septiembre"/>
    <n v="26"/>
    <d v="2026-09-26T00:00:00"/>
    <n v="1140417159"/>
    <s v="ORTIZ ACEVEDO JULIAN HERNANDO"/>
    <n v="35"/>
    <n v="0"/>
    <n v="1922860"/>
  </r>
  <r>
    <s v="Franquicias Sell Out QUEST"/>
    <s v="FQ045-LA UNION - Valle del Cauca"/>
    <x v="1"/>
    <s v="septiembre"/>
    <n v="27"/>
    <d v="2026-09-27T00:00:00"/>
    <m/>
    <m/>
    <n v="0"/>
    <n v="8838592"/>
    <n v="0"/>
  </r>
  <r>
    <s v="Franquicias Sell Out QUEST"/>
    <s v="FQ045-LA UNION - Valle del Cauca"/>
    <x v="1"/>
    <s v="septiembre"/>
    <n v="27"/>
    <d v="2026-09-27T00:00:00"/>
    <n v="1112626038"/>
    <s v="RUEDA GONZÁLEZ JUAN CAMILO"/>
    <n v="35"/>
    <n v="0"/>
    <n v="1903824"/>
  </r>
  <r>
    <s v="Franquicias Sell Out QUEST"/>
    <s v="FQ045-LA UNION - Valle del Cauca"/>
    <x v="1"/>
    <s v="septiembre"/>
    <n v="27"/>
    <d v="2026-09-27T00:00:00"/>
    <n v="1130676658"/>
    <m/>
    <n v="134"/>
    <n v="0"/>
    <n v="7947864"/>
  </r>
  <r>
    <s v="Franquicias Sell Out QUEST"/>
    <s v="FQ045-LA UNION - Valle del Cauca"/>
    <x v="1"/>
    <s v="septiembre"/>
    <n v="27"/>
    <d v="2026-09-27T00:00:00"/>
    <n v="1140417159"/>
    <s v="ORTIZ ACEVEDO JULIAN HERNANDO"/>
    <n v="14"/>
    <n v="0"/>
    <n v="785086"/>
  </r>
  <r>
    <s v="Franquicias Sell Out QUEST"/>
    <s v="FQ045-LA UNION - Valle del Cauca"/>
    <x v="1"/>
    <s v="septiembre"/>
    <n v="28"/>
    <d v="2026-09-28T00:00:00"/>
    <m/>
    <m/>
    <n v="0"/>
    <n v="7246685"/>
    <n v="0"/>
  </r>
  <r>
    <s v="Franquicias Sell Out QUEST"/>
    <s v="FQ045-LA UNION - Valle del Cauca"/>
    <x v="1"/>
    <s v="septiembre"/>
    <n v="28"/>
    <d v="2026-09-28T00:00:00"/>
    <n v="1112626038"/>
    <s v="RUEDA GONZÁLEZ JUAN CAMILO"/>
    <n v="10"/>
    <n v="0"/>
    <n v="528991"/>
  </r>
  <r>
    <s v="Franquicias Sell Out QUEST"/>
    <s v="FQ045-LA UNION - Valle del Cauca"/>
    <x v="1"/>
    <s v="septiembre"/>
    <n v="28"/>
    <d v="2026-09-28T00:00:00"/>
    <n v="1130676658"/>
    <m/>
    <n v="86"/>
    <n v="0"/>
    <n v="5342864"/>
  </r>
  <r>
    <s v="Franquicias Sell Out QUEST"/>
    <s v="FQ045-LA UNION - Valle del Cauca"/>
    <x v="1"/>
    <s v="septiembre"/>
    <n v="28"/>
    <d v="2026-09-28T00:00:00"/>
    <n v="1140417159"/>
    <s v="ORTIZ ACEVEDO JULIAN HERNANDO"/>
    <n v="2"/>
    <n v="0"/>
    <n v="159580"/>
  </r>
  <r>
    <s v="Franquicias Sell Out QUEST"/>
    <s v="FQ045-LA UNION - Valle del Cauca"/>
    <x v="1"/>
    <s v="septiembre"/>
    <n v="29"/>
    <d v="2026-09-29T00:00:00"/>
    <m/>
    <m/>
    <n v="0"/>
    <n v="8056170"/>
    <n v="0"/>
  </r>
  <r>
    <s v="Franquicias Sell Out QUEST"/>
    <s v="FQ045-LA UNION - Valle del Cauca"/>
    <x v="1"/>
    <s v="septiembre"/>
    <n v="29"/>
    <d v="2026-09-29T00:00:00"/>
    <n v="1112626038"/>
    <s v="RUEDA GONZÁLEZ JUAN CAMILO"/>
    <n v="32"/>
    <n v="0"/>
    <n v="1721219"/>
  </r>
  <r>
    <s v="Franquicias Sell Out QUEST"/>
    <s v="FQ045-LA UNION - Valle del Cauca"/>
    <x v="1"/>
    <s v="septiembre"/>
    <n v="29"/>
    <d v="2026-09-29T00:00:00"/>
    <n v="1130676658"/>
    <m/>
    <n v="88"/>
    <n v="0"/>
    <n v="4518866"/>
  </r>
  <r>
    <s v="Franquicias Sell Out QUEST"/>
    <s v="FQ045-LA UNION - Valle del Cauca"/>
    <x v="1"/>
    <s v="septiembre"/>
    <n v="29"/>
    <d v="2026-09-29T00:00:00"/>
    <n v="1140417159"/>
    <s v="ORTIZ ACEVEDO JULIAN HERNANDO"/>
    <n v="7"/>
    <n v="0"/>
    <n v="463950"/>
  </r>
  <r>
    <s v="Franquicias Sell Out QUEST"/>
    <s v="FQ045-LA UNION - Valle del Cauca"/>
    <x v="1"/>
    <s v="septiembre"/>
    <n v="30"/>
    <d v="2026-09-30T00:00:00"/>
    <m/>
    <m/>
    <n v="0"/>
    <n v="8531741"/>
    <n v="0"/>
  </r>
  <r>
    <s v="Franquicias Sell Out QUEST"/>
    <s v="FQ045-LA UNION - Valle del Cauca"/>
    <x v="1"/>
    <s v="septiembre"/>
    <n v="30"/>
    <d v="2026-09-30T00:00:00"/>
    <n v="1112626038"/>
    <s v="RUEDA GONZÁLEZ JUAN CAMILO"/>
    <n v="51"/>
    <n v="0"/>
    <n v="3052398"/>
  </r>
  <r>
    <s v="Franquicias Sell Out QUEST"/>
    <s v="FQ045-LA UNION - Valle del Cauca"/>
    <x v="1"/>
    <s v="septiembre"/>
    <n v="30"/>
    <d v="2026-09-30T00:00:00"/>
    <n v="1130676658"/>
    <m/>
    <n v="9"/>
    <n v="0"/>
    <n v="625547"/>
  </r>
  <r>
    <s v="Franquicias Sell Out QUEST"/>
    <s v="FQ045-LA UNION - Valle del Cauca"/>
    <x v="1"/>
    <s v="septiembre"/>
    <n v="30"/>
    <d v="2026-09-30T00:00:00"/>
    <n v="1140417159"/>
    <s v="ORTIZ ACEVEDO JULIAN HERNANDO"/>
    <n v="15"/>
    <n v="0"/>
    <n v="797607"/>
  </r>
  <r>
    <s v="Franquicias Sell Out QUEST"/>
    <s v="FQ045-LA UNION - Valle del Cauca"/>
    <x v="1"/>
    <s v="octubre"/>
    <n v="1"/>
    <d v="2026-10-01T00:00:00"/>
    <m/>
    <m/>
    <n v="0"/>
    <n v="10193189"/>
    <n v="0"/>
  </r>
  <r>
    <s v="Franquicias Sell Out QUEST"/>
    <s v="FQ045-LA UNION - Valle del Cauca"/>
    <x v="1"/>
    <s v="octubre"/>
    <n v="1"/>
    <d v="2026-10-01T00:00:00"/>
    <n v="1112626038"/>
    <s v="RUEDA GONZÁLEZ JUAN CAMILO"/>
    <n v="84"/>
    <n v="0"/>
    <n v="4737987"/>
  </r>
  <r>
    <s v="Franquicias Sell Out QUEST"/>
    <s v="FQ045-LA UNION - Valle del Cauca"/>
    <x v="1"/>
    <s v="octubre"/>
    <n v="1"/>
    <d v="2026-10-01T00:00:00"/>
    <n v="1130676658"/>
    <m/>
    <n v="18"/>
    <n v="0"/>
    <n v="1205002"/>
  </r>
  <r>
    <s v="Franquicias Sell Out QUEST"/>
    <s v="FQ045-LA UNION - Valle del Cauca"/>
    <x v="1"/>
    <s v="octubre"/>
    <n v="1"/>
    <d v="2026-10-01T00:00:00"/>
    <n v="1140417159"/>
    <s v="ORTIZ ACEVEDO JULIAN HERNANDO"/>
    <n v="48"/>
    <n v="0"/>
    <n v="2485170"/>
  </r>
  <r>
    <s v="Franquicias Sell Out QUEST"/>
    <s v="FQ045-LA UNION - Valle del Cauca"/>
    <x v="1"/>
    <s v="octubre"/>
    <n v="2"/>
    <d v="2026-10-02T00:00:00"/>
    <m/>
    <m/>
    <n v="0"/>
    <n v="7283668"/>
    <n v="0"/>
  </r>
  <r>
    <s v="Franquicias Sell Out QUEST"/>
    <s v="FQ045-LA UNION - Valle del Cauca"/>
    <x v="1"/>
    <s v="octubre"/>
    <n v="2"/>
    <d v="2026-10-02T00:00:00"/>
    <n v="1112626038"/>
    <s v="RUEDA GONZÁLEZ JUAN CAMILO"/>
    <n v="30"/>
    <n v="0"/>
    <n v="1498486"/>
  </r>
  <r>
    <s v="Franquicias Sell Out QUEST"/>
    <s v="FQ045-LA UNION - Valle del Cauca"/>
    <x v="1"/>
    <s v="octubre"/>
    <n v="2"/>
    <d v="2026-10-02T00:00:00"/>
    <n v="1130676658"/>
    <m/>
    <n v="30"/>
    <n v="0"/>
    <n v="2065883"/>
  </r>
  <r>
    <s v="Franquicias Sell Out QUEST"/>
    <s v="FQ045-LA UNION - Valle del Cauca"/>
    <x v="1"/>
    <s v="octubre"/>
    <n v="2"/>
    <d v="2026-10-02T00:00:00"/>
    <n v="1140417159"/>
    <s v="ORTIZ ACEVEDO JULIAN HERNANDO"/>
    <n v="16"/>
    <n v="0"/>
    <n v="890084"/>
  </r>
  <r>
    <s v="Franquicias Sell Out QUEST"/>
    <s v="FQ045-LA UNION - Valle del Cauca"/>
    <x v="1"/>
    <s v="octubre"/>
    <n v="3"/>
    <d v="2026-10-03T00:00:00"/>
    <m/>
    <m/>
    <n v="0"/>
    <n v="11765449"/>
    <n v="0"/>
  </r>
  <r>
    <s v="Franquicias Sell Out QUEST"/>
    <s v="FQ045-LA UNION - Valle del Cauca"/>
    <x v="1"/>
    <s v="octubre"/>
    <n v="3"/>
    <d v="2026-10-03T00:00:00"/>
    <n v="1112626038"/>
    <s v="RUEDA GONZÁLEZ JUAN CAMILO"/>
    <n v="70"/>
    <n v="0"/>
    <n v="3896590"/>
  </r>
  <r>
    <s v="Franquicias Sell Out QUEST"/>
    <s v="FQ045-LA UNION - Valle del Cauca"/>
    <x v="1"/>
    <s v="octubre"/>
    <n v="3"/>
    <d v="2026-10-03T00:00:00"/>
    <n v="1130676658"/>
    <m/>
    <n v="67"/>
    <n v="0"/>
    <n v="3530771"/>
  </r>
  <r>
    <s v="Franquicias Sell Out QUEST"/>
    <s v="FQ045-LA UNION - Valle del Cauca"/>
    <x v="1"/>
    <s v="octubre"/>
    <n v="3"/>
    <d v="2026-10-03T00:00:00"/>
    <n v="1140417159"/>
    <s v="ORTIZ ACEVEDO JULIAN HERNANDO"/>
    <n v="47"/>
    <n v="0"/>
    <n v="2854298"/>
  </r>
  <r>
    <s v="Franquicias Sell Out QUEST"/>
    <s v="FQ045-LA UNION - Valle del Cauca"/>
    <x v="1"/>
    <s v="octubre"/>
    <n v="4"/>
    <d v="2026-10-04T00:00:00"/>
    <m/>
    <m/>
    <n v="0"/>
    <n v="8214819"/>
    <n v="0"/>
  </r>
  <r>
    <s v="Franquicias Sell Out QUEST"/>
    <s v="FQ045-LA UNION - Valle del Cauca"/>
    <x v="1"/>
    <s v="octubre"/>
    <n v="4"/>
    <d v="2026-10-04T00:00:00"/>
    <n v="1112626038"/>
    <s v="RUEDA GONZÁLEZ JUAN CAMILO"/>
    <n v="60"/>
    <n v="0"/>
    <n v="3801727"/>
  </r>
  <r>
    <s v="Franquicias Sell Out QUEST"/>
    <s v="FQ045-LA UNION - Valle del Cauca"/>
    <x v="1"/>
    <s v="octubre"/>
    <n v="4"/>
    <d v="2026-10-04T00:00:00"/>
    <n v="1130676658"/>
    <m/>
    <n v="47"/>
    <n v="0"/>
    <n v="3092439"/>
  </r>
  <r>
    <s v="Franquicias Sell Out QUEST"/>
    <s v="FQ045-LA UNION - Valle del Cauca"/>
    <x v="1"/>
    <s v="octubre"/>
    <n v="4"/>
    <d v="2026-10-04T00:00:00"/>
    <n v="1140417159"/>
    <s v="ORTIZ ACEVEDO JULIAN HERNANDO"/>
    <n v="6"/>
    <n v="0"/>
    <n v="268572"/>
  </r>
  <r>
    <s v="Franquicias Sell Out QUEST"/>
    <s v="FQ045-LA UNION - Valle del Cauca"/>
    <x v="1"/>
    <s v="octubre"/>
    <n v="5"/>
    <d v="2026-10-05T00:00:00"/>
    <m/>
    <m/>
    <n v="0"/>
    <n v="8081005"/>
    <n v="0"/>
  </r>
  <r>
    <s v="Franquicias Sell Out QUEST"/>
    <s v="FQ045-LA UNION - Valle del Cauca"/>
    <x v="1"/>
    <s v="octubre"/>
    <n v="5"/>
    <d v="2026-10-05T00:00:00"/>
    <n v="1112626038"/>
    <s v="RUEDA GONZÁLEZ JUAN CAMILO"/>
    <n v="25"/>
    <n v="0"/>
    <n v="1721474"/>
  </r>
  <r>
    <s v="Franquicias Sell Out QUEST"/>
    <s v="FQ045-LA UNION - Valle del Cauca"/>
    <x v="1"/>
    <s v="octubre"/>
    <n v="5"/>
    <d v="2026-10-05T00:00:00"/>
    <n v="1130676658"/>
    <m/>
    <n v="49"/>
    <n v="0"/>
    <n v="2854751"/>
  </r>
  <r>
    <s v="Franquicias Sell Out QUEST"/>
    <s v="FQ045-LA UNION - Valle del Cauca"/>
    <x v="1"/>
    <s v="octubre"/>
    <n v="5"/>
    <d v="2026-10-05T00:00:00"/>
    <n v="1140417159"/>
    <s v="ORTIZ ACEVEDO JULIAN HERNANDO"/>
    <n v="12"/>
    <n v="0"/>
    <n v="583404"/>
  </r>
  <r>
    <s v="Franquicias Sell Out QUEST"/>
    <s v="FQ045-LA UNION - Valle del Cauca"/>
    <x v="1"/>
    <s v="octubre"/>
    <n v="6"/>
    <d v="2026-10-06T00:00:00"/>
    <m/>
    <m/>
    <n v="0"/>
    <n v="3469877"/>
    <n v="0"/>
  </r>
  <r>
    <s v="Franquicias Sell Out QUEST"/>
    <s v="FQ045-LA UNION - Valle del Cauca"/>
    <x v="1"/>
    <s v="octubre"/>
    <n v="6"/>
    <d v="2026-10-06T00:00:00"/>
    <n v="1112626038"/>
    <s v="RUEDA GONZÁLEZ JUAN CAMILO"/>
    <n v="-2"/>
    <n v="0"/>
    <n v="-138571"/>
  </r>
  <r>
    <s v="Franquicias Sell Out QUEST"/>
    <s v="FQ045-LA UNION - Valle del Cauca"/>
    <x v="1"/>
    <s v="octubre"/>
    <n v="6"/>
    <d v="2026-10-06T00:00:00"/>
    <n v="1130676658"/>
    <m/>
    <n v="36"/>
    <n v="0"/>
    <n v="2162229"/>
  </r>
  <r>
    <s v="Franquicias Sell Out QUEST"/>
    <s v="FQ045-LA UNION - Valle del Cauca"/>
    <x v="1"/>
    <s v="octubre"/>
    <n v="6"/>
    <d v="2026-10-06T00:00:00"/>
    <n v="1140417159"/>
    <s v="ORTIZ ACEVEDO JULIAN HERNANDO"/>
    <n v="11"/>
    <n v="0"/>
    <n v="711682"/>
  </r>
  <r>
    <s v="Franquicias Sell Out QUEST"/>
    <s v="FQ045-LA UNION - Valle del Cauca"/>
    <x v="1"/>
    <s v="octubre"/>
    <n v="7"/>
    <d v="2026-10-07T00:00:00"/>
    <m/>
    <m/>
    <n v="0"/>
    <n v="1330974"/>
    <n v="0"/>
  </r>
  <r>
    <s v="Franquicias Sell Out QUEST"/>
    <s v="FQ045-LA UNION - Valle del Cauca"/>
    <x v="1"/>
    <s v="octubre"/>
    <n v="7"/>
    <d v="2026-10-07T00:00:00"/>
    <n v="1112626038"/>
    <s v="RUEDA GONZÁLEZ JUAN CAMILO"/>
    <n v="21"/>
    <n v="0"/>
    <n v="1335296"/>
  </r>
  <r>
    <s v="Franquicias Sell Out QUEST"/>
    <s v="FQ045-LA UNION - Valle del Cauca"/>
    <x v="1"/>
    <s v="octubre"/>
    <n v="7"/>
    <d v="2026-10-07T00:00:00"/>
    <n v="1130676658"/>
    <m/>
    <n v="26"/>
    <n v="0"/>
    <n v="1736261"/>
  </r>
  <r>
    <s v="Franquicias Sell Out QUEST"/>
    <s v="FQ045-LA UNION - Valle del Cauca"/>
    <x v="1"/>
    <s v="octubre"/>
    <n v="7"/>
    <d v="2026-10-07T00:00:00"/>
    <n v="1140417159"/>
    <s v="ORTIZ ACEVEDO JULIAN HERNANDO"/>
    <n v="1"/>
    <n v="0"/>
    <n v="-67268"/>
  </r>
  <r>
    <s v="Franquicias Sell Out QUEST"/>
    <s v="FQ050 Roldanillo - Valle del Cauca"/>
    <x v="1"/>
    <s v="septiembre"/>
    <n v="23"/>
    <d v="2026-09-23T00:00:00"/>
    <m/>
    <m/>
    <n v="0"/>
    <n v="3664246"/>
    <n v="0"/>
  </r>
  <r>
    <s v="Franquicias Sell Out QUEST"/>
    <s v="FQ050 Roldanillo - Valle del Cauca"/>
    <x v="1"/>
    <s v="septiembre"/>
    <n v="23"/>
    <d v="2026-09-23T00:00:00"/>
    <n v="1006289744"/>
    <s v="SABOGAL  DORA MERCEDES"/>
    <n v="63"/>
    <n v="0"/>
    <n v="3463656"/>
  </r>
  <r>
    <s v="Franquicias Sell Out QUEST"/>
    <s v="FQ050 Roldanillo - Valle del Cauca"/>
    <x v="1"/>
    <s v="septiembre"/>
    <n v="23"/>
    <d v="2026-09-23T00:00:00"/>
    <n v="1113791938"/>
    <s v="GALVEZ MORENO AURA STEFANY"/>
    <n v="28"/>
    <n v="0"/>
    <n v="1521934"/>
  </r>
  <r>
    <s v="Franquicias Sell Out QUEST"/>
    <s v="FQ050 Roldanillo - Valle del Cauca"/>
    <x v="1"/>
    <s v="septiembre"/>
    <n v="23"/>
    <d v="2026-09-23T00:00:00"/>
    <n v="1116271359"/>
    <s v="VELEZ MARULANDA JHONIER ENRIQUE"/>
    <n v="23"/>
    <n v="0"/>
    <n v="1150294"/>
  </r>
  <r>
    <s v="Franquicias Sell Out QUEST"/>
    <s v="FQ050 Roldanillo - Valle del Cauca"/>
    <x v="1"/>
    <s v="septiembre"/>
    <n v="24"/>
    <d v="2026-09-24T00:00:00"/>
    <m/>
    <m/>
    <n v="0"/>
    <n v="9476454"/>
    <n v="0"/>
  </r>
  <r>
    <s v="Franquicias Sell Out QUEST"/>
    <s v="FQ050 Roldanillo - Valle del Cauca"/>
    <x v="1"/>
    <s v="septiembre"/>
    <n v="24"/>
    <d v="2026-09-24T00:00:00"/>
    <n v="1006289744"/>
    <s v="SABOGAL  DORA MERCEDES"/>
    <n v="83"/>
    <n v="0"/>
    <n v="4950297"/>
  </r>
  <r>
    <s v="Franquicias Sell Out QUEST"/>
    <s v="FQ050 Roldanillo - Valle del Cauca"/>
    <x v="1"/>
    <s v="septiembre"/>
    <n v="24"/>
    <d v="2026-09-24T00:00:00"/>
    <n v="1113791938"/>
    <s v="GALVEZ MORENO AURA STEFANY"/>
    <n v="45"/>
    <n v="0"/>
    <n v="2409876"/>
  </r>
  <r>
    <s v="Franquicias Sell Out QUEST"/>
    <s v="FQ050 Roldanillo - Valle del Cauca"/>
    <x v="1"/>
    <s v="septiembre"/>
    <n v="24"/>
    <d v="2026-09-24T00:00:00"/>
    <n v="1116271359"/>
    <s v="VELEZ MARULANDA JHONIER ENRIQUE"/>
    <n v="24"/>
    <n v="0"/>
    <n v="1066262"/>
  </r>
  <r>
    <s v="Franquicias Sell Out QUEST"/>
    <s v="FQ050 Roldanillo - Valle del Cauca"/>
    <x v="1"/>
    <s v="septiembre"/>
    <n v="25"/>
    <d v="2026-09-25T00:00:00"/>
    <m/>
    <m/>
    <n v="0"/>
    <n v="10121371"/>
    <n v="0"/>
  </r>
  <r>
    <s v="Franquicias Sell Out QUEST"/>
    <s v="FQ050 Roldanillo - Valle del Cauca"/>
    <x v="1"/>
    <s v="septiembre"/>
    <n v="25"/>
    <d v="2026-09-25T00:00:00"/>
    <n v="1006289744"/>
    <s v="SABOGAL  DORA MERCEDES"/>
    <n v="51"/>
    <n v="0"/>
    <n v="3069287"/>
  </r>
  <r>
    <s v="Franquicias Sell Out QUEST"/>
    <s v="FQ050 Roldanillo - Valle del Cauca"/>
    <x v="1"/>
    <s v="septiembre"/>
    <n v="25"/>
    <d v="2026-09-25T00:00:00"/>
    <n v="1113791938"/>
    <s v="GALVEZ MORENO AURA STEFANY"/>
    <n v="23"/>
    <n v="0"/>
    <n v="1446554"/>
  </r>
  <r>
    <s v="Franquicias Sell Out QUEST"/>
    <s v="FQ050 Roldanillo - Valle del Cauca"/>
    <x v="1"/>
    <s v="septiembre"/>
    <n v="25"/>
    <d v="2026-09-25T00:00:00"/>
    <n v="1116271359"/>
    <s v="VELEZ MARULANDA JHONIER ENRIQUE"/>
    <n v="17"/>
    <n v="0"/>
    <n v="961472"/>
  </r>
  <r>
    <s v="Franquicias Sell Out QUEST"/>
    <s v="FQ050 Roldanillo - Valle del Cauca"/>
    <x v="1"/>
    <s v="septiembre"/>
    <n v="26"/>
    <d v="2026-09-26T00:00:00"/>
    <m/>
    <m/>
    <n v="0"/>
    <n v="12762793"/>
    <n v="0"/>
  </r>
  <r>
    <s v="Franquicias Sell Out QUEST"/>
    <s v="FQ050 Roldanillo - Valle del Cauca"/>
    <x v="1"/>
    <s v="septiembre"/>
    <n v="26"/>
    <d v="2026-09-26T00:00:00"/>
    <n v="1006289744"/>
    <s v="SABOGAL  DORA MERCEDES"/>
    <n v="182"/>
    <n v="0"/>
    <n v="10765304"/>
  </r>
  <r>
    <s v="Franquicias Sell Out QUEST"/>
    <s v="FQ050 Roldanillo - Valle del Cauca"/>
    <x v="1"/>
    <s v="septiembre"/>
    <n v="26"/>
    <d v="2026-09-26T00:00:00"/>
    <n v="1113791938"/>
    <s v="GALVEZ MORENO AURA STEFANY"/>
    <n v="64"/>
    <n v="0"/>
    <n v="3715801"/>
  </r>
  <r>
    <s v="Franquicias Sell Out QUEST"/>
    <s v="FQ050 Roldanillo - Valle del Cauca"/>
    <x v="1"/>
    <s v="septiembre"/>
    <n v="26"/>
    <d v="2026-09-26T00:00:00"/>
    <n v="1116271359"/>
    <s v="VELEZ MARULANDA JHONIER ENRIQUE"/>
    <n v="49"/>
    <n v="0"/>
    <n v="2472736"/>
  </r>
  <r>
    <s v="Franquicias Sell Out QUEST"/>
    <s v="FQ050 Roldanillo - Valle del Cauca"/>
    <x v="1"/>
    <s v="septiembre"/>
    <n v="26"/>
    <d v="2026-09-26T00:00:00"/>
    <n v="1130676658"/>
    <m/>
    <n v="-1"/>
    <n v="0"/>
    <n v="-71386"/>
  </r>
  <r>
    <s v="Franquicias Sell Out QUEST"/>
    <s v="FQ050 Roldanillo - Valle del Cauca"/>
    <x v="1"/>
    <s v="septiembre"/>
    <n v="27"/>
    <d v="2026-09-27T00:00:00"/>
    <m/>
    <m/>
    <n v="0"/>
    <n v="6738634"/>
    <n v="0"/>
  </r>
  <r>
    <s v="Franquicias Sell Out QUEST"/>
    <s v="FQ050 Roldanillo - Valle del Cauca"/>
    <x v="1"/>
    <s v="septiembre"/>
    <n v="27"/>
    <d v="2026-09-27T00:00:00"/>
    <n v="1006289744"/>
    <s v="SABOGAL  DORA MERCEDES"/>
    <n v="86"/>
    <n v="0"/>
    <n v="4674792"/>
  </r>
  <r>
    <s v="Franquicias Sell Out QUEST"/>
    <s v="FQ050 Roldanillo - Valle del Cauca"/>
    <x v="1"/>
    <s v="septiembre"/>
    <n v="27"/>
    <d v="2026-09-27T00:00:00"/>
    <n v="1113791938"/>
    <s v="GALVEZ MORENO AURA STEFANY"/>
    <n v="47"/>
    <n v="0"/>
    <n v="2731092"/>
  </r>
  <r>
    <s v="Franquicias Sell Out QUEST"/>
    <s v="FQ050 Roldanillo - Valle del Cauca"/>
    <x v="1"/>
    <s v="septiembre"/>
    <n v="27"/>
    <d v="2026-09-27T00:00:00"/>
    <n v="1116271359"/>
    <s v="VELEZ MARULANDA JHONIER ENRIQUE"/>
    <n v="12"/>
    <n v="0"/>
    <n v="600295"/>
  </r>
  <r>
    <s v="Franquicias Sell Out QUEST"/>
    <s v="FQ050 Roldanillo - Valle del Cauca"/>
    <x v="1"/>
    <s v="septiembre"/>
    <n v="28"/>
    <d v="2026-09-28T00:00:00"/>
    <m/>
    <m/>
    <n v="0"/>
    <n v="5524947"/>
    <n v="0"/>
  </r>
  <r>
    <s v="Franquicias Sell Out QUEST"/>
    <s v="FQ050 Roldanillo - Valle del Cauca"/>
    <x v="1"/>
    <s v="septiembre"/>
    <n v="28"/>
    <d v="2026-09-28T00:00:00"/>
    <n v="1006289744"/>
    <s v="SABOGAL  DORA MERCEDES"/>
    <n v="62"/>
    <n v="0"/>
    <n v="3730254"/>
  </r>
  <r>
    <s v="Franquicias Sell Out QUEST"/>
    <s v="FQ050 Roldanillo - Valle del Cauca"/>
    <x v="1"/>
    <s v="septiembre"/>
    <n v="28"/>
    <d v="2026-09-28T00:00:00"/>
    <n v="1113791938"/>
    <s v="GALVEZ MORENO AURA STEFANY"/>
    <n v="39"/>
    <n v="0"/>
    <n v="2250380"/>
  </r>
  <r>
    <s v="Franquicias Sell Out QUEST"/>
    <s v="FQ050 Roldanillo - Valle del Cauca"/>
    <x v="1"/>
    <s v="septiembre"/>
    <n v="28"/>
    <d v="2026-09-28T00:00:00"/>
    <n v="1116271359"/>
    <s v="VELEZ MARULANDA JHONIER ENRIQUE"/>
    <n v="11"/>
    <n v="0"/>
    <n v="717983"/>
  </r>
  <r>
    <s v="Franquicias Sell Out QUEST"/>
    <s v="FQ050 Roldanillo - Valle del Cauca"/>
    <x v="1"/>
    <s v="septiembre"/>
    <n v="29"/>
    <d v="2026-09-29T00:00:00"/>
    <m/>
    <m/>
    <n v="0"/>
    <n v="6142105"/>
    <n v="0"/>
  </r>
  <r>
    <s v="Franquicias Sell Out QUEST"/>
    <s v="FQ050 Roldanillo - Valle del Cauca"/>
    <x v="1"/>
    <s v="septiembre"/>
    <n v="29"/>
    <d v="2026-09-29T00:00:00"/>
    <n v="1006289744"/>
    <s v="SABOGAL  DORA MERCEDES"/>
    <n v="86"/>
    <n v="0"/>
    <n v="4575927"/>
  </r>
  <r>
    <s v="Franquicias Sell Out QUEST"/>
    <s v="FQ050 Roldanillo - Valle del Cauca"/>
    <x v="1"/>
    <s v="septiembre"/>
    <n v="29"/>
    <d v="2026-09-29T00:00:00"/>
    <n v="1113791938"/>
    <s v="GALVEZ MORENO AURA STEFANY"/>
    <n v="30"/>
    <n v="0"/>
    <n v="1696136"/>
  </r>
  <r>
    <s v="Franquicias Sell Out QUEST"/>
    <s v="FQ050 Roldanillo - Valle del Cauca"/>
    <x v="1"/>
    <s v="septiembre"/>
    <n v="29"/>
    <d v="2026-09-29T00:00:00"/>
    <n v="1116271359"/>
    <s v="VELEZ MARULANDA JHONIER ENRIQUE"/>
    <n v="12"/>
    <n v="0"/>
    <n v="659076"/>
  </r>
  <r>
    <s v="Franquicias Sell Out QUEST"/>
    <s v="FQ050 Roldanillo - Valle del Cauca"/>
    <x v="1"/>
    <s v="septiembre"/>
    <n v="30"/>
    <d v="2026-09-30T00:00:00"/>
    <m/>
    <m/>
    <n v="0"/>
    <n v="6504684"/>
    <n v="0"/>
  </r>
  <r>
    <s v="Franquicias Sell Out QUEST"/>
    <s v="FQ050 Roldanillo - Valle del Cauca"/>
    <x v="1"/>
    <s v="septiembre"/>
    <n v="30"/>
    <d v="2026-09-30T00:00:00"/>
    <n v="1006289744"/>
    <s v="SABOGAL  DORA MERCEDES"/>
    <n v="87"/>
    <n v="0"/>
    <n v="4527524"/>
  </r>
  <r>
    <s v="Franquicias Sell Out QUEST"/>
    <s v="FQ050 Roldanillo - Valle del Cauca"/>
    <x v="1"/>
    <s v="septiembre"/>
    <n v="30"/>
    <d v="2026-09-30T00:00:00"/>
    <n v="1113791938"/>
    <s v="GALVEZ MORENO AURA STEFANY"/>
    <n v="27"/>
    <n v="0"/>
    <n v="1599622"/>
  </r>
  <r>
    <s v="Franquicias Sell Out QUEST"/>
    <s v="FQ050 Roldanillo - Valle del Cauca"/>
    <x v="1"/>
    <s v="septiembre"/>
    <n v="30"/>
    <d v="2026-09-30T00:00:00"/>
    <n v="1116271359"/>
    <s v="VELEZ MARULANDA JHONIER ENRIQUE"/>
    <n v="9"/>
    <n v="0"/>
    <n v="438657"/>
  </r>
  <r>
    <s v="Franquicias Sell Out QUEST"/>
    <s v="FQ050 Roldanillo - Valle del Cauca"/>
    <x v="1"/>
    <s v="octubre"/>
    <n v="1"/>
    <d v="2026-10-01T00:00:00"/>
    <m/>
    <m/>
    <n v="0"/>
    <n v="7115583"/>
    <n v="0"/>
  </r>
  <r>
    <s v="Franquicias Sell Out QUEST"/>
    <s v="FQ050 Roldanillo - Valle del Cauca"/>
    <x v="1"/>
    <s v="octubre"/>
    <n v="1"/>
    <d v="2026-10-01T00:00:00"/>
    <n v="1006289744"/>
    <s v="SABOGAL  DORA MERCEDES"/>
    <n v="52"/>
    <n v="0"/>
    <n v="2737105"/>
  </r>
  <r>
    <s v="Franquicias Sell Out QUEST"/>
    <s v="FQ050 Roldanillo - Valle del Cauca"/>
    <x v="1"/>
    <s v="octubre"/>
    <n v="1"/>
    <d v="2026-10-01T00:00:00"/>
    <n v="1113791938"/>
    <s v="GALVEZ MORENO AURA STEFANY"/>
    <n v="43"/>
    <n v="0"/>
    <n v="2214290"/>
  </r>
  <r>
    <s v="Franquicias Sell Out QUEST"/>
    <s v="FQ050 Roldanillo - Valle del Cauca"/>
    <x v="1"/>
    <s v="octubre"/>
    <n v="1"/>
    <d v="2026-10-01T00:00:00"/>
    <n v="1116271359"/>
    <s v="VELEZ MARULANDA JHONIER ENRIQUE"/>
    <n v="18"/>
    <n v="0"/>
    <n v="929874"/>
  </r>
  <r>
    <s v="Franquicias Sell Out QUEST"/>
    <s v="FQ050 Roldanillo - Valle del Cauca"/>
    <x v="1"/>
    <s v="octubre"/>
    <n v="2"/>
    <d v="2026-10-02T00:00:00"/>
    <m/>
    <m/>
    <n v="0"/>
    <n v="8457847"/>
    <n v="0"/>
  </r>
  <r>
    <s v="Franquicias Sell Out QUEST"/>
    <s v="FQ050 Roldanillo - Valle del Cauca"/>
    <x v="1"/>
    <s v="octubre"/>
    <n v="2"/>
    <d v="2026-10-02T00:00:00"/>
    <n v="1006289744"/>
    <s v="SABOGAL  DORA MERCEDES"/>
    <n v="42"/>
    <n v="0"/>
    <n v="2517104"/>
  </r>
  <r>
    <s v="Franquicias Sell Out QUEST"/>
    <s v="FQ050 Roldanillo - Valle del Cauca"/>
    <x v="1"/>
    <s v="octubre"/>
    <n v="2"/>
    <d v="2026-10-02T00:00:00"/>
    <n v="1113791938"/>
    <s v="GALVEZ MORENO AURA STEFANY"/>
    <n v="31"/>
    <n v="0"/>
    <n v="1990171"/>
  </r>
  <r>
    <s v="Franquicias Sell Out QUEST"/>
    <s v="FQ050 Roldanillo - Valle del Cauca"/>
    <x v="1"/>
    <s v="octubre"/>
    <n v="2"/>
    <d v="2026-10-02T00:00:00"/>
    <n v="1116271359"/>
    <s v="VELEZ MARULANDA JHONIER ENRIQUE"/>
    <n v="24"/>
    <n v="0"/>
    <n v="1129245"/>
  </r>
  <r>
    <s v="Franquicias Sell Out QUEST"/>
    <s v="FQ050 Roldanillo - Valle del Cauca"/>
    <x v="1"/>
    <s v="octubre"/>
    <n v="3"/>
    <d v="2026-10-03T00:00:00"/>
    <m/>
    <m/>
    <n v="0"/>
    <n v="14819179"/>
    <n v="0"/>
  </r>
  <r>
    <s v="Franquicias Sell Out QUEST"/>
    <s v="FQ050 Roldanillo - Valle del Cauca"/>
    <x v="1"/>
    <s v="octubre"/>
    <n v="3"/>
    <d v="2026-10-03T00:00:00"/>
    <n v="1006289744"/>
    <s v="SABOGAL  DORA MERCEDES"/>
    <n v="97"/>
    <n v="0"/>
    <n v="5317398"/>
  </r>
  <r>
    <s v="Franquicias Sell Out QUEST"/>
    <s v="FQ050 Roldanillo - Valle del Cauca"/>
    <x v="1"/>
    <s v="octubre"/>
    <n v="3"/>
    <d v="2026-10-03T00:00:00"/>
    <n v="1113791938"/>
    <s v="GALVEZ MORENO AURA STEFANY"/>
    <n v="116"/>
    <n v="0"/>
    <n v="6228677"/>
  </r>
  <r>
    <s v="Franquicias Sell Out QUEST"/>
    <s v="FQ050 Roldanillo - Valle del Cauca"/>
    <x v="1"/>
    <s v="octubre"/>
    <n v="3"/>
    <d v="2026-10-03T00:00:00"/>
    <n v="1116271359"/>
    <s v="VELEZ MARULANDA JHONIER ENRIQUE"/>
    <n v="72"/>
    <n v="0"/>
    <n v="3720649"/>
  </r>
  <r>
    <s v="Franquicias Sell Out QUEST"/>
    <s v="FQ050 Roldanillo - Valle del Cauca"/>
    <x v="1"/>
    <s v="octubre"/>
    <n v="4"/>
    <d v="2026-10-04T00:00:00"/>
    <m/>
    <m/>
    <n v="0"/>
    <n v="7940010"/>
    <n v="0"/>
  </r>
  <r>
    <s v="Franquicias Sell Out QUEST"/>
    <s v="FQ050 Roldanillo - Valle del Cauca"/>
    <x v="1"/>
    <s v="octubre"/>
    <n v="4"/>
    <d v="2026-10-04T00:00:00"/>
    <n v="1006289744"/>
    <s v="SABOGAL  DORA MERCEDES"/>
    <n v="56"/>
    <n v="0"/>
    <n v="3497648"/>
  </r>
  <r>
    <s v="Franquicias Sell Out QUEST"/>
    <s v="FQ050 Roldanillo - Valle del Cauca"/>
    <x v="1"/>
    <s v="octubre"/>
    <n v="4"/>
    <d v="2026-10-04T00:00:00"/>
    <n v="1113791938"/>
    <s v="GALVEZ MORENO AURA STEFANY"/>
    <n v="43"/>
    <n v="0"/>
    <n v="2587026"/>
  </r>
  <r>
    <s v="Franquicias Sell Out QUEST"/>
    <s v="FQ050 Roldanillo - Valle del Cauca"/>
    <x v="1"/>
    <s v="octubre"/>
    <n v="4"/>
    <d v="2026-10-04T00:00:00"/>
    <n v="1116271359"/>
    <s v="VELEZ MARULANDA JHONIER ENRIQUE"/>
    <n v="21"/>
    <n v="0"/>
    <n v="1364623"/>
  </r>
  <r>
    <s v="Franquicias Sell Out QUEST"/>
    <s v="FQ050 Roldanillo - Valle del Cauca"/>
    <x v="1"/>
    <s v="octubre"/>
    <n v="5"/>
    <d v="2026-10-05T00:00:00"/>
    <m/>
    <m/>
    <n v="0"/>
    <n v="12298965"/>
    <n v="0"/>
  </r>
  <r>
    <s v="Franquicias Sell Out QUEST"/>
    <s v="FQ050 Roldanillo - Valle del Cauca"/>
    <x v="1"/>
    <s v="octubre"/>
    <n v="5"/>
    <d v="2026-10-05T00:00:00"/>
    <n v="1006289744"/>
    <s v="SABOGAL  DORA MERCEDES"/>
    <n v="34"/>
    <n v="0"/>
    <n v="2122395"/>
  </r>
  <r>
    <s v="Franquicias Sell Out QUEST"/>
    <s v="FQ050 Roldanillo - Valle del Cauca"/>
    <x v="1"/>
    <s v="octubre"/>
    <n v="5"/>
    <d v="2026-10-05T00:00:00"/>
    <n v="1113791938"/>
    <s v="GALVEZ MORENO AURA STEFANY"/>
    <n v="47"/>
    <n v="0"/>
    <n v="2373993"/>
  </r>
  <r>
    <s v="Franquicias Sell Out QUEST"/>
    <s v="FQ050 Roldanillo - Valle del Cauca"/>
    <x v="1"/>
    <s v="octubre"/>
    <n v="5"/>
    <d v="2026-10-05T00:00:00"/>
    <n v="1116271359"/>
    <s v="VELEZ MARULANDA JHONIER ENRIQUE"/>
    <n v="27"/>
    <n v="0"/>
    <n v="1326556"/>
  </r>
  <r>
    <s v="Franquicias Sell Out QUEST"/>
    <s v="FQ050 Roldanillo - Valle del Cauca"/>
    <x v="1"/>
    <s v="octubre"/>
    <n v="6"/>
    <d v="2026-10-06T00:00:00"/>
    <m/>
    <m/>
    <n v="0"/>
    <n v="4826827"/>
    <n v="0"/>
  </r>
  <r>
    <s v="Franquicias Sell Out QUEST"/>
    <s v="FQ050 Roldanillo - Valle del Cauca"/>
    <x v="1"/>
    <s v="octubre"/>
    <n v="6"/>
    <d v="2026-10-06T00:00:00"/>
    <n v="1006289744"/>
    <s v="SABOGAL  DORA MERCEDES"/>
    <n v="17"/>
    <n v="0"/>
    <n v="1156810"/>
  </r>
  <r>
    <s v="Franquicias Sell Out QUEST"/>
    <s v="FQ050 Roldanillo - Valle del Cauca"/>
    <x v="1"/>
    <s v="octubre"/>
    <n v="6"/>
    <d v="2026-10-06T00:00:00"/>
    <n v="1113791938"/>
    <s v="GALVEZ MORENO AURA STEFANY"/>
    <n v="41"/>
    <n v="0"/>
    <n v="2269035"/>
  </r>
  <r>
    <s v="Franquicias Sell Out QUEST"/>
    <s v="FQ050 Roldanillo - Valle del Cauca"/>
    <x v="1"/>
    <s v="octubre"/>
    <n v="6"/>
    <d v="2026-10-06T00:00:00"/>
    <n v="1116271359"/>
    <s v="VELEZ MARULANDA JHONIER ENRIQUE"/>
    <n v="12"/>
    <n v="0"/>
    <n v="825538"/>
  </r>
  <r>
    <s v="Franquicias Sell Out QUEST"/>
    <s v="FQ050 Roldanillo - Valle del Cauca"/>
    <x v="1"/>
    <s v="octubre"/>
    <n v="7"/>
    <d v="2026-10-07T00:00:00"/>
    <m/>
    <m/>
    <n v="0"/>
    <n v="4894347"/>
    <n v="0"/>
  </r>
  <r>
    <s v="Franquicias Sell Out QUEST"/>
    <s v="FQ050 Roldanillo - Valle del Cauca"/>
    <x v="1"/>
    <s v="octubre"/>
    <n v="7"/>
    <d v="2026-10-07T00:00:00"/>
    <n v="1006289744"/>
    <s v="SABOGAL  DORA MERCEDES"/>
    <n v="0"/>
    <n v="0"/>
    <n v="0"/>
  </r>
  <r>
    <s v="Franquicias Sell Out QUEST"/>
    <s v="FQ050 Roldanillo - Valle del Cauca"/>
    <x v="1"/>
    <s v="octubre"/>
    <n v="7"/>
    <d v="2026-10-07T00:00:00"/>
    <n v="1113791938"/>
    <s v="GALVEZ MORENO AURA STEFANY"/>
    <n v="34"/>
    <n v="0"/>
    <n v="2309332"/>
  </r>
  <r>
    <s v="Franquicias Sell Out QUEST"/>
    <s v="FQ050 Roldanillo - Valle del Cauca"/>
    <x v="1"/>
    <s v="octubre"/>
    <n v="7"/>
    <d v="2026-10-07T00:00:00"/>
    <n v="1116271359"/>
    <s v="VELEZ MARULANDA JHONIER ENRIQUE"/>
    <n v="28"/>
    <n v="0"/>
    <n v="1279851"/>
  </r>
  <r>
    <s v="Franquicias Sell Out QUEST"/>
    <s v="FQ054 Dagua - Valle del Cauca"/>
    <x v="1"/>
    <s v="septiembre"/>
    <n v="23"/>
    <d v="2026-09-23T00:00:00"/>
    <m/>
    <m/>
    <n v="0"/>
    <n v="2757697"/>
    <n v="0"/>
  </r>
  <r>
    <s v="Franquicias Sell Out QUEST"/>
    <s v="FQ054 Dagua - Valle del Cauca"/>
    <x v="1"/>
    <s v="septiembre"/>
    <n v="23"/>
    <d v="2026-09-23T00:00:00"/>
    <n v="1006252984"/>
    <s v="VALENCIA MONTOYA ESMERALDA"/>
    <n v="17"/>
    <n v="0"/>
    <n v="1179958"/>
  </r>
  <r>
    <s v="Franquicias Sell Out QUEST"/>
    <s v="FQ054 Dagua - Valle del Cauca"/>
    <x v="1"/>
    <s v="septiembre"/>
    <n v="23"/>
    <d v="2026-09-23T00:00:00"/>
    <n v="1099734375"/>
    <s v="RUEDA RODRIGUEZ HEIDEMBERTH SNEIDER"/>
    <n v="26"/>
    <n v="0"/>
    <n v="1507311"/>
  </r>
  <r>
    <s v="Franquicias Sell Out QUEST"/>
    <s v="FQ054 Dagua - Valle del Cauca"/>
    <x v="1"/>
    <s v="septiembre"/>
    <n v="23"/>
    <d v="2026-09-23T00:00:00"/>
    <n v="1114735434"/>
    <s v="BOLAÑOS LOPEZ KELLY TATIANA"/>
    <n v="25"/>
    <n v="0"/>
    <n v="1293071"/>
  </r>
  <r>
    <s v="Franquicias Sell Out QUEST"/>
    <s v="FQ054 Dagua - Valle del Cauca"/>
    <x v="1"/>
    <s v="septiembre"/>
    <n v="24"/>
    <d v="2026-09-24T00:00:00"/>
    <m/>
    <m/>
    <n v="0"/>
    <n v="7131931"/>
    <n v="0"/>
  </r>
  <r>
    <s v="Franquicias Sell Out QUEST"/>
    <s v="FQ054 Dagua - Valle del Cauca"/>
    <x v="1"/>
    <s v="septiembre"/>
    <n v="24"/>
    <d v="2026-09-24T00:00:00"/>
    <n v="1006252984"/>
    <s v="VALENCIA MONTOYA ESMERALDA"/>
    <n v="30"/>
    <n v="0"/>
    <n v="1584877"/>
  </r>
  <r>
    <s v="Franquicias Sell Out QUEST"/>
    <s v="FQ054 Dagua - Valle del Cauca"/>
    <x v="1"/>
    <s v="septiembre"/>
    <n v="24"/>
    <d v="2026-09-24T00:00:00"/>
    <n v="1099734375"/>
    <s v="RUEDA RODRIGUEZ HEIDEMBERTH SNEIDER"/>
    <n v="63"/>
    <n v="0"/>
    <n v="3404921"/>
  </r>
  <r>
    <s v="Franquicias Sell Out QUEST"/>
    <s v="FQ054 Dagua - Valle del Cauca"/>
    <x v="1"/>
    <s v="septiembre"/>
    <n v="24"/>
    <d v="2026-09-24T00:00:00"/>
    <n v="1114735434"/>
    <s v="BOLAÑOS LOPEZ KELLY TATIANA"/>
    <n v="28"/>
    <n v="0"/>
    <n v="1555548"/>
  </r>
  <r>
    <s v="Franquicias Sell Out QUEST"/>
    <s v="FQ054 Dagua - Valle del Cauca"/>
    <x v="1"/>
    <s v="septiembre"/>
    <n v="25"/>
    <d v="2026-09-25T00:00:00"/>
    <m/>
    <m/>
    <n v="0"/>
    <n v="7617291"/>
    <n v="0"/>
  </r>
  <r>
    <s v="Franquicias Sell Out QUEST"/>
    <s v="FQ054 Dagua - Valle del Cauca"/>
    <x v="1"/>
    <s v="septiembre"/>
    <n v="25"/>
    <d v="2026-09-25T00:00:00"/>
    <n v="1006252984"/>
    <s v="VALENCIA MONTOYA ESMERALDA"/>
    <n v="1"/>
    <n v="0"/>
    <n v="37773"/>
  </r>
  <r>
    <s v="Franquicias Sell Out QUEST"/>
    <s v="FQ054 Dagua - Valle del Cauca"/>
    <x v="1"/>
    <s v="septiembre"/>
    <n v="25"/>
    <d v="2026-09-25T00:00:00"/>
    <n v="1099734375"/>
    <s v="RUEDA RODRIGUEZ HEIDEMBERTH SNEIDER"/>
    <n v="64"/>
    <n v="0"/>
    <n v="3690635"/>
  </r>
  <r>
    <s v="Franquicias Sell Out QUEST"/>
    <s v="FQ054 Dagua - Valle del Cauca"/>
    <x v="1"/>
    <s v="septiembre"/>
    <n v="25"/>
    <d v="2026-09-25T00:00:00"/>
    <n v="1114735434"/>
    <s v="BOLAÑOS LOPEZ KELLY TATIANA"/>
    <n v="60"/>
    <n v="0"/>
    <n v="3117190"/>
  </r>
  <r>
    <s v="Franquicias Sell Out QUEST"/>
    <s v="FQ054 Dagua - Valle del Cauca"/>
    <x v="1"/>
    <s v="septiembre"/>
    <n v="26"/>
    <d v="2026-09-26T00:00:00"/>
    <m/>
    <m/>
    <n v="0"/>
    <n v="9605212"/>
    <n v="0"/>
  </r>
  <r>
    <s v="Franquicias Sell Out QUEST"/>
    <s v="FQ054 Dagua - Valle del Cauca"/>
    <x v="1"/>
    <s v="septiembre"/>
    <n v="26"/>
    <d v="2026-09-26T00:00:00"/>
    <n v="1006252984"/>
    <s v="VALENCIA MONTOYA ESMERALDA"/>
    <n v="27"/>
    <n v="0"/>
    <n v="1358026"/>
  </r>
  <r>
    <s v="Franquicias Sell Out QUEST"/>
    <s v="FQ054 Dagua - Valle del Cauca"/>
    <x v="1"/>
    <s v="septiembre"/>
    <n v="26"/>
    <d v="2026-09-26T00:00:00"/>
    <n v="1099734375"/>
    <s v="RUEDA RODRIGUEZ HEIDEMBERTH SNEIDER"/>
    <n v="32"/>
    <n v="0"/>
    <n v="1836768"/>
  </r>
  <r>
    <s v="Franquicias Sell Out QUEST"/>
    <s v="FQ054 Dagua - Valle del Cauca"/>
    <x v="1"/>
    <s v="septiembre"/>
    <n v="26"/>
    <d v="2026-09-26T00:00:00"/>
    <n v="1114735434"/>
    <s v="BOLAÑOS LOPEZ KELLY TATIANA"/>
    <n v="39"/>
    <n v="0"/>
    <n v="2052859"/>
  </r>
  <r>
    <s v="Franquicias Sell Out QUEST"/>
    <s v="FQ054 Dagua - Valle del Cauca"/>
    <x v="1"/>
    <s v="septiembre"/>
    <n v="27"/>
    <d v="2026-09-27T00:00:00"/>
    <m/>
    <m/>
    <n v="0"/>
    <n v="5071460"/>
    <n v="0"/>
  </r>
  <r>
    <s v="Franquicias Sell Out QUEST"/>
    <s v="FQ054 Dagua - Valle del Cauca"/>
    <x v="1"/>
    <s v="septiembre"/>
    <n v="27"/>
    <d v="2026-09-27T00:00:00"/>
    <n v="1006252984"/>
    <s v="VALENCIA MONTOYA ESMERALDA"/>
    <n v="53"/>
    <n v="0"/>
    <n v="3379748"/>
  </r>
  <r>
    <s v="Franquicias Sell Out QUEST"/>
    <s v="FQ054 Dagua - Valle del Cauca"/>
    <x v="1"/>
    <s v="septiembre"/>
    <n v="27"/>
    <d v="2026-09-27T00:00:00"/>
    <n v="1099734375"/>
    <s v="RUEDA RODRIGUEZ HEIDEMBERTH SNEIDER"/>
    <n v="45"/>
    <n v="0"/>
    <n v="2462230"/>
  </r>
  <r>
    <s v="Franquicias Sell Out QUEST"/>
    <s v="FQ054 Dagua - Valle del Cauca"/>
    <x v="1"/>
    <s v="septiembre"/>
    <n v="27"/>
    <d v="2026-09-27T00:00:00"/>
    <n v="1114735434"/>
    <s v="BOLAÑOS LOPEZ KELLY TATIANA"/>
    <n v="25"/>
    <n v="0"/>
    <n v="1530505"/>
  </r>
  <r>
    <s v="Franquicias Sell Out QUEST"/>
    <s v="FQ054 Dagua - Valle del Cauca"/>
    <x v="1"/>
    <s v="septiembre"/>
    <n v="28"/>
    <d v="2026-09-28T00:00:00"/>
    <m/>
    <m/>
    <n v="0"/>
    <n v="4158046"/>
    <n v="0"/>
  </r>
  <r>
    <s v="Franquicias Sell Out QUEST"/>
    <s v="FQ054 Dagua - Valle del Cauca"/>
    <x v="1"/>
    <s v="septiembre"/>
    <n v="28"/>
    <d v="2026-09-28T00:00:00"/>
    <n v="1006252984"/>
    <s v="VALENCIA MONTOYA ESMERALDA"/>
    <n v="34"/>
    <n v="0"/>
    <n v="1311093"/>
  </r>
  <r>
    <s v="Franquicias Sell Out QUEST"/>
    <s v="FQ054 Dagua - Valle del Cauca"/>
    <x v="1"/>
    <s v="septiembre"/>
    <n v="28"/>
    <d v="2026-09-28T00:00:00"/>
    <n v="1099734375"/>
    <s v="RUEDA RODRIGUEZ HEIDEMBERTH SNEIDER"/>
    <n v="26"/>
    <n v="0"/>
    <n v="1280252"/>
  </r>
  <r>
    <s v="Franquicias Sell Out QUEST"/>
    <s v="FQ054 Dagua - Valle del Cauca"/>
    <x v="1"/>
    <s v="septiembre"/>
    <n v="28"/>
    <d v="2026-09-28T00:00:00"/>
    <n v="1114735434"/>
    <s v="BOLAÑOS LOPEZ KELLY TATIANA"/>
    <n v="16"/>
    <n v="0"/>
    <n v="936220"/>
  </r>
  <r>
    <s v="Franquicias Sell Out QUEST"/>
    <s v="FQ054 Dagua - Valle del Cauca"/>
    <x v="1"/>
    <s v="septiembre"/>
    <n v="29"/>
    <d v="2026-09-29T00:00:00"/>
    <m/>
    <m/>
    <n v="0"/>
    <n v="4622516"/>
    <n v="0"/>
  </r>
  <r>
    <s v="Franquicias Sell Out QUEST"/>
    <s v="FQ054 Dagua - Valle del Cauca"/>
    <x v="1"/>
    <s v="septiembre"/>
    <n v="29"/>
    <d v="2026-09-29T00:00:00"/>
    <n v="1099734375"/>
    <s v="RUEDA RODRIGUEZ HEIDEMBERTH SNEIDER"/>
    <n v="53"/>
    <n v="0"/>
    <n v="2501728"/>
  </r>
  <r>
    <s v="Franquicias Sell Out QUEST"/>
    <s v="FQ054 Dagua - Valle del Cauca"/>
    <x v="1"/>
    <s v="septiembre"/>
    <n v="29"/>
    <d v="2026-09-29T00:00:00"/>
    <n v="1114735434"/>
    <s v="BOLAÑOS LOPEZ KELLY TATIANA"/>
    <n v="26"/>
    <n v="0"/>
    <n v="1254875"/>
  </r>
  <r>
    <s v="Franquicias Sell Out QUEST"/>
    <s v="FQ054 Dagua - Valle del Cauca"/>
    <x v="1"/>
    <s v="septiembre"/>
    <n v="30"/>
    <d v="2026-09-30T00:00:00"/>
    <m/>
    <m/>
    <n v="0"/>
    <n v="4895392"/>
    <n v="0"/>
  </r>
  <r>
    <s v="Franquicias Sell Out QUEST"/>
    <s v="FQ054 Dagua - Valle del Cauca"/>
    <x v="1"/>
    <s v="septiembre"/>
    <n v="30"/>
    <d v="2026-09-30T00:00:00"/>
    <n v="1006252984"/>
    <s v="VALENCIA MONTOYA ESMERALDA"/>
    <n v="12"/>
    <n v="0"/>
    <n v="589709"/>
  </r>
  <r>
    <s v="Franquicias Sell Out QUEST"/>
    <s v="FQ054 Dagua - Valle del Cauca"/>
    <x v="1"/>
    <s v="septiembre"/>
    <n v="30"/>
    <d v="2026-09-30T00:00:00"/>
    <n v="1099734375"/>
    <s v="RUEDA RODRIGUEZ HEIDEMBERTH SNEIDER"/>
    <n v="54"/>
    <n v="0"/>
    <n v="2625633"/>
  </r>
  <r>
    <s v="Franquicias Sell Out QUEST"/>
    <s v="FQ054 Dagua - Valle del Cauca"/>
    <x v="1"/>
    <s v="septiembre"/>
    <n v="30"/>
    <d v="2026-09-30T00:00:00"/>
    <n v="1114735434"/>
    <s v="BOLAÑOS LOPEZ KELLY TATIANA"/>
    <n v="16"/>
    <n v="0"/>
    <n v="953028"/>
  </r>
  <r>
    <s v="Franquicias Sell Out QUEST"/>
    <s v="FQ054 Dagua - Valle del Cauca"/>
    <x v="1"/>
    <s v="octubre"/>
    <n v="1"/>
    <d v="2026-10-01T00:00:00"/>
    <m/>
    <m/>
    <n v="0"/>
    <n v="4955850"/>
    <n v="0"/>
  </r>
  <r>
    <s v="Franquicias Sell Out QUEST"/>
    <s v="FQ054 Dagua - Valle del Cauca"/>
    <x v="1"/>
    <s v="octubre"/>
    <n v="1"/>
    <d v="2026-10-01T00:00:00"/>
    <n v="1006252984"/>
    <s v="VALENCIA MONTOYA ESMERALDA"/>
    <n v="27"/>
    <n v="0"/>
    <n v="1387438"/>
  </r>
  <r>
    <s v="Franquicias Sell Out QUEST"/>
    <s v="FQ054 Dagua - Valle del Cauca"/>
    <x v="1"/>
    <s v="octubre"/>
    <n v="1"/>
    <d v="2026-10-01T00:00:00"/>
    <n v="1099734375"/>
    <s v="RUEDA RODRIGUEZ HEIDEMBERTH SNEIDER"/>
    <n v="21"/>
    <n v="0"/>
    <n v="780337"/>
  </r>
  <r>
    <s v="Franquicias Sell Out QUEST"/>
    <s v="FQ054 Dagua - Valle del Cauca"/>
    <x v="1"/>
    <s v="octubre"/>
    <n v="1"/>
    <d v="2026-10-01T00:00:00"/>
    <n v="1114735434"/>
    <s v="BOLAÑOS LOPEZ KELLY TATIANA"/>
    <n v="27"/>
    <n v="0"/>
    <n v="1906305"/>
  </r>
  <r>
    <s v="Franquicias Sell Out QUEST"/>
    <s v="FQ054 Dagua - Valle del Cauca"/>
    <x v="1"/>
    <s v="octubre"/>
    <n v="2"/>
    <d v="2026-10-02T00:00:00"/>
    <m/>
    <m/>
    <n v="0"/>
    <n v="6754332"/>
    <n v="0"/>
  </r>
  <r>
    <s v="Franquicias Sell Out QUEST"/>
    <s v="FQ054 Dagua - Valle del Cauca"/>
    <x v="1"/>
    <s v="octubre"/>
    <n v="2"/>
    <d v="2026-10-02T00:00:00"/>
    <n v="1006252984"/>
    <s v="VALENCIA MONTOYA ESMERALDA"/>
    <n v="34"/>
    <n v="0"/>
    <n v="1443786"/>
  </r>
  <r>
    <s v="Franquicias Sell Out QUEST"/>
    <s v="FQ054 Dagua - Valle del Cauca"/>
    <x v="1"/>
    <s v="octubre"/>
    <n v="2"/>
    <d v="2026-10-02T00:00:00"/>
    <n v="1099734375"/>
    <s v="RUEDA RODRIGUEZ HEIDEMBERTH SNEIDER"/>
    <n v="20"/>
    <n v="0"/>
    <n v="1129288"/>
  </r>
  <r>
    <s v="Franquicias Sell Out QUEST"/>
    <s v="FQ054 Dagua - Valle del Cauca"/>
    <x v="1"/>
    <s v="octubre"/>
    <n v="2"/>
    <d v="2026-10-02T00:00:00"/>
    <n v="1114735434"/>
    <s v="BOLAÑOS LOPEZ KELLY TATIANA"/>
    <n v="39"/>
    <n v="0"/>
    <n v="2151556"/>
  </r>
  <r>
    <s v="Franquicias Sell Out QUEST"/>
    <s v="FQ054 Dagua - Valle del Cauca"/>
    <x v="1"/>
    <s v="octubre"/>
    <n v="3"/>
    <d v="2026-10-03T00:00:00"/>
    <m/>
    <m/>
    <n v="0"/>
    <n v="7453230"/>
    <n v="0"/>
  </r>
  <r>
    <s v="Franquicias Sell Out QUEST"/>
    <s v="FQ054 Dagua - Valle del Cauca"/>
    <x v="1"/>
    <s v="octubre"/>
    <n v="3"/>
    <d v="2026-10-03T00:00:00"/>
    <n v="1006252984"/>
    <s v="VALENCIA MONTOYA ESMERALDA"/>
    <n v="32"/>
    <n v="0"/>
    <n v="1792025"/>
  </r>
  <r>
    <s v="Franquicias Sell Out QUEST"/>
    <s v="FQ054 Dagua - Valle del Cauca"/>
    <x v="1"/>
    <s v="octubre"/>
    <n v="3"/>
    <d v="2026-10-03T00:00:00"/>
    <n v="1099734375"/>
    <s v="RUEDA RODRIGUEZ HEIDEMBERTH SNEIDER"/>
    <n v="68"/>
    <n v="0"/>
    <n v="3326675"/>
  </r>
  <r>
    <s v="Franquicias Sell Out QUEST"/>
    <s v="FQ054 Dagua - Valle del Cauca"/>
    <x v="1"/>
    <s v="octubre"/>
    <n v="3"/>
    <d v="2026-10-03T00:00:00"/>
    <n v="1114735434"/>
    <s v="BOLAÑOS LOPEZ KELLY TATIANA"/>
    <n v="55"/>
    <n v="0"/>
    <n v="2597620"/>
  </r>
  <r>
    <s v="Franquicias Sell Out QUEST"/>
    <s v="FQ054 Dagua - Valle del Cauca"/>
    <x v="1"/>
    <s v="octubre"/>
    <n v="4"/>
    <d v="2026-10-04T00:00:00"/>
    <m/>
    <m/>
    <n v="0"/>
    <n v="4226037"/>
    <n v="0"/>
  </r>
  <r>
    <s v="Franquicias Sell Out QUEST"/>
    <s v="FQ054 Dagua - Valle del Cauca"/>
    <x v="1"/>
    <s v="octubre"/>
    <n v="4"/>
    <d v="2026-10-04T00:00:00"/>
    <n v="1006252984"/>
    <s v="VALENCIA MONTOYA ESMERALDA"/>
    <n v="22"/>
    <n v="0"/>
    <n v="1179750"/>
  </r>
  <r>
    <s v="Franquicias Sell Out QUEST"/>
    <s v="FQ054 Dagua - Valle del Cauca"/>
    <x v="1"/>
    <s v="octubre"/>
    <n v="4"/>
    <d v="2026-10-04T00:00:00"/>
    <n v="1099734375"/>
    <s v="RUEDA RODRIGUEZ HEIDEMBERTH SNEIDER"/>
    <n v="70"/>
    <n v="0"/>
    <n v="3832314"/>
  </r>
  <r>
    <s v="Franquicias Sell Out QUEST"/>
    <s v="FQ054 Dagua - Valle del Cauca"/>
    <x v="1"/>
    <s v="octubre"/>
    <n v="4"/>
    <d v="2026-10-04T00:00:00"/>
    <n v="1114735434"/>
    <s v="BOLAÑOS LOPEZ KELLY TATIANA"/>
    <n v="61"/>
    <n v="0"/>
    <n v="3245047"/>
  </r>
  <r>
    <s v="Franquicias Sell Out QUEST"/>
    <s v="FQ054 Dagua - Valle del Cauca"/>
    <x v="1"/>
    <s v="octubre"/>
    <n v="5"/>
    <d v="2026-10-05T00:00:00"/>
    <m/>
    <m/>
    <n v="0"/>
    <n v="3672844"/>
    <n v="0"/>
  </r>
  <r>
    <s v="Franquicias Sell Out QUEST"/>
    <s v="FQ054 Dagua - Valle del Cauca"/>
    <x v="1"/>
    <s v="octubre"/>
    <n v="5"/>
    <d v="2026-10-05T00:00:00"/>
    <n v="1006252984"/>
    <s v="VALENCIA MONTOYA ESMERALDA"/>
    <n v="19"/>
    <n v="0"/>
    <n v="938193"/>
  </r>
  <r>
    <s v="Franquicias Sell Out QUEST"/>
    <s v="FQ054 Dagua - Valle del Cauca"/>
    <x v="1"/>
    <s v="octubre"/>
    <n v="5"/>
    <d v="2026-10-05T00:00:00"/>
    <n v="1099734375"/>
    <s v="RUEDA RODRIGUEZ HEIDEMBERTH SNEIDER"/>
    <n v="56"/>
    <n v="0"/>
    <n v="2791557"/>
  </r>
  <r>
    <s v="Franquicias Sell Out QUEST"/>
    <s v="FQ054 Dagua - Valle del Cauca"/>
    <x v="1"/>
    <s v="octubre"/>
    <n v="5"/>
    <d v="2026-10-05T00:00:00"/>
    <n v="1114735434"/>
    <s v="BOLAÑOS LOPEZ KELLY TATIANA"/>
    <n v="24"/>
    <n v="0"/>
    <n v="1225675"/>
  </r>
  <r>
    <s v="Franquicias Sell Out QUEST"/>
    <s v="FQ054 Dagua - Valle del Cauca"/>
    <x v="1"/>
    <s v="octubre"/>
    <n v="6"/>
    <d v="2026-10-06T00:00:00"/>
    <m/>
    <m/>
    <n v="0"/>
    <n v="3559699"/>
    <n v="0"/>
  </r>
  <r>
    <s v="Franquicias Sell Out QUEST"/>
    <s v="FQ054 Dagua - Valle del Cauca"/>
    <x v="1"/>
    <s v="octubre"/>
    <n v="6"/>
    <d v="2026-10-06T00:00:00"/>
    <n v="1099734375"/>
    <s v="RUEDA RODRIGUEZ HEIDEMBERTH SNEIDER"/>
    <n v="14"/>
    <n v="0"/>
    <n v="812353"/>
  </r>
  <r>
    <s v="Franquicias Sell Out QUEST"/>
    <s v="FQ054 Dagua - Valle del Cauca"/>
    <x v="1"/>
    <s v="octubre"/>
    <n v="6"/>
    <d v="2026-10-06T00:00:00"/>
    <n v="1114735434"/>
    <s v="BOLAÑOS LOPEZ KELLY TATIANA"/>
    <n v="20"/>
    <n v="0"/>
    <n v="1257184"/>
  </r>
  <r>
    <s v="Franquicias Sell Out QUEST"/>
    <s v="FQ054 Dagua - Valle del Cauca"/>
    <x v="1"/>
    <s v="octubre"/>
    <n v="7"/>
    <d v="2026-10-07T00:00:00"/>
    <m/>
    <m/>
    <n v="0"/>
    <n v="1402785"/>
    <n v="0"/>
  </r>
  <r>
    <s v="Franquicias Sell Out QUEST"/>
    <s v="FQ054 Dagua - Valle del Cauca"/>
    <x v="1"/>
    <s v="octubre"/>
    <n v="7"/>
    <d v="2026-10-07T00:00:00"/>
    <n v="1006252984"/>
    <s v="VALENCIA MONTOYA ESMERALDA"/>
    <n v="9"/>
    <n v="0"/>
    <n v="489118"/>
  </r>
  <r>
    <s v="Franquicias Sell Out QUEST"/>
    <s v="FQ054 Dagua - Valle del Cauca"/>
    <x v="1"/>
    <s v="octubre"/>
    <n v="7"/>
    <d v="2026-10-07T00:00:00"/>
    <n v="1099734375"/>
    <s v="RUEDA RODRIGUEZ HEIDEMBERTH SNEIDER"/>
    <n v="2"/>
    <n v="0"/>
    <n v="117563"/>
  </r>
  <r>
    <s v="Franquicias Sell Out QUEST"/>
    <s v="FQ054 Dagua - Valle del Cauca"/>
    <x v="1"/>
    <s v="octubre"/>
    <n v="7"/>
    <d v="2026-10-07T00:00:00"/>
    <n v="1114735434"/>
    <s v="BOLAÑOS LOPEZ KELLY TATIANA"/>
    <n v="33"/>
    <n v="0"/>
    <n v="1586560"/>
  </r>
  <r>
    <s v="Franquicias Sell Out QUEST"/>
    <s v="FQ056- Darien - Valle del Cauca"/>
    <x v="1"/>
    <s v="septiembre"/>
    <n v="23"/>
    <d v="2026-09-23T00:00:00"/>
    <m/>
    <m/>
    <n v="0"/>
    <n v="1805052"/>
    <n v="0"/>
  </r>
  <r>
    <s v="Franquicias Sell Out QUEST"/>
    <s v="FQ056- Darien - Valle del Cauca"/>
    <x v="1"/>
    <s v="septiembre"/>
    <n v="23"/>
    <d v="2026-09-23T00:00:00"/>
    <n v="29425689"/>
    <s v="PATERNINA  CAROLINA"/>
    <n v="17"/>
    <n v="0"/>
    <n v="763993"/>
  </r>
  <r>
    <s v="Franquicias Sell Out QUEST"/>
    <s v="FQ056- Darien - Valle del Cauca"/>
    <x v="1"/>
    <s v="septiembre"/>
    <n v="23"/>
    <d v="2026-09-23T00:00:00"/>
    <n v="1112878635"/>
    <s v="GONZALEZ  LUISA MARIA"/>
    <n v="51"/>
    <n v="0"/>
    <n v="2527272"/>
  </r>
  <r>
    <s v="Franquicias Sell Out QUEST"/>
    <s v="FQ056- Darien - Valle del Cauca"/>
    <x v="1"/>
    <s v="septiembre"/>
    <n v="24"/>
    <d v="2026-09-24T00:00:00"/>
    <m/>
    <m/>
    <n v="0"/>
    <n v="4668210"/>
    <n v="0"/>
  </r>
  <r>
    <s v="Franquicias Sell Out QUEST"/>
    <s v="FQ056- Darien - Valle del Cauca"/>
    <x v="1"/>
    <s v="septiembre"/>
    <n v="24"/>
    <d v="2026-09-24T00:00:00"/>
    <n v="29425689"/>
    <s v="PATERNINA  CAROLINA"/>
    <n v="21"/>
    <n v="0"/>
    <n v="1133573"/>
  </r>
  <r>
    <s v="Franquicias Sell Out QUEST"/>
    <s v="FQ056- Darien - Valle del Cauca"/>
    <x v="1"/>
    <s v="septiembre"/>
    <n v="24"/>
    <d v="2026-09-24T00:00:00"/>
    <n v="1112878635"/>
    <s v="GONZALEZ  LUISA MARIA"/>
    <n v="67"/>
    <n v="0"/>
    <n v="3539244"/>
  </r>
  <r>
    <s v="Franquicias Sell Out QUEST"/>
    <s v="FQ056- Darien - Valle del Cauca"/>
    <x v="1"/>
    <s v="septiembre"/>
    <n v="25"/>
    <d v="2026-09-25T00:00:00"/>
    <m/>
    <m/>
    <n v="0"/>
    <n v="4985904"/>
    <n v="0"/>
  </r>
  <r>
    <s v="Franquicias Sell Out QUEST"/>
    <s v="FQ056- Darien - Valle del Cauca"/>
    <x v="1"/>
    <s v="septiembre"/>
    <n v="25"/>
    <d v="2026-09-25T00:00:00"/>
    <n v="29425689"/>
    <s v="PATERNINA  CAROLINA"/>
    <n v="35"/>
    <n v="0"/>
    <n v="2372481"/>
  </r>
  <r>
    <s v="Franquicias Sell Out QUEST"/>
    <s v="FQ056- Darien - Valle del Cauca"/>
    <x v="1"/>
    <s v="septiembre"/>
    <n v="25"/>
    <d v="2026-09-25T00:00:00"/>
    <n v="1112878635"/>
    <s v="GONZALEZ  LUISA MARIA"/>
    <n v="47"/>
    <n v="0"/>
    <n v="2731221"/>
  </r>
  <r>
    <s v="Franquicias Sell Out QUEST"/>
    <s v="FQ056- Darien - Valle del Cauca"/>
    <x v="1"/>
    <s v="septiembre"/>
    <n v="26"/>
    <d v="2026-09-26T00:00:00"/>
    <m/>
    <m/>
    <n v="0"/>
    <n v="6287095"/>
    <n v="0"/>
  </r>
  <r>
    <s v="Franquicias Sell Out QUEST"/>
    <s v="FQ056- Darien - Valle del Cauca"/>
    <x v="1"/>
    <s v="septiembre"/>
    <n v="26"/>
    <d v="2026-09-26T00:00:00"/>
    <n v="29425689"/>
    <s v="PATERNINA  CAROLINA"/>
    <n v="108"/>
    <n v="0"/>
    <n v="5803783"/>
  </r>
  <r>
    <s v="Franquicias Sell Out QUEST"/>
    <s v="FQ056- Darien - Valle del Cauca"/>
    <x v="1"/>
    <s v="septiembre"/>
    <n v="26"/>
    <d v="2026-09-26T00:00:00"/>
    <n v="1112878635"/>
    <s v="GONZALEZ  LUISA MARIA"/>
    <n v="47"/>
    <n v="0"/>
    <n v="2239497"/>
  </r>
  <r>
    <s v="Franquicias Sell Out QUEST"/>
    <s v="FQ056- Darien - Valle del Cauca"/>
    <x v="1"/>
    <s v="septiembre"/>
    <n v="27"/>
    <d v="2026-09-27T00:00:00"/>
    <m/>
    <m/>
    <n v="0"/>
    <n v="3319529"/>
    <n v="0"/>
  </r>
  <r>
    <s v="Franquicias Sell Out QUEST"/>
    <s v="FQ056- Darien - Valle del Cauca"/>
    <x v="1"/>
    <s v="septiembre"/>
    <n v="27"/>
    <d v="2026-09-27T00:00:00"/>
    <n v="29425689"/>
    <s v="PATERNINA  CAROLINA"/>
    <n v="26"/>
    <n v="0"/>
    <n v="1351303"/>
  </r>
  <r>
    <s v="Franquicias Sell Out QUEST"/>
    <s v="FQ056- Darien - Valle del Cauca"/>
    <x v="1"/>
    <s v="septiembre"/>
    <n v="27"/>
    <d v="2026-09-27T00:00:00"/>
    <n v="1112878635"/>
    <s v="GONZALEZ  LUISA MARIA"/>
    <n v="30"/>
    <n v="0"/>
    <n v="1389328"/>
  </r>
  <r>
    <s v="Franquicias Sell Out QUEST"/>
    <s v="FQ056- Darien - Valle del Cauca"/>
    <x v="1"/>
    <s v="septiembre"/>
    <n v="28"/>
    <d v="2026-09-28T00:00:00"/>
    <m/>
    <m/>
    <n v="0"/>
    <n v="2721653"/>
    <n v="0"/>
  </r>
  <r>
    <s v="Franquicias Sell Out QUEST"/>
    <s v="FQ056- Darien - Valle del Cauca"/>
    <x v="1"/>
    <s v="septiembre"/>
    <n v="28"/>
    <d v="2026-09-28T00:00:00"/>
    <n v="29425689"/>
    <s v="PATERNINA  CAROLINA"/>
    <n v="17"/>
    <n v="0"/>
    <n v="1051640"/>
  </r>
  <r>
    <s v="Franquicias Sell Out QUEST"/>
    <s v="FQ056- Darien - Valle del Cauca"/>
    <x v="1"/>
    <s v="septiembre"/>
    <n v="28"/>
    <d v="2026-09-28T00:00:00"/>
    <n v="1112878635"/>
    <s v="GONZALEZ  LUISA MARIA"/>
    <n v="40"/>
    <n v="0"/>
    <n v="2355421"/>
  </r>
  <r>
    <s v="Franquicias Sell Out QUEST"/>
    <s v="FQ056- Darien - Valle del Cauca"/>
    <x v="1"/>
    <s v="septiembre"/>
    <n v="29"/>
    <d v="2026-09-29T00:00:00"/>
    <m/>
    <m/>
    <n v="0"/>
    <n v="3025670"/>
    <n v="0"/>
  </r>
  <r>
    <s v="Franquicias Sell Out QUEST"/>
    <s v="FQ056- Darien - Valle del Cauca"/>
    <x v="1"/>
    <s v="septiembre"/>
    <n v="29"/>
    <d v="2026-09-29T00:00:00"/>
    <n v="29425689"/>
    <s v="PATERNINA  CAROLINA"/>
    <n v="29"/>
    <n v="0"/>
    <n v="1343070"/>
  </r>
  <r>
    <s v="Franquicias Sell Out QUEST"/>
    <s v="FQ056- Darien - Valle del Cauca"/>
    <x v="1"/>
    <s v="septiembre"/>
    <n v="29"/>
    <d v="2026-09-29T00:00:00"/>
    <n v="1112878635"/>
    <s v="GONZALEZ  LUISA MARIA"/>
    <n v="12"/>
    <n v="0"/>
    <n v="467942"/>
  </r>
  <r>
    <s v="Franquicias Sell Out QUEST"/>
    <s v="FQ056- Darien - Valle del Cauca"/>
    <x v="1"/>
    <s v="septiembre"/>
    <n v="30"/>
    <d v="2026-09-30T00:00:00"/>
    <m/>
    <m/>
    <n v="0"/>
    <n v="3204283"/>
    <n v="0"/>
  </r>
  <r>
    <s v="Franquicias Sell Out QUEST"/>
    <s v="FQ056- Darien - Valle del Cauca"/>
    <x v="1"/>
    <s v="septiembre"/>
    <n v="30"/>
    <d v="2026-09-30T00:00:00"/>
    <n v="29425689"/>
    <s v="PATERNINA  CAROLINA"/>
    <n v="34"/>
    <n v="0"/>
    <n v="1704330"/>
  </r>
  <r>
    <s v="Franquicias Sell Out QUEST"/>
    <s v="FQ056- Darien - Valle del Cauca"/>
    <x v="1"/>
    <s v="septiembre"/>
    <n v="30"/>
    <d v="2026-09-30T00:00:00"/>
    <n v="1112878635"/>
    <s v="GONZALEZ  LUISA MARIA"/>
    <n v="51"/>
    <n v="0"/>
    <n v="2509960"/>
  </r>
  <r>
    <s v="Franquicias Sell Out QUEST"/>
    <s v="FQ056- Darien - Valle del Cauca"/>
    <x v="1"/>
    <s v="octubre"/>
    <n v="1"/>
    <d v="2026-10-01T00:00:00"/>
    <m/>
    <m/>
    <n v="0"/>
    <n v="8251520"/>
    <n v="0"/>
  </r>
  <r>
    <s v="Franquicias Sell Out QUEST"/>
    <s v="FQ056- Darien - Valle del Cauca"/>
    <x v="1"/>
    <s v="octubre"/>
    <n v="1"/>
    <d v="2026-10-01T00:00:00"/>
    <n v="29425689"/>
    <s v="PATERNINA  CAROLINA"/>
    <n v="39"/>
    <n v="0"/>
    <n v="1737353"/>
  </r>
  <r>
    <s v="Franquicias Sell Out QUEST"/>
    <s v="FQ056- Darien - Valle del Cauca"/>
    <x v="1"/>
    <s v="octubre"/>
    <n v="1"/>
    <d v="2026-10-01T00:00:00"/>
    <n v="29435689"/>
    <s v="PATERNINA ALVAREZ CAROLINA"/>
    <n v="3"/>
    <n v="0"/>
    <n v="117521"/>
  </r>
  <r>
    <s v="Franquicias Sell Out QUEST"/>
    <s v="FQ056- Darien - Valle del Cauca"/>
    <x v="1"/>
    <s v="octubre"/>
    <n v="1"/>
    <d v="2026-10-01T00:00:00"/>
    <n v="1112878635"/>
    <s v="GONZALEZ  LUISA MARIA"/>
    <n v="14"/>
    <n v="0"/>
    <n v="705170"/>
  </r>
  <r>
    <s v="Franquicias Sell Out QUEST"/>
    <s v="FQ056- Darien - Valle del Cauca"/>
    <x v="1"/>
    <s v="octubre"/>
    <n v="2"/>
    <d v="2026-10-02T00:00:00"/>
    <m/>
    <m/>
    <n v="0"/>
    <n v="5574407"/>
    <n v="0"/>
  </r>
  <r>
    <s v="Franquicias Sell Out QUEST"/>
    <s v="FQ056- Darien - Valle del Cauca"/>
    <x v="1"/>
    <s v="octubre"/>
    <n v="2"/>
    <d v="2026-10-02T00:00:00"/>
    <n v="29425689"/>
    <s v="PATERNINA  CAROLINA"/>
    <n v="17"/>
    <n v="0"/>
    <n v="948655"/>
  </r>
  <r>
    <s v="Franquicias Sell Out QUEST"/>
    <s v="FQ056- Darien - Valle del Cauca"/>
    <x v="1"/>
    <s v="octubre"/>
    <n v="2"/>
    <d v="2026-10-02T00:00:00"/>
    <n v="1112878635"/>
    <s v="GONZALEZ  LUISA MARIA"/>
    <n v="46"/>
    <n v="0"/>
    <n v="2298279"/>
  </r>
  <r>
    <s v="Franquicias Sell Out QUEST"/>
    <s v="FQ056- Darien - Valle del Cauca"/>
    <x v="1"/>
    <s v="octubre"/>
    <n v="3"/>
    <d v="2026-10-03T00:00:00"/>
    <m/>
    <m/>
    <n v="0"/>
    <n v="9841127"/>
    <n v="0"/>
  </r>
  <r>
    <s v="Franquicias Sell Out QUEST"/>
    <s v="FQ056- Darien - Valle del Cauca"/>
    <x v="1"/>
    <s v="octubre"/>
    <n v="3"/>
    <d v="2026-10-03T00:00:00"/>
    <n v="29425689"/>
    <s v="PATERNINA  CAROLINA"/>
    <n v="26"/>
    <n v="0"/>
    <n v="1431078"/>
  </r>
  <r>
    <s v="Franquicias Sell Out QUEST"/>
    <s v="FQ056- Darien - Valle del Cauca"/>
    <x v="1"/>
    <s v="octubre"/>
    <n v="3"/>
    <d v="2026-10-03T00:00:00"/>
    <n v="1112878635"/>
    <s v="GONZALEZ  LUISA MARIA"/>
    <n v="84"/>
    <n v="0"/>
    <n v="3957106"/>
  </r>
  <r>
    <s v="Franquicias Sell Out QUEST"/>
    <s v="FQ056- Darien - Valle del Cauca"/>
    <x v="1"/>
    <s v="octubre"/>
    <n v="4"/>
    <d v="2026-10-04T00:00:00"/>
    <m/>
    <m/>
    <n v="0"/>
    <n v="2440652"/>
    <n v="0"/>
  </r>
  <r>
    <s v="Franquicias Sell Out QUEST"/>
    <s v="FQ056- Darien - Valle del Cauca"/>
    <x v="1"/>
    <s v="octubre"/>
    <n v="4"/>
    <d v="2026-10-04T00:00:00"/>
    <n v="29425689"/>
    <s v="PATERNINA  CAROLINA"/>
    <n v="6"/>
    <n v="0"/>
    <n v="365210"/>
  </r>
  <r>
    <s v="Franquicias Sell Out QUEST"/>
    <s v="FQ056- Darien - Valle del Cauca"/>
    <x v="1"/>
    <s v="octubre"/>
    <n v="4"/>
    <d v="2026-10-04T00:00:00"/>
    <n v="1112878635"/>
    <s v="GONZALEZ  LUISA MARIA"/>
    <n v="15"/>
    <n v="0"/>
    <n v="709412"/>
  </r>
  <r>
    <s v="Franquicias Sell Out QUEST"/>
    <s v="FQ056- Darien - Valle del Cauca"/>
    <x v="1"/>
    <s v="octubre"/>
    <n v="5"/>
    <d v="2026-10-05T00:00:00"/>
    <m/>
    <m/>
    <n v="0"/>
    <n v="6530585"/>
    <n v="0"/>
  </r>
  <r>
    <s v="Franquicias Sell Out QUEST"/>
    <s v="FQ056- Darien - Valle del Cauca"/>
    <x v="1"/>
    <s v="octubre"/>
    <n v="5"/>
    <d v="2026-10-05T00:00:00"/>
    <n v="29425689"/>
    <s v="PATERNINA  CAROLINA"/>
    <n v="14"/>
    <n v="0"/>
    <n v="768320"/>
  </r>
  <r>
    <s v="Franquicias Sell Out QUEST"/>
    <s v="FQ056- Darien - Valle del Cauca"/>
    <x v="1"/>
    <s v="octubre"/>
    <n v="5"/>
    <d v="2026-10-05T00:00:00"/>
    <n v="1112878635"/>
    <s v="GONZALEZ  LUISA MARIA"/>
    <n v="68"/>
    <n v="0"/>
    <n v="3328405"/>
  </r>
  <r>
    <s v="Franquicias Sell Out QUEST"/>
    <s v="FQ056- Darien - Valle del Cauca"/>
    <x v="1"/>
    <s v="octubre"/>
    <n v="6"/>
    <d v="2026-10-06T00:00:00"/>
    <m/>
    <m/>
    <n v="0"/>
    <n v="3059853"/>
    <n v="0"/>
  </r>
  <r>
    <s v="Franquicias Sell Out QUEST"/>
    <s v="FQ056- Darien - Valle del Cauca"/>
    <x v="1"/>
    <s v="octubre"/>
    <n v="6"/>
    <d v="2026-10-06T00:00:00"/>
    <n v="29425689"/>
    <s v="PATERNINA  CAROLINA"/>
    <n v="1"/>
    <n v="0"/>
    <n v="83992"/>
  </r>
  <r>
    <s v="Franquicias Sell Out QUEST"/>
    <s v="FQ056- Darien - Valle del Cauca"/>
    <x v="1"/>
    <s v="octubre"/>
    <n v="6"/>
    <d v="2026-10-06T00:00:00"/>
    <n v="1112878635"/>
    <s v="GONZALEZ  LUISA MARIA"/>
    <n v="37"/>
    <n v="0"/>
    <n v="1739836"/>
  </r>
  <r>
    <s v="Franquicias Sell Out QUEST"/>
    <s v="FQ056- Darien - Valle del Cauca"/>
    <x v="1"/>
    <s v="octubre"/>
    <n v="7"/>
    <d v="2026-10-07T00:00:00"/>
    <m/>
    <m/>
    <n v="0"/>
    <n v="1535613"/>
    <n v="0"/>
  </r>
  <r>
    <s v="Franquicias Sell Out QUEST"/>
    <s v="FQ056- Darien - Valle del Cauca"/>
    <x v="1"/>
    <s v="octubre"/>
    <n v="7"/>
    <d v="2026-10-07T00:00:00"/>
    <n v="29425689"/>
    <s v="PATERNINA  CAROLINA"/>
    <n v="1"/>
    <n v="0"/>
    <n v="86504"/>
  </r>
  <r>
    <s v="Franquicias Sell Out QUEST"/>
    <s v="FQ056- Darien - Valle del Cauca"/>
    <x v="1"/>
    <s v="octubre"/>
    <n v="7"/>
    <d v="2026-10-07T00:00:00"/>
    <n v="1112878635"/>
    <s v="GONZALEZ  LUISA MARIA"/>
    <n v="37"/>
    <n v="0"/>
    <n v="2219033"/>
  </r>
  <r>
    <s v="Franquicias Sell Out QUEST"/>
    <s v="FQ057- Cerrito - Valle del Cauca"/>
    <x v="1"/>
    <s v="septiembre"/>
    <n v="23"/>
    <d v="2026-09-23T00:00:00"/>
    <m/>
    <m/>
    <n v="0"/>
    <n v="2098551"/>
    <n v="0"/>
  </r>
  <r>
    <s v="Franquicias Sell Out QUEST"/>
    <s v="FQ057- Cerrito - Valle del Cauca"/>
    <x v="1"/>
    <s v="septiembre"/>
    <n v="23"/>
    <d v="2026-09-23T00:00:00"/>
    <n v="1006361160"/>
    <s v="HENAO TENORIO ISABELLA"/>
    <n v="36"/>
    <n v="0"/>
    <n v="1645549"/>
  </r>
  <r>
    <s v="Franquicias Sell Out QUEST"/>
    <s v="FQ057- Cerrito - Valle del Cauca"/>
    <x v="1"/>
    <s v="septiembre"/>
    <n v="23"/>
    <d v="2026-09-23T00:00:00"/>
    <n v="1110284401"/>
    <s v="ALZATE GUAPACHA DAYANA ANDREA"/>
    <n v="58"/>
    <n v="0"/>
    <n v="3190843"/>
  </r>
  <r>
    <s v="Franquicias Sell Out QUEST"/>
    <s v="FQ057- Cerrito - Valle del Cauca"/>
    <x v="1"/>
    <s v="septiembre"/>
    <n v="24"/>
    <d v="2026-09-24T00:00:00"/>
    <m/>
    <m/>
    <n v="0"/>
    <n v="5427256"/>
    <n v="0"/>
  </r>
  <r>
    <s v="Franquicias Sell Out QUEST"/>
    <s v="FQ057- Cerrito - Valle del Cauca"/>
    <x v="1"/>
    <s v="septiembre"/>
    <n v="24"/>
    <d v="2026-09-24T00:00:00"/>
    <n v="1006361160"/>
    <s v="HENAO TENORIO ISABELLA"/>
    <n v="145"/>
    <n v="0"/>
    <n v="7779625"/>
  </r>
  <r>
    <s v="Franquicias Sell Out QUEST"/>
    <s v="FQ057- Cerrito - Valle del Cauca"/>
    <x v="1"/>
    <s v="septiembre"/>
    <n v="24"/>
    <d v="2026-09-24T00:00:00"/>
    <n v="1110284401"/>
    <s v="ALZATE GUAPACHA DAYANA ANDREA"/>
    <n v="23"/>
    <n v="0"/>
    <n v="1192313"/>
  </r>
  <r>
    <s v="Franquicias Sell Out QUEST"/>
    <s v="FQ057- Cerrito - Valle del Cauca"/>
    <x v="1"/>
    <s v="septiembre"/>
    <n v="25"/>
    <d v="2026-09-25T00:00:00"/>
    <m/>
    <m/>
    <n v="0"/>
    <n v="5796605"/>
    <n v="0"/>
  </r>
  <r>
    <s v="Franquicias Sell Out QUEST"/>
    <s v="FQ057- Cerrito - Valle del Cauca"/>
    <x v="1"/>
    <s v="septiembre"/>
    <n v="25"/>
    <d v="2026-09-25T00:00:00"/>
    <n v="1006361160"/>
    <s v="HENAO TENORIO ISABELLA"/>
    <n v="64"/>
    <n v="0"/>
    <n v="4159077"/>
  </r>
  <r>
    <s v="Franquicias Sell Out QUEST"/>
    <s v="FQ057- Cerrito - Valle del Cauca"/>
    <x v="1"/>
    <s v="septiembre"/>
    <n v="25"/>
    <d v="2026-09-25T00:00:00"/>
    <n v="1110284401"/>
    <s v="ALZATE GUAPACHA DAYANA ANDREA"/>
    <n v="17"/>
    <n v="0"/>
    <n v="976178"/>
  </r>
  <r>
    <s v="Franquicias Sell Out QUEST"/>
    <s v="FQ057- Cerrito - Valle del Cauca"/>
    <x v="1"/>
    <s v="septiembre"/>
    <n v="26"/>
    <d v="2026-09-26T00:00:00"/>
    <m/>
    <m/>
    <n v="0"/>
    <n v="7309375"/>
    <n v="0"/>
  </r>
  <r>
    <s v="Franquicias Sell Out QUEST"/>
    <s v="FQ057- Cerrito - Valle del Cauca"/>
    <x v="1"/>
    <s v="septiembre"/>
    <n v="26"/>
    <d v="2026-09-26T00:00:00"/>
    <n v="1006361160"/>
    <s v="HENAO TENORIO ISABELLA"/>
    <n v="69"/>
    <n v="0"/>
    <n v="3457063"/>
  </r>
  <r>
    <s v="Franquicias Sell Out QUEST"/>
    <s v="FQ057- Cerrito - Valle del Cauca"/>
    <x v="1"/>
    <s v="septiembre"/>
    <n v="26"/>
    <d v="2026-09-26T00:00:00"/>
    <n v="1110284401"/>
    <s v="ALZATE GUAPACHA DAYANA ANDREA"/>
    <n v="51"/>
    <n v="0"/>
    <n v="2760258"/>
  </r>
  <r>
    <s v="Franquicias Sell Out QUEST"/>
    <s v="FQ057- Cerrito - Valle del Cauca"/>
    <x v="1"/>
    <s v="septiembre"/>
    <n v="27"/>
    <d v="2026-09-27T00:00:00"/>
    <m/>
    <m/>
    <n v="0"/>
    <n v="3859281"/>
    <n v="0"/>
  </r>
  <r>
    <s v="Franquicias Sell Out QUEST"/>
    <s v="FQ057- Cerrito - Valle del Cauca"/>
    <x v="1"/>
    <s v="septiembre"/>
    <n v="27"/>
    <d v="2026-09-27T00:00:00"/>
    <n v="1006361160"/>
    <s v="HENAO TENORIO ISABELLA"/>
    <n v="113"/>
    <n v="0"/>
    <n v="5792441"/>
  </r>
  <r>
    <s v="Franquicias Sell Out QUEST"/>
    <s v="FQ057- Cerrito - Valle del Cauca"/>
    <x v="1"/>
    <s v="septiembre"/>
    <n v="28"/>
    <d v="2026-09-28T00:00:00"/>
    <m/>
    <m/>
    <n v="0"/>
    <n v="3164188"/>
    <n v="0"/>
  </r>
  <r>
    <s v="Franquicias Sell Out QUEST"/>
    <s v="FQ057- Cerrito - Valle del Cauca"/>
    <x v="1"/>
    <s v="septiembre"/>
    <n v="28"/>
    <d v="2026-09-28T00:00:00"/>
    <n v="1110284401"/>
    <s v="ALZATE GUAPACHA DAYANA ANDREA"/>
    <n v="56"/>
    <n v="0"/>
    <n v="2959246"/>
  </r>
  <r>
    <s v="Franquicias Sell Out QUEST"/>
    <s v="FQ057- Cerrito - Valle del Cauca"/>
    <x v="1"/>
    <s v="septiembre"/>
    <n v="29"/>
    <d v="2026-09-29T00:00:00"/>
    <m/>
    <m/>
    <n v="0"/>
    <n v="3517646"/>
    <n v="0"/>
  </r>
  <r>
    <s v="Franquicias Sell Out QUEST"/>
    <s v="FQ057- Cerrito - Valle del Cauca"/>
    <x v="1"/>
    <s v="septiembre"/>
    <n v="29"/>
    <d v="2026-09-29T00:00:00"/>
    <n v="1006361160"/>
    <s v="HENAO TENORIO ISABELLA"/>
    <n v="29"/>
    <n v="0"/>
    <n v="1675085"/>
  </r>
  <r>
    <s v="Franquicias Sell Out QUEST"/>
    <s v="FQ057- Cerrito - Valle del Cauca"/>
    <x v="1"/>
    <s v="septiembre"/>
    <n v="29"/>
    <d v="2026-09-29T00:00:00"/>
    <n v="1110284401"/>
    <s v="ALZATE GUAPACHA DAYANA ANDREA"/>
    <n v="32"/>
    <n v="0"/>
    <n v="1716683"/>
  </r>
  <r>
    <s v="Franquicias Sell Out QUEST"/>
    <s v="FQ057- Cerrito - Valle del Cauca"/>
    <x v="1"/>
    <s v="septiembre"/>
    <n v="30"/>
    <d v="2026-09-30T00:00:00"/>
    <m/>
    <m/>
    <n v="0"/>
    <n v="3725297"/>
    <n v="0"/>
  </r>
  <r>
    <s v="Franquicias Sell Out QUEST"/>
    <s v="FQ057- Cerrito - Valle del Cauca"/>
    <x v="1"/>
    <s v="septiembre"/>
    <n v="30"/>
    <d v="2026-09-30T00:00:00"/>
    <n v="1006361160"/>
    <s v="HENAO TENORIO ISABELLA"/>
    <n v="56"/>
    <n v="0"/>
    <n v="2753450"/>
  </r>
  <r>
    <s v="Franquicias Sell Out QUEST"/>
    <s v="FQ057- Cerrito - Valle del Cauca"/>
    <x v="1"/>
    <s v="septiembre"/>
    <n v="30"/>
    <d v="2026-09-30T00:00:00"/>
    <n v="1110284401"/>
    <s v="ALZATE GUAPACHA DAYANA ANDREA"/>
    <n v="26"/>
    <n v="0"/>
    <n v="1561722"/>
  </r>
  <r>
    <s v="Franquicias Sell Out QUEST"/>
    <s v="FQ057- Cerrito - Valle del Cauca"/>
    <x v="1"/>
    <s v="octubre"/>
    <n v="1"/>
    <d v="2026-10-01T00:00:00"/>
    <m/>
    <m/>
    <n v="0"/>
    <n v="4555084"/>
    <n v="0"/>
  </r>
  <r>
    <s v="Franquicias Sell Out QUEST"/>
    <s v="FQ057- Cerrito - Valle del Cauca"/>
    <x v="1"/>
    <s v="octubre"/>
    <n v="1"/>
    <d v="2026-10-01T00:00:00"/>
    <n v="1006361160"/>
    <s v="HENAO TENORIO ISABELLA"/>
    <n v="56"/>
    <n v="0"/>
    <n v="2949209"/>
  </r>
  <r>
    <s v="Franquicias Sell Out QUEST"/>
    <s v="FQ057- Cerrito - Valle del Cauca"/>
    <x v="1"/>
    <s v="octubre"/>
    <n v="1"/>
    <d v="2026-10-01T00:00:00"/>
    <n v="1110284401"/>
    <s v="ALZATE GUAPACHA DAYANA ANDREA"/>
    <n v="38"/>
    <n v="0"/>
    <n v="1920506"/>
  </r>
  <r>
    <s v="Franquicias Sell Out QUEST"/>
    <s v="FQ057- Cerrito - Valle del Cauca"/>
    <x v="1"/>
    <s v="octubre"/>
    <n v="2"/>
    <d v="2026-10-02T00:00:00"/>
    <m/>
    <m/>
    <n v="0"/>
    <n v="6719095"/>
    <n v="0"/>
  </r>
  <r>
    <s v="Franquicias Sell Out QUEST"/>
    <s v="FQ057- Cerrito - Valle del Cauca"/>
    <x v="1"/>
    <s v="octubre"/>
    <n v="2"/>
    <d v="2026-10-02T00:00:00"/>
    <n v="1006361160"/>
    <s v="HENAO TENORIO ISABELLA"/>
    <n v="45"/>
    <n v="0"/>
    <n v="2432695"/>
  </r>
  <r>
    <s v="Franquicias Sell Out QUEST"/>
    <s v="FQ057- Cerrito - Valle del Cauca"/>
    <x v="1"/>
    <s v="octubre"/>
    <n v="2"/>
    <d v="2026-10-02T00:00:00"/>
    <n v="1110284401"/>
    <s v="ALZATE GUAPACHA DAYANA ANDREA"/>
    <n v="11"/>
    <n v="0"/>
    <n v="499497"/>
  </r>
  <r>
    <s v="Franquicias Sell Out QUEST"/>
    <s v="FQ057- Cerrito - Valle del Cauca"/>
    <x v="1"/>
    <s v="octubre"/>
    <n v="3"/>
    <d v="2026-10-03T00:00:00"/>
    <m/>
    <m/>
    <n v="0"/>
    <n v="8462643"/>
    <n v="0"/>
  </r>
  <r>
    <s v="Franquicias Sell Out QUEST"/>
    <s v="FQ057- Cerrito - Valle del Cauca"/>
    <x v="1"/>
    <s v="octubre"/>
    <n v="3"/>
    <d v="2026-10-03T00:00:00"/>
    <n v="1006361160"/>
    <s v="HENAO TENORIO ISABELLA"/>
    <n v="71"/>
    <n v="0"/>
    <n v="3431361"/>
  </r>
  <r>
    <s v="Franquicias Sell Out QUEST"/>
    <s v="FQ057- Cerrito - Valle del Cauca"/>
    <x v="1"/>
    <s v="octubre"/>
    <n v="3"/>
    <d v="2026-10-03T00:00:00"/>
    <n v="1110284401"/>
    <s v="ALZATE GUAPACHA DAYANA ANDREA"/>
    <n v="53"/>
    <n v="0"/>
    <n v="2676743"/>
  </r>
  <r>
    <s v="Franquicias Sell Out QUEST"/>
    <s v="FQ057- Cerrito - Valle del Cauca"/>
    <x v="1"/>
    <s v="octubre"/>
    <n v="4"/>
    <d v="2026-10-04T00:00:00"/>
    <m/>
    <m/>
    <n v="0"/>
    <n v="4910898"/>
    <n v="0"/>
  </r>
  <r>
    <s v="Franquicias Sell Out QUEST"/>
    <s v="FQ057- Cerrito - Valle del Cauca"/>
    <x v="1"/>
    <s v="octubre"/>
    <n v="4"/>
    <d v="2026-10-04T00:00:00"/>
    <n v="1110284401"/>
    <s v="ALZATE GUAPACHA DAYANA ANDREA"/>
    <n v="89"/>
    <n v="0"/>
    <n v="4981178"/>
  </r>
  <r>
    <s v="Franquicias Sell Out QUEST"/>
    <s v="FQ057- Cerrito - Valle del Cauca"/>
    <x v="1"/>
    <s v="octubre"/>
    <n v="5"/>
    <d v="2026-10-05T00:00:00"/>
    <m/>
    <m/>
    <n v="0"/>
    <n v="5677480"/>
    <n v="0"/>
  </r>
  <r>
    <s v="Franquicias Sell Out QUEST"/>
    <s v="FQ057- Cerrito - Valle del Cauca"/>
    <x v="1"/>
    <s v="octubre"/>
    <n v="5"/>
    <d v="2026-10-05T00:00:00"/>
    <n v="1006361160"/>
    <s v="HENAO TENORIO ISABELLA"/>
    <n v="90"/>
    <n v="0"/>
    <n v="5056603"/>
  </r>
  <r>
    <s v="Franquicias Sell Out QUEST"/>
    <s v="FQ057- Cerrito - Valle del Cauca"/>
    <x v="1"/>
    <s v="octubre"/>
    <n v="5"/>
    <d v="2026-10-05T00:00:00"/>
    <n v="1110284401"/>
    <s v="ALZATE GUAPACHA DAYANA ANDREA"/>
    <n v="-1"/>
    <n v="0"/>
    <n v="-33529"/>
  </r>
  <r>
    <s v="Franquicias Sell Out QUEST"/>
    <s v="FQ057- Cerrito - Valle del Cauca"/>
    <x v="1"/>
    <s v="octubre"/>
    <n v="6"/>
    <d v="2026-10-06T00:00:00"/>
    <m/>
    <m/>
    <n v="0"/>
    <n v="3888816"/>
    <n v="0"/>
  </r>
  <r>
    <s v="Franquicias Sell Out QUEST"/>
    <s v="FQ057- Cerrito - Valle del Cauca"/>
    <x v="1"/>
    <s v="octubre"/>
    <n v="6"/>
    <d v="2026-10-06T00:00:00"/>
    <n v="1006361160"/>
    <s v="HENAO TENORIO ISABELLA"/>
    <n v="29"/>
    <n v="0"/>
    <n v="1199958"/>
  </r>
  <r>
    <s v="Franquicias Sell Out QUEST"/>
    <s v="FQ057- Cerrito - Valle del Cauca"/>
    <x v="1"/>
    <s v="octubre"/>
    <n v="6"/>
    <d v="2026-10-06T00:00:00"/>
    <n v="1110284401"/>
    <s v="ALZATE GUAPACHA DAYANA ANDREA"/>
    <n v="7"/>
    <n v="0"/>
    <n v="327437"/>
  </r>
  <r>
    <s v="Franquicias Sell Out QUEST"/>
    <s v="FQ057- Cerrito - Valle del Cauca"/>
    <x v="1"/>
    <s v="octubre"/>
    <n v="7"/>
    <d v="2026-10-07T00:00:00"/>
    <m/>
    <m/>
    <n v="0"/>
    <n v="1190749"/>
    <n v="0"/>
  </r>
  <r>
    <s v="Franquicias Sell Out QUEST"/>
    <s v="FQ057- Cerrito - Valle del Cauca"/>
    <x v="1"/>
    <s v="octubre"/>
    <n v="7"/>
    <d v="2026-10-07T00:00:00"/>
    <n v="1006361160"/>
    <s v="HENAO TENORIO ISABELLA"/>
    <n v="39"/>
    <n v="0"/>
    <n v="1991978"/>
  </r>
  <r>
    <s v="Franquicias Sell Out QUEST"/>
    <s v="FQ057- Cerrito - Valle del Cauca"/>
    <x v="1"/>
    <s v="octubre"/>
    <n v="7"/>
    <d v="2026-10-07T00:00:00"/>
    <n v="1110284401"/>
    <s v="ALZATE GUAPACHA DAYANA ANDREA"/>
    <n v="47"/>
    <n v="0"/>
    <n v="2609202"/>
  </r>
  <r>
    <s v="Franquicias Sell Out QUEST"/>
    <s v="FQ061 Caicedonia-Valle del Cauca"/>
    <x v="1"/>
    <s v="septiembre"/>
    <n v="23"/>
    <d v="2026-09-23T00:00:00"/>
    <m/>
    <m/>
    <n v="0"/>
    <n v="2001476"/>
    <n v="0"/>
  </r>
  <r>
    <s v="Franquicias Sell Out QUEST"/>
    <s v="FQ061 Caicedonia-Valle del Cauca"/>
    <x v="1"/>
    <s v="septiembre"/>
    <n v="23"/>
    <d v="2026-09-23T00:00:00"/>
    <n v="1113307838"/>
    <s v="GARCIA LEON YURI SHIRLEY"/>
    <n v="38"/>
    <n v="0"/>
    <n v="2254727"/>
  </r>
  <r>
    <s v="Franquicias Sell Out QUEST"/>
    <s v="FQ061 Caicedonia-Valle del Cauca"/>
    <x v="1"/>
    <s v="septiembre"/>
    <n v="23"/>
    <d v="2026-09-23T00:00:00"/>
    <n v="1115190830"/>
    <s v="RIOS QUINTERO LIDA MARCELA"/>
    <n v="29"/>
    <n v="0"/>
    <n v="1765589"/>
  </r>
  <r>
    <s v="Franquicias Sell Out QUEST"/>
    <s v="FQ061 Caicedonia-Valle del Cauca"/>
    <x v="1"/>
    <s v="septiembre"/>
    <n v="23"/>
    <d v="2026-09-23T00:00:00"/>
    <s v="Generico"/>
    <s v="GENÉRICO"/>
    <n v="25"/>
    <n v="0"/>
    <n v="1242648"/>
  </r>
  <r>
    <s v="Franquicias Sell Out QUEST"/>
    <s v="FQ061 Caicedonia-Valle del Cauca"/>
    <x v="1"/>
    <s v="septiembre"/>
    <n v="24"/>
    <d v="2026-09-24T00:00:00"/>
    <m/>
    <m/>
    <n v="0"/>
    <n v="5176204"/>
    <n v="0"/>
  </r>
  <r>
    <s v="Franquicias Sell Out QUEST"/>
    <s v="FQ061 Caicedonia-Valle del Cauca"/>
    <x v="1"/>
    <s v="septiembre"/>
    <n v="24"/>
    <d v="2026-09-24T00:00:00"/>
    <n v="1113307838"/>
    <s v="GARCIA LEON YURI SHIRLEY"/>
    <n v="39"/>
    <n v="0"/>
    <n v="2164330"/>
  </r>
  <r>
    <s v="Franquicias Sell Out QUEST"/>
    <s v="FQ061 Caicedonia-Valle del Cauca"/>
    <x v="1"/>
    <s v="septiembre"/>
    <n v="24"/>
    <d v="2026-09-24T00:00:00"/>
    <n v="1115190830"/>
    <s v="RIOS QUINTERO LIDA MARCELA"/>
    <n v="35"/>
    <n v="0"/>
    <n v="1708616"/>
  </r>
  <r>
    <s v="Franquicias Sell Out QUEST"/>
    <s v="FQ061 Caicedonia-Valle del Cauca"/>
    <x v="1"/>
    <s v="septiembre"/>
    <n v="24"/>
    <d v="2026-09-24T00:00:00"/>
    <s v="Generico"/>
    <s v="GENÉRICO"/>
    <n v="25"/>
    <n v="0"/>
    <n v="1473740"/>
  </r>
  <r>
    <s v="Franquicias Sell Out QUEST"/>
    <s v="FQ061 Caicedonia-Valle del Cauca"/>
    <x v="1"/>
    <s v="septiembre"/>
    <n v="25"/>
    <d v="2026-09-25T00:00:00"/>
    <m/>
    <m/>
    <n v="0"/>
    <n v="5528469"/>
    <n v="0"/>
  </r>
  <r>
    <s v="Franquicias Sell Out QUEST"/>
    <s v="FQ061 Caicedonia-Valle del Cauca"/>
    <x v="1"/>
    <s v="septiembre"/>
    <n v="25"/>
    <d v="2026-09-25T00:00:00"/>
    <n v="1113307838"/>
    <s v="GARCIA LEON YURI SHIRLEY"/>
    <n v="29"/>
    <n v="0"/>
    <n v="1301304"/>
  </r>
  <r>
    <s v="Franquicias Sell Out QUEST"/>
    <s v="FQ061 Caicedonia-Valle del Cauca"/>
    <x v="1"/>
    <s v="septiembre"/>
    <n v="25"/>
    <d v="2026-09-25T00:00:00"/>
    <n v="1115190830"/>
    <s v="RIOS QUINTERO LIDA MARCELA"/>
    <n v="20"/>
    <n v="0"/>
    <n v="1282816"/>
  </r>
  <r>
    <s v="Franquicias Sell Out QUEST"/>
    <s v="FQ061 Caicedonia-Valle del Cauca"/>
    <x v="1"/>
    <s v="septiembre"/>
    <n v="25"/>
    <d v="2026-09-25T00:00:00"/>
    <s v="Generico"/>
    <s v="GENÉRICO"/>
    <n v="16"/>
    <n v="0"/>
    <n v="856472"/>
  </r>
  <r>
    <s v="Franquicias Sell Out QUEST"/>
    <s v="FQ061 Caicedonia-Valle del Cauca"/>
    <x v="1"/>
    <s v="septiembre"/>
    <n v="26"/>
    <d v="2026-09-26T00:00:00"/>
    <m/>
    <m/>
    <n v="0"/>
    <n v="6971261"/>
    <n v="0"/>
  </r>
  <r>
    <s v="Franquicias Sell Out QUEST"/>
    <s v="FQ061 Caicedonia-Valle del Cauca"/>
    <x v="1"/>
    <s v="septiembre"/>
    <n v="26"/>
    <d v="2026-09-26T00:00:00"/>
    <n v="1113307838"/>
    <s v="GARCIA LEON YURI SHIRLEY"/>
    <n v="56"/>
    <n v="0"/>
    <n v="2816745"/>
  </r>
  <r>
    <s v="Franquicias Sell Out QUEST"/>
    <s v="FQ061 Caicedonia-Valle del Cauca"/>
    <x v="1"/>
    <s v="septiembre"/>
    <n v="26"/>
    <d v="2026-09-26T00:00:00"/>
    <n v="1115190830"/>
    <s v="RIOS QUINTERO LIDA MARCELA"/>
    <n v="43"/>
    <n v="0"/>
    <n v="2418005"/>
  </r>
  <r>
    <s v="Franquicias Sell Out QUEST"/>
    <s v="FQ061 Caicedonia-Valle del Cauca"/>
    <x v="1"/>
    <s v="septiembre"/>
    <n v="26"/>
    <d v="2026-09-26T00:00:00"/>
    <s v="Generico"/>
    <s v="GENÉRICO"/>
    <n v="38"/>
    <n v="0"/>
    <n v="1687228"/>
  </r>
  <r>
    <s v="Franquicias Sell Out QUEST"/>
    <s v="FQ061 Caicedonia-Valle del Cauca"/>
    <x v="1"/>
    <s v="septiembre"/>
    <n v="27"/>
    <d v="2026-09-27T00:00:00"/>
    <m/>
    <m/>
    <n v="0"/>
    <n v="3680762"/>
    <n v="0"/>
  </r>
  <r>
    <s v="Franquicias Sell Out QUEST"/>
    <s v="FQ061 Caicedonia-Valle del Cauca"/>
    <x v="1"/>
    <s v="septiembre"/>
    <n v="27"/>
    <d v="2026-09-27T00:00:00"/>
    <n v="1113307838"/>
    <s v="GARCIA LEON YURI SHIRLEY"/>
    <n v="0"/>
    <n v="0"/>
    <n v="0"/>
  </r>
  <r>
    <s v="Franquicias Sell Out QUEST"/>
    <s v="FQ061 Caicedonia-Valle del Cauca"/>
    <x v="1"/>
    <s v="septiembre"/>
    <n v="27"/>
    <d v="2026-09-27T00:00:00"/>
    <n v="1115190830"/>
    <s v="RIOS QUINTERO LIDA MARCELA"/>
    <n v="34"/>
    <n v="0"/>
    <n v="1800968"/>
  </r>
  <r>
    <s v="Franquicias Sell Out QUEST"/>
    <s v="FQ061 Caicedonia-Valle del Cauca"/>
    <x v="1"/>
    <s v="septiembre"/>
    <n v="27"/>
    <d v="2026-09-27T00:00:00"/>
    <s v="Generico"/>
    <s v="GENÉRICO"/>
    <n v="23"/>
    <n v="0"/>
    <n v="1045211"/>
  </r>
  <r>
    <s v="Franquicias Sell Out QUEST"/>
    <s v="FQ061 Caicedonia-Valle del Cauca"/>
    <x v="1"/>
    <s v="septiembre"/>
    <n v="28"/>
    <d v="2026-09-28T00:00:00"/>
    <m/>
    <m/>
    <n v="0"/>
    <n v="3017822"/>
    <n v="0"/>
  </r>
  <r>
    <s v="Franquicias Sell Out QUEST"/>
    <s v="FQ061 Caicedonia-Valle del Cauca"/>
    <x v="1"/>
    <s v="septiembre"/>
    <n v="28"/>
    <d v="2026-09-28T00:00:00"/>
    <n v="1113307838"/>
    <s v="GARCIA LEON YURI SHIRLEY"/>
    <n v="33"/>
    <n v="0"/>
    <n v="1813342"/>
  </r>
  <r>
    <s v="Franquicias Sell Out QUEST"/>
    <s v="FQ061 Caicedonia-Valle del Cauca"/>
    <x v="1"/>
    <s v="septiembre"/>
    <n v="28"/>
    <d v="2026-09-28T00:00:00"/>
    <n v="1115190830"/>
    <s v="RIOS QUINTERO LIDA MARCELA"/>
    <n v="-2"/>
    <n v="0"/>
    <n v="-58698"/>
  </r>
  <r>
    <s v="Franquicias Sell Out QUEST"/>
    <s v="FQ061 Caicedonia-Valle del Cauca"/>
    <x v="1"/>
    <s v="septiembre"/>
    <n v="28"/>
    <d v="2026-09-28T00:00:00"/>
    <s v="Generico"/>
    <s v="GENÉRICO"/>
    <n v="21"/>
    <n v="0"/>
    <n v="965505"/>
  </r>
  <r>
    <s v="Franquicias Sell Out QUEST"/>
    <s v="FQ061 Caicedonia-Valle del Cauca"/>
    <x v="1"/>
    <s v="septiembre"/>
    <n v="29"/>
    <d v="2026-09-29T00:00:00"/>
    <m/>
    <m/>
    <n v="0"/>
    <n v="3354926"/>
    <n v="0"/>
  </r>
  <r>
    <s v="Franquicias Sell Out QUEST"/>
    <s v="FQ061 Caicedonia-Valle del Cauca"/>
    <x v="1"/>
    <s v="septiembre"/>
    <n v="29"/>
    <d v="2026-09-29T00:00:00"/>
    <n v="1113307838"/>
    <s v="GARCIA LEON YURI SHIRLEY"/>
    <n v="34"/>
    <n v="0"/>
    <n v="1771303"/>
  </r>
  <r>
    <s v="Franquicias Sell Out QUEST"/>
    <s v="FQ061 Caicedonia-Valle del Cauca"/>
    <x v="1"/>
    <s v="septiembre"/>
    <n v="29"/>
    <d v="2026-09-29T00:00:00"/>
    <n v="1115190830"/>
    <s v="RIOS QUINTERO LIDA MARCELA"/>
    <n v="29"/>
    <n v="0"/>
    <n v="1553195"/>
  </r>
  <r>
    <s v="Franquicias Sell Out QUEST"/>
    <s v="FQ061 Caicedonia-Valle del Cauca"/>
    <x v="1"/>
    <s v="septiembre"/>
    <n v="30"/>
    <d v="2026-09-30T00:00:00"/>
    <m/>
    <m/>
    <n v="0"/>
    <n v="3552972"/>
    <n v="0"/>
  </r>
  <r>
    <s v="Franquicias Sell Out QUEST"/>
    <s v="FQ061 Caicedonia-Valle del Cauca"/>
    <x v="1"/>
    <s v="septiembre"/>
    <n v="30"/>
    <d v="2026-09-30T00:00:00"/>
    <n v="1113307838"/>
    <s v="GARCIA LEON YURI SHIRLEY"/>
    <n v="1"/>
    <n v="0"/>
    <n v="50379"/>
  </r>
  <r>
    <s v="Franquicias Sell Out QUEST"/>
    <s v="FQ061 Caicedonia-Valle del Cauca"/>
    <x v="1"/>
    <s v="septiembre"/>
    <n v="30"/>
    <d v="2026-09-30T00:00:00"/>
    <n v="1115190830"/>
    <s v="RIOS QUINTERO LIDA MARCELA"/>
    <n v="52"/>
    <n v="0"/>
    <n v="2499456"/>
  </r>
  <r>
    <s v="Franquicias Sell Out QUEST"/>
    <s v="FQ061 Caicedonia-Valle del Cauca"/>
    <x v="1"/>
    <s v="septiembre"/>
    <n v="30"/>
    <d v="2026-09-30T00:00:00"/>
    <s v="Generico"/>
    <s v="GENÉRICO"/>
    <n v="28"/>
    <n v="0"/>
    <n v="1334836"/>
  </r>
  <r>
    <s v="Franquicias Sell Out QUEST"/>
    <s v="FQ061 Caicedonia-Valle del Cauca"/>
    <x v="1"/>
    <s v="octubre"/>
    <n v="1"/>
    <d v="2026-10-01T00:00:00"/>
    <m/>
    <m/>
    <n v="0"/>
    <n v="4439674"/>
    <n v="0"/>
  </r>
  <r>
    <s v="Franquicias Sell Out QUEST"/>
    <s v="FQ061 Caicedonia-Valle del Cauca"/>
    <x v="1"/>
    <s v="octubre"/>
    <n v="1"/>
    <d v="2026-10-01T00:00:00"/>
    <n v="1113307838"/>
    <s v="GARCIA LEON YURI SHIRLEY"/>
    <n v="39"/>
    <n v="0"/>
    <n v="2042399"/>
  </r>
  <r>
    <s v="Franquicias Sell Out QUEST"/>
    <s v="FQ061 Caicedonia-Valle del Cauca"/>
    <x v="1"/>
    <s v="octubre"/>
    <n v="1"/>
    <d v="2026-10-01T00:00:00"/>
    <n v="1115190830"/>
    <s v="RIOS QUINTERO LIDA MARCELA"/>
    <n v="27"/>
    <n v="0"/>
    <n v="1702648"/>
  </r>
  <r>
    <s v="Franquicias Sell Out QUEST"/>
    <s v="FQ061 Caicedonia-Valle del Cauca"/>
    <x v="1"/>
    <s v="octubre"/>
    <n v="1"/>
    <d v="2026-10-01T00:00:00"/>
    <s v="Generico"/>
    <s v="GENÉRICO"/>
    <n v="0"/>
    <n v="0"/>
    <n v="0"/>
  </r>
  <r>
    <s v="Franquicias Sell Out QUEST"/>
    <s v="FQ061 Caicedonia-Valle del Cauca"/>
    <x v="1"/>
    <s v="octubre"/>
    <n v="2"/>
    <d v="2026-10-02T00:00:00"/>
    <m/>
    <m/>
    <n v="0"/>
    <n v="4018049"/>
    <n v="0"/>
  </r>
  <r>
    <s v="Franquicias Sell Out QUEST"/>
    <s v="FQ061 Caicedonia-Valle del Cauca"/>
    <x v="1"/>
    <s v="octubre"/>
    <n v="2"/>
    <d v="2026-10-02T00:00:00"/>
    <n v="1113307838"/>
    <s v="GARCIA LEON YURI SHIRLEY"/>
    <n v="34"/>
    <n v="0"/>
    <n v="1851430"/>
  </r>
  <r>
    <s v="Franquicias Sell Out QUEST"/>
    <s v="FQ061 Caicedonia-Valle del Cauca"/>
    <x v="1"/>
    <s v="octubre"/>
    <n v="2"/>
    <d v="2026-10-02T00:00:00"/>
    <n v="1115190830"/>
    <s v="RIOS QUINTERO LIDA MARCELA"/>
    <n v="31"/>
    <n v="0"/>
    <n v="1509035"/>
  </r>
  <r>
    <s v="Franquicias Sell Out QUEST"/>
    <s v="FQ061 Caicedonia-Valle del Cauca"/>
    <x v="1"/>
    <s v="octubre"/>
    <n v="2"/>
    <d v="2026-10-02T00:00:00"/>
    <s v="Generico"/>
    <s v="GENÉRICO"/>
    <n v="5"/>
    <n v="0"/>
    <n v="243446"/>
  </r>
  <r>
    <s v="Franquicias Sell Out QUEST"/>
    <s v="FQ061 Caicedonia-Valle del Cauca"/>
    <x v="1"/>
    <s v="octubre"/>
    <n v="3"/>
    <d v="2026-10-03T00:00:00"/>
    <m/>
    <m/>
    <n v="0"/>
    <n v="10165768"/>
    <n v="0"/>
  </r>
  <r>
    <s v="Franquicias Sell Out QUEST"/>
    <s v="FQ061 Caicedonia-Valle del Cauca"/>
    <x v="1"/>
    <s v="octubre"/>
    <n v="3"/>
    <d v="2026-10-03T00:00:00"/>
    <n v="1113307838"/>
    <s v="GARCIA LEON YURI SHIRLEY"/>
    <n v="40"/>
    <n v="0"/>
    <n v="2039710"/>
  </r>
  <r>
    <s v="Franquicias Sell Out QUEST"/>
    <s v="FQ061 Caicedonia-Valle del Cauca"/>
    <x v="1"/>
    <s v="octubre"/>
    <n v="3"/>
    <d v="2026-10-03T00:00:00"/>
    <n v="1115190830"/>
    <s v="RIOS QUINTERO LIDA MARCELA"/>
    <n v="38"/>
    <n v="0"/>
    <n v="1837430"/>
  </r>
  <r>
    <s v="Franquicias Sell Out QUEST"/>
    <s v="FQ061 Caicedonia-Valle del Cauca"/>
    <x v="1"/>
    <s v="octubre"/>
    <n v="3"/>
    <d v="2026-10-03T00:00:00"/>
    <s v="Generico"/>
    <s v="GENÉRICO"/>
    <n v="23"/>
    <n v="0"/>
    <n v="1229265"/>
  </r>
  <r>
    <s v="Franquicias Sell Out QUEST"/>
    <s v="FQ061 Caicedonia-Valle del Cauca"/>
    <x v="1"/>
    <s v="octubre"/>
    <n v="4"/>
    <d v="2026-10-04T00:00:00"/>
    <m/>
    <m/>
    <n v="0"/>
    <n v="3755196"/>
    <n v="0"/>
  </r>
  <r>
    <s v="Franquicias Sell Out QUEST"/>
    <s v="FQ061 Caicedonia-Valle del Cauca"/>
    <x v="1"/>
    <s v="octubre"/>
    <n v="4"/>
    <d v="2026-10-04T00:00:00"/>
    <n v="1113307838"/>
    <s v="GARCIA LEON YURI SHIRLEY"/>
    <n v="20"/>
    <n v="0"/>
    <n v="1188154"/>
  </r>
  <r>
    <s v="Franquicias Sell Out QUEST"/>
    <s v="FQ061 Caicedonia-Valle del Cauca"/>
    <x v="1"/>
    <s v="octubre"/>
    <n v="4"/>
    <d v="2026-10-04T00:00:00"/>
    <s v="Generico"/>
    <s v="GENÉRICO"/>
    <n v="13"/>
    <n v="0"/>
    <n v="661178"/>
  </r>
  <r>
    <s v="Franquicias Sell Out QUEST"/>
    <s v="FQ061 Caicedonia-Valle del Cauca"/>
    <x v="1"/>
    <s v="octubre"/>
    <n v="5"/>
    <d v="2026-10-05T00:00:00"/>
    <m/>
    <m/>
    <n v="0"/>
    <n v="3755449"/>
    <n v="0"/>
  </r>
  <r>
    <s v="Franquicias Sell Out QUEST"/>
    <s v="FQ061 Caicedonia-Valle del Cauca"/>
    <x v="1"/>
    <s v="octubre"/>
    <n v="5"/>
    <d v="2026-10-05T00:00:00"/>
    <n v="1113307838"/>
    <s v="GARCIA LEON YURI SHIRLEY"/>
    <n v="29"/>
    <n v="0"/>
    <n v="1397943"/>
  </r>
  <r>
    <s v="Franquicias Sell Out QUEST"/>
    <s v="FQ061 Caicedonia-Valle del Cauca"/>
    <x v="1"/>
    <s v="octubre"/>
    <n v="5"/>
    <d v="2026-10-05T00:00:00"/>
    <n v="1115190830"/>
    <s v="RIOS QUINTERO LIDA MARCELA"/>
    <n v="21"/>
    <n v="0"/>
    <n v="1106134"/>
  </r>
  <r>
    <s v="Franquicias Sell Out QUEST"/>
    <s v="FQ061 Caicedonia-Valle del Cauca"/>
    <x v="1"/>
    <s v="octubre"/>
    <n v="5"/>
    <d v="2026-10-05T00:00:00"/>
    <s v="Generico"/>
    <s v="GENÉRICO"/>
    <n v="0"/>
    <n v="0"/>
    <n v="-33656"/>
  </r>
  <r>
    <s v="Franquicias Sell Out QUEST"/>
    <s v="FQ061 Caicedonia-Valle del Cauca"/>
    <x v="1"/>
    <s v="octubre"/>
    <n v="6"/>
    <d v="2026-10-06T00:00:00"/>
    <m/>
    <m/>
    <n v="0"/>
    <n v="2199273"/>
    <n v="0"/>
  </r>
  <r>
    <s v="Franquicias Sell Out QUEST"/>
    <s v="FQ061 Caicedonia-Valle del Cauca"/>
    <x v="1"/>
    <s v="octubre"/>
    <n v="6"/>
    <d v="2026-10-06T00:00:00"/>
    <n v="1113307838"/>
    <s v="GARCIA LEON YURI SHIRLEY"/>
    <n v="29"/>
    <n v="0"/>
    <n v="1498490"/>
  </r>
  <r>
    <s v="Franquicias Sell Out QUEST"/>
    <s v="FQ061 Caicedonia-Valle del Cauca"/>
    <x v="1"/>
    <s v="octubre"/>
    <n v="6"/>
    <d v="2026-10-06T00:00:00"/>
    <n v="1115190830"/>
    <s v="RIOS QUINTERO LIDA MARCELA"/>
    <n v="21"/>
    <n v="0"/>
    <n v="1021255"/>
  </r>
  <r>
    <s v="Franquicias Sell Out QUEST"/>
    <s v="FQ061 Caicedonia-Valle del Cauca"/>
    <x v="1"/>
    <s v="octubre"/>
    <n v="6"/>
    <d v="2026-10-06T00:00:00"/>
    <s v="Generico"/>
    <s v="GENÉRICO"/>
    <n v="-1"/>
    <n v="0"/>
    <n v="-41975"/>
  </r>
  <r>
    <s v="Franquicias Sell Out QUEST"/>
    <s v="FQ061 Caicedonia-Valle del Cauca"/>
    <x v="1"/>
    <s v="octubre"/>
    <n v="7"/>
    <d v="2026-10-07T00:00:00"/>
    <m/>
    <m/>
    <n v="0"/>
    <n v="435624"/>
    <n v="0"/>
  </r>
  <r>
    <s v="Franquicias Sell Out QUEST"/>
    <s v="FQ061 Caicedonia-Valle del Cauca"/>
    <x v="1"/>
    <s v="octubre"/>
    <n v="7"/>
    <d v="2026-10-07T00:00:00"/>
    <n v="1113307838"/>
    <s v="GARCIA LEON YURI SHIRLEY"/>
    <n v="68"/>
    <n v="0"/>
    <n v="3555635"/>
  </r>
  <r>
    <s v="Franquicias Sell Out QUEST"/>
    <s v="FQ061 Caicedonia-Valle del Cauca"/>
    <x v="1"/>
    <s v="octubre"/>
    <n v="7"/>
    <d v="2026-10-07T00:00:00"/>
    <n v="1115190830"/>
    <s v="RIOS QUINTERO LIDA MARCELA"/>
    <n v="-1"/>
    <n v="0"/>
    <n v="-50336"/>
  </r>
  <r>
    <s v="Franquicias Sell Out QUEST"/>
    <s v="FQ062-Zarzal-Valle del Cauca"/>
    <x v="1"/>
    <s v="septiembre"/>
    <n v="23"/>
    <d v="2026-09-23T00:00:00"/>
    <m/>
    <m/>
    <n v="0"/>
    <n v="3077269"/>
    <n v="0"/>
  </r>
  <r>
    <s v="Franquicias Sell Out QUEST"/>
    <s v="FQ062-Zarzal-Valle del Cauca"/>
    <x v="1"/>
    <s v="septiembre"/>
    <n v="23"/>
    <d v="2026-09-23T00:00:00"/>
    <n v="1116445233"/>
    <s v="GARCIA  LIZETH"/>
    <n v="97"/>
    <n v="0"/>
    <n v="5332145"/>
  </r>
  <r>
    <s v="Franquicias Sell Out QUEST"/>
    <s v="FQ062-Zarzal-Valle del Cauca"/>
    <x v="1"/>
    <s v="septiembre"/>
    <n v="23"/>
    <d v="2026-09-23T00:00:00"/>
    <n v="1116449394"/>
    <s v="MURILLO  DANIELA"/>
    <n v="107"/>
    <n v="0"/>
    <n v="6024925"/>
  </r>
  <r>
    <s v="Franquicias Sell Out QUEST"/>
    <s v="FQ062-Zarzal-Valle del Cauca"/>
    <x v="1"/>
    <s v="septiembre"/>
    <n v="24"/>
    <d v="2026-09-24T00:00:00"/>
    <m/>
    <m/>
    <n v="0"/>
    <n v="7958406"/>
    <n v="0"/>
  </r>
  <r>
    <s v="Franquicias Sell Out QUEST"/>
    <s v="FQ062-Zarzal-Valle del Cauca"/>
    <x v="1"/>
    <s v="septiembre"/>
    <n v="24"/>
    <d v="2026-09-24T00:00:00"/>
    <n v="1116445233"/>
    <s v="GARCIA  LIZETH"/>
    <n v="95"/>
    <n v="0"/>
    <n v="5201897"/>
  </r>
  <r>
    <s v="Franquicias Sell Out QUEST"/>
    <s v="FQ062-Zarzal-Valle del Cauca"/>
    <x v="1"/>
    <s v="septiembre"/>
    <n v="24"/>
    <d v="2026-09-24T00:00:00"/>
    <n v="1116449394"/>
    <s v="MURILLO  DANIELA"/>
    <n v="74"/>
    <n v="0"/>
    <n v="4244749"/>
  </r>
  <r>
    <s v="Franquicias Sell Out QUEST"/>
    <s v="FQ062-Zarzal-Valle del Cauca"/>
    <x v="1"/>
    <s v="septiembre"/>
    <n v="25"/>
    <d v="2026-09-25T00:00:00"/>
    <m/>
    <m/>
    <n v="0"/>
    <n v="8500013"/>
    <n v="0"/>
  </r>
  <r>
    <s v="Franquicias Sell Out QUEST"/>
    <s v="FQ062-Zarzal-Valle del Cauca"/>
    <x v="1"/>
    <s v="septiembre"/>
    <n v="25"/>
    <d v="2026-09-25T00:00:00"/>
    <n v="1116445233"/>
    <s v="GARCIA  LIZETH"/>
    <n v="18"/>
    <n v="0"/>
    <n v="1076975"/>
  </r>
  <r>
    <s v="Franquicias Sell Out QUEST"/>
    <s v="FQ062-Zarzal-Valle del Cauca"/>
    <x v="1"/>
    <s v="septiembre"/>
    <n v="25"/>
    <d v="2026-09-25T00:00:00"/>
    <n v="1116449394"/>
    <s v="MURILLO  DANIELA"/>
    <n v="60"/>
    <n v="0"/>
    <n v="3121433"/>
  </r>
  <r>
    <s v="Franquicias Sell Out QUEST"/>
    <s v="FQ062-Zarzal-Valle del Cauca"/>
    <x v="1"/>
    <s v="septiembre"/>
    <n v="26"/>
    <d v="2026-09-26T00:00:00"/>
    <m/>
    <m/>
    <n v="0"/>
    <n v="10718299"/>
    <n v="0"/>
  </r>
  <r>
    <s v="Franquicias Sell Out QUEST"/>
    <s v="FQ062-Zarzal-Valle del Cauca"/>
    <x v="1"/>
    <s v="septiembre"/>
    <n v="26"/>
    <d v="2026-09-26T00:00:00"/>
    <n v="1116445233"/>
    <s v="GARCIA  LIZETH"/>
    <n v="60"/>
    <n v="0"/>
    <n v="2474543"/>
  </r>
  <r>
    <s v="Franquicias Sell Out QUEST"/>
    <s v="FQ062-Zarzal-Valle del Cauca"/>
    <x v="1"/>
    <s v="septiembre"/>
    <n v="26"/>
    <d v="2026-09-26T00:00:00"/>
    <n v="1116449394"/>
    <s v="MURILLO  DANIELA"/>
    <n v="98"/>
    <n v="0"/>
    <n v="5711769"/>
  </r>
  <r>
    <s v="Franquicias Sell Out QUEST"/>
    <s v="FQ062-Zarzal-Valle del Cauca"/>
    <x v="1"/>
    <s v="septiembre"/>
    <n v="27"/>
    <d v="2026-09-27T00:00:00"/>
    <m/>
    <m/>
    <n v="0"/>
    <n v="5659158"/>
    <n v="0"/>
  </r>
  <r>
    <s v="Franquicias Sell Out QUEST"/>
    <s v="FQ062-Zarzal-Valle del Cauca"/>
    <x v="1"/>
    <s v="septiembre"/>
    <n v="27"/>
    <d v="2026-09-27T00:00:00"/>
    <n v="1116449394"/>
    <s v="MURILLO  DANIELA"/>
    <n v="98"/>
    <n v="0"/>
    <n v="5272609"/>
  </r>
  <r>
    <s v="Franquicias Sell Out QUEST"/>
    <s v="FQ062-Zarzal-Valle del Cauca"/>
    <x v="1"/>
    <s v="septiembre"/>
    <n v="28"/>
    <d v="2026-09-28T00:00:00"/>
    <m/>
    <m/>
    <n v="0"/>
    <n v="4639894"/>
    <n v="0"/>
  </r>
  <r>
    <s v="Franquicias Sell Out QUEST"/>
    <s v="FQ062-Zarzal-Valle del Cauca"/>
    <x v="1"/>
    <s v="septiembre"/>
    <n v="28"/>
    <d v="2026-09-28T00:00:00"/>
    <n v="1116449394"/>
    <s v="MURILLO  DANIELA"/>
    <n v="38"/>
    <n v="0"/>
    <n v="2065546"/>
  </r>
  <r>
    <s v="Franquicias Sell Out QUEST"/>
    <s v="FQ062-Zarzal-Valle del Cauca"/>
    <x v="1"/>
    <s v="septiembre"/>
    <n v="29"/>
    <d v="2026-09-29T00:00:00"/>
    <m/>
    <m/>
    <n v="0"/>
    <n v="5158191"/>
    <n v="0"/>
  </r>
  <r>
    <s v="Franquicias Sell Out QUEST"/>
    <s v="FQ062-Zarzal-Valle del Cauca"/>
    <x v="1"/>
    <s v="septiembre"/>
    <n v="29"/>
    <d v="2026-09-29T00:00:00"/>
    <n v="1116445233"/>
    <s v="GARCIA  LIZETH"/>
    <n v="61"/>
    <n v="0"/>
    <n v="2705005"/>
  </r>
  <r>
    <s v="Franquicias Sell Out QUEST"/>
    <s v="FQ062-Zarzal-Valle del Cauca"/>
    <x v="1"/>
    <s v="septiembre"/>
    <n v="30"/>
    <d v="2026-09-30T00:00:00"/>
    <m/>
    <m/>
    <n v="0"/>
    <n v="5462690"/>
    <n v="0"/>
  </r>
  <r>
    <s v="Franquicias Sell Out QUEST"/>
    <s v="FQ062-Zarzal-Valle del Cauca"/>
    <x v="1"/>
    <s v="septiembre"/>
    <n v="30"/>
    <d v="2026-09-30T00:00:00"/>
    <n v="1116445233"/>
    <s v="GARCIA  LIZETH"/>
    <n v="-1"/>
    <n v="0"/>
    <n v="-33529"/>
  </r>
  <r>
    <s v="Franquicias Sell Out QUEST"/>
    <s v="FQ062-Zarzal-Valle del Cauca"/>
    <x v="1"/>
    <s v="septiembre"/>
    <n v="30"/>
    <d v="2026-09-30T00:00:00"/>
    <n v="1116449394"/>
    <s v="MURILLO  DANIELA"/>
    <n v="79"/>
    <n v="0"/>
    <n v="4576222"/>
  </r>
  <r>
    <s v="Franquicias Sell Out QUEST"/>
    <s v="FQ062-Zarzal-Valle del Cauca"/>
    <x v="1"/>
    <s v="octubre"/>
    <n v="1"/>
    <d v="2026-10-01T00:00:00"/>
    <m/>
    <m/>
    <n v="0"/>
    <n v="6297023"/>
    <n v="0"/>
  </r>
  <r>
    <s v="Franquicias Sell Out QUEST"/>
    <s v="FQ062-Zarzal-Valle del Cauca"/>
    <x v="1"/>
    <s v="octubre"/>
    <n v="1"/>
    <d v="2026-10-01T00:00:00"/>
    <n v="1116449394"/>
    <s v="MURILLO  DANIELA"/>
    <n v="134"/>
    <n v="0"/>
    <n v="6936773"/>
  </r>
  <r>
    <s v="Franquicias Sell Out QUEST"/>
    <s v="FQ062-Zarzal-Valle del Cauca"/>
    <x v="1"/>
    <s v="octubre"/>
    <n v="2"/>
    <d v="2026-10-02T00:00:00"/>
    <m/>
    <m/>
    <n v="0"/>
    <n v="5107842"/>
    <n v="0"/>
  </r>
  <r>
    <s v="Franquicias Sell Out QUEST"/>
    <s v="FQ062-Zarzal-Valle del Cauca"/>
    <x v="1"/>
    <s v="octubre"/>
    <n v="2"/>
    <d v="2026-10-02T00:00:00"/>
    <n v="1116445233"/>
    <s v="GARCIA  LIZETH"/>
    <n v="82"/>
    <n v="0"/>
    <n v="4872108"/>
  </r>
  <r>
    <s v="Franquicias Sell Out QUEST"/>
    <s v="FQ062-Zarzal-Valle del Cauca"/>
    <x v="1"/>
    <s v="octubre"/>
    <n v="2"/>
    <d v="2026-10-02T00:00:00"/>
    <n v="1116449394"/>
    <s v="MURILLO  DANIELA"/>
    <n v="-2"/>
    <n v="0"/>
    <n v="-81849"/>
  </r>
  <r>
    <s v="Franquicias Sell Out QUEST"/>
    <s v="FQ062-Zarzal-Valle del Cauca"/>
    <x v="1"/>
    <s v="octubre"/>
    <n v="3"/>
    <d v="2026-10-03T00:00:00"/>
    <m/>
    <m/>
    <n v="0"/>
    <n v="7933977"/>
    <n v="0"/>
  </r>
  <r>
    <s v="Franquicias Sell Out QUEST"/>
    <s v="FQ062-Zarzal-Valle del Cauca"/>
    <x v="1"/>
    <s v="octubre"/>
    <n v="3"/>
    <d v="2026-10-03T00:00:00"/>
    <n v="1116445233"/>
    <s v="GARCIA  LIZETH"/>
    <n v="40"/>
    <n v="0"/>
    <n v="2237969"/>
  </r>
  <r>
    <s v="Franquicias Sell Out QUEST"/>
    <s v="FQ062-Zarzal-Valle del Cauca"/>
    <x v="1"/>
    <s v="octubre"/>
    <n v="3"/>
    <d v="2026-10-03T00:00:00"/>
    <n v="1116449394"/>
    <s v="MURILLO  DANIELA"/>
    <n v="101"/>
    <n v="0"/>
    <n v="5422276"/>
  </r>
  <r>
    <s v="Franquicias Sell Out QUEST"/>
    <s v="FQ062-Zarzal-Valle del Cauca"/>
    <x v="1"/>
    <s v="octubre"/>
    <n v="4"/>
    <d v="2026-10-04T00:00:00"/>
    <m/>
    <m/>
    <n v="0"/>
    <n v="2018527"/>
    <n v="0"/>
  </r>
  <r>
    <s v="Franquicias Sell Out QUEST"/>
    <s v="FQ062-Zarzal-Valle del Cauca"/>
    <x v="1"/>
    <s v="octubre"/>
    <n v="4"/>
    <d v="2026-10-04T00:00:00"/>
    <n v="1116445233"/>
    <s v="GARCIA  LIZETH"/>
    <n v="87"/>
    <n v="0"/>
    <n v="4900801"/>
  </r>
  <r>
    <s v="Franquicias Sell Out QUEST"/>
    <s v="FQ062-Zarzal-Valle del Cauca"/>
    <x v="1"/>
    <s v="octubre"/>
    <n v="5"/>
    <d v="2026-10-05T00:00:00"/>
    <m/>
    <m/>
    <n v="0"/>
    <n v="3332846"/>
    <n v="0"/>
  </r>
  <r>
    <s v="Franquicias Sell Out QUEST"/>
    <s v="FQ062-Zarzal-Valle del Cauca"/>
    <x v="1"/>
    <s v="octubre"/>
    <n v="5"/>
    <d v="2026-10-05T00:00:00"/>
    <n v="1116445233"/>
    <s v="GARCIA  LIZETH"/>
    <n v="20"/>
    <n v="0"/>
    <n v="965379"/>
  </r>
  <r>
    <s v="Franquicias Sell Out QUEST"/>
    <s v="FQ062-Zarzal-Valle del Cauca"/>
    <x v="1"/>
    <s v="octubre"/>
    <n v="5"/>
    <d v="2026-10-05T00:00:00"/>
    <n v="1116449394"/>
    <s v="MURILLO  DANIELA"/>
    <n v="27"/>
    <n v="0"/>
    <n v="1620509"/>
  </r>
  <r>
    <s v="Franquicias Sell Out QUEST"/>
    <s v="FQ062-Zarzal-Valle del Cauca"/>
    <x v="1"/>
    <s v="octubre"/>
    <n v="6"/>
    <d v="2026-10-06T00:00:00"/>
    <m/>
    <m/>
    <n v="0"/>
    <n v="1782565"/>
    <n v="0"/>
  </r>
  <r>
    <s v="Franquicias Sell Out QUEST"/>
    <s v="FQ062-Zarzal-Valle del Cauca"/>
    <x v="1"/>
    <s v="octubre"/>
    <n v="6"/>
    <d v="2026-10-06T00:00:00"/>
    <n v="1116445233"/>
    <s v="GARCIA  LIZETH"/>
    <n v="30"/>
    <n v="0"/>
    <n v="1969159"/>
  </r>
  <r>
    <s v="Franquicias Sell Out QUEST"/>
    <s v="FQ062-Zarzal-Valle del Cauca"/>
    <x v="1"/>
    <s v="octubre"/>
    <n v="6"/>
    <d v="2026-10-06T00:00:00"/>
    <n v="1116449394"/>
    <s v="MURILLO  DANIELA"/>
    <n v="14"/>
    <n v="0"/>
    <n v="969917"/>
  </r>
  <r>
    <s v="Franquicias Sell Out QUEST"/>
    <s v="FQ062-Zarzal-Valle del Cauca"/>
    <x v="1"/>
    <s v="octubre"/>
    <n v="7"/>
    <d v="2026-10-07T00:00:00"/>
    <m/>
    <m/>
    <n v="0"/>
    <n v="558216"/>
    <n v="0"/>
  </r>
  <r>
    <s v="Franquicias Sell Out QUEST"/>
    <s v="FQ062-Zarzal-Valle del Cauca"/>
    <x v="1"/>
    <s v="octubre"/>
    <n v="7"/>
    <d v="2026-10-07T00:00:00"/>
    <n v="1116445233"/>
    <s v="GARCIA  LIZETH"/>
    <n v="57"/>
    <n v="0"/>
    <n v="3243326"/>
  </r>
  <r>
    <s v="Franquicias Sell Out QUEST"/>
    <s v="FQ062-Zarzal-Valle del Cauca"/>
    <x v="1"/>
    <s v="octubre"/>
    <n v="7"/>
    <d v="2026-10-07T00:00:00"/>
    <n v="1116449394"/>
    <s v="MURILLO  DANIELA"/>
    <n v="1"/>
    <n v="0"/>
    <n v="20924"/>
  </r>
  <r>
    <s v="Franquicias Sell Out QUEST"/>
    <s v="FQ106 - Sevilla - Valle del Cauca"/>
    <x v="1"/>
    <s v="septiembre"/>
    <n v="23"/>
    <d v="2026-09-23T00:00:00"/>
    <m/>
    <m/>
    <n v="0"/>
    <n v="4350570"/>
    <n v="0"/>
  </r>
  <r>
    <s v="Franquicias Sell Out QUEST"/>
    <s v="FQ106 - Sevilla - Valle del Cauca"/>
    <x v="1"/>
    <s v="septiembre"/>
    <n v="23"/>
    <d v="2026-09-23T00:00:00"/>
    <n v="38756973"/>
    <s v="VANEGAS ROJAS CAROLINA"/>
    <n v="33"/>
    <n v="0"/>
    <n v="2015422"/>
  </r>
  <r>
    <s v="Franquicias Sell Out QUEST"/>
    <s v="FQ106 - Sevilla - Valle del Cauca"/>
    <x v="1"/>
    <s v="septiembre"/>
    <n v="23"/>
    <d v="2026-09-23T00:00:00"/>
    <n v="1006842382"/>
    <s v="MADROÑERO  DARIEN"/>
    <n v="21"/>
    <n v="0"/>
    <n v="1062144"/>
  </r>
  <r>
    <s v="Franquicias Sell Out QUEST"/>
    <s v="FQ106 - Sevilla - Valle del Cauca"/>
    <x v="1"/>
    <s v="septiembre"/>
    <n v="23"/>
    <d v="2026-09-23T00:00:00"/>
    <n v="1113311274"/>
    <s v="ZAPATA TABARES LIZETH FERNANDA"/>
    <n v="69"/>
    <n v="0"/>
    <n v="3846680"/>
  </r>
  <r>
    <s v="Franquicias Sell Out QUEST"/>
    <s v="FQ106 - Sevilla - Valle del Cauca"/>
    <x v="1"/>
    <s v="septiembre"/>
    <n v="24"/>
    <d v="2026-09-24T00:00:00"/>
    <m/>
    <m/>
    <n v="0"/>
    <n v="11251408"/>
    <n v="0"/>
  </r>
  <r>
    <s v="Franquicias Sell Out QUEST"/>
    <s v="FQ106 - Sevilla - Valle del Cauca"/>
    <x v="1"/>
    <s v="septiembre"/>
    <n v="24"/>
    <d v="2026-09-24T00:00:00"/>
    <n v="38756973"/>
    <s v="VANEGAS ROJAS CAROLINA"/>
    <n v="49"/>
    <n v="0"/>
    <n v="2451722"/>
  </r>
  <r>
    <s v="Franquicias Sell Out QUEST"/>
    <s v="FQ106 - Sevilla - Valle del Cauca"/>
    <x v="1"/>
    <s v="septiembre"/>
    <n v="24"/>
    <d v="2026-09-24T00:00:00"/>
    <n v="1006842382"/>
    <s v="MADROÑERO  DARIEN"/>
    <n v="46"/>
    <n v="0"/>
    <n v="2804790"/>
  </r>
  <r>
    <s v="Franquicias Sell Out QUEST"/>
    <s v="FQ106 - Sevilla - Valle del Cauca"/>
    <x v="1"/>
    <s v="septiembre"/>
    <n v="24"/>
    <d v="2026-09-24T00:00:00"/>
    <n v="1113311274"/>
    <s v="ZAPATA TABARES LIZETH FERNANDA"/>
    <n v="54"/>
    <n v="0"/>
    <n v="3170003"/>
  </r>
  <r>
    <s v="Franquicias Sell Out QUEST"/>
    <s v="FQ106 - Sevilla - Valle del Cauca"/>
    <x v="1"/>
    <s v="septiembre"/>
    <n v="25"/>
    <d v="2026-09-25T00:00:00"/>
    <m/>
    <m/>
    <n v="0"/>
    <n v="12017118"/>
    <n v="0"/>
  </r>
  <r>
    <s v="Franquicias Sell Out QUEST"/>
    <s v="FQ106 - Sevilla - Valle del Cauca"/>
    <x v="1"/>
    <s v="septiembre"/>
    <n v="25"/>
    <d v="2026-09-25T00:00:00"/>
    <n v="38756973"/>
    <s v="VANEGAS ROJAS CAROLINA"/>
    <n v="56"/>
    <n v="0"/>
    <n v="3560673"/>
  </r>
  <r>
    <s v="Franquicias Sell Out QUEST"/>
    <s v="FQ106 - Sevilla - Valle del Cauca"/>
    <x v="1"/>
    <s v="septiembre"/>
    <n v="25"/>
    <d v="2026-09-25T00:00:00"/>
    <n v="1006842382"/>
    <s v="MADROÑERO  DARIEN"/>
    <n v="24"/>
    <n v="0"/>
    <n v="1599835"/>
  </r>
  <r>
    <s v="Franquicias Sell Out QUEST"/>
    <s v="FQ106 - Sevilla - Valle del Cauca"/>
    <x v="1"/>
    <s v="septiembre"/>
    <n v="25"/>
    <d v="2026-09-25T00:00:00"/>
    <n v="1113311274"/>
    <s v="ZAPATA TABARES LIZETH FERNANDA"/>
    <n v="64"/>
    <n v="0"/>
    <n v="3476306"/>
  </r>
  <r>
    <s v="Franquicias Sell Out QUEST"/>
    <s v="FQ106 - Sevilla - Valle del Cauca"/>
    <x v="1"/>
    <s v="septiembre"/>
    <n v="26"/>
    <d v="2026-09-26T00:00:00"/>
    <m/>
    <m/>
    <n v="0"/>
    <n v="15153284"/>
    <n v="0"/>
  </r>
  <r>
    <s v="Franquicias Sell Out QUEST"/>
    <s v="FQ106 - Sevilla - Valle del Cauca"/>
    <x v="1"/>
    <s v="septiembre"/>
    <n v="26"/>
    <d v="2026-09-26T00:00:00"/>
    <n v="38756973"/>
    <s v="VANEGAS ROJAS CAROLINA"/>
    <n v="96"/>
    <n v="0"/>
    <n v="5823658"/>
  </r>
  <r>
    <s v="Franquicias Sell Out QUEST"/>
    <s v="FQ106 - Sevilla - Valle del Cauca"/>
    <x v="1"/>
    <s v="septiembre"/>
    <n v="26"/>
    <d v="2026-09-26T00:00:00"/>
    <n v="1006842382"/>
    <s v="MADROÑERO  DARIEN"/>
    <n v="84"/>
    <n v="0"/>
    <n v="5202233"/>
  </r>
  <r>
    <s v="Franquicias Sell Out QUEST"/>
    <s v="FQ106 - Sevilla - Valle del Cauca"/>
    <x v="1"/>
    <s v="septiembre"/>
    <n v="26"/>
    <d v="2026-09-26T00:00:00"/>
    <n v="1113311274"/>
    <s v="ZAPATA TABARES LIZETH FERNANDA"/>
    <n v="101"/>
    <n v="0"/>
    <n v="6386390"/>
  </r>
  <r>
    <s v="Franquicias Sell Out QUEST"/>
    <s v="FQ106 - Sevilla - Valle del Cauca"/>
    <x v="1"/>
    <s v="septiembre"/>
    <n v="27"/>
    <d v="2026-09-27T00:00:00"/>
    <m/>
    <m/>
    <n v="0"/>
    <n v="8000788"/>
    <n v="0"/>
  </r>
  <r>
    <s v="Franquicias Sell Out QUEST"/>
    <s v="FQ106 - Sevilla - Valle del Cauca"/>
    <x v="1"/>
    <s v="septiembre"/>
    <n v="27"/>
    <d v="2026-09-27T00:00:00"/>
    <n v="38756973"/>
    <s v="VANEGAS ROJAS CAROLINA"/>
    <n v="39"/>
    <n v="0"/>
    <n v="2414248"/>
  </r>
  <r>
    <s v="Franquicias Sell Out QUEST"/>
    <s v="FQ106 - Sevilla - Valle del Cauca"/>
    <x v="1"/>
    <s v="septiembre"/>
    <n v="27"/>
    <d v="2026-09-27T00:00:00"/>
    <n v="1006842382"/>
    <s v="MADROÑERO  DARIEN"/>
    <n v="34"/>
    <n v="0"/>
    <n v="2156096"/>
  </r>
  <r>
    <s v="Franquicias Sell Out QUEST"/>
    <s v="FQ106 - Sevilla - Valle del Cauca"/>
    <x v="1"/>
    <s v="septiembre"/>
    <n v="27"/>
    <d v="2026-09-27T00:00:00"/>
    <n v="1113311274"/>
    <s v="ZAPATA TABARES LIZETH FERNANDA"/>
    <n v="33"/>
    <n v="0"/>
    <n v="1992185"/>
  </r>
  <r>
    <s v="Franquicias Sell Out QUEST"/>
    <s v="FQ106 - Sevilla - Valle del Cauca"/>
    <x v="1"/>
    <s v="septiembre"/>
    <n v="28"/>
    <d v="2026-09-28T00:00:00"/>
    <m/>
    <m/>
    <n v="0"/>
    <n v="6559776"/>
    <n v="0"/>
  </r>
  <r>
    <s v="Franquicias Sell Out QUEST"/>
    <s v="FQ106 - Sevilla - Valle del Cauca"/>
    <x v="1"/>
    <s v="septiembre"/>
    <n v="28"/>
    <d v="2026-09-28T00:00:00"/>
    <n v="38756973"/>
    <s v="VANEGAS ROJAS CAROLINA"/>
    <n v="19"/>
    <n v="0"/>
    <n v="1131513"/>
  </r>
  <r>
    <s v="Franquicias Sell Out QUEST"/>
    <s v="FQ106 - Sevilla - Valle del Cauca"/>
    <x v="1"/>
    <s v="septiembre"/>
    <n v="28"/>
    <d v="2026-09-28T00:00:00"/>
    <n v="1006842382"/>
    <s v="MADROÑERO  DARIEN"/>
    <n v="11"/>
    <n v="0"/>
    <n v="486934"/>
  </r>
  <r>
    <s v="Franquicias Sell Out QUEST"/>
    <s v="FQ106 - Sevilla - Valle del Cauca"/>
    <x v="1"/>
    <s v="septiembre"/>
    <n v="28"/>
    <d v="2026-09-28T00:00:00"/>
    <n v="1113311274"/>
    <s v="ZAPATA TABARES LIZETH FERNANDA"/>
    <n v="43"/>
    <n v="0"/>
    <n v="2518908"/>
  </r>
  <r>
    <s v="Franquicias Sell Out QUEST"/>
    <s v="FQ106 - Sevilla - Valle del Cauca"/>
    <x v="1"/>
    <s v="septiembre"/>
    <n v="29"/>
    <d v="2026-09-29T00:00:00"/>
    <m/>
    <m/>
    <n v="0"/>
    <n v="7292534"/>
    <n v="0"/>
  </r>
  <r>
    <s v="Franquicias Sell Out QUEST"/>
    <s v="FQ106 - Sevilla - Valle del Cauca"/>
    <x v="1"/>
    <s v="septiembre"/>
    <n v="29"/>
    <d v="2026-09-29T00:00:00"/>
    <n v="38756973"/>
    <s v="VANEGAS ROJAS CAROLINA"/>
    <n v="23"/>
    <n v="0"/>
    <n v="1162775"/>
  </r>
  <r>
    <s v="Franquicias Sell Out QUEST"/>
    <s v="FQ106 - Sevilla - Valle del Cauca"/>
    <x v="1"/>
    <s v="septiembre"/>
    <n v="29"/>
    <d v="2026-09-29T00:00:00"/>
    <n v="1006842382"/>
    <s v="MADROÑERO  DARIEN"/>
    <n v="25"/>
    <n v="0"/>
    <n v="1225346"/>
  </r>
  <r>
    <s v="Franquicias Sell Out QUEST"/>
    <s v="FQ106 - Sevilla - Valle del Cauca"/>
    <x v="1"/>
    <s v="septiembre"/>
    <n v="29"/>
    <d v="2026-09-29T00:00:00"/>
    <n v="1113311274"/>
    <s v="ZAPATA TABARES LIZETH FERNANDA"/>
    <n v="43"/>
    <n v="0"/>
    <n v="2733360"/>
  </r>
  <r>
    <s v="Franquicias Sell Out QUEST"/>
    <s v="FQ106 - Sevilla - Valle del Cauca"/>
    <x v="1"/>
    <s v="septiembre"/>
    <n v="30"/>
    <d v="2026-09-30T00:00:00"/>
    <m/>
    <m/>
    <n v="0"/>
    <n v="7723021"/>
    <n v="0"/>
  </r>
  <r>
    <s v="Franquicias Sell Out QUEST"/>
    <s v="FQ106 - Sevilla - Valle del Cauca"/>
    <x v="1"/>
    <s v="septiembre"/>
    <n v="30"/>
    <d v="2026-09-30T00:00:00"/>
    <n v="38756973"/>
    <s v="VANEGAS ROJAS CAROLINA"/>
    <n v="20"/>
    <n v="0"/>
    <n v="1284874"/>
  </r>
  <r>
    <s v="Franquicias Sell Out QUEST"/>
    <s v="FQ106 - Sevilla - Valle del Cauca"/>
    <x v="1"/>
    <s v="septiembre"/>
    <n v="30"/>
    <d v="2026-09-30T00:00:00"/>
    <n v="1006842382"/>
    <s v="MADROÑERO  DARIEN"/>
    <n v="15"/>
    <n v="0"/>
    <n v="953109"/>
  </r>
  <r>
    <s v="Franquicias Sell Out QUEST"/>
    <s v="FQ106 - Sevilla - Valle del Cauca"/>
    <x v="1"/>
    <s v="septiembre"/>
    <n v="30"/>
    <d v="2026-09-30T00:00:00"/>
    <n v="1113311274"/>
    <s v="ZAPATA TABARES LIZETH FERNANDA"/>
    <n v="38"/>
    <n v="0"/>
    <n v="2288152"/>
  </r>
  <r>
    <s v="Franquicias Sell Out QUEST"/>
    <s v="FQ106 - Sevilla - Valle del Cauca"/>
    <x v="1"/>
    <s v="octubre"/>
    <n v="1"/>
    <d v="2026-10-01T00:00:00"/>
    <m/>
    <m/>
    <n v="0"/>
    <n v="9590913"/>
    <n v="0"/>
  </r>
  <r>
    <s v="Franquicias Sell Out QUEST"/>
    <s v="FQ106 - Sevilla - Valle del Cauca"/>
    <x v="1"/>
    <s v="octubre"/>
    <n v="1"/>
    <d v="2026-10-01T00:00:00"/>
    <n v="38756973"/>
    <s v="VANEGAS ROJAS CAROLINA"/>
    <n v="47"/>
    <n v="0"/>
    <n v="2598783"/>
  </r>
  <r>
    <s v="Franquicias Sell Out QUEST"/>
    <s v="FQ106 - Sevilla - Valle del Cauca"/>
    <x v="1"/>
    <s v="octubre"/>
    <n v="1"/>
    <d v="2026-10-01T00:00:00"/>
    <n v="1006842382"/>
    <s v="MADROÑERO  DARIEN"/>
    <n v="25"/>
    <n v="0"/>
    <n v="1507353"/>
  </r>
  <r>
    <s v="Franquicias Sell Out QUEST"/>
    <s v="FQ106 - Sevilla - Valle del Cauca"/>
    <x v="1"/>
    <s v="octubre"/>
    <n v="1"/>
    <d v="2026-10-01T00:00:00"/>
    <n v="1113311274"/>
    <s v="ZAPATA TABARES LIZETH FERNANDA"/>
    <n v="17"/>
    <n v="0"/>
    <n v="1104328"/>
  </r>
  <r>
    <s v="Franquicias Sell Out QUEST"/>
    <s v="FQ106 - Sevilla - Valle del Cauca"/>
    <x v="1"/>
    <s v="octubre"/>
    <n v="2"/>
    <d v="2026-10-02T00:00:00"/>
    <m/>
    <m/>
    <n v="0"/>
    <n v="12787459"/>
    <n v="0"/>
  </r>
  <r>
    <s v="Franquicias Sell Out QUEST"/>
    <s v="FQ106 - Sevilla - Valle del Cauca"/>
    <x v="1"/>
    <s v="octubre"/>
    <n v="2"/>
    <d v="2026-10-02T00:00:00"/>
    <n v="38756973"/>
    <s v="VANEGAS ROJAS CAROLINA"/>
    <n v="37"/>
    <n v="0"/>
    <n v="2271473"/>
  </r>
  <r>
    <s v="Franquicias Sell Out QUEST"/>
    <s v="FQ106 - Sevilla - Valle del Cauca"/>
    <x v="1"/>
    <s v="octubre"/>
    <n v="2"/>
    <d v="2026-10-02T00:00:00"/>
    <n v="1006842382"/>
    <s v="MADROÑERO  DARIEN"/>
    <n v="28"/>
    <n v="0"/>
    <n v="1914746"/>
  </r>
  <r>
    <s v="Franquicias Sell Out QUEST"/>
    <s v="FQ106 - Sevilla - Valle del Cauca"/>
    <x v="1"/>
    <s v="octubre"/>
    <n v="2"/>
    <d v="2026-10-02T00:00:00"/>
    <n v="1113311274"/>
    <s v="ZAPATA TABARES LIZETH FERNANDA"/>
    <n v="34"/>
    <n v="0"/>
    <n v="2532186"/>
  </r>
  <r>
    <s v="Franquicias Sell Out QUEST"/>
    <s v="FQ106 - Sevilla - Valle del Cauca"/>
    <x v="1"/>
    <s v="octubre"/>
    <n v="3"/>
    <d v="2026-10-03T00:00:00"/>
    <m/>
    <m/>
    <n v="0"/>
    <n v="18189591"/>
    <n v="0"/>
  </r>
  <r>
    <s v="Franquicias Sell Out QUEST"/>
    <s v="FQ106 - Sevilla - Valle del Cauca"/>
    <x v="1"/>
    <s v="octubre"/>
    <n v="3"/>
    <d v="2026-10-03T00:00:00"/>
    <n v="38756973"/>
    <s v="VANEGAS ROJAS CAROLINA"/>
    <n v="59"/>
    <n v="0"/>
    <n v="3482447"/>
  </r>
  <r>
    <s v="Franquicias Sell Out QUEST"/>
    <s v="FQ106 - Sevilla - Valle del Cauca"/>
    <x v="1"/>
    <s v="octubre"/>
    <n v="3"/>
    <d v="2026-10-03T00:00:00"/>
    <n v="1006842382"/>
    <s v="MADROÑERO  DARIEN"/>
    <n v="56"/>
    <n v="0"/>
    <n v="3122550"/>
  </r>
  <r>
    <s v="Franquicias Sell Out QUEST"/>
    <s v="FQ106 - Sevilla - Valle del Cauca"/>
    <x v="1"/>
    <s v="octubre"/>
    <n v="3"/>
    <d v="2026-10-03T00:00:00"/>
    <n v="1113311274"/>
    <s v="ZAPATA TABARES LIZETH FERNANDA"/>
    <n v="78"/>
    <n v="0"/>
    <n v="4583727"/>
  </r>
  <r>
    <s v="Franquicias Sell Out QUEST"/>
    <s v="FQ106 - Sevilla - Valle del Cauca"/>
    <x v="1"/>
    <s v="octubre"/>
    <n v="4"/>
    <d v="2026-10-04T00:00:00"/>
    <m/>
    <m/>
    <n v="0"/>
    <n v="7482942"/>
    <n v="0"/>
  </r>
  <r>
    <s v="Franquicias Sell Out QUEST"/>
    <s v="FQ106 - Sevilla - Valle del Cauca"/>
    <x v="1"/>
    <s v="octubre"/>
    <n v="4"/>
    <d v="2026-10-04T00:00:00"/>
    <n v="38756973"/>
    <s v="VANEGAS ROJAS CAROLINA"/>
    <n v="28"/>
    <n v="0"/>
    <n v="1564271"/>
  </r>
  <r>
    <s v="Franquicias Sell Out QUEST"/>
    <s v="FQ106 - Sevilla - Valle del Cauca"/>
    <x v="1"/>
    <s v="octubre"/>
    <n v="4"/>
    <d v="2026-10-04T00:00:00"/>
    <n v="1006842382"/>
    <s v="MADROÑERO  DARIEN"/>
    <n v="27"/>
    <n v="0"/>
    <n v="1505043"/>
  </r>
  <r>
    <s v="Franquicias Sell Out QUEST"/>
    <s v="FQ106 - Sevilla - Valle del Cauca"/>
    <x v="1"/>
    <s v="octubre"/>
    <n v="4"/>
    <d v="2026-10-04T00:00:00"/>
    <n v="1113311274"/>
    <s v="ZAPATA TABARES LIZETH FERNANDA"/>
    <n v="59"/>
    <n v="0"/>
    <n v="3610801"/>
  </r>
  <r>
    <s v="Franquicias Sell Out QUEST"/>
    <s v="FQ106 - Sevilla - Valle del Cauca"/>
    <x v="1"/>
    <s v="octubre"/>
    <n v="5"/>
    <d v="2026-10-05T00:00:00"/>
    <m/>
    <m/>
    <n v="0"/>
    <n v="7049840"/>
    <n v="0"/>
  </r>
  <r>
    <s v="Franquicias Sell Out QUEST"/>
    <s v="FQ106 - Sevilla - Valle del Cauca"/>
    <x v="1"/>
    <s v="octubre"/>
    <n v="5"/>
    <d v="2026-10-05T00:00:00"/>
    <n v="38756973"/>
    <s v="VANEGAS ROJAS CAROLINA"/>
    <n v="2"/>
    <n v="0"/>
    <n v="41934"/>
  </r>
  <r>
    <s v="Franquicias Sell Out QUEST"/>
    <s v="FQ106 - Sevilla - Valle del Cauca"/>
    <x v="1"/>
    <s v="octubre"/>
    <n v="5"/>
    <d v="2026-10-05T00:00:00"/>
    <n v="1006842382"/>
    <s v="MADROÑERO  DARIEN"/>
    <n v="50"/>
    <n v="0"/>
    <n v="2924332"/>
  </r>
  <r>
    <s v="Franquicias Sell Out QUEST"/>
    <s v="FQ106 - Sevilla - Valle del Cauca"/>
    <x v="1"/>
    <s v="octubre"/>
    <n v="5"/>
    <d v="2026-10-05T00:00:00"/>
    <n v="1113311274"/>
    <s v="ZAPATA TABARES LIZETH FERNANDA"/>
    <n v="54"/>
    <n v="0"/>
    <n v="3432568"/>
  </r>
  <r>
    <s v="Franquicias Sell Out QUEST"/>
    <s v="FQ106 - Sevilla - Valle del Cauca"/>
    <x v="1"/>
    <s v="octubre"/>
    <n v="6"/>
    <d v="2026-10-06T00:00:00"/>
    <m/>
    <m/>
    <n v="0"/>
    <n v="4845282"/>
    <n v="0"/>
  </r>
  <r>
    <s v="Franquicias Sell Out QUEST"/>
    <s v="FQ106 - Sevilla - Valle del Cauca"/>
    <x v="1"/>
    <s v="octubre"/>
    <n v="6"/>
    <d v="2026-10-06T00:00:00"/>
    <n v="38756973"/>
    <s v="VANEGAS ROJAS CAROLINA"/>
    <n v="45"/>
    <n v="0"/>
    <n v="2756873"/>
  </r>
  <r>
    <s v="Franquicias Sell Out QUEST"/>
    <s v="FQ106 - Sevilla - Valle del Cauca"/>
    <x v="1"/>
    <s v="octubre"/>
    <n v="6"/>
    <d v="2026-10-06T00:00:00"/>
    <n v="1006842382"/>
    <s v="MADROÑERO  DARIEN"/>
    <n v="30"/>
    <n v="0"/>
    <n v="1612186"/>
  </r>
  <r>
    <s v="Franquicias Sell Out QUEST"/>
    <s v="FQ106 - Sevilla - Valle del Cauca"/>
    <x v="1"/>
    <s v="octubre"/>
    <n v="6"/>
    <d v="2026-10-06T00:00:00"/>
    <n v="1113311274"/>
    <s v="ZAPATA TABARES LIZETH FERNANDA"/>
    <n v="0"/>
    <n v="0"/>
    <n v="4202"/>
  </r>
  <r>
    <s v="Franquicias Sell Out QUEST"/>
    <s v="FQ106 - Sevilla - Valle del Cauca"/>
    <x v="1"/>
    <s v="octubre"/>
    <n v="7"/>
    <d v="2026-10-07T00:00:00"/>
    <m/>
    <m/>
    <n v="0"/>
    <n v="1570579"/>
    <n v="0"/>
  </r>
  <r>
    <s v="Franquicias Sell Out QUEST"/>
    <s v="FQ106 - Sevilla - Valle del Cauca"/>
    <x v="1"/>
    <s v="octubre"/>
    <n v="7"/>
    <d v="2026-10-07T00:00:00"/>
    <n v="38756973"/>
    <s v="VANEGAS ROJAS CAROLINA"/>
    <n v="11"/>
    <n v="0"/>
    <n v="531009"/>
  </r>
  <r>
    <s v="Franquicias Sell Out QUEST"/>
    <s v="FQ106 - Sevilla - Valle del Cauca"/>
    <x v="1"/>
    <s v="octubre"/>
    <n v="7"/>
    <d v="2026-10-07T00:00:00"/>
    <n v="1006842382"/>
    <s v="MADROÑERO  DARIEN"/>
    <n v="15"/>
    <n v="0"/>
    <n v="839664"/>
  </r>
  <r>
    <s v="Franquicias Sell Out QUEST"/>
    <s v="FQ106 - Sevilla - Valle del Cauca"/>
    <x v="1"/>
    <s v="octubre"/>
    <n v="7"/>
    <d v="2026-10-07T00:00:00"/>
    <n v="1113311274"/>
    <s v="ZAPATA TABARES LIZETH FERNANDA"/>
    <n v="19"/>
    <n v="0"/>
    <n v="1329032"/>
  </r>
  <r>
    <s v="Franquicias Sell Out QUEST"/>
    <s v="FQ111 - Tulua - CC Super Centro la 14"/>
    <x v="1"/>
    <s v="septiembre"/>
    <n v="23"/>
    <d v="2026-09-23T00:00:00"/>
    <m/>
    <m/>
    <n v="0"/>
    <n v="6435996"/>
    <n v="0"/>
  </r>
  <r>
    <s v="Franquicias Sell Out QUEST"/>
    <s v="FQ111 - Tulua - CC Super Centro la 14"/>
    <x v="1"/>
    <s v="septiembre"/>
    <n v="23"/>
    <d v="2026-09-23T00:00:00"/>
    <n v="1094911295"/>
    <m/>
    <n v="76"/>
    <n v="0"/>
    <n v="3931643"/>
  </r>
  <r>
    <s v="Franquicias Sell Out QUEST"/>
    <s v="FQ111 - Tulua - CC Super Centro la 14"/>
    <x v="1"/>
    <s v="septiembre"/>
    <n v="23"/>
    <d v="2026-09-23T00:00:00"/>
    <n v="1116254223"/>
    <s v="GONZÁLEZ DEVIA CAMILA ANDREA"/>
    <n v="63"/>
    <n v="0"/>
    <n v="3724268"/>
  </r>
  <r>
    <s v="Franquicias Sell Out QUEST"/>
    <s v="FQ111 - Tulua - CC Super Centro la 14"/>
    <x v="1"/>
    <s v="septiembre"/>
    <n v="24"/>
    <d v="2026-09-24T00:00:00"/>
    <m/>
    <m/>
    <n v="0"/>
    <n v="16644719"/>
    <n v="0"/>
  </r>
  <r>
    <s v="Franquicias Sell Out QUEST"/>
    <s v="FQ111 - Tulua - CC Super Centro la 14"/>
    <x v="1"/>
    <s v="septiembre"/>
    <n v="24"/>
    <d v="2026-09-24T00:00:00"/>
    <n v="1094911295"/>
    <m/>
    <n v="45"/>
    <n v="0"/>
    <n v="2937191"/>
  </r>
  <r>
    <s v="Franquicias Sell Out QUEST"/>
    <s v="FQ111 - Tulua - CC Super Centro la 14"/>
    <x v="1"/>
    <s v="septiembre"/>
    <n v="24"/>
    <d v="2026-09-24T00:00:00"/>
    <n v="1116254223"/>
    <s v="GONZÁLEZ DEVIA CAMILA ANDREA"/>
    <n v="41"/>
    <n v="0"/>
    <n v="2321850"/>
  </r>
  <r>
    <s v="Franquicias Sell Out QUEST"/>
    <s v="FQ111 - Tulua - CC Super Centro la 14"/>
    <x v="1"/>
    <s v="septiembre"/>
    <n v="25"/>
    <d v="2026-09-25T00:00:00"/>
    <m/>
    <m/>
    <n v="0"/>
    <n v="17777467"/>
    <n v="0"/>
  </r>
  <r>
    <s v="Franquicias Sell Out QUEST"/>
    <s v="FQ111 - Tulua - CC Super Centro la 14"/>
    <x v="1"/>
    <s v="septiembre"/>
    <n v="25"/>
    <d v="2026-09-25T00:00:00"/>
    <n v="1094911295"/>
    <m/>
    <n v="39"/>
    <n v="0"/>
    <n v="1868113"/>
  </r>
  <r>
    <s v="Franquicias Sell Out QUEST"/>
    <s v="FQ111 - Tulua - CC Super Centro la 14"/>
    <x v="1"/>
    <s v="septiembre"/>
    <n v="25"/>
    <d v="2026-09-25T00:00:00"/>
    <n v="1116254223"/>
    <s v="GONZÁLEZ DEVIA CAMILA ANDREA"/>
    <n v="93"/>
    <n v="0"/>
    <n v="5958284"/>
  </r>
  <r>
    <s v="Franquicias Sell Out QUEST"/>
    <s v="FQ111 - Tulua - CC Super Centro la 14"/>
    <x v="1"/>
    <s v="septiembre"/>
    <n v="25"/>
    <d v="2026-09-25T00:00:00"/>
    <n v="1116280165"/>
    <s v="GARCÍA MONTERO MAICOL"/>
    <n v="64"/>
    <n v="0"/>
    <n v="3745214"/>
  </r>
  <r>
    <s v="Franquicias Sell Out QUEST"/>
    <s v="FQ111 - Tulua - CC Super Centro la 14"/>
    <x v="1"/>
    <s v="septiembre"/>
    <n v="26"/>
    <d v="2026-09-26T00:00:00"/>
    <m/>
    <m/>
    <n v="0"/>
    <n v="22416936"/>
    <n v="0"/>
  </r>
  <r>
    <s v="Franquicias Sell Out QUEST"/>
    <s v="FQ111 - Tulua - CC Super Centro la 14"/>
    <x v="1"/>
    <s v="septiembre"/>
    <n v="26"/>
    <d v="2026-09-26T00:00:00"/>
    <n v="1094911295"/>
    <m/>
    <n v="1"/>
    <n v="0"/>
    <n v="54580"/>
  </r>
  <r>
    <s v="Franquicias Sell Out QUEST"/>
    <s v="FQ111 - Tulua - CC Super Centro la 14"/>
    <x v="1"/>
    <s v="septiembre"/>
    <n v="26"/>
    <d v="2026-09-26T00:00:00"/>
    <n v="1116254223"/>
    <s v="GONZÁLEZ DEVIA CAMILA ANDREA"/>
    <n v="104"/>
    <n v="0"/>
    <n v="5493411"/>
  </r>
  <r>
    <s v="Franquicias Sell Out QUEST"/>
    <s v="FQ111 - Tulua - CC Super Centro la 14"/>
    <x v="1"/>
    <s v="septiembre"/>
    <n v="26"/>
    <d v="2026-09-26T00:00:00"/>
    <n v="1116280165"/>
    <s v="GARCÍA MONTERO MAICOL"/>
    <n v="139"/>
    <n v="0"/>
    <n v="7439294"/>
  </r>
  <r>
    <s v="Franquicias Sell Out QUEST"/>
    <s v="FQ111 - Tulua - CC Super Centro la 14"/>
    <x v="1"/>
    <s v="septiembre"/>
    <n v="27"/>
    <d v="2026-09-27T00:00:00"/>
    <m/>
    <m/>
    <n v="0"/>
    <n v="11835928"/>
    <n v="0"/>
  </r>
  <r>
    <s v="Franquicias Sell Out QUEST"/>
    <s v="FQ111 - Tulua - CC Super Centro la 14"/>
    <x v="1"/>
    <s v="septiembre"/>
    <n v="27"/>
    <d v="2026-09-27T00:00:00"/>
    <n v="1094911295"/>
    <m/>
    <n v="1"/>
    <n v="0"/>
    <n v="50378"/>
  </r>
  <r>
    <s v="Franquicias Sell Out QUEST"/>
    <s v="FQ111 - Tulua - CC Super Centro la 14"/>
    <x v="1"/>
    <s v="septiembre"/>
    <n v="27"/>
    <d v="2026-09-27T00:00:00"/>
    <n v="1116254223"/>
    <s v="GONZÁLEZ DEVIA CAMILA ANDREA"/>
    <n v="134"/>
    <n v="0"/>
    <n v="7931224"/>
  </r>
  <r>
    <s v="Franquicias Sell Out QUEST"/>
    <s v="FQ111 - Tulua - CC Super Centro la 14"/>
    <x v="1"/>
    <s v="septiembre"/>
    <n v="27"/>
    <d v="2026-09-27T00:00:00"/>
    <n v="1116280165"/>
    <s v="GARCÍA MONTERO MAICOL"/>
    <n v="133"/>
    <n v="0"/>
    <n v="7408081"/>
  </r>
  <r>
    <s v="Franquicias Sell Out QUEST"/>
    <s v="FQ111 - Tulua - CC Super Centro la 14"/>
    <x v="1"/>
    <s v="septiembre"/>
    <n v="28"/>
    <d v="2026-09-28T00:00:00"/>
    <m/>
    <m/>
    <n v="0"/>
    <n v="9704171"/>
    <n v="0"/>
  </r>
  <r>
    <s v="Franquicias Sell Out QUEST"/>
    <s v="FQ111 - Tulua - CC Super Centro la 14"/>
    <x v="1"/>
    <s v="septiembre"/>
    <n v="28"/>
    <d v="2026-09-28T00:00:00"/>
    <n v="1116254223"/>
    <s v="GONZÁLEZ DEVIA CAMILA ANDREA"/>
    <n v="27"/>
    <n v="0"/>
    <n v="1732102"/>
  </r>
  <r>
    <s v="Franquicias Sell Out QUEST"/>
    <s v="FQ111 - Tulua - CC Super Centro la 14"/>
    <x v="1"/>
    <s v="septiembre"/>
    <n v="28"/>
    <d v="2026-09-28T00:00:00"/>
    <n v="1116280165"/>
    <s v="GARCÍA MONTERO MAICOL"/>
    <n v="59"/>
    <n v="0"/>
    <n v="3363032"/>
  </r>
  <r>
    <s v="Franquicias Sell Out QUEST"/>
    <s v="FQ111 - Tulua - CC Super Centro la 14"/>
    <x v="1"/>
    <s v="septiembre"/>
    <n v="29"/>
    <d v="2026-09-29T00:00:00"/>
    <m/>
    <m/>
    <n v="0"/>
    <n v="10788171"/>
    <n v="0"/>
  </r>
  <r>
    <s v="Franquicias Sell Out QUEST"/>
    <s v="FQ111 - Tulua - CC Super Centro la 14"/>
    <x v="1"/>
    <s v="septiembre"/>
    <n v="29"/>
    <d v="2026-09-29T00:00:00"/>
    <n v="1094911295"/>
    <m/>
    <n v="1"/>
    <n v="0"/>
    <n v="75588"/>
  </r>
  <r>
    <s v="Franquicias Sell Out QUEST"/>
    <s v="FQ111 - Tulua - CC Super Centro la 14"/>
    <x v="1"/>
    <s v="septiembre"/>
    <n v="29"/>
    <d v="2026-09-29T00:00:00"/>
    <n v="1116254223"/>
    <s v="GONZÁLEZ DEVIA CAMILA ANDREA"/>
    <n v="42"/>
    <n v="0"/>
    <n v="2435172"/>
  </r>
  <r>
    <s v="Franquicias Sell Out QUEST"/>
    <s v="FQ111 - Tulua - CC Super Centro la 14"/>
    <x v="1"/>
    <s v="septiembre"/>
    <n v="29"/>
    <d v="2026-09-29T00:00:00"/>
    <n v="1116280165"/>
    <s v="GARCÍA MONTERO MAICOL"/>
    <n v="44"/>
    <n v="0"/>
    <n v="2395171"/>
  </r>
  <r>
    <s v="Franquicias Sell Out QUEST"/>
    <s v="FQ111 - Tulua - CC Super Centro la 14"/>
    <x v="1"/>
    <s v="septiembre"/>
    <n v="30"/>
    <d v="2026-09-30T00:00:00"/>
    <m/>
    <m/>
    <n v="0"/>
    <n v="11425013"/>
    <n v="0"/>
  </r>
  <r>
    <s v="Franquicias Sell Out QUEST"/>
    <s v="FQ111 - Tulua - CC Super Centro la 14"/>
    <x v="1"/>
    <s v="septiembre"/>
    <n v="30"/>
    <d v="2026-09-30T00:00:00"/>
    <n v="1094911295"/>
    <m/>
    <n v="23"/>
    <n v="0"/>
    <n v="1553655"/>
  </r>
  <r>
    <s v="Franquicias Sell Out QUEST"/>
    <s v="FQ111 - Tulua - CC Super Centro la 14"/>
    <x v="1"/>
    <s v="septiembre"/>
    <n v="30"/>
    <d v="2026-09-30T00:00:00"/>
    <n v="1116254223"/>
    <s v="GONZÁLEZ DEVIA CAMILA ANDREA"/>
    <n v="22"/>
    <n v="0"/>
    <n v="1261682"/>
  </r>
  <r>
    <s v="Franquicias Sell Out QUEST"/>
    <s v="FQ111 - Tulua - CC Super Centro la 14"/>
    <x v="1"/>
    <s v="septiembre"/>
    <n v="30"/>
    <d v="2026-09-30T00:00:00"/>
    <n v="1116280165"/>
    <s v="GARCÍA MONTERO MAICOL"/>
    <n v="39"/>
    <n v="0"/>
    <n v="2494119"/>
  </r>
  <r>
    <s v="Franquicias Sell Out QUEST"/>
    <s v="FQ111 - Tulua - CC Super Centro la 14"/>
    <x v="1"/>
    <s v="octubre"/>
    <n v="1"/>
    <d v="2026-10-01T00:00:00"/>
    <m/>
    <m/>
    <n v="0"/>
    <n v="8074029"/>
    <n v="0"/>
  </r>
  <r>
    <s v="Franquicias Sell Out QUEST"/>
    <s v="FQ111 - Tulua - CC Super Centro la 14"/>
    <x v="1"/>
    <s v="octubre"/>
    <n v="1"/>
    <d v="2026-10-01T00:00:00"/>
    <n v="1116254223"/>
    <s v="GONZÁLEZ DEVIA CAMILA ANDREA"/>
    <n v="-1"/>
    <n v="0"/>
    <n v="4243"/>
  </r>
  <r>
    <s v="Franquicias Sell Out QUEST"/>
    <s v="FQ111 - Tulua - CC Super Centro la 14"/>
    <x v="1"/>
    <s v="octubre"/>
    <n v="1"/>
    <d v="2026-10-01T00:00:00"/>
    <n v="1116280165"/>
    <s v="GARCÍA MONTERO MAICOL"/>
    <n v="111"/>
    <n v="0"/>
    <n v="6451096"/>
  </r>
  <r>
    <s v="Franquicias Sell Out QUEST"/>
    <s v="FQ111 - Tulua - CC Super Centro la 14"/>
    <x v="1"/>
    <s v="octubre"/>
    <n v="2"/>
    <d v="2026-10-02T00:00:00"/>
    <m/>
    <m/>
    <n v="0"/>
    <n v="8611036"/>
    <n v="0"/>
  </r>
  <r>
    <s v="Franquicias Sell Out QUEST"/>
    <s v="FQ111 - Tulua - CC Super Centro la 14"/>
    <x v="1"/>
    <s v="octubre"/>
    <n v="2"/>
    <d v="2026-10-02T00:00:00"/>
    <n v="1094911295"/>
    <m/>
    <n v="1"/>
    <n v="0"/>
    <n v="46177"/>
  </r>
  <r>
    <s v="Franquicias Sell Out QUEST"/>
    <s v="FQ111 - Tulua - CC Super Centro la 14"/>
    <x v="1"/>
    <s v="octubre"/>
    <n v="2"/>
    <d v="2026-10-02T00:00:00"/>
    <n v="1116254223"/>
    <s v="GONZÁLEZ DEVIA CAMILA ANDREA"/>
    <n v="64"/>
    <n v="0"/>
    <n v="3770339"/>
  </r>
  <r>
    <s v="Franquicias Sell Out QUEST"/>
    <s v="FQ111 - Tulua - CC Super Centro la 14"/>
    <x v="1"/>
    <s v="octubre"/>
    <n v="2"/>
    <d v="2026-10-02T00:00:00"/>
    <n v="1116280165"/>
    <s v="GARCÍA MONTERO MAICOL"/>
    <n v="59"/>
    <n v="0"/>
    <n v="3552023"/>
  </r>
  <r>
    <s v="Franquicias Sell Out QUEST"/>
    <s v="FQ111 - Tulua - CC Super Centro la 14"/>
    <x v="1"/>
    <s v="octubre"/>
    <n v="3"/>
    <d v="2026-10-03T00:00:00"/>
    <m/>
    <m/>
    <n v="0"/>
    <n v="16583028"/>
    <n v="0"/>
  </r>
  <r>
    <s v="Franquicias Sell Out QUEST"/>
    <s v="FQ111 - Tulua - CC Super Centro la 14"/>
    <x v="1"/>
    <s v="octubre"/>
    <n v="3"/>
    <d v="2026-10-03T00:00:00"/>
    <n v="1116254223"/>
    <s v="GONZÁLEZ DEVIA CAMILA ANDREA"/>
    <n v="112"/>
    <n v="0"/>
    <n v="6064769"/>
  </r>
  <r>
    <s v="Franquicias Sell Out QUEST"/>
    <s v="FQ111 - Tulua - CC Super Centro la 14"/>
    <x v="1"/>
    <s v="octubre"/>
    <n v="3"/>
    <d v="2026-10-03T00:00:00"/>
    <n v="1116280165"/>
    <s v="GARCÍA MONTERO MAICOL"/>
    <n v="97"/>
    <n v="0"/>
    <n v="5432309"/>
  </r>
  <r>
    <s v="Franquicias Sell Out QUEST"/>
    <s v="FQ111 - Tulua - CC Super Centro la 14"/>
    <x v="1"/>
    <s v="octubre"/>
    <n v="4"/>
    <d v="2026-10-04T00:00:00"/>
    <m/>
    <m/>
    <n v="0"/>
    <n v="14986790"/>
    <n v="0"/>
  </r>
  <r>
    <s v="Franquicias Sell Out QUEST"/>
    <s v="FQ111 - Tulua - CC Super Centro la 14"/>
    <x v="1"/>
    <s v="octubre"/>
    <n v="4"/>
    <d v="2026-10-04T00:00:00"/>
    <n v="1116254223"/>
    <s v="GONZÁLEZ DEVIA CAMILA ANDREA"/>
    <n v="230"/>
    <n v="0"/>
    <n v="13882831"/>
  </r>
  <r>
    <s v="Franquicias Sell Out QUEST"/>
    <s v="FQ111 - Tulua - CC Super Centro la 14"/>
    <x v="1"/>
    <s v="octubre"/>
    <n v="4"/>
    <d v="2026-10-04T00:00:00"/>
    <n v="1116280165"/>
    <s v="GARCÍA MONTERO MAICOL"/>
    <n v="46"/>
    <n v="0"/>
    <n v="2680802"/>
  </r>
  <r>
    <s v="Franquicias Sell Out QUEST"/>
    <s v="FQ111 - Tulua - CC Super Centro la 14"/>
    <x v="1"/>
    <s v="octubre"/>
    <n v="5"/>
    <d v="2026-10-05T00:00:00"/>
    <m/>
    <m/>
    <n v="0"/>
    <n v="4664442"/>
    <n v="0"/>
  </r>
  <r>
    <s v="Franquicias Sell Out QUEST"/>
    <s v="FQ111 - Tulua - CC Super Centro la 14"/>
    <x v="1"/>
    <s v="octubre"/>
    <n v="5"/>
    <d v="2026-10-05T00:00:00"/>
    <n v="1116254223"/>
    <s v="GONZÁLEZ DEVIA CAMILA ANDREA"/>
    <n v="108"/>
    <n v="0"/>
    <n v="6203365"/>
  </r>
  <r>
    <s v="Franquicias Sell Out QUEST"/>
    <s v="FQ111 - Tulua - CC Super Centro la 14"/>
    <x v="1"/>
    <s v="octubre"/>
    <n v="5"/>
    <d v="2026-10-05T00:00:00"/>
    <n v="1116280165"/>
    <s v="GARCÍA MONTERO MAICOL"/>
    <n v="-5"/>
    <n v="0"/>
    <n v="-367437"/>
  </r>
  <r>
    <s v="Franquicias Sell Out QUEST"/>
    <s v="FQ111 - Tulua - CC Super Centro la 14"/>
    <x v="1"/>
    <s v="octubre"/>
    <n v="6"/>
    <d v="2026-10-06T00:00:00"/>
    <m/>
    <m/>
    <n v="0"/>
    <n v="642632"/>
    <n v="0"/>
  </r>
  <r>
    <s v="Franquicias Sell Out QUEST"/>
    <s v="FQ111 - Tulua - CC Super Centro la 14"/>
    <x v="1"/>
    <s v="octubre"/>
    <n v="6"/>
    <d v="2026-10-06T00:00:00"/>
    <n v="1116254223"/>
    <s v="GONZÁLEZ DEVIA CAMILA ANDREA"/>
    <n v="60"/>
    <n v="0"/>
    <n v="4119203"/>
  </r>
  <r>
    <s v="Franquicias Sell Out QUEST"/>
    <s v="FQ111 - Tulua - CC Super Centro la 14"/>
    <x v="1"/>
    <s v="octubre"/>
    <n v="6"/>
    <d v="2026-10-06T00:00:00"/>
    <n v="1116280165"/>
    <s v="GARCÍA MONTERO MAICOL"/>
    <n v="0"/>
    <n v="0"/>
    <n v="0"/>
  </r>
  <r>
    <s v="Franquicias Sell Out QUEST"/>
    <s v="FQ111 - Tulua - CC Super Centro la 14"/>
    <x v="1"/>
    <s v="octubre"/>
    <n v="7"/>
    <d v="2026-10-07T00:00:00"/>
    <m/>
    <m/>
    <n v="0"/>
    <n v="2175931"/>
    <n v="0"/>
  </r>
  <r>
    <s v="Franquicias Sell Out QUEST"/>
    <s v="FQ111 - Tulua - CC Super Centro la 14"/>
    <x v="1"/>
    <s v="octubre"/>
    <n v="7"/>
    <d v="2026-10-07T00:00:00"/>
    <n v="1116254223"/>
    <s v="GONZÁLEZ DEVIA CAMILA ANDREA"/>
    <n v="49"/>
    <n v="0"/>
    <n v="3210129"/>
  </r>
  <r>
    <s v="Franquicias Sell Out QUEST"/>
    <s v="FQ111 - Tulua - CC Super Centro la 14"/>
    <x v="1"/>
    <s v="octubre"/>
    <n v="7"/>
    <d v="2026-10-07T00:00:00"/>
    <n v="1116280165"/>
    <s v="GARCÍA MONTERO MAICOL"/>
    <n v="-1"/>
    <n v="0"/>
    <n v="-54580"/>
  </r>
  <r>
    <s v="Retail"/>
    <s v="Q007 - Tulua - Centro"/>
    <x v="1"/>
    <s v="septiembre"/>
    <n v="23"/>
    <d v="2026-09-23T00:00:00"/>
    <m/>
    <m/>
    <n v="0"/>
    <n v="6281682"/>
    <n v="0"/>
  </r>
  <r>
    <s v="Retail"/>
    <s v="Q007 - Tulua - Centro"/>
    <x v="1"/>
    <s v="septiembre"/>
    <n v="23"/>
    <d v="2026-09-23T00:00:00"/>
    <n v="29314714"/>
    <s v="MORENO POLANCO VIVIANA"/>
    <n v="90"/>
    <n v="0"/>
    <n v="4810966"/>
  </r>
  <r>
    <s v="Retail"/>
    <s v="Q007 - Tulua - Centro"/>
    <x v="1"/>
    <s v="septiembre"/>
    <n v="23"/>
    <d v="2026-09-23T00:00:00"/>
    <n v="1006321986"/>
    <s v="OCAMPO ANGRINO MELISSA"/>
    <n v="33"/>
    <n v="0"/>
    <n v="1603322"/>
  </r>
  <r>
    <s v="Retail"/>
    <s v="Q007 - Tulua - Centro"/>
    <x v="1"/>
    <s v="septiembre"/>
    <n v="23"/>
    <d v="2026-09-23T00:00:00"/>
    <n v="1114062675"/>
    <s v="HERNANDEZ SOLANO GEIDY CAROLINA"/>
    <n v="30"/>
    <n v="0"/>
    <n v="1433403"/>
  </r>
  <r>
    <s v="Retail"/>
    <s v="Q007 - Tulua - Centro"/>
    <x v="1"/>
    <s v="septiembre"/>
    <n v="24"/>
    <d v="2026-09-24T00:00:00"/>
    <m/>
    <m/>
    <n v="0"/>
    <n v="9595980"/>
    <n v="0"/>
  </r>
  <r>
    <s v="Retail"/>
    <s v="Q007 - Tulua - Centro"/>
    <x v="1"/>
    <s v="septiembre"/>
    <n v="24"/>
    <d v="2026-09-24T00:00:00"/>
    <n v="29314714"/>
    <s v="MORENO POLANCO VIVIANA"/>
    <n v="52"/>
    <n v="0"/>
    <n v="2632189"/>
  </r>
  <r>
    <s v="Retail"/>
    <s v="Q007 - Tulua - Centro"/>
    <x v="1"/>
    <s v="septiembre"/>
    <n v="24"/>
    <d v="2026-09-24T00:00:00"/>
    <n v="1006321986"/>
    <s v="OCAMPO ANGRINO MELISSA"/>
    <n v="39"/>
    <n v="0"/>
    <n v="2061219"/>
  </r>
  <r>
    <s v="Retail"/>
    <s v="Q007 - Tulua - Centro"/>
    <x v="1"/>
    <s v="septiembre"/>
    <n v="24"/>
    <d v="2026-09-24T00:00:00"/>
    <n v="1114062675"/>
    <s v="HERNANDEZ SOLANO GEIDY CAROLINA"/>
    <n v="28"/>
    <n v="0"/>
    <n v="1343194"/>
  </r>
  <r>
    <s v="Retail"/>
    <s v="Q007 - Tulua - Centro"/>
    <x v="1"/>
    <s v="septiembre"/>
    <n v="24"/>
    <d v="2026-09-24T00:00:00"/>
    <n v="1116280441"/>
    <s v="LOPEZ ARBELAEZ ESTEBAN"/>
    <n v="-1"/>
    <n v="0"/>
    <n v="-105000"/>
  </r>
  <r>
    <s v="Retail"/>
    <s v="Q007 - Tulua - Centro"/>
    <x v="1"/>
    <s v="septiembre"/>
    <n v="25"/>
    <d v="2026-09-25T00:00:00"/>
    <m/>
    <m/>
    <n v="0"/>
    <n v="9574737"/>
    <n v="0"/>
  </r>
  <r>
    <s v="Retail"/>
    <s v="Q007 - Tulua - Centro"/>
    <x v="1"/>
    <s v="septiembre"/>
    <n v="25"/>
    <d v="2026-09-25T00:00:00"/>
    <n v="29314714"/>
    <s v="MORENO POLANCO VIVIANA"/>
    <n v="95"/>
    <n v="0"/>
    <n v="4838074"/>
  </r>
  <r>
    <s v="Retail"/>
    <s v="Q007 - Tulua - Centro"/>
    <x v="1"/>
    <s v="septiembre"/>
    <n v="25"/>
    <d v="2026-09-25T00:00:00"/>
    <n v="1006321986"/>
    <s v="OCAMPO ANGRINO MELISSA"/>
    <n v="38"/>
    <n v="0"/>
    <n v="1737520"/>
  </r>
  <r>
    <s v="Retail"/>
    <s v="Q007 - Tulua - Centro"/>
    <x v="1"/>
    <s v="septiembre"/>
    <n v="25"/>
    <d v="2026-09-25T00:00:00"/>
    <n v="1113038720"/>
    <s v="GONZALEZ CAICEDO SANDRA YURANI"/>
    <n v="-1"/>
    <n v="0"/>
    <n v="-71386"/>
  </r>
  <r>
    <s v="Retail"/>
    <s v="Q007 - Tulua - Centro"/>
    <x v="1"/>
    <s v="septiembre"/>
    <n v="25"/>
    <d v="2026-09-25T00:00:00"/>
    <n v="1114062675"/>
    <s v="HERNANDEZ SOLANO GEIDY CAROLINA"/>
    <n v="32"/>
    <n v="0"/>
    <n v="1868403"/>
  </r>
  <r>
    <s v="Retail"/>
    <s v="Q007 - Tulua - Centro"/>
    <x v="1"/>
    <s v="septiembre"/>
    <n v="25"/>
    <d v="2026-09-25T00:00:00"/>
    <n v="1116284273"/>
    <s v="LONDOÑO VILLEGAS NICOLE ANDREA"/>
    <n v="-1"/>
    <n v="0"/>
    <n v="-54580"/>
  </r>
  <r>
    <s v="Retail"/>
    <s v="Q007 - Tulua - Centro"/>
    <x v="1"/>
    <s v="septiembre"/>
    <n v="26"/>
    <d v="2026-09-26T00:00:00"/>
    <m/>
    <m/>
    <n v="0"/>
    <n v="13760272"/>
    <n v="0"/>
  </r>
  <r>
    <s v="Retail"/>
    <s v="Q007 - Tulua - Centro"/>
    <x v="1"/>
    <s v="septiembre"/>
    <n v="26"/>
    <d v="2026-09-26T00:00:00"/>
    <n v="29314714"/>
    <s v="MORENO POLANCO VIVIANA"/>
    <n v="66"/>
    <n v="0"/>
    <n v="3358325"/>
  </r>
  <r>
    <s v="Retail"/>
    <s v="Q007 - Tulua - Centro"/>
    <x v="1"/>
    <s v="septiembre"/>
    <n v="26"/>
    <d v="2026-09-26T00:00:00"/>
    <n v="1006321986"/>
    <s v="OCAMPO ANGRINO MELISSA"/>
    <n v="49"/>
    <n v="0"/>
    <n v="2747778"/>
  </r>
  <r>
    <s v="Retail"/>
    <s v="Q007 - Tulua - Centro"/>
    <x v="1"/>
    <s v="septiembre"/>
    <n v="26"/>
    <d v="2026-09-26T00:00:00"/>
    <n v="1114062675"/>
    <s v="HERNANDEZ SOLANO GEIDY CAROLINA"/>
    <n v="33"/>
    <n v="0"/>
    <n v="1864034"/>
  </r>
  <r>
    <s v="Retail"/>
    <s v="Q007 - Tulua - Centro"/>
    <x v="1"/>
    <s v="septiembre"/>
    <n v="26"/>
    <d v="2026-09-26T00:00:00"/>
    <n v="1140421188"/>
    <s v="PARRA  JIMENEZ YENNY LORENA "/>
    <n v="-2"/>
    <n v="0"/>
    <n v="-142773"/>
  </r>
  <r>
    <s v="Retail"/>
    <s v="Q007 - Tulua - Centro"/>
    <x v="1"/>
    <s v="septiembre"/>
    <n v="27"/>
    <d v="2026-09-27T00:00:00"/>
    <m/>
    <m/>
    <n v="0"/>
    <n v="10900907"/>
    <n v="0"/>
  </r>
  <r>
    <s v="Retail"/>
    <s v="Q007 - Tulua - Centro"/>
    <x v="1"/>
    <s v="septiembre"/>
    <n v="27"/>
    <d v="2026-09-27T00:00:00"/>
    <n v="29314714"/>
    <s v="MORENO POLANCO VIVIANA"/>
    <n v="18"/>
    <n v="0"/>
    <n v="999202"/>
  </r>
  <r>
    <s v="Retail"/>
    <s v="Q007 - Tulua - Centro"/>
    <x v="1"/>
    <s v="septiembre"/>
    <n v="27"/>
    <d v="2026-09-27T00:00:00"/>
    <n v="1006321986"/>
    <s v="OCAMPO ANGRINO MELISSA"/>
    <n v="7"/>
    <n v="0"/>
    <n v="415673"/>
  </r>
  <r>
    <s v="Retail"/>
    <s v="Q007 - Tulua - Centro"/>
    <x v="1"/>
    <s v="septiembre"/>
    <n v="27"/>
    <d v="2026-09-27T00:00:00"/>
    <n v="1114062675"/>
    <s v="HERNANDEZ SOLANO GEIDY CAROLINA"/>
    <n v="9"/>
    <n v="0"/>
    <n v="571052"/>
  </r>
  <r>
    <s v="Retail"/>
    <s v="Q007 - Tulua - Centro"/>
    <x v="1"/>
    <s v="septiembre"/>
    <n v="28"/>
    <d v="2026-09-28T00:00:00"/>
    <m/>
    <m/>
    <n v="0"/>
    <n v="6137693"/>
    <n v="0"/>
  </r>
  <r>
    <s v="Retail"/>
    <s v="Q007 - Tulua - Centro"/>
    <x v="1"/>
    <s v="septiembre"/>
    <n v="28"/>
    <d v="2026-09-28T00:00:00"/>
    <n v="29314714"/>
    <s v="MORENO POLANCO VIVIANA"/>
    <n v="46"/>
    <n v="0"/>
    <n v="2804629"/>
  </r>
  <r>
    <s v="Retail"/>
    <s v="Q007 - Tulua - Centro"/>
    <x v="1"/>
    <s v="septiembre"/>
    <n v="28"/>
    <d v="2026-09-28T00:00:00"/>
    <n v="1006321986"/>
    <s v="OCAMPO ANGRINO MELISSA"/>
    <n v="25"/>
    <n v="0"/>
    <n v="1213111"/>
  </r>
  <r>
    <s v="Retail"/>
    <s v="Q007 - Tulua - Centro"/>
    <x v="1"/>
    <s v="septiembre"/>
    <n v="28"/>
    <d v="2026-09-28T00:00:00"/>
    <n v="1113038720"/>
    <s v="GONZALEZ CAICEDO SANDRA YURANI"/>
    <n v="-1"/>
    <n v="0"/>
    <n v="-71386"/>
  </r>
  <r>
    <s v="Retail"/>
    <s v="Q007 - Tulua - Centro"/>
    <x v="1"/>
    <s v="septiembre"/>
    <n v="28"/>
    <d v="2026-09-28T00:00:00"/>
    <n v="1114062675"/>
    <s v="HERNANDEZ SOLANO GEIDY CAROLINA"/>
    <n v="12"/>
    <n v="0"/>
    <n v="747353"/>
  </r>
  <r>
    <s v="Retail"/>
    <s v="Q007 - Tulua - Centro"/>
    <x v="1"/>
    <s v="septiembre"/>
    <n v="28"/>
    <d v="2026-09-28T00:00:00"/>
    <n v="1116280441"/>
    <s v="LOPEZ ARBELAEZ ESTEBAN"/>
    <n v="-1"/>
    <n v="0"/>
    <n v="-50378"/>
  </r>
  <r>
    <s v="Retail"/>
    <s v="Q007 - Tulua - Centro"/>
    <x v="1"/>
    <s v="septiembre"/>
    <n v="28"/>
    <d v="2026-09-28T00:00:00"/>
    <n v="1140421188"/>
    <s v="PARRA  JIMENEZ YENNY LORENA "/>
    <n v="-1"/>
    <n v="0"/>
    <n v="-113403"/>
  </r>
  <r>
    <s v="Retail"/>
    <s v="Q007 - Tulua - Centro"/>
    <x v="1"/>
    <s v="septiembre"/>
    <n v="29"/>
    <d v="2026-09-29T00:00:00"/>
    <m/>
    <m/>
    <n v="0"/>
    <n v="6270263"/>
    <n v="0"/>
  </r>
  <r>
    <s v="Retail"/>
    <s v="Q007 - Tulua - Centro"/>
    <x v="1"/>
    <s v="septiembre"/>
    <n v="29"/>
    <d v="2026-09-29T00:00:00"/>
    <n v="29314714"/>
    <s v="MORENO POLANCO VIVIANA"/>
    <n v="24"/>
    <n v="0"/>
    <n v="1402354"/>
  </r>
  <r>
    <s v="Retail"/>
    <s v="Q007 - Tulua - Centro"/>
    <x v="1"/>
    <s v="septiembre"/>
    <n v="29"/>
    <d v="2026-09-29T00:00:00"/>
    <n v="1006321986"/>
    <s v="OCAMPO ANGRINO MELISSA"/>
    <n v="15"/>
    <n v="0"/>
    <n v="1083406"/>
  </r>
  <r>
    <s v="Retail"/>
    <s v="Q007 - Tulua - Centro"/>
    <x v="1"/>
    <s v="septiembre"/>
    <n v="29"/>
    <d v="2026-09-29T00:00:00"/>
    <n v="1114062675"/>
    <s v="HERNANDEZ SOLANO GEIDY CAROLINA"/>
    <n v="25"/>
    <n v="0"/>
    <n v="1456892"/>
  </r>
  <r>
    <s v="Retail"/>
    <s v="Q007 - Tulua - Centro"/>
    <x v="1"/>
    <s v="septiembre"/>
    <n v="29"/>
    <d v="2026-09-29T00:00:00"/>
    <n v="1140421188"/>
    <s v="PARRA  JIMENEZ YENNY LORENA "/>
    <n v="-1"/>
    <n v="0"/>
    <n v="-50378"/>
  </r>
  <r>
    <s v="Retail"/>
    <s v="Q007 - Tulua - Centro"/>
    <x v="1"/>
    <s v="septiembre"/>
    <n v="30"/>
    <d v="2026-09-30T00:00:00"/>
    <m/>
    <m/>
    <n v="0"/>
    <n v="6620141"/>
    <n v="0"/>
  </r>
  <r>
    <s v="Retail"/>
    <s v="Q007 - Tulua - Centro"/>
    <x v="1"/>
    <s v="septiembre"/>
    <n v="30"/>
    <d v="2026-09-30T00:00:00"/>
    <n v="29314714"/>
    <s v="MORENO POLANCO VIVIANA"/>
    <n v="46"/>
    <n v="0"/>
    <n v="2754246"/>
  </r>
  <r>
    <s v="Retail"/>
    <s v="Q007 - Tulua - Centro"/>
    <x v="1"/>
    <s v="septiembre"/>
    <n v="30"/>
    <d v="2026-09-30T00:00:00"/>
    <n v="1006321986"/>
    <s v="OCAMPO ANGRINO MELISSA"/>
    <n v="36"/>
    <n v="0"/>
    <n v="1882861"/>
  </r>
  <r>
    <s v="Retail"/>
    <s v="Q007 - Tulua - Centro"/>
    <x v="1"/>
    <s v="septiembre"/>
    <n v="30"/>
    <d v="2026-09-30T00:00:00"/>
    <n v="1114062675"/>
    <s v="HERNANDEZ SOLANO GEIDY CAROLINA"/>
    <n v="-2"/>
    <n v="0"/>
    <n v="-142773"/>
  </r>
  <r>
    <s v="Retail"/>
    <s v="Q007 - Tulua - Centro"/>
    <x v="1"/>
    <s v="septiembre"/>
    <n v="30"/>
    <d v="2026-09-30T00:00:00"/>
    <n v="1140421188"/>
    <s v="PARRA  JIMENEZ YENNY LORENA "/>
    <n v="-2"/>
    <n v="0"/>
    <n v="-159580"/>
  </r>
  <r>
    <s v="Retail"/>
    <s v="Q007 - Tulua - Centro"/>
    <x v="1"/>
    <s v="octubre"/>
    <n v="1"/>
    <d v="2026-10-01T00:00:00"/>
    <m/>
    <m/>
    <n v="0"/>
    <n v="4447457"/>
    <n v="0"/>
  </r>
  <r>
    <s v="Retail"/>
    <s v="Q007 - Tulua - Centro"/>
    <x v="1"/>
    <s v="octubre"/>
    <n v="1"/>
    <d v="2026-10-01T00:00:00"/>
    <n v="29314714"/>
    <s v="MORENO POLANCO VIVIANA"/>
    <n v="30"/>
    <n v="0"/>
    <n v="1561642"/>
  </r>
  <r>
    <s v="Retail"/>
    <s v="Q007 - Tulua - Centro"/>
    <x v="1"/>
    <s v="octubre"/>
    <n v="1"/>
    <d v="2026-10-01T00:00:00"/>
    <n v="1006321986"/>
    <s v="OCAMPO ANGRINO MELISSA"/>
    <n v="22"/>
    <n v="0"/>
    <n v="1213196"/>
  </r>
  <r>
    <s v="Retail"/>
    <s v="Q007 - Tulua - Centro"/>
    <x v="1"/>
    <s v="octubre"/>
    <n v="1"/>
    <d v="2026-10-01T00:00:00"/>
    <n v="1114062675"/>
    <s v="HERNANDEZ SOLANO GEIDY CAROLINA"/>
    <n v="36"/>
    <n v="0"/>
    <n v="1834497"/>
  </r>
  <r>
    <s v="Retail"/>
    <s v="Q007 - Tulua - Centro"/>
    <x v="1"/>
    <s v="octubre"/>
    <n v="2"/>
    <d v="2026-10-02T00:00:00"/>
    <m/>
    <m/>
    <n v="0"/>
    <n v="5879295"/>
    <n v="0"/>
  </r>
  <r>
    <s v="Retail"/>
    <s v="Q007 - Tulua - Centro"/>
    <x v="1"/>
    <s v="octubre"/>
    <n v="2"/>
    <d v="2026-10-02T00:00:00"/>
    <n v="29314714"/>
    <s v="MORENO POLANCO VIVIANA"/>
    <n v="32"/>
    <n v="0"/>
    <n v="1855551"/>
  </r>
  <r>
    <s v="Retail"/>
    <s v="Q007 - Tulua - Centro"/>
    <x v="1"/>
    <s v="octubre"/>
    <n v="2"/>
    <d v="2026-10-02T00:00:00"/>
    <n v="1006321986"/>
    <s v="OCAMPO ANGRINO MELISSA"/>
    <n v="19"/>
    <n v="0"/>
    <n v="1015967"/>
  </r>
  <r>
    <s v="Retail"/>
    <s v="Q007 - Tulua - Centro"/>
    <x v="1"/>
    <s v="octubre"/>
    <n v="2"/>
    <d v="2026-10-02T00:00:00"/>
    <n v="1114062675"/>
    <s v="HERNANDEZ SOLANO GEIDY CAROLINA"/>
    <n v="7"/>
    <n v="0"/>
    <n v="405169"/>
  </r>
  <r>
    <s v="Retail"/>
    <s v="Q007 - Tulua - Centro"/>
    <x v="1"/>
    <s v="octubre"/>
    <n v="3"/>
    <d v="2026-10-03T00:00:00"/>
    <m/>
    <m/>
    <n v="0"/>
    <n v="8703881"/>
    <n v="0"/>
  </r>
  <r>
    <s v="Retail"/>
    <s v="Q007 - Tulua - Centro"/>
    <x v="1"/>
    <s v="octubre"/>
    <n v="3"/>
    <d v="2026-10-03T00:00:00"/>
    <n v="29314714"/>
    <s v="MORENO POLANCO VIVIANA"/>
    <n v="96"/>
    <n v="0"/>
    <n v="5221608"/>
  </r>
  <r>
    <s v="Retail"/>
    <s v="Q007 - Tulua - Centro"/>
    <x v="1"/>
    <s v="octubre"/>
    <n v="3"/>
    <d v="2026-10-03T00:00:00"/>
    <n v="1006321986"/>
    <s v="OCAMPO ANGRINO MELISSA"/>
    <n v="54"/>
    <n v="0"/>
    <n v="2494112"/>
  </r>
  <r>
    <s v="Retail"/>
    <s v="Q007 - Tulua - Centro"/>
    <x v="1"/>
    <s v="octubre"/>
    <n v="3"/>
    <d v="2026-10-03T00:00:00"/>
    <n v="1114062675"/>
    <s v="HERNANDEZ SOLANO GEIDY CAROLINA"/>
    <n v="26"/>
    <n v="0"/>
    <n v="1194566"/>
  </r>
  <r>
    <s v="Retail"/>
    <s v="Q007 - Tulua - Centro"/>
    <x v="1"/>
    <s v="octubre"/>
    <n v="4"/>
    <d v="2026-10-04T00:00:00"/>
    <m/>
    <m/>
    <n v="0"/>
    <n v="3348673"/>
    <n v="0"/>
  </r>
  <r>
    <s v="Retail"/>
    <s v="Q007 - Tulua - Centro"/>
    <x v="1"/>
    <s v="octubre"/>
    <n v="4"/>
    <d v="2026-10-04T00:00:00"/>
    <n v="29314714"/>
    <s v="MORENO POLANCO VIVIANA"/>
    <n v="25"/>
    <n v="0"/>
    <n v="1322226"/>
  </r>
  <r>
    <s v="Retail"/>
    <s v="Q007 - Tulua - Centro"/>
    <x v="1"/>
    <s v="octubre"/>
    <n v="4"/>
    <d v="2026-10-04T00:00:00"/>
    <n v="1006321986"/>
    <s v="OCAMPO ANGRINO MELISSA"/>
    <n v="24"/>
    <n v="0"/>
    <n v="1330840"/>
  </r>
  <r>
    <s v="Retail"/>
    <s v="Q007 - Tulua - Centro"/>
    <x v="1"/>
    <s v="octubre"/>
    <n v="4"/>
    <d v="2026-10-04T00:00:00"/>
    <n v="1114062675"/>
    <s v="HERNANDEZ SOLANO GEIDY CAROLINA"/>
    <n v="8"/>
    <n v="0"/>
    <n v="369370"/>
  </r>
  <r>
    <s v="Retail"/>
    <s v="Q007 - Tulua - Centro"/>
    <x v="1"/>
    <s v="octubre"/>
    <n v="5"/>
    <d v="2026-10-05T00:00:00"/>
    <m/>
    <m/>
    <n v="0"/>
    <n v="5926259"/>
    <n v="0"/>
  </r>
  <r>
    <s v="Retail"/>
    <s v="Q007 - Tulua - Centro"/>
    <x v="1"/>
    <s v="octubre"/>
    <n v="5"/>
    <d v="2026-10-05T00:00:00"/>
    <n v="29314714"/>
    <s v="MORENO POLANCO VIVIANA"/>
    <n v="45"/>
    <n v="0"/>
    <n v="2607119"/>
  </r>
  <r>
    <s v="Retail"/>
    <s v="Q007 - Tulua - Centro"/>
    <x v="1"/>
    <s v="octubre"/>
    <n v="5"/>
    <d v="2026-10-05T00:00:00"/>
    <n v="1006321986"/>
    <s v="OCAMPO ANGRINO MELISSA"/>
    <n v="24"/>
    <n v="0"/>
    <n v="1435926"/>
  </r>
  <r>
    <s v="Retail"/>
    <s v="Q007 - Tulua - Centro"/>
    <x v="1"/>
    <s v="octubre"/>
    <n v="5"/>
    <d v="2026-10-05T00:00:00"/>
    <n v="1114062675"/>
    <s v="HERNANDEZ SOLANO GEIDY CAROLINA"/>
    <n v="11"/>
    <n v="0"/>
    <n v="907060"/>
  </r>
  <r>
    <s v="Retail"/>
    <s v="Q007 - Tulua - Centro"/>
    <x v="1"/>
    <s v="octubre"/>
    <n v="5"/>
    <d v="2026-10-05T00:00:00"/>
    <n v="1140421188"/>
    <s v="PARRA  JIMENEZ YENNY LORENA "/>
    <n v="-1"/>
    <n v="0"/>
    <n v="-54580"/>
  </r>
  <r>
    <s v="Retail"/>
    <s v="Q007 - Tulua - Centro"/>
    <x v="1"/>
    <s v="octubre"/>
    <n v="6"/>
    <d v="2026-10-06T00:00:00"/>
    <m/>
    <m/>
    <n v="0"/>
    <n v="2999385"/>
    <n v="0"/>
  </r>
  <r>
    <s v="Retail"/>
    <s v="Q007 - Tulua - Centro"/>
    <x v="1"/>
    <s v="octubre"/>
    <n v="6"/>
    <d v="2026-10-06T00:00:00"/>
    <n v="29314714"/>
    <s v="MORENO POLANCO VIVIANA"/>
    <n v="15"/>
    <n v="0"/>
    <n v="768068"/>
  </r>
  <r>
    <s v="Retail"/>
    <s v="Q007 - Tulua - Centro"/>
    <x v="1"/>
    <s v="octubre"/>
    <n v="6"/>
    <d v="2026-10-06T00:00:00"/>
    <n v="1006321986"/>
    <s v="OCAMPO ANGRINO MELISSA"/>
    <n v="11"/>
    <n v="0"/>
    <n v="609505"/>
  </r>
  <r>
    <s v="Retail"/>
    <s v="Q007 - Tulua - Centro"/>
    <x v="1"/>
    <s v="octubre"/>
    <n v="6"/>
    <d v="2026-10-06T00:00:00"/>
    <n v="1114062675"/>
    <s v="HERNANDEZ SOLANO GEIDY CAROLINA"/>
    <n v="6"/>
    <n v="0"/>
    <n v="386304"/>
  </r>
  <r>
    <s v="Retail"/>
    <s v="Q007 - Tulua - Centro"/>
    <x v="1"/>
    <s v="octubre"/>
    <n v="6"/>
    <d v="2026-10-06T00:00:00"/>
    <n v="1116280441"/>
    <s v="LOPEZ ARBELAEZ ESTEBAN"/>
    <n v="-1"/>
    <n v="0"/>
    <n v="-46177"/>
  </r>
  <r>
    <s v="Retail"/>
    <s v="Q007 - Tulua - Centro"/>
    <x v="1"/>
    <s v="octubre"/>
    <n v="6"/>
    <d v="2026-10-06T00:00:00"/>
    <n v="1140421188"/>
    <s v="PARRA  JIMENEZ YENNY LORENA "/>
    <n v="-1"/>
    <n v="0"/>
    <n v="-117605"/>
  </r>
  <r>
    <s v="Retail"/>
    <s v="Q007 - Tulua - Centro"/>
    <x v="1"/>
    <s v="octubre"/>
    <n v="7"/>
    <d v="2026-10-07T00:00:00"/>
    <m/>
    <m/>
    <n v="0"/>
    <n v="2967890"/>
    <n v="0"/>
  </r>
  <r>
    <s v="Retail"/>
    <s v="Q007 - Tulua - Centro"/>
    <x v="1"/>
    <s v="octubre"/>
    <n v="7"/>
    <d v="2026-10-07T00:00:00"/>
    <n v="29314714"/>
    <s v="MORENO POLANCO VIVIANA"/>
    <n v="33"/>
    <n v="0"/>
    <n v="1855635"/>
  </r>
  <r>
    <s v="Retail"/>
    <s v="Q007 - Tulua - Centro"/>
    <x v="1"/>
    <s v="octubre"/>
    <n v="7"/>
    <d v="2026-10-07T00:00:00"/>
    <n v="1006321986"/>
    <s v="OCAMPO ANGRINO MELISSA"/>
    <n v="16"/>
    <n v="0"/>
    <n v="869035"/>
  </r>
  <r>
    <s v="Retail"/>
    <s v="Q007 - Tulua - Centro"/>
    <x v="1"/>
    <s v="octubre"/>
    <n v="7"/>
    <d v="2026-10-07T00:00:00"/>
    <n v="1114062675"/>
    <s v="HERNANDEZ SOLANO GEIDY CAROLINA"/>
    <n v="3"/>
    <n v="0"/>
    <n v="184749"/>
  </r>
  <r>
    <s v="Retail"/>
    <s v="Q014 - Tulua - Cc Herradura"/>
    <x v="1"/>
    <s v="septiembre"/>
    <n v="23"/>
    <d v="2026-09-23T00:00:00"/>
    <m/>
    <m/>
    <n v="0"/>
    <n v="15426946"/>
    <n v="0"/>
  </r>
  <r>
    <s v="Retail"/>
    <s v="Q014 - Tulua - Cc Herradura"/>
    <x v="1"/>
    <s v="septiembre"/>
    <n v="23"/>
    <d v="2026-09-23T00:00:00"/>
    <n v="1006426250"/>
    <s v="RIVERA  MARIA BRILLY"/>
    <n v="8"/>
    <n v="0"/>
    <n v="417689"/>
  </r>
  <r>
    <s v="Retail"/>
    <s v="Q014 - Tulua - Cc Herradura"/>
    <x v="1"/>
    <s v="septiembre"/>
    <n v="23"/>
    <d v="2026-09-23T00:00:00"/>
    <n v="1006491147"/>
    <s v="SALINAS OSPINA JHOAN STEVEN"/>
    <n v="79"/>
    <n v="0"/>
    <n v="4395758"/>
  </r>
  <r>
    <s v="Retail"/>
    <s v="Q014 - Tulua - Cc Herradura"/>
    <x v="1"/>
    <s v="septiembre"/>
    <n v="23"/>
    <d v="2026-09-23T00:00:00"/>
    <n v="1116280441"/>
    <s v="LOPEZ ARBELAEZ ESTEBAN"/>
    <n v="72"/>
    <n v="0"/>
    <n v="4270042"/>
  </r>
  <r>
    <s v="Retail"/>
    <s v="Q014 - Tulua - Cc Herradura"/>
    <x v="1"/>
    <s v="septiembre"/>
    <n v="23"/>
    <d v="2026-09-23T00:00:00"/>
    <n v="1116284273"/>
    <s v="LONDOÑO VILLEGAS NICOLE ANDREA"/>
    <n v="108"/>
    <n v="0"/>
    <n v="6423870"/>
  </r>
  <r>
    <s v="Retail"/>
    <s v="Q014 - Tulua - Cc Herradura"/>
    <x v="1"/>
    <s v="septiembre"/>
    <n v="23"/>
    <d v="2026-09-23T00:00:00"/>
    <n v="1140421188"/>
    <s v="PARRA  JIMENEZ YENNY LORENA "/>
    <n v="-1"/>
    <n v="0"/>
    <n v="-167983"/>
  </r>
  <r>
    <s v="Retail"/>
    <s v="Q014 - Tulua - Cc Herradura"/>
    <x v="1"/>
    <s v="septiembre"/>
    <n v="24"/>
    <d v="2026-09-24T00:00:00"/>
    <m/>
    <m/>
    <n v="0"/>
    <n v="23566394"/>
    <n v="0"/>
  </r>
  <r>
    <s v="Retail"/>
    <s v="Q014 - Tulua - Cc Herradura"/>
    <x v="1"/>
    <s v="septiembre"/>
    <n v="24"/>
    <d v="2026-09-24T00:00:00"/>
    <n v="1006426250"/>
    <s v="RIVERA  MARIA BRILLY"/>
    <n v="11"/>
    <n v="0"/>
    <n v="541513"/>
  </r>
  <r>
    <s v="Retail"/>
    <s v="Q014 - Tulua - Cc Herradura"/>
    <x v="1"/>
    <s v="septiembre"/>
    <n v="24"/>
    <d v="2026-09-24T00:00:00"/>
    <n v="1006491147"/>
    <s v="SALINAS OSPINA JHOAN STEVEN"/>
    <n v="40"/>
    <n v="0"/>
    <n v="2407942"/>
  </r>
  <r>
    <s v="Retail"/>
    <s v="Q014 - Tulua - Cc Herradura"/>
    <x v="1"/>
    <s v="septiembre"/>
    <n v="24"/>
    <d v="2026-09-24T00:00:00"/>
    <n v="1116280441"/>
    <s v="LOPEZ ARBELAEZ ESTEBAN"/>
    <n v="45"/>
    <n v="0"/>
    <n v="2466598"/>
  </r>
  <r>
    <s v="Retail"/>
    <s v="Q014 - Tulua - Cc Herradura"/>
    <x v="1"/>
    <s v="septiembre"/>
    <n v="24"/>
    <d v="2026-09-24T00:00:00"/>
    <n v="1116284273"/>
    <s v="LONDOÑO VILLEGAS NICOLE ANDREA"/>
    <n v="51"/>
    <n v="0"/>
    <n v="2689032"/>
  </r>
  <r>
    <s v="Retail"/>
    <s v="Q014 - Tulua - Cc Herradura"/>
    <x v="1"/>
    <s v="septiembre"/>
    <n v="24"/>
    <d v="2026-09-24T00:00:00"/>
    <n v="1117349542"/>
    <s v="BECERRA OSPINA SOFIA"/>
    <n v="7"/>
    <n v="0"/>
    <n v="411471"/>
  </r>
  <r>
    <s v="Retail"/>
    <s v="Q014 - Tulua - Cc Herradura"/>
    <x v="1"/>
    <s v="septiembre"/>
    <n v="24"/>
    <d v="2026-09-24T00:00:00"/>
    <n v="1140421188"/>
    <s v="PARRA  JIMENEZ YENNY LORENA "/>
    <n v="-1"/>
    <n v="0"/>
    <n v="-92353"/>
  </r>
  <r>
    <s v="Retail"/>
    <s v="Q014 - Tulua - Cc Herradura"/>
    <x v="1"/>
    <s v="septiembre"/>
    <n v="25"/>
    <d v="2026-09-25T00:00:00"/>
    <m/>
    <m/>
    <n v="0"/>
    <n v="23514223"/>
    <n v="0"/>
  </r>
  <r>
    <s v="Retail"/>
    <s v="Q014 - Tulua - Cc Herradura"/>
    <x v="1"/>
    <s v="septiembre"/>
    <n v="25"/>
    <d v="2026-09-25T00:00:00"/>
    <n v="1006426250"/>
    <s v="RIVERA  MARIA BRILLY"/>
    <n v="24"/>
    <n v="0"/>
    <n v="1297312"/>
  </r>
  <r>
    <s v="Retail"/>
    <s v="Q014 - Tulua - Cc Herradura"/>
    <x v="1"/>
    <s v="septiembre"/>
    <n v="25"/>
    <d v="2026-09-25T00:00:00"/>
    <n v="1006491147"/>
    <s v="SALINAS OSPINA JHOAN STEVEN"/>
    <n v="40"/>
    <n v="0"/>
    <n v="2510802"/>
  </r>
  <r>
    <s v="Retail"/>
    <s v="Q014 - Tulua - Cc Herradura"/>
    <x v="1"/>
    <s v="septiembre"/>
    <n v="25"/>
    <d v="2026-09-25T00:00:00"/>
    <n v="1116280441"/>
    <s v="LOPEZ ARBELAEZ ESTEBAN"/>
    <n v="41"/>
    <n v="0"/>
    <n v="2758784"/>
  </r>
  <r>
    <s v="Retail"/>
    <s v="Q014 - Tulua - Cc Herradura"/>
    <x v="1"/>
    <s v="septiembre"/>
    <n v="25"/>
    <d v="2026-09-25T00:00:00"/>
    <n v="1116284273"/>
    <s v="LONDOÑO VILLEGAS NICOLE ANDREA"/>
    <n v="44"/>
    <n v="0"/>
    <n v="2670420"/>
  </r>
  <r>
    <s v="Retail"/>
    <s v="Q014 - Tulua - Cc Herradura"/>
    <x v="1"/>
    <s v="septiembre"/>
    <n v="25"/>
    <d v="2026-09-25T00:00:00"/>
    <n v="1117349542"/>
    <s v="BECERRA OSPINA SOFIA"/>
    <n v="1"/>
    <n v="0"/>
    <n v="109202"/>
  </r>
  <r>
    <s v="Retail"/>
    <s v="Q014 - Tulua - Cc Herradura"/>
    <x v="1"/>
    <s v="septiembre"/>
    <n v="26"/>
    <d v="2026-09-26T00:00:00"/>
    <m/>
    <m/>
    <n v="0"/>
    <n v="33793320"/>
    <n v="0"/>
  </r>
  <r>
    <s v="Retail"/>
    <s v="Q014 - Tulua - Cc Herradura"/>
    <x v="1"/>
    <s v="septiembre"/>
    <n v="26"/>
    <d v="2026-09-26T00:00:00"/>
    <n v="1006426250"/>
    <s v="RIVERA  MARIA BRILLY"/>
    <n v="38"/>
    <n v="0"/>
    <n v="2426935"/>
  </r>
  <r>
    <s v="Retail"/>
    <s v="Q014 - Tulua - Cc Herradura"/>
    <x v="1"/>
    <s v="septiembre"/>
    <n v="26"/>
    <d v="2026-09-26T00:00:00"/>
    <n v="1006491147"/>
    <s v="SALINAS OSPINA JHOAN STEVEN"/>
    <n v="64"/>
    <n v="0"/>
    <n v="3908782"/>
  </r>
  <r>
    <s v="Retail"/>
    <s v="Q014 - Tulua - Cc Herradura"/>
    <x v="1"/>
    <s v="septiembre"/>
    <n v="26"/>
    <d v="2026-09-26T00:00:00"/>
    <n v="1116280441"/>
    <s v="LOPEZ ARBELAEZ ESTEBAN"/>
    <n v="117"/>
    <n v="0"/>
    <n v="7053871"/>
  </r>
  <r>
    <s v="Retail"/>
    <s v="Q014 - Tulua - Cc Herradura"/>
    <x v="1"/>
    <s v="septiembre"/>
    <n v="26"/>
    <d v="2026-09-26T00:00:00"/>
    <n v="1116284273"/>
    <s v="LONDOÑO VILLEGAS NICOLE ANDREA"/>
    <n v="75"/>
    <n v="0"/>
    <n v="4557651"/>
  </r>
  <r>
    <s v="Retail"/>
    <s v="Q014 - Tulua - Cc Herradura"/>
    <x v="1"/>
    <s v="septiembre"/>
    <n v="26"/>
    <d v="2026-09-26T00:00:00"/>
    <n v="1117349542"/>
    <s v="BECERRA OSPINA SOFIA"/>
    <n v="1"/>
    <n v="0"/>
    <n v="41975"/>
  </r>
  <r>
    <s v="Retail"/>
    <s v="Q014 - Tulua - Cc Herradura"/>
    <x v="1"/>
    <s v="septiembre"/>
    <n v="27"/>
    <d v="2026-09-27T00:00:00"/>
    <m/>
    <m/>
    <n v="0"/>
    <n v="26771111"/>
    <n v="0"/>
  </r>
  <r>
    <s v="Retail"/>
    <s v="Q014 - Tulua - Cc Herradura"/>
    <x v="1"/>
    <s v="septiembre"/>
    <n v="27"/>
    <d v="2026-09-27T00:00:00"/>
    <n v="29314714"/>
    <s v="MORENO POLANCO VIVIANA"/>
    <n v="-1"/>
    <n v="0"/>
    <n v="-83992"/>
  </r>
  <r>
    <s v="Retail"/>
    <s v="Q014 - Tulua - Cc Herradura"/>
    <x v="1"/>
    <s v="septiembre"/>
    <n v="27"/>
    <d v="2026-09-27T00:00:00"/>
    <n v="1006426250"/>
    <s v="RIVERA  MARIA BRILLY"/>
    <n v="8"/>
    <n v="0"/>
    <n v="554286"/>
  </r>
  <r>
    <s v="Retail"/>
    <s v="Q014 - Tulua - Cc Herradura"/>
    <x v="1"/>
    <s v="septiembre"/>
    <n v="27"/>
    <d v="2026-09-27T00:00:00"/>
    <n v="1006491147"/>
    <s v="SALINAS OSPINA JHOAN STEVEN"/>
    <n v="70"/>
    <n v="0"/>
    <n v="4509501"/>
  </r>
  <r>
    <s v="Retail"/>
    <s v="Q014 - Tulua - Cc Herradura"/>
    <x v="1"/>
    <s v="septiembre"/>
    <n v="27"/>
    <d v="2026-09-27T00:00:00"/>
    <n v="1038822751"/>
    <s v="HOYOS  LEON WENDY VANESSA "/>
    <n v="-1"/>
    <n v="0"/>
    <n v="-105000"/>
  </r>
  <r>
    <s v="Retail"/>
    <s v="Q014 - Tulua - Cc Herradura"/>
    <x v="1"/>
    <s v="septiembre"/>
    <n v="27"/>
    <d v="2026-09-27T00:00:00"/>
    <n v="1116280441"/>
    <s v="LOPEZ ARBELAEZ ESTEBAN"/>
    <n v="165"/>
    <n v="0"/>
    <n v="9832742"/>
  </r>
  <r>
    <s v="Retail"/>
    <s v="Q014 - Tulua - Cc Herradura"/>
    <x v="1"/>
    <s v="septiembre"/>
    <n v="27"/>
    <d v="2026-09-27T00:00:00"/>
    <n v="1116284273"/>
    <s v="LONDOÑO VILLEGAS NICOLE ANDREA"/>
    <n v="93"/>
    <n v="0"/>
    <n v="6119839"/>
  </r>
  <r>
    <s v="Retail"/>
    <s v="Q014 - Tulua - Cc Herradura"/>
    <x v="1"/>
    <s v="septiembre"/>
    <n v="27"/>
    <d v="2026-09-27T00:00:00"/>
    <n v="1117349542"/>
    <s v="BECERRA OSPINA SOFIA"/>
    <n v="8"/>
    <n v="0"/>
    <n v="390421"/>
  </r>
  <r>
    <s v="Retail"/>
    <s v="Q014 - Tulua - Cc Herradura"/>
    <x v="1"/>
    <s v="septiembre"/>
    <n v="28"/>
    <d v="2026-09-28T00:00:00"/>
    <m/>
    <m/>
    <n v="0"/>
    <n v="14733721"/>
    <n v="0"/>
  </r>
  <r>
    <s v="Retail"/>
    <s v="Q014 - Tulua - Cc Herradura"/>
    <x v="1"/>
    <s v="septiembre"/>
    <n v="28"/>
    <d v="2026-09-28T00:00:00"/>
    <n v="1006426250"/>
    <s v="RIVERA  MARIA BRILLY"/>
    <n v="11"/>
    <n v="0"/>
    <n v="619286"/>
  </r>
  <r>
    <s v="Retail"/>
    <s v="Q014 - Tulua - Cc Herradura"/>
    <x v="1"/>
    <s v="septiembre"/>
    <n v="28"/>
    <d v="2026-09-28T00:00:00"/>
    <n v="1006491147"/>
    <s v="SALINAS OSPINA JHOAN STEVEN"/>
    <n v="36"/>
    <n v="0"/>
    <n v="2641304"/>
  </r>
  <r>
    <s v="Retail"/>
    <s v="Q014 - Tulua - Cc Herradura"/>
    <x v="1"/>
    <s v="septiembre"/>
    <n v="28"/>
    <d v="2026-09-28T00:00:00"/>
    <n v="1114062675"/>
    <s v="HERNANDEZ SOLANO GEIDY CAROLINA"/>
    <n v="-1"/>
    <n v="0"/>
    <n v="-105000"/>
  </r>
  <r>
    <s v="Retail"/>
    <s v="Q014 - Tulua - Cc Herradura"/>
    <x v="1"/>
    <s v="septiembre"/>
    <n v="28"/>
    <d v="2026-09-28T00:00:00"/>
    <n v="1116280441"/>
    <s v="LOPEZ ARBELAEZ ESTEBAN"/>
    <n v="48"/>
    <n v="0"/>
    <n v="2731010"/>
  </r>
  <r>
    <s v="Retail"/>
    <s v="Q014 - Tulua - Cc Herradura"/>
    <x v="1"/>
    <s v="septiembre"/>
    <n v="28"/>
    <d v="2026-09-28T00:00:00"/>
    <n v="1116284273"/>
    <s v="LONDOÑO VILLEGAS NICOLE ANDREA"/>
    <n v="36"/>
    <n v="0"/>
    <n v="2124374"/>
  </r>
  <r>
    <s v="Retail"/>
    <s v="Q014 - Tulua - Cc Herradura"/>
    <x v="1"/>
    <s v="septiembre"/>
    <n v="29"/>
    <d v="2026-09-29T00:00:00"/>
    <m/>
    <m/>
    <n v="0"/>
    <n v="15738499"/>
    <n v="0"/>
  </r>
  <r>
    <s v="Retail"/>
    <s v="Q014 - Tulua - Cc Herradura"/>
    <x v="1"/>
    <s v="septiembre"/>
    <n v="29"/>
    <d v="2026-09-29T00:00:00"/>
    <n v="1006426250"/>
    <s v="RIVERA  MARIA BRILLY"/>
    <n v="31"/>
    <n v="0"/>
    <n v="1653993"/>
  </r>
  <r>
    <s v="Retail"/>
    <s v="Q014 - Tulua - Cc Herradura"/>
    <x v="1"/>
    <s v="septiembre"/>
    <n v="29"/>
    <d v="2026-09-29T00:00:00"/>
    <n v="1006491147"/>
    <s v="SALINAS OSPINA JHOAN STEVEN"/>
    <n v="43"/>
    <n v="0"/>
    <n v="2632565"/>
  </r>
  <r>
    <s v="Retail"/>
    <s v="Q014 - Tulua - Cc Herradura"/>
    <x v="1"/>
    <s v="septiembre"/>
    <n v="29"/>
    <d v="2026-09-29T00:00:00"/>
    <n v="1113038720"/>
    <s v="GONZALEZ CAICEDO SANDRA YURANI"/>
    <n v="-1"/>
    <n v="0"/>
    <n v="-88193"/>
  </r>
  <r>
    <s v="Retail"/>
    <s v="Q014 - Tulua - Cc Herradura"/>
    <x v="1"/>
    <s v="septiembre"/>
    <n v="29"/>
    <d v="2026-09-29T00:00:00"/>
    <n v="1116280441"/>
    <s v="LOPEZ ARBELAEZ ESTEBAN"/>
    <n v="50"/>
    <n v="0"/>
    <n v="2663339"/>
  </r>
  <r>
    <s v="Retail"/>
    <s v="Q014 - Tulua - Cc Herradura"/>
    <x v="1"/>
    <s v="septiembre"/>
    <n v="29"/>
    <d v="2026-09-29T00:00:00"/>
    <n v="1116284273"/>
    <s v="LONDOÑO VILLEGAS NICOLE ANDREA"/>
    <n v="47"/>
    <n v="0"/>
    <n v="2468237"/>
  </r>
  <r>
    <s v="Retail"/>
    <s v="Q014 - Tulua - Cc Herradura"/>
    <x v="1"/>
    <s v="septiembre"/>
    <n v="29"/>
    <d v="2026-09-29T00:00:00"/>
    <n v="1140421188"/>
    <s v="PARRA  JIMENEZ YENNY LORENA "/>
    <n v="-2"/>
    <n v="0"/>
    <n v="-210000"/>
  </r>
  <r>
    <s v="Retail"/>
    <s v="Q014 - Tulua - Cc Herradura"/>
    <x v="1"/>
    <s v="septiembre"/>
    <n v="30"/>
    <d v="2026-09-30T00:00:00"/>
    <m/>
    <m/>
    <n v="0"/>
    <n v="16258150"/>
    <n v="0"/>
  </r>
  <r>
    <s v="Retail"/>
    <s v="Q014 - Tulua - Cc Herradura"/>
    <x v="1"/>
    <s v="septiembre"/>
    <n v="30"/>
    <d v="2026-09-30T00:00:00"/>
    <n v="1006426250"/>
    <s v="RIVERA  MARIA BRILLY"/>
    <n v="30"/>
    <n v="0"/>
    <n v="1492270"/>
  </r>
  <r>
    <s v="Retail"/>
    <s v="Q014 - Tulua - Cc Herradura"/>
    <x v="1"/>
    <s v="septiembre"/>
    <n v="30"/>
    <d v="2026-09-30T00:00:00"/>
    <n v="1006491147"/>
    <s v="SALINAS OSPINA JHOAN STEVEN"/>
    <n v="32"/>
    <n v="0"/>
    <n v="1719036"/>
  </r>
  <r>
    <s v="Retail"/>
    <s v="Q014 - Tulua - Cc Herradura"/>
    <x v="1"/>
    <s v="septiembre"/>
    <n v="30"/>
    <d v="2026-09-30T00:00:00"/>
    <n v="1010076976"/>
    <s v="CARDONA TRUJILLO JUAN SEBASTIAN"/>
    <n v="-1"/>
    <n v="0"/>
    <n v="-41975"/>
  </r>
  <r>
    <s v="Retail"/>
    <s v="Q014 - Tulua - Cc Herradura"/>
    <x v="1"/>
    <s v="septiembre"/>
    <n v="30"/>
    <d v="2026-09-30T00:00:00"/>
    <n v="1116280441"/>
    <s v="LOPEZ ARBELAEZ ESTEBAN"/>
    <n v="29"/>
    <n v="0"/>
    <n v="1578656"/>
  </r>
  <r>
    <s v="Retail"/>
    <s v="Q014 - Tulua - Cc Herradura"/>
    <x v="1"/>
    <s v="septiembre"/>
    <n v="30"/>
    <d v="2026-09-30T00:00:00"/>
    <n v="1116284273"/>
    <s v="LONDOÑO VILLEGAS NICOLE ANDREA"/>
    <n v="35"/>
    <n v="0"/>
    <n v="2242101"/>
  </r>
  <r>
    <s v="Retail"/>
    <s v="Q014 - Tulua - Cc Herradura"/>
    <x v="1"/>
    <s v="octubre"/>
    <n v="1"/>
    <d v="2026-10-01T00:00:00"/>
    <m/>
    <m/>
    <n v="0"/>
    <n v="15679914"/>
    <n v="0"/>
  </r>
  <r>
    <s v="Retail"/>
    <s v="Q014 - Tulua - Cc Herradura"/>
    <x v="1"/>
    <s v="octubre"/>
    <n v="1"/>
    <d v="2026-10-01T00:00:00"/>
    <n v="29314714"/>
    <s v="MORENO POLANCO VIVIANA"/>
    <n v="-1"/>
    <n v="0"/>
    <n v="-58740"/>
  </r>
  <r>
    <s v="Retail"/>
    <s v="Q014 - Tulua - Cc Herradura"/>
    <x v="1"/>
    <s v="octubre"/>
    <n v="1"/>
    <d v="2026-10-01T00:00:00"/>
    <n v="1006426250"/>
    <s v="RIVERA  MARIA BRILLY"/>
    <n v="26"/>
    <n v="0"/>
    <n v="1423237"/>
  </r>
  <r>
    <s v="Retail"/>
    <s v="Q014 - Tulua - Cc Herradura"/>
    <x v="1"/>
    <s v="octubre"/>
    <n v="1"/>
    <d v="2026-10-01T00:00:00"/>
    <n v="1006491147"/>
    <s v="SALINAS OSPINA JHOAN STEVEN"/>
    <n v="54"/>
    <n v="0"/>
    <n v="3270719"/>
  </r>
  <r>
    <s v="Retail"/>
    <s v="Q014 - Tulua - Cc Herradura"/>
    <x v="1"/>
    <s v="octubre"/>
    <n v="1"/>
    <d v="2026-10-01T00:00:00"/>
    <n v="1116280441"/>
    <s v="LOPEZ ARBELAEZ ESTEBAN"/>
    <n v="47"/>
    <n v="0"/>
    <n v="2306725"/>
  </r>
  <r>
    <s v="Retail"/>
    <s v="Q014 - Tulua - Cc Herradura"/>
    <x v="1"/>
    <s v="octubre"/>
    <n v="1"/>
    <d v="2026-10-01T00:00:00"/>
    <n v="1116284273"/>
    <s v="LONDOÑO VILLEGAS NICOLE ANDREA"/>
    <n v="58"/>
    <n v="0"/>
    <n v="3293700"/>
  </r>
  <r>
    <s v="Retail"/>
    <s v="Q014 - Tulua - Cc Herradura"/>
    <x v="1"/>
    <s v="octubre"/>
    <n v="2"/>
    <d v="2026-10-02T00:00:00"/>
    <m/>
    <m/>
    <n v="0"/>
    <n v="15857391"/>
    <n v="0"/>
  </r>
  <r>
    <s v="Retail"/>
    <s v="Q014 - Tulua - Cc Herradura"/>
    <x v="1"/>
    <s v="octubre"/>
    <n v="2"/>
    <d v="2026-10-02T00:00:00"/>
    <n v="1006426250"/>
    <s v="RIVERA  MARIA BRILLY"/>
    <n v="7"/>
    <n v="0"/>
    <n v="386262"/>
  </r>
  <r>
    <s v="Retail"/>
    <s v="Q014 - Tulua - Cc Herradura"/>
    <x v="1"/>
    <s v="octubre"/>
    <n v="2"/>
    <d v="2026-10-02T00:00:00"/>
    <n v="1006491147"/>
    <s v="SALINAS OSPINA JHOAN STEVEN"/>
    <n v="44"/>
    <n v="0"/>
    <n v="2638868"/>
  </r>
  <r>
    <s v="Retail"/>
    <s v="Q014 - Tulua - Cc Herradura"/>
    <x v="1"/>
    <s v="octubre"/>
    <n v="2"/>
    <d v="2026-10-02T00:00:00"/>
    <n v="1116280441"/>
    <s v="LOPEZ ARBELAEZ ESTEBAN"/>
    <n v="51"/>
    <n v="0"/>
    <n v="3063025"/>
  </r>
  <r>
    <s v="Retail"/>
    <s v="Q014 - Tulua - Cc Herradura"/>
    <x v="1"/>
    <s v="octubre"/>
    <n v="2"/>
    <d v="2026-10-02T00:00:00"/>
    <n v="1116284273"/>
    <s v="LONDOÑO VILLEGAS NICOLE ANDREA"/>
    <n v="28"/>
    <n v="0"/>
    <n v="1883235"/>
  </r>
  <r>
    <s v="Retail"/>
    <s v="Q014 - Tulua - Cc Herradura"/>
    <x v="1"/>
    <s v="octubre"/>
    <n v="3"/>
    <d v="2026-10-03T00:00:00"/>
    <m/>
    <m/>
    <n v="0"/>
    <n v="17939920"/>
    <n v="0"/>
  </r>
  <r>
    <s v="Retail"/>
    <s v="Q014 - Tulua - Cc Herradura"/>
    <x v="1"/>
    <s v="octubre"/>
    <n v="3"/>
    <d v="2026-10-03T00:00:00"/>
    <n v="1006426250"/>
    <s v="RIVERA  MARIA BRILLY"/>
    <n v="55"/>
    <n v="0"/>
    <n v="3470364"/>
  </r>
  <r>
    <s v="Retail"/>
    <s v="Q014 - Tulua - Cc Herradura"/>
    <x v="1"/>
    <s v="octubre"/>
    <n v="3"/>
    <d v="2026-10-03T00:00:00"/>
    <n v="1006491147"/>
    <s v="SALINAS OSPINA JHOAN STEVEN"/>
    <n v="103"/>
    <n v="0"/>
    <n v="5608490"/>
  </r>
  <r>
    <s v="Retail"/>
    <s v="Q014 - Tulua - Cc Herradura"/>
    <x v="1"/>
    <s v="octubre"/>
    <n v="3"/>
    <d v="2026-10-03T00:00:00"/>
    <n v="1116280441"/>
    <s v="LOPEZ ARBELAEZ ESTEBAN"/>
    <n v="163"/>
    <n v="0"/>
    <n v="8947788"/>
  </r>
  <r>
    <s v="Retail"/>
    <s v="Q014 - Tulua - Cc Herradura"/>
    <x v="1"/>
    <s v="octubre"/>
    <n v="3"/>
    <d v="2026-10-03T00:00:00"/>
    <n v="1116284273"/>
    <s v="LONDOÑO VILLEGAS NICOLE ANDREA"/>
    <n v="134"/>
    <n v="0"/>
    <n v="7019850"/>
  </r>
  <r>
    <s v="Retail"/>
    <s v="Q014 - Tulua - Cc Herradura"/>
    <x v="1"/>
    <s v="octubre"/>
    <n v="3"/>
    <d v="2026-10-03T00:00:00"/>
    <n v="1117349542"/>
    <s v="BECERRA OSPINA SOFIA"/>
    <n v="2"/>
    <n v="0"/>
    <n v="54538"/>
  </r>
  <r>
    <s v="Retail"/>
    <s v="Q014 - Tulua - Cc Herradura"/>
    <x v="1"/>
    <s v="octubre"/>
    <n v="4"/>
    <d v="2026-10-04T00:00:00"/>
    <m/>
    <m/>
    <n v="0"/>
    <n v="20014477"/>
    <n v="0"/>
  </r>
  <r>
    <s v="Retail"/>
    <s v="Q014 - Tulua - Cc Herradura"/>
    <x v="1"/>
    <s v="octubre"/>
    <n v="4"/>
    <d v="2026-10-04T00:00:00"/>
    <n v="1006426250"/>
    <s v="RIVERA  MARIA BRILLY"/>
    <n v="57"/>
    <n v="0"/>
    <n v="3707611"/>
  </r>
  <r>
    <s v="Retail"/>
    <s v="Q014 - Tulua - Cc Herradura"/>
    <x v="1"/>
    <s v="octubre"/>
    <n v="4"/>
    <d v="2026-10-04T00:00:00"/>
    <n v="1006491147"/>
    <s v="SALINAS OSPINA JHOAN STEVEN"/>
    <n v="102"/>
    <n v="0"/>
    <n v="5865253"/>
  </r>
  <r>
    <s v="Retail"/>
    <s v="Q014 - Tulua - Cc Herradura"/>
    <x v="1"/>
    <s v="octubre"/>
    <n v="4"/>
    <d v="2026-10-04T00:00:00"/>
    <n v="1061716853"/>
    <s v="BARRERA TOLA LEIDY JOANA"/>
    <n v="-1"/>
    <n v="0"/>
    <n v="-147017"/>
  </r>
  <r>
    <s v="Retail"/>
    <s v="Q014 - Tulua - Cc Herradura"/>
    <x v="1"/>
    <s v="octubre"/>
    <n v="4"/>
    <d v="2026-10-04T00:00:00"/>
    <n v="1114062675"/>
    <s v="HERNANDEZ SOLANO GEIDY CAROLINA"/>
    <n v="-2"/>
    <n v="0"/>
    <n v="-92269"/>
  </r>
  <r>
    <s v="Retail"/>
    <s v="Q014 - Tulua - Cc Herradura"/>
    <x v="1"/>
    <s v="octubre"/>
    <n v="4"/>
    <d v="2026-10-04T00:00:00"/>
    <n v="1116280441"/>
    <s v="LOPEZ ARBELAEZ ESTEBAN"/>
    <n v="141"/>
    <n v="0"/>
    <n v="8170341"/>
  </r>
  <r>
    <s v="Retail"/>
    <s v="Q014 - Tulua - Cc Herradura"/>
    <x v="1"/>
    <s v="octubre"/>
    <n v="4"/>
    <d v="2026-10-04T00:00:00"/>
    <n v="1116284273"/>
    <s v="LONDOÑO VILLEGAS NICOLE ANDREA"/>
    <n v="87"/>
    <n v="0"/>
    <n v="5118033"/>
  </r>
  <r>
    <s v="Retail"/>
    <s v="Q014 - Tulua - Cc Herradura"/>
    <x v="1"/>
    <s v="octubre"/>
    <n v="5"/>
    <d v="2026-10-05T00:00:00"/>
    <m/>
    <m/>
    <n v="0"/>
    <n v="10113965"/>
    <n v="0"/>
  </r>
  <r>
    <s v="Retail"/>
    <s v="Q014 - Tulua - Cc Herradura"/>
    <x v="1"/>
    <s v="octubre"/>
    <n v="5"/>
    <d v="2026-10-05T00:00:00"/>
    <n v="1006426250"/>
    <s v="RIVERA  MARIA BRILLY"/>
    <n v="24"/>
    <n v="0"/>
    <n v="1162774"/>
  </r>
  <r>
    <s v="Retail"/>
    <s v="Q014 - Tulua - Cc Herradura"/>
    <x v="1"/>
    <s v="octubre"/>
    <n v="5"/>
    <d v="2026-10-05T00:00:00"/>
    <n v="1006491147"/>
    <s v="SALINAS OSPINA JHOAN STEVEN"/>
    <n v="37"/>
    <n v="0"/>
    <n v="2147606"/>
  </r>
  <r>
    <s v="Retail"/>
    <s v="Q014 - Tulua - Cc Herradura"/>
    <x v="1"/>
    <s v="octubre"/>
    <n v="5"/>
    <d v="2026-10-05T00:00:00"/>
    <n v="1116280441"/>
    <s v="LOPEZ ARBELAEZ ESTEBAN"/>
    <n v="57"/>
    <n v="0"/>
    <n v="3463955"/>
  </r>
  <r>
    <s v="Retail"/>
    <s v="Q014 - Tulua - Cc Herradura"/>
    <x v="1"/>
    <s v="octubre"/>
    <n v="5"/>
    <d v="2026-10-05T00:00:00"/>
    <n v="1116284273"/>
    <s v="LONDOÑO VILLEGAS NICOLE ANDREA"/>
    <n v="35"/>
    <n v="0"/>
    <n v="2322019"/>
  </r>
  <r>
    <s v="Retail"/>
    <s v="Q014 - Tulua - Cc Herradura"/>
    <x v="1"/>
    <s v="octubre"/>
    <n v="5"/>
    <d v="2026-10-05T00:00:00"/>
    <n v="1140421188"/>
    <s v="PARRA  JIMENEZ YENNY LORENA "/>
    <n v="-2"/>
    <n v="0"/>
    <n v="-214202"/>
  </r>
  <r>
    <s v="Retail"/>
    <s v="Q014 - Tulua - Cc Herradura"/>
    <x v="1"/>
    <s v="octubre"/>
    <n v="6"/>
    <d v="2026-10-06T00:00:00"/>
    <m/>
    <m/>
    <n v="0"/>
    <n v="5286682"/>
    <n v="0"/>
  </r>
  <r>
    <s v="Retail"/>
    <s v="Q014 - Tulua - Cc Herradura"/>
    <x v="1"/>
    <s v="octubre"/>
    <n v="6"/>
    <d v="2026-10-06T00:00:00"/>
    <n v="1006321986"/>
    <s v="OCAMPO ANGRINO MELISSA"/>
    <n v="-1"/>
    <n v="0"/>
    <n v="-54580"/>
  </r>
  <r>
    <s v="Retail"/>
    <s v="Q014 - Tulua - Cc Herradura"/>
    <x v="1"/>
    <s v="octubre"/>
    <n v="6"/>
    <d v="2026-10-06T00:00:00"/>
    <n v="1006426250"/>
    <s v="RIVERA  MARIA BRILLY"/>
    <n v="26"/>
    <n v="0"/>
    <n v="1505086"/>
  </r>
  <r>
    <s v="Retail"/>
    <s v="Q014 - Tulua - Cc Herradura"/>
    <x v="1"/>
    <s v="octubre"/>
    <n v="6"/>
    <d v="2026-10-06T00:00:00"/>
    <n v="1006491147"/>
    <s v="SALINAS OSPINA JHOAN STEVEN"/>
    <n v="10"/>
    <n v="0"/>
    <n v="655001"/>
  </r>
  <r>
    <s v="Retail"/>
    <s v="Q014 - Tulua - Cc Herradura"/>
    <x v="1"/>
    <s v="octubre"/>
    <n v="6"/>
    <d v="2026-10-06T00:00:00"/>
    <n v="1116280441"/>
    <s v="LOPEZ ARBELAEZ ESTEBAN"/>
    <n v="44"/>
    <n v="0"/>
    <n v="2636683"/>
  </r>
  <r>
    <s v="Retail"/>
    <s v="Q014 - Tulua - Cc Herradura"/>
    <x v="1"/>
    <s v="octubre"/>
    <n v="6"/>
    <d v="2026-10-06T00:00:00"/>
    <n v="1116284273"/>
    <s v="LONDOÑO VILLEGAS NICOLE ANDREA"/>
    <n v="22"/>
    <n v="0"/>
    <n v="1171345"/>
  </r>
  <r>
    <s v="Retail"/>
    <s v="Q014 - Tulua - Cc Herradura"/>
    <x v="1"/>
    <s v="octubre"/>
    <n v="6"/>
    <d v="2026-10-06T00:00:00"/>
    <n v="1140421188"/>
    <s v="PARRA  JIMENEZ YENNY LORENA "/>
    <n v="-1"/>
    <n v="0"/>
    <n v="-125966"/>
  </r>
  <r>
    <s v="Retail"/>
    <s v="Q014 - Tulua - Cc Herradura"/>
    <x v="1"/>
    <s v="octubre"/>
    <n v="7"/>
    <d v="2026-10-07T00:00:00"/>
    <m/>
    <m/>
    <n v="0"/>
    <n v="5217120"/>
    <n v="0"/>
  </r>
  <r>
    <s v="Retail"/>
    <s v="Q014 - Tulua - Cc Herradura"/>
    <x v="1"/>
    <s v="octubre"/>
    <n v="7"/>
    <d v="2026-10-07T00:00:00"/>
    <n v="1006321986"/>
    <s v="OCAMPO ANGRINO MELISSA"/>
    <n v="-1"/>
    <n v="0"/>
    <n v="-109202"/>
  </r>
  <r>
    <s v="Retail"/>
    <s v="Q014 - Tulua - Cc Herradura"/>
    <x v="1"/>
    <s v="octubre"/>
    <n v="7"/>
    <d v="2026-10-07T00:00:00"/>
    <n v="1006426250"/>
    <s v="RIVERA  MARIA BRILLY"/>
    <n v="17"/>
    <n v="0"/>
    <n v="1289160"/>
  </r>
  <r>
    <s v="Retail"/>
    <s v="Q014 - Tulua - Cc Herradura"/>
    <x v="1"/>
    <s v="octubre"/>
    <n v="7"/>
    <d v="2026-10-07T00:00:00"/>
    <n v="1006491147"/>
    <s v="SALINAS OSPINA JHOAN STEVEN"/>
    <n v="44"/>
    <n v="0"/>
    <n v="2741643"/>
  </r>
  <r>
    <s v="Retail"/>
    <s v="Q014 - Tulua - Cc Herradura"/>
    <x v="1"/>
    <s v="octubre"/>
    <n v="7"/>
    <d v="2026-10-07T00:00:00"/>
    <n v="1113038720"/>
    <s v="GONZALEZ CAICEDO SANDRA YURANI"/>
    <n v="-1"/>
    <n v="0"/>
    <n v="-105000"/>
  </r>
  <r>
    <s v="Retail"/>
    <s v="Q014 - Tulua - Cc Herradura"/>
    <x v="1"/>
    <s v="octubre"/>
    <n v="7"/>
    <d v="2026-10-07T00:00:00"/>
    <n v="1116280441"/>
    <s v="LOPEZ ARBELAEZ ESTEBAN"/>
    <n v="21"/>
    <n v="0"/>
    <n v="1305801"/>
  </r>
  <r>
    <s v="Retail"/>
    <s v="Q014 - Tulua - Cc Herradura"/>
    <x v="1"/>
    <s v="octubre"/>
    <n v="7"/>
    <d v="2026-10-07T00:00:00"/>
    <n v="1116284273"/>
    <s v="LONDOÑO VILLEGAS NICOLE ANDREA"/>
    <n v="16"/>
    <n v="0"/>
    <n v="1020296"/>
  </r>
  <r>
    <s v="Retail"/>
    <s v="Q014 - Tulua - Cc Herradura"/>
    <x v="1"/>
    <s v="octubre"/>
    <n v="7"/>
    <d v="2026-10-07T00:00:00"/>
    <n v="1140421188"/>
    <s v="PARRA  JIMENEZ YENNY LORENA "/>
    <n v="-1"/>
    <n v="0"/>
    <n v="-46177"/>
  </r>
  <r>
    <s v="Retail"/>
    <s v="Q073 - Yumbo - Cc Unico"/>
    <x v="1"/>
    <s v="septiembre"/>
    <n v="23"/>
    <d v="2026-09-23T00:00:00"/>
    <m/>
    <m/>
    <n v="0"/>
    <n v="6054551"/>
    <n v="0"/>
  </r>
  <r>
    <s v="Retail"/>
    <s v="Q073 - Yumbo - Cc Unico"/>
    <x v="1"/>
    <s v="septiembre"/>
    <n v="23"/>
    <d v="2026-09-23T00:00:00"/>
    <n v="1006172031"/>
    <s v="DIAZ BERRIDO DIANA MARLLELY"/>
    <n v="13"/>
    <n v="0"/>
    <n v="625506"/>
  </r>
  <r>
    <s v="Retail"/>
    <s v="Q073 - Yumbo - Cc Unico"/>
    <x v="1"/>
    <s v="septiembre"/>
    <n v="23"/>
    <d v="2026-09-23T00:00:00"/>
    <n v="1109115019"/>
    <s v="PRADO  MURIEL SANTIAGO "/>
    <n v="64"/>
    <n v="0"/>
    <n v="2719245"/>
  </r>
  <r>
    <s v="Retail"/>
    <s v="Q073 - Yumbo - Cc Unico"/>
    <x v="1"/>
    <s v="septiembre"/>
    <n v="23"/>
    <d v="2026-09-23T00:00:00"/>
    <n v="1118300904"/>
    <s v="CAICEDO PARRA ALEXANDER"/>
    <n v="22"/>
    <n v="0"/>
    <n v="1070251"/>
  </r>
  <r>
    <s v="Retail"/>
    <s v="Q073 - Yumbo - Cc Unico"/>
    <x v="1"/>
    <s v="septiembre"/>
    <n v="23"/>
    <d v="2026-09-23T00:00:00"/>
    <n v="1118312125"/>
    <s v="CORREDOR  BUITRAGO ANGIE LIZETH "/>
    <n v="63"/>
    <n v="0"/>
    <n v="2568405"/>
  </r>
  <r>
    <s v="Retail"/>
    <s v="Q073 - Yumbo - Cc Unico"/>
    <x v="1"/>
    <s v="septiembre"/>
    <n v="24"/>
    <d v="2026-09-24T00:00:00"/>
    <m/>
    <m/>
    <n v="0"/>
    <n v="9249006"/>
    <n v="0"/>
  </r>
  <r>
    <s v="Retail"/>
    <s v="Q073 - Yumbo - Cc Unico"/>
    <x v="1"/>
    <s v="septiembre"/>
    <n v="24"/>
    <d v="2026-09-24T00:00:00"/>
    <n v="1006172031"/>
    <s v="DIAZ BERRIDO DIANA MARLLELY"/>
    <n v="23"/>
    <n v="0"/>
    <n v="1385505"/>
  </r>
  <r>
    <s v="Retail"/>
    <s v="Q073 - Yumbo - Cc Unico"/>
    <x v="1"/>
    <s v="septiembre"/>
    <n v="24"/>
    <d v="2026-09-24T00:00:00"/>
    <n v="1109115019"/>
    <s v="PRADO  MURIEL SANTIAGO "/>
    <n v="63"/>
    <n v="0"/>
    <n v="3807960"/>
  </r>
  <r>
    <s v="Retail"/>
    <s v="Q073 - Yumbo - Cc Unico"/>
    <x v="1"/>
    <s v="septiembre"/>
    <n v="24"/>
    <d v="2026-09-24T00:00:00"/>
    <n v="1118300904"/>
    <s v="CAICEDO PARRA ALEXANDER"/>
    <n v="25"/>
    <n v="0"/>
    <n v="1158320"/>
  </r>
  <r>
    <s v="Retail"/>
    <s v="Q073 - Yumbo - Cc Unico"/>
    <x v="1"/>
    <s v="septiembre"/>
    <n v="24"/>
    <d v="2026-09-24T00:00:00"/>
    <n v="1118312125"/>
    <s v="CORREDOR  BUITRAGO ANGIE LIZETH "/>
    <n v="74"/>
    <n v="0"/>
    <n v="3342862"/>
  </r>
  <r>
    <s v="Retail"/>
    <s v="Q073 - Yumbo - Cc Unico"/>
    <x v="1"/>
    <s v="septiembre"/>
    <n v="25"/>
    <d v="2026-09-25T00:00:00"/>
    <m/>
    <m/>
    <n v="0"/>
    <n v="9228529"/>
    <n v="0"/>
  </r>
  <r>
    <s v="Retail"/>
    <s v="Q073 - Yumbo - Cc Unico"/>
    <x v="1"/>
    <s v="septiembre"/>
    <n v="25"/>
    <d v="2026-09-25T00:00:00"/>
    <n v="1006172031"/>
    <s v="DIAZ BERRIDO DIANA MARLLELY"/>
    <n v="9"/>
    <n v="0"/>
    <n v="329413"/>
  </r>
  <r>
    <s v="Retail"/>
    <s v="Q073 - Yumbo - Cc Unico"/>
    <x v="1"/>
    <s v="septiembre"/>
    <n v="25"/>
    <d v="2026-09-25T00:00:00"/>
    <n v="1109115019"/>
    <s v="PRADO  MURIEL SANTIAGO "/>
    <n v="49"/>
    <n v="0"/>
    <n v="2529163"/>
  </r>
  <r>
    <s v="Retail"/>
    <s v="Q073 - Yumbo - Cc Unico"/>
    <x v="1"/>
    <s v="septiembre"/>
    <n v="25"/>
    <d v="2026-09-25T00:00:00"/>
    <n v="1118300904"/>
    <s v="CAICEDO PARRA ALEXANDER"/>
    <n v="6"/>
    <n v="0"/>
    <n v="201304"/>
  </r>
  <r>
    <s v="Retail"/>
    <s v="Q073 - Yumbo - Cc Unico"/>
    <x v="1"/>
    <s v="septiembre"/>
    <n v="25"/>
    <d v="2026-09-25T00:00:00"/>
    <n v="1118312125"/>
    <s v="CORREDOR  BUITRAGO ANGIE LIZETH "/>
    <n v="35"/>
    <n v="0"/>
    <n v="1408068"/>
  </r>
  <r>
    <s v="Retail"/>
    <s v="Q073 - Yumbo - Cc Unico"/>
    <x v="1"/>
    <s v="septiembre"/>
    <n v="26"/>
    <d v="2026-09-26T00:00:00"/>
    <m/>
    <m/>
    <n v="0"/>
    <n v="13262723"/>
    <n v="0"/>
  </r>
  <r>
    <s v="Retail"/>
    <s v="Q073 - Yumbo - Cc Unico"/>
    <x v="1"/>
    <s v="septiembre"/>
    <n v="26"/>
    <d v="2026-09-26T00:00:00"/>
    <n v="1006172031"/>
    <s v="DIAZ BERRIDO DIANA MARLLELY"/>
    <n v="42"/>
    <n v="0"/>
    <n v="2168196"/>
  </r>
  <r>
    <s v="Retail"/>
    <s v="Q073 - Yumbo - Cc Unico"/>
    <x v="1"/>
    <s v="septiembre"/>
    <n v="26"/>
    <d v="2026-09-26T00:00:00"/>
    <n v="1109115019"/>
    <s v="PRADO  MURIEL SANTIAGO "/>
    <n v="101"/>
    <n v="0"/>
    <n v="4936305"/>
  </r>
  <r>
    <s v="Retail"/>
    <s v="Q073 - Yumbo - Cc Unico"/>
    <x v="1"/>
    <s v="septiembre"/>
    <n v="26"/>
    <d v="2026-09-26T00:00:00"/>
    <n v="1118300904"/>
    <s v="CAICEDO PARRA ALEXANDER"/>
    <n v="34"/>
    <n v="0"/>
    <n v="1844875"/>
  </r>
  <r>
    <s v="Retail"/>
    <s v="Q073 - Yumbo - Cc Unico"/>
    <x v="1"/>
    <s v="septiembre"/>
    <n v="26"/>
    <d v="2026-09-26T00:00:00"/>
    <n v="1118312125"/>
    <s v="CORREDOR  BUITRAGO ANGIE LIZETH "/>
    <n v="120"/>
    <n v="0"/>
    <n v="5290346"/>
  </r>
  <r>
    <s v="Retail"/>
    <s v="Q073 - Yumbo - Cc Unico"/>
    <x v="1"/>
    <s v="septiembre"/>
    <n v="27"/>
    <d v="2026-09-27T00:00:00"/>
    <m/>
    <m/>
    <n v="0"/>
    <n v="10506745"/>
    <n v="0"/>
  </r>
  <r>
    <s v="Retail"/>
    <s v="Q073 - Yumbo - Cc Unico"/>
    <x v="1"/>
    <s v="septiembre"/>
    <n v="27"/>
    <d v="2026-09-27T00:00:00"/>
    <n v="1006172031"/>
    <s v="DIAZ BERRIDO DIANA MARLLELY"/>
    <n v="52"/>
    <n v="0"/>
    <n v="2405254"/>
  </r>
  <r>
    <s v="Retail"/>
    <s v="Q073 - Yumbo - Cc Unico"/>
    <x v="1"/>
    <s v="septiembre"/>
    <n v="27"/>
    <d v="2026-09-27T00:00:00"/>
    <n v="1109115019"/>
    <s v="PRADO  MURIEL SANTIAGO "/>
    <n v="132"/>
    <n v="0"/>
    <n v="7214188"/>
  </r>
  <r>
    <s v="Retail"/>
    <s v="Q073 - Yumbo - Cc Unico"/>
    <x v="1"/>
    <s v="septiembre"/>
    <n v="27"/>
    <d v="2026-09-27T00:00:00"/>
    <n v="1118300904"/>
    <s v="CAICEDO PARRA ALEXANDER"/>
    <n v="41"/>
    <n v="0"/>
    <n v="2275254"/>
  </r>
  <r>
    <s v="Retail"/>
    <s v="Q073 - Yumbo - Cc Unico"/>
    <x v="1"/>
    <s v="septiembre"/>
    <n v="27"/>
    <d v="2026-09-27T00:00:00"/>
    <n v="1118312125"/>
    <s v="CORREDOR  BUITRAGO ANGIE LIZETH "/>
    <n v="117"/>
    <n v="0"/>
    <n v="5880886"/>
  </r>
  <r>
    <s v="Retail"/>
    <s v="Q073 - Yumbo - Cc Unico"/>
    <x v="1"/>
    <s v="septiembre"/>
    <n v="28"/>
    <d v="2026-09-28T00:00:00"/>
    <m/>
    <m/>
    <n v="0"/>
    <n v="5782483"/>
    <n v="0"/>
  </r>
  <r>
    <s v="Retail"/>
    <s v="Q073 - Yumbo - Cc Unico"/>
    <x v="1"/>
    <s v="septiembre"/>
    <n v="28"/>
    <d v="2026-09-28T00:00:00"/>
    <n v="1005815270"/>
    <s v="GUERRERO ATUESTA JUAN PABLO"/>
    <n v="-2"/>
    <n v="0"/>
    <n v="-92353"/>
  </r>
  <r>
    <s v="Retail"/>
    <s v="Q073 - Yumbo - Cc Unico"/>
    <x v="1"/>
    <s v="septiembre"/>
    <n v="28"/>
    <d v="2026-09-28T00:00:00"/>
    <n v="1109115019"/>
    <s v="PRADO  MURIEL SANTIAGO "/>
    <n v="48"/>
    <n v="0"/>
    <n v="2249751"/>
  </r>
  <r>
    <s v="Retail"/>
    <s v="Q073 - Yumbo - Cc Unico"/>
    <x v="1"/>
    <s v="septiembre"/>
    <n v="28"/>
    <d v="2026-09-28T00:00:00"/>
    <n v="1118312125"/>
    <s v="CORREDOR  BUITRAGO ANGIE LIZETH "/>
    <n v="44"/>
    <n v="0"/>
    <n v="1922227"/>
  </r>
  <r>
    <s v="Retail"/>
    <s v="Q073 - Yumbo - Cc Unico"/>
    <x v="1"/>
    <s v="septiembre"/>
    <n v="28"/>
    <d v="2026-09-28T00:00:00"/>
    <n v="1144163678"/>
    <s v="SARRIA VIDAL IVAN DANIEL"/>
    <n v="2"/>
    <n v="0"/>
    <n v="62900"/>
  </r>
  <r>
    <s v="Retail"/>
    <s v="Q073 - Yumbo - Cc Unico"/>
    <x v="1"/>
    <s v="septiembre"/>
    <n v="29"/>
    <d v="2026-09-29T00:00:00"/>
    <m/>
    <m/>
    <n v="0"/>
    <n v="6176824"/>
    <n v="0"/>
  </r>
  <r>
    <s v="Retail"/>
    <s v="Q073 - Yumbo - Cc Unico"/>
    <x v="1"/>
    <s v="septiembre"/>
    <n v="29"/>
    <d v="2026-09-29T00:00:00"/>
    <n v="1006172031"/>
    <s v="DIAZ BERRIDO DIANA MARLLELY"/>
    <n v="37"/>
    <n v="0"/>
    <n v="1859488"/>
  </r>
  <r>
    <s v="Retail"/>
    <s v="Q073 - Yumbo - Cc Unico"/>
    <x v="1"/>
    <s v="septiembre"/>
    <n v="29"/>
    <d v="2026-09-29T00:00:00"/>
    <n v="1109115019"/>
    <s v="PRADO  MURIEL SANTIAGO "/>
    <n v="45"/>
    <n v="0"/>
    <n v="1838111"/>
  </r>
  <r>
    <s v="Retail"/>
    <s v="Q073 - Yumbo - Cc Unico"/>
    <x v="1"/>
    <s v="septiembre"/>
    <n v="29"/>
    <d v="2026-09-29T00:00:00"/>
    <n v="1118300904"/>
    <s v="CAICEDO PARRA ALEXANDER"/>
    <n v="33"/>
    <n v="0"/>
    <n v="1464412"/>
  </r>
  <r>
    <s v="Retail"/>
    <s v="Q073 - Yumbo - Cc Unico"/>
    <x v="1"/>
    <s v="septiembre"/>
    <n v="29"/>
    <d v="2026-09-29T00:00:00"/>
    <n v="1118312125"/>
    <s v="CORREDOR  BUITRAGO ANGIE LIZETH "/>
    <n v="117"/>
    <n v="0"/>
    <n v="4384417"/>
  </r>
  <r>
    <s v="Retail"/>
    <s v="Q073 - Yumbo - Cc Unico"/>
    <x v="1"/>
    <s v="septiembre"/>
    <n v="30"/>
    <d v="2026-09-30T00:00:00"/>
    <m/>
    <m/>
    <n v="0"/>
    <n v="6380767"/>
    <n v="0"/>
  </r>
  <r>
    <s v="Retail"/>
    <s v="Q073 - Yumbo - Cc Unico"/>
    <x v="1"/>
    <s v="septiembre"/>
    <n v="30"/>
    <d v="2026-09-30T00:00:00"/>
    <n v="1006172031"/>
    <s v="DIAZ BERRIDO DIANA MARLLELY"/>
    <n v="26"/>
    <n v="0"/>
    <n v="931303"/>
  </r>
  <r>
    <s v="Retail"/>
    <s v="Q073 - Yumbo - Cc Unico"/>
    <x v="1"/>
    <s v="septiembre"/>
    <n v="30"/>
    <d v="2026-09-30T00:00:00"/>
    <n v="1109115019"/>
    <s v="PRADO  MURIEL SANTIAGO "/>
    <n v="107"/>
    <n v="0"/>
    <n v="4245649"/>
  </r>
  <r>
    <s v="Retail"/>
    <s v="Q073 - Yumbo - Cc Unico"/>
    <x v="1"/>
    <s v="septiembre"/>
    <n v="30"/>
    <d v="2026-09-30T00:00:00"/>
    <n v="1118300904"/>
    <s v="CAICEDO PARRA ALEXANDER"/>
    <n v="49"/>
    <n v="0"/>
    <n v="2199162"/>
  </r>
  <r>
    <s v="Retail"/>
    <s v="Q073 - Yumbo - Cc Unico"/>
    <x v="1"/>
    <s v="septiembre"/>
    <n v="30"/>
    <d v="2026-09-30T00:00:00"/>
    <n v="1118312125"/>
    <s v="CORREDOR  BUITRAGO ANGIE LIZETH "/>
    <n v="66"/>
    <n v="0"/>
    <n v="2710422"/>
  </r>
  <r>
    <s v="Retail"/>
    <s v="Q073 - Yumbo - Cc Unico"/>
    <x v="1"/>
    <s v="octubre"/>
    <n v="1"/>
    <d v="2026-10-01T00:00:00"/>
    <m/>
    <m/>
    <n v="0"/>
    <n v="5487839"/>
    <n v="0"/>
  </r>
  <r>
    <s v="Retail"/>
    <s v="Q073 - Yumbo - Cc Unico"/>
    <x v="1"/>
    <s v="octubre"/>
    <n v="1"/>
    <d v="2026-10-01T00:00:00"/>
    <n v="1006172031"/>
    <s v="DIAZ BERRIDO DIANA MARLLELY"/>
    <n v="49"/>
    <n v="0"/>
    <n v="2005634"/>
  </r>
  <r>
    <s v="Retail"/>
    <s v="Q073 - Yumbo - Cc Unico"/>
    <x v="1"/>
    <s v="octubre"/>
    <n v="1"/>
    <d v="2026-10-01T00:00:00"/>
    <n v="1109115019"/>
    <s v="PRADO  MURIEL SANTIAGO "/>
    <n v="87"/>
    <n v="0"/>
    <n v="3690509"/>
  </r>
  <r>
    <s v="Retail"/>
    <s v="Q073 - Yumbo - Cc Unico"/>
    <x v="1"/>
    <s v="octubre"/>
    <n v="1"/>
    <d v="2026-10-01T00:00:00"/>
    <n v="1118300904"/>
    <s v="CAICEDO PARRA ALEXANDER"/>
    <n v="30"/>
    <n v="0"/>
    <n v="1162396"/>
  </r>
  <r>
    <s v="Retail"/>
    <s v="Q073 - Yumbo - Cc Unico"/>
    <x v="1"/>
    <s v="octubre"/>
    <n v="1"/>
    <d v="2026-10-01T00:00:00"/>
    <n v="1118312125"/>
    <s v="CORREDOR  BUITRAGO ANGIE LIZETH "/>
    <n v="115"/>
    <n v="0"/>
    <n v="4955800"/>
  </r>
  <r>
    <s v="Retail"/>
    <s v="Q073 - Yumbo - Cc Unico"/>
    <x v="1"/>
    <s v="octubre"/>
    <n v="2"/>
    <d v="2026-10-02T00:00:00"/>
    <m/>
    <m/>
    <n v="0"/>
    <n v="8571126"/>
    <n v="0"/>
  </r>
  <r>
    <s v="Retail"/>
    <s v="Q073 - Yumbo - Cc Unico"/>
    <x v="1"/>
    <s v="octubre"/>
    <n v="2"/>
    <d v="2026-10-02T00:00:00"/>
    <n v="1006172031"/>
    <s v="DIAZ BERRIDO DIANA MARLLELY"/>
    <n v="50"/>
    <n v="0"/>
    <n v="1761765"/>
  </r>
  <r>
    <s v="Retail"/>
    <s v="Q073 - Yumbo - Cc Unico"/>
    <x v="1"/>
    <s v="octubre"/>
    <n v="2"/>
    <d v="2026-10-02T00:00:00"/>
    <n v="1109115019"/>
    <s v="PRADO  MURIEL SANTIAGO "/>
    <n v="111"/>
    <n v="0"/>
    <n v="4823446"/>
  </r>
  <r>
    <s v="Retail"/>
    <s v="Q073 - Yumbo - Cc Unico"/>
    <x v="1"/>
    <s v="octubre"/>
    <n v="2"/>
    <d v="2026-10-02T00:00:00"/>
    <n v="1118300904"/>
    <s v="CAICEDO PARRA ALEXANDER"/>
    <n v="35"/>
    <n v="0"/>
    <n v="1731344"/>
  </r>
  <r>
    <s v="Retail"/>
    <s v="Q073 - Yumbo - Cc Unico"/>
    <x v="1"/>
    <s v="octubre"/>
    <n v="2"/>
    <d v="2026-10-02T00:00:00"/>
    <n v="1118312125"/>
    <s v="CORREDOR  BUITRAGO ANGIE LIZETH "/>
    <n v="162"/>
    <n v="0"/>
    <n v="6973112"/>
  </r>
  <r>
    <s v="Retail"/>
    <s v="Q073 - Yumbo - Cc Unico"/>
    <x v="1"/>
    <s v="octubre"/>
    <n v="2"/>
    <d v="2026-10-02T00:00:00"/>
    <n v="1144163678"/>
    <s v="SARRIA VIDAL IVAN DANIEL"/>
    <n v="1"/>
    <n v="0"/>
    <n v="20966"/>
  </r>
  <r>
    <s v="Retail"/>
    <s v="Q073 - Yumbo - Cc Unico"/>
    <x v="1"/>
    <s v="octubre"/>
    <n v="3"/>
    <d v="2026-10-03T00:00:00"/>
    <m/>
    <m/>
    <n v="0"/>
    <n v="15674772"/>
    <n v="0"/>
  </r>
  <r>
    <s v="Retail"/>
    <s v="Q073 - Yumbo - Cc Unico"/>
    <x v="1"/>
    <s v="octubre"/>
    <n v="3"/>
    <d v="2026-10-03T00:00:00"/>
    <n v="1006172031"/>
    <s v="DIAZ BERRIDO DIANA MARLLELY"/>
    <n v="56"/>
    <n v="0"/>
    <n v="2308120"/>
  </r>
  <r>
    <s v="Retail"/>
    <s v="Q073 - Yumbo - Cc Unico"/>
    <x v="1"/>
    <s v="octubre"/>
    <n v="3"/>
    <d v="2026-10-03T00:00:00"/>
    <n v="1109115019"/>
    <s v="PRADO  MURIEL SANTIAGO "/>
    <n v="180"/>
    <n v="0"/>
    <n v="7163934"/>
  </r>
  <r>
    <s v="Retail"/>
    <s v="Q073 - Yumbo - Cc Unico"/>
    <x v="1"/>
    <s v="octubre"/>
    <n v="3"/>
    <d v="2026-10-03T00:00:00"/>
    <n v="1118300904"/>
    <s v="CAICEDO PARRA ALEXANDER"/>
    <n v="87"/>
    <n v="0"/>
    <n v="3222530"/>
  </r>
  <r>
    <s v="Retail"/>
    <s v="Q073 - Yumbo - Cc Unico"/>
    <x v="1"/>
    <s v="octubre"/>
    <n v="3"/>
    <d v="2026-10-03T00:00:00"/>
    <n v="1118312125"/>
    <s v="CORREDOR  BUITRAGO ANGIE LIZETH "/>
    <n v="213"/>
    <n v="0"/>
    <n v="7757142"/>
  </r>
  <r>
    <s v="Retail"/>
    <s v="Q073 - Yumbo - Cc Unico"/>
    <x v="1"/>
    <s v="octubre"/>
    <n v="3"/>
    <d v="2026-10-03T00:00:00"/>
    <n v="1193259913"/>
    <s v="PADILLA DOSMAN  ANGEL MARIO"/>
    <n v="-2"/>
    <n v="0"/>
    <n v="-121723"/>
  </r>
  <r>
    <s v="Retail"/>
    <s v="Q073 - Yumbo - Cc Unico"/>
    <x v="1"/>
    <s v="octubre"/>
    <n v="4"/>
    <d v="2026-10-04T00:00:00"/>
    <m/>
    <m/>
    <n v="0"/>
    <n v="10571569"/>
    <n v="0"/>
  </r>
  <r>
    <s v="Retail"/>
    <s v="Q073 - Yumbo - Cc Unico"/>
    <x v="1"/>
    <s v="octubre"/>
    <n v="4"/>
    <d v="2026-10-04T00:00:00"/>
    <n v="1006172031"/>
    <s v="DIAZ BERRIDO DIANA MARLLELY"/>
    <n v="57"/>
    <n v="0"/>
    <n v="2299708"/>
  </r>
  <r>
    <s v="Retail"/>
    <s v="Q073 - Yumbo - Cc Unico"/>
    <x v="1"/>
    <s v="octubre"/>
    <n v="4"/>
    <d v="2026-10-04T00:00:00"/>
    <n v="1109115019"/>
    <s v="PRADO  MURIEL SANTIAGO "/>
    <n v="169"/>
    <n v="0"/>
    <n v="7526379"/>
  </r>
  <r>
    <s v="Retail"/>
    <s v="Q073 - Yumbo - Cc Unico"/>
    <x v="1"/>
    <s v="octubre"/>
    <n v="4"/>
    <d v="2026-10-04T00:00:00"/>
    <n v="1118300904"/>
    <s v="CAICEDO PARRA ALEXANDER"/>
    <n v="44"/>
    <n v="0"/>
    <n v="2239952"/>
  </r>
  <r>
    <s v="Retail"/>
    <s v="Q073 - Yumbo - Cc Unico"/>
    <x v="1"/>
    <s v="octubre"/>
    <n v="4"/>
    <d v="2026-10-04T00:00:00"/>
    <n v="1118312125"/>
    <s v="CORREDOR  BUITRAGO ANGIE LIZETH "/>
    <n v="141"/>
    <n v="0"/>
    <n v="6194964"/>
  </r>
  <r>
    <s v="Retail"/>
    <s v="Q073 - Yumbo - Cc Unico"/>
    <x v="1"/>
    <s v="octubre"/>
    <n v="5"/>
    <d v="2026-10-05T00:00:00"/>
    <m/>
    <m/>
    <n v="0"/>
    <n v="6913109"/>
    <n v="0"/>
  </r>
  <r>
    <s v="Retail"/>
    <s v="Q073 - Yumbo - Cc Unico"/>
    <x v="1"/>
    <s v="octubre"/>
    <n v="5"/>
    <d v="2026-10-05T00:00:00"/>
    <n v="1006172031"/>
    <s v="DIAZ BERRIDO DIANA MARLLELY"/>
    <n v="19"/>
    <n v="0"/>
    <n v="940338"/>
  </r>
  <r>
    <s v="Retail"/>
    <s v="Q073 - Yumbo - Cc Unico"/>
    <x v="1"/>
    <s v="octubre"/>
    <n v="5"/>
    <d v="2026-10-05T00:00:00"/>
    <n v="1109115019"/>
    <s v="PRADO  MURIEL SANTIAGO "/>
    <n v="68"/>
    <n v="0"/>
    <n v="2603826"/>
  </r>
  <r>
    <s v="Retail"/>
    <s v="Q073 - Yumbo - Cc Unico"/>
    <x v="1"/>
    <s v="octubre"/>
    <n v="5"/>
    <d v="2026-10-05T00:00:00"/>
    <n v="1118300904"/>
    <s v="CAICEDO PARRA ALEXANDER"/>
    <n v="36"/>
    <n v="0"/>
    <n v="1380464"/>
  </r>
  <r>
    <s v="Retail"/>
    <s v="Q073 - Yumbo - Cc Unico"/>
    <x v="1"/>
    <s v="octubre"/>
    <n v="5"/>
    <d v="2026-10-05T00:00:00"/>
    <n v="1118312125"/>
    <s v="CORREDOR  BUITRAGO ANGIE LIZETH "/>
    <n v="72"/>
    <n v="0"/>
    <n v="2697691"/>
  </r>
  <r>
    <s v="Retail"/>
    <s v="Q073 - Yumbo - Cc Unico"/>
    <x v="1"/>
    <s v="octubre"/>
    <n v="6"/>
    <d v="2026-10-06T00:00:00"/>
    <m/>
    <m/>
    <n v="0"/>
    <n v="6731977"/>
    <n v="0"/>
  </r>
  <r>
    <s v="Retail"/>
    <s v="Q073 - Yumbo - Cc Unico"/>
    <x v="1"/>
    <s v="octubre"/>
    <n v="6"/>
    <d v="2026-10-06T00:00:00"/>
    <n v="1006172031"/>
    <s v="DIAZ BERRIDO DIANA MARLLELY"/>
    <n v="15"/>
    <n v="0"/>
    <n v="785043"/>
  </r>
  <r>
    <s v="Retail"/>
    <s v="Q073 - Yumbo - Cc Unico"/>
    <x v="1"/>
    <s v="octubre"/>
    <n v="6"/>
    <d v="2026-10-06T00:00:00"/>
    <n v="1109115019"/>
    <s v="PRADO  MURIEL SANTIAGO "/>
    <n v="0"/>
    <n v="0"/>
    <n v="0"/>
  </r>
  <r>
    <s v="Retail"/>
    <s v="Q073 - Yumbo - Cc Unico"/>
    <x v="1"/>
    <s v="octubre"/>
    <n v="6"/>
    <d v="2026-10-06T00:00:00"/>
    <n v="1118300904"/>
    <s v="CAICEDO PARRA ALEXANDER"/>
    <n v="20"/>
    <n v="0"/>
    <n v="900270"/>
  </r>
  <r>
    <s v="Retail"/>
    <s v="Q073 - Yumbo - Cc Unico"/>
    <x v="1"/>
    <s v="octubre"/>
    <n v="6"/>
    <d v="2026-10-06T00:00:00"/>
    <n v="1118312125"/>
    <s v="CORREDOR  BUITRAGO ANGIE LIZETH "/>
    <n v="105"/>
    <n v="0"/>
    <n v="4637393"/>
  </r>
  <r>
    <s v="Retail"/>
    <s v="Q073 - Yumbo - Cc Unico"/>
    <x v="1"/>
    <s v="octubre"/>
    <n v="7"/>
    <d v="2026-10-07T00:00:00"/>
    <m/>
    <m/>
    <n v="0"/>
    <n v="6679089"/>
    <n v="0"/>
  </r>
  <r>
    <s v="Retail"/>
    <s v="Q073 - Yumbo - Cc Unico"/>
    <x v="1"/>
    <s v="octubre"/>
    <n v="7"/>
    <d v="2026-10-07T00:00:00"/>
    <n v="1006172031"/>
    <s v="DIAZ BERRIDO DIANA MARLLELY"/>
    <n v="12"/>
    <n v="0"/>
    <n v="398612"/>
  </r>
  <r>
    <s v="Retail"/>
    <s v="Q073 - Yumbo - Cc Unico"/>
    <x v="1"/>
    <s v="octubre"/>
    <n v="7"/>
    <d v="2026-10-07T00:00:00"/>
    <n v="1109115019"/>
    <s v="PRADO  MURIEL SANTIAGO "/>
    <n v="1"/>
    <n v="0"/>
    <n v="29369"/>
  </r>
  <r>
    <s v="Retail"/>
    <s v="Q073 - Yumbo - Cc Unico"/>
    <x v="1"/>
    <s v="octubre"/>
    <n v="7"/>
    <d v="2026-10-07T00:00:00"/>
    <n v="1118300904"/>
    <s v="CAICEDO PARRA ALEXANDER"/>
    <n v="11"/>
    <n v="0"/>
    <n v="436470"/>
  </r>
  <r>
    <s v="Retail"/>
    <s v="Q073 - Yumbo - Cc Unico"/>
    <x v="1"/>
    <s v="octubre"/>
    <n v="7"/>
    <d v="2026-10-07T00:00:00"/>
    <n v="1118312125"/>
    <s v="CORREDOR  BUITRAGO ANGIE LIZETH "/>
    <n v="149"/>
    <n v="0"/>
    <n v="7217179"/>
  </r>
  <r>
    <s v="Retail"/>
    <s v="Q087 - Palmira - Centro"/>
    <x v="1"/>
    <s v="septiembre"/>
    <n v="23"/>
    <d v="2026-09-23T00:00:00"/>
    <m/>
    <m/>
    <n v="0"/>
    <n v="12383384"/>
    <n v="0"/>
  </r>
  <r>
    <s v="Retail"/>
    <s v="Q087 - Palmira - Centro"/>
    <x v="1"/>
    <s v="septiembre"/>
    <n v="23"/>
    <d v="2026-09-23T00:00:00"/>
    <n v="1113656874"/>
    <s v="GONZALEZ AGREDO ISABEL CRISTINA"/>
    <n v="86"/>
    <n v="0"/>
    <n v="4716935"/>
  </r>
  <r>
    <s v="Retail"/>
    <s v="Q087 - Palmira - Centro"/>
    <x v="1"/>
    <s v="septiembre"/>
    <n v="23"/>
    <d v="2026-09-23T00:00:00"/>
    <n v="1113702327"/>
    <s v="URBANO  CASANOVA ISRAEL ALEJANDRO "/>
    <n v="99"/>
    <n v="0"/>
    <n v="5663784"/>
  </r>
  <r>
    <s v="Retail"/>
    <s v="Q087 - Palmira - Centro"/>
    <x v="1"/>
    <s v="septiembre"/>
    <n v="23"/>
    <d v="2026-09-23T00:00:00"/>
    <n v="1192813746"/>
    <s v="ORBES ZAMBRANO ANDRES FELIPE"/>
    <n v="63"/>
    <n v="0"/>
    <n v="3640171"/>
  </r>
  <r>
    <s v="Retail"/>
    <s v="Q087 - Palmira - Centro"/>
    <x v="1"/>
    <s v="septiembre"/>
    <n v="24"/>
    <d v="2026-09-24T00:00:00"/>
    <m/>
    <m/>
    <n v="0"/>
    <n v="18917016"/>
    <n v="0"/>
  </r>
  <r>
    <s v="Retail"/>
    <s v="Q087 - Palmira - Centro"/>
    <x v="1"/>
    <s v="septiembre"/>
    <n v="24"/>
    <d v="2026-09-24T00:00:00"/>
    <n v="1113637332"/>
    <s v="ARAUJO PORTILLA LYRA AMANDA"/>
    <n v="-1"/>
    <n v="0"/>
    <n v="-46177"/>
  </r>
  <r>
    <s v="Retail"/>
    <s v="Q087 - Palmira - Centro"/>
    <x v="1"/>
    <s v="septiembre"/>
    <n v="24"/>
    <d v="2026-09-24T00:00:00"/>
    <n v="1113656874"/>
    <s v="GONZALEZ AGREDO ISABEL CRISTINA"/>
    <n v="103"/>
    <n v="0"/>
    <n v="6216222"/>
  </r>
  <r>
    <s v="Retail"/>
    <s v="Q087 - Palmira - Centro"/>
    <x v="1"/>
    <s v="septiembre"/>
    <n v="24"/>
    <d v="2026-09-24T00:00:00"/>
    <n v="1113702327"/>
    <s v="URBANO  CASANOVA ISRAEL ALEJANDRO "/>
    <n v="99"/>
    <n v="0"/>
    <n v="5821350"/>
  </r>
  <r>
    <s v="Retail"/>
    <s v="Q087 - Palmira - Centro"/>
    <x v="1"/>
    <s v="septiembre"/>
    <n v="24"/>
    <d v="2026-09-24T00:00:00"/>
    <n v="1192813746"/>
    <s v="ORBES ZAMBRANO ANDRES FELIPE"/>
    <n v="68"/>
    <n v="0"/>
    <n v="3719753"/>
  </r>
  <r>
    <s v="Retail"/>
    <s v="Q087 - Palmira - Centro"/>
    <x v="1"/>
    <s v="septiembre"/>
    <n v="24"/>
    <d v="2026-09-24T00:00:00"/>
    <n v="1193599836"/>
    <s v="MAYOR SERNA NATALIA"/>
    <n v="-1"/>
    <n v="0"/>
    <n v="-37773"/>
  </r>
  <r>
    <s v="Retail"/>
    <s v="Q087 - Palmira - Centro"/>
    <x v="1"/>
    <s v="septiembre"/>
    <n v="25"/>
    <d v="2026-09-25T00:00:00"/>
    <m/>
    <m/>
    <n v="0"/>
    <n v="18875139"/>
    <n v="0"/>
  </r>
  <r>
    <s v="Retail"/>
    <s v="Q087 - Palmira - Centro"/>
    <x v="1"/>
    <s v="septiembre"/>
    <n v="25"/>
    <d v="2026-09-25T00:00:00"/>
    <n v="1113656874"/>
    <s v="GONZALEZ AGREDO ISABEL CRISTINA"/>
    <n v="103"/>
    <n v="0"/>
    <n v="6461978"/>
  </r>
  <r>
    <s v="Retail"/>
    <s v="Q087 - Palmira - Centro"/>
    <x v="1"/>
    <s v="septiembre"/>
    <n v="25"/>
    <d v="2026-09-25T00:00:00"/>
    <n v="1113702327"/>
    <s v="URBANO  CASANOVA ISRAEL ALEJANDRO "/>
    <n v="93"/>
    <n v="0"/>
    <n v="5067356"/>
  </r>
  <r>
    <s v="Retail"/>
    <s v="Q087 - Palmira - Centro"/>
    <x v="1"/>
    <s v="septiembre"/>
    <n v="26"/>
    <d v="2026-09-26T00:00:00"/>
    <m/>
    <m/>
    <n v="0"/>
    <n v="27126285"/>
    <n v="0"/>
  </r>
  <r>
    <s v="Retail"/>
    <s v="Q087 - Palmira - Centro"/>
    <x v="1"/>
    <s v="septiembre"/>
    <n v="26"/>
    <d v="2026-09-26T00:00:00"/>
    <n v="1113637332"/>
    <s v="ARAUJO PORTILLA LYRA AMANDA"/>
    <n v="-1"/>
    <n v="0"/>
    <n v="-92353"/>
  </r>
  <r>
    <s v="Retail"/>
    <s v="Q087 - Palmira - Centro"/>
    <x v="1"/>
    <s v="septiembre"/>
    <n v="26"/>
    <d v="2026-09-26T00:00:00"/>
    <n v="1113656874"/>
    <s v="GONZALEZ AGREDO ISABEL CRISTINA"/>
    <n v="163"/>
    <n v="0"/>
    <n v="9936140"/>
  </r>
  <r>
    <s v="Retail"/>
    <s v="Q087 - Palmira - Centro"/>
    <x v="1"/>
    <s v="septiembre"/>
    <n v="26"/>
    <d v="2026-09-26T00:00:00"/>
    <n v="1113702327"/>
    <s v="URBANO  CASANOVA ISRAEL ALEJANDRO "/>
    <n v="144"/>
    <n v="0"/>
    <n v="9262692"/>
  </r>
  <r>
    <s v="Retail"/>
    <s v="Q087 - Palmira - Centro"/>
    <x v="1"/>
    <s v="septiembre"/>
    <n v="26"/>
    <d v="2026-09-26T00:00:00"/>
    <n v="1192813746"/>
    <s v="ORBES ZAMBRANO ANDRES FELIPE"/>
    <n v="78"/>
    <n v="0"/>
    <n v="4851645"/>
  </r>
  <r>
    <s v="Retail"/>
    <s v="Q087 - Palmira - Centro"/>
    <x v="1"/>
    <s v="septiembre"/>
    <n v="27"/>
    <d v="2026-09-27T00:00:00"/>
    <m/>
    <m/>
    <n v="0"/>
    <n v="21489481"/>
    <n v="0"/>
  </r>
  <r>
    <s v="Retail"/>
    <s v="Q087 - Palmira - Centro"/>
    <x v="1"/>
    <s v="septiembre"/>
    <n v="27"/>
    <d v="2026-09-27T00:00:00"/>
    <n v="1113656874"/>
    <s v="GONZALEZ AGREDO ISABEL CRISTINA"/>
    <n v="57"/>
    <n v="0"/>
    <n v="3381975"/>
  </r>
  <r>
    <s v="Retail"/>
    <s v="Q087 - Palmira - Centro"/>
    <x v="1"/>
    <s v="septiembre"/>
    <n v="27"/>
    <d v="2026-09-27T00:00:00"/>
    <n v="1113702327"/>
    <s v="URBANO  CASANOVA ISRAEL ALEJANDRO "/>
    <n v="72"/>
    <n v="0"/>
    <n v="4284747"/>
  </r>
  <r>
    <s v="Retail"/>
    <s v="Q087 - Palmira - Centro"/>
    <x v="1"/>
    <s v="septiembre"/>
    <n v="27"/>
    <d v="2026-09-27T00:00:00"/>
    <n v="1192813746"/>
    <s v="ORBES ZAMBRANO ANDRES FELIPE"/>
    <n v="45"/>
    <n v="0"/>
    <n v="3145171"/>
  </r>
  <r>
    <s v="Retail"/>
    <s v="Q087 - Palmira - Centro"/>
    <x v="1"/>
    <s v="septiembre"/>
    <n v="28"/>
    <d v="2026-09-28T00:00:00"/>
    <m/>
    <m/>
    <n v="0"/>
    <n v="12099532"/>
    <n v="0"/>
  </r>
  <r>
    <s v="Retail"/>
    <s v="Q087 - Palmira - Centro"/>
    <x v="1"/>
    <s v="septiembre"/>
    <n v="28"/>
    <d v="2026-09-28T00:00:00"/>
    <n v="1113656874"/>
    <s v="GONZALEZ AGREDO ISABEL CRISTINA"/>
    <n v="102"/>
    <n v="0"/>
    <n v="6274835"/>
  </r>
  <r>
    <s v="Retail"/>
    <s v="Q087 - Palmira - Centro"/>
    <x v="1"/>
    <s v="septiembre"/>
    <n v="28"/>
    <d v="2026-09-28T00:00:00"/>
    <n v="1113702327"/>
    <s v="URBANO  CASANOVA ISRAEL ALEJANDRO "/>
    <n v="87"/>
    <n v="0"/>
    <n v="5760880"/>
  </r>
  <r>
    <s v="Retail"/>
    <s v="Q087 - Palmira - Centro"/>
    <x v="1"/>
    <s v="septiembre"/>
    <n v="28"/>
    <d v="2026-09-28T00:00:00"/>
    <n v="1192813746"/>
    <s v="ORBES ZAMBRANO ANDRES FELIPE"/>
    <n v="62"/>
    <n v="0"/>
    <n v="3745172"/>
  </r>
  <r>
    <s v="Retail"/>
    <s v="Q087 - Palmira - Centro"/>
    <x v="1"/>
    <s v="septiembre"/>
    <n v="29"/>
    <d v="2026-09-29T00:00:00"/>
    <m/>
    <m/>
    <n v="0"/>
    <n v="12360867"/>
    <n v="0"/>
  </r>
  <r>
    <s v="Retail"/>
    <s v="Q087 - Palmira - Centro"/>
    <x v="1"/>
    <s v="septiembre"/>
    <n v="29"/>
    <d v="2026-09-29T00:00:00"/>
    <n v="1007700430"/>
    <s v="FIGUEROA LOZANO JUAN DAVID"/>
    <n v="-1"/>
    <n v="0"/>
    <n v="-58781"/>
  </r>
  <r>
    <s v="Retail"/>
    <s v="Q087 - Palmira - Centro"/>
    <x v="1"/>
    <s v="septiembre"/>
    <n v="29"/>
    <d v="2026-09-29T00:00:00"/>
    <n v="1113637332"/>
    <s v="ARAUJO PORTILLA LYRA AMANDA"/>
    <n v="-1"/>
    <n v="0"/>
    <n v="-75546"/>
  </r>
  <r>
    <s v="Retail"/>
    <s v="Q087 - Palmira - Centro"/>
    <x v="1"/>
    <s v="septiembre"/>
    <n v="29"/>
    <d v="2026-09-29T00:00:00"/>
    <n v="1113656874"/>
    <s v="GONZALEZ AGREDO ISABEL CRISTINA"/>
    <n v="92"/>
    <n v="0"/>
    <n v="5130505"/>
  </r>
  <r>
    <s v="Retail"/>
    <s v="Q087 - Palmira - Centro"/>
    <x v="1"/>
    <s v="septiembre"/>
    <n v="29"/>
    <d v="2026-09-29T00:00:00"/>
    <n v="1113702327"/>
    <s v="URBANO  CASANOVA ISRAEL ALEJANDRO "/>
    <n v="86"/>
    <n v="0"/>
    <n v="4968617"/>
  </r>
  <r>
    <s v="Retail"/>
    <s v="Q087 - Palmira - Centro"/>
    <x v="1"/>
    <s v="septiembre"/>
    <n v="29"/>
    <d v="2026-09-29T00:00:00"/>
    <n v="1192813746"/>
    <s v="ORBES ZAMBRANO ANDRES FELIPE"/>
    <n v="55"/>
    <n v="0"/>
    <n v="3371600"/>
  </r>
  <r>
    <s v="Retail"/>
    <s v="Q087 - Palmira - Centro"/>
    <x v="1"/>
    <s v="septiembre"/>
    <n v="30"/>
    <d v="2026-09-30T00:00:00"/>
    <m/>
    <m/>
    <n v="0"/>
    <n v="13050602"/>
    <n v="0"/>
  </r>
  <r>
    <s v="Retail"/>
    <s v="Q087 - Palmira - Centro"/>
    <x v="1"/>
    <s v="septiembre"/>
    <n v="30"/>
    <d v="2026-09-30T00:00:00"/>
    <n v="1113656874"/>
    <s v="GONZALEZ AGREDO ISABEL CRISTINA"/>
    <n v="78"/>
    <n v="0"/>
    <n v="4816015"/>
  </r>
  <r>
    <s v="Retail"/>
    <s v="Q087 - Palmira - Centro"/>
    <x v="1"/>
    <s v="septiembre"/>
    <n v="30"/>
    <d v="2026-09-30T00:00:00"/>
    <n v="1113702327"/>
    <s v="URBANO  CASANOVA ISRAEL ALEJANDRO "/>
    <n v="103"/>
    <n v="0"/>
    <n v="6030848"/>
  </r>
  <r>
    <s v="Retail"/>
    <s v="Q087 - Palmira - Centro"/>
    <x v="1"/>
    <s v="septiembre"/>
    <n v="30"/>
    <d v="2026-09-30T00:00:00"/>
    <n v="1192813746"/>
    <s v="ORBES ZAMBRANO ANDRES FELIPE"/>
    <n v="57"/>
    <n v="0"/>
    <n v="3373532"/>
  </r>
  <r>
    <s v="Retail"/>
    <s v="Q087 - Palmira - Centro"/>
    <x v="1"/>
    <s v="octubre"/>
    <n v="1"/>
    <d v="2026-10-01T00:00:00"/>
    <m/>
    <m/>
    <n v="0"/>
    <n v="17285897"/>
    <n v="0"/>
  </r>
  <r>
    <s v="Retail"/>
    <s v="Q087 - Palmira - Centro"/>
    <x v="1"/>
    <s v="octubre"/>
    <n v="1"/>
    <d v="2026-10-01T00:00:00"/>
    <n v="1113656874"/>
    <s v="GONZALEZ AGREDO ISABEL CRISTINA"/>
    <n v="84"/>
    <n v="0"/>
    <n v="5109753"/>
  </r>
  <r>
    <s v="Retail"/>
    <s v="Q087 - Palmira - Centro"/>
    <x v="1"/>
    <s v="octubre"/>
    <n v="1"/>
    <d v="2026-10-01T00:00:00"/>
    <n v="1113702327"/>
    <s v="URBANO  CASANOVA ISRAEL ALEJANDRO "/>
    <n v="111"/>
    <n v="0"/>
    <n v="6123325"/>
  </r>
  <r>
    <s v="Retail"/>
    <s v="Q087 - Palmira - Centro"/>
    <x v="1"/>
    <s v="octubre"/>
    <n v="1"/>
    <d v="2026-10-01T00:00:00"/>
    <n v="1192813746"/>
    <s v="ORBES ZAMBRANO ANDRES FELIPE"/>
    <n v="62"/>
    <n v="0"/>
    <n v="3011940"/>
  </r>
  <r>
    <s v="Retail"/>
    <s v="Q087 - Palmira - Centro"/>
    <x v="1"/>
    <s v="octubre"/>
    <n v="2"/>
    <d v="2026-10-02T00:00:00"/>
    <m/>
    <m/>
    <n v="0"/>
    <n v="15107134"/>
    <n v="0"/>
  </r>
  <r>
    <s v="Retail"/>
    <s v="Q087 - Palmira - Centro"/>
    <x v="1"/>
    <s v="octubre"/>
    <n v="2"/>
    <d v="2026-10-02T00:00:00"/>
    <n v="5063496"/>
    <s v="MADRID M MADRID CASTELLANOS MILANGELY ALEJANDRA "/>
    <n v="-1"/>
    <n v="0"/>
    <n v="-121807"/>
  </r>
  <r>
    <s v="Retail"/>
    <s v="Q087 - Palmira - Centro"/>
    <x v="1"/>
    <s v="octubre"/>
    <n v="2"/>
    <d v="2026-10-02T00:00:00"/>
    <n v="1113656874"/>
    <s v="GONZALEZ AGREDO ISABEL CRISTINA"/>
    <n v="77"/>
    <n v="0"/>
    <n v="4124794"/>
  </r>
  <r>
    <s v="Retail"/>
    <s v="Q087 - Palmira - Centro"/>
    <x v="1"/>
    <s v="octubre"/>
    <n v="2"/>
    <d v="2026-10-02T00:00:00"/>
    <n v="1113702327"/>
    <s v="URBANO  CASANOVA ISRAEL ALEJANDRO "/>
    <n v="73"/>
    <n v="0"/>
    <n v="4066055"/>
  </r>
  <r>
    <s v="Retail"/>
    <s v="Q087 - Palmira - Centro"/>
    <x v="1"/>
    <s v="octubre"/>
    <n v="2"/>
    <d v="2026-10-02T00:00:00"/>
    <n v="1192813746"/>
    <s v="ORBES ZAMBRANO ANDRES FELIPE"/>
    <n v="41"/>
    <n v="0"/>
    <n v="2561137"/>
  </r>
  <r>
    <s v="Retail"/>
    <s v="Q087 - Palmira - Centro"/>
    <x v="1"/>
    <s v="octubre"/>
    <n v="3"/>
    <d v="2026-10-03T00:00:00"/>
    <m/>
    <m/>
    <n v="0"/>
    <n v="29852354"/>
    <n v="0"/>
  </r>
  <r>
    <s v="Retail"/>
    <s v="Q087 - Palmira - Centro"/>
    <x v="1"/>
    <s v="octubre"/>
    <n v="3"/>
    <d v="2026-10-03T00:00:00"/>
    <n v="1113656874"/>
    <s v="GONZALEZ AGREDO ISABEL CRISTINA"/>
    <n v="168"/>
    <n v="0"/>
    <n v="8823696"/>
  </r>
  <r>
    <s v="Retail"/>
    <s v="Q087 - Palmira - Centro"/>
    <x v="1"/>
    <s v="octubre"/>
    <n v="3"/>
    <d v="2026-10-03T00:00:00"/>
    <n v="1113702327"/>
    <s v="URBANO  CASANOVA ISRAEL ALEJANDRO "/>
    <n v="155"/>
    <n v="0"/>
    <n v="8903015"/>
  </r>
  <r>
    <s v="Retail"/>
    <s v="Q087 - Palmira - Centro"/>
    <x v="1"/>
    <s v="octubre"/>
    <n v="3"/>
    <d v="2026-10-03T00:00:00"/>
    <n v="1192813746"/>
    <s v="ORBES ZAMBRANO ANDRES FELIPE"/>
    <n v="135"/>
    <n v="0"/>
    <n v="7594257"/>
  </r>
  <r>
    <s v="Retail"/>
    <s v="Q087 - Palmira - Centro"/>
    <x v="1"/>
    <s v="octubre"/>
    <n v="3"/>
    <d v="2026-10-03T00:00:00"/>
    <n v="1193599836"/>
    <s v="MAYOR SERNA NATALIA"/>
    <n v="-1"/>
    <n v="0"/>
    <n v="-58781"/>
  </r>
  <r>
    <s v="Retail"/>
    <s v="Q087 - Palmira - Centro"/>
    <x v="1"/>
    <s v="octubre"/>
    <n v="4"/>
    <d v="2026-10-04T00:00:00"/>
    <m/>
    <m/>
    <n v="0"/>
    <n v="12469533"/>
    <n v="0"/>
  </r>
  <r>
    <s v="Retail"/>
    <s v="Q087 - Palmira - Centro"/>
    <x v="1"/>
    <s v="octubre"/>
    <n v="4"/>
    <d v="2026-10-04T00:00:00"/>
    <n v="1113656874"/>
    <s v="GONZALEZ AGREDO ISABEL CRISTINA"/>
    <n v="58"/>
    <n v="0"/>
    <n v="3352568"/>
  </r>
  <r>
    <s v="Retail"/>
    <s v="Q087 - Palmira - Centro"/>
    <x v="1"/>
    <s v="octubre"/>
    <n v="4"/>
    <d v="2026-10-04T00:00:00"/>
    <n v="1113698946"/>
    <s v="IRIARTE MELENGUE NATALIA VANESSA"/>
    <n v="-1"/>
    <n v="0"/>
    <n v="-16723"/>
  </r>
  <r>
    <s v="Retail"/>
    <s v="Q087 - Palmira - Centro"/>
    <x v="1"/>
    <s v="octubre"/>
    <n v="4"/>
    <d v="2026-10-04T00:00:00"/>
    <n v="1113702327"/>
    <s v="URBANO  CASANOVA ISRAEL ALEJANDRO "/>
    <n v="62"/>
    <n v="0"/>
    <n v="3575460"/>
  </r>
  <r>
    <s v="Retail"/>
    <s v="Q087 - Palmira - Centro"/>
    <x v="1"/>
    <s v="octubre"/>
    <n v="4"/>
    <d v="2026-10-04T00:00:00"/>
    <n v="1192813746"/>
    <s v="ORBES ZAMBRANO ANDRES FELIPE"/>
    <n v="52"/>
    <n v="0"/>
    <n v="3020753"/>
  </r>
  <r>
    <s v="Retail"/>
    <s v="Q087 - Palmira - Centro"/>
    <x v="1"/>
    <s v="octubre"/>
    <n v="5"/>
    <d v="2026-10-05T00:00:00"/>
    <m/>
    <m/>
    <n v="0"/>
    <n v="15293098"/>
    <n v="0"/>
  </r>
  <r>
    <s v="Retail"/>
    <s v="Q087 - Palmira - Centro"/>
    <x v="1"/>
    <s v="octubre"/>
    <n v="5"/>
    <d v="2026-10-05T00:00:00"/>
    <n v="1113656874"/>
    <s v="GONZALEZ AGREDO ISABEL CRISTINA"/>
    <n v="52"/>
    <n v="0"/>
    <n v="3228873"/>
  </r>
  <r>
    <s v="Retail"/>
    <s v="Q087 - Palmira - Centro"/>
    <x v="1"/>
    <s v="octubre"/>
    <n v="5"/>
    <d v="2026-10-05T00:00:00"/>
    <n v="1113702327"/>
    <s v="URBANO  CASANOVA ISRAEL ALEJANDRO "/>
    <n v="69"/>
    <n v="0"/>
    <n v="4121676"/>
  </r>
  <r>
    <s v="Retail"/>
    <s v="Q087 - Palmira - Centro"/>
    <x v="1"/>
    <s v="octubre"/>
    <n v="5"/>
    <d v="2026-10-05T00:00:00"/>
    <n v="1192813746"/>
    <s v="ORBES ZAMBRANO ANDRES FELIPE"/>
    <n v="55"/>
    <n v="0"/>
    <n v="3298113"/>
  </r>
  <r>
    <s v="Retail"/>
    <s v="Q087 - Palmira - Centro"/>
    <x v="1"/>
    <s v="octubre"/>
    <n v="6"/>
    <d v="2026-10-06T00:00:00"/>
    <m/>
    <m/>
    <n v="0"/>
    <n v="6824600"/>
    <n v="0"/>
  </r>
  <r>
    <s v="Retail"/>
    <s v="Q087 - Palmira - Centro"/>
    <x v="1"/>
    <s v="octubre"/>
    <n v="6"/>
    <d v="2026-10-06T00:00:00"/>
    <n v="1113656874"/>
    <s v="GONZALEZ AGREDO ISABEL CRISTINA"/>
    <n v="42"/>
    <n v="0"/>
    <n v="2706178"/>
  </r>
  <r>
    <s v="Retail"/>
    <s v="Q087 - Palmira - Centro"/>
    <x v="1"/>
    <s v="octubre"/>
    <n v="6"/>
    <d v="2026-10-06T00:00:00"/>
    <n v="1113702327"/>
    <s v="URBANO  CASANOVA ISRAEL ALEJANDRO "/>
    <n v="39"/>
    <n v="0"/>
    <n v="2034078"/>
  </r>
  <r>
    <s v="Retail"/>
    <s v="Q087 - Palmira - Centro"/>
    <x v="1"/>
    <s v="octubre"/>
    <n v="6"/>
    <d v="2026-10-06T00:00:00"/>
    <n v="1192813746"/>
    <s v="ORBES ZAMBRANO ANDRES FELIPE"/>
    <n v="40"/>
    <n v="0"/>
    <n v="2344877"/>
  </r>
  <r>
    <s v="Retail"/>
    <s v="Q087 - Palmira - Centro"/>
    <x v="1"/>
    <s v="octubre"/>
    <n v="7"/>
    <d v="2026-10-07T00:00:00"/>
    <m/>
    <m/>
    <n v="0"/>
    <n v="6734805"/>
    <n v="0"/>
  </r>
  <r>
    <s v="Retail"/>
    <s v="Q087 - Palmira - Centro"/>
    <x v="1"/>
    <s v="octubre"/>
    <n v="7"/>
    <d v="2026-10-07T00:00:00"/>
    <n v="18586321"/>
    <s v="BAIK IRIZA ISRAEL DAVID"/>
    <n v="-1"/>
    <n v="0"/>
    <n v="-37773"/>
  </r>
  <r>
    <s v="Retail"/>
    <s v="Q087 - Palmira - Centro"/>
    <x v="1"/>
    <s v="octubre"/>
    <n v="7"/>
    <d v="2026-10-07T00:00:00"/>
    <n v="1007700430"/>
    <s v="FIGUEROA LOZANO JUAN DAVID"/>
    <n v="-2"/>
    <n v="0"/>
    <n v="-130169"/>
  </r>
  <r>
    <s v="Retail"/>
    <s v="Q087 - Palmira - Centro"/>
    <x v="1"/>
    <s v="octubre"/>
    <n v="7"/>
    <d v="2026-10-07T00:00:00"/>
    <n v="1113656874"/>
    <s v="GONZALEZ AGREDO ISABEL CRISTINA"/>
    <n v="36"/>
    <n v="0"/>
    <n v="1994163"/>
  </r>
  <r>
    <s v="Retail"/>
    <s v="Q087 - Palmira - Centro"/>
    <x v="1"/>
    <s v="octubre"/>
    <n v="7"/>
    <d v="2026-10-07T00:00:00"/>
    <n v="1113684554"/>
    <s v="GONZALEZ VIEDMA DURLEY FERNANDA"/>
    <n v="-1"/>
    <n v="0"/>
    <n v="-33572"/>
  </r>
  <r>
    <s v="Retail"/>
    <s v="Q087 - Palmira - Centro"/>
    <x v="1"/>
    <s v="octubre"/>
    <n v="7"/>
    <d v="2026-10-07T00:00:00"/>
    <n v="1113702327"/>
    <s v="URBANO  CASANOVA ISRAEL ALEJANDRO "/>
    <n v="39"/>
    <n v="0"/>
    <n v="2332356"/>
  </r>
  <r>
    <s v="Retail"/>
    <s v="Q087 - Palmira - Centro"/>
    <x v="1"/>
    <s v="octubre"/>
    <n v="7"/>
    <d v="2026-10-07T00:00:00"/>
    <n v="1192813746"/>
    <s v="ORBES ZAMBRANO ANDRES FELIPE"/>
    <n v="26"/>
    <n v="0"/>
    <n v="1355968"/>
  </r>
  <r>
    <s v="Retail"/>
    <s v="Q088 - Palmira - Cc Llanogrande"/>
    <x v="1"/>
    <s v="septiembre"/>
    <n v="23"/>
    <d v="2026-09-23T00:00:00"/>
    <m/>
    <m/>
    <n v="0"/>
    <n v="14782836"/>
    <n v="0"/>
  </r>
  <r>
    <s v="Retail"/>
    <s v="Q088 - Palmira - Cc Llanogrande"/>
    <x v="1"/>
    <s v="septiembre"/>
    <n v="23"/>
    <d v="2026-09-23T00:00:00"/>
    <n v="1007700430"/>
    <s v="FIGUEROA LOZANO JUAN DAVID"/>
    <n v="67"/>
    <n v="0"/>
    <n v="3956935"/>
  </r>
  <r>
    <s v="Retail"/>
    <s v="Q088 - Palmira - Cc Llanogrande"/>
    <x v="1"/>
    <s v="septiembre"/>
    <n v="23"/>
    <d v="2026-09-23T00:00:00"/>
    <n v="1104805189"/>
    <s v="SINISTERRA  ALZATE VALENTINA "/>
    <n v="105"/>
    <n v="0"/>
    <n v="5484582"/>
  </r>
  <r>
    <s v="Retail"/>
    <s v="Q088 - Palmira - Cc Llanogrande"/>
    <x v="1"/>
    <s v="septiembre"/>
    <n v="23"/>
    <d v="2026-09-23T00:00:00"/>
    <n v="1113637332"/>
    <s v="ARAUJO PORTILLA LYRA AMANDA"/>
    <n v="135"/>
    <n v="0"/>
    <n v="7777398"/>
  </r>
  <r>
    <s v="Retail"/>
    <s v="Q088 - Palmira - Cc Llanogrande"/>
    <x v="1"/>
    <s v="septiembre"/>
    <n v="23"/>
    <d v="2026-09-23T00:00:00"/>
    <n v="1113670149"/>
    <s v="CRUZ SALDARRIAGA JUAN FELIPE"/>
    <n v="23"/>
    <n v="0"/>
    <n v="1116472"/>
  </r>
  <r>
    <s v="Retail"/>
    <s v="Q088 - Palmira - Cc Llanogrande"/>
    <x v="1"/>
    <s v="septiembre"/>
    <n v="24"/>
    <d v="2026-09-24T00:00:00"/>
    <m/>
    <m/>
    <n v="0"/>
    <n v="22582449"/>
    <n v="0"/>
  </r>
  <r>
    <s v="Retail"/>
    <s v="Q088 - Palmira - Cc Llanogrande"/>
    <x v="1"/>
    <s v="septiembre"/>
    <n v="24"/>
    <d v="2026-09-24T00:00:00"/>
    <n v="1007700430"/>
    <s v="FIGUEROA LOZANO JUAN DAVID"/>
    <n v="71"/>
    <n v="0"/>
    <n v="4324580"/>
  </r>
  <r>
    <s v="Retail"/>
    <s v="Q088 - Palmira - Cc Llanogrande"/>
    <x v="1"/>
    <s v="septiembre"/>
    <n v="24"/>
    <d v="2026-09-24T00:00:00"/>
    <n v="1104805189"/>
    <s v="SINISTERRA  ALZATE VALENTINA "/>
    <n v="30"/>
    <n v="0"/>
    <n v="2141556"/>
  </r>
  <r>
    <s v="Retail"/>
    <s v="Q088 - Palmira - Cc Llanogrande"/>
    <x v="1"/>
    <s v="septiembre"/>
    <n v="24"/>
    <d v="2026-09-24T00:00:00"/>
    <n v="1113637332"/>
    <s v="ARAUJO PORTILLA LYRA AMANDA"/>
    <n v="125"/>
    <n v="0"/>
    <n v="7170883"/>
  </r>
  <r>
    <s v="Retail"/>
    <s v="Q088 - Palmira - Cc Llanogrande"/>
    <x v="1"/>
    <s v="septiembre"/>
    <n v="24"/>
    <d v="2026-09-24T00:00:00"/>
    <n v="1113670149"/>
    <s v="CRUZ SALDARRIAGA JUAN FELIPE"/>
    <n v="34"/>
    <n v="0"/>
    <n v="2051093"/>
  </r>
  <r>
    <s v="Retail"/>
    <s v="Q088 - Palmira - Cc Llanogrande"/>
    <x v="1"/>
    <s v="septiembre"/>
    <n v="24"/>
    <d v="2026-09-24T00:00:00"/>
    <n v="1113702327"/>
    <s v="URBANO  CASANOVA ISRAEL ALEJANDRO "/>
    <n v="-1"/>
    <n v="0"/>
    <n v="-109202"/>
  </r>
  <r>
    <s v="Retail"/>
    <s v="Q088 - Palmira - Cc Llanogrande"/>
    <x v="1"/>
    <s v="septiembre"/>
    <n v="25"/>
    <d v="2026-09-25T00:00:00"/>
    <m/>
    <m/>
    <n v="0"/>
    <n v="22532457"/>
    <n v="0"/>
  </r>
  <r>
    <s v="Retail"/>
    <s v="Q088 - Palmira - Cc Llanogrande"/>
    <x v="1"/>
    <s v="septiembre"/>
    <n v="25"/>
    <d v="2026-09-25T00:00:00"/>
    <n v="1007700430"/>
    <s v="FIGUEROA LOZANO JUAN DAVID"/>
    <n v="56"/>
    <n v="0"/>
    <n v="3043406"/>
  </r>
  <r>
    <s v="Retail"/>
    <s v="Q088 - Palmira - Cc Llanogrande"/>
    <x v="1"/>
    <s v="septiembre"/>
    <n v="25"/>
    <d v="2026-09-25T00:00:00"/>
    <n v="1104805189"/>
    <s v="SINISTERRA  ALZATE VALENTINA "/>
    <n v="48"/>
    <n v="0"/>
    <n v="2741432"/>
  </r>
  <r>
    <s v="Retail"/>
    <s v="Q088 - Palmira - Cc Llanogrande"/>
    <x v="1"/>
    <s v="septiembre"/>
    <n v="25"/>
    <d v="2026-09-25T00:00:00"/>
    <n v="1113637332"/>
    <s v="ARAUJO PORTILLA LYRA AMANDA"/>
    <n v="60"/>
    <n v="0"/>
    <n v="3434370"/>
  </r>
  <r>
    <s v="Retail"/>
    <s v="Q088 - Palmira - Cc Llanogrande"/>
    <x v="1"/>
    <s v="septiembre"/>
    <n v="25"/>
    <d v="2026-09-25T00:00:00"/>
    <n v="1113670149"/>
    <s v="CRUZ SALDARRIAGA JUAN FELIPE"/>
    <n v="16"/>
    <n v="0"/>
    <n v="810126"/>
  </r>
  <r>
    <s v="Retail"/>
    <s v="Q088 - Palmira - Cc Llanogrande"/>
    <x v="1"/>
    <s v="septiembre"/>
    <n v="26"/>
    <d v="2026-09-26T00:00:00"/>
    <m/>
    <m/>
    <n v="0"/>
    <n v="32382378"/>
    <n v="0"/>
  </r>
  <r>
    <s v="Retail"/>
    <s v="Q088 - Palmira - Cc Llanogrande"/>
    <x v="1"/>
    <s v="septiembre"/>
    <n v="26"/>
    <d v="2026-09-26T00:00:00"/>
    <n v="1007700430"/>
    <s v="FIGUEROA LOZANO JUAN DAVID"/>
    <n v="181"/>
    <n v="0"/>
    <n v="11132484"/>
  </r>
  <r>
    <s v="Retail"/>
    <s v="Q088 - Palmira - Cc Llanogrande"/>
    <x v="1"/>
    <s v="septiembre"/>
    <n v="26"/>
    <d v="2026-09-26T00:00:00"/>
    <n v="1104805189"/>
    <s v="SINISTERRA  ALZATE VALENTINA "/>
    <n v="154"/>
    <n v="0"/>
    <n v="9356477"/>
  </r>
  <r>
    <s v="Retail"/>
    <s v="Q088 - Palmira - Cc Llanogrande"/>
    <x v="1"/>
    <s v="septiembre"/>
    <n v="26"/>
    <d v="2026-09-26T00:00:00"/>
    <n v="1111665228"/>
    <s v="RIVERA ZUÑIGA JUAN DIEGO"/>
    <n v="-1"/>
    <n v="0"/>
    <n v="-50378"/>
  </r>
  <r>
    <s v="Retail"/>
    <s v="Q088 - Palmira - Cc Llanogrande"/>
    <x v="1"/>
    <s v="septiembre"/>
    <n v="26"/>
    <d v="2026-09-26T00:00:00"/>
    <n v="1113637332"/>
    <s v="ARAUJO PORTILLA LYRA AMANDA"/>
    <n v="170"/>
    <n v="0"/>
    <n v="10045006"/>
  </r>
  <r>
    <s v="Retail"/>
    <s v="Q088 - Palmira - Cc Llanogrande"/>
    <x v="1"/>
    <s v="septiembre"/>
    <n v="26"/>
    <d v="2026-09-26T00:00:00"/>
    <n v="1113670149"/>
    <s v="CRUZ SALDARRIAGA JUAN FELIPE"/>
    <n v="42"/>
    <n v="0"/>
    <n v="2519118"/>
  </r>
  <r>
    <s v="Retail"/>
    <s v="Q088 - Palmira - Cc Llanogrande"/>
    <x v="1"/>
    <s v="septiembre"/>
    <n v="27"/>
    <d v="2026-09-27T00:00:00"/>
    <m/>
    <m/>
    <n v="0"/>
    <n v="25653362"/>
    <n v="0"/>
  </r>
  <r>
    <s v="Retail"/>
    <s v="Q088 - Palmira - Cc Llanogrande"/>
    <x v="1"/>
    <s v="septiembre"/>
    <n v="27"/>
    <d v="2026-09-27T00:00:00"/>
    <n v="1007700430"/>
    <s v="FIGUEROA LOZANO JUAN DAVID"/>
    <n v="188"/>
    <n v="0"/>
    <n v="11327316"/>
  </r>
  <r>
    <s v="Retail"/>
    <s v="Q088 - Palmira - Cc Llanogrande"/>
    <x v="1"/>
    <s v="septiembre"/>
    <n v="27"/>
    <d v="2026-09-27T00:00:00"/>
    <n v="1104805189"/>
    <s v="SINISTERRA  ALZATE VALENTINA "/>
    <n v="139"/>
    <n v="0"/>
    <n v="8396945"/>
  </r>
  <r>
    <s v="Retail"/>
    <s v="Q088 - Palmira - Cc Llanogrande"/>
    <x v="1"/>
    <s v="septiembre"/>
    <n v="27"/>
    <d v="2026-09-27T00:00:00"/>
    <n v="1113637332"/>
    <s v="ARAUJO PORTILLA LYRA AMANDA"/>
    <n v="174"/>
    <n v="0"/>
    <n v="10800721"/>
  </r>
  <r>
    <s v="Retail"/>
    <s v="Q088 - Palmira - Cc Llanogrande"/>
    <x v="1"/>
    <s v="septiembre"/>
    <n v="27"/>
    <d v="2026-09-27T00:00:00"/>
    <n v="1113670149"/>
    <s v="CRUZ SALDARRIAGA JUAN FELIPE"/>
    <n v="37"/>
    <n v="0"/>
    <n v="2141011"/>
  </r>
  <r>
    <s v="Retail"/>
    <s v="Q088 - Palmira - Cc Llanogrande"/>
    <x v="1"/>
    <s v="septiembre"/>
    <n v="27"/>
    <d v="2026-09-27T00:00:00"/>
    <n v="1113698946"/>
    <s v="IRIARTE MELENGUE NATALIA VANESSA"/>
    <n v="-1"/>
    <n v="0"/>
    <n v="-41975"/>
  </r>
  <r>
    <s v="Retail"/>
    <s v="Q088 - Palmira - Cc Llanogrande"/>
    <x v="1"/>
    <s v="septiembre"/>
    <n v="28"/>
    <d v="2026-09-28T00:00:00"/>
    <m/>
    <m/>
    <n v="0"/>
    <n v="14118557"/>
    <n v="0"/>
  </r>
  <r>
    <s v="Retail"/>
    <s v="Q088 - Palmira - Cc Llanogrande"/>
    <x v="1"/>
    <s v="septiembre"/>
    <n v="28"/>
    <d v="2026-09-28T00:00:00"/>
    <n v="1007700430"/>
    <s v="FIGUEROA LOZANO JUAN DAVID"/>
    <n v="110"/>
    <n v="0"/>
    <n v="6000972"/>
  </r>
  <r>
    <s v="Retail"/>
    <s v="Q088 - Palmira - Cc Llanogrande"/>
    <x v="1"/>
    <s v="septiembre"/>
    <n v="28"/>
    <d v="2026-09-28T00:00:00"/>
    <n v="1104805189"/>
    <s v="SINISTERRA  ALZATE VALENTINA "/>
    <n v="35"/>
    <n v="0"/>
    <n v="2246389"/>
  </r>
  <r>
    <s v="Retail"/>
    <s v="Q088 - Palmira - Cc Llanogrande"/>
    <x v="1"/>
    <s v="septiembre"/>
    <n v="28"/>
    <d v="2026-09-28T00:00:00"/>
    <n v="1113637332"/>
    <s v="ARAUJO PORTILLA LYRA AMANDA"/>
    <n v="29"/>
    <n v="0"/>
    <n v="1830588"/>
  </r>
  <r>
    <s v="Retail"/>
    <s v="Q088 - Palmira - Cc Llanogrande"/>
    <x v="1"/>
    <s v="septiembre"/>
    <n v="28"/>
    <d v="2026-09-28T00:00:00"/>
    <n v="1113670149"/>
    <s v="CRUZ SALDARRIAGA JUAN FELIPE"/>
    <n v="3"/>
    <n v="0"/>
    <n v="102773"/>
  </r>
  <r>
    <s v="Retail"/>
    <s v="Q088 - Palmira - Cc Llanogrande"/>
    <x v="1"/>
    <s v="septiembre"/>
    <n v="29"/>
    <d v="2026-09-29T00:00:00"/>
    <m/>
    <m/>
    <n v="0"/>
    <n v="15081382"/>
    <n v="0"/>
  </r>
  <r>
    <s v="Retail"/>
    <s v="Q088 - Palmira - Cc Llanogrande"/>
    <x v="1"/>
    <s v="septiembre"/>
    <n v="29"/>
    <d v="2026-09-29T00:00:00"/>
    <n v="5063496"/>
    <s v="MADRID M MADRID CASTELLANOS MILANGELY ALEJANDRA "/>
    <n v="-1"/>
    <n v="0"/>
    <n v="-67185"/>
  </r>
  <r>
    <s v="Retail"/>
    <s v="Q088 - Palmira - Cc Llanogrande"/>
    <x v="1"/>
    <s v="septiembre"/>
    <n v="29"/>
    <d v="2026-09-29T00:00:00"/>
    <n v="1007700430"/>
    <s v="FIGUEROA LOZANO JUAN DAVID"/>
    <n v="56"/>
    <n v="0"/>
    <n v="3425759"/>
  </r>
  <r>
    <s v="Retail"/>
    <s v="Q088 - Palmira - Cc Llanogrande"/>
    <x v="1"/>
    <s v="septiembre"/>
    <n v="29"/>
    <d v="2026-09-29T00:00:00"/>
    <n v="1104805189"/>
    <s v="SINISTERRA  ALZATE VALENTINA "/>
    <n v="58"/>
    <n v="0"/>
    <n v="3201141"/>
  </r>
  <r>
    <s v="Retail"/>
    <s v="Q088 - Palmira - Cc Llanogrande"/>
    <x v="1"/>
    <s v="septiembre"/>
    <n v="29"/>
    <d v="2026-09-29T00:00:00"/>
    <n v="1113637332"/>
    <s v="ARAUJO PORTILLA LYRA AMANDA"/>
    <n v="76"/>
    <n v="0"/>
    <n v="4618365"/>
  </r>
  <r>
    <s v="Retail"/>
    <s v="Q088 - Palmira - Cc Llanogrande"/>
    <x v="1"/>
    <s v="septiembre"/>
    <n v="29"/>
    <d v="2026-09-29T00:00:00"/>
    <n v="1113702327"/>
    <s v="URBANO  CASANOVA ISRAEL ALEJANDRO "/>
    <n v="-1"/>
    <n v="0"/>
    <n v="-46177"/>
  </r>
  <r>
    <s v="Retail"/>
    <s v="Q088 - Palmira - Cc Llanogrande"/>
    <x v="1"/>
    <s v="septiembre"/>
    <n v="30"/>
    <d v="2026-09-30T00:00:00"/>
    <m/>
    <m/>
    <n v="0"/>
    <n v="15579338"/>
    <n v="0"/>
  </r>
  <r>
    <s v="Retail"/>
    <s v="Q088 - Palmira - Cc Llanogrande"/>
    <x v="1"/>
    <s v="septiembre"/>
    <n v="30"/>
    <d v="2026-09-30T00:00:00"/>
    <n v="5063496"/>
    <s v="MADRID M MADRID CASTELLANOS MILANGELY ALEJANDRA "/>
    <n v="-1"/>
    <n v="0"/>
    <n v="-126008"/>
  </r>
  <r>
    <s v="Retail"/>
    <s v="Q088 - Palmira - Cc Llanogrande"/>
    <x v="1"/>
    <s v="septiembre"/>
    <n v="30"/>
    <d v="2026-09-30T00:00:00"/>
    <n v="1007700430"/>
    <s v="FIGUEROA LOZANO JUAN DAVID"/>
    <n v="100"/>
    <n v="0"/>
    <n v="5793621"/>
  </r>
  <r>
    <s v="Retail"/>
    <s v="Q088 - Palmira - Cc Llanogrande"/>
    <x v="1"/>
    <s v="septiembre"/>
    <n v="30"/>
    <d v="2026-09-30T00:00:00"/>
    <n v="1104805189"/>
    <s v="SINISTERRA  ALZATE VALENTINA "/>
    <n v="48"/>
    <n v="0"/>
    <n v="2314961"/>
  </r>
  <r>
    <s v="Retail"/>
    <s v="Q088 - Palmira - Cc Llanogrande"/>
    <x v="1"/>
    <s v="septiembre"/>
    <n v="30"/>
    <d v="2026-09-30T00:00:00"/>
    <n v="1113637332"/>
    <s v="ARAUJO PORTILLA LYRA AMANDA"/>
    <n v="37"/>
    <n v="0"/>
    <n v="2187441"/>
  </r>
  <r>
    <s v="Retail"/>
    <s v="Q088 - Palmira - Cc Llanogrande"/>
    <x v="1"/>
    <s v="septiembre"/>
    <n v="30"/>
    <d v="2026-09-30T00:00:00"/>
    <n v="1113670149"/>
    <s v="CRUZ SALDARRIAGA JUAN FELIPE"/>
    <n v="16"/>
    <n v="0"/>
    <n v="953069"/>
  </r>
  <r>
    <s v="Retail"/>
    <s v="Q088 - Palmira - Cc Llanogrande"/>
    <x v="1"/>
    <s v="octubre"/>
    <n v="1"/>
    <d v="2026-10-01T00:00:00"/>
    <m/>
    <m/>
    <n v="0"/>
    <n v="16392177"/>
    <n v="0"/>
  </r>
  <r>
    <s v="Retail"/>
    <s v="Q088 - Palmira - Cc Llanogrande"/>
    <x v="1"/>
    <s v="octubre"/>
    <n v="1"/>
    <d v="2026-10-01T00:00:00"/>
    <n v="1007700430"/>
    <s v="FIGUEROA LOZANO JUAN DAVID"/>
    <n v="67"/>
    <n v="0"/>
    <n v="3692061"/>
  </r>
  <r>
    <s v="Retail"/>
    <s v="Q088 - Palmira - Cc Llanogrande"/>
    <x v="1"/>
    <s v="octubre"/>
    <n v="1"/>
    <d v="2026-10-01T00:00:00"/>
    <n v="1104805189"/>
    <s v="SINISTERRA  ALZATE VALENTINA "/>
    <n v="44"/>
    <n v="0"/>
    <n v="2397106"/>
  </r>
  <r>
    <s v="Retail"/>
    <s v="Q088 - Palmira - Cc Llanogrande"/>
    <x v="1"/>
    <s v="octubre"/>
    <n v="1"/>
    <d v="2026-10-01T00:00:00"/>
    <n v="1113637332"/>
    <s v="ARAUJO PORTILLA LYRA AMANDA"/>
    <n v="71"/>
    <n v="0"/>
    <n v="4231763"/>
  </r>
  <r>
    <s v="Retail"/>
    <s v="Q088 - Palmira - Cc Llanogrande"/>
    <x v="1"/>
    <s v="octubre"/>
    <n v="2"/>
    <d v="2026-10-02T00:00:00"/>
    <m/>
    <m/>
    <n v="0"/>
    <n v="16079676"/>
    <n v="0"/>
  </r>
  <r>
    <s v="Retail"/>
    <s v="Q088 - Palmira - Cc Llanogrande"/>
    <x v="1"/>
    <s v="octubre"/>
    <n v="2"/>
    <d v="2026-10-02T00:00:00"/>
    <n v="1007700430"/>
    <s v="FIGUEROA LOZANO JUAN DAVID"/>
    <n v="45"/>
    <n v="0"/>
    <n v="2689119"/>
  </r>
  <r>
    <s v="Retail"/>
    <s v="Q088 - Palmira - Cc Llanogrande"/>
    <x v="1"/>
    <s v="octubre"/>
    <n v="2"/>
    <d v="2026-10-02T00:00:00"/>
    <n v="1104805189"/>
    <s v="SINISTERRA  ALZATE VALENTINA "/>
    <n v="41"/>
    <n v="0"/>
    <n v="2201681"/>
  </r>
  <r>
    <s v="Retail"/>
    <s v="Q088 - Palmira - Cc Llanogrande"/>
    <x v="1"/>
    <s v="octubre"/>
    <n v="2"/>
    <d v="2026-10-02T00:00:00"/>
    <n v="1113637332"/>
    <s v="ARAUJO PORTILLA LYRA AMANDA"/>
    <n v="73"/>
    <n v="0"/>
    <n v="4265593"/>
  </r>
  <r>
    <s v="Retail"/>
    <s v="Q088 - Palmira - Cc Llanogrande"/>
    <x v="1"/>
    <s v="octubre"/>
    <n v="3"/>
    <d v="2026-10-03T00:00:00"/>
    <m/>
    <m/>
    <n v="0"/>
    <n v="24824267"/>
    <n v="0"/>
  </r>
  <r>
    <s v="Retail"/>
    <s v="Q088 - Palmira - Cc Llanogrande"/>
    <x v="1"/>
    <s v="octubre"/>
    <n v="3"/>
    <d v="2026-10-03T00:00:00"/>
    <n v="1007700430"/>
    <s v="FIGUEROA LOZANO JUAN DAVID"/>
    <n v="165"/>
    <n v="0"/>
    <n v="9030476"/>
  </r>
  <r>
    <s v="Retail"/>
    <s v="Q088 - Palmira - Cc Llanogrande"/>
    <x v="1"/>
    <s v="octubre"/>
    <n v="3"/>
    <d v="2026-10-03T00:00:00"/>
    <n v="1104805189"/>
    <s v="SINISTERRA  ALZATE VALENTINA "/>
    <n v="105"/>
    <n v="0"/>
    <n v="5637913"/>
  </r>
  <r>
    <s v="Retail"/>
    <s v="Q088 - Palmira - Cc Llanogrande"/>
    <x v="1"/>
    <s v="octubre"/>
    <n v="3"/>
    <d v="2026-10-03T00:00:00"/>
    <n v="1113637332"/>
    <s v="ARAUJO PORTILLA LYRA AMANDA"/>
    <n v="173"/>
    <n v="0"/>
    <n v="8625320"/>
  </r>
  <r>
    <s v="Retail"/>
    <s v="Q088 - Palmira - Cc Llanogrande"/>
    <x v="1"/>
    <s v="octubre"/>
    <n v="4"/>
    <d v="2026-10-04T00:00:00"/>
    <m/>
    <m/>
    <n v="0"/>
    <n v="28637872"/>
    <n v="0"/>
  </r>
  <r>
    <s v="Retail"/>
    <s v="Q088 - Palmira - Cc Llanogrande"/>
    <x v="1"/>
    <s v="octubre"/>
    <n v="4"/>
    <d v="2026-10-04T00:00:00"/>
    <n v="1007700430"/>
    <s v="FIGUEROA LOZANO JUAN DAVID"/>
    <n v="108"/>
    <n v="0"/>
    <n v="5677780"/>
  </r>
  <r>
    <s v="Retail"/>
    <s v="Q088 - Palmira - Cc Llanogrande"/>
    <x v="1"/>
    <s v="octubre"/>
    <n v="4"/>
    <d v="2026-10-04T00:00:00"/>
    <n v="1104805189"/>
    <s v="SINISTERRA  ALZATE VALENTINA "/>
    <n v="81"/>
    <n v="0"/>
    <n v="4353238"/>
  </r>
  <r>
    <s v="Retail"/>
    <s v="Q088 - Palmira - Cc Llanogrande"/>
    <x v="1"/>
    <s v="octubre"/>
    <n v="4"/>
    <d v="2026-10-04T00:00:00"/>
    <n v="1113623464"/>
    <s v="BELLO MANCO HAIDY MICHELLE"/>
    <n v="-1"/>
    <n v="0"/>
    <n v="-33572"/>
  </r>
  <r>
    <s v="Retail"/>
    <s v="Q088 - Palmira - Cc Llanogrande"/>
    <x v="1"/>
    <s v="octubre"/>
    <n v="4"/>
    <d v="2026-10-04T00:00:00"/>
    <n v="1113637332"/>
    <s v="ARAUJO PORTILLA LYRA AMANDA"/>
    <n v="92"/>
    <n v="0"/>
    <n v="5480890"/>
  </r>
  <r>
    <s v="Retail"/>
    <s v="Q088 - Palmira - Cc Llanogrande"/>
    <x v="1"/>
    <s v="octubre"/>
    <n v="5"/>
    <d v="2026-10-05T00:00:00"/>
    <m/>
    <m/>
    <n v="0"/>
    <n v="10221522"/>
    <n v="0"/>
  </r>
  <r>
    <s v="Retail"/>
    <s v="Q088 - Palmira - Cc Llanogrande"/>
    <x v="1"/>
    <s v="octubre"/>
    <n v="5"/>
    <d v="2026-10-05T00:00:00"/>
    <n v="1007700430"/>
    <s v="FIGUEROA LOZANO JUAN DAVID"/>
    <n v="97"/>
    <n v="0"/>
    <n v="5846352"/>
  </r>
  <r>
    <s v="Retail"/>
    <s v="Q088 - Palmira - Cc Llanogrande"/>
    <x v="1"/>
    <s v="octubre"/>
    <n v="5"/>
    <d v="2026-10-05T00:00:00"/>
    <n v="1104805189"/>
    <s v="SINISTERRA  ALZATE VALENTINA "/>
    <n v="71"/>
    <n v="0"/>
    <n v="4263574"/>
  </r>
  <r>
    <s v="Retail"/>
    <s v="Q088 - Palmira - Cc Llanogrande"/>
    <x v="1"/>
    <s v="octubre"/>
    <n v="5"/>
    <d v="2026-10-05T00:00:00"/>
    <n v="1113637332"/>
    <s v="ARAUJO PORTILLA LYRA AMANDA"/>
    <n v="112"/>
    <n v="0"/>
    <n v="6559737"/>
  </r>
  <r>
    <s v="Retail"/>
    <s v="Q088 - Palmira - Cc Llanogrande"/>
    <x v="1"/>
    <s v="octubre"/>
    <n v="6"/>
    <d v="2026-10-06T00:00:00"/>
    <m/>
    <m/>
    <n v="0"/>
    <n v="7371231"/>
    <n v="0"/>
  </r>
  <r>
    <s v="Retail"/>
    <s v="Q088 - Palmira - Cc Llanogrande"/>
    <x v="1"/>
    <s v="octubre"/>
    <n v="6"/>
    <d v="2026-10-06T00:00:00"/>
    <n v="1007700430"/>
    <s v="FIGUEROA LOZANO JUAN DAVID"/>
    <n v="43"/>
    <n v="0"/>
    <n v="2494573"/>
  </r>
  <r>
    <s v="Retail"/>
    <s v="Q088 - Palmira - Cc Llanogrande"/>
    <x v="1"/>
    <s v="octubre"/>
    <n v="6"/>
    <d v="2026-10-06T00:00:00"/>
    <n v="1104805189"/>
    <s v="SINISTERRA  ALZATE VALENTINA "/>
    <n v="28"/>
    <n v="0"/>
    <n v="1435716"/>
  </r>
  <r>
    <s v="Retail"/>
    <s v="Q088 - Palmira - Cc Llanogrande"/>
    <x v="1"/>
    <s v="octubre"/>
    <n v="6"/>
    <d v="2026-10-06T00:00:00"/>
    <n v="1113637332"/>
    <s v="ARAUJO PORTILLA LYRA AMANDA"/>
    <n v="50"/>
    <n v="0"/>
    <n v="2852689"/>
  </r>
  <r>
    <s v="Retail"/>
    <s v="Q088 - Palmira - Cc Llanogrande"/>
    <x v="1"/>
    <s v="octubre"/>
    <n v="7"/>
    <d v="2026-10-07T00:00:00"/>
    <m/>
    <m/>
    <n v="0"/>
    <n v="7274243"/>
    <n v="0"/>
  </r>
  <r>
    <s v="Retail"/>
    <s v="Q088 - Palmira - Cc Llanogrande"/>
    <x v="1"/>
    <s v="octubre"/>
    <n v="7"/>
    <d v="2026-10-07T00:00:00"/>
    <n v="1007700430"/>
    <s v="FIGUEROA LOZANO JUAN DAVID"/>
    <n v="36"/>
    <n v="0"/>
    <n v="2046765"/>
  </r>
  <r>
    <s v="Retail"/>
    <s v="Q088 - Palmira - Cc Llanogrande"/>
    <x v="1"/>
    <s v="octubre"/>
    <n v="7"/>
    <d v="2026-10-07T00:00:00"/>
    <n v="1104805189"/>
    <s v="SINISTERRA  ALZATE VALENTINA "/>
    <n v="40"/>
    <n v="0"/>
    <n v="2243910"/>
  </r>
  <r>
    <s v="Retail"/>
    <s v="Q088 - Palmira - Cc Llanogrande"/>
    <x v="1"/>
    <s v="octubre"/>
    <n v="7"/>
    <d v="2026-10-07T00:00:00"/>
    <n v="1113637332"/>
    <s v="ARAUJO PORTILLA LYRA AMANDA"/>
    <n v="37"/>
    <n v="0"/>
    <n v="1968951"/>
  </r>
  <r>
    <s v="Retail"/>
    <s v="Q088 - Palmira - Cc Llanogrande"/>
    <x v="1"/>
    <s v="octubre"/>
    <n v="7"/>
    <d v="2026-10-07T00:00:00"/>
    <n v="1113689444"/>
    <s v="GONZALEZ QUIÑONES JUAN CAMILO"/>
    <n v="-1"/>
    <n v="0"/>
    <n v="-79790"/>
  </r>
  <r>
    <s v="Retail"/>
    <s v="Q089 - Palmira - Cc Unicentro"/>
    <x v="1"/>
    <s v="septiembre"/>
    <n v="23"/>
    <d v="2026-09-23T00:00:00"/>
    <m/>
    <m/>
    <n v="0"/>
    <n v="11588817"/>
    <n v="0"/>
  </r>
  <r>
    <s v="Retail"/>
    <s v="Q089 - Palmira - Cc Unicentro"/>
    <x v="1"/>
    <s v="septiembre"/>
    <n v="23"/>
    <d v="2026-09-23T00:00:00"/>
    <n v="1007852100"/>
    <s v="MONCAYO PINTO GABRIELA"/>
    <n v="15"/>
    <n v="0"/>
    <n v="978363"/>
  </r>
  <r>
    <s v="Retail"/>
    <s v="Q089 - Palmira - Cc Unicentro"/>
    <x v="1"/>
    <s v="septiembre"/>
    <n v="23"/>
    <d v="2026-09-23T00:00:00"/>
    <n v="1113623464"/>
    <s v="BELLO MANCO HAIDY MICHELLE"/>
    <n v="74"/>
    <n v="0"/>
    <n v="3961135"/>
  </r>
  <r>
    <s v="Retail"/>
    <s v="Q089 - Palmira - Cc Unicentro"/>
    <x v="1"/>
    <s v="septiembre"/>
    <n v="23"/>
    <d v="2026-09-23T00:00:00"/>
    <n v="1113698946"/>
    <s v="IRIARTE MELENGUE NATALIA VANESSA"/>
    <n v="146"/>
    <n v="0"/>
    <n v="8773236"/>
  </r>
  <r>
    <s v="Retail"/>
    <s v="Q089 - Palmira - Cc Unicentro"/>
    <x v="1"/>
    <s v="septiembre"/>
    <n v="24"/>
    <d v="2026-09-24T00:00:00"/>
    <m/>
    <m/>
    <n v="0"/>
    <n v="17703226"/>
    <n v="0"/>
  </r>
  <r>
    <s v="Retail"/>
    <s v="Q089 - Palmira - Cc Unicentro"/>
    <x v="1"/>
    <s v="septiembre"/>
    <n v="24"/>
    <d v="2026-09-24T00:00:00"/>
    <n v="1007852100"/>
    <s v="MONCAYO PINTO GABRIELA"/>
    <n v="22"/>
    <n v="0"/>
    <n v="1436051"/>
  </r>
  <r>
    <s v="Retail"/>
    <s v="Q089 - Palmira - Cc Unicentro"/>
    <x v="1"/>
    <s v="septiembre"/>
    <n v="24"/>
    <d v="2026-09-24T00:00:00"/>
    <n v="1113623464"/>
    <s v="BELLO MANCO HAIDY MICHELLE"/>
    <n v="70"/>
    <n v="0"/>
    <n v="4448698"/>
  </r>
  <r>
    <s v="Retail"/>
    <s v="Q089 - Palmira - Cc Unicentro"/>
    <x v="1"/>
    <s v="septiembre"/>
    <n v="24"/>
    <d v="2026-09-24T00:00:00"/>
    <n v="1113698946"/>
    <s v="IRIARTE MELENGUE NATALIA VANESSA"/>
    <n v="82"/>
    <n v="0"/>
    <n v="4469123"/>
  </r>
  <r>
    <s v="Retail"/>
    <s v="Q089 - Palmira - Cc Unicentro"/>
    <x v="1"/>
    <s v="septiembre"/>
    <n v="25"/>
    <d v="2026-09-25T00:00:00"/>
    <m/>
    <m/>
    <n v="0"/>
    <n v="17664035"/>
    <n v="0"/>
  </r>
  <r>
    <s v="Retail"/>
    <s v="Q089 - Palmira - Cc Unicentro"/>
    <x v="1"/>
    <s v="septiembre"/>
    <n v="25"/>
    <d v="2026-09-25T00:00:00"/>
    <n v="1007852100"/>
    <s v="MONCAYO PINTO GABRIELA"/>
    <n v="28"/>
    <n v="0"/>
    <n v="1467270"/>
  </r>
  <r>
    <s v="Retail"/>
    <s v="Q089 - Palmira - Cc Unicentro"/>
    <x v="1"/>
    <s v="septiembre"/>
    <n v="25"/>
    <d v="2026-09-25T00:00:00"/>
    <n v="1113623464"/>
    <s v="BELLO MANCO HAIDY MICHELLE"/>
    <n v="79"/>
    <n v="0"/>
    <n v="4591223"/>
  </r>
  <r>
    <s v="Retail"/>
    <s v="Q089 - Palmira - Cc Unicentro"/>
    <x v="1"/>
    <s v="septiembre"/>
    <n v="25"/>
    <d v="2026-09-25T00:00:00"/>
    <n v="1113698946"/>
    <s v="IRIARTE MELENGUE NATALIA VANESSA"/>
    <n v="82"/>
    <n v="0"/>
    <n v="4578497"/>
  </r>
  <r>
    <s v="Retail"/>
    <s v="Q089 - Palmira - Cc Unicentro"/>
    <x v="1"/>
    <s v="septiembre"/>
    <n v="26"/>
    <d v="2026-09-26T00:00:00"/>
    <m/>
    <m/>
    <n v="0"/>
    <n v="25385756"/>
    <n v="0"/>
  </r>
  <r>
    <s v="Retail"/>
    <s v="Q089 - Palmira - Cc Unicentro"/>
    <x v="1"/>
    <s v="septiembre"/>
    <n v="26"/>
    <d v="2026-09-26T00:00:00"/>
    <n v="1007852100"/>
    <s v="MONCAYO PINTO GABRIELA"/>
    <n v="31"/>
    <n v="0"/>
    <n v="1788448"/>
  </r>
  <r>
    <s v="Retail"/>
    <s v="Q089 - Palmira - Cc Unicentro"/>
    <x v="1"/>
    <s v="septiembre"/>
    <n v="26"/>
    <d v="2026-09-26T00:00:00"/>
    <n v="1113623464"/>
    <s v="BELLO MANCO HAIDY MICHELLE"/>
    <n v="132"/>
    <n v="0"/>
    <n v="8252694"/>
  </r>
  <r>
    <s v="Retail"/>
    <s v="Q089 - Palmira - Cc Unicentro"/>
    <x v="1"/>
    <s v="septiembre"/>
    <n v="26"/>
    <d v="2026-09-26T00:00:00"/>
    <n v="1113698946"/>
    <s v="IRIARTE MELENGUE NATALIA VANESSA"/>
    <n v="127"/>
    <n v="0"/>
    <n v="7332781"/>
  </r>
  <r>
    <s v="Retail"/>
    <s v="Q089 - Palmira - Cc Unicentro"/>
    <x v="1"/>
    <s v="septiembre"/>
    <n v="27"/>
    <d v="2026-09-27T00:00:00"/>
    <m/>
    <m/>
    <n v="0"/>
    <n v="20110629"/>
    <n v="0"/>
  </r>
  <r>
    <s v="Retail"/>
    <s v="Q089 - Palmira - Cc Unicentro"/>
    <x v="1"/>
    <s v="septiembre"/>
    <n v="27"/>
    <d v="2026-09-27T00:00:00"/>
    <n v="1007700430"/>
    <s v="FIGUEROA LOZANO JUAN DAVID"/>
    <n v="-1"/>
    <n v="0"/>
    <n v="-37773"/>
  </r>
  <r>
    <s v="Retail"/>
    <s v="Q089 - Palmira - Cc Unicentro"/>
    <x v="1"/>
    <s v="septiembre"/>
    <n v="27"/>
    <d v="2026-09-27T00:00:00"/>
    <n v="1007852100"/>
    <s v="MONCAYO PINTO GABRIELA"/>
    <n v="28"/>
    <n v="0"/>
    <n v="1570253"/>
  </r>
  <r>
    <s v="Retail"/>
    <s v="Q089 - Palmira - Cc Unicentro"/>
    <x v="1"/>
    <s v="septiembre"/>
    <n v="27"/>
    <d v="2026-09-27T00:00:00"/>
    <n v="1104805189"/>
    <s v="SINISTERRA  ALZATE VALENTINA "/>
    <n v="-1"/>
    <n v="0"/>
    <n v="-50378"/>
  </r>
  <r>
    <s v="Retail"/>
    <s v="Q089 - Palmira - Cc Unicentro"/>
    <x v="1"/>
    <s v="septiembre"/>
    <n v="27"/>
    <d v="2026-09-27T00:00:00"/>
    <n v="1113623464"/>
    <s v="BELLO MANCO HAIDY MICHELLE"/>
    <n v="145"/>
    <n v="0"/>
    <n v="8302442"/>
  </r>
  <r>
    <s v="Retail"/>
    <s v="Q089 - Palmira - Cc Unicentro"/>
    <x v="1"/>
    <s v="septiembre"/>
    <n v="27"/>
    <d v="2026-09-27T00:00:00"/>
    <n v="1113698946"/>
    <s v="IRIARTE MELENGUE NATALIA VANESSA"/>
    <n v="189"/>
    <n v="0"/>
    <n v="10600850"/>
  </r>
  <r>
    <s v="Retail"/>
    <s v="Q089 - Palmira - Cc Unicentro"/>
    <x v="1"/>
    <s v="septiembre"/>
    <n v="28"/>
    <d v="2026-09-28T00:00:00"/>
    <m/>
    <m/>
    <n v="0"/>
    <n v="11068064"/>
    <n v="0"/>
  </r>
  <r>
    <s v="Retail"/>
    <s v="Q089 - Palmira - Cc Unicentro"/>
    <x v="1"/>
    <s v="septiembre"/>
    <n v="28"/>
    <d v="2026-09-28T00:00:00"/>
    <n v="1007852100"/>
    <s v="MONCAYO PINTO GABRIELA"/>
    <n v="12"/>
    <n v="0"/>
    <n v="499498"/>
  </r>
  <r>
    <s v="Retail"/>
    <s v="Q089 - Palmira - Cc Unicentro"/>
    <x v="1"/>
    <s v="septiembre"/>
    <n v="28"/>
    <d v="2026-09-28T00:00:00"/>
    <n v="1113623464"/>
    <s v="BELLO MANCO HAIDY MICHELLE"/>
    <n v="69"/>
    <n v="0"/>
    <n v="4013698"/>
  </r>
  <r>
    <s v="Retail"/>
    <s v="Q089 - Palmira - Cc Unicentro"/>
    <x v="1"/>
    <s v="septiembre"/>
    <n v="28"/>
    <d v="2026-09-28T00:00:00"/>
    <n v="1113698946"/>
    <s v="IRIARTE MELENGUE NATALIA VANESSA"/>
    <n v="93"/>
    <n v="0"/>
    <n v="5819458"/>
  </r>
  <r>
    <s v="Retail"/>
    <s v="Q089 - Palmira - Cc Unicentro"/>
    <x v="1"/>
    <s v="septiembre"/>
    <n v="29"/>
    <d v="2026-09-29T00:00:00"/>
    <m/>
    <m/>
    <n v="0"/>
    <n v="11822861"/>
    <n v="0"/>
  </r>
  <r>
    <s v="Retail"/>
    <s v="Q089 - Palmira - Cc Unicentro"/>
    <x v="1"/>
    <s v="septiembre"/>
    <n v="29"/>
    <d v="2026-09-29T00:00:00"/>
    <n v="1007852100"/>
    <s v="MONCAYO PINTO GABRIELA"/>
    <n v="28"/>
    <n v="0"/>
    <n v="1704623"/>
  </r>
  <r>
    <s v="Retail"/>
    <s v="Q089 - Palmira - Cc Unicentro"/>
    <x v="1"/>
    <s v="septiembre"/>
    <n v="29"/>
    <d v="2026-09-29T00:00:00"/>
    <n v="1080040843"/>
    <s v="MONTOYA GAMEÑA BRIYITH VALERIA"/>
    <n v="-1"/>
    <n v="0"/>
    <n v="-100798"/>
  </r>
  <r>
    <s v="Retail"/>
    <s v="Q089 - Palmira - Cc Unicentro"/>
    <x v="1"/>
    <s v="septiembre"/>
    <n v="29"/>
    <d v="2026-09-29T00:00:00"/>
    <n v="1113623464"/>
    <s v="BELLO MANCO HAIDY MICHELLE"/>
    <n v="75"/>
    <n v="0"/>
    <n v="4868659"/>
  </r>
  <r>
    <s v="Retail"/>
    <s v="Q089 - Palmira - Cc Unicentro"/>
    <x v="1"/>
    <s v="septiembre"/>
    <n v="29"/>
    <d v="2026-09-29T00:00:00"/>
    <n v="1113698946"/>
    <s v="IRIARTE MELENGUE NATALIA VANESSA"/>
    <n v="88"/>
    <n v="0"/>
    <n v="5153491"/>
  </r>
  <r>
    <s v="Retail"/>
    <s v="Q089 - Palmira - Cc Unicentro"/>
    <x v="1"/>
    <s v="septiembre"/>
    <n v="29"/>
    <d v="2026-09-29T00:00:00"/>
    <n v="1192813746"/>
    <s v="ORBES ZAMBRANO ANDRES FELIPE"/>
    <n v="-1"/>
    <n v="0"/>
    <n v="-109202"/>
  </r>
  <r>
    <s v="Retail"/>
    <s v="Q089 - Palmira - Cc Unicentro"/>
    <x v="1"/>
    <s v="septiembre"/>
    <n v="30"/>
    <d v="2026-09-30T00:00:00"/>
    <m/>
    <m/>
    <n v="0"/>
    <n v="12213225"/>
    <n v="0"/>
  </r>
  <r>
    <s v="Retail"/>
    <s v="Q089 - Palmira - Cc Unicentro"/>
    <x v="1"/>
    <s v="septiembre"/>
    <n v="30"/>
    <d v="2026-09-30T00:00:00"/>
    <n v="1007852100"/>
    <s v="MONCAYO PINTO GABRIELA"/>
    <n v="30"/>
    <n v="0"/>
    <n v="1847439"/>
  </r>
  <r>
    <s v="Retail"/>
    <s v="Q089 - Palmira - Cc Unicentro"/>
    <x v="1"/>
    <s v="septiembre"/>
    <n v="30"/>
    <d v="2026-09-30T00:00:00"/>
    <n v="1113623464"/>
    <s v="BELLO MANCO HAIDY MICHELLE"/>
    <n v="85"/>
    <n v="0"/>
    <n v="4790381"/>
  </r>
  <r>
    <s v="Retail"/>
    <s v="Q089 - Palmira - Cc Unicentro"/>
    <x v="1"/>
    <s v="septiembre"/>
    <n v="30"/>
    <d v="2026-09-30T00:00:00"/>
    <n v="1113698946"/>
    <s v="IRIARTE MELENGUE NATALIA VANESSA"/>
    <n v="96"/>
    <n v="0"/>
    <n v="5334077"/>
  </r>
  <r>
    <s v="Retail"/>
    <s v="Q089 - Palmira - Cc Unicentro"/>
    <x v="1"/>
    <s v="octubre"/>
    <n v="1"/>
    <d v="2026-10-01T00:00:00"/>
    <m/>
    <m/>
    <n v="0"/>
    <n v="13350091"/>
    <n v="0"/>
  </r>
  <r>
    <s v="Retail"/>
    <s v="Q089 - Palmira - Cc Unicentro"/>
    <x v="1"/>
    <s v="octubre"/>
    <n v="1"/>
    <d v="2026-10-01T00:00:00"/>
    <n v="1007852100"/>
    <s v="MONCAYO PINTO GABRIELA"/>
    <n v="28"/>
    <n v="0"/>
    <n v="1446218"/>
  </r>
  <r>
    <s v="Retail"/>
    <s v="Q089 - Palmira - Cc Unicentro"/>
    <x v="1"/>
    <s v="octubre"/>
    <n v="1"/>
    <d v="2026-10-01T00:00:00"/>
    <n v="1109185235"/>
    <s v="VALENCIA CARDONA RANDY STIVEN"/>
    <n v="-1"/>
    <n v="0"/>
    <n v="-50378"/>
  </r>
  <r>
    <s v="Retail"/>
    <s v="Q089 - Palmira - Cc Unicentro"/>
    <x v="1"/>
    <s v="octubre"/>
    <n v="1"/>
    <d v="2026-10-01T00:00:00"/>
    <n v="1113623464"/>
    <s v="BELLO MANCO HAIDY MICHELLE"/>
    <n v="56"/>
    <n v="0"/>
    <n v="3300090"/>
  </r>
  <r>
    <s v="Retail"/>
    <s v="Q089 - Palmira - Cc Unicentro"/>
    <x v="1"/>
    <s v="octubre"/>
    <n v="1"/>
    <d v="2026-10-01T00:00:00"/>
    <n v="1113698946"/>
    <s v="IRIARTE MELENGUE NATALIA VANESSA"/>
    <n v="56"/>
    <n v="0"/>
    <n v="3090004"/>
  </r>
  <r>
    <s v="Retail"/>
    <s v="Q089 - Palmira - Cc Unicentro"/>
    <x v="1"/>
    <s v="octubre"/>
    <n v="2"/>
    <d v="2026-10-02T00:00:00"/>
    <m/>
    <m/>
    <n v="0"/>
    <n v="9952139"/>
    <n v="0"/>
  </r>
  <r>
    <s v="Retail"/>
    <s v="Q089 - Palmira - Cc Unicentro"/>
    <x v="1"/>
    <s v="octubre"/>
    <n v="2"/>
    <d v="2026-10-02T00:00:00"/>
    <n v="1007852100"/>
    <s v="MONCAYO PINTO GABRIELA"/>
    <n v="18"/>
    <n v="0"/>
    <n v="1058027"/>
  </r>
  <r>
    <s v="Retail"/>
    <s v="Q089 - Palmira - Cc Unicentro"/>
    <x v="1"/>
    <s v="octubre"/>
    <n v="2"/>
    <d v="2026-10-02T00:00:00"/>
    <n v="1113623464"/>
    <s v="BELLO MANCO HAIDY MICHELLE"/>
    <n v="60"/>
    <n v="0"/>
    <n v="3167483"/>
  </r>
  <r>
    <s v="Retail"/>
    <s v="Q089 - Palmira - Cc Unicentro"/>
    <x v="1"/>
    <s v="octubre"/>
    <n v="2"/>
    <d v="2026-10-02T00:00:00"/>
    <n v="1113698946"/>
    <s v="IRIARTE MELENGUE NATALIA VANESSA"/>
    <n v="63"/>
    <n v="0"/>
    <n v="3270177"/>
  </r>
  <r>
    <s v="Retail"/>
    <s v="Q089 - Palmira - Cc Unicentro"/>
    <x v="1"/>
    <s v="octubre"/>
    <n v="3"/>
    <d v="2026-10-03T00:00:00"/>
    <m/>
    <m/>
    <n v="0"/>
    <n v="15113545"/>
    <n v="0"/>
  </r>
  <r>
    <s v="Retail"/>
    <s v="Q089 - Palmira - Cc Unicentro"/>
    <x v="1"/>
    <s v="octubre"/>
    <n v="3"/>
    <d v="2026-10-03T00:00:00"/>
    <n v="1007700430"/>
    <s v="FIGUEROA LOZANO JUAN DAVID"/>
    <n v="-1"/>
    <n v="0"/>
    <n v="-46177"/>
  </r>
  <r>
    <s v="Retail"/>
    <s v="Q089 - Palmira - Cc Unicentro"/>
    <x v="1"/>
    <s v="octubre"/>
    <n v="3"/>
    <d v="2026-10-03T00:00:00"/>
    <n v="1007852100"/>
    <s v="MONCAYO PINTO GABRIELA"/>
    <n v="63"/>
    <n v="0"/>
    <n v="3506239"/>
  </r>
  <r>
    <s v="Retail"/>
    <s v="Q089 - Palmira - Cc Unicentro"/>
    <x v="1"/>
    <s v="octubre"/>
    <n v="3"/>
    <d v="2026-10-03T00:00:00"/>
    <n v="1109185235"/>
    <s v="VALENCIA CARDONA RANDY STIVEN"/>
    <n v="-2"/>
    <n v="0"/>
    <n v="-104958"/>
  </r>
  <r>
    <s v="Retail"/>
    <s v="Q089 - Palmira - Cc Unicentro"/>
    <x v="1"/>
    <s v="octubre"/>
    <n v="3"/>
    <d v="2026-10-03T00:00:00"/>
    <n v="1113623464"/>
    <s v="BELLO MANCO HAIDY MICHELLE"/>
    <n v="132"/>
    <n v="0"/>
    <n v="6577311"/>
  </r>
  <r>
    <s v="Retail"/>
    <s v="Q089 - Palmira - Cc Unicentro"/>
    <x v="1"/>
    <s v="octubre"/>
    <n v="3"/>
    <d v="2026-10-03T00:00:00"/>
    <n v="1113698946"/>
    <s v="IRIARTE MELENGUE NATALIA VANESSA"/>
    <n v="136"/>
    <n v="0"/>
    <n v="7554114"/>
  </r>
  <r>
    <s v="Retail"/>
    <s v="Q089 - Palmira - Cc Unicentro"/>
    <x v="1"/>
    <s v="octubre"/>
    <n v="4"/>
    <d v="2026-10-04T00:00:00"/>
    <m/>
    <m/>
    <n v="0"/>
    <n v="15204020"/>
    <n v="0"/>
  </r>
  <r>
    <s v="Retail"/>
    <s v="Q089 - Palmira - Cc Unicentro"/>
    <x v="1"/>
    <s v="octubre"/>
    <n v="4"/>
    <d v="2026-10-04T00:00:00"/>
    <n v="1007852100"/>
    <s v="MONCAYO PINTO GABRIELA"/>
    <n v="28"/>
    <n v="0"/>
    <n v="1275926"/>
  </r>
  <r>
    <s v="Retail"/>
    <s v="Q089 - Palmira - Cc Unicentro"/>
    <x v="1"/>
    <s v="octubre"/>
    <n v="4"/>
    <d v="2026-10-04T00:00:00"/>
    <n v="1080040843"/>
    <s v="MONTOYA GAMEÑA BRIYITH VALERIA"/>
    <n v="-2"/>
    <n v="0"/>
    <n v="-92353"/>
  </r>
  <r>
    <s v="Retail"/>
    <s v="Q089 - Palmira - Cc Unicentro"/>
    <x v="1"/>
    <s v="octubre"/>
    <n v="4"/>
    <d v="2026-10-04T00:00:00"/>
    <n v="1113623464"/>
    <s v="BELLO MANCO HAIDY MICHELLE"/>
    <n v="140"/>
    <n v="0"/>
    <n v="8655384"/>
  </r>
  <r>
    <s v="Retail"/>
    <s v="Q089 - Palmira - Cc Unicentro"/>
    <x v="1"/>
    <s v="octubre"/>
    <n v="4"/>
    <d v="2026-10-04T00:00:00"/>
    <n v="1113698946"/>
    <s v="IRIARTE MELENGUE NATALIA VANESSA"/>
    <n v="116"/>
    <n v="0"/>
    <n v="6937906"/>
  </r>
  <r>
    <s v="Retail"/>
    <s v="Q089 - Palmira - Cc Unicentro"/>
    <x v="1"/>
    <s v="octubre"/>
    <n v="5"/>
    <d v="2026-10-05T00:00:00"/>
    <m/>
    <m/>
    <n v="0"/>
    <n v="10658519"/>
    <n v="0"/>
  </r>
  <r>
    <s v="Retail"/>
    <s v="Q089 - Palmira - Cc Unicentro"/>
    <x v="1"/>
    <s v="octubre"/>
    <n v="5"/>
    <d v="2026-10-05T00:00:00"/>
    <n v="1007852100"/>
    <s v="MONCAYO PINTO GABRIELA"/>
    <n v="21"/>
    <n v="0"/>
    <n v="1238405"/>
  </r>
  <r>
    <s v="Retail"/>
    <s v="Q089 - Palmira - Cc Unicentro"/>
    <x v="1"/>
    <s v="octubre"/>
    <n v="5"/>
    <d v="2026-10-05T00:00:00"/>
    <n v="1113623464"/>
    <s v="BELLO MANCO HAIDY MICHELLE"/>
    <n v="84"/>
    <n v="0"/>
    <n v="4605596"/>
  </r>
  <r>
    <s v="Retail"/>
    <s v="Q089 - Palmira - Cc Unicentro"/>
    <x v="1"/>
    <s v="octubre"/>
    <n v="5"/>
    <d v="2026-10-05T00:00:00"/>
    <n v="1113698946"/>
    <s v="IRIARTE MELENGUE NATALIA VANESSA"/>
    <n v="80"/>
    <n v="0"/>
    <n v="4700218"/>
  </r>
  <r>
    <s v="Retail"/>
    <s v="Q089 - Palmira - Cc Unicentro"/>
    <x v="1"/>
    <s v="octubre"/>
    <n v="6"/>
    <d v="2026-10-06T00:00:00"/>
    <m/>
    <m/>
    <n v="0"/>
    <n v="6174798"/>
    <n v="0"/>
  </r>
  <r>
    <s v="Retail"/>
    <s v="Q089 - Palmira - Cc Unicentro"/>
    <x v="1"/>
    <s v="octubre"/>
    <n v="6"/>
    <d v="2026-10-06T00:00:00"/>
    <n v="1007852100"/>
    <s v="MONCAYO PINTO GABRIELA"/>
    <n v="10"/>
    <n v="0"/>
    <n v="405043"/>
  </r>
  <r>
    <s v="Retail"/>
    <s v="Q089 - Palmira - Cc Unicentro"/>
    <x v="1"/>
    <s v="octubre"/>
    <n v="6"/>
    <d v="2026-10-06T00:00:00"/>
    <n v="1113623464"/>
    <s v="BELLO MANCO HAIDY MICHELLE"/>
    <n v="25"/>
    <n v="0"/>
    <n v="1395927"/>
  </r>
  <r>
    <s v="Retail"/>
    <s v="Q089 - Palmira - Cc Unicentro"/>
    <x v="1"/>
    <s v="octubre"/>
    <n v="6"/>
    <d v="2026-10-06T00:00:00"/>
    <n v="1113698946"/>
    <s v="IRIARTE MELENGUE NATALIA VANESSA"/>
    <n v="26"/>
    <n v="0"/>
    <n v="1398028"/>
  </r>
  <r>
    <s v="Retail"/>
    <s v="Q089 - Palmira - Cc Unicentro"/>
    <x v="1"/>
    <s v="octubre"/>
    <n v="6"/>
    <d v="2026-10-06T00:00:00"/>
    <n v="1192813746"/>
    <s v="ORBES ZAMBRANO ANDRES FELIPE"/>
    <n v="-1"/>
    <n v="0"/>
    <n v="-105000"/>
  </r>
  <r>
    <s v="Retail"/>
    <s v="Q089 - Palmira - Cc Unicentro"/>
    <x v="1"/>
    <s v="octubre"/>
    <n v="7"/>
    <d v="2026-10-07T00:00:00"/>
    <m/>
    <m/>
    <n v="0"/>
    <n v="6093549"/>
    <n v="0"/>
  </r>
  <r>
    <s v="Retail"/>
    <s v="Q089 - Palmira - Cc Unicentro"/>
    <x v="1"/>
    <s v="octubre"/>
    <n v="7"/>
    <d v="2026-10-07T00:00:00"/>
    <n v="1007852100"/>
    <s v="MONCAYO PINTO GABRIELA"/>
    <n v="16"/>
    <n v="0"/>
    <n v="894077"/>
  </r>
  <r>
    <s v="Retail"/>
    <s v="Q089 - Palmira - Cc Unicentro"/>
    <x v="1"/>
    <s v="octubre"/>
    <n v="7"/>
    <d v="2026-10-07T00:00:00"/>
    <n v="1104805189"/>
    <s v="SINISTERRA  ALZATE VALENTINA "/>
    <n v="-1"/>
    <n v="0"/>
    <n v="-58740"/>
  </r>
  <r>
    <s v="Retail"/>
    <s v="Q089 - Palmira - Cc Unicentro"/>
    <x v="1"/>
    <s v="octubre"/>
    <n v="7"/>
    <d v="2026-10-07T00:00:00"/>
    <n v="1113623464"/>
    <s v="BELLO MANCO HAIDY MICHELLE"/>
    <n v="45"/>
    <n v="0"/>
    <n v="2258407"/>
  </r>
  <r>
    <s v="Retail"/>
    <s v="Q089 - Palmira - Cc Unicentro"/>
    <x v="1"/>
    <s v="octubre"/>
    <n v="7"/>
    <d v="2026-10-07T00:00:00"/>
    <n v="1113698946"/>
    <s v="IRIARTE MELENGUE NATALIA VANESSA"/>
    <n v="69"/>
    <n v="0"/>
    <n v="4101978"/>
  </r>
  <r>
    <s v="Retail"/>
    <s v="Q122 - Tulua- Centro Calle 27"/>
    <x v="1"/>
    <s v="septiembre"/>
    <n v="23"/>
    <d v="2026-09-23T00:00:00"/>
    <m/>
    <m/>
    <n v="0"/>
    <n v="12701818"/>
    <n v="0"/>
  </r>
  <r>
    <s v="Retail"/>
    <s v="Q122 - Tulua- Centro Calle 27"/>
    <x v="1"/>
    <s v="septiembre"/>
    <n v="23"/>
    <d v="2026-09-23T00:00:00"/>
    <n v="1113038720"/>
    <s v="GONZALEZ CAICEDO SANDRA YURANI"/>
    <n v="188"/>
    <n v="0"/>
    <n v="12031854"/>
  </r>
  <r>
    <s v="Retail"/>
    <s v="Q122 - Tulua- Centro Calle 27"/>
    <x v="1"/>
    <s v="septiembre"/>
    <n v="23"/>
    <d v="2026-09-23T00:00:00"/>
    <n v="1140421188"/>
    <s v="PARRA  JIMENEZ YENNY LORENA "/>
    <n v="157"/>
    <n v="0"/>
    <n v="9241228"/>
  </r>
  <r>
    <s v="Retail"/>
    <s v="Q122 - Tulua- Centro Calle 27"/>
    <x v="1"/>
    <s v="septiembre"/>
    <n v="24"/>
    <d v="2026-09-24T00:00:00"/>
    <m/>
    <m/>
    <n v="0"/>
    <n v="19403459"/>
    <n v="0"/>
  </r>
  <r>
    <s v="Retail"/>
    <s v="Q122 - Tulua- Centro Calle 27"/>
    <x v="1"/>
    <s v="septiembre"/>
    <n v="24"/>
    <d v="2026-09-24T00:00:00"/>
    <n v="1113038720"/>
    <s v="GONZALEZ CAICEDO SANDRA YURANI"/>
    <n v="110"/>
    <n v="0"/>
    <n v="6619248"/>
  </r>
  <r>
    <s v="Retail"/>
    <s v="Q122 - Tulua- Centro Calle 27"/>
    <x v="1"/>
    <s v="septiembre"/>
    <n v="24"/>
    <d v="2026-09-24T00:00:00"/>
    <n v="1140421188"/>
    <s v="PARRA  JIMENEZ YENNY LORENA "/>
    <n v="112"/>
    <n v="0"/>
    <n v="6854499"/>
  </r>
  <r>
    <s v="Retail"/>
    <s v="Q122 - Tulua- Centro Calle 27"/>
    <x v="1"/>
    <s v="septiembre"/>
    <n v="25"/>
    <d v="2026-09-25T00:00:00"/>
    <m/>
    <m/>
    <n v="0"/>
    <n v="19360503"/>
    <n v="0"/>
  </r>
  <r>
    <s v="Retail"/>
    <s v="Q122 - Tulua- Centro Calle 27"/>
    <x v="1"/>
    <s v="septiembre"/>
    <n v="25"/>
    <d v="2026-09-25T00:00:00"/>
    <n v="1010076976"/>
    <s v="CARDONA TRUJILLO JUAN SEBASTIAN"/>
    <n v="46"/>
    <n v="0"/>
    <n v="2661937"/>
  </r>
  <r>
    <s v="Retail"/>
    <s v="Q122 - Tulua- Centro Calle 27"/>
    <x v="1"/>
    <s v="septiembre"/>
    <n v="25"/>
    <d v="2026-09-25T00:00:00"/>
    <n v="1113038720"/>
    <s v="GONZALEZ CAICEDO SANDRA YURANI"/>
    <n v="122"/>
    <n v="0"/>
    <n v="6994712"/>
  </r>
  <r>
    <s v="Retail"/>
    <s v="Q122 - Tulua- Centro Calle 27"/>
    <x v="1"/>
    <s v="septiembre"/>
    <n v="25"/>
    <d v="2026-09-25T00:00:00"/>
    <n v="1140421188"/>
    <s v="PARRA  JIMENEZ YENNY LORENA "/>
    <n v="76"/>
    <n v="0"/>
    <n v="4652228"/>
  </r>
  <r>
    <s v="Retail"/>
    <s v="Q122 - Tulua- Centro Calle 27"/>
    <x v="1"/>
    <s v="septiembre"/>
    <n v="26"/>
    <d v="2026-09-26T00:00:00"/>
    <m/>
    <m/>
    <n v="0"/>
    <n v="27823826"/>
    <n v="0"/>
  </r>
  <r>
    <s v="Retail"/>
    <s v="Q122 - Tulua- Centro Calle 27"/>
    <x v="1"/>
    <s v="septiembre"/>
    <n v="26"/>
    <d v="2026-09-26T00:00:00"/>
    <n v="1010076976"/>
    <s v="CARDONA TRUJILLO JUAN SEBASTIAN"/>
    <n v="53"/>
    <n v="0"/>
    <n v="3209835"/>
  </r>
  <r>
    <s v="Retail"/>
    <s v="Q122 - Tulua- Centro Calle 27"/>
    <x v="1"/>
    <s v="septiembre"/>
    <n v="26"/>
    <d v="2026-09-26T00:00:00"/>
    <n v="1113038720"/>
    <s v="GONZALEZ CAICEDO SANDRA YURANI"/>
    <n v="180"/>
    <n v="0"/>
    <n v="10750766"/>
  </r>
  <r>
    <s v="Retail"/>
    <s v="Q122 - Tulua- Centro Calle 27"/>
    <x v="1"/>
    <s v="septiembre"/>
    <n v="26"/>
    <d v="2026-09-26T00:00:00"/>
    <n v="1140421188"/>
    <s v="PARRA  JIMENEZ YENNY LORENA "/>
    <n v="120"/>
    <n v="0"/>
    <n v="7179839"/>
  </r>
  <r>
    <s v="Retail"/>
    <s v="Q122 - Tulua- Centro Calle 27"/>
    <x v="1"/>
    <s v="septiembre"/>
    <n v="27"/>
    <d v="2026-09-27T00:00:00"/>
    <m/>
    <m/>
    <n v="0"/>
    <n v="22042073"/>
    <n v="0"/>
  </r>
  <r>
    <s v="Retail"/>
    <s v="Q122 - Tulua- Centro Calle 27"/>
    <x v="1"/>
    <s v="septiembre"/>
    <n v="27"/>
    <d v="2026-09-27T00:00:00"/>
    <n v="1010076976"/>
    <s v="CARDONA TRUJILLO JUAN SEBASTIAN"/>
    <n v="24"/>
    <n v="0"/>
    <n v="1309917"/>
  </r>
  <r>
    <s v="Retail"/>
    <s v="Q122 - Tulua- Centro Calle 27"/>
    <x v="1"/>
    <s v="septiembre"/>
    <n v="27"/>
    <d v="2026-09-27T00:00:00"/>
    <n v="1113038720"/>
    <s v="GONZALEZ CAICEDO SANDRA YURANI"/>
    <n v="69"/>
    <n v="0"/>
    <n v="3937356"/>
  </r>
  <r>
    <s v="Retail"/>
    <s v="Q122 - Tulua- Centro Calle 27"/>
    <x v="1"/>
    <s v="septiembre"/>
    <n v="27"/>
    <d v="2026-09-27T00:00:00"/>
    <n v="1140421188"/>
    <s v="PARRA  JIMENEZ YENNY LORENA "/>
    <n v="64"/>
    <n v="0"/>
    <n v="4053992"/>
  </r>
  <r>
    <s v="Retail"/>
    <s v="Q122 - Tulua- Centro Calle 27"/>
    <x v="1"/>
    <s v="septiembre"/>
    <n v="28"/>
    <d v="2026-09-28T00:00:00"/>
    <m/>
    <m/>
    <n v="0"/>
    <n v="12410667"/>
    <n v="0"/>
  </r>
  <r>
    <s v="Retail"/>
    <s v="Q122 - Tulua- Centro Calle 27"/>
    <x v="1"/>
    <s v="septiembre"/>
    <n v="28"/>
    <d v="2026-09-28T00:00:00"/>
    <n v="29314714"/>
    <s v="MORENO POLANCO VIVIANA"/>
    <n v="-2"/>
    <n v="0"/>
    <n v="-75504"/>
  </r>
  <r>
    <s v="Retail"/>
    <s v="Q122 - Tulua- Centro Calle 27"/>
    <x v="1"/>
    <s v="septiembre"/>
    <n v="28"/>
    <d v="2026-09-28T00:00:00"/>
    <n v="1010076976"/>
    <s v="CARDONA TRUJILLO JUAN SEBASTIAN"/>
    <n v="23"/>
    <n v="0"/>
    <n v="1414960"/>
  </r>
  <r>
    <s v="Retail"/>
    <s v="Q122 - Tulua- Centro Calle 27"/>
    <x v="1"/>
    <s v="septiembre"/>
    <n v="28"/>
    <d v="2026-09-28T00:00:00"/>
    <n v="1113038720"/>
    <s v="GONZALEZ CAICEDO SANDRA YURANI"/>
    <n v="60"/>
    <n v="0"/>
    <n v="3675968"/>
  </r>
  <r>
    <s v="Retail"/>
    <s v="Q122 - Tulua- Centro Calle 27"/>
    <x v="1"/>
    <s v="septiembre"/>
    <n v="28"/>
    <d v="2026-09-28T00:00:00"/>
    <n v="1140421188"/>
    <s v="PARRA  JIMENEZ YENNY LORENA "/>
    <n v="52"/>
    <n v="0"/>
    <n v="3237313"/>
  </r>
  <r>
    <s v="Retail"/>
    <s v="Q122 - Tulua- Centro Calle 27"/>
    <x v="1"/>
    <s v="septiembre"/>
    <n v="29"/>
    <d v="2026-09-29T00:00:00"/>
    <m/>
    <m/>
    <n v="0"/>
    <n v="12678723"/>
    <n v="0"/>
  </r>
  <r>
    <s v="Retail"/>
    <s v="Q122 - Tulua- Centro Calle 27"/>
    <x v="1"/>
    <s v="septiembre"/>
    <n v="29"/>
    <d v="2026-09-29T00:00:00"/>
    <n v="1010076976"/>
    <s v="CARDONA TRUJILLO JUAN SEBASTIAN"/>
    <n v="26"/>
    <n v="0"/>
    <n v="1456891"/>
  </r>
  <r>
    <s v="Retail"/>
    <s v="Q122 - Tulua- Centro Calle 27"/>
    <x v="1"/>
    <s v="septiembre"/>
    <n v="29"/>
    <d v="2026-09-29T00:00:00"/>
    <n v="1113038720"/>
    <s v="GONZALEZ CAICEDO SANDRA YURANI"/>
    <n v="57"/>
    <n v="0"/>
    <n v="3667732"/>
  </r>
  <r>
    <s v="Retail"/>
    <s v="Q122 - Tulua- Centro Calle 27"/>
    <x v="1"/>
    <s v="septiembre"/>
    <n v="29"/>
    <d v="2026-09-29T00:00:00"/>
    <n v="1140421188"/>
    <s v="PARRA  JIMENEZ YENNY LORENA "/>
    <n v="47"/>
    <n v="0"/>
    <n v="2825721"/>
  </r>
  <r>
    <s v="Retail"/>
    <s v="Q122 - Tulua- Centro Calle 27"/>
    <x v="1"/>
    <s v="septiembre"/>
    <n v="30"/>
    <d v="2026-09-30T00:00:00"/>
    <m/>
    <m/>
    <n v="0"/>
    <n v="13386195"/>
    <n v="0"/>
  </r>
  <r>
    <s v="Retail"/>
    <s v="Q122 - Tulua- Centro Calle 27"/>
    <x v="1"/>
    <s v="septiembre"/>
    <n v="30"/>
    <d v="2026-09-30T00:00:00"/>
    <n v="1006321986"/>
    <s v="OCAMPO ANGRINO MELISSA"/>
    <n v="-1"/>
    <n v="0"/>
    <n v="-83992"/>
  </r>
  <r>
    <s v="Retail"/>
    <s v="Q122 - Tulua- Centro Calle 27"/>
    <x v="1"/>
    <s v="septiembre"/>
    <n v="30"/>
    <d v="2026-09-30T00:00:00"/>
    <n v="1113038720"/>
    <s v="GONZALEZ CAICEDO SANDRA YURANI"/>
    <n v="119"/>
    <n v="0"/>
    <n v="7512524"/>
  </r>
  <r>
    <s v="Retail"/>
    <s v="Q122 - Tulua- Centro Calle 27"/>
    <x v="1"/>
    <s v="septiembre"/>
    <n v="30"/>
    <d v="2026-09-30T00:00:00"/>
    <n v="1114062675"/>
    <s v="HERNANDEZ SOLANO GEIDY CAROLINA"/>
    <n v="-1"/>
    <n v="0"/>
    <n v="-79790"/>
  </r>
  <r>
    <s v="Retail"/>
    <s v="Q122 - Tulua- Centro Calle 27"/>
    <x v="1"/>
    <s v="septiembre"/>
    <n v="30"/>
    <d v="2026-09-30T00:00:00"/>
    <n v="1140421188"/>
    <s v="PARRA  JIMENEZ YENNY LORENA "/>
    <n v="96"/>
    <n v="0"/>
    <n v="6075380"/>
  </r>
  <r>
    <s v="Retail"/>
    <s v="Q122 - Tulua- Centro Calle 27"/>
    <x v="1"/>
    <s v="octubre"/>
    <n v="1"/>
    <d v="2026-10-01T00:00:00"/>
    <m/>
    <m/>
    <n v="0"/>
    <n v="13405850"/>
    <n v="0"/>
  </r>
  <r>
    <s v="Retail"/>
    <s v="Q122 - Tulua- Centro Calle 27"/>
    <x v="1"/>
    <s v="octubre"/>
    <n v="1"/>
    <d v="2026-10-01T00:00:00"/>
    <n v="1010076976"/>
    <s v="CARDONA TRUJILLO JUAN SEBASTIAN"/>
    <n v="36"/>
    <n v="0"/>
    <n v="2271557"/>
  </r>
  <r>
    <s v="Retail"/>
    <s v="Q122 - Tulua- Centro Calle 27"/>
    <x v="1"/>
    <s v="octubre"/>
    <n v="1"/>
    <d v="2026-10-01T00:00:00"/>
    <n v="1113038720"/>
    <s v="GONZALEZ CAICEDO SANDRA YURANI"/>
    <n v="123"/>
    <n v="0"/>
    <n v="7177568"/>
  </r>
  <r>
    <s v="Retail"/>
    <s v="Q122 - Tulua- Centro Calle 27"/>
    <x v="1"/>
    <s v="octubre"/>
    <n v="1"/>
    <d v="2026-10-01T00:00:00"/>
    <n v="1140421188"/>
    <s v="PARRA  JIMENEZ YENNY LORENA "/>
    <n v="64"/>
    <n v="0"/>
    <n v="3633830"/>
  </r>
  <r>
    <s v="Retail"/>
    <s v="Q122 - Tulua- Centro Calle 27"/>
    <x v="1"/>
    <s v="octubre"/>
    <n v="2"/>
    <d v="2026-10-02T00:00:00"/>
    <m/>
    <m/>
    <n v="0"/>
    <n v="8647186"/>
    <n v="0"/>
  </r>
  <r>
    <s v="Retail"/>
    <s v="Q122 - Tulua- Centro Calle 27"/>
    <x v="1"/>
    <s v="octubre"/>
    <n v="2"/>
    <d v="2026-10-02T00:00:00"/>
    <n v="29314714"/>
    <s v="MORENO POLANCO VIVIANA"/>
    <n v="-1"/>
    <n v="0"/>
    <n v="-41975"/>
  </r>
  <r>
    <s v="Retail"/>
    <s v="Q122 - Tulua- Centro Calle 27"/>
    <x v="1"/>
    <s v="octubre"/>
    <n v="2"/>
    <d v="2026-10-02T00:00:00"/>
    <n v="1010076976"/>
    <s v="CARDONA TRUJILLO JUAN SEBASTIAN"/>
    <n v="30"/>
    <n v="0"/>
    <n v="2086893"/>
  </r>
  <r>
    <s v="Retail"/>
    <s v="Q122 - Tulua- Centro Calle 27"/>
    <x v="1"/>
    <s v="octubre"/>
    <n v="2"/>
    <d v="2026-10-02T00:00:00"/>
    <n v="1113038720"/>
    <s v="GONZALEZ CAICEDO SANDRA YURANI"/>
    <n v="84"/>
    <n v="0"/>
    <n v="5307358"/>
  </r>
  <r>
    <s v="Retail"/>
    <s v="Q122 - Tulua- Centro Calle 27"/>
    <x v="1"/>
    <s v="octubre"/>
    <n v="2"/>
    <d v="2026-10-02T00:00:00"/>
    <n v="1140421188"/>
    <s v="PARRA  JIMENEZ YENNY LORENA "/>
    <n v="46"/>
    <n v="0"/>
    <n v="2699751"/>
  </r>
  <r>
    <s v="Retail"/>
    <s v="Q122 - Tulua- Centro Calle 27"/>
    <x v="1"/>
    <s v="octubre"/>
    <n v="3"/>
    <d v="2026-10-03T00:00:00"/>
    <m/>
    <m/>
    <n v="0"/>
    <n v="13489581"/>
    <n v="0"/>
  </r>
  <r>
    <s v="Retail"/>
    <s v="Q122 - Tulua- Centro Calle 27"/>
    <x v="1"/>
    <s v="octubre"/>
    <n v="3"/>
    <d v="2026-10-03T00:00:00"/>
    <n v="1006321986"/>
    <s v="OCAMPO ANGRINO MELISSA"/>
    <n v="-1"/>
    <n v="0"/>
    <n v="-79790"/>
  </r>
  <r>
    <s v="Retail"/>
    <s v="Q122 - Tulua- Centro Calle 27"/>
    <x v="1"/>
    <s v="octubre"/>
    <n v="3"/>
    <d v="2026-10-03T00:00:00"/>
    <n v="1010076976"/>
    <s v="CARDONA TRUJILLO JUAN SEBASTIAN"/>
    <n v="35"/>
    <n v="0"/>
    <n v="1797853"/>
  </r>
  <r>
    <s v="Retail"/>
    <s v="Q122 - Tulua- Centro Calle 27"/>
    <x v="1"/>
    <s v="octubre"/>
    <n v="3"/>
    <d v="2026-10-03T00:00:00"/>
    <n v="1113038720"/>
    <s v="GONZALEZ CAICEDO SANDRA YURANI"/>
    <n v="174"/>
    <n v="0"/>
    <n v="9495317"/>
  </r>
  <r>
    <s v="Retail"/>
    <s v="Q122 - Tulua- Centro Calle 27"/>
    <x v="1"/>
    <s v="octubre"/>
    <n v="3"/>
    <d v="2026-10-03T00:00:00"/>
    <n v="1140421188"/>
    <s v="PARRA  JIMENEZ YENNY LORENA "/>
    <n v="134"/>
    <n v="0"/>
    <n v="7453619"/>
  </r>
  <r>
    <s v="Retail"/>
    <s v="Q122 - Tulua- Centro Calle 27"/>
    <x v="1"/>
    <s v="octubre"/>
    <n v="4"/>
    <d v="2026-10-04T00:00:00"/>
    <m/>
    <m/>
    <n v="0"/>
    <n v="7952665"/>
    <n v="0"/>
  </r>
  <r>
    <s v="Retail"/>
    <s v="Q122 - Tulua- Centro Calle 27"/>
    <x v="1"/>
    <s v="octubre"/>
    <n v="4"/>
    <d v="2026-10-04T00:00:00"/>
    <n v="1010076976"/>
    <s v="CARDONA TRUJILLO JUAN SEBASTIAN"/>
    <n v="25"/>
    <n v="0"/>
    <n v="1507356"/>
  </r>
  <r>
    <s v="Retail"/>
    <s v="Q122 - Tulua- Centro Calle 27"/>
    <x v="1"/>
    <s v="octubre"/>
    <n v="4"/>
    <d v="2026-10-04T00:00:00"/>
    <n v="1113038720"/>
    <s v="GONZALEZ CAICEDO SANDRA YURANI"/>
    <n v="53"/>
    <n v="0"/>
    <n v="3155342"/>
  </r>
  <r>
    <s v="Retail"/>
    <s v="Q122 - Tulua- Centro Calle 27"/>
    <x v="1"/>
    <s v="octubre"/>
    <n v="4"/>
    <d v="2026-10-04T00:00:00"/>
    <n v="1140421188"/>
    <s v="PARRA  JIMENEZ YENNY LORENA "/>
    <n v="56"/>
    <n v="0"/>
    <n v="3035425"/>
  </r>
  <r>
    <s v="Retail"/>
    <s v="Q122 - Tulua- Centro Calle 27"/>
    <x v="1"/>
    <s v="octubre"/>
    <n v="5"/>
    <d v="2026-10-05T00:00:00"/>
    <m/>
    <m/>
    <n v="0"/>
    <n v="9247115"/>
    <n v="0"/>
  </r>
  <r>
    <s v="Retail"/>
    <s v="Q122 - Tulua- Centro Calle 27"/>
    <x v="1"/>
    <s v="octubre"/>
    <n v="5"/>
    <d v="2026-10-05T00:00:00"/>
    <n v="1006321986"/>
    <s v="OCAMPO ANGRINO MELISSA"/>
    <n v="-1"/>
    <n v="0"/>
    <n v="-50378"/>
  </r>
  <r>
    <s v="Retail"/>
    <s v="Q122 - Tulua- Centro Calle 27"/>
    <x v="1"/>
    <s v="octubre"/>
    <n v="5"/>
    <d v="2026-10-05T00:00:00"/>
    <n v="1010076976"/>
    <s v="CARDONA TRUJILLO JUAN SEBASTIAN"/>
    <n v="18"/>
    <n v="0"/>
    <n v="1263951"/>
  </r>
  <r>
    <s v="Retail"/>
    <s v="Q122 - Tulua- Centro Calle 27"/>
    <x v="1"/>
    <s v="octubre"/>
    <n v="5"/>
    <d v="2026-10-05T00:00:00"/>
    <n v="1113038720"/>
    <s v="GONZALEZ CAICEDO SANDRA YURANI"/>
    <n v="76"/>
    <n v="0"/>
    <n v="4404374"/>
  </r>
  <r>
    <s v="Retail"/>
    <s v="Q122 - Tulua- Centro Calle 27"/>
    <x v="1"/>
    <s v="octubre"/>
    <n v="5"/>
    <d v="2026-10-05T00:00:00"/>
    <n v="1116284273"/>
    <s v="LONDOÑO VILLEGAS NICOLE ANDREA"/>
    <n v="-1"/>
    <n v="0"/>
    <n v="-50378"/>
  </r>
  <r>
    <s v="Retail"/>
    <s v="Q122 - Tulua- Centro Calle 27"/>
    <x v="1"/>
    <s v="octubre"/>
    <n v="5"/>
    <d v="2026-10-05T00:00:00"/>
    <n v="1140421188"/>
    <s v="PARRA  JIMENEZ YENNY LORENA "/>
    <n v="78"/>
    <n v="0"/>
    <n v="5005130"/>
  </r>
  <r>
    <s v="Retail"/>
    <s v="Q122 - Tulua- Centro Calle 27"/>
    <x v="1"/>
    <s v="octubre"/>
    <n v="6"/>
    <d v="2026-10-06T00:00:00"/>
    <m/>
    <m/>
    <n v="0"/>
    <n v="3207933"/>
    <n v="0"/>
  </r>
  <r>
    <s v="Retail"/>
    <s v="Q122 - Tulua- Centro Calle 27"/>
    <x v="1"/>
    <s v="octubre"/>
    <n v="6"/>
    <d v="2026-10-06T00:00:00"/>
    <n v="1010076976"/>
    <s v="CARDONA TRUJILLO JUAN SEBASTIAN"/>
    <n v="19"/>
    <n v="0"/>
    <n v="1053825"/>
  </r>
  <r>
    <s v="Retail"/>
    <s v="Q122 - Tulua- Centro Calle 27"/>
    <x v="1"/>
    <s v="octubre"/>
    <n v="6"/>
    <d v="2026-10-06T00:00:00"/>
    <n v="1113038720"/>
    <s v="GONZALEZ CAICEDO SANDRA YURANI"/>
    <n v="33"/>
    <n v="0"/>
    <n v="2155286"/>
  </r>
  <r>
    <s v="Retail"/>
    <s v="Q122 - Tulua- Centro Calle 27"/>
    <x v="1"/>
    <s v="octubre"/>
    <n v="6"/>
    <d v="2026-10-06T00:00:00"/>
    <n v="1140421188"/>
    <s v="PARRA  JIMENEZ YENNY LORENA "/>
    <n v="27"/>
    <n v="0"/>
    <n v="1318237"/>
  </r>
  <r>
    <s v="Retail"/>
    <s v="Q122 - Tulua- Centro Calle 27"/>
    <x v="1"/>
    <s v="octubre"/>
    <n v="7"/>
    <d v="2026-10-07T00:00:00"/>
    <m/>
    <m/>
    <n v="0"/>
    <n v="3165722"/>
    <n v="0"/>
  </r>
  <r>
    <s v="Retail"/>
    <s v="Q122 - Tulua- Centro Calle 27"/>
    <x v="1"/>
    <s v="octubre"/>
    <n v="7"/>
    <d v="2026-10-07T00:00:00"/>
    <n v="1010076976"/>
    <s v="CARDONA TRUJILLO JUAN SEBASTIAN"/>
    <n v="13"/>
    <n v="0"/>
    <n v="705255"/>
  </r>
  <r>
    <s v="Retail"/>
    <s v="Q122 - Tulua- Centro Calle 27"/>
    <x v="1"/>
    <s v="octubre"/>
    <n v="7"/>
    <d v="2026-10-07T00:00:00"/>
    <n v="1113038720"/>
    <s v="GONZALEZ CAICEDO SANDRA YURANI"/>
    <n v="20"/>
    <n v="0"/>
    <n v="1431893"/>
  </r>
  <r>
    <s v="Retail"/>
    <s v="Q122 - Tulua- Centro Calle 27"/>
    <x v="1"/>
    <s v="octubre"/>
    <n v="7"/>
    <d v="2026-10-07T00:00:00"/>
    <n v="1140421188"/>
    <s v="PARRA  JIMENEZ YENNY LORENA "/>
    <n v="31"/>
    <n v="0"/>
    <n v="1658321"/>
  </r>
  <r>
    <s v="Retail"/>
    <s v="Q146 Palmira - Centro 2"/>
    <x v="1"/>
    <s v="septiembre"/>
    <n v="23"/>
    <d v="2026-09-23T00:00:00"/>
    <m/>
    <m/>
    <n v="0"/>
    <n v="5693881"/>
    <n v="0"/>
  </r>
  <r>
    <s v="Retail"/>
    <s v="Q146 Palmira - Centro 2"/>
    <x v="1"/>
    <s v="septiembre"/>
    <n v="23"/>
    <d v="2026-09-23T00:00:00"/>
    <n v="18586321"/>
    <s v="BAIK IRIZA ISRAEL DAVID"/>
    <n v="60"/>
    <n v="0"/>
    <n v="3393571"/>
  </r>
  <r>
    <s v="Retail"/>
    <s v="Q146 Palmira - Centro 2"/>
    <x v="1"/>
    <s v="septiembre"/>
    <n v="23"/>
    <d v="2026-09-23T00:00:00"/>
    <n v="1044101083"/>
    <s v="GAMBOA OROZCO EDWIN FERNANDO"/>
    <n v="-1"/>
    <n v="0"/>
    <n v="-100756"/>
  </r>
  <r>
    <s v="Retail"/>
    <s v="Q146 Palmira - Centro 2"/>
    <x v="1"/>
    <s v="septiembre"/>
    <n v="23"/>
    <d v="2026-09-23T00:00:00"/>
    <n v="1080040843"/>
    <s v="MONTOYA GAMEÑA BRIYITH VALERIA"/>
    <n v="42"/>
    <n v="0"/>
    <n v="2380589"/>
  </r>
  <r>
    <s v="Retail"/>
    <s v="Q146 Palmira - Centro 2"/>
    <x v="1"/>
    <s v="septiembre"/>
    <n v="23"/>
    <d v="2026-09-23T00:00:00"/>
    <n v="1113675600"/>
    <s v="OPANCE COLORADO DAISLY YULEIDY"/>
    <n v="25"/>
    <n v="0"/>
    <n v="1078573"/>
  </r>
  <r>
    <s v="Retail"/>
    <s v="Q146 Palmira - Centro 2"/>
    <x v="1"/>
    <s v="septiembre"/>
    <n v="23"/>
    <d v="2026-09-23T00:00:00"/>
    <n v="1113684554"/>
    <s v="GONZALEZ VIEDMA DURLEY FERNANDA"/>
    <n v="12"/>
    <n v="0"/>
    <n v="541387"/>
  </r>
  <r>
    <s v="Retail"/>
    <s v="Q146 Palmira - Centro 2"/>
    <x v="1"/>
    <s v="septiembre"/>
    <n v="24"/>
    <d v="2026-09-24T00:00:00"/>
    <m/>
    <m/>
    <n v="0"/>
    <n v="8698045"/>
    <n v="0"/>
  </r>
  <r>
    <s v="Retail"/>
    <s v="Q146 Palmira - Centro 2"/>
    <x v="1"/>
    <s v="septiembre"/>
    <n v="24"/>
    <d v="2026-09-24T00:00:00"/>
    <n v="18586321"/>
    <s v="BAIK IRIZA ISRAEL DAVID"/>
    <n v="57"/>
    <n v="0"/>
    <n v="3328616"/>
  </r>
  <r>
    <s v="Retail"/>
    <s v="Q146 Palmira - Centro 2"/>
    <x v="1"/>
    <s v="septiembre"/>
    <n v="24"/>
    <d v="2026-09-24T00:00:00"/>
    <n v="1080040843"/>
    <s v="MONTOYA GAMEÑA BRIYITH VALERIA"/>
    <n v="35"/>
    <n v="0"/>
    <n v="1725423"/>
  </r>
  <r>
    <s v="Retail"/>
    <s v="Q146 Palmira - Centro 2"/>
    <x v="1"/>
    <s v="septiembre"/>
    <n v="24"/>
    <d v="2026-09-24T00:00:00"/>
    <n v="1113675600"/>
    <s v="OPANCE COLORADO DAISLY YULEIDY"/>
    <n v="53"/>
    <n v="0"/>
    <n v="2734874"/>
  </r>
  <r>
    <s v="Retail"/>
    <s v="Q146 Palmira - Centro 2"/>
    <x v="1"/>
    <s v="septiembre"/>
    <n v="24"/>
    <d v="2026-09-24T00:00:00"/>
    <n v="1113684554"/>
    <s v="GONZALEZ VIEDMA DURLEY FERNANDA"/>
    <n v="41"/>
    <n v="0"/>
    <n v="2141010"/>
  </r>
  <r>
    <s v="Retail"/>
    <s v="Q146 Palmira - Centro 2"/>
    <x v="1"/>
    <s v="septiembre"/>
    <n v="25"/>
    <d v="2026-09-25T00:00:00"/>
    <m/>
    <m/>
    <n v="0"/>
    <n v="8678788"/>
    <n v="0"/>
  </r>
  <r>
    <s v="Retail"/>
    <s v="Q146 Palmira - Centro 2"/>
    <x v="1"/>
    <s v="septiembre"/>
    <n v="25"/>
    <d v="2026-09-25T00:00:00"/>
    <n v="18586321"/>
    <s v="BAIK IRIZA ISRAEL DAVID"/>
    <n v="47"/>
    <n v="0"/>
    <n v="2176514"/>
  </r>
  <r>
    <s v="Retail"/>
    <s v="Q146 Palmira - Centro 2"/>
    <x v="1"/>
    <s v="septiembre"/>
    <n v="25"/>
    <d v="2026-09-25T00:00:00"/>
    <n v="1080040843"/>
    <s v="MONTOYA GAMEÑA BRIYITH VALERIA"/>
    <n v="28"/>
    <n v="0"/>
    <n v="1671094"/>
  </r>
  <r>
    <s v="Retail"/>
    <s v="Q146 Palmira - Centro 2"/>
    <x v="1"/>
    <s v="septiembre"/>
    <n v="25"/>
    <d v="2026-09-25T00:00:00"/>
    <n v="1113675600"/>
    <s v="OPANCE COLORADO DAISLY YULEIDY"/>
    <n v="38"/>
    <n v="0"/>
    <n v="2229372"/>
  </r>
  <r>
    <s v="Retail"/>
    <s v="Q146 Palmira - Centro 2"/>
    <x v="1"/>
    <s v="septiembre"/>
    <n v="25"/>
    <d v="2026-09-25T00:00:00"/>
    <n v="1113684554"/>
    <s v="GONZALEZ VIEDMA DURLEY FERNANDA"/>
    <n v="15"/>
    <n v="0"/>
    <n v="873322"/>
  </r>
  <r>
    <s v="Retail"/>
    <s v="Q146 Palmira - Centro 2"/>
    <x v="1"/>
    <s v="septiembre"/>
    <n v="26"/>
    <d v="2026-09-26T00:00:00"/>
    <m/>
    <m/>
    <n v="0"/>
    <n v="12472666"/>
    <n v="0"/>
  </r>
  <r>
    <s v="Retail"/>
    <s v="Q146 Palmira - Centro 2"/>
    <x v="1"/>
    <s v="septiembre"/>
    <n v="26"/>
    <d v="2026-09-26T00:00:00"/>
    <n v="18586321"/>
    <s v="BAIK IRIZA ISRAEL DAVID"/>
    <n v="66"/>
    <n v="0"/>
    <n v="3946685"/>
  </r>
  <r>
    <s v="Retail"/>
    <s v="Q146 Palmira - Centro 2"/>
    <x v="1"/>
    <s v="septiembre"/>
    <n v="26"/>
    <d v="2026-09-26T00:00:00"/>
    <n v="1080040843"/>
    <s v="MONTOYA GAMEÑA BRIYITH VALERIA"/>
    <n v="64"/>
    <n v="0"/>
    <n v="3171264"/>
  </r>
  <r>
    <s v="Retail"/>
    <s v="Q146 Palmira - Centro 2"/>
    <x v="1"/>
    <s v="septiembre"/>
    <n v="26"/>
    <d v="2026-09-26T00:00:00"/>
    <n v="1113675600"/>
    <s v="OPANCE COLORADO DAISLY YULEIDY"/>
    <n v="53"/>
    <n v="0"/>
    <n v="2894665"/>
  </r>
  <r>
    <s v="Retail"/>
    <s v="Q146 Palmira - Centro 2"/>
    <x v="1"/>
    <s v="septiembre"/>
    <n v="26"/>
    <d v="2026-09-26T00:00:00"/>
    <n v="1113684554"/>
    <s v="GONZALEZ VIEDMA DURLEY FERNANDA"/>
    <n v="58"/>
    <n v="0"/>
    <n v="3249458"/>
  </r>
  <r>
    <s v="Retail"/>
    <s v="Q146 Palmira - Centro 2"/>
    <x v="1"/>
    <s v="septiembre"/>
    <n v="27"/>
    <d v="2026-09-27T00:00:00"/>
    <m/>
    <m/>
    <n v="0"/>
    <n v="9880862"/>
    <n v="0"/>
  </r>
  <r>
    <s v="Retail"/>
    <s v="Q146 Palmira - Centro 2"/>
    <x v="1"/>
    <s v="septiembre"/>
    <n v="27"/>
    <d v="2026-09-27T00:00:00"/>
    <n v="18586321"/>
    <s v="BAIK IRIZA ISRAEL DAVID"/>
    <n v="24"/>
    <n v="0"/>
    <n v="1176639"/>
  </r>
  <r>
    <s v="Retail"/>
    <s v="Q146 Palmira - Centro 2"/>
    <x v="1"/>
    <s v="septiembre"/>
    <n v="27"/>
    <d v="2026-09-27T00:00:00"/>
    <n v="1080040843"/>
    <s v="MONTOYA GAMEÑA BRIYITH VALERIA"/>
    <n v="17"/>
    <n v="0"/>
    <n v="778614"/>
  </r>
  <r>
    <s v="Retail"/>
    <s v="Q146 Palmira - Centro 2"/>
    <x v="1"/>
    <s v="septiembre"/>
    <n v="27"/>
    <d v="2026-09-27T00:00:00"/>
    <n v="1113675600"/>
    <s v="OPANCE COLORADO DAISLY YULEIDY"/>
    <n v="22"/>
    <n v="0"/>
    <n v="1021135"/>
  </r>
  <r>
    <s v="Retail"/>
    <s v="Q146 Palmira - Centro 2"/>
    <x v="1"/>
    <s v="septiembre"/>
    <n v="27"/>
    <d v="2026-09-27T00:00:00"/>
    <n v="1113684554"/>
    <s v="GONZALEZ VIEDMA DURLEY FERNANDA"/>
    <n v="22"/>
    <n v="0"/>
    <n v="1030295"/>
  </r>
  <r>
    <s v="Retail"/>
    <s v="Q146 Palmira - Centro 2"/>
    <x v="1"/>
    <s v="septiembre"/>
    <n v="28"/>
    <d v="2026-09-28T00:00:00"/>
    <m/>
    <m/>
    <n v="0"/>
    <n v="5563365"/>
    <n v="0"/>
  </r>
  <r>
    <s v="Retail"/>
    <s v="Q146 Palmira - Centro 2"/>
    <x v="1"/>
    <s v="septiembre"/>
    <n v="28"/>
    <d v="2026-09-28T00:00:00"/>
    <n v="18586321"/>
    <s v="BAIK IRIZA ISRAEL DAVID"/>
    <n v="24"/>
    <n v="0"/>
    <n v="1488448"/>
  </r>
  <r>
    <s v="Retail"/>
    <s v="Q146 Palmira - Centro 2"/>
    <x v="1"/>
    <s v="septiembre"/>
    <n v="28"/>
    <d v="2026-09-28T00:00:00"/>
    <n v="1080040843"/>
    <s v="MONTOYA GAMEÑA BRIYITH VALERIA"/>
    <n v="34"/>
    <n v="0"/>
    <n v="1748573"/>
  </r>
  <r>
    <s v="Retail"/>
    <s v="Q146 Palmira - Centro 2"/>
    <x v="1"/>
    <s v="septiembre"/>
    <n v="28"/>
    <d v="2026-09-28T00:00:00"/>
    <n v="1113675600"/>
    <s v="OPANCE COLORADO DAISLY YULEIDY"/>
    <n v="30"/>
    <n v="0"/>
    <n v="1727732"/>
  </r>
  <r>
    <s v="Retail"/>
    <s v="Q146 Palmira - Centro 2"/>
    <x v="1"/>
    <s v="septiembre"/>
    <n v="28"/>
    <d v="2026-09-28T00:00:00"/>
    <n v="1113684554"/>
    <s v="GONZALEZ VIEDMA DURLEY FERNANDA"/>
    <n v="18"/>
    <n v="0"/>
    <n v="1108278"/>
  </r>
  <r>
    <s v="Retail"/>
    <s v="Q146 Palmira - Centro 2"/>
    <x v="1"/>
    <s v="septiembre"/>
    <n v="29"/>
    <d v="2026-09-29T00:00:00"/>
    <m/>
    <m/>
    <n v="0"/>
    <n v="5683527"/>
    <n v="0"/>
  </r>
  <r>
    <s v="Retail"/>
    <s v="Q146 Palmira - Centro 2"/>
    <x v="1"/>
    <s v="septiembre"/>
    <n v="29"/>
    <d v="2026-09-29T00:00:00"/>
    <n v="18586321"/>
    <s v="BAIK IRIZA ISRAEL DAVID"/>
    <n v="45"/>
    <n v="0"/>
    <n v="2281596"/>
  </r>
  <r>
    <s v="Retail"/>
    <s v="Q146 Palmira - Centro 2"/>
    <x v="1"/>
    <s v="septiembre"/>
    <n v="29"/>
    <d v="2026-09-29T00:00:00"/>
    <n v="1080040843"/>
    <s v="MONTOYA GAMEÑA BRIYITH VALERIA"/>
    <n v="34"/>
    <n v="0"/>
    <n v="1975295"/>
  </r>
  <r>
    <s v="Retail"/>
    <s v="Q146 Palmira - Centro 2"/>
    <x v="1"/>
    <s v="septiembre"/>
    <n v="29"/>
    <d v="2026-09-29T00:00:00"/>
    <n v="1113637332"/>
    <s v="ARAUJO PORTILLA LYRA AMANDA"/>
    <n v="-1"/>
    <n v="0"/>
    <n v="-71386"/>
  </r>
  <r>
    <s v="Retail"/>
    <s v="Q146 Palmira - Centro 2"/>
    <x v="1"/>
    <s v="septiembre"/>
    <n v="29"/>
    <d v="2026-09-29T00:00:00"/>
    <n v="1113675600"/>
    <s v="OPANCE COLORADO DAISLY YULEIDY"/>
    <n v="29"/>
    <n v="0"/>
    <n v="1637354"/>
  </r>
  <r>
    <s v="Retail"/>
    <s v="Q146 Palmira - Centro 2"/>
    <x v="1"/>
    <s v="septiembre"/>
    <n v="29"/>
    <d v="2026-09-29T00:00:00"/>
    <n v="1113684554"/>
    <s v="GONZALEZ VIEDMA DURLEY FERNANDA"/>
    <n v="27"/>
    <n v="0"/>
    <n v="1234162"/>
  </r>
  <r>
    <s v="Retail"/>
    <s v="Q146 Palmira - Centro 2"/>
    <x v="1"/>
    <s v="septiembre"/>
    <n v="29"/>
    <d v="2026-09-29T00:00:00"/>
    <n v="1113702327"/>
    <s v="URBANO  CASANOVA ISRAEL ALEJANDRO "/>
    <n v="-2"/>
    <n v="0"/>
    <n v="-197394"/>
  </r>
  <r>
    <s v="Retail"/>
    <s v="Q146 Palmira - Centro 2"/>
    <x v="1"/>
    <s v="septiembre"/>
    <n v="30"/>
    <d v="2026-09-30T00:00:00"/>
    <m/>
    <m/>
    <n v="0"/>
    <n v="6000668"/>
    <n v="0"/>
  </r>
  <r>
    <s v="Retail"/>
    <s v="Q146 Palmira - Centro 2"/>
    <x v="1"/>
    <s v="septiembre"/>
    <n v="30"/>
    <d v="2026-09-30T00:00:00"/>
    <n v="18586321"/>
    <s v="BAIK IRIZA ISRAEL DAVID"/>
    <n v="24"/>
    <n v="0"/>
    <n v="1400168"/>
  </r>
  <r>
    <s v="Retail"/>
    <s v="Q146 Palmira - Centro 2"/>
    <x v="1"/>
    <s v="septiembre"/>
    <n v="30"/>
    <d v="2026-09-30T00:00:00"/>
    <n v="1080040843"/>
    <s v="MONTOYA GAMEÑA BRIYITH VALERIA"/>
    <n v="42"/>
    <n v="0"/>
    <n v="2104959"/>
  </r>
  <r>
    <s v="Retail"/>
    <s v="Q146 Palmira - Centro 2"/>
    <x v="1"/>
    <s v="septiembre"/>
    <n v="30"/>
    <d v="2026-09-30T00:00:00"/>
    <n v="1113623464"/>
    <s v="BELLO MANCO HAIDY MICHELLE"/>
    <n v="-1"/>
    <n v="0"/>
    <n v="-29370"/>
  </r>
  <r>
    <s v="Retail"/>
    <s v="Q146 Palmira - Centro 2"/>
    <x v="1"/>
    <s v="septiembre"/>
    <n v="30"/>
    <d v="2026-09-30T00:00:00"/>
    <n v="1113675600"/>
    <s v="OPANCE COLORADO DAISLY YULEIDY"/>
    <n v="58"/>
    <n v="0"/>
    <n v="3340969"/>
  </r>
  <r>
    <s v="Retail"/>
    <s v="Q146 Palmira - Centro 2"/>
    <x v="1"/>
    <s v="septiembre"/>
    <n v="30"/>
    <d v="2026-09-30T00:00:00"/>
    <n v="1113684554"/>
    <s v="GONZALEZ VIEDMA DURLEY FERNANDA"/>
    <n v="34"/>
    <n v="0"/>
    <n v="1834455"/>
  </r>
  <r>
    <s v="Retail"/>
    <s v="Q146 Palmira - Centro 2"/>
    <x v="1"/>
    <s v="octubre"/>
    <n v="1"/>
    <d v="2026-10-01T00:00:00"/>
    <m/>
    <m/>
    <n v="0"/>
    <n v="12382938"/>
    <n v="0"/>
  </r>
  <r>
    <s v="Retail"/>
    <s v="Q146 Palmira - Centro 2"/>
    <x v="1"/>
    <s v="octubre"/>
    <n v="1"/>
    <d v="2026-10-01T00:00:00"/>
    <n v="18586321"/>
    <s v="BAIK IRIZA ISRAEL DAVID"/>
    <n v="79"/>
    <n v="0"/>
    <n v="4329330"/>
  </r>
  <r>
    <s v="Retail"/>
    <s v="Q146 Palmira - Centro 2"/>
    <x v="1"/>
    <s v="octubre"/>
    <n v="1"/>
    <d v="2026-10-01T00:00:00"/>
    <n v="1080040843"/>
    <s v="MONTOYA GAMEÑA BRIYITH VALERIA"/>
    <n v="64"/>
    <n v="0"/>
    <n v="3037020"/>
  </r>
  <r>
    <s v="Retail"/>
    <s v="Q146 Palmira - Centro 2"/>
    <x v="1"/>
    <s v="octubre"/>
    <n v="1"/>
    <d v="2026-10-01T00:00:00"/>
    <n v="1113675600"/>
    <s v="OPANCE COLORADO DAISLY YULEIDY"/>
    <n v="46"/>
    <n v="0"/>
    <n v="2575549"/>
  </r>
  <r>
    <s v="Retail"/>
    <s v="Q146 Palmira - Centro 2"/>
    <x v="1"/>
    <s v="octubre"/>
    <n v="2"/>
    <d v="2026-10-02T00:00:00"/>
    <m/>
    <m/>
    <n v="0"/>
    <n v="8299897"/>
    <n v="0"/>
  </r>
  <r>
    <s v="Retail"/>
    <s v="Q146 Palmira - Centro 2"/>
    <x v="1"/>
    <s v="octubre"/>
    <n v="2"/>
    <d v="2026-10-02T00:00:00"/>
    <n v="5063496"/>
    <s v="MADRID M MADRID CASTELLANOS MILANGELY ALEJANDRA "/>
    <n v="-1"/>
    <n v="0"/>
    <n v="-117605"/>
  </r>
  <r>
    <s v="Retail"/>
    <s v="Q146 Palmira - Centro 2"/>
    <x v="1"/>
    <s v="octubre"/>
    <n v="2"/>
    <d v="2026-10-02T00:00:00"/>
    <n v="18586321"/>
    <s v="BAIK IRIZA ISRAEL DAVID"/>
    <n v="26"/>
    <n v="0"/>
    <n v="1557565"/>
  </r>
  <r>
    <s v="Retail"/>
    <s v="Q146 Palmira - Centro 2"/>
    <x v="1"/>
    <s v="octubre"/>
    <n v="2"/>
    <d v="2026-10-02T00:00:00"/>
    <n v="1080040843"/>
    <s v="MONTOYA GAMEÑA BRIYITH VALERIA"/>
    <n v="28"/>
    <n v="0"/>
    <n v="1307480"/>
  </r>
  <r>
    <s v="Retail"/>
    <s v="Q146 Palmira - Centro 2"/>
    <x v="1"/>
    <s v="octubre"/>
    <n v="2"/>
    <d v="2026-10-02T00:00:00"/>
    <n v="1113675600"/>
    <s v="OPANCE COLORADO DAISLY YULEIDY"/>
    <n v="26"/>
    <n v="0"/>
    <n v="1227777"/>
  </r>
  <r>
    <s v="Retail"/>
    <s v="Q146 Palmira - Centro 2"/>
    <x v="1"/>
    <s v="octubre"/>
    <n v="3"/>
    <d v="2026-10-03T00:00:00"/>
    <m/>
    <m/>
    <n v="0"/>
    <n v="17368230"/>
    <n v="0"/>
  </r>
  <r>
    <s v="Retail"/>
    <s v="Q146 Palmira - Centro 2"/>
    <x v="1"/>
    <s v="octubre"/>
    <n v="3"/>
    <d v="2026-10-03T00:00:00"/>
    <n v="18586321"/>
    <s v="BAIK IRIZA ISRAEL DAVID"/>
    <n v="147"/>
    <n v="0"/>
    <n v="7426165"/>
  </r>
  <r>
    <s v="Retail"/>
    <s v="Q146 Palmira - Centro 2"/>
    <x v="1"/>
    <s v="octubre"/>
    <n v="3"/>
    <d v="2026-10-03T00:00:00"/>
    <n v="1006048956"/>
    <s v="MENESES OLAYA SEBASTIAN"/>
    <n v="-1"/>
    <n v="0"/>
    <n v="-41975"/>
  </r>
  <r>
    <s v="Retail"/>
    <s v="Q146 Palmira - Centro 2"/>
    <x v="1"/>
    <s v="octubre"/>
    <n v="3"/>
    <d v="2026-10-03T00:00:00"/>
    <n v="1080040843"/>
    <s v="MONTOYA GAMEÑA BRIYITH VALERIA"/>
    <n v="82"/>
    <n v="0"/>
    <n v="4110089"/>
  </r>
  <r>
    <s v="Retail"/>
    <s v="Q146 Palmira - Centro 2"/>
    <x v="1"/>
    <s v="octubre"/>
    <n v="3"/>
    <d v="2026-10-03T00:00:00"/>
    <n v="1113675600"/>
    <s v="OPANCE COLORADO DAISLY YULEIDY"/>
    <n v="101"/>
    <n v="0"/>
    <n v="5030598"/>
  </r>
  <r>
    <s v="Retail"/>
    <s v="Q146 Palmira - Centro 2"/>
    <x v="1"/>
    <s v="octubre"/>
    <n v="4"/>
    <d v="2026-10-04T00:00:00"/>
    <m/>
    <m/>
    <n v="0"/>
    <n v="6669388"/>
    <n v="0"/>
  </r>
  <r>
    <s v="Retail"/>
    <s v="Q146 Palmira - Centro 2"/>
    <x v="1"/>
    <s v="octubre"/>
    <n v="4"/>
    <d v="2026-10-04T00:00:00"/>
    <n v="18586321"/>
    <s v="BAIK IRIZA ISRAEL DAVID"/>
    <n v="45"/>
    <n v="0"/>
    <n v="2430632"/>
  </r>
  <r>
    <s v="Retail"/>
    <s v="Q146 Palmira - Centro 2"/>
    <x v="1"/>
    <s v="octubre"/>
    <n v="4"/>
    <d v="2026-10-04T00:00:00"/>
    <n v="1080040843"/>
    <s v="MONTOYA GAMEÑA BRIYITH VALERIA"/>
    <n v="34"/>
    <n v="0"/>
    <n v="1775842"/>
  </r>
  <r>
    <s v="Retail"/>
    <s v="Q146 Palmira - Centro 2"/>
    <x v="1"/>
    <s v="octubre"/>
    <n v="4"/>
    <d v="2026-10-04T00:00:00"/>
    <n v="1113675600"/>
    <s v="OPANCE COLORADO DAISLY YULEIDY"/>
    <n v="20"/>
    <n v="0"/>
    <n v="1057859"/>
  </r>
  <r>
    <s v="Retail"/>
    <s v="Q146 Palmira - Centro 2"/>
    <x v="1"/>
    <s v="octubre"/>
    <n v="5"/>
    <d v="2026-10-05T00:00:00"/>
    <m/>
    <m/>
    <n v="0"/>
    <n v="7997280"/>
    <n v="0"/>
  </r>
  <r>
    <s v="Retail"/>
    <s v="Q146 Palmira - Centro 2"/>
    <x v="1"/>
    <s v="octubre"/>
    <n v="5"/>
    <d v="2026-10-05T00:00:00"/>
    <n v="18586321"/>
    <s v="BAIK IRIZA ISRAEL DAVID"/>
    <n v="35"/>
    <n v="0"/>
    <n v="2000464"/>
  </r>
  <r>
    <s v="Retail"/>
    <s v="Q146 Palmira - Centro 2"/>
    <x v="1"/>
    <s v="octubre"/>
    <n v="5"/>
    <d v="2026-10-05T00:00:00"/>
    <n v="1080040843"/>
    <s v="MONTOYA GAMEÑA BRIYITH VALERIA"/>
    <n v="33"/>
    <n v="0"/>
    <n v="1716725"/>
  </r>
  <r>
    <s v="Retail"/>
    <s v="Q146 Palmira - Centro 2"/>
    <x v="1"/>
    <s v="octubre"/>
    <n v="5"/>
    <d v="2026-10-05T00:00:00"/>
    <n v="1113675600"/>
    <s v="OPANCE COLORADO DAISLY YULEIDY"/>
    <n v="40"/>
    <n v="0"/>
    <n v="1794364"/>
  </r>
  <r>
    <s v="Retail"/>
    <s v="Q146 Palmira - Centro 2"/>
    <x v="1"/>
    <s v="octubre"/>
    <n v="5"/>
    <d v="2026-10-05T00:00:00"/>
    <n v="1113684554"/>
    <s v="GONZALEZ VIEDMA DURLEY FERNANDA"/>
    <n v="-3"/>
    <n v="0"/>
    <n v="-109076"/>
  </r>
  <r>
    <s v="Retail"/>
    <s v="Q146 Palmira - Centro 2"/>
    <x v="1"/>
    <s v="octubre"/>
    <n v="6"/>
    <d v="2026-10-06T00:00:00"/>
    <m/>
    <m/>
    <n v="0"/>
    <n v="4256024"/>
    <n v="0"/>
  </r>
  <r>
    <s v="Retail"/>
    <s v="Q146 Palmira - Centro 2"/>
    <x v="1"/>
    <s v="octubre"/>
    <n v="6"/>
    <d v="2026-10-06T00:00:00"/>
    <n v="18586321"/>
    <s v="BAIK IRIZA ISRAEL DAVID"/>
    <n v="37"/>
    <n v="0"/>
    <n v="2071010"/>
  </r>
  <r>
    <s v="Retail"/>
    <s v="Q146 Palmira - Centro 2"/>
    <x v="1"/>
    <s v="octubre"/>
    <n v="6"/>
    <d v="2026-10-06T00:00:00"/>
    <n v="1080040843"/>
    <s v="MONTOYA GAMEÑA BRIYITH VALERIA"/>
    <n v="36"/>
    <n v="0"/>
    <n v="1826094"/>
  </r>
  <r>
    <s v="Retail"/>
    <s v="Q146 Palmira - Centro 2"/>
    <x v="1"/>
    <s v="octubre"/>
    <n v="6"/>
    <d v="2026-10-06T00:00:00"/>
    <n v="1113656874"/>
    <s v="GONZALEZ AGREDO ISABEL CRISTINA"/>
    <n v="-1"/>
    <n v="0"/>
    <n v="-75546"/>
  </r>
  <r>
    <s v="Retail"/>
    <s v="Q146 Palmira - Centro 2"/>
    <x v="1"/>
    <s v="octubre"/>
    <n v="6"/>
    <d v="2026-10-06T00:00:00"/>
    <n v="1113675600"/>
    <s v="OPANCE COLORADO DAISLY YULEIDY"/>
    <n v="29"/>
    <n v="0"/>
    <n v="1239960"/>
  </r>
  <r>
    <s v="Retail"/>
    <s v="Q146 Palmira - Centro 2"/>
    <x v="1"/>
    <s v="octubre"/>
    <n v="6"/>
    <d v="2026-10-06T00:00:00"/>
    <n v="1113702327"/>
    <s v="URBANO  CASANOVA ISRAEL ALEJANDRO "/>
    <n v="-1"/>
    <n v="0"/>
    <n v="-50378"/>
  </r>
  <r>
    <s v="Retail"/>
    <s v="Q146 Palmira - Centro 2"/>
    <x v="1"/>
    <s v="octubre"/>
    <n v="7"/>
    <d v="2026-10-07T00:00:00"/>
    <m/>
    <m/>
    <n v="0"/>
    <n v="4211332"/>
    <n v="0"/>
  </r>
  <r>
    <s v="Retail"/>
    <s v="Q146 Palmira - Centro 2"/>
    <x v="1"/>
    <s v="octubre"/>
    <n v="7"/>
    <d v="2026-10-07T00:00:00"/>
    <n v="18586321"/>
    <s v="BAIK IRIZA ISRAEL DAVID"/>
    <n v="37"/>
    <n v="0"/>
    <n v="1913362"/>
  </r>
  <r>
    <s v="Retail"/>
    <s v="Q146 Palmira - Centro 2"/>
    <x v="1"/>
    <s v="octubre"/>
    <n v="7"/>
    <d v="2026-10-07T00:00:00"/>
    <n v="1080040843"/>
    <s v="MONTOYA GAMEÑA BRIYITH VALERIA"/>
    <n v="16"/>
    <n v="0"/>
    <n v="1011892"/>
  </r>
  <r>
    <s v="Retail"/>
    <s v="Q146 Palmira - Centro 2"/>
    <x v="1"/>
    <s v="octubre"/>
    <n v="7"/>
    <d v="2026-10-07T00:00:00"/>
    <n v="1113675600"/>
    <s v="OPANCE COLORADO DAISLY YULEIDY"/>
    <n v="15"/>
    <n v="0"/>
    <n v="616850"/>
  </r>
  <r>
    <s v="Retail"/>
    <s v="Q153 - Palmira - CC Llanogrande"/>
    <x v="1"/>
    <s v="septiembre"/>
    <n v="23"/>
    <d v="2026-09-23T00:00:00"/>
    <m/>
    <m/>
    <n v="0"/>
    <n v="8081521"/>
    <n v="0"/>
  </r>
  <r>
    <s v="Retail"/>
    <s v="Q153 - Palmira - CC Llanogrande"/>
    <x v="1"/>
    <s v="septiembre"/>
    <n v="23"/>
    <d v="2026-09-23T00:00:00"/>
    <n v="5063496"/>
    <s v="MADRID M MADRID CASTELLANOS MILANGELY ALEJANDRA "/>
    <n v="50"/>
    <n v="0"/>
    <n v="3176306"/>
  </r>
  <r>
    <s v="Retail"/>
    <s v="Q153 - Palmira - CC Llanogrande"/>
    <x v="1"/>
    <s v="septiembre"/>
    <n v="23"/>
    <d v="2026-09-23T00:00:00"/>
    <n v="1107846457"/>
    <s v="DAYLERINN  FAJARDO SANCHEZ"/>
    <n v="42"/>
    <n v="0"/>
    <n v="2508700"/>
  </r>
  <r>
    <s v="Retail"/>
    <s v="Q153 - Palmira - CC Llanogrande"/>
    <x v="1"/>
    <s v="septiembre"/>
    <n v="23"/>
    <d v="2026-09-23T00:00:00"/>
    <n v="1109185235"/>
    <s v="VALENCIA CARDONA RANDY STIVEN"/>
    <n v="37"/>
    <n v="0"/>
    <n v="2351262"/>
  </r>
  <r>
    <s v="Retail"/>
    <s v="Q153 - Palmira - CC Llanogrande"/>
    <x v="1"/>
    <s v="septiembre"/>
    <n v="23"/>
    <d v="2026-09-23T00:00:00"/>
    <n v="1193599836"/>
    <s v="MAYOR SERNA NATALIA"/>
    <n v="34"/>
    <n v="0"/>
    <n v="2092984"/>
  </r>
  <r>
    <s v="Retail"/>
    <s v="Q153 - Palmira - CC Llanogrande"/>
    <x v="1"/>
    <s v="septiembre"/>
    <n v="24"/>
    <d v="2026-09-24T00:00:00"/>
    <m/>
    <m/>
    <n v="0"/>
    <n v="12345435"/>
    <n v="0"/>
  </r>
  <r>
    <s v="Retail"/>
    <s v="Q153 - Palmira - CC Llanogrande"/>
    <x v="1"/>
    <s v="septiembre"/>
    <n v="24"/>
    <d v="2026-09-24T00:00:00"/>
    <n v="5063496"/>
    <s v="MADRID M MADRID CASTELLANOS MILANGELY ALEJANDRA "/>
    <n v="59"/>
    <n v="0"/>
    <n v="3741137"/>
  </r>
  <r>
    <s v="Retail"/>
    <s v="Q153 - Palmira - CC Llanogrande"/>
    <x v="1"/>
    <s v="septiembre"/>
    <n v="24"/>
    <d v="2026-09-24T00:00:00"/>
    <n v="1107846457"/>
    <s v="DAYLERINN  FAJARDO SANCHEZ"/>
    <n v="35"/>
    <n v="0"/>
    <n v="1561136"/>
  </r>
  <r>
    <s v="Retail"/>
    <s v="Q153 - Palmira - CC Llanogrande"/>
    <x v="1"/>
    <s v="septiembre"/>
    <n v="24"/>
    <d v="2026-09-24T00:00:00"/>
    <n v="1109185235"/>
    <s v="VALENCIA CARDONA RANDY STIVEN"/>
    <n v="48"/>
    <n v="0"/>
    <n v="2310675"/>
  </r>
  <r>
    <s v="Retail"/>
    <s v="Q153 - Palmira - CC Llanogrande"/>
    <x v="1"/>
    <s v="septiembre"/>
    <n v="24"/>
    <d v="2026-09-24T00:00:00"/>
    <n v="1193599836"/>
    <s v="MAYOR SERNA NATALIA"/>
    <n v="37"/>
    <n v="0"/>
    <n v="1922565"/>
  </r>
  <r>
    <s v="Retail"/>
    <s v="Q153 - Palmira - CC Llanogrande"/>
    <x v="1"/>
    <s v="septiembre"/>
    <n v="25"/>
    <d v="2026-09-25T00:00:00"/>
    <m/>
    <m/>
    <n v="0"/>
    <n v="12318106"/>
    <n v="0"/>
  </r>
  <r>
    <s v="Retail"/>
    <s v="Q153 - Palmira - CC Llanogrande"/>
    <x v="1"/>
    <s v="septiembre"/>
    <n v="25"/>
    <d v="2026-09-25T00:00:00"/>
    <n v="5063496"/>
    <s v="MADRID M MADRID CASTELLANOS MILANGELY ALEJANDRA "/>
    <n v="39"/>
    <n v="0"/>
    <n v="2365925"/>
  </r>
  <r>
    <s v="Retail"/>
    <s v="Q153 - Palmira - CC Llanogrande"/>
    <x v="1"/>
    <s v="septiembre"/>
    <n v="25"/>
    <d v="2026-09-25T00:00:00"/>
    <n v="1107846457"/>
    <s v="DAYLERINN  FAJARDO SANCHEZ"/>
    <n v="24"/>
    <n v="0"/>
    <n v="1448403"/>
  </r>
  <r>
    <s v="Retail"/>
    <s v="Q153 - Palmira - CC Llanogrande"/>
    <x v="1"/>
    <s v="septiembre"/>
    <n v="25"/>
    <d v="2026-09-25T00:00:00"/>
    <n v="1109185235"/>
    <s v="VALENCIA CARDONA RANDY STIVEN"/>
    <n v="27"/>
    <n v="0"/>
    <n v="1313906"/>
  </r>
  <r>
    <s v="Retail"/>
    <s v="Q153 - Palmira - CC Llanogrande"/>
    <x v="1"/>
    <s v="septiembre"/>
    <n v="25"/>
    <d v="2026-09-25T00:00:00"/>
    <n v="1193599836"/>
    <s v="MAYOR SERNA NATALIA"/>
    <n v="13"/>
    <n v="0"/>
    <n v="776723"/>
  </r>
  <r>
    <s v="Retail"/>
    <s v="Q153 - Palmira - CC Llanogrande"/>
    <x v="1"/>
    <s v="septiembre"/>
    <n v="26"/>
    <d v="2026-09-26T00:00:00"/>
    <m/>
    <m/>
    <n v="0"/>
    <n v="17702886"/>
    <n v="0"/>
  </r>
  <r>
    <s v="Retail"/>
    <s v="Q153 - Palmira - CC Llanogrande"/>
    <x v="1"/>
    <s v="septiembre"/>
    <n v="26"/>
    <d v="2026-09-26T00:00:00"/>
    <n v="5063496"/>
    <s v="MADRID M MADRID CASTELLANOS MILANGELY ALEJANDRA "/>
    <n v="85"/>
    <n v="0"/>
    <n v="4966769"/>
  </r>
  <r>
    <s v="Retail"/>
    <s v="Q153 - Palmira - CC Llanogrande"/>
    <x v="1"/>
    <s v="septiembre"/>
    <n v="26"/>
    <d v="2026-09-26T00:00:00"/>
    <n v="1107846457"/>
    <s v="DAYLERINN  FAJARDO SANCHEZ"/>
    <n v="35"/>
    <n v="0"/>
    <n v="2065671"/>
  </r>
  <r>
    <s v="Retail"/>
    <s v="Q153 - Palmira - CC Llanogrande"/>
    <x v="1"/>
    <s v="septiembre"/>
    <n v="26"/>
    <d v="2026-09-26T00:00:00"/>
    <n v="1109185235"/>
    <s v="VALENCIA CARDONA RANDY STIVEN"/>
    <n v="82"/>
    <n v="0"/>
    <n v="4788027"/>
  </r>
  <r>
    <s v="Retail"/>
    <s v="Q153 - Palmira - CC Llanogrande"/>
    <x v="1"/>
    <s v="septiembre"/>
    <n v="26"/>
    <d v="2026-09-26T00:00:00"/>
    <n v="1193599836"/>
    <s v="MAYOR SERNA NATALIA"/>
    <n v="38"/>
    <n v="0"/>
    <n v="2212648"/>
  </r>
  <r>
    <s v="Retail"/>
    <s v="Q153 - Palmira - CC Llanogrande"/>
    <x v="1"/>
    <s v="septiembre"/>
    <n v="27"/>
    <d v="2026-09-27T00:00:00"/>
    <m/>
    <m/>
    <n v="0"/>
    <n v="14024250"/>
    <n v="0"/>
  </r>
  <r>
    <s v="Retail"/>
    <s v="Q153 - Palmira - CC Llanogrande"/>
    <x v="1"/>
    <s v="septiembre"/>
    <n v="27"/>
    <d v="2026-09-27T00:00:00"/>
    <n v="5063496"/>
    <s v="MADRID M MADRID CASTELLANOS MILANGELY ALEJANDRA "/>
    <n v="55"/>
    <n v="0"/>
    <n v="3182354"/>
  </r>
  <r>
    <s v="Retail"/>
    <s v="Q153 - Palmira - CC Llanogrande"/>
    <x v="1"/>
    <s v="septiembre"/>
    <n v="27"/>
    <d v="2026-09-27T00:00:00"/>
    <n v="1107846457"/>
    <s v="DAYLERINN  FAJARDO SANCHEZ"/>
    <n v="36"/>
    <n v="0"/>
    <n v="2206304"/>
  </r>
  <r>
    <s v="Retail"/>
    <s v="Q153 - Palmira - CC Llanogrande"/>
    <x v="1"/>
    <s v="septiembre"/>
    <n v="27"/>
    <d v="2026-09-27T00:00:00"/>
    <n v="1109185235"/>
    <s v="VALENCIA CARDONA RANDY STIVEN"/>
    <n v="59"/>
    <n v="0"/>
    <n v="3364834"/>
  </r>
  <r>
    <s v="Retail"/>
    <s v="Q153 - Palmira - CC Llanogrande"/>
    <x v="1"/>
    <s v="septiembre"/>
    <n v="27"/>
    <d v="2026-09-27T00:00:00"/>
    <n v="1113698946"/>
    <s v="IRIARTE MELENGUE NATALIA VANESSA"/>
    <n v="-1"/>
    <n v="0"/>
    <n v="-67143"/>
  </r>
  <r>
    <s v="Retail"/>
    <s v="Q153 - Palmira - CC Llanogrande"/>
    <x v="1"/>
    <s v="septiembre"/>
    <n v="27"/>
    <d v="2026-09-27T00:00:00"/>
    <n v="1193599836"/>
    <s v="MAYOR SERNA NATALIA"/>
    <n v="44"/>
    <n v="0"/>
    <n v="2601011"/>
  </r>
  <r>
    <s v="Retail"/>
    <s v="Q153 - Palmira - CC Llanogrande"/>
    <x v="1"/>
    <s v="septiembre"/>
    <n v="28"/>
    <d v="2026-09-28T00:00:00"/>
    <m/>
    <m/>
    <n v="0"/>
    <n v="7718372"/>
    <n v="0"/>
  </r>
  <r>
    <s v="Retail"/>
    <s v="Q153 - Palmira - CC Llanogrande"/>
    <x v="1"/>
    <s v="septiembre"/>
    <n v="28"/>
    <d v="2026-09-28T00:00:00"/>
    <n v="5063496"/>
    <s v="MADRID M MADRID CASTELLANOS MILANGELY ALEJANDRA "/>
    <n v="22"/>
    <n v="0"/>
    <n v="1412859"/>
  </r>
  <r>
    <s v="Retail"/>
    <s v="Q153 - Palmira - CC Llanogrande"/>
    <x v="1"/>
    <s v="septiembre"/>
    <n v="28"/>
    <d v="2026-09-28T00:00:00"/>
    <n v="1107846457"/>
    <s v="DAYLERINN  FAJARDO SANCHEZ"/>
    <n v="11"/>
    <n v="0"/>
    <n v="503571"/>
  </r>
  <r>
    <s v="Retail"/>
    <s v="Q153 - Palmira - CC Llanogrande"/>
    <x v="1"/>
    <s v="septiembre"/>
    <n v="28"/>
    <d v="2026-09-28T00:00:00"/>
    <n v="1109185235"/>
    <s v="VALENCIA CARDONA RANDY STIVEN"/>
    <n v="17"/>
    <n v="0"/>
    <n v="1053866"/>
  </r>
  <r>
    <s v="Retail"/>
    <s v="Q153 - Palmira - CC Llanogrande"/>
    <x v="1"/>
    <s v="septiembre"/>
    <n v="28"/>
    <d v="2026-09-28T00:00:00"/>
    <n v="1193599836"/>
    <s v="MAYOR SERNA NATALIA"/>
    <n v="10"/>
    <n v="0"/>
    <n v="705378"/>
  </r>
  <r>
    <s v="Retail"/>
    <s v="Q153 - Palmira - CC Llanogrande"/>
    <x v="1"/>
    <s v="septiembre"/>
    <n v="29"/>
    <d v="2026-09-29T00:00:00"/>
    <m/>
    <m/>
    <n v="0"/>
    <n v="8244734"/>
    <n v="0"/>
  </r>
  <r>
    <s v="Retail"/>
    <s v="Q153 - Palmira - CC Llanogrande"/>
    <x v="1"/>
    <s v="septiembre"/>
    <n v="29"/>
    <d v="2026-09-29T00:00:00"/>
    <n v="5063496"/>
    <s v="MADRID M MADRID CASTELLANOS MILANGELY ALEJANDRA "/>
    <n v="29"/>
    <n v="0"/>
    <n v="1826344"/>
  </r>
  <r>
    <s v="Retail"/>
    <s v="Q153 - Palmira - CC Llanogrande"/>
    <x v="1"/>
    <s v="septiembre"/>
    <n v="29"/>
    <d v="2026-09-29T00:00:00"/>
    <n v="1107846457"/>
    <s v="DAYLERINN  FAJARDO SANCHEZ"/>
    <n v="27"/>
    <n v="0"/>
    <n v="1486136"/>
  </r>
  <r>
    <s v="Retail"/>
    <s v="Q153 - Palmira - CC Llanogrande"/>
    <x v="1"/>
    <s v="septiembre"/>
    <n v="29"/>
    <d v="2026-09-29T00:00:00"/>
    <n v="1109185235"/>
    <s v="VALENCIA CARDONA RANDY STIVEN"/>
    <n v="23"/>
    <n v="0"/>
    <n v="1208909"/>
  </r>
  <r>
    <s v="Retail"/>
    <s v="Q153 - Palmira - CC Llanogrande"/>
    <x v="1"/>
    <s v="septiembre"/>
    <n v="29"/>
    <d v="2026-09-29T00:00:00"/>
    <n v="1193599836"/>
    <s v="MAYOR SERNA NATALIA"/>
    <n v="36"/>
    <n v="0"/>
    <n v="2189584"/>
  </r>
  <r>
    <s v="Retail"/>
    <s v="Q153 - Palmira - CC Llanogrande"/>
    <x v="1"/>
    <s v="septiembre"/>
    <n v="30"/>
    <d v="2026-09-30T00:00:00"/>
    <m/>
    <m/>
    <n v="0"/>
    <n v="8516954"/>
    <n v="0"/>
  </r>
  <r>
    <s v="Retail"/>
    <s v="Q153 - Palmira - CC Llanogrande"/>
    <x v="1"/>
    <s v="septiembre"/>
    <n v="30"/>
    <d v="2026-09-30T00:00:00"/>
    <n v="5063496"/>
    <s v="MADRID M MADRID CASTELLANOS MILANGELY ALEJANDRA "/>
    <n v="53"/>
    <n v="0"/>
    <n v="2919918"/>
  </r>
  <r>
    <s v="Retail"/>
    <s v="Q153 - Palmira - CC Llanogrande"/>
    <x v="1"/>
    <s v="septiembre"/>
    <n v="30"/>
    <d v="2026-09-30T00:00:00"/>
    <n v="1107846457"/>
    <s v="DAYLERINN  FAJARDO SANCHEZ"/>
    <n v="19"/>
    <n v="0"/>
    <n v="1129329"/>
  </r>
  <r>
    <s v="Retail"/>
    <s v="Q153 - Palmira - CC Llanogrande"/>
    <x v="1"/>
    <s v="septiembre"/>
    <n v="30"/>
    <d v="2026-09-30T00:00:00"/>
    <n v="1109185235"/>
    <s v="VALENCIA CARDONA RANDY STIVEN"/>
    <n v="26"/>
    <n v="0"/>
    <n v="1416977"/>
  </r>
  <r>
    <s v="Retail"/>
    <s v="Q153 - Palmira - CC Llanogrande"/>
    <x v="1"/>
    <s v="septiembre"/>
    <n v="30"/>
    <d v="2026-09-30T00:00:00"/>
    <n v="1193599836"/>
    <s v="MAYOR SERNA NATALIA"/>
    <n v="24"/>
    <n v="0"/>
    <n v="1015675"/>
  </r>
  <r>
    <s v="Retail"/>
    <s v="Q153 - Palmira - CC Llanogrande"/>
    <x v="1"/>
    <s v="octubre"/>
    <n v="1"/>
    <d v="2026-10-01T00:00:00"/>
    <m/>
    <m/>
    <n v="0"/>
    <n v="6090154"/>
    <n v="0"/>
  </r>
  <r>
    <s v="Retail"/>
    <s v="Q153 - Palmira - CC Llanogrande"/>
    <x v="1"/>
    <s v="octubre"/>
    <n v="1"/>
    <d v="2026-10-01T00:00:00"/>
    <n v="5063496"/>
    <s v="MADRID M MADRID CASTELLANOS MILANGELY ALEJANDRA "/>
    <n v="30"/>
    <n v="0"/>
    <n v="1876893"/>
  </r>
  <r>
    <s v="Retail"/>
    <s v="Q153 - Palmira - CC Llanogrande"/>
    <x v="1"/>
    <s v="octubre"/>
    <n v="1"/>
    <d v="2026-10-01T00:00:00"/>
    <n v="1107846457"/>
    <s v="DAYLERINN  FAJARDO SANCHEZ"/>
    <n v="33"/>
    <n v="0"/>
    <n v="1384961"/>
  </r>
  <r>
    <s v="Retail"/>
    <s v="Q153 - Palmira - CC Llanogrande"/>
    <x v="1"/>
    <s v="octubre"/>
    <n v="1"/>
    <d v="2026-10-01T00:00:00"/>
    <n v="1109185235"/>
    <s v="VALENCIA CARDONA RANDY STIVEN"/>
    <n v="17"/>
    <n v="0"/>
    <n v="1152606"/>
  </r>
  <r>
    <s v="Retail"/>
    <s v="Q153 - Palmira - CC Llanogrande"/>
    <x v="1"/>
    <s v="octubre"/>
    <n v="1"/>
    <d v="2026-10-01T00:00:00"/>
    <n v="1193599836"/>
    <s v="MAYOR SERNA NATALIA"/>
    <n v="47"/>
    <n v="0"/>
    <n v="2775085"/>
  </r>
  <r>
    <s v="Retail"/>
    <s v="Q153 - Palmira - CC Llanogrande"/>
    <x v="1"/>
    <s v="octubre"/>
    <n v="2"/>
    <d v="2026-10-02T00:00:00"/>
    <m/>
    <m/>
    <n v="0"/>
    <n v="7240596"/>
    <n v="0"/>
  </r>
  <r>
    <s v="Retail"/>
    <s v="Q153 - Palmira - CC Llanogrande"/>
    <x v="1"/>
    <s v="octubre"/>
    <n v="2"/>
    <d v="2026-10-02T00:00:00"/>
    <n v="5063496"/>
    <s v="MADRID M MADRID CASTELLANOS MILANGELY ALEJANDRA "/>
    <n v="46"/>
    <n v="0"/>
    <n v="2518786"/>
  </r>
  <r>
    <s v="Retail"/>
    <s v="Q153 - Palmira - CC Llanogrande"/>
    <x v="1"/>
    <s v="octubre"/>
    <n v="2"/>
    <d v="2026-10-02T00:00:00"/>
    <n v="1107846457"/>
    <s v="DAYLERINN  FAJARDO SANCHEZ"/>
    <n v="11"/>
    <n v="0"/>
    <n v="810420"/>
  </r>
  <r>
    <s v="Retail"/>
    <s v="Q153 - Palmira - CC Llanogrande"/>
    <x v="1"/>
    <s v="octubre"/>
    <n v="2"/>
    <d v="2026-10-02T00:00:00"/>
    <n v="1109185235"/>
    <s v="VALENCIA CARDONA RANDY STIVEN"/>
    <n v="19"/>
    <n v="0"/>
    <n v="1142018"/>
  </r>
  <r>
    <s v="Retail"/>
    <s v="Q153 - Palmira - CC Llanogrande"/>
    <x v="1"/>
    <s v="octubre"/>
    <n v="2"/>
    <d v="2026-10-02T00:00:00"/>
    <n v="1193599836"/>
    <s v="MAYOR SERNA NATALIA"/>
    <n v="20"/>
    <n v="0"/>
    <n v="938109"/>
  </r>
  <r>
    <s v="Retail"/>
    <s v="Q153 - Palmira - CC Llanogrande"/>
    <x v="1"/>
    <s v="octubre"/>
    <n v="3"/>
    <d v="2026-10-03T00:00:00"/>
    <m/>
    <m/>
    <n v="0"/>
    <n v="14317573"/>
    <n v="0"/>
  </r>
  <r>
    <s v="Retail"/>
    <s v="Q153 - Palmira - CC Llanogrande"/>
    <x v="1"/>
    <s v="octubre"/>
    <n v="3"/>
    <d v="2026-10-03T00:00:00"/>
    <n v="5063496"/>
    <s v="MADRID M MADRID CASTELLANOS MILANGELY ALEJANDRA "/>
    <n v="57"/>
    <n v="0"/>
    <n v="2927349"/>
  </r>
  <r>
    <s v="Retail"/>
    <s v="Q153 - Palmira - CC Llanogrande"/>
    <x v="1"/>
    <s v="octubre"/>
    <n v="3"/>
    <d v="2026-10-03T00:00:00"/>
    <n v="1107846457"/>
    <s v="DAYLERINN  FAJARDO SANCHEZ"/>
    <n v="38"/>
    <n v="0"/>
    <n v="2018574"/>
  </r>
  <r>
    <s v="Retail"/>
    <s v="Q153 - Palmira - CC Llanogrande"/>
    <x v="1"/>
    <s v="octubre"/>
    <n v="3"/>
    <d v="2026-10-03T00:00:00"/>
    <n v="1109185235"/>
    <s v="VALENCIA CARDONA RANDY STIVEN"/>
    <n v="49"/>
    <n v="0"/>
    <n v="2733659"/>
  </r>
  <r>
    <s v="Retail"/>
    <s v="Q153 - Palmira - CC Llanogrande"/>
    <x v="1"/>
    <s v="octubre"/>
    <n v="3"/>
    <d v="2026-10-03T00:00:00"/>
    <n v="1113623464"/>
    <s v="BELLO MANCO HAIDY MICHELLE"/>
    <n v="-1"/>
    <n v="0"/>
    <n v="-75546"/>
  </r>
  <r>
    <s v="Retail"/>
    <s v="Q153 - Palmira - CC Llanogrande"/>
    <x v="1"/>
    <s v="octubre"/>
    <n v="3"/>
    <d v="2026-10-03T00:00:00"/>
    <n v="1113656874"/>
    <s v="GONZALEZ AGREDO ISABEL CRISTINA"/>
    <n v="-1"/>
    <n v="0"/>
    <n v="-113403"/>
  </r>
  <r>
    <s v="Retail"/>
    <s v="Q153 - Palmira - CC Llanogrande"/>
    <x v="1"/>
    <s v="octubre"/>
    <n v="3"/>
    <d v="2026-10-03T00:00:00"/>
    <n v="1193599836"/>
    <s v="MAYOR SERNA NATALIA"/>
    <n v="51"/>
    <n v="0"/>
    <n v="2817012"/>
  </r>
  <r>
    <s v="Retail"/>
    <s v="Q153 - Palmira - CC Llanogrande"/>
    <x v="1"/>
    <s v="octubre"/>
    <n v="4"/>
    <d v="2026-10-04T00:00:00"/>
    <m/>
    <m/>
    <n v="0"/>
    <n v="17906380"/>
    <n v="0"/>
  </r>
  <r>
    <s v="Retail"/>
    <s v="Q153 - Palmira - CC Llanogrande"/>
    <x v="1"/>
    <s v="octubre"/>
    <n v="4"/>
    <d v="2026-10-04T00:00:00"/>
    <n v="5063496"/>
    <s v="MADRID M MADRID CASTELLANOS MILANGELY ALEJANDRA "/>
    <n v="66"/>
    <n v="0"/>
    <n v="3765885"/>
  </r>
  <r>
    <s v="Retail"/>
    <s v="Q153 - Palmira - CC Llanogrande"/>
    <x v="1"/>
    <s v="octubre"/>
    <n v="4"/>
    <d v="2026-10-04T00:00:00"/>
    <n v="1107846457"/>
    <s v="DAYLERINN  FAJARDO SANCHEZ"/>
    <n v="38"/>
    <n v="0"/>
    <n v="1859539"/>
  </r>
  <r>
    <s v="Retail"/>
    <s v="Q153 - Palmira - CC Llanogrande"/>
    <x v="1"/>
    <s v="octubre"/>
    <n v="4"/>
    <d v="2026-10-04T00:00:00"/>
    <n v="1109185235"/>
    <s v="VALENCIA CARDONA RANDY STIVEN"/>
    <n v="56"/>
    <n v="0"/>
    <n v="2999497"/>
  </r>
  <r>
    <s v="Retail"/>
    <s v="Q153 - Palmira - CC Llanogrande"/>
    <x v="1"/>
    <s v="octubre"/>
    <n v="4"/>
    <d v="2026-10-04T00:00:00"/>
    <n v="1113670149"/>
    <s v="CRUZ SALDARRIAGA JUAN FELIPE"/>
    <n v="-1"/>
    <n v="0"/>
    <n v="-58740"/>
  </r>
  <r>
    <s v="Retail"/>
    <s v="Q153 - Palmira - CC Llanogrande"/>
    <x v="1"/>
    <s v="octubre"/>
    <n v="4"/>
    <d v="2026-10-04T00:00:00"/>
    <n v="1193599836"/>
    <s v="MAYOR SERNA NATALIA"/>
    <n v="40"/>
    <n v="0"/>
    <n v="2340671"/>
  </r>
  <r>
    <s v="Retail"/>
    <s v="Q153 - Palmira - CC Llanogrande"/>
    <x v="1"/>
    <s v="octubre"/>
    <n v="5"/>
    <d v="2026-10-05T00:00:00"/>
    <m/>
    <m/>
    <n v="0"/>
    <n v="7752467"/>
    <n v="0"/>
  </r>
  <r>
    <s v="Retail"/>
    <s v="Q153 - Palmira - CC Llanogrande"/>
    <x v="1"/>
    <s v="octubre"/>
    <n v="5"/>
    <d v="2026-10-05T00:00:00"/>
    <n v="5063496"/>
    <s v="MADRID M MADRID CASTELLANOS MILANGELY ALEJANDRA "/>
    <n v="55"/>
    <n v="0"/>
    <n v="2957608"/>
  </r>
  <r>
    <s v="Retail"/>
    <s v="Q153 - Palmira - CC Llanogrande"/>
    <x v="1"/>
    <s v="octubre"/>
    <n v="5"/>
    <d v="2026-10-05T00:00:00"/>
    <n v="18586321"/>
    <s v="BAIK IRIZA ISRAEL DAVID"/>
    <n v="-4"/>
    <n v="0"/>
    <n v="-203210"/>
  </r>
  <r>
    <s v="Retail"/>
    <s v="Q153 - Palmira - CC Llanogrande"/>
    <x v="1"/>
    <s v="octubre"/>
    <n v="5"/>
    <d v="2026-10-05T00:00:00"/>
    <n v="1107846457"/>
    <s v="DAYLERINN  FAJARDO SANCHEZ"/>
    <n v="6"/>
    <n v="0"/>
    <n v="331681"/>
  </r>
  <r>
    <s v="Retail"/>
    <s v="Q153 - Palmira - CC Llanogrande"/>
    <x v="1"/>
    <s v="octubre"/>
    <n v="5"/>
    <d v="2026-10-05T00:00:00"/>
    <n v="1109185235"/>
    <s v="VALENCIA CARDONA RANDY STIVEN"/>
    <n v="42"/>
    <n v="0"/>
    <n v="2542145"/>
  </r>
  <r>
    <s v="Retail"/>
    <s v="Q153 - Palmira - CC Llanogrande"/>
    <x v="1"/>
    <s v="octubre"/>
    <n v="5"/>
    <d v="2026-10-05T00:00:00"/>
    <n v="1193599836"/>
    <s v="MAYOR SERNA NATALIA"/>
    <n v="11"/>
    <n v="0"/>
    <n v="638151"/>
  </r>
  <r>
    <s v="Retail"/>
    <s v="Q153 - Palmira - CC Llanogrande"/>
    <x v="1"/>
    <s v="octubre"/>
    <n v="6"/>
    <d v="2026-10-06T00:00:00"/>
    <m/>
    <m/>
    <n v="0"/>
    <n v="5106890"/>
    <n v="0"/>
  </r>
  <r>
    <s v="Retail"/>
    <s v="Q153 - Palmira - CC Llanogrande"/>
    <x v="1"/>
    <s v="octubre"/>
    <n v="6"/>
    <d v="2026-10-06T00:00:00"/>
    <n v="5063496"/>
    <s v="MADRID M MADRID CASTELLANOS MILANGELY ALEJANDRA "/>
    <n v="36"/>
    <n v="0"/>
    <n v="1924875"/>
  </r>
  <r>
    <s v="Retail"/>
    <s v="Q153 - Palmira - CC Llanogrande"/>
    <x v="1"/>
    <s v="octubre"/>
    <n v="6"/>
    <d v="2026-10-06T00:00:00"/>
    <n v="1107846457"/>
    <s v="DAYLERINN  FAJARDO SANCHEZ"/>
    <n v="2"/>
    <n v="0"/>
    <n v="75546"/>
  </r>
  <r>
    <s v="Retail"/>
    <s v="Q153 - Palmira - CC Llanogrande"/>
    <x v="1"/>
    <s v="octubre"/>
    <n v="6"/>
    <d v="2026-10-06T00:00:00"/>
    <n v="1109185235"/>
    <s v="VALENCIA CARDONA RANDY STIVEN"/>
    <n v="31"/>
    <n v="0"/>
    <n v="1813741"/>
  </r>
  <r>
    <s v="Retail"/>
    <s v="Q153 - Palmira - CC Llanogrande"/>
    <x v="1"/>
    <s v="octubre"/>
    <n v="6"/>
    <d v="2026-10-06T00:00:00"/>
    <n v="1193599836"/>
    <s v="MAYOR SERNA NATALIA"/>
    <n v="4"/>
    <n v="0"/>
    <n v="247731"/>
  </r>
  <r>
    <s v="Retail"/>
    <s v="Q153 - Palmira - CC Llanogrande"/>
    <x v="1"/>
    <s v="octubre"/>
    <n v="7"/>
    <d v="2026-10-07T00:00:00"/>
    <m/>
    <m/>
    <n v="0"/>
    <n v="5039693"/>
    <n v="0"/>
  </r>
  <r>
    <s v="Retail"/>
    <s v="Q153 - Palmira - CC Llanogrande"/>
    <x v="1"/>
    <s v="octubre"/>
    <n v="7"/>
    <d v="2026-10-07T00:00:00"/>
    <n v="5063496"/>
    <s v="MADRID M MADRID CASTELLANOS MILANGELY ALEJANDRA "/>
    <n v="45"/>
    <n v="0"/>
    <n v="2365591"/>
  </r>
  <r>
    <s v="Retail"/>
    <s v="Q153 - Palmira - CC Llanogrande"/>
    <x v="1"/>
    <s v="octubre"/>
    <n v="7"/>
    <d v="2026-10-07T00:00:00"/>
    <n v="1109185235"/>
    <s v="VALENCIA CARDONA RANDY STIVEN"/>
    <n v="24"/>
    <n v="0"/>
    <n v="1393868"/>
  </r>
  <r>
    <s v="Franquicias Sell Out QUEST"/>
    <s v="FQ016 - Jamundí - Valle del Cauca"/>
    <x v="2"/>
    <s v="septiembre"/>
    <n v="23"/>
    <d v="2026-09-23T00:00:00"/>
    <m/>
    <m/>
    <n v="0"/>
    <n v="5036103"/>
    <n v="0"/>
  </r>
  <r>
    <s v="Franquicias Sell Out QUEST"/>
    <s v="FQ016 - Jamundí - Valle del Cauca"/>
    <x v="2"/>
    <s v="septiembre"/>
    <n v="23"/>
    <d v="2026-09-23T00:00:00"/>
    <n v="1112459753"/>
    <s v="GIRALDO  JULIANA"/>
    <n v="67"/>
    <n v="0"/>
    <n v="3471977"/>
  </r>
  <r>
    <s v="Franquicias Sell Out QUEST"/>
    <s v="FQ016 - Jamundí - Valle del Cauca"/>
    <x v="2"/>
    <s v="septiembre"/>
    <n v="23"/>
    <d v="2026-09-23T00:00:00"/>
    <n v="1112464368"/>
    <s v="YANDI  LIZA MARIA"/>
    <n v="66"/>
    <n v="0"/>
    <n v="3503659"/>
  </r>
  <r>
    <s v="Franquicias Sell Out QUEST"/>
    <s v="FQ016 - Jamundí - Valle del Cauca"/>
    <x v="2"/>
    <s v="septiembre"/>
    <n v="24"/>
    <d v="2026-09-24T00:00:00"/>
    <m/>
    <m/>
    <n v="0"/>
    <n v="13024328"/>
    <n v="0"/>
  </r>
  <r>
    <s v="Franquicias Sell Out QUEST"/>
    <s v="FQ016 - Jamundí - Valle del Cauca"/>
    <x v="2"/>
    <s v="septiembre"/>
    <n v="24"/>
    <d v="2026-09-24T00:00:00"/>
    <n v="1112459753"/>
    <s v="GIRALDO  JULIANA"/>
    <n v="52"/>
    <n v="0"/>
    <n v="2861264"/>
  </r>
  <r>
    <s v="Franquicias Sell Out QUEST"/>
    <s v="FQ016 - Jamundí - Valle del Cauca"/>
    <x v="2"/>
    <s v="septiembre"/>
    <n v="24"/>
    <d v="2026-09-24T00:00:00"/>
    <n v="1112464368"/>
    <s v="YANDI  LIZA MARIA"/>
    <n v="70"/>
    <n v="0"/>
    <n v="3761767"/>
  </r>
  <r>
    <s v="Franquicias Sell Out QUEST"/>
    <s v="FQ016 - Jamundí - Valle del Cauca"/>
    <x v="2"/>
    <s v="septiembre"/>
    <n v="25"/>
    <d v="2026-09-25T00:00:00"/>
    <m/>
    <m/>
    <n v="0"/>
    <n v="13910691"/>
    <n v="0"/>
  </r>
  <r>
    <s v="Franquicias Sell Out QUEST"/>
    <s v="FQ016 - Jamundí - Valle del Cauca"/>
    <x v="2"/>
    <s v="septiembre"/>
    <n v="25"/>
    <d v="2026-09-25T00:00:00"/>
    <n v="1112459753"/>
    <s v="GIRALDO  JULIANA"/>
    <n v="116"/>
    <n v="0"/>
    <n v="6480860"/>
  </r>
  <r>
    <s v="Franquicias Sell Out QUEST"/>
    <s v="FQ016 - Jamundí - Valle del Cauca"/>
    <x v="2"/>
    <s v="septiembre"/>
    <n v="25"/>
    <d v="2026-09-25T00:00:00"/>
    <n v="1112464368"/>
    <s v="YANDI  LIZA MARIA"/>
    <n v="110"/>
    <n v="0"/>
    <n v="5995427"/>
  </r>
  <r>
    <s v="Franquicias Sell Out QUEST"/>
    <s v="FQ016 - Jamundí - Valle del Cauca"/>
    <x v="2"/>
    <s v="septiembre"/>
    <n v="26"/>
    <d v="2026-09-26T00:00:00"/>
    <m/>
    <m/>
    <n v="0"/>
    <n v="17541032"/>
    <n v="0"/>
  </r>
  <r>
    <s v="Franquicias Sell Out QUEST"/>
    <s v="FQ016 - Jamundí - Valle del Cauca"/>
    <x v="2"/>
    <s v="septiembre"/>
    <n v="26"/>
    <d v="2026-09-26T00:00:00"/>
    <n v="1112459753"/>
    <s v="GIRALDO  JULIANA"/>
    <n v="128"/>
    <n v="0"/>
    <n v="7696498"/>
  </r>
  <r>
    <s v="Franquicias Sell Out QUEST"/>
    <s v="FQ016 - Jamundí - Valle del Cauca"/>
    <x v="2"/>
    <s v="septiembre"/>
    <n v="26"/>
    <d v="2026-09-26T00:00:00"/>
    <n v="1112464368"/>
    <s v="YANDI  LIZA MARIA"/>
    <n v="179"/>
    <n v="0"/>
    <n v="10483961"/>
  </r>
  <r>
    <s v="Franquicias Sell Out QUEST"/>
    <s v="FQ016 - Jamundí - Valle del Cauca"/>
    <x v="2"/>
    <s v="septiembre"/>
    <n v="27"/>
    <d v="2026-09-27T00:00:00"/>
    <m/>
    <m/>
    <n v="0"/>
    <n v="9261496"/>
    <n v="0"/>
  </r>
  <r>
    <s v="Franquicias Sell Out QUEST"/>
    <s v="FQ016 - Jamundí - Valle del Cauca"/>
    <x v="2"/>
    <s v="septiembre"/>
    <n v="27"/>
    <d v="2026-09-27T00:00:00"/>
    <n v="1112459753"/>
    <s v="GIRALDO  JULIANA"/>
    <n v="64"/>
    <n v="0"/>
    <n v="3427568"/>
  </r>
  <r>
    <s v="Franquicias Sell Out QUEST"/>
    <s v="FQ016 - Jamundí - Valle del Cauca"/>
    <x v="2"/>
    <s v="septiembre"/>
    <n v="27"/>
    <d v="2026-09-27T00:00:00"/>
    <n v="1112464368"/>
    <s v="YANDI  LIZA MARIA"/>
    <n v="46"/>
    <n v="0"/>
    <n v="2997905"/>
  </r>
  <r>
    <s v="Franquicias Sell Out QUEST"/>
    <s v="FQ016 - Jamundí - Valle del Cauca"/>
    <x v="2"/>
    <s v="septiembre"/>
    <n v="28"/>
    <d v="2026-09-28T00:00:00"/>
    <m/>
    <m/>
    <n v="0"/>
    <n v="7593423"/>
    <n v="0"/>
  </r>
  <r>
    <s v="Franquicias Sell Out QUEST"/>
    <s v="FQ016 - Jamundí - Valle del Cauca"/>
    <x v="2"/>
    <s v="septiembre"/>
    <n v="28"/>
    <d v="2026-09-28T00:00:00"/>
    <n v="1112464368"/>
    <s v="YANDI  LIZA MARIA"/>
    <n v="109"/>
    <n v="0"/>
    <n v="5538868"/>
  </r>
  <r>
    <s v="Franquicias Sell Out QUEST"/>
    <s v="FQ016 - Jamundí - Valle del Cauca"/>
    <x v="2"/>
    <s v="septiembre"/>
    <n v="29"/>
    <d v="2026-09-29T00:00:00"/>
    <m/>
    <m/>
    <n v="0"/>
    <n v="8441636"/>
    <n v="0"/>
  </r>
  <r>
    <s v="Franquicias Sell Out QUEST"/>
    <s v="FQ016 - Jamundí - Valle del Cauca"/>
    <x v="2"/>
    <s v="septiembre"/>
    <n v="29"/>
    <d v="2026-09-29T00:00:00"/>
    <n v="1112459753"/>
    <s v="GIRALDO  JULIANA"/>
    <n v="124"/>
    <n v="0"/>
    <n v="6479462"/>
  </r>
  <r>
    <s v="Franquicias Sell Out QUEST"/>
    <s v="FQ016 - Jamundí - Valle del Cauca"/>
    <x v="2"/>
    <s v="septiembre"/>
    <n v="30"/>
    <d v="2026-09-30T00:00:00"/>
    <m/>
    <m/>
    <n v="0"/>
    <n v="8939961"/>
    <n v="0"/>
  </r>
  <r>
    <s v="Franquicias Sell Out QUEST"/>
    <s v="FQ016 - Jamundí - Valle del Cauca"/>
    <x v="2"/>
    <s v="septiembre"/>
    <n v="30"/>
    <d v="2026-09-30T00:00:00"/>
    <n v="1112459753"/>
    <s v="GIRALDO  JULIANA"/>
    <n v="55"/>
    <n v="0"/>
    <n v="2659122"/>
  </r>
  <r>
    <s v="Franquicias Sell Out QUEST"/>
    <s v="FQ016 - Jamundí - Valle del Cauca"/>
    <x v="2"/>
    <s v="septiembre"/>
    <n v="30"/>
    <d v="2026-09-30T00:00:00"/>
    <n v="1112464368"/>
    <s v="YANDI  LIZA MARIA"/>
    <n v="53"/>
    <n v="0"/>
    <n v="2980760"/>
  </r>
  <r>
    <s v="Franquicias Sell Out QUEST"/>
    <s v="FQ016 - Jamundí - Valle del Cauca"/>
    <x v="2"/>
    <s v="octubre"/>
    <n v="1"/>
    <d v="2026-10-01T00:00:00"/>
    <m/>
    <m/>
    <n v="0"/>
    <n v="10574518"/>
    <n v="0"/>
  </r>
  <r>
    <s v="Franquicias Sell Out QUEST"/>
    <s v="FQ016 - Jamundí - Valle del Cauca"/>
    <x v="2"/>
    <s v="octubre"/>
    <n v="1"/>
    <d v="2026-10-01T00:00:00"/>
    <n v="1112459753"/>
    <s v="GIRALDO  JULIANA"/>
    <n v="81"/>
    <n v="0"/>
    <n v="4763361"/>
  </r>
  <r>
    <s v="Franquicias Sell Out QUEST"/>
    <s v="FQ016 - Jamundí - Valle del Cauca"/>
    <x v="2"/>
    <s v="octubre"/>
    <n v="1"/>
    <d v="2026-10-01T00:00:00"/>
    <n v="1112464368"/>
    <s v="YANDI  LIZA MARIA"/>
    <n v="75"/>
    <n v="0"/>
    <n v="3964963"/>
  </r>
  <r>
    <s v="Franquicias Sell Out QUEST"/>
    <s v="FQ016 - Jamundí - Valle del Cauca"/>
    <x v="2"/>
    <s v="octubre"/>
    <n v="2"/>
    <d v="2026-10-02T00:00:00"/>
    <m/>
    <m/>
    <n v="0"/>
    <n v="10918536"/>
    <n v="0"/>
  </r>
  <r>
    <s v="Franquicias Sell Out QUEST"/>
    <s v="FQ016 - Jamundí - Valle del Cauca"/>
    <x v="2"/>
    <s v="octubre"/>
    <n v="2"/>
    <d v="2026-10-02T00:00:00"/>
    <n v="1112459753"/>
    <s v="GIRALDO  JULIANA"/>
    <n v="47"/>
    <n v="0"/>
    <n v="2819413"/>
  </r>
  <r>
    <s v="Franquicias Sell Out QUEST"/>
    <s v="FQ016 - Jamundí - Valle del Cauca"/>
    <x v="2"/>
    <s v="octubre"/>
    <n v="2"/>
    <d v="2026-10-02T00:00:00"/>
    <n v="1112464368"/>
    <s v="YANDI  LIZA MARIA"/>
    <n v="65"/>
    <n v="0"/>
    <n v="3329080"/>
  </r>
  <r>
    <s v="Franquicias Sell Out QUEST"/>
    <s v="FQ016 - Jamundí - Valle del Cauca"/>
    <x v="2"/>
    <s v="octubre"/>
    <n v="3"/>
    <d v="2026-10-03T00:00:00"/>
    <m/>
    <m/>
    <n v="0"/>
    <n v="20365245"/>
    <n v="0"/>
  </r>
  <r>
    <s v="Franquicias Sell Out QUEST"/>
    <s v="FQ016 - Jamundí - Valle del Cauca"/>
    <x v="2"/>
    <s v="octubre"/>
    <n v="3"/>
    <d v="2026-10-03T00:00:00"/>
    <n v="1112459753"/>
    <s v="GIRALDO  JULIANA"/>
    <n v="124"/>
    <n v="0"/>
    <n v="6184807"/>
  </r>
  <r>
    <s v="Franquicias Sell Out QUEST"/>
    <s v="FQ016 - Jamundí - Valle del Cauca"/>
    <x v="2"/>
    <s v="octubre"/>
    <n v="3"/>
    <d v="2026-10-03T00:00:00"/>
    <n v="1112464368"/>
    <s v="YANDI  LIZA MARIA"/>
    <n v="119"/>
    <n v="0"/>
    <n v="6776635"/>
  </r>
  <r>
    <s v="Franquicias Sell Out QUEST"/>
    <s v="FQ016 - Jamundí - Valle del Cauca"/>
    <x v="2"/>
    <s v="octubre"/>
    <n v="4"/>
    <d v="2026-10-04T00:00:00"/>
    <m/>
    <m/>
    <n v="0"/>
    <n v="9674289"/>
    <n v="0"/>
  </r>
  <r>
    <s v="Franquicias Sell Out QUEST"/>
    <s v="FQ016 - Jamundí - Valle del Cauca"/>
    <x v="2"/>
    <s v="octubre"/>
    <n v="4"/>
    <d v="2026-10-04T00:00:00"/>
    <n v="1112459753"/>
    <s v="GIRALDO  JULIANA"/>
    <n v="62"/>
    <n v="0"/>
    <n v="3631682"/>
  </r>
  <r>
    <s v="Franquicias Sell Out QUEST"/>
    <s v="FQ016 - Jamundí - Valle del Cauca"/>
    <x v="2"/>
    <s v="octubre"/>
    <n v="4"/>
    <d v="2026-10-04T00:00:00"/>
    <n v="1112464368"/>
    <s v="YANDI  LIZA MARIA"/>
    <n v="51"/>
    <n v="0"/>
    <n v="2945382"/>
  </r>
  <r>
    <s v="Franquicias Sell Out QUEST"/>
    <s v="FQ016 - Jamundí - Valle del Cauca"/>
    <x v="2"/>
    <s v="octubre"/>
    <n v="5"/>
    <d v="2026-10-05T00:00:00"/>
    <m/>
    <m/>
    <n v="0"/>
    <n v="9529162"/>
    <n v="0"/>
  </r>
  <r>
    <s v="Franquicias Sell Out QUEST"/>
    <s v="FQ016 - Jamundí - Valle del Cauca"/>
    <x v="2"/>
    <s v="octubre"/>
    <n v="5"/>
    <d v="2026-10-05T00:00:00"/>
    <n v="1112464368"/>
    <s v="YANDI  LIZA MARIA"/>
    <n v="132"/>
    <n v="0"/>
    <n v="7374451"/>
  </r>
  <r>
    <s v="Franquicias Sell Out QUEST"/>
    <s v="FQ016 - Jamundí - Valle del Cauca"/>
    <x v="2"/>
    <s v="octubre"/>
    <n v="6"/>
    <d v="2026-10-06T00:00:00"/>
    <m/>
    <m/>
    <n v="0"/>
    <n v="6371693"/>
    <n v="0"/>
  </r>
  <r>
    <s v="Franquicias Sell Out QUEST"/>
    <s v="FQ016 - Jamundí - Valle del Cauca"/>
    <x v="2"/>
    <s v="octubre"/>
    <n v="6"/>
    <d v="2026-10-06T00:00:00"/>
    <n v="1112459753"/>
    <s v="GIRALDO  JULIANA"/>
    <n v="25"/>
    <n v="0"/>
    <n v="1368575"/>
  </r>
  <r>
    <s v="Franquicias Sell Out QUEST"/>
    <s v="FQ016 - Jamundí - Valle del Cauca"/>
    <x v="2"/>
    <s v="octubre"/>
    <n v="6"/>
    <d v="2026-10-06T00:00:00"/>
    <n v="1112464368"/>
    <s v="YANDI  LIZA MARIA"/>
    <n v="35"/>
    <n v="0"/>
    <n v="1706432"/>
  </r>
  <r>
    <s v="Franquicias Sell Out QUEST"/>
    <s v="FQ016 - Jamundí - Valle del Cauca"/>
    <x v="2"/>
    <s v="octubre"/>
    <n v="7"/>
    <d v="2026-10-07T00:00:00"/>
    <m/>
    <m/>
    <n v="0"/>
    <n v="5590497"/>
    <n v="0"/>
  </r>
  <r>
    <s v="Franquicias Sell Out QUEST"/>
    <s v="FQ016 - Jamundí - Valle del Cauca"/>
    <x v="2"/>
    <s v="octubre"/>
    <n v="7"/>
    <d v="2026-10-07T00:00:00"/>
    <n v="1112459753"/>
    <s v="GIRALDO  JULIANA"/>
    <n v="31"/>
    <n v="0"/>
    <n v="1498657"/>
  </r>
  <r>
    <s v="Franquicias Sell Out QUEST"/>
    <s v="FQ016 - Jamundí - Valle del Cauca"/>
    <x v="2"/>
    <s v="octubre"/>
    <n v="7"/>
    <d v="2026-10-07T00:00:00"/>
    <n v="1112464368"/>
    <s v="YANDI  LIZA MARIA"/>
    <n v="53"/>
    <n v="0"/>
    <n v="3032088"/>
  </r>
  <r>
    <s v="Franquicias Sell Out QUEST"/>
    <s v="FQ032 - Santander de Quilichao - Cauca"/>
    <x v="2"/>
    <s v="septiembre"/>
    <n v="23"/>
    <d v="2026-09-23T00:00:00"/>
    <m/>
    <m/>
    <n v="0"/>
    <n v="5056906"/>
    <n v="0"/>
  </r>
  <r>
    <s v="Franquicias Sell Out QUEST"/>
    <s v="FQ032 - Santander de Quilichao - Cauca"/>
    <x v="2"/>
    <s v="septiembre"/>
    <n v="24"/>
    <d v="2026-09-24T00:00:00"/>
    <m/>
    <m/>
    <n v="0"/>
    <n v="13078129"/>
    <n v="0"/>
  </r>
  <r>
    <s v="Franquicias Sell Out QUEST"/>
    <s v="FQ032 - Santander de Quilichao - Cauca"/>
    <x v="2"/>
    <s v="septiembre"/>
    <n v="24"/>
    <d v="2026-09-24T00:00:00"/>
    <n v="1006201948"/>
    <s v="CASTRILLON MEJIA ADERLEIN"/>
    <n v="43"/>
    <n v="0"/>
    <n v="2416265"/>
  </r>
  <r>
    <s v="Franquicias Sell Out QUEST"/>
    <s v="FQ032 - Santander de Quilichao - Cauca"/>
    <x v="2"/>
    <s v="septiembre"/>
    <n v="25"/>
    <d v="2026-09-25T00:00:00"/>
    <m/>
    <m/>
    <n v="0"/>
    <n v="13968160"/>
    <n v="0"/>
  </r>
  <r>
    <s v="Franquicias Sell Out QUEST"/>
    <s v="FQ032 - Santander de Quilichao - Cauca"/>
    <x v="2"/>
    <s v="septiembre"/>
    <n v="25"/>
    <d v="2026-09-25T00:00:00"/>
    <n v="1006201948"/>
    <s v="CASTRILLON MEJIA ADERLEIN"/>
    <n v="257"/>
    <n v="0"/>
    <n v="15251828"/>
  </r>
  <r>
    <s v="Franquicias Sell Out QUEST"/>
    <s v="FQ032 - Santander de Quilichao - Cauca"/>
    <x v="2"/>
    <s v="septiembre"/>
    <n v="26"/>
    <d v="2026-09-26T00:00:00"/>
    <m/>
    <m/>
    <n v="0"/>
    <n v="17613497"/>
    <n v="0"/>
  </r>
  <r>
    <s v="Franquicias Sell Out QUEST"/>
    <s v="FQ032 - Santander de Quilichao - Cauca"/>
    <x v="2"/>
    <s v="septiembre"/>
    <n v="26"/>
    <d v="2026-09-26T00:00:00"/>
    <n v="1659566"/>
    <s v="GIL HERNANDEZ JONAIKEL ADOLFO"/>
    <n v="1"/>
    <n v="0"/>
    <n v="96597"/>
  </r>
  <r>
    <s v="Franquicias Sell Out QUEST"/>
    <s v="FQ032 - Santander de Quilichao - Cauca"/>
    <x v="2"/>
    <s v="septiembre"/>
    <n v="26"/>
    <d v="2026-09-26T00:00:00"/>
    <n v="1006201948"/>
    <s v="CASTRILLON MEJIA ADERLEIN"/>
    <n v="309"/>
    <n v="0"/>
    <n v="17648137"/>
  </r>
  <r>
    <s v="Franquicias Sell Out QUEST"/>
    <s v="FQ032 - Santander de Quilichao - Cauca"/>
    <x v="2"/>
    <s v="septiembre"/>
    <n v="27"/>
    <d v="2026-09-27T00:00:00"/>
    <m/>
    <m/>
    <n v="0"/>
    <n v="9299758"/>
    <n v="0"/>
  </r>
  <r>
    <s v="Franquicias Sell Out QUEST"/>
    <s v="FQ032 - Santander de Quilichao - Cauca"/>
    <x v="2"/>
    <s v="septiembre"/>
    <n v="27"/>
    <d v="2026-09-27T00:00:00"/>
    <n v="1006201948"/>
    <s v="CASTRILLON MEJIA ADERLEIN"/>
    <n v="160"/>
    <n v="0"/>
    <n v="9764003"/>
  </r>
  <r>
    <s v="Franquicias Sell Out QUEST"/>
    <s v="FQ032 - Santander de Quilichao - Cauca"/>
    <x v="2"/>
    <s v="septiembre"/>
    <n v="28"/>
    <d v="2026-09-28T00:00:00"/>
    <m/>
    <m/>
    <n v="0"/>
    <n v="7624790"/>
    <n v="0"/>
  </r>
  <r>
    <s v="Franquicias Sell Out QUEST"/>
    <s v="FQ032 - Santander de Quilichao - Cauca"/>
    <x v="2"/>
    <s v="septiembre"/>
    <n v="28"/>
    <d v="2026-09-28T00:00:00"/>
    <n v="1006201948"/>
    <s v="CASTRILLON MEJIA ADERLEIN"/>
    <n v="183"/>
    <n v="0"/>
    <n v="10544214"/>
  </r>
  <r>
    <s v="Franquicias Sell Out QUEST"/>
    <s v="FQ032 - Santander de Quilichao - Cauca"/>
    <x v="2"/>
    <s v="septiembre"/>
    <n v="29"/>
    <d v="2026-09-29T00:00:00"/>
    <m/>
    <m/>
    <n v="0"/>
    <n v="8476511"/>
    <n v="0"/>
  </r>
  <r>
    <s v="Franquicias Sell Out QUEST"/>
    <s v="FQ032 - Santander de Quilichao - Cauca"/>
    <x v="2"/>
    <s v="septiembre"/>
    <n v="29"/>
    <d v="2026-09-29T00:00:00"/>
    <n v="1006201948"/>
    <s v="CASTRILLON MEJIA ADERLEIN"/>
    <n v="200"/>
    <n v="0"/>
    <n v="10854044"/>
  </r>
  <r>
    <s v="Franquicias Sell Out QUEST"/>
    <s v="FQ032 - Santander de Quilichao - Cauca"/>
    <x v="2"/>
    <s v="septiembre"/>
    <n v="30"/>
    <d v="2026-09-30T00:00:00"/>
    <m/>
    <m/>
    <n v="0"/>
    <n v="8976892"/>
    <n v="0"/>
  </r>
  <r>
    <s v="Franquicias Sell Out QUEST"/>
    <s v="FQ032 - Santander de Quilichao - Cauca"/>
    <x v="2"/>
    <s v="septiembre"/>
    <n v="30"/>
    <d v="2026-09-30T00:00:00"/>
    <n v="1006201948"/>
    <s v="CASTRILLON MEJIA ADERLEIN"/>
    <n v="189"/>
    <n v="0"/>
    <n v="10495477"/>
  </r>
  <r>
    <s v="Franquicias Sell Out QUEST"/>
    <s v="FQ032 - Santander de Quilichao - Cauca"/>
    <x v="2"/>
    <s v="octubre"/>
    <n v="1"/>
    <d v="2026-10-01T00:00:00"/>
    <m/>
    <m/>
    <n v="0"/>
    <n v="10146064"/>
    <n v="0"/>
  </r>
  <r>
    <s v="Franquicias Sell Out QUEST"/>
    <s v="FQ032 - Santander de Quilichao - Cauca"/>
    <x v="2"/>
    <s v="octubre"/>
    <n v="1"/>
    <d v="2026-10-01T00:00:00"/>
    <n v="1006201948"/>
    <s v="CASTRILLON MEJIA ADERLEIN"/>
    <n v="156"/>
    <n v="0"/>
    <n v="8837534"/>
  </r>
  <r>
    <s v="Franquicias Sell Out QUEST"/>
    <s v="FQ032 - Santander de Quilichao - Cauca"/>
    <x v="2"/>
    <s v="octubre"/>
    <n v="2"/>
    <d v="2026-10-02T00:00:00"/>
    <m/>
    <m/>
    <n v="0"/>
    <n v="8263484"/>
    <n v="0"/>
  </r>
  <r>
    <s v="Franquicias Sell Out QUEST"/>
    <s v="FQ032 - Santander de Quilichao - Cauca"/>
    <x v="2"/>
    <s v="octubre"/>
    <n v="2"/>
    <d v="2026-10-02T00:00:00"/>
    <n v="1006201948"/>
    <s v="CASTRILLON MEJIA ADERLEIN"/>
    <n v="155"/>
    <n v="0"/>
    <n v="8947069"/>
  </r>
  <r>
    <s v="Franquicias Sell Out QUEST"/>
    <s v="FQ032 - Santander de Quilichao - Cauca"/>
    <x v="2"/>
    <s v="octubre"/>
    <n v="3"/>
    <d v="2026-10-03T00:00:00"/>
    <m/>
    <m/>
    <n v="0"/>
    <n v="16532400"/>
    <n v="0"/>
  </r>
  <r>
    <s v="Franquicias Sell Out QUEST"/>
    <s v="FQ032 - Santander de Quilichao - Cauca"/>
    <x v="2"/>
    <s v="octubre"/>
    <n v="3"/>
    <d v="2026-10-03T00:00:00"/>
    <n v="1006201948"/>
    <s v="CASTRILLON MEJIA ADERLEIN"/>
    <n v="284"/>
    <n v="0"/>
    <n v="14717224"/>
  </r>
  <r>
    <s v="Franquicias Sell Out QUEST"/>
    <s v="FQ032 - Santander de Quilichao - Cauca"/>
    <x v="2"/>
    <s v="octubre"/>
    <n v="4"/>
    <d v="2026-10-04T00:00:00"/>
    <m/>
    <m/>
    <n v="0"/>
    <n v="5502469"/>
    <n v="0"/>
  </r>
  <r>
    <s v="Franquicias Sell Out QUEST"/>
    <s v="FQ032 - Santander de Quilichao - Cauca"/>
    <x v="2"/>
    <s v="octubre"/>
    <n v="4"/>
    <d v="2026-10-04T00:00:00"/>
    <n v="1006201948"/>
    <s v="CASTRILLON MEJIA ADERLEIN"/>
    <n v="112"/>
    <n v="0"/>
    <n v="7264043"/>
  </r>
  <r>
    <s v="Franquicias Sell Out QUEST"/>
    <s v="FQ032 - Santander de Quilichao - Cauca"/>
    <x v="2"/>
    <s v="octubre"/>
    <n v="5"/>
    <d v="2026-10-05T00:00:00"/>
    <m/>
    <m/>
    <n v="0"/>
    <n v="7999943"/>
    <n v="0"/>
  </r>
  <r>
    <s v="Franquicias Sell Out QUEST"/>
    <s v="FQ032 - Santander de Quilichao - Cauca"/>
    <x v="2"/>
    <s v="octubre"/>
    <n v="5"/>
    <d v="2026-10-05T00:00:00"/>
    <n v="1006201948"/>
    <s v="CASTRILLON MEJIA ADERLEIN"/>
    <n v="118"/>
    <n v="0"/>
    <n v="6996476"/>
  </r>
  <r>
    <s v="Franquicias Sell Out QUEST"/>
    <s v="FQ032 - Santander de Quilichao - Cauca"/>
    <x v="2"/>
    <s v="octubre"/>
    <n v="6"/>
    <d v="2026-10-06T00:00:00"/>
    <m/>
    <m/>
    <n v="0"/>
    <n v="4903279"/>
    <n v="0"/>
  </r>
  <r>
    <s v="Franquicias Sell Out QUEST"/>
    <s v="FQ032 - Santander de Quilichao - Cauca"/>
    <x v="2"/>
    <s v="octubre"/>
    <n v="6"/>
    <d v="2026-10-06T00:00:00"/>
    <n v="1006201948"/>
    <s v="CASTRILLON MEJIA ADERLEIN"/>
    <n v="37"/>
    <n v="0"/>
    <n v="2173563"/>
  </r>
  <r>
    <s v="Franquicias Sell Out QUEST"/>
    <s v="FQ032 - Santander de Quilichao - Cauca"/>
    <x v="2"/>
    <s v="octubre"/>
    <n v="7"/>
    <d v="2026-10-07T00:00:00"/>
    <m/>
    <m/>
    <n v="0"/>
    <n v="3069055"/>
    <n v="0"/>
  </r>
  <r>
    <s v="Franquicias Sell Out QUEST"/>
    <s v="FQ032 - Santander de Quilichao - Cauca"/>
    <x v="2"/>
    <s v="octubre"/>
    <n v="7"/>
    <d v="2026-10-07T00:00:00"/>
    <n v="1006201948"/>
    <s v="CASTRILLON MEJIA ADERLEIN"/>
    <n v="76"/>
    <n v="0"/>
    <n v="4240300"/>
  </r>
  <r>
    <s v="Franquicias Sell Out QUEST"/>
    <s v="FQ104 - Piendamo - Cauca"/>
    <x v="2"/>
    <s v="septiembre"/>
    <n v="23"/>
    <d v="2026-09-23T00:00:00"/>
    <m/>
    <m/>
    <n v="0"/>
    <n v="1385990"/>
    <n v="0"/>
  </r>
  <r>
    <s v="Franquicias Sell Out QUEST"/>
    <s v="FQ104 - Piendamo - Cauca"/>
    <x v="2"/>
    <s v="septiembre"/>
    <n v="23"/>
    <d v="2026-09-23T00:00:00"/>
    <n v="48574228"/>
    <s v="VALENCIA  MARTHA CECILIA"/>
    <n v="12"/>
    <n v="0"/>
    <n v="982187"/>
  </r>
  <r>
    <s v="Franquicias Sell Out QUEST"/>
    <s v="FQ104 - Piendamo - Cauca"/>
    <x v="2"/>
    <s v="septiembre"/>
    <n v="23"/>
    <d v="2026-09-23T00:00:00"/>
    <n v="1061534892"/>
    <s v="FLOR VIVAS PAULA MARCELA"/>
    <n v="3"/>
    <n v="0"/>
    <n v="264496"/>
  </r>
  <r>
    <s v="Franquicias Sell Out QUEST"/>
    <s v="FQ104 - Piendamo - Cauca"/>
    <x v="2"/>
    <s v="septiembre"/>
    <n v="24"/>
    <d v="2026-09-24T00:00:00"/>
    <m/>
    <m/>
    <n v="0"/>
    <n v="3584439"/>
    <n v="0"/>
  </r>
  <r>
    <s v="Franquicias Sell Out QUEST"/>
    <s v="FQ104 - Piendamo - Cauca"/>
    <x v="2"/>
    <s v="septiembre"/>
    <n v="24"/>
    <d v="2026-09-24T00:00:00"/>
    <n v="48574228"/>
    <s v="VALENCIA  MARTHA CECILIA"/>
    <n v="39"/>
    <n v="0"/>
    <n v="2073991"/>
  </r>
  <r>
    <s v="Franquicias Sell Out QUEST"/>
    <s v="FQ104 - Piendamo - Cauca"/>
    <x v="2"/>
    <s v="septiembre"/>
    <n v="24"/>
    <d v="2026-09-24T00:00:00"/>
    <n v="1061534892"/>
    <s v="FLOR VIVAS PAULA MARCELA"/>
    <n v="27"/>
    <n v="0"/>
    <n v="1507272"/>
  </r>
  <r>
    <s v="Franquicias Sell Out QUEST"/>
    <s v="FQ104 - Piendamo - Cauca"/>
    <x v="2"/>
    <s v="septiembre"/>
    <n v="25"/>
    <d v="2026-09-25T00:00:00"/>
    <m/>
    <m/>
    <n v="0"/>
    <n v="3828376"/>
    <n v="0"/>
  </r>
  <r>
    <s v="Franquicias Sell Out QUEST"/>
    <s v="FQ104 - Piendamo - Cauca"/>
    <x v="2"/>
    <s v="septiembre"/>
    <n v="25"/>
    <d v="2026-09-25T00:00:00"/>
    <n v="48574228"/>
    <s v="VALENCIA  MARTHA CECILIA"/>
    <n v="32"/>
    <n v="0"/>
    <n v="1979748"/>
  </r>
  <r>
    <s v="Franquicias Sell Out QUEST"/>
    <s v="FQ104 - Piendamo - Cauca"/>
    <x v="2"/>
    <s v="septiembre"/>
    <n v="25"/>
    <d v="2026-09-25T00:00:00"/>
    <n v="1061534892"/>
    <s v="FLOR VIVAS PAULA MARCELA"/>
    <n v="11"/>
    <n v="0"/>
    <n v="667606"/>
  </r>
  <r>
    <s v="Franquicias Sell Out QUEST"/>
    <s v="FQ104 - Piendamo - Cauca"/>
    <x v="2"/>
    <s v="septiembre"/>
    <n v="26"/>
    <d v="2026-09-26T00:00:00"/>
    <m/>
    <m/>
    <n v="0"/>
    <n v="4827485"/>
    <n v="0"/>
  </r>
  <r>
    <s v="Franquicias Sell Out QUEST"/>
    <s v="FQ104 - Piendamo - Cauca"/>
    <x v="2"/>
    <s v="septiembre"/>
    <n v="26"/>
    <d v="2026-09-26T00:00:00"/>
    <n v="48574228"/>
    <s v="VALENCIA  MARTHA CECILIA"/>
    <n v="93"/>
    <n v="0"/>
    <n v="3683888"/>
  </r>
  <r>
    <s v="Franquicias Sell Out QUEST"/>
    <s v="FQ104 - Piendamo - Cauca"/>
    <x v="2"/>
    <s v="septiembre"/>
    <n v="26"/>
    <d v="2026-09-26T00:00:00"/>
    <n v="1061534892"/>
    <s v="FLOR VIVAS PAULA MARCELA"/>
    <n v="53"/>
    <n v="0"/>
    <n v="3006097"/>
  </r>
  <r>
    <s v="Franquicias Sell Out QUEST"/>
    <s v="FQ104 - Piendamo - Cauca"/>
    <x v="2"/>
    <s v="septiembre"/>
    <n v="27"/>
    <d v="2026-09-27T00:00:00"/>
    <m/>
    <m/>
    <n v="0"/>
    <n v="2548867"/>
    <n v="0"/>
  </r>
  <r>
    <s v="Franquicias Sell Out QUEST"/>
    <s v="FQ104 - Piendamo - Cauca"/>
    <x v="2"/>
    <s v="septiembre"/>
    <n v="27"/>
    <d v="2026-09-27T00:00:00"/>
    <n v="48574228"/>
    <s v="VALENCIA  MARTHA CECILIA"/>
    <n v="28"/>
    <n v="0"/>
    <n v="1839035"/>
  </r>
  <r>
    <s v="Franquicias Sell Out QUEST"/>
    <s v="FQ104 - Piendamo - Cauca"/>
    <x v="2"/>
    <s v="septiembre"/>
    <n v="27"/>
    <d v="2026-09-27T00:00:00"/>
    <n v="1061534892"/>
    <s v="FLOR VIVAS PAULA MARCELA"/>
    <n v="42"/>
    <n v="0"/>
    <n v="2241891"/>
  </r>
  <r>
    <s v="Franquicias Sell Out QUEST"/>
    <s v="FQ104 - Piendamo - Cauca"/>
    <x v="2"/>
    <s v="septiembre"/>
    <n v="28"/>
    <d v="2026-09-28T00:00:00"/>
    <m/>
    <m/>
    <n v="0"/>
    <n v="2089792"/>
    <n v="0"/>
  </r>
  <r>
    <s v="Franquicias Sell Out QUEST"/>
    <s v="FQ104 - Piendamo - Cauca"/>
    <x v="2"/>
    <s v="septiembre"/>
    <n v="28"/>
    <d v="2026-09-28T00:00:00"/>
    <n v="48574228"/>
    <s v="VALENCIA  MARTHA CECILIA"/>
    <n v="38"/>
    <n v="0"/>
    <n v="2092689"/>
  </r>
  <r>
    <s v="Franquicias Sell Out QUEST"/>
    <s v="FQ104 - Piendamo - Cauca"/>
    <x v="2"/>
    <s v="septiembre"/>
    <n v="28"/>
    <d v="2026-09-28T00:00:00"/>
    <n v="1061534892"/>
    <s v="FLOR VIVAS PAULA MARCELA"/>
    <n v="33"/>
    <n v="0"/>
    <n v="1735884"/>
  </r>
  <r>
    <s v="Franquicias Sell Out QUEST"/>
    <s v="FQ104 - Piendamo - Cauca"/>
    <x v="2"/>
    <s v="septiembre"/>
    <n v="29"/>
    <d v="2026-09-29T00:00:00"/>
    <m/>
    <m/>
    <n v="0"/>
    <n v="2323231"/>
    <n v="0"/>
  </r>
  <r>
    <s v="Franquicias Sell Out QUEST"/>
    <s v="FQ104 - Piendamo - Cauca"/>
    <x v="2"/>
    <s v="septiembre"/>
    <n v="29"/>
    <d v="2026-09-29T00:00:00"/>
    <n v="48574228"/>
    <s v="VALENCIA  MARTHA CECILIA"/>
    <n v="31"/>
    <n v="0"/>
    <n v="1801009"/>
  </r>
  <r>
    <s v="Franquicias Sell Out QUEST"/>
    <s v="FQ104 - Piendamo - Cauca"/>
    <x v="2"/>
    <s v="septiembre"/>
    <n v="29"/>
    <d v="2026-09-29T00:00:00"/>
    <n v="1061534892"/>
    <s v="FLOR VIVAS PAULA MARCELA"/>
    <n v="18"/>
    <n v="0"/>
    <n v="746641"/>
  </r>
  <r>
    <s v="Franquicias Sell Out QUEST"/>
    <s v="FQ104 - Piendamo - Cauca"/>
    <x v="2"/>
    <s v="septiembre"/>
    <n v="30"/>
    <d v="2026-09-30T00:00:00"/>
    <m/>
    <m/>
    <n v="0"/>
    <n v="2460377"/>
    <n v="0"/>
  </r>
  <r>
    <s v="Franquicias Sell Out QUEST"/>
    <s v="FQ104 - Piendamo - Cauca"/>
    <x v="2"/>
    <s v="septiembre"/>
    <n v="30"/>
    <d v="2026-09-30T00:00:00"/>
    <n v="48574228"/>
    <s v="VALENCIA  MARTHA CECILIA"/>
    <n v="36"/>
    <n v="0"/>
    <n v="2304957"/>
  </r>
  <r>
    <s v="Franquicias Sell Out QUEST"/>
    <s v="FQ104 - Piendamo - Cauca"/>
    <x v="2"/>
    <s v="septiembre"/>
    <n v="30"/>
    <d v="2026-09-30T00:00:00"/>
    <n v="1061534892"/>
    <s v="FLOR VIVAS PAULA MARCELA"/>
    <n v="37"/>
    <n v="0"/>
    <n v="1731052"/>
  </r>
  <r>
    <s v="Franquicias Sell Out QUEST"/>
    <s v="FQ104 - Piendamo - Cauca"/>
    <x v="2"/>
    <s v="octubre"/>
    <n v="1"/>
    <d v="2026-10-01T00:00:00"/>
    <m/>
    <m/>
    <n v="0"/>
    <n v="1883190"/>
    <n v="0"/>
  </r>
  <r>
    <s v="Franquicias Sell Out QUEST"/>
    <s v="FQ104 - Piendamo - Cauca"/>
    <x v="2"/>
    <s v="octubre"/>
    <n v="1"/>
    <d v="2026-10-01T00:00:00"/>
    <n v="48574228"/>
    <s v="VALENCIA  MARTHA CECILIA"/>
    <n v="32"/>
    <n v="0"/>
    <n v="1586682"/>
  </r>
  <r>
    <s v="Franquicias Sell Out QUEST"/>
    <s v="FQ104 - Piendamo - Cauca"/>
    <x v="2"/>
    <s v="octubre"/>
    <n v="1"/>
    <d v="2026-10-01T00:00:00"/>
    <n v="1061534892"/>
    <s v="FLOR VIVAS PAULA MARCELA"/>
    <n v="50"/>
    <n v="0"/>
    <n v="2629330"/>
  </r>
  <r>
    <s v="Franquicias Sell Out QUEST"/>
    <s v="FQ104 - Piendamo - Cauca"/>
    <x v="2"/>
    <s v="octubre"/>
    <n v="2"/>
    <d v="2026-10-02T00:00:00"/>
    <m/>
    <m/>
    <n v="0"/>
    <n v="2916494"/>
    <n v="0"/>
  </r>
  <r>
    <s v="Franquicias Sell Out QUEST"/>
    <s v="FQ104 - Piendamo - Cauca"/>
    <x v="2"/>
    <s v="octubre"/>
    <n v="2"/>
    <d v="2026-10-02T00:00:00"/>
    <n v="48574228"/>
    <s v="VALENCIA  MARTHA CECILIA"/>
    <n v="26"/>
    <n v="0"/>
    <n v="1318025"/>
  </r>
  <r>
    <s v="Franquicias Sell Out QUEST"/>
    <s v="FQ104 - Piendamo - Cauca"/>
    <x v="2"/>
    <s v="octubre"/>
    <n v="2"/>
    <d v="2026-10-02T00:00:00"/>
    <n v="1061534892"/>
    <s v="FLOR VIVAS PAULA MARCELA"/>
    <n v="30"/>
    <n v="0"/>
    <n v="1321599"/>
  </r>
  <r>
    <s v="Franquicias Sell Out QUEST"/>
    <s v="FQ104 - Piendamo - Cauca"/>
    <x v="2"/>
    <s v="octubre"/>
    <n v="3"/>
    <d v="2026-10-03T00:00:00"/>
    <m/>
    <m/>
    <n v="0"/>
    <n v="4849782"/>
    <n v="0"/>
  </r>
  <r>
    <s v="Franquicias Sell Out QUEST"/>
    <s v="FQ104 - Piendamo - Cauca"/>
    <x v="2"/>
    <s v="octubre"/>
    <n v="3"/>
    <d v="2026-10-03T00:00:00"/>
    <n v="48574228"/>
    <s v="VALENCIA  MARTHA CECILIA"/>
    <n v="64"/>
    <n v="0"/>
    <n v="3303365"/>
  </r>
  <r>
    <s v="Franquicias Sell Out QUEST"/>
    <s v="FQ104 - Piendamo - Cauca"/>
    <x v="2"/>
    <s v="octubre"/>
    <n v="3"/>
    <d v="2026-10-03T00:00:00"/>
    <n v="1061534892"/>
    <s v="FLOR VIVAS PAULA MARCELA"/>
    <n v="54"/>
    <n v="0"/>
    <n v="2773885"/>
  </r>
  <r>
    <s v="Franquicias Sell Out QUEST"/>
    <s v="FQ104 - Piendamo - Cauca"/>
    <x v="2"/>
    <s v="octubre"/>
    <n v="4"/>
    <d v="2026-10-04T00:00:00"/>
    <m/>
    <m/>
    <n v="0"/>
    <n v="2215665"/>
    <n v="0"/>
  </r>
  <r>
    <s v="Franquicias Sell Out QUEST"/>
    <s v="FQ104 - Piendamo - Cauca"/>
    <x v="2"/>
    <s v="octubre"/>
    <n v="4"/>
    <d v="2026-10-04T00:00:00"/>
    <n v="48574228"/>
    <s v="VALENCIA  MARTHA CECILIA"/>
    <n v="26"/>
    <n v="0"/>
    <n v="1244579"/>
  </r>
  <r>
    <s v="Franquicias Sell Out QUEST"/>
    <s v="FQ104 - Piendamo - Cauca"/>
    <x v="2"/>
    <s v="octubre"/>
    <n v="4"/>
    <d v="2026-10-04T00:00:00"/>
    <n v="1061534892"/>
    <s v="FLOR VIVAS PAULA MARCELA"/>
    <n v="7"/>
    <n v="0"/>
    <n v="417773"/>
  </r>
  <r>
    <s v="Franquicias Sell Out QUEST"/>
    <s v="FQ104 - Piendamo - Cauca"/>
    <x v="2"/>
    <s v="octubre"/>
    <n v="5"/>
    <d v="2026-10-05T00:00:00"/>
    <m/>
    <m/>
    <n v="0"/>
    <n v="3653704"/>
    <n v="0"/>
  </r>
  <r>
    <s v="Franquicias Sell Out QUEST"/>
    <s v="FQ104 - Piendamo - Cauca"/>
    <x v="2"/>
    <s v="octubre"/>
    <n v="5"/>
    <d v="2026-10-05T00:00:00"/>
    <n v="48574228"/>
    <s v="VALENCIA  MARTHA CECILIA"/>
    <n v="37"/>
    <n v="0"/>
    <n v="1994201"/>
  </r>
  <r>
    <s v="Franquicias Sell Out QUEST"/>
    <s v="FQ104 - Piendamo - Cauca"/>
    <x v="2"/>
    <s v="octubre"/>
    <n v="5"/>
    <d v="2026-10-05T00:00:00"/>
    <n v="1061534892"/>
    <s v="FLOR VIVAS PAULA MARCELA"/>
    <n v="36"/>
    <n v="0"/>
    <n v="1792229"/>
  </r>
  <r>
    <s v="Franquicias Sell Out QUEST"/>
    <s v="FQ104 - Piendamo - Cauca"/>
    <x v="2"/>
    <s v="octubre"/>
    <n v="6"/>
    <d v="2026-10-06T00:00:00"/>
    <m/>
    <m/>
    <n v="0"/>
    <n v="1953335"/>
    <n v="0"/>
  </r>
  <r>
    <s v="Franquicias Sell Out QUEST"/>
    <s v="FQ104 - Piendamo - Cauca"/>
    <x v="2"/>
    <s v="octubre"/>
    <n v="6"/>
    <d v="2026-10-06T00:00:00"/>
    <n v="48574228"/>
    <s v="VALENCIA  MARTHA CECILIA"/>
    <n v="9"/>
    <n v="0"/>
    <n v="541639"/>
  </r>
  <r>
    <s v="Franquicias Sell Out QUEST"/>
    <s v="FQ104 - Piendamo - Cauca"/>
    <x v="2"/>
    <s v="octubre"/>
    <n v="6"/>
    <d v="2026-10-06T00:00:00"/>
    <n v="1061534892"/>
    <s v="FLOR VIVAS PAULA MARCELA"/>
    <n v="18"/>
    <n v="0"/>
    <n v="940338"/>
  </r>
  <r>
    <s v="Franquicias Sell Out QUEST"/>
    <s v="FQ104 - Piendamo - Cauca"/>
    <x v="2"/>
    <s v="octubre"/>
    <n v="7"/>
    <d v="2026-10-07T00:00:00"/>
    <m/>
    <m/>
    <n v="0"/>
    <n v="1220736"/>
    <n v="0"/>
  </r>
  <r>
    <s v="Franquicias Sell Out QUEST"/>
    <s v="FQ104 - Piendamo - Cauca"/>
    <x v="2"/>
    <s v="octubre"/>
    <n v="7"/>
    <d v="2026-10-07T00:00:00"/>
    <n v="48574228"/>
    <s v="VALENCIA  MARTHA CECILIA"/>
    <n v="58"/>
    <n v="0"/>
    <n v="3157061"/>
  </r>
  <r>
    <s v="Franquicias Sell Out QUEST"/>
    <s v="FQ104 - Piendamo - Cauca"/>
    <x v="2"/>
    <s v="octubre"/>
    <n v="7"/>
    <d v="2026-10-07T00:00:00"/>
    <n v="1061534892"/>
    <s v="FLOR VIVAS PAULA MARCELA"/>
    <n v="31"/>
    <n v="0"/>
    <n v="1843238"/>
  </r>
  <r>
    <s v="Franquicias Sell Out QUEST"/>
    <s v="FQ94 - Puerto Tejada - Cauca"/>
    <x v="2"/>
    <s v="septiembre"/>
    <n v="23"/>
    <d v="2026-09-23T00:00:00"/>
    <m/>
    <m/>
    <n v="0"/>
    <n v="2359451"/>
    <n v="0"/>
  </r>
  <r>
    <s v="Franquicias Sell Out QUEST"/>
    <s v="FQ94 - Puerto Tejada - Cauca"/>
    <x v="2"/>
    <s v="septiembre"/>
    <n v="23"/>
    <d v="2026-09-23T00:00:00"/>
    <n v="10557333"/>
    <s v="TIRADO  JOSE EDISON"/>
    <n v="60"/>
    <n v="0"/>
    <n v="3946807"/>
  </r>
  <r>
    <s v="Franquicias Sell Out QUEST"/>
    <s v="FQ94 - Puerto Tejada - Cauca"/>
    <x v="2"/>
    <s v="septiembre"/>
    <n v="23"/>
    <d v="2026-09-23T00:00:00"/>
    <n v="1144064760"/>
    <s v="POLO  MARIA DEL PILAR"/>
    <n v="2"/>
    <n v="0"/>
    <n v="88151"/>
  </r>
  <r>
    <s v="Franquicias Sell Out QUEST"/>
    <s v="FQ94 - Puerto Tejada - Cauca"/>
    <x v="2"/>
    <s v="septiembre"/>
    <n v="24"/>
    <d v="2026-09-24T00:00:00"/>
    <m/>
    <m/>
    <n v="0"/>
    <n v="6101990"/>
    <n v="0"/>
  </r>
  <r>
    <s v="Franquicias Sell Out QUEST"/>
    <s v="FQ94 - Puerto Tejada - Cauca"/>
    <x v="2"/>
    <s v="septiembre"/>
    <n v="24"/>
    <d v="2026-09-24T00:00:00"/>
    <n v="10557333"/>
    <s v="TIRADO  JOSE EDISON"/>
    <n v="81"/>
    <n v="0"/>
    <n v="4095340"/>
  </r>
  <r>
    <s v="Franquicias Sell Out QUEST"/>
    <s v="FQ94 - Puerto Tejada - Cauca"/>
    <x v="2"/>
    <s v="septiembre"/>
    <n v="24"/>
    <d v="2026-09-24T00:00:00"/>
    <n v="1144064760"/>
    <s v="POLO  MARIA DEL PILAR"/>
    <n v="3"/>
    <n v="0"/>
    <n v="121723"/>
  </r>
  <r>
    <s v="Franquicias Sell Out QUEST"/>
    <s v="FQ94 - Puerto Tejada - Cauca"/>
    <x v="2"/>
    <s v="septiembre"/>
    <n v="25"/>
    <d v="2026-09-25T00:00:00"/>
    <m/>
    <m/>
    <n v="0"/>
    <n v="6517261"/>
    <n v="0"/>
  </r>
  <r>
    <s v="Franquicias Sell Out QUEST"/>
    <s v="FQ94 - Puerto Tejada - Cauca"/>
    <x v="2"/>
    <s v="septiembre"/>
    <n v="25"/>
    <d v="2026-09-25T00:00:00"/>
    <n v="10557333"/>
    <s v="TIRADO  JOSE EDISON"/>
    <n v="69"/>
    <n v="0"/>
    <n v="4018111"/>
  </r>
  <r>
    <s v="Franquicias Sell Out QUEST"/>
    <s v="FQ94 - Puerto Tejada - Cauca"/>
    <x v="2"/>
    <s v="septiembre"/>
    <n v="25"/>
    <d v="2026-09-25T00:00:00"/>
    <n v="1144064760"/>
    <s v="POLO  MARIA DEL PILAR"/>
    <n v="-1"/>
    <n v="0"/>
    <n v="-50370"/>
  </r>
  <r>
    <s v="Franquicias Sell Out QUEST"/>
    <s v="FQ94 - Puerto Tejada - Cauca"/>
    <x v="2"/>
    <s v="septiembre"/>
    <n v="25"/>
    <d v="2026-09-25T00:00:00"/>
    <n v="10622043760"/>
    <s v="VASQUEZ VIAFARA DARCY"/>
    <n v="3"/>
    <n v="0"/>
    <n v="222563"/>
  </r>
  <r>
    <s v="Franquicias Sell Out QUEST"/>
    <s v="FQ94 - Puerto Tejada - Cauca"/>
    <x v="2"/>
    <s v="septiembre"/>
    <n v="26"/>
    <d v="2026-09-26T00:00:00"/>
    <m/>
    <m/>
    <n v="0"/>
    <n v="8218098"/>
    <n v="0"/>
  </r>
  <r>
    <s v="Franquicias Sell Out QUEST"/>
    <s v="FQ94 - Puerto Tejada - Cauca"/>
    <x v="2"/>
    <s v="septiembre"/>
    <n v="26"/>
    <d v="2026-09-26T00:00:00"/>
    <n v="10557333"/>
    <s v="TIRADO  JOSE EDISON"/>
    <n v="763"/>
    <n v="0"/>
    <n v="19869993"/>
  </r>
  <r>
    <s v="Franquicias Sell Out QUEST"/>
    <s v="FQ94 - Puerto Tejada - Cauca"/>
    <x v="2"/>
    <s v="septiembre"/>
    <n v="26"/>
    <d v="2026-09-26T00:00:00"/>
    <n v="1144064760"/>
    <s v="POLO  MARIA DEL PILAR"/>
    <n v="7"/>
    <n v="0"/>
    <n v="292921"/>
  </r>
  <r>
    <s v="Franquicias Sell Out QUEST"/>
    <s v="FQ94 - Puerto Tejada - Cauca"/>
    <x v="2"/>
    <s v="septiembre"/>
    <n v="27"/>
    <d v="2026-09-27T00:00:00"/>
    <m/>
    <m/>
    <n v="0"/>
    <n v="4339078"/>
    <n v="0"/>
  </r>
  <r>
    <s v="Franquicias Sell Out QUEST"/>
    <s v="FQ94 - Puerto Tejada - Cauca"/>
    <x v="2"/>
    <s v="septiembre"/>
    <n v="27"/>
    <d v="2026-09-27T00:00:00"/>
    <n v="10557333"/>
    <s v="TIRADO  JOSE EDISON"/>
    <n v="719"/>
    <n v="0"/>
    <n v="19779021"/>
  </r>
  <r>
    <s v="Franquicias Sell Out QUEST"/>
    <s v="FQ94 - Puerto Tejada - Cauca"/>
    <x v="2"/>
    <s v="septiembre"/>
    <n v="28"/>
    <d v="2026-09-28T00:00:00"/>
    <m/>
    <m/>
    <n v="0"/>
    <n v="3557573"/>
    <n v="0"/>
  </r>
  <r>
    <s v="Franquicias Sell Out QUEST"/>
    <s v="FQ94 - Puerto Tejada - Cauca"/>
    <x v="2"/>
    <s v="septiembre"/>
    <n v="28"/>
    <d v="2026-09-28T00:00:00"/>
    <n v="10557333"/>
    <s v="TIRADO  JOSE EDISON"/>
    <n v="124"/>
    <n v="0"/>
    <n v="6693491"/>
  </r>
  <r>
    <s v="Franquicias Sell Out QUEST"/>
    <s v="FQ94 - Puerto Tejada - Cauca"/>
    <x v="2"/>
    <s v="septiembre"/>
    <n v="28"/>
    <d v="2026-09-28T00:00:00"/>
    <n v="10622043760"/>
    <s v="VASQUEZ VIAFARA DARCY"/>
    <n v="7"/>
    <n v="0"/>
    <n v="352647"/>
  </r>
  <r>
    <s v="Franquicias Sell Out QUEST"/>
    <s v="FQ94 - Puerto Tejada - Cauca"/>
    <x v="2"/>
    <s v="septiembre"/>
    <n v="29"/>
    <d v="2026-09-29T00:00:00"/>
    <m/>
    <m/>
    <n v="0"/>
    <n v="3954967"/>
    <n v="0"/>
  </r>
  <r>
    <s v="Franquicias Sell Out QUEST"/>
    <s v="FQ94 - Puerto Tejada - Cauca"/>
    <x v="2"/>
    <s v="septiembre"/>
    <n v="29"/>
    <d v="2026-09-29T00:00:00"/>
    <n v="10557333"/>
    <s v="TIRADO  JOSE EDISON"/>
    <n v="58"/>
    <n v="0"/>
    <n v="2904710"/>
  </r>
  <r>
    <s v="Franquicias Sell Out QUEST"/>
    <s v="FQ94 - Puerto Tejada - Cauca"/>
    <x v="2"/>
    <s v="septiembre"/>
    <n v="30"/>
    <d v="2026-09-30T00:00:00"/>
    <m/>
    <m/>
    <n v="0"/>
    <n v="4188436"/>
    <n v="0"/>
  </r>
  <r>
    <s v="Franquicias Sell Out QUEST"/>
    <s v="FQ94 - Puerto Tejada - Cauca"/>
    <x v="2"/>
    <s v="septiembre"/>
    <n v="30"/>
    <d v="2026-09-30T00:00:00"/>
    <n v="10557333"/>
    <s v="TIRADO  JOSE EDISON"/>
    <n v="83"/>
    <n v="0"/>
    <n v="3810378"/>
  </r>
  <r>
    <s v="Franquicias Sell Out QUEST"/>
    <s v="FQ94 - Puerto Tejada - Cauca"/>
    <x v="2"/>
    <s v="octubre"/>
    <n v="1"/>
    <d v="2026-10-01T00:00:00"/>
    <m/>
    <m/>
    <n v="0"/>
    <n v="6941228"/>
    <n v="0"/>
  </r>
  <r>
    <s v="Franquicias Sell Out QUEST"/>
    <s v="FQ94 - Puerto Tejada - Cauca"/>
    <x v="2"/>
    <s v="octubre"/>
    <n v="1"/>
    <d v="2026-10-01T00:00:00"/>
    <n v="10557333"/>
    <s v="TIRADO  JOSE EDISON"/>
    <n v="94"/>
    <n v="0"/>
    <n v="5457316"/>
  </r>
  <r>
    <s v="Franquicias Sell Out QUEST"/>
    <s v="FQ94 - Puerto Tejada - Cauca"/>
    <x v="2"/>
    <s v="octubre"/>
    <n v="1"/>
    <d v="2026-10-01T00:00:00"/>
    <n v="1144064760"/>
    <s v="POLO  MARIA DEL PILAR"/>
    <n v="3"/>
    <n v="0"/>
    <n v="205715"/>
  </r>
  <r>
    <s v="Franquicias Sell Out QUEST"/>
    <s v="FQ94 - Puerto Tejada - Cauca"/>
    <x v="2"/>
    <s v="octubre"/>
    <n v="2"/>
    <d v="2026-10-02T00:00:00"/>
    <m/>
    <m/>
    <n v="0"/>
    <n v="5287490"/>
    <n v="0"/>
  </r>
  <r>
    <s v="Franquicias Sell Out QUEST"/>
    <s v="FQ94 - Puerto Tejada - Cauca"/>
    <x v="2"/>
    <s v="octubre"/>
    <n v="2"/>
    <d v="2026-10-02T00:00:00"/>
    <n v="10557333"/>
    <s v="TIRADO  JOSE EDISON"/>
    <n v="61"/>
    <n v="0"/>
    <n v="2918532"/>
  </r>
  <r>
    <s v="Franquicias Sell Out QUEST"/>
    <s v="FQ94 - Puerto Tejada - Cauca"/>
    <x v="2"/>
    <s v="octubre"/>
    <n v="3"/>
    <d v="2026-10-03T00:00:00"/>
    <m/>
    <m/>
    <n v="0"/>
    <n v="8798684"/>
    <n v="0"/>
  </r>
  <r>
    <s v="Franquicias Sell Out QUEST"/>
    <s v="FQ94 - Puerto Tejada - Cauca"/>
    <x v="2"/>
    <s v="octubre"/>
    <n v="3"/>
    <d v="2026-10-03T00:00:00"/>
    <n v="10557333"/>
    <s v="TIRADO  JOSE EDISON"/>
    <n v="216"/>
    <n v="0"/>
    <n v="10662727"/>
  </r>
  <r>
    <s v="Franquicias Sell Out QUEST"/>
    <s v="FQ94 - Puerto Tejada - Cauca"/>
    <x v="2"/>
    <s v="octubre"/>
    <n v="3"/>
    <d v="2026-10-03T00:00:00"/>
    <n v="1144064760"/>
    <s v="POLO  MARIA DEL PILAR"/>
    <n v="2"/>
    <n v="0"/>
    <n v="78076"/>
  </r>
  <r>
    <s v="Franquicias Sell Out QUEST"/>
    <s v="FQ94 - Puerto Tejada - Cauca"/>
    <x v="2"/>
    <s v="octubre"/>
    <n v="4"/>
    <d v="2026-10-04T00:00:00"/>
    <m/>
    <m/>
    <n v="0"/>
    <n v="6016849"/>
    <n v="0"/>
  </r>
  <r>
    <s v="Franquicias Sell Out QUEST"/>
    <s v="FQ94 - Puerto Tejada - Cauca"/>
    <x v="2"/>
    <s v="octubre"/>
    <n v="4"/>
    <d v="2026-10-04T00:00:00"/>
    <n v="10557333"/>
    <s v="TIRADO  JOSE EDISON"/>
    <n v="112"/>
    <n v="0"/>
    <n v="4924713"/>
  </r>
  <r>
    <s v="Franquicias Sell Out QUEST"/>
    <s v="FQ94 - Puerto Tejada - Cauca"/>
    <x v="2"/>
    <s v="octubre"/>
    <n v="4"/>
    <d v="2026-10-04T00:00:00"/>
    <n v="1144064760"/>
    <s v="POLO  MARIA DEL PILAR"/>
    <n v="2"/>
    <n v="0"/>
    <n v="88109"/>
  </r>
  <r>
    <s v="Franquicias Sell Out QUEST"/>
    <s v="FQ94 - Puerto Tejada - Cauca"/>
    <x v="2"/>
    <s v="octubre"/>
    <n v="5"/>
    <d v="2026-10-05T00:00:00"/>
    <m/>
    <m/>
    <n v="0"/>
    <n v="7106999"/>
    <n v="0"/>
  </r>
  <r>
    <s v="Franquicias Sell Out QUEST"/>
    <s v="FQ94 - Puerto Tejada - Cauca"/>
    <x v="2"/>
    <s v="octubre"/>
    <n v="5"/>
    <d v="2026-10-05T00:00:00"/>
    <n v="10557333"/>
    <s v="TIRADO  JOSE EDISON"/>
    <n v="97"/>
    <n v="0"/>
    <n v="4616474"/>
  </r>
  <r>
    <s v="Franquicias Sell Out QUEST"/>
    <s v="FQ94 - Puerto Tejada - Cauca"/>
    <x v="2"/>
    <s v="octubre"/>
    <n v="6"/>
    <d v="2026-10-06T00:00:00"/>
    <m/>
    <m/>
    <n v="0"/>
    <n v="3693073"/>
    <n v="0"/>
  </r>
  <r>
    <s v="Franquicias Sell Out QUEST"/>
    <s v="FQ94 - Puerto Tejada - Cauca"/>
    <x v="2"/>
    <s v="octubre"/>
    <n v="6"/>
    <d v="2026-10-06T00:00:00"/>
    <n v="10557333"/>
    <s v="TIRADO  JOSE EDISON"/>
    <n v="19"/>
    <n v="0"/>
    <n v="1045085"/>
  </r>
  <r>
    <s v="Franquicias Sell Out QUEST"/>
    <s v="FQ94 - Puerto Tejada - Cauca"/>
    <x v="2"/>
    <s v="octubre"/>
    <n v="6"/>
    <d v="2026-10-06T00:00:00"/>
    <n v="1144064760"/>
    <s v="POLO  MARIA DEL PILAR"/>
    <n v="19"/>
    <n v="0"/>
    <n v="910800"/>
  </r>
  <r>
    <s v="Franquicias Sell Out QUEST"/>
    <s v="FQ94 - Puerto Tejada - Cauca"/>
    <x v="2"/>
    <s v="octubre"/>
    <n v="7"/>
    <d v="2026-10-07T00:00:00"/>
    <m/>
    <m/>
    <n v="0"/>
    <n v="2495628"/>
    <n v="0"/>
  </r>
  <r>
    <s v="Franquicias Sell Out QUEST"/>
    <s v="FQ94 - Puerto Tejada - Cauca"/>
    <x v="2"/>
    <s v="octubre"/>
    <n v="7"/>
    <d v="2026-10-07T00:00:00"/>
    <n v="10557333"/>
    <s v="TIRADO  JOSE EDISON"/>
    <n v="66"/>
    <n v="0"/>
    <n v="3158111"/>
  </r>
  <r>
    <s v="Retail"/>
    <s v="Q016 - Cali - Cc Palmetto"/>
    <x v="2"/>
    <s v="septiembre"/>
    <n v="23"/>
    <d v="2026-09-23T00:00:00"/>
    <m/>
    <m/>
    <n v="0"/>
    <n v="12615108"/>
    <n v="0"/>
  </r>
  <r>
    <s v="Retail"/>
    <s v="Q016 - Cali - Cc Palmetto"/>
    <x v="2"/>
    <s v="septiembre"/>
    <n v="23"/>
    <d v="2026-09-23T00:00:00"/>
    <n v="1038822751"/>
    <s v="HOYOS  LEON WENDY VANESSA "/>
    <n v="27"/>
    <n v="0"/>
    <n v="1658489"/>
  </r>
  <r>
    <s v="Retail"/>
    <s v="Q016 - Cali - Cc Palmetto"/>
    <x v="2"/>
    <s v="septiembre"/>
    <n v="23"/>
    <d v="2026-09-23T00:00:00"/>
    <n v="1109667614"/>
    <s v="GALLEGO  CAMPO SEBASTIAN "/>
    <n v="48"/>
    <n v="0"/>
    <n v="2791935"/>
  </r>
  <r>
    <s v="Retail"/>
    <s v="Q016 - Cali - Cc Palmetto"/>
    <x v="2"/>
    <s v="septiembre"/>
    <n v="23"/>
    <d v="2026-09-23T00:00:00"/>
    <n v="1144158340"/>
    <s v="OCAMPO  JUAN"/>
    <n v="53"/>
    <n v="0"/>
    <n v="2987102"/>
  </r>
  <r>
    <s v="Retail"/>
    <s v="Q016 - Cali - Cc Palmetto"/>
    <x v="2"/>
    <s v="septiembre"/>
    <n v="24"/>
    <d v="2026-09-24T00:00:00"/>
    <m/>
    <m/>
    <n v="0"/>
    <n v="11121316"/>
    <n v="0"/>
  </r>
  <r>
    <s v="Retail"/>
    <s v="Q016 - Cali - Cc Palmetto"/>
    <x v="2"/>
    <s v="septiembre"/>
    <n v="24"/>
    <d v="2026-09-24T00:00:00"/>
    <n v="1038822751"/>
    <s v="HOYOS  LEON WENDY VANESSA "/>
    <n v="73"/>
    <n v="0"/>
    <n v="4129124"/>
  </r>
  <r>
    <s v="Retail"/>
    <s v="Q016 - Cali - Cc Palmetto"/>
    <x v="2"/>
    <s v="septiembre"/>
    <n v="24"/>
    <d v="2026-09-24T00:00:00"/>
    <n v="1109667614"/>
    <s v="GALLEGO  CAMPO SEBASTIAN "/>
    <n v="78"/>
    <n v="0"/>
    <n v="4551222"/>
  </r>
  <r>
    <s v="Retail"/>
    <s v="Q016 - Cali - Cc Palmetto"/>
    <x v="2"/>
    <s v="septiembre"/>
    <n v="24"/>
    <d v="2026-09-24T00:00:00"/>
    <n v="1144158340"/>
    <s v="OCAMPO  JUAN"/>
    <n v="50"/>
    <n v="0"/>
    <n v="2440970"/>
  </r>
  <r>
    <s v="Retail"/>
    <s v="Q016 - Cali - Cc Palmetto"/>
    <x v="2"/>
    <s v="septiembre"/>
    <n v="25"/>
    <d v="2026-09-25T00:00:00"/>
    <m/>
    <m/>
    <n v="0"/>
    <n v="10162068"/>
    <n v="0"/>
  </r>
  <r>
    <s v="Retail"/>
    <s v="Q016 - Cali - Cc Palmetto"/>
    <x v="2"/>
    <s v="septiembre"/>
    <n v="25"/>
    <d v="2026-09-25T00:00:00"/>
    <n v="1038822751"/>
    <s v="HOYOS  LEON WENDY VANESSA "/>
    <n v="25"/>
    <n v="0"/>
    <n v="1532480"/>
  </r>
  <r>
    <s v="Retail"/>
    <s v="Q016 - Cali - Cc Palmetto"/>
    <x v="2"/>
    <s v="septiembre"/>
    <n v="25"/>
    <d v="2026-09-25T00:00:00"/>
    <n v="1087805009"/>
    <s v="PERDOMO GAVIRIA MAURICIO STIVEN"/>
    <n v="20"/>
    <n v="0"/>
    <n v="969538"/>
  </r>
  <r>
    <s v="Retail"/>
    <s v="Q016 - Cali - Cc Palmetto"/>
    <x v="2"/>
    <s v="septiembre"/>
    <n v="25"/>
    <d v="2026-09-25T00:00:00"/>
    <n v="1109667614"/>
    <s v="GALLEGO  CAMPO SEBASTIAN "/>
    <n v="95"/>
    <n v="0"/>
    <n v="5287862"/>
  </r>
  <r>
    <s v="Retail"/>
    <s v="Q016 - Cali - Cc Palmetto"/>
    <x v="2"/>
    <s v="septiembre"/>
    <n v="25"/>
    <d v="2026-09-25T00:00:00"/>
    <n v="1111480910"/>
    <s v="COLONIA ORTIZ CRISTOBAL"/>
    <n v="2"/>
    <n v="0"/>
    <n v="109160"/>
  </r>
  <r>
    <s v="Retail"/>
    <s v="Q016 - Cali - Cc Palmetto"/>
    <x v="2"/>
    <s v="septiembre"/>
    <n v="25"/>
    <d v="2026-09-25T00:00:00"/>
    <n v="1144158340"/>
    <s v="OCAMPO  JUAN"/>
    <n v="39"/>
    <n v="0"/>
    <n v="2263028"/>
  </r>
  <r>
    <s v="Retail"/>
    <s v="Q016 - Cali - Cc Palmetto"/>
    <x v="2"/>
    <s v="septiembre"/>
    <n v="26"/>
    <d v="2026-09-26T00:00:00"/>
    <m/>
    <m/>
    <n v="0"/>
    <n v="25867834"/>
    <n v="0"/>
  </r>
  <r>
    <s v="Retail"/>
    <s v="Q016 - Cali - Cc Palmetto"/>
    <x v="2"/>
    <s v="septiembre"/>
    <n v="26"/>
    <d v="2026-09-26T00:00:00"/>
    <n v="1038822751"/>
    <s v="HOYOS  LEON WENDY VANESSA "/>
    <n v="134"/>
    <n v="0"/>
    <n v="8023410"/>
  </r>
  <r>
    <s v="Retail"/>
    <s v="Q016 - Cali - Cc Palmetto"/>
    <x v="2"/>
    <s v="septiembre"/>
    <n v="26"/>
    <d v="2026-09-26T00:00:00"/>
    <n v="1087805009"/>
    <s v="PERDOMO GAVIRIA MAURICIO STIVEN"/>
    <n v="60"/>
    <n v="0"/>
    <n v="3222061"/>
  </r>
  <r>
    <s v="Retail"/>
    <s v="Q016 - Cali - Cc Palmetto"/>
    <x v="2"/>
    <s v="septiembre"/>
    <n v="26"/>
    <d v="2026-09-26T00:00:00"/>
    <n v="1107091497"/>
    <s v="SANCHEZ FIGUEROA RUDY KELLY"/>
    <n v="1"/>
    <n v="0"/>
    <n v="29370"/>
  </r>
  <r>
    <s v="Retail"/>
    <s v="Q016 - Cali - Cc Palmetto"/>
    <x v="2"/>
    <s v="septiembre"/>
    <n v="26"/>
    <d v="2026-09-26T00:00:00"/>
    <n v="1109667614"/>
    <s v="GALLEGO  CAMPO SEBASTIAN "/>
    <n v="118"/>
    <n v="0"/>
    <n v="6805297"/>
  </r>
  <r>
    <s v="Retail"/>
    <s v="Q016 - Cali - Cc Palmetto"/>
    <x v="2"/>
    <s v="septiembre"/>
    <n v="26"/>
    <d v="2026-09-26T00:00:00"/>
    <n v="1111480910"/>
    <s v="COLONIA ORTIZ CRISTOBAL"/>
    <n v="1"/>
    <n v="0"/>
    <n v="31471"/>
  </r>
  <r>
    <s v="Retail"/>
    <s v="Q016 - Cali - Cc Palmetto"/>
    <x v="2"/>
    <s v="septiembre"/>
    <n v="26"/>
    <d v="2026-09-26T00:00:00"/>
    <n v="1144158340"/>
    <s v="OCAMPO  JUAN"/>
    <n v="137"/>
    <n v="0"/>
    <n v="7831815"/>
  </r>
  <r>
    <s v="Retail"/>
    <s v="Q016 - Cali - Cc Palmetto"/>
    <x v="2"/>
    <s v="septiembre"/>
    <n v="26"/>
    <d v="2026-09-26T00:00:00"/>
    <n v="1193259913"/>
    <s v="PADILLA DOSMAN  ANGEL MARIO"/>
    <n v="-1"/>
    <n v="0"/>
    <n v="-75588"/>
  </r>
  <r>
    <s v="Retail"/>
    <s v="Q016 - Cali - Cc Palmetto"/>
    <x v="2"/>
    <s v="septiembre"/>
    <n v="27"/>
    <d v="2026-09-27T00:00:00"/>
    <m/>
    <m/>
    <n v="0"/>
    <n v="18804978"/>
    <n v="0"/>
  </r>
  <r>
    <s v="Retail"/>
    <s v="Q016 - Cali - Cc Palmetto"/>
    <x v="2"/>
    <s v="septiembre"/>
    <n v="27"/>
    <d v="2026-09-27T00:00:00"/>
    <n v="1038822751"/>
    <s v="HOYOS  LEON WENDY VANESSA "/>
    <n v="110"/>
    <n v="0"/>
    <n v="6282736"/>
  </r>
  <r>
    <s v="Retail"/>
    <s v="Q016 - Cali - Cc Palmetto"/>
    <x v="2"/>
    <s v="septiembre"/>
    <n v="27"/>
    <d v="2026-09-27T00:00:00"/>
    <n v="1087805009"/>
    <s v="PERDOMO GAVIRIA MAURICIO STIVEN"/>
    <n v="18"/>
    <n v="0"/>
    <n v="1335381"/>
  </r>
  <r>
    <s v="Retail"/>
    <s v="Q016 - Cali - Cc Palmetto"/>
    <x v="2"/>
    <s v="septiembre"/>
    <n v="27"/>
    <d v="2026-09-27T00:00:00"/>
    <n v="1109667614"/>
    <s v="GALLEGO  CAMPO SEBASTIAN "/>
    <n v="107"/>
    <n v="0"/>
    <n v="6373369"/>
  </r>
  <r>
    <s v="Retail"/>
    <s v="Q016 - Cali - Cc Palmetto"/>
    <x v="2"/>
    <s v="septiembre"/>
    <n v="27"/>
    <d v="2026-09-27T00:00:00"/>
    <n v="1111480910"/>
    <s v="COLONIA ORTIZ CRISTOBAL"/>
    <n v="1"/>
    <n v="0"/>
    <n v="83992"/>
  </r>
  <r>
    <s v="Retail"/>
    <s v="Q016 - Cali - Cc Palmetto"/>
    <x v="2"/>
    <s v="septiembre"/>
    <n v="27"/>
    <d v="2026-09-27T00:00:00"/>
    <n v="1144158340"/>
    <s v="OCAMPO  JUAN"/>
    <n v="79"/>
    <n v="0"/>
    <n v="4729500"/>
  </r>
  <r>
    <s v="Retail"/>
    <s v="Q016 - Cali - Cc Palmetto"/>
    <x v="2"/>
    <s v="septiembre"/>
    <n v="28"/>
    <d v="2026-09-28T00:00:00"/>
    <m/>
    <m/>
    <n v="0"/>
    <n v="10566981"/>
    <n v="0"/>
  </r>
  <r>
    <s v="Retail"/>
    <s v="Q016 - Cali - Cc Palmetto"/>
    <x v="2"/>
    <s v="septiembre"/>
    <n v="28"/>
    <d v="2026-09-28T00:00:00"/>
    <n v="1038822751"/>
    <s v="HOYOS  LEON WENDY VANESSA "/>
    <n v="68"/>
    <n v="0"/>
    <n v="3665170"/>
  </r>
  <r>
    <s v="Retail"/>
    <s v="Q016 - Cali - Cc Palmetto"/>
    <x v="2"/>
    <s v="septiembre"/>
    <n v="28"/>
    <d v="2026-09-28T00:00:00"/>
    <n v="1087805009"/>
    <s v="PERDOMO GAVIRIA MAURICIO STIVEN"/>
    <n v="2"/>
    <n v="0"/>
    <n v="92353"/>
  </r>
  <r>
    <s v="Retail"/>
    <s v="Q016 - Cali - Cc Palmetto"/>
    <x v="2"/>
    <s v="septiembre"/>
    <n v="28"/>
    <d v="2026-09-28T00:00:00"/>
    <n v="1109667614"/>
    <s v="GALLEGO  CAMPO SEBASTIAN "/>
    <n v="68"/>
    <n v="0"/>
    <n v="3696643"/>
  </r>
  <r>
    <s v="Retail"/>
    <s v="Q016 - Cali - Cc Palmetto"/>
    <x v="2"/>
    <s v="septiembre"/>
    <n v="28"/>
    <d v="2026-09-28T00:00:00"/>
    <n v="1113689444"/>
    <s v="GONZALEZ QUIÑONES JUAN CAMILO"/>
    <n v="-1"/>
    <n v="0"/>
    <n v="-71386"/>
  </r>
  <r>
    <s v="Retail"/>
    <s v="Q016 - Cali - Cc Palmetto"/>
    <x v="2"/>
    <s v="septiembre"/>
    <n v="28"/>
    <d v="2026-09-28T00:00:00"/>
    <n v="1144085357"/>
    <s v="ZAPATA GIRALDO JUAN CAMILO"/>
    <n v="-1"/>
    <n v="0"/>
    <n v="-46177"/>
  </r>
  <r>
    <s v="Retail"/>
    <s v="Q016 - Cali - Cc Palmetto"/>
    <x v="2"/>
    <s v="septiembre"/>
    <n v="28"/>
    <d v="2026-09-28T00:00:00"/>
    <n v="1144158340"/>
    <s v="OCAMPO  JUAN"/>
    <n v="62"/>
    <n v="0"/>
    <n v="3230379"/>
  </r>
  <r>
    <s v="Retail"/>
    <s v="Q016 - Cali - Cc Palmetto"/>
    <x v="2"/>
    <s v="septiembre"/>
    <n v="29"/>
    <d v="2026-09-29T00:00:00"/>
    <m/>
    <m/>
    <n v="0"/>
    <n v="9057488"/>
    <n v="0"/>
  </r>
  <r>
    <s v="Retail"/>
    <s v="Q016 - Cali - Cc Palmetto"/>
    <x v="2"/>
    <s v="septiembre"/>
    <n v="29"/>
    <d v="2026-09-29T00:00:00"/>
    <n v="1038822751"/>
    <s v="HOYOS  LEON WENDY VANESSA "/>
    <n v="58"/>
    <n v="0"/>
    <n v="3617273"/>
  </r>
  <r>
    <s v="Retail"/>
    <s v="Q016 - Cali - Cc Palmetto"/>
    <x v="2"/>
    <s v="septiembre"/>
    <n v="29"/>
    <d v="2026-09-29T00:00:00"/>
    <n v="1109667614"/>
    <s v="GALLEGO  CAMPO SEBASTIAN "/>
    <n v="48"/>
    <n v="0"/>
    <n v="2436849"/>
  </r>
  <r>
    <s v="Retail"/>
    <s v="Q016 - Cali - Cc Palmetto"/>
    <x v="2"/>
    <s v="septiembre"/>
    <n v="29"/>
    <d v="2026-09-29T00:00:00"/>
    <n v="1111480910"/>
    <s v="COLONIA ORTIZ CRISTOBAL"/>
    <n v="2"/>
    <n v="0"/>
    <n v="117563"/>
  </r>
  <r>
    <s v="Retail"/>
    <s v="Q016 - Cali - Cc Palmetto"/>
    <x v="2"/>
    <s v="septiembre"/>
    <n v="29"/>
    <d v="2026-09-29T00:00:00"/>
    <n v="1144158340"/>
    <s v="OCAMPO  JUAN"/>
    <n v="57"/>
    <n v="0"/>
    <n v="2885803"/>
  </r>
  <r>
    <s v="Retail"/>
    <s v="Q016 - Cali - Cc Palmetto"/>
    <x v="2"/>
    <s v="septiembre"/>
    <n v="30"/>
    <d v="2026-09-30T00:00:00"/>
    <m/>
    <m/>
    <n v="0"/>
    <n v="13137361"/>
    <n v="0"/>
  </r>
  <r>
    <s v="Retail"/>
    <s v="Q016 - Cali - Cc Palmetto"/>
    <x v="2"/>
    <s v="septiembre"/>
    <n v="30"/>
    <d v="2026-09-30T00:00:00"/>
    <n v="1038822751"/>
    <s v="HOYOS  LEON WENDY VANESSA "/>
    <n v="95"/>
    <n v="0"/>
    <n v="5573492"/>
  </r>
  <r>
    <s v="Retail"/>
    <s v="Q016 - Cali - Cc Palmetto"/>
    <x v="2"/>
    <s v="septiembre"/>
    <n v="30"/>
    <d v="2026-09-30T00:00:00"/>
    <n v="1087805009"/>
    <s v="PERDOMO GAVIRIA MAURICIO STIVEN"/>
    <n v="1"/>
    <n v="0"/>
    <n v="54580"/>
  </r>
  <r>
    <s v="Retail"/>
    <s v="Q016 - Cali - Cc Palmetto"/>
    <x v="2"/>
    <s v="septiembre"/>
    <n v="30"/>
    <d v="2026-09-30T00:00:00"/>
    <n v="1109667614"/>
    <s v="GALLEGO  CAMPO SEBASTIAN "/>
    <n v="81"/>
    <n v="0"/>
    <n v="4906139"/>
  </r>
  <r>
    <s v="Retail"/>
    <s v="Q016 - Cali - Cc Palmetto"/>
    <x v="2"/>
    <s v="septiembre"/>
    <n v="30"/>
    <d v="2026-09-30T00:00:00"/>
    <n v="1144158340"/>
    <s v="OCAMPO  JUAN"/>
    <n v="42"/>
    <n v="0"/>
    <n v="2603152"/>
  </r>
  <r>
    <s v="Retail"/>
    <s v="Q016 - Cali - Cc Palmetto"/>
    <x v="2"/>
    <s v="octubre"/>
    <n v="1"/>
    <d v="2026-10-01T00:00:00"/>
    <m/>
    <m/>
    <n v="0"/>
    <n v="14360658"/>
    <n v="0"/>
  </r>
  <r>
    <s v="Retail"/>
    <s v="Q016 - Cali - Cc Palmetto"/>
    <x v="2"/>
    <s v="octubre"/>
    <n v="1"/>
    <d v="2026-10-01T00:00:00"/>
    <n v="1005876499"/>
    <s v="CAICEDO PALACIO MICHELL  CAMILA"/>
    <n v="26"/>
    <n v="0"/>
    <n v="1252984"/>
  </r>
  <r>
    <s v="Retail"/>
    <s v="Q016 - Cali - Cc Palmetto"/>
    <x v="2"/>
    <s v="octubre"/>
    <n v="1"/>
    <d v="2026-10-01T00:00:00"/>
    <n v="1038822751"/>
    <s v="HOYOS  LEON WENDY VANESSA "/>
    <n v="22"/>
    <n v="0"/>
    <n v="1175547"/>
  </r>
  <r>
    <s v="Retail"/>
    <s v="Q016 - Cali - Cc Palmetto"/>
    <x v="2"/>
    <s v="octubre"/>
    <n v="1"/>
    <d v="2026-10-01T00:00:00"/>
    <n v="1087805009"/>
    <s v="PERDOMO GAVIRIA MAURICIO STIVEN"/>
    <n v="68"/>
    <n v="0"/>
    <n v="3404581"/>
  </r>
  <r>
    <s v="Retail"/>
    <s v="Q016 - Cali - Cc Palmetto"/>
    <x v="2"/>
    <s v="octubre"/>
    <n v="1"/>
    <d v="2026-10-01T00:00:00"/>
    <n v="1109667614"/>
    <s v="GALLEGO  CAMPO SEBASTIAN "/>
    <n v="-1"/>
    <n v="0"/>
    <n v="-29370"/>
  </r>
  <r>
    <s v="Retail"/>
    <s v="Q016 - Cali - Cc Palmetto"/>
    <x v="2"/>
    <s v="octubre"/>
    <n v="1"/>
    <d v="2026-10-01T00:00:00"/>
    <n v="1144158340"/>
    <s v="OCAMPO  JUAN"/>
    <n v="82"/>
    <n v="0"/>
    <n v="4452364"/>
  </r>
  <r>
    <s v="Retail"/>
    <s v="Q016 - Cali - Cc Palmetto"/>
    <x v="2"/>
    <s v="octubre"/>
    <n v="2"/>
    <d v="2026-10-02T00:00:00"/>
    <m/>
    <m/>
    <n v="0"/>
    <n v="10929923"/>
    <n v="0"/>
  </r>
  <r>
    <s v="Retail"/>
    <s v="Q016 - Cali - Cc Palmetto"/>
    <x v="2"/>
    <s v="octubre"/>
    <n v="2"/>
    <d v="2026-10-02T00:00:00"/>
    <n v="1004879853"/>
    <s v="MUÑOZ ANGARITA ANGIE KATHERINE"/>
    <n v="-1"/>
    <n v="0"/>
    <n v="-62983"/>
  </r>
  <r>
    <s v="Retail"/>
    <s v="Q016 - Cali - Cc Palmetto"/>
    <x v="2"/>
    <s v="octubre"/>
    <n v="2"/>
    <d v="2026-10-02T00:00:00"/>
    <n v="1005876499"/>
    <s v="CAICEDO PALACIO MICHELL  CAMILA"/>
    <n v="61"/>
    <n v="0"/>
    <n v="3820843"/>
  </r>
  <r>
    <s v="Retail"/>
    <s v="Q016 - Cali - Cc Palmetto"/>
    <x v="2"/>
    <s v="octubre"/>
    <n v="2"/>
    <d v="2026-10-02T00:00:00"/>
    <n v="1087805009"/>
    <s v="PERDOMO GAVIRIA MAURICIO STIVEN"/>
    <n v="48"/>
    <n v="0"/>
    <n v="3039961"/>
  </r>
  <r>
    <s v="Retail"/>
    <s v="Q016 - Cali - Cc Palmetto"/>
    <x v="2"/>
    <s v="octubre"/>
    <n v="2"/>
    <d v="2026-10-02T00:00:00"/>
    <n v="1109667614"/>
    <s v="GALLEGO  CAMPO SEBASTIAN "/>
    <n v="43"/>
    <n v="0"/>
    <n v="2735337"/>
  </r>
  <r>
    <s v="Retail"/>
    <s v="Q016 - Cali - Cc Palmetto"/>
    <x v="2"/>
    <s v="octubre"/>
    <n v="2"/>
    <d v="2026-10-02T00:00:00"/>
    <n v="1143413580"/>
    <s v="OCAMPO MENDOZA JHON FEITHER"/>
    <n v="-2"/>
    <n v="0"/>
    <n v="-117563"/>
  </r>
  <r>
    <s v="Retail"/>
    <s v="Q016 - Cali - Cc Palmetto"/>
    <x v="2"/>
    <s v="octubre"/>
    <n v="2"/>
    <d v="2026-10-02T00:00:00"/>
    <n v="1144158340"/>
    <s v="OCAMPO  JUAN"/>
    <n v="93"/>
    <n v="0"/>
    <n v="5172398"/>
  </r>
  <r>
    <s v="Retail"/>
    <s v="Q016 - Cali - Cc Palmetto"/>
    <x v="2"/>
    <s v="octubre"/>
    <n v="3"/>
    <d v="2026-10-03T00:00:00"/>
    <m/>
    <m/>
    <n v="0"/>
    <n v="20903751"/>
    <n v="0"/>
  </r>
  <r>
    <s v="Retail"/>
    <s v="Q016 - Cali - Cc Palmetto"/>
    <x v="2"/>
    <s v="octubre"/>
    <n v="3"/>
    <d v="2026-10-03T00:00:00"/>
    <n v="1038822751"/>
    <s v="HOYOS  LEON WENDY VANESSA "/>
    <n v="162"/>
    <n v="0"/>
    <n v="8464506"/>
  </r>
  <r>
    <s v="Retail"/>
    <s v="Q016 - Cali - Cc Palmetto"/>
    <x v="2"/>
    <s v="octubre"/>
    <n v="3"/>
    <d v="2026-10-03T00:00:00"/>
    <n v="1087805009"/>
    <s v="PERDOMO GAVIRIA MAURICIO STIVEN"/>
    <n v="4"/>
    <n v="0"/>
    <n v="188950"/>
  </r>
  <r>
    <s v="Retail"/>
    <s v="Q016 - Cali - Cc Palmetto"/>
    <x v="2"/>
    <s v="octubre"/>
    <n v="3"/>
    <d v="2026-10-03T00:00:00"/>
    <n v="1109667614"/>
    <s v="GALLEGO  CAMPO SEBASTIAN "/>
    <n v="114"/>
    <n v="0"/>
    <n v="6151333"/>
  </r>
  <r>
    <s v="Retail"/>
    <s v="Q016 - Cali - Cc Palmetto"/>
    <x v="2"/>
    <s v="octubre"/>
    <n v="3"/>
    <d v="2026-10-03T00:00:00"/>
    <n v="1144158340"/>
    <s v="OCAMPO  JUAN"/>
    <n v="101"/>
    <n v="0"/>
    <n v="5560783"/>
  </r>
  <r>
    <s v="Retail"/>
    <s v="Q016 - Cali - Cc Palmetto"/>
    <x v="2"/>
    <s v="octubre"/>
    <n v="4"/>
    <d v="2026-10-04T00:00:00"/>
    <m/>
    <m/>
    <n v="0"/>
    <n v="15486170"/>
    <n v="0"/>
  </r>
  <r>
    <s v="Retail"/>
    <s v="Q016 - Cali - Cc Palmetto"/>
    <x v="2"/>
    <s v="octubre"/>
    <n v="4"/>
    <d v="2026-10-04T00:00:00"/>
    <n v="1038822751"/>
    <s v="HOYOS  LEON WENDY VANESSA "/>
    <n v="123"/>
    <n v="0"/>
    <n v="7322360"/>
  </r>
  <r>
    <s v="Retail"/>
    <s v="Q016 - Cali - Cc Palmetto"/>
    <x v="2"/>
    <s v="octubre"/>
    <n v="4"/>
    <d v="2026-10-04T00:00:00"/>
    <n v="1061716853"/>
    <s v="BARRERA TOLA LEIDY JOANA"/>
    <n v="-2"/>
    <n v="0"/>
    <n v="-80605"/>
  </r>
  <r>
    <s v="Retail"/>
    <s v="Q016 - Cali - Cc Palmetto"/>
    <x v="2"/>
    <s v="octubre"/>
    <n v="4"/>
    <d v="2026-10-04T00:00:00"/>
    <n v="1087805009"/>
    <s v="PERDOMO GAVIRIA MAURICIO STIVEN"/>
    <n v="49"/>
    <n v="0"/>
    <n v="3174373"/>
  </r>
  <r>
    <s v="Retail"/>
    <s v="Q016 - Cali - Cc Palmetto"/>
    <x v="2"/>
    <s v="octubre"/>
    <n v="4"/>
    <d v="2026-10-04T00:00:00"/>
    <n v="1109667614"/>
    <s v="GALLEGO  CAMPO SEBASTIAN "/>
    <n v="74"/>
    <n v="0"/>
    <n v="4355847"/>
  </r>
  <r>
    <s v="Retail"/>
    <s v="Q016 - Cali - Cc Palmetto"/>
    <x v="2"/>
    <s v="octubre"/>
    <n v="4"/>
    <d v="2026-10-04T00:00:00"/>
    <n v="1144158340"/>
    <s v="OCAMPO  JUAN"/>
    <n v="101"/>
    <n v="0"/>
    <n v="6127862"/>
  </r>
  <r>
    <s v="Retail"/>
    <s v="Q016 - Cali - Cc Palmetto"/>
    <x v="2"/>
    <s v="octubre"/>
    <n v="5"/>
    <d v="2026-10-05T00:00:00"/>
    <m/>
    <m/>
    <n v="0"/>
    <n v="11728617"/>
    <n v="0"/>
  </r>
  <r>
    <s v="Retail"/>
    <s v="Q016 - Cali - Cc Palmetto"/>
    <x v="2"/>
    <s v="octubre"/>
    <n v="5"/>
    <d v="2026-10-05T00:00:00"/>
    <n v="1004006497"/>
    <s v="ACEVEDO  PEREZ ANGUIE CATALINA "/>
    <n v="-1"/>
    <n v="0"/>
    <n v="-75588"/>
  </r>
  <r>
    <s v="Retail"/>
    <s v="Q016 - Cali - Cc Palmetto"/>
    <x v="2"/>
    <s v="octubre"/>
    <n v="5"/>
    <d v="2026-10-05T00:00:00"/>
    <n v="1005876499"/>
    <s v="CAICEDO PALACIO MICHELL  CAMILA"/>
    <n v="0"/>
    <n v="0"/>
    <n v="-21008"/>
  </r>
  <r>
    <s v="Retail"/>
    <s v="Q016 - Cali - Cc Palmetto"/>
    <x v="2"/>
    <s v="octubre"/>
    <n v="5"/>
    <d v="2026-10-05T00:00:00"/>
    <n v="1038822751"/>
    <s v="HOYOS  LEON WENDY VANESSA "/>
    <n v="111"/>
    <n v="0"/>
    <n v="6692611"/>
  </r>
  <r>
    <s v="Retail"/>
    <s v="Q016 - Cali - Cc Palmetto"/>
    <x v="2"/>
    <s v="octubre"/>
    <n v="5"/>
    <d v="2026-10-05T00:00:00"/>
    <n v="1087805009"/>
    <s v="PERDOMO GAVIRIA MAURICIO STIVEN"/>
    <n v="20"/>
    <n v="0"/>
    <n v="1112564"/>
  </r>
  <r>
    <s v="Retail"/>
    <s v="Q016 - Cali - Cc Palmetto"/>
    <x v="2"/>
    <s v="octubre"/>
    <n v="5"/>
    <d v="2026-10-05T00:00:00"/>
    <n v="1107091497"/>
    <s v="SANCHEZ FIGUEROA RUDY KELLY"/>
    <n v="-1"/>
    <n v="0"/>
    <n v="-62983"/>
  </r>
  <r>
    <s v="Retail"/>
    <s v="Q016 - Cali - Cc Palmetto"/>
    <x v="2"/>
    <s v="octubre"/>
    <n v="5"/>
    <d v="2026-10-05T00:00:00"/>
    <n v="1109667614"/>
    <s v="GALLEGO  CAMPO SEBASTIAN "/>
    <n v="109"/>
    <n v="0"/>
    <n v="6245335"/>
  </r>
  <r>
    <s v="Retail"/>
    <s v="Q016 - Cali - Cc Palmetto"/>
    <x v="2"/>
    <s v="octubre"/>
    <n v="5"/>
    <d v="2026-10-05T00:00:00"/>
    <n v="1143872360"/>
    <s v="TORRES SALINAS JUAN DAVID"/>
    <n v="-1"/>
    <n v="0"/>
    <n v="-41975"/>
  </r>
  <r>
    <s v="Retail"/>
    <s v="Q016 - Cali - Cc Palmetto"/>
    <x v="2"/>
    <s v="octubre"/>
    <n v="5"/>
    <d v="2026-10-05T00:00:00"/>
    <n v="1144158340"/>
    <s v="OCAMPO  JUAN"/>
    <n v="98"/>
    <n v="0"/>
    <n v="5735342"/>
  </r>
  <r>
    <s v="Retail"/>
    <s v="Q016 - Cali - Cc Palmetto"/>
    <x v="2"/>
    <s v="octubre"/>
    <n v="6"/>
    <d v="2026-10-06T00:00:00"/>
    <m/>
    <m/>
    <n v="0"/>
    <n v="5408048"/>
    <n v="0"/>
  </r>
  <r>
    <s v="Retail"/>
    <s v="Q016 - Cali - Cc Palmetto"/>
    <x v="2"/>
    <s v="octubre"/>
    <n v="6"/>
    <d v="2026-10-06T00:00:00"/>
    <n v="1038822751"/>
    <s v="HOYOS  LEON WENDY VANESSA "/>
    <n v="38"/>
    <n v="0"/>
    <n v="2263028"/>
  </r>
  <r>
    <s v="Retail"/>
    <s v="Q016 - Cali - Cc Palmetto"/>
    <x v="2"/>
    <s v="octubre"/>
    <n v="6"/>
    <d v="2026-10-06T00:00:00"/>
    <n v="1087805009"/>
    <s v="PERDOMO GAVIRIA MAURICIO STIVEN"/>
    <n v="-2"/>
    <n v="0"/>
    <n v="-142731"/>
  </r>
  <r>
    <s v="Retail"/>
    <s v="Q016 - Cali - Cc Palmetto"/>
    <x v="2"/>
    <s v="octubre"/>
    <n v="6"/>
    <d v="2026-10-06T00:00:00"/>
    <n v="1109667614"/>
    <s v="GALLEGO  CAMPO SEBASTIAN "/>
    <n v="45"/>
    <n v="0"/>
    <n v="2508363"/>
  </r>
  <r>
    <s v="Retail"/>
    <s v="Q016 - Cali - Cc Palmetto"/>
    <x v="2"/>
    <s v="octubre"/>
    <n v="6"/>
    <d v="2026-10-06T00:00:00"/>
    <n v="1144158340"/>
    <s v="OCAMPO  JUAN"/>
    <n v="34"/>
    <n v="0"/>
    <n v="1788405"/>
  </r>
  <r>
    <s v="Retail"/>
    <s v="Q016 - Cali - Cc Palmetto"/>
    <x v="2"/>
    <s v="octubre"/>
    <n v="6"/>
    <d v="2026-10-06T00:00:00"/>
    <n v="1193259913"/>
    <s v="PADILLA DOSMAN  ANGEL MARIO"/>
    <n v="-1"/>
    <n v="0"/>
    <n v="-63832"/>
  </r>
  <r>
    <s v="Retail"/>
    <s v="Q016 - Cali - Cc Palmetto"/>
    <x v="2"/>
    <s v="octubre"/>
    <n v="7"/>
    <d v="2026-10-07T00:00:00"/>
    <m/>
    <m/>
    <n v="0"/>
    <n v="5336889"/>
    <n v="0"/>
  </r>
  <r>
    <s v="Retail"/>
    <s v="Q016 - Cali - Cc Palmetto"/>
    <x v="2"/>
    <s v="octubre"/>
    <n v="7"/>
    <d v="2026-10-07T00:00:00"/>
    <n v="1038822751"/>
    <s v="HOYOS  LEON WENDY VANESSA "/>
    <n v="70"/>
    <n v="0"/>
    <n v="4171305"/>
  </r>
  <r>
    <s v="Retail"/>
    <s v="Q016 - Cali - Cc Palmetto"/>
    <x v="2"/>
    <s v="octubre"/>
    <n v="7"/>
    <d v="2026-10-07T00:00:00"/>
    <n v="1087805009"/>
    <s v="PERDOMO GAVIRIA MAURICIO STIVEN"/>
    <n v="3"/>
    <n v="0"/>
    <n v="176345"/>
  </r>
  <r>
    <s v="Retail"/>
    <s v="Q016 - Cali - Cc Palmetto"/>
    <x v="2"/>
    <s v="octubre"/>
    <n v="7"/>
    <d v="2026-10-07T00:00:00"/>
    <n v="1109667614"/>
    <s v="GALLEGO  CAMPO SEBASTIAN "/>
    <n v="59"/>
    <n v="0"/>
    <n v="3602483"/>
  </r>
  <r>
    <s v="Retail"/>
    <s v="Q018 - Cali - Cc Jardin Plaza"/>
    <x v="2"/>
    <s v="septiembre"/>
    <n v="23"/>
    <d v="2026-09-23T00:00:00"/>
    <m/>
    <m/>
    <n v="0"/>
    <n v="18322183"/>
    <n v="0"/>
  </r>
  <r>
    <s v="Retail"/>
    <s v="Q018 - Cali - Cc Jardin Plaza"/>
    <x v="2"/>
    <s v="septiembre"/>
    <n v="23"/>
    <d v="2026-09-23T00:00:00"/>
    <n v="1061716853"/>
    <s v="BARRERA TOLA LEIDY JOANA"/>
    <n v="88"/>
    <n v="0"/>
    <n v="5084497"/>
  </r>
  <r>
    <s v="Retail"/>
    <s v="Q018 - Cali - Cc Jardin Plaza"/>
    <x v="2"/>
    <s v="septiembre"/>
    <n v="23"/>
    <d v="2026-09-23T00:00:00"/>
    <n v="1107840490"/>
    <s v="LONDOÑO RODRIGUEZ NIKOL ANDREA"/>
    <n v="87"/>
    <n v="0"/>
    <n v="5189627"/>
  </r>
  <r>
    <s v="Retail"/>
    <s v="Q018 - Cali - Cc Jardin Plaza"/>
    <x v="2"/>
    <s v="septiembre"/>
    <n v="23"/>
    <d v="2026-09-23T00:00:00"/>
    <n v="1144085357"/>
    <s v="ZAPATA GIRALDO JUAN CAMILO"/>
    <n v="94"/>
    <n v="0"/>
    <n v="5519080"/>
  </r>
  <r>
    <s v="Retail"/>
    <s v="Q018 - Cali - Cc Jardin Plaza"/>
    <x v="2"/>
    <s v="septiembre"/>
    <n v="23"/>
    <d v="2026-09-23T00:00:00"/>
    <n v="1193601115"/>
    <s v="OLAVE RODRIGUEZ ANGEL  JOSUE"/>
    <n v="38"/>
    <n v="0"/>
    <n v="2574034"/>
  </r>
  <r>
    <s v="Retail"/>
    <s v="Q018 - Cali - Cc Jardin Plaza"/>
    <x v="2"/>
    <s v="septiembre"/>
    <n v="24"/>
    <d v="2026-09-24T00:00:00"/>
    <m/>
    <m/>
    <n v="0"/>
    <n v="27989196"/>
    <n v="0"/>
  </r>
  <r>
    <s v="Retail"/>
    <s v="Q018 - Cali - Cc Jardin Plaza"/>
    <x v="2"/>
    <s v="septiembre"/>
    <n v="24"/>
    <d v="2026-09-24T00:00:00"/>
    <n v="1061716853"/>
    <s v="BARRERA TOLA LEIDY JOANA"/>
    <n v="111"/>
    <n v="0"/>
    <n v="7115087"/>
  </r>
  <r>
    <s v="Retail"/>
    <s v="Q018 - Cali - Cc Jardin Plaza"/>
    <x v="2"/>
    <s v="septiembre"/>
    <n v="24"/>
    <d v="2026-09-24T00:00:00"/>
    <n v="1107840490"/>
    <s v="LONDOÑO RODRIGUEZ NIKOL ANDREA"/>
    <n v="125"/>
    <n v="0"/>
    <n v="6961143"/>
  </r>
  <r>
    <s v="Retail"/>
    <s v="Q018 - Cali - Cc Jardin Plaza"/>
    <x v="2"/>
    <s v="septiembre"/>
    <n v="24"/>
    <d v="2026-09-24T00:00:00"/>
    <n v="1144085357"/>
    <s v="ZAPATA GIRALDO JUAN CAMILO"/>
    <n v="108"/>
    <n v="0"/>
    <n v="6924040"/>
  </r>
  <r>
    <s v="Retail"/>
    <s v="Q018 - Cali - Cc Jardin Plaza"/>
    <x v="2"/>
    <s v="septiembre"/>
    <n v="24"/>
    <d v="2026-09-24T00:00:00"/>
    <n v="1144212178"/>
    <s v="TELLO CASTRO NICOLAS"/>
    <n v="-1"/>
    <n v="0"/>
    <n v="-67185"/>
  </r>
  <r>
    <s v="Retail"/>
    <s v="Q018 - Cali - Cc Jardin Plaza"/>
    <x v="2"/>
    <s v="septiembre"/>
    <n v="24"/>
    <d v="2026-09-24T00:00:00"/>
    <n v="1193601115"/>
    <s v="OLAVE RODRIGUEZ ANGEL  JOSUE"/>
    <n v="49"/>
    <n v="0"/>
    <n v="3203825"/>
  </r>
  <r>
    <s v="Retail"/>
    <s v="Q018 - Cali - Cc Jardin Plaza"/>
    <x v="2"/>
    <s v="septiembre"/>
    <n v="25"/>
    <d v="2026-09-25T00:00:00"/>
    <m/>
    <m/>
    <n v="0"/>
    <n v="27927236"/>
    <n v="0"/>
  </r>
  <r>
    <s v="Retail"/>
    <s v="Q018 - Cali - Cc Jardin Plaza"/>
    <x v="2"/>
    <s v="septiembre"/>
    <n v="25"/>
    <d v="2026-09-25T00:00:00"/>
    <n v="1061716853"/>
    <s v="BARRERA TOLA LEIDY JOANA"/>
    <n v="98"/>
    <n v="0"/>
    <n v="5527358"/>
  </r>
  <r>
    <s v="Retail"/>
    <s v="Q018 - Cali - Cc Jardin Plaza"/>
    <x v="2"/>
    <s v="septiembre"/>
    <n v="25"/>
    <d v="2026-09-25T00:00:00"/>
    <n v="1107840490"/>
    <s v="LONDOÑO RODRIGUEZ NIKOL ANDREA"/>
    <n v="89"/>
    <n v="0"/>
    <n v="5092862"/>
  </r>
  <r>
    <s v="Retail"/>
    <s v="Q018 - Cali - Cc Jardin Plaza"/>
    <x v="2"/>
    <s v="septiembre"/>
    <n v="25"/>
    <d v="2026-09-25T00:00:00"/>
    <n v="1107846391"/>
    <s v="CUBIDES MELO DAVID"/>
    <n v="-1"/>
    <n v="0"/>
    <n v="-54580"/>
  </r>
  <r>
    <s v="Retail"/>
    <s v="Q018 - Cali - Cc Jardin Plaza"/>
    <x v="2"/>
    <s v="septiembre"/>
    <n v="25"/>
    <d v="2026-09-25T00:00:00"/>
    <n v="1144085357"/>
    <s v="ZAPATA GIRALDO JUAN CAMILO"/>
    <n v="91"/>
    <n v="0"/>
    <n v="4987690"/>
  </r>
  <r>
    <s v="Retail"/>
    <s v="Q018 - Cali - Cc Jardin Plaza"/>
    <x v="2"/>
    <s v="septiembre"/>
    <n v="25"/>
    <d v="2026-09-25T00:00:00"/>
    <n v="1193601115"/>
    <s v="OLAVE RODRIGUEZ ANGEL  JOSUE"/>
    <n v="38"/>
    <n v="0"/>
    <n v="2296685"/>
  </r>
  <r>
    <s v="Retail"/>
    <s v="Q018 - Cali - Cc Jardin Plaza"/>
    <x v="2"/>
    <s v="septiembre"/>
    <n v="26"/>
    <d v="2026-09-26T00:00:00"/>
    <m/>
    <m/>
    <n v="0"/>
    <n v="40135452"/>
    <n v="0"/>
  </r>
  <r>
    <s v="Retail"/>
    <s v="Q018 - Cali - Cc Jardin Plaza"/>
    <x v="2"/>
    <s v="septiembre"/>
    <n v="26"/>
    <d v="2026-09-26T00:00:00"/>
    <n v="1061716853"/>
    <s v="BARRERA TOLA LEIDY JOANA"/>
    <n v="158"/>
    <n v="0"/>
    <n v="9757906"/>
  </r>
  <r>
    <s v="Retail"/>
    <s v="Q018 - Cali - Cc Jardin Plaza"/>
    <x v="2"/>
    <s v="septiembre"/>
    <n v="26"/>
    <d v="2026-09-26T00:00:00"/>
    <n v="1107840490"/>
    <s v="LONDOÑO RODRIGUEZ NIKOL ANDREA"/>
    <n v="165"/>
    <n v="0"/>
    <n v="9978250"/>
  </r>
  <r>
    <s v="Retail"/>
    <s v="Q018 - Cali - Cc Jardin Plaza"/>
    <x v="2"/>
    <s v="septiembre"/>
    <n v="26"/>
    <d v="2026-09-26T00:00:00"/>
    <n v="1108252998"/>
    <s v="RAMOS PANAMEÑO KAREN VALERIA"/>
    <n v="30"/>
    <n v="0"/>
    <n v="1536518"/>
  </r>
  <r>
    <s v="Retail"/>
    <s v="Q018 - Cali - Cc Jardin Plaza"/>
    <x v="2"/>
    <s v="septiembre"/>
    <n v="26"/>
    <d v="2026-09-26T00:00:00"/>
    <n v="1144085357"/>
    <s v="ZAPATA GIRALDO JUAN CAMILO"/>
    <n v="171"/>
    <n v="0"/>
    <n v="9887568"/>
  </r>
  <r>
    <s v="Retail"/>
    <s v="Q018 - Cali - Cc Jardin Plaza"/>
    <x v="2"/>
    <s v="septiembre"/>
    <n v="26"/>
    <d v="2026-09-26T00:00:00"/>
    <n v="1144109351"/>
    <s v="SANCHEZ ARCINIEGAS STEVEN"/>
    <n v="26"/>
    <n v="0"/>
    <n v="1259287"/>
  </r>
  <r>
    <s v="Retail"/>
    <s v="Q018 - Cali - Cc Jardin Plaza"/>
    <x v="2"/>
    <s v="septiembre"/>
    <n v="26"/>
    <d v="2026-09-26T00:00:00"/>
    <n v="1193601115"/>
    <s v="OLAVE RODRIGUEZ ANGEL  JOSUE"/>
    <n v="91"/>
    <n v="0"/>
    <n v="5735466"/>
  </r>
  <r>
    <s v="Retail"/>
    <s v="Q018 - Cali - Cc Jardin Plaza"/>
    <x v="2"/>
    <s v="septiembre"/>
    <n v="27"/>
    <d v="2026-09-27T00:00:00"/>
    <m/>
    <m/>
    <n v="0"/>
    <n v="31795357"/>
    <n v="0"/>
  </r>
  <r>
    <s v="Retail"/>
    <s v="Q018 - Cali - Cc Jardin Plaza"/>
    <x v="2"/>
    <s v="septiembre"/>
    <n v="27"/>
    <d v="2026-09-27T00:00:00"/>
    <n v="1061716853"/>
    <s v="BARRERA TOLA LEIDY JOANA"/>
    <n v="181"/>
    <n v="0"/>
    <n v="11387361"/>
  </r>
  <r>
    <s v="Retail"/>
    <s v="Q018 - Cali - Cc Jardin Plaza"/>
    <x v="2"/>
    <s v="septiembre"/>
    <n v="27"/>
    <d v="2026-09-27T00:00:00"/>
    <n v="1107840490"/>
    <s v="LONDOÑO RODRIGUEZ NIKOL ANDREA"/>
    <n v="170"/>
    <n v="0"/>
    <n v="10948700"/>
  </r>
  <r>
    <s v="Retail"/>
    <s v="Q018 - Cali - Cc Jardin Plaza"/>
    <x v="2"/>
    <s v="septiembre"/>
    <n v="27"/>
    <d v="2026-09-27T00:00:00"/>
    <n v="1108252998"/>
    <s v="RAMOS PANAMEÑO KAREN VALERIA"/>
    <n v="30"/>
    <n v="0"/>
    <n v="1519751"/>
  </r>
  <r>
    <s v="Retail"/>
    <s v="Q018 - Cali - Cc Jardin Plaza"/>
    <x v="2"/>
    <s v="septiembre"/>
    <n v="27"/>
    <d v="2026-09-27T00:00:00"/>
    <n v="1144085357"/>
    <s v="ZAPATA GIRALDO JUAN CAMILO"/>
    <n v="171"/>
    <n v="0"/>
    <n v="10893955"/>
  </r>
  <r>
    <s v="Retail"/>
    <s v="Q018 - Cali - Cc Jardin Plaza"/>
    <x v="2"/>
    <s v="septiembre"/>
    <n v="27"/>
    <d v="2026-09-27T00:00:00"/>
    <n v="1144109351"/>
    <s v="SANCHEZ ARCINIEGAS STEVEN"/>
    <n v="25"/>
    <n v="0"/>
    <n v="1498951"/>
  </r>
  <r>
    <s v="Retail"/>
    <s v="Q018 - Cali - Cc Jardin Plaza"/>
    <x v="2"/>
    <s v="septiembre"/>
    <n v="27"/>
    <d v="2026-09-27T00:00:00"/>
    <n v="1193601115"/>
    <s v="OLAVE RODRIGUEZ ANGEL  JOSUE"/>
    <n v="100"/>
    <n v="0"/>
    <n v="6220548"/>
  </r>
  <r>
    <s v="Retail"/>
    <s v="Q018 - Cali - Cc Jardin Plaza"/>
    <x v="2"/>
    <s v="septiembre"/>
    <n v="28"/>
    <d v="2026-09-28T00:00:00"/>
    <m/>
    <m/>
    <n v="0"/>
    <n v="17498858"/>
    <n v="0"/>
  </r>
  <r>
    <s v="Retail"/>
    <s v="Q018 - Cali - Cc Jardin Plaza"/>
    <x v="2"/>
    <s v="septiembre"/>
    <n v="28"/>
    <d v="2026-09-28T00:00:00"/>
    <n v="1061716853"/>
    <s v="BARRERA TOLA LEIDY JOANA"/>
    <n v="58"/>
    <n v="0"/>
    <n v="3564705"/>
  </r>
  <r>
    <s v="Retail"/>
    <s v="Q018 - Cali - Cc Jardin Plaza"/>
    <x v="2"/>
    <s v="septiembre"/>
    <n v="28"/>
    <d v="2026-09-28T00:00:00"/>
    <n v="1107840490"/>
    <s v="LONDOÑO RODRIGUEZ NIKOL ANDREA"/>
    <n v="70"/>
    <n v="0"/>
    <n v="4196474"/>
  </r>
  <r>
    <s v="Retail"/>
    <s v="Q018 - Cali - Cc Jardin Plaza"/>
    <x v="2"/>
    <s v="septiembre"/>
    <n v="28"/>
    <d v="2026-09-28T00:00:00"/>
    <n v="1108252998"/>
    <s v="RAMOS PANAMEÑO KAREN VALERIA"/>
    <n v="24"/>
    <n v="0"/>
    <n v="1125002"/>
  </r>
  <r>
    <s v="Retail"/>
    <s v="Q018 - Cali - Cc Jardin Plaza"/>
    <x v="2"/>
    <s v="septiembre"/>
    <n v="28"/>
    <d v="2026-09-28T00:00:00"/>
    <n v="1110040133"/>
    <s v="FLOREZ  GARCÍA SAMUEL "/>
    <n v="-1"/>
    <n v="0"/>
    <n v="-16723"/>
  </r>
  <r>
    <s v="Retail"/>
    <s v="Q018 - Cali - Cc Jardin Plaza"/>
    <x v="2"/>
    <s v="septiembre"/>
    <n v="28"/>
    <d v="2026-09-28T00:00:00"/>
    <n v="1143872360"/>
    <s v="TORRES SALINAS JUAN DAVID"/>
    <n v="-1"/>
    <n v="0"/>
    <n v="-138614"/>
  </r>
  <r>
    <s v="Retail"/>
    <s v="Q018 - Cali - Cc Jardin Plaza"/>
    <x v="2"/>
    <s v="septiembre"/>
    <n v="28"/>
    <d v="2026-09-28T00:00:00"/>
    <n v="1144085357"/>
    <s v="ZAPATA GIRALDO JUAN CAMILO"/>
    <n v="117"/>
    <n v="0"/>
    <n v="7141810"/>
  </r>
  <r>
    <s v="Retail"/>
    <s v="Q018 - Cali - Cc Jardin Plaza"/>
    <x v="2"/>
    <s v="septiembre"/>
    <n v="29"/>
    <d v="2026-09-29T00:00:00"/>
    <m/>
    <m/>
    <n v="0"/>
    <n v="18692206"/>
    <n v="0"/>
  </r>
  <r>
    <s v="Retail"/>
    <s v="Q018 - Cali - Cc Jardin Plaza"/>
    <x v="2"/>
    <s v="septiembre"/>
    <n v="29"/>
    <d v="2026-09-29T00:00:00"/>
    <n v="1061716853"/>
    <s v="BARRERA TOLA LEIDY JOANA"/>
    <n v="15"/>
    <n v="0"/>
    <n v="1062395"/>
  </r>
  <r>
    <s v="Retail"/>
    <s v="Q018 - Cali - Cc Jardin Plaza"/>
    <x v="2"/>
    <s v="septiembre"/>
    <n v="29"/>
    <d v="2026-09-29T00:00:00"/>
    <n v="1107840490"/>
    <s v="LONDOÑO RODRIGUEZ NIKOL ANDREA"/>
    <n v="17"/>
    <n v="0"/>
    <n v="1230378"/>
  </r>
  <r>
    <s v="Retail"/>
    <s v="Q018 - Cali - Cc Jardin Plaza"/>
    <x v="2"/>
    <s v="septiembre"/>
    <n v="29"/>
    <d v="2026-09-29T00:00:00"/>
    <n v="1108252998"/>
    <s v="RAMOS PANAMEÑO KAREN VALERIA"/>
    <n v="9"/>
    <n v="0"/>
    <n v="697059"/>
  </r>
  <r>
    <s v="Retail"/>
    <s v="Q018 - Cali - Cc Jardin Plaza"/>
    <x v="2"/>
    <s v="septiembre"/>
    <n v="29"/>
    <d v="2026-09-29T00:00:00"/>
    <n v="1144085357"/>
    <s v="ZAPATA GIRALDO JUAN CAMILO"/>
    <n v="132"/>
    <n v="0"/>
    <n v="7418742"/>
  </r>
  <r>
    <s v="Retail"/>
    <s v="Q018 - Cali - Cc Jardin Plaza"/>
    <x v="2"/>
    <s v="septiembre"/>
    <n v="29"/>
    <d v="2026-09-29T00:00:00"/>
    <n v="1144109351"/>
    <s v="SANCHEZ ARCINIEGAS STEVEN"/>
    <n v="16"/>
    <n v="0"/>
    <n v="936302"/>
  </r>
  <r>
    <s v="Retail"/>
    <s v="Q018 - Cali - Cc Jardin Plaza"/>
    <x v="2"/>
    <s v="septiembre"/>
    <n v="29"/>
    <d v="2026-09-29T00:00:00"/>
    <n v="1144190117"/>
    <s v="LOPEZ LOAIZA JESSICA MARIA"/>
    <n v="-1"/>
    <n v="0"/>
    <n v="-71386"/>
  </r>
  <r>
    <s v="Retail"/>
    <s v="Q018 - Cali - Cc Jardin Plaza"/>
    <x v="2"/>
    <s v="septiembre"/>
    <n v="29"/>
    <d v="2026-09-29T00:00:00"/>
    <n v="1193601115"/>
    <s v="OLAVE RODRIGUEZ ANGEL  JOSUE"/>
    <n v="49"/>
    <n v="0"/>
    <n v="2924372"/>
  </r>
  <r>
    <s v="Retail"/>
    <s v="Q018 - Cali - Cc Jardin Plaza"/>
    <x v="2"/>
    <s v="septiembre"/>
    <n v="30"/>
    <d v="2026-09-30T00:00:00"/>
    <m/>
    <m/>
    <n v="0"/>
    <n v="19309381"/>
    <n v="0"/>
  </r>
  <r>
    <s v="Retail"/>
    <s v="Q018 - Cali - Cc Jardin Plaza"/>
    <x v="2"/>
    <s v="septiembre"/>
    <n v="30"/>
    <d v="2026-09-30T00:00:00"/>
    <n v="1061716853"/>
    <s v="BARRERA TOLA LEIDY JOANA"/>
    <n v="66"/>
    <n v="0"/>
    <n v="4287023"/>
  </r>
  <r>
    <s v="Retail"/>
    <s v="Q018 - Cali - Cc Jardin Plaza"/>
    <x v="2"/>
    <s v="septiembre"/>
    <n v="30"/>
    <d v="2026-09-30T00:00:00"/>
    <n v="1102868881"/>
    <s v="ESCOBAR PERNA SEBASTIAN DAVID"/>
    <n v="-2"/>
    <n v="0"/>
    <n v="-130168"/>
  </r>
  <r>
    <s v="Retail"/>
    <s v="Q018 - Cali - Cc Jardin Plaza"/>
    <x v="2"/>
    <s v="septiembre"/>
    <n v="30"/>
    <d v="2026-09-30T00:00:00"/>
    <n v="1107530246"/>
    <s v="CALDERON CASTANEDA CRISTHIAN CAMILO"/>
    <n v="-1"/>
    <n v="0"/>
    <n v="-29370"/>
  </r>
  <r>
    <s v="Retail"/>
    <s v="Q018 - Cali - Cc Jardin Plaza"/>
    <x v="2"/>
    <s v="septiembre"/>
    <n v="30"/>
    <d v="2026-09-30T00:00:00"/>
    <n v="1107840490"/>
    <s v="LONDOÑO RODRIGUEZ NIKOL ANDREA"/>
    <n v="69"/>
    <n v="0"/>
    <n v="4301643"/>
  </r>
  <r>
    <s v="Retail"/>
    <s v="Q018 - Cali - Cc Jardin Plaza"/>
    <x v="2"/>
    <s v="septiembre"/>
    <n v="30"/>
    <d v="2026-09-30T00:00:00"/>
    <n v="1108252998"/>
    <s v="RAMOS PANAMEÑO KAREN VALERIA"/>
    <n v="21"/>
    <n v="0"/>
    <n v="1297439"/>
  </r>
  <r>
    <s v="Retail"/>
    <s v="Q018 - Cali - Cc Jardin Plaza"/>
    <x v="2"/>
    <s v="septiembre"/>
    <n v="30"/>
    <d v="2026-09-30T00:00:00"/>
    <n v="1144085357"/>
    <s v="ZAPATA GIRALDO JUAN CAMILO"/>
    <n v="74"/>
    <n v="0"/>
    <n v="4208994"/>
  </r>
  <r>
    <s v="Retail"/>
    <s v="Q018 - Cali - Cc Jardin Plaza"/>
    <x v="2"/>
    <s v="septiembre"/>
    <n v="30"/>
    <d v="2026-09-30T00:00:00"/>
    <n v="1144109351"/>
    <s v="SANCHEZ ARCINIEGAS STEVEN"/>
    <n v="42"/>
    <n v="0"/>
    <n v="2363783"/>
  </r>
  <r>
    <s v="Retail"/>
    <s v="Q018 - Cali - Cc Jardin Plaza"/>
    <x v="2"/>
    <s v="septiembre"/>
    <n v="30"/>
    <d v="2026-09-30T00:00:00"/>
    <n v="1193601115"/>
    <s v="OLAVE RODRIGUEZ ANGEL  JOSUE"/>
    <n v="58"/>
    <n v="0"/>
    <n v="3234879"/>
  </r>
  <r>
    <s v="Retail"/>
    <s v="Q018 - Cali - Cc Jardin Plaza"/>
    <x v="2"/>
    <s v="octubre"/>
    <n v="1"/>
    <d v="2026-10-01T00:00:00"/>
    <m/>
    <m/>
    <n v="0"/>
    <n v="27392018"/>
    <n v="0"/>
  </r>
  <r>
    <s v="Retail"/>
    <s v="Q018 - Cali - Cc Jardin Plaza"/>
    <x v="2"/>
    <s v="octubre"/>
    <n v="1"/>
    <d v="2026-10-01T00:00:00"/>
    <n v="1005707524"/>
    <s v="MOSQUERA MOLINA JHOAN SEBASTIAN"/>
    <n v="-1"/>
    <n v="0"/>
    <n v="-130210"/>
  </r>
  <r>
    <s v="Retail"/>
    <s v="Q018 - Cali - Cc Jardin Plaza"/>
    <x v="2"/>
    <s v="octubre"/>
    <n v="1"/>
    <d v="2026-10-01T00:00:00"/>
    <n v="1061716853"/>
    <s v="BARRERA TOLA LEIDY JOANA"/>
    <n v="75"/>
    <n v="0"/>
    <n v="4893911"/>
  </r>
  <r>
    <s v="Retail"/>
    <s v="Q018 - Cali - Cc Jardin Plaza"/>
    <x v="2"/>
    <s v="octubre"/>
    <n v="1"/>
    <d v="2026-10-01T00:00:00"/>
    <n v="1107840490"/>
    <s v="LONDOÑO RODRIGUEZ NIKOL ANDREA"/>
    <n v="91"/>
    <n v="0"/>
    <n v="5949922"/>
  </r>
  <r>
    <s v="Retail"/>
    <s v="Q018 - Cali - Cc Jardin Plaza"/>
    <x v="2"/>
    <s v="octubre"/>
    <n v="1"/>
    <d v="2026-10-01T00:00:00"/>
    <n v="1108252998"/>
    <s v="RAMOS PANAMEÑO KAREN VALERIA"/>
    <n v="6"/>
    <n v="0"/>
    <n v="268657"/>
  </r>
  <r>
    <s v="Retail"/>
    <s v="Q018 - Cali - Cc Jardin Plaza"/>
    <x v="2"/>
    <s v="octubre"/>
    <n v="1"/>
    <d v="2026-10-01T00:00:00"/>
    <n v="1144085357"/>
    <s v="ZAPATA GIRALDO JUAN CAMILO"/>
    <n v="107"/>
    <n v="0"/>
    <n v="6188745"/>
  </r>
  <r>
    <s v="Retail"/>
    <s v="Q018 - Cali - Cc Jardin Plaza"/>
    <x v="2"/>
    <s v="octubre"/>
    <n v="1"/>
    <d v="2026-10-01T00:00:00"/>
    <n v="1144109351"/>
    <s v="SANCHEZ ARCINIEGAS STEVEN"/>
    <n v="3"/>
    <n v="0"/>
    <n v="247773"/>
  </r>
  <r>
    <s v="Retail"/>
    <s v="Q018 - Cali - Cc Jardin Plaza"/>
    <x v="2"/>
    <s v="octubre"/>
    <n v="1"/>
    <d v="2026-10-01T00:00:00"/>
    <n v="1193601115"/>
    <s v="OLAVE RODRIGUEZ ANGEL  JOSUE"/>
    <n v="39"/>
    <n v="0"/>
    <n v="2664329"/>
  </r>
  <r>
    <s v="Retail"/>
    <s v="Q018 - Cali - Cc Jardin Plaza"/>
    <x v="2"/>
    <s v="octubre"/>
    <n v="2"/>
    <d v="2026-10-02T00:00:00"/>
    <m/>
    <m/>
    <n v="0"/>
    <n v="17716899"/>
    <n v="0"/>
  </r>
  <r>
    <s v="Retail"/>
    <s v="Q018 - Cali - Cc Jardin Plaza"/>
    <x v="2"/>
    <s v="octubre"/>
    <n v="2"/>
    <d v="2026-10-02T00:00:00"/>
    <n v="1061716853"/>
    <s v="BARRERA TOLA LEIDY JOANA"/>
    <n v="106"/>
    <n v="0"/>
    <n v="6627901"/>
  </r>
  <r>
    <s v="Retail"/>
    <s v="Q018 - Cali - Cc Jardin Plaza"/>
    <x v="2"/>
    <s v="octubre"/>
    <n v="2"/>
    <d v="2026-10-02T00:00:00"/>
    <n v="1107840490"/>
    <s v="LONDOÑO RODRIGUEZ NIKOL ANDREA"/>
    <n v="78"/>
    <n v="0"/>
    <n v="4851769"/>
  </r>
  <r>
    <s v="Retail"/>
    <s v="Q018 - Cali - Cc Jardin Plaza"/>
    <x v="2"/>
    <s v="octubre"/>
    <n v="2"/>
    <d v="2026-10-02T00:00:00"/>
    <n v="1108252998"/>
    <s v="RAMOS PANAMEÑO KAREN VALERIA"/>
    <n v="2"/>
    <n v="0"/>
    <n v="79748"/>
  </r>
  <r>
    <s v="Retail"/>
    <s v="Q018 - Cali - Cc Jardin Plaza"/>
    <x v="2"/>
    <s v="octubre"/>
    <n v="2"/>
    <d v="2026-10-02T00:00:00"/>
    <n v="1144085357"/>
    <s v="ZAPATA GIRALDO JUAN CAMILO"/>
    <n v="88"/>
    <n v="0"/>
    <n v="6111810"/>
  </r>
  <r>
    <s v="Retail"/>
    <s v="Q018 - Cali - Cc Jardin Plaza"/>
    <x v="2"/>
    <s v="octubre"/>
    <n v="2"/>
    <d v="2026-10-02T00:00:00"/>
    <n v="1144109351"/>
    <s v="SANCHEZ ARCINIEGAS STEVEN"/>
    <n v="11"/>
    <n v="0"/>
    <n v="667604"/>
  </r>
  <r>
    <s v="Retail"/>
    <s v="Q018 - Cali - Cc Jardin Plaza"/>
    <x v="2"/>
    <s v="octubre"/>
    <n v="2"/>
    <d v="2026-10-02T00:00:00"/>
    <n v="1193601115"/>
    <s v="OLAVE RODRIGUEZ ANGEL  JOSUE"/>
    <n v="33"/>
    <n v="0"/>
    <n v="2162482"/>
  </r>
  <r>
    <s v="Retail"/>
    <s v="Q018 - Cali - Cc Jardin Plaza"/>
    <x v="2"/>
    <s v="octubre"/>
    <n v="3"/>
    <d v="2026-10-03T00:00:00"/>
    <m/>
    <m/>
    <n v="0"/>
    <n v="43891281"/>
    <n v="0"/>
  </r>
  <r>
    <s v="Retail"/>
    <s v="Q018 - Cali - Cc Jardin Plaza"/>
    <x v="2"/>
    <s v="octubre"/>
    <n v="3"/>
    <d v="2026-10-03T00:00:00"/>
    <n v="1005876499"/>
    <s v="CAICEDO PALACIO MICHELL  CAMILA"/>
    <n v="-1"/>
    <n v="0"/>
    <n v="-54580"/>
  </r>
  <r>
    <s v="Retail"/>
    <s v="Q018 - Cali - Cc Jardin Plaza"/>
    <x v="2"/>
    <s v="octubre"/>
    <n v="3"/>
    <d v="2026-10-03T00:00:00"/>
    <n v="1061716853"/>
    <s v="BARRERA TOLA LEIDY JOANA"/>
    <n v="204"/>
    <n v="0"/>
    <n v="11606407"/>
  </r>
  <r>
    <s v="Retail"/>
    <s v="Q018 - Cali - Cc Jardin Plaza"/>
    <x v="2"/>
    <s v="octubre"/>
    <n v="3"/>
    <d v="2026-10-03T00:00:00"/>
    <n v="1107840490"/>
    <s v="LONDOÑO RODRIGUEZ NIKOL ANDREA"/>
    <n v="191"/>
    <n v="0"/>
    <n v="11256663"/>
  </r>
  <r>
    <s v="Retail"/>
    <s v="Q018 - Cali - Cc Jardin Plaza"/>
    <x v="2"/>
    <s v="octubre"/>
    <n v="3"/>
    <d v="2026-10-03T00:00:00"/>
    <n v="1108252998"/>
    <s v="RAMOS PANAMEÑO KAREN VALERIA"/>
    <n v="5"/>
    <n v="0"/>
    <n v="204841"/>
  </r>
  <r>
    <s v="Retail"/>
    <s v="Q018 - Cali - Cc Jardin Plaza"/>
    <x v="2"/>
    <s v="octubre"/>
    <n v="3"/>
    <d v="2026-10-03T00:00:00"/>
    <n v="1110040133"/>
    <s v="FLOREZ  GARCÍA SAMUEL "/>
    <n v="-1"/>
    <n v="0"/>
    <n v="-46177"/>
  </r>
  <r>
    <s v="Retail"/>
    <s v="Q018 - Cali - Cc Jardin Plaza"/>
    <x v="2"/>
    <s v="octubre"/>
    <n v="3"/>
    <d v="2026-10-03T00:00:00"/>
    <n v="1144085357"/>
    <s v="ZAPATA GIRALDO JUAN CAMILO"/>
    <n v="191"/>
    <n v="0"/>
    <n v="11373143"/>
  </r>
  <r>
    <s v="Retail"/>
    <s v="Q018 - Cali - Cc Jardin Plaza"/>
    <x v="2"/>
    <s v="octubre"/>
    <n v="3"/>
    <d v="2026-10-03T00:00:00"/>
    <n v="1144109351"/>
    <s v="SANCHEZ ARCINIEGAS STEVEN"/>
    <n v="6"/>
    <n v="0"/>
    <n v="286329"/>
  </r>
  <r>
    <s v="Retail"/>
    <s v="Q018 - Cali - Cc Jardin Plaza"/>
    <x v="2"/>
    <s v="octubre"/>
    <n v="3"/>
    <d v="2026-10-03T00:00:00"/>
    <n v="1193601115"/>
    <s v="OLAVE RODRIGUEZ ANGEL  JOSUE"/>
    <n v="132"/>
    <n v="0"/>
    <n v="7384317"/>
  </r>
  <r>
    <s v="Retail"/>
    <s v="Q018 - Cali - Cc Jardin Plaza"/>
    <x v="2"/>
    <s v="octubre"/>
    <n v="4"/>
    <d v="2026-10-04T00:00:00"/>
    <m/>
    <m/>
    <n v="0"/>
    <n v="36468657"/>
    <n v="0"/>
  </r>
  <r>
    <s v="Retail"/>
    <s v="Q018 - Cali - Cc Jardin Plaza"/>
    <x v="2"/>
    <s v="octubre"/>
    <n v="4"/>
    <d v="2026-10-04T00:00:00"/>
    <n v="1061716853"/>
    <s v="BARRERA TOLA LEIDY JOANA"/>
    <n v="197"/>
    <n v="0"/>
    <n v="12731147"/>
  </r>
  <r>
    <s v="Retail"/>
    <s v="Q018 - Cali - Cc Jardin Plaza"/>
    <x v="2"/>
    <s v="octubre"/>
    <n v="4"/>
    <d v="2026-10-04T00:00:00"/>
    <n v="1107840490"/>
    <s v="LONDOÑO RODRIGUEZ NIKOL ANDREA"/>
    <n v="206"/>
    <n v="0"/>
    <n v="12768625"/>
  </r>
  <r>
    <s v="Retail"/>
    <s v="Q018 - Cali - Cc Jardin Plaza"/>
    <x v="2"/>
    <s v="octubre"/>
    <n v="4"/>
    <d v="2026-10-04T00:00:00"/>
    <n v="1108252998"/>
    <s v="RAMOS PANAMEÑO KAREN VALERIA"/>
    <n v="4"/>
    <n v="0"/>
    <n v="155295"/>
  </r>
  <r>
    <s v="Retail"/>
    <s v="Q018 - Cali - Cc Jardin Plaza"/>
    <x v="2"/>
    <s v="octubre"/>
    <n v="4"/>
    <d v="2026-10-04T00:00:00"/>
    <n v="1113689444"/>
    <s v="GONZALEZ QUIÑONES JUAN CAMILO"/>
    <n v="-1"/>
    <n v="0"/>
    <n v="-105000"/>
  </r>
  <r>
    <s v="Retail"/>
    <s v="Q018 - Cali - Cc Jardin Plaza"/>
    <x v="2"/>
    <s v="octubre"/>
    <n v="4"/>
    <d v="2026-10-04T00:00:00"/>
    <n v="1144085357"/>
    <s v="ZAPATA GIRALDO JUAN CAMILO"/>
    <n v="204"/>
    <n v="0"/>
    <n v="13213999"/>
  </r>
  <r>
    <s v="Retail"/>
    <s v="Q018 - Cali - Cc Jardin Plaza"/>
    <x v="2"/>
    <s v="octubre"/>
    <n v="4"/>
    <d v="2026-10-04T00:00:00"/>
    <n v="1144109351"/>
    <s v="SANCHEZ ARCINIEGAS STEVEN"/>
    <n v="6"/>
    <n v="0"/>
    <n v="310672"/>
  </r>
  <r>
    <s v="Retail"/>
    <s v="Q018 - Cali - Cc Jardin Plaza"/>
    <x v="2"/>
    <s v="octubre"/>
    <n v="4"/>
    <d v="2026-10-04T00:00:00"/>
    <n v="1193601115"/>
    <s v="OLAVE RODRIGUEZ ANGEL  JOSUE"/>
    <n v="117"/>
    <n v="0"/>
    <n v="8070591"/>
  </r>
  <r>
    <s v="Retail"/>
    <s v="Q018 - Cali - Cc Jardin Plaza"/>
    <x v="2"/>
    <s v="octubre"/>
    <n v="5"/>
    <d v="2026-10-05T00:00:00"/>
    <m/>
    <m/>
    <n v="0"/>
    <n v="23678161"/>
    <n v="0"/>
  </r>
  <r>
    <s v="Retail"/>
    <s v="Q018 - Cali - Cc Jardin Plaza"/>
    <x v="2"/>
    <s v="octubre"/>
    <n v="5"/>
    <d v="2026-10-05T00:00:00"/>
    <n v="16919109"/>
    <s v="GONZALEZ PENA EDWARD FABIAN"/>
    <n v="-2"/>
    <n v="0"/>
    <n v="-163781"/>
  </r>
  <r>
    <s v="Retail"/>
    <s v="Q018 - Cali - Cc Jardin Plaza"/>
    <x v="2"/>
    <s v="octubre"/>
    <n v="5"/>
    <d v="2026-10-05T00:00:00"/>
    <n v="1061716853"/>
    <s v="BARRERA TOLA LEIDY JOANA"/>
    <n v="82"/>
    <n v="0"/>
    <n v="5654079"/>
  </r>
  <r>
    <s v="Retail"/>
    <s v="Q018 - Cali - Cc Jardin Plaza"/>
    <x v="2"/>
    <s v="octubre"/>
    <n v="5"/>
    <d v="2026-10-05T00:00:00"/>
    <n v="1107840490"/>
    <s v="LONDOÑO RODRIGUEZ NIKOL ANDREA"/>
    <n v="92"/>
    <n v="0"/>
    <n v="6008744"/>
  </r>
  <r>
    <s v="Retail"/>
    <s v="Q018 - Cali - Cc Jardin Plaza"/>
    <x v="2"/>
    <s v="octubre"/>
    <n v="5"/>
    <d v="2026-10-05T00:00:00"/>
    <n v="1108252998"/>
    <s v="RAMOS PANAMEÑO KAREN VALERIA"/>
    <n v="2"/>
    <n v="0"/>
    <n v="83950"/>
  </r>
  <r>
    <s v="Retail"/>
    <s v="Q018 - Cali - Cc Jardin Plaza"/>
    <x v="2"/>
    <s v="octubre"/>
    <n v="5"/>
    <d v="2026-10-05T00:00:00"/>
    <n v="1111665228"/>
    <s v="RIVERA ZUÑIGA JUAN DIEGO"/>
    <n v="-4"/>
    <n v="0"/>
    <n v="-151009"/>
  </r>
  <r>
    <s v="Retail"/>
    <s v="Q018 - Cali - Cc Jardin Plaza"/>
    <x v="2"/>
    <s v="octubre"/>
    <n v="5"/>
    <d v="2026-10-05T00:00:00"/>
    <n v="1118312125"/>
    <s v="CORREDOR  BUITRAGO ANGIE LIZETH "/>
    <n v="-1"/>
    <n v="0"/>
    <n v="-109202"/>
  </r>
  <r>
    <s v="Retail"/>
    <s v="Q018 - Cali - Cc Jardin Plaza"/>
    <x v="2"/>
    <s v="octubre"/>
    <n v="5"/>
    <d v="2026-10-05T00:00:00"/>
    <n v="1144085357"/>
    <s v="ZAPATA GIRALDO JUAN CAMILO"/>
    <n v="75"/>
    <n v="0"/>
    <n v="5082904"/>
  </r>
  <r>
    <s v="Retail"/>
    <s v="Q018 - Cali - Cc Jardin Plaza"/>
    <x v="2"/>
    <s v="octubre"/>
    <n v="5"/>
    <d v="2026-10-05T00:00:00"/>
    <n v="1144109351"/>
    <s v="SANCHEZ ARCINIEGAS STEVEN"/>
    <n v="6"/>
    <n v="0"/>
    <n v="285463"/>
  </r>
  <r>
    <s v="Retail"/>
    <s v="Q018 - Cali - Cc Jardin Plaza"/>
    <x v="2"/>
    <s v="octubre"/>
    <n v="5"/>
    <d v="2026-10-05T00:00:00"/>
    <n v="1144212178"/>
    <s v="TELLO CASTRO NICOLAS"/>
    <n v="-1"/>
    <n v="0"/>
    <n v="-83992"/>
  </r>
  <r>
    <s v="Retail"/>
    <s v="Q018 - Cali - Cc Jardin Plaza"/>
    <x v="2"/>
    <s v="octubre"/>
    <n v="5"/>
    <d v="2026-10-05T00:00:00"/>
    <n v="1193259913"/>
    <s v="PADILLA DOSMAN  ANGEL MARIO"/>
    <n v="-1"/>
    <n v="0"/>
    <n v="-46177"/>
  </r>
  <r>
    <s v="Retail"/>
    <s v="Q018 - Cali - Cc Jardin Plaza"/>
    <x v="2"/>
    <s v="octubre"/>
    <n v="5"/>
    <d v="2026-10-05T00:00:00"/>
    <n v="1193601115"/>
    <s v="OLAVE RODRIGUEZ ANGEL  JOSUE"/>
    <n v="61"/>
    <n v="0"/>
    <n v="4276851"/>
  </r>
  <r>
    <s v="Retail"/>
    <s v="Q018 - Cali - Cc Jardin Plaza"/>
    <x v="2"/>
    <s v="octubre"/>
    <n v="6"/>
    <d v="2026-10-06T00:00:00"/>
    <m/>
    <m/>
    <n v="0"/>
    <n v="13148051"/>
    <n v="0"/>
  </r>
  <r>
    <s v="Retail"/>
    <s v="Q018 - Cali - Cc Jardin Plaza"/>
    <x v="2"/>
    <s v="octubre"/>
    <n v="6"/>
    <d v="2026-10-06T00:00:00"/>
    <n v="1061716853"/>
    <s v="BARRERA TOLA LEIDY JOANA"/>
    <n v="43"/>
    <n v="0"/>
    <n v="2670422"/>
  </r>
  <r>
    <s v="Retail"/>
    <s v="Q018 - Cali - Cc Jardin Plaza"/>
    <x v="2"/>
    <s v="octubre"/>
    <n v="6"/>
    <d v="2026-10-06T00:00:00"/>
    <n v="1107840490"/>
    <s v="LONDOÑO RODRIGUEZ NIKOL ANDREA"/>
    <n v="38"/>
    <n v="0"/>
    <n v="2639122"/>
  </r>
  <r>
    <s v="Retail"/>
    <s v="Q018 - Cali - Cc Jardin Plaza"/>
    <x v="2"/>
    <s v="octubre"/>
    <n v="6"/>
    <d v="2026-10-06T00:00:00"/>
    <n v="1108252998"/>
    <s v="RAMOS PANAMEÑO KAREN VALERIA"/>
    <n v="2"/>
    <n v="0"/>
    <n v="159580"/>
  </r>
  <r>
    <s v="Retail"/>
    <s v="Q018 - Cali - Cc Jardin Plaza"/>
    <x v="2"/>
    <s v="octubre"/>
    <n v="6"/>
    <d v="2026-10-06T00:00:00"/>
    <n v="1144085357"/>
    <s v="ZAPATA GIRALDO JUAN CAMILO"/>
    <n v="41"/>
    <n v="0"/>
    <n v="2500337"/>
  </r>
  <r>
    <s v="Retail"/>
    <s v="Q018 - Cali - Cc Jardin Plaza"/>
    <x v="2"/>
    <s v="octubre"/>
    <n v="6"/>
    <d v="2026-10-06T00:00:00"/>
    <n v="1144109351"/>
    <s v="SANCHEZ ARCINIEGAS STEVEN"/>
    <n v="1"/>
    <n v="0"/>
    <n v="33572"/>
  </r>
  <r>
    <s v="Retail"/>
    <s v="Q018 - Cali - Cc Jardin Plaza"/>
    <x v="2"/>
    <s v="octubre"/>
    <n v="6"/>
    <d v="2026-10-06T00:00:00"/>
    <n v="1193601115"/>
    <s v="OLAVE RODRIGUEZ ANGEL  JOSUE"/>
    <n v="34"/>
    <n v="0"/>
    <n v="1830545"/>
  </r>
  <r>
    <s v="Retail"/>
    <s v="Q018 - Cali - Cc Jardin Plaza"/>
    <x v="2"/>
    <s v="octubre"/>
    <n v="7"/>
    <d v="2026-10-07T00:00:00"/>
    <m/>
    <m/>
    <n v="0"/>
    <n v="12975050"/>
    <n v="0"/>
  </r>
  <r>
    <s v="Retail"/>
    <s v="Q018 - Cali - Cc Jardin Plaza"/>
    <x v="2"/>
    <s v="octubre"/>
    <n v="7"/>
    <d v="2026-10-07T00:00:00"/>
    <n v="1004006497"/>
    <s v="ACEVEDO  PEREZ ANGUIE CATALINA "/>
    <n v="-1"/>
    <n v="0"/>
    <n v="-105000"/>
  </r>
  <r>
    <s v="Retail"/>
    <s v="Q018 - Cali - Cc Jardin Plaza"/>
    <x v="2"/>
    <s v="octubre"/>
    <n v="7"/>
    <d v="2026-10-07T00:00:00"/>
    <n v="1061716853"/>
    <s v="BARRERA TOLA LEIDY JOANA"/>
    <n v="35"/>
    <n v="0"/>
    <n v="2330423"/>
  </r>
  <r>
    <s v="Retail"/>
    <s v="Q018 - Cali - Cc Jardin Plaza"/>
    <x v="2"/>
    <s v="octubre"/>
    <n v="7"/>
    <d v="2026-10-07T00:00:00"/>
    <n v="1107840490"/>
    <s v="LONDOÑO RODRIGUEZ NIKOL ANDREA"/>
    <n v="34"/>
    <n v="0"/>
    <n v="2236008"/>
  </r>
  <r>
    <s v="Retail"/>
    <s v="Q018 - Cali - Cc Jardin Plaza"/>
    <x v="2"/>
    <s v="octubre"/>
    <n v="7"/>
    <d v="2026-10-07T00:00:00"/>
    <n v="1144085357"/>
    <s v="ZAPATA GIRALDO JUAN CAMILO"/>
    <n v="43"/>
    <n v="0"/>
    <n v="2567521"/>
  </r>
  <r>
    <s v="Retail"/>
    <s v="Q018 - Cali - Cc Jardin Plaza"/>
    <x v="2"/>
    <s v="octubre"/>
    <n v="7"/>
    <d v="2026-10-07T00:00:00"/>
    <n v="1144109351"/>
    <s v="SANCHEZ ARCINIEGAS STEVEN"/>
    <n v="1"/>
    <n v="0"/>
    <n v="37773"/>
  </r>
  <r>
    <s v="Retail"/>
    <s v="Q018 - Cali - Cc Jardin Plaza"/>
    <x v="2"/>
    <s v="octubre"/>
    <n v="7"/>
    <d v="2026-10-07T00:00:00"/>
    <n v="1193601115"/>
    <s v="OLAVE RODRIGUEZ ANGEL  JOSUE"/>
    <n v="37"/>
    <n v="0"/>
    <n v="2443826"/>
  </r>
  <r>
    <s v="Retail"/>
    <s v="Q029 - Cali - Cc Unico 1"/>
    <x v="2"/>
    <s v="septiembre"/>
    <n v="23"/>
    <d v="2026-09-23T00:00:00"/>
    <m/>
    <m/>
    <n v="0"/>
    <n v="25190705"/>
    <n v="0"/>
  </r>
  <r>
    <s v="Retail"/>
    <s v="Q029 - Cali - Cc Unico 1"/>
    <x v="2"/>
    <s v="septiembre"/>
    <n v="23"/>
    <d v="2026-09-23T00:00:00"/>
    <n v="6469923"/>
    <s v="RODRIGUEZ MELENDEZ ERWIN JOSE"/>
    <n v="74"/>
    <n v="0"/>
    <n v="4067947"/>
  </r>
  <r>
    <s v="Retail"/>
    <s v="Q029 - Cali - Cc Unico 1"/>
    <x v="2"/>
    <s v="septiembre"/>
    <n v="23"/>
    <d v="2026-09-23T00:00:00"/>
    <n v="1005707524"/>
    <s v="MOSQUERA MOLINA JHOAN SEBASTIAN"/>
    <n v="78"/>
    <n v="0"/>
    <n v="4008716"/>
  </r>
  <r>
    <s v="Retail"/>
    <s v="Q029 - Cali - Cc Unico 1"/>
    <x v="2"/>
    <s v="septiembre"/>
    <n v="23"/>
    <d v="2026-09-23T00:00:00"/>
    <n v="1107047599"/>
    <s v="HURTADO PAREDES CRISTIAN ANDRES"/>
    <n v="50"/>
    <n v="0"/>
    <n v="2430505"/>
  </r>
  <r>
    <s v="Retail"/>
    <s v="Q029 - Cali - Cc Unico 1"/>
    <x v="2"/>
    <s v="septiembre"/>
    <n v="23"/>
    <d v="2026-09-23T00:00:00"/>
    <n v="1111665228"/>
    <s v="RIVERA ZUÑIGA JUAN DIEGO"/>
    <n v="109"/>
    <n v="0"/>
    <n v="5366853"/>
  </r>
  <r>
    <s v="Retail"/>
    <s v="Q029 - Cali - Cc Unico 1"/>
    <x v="2"/>
    <s v="septiembre"/>
    <n v="23"/>
    <d v="2026-09-23T00:00:00"/>
    <n v="1193259913"/>
    <s v="PADILLA DOSMAN  ANGEL MARIO"/>
    <n v="-1"/>
    <n v="0"/>
    <n v="-41933"/>
  </r>
  <r>
    <s v="Retail"/>
    <s v="Q029 - Cali - Cc Unico 1"/>
    <x v="2"/>
    <s v="septiembre"/>
    <n v="24"/>
    <d v="2026-09-24T00:00:00"/>
    <m/>
    <m/>
    <n v="0"/>
    <n v="38481641"/>
    <n v="0"/>
  </r>
  <r>
    <s v="Retail"/>
    <s v="Q029 - Cali - Cc Unico 1"/>
    <x v="2"/>
    <s v="septiembre"/>
    <n v="24"/>
    <d v="2026-09-24T00:00:00"/>
    <n v="6469923"/>
    <s v="RODRIGUEZ MELENDEZ ERWIN JOSE"/>
    <n v="80"/>
    <n v="0"/>
    <n v="4450046"/>
  </r>
  <r>
    <s v="Retail"/>
    <s v="Q029 - Cali - Cc Unico 1"/>
    <x v="2"/>
    <s v="septiembre"/>
    <n v="24"/>
    <d v="2026-09-24T00:00:00"/>
    <n v="1005707524"/>
    <s v="MOSQUERA MOLINA JHOAN SEBASTIAN"/>
    <n v="115"/>
    <n v="0"/>
    <n v="6242870"/>
  </r>
  <r>
    <s v="Retail"/>
    <s v="Q029 - Cali - Cc Unico 1"/>
    <x v="2"/>
    <s v="septiembre"/>
    <n v="24"/>
    <d v="2026-09-24T00:00:00"/>
    <n v="1007028984"/>
    <s v="SMITH ANGULO ESTEFANI JANIS"/>
    <n v="10"/>
    <n v="0"/>
    <n v="520590"/>
  </r>
  <r>
    <s v="Retail"/>
    <s v="Q029 - Cali - Cc Unico 1"/>
    <x v="2"/>
    <s v="septiembre"/>
    <n v="24"/>
    <d v="2026-09-24T00:00:00"/>
    <n v="1105928523"/>
    <s v="ROJAS CAPERA SARA  LIZETH"/>
    <n v="32"/>
    <n v="0"/>
    <n v="1628657"/>
  </r>
  <r>
    <s v="Retail"/>
    <s v="Q029 - Cali - Cc Unico 1"/>
    <x v="2"/>
    <s v="septiembre"/>
    <n v="24"/>
    <d v="2026-09-24T00:00:00"/>
    <n v="1107047599"/>
    <s v="HURTADO PAREDES CRISTIAN ANDRES"/>
    <n v="59"/>
    <n v="0"/>
    <n v="2980633"/>
  </r>
  <r>
    <s v="Retail"/>
    <s v="Q029 - Cali - Cc Unico 1"/>
    <x v="2"/>
    <s v="septiembre"/>
    <n v="24"/>
    <d v="2026-09-24T00:00:00"/>
    <n v="1111665228"/>
    <s v="RIVERA ZUÑIGA JUAN DIEGO"/>
    <n v="106"/>
    <n v="0"/>
    <n v="4974082"/>
  </r>
  <r>
    <s v="Retail"/>
    <s v="Q029 - Cali - Cc Unico 1"/>
    <x v="2"/>
    <s v="septiembre"/>
    <n v="24"/>
    <d v="2026-09-24T00:00:00"/>
    <n v="1143984751"/>
    <s v="YEPE QUINTERO DANIELA"/>
    <n v="25"/>
    <n v="0"/>
    <n v="1490334"/>
  </r>
  <r>
    <s v="Retail"/>
    <s v="Q029 - Cali - Cc Unico 1"/>
    <x v="2"/>
    <s v="septiembre"/>
    <n v="25"/>
    <d v="2026-09-25T00:00:00"/>
    <m/>
    <m/>
    <n v="0"/>
    <n v="38396451"/>
    <n v="0"/>
  </r>
  <r>
    <s v="Retail"/>
    <s v="Q029 - Cali - Cc Unico 1"/>
    <x v="2"/>
    <s v="septiembre"/>
    <n v="25"/>
    <d v="2026-09-25T00:00:00"/>
    <n v="6469923"/>
    <s v="RODRIGUEZ MELENDEZ ERWIN JOSE"/>
    <n v="71"/>
    <n v="0"/>
    <n v="3611514"/>
  </r>
  <r>
    <s v="Retail"/>
    <s v="Q029 - Cali - Cc Unico 1"/>
    <x v="2"/>
    <s v="septiembre"/>
    <n v="25"/>
    <d v="2026-09-25T00:00:00"/>
    <n v="16919109"/>
    <s v="GONZALEZ PENA EDWARD FABIAN"/>
    <n v="-2"/>
    <n v="0"/>
    <n v="-113319"/>
  </r>
  <r>
    <s v="Retail"/>
    <s v="Q029 - Cali - Cc Unico 1"/>
    <x v="2"/>
    <s v="septiembre"/>
    <n v="25"/>
    <d v="2026-09-25T00:00:00"/>
    <n v="1005706861"/>
    <s v="BRAND MOSQUERA LINDA  MARYORI"/>
    <n v="-4"/>
    <n v="0"/>
    <n v="-243529"/>
  </r>
  <r>
    <s v="Retail"/>
    <s v="Q029 - Cali - Cc Unico 1"/>
    <x v="2"/>
    <s v="septiembre"/>
    <n v="25"/>
    <d v="2026-09-25T00:00:00"/>
    <n v="1005707524"/>
    <s v="MOSQUERA MOLINA JHOAN SEBASTIAN"/>
    <n v="83"/>
    <n v="0"/>
    <n v="3924667"/>
  </r>
  <r>
    <s v="Retail"/>
    <s v="Q029 - Cali - Cc Unico 1"/>
    <x v="2"/>
    <s v="septiembre"/>
    <n v="25"/>
    <d v="2026-09-25T00:00:00"/>
    <n v="1007028984"/>
    <s v="SMITH ANGULO ESTEFANI JANIS"/>
    <n v="32"/>
    <n v="0"/>
    <n v="1721217"/>
  </r>
  <r>
    <s v="Retail"/>
    <s v="Q029 - Cali - Cc Unico 1"/>
    <x v="2"/>
    <s v="septiembre"/>
    <n v="25"/>
    <d v="2026-09-25T00:00:00"/>
    <n v="1105928523"/>
    <s v="ROJAS CAPERA SARA  LIZETH"/>
    <n v="8"/>
    <n v="0"/>
    <n v="440799"/>
  </r>
  <r>
    <s v="Retail"/>
    <s v="Q029 - Cali - Cc Unico 1"/>
    <x v="2"/>
    <s v="septiembre"/>
    <n v="25"/>
    <d v="2026-09-25T00:00:00"/>
    <n v="1107047599"/>
    <s v="HURTADO PAREDES CRISTIAN ANDRES"/>
    <n v="74"/>
    <n v="0"/>
    <n v="4103573"/>
  </r>
  <r>
    <s v="Retail"/>
    <s v="Q029 - Cali - Cc Unico 1"/>
    <x v="2"/>
    <s v="septiembre"/>
    <n v="25"/>
    <d v="2026-09-25T00:00:00"/>
    <n v="1111665228"/>
    <s v="RIVERA ZUÑIGA JUAN DIEGO"/>
    <n v="73"/>
    <n v="0"/>
    <n v="3656092"/>
  </r>
  <r>
    <s v="Retail"/>
    <s v="Q029 - Cali - Cc Unico 1"/>
    <x v="2"/>
    <s v="septiembre"/>
    <n v="25"/>
    <d v="2026-09-25T00:00:00"/>
    <n v="1143984751"/>
    <s v="YEPE QUINTERO DANIELA"/>
    <n v="11"/>
    <n v="0"/>
    <n v="589790"/>
  </r>
  <r>
    <s v="Retail"/>
    <s v="Q029 - Cali - Cc Unico 1"/>
    <x v="2"/>
    <s v="septiembre"/>
    <n v="26"/>
    <d v="2026-09-26T00:00:00"/>
    <m/>
    <m/>
    <n v="0"/>
    <n v="55181218"/>
    <n v="0"/>
  </r>
  <r>
    <s v="Retail"/>
    <s v="Q029 - Cali - Cc Unico 1"/>
    <x v="2"/>
    <s v="septiembre"/>
    <n v="26"/>
    <d v="2026-09-26T00:00:00"/>
    <n v="6469923"/>
    <s v="RODRIGUEZ MELENDEZ ERWIN JOSE"/>
    <n v="291"/>
    <n v="0"/>
    <n v="16278384"/>
  </r>
  <r>
    <s v="Retail"/>
    <s v="Q029 - Cali - Cc Unico 1"/>
    <x v="2"/>
    <s v="septiembre"/>
    <n v="26"/>
    <d v="2026-09-26T00:00:00"/>
    <n v="1005707524"/>
    <s v="MOSQUERA MOLINA JHOAN SEBASTIAN"/>
    <n v="257"/>
    <n v="0"/>
    <n v="13507324"/>
  </r>
  <r>
    <s v="Retail"/>
    <s v="Q029 - Cali - Cc Unico 1"/>
    <x v="2"/>
    <s v="septiembre"/>
    <n v="26"/>
    <d v="2026-09-26T00:00:00"/>
    <n v="1007028984"/>
    <s v="SMITH ANGULO ESTEFANI JANIS"/>
    <n v="38"/>
    <n v="0"/>
    <n v="2111765"/>
  </r>
  <r>
    <s v="Retail"/>
    <s v="Q029 - Cali - Cc Unico 1"/>
    <x v="2"/>
    <s v="septiembre"/>
    <n v="26"/>
    <d v="2026-09-26T00:00:00"/>
    <n v="1094265298"/>
    <s v="PEÑA FIGUEROA GERSON  ESTEBAN"/>
    <n v="-2"/>
    <n v="0"/>
    <n v="-210000"/>
  </r>
  <r>
    <s v="Retail"/>
    <s v="Q029 - Cali - Cc Unico 1"/>
    <x v="2"/>
    <s v="septiembre"/>
    <n v="26"/>
    <d v="2026-09-26T00:00:00"/>
    <n v="1105928523"/>
    <s v="ROJAS CAPERA SARA  LIZETH"/>
    <n v="73"/>
    <n v="0"/>
    <n v="4355719"/>
  </r>
  <r>
    <s v="Retail"/>
    <s v="Q029 - Cali - Cc Unico 1"/>
    <x v="2"/>
    <s v="septiembre"/>
    <n v="26"/>
    <d v="2026-09-26T00:00:00"/>
    <n v="1107047599"/>
    <s v="HURTADO PAREDES CRISTIAN ANDRES"/>
    <n v="229"/>
    <n v="0"/>
    <n v="11638626"/>
  </r>
  <r>
    <s v="Retail"/>
    <s v="Q029 - Cali - Cc Unico 1"/>
    <x v="2"/>
    <s v="septiembre"/>
    <n v="26"/>
    <d v="2026-09-26T00:00:00"/>
    <n v="1111665228"/>
    <s v="RIVERA ZUÑIGA JUAN DIEGO"/>
    <n v="240"/>
    <n v="0"/>
    <n v="12337322"/>
  </r>
  <r>
    <s v="Retail"/>
    <s v="Q029 - Cali - Cc Unico 1"/>
    <x v="2"/>
    <s v="septiembre"/>
    <n v="26"/>
    <d v="2026-09-26T00:00:00"/>
    <n v="1112775615"/>
    <s v="CORREA DUQUE JOHN FAVER"/>
    <n v="6"/>
    <n v="0"/>
    <n v="79496"/>
  </r>
  <r>
    <s v="Retail"/>
    <s v="Q029 - Cali - Cc Unico 1"/>
    <x v="2"/>
    <s v="septiembre"/>
    <n v="26"/>
    <d v="2026-09-26T00:00:00"/>
    <n v="1118312125"/>
    <s v="CORREDOR  BUITRAGO ANGIE LIZETH "/>
    <n v="-1"/>
    <n v="0"/>
    <n v="-67185"/>
  </r>
  <r>
    <s v="Retail"/>
    <s v="Q029 - Cali - Cc Unico 1"/>
    <x v="2"/>
    <s v="septiembre"/>
    <n v="26"/>
    <d v="2026-09-26T00:00:00"/>
    <n v="1143984751"/>
    <s v="YEPE QUINTERO DANIELA"/>
    <n v="72"/>
    <n v="0"/>
    <n v="3815928"/>
  </r>
  <r>
    <s v="Retail"/>
    <s v="Q029 - Cali - Cc Unico 1"/>
    <x v="2"/>
    <s v="septiembre"/>
    <n v="27"/>
    <d v="2026-09-27T00:00:00"/>
    <m/>
    <m/>
    <n v="0"/>
    <n v="43714635"/>
    <n v="0"/>
  </r>
  <r>
    <s v="Retail"/>
    <s v="Q029 - Cali - Cc Unico 1"/>
    <x v="2"/>
    <s v="septiembre"/>
    <n v="27"/>
    <d v="2026-09-27T00:00:00"/>
    <n v="6469923"/>
    <s v="RODRIGUEZ MELENDEZ ERWIN JOSE"/>
    <n v="269"/>
    <n v="0"/>
    <n v="15153759"/>
  </r>
  <r>
    <s v="Retail"/>
    <s v="Q029 - Cali - Cc Unico 1"/>
    <x v="2"/>
    <s v="septiembre"/>
    <n v="27"/>
    <d v="2026-09-27T00:00:00"/>
    <n v="1005707524"/>
    <s v="MOSQUERA MOLINA JHOAN SEBASTIAN"/>
    <n v="272"/>
    <n v="0"/>
    <n v="14571393"/>
  </r>
  <r>
    <s v="Retail"/>
    <s v="Q029 - Cali - Cc Unico 1"/>
    <x v="2"/>
    <s v="septiembre"/>
    <n v="27"/>
    <d v="2026-09-27T00:00:00"/>
    <n v="1007028984"/>
    <s v="SMITH ANGULO ESTEFANI JANIS"/>
    <n v="74"/>
    <n v="0"/>
    <n v="4370634"/>
  </r>
  <r>
    <s v="Retail"/>
    <s v="Q029 - Cali - Cc Unico 1"/>
    <x v="2"/>
    <s v="septiembre"/>
    <n v="27"/>
    <d v="2026-09-27T00:00:00"/>
    <n v="1105928523"/>
    <s v="ROJAS CAPERA SARA  LIZETH"/>
    <n v="76"/>
    <n v="0"/>
    <n v="4387399"/>
  </r>
  <r>
    <s v="Retail"/>
    <s v="Q029 - Cali - Cc Unico 1"/>
    <x v="2"/>
    <s v="septiembre"/>
    <n v="27"/>
    <d v="2026-09-27T00:00:00"/>
    <n v="1107047599"/>
    <s v="HURTADO PAREDES CRISTIAN ANDRES"/>
    <n v="264"/>
    <n v="0"/>
    <n v="14784217"/>
  </r>
  <r>
    <s v="Retail"/>
    <s v="Q029 - Cali - Cc Unico 1"/>
    <x v="2"/>
    <s v="septiembre"/>
    <n v="27"/>
    <d v="2026-09-27T00:00:00"/>
    <n v="1111665228"/>
    <s v="RIVERA ZUÑIGA JUAN DIEGO"/>
    <n v="265"/>
    <n v="0"/>
    <n v="14055786"/>
  </r>
  <r>
    <s v="Retail"/>
    <s v="Q029 - Cali - Cc Unico 1"/>
    <x v="2"/>
    <s v="septiembre"/>
    <n v="27"/>
    <d v="2026-09-27T00:00:00"/>
    <n v="1112775615"/>
    <s v="CORREA DUQUE JOHN FAVER"/>
    <n v="1"/>
    <n v="0"/>
    <n v="25168"/>
  </r>
  <r>
    <s v="Retail"/>
    <s v="Q029 - Cali - Cc Unico 1"/>
    <x v="2"/>
    <s v="septiembre"/>
    <n v="27"/>
    <d v="2026-09-27T00:00:00"/>
    <n v="1143984751"/>
    <s v="YEPE QUINTERO DANIELA"/>
    <n v="100"/>
    <n v="0"/>
    <n v="5655130"/>
  </r>
  <r>
    <s v="Retail"/>
    <s v="Q029 - Cali - Cc Unico 1"/>
    <x v="2"/>
    <s v="septiembre"/>
    <n v="28"/>
    <d v="2026-09-28T00:00:00"/>
    <m/>
    <m/>
    <n v="0"/>
    <n v="24058743"/>
    <n v="0"/>
  </r>
  <r>
    <s v="Retail"/>
    <s v="Q029 - Cali - Cc Unico 1"/>
    <x v="2"/>
    <s v="septiembre"/>
    <n v="28"/>
    <d v="2026-09-28T00:00:00"/>
    <n v="6469923"/>
    <s v="RODRIGUEZ MELENDEZ ERWIN JOSE"/>
    <n v="117"/>
    <n v="0"/>
    <n v="5648661"/>
  </r>
  <r>
    <s v="Retail"/>
    <s v="Q029 - Cali - Cc Unico 1"/>
    <x v="2"/>
    <s v="septiembre"/>
    <n v="28"/>
    <d v="2026-09-28T00:00:00"/>
    <n v="1005707524"/>
    <s v="MOSQUERA MOLINA JHOAN SEBASTIAN"/>
    <n v="104"/>
    <n v="0"/>
    <n v="5015763"/>
  </r>
  <r>
    <s v="Retail"/>
    <s v="Q029 - Cali - Cc Unico 1"/>
    <x v="2"/>
    <s v="septiembre"/>
    <n v="28"/>
    <d v="2026-09-28T00:00:00"/>
    <n v="1107047599"/>
    <s v="HURTADO PAREDES CRISTIAN ANDRES"/>
    <n v="84"/>
    <n v="0"/>
    <n v="3895045"/>
  </r>
  <r>
    <s v="Retail"/>
    <s v="Q029 - Cali - Cc Unico 1"/>
    <x v="2"/>
    <s v="septiembre"/>
    <n v="28"/>
    <d v="2026-09-28T00:00:00"/>
    <n v="1111665228"/>
    <s v="RIVERA ZUÑIGA JUAN DIEGO"/>
    <n v="108"/>
    <n v="0"/>
    <n v="5154921"/>
  </r>
  <r>
    <s v="Retail"/>
    <s v="Q029 - Cali - Cc Unico 1"/>
    <x v="2"/>
    <s v="septiembre"/>
    <n v="28"/>
    <d v="2026-09-28T00:00:00"/>
    <n v="1112775615"/>
    <s v="CORREA DUQUE JOHN FAVER"/>
    <n v="6"/>
    <n v="0"/>
    <n v="78109"/>
  </r>
  <r>
    <s v="Retail"/>
    <s v="Q029 - Cali - Cc Unico 1"/>
    <x v="2"/>
    <s v="septiembre"/>
    <n v="28"/>
    <d v="2026-09-28T00:00:00"/>
    <n v="1143984751"/>
    <s v="YEPE QUINTERO DANIELA"/>
    <n v="25"/>
    <n v="0"/>
    <n v="1122731"/>
  </r>
  <r>
    <s v="Retail"/>
    <s v="Q029 - Cali - Cc Unico 1"/>
    <x v="2"/>
    <s v="septiembre"/>
    <n v="29"/>
    <d v="2026-09-29T00:00:00"/>
    <m/>
    <m/>
    <n v="0"/>
    <n v="25699442"/>
    <n v="0"/>
  </r>
  <r>
    <s v="Retail"/>
    <s v="Q029 - Cali - Cc Unico 1"/>
    <x v="2"/>
    <s v="septiembre"/>
    <n v="29"/>
    <d v="2026-09-29T00:00:00"/>
    <n v="6469923"/>
    <s v="RODRIGUEZ MELENDEZ ERWIN JOSE"/>
    <n v="128"/>
    <n v="0"/>
    <n v="5858490"/>
  </r>
  <r>
    <s v="Retail"/>
    <s v="Q029 - Cali - Cc Unico 1"/>
    <x v="2"/>
    <s v="septiembre"/>
    <n v="29"/>
    <d v="2026-09-29T00:00:00"/>
    <n v="1005707524"/>
    <s v="MOSQUERA MOLINA JHOAN SEBASTIAN"/>
    <n v="92"/>
    <n v="0"/>
    <n v="3910798"/>
  </r>
  <r>
    <s v="Retail"/>
    <s v="Q029 - Cali - Cc Unico 1"/>
    <x v="2"/>
    <s v="septiembre"/>
    <n v="29"/>
    <d v="2026-09-29T00:00:00"/>
    <n v="1007028984"/>
    <s v="SMITH ANGULO ESTEFANI JANIS"/>
    <n v="19"/>
    <n v="0"/>
    <n v="521848"/>
  </r>
  <r>
    <s v="Retail"/>
    <s v="Q029 - Cali - Cc Unico 1"/>
    <x v="2"/>
    <s v="septiembre"/>
    <n v="29"/>
    <d v="2026-09-29T00:00:00"/>
    <n v="1105928523"/>
    <s v="ROJAS CAPERA SARA  LIZETH"/>
    <n v="22"/>
    <n v="0"/>
    <n v="1158658"/>
  </r>
  <r>
    <s v="Retail"/>
    <s v="Q029 - Cali - Cc Unico 1"/>
    <x v="2"/>
    <s v="septiembre"/>
    <n v="29"/>
    <d v="2026-09-29T00:00:00"/>
    <n v="1107047599"/>
    <s v="HURTADO PAREDES CRISTIAN ANDRES"/>
    <n v="126"/>
    <n v="0"/>
    <n v="5307610"/>
  </r>
  <r>
    <s v="Retail"/>
    <s v="Q029 - Cali - Cc Unico 1"/>
    <x v="2"/>
    <s v="septiembre"/>
    <n v="29"/>
    <d v="2026-09-29T00:00:00"/>
    <n v="1111665228"/>
    <s v="RIVERA ZUÑIGA JUAN DIEGO"/>
    <n v="122"/>
    <n v="0"/>
    <n v="5374875"/>
  </r>
  <r>
    <s v="Retail"/>
    <s v="Q029 - Cali - Cc Unico 1"/>
    <x v="2"/>
    <s v="septiembre"/>
    <n v="29"/>
    <d v="2026-09-29T00:00:00"/>
    <n v="1112775615"/>
    <s v="CORREA DUQUE JOHN FAVER"/>
    <n v="7"/>
    <n v="0"/>
    <n v="45631"/>
  </r>
  <r>
    <s v="Retail"/>
    <s v="Q029 - Cali - Cc Unico 1"/>
    <x v="2"/>
    <s v="septiembre"/>
    <n v="30"/>
    <d v="2026-09-30T00:00:00"/>
    <m/>
    <m/>
    <n v="0"/>
    <n v="26547985"/>
    <n v="0"/>
  </r>
  <r>
    <s v="Retail"/>
    <s v="Q029 - Cali - Cc Unico 1"/>
    <x v="2"/>
    <s v="septiembre"/>
    <n v="30"/>
    <d v="2026-09-30T00:00:00"/>
    <n v="6469923"/>
    <s v="RODRIGUEZ MELENDEZ ERWIN JOSE"/>
    <n v="160"/>
    <n v="0"/>
    <n v="7568557"/>
  </r>
  <r>
    <s v="Retail"/>
    <s v="Q029 - Cali - Cc Unico 1"/>
    <x v="2"/>
    <s v="septiembre"/>
    <n v="30"/>
    <d v="2026-09-30T00:00:00"/>
    <n v="1005707524"/>
    <s v="MOSQUERA MOLINA JHOAN SEBASTIAN"/>
    <n v="98"/>
    <n v="0"/>
    <n v="4489879"/>
  </r>
  <r>
    <s v="Retail"/>
    <s v="Q029 - Cali - Cc Unico 1"/>
    <x v="2"/>
    <s v="septiembre"/>
    <n v="30"/>
    <d v="2026-09-30T00:00:00"/>
    <n v="1007028984"/>
    <s v="SMITH ANGULO ESTEFANI JANIS"/>
    <n v="4"/>
    <n v="0"/>
    <n v="172017"/>
  </r>
  <r>
    <s v="Retail"/>
    <s v="Q029 - Cali - Cc Unico 1"/>
    <x v="2"/>
    <s v="septiembre"/>
    <n v="30"/>
    <d v="2026-09-30T00:00:00"/>
    <n v="1007132542"/>
    <s v="SALCEDO CASTRILLON FRACHED"/>
    <n v="-1"/>
    <n v="0"/>
    <n v="-46177"/>
  </r>
  <r>
    <s v="Retail"/>
    <s v="Q029 - Cali - Cc Unico 1"/>
    <x v="2"/>
    <s v="septiembre"/>
    <n v="30"/>
    <d v="2026-09-30T00:00:00"/>
    <n v="1105928523"/>
    <s v="ROJAS CAPERA SARA  LIZETH"/>
    <n v="22"/>
    <n v="0"/>
    <n v="1162690"/>
  </r>
  <r>
    <s v="Retail"/>
    <s v="Q029 - Cali - Cc Unico 1"/>
    <x v="2"/>
    <s v="septiembre"/>
    <n v="30"/>
    <d v="2026-09-30T00:00:00"/>
    <n v="1107047599"/>
    <s v="HURTADO PAREDES CRISTIAN ANDRES"/>
    <n v="97"/>
    <n v="0"/>
    <n v="4453276"/>
  </r>
  <r>
    <s v="Retail"/>
    <s v="Q029 - Cali - Cc Unico 1"/>
    <x v="2"/>
    <s v="septiembre"/>
    <n v="30"/>
    <d v="2026-09-30T00:00:00"/>
    <n v="1109920243"/>
    <s v="MUTIZ VALDES NATHALIE"/>
    <n v="-1"/>
    <n v="0"/>
    <n v="-67185"/>
  </r>
  <r>
    <s v="Retail"/>
    <s v="Q029 - Cali - Cc Unico 1"/>
    <x v="2"/>
    <s v="septiembre"/>
    <n v="30"/>
    <d v="2026-09-30T00:00:00"/>
    <n v="1111665228"/>
    <s v="RIVERA ZUÑIGA JUAN DIEGO"/>
    <n v="73"/>
    <n v="0"/>
    <n v="3731598"/>
  </r>
  <r>
    <s v="Retail"/>
    <s v="Q029 - Cali - Cc Unico 1"/>
    <x v="2"/>
    <s v="septiembre"/>
    <n v="30"/>
    <d v="2026-09-30T00:00:00"/>
    <n v="1112775615"/>
    <s v="CORREA DUQUE JOHN FAVER"/>
    <n v="13"/>
    <n v="0"/>
    <n v="91555"/>
  </r>
  <r>
    <s v="Retail"/>
    <s v="Q029 - Cali - Cc Unico 1"/>
    <x v="2"/>
    <s v="septiembre"/>
    <n v="30"/>
    <d v="2026-09-30T00:00:00"/>
    <n v="1143851967"/>
    <s v="CASTILLO CASTILLO JOHAN SEBASTIAN"/>
    <n v="-2"/>
    <n v="0"/>
    <n v="-67059"/>
  </r>
  <r>
    <s v="Retail"/>
    <s v="Q029 - Cali - Cc Unico 1"/>
    <x v="2"/>
    <s v="septiembre"/>
    <n v="30"/>
    <d v="2026-09-30T00:00:00"/>
    <n v="1143984751"/>
    <s v="YEPE QUINTERO DANIELA"/>
    <n v="26"/>
    <n v="0"/>
    <n v="1162354"/>
  </r>
  <r>
    <s v="Retail"/>
    <s v="Q029 - Cali - Cc Unico 1"/>
    <x v="2"/>
    <s v="octubre"/>
    <n v="1"/>
    <d v="2026-10-01T00:00:00"/>
    <m/>
    <m/>
    <n v="0"/>
    <n v="25588083"/>
    <n v="0"/>
  </r>
  <r>
    <s v="Retail"/>
    <s v="Q029 - Cali - Cc Unico 1"/>
    <x v="2"/>
    <s v="octubre"/>
    <n v="1"/>
    <d v="2026-10-01T00:00:00"/>
    <n v="6469923"/>
    <s v="RODRIGUEZ MELENDEZ ERWIN JOSE"/>
    <n v="122"/>
    <n v="0"/>
    <n v="6169121"/>
  </r>
  <r>
    <s v="Retail"/>
    <s v="Q029 - Cali - Cc Unico 1"/>
    <x v="2"/>
    <s v="octubre"/>
    <n v="1"/>
    <d v="2026-10-01T00:00:00"/>
    <n v="1005707524"/>
    <s v="MOSQUERA MOLINA JHOAN SEBASTIAN"/>
    <n v="127"/>
    <n v="0"/>
    <n v="6511138"/>
  </r>
  <r>
    <s v="Retail"/>
    <s v="Q029 - Cali - Cc Unico 1"/>
    <x v="2"/>
    <s v="octubre"/>
    <n v="1"/>
    <d v="2026-10-01T00:00:00"/>
    <n v="1007028984"/>
    <s v="SMITH ANGULO ESTEFANI JANIS"/>
    <n v="19"/>
    <n v="0"/>
    <n v="776176"/>
  </r>
  <r>
    <s v="Retail"/>
    <s v="Q029 - Cali - Cc Unico 1"/>
    <x v="2"/>
    <s v="octubre"/>
    <n v="1"/>
    <d v="2026-10-01T00:00:00"/>
    <n v="1105928523"/>
    <s v="ROJAS CAPERA SARA  LIZETH"/>
    <n v="34"/>
    <n v="0"/>
    <n v="1649580"/>
  </r>
  <r>
    <s v="Retail"/>
    <s v="Q029 - Cali - Cc Unico 1"/>
    <x v="2"/>
    <s v="octubre"/>
    <n v="1"/>
    <d v="2026-10-01T00:00:00"/>
    <n v="1107047599"/>
    <s v="HURTADO PAREDES CRISTIAN ANDRES"/>
    <n v="99"/>
    <n v="0"/>
    <n v="5104497"/>
  </r>
  <r>
    <s v="Retail"/>
    <s v="Q029 - Cali - Cc Unico 1"/>
    <x v="2"/>
    <s v="octubre"/>
    <n v="1"/>
    <d v="2026-10-01T00:00:00"/>
    <n v="1111665228"/>
    <s v="RIVERA ZUÑIGA JUAN DIEGO"/>
    <n v="121"/>
    <n v="0"/>
    <n v="6297694"/>
  </r>
  <r>
    <s v="Retail"/>
    <s v="Q029 - Cali - Cc Unico 1"/>
    <x v="2"/>
    <s v="octubre"/>
    <n v="1"/>
    <d v="2026-10-01T00:00:00"/>
    <n v="1112775615"/>
    <s v="CORREA DUQUE JOHN FAVER"/>
    <n v="4"/>
    <n v="0"/>
    <n v="50084"/>
  </r>
  <r>
    <s v="Retail"/>
    <s v="Q029 - Cali - Cc Unico 1"/>
    <x v="2"/>
    <s v="octubre"/>
    <n v="1"/>
    <d v="2026-10-01T00:00:00"/>
    <n v="1143984751"/>
    <s v="YEPE QUINTERO DANIELA"/>
    <n v="2"/>
    <n v="0"/>
    <n v="75462"/>
  </r>
  <r>
    <s v="Retail"/>
    <s v="Q029 - Cali - Cc Unico 1"/>
    <x v="2"/>
    <s v="octubre"/>
    <n v="2"/>
    <d v="2026-10-02T00:00:00"/>
    <m/>
    <m/>
    <n v="0"/>
    <n v="21434275"/>
    <n v="0"/>
  </r>
  <r>
    <s v="Retail"/>
    <s v="Q029 - Cali - Cc Unico 1"/>
    <x v="2"/>
    <s v="octubre"/>
    <n v="2"/>
    <d v="2026-10-02T00:00:00"/>
    <n v="6469923"/>
    <s v="RODRIGUEZ MELENDEZ ERWIN JOSE"/>
    <n v="139"/>
    <n v="0"/>
    <n v="7007318"/>
  </r>
  <r>
    <s v="Retail"/>
    <s v="Q029 - Cali - Cc Unico 1"/>
    <x v="2"/>
    <s v="octubre"/>
    <n v="2"/>
    <d v="2026-10-02T00:00:00"/>
    <n v="1005707524"/>
    <s v="MOSQUERA MOLINA JHOAN SEBASTIAN"/>
    <n v="131"/>
    <n v="0"/>
    <n v="6931979"/>
  </r>
  <r>
    <s v="Retail"/>
    <s v="Q029 - Cali - Cc Unico 1"/>
    <x v="2"/>
    <s v="octubre"/>
    <n v="2"/>
    <d v="2026-10-02T00:00:00"/>
    <n v="1007028984"/>
    <s v="SMITH ANGULO ESTEFANI JANIS"/>
    <n v="8"/>
    <n v="0"/>
    <n v="341975"/>
  </r>
  <r>
    <s v="Retail"/>
    <s v="Q029 - Cali - Cc Unico 1"/>
    <x v="2"/>
    <s v="octubre"/>
    <n v="2"/>
    <d v="2026-10-02T00:00:00"/>
    <n v="1105928523"/>
    <s v="ROJAS CAPERA SARA  LIZETH"/>
    <n v="16"/>
    <n v="0"/>
    <n v="881514"/>
  </r>
  <r>
    <s v="Retail"/>
    <s v="Q029 - Cali - Cc Unico 1"/>
    <x v="2"/>
    <s v="octubre"/>
    <n v="2"/>
    <d v="2026-10-02T00:00:00"/>
    <n v="1111665228"/>
    <s v="RIVERA ZUÑIGA JUAN DIEGO"/>
    <n v="150"/>
    <n v="0"/>
    <n v="6553577"/>
  </r>
  <r>
    <s v="Retail"/>
    <s v="Q029 - Cali - Cc Unico 1"/>
    <x v="2"/>
    <s v="octubre"/>
    <n v="2"/>
    <d v="2026-10-02T00:00:00"/>
    <n v="1112775615"/>
    <s v="CORREA DUQUE JOHN FAVER"/>
    <n v="12"/>
    <n v="0"/>
    <n v="177687"/>
  </r>
  <r>
    <s v="Retail"/>
    <s v="Q029 - Cali - Cc Unico 1"/>
    <x v="2"/>
    <s v="octubre"/>
    <n v="2"/>
    <d v="2026-10-02T00:00:00"/>
    <n v="1143984751"/>
    <s v="YEPE QUINTERO DANIELA"/>
    <n v="15"/>
    <n v="0"/>
    <n v="667185"/>
  </r>
  <r>
    <s v="Retail"/>
    <s v="Q029 - Cali - Cc Unico 1"/>
    <x v="2"/>
    <s v="octubre"/>
    <n v="3"/>
    <d v="2026-10-03T00:00:00"/>
    <m/>
    <m/>
    <n v="0"/>
    <n v="59177078"/>
    <n v="0"/>
  </r>
  <r>
    <s v="Retail"/>
    <s v="Q029 - Cali - Cc Unico 1"/>
    <x v="2"/>
    <s v="octubre"/>
    <n v="3"/>
    <d v="2026-10-03T00:00:00"/>
    <n v="6469923"/>
    <s v="RODRIGUEZ MELENDEZ ERWIN JOSE"/>
    <n v="365"/>
    <n v="0"/>
    <n v="16760710"/>
  </r>
  <r>
    <s v="Retail"/>
    <s v="Q029 - Cali - Cc Unico 1"/>
    <x v="2"/>
    <s v="octubre"/>
    <n v="3"/>
    <d v="2026-10-03T00:00:00"/>
    <n v="1005707524"/>
    <s v="MOSQUERA MOLINA JHOAN SEBASTIAN"/>
    <n v="368"/>
    <n v="0"/>
    <n v="17476052"/>
  </r>
  <r>
    <s v="Retail"/>
    <s v="Q029 - Cali - Cc Unico 1"/>
    <x v="2"/>
    <s v="octubre"/>
    <n v="3"/>
    <d v="2026-10-03T00:00:00"/>
    <n v="1007028984"/>
    <s v="SMITH ANGULO ESTEFANI JANIS"/>
    <n v="40"/>
    <n v="0"/>
    <n v="1888828"/>
  </r>
  <r>
    <s v="Retail"/>
    <s v="Q029 - Cali - Cc Unico 1"/>
    <x v="2"/>
    <s v="octubre"/>
    <n v="3"/>
    <d v="2026-10-03T00:00:00"/>
    <n v="1087185324"/>
    <s v="GAVIRIA MONTAÑO PAOLA PILAR"/>
    <n v="-1"/>
    <n v="0"/>
    <n v="-31471"/>
  </r>
  <r>
    <s v="Retail"/>
    <s v="Q029 - Cali - Cc Unico 1"/>
    <x v="2"/>
    <s v="octubre"/>
    <n v="3"/>
    <d v="2026-10-03T00:00:00"/>
    <n v="1105928523"/>
    <s v="ROJAS CAPERA SARA  LIZETH"/>
    <n v="88"/>
    <n v="0"/>
    <n v="4033895"/>
  </r>
  <r>
    <s v="Retail"/>
    <s v="Q029 - Cali - Cc Unico 1"/>
    <x v="2"/>
    <s v="octubre"/>
    <n v="3"/>
    <d v="2026-10-03T00:00:00"/>
    <n v="1111665228"/>
    <s v="RIVERA ZUÑIGA JUAN DIEGO"/>
    <n v="318"/>
    <n v="0"/>
    <n v="15596367"/>
  </r>
  <r>
    <s v="Retail"/>
    <s v="Q029 - Cali - Cc Unico 1"/>
    <x v="2"/>
    <s v="octubre"/>
    <n v="3"/>
    <d v="2026-10-03T00:00:00"/>
    <n v="1112775615"/>
    <s v="CORREA DUQUE JOHN FAVER"/>
    <n v="10"/>
    <n v="0"/>
    <n v="175899"/>
  </r>
  <r>
    <s v="Retail"/>
    <s v="Q029 - Cali - Cc Unico 1"/>
    <x v="2"/>
    <s v="octubre"/>
    <n v="3"/>
    <d v="2026-10-03T00:00:00"/>
    <n v="1143984751"/>
    <s v="YEPE QUINTERO DANIELA"/>
    <n v="47"/>
    <n v="0"/>
    <n v="2174437"/>
  </r>
  <r>
    <s v="Retail"/>
    <s v="Q029 - Cali - Cc Unico 1"/>
    <x v="2"/>
    <s v="octubre"/>
    <n v="4"/>
    <d v="2026-10-04T00:00:00"/>
    <m/>
    <m/>
    <n v="0"/>
    <n v="73899619"/>
    <n v="0"/>
  </r>
  <r>
    <s v="Retail"/>
    <s v="Q029 - Cali - Cc Unico 1"/>
    <x v="2"/>
    <s v="octubre"/>
    <n v="4"/>
    <d v="2026-10-04T00:00:00"/>
    <n v="6469923"/>
    <s v="RODRIGUEZ MELENDEZ ERWIN JOSE"/>
    <n v="373"/>
    <n v="0"/>
    <n v="18535839"/>
  </r>
  <r>
    <s v="Retail"/>
    <s v="Q029 - Cali - Cc Unico 1"/>
    <x v="2"/>
    <s v="octubre"/>
    <n v="4"/>
    <d v="2026-10-04T00:00:00"/>
    <n v="1005707524"/>
    <s v="MOSQUERA MOLINA JHOAN SEBASTIAN"/>
    <n v="356"/>
    <n v="0"/>
    <n v="18368776"/>
  </r>
  <r>
    <s v="Retail"/>
    <s v="Q029 - Cali - Cc Unico 1"/>
    <x v="2"/>
    <s v="octubre"/>
    <n v="4"/>
    <d v="2026-10-04T00:00:00"/>
    <n v="1007028984"/>
    <s v="SMITH ANGULO ESTEFANI JANIS"/>
    <n v="33"/>
    <n v="0"/>
    <n v="1670716"/>
  </r>
  <r>
    <s v="Retail"/>
    <s v="Q029 - Cali - Cc Unico 1"/>
    <x v="2"/>
    <s v="octubre"/>
    <n v="4"/>
    <d v="2026-10-04T00:00:00"/>
    <n v="1007132542"/>
    <s v="SALCEDO CASTRILLON FRACHED"/>
    <n v="-1"/>
    <n v="0"/>
    <n v="-41975"/>
  </r>
  <r>
    <s v="Retail"/>
    <s v="Q029 - Cali - Cc Unico 1"/>
    <x v="2"/>
    <s v="octubre"/>
    <n v="4"/>
    <d v="2026-10-04T00:00:00"/>
    <n v="1105928523"/>
    <s v="ROJAS CAPERA SARA  LIZETH"/>
    <n v="59"/>
    <n v="0"/>
    <n v="3002373"/>
  </r>
  <r>
    <s v="Retail"/>
    <s v="Q029 - Cali - Cc Unico 1"/>
    <x v="2"/>
    <s v="octubre"/>
    <n v="4"/>
    <d v="2026-10-04T00:00:00"/>
    <n v="1109541659"/>
    <s v="MINA CRUZ SANTIAGO"/>
    <n v="-2"/>
    <n v="0"/>
    <n v="-151176"/>
  </r>
  <r>
    <s v="Retail"/>
    <s v="Q029 - Cali - Cc Unico 1"/>
    <x v="2"/>
    <s v="octubre"/>
    <n v="4"/>
    <d v="2026-10-04T00:00:00"/>
    <n v="1111665228"/>
    <s v="RIVERA ZUÑIGA JUAN DIEGO"/>
    <n v="343"/>
    <n v="0"/>
    <n v="17893445"/>
  </r>
  <r>
    <s v="Retail"/>
    <s v="Q029 - Cali - Cc Unico 1"/>
    <x v="2"/>
    <s v="octubre"/>
    <n v="4"/>
    <d v="2026-10-04T00:00:00"/>
    <n v="1112775615"/>
    <s v="CORREA DUQUE JOHN FAVER"/>
    <n v="19"/>
    <n v="0"/>
    <n v="313782"/>
  </r>
  <r>
    <s v="Retail"/>
    <s v="Q029 - Cali - Cc Unico 1"/>
    <x v="2"/>
    <s v="octubre"/>
    <n v="4"/>
    <d v="2026-10-04T00:00:00"/>
    <n v="1143984751"/>
    <s v="YEPE QUINTERO DANIELA"/>
    <n v="38"/>
    <n v="0"/>
    <n v="1818430"/>
  </r>
  <r>
    <s v="Retail"/>
    <s v="Q029 - Cali - Cc Unico 1"/>
    <x v="2"/>
    <s v="octubre"/>
    <n v="4"/>
    <d v="2026-10-04T00:00:00"/>
    <n v="1144159588"/>
    <s v="ARCE CASTELLANOS CRISTIAN ALBERTO"/>
    <n v="-1"/>
    <n v="0"/>
    <n v="-32294"/>
  </r>
  <r>
    <s v="Retail"/>
    <s v="Q029 - Cali - Cc Unico 1"/>
    <x v="2"/>
    <s v="octubre"/>
    <n v="5"/>
    <d v="2026-10-05T00:00:00"/>
    <m/>
    <m/>
    <n v="0"/>
    <n v="29111921"/>
    <n v="0"/>
  </r>
  <r>
    <s v="Retail"/>
    <s v="Q029 - Cali - Cc Unico 1"/>
    <x v="2"/>
    <s v="octubre"/>
    <n v="5"/>
    <d v="2026-10-05T00:00:00"/>
    <n v="6469923"/>
    <s v="RODRIGUEZ MELENDEZ ERWIN JOSE"/>
    <n v="159"/>
    <n v="0"/>
    <n v="7113955"/>
  </r>
  <r>
    <s v="Retail"/>
    <s v="Q029 - Cali - Cc Unico 1"/>
    <x v="2"/>
    <s v="octubre"/>
    <n v="5"/>
    <d v="2026-10-05T00:00:00"/>
    <n v="1005707524"/>
    <s v="MOSQUERA MOLINA JHOAN SEBASTIAN"/>
    <n v="138"/>
    <n v="0"/>
    <n v="6472480"/>
  </r>
  <r>
    <s v="Retail"/>
    <s v="Q029 - Cali - Cc Unico 1"/>
    <x v="2"/>
    <s v="octubre"/>
    <n v="5"/>
    <d v="2026-10-05T00:00:00"/>
    <n v="1007028984"/>
    <s v="SMITH ANGULO ESTEFANI JANIS"/>
    <n v="1"/>
    <n v="0"/>
    <n v="41933"/>
  </r>
  <r>
    <s v="Retail"/>
    <s v="Q029 - Cali - Cc Unico 1"/>
    <x v="2"/>
    <s v="octubre"/>
    <n v="5"/>
    <d v="2026-10-05T00:00:00"/>
    <n v="1038822751"/>
    <s v="HOYOS  LEON WENDY VANESSA "/>
    <n v="-1"/>
    <n v="0"/>
    <n v="-67185"/>
  </r>
  <r>
    <s v="Retail"/>
    <s v="Q029 - Cali - Cc Unico 1"/>
    <x v="2"/>
    <s v="octubre"/>
    <n v="5"/>
    <d v="2026-10-05T00:00:00"/>
    <n v="1105928523"/>
    <s v="ROJAS CAPERA SARA  LIZETH"/>
    <n v="12"/>
    <n v="0"/>
    <n v="503698"/>
  </r>
  <r>
    <s v="Retail"/>
    <s v="Q029 - Cali - Cc Unico 1"/>
    <x v="2"/>
    <s v="octubre"/>
    <n v="5"/>
    <d v="2026-10-05T00:00:00"/>
    <n v="1111665228"/>
    <s v="RIVERA ZUÑIGA JUAN DIEGO"/>
    <n v="138"/>
    <n v="0"/>
    <n v="6707607"/>
  </r>
  <r>
    <s v="Retail"/>
    <s v="Q029 - Cali - Cc Unico 1"/>
    <x v="2"/>
    <s v="octubre"/>
    <n v="5"/>
    <d v="2026-10-05T00:00:00"/>
    <n v="1112775615"/>
    <s v="CORREA DUQUE JOHN FAVER"/>
    <n v="7"/>
    <n v="0"/>
    <n v="83654"/>
  </r>
  <r>
    <s v="Retail"/>
    <s v="Q029 - Cali - Cc Unico 1"/>
    <x v="2"/>
    <s v="octubre"/>
    <n v="6"/>
    <d v="2026-10-06T00:00:00"/>
    <m/>
    <m/>
    <n v="0"/>
    <n v="12950958"/>
    <n v="0"/>
  </r>
  <r>
    <s v="Retail"/>
    <s v="Q029 - Cali - Cc Unico 1"/>
    <x v="2"/>
    <s v="octubre"/>
    <n v="6"/>
    <d v="2026-10-06T00:00:00"/>
    <n v="6469923"/>
    <s v="RODRIGUEZ MELENDEZ ERWIN JOSE"/>
    <n v="70"/>
    <n v="0"/>
    <n v="3204498"/>
  </r>
  <r>
    <s v="Retail"/>
    <s v="Q029 - Cali - Cc Unico 1"/>
    <x v="2"/>
    <s v="octubre"/>
    <n v="6"/>
    <d v="2026-10-06T00:00:00"/>
    <n v="1005706861"/>
    <s v="BRAND MOSQUERA LINDA  MARYORI"/>
    <n v="-1"/>
    <n v="0"/>
    <n v="-76412"/>
  </r>
  <r>
    <s v="Retail"/>
    <s v="Q029 - Cali - Cc Unico 1"/>
    <x v="2"/>
    <s v="octubre"/>
    <n v="6"/>
    <d v="2026-10-06T00:00:00"/>
    <n v="1005707524"/>
    <s v="MOSQUERA MOLINA JHOAN SEBASTIAN"/>
    <n v="95"/>
    <n v="0"/>
    <n v="4278989"/>
  </r>
  <r>
    <s v="Retail"/>
    <s v="Q029 - Cali - Cc Unico 1"/>
    <x v="2"/>
    <s v="octubre"/>
    <n v="6"/>
    <d v="2026-10-06T00:00:00"/>
    <n v="1107047599"/>
    <s v="HURTADO PAREDES CRISTIAN ANDRES"/>
    <n v="45"/>
    <n v="0"/>
    <n v="2182520"/>
  </r>
  <r>
    <s v="Retail"/>
    <s v="Q029 - Cali - Cc Unico 1"/>
    <x v="2"/>
    <s v="octubre"/>
    <n v="6"/>
    <d v="2026-10-06T00:00:00"/>
    <n v="1111665228"/>
    <s v="RIVERA ZUÑIGA JUAN DIEGO"/>
    <n v="78"/>
    <n v="0"/>
    <n v="3306421"/>
  </r>
  <r>
    <s v="Retail"/>
    <s v="Q029 - Cali - Cc Unico 1"/>
    <x v="2"/>
    <s v="octubre"/>
    <n v="6"/>
    <d v="2026-10-06T00:00:00"/>
    <n v="1112775615"/>
    <s v="CORREA DUQUE JOHN FAVER"/>
    <n v="0"/>
    <n v="0"/>
    <n v="-46261"/>
  </r>
  <r>
    <s v="Retail"/>
    <s v="Q029 - Cali - Cc Unico 1"/>
    <x v="2"/>
    <s v="octubre"/>
    <n v="6"/>
    <d v="2026-10-06T00:00:00"/>
    <n v="1143851967"/>
    <s v="CASTILLO CASTILLO JOHAN SEBASTIAN"/>
    <n v="-1"/>
    <n v="0"/>
    <n v="-37731"/>
  </r>
  <r>
    <s v="Retail"/>
    <s v="Q029 - Cali - Cc Unico 1"/>
    <x v="2"/>
    <s v="octubre"/>
    <n v="7"/>
    <d v="2026-10-07T00:00:00"/>
    <m/>
    <m/>
    <n v="0"/>
    <n v="12849207"/>
    <n v="0"/>
  </r>
  <r>
    <s v="Retail"/>
    <s v="Q029 - Cali - Cc Unico 1"/>
    <x v="2"/>
    <s v="octubre"/>
    <n v="7"/>
    <d v="2026-10-07T00:00:00"/>
    <n v="6469923"/>
    <s v="RODRIGUEZ MELENDEZ ERWIN JOSE"/>
    <n v="115"/>
    <n v="0"/>
    <n v="5385461"/>
  </r>
  <r>
    <s v="Retail"/>
    <s v="Q029 - Cali - Cc Unico 1"/>
    <x v="2"/>
    <s v="octubre"/>
    <n v="7"/>
    <d v="2026-10-07T00:00:00"/>
    <n v="16919109"/>
    <s v="GONZALEZ PENA EDWARD FABIAN"/>
    <n v="-1"/>
    <n v="0"/>
    <n v="-75588"/>
  </r>
  <r>
    <s v="Retail"/>
    <s v="Q029 - Cali - Cc Unico 1"/>
    <x v="2"/>
    <s v="octubre"/>
    <n v="7"/>
    <d v="2026-10-07T00:00:00"/>
    <n v="1005707524"/>
    <s v="MOSQUERA MOLINA JHOAN SEBASTIAN"/>
    <n v="73"/>
    <n v="0"/>
    <n v="3567901"/>
  </r>
  <r>
    <s v="Retail"/>
    <s v="Q029 - Cali - Cc Unico 1"/>
    <x v="2"/>
    <s v="octubre"/>
    <n v="7"/>
    <d v="2026-10-07T00:00:00"/>
    <n v="1107047599"/>
    <s v="HURTADO PAREDES CRISTIAN ANDRES"/>
    <n v="36"/>
    <n v="0"/>
    <n v="1682899"/>
  </r>
  <r>
    <s v="Retail"/>
    <s v="Q029 - Cali - Cc Unico 1"/>
    <x v="2"/>
    <s v="octubre"/>
    <n v="7"/>
    <d v="2026-10-07T00:00:00"/>
    <n v="1109541659"/>
    <s v="MINA CRUZ SANTIAGO"/>
    <n v="-1"/>
    <n v="0"/>
    <n v="-92395"/>
  </r>
  <r>
    <s v="Retail"/>
    <s v="Q029 - Cali - Cc Unico 1"/>
    <x v="2"/>
    <s v="octubre"/>
    <n v="7"/>
    <d v="2026-10-07T00:00:00"/>
    <n v="1111665228"/>
    <s v="RIVERA ZUÑIGA JUAN DIEGO"/>
    <n v="84"/>
    <n v="0"/>
    <n v="4208112"/>
  </r>
  <r>
    <s v="Retail"/>
    <s v="Q029 - Cali - Cc Unico 1"/>
    <x v="2"/>
    <s v="octubre"/>
    <n v="7"/>
    <d v="2026-10-07T00:00:00"/>
    <n v="1112775615"/>
    <s v="CORREA DUQUE JOHN FAVER"/>
    <n v="4"/>
    <n v="0"/>
    <n v="-56975"/>
  </r>
  <r>
    <s v="Retail"/>
    <s v="Q030 - Popayan - Cc Campanario"/>
    <x v="2"/>
    <s v="septiembre"/>
    <n v="23"/>
    <d v="2026-09-23T00:00:00"/>
    <m/>
    <m/>
    <n v="0"/>
    <n v="27281309"/>
    <n v="0"/>
  </r>
  <r>
    <s v="Retail"/>
    <s v="Q030 - Popayan - Cc Campanario"/>
    <x v="2"/>
    <s v="septiembre"/>
    <n v="23"/>
    <d v="2026-09-23T00:00:00"/>
    <n v="1002957897"/>
    <s v="CACHIMBO SANCHEZ VALERIA"/>
    <n v="102"/>
    <n v="0"/>
    <n v="5203448"/>
  </r>
  <r>
    <s v="Retail"/>
    <s v="Q030 - Popayan - Cc Campanario"/>
    <x v="2"/>
    <s v="septiembre"/>
    <n v="23"/>
    <d v="2026-09-23T00:00:00"/>
    <n v="1004148578"/>
    <s v="MUSSE PERDOMO  MAIRA ALEJANDRA"/>
    <n v="43"/>
    <n v="0"/>
    <n v="2489793"/>
  </r>
  <r>
    <s v="Retail"/>
    <s v="Q030 - Popayan - Cc Campanario"/>
    <x v="2"/>
    <s v="septiembre"/>
    <n v="23"/>
    <d v="2026-09-23T00:00:00"/>
    <n v="1007145358"/>
    <s v="QUIÑONES AGREDO  JUAN PABLO"/>
    <n v="35"/>
    <n v="0"/>
    <n v="2040549"/>
  </r>
  <r>
    <s v="Retail"/>
    <s v="Q030 - Popayan - Cc Campanario"/>
    <x v="2"/>
    <s v="septiembre"/>
    <n v="23"/>
    <d v="2026-09-23T00:00:00"/>
    <n v="1058968650"/>
    <s v="GAVIRIA CALVACHE WILLIAN"/>
    <n v="107"/>
    <n v="0"/>
    <n v="5480633"/>
  </r>
  <r>
    <s v="Retail"/>
    <s v="Q030 - Popayan - Cc Campanario"/>
    <x v="2"/>
    <s v="septiembre"/>
    <n v="23"/>
    <d v="2026-09-23T00:00:00"/>
    <n v="1061774213"/>
    <s v="POTOSI GOMEZ DEISY LORENA"/>
    <n v="21"/>
    <n v="0"/>
    <n v="1150336"/>
  </r>
  <r>
    <s v="Retail"/>
    <s v="Q030 - Popayan - Cc Campanario"/>
    <x v="2"/>
    <s v="septiembre"/>
    <n v="23"/>
    <d v="2026-09-23T00:00:00"/>
    <n v="1061814088"/>
    <s v="HERNANDEZ  MAILE CAMILA"/>
    <n v="131"/>
    <n v="0"/>
    <n v="6792692"/>
  </r>
  <r>
    <s v="Retail"/>
    <s v="Q030 - Popayan - Cc Campanario"/>
    <x v="2"/>
    <s v="septiembre"/>
    <n v="23"/>
    <d v="2026-09-23T00:00:00"/>
    <n v="1083906980"/>
    <s v="MOSQUERA GUAR  CARLOS ANDRÉS"/>
    <n v="32"/>
    <n v="0"/>
    <n v="1929328"/>
  </r>
  <r>
    <s v="Retail"/>
    <s v="Q030 - Popayan - Cc Campanario"/>
    <x v="2"/>
    <s v="septiembre"/>
    <n v="24"/>
    <d v="2026-09-24T00:00:00"/>
    <m/>
    <m/>
    <n v="0"/>
    <n v="41675268"/>
    <n v="0"/>
  </r>
  <r>
    <s v="Retail"/>
    <s v="Q030 - Popayan - Cc Campanario"/>
    <x v="2"/>
    <s v="septiembre"/>
    <n v="24"/>
    <d v="2026-09-24T00:00:00"/>
    <n v="1002607819"/>
    <s v="RAMIREZ  TORRES INGRITH MICHELLE "/>
    <n v="-1"/>
    <n v="0"/>
    <n v="-105000"/>
  </r>
  <r>
    <s v="Retail"/>
    <s v="Q030 - Popayan - Cc Campanario"/>
    <x v="2"/>
    <s v="septiembre"/>
    <n v="24"/>
    <d v="2026-09-24T00:00:00"/>
    <n v="1002957897"/>
    <s v="CACHIMBO SANCHEZ VALERIA"/>
    <n v="135"/>
    <n v="0"/>
    <n v="7422740"/>
  </r>
  <r>
    <s v="Retail"/>
    <s v="Q030 - Popayan - Cc Campanario"/>
    <x v="2"/>
    <s v="septiembre"/>
    <n v="24"/>
    <d v="2026-09-24T00:00:00"/>
    <n v="1004148578"/>
    <s v="MUSSE PERDOMO  MAIRA ALEJANDRA"/>
    <n v="40"/>
    <n v="0"/>
    <n v="2536095"/>
  </r>
  <r>
    <s v="Retail"/>
    <s v="Q030 - Popayan - Cc Campanario"/>
    <x v="2"/>
    <s v="septiembre"/>
    <n v="24"/>
    <d v="2026-09-24T00:00:00"/>
    <n v="1007145358"/>
    <s v="QUIÑONES AGREDO  JUAN PABLO"/>
    <n v="37"/>
    <n v="0"/>
    <n v="2130800"/>
  </r>
  <r>
    <s v="Retail"/>
    <s v="Q030 - Popayan - Cc Campanario"/>
    <x v="2"/>
    <s v="septiembre"/>
    <n v="24"/>
    <d v="2026-09-24T00:00:00"/>
    <n v="1058968650"/>
    <s v="GAVIRIA CALVACHE WILLIAN"/>
    <n v="119"/>
    <n v="0"/>
    <n v="6049334"/>
  </r>
  <r>
    <s v="Retail"/>
    <s v="Q030 - Popayan - Cc Campanario"/>
    <x v="2"/>
    <s v="septiembre"/>
    <n v="24"/>
    <d v="2026-09-24T00:00:00"/>
    <n v="1061535746"/>
    <s v="PECHENE CASAMACHIN EDWIN YESID"/>
    <n v="19"/>
    <n v="0"/>
    <n v="1100043"/>
  </r>
  <r>
    <s v="Retail"/>
    <s v="Q030 - Popayan - Cc Campanario"/>
    <x v="2"/>
    <s v="septiembre"/>
    <n v="24"/>
    <d v="2026-09-24T00:00:00"/>
    <n v="1061774213"/>
    <s v="POTOSI GOMEZ DEISY LORENA"/>
    <n v="31"/>
    <n v="0"/>
    <n v="1683574"/>
  </r>
  <r>
    <s v="Retail"/>
    <s v="Q030 - Popayan - Cc Campanario"/>
    <x v="2"/>
    <s v="septiembre"/>
    <n v="24"/>
    <d v="2026-09-24T00:00:00"/>
    <n v="1061814088"/>
    <s v="HERNANDEZ  MAILE CAMILA"/>
    <n v="153"/>
    <n v="0"/>
    <n v="8157276"/>
  </r>
  <r>
    <s v="Retail"/>
    <s v="Q030 - Popayan - Cc Campanario"/>
    <x v="2"/>
    <s v="septiembre"/>
    <n v="24"/>
    <d v="2026-09-24T00:00:00"/>
    <n v="1061816802"/>
    <s v="NARVAEZ  JHOINNER EFREN"/>
    <n v="-1"/>
    <n v="0"/>
    <n v="-41118"/>
  </r>
  <r>
    <s v="Retail"/>
    <s v="Q030 - Popayan - Cc Campanario"/>
    <x v="2"/>
    <s v="septiembre"/>
    <n v="24"/>
    <d v="2026-09-24T00:00:00"/>
    <n v="1063816927"/>
    <s v="NAVIA CAJAS LUIS FERNANDO"/>
    <n v="-1"/>
    <n v="0"/>
    <n v="-79790"/>
  </r>
  <r>
    <s v="Retail"/>
    <s v="Q030 - Popayan - Cc Campanario"/>
    <x v="2"/>
    <s v="septiembre"/>
    <n v="24"/>
    <d v="2026-09-24T00:00:00"/>
    <n v="1083906980"/>
    <s v="MOSQUERA GUAR  CARLOS ANDRÉS"/>
    <n v="19"/>
    <n v="0"/>
    <n v="1045421"/>
  </r>
  <r>
    <s v="Retail"/>
    <s v="Q030 - Popayan - Cc Campanario"/>
    <x v="2"/>
    <s v="septiembre"/>
    <n v="25"/>
    <d v="2026-09-25T00:00:00"/>
    <m/>
    <m/>
    <n v="0"/>
    <n v="41583007"/>
    <n v="0"/>
  </r>
  <r>
    <s v="Retail"/>
    <s v="Q030 - Popayan - Cc Campanario"/>
    <x v="2"/>
    <s v="septiembre"/>
    <n v="25"/>
    <d v="2026-09-25T00:00:00"/>
    <n v="1002957897"/>
    <s v="CACHIMBO SANCHEZ VALERIA"/>
    <n v="122"/>
    <n v="0"/>
    <n v="7303575"/>
  </r>
  <r>
    <s v="Retail"/>
    <s v="Q030 - Popayan - Cc Campanario"/>
    <x v="2"/>
    <s v="septiembre"/>
    <n v="25"/>
    <d v="2026-09-25T00:00:00"/>
    <n v="1004148578"/>
    <s v="MUSSE PERDOMO  MAIRA ALEJANDRA"/>
    <n v="27"/>
    <n v="0"/>
    <n v="1650128"/>
  </r>
  <r>
    <s v="Retail"/>
    <s v="Q030 - Popayan - Cc Campanario"/>
    <x v="2"/>
    <s v="septiembre"/>
    <n v="25"/>
    <d v="2026-09-25T00:00:00"/>
    <n v="1007145358"/>
    <s v="QUIÑONES AGREDO  JUAN PABLO"/>
    <n v="30"/>
    <n v="0"/>
    <n v="1813825"/>
  </r>
  <r>
    <s v="Retail"/>
    <s v="Q030 - Popayan - Cc Campanario"/>
    <x v="2"/>
    <s v="septiembre"/>
    <n v="25"/>
    <d v="2026-09-25T00:00:00"/>
    <n v="1058968650"/>
    <s v="GAVIRIA CALVACHE WILLIAN"/>
    <n v="116"/>
    <n v="0"/>
    <n v="6276558"/>
  </r>
  <r>
    <s v="Retail"/>
    <s v="Q030 - Popayan - Cc Campanario"/>
    <x v="2"/>
    <s v="septiembre"/>
    <n v="25"/>
    <d v="2026-09-25T00:00:00"/>
    <n v="1061535746"/>
    <s v="PECHENE CASAMACHIN EDWIN YESID"/>
    <n v="24"/>
    <n v="0"/>
    <n v="1087231"/>
  </r>
  <r>
    <s v="Retail"/>
    <s v="Q030 - Popayan - Cc Campanario"/>
    <x v="2"/>
    <s v="septiembre"/>
    <n v="25"/>
    <d v="2026-09-25T00:00:00"/>
    <n v="1061770250"/>
    <s v="CHILITO  BAIRON ANDRES"/>
    <n v="-5"/>
    <n v="0"/>
    <n v="-272857"/>
  </r>
  <r>
    <s v="Retail"/>
    <s v="Q030 - Popayan - Cc Campanario"/>
    <x v="2"/>
    <s v="septiembre"/>
    <n v="25"/>
    <d v="2026-09-25T00:00:00"/>
    <n v="1061773714"/>
    <s v="PALECHOR  YOLILYN ANDREA"/>
    <n v="-1"/>
    <n v="0"/>
    <n v="-75588"/>
  </r>
  <r>
    <s v="Retail"/>
    <s v="Q030 - Popayan - Cc Campanario"/>
    <x v="2"/>
    <s v="septiembre"/>
    <n v="25"/>
    <d v="2026-09-25T00:00:00"/>
    <n v="1061774213"/>
    <s v="POTOSI GOMEZ DEISY LORENA"/>
    <n v="21"/>
    <n v="0"/>
    <n v="1326851"/>
  </r>
  <r>
    <s v="Retail"/>
    <s v="Q030 - Popayan - Cc Campanario"/>
    <x v="2"/>
    <s v="septiembre"/>
    <n v="25"/>
    <d v="2026-09-25T00:00:00"/>
    <n v="1061814088"/>
    <s v="HERNANDEZ  MAILE CAMILA"/>
    <n v="144"/>
    <n v="0"/>
    <n v="7396389"/>
  </r>
  <r>
    <s v="Retail"/>
    <s v="Q030 - Popayan - Cc Campanario"/>
    <x v="2"/>
    <s v="septiembre"/>
    <n v="25"/>
    <d v="2026-09-25T00:00:00"/>
    <n v="1083906980"/>
    <s v="MOSQUERA GUAR  CARLOS ANDRÉS"/>
    <n v="15"/>
    <n v="0"/>
    <n v="806010"/>
  </r>
  <r>
    <s v="Retail"/>
    <s v="Q030 - Popayan - Cc Campanario"/>
    <x v="2"/>
    <s v="septiembre"/>
    <n v="26"/>
    <d v="2026-09-26T00:00:00"/>
    <m/>
    <m/>
    <n v="0"/>
    <n v="59760761"/>
    <n v="0"/>
  </r>
  <r>
    <s v="Retail"/>
    <s v="Q030 - Popayan - Cc Campanario"/>
    <x v="2"/>
    <s v="septiembre"/>
    <n v="26"/>
    <d v="2026-09-26T00:00:00"/>
    <n v="1002957897"/>
    <s v="CACHIMBO SANCHEZ VALERIA"/>
    <n v="221"/>
    <n v="0"/>
    <n v="12277577"/>
  </r>
  <r>
    <s v="Retail"/>
    <s v="Q030 - Popayan - Cc Campanario"/>
    <x v="2"/>
    <s v="septiembre"/>
    <n v="26"/>
    <d v="2026-09-26T00:00:00"/>
    <n v="1004148578"/>
    <s v="MUSSE PERDOMO  MAIRA ALEJANDRA"/>
    <n v="88"/>
    <n v="0"/>
    <n v="5495760"/>
  </r>
  <r>
    <s v="Retail"/>
    <s v="Q030 - Popayan - Cc Campanario"/>
    <x v="2"/>
    <s v="septiembre"/>
    <n v="26"/>
    <d v="2026-09-26T00:00:00"/>
    <n v="1007145358"/>
    <s v="QUIÑONES AGREDO  JUAN PABLO"/>
    <n v="40"/>
    <n v="0"/>
    <n v="2036013"/>
  </r>
  <r>
    <s v="Retail"/>
    <s v="Q030 - Popayan - Cc Campanario"/>
    <x v="2"/>
    <s v="septiembre"/>
    <n v="26"/>
    <d v="2026-09-26T00:00:00"/>
    <n v="1058968650"/>
    <s v="GAVIRIA CALVACHE WILLIAN"/>
    <n v="193"/>
    <n v="0"/>
    <n v="10722570"/>
  </r>
  <r>
    <s v="Retail"/>
    <s v="Q030 - Popayan - Cc Campanario"/>
    <x v="2"/>
    <s v="septiembre"/>
    <n v="26"/>
    <d v="2026-09-26T00:00:00"/>
    <n v="1061535746"/>
    <s v="PECHENE CASAMACHIN EDWIN YESID"/>
    <n v="43"/>
    <n v="0"/>
    <n v="2514752"/>
  </r>
  <r>
    <s v="Retail"/>
    <s v="Q030 - Popayan - Cc Campanario"/>
    <x v="2"/>
    <s v="septiembre"/>
    <n v="26"/>
    <d v="2026-09-26T00:00:00"/>
    <n v="1061770250"/>
    <s v="CHILITO  BAIRON ANDRES"/>
    <n v="-1"/>
    <n v="0"/>
    <n v="-83949"/>
  </r>
  <r>
    <s v="Retail"/>
    <s v="Q030 - Popayan - Cc Campanario"/>
    <x v="2"/>
    <s v="septiembre"/>
    <n v="26"/>
    <d v="2026-09-26T00:00:00"/>
    <n v="1061774213"/>
    <s v="POTOSI GOMEZ DEISY LORENA"/>
    <n v="81"/>
    <n v="0"/>
    <n v="4466809"/>
  </r>
  <r>
    <s v="Retail"/>
    <s v="Q030 - Popayan - Cc Campanario"/>
    <x v="2"/>
    <s v="septiembre"/>
    <n v="26"/>
    <d v="2026-09-26T00:00:00"/>
    <n v="1061814088"/>
    <s v="HERNANDEZ  MAILE CAMILA"/>
    <n v="195"/>
    <n v="0"/>
    <n v="11193156"/>
  </r>
  <r>
    <s v="Retail"/>
    <s v="Q030 - Popayan - Cc Campanario"/>
    <x v="2"/>
    <s v="septiembre"/>
    <n v="26"/>
    <d v="2026-09-26T00:00:00"/>
    <n v="1083906980"/>
    <s v="MOSQUERA GUAR  CARLOS ANDRÉS"/>
    <n v="21"/>
    <n v="0"/>
    <n v="1276389"/>
  </r>
  <r>
    <s v="Retail"/>
    <s v="Q030 - Popayan - Cc Campanario"/>
    <x v="2"/>
    <s v="septiembre"/>
    <n v="27"/>
    <d v="2026-09-27T00:00:00"/>
    <m/>
    <m/>
    <n v="0"/>
    <n v="47342555"/>
    <n v="0"/>
  </r>
  <r>
    <s v="Retail"/>
    <s v="Q030 - Popayan - Cc Campanario"/>
    <x v="2"/>
    <s v="septiembre"/>
    <n v="27"/>
    <d v="2026-09-27T00:00:00"/>
    <n v="1002957897"/>
    <s v="CACHIMBO SANCHEZ VALERIA"/>
    <n v="183"/>
    <n v="0"/>
    <n v="11552528"/>
  </r>
  <r>
    <s v="Retail"/>
    <s v="Q030 - Popayan - Cc Campanario"/>
    <x v="2"/>
    <s v="septiembre"/>
    <n v="27"/>
    <d v="2026-09-27T00:00:00"/>
    <n v="1004148578"/>
    <s v="MUSSE PERDOMO  MAIRA ALEJANDRA"/>
    <n v="60"/>
    <n v="0"/>
    <n v="3633955"/>
  </r>
  <r>
    <s v="Retail"/>
    <s v="Q030 - Popayan - Cc Campanario"/>
    <x v="2"/>
    <s v="septiembre"/>
    <n v="27"/>
    <d v="2026-09-27T00:00:00"/>
    <n v="1007145358"/>
    <s v="QUIÑONES AGREDO  JUAN PABLO"/>
    <n v="43"/>
    <n v="0"/>
    <n v="2750252"/>
  </r>
  <r>
    <s v="Retail"/>
    <s v="Q030 - Popayan - Cc Campanario"/>
    <x v="2"/>
    <s v="septiembre"/>
    <n v="27"/>
    <d v="2026-09-27T00:00:00"/>
    <n v="1058968650"/>
    <s v="GAVIRIA CALVACHE WILLIAN"/>
    <n v="157"/>
    <n v="0"/>
    <n v="8562193"/>
  </r>
  <r>
    <s v="Retail"/>
    <s v="Q030 - Popayan - Cc Campanario"/>
    <x v="2"/>
    <s v="septiembre"/>
    <n v="27"/>
    <d v="2026-09-27T00:00:00"/>
    <n v="1059234731"/>
    <s v="MONTENEGRO COTACIO MARY LUZ"/>
    <n v="-1"/>
    <n v="0"/>
    <n v="-58781"/>
  </r>
  <r>
    <s v="Retail"/>
    <s v="Q030 - Popayan - Cc Campanario"/>
    <x v="2"/>
    <s v="septiembre"/>
    <n v="27"/>
    <d v="2026-09-27T00:00:00"/>
    <n v="1061535746"/>
    <s v="PECHENE CASAMACHIN EDWIN YESID"/>
    <n v="25"/>
    <n v="0"/>
    <n v="1223699"/>
  </r>
  <r>
    <s v="Retail"/>
    <s v="Q030 - Popayan - Cc Campanario"/>
    <x v="2"/>
    <s v="septiembre"/>
    <n v="27"/>
    <d v="2026-09-27T00:00:00"/>
    <n v="1061774213"/>
    <s v="POTOSI GOMEZ DEISY LORENA"/>
    <n v="69"/>
    <n v="0"/>
    <n v="4910884"/>
  </r>
  <r>
    <s v="Retail"/>
    <s v="Q030 - Popayan - Cc Campanario"/>
    <x v="2"/>
    <s v="septiembre"/>
    <n v="27"/>
    <d v="2026-09-27T00:00:00"/>
    <n v="1061814088"/>
    <s v="HERNANDEZ  MAILE CAMILA"/>
    <n v="193"/>
    <n v="0"/>
    <n v="11613285"/>
  </r>
  <r>
    <s v="Retail"/>
    <s v="Q030 - Popayan - Cc Campanario"/>
    <x v="2"/>
    <s v="septiembre"/>
    <n v="27"/>
    <d v="2026-09-27T00:00:00"/>
    <n v="1063816927"/>
    <s v="NAVIA CAJAS LUIS FERNANDO"/>
    <n v="-1"/>
    <n v="0"/>
    <n v="-117563"/>
  </r>
  <r>
    <s v="Retail"/>
    <s v="Q030 - Popayan - Cc Campanario"/>
    <x v="2"/>
    <s v="septiembre"/>
    <n v="27"/>
    <d v="2026-09-27T00:00:00"/>
    <n v="1083906980"/>
    <s v="MOSQUERA GUAR  CARLOS ANDRÉS"/>
    <n v="7"/>
    <n v="0"/>
    <n v="428279"/>
  </r>
  <r>
    <s v="Retail"/>
    <s v="Q030 - Popayan - Cc Campanario"/>
    <x v="2"/>
    <s v="septiembre"/>
    <n v="28"/>
    <d v="2026-09-28T00:00:00"/>
    <m/>
    <m/>
    <n v="0"/>
    <n v="26055399"/>
    <n v="0"/>
  </r>
  <r>
    <s v="Retail"/>
    <s v="Q030 - Popayan - Cc Campanario"/>
    <x v="2"/>
    <s v="septiembre"/>
    <n v="28"/>
    <d v="2026-09-28T00:00:00"/>
    <n v="34319130"/>
    <s v="RUIZ  MAGALY ANDREA"/>
    <n v="-1"/>
    <n v="0"/>
    <n v="-159580"/>
  </r>
  <r>
    <s v="Retail"/>
    <s v="Q030 - Popayan - Cc Campanario"/>
    <x v="2"/>
    <s v="septiembre"/>
    <n v="28"/>
    <d v="2026-09-28T00:00:00"/>
    <n v="1002607819"/>
    <s v="RAMIREZ  TORRES INGRITH MICHELLE "/>
    <n v="-1"/>
    <n v="0"/>
    <n v="-100798"/>
  </r>
  <r>
    <s v="Retail"/>
    <s v="Q030 - Popayan - Cc Campanario"/>
    <x v="2"/>
    <s v="septiembre"/>
    <n v="28"/>
    <d v="2026-09-28T00:00:00"/>
    <n v="1002957897"/>
    <s v="CACHIMBO SANCHEZ VALERIA"/>
    <n v="66"/>
    <n v="0"/>
    <n v="4013871"/>
  </r>
  <r>
    <s v="Retail"/>
    <s v="Q030 - Popayan - Cc Campanario"/>
    <x v="2"/>
    <s v="septiembre"/>
    <n v="28"/>
    <d v="2026-09-28T00:00:00"/>
    <n v="1004148578"/>
    <s v="MUSSE PERDOMO  MAIRA ALEJANDRA"/>
    <n v="54"/>
    <n v="0"/>
    <n v="2886265"/>
  </r>
  <r>
    <s v="Retail"/>
    <s v="Q030 - Popayan - Cc Campanario"/>
    <x v="2"/>
    <s v="septiembre"/>
    <n v="28"/>
    <d v="2026-09-28T00:00:00"/>
    <n v="1007145358"/>
    <s v="QUIÑONES AGREDO  JUAN PABLO"/>
    <n v="35"/>
    <n v="0"/>
    <n v="2027817"/>
  </r>
  <r>
    <s v="Retail"/>
    <s v="Q030 - Popayan - Cc Campanario"/>
    <x v="2"/>
    <s v="septiembre"/>
    <n v="28"/>
    <d v="2026-09-28T00:00:00"/>
    <n v="1058968650"/>
    <s v="GAVIRIA CALVACHE WILLIAN"/>
    <n v="76"/>
    <n v="0"/>
    <n v="4584836"/>
  </r>
  <r>
    <s v="Retail"/>
    <s v="Q030 - Popayan - Cc Campanario"/>
    <x v="2"/>
    <s v="septiembre"/>
    <n v="28"/>
    <d v="2026-09-28T00:00:00"/>
    <n v="1061774213"/>
    <s v="POTOSI GOMEZ DEISY LORENA"/>
    <n v="35"/>
    <n v="0"/>
    <n v="1937608"/>
  </r>
  <r>
    <s v="Retail"/>
    <s v="Q030 - Popayan - Cc Campanario"/>
    <x v="2"/>
    <s v="septiembre"/>
    <n v="28"/>
    <d v="2026-09-28T00:00:00"/>
    <n v="1061814088"/>
    <s v="HERNANDEZ  MAILE CAMILA"/>
    <n v="75"/>
    <n v="0"/>
    <n v="4618616"/>
  </r>
  <r>
    <s v="Retail"/>
    <s v="Q030 - Popayan - Cc Campanario"/>
    <x v="2"/>
    <s v="septiembre"/>
    <n v="28"/>
    <d v="2026-09-28T00:00:00"/>
    <n v="1083906980"/>
    <s v="MOSQUERA GUAR  CARLOS ANDRÉS"/>
    <n v="10"/>
    <n v="0"/>
    <n v="516220"/>
  </r>
  <r>
    <s v="Retail"/>
    <s v="Q030 - Popayan - Cc Campanario"/>
    <x v="2"/>
    <s v="septiembre"/>
    <n v="29"/>
    <d v="2026-09-29T00:00:00"/>
    <m/>
    <m/>
    <n v="0"/>
    <n v="19065569"/>
    <n v="0"/>
  </r>
  <r>
    <s v="Retail"/>
    <s v="Q030 - Popayan - Cc Campanario"/>
    <x v="2"/>
    <s v="septiembre"/>
    <n v="29"/>
    <d v="2026-09-29T00:00:00"/>
    <n v="1002957897"/>
    <s v="CACHIMBO SANCHEZ VALERIA"/>
    <n v="65"/>
    <n v="0"/>
    <n v="4148490"/>
  </r>
  <r>
    <s v="Retail"/>
    <s v="Q030 - Popayan - Cc Campanario"/>
    <x v="2"/>
    <s v="septiembre"/>
    <n v="29"/>
    <d v="2026-09-29T00:00:00"/>
    <n v="1002970518"/>
    <s v="FLOR PIZO LEIDY ALEJANDRA"/>
    <n v="-1"/>
    <n v="0"/>
    <n v="-109202"/>
  </r>
  <r>
    <s v="Retail"/>
    <s v="Q030 - Popayan - Cc Campanario"/>
    <x v="2"/>
    <s v="septiembre"/>
    <n v="29"/>
    <d v="2026-09-29T00:00:00"/>
    <n v="1004148578"/>
    <s v="MUSSE PERDOMO  MAIRA ALEJANDRA"/>
    <n v="22"/>
    <n v="0"/>
    <n v="1026388"/>
  </r>
  <r>
    <s v="Retail"/>
    <s v="Q030 - Popayan - Cc Campanario"/>
    <x v="2"/>
    <s v="septiembre"/>
    <n v="29"/>
    <d v="2026-09-29T00:00:00"/>
    <n v="1007145358"/>
    <s v="QUIÑONES AGREDO  JUAN PABLO"/>
    <n v="41"/>
    <n v="0"/>
    <n v="2401598"/>
  </r>
  <r>
    <s v="Retail"/>
    <s v="Q030 - Popayan - Cc Campanario"/>
    <x v="2"/>
    <s v="septiembre"/>
    <n v="29"/>
    <d v="2026-09-29T00:00:00"/>
    <n v="1058968650"/>
    <s v="GAVIRIA CALVACHE WILLIAN"/>
    <n v="111"/>
    <n v="0"/>
    <n v="6339753"/>
  </r>
  <r>
    <s v="Retail"/>
    <s v="Q030 - Popayan - Cc Campanario"/>
    <x v="2"/>
    <s v="septiembre"/>
    <n v="29"/>
    <d v="2026-09-29T00:00:00"/>
    <n v="1061773714"/>
    <s v="PALECHOR  YOLILYN ANDREA"/>
    <n v="-1"/>
    <n v="0"/>
    <n v="-37773"/>
  </r>
  <r>
    <s v="Retail"/>
    <s v="Q030 - Popayan - Cc Campanario"/>
    <x v="2"/>
    <s v="septiembre"/>
    <n v="29"/>
    <d v="2026-09-29T00:00:00"/>
    <n v="1061774213"/>
    <s v="POTOSI GOMEZ DEISY LORENA"/>
    <n v="19"/>
    <n v="0"/>
    <n v="948741"/>
  </r>
  <r>
    <s v="Retail"/>
    <s v="Q030 - Popayan - Cc Campanario"/>
    <x v="2"/>
    <s v="septiembre"/>
    <n v="29"/>
    <d v="2026-09-29T00:00:00"/>
    <n v="1061814088"/>
    <s v="HERNANDEZ  MAILE CAMILA"/>
    <n v="63"/>
    <n v="0"/>
    <n v="3524545"/>
  </r>
  <r>
    <s v="Retail"/>
    <s v="Q030 - Popayan - Cc Campanario"/>
    <x v="2"/>
    <s v="septiembre"/>
    <n v="29"/>
    <d v="2026-09-29T00:00:00"/>
    <n v="1083906980"/>
    <s v="MOSQUERA GUAR  CARLOS ANDRÉS"/>
    <n v="12"/>
    <n v="0"/>
    <n v="823028"/>
  </r>
  <r>
    <s v="Retail"/>
    <s v="Q030 - Popayan - Cc Campanario"/>
    <x v="2"/>
    <s v="septiembre"/>
    <n v="30"/>
    <d v="2026-09-30T00:00:00"/>
    <m/>
    <m/>
    <n v="0"/>
    <n v="28751226"/>
    <n v="0"/>
  </r>
  <r>
    <s v="Retail"/>
    <s v="Q030 - Popayan - Cc Campanario"/>
    <x v="2"/>
    <s v="septiembre"/>
    <n v="30"/>
    <d v="2026-09-30T00:00:00"/>
    <n v="1002957897"/>
    <s v="CACHIMBO SANCHEZ VALERIA"/>
    <n v="61"/>
    <n v="0"/>
    <n v="3810465"/>
  </r>
  <r>
    <s v="Retail"/>
    <s v="Q030 - Popayan - Cc Campanario"/>
    <x v="2"/>
    <s v="septiembre"/>
    <n v="30"/>
    <d v="2026-09-30T00:00:00"/>
    <n v="1004148578"/>
    <s v="MUSSE PERDOMO  MAIRA ALEJANDRA"/>
    <n v="69"/>
    <n v="0"/>
    <n v="3959163"/>
  </r>
  <r>
    <s v="Retail"/>
    <s v="Q030 - Popayan - Cc Campanario"/>
    <x v="2"/>
    <s v="septiembre"/>
    <n v="30"/>
    <d v="2026-09-30T00:00:00"/>
    <n v="1058968650"/>
    <s v="GAVIRIA CALVACHE WILLIAN"/>
    <n v="116"/>
    <n v="0"/>
    <n v="7625132"/>
  </r>
  <r>
    <s v="Retail"/>
    <s v="Q030 - Popayan - Cc Campanario"/>
    <x v="2"/>
    <s v="septiembre"/>
    <n v="30"/>
    <d v="2026-09-30T00:00:00"/>
    <n v="1061774213"/>
    <s v="POTOSI GOMEZ DEISY LORENA"/>
    <n v="65"/>
    <n v="0"/>
    <n v="4049665"/>
  </r>
  <r>
    <s v="Retail"/>
    <s v="Q030 - Popayan - Cc Campanario"/>
    <x v="2"/>
    <s v="septiembre"/>
    <n v="30"/>
    <d v="2026-09-30T00:00:00"/>
    <n v="1061814088"/>
    <s v="HERNANDEZ  MAILE CAMILA"/>
    <n v="90"/>
    <n v="0"/>
    <n v="5342735"/>
  </r>
  <r>
    <s v="Retail"/>
    <s v="Q030 - Popayan - Cc Campanario"/>
    <x v="2"/>
    <s v="septiembre"/>
    <n v="30"/>
    <d v="2026-09-30T00:00:00"/>
    <n v="1083906980"/>
    <s v="MOSQUERA GUAR  CARLOS ANDRÉS"/>
    <n v="24"/>
    <n v="0"/>
    <n v="1553573"/>
  </r>
  <r>
    <s v="Retail"/>
    <s v="Q030 - Popayan - Cc Campanario"/>
    <x v="2"/>
    <s v="octubre"/>
    <n v="1"/>
    <d v="2026-10-01T00:00:00"/>
    <m/>
    <m/>
    <n v="0"/>
    <n v="20421947"/>
    <n v="0"/>
  </r>
  <r>
    <s v="Retail"/>
    <s v="Q030 - Popayan - Cc Campanario"/>
    <x v="2"/>
    <s v="octubre"/>
    <n v="1"/>
    <d v="2026-10-01T00:00:00"/>
    <n v="1002957897"/>
    <s v="CACHIMBO SANCHEZ VALERIA"/>
    <n v="71"/>
    <n v="0"/>
    <n v="4635506"/>
  </r>
  <r>
    <s v="Retail"/>
    <s v="Q030 - Popayan - Cc Campanario"/>
    <x v="2"/>
    <s v="octubre"/>
    <n v="1"/>
    <d v="2026-10-01T00:00:00"/>
    <n v="1002960105"/>
    <s v="RIASCOS  ARMERO KAROL TATIANA "/>
    <n v="27"/>
    <n v="0"/>
    <n v="1551304"/>
  </r>
  <r>
    <s v="Retail"/>
    <s v="Q030 - Popayan - Cc Campanario"/>
    <x v="2"/>
    <s v="octubre"/>
    <n v="1"/>
    <d v="2026-10-01T00:00:00"/>
    <n v="1004593130"/>
    <s v="IMBAJOA DELACRUZ LUISA FERNANDA"/>
    <n v="-1"/>
    <n v="0"/>
    <n v="-105000"/>
  </r>
  <r>
    <s v="Retail"/>
    <s v="Q030 - Popayan - Cc Campanario"/>
    <x v="2"/>
    <s v="octubre"/>
    <n v="1"/>
    <d v="2026-10-01T00:00:00"/>
    <n v="1007145358"/>
    <s v="QUIÑONES AGREDO  JUAN PABLO"/>
    <n v="39"/>
    <n v="0"/>
    <n v="2153739"/>
  </r>
  <r>
    <s v="Retail"/>
    <s v="Q030 - Popayan - Cc Campanario"/>
    <x v="2"/>
    <s v="octubre"/>
    <n v="1"/>
    <d v="2026-10-01T00:00:00"/>
    <n v="1058968650"/>
    <s v="GAVIRIA CALVACHE WILLIAN"/>
    <n v="61"/>
    <n v="0"/>
    <n v="3614880"/>
  </r>
  <r>
    <s v="Retail"/>
    <s v="Q030 - Popayan - Cc Campanario"/>
    <x v="2"/>
    <s v="octubre"/>
    <n v="1"/>
    <d v="2026-10-01T00:00:00"/>
    <n v="1061774213"/>
    <s v="POTOSI GOMEZ DEISY LORENA"/>
    <n v="32"/>
    <n v="0"/>
    <n v="2090968"/>
  </r>
  <r>
    <s v="Retail"/>
    <s v="Q030 - Popayan - Cc Campanario"/>
    <x v="2"/>
    <s v="octubre"/>
    <n v="1"/>
    <d v="2026-10-01T00:00:00"/>
    <n v="1061814088"/>
    <s v="HERNANDEZ  MAILE CAMILA"/>
    <n v="86"/>
    <n v="0"/>
    <n v="4573999"/>
  </r>
  <r>
    <s v="Retail"/>
    <s v="Q030 - Popayan - Cc Campanario"/>
    <x v="2"/>
    <s v="octubre"/>
    <n v="1"/>
    <d v="2026-10-01T00:00:00"/>
    <n v="1083906980"/>
    <s v="MOSQUERA GUAR  CARLOS ANDRÉS"/>
    <n v="15"/>
    <n v="0"/>
    <n v="1213658"/>
  </r>
  <r>
    <s v="Retail"/>
    <s v="Q030 - Popayan - Cc Campanario"/>
    <x v="2"/>
    <s v="octubre"/>
    <n v="2"/>
    <d v="2026-10-02T00:00:00"/>
    <m/>
    <m/>
    <n v="0"/>
    <n v="22374371"/>
    <n v="0"/>
  </r>
  <r>
    <s v="Retail"/>
    <s v="Q030 - Popayan - Cc Campanario"/>
    <x v="2"/>
    <s v="octubre"/>
    <n v="2"/>
    <d v="2026-10-02T00:00:00"/>
    <n v="1002607819"/>
    <s v="RAMIREZ  TORRES INGRITH MICHELLE "/>
    <n v="-2"/>
    <n v="0"/>
    <n v="-118386"/>
  </r>
  <r>
    <s v="Retail"/>
    <s v="Q030 - Popayan - Cc Campanario"/>
    <x v="2"/>
    <s v="octubre"/>
    <n v="2"/>
    <d v="2026-10-02T00:00:00"/>
    <n v="1002957897"/>
    <s v="CACHIMBO SANCHEZ VALERIA"/>
    <n v="71"/>
    <n v="0"/>
    <n v="4622946"/>
  </r>
  <r>
    <s v="Retail"/>
    <s v="Q030 - Popayan - Cc Campanario"/>
    <x v="2"/>
    <s v="octubre"/>
    <n v="2"/>
    <d v="2026-10-02T00:00:00"/>
    <n v="1002960105"/>
    <s v="RIASCOS  ARMERO KAROL TATIANA "/>
    <n v="38"/>
    <n v="0"/>
    <n v="2313278"/>
  </r>
  <r>
    <s v="Retail"/>
    <s v="Q030 - Popayan - Cc Campanario"/>
    <x v="2"/>
    <s v="octubre"/>
    <n v="2"/>
    <d v="2026-10-02T00:00:00"/>
    <n v="1004148578"/>
    <s v="MUSSE PERDOMO  MAIRA ALEJANDRA"/>
    <n v="50"/>
    <n v="0"/>
    <n v="2955759"/>
  </r>
  <r>
    <s v="Retail"/>
    <s v="Q030 - Popayan - Cc Campanario"/>
    <x v="2"/>
    <s v="octubre"/>
    <n v="2"/>
    <d v="2026-10-02T00:00:00"/>
    <n v="1007145358"/>
    <s v="QUIÑONES AGREDO  JUAN PABLO"/>
    <n v="16"/>
    <n v="0"/>
    <n v="1032943"/>
  </r>
  <r>
    <s v="Retail"/>
    <s v="Q030 - Popayan - Cc Campanario"/>
    <x v="2"/>
    <s v="octubre"/>
    <n v="2"/>
    <d v="2026-10-02T00:00:00"/>
    <n v="1058968650"/>
    <s v="GAVIRIA CALVACHE WILLIAN"/>
    <n v="86"/>
    <n v="0"/>
    <n v="5147400"/>
  </r>
  <r>
    <s v="Retail"/>
    <s v="Q030 - Popayan - Cc Campanario"/>
    <x v="2"/>
    <s v="octubre"/>
    <n v="2"/>
    <d v="2026-10-02T00:00:00"/>
    <n v="1061770250"/>
    <s v="CHILITO  BAIRON ANDRES"/>
    <n v="-1"/>
    <n v="0"/>
    <n v="-54580"/>
  </r>
  <r>
    <s v="Retail"/>
    <s v="Q030 - Popayan - Cc Campanario"/>
    <x v="2"/>
    <s v="octubre"/>
    <n v="2"/>
    <d v="2026-10-02T00:00:00"/>
    <n v="1061774213"/>
    <s v="POTOSI GOMEZ DEISY LORENA"/>
    <n v="-1"/>
    <n v="0"/>
    <n v="-83992"/>
  </r>
  <r>
    <s v="Retail"/>
    <s v="Q030 - Popayan - Cc Campanario"/>
    <x v="2"/>
    <s v="octubre"/>
    <n v="2"/>
    <d v="2026-10-02T00:00:00"/>
    <n v="1061814088"/>
    <s v="HERNANDEZ  MAILE CAMILA"/>
    <n v="92"/>
    <n v="0"/>
    <n v="5437067"/>
  </r>
  <r>
    <s v="Retail"/>
    <s v="Q030 - Popayan - Cc Campanario"/>
    <x v="2"/>
    <s v="octubre"/>
    <n v="3"/>
    <d v="2026-10-03T00:00:00"/>
    <m/>
    <m/>
    <n v="0"/>
    <n v="32915359"/>
    <n v="0"/>
  </r>
  <r>
    <s v="Retail"/>
    <s v="Q030 - Popayan - Cc Campanario"/>
    <x v="2"/>
    <s v="octubre"/>
    <n v="3"/>
    <d v="2026-10-03T00:00:00"/>
    <n v="1002607819"/>
    <s v="RAMIREZ  TORRES INGRITH MICHELLE "/>
    <n v="-1"/>
    <n v="0"/>
    <n v="-79790"/>
  </r>
  <r>
    <s v="Retail"/>
    <s v="Q030 - Popayan - Cc Campanario"/>
    <x v="2"/>
    <s v="octubre"/>
    <n v="3"/>
    <d v="2026-10-03T00:00:00"/>
    <n v="1002957897"/>
    <s v="CACHIMBO SANCHEZ VALERIA"/>
    <n v="167"/>
    <n v="0"/>
    <n v="10274779"/>
  </r>
  <r>
    <s v="Retail"/>
    <s v="Q030 - Popayan - Cc Campanario"/>
    <x v="2"/>
    <s v="octubre"/>
    <n v="3"/>
    <d v="2026-10-03T00:00:00"/>
    <n v="1002960105"/>
    <s v="RIASCOS  ARMERO KAROL TATIANA "/>
    <n v="56"/>
    <n v="0"/>
    <n v="3179312"/>
  </r>
  <r>
    <s v="Retail"/>
    <s v="Q030 - Popayan - Cc Campanario"/>
    <x v="2"/>
    <s v="octubre"/>
    <n v="3"/>
    <d v="2026-10-03T00:00:00"/>
    <n v="1002972668"/>
    <s v="LASSO ORDOÑEZ DORIS ADRIANA"/>
    <n v="-2"/>
    <n v="0"/>
    <n v="-104958"/>
  </r>
  <r>
    <s v="Retail"/>
    <s v="Q030 - Popayan - Cc Campanario"/>
    <x v="2"/>
    <s v="octubre"/>
    <n v="3"/>
    <d v="2026-10-03T00:00:00"/>
    <n v="1004148578"/>
    <s v="MUSSE PERDOMO  MAIRA ALEJANDRA"/>
    <n v="74"/>
    <n v="0"/>
    <n v="4631442"/>
  </r>
  <r>
    <s v="Retail"/>
    <s v="Q030 - Popayan - Cc Campanario"/>
    <x v="2"/>
    <s v="octubre"/>
    <n v="3"/>
    <d v="2026-10-03T00:00:00"/>
    <n v="1007145358"/>
    <s v="QUIÑONES AGREDO  JUAN PABLO"/>
    <n v="55"/>
    <n v="0"/>
    <n v="3236445"/>
  </r>
  <r>
    <s v="Retail"/>
    <s v="Q030 - Popayan - Cc Campanario"/>
    <x v="2"/>
    <s v="octubre"/>
    <n v="3"/>
    <d v="2026-10-03T00:00:00"/>
    <n v="1058968650"/>
    <s v="GAVIRIA CALVACHE WILLIAN"/>
    <n v="174"/>
    <n v="0"/>
    <n v="9165781"/>
  </r>
  <r>
    <s v="Retail"/>
    <s v="Q030 - Popayan - Cc Campanario"/>
    <x v="2"/>
    <s v="octubre"/>
    <n v="3"/>
    <d v="2026-10-03T00:00:00"/>
    <n v="1061774213"/>
    <s v="POTOSI GOMEZ DEISY LORENA"/>
    <n v="75"/>
    <n v="0"/>
    <n v="4475653"/>
  </r>
  <r>
    <s v="Retail"/>
    <s v="Q030 - Popayan - Cc Campanario"/>
    <x v="2"/>
    <s v="octubre"/>
    <n v="3"/>
    <d v="2026-10-03T00:00:00"/>
    <n v="1061814088"/>
    <s v="HERNANDEZ  MAILE CAMILA"/>
    <n v="199"/>
    <n v="0"/>
    <n v="10930105"/>
  </r>
  <r>
    <s v="Retail"/>
    <s v="Q030 - Popayan - Cc Campanario"/>
    <x v="2"/>
    <s v="octubre"/>
    <n v="3"/>
    <d v="2026-10-03T00:00:00"/>
    <n v="1083906980"/>
    <s v="MOSQUERA GUAR  CARLOS ANDRÉS"/>
    <n v="37"/>
    <n v="0"/>
    <n v="1937126"/>
  </r>
  <r>
    <s v="Retail"/>
    <s v="Q030 - Popayan - Cc Campanario"/>
    <x v="2"/>
    <s v="octubre"/>
    <n v="4"/>
    <d v="2026-10-04T00:00:00"/>
    <m/>
    <m/>
    <n v="0"/>
    <n v="34146265"/>
    <n v="0"/>
  </r>
  <r>
    <s v="Retail"/>
    <s v="Q030 - Popayan - Cc Campanario"/>
    <x v="2"/>
    <s v="octubre"/>
    <n v="4"/>
    <d v="2026-10-04T00:00:00"/>
    <n v="34319130"/>
    <s v="RUIZ  MAGALY ANDREA"/>
    <n v="-1"/>
    <n v="0"/>
    <n v="-79790"/>
  </r>
  <r>
    <s v="Retail"/>
    <s v="Q030 - Popayan - Cc Campanario"/>
    <x v="2"/>
    <s v="octubre"/>
    <n v="4"/>
    <d v="2026-10-04T00:00:00"/>
    <n v="1001132922"/>
    <s v="GOMEZ MONTANA DIANA CAROLINA"/>
    <n v="-1"/>
    <n v="0"/>
    <n v="-41975"/>
  </r>
  <r>
    <s v="Retail"/>
    <s v="Q030 - Popayan - Cc Campanario"/>
    <x v="2"/>
    <s v="octubre"/>
    <n v="4"/>
    <d v="2026-10-04T00:00:00"/>
    <n v="1002957897"/>
    <s v="CACHIMBO SANCHEZ VALERIA"/>
    <n v="169"/>
    <n v="0"/>
    <n v="10908368"/>
  </r>
  <r>
    <s v="Retail"/>
    <s v="Q030 - Popayan - Cc Campanario"/>
    <x v="2"/>
    <s v="octubre"/>
    <n v="4"/>
    <d v="2026-10-04T00:00:00"/>
    <n v="1002960105"/>
    <s v="RIASCOS  ARMERO KAROL TATIANA "/>
    <n v="52"/>
    <n v="0"/>
    <n v="2934668"/>
  </r>
  <r>
    <s v="Retail"/>
    <s v="Q030 - Popayan - Cc Campanario"/>
    <x v="2"/>
    <s v="octubre"/>
    <n v="4"/>
    <d v="2026-10-04T00:00:00"/>
    <n v="1002972668"/>
    <s v="LASSO ORDOÑEZ DORIS ADRIANA"/>
    <n v="-1"/>
    <n v="0"/>
    <n v="-58781"/>
  </r>
  <r>
    <s v="Retail"/>
    <s v="Q030 - Popayan - Cc Campanario"/>
    <x v="2"/>
    <s v="octubre"/>
    <n v="4"/>
    <d v="2026-10-04T00:00:00"/>
    <n v="1004148578"/>
    <s v="MUSSE PERDOMO  MAIRA ALEJANDRA"/>
    <n v="100"/>
    <n v="0"/>
    <n v="6529335"/>
  </r>
  <r>
    <s v="Retail"/>
    <s v="Q030 - Popayan - Cc Campanario"/>
    <x v="2"/>
    <s v="octubre"/>
    <n v="4"/>
    <d v="2026-10-04T00:00:00"/>
    <n v="1007145358"/>
    <s v="QUIÑONES AGREDO  JUAN PABLO"/>
    <n v="33"/>
    <n v="0"/>
    <n v="2374665"/>
  </r>
  <r>
    <s v="Retail"/>
    <s v="Q030 - Popayan - Cc Campanario"/>
    <x v="2"/>
    <s v="octubre"/>
    <n v="4"/>
    <d v="2026-10-04T00:00:00"/>
    <n v="1058968650"/>
    <s v="GAVIRIA CALVACHE WILLIAN"/>
    <n v="134"/>
    <n v="0"/>
    <n v="7901691"/>
  </r>
  <r>
    <s v="Retail"/>
    <s v="Q030 - Popayan - Cc Campanario"/>
    <x v="2"/>
    <s v="octubre"/>
    <n v="4"/>
    <d v="2026-10-04T00:00:00"/>
    <n v="1061774213"/>
    <s v="POTOSI GOMEZ DEISY LORENA"/>
    <n v="52"/>
    <n v="0"/>
    <n v="3485127"/>
  </r>
  <r>
    <s v="Retail"/>
    <s v="Q030 - Popayan - Cc Campanario"/>
    <x v="2"/>
    <s v="octubre"/>
    <n v="4"/>
    <d v="2026-10-04T00:00:00"/>
    <n v="1061799953"/>
    <s v="BALANTA BURBANO MELISSA"/>
    <n v="-2"/>
    <n v="0"/>
    <n v="-104958"/>
  </r>
  <r>
    <s v="Retail"/>
    <s v="Q030 - Popayan - Cc Campanario"/>
    <x v="2"/>
    <s v="octubre"/>
    <n v="4"/>
    <d v="2026-10-04T00:00:00"/>
    <n v="1061814088"/>
    <s v="HERNANDEZ  MAILE CAMILA"/>
    <n v="160"/>
    <n v="0"/>
    <n v="9535049"/>
  </r>
  <r>
    <s v="Retail"/>
    <s v="Q030 - Popayan - Cc Campanario"/>
    <x v="2"/>
    <s v="octubre"/>
    <n v="4"/>
    <d v="2026-10-04T00:00:00"/>
    <n v="1083906980"/>
    <s v="MOSQUERA GUAR  CARLOS ANDRÉS"/>
    <n v="26"/>
    <n v="0"/>
    <n v="1694286"/>
  </r>
  <r>
    <s v="Retail"/>
    <s v="Q030 - Popayan - Cc Campanario"/>
    <x v="2"/>
    <s v="octubre"/>
    <n v="5"/>
    <d v="2026-10-05T00:00:00"/>
    <m/>
    <m/>
    <n v="0"/>
    <n v="24040850"/>
    <n v="0"/>
  </r>
  <r>
    <s v="Retail"/>
    <s v="Q030 - Popayan - Cc Campanario"/>
    <x v="2"/>
    <s v="octubre"/>
    <n v="5"/>
    <d v="2026-10-05T00:00:00"/>
    <n v="25289676"/>
    <s v="GUERRERO GAVIRIA PAOLA ALEJANDRA"/>
    <n v="-2"/>
    <n v="0"/>
    <n v="-197396"/>
  </r>
  <r>
    <s v="Retail"/>
    <s v="Q030 - Popayan - Cc Campanario"/>
    <x v="2"/>
    <s v="octubre"/>
    <n v="5"/>
    <d v="2026-10-05T00:00:00"/>
    <n v="1002607819"/>
    <s v="RAMIREZ  TORRES INGRITH MICHELLE "/>
    <n v="-1"/>
    <n v="0"/>
    <n v="-50378"/>
  </r>
  <r>
    <s v="Retail"/>
    <s v="Q030 - Popayan - Cc Campanario"/>
    <x v="2"/>
    <s v="octubre"/>
    <n v="5"/>
    <d v="2026-10-05T00:00:00"/>
    <n v="1002957897"/>
    <s v="CACHIMBO SANCHEZ VALERIA"/>
    <n v="62"/>
    <n v="0"/>
    <n v="3961642"/>
  </r>
  <r>
    <s v="Retail"/>
    <s v="Q030 - Popayan - Cc Campanario"/>
    <x v="2"/>
    <s v="octubre"/>
    <n v="5"/>
    <d v="2026-10-05T00:00:00"/>
    <n v="1002960105"/>
    <s v="RIASCOS  ARMERO KAROL TATIANA "/>
    <n v="49"/>
    <n v="0"/>
    <n v="3153406"/>
  </r>
  <r>
    <s v="Retail"/>
    <s v="Q030 - Popayan - Cc Campanario"/>
    <x v="2"/>
    <s v="octubre"/>
    <n v="5"/>
    <d v="2026-10-05T00:00:00"/>
    <n v="1004148578"/>
    <s v="MUSSE PERDOMO  MAIRA ALEJANDRA"/>
    <n v="62"/>
    <n v="0"/>
    <n v="4024626"/>
  </r>
  <r>
    <s v="Retail"/>
    <s v="Q030 - Popayan - Cc Campanario"/>
    <x v="2"/>
    <s v="octubre"/>
    <n v="5"/>
    <d v="2026-10-05T00:00:00"/>
    <n v="1004593130"/>
    <s v="IMBAJOA DELACRUZ LUISA FERNANDA"/>
    <n v="-1"/>
    <n v="0"/>
    <n v="-25126"/>
  </r>
  <r>
    <s v="Retail"/>
    <s v="Q030 - Popayan - Cc Campanario"/>
    <x v="2"/>
    <s v="octubre"/>
    <n v="5"/>
    <d v="2026-10-05T00:00:00"/>
    <n v="1058968650"/>
    <s v="GAVIRIA CALVACHE WILLIAN"/>
    <n v="67"/>
    <n v="0"/>
    <n v="4135669"/>
  </r>
  <r>
    <s v="Retail"/>
    <s v="Q030 - Popayan - Cc Campanario"/>
    <x v="2"/>
    <s v="octubre"/>
    <n v="5"/>
    <d v="2026-10-05T00:00:00"/>
    <n v="1061770250"/>
    <s v="CHILITO  BAIRON ANDRES"/>
    <n v="-1"/>
    <n v="0"/>
    <n v="-79790"/>
  </r>
  <r>
    <s v="Retail"/>
    <s v="Q030 - Popayan - Cc Campanario"/>
    <x v="2"/>
    <s v="octubre"/>
    <n v="5"/>
    <d v="2026-10-05T00:00:00"/>
    <n v="1061773714"/>
    <s v="PALECHOR  YOLILYN ANDREA"/>
    <n v="-2"/>
    <n v="0"/>
    <n v="-67143"/>
  </r>
  <r>
    <s v="Retail"/>
    <s v="Q030 - Popayan - Cc Campanario"/>
    <x v="2"/>
    <s v="octubre"/>
    <n v="5"/>
    <d v="2026-10-05T00:00:00"/>
    <n v="1061774213"/>
    <s v="POTOSI GOMEZ DEISY LORENA"/>
    <n v="60"/>
    <n v="0"/>
    <n v="3730675"/>
  </r>
  <r>
    <s v="Retail"/>
    <s v="Q030 - Popayan - Cc Campanario"/>
    <x v="2"/>
    <s v="octubre"/>
    <n v="5"/>
    <d v="2026-10-05T00:00:00"/>
    <n v="1061814088"/>
    <s v="HERNANDEZ  MAILE CAMILA"/>
    <n v="41"/>
    <n v="0"/>
    <n v="2323828"/>
  </r>
  <r>
    <s v="Retail"/>
    <s v="Q030 - Popayan - Cc Campanario"/>
    <x v="2"/>
    <s v="octubre"/>
    <n v="5"/>
    <d v="2026-10-05T00:00:00"/>
    <n v="1083906980"/>
    <s v="MOSQUERA GUAR  CARLOS ANDRÉS"/>
    <n v="1"/>
    <n v="0"/>
    <n v="109202"/>
  </r>
  <r>
    <s v="Retail"/>
    <s v="Q030 - Popayan - Cc Campanario"/>
    <x v="2"/>
    <s v="octubre"/>
    <n v="6"/>
    <d v="2026-10-06T00:00:00"/>
    <m/>
    <m/>
    <n v="0"/>
    <n v="13511443"/>
    <n v="0"/>
  </r>
  <r>
    <s v="Retail"/>
    <s v="Q030 - Popayan - Cc Campanario"/>
    <x v="2"/>
    <s v="octubre"/>
    <n v="6"/>
    <d v="2026-10-06T00:00:00"/>
    <n v="1002960105"/>
    <s v="RIASCOS  ARMERO KAROL TATIANA "/>
    <n v="37"/>
    <n v="0"/>
    <n v="2347148"/>
  </r>
  <r>
    <s v="Retail"/>
    <s v="Q030 - Popayan - Cc Campanario"/>
    <x v="2"/>
    <s v="octubre"/>
    <n v="6"/>
    <d v="2026-10-06T00:00:00"/>
    <n v="1004148578"/>
    <s v="MUSSE PERDOMO  MAIRA ALEJANDRA"/>
    <n v="35"/>
    <n v="0"/>
    <n v="1918658"/>
  </r>
  <r>
    <s v="Retail"/>
    <s v="Q030 - Popayan - Cc Campanario"/>
    <x v="2"/>
    <s v="octubre"/>
    <n v="6"/>
    <d v="2026-10-06T00:00:00"/>
    <n v="1007145358"/>
    <s v="QUIÑONES AGREDO  JUAN PABLO"/>
    <n v="-1"/>
    <n v="0"/>
    <n v="-67193"/>
  </r>
  <r>
    <s v="Retail"/>
    <s v="Q030 - Popayan - Cc Campanario"/>
    <x v="2"/>
    <s v="octubre"/>
    <n v="6"/>
    <d v="2026-10-06T00:00:00"/>
    <n v="1058968650"/>
    <s v="GAVIRIA CALVACHE WILLIAN"/>
    <n v="54"/>
    <n v="0"/>
    <n v="3173148"/>
  </r>
  <r>
    <s v="Retail"/>
    <s v="Q030 - Popayan - Cc Campanario"/>
    <x v="2"/>
    <s v="octubre"/>
    <n v="6"/>
    <d v="2026-10-06T00:00:00"/>
    <n v="1061774213"/>
    <s v="POTOSI GOMEZ DEISY LORENA"/>
    <n v="39"/>
    <n v="0"/>
    <n v="2296641"/>
  </r>
  <r>
    <s v="Retail"/>
    <s v="Q030 - Popayan - Cc Campanario"/>
    <x v="2"/>
    <s v="octubre"/>
    <n v="6"/>
    <d v="2026-10-06T00:00:00"/>
    <n v="1144085357"/>
    <s v="ZAPATA GIRALDO JUAN CAMILO"/>
    <n v="-1"/>
    <n v="0"/>
    <n v="-67185"/>
  </r>
  <r>
    <s v="Retail"/>
    <s v="Q030 - Popayan - Cc Campanario"/>
    <x v="2"/>
    <s v="octubre"/>
    <n v="7"/>
    <d v="2026-10-07T00:00:00"/>
    <m/>
    <m/>
    <n v="0"/>
    <n v="13333661"/>
    <n v="0"/>
  </r>
  <r>
    <s v="Retail"/>
    <s v="Q030 - Popayan - Cc Campanario"/>
    <x v="2"/>
    <s v="octubre"/>
    <n v="7"/>
    <d v="2026-10-07T00:00:00"/>
    <n v="1002957897"/>
    <s v="CACHIMBO SANCHEZ VALERIA"/>
    <n v="81"/>
    <n v="0"/>
    <n v="5251585"/>
  </r>
  <r>
    <s v="Retail"/>
    <s v="Q030 - Popayan - Cc Campanario"/>
    <x v="2"/>
    <s v="octubre"/>
    <n v="7"/>
    <d v="2026-10-07T00:00:00"/>
    <n v="1002960105"/>
    <s v="RIASCOS  ARMERO KAROL TATIANA "/>
    <n v="38"/>
    <n v="0"/>
    <n v="2174791"/>
  </r>
  <r>
    <s v="Retail"/>
    <s v="Q030 - Popayan - Cc Campanario"/>
    <x v="2"/>
    <s v="octubre"/>
    <n v="7"/>
    <d v="2026-10-07T00:00:00"/>
    <n v="1007145358"/>
    <s v="QUIÑONES AGREDO  JUAN PABLO"/>
    <n v="-2"/>
    <n v="0"/>
    <n v="-184790"/>
  </r>
  <r>
    <s v="Retail"/>
    <s v="Q030 - Popayan - Cc Campanario"/>
    <x v="2"/>
    <s v="octubre"/>
    <n v="7"/>
    <d v="2026-10-07T00:00:00"/>
    <n v="1058968650"/>
    <s v="GAVIRIA CALVACHE WILLIAN"/>
    <n v="-2"/>
    <n v="0"/>
    <n v="-83949"/>
  </r>
  <r>
    <s v="Retail"/>
    <s v="Q030 - Popayan - Cc Campanario"/>
    <x v="2"/>
    <s v="octubre"/>
    <n v="7"/>
    <d v="2026-10-07T00:00:00"/>
    <n v="1061774213"/>
    <s v="POTOSI GOMEZ DEISY LORENA"/>
    <n v="27"/>
    <n v="0"/>
    <n v="1526178"/>
  </r>
  <r>
    <s v="Retail"/>
    <s v="Q030 - Popayan - Cc Campanario"/>
    <x v="2"/>
    <s v="octubre"/>
    <n v="7"/>
    <d v="2026-10-07T00:00:00"/>
    <n v="1061814088"/>
    <s v="HERNANDEZ  MAILE CAMILA"/>
    <n v="85"/>
    <n v="0"/>
    <n v="5026971"/>
  </r>
  <r>
    <s v="Retail"/>
    <s v="Q039 - Cali - Cc Unico 2"/>
    <x v="2"/>
    <s v="septiembre"/>
    <n v="23"/>
    <d v="2026-09-23T00:00:00"/>
    <m/>
    <m/>
    <n v="0"/>
    <n v="31132426"/>
    <n v="0"/>
  </r>
  <r>
    <s v="Retail"/>
    <s v="Q039 - Cali - Cc Unico 2"/>
    <x v="2"/>
    <s v="septiembre"/>
    <n v="23"/>
    <d v="2026-09-23T00:00:00"/>
    <n v="1001132922"/>
    <s v="GOMEZ MONTANA DIANA CAROLINA"/>
    <n v="16"/>
    <n v="0"/>
    <n v="759833"/>
  </r>
  <r>
    <s v="Retail"/>
    <s v="Q039 - Cali - Cc Unico 2"/>
    <x v="2"/>
    <s v="septiembre"/>
    <n v="23"/>
    <d v="2026-09-23T00:00:00"/>
    <n v="1005706861"/>
    <s v="BRAND MOSQUERA LINDA  MARYORI"/>
    <n v="17"/>
    <n v="0"/>
    <n v="890042"/>
  </r>
  <r>
    <s v="Retail"/>
    <s v="Q039 - Cali - Cc Unico 2"/>
    <x v="2"/>
    <s v="septiembre"/>
    <n v="23"/>
    <d v="2026-09-23T00:00:00"/>
    <n v="1005815270"/>
    <s v="GUERRERO ATUESTA JUAN PABLO"/>
    <n v="22"/>
    <n v="0"/>
    <n v="1099917"/>
  </r>
  <r>
    <s v="Retail"/>
    <s v="Q039 - Cali - Cc Unico 2"/>
    <x v="2"/>
    <s v="septiembre"/>
    <n v="23"/>
    <d v="2026-09-23T00:00:00"/>
    <n v="1007132542"/>
    <s v="SALCEDO CASTRILLON FRACHED"/>
    <n v="97"/>
    <n v="0"/>
    <n v="4779163"/>
  </r>
  <r>
    <s v="Retail"/>
    <s v="Q039 - Cali - Cc Unico 2"/>
    <x v="2"/>
    <s v="septiembre"/>
    <n v="23"/>
    <d v="2026-09-23T00:00:00"/>
    <n v="1007729215"/>
    <s v="ESCOBAR QUINTERO MARLON"/>
    <n v="-1"/>
    <n v="0"/>
    <n v="-41933"/>
  </r>
  <r>
    <s v="Retail"/>
    <s v="Q039 - Cali - Cc Unico 2"/>
    <x v="2"/>
    <s v="septiembre"/>
    <n v="23"/>
    <d v="2026-09-23T00:00:00"/>
    <n v="1010088636"/>
    <s v="SALAZAR SANCHEZ ESTEBAN"/>
    <n v="68"/>
    <n v="0"/>
    <n v="3433715"/>
  </r>
  <r>
    <s v="Retail"/>
    <s v="Q039 - Cali - Cc Unico 2"/>
    <x v="2"/>
    <s v="septiembre"/>
    <n v="23"/>
    <d v="2026-09-23T00:00:00"/>
    <n v="1113689444"/>
    <s v="GONZALEZ QUIÑONES JUAN CAMILO"/>
    <n v="97"/>
    <n v="0"/>
    <n v="4722465"/>
  </r>
  <r>
    <s v="Retail"/>
    <s v="Q039 - Cali - Cc Unico 2"/>
    <x v="2"/>
    <s v="septiembre"/>
    <n v="23"/>
    <d v="2026-09-23T00:00:00"/>
    <n v="1130593915"/>
    <s v="BUITRAGO QUINTERO MADELEIN"/>
    <n v="13"/>
    <n v="0"/>
    <n v="684329"/>
  </r>
  <r>
    <s v="Retail"/>
    <s v="Q039 - Cali - Cc Unico 2"/>
    <x v="2"/>
    <s v="septiembre"/>
    <n v="23"/>
    <d v="2026-09-23T00:00:00"/>
    <n v="1143851967"/>
    <s v="CASTILLO CASTILLO JOHAN SEBASTIAN"/>
    <n v="75"/>
    <n v="0"/>
    <n v="3954668"/>
  </r>
  <r>
    <s v="Retail"/>
    <s v="Q039 - Cali - Cc Unico 2"/>
    <x v="2"/>
    <s v="septiembre"/>
    <n v="24"/>
    <d v="2026-09-24T00:00:00"/>
    <m/>
    <m/>
    <n v="0"/>
    <n v="47558288"/>
    <n v="0"/>
  </r>
  <r>
    <s v="Retail"/>
    <s v="Q039 - Cali - Cc Unico 2"/>
    <x v="2"/>
    <s v="septiembre"/>
    <n v="24"/>
    <d v="2026-09-24T00:00:00"/>
    <n v="1001132922"/>
    <s v="GOMEZ MONTANA DIANA CAROLINA"/>
    <n v="35"/>
    <n v="0"/>
    <n v="1754706"/>
  </r>
  <r>
    <s v="Retail"/>
    <s v="Q039 - Cali - Cc Unico 2"/>
    <x v="2"/>
    <s v="septiembre"/>
    <n v="24"/>
    <d v="2026-09-24T00:00:00"/>
    <n v="1005706861"/>
    <s v="BRAND MOSQUERA LINDA  MARYORI"/>
    <n v="29"/>
    <n v="0"/>
    <n v="1540757"/>
  </r>
  <r>
    <s v="Retail"/>
    <s v="Q039 - Cali - Cc Unico 2"/>
    <x v="2"/>
    <s v="septiembre"/>
    <n v="24"/>
    <d v="2026-09-24T00:00:00"/>
    <n v="1005815270"/>
    <s v="GUERRERO ATUESTA JUAN PABLO"/>
    <n v="37"/>
    <n v="0"/>
    <n v="2121517"/>
  </r>
  <r>
    <s v="Retail"/>
    <s v="Q039 - Cali - Cc Unico 2"/>
    <x v="2"/>
    <s v="septiembre"/>
    <n v="24"/>
    <d v="2026-09-24T00:00:00"/>
    <n v="1007132542"/>
    <s v="SALCEDO CASTRILLON FRACHED"/>
    <n v="94"/>
    <n v="0"/>
    <n v="4834165"/>
  </r>
  <r>
    <s v="Retail"/>
    <s v="Q039 - Cali - Cc Unico 2"/>
    <x v="2"/>
    <s v="septiembre"/>
    <n v="24"/>
    <d v="2026-09-24T00:00:00"/>
    <n v="1010088636"/>
    <s v="SALAZAR SANCHEZ ESTEBAN"/>
    <n v="90"/>
    <n v="0"/>
    <n v="4389206"/>
  </r>
  <r>
    <s v="Retail"/>
    <s v="Q039 - Cali - Cc Unico 2"/>
    <x v="2"/>
    <s v="septiembre"/>
    <n v="24"/>
    <d v="2026-09-24T00:00:00"/>
    <n v="1113689444"/>
    <s v="GONZALEZ QUIÑONES JUAN CAMILO"/>
    <n v="103"/>
    <n v="0"/>
    <n v="4753334"/>
  </r>
  <r>
    <s v="Retail"/>
    <s v="Q039 - Cali - Cc Unico 2"/>
    <x v="2"/>
    <s v="septiembre"/>
    <n v="24"/>
    <d v="2026-09-24T00:00:00"/>
    <n v="1130593915"/>
    <s v="BUITRAGO QUINTERO MADELEIN"/>
    <n v="29"/>
    <n v="0"/>
    <n v="1540673"/>
  </r>
  <r>
    <s v="Retail"/>
    <s v="Q039 - Cali - Cc Unico 2"/>
    <x v="2"/>
    <s v="septiembre"/>
    <n v="24"/>
    <d v="2026-09-24T00:00:00"/>
    <n v="1143851967"/>
    <s v="CASTILLO CASTILLO JOHAN SEBASTIAN"/>
    <n v="98"/>
    <n v="0"/>
    <n v="4806565"/>
  </r>
  <r>
    <s v="Retail"/>
    <s v="Q039 - Cali - Cc Unico 2"/>
    <x v="2"/>
    <s v="septiembre"/>
    <n v="25"/>
    <d v="2026-09-25T00:00:00"/>
    <m/>
    <m/>
    <n v="0"/>
    <n v="47453004"/>
    <n v="0"/>
  </r>
  <r>
    <s v="Retail"/>
    <s v="Q039 - Cali - Cc Unico 2"/>
    <x v="2"/>
    <s v="septiembre"/>
    <n v="25"/>
    <d v="2026-09-25T00:00:00"/>
    <n v="1001132922"/>
    <s v="GOMEZ MONTANA DIANA CAROLINA"/>
    <n v="18"/>
    <n v="0"/>
    <n v="995001"/>
  </r>
  <r>
    <s v="Retail"/>
    <s v="Q039 - Cali - Cc Unico 2"/>
    <x v="2"/>
    <s v="septiembre"/>
    <n v="25"/>
    <d v="2026-09-25T00:00:00"/>
    <n v="1005706861"/>
    <s v="BRAND MOSQUERA LINDA  MARYORI"/>
    <n v="39"/>
    <n v="0"/>
    <n v="1989919"/>
  </r>
  <r>
    <s v="Retail"/>
    <s v="Q039 - Cali - Cc Unico 2"/>
    <x v="2"/>
    <s v="septiembre"/>
    <n v="25"/>
    <d v="2026-09-25T00:00:00"/>
    <n v="1005815270"/>
    <s v="GUERRERO ATUESTA JUAN PABLO"/>
    <n v="38"/>
    <n v="0"/>
    <n v="1805086"/>
  </r>
  <r>
    <s v="Retail"/>
    <s v="Q039 - Cali - Cc Unico 2"/>
    <x v="2"/>
    <s v="septiembre"/>
    <n v="25"/>
    <d v="2026-09-25T00:00:00"/>
    <n v="1007132542"/>
    <s v="SALCEDO CASTRILLON FRACHED"/>
    <n v="100"/>
    <n v="0"/>
    <n v="4773912"/>
  </r>
  <r>
    <s v="Retail"/>
    <s v="Q039 - Cali - Cc Unico 2"/>
    <x v="2"/>
    <s v="septiembre"/>
    <n v="25"/>
    <d v="2026-09-25T00:00:00"/>
    <n v="1010088636"/>
    <s v="SALAZAR SANCHEZ ESTEBAN"/>
    <n v="97"/>
    <n v="0"/>
    <n v="5137750"/>
  </r>
  <r>
    <s v="Retail"/>
    <s v="Q039 - Cali - Cc Unico 2"/>
    <x v="2"/>
    <s v="septiembre"/>
    <n v="25"/>
    <d v="2026-09-25T00:00:00"/>
    <n v="1102868881"/>
    <s v="ESCOBAR PERNA SEBASTIAN DAVID"/>
    <n v="-1"/>
    <n v="0"/>
    <n v="-88193"/>
  </r>
  <r>
    <s v="Retail"/>
    <s v="Q039 - Cali - Cc Unico 2"/>
    <x v="2"/>
    <s v="septiembre"/>
    <n v="25"/>
    <d v="2026-09-25T00:00:00"/>
    <n v="1113689444"/>
    <s v="GONZALEZ QUIÑONES JUAN CAMILO"/>
    <n v="145"/>
    <n v="0"/>
    <n v="6960802"/>
  </r>
  <r>
    <s v="Retail"/>
    <s v="Q039 - Cali - Cc Unico 2"/>
    <x v="2"/>
    <s v="septiembre"/>
    <n v="25"/>
    <d v="2026-09-25T00:00:00"/>
    <n v="1130593915"/>
    <s v="BUITRAGO QUINTERO MADELEIN"/>
    <n v="22"/>
    <n v="0"/>
    <n v="1183908"/>
  </r>
  <r>
    <s v="Retail"/>
    <s v="Q039 - Cali - Cc Unico 2"/>
    <x v="2"/>
    <s v="septiembre"/>
    <n v="25"/>
    <d v="2026-09-25T00:00:00"/>
    <n v="1143851967"/>
    <s v="CASTILLO CASTILLO JOHAN SEBASTIAN"/>
    <n v="103"/>
    <n v="0"/>
    <n v="5690802"/>
  </r>
  <r>
    <s v="Retail"/>
    <s v="Q039 - Cali - Cc Unico 2"/>
    <x v="2"/>
    <s v="septiembre"/>
    <n v="26"/>
    <d v="2026-09-26T00:00:00"/>
    <m/>
    <m/>
    <n v="0"/>
    <n v="68196788"/>
    <n v="0"/>
  </r>
  <r>
    <s v="Retail"/>
    <s v="Q039 - Cali - Cc Unico 2"/>
    <x v="2"/>
    <s v="septiembre"/>
    <n v="26"/>
    <d v="2026-09-26T00:00:00"/>
    <n v="1001132922"/>
    <s v="GOMEZ MONTANA DIANA CAROLINA"/>
    <n v="65"/>
    <n v="0"/>
    <n v="3455001"/>
  </r>
  <r>
    <s v="Retail"/>
    <s v="Q039 - Cali - Cc Unico 2"/>
    <x v="2"/>
    <s v="septiembre"/>
    <n v="26"/>
    <d v="2026-09-26T00:00:00"/>
    <n v="1005706861"/>
    <s v="BRAND MOSQUERA LINDA  MARYORI"/>
    <n v="1"/>
    <n v="0"/>
    <n v="50379"/>
  </r>
  <r>
    <s v="Retail"/>
    <s v="Q039 - Cali - Cc Unico 2"/>
    <x v="2"/>
    <s v="septiembre"/>
    <n v="26"/>
    <d v="2026-09-26T00:00:00"/>
    <n v="1005815270"/>
    <s v="GUERRERO ATUESTA JUAN PABLO"/>
    <n v="68"/>
    <n v="0"/>
    <n v="3362315"/>
  </r>
  <r>
    <s v="Retail"/>
    <s v="Q039 - Cali - Cc Unico 2"/>
    <x v="2"/>
    <s v="septiembre"/>
    <n v="26"/>
    <d v="2026-09-26T00:00:00"/>
    <n v="1007132542"/>
    <s v="SALCEDO CASTRILLON FRACHED"/>
    <n v="319"/>
    <n v="0"/>
    <n v="16099131"/>
  </r>
  <r>
    <s v="Retail"/>
    <s v="Q039 - Cali - Cc Unico 2"/>
    <x v="2"/>
    <s v="septiembre"/>
    <n v="26"/>
    <d v="2026-09-26T00:00:00"/>
    <n v="1010088636"/>
    <s v="SALAZAR SANCHEZ ESTEBAN"/>
    <n v="189"/>
    <n v="0"/>
    <n v="9461305"/>
  </r>
  <r>
    <s v="Retail"/>
    <s v="Q039 - Cali - Cc Unico 2"/>
    <x v="2"/>
    <s v="septiembre"/>
    <n v="26"/>
    <d v="2026-09-26T00:00:00"/>
    <n v="1111784310"/>
    <s v="MURILLO VALENCIA JHONIER"/>
    <n v="-1"/>
    <n v="0"/>
    <n v="-96597"/>
  </r>
  <r>
    <s v="Retail"/>
    <s v="Q039 - Cali - Cc Unico 2"/>
    <x v="2"/>
    <s v="septiembre"/>
    <n v="26"/>
    <d v="2026-09-26T00:00:00"/>
    <n v="1113689444"/>
    <s v="GONZALEZ QUIÑONES JUAN CAMILO"/>
    <n v="301"/>
    <n v="0"/>
    <n v="14605181"/>
  </r>
  <r>
    <s v="Retail"/>
    <s v="Q039 - Cali - Cc Unico 2"/>
    <x v="2"/>
    <s v="septiembre"/>
    <n v="26"/>
    <d v="2026-09-26T00:00:00"/>
    <n v="1130593915"/>
    <s v="BUITRAGO QUINTERO MADELEIN"/>
    <n v="37"/>
    <n v="0"/>
    <n v="2094959"/>
  </r>
  <r>
    <s v="Retail"/>
    <s v="Q039 - Cali - Cc Unico 2"/>
    <x v="2"/>
    <s v="septiembre"/>
    <n v="26"/>
    <d v="2026-09-26T00:00:00"/>
    <n v="1143851967"/>
    <s v="CASTILLO CASTILLO JOHAN SEBASTIAN"/>
    <n v="215"/>
    <n v="0"/>
    <n v="11466778"/>
  </r>
  <r>
    <s v="Retail"/>
    <s v="Q039 - Cali - Cc Unico 2"/>
    <x v="2"/>
    <s v="septiembre"/>
    <n v="27"/>
    <d v="2026-09-27T00:00:00"/>
    <m/>
    <m/>
    <n v="0"/>
    <n v="54025581"/>
    <n v="0"/>
  </r>
  <r>
    <s v="Retail"/>
    <s v="Q039 - Cali - Cc Unico 2"/>
    <x v="2"/>
    <s v="septiembre"/>
    <n v="27"/>
    <d v="2026-09-27T00:00:00"/>
    <n v="1001132922"/>
    <s v="GOMEZ MONTANA DIANA CAROLINA"/>
    <n v="61"/>
    <n v="0"/>
    <n v="3321937"/>
  </r>
  <r>
    <s v="Retail"/>
    <s v="Q039 - Cali - Cc Unico 2"/>
    <x v="2"/>
    <s v="septiembre"/>
    <n v="27"/>
    <d v="2026-09-27T00:00:00"/>
    <n v="1005706861"/>
    <s v="BRAND MOSQUERA LINDA  MARYORI"/>
    <n v="55"/>
    <n v="0"/>
    <n v="3140382"/>
  </r>
  <r>
    <s v="Retail"/>
    <s v="Q039 - Cali - Cc Unico 2"/>
    <x v="2"/>
    <s v="septiembre"/>
    <n v="27"/>
    <d v="2026-09-27T00:00:00"/>
    <n v="1005707524"/>
    <s v="MOSQUERA MOLINA JHOAN SEBASTIAN"/>
    <n v="-1"/>
    <n v="0"/>
    <n v="-55412"/>
  </r>
  <r>
    <s v="Retail"/>
    <s v="Q039 - Cali - Cc Unico 2"/>
    <x v="2"/>
    <s v="septiembre"/>
    <n v="27"/>
    <d v="2026-09-27T00:00:00"/>
    <n v="1005815270"/>
    <s v="GUERRERO ATUESTA JUAN PABLO"/>
    <n v="109"/>
    <n v="0"/>
    <n v="6116937"/>
  </r>
  <r>
    <s v="Retail"/>
    <s v="Q039 - Cali - Cc Unico 2"/>
    <x v="2"/>
    <s v="septiembre"/>
    <n v="27"/>
    <d v="2026-09-27T00:00:00"/>
    <n v="1007132542"/>
    <s v="SALCEDO CASTRILLON FRACHED"/>
    <n v="316"/>
    <n v="0"/>
    <n v="16468711"/>
  </r>
  <r>
    <s v="Retail"/>
    <s v="Q039 - Cali - Cc Unico 2"/>
    <x v="2"/>
    <s v="septiembre"/>
    <n v="27"/>
    <d v="2026-09-27T00:00:00"/>
    <n v="1010088636"/>
    <s v="SALAZAR SANCHEZ ESTEBAN"/>
    <n v="231"/>
    <n v="0"/>
    <n v="12063079"/>
  </r>
  <r>
    <s v="Retail"/>
    <s v="Q039 - Cali - Cc Unico 2"/>
    <x v="2"/>
    <s v="septiembre"/>
    <n v="27"/>
    <d v="2026-09-27T00:00:00"/>
    <n v="1113689444"/>
    <s v="GONZALEZ QUIÑONES JUAN CAMILO"/>
    <n v="254"/>
    <n v="0"/>
    <n v="12951410"/>
  </r>
  <r>
    <s v="Retail"/>
    <s v="Q039 - Cali - Cc Unico 2"/>
    <x v="2"/>
    <s v="septiembre"/>
    <n v="27"/>
    <d v="2026-09-27T00:00:00"/>
    <n v="1130593915"/>
    <s v="BUITRAGO QUINTERO MADELEIN"/>
    <n v="71"/>
    <n v="0"/>
    <n v="4185927"/>
  </r>
  <r>
    <s v="Retail"/>
    <s v="Q039 - Cali - Cc Unico 2"/>
    <x v="2"/>
    <s v="septiembre"/>
    <n v="27"/>
    <d v="2026-09-27T00:00:00"/>
    <n v="1143413580"/>
    <s v="OCAMPO MENDOZA JHON FEITHER"/>
    <n v="-1"/>
    <n v="0"/>
    <n v="-54580"/>
  </r>
  <r>
    <s v="Retail"/>
    <s v="Q039 - Cali - Cc Unico 2"/>
    <x v="2"/>
    <s v="septiembre"/>
    <n v="27"/>
    <d v="2026-09-27T00:00:00"/>
    <n v="1143851967"/>
    <s v="CASTILLO CASTILLO JOHAN SEBASTIAN"/>
    <n v="276"/>
    <n v="0"/>
    <n v="14671985"/>
  </r>
  <r>
    <s v="Retail"/>
    <s v="Q039 - Cali - Cc Unico 2"/>
    <x v="2"/>
    <s v="septiembre"/>
    <n v="27"/>
    <d v="2026-09-27T00:00:00"/>
    <n v="1143872360"/>
    <s v="TORRES SALINAS JUAN DAVID"/>
    <n v="-1"/>
    <n v="0"/>
    <n v="-37773"/>
  </r>
  <r>
    <s v="Retail"/>
    <s v="Q039 - Cali - Cc Unico 2"/>
    <x v="2"/>
    <s v="septiembre"/>
    <n v="27"/>
    <d v="2026-09-27T00:00:00"/>
    <n v="1144212178"/>
    <s v="TELLO CASTRO NICOLAS"/>
    <n v="-2"/>
    <n v="0"/>
    <n v="-138487"/>
  </r>
  <r>
    <s v="Retail"/>
    <s v="Q039 - Cali - Cc Unico 2"/>
    <x v="2"/>
    <s v="septiembre"/>
    <n v="28"/>
    <d v="2026-09-28T00:00:00"/>
    <m/>
    <m/>
    <n v="0"/>
    <n v="29733464"/>
    <n v="0"/>
  </r>
  <r>
    <s v="Retail"/>
    <s v="Q039 - Cali - Cc Unico 2"/>
    <x v="2"/>
    <s v="septiembre"/>
    <n v="28"/>
    <d v="2026-09-28T00:00:00"/>
    <n v="6469923"/>
    <s v="RODRIGUEZ MELENDEZ ERWIN JOSE"/>
    <n v="-1"/>
    <n v="0"/>
    <n v="-117605"/>
  </r>
  <r>
    <s v="Retail"/>
    <s v="Q039 - Cali - Cc Unico 2"/>
    <x v="2"/>
    <s v="septiembre"/>
    <n v="28"/>
    <d v="2026-09-28T00:00:00"/>
    <n v="1001132922"/>
    <s v="GOMEZ MONTANA DIANA CAROLINA"/>
    <n v="22"/>
    <n v="0"/>
    <n v="805631"/>
  </r>
  <r>
    <s v="Retail"/>
    <s v="Q039 - Cali - Cc Unico 2"/>
    <x v="2"/>
    <s v="septiembre"/>
    <n v="28"/>
    <d v="2026-09-28T00:00:00"/>
    <n v="1005706861"/>
    <s v="BRAND MOSQUERA LINDA  MARYORI"/>
    <n v="23"/>
    <n v="0"/>
    <n v="895800"/>
  </r>
  <r>
    <s v="Retail"/>
    <s v="Q039 - Cali - Cc Unico 2"/>
    <x v="2"/>
    <s v="septiembre"/>
    <n v="28"/>
    <d v="2026-09-28T00:00:00"/>
    <n v="1005815270"/>
    <s v="GUERRERO ATUESTA JUAN PABLO"/>
    <n v="52"/>
    <n v="0"/>
    <n v="2810841"/>
  </r>
  <r>
    <s v="Retail"/>
    <s v="Q039 - Cali - Cc Unico 2"/>
    <x v="2"/>
    <s v="septiembre"/>
    <n v="28"/>
    <d v="2026-09-28T00:00:00"/>
    <n v="1006073270"/>
    <s v="BONILLA CHOCO CRISTIAN FELIPE"/>
    <n v="-1"/>
    <n v="0"/>
    <n v="-67185"/>
  </r>
  <r>
    <s v="Retail"/>
    <s v="Q039 - Cali - Cc Unico 2"/>
    <x v="2"/>
    <s v="septiembre"/>
    <n v="28"/>
    <d v="2026-09-28T00:00:00"/>
    <n v="1007132542"/>
    <s v="SALCEDO CASTRILLON FRACHED"/>
    <n v="103"/>
    <n v="0"/>
    <n v="5596101"/>
  </r>
  <r>
    <s v="Retail"/>
    <s v="Q039 - Cali - Cc Unico 2"/>
    <x v="2"/>
    <s v="septiembre"/>
    <n v="28"/>
    <d v="2026-09-28T00:00:00"/>
    <n v="1010088636"/>
    <s v="SALAZAR SANCHEZ ESTEBAN"/>
    <n v="71"/>
    <n v="0"/>
    <n v="4383363"/>
  </r>
  <r>
    <s v="Retail"/>
    <s v="Q039 - Cali - Cc Unico 2"/>
    <x v="2"/>
    <s v="septiembre"/>
    <n v="28"/>
    <d v="2026-09-28T00:00:00"/>
    <n v="1109115019"/>
    <s v="PRADO  MURIEL SANTIAGO "/>
    <n v="-1"/>
    <n v="0"/>
    <n v="-50378"/>
  </r>
  <r>
    <s v="Retail"/>
    <s v="Q039 - Cali - Cc Unico 2"/>
    <x v="2"/>
    <s v="septiembre"/>
    <n v="28"/>
    <d v="2026-09-28T00:00:00"/>
    <n v="1113689444"/>
    <s v="GONZALEZ QUIÑONES JUAN CAMILO"/>
    <n v="100"/>
    <n v="0"/>
    <n v="5041295"/>
  </r>
  <r>
    <s v="Retail"/>
    <s v="Q039 - Cali - Cc Unico 2"/>
    <x v="2"/>
    <s v="septiembre"/>
    <n v="28"/>
    <d v="2026-09-28T00:00:00"/>
    <n v="1130593915"/>
    <s v="BUITRAGO QUINTERO MADELEIN"/>
    <n v="24"/>
    <n v="0"/>
    <n v="956891"/>
  </r>
  <r>
    <s v="Retail"/>
    <s v="Q039 - Cali - Cc Unico 2"/>
    <x v="2"/>
    <s v="septiembre"/>
    <n v="28"/>
    <d v="2026-09-28T00:00:00"/>
    <n v="1143413580"/>
    <s v="OCAMPO MENDOZA JHON FEITHER"/>
    <n v="-4"/>
    <n v="0"/>
    <n v="-277143"/>
  </r>
  <r>
    <s v="Retail"/>
    <s v="Q039 - Cali - Cc Unico 2"/>
    <x v="2"/>
    <s v="septiembre"/>
    <n v="28"/>
    <d v="2026-09-28T00:00:00"/>
    <n v="1143851967"/>
    <s v="CASTILLO CASTILLO JOHAN SEBASTIAN"/>
    <n v="122"/>
    <n v="0"/>
    <n v="6719084"/>
  </r>
  <r>
    <s v="Retail"/>
    <s v="Q039 - Cali - Cc Unico 2"/>
    <x v="2"/>
    <s v="septiembre"/>
    <n v="28"/>
    <d v="2026-09-28T00:00:00"/>
    <n v="1144212178"/>
    <s v="TELLO CASTRO NICOLAS"/>
    <n v="-1"/>
    <n v="0"/>
    <n v="-75546"/>
  </r>
  <r>
    <s v="Retail"/>
    <s v="Q039 - Cali - Cc Unico 2"/>
    <x v="2"/>
    <s v="septiembre"/>
    <n v="29"/>
    <d v="2026-09-29T00:00:00"/>
    <m/>
    <m/>
    <n v="0"/>
    <n v="31761161"/>
    <n v="0"/>
  </r>
  <r>
    <s v="Retail"/>
    <s v="Q039 - Cali - Cc Unico 2"/>
    <x v="2"/>
    <s v="septiembre"/>
    <n v="29"/>
    <d v="2026-09-29T00:00:00"/>
    <n v="1001132922"/>
    <s v="GOMEZ MONTANA DIANA CAROLINA"/>
    <n v="32"/>
    <n v="0"/>
    <n v="1670757"/>
  </r>
  <r>
    <s v="Retail"/>
    <s v="Q039 - Cali - Cc Unico 2"/>
    <x v="2"/>
    <s v="septiembre"/>
    <n v="29"/>
    <d v="2026-09-29T00:00:00"/>
    <n v="1005706861"/>
    <s v="BRAND MOSQUERA LINDA  MARYORI"/>
    <n v="26"/>
    <n v="0"/>
    <n v="779954"/>
  </r>
  <r>
    <s v="Retail"/>
    <s v="Q039 - Cali - Cc Unico 2"/>
    <x v="2"/>
    <s v="septiembre"/>
    <n v="29"/>
    <d v="2026-09-29T00:00:00"/>
    <n v="1005815270"/>
    <s v="GUERRERO ATUESTA JUAN PABLO"/>
    <n v="78"/>
    <n v="0"/>
    <n v="3322861"/>
  </r>
  <r>
    <s v="Retail"/>
    <s v="Q039 - Cali - Cc Unico 2"/>
    <x v="2"/>
    <s v="septiembre"/>
    <n v="29"/>
    <d v="2026-09-29T00:00:00"/>
    <n v="1007132542"/>
    <s v="SALCEDO CASTRILLON FRACHED"/>
    <n v="139"/>
    <n v="0"/>
    <n v="7669352"/>
  </r>
  <r>
    <s v="Retail"/>
    <s v="Q039 - Cali - Cc Unico 2"/>
    <x v="2"/>
    <s v="septiembre"/>
    <n v="29"/>
    <d v="2026-09-29T00:00:00"/>
    <n v="1010088636"/>
    <s v="SALAZAR SANCHEZ ESTEBAN"/>
    <n v="62"/>
    <n v="0"/>
    <n v="3291222"/>
  </r>
  <r>
    <s v="Retail"/>
    <s v="Q039 - Cali - Cc Unico 2"/>
    <x v="2"/>
    <s v="septiembre"/>
    <n v="29"/>
    <d v="2026-09-29T00:00:00"/>
    <n v="1113689444"/>
    <s v="GONZALEZ QUIÑONES JUAN CAMILO"/>
    <n v="129"/>
    <n v="0"/>
    <n v="6649077"/>
  </r>
  <r>
    <s v="Retail"/>
    <s v="Q039 - Cali - Cc Unico 2"/>
    <x v="2"/>
    <s v="septiembre"/>
    <n v="29"/>
    <d v="2026-09-29T00:00:00"/>
    <n v="1130593915"/>
    <s v="BUITRAGO QUINTERO MADELEIN"/>
    <n v="23"/>
    <n v="0"/>
    <n v="729663"/>
  </r>
  <r>
    <s v="Retail"/>
    <s v="Q039 - Cali - Cc Unico 2"/>
    <x v="2"/>
    <s v="septiembre"/>
    <n v="29"/>
    <d v="2026-09-29T00:00:00"/>
    <n v="1143851967"/>
    <s v="CASTILLO CASTILLO JOHAN SEBASTIAN"/>
    <n v="95"/>
    <n v="0"/>
    <n v="5672064"/>
  </r>
  <r>
    <s v="Retail"/>
    <s v="Q039 - Cali - Cc Unico 2"/>
    <x v="2"/>
    <s v="septiembre"/>
    <n v="30"/>
    <d v="2026-09-30T00:00:00"/>
    <m/>
    <m/>
    <n v="0"/>
    <n v="32809844"/>
    <n v="0"/>
  </r>
  <r>
    <s v="Retail"/>
    <s v="Q039 - Cali - Cc Unico 2"/>
    <x v="2"/>
    <s v="septiembre"/>
    <n v="30"/>
    <d v="2026-09-30T00:00:00"/>
    <n v="1001132922"/>
    <s v="GOMEZ MONTANA DIANA CAROLINA"/>
    <n v="112"/>
    <n v="0"/>
    <n v="3262390"/>
  </r>
  <r>
    <s v="Retail"/>
    <s v="Q039 - Cali - Cc Unico 2"/>
    <x v="2"/>
    <s v="septiembre"/>
    <n v="30"/>
    <d v="2026-09-30T00:00:00"/>
    <n v="1005706861"/>
    <s v="BRAND MOSQUERA LINDA  MARYORI"/>
    <n v="22"/>
    <n v="0"/>
    <n v="1003066"/>
  </r>
  <r>
    <s v="Retail"/>
    <s v="Q039 - Cali - Cc Unico 2"/>
    <x v="2"/>
    <s v="septiembre"/>
    <n v="30"/>
    <d v="2026-09-30T00:00:00"/>
    <n v="1005815270"/>
    <s v="GUERRERO ATUESTA JUAN PABLO"/>
    <n v="66"/>
    <n v="0"/>
    <n v="3614796"/>
  </r>
  <r>
    <s v="Retail"/>
    <s v="Q039 - Cali - Cc Unico 2"/>
    <x v="2"/>
    <s v="septiembre"/>
    <n v="30"/>
    <d v="2026-09-30T00:00:00"/>
    <n v="1007132542"/>
    <s v="SALCEDO CASTRILLON FRACHED"/>
    <n v="160"/>
    <n v="0"/>
    <n v="8337251"/>
  </r>
  <r>
    <s v="Retail"/>
    <s v="Q039 - Cali - Cc Unico 2"/>
    <x v="2"/>
    <s v="septiembre"/>
    <n v="30"/>
    <d v="2026-09-30T00:00:00"/>
    <n v="1010088636"/>
    <s v="SALAZAR SANCHEZ ESTEBAN"/>
    <n v="21"/>
    <n v="0"/>
    <n v="906599"/>
  </r>
  <r>
    <s v="Retail"/>
    <s v="Q039 - Cali - Cc Unico 2"/>
    <x v="2"/>
    <s v="septiembre"/>
    <n v="30"/>
    <d v="2026-09-30T00:00:00"/>
    <n v="1113689444"/>
    <s v="GONZALEZ QUIÑONES JUAN CAMILO"/>
    <n v="134"/>
    <n v="0"/>
    <n v="7214122"/>
  </r>
  <r>
    <s v="Retail"/>
    <s v="Q039 - Cali - Cc Unico 2"/>
    <x v="2"/>
    <s v="septiembre"/>
    <n v="30"/>
    <d v="2026-09-30T00:00:00"/>
    <n v="1130593915"/>
    <s v="BUITRAGO QUINTERO MADELEIN"/>
    <n v="27"/>
    <n v="0"/>
    <n v="1090967"/>
  </r>
  <r>
    <s v="Retail"/>
    <s v="Q039 - Cali - Cc Unico 2"/>
    <x v="2"/>
    <s v="septiembre"/>
    <n v="30"/>
    <d v="2026-09-30T00:00:00"/>
    <n v="1143851967"/>
    <s v="CASTILLO CASTILLO JOHAN SEBASTIAN"/>
    <n v="130"/>
    <n v="0"/>
    <n v="6271476"/>
  </r>
  <r>
    <s v="Retail"/>
    <s v="Q039 - Cali - Cc Unico 2"/>
    <x v="2"/>
    <s v="septiembre"/>
    <n v="30"/>
    <d v="2026-09-30T00:00:00"/>
    <n v="1144158340"/>
    <s v="OCAMPO  JUAN"/>
    <n v="-1"/>
    <n v="0"/>
    <n v="-79790"/>
  </r>
  <r>
    <s v="Retail"/>
    <s v="Q039 - Cali - Cc Unico 2"/>
    <x v="2"/>
    <s v="octubre"/>
    <n v="1"/>
    <d v="2026-10-01T00:00:00"/>
    <m/>
    <m/>
    <n v="0"/>
    <n v="31961221"/>
    <n v="0"/>
  </r>
  <r>
    <s v="Retail"/>
    <s v="Q039 - Cali - Cc Unico 2"/>
    <x v="2"/>
    <s v="octubre"/>
    <n v="1"/>
    <d v="2026-10-01T00:00:00"/>
    <n v="1001132922"/>
    <s v="GOMEZ MONTANA DIANA CAROLINA"/>
    <n v="56"/>
    <n v="0"/>
    <n v="2015503"/>
  </r>
  <r>
    <s v="Retail"/>
    <s v="Q039 - Cali - Cc Unico 2"/>
    <x v="2"/>
    <s v="octubre"/>
    <n v="1"/>
    <d v="2026-10-01T00:00:00"/>
    <n v="1005706861"/>
    <s v="BRAND MOSQUERA LINDA  MARYORI"/>
    <n v="29"/>
    <n v="0"/>
    <n v="1275589"/>
  </r>
  <r>
    <s v="Retail"/>
    <s v="Q039 - Cali - Cc Unico 2"/>
    <x v="2"/>
    <s v="octubre"/>
    <n v="1"/>
    <d v="2026-10-01T00:00:00"/>
    <n v="1005815270"/>
    <s v="GUERRERO ATUESTA JUAN PABLO"/>
    <n v="54"/>
    <n v="0"/>
    <n v="2955300"/>
  </r>
  <r>
    <s v="Retail"/>
    <s v="Q039 - Cali - Cc Unico 2"/>
    <x v="2"/>
    <s v="octubre"/>
    <n v="1"/>
    <d v="2026-10-01T00:00:00"/>
    <n v="1007132542"/>
    <s v="SALCEDO CASTRILLON FRACHED"/>
    <n v="149"/>
    <n v="0"/>
    <n v="7726270"/>
  </r>
  <r>
    <s v="Retail"/>
    <s v="Q039 - Cali - Cc Unico 2"/>
    <x v="2"/>
    <s v="octubre"/>
    <n v="1"/>
    <d v="2026-10-01T00:00:00"/>
    <n v="1010088636"/>
    <s v="SALAZAR SANCHEZ ESTEBAN"/>
    <n v="87"/>
    <n v="0"/>
    <n v="4571602"/>
  </r>
  <r>
    <s v="Retail"/>
    <s v="Q039 - Cali - Cc Unico 2"/>
    <x v="2"/>
    <s v="octubre"/>
    <n v="1"/>
    <d v="2026-10-01T00:00:00"/>
    <n v="1113689444"/>
    <s v="GONZALEZ QUIÑONES JUAN CAMILO"/>
    <n v="162"/>
    <n v="0"/>
    <n v="8144836"/>
  </r>
  <r>
    <s v="Retail"/>
    <s v="Q039 - Cali - Cc Unico 2"/>
    <x v="2"/>
    <s v="octubre"/>
    <n v="1"/>
    <d v="2026-10-01T00:00:00"/>
    <n v="1130593915"/>
    <s v="BUITRAGO QUINTERO MADELEIN"/>
    <n v="29"/>
    <n v="0"/>
    <n v="821808"/>
  </r>
  <r>
    <s v="Retail"/>
    <s v="Q039 - Cali - Cc Unico 2"/>
    <x v="2"/>
    <s v="octubre"/>
    <n v="1"/>
    <d v="2026-10-01T00:00:00"/>
    <n v="1143851967"/>
    <s v="CASTILLO CASTILLO JOHAN SEBASTIAN"/>
    <n v="91"/>
    <n v="0"/>
    <n v="4724628"/>
  </r>
  <r>
    <s v="Retail"/>
    <s v="Q039 - Cali - Cc Unico 2"/>
    <x v="2"/>
    <s v="octubre"/>
    <n v="2"/>
    <d v="2026-10-02T00:00:00"/>
    <m/>
    <m/>
    <n v="0"/>
    <n v="30363765"/>
    <n v="0"/>
  </r>
  <r>
    <s v="Retail"/>
    <s v="Q039 - Cali - Cc Unico 2"/>
    <x v="2"/>
    <s v="octubre"/>
    <n v="2"/>
    <d v="2026-10-02T00:00:00"/>
    <n v="1001132922"/>
    <s v="GOMEZ MONTANA DIANA CAROLINA"/>
    <n v="25"/>
    <n v="0"/>
    <n v="1288615"/>
  </r>
  <r>
    <s v="Retail"/>
    <s v="Q039 - Cali - Cc Unico 2"/>
    <x v="2"/>
    <s v="octubre"/>
    <n v="2"/>
    <d v="2026-10-02T00:00:00"/>
    <n v="1005706861"/>
    <s v="BRAND MOSQUERA LINDA  MARYORI"/>
    <n v="33"/>
    <n v="0"/>
    <n v="1314960"/>
  </r>
  <r>
    <s v="Retail"/>
    <s v="Q039 - Cali - Cc Unico 2"/>
    <x v="2"/>
    <s v="octubre"/>
    <n v="2"/>
    <d v="2026-10-02T00:00:00"/>
    <n v="1005815270"/>
    <s v="GUERRERO ATUESTA JUAN PABLO"/>
    <n v="37"/>
    <n v="0"/>
    <n v="2473151"/>
  </r>
  <r>
    <s v="Retail"/>
    <s v="Q039 - Cali - Cc Unico 2"/>
    <x v="2"/>
    <s v="octubre"/>
    <n v="2"/>
    <d v="2026-10-02T00:00:00"/>
    <n v="1007132542"/>
    <s v="SALCEDO CASTRILLON FRACHED"/>
    <n v="127"/>
    <n v="0"/>
    <n v="6429671"/>
  </r>
  <r>
    <s v="Retail"/>
    <s v="Q039 - Cali - Cc Unico 2"/>
    <x v="2"/>
    <s v="octubre"/>
    <n v="2"/>
    <d v="2026-10-02T00:00:00"/>
    <n v="1010088636"/>
    <s v="SALAZAR SANCHEZ ESTEBAN"/>
    <n v="65"/>
    <n v="0"/>
    <n v="3402317"/>
  </r>
  <r>
    <s v="Retail"/>
    <s v="Q039 - Cali - Cc Unico 2"/>
    <x v="2"/>
    <s v="octubre"/>
    <n v="2"/>
    <d v="2026-10-02T00:00:00"/>
    <n v="1113689444"/>
    <s v="GONZALEZ QUIÑONES JUAN CAMILO"/>
    <n v="116"/>
    <n v="0"/>
    <n v="5622565"/>
  </r>
  <r>
    <s v="Retail"/>
    <s v="Q039 - Cali - Cc Unico 2"/>
    <x v="2"/>
    <s v="octubre"/>
    <n v="2"/>
    <d v="2026-10-02T00:00:00"/>
    <n v="1130593915"/>
    <s v="BUITRAGO QUINTERO MADELEIN"/>
    <n v="19"/>
    <n v="0"/>
    <n v="540629"/>
  </r>
  <r>
    <s v="Retail"/>
    <s v="Q039 - Cali - Cc Unico 2"/>
    <x v="2"/>
    <s v="octubre"/>
    <n v="2"/>
    <d v="2026-10-02T00:00:00"/>
    <n v="1143851967"/>
    <s v="CASTILLO CASTILLO JOHAN SEBASTIAN"/>
    <n v="132"/>
    <n v="0"/>
    <n v="6903618"/>
  </r>
  <r>
    <s v="Retail"/>
    <s v="Q039 - Cali - Cc Unico 2"/>
    <x v="2"/>
    <s v="octubre"/>
    <n v="3"/>
    <d v="2026-10-03T00:00:00"/>
    <m/>
    <m/>
    <n v="0"/>
    <n v="61093970"/>
    <n v="0"/>
  </r>
  <r>
    <s v="Retail"/>
    <s v="Q039 - Cali - Cc Unico 2"/>
    <x v="2"/>
    <s v="octubre"/>
    <n v="3"/>
    <d v="2026-10-03T00:00:00"/>
    <n v="1001132922"/>
    <s v="GOMEZ MONTANA DIANA CAROLINA"/>
    <n v="52"/>
    <n v="0"/>
    <n v="1794426"/>
  </r>
  <r>
    <s v="Retail"/>
    <s v="Q039 - Cali - Cc Unico 2"/>
    <x v="2"/>
    <s v="octubre"/>
    <n v="3"/>
    <d v="2026-10-03T00:00:00"/>
    <n v="1005706861"/>
    <s v="BRAND MOSQUERA LINDA  MARYORI"/>
    <n v="39"/>
    <n v="0"/>
    <n v="2022781"/>
  </r>
  <r>
    <s v="Retail"/>
    <s v="Q039 - Cali - Cc Unico 2"/>
    <x v="2"/>
    <s v="octubre"/>
    <n v="3"/>
    <d v="2026-10-03T00:00:00"/>
    <n v="1005707524"/>
    <s v="MOSQUERA MOLINA JHOAN SEBASTIAN"/>
    <n v="-1"/>
    <n v="0"/>
    <n v="-37773"/>
  </r>
  <r>
    <s v="Retail"/>
    <s v="Q039 - Cali - Cc Unico 2"/>
    <x v="2"/>
    <s v="octubre"/>
    <n v="3"/>
    <d v="2026-10-03T00:00:00"/>
    <n v="1005815270"/>
    <s v="GUERRERO ATUESTA JUAN PABLO"/>
    <n v="58"/>
    <n v="0"/>
    <n v="3519960"/>
  </r>
  <r>
    <s v="Retail"/>
    <s v="Q039 - Cali - Cc Unico 2"/>
    <x v="2"/>
    <s v="octubre"/>
    <n v="3"/>
    <d v="2026-10-03T00:00:00"/>
    <n v="1006073270"/>
    <s v="BONILLA CHOCO CRISTIAN FELIPE"/>
    <n v="-1"/>
    <n v="0"/>
    <n v="-41975"/>
  </r>
  <r>
    <s v="Retail"/>
    <s v="Q039 - Cali - Cc Unico 2"/>
    <x v="2"/>
    <s v="octubre"/>
    <n v="3"/>
    <d v="2026-10-03T00:00:00"/>
    <n v="1007132542"/>
    <s v="SALCEDO CASTRILLON FRACHED"/>
    <n v="295"/>
    <n v="0"/>
    <n v="14611477"/>
  </r>
  <r>
    <s v="Retail"/>
    <s v="Q039 - Cali - Cc Unico 2"/>
    <x v="2"/>
    <s v="octubre"/>
    <n v="3"/>
    <d v="2026-10-03T00:00:00"/>
    <n v="1010088636"/>
    <s v="SALAZAR SANCHEZ ESTEBAN"/>
    <n v="209"/>
    <n v="0"/>
    <n v="9857272"/>
  </r>
  <r>
    <s v="Retail"/>
    <s v="Q039 - Cali - Cc Unico 2"/>
    <x v="2"/>
    <s v="octubre"/>
    <n v="3"/>
    <d v="2026-10-03T00:00:00"/>
    <n v="1044101083"/>
    <s v="GAMBOA OROZCO EDWIN FERNANDO"/>
    <n v="-2"/>
    <n v="0"/>
    <n v="-96555"/>
  </r>
  <r>
    <s v="Retail"/>
    <s v="Q039 - Cali - Cc Unico 2"/>
    <x v="2"/>
    <s v="octubre"/>
    <n v="3"/>
    <d v="2026-10-03T00:00:00"/>
    <n v="1061716853"/>
    <s v="BARRERA TOLA LEIDY JOANA"/>
    <n v="-1"/>
    <n v="0"/>
    <n v="-79790"/>
  </r>
  <r>
    <s v="Retail"/>
    <s v="Q039 - Cali - Cc Unico 2"/>
    <x v="2"/>
    <s v="octubre"/>
    <n v="3"/>
    <d v="2026-10-03T00:00:00"/>
    <n v="1105928523"/>
    <s v="ROJAS CAPERA SARA  LIZETH"/>
    <n v="-1"/>
    <n v="0"/>
    <n v="-41975"/>
  </r>
  <r>
    <s v="Retail"/>
    <s v="Q039 - Cali - Cc Unico 2"/>
    <x v="2"/>
    <s v="octubre"/>
    <n v="3"/>
    <d v="2026-10-03T00:00:00"/>
    <n v="1111662486"/>
    <s v="GRAJALES TROCHEZ JUAN  MANUEL"/>
    <n v="-2"/>
    <n v="0"/>
    <n v="-75546"/>
  </r>
  <r>
    <s v="Retail"/>
    <s v="Q039 - Cali - Cc Unico 2"/>
    <x v="2"/>
    <s v="octubre"/>
    <n v="3"/>
    <d v="2026-10-03T00:00:00"/>
    <n v="1111784310"/>
    <s v="MURILLO VALENCIA JHONIER"/>
    <n v="-1"/>
    <n v="0"/>
    <n v="-50378"/>
  </r>
  <r>
    <s v="Retail"/>
    <s v="Q039 - Cali - Cc Unico 2"/>
    <x v="2"/>
    <s v="octubre"/>
    <n v="3"/>
    <d v="2026-10-03T00:00:00"/>
    <n v="1113689444"/>
    <s v="GONZALEZ QUIÑONES JUAN CAMILO"/>
    <n v="295"/>
    <n v="0"/>
    <n v="14172562"/>
  </r>
  <r>
    <s v="Retail"/>
    <s v="Q039 - Cali - Cc Unico 2"/>
    <x v="2"/>
    <s v="octubre"/>
    <n v="3"/>
    <d v="2026-10-03T00:00:00"/>
    <n v="1130593915"/>
    <s v="BUITRAGO QUINTERO MADELEIN"/>
    <n v="38"/>
    <n v="0"/>
    <n v="2131184"/>
  </r>
  <r>
    <s v="Retail"/>
    <s v="Q039 - Cali - Cc Unico 2"/>
    <x v="2"/>
    <s v="octubre"/>
    <n v="3"/>
    <d v="2026-10-03T00:00:00"/>
    <n v="1143851967"/>
    <s v="CASTILLO CASTILLO JOHAN SEBASTIAN"/>
    <n v="282"/>
    <n v="0"/>
    <n v="14196283"/>
  </r>
  <r>
    <s v="Retail"/>
    <s v="Q039 - Cali - Cc Unico 2"/>
    <x v="2"/>
    <s v="octubre"/>
    <n v="4"/>
    <d v="2026-10-04T00:00:00"/>
    <m/>
    <m/>
    <n v="0"/>
    <n v="57356231"/>
    <n v="0"/>
  </r>
  <r>
    <s v="Retail"/>
    <s v="Q039 - Cali - Cc Unico 2"/>
    <x v="2"/>
    <s v="octubre"/>
    <n v="4"/>
    <d v="2026-10-04T00:00:00"/>
    <n v="1001132922"/>
    <s v="GOMEZ MONTANA DIANA CAROLINA"/>
    <n v="96"/>
    <n v="0"/>
    <n v="4791602"/>
  </r>
  <r>
    <s v="Retail"/>
    <s v="Q039 - Cali - Cc Unico 2"/>
    <x v="2"/>
    <s v="octubre"/>
    <n v="4"/>
    <d v="2026-10-04T00:00:00"/>
    <n v="1005706861"/>
    <s v="BRAND MOSQUERA LINDA  MARYORI"/>
    <n v="66"/>
    <n v="0"/>
    <n v="3581223"/>
  </r>
  <r>
    <s v="Retail"/>
    <s v="Q039 - Cali - Cc Unico 2"/>
    <x v="2"/>
    <s v="octubre"/>
    <n v="4"/>
    <d v="2026-10-04T00:00:00"/>
    <n v="1005815270"/>
    <s v="GUERRERO ATUESTA JUAN PABLO"/>
    <n v="87"/>
    <n v="0"/>
    <n v="5023323"/>
  </r>
  <r>
    <s v="Retail"/>
    <s v="Q039 - Cali - Cc Unico 2"/>
    <x v="2"/>
    <s v="octubre"/>
    <n v="4"/>
    <d v="2026-10-04T00:00:00"/>
    <n v="1006048956"/>
    <s v="MENESES OLAYA SEBASTIAN"/>
    <n v="-2"/>
    <n v="0"/>
    <n v="-96555"/>
  </r>
  <r>
    <s v="Retail"/>
    <s v="Q039 - Cali - Cc Unico 2"/>
    <x v="2"/>
    <s v="octubre"/>
    <n v="4"/>
    <d v="2026-10-04T00:00:00"/>
    <n v="1007132542"/>
    <s v="SALCEDO CASTRILLON FRACHED"/>
    <n v="274"/>
    <n v="0"/>
    <n v="14729098"/>
  </r>
  <r>
    <s v="Retail"/>
    <s v="Q039 - Cali - Cc Unico 2"/>
    <x v="2"/>
    <s v="octubre"/>
    <n v="4"/>
    <d v="2026-10-04T00:00:00"/>
    <n v="1010088636"/>
    <s v="SALAZAR SANCHEZ ESTEBAN"/>
    <n v="201"/>
    <n v="0"/>
    <n v="10835388"/>
  </r>
  <r>
    <s v="Retail"/>
    <s v="Q039 - Cali - Cc Unico 2"/>
    <x v="2"/>
    <s v="octubre"/>
    <n v="4"/>
    <d v="2026-10-04T00:00:00"/>
    <n v="1048292768"/>
    <s v="MARINEZ TORNEZ ANA MERCEDES"/>
    <n v="-3"/>
    <n v="0"/>
    <n v="-176303"/>
  </r>
  <r>
    <s v="Retail"/>
    <s v="Q039 - Cali - Cc Unico 2"/>
    <x v="2"/>
    <s v="octubre"/>
    <n v="4"/>
    <d v="2026-10-04T00:00:00"/>
    <n v="1061799953"/>
    <s v="BALANTA BURBANO MELISSA"/>
    <n v="-1"/>
    <n v="0"/>
    <n v="-50336"/>
  </r>
  <r>
    <s v="Retail"/>
    <s v="Q039 - Cali - Cc Unico 2"/>
    <x v="2"/>
    <s v="octubre"/>
    <n v="4"/>
    <d v="2026-10-04T00:00:00"/>
    <n v="1107047599"/>
    <s v="HURTADO PAREDES CRISTIAN ANDRES"/>
    <n v="-1"/>
    <n v="0"/>
    <n v="-54580"/>
  </r>
  <r>
    <s v="Retail"/>
    <s v="Q039 - Cali - Cc Unico 2"/>
    <x v="2"/>
    <s v="octubre"/>
    <n v="4"/>
    <d v="2026-10-04T00:00:00"/>
    <n v="1113689444"/>
    <s v="GONZALEZ QUIÑONES JUAN CAMILO"/>
    <n v="246"/>
    <n v="0"/>
    <n v="12015591"/>
  </r>
  <r>
    <s v="Retail"/>
    <s v="Q039 - Cali - Cc Unico 2"/>
    <x v="2"/>
    <s v="octubre"/>
    <n v="4"/>
    <d v="2026-10-04T00:00:00"/>
    <n v="1130593915"/>
    <s v="BUITRAGO QUINTERO MADELEIN"/>
    <n v="51"/>
    <n v="0"/>
    <n v="1875421"/>
  </r>
  <r>
    <s v="Retail"/>
    <s v="Q039 - Cali - Cc Unico 2"/>
    <x v="2"/>
    <s v="octubre"/>
    <n v="4"/>
    <d v="2026-10-04T00:00:00"/>
    <n v="1143851967"/>
    <s v="CASTILLO CASTILLO JOHAN SEBASTIAN"/>
    <n v="273"/>
    <n v="0"/>
    <n v="15096817"/>
  </r>
  <r>
    <s v="Retail"/>
    <s v="Q039 - Cali - Cc Unico 2"/>
    <x v="2"/>
    <s v="octubre"/>
    <n v="5"/>
    <d v="2026-10-05T00:00:00"/>
    <m/>
    <m/>
    <n v="0"/>
    <n v="20702913"/>
    <n v="0"/>
  </r>
  <r>
    <s v="Retail"/>
    <s v="Q039 - Cali - Cc Unico 2"/>
    <x v="2"/>
    <s v="octubre"/>
    <n v="5"/>
    <d v="2026-10-05T00:00:00"/>
    <n v="6469923"/>
    <s v="RODRIGUEZ MELENDEZ ERWIN JOSE"/>
    <n v="-1"/>
    <n v="0"/>
    <n v="-50336"/>
  </r>
  <r>
    <s v="Retail"/>
    <s v="Q039 - Cali - Cc Unico 2"/>
    <x v="2"/>
    <s v="octubre"/>
    <n v="5"/>
    <d v="2026-10-05T00:00:00"/>
    <n v="1001132922"/>
    <s v="GOMEZ MONTANA DIANA CAROLINA"/>
    <n v="-1"/>
    <n v="0"/>
    <n v="-79790"/>
  </r>
  <r>
    <s v="Retail"/>
    <s v="Q039 - Cali - Cc Unico 2"/>
    <x v="2"/>
    <s v="octubre"/>
    <n v="5"/>
    <d v="2026-10-05T00:00:00"/>
    <n v="1005706861"/>
    <s v="BRAND MOSQUERA LINDA  MARYORI"/>
    <n v="0"/>
    <n v="0"/>
    <n v="16807"/>
  </r>
  <r>
    <s v="Retail"/>
    <s v="Q039 - Cali - Cc Unico 2"/>
    <x v="2"/>
    <s v="octubre"/>
    <n v="5"/>
    <d v="2026-10-05T00:00:00"/>
    <n v="1005707524"/>
    <s v="MOSQUERA MOLINA JHOAN SEBASTIAN"/>
    <n v="-1"/>
    <n v="0"/>
    <n v="-41975"/>
  </r>
  <r>
    <s v="Retail"/>
    <s v="Q039 - Cali - Cc Unico 2"/>
    <x v="2"/>
    <s v="octubre"/>
    <n v="5"/>
    <d v="2026-10-05T00:00:00"/>
    <n v="1005815270"/>
    <s v="GUERRERO ATUESTA JUAN PABLO"/>
    <n v="44"/>
    <n v="0"/>
    <n v="2447523"/>
  </r>
  <r>
    <s v="Retail"/>
    <s v="Q039 - Cali - Cc Unico 2"/>
    <x v="2"/>
    <s v="octubre"/>
    <n v="5"/>
    <d v="2026-10-05T00:00:00"/>
    <n v="1007132542"/>
    <s v="SALCEDO CASTRILLON FRACHED"/>
    <n v="122"/>
    <n v="0"/>
    <n v="6650173"/>
  </r>
  <r>
    <s v="Retail"/>
    <s v="Q039 - Cali - Cc Unico 2"/>
    <x v="2"/>
    <s v="octubre"/>
    <n v="5"/>
    <d v="2026-10-05T00:00:00"/>
    <n v="1010088636"/>
    <s v="SALAZAR SANCHEZ ESTEBAN"/>
    <n v="85"/>
    <n v="0"/>
    <n v="4254376"/>
  </r>
  <r>
    <s v="Retail"/>
    <s v="Q039 - Cali - Cc Unico 2"/>
    <x v="2"/>
    <s v="octubre"/>
    <n v="5"/>
    <d v="2026-10-05T00:00:00"/>
    <n v="1107840490"/>
    <s v="LONDOÑO RODRIGUEZ NIKOL ANDREA"/>
    <n v="-4"/>
    <n v="0"/>
    <n v="-117479"/>
  </r>
  <r>
    <s v="Retail"/>
    <s v="Q039 - Cali - Cc Unico 2"/>
    <x v="2"/>
    <s v="octubre"/>
    <n v="5"/>
    <d v="2026-10-05T00:00:00"/>
    <n v="1113689444"/>
    <s v="GONZALEZ QUIÑONES JUAN CAMILO"/>
    <n v="115"/>
    <n v="0"/>
    <n v="5303224"/>
  </r>
  <r>
    <s v="Retail"/>
    <s v="Q039 - Cali - Cc Unico 2"/>
    <x v="2"/>
    <s v="octubre"/>
    <n v="5"/>
    <d v="2026-10-05T00:00:00"/>
    <n v="1130593915"/>
    <s v="BUITRAGO QUINTERO MADELEIN"/>
    <n v="3"/>
    <n v="0"/>
    <n v="50084"/>
  </r>
  <r>
    <s v="Retail"/>
    <s v="Q039 - Cali - Cc Unico 2"/>
    <x v="2"/>
    <s v="octubre"/>
    <n v="5"/>
    <d v="2026-10-05T00:00:00"/>
    <n v="1143851967"/>
    <s v="CASTILLO CASTILLO JOHAN SEBASTIAN"/>
    <n v="151"/>
    <n v="0"/>
    <n v="8022895"/>
  </r>
  <r>
    <s v="Retail"/>
    <s v="Q039 - Cali - Cc Unico 2"/>
    <x v="2"/>
    <s v="octubre"/>
    <n v="6"/>
    <d v="2026-10-06T00:00:00"/>
    <m/>
    <m/>
    <n v="0"/>
    <n v="13860561"/>
    <n v="0"/>
  </r>
  <r>
    <s v="Retail"/>
    <s v="Q039 - Cali - Cc Unico 2"/>
    <x v="2"/>
    <s v="octubre"/>
    <n v="6"/>
    <d v="2026-10-06T00:00:00"/>
    <n v="1005706861"/>
    <s v="BRAND MOSQUERA LINDA  MARYORI"/>
    <n v="13"/>
    <n v="0"/>
    <n v="425796"/>
  </r>
  <r>
    <s v="Retail"/>
    <s v="Q039 - Cali - Cc Unico 2"/>
    <x v="2"/>
    <s v="octubre"/>
    <n v="6"/>
    <d v="2026-10-06T00:00:00"/>
    <n v="1005815270"/>
    <s v="GUERRERO ATUESTA JUAN PABLO"/>
    <n v="34"/>
    <n v="0"/>
    <n v="1456347"/>
  </r>
  <r>
    <s v="Retail"/>
    <s v="Q039 - Cali - Cc Unico 2"/>
    <x v="2"/>
    <s v="octubre"/>
    <n v="6"/>
    <d v="2026-10-06T00:00:00"/>
    <n v="1007132542"/>
    <s v="SALCEDO CASTRILLON FRACHED"/>
    <n v="108"/>
    <n v="0"/>
    <n v="5174708"/>
  </r>
  <r>
    <s v="Retail"/>
    <s v="Q039 - Cali - Cc Unico 2"/>
    <x v="2"/>
    <s v="octubre"/>
    <n v="6"/>
    <d v="2026-10-06T00:00:00"/>
    <n v="1010088636"/>
    <s v="SALAZAR SANCHEZ ESTEBAN"/>
    <n v="66"/>
    <n v="0"/>
    <n v="3179152"/>
  </r>
  <r>
    <s v="Retail"/>
    <s v="Q039 - Cali - Cc Unico 2"/>
    <x v="2"/>
    <s v="octubre"/>
    <n v="6"/>
    <d v="2026-10-06T00:00:00"/>
    <n v="1111662486"/>
    <s v="GRAJALES TROCHEZ JUAN  MANUEL"/>
    <n v="-1"/>
    <n v="0"/>
    <n v="-33572"/>
  </r>
  <r>
    <s v="Retail"/>
    <s v="Q039 - Cali - Cc Unico 2"/>
    <x v="2"/>
    <s v="octubre"/>
    <n v="6"/>
    <d v="2026-10-06T00:00:00"/>
    <n v="1113689444"/>
    <s v="GONZALEZ QUIÑONES JUAN CAMILO"/>
    <n v="85"/>
    <n v="0"/>
    <n v="4138366"/>
  </r>
  <r>
    <s v="Retail"/>
    <s v="Q039 - Cali - Cc Unico 2"/>
    <x v="2"/>
    <s v="octubre"/>
    <n v="6"/>
    <d v="2026-10-06T00:00:00"/>
    <n v="1130593915"/>
    <s v="BUITRAGO QUINTERO MADELEIN"/>
    <n v="83"/>
    <n v="0"/>
    <n v="2462138"/>
  </r>
  <r>
    <s v="Retail"/>
    <s v="Q039 - Cali - Cc Unico 2"/>
    <x v="2"/>
    <s v="octubre"/>
    <n v="6"/>
    <d v="2026-10-06T00:00:00"/>
    <n v="1143851967"/>
    <s v="CASTILLO CASTILLO JOHAN SEBASTIAN"/>
    <n v="95"/>
    <n v="0"/>
    <n v="4622803"/>
  </r>
  <r>
    <s v="Retail"/>
    <s v="Q039 - Cali - Cc Unico 2"/>
    <x v="2"/>
    <s v="octubre"/>
    <n v="7"/>
    <d v="2026-10-07T00:00:00"/>
    <m/>
    <m/>
    <n v="0"/>
    <n v="13751661"/>
    <n v="0"/>
  </r>
  <r>
    <s v="Retail"/>
    <s v="Q039 - Cali - Cc Unico 2"/>
    <x v="2"/>
    <s v="octubre"/>
    <n v="7"/>
    <d v="2026-10-07T00:00:00"/>
    <n v="1005707524"/>
    <s v="MOSQUERA MOLINA JHOAN SEBASTIAN"/>
    <n v="-1"/>
    <n v="0"/>
    <n v="-37773"/>
  </r>
  <r>
    <s v="Retail"/>
    <s v="Q039 - Cali - Cc Unico 2"/>
    <x v="2"/>
    <s v="octubre"/>
    <n v="7"/>
    <d v="2026-10-07T00:00:00"/>
    <n v="1005815270"/>
    <s v="GUERRERO ATUESTA JUAN PABLO"/>
    <n v="27"/>
    <n v="0"/>
    <n v="1244245"/>
  </r>
  <r>
    <s v="Retail"/>
    <s v="Q039 - Cali - Cc Unico 2"/>
    <x v="2"/>
    <s v="octubre"/>
    <n v="7"/>
    <d v="2026-10-07T00:00:00"/>
    <n v="1007132542"/>
    <s v="SALCEDO CASTRILLON FRACHED"/>
    <n v="111"/>
    <n v="0"/>
    <n v="5325634"/>
  </r>
  <r>
    <s v="Retail"/>
    <s v="Q039 - Cali - Cc Unico 2"/>
    <x v="2"/>
    <s v="octubre"/>
    <n v="7"/>
    <d v="2026-10-07T00:00:00"/>
    <n v="1010088636"/>
    <s v="SALAZAR SANCHEZ ESTEBAN"/>
    <n v="31"/>
    <n v="0"/>
    <n v="1651767"/>
  </r>
  <r>
    <s v="Retail"/>
    <s v="Q039 - Cali - Cc Unico 2"/>
    <x v="2"/>
    <s v="octubre"/>
    <n v="7"/>
    <d v="2026-10-07T00:00:00"/>
    <n v="1113689444"/>
    <s v="GONZALEZ QUIÑONES JUAN CAMILO"/>
    <n v="87"/>
    <n v="0"/>
    <n v="3694624"/>
  </r>
  <r>
    <s v="Retail"/>
    <s v="Q039 - Cali - Cc Unico 2"/>
    <x v="2"/>
    <s v="octubre"/>
    <n v="7"/>
    <d v="2026-10-07T00:00:00"/>
    <n v="1130593915"/>
    <s v="BUITRAGO QUINTERO MADELEIN"/>
    <n v="46"/>
    <n v="0"/>
    <n v="987778"/>
  </r>
  <r>
    <s v="Retail"/>
    <s v="Q039 - Cali - Cc Unico 2"/>
    <x v="2"/>
    <s v="octubre"/>
    <n v="7"/>
    <d v="2026-10-07T00:00:00"/>
    <n v="1143851967"/>
    <s v="CASTILLO CASTILLO JOHAN SEBASTIAN"/>
    <n v="97"/>
    <n v="0"/>
    <n v="5306342"/>
  </r>
  <r>
    <s v="Retail"/>
    <s v="Q040 - Cali - Cc Unicentro 2"/>
    <x v="2"/>
    <s v="septiembre"/>
    <n v="23"/>
    <d v="2026-09-23T00:00:00"/>
    <m/>
    <m/>
    <n v="0"/>
    <n v="14634380"/>
    <n v="0"/>
  </r>
  <r>
    <s v="Retail"/>
    <s v="Q040 - Cali - Cc Unicentro 2"/>
    <x v="2"/>
    <s v="septiembre"/>
    <n v="23"/>
    <d v="2026-09-23T00:00:00"/>
    <n v="1004006497"/>
    <s v="ACEVEDO  PEREZ ANGUIE CATALINA "/>
    <n v="89"/>
    <n v="0"/>
    <n v="4855509"/>
  </r>
  <r>
    <s v="Retail"/>
    <s v="Q040 - Cali - Cc Unicentro 2"/>
    <x v="2"/>
    <s v="septiembre"/>
    <n v="23"/>
    <d v="2026-09-23T00:00:00"/>
    <n v="1085270297"/>
    <s v="CASTILLO CASTILLO LEYDI YOMARA"/>
    <n v="47"/>
    <n v="0"/>
    <n v="3283699"/>
  </r>
  <r>
    <s v="Retail"/>
    <s v="Q040 - Cali - Cc Unicentro 2"/>
    <x v="2"/>
    <s v="septiembre"/>
    <n v="23"/>
    <d v="2026-09-23T00:00:00"/>
    <n v="1144212178"/>
    <s v="TELLO CASTRO NICOLAS"/>
    <n v="113"/>
    <n v="0"/>
    <n v="6503532"/>
  </r>
  <r>
    <s v="Retail"/>
    <s v="Q040 - Cali - Cc Unicentro 2"/>
    <x v="2"/>
    <s v="septiembre"/>
    <n v="23"/>
    <d v="2026-09-23T00:00:00"/>
    <n v="1193262111"/>
    <s v="GARCIA RIOS DANIELA"/>
    <n v="37"/>
    <n v="0"/>
    <n v="2271557"/>
  </r>
  <r>
    <s v="Retail"/>
    <s v="Q040 - Cali - Cc Unicentro 2"/>
    <x v="2"/>
    <s v="septiembre"/>
    <n v="24"/>
    <d v="2026-09-24T00:00:00"/>
    <m/>
    <m/>
    <n v="0"/>
    <n v="22355664"/>
    <n v="0"/>
  </r>
  <r>
    <s v="Retail"/>
    <s v="Q040 - Cali - Cc Unicentro 2"/>
    <x v="2"/>
    <s v="septiembre"/>
    <n v="24"/>
    <d v="2026-09-24T00:00:00"/>
    <n v="1004006497"/>
    <s v="ACEVEDO  PEREZ ANGUIE CATALINA "/>
    <n v="82"/>
    <n v="0"/>
    <n v="4427022"/>
  </r>
  <r>
    <s v="Retail"/>
    <s v="Q040 - Cali - Cc Unicentro 2"/>
    <x v="2"/>
    <s v="septiembre"/>
    <n v="24"/>
    <d v="2026-09-24T00:00:00"/>
    <n v="1085270297"/>
    <s v="CASTILLO CASTILLO LEYDI YOMARA"/>
    <n v="34"/>
    <n v="0"/>
    <n v="1958572"/>
  </r>
  <r>
    <s v="Retail"/>
    <s v="Q040 - Cali - Cc Unicentro 2"/>
    <x v="2"/>
    <s v="septiembre"/>
    <n v="24"/>
    <d v="2026-09-24T00:00:00"/>
    <n v="1144212178"/>
    <s v="TELLO CASTRO NICOLAS"/>
    <n v="100"/>
    <n v="0"/>
    <n v="5884249"/>
  </r>
  <r>
    <s v="Retail"/>
    <s v="Q040 - Cali - Cc Unicentro 2"/>
    <x v="2"/>
    <s v="septiembre"/>
    <n v="24"/>
    <d v="2026-09-24T00:00:00"/>
    <n v="1193262111"/>
    <s v="GARCIA RIOS DANIELA"/>
    <n v="25"/>
    <n v="0"/>
    <n v="1540926"/>
  </r>
  <r>
    <s v="Retail"/>
    <s v="Q040 - Cali - Cc Unicentro 2"/>
    <x v="2"/>
    <s v="septiembre"/>
    <n v="25"/>
    <d v="2026-09-25T00:00:00"/>
    <m/>
    <m/>
    <n v="0"/>
    <n v="22306173"/>
    <n v="0"/>
  </r>
  <r>
    <s v="Retail"/>
    <s v="Q040 - Cali - Cc Unicentro 2"/>
    <x v="2"/>
    <s v="septiembre"/>
    <n v="25"/>
    <d v="2026-09-25T00:00:00"/>
    <n v="16919109"/>
    <s v="GONZALEZ PENA EDWARD FABIAN"/>
    <n v="-1"/>
    <n v="0"/>
    <n v="-142773"/>
  </r>
  <r>
    <s v="Retail"/>
    <s v="Q040 - Cali - Cc Unicentro 2"/>
    <x v="2"/>
    <s v="septiembre"/>
    <n v="25"/>
    <d v="2026-09-25T00:00:00"/>
    <n v="1002607819"/>
    <s v="RAMIREZ  TORRES INGRITH MICHELLE "/>
    <n v="-1"/>
    <n v="0"/>
    <n v="-75546"/>
  </r>
  <r>
    <s v="Retail"/>
    <s v="Q040 - Cali - Cc Unicentro 2"/>
    <x v="2"/>
    <s v="septiembre"/>
    <n v="25"/>
    <d v="2026-09-25T00:00:00"/>
    <n v="1004006497"/>
    <s v="ACEVEDO  PEREZ ANGUIE CATALINA "/>
    <n v="90"/>
    <n v="0"/>
    <n v="5489711"/>
  </r>
  <r>
    <s v="Retail"/>
    <s v="Q040 - Cali - Cc Unicentro 2"/>
    <x v="2"/>
    <s v="septiembre"/>
    <n v="25"/>
    <d v="2026-09-25T00:00:00"/>
    <n v="1085270297"/>
    <s v="CASTILLO CASTILLO LEYDI YOMARA"/>
    <n v="30"/>
    <n v="0"/>
    <n v="1723490"/>
  </r>
  <r>
    <s v="Retail"/>
    <s v="Q040 - Cali - Cc Unicentro 2"/>
    <x v="2"/>
    <s v="septiembre"/>
    <n v="25"/>
    <d v="2026-09-25T00:00:00"/>
    <n v="1144212178"/>
    <s v="TELLO CASTRO NICOLAS"/>
    <n v="77"/>
    <n v="0"/>
    <n v="5118532"/>
  </r>
  <r>
    <s v="Retail"/>
    <s v="Q040 - Cali - Cc Unicentro 2"/>
    <x v="2"/>
    <s v="septiembre"/>
    <n v="25"/>
    <d v="2026-09-25T00:00:00"/>
    <n v="1193262111"/>
    <s v="GARCIA RIOS DANIELA"/>
    <n v="40"/>
    <n v="0"/>
    <n v="2206093"/>
  </r>
  <r>
    <s v="Retail"/>
    <s v="Q040 - Cali - Cc Unicentro 2"/>
    <x v="2"/>
    <s v="septiembre"/>
    <n v="26"/>
    <d v="2026-09-26T00:00:00"/>
    <m/>
    <m/>
    <n v="0"/>
    <n v="32057179"/>
    <n v="0"/>
  </r>
  <r>
    <s v="Retail"/>
    <s v="Q040 - Cali - Cc Unicentro 2"/>
    <x v="2"/>
    <s v="septiembre"/>
    <n v="26"/>
    <d v="2026-09-26T00:00:00"/>
    <n v="1004006497"/>
    <s v="ACEVEDO  PEREZ ANGUIE CATALINA "/>
    <n v="139"/>
    <n v="0"/>
    <n v="8319206"/>
  </r>
  <r>
    <s v="Retail"/>
    <s v="Q040 - Cali - Cc Unicentro 2"/>
    <x v="2"/>
    <s v="septiembre"/>
    <n v="26"/>
    <d v="2026-09-26T00:00:00"/>
    <n v="1085270297"/>
    <s v="CASTILLO CASTILLO LEYDI YOMARA"/>
    <n v="116"/>
    <n v="0"/>
    <n v="6931519"/>
  </r>
  <r>
    <s v="Retail"/>
    <s v="Q040 - Cali - Cc Unicentro 2"/>
    <x v="2"/>
    <s v="septiembre"/>
    <n v="26"/>
    <d v="2026-09-26T00:00:00"/>
    <n v="1144212178"/>
    <s v="TELLO CASTRO NICOLAS"/>
    <n v="224"/>
    <n v="0"/>
    <n v="12809087"/>
  </r>
  <r>
    <s v="Retail"/>
    <s v="Q040 - Cali - Cc Unicentro 2"/>
    <x v="2"/>
    <s v="septiembre"/>
    <n v="26"/>
    <d v="2026-09-26T00:00:00"/>
    <n v="1193262111"/>
    <s v="GARCIA RIOS DANIELA"/>
    <n v="103"/>
    <n v="0"/>
    <n v="5982778"/>
  </r>
  <r>
    <s v="Retail"/>
    <s v="Q040 - Cali - Cc Unicentro 2"/>
    <x v="2"/>
    <s v="septiembre"/>
    <n v="27"/>
    <d v="2026-09-27T00:00:00"/>
    <m/>
    <m/>
    <n v="0"/>
    <n v="25395736"/>
    <n v="0"/>
  </r>
  <r>
    <s v="Retail"/>
    <s v="Q040 - Cali - Cc Unicentro 2"/>
    <x v="2"/>
    <s v="septiembre"/>
    <n v="27"/>
    <d v="2026-09-27T00:00:00"/>
    <n v="1004006497"/>
    <s v="ACEVEDO  PEREZ ANGUIE CATALINA "/>
    <n v="126"/>
    <n v="0"/>
    <n v="6491980"/>
  </r>
  <r>
    <s v="Retail"/>
    <s v="Q040 - Cali - Cc Unicentro 2"/>
    <x v="2"/>
    <s v="septiembre"/>
    <n v="27"/>
    <d v="2026-09-27T00:00:00"/>
    <n v="1085270297"/>
    <s v="CASTILLO CASTILLO LEYDI YOMARA"/>
    <n v="41"/>
    <n v="0"/>
    <n v="2130169"/>
  </r>
  <r>
    <s v="Retail"/>
    <s v="Q040 - Cali - Cc Unicentro 2"/>
    <x v="2"/>
    <s v="septiembre"/>
    <n v="27"/>
    <d v="2026-09-27T00:00:00"/>
    <n v="1144212178"/>
    <s v="TELLO CASTRO NICOLAS"/>
    <n v="161"/>
    <n v="0"/>
    <n v="8923119"/>
  </r>
  <r>
    <s v="Retail"/>
    <s v="Q040 - Cali - Cc Unicentro 2"/>
    <x v="2"/>
    <s v="septiembre"/>
    <n v="27"/>
    <d v="2026-09-27T00:00:00"/>
    <n v="1193262111"/>
    <s v="GARCIA RIOS DANIELA"/>
    <n v="11"/>
    <n v="0"/>
    <n v="688614"/>
  </r>
  <r>
    <s v="Retail"/>
    <s v="Q040 - Cali - Cc Unicentro 2"/>
    <x v="2"/>
    <s v="septiembre"/>
    <n v="28"/>
    <d v="2026-09-28T00:00:00"/>
    <m/>
    <m/>
    <n v="0"/>
    <n v="13976770"/>
    <n v="0"/>
  </r>
  <r>
    <s v="Retail"/>
    <s v="Q040 - Cali - Cc Unicentro 2"/>
    <x v="2"/>
    <s v="septiembre"/>
    <n v="28"/>
    <d v="2026-09-28T00:00:00"/>
    <n v="1004006497"/>
    <s v="ACEVEDO  PEREZ ANGUIE CATALINA "/>
    <n v="48"/>
    <n v="0"/>
    <n v="3186766"/>
  </r>
  <r>
    <s v="Retail"/>
    <s v="Q040 - Cali - Cc Unicentro 2"/>
    <x v="2"/>
    <s v="septiembre"/>
    <n v="28"/>
    <d v="2026-09-28T00:00:00"/>
    <n v="1085270297"/>
    <s v="CASTILLO CASTILLO LEYDI YOMARA"/>
    <n v="32"/>
    <n v="0"/>
    <n v="1826303"/>
  </r>
  <r>
    <s v="Retail"/>
    <s v="Q040 - Cali - Cc Unicentro 2"/>
    <x v="2"/>
    <s v="septiembre"/>
    <n v="28"/>
    <d v="2026-09-28T00:00:00"/>
    <n v="1108643619"/>
    <s v="OSSA  MENESES VALERIA "/>
    <n v="1"/>
    <n v="0"/>
    <n v="62983"/>
  </r>
  <r>
    <s v="Retail"/>
    <s v="Q040 - Cali - Cc Unicentro 2"/>
    <x v="2"/>
    <s v="septiembre"/>
    <n v="28"/>
    <d v="2026-09-28T00:00:00"/>
    <n v="1144212178"/>
    <s v="TELLO CASTRO NICOLAS"/>
    <n v="69"/>
    <n v="0"/>
    <n v="4122818"/>
  </r>
  <r>
    <s v="Retail"/>
    <s v="Q040 - Cali - Cc Unicentro 2"/>
    <x v="2"/>
    <s v="septiembre"/>
    <n v="28"/>
    <d v="2026-09-28T00:00:00"/>
    <n v="1193262111"/>
    <s v="GARCIA RIOS DANIELA"/>
    <n v="32"/>
    <n v="0"/>
    <n v="1864035"/>
  </r>
  <r>
    <s v="Retail"/>
    <s v="Q040 - Cali - Cc Unicentro 2"/>
    <x v="2"/>
    <s v="septiembre"/>
    <n v="29"/>
    <d v="2026-09-29T00:00:00"/>
    <m/>
    <m/>
    <n v="0"/>
    <n v="14929928"/>
    <n v="0"/>
  </r>
  <r>
    <s v="Retail"/>
    <s v="Q040 - Cali - Cc Unicentro 2"/>
    <x v="2"/>
    <s v="septiembre"/>
    <n v="29"/>
    <d v="2026-09-29T00:00:00"/>
    <n v="1004006497"/>
    <s v="ACEVEDO  PEREZ ANGUIE CATALINA "/>
    <n v="32"/>
    <n v="0"/>
    <n v="1927062"/>
  </r>
  <r>
    <s v="Retail"/>
    <s v="Q040 - Cali - Cc Unicentro 2"/>
    <x v="2"/>
    <s v="septiembre"/>
    <n v="29"/>
    <d v="2026-09-29T00:00:00"/>
    <n v="1085270297"/>
    <s v="CASTILLO CASTILLO LEYDI YOMARA"/>
    <n v="62"/>
    <n v="0"/>
    <n v="2887731"/>
  </r>
  <r>
    <s v="Retail"/>
    <s v="Q040 - Cali - Cc Unicentro 2"/>
    <x v="2"/>
    <s v="septiembre"/>
    <n v="29"/>
    <d v="2026-09-29T00:00:00"/>
    <n v="1108643619"/>
    <s v="OSSA  MENESES VALERIA "/>
    <n v="4"/>
    <n v="0"/>
    <n v="205630"/>
  </r>
  <r>
    <s v="Retail"/>
    <s v="Q040 - Cali - Cc Unicentro 2"/>
    <x v="2"/>
    <s v="septiembre"/>
    <n v="29"/>
    <d v="2026-09-29T00:00:00"/>
    <n v="1144212178"/>
    <s v="TELLO CASTRO NICOLAS"/>
    <n v="44"/>
    <n v="0"/>
    <n v="2316934"/>
  </r>
  <r>
    <s v="Retail"/>
    <s v="Q040 - Cali - Cc Unicentro 2"/>
    <x v="2"/>
    <s v="septiembre"/>
    <n v="29"/>
    <d v="2026-09-29T00:00:00"/>
    <n v="1193262111"/>
    <s v="GARCIA RIOS DANIELA"/>
    <n v="96"/>
    <n v="0"/>
    <n v="5209121"/>
  </r>
  <r>
    <s v="Retail"/>
    <s v="Q040 - Cali - Cc Unicentro 2"/>
    <x v="2"/>
    <s v="septiembre"/>
    <n v="30"/>
    <d v="2026-09-30T00:00:00"/>
    <m/>
    <m/>
    <n v="0"/>
    <n v="15422880"/>
    <n v="0"/>
  </r>
  <r>
    <s v="Retail"/>
    <s v="Q040 - Cali - Cc Unicentro 2"/>
    <x v="2"/>
    <s v="septiembre"/>
    <n v="30"/>
    <d v="2026-09-30T00:00:00"/>
    <n v="1004006497"/>
    <s v="ACEVEDO  PEREZ ANGUIE CATALINA "/>
    <n v="73"/>
    <n v="0"/>
    <n v="3880466"/>
  </r>
  <r>
    <s v="Retail"/>
    <s v="Q040 - Cali - Cc Unicentro 2"/>
    <x v="2"/>
    <s v="septiembre"/>
    <n v="30"/>
    <d v="2026-09-30T00:00:00"/>
    <n v="1085270297"/>
    <s v="CASTILLO CASTILLO LEYDI YOMARA"/>
    <n v="40"/>
    <n v="0"/>
    <n v="2380338"/>
  </r>
  <r>
    <s v="Retail"/>
    <s v="Q040 - Cali - Cc Unicentro 2"/>
    <x v="2"/>
    <s v="septiembre"/>
    <n v="30"/>
    <d v="2026-09-30T00:00:00"/>
    <n v="1144212178"/>
    <s v="TELLO CASTRO NICOLAS"/>
    <n v="71"/>
    <n v="0"/>
    <n v="3996259"/>
  </r>
  <r>
    <s v="Retail"/>
    <s v="Q040 - Cali - Cc Unicentro 2"/>
    <x v="2"/>
    <s v="septiembre"/>
    <n v="30"/>
    <d v="2026-09-30T00:00:00"/>
    <n v="1193262111"/>
    <s v="GARCIA RIOS DANIELA"/>
    <n v="75"/>
    <n v="0"/>
    <n v="3689495"/>
  </r>
  <r>
    <s v="Retail"/>
    <s v="Q040 - Cali - Cc Unicentro 2"/>
    <x v="2"/>
    <s v="octubre"/>
    <n v="1"/>
    <d v="2026-10-01T00:00:00"/>
    <m/>
    <m/>
    <n v="0"/>
    <n v="10660310"/>
    <n v="0"/>
  </r>
  <r>
    <s v="Retail"/>
    <s v="Q040 - Cali - Cc Unicentro 2"/>
    <x v="2"/>
    <s v="octubre"/>
    <n v="1"/>
    <d v="2026-10-01T00:00:00"/>
    <n v="1004006497"/>
    <s v="ACEVEDO  PEREZ ANGUIE CATALINA "/>
    <n v="107"/>
    <n v="0"/>
    <n v="5545047"/>
  </r>
  <r>
    <s v="Retail"/>
    <s v="Q040 - Cali - Cc Unicentro 2"/>
    <x v="2"/>
    <s v="octubre"/>
    <n v="1"/>
    <d v="2026-10-01T00:00:00"/>
    <n v="1085270297"/>
    <s v="CASTILLO CASTILLO LEYDI YOMARA"/>
    <n v="50"/>
    <n v="0"/>
    <n v="2560380"/>
  </r>
  <r>
    <s v="Retail"/>
    <s v="Q040 - Cali - Cc Unicentro 2"/>
    <x v="2"/>
    <s v="octubre"/>
    <n v="1"/>
    <d v="2026-10-01T00:00:00"/>
    <n v="1108332060"/>
    <s v="MORENO MINA D¨LESSANDRO"/>
    <n v="-2"/>
    <n v="0"/>
    <n v="-109076"/>
  </r>
  <r>
    <s v="Retail"/>
    <s v="Q040 - Cali - Cc Unicentro 2"/>
    <x v="2"/>
    <s v="octubre"/>
    <n v="1"/>
    <d v="2026-10-01T00:00:00"/>
    <n v="1108643619"/>
    <s v="OSSA  MENESES VALERIA "/>
    <n v="0"/>
    <n v="0"/>
    <n v="-25168"/>
  </r>
  <r>
    <s v="Retail"/>
    <s v="Q040 - Cali - Cc Unicentro 2"/>
    <x v="2"/>
    <s v="octubre"/>
    <n v="1"/>
    <d v="2026-10-01T00:00:00"/>
    <n v="1144158340"/>
    <s v="OCAMPO  JUAN"/>
    <n v="-1"/>
    <n v="0"/>
    <n v="-37773"/>
  </r>
  <r>
    <s v="Retail"/>
    <s v="Q040 - Cali - Cc Unicentro 2"/>
    <x v="2"/>
    <s v="octubre"/>
    <n v="1"/>
    <d v="2026-10-01T00:00:00"/>
    <n v="1144212178"/>
    <s v="TELLO CASTRO NICOLAS"/>
    <n v="63"/>
    <n v="0"/>
    <n v="3730084"/>
  </r>
  <r>
    <s v="Retail"/>
    <s v="Q040 - Cali - Cc Unicentro 2"/>
    <x v="2"/>
    <s v="octubre"/>
    <n v="1"/>
    <d v="2026-10-01T00:00:00"/>
    <n v="1193262111"/>
    <s v="GARCIA RIOS DANIELA"/>
    <n v="58"/>
    <n v="0"/>
    <n v="2982354"/>
  </r>
  <r>
    <s v="Retail"/>
    <s v="Q040 - Cali - Cc Unicentro 2"/>
    <x v="2"/>
    <s v="octubre"/>
    <n v="2"/>
    <d v="2026-10-02T00:00:00"/>
    <m/>
    <m/>
    <n v="0"/>
    <n v="9381915"/>
    <n v="0"/>
  </r>
  <r>
    <s v="Retail"/>
    <s v="Q040 - Cali - Cc Unicentro 2"/>
    <x v="2"/>
    <s v="octubre"/>
    <n v="2"/>
    <d v="2026-10-02T00:00:00"/>
    <n v="1004006497"/>
    <s v="ACEVEDO  PEREZ ANGUIE CATALINA "/>
    <n v="117"/>
    <n v="0"/>
    <n v="6231682"/>
  </r>
  <r>
    <s v="Retail"/>
    <s v="Q040 - Cali - Cc Unicentro 2"/>
    <x v="2"/>
    <s v="octubre"/>
    <n v="2"/>
    <d v="2026-10-02T00:00:00"/>
    <n v="1085270297"/>
    <s v="CASTILLO CASTILLO LEYDI YOMARA"/>
    <n v="37"/>
    <n v="0"/>
    <n v="2086598"/>
  </r>
  <r>
    <s v="Retail"/>
    <s v="Q040 - Cali - Cc Unicentro 2"/>
    <x v="2"/>
    <s v="octubre"/>
    <n v="2"/>
    <d v="2026-10-02T00:00:00"/>
    <n v="1144212178"/>
    <s v="TELLO CASTRO NICOLAS"/>
    <n v="126"/>
    <n v="0"/>
    <n v="6888827"/>
  </r>
  <r>
    <s v="Retail"/>
    <s v="Q040 - Cali - Cc Unicentro 2"/>
    <x v="2"/>
    <s v="octubre"/>
    <n v="2"/>
    <d v="2026-10-02T00:00:00"/>
    <n v="1193262111"/>
    <s v="GARCIA RIOS DANIELA"/>
    <n v="28"/>
    <n v="0"/>
    <n v="1591009"/>
  </r>
  <r>
    <s v="Retail"/>
    <s v="Q040 - Cali - Cc Unicentro 2"/>
    <x v="2"/>
    <s v="octubre"/>
    <n v="3"/>
    <d v="2026-10-03T00:00:00"/>
    <m/>
    <m/>
    <n v="0"/>
    <n v="36331677"/>
    <n v="0"/>
  </r>
  <r>
    <s v="Retail"/>
    <s v="Q040 - Cali - Cc Unicentro 2"/>
    <x v="2"/>
    <s v="octubre"/>
    <n v="3"/>
    <d v="2026-10-03T00:00:00"/>
    <n v="1004006497"/>
    <s v="ACEVEDO  PEREZ ANGUIE CATALINA "/>
    <n v="248"/>
    <n v="0"/>
    <n v="13773165"/>
  </r>
  <r>
    <s v="Retail"/>
    <s v="Q040 - Cali - Cc Unicentro 2"/>
    <x v="2"/>
    <s v="octubre"/>
    <n v="3"/>
    <d v="2026-10-03T00:00:00"/>
    <n v="1038822751"/>
    <s v="HOYOS  LEON WENDY VANESSA "/>
    <n v="-1"/>
    <n v="0"/>
    <n v="-83992"/>
  </r>
  <r>
    <s v="Retail"/>
    <s v="Q040 - Cali - Cc Unicentro 2"/>
    <x v="2"/>
    <s v="octubre"/>
    <n v="3"/>
    <d v="2026-10-03T00:00:00"/>
    <n v="1085270297"/>
    <s v="CASTILLO CASTILLO LEYDI YOMARA"/>
    <n v="26"/>
    <n v="0"/>
    <n v="1700463"/>
  </r>
  <r>
    <s v="Retail"/>
    <s v="Q040 - Cali - Cc Unicentro 2"/>
    <x v="2"/>
    <s v="octubre"/>
    <n v="3"/>
    <d v="2026-10-03T00:00:00"/>
    <n v="1108643619"/>
    <s v="OSSA  MENESES VALERIA "/>
    <n v="-1"/>
    <n v="0"/>
    <n v="-159622"/>
  </r>
  <r>
    <s v="Retail"/>
    <s v="Q040 - Cali - Cc Unicentro 2"/>
    <x v="2"/>
    <s v="octubre"/>
    <n v="3"/>
    <d v="2026-10-03T00:00:00"/>
    <n v="1144212178"/>
    <s v="TELLO CASTRO NICOLAS"/>
    <n v="240"/>
    <n v="0"/>
    <n v="13757157"/>
  </r>
  <r>
    <s v="Retail"/>
    <s v="Q040 - Cali - Cc Unicentro 2"/>
    <x v="2"/>
    <s v="octubre"/>
    <n v="3"/>
    <d v="2026-10-03T00:00:00"/>
    <n v="1193262111"/>
    <s v="GARCIA RIOS DANIELA"/>
    <n v="37"/>
    <n v="0"/>
    <n v="1716556"/>
  </r>
  <r>
    <s v="Retail"/>
    <s v="Q040 - Cali - Cc Unicentro 2"/>
    <x v="2"/>
    <s v="octubre"/>
    <n v="4"/>
    <d v="2026-10-04T00:00:00"/>
    <m/>
    <m/>
    <n v="0"/>
    <n v="25813011"/>
    <n v="0"/>
  </r>
  <r>
    <s v="Retail"/>
    <s v="Q040 - Cali - Cc Unicentro 2"/>
    <x v="2"/>
    <s v="octubre"/>
    <n v="4"/>
    <d v="2026-10-04T00:00:00"/>
    <n v="1004006497"/>
    <s v="ACEVEDO  PEREZ ANGUIE CATALINA "/>
    <n v="231"/>
    <n v="0"/>
    <n v="13308541"/>
  </r>
  <r>
    <s v="Retail"/>
    <s v="Q040 - Cali - Cc Unicentro 2"/>
    <x v="2"/>
    <s v="octubre"/>
    <n v="4"/>
    <d v="2026-10-04T00:00:00"/>
    <n v="1085270297"/>
    <s v="CASTILLO CASTILLO LEYDI YOMARA"/>
    <n v="46"/>
    <n v="0"/>
    <n v="2653196"/>
  </r>
  <r>
    <s v="Retail"/>
    <s v="Q040 - Cali - Cc Unicentro 2"/>
    <x v="2"/>
    <s v="octubre"/>
    <n v="4"/>
    <d v="2026-10-04T00:00:00"/>
    <n v="1107840490"/>
    <s v="LONDOÑO RODRIGUEZ NIKOL ANDREA"/>
    <n v="-5"/>
    <n v="0"/>
    <n v="-377941"/>
  </r>
  <r>
    <s v="Retail"/>
    <s v="Q040 - Cali - Cc Unicentro 2"/>
    <x v="2"/>
    <s v="octubre"/>
    <n v="4"/>
    <d v="2026-10-04T00:00:00"/>
    <n v="1108332060"/>
    <s v="MORENO MINA D¨LESSANDRO"/>
    <n v="-1"/>
    <n v="0"/>
    <n v="-83949"/>
  </r>
  <r>
    <s v="Retail"/>
    <s v="Q040 - Cali - Cc Unicentro 2"/>
    <x v="2"/>
    <s v="octubre"/>
    <n v="4"/>
    <d v="2026-10-04T00:00:00"/>
    <n v="1144212178"/>
    <s v="TELLO CASTRO NICOLAS"/>
    <n v="225"/>
    <n v="0"/>
    <n v="13853031"/>
  </r>
  <r>
    <s v="Retail"/>
    <s v="Q040 - Cali - Cc Unicentro 2"/>
    <x v="2"/>
    <s v="octubre"/>
    <n v="4"/>
    <d v="2026-10-04T00:00:00"/>
    <n v="1193262111"/>
    <s v="GARCIA RIOS DANIELA"/>
    <n v="60"/>
    <n v="0"/>
    <n v="3095804"/>
  </r>
  <r>
    <s v="Retail"/>
    <s v="Q040 - Cali - Cc Unicentro 2"/>
    <x v="2"/>
    <s v="octubre"/>
    <n v="5"/>
    <d v="2026-10-05T00:00:00"/>
    <m/>
    <m/>
    <n v="0"/>
    <n v="15606059"/>
    <n v="0"/>
  </r>
  <r>
    <s v="Retail"/>
    <s v="Q040 - Cali - Cc Unicentro 2"/>
    <x v="2"/>
    <s v="octubre"/>
    <n v="5"/>
    <d v="2026-10-05T00:00:00"/>
    <n v="1004006497"/>
    <s v="ACEVEDO  PEREZ ANGUIE CATALINA "/>
    <n v="115"/>
    <n v="0"/>
    <n v="6608109"/>
  </r>
  <r>
    <s v="Retail"/>
    <s v="Q040 - Cali - Cc Unicentro 2"/>
    <x v="2"/>
    <s v="octubre"/>
    <n v="5"/>
    <d v="2026-10-05T00:00:00"/>
    <n v="1007729215"/>
    <s v="ESCOBAR QUINTERO MARLON"/>
    <n v="-1"/>
    <n v="0"/>
    <n v="-54580"/>
  </r>
  <r>
    <s v="Retail"/>
    <s v="Q040 - Cali - Cc Unicentro 2"/>
    <x v="2"/>
    <s v="octubre"/>
    <n v="5"/>
    <d v="2026-10-05T00:00:00"/>
    <n v="1085270297"/>
    <s v="CASTILLO CASTILLO LEYDI YOMARA"/>
    <n v="23"/>
    <n v="0"/>
    <n v="1204708"/>
  </r>
  <r>
    <s v="Retail"/>
    <s v="Q040 - Cali - Cc Unicentro 2"/>
    <x v="2"/>
    <s v="octubre"/>
    <n v="5"/>
    <d v="2026-10-05T00:00:00"/>
    <n v="1144212178"/>
    <s v="TELLO CASTRO NICOLAS"/>
    <n v="107"/>
    <n v="0"/>
    <n v="5788954"/>
  </r>
  <r>
    <s v="Retail"/>
    <s v="Q040 - Cali - Cc Unicentro 2"/>
    <x v="2"/>
    <s v="octubre"/>
    <n v="5"/>
    <d v="2026-10-05T00:00:00"/>
    <n v="1193262111"/>
    <s v="GARCIA RIOS DANIELA"/>
    <n v="31"/>
    <n v="0"/>
    <n v="1412274"/>
  </r>
  <r>
    <s v="Retail"/>
    <s v="Q040 - Cali - Cc Unicentro 2"/>
    <x v="2"/>
    <s v="octubre"/>
    <n v="6"/>
    <d v="2026-10-06T00:00:00"/>
    <m/>
    <m/>
    <n v="0"/>
    <n v="8149236"/>
    <n v="0"/>
  </r>
  <r>
    <s v="Retail"/>
    <s v="Q040 - Cali - Cc Unicentro 2"/>
    <x v="2"/>
    <s v="octubre"/>
    <n v="6"/>
    <d v="2026-10-06T00:00:00"/>
    <n v="1004006497"/>
    <s v="ACEVEDO  PEREZ ANGUIE CATALINA "/>
    <n v="65"/>
    <n v="0"/>
    <n v="3459123"/>
  </r>
  <r>
    <s v="Retail"/>
    <s v="Q040 - Cali - Cc Unicentro 2"/>
    <x v="2"/>
    <s v="octubre"/>
    <n v="6"/>
    <d v="2026-10-06T00:00:00"/>
    <n v="1085270297"/>
    <s v="CASTILLO CASTILLO LEYDI YOMARA"/>
    <n v="5"/>
    <n v="0"/>
    <n v="239244"/>
  </r>
  <r>
    <s v="Retail"/>
    <s v="Q040 - Cali - Cc Unicentro 2"/>
    <x v="2"/>
    <s v="octubre"/>
    <n v="6"/>
    <d v="2026-10-06T00:00:00"/>
    <n v="1109667614"/>
    <s v="GALLEGO  CAMPO SEBASTIAN "/>
    <n v="-1"/>
    <n v="0"/>
    <n v="-75588"/>
  </r>
  <r>
    <s v="Retail"/>
    <s v="Q040 - Cali - Cc Unicentro 2"/>
    <x v="2"/>
    <s v="octubre"/>
    <n v="6"/>
    <d v="2026-10-06T00:00:00"/>
    <n v="1110040133"/>
    <s v="FLOREZ  GARCÍA SAMUEL "/>
    <n v="-1"/>
    <n v="0"/>
    <n v="-46177"/>
  </r>
  <r>
    <s v="Retail"/>
    <s v="Q040 - Cali - Cc Unicentro 2"/>
    <x v="2"/>
    <s v="octubre"/>
    <n v="6"/>
    <d v="2026-10-06T00:00:00"/>
    <n v="1144212178"/>
    <s v="TELLO CASTRO NICOLAS"/>
    <n v="68"/>
    <n v="0"/>
    <n v="3876725"/>
  </r>
  <r>
    <s v="Retail"/>
    <s v="Q040 - Cali - Cc Unicentro 2"/>
    <x v="2"/>
    <s v="octubre"/>
    <n v="6"/>
    <d v="2026-10-06T00:00:00"/>
    <n v="1193262111"/>
    <s v="GARCIA RIOS DANIELA"/>
    <n v="5"/>
    <n v="0"/>
    <n v="218235"/>
  </r>
  <r>
    <s v="Retail"/>
    <s v="Q040 - Cali - Cc Unicentro 2"/>
    <x v="2"/>
    <s v="octubre"/>
    <n v="7"/>
    <d v="2026-10-07T00:00:00"/>
    <m/>
    <m/>
    <n v="0"/>
    <n v="8042008"/>
    <n v="0"/>
  </r>
  <r>
    <s v="Retail"/>
    <s v="Q040 - Cali - Cc Unicentro 2"/>
    <x v="2"/>
    <s v="octubre"/>
    <n v="7"/>
    <d v="2026-10-07T00:00:00"/>
    <n v="1004006497"/>
    <s v="ACEVEDO  PEREZ ANGUIE CATALINA "/>
    <n v="37"/>
    <n v="0"/>
    <n v="2227144"/>
  </r>
  <r>
    <s v="Retail"/>
    <s v="Q040 - Cali - Cc Unicentro 2"/>
    <x v="2"/>
    <s v="octubre"/>
    <n v="7"/>
    <d v="2026-10-07T00:00:00"/>
    <n v="1085270297"/>
    <s v="CASTILLO CASTILLO LEYDI YOMARA"/>
    <n v="20"/>
    <n v="0"/>
    <n v="1188068"/>
  </r>
  <r>
    <s v="Retail"/>
    <s v="Q040 - Cali - Cc Unicentro 2"/>
    <x v="2"/>
    <s v="octubre"/>
    <n v="7"/>
    <d v="2026-10-07T00:00:00"/>
    <n v="1144212178"/>
    <s v="TELLO CASTRO NICOLAS"/>
    <n v="35"/>
    <n v="0"/>
    <n v="2111555"/>
  </r>
  <r>
    <s v="Retail"/>
    <s v="Q040 - Cali - Cc Unicentro 2"/>
    <x v="2"/>
    <s v="octubre"/>
    <n v="7"/>
    <d v="2026-10-07T00:00:00"/>
    <n v="1193262111"/>
    <s v="GARCIA RIOS DANIELA"/>
    <n v="24"/>
    <n v="0"/>
    <n v="1524794"/>
  </r>
  <r>
    <s v="Retail"/>
    <s v="Q044 - Popayan - Centro"/>
    <x v="2"/>
    <s v="septiembre"/>
    <n v="23"/>
    <d v="2026-09-23T00:00:00"/>
    <m/>
    <m/>
    <n v="0"/>
    <n v="15708907"/>
    <n v="0"/>
  </r>
  <r>
    <s v="Retail"/>
    <s v="Q044 - Popayan - Centro"/>
    <x v="2"/>
    <s v="septiembre"/>
    <n v="23"/>
    <d v="2026-09-23T00:00:00"/>
    <n v="25289676"/>
    <s v="GUERRERO GAVIRIA PAOLA ALEJANDRA"/>
    <n v="34"/>
    <n v="0"/>
    <n v="1952313"/>
  </r>
  <r>
    <s v="Retail"/>
    <s v="Q044 - Popayan - Centro"/>
    <x v="2"/>
    <s v="septiembre"/>
    <n v="23"/>
    <d v="2026-09-23T00:00:00"/>
    <n v="1002957897"/>
    <s v="CACHIMBO SANCHEZ VALERIA"/>
    <n v="-2"/>
    <n v="0"/>
    <n v="-75462"/>
  </r>
  <r>
    <s v="Retail"/>
    <s v="Q044 - Popayan - Centro"/>
    <x v="2"/>
    <s v="septiembre"/>
    <n v="23"/>
    <d v="2026-09-23T00:00:00"/>
    <n v="1002972668"/>
    <s v="LASSO ORDOÑEZ DORIS ADRIANA"/>
    <n v="24"/>
    <n v="0"/>
    <n v="1524203"/>
  </r>
  <r>
    <s v="Retail"/>
    <s v="Q044 - Popayan - Centro"/>
    <x v="2"/>
    <s v="septiembre"/>
    <n v="23"/>
    <d v="2026-09-23T00:00:00"/>
    <n v="1004593130"/>
    <s v="IMBAJOA DELACRUZ LUISA FERNANDA"/>
    <n v="7"/>
    <n v="0"/>
    <n v="382059"/>
  </r>
  <r>
    <s v="Retail"/>
    <s v="Q044 - Popayan - Centro"/>
    <x v="2"/>
    <s v="septiembre"/>
    <n v="23"/>
    <d v="2026-09-23T00:00:00"/>
    <n v="1061799953"/>
    <s v="BALANTA BURBANO MELISSA"/>
    <n v="137"/>
    <n v="0"/>
    <n v="8683240"/>
  </r>
  <r>
    <s v="Retail"/>
    <s v="Q044 - Popayan - Centro"/>
    <x v="2"/>
    <s v="septiembre"/>
    <n v="23"/>
    <d v="2026-09-23T00:00:00"/>
    <n v="1063816927"/>
    <s v="NAVIA CAJAS LUIS FERNANDO"/>
    <n v="153"/>
    <n v="0"/>
    <n v="8961683"/>
  </r>
  <r>
    <s v="Retail"/>
    <s v="Q044 - Popayan - Centro"/>
    <x v="2"/>
    <s v="septiembre"/>
    <n v="24"/>
    <d v="2026-09-24T00:00:00"/>
    <m/>
    <m/>
    <n v="0"/>
    <n v="23997121"/>
    <n v="0"/>
  </r>
  <r>
    <s v="Retail"/>
    <s v="Q044 - Popayan - Centro"/>
    <x v="2"/>
    <s v="septiembre"/>
    <n v="24"/>
    <d v="2026-09-24T00:00:00"/>
    <n v="25289676"/>
    <s v="GUERRERO GAVIRIA PAOLA ALEJANDRA"/>
    <n v="90"/>
    <n v="0"/>
    <n v="5201729"/>
  </r>
  <r>
    <s v="Retail"/>
    <s v="Q044 - Popayan - Centro"/>
    <x v="2"/>
    <s v="septiembre"/>
    <n v="24"/>
    <d v="2026-09-24T00:00:00"/>
    <n v="1002957897"/>
    <s v="CACHIMBO SANCHEZ VALERIA"/>
    <n v="-1"/>
    <n v="0"/>
    <n v="-37773"/>
  </r>
  <r>
    <s v="Retail"/>
    <s v="Q044 - Popayan - Centro"/>
    <x v="2"/>
    <s v="septiembre"/>
    <n v="24"/>
    <d v="2026-09-24T00:00:00"/>
    <n v="1002972668"/>
    <s v="LASSO ORDOÑEZ DORIS ADRIANA"/>
    <n v="57"/>
    <n v="0"/>
    <n v="3346348"/>
  </r>
  <r>
    <s v="Retail"/>
    <s v="Q044 - Popayan - Centro"/>
    <x v="2"/>
    <s v="septiembre"/>
    <n v="24"/>
    <d v="2026-09-24T00:00:00"/>
    <n v="1004593130"/>
    <s v="IMBAJOA DELACRUZ LUISA FERNANDA"/>
    <n v="41"/>
    <n v="0"/>
    <n v="2481347"/>
  </r>
  <r>
    <s v="Retail"/>
    <s v="Q044 - Popayan - Centro"/>
    <x v="2"/>
    <s v="septiembre"/>
    <n v="24"/>
    <d v="2026-09-24T00:00:00"/>
    <n v="1061770250"/>
    <s v="CHILITO  BAIRON ANDRES"/>
    <n v="-2"/>
    <n v="0"/>
    <n v="-146975"/>
  </r>
  <r>
    <s v="Retail"/>
    <s v="Q044 - Popayan - Centro"/>
    <x v="2"/>
    <s v="septiembre"/>
    <n v="24"/>
    <d v="2026-09-24T00:00:00"/>
    <n v="1061773714"/>
    <s v="PALECHOR  YOLILYN ANDREA"/>
    <n v="-1"/>
    <n v="0"/>
    <n v="-31471"/>
  </r>
  <r>
    <s v="Retail"/>
    <s v="Q044 - Popayan - Centro"/>
    <x v="2"/>
    <s v="septiembre"/>
    <n v="24"/>
    <d v="2026-09-24T00:00:00"/>
    <n v="1061799953"/>
    <s v="BALANTA BURBANO MELISSA"/>
    <n v="156"/>
    <n v="0"/>
    <n v="8705435"/>
  </r>
  <r>
    <s v="Retail"/>
    <s v="Q044 - Popayan - Centro"/>
    <x v="2"/>
    <s v="septiembre"/>
    <n v="24"/>
    <d v="2026-09-24T00:00:00"/>
    <n v="1063816927"/>
    <s v="NAVIA CAJAS LUIS FERNANDO"/>
    <n v="158"/>
    <n v="0"/>
    <n v="9554892"/>
  </r>
  <r>
    <s v="Retail"/>
    <s v="Q044 - Popayan - Centro"/>
    <x v="2"/>
    <s v="septiembre"/>
    <n v="25"/>
    <d v="2026-09-25T00:00:00"/>
    <m/>
    <m/>
    <n v="0"/>
    <n v="23943994"/>
    <n v="0"/>
  </r>
  <r>
    <s v="Retail"/>
    <s v="Q044 - Popayan - Centro"/>
    <x v="2"/>
    <s v="septiembre"/>
    <n v="25"/>
    <d v="2026-09-25T00:00:00"/>
    <n v="25289676"/>
    <s v="GUERRERO GAVIRIA PAOLA ALEJANDRA"/>
    <n v="76"/>
    <n v="0"/>
    <n v="4191815"/>
  </r>
  <r>
    <s v="Retail"/>
    <s v="Q044 - Popayan - Centro"/>
    <x v="2"/>
    <s v="septiembre"/>
    <n v="25"/>
    <d v="2026-09-25T00:00:00"/>
    <n v="1002960105"/>
    <s v="RIASCOS  ARMERO KAROL TATIANA "/>
    <n v="-1"/>
    <n v="0"/>
    <n v="-184790"/>
  </r>
  <r>
    <s v="Retail"/>
    <s v="Q044 - Popayan - Centro"/>
    <x v="2"/>
    <s v="septiembre"/>
    <n v="25"/>
    <d v="2026-09-25T00:00:00"/>
    <n v="1002972668"/>
    <s v="LASSO ORDOÑEZ DORIS ADRIANA"/>
    <n v="39"/>
    <n v="0"/>
    <n v="2515090"/>
  </r>
  <r>
    <s v="Retail"/>
    <s v="Q044 - Popayan - Centro"/>
    <x v="2"/>
    <s v="septiembre"/>
    <n v="25"/>
    <d v="2026-09-25T00:00:00"/>
    <n v="1004593130"/>
    <s v="IMBAJOA DELACRUZ LUISA FERNANDA"/>
    <n v="49"/>
    <n v="0"/>
    <n v="3329877"/>
  </r>
  <r>
    <s v="Retail"/>
    <s v="Q044 - Popayan - Centro"/>
    <x v="2"/>
    <s v="septiembre"/>
    <n v="25"/>
    <d v="2026-09-25T00:00:00"/>
    <n v="1061773714"/>
    <s v="PALECHOR  YOLILYN ANDREA"/>
    <n v="-1"/>
    <n v="0"/>
    <n v="-67185"/>
  </r>
  <r>
    <s v="Retail"/>
    <s v="Q044 - Popayan - Centro"/>
    <x v="2"/>
    <s v="septiembre"/>
    <n v="25"/>
    <d v="2026-09-25T00:00:00"/>
    <n v="1061799953"/>
    <s v="BALANTA BURBANO MELISSA"/>
    <n v="147"/>
    <n v="0"/>
    <n v="8903156"/>
  </r>
  <r>
    <s v="Retail"/>
    <s v="Q044 - Popayan - Centro"/>
    <x v="2"/>
    <s v="septiembre"/>
    <n v="25"/>
    <d v="2026-09-25T00:00:00"/>
    <n v="1063816927"/>
    <s v="NAVIA CAJAS LUIS FERNANDO"/>
    <n v="145"/>
    <n v="0"/>
    <n v="8758204"/>
  </r>
  <r>
    <s v="Retail"/>
    <s v="Q044 - Popayan - Centro"/>
    <x v="2"/>
    <s v="septiembre"/>
    <n v="26"/>
    <d v="2026-09-26T00:00:00"/>
    <m/>
    <m/>
    <n v="0"/>
    <n v="34410963"/>
    <n v="0"/>
  </r>
  <r>
    <s v="Retail"/>
    <s v="Q044 - Popayan - Centro"/>
    <x v="2"/>
    <s v="septiembre"/>
    <n v="26"/>
    <d v="2026-09-26T00:00:00"/>
    <n v="25289676"/>
    <s v="GUERRERO GAVIRIA PAOLA ALEJANDRA"/>
    <n v="106"/>
    <n v="0"/>
    <n v="6524961"/>
  </r>
  <r>
    <s v="Retail"/>
    <s v="Q044 - Popayan - Centro"/>
    <x v="2"/>
    <s v="septiembre"/>
    <n v="26"/>
    <d v="2026-09-26T00:00:00"/>
    <n v="1002972668"/>
    <s v="LASSO ORDOÑEZ DORIS ADRIANA"/>
    <n v="67"/>
    <n v="0"/>
    <n v="4114750"/>
  </r>
  <r>
    <s v="Retail"/>
    <s v="Q044 - Popayan - Centro"/>
    <x v="2"/>
    <s v="septiembre"/>
    <n v="26"/>
    <d v="2026-09-26T00:00:00"/>
    <n v="1004148578"/>
    <s v="MUSSE PERDOMO  MAIRA ALEJANDRA"/>
    <n v="-1"/>
    <n v="0"/>
    <n v="-62983"/>
  </r>
  <r>
    <s v="Retail"/>
    <s v="Q044 - Popayan - Centro"/>
    <x v="2"/>
    <s v="septiembre"/>
    <n v="26"/>
    <d v="2026-09-26T00:00:00"/>
    <n v="1004593130"/>
    <s v="IMBAJOA DELACRUZ LUISA FERNANDA"/>
    <n v="59"/>
    <n v="0"/>
    <n v="3791558"/>
  </r>
  <r>
    <s v="Retail"/>
    <s v="Q044 - Popayan - Centro"/>
    <x v="2"/>
    <s v="septiembre"/>
    <n v="26"/>
    <d v="2026-09-26T00:00:00"/>
    <n v="1059234731"/>
    <s v="MONTENEGRO COTACIO MARY LUZ"/>
    <n v="-2"/>
    <n v="0"/>
    <n v="-167984"/>
  </r>
  <r>
    <s v="Retail"/>
    <s v="Q044 - Popayan - Centro"/>
    <x v="2"/>
    <s v="septiembre"/>
    <n v="26"/>
    <d v="2026-09-26T00:00:00"/>
    <n v="1061799953"/>
    <s v="BALANTA BURBANO MELISSA"/>
    <n v="120"/>
    <n v="0"/>
    <n v="7368662"/>
  </r>
  <r>
    <s v="Retail"/>
    <s v="Q044 - Popayan - Centro"/>
    <x v="2"/>
    <s v="septiembre"/>
    <n v="26"/>
    <d v="2026-09-26T00:00:00"/>
    <n v="1063816927"/>
    <s v="NAVIA CAJAS LUIS FERNANDO"/>
    <n v="131"/>
    <n v="0"/>
    <n v="8002402"/>
  </r>
  <r>
    <s v="Retail"/>
    <s v="Q044 - Popayan - Centro"/>
    <x v="2"/>
    <s v="septiembre"/>
    <n v="27"/>
    <d v="2026-09-27T00:00:00"/>
    <m/>
    <m/>
    <n v="0"/>
    <n v="27260411"/>
    <n v="0"/>
  </r>
  <r>
    <s v="Retail"/>
    <s v="Q044 - Popayan - Centro"/>
    <x v="2"/>
    <s v="septiembre"/>
    <n v="27"/>
    <d v="2026-09-27T00:00:00"/>
    <n v="1002972668"/>
    <s v="LASSO ORDOÑEZ DORIS ADRIANA"/>
    <n v="21"/>
    <n v="0"/>
    <n v="1200632"/>
  </r>
  <r>
    <s v="Retail"/>
    <s v="Q044 - Popayan - Centro"/>
    <x v="2"/>
    <s v="septiembre"/>
    <n v="27"/>
    <d v="2026-09-27T00:00:00"/>
    <n v="1061535746"/>
    <s v="PECHENE CASAMACHIN EDWIN YESID"/>
    <n v="-1"/>
    <n v="0"/>
    <n v="-58781"/>
  </r>
  <r>
    <s v="Retail"/>
    <s v="Q044 - Popayan - Centro"/>
    <x v="2"/>
    <s v="septiembre"/>
    <n v="27"/>
    <d v="2026-09-27T00:00:00"/>
    <n v="1061799953"/>
    <s v="BALANTA BURBANO MELISSA"/>
    <n v="69"/>
    <n v="0"/>
    <n v="4240591"/>
  </r>
  <r>
    <s v="Retail"/>
    <s v="Q044 - Popayan - Centro"/>
    <x v="2"/>
    <s v="septiembre"/>
    <n v="27"/>
    <d v="2026-09-27T00:00:00"/>
    <n v="1063816927"/>
    <s v="NAVIA CAJAS LUIS FERNANDO"/>
    <n v="66"/>
    <n v="0"/>
    <n v="4564457"/>
  </r>
  <r>
    <s v="Retail"/>
    <s v="Q044 - Popayan - Centro"/>
    <x v="2"/>
    <s v="septiembre"/>
    <n v="28"/>
    <d v="2026-09-28T00:00:00"/>
    <m/>
    <m/>
    <n v="0"/>
    <n v="15348824"/>
    <n v="0"/>
  </r>
  <r>
    <s v="Retail"/>
    <s v="Q044 - Popayan - Centro"/>
    <x v="2"/>
    <s v="septiembre"/>
    <n v="28"/>
    <d v="2026-09-28T00:00:00"/>
    <n v="25289676"/>
    <s v="GUERRERO GAVIRIA PAOLA ALEJANDRA"/>
    <n v="51"/>
    <n v="0"/>
    <n v="3188700"/>
  </r>
  <r>
    <s v="Retail"/>
    <s v="Q044 - Popayan - Centro"/>
    <x v="2"/>
    <s v="septiembre"/>
    <n v="28"/>
    <d v="2026-09-28T00:00:00"/>
    <n v="1004593130"/>
    <s v="IMBAJOA DELACRUZ LUISA FERNANDA"/>
    <n v="18"/>
    <n v="0"/>
    <n v="1015842"/>
  </r>
  <r>
    <s v="Retail"/>
    <s v="Q044 - Popayan - Centro"/>
    <x v="2"/>
    <s v="septiembre"/>
    <n v="28"/>
    <d v="2026-09-28T00:00:00"/>
    <n v="1061799953"/>
    <s v="BALANTA BURBANO MELISSA"/>
    <n v="81"/>
    <n v="0"/>
    <n v="5200090"/>
  </r>
  <r>
    <s v="Retail"/>
    <s v="Q044 - Popayan - Centro"/>
    <x v="2"/>
    <s v="septiembre"/>
    <n v="28"/>
    <d v="2026-09-28T00:00:00"/>
    <n v="1063816927"/>
    <s v="NAVIA CAJAS LUIS FERNANDO"/>
    <n v="90"/>
    <n v="0"/>
    <n v="5512904"/>
  </r>
  <r>
    <s v="Retail"/>
    <s v="Q044 - Popayan - Centro"/>
    <x v="2"/>
    <s v="septiembre"/>
    <n v="29"/>
    <d v="2026-09-29T00:00:00"/>
    <m/>
    <m/>
    <n v="0"/>
    <n v="15680341"/>
    <n v="0"/>
  </r>
  <r>
    <s v="Retail"/>
    <s v="Q044 - Popayan - Centro"/>
    <x v="2"/>
    <s v="septiembre"/>
    <n v="29"/>
    <d v="2026-09-29T00:00:00"/>
    <n v="25289676"/>
    <s v="GUERRERO GAVIRIA PAOLA ALEJANDRA"/>
    <n v="29"/>
    <n v="0"/>
    <n v="1708782"/>
  </r>
  <r>
    <s v="Retail"/>
    <s v="Q044 - Popayan - Centro"/>
    <x v="2"/>
    <s v="septiembre"/>
    <n v="29"/>
    <d v="2026-09-29T00:00:00"/>
    <n v="1002972668"/>
    <s v="LASSO ORDOÑEZ DORIS ADRIANA"/>
    <n v="60"/>
    <n v="0"/>
    <n v="3213784"/>
  </r>
  <r>
    <s v="Retail"/>
    <s v="Q044 - Popayan - Centro"/>
    <x v="2"/>
    <s v="septiembre"/>
    <n v="29"/>
    <d v="2026-09-29T00:00:00"/>
    <n v="1004148578"/>
    <s v="MUSSE PERDOMO  MAIRA ALEJANDRA"/>
    <n v="-1"/>
    <n v="0"/>
    <n v="-105000"/>
  </r>
  <r>
    <s v="Retail"/>
    <s v="Q044 - Popayan - Centro"/>
    <x v="2"/>
    <s v="septiembre"/>
    <n v="29"/>
    <d v="2026-09-29T00:00:00"/>
    <n v="1004593130"/>
    <s v="IMBAJOA DELACRUZ LUISA FERNANDA"/>
    <n v="24"/>
    <n v="0"/>
    <n v="1421096"/>
  </r>
  <r>
    <s v="Retail"/>
    <s v="Q044 - Popayan - Centro"/>
    <x v="2"/>
    <s v="septiembre"/>
    <n v="29"/>
    <d v="2026-09-29T00:00:00"/>
    <n v="1061770250"/>
    <s v="CHILITO  BAIRON ANDRES"/>
    <n v="-2"/>
    <n v="0"/>
    <n v="-146975"/>
  </r>
  <r>
    <s v="Retail"/>
    <s v="Q044 - Popayan - Centro"/>
    <x v="2"/>
    <s v="septiembre"/>
    <n v="29"/>
    <d v="2026-09-29T00:00:00"/>
    <n v="1061799953"/>
    <s v="BALANTA BURBANO MELISSA"/>
    <n v="91"/>
    <n v="0"/>
    <n v="5390890"/>
  </r>
  <r>
    <s v="Retail"/>
    <s v="Q044 - Popayan - Centro"/>
    <x v="2"/>
    <s v="septiembre"/>
    <n v="29"/>
    <d v="2026-09-29T00:00:00"/>
    <n v="1063816927"/>
    <s v="NAVIA CAJAS LUIS FERNANDO"/>
    <n v="101"/>
    <n v="0"/>
    <n v="6381941"/>
  </r>
  <r>
    <s v="Retail"/>
    <s v="Q044 - Popayan - Centro"/>
    <x v="2"/>
    <s v="septiembre"/>
    <n v="30"/>
    <d v="2026-09-30T00:00:00"/>
    <m/>
    <m/>
    <n v="0"/>
    <n v="16555301"/>
    <n v="0"/>
  </r>
  <r>
    <s v="Retail"/>
    <s v="Q044 - Popayan - Centro"/>
    <x v="2"/>
    <s v="septiembre"/>
    <n v="30"/>
    <d v="2026-09-30T00:00:00"/>
    <n v="25289676"/>
    <s v="GUERRERO GAVIRIA PAOLA ALEJANDRA"/>
    <n v="45"/>
    <n v="0"/>
    <n v="2676687"/>
  </r>
  <r>
    <s v="Retail"/>
    <s v="Q044 - Popayan - Centro"/>
    <x v="2"/>
    <s v="septiembre"/>
    <n v="30"/>
    <d v="2026-09-30T00:00:00"/>
    <n v="1002972668"/>
    <s v="LASSO ORDOÑEZ DORIS ADRIANA"/>
    <n v="47"/>
    <n v="0"/>
    <n v="2411851"/>
  </r>
  <r>
    <s v="Retail"/>
    <s v="Q044 - Popayan - Centro"/>
    <x v="2"/>
    <s v="septiembre"/>
    <n v="30"/>
    <d v="2026-09-30T00:00:00"/>
    <n v="1004593130"/>
    <s v="IMBAJOA DELACRUZ LUISA FERNANDA"/>
    <n v="38"/>
    <n v="0"/>
    <n v="2244032"/>
  </r>
  <r>
    <s v="Retail"/>
    <s v="Q044 - Popayan - Centro"/>
    <x v="2"/>
    <s v="septiembre"/>
    <n v="30"/>
    <d v="2026-09-30T00:00:00"/>
    <n v="1061799953"/>
    <s v="BALANTA BURBANO MELISSA"/>
    <n v="73"/>
    <n v="0"/>
    <n v="2991896"/>
  </r>
  <r>
    <s v="Retail"/>
    <s v="Q044 - Popayan - Centro"/>
    <x v="2"/>
    <s v="septiembre"/>
    <n v="30"/>
    <d v="2026-09-30T00:00:00"/>
    <n v="1063816927"/>
    <s v="NAVIA CAJAS LUIS FERNANDO"/>
    <n v="65"/>
    <n v="0"/>
    <n v="3858448"/>
  </r>
  <r>
    <s v="Retail"/>
    <s v="Q044 - Popayan - Centro"/>
    <x v="2"/>
    <s v="octubre"/>
    <n v="1"/>
    <d v="2026-10-01T00:00:00"/>
    <m/>
    <m/>
    <n v="0"/>
    <n v="16456571"/>
    <n v="0"/>
  </r>
  <r>
    <s v="Retail"/>
    <s v="Q044 - Popayan - Centro"/>
    <x v="2"/>
    <s v="octubre"/>
    <n v="1"/>
    <d v="2026-10-01T00:00:00"/>
    <n v="25289676"/>
    <s v="GUERRERO GAVIRIA PAOLA ALEJANDRA"/>
    <n v="45"/>
    <n v="0"/>
    <n v="2600844"/>
  </r>
  <r>
    <s v="Retail"/>
    <s v="Q044 - Popayan - Centro"/>
    <x v="2"/>
    <s v="octubre"/>
    <n v="1"/>
    <d v="2026-10-01T00:00:00"/>
    <n v="1002972668"/>
    <s v="LASSO ORDOÑEZ DORIS ADRIANA"/>
    <n v="60"/>
    <n v="0"/>
    <n v="3446854"/>
  </r>
  <r>
    <s v="Retail"/>
    <s v="Q044 - Popayan - Centro"/>
    <x v="2"/>
    <s v="octubre"/>
    <n v="1"/>
    <d v="2026-10-01T00:00:00"/>
    <n v="1004593130"/>
    <s v="IMBAJOA DELACRUZ LUISA FERNANDA"/>
    <n v="36"/>
    <n v="0"/>
    <n v="2225172"/>
  </r>
  <r>
    <s v="Retail"/>
    <s v="Q044 - Popayan - Centro"/>
    <x v="2"/>
    <s v="octubre"/>
    <n v="1"/>
    <d v="2026-10-01T00:00:00"/>
    <n v="1061799953"/>
    <s v="BALANTA BURBANO MELISSA"/>
    <n v="80"/>
    <n v="0"/>
    <n v="5660090"/>
  </r>
  <r>
    <s v="Retail"/>
    <s v="Q044 - Popayan - Centro"/>
    <x v="2"/>
    <s v="octubre"/>
    <n v="1"/>
    <d v="2026-10-01T00:00:00"/>
    <n v="1061814088"/>
    <s v="HERNANDEZ  MAILE CAMILA"/>
    <n v="-1"/>
    <n v="0"/>
    <n v="-37773"/>
  </r>
  <r>
    <s v="Retail"/>
    <s v="Q044 - Popayan - Centro"/>
    <x v="2"/>
    <s v="octubre"/>
    <n v="1"/>
    <d v="2026-10-01T00:00:00"/>
    <n v="1063816927"/>
    <s v="NAVIA CAJAS LUIS FERNANDO"/>
    <n v="112"/>
    <n v="0"/>
    <n v="6270178"/>
  </r>
  <r>
    <s v="Retail"/>
    <s v="Q044 - Popayan - Centro"/>
    <x v="2"/>
    <s v="octubre"/>
    <n v="2"/>
    <d v="2026-10-02T00:00:00"/>
    <m/>
    <m/>
    <n v="0"/>
    <n v="21400126"/>
    <n v="0"/>
  </r>
  <r>
    <s v="Retail"/>
    <s v="Q044 - Popayan - Centro"/>
    <x v="2"/>
    <s v="octubre"/>
    <n v="2"/>
    <d v="2026-10-02T00:00:00"/>
    <n v="25289676"/>
    <s v="GUERRERO GAVIRIA PAOLA ALEJANDRA"/>
    <n v="32"/>
    <n v="0"/>
    <n v="1971348"/>
  </r>
  <r>
    <s v="Retail"/>
    <s v="Q044 - Popayan - Centro"/>
    <x v="2"/>
    <s v="octubre"/>
    <n v="2"/>
    <d v="2026-10-02T00:00:00"/>
    <n v="1002972668"/>
    <s v="LASSO ORDOÑEZ DORIS ADRIANA"/>
    <n v="46"/>
    <n v="0"/>
    <n v="2819374"/>
  </r>
  <r>
    <s v="Retail"/>
    <s v="Q044 - Popayan - Centro"/>
    <x v="2"/>
    <s v="octubre"/>
    <n v="2"/>
    <d v="2026-10-02T00:00:00"/>
    <n v="1004593130"/>
    <s v="IMBAJOA DELACRUZ LUISA FERNANDA"/>
    <n v="30"/>
    <n v="0"/>
    <n v="1763362"/>
  </r>
  <r>
    <s v="Retail"/>
    <s v="Q044 - Popayan - Centro"/>
    <x v="2"/>
    <s v="octubre"/>
    <n v="2"/>
    <d v="2026-10-02T00:00:00"/>
    <n v="1061770250"/>
    <s v="CHILITO  BAIRON ANDRES"/>
    <n v="-1"/>
    <n v="0"/>
    <n v="-37773"/>
  </r>
  <r>
    <s v="Retail"/>
    <s v="Q044 - Popayan - Centro"/>
    <x v="2"/>
    <s v="octubre"/>
    <n v="2"/>
    <d v="2026-10-02T00:00:00"/>
    <n v="1061774213"/>
    <s v="POTOSI GOMEZ DEISY LORENA"/>
    <n v="-1"/>
    <n v="0"/>
    <n v="-37773"/>
  </r>
  <r>
    <s v="Retail"/>
    <s v="Q044 - Popayan - Centro"/>
    <x v="2"/>
    <s v="octubre"/>
    <n v="2"/>
    <d v="2026-10-02T00:00:00"/>
    <n v="1061799953"/>
    <s v="BALANTA BURBANO MELISSA"/>
    <n v="94"/>
    <n v="0"/>
    <n v="5647023"/>
  </r>
  <r>
    <s v="Retail"/>
    <s v="Q044 - Popayan - Centro"/>
    <x v="2"/>
    <s v="octubre"/>
    <n v="2"/>
    <d v="2026-10-02T00:00:00"/>
    <n v="1061814088"/>
    <s v="HERNANDEZ  MAILE CAMILA"/>
    <n v="-1"/>
    <n v="0"/>
    <n v="-50336"/>
  </r>
  <r>
    <s v="Retail"/>
    <s v="Q044 - Popayan - Centro"/>
    <x v="2"/>
    <s v="octubre"/>
    <n v="2"/>
    <d v="2026-10-02T00:00:00"/>
    <n v="1063816927"/>
    <s v="NAVIA CAJAS LUIS FERNANDO"/>
    <n v="79"/>
    <n v="0"/>
    <n v="5492360"/>
  </r>
  <r>
    <s v="Retail"/>
    <s v="Q044 - Popayan - Centro"/>
    <x v="2"/>
    <s v="octubre"/>
    <n v="3"/>
    <d v="2026-10-03T00:00:00"/>
    <m/>
    <m/>
    <n v="0"/>
    <n v="22394531"/>
    <n v="0"/>
  </r>
  <r>
    <s v="Retail"/>
    <s v="Q044 - Popayan - Centro"/>
    <x v="2"/>
    <s v="octubre"/>
    <n v="3"/>
    <d v="2026-10-03T00:00:00"/>
    <n v="25289676"/>
    <s v="GUERRERO GAVIRIA PAOLA ALEJANDRA"/>
    <n v="73"/>
    <n v="0"/>
    <n v="3902943"/>
  </r>
  <r>
    <s v="Retail"/>
    <s v="Q044 - Popayan - Centro"/>
    <x v="2"/>
    <s v="octubre"/>
    <n v="3"/>
    <d v="2026-10-03T00:00:00"/>
    <n v="1002972668"/>
    <s v="LASSO ORDOÑEZ DORIS ADRIANA"/>
    <n v="36"/>
    <n v="0"/>
    <n v="2091018"/>
  </r>
  <r>
    <s v="Retail"/>
    <s v="Q044 - Popayan - Centro"/>
    <x v="2"/>
    <s v="octubre"/>
    <n v="3"/>
    <d v="2026-10-03T00:00:00"/>
    <n v="1004593130"/>
    <s v="IMBAJOA DELACRUZ LUISA FERNANDA"/>
    <n v="40"/>
    <n v="0"/>
    <n v="2165592"/>
  </r>
  <r>
    <s v="Retail"/>
    <s v="Q044 - Popayan - Centro"/>
    <x v="2"/>
    <s v="octubre"/>
    <n v="3"/>
    <d v="2026-10-03T00:00:00"/>
    <n v="1061799953"/>
    <s v="BALANTA BURBANO MELISSA"/>
    <n v="108"/>
    <n v="0"/>
    <n v="6086784"/>
  </r>
  <r>
    <s v="Retail"/>
    <s v="Q044 - Popayan - Centro"/>
    <x v="2"/>
    <s v="octubre"/>
    <n v="3"/>
    <d v="2026-10-03T00:00:00"/>
    <n v="1063816927"/>
    <s v="NAVIA CAJAS LUIS FERNANDO"/>
    <n v="106"/>
    <n v="0"/>
    <n v="6123386"/>
  </r>
  <r>
    <s v="Retail"/>
    <s v="Q044 - Popayan - Centro"/>
    <x v="2"/>
    <s v="octubre"/>
    <n v="4"/>
    <d v="2026-10-04T00:00:00"/>
    <m/>
    <m/>
    <n v="0"/>
    <n v="6828838"/>
    <n v="0"/>
  </r>
  <r>
    <s v="Retail"/>
    <s v="Q044 - Popayan - Centro"/>
    <x v="2"/>
    <s v="octubre"/>
    <n v="4"/>
    <d v="2026-10-04T00:00:00"/>
    <n v="25289676"/>
    <s v="GUERRERO GAVIRIA PAOLA ALEJANDRA"/>
    <n v="19"/>
    <n v="0"/>
    <n v="1331009"/>
  </r>
  <r>
    <s v="Retail"/>
    <s v="Q044 - Popayan - Centro"/>
    <x v="2"/>
    <s v="octubre"/>
    <n v="4"/>
    <d v="2026-10-04T00:00:00"/>
    <n v="1002972668"/>
    <s v="LASSO ORDOÑEZ DORIS ADRIANA"/>
    <n v="11"/>
    <n v="0"/>
    <n v="858786"/>
  </r>
  <r>
    <s v="Retail"/>
    <s v="Q044 - Popayan - Centro"/>
    <x v="2"/>
    <s v="octubre"/>
    <n v="4"/>
    <d v="2026-10-04T00:00:00"/>
    <n v="1004593130"/>
    <s v="IMBAJOA DELACRUZ LUISA FERNANDA"/>
    <n v="13"/>
    <n v="0"/>
    <n v="780758"/>
  </r>
  <r>
    <s v="Retail"/>
    <s v="Q044 - Popayan - Centro"/>
    <x v="2"/>
    <s v="octubre"/>
    <n v="4"/>
    <d v="2026-10-04T00:00:00"/>
    <n v="1061799953"/>
    <s v="BALANTA BURBANO MELISSA"/>
    <n v="18"/>
    <n v="0"/>
    <n v="1272352"/>
  </r>
  <r>
    <s v="Retail"/>
    <s v="Q044 - Popayan - Centro"/>
    <x v="2"/>
    <s v="octubre"/>
    <n v="4"/>
    <d v="2026-10-04T00:00:00"/>
    <n v="1063816927"/>
    <s v="NAVIA CAJAS LUIS FERNANDO"/>
    <n v="17"/>
    <n v="0"/>
    <n v="1297565"/>
  </r>
  <r>
    <s v="Retail"/>
    <s v="Q044 - Popayan - Centro"/>
    <x v="2"/>
    <s v="octubre"/>
    <n v="5"/>
    <d v="2026-10-05T00:00:00"/>
    <m/>
    <m/>
    <n v="0"/>
    <n v="12830873"/>
    <n v="0"/>
  </r>
  <r>
    <s v="Retail"/>
    <s v="Q044 - Popayan - Centro"/>
    <x v="2"/>
    <s v="octubre"/>
    <n v="5"/>
    <d v="2026-10-05T00:00:00"/>
    <n v="25289676"/>
    <s v="GUERRERO GAVIRIA PAOLA ALEJANDRA"/>
    <n v="51"/>
    <n v="0"/>
    <n v="2951388"/>
  </r>
  <r>
    <s v="Retail"/>
    <s v="Q044 - Popayan - Centro"/>
    <x v="2"/>
    <s v="octubre"/>
    <n v="5"/>
    <d v="2026-10-05T00:00:00"/>
    <n v="1002957897"/>
    <s v="CACHIMBO SANCHEZ VALERIA"/>
    <n v="-1"/>
    <n v="0"/>
    <n v="-67185"/>
  </r>
  <r>
    <s v="Retail"/>
    <s v="Q044 - Popayan - Centro"/>
    <x v="2"/>
    <s v="octubre"/>
    <n v="5"/>
    <d v="2026-10-05T00:00:00"/>
    <n v="1002972668"/>
    <s v="LASSO ORDOÑEZ DORIS ADRIANA"/>
    <n v="25"/>
    <n v="0"/>
    <n v="1280423"/>
  </r>
  <r>
    <s v="Retail"/>
    <s v="Q044 - Popayan - Centro"/>
    <x v="2"/>
    <s v="octubre"/>
    <n v="5"/>
    <d v="2026-10-05T00:00:00"/>
    <n v="1004593130"/>
    <s v="IMBAJOA DELACRUZ LUISA FERNANDA"/>
    <n v="30"/>
    <n v="0"/>
    <n v="2049162"/>
  </r>
  <r>
    <s v="Retail"/>
    <s v="Q044 - Popayan - Centro"/>
    <x v="2"/>
    <s v="octubre"/>
    <n v="5"/>
    <d v="2026-10-05T00:00:00"/>
    <n v="1061770250"/>
    <s v="CHILITO  BAIRON ANDRES"/>
    <n v="-2"/>
    <n v="0"/>
    <n v="-101605"/>
  </r>
  <r>
    <s v="Retail"/>
    <s v="Q044 - Popayan - Centro"/>
    <x v="2"/>
    <s v="octubre"/>
    <n v="5"/>
    <d v="2026-10-05T00:00:00"/>
    <n v="1061799953"/>
    <s v="BALANTA BURBANO MELISSA"/>
    <n v="56"/>
    <n v="0"/>
    <n v="3358832"/>
  </r>
  <r>
    <s v="Retail"/>
    <s v="Q044 - Popayan - Centro"/>
    <x v="2"/>
    <s v="octubre"/>
    <n v="5"/>
    <d v="2026-10-05T00:00:00"/>
    <n v="1061814088"/>
    <s v="HERNANDEZ  MAILE CAMILA"/>
    <n v="-2"/>
    <n v="0"/>
    <n v="-180588"/>
  </r>
  <r>
    <s v="Retail"/>
    <s v="Q044 - Popayan - Centro"/>
    <x v="2"/>
    <s v="octubre"/>
    <n v="5"/>
    <d v="2026-10-05T00:00:00"/>
    <n v="1063816927"/>
    <s v="NAVIA CAJAS LUIS FERNANDO"/>
    <n v="84"/>
    <n v="0"/>
    <n v="5193788"/>
  </r>
  <r>
    <s v="Retail"/>
    <s v="Q044 - Popayan - Centro"/>
    <x v="2"/>
    <s v="octubre"/>
    <n v="5"/>
    <d v="2026-10-05T00:00:00"/>
    <n v="1144190117"/>
    <s v="LOPEZ LOAIZA JESSICA MARIA"/>
    <n v="-1"/>
    <n v="0"/>
    <n v="-75588"/>
  </r>
  <r>
    <s v="Retail"/>
    <s v="Q044 - Popayan - Centro"/>
    <x v="2"/>
    <s v="octubre"/>
    <n v="6"/>
    <d v="2026-10-06T00:00:00"/>
    <m/>
    <m/>
    <n v="0"/>
    <n v="8905609"/>
    <n v="0"/>
  </r>
  <r>
    <s v="Retail"/>
    <s v="Q044 - Popayan - Centro"/>
    <x v="2"/>
    <s v="octubre"/>
    <n v="6"/>
    <d v="2026-10-06T00:00:00"/>
    <n v="25289676"/>
    <s v="GUERRERO GAVIRIA PAOLA ALEJANDRA"/>
    <n v="40"/>
    <n v="0"/>
    <n v="2019163"/>
  </r>
  <r>
    <s v="Retail"/>
    <s v="Q044 - Popayan - Centro"/>
    <x v="2"/>
    <s v="octubre"/>
    <n v="6"/>
    <d v="2026-10-06T00:00:00"/>
    <n v="1002972668"/>
    <s v="LASSO ORDOÑEZ DORIS ADRIANA"/>
    <n v="26"/>
    <n v="0"/>
    <n v="1545042"/>
  </r>
  <r>
    <s v="Retail"/>
    <s v="Q044 - Popayan - Centro"/>
    <x v="2"/>
    <s v="octubre"/>
    <n v="6"/>
    <d v="2026-10-06T00:00:00"/>
    <n v="1004593130"/>
    <s v="IMBAJOA DELACRUZ LUISA FERNANDA"/>
    <n v="15"/>
    <n v="0"/>
    <n v="1127095"/>
  </r>
  <r>
    <s v="Retail"/>
    <s v="Q044 - Popayan - Centro"/>
    <x v="2"/>
    <s v="octubre"/>
    <n v="6"/>
    <d v="2026-10-06T00:00:00"/>
    <n v="1061799953"/>
    <s v="BALANTA BURBANO MELISSA"/>
    <n v="36"/>
    <n v="0"/>
    <n v="2086507"/>
  </r>
  <r>
    <s v="Retail"/>
    <s v="Q044 - Popayan - Centro"/>
    <x v="2"/>
    <s v="octubre"/>
    <n v="6"/>
    <d v="2026-10-06T00:00:00"/>
    <n v="1063816927"/>
    <s v="NAVIA CAJAS LUIS FERNANDO"/>
    <n v="57"/>
    <n v="0"/>
    <n v="3383909"/>
  </r>
  <r>
    <s v="Retail"/>
    <s v="Q044 - Popayan - Centro"/>
    <x v="2"/>
    <s v="octubre"/>
    <n v="7"/>
    <d v="2026-10-07T00:00:00"/>
    <m/>
    <m/>
    <n v="0"/>
    <n v="8788429"/>
    <n v="0"/>
  </r>
  <r>
    <s v="Retail"/>
    <s v="Q044 - Popayan - Centro"/>
    <x v="2"/>
    <s v="octubre"/>
    <n v="7"/>
    <d v="2026-10-07T00:00:00"/>
    <n v="25289676"/>
    <s v="GUERRERO GAVIRIA PAOLA ALEJANDRA"/>
    <n v="41"/>
    <n v="0"/>
    <n v="2296220"/>
  </r>
  <r>
    <s v="Retail"/>
    <s v="Q044 - Popayan - Centro"/>
    <x v="2"/>
    <s v="octubre"/>
    <n v="7"/>
    <d v="2026-10-07T00:00:00"/>
    <n v="1002972668"/>
    <s v="LASSO ORDOÑEZ DORIS ADRIANA"/>
    <n v="18"/>
    <n v="0"/>
    <n v="1028573"/>
  </r>
  <r>
    <s v="Retail"/>
    <s v="Q044 - Popayan - Centro"/>
    <x v="2"/>
    <s v="octubre"/>
    <n v="7"/>
    <d v="2026-10-07T00:00:00"/>
    <n v="1004593130"/>
    <s v="IMBAJOA DELACRUZ LUISA FERNANDA"/>
    <n v="9"/>
    <n v="0"/>
    <n v="571009"/>
  </r>
  <r>
    <s v="Retail"/>
    <s v="Q044 - Popayan - Centro"/>
    <x v="2"/>
    <s v="octubre"/>
    <n v="7"/>
    <d v="2026-10-07T00:00:00"/>
    <n v="1061770250"/>
    <s v="CHILITO  BAIRON ANDRES"/>
    <n v="-1"/>
    <n v="0"/>
    <n v="-58781"/>
  </r>
  <r>
    <s v="Retail"/>
    <s v="Q044 - Popayan - Centro"/>
    <x v="2"/>
    <s v="octubre"/>
    <n v="7"/>
    <d v="2026-10-07T00:00:00"/>
    <n v="1061799953"/>
    <s v="BALANTA BURBANO MELISSA"/>
    <n v="83"/>
    <n v="0"/>
    <n v="5361684"/>
  </r>
  <r>
    <s v="Retail"/>
    <s v="Q044 - Popayan - Centro"/>
    <x v="2"/>
    <s v="octubre"/>
    <n v="7"/>
    <d v="2026-10-07T00:00:00"/>
    <n v="1063816927"/>
    <s v="NAVIA CAJAS LUIS FERNANDO"/>
    <n v="28"/>
    <n v="0"/>
    <n v="1641596"/>
  </r>
  <r>
    <s v="Retail"/>
    <s v="Q133-Popayan-Cc Terra Plaza"/>
    <x v="2"/>
    <s v="septiembre"/>
    <n v="23"/>
    <d v="2026-09-23T00:00:00"/>
    <m/>
    <m/>
    <n v="0"/>
    <n v="8908601"/>
    <n v="0"/>
  </r>
  <r>
    <s v="Retail"/>
    <s v="Q133-Popayan-Cc Terra Plaza"/>
    <x v="2"/>
    <s v="septiembre"/>
    <n v="23"/>
    <d v="2026-09-23T00:00:00"/>
    <n v="34319130"/>
    <s v="RUIZ  MAGALY ANDREA"/>
    <n v="87"/>
    <n v="0"/>
    <n v="4991852"/>
  </r>
  <r>
    <s v="Retail"/>
    <s v="Q133-Popayan-Cc Terra Plaza"/>
    <x v="2"/>
    <s v="septiembre"/>
    <n v="23"/>
    <d v="2026-09-23T00:00:00"/>
    <n v="1002607819"/>
    <s v="RAMIREZ  TORRES INGRITH MICHELLE "/>
    <n v="94"/>
    <n v="0"/>
    <n v="5269166"/>
  </r>
  <r>
    <s v="Retail"/>
    <s v="Q133-Popayan-Cc Terra Plaza"/>
    <x v="2"/>
    <s v="septiembre"/>
    <n v="24"/>
    <d v="2026-09-24T00:00:00"/>
    <m/>
    <m/>
    <n v="0"/>
    <n v="13608893"/>
    <n v="0"/>
  </r>
  <r>
    <s v="Retail"/>
    <s v="Q133-Popayan-Cc Terra Plaza"/>
    <x v="2"/>
    <s v="septiembre"/>
    <n v="24"/>
    <d v="2026-09-24T00:00:00"/>
    <n v="34319130"/>
    <s v="RUIZ  MAGALY ANDREA"/>
    <n v="122"/>
    <n v="0"/>
    <n v="5959839"/>
  </r>
  <r>
    <s v="Retail"/>
    <s v="Q133-Popayan-Cc Terra Plaza"/>
    <x v="2"/>
    <s v="septiembre"/>
    <n v="24"/>
    <d v="2026-09-24T00:00:00"/>
    <n v="1002607819"/>
    <s v="RAMIREZ  TORRES INGRITH MICHELLE "/>
    <n v="137"/>
    <n v="0"/>
    <n v="8304502"/>
  </r>
  <r>
    <s v="Retail"/>
    <s v="Q133-Popayan-Cc Terra Plaza"/>
    <x v="2"/>
    <s v="septiembre"/>
    <n v="25"/>
    <d v="2026-09-25T00:00:00"/>
    <m/>
    <m/>
    <n v="0"/>
    <n v="13578764"/>
    <n v="0"/>
  </r>
  <r>
    <s v="Retail"/>
    <s v="Q133-Popayan-Cc Terra Plaza"/>
    <x v="2"/>
    <s v="septiembre"/>
    <n v="25"/>
    <d v="2026-09-25T00:00:00"/>
    <n v="34319130"/>
    <s v="RUIZ  MAGALY ANDREA"/>
    <n v="111"/>
    <n v="0"/>
    <n v="6322357"/>
  </r>
  <r>
    <s v="Retail"/>
    <s v="Q133-Popayan-Cc Terra Plaza"/>
    <x v="2"/>
    <s v="septiembre"/>
    <n v="25"/>
    <d v="2026-09-25T00:00:00"/>
    <n v="1002607819"/>
    <s v="RAMIREZ  TORRES INGRITH MICHELLE "/>
    <n v="143"/>
    <n v="0"/>
    <n v="6021726"/>
  </r>
  <r>
    <s v="Retail"/>
    <s v="Q133-Popayan-Cc Terra Plaza"/>
    <x v="2"/>
    <s v="septiembre"/>
    <n v="26"/>
    <d v="2026-09-26T00:00:00"/>
    <m/>
    <m/>
    <n v="0"/>
    <n v="19514636"/>
    <n v="0"/>
  </r>
  <r>
    <s v="Retail"/>
    <s v="Q133-Popayan-Cc Terra Plaza"/>
    <x v="2"/>
    <s v="septiembre"/>
    <n v="26"/>
    <d v="2026-09-26T00:00:00"/>
    <n v="34319130"/>
    <s v="RUIZ  MAGALY ANDREA"/>
    <n v="156"/>
    <n v="0"/>
    <n v="8850174"/>
  </r>
  <r>
    <s v="Retail"/>
    <s v="Q133-Popayan-Cc Terra Plaza"/>
    <x v="2"/>
    <s v="septiembre"/>
    <n v="26"/>
    <d v="2026-09-26T00:00:00"/>
    <n v="1002607819"/>
    <s v="RAMIREZ  TORRES INGRITH MICHELLE "/>
    <n v="173"/>
    <n v="0"/>
    <n v="9424755"/>
  </r>
  <r>
    <s v="Retail"/>
    <s v="Q133-Popayan-Cc Terra Plaza"/>
    <x v="2"/>
    <s v="septiembre"/>
    <n v="27"/>
    <d v="2026-09-27T00:00:00"/>
    <m/>
    <m/>
    <n v="0"/>
    <n v="15459521"/>
    <n v="0"/>
  </r>
  <r>
    <s v="Retail"/>
    <s v="Q133-Popayan-Cc Terra Plaza"/>
    <x v="2"/>
    <s v="septiembre"/>
    <n v="27"/>
    <d v="2026-09-27T00:00:00"/>
    <n v="34319130"/>
    <s v="RUIZ  MAGALY ANDREA"/>
    <n v="137"/>
    <n v="0"/>
    <n v="8542189"/>
  </r>
  <r>
    <s v="Retail"/>
    <s v="Q133-Popayan-Cc Terra Plaza"/>
    <x v="2"/>
    <s v="septiembre"/>
    <n v="27"/>
    <d v="2026-09-27T00:00:00"/>
    <n v="1002607819"/>
    <s v="RAMIREZ  TORRES INGRITH MICHELLE "/>
    <n v="135"/>
    <n v="0"/>
    <n v="8174884"/>
  </r>
  <r>
    <s v="Retail"/>
    <s v="Q133-Popayan-Cc Terra Plaza"/>
    <x v="2"/>
    <s v="septiembre"/>
    <n v="27"/>
    <d v="2026-09-27T00:00:00"/>
    <n v="1083906980"/>
    <s v="MOSQUERA GUAR  CARLOS ANDRÉS"/>
    <n v="-1"/>
    <n v="0"/>
    <n v="-71386"/>
  </r>
  <r>
    <s v="Retail"/>
    <s v="Q133-Popayan-Cc Terra Plaza"/>
    <x v="2"/>
    <s v="septiembre"/>
    <n v="28"/>
    <d v="2026-09-28T00:00:00"/>
    <m/>
    <m/>
    <n v="0"/>
    <n v="8508285"/>
    <n v="0"/>
  </r>
  <r>
    <s v="Retail"/>
    <s v="Q133-Popayan-Cc Terra Plaza"/>
    <x v="2"/>
    <s v="septiembre"/>
    <n v="28"/>
    <d v="2026-09-28T00:00:00"/>
    <n v="34319130"/>
    <s v="RUIZ  MAGALY ANDREA"/>
    <n v="53"/>
    <n v="0"/>
    <n v="3207780"/>
  </r>
  <r>
    <s v="Retail"/>
    <s v="Q133-Popayan-Cc Terra Plaza"/>
    <x v="2"/>
    <s v="septiembre"/>
    <n v="28"/>
    <d v="2026-09-28T00:00:00"/>
    <n v="1002607819"/>
    <s v="RAMIREZ  TORRES INGRITH MICHELLE "/>
    <n v="58"/>
    <n v="0"/>
    <n v="3219832"/>
  </r>
  <r>
    <s v="Retail"/>
    <s v="Q133-Popayan-Cc Terra Plaza"/>
    <x v="2"/>
    <s v="septiembre"/>
    <n v="28"/>
    <d v="2026-09-28T00:00:00"/>
    <n v="1061814088"/>
    <s v="HERNANDEZ  MAILE CAMILA"/>
    <n v="-1"/>
    <n v="0"/>
    <n v="-83992"/>
  </r>
  <r>
    <s v="Retail"/>
    <s v="Q133-Popayan-Cc Terra Plaza"/>
    <x v="2"/>
    <s v="septiembre"/>
    <n v="29"/>
    <d v="2026-09-29T00:00:00"/>
    <m/>
    <m/>
    <n v="0"/>
    <n v="9088514"/>
    <n v="0"/>
  </r>
  <r>
    <s v="Retail"/>
    <s v="Q133-Popayan-Cc Terra Plaza"/>
    <x v="2"/>
    <s v="septiembre"/>
    <n v="29"/>
    <d v="2026-09-29T00:00:00"/>
    <n v="34319130"/>
    <s v="RUIZ  MAGALY ANDREA"/>
    <n v="53"/>
    <n v="0"/>
    <n v="3529121"/>
  </r>
  <r>
    <s v="Retail"/>
    <s v="Q133-Popayan-Cc Terra Plaza"/>
    <x v="2"/>
    <s v="septiembre"/>
    <n v="29"/>
    <d v="2026-09-29T00:00:00"/>
    <n v="1002607819"/>
    <s v="RAMIREZ  TORRES INGRITH MICHELLE "/>
    <n v="58"/>
    <n v="0"/>
    <n v="3404921"/>
  </r>
  <r>
    <s v="Retail"/>
    <s v="Q133-Popayan-Cc Terra Plaza"/>
    <x v="2"/>
    <s v="septiembre"/>
    <n v="30"/>
    <d v="2026-09-30T00:00:00"/>
    <m/>
    <m/>
    <n v="0"/>
    <n v="9388598"/>
    <n v="0"/>
  </r>
  <r>
    <s v="Retail"/>
    <s v="Q133-Popayan-Cc Terra Plaza"/>
    <x v="2"/>
    <s v="septiembre"/>
    <n v="30"/>
    <d v="2026-09-30T00:00:00"/>
    <n v="34319130"/>
    <s v="RUIZ  MAGALY ANDREA"/>
    <n v="65"/>
    <n v="0"/>
    <n v="3139538"/>
  </r>
  <r>
    <s v="Retail"/>
    <s v="Q133-Popayan-Cc Terra Plaza"/>
    <x v="2"/>
    <s v="septiembre"/>
    <n v="30"/>
    <d v="2026-09-30T00:00:00"/>
    <n v="1002607819"/>
    <s v="RAMIREZ  TORRES INGRITH MICHELLE "/>
    <n v="63"/>
    <n v="0"/>
    <n v="3652737"/>
  </r>
  <r>
    <s v="Retail"/>
    <s v="Q133-Popayan-Cc Terra Plaza"/>
    <x v="2"/>
    <s v="septiembre"/>
    <n v="30"/>
    <d v="2026-09-30T00:00:00"/>
    <n v="1061814088"/>
    <s v="HERNANDEZ  MAILE CAMILA"/>
    <n v="-1"/>
    <n v="0"/>
    <n v="-41975"/>
  </r>
  <r>
    <s v="Retail"/>
    <s v="Q133-Popayan-Cc Terra Plaza"/>
    <x v="2"/>
    <s v="octubre"/>
    <n v="1"/>
    <d v="2026-10-01T00:00:00"/>
    <m/>
    <m/>
    <n v="0"/>
    <n v="5741104"/>
    <n v="0"/>
  </r>
  <r>
    <s v="Retail"/>
    <s v="Q133-Popayan-Cc Terra Plaza"/>
    <x v="2"/>
    <s v="octubre"/>
    <n v="1"/>
    <d v="2026-10-01T00:00:00"/>
    <n v="34319130"/>
    <s v="RUIZ  MAGALY ANDREA"/>
    <n v="35"/>
    <n v="0"/>
    <n v="2342986"/>
  </r>
  <r>
    <s v="Retail"/>
    <s v="Q133-Popayan-Cc Terra Plaza"/>
    <x v="2"/>
    <s v="octubre"/>
    <n v="1"/>
    <d v="2026-10-01T00:00:00"/>
    <n v="1002607819"/>
    <s v="RAMIREZ  TORRES INGRITH MICHELLE "/>
    <n v="37"/>
    <n v="0"/>
    <n v="2313449"/>
  </r>
  <r>
    <s v="Retail"/>
    <s v="Q133-Popayan-Cc Terra Plaza"/>
    <x v="2"/>
    <s v="octubre"/>
    <n v="2"/>
    <d v="2026-10-02T00:00:00"/>
    <m/>
    <m/>
    <n v="0"/>
    <n v="6514817"/>
    <n v="0"/>
  </r>
  <r>
    <s v="Retail"/>
    <s v="Q133-Popayan-Cc Terra Plaza"/>
    <x v="2"/>
    <s v="octubre"/>
    <n v="2"/>
    <d v="2026-10-02T00:00:00"/>
    <n v="34319130"/>
    <s v="RUIZ  MAGALY ANDREA"/>
    <n v="71"/>
    <n v="0"/>
    <n v="4450639"/>
  </r>
  <r>
    <s v="Retail"/>
    <s v="Q133-Popayan-Cc Terra Plaza"/>
    <x v="2"/>
    <s v="octubre"/>
    <n v="2"/>
    <d v="2026-10-02T00:00:00"/>
    <n v="1002607819"/>
    <s v="RAMIREZ  TORRES INGRITH MICHELLE "/>
    <n v="76"/>
    <n v="0"/>
    <n v="4483993"/>
  </r>
  <r>
    <s v="Retail"/>
    <s v="Q133-Popayan-Cc Terra Plaza"/>
    <x v="2"/>
    <s v="octubre"/>
    <n v="2"/>
    <d v="2026-10-02T00:00:00"/>
    <n v="1002972668"/>
    <s v="LASSO ORDOÑEZ DORIS ADRIANA"/>
    <n v="-1"/>
    <n v="0"/>
    <n v="-79790"/>
  </r>
  <r>
    <s v="Retail"/>
    <s v="Q133-Popayan-Cc Terra Plaza"/>
    <x v="2"/>
    <s v="octubre"/>
    <n v="3"/>
    <d v="2026-10-03T00:00:00"/>
    <m/>
    <m/>
    <n v="0"/>
    <n v="11728397"/>
    <n v="0"/>
  </r>
  <r>
    <s v="Retail"/>
    <s v="Q133-Popayan-Cc Terra Plaza"/>
    <x v="2"/>
    <s v="octubre"/>
    <n v="3"/>
    <d v="2026-10-03T00:00:00"/>
    <n v="34319130"/>
    <s v="RUIZ  MAGALY ANDREA"/>
    <n v="69"/>
    <n v="0"/>
    <n v="4446524"/>
  </r>
  <r>
    <s v="Retail"/>
    <s v="Q133-Popayan-Cc Terra Plaza"/>
    <x v="2"/>
    <s v="octubre"/>
    <n v="3"/>
    <d v="2026-10-03T00:00:00"/>
    <n v="1002607819"/>
    <s v="RAMIREZ  TORRES INGRITH MICHELLE "/>
    <n v="78"/>
    <n v="0"/>
    <n v="4003841"/>
  </r>
  <r>
    <s v="Retail"/>
    <s v="Q133-Popayan-Cc Terra Plaza"/>
    <x v="2"/>
    <s v="octubre"/>
    <n v="4"/>
    <d v="2026-10-04T00:00:00"/>
    <m/>
    <m/>
    <n v="0"/>
    <n v="13194995"/>
    <n v="0"/>
  </r>
  <r>
    <s v="Retail"/>
    <s v="Q133-Popayan-Cc Terra Plaza"/>
    <x v="2"/>
    <s v="octubre"/>
    <n v="4"/>
    <d v="2026-10-04T00:00:00"/>
    <n v="34319130"/>
    <s v="RUIZ  MAGALY ANDREA"/>
    <n v="100"/>
    <n v="0"/>
    <n v="6012232"/>
  </r>
  <r>
    <s v="Retail"/>
    <s v="Q133-Popayan-Cc Terra Plaza"/>
    <x v="2"/>
    <s v="octubre"/>
    <n v="4"/>
    <d v="2026-10-04T00:00:00"/>
    <n v="1002607819"/>
    <s v="RAMIREZ  TORRES INGRITH MICHELLE "/>
    <n v="97"/>
    <n v="0"/>
    <n v="6387899"/>
  </r>
  <r>
    <s v="Retail"/>
    <s v="Q133-Popayan-Cc Terra Plaza"/>
    <x v="2"/>
    <s v="octubre"/>
    <n v="4"/>
    <d v="2026-10-04T00:00:00"/>
    <n v="1002957897"/>
    <s v="CACHIMBO SANCHEZ VALERIA"/>
    <n v="-1"/>
    <n v="0"/>
    <n v="-63832"/>
  </r>
  <r>
    <s v="Retail"/>
    <s v="Q133-Popayan-Cc Terra Plaza"/>
    <x v="2"/>
    <s v="octubre"/>
    <n v="4"/>
    <d v="2026-10-04T00:00:00"/>
    <n v="1058968650"/>
    <s v="GAVIRIA CALVACHE WILLIAN"/>
    <n v="-1"/>
    <n v="0"/>
    <n v="-105000"/>
  </r>
  <r>
    <s v="Retail"/>
    <s v="Q133-Popayan-Cc Terra Plaza"/>
    <x v="2"/>
    <s v="octubre"/>
    <n v="5"/>
    <d v="2026-10-05T00:00:00"/>
    <m/>
    <m/>
    <n v="0"/>
    <n v="3033717"/>
    <n v="0"/>
  </r>
  <r>
    <s v="Retail"/>
    <s v="Q133-Popayan-Cc Terra Plaza"/>
    <x v="2"/>
    <s v="octubre"/>
    <n v="5"/>
    <d v="2026-10-05T00:00:00"/>
    <n v="34319130"/>
    <s v="RUIZ  MAGALY ANDREA"/>
    <n v="84"/>
    <n v="0"/>
    <n v="5037012"/>
  </r>
  <r>
    <s v="Retail"/>
    <s v="Q133-Popayan-Cc Terra Plaza"/>
    <x v="2"/>
    <s v="octubre"/>
    <n v="5"/>
    <d v="2026-10-05T00:00:00"/>
    <n v="1002607819"/>
    <s v="RAMIREZ  TORRES INGRITH MICHELLE "/>
    <n v="29"/>
    <n v="0"/>
    <n v="1787824"/>
  </r>
  <r>
    <s v="Retail"/>
    <s v="Q133-Popayan-Cc Terra Plaza"/>
    <x v="2"/>
    <s v="octubre"/>
    <n v="5"/>
    <d v="2026-10-05T00:00:00"/>
    <n v="1061799953"/>
    <s v="BALANTA BURBANO MELISSA"/>
    <n v="-1"/>
    <n v="0"/>
    <n v="-41975"/>
  </r>
  <r>
    <s v="Retail"/>
    <s v="Q133-Popayan-Cc Terra Plaza"/>
    <x v="2"/>
    <s v="octubre"/>
    <n v="6"/>
    <d v="2026-10-06T00:00:00"/>
    <m/>
    <m/>
    <n v="0"/>
    <n v="2742445"/>
    <n v="0"/>
  </r>
  <r>
    <s v="Retail"/>
    <s v="Q133-Popayan-Cc Terra Plaza"/>
    <x v="2"/>
    <s v="octubre"/>
    <n v="6"/>
    <d v="2026-10-06T00:00:00"/>
    <n v="34319130"/>
    <s v="RUIZ  MAGALY ANDREA"/>
    <n v="1"/>
    <n v="0"/>
    <n v="12479"/>
  </r>
  <r>
    <s v="Retail"/>
    <s v="Q133-Popayan-Cc Terra Plaza"/>
    <x v="2"/>
    <s v="octubre"/>
    <n v="6"/>
    <d v="2026-10-06T00:00:00"/>
    <n v="1002607819"/>
    <s v="RAMIREZ  TORRES INGRITH MICHELLE "/>
    <n v="33"/>
    <n v="0"/>
    <n v="2040382"/>
  </r>
  <r>
    <s v="Retail"/>
    <s v="Q133-Popayan-Cc Terra Plaza"/>
    <x v="2"/>
    <s v="octubre"/>
    <n v="6"/>
    <d v="2026-10-06T00:00:00"/>
    <n v="1061814088"/>
    <s v="HERNANDEZ  MAILE CAMILA"/>
    <n v="-1"/>
    <n v="0"/>
    <n v="-50378"/>
  </r>
  <r>
    <s v="Retail"/>
    <s v="Q133-Popayan-Cc Terra Plaza"/>
    <x v="2"/>
    <s v="octubre"/>
    <n v="7"/>
    <d v="2026-10-07T00:00:00"/>
    <m/>
    <m/>
    <n v="0"/>
    <n v="2706359"/>
    <n v="0"/>
  </r>
  <r>
    <s v="Retail"/>
    <s v="Q133-Popayan-Cc Terra Plaza"/>
    <x v="2"/>
    <s v="octubre"/>
    <n v="7"/>
    <d v="2026-10-07T00:00:00"/>
    <n v="34319130"/>
    <s v="RUIZ  MAGALY ANDREA"/>
    <n v="21"/>
    <n v="0"/>
    <n v="1213404"/>
  </r>
  <r>
    <s v="Retail"/>
    <s v="Q133-Popayan-Cc Terra Plaza"/>
    <x v="2"/>
    <s v="octubre"/>
    <n v="7"/>
    <d v="2026-10-07T00:00:00"/>
    <n v="1002607819"/>
    <s v="RAMIREZ  TORRES INGRITH MICHELLE "/>
    <n v="29"/>
    <n v="0"/>
    <n v="1498573"/>
  </r>
  <r>
    <s v="Retail"/>
    <s v="Q133-Popayan-Cc Terra Plaza"/>
    <x v="2"/>
    <s v="octubre"/>
    <n v="7"/>
    <d v="2026-10-07T00:00:00"/>
    <n v="1083906980"/>
    <s v="MOSQUERA GUAR  CARLOS ANDRÉS"/>
    <n v="-1"/>
    <n v="0"/>
    <n v="-54580"/>
  </r>
  <r>
    <s v="Retail"/>
    <s v="Q144 Popayan - Centro 2"/>
    <x v="2"/>
    <s v="septiembre"/>
    <n v="23"/>
    <d v="2026-09-23T00:00:00"/>
    <m/>
    <m/>
    <n v="0"/>
    <n v="10400246"/>
    <n v="0"/>
  </r>
  <r>
    <s v="Retail"/>
    <s v="Q144 Popayan - Centro 2"/>
    <x v="2"/>
    <s v="septiembre"/>
    <n v="23"/>
    <d v="2026-09-23T00:00:00"/>
    <n v="1061770250"/>
    <s v="CHILITO  BAIRON ANDRES"/>
    <n v="104"/>
    <n v="0"/>
    <n v="5569083"/>
  </r>
  <r>
    <s v="Retail"/>
    <s v="Q144 Popayan - Centro 2"/>
    <x v="2"/>
    <s v="septiembre"/>
    <n v="23"/>
    <d v="2026-09-23T00:00:00"/>
    <n v="1061773714"/>
    <s v="PALECHOR  YOLILYN ANDREA"/>
    <n v="186"/>
    <n v="0"/>
    <n v="9111809"/>
  </r>
  <r>
    <s v="Retail"/>
    <s v="Q144 Popayan - Centro 2"/>
    <x v="2"/>
    <s v="septiembre"/>
    <n v="23"/>
    <d v="2026-09-23T00:00:00"/>
    <n v="1061799953"/>
    <s v="BALANTA BURBANO MELISSA"/>
    <n v="-1"/>
    <n v="0"/>
    <n v="-37773"/>
  </r>
  <r>
    <s v="Retail"/>
    <s v="Q144 Popayan - Centro 2"/>
    <x v="2"/>
    <s v="septiembre"/>
    <n v="24"/>
    <d v="2026-09-24T00:00:00"/>
    <m/>
    <m/>
    <n v="0"/>
    <n v="15887544"/>
    <n v="0"/>
  </r>
  <r>
    <s v="Retail"/>
    <s v="Q144 Popayan - Centro 2"/>
    <x v="2"/>
    <s v="septiembre"/>
    <n v="24"/>
    <d v="2026-09-24T00:00:00"/>
    <n v="1002970518"/>
    <s v="FLOR PIZO LEIDY ALEJANDRA"/>
    <n v="10"/>
    <n v="0"/>
    <n v="608824"/>
  </r>
  <r>
    <s v="Retail"/>
    <s v="Q144 Popayan - Centro 2"/>
    <x v="2"/>
    <s v="septiembre"/>
    <n v="24"/>
    <d v="2026-09-24T00:00:00"/>
    <n v="1059234731"/>
    <s v="MONTENEGRO COTACIO MARY LUZ"/>
    <n v="68"/>
    <n v="0"/>
    <n v="4412941"/>
  </r>
  <r>
    <s v="Retail"/>
    <s v="Q144 Popayan - Centro 2"/>
    <x v="2"/>
    <s v="septiembre"/>
    <n v="24"/>
    <d v="2026-09-24T00:00:00"/>
    <n v="1061770250"/>
    <s v="CHILITO  BAIRON ANDRES"/>
    <n v="94"/>
    <n v="0"/>
    <n v="5268827"/>
  </r>
  <r>
    <s v="Retail"/>
    <s v="Q144 Popayan - Centro 2"/>
    <x v="2"/>
    <s v="septiembre"/>
    <n v="24"/>
    <d v="2026-09-24T00:00:00"/>
    <n v="1061773714"/>
    <s v="PALECHOR  YOLILYN ANDREA"/>
    <n v="137"/>
    <n v="0"/>
    <n v="8054924"/>
  </r>
  <r>
    <s v="Retail"/>
    <s v="Q144 Popayan - Centro 2"/>
    <x v="2"/>
    <s v="septiembre"/>
    <n v="25"/>
    <d v="2026-09-25T00:00:00"/>
    <m/>
    <m/>
    <n v="0"/>
    <n v="15852373"/>
    <n v="0"/>
  </r>
  <r>
    <s v="Retail"/>
    <s v="Q144 Popayan - Centro 2"/>
    <x v="2"/>
    <s v="septiembre"/>
    <n v="25"/>
    <d v="2026-09-25T00:00:00"/>
    <n v="25289676"/>
    <s v="GUERRERO GAVIRIA PAOLA ALEJANDRA"/>
    <n v="-2"/>
    <n v="0"/>
    <n v="-83866"/>
  </r>
  <r>
    <s v="Retail"/>
    <s v="Q144 Popayan - Centro 2"/>
    <x v="2"/>
    <s v="septiembre"/>
    <n v="25"/>
    <d v="2026-09-25T00:00:00"/>
    <n v="1002970518"/>
    <s v="FLOR PIZO LEIDY ALEJANDRA"/>
    <n v="51"/>
    <n v="0"/>
    <n v="2976726"/>
  </r>
  <r>
    <s v="Retail"/>
    <s v="Q144 Popayan - Centro 2"/>
    <x v="2"/>
    <s v="septiembre"/>
    <n v="25"/>
    <d v="2026-09-25T00:00:00"/>
    <n v="1004148578"/>
    <s v="MUSSE PERDOMO  MAIRA ALEJANDRA"/>
    <n v="-1"/>
    <n v="0"/>
    <n v="-67185"/>
  </r>
  <r>
    <s v="Retail"/>
    <s v="Q144 Popayan - Centro 2"/>
    <x v="2"/>
    <s v="septiembre"/>
    <n v="25"/>
    <d v="2026-09-25T00:00:00"/>
    <n v="1059234731"/>
    <s v="MONTENEGRO COTACIO MARY LUZ"/>
    <n v="31"/>
    <n v="0"/>
    <n v="2023783"/>
  </r>
  <r>
    <s v="Retail"/>
    <s v="Q144 Popayan - Centro 2"/>
    <x v="2"/>
    <s v="septiembre"/>
    <n v="25"/>
    <d v="2026-09-25T00:00:00"/>
    <n v="1061770250"/>
    <s v="CHILITO  BAIRON ANDRES"/>
    <n v="79"/>
    <n v="0"/>
    <n v="5112106"/>
  </r>
  <r>
    <s v="Retail"/>
    <s v="Q144 Popayan - Centro 2"/>
    <x v="2"/>
    <s v="septiembre"/>
    <n v="25"/>
    <d v="2026-09-25T00:00:00"/>
    <n v="1061773714"/>
    <s v="PALECHOR  YOLILYN ANDREA"/>
    <n v="128"/>
    <n v="0"/>
    <n v="7290593"/>
  </r>
  <r>
    <s v="Retail"/>
    <s v="Q144 Popayan - Centro 2"/>
    <x v="2"/>
    <s v="septiembre"/>
    <n v="26"/>
    <d v="2026-09-26T00:00:00"/>
    <m/>
    <m/>
    <n v="0"/>
    <n v="22782137"/>
    <n v="0"/>
  </r>
  <r>
    <s v="Retail"/>
    <s v="Q144 Popayan - Centro 2"/>
    <x v="2"/>
    <s v="septiembre"/>
    <n v="26"/>
    <d v="2026-09-26T00:00:00"/>
    <n v="1002970518"/>
    <s v="FLOR PIZO LEIDY ALEJANDRA"/>
    <n v="36"/>
    <n v="0"/>
    <n v="2275760"/>
  </r>
  <r>
    <s v="Retail"/>
    <s v="Q144 Popayan - Centro 2"/>
    <x v="2"/>
    <s v="septiembre"/>
    <n v="26"/>
    <d v="2026-09-26T00:00:00"/>
    <n v="1059234731"/>
    <s v="MONTENEGRO COTACIO MARY LUZ"/>
    <n v="56"/>
    <n v="0"/>
    <n v="3373448"/>
  </r>
  <r>
    <s v="Retail"/>
    <s v="Q144 Popayan - Centro 2"/>
    <x v="2"/>
    <s v="septiembre"/>
    <n v="26"/>
    <d v="2026-09-26T00:00:00"/>
    <n v="1061770250"/>
    <s v="CHILITO  BAIRON ANDRES"/>
    <n v="93"/>
    <n v="0"/>
    <n v="5726978"/>
  </r>
  <r>
    <s v="Retail"/>
    <s v="Q144 Popayan - Centro 2"/>
    <x v="2"/>
    <s v="septiembre"/>
    <n v="26"/>
    <d v="2026-09-26T00:00:00"/>
    <n v="1061773714"/>
    <s v="PALECHOR  YOLILYN ANDREA"/>
    <n v="118"/>
    <n v="0"/>
    <n v="7177610"/>
  </r>
  <r>
    <s v="Retail"/>
    <s v="Q144 Popayan - Centro 2"/>
    <x v="2"/>
    <s v="septiembre"/>
    <n v="26"/>
    <d v="2026-09-26T00:00:00"/>
    <n v="1061799953"/>
    <s v="BALANTA BURBANO MELISSA"/>
    <n v="-1"/>
    <n v="0"/>
    <n v="-54580"/>
  </r>
  <r>
    <s v="Retail"/>
    <s v="Q144 Popayan - Centro 2"/>
    <x v="2"/>
    <s v="septiembre"/>
    <n v="26"/>
    <d v="2026-09-26T00:00:00"/>
    <n v="1063816927"/>
    <s v="NAVIA CAJAS LUIS FERNANDO"/>
    <n v="-1"/>
    <n v="0"/>
    <n v="-50336"/>
  </r>
  <r>
    <s v="Retail"/>
    <s v="Q144 Popayan - Centro 2"/>
    <x v="2"/>
    <s v="septiembre"/>
    <n v="27"/>
    <d v="2026-09-27T00:00:00"/>
    <m/>
    <m/>
    <n v="0"/>
    <n v="18048041"/>
    <n v="0"/>
  </r>
  <r>
    <s v="Retail"/>
    <s v="Q144 Popayan - Centro 2"/>
    <x v="2"/>
    <s v="septiembre"/>
    <n v="27"/>
    <d v="2026-09-27T00:00:00"/>
    <n v="1059234731"/>
    <s v="MONTENEGRO COTACIO MARY LUZ"/>
    <n v="25"/>
    <n v="0"/>
    <n v="1526093"/>
  </r>
  <r>
    <s v="Retail"/>
    <s v="Q144 Popayan - Centro 2"/>
    <x v="2"/>
    <s v="septiembre"/>
    <n v="27"/>
    <d v="2026-09-27T00:00:00"/>
    <n v="1061770250"/>
    <s v="CHILITO  BAIRON ANDRES"/>
    <n v="15"/>
    <n v="0"/>
    <n v="780714"/>
  </r>
  <r>
    <s v="Retail"/>
    <s v="Q144 Popayan - Centro 2"/>
    <x v="2"/>
    <s v="septiembre"/>
    <n v="27"/>
    <d v="2026-09-27T00:00:00"/>
    <n v="1061773714"/>
    <s v="PALECHOR  YOLILYN ANDREA"/>
    <n v="29"/>
    <n v="0"/>
    <n v="1719329"/>
  </r>
  <r>
    <s v="Retail"/>
    <s v="Q144 Popayan - Centro 2"/>
    <x v="2"/>
    <s v="septiembre"/>
    <n v="28"/>
    <d v="2026-09-28T00:00:00"/>
    <m/>
    <m/>
    <n v="0"/>
    <n v="10161847"/>
    <n v="0"/>
  </r>
  <r>
    <s v="Retail"/>
    <s v="Q144 Popayan - Centro 2"/>
    <x v="2"/>
    <s v="septiembre"/>
    <n v="28"/>
    <d v="2026-09-28T00:00:00"/>
    <n v="1002970518"/>
    <s v="FLOR PIZO LEIDY ALEJANDRA"/>
    <n v="7"/>
    <n v="0"/>
    <n v="659370"/>
  </r>
  <r>
    <s v="Retail"/>
    <s v="Q144 Popayan - Centro 2"/>
    <x v="2"/>
    <s v="septiembre"/>
    <n v="28"/>
    <d v="2026-09-28T00:00:00"/>
    <n v="1007145358"/>
    <s v="QUIÑONES AGREDO  JUAN PABLO"/>
    <n v="-1"/>
    <n v="0"/>
    <n v="-83992"/>
  </r>
  <r>
    <s v="Retail"/>
    <s v="Q144 Popayan - Centro 2"/>
    <x v="2"/>
    <s v="septiembre"/>
    <n v="28"/>
    <d v="2026-09-28T00:00:00"/>
    <n v="1059234731"/>
    <s v="MONTENEGRO COTACIO MARY LUZ"/>
    <n v="33"/>
    <n v="0"/>
    <n v="1632815"/>
  </r>
  <r>
    <s v="Retail"/>
    <s v="Q144 Popayan - Centro 2"/>
    <x v="2"/>
    <s v="septiembre"/>
    <n v="28"/>
    <d v="2026-09-28T00:00:00"/>
    <n v="1061770250"/>
    <s v="CHILITO  BAIRON ANDRES"/>
    <n v="68"/>
    <n v="0"/>
    <n v="3576773"/>
  </r>
  <r>
    <s v="Retail"/>
    <s v="Q144 Popayan - Centro 2"/>
    <x v="2"/>
    <s v="septiembre"/>
    <n v="28"/>
    <d v="2026-09-28T00:00:00"/>
    <n v="1061773714"/>
    <s v="PALECHOR  YOLILYN ANDREA"/>
    <n v="23"/>
    <n v="0"/>
    <n v="1524203"/>
  </r>
  <r>
    <s v="Retail"/>
    <s v="Q144 Popayan - Centro 2"/>
    <x v="2"/>
    <s v="septiembre"/>
    <n v="28"/>
    <d v="2026-09-28T00:00:00"/>
    <n v="1061816802"/>
    <s v="NARVAEZ  JHOINNER EFREN"/>
    <n v="-1"/>
    <n v="0"/>
    <n v="-92395"/>
  </r>
  <r>
    <s v="Retail"/>
    <s v="Q144 Popayan - Centro 2"/>
    <x v="2"/>
    <s v="septiembre"/>
    <n v="29"/>
    <d v="2026-09-29T00:00:00"/>
    <m/>
    <m/>
    <n v="0"/>
    <n v="10381334"/>
    <n v="0"/>
  </r>
  <r>
    <s v="Retail"/>
    <s v="Q144 Popayan - Centro 2"/>
    <x v="2"/>
    <s v="septiembre"/>
    <n v="29"/>
    <d v="2026-09-29T00:00:00"/>
    <n v="1002970518"/>
    <s v="FLOR PIZO LEIDY ALEJANDRA"/>
    <n v="13"/>
    <n v="0"/>
    <n v="747353"/>
  </r>
  <r>
    <s v="Retail"/>
    <s v="Q144 Popayan - Centro 2"/>
    <x v="2"/>
    <s v="septiembre"/>
    <n v="29"/>
    <d v="2026-09-29T00:00:00"/>
    <n v="1059234731"/>
    <s v="MONTENEGRO COTACIO MARY LUZ"/>
    <n v="20"/>
    <n v="0"/>
    <n v="1280630"/>
  </r>
  <r>
    <s v="Retail"/>
    <s v="Q144 Popayan - Centro 2"/>
    <x v="2"/>
    <s v="septiembre"/>
    <n v="29"/>
    <d v="2026-09-29T00:00:00"/>
    <n v="1061770250"/>
    <s v="CHILITO  BAIRON ANDRES"/>
    <n v="66"/>
    <n v="0"/>
    <n v="4122906"/>
  </r>
  <r>
    <s v="Retail"/>
    <s v="Q144 Popayan - Centro 2"/>
    <x v="2"/>
    <s v="septiembre"/>
    <n v="29"/>
    <d v="2026-09-29T00:00:00"/>
    <n v="1061773714"/>
    <s v="PALECHOR  YOLILYN ANDREA"/>
    <n v="42"/>
    <n v="0"/>
    <n v="2603110"/>
  </r>
  <r>
    <s v="Retail"/>
    <s v="Q144 Popayan - Centro 2"/>
    <x v="2"/>
    <s v="septiembre"/>
    <n v="30"/>
    <d v="2026-09-30T00:00:00"/>
    <m/>
    <m/>
    <n v="0"/>
    <n v="10960609"/>
    <n v="0"/>
  </r>
  <r>
    <s v="Retail"/>
    <s v="Q144 Popayan - Centro 2"/>
    <x v="2"/>
    <s v="septiembre"/>
    <n v="30"/>
    <d v="2026-09-30T00:00:00"/>
    <n v="1002970518"/>
    <s v="FLOR PIZO LEIDY ALEJANDRA"/>
    <n v="14"/>
    <n v="0"/>
    <n v="743110"/>
  </r>
  <r>
    <s v="Retail"/>
    <s v="Q144 Popayan - Centro 2"/>
    <x v="2"/>
    <s v="septiembre"/>
    <n v="30"/>
    <d v="2026-09-30T00:00:00"/>
    <n v="1059234731"/>
    <s v="MONTENEGRO COTACIO MARY LUZ"/>
    <n v="17"/>
    <n v="0"/>
    <n v="778615"/>
  </r>
  <r>
    <s v="Retail"/>
    <s v="Q144 Popayan - Centro 2"/>
    <x v="2"/>
    <s v="septiembre"/>
    <n v="30"/>
    <d v="2026-09-30T00:00:00"/>
    <n v="1061770250"/>
    <s v="CHILITO  BAIRON ANDRES"/>
    <n v="105"/>
    <n v="0"/>
    <n v="5925256"/>
  </r>
  <r>
    <s v="Retail"/>
    <s v="Q144 Popayan - Centro 2"/>
    <x v="2"/>
    <s v="septiembre"/>
    <n v="30"/>
    <d v="2026-09-30T00:00:00"/>
    <n v="1061773714"/>
    <s v="PALECHOR  YOLILYN ANDREA"/>
    <n v="16"/>
    <n v="0"/>
    <n v="940422"/>
  </r>
  <r>
    <s v="Retail"/>
    <s v="Q144 Popayan - Centro 2"/>
    <x v="2"/>
    <s v="septiembre"/>
    <n v="30"/>
    <d v="2026-09-30T00:00:00"/>
    <n v="1063816927"/>
    <s v="NAVIA CAJAS LUIS FERNANDO"/>
    <n v="-1"/>
    <n v="0"/>
    <n v="-41975"/>
  </r>
  <r>
    <s v="Retail"/>
    <s v="Q144 Popayan - Centro 2"/>
    <x v="2"/>
    <s v="octubre"/>
    <n v="1"/>
    <d v="2026-10-01T00:00:00"/>
    <m/>
    <m/>
    <n v="0"/>
    <n v="8811001"/>
    <n v="0"/>
  </r>
  <r>
    <s v="Retail"/>
    <s v="Q144 Popayan - Centro 2"/>
    <x v="2"/>
    <s v="octubre"/>
    <n v="1"/>
    <d v="2026-10-01T00:00:00"/>
    <n v="1002970518"/>
    <s v="FLOR PIZO LEIDY ALEJANDRA"/>
    <n v="8"/>
    <n v="0"/>
    <n v="487060"/>
  </r>
  <r>
    <s v="Retail"/>
    <s v="Q144 Popayan - Centro 2"/>
    <x v="2"/>
    <s v="octubre"/>
    <n v="1"/>
    <d v="2026-10-01T00:00:00"/>
    <n v="1058968650"/>
    <s v="GAVIRIA CALVACHE WILLIAN"/>
    <n v="-1"/>
    <n v="0"/>
    <n v="-54580"/>
  </r>
  <r>
    <s v="Retail"/>
    <s v="Q144 Popayan - Centro 2"/>
    <x v="2"/>
    <s v="octubre"/>
    <n v="1"/>
    <d v="2026-10-01T00:00:00"/>
    <n v="1059234731"/>
    <s v="MONTENEGRO COTACIO MARY LUZ"/>
    <n v="36"/>
    <n v="0"/>
    <n v="2197983"/>
  </r>
  <r>
    <s v="Retail"/>
    <s v="Q144 Popayan - Centro 2"/>
    <x v="2"/>
    <s v="octubre"/>
    <n v="1"/>
    <d v="2026-10-01T00:00:00"/>
    <n v="1061770250"/>
    <s v="CHILITO  BAIRON ANDRES"/>
    <n v="53"/>
    <n v="0"/>
    <n v="2926266"/>
  </r>
  <r>
    <s v="Retail"/>
    <s v="Q144 Popayan - Centro 2"/>
    <x v="2"/>
    <s v="octubre"/>
    <n v="1"/>
    <d v="2026-10-01T00:00:00"/>
    <n v="1061773714"/>
    <s v="PALECHOR  YOLILYN ANDREA"/>
    <n v="64"/>
    <n v="0"/>
    <n v="3976264"/>
  </r>
  <r>
    <s v="Retail"/>
    <s v="Q144 Popayan - Centro 2"/>
    <x v="2"/>
    <s v="octubre"/>
    <n v="1"/>
    <d v="2026-10-01T00:00:00"/>
    <n v="1063816927"/>
    <s v="NAVIA CAJAS LUIS FERNANDO"/>
    <n v="-2"/>
    <n v="0"/>
    <n v="-104958"/>
  </r>
  <r>
    <s v="Retail"/>
    <s v="Q144 Popayan - Centro 2"/>
    <x v="2"/>
    <s v="octubre"/>
    <n v="2"/>
    <d v="2026-10-02T00:00:00"/>
    <m/>
    <m/>
    <n v="0"/>
    <n v="10027311"/>
    <n v="0"/>
  </r>
  <r>
    <s v="Retail"/>
    <s v="Q144 Popayan - Centro 2"/>
    <x v="2"/>
    <s v="octubre"/>
    <n v="2"/>
    <d v="2026-10-02T00:00:00"/>
    <n v="1002970518"/>
    <s v="FLOR PIZO LEIDY ALEJANDRA"/>
    <n v="22"/>
    <n v="0"/>
    <n v="1486472"/>
  </r>
  <r>
    <s v="Retail"/>
    <s v="Q144 Popayan - Centro 2"/>
    <x v="2"/>
    <s v="octubre"/>
    <n v="2"/>
    <d v="2026-10-02T00:00:00"/>
    <n v="1059234731"/>
    <s v="MONTENEGRO COTACIO MARY LUZ"/>
    <n v="15"/>
    <n v="0"/>
    <n v="999287"/>
  </r>
  <r>
    <s v="Retail"/>
    <s v="Q144 Popayan - Centro 2"/>
    <x v="2"/>
    <s v="octubre"/>
    <n v="2"/>
    <d v="2026-10-02T00:00:00"/>
    <n v="1061770250"/>
    <s v="CHILITO  BAIRON ANDRES"/>
    <n v="47"/>
    <n v="0"/>
    <n v="2449580"/>
  </r>
  <r>
    <s v="Retail"/>
    <s v="Q144 Popayan - Centro 2"/>
    <x v="2"/>
    <s v="octubre"/>
    <n v="2"/>
    <d v="2026-10-02T00:00:00"/>
    <n v="1061773714"/>
    <s v="PALECHOR  YOLILYN ANDREA"/>
    <n v="45"/>
    <n v="0"/>
    <n v="2657606"/>
  </r>
  <r>
    <s v="Retail"/>
    <s v="Q144 Popayan - Centro 2"/>
    <x v="2"/>
    <s v="octubre"/>
    <n v="3"/>
    <d v="2026-10-03T00:00:00"/>
    <m/>
    <m/>
    <n v="0"/>
    <n v="13176219"/>
    <n v="0"/>
  </r>
  <r>
    <s v="Retail"/>
    <s v="Q144 Popayan - Centro 2"/>
    <x v="2"/>
    <s v="octubre"/>
    <n v="3"/>
    <d v="2026-10-03T00:00:00"/>
    <n v="1002607819"/>
    <s v="RAMIREZ  TORRES INGRITH MICHELLE "/>
    <n v="-1"/>
    <n v="0"/>
    <n v="-41975"/>
  </r>
  <r>
    <s v="Retail"/>
    <s v="Q144 Popayan - Centro 2"/>
    <x v="2"/>
    <s v="octubre"/>
    <n v="3"/>
    <d v="2026-10-03T00:00:00"/>
    <n v="1002970518"/>
    <s v="FLOR PIZO LEIDY ALEJANDRA"/>
    <n v="20"/>
    <n v="0"/>
    <n v="1180547"/>
  </r>
  <r>
    <s v="Retail"/>
    <s v="Q144 Popayan - Centro 2"/>
    <x v="2"/>
    <s v="octubre"/>
    <n v="3"/>
    <d v="2026-10-03T00:00:00"/>
    <n v="1007145358"/>
    <s v="QUIÑONES AGREDO  JUAN PABLO"/>
    <n v="-1"/>
    <n v="0"/>
    <n v="-50378"/>
  </r>
  <r>
    <s v="Retail"/>
    <s v="Q144 Popayan - Centro 2"/>
    <x v="2"/>
    <s v="octubre"/>
    <n v="3"/>
    <d v="2026-10-03T00:00:00"/>
    <n v="1059234731"/>
    <s v="MONTENEGRO COTACIO MARY LUZ"/>
    <n v="25"/>
    <n v="0"/>
    <n v="1544383"/>
  </r>
  <r>
    <s v="Retail"/>
    <s v="Q144 Popayan - Centro 2"/>
    <x v="2"/>
    <s v="octubre"/>
    <n v="3"/>
    <d v="2026-10-03T00:00:00"/>
    <n v="1061770250"/>
    <s v="CHILITO  BAIRON ANDRES"/>
    <n v="64"/>
    <n v="0"/>
    <n v="3627460"/>
  </r>
  <r>
    <s v="Retail"/>
    <s v="Q144 Popayan - Centro 2"/>
    <x v="2"/>
    <s v="octubre"/>
    <n v="3"/>
    <d v="2026-10-03T00:00:00"/>
    <n v="1061773714"/>
    <s v="PALECHOR  YOLILYN ANDREA"/>
    <n v="93"/>
    <n v="0"/>
    <n v="5043870"/>
  </r>
  <r>
    <s v="Retail"/>
    <s v="Q144 Popayan - Centro 2"/>
    <x v="2"/>
    <s v="octubre"/>
    <n v="3"/>
    <d v="2026-10-03T00:00:00"/>
    <n v="1083906980"/>
    <s v="MOSQUERA GUAR  CARLOS ANDRÉS"/>
    <n v="-1"/>
    <n v="0"/>
    <n v="-83992"/>
  </r>
  <r>
    <s v="Retail"/>
    <s v="Q144 Popayan - Centro 2"/>
    <x v="2"/>
    <s v="octubre"/>
    <n v="4"/>
    <d v="2026-10-04T00:00:00"/>
    <m/>
    <m/>
    <n v="0"/>
    <n v="5110705"/>
    <n v="0"/>
  </r>
  <r>
    <s v="Retail"/>
    <s v="Q144 Popayan - Centro 2"/>
    <x v="2"/>
    <s v="octubre"/>
    <n v="4"/>
    <d v="2026-10-04T00:00:00"/>
    <n v="34319130"/>
    <s v="RUIZ  MAGALY ANDREA"/>
    <n v="-1"/>
    <n v="0"/>
    <n v="-67185"/>
  </r>
  <r>
    <s v="Retail"/>
    <s v="Q144 Popayan - Centro 2"/>
    <x v="2"/>
    <s v="octubre"/>
    <n v="4"/>
    <d v="2026-10-04T00:00:00"/>
    <n v="1002960105"/>
    <s v="RIASCOS  ARMERO KAROL TATIANA "/>
    <n v="-1"/>
    <n v="0"/>
    <n v="-33529"/>
  </r>
  <r>
    <s v="Retail"/>
    <s v="Q144 Popayan - Centro 2"/>
    <x v="2"/>
    <s v="octubre"/>
    <n v="4"/>
    <d v="2026-10-04T00:00:00"/>
    <n v="1002970518"/>
    <s v="FLOR PIZO LEIDY ALEJANDRA"/>
    <n v="4"/>
    <n v="0"/>
    <n v="172101"/>
  </r>
  <r>
    <s v="Retail"/>
    <s v="Q144 Popayan - Centro 2"/>
    <x v="2"/>
    <s v="octubre"/>
    <n v="4"/>
    <d v="2026-10-04T00:00:00"/>
    <n v="1059234731"/>
    <s v="MONTENEGRO COTACIO MARY LUZ"/>
    <n v="-4"/>
    <n v="0"/>
    <n v="-222521"/>
  </r>
  <r>
    <s v="Retail"/>
    <s v="Q144 Popayan - Centro 2"/>
    <x v="2"/>
    <s v="octubre"/>
    <n v="4"/>
    <d v="2026-10-04T00:00:00"/>
    <n v="1061770250"/>
    <s v="CHILITO  BAIRON ANDRES"/>
    <n v="16"/>
    <n v="0"/>
    <n v="820672"/>
  </r>
  <r>
    <s v="Retail"/>
    <s v="Q144 Popayan - Centro 2"/>
    <x v="2"/>
    <s v="octubre"/>
    <n v="4"/>
    <d v="2026-10-04T00:00:00"/>
    <n v="1061773714"/>
    <s v="PALECHOR  YOLILYN ANDREA"/>
    <n v="37"/>
    <n v="0"/>
    <n v="2515125"/>
  </r>
  <r>
    <s v="Retail"/>
    <s v="Q144 Popayan - Centro 2"/>
    <x v="2"/>
    <s v="octubre"/>
    <n v="5"/>
    <d v="2026-10-05T00:00:00"/>
    <m/>
    <m/>
    <n v="0"/>
    <n v="10007400"/>
    <n v="0"/>
  </r>
  <r>
    <s v="Retail"/>
    <s v="Q144 Popayan - Centro 2"/>
    <x v="2"/>
    <s v="octubre"/>
    <n v="5"/>
    <d v="2026-10-05T00:00:00"/>
    <n v="1002957897"/>
    <s v="CACHIMBO SANCHEZ VALERIA"/>
    <n v="-1"/>
    <n v="0"/>
    <n v="-54580"/>
  </r>
  <r>
    <s v="Retail"/>
    <s v="Q144 Popayan - Centro 2"/>
    <x v="2"/>
    <s v="octubre"/>
    <n v="5"/>
    <d v="2026-10-05T00:00:00"/>
    <n v="1002970518"/>
    <s v="FLOR PIZO LEIDY ALEJANDRA"/>
    <n v="5"/>
    <n v="0"/>
    <n v="398949"/>
  </r>
  <r>
    <s v="Retail"/>
    <s v="Q144 Popayan - Centro 2"/>
    <x v="2"/>
    <s v="octubre"/>
    <n v="5"/>
    <d v="2026-10-05T00:00:00"/>
    <n v="1059234731"/>
    <s v="MONTENEGRO COTACIO MARY LUZ"/>
    <n v="7"/>
    <n v="0"/>
    <n v="327395"/>
  </r>
  <r>
    <s v="Retail"/>
    <s v="Q144 Popayan - Centro 2"/>
    <x v="2"/>
    <s v="octubre"/>
    <n v="5"/>
    <d v="2026-10-05T00:00:00"/>
    <n v="1061770250"/>
    <s v="CHILITO  BAIRON ANDRES"/>
    <n v="50"/>
    <n v="0"/>
    <n v="2892647"/>
  </r>
  <r>
    <s v="Retail"/>
    <s v="Q144 Popayan - Centro 2"/>
    <x v="2"/>
    <s v="octubre"/>
    <n v="5"/>
    <d v="2026-10-05T00:00:00"/>
    <n v="1061773714"/>
    <s v="PALECHOR  YOLILYN ANDREA"/>
    <n v="39"/>
    <n v="0"/>
    <n v="2521391"/>
  </r>
  <r>
    <s v="Retail"/>
    <s v="Q144 Popayan - Centro 2"/>
    <x v="2"/>
    <s v="octubre"/>
    <n v="5"/>
    <d v="2026-10-05T00:00:00"/>
    <n v="1063816927"/>
    <s v="NAVIA CAJAS LUIS FERNANDO"/>
    <n v="-1"/>
    <n v="0"/>
    <n v="-41975"/>
  </r>
  <r>
    <s v="Retail"/>
    <s v="Q144 Popayan - Centro 2"/>
    <x v="2"/>
    <s v="octubre"/>
    <n v="6"/>
    <d v="2026-10-06T00:00:00"/>
    <m/>
    <m/>
    <n v="0"/>
    <n v="6167295"/>
    <n v="0"/>
  </r>
  <r>
    <s v="Retail"/>
    <s v="Q144 Popayan - Centro 2"/>
    <x v="2"/>
    <s v="octubre"/>
    <n v="6"/>
    <d v="2026-10-06T00:00:00"/>
    <n v="1002970518"/>
    <s v="FLOR PIZO LEIDY ALEJANDRA"/>
    <n v="1"/>
    <n v="0"/>
    <n v="54580"/>
  </r>
  <r>
    <s v="Retail"/>
    <s v="Q144 Popayan - Centro 2"/>
    <x v="2"/>
    <s v="octubre"/>
    <n v="6"/>
    <d v="2026-10-06T00:00:00"/>
    <n v="1002972668"/>
    <s v="LASSO ORDOÑEZ DORIS ADRIANA"/>
    <n v="-1"/>
    <n v="0"/>
    <n v="-151219"/>
  </r>
  <r>
    <s v="Retail"/>
    <s v="Q144 Popayan - Centro 2"/>
    <x v="2"/>
    <s v="octubre"/>
    <n v="6"/>
    <d v="2026-10-06T00:00:00"/>
    <n v="1059234731"/>
    <s v="MONTENEGRO COTACIO MARY LUZ"/>
    <n v="12"/>
    <n v="0"/>
    <n v="961639"/>
  </r>
  <r>
    <s v="Retail"/>
    <s v="Q144 Popayan - Centro 2"/>
    <x v="2"/>
    <s v="octubre"/>
    <n v="6"/>
    <d v="2026-10-06T00:00:00"/>
    <n v="1061770250"/>
    <s v="CHILITO  BAIRON ANDRES"/>
    <n v="14"/>
    <n v="0"/>
    <n v="894412"/>
  </r>
  <r>
    <s v="Retail"/>
    <s v="Q144 Popayan - Centro 2"/>
    <x v="2"/>
    <s v="octubre"/>
    <n v="6"/>
    <d v="2026-10-06T00:00:00"/>
    <n v="1061773714"/>
    <s v="PALECHOR  YOLILYN ANDREA"/>
    <n v="29"/>
    <n v="0"/>
    <n v="1813782"/>
  </r>
  <r>
    <s v="Retail"/>
    <s v="Q144 Popayan - Centro 2"/>
    <x v="2"/>
    <s v="octubre"/>
    <n v="7"/>
    <d v="2026-10-07T00:00:00"/>
    <m/>
    <m/>
    <n v="0"/>
    <n v="6086146"/>
    <n v="0"/>
  </r>
  <r>
    <s v="Retail"/>
    <s v="Q144 Popayan - Centro 2"/>
    <x v="2"/>
    <s v="octubre"/>
    <n v="7"/>
    <d v="2026-10-07T00:00:00"/>
    <n v="1002970518"/>
    <s v="FLOR PIZO LEIDY ALEJANDRA"/>
    <n v="17"/>
    <n v="0"/>
    <n v="923571"/>
  </r>
  <r>
    <s v="Retail"/>
    <s v="Q144 Popayan - Centro 2"/>
    <x v="2"/>
    <s v="octubre"/>
    <n v="7"/>
    <d v="2026-10-07T00:00:00"/>
    <n v="1059234731"/>
    <s v="MONTENEGRO COTACIO MARY LUZ"/>
    <n v="27"/>
    <n v="0"/>
    <n v="1599622"/>
  </r>
  <r>
    <s v="Retail"/>
    <s v="Q144 Popayan - Centro 2"/>
    <x v="2"/>
    <s v="octubre"/>
    <n v="7"/>
    <d v="2026-10-07T00:00:00"/>
    <n v="1061770250"/>
    <s v="CHILITO  BAIRON ANDRES"/>
    <n v="0"/>
    <n v="0"/>
    <n v="10461"/>
  </r>
  <r>
    <s v="Retail"/>
    <s v="Q144 Popayan - Centro 2"/>
    <x v="2"/>
    <s v="octubre"/>
    <n v="7"/>
    <d v="2026-10-07T00:00:00"/>
    <n v="1061773714"/>
    <s v="PALECHOR  YOLILYN ANDREA"/>
    <n v="42"/>
    <n v="0"/>
    <n v="2661892"/>
  </r>
  <r>
    <s v="Retail"/>
    <s v="Q144 Popayan - Centro 2"/>
    <x v="2"/>
    <s v="octubre"/>
    <n v="7"/>
    <d v="2026-10-07T00:00:00"/>
    <n v="1083906980"/>
    <s v="MOSQUERA GUAR  CARLOS ANDRÉS"/>
    <n v="-1"/>
    <n v="0"/>
    <n v="-25126"/>
  </r>
  <r>
    <s v="Franquicias Sell Out QUEST"/>
    <s v="FQ051 Villanueva - Casanare"/>
    <x v="3"/>
    <s v="septiembre"/>
    <n v="23"/>
    <d v="2026-09-23T00:00:00"/>
    <m/>
    <m/>
    <n v="0"/>
    <n v="2085196"/>
    <n v="0"/>
  </r>
  <r>
    <s v="Franquicias Sell Out QUEST"/>
    <s v="FQ051 Villanueva - Casanare"/>
    <x v="3"/>
    <s v="septiembre"/>
    <n v="23"/>
    <d v="2026-09-23T00:00:00"/>
    <n v="1006555973"/>
    <s v="AVILA  LILIANA"/>
    <n v="45"/>
    <n v="0"/>
    <n v="2080044"/>
  </r>
  <r>
    <s v="Franquicias Sell Out QUEST"/>
    <s v="FQ051 Villanueva - Casanare"/>
    <x v="3"/>
    <s v="septiembre"/>
    <n v="23"/>
    <d v="2026-09-23T00:00:00"/>
    <n v="1120372422"/>
    <s v="GARCIA  BETSY"/>
    <n v="26"/>
    <n v="0"/>
    <n v="1528364"/>
  </r>
  <r>
    <s v="Franquicias Sell Out QUEST"/>
    <s v="FQ051 Villanueva - Casanare"/>
    <x v="3"/>
    <s v="septiembre"/>
    <n v="24"/>
    <d v="2026-09-24T00:00:00"/>
    <m/>
    <m/>
    <n v="0"/>
    <n v="5392717"/>
    <n v="0"/>
  </r>
  <r>
    <s v="Franquicias Sell Out QUEST"/>
    <s v="FQ051 Villanueva - Casanare"/>
    <x v="3"/>
    <s v="septiembre"/>
    <n v="24"/>
    <d v="2026-09-24T00:00:00"/>
    <n v="1006555973"/>
    <s v="AVILA  LILIANA"/>
    <n v="90"/>
    <n v="0"/>
    <n v="4552950"/>
  </r>
  <r>
    <s v="Franquicias Sell Out QUEST"/>
    <s v="FQ051 Villanueva - Casanare"/>
    <x v="3"/>
    <s v="septiembre"/>
    <n v="24"/>
    <d v="2026-09-24T00:00:00"/>
    <n v="1120372422"/>
    <s v="GARCIA  BETSY"/>
    <n v="10"/>
    <n v="0"/>
    <n v="564706"/>
  </r>
  <r>
    <s v="Franquicias Sell Out QUEST"/>
    <s v="FQ051 Villanueva - Casanare"/>
    <x v="3"/>
    <s v="septiembre"/>
    <n v="25"/>
    <d v="2026-09-25T00:00:00"/>
    <m/>
    <m/>
    <n v="0"/>
    <n v="5759719"/>
    <n v="0"/>
  </r>
  <r>
    <s v="Franquicias Sell Out QUEST"/>
    <s v="FQ051 Villanueva - Casanare"/>
    <x v="3"/>
    <s v="septiembre"/>
    <n v="25"/>
    <d v="2026-09-25T00:00:00"/>
    <n v="1006555973"/>
    <s v="AVILA  LILIANA"/>
    <n v="41"/>
    <n v="0"/>
    <n v="2269290"/>
  </r>
  <r>
    <s v="Franquicias Sell Out QUEST"/>
    <s v="FQ051 Villanueva - Casanare"/>
    <x v="3"/>
    <s v="septiembre"/>
    <n v="25"/>
    <d v="2026-09-25T00:00:00"/>
    <n v="1120372422"/>
    <s v="GARCIA  BETSY"/>
    <n v="23"/>
    <n v="0"/>
    <n v="1230130"/>
  </r>
  <r>
    <s v="Franquicias Sell Out QUEST"/>
    <s v="FQ051 Villanueva - Casanare"/>
    <x v="3"/>
    <s v="septiembre"/>
    <n v="26"/>
    <d v="2026-09-26T00:00:00"/>
    <m/>
    <m/>
    <n v="0"/>
    <n v="7262862"/>
    <n v="0"/>
  </r>
  <r>
    <s v="Franquicias Sell Out QUEST"/>
    <s v="FQ051 Villanueva - Casanare"/>
    <x v="3"/>
    <s v="septiembre"/>
    <n v="26"/>
    <d v="2026-09-26T00:00:00"/>
    <n v="1006555973"/>
    <s v="AVILA  LILIANA"/>
    <n v="77"/>
    <n v="0"/>
    <n v="4345511"/>
  </r>
  <r>
    <s v="Franquicias Sell Out QUEST"/>
    <s v="FQ051 Villanueva - Casanare"/>
    <x v="3"/>
    <s v="septiembre"/>
    <n v="26"/>
    <d v="2026-09-26T00:00:00"/>
    <n v="1120372422"/>
    <s v="GARCIA  BETSY"/>
    <n v="43"/>
    <n v="0"/>
    <n v="2615803"/>
  </r>
  <r>
    <s v="Franquicias Sell Out QUEST"/>
    <s v="FQ051 Villanueva - Casanare"/>
    <x v="3"/>
    <s v="septiembre"/>
    <n v="27"/>
    <d v="2026-09-27T00:00:00"/>
    <m/>
    <m/>
    <n v="0"/>
    <n v="3834720"/>
    <n v="0"/>
  </r>
  <r>
    <s v="Franquicias Sell Out QUEST"/>
    <s v="FQ051 Villanueva - Casanare"/>
    <x v="3"/>
    <s v="septiembre"/>
    <n v="27"/>
    <d v="2026-09-27T00:00:00"/>
    <n v="1006555973"/>
    <s v="AVILA  LILIANA"/>
    <n v="38"/>
    <n v="0"/>
    <n v="1733236"/>
  </r>
  <r>
    <s v="Franquicias Sell Out QUEST"/>
    <s v="FQ051 Villanueva - Casanare"/>
    <x v="3"/>
    <s v="septiembre"/>
    <n v="27"/>
    <d v="2026-09-27T00:00:00"/>
    <n v="1120372422"/>
    <s v="GARCIA  BETSY"/>
    <n v="36"/>
    <n v="0"/>
    <n v="1867903"/>
  </r>
  <r>
    <s v="Franquicias Sell Out QUEST"/>
    <s v="FQ051 Villanueva - Casanare"/>
    <x v="3"/>
    <s v="septiembre"/>
    <n v="28"/>
    <d v="2026-09-28T00:00:00"/>
    <m/>
    <m/>
    <n v="0"/>
    <n v="3144053"/>
    <n v="0"/>
  </r>
  <r>
    <s v="Franquicias Sell Out QUEST"/>
    <s v="FQ051 Villanueva - Casanare"/>
    <x v="3"/>
    <s v="septiembre"/>
    <n v="28"/>
    <d v="2026-09-28T00:00:00"/>
    <n v="1006555973"/>
    <s v="AVILA  LILIANA"/>
    <n v="18"/>
    <n v="0"/>
    <n v="820505"/>
  </r>
  <r>
    <s v="Franquicias Sell Out QUEST"/>
    <s v="FQ051 Villanueva - Casanare"/>
    <x v="3"/>
    <s v="septiembre"/>
    <n v="28"/>
    <d v="2026-09-28T00:00:00"/>
    <n v="1120372422"/>
    <s v="GARCIA  BETSY"/>
    <n v="26"/>
    <n v="0"/>
    <n v="1297103"/>
  </r>
  <r>
    <s v="Franquicias Sell Out QUEST"/>
    <s v="FQ051 Villanueva - Casanare"/>
    <x v="3"/>
    <s v="septiembre"/>
    <n v="29"/>
    <d v="2026-09-29T00:00:00"/>
    <m/>
    <m/>
    <n v="0"/>
    <n v="3495256"/>
    <n v="0"/>
  </r>
  <r>
    <s v="Franquicias Sell Out QUEST"/>
    <s v="FQ051 Villanueva - Casanare"/>
    <x v="3"/>
    <s v="septiembre"/>
    <n v="29"/>
    <d v="2026-09-29T00:00:00"/>
    <n v="1006555973"/>
    <s v="AVILA  LILIANA"/>
    <n v="28"/>
    <n v="0"/>
    <n v="1303366"/>
  </r>
  <r>
    <s v="Franquicias Sell Out QUEST"/>
    <s v="FQ051 Villanueva - Casanare"/>
    <x v="3"/>
    <s v="septiembre"/>
    <n v="29"/>
    <d v="2026-09-29T00:00:00"/>
    <n v="1120372422"/>
    <s v="GARCIA  BETSY"/>
    <n v="22"/>
    <n v="0"/>
    <n v="1175465"/>
  </r>
  <r>
    <s v="Franquicias Sell Out QUEST"/>
    <s v="FQ051 Villanueva - Casanare"/>
    <x v="3"/>
    <s v="septiembre"/>
    <n v="30"/>
    <d v="2026-09-30T00:00:00"/>
    <m/>
    <m/>
    <n v="0"/>
    <n v="3701588"/>
    <n v="0"/>
  </r>
  <r>
    <s v="Franquicias Sell Out QUEST"/>
    <s v="FQ051 Villanueva - Casanare"/>
    <x v="3"/>
    <s v="septiembre"/>
    <n v="30"/>
    <d v="2026-09-30T00:00:00"/>
    <n v="1006555973"/>
    <s v="AVILA  LILIANA"/>
    <n v="48"/>
    <n v="0"/>
    <n v="2854922"/>
  </r>
  <r>
    <s v="Franquicias Sell Out QUEST"/>
    <s v="FQ051 Villanueva - Casanare"/>
    <x v="3"/>
    <s v="septiembre"/>
    <n v="30"/>
    <d v="2026-09-30T00:00:00"/>
    <n v="1120372422"/>
    <s v="GARCIA  BETSY"/>
    <n v="42"/>
    <n v="0"/>
    <n v="2018953"/>
  </r>
  <r>
    <s v="Franquicias Sell Out QUEST"/>
    <s v="FQ051 Villanueva - Casanare"/>
    <x v="3"/>
    <s v="octubre"/>
    <n v="1"/>
    <d v="2026-10-01T00:00:00"/>
    <m/>
    <m/>
    <n v="0"/>
    <n v="11539813"/>
    <n v="0"/>
  </r>
  <r>
    <s v="Franquicias Sell Out QUEST"/>
    <s v="FQ051 Villanueva - Casanare"/>
    <x v="3"/>
    <s v="octubre"/>
    <n v="1"/>
    <d v="2026-10-01T00:00:00"/>
    <n v="1006555973"/>
    <s v="AVILA  LILIANA"/>
    <n v="24"/>
    <n v="0"/>
    <n v="1099793"/>
  </r>
  <r>
    <s v="Franquicias Sell Out QUEST"/>
    <s v="FQ051 Villanueva - Casanare"/>
    <x v="3"/>
    <s v="octubre"/>
    <n v="1"/>
    <d v="2026-10-01T00:00:00"/>
    <n v="1120372422"/>
    <s v="GARCIA  BETSY"/>
    <n v="22"/>
    <n v="0"/>
    <n v="994707"/>
  </r>
  <r>
    <s v="Franquicias Sell Out QUEST"/>
    <s v="FQ051 Villanueva - Casanare"/>
    <x v="3"/>
    <s v="octubre"/>
    <n v="2"/>
    <d v="2026-10-02T00:00:00"/>
    <m/>
    <m/>
    <n v="0"/>
    <n v="6364298"/>
    <n v="0"/>
  </r>
  <r>
    <s v="Franquicias Sell Out QUEST"/>
    <s v="FQ051 Villanueva - Casanare"/>
    <x v="3"/>
    <s v="octubre"/>
    <n v="2"/>
    <d v="2026-10-02T00:00:00"/>
    <n v="1006555973"/>
    <s v="AVILA  LILIANA"/>
    <n v="65"/>
    <n v="0"/>
    <n v="3457099"/>
  </r>
  <r>
    <s v="Franquicias Sell Out QUEST"/>
    <s v="FQ051 Villanueva - Casanare"/>
    <x v="3"/>
    <s v="octubre"/>
    <n v="2"/>
    <d v="2026-10-02T00:00:00"/>
    <n v="1120372422"/>
    <s v="GARCIA  BETSY"/>
    <n v="36"/>
    <n v="0"/>
    <n v="1939584"/>
  </r>
  <r>
    <s v="Franquicias Sell Out QUEST"/>
    <s v="FQ051 Villanueva - Casanare"/>
    <x v="3"/>
    <s v="octubre"/>
    <n v="3"/>
    <d v="2026-10-03T00:00:00"/>
    <m/>
    <m/>
    <n v="0"/>
    <n v="8683804"/>
    <n v="0"/>
  </r>
  <r>
    <s v="Franquicias Sell Out QUEST"/>
    <s v="FQ051 Villanueva - Casanare"/>
    <x v="3"/>
    <s v="octubre"/>
    <n v="3"/>
    <d v="2026-10-03T00:00:00"/>
    <n v="1006555973"/>
    <s v="AVILA  LILIANA"/>
    <n v="82"/>
    <n v="0"/>
    <n v="4080121"/>
  </r>
  <r>
    <s v="Franquicias Sell Out QUEST"/>
    <s v="FQ051 Villanueva - Casanare"/>
    <x v="3"/>
    <s v="octubre"/>
    <n v="3"/>
    <d v="2026-10-03T00:00:00"/>
    <n v="1120372422"/>
    <s v="GARCIA  BETSY"/>
    <n v="47"/>
    <n v="0"/>
    <n v="2155861"/>
  </r>
  <r>
    <s v="Franquicias Sell Out QUEST"/>
    <s v="FQ051 Villanueva - Casanare"/>
    <x v="3"/>
    <s v="octubre"/>
    <n v="4"/>
    <d v="2026-10-04T00:00:00"/>
    <m/>
    <m/>
    <n v="0"/>
    <n v="4297310"/>
    <n v="0"/>
  </r>
  <r>
    <s v="Franquicias Sell Out QUEST"/>
    <s v="FQ051 Villanueva - Casanare"/>
    <x v="3"/>
    <s v="octubre"/>
    <n v="4"/>
    <d v="2026-10-04T00:00:00"/>
    <n v="1006555973"/>
    <s v="AVILA  LILIANA"/>
    <n v="40"/>
    <n v="0"/>
    <n v="2481347"/>
  </r>
  <r>
    <s v="Franquicias Sell Out QUEST"/>
    <s v="FQ051 Villanueva - Casanare"/>
    <x v="3"/>
    <s v="octubre"/>
    <n v="4"/>
    <d v="2026-10-04T00:00:00"/>
    <n v="1120372422"/>
    <s v="GARCIA  BETSY"/>
    <n v="-1"/>
    <n v="0"/>
    <n v="-105000"/>
  </r>
  <r>
    <s v="Franquicias Sell Out QUEST"/>
    <s v="FQ051 Villanueva - Casanare"/>
    <x v="3"/>
    <s v="octubre"/>
    <n v="5"/>
    <d v="2026-10-05T00:00:00"/>
    <m/>
    <m/>
    <n v="0"/>
    <n v="3471356"/>
    <n v="0"/>
  </r>
  <r>
    <s v="Franquicias Sell Out QUEST"/>
    <s v="FQ051 Villanueva - Casanare"/>
    <x v="3"/>
    <s v="octubre"/>
    <n v="5"/>
    <d v="2026-10-05T00:00:00"/>
    <n v="1006555973"/>
    <s v="AVILA  LILIANA"/>
    <n v="39"/>
    <n v="0"/>
    <n v="1875924"/>
  </r>
  <r>
    <s v="Franquicias Sell Out QUEST"/>
    <s v="FQ051 Villanueva - Casanare"/>
    <x v="3"/>
    <s v="octubre"/>
    <n v="5"/>
    <d v="2026-10-05T00:00:00"/>
    <n v="1120372422"/>
    <s v="GARCIA  BETSY"/>
    <n v="-1"/>
    <n v="0"/>
    <n v="-58781"/>
  </r>
  <r>
    <s v="Franquicias Sell Out QUEST"/>
    <s v="FQ051 Villanueva - Casanare"/>
    <x v="3"/>
    <s v="octubre"/>
    <n v="6"/>
    <d v="2026-10-06T00:00:00"/>
    <m/>
    <m/>
    <n v="0"/>
    <n v="1958010"/>
    <n v="0"/>
  </r>
  <r>
    <s v="Franquicias Sell Out QUEST"/>
    <s v="FQ051 Villanueva - Casanare"/>
    <x v="3"/>
    <s v="octubre"/>
    <n v="6"/>
    <d v="2026-10-06T00:00:00"/>
    <n v="1120372422"/>
    <s v="GARCIA  BETSY"/>
    <n v="29"/>
    <n v="0"/>
    <n v="1622157"/>
  </r>
  <r>
    <s v="Franquicias Sell Out QUEST"/>
    <s v="FQ051 Villanueva - Casanare"/>
    <x v="3"/>
    <s v="octubre"/>
    <n v="7"/>
    <d v="2026-10-07T00:00:00"/>
    <m/>
    <m/>
    <n v="0"/>
    <n v="747710"/>
    <n v="0"/>
  </r>
  <r>
    <s v="Franquicias Sell Out QUEST"/>
    <s v="FQ051 Villanueva - Casanare"/>
    <x v="3"/>
    <s v="octubre"/>
    <n v="7"/>
    <d v="2026-10-07T00:00:00"/>
    <n v="1006555973"/>
    <s v="AVILA  LILIANA"/>
    <n v="26"/>
    <n v="0"/>
    <n v="1486178"/>
  </r>
  <r>
    <s v="Franquicias Sell Out QUEST"/>
    <s v="FQ051 Villanueva - Casanare"/>
    <x v="3"/>
    <s v="octubre"/>
    <n v="7"/>
    <d v="2026-10-07T00:00:00"/>
    <n v="1120372422"/>
    <s v="GARCIA  BETSY"/>
    <n v="7"/>
    <n v="0"/>
    <n v="382061"/>
  </r>
  <r>
    <s v="Franquicias Sell Out QUEST"/>
    <s v="FQ068-La Dorada - Caldas"/>
    <x v="3"/>
    <s v="septiembre"/>
    <n v="23"/>
    <d v="2026-09-23T00:00:00"/>
    <m/>
    <m/>
    <n v="0"/>
    <n v="2973061"/>
    <n v="0"/>
  </r>
  <r>
    <s v="Franquicias Sell Out QUEST"/>
    <s v="FQ068-La Dorada - Caldas"/>
    <x v="3"/>
    <s v="septiembre"/>
    <n v="23"/>
    <d v="2026-09-23T00:00:00"/>
    <n v="1007365607"/>
    <s v="VELÁSQUEZ  VALENTINA"/>
    <n v="77"/>
    <n v="0"/>
    <n v="4353868"/>
  </r>
  <r>
    <s v="Franquicias Sell Out QUEST"/>
    <s v="FQ068-La Dorada - Caldas"/>
    <x v="3"/>
    <s v="septiembre"/>
    <n v="23"/>
    <d v="2026-09-23T00:00:00"/>
    <n v="1040490296"/>
    <s v="GONZÁLEZ  ELIANA"/>
    <n v="44"/>
    <n v="0"/>
    <n v="2225042"/>
  </r>
  <r>
    <s v="Franquicias Sell Out QUEST"/>
    <s v="FQ068-La Dorada - Caldas"/>
    <x v="3"/>
    <s v="septiembre"/>
    <n v="23"/>
    <d v="2026-09-23T00:00:00"/>
    <n v="1073320412"/>
    <s v="USECHE  SOFIA"/>
    <n v="34"/>
    <n v="0"/>
    <n v="2061599"/>
  </r>
  <r>
    <s v="Franquicias Sell Out QUEST"/>
    <s v="FQ068-La Dorada - Caldas"/>
    <x v="3"/>
    <s v="septiembre"/>
    <n v="24"/>
    <d v="2026-09-24T00:00:00"/>
    <m/>
    <m/>
    <n v="0"/>
    <n v="7688914"/>
    <n v="0"/>
  </r>
  <r>
    <s v="Franquicias Sell Out QUEST"/>
    <s v="FQ068-La Dorada - Caldas"/>
    <x v="3"/>
    <s v="septiembre"/>
    <n v="24"/>
    <d v="2026-09-24T00:00:00"/>
    <n v="1007365607"/>
    <s v="VELÁSQUEZ  VALENTINA"/>
    <n v="4"/>
    <n v="0"/>
    <n v="222522"/>
  </r>
  <r>
    <s v="Franquicias Sell Out QUEST"/>
    <s v="FQ068-La Dorada - Caldas"/>
    <x v="3"/>
    <s v="septiembre"/>
    <n v="24"/>
    <d v="2026-09-24T00:00:00"/>
    <n v="1040490296"/>
    <s v="GONZÁLEZ  ELIANA"/>
    <n v="13"/>
    <n v="0"/>
    <n v="659119"/>
  </r>
  <r>
    <s v="Franquicias Sell Out QUEST"/>
    <s v="FQ068-La Dorada - Caldas"/>
    <x v="3"/>
    <s v="septiembre"/>
    <n v="24"/>
    <d v="2026-09-24T00:00:00"/>
    <n v="1073320412"/>
    <s v="USECHE  SOFIA"/>
    <n v="29"/>
    <n v="0"/>
    <n v="1557607"/>
  </r>
  <r>
    <s v="Franquicias Sell Out QUEST"/>
    <s v="FQ068-La Dorada - Caldas"/>
    <x v="3"/>
    <s v="septiembre"/>
    <n v="25"/>
    <d v="2026-09-25T00:00:00"/>
    <m/>
    <m/>
    <n v="0"/>
    <n v="8212178"/>
    <n v="0"/>
  </r>
  <r>
    <s v="Franquicias Sell Out QUEST"/>
    <s v="FQ068-La Dorada - Caldas"/>
    <x v="3"/>
    <s v="septiembre"/>
    <n v="25"/>
    <d v="2026-09-25T00:00:00"/>
    <n v="1007365607"/>
    <s v="VELÁSQUEZ  VALENTINA"/>
    <n v="51"/>
    <n v="0"/>
    <n v="2863407"/>
  </r>
  <r>
    <s v="Franquicias Sell Out QUEST"/>
    <s v="FQ068-La Dorada - Caldas"/>
    <x v="3"/>
    <s v="septiembre"/>
    <n v="25"/>
    <d v="2026-09-25T00:00:00"/>
    <n v="1040490296"/>
    <s v="GONZÁLEZ  ELIANA"/>
    <n v="29"/>
    <n v="0"/>
    <n v="1612227"/>
  </r>
  <r>
    <s v="Franquicias Sell Out QUEST"/>
    <s v="FQ068-La Dorada - Caldas"/>
    <x v="3"/>
    <s v="septiembre"/>
    <n v="25"/>
    <d v="2026-09-25T00:00:00"/>
    <n v="1073320412"/>
    <s v="USECHE  SOFIA"/>
    <n v="20"/>
    <n v="0"/>
    <n v="1091598"/>
  </r>
  <r>
    <s v="Franquicias Sell Out QUEST"/>
    <s v="FQ068-La Dorada - Caldas"/>
    <x v="3"/>
    <s v="septiembre"/>
    <n v="26"/>
    <d v="2026-09-26T00:00:00"/>
    <m/>
    <m/>
    <n v="0"/>
    <n v="10355352"/>
    <n v="0"/>
  </r>
  <r>
    <s v="Franquicias Sell Out QUEST"/>
    <s v="FQ068-La Dorada - Caldas"/>
    <x v="3"/>
    <s v="septiembre"/>
    <n v="26"/>
    <d v="2026-09-26T00:00:00"/>
    <n v="1007365607"/>
    <s v="VELÁSQUEZ  VALENTINA"/>
    <n v="45"/>
    <n v="0"/>
    <n v="2256346"/>
  </r>
  <r>
    <s v="Franquicias Sell Out QUEST"/>
    <s v="FQ068-La Dorada - Caldas"/>
    <x v="3"/>
    <s v="septiembre"/>
    <n v="26"/>
    <d v="2026-09-26T00:00:00"/>
    <n v="1040490296"/>
    <s v="GONZÁLEZ  ELIANA"/>
    <n v="44"/>
    <n v="0"/>
    <n v="2426639"/>
  </r>
  <r>
    <s v="Franquicias Sell Out QUEST"/>
    <s v="FQ068-La Dorada - Caldas"/>
    <x v="3"/>
    <s v="septiembre"/>
    <n v="26"/>
    <d v="2026-09-26T00:00:00"/>
    <n v="1073320412"/>
    <s v="USECHE  SOFIA"/>
    <n v="54"/>
    <n v="0"/>
    <n v="3136266"/>
  </r>
  <r>
    <s v="Franquicias Sell Out QUEST"/>
    <s v="FQ068-La Dorada - Caldas"/>
    <x v="3"/>
    <s v="septiembre"/>
    <n v="27"/>
    <d v="2026-09-27T00:00:00"/>
    <m/>
    <m/>
    <n v="0"/>
    <n v="5467523"/>
    <n v="0"/>
  </r>
  <r>
    <s v="Franquicias Sell Out QUEST"/>
    <s v="FQ068-La Dorada - Caldas"/>
    <x v="3"/>
    <s v="septiembre"/>
    <n v="27"/>
    <d v="2026-09-27T00:00:00"/>
    <n v="1007365607"/>
    <s v="VELÁSQUEZ  VALENTINA"/>
    <n v="15"/>
    <n v="0"/>
    <n v="707354"/>
  </r>
  <r>
    <s v="Franquicias Sell Out QUEST"/>
    <s v="FQ068-La Dorada - Caldas"/>
    <x v="3"/>
    <s v="septiembre"/>
    <n v="27"/>
    <d v="2026-09-27T00:00:00"/>
    <n v="1040490296"/>
    <s v="GONZÁLEZ  ELIANA"/>
    <n v="11"/>
    <n v="0"/>
    <n v="560505"/>
  </r>
  <r>
    <s v="Franquicias Sell Out QUEST"/>
    <s v="FQ068-La Dorada - Caldas"/>
    <x v="3"/>
    <s v="septiembre"/>
    <n v="27"/>
    <d v="2026-09-27T00:00:00"/>
    <n v="1073320412"/>
    <s v="USECHE  SOFIA"/>
    <n v="14"/>
    <n v="0"/>
    <n v="810338"/>
  </r>
  <r>
    <s v="Franquicias Sell Out QUEST"/>
    <s v="FQ068-La Dorada - Caldas"/>
    <x v="3"/>
    <s v="septiembre"/>
    <n v="28"/>
    <d v="2026-09-28T00:00:00"/>
    <m/>
    <m/>
    <n v="0"/>
    <n v="4482776"/>
    <n v="0"/>
  </r>
  <r>
    <s v="Franquicias Sell Out QUEST"/>
    <s v="FQ068-La Dorada - Caldas"/>
    <x v="3"/>
    <s v="septiembre"/>
    <n v="28"/>
    <d v="2026-09-28T00:00:00"/>
    <n v="1007365607"/>
    <s v="VELÁSQUEZ  VALENTINA"/>
    <n v="29"/>
    <n v="0"/>
    <n v="1633239"/>
  </r>
  <r>
    <s v="Franquicias Sell Out QUEST"/>
    <s v="FQ068-La Dorada - Caldas"/>
    <x v="3"/>
    <s v="septiembre"/>
    <n v="28"/>
    <d v="2026-09-28T00:00:00"/>
    <n v="1040490296"/>
    <s v="GONZÁLEZ  ELIANA"/>
    <n v="16"/>
    <n v="0"/>
    <n v="824917"/>
  </r>
  <r>
    <s v="Franquicias Sell Out QUEST"/>
    <s v="FQ068-La Dorada - Caldas"/>
    <x v="3"/>
    <s v="septiembre"/>
    <n v="28"/>
    <d v="2026-09-28T00:00:00"/>
    <n v="1073320412"/>
    <s v="USECHE  SOFIA"/>
    <n v="22"/>
    <n v="0"/>
    <n v="1041012"/>
  </r>
  <r>
    <s v="Franquicias Sell Out QUEST"/>
    <s v="FQ068-La Dorada - Caldas"/>
    <x v="3"/>
    <s v="septiembre"/>
    <n v="29"/>
    <d v="2026-09-29T00:00:00"/>
    <m/>
    <m/>
    <n v="0"/>
    <n v="4983523"/>
    <n v="0"/>
  </r>
  <r>
    <s v="Franquicias Sell Out QUEST"/>
    <s v="FQ068-La Dorada - Caldas"/>
    <x v="3"/>
    <s v="septiembre"/>
    <n v="29"/>
    <d v="2026-09-29T00:00:00"/>
    <n v="1007365607"/>
    <s v="VELÁSQUEZ  VALENTINA"/>
    <n v="18"/>
    <n v="0"/>
    <n v="940379"/>
  </r>
  <r>
    <s v="Franquicias Sell Out QUEST"/>
    <s v="FQ068-La Dorada - Caldas"/>
    <x v="3"/>
    <s v="septiembre"/>
    <n v="29"/>
    <d v="2026-09-29T00:00:00"/>
    <n v="1040490296"/>
    <s v="GONZÁLEZ  ELIANA"/>
    <n v="5"/>
    <n v="0"/>
    <n v="237186"/>
  </r>
  <r>
    <s v="Franquicias Sell Out QUEST"/>
    <s v="FQ068-La Dorada - Caldas"/>
    <x v="3"/>
    <s v="septiembre"/>
    <n v="29"/>
    <d v="2026-09-29T00:00:00"/>
    <n v="1073320412"/>
    <s v="USECHE  SOFIA"/>
    <n v="16"/>
    <n v="0"/>
    <n v="768068"/>
  </r>
  <r>
    <s v="Franquicias Sell Out QUEST"/>
    <s v="FQ068-La Dorada - Caldas"/>
    <x v="3"/>
    <s v="septiembre"/>
    <n v="30"/>
    <d v="2026-09-30T00:00:00"/>
    <m/>
    <m/>
    <n v="0"/>
    <n v="5277708"/>
    <n v="0"/>
  </r>
  <r>
    <s v="Franquicias Sell Out QUEST"/>
    <s v="FQ068-La Dorada - Caldas"/>
    <x v="3"/>
    <s v="septiembre"/>
    <n v="30"/>
    <d v="2026-09-30T00:00:00"/>
    <n v="1007365607"/>
    <s v="VELÁSQUEZ  VALENTINA"/>
    <n v="27"/>
    <n v="0"/>
    <n v="1574371"/>
  </r>
  <r>
    <s v="Franquicias Sell Out QUEST"/>
    <s v="FQ068-La Dorada - Caldas"/>
    <x v="3"/>
    <s v="septiembre"/>
    <n v="30"/>
    <d v="2026-09-30T00:00:00"/>
    <n v="1040490296"/>
    <s v="GONZÁLEZ  ELIANA"/>
    <n v="0"/>
    <n v="0"/>
    <n v="0"/>
  </r>
  <r>
    <s v="Franquicias Sell Out QUEST"/>
    <s v="FQ068-La Dorada - Caldas"/>
    <x v="3"/>
    <s v="septiembre"/>
    <n v="30"/>
    <d v="2026-09-30T00:00:00"/>
    <n v="1073320412"/>
    <s v="USECHE  SOFIA"/>
    <n v="26"/>
    <n v="0"/>
    <n v="1288782"/>
  </r>
  <r>
    <s v="Franquicias Sell Out QUEST"/>
    <s v="FQ068-La Dorada - Caldas"/>
    <x v="3"/>
    <s v="octubre"/>
    <n v="1"/>
    <d v="2026-10-01T00:00:00"/>
    <m/>
    <m/>
    <n v="0"/>
    <n v="4611478"/>
    <n v="0"/>
  </r>
  <r>
    <s v="Franquicias Sell Out QUEST"/>
    <s v="FQ068-La Dorada - Caldas"/>
    <x v="3"/>
    <s v="octubre"/>
    <n v="1"/>
    <d v="2026-10-01T00:00:00"/>
    <n v="1007365607"/>
    <s v="VELÁSQUEZ  VALENTINA"/>
    <n v="35"/>
    <n v="0"/>
    <n v="1954331"/>
  </r>
  <r>
    <s v="Franquicias Sell Out QUEST"/>
    <s v="FQ068-La Dorada - Caldas"/>
    <x v="3"/>
    <s v="octubre"/>
    <n v="1"/>
    <d v="2026-10-01T00:00:00"/>
    <n v="1073320412"/>
    <s v="USECHE  SOFIA"/>
    <n v="32"/>
    <n v="0"/>
    <n v="1746475"/>
  </r>
  <r>
    <s v="Franquicias Sell Out QUEST"/>
    <s v="FQ068-La Dorada - Caldas"/>
    <x v="3"/>
    <s v="octubre"/>
    <n v="2"/>
    <d v="2026-10-02T00:00:00"/>
    <m/>
    <m/>
    <n v="0"/>
    <n v="7349468"/>
    <n v="0"/>
  </r>
  <r>
    <s v="Franquicias Sell Out QUEST"/>
    <s v="FQ068-La Dorada - Caldas"/>
    <x v="3"/>
    <s v="octubre"/>
    <n v="2"/>
    <d v="2026-10-02T00:00:00"/>
    <n v="1007365607"/>
    <s v="VELÁSQUEZ  VALENTINA"/>
    <n v="36"/>
    <n v="0"/>
    <n v="2000547"/>
  </r>
  <r>
    <s v="Franquicias Sell Out QUEST"/>
    <s v="FQ068-La Dorada - Caldas"/>
    <x v="3"/>
    <s v="octubre"/>
    <n v="2"/>
    <d v="2026-10-02T00:00:00"/>
    <n v="1073320412"/>
    <s v="USECHE  SOFIA"/>
    <n v="36"/>
    <n v="0"/>
    <n v="1891305"/>
  </r>
  <r>
    <s v="Franquicias Sell Out QUEST"/>
    <s v="FQ068-La Dorada - Caldas"/>
    <x v="3"/>
    <s v="octubre"/>
    <n v="3"/>
    <d v="2026-10-03T00:00:00"/>
    <m/>
    <m/>
    <n v="0"/>
    <n v="9966389"/>
    <n v="0"/>
  </r>
  <r>
    <s v="Franquicias Sell Out QUEST"/>
    <s v="FQ068-La Dorada - Caldas"/>
    <x v="3"/>
    <s v="octubre"/>
    <n v="3"/>
    <d v="2026-10-03T00:00:00"/>
    <n v="1007365607"/>
    <s v="VELÁSQUEZ  VALENTINA"/>
    <n v="63"/>
    <n v="0"/>
    <n v="3212381"/>
  </r>
  <r>
    <s v="Franquicias Sell Out QUEST"/>
    <s v="FQ068-La Dorada - Caldas"/>
    <x v="3"/>
    <s v="octubre"/>
    <n v="3"/>
    <d v="2026-10-03T00:00:00"/>
    <n v="1073320412"/>
    <s v="USECHE  SOFIA"/>
    <n v="45"/>
    <n v="0"/>
    <n v="2295229"/>
  </r>
  <r>
    <s v="Franquicias Sell Out QUEST"/>
    <s v="FQ068-La Dorada - Caldas"/>
    <x v="3"/>
    <s v="octubre"/>
    <n v="4"/>
    <d v="2026-10-04T00:00:00"/>
    <m/>
    <m/>
    <n v="0"/>
    <n v="5165638"/>
    <n v="0"/>
  </r>
  <r>
    <s v="Franquicias Sell Out QUEST"/>
    <s v="FQ068-La Dorada - Caldas"/>
    <x v="3"/>
    <s v="octubre"/>
    <n v="4"/>
    <d v="2026-10-04T00:00:00"/>
    <n v="1007365607"/>
    <s v="VELÁSQUEZ  VALENTINA"/>
    <n v="33"/>
    <n v="0"/>
    <n v="1872523"/>
  </r>
  <r>
    <s v="Franquicias Sell Out QUEST"/>
    <s v="FQ068-La Dorada - Caldas"/>
    <x v="3"/>
    <s v="octubre"/>
    <n v="4"/>
    <d v="2026-10-04T00:00:00"/>
    <n v="1040490296"/>
    <s v="GONZÁLEZ  ELIANA"/>
    <n v="23"/>
    <n v="0"/>
    <n v="1186011"/>
  </r>
  <r>
    <s v="Franquicias Sell Out QUEST"/>
    <s v="FQ068-La Dorada - Caldas"/>
    <x v="3"/>
    <s v="octubre"/>
    <n v="4"/>
    <d v="2026-10-04T00:00:00"/>
    <n v="1073320412"/>
    <s v="USECHE  SOFIA"/>
    <n v="0"/>
    <n v="0"/>
    <n v="44529"/>
  </r>
  <r>
    <s v="Franquicias Sell Out QUEST"/>
    <s v="FQ068-La Dorada - Caldas"/>
    <x v="3"/>
    <s v="octubre"/>
    <n v="5"/>
    <d v="2026-10-05T00:00:00"/>
    <m/>
    <m/>
    <n v="0"/>
    <n v="5389968"/>
    <n v="0"/>
  </r>
  <r>
    <s v="Franquicias Sell Out QUEST"/>
    <s v="FQ068-La Dorada - Caldas"/>
    <x v="3"/>
    <s v="octubre"/>
    <n v="5"/>
    <d v="2026-10-05T00:00:00"/>
    <n v="1007365607"/>
    <s v="VELÁSQUEZ  VALENTINA"/>
    <n v="32"/>
    <n v="0"/>
    <n v="1645590"/>
  </r>
  <r>
    <s v="Franquicias Sell Out QUEST"/>
    <s v="FQ068-La Dorada - Caldas"/>
    <x v="3"/>
    <s v="octubre"/>
    <n v="5"/>
    <d v="2026-10-05T00:00:00"/>
    <n v="1040490296"/>
    <s v="GONZÁLEZ  ELIANA"/>
    <n v="17"/>
    <n v="0"/>
    <n v="932018"/>
  </r>
  <r>
    <s v="Franquicias Sell Out QUEST"/>
    <s v="FQ068-La Dorada - Caldas"/>
    <x v="3"/>
    <s v="octubre"/>
    <n v="5"/>
    <d v="2026-10-05T00:00:00"/>
    <n v="1073320412"/>
    <s v="USECHE  SOFIA"/>
    <n v="16"/>
    <n v="0"/>
    <n v="709412"/>
  </r>
  <r>
    <s v="Franquicias Sell Out QUEST"/>
    <s v="FQ068-La Dorada - Caldas"/>
    <x v="3"/>
    <s v="octubre"/>
    <n v="6"/>
    <d v="2026-10-06T00:00:00"/>
    <m/>
    <m/>
    <n v="0"/>
    <n v="2018660"/>
    <n v="0"/>
  </r>
  <r>
    <s v="Franquicias Sell Out QUEST"/>
    <s v="FQ068-La Dorada - Caldas"/>
    <x v="3"/>
    <s v="octubre"/>
    <n v="6"/>
    <d v="2026-10-06T00:00:00"/>
    <n v="1007365607"/>
    <s v="VELÁSQUEZ  VALENTINA"/>
    <n v="17"/>
    <n v="0"/>
    <n v="925758"/>
  </r>
  <r>
    <s v="Franquicias Sell Out QUEST"/>
    <s v="FQ068-La Dorada - Caldas"/>
    <x v="3"/>
    <s v="octubre"/>
    <n v="6"/>
    <d v="2026-10-06T00:00:00"/>
    <n v="1040490296"/>
    <s v="GONZÁLEZ  ELIANA"/>
    <n v="7"/>
    <n v="0"/>
    <n v="272817"/>
  </r>
  <r>
    <s v="Franquicias Sell Out QUEST"/>
    <s v="FQ068-La Dorada - Caldas"/>
    <x v="3"/>
    <s v="octubre"/>
    <n v="6"/>
    <d v="2026-10-06T00:00:00"/>
    <n v="1073320412"/>
    <s v="USECHE  SOFIA"/>
    <n v="13"/>
    <n v="0"/>
    <n v="852353"/>
  </r>
  <r>
    <s v="Franquicias Sell Out QUEST"/>
    <s v="FQ068-La Dorada - Caldas"/>
    <x v="3"/>
    <s v="octubre"/>
    <n v="7"/>
    <d v="2026-10-07T00:00:00"/>
    <m/>
    <m/>
    <n v="0"/>
    <n v="1794980"/>
    <n v="0"/>
  </r>
  <r>
    <s v="Franquicias Sell Out QUEST"/>
    <s v="FQ068-La Dorada - Caldas"/>
    <x v="3"/>
    <s v="octubre"/>
    <n v="7"/>
    <d v="2026-10-07T00:00:00"/>
    <n v="1007365607"/>
    <s v="VELÁSQUEZ  VALENTINA"/>
    <n v="47"/>
    <n v="0"/>
    <n v="2128236"/>
  </r>
  <r>
    <s v="Franquicias Sell Out QUEST"/>
    <s v="FQ068-La Dorada - Caldas"/>
    <x v="3"/>
    <s v="octubre"/>
    <n v="7"/>
    <d v="2026-10-07T00:00:00"/>
    <n v="1073320412"/>
    <s v="USECHE  SOFIA"/>
    <n v="14"/>
    <n v="0"/>
    <n v="980505"/>
  </r>
  <r>
    <s v="Franquicias Sell Out QUEST"/>
    <s v="FQ071-Paz de Ariporo -Casanare"/>
    <x v="3"/>
    <s v="septiembre"/>
    <n v="23"/>
    <d v="2026-09-23T00:00:00"/>
    <m/>
    <m/>
    <n v="0"/>
    <n v="3086696"/>
    <n v="0"/>
  </r>
  <r>
    <s v="Franquicias Sell Out QUEST"/>
    <s v="FQ071-Paz de Ariporo -Casanare"/>
    <x v="3"/>
    <s v="septiembre"/>
    <n v="23"/>
    <d v="2026-09-23T00:00:00"/>
    <n v="1408011"/>
    <s v="BRAVO ZAPATA BERMARY DESSIREE"/>
    <n v="13"/>
    <n v="0"/>
    <n v="894412"/>
  </r>
  <r>
    <s v="Franquicias Sell Out QUEST"/>
    <s v="FQ071-Paz de Ariporo -Casanare"/>
    <x v="3"/>
    <s v="septiembre"/>
    <n v="23"/>
    <d v="2026-09-23T00:00:00"/>
    <n v="1006554373"/>
    <s v="FIGUEROA  LAURA"/>
    <n v="34"/>
    <n v="0"/>
    <n v="1885128"/>
  </r>
  <r>
    <s v="Franquicias Sell Out QUEST"/>
    <s v="FQ071-Paz de Ariporo -Casanare"/>
    <x v="3"/>
    <s v="septiembre"/>
    <n v="23"/>
    <d v="2026-09-23T00:00:00"/>
    <n v="1193119149"/>
    <s v="RODRIGUEZ ARANA ANGIE CAMILA"/>
    <n v="38"/>
    <n v="0"/>
    <n v="2032021"/>
  </r>
  <r>
    <s v="Franquicias Sell Out QUEST"/>
    <s v="FQ071-Paz de Ariporo -Casanare"/>
    <x v="3"/>
    <s v="septiembre"/>
    <n v="24"/>
    <d v="2026-09-24T00:00:00"/>
    <m/>
    <m/>
    <n v="0"/>
    <n v="7982790"/>
    <n v="0"/>
  </r>
  <r>
    <s v="Franquicias Sell Out QUEST"/>
    <s v="FQ071-Paz de Ariporo -Casanare"/>
    <x v="3"/>
    <s v="septiembre"/>
    <n v="24"/>
    <d v="2026-09-24T00:00:00"/>
    <n v="1408011"/>
    <s v="BRAVO ZAPATA BERMARY DESSIREE"/>
    <n v="9"/>
    <n v="0"/>
    <n v="592059"/>
  </r>
  <r>
    <s v="Franquicias Sell Out QUEST"/>
    <s v="FQ071-Paz de Ariporo -Casanare"/>
    <x v="3"/>
    <s v="septiembre"/>
    <n v="24"/>
    <d v="2026-09-24T00:00:00"/>
    <n v="1006554373"/>
    <s v="FIGUEROA  LAURA"/>
    <n v="45"/>
    <n v="0"/>
    <n v="2670380"/>
  </r>
  <r>
    <s v="Franquicias Sell Out QUEST"/>
    <s v="FQ071-Paz de Ariporo -Casanare"/>
    <x v="3"/>
    <s v="septiembre"/>
    <n v="24"/>
    <d v="2026-09-24T00:00:00"/>
    <n v="1193119149"/>
    <s v="RODRIGUEZ ARANA ANGIE CAMILA"/>
    <n v="69"/>
    <n v="0"/>
    <n v="4007606"/>
  </r>
  <r>
    <s v="Franquicias Sell Out QUEST"/>
    <s v="FQ071-Paz de Ariporo -Casanare"/>
    <x v="3"/>
    <s v="septiembre"/>
    <n v="25"/>
    <d v="2026-09-25T00:00:00"/>
    <m/>
    <m/>
    <n v="0"/>
    <n v="8526053"/>
    <n v="0"/>
  </r>
  <r>
    <s v="Franquicias Sell Out QUEST"/>
    <s v="FQ071-Paz de Ariporo -Casanare"/>
    <x v="3"/>
    <s v="septiembre"/>
    <n v="25"/>
    <d v="2026-09-25T00:00:00"/>
    <n v="1408011"/>
    <s v="BRAVO ZAPATA BERMARY DESSIREE"/>
    <n v="17"/>
    <n v="0"/>
    <n v="881640"/>
  </r>
  <r>
    <s v="Franquicias Sell Out QUEST"/>
    <s v="FQ071-Paz de Ariporo -Casanare"/>
    <x v="3"/>
    <s v="septiembre"/>
    <n v="25"/>
    <d v="2026-09-25T00:00:00"/>
    <n v="1006554373"/>
    <s v="FIGUEROA  LAURA"/>
    <n v="60"/>
    <n v="0"/>
    <n v="3247481"/>
  </r>
  <r>
    <s v="Franquicias Sell Out QUEST"/>
    <s v="FQ071-Paz de Ariporo -Casanare"/>
    <x v="3"/>
    <s v="septiembre"/>
    <n v="25"/>
    <d v="2026-09-25T00:00:00"/>
    <n v="1193119149"/>
    <s v="RODRIGUEZ ARANA ANGIE CAMILA"/>
    <n v="42"/>
    <n v="0"/>
    <n v="2296600"/>
  </r>
  <r>
    <s v="Franquicias Sell Out QUEST"/>
    <s v="FQ071-Paz de Ariporo -Casanare"/>
    <x v="3"/>
    <s v="septiembre"/>
    <n v="26"/>
    <d v="2026-09-26T00:00:00"/>
    <m/>
    <m/>
    <n v="0"/>
    <n v="10751140"/>
    <n v="0"/>
  </r>
  <r>
    <s v="Franquicias Sell Out QUEST"/>
    <s v="FQ071-Paz de Ariporo -Casanare"/>
    <x v="3"/>
    <s v="septiembre"/>
    <n v="26"/>
    <d v="2026-09-26T00:00:00"/>
    <n v="1408011"/>
    <s v="BRAVO ZAPATA BERMARY DESSIREE"/>
    <n v="24"/>
    <n v="0"/>
    <n v="1219496"/>
  </r>
  <r>
    <s v="Franquicias Sell Out QUEST"/>
    <s v="FQ071-Paz de Ariporo -Casanare"/>
    <x v="3"/>
    <s v="septiembre"/>
    <n v="26"/>
    <d v="2026-09-26T00:00:00"/>
    <n v="1006554373"/>
    <s v="FIGUEROA  LAURA"/>
    <n v="68"/>
    <n v="0"/>
    <n v="3435759"/>
  </r>
  <r>
    <s v="Franquicias Sell Out QUEST"/>
    <s v="FQ071-Paz de Ariporo -Casanare"/>
    <x v="3"/>
    <s v="septiembre"/>
    <n v="26"/>
    <d v="2026-09-26T00:00:00"/>
    <n v="1193119149"/>
    <s v="RODRIGUEZ ARANA ANGIE CAMILA"/>
    <n v="62"/>
    <n v="0"/>
    <n v="3156643"/>
  </r>
  <r>
    <s v="Franquicias Sell Out QUEST"/>
    <s v="FQ071-Paz de Ariporo -Casanare"/>
    <x v="3"/>
    <s v="septiembre"/>
    <n v="27"/>
    <d v="2026-09-27T00:00:00"/>
    <m/>
    <m/>
    <n v="0"/>
    <n v="5676499"/>
    <n v="0"/>
  </r>
  <r>
    <s v="Franquicias Sell Out QUEST"/>
    <s v="FQ071-Paz de Ariporo -Casanare"/>
    <x v="3"/>
    <s v="septiembre"/>
    <n v="27"/>
    <d v="2026-09-27T00:00:00"/>
    <n v="1408011"/>
    <s v="BRAVO ZAPATA BERMARY DESSIREE"/>
    <n v="2"/>
    <n v="0"/>
    <n v="92353"/>
  </r>
  <r>
    <s v="Franquicias Sell Out QUEST"/>
    <s v="FQ071-Paz de Ariporo -Casanare"/>
    <x v="3"/>
    <s v="septiembre"/>
    <n v="27"/>
    <d v="2026-09-27T00:00:00"/>
    <n v="1006554373"/>
    <s v="FIGUEROA  LAURA"/>
    <n v="68"/>
    <n v="0"/>
    <n v="3254833"/>
  </r>
  <r>
    <s v="Franquicias Sell Out QUEST"/>
    <s v="FQ071-Paz de Ariporo -Casanare"/>
    <x v="3"/>
    <s v="septiembre"/>
    <n v="27"/>
    <d v="2026-09-27T00:00:00"/>
    <n v="1193119149"/>
    <s v="RODRIGUEZ ARANA ANGIE CAMILA"/>
    <n v="65"/>
    <n v="0"/>
    <n v="3305927"/>
  </r>
  <r>
    <s v="Franquicias Sell Out QUEST"/>
    <s v="FQ071-Paz de Ariporo -Casanare"/>
    <x v="3"/>
    <s v="septiembre"/>
    <n v="28"/>
    <d v="2026-09-28T00:00:00"/>
    <m/>
    <m/>
    <n v="0"/>
    <n v="4654113"/>
    <n v="0"/>
  </r>
  <r>
    <s v="Franquicias Sell Out QUEST"/>
    <s v="FQ071-Paz de Ariporo -Casanare"/>
    <x v="3"/>
    <s v="septiembre"/>
    <n v="28"/>
    <d v="2026-09-28T00:00:00"/>
    <n v="1408011"/>
    <s v="BRAVO ZAPATA BERMARY DESSIREE"/>
    <n v="6"/>
    <n v="0"/>
    <n v="331597"/>
  </r>
  <r>
    <s v="Franquicias Sell Out QUEST"/>
    <s v="FQ071-Paz de Ariporo -Casanare"/>
    <x v="3"/>
    <s v="septiembre"/>
    <n v="28"/>
    <d v="2026-09-28T00:00:00"/>
    <n v="1006554373"/>
    <s v="FIGUEROA  LAURA"/>
    <n v="11"/>
    <n v="0"/>
    <n v="684285"/>
  </r>
  <r>
    <s v="Franquicias Sell Out QUEST"/>
    <s v="FQ071-Paz de Ariporo -Casanare"/>
    <x v="3"/>
    <s v="septiembre"/>
    <n v="28"/>
    <d v="2026-09-28T00:00:00"/>
    <n v="1193119149"/>
    <s v="RODRIGUEZ ARANA ANGIE CAMILA"/>
    <n v="10"/>
    <n v="0"/>
    <n v="499580"/>
  </r>
  <r>
    <s v="Franquicias Sell Out QUEST"/>
    <s v="FQ071-Paz de Ariporo -Casanare"/>
    <x v="3"/>
    <s v="septiembre"/>
    <n v="29"/>
    <d v="2026-09-29T00:00:00"/>
    <m/>
    <m/>
    <n v="0"/>
    <n v="5173996"/>
    <n v="0"/>
  </r>
  <r>
    <s v="Franquicias Sell Out QUEST"/>
    <s v="FQ071-Paz de Ariporo -Casanare"/>
    <x v="3"/>
    <s v="septiembre"/>
    <n v="29"/>
    <d v="2026-09-29T00:00:00"/>
    <n v="1408011"/>
    <s v="BRAVO ZAPATA BERMARY DESSIREE"/>
    <n v="25"/>
    <n v="0"/>
    <n v="1397985"/>
  </r>
  <r>
    <s v="Franquicias Sell Out QUEST"/>
    <s v="FQ071-Paz de Ariporo -Casanare"/>
    <x v="3"/>
    <s v="septiembre"/>
    <n v="29"/>
    <d v="2026-09-29T00:00:00"/>
    <n v="1006554373"/>
    <s v="FIGUEROA  LAURA"/>
    <n v="0"/>
    <n v="0"/>
    <n v="-4201"/>
  </r>
  <r>
    <s v="Franquicias Sell Out QUEST"/>
    <s v="FQ071-Paz de Ariporo -Casanare"/>
    <x v="3"/>
    <s v="septiembre"/>
    <n v="29"/>
    <d v="2026-09-29T00:00:00"/>
    <n v="1193119149"/>
    <s v="RODRIGUEZ ARANA ANGIE CAMILA"/>
    <n v="41"/>
    <n v="0"/>
    <n v="2214497"/>
  </r>
  <r>
    <s v="Franquicias Sell Out QUEST"/>
    <s v="FQ071-Paz de Ariporo -Casanare"/>
    <x v="3"/>
    <s v="septiembre"/>
    <n v="30"/>
    <d v="2026-09-30T00:00:00"/>
    <m/>
    <m/>
    <n v="0"/>
    <n v="5479427"/>
    <n v="0"/>
  </r>
  <r>
    <s v="Franquicias Sell Out QUEST"/>
    <s v="FQ071-Paz de Ariporo -Casanare"/>
    <x v="3"/>
    <s v="septiembre"/>
    <n v="30"/>
    <d v="2026-09-30T00:00:00"/>
    <n v="1408011"/>
    <s v="BRAVO ZAPATA BERMARY DESSIREE"/>
    <n v="29"/>
    <n v="0"/>
    <n v="1448235"/>
  </r>
  <r>
    <s v="Franquicias Sell Out QUEST"/>
    <s v="FQ071-Paz de Ariporo -Casanare"/>
    <x v="3"/>
    <s v="septiembre"/>
    <n v="30"/>
    <d v="2026-09-30T00:00:00"/>
    <n v="1006554373"/>
    <s v="FIGUEROA  LAURA"/>
    <n v="15"/>
    <n v="0"/>
    <n v="709370"/>
  </r>
  <r>
    <s v="Franquicias Sell Out QUEST"/>
    <s v="FQ071-Paz de Ariporo -Casanare"/>
    <x v="3"/>
    <s v="septiembre"/>
    <n v="30"/>
    <d v="2026-09-30T00:00:00"/>
    <n v="1193119149"/>
    <s v="RODRIGUEZ ARANA ANGIE CAMILA"/>
    <n v="0"/>
    <n v="0"/>
    <n v="67227"/>
  </r>
  <r>
    <s v="Franquicias Sell Out QUEST"/>
    <s v="FQ071-Paz de Ariporo -Casanare"/>
    <x v="3"/>
    <s v="octubre"/>
    <n v="1"/>
    <d v="2026-10-01T00:00:00"/>
    <m/>
    <m/>
    <n v="0"/>
    <n v="4748152"/>
    <n v="0"/>
  </r>
  <r>
    <s v="Franquicias Sell Out QUEST"/>
    <s v="FQ071-Paz de Ariporo -Casanare"/>
    <x v="3"/>
    <s v="octubre"/>
    <n v="1"/>
    <d v="2026-10-01T00:00:00"/>
    <n v="1408011"/>
    <s v="BRAVO ZAPATA BERMARY DESSIREE"/>
    <n v="37"/>
    <n v="0"/>
    <n v="2439495"/>
  </r>
  <r>
    <s v="Franquicias Sell Out QUEST"/>
    <s v="FQ071-Paz de Ariporo -Casanare"/>
    <x v="3"/>
    <s v="octubre"/>
    <n v="1"/>
    <d v="2026-10-01T00:00:00"/>
    <n v="1006554373"/>
    <s v="FIGUEROA  LAURA"/>
    <n v="1"/>
    <n v="0"/>
    <n v="50378"/>
  </r>
  <r>
    <s v="Franquicias Sell Out QUEST"/>
    <s v="FQ071-Paz de Ariporo -Casanare"/>
    <x v="3"/>
    <s v="octubre"/>
    <n v="1"/>
    <d v="2026-10-01T00:00:00"/>
    <n v="1193119149"/>
    <s v="RODRIGUEZ ARANA ANGIE CAMILA"/>
    <n v="68"/>
    <n v="0"/>
    <n v="3744877"/>
  </r>
  <r>
    <s v="Franquicias Sell Out QUEST"/>
    <s v="FQ071-Paz de Ariporo -Casanare"/>
    <x v="3"/>
    <s v="octubre"/>
    <n v="2"/>
    <d v="2026-10-02T00:00:00"/>
    <m/>
    <m/>
    <n v="0"/>
    <n v="6252544"/>
    <n v="0"/>
  </r>
  <r>
    <s v="Franquicias Sell Out QUEST"/>
    <s v="FQ071-Paz de Ariporo -Casanare"/>
    <x v="3"/>
    <s v="octubre"/>
    <n v="2"/>
    <d v="2026-10-02T00:00:00"/>
    <n v="1408011"/>
    <s v="BRAVO ZAPATA BERMARY DESSIREE"/>
    <n v="1"/>
    <n v="0"/>
    <n v="37773"/>
  </r>
  <r>
    <s v="Franquicias Sell Out QUEST"/>
    <s v="FQ071-Paz de Ariporo -Casanare"/>
    <x v="3"/>
    <s v="octubre"/>
    <n v="2"/>
    <d v="2026-10-02T00:00:00"/>
    <n v="1006554373"/>
    <s v="FIGUEROA  LAURA"/>
    <n v="40"/>
    <n v="0"/>
    <n v="2222901"/>
  </r>
  <r>
    <s v="Franquicias Sell Out QUEST"/>
    <s v="FQ071-Paz de Ariporo -Casanare"/>
    <x v="3"/>
    <s v="octubre"/>
    <n v="2"/>
    <d v="2026-10-02T00:00:00"/>
    <n v="1193119149"/>
    <s v="RODRIGUEZ ARANA ANGIE CAMILA"/>
    <n v="29"/>
    <n v="0"/>
    <n v="1498699"/>
  </r>
  <r>
    <s v="Franquicias Sell Out QUEST"/>
    <s v="FQ071-Paz de Ariporo -Casanare"/>
    <x v="3"/>
    <s v="octubre"/>
    <n v="3"/>
    <d v="2026-10-03T00:00:00"/>
    <m/>
    <m/>
    <n v="0"/>
    <n v="6932142"/>
    <n v="0"/>
  </r>
  <r>
    <s v="Franquicias Sell Out QUEST"/>
    <s v="FQ071-Paz de Ariporo -Casanare"/>
    <x v="3"/>
    <s v="octubre"/>
    <n v="3"/>
    <d v="2026-10-03T00:00:00"/>
    <n v="1408011"/>
    <s v="BRAVO ZAPATA BERMARY DESSIREE"/>
    <n v="2"/>
    <n v="0"/>
    <n v="98656"/>
  </r>
  <r>
    <s v="Franquicias Sell Out QUEST"/>
    <s v="FQ071-Paz de Ariporo -Casanare"/>
    <x v="3"/>
    <s v="octubre"/>
    <n v="3"/>
    <d v="2026-10-03T00:00:00"/>
    <n v="1006554373"/>
    <s v="FIGUEROA  LAURA"/>
    <n v="53"/>
    <n v="0"/>
    <n v="2698943"/>
  </r>
  <r>
    <s v="Franquicias Sell Out QUEST"/>
    <s v="FQ071-Paz de Ariporo -Casanare"/>
    <x v="3"/>
    <s v="octubre"/>
    <n v="3"/>
    <d v="2026-10-03T00:00:00"/>
    <n v="1193119149"/>
    <s v="RODRIGUEZ ARANA ANGIE CAMILA"/>
    <n v="42"/>
    <n v="0"/>
    <n v="2094020"/>
  </r>
  <r>
    <s v="Franquicias Sell Out QUEST"/>
    <s v="FQ071-Paz de Ariporo -Casanare"/>
    <x v="3"/>
    <s v="octubre"/>
    <n v="4"/>
    <d v="2026-10-04T00:00:00"/>
    <m/>
    <m/>
    <n v="0"/>
    <n v="3823199"/>
    <n v="0"/>
  </r>
  <r>
    <s v="Franquicias Sell Out QUEST"/>
    <s v="FQ071-Paz de Ariporo -Casanare"/>
    <x v="3"/>
    <s v="octubre"/>
    <n v="4"/>
    <d v="2026-10-04T00:00:00"/>
    <n v="1006554373"/>
    <s v="FIGUEROA  LAURA"/>
    <n v="50"/>
    <n v="0"/>
    <n v="2454231"/>
  </r>
  <r>
    <s v="Franquicias Sell Out QUEST"/>
    <s v="FQ071-Paz de Ariporo -Casanare"/>
    <x v="3"/>
    <s v="octubre"/>
    <n v="4"/>
    <d v="2026-10-04T00:00:00"/>
    <n v="1193119149"/>
    <s v="RODRIGUEZ ARANA ANGIE CAMILA"/>
    <n v="35"/>
    <n v="0"/>
    <n v="1869078"/>
  </r>
  <r>
    <s v="Franquicias Sell Out QUEST"/>
    <s v="FQ071-Paz de Ariporo -Casanare"/>
    <x v="3"/>
    <s v="octubre"/>
    <n v="5"/>
    <d v="2026-10-05T00:00:00"/>
    <m/>
    <m/>
    <n v="0"/>
    <n v="4038192"/>
    <n v="0"/>
  </r>
  <r>
    <s v="Franquicias Sell Out QUEST"/>
    <s v="FQ071-Paz de Ariporo -Casanare"/>
    <x v="3"/>
    <s v="octubre"/>
    <n v="5"/>
    <d v="2026-10-05T00:00:00"/>
    <n v="1408011"/>
    <s v="BRAVO ZAPATA BERMARY DESSIREE"/>
    <n v="23"/>
    <n v="0"/>
    <n v="1082941"/>
  </r>
  <r>
    <s v="Franquicias Sell Out QUEST"/>
    <s v="FQ071-Paz de Ariporo -Casanare"/>
    <x v="3"/>
    <s v="octubre"/>
    <n v="5"/>
    <d v="2026-10-05T00:00:00"/>
    <n v="1006554373"/>
    <s v="FIGUEROA  LAURA"/>
    <n v="1"/>
    <n v="0"/>
    <n v="54580"/>
  </r>
  <r>
    <s v="Franquicias Sell Out QUEST"/>
    <s v="FQ071-Paz de Ariporo -Casanare"/>
    <x v="3"/>
    <s v="octubre"/>
    <n v="5"/>
    <d v="2026-10-05T00:00:00"/>
    <n v="1193119149"/>
    <s v="RODRIGUEZ ARANA ANGIE CAMILA"/>
    <n v="57"/>
    <n v="0"/>
    <n v="3024581"/>
  </r>
  <r>
    <s v="Franquicias Sell Out QUEST"/>
    <s v="FQ071-Paz de Ariporo -Casanare"/>
    <x v="3"/>
    <s v="octubre"/>
    <n v="6"/>
    <d v="2026-10-06T00:00:00"/>
    <m/>
    <m/>
    <n v="0"/>
    <n v="6329809"/>
    <n v="0"/>
  </r>
  <r>
    <s v="Franquicias Sell Out QUEST"/>
    <s v="FQ071-Paz de Ariporo -Casanare"/>
    <x v="3"/>
    <s v="octubre"/>
    <n v="6"/>
    <d v="2026-10-06T00:00:00"/>
    <n v="1408011"/>
    <s v="BRAVO ZAPATA BERMARY DESSIREE"/>
    <n v="20"/>
    <n v="0"/>
    <n v="862480"/>
  </r>
  <r>
    <s v="Franquicias Sell Out QUEST"/>
    <s v="FQ071-Paz de Ariporo -Casanare"/>
    <x v="3"/>
    <s v="octubre"/>
    <n v="6"/>
    <d v="2026-10-06T00:00:00"/>
    <n v="1006554373"/>
    <s v="FIGUEROA  LAURA"/>
    <n v="50"/>
    <n v="0"/>
    <n v="2818826"/>
  </r>
  <r>
    <s v="Franquicias Sell Out QUEST"/>
    <s v="FQ071-Paz de Ariporo -Casanare"/>
    <x v="3"/>
    <s v="octubre"/>
    <n v="6"/>
    <d v="2026-10-06T00:00:00"/>
    <n v="1193119149"/>
    <s v="RODRIGUEZ ARANA ANGIE CAMILA"/>
    <n v="0"/>
    <n v="0"/>
    <n v="8403"/>
  </r>
  <r>
    <s v="Franquicias Sell Out QUEST"/>
    <s v="FQ071-Paz de Ariporo -Casanare"/>
    <x v="3"/>
    <s v="octubre"/>
    <n v="7"/>
    <d v="2026-10-07T00:00:00"/>
    <m/>
    <m/>
    <n v="0"/>
    <n v="2790091"/>
    <n v="0"/>
  </r>
  <r>
    <s v="Franquicias Sell Out QUEST"/>
    <s v="FQ071-Paz de Ariporo -Casanare"/>
    <x v="3"/>
    <s v="octubre"/>
    <n v="7"/>
    <d v="2026-10-07T00:00:00"/>
    <n v="1408011"/>
    <s v="BRAVO ZAPATA BERMARY DESSIREE"/>
    <n v="8"/>
    <n v="0"/>
    <n v="440839"/>
  </r>
  <r>
    <s v="Franquicias Sell Out QUEST"/>
    <s v="FQ071-Paz de Ariporo -Casanare"/>
    <x v="3"/>
    <s v="octubre"/>
    <n v="7"/>
    <d v="2026-10-07T00:00:00"/>
    <n v="1006554373"/>
    <s v="FIGUEROA  LAURA"/>
    <n v="36"/>
    <n v="0"/>
    <n v="1979372"/>
  </r>
  <r>
    <s v="Franquicias Sell Out QUEST"/>
    <s v="FQ071-Paz de Ariporo -Casanare"/>
    <x v="3"/>
    <s v="octubre"/>
    <n v="7"/>
    <d v="2026-10-07T00:00:00"/>
    <n v="1193119149"/>
    <s v="RODRIGUEZ ARANA ANGIE CAMILA"/>
    <n v="13"/>
    <n v="0"/>
    <n v="734706"/>
  </r>
  <r>
    <s v="Franquicias Sell Out QUEST"/>
    <s v="FQ102 - Apartado - CC Plaza del Rio"/>
    <x v="3"/>
    <s v="septiembre"/>
    <n v="23"/>
    <d v="2026-09-23T00:00:00"/>
    <m/>
    <m/>
    <n v="0"/>
    <n v="1836398"/>
    <n v="0"/>
  </r>
  <r>
    <s v="Franquicias Sell Out QUEST"/>
    <s v="FQ102 - Apartado - CC Plaza del Rio"/>
    <x v="3"/>
    <s v="septiembre"/>
    <n v="23"/>
    <d v="2026-09-23T00:00:00"/>
    <n v="1107042230"/>
    <m/>
    <n v="72"/>
    <n v="0"/>
    <n v="3381453"/>
  </r>
  <r>
    <s v="Franquicias Sell Out QUEST"/>
    <s v="FQ102 - Apartado - CC Plaza del Rio"/>
    <x v="3"/>
    <s v="septiembre"/>
    <n v="23"/>
    <d v="2026-09-23T00:00:00"/>
    <n v="1143928785"/>
    <s v="CASTAÑEDA  BIBIANA"/>
    <n v="75"/>
    <n v="0"/>
    <n v="3637606"/>
  </r>
  <r>
    <s v="Franquicias Sell Out QUEST"/>
    <s v="FQ102 - Apartado - CC Plaza del Rio"/>
    <x v="3"/>
    <s v="septiembre"/>
    <n v="24"/>
    <d v="2026-09-24T00:00:00"/>
    <m/>
    <m/>
    <n v="0"/>
    <n v="4749281"/>
    <n v="0"/>
  </r>
  <r>
    <s v="Franquicias Sell Out QUEST"/>
    <s v="FQ102 - Apartado - CC Plaza del Rio"/>
    <x v="3"/>
    <s v="septiembre"/>
    <n v="24"/>
    <d v="2026-09-24T00:00:00"/>
    <n v="1107042230"/>
    <m/>
    <n v="39"/>
    <n v="0"/>
    <n v="1863909"/>
  </r>
  <r>
    <s v="Franquicias Sell Out QUEST"/>
    <s v="FQ102 - Apartado - CC Plaza del Rio"/>
    <x v="3"/>
    <s v="septiembre"/>
    <n v="24"/>
    <d v="2026-09-24T00:00:00"/>
    <n v="1143928785"/>
    <s v="CASTAÑEDA  BIBIANA"/>
    <n v="62"/>
    <n v="0"/>
    <n v="2615043"/>
  </r>
  <r>
    <s v="Franquicias Sell Out QUEST"/>
    <s v="FQ102 - Apartado - CC Plaza del Rio"/>
    <x v="3"/>
    <s v="septiembre"/>
    <n v="25"/>
    <d v="2026-09-25T00:00:00"/>
    <m/>
    <m/>
    <n v="0"/>
    <n v="5072493"/>
    <n v="0"/>
  </r>
  <r>
    <s v="Franquicias Sell Out QUEST"/>
    <s v="FQ102 - Apartado - CC Plaza del Rio"/>
    <x v="3"/>
    <s v="septiembre"/>
    <n v="25"/>
    <d v="2026-09-25T00:00:00"/>
    <n v="1107042230"/>
    <m/>
    <n v="56"/>
    <n v="0"/>
    <n v="2611099"/>
  </r>
  <r>
    <s v="Franquicias Sell Out QUEST"/>
    <s v="FQ102 - Apartado - CC Plaza del Rio"/>
    <x v="3"/>
    <s v="septiembre"/>
    <n v="25"/>
    <d v="2026-09-25T00:00:00"/>
    <n v="1143928785"/>
    <s v="CASTAÑEDA  BIBIANA"/>
    <n v="77"/>
    <n v="0"/>
    <n v="4089245"/>
  </r>
  <r>
    <s v="Franquicias Sell Out QUEST"/>
    <s v="FQ102 - Apartado - CC Plaza del Rio"/>
    <x v="3"/>
    <s v="septiembre"/>
    <n v="26"/>
    <d v="2026-09-26T00:00:00"/>
    <m/>
    <m/>
    <n v="0"/>
    <n v="6396283"/>
    <n v="0"/>
  </r>
  <r>
    <s v="Franquicias Sell Out QUEST"/>
    <s v="FQ102 - Apartado - CC Plaza del Rio"/>
    <x v="3"/>
    <s v="septiembre"/>
    <n v="26"/>
    <d v="2026-09-26T00:00:00"/>
    <n v="1107042230"/>
    <m/>
    <n v="37"/>
    <n v="0"/>
    <n v="1947943"/>
  </r>
  <r>
    <s v="Franquicias Sell Out QUEST"/>
    <s v="FQ102 - Apartado - CC Plaza del Rio"/>
    <x v="3"/>
    <s v="septiembre"/>
    <n v="26"/>
    <d v="2026-09-26T00:00:00"/>
    <n v="1143928785"/>
    <s v="CASTAÑEDA  BIBIANA"/>
    <n v="90"/>
    <n v="0"/>
    <n v="4575595"/>
  </r>
  <r>
    <s v="Franquicias Sell Out QUEST"/>
    <s v="FQ102 - Apartado - CC Plaza del Rio"/>
    <x v="3"/>
    <s v="septiembre"/>
    <n v="27"/>
    <d v="2026-09-27T00:00:00"/>
    <m/>
    <m/>
    <n v="0"/>
    <n v="3377172"/>
    <n v="0"/>
  </r>
  <r>
    <s v="Franquicias Sell Out QUEST"/>
    <s v="FQ102 - Apartado - CC Plaza del Rio"/>
    <x v="3"/>
    <s v="septiembre"/>
    <n v="27"/>
    <d v="2026-09-27T00:00:00"/>
    <n v="1107042230"/>
    <m/>
    <n v="58"/>
    <n v="0"/>
    <n v="2850171"/>
  </r>
  <r>
    <s v="Franquicias Sell Out QUEST"/>
    <s v="FQ102 - Apartado - CC Plaza del Rio"/>
    <x v="3"/>
    <s v="septiembre"/>
    <n v="27"/>
    <d v="2026-09-27T00:00:00"/>
    <n v="1143928785"/>
    <s v="CASTAÑEDA  BIBIANA"/>
    <n v="39"/>
    <n v="0"/>
    <n v="1668541"/>
  </r>
  <r>
    <s v="Franquicias Sell Out QUEST"/>
    <s v="FQ102 - Apartado - CC Plaza del Rio"/>
    <x v="3"/>
    <s v="septiembre"/>
    <n v="28"/>
    <d v="2026-09-28T00:00:00"/>
    <m/>
    <m/>
    <n v="0"/>
    <n v="2768918"/>
    <n v="0"/>
  </r>
  <r>
    <s v="Franquicias Sell Out QUEST"/>
    <s v="FQ102 - Apartado - CC Plaza del Rio"/>
    <x v="3"/>
    <s v="septiembre"/>
    <n v="28"/>
    <d v="2026-09-28T00:00:00"/>
    <n v="1107042230"/>
    <m/>
    <n v="55"/>
    <n v="0"/>
    <n v="2665507"/>
  </r>
  <r>
    <s v="Franquicias Sell Out QUEST"/>
    <s v="FQ102 - Apartado - CC Plaza del Rio"/>
    <x v="3"/>
    <s v="septiembre"/>
    <n v="29"/>
    <d v="2026-09-29T00:00:00"/>
    <m/>
    <m/>
    <n v="0"/>
    <n v="3078217"/>
    <n v="0"/>
  </r>
  <r>
    <s v="Franquicias Sell Out QUEST"/>
    <s v="FQ102 - Apartado - CC Plaza del Rio"/>
    <x v="3"/>
    <s v="septiembre"/>
    <n v="29"/>
    <d v="2026-09-29T00:00:00"/>
    <n v="1107042230"/>
    <m/>
    <n v="29"/>
    <n v="0"/>
    <n v="1532395"/>
  </r>
  <r>
    <s v="Franquicias Sell Out QUEST"/>
    <s v="FQ102 - Apartado - CC Plaza del Rio"/>
    <x v="3"/>
    <s v="septiembre"/>
    <n v="29"/>
    <d v="2026-09-29T00:00:00"/>
    <n v="1143928785"/>
    <s v="CASTAÑEDA  BIBIANA"/>
    <n v="42"/>
    <n v="0"/>
    <n v="2044369"/>
  </r>
  <r>
    <s v="Franquicias Sell Out QUEST"/>
    <s v="FQ102 - Apartado - CC Plaza del Rio"/>
    <x v="3"/>
    <s v="septiembre"/>
    <n v="30"/>
    <d v="2026-09-30T00:00:00"/>
    <m/>
    <m/>
    <n v="0"/>
    <n v="3259927"/>
    <n v="0"/>
  </r>
  <r>
    <s v="Franquicias Sell Out QUEST"/>
    <s v="FQ102 - Apartado - CC Plaza del Rio"/>
    <x v="3"/>
    <s v="septiembre"/>
    <n v="30"/>
    <d v="2026-09-30T00:00:00"/>
    <n v="1107042230"/>
    <m/>
    <n v="57"/>
    <n v="0"/>
    <n v="2816727"/>
  </r>
  <r>
    <s v="Franquicias Sell Out QUEST"/>
    <s v="FQ102 - Apartado - CC Plaza del Rio"/>
    <x v="3"/>
    <s v="septiembre"/>
    <n v="30"/>
    <d v="2026-09-30T00:00:00"/>
    <n v="1143928785"/>
    <s v="CASTAÑEDA  BIBIANA"/>
    <n v="14"/>
    <n v="0"/>
    <n v="535085"/>
  </r>
  <r>
    <s v="Franquicias Sell Out QUEST"/>
    <s v="FQ102 - Apartado - CC Plaza del Rio"/>
    <x v="3"/>
    <s v="octubre"/>
    <n v="1"/>
    <d v="2026-10-01T00:00:00"/>
    <m/>
    <m/>
    <n v="0"/>
    <n v="6528679"/>
    <n v="0"/>
  </r>
  <r>
    <s v="Franquicias Sell Out QUEST"/>
    <s v="FQ102 - Apartado - CC Plaza del Rio"/>
    <x v="3"/>
    <s v="octubre"/>
    <n v="1"/>
    <d v="2026-10-01T00:00:00"/>
    <n v="1107042230"/>
    <m/>
    <n v="61"/>
    <n v="0"/>
    <n v="2713325"/>
  </r>
  <r>
    <s v="Franquicias Sell Out QUEST"/>
    <s v="FQ102 - Apartado - CC Plaza del Rio"/>
    <x v="3"/>
    <s v="octubre"/>
    <n v="1"/>
    <d v="2026-10-01T00:00:00"/>
    <n v="1143928785"/>
    <s v="CASTAÑEDA  BIBIANA"/>
    <n v="38"/>
    <n v="0"/>
    <n v="1760304"/>
  </r>
  <r>
    <s v="Franquicias Sell Out QUEST"/>
    <s v="FQ102 - Apartado - CC Plaza del Rio"/>
    <x v="3"/>
    <s v="octubre"/>
    <n v="2"/>
    <d v="2026-10-02T00:00:00"/>
    <m/>
    <m/>
    <n v="0"/>
    <n v="8070780"/>
    <n v="0"/>
  </r>
  <r>
    <s v="Franquicias Sell Out QUEST"/>
    <s v="FQ102 - Apartado - CC Plaza del Rio"/>
    <x v="3"/>
    <s v="octubre"/>
    <n v="2"/>
    <d v="2026-10-02T00:00:00"/>
    <n v="1107042230"/>
    <m/>
    <n v="41"/>
    <n v="0"/>
    <n v="2149375"/>
  </r>
  <r>
    <s v="Franquicias Sell Out QUEST"/>
    <s v="FQ102 - Apartado - CC Plaza del Rio"/>
    <x v="3"/>
    <s v="octubre"/>
    <n v="2"/>
    <d v="2026-10-02T00:00:00"/>
    <n v="1143928785"/>
    <s v="CASTAÑEDA  BIBIANA"/>
    <n v="39"/>
    <n v="0"/>
    <n v="2069539"/>
  </r>
  <r>
    <s v="Franquicias Sell Out QUEST"/>
    <s v="FQ102 - Apartado - CC Plaza del Rio"/>
    <x v="3"/>
    <s v="octubre"/>
    <n v="3"/>
    <d v="2026-10-03T00:00:00"/>
    <m/>
    <m/>
    <n v="0"/>
    <n v="9991309"/>
    <n v="0"/>
  </r>
  <r>
    <s v="Franquicias Sell Out QUEST"/>
    <s v="FQ102 - Apartado - CC Plaza del Rio"/>
    <x v="3"/>
    <s v="octubre"/>
    <n v="3"/>
    <d v="2026-10-03T00:00:00"/>
    <n v="1107042230"/>
    <m/>
    <n v="58"/>
    <n v="0"/>
    <n v="2747081"/>
  </r>
  <r>
    <s v="Franquicias Sell Out QUEST"/>
    <s v="FQ102 - Apartado - CC Plaza del Rio"/>
    <x v="3"/>
    <s v="octubre"/>
    <n v="3"/>
    <d v="2026-10-03T00:00:00"/>
    <n v="1143928785"/>
    <s v="CASTAÑEDA  BIBIANA"/>
    <n v="81"/>
    <n v="0"/>
    <n v="3866989"/>
  </r>
  <r>
    <s v="Franquicias Sell Out QUEST"/>
    <s v="FQ102 - Apartado - CC Plaza del Rio"/>
    <x v="3"/>
    <s v="octubre"/>
    <n v="4"/>
    <d v="2026-10-04T00:00:00"/>
    <m/>
    <m/>
    <n v="0"/>
    <n v="6240245"/>
    <n v="0"/>
  </r>
  <r>
    <s v="Franquicias Sell Out QUEST"/>
    <s v="FQ102 - Apartado - CC Plaza del Rio"/>
    <x v="3"/>
    <s v="octubre"/>
    <n v="4"/>
    <d v="2026-10-04T00:00:00"/>
    <n v="1143928785"/>
    <s v="CASTAÑEDA  BIBIANA"/>
    <n v="143"/>
    <n v="0"/>
    <n v="7888075"/>
  </r>
  <r>
    <s v="Franquicias Sell Out QUEST"/>
    <s v="FQ102 - Apartado - CC Plaza del Rio"/>
    <x v="3"/>
    <s v="octubre"/>
    <n v="5"/>
    <d v="2026-10-05T00:00:00"/>
    <m/>
    <m/>
    <n v="0"/>
    <n v="6052873"/>
    <n v="0"/>
  </r>
  <r>
    <s v="Franquicias Sell Out QUEST"/>
    <s v="FQ102 - Apartado - CC Plaza del Rio"/>
    <x v="3"/>
    <s v="octubre"/>
    <n v="5"/>
    <d v="2026-10-05T00:00:00"/>
    <n v="1107042230"/>
    <m/>
    <n v="-3"/>
    <n v="0"/>
    <n v="-182236"/>
  </r>
  <r>
    <s v="Franquicias Sell Out QUEST"/>
    <s v="FQ102 - Apartado - CC Plaza del Rio"/>
    <x v="3"/>
    <s v="octubre"/>
    <n v="5"/>
    <d v="2026-10-05T00:00:00"/>
    <n v="1143928785"/>
    <s v="CASTAÑEDA  BIBIANA"/>
    <n v="83"/>
    <n v="0"/>
    <n v="4476429"/>
  </r>
  <r>
    <s v="Franquicias Sell Out QUEST"/>
    <s v="FQ102 - Apartado - CC Plaza del Rio"/>
    <x v="3"/>
    <s v="octubre"/>
    <n v="6"/>
    <d v="2026-10-06T00:00:00"/>
    <m/>
    <m/>
    <n v="0"/>
    <n v="2183533"/>
    <n v="0"/>
  </r>
  <r>
    <s v="Franquicias Sell Out QUEST"/>
    <s v="FQ102 - Apartado - CC Plaza del Rio"/>
    <x v="3"/>
    <s v="octubre"/>
    <n v="6"/>
    <d v="2026-10-06T00:00:00"/>
    <n v="1107042230"/>
    <m/>
    <n v="43"/>
    <n v="0"/>
    <n v="2004741"/>
  </r>
  <r>
    <s v="Franquicias Sell Out QUEST"/>
    <s v="FQ102 - Apartado - CC Plaza del Rio"/>
    <x v="3"/>
    <s v="octubre"/>
    <n v="6"/>
    <d v="2026-10-06T00:00:00"/>
    <n v="1143928785"/>
    <s v="CASTAÑEDA  BIBIANA"/>
    <n v="13"/>
    <n v="0"/>
    <n v="646387"/>
  </r>
  <r>
    <s v="Franquicias Sell Out QUEST"/>
    <s v="FQ102 - Apartado - CC Plaza del Rio"/>
    <x v="3"/>
    <s v="octubre"/>
    <n v="7"/>
    <d v="2026-10-07T00:00:00"/>
    <m/>
    <m/>
    <n v="0"/>
    <n v="764467"/>
    <n v="0"/>
  </r>
  <r>
    <s v="Franquicias Sell Out QUEST"/>
    <s v="FQ102 - Apartado - CC Plaza del Rio"/>
    <x v="3"/>
    <s v="octubre"/>
    <n v="7"/>
    <d v="2026-10-07T00:00:00"/>
    <n v="1107042230"/>
    <m/>
    <n v="48"/>
    <n v="0"/>
    <n v="2531134"/>
  </r>
  <r>
    <s v="Franquicias Sell Out QUEST"/>
    <s v="FQ102 - Apartado - CC Plaza del Rio"/>
    <x v="3"/>
    <s v="octubre"/>
    <n v="7"/>
    <d v="2026-10-07T00:00:00"/>
    <n v="1143928785"/>
    <s v="CASTAÑEDA  BIBIANA"/>
    <n v="31"/>
    <n v="0"/>
    <n v="1606027"/>
  </r>
  <r>
    <s v="Franquicias Sell Out QUEST"/>
    <s v="FQ90 Tauramena - Casanare"/>
    <x v="3"/>
    <s v="septiembre"/>
    <n v="23"/>
    <d v="2026-09-23T00:00:00"/>
    <m/>
    <m/>
    <n v="0"/>
    <n v="2592403"/>
    <n v="0"/>
  </r>
  <r>
    <s v="Franquicias Sell Out QUEST"/>
    <s v="FQ90 Tauramena - Casanare"/>
    <x v="3"/>
    <s v="septiembre"/>
    <n v="23"/>
    <d v="2026-09-23T00:00:00"/>
    <n v="46375418"/>
    <s v="PEREZ BONILLA DORA AMANDA"/>
    <n v="78"/>
    <n v="0"/>
    <n v="3809838"/>
  </r>
  <r>
    <s v="Franquicias Sell Out QUEST"/>
    <s v="FQ90 Tauramena - Casanare"/>
    <x v="3"/>
    <s v="septiembre"/>
    <n v="24"/>
    <d v="2026-09-24T00:00:00"/>
    <m/>
    <m/>
    <n v="0"/>
    <n v="6704445"/>
    <n v="0"/>
  </r>
  <r>
    <s v="Franquicias Sell Out QUEST"/>
    <s v="FQ90 Tauramena - Casanare"/>
    <x v="3"/>
    <s v="septiembre"/>
    <n v="24"/>
    <d v="2026-09-24T00:00:00"/>
    <n v="46375418"/>
    <s v="PEREZ BONILLA DORA AMANDA"/>
    <n v="70"/>
    <n v="0"/>
    <n v="3952945"/>
  </r>
  <r>
    <s v="Franquicias Sell Out QUEST"/>
    <s v="FQ90 Tauramena - Casanare"/>
    <x v="3"/>
    <s v="septiembre"/>
    <n v="25"/>
    <d v="2026-09-25T00:00:00"/>
    <m/>
    <m/>
    <n v="0"/>
    <n v="7160714"/>
    <n v="0"/>
  </r>
  <r>
    <s v="Franquicias Sell Out QUEST"/>
    <s v="FQ90 Tauramena - Casanare"/>
    <x v="3"/>
    <s v="septiembre"/>
    <n v="25"/>
    <d v="2026-09-25T00:00:00"/>
    <n v="46375418"/>
    <s v="PEREZ BONILLA DORA AMANDA"/>
    <n v="70"/>
    <n v="0"/>
    <n v="3826896"/>
  </r>
  <r>
    <s v="Franquicias Sell Out QUEST"/>
    <s v="FQ90 Tauramena - Casanare"/>
    <x v="3"/>
    <s v="septiembre"/>
    <n v="26"/>
    <d v="2026-09-26T00:00:00"/>
    <m/>
    <m/>
    <n v="0"/>
    <n v="9029483"/>
    <n v="0"/>
  </r>
  <r>
    <s v="Franquicias Sell Out QUEST"/>
    <s v="FQ90 Tauramena - Casanare"/>
    <x v="3"/>
    <s v="septiembre"/>
    <n v="26"/>
    <d v="2026-09-26T00:00:00"/>
    <n v="46375418"/>
    <s v="PEREZ BONILLA DORA AMANDA"/>
    <n v="120"/>
    <n v="0"/>
    <n v="6429584"/>
  </r>
  <r>
    <s v="Franquicias Sell Out QUEST"/>
    <s v="FQ90 Tauramena - Casanare"/>
    <x v="3"/>
    <s v="septiembre"/>
    <n v="27"/>
    <d v="2026-09-27T00:00:00"/>
    <m/>
    <m/>
    <n v="0"/>
    <n v="4767477"/>
    <n v="0"/>
  </r>
  <r>
    <s v="Franquicias Sell Out QUEST"/>
    <s v="FQ90 Tauramena - Casanare"/>
    <x v="3"/>
    <s v="septiembre"/>
    <n v="27"/>
    <d v="2026-09-27T00:00:00"/>
    <n v="46375418"/>
    <s v="PEREZ BONILLA DORA AMANDA"/>
    <n v="48"/>
    <n v="0"/>
    <n v="2195297"/>
  </r>
  <r>
    <s v="Franquicias Sell Out QUEST"/>
    <s v="FQ90 Tauramena - Casanare"/>
    <x v="3"/>
    <s v="septiembre"/>
    <n v="28"/>
    <d v="2026-09-28T00:00:00"/>
    <m/>
    <m/>
    <n v="0"/>
    <n v="3908814"/>
    <n v="0"/>
  </r>
  <r>
    <s v="Franquicias Sell Out QUEST"/>
    <s v="FQ90 Tauramena - Casanare"/>
    <x v="3"/>
    <s v="septiembre"/>
    <n v="28"/>
    <d v="2026-09-28T00:00:00"/>
    <n v="46375418"/>
    <s v="PEREZ BONILLA DORA AMANDA"/>
    <n v="63"/>
    <n v="0"/>
    <n v="3377483"/>
  </r>
  <r>
    <s v="Franquicias Sell Out QUEST"/>
    <s v="FQ90 Tauramena - Casanare"/>
    <x v="3"/>
    <s v="septiembre"/>
    <n v="29"/>
    <d v="2026-09-29T00:00:00"/>
    <m/>
    <m/>
    <n v="0"/>
    <n v="4345446"/>
    <n v="0"/>
  </r>
  <r>
    <s v="Franquicias Sell Out QUEST"/>
    <s v="FQ90 Tauramena - Casanare"/>
    <x v="3"/>
    <s v="septiembre"/>
    <n v="29"/>
    <d v="2026-09-29T00:00:00"/>
    <n v="46375418"/>
    <s v="PEREZ BONILLA DORA AMANDA"/>
    <n v="52"/>
    <n v="0"/>
    <n v="2585971"/>
  </r>
  <r>
    <s v="Franquicias Sell Out QUEST"/>
    <s v="FQ90 Tauramena - Casanare"/>
    <x v="3"/>
    <s v="septiembre"/>
    <n v="30"/>
    <d v="2026-09-30T00:00:00"/>
    <m/>
    <m/>
    <n v="0"/>
    <n v="4601966"/>
    <n v="0"/>
  </r>
  <r>
    <s v="Franquicias Sell Out QUEST"/>
    <s v="FQ90 Tauramena - Casanare"/>
    <x v="3"/>
    <s v="septiembre"/>
    <n v="30"/>
    <d v="2026-09-30T00:00:00"/>
    <n v="46375418"/>
    <s v="PEREZ BONILLA DORA AMANDA"/>
    <n v="77"/>
    <n v="0"/>
    <n v="3937651"/>
  </r>
  <r>
    <s v="Franquicias Sell Out QUEST"/>
    <s v="FQ90 Tauramena - Casanare"/>
    <x v="3"/>
    <s v="octubre"/>
    <n v="1"/>
    <d v="2026-10-01T00:00:00"/>
    <m/>
    <m/>
    <n v="0"/>
    <n v="9439942"/>
    <n v="0"/>
  </r>
  <r>
    <s v="Franquicias Sell Out QUEST"/>
    <s v="FQ90 Tauramena - Casanare"/>
    <x v="3"/>
    <s v="octubre"/>
    <n v="1"/>
    <d v="2026-10-01T00:00:00"/>
    <n v="46375418"/>
    <s v="PEREZ BONILLA DORA AMANDA"/>
    <n v="95"/>
    <n v="0"/>
    <n v="4657401"/>
  </r>
  <r>
    <s v="Franquicias Sell Out QUEST"/>
    <s v="FQ90 Tauramena - Casanare"/>
    <x v="3"/>
    <s v="octubre"/>
    <n v="2"/>
    <d v="2026-10-02T00:00:00"/>
    <m/>
    <m/>
    <n v="0"/>
    <n v="9045245"/>
    <n v="0"/>
  </r>
  <r>
    <s v="Franquicias Sell Out QUEST"/>
    <s v="FQ90 Tauramena - Casanare"/>
    <x v="3"/>
    <s v="octubre"/>
    <n v="2"/>
    <d v="2026-10-02T00:00:00"/>
    <n v="46375418"/>
    <s v="PEREZ BONILLA DORA AMANDA"/>
    <n v="153"/>
    <n v="0"/>
    <n v="7688160"/>
  </r>
  <r>
    <s v="Franquicias Sell Out QUEST"/>
    <s v="FQ90 Tauramena - Casanare"/>
    <x v="3"/>
    <s v="octubre"/>
    <n v="3"/>
    <d v="2026-10-03T00:00:00"/>
    <m/>
    <m/>
    <n v="0"/>
    <n v="8864295"/>
    <n v="0"/>
  </r>
  <r>
    <s v="Franquicias Sell Out QUEST"/>
    <s v="FQ90 Tauramena - Casanare"/>
    <x v="3"/>
    <s v="octubre"/>
    <n v="3"/>
    <d v="2026-10-03T00:00:00"/>
    <n v="46375418"/>
    <s v="PEREZ BONILLA DORA AMANDA"/>
    <n v="218"/>
    <n v="0"/>
    <n v="10358976"/>
  </r>
  <r>
    <s v="Franquicias Sell Out QUEST"/>
    <s v="FQ90 Tauramena - Casanare"/>
    <x v="3"/>
    <s v="octubre"/>
    <n v="4"/>
    <d v="2026-10-04T00:00:00"/>
    <m/>
    <m/>
    <n v="0"/>
    <n v="6696424"/>
    <n v="0"/>
  </r>
  <r>
    <s v="Franquicias Sell Out QUEST"/>
    <s v="FQ90 Tauramena - Casanare"/>
    <x v="3"/>
    <s v="octubre"/>
    <n v="4"/>
    <d v="2026-10-04T00:00:00"/>
    <n v="46375418"/>
    <s v="PEREZ BONILLA DORA AMANDA"/>
    <n v="74"/>
    <n v="0"/>
    <n v="3685845"/>
  </r>
  <r>
    <s v="Franquicias Sell Out QUEST"/>
    <s v="FQ90 Tauramena - Casanare"/>
    <x v="3"/>
    <s v="octubre"/>
    <n v="5"/>
    <d v="2026-10-05T00:00:00"/>
    <m/>
    <m/>
    <n v="0"/>
    <n v="4919514"/>
    <n v="0"/>
  </r>
  <r>
    <s v="Franquicias Sell Out QUEST"/>
    <s v="FQ90 Tauramena - Casanare"/>
    <x v="3"/>
    <s v="octubre"/>
    <n v="5"/>
    <d v="2026-10-05T00:00:00"/>
    <n v="46375418"/>
    <s v="PEREZ BONILLA DORA AMANDA"/>
    <n v="108"/>
    <n v="0"/>
    <n v="6142147"/>
  </r>
  <r>
    <s v="Franquicias Sell Out QUEST"/>
    <s v="FQ90 Tauramena - Casanare"/>
    <x v="3"/>
    <s v="octubre"/>
    <n v="6"/>
    <d v="2026-10-06T00:00:00"/>
    <m/>
    <m/>
    <n v="0"/>
    <n v="2149168"/>
    <n v="0"/>
  </r>
  <r>
    <s v="Franquicias Sell Out QUEST"/>
    <s v="FQ90 Tauramena - Casanare"/>
    <x v="3"/>
    <s v="octubre"/>
    <n v="6"/>
    <d v="2026-10-06T00:00:00"/>
    <n v="46375418"/>
    <s v="PEREZ BONILLA DORA AMANDA"/>
    <n v="52"/>
    <n v="0"/>
    <n v="2779161"/>
  </r>
  <r>
    <s v="Franquicias Sell Out QUEST"/>
    <s v="FQ90 Tauramena - Casanare"/>
    <x v="3"/>
    <s v="octubre"/>
    <n v="7"/>
    <d v="2026-10-07T00:00:00"/>
    <m/>
    <m/>
    <n v="0"/>
    <n v="2245354"/>
    <n v="0"/>
  </r>
  <r>
    <s v="Franquicias Sell Out QUEST"/>
    <s v="FQ90 Tauramena - Casanare"/>
    <x v="3"/>
    <s v="octubre"/>
    <n v="7"/>
    <d v="2026-10-07T00:00:00"/>
    <n v="46375418"/>
    <s v="PEREZ BONILLA DORA AMANDA"/>
    <n v="64"/>
    <n v="0"/>
    <n v="3066598"/>
  </r>
  <r>
    <s v="Retail"/>
    <s v="N10-Carpa Quest Medellin-CC DEMODA Outle"/>
    <x v="3"/>
    <s v="septiembre"/>
    <n v="23"/>
    <d v="2026-09-23T00:00:00"/>
    <m/>
    <m/>
    <n v="0"/>
    <n v="1004234"/>
    <n v="0"/>
  </r>
  <r>
    <s v="Retail"/>
    <s v="N10-Carpa Quest Medellin-CC DEMODA Outle"/>
    <x v="3"/>
    <s v="septiembre"/>
    <n v="23"/>
    <d v="2026-09-23T00:00:00"/>
    <n v="1007053771"/>
    <s v="MARIN SALAZAR BRAYAN ALEXIS"/>
    <n v="23"/>
    <n v="0"/>
    <n v="384622"/>
  </r>
  <r>
    <s v="Retail"/>
    <s v="N10-Carpa Quest Medellin-CC DEMODA Outle"/>
    <x v="3"/>
    <s v="septiembre"/>
    <n v="24"/>
    <d v="2026-09-24T00:00:00"/>
    <m/>
    <m/>
    <n v="0"/>
    <n v="1534078"/>
    <n v="0"/>
  </r>
  <r>
    <s v="Retail"/>
    <s v="N10-Carpa Quest Medellin-CC DEMODA Outle"/>
    <x v="3"/>
    <s v="septiembre"/>
    <n v="24"/>
    <d v="2026-09-24T00:00:00"/>
    <n v="1007053771"/>
    <s v="MARIN SALAZAR BRAYAN ALEXIS"/>
    <n v="4"/>
    <n v="0"/>
    <n v="92101"/>
  </r>
  <r>
    <s v="Retail"/>
    <s v="N10-Carpa Quest Medellin-CC DEMODA Outle"/>
    <x v="3"/>
    <s v="septiembre"/>
    <n v="25"/>
    <d v="2026-09-25T00:00:00"/>
    <m/>
    <m/>
    <n v="0"/>
    <n v="1530684"/>
    <n v="0"/>
  </r>
  <r>
    <s v="Retail"/>
    <s v="N10-Carpa Quest Medellin-CC DEMODA Outle"/>
    <x v="3"/>
    <s v="septiembre"/>
    <n v="25"/>
    <d v="2026-09-25T00:00:00"/>
    <n v="1007053771"/>
    <s v="MARIN SALAZAR BRAYAN ALEXIS"/>
    <n v="6"/>
    <n v="0"/>
    <n v="159160"/>
  </r>
  <r>
    <s v="Retail"/>
    <s v="N10-Carpa Quest Medellin-CC DEMODA Outle"/>
    <x v="3"/>
    <s v="septiembre"/>
    <n v="26"/>
    <d v="2026-09-26T00:00:00"/>
    <m/>
    <m/>
    <n v="0"/>
    <n v="2199814"/>
    <n v="0"/>
  </r>
  <r>
    <s v="Retail"/>
    <s v="N10-Carpa Quest Medellin-CC DEMODA Outle"/>
    <x v="3"/>
    <s v="septiembre"/>
    <n v="26"/>
    <d v="2026-09-26T00:00:00"/>
    <n v="1007053771"/>
    <s v="MARIN SALAZAR BRAYAN ALEXIS"/>
    <n v="2"/>
    <n v="0"/>
    <n v="134286"/>
  </r>
  <r>
    <s v="Retail"/>
    <s v="N10-Carpa Quest Medellin-CC DEMODA Outle"/>
    <x v="3"/>
    <s v="septiembre"/>
    <n v="27"/>
    <d v="2026-09-27T00:00:00"/>
    <m/>
    <m/>
    <n v="0"/>
    <n v="1742695"/>
    <n v="0"/>
  </r>
  <r>
    <s v="Retail"/>
    <s v="N10-Carpa Quest Medellin-CC DEMODA Outle"/>
    <x v="3"/>
    <s v="septiembre"/>
    <n v="28"/>
    <d v="2026-09-28T00:00:00"/>
    <m/>
    <m/>
    <n v="0"/>
    <n v="981214"/>
    <n v="0"/>
  </r>
  <r>
    <s v="Retail"/>
    <s v="N10-Carpa Quest Medellin-CC DEMODA Outle"/>
    <x v="3"/>
    <s v="septiembre"/>
    <n v="29"/>
    <d v="2026-09-29T00:00:00"/>
    <m/>
    <m/>
    <n v="0"/>
    <n v="1002410"/>
    <n v="0"/>
  </r>
  <r>
    <s v="Retail"/>
    <s v="N10-Carpa Quest Medellin-CC DEMODA Outle"/>
    <x v="3"/>
    <s v="septiembre"/>
    <n v="29"/>
    <d v="2026-09-29T00:00:00"/>
    <n v="1007053771"/>
    <s v="MARIN SALAZAR BRAYAN ALEXIS"/>
    <n v="11"/>
    <n v="0"/>
    <n v="570884"/>
  </r>
  <r>
    <s v="Retail"/>
    <s v="N10-Carpa Quest Medellin-CC DEMODA Outle"/>
    <x v="3"/>
    <s v="septiembre"/>
    <n v="30"/>
    <d v="2026-09-30T00:00:00"/>
    <m/>
    <m/>
    <n v="0"/>
    <n v="1058344"/>
    <n v="0"/>
  </r>
  <r>
    <s v="Retail"/>
    <s v="N10-Carpa Quest Medellin-CC DEMODA Outle"/>
    <x v="3"/>
    <s v="septiembre"/>
    <n v="30"/>
    <d v="2026-09-30T00:00:00"/>
    <n v="1007053771"/>
    <s v="MARIN SALAZAR BRAYAN ALEXIS"/>
    <n v="20"/>
    <n v="0"/>
    <n v="830799"/>
  </r>
  <r>
    <s v="Retail"/>
    <s v="N10-Carpa Quest Medellin-CC DEMODA Outle"/>
    <x v="3"/>
    <s v="octubre"/>
    <n v="1"/>
    <d v="2026-10-01T00:00:00"/>
    <m/>
    <m/>
    <n v="0"/>
    <n v="717741"/>
    <n v="0"/>
  </r>
  <r>
    <s v="Retail"/>
    <s v="N10-Carpa Quest Medellin-CC DEMODA Outle"/>
    <x v="3"/>
    <s v="octubre"/>
    <n v="1"/>
    <d v="2026-10-01T00:00:00"/>
    <n v="1007053771"/>
    <s v="MARIN SALAZAR BRAYAN ALEXIS"/>
    <n v="18"/>
    <n v="0"/>
    <n v="893993"/>
  </r>
  <r>
    <s v="Retail"/>
    <s v="N10-Carpa Quest Medellin-CC DEMODA Outle"/>
    <x v="3"/>
    <s v="octubre"/>
    <n v="2"/>
    <d v="2026-10-02T00:00:00"/>
    <m/>
    <m/>
    <n v="0"/>
    <n v="710573"/>
    <n v="0"/>
  </r>
  <r>
    <s v="Retail"/>
    <s v="N10-Carpa Quest Medellin-CC DEMODA Outle"/>
    <x v="3"/>
    <s v="octubre"/>
    <n v="2"/>
    <d v="2026-10-02T00:00:00"/>
    <n v="1007053771"/>
    <s v="MARIN SALAZAR BRAYAN ALEXIS"/>
    <n v="31"/>
    <n v="0"/>
    <n v="1468867"/>
  </r>
  <r>
    <s v="Retail"/>
    <s v="N10-Carpa Quest Medellin-CC DEMODA Outle"/>
    <x v="3"/>
    <s v="octubre"/>
    <n v="3"/>
    <d v="2026-10-03T00:00:00"/>
    <m/>
    <m/>
    <n v="0"/>
    <n v="898815"/>
    <n v="0"/>
  </r>
  <r>
    <s v="Retail"/>
    <s v="N10-Carpa Quest Medellin-CC DEMODA Outle"/>
    <x v="3"/>
    <s v="octubre"/>
    <n v="3"/>
    <d v="2026-10-03T00:00:00"/>
    <n v="1007053771"/>
    <s v="MARIN SALAZAR BRAYAN ALEXIS"/>
    <n v="46"/>
    <n v="0"/>
    <n v="1959454"/>
  </r>
  <r>
    <s v="Retail"/>
    <s v="N10-Carpa Quest Medellin-CC DEMODA Outle"/>
    <x v="3"/>
    <s v="octubre"/>
    <n v="4"/>
    <d v="2026-10-04T00:00:00"/>
    <m/>
    <m/>
    <n v="0"/>
    <n v="575265"/>
    <n v="0"/>
  </r>
  <r>
    <s v="Retail"/>
    <s v="N10-Carpa Quest Medellin-CC DEMODA Outle"/>
    <x v="3"/>
    <s v="octubre"/>
    <n v="4"/>
    <d v="2026-10-04T00:00:00"/>
    <n v="1007053771"/>
    <s v="MARIN SALAZAR BRAYAN ALEXIS"/>
    <n v="29"/>
    <n v="0"/>
    <n v="1359783"/>
  </r>
  <r>
    <s v="Retail"/>
    <s v="N10-Carpa Quest Medellin-CC DEMODA Outle"/>
    <x v="3"/>
    <s v="octubre"/>
    <n v="5"/>
    <d v="2026-10-05T00:00:00"/>
    <m/>
    <m/>
    <n v="0"/>
    <n v="467845"/>
    <n v="0"/>
  </r>
  <r>
    <s v="Retail"/>
    <s v="N10-Carpa Quest Medellin-CC DEMODA Outle"/>
    <x v="3"/>
    <s v="octubre"/>
    <n v="5"/>
    <d v="2026-10-05T00:00:00"/>
    <n v="5896465"/>
    <s v="LEAL PEROZO JOSE JAVIER"/>
    <n v="3"/>
    <n v="0"/>
    <n v="117521"/>
  </r>
  <r>
    <s v="Retail"/>
    <s v="N10-Carpa Quest Medellin-CC DEMODA Outle"/>
    <x v="3"/>
    <s v="octubre"/>
    <n v="5"/>
    <d v="2026-10-05T00:00:00"/>
    <n v="1007053771"/>
    <s v="MARIN SALAZAR BRAYAN ALEXIS"/>
    <n v="0"/>
    <n v="0"/>
    <n v="8403"/>
  </r>
  <r>
    <s v="Retail"/>
    <s v="N10-Carpa Quest Medellin-CC DEMODA Outle"/>
    <x v="3"/>
    <s v="octubre"/>
    <n v="6"/>
    <d v="2026-10-06T00:00:00"/>
    <m/>
    <m/>
    <n v="0"/>
    <n v="304261"/>
    <n v="0"/>
  </r>
  <r>
    <s v="Retail"/>
    <s v="N10-Carpa Quest Medellin-CC DEMODA Outle"/>
    <x v="3"/>
    <s v="octubre"/>
    <n v="6"/>
    <d v="2026-10-06T00:00:00"/>
    <n v="1007053771"/>
    <s v="MARIN SALAZAR BRAYAN ALEXIS"/>
    <n v="6"/>
    <n v="0"/>
    <n v="255967"/>
  </r>
  <r>
    <s v="Retail"/>
    <s v="N10-Carpa Quest Medellin-CC DEMODA Outle"/>
    <x v="3"/>
    <s v="octubre"/>
    <n v="7"/>
    <d v="2026-10-07T00:00:00"/>
    <m/>
    <m/>
    <n v="0"/>
    <n v="301873"/>
    <n v="0"/>
  </r>
  <r>
    <s v="Retail"/>
    <s v="N10-Carpa Quest Medellin-CC DEMODA Outle"/>
    <x v="3"/>
    <s v="octubre"/>
    <n v="7"/>
    <d v="2026-10-07T00:00:00"/>
    <n v="1007053771"/>
    <s v="MARIN SALAZAR BRAYAN ALEXIS"/>
    <n v="9"/>
    <n v="0"/>
    <n v="495293"/>
  </r>
  <r>
    <s v="Retail"/>
    <s v="Q076 - Medellin - Cc Florida"/>
    <x v="3"/>
    <s v="septiembre"/>
    <n v="23"/>
    <d v="2026-09-23T00:00:00"/>
    <m/>
    <m/>
    <n v="0"/>
    <n v="8928643"/>
    <n v="0"/>
  </r>
  <r>
    <s v="Retail"/>
    <s v="Q076 - Medellin - Cc Florida"/>
    <x v="3"/>
    <s v="septiembre"/>
    <n v="23"/>
    <d v="2026-09-23T00:00:00"/>
    <n v="32241516"/>
    <s v="VANEGAS GOMEZ JENNY LORENA"/>
    <n v="14"/>
    <n v="0"/>
    <n v="808236"/>
  </r>
  <r>
    <s v="Retail"/>
    <s v="Q076 - Medellin - Cc Florida"/>
    <x v="3"/>
    <s v="septiembre"/>
    <n v="23"/>
    <d v="2026-09-23T00:00:00"/>
    <n v="1000535103"/>
    <s v="BETANCUR ARANGO SEBASTIAN"/>
    <n v="94"/>
    <n v="0"/>
    <n v="5344667"/>
  </r>
  <r>
    <s v="Retail"/>
    <s v="Q076 - Medellin - Cc Florida"/>
    <x v="3"/>
    <s v="septiembre"/>
    <n v="23"/>
    <d v="2026-09-23T00:00:00"/>
    <n v="1056771455"/>
    <s v="CORREA OLAYA JANNIN JULIANA"/>
    <n v="15"/>
    <n v="0"/>
    <n v="885882"/>
  </r>
  <r>
    <s v="Retail"/>
    <s v="Q076 - Medellin - Cc Florida"/>
    <x v="3"/>
    <s v="septiembre"/>
    <n v="23"/>
    <d v="2026-09-23T00:00:00"/>
    <n v="1056785111"/>
    <s v="LOPEZ  ALZATE JESSICA ALEJANDRA "/>
    <n v="73"/>
    <n v="0"/>
    <n v="5211222"/>
  </r>
  <r>
    <s v="Retail"/>
    <s v="Q076 - Medellin - Cc Florida"/>
    <x v="3"/>
    <s v="septiembre"/>
    <n v="23"/>
    <d v="2026-09-23T00:00:00"/>
    <n v="1101817682"/>
    <s v="PIÑERES FRANCO MAYRA  ALEJANDRA"/>
    <n v="8"/>
    <n v="0"/>
    <n v="386219"/>
  </r>
  <r>
    <s v="Retail"/>
    <s v="Q076 - Medellin - Cc Florida"/>
    <x v="3"/>
    <s v="septiembre"/>
    <n v="24"/>
    <d v="2026-09-24T00:00:00"/>
    <m/>
    <m/>
    <n v="0"/>
    <n v="13639510"/>
    <n v="0"/>
  </r>
  <r>
    <s v="Retail"/>
    <s v="Q076 - Medellin - Cc Florida"/>
    <x v="3"/>
    <s v="septiembre"/>
    <n v="24"/>
    <d v="2026-09-24T00:00:00"/>
    <n v="32241516"/>
    <s v="VANEGAS GOMEZ JENNY LORENA"/>
    <n v="28"/>
    <n v="0"/>
    <n v="1862269"/>
  </r>
  <r>
    <s v="Retail"/>
    <s v="Q076 - Medellin - Cc Florida"/>
    <x v="3"/>
    <s v="septiembre"/>
    <n v="24"/>
    <d v="2026-09-24T00:00:00"/>
    <n v="1000535103"/>
    <s v="BETANCUR ARANGO SEBASTIAN"/>
    <n v="88"/>
    <n v="0"/>
    <n v="5099207"/>
  </r>
  <r>
    <s v="Retail"/>
    <s v="Q076 - Medellin - Cc Florida"/>
    <x v="3"/>
    <s v="septiembre"/>
    <n v="24"/>
    <d v="2026-09-24T00:00:00"/>
    <n v="1056771455"/>
    <s v="CORREA OLAYA JANNIN JULIANA"/>
    <n v="7"/>
    <n v="0"/>
    <n v="545925"/>
  </r>
  <r>
    <s v="Retail"/>
    <s v="Q076 - Medellin - Cc Florida"/>
    <x v="3"/>
    <s v="septiembre"/>
    <n v="24"/>
    <d v="2026-09-24T00:00:00"/>
    <n v="1056785111"/>
    <s v="LOPEZ  ALZATE JESSICA ALEJANDRA "/>
    <n v="88"/>
    <n v="0"/>
    <n v="5088615"/>
  </r>
  <r>
    <s v="Retail"/>
    <s v="Q076 - Medellin - Cc Florida"/>
    <x v="3"/>
    <s v="septiembre"/>
    <n v="24"/>
    <d v="2026-09-24T00:00:00"/>
    <n v="1101817682"/>
    <s v="PIÑERES FRANCO MAYRA  ALEJANDRA"/>
    <n v="10"/>
    <n v="0"/>
    <n v="619328"/>
  </r>
  <r>
    <s v="Retail"/>
    <s v="Q076 - Medellin - Cc Florida"/>
    <x v="3"/>
    <s v="septiembre"/>
    <n v="25"/>
    <d v="2026-09-25T00:00:00"/>
    <m/>
    <m/>
    <n v="0"/>
    <n v="13609312"/>
    <n v="0"/>
  </r>
  <r>
    <s v="Retail"/>
    <s v="Q076 - Medellin - Cc Florida"/>
    <x v="3"/>
    <s v="septiembre"/>
    <n v="25"/>
    <d v="2026-09-25T00:00:00"/>
    <n v="32241516"/>
    <s v="VANEGAS GOMEZ JENNY LORENA"/>
    <n v="15"/>
    <n v="0"/>
    <n v="873320"/>
  </r>
  <r>
    <s v="Retail"/>
    <s v="Q076 - Medellin - Cc Florida"/>
    <x v="3"/>
    <s v="septiembre"/>
    <n v="25"/>
    <d v="2026-09-25T00:00:00"/>
    <n v="1000535103"/>
    <s v="BETANCUR ARANGO SEBASTIAN"/>
    <n v="102"/>
    <n v="0"/>
    <n v="6344372"/>
  </r>
  <r>
    <s v="Retail"/>
    <s v="Q076 - Medellin - Cc Florida"/>
    <x v="3"/>
    <s v="septiembre"/>
    <n v="25"/>
    <d v="2026-09-25T00:00:00"/>
    <n v="1056771455"/>
    <s v="CORREA OLAYA JANNIN JULIANA"/>
    <n v="26"/>
    <n v="0"/>
    <n v="1356053"/>
  </r>
  <r>
    <s v="Retail"/>
    <s v="Q076 - Medellin - Cc Florida"/>
    <x v="3"/>
    <s v="septiembre"/>
    <n v="25"/>
    <d v="2026-09-25T00:00:00"/>
    <n v="1056785111"/>
    <s v="LOPEZ  ALZATE JESSICA ALEJANDRA "/>
    <n v="96"/>
    <n v="0"/>
    <n v="5357228"/>
  </r>
  <r>
    <s v="Retail"/>
    <s v="Q076 - Medellin - Cc Florida"/>
    <x v="3"/>
    <s v="septiembre"/>
    <n v="25"/>
    <d v="2026-09-25T00:00:00"/>
    <n v="1101817682"/>
    <s v="PIÑERES FRANCO MAYRA  ALEJANDRA"/>
    <n v="4"/>
    <n v="0"/>
    <n v="176304"/>
  </r>
  <r>
    <s v="Retail"/>
    <s v="Q076 - Medellin - Cc Florida"/>
    <x v="3"/>
    <s v="septiembre"/>
    <n v="26"/>
    <d v="2026-09-26T00:00:00"/>
    <m/>
    <m/>
    <n v="0"/>
    <n v="19558538"/>
    <n v="0"/>
  </r>
  <r>
    <s v="Retail"/>
    <s v="Q076 - Medellin - Cc Florida"/>
    <x v="3"/>
    <s v="septiembre"/>
    <n v="26"/>
    <d v="2026-09-26T00:00:00"/>
    <n v="32241516"/>
    <s v="VANEGAS GOMEZ JENNY LORENA"/>
    <n v="22"/>
    <n v="0"/>
    <n v="1326807"/>
  </r>
  <r>
    <s v="Retail"/>
    <s v="Q076 - Medellin - Cc Florida"/>
    <x v="3"/>
    <s v="septiembre"/>
    <n v="26"/>
    <d v="2026-09-26T00:00:00"/>
    <n v="1000535103"/>
    <s v="BETANCUR ARANGO SEBASTIAN"/>
    <n v="131"/>
    <n v="0"/>
    <n v="8897820"/>
  </r>
  <r>
    <s v="Retail"/>
    <s v="Q076 - Medellin - Cc Florida"/>
    <x v="3"/>
    <s v="septiembre"/>
    <n v="26"/>
    <d v="2026-09-26T00:00:00"/>
    <n v="1056771455"/>
    <s v="CORREA OLAYA JANNIN JULIANA"/>
    <n v="39"/>
    <n v="0"/>
    <n v="2363909"/>
  </r>
  <r>
    <s v="Retail"/>
    <s v="Q076 - Medellin - Cc Florida"/>
    <x v="3"/>
    <s v="septiembre"/>
    <n v="26"/>
    <d v="2026-09-26T00:00:00"/>
    <n v="1056785111"/>
    <s v="LOPEZ  ALZATE JESSICA ALEJANDRA "/>
    <n v="145"/>
    <n v="0"/>
    <n v="8924462"/>
  </r>
  <r>
    <s v="Retail"/>
    <s v="Q076 - Medellin - Cc Florida"/>
    <x v="3"/>
    <s v="septiembre"/>
    <n v="26"/>
    <d v="2026-09-26T00:00:00"/>
    <n v="1101817682"/>
    <s v="PIÑERES FRANCO MAYRA  ALEJANDRA"/>
    <n v="28"/>
    <n v="0"/>
    <n v="1645882"/>
  </r>
  <r>
    <s v="Retail"/>
    <s v="Q076 - Medellin - Cc Florida"/>
    <x v="3"/>
    <s v="septiembre"/>
    <n v="27"/>
    <d v="2026-09-27T00:00:00"/>
    <m/>
    <m/>
    <n v="0"/>
    <n v="15494299"/>
    <n v="0"/>
  </r>
  <r>
    <s v="Retail"/>
    <s v="Q076 - Medellin - Cc Florida"/>
    <x v="3"/>
    <s v="septiembre"/>
    <n v="27"/>
    <d v="2026-09-27T00:00:00"/>
    <n v="32241516"/>
    <s v="VANEGAS GOMEZ JENNY LORENA"/>
    <n v="22"/>
    <n v="0"/>
    <n v="1423360"/>
  </r>
  <r>
    <s v="Retail"/>
    <s v="Q076 - Medellin - Cc Florida"/>
    <x v="3"/>
    <s v="septiembre"/>
    <n v="27"/>
    <d v="2026-09-27T00:00:00"/>
    <n v="1000535103"/>
    <s v="BETANCUR ARANGO SEBASTIAN"/>
    <n v="111"/>
    <n v="0"/>
    <n v="7100263"/>
  </r>
  <r>
    <s v="Retail"/>
    <s v="Q076 - Medellin - Cc Florida"/>
    <x v="3"/>
    <s v="septiembre"/>
    <n v="27"/>
    <d v="2026-09-27T00:00:00"/>
    <n v="1056771455"/>
    <s v="CORREA OLAYA JANNIN JULIANA"/>
    <n v="40"/>
    <n v="0"/>
    <n v="3178866"/>
  </r>
  <r>
    <s v="Retail"/>
    <s v="Q076 - Medellin - Cc Florida"/>
    <x v="3"/>
    <s v="septiembre"/>
    <n v="27"/>
    <d v="2026-09-27T00:00:00"/>
    <n v="1056785111"/>
    <s v="LOPEZ  ALZATE JESSICA ALEJANDRA "/>
    <n v="109"/>
    <n v="0"/>
    <n v="6196727"/>
  </r>
  <r>
    <s v="Retail"/>
    <s v="Q076 - Medellin - Cc Florida"/>
    <x v="3"/>
    <s v="septiembre"/>
    <n v="27"/>
    <d v="2026-09-27T00:00:00"/>
    <n v="1101817682"/>
    <s v="PIÑERES FRANCO MAYRA  ALEJANDRA"/>
    <n v="11"/>
    <n v="0"/>
    <n v="711682"/>
  </r>
  <r>
    <s v="Retail"/>
    <s v="Q076 - Medellin - Cc Florida"/>
    <x v="3"/>
    <s v="septiembre"/>
    <n v="28"/>
    <d v="2026-09-28T00:00:00"/>
    <m/>
    <m/>
    <n v="0"/>
    <n v="8527426"/>
    <n v="0"/>
  </r>
  <r>
    <s v="Retail"/>
    <s v="Q076 - Medellin - Cc Florida"/>
    <x v="3"/>
    <s v="septiembre"/>
    <n v="28"/>
    <d v="2026-09-28T00:00:00"/>
    <n v="32241516"/>
    <s v="VANEGAS GOMEZ JENNY LORENA"/>
    <n v="9"/>
    <n v="0"/>
    <n v="314706"/>
  </r>
  <r>
    <s v="Retail"/>
    <s v="Q076 - Medellin - Cc Florida"/>
    <x v="3"/>
    <s v="septiembre"/>
    <n v="28"/>
    <d v="2026-09-28T00:00:00"/>
    <n v="1000535103"/>
    <s v="BETANCUR ARANGO SEBASTIAN"/>
    <n v="57"/>
    <n v="0"/>
    <n v="3224329"/>
  </r>
  <r>
    <s v="Retail"/>
    <s v="Q076 - Medellin - Cc Florida"/>
    <x v="3"/>
    <s v="septiembre"/>
    <n v="28"/>
    <d v="2026-09-28T00:00:00"/>
    <n v="1056771455"/>
    <s v="CORREA OLAYA JANNIN JULIANA"/>
    <n v="13"/>
    <n v="0"/>
    <n v="953194"/>
  </r>
  <r>
    <s v="Retail"/>
    <s v="Q076 - Medellin - Cc Florida"/>
    <x v="3"/>
    <s v="septiembre"/>
    <n v="28"/>
    <d v="2026-09-28T00:00:00"/>
    <n v="1056785111"/>
    <s v="LOPEZ  ALZATE JESSICA ALEJANDRA "/>
    <n v="57"/>
    <n v="0"/>
    <n v="3329458"/>
  </r>
  <r>
    <s v="Retail"/>
    <s v="Q076 - Medellin - Cc Florida"/>
    <x v="3"/>
    <s v="septiembre"/>
    <n v="28"/>
    <d v="2026-09-28T00:00:00"/>
    <n v="1101817682"/>
    <s v="PIÑERES FRANCO MAYRA  ALEJANDRA"/>
    <n v="5"/>
    <n v="0"/>
    <n v="293908"/>
  </r>
  <r>
    <s v="Retail"/>
    <s v="Q076 - Medellin - Cc Florida"/>
    <x v="3"/>
    <s v="septiembre"/>
    <n v="29"/>
    <d v="2026-09-29T00:00:00"/>
    <m/>
    <m/>
    <n v="0"/>
    <n v="9108960"/>
    <n v="0"/>
  </r>
  <r>
    <s v="Retail"/>
    <s v="Q076 - Medellin - Cc Florida"/>
    <x v="3"/>
    <s v="septiembre"/>
    <n v="29"/>
    <d v="2026-09-29T00:00:00"/>
    <n v="32241516"/>
    <s v="VANEGAS GOMEZ JENNY LORENA"/>
    <n v="13"/>
    <n v="0"/>
    <n v="915378"/>
  </r>
  <r>
    <s v="Retail"/>
    <s v="Q076 - Medellin - Cc Florida"/>
    <x v="3"/>
    <s v="septiembre"/>
    <n v="29"/>
    <d v="2026-09-29T00:00:00"/>
    <n v="1000535103"/>
    <s v="BETANCUR ARANGO SEBASTIAN"/>
    <n v="73"/>
    <n v="0"/>
    <n v="4958995"/>
  </r>
  <r>
    <s v="Retail"/>
    <s v="Q076 - Medellin - Cc Florida"/>
    <x v="3"/>
    <s v="septiembre"/>
    <n v="29"/>
    <d v="2026-09-29T00:00:00"/>
    <n v="1056771455"/>
    <s v="CORREA OLAYA JANNIN JULIANA"/>
    <n v="20"/>
    <n v="0"/>
    <n v="1267984"/>
  </r>
  <r>
    <s v="Retail"/>
    <s v="Q076 - Medellin - Cc Florida"/>
    <x v="3"/>
    <s v="septiembre"/>
    <n v="29"/>
    <d v="2026-09-29T00:00:00"/>
    <n v="1056785111"/>
    <s v="LOPEZ  ALZATE JESSICA ALEJANDRA "/>
    <n v="49"/>
    <n v="0"/>
    <n v="2932565"/>
  </r>
  <r>
    <s v="Retail"/>
    <s v="Q076 - Medellin - Cc Florida"/>
    <x v="3"/>
    <s v="septiembre"/>
    <n v="29"/>
    <d v="2026-09-29T00:00:00"/>
    <n v="1101817682"/>
    <s v="PIÑERES FRANCO MAYRA  ALEJANDRA"/>
    <n v="12"/>
    <n v="0"/>
    <n v="764161"/>
  </r>
  <r>
    <s v="Retail"/>
    <s v="Q076 - Medellin - Cc Florida"/>
    <x v="3"/>
    <s v="septiembre"/>
    <n v="30"/>
    <d v="2026-09-30T00:00:00"/>
    <m/>
    <m/>
    <n v="0"/>
    <n v="9409717"/>
    <n v="0"/>
  </r>
  <r>
    <s v="Retail"/>
    <s v="Q076 - Medellin - Cc Florida"/>
    <x v="3"/>
    <s v="septiembre"/>
    <n v="30"/>
    <d v="2026-09-30T00:00:00"/>
    <n v="32241516"/>
    <s v="VANEGAS GOMEZ JENNY LORENA"/>
    <n v="12"/>
    <n v="0"/>
    <n v="696891"/>
  </r>
  <r>
    <s v="Retail"/>
    <s v="Q076 - Medellin - Cc Florida"/>
    <x v="3"/>
    <s v="septiembre"/>
    <n v="30"/>
    <d v="2026-09-30T00:00:00"/>
    <n v="1000535103"/>
    <s v="BETANCUR ARANGO SEBASTIAN"/>
    <n v="83"/>
    <n v="0"/>
    <n v="5212859"/>
  </r>
  <r>
    <s v="Retail"/>
    <s v="Q076 - Medellin - Cc Florida"/>
    <x v="3"/>
    <s v="septiembre"/>
    <n v="30"/>
    <d v="2026-09-30T00:00:00"/>
    <n v="1056771455"/>
    <s v="CORREA OLAYA JANNIN JULIANA"/>
    <n v="20"/>
    <n v="0"/>
    <n v="1238490"/>
  </r>
  <r>
    <s v="Retail"/>
    <s v="Q076 - Medellin - Cc Florida"/>
    <x v="3"/>
    <s v="septiembre"/>
    <n v="30"/>
    <d v="2026-09-30T00:00:00"/>
    <n v="1056785111"/>
    <s v="LOPEZ  ALZATE JESSICA ALEJANDRA "/>
    <n v="81"/>
    <n v="0"/>
    <n v="4695973"/>
  </r>
  <r>
    <s v="Retail"/>
    <s v="Q076 - Medellin - Cc Florida"/>
    <x v="3"/>
    <s v="septiembre"/>
    <n v="30"/>
    <d v="2026-09-30T00:00:00"/>
    <n v="1101817682"/>
    <s v="PIÑERES FRANCO MAYRA  ALEJANDRA"/>
    <n v="9"/>
    <n v="0"/>
    <n v="604665"/>
  </r>
  <r>
    <s v="Retail"/>
    <s v="Q076 - Medellin - Cc Florida"/>
    <x v="3"/>
    <s v="octubre"/>
    <n v="1"/>
    <d v="2026-10-01T00:00:00"/>
    <m/>
    <m/>
    <n v="0"/>
    <n v="12049055"/>
    <n v="0"/>
  </r>
  <r>
    <s v="Retail"/>
    <s v="Q076 - Medellin - Cc Florida"/>
    <x v="3"/>
    <s v="octubre"/>
    <n v="1"/>
    <d v="2026-10-01T00:00:00"/>
    <n v="32241516"/>
    <s v="VANEGAS GOMEZ JENNY LORENA"/>
    <n v="40"/>
    <n v="0"/>
    <n v="2191388"/>
  </r>
  <r>
    <s v="Retail"/>
    <s v="Q076 - Medellin - Cc Florida"/>
    <x v="3"/>
    <s v="octubre"/>
    <n v="1"/>
    <d v="2026-10-01T00:00:00"/>
    <n v="1000535103"/>
    <s v="BETANCUR ARANGO SEBASTIAN"/>
    <n v="84"/>
    <n v="0"/>
    <n v="4603155"/>
  </r>
  <r>
    <s v="Retail"/>
    <s v="Q076 - Medellin - Cc Florida"/>
    <x v="3"/>
    <s v="octubre"/>
    <n v="1"/>
    <d v="2026-10-01T00:00:00"/>
    <n v="1056771455"/>
    <s v="CORREA OLAYA JANNIN JULIANA"/>
    <n v="22"/>
    <n v="0"/>
    <n v="1129203"/>
  </r>
  <r>
    <s v="Retail"/>
    <s v="Q076 - Medellin - Cc Florida"/>
    <x v="3"/>
    <s v="octubre"/>
    <n v="1"/>
    <d v="2026-10-01T00:00:00"/>
    <n v="1056785111"/>
    <s v="LOPEZ  ALZATE JESSICA ALEJANDRA "/>
    <n v="59"/>
    <n v="0"/>
    <n v="3699080"/>
  </r>
  <r>
    <s v="Retail"/>
    <s v="Q076 - Medellin - Cc Florida"/>
    <x v="3"/>
    <s v="octubre"/>
    <n v="1"/>
    <d v="2026-10-01T00:00:00"/>
    <n v="1101817682"/>
    <s v="PIÑERES FRANCO MAYRA  ALEJANDRA"/>
    <n v="14"/>
    <n v="0"/>
    <n v="608572"/>
  </r>
  <r>
    <s v="Retail"/>
    <s v="Q076 - Medellin - Cc Florida"/>
    <x v="3"/>
    <s v="octubre"/>
    <n v="2"/>
    <d v="2026-10-02T00:00:00"/>
    <m/>
    <m/>
    <n v="0"/>
    <n v="11409850"/>
    <n v="0"/>
  </r>
  <r>
    <s v="Retail"/>
    <s v="Q076 - Medellin - Cc Florida"/>
    <x v="3"/>
    <s v="octubre"/>
    <n v="2"/>
    <d v="2026-10-02T00:00:00"/>
    <n v="32241516"/>
    <s v="VANEGAS GOMEZ JENNY LORENA"/>
    <n v="12"/>
    <n v="0"/>
    <n v="701135"/>
  </r>
  <r>
    <s v="Retail"/>
    <s v="Q076 - Medellin - Cc Florida"/>
    <x v="3"/>
    <s v="octubre"/>
    <n v="2"/>
    <d v="2026-10-02T00:00:00"/>
    <n v="1000535103"/>
    <s v="BETANCUR ARANGO SEBASTIAN"/>
    <n v="96"/>
    <n v="0"/>
    <n v="6327734"/>
  </r>
  <r>
    <s v="Retail"/>
    <s v="Q076 - Medellin - Cc Florida"/>
    <x v="3"/>
    <s v="octubre"/>
    <n v="2"/>
    <d v="2026-10-02T00:00:00"/>
    <n v="1056771455"/>
    <s v="CORREA OLAYA JANNIN JULIANA"/>
    <n v="27"/>
    <n v="0"/>
    <n v="1933700"/>
  </r>
  <r>
    <s v="Retail"/>
    <s v="Q076 - Medellin - Cc Florida"/>
    <x v="3"/>
    <s v="octubre"/>
    <n v="2"/>
    <d v="2026-10-02T00:00:00"/>
    <n v="1056785111"/>
    <s v="LOPEZ  ALZATE JESSICA ALEJANDRA "/>
    <n v="103"/>
    <n v="0"/>
    <n v="6390381"/>
  </r>
  <r>
    <s v="Retail"/>
    <s v="Q076 - Medellin - Cc Florida"/>
    <x v="3"/>
    <s v="octubre"/>
    <n v="2"/>
    <d v="2026-10-02T00:00:00"/>
    <n v="1101817682"/>
    <s v="PIÑERES FRANCO MAYRA  ALEJANDRA"/>
    <n v="4"/>
    <n v="0"/>
    <n v="256134"/>
  </r>
  <r>
    <s v="Retail"/>
    <s v="Q076 - Medellin - Cc Florida"/>
    <x v="3"/>
    <s v="octubre"/>
    <n v="3"/>
    <d v="2026-10-03T00:00:00"/>
    <m/>
    <m/>
    <n v="0"/>
    <n v="20066092"/>
    <n v="0"/>
  </r>
  <r>
    <s v="Retail"/>
    <s v="Q076 - Medellin - Cc Florida"/>
    <x v="3"/>
    <s v="octubre"/>
    <n v="3"/>
    <d v="2026-10-03T00:00:00"/>
    <n v="32241516"/>
    <s v="VANEGAS GOMEZ JENNY LORENA"/>
    <n v="42"/>
    <n v="0"/>
    <n v="2335277"/>
  </r>
  <r>
    <s v="Retail"/>
    <s v="Q076 - Medellin - Cc Florida"/>
    <x v="3"/>
    <s v="octubre"/>
    <n v="3"/>
    <d v="2026-10-03T00:00:00"/>
    <n v="1000535103"/>
    <s v="BETANCUR ARANGO SEBASTIAN"/>
    <n v="139"/>
    <n v="0"/>
    <n v="8242948"/>
  </r>
  <r>
    <s v="Retail"/>
    <s v="Q076 - Medellin - Cc Florida"/>
    <x v="3"/>
    <s v="octubre"/>
    <n v="3"/>
    <d v="2026-10-03T00:00:00"/>
    <n v="1056771455"/>
    <s v="CORREA OLAYA JANNIN JULIANA"/>
    <n v="25"/>
    <n v="0"/>
    <n v="1422514"/>
  </r>
  <r>
    <s v="Retail"/>
    <s v="Q076 - Medellin - Cc Florida"/>
    <x v="3"/>
    <s v="octubre"/>
    <n v="3"/>
    <d v="2026-10-03T00:00:00"/>
    <n v="1056785111"/>
    <s v="LOPEZ  ALZATE JESSICA ALEJANDRA "/>
    <n v="123"/>
    <n v="0"/>
    <n v="7279226"/>
  </r>
  <r>
    <s v="Retail"/>
    <s v="Q076 - Medellin - Cc Florida"/>
    <x v="3"/>
    <s v="octubre"/>
    <n v="4"/>
    <d v="2026-10-04T00:00:00"/>
    <m/>
    <m/>
    <n v="0"/>
    <n v="19114236"/>
    <n v="0"/>
  </r>
  <r>
    <s v="Retail"/>
    <s v="Q076 - Medellin - Cc Florida"/>
    <x v="3"/>
    <s v="octubre"/>
    <n v="4"/>
    <d v="2026-10-04T00:00:00"/>
    <n v="32241516"/>
    <s v="VANEGAS GOMEZ JENNY LORENA"/>
    <n v="29"/>
    <n v="0"/>
    <n v="1792648"/>
  </r>
  <r>
    <s v="Retail"/>
    <s v="Q076 - Medellin - Cc Florida"/>
    <x v="3"/>
    <s v="octubre"/>
    <n v="4"/>
    <d v="2026-10-04T00:00:00"/>
    <n v="1000535103"/>
    <s v="BETANCUR ARANGO SEBASTIAN"/>
    <n v="132"/>
    <n v="0"/>
    <n v="8086055"/>
  </r>
  <r>
    <s v="Retail"/>
    <s v="Q076 - Medellin - Cc Florida"/>
    <x v="3"/>
    <s v="octubre"/>
    <n v="4"/>
    <d v="2026-10-04T00:00:00"/>
    <n v="1056771455"/>
    <s v="CORREA OLAYA JANNIN JULIANA"/>
    <n v="37"/>
    <n v="0"/>
    <n v="2555046"/>
  </r>
  <r>
    <s v="Retail"/>
    <s v="Q076 - Medellin - Cc Florida"/>
    <x v="3"/>
    <s v="octubre"/>
    <n v="4"/>
    <d v="2026-10-04T00:00:00"/>
    <n v="1056785111"/>
    <s v="LOPEZ  ALZATE JESSICA ALEJANDRA "/>
    <n v="111"/>
    <n v="0"/>
    <n v="6791476"/>
  </r>
  <r>
    <s v="Retail"/>
    <s v="Q076 - Medellin - Cc Florida"/>
    <x v="3"/>
    <s v="octubre"/>
    <n v="5"/>
    <d v="2026-10-05T00:00:00"/>
    <m/>
    <m/>
    <n v="0"/>
    <n v="9437254"/>
    <n v="0"/>
  </r>
  <r>
    <s v="Retail"/>
    <s v="Q076 - Medellin - Cc Florida"/>
    <x v="3"/>
    <s v="octubre"/>
    <n v="5"/>
    <d v="2026-10-05T00:00:00"/>
    <n v="1056771455"/>
    <s v="CORREA OLAYA JANNIN JULIANA"/>
    <n v="26"/>
    <n v="0"/>
    <n v="1257312"/>
  </r>
  <r>
    <s v="Retail"/>
    <s v="Q076 - Medellin - Cc Florida"/>
    <x v="3"/>
    <s v="octubre"/>
    <n v="5"/>
    <d v="2026-10-05T00:00:00"/>
    <n v="1056785111"/>
    <s v="LOPEZ  ALZATE JESSICA ALEJANDRA "/>
    <n v="72"/>
    <n v="0"/>
    <n v="5030424"/>
  </r>
  <r>
    <s v="Retail"/>
    <s v="Q076 - Medellin - Cc Florida"/>
    <x v="3"/>
    <s v="octubre"/>
    <n v="6"/>
    <d v="2026-10-06T00:00:00"/>
    <m/>
    <m/>
    <n v="0"/>
    <n v="6523198"/>
    <n v="0"/>
  </r>
  <r>
    <s v="Retail"/>
    <s v="Q076 - Medellin - Cc Florida"/>
    <x v="3"/>
    <s v="octubre"/>
    <n v="6"/>
    <d v="2026-10-06T00:00:00"/>
    <n v="1000535103"/>
    <s v="BETANCUR ARANGO SEBASTIAN"/>
    <n v="28"/>
    <n v="0"/>
    <n v="1670926"/>
  </r>
  <r>
    <s v="Retail"/>
    <s v="Q076 - Medellin - Cc Florida"/>
    <x v="3"/>
    <s v="octubre"/>
    <n v="6"/>
    <d v="2026-10-06T00:00:00"/>
    <n v="1056771455"/>
    <s v="CORREA OLAYA JANNIN JULIANA"/>
    <n v="5"/>
    <n v="0"/>
    <n v="150967"/>
  </r>
  <r>
    <s v="Retail"/>
    <s v="Q076 - Medellin - Cc Florida"/>
    <x v="3"/>
    <s v="octubre"/>
    <n v="6"/>
    <d v="2026-10-06T00:00:00"/>
    <n v="1056785111"/>
    <s v="LOPEZ  ALZATE JESSICA ALEJANDRA "/>
    <n v="59"/>
    <n v="0"/>
    <n v="3160926"/>
  </r>
  <r>
    <s v="Retail"/>
    <s v="Q076 - Medellin - Cc Florida"/>
    <x v="3"/>
    <s v="octubre"/>
    <n v="7"/>
    <d v="2026-10-07T00:00:00"/>
    <m/>
    <m/>
    <n v="0"/>
    <n v="6437366"/>
    <n v="0"/>
  </r>
  <r>
    <s v="Retail"/>
    <s v="Q076 - Medellin - Cc Florida"/>
    <x v="3"/>
    <s v="octubre"/>
    <n v="7"/>
    <d v="2026-10-07T00:00:00"/>
    <n v="1000535103"/>
    <s v="BETANCUR ARANGO SEBASTIAN"/>
    <n v="81"/>
    <n v="0"/>
    <n v="4995718"/>
  </r>
  <r>
    <s v="Retail"/>
    <s v="Q076 - Medellin - Cc Florida"/>
    <x v="3"/>
    <s v="octubre"/>
    <n v="7"/>
    <d v="2026-10-07T00:00:00"/>
    <n v="1000886426"/>
    <s v="RODAS  MAZO CINDY DAIANNA "/>
    <n v="-1"/>
    <n v="0"/>
    <n v="-117563"/>
  </r>
  <r>
    <s v="Retail"/>
    <s v="Q076 - Medellin - Cc Florida"/>
    <x v="3"/>
    <s v="octubre"/>
    <n v="7"/>
    <d v="2026-10-07T00:00:00"/>
    <n v="1056771455"/>
    <s v="CORREA OLAYA JANNIN JULIANA"/>
    <n v="26"/>
    <n v="0"/>
    <n v="1099454"/>
  </r>
  <r>
    <s v="Retail"/>
    <s v="Q094 - Medellin - Cc Aventura"/>
    <x v="3"/>
    <s v="septiembre"/>
    <n v="23"/>
    <d v="2026-09-23T00:00:00"/>
    <m/>
    <m/>
    <n v="0"/>
    <n v="5531922"/>
    <n v="0"/>
  </r>
  <r>
    <s v="Retail"/>
    <s v="Q094 - Medellin - Cc Aventura"/>
    <x v="3"/>
    <s v="septiembre"/>
    <n v="23"/>
    <d v="2026-09-23T00:00:00"/>
    <n v="1001022911"/>
    <s v="SALINAS CHAVARRÍA LAURYS DANIELA"/>
    <n v="14"/>
    <n v="0"/>
    <n v="898530"/>
  </r>
  <r>
    <s v="Retail"/>
    <s v="Q094 - Medellin - Cc Aventura"/>
    <x v="3"/>
    <s v="septiembre"/>
    <n v="23"/>
    <d v="2026-09-23T00:00:00"/>
    <n v="1007102865"/>
    <s v="BEDOYA  ALVAREZ CAMILA ANDREA "/>
    <n v="17"/>
    <n v="0"/>
    <n v="989933"/>
  </r>
  <r>
    <s v="Retail"/>
    <s v="Q094 - Medellin - Cc Aventura"/>
    <x v="3"/>
    <s v="septiembre"/>
    <n v="23"/>
    <d v="2026-09-23T00:00:00"/>
    <n v="1032013463"/>
    <s v="HENAO  AGUDELO LAURA VALENTINA "/>
    <n v="37"/>
    <n v="0"/>
    <n v="2151727"/>
  </r>
  <r>
    <s v="Retail"/>
    <s v="Q094 - Medellin - Cc Aventura"/>
    <x v="3"/>
    <s v="septiembre"/>
    <n v="23"/>
    <d v="2026-09-23T00:00:00"/>
    <n v="1045421676"/>
    <s v="GOMEZ VELASQUEZ DANYS MILEIDY"/>
    <n v="11"/>
    <n v="0"/>
    <n v="894412"/>
  </r>
  <r>
    <s v="Retail"/>
    <s v="Q094 - Medellin - Cc Aventura"/>
    <x v="3"/>
    <s v="septiembre"/>
    <n v="24"/>
    <d v="2026-09-24T00:00:00"/>
    <m/>
    <m/>
    <n v="0"/>
    <n v="8450634"/>
    <n v="0"/>
  </r>
  <r>
    <s v="Retail"/>
    <s v="Q094 - Medellin - Cc Aventura"/>
    <x v="3"/>
    <s v="septiembre"/>
    <n v="24"/>
    <d v="2026-09-24T00:00:00"/>
    <n v="1001022911"/>
    <s v="SALINAS CHAVARRÍA LAURYS DANIELA"/>
    <n v="24"/>
    <n v="0"/>
    <n v="1528363"/>
  </r>
  <r>
    <s v="Retail"/>
    <s v="Q094 - Medellin - Cc Aventura"/>
    <x v="3"/>
    <s v="septiembre"/>
    <n v="24"/>
    <d v="2026-09-24T00:00:00"/>
    <n v="1007102865"/>
    <s v="BEDOYA  ALVAREZ CAMILA ANDREA "/>
    <n v="28"/>
    <n v="0"/>
    <n v="1494455"/>
  </r>
  <r>
    <s v="Retail"/>
    <s v="Q094 - Medellin - Cc Aventura"/>
    <x v="3"/>
    <s v="septiembre"/>
    <n v="24"/>
    <d v="2026-09-24T00:00:00"/>
    <n v="1032013463"/>
    <s v="HENAO  AGUDELO LAURA VALENTINA "/>
    <n v="26"/>
    <n v="0"/>
    <n v="1345901"/>
  </r>
  <r>
    <s v="Retail"/>
    <s v="Q094 - Medellin - Cc Aventura"/>
    <x v="3"/>
    <s v="septiembre"/>
    <n v="24"/>
    <d v="2026-09-24T00:00:00"/>
    <n v="1045421676"/>
    <s v="GOMEZ VELASQUEZ DANYS MILEIDY"/>
    <n v="29"/>
    <n v="0"/>
    <n v="1641514"/>
  </r>
  <r>
    <s v="Retail"/>
    <s v="Q094 - Medellin - Cc Aventura"/>
    <x v="3"/>
    <s v="septiembre"/>
    <n v="25"/>
    <d v="2026-09-25T00:00:00"/>
    <m/>
    <m/>
    <n v="0"/>
    <n v="8431925"/>
    <n v="0"/>
  </r>
  <r>
    <s v="Retail"/>
    <s v="Q094 - Medellin - Cc Aventura"/>
    <x v="3"/>
    <s v="septiembre"/>
    <n v="25"/>
    <d v="2026-09-25T00:00:00"/>
    <n v="1001022911"/>
    <s v="SALINAS CHAVARRÍA LAURYS DANIELA"/>
    <n v="29"/>
    <n v="0"/>
    <n v="2063825"/>
  </r>
  <r>
    <s v="Retail"/>
    <s v="Q094 - Medellin - Cc Aventura"/>
    <x v="3"/>
    <s v="septiembre"/>
    <n v="25"/>
    <d v="2026-09-25T00:00:00"/>
    <n v="1007102865"/>
    <s v="BEDOYA  ALVAREZ CAMILA ANDREA "/>
    <n v="42"/>
    <n v="0"/>
    <n v="2178826"/>
  </r>
  <r>
    <s v="Retail"/>
    <s v="Q094 - Medellin - Cc Aventura"/>
    <x v="3"/>
    <s v="septiembre"/>
    <n v="25"/>
    <d v="2026-09-25T00:00:00"/>
    <n v="1032013463"/>
    <s v="HENAO  AGUDELO LAURA VALENTINA "/>
    <n v="29"/>
    <n v="0"/>
    <n v="1963069"/>
  </r>
  <r>
    <s v="Retail"/>
    <s v="Q094 - Medellin - Cc Aventura"/>
    <x v="3"/>
    <s v="septiembre"/>
    <n v="25"/>
    <d v="2026-09-25T00:00:00"/>
    <n v="1045421676"/>
    <s v="GOMEZ VELASQUEZ DANYS MILEIDY"/>
    <n v="26"/>
    <n v="0"/>
    <n v="1692101"/>
  </r>
  <r>
    <s v="Retail"/>
    <s v="Q094 - Medellin - Cc Aventura"/>
    <x v="3"/>
    <s v="septiembre"/>
    <n v="26"/>
    <d v="2026-09-26T00:00:00"/>
    <m/>
    <m/>
    <n v="0"/>
    <n v="12117888"/>
    <n v="0"/>
  </r>
  <r>
    <s v="Retail"/>
    <s v="Q094 - Medellin - Cc Aventura"/>
    <x v="3"/>
    <s v="septiembre"/>
    <n v="26"/>
    <d v="2026-09-26T00:00:00"/>
    <n v="1001022911"/>
    <s v="SALINAS CHAVARRÍA LAURYS DANIELA"/>
    <n v="47"/>
    <n v="0"/>
    <n v="2817058"/>
  </r>
  <r>
    <s v="Retail"/>
    <s v="Q094 - Medellin - Cc Aventura"/>
    <x v="3"/>
    <s v="septiembre"/>
    <n v="26"/>
    <d v="2026-09-26T00:00:00"/>
    <n v="1007102865"/>
    <s v="BEDOYA  ALVAREZ CAMILA ANDREA "/>
    <n v="44"/>
    <n v="0"/>
    <n v="2520716"/>
  </r>
  <r>
    <s v="Retail"/>
    <s v="Q094 - Medellin - Cc Aventura"/>
    <x v="3"/>
    <s v="septiembre"/>
    <n v="26"/>
    <d v="2026-09-26T00:00:00"/>
    <n v="1032013463"/>
    <s v="HENAO  AGUDELO LAURA VALENTINA "/>
    <n v="65"/>
    <n v="0"/>
    <n v="3814246"/>
  </r>
  <r>
    <s v="Retail"/>
    <s v="Q094 - Medellin - Cc Aventura"/>
    <x v="3"/>
    <s v="septiembre"/>
    <n v="26"/>
    <d v="2026-09-26T00:00:00"/>
    <n v="1045421676"/>
    <s v="GOMEZ VELASQUEZ DANYS MILEIDY"/>
    <n v="35"/>
    <n v="0"/>
    <n v="2183281"/>
  </r>
  <r>
    <s v="Retail"/>
    <s v="Q094 - Medellin - Cc Aventura"/>
    <x v="3"/>
    <s v="septiembre"/>
    <n v="27"/>
    <d v="2026-09-27T00:00:00"/>
    <m/>
    <m/>
    <n v="0"/>
    <n v="9599806"/>
    <n v="0"/>
  </r>
  <r>
    <s v="Retail"/>
    <s v="Q094 - Medellin - Cc Aventura"/>
    <x v="3"/>
    <s v="septiembre"/>
    <n v="27"/>
    <d v="2026-09-27T00:00:00"/>
    <n v="1001022911"/>
    <s v="SALINAS CHAVARRÍA LAURYS DANIELA"/>
    <n v="24"/>
    <n v="0"/>
    <n v="1364247"/>
  </r>
  <r>
    <s v="Retail"/>
    <s v="Q094 - Medellin - Cc Aventura"/>
    <x v="3"/>
    <s v="septiembre"/>
    <n v="27"/>
    <d v="2026-09-27T00:00:00"/>
    <n v="1007102865"/>
    <s v="BEDOYA  ALVAREZ CAMILA ANDREA "/>
    <n v="24"/>
    <n v="0"/>
    <n v="1589202"/>
  </r>
  <r>
    <s v="Retail"/>
    <s v="Q094 - Medellin - Cc Aventura"/>
    <x v="3"/>
    <s v="septiembre"/>
    <n v="27"/>
    <d v="2026-09-27T00:00:00"/>
    <n v="1032013463"/>
    <s v="HENAO  AGUDELO LAURA VALENTINA "/>
    <n v="37"/>
    <n v="0"/>
    <n v="2189455"/>
  </r>
  <r>
    <s v="Retail"/>
    <s v="Q094 - Medellin - Cc Aventura"/>
    <x v="3"/>
    <s v="septiembre"/>
    <n v="27"/>
    <d v="2026-09-27T00:00:00"/>
    <n v="1045421676"/>
    <s v="GOMEZ VELASQUEZ DANYS MILEIDY"/>
    <n v="23"/>
    <n v="0"/>
    <n v="1028321"/>
  </r>
  <r>
    <s v="Retail"/>
    <s v="Q094 - Medellin - Cc Aventura"/>
    <x v="3"/>
    <s v="septiembre"/>
    <n v="28"/>
    <d v="2026-09-28T00:00:00"/>
    <m/>
    <m/>
    <n v="0"/>
    <n v="5283340"/>
    <n v="0"/>
  </r>
  <r>
    <s v="Retail"/>
    <s v="Q094 - Medellin - Cc Aventura"/>
    <x v="3"/>
    <s v="septiembre"/>
    <n v="28"/>
    <d v="2026-09-28T00:00:00"/>
    <n v="1001022911"/>
    <s v="SALINAS CHAVARRÍA LAURYS DANIELA"/>
    <n v="17"/>
    <n v="0"/>
    <n v="1003490"/>
  </r>
  <r>
    <s v="Retail"/>
    <s v="Q094 - Medellin - Cc Aventura"/>
    <x v="3"/>
    <s v="septiembre"/>
    <n v="28"/>
    <d v="2026-09-28T00:00:00"/>
    <n v="1007102865"/>
    <s v="BEDOYA  ALVAREZ CAMILA ANDREA "/>
    <n v="27"/>
    <n v="0"/>
    <n v="1937899"/>
  </r>
  <r>
    <s v="Retail"/>
    <s v="Q094 - Medellin - Cc Aventura"/>
    <x v="3"/>
    <s v="septiembre"/>
    <n v="28"/>
    <d v="2026-09-28T00:00:00"/>
    <n v="1032013463"/>
    <s v="HENAO  AGUDELO LAURA VALENTINA "/>
    <n v="33"/>
    <n v="0"/>
    <n v="1763112"/>
  </r>
  <r>
    <s v="Retail"/>
    <s v="Q094 - Medellin - Cc Aventura"/>
    <x v="3"/>
    <s v="septiembre"/>
    <n v="28"/>
    <d v="2026-09-28T00:00:00"/>
    <n v="1045421676"/>
    <s v="GOMEZ VELASQUEZ DANYS MILEIDY"/>
    <n v="23"/>
    <n v="0"/>
    <n v="1276263"/>
  </r>
  <r>
    <s v="Retail"/>
    <s v="Q094 - Medellin - Cc Aventura"/>
    <x v="3"/>
    <s v="septiembre"/>
    <n v="28"/>
    <d v="2026-09-28T00:00:00"/>
    <n v="1067865055"/>
    <s v="SANCHEZ BENITEZ DIEGO ANDRES"/>
    <n v="-1"/>
    <n v="0"/>
    <n v="-155420"/>
  </r>
  <r>
    <s v="Retail"/>
    <s v="Q094 - Medellin - Cc Aventura"/>
    <x v="3"/>
    <s v="septiembre"/>
    <n v="29"/>
    <d v="2026-09-29T00:00:00"/>
    <m/>
    <m/>
    <n v="0"/>
    <n v="5643642"/>
    <n v="0"/>
  </r>
  <r>
    <s v="Retail"/>
    <s v="Q094 - Medellin - Cc Aventura"/>
    <x v="3"/>
    <s v="septiembre"/>
    <n v="29"/>
    <d v="2026-09-29T00:00:00"/>
    <n v="1001022911"/>
    <s v="SALINAS CHAVARRÍA LAURYS DANIELA"/>
    <n v="23"/>
    <n v="0"/>
    <n v="1368740"/>
  </r>
  <r>
    <s v="Retail"/>
    <s v="Q094 - Medellin - Cc Aventura"/>
    <x v="3"/>
    <s v="septiembre"/>
    <n v="29"/>
    <d v="2026-09-29T00:00:00"/>
    <n v="1002596138"/>
    <s v="GONZALEZ  GAVIRIA JUAN MANUEL "/>
    <n v="-1"/>
    <n v="0"/>
    <n v="-92395"/>
  </r>
  <r>
    <s v="Retail"/>
    <s v="Q094 - Medellin - Cc Aventura"/>
    <x v="3"/>
    <s v="septiembre"/>
    <n v="29"/>
    <d v="2026-09-29T00:00:00"/>
    <n v="1007102865"/>
    <s v="BEDOYA  ALVAREZ CAMILA ANDREA "/>
    <n v="40"/>
    <n v="0"/>
    <n v="1855294"/>
  </r>
  <r>
    <s v="Retail"/>
    <s v="Q094 - Medellin - Cc Aventura"/>
    <x v="3"/>
    <s v="septiembre"/>
    <n v="29"/>
    <d v="2026-09-29T00:00:00"/>
    <n v="1032013463"/>
    <s v="HENAO  AGUDELO LAURA VALENTINA "/>
    <n v="50"/>
    <n v="0"/>
    <n v="2663740"/>
  </r>
  <r>
    <s v="Retail"/>
    <s v="Q094 - Medellin - Cc Aventura"/>
    <x v="3"/>
    <s v="septiembre"/>
    <n v="29"/>
    <d v="2026-09-29T00:00:00"/>
    <n v="1045421676"/>
    <s v="GOMEZ VELASQUEZ DANYS MILEIDY"/>
    <n v="37"/>
    <n v="0"/>
    <n v="2199960"/>
  </r>
  <r>
    <s v="Retail"/>
    <s v="Q094 - Medellin - Cc Aventura"/>
    <x v="3"/>
    <s v="septiembre"/>
    <n v="30"/>
    <d v="2026-09-30T00:00:00"/>
    <m/>
    <m/>
    <n v="0"/>
    <n v="5829982"/>
    <n v="0"/>
  </r>
  <r>
    <s v="Retail"/>
    <s v="Q094 - Medellin - Cc Aventura"/>
    <x v="3"/>
    <s v="septiembre"/>
    <n v="30"/>
    <d v="2026-09-30T00:00:00"/>
    <n v="1001022911"/>
    <s v="SALINAS CHAVARRÍA LAURYS DANIELA"/>
    <n v="13"/>
    <n v="0"/>
    <n v="574958"/>
  </r>
  <r>
    <s v="Retail"/>
    <s v="Q094 - Medellin - Cc Aventura"/>
    <x v="3"/>
    <s v="septiembre"/>
    <n v="30"/>
    <d v="2026-09-30T00:00:00"/>
    <n v="1007102865"/>
    <s v="BEDOYA  ALVAREZ CAMILA ANDREA "/>
    <n v="24"/>
    <n v="0"/>
    <n v="1347479"/>
  </r>
  <r>
    <s v="Retail"/>
    <s v="Q094 - Medellin - Cc Aventura"/>
    <x v="3"/>
    <s v="septiembre"/>
    <n v="30"/>
    <d v="2026-09-30T00:00:00"/>
    <n v="1032013463"/>
    <s v="HENAO  AGUDELO LAURA VALENTINA "/>
    <n v="19"/>
    <n v="0"/>
    <n v="965588"/>
  </r>
  <r>
    <s v="Retail"/>
    <s v="Q094 - Medellin - Cc Aventura"/>
    <x v="3"/>
    <s v="septiembre"/>
    <n v="30"/>
    <d v="2026-09-30T00:00:00"/>
    <n v="1045421676"/>
    <s v="GOMEZ VELASQUEZ DANYS MILEIDY"/>
    <n v="19"/>
    <n v="0"/>
    <n v="728068"/>
  </r>
  <r>
    <s v="Retail"/>
    <s v="Q094 - Medellin - Cc Aventura"/>
    <x v="3"/>
    <s v="octubre"/>
    <n v="1"/>
    <d v="2026-10-01T00:00:00"/>
    <m/>
    <m/>
    <n v="0"/>
    <n v="11491525"/>
    <n v="0"/>
  </r>
  <r>
    <s v="Retail"/>
    <s v="Q094 - Medellin - Cc Aventura"/>
    <x v="3"/>
    <s v="octubre"/>
    <n v="1"/>
    <d v="2026-10-01T00:00:00"/>
    <n v="1001022911"/>
    <s v="SALINAS CHAVARRÍA LAURYS DANIELA"/>
    <n v="17"/>
    <n v="0"/>
    <n v="877270"/>
  </r>
  <r>
    <s v="Retail"/>
    <s v="Q094 - Medellin - Cc Aventura"/>
    <x v="3"/>
    <s v="octubre"/>
    <n v="1"/>
    <d v="2026-10-01T00:00:00"/>
    <n v="1007102865"/>
    <s v="BEDOYA  ALVAREZ CAMILA ANDREA "/>
    <n v="30"/>
    <n v="0"/>
    <n v="1641386"/>
  </r>
  <r>
    <s v="Retail"/>
    <s v="Q094 - Medellin - Cc Aventura"/>
    <x v="3"/>
    <s v="octubre"/>
    <n v="1"/>
    <d v="2026-10-01T00:00:00"/>
    <n v="1032013463"/>
    <s v="HENAO  AGUDELO LAURA VALENTINA "/>
    <n v="27"/>
    <n v="0"/>
    <n v="1187859"/>
  </r>
  <r>
    <s v="Retail"/>
    <s v="Q094 - Medellin - Cc Aventura"/>
    <x v="3"/>
    <s v="octubre"/>
    <n v="1"/>
    <d v="2026-10-01T00:00:00"/>
    <n v="1045421676"/>
    <s v="GOMEZ VELASQUEZ DANYS MILEIDY"/>
    <n v="33"/>
    <n v="0"/>
    <n v="1731597"/>
  </r>
  <r>
    <s v="Retail"/>
    <s v="Q094 - Medellin - Cc Aventura"/>
    <x v="3"/>
    <s v="octubre"/>
    <n v="2"/>
    <d v="2026-10-02T00:00:00"/>
    <m/>
    <m/>
    <n v="0"/>
    <n v="11376753"/>
    <n v="0"/>
  </r>
  <r>
    <s v="Retail"/>
    <s v="Q094 - Medellin - Cc Aventura"/>
    <x v="3"/>
    <s v="octubre"/>
    <n v="2"/>
    <d v="2026-10-02T00:00:00"/>
    <n v="1001022911"/>
    <s v="SALINAS CHAVARRÍA LAURYS DANIELA"/>
    <n v="24"/>
    <n v="0"/>
    <n v="1524119"/>
  </r>
  <r>
    <s v="Retail"/>
    <s v="Q094 - Medellin - Cc Aventura"/>
    <x v="3"/>
    <s v="octubre"/>
    <n v="2"/>
    <d v="2026-10-02T00:00:00"/>
    <n v="1007102865"/>
    <s v="BEDOYA  ALVAREZ CAMILA ANDREA "/>
    <n v="24"/>
    <n v="0"/>
    <n v="1318112"/>
  </r>
  <r>
    <s v="Retail"/>
    <s v="Q094 - Medellin - Cc Aventura"/>
    <x v="3"/>
    <s v="octubre"/>
    <n v="2"/>
    <d v="2026-10-02T00:00:00"/>
    <n v="1032013463"/>
    <s v="HENAO  AGUDELO LAURA VALENTINA "/>
    <n v="33"/>
    <n v="0"/>
    <n v="2044750"/>
  </r>
  <r>
    <s v="Retail"/>
    <s v="Q094 - Medellin - Cc Aventura"/>
    <x v="3"/>
    <s v="octubre"/>
    <n v="2"/>
    <d v="2026-10-02T00:00:00"/>
    <n v="1036131390"/>
    <s v="MONA MORALES YULIETH"/>
    <n v="-1"/>
    <n v="0"/>
    <n v="-79790"/>
  </r>
  <r>
    <s v="Retail"/>
    <s v="Q094 - Medellin - Cc Aventura"/>
    <x v="3"/>
    <s v="octubre"/>
    <n v="2"/>
    <d v="2026-10-02T00:00:00"/>
    <n v="1045421676"/>
    <s v="GOMEZ VELASQUEZ DANYS MILEIDY"/>
    <n v="30"/>
    <n v="0"/>
    <n v="1708569"/>
  </r>
  <r>
    <s v="Retail"/>
    <s v="Q094 - Medellin - Cc Aventura"/>
    <x v="3"/>
    <s v="octubre"/>
    <n v="3"/>
    <d v="2026-10-03T00:00:00"/>
    <m/>
    <m/>
    <n v="0"/>
    <n v="14390581"/>
    <n v="0"/>
  </r>
  <r>
    <s v="Retail"/>
    <s v="Q094 - Medellin - Cc Aventura"/>
    <x v="3"/>
    <s v="octubre"/>
    <n v="3"/>
    <d v="2026-10-03T00:00:00"/>
    <n v="1001022911"/>
    <s v="SALINAS CHAVARRÍA LAURYS DANIELA"/>
    <n v="24"/>
    <n v="0"/>
    <n v="1380892"/>
  </r>
  <r>
    <s v="Retail"/>
    <s v="Q094 - Medellin - Cc Aventura"/>
    <x v="3"/>
    <s v="octubre"/>
    <n v="3"/>
    <d v="2026-10-03T00:00:00"/>
    <n v="1007102865"/>
    <s v="BEDOYA  ALVAREZ CAMILA ANDREA "/>
    <n v="25"/>
    <n v="0"/>
    <n v="1825422"/>
  </r>
  <r>
    <s v="Retail"/>
    <s v="Q094 - Medellin - Cc Aventura"/>
    <x v="3"/>
    <s v="octubre"/>
    <n v="3"/>
    <d v="2026-10-03T00:00:00"/>
    <n v="1032013463"/>
    <s v="HENAO  AGUDELO LAURA VALENTINA "/>
    <n v="54"/>
    <n v="0"/>
    <n v="2537219"/>
  </r>
  <r>
    <s v="Retail"/>
    <s v="Q094 - Medellin - Cc Aventura"/>
    <x v="3"/>
    <s v="octubre"/>
    <n v="3"/>
    <d v="2026-10-03T00:00:00"/>
    <n v="1045421676"/>
    <s v="GOMEZ VELASQUEZ DANYS MILEIDY"/>
    <n v="35"/>
    <n v="0"/>
    <n v="1779370"/>
  </r>
  <r>
    <s v="Retail"/>
    <s v="Q094 - Medellin - Cc Aventura"/>
    <x v="3"/>
    <s v="octubre"/>
    <n v="3"/>
    <d v="2026-10-03T00:00:00"/>
    <n v="1056785111"/>
    <s v="LOPEZ  ALZATE JESSICA ALEJANDRA "/>
    <n v="-1"/>
    <n v="0"/>
    <n v="-88193"/>
  </r>
  <r>
    <s v="Retail"/>
    <s v="Q094 - Medellin - Cc Aventura"/>
    <x v="3"/>
    <s v="octubre"/>
    <n v="4"/>
    <d v="2026-10-04T00:00:00"/>
    <m/>
    <m/>
    <n v="0"/>
    <n v="9210380"/>
    <n v="0"/>
  </r>
  <r>
    <s v="Retail"/>
    <s v="Q094 - Medellin - Cc Aventura"/>
    <x v="3"/>
    <s v="octubre"/>
    <n v="4"/>
    <d v="2026-10-04T00:00:00"/>
    <n v="1000637944"/>
    <s v="ANDUQUIA LOPEZ ANYI CATERINE"/>
    <n v="-1"/>
    <n v="0"/>
    <n v="-71386"/>
  </r>
  <r>
    <s v="Retail"/>
    <s v="Q094 - Medellin - Cc Aventura"/>
    <x v="3"/>
    <s v="octubre"/>
    <n v="4"/>
    <d v="2026-10-04T00:00:00"/>
    <n v="1001022911"/>
    <s v="SALINAS CHAVARRÍA LAURYS DANIELA"/>
    <n v="35"/>
    <n v="0"/>
    <n v="1691221"/>
  </r>
  <r>
    <s v="Retail"/>
    <s v="Q094 - Medellin - Cc Aventura"/>
    <x v="3"/>
    <s v="octubre"/>
    <n v="4"/>
    <d v="2026-10-04T00:00:00"/>
    <n v="1007102865"/>
    <s v="BEDOYA  ALVAREZ CAMILA ANDREA "/>
    <n v="38"/>
    <n v="0"/>
    <n v="1762817"/>
  </r>
  <r>
    <s v="Retail"/>
    <s v="Q094 - Medellin - Cc Aventura"/>
    <x v="3"/>
    <s v="octubre"/>
    <n v="4"/>
    <d v="2026-10-04T00:00:00"/>
    <n v="1032013463"/>
    <s v="HENAO  AGUDELO LAURA VALENTINA "/>
    <n v="28"/>
    <n v="0"/>
    <n v="1818084"/>
  </r>
  <r>
    <s v="Retail"/>
    <s v="Q094 - Medellin - Cc Aventura"/>
    <x v="3"/>
    <s v="octubre"/>
    <n v="4"/>
    <d v="2026-10-04T00:00:00"/>
    <n v="1045421676"/>
    <s v="GOMEZ VELASQUEZ DANYS MILEIDY"/>
    <n v="29"/>
    <n v="0"/>
    <n v="1574370"/>
  </r>
  <r>
    <s v="Retail"/>
    <s v="Q094 - Medellin - Cc Aventura"/>
    <x v="3"/>
    <s v="octubre"/>
    <n v="5"/>
    <d v="2026-10-05T00:00:00"/>
    <m/>
    <m/>
    <n v="0"/>
    <n v="7490477"/>
    <n v="0"/>
  </r>
  <r>
    <s v="Retail"/>
    <s v="Q094 - Medellin - Cc Aventura"/>
    <x v="3"/>
    <s v="octubre"/>
    <n v="5"/>
    <d v="2026-10-05T00:00:00"/>
    <n v="1001022911"/>
    <s v="SALINAS CHAVARRÍA LAURYS DANIELA"/>
    <n v="31"/>
    <n v="0"/>
    <n v="1456347"/>
  </r>
  <r>
    <s v="Retail"/>
    <s v="Q094 - Medellin - Cc Aventura"/>
    <x v="3"/>
    <s v="octubre"/>
    <n v="5"/>
    <d v="2026-10-05T00:00:00"/>
    <n v="1032013463"/>
    <s v="HENAO  AGUDELO LAURA VALENTINA "/>
    <n v="33"/>
    <n v="0"/>
    <n v="2225296"/>
  </r>
  <r>
    <s v="Retail"/>
    <s v="Q094 - Medellin - Cc Aventura"/>
    <x v="3"/>
    <s v="octubre"/>
    <n v="5"/>
    <d v="2026-10-05T00:00:00"/>
    <n v="1045421676"/>
    <s v="GOMEZ VELASQUEZ DANYS MILEIDY"/>
    <n v="21"/>
    <n v="0"/>
    <n v="1293150"/>
  </r>
  <r>
    <s v="Retail"/>
    <s v="Q094 - Medellin - Cc Aventura"/>
    <x v="3"/>
    <s v="octubre"/>
    <n v="6"/>
    <d v="2026-10-06T00:00:00"/>
    <m/>
    <m/>
    <n v="0"/>
    <n v="4871413"/>
    <n v="0"/>
  </r>
  <r>
    <s v="Retail"/>
    <s v="Q094 - Medellin - Cc Aventura"/>
    <x v="3"/>
    <s v="octubre"/>
    <n v="6"/>
    <d v="2026-10-06T00:00:00"/>
    <n v="1001022911"/>
    <s v="SALINAS CHAVARRÍA LAURYS DANIELA"/>
    <n v="22"/>
    <n v="0"/>
    <n v="1339330"/>
  </r>
  <r>
    <s v="Retail"/>
    <s v="Q094 - Medellin - Cc Aventura"/>
    <x v="3"/>
    <s v="octubre"/>
    <n v="6"/>
    <d v="2026-10-06T00:00:00"/>
    <n v="1007102865"/>
    <s v="BEDOYA  ALVAREZ CAMILA ANDREA "/>
    <n v="19"/>
    <n v="0"/>
    <n v="1068849"/>
  </r>
  <r>
    <s v="Retail"/>
    <s v="Q094 - Medellin - Cc Aventura"/>
    <x v="3"/>
    <s v="octubre"/>
    <n v="6"/>
    <d v="2026-10-06T00:00:00"/>
    <n v="1032013463"/>
    <s v="HENAO  AGUDELO LAURA VALENTINA "/>
    <n v="26"/>
    <n v="0"/>
    <n v="1330589"/>
  </r>
  <r>
    <s v="Retail"/>
    <s v="Q094 - Medellin - Cc Aventura"/>
    <x v="3"/>
    <s v="octubre"/>
    <n v="6"/>
    <d v="2026-10-06T00:00:00"/>
    <n v="1045421676"/>
    <s v="GOMEZ VELASQUEZ DANYS MILEIDY"/>
    <n v="34"/>
    <n v="0"/>
    <n v="2153235"/>
  </r>
  <r>
    <s v="Retail"/>
    <s v="Q094 - Medellin - Cc Aventura"/>
    <x v="3"/>
    <s v="octubre"/>
    <n v="7"/>
    <d v="2026-10-07T00:00:00"/>
    <m/>
    <m/>
    <n v="0"/>
    <n v="4833143"/>
    <n v="0"/>
  </r>
  <r>
    <s v="Retail"/>
    <s v="Q094 - Medellin - Cc Aventura"/>
    <x v="3"/>
    <s v="octubre"/>
    <n v="7"/>
    <d v="2026-10-07T00:00:00"/>
    <n v="1001022911"/>
    <s v="SALINAS CHAVARRÍA LAURYS DANIELA"/>
    <n v="11"/>
    <n v="0"/>
    <n v="570925"/>
  </r>
  <r>
    <s v="Retail"/>
    <s v="Q094 - Medellin - Cc Aventura"/>
    <x v="3"/>
    <s v="octubre"/>
    <n v="7"/>
    <d v="2026-10-07T00:00:00"/>
    <n v="1007102865"/>
    <s v="BEDOYA  ALVAREZ CAMILA ANDREA "/>
    <n v="17"/>
    <n v="0"/>
    <n v="1110545"/>
  </r>
  <r>
    <s v="Retail"/>
    <s v="Q094 - Medellin - Cc Aventura"/>
    <x v="3"/>
    <s v="octubre"/>
    <n v="7"/>
    <d v="2026-10-07T00:00:00"/>
    <n v="1032013463"/>
    <s v="HENAO  AGUDELO LAURA VALENTINA "/>
    <n v="14"/>
    <n v="0"/>
    <n v="953068"/>
  </r>
  <r>
    <s v="Retail"/>
    <s v="Q094 - Medellin - Cc Aventura"/>
    <x v="3"/>
    <s v="octubre"/>
    <n v="7"/>
    <d v="2026-10-07T00:00:00"/>
    <n v="1045421676"/>
    <s v="GOMEZ VELASQUEZ DANYS MILEIDY"/>
    <n v="10"/>
    <n v="0"/>
    <n v="549915"/>
  </r>
  <r>
    <s v="Retail"/>
    <s v="Q125 - Bello - Cc Plaza Fabricato"/>
    <x v="3"/>
    <s v="septiembre"/>
    <n v="23"/>
    <d v="2026-09-23T00:00:00"/>
    <m/>
    <m/>
    <n v="0"/>
    <n v="10064915"/>
    <n v="0"/>
  </r>
  <r>
    <s v="Retail"/>
    <s v="Q125 - Bello - Cc Plaza Fabricato"/>
    <x v="3"/>
    <s v="septiembre"/>
    <n v="23"/>
    <d v="2026-09-23T00:00:00"/>
    <n v="1000660108"/>
    <s v="VANEGAS URIBE HILARY"/>
    <n v="17"/>
    <n v="0"/>
    <n v="1184076"/>
  </r>
  <r>
    <s v="Retail"/>
    <s v="Q125 - Bello - Cc Plaza Fabricato"/>
    <x v="3"/>
    <s v="septiembre"/>
    <n v="23"/>
    <d v="2026-09-23T00:00:00"/>
    <n v="1017223596"/>
    <s v="CARVAJAL GALEANO MARÍA  ELENA"/>
    <n v="15"/>
    <n v="0"/>
    <n v="896386"/>
  </r>
  <r>
    <s v="Retail"/>
    <s v="Q125 - Bello - Cc Plaza Fabricato"/>
    <x v="3"/>
    <s v="septiembre"/>
    <n v="23"/>
    <d v="2026-09-23T00:00:00"/>
    <n v="1025883071"/>
    <s v="RUIZ SANTOS MARLON"/>
    <n v="36"/>
    <n v="0"/>
    <n v="2456429"/>
  </r>
  <r>
    <s v="Retail"/>
    <s v="Q125 - Bello - Cc Plaza Fabricato"/>
    <x v="3"/>
    <s v="septiembre"/>
    <n v="23"/>
    <d v="2026-09-23T00:00:00"/>
    <n v="1042151904"/>
    <s v="ROLDÁN ÚSUGA VALENTINA"/>
    <n v="12"/>
    <n v="0"/>
    <n v="970084"/>
  </r>
  <r>
    <s v="Retail"/>
    <s v="Q125 - Bello - Cc Plaza Fabricato"/>
    <x v="3"/>
    <s v="septiembre"/>
    <n v="23"/>
    <d v="2026-09-23T00:00:00"/>
    <n v="1067865055"/>
    <s v="SANCHEZ BENITEZ DIEGO ANDRES"/>
    <n v="44"/>
    <n v="0"/>
    <n v="2775548"/>
  </r>
  <r>
    <s v="Retail"/>
    <s v="Q125 - Bello - Cc Plaza Fabricato"/>
    <x v="3"/>
    <s v="septiembre"/>
    <n v="24"/>
    <d v="2026-09-24T00:00:00"/>
    <m/>
    <m/>
    <n v="0"/>
    <n v="15375288"/>
    <n v="0"/>
  </r>
  <r>
    <s v="Retail"/>
    <s v="Q125 - Bello - Cc Plaza Fabricato"/>
    <x v="3"/>
    <s v="septiembre"/>
    <n v="24"/>
    <d v="2026-09-24T00:00:00"/>
    <n v="1000660108"/>
    <s v="VANEGAS URIBE HILARY"/>
    <n v="18"/>
    <n v="0"/>
    <n v="877353"/>
  </r>
  <r>
    <s v="Retail"/>
    <s v="Q125 - Bello - Cc Plaza Fabricato"/>
    <x v="3"/>
    <s v="septiembre"/>
    <n v="24"/>
    <d v="2026-09-24T00:00:00"/>
    <n v="1017223596"/>
    <s v="CARVAJAL GALEANO MARÍA  ELENA"/>
    <n v="14"/>
    <n v="0"/>
    <n v="982522"/>
  </r>
  <r>
    <s v="Retail"/>
    <s v="Q125 - Bello - Cc Plaza Fabricato"/>
    <x v="3"/>
    <s v="septiembre"/>
    <n v="24"/>
    <d v="2026-09-24T00:00:00"/>
    <n v="1025883071"/>
    <s v="RUIZ SANTOS MARLON"/>
    <n v="63"/>
    <n v="0"/>
    <n v="3789289"/>
  </r>
  <r>
    <s v="Retail"/>
    <s v="Q125 - Bello - Cc Plaza Fabricato"/>
    <x v="3"/>
    <s v="septiembre"/>
    <n v="24"/>
    <d v="2026-09-24T00:00:00"/>
    <n v="1042151904"/>
    <s v="ROLDÁN ÚSUGA VALENTINA"/>
    <n v="22"/>
    <n v="0"/>
    <n v="1162857"/>
  </r>
  <r>
    <s v="Retail"/>
    <s v="Q125 - Bello - Cc Plaza Fabricato"/>
    <x v="3"/>
    <s v="septiembre"/>
    <n v="24"/>
    <d v="2026-09-24T00:00:00"/>
    <n v="1067865055"/>
    <s v="SANCHEZ BENITEZ DIEGO ANDRES"/>
    <n v="73"/>
    <n v="0"/>
    <n v="4622859"/>
  </r>
  <r>
    <s v="Retail"/>
    <s v="Q125 - Bello - Cc Plaza Fabricato"/>
    <x v="3"/>
    <s v="septiembre"/>
    <n v="25"/>
    <d v="2026-09-25T00:00:00"/>
    <m/>
    <m/>
    <n v="0"/>
    <n v="15341250"/>
    <n v="0"/>
  </r>
  <r>
    <s v="Retail"/>
    <s v="Q125 - Bello - Cc Plaza Fabricato"/>
    <x v="3"/>
    <s v="septiembre"/>
    <n v="25"/>
    <d v="2026-09-25T00:00:00"/>
    <n v="1000660108"/>
    <s v="VANEGAS URIBE HILARY"/>
    <n v="20"/>
    <n v="0"/>
    <n v="1494875"/>
  </r>
  <r>
    <s v="Retail"/>
    <s v="Q125 - Bello - Cc Plaza Fabricato"/>
    <x v="3"/>
    <s v="septiembre"/>
    <n v="25"/>
    <d v="2026-09-25T00:00:00"/>
    <n v="1007674095"/>
    <s v="LEON  LEON PEDRO LUIS "/>
    <n v="-1"/>
    <n v="0"/>
    <n v="-110874"/>
  </r>
  <r>
    <s v="Retail"/>
    <s v="Q125 - Bello - Cc Plaza Fabricato"/>
    <x v="3"/>
    <s v="septiembre"/>
    <n v="25"/>
    <d v="2026-09-25T00:00:00"/>
    <n v="1017223596"/>
    <s v="CARVAJAL GALEANO MARÍA  ELENA"/>
    <n v="18"/>
    <n v="0"/>
    <n v="1005506"/>
  </r>
  <r>
    <s v="Retail"/>
    <s v="Q125 - Bello - Cc Plaza Fabricato"/>
    <x v="3"/>
    <s v="septiembre"/>
    <n v="25"/>
    <d v="2026-09-25T00:00:00"/>
    <n v="1025883071"/>
    <s v="RUIZ SANTOS MARLON"/>
    <n v="69"/>
    <n v="0"/>
    <n v="4230211"/>
  </r>
  <r>
    <s v="Retail"/>
    <s v="Q125 - Bello - Cc Plaza Fabricato"/>
    <x v="3"/>
    <s v="septiembre"/>
    <n v="25"/>
    <d v="2026-09-25T00:00:00"/>
    <n v="1040745636"/>
    <s v="ARCILA  DUQUE MATEO ALEJANDRO "/>
    <n v="-1"/>
    <n v="0"/>
    <n v="-37773"/>
  </r>
  <r>
    <s v="Retail"/>
    <s v="Q125 - Bello - Cc Plaza Fabricato"/>
    <x v="3"/>
    <s v="septiembre"/>
    <n v="25"/>
    <d v="2026-09-25T00:00:00"/>
    <n v="1042151904"/>
    <s v="ROLDÁN ÚSUGA VALENTINA"/>
    <n v="36"/>
    <n v="0"/>
    <n v="2212523"/>
  </r>
  <r>
    <s v="Retail"/>
    <s v="Q125 - Bello - Cc Plaza Fabricato"/>
    <x v="3"/>
    <s v="septiembre"/>
    <n v="25"/>
    <d v="2026-09-25T00:00:00"/>
    <n v="1067865055"/>
    <s v="SANCHEZ BENITEZ DIEGO ANDRES"/>
    <n v="81"/>
    <n v="0"/>
    <n v="5473410"/>
  </r>
  <r>
    <s v="Retail"/>
    <s v="Q125 - Bello - Cc Plaza Fabricato"/>
    <x v="3"/>
    <s v="septiembre"/>
    <n v="26"/>
    <d v="2026-09-26T00:00:00"/>
    <m/>
    <m/>
    <n v="0"/>
    <n v="22047584"/>
    <n v="0"/>
  </r>
  <r>
    <s v="Retail"/>
    <s v="Q125 - Bello - Cc Plaza Fabricato"/>
    <x v="3"/>
    <s v="septiembre"/>
    <n v="26"/>
    <d v="2026-09-26T00:00:00"/>
    <n v="1000660108"/>
    <s v="VANEGAS URIBE HILARY"/>
    <n v="30"/>
    <n v="0"/>
    <n v="1937731"/>
  </r>
  <r>
    <s v="Retail"/>
    <s v="Q125 - Bello - Cc Plaza Fabricato"/>
    <x v="3"/>
    <s v="septiembre"/>
    <n v="26"/>
    <d v="2026-09-26T00:00:00"/>
    <n v="1017223596"/>
    <s v="CARVAJAL GALEANO MARÍA  ELENA"/>
    <n v="31"/>
    <n v="0"/>
    <n v="2057524"/>
  </r>
  <r>
    <s v="Retail"/>
    <s v="Q125 - Bello - Cc Plaza Fabricato"/>
    <x v="3"/>
    <s v="septiembre"/>
    <n v="26"/>
    <d v="2026-09-26T00:00:00"/>
    <n v="1025883071"/>
    <s v="RUIZ SANTOS MARLON"/>
    <n v="115"/>
    <n v="0"/>
    <n v="7118742"/>
  </r>
  <r>
    <s v="Retail"/>
    <s v="Q125 - Bello - Cc Plaza Fabricato"/>
    <x v="3"/>
    <s v="septiembre"/>
    <n v="26"/>
    <d v="2026-09-26T00:00:00"/>
    <n v="1042151904"/>
    <s v="ROLDÁN ÚSUGA VALENTINA"/>
    <n v="29"/>
    <n v="0"/>
    <n v="1769793"/>
  </r>
  <r>
    <s v="Retail"/>
    <s v="Q125 - Bello - Cc Plaza Fabricato"/>
    <x v="3"/>
    <s v="septiembre"/>
    <n v="26"/>
    <d v="2026-09-26T00:00:00"/>
    <n v="1067865055"/>
    <s v="SANCHEZ BENITEZ DIEGO ANDRES"/>
    <n v="123"/>
    <n v="0"/>
    <n v="7782320"/>
  </r>
  <r>
    <s v="Retail"/>
    <s v="Q125 - Bello - Cc Plaza Fabricato"/>
    <x v="3"/>
    <s v="septiembre"/>
    <n v="27"/>
    <d v="2026-09-27T00:00:00"/>
    <m/>
    <m/>
    <n v="0"/>
    <n v="17466123"/>
    <n v="0"/>
  </r>
  <r>
    <s v="Retail"/>
    <s v="Q125 - Bello - Cc Plaza Fabricato"/>
    <x v="3"/>
    <s v="septiembre"/>
    <n v="27"/>
    <d v="2026-09-27T00:00:00"/>
    <n v="1000660108"/>
    <s v="VANEGAS URIBE HILARY"/>
    <n v="28"/>
    <n v="0"/>
    <n v="1885377"/>
  </r>
  <r>
    <s v="Retail"/>
    <s v="Q125 - Bello - Cc Plaza Fabricato"/>
    <x v="3"/>
    <s v="septiembre"/>
    <n v="27"/>
    <d v="2026-09-27T00:00:00"/>
    <n v="1007222843"/>
    <s v="HERNANDEZ AGUDELO YESENIA"/>
    <n v="-1"/>
    <n v="0"/>
    <n v="-117563"/>
  </r>
  <r>
    <s v="Retail"/>
    <s v="Q125 - Bello - Cc Plaza Fabricato"/>
    <x v="3"/>
    <s v="septiembre"/>
    <n v="27"/>
    <d v="2026-09-27T00:00:00"/>
    <n v="1017223596"/>
    <s v="CARVAJAL GALEANO MARÍA  ELENA"/>
    <n v="34"/>
    <n v="0"/>
    <n v="2246389"/>
  </r>
  <r>
    <s v="Retail"/>
    <s v="Q125 - Bello - Cc Plaza Fabricato"/>
    <x v="3"/>
    <s v="septiembre"/>
    <n v="27"/>
    <d v="2026-09-27T00:00:00"/>
    <n v="1025883071"/>
    <s v="RUIZ SANTOS MARLON"/>
    <n v="91"/>
    <n v="0"/>
    <n v="5315168"/>
  </r>
  <r>
    <s v="Retail"/>
    <s v="Q125 - Bello - Cc Plaza Fabricato"/>
    <x v="3"/>
    <s v="septiembre"/>
    <n v="27"/>
    <d v="2026-09-27T00:00:00"/>
    <n v="1042151904"/>
    <s v="ROLDÁN ÚSUGA VALENTINA"/>
    <n v="51"/>
    <n v="0"/>
    <n v="3220548"/>
  </r>
  <r>
    <s v="Retail"/>
    <s v="Q125 - Bello - Cc Plaza Fabricato"/>
    <x v="3"/>
    <s v="septiembre"/>
    <n v="27"/>
    <d v="2026-09-27T00:00:00"/>
    <n v="1067865055"/>
    <s v="SANCHEZ BENITEZ DIEGO ANDRES"/>
    <n v="110"/>
    <n v="0"/>
    <n v="7390093"/>
  </r>
  <r>
    <s v="Retail"/>
    <s v="Q125 - Bello - Cc Plaza Fabricato"/>
    <x v="3"/>
    <s v="septiembre"/>
    <n v="28"/>
    <d v="2026-09-28T00:00:00"/>
    <m/>
    <m/>
    <n v="0"/>
    <n v="9612637"/>
    <n v="0"/>
  </r>
  <r>
    <s v="Retail"/>
    <s v="Q125 - Bello - Cc Plaza Fabricato"/>
    <x v="3"/>
    <s v="septiembre"/>
    <n v="28"/>
    <d v="2026-09-28T00:00:00"/>
    <n v="1000660108"/>
    <s v="VANEGAS URIBE HILARY"/>
    <n v="10"/>
    <n v="0"/>
    <n v="587732"/>
  </r>
  <r>
    <s v="Retail"/>
    <s v="Q125 - Bello - Cc Plaza Fabricato"/>
    <x v="3"/>
    <s v="septiembre"/>
    <n v="28"/>
    <d v="2026-09-28T00:00:00"/>
    <n v="1017223596"/>
    <s v="CARVAJAL GALEANO MARÍA  ELENA"/>
    <n v="11"/>
    <n v="0"/>
    <n v="722227"/>
  </r>
  <r>
    <s v="Retail"/>
    <s v="Q125 - Bello - Cc Plaza Fabricato"/>
    <x v="3"/>
    <s v="septiembre"/>
    <n v="28"/>
    <d v="2026-09-28T00:00:00"/>
    <n v="1025883071"/>
    <s v="RUIZ SANTOS MARLON"/>
    <n v="37"/>
    <n v="0"/>
    <n v="2384958"/>
  </r>
  <r>
    <s v="Retail"/>
    <s v="Q125 - Bello - Cc Plaza Fabricato"/>
    <x v="3"/>
    <s v="septiembre"/>
    <n v="28"/>
    <d v="2026-09-28T00:00:00"/>
    <n v="1042151904"/>
    <s v="ROLDÁN ÚSUGA VALENTINA"/>
    <n v="10"/>
    <n v="0"/>
    <n v="604623"/>
  </r>
  <r>
    <s v="Retail"/>
    <s v="Q125 - Bello - Cc Plaza Fabricato"/>
    <x v="3"/>
    <s v="septiembre"/>
    <n v="28"/>
    <d v="2026-09-28T00:00:00"/>
    <n v="1067865055"/>
    <s v="SANCHEZ BENITEZ DIEGO ANDRES"/>
    <n v="37"/>
    <n v="0"/>
    <n v="2199750"/>
  </r>
  <r>
    <s v="Retail"/>
    <s v="Q125 - Bello - Cc Plaza Fabricato"/>
    <x v="3"/>
    <s v="septiembre"/>
    <n v="29"/>
    <d v="2026-09-29T00:00:00"/>
    <m/>
    <m/>
    <n v="0"/>
    <n v="10268178"/>
    <n v="0"/>
  </r>
  <r>
    <s v="Retail"/>
    <s v="Q125 - Bello - Cc Plaza Fabricato"/>
    <x v="3"/>
    <s v="septiembre"/>
    <n v="29"/>
    <d v="2026-09-29T00:00:00"/>
    <n v="1000660108"/>
    <s v="VANEGAS URIBE HILARY"/>
    <n v="19"/>
    <n v="0"/>
    <n v="1156683"/>
  </r>
  <r>
    <s v="Retail"/>
    <s v="Q125 - Bello - Cc Plaza Fabricato"/>
    <x v="3"/>
    <s v="septiembre"/>
    <n v="29"/>
    <d v="2026-09-29T00:00:00"/>
    <n v="1017223596"/>
    <s v="CARVAJAL GALEANO MARÍA  ELENA"/>
    <n v="8"/>
    <n v="0"/>
    <n v="537437"/>
  </r>
  <r>
    <s v="Retail"/>
    <s v="Q125 - Bello - Cc Plaza Fabricato"/>
    <x v="3"/>
    <s v="septiembre"/>
    <n v="29"/>
    <d v="2026-09-29T00:00:00"/>
    <n v="1025883071"/>
    <s v="RUIZ SANTOS MARLON"/>
    <n v="33"/>
    <n v="0"/>
    <n v="2074119"/>
  </r>
  <r>
    <s v="Retail"/>
    <s v="Q125 - Bello - Cc Plaza Fabricato"/>
    <x v="3"/>
    <s v="septiembre"/>
    <n v="29"/>
    <d v="2026-09-29T00:00:00"/>
    <n v="1042151904"/>
    <s v="ROLDÁN ÚSUGA VALENTINA"/>
    <n v="13"/>
    <n v="0"/>
    <n v="864832"/>
  </r>
  <r>
    <s v="Retail"/>
    <s v="Q125 - Bello - Cc Plaza Fabricato"/>
    <x v="3"/>
    <s v="septiembre"/>
    <n v="29"/>
    <d v="2026-09-29T00:00:00"/>
    <n v="1067865055"/>
    <s v="SANCHEZ BENITEZ DIEGO ANDRES"/>
    <n v="33"/>
    <n v="0"/>
    <n v="2030045"/>
  </r>
  <r>
    <s v="Retail"/>
    <s v="Q125 - Bello - Cc Plaza Fabricato"/>
    <x v="3"/>
    <s v="septiembre"/>
    <n v="30"/>
    <d v="2026-09-30T00:00:00"/>
    <m/>
    <m/>
    <n v="0"/>
    <n v="10607211"/>
    <n v="0"/>
  </r>
  <r>
    <s v="Retail"/>
    <s v="Q125 - Bello - Cc Plaza Fabricato"/>
    <x v="3"/>
    <s v="septiembre"/>
    <n v="30"/>
    <d v="2026-09-30T00:00:00"/>
    <n v="1000660108"/>
    <s v="VANEGAS URIBE HILARY"/>
    <n v="13"/>
    <n v="0"/>
    <n v="633867"/>
  </r>
  <r>
    <s v="Retail"/>
    <s v="Q125 - Bello - Cc Plaza Fabricato"/>
    <x v="3"/>
    <s v="septiembre"/>
    <n v="30"/>
    <d v="2026-09-30T00:00:00"/>
    <n v="1017223596"/>
    <s v="CARVAJAL GALEANO MARÍA  ELENA"/>
    <n v="12"/>
    <n v="0"/>
    <n v="780842"/>
  </r>
  <r>
    <s v="Retail"/>
    <s v="Q125 - Bello - Cc Plaza Fabricato"/>
    <x v="3"/>
    <s v="septiembre"/>
    <n v="30"/>
    <d v="2026-09-30T00:00:00"/>
    <n v="1025883071"/>
    <s v="RUIZ SANTOS MARLON"/>
    <n v="41"/>
    <n v="0"/>
    <n v="2073655"/>
  </r>
  <r>
    <s v="Retail"/>
    <s v="Q125 - Bello - Cc Plaza Fabricato"/>
    <x v="3"/>
    <s v="septiembre"/>
    <n v="30"/>
    <d v="2026-09-30T00:00:00"/>
    <n v="1040745636"/>
    <s v="ARCILA  DUQUE MATEO ALEJANDRO "/>
    <n v="-1"/>
    <n v="0"/>
    <n v="-41975"/>
  </r>
  <r>
    <s v="Retail"/>
    <s v="Q125 - Bello - Cc Plaza Fabricato"/>
    <x v="3"/>
    <s v="septiembre"/>
    <n v="30"/>
    <d v="2026-09-30T00:00:00"/>
    <n v="1042151904"/>
    <s v="ROLDÁN ÚSUGA VALENTINA"/>
    <n v="9"/>
    <n v="0"/>
    <n v="650799"/>
  </r>
  <r>
    <s v="Retail"/>
    <s v="Q125 - Bello - Cc Plaza Fabricato"/>
    <x v="3"/>
    <s v="septiembre"/>
    <n v="30"/>
    <d v="2026-09-30T00:00:00"/>
    <n v="1067865055"/>
    <s v="SANCHEZ BENITEZ DIEGO ANDRES"/>
    <n v="59"/>
    <n v="0"/>
    <n v="3669584"/>
  </r>
  <r>
    <s v="Retail"/>
    <s v="Q125 - Bello - Cc Plaza Fabricato"/>
    <x v="3"/>
    <s v="octubre"/>
    <n v="1"/>
    <d v="2026-10-01T00:00:00"/>
    <m/>
    <m/>
    <n v="0"/>
    <n v="8510033"/>
    <n v="0"/>
  </r>
  <r>
    <s v="Retail"/>
    <s v="Q125 - Bello - Cc Plaza Fabricato"/>
    <x v="3"/>
    <s v="octubre"/>
    <n v="1"/>
    <d v="2026-10-01T00:00:00"/>
    <n v="1000660108"/>
    <s v="VANEGAS URIBE HILARY"/>
    <n v="21"/>
    <n v="0"/>
    <n v="1116555"/>
  </r>
  <r>
    <s v="Retail"/>
    <s v="Q125 - Bello - Cc Plaza Fabricato"/>
    <x v="3"/>
    <s v="octubre"/>
    <n v="1"/>
    <d v="2026-10-01T00:00:00"/>
    <n v="1017223596"/>
    <s v="CARVAJAL GALEANO MARÍA  ELENA"/>
    <n v="11"/>
    <n v="0"/>
    <n v="776849"/>
  </r>
  <r>
    <s v="Retail"/>
    <s v="Q125 - Bello - Cc Plaza Fabricato"/>
    <x v="3"/>
    <s v="octubre"/>
    <n v="1"/>
    <d v="2026-10-01T00:00:00"/>
    <n v="1025883071"/>
    <s v="RUIZ SANTOS MARLON"/>
    <n v="53"/>
    <n v="0"/>
    <n v="3136183"/>
  </r>
  <r>
    <s v="Retail"/>
    <s v="Q125 - Bello - Cc Plaza Fabricato"/>
    <x v="3"/>
    <s v="octubre"/>
    <n v="1"/>
    <d v="2026-10-01T00:00:00"/>
    <n v="1042151904"/>
    <s v="ROLDÁN ÚSUGA VALENTINA"/>
    <n v="12"/>
    <n v="0"/>
    <n v="827226"/>
  </r>
  <r>
    <s v="Retail"/>
    <s v="Q125 - Bello - Cc Plaza Fabricato"/>
    <x v="3"/>
    <s v="octubre"/>
    <n v="1"/>
    <d v="2026-10-01T00:00:00"/>
    <n v="1056785111"/>
    <s v="LOPEZ  ALZATE JESSICA ALEJANDRA "/>
    <n v="-1"/>
    <n v="0"/>
    <n v="-37773"/>
  </r>
  <r>
    <s v="Retail"/>
    <s v="Q125 - Bello - Cc Plaza Fabricato"/>
    <x v="3"/>
    <s v="octubre"/>
    <n v="1"/>
    <d v="2026-10-01T00:00:00"/>
    <n v="1067865055"/>
    <s v="SANCHEZ BENITEZ DIEGO ANDRES"/>
    <n v="48"/>
    <n v="0"/>
    <n v="3411728"/>
  </r>
  <r>
    <s v="Retail"/>
    <s v="Q125 - Bello - Cc Plaza Fabricato"/>
    <x v="3"/>
    <s v="octubre"/>
    <n v="2"/>
    <d v="2026-10-02T00:00:00"/>
    <m/>
    <m/>
    <n v="0"/>
    <n v="8721928"/>
    <n v="0"/>
  </r>
  <r>
    <s v="Retail"/>
    <s v="Q125 - Bello - Cc Plaza Fabricato"/>
    <x v="3"/>
    <s v="octubre"/>
    <n v="2"/>
    <d v="2026-10-02T00:00:00"/>
    <n v="1000660108"/>
    <s v="VANEGAS URIBE HILARY"/>
    <n v="13"/>
    <n v="0"/>
    <n v="881765"/>
  </r>
  <r>
    <s v="Retail"/>
    <s v="Q125 - Bello - Cc Plaza Fabricato"/>
    <x v="3"/>
    <s v="octubre"/>
    <n v="2"/>
    <d v="2026-10-02T00:00:00"/>
    <n v="1017223596"/>
    <s v="CARVAJAL GALEANO MARÍA  ELENA"/>
    <n v="27"/>
    <n v="0"/>
    <n v="1826389"/>
  </r>
  <r>
    <s v="Retail"/>
    <s v="Q125 - Bello - Cc Plaza Fabricato"/>
    <x v="3"/>
    <s v="octubre"/>
    <n v="2"/>
    <d v="2026-10-02T00:00:00"/>
    <n v="1025883071"/>
    <s v="RUIZ SANTOS MARLON"/>
    <n v="45"/>
    <n v="0"/>
    <n v="3014584"/>
  </r>
  <r>
    <s v="Retail"/>
    <s v="Q125 - Bello - Cc Plaza Fabricato"/>
    <x v="3"/>
    <s v="octubre"/>
    <n v="2"/>
    <d v="2026-10-02T00:00:00"/>
    <n v="1032013463"/>
    <s v="HENAO  AGUDELO LAURA VALENTINA "/>
    <n v="-2"/>
    <n v="0"/>
    <n v="-191496"/>
  </r>
  <r>
    <s v="Retail"/>
    <s v="Q125 - Bello - Cc Plaza Fabricato"/>
    <x v="3"/>
    <s v="octubre"/>
    <n v="2"/>
    <d v="2026-10-02T00:00:00"/>
    <n v="1042151904"/>
    <s v="ROLDÁN ÚSUGA VALENTINA"/>
    <n v="15"/>
    <n v="0"/>
    <n v="967775"/>
  </r>
  <r>
    <s v="Retail"/>
    <s v="Q125 - Bello - Cc Plaza Fabricato"/>
    <x v="3"/>
    <s v="octubre"/>
    <n v="2"/>
    <d v="2026-10-02T00:00:00"/>
    <n v="1067865055"/>
    <s v="SANCHEZ BENITEZ DIEGO ANDRES"/>
    <n v="53"/>
    <n v="0"/>
    <n v="3209777"/>
  </r>
  <r>
    <s v="Retail"/>
    <s v="Q125 - Bello - Cc Plaza Fabricato"/>
    <x v="3"/>
    <s v="octubre"/>
    <n v="3"/>
    <d v="2026-10-03T00:00:00"/>
    <m/>
    <m/>
    <n v="0"/>
    <n v="16708222"/>
    <n v="0"/>
  </r>
  <r>
    <s v="Retail"/>
    <s v="Q125 - Bello - Cc Plaza Fabricato"/>
    <x v="3"/>
    <s v="octubre"/>
    <n v="3"/>
    <d v="2026-10-03T00:00:00"/>
    <n v="1000660108"/>
    <s v="VANEGAS URIBE HILARY"/>
    <n v="30"/>
    <n v="0"/>
    <n v="1886960"/>
  </r>
  <r>
    <s v="Retail"/>
    <s v="Q125 - Bello - Cc Plaza Fabricato"/>
    <x v="3"/>
    <s v="octubre"/>
    <n v="3"/>
    <d v="2026-10-03T00:00:00"/>
    <n v="1017223596"/>
    <s v="CARVAJAL GALEANO MARÍA  ELENA"/>
    <n v="54"/>
    <n v="0"/>
    <n v="2962186"/>
  </r>
  <r>
    <s v="Retail"/>
    <s v="Q125 - Bello - Cc Plaza Fabricato"/>
    <x v="3"/>
    <s v="octubre"/>
    <n v="3"/>
    <d v="2026-10-03T00:00:00"/>
    <n v="1025883071"/>
    <s v="RUIZ SANTOS MARLON"/>
    <n v="97"/>
    <n v="0"/>
    <n v="5386978"/>
  </r>
  <r>
    <s v="Retail"/>
    <s v="Q125 - Bello - Cc Plaza Fabricato"/>
    <x v="3"/>
    <s v="octubre"/>
    <n v="3"/>
    <d v="2026-10-03T00:00:00"/>
    <n v="1042151904"/>
    <s v="ROLDÁN ÚSUGA VALENTINA"/>
    <n v="20"/>
    <n v="0"/>
    <n v="1105464"/>
  </r>
  <r>
    <s v="Retail"/>
    <s v="Q125 - Bello - Cc Plaza Fabricato"/>
    <x v="3"/>
    <s v="octubre"/>
    <n v="3"/>
    <d v="2026-10-03T00:00:00"/>
    <n v="1067865055"/>
    <s v="SANCHEZ BENITEZ DIEGO ANDRES"/>
    <n v="82"/>
    <n v="0"/>
    <n v="5085390"/>
  </r>
  <r>
    <s v="Retail"/>
    <s v="Q125 - Bello - Cc Plaza Fabricato"/>
    <x v="3"/>
    <s v="octubre"/>
    <n v="4"/>
    <d v="2026-10-04T00:00:00"/>
    <m/>
    <m/>
    <n v="0"/>
    <n v="13882570"/>
    <n v="0"/>
  </r>
  <r>
    <s v="Retail"/>
    <s v="Q125 - Bello - Cc Plaza Fabricato"/>
    <x v="3"/>
    <s v="octubre"/>
    <n v="4"/>
    <d v="2026-10-04T00:00:00"/>
    <n v="1000660108"/>
    <s v="VANEGAS URIBE HILARY"/>
    <n v="29"/>
    <n v="0"/>
    <n v="1616218"/>
  </r>
  <r>
    <s v="Retail"/>
    <s v="Q125 - Bello - Cc Plaza Fabricato"/>
    <x v="3"/>
    <s v="octubre"/>
    <n v="4"/>
    <d v="2026-10-04T00:00:00"/>
    <n v="1005706861"/>
    <s v="BRAND MOSQUERA LINDA  MARYORI"/>
    <n v="-1"/>
    <n v="0"/>
    <n v="-105000"/>
  </r>
  <r>
    <s v="Retail"/>
    <s v="Q125 - Bello - Cc Plaza Fabricato"/>
    <x v="3"/>
    <s v="octubre"/>
    <n v="4"/>
    <d v="2026-10-04T00:00:00"/>
    <n v="1017223596"/>
    <s v="CARVAJAL GALEANO MARÍA  ELENA"/>
    <n v="45"/>
    <n v="0"/>
    <n v="2665926"/>
  </r>
  <r>
    <s v="Retail"/>
    <s v="Q125 - Bello - Cc Plaza Fabricato"/>
    <x v="3"/>
    <s v="octubre"/>
    <n v="4"/>
    <d v="2026-10-04T00:00:00"/>
    <n v="1025883071"/>
    <s v="RUIZ SANTOS MARLON"/>
    <n v="56"/>
    <n v="0"/>
    <n v="3461599"/>
  </r>
  <r>
    <s v="Retail"/>
    <s v="Q125 - Bello - Cc Plaza Fabricato"/>
    <x v="3"/>
    <s v="octubre"/>
    <n v="4"/>
    <d v="2026-10-04T00:00:00"/>
    <n v="1042151904"/>
    <s v="ROLDÁN ÚSUGA VALENTINA"/>
    <n v="37"/>
    <n v="0"/>
    <n v="2603449"/>
  </r>
  <r>
    <s v="Retail"/>
    <s v="Q125 - Bello - Cc Plaza Fabricato"/>
    <x v="3"/>
    <s v="octubre"/>
    <n v="4"/>
    <d v="2026-10-04T00:00:00"/>
    <n v="1067865055"/>
    <s v="SANCHEZ BENITEZ DIEGO ANDRES"/>
    <n v="59"/>
    <n v="0"/>
    <n v="3719792"/>
  </r>
  <r>
    <s v="Retail"/>
    <s v="Q125 - Bello - Cc Plaza Fabricato"/>
    <x v="3"/>
    <s v="octubre"/>
    <n v="5"/>
    <d v="2026-10-05T00:00:00"/>
    <m/>
    <m/>
    <n v="0"/>
    <n v="5907530"/>
    <n v="0"/>
  </r>
  <r>
    <s v="Retail"/>
    <s v="Q125 - Bello - Cc Plaza Fabricato"/>
    <x v="3"/>
    <s v="octubre"/>
    <n v="5"/>
    <d v="2026-10-05T00:00:00"/>
    <n v="1000660108"/>
    <s v="VANEGAS URIBE HILARY"/>
    <n v="14"/>
    <n v="0"/>
    <n v="877437"/>
  </r>
  <r>
    <s v="Retail"/>
    <s v="Q125 - Bello - Cc Plaza Fabricato"/>
    <x v="3"/>
    <s v="octubre"/>
    <n v="5"/>
    <d v="2026-10-05T00:00:00"/>
    <n v="1017223596"/>
    <s v="CARVAJAL GALEANO MARÍA  ELENA"/>
    <n v="11"/>
    <n v="0"/>
    <n v="896598"/>
  </r>
  <r>
    <s v="Retail"/>
    <s v="Q125 - Bello - Cc Plaza Fabricato"/>
    <x v="3"/>
    <s v="octubre"/>
    <n v="5"/>
    <d v="2026-10-05T00:00:00"/>
    <n v="1025883071"/>
    <s v="RUIZ SANTOS MARLON"/>
    <n v="0"/>
    <n v="0"/>
    <n v="16807"/>
  </r>
  <r>
    <s v="Retail"/>
    <s v="Q125 - Bello - Cc Plaza Fabricato"/>
    <x v="3"/>
    <s v="octubre"/>
    <n v="5"/>
    <d v="2026-10-05T00:00:00"/>
    <n v="1042151904"/>
    <s v="ROLDÁN ÚSUGA VALENTINA"/>
    <n v="30"/>
    <n v="0"/>
    <n v="1492143"/>
  </r>
  <r>
    <s v="Retail"/>
    <s v="Q125 - Bello - Cc Plaza Fabricato"/>
    <x v="3"/>
    <s v="octubre"/>
    <n v="5"/>
    <d v="2026-10-05T00:00:00"/>
    <n v="1067865055"/>
    <s v="SANCHEZ BENITEZ DIEGO ANDRES"/>
    <n v="60"/>
    <n v="0"/>
    <n v="3787271"/>
  </r>
  <r>
    <s v="Retail"/>
    <s v="Q125 - Bello - Cc Plaza Fabricato"/>
    <x v="3"/>
    <s v="octubre"/>
    <n v="6"/>
    <d v="2026-10-06T00:00:00"/>
    <m/>
    <m/>
    <n v="0"/>
    <n v="5260345"/>
    <n v="0"/>
  </r>
  <r>
    <s v="Retail"/>
    <s v="Q125 - Bello - Cc Plaza Fabricato"/>
    <x v="3"/>
    <s v="octubre"/>
    <n v="6"/>
    <d v="2026-10-06T00:00:00"/>
    <n v="1000660108"/>
    <s v="VANEGAS URIBE HILARY"/>
    <n v="6"/>
    <n v="0"/>
    <n v="365338"/>
  </r>
  <r>
    <s v="Retail"/>
    <s v="Q125 - Bello - Cc Plaza Fabricato"/>
    <x v="3"/>
    <s v="octubre"/>
    <n v="6"/>
    <d v="2026-10-06T00:00:00"/>
    <n v="1017223596"/>
    <s v="CARVAJAL GALEANO MARÍA  ELENA"/>
    <n v="3"/>
    <n v="0"/>
    <n v="188950"/>
  </r>
  <r>
    <s v="Retail"/>
    <s v="Q125 - Bello - Cc Plaza Fabricato"/>
    <x v="3"/>
    <s v="octubre"/>
    <n v="6"/>
    <d v="2026-10-06T00:00:00"/>
    <n v="1025883071"/>
    <s v="RUIZ SANTOS MARLON"/>
    <n v="29"/>
    <n v="0"/>
    <n v="1702395"/>
  </r>
  <r>
    <s v="Retail"/>
    <s v="Q125 - Bello - Cc Plaza Fabricato"/>
    <x v="3"/>
    <s v="octubre"/>
    <n v="6"/>
    <d v="2026-10-06T00:00:00"/>
    <n v="1042151904"/>
    <s v="ROLDÁN ÚSUGA VALENTINA"/>
    <n v="6"/>
    <n v="0"/>
    <n v="302228"/>
  </r>
  <r>
    <s v="Retail"/>
    <s v="Q125 - Bello - Cc Plaza Fabricato"/>
    <x v="3"/>
    <s v="octubre"/>
    <n v="7"/>
    <d v="2026-10-07T00:00:00"/>
    <m/>
    <m/>
    <n v="0"/>
    <n v="5191133"/>
    <n v="0"/>
  </r>
  <r>
    <s v="Retail"/>
    <s v="Q125 - Bello - Cc Plaza Fabricato"/>
    <x v="3"/>
    <s v="octubre"/>
    <n v="7"/>
    <d v="2026-10-07T00:00:00"/>
    <n v="43595446"/>
    <s v="ZEA  MARIA ALEIDA"/>
    <n v="-1"/>
    <n v="0"/>
    <n v="-54580"/>
  </r>
  <r>
    <s v="Retail"/>
    <s v="Q125 - Bello - Cc Plaza Fabricato"/>
    <x v="3"/>
    <s v="octubre"/>
    <n v="7"/>
    <d v="2026-10-07T00:00:00"/>
    <n v="1000660108"/>
    <s v="VANEGAS URIBE HILARY"/>
    <n v="9"/>
    <n v="0"/>
    <n v="499623"/>
  </r>
  <r>
    <s v="Retail"/>
    <s v="Q125 - Bello - Cc Plaza Fabricato"/>
    <x v="3"/>
    <s v="octubre"/>
    <n v="7"/>
    <d v="2026-10-07T00:00:00"/>
    <n v="1025883071"/>
    <s v="RUIZ SANTOS MARLON"/>
    <n v="11"/>
    <n v="0"/>
    <n v="549665"/>
  </r>
  <r>
    <s v="Retail"/>
    <s v="Q125 - Bello - Cc Plaza Fabricato"/>
    <x v="3"/>
    <s v="octubre"/>
    <n v="7"/>
    <d v="2026-10-07T00:00:00"/>
    <n v="1042151904"/>
    <s v="ROLDÁN ÚSUGA VALENTINA"/>
    <n v="6"/>
    <n v="0"/>
    <n v="264371"/>
  </r>
  <r>
    <s v="Retail"/>
    <s v="Q125 - Bello - Cc Plaza Fabricato"/>
    <x v="3"/>
    <s v="octubre"/>
    <n v="7"/>
    <d v="2026-10-07T00:00:00"/>
    <n v="1056771455"/>
    <s v="CORREA OLAYA JANNIN JULIANA"/>
    <n v="-1"/>
    <n v="0"/>
    <n v="-31471"/>
  </r>
  <r>
    <s v="Retail"/>
    <s v="Q125 - Bello - Cc Plaza Fabricato"/>
    <x v="3"/>
    <s v="octubre"/>
    <n v="7"/>
    <d v="2026-10-07T00:00:00"/>
    <n v="1067865055"/>
    <s v="SANCHEZ BENITEZ DIEGO ANDRES"/>
    <n v="23"/>
    <n v="0"/>
    <n v="1322522"/>
  </r>
  <r>
    <s v="Retail"/>
    <s v="Q152 - Rionegro - Cc San nicolas"/>
    <x v="3"/>
    <s v="septiembre"/>
    <n v="23"/>
    <d v="2026-09-23T00:00:00"/>
    <m/>
    <m/>
    <n v="0"/>
    <n v="6119148"/>
    <n v="0"/>
  </r>
  <r>
    <s v="Retail"/>
    <s v="Q152 - Rionegro - Cc San nicolas"/>
    <x v="3"/>
    <s v="septiembre"/>
    <n v="23"/>
    <d v="2026-09-23T00:00:00"/>
    <n v="5384359"/>
    <s v="SUAREZ  YANEZ GENESIS ANDREINA "/>
    <n v="25"/>
    <n v="0"/>
    <n v="1868701"/>
  </r>
  <r>
    <s v="Retail"/>
    <s v="Q152 - Rionegro - Cc San nicolas"/>
    <x v="3"/>
    <s v="septiembre"/>
    <n v="23"/>
    <d v="2026-09-23T00:00:00"/>
    <n v="1047239609"/>
    <s v="MEZA  ARRIETA MARTHA CRISTINA "/>
    <n v="33"/>
    <n v="0"/>
    <n v="2612020"/>
  </r>
  <r>
    <s v="Retail"/>
    <s v="Q152 - Rionegro - Cc San nicolas"/>
    <x v="3"/>
    <s v="septiembre"/>
    <n v="23"/>
    <d v="2026-09-23T00:00:00"/>
    <n v="1058968916"/>
    <s v="CASTAÑEDA ZEMANATE LICETH VALENTINA"/>
    <n v="21"/>
    <n v="0"/>
    <n v="1247017"/>
  </r>
  <r>
    <s v="Retail"/>
    <s v="Q152 - Rionegro - Cc San nicolas"/>
    <x v="3"/>
    <s v="septiembre"/>
    <n v="24"/>
    <d v="2026-09-24T00:00:00"/>
    <m/>
    <m/>
    <n v="0"/>
    <n v="9347689"/>
    <n v="0"/>
  </r>
  <r>
    <s v="Retail"/>
    <s v="Q152 - Rionegro - Cc San nicolas"/>
    <x v="3"/>
    <s v="septiembre"/>
    <n v="24"/>
    <d v="2026-09-24T00:00:00"/>
    <n v="5384359"/>
    <s v="SUAREZ  YANEZ GENESIS ANDREINA "/>
    <n v="36"/>
    <n v="0"/>
    <n v="2385000"/>
  </r>
  <r>
    <s v="Retail"/>
    <s v="Q152 - Rionegro - Cc San nicolas"/>
    <x v="3"/>
    <s v="septiembre"/>
    <n v="24"/>
    <d v="2026-09-24T00:00:00"/>
    <n v="1047239609"/>
    <s v="MEZA  ARRIETA MARTHA CRISTINA "/>
    <n v="36"/>
    <n v="0"/>
    <n v="1983782"/>
  </r>
  <r>
    <s v="Retail"/>
    <s v="Q152 - Rionegro - Cc San nicolas"/>
    <x v="3"/>
    <s v="septiembre"/>
    <n v="24"/>
    <d v="2026-09-24T00:00:00"/>
    <n v="1058968916"/>
    <s v="CASTAÑEDA ZEMANATE LICETH VALENTINA"/>
    <n v="14"/>
    <n v="0"/>
    <n v="848108"/>
  </r>
  <r>
    <s v="Retail"/>
    <s v="Q152 - Rionegro - Cc San nicolas"/>
    <x v="3"/>
    <s v="septiembre"/>
    <n v="25"/>
    <d v="2026-09-25T00:00:00"/>
    <m/>
    <m/>
    <n v="0"/>
    <n v="9326998"/>
    <n v="0"/>
  </r>
  <r>
    <s v="Retail"/>
    <s v="Q152 - Rionegro - Cc San nicolas"/>
    <x v="3"/>
    <s v="septiembre"/>
    <n v="25"/>
    <d v="2026-09-25T00:00:00"/>
    <n v="5384359"/>
    <s v="SUAREZ  YANEZ GENESIS ANDREINA "/>
    <n v="15"/>
    <n v="0"/>
    <n v="1032984"/>
  </r>
  <r>
    <s v="Retail"/>
    <s v="Q152 - Rionegro - Cc San nicolas"/>
    <x v="3"/>
    <s v="septiembre"/>
    <n v="25"/>
    <d v="2026-09-25T00:00:00"/>
    <n v="1047239609"/>
    <s v="MEZA  ARRIETA MARTHA CRISTINA "/>
    <n v="18"/>
    <n v="0"/>
    <n v="1150506"/>
  </r>
  <r>
    <s v="Retail"/>
    <s v="Q152 - Rionegro - Cc San nicolas"/>
    <x v="3"/>
    <s v="septiembre"/>
    <n v="25"/>
    <d v="2026-09-25T00:00:00"/>
    <n v="1058968916"/>
    <s v="CASTAÑEDA ZEMANATE LICETH VALENTINA"/>
    <n v="18"/>
    <n v="0"/>
    <n v="1140001"/>
  </r>
  <r>
    <s v="Retail"/>
    <s v="Q152 - Rionegro - Cc San nicolas"/>
    <x v="3"/>
    <s v="septiembre"/>
    <n v="26"/>
    <d v="2026-09-26T00:00:00"/>
    <m/>
    <m/>
    <n v="0"/>
    <n v="13404233"/>
    <n v="0"/>
  </r>
  <r>
    <s v="Retail"/>
    <s v="Q152 - Rionegro - Cc San nicolas"/>
    <x v="3"/>
    <s v="septiembre"/>
    <n v="26"/>
    <d v="2026-09-26T00:00:00"/>
    <n v="5384359"/>
    <s v="SUAREZ  YANEZ GENESIS ANDREINA "/>
    <n v="38"/>
    <n v="0"/>
    <n v="2552945"/>
  </r>
  <r>
    <s v="Retail"/>
    <s v="Q152 - Rionegro - Cc San nicolas"/>
    <x v="3"/>
    <s v="septiembre"/>
    <n v="26"/>
    <d v="2026-09-26T00:00:00"/>
    <n v="1047239609"/>
    <s v="MEZA  ARRIETA MARTHA CRISTINA "/>
    <n v="58"/>
    <n v="0"/>
    <n v="3480764"/>
  </r>
  <r>
    <s v="Retail"/>
    <s v="Q152 - Rionegro - Cc San nicolas"/>
    <x v="3"/>
    <s v="septiembre"/>
    <n v="26"/>
    <d v="2026-09-26T00:00:00"/>
    <n v="1058968916"/>
    <s v="CASTAÑEDA ZEMANATE LICETH VALENTINA"/>
    <n v="37"/>
    <n v="0"/>
    <n v="2395468"/>
  </r>
  <r>
    <s v="Retail"/>
    <s v="Q152 - Rionegro - Cc San nicolas"/>
    <x v="3"/>
    <s v="septiembre"/>
    <n v="27"/>
    <d v="2026-09-27T00:00:00"/>
    <m/>
    <m/>
    <n v="0"/>
    <n v="10618851"/>
    <n v="0"/>
  </r>
  <r>
    <s v="Retail"/>
    <s v="Q152 - Rionegro - Cc San nicolas"/>
    <x v="3"/>
    <s v="septiembre"/>
    <n v="27"/>
    <d v="2026-09-27T00:00:00"/>
    <n v="5384359"/>
    <s v="SUAREZ  YANEZ GENESIS ANDREINA "/>
    <n v="35"/>
    <n v="0"/>
    <n v="2345169"/>
  </r>
  <r>
    <s v="Retail"/>
    <s v="Q152 - Rionegro - Cc San nicolas"/>
    <x v="3"/>
    <s v="septiembre"/>
    <n v="27"/>
    <d v="2026-09-27T00:00:00"/>
    <n v="1047239609"/>
    <s v="MEZA  ARRIETA MARTHA CRISTINA "/>
    <n v="49"/>
    <n v="0"/>
    <n v="3380296"/>
  </r>
  <r>
    <s v="Retail"/>
    <s v="Q152 - Rionegro - Cc San nicolas"/>
    <x v="3"/>
    <s v="septiembre"/>
    <n v="27"/>
    <d v="2026-09-27T00:00:00"/>
    <n v="1058968916"/>
    <s v="CASTAÑEDA ZEMANATE LICETH VALENTINA"/>
    <n v="31"/>
    <n v="0"/>
    <n v="1801179"/>
  </r>
  <r>
    <s v="Retail"/>
    <s v="Q152 - Rionegro - Cc San nicolas"/>
    <x v="3"/>
    <s v="septiembre"/>
    <n v="28"/>
    <d v="2026-09-28T00:00:00"/>
    <m/>
    <m/>
    <n v="0"/>
    <n v="5844180"/>
    <n v="0"/>
  </r>
  <r>
    <s v="Retail"/>
    <s v="Q152 - Rionegro - Cc San nicolas"/>
    <x v="3"/>
    <s v="septiembre"/>
    <n v="28"/>
    <d v="2026-09-28T00:00:00"/>
    <n v="5384359"/>
    <s v="SUAREZ  YANEZ GENESIS ANDREINA "/>
    <n v="14"/>
    <n v="0"/>
    <n v="1020422"/>
  </r>
  <r>
    <s v="Retail"/>
    <s v="Q152 - Rionegro - Cc San nicolas"/>
    <x v="3"/>
    <s v="septiembre"/>
    <n v="28"/>
    <d v="2026-09-28T00:00:00"/>
    <n v="1047239609"/>
    <s v="MEZA  ARRIETA MARTHA CRISTINA "/>
    <n v="26"/>
    <n v="0"/>
    <n v="1666976"/>
  </r>
  <r>
    <s v="Retail"/>
    <s v="Q152 - Rionegro - Cc San nicolas"/>
    <x v="3"/>
    <s v="septiembre"/>
    <n v="28"/>
    <d v="2026-09-28T00:00:00"/>
    <n v="1058968916"/>
    <s v="CASTAÑEDA ZEMANATE LICETH VALENTINA"/>
    <n v="13"/>
    <n v="0"/>
    <n v="738867"/>
  </r>
  <r>
    <s v="Retail"/>
    <s v="Q152 - Rionegro - Cc San nicolas"/>
    <x v="3"/>
    <s v="septiembre"/>
    <n v="29"/>
    <d v="2026-09-29T00:00:00"/>
    <m/>
    <m/>
    <n v="0"/>
    <n v="6242728"/>
    <n v="0"/>
  </r>
  <r>
    <s v="Retail"/>
    <s v="Q152 - Rionegro - Cc San nicolas"/>
    <x v="3"/>
    <s v="septiembre"/>
    <n v="29"/>
    <d v="2026-09-29T00:00:00"/>
    <n v="5384359"/>
    <s v="SUAREZ  YANEZ GENESIS ANDREINA "/>
    <n v="19"/>
    <n v="0"/>
    <n v="1255464"/>
  </r>
  <r>
    <s v="Retail"/>
    <s v="Q152 - Rionegro - Cc San nicolas"/>
    <x v="3"/>
    <s v="septiembre"/>
    <n v="29"/>
    <d v="2026-09-29T00:00:00"/>
    <n v="1047239609"/>
    <s v="MEZA  ARRIETA MARTHA CRISTINA "/>
    <n v="24"/>
    <n v="0"/>
    <n v="1177523"/>
  </r>
  <r>
    <s v="Retail"/>
    <s v="Q152 - Rionegro - Cc San nicolas"/>
    <x v="3"/>
    <s v="septiembre"/>
    <n v="29"/>
    <d v="2026-09-29T00:00:00"/>
    <n v="1058968916"/>
    <s v="CASTAÑEDA ZEMANATE LICETH VALENTINA"/>
    <n v="24"/>
    <n v="0"/>
    <n v="1549415"/>
  </r>
  <r>
    <s v="Retail"/>
    <s v="Q152 - Rionegro - Cc San nicolas"/>
    <x v="3"/>
    <s v="septiembre"/>
    <n v="30"/>
    <d v="2026-09-30T00:00:00"/>
    <m/>
    <m/>
    <n v="0"/>
    <n v="6448850"/>
    <n v="0"/>
  </r>
  <r>
    <s v="Retail"/>
    <s v="Q152 - Rionegro - Cc San nicolas"/>
    <x v="3"/>
    <s v="septiembre"/>
    <n v="30"/>
    <d v="2026-09-30T00:00:00"/>
    <n v="5384359"/>
    <s v="SUAREZ  YANEZ GENESIS ANDREINA "/>
    <n v="31"/>
    <n v="0"/>
    <n v="1977605"/>
  </r>
  <r>
    <s v="Retail"/>
    <s v="Q152 - Rionegro - Cc San nicolas"/>
    <x v="3"/>
    <s v="septiembre"/>
    <n v="30"/>
    <d v="2026-09-30T00:00:00"/>
    <n v="1047239609"/>
    <s v="MEZA  ARRIETA MARTHA CRISTINA "/>
    <n v="47"/>
    <n v="0"/>
    <n v="2896890"/>
  </r>
  <r>
    <s v="Retail"/>
    <s v="Q152 - Rionegro - Cc San nicolas"/>
    <x v="3"/>
    <s v="septiembre"/>
    <n v="30"/>
    <d v="2026-09-30T00:00:00"/>
    <n v="1058968916"/>
    <s v="CASTAÑEDA ZEMANATE LICETH VALENTINA"/>
    <n v="36"/>
    <n v="0"/>
    <n v="2151809"/>
  </r>
  <r>
    <s v="Retail"/>
    <s v="Q152 - Rionegro - Cc San nicolas"/>
    <x v="3"/>
    <s v="octubre"/>
    <n v="1"/>
    <d v="2026-10-01T00:00:00"/>
    <m/>
    <m/>
    <n v="0"/>
    <n v="3954161"/>
    <n v="0"/>
  </r>
  <r>
    <s v="Retail"/>
    <s v="Q152 - Rionegro - Cc San nicolas"/>
    <x v="3"/>
    <s v="octubre"/>
    <n v="1"/>
    <d v="2026-10-01T00:00:00"/>
    <n v="5384359"/>
    <s v="SUAREZ  YANEZ GENESIS ANDREINA "/>
    <n v="41"/>
    <n v="0"/>
    <n v="2298615"/>
  </r>
  <r>
    <s v="Retail"/>
    <s v="Q152 - Rionegro - Cc San nicolas"/>
    <x v="3"/>
    <s v="octubre"/>
    <n v="1"/>
    <d v="2026-10-01T00:00:00"/>
    <n v="1047239609"/>
    <s v="MEZA  ARRIETA MARTHA CRISTINA "/>
    <n v="59"/>
    <n v="0"/>
    <n v="3587777"/>
  </r>
  <r>
    <s v="Retail"/>
    <s v="Q152 - Rionegro - Cc San nicolas"/>
    <x v="3"/>
    <s v="octubre"/>
    <n v="1"/>
    <d v="2026-10-01T00:00:00"/>
    <n v="1058968916"/>
    <s v="CASTAÑEDA ZEMANATE LICETH VALENTINA"/>
    <n v="27"/>
    <n v="0"/>
    <n v="1219077"/>
  </r>
  <r>
    <s v="Retail"/>
    <s v="Q152 - Rionegro - Cc San nicolas"/>
    <x v="3"/>
    <s v="octubre"/>
    <n v="2"/>
    <d v="2026-10-02T00:00:00"/>
    <m/>
    <m/>
    <n v="0"/>
    <n v="5808589"/>
    <n v="0"/>
  </r>
  <r>
    <s v="Retail"/>
    <s v="Q152 - Rionegro - Cc San nicolas"/>
    <x v="3"/>
    <s v="octubre"/>
    <n v="2"/>
    <d v="2026-10-02T00:00:00"/>
    <n v="5384359"/>
    <s v="SUAREZ  YANEZ GENESIS ANDREINA "/>
    <n v="39"/>
    <n v="0"/>
    <n v="2300884"/>
  </r>
  <r>
    <s v="Retail"/>
    <s v="Q152 - Rionegro - Cc San nicolas"/>
    <x v="3"/>
    <s v="octubre"/>
    <n v="2"/>
    <d v="2026-10-02T00:00:00"/>
    <n v="1047239609"/>
    <s v="MEZA  ARRIETA MARTHA CRISTINA "/>
    <n v="51"/>
    <n v="0"/>
    <n v="2600212"/>
  </r>
  <r>
    <s v="Retail"/>
    <s v="Q152 - Rionegro - Cc San nicolas"/>
    <x v="3"/>
    <s v="octubre"/>
    <n v="2"/>
    <d v="2026-10-02T00:00:00"/>
    <n v="1058968916"/>
    <s v="CASTAÑEDA ZEMANATE LICETH VALENTINA"/>
    <n v="27"/>
    <n v="0"/>
    <n v="1197984"/>
  </r>
  <r>
    <s v="Retail"/>
    <s v="Q152 - Rionegro - Cc San nicolas"/>
    <x v="3"/>
    <s v="octubre"/>
    <n v="3"/>
    <d v="2026-10-03T00:00:00"/>
    <m/>
    <m/>
    <n v="0"/>
    <n v="12651942"/>
    <n v="0"/>
  </r>
  <r>
    <s v="Retail"/>
    <s v="Q152 - Rionegro - Cc San nicolas"/>
    <x v="3"/>
    <s v="octubre"/>
    <n v="3"/>
    <d v="2026-10-03T00:00:00"/>
    <n v="5384359"/>
    <s v="SUAREZ  YANEZ GENESIS ANDREINA "/>
    <n v="69"/>
    <n v="0"/>
    <n v="3452825"/>
  </r>
  <r>
    <s v="Retail"/>
    <s v="Q152 - Rionegro - Cc San nicolas"/>
    <x v="3"/>
    <s v="octubre"/>
    <n v="3"/>
    <d v="2026-10-03T00:00:00"/>
    <n v="1047239609"/>
    <s v="MEZA  ARRIETA MARTHA CRISTINA "/>
    <n v="65"/>
    <n v="0"/>
    <n v="3905375"/>
  </r>
  <r>
    <s v="Retail"/>
    <s v="Q152 - Rionegro - Cc San nicolas"/>
    <x v="3"/>
    <s v="octubre"/>
    <n v="3"/>
    <d v="2026-10-03T00:00:00"/>
    <n v="1058968916"/>
    <s v="CASTAÑEDA ZEMANATE LICETH VALENTINA"/>
    <n v="41"/>
    <n v="0"/>
    <n v="2360330"/>
  </r>
  <r>
    <s v="Retail"/>
    <s v="Q152 - Rionegro - Cc San nicolas"/>
    <x v="3"/>
    <s v="octubre"/>
    <n v="4"/>
    <d v="2026-10-04T00:00:00"/>
    <m/>
    <m/>
    <n v="0"/>
    <n v="13725678"/>
    <n v="0"/>
  </r>
  <r>
    <s v="Retail"/>
    <s v="Q152 - Rionegro - Cc San nicolas"/>
    <x v="3"/>
    <s v="octubre"/>
    <n v="4"/>
    <d v="2026-10-04T00:00:00"/>
    <n v="5384359"/>
    <s v="SUAREZ  YANEZ GENESIS ANDREINA "/>
    <n v="69"/>
    <n v="0"/>
    <n v="4207189"/>
  </r>
  <r>
    <s v="Retail"/>
    <s v="Q152 - Rionegro - Cc San nicolas"/>
    <x v="3"/>
    <s v="octubre"/>
    <n v="4"/>
    <d v="2026-10-04T00:00:00"/>
    <n v="1047239609"/>
    <s v="MEZA  ARRIETA MARTHA CRISTINA "/>
    <n v="61"/>
    <n v="0"/>
    <n v="3978533"/>
  </r>
  <r>
    <s v="Retail"/>
    <s v="Q152 - Rionegro - Cc San nicolas"/>
    <x v="3"/>
    <s v="octubre"/>
    <n v="4"/>
    <d v="2026-10-04T00:00:00"/>
    <n v="1058968916"/>
    <s v="CASTAÑEDA ZEMANATE LICETH VALENTINA"/>
    <n v="35"/>
    <n v="0"/>
    <n v="2607733"/>
  </r>
  <r>
    <s v="Retail"/>
    <s v="Q152 - Rionegro - Cc San nicolas"/>
    <x v="3"/>
    <s v="octubre"/>
    <n v="5"/>
    <d v="2026-10-05T00:00:00"/>
    <m/>
    <m/>
    <n v="0"/>
    <n v="5319554"/>
    <n v="0"/>
  </r>
  <r>
    <s v="Retail"/>
    <s v="Q152 - Rionegro - Cc San nicolas"/>
    <x v="3"/>
    <s v="octubre"/>
    <n v="5"/>
    <d v="2026-10-05T00:00:00"/>
    <n v="5384359"/>
    <s v="SUAREZ  YANEZ GENESIS ANDREINA "/>
    <n v="46"/>
    <n v="0"/>
    <n v="2931255"/>
  </r>
  <r>
    <s v="Retail"/>
    <s v="Q152 - Rionegro - Cc San nicolas"/>
    <x v="3"/>
    <s v="octubre"/>
    <n v="5"/>
    <d v="2026-10-05T00:00:00"/>
    <n v="1047239609"/>
    <s v="MEZA  ARRIETA MARTHA CRISTINA "/>
    <n v="33"/>
    <n v="0"/>
    <n v="1912439"/>
  </r>
  <r>
    <s v="Retail"/>
    <s v="Q152 - Rionegro - Cc San nicolas"/>
    <x v="3"/>
    <s v="octubre"/>
    <n v="5"/>
    <d v="2026-10-05T00:00:00"/>
    <n v="1058968916"/>
    <s v="CASTAÑEDA ZEMANATE LICETH VALENTINA"/>
    <n v="41"/>
    <n v="0"/>
    <n v="2464665"/>
  </r>
  <r>
    <s v="Retail"/>
    <s v="Q152 - Rionegro - Cc San nicolas"/>
    <x v="3"/>
    <s v="octubre"/>
    <n v="6"/>
    <d v="2026-10-06T00:00:00"/>
    <m/>
    <m/>
    <n v="0"/>
    <n v="4005066"/>
    <n v="0"/>
  </r>
  <r>
    <s v="Retail"/>
    <s v="Q152 - Rionegro - Cc San nicolas"/>
    <x v="3"/>
    <s v="octubre"/>
    <n v="6"/>
    <d v="2026-10-06T00:00:00"/>
    <n v="5384359"/>
    <s v="SUAREZ  YANEZ GENESIS ANDREINA "/>
    <n v="14"/>
    <n v="0"/>
    <n v="814454"/>
  </r>
  <r>
    <s v="Retail"/>
    <s v="Q152 - Rionegro - Cc San nicolas"/>
    <x v="3"/>
    <s v="octubre"/>
    <n v="6"/>
    <d v="2026-10-06T00:00:00"/>
    <n v="1047239609"/>
    <s v="MEZA  ARRIETA MARTHA CRISTINA "/>
    <n v="14"/>
    <n v="0"/>
    <n v="829245"/>
  </r>
  <r>
    <s v="Retail"/>
    <s v="Q152 - Rionegro - Cc San nicolas"/>
    <x v="3"/>
    <s v="octubre"/>
    <n v="6"/>
    <d v="2026-10-06T00:00:00"/>
    <n v="1058968916"/>
    <s v="CASTAÑEDA ZEMANATE LICETH VALENTINA"/>
    <n v="10"/>
    <n v="0"/>
    <n v="680210"/>
  </r>
  <r>
    <s v="Retail"/>
    <s v="Q152 - Rionegro - Cc San nicolas"/>
    <x v="3"/>
    <s v="octubre"/>
    <n v="7"/>
    <d v="2026-10-07T00:00:00"/>
    <m/>
    <m/>
    <n v="0"/>
    <n v="3952369"/>
    <n v="0"/>
  </r>
  <r>
    <s v="Retail"/>
    <s v="Q152 - Rionegro - Cc San nicolas"/>
    <x v="3"/>
    <s v="octubre"/>
    <n v="7"/>
    <d v="2026-10-07T00:00:00"/>
    <n v="1047239609"/>
    <s v="MEZA  ARRIETA MARTHA CRISTINA "/>
    <n v="36"/>
    <n v="0"/>
    <n v="2000462"/>
  </r>
  <r>
    <s v="Retail"/>
    <s v="Q152 - Rionegro - Cc San nicolas"/>
    <x v="3"/>
    <s v="octubre"/>
    <n v="7"/>
    <d v="2026-10-07T00:00:00"/>
    <n v="1058968916"/>
    <s v="CASTAÑEDA ZEMANATE LICETH VALENTINA"/>
    <n v="17"/>
    <n v="0"/>
    <n v="931976"/>
  </r>
  <r>
    <s v="Retail"/>
    <s v="Q083 - Yopal - Cc Unicentro"/>
    <x v="4"/>
    <s v="septiembre"/>
    <n v="23"/>
    <d v="2026-09-23T00:00:00"/>
    <m/>
    <m/>
    <n v="0"/>
    <n v="18534851"/>
    <n v="0"/>
  </r>
  <r>
    <s v="Retail"/>
    <s v="Q083 - Yopal - Cc Unicentro"/>
    <x v="4"/>
    <s v="septiembre"/>
    <n v="23"/>
    <d v="2026-09-23T00:00:00"/>
    <n v="1002760100"/>
    <s v="SUREZ PONGUTA KAREN LISETH"/>
    <n v="45"/>
    <n v="0"/>
    <n v="2722860"/>
  </r>
  <r>
    <s v="Retail"/>
    <s v="Q083 - Yopal - Cc Unicentro"/>
    <x v="4"/>
    <s v="septiembre"/>
    <n v="23"/>
    <d v="2026-09-23T00:00:00"/>
    <n v="1006554137"/>
    <s v="DUQUE  SANCHEZ LEONARDO "/>
    <n v="66"/>
    <n v="0"/>
    <n v="3705047"/>
  </r>
  <r>
    <s v="Retail"/>
    <s v="Q083 - Yopal - Cc Unicentro"/>
    <x v="4"/>
    <s v="septiembre"/>
    <n v="23"/>
    <d v="2026-09-23T00:00:00"/>
    <n v="1007540210"/>
    <s v="LOMBANA CHAPARRO DEIBY LORENA"/>
    <n v="47"/>
    <n v="0"/>
    <n v="2638571"/>
  </r>
  <r>
    <s v="Retail"/>
    <s v="Q083 - Yopal - Cc Unicentro"/>
    <x v="4"/>
    <s v="septiembre"/>
    <n v="23"/>
    <d v="2026-09-23T00:00:00"/>
    <n v="1118575599"/>
    <s v="SALCEDO GONZALEZ MILTON HERNANDO"/>
    <n v="55"/>
    <n v="0"/>
    <n v="3367398"/>
  </r>
  <r>
    <s v="Retail"/>
    <s v="Q083 - Yopal - Cc Unicentro"/>
    <x v="4"/>
    <s v="septiembre"/>
    <n v="24"/>
    <d v="2026-09-24T00:00:00"/>
    <m/>
    <m/>
    <n v="0"/>
    <n v="28314068"/>
    <n v="0"/>
  </r>
  <r>
    <s v="Retail"/>
    <s v="Q083 - Yopal - Cc Unicentro"/>
    <x v="4"/>
    <s v="septiembre"/>
    <n v="24"/>
    <d v="2026-09-24T00:00:00"/>
    <n v="1006554137"/>
    <s v="DUQUE  SANCHEZ LEONARDO "/>
    <n v="52"/>
    <n v="0"/>
    <n v="2896893"/>
  </r>
  <r>
    <s v="Retail"/>
    <s v="Q083 - Yopal - Cc Unicentro"/>
    <x v="4"/>
    <s v="septiembre"/>
    <n v="24"/>
    <d v="2026-09-24T00:00:00"/>
    <n v="1006557709"/>
    <s v="LÓPEZ PLAZAS CRISTIAN  YANDAWER"/>
    <n v="63"/>
    <n v="0"/>
    <n v="3440590"/>
  </r>
  <r>
    <s v="Retail"/>
    <s v="Q083 - Yopal - Cc Unicentro"/>
    <x v="4"/>
    <s v="septiembre"/>
    <n v="24"/>
    <d v="2026-09-24T00:00:00"/>
    <n v="1057579346"/>
    <s v="PEREZ HERNANDEZ YASMIN ELIANA"/>
    <n v="68"/>
    <n v="0"/>
    <n v="3497021"/>
  </r>
  <r>
    <s v="Retail"/>
    <s v="Q083 - Yopal - Cc Unicentro"/>
    <x v="4"/>
    <s v="septiembre"/>
    <n v="24"/>
    <d v="2026-09-24T00:00:00"/>
    <n v="1118575599"/>
    <s v="SALCEDO GONZALEZ MILTON HERNANDO"/>
    <n v="131"/>
    <n v="0"/>
    <n v="6954161"/>
  </r>
  <r>
    <s v="Retail"/>
    <s v="Q083 - Yopal - Cc Unicentro"/>
    <x v="4"/>
    <s v="septiembre"/>
    <n v="25"/>
    <d v="2026-09-25T00:00:00"/>
    <m/>
    <m/>
    <n v="0"/>
    <n v="28251386"/>
    <n v="0"/>
  </r>
  <r>
    <s v="Retail"/>
    <s v="Q083 - Yopal - Cc Unicentro"/>
    <x v="4"/>
    <s v="septiembre"/>
    <n v="25"/>
    <d v="2026-09-25T00:00:00"/>
    <n v="1002760100"/>
    <s v="SUREZ PONGUTA KAREN LISETH"/>
    <n v="37"/>
    <n v="0"/>
    <n v="1952229"/>
  </r>
  <r>
    <s v="Retail"/>
    <s v="Q083 - Yopal - Cc Unicentro"/>
    <x v="4"/>
    <s v="septiembre"/>
    <n v="25"/>
    <d v="2026-09-25T00:00:00"/>
    <n v="1006554137"/>
    <s v="DUQUE  SANCHEZ LEONARDO "/>
    <n v="136"/>
    <n v="0"/>
    <n v="7427028"/>
  </r>
  <r>
    <s v="Retail"/>
    <s v="Q083 - Yopal - Cc Unicentro"/>
    <x v="4"/>
    <s v="septiembre"/>
    <n v="25"/>
    <d v="2026-09-25T00:00:00"/>
    <n v="1007540210"/>
    <s v="LOMBANA CHAPARRO DEIBY LORENA"/>
    <n v="74"/>
    <n v="0"/>
    <n v="4045169"/>
  </r>
  <r>
    <s v="Retail"/>
    <s v="Q083 - Yopal - Cc Unicentro"/>
    <x v="4"/>
    <s v="septiembre"/>
    <n v="25"/>
    <d v="2026-09-25T00:00:00"/>
    <n v="1057579346"/>
    <s v="PEREZ HERNANDEZ YASMIN ELIANA"/>
    <n v="6"/>
    <n v="0"/>
    <n v="293866"/>
  </r>
  <r>
    <s v="Retail"/>
    <s v="Q083 - Yopal - Cc Unicentro"/>
    <x v="4"/>
    <s v="septiembre"/>
    <n v="25"/>
    <d v="2026-09-25T00:00:00"/>
    <n v="1118575599"/>
    <s v="SALCEDO GONZALEZ MILTON HERNANDO"/>
    <n v="81"/>
    <n v="0"/>
    <n v="4252903"/>
  </r>
  <r>
    <s v="Retail"/>
    <s v="Q083 - Yopal - Cc Unicentro"/>
    <x v="4"/>
    <s v="septiembre"/>
    <n v="26"/>
    <d v="2026-09-26T00:00:00"/>
    <m/>
    <m/>
    <n v="0"/>
    <n v="40601303"/>
    <n v="0"/>
  </r>
  <r>
    <s v="Retail"/>
    <s v="Q083 - Yopal - Cc Unicentro"/>
    <x v="4"/>
    <s v="septiembre"/>
    <n v="26"/>
    <d v="2026-09-26T00:00:00"/>
    <n v="1006554137"/>
    <s v="DUQUE  SANCHEZ LEONARDO "/>
    <n v="190"/>
    <n v="0"/>
    <n v="10596902"/>
  </r>
  <r>
    <s v="Retail"/>
    <s v="Q083 - Yopal - Cc Unicentro"/>
    <x v="4"/>
    <s v="septiembre"/>
    <n v="26"/>
    <d v="2026-09-26T00:00:00"/>
    <n v="1006557709"/>
    <s v="LÓPEZ PLAZAS CRISTIAN  YANDAWER"/>
    <n v="83"/>
    <n v="0"/>
    <n v="4030003"/>
  </r>
  <r>
    <s v="Retail"/>
    <s v="Q083 - Yopal - Cc Unicentro"/>
    <x v="4"/>
    <s v="septiembre"/>
    <n v="26"/>
    <d v="2026-09-26T00:00:00"/>
    <n v="1057579346"/>
    <s v="PEREZ HERNANDEZ YASMIN ELIANA"/>
    <n v="94"/>
    <n v="0"/>
    <n v="5166185"/>
  </r>
  <r>
    <s v="Retail"/>
    <s v="Q083 - Yopal - Cc Unicentro"/>
    <x v="4"/>
    <s v="septiembre"/>
    <n v="26"/>
    <d v="2026-09-26T00:00:00"/>
    <n v="1118575599"/>
    <s v="SALCEDO GONZALEZ MILTON HERNANDO"/>
    <n v="152"/>
    <n v="0"/>
    <n v="8214087"/>
  </r>
  <r>
    <s v="Retail"/>
    <s v="Q083 - Yopal - Cc Unicentro"/>
    <x v="4"/>
    <s v="septiembre"/>
    <n v="27"/>
    <d v="2026-09-27T00:00:00"/>
    <m/>
    <m/>
    <n v="0"/>
    <n v="32164405"/>
    <n v="0"/>
  </r>
  <r>
    <s v="Retail"/>
    <s v="Q083 - Yopal - Cc Unicentro"/>
    <x v="4"/>
    <s v="septiembre"/>
    <n v="27"/>
    <d v="2026-09-27T00:00:00"/>
    <n v="1002760100"/>
    <s v="SUREZ PONGUTA KAREN LISETH"/>
    <n v="96"/>
    <n v="0"/>
    <n v="5739456"/>
  </r>
  <r>
    <s v="Retail"/>
    <s v="Q083 - Yopal - Cc Unicentro"/>
    <x v="4"/>
    <s v="septiembre"/>
    <n v="27"/>
    <d v="2026-09-27T00:00:00"/>
    <n v="1006554137"/>
    <s v="DUQUE  SANCHEZ LEONARDO "/>
    <n v="153"/>
    <n v="0"/>
    <n v="9144672"/>
  </r>
  <r>
    <s v="Retail"/>
    <s v="Q083 - Yopal - Cc Unicentro"/>
    <x v="4"/>
    <s v="septiembre"/>
    <n v="27"/>
    <d v="2026-09-27T00:00:00"/>
    <n v="1007540210"/>
    <s v="LOMBANA CHAPARRO DEIBY LORENA"/>
    <n v="46"/>
    <n v="0"/>
    <n v="2815296"/>
  </r>
  <r>
    <s v="Retail"/>
    <s v="Q083 - Yopal - Cc Unicentro"/>
    <x v="4"/>
    <s v="septiembre"/>
    <n v="27"/>
    <d v="2026-09-27T00:00:00"/>
    <n v="1118575599"/>
    <s v="SALCEDO GONZALEZ MILTON HERNANDO"/>
    <n v="151"/>
    <n v="0"/>
    <n v="9272740"/>
  </r>
  <r>
    <s v="Retail"/>
    <s v="Q083 - Yopal - Cc Unicentro"/>
    <x v="4"/>
    <s v="septiembre"/>
    <n v="28"/>
    <d v="2026-09-28T00:00:00"/>
    <m/>
    <m/>
    <n v="0"/>
    <n v="17701969"/>
    <n v="0"/>
  </r>
  <r>
    <s v="Retail"/>
    <s v="Q083 - Yopal - Cc Unicentro"/>
    <x v="4"/>
    <s v="septiembre"/>
    <n v="28"/>
    <d v="2026-09-28T00:00:00"/>
    <n v="1006554137"/>
    <s v="DUQUE  SANCHEZ LEONARDO "/>
    <n v="47"/>
    <n v="0"/>
    <n v="2750129"/>
  </r>
  <r>
    <s v="Retail"/>
    <s v="Q083 - Yopal - Cc Unicentro"/>
    <x v="4"/>
    <s v="septiembre"/>
    <n v="28"/>
    <d v="2026-09-28T00:00:00"/>
    <n v="1006557709"/>
    <s v="LÓPEZ PLAZAS CRISTIAN  YANDAWER"/>
    <n v="28"/>
    <n v="0"/>
    <n v="1687900"/>
  </r>
  <r>
    <s v="Retail"/>
    <s v="Q083 - Yopal - Cc Unicentro"/>
    <x v="4"/>
    <s v="septiembre"/>
    <n v="28"/>
    <d v="2026-09-28T00:00:00"/>
    <n v="1057579346"/>
    <s v="PEREZ HERNANDEZ YASMIN ELIANA"/>
    <n v="42"/>
    <n v="0"/>
    <n v="2208320"/>
  </r>
  <r>
    <s v="Retail"/>
    <s v="Q083 - Yopal - Cc Unicentro"/>
    <x v="4"/>
    <s v="septiembre"/>
    <n v="28"/>
    <d v="2026-09-28T00:00:00"/>
    <n v="1113647023"/>
    <s v="REINA MALDONADO ANDRES FELIPE"/>
    <n v="-1"/>
    <n v="0"/>
    <n v="-75588"/>
  </r>
  <r>
    <s v="Retail"/>
    <s v="Q083 - Yopal - Cc Unicentro"/>
    <x v="4"/>
    <s v="septiembre"/>
    <n v="28"/>
    <d v="2026-09-28T00:00:00"/>
    <n v="1118575599"/>
    <s v="SALCEDO GONZALEZ MILTON HERNANDO"/>
    <n v="84"/>
    <n v="0"/>
    <n v="5008909"/>
  </r>
  <r>
    <s v="Retail"/>
    <s v="Q083 - Yopal - Cc Unicentro"/>
    <x v="4"/>
    <s v="septiembre"/>
    <n v="29"/>
    <d v="2026-09-29T00:00:00"/>
    <m/>
    <m/>
    <n v="0"/>
    <n v="18909166"/>
    <n v="0"/>
  </r>
  <r>
    <s v="Retail"/>
    <s v="Q083 - Yopal - Cc Unicentro"/>
    <x v="4"/>
    <s v="septiembre"/>
    <n v="29"/>
    <d v="2026-09-29T00:00:00"/>
    <n v="1002760100"/>
    <s v="SUREZ PONGUTA KAREN LISETH"/>
    <n v="35"/>
    <n v="0"/>
    <n v="1788447"/>
  </r>
  <r>
    <s v="Retail"/>
    <s v="Q083 - Yopal - Cc Unicentro"/>
    <x v="4"/>
    <s v="septiembre"/>
    <n v="29"/>
    <d v="2026-09-29T00:00:00"/>
    <n v="1006554137"/>
    <s v="DUQUE  SANCHEZ LEONARDO "/>
    <n v="87"/>
    <n v="0"/>
    <n v="5197905"/>
  </r>
  <r>
    <s v="Retail"/>
    <s v="Q083 - Yopal - Cc Unicentro"/>
    <x v="4"/>
    <s v="septiembre"/>
    <n v="29"/>
    <d v="2026-09-29T00:00:00"/>
    <n v="1007540210"/>
    <s v="LOMBANA CHAPARRO DEIBY LORENA"/>
    <n v="16"/>
    <n v="0"/>
    <n v="852271"/>
  </r>
  <r>
    <s v="Retail"/>
    <s v="Q083 - Yopal - Cc Unicentro"/>
    <x v="4"/>
    <s v="septiembre"/>
    <n v="29"/>
    <d v="2026-09-29T00:00:00"/>
    <n v="1118575599"/>
    <s v="SALCEDO GONZALEZ MILTON HERNANDO"/>
    <n v="62"/>
    <n v="0"/>
    <n v="3535173"/>
  </r>
  <r>
    <s v="Retail"/>
    <s v="Q083 - Yopal - Cc Unicentro"/>
    <x v="4"/>
    <s v="septiembre"/>
    <n v="30"/>
    <d v="2026-09-30T00:00:00"/>
    <m/>
    <m/>
    <n v="0"/>
    <n v="19533507"/>
    <n v="0"/>
  </r>
  <r>
    <s v="Retail"/>
    <s v="Q083 - Yopal - Cc Unicentro"/>
    <x v="4"/>
    <s v="septiembre"/>
    <n v="30"/>
    <d v="2026-09-30T00:00:00"/>
    <n v="1006554137"/>
    <s v="DUQUE  SANCHEZ LEONARDO "/>
    <n v="97"/>
    <n v="0"/>
    <n v="5453787"/>
  </r>
  <r>
    <s v="Retail"/>
    <s v="Q083 - Yopal - Cc Unicentro"/>
    <x v="4"/>
    <s v="septiembre"/>
    <n v="30"/>
    <d v="2026-09-30T00:00:00"/>
    <n v="1006557709"/>
    <s v="LÓPEZ PLAZAS CRISTIAN  YANDAWER"/>
    <n v="36"/>
    <n v="0"/>
    <n v="1870084"/>
  </r>
  <r>
    <s v="Retail"/>
    <s v="Q083 - Yopal - Cc Unicentro"/>
    <x v="4"/>
    <s v="septiembre"/>
    <n v="30"/>
    <d v="2026-09-30T00:00:00"/>
    <n v="1057579346"/>
    <s v="PEREZ HERNANDEZ YASMIN ELIANA"/>
    <n v="21"/>
    <n v="0"/>
    <n v="1286934"/>
  </r>
  <r>
    <s v="Retail"/>
    <s v="Q083 - Yopal - Cc Unicentro"/>
    <x v="4"/>
    <s v="septiembre"/>
    <n v="30"/>
    <d v="2026-09-30T00:00:00"/>
    <n v="1118575599"/>
    <s v="SALCEDO GONZALEZ MILTON HERNANDO"/>
    <n v="110"/>
    <n v="0"/>
    <n v="5997232"/>
  </r>
  <r>
    <s v="Retail"/>
    <s v="Q083 - Yopal - Cc Unicentro"/>
    <x v="4"/>
    <s v="octubre"/>
    <n v="1"/>
    <d v="2026-10-01T00:00:00"/>
    <m/>
    <m/>
    <n v="0"/>
    <n v="13413884"/>
    <n v="0"/>
  </r>
  <r>
    <s v="Retail"/>
    <s v="Q083 - Yopal - Cc Unicentro"/>
    <x v="4"/>
    <s v="octubre"/>
    <n v="1"/>
    <d v="2026-10-01T00:00:00"/>
    <n v="1002760100"/>
    <s v="SUREZ PONGUTA KAREN LISETH"/>
    <n v="52"/>
    <n v="0"/>
    <n v="3155340"/>
  </r>
  <r>
    <s v="Retail"/>
    <s v="Q083 - Yopal - Cc Unicentro"/>
    <x v="4"/>
    <s v="octubre"/>
    <n v="1"/>
    <d v="2026-10-01T00:00:00"/>
    <n v="1006554137"/>
    <s v="DUQUE  SANCHEZ LEONARDO "/>
    <n v="107"/>
    <n v="0"/>
    <n v="6106518"/>
  </r>
  <r>
    <s v="Retail"/>
    <s v="Q083 - Yopal - Cc Unicentro"/>
    <x v="4"/>
    <s v="octubre"/>
    <n v="1"/>
    <d v="2026-10-01T00:00:00"/>
    <n v="1007540210"/>
    <s v="LOMBANA CHAPARRO DEIBY LORENA"/>
    <n v="40"/>
    <n v="0"/>
    <n v="2168280"/>
  </r>
  <r>
    <s v="Retail"/>
    <s v="Q083 - Yopal - Cc Unicentro"/>
    <x v="4"/>
    <s v="octubre"/>
    <n v="1"/>
    <d v="2026-10-01T00:00:00"/>
    <n v="1118575599"/>
    <s v="SALCEDO GONZALEZ MILTON HERNANDO"/>
    <n v="101"/>
    <n v="0"/>
    <n v="5415808"/>
  </r>
  <r>
    <s v="Retail"/>
    <s v="Q083 - Yopal - Cc Unicentro"/>
    <x v="4"/>
    <s v="octubre"/>
    <n v="2"/>
    <d v="2026-10-02T00:00:00"/>
    <m/>
    <m/>
    <n v="0"/>
    <n v="22657028"/>
    <n v="0"/>
  </r>
  <r>
    <s v="Retail"/>
    <s v="Q083 - Yopal - Cc Unicentro"/>
    <x v="4"/>
    <s v="octubre"/>
    <n v="2"/>
    <d v="2026-10-02T00:00:00"/>
    <n v="1006554137"/>
    <s v="DUQUE  SANCHEZ LEONARDO "/>
    <n v="96"/>
    <n v="0"/>
    <n v="6182777"/>
  </r>
  <r>
    <s v="Retail"/>
    <s v="Q083 - Yopal - Cc Unicentro"/>
    <x v="4"/>
    <s v="octubre"/>
    <n v="2"/>
    <d v="2026-10-02T00:00:00"/>
    <n v="1006557709"/>
    <s v="LÓPEZ PLAZAS CRISTIAN  YANDAWER"/>
    <n v="43"/>
    <n v="0"/>
    <n v="2510716"/>
  </r>
  <r>
    <s v="Retail"/>
    <s v="Q083 - Yopal - Cc Unicentro"/>
    <x v="4"/>
    <s v="octubre"/>
    <n v="2"/>
    <d v="2026-10-02T00:00:00"/>
    <n v="1057579346"/>
    <s v="PEREZ HERNANDEZ YASMIN ELIANA"/>
    <n v="55"/>
    <n v="0"/>
    <n v="3127904"/>
  </r>
  <r>
    <s v="Retail"/>
    <s v="Q083 - Yopal - Cc Unicentro"/>
    <x v="4"/>
    <s v="octubre"/>
    <n v="2"/>
    <d v="2026-10-02T00:00:00"/>
    <n v="1118575599"/>
    <s v="SALCEDO GONZALEZ MILTON HERNANDO"/>
    <n v="102"/>
    <n v="0"/>
    <n v="5457734"/>
  </r>
  <r>
    <s v="Retail"/>
    <s v="Q083 - Yopal - Cc Unicentro"/>
    <x v="4"/>
    <s v="octubre"/>
    <n v="3"/>
    <d v="2026-10-03T00:00:00"/>
    <m/>
    <m/>
    <n v="0"/>
    <n v="30210395"/>
    <n v="0"/>
  </r>
  <r>
    <s v="Retail"/>
    <s v="Q083 - Yopal - Cc Unicentro"/>
    <x v="4"/>
    <s v="octubre"/>
    <n v="3"/>
    <d v="2026-10-03T00:00:00"/>
    <n v="1002760100"/>
    <s v="SUREZ PONGUTA KAREN LISETH"/>
    <n v="73"/>
    <n v="0"/>
    <n v="3455833"/>
  </r>
  <r>
    <s v="Retail"/>
    <s v="Q083 - Yopal - Cc Unicentro"/>
    <x v="4"/>
    <s v="octubre"/>
    <n v="3"/>
    <d v="2026-10-03T00:00:00"/>
    <n v="1006554137"/>
    <s v="DUQUE  SANCHEZ LEONARDO "/>
    <n v="209"/>
    <n v="0"/>
    <n v="10608939"/>
  </r>
  <r>
    <s v="Retail"/>
    <s v="Q083 - Yopal - Cc Unicentro"/>
    <x v="4"/>
    <s v="octubre"/>
    <n v="3"/>
    <d v="2026-10-03T00:00:00"/>
    <n v="1007540210"/>
    <s v="LOMBANA CHAPARRO DEIBY LORENA"/>
    <n v="63"/>
    <n v="0"/>
    <n v="3264076"/>
  </r>
  <r>
    <s v="Retail"/>
    <s v="Q083 - Yopal - Cc Unicentro"/>
    <x v="4"/>
    <s v="octubre"/>
    <n v="3"/>
    <d v="2026-10-03T00:00:00"/>
    <n v="1057579346"/>
    <s v="PEREZ HERNANDEZ YASMIN ELIANA"/>
    <n v="2"/>
    <n v="0"/>
    <n v="182278"/>
  </r>
  <r>
    <s v="Retail"/>
    <s v="Q083 - Yopal - Cc Unicentro"/>
    <x v="4"/>
    <s v="octubre"/>
    <n v="3"/>
    <d v="2026-10-03T00:00:00"/>
    <n v="1118575599"/>
    <s v="SALCEDO GONZALEZ MILTON HERNANDO"/>
    <n v="135"/>
    <n v="0"/>
    <n v="7208009"/>
  </r>
  <r>
    <s v="Retail"/>
    <s v="Q083 - Yopal - Cc Unicentro"/>
    <x v="4"/>
    <s v="octubre"/>
    <n v="4"/>
    <d v="2026-10-04T00:00:00"/>
    <m/>
    <m/>
    <n v="0"/>
    <n v="23720870"/>
    <n v="0"/>
  </r>
  <r>
    <s v="Retail"/>
    <s v="Q083 - Yopal - Cc Unicentro"/>
    <x v="4"/>
    <s v="octubre"/>
    <n v="4"/>
    <d v="2026-10-04T00:00:00"/>
    <n v="1006554137"/>
    <s v="DUQUE  SANCHEZ LEONARDO "/>
    <n v="96"/>
    <n v="0"/>
    <n v="5720550"/>
  </r>
  <r>
    <s v="Retail"/>
    <s v="Q083 - Yopal - Cc Unicentro"/>
    <x v="4"/>
    <s v="octubre"/>
    <n v="4"/>
    <d v="2026-10-04T00:00:00"/>
    <n v="1006557709"/>
    <s v="LÓPEZ PLAZAS CRISTIAN  YANDAWER"/>
    <n v="64"/>
    <n v="0"/>
    <n v="3841512"/>
  </r>
  <r>
    <s v="Retail"/>
    <s v="Q083 - Yopal - Cc Unicentro"/>
    <x v="4"/>
    <s v="octubre"/>
    <n v="4"/>
    <d v="2026-10-04T00:00:00"/>
    <n v="1057579346"/>
    <s v="PEREZ HERNANDEZ YASMIN ELIANA"/>
    <n v="68"/>
    <n v="0"/>
    <n v="3913072"/>
  </r>
  <r>
    <s v="Retail"/>
    <s v="Q083 - Yopal - Cc Unicentro"/>
    <x v="4"/>
    <s v="octubre"/>
    <n v="4"/>
    <d v="2026-10-04T00:00:00"/>
    <n v="1115918711"/>
    <s v="RODRIGUEZ PULIDO LISETH LORENA"/>
    <n v="93"/>
    <n v="0"/>
    <n v="5374127"/>
  </r>
  <r>
    <s v="Retail"/>
    <s v="Q083 - Yopal - Cc Unicentro"/>
    <x v="4"/>
    <s v="octubre"/>
    <n v="4"/>
    <d v="2026-10-04T00:00:00"/>
    <n v="1118575599"/>
    <s v="SALCEDO GONZALEZ MILTON HERNANDO"/>
    <n v="85"/>
    <n v="0"/>
    <n v="5109629"/>
  </r>
  <r>
    <s v="Retail"/>
    <s v="Q083 - Yopal - Cc Unicentro"/>
    <x v="4"/>
    <s v="octubre"/>
    <n v="5"/>
    <d v="2026-10-05T00:00:00"/>
    <m/>
    <m/>
    <n v="0"/>
    <n v="10329254"/>
    <n v="0"/>
  </r>
  <r>
    <s v="Retail"/>
    <s v="Q083 - Yopal - Cc Unicentro"/>
    <x v="4"/>
    <s v="octubre"/>
    <n v="5"/>
    <d v="2026-10-05T00:00:00"/>
    <n v="1002760100"/>
    <s v="SUREZ PONGUTA KAREN LISETH"/>
    <n v="47"/>
    <n v="0"/>
    <n v="2613490"/>
  </r>
  <r>
    <s v="Retail"/>
    <s v="Q083 - Yopal - Cc Unicentro"/>
    <x v="4"/>
    <s v="octubre"/>
    <n v="5"/>
    <d v="2026-10-05T00:00:00"/>
    <n v="1006554137"/>
    <s v="DUQUE  SANCHEZ LEONARDO "/>
    <n v="90"/>
    <n v="0"/>
    <n v="5130470"/>
  </r>
  <r>
    <s v="Retail"/>
    <s v="Q083 - Yopal - Cc Unicentro"/>
    <x v="4"/>
    <s v="octubre"/>
    <n v="5"/>
    <d v="2026-10-05T00:00:00"/>
    <n v="1006557709"/>
    <s v="LÓPEZ PLAZAS CRISTIAN  YANDAWER"/>
    <n v="2"/>
    <n v="0"/>
    <n v="75504"/>
  </r>
  <r>
    <s v="Retail"/>
    <s v="Q083 - Yopal - Cc Unicentro"/>
    <x v="4"/>
    <s v="octubre"/>
    <n v="5"/>
    <d v="2026-10-05T00:00:00"/>
    <n v="1007540210"/>
    <s v="LOMBANA CHAPARRO DEIBY LORENA"/>
    <n v="52"/>
    <n v="0"/>
    <n v="2735002"/>
  </r>
  <r>
    <s v="Retail"/>
    <s v="Q083 - Yopal - Cc Unicentro"/>
    <x v="4"/>
    <s v="octubre"/>
    <n v="5"/>
    <d v="2026-10-05T00:00:00"/>
    <n v="1115918711"/>
    <s v="RODRIGUEZ PULIDO LISETH LORENA"/>
    <n v="2"/>
    <n v="0"/>
    <n v="104916"/>
  </r>
  <r>
    <s v="Retail"/>
    <s v="Q083 - Yopal - Cc Unicentro"/>
    <x v="4"/>
    <s v="octubre"/>
    <n v="6"/>
    <d v="2026-10-06T00:00:00"/>
    <m/>
    <m/>
    <n v="0"/>
    <n v="8255983"/>
    <n v="0"/>
  </r>
  <r>
    <s v="Retail"/>
    <s v="Q083 - Yopal - Cc Unicentro"/>
    <x v="4"/>
    <s v="octubre"/>
    <n v="6"/>
    <d v="2026-10-06T00:00:00"/>
    <n v="1002760100"/>
    <s v="SUREZ PONGUTA KAREN LISETH"/>
    <n v="4"/>
    <n v="0"/>
    <n v="163655"/>
  </r>
  <r>
    <s v="Retail"/>
    <s v="Q083 - Yopal - Cc Unicentro"/>
    <x v="4"/>
    <s v="octubre"/>
    <n v="6"/>
    <d v="2026-10-06T00:00:00"/>
    <n v="1007540210"/>
    <s v="LOMBANA CHAPARRO DEIBY LORENA"/>
    <n v="23"/>
    <n v="0"/>
    <n v="1284749"/>
  </r>
  <r>
    <s v="Retail"/>
    <s v="Q083 - Yopal - Cc Unicentro"/>
    <x v="4"/>
    <s v="octubre"/>
    <n v="6"/>
    <d v="2026-10-06T00:00:00"/>
    <n v="1057579346"/>
    <s v="PEREZ HERNANDEZ YASMIN ELIANA"/>
    <n v="29"/>
    <n v="0"/>
    <n v="1494413"/>
  </r>
  <r>
    <s v="Retail"/>
    <s v="Q083 - Yopal - Cc Unicentro"/>
    <x v="4"/>
    <s v="octubre"/>
    <n v="6"/>
    <d v="2026-10-06T00:00:00"/>
    <n v="1118575599"/>
    <s v="SALCEDO GONZALEZ MILTON HERNANDO"/>
    <n v="80"/>
    <n v="0"/>
    <n v="4811562"/>
  </r>
  <r>
    <s v="Retail"/>
    <s v="Q083 - Yopal - Cc Unicentro"/>
    <x v="4"/>
    <s v="octubre"/>
    <n v="7"/>
    <d v="2026-10-07T00:00:00"/>
    <m/>
    <m/>
    <n v="0"/>
    <n v="8147351"/>
    <n v="0"/>
  </r>
  <r>
    <s v="Retail"/>
    <s v="Q083 - Yopal - Cc Unicentro"/>
    <x v="4"/>
    <s v="octubre"/>
    <n v="7"/>
    <d v="2026-10-07T00:00:00"/>
    <n v="1002760100"/>
    <s v="SUREZ PONGUTA KAREN LISETH"/>
    <n v="20"/>
    <n v="0"/>
    <n v="1179791"/>
  </r>
  <r>
    <s v="Retail"/>
    <s v="Q083 - Yopal - Cc Unicentro"/>
    <x v="4"/>
    <s v="octubre"/>
    <n v="7"/>
    <d v="2026-10-07T00:00:00"/>
    <n v="1006554137"/>
    <s v="DUQUE  SANCHEZ LEONARDO "/>
    <n v="65"/>
    <n v="0"/>
    <n v="3833071"/>
  </r>
  <r>
    <s v="Retail"/>
    <s v="Q083 - Yopal - Cc Unicentro"/>
    <x v="4"/>
    <s v="octubre"/>
    <n v="7"/>
    <d v="2026-10-07T00:00:00"/>
    <n v="1057579346"/>
    <s v="PEREZ HERNANDEZ YASMIN ELIANA"/>
    <n v="25"/>
    <n v="0"/>
    <n v="1393867"/>
  </r>
  <r>
    <s v="Retail"/>
    <s v="Q083 - Yopal - Cc Unicentro"/>
    <x v="4"/>
    <s v="octubre"/>
    <n v="7"/>
    <d v="2026-10-07T00:00:00"/>
    <n v="1118575599"/>
    <s v="SALCEDO GONZALEZ MILTON HERNANDO"/>
    <n v="72"/>
    <n v="0"/>
    <n v="4080678"/>
  </r>
  <r>
    <s v="Retail"/>
    <s v="Q112 - Medellin - Cc Molinos Medellin"/>
    <x v="4"/>
    <s v="septiembre"/>
    <n v="23"/>
    <d v="2026-09-23T00:00:00"/>
    <m/>
    <m/>
    <n v="0"/>
    <n v="7471323"/>
    <n v="0"/>
  </r>
  <r>
    <s v="Retail"/>
    <s v="Q112 - Medellin - Cc Molinos Medellin"/>
    <x v="4"/>
    <s v="septiembre"/>
    <n v="23"/>
    <d v="2026-09-23T00:00:00"/>
    <n v="4337936"/>
    <s v="MONAGAS CHAVEZ CARIBYA ANDREINA"/>
    <n v="35"/>
    <n v="0"/>
    <n v="2338740"/>
  </r>
  <r>
    <s v="Retail"/>
    <s v="Q112 - Medellin - Cc Molinos Medellin"/>
    <x v="4"/>
    <s v="septiembre"/>
    <n v="23"/>
    <d v="2026-09-23T00:00:00"/>
    <n v="1000637944"/>
    <s v="ANDUQUIA LOPEZ ANYI CATERINE"/>
    <n v="58"/>
    <n v="0"/>
    <n v="3512189"/>
  </r>
  <r>
    <s v="Retail"/>
    <s v="Q112 - Medellin - Cc Molinos Medellin"/>
    <x v="4"/>
    <s v="septiembre"/>
    <n v="23"/>
    <d v="2026-09-23T00:00:00"/>
    <n v="1001653261"/>
    <s v="ESPINOSA  CEBALLOS NATALIA ANDREA"/>
    <n v="41"/>
    <n v="0"/>
    <n v="2878362"/>
  </r>
  <r>
    <s v="Retail"/>
    <s v="Q112 - Medellin - Cc Molinos Medellin"/>
    <x v="4"/>
    <s v="septiembre"/>
    <n v="23"/>
    <d v="2026-09-23T00:00:00"/>
    <n v="1007390161"/>
    <s v="MARTINEZ MARTINEZ KEISY DANIELA"/>
    <n v="35"/>
    <n v="0"/>
    <n v="2023571"/>
  </r>
  <r>
    <s v="Retail"/>
    <s v="Q112 - Medellin - Cc Molinos Medellin"/>
    <x v="4"/>
    <s v="septiembre"/>
    <n v="24"/>
    <d v="2026-09-24T00:00:00"/>
    <m/>
    <m/>
    <n v="0"/>
    <n v="11413285"/>
    <n v="0"/>
  </r>
  <r>
    <s v="Retail"/>
    <s v="Q112 - Medellin - Cc Molinos Medellin"/>
    <x v="4"/>
    <s v="septiembre"/>
    <n v="24"/>
    <d v="2026-09-24T00:00:00"/>
    <n v="4337936"/>
    <s v="MONAGAS CHAVEZ CARIBYA ANDREINA"/>
    <n v="28"/>
    <n v="0"/>
    <n v="1650001"/>
  </r>
  <r>
    <s v="Retail"/>
    <s v="Q112 - Medellin - Cc Molinos Medellin"/>
    <x v="4"/>
    <s v="septiembre"/>
    <n v="24"/>
    <d v="2026-09-24T00:00:00"/>
    <n v="1000637944"/>
    <s v="ANDUQUIA LOPEZ ANYI CATERINE"/>
    <n v="23"/>
    <n v="0"/>
    <n v="1461092"/>
  </r>
  <r>
    <s v="Retail"/>
    <s v="Q112 - Medellin - Cc Molinos Medellin"/>
    <x v="4"/>
    <s v="septiembre"/>
    <n v="24"/>
    <d v="2026-09-24T00:00:00"/>
    <n v="1001653261"/>
    <s v="ESPINOSA  CEBALLOS NATALIA ANDREA"/>
    <n v="50"/>
    <n v="0"/>
    <n v="2957985"/>
  </r>
  <r>
    <s v="Retail"/>
    <s v="Q112 - Medellin - Cc Molinos Medellin"/>
    <x v="4"/>
    <s v="septiembre"/>
    <n v="24"/>
    <d v="2026-09-24T00:00:00"/>
    <n v="1007390161"/>
    <s v="MARTINEZ MARTINEZ KEISY DANIELA"/>
    <n v="52"/>
    <n v="0"/>
    <n v="3232901"/>
  </r>
  <r>
    <s v="Retail"/>
    <s v="Q112 - Medellin - Cc Molinos Medellin"/>
    <x v="4"/>
    <s v="septiembre"/>
    <n v="25"/>
    <d v="2026-09-25T00:00:00"/>
    <m/>
    <m/>
    <n v="0"/>
    <n v="11388018"/>
    <n v="0"/>
  </r>
  <r>
    <s v="Retail"/>
    <s v="Q112 - Medellin - Cc Molinos Medellin"/>
    <x v="4"/>
    <s v="septiembre"/>
    <n v="25"/>
    <d v="2026-09-25T00:00:00"/>
    <n v="4337936"/>
    <s v="MONAGAS CHAVEZ CARIBYA ANDREINA"/>
    <n v="29"/>
    <n v="0"/>
    <n v="1750798"/>
  </r>
  <r>
    <s v="Retail"/>
    <s v="Q112 - Medellin - Cc Molinos Medellin"/>
    <x v="4"/>
    <s v="septiembre"/>
    <n v="25"/>
    <d v="2026-09-25T00:00:00"/>
    <n v="1000637944"/>
    <s v="ANDUQUIA LOPEZ ANYI CATERINE"/>
    <n v="34"/>
    <n v="0"/>
    <n v="2090882"/>
  </r>
  <r>
    <s v="Retail"/>
    <s v="Q112 - Medellin - Cc Molinos Medellin"/>
    <x v="4"/>
    <s v="septiembre"/>
    <n v="25"/>
    <d v="2026-09-25T00:00:00"/>
    <n v="1001653261"/>
    <s v="ESPINOSA  CEBALLOS NATALIA ANDREA"/>
    <n v="43"/>
    <n v="0"/>
    <n v="2678741"/>
  </r>
  <r>
    <s v="Retail"/>
    <s v="Q112 - Medellin - Cc Molinos Medellin"/>
    <x v="4"/>
    <s v="septiembre"/>
    <n v="25"/>
    <d v="2026-09-25T00:00:00"/>
    <n v="1007390161"/>
    <s v="MARTINEZ MARTINEZ KEISY DANIELA"/>
    <n v="23"/>
    <n v="0"/>
    <n v="1471638"/>
  </r>
  <r>
    <s v="Retail"/>
    <s v="Q112 - Medellin - Cc Molinos Medellin"/>
    <x v="4"/>
    <s v="septiembre"/>
    <n v="26"/>
    <d v="2026-09-26T00:00:00"/>
    <m/>
    <m/>
    <n v="0"/>
    <n v="16366219"/>
    <n v="0"/>
  </r>
  <r>
    <s v="Retail"/>
    <s v="Q112 - Medellin - Cc Molinos Medellin"/>
    <x v="4"/>
    <s v="septiembre"/>
    <n v="26"/>
    <d v="2026-09-26T00:00:00"/>
    <n v="4337936"/>
    <s v="MONAGAS CHAVEZ CARIBYA ANDREINA"/>
    <n v="111"/>
    <n v="0"/>
    <n v="7242898"/>
  </r>
  <r>
    <s v="Retail"/>
    <s v="Q112 - Medellin - Cc Molinos Medellin"/>
    <x v="4"/>
    <s v="septiembre"/>
    <n v="26"/>
    <d v="2026-09-26T00:00:00"/>
    <n v="1000637944"/>
    <s v="ANDUQUIA LOPEZ ANYI CATERINE"/>
    <n v="99"/>
    <n v="0"/>
    <n v="6781475"/>
  </r>
  <r>
    <s v="Retail"/>
    <s v="Q112 - Medellin - Cc Molinos Medellin"/>
    <x v="4"/>
    <s v="septiembre"/>
    <n v="26"/>
    <d v="2026-09-26T00:00:00"/>
    <n v="1001653261"/>
    <s v="ESPINOSA  CEBALLOS NATALIA ANDREA"/>
    <n v="96"/>
    <n v="0"/>
    <n v="6243443"/>
  </r>
  <r>
    <s v="Retail"/>
    <s v="Q112 - Medellin - Cc Molinos Medellin"/>
    <x v="4"/>
    <s v="septiembre"/>
    <n v="26"/>
    <d v="2026-09-26T00:00:00"/>
    <n v="1002596138"/>
    <s v="GONZALEZ  GAVIRIA JUAN MANUEL "/>
    <n v="-2"/>
    <n v="0"/>
    <n v="-151176"/>
  </r>
  <r>
    <s v="Retail"/>
    <s v="Q112 - Medellin - Cc Molinos Medellin"/>
    <x v="4"/>
    <s v="septiembre"/>
    <n v="26"/>
    <d v="2026-09-26T00:00:00"/>
    <n v="1007390161"/>
    <s v="MARTINEZ MARTINEZ KEISY DANIELA"/>
    <n v="109"/>
    <n v="0"/>
    <n v="6822813"/>
  </r>
  <r>
    <s v="Retail"/>
    <s v="Q112 - Medellin - Cc Molinos Medellin"/>
    <x v="4"/>
    <s v="septiembre"/>
    <n v="26"/>
    <d v="2026-09-26T00:00:00"/>
    <n v="1033426758"/>
    <s v="CUERVO CATAÑO JOHAN MAURICIO"/>
    <n v="1"/>
    <n v="0"/>
    <n v="75546"/>
  </r>
  <r>
    <s v="Retail"/>
    <s v="Q112 - Medellin - Cc Molinos Medellin"/>
    <x v="4"/>
    <s v="septiembre"/>
    <n v="27"/>
    <d v="2026-09-27T00:00:00"/>
    <m/>
    <m/>
    <n v="0"/>
    <n v="12965341"/>
    <n v="0"/>
  </r>
  <r>
    <s v="Retail"/>
    <s v="Q112 - Medellin - Cc Molinos Medellin"/>
    <x v="4"/>
    <s v="septiembre"/>
    <n v="27"/>
    <d v="2026-09-27T00:00:00"/>
    <n v="4337936"/>
    <s v="MONAGAS CHAVEZ CARIBYA ANDREINA"/>
    <n v="41"/>
    <n v="0"/>
    <n v="2712483"/>
  </r>
  <r>
    <s v="Retail"/>
    <s v="Q112 - Medellin - Cc Molinos Medellin"/>
    <x v="4"/>
    <s v="septiembre"/>
    <n v="27"/>
    <d v="2026-09-27T00:00:00"/>
    <n v="1000637944"/>
    <s v="ANDUQUIA LOPEZ ANYI CATERINE"/>
    <n v="77"/>
    <n v="0"/>
    <n v="5433493"/>
  </r>
  <r>
    <s v="Retail"/>
    <s v="Q112 - Medellin - Cc Molinos Medellin"/>
    <x v="4"/>
    <s v="septiembre"/>
    <n v="27"/>
    <d v="2026-09-27T00:00:00"/>
    <n v="1001653261"/>
    <s v="ESPINOSA  CEBALLOS NATALIA ANDREA"/>
    <n v="-3"/>
    <n v="0"/>
    <n v="-142731"/>
  </r>
  <r>
    <s v="Retail"/>
    <s v="Q112 - Medellin - Cc Molinos Medellin"/>
    <x v="4"/>
    <s v="septiembre"/>
    <n v="27"/>
    <d v="2026-09-27T00:00:00"/>
    <n v="1007390161"/>
    <s v="MARTINEZ MARTINEZ KEISY DANIELA"/>
    <n v="74"/>
    <n v="0"/>
    <n v="4114371"/>
  </r>
  <r>
    <s v="Retail"/>
    <s v="Q112 - Medellin - Cc Molinos Medellin"/>
    <x v="4"/>
    <s v="septiembre"/>
    <n v="27"/>
    <d v="2026-09-27T00:00:00"/>
    <n v="1033259333"/>
    <s v="ZAPATA CANO LEIDY VANESSA"/>
    <n v="28"/>
    <n v="0"/>
    <n v="1855884"/>
  </r>
  <r>
    <s v="Retail"/>
    <s v="Q112 - Medellin - Cc Molinos Medellin"/>
    <x v="4"/>
    <s v="septiembre"/>
    <n v="27"/>
    <d v="2026-09-27T00:00:00"/>
    <n v="1056785111"/>
    <s v="LOPEZ  ALZATE JESSICA ALEJANDRA "/>
    <n v="-1"/>
    <n v="0"/>
    <n v="-79790"/>
  </r>
  <r>
    <s v="Retail"/>
    <s v="Q112 - Medellin - Cc Molinos Medellin"/>
    <x v="4"/>
    <s v="septiembre"/>
    <n v="28"/>
    <d v="2026-09-28T00:00:00"/>
    <m/>
    <m/>
    <n v="0"/>
    <n v="7135591"/>
    <n v="0"/>
  </r>
  <r>
    <s v="Retail"/>
    <s v="Q112 - Medellin - Cc Molinos Medellin"/>
    <x v="4"/>
    <s v="septiembre"/>
    <n v="28"/>
    <d v="2026-09-28T00:00:00"/>
    <n v="4337936"/>
    <s v="MONAGAS CHAVEZ CARIBYA ANDREINA"/>
    <n v="12"/>
    <n v="0"/>
    <n v="801975"/>
  </r>
  <r>
    <s v="Retail"/>
    <s v="Q112 - Medellin - Cc Molinos Medellin"/>
    <x v="4"/>
    <s v="septiembre"/>
    <n v="28"/>
    <d v="2026-09-28T00:00:00"/>
    <n v="1000637944"/>
    <s v="ANDUQUIA LOPEZ ANYI CATERINE"/>
    <n v="22"/>
    <n v="0"/>
    <n v="1440253"/>
  </r>
  <r>
    <s v="Retail"/>
    <s v="Q112 - Medellin - Cc Molinos Medellin"/>
    <x v="4"/>
    <s v="septiembre"/>
    <n v="28"/>
    <d v="2026-09-28T00:00:00"/>
    <n v="1001653261"/>
    <s v="ESPINOSA  CEBALLOS NATALIA ANDREA"/>
    <n v="-1"/>
    <n v="0"/>
    <n v="-105000"/>
  </r>
  <r>
    <s v="Retail"/>
    <s v="Q112 - Medellin - Cc Molinos Medellin"/>
    <x v="4"/>
    <s v="septiembre"/>
    <n v="28"/>
    <d v="2026-09-28T00:00:00"/>
    <n v="1007390161"/>
    <s v="MARTINEZ MARTINEZ KEISY DANIELA"/>
    <n v="33"/>
    <n v="0"/>
    <n v="2128696"/>
  </r>
  <r>
    <s v="Retail"/>
    <s v="Q112 - Medellin - Cc Molinos Medellin"/>
    <x v="4"/>
    <s v="septiembre"/>
    <n v="28"/>
    <d v="2026-09-28T00:00:00"/>
    <n v="1067865055"/>
    <s v="SANCHEZ BENITEZ DIEGO ANDRES"/>
    <n v="-1"/>
    <n v="0"/>
    <n v="-126008"/>
  </r>
  <r>
    <s v="Retail"/>
    <s v="Q112 - Medellin - Cc Molinos Medellin"/>
    <x v="4"/>
    <s v="septiembre"/>
    <n v="29"/>
    <d v="2026-09-29T00:00:00"/>
    <m/>
    <m/>
    <n v="0"/>
    <n v="7622208"/>
    <n v="0"/>
  </r>
  <r>
    <s v="Retail"/>
    <s v="Q112 - Medellin - Cc Molinos Medellin"/>
    <x v="4"/>
    <s v="septiembre"/>
    <n v="29"/>
    <d v="2026-09-29T00:00:00"/>
    <n v="4337936"/>
    <s v="MONAGAS CHAVEZ CARIBYA ANDREINA"/>
    <n v="38"/>
    <n v="0"/>
    <n v="2468952"/>
  </r>
  <r>
    <s v="Retail"/>
    <s v="Q112 - Medellin - Cc Molinos Medellin"/>
    <x v="4"/>
    <s v="septiembre"/>
    <n v="29"/>
    <d v="2026-09-29T00:00:00"/>
    <n v="1000535103"/>
    <s v="BETANCUR ARANGO SEBASTIAN"/>
    <n v="-1"/>
    <n v="0"/>
    <n v="-75588"/>
  </r>
  <r>
    <s v="Retail"/>
    <s v="Q112 - Medellin - Cc Molinos Medellin"/>
    <x v="4"/>
    <s v="septiembre"/>
    <n v="29"/>
    <d v="2026-09-29T00:00:00"/>
    <n v="1000637944"/>
    <s v="ANDUQUIA LOPEZ ANYI CATERINE"/>
    <n v="19"/>
    <n v="0"/>
    <n v="1375253"/>
  </r>
  <r>
    <s v="Retail"/>
    <s v="Q112 - Medellin - Cc Molinos Medellin"/>
    <x v="4"/>
    <s v="septiembre"/>
    <n v="29"/>
    <d v="2026-09-29T00:00:00"/>
    <n v="1007390161"/>
    <s v="MARTINEZ MARTINEZ KEISY DANIELA"/>
    <n v="17"/>
    <n v="0"/>
    <n v="1062271"/>
  </r>
  <r>
    <s v="Retail"/>
    <s v="Q112 - Medellin - Cc Molinos Medellin"/>
    <x v="4"/>
    <s v="septiembre"/>
    <n v="30"/>
    <d v="2026-09-30T00:00:00"/>
    <m/>
    <m/>
    <n v="0"/>
    <n v="7873877"/>
    <n v="0"/>
  </r>
  <r>
    <s v="Retail"/>
    <s v="Q112 - Medellin - Cc Molinos Medellin"/>
    <x v="4"/>
    <s v="septiembre"/>
    <n v="30"/>
    <d v="2026-09-30T00:00:00"/>
    <n v="4337936"/>
    <s v="MONAGAS CHAVEZ CARIBYA ANDREINA"/>
    <n v="59"/>
    <n v="0"/>
    <n v="3635926"/>
  </r>
  <r>
    <s v="Retail"/>
    <s v="Q112 - Medellin - Cc Molinos Medellin"/>
    <x v="4"/>
    <s v="septiembre"/>
    <n v="30"/>
    <d v="2026-09-30T00:00:00"/>
    <n v="1000637944"/>
    <s v="ANDUQUIA LOPEZ ANYI CATERINE"/>
    <n v="16"/>
    <n v="0"/>
    <n v="1051723"/>
  </r>
  <r>
    <s v="Retail"/>
    <s v="Q112 - Medellin - Cc Molinos Medellin"/>
    <x v="4"/>
    <s v="septiembre"/>
    <n v="30"/>
    <d v="2026-09-30T00:00:00"/>
    <n v="1007390161"/>
    <s v="MARTINEZ MARTINEZ KEISY DANIELA"/>
    <n v="45"/>
    <n v="0"/>
    <n v="2728908"/>
  </r>
  <r>
    <s v="Retail"/>
    <s v="Q112 - Medellin - Cc Molinos Medellin"/>
    <x v="4"/>
    <s v="octubre"/>
    <n v="1"/>
    <d v="2026-10-01T00:00:00"/>
    <m/>
    <m/>
    <n v="0"/>
    <n v="8415226"/>
    <n v="0"/>
  </r>
  <r>
    <s v="Retail"/>
    <s v="Q112 - Medellin - Cc Molinos Medellin"/>
    <x v="4"/>
    <s v="octubre"/>
    <n v="1"/>
    <d v="2026-10-01T00:00:00"/>
    <n v="4337936"/>
    <s v="MONAGAS CHAVEZ CARIBYA ANDREINA"/>
    <n v="52"/>
    <n v="0"/>
    <n v="3001766"/>
  </r>
  <r>
    <s v="Retail"/>
    <s v="Q112 - Medellin - Cc Molinos Medellin"/>
    <x v="4"/>
    <s v="octubre"/>
    <n v="1"/>
    <d v="2026-10-01T00:00:00"/>
    <n v="1000535103"/>
    <s v="BETANCUR ARANGO SEBASTIAN"/>
    <n v="-1"/>
    <n v="0"/>
    <n v="-58781"/>
  </r>
  <r>
    <s v="Retail"/>
    <s v="Q112 - Medellin - Cc Molinos Medellin"/>
    <x v="4"/>
    <s v="octubre"/>
    <n v="1"/>
    <d v="2026-10-01T00:00:00"/>
    <n v="1000637944"/>
    <s v="ANDUQUIA LOPEZ ANYI CATERINE"/>
    <n v="44"/>
    <n v="0"/>
    <n v="2611515"/>
  </r>
  <r>
    <s v="Retail"/>
    <s v="Q112 - Medellin - Cc Molinos Medellin"/>
    <x v="4"/>
    <s v="octubre"/>
    <n v="1"/>
    <d v="2026-10-01T00:00:00"/>
    <n v="1007390161"/>
    <s v="MARTINEZ MARTINEZ KEISY DANIELA"/>
    <n v="31"/>
    <n v="0"/>
    <n v="2326344"/>
  </r>
  <r>
    <s v="Retail"/>
    <s v="Q112 - Medellin - Cc Molinos Medellin"/>
    <x v="4"/>
    <s v="octubre"/>
    <n v="2"/>
    <d v="2026-10-02T00:00:00"/>
    <m/>
    <m/>
    <n v="0"/>
    <n v="10891561"/>
    <n v="0"/>
  </r>
  <r>
    <s v="Retail"/>
    <s v="Q112 - Medellin - Cc Molinos Medellin"/>
    <x v="4"/>
    <s v="octubre"/>
    <n v="2"/>
    <d v="2026-10-02T00:00:00"/>
    <n v="4337936"/>
    <s v="MONAGAS CHAVEZ CARIBYA ANDREINA"/>
    <n v="36"/>
    <n v="0"/>
    <n v="1979330"/>
  </r>
  <r>
    <s v="Retail"/>
    <s v="Q112 - Medellin - Cc Molinos Medellin"/>
    <x v="4"/>
    <s v="octubre"/>
    <n v="2"/>
    <d v="2026-10-02T00:00:00"/>
    <n v="1000637944"/>
    <s v="ANDUQUIA LOPEZ ANYI CATERINE"/>
    <n v="16"/>
    <n v="0"/>
    <n v="1205212"/>
  </r>
  <r>
    <s v="Retail"/>
    <s v="Q112 - Medellin - Cc Molinos Medellin"/>
    <x v="4"/>
    <s v="octubre"/>
    <n v="2"/>
    <d v="2026-10-02T00:00:00"/>
    <n v="1001653261"/>
    <s v="ESPINOSA  CEBALLOS NATALIA ANDREA"/>
    <n v="64"/>
    <n v="0"/>
    <n v="3938274"/>
  </r>
  <r>
    <s v="Retail"/>
    <s v="Q112 - Medellin - Cc Molinos Medellin"/>
    <x v="4"/>
    <s v="octubre"/>
    <n v="2"/>
    <d v="2026-10-02T00:00:00"/>
    <n v="1007390161"/>
    <s v="MARTINEZ MARTINEZ KEISY DANIELA"/>
    <n v="64"/>
    <n v="0"/>
    <n v="3520169"/>
  </r>
  <r>
    <s v="Retail"/>
    <s v="Q112 - Medellin - Cc Molinos Medellin"/>
    <x v="4"/>
    <s v="octubre"/>
    <n v="2"/>
    <d v="2026-10-02T00:00:00"/>
    <n v="1033426758"/>
    <s v="CUERVO CATAÑO JOHAN MAURICIO"/>
    <n v="2"/>
    <n v="0"/>
    <n v="96555"/>
  </r>
  <r>
    <s v="Retail"/>
    <s v="Q112 - Medellin - Cc Molinos Medellin"/>
    <x v="4"/>
    <s v="octubre"/>
    <n v="2"/>
    <d v="2026-10-02T00:00:00"/>
    <n v="1056785111"/>
    <s v="LOPEZ  ALZATE JESSICA ALEJANDRA "/>
    <n v="-1"/>
    <n v="0"/>
    <n v="-50378"/>
  </r>
  <r>
    <s v="Retail"/>
    <s v="Q112 - Medellin - Cc Molinos Medellin"/>
    <x v="4"/>
    <s v="octubre"/>
    <n v="3"/>
    <d v="2026-10-03T00:00:00"/>
    <m/>
    <m/>
    <n v="0"/>
    <n v="17330444"/>
    <n v="0"/>
  </r>
  <r>
    <s v="Retail"/>
    <s v="Q112 - Medellin - Cc Molinos Medellin"/>
    <x v="4"/>
    <s v="octubre"/>
    <n v="3"/>
    <d v="2026-10-03T00:00:00"/>
    <n v="4337936"/>
    <s v="MONAGAS CHAVEZ CARIBYA ANDREINA"/>
    <n v="71"/>
    <n v="0"/>
    <n v="3862662"/>
  </r>
  <r>
    <s v="Retail"/>
    <s v="Q112 - Medellin - Cc Molinos Medellin"/>
    <x v="4"/>
    <s v="octubre"/>
    <n v="3"/>
    <d v="2026-10-03T00:00:00"/>
    <n v="1000637944"/>
    <s v="ANDUQUIA LOPEZ ANYI CATERINE"/>
    <n v="87"/>
    <n v="0"/>
    <n v="4682059"/>
  </r>
  <r>
    <s v="Retail"/>
    <s v="Q112 - Medellin - Cc Molinos Medellin"/>
    <x v="4"/>
    <s v="octubre"/>
    <n v="3"/>
    <d v="2026-10-03T00:00:00"/>
    <n v="1001653261"/>
    <s v="ESPINOSA  CEBALLOS NATALIA ANDREA"/>
    <n v="68"/>
    <n v="0"/>
    <n v="3489748"/>
  </r>
  <r>
    <s v="Retail"/>
    <s v="Q112 - Medellin - Cc Molinos Medellin"/>
    <x v="4"/>
    <s v="octubre"/>
    <n v="3"/>
    <d v="2026-10-03T00:00:00"/>
    <n v="1007222843"/>
    <s v="HERNANDEZ AGUDELO YESENIA"/>
    <n v="-1"/>
    <n v="0"/>
    <n v="-113403"/>
  </r>
  <r>
    <s v="Retail"/>
    <s v="Q112 - Medellin - Cc Molinos Medellin"/>
    <x v="4"/>
    <s v="octubre"/>
    <n v="3"/>
    <d v="2026-10-03T00:00:00"/>
    <n v="1007390161"/>
    <s v="MARTINEZ MARTINEZ KEISY DANIELA"/>
    <n v="106"/>
    <n v="0"/>
    <n v="5457800"/>
  </r>
  <r>
    <s v="Retail"/>
    <s v="Q112 - Medellin - Cc Molinos Medellin"/>
    <x v="4"/>
    <s v="octubre"/>
    <n v="3"/>
    <d v="2026-10-03T00:00:00"/>
    <n v="1033426758"/>
    <s v="CUERVO CATAÑO JOHAN MAURICIO"/>
    <n v="1"/>
    <n v="0"/>
    <n v="41975"/>
  </r>
  <r>
    <s v="Retail"/>
    <s v="Q112 - Medellin - Cc Molinos Medellin"/>
    <x v="4"/>
    <s v="octubre"/>
    <n v="3"/>
    <d v="2026-10-03T00:00:00"/>
    <n v="1037585001"/>
    <s v="PELAEZ  GALEANO LENNY YANID "/>
    <n v="-1"/>
    <n v="0"/>
    <n v="-53748"/>
  </r>
  <r>
    <s v="Retail"/>
    <s v="Q112 - Medellin - Cc Molinos Medellin"/>
    <x v="4"/>
    <s v="octubre"/>
    <n v="3"/>
    <d v="2026-10-03T00:00:00"/>
    <n v="1056785111"/>
    <s v="LOPEZ  ALZATE JESSICA ALEJANDRA "/>
    <n v="-1"/>
    <n v="0"/>
    <n v="-33572"/>
  </r>
  <r>
    <s v="Retail"/>
    <s v="Q112 - Medellin - Cc Molinos Medellin"/>
    <x v="4"/>
    <s v="octubre"/>
    <n v="4"/>
    <d v="2026-10-04T00:00:00"/>
    <m/>
    <m/>
    <n v="0"/>
    <n v="14492964"/>
    <n v="0"/>
  </r>
  <r>
    <s v="Retail"/>
    <s v="Q112 - Medellin - Cc Molinos Medellin"/>
    <x v="4"/>
    <s v="octubre"/>
    <n v="4"/>
    <d v="2026-10-04T00:00:00"/>
    <n v="4337936"/>
    <s v="MONAGAS CHAVEZ CARIBYA ANDREINA"/>
    <n v="66"/>
    <n v="0"/>
    <n v="3948527"/>
  </r>
  <r>
    <s v="Retail"/>
    <s v="Q112 - Medellin - Cc Molinos Medellin"/>
    <x v="4"/>
    <s v="octubre"/>
    <n v="4"/>
    <d v="2026-10-04T00:00:00"/>
    <n v="1000637944"/>
    <s v="ANDUQUIA LOPEZ ANYI CATERINE"/>
    <n v="5"/>
    <n v="0"/>
    <n v="302353"/>
  </r>
  <r>
    <s v="Retail"/>
    <s v="Q112 - Medellin - Cc Molinos Medellin"/>
    <x v="4"/>
    <s v="octubre"/>
    <n v="4"/>
    <d v="2026-10-04T00:00:00"/>
    <n v="1001653261"/>
    <s v="ESPINOSA  CEBALLOS NATALIA ANDREA"/>
    <n v="73"/>
    <n v="0"/>
    <n v="4107775"/>
  </r>
  <r>
    <s v="Retail"/>
    <s v="Q112 - Medellin - Cc Molinos Medellin"/>
    <x v="4"/>
    <s v="octubre"/>
    <n v="4"/>
    <d v="2026-10-04T00:00:00"/>
    <n v="1007390161"/>
    <s v="MARTINEZ MARTINEZ KEISY DANIELA"/>
    <n v="81"/>
    <n v="0"/>
    <n v="4809565"/>
  </r>
  <r>
    <s v="Retail"/>
    <s v="Q112 - Medellin - Cc Molinos Medellin"/>
    <x v="4"/>
    <s v="octubre"/>
    <n v="5"/>
    <d v="2026-10-05T00:00:00"/>
    <m/>
    <m/>
    <n v="0"/>
    <n v="7332327"/>
    <n v="0"/>
  </r>
  <r>
    <s v="Retail"/>
    <s v="Q112 - Medellin - Cc Molinos Medellin"/>
    <x v="4"/>
    <s v="octubre"/>
    <n v="5"/>
    <d v="2026-10-05T00:00:00"/>
    <n v="1000637944"/>
    <s v="ANDUQUIA LOPEZ ANYI CATERINE"/>
    <n v="1"/>
    <n v="0"/>
    <n v="41975"/>
  </r>
  <r>
    <s v="Retail"/>
    <s v="Q112 - Medellin - Cc Molinos Medellin"/>
    <x v="4"/>
    <s v="octubre"/>
    <n v="5"/>
    <d v="2026-10-05T00:00:00"/>
    <n v="1001653261"/>
    <s v="ESPINOSA  CEBALLOS NATALIA ANDREA"/>
    <n v="-1"/>
    <n v="0"/>
    <n v="-41975"/>
  </r>
  <r>
    <s v="Retail"/>
    <s v="Q112 - Medellin - Cc Molinos Medellin"/>
    <x v="4"/>
    <s v="octubre"/>
    <n v="5"/>
    <d v="2026-10-05T00:00:00"/>
    <n v="1007390161"/>
    <s v="MARTINEZ MARTINEZ KEISY DANIELA"/>
    <n v="166"/>
    <n v="0"/>
    <n v="9113279"/>
  </r>
  <r>
    <s v="Retail"/>
    <s v="Q112 - Medellin - Cc Molinos Medellin"/>
    <x v="4"/>
    <s v="octubre"/>
    <n v="5"/>
    <d v="2026-10-05T00:00:00"/>
    <n v="1015066253"/>
    <s v="GOMEZ  DAYANA"/>
    <n v="-5"/>
    <n v="0"/>
    <n v="-307378"/>
  </r>
  <r>
    <s v="Retail"/>
    <s v="Q112 - Medellin - Cc Molinos Medellin"/>
    <x v="4"/>
    <s v="octubre"/>
    <n v="6"/>
    <d v="2026-10-06T00:00:00"/>
    <m/>
    <m/>
    <n v="0"/>
    <n v="5758515"/>
    <n v="0"/>
  </r>
  <r>
    <s v="Retail"/>
    <s v="Q112 - Medellin - Cc Molinos Medellin"/>
    <x v="4"/>
    <s v="octubre"/>
    <n v="6"/>
    <d v="2026-10-06T00:00:00"/>
    <n v="4337936"/>
    <s v="MONAGAS CHAVEZ CARIBYA ANDREINA"/>
    <n v="38"/>
    <n v="0"/>
    <n v="2178911"/>
  </r>
  <r>
    <s v="Retail"/>
    <s v="Q112 - Medellin - Cc Molinos Medellin"/>
    <x v="4"/>
    <s v="octubre"/>
    <n v="6"/>
    <d v="2026-10-06T00:00:00"/>
    <n v="1001653261"/>
    <s v="ESPINOSA  CEBALLOS NATALIA ANDREA"/>
    <n v="29"/>
    <n v="0"/>
    <n v="1263403"/>
  </r>
  <r>
    <s v="Retail"/>
    <s v="Q112 - Medellin - Cc Molinos Medellin"/>
    <x v="4"/>
    <s v="octubre"/>
    <n v="6"/>
    <d v="2026-10-06T00:00:00"/>
    <n v="1007390161"/>
    <s v="MARTINEZ MARTINEZ KEISY DANIELA"/>
    <n v="52"/>
    <n v="0"/>
    <n v="2543319"/>
  </r>
  <r>
    <s v="Retail"/>
    <s v="Q112 - Medellin - Cc Molinos Medellin"/>
    <x v="4"/>
    <s v="octubre"/>
    <n v="7"/>
    <d v="2026-10-07T00:00:00"/>
    <m/>
    <m/>
    <n v="0"/>
    <n v="5682744"/>
    <n v="0"/>
  </r>
  <r>
    <s v="Retail"/>
    <s v="Q112 - Medellin - Cc Molinos Medellin"/>
    <x v="4"/>
    <s v="octubre"/>
    <n v="7"/>
    <d v="2026-10-07T00:00:00"/>
    <n v="4337936"/>
    <s v="MONAGAS CHAVEZ CARIBYA ANDREINA"/>
    <n v="42"/>
    <n v="0"/>
    <n v="2372981"/>
  </r>
  <r>
    <s v="Retail"/>
    <s v="Q112 - Medellin - Cc Molinos Medellin"/>
    <x v="4"/>
    <s v="octubre"/>
    <n v="7"/>
    <d v="2026-10-07T00:00:00"/>
    <n v="1001653261"/>
    <s v="ESPINOSA  CEBALLOS NATALIA ANDREA"/>
    <n v="24"/>
    <n v="0"/>
    <n v="1301218"/>
  </r>
  <r>
    <s v="Retail"/>
    <s v="Q112 - Medellin - Cc Molinos Medellin"/>
    <x v="4"/>
    <s v="octubre"/>
    <n v="7"/>
    <d v="2026-10-07T00:00:00"/>
    <n v="1007390161"/>
    <s v="MARTINEZ MARTINEZ KEISY DANIELA"/>
    <n v="57"/>
    <n v="0"/>
    <n v="2967856"/>
  </r>
  <r>
    <s v="Retail"/>
    <s v="Q113 - Envigado - Cc Viva Local-221"/>
    <x v="4"/>
    <s v="septiembre"/>
    <n v="23"/>
    <d v="2026-09-23T00:00:00"/>
    <m/>
    <m/>
    <n v="0"/>
    <n v="7303233"/>
    <n v="0"/>
  </r>
  <r>
    <s v="Retail"/>
    <s v="Q113 - Envigado - Cc Viva Local-221"/>
    <x v="4"/>
    <s v="septiembre"/>
    <n v="23"/>
    <d v="2026-09-23T00:00:00"/>
    <n v="1000886426"/>
    <s v="RODAS  MAZO CINDY DAIANNA "/>
    <n v="31"/>
    <n v="0"/>
    <n v="2128909"/>
  </r>
  <r>
    <s v="Retail"/>
    <s v="Q113 - Envigado - Cc Viva Local-221"/>
    <x v="4"/>
    <s v="septiembre"/>
    <n v="23"/>
    <d v="2026-09-23T00:00:00"/>
    <n v="1022144573"/>
    <s v="RESTREPO RAMIREZ TATIANA"/>
    <n v="10"/>
    <n v="0"/>
    <n v="608825"/>
  </r>
  <r>
    <s v="Retail"/>
    <s v="Q113 - Envigado - Cc Viva Local-221"/>
    <x v="4"/>
    <s v="septiembre"/>
    <n v="23"/>
    <d v="2026-09-23T00:00:00"/>
    <n v="1128456194"/>
    <s v="ORTIZ QUIROZ YULIANA"/>
    <n v="1"/>
    <n v="0"/>
    <n v="62941"/>
  </r>
  <r>
    <s v="Retail"/>
    <s v="Q113 - Envigado - Cc Viva Local-221"/>
    <x v="4"/>
    <s v="septiembre"/>
    <n v="23"/>
    <d v="2026-09-23T00:00:00"/>
    <n v="1193155892"/>
    <s v="DAVID  DAVID MARIA CLARA "/>
    <n v="59"/>
    <n v="0"/>
    <n v="3640337"/>
  </r>
  <r>
    <s v="Retail"/>
    <s v="Q113 - Envigado - Cc Viva Local-221"/>
    <x v="4"/>
    <s v="septiembre"/>
    <n v="23"/>
    <d v="2026-09-23T00:00:00"/>
    <n v="1214718234"/>
    <s v="GOMEZ TREJOS MARIA FERNANDA"/>
    <n v="8"/>
    <n v="0"/>
    <n v="516471"/>
  </r>
  <r>
    <s v="Retail"/>
    <s v="Q113 - Envigado - Cc Viva Local-221"/>
    <x v="4"/>
    <s v="septiembre"/>
    <n v="24"/>
    <d v="2026-09-24T00:00:00"/>
    <m/>
    <m/>
    <n v="0"/>
    <n v="11156513"/>
    <n v="0"/>
  </r>
  <r>
    <s v="Retail"/>
    <s v="Q113 - Envigado - Cc Viva Local-221"/>
    <x v="4"/>
    <s v="septiembre"/>
    <n v="24"/>
    <d v="2026-09-24T00:00:00"/>
    <n v="102876478"/>
    <s v="FERNÁNDEZ PÉREZ MARÍA VICTORIA"/>
    <n v="4"/>
    <n v="0"/>
    <n v="176303"/>
  </r>
  <r>
    <s v="Retail"/>
    <s v="Q113 - Envigado - Cc Viva Local-221"/>
    <x v="4"/>
    <s v="septiembre"/>
    <n v="24"/>
    <d v="2026-09-24T00:00:00"/>
    <n v="1000886426"/>
    <s v="RODAS  MAZO CINDY DAIANNA "/>
    <n v="18"/>
    <n v="0"/>
    <n v="1507606"/>
  </r>
  <r>
    <s v="Retail"/>
    <s v="Q113 - Envigado - Cc Viva Local-221"/>
    <x v="4"/>
    <s v="septiembre"/>
    <n v="24"/>
    <d v="2026-09-24T00:00:00"/>
    <n v="1022144573"/>
    <s v="RESTREPO RAMIREZ TATIANA"/>
    <n v="40"/>
    <n v="0"/>
    <n v="2197898"/>
  </r>
  <r>
    <s v="Retail"/>
    <s v="Q113 - Envigado - Cc Viva Local-221"/>
    <x v="4"/>
    <s v="septiembre"/>
    <n v="24"/>
    <d v="2026-09-24T00:00:00"/>
    <n v="1193155892"/>
    <s v="DAVID  DAVID MARIA CLARA "/>
    <n v="36"/>
    <n v="0"/>
    <n v="2288280"/>
  </r>
  <r>
    <s v="Retail"/>
    <s v="Q113 - Envigado - Cc Viva Local-221"/>
    <x v="4"/>
    <s v="septiembre"/>
    <n v="24"/>
    <d v="2026-09-24T00:00:00"/>
    <n v="1214718234"/>
    <s v="GOMEZ TREJOS MARIA FERNANDA"/>
    <n v="5"/>
    <n v="0"/>
    <n v="226681"/>
  </r>
  <r>
    <s v="Retail"/>
    <s v="Q113 - Envigado - Cc Viva Local-221"/>
    <x v="4"/>
    <s v="septiembre"/>
    <n v="25"/>
    <d v="2026-09-25T00:00:00"/>
    <m/>
    <m/>
    <n v="0"/>
    <n v="11131812"/>
    <n v="0"/>
  </r>
  <r>
    <s v="Retail"/>
    <s v="Q113 - Envigado - Cc Viva Local-221"/>
    <x v="4"/>
    <s v="septiembre"/>
    <n v="25"/>
    <d v="2026-09-25T00:00:00"/>
    <n v="1000886426"/>
    <s v="RODAS  MAZO CINDY DAIANNA "/>
    <n v="44"/>
    <n v="0"/>
    <n v="2783657"/>
  </r>
  <r>
    <s v="Retail"/>
    <s v="Q113 - Envigado - Cc Viva Local-221"/>
    <x v="4"/>
    <s v="septiembre"/>
    <n v="25"/>
    <d v="2026-09-25T00:00:00"/>
    <n v="1000888789"/>
    <s v="LOPEZ  HENAO EDWARD "/>
    <n v="2"/>
    <n v="0"/>
    <n v="155378"/>
  </r>
  <r>
    <s v="Retail"/>
    <s v="Q113 - Envigado - Cc Viva Local-221"/>
    <x v="4"/>
    <s v="septiembre"/>
    <n v="25"/>
    <d v="2026-09-25T00:00:00"/>
    <n v="1022144573"/>
    <s v="RESTREPO RAMIREZ TATIANA"/>
    <n v="31"/>
    <n v="0"/>
    <n v="2069918"/>
  </r>
  <r>
    <s v="Retail"/>
    <s v="Q113 - Envigado - Cc Viva Local-221"/>
    <x v="4"/>
    <s v="septiembre"/>
    <n v="25"/>
    <d v="2026-09-25T00:00:00"/>
    <n v="1128456194"/>
    <s v="ORTIZ QUIROZ YULIANA"/>
    <n v="11"/>
    <n v="0"/>
    <n v="579369"/>
  </r>
  <r>
    <s v="Retail"/>
    <s v="Q113 - Envigado - Cc Viva Local-221"/>
    <x v="4"/>
    <s v="septiembre"/>
    <n v="25"/>
    <d v="2026-09-25T00:00:00"/>
    <n v="1193155892"/>
    <s v="DAVID  DAVID MARIA CLARA "/>
    <n v="76"/>
    <n v="0"/>
    <n v="4824329"/>
  </r>
  <r>
    <s v="Retail"/>
    <s v="Q113 - Envigado - Cc Viva Local-221"/>
    <x v="4"/>
    <s v="septiembre"/>
    <n v="25"/>
    <d v="2026-09-25T00:00:00"/>
    <n v="1214718234"/>
    <s v="GOMEZ TREJOS MARIA FERNANDA"/>
    <n v="7"/>
    <n v="0"/>
    <n v="501808"/>
  </r>
  <r>
    <s v="Retail"/>
    <s v="Q113 - Envigado - Cc Viva Local-221"/>
    <x v="4"/>
    <s v="septiembre"/>
    <n v="26"/>
    <d v="2026-09-26T00:00:00"/>
    <m/>
    <m/>
    <n v="0"/>
    <n v="15998018"/>
    <n v="0"/>
  </r>
  <r>
    <s v="Retail"/>
    <s v="Q113 - Envigado - Cc Viva Local-221"/>
    <x v="4"/>
    <s v="septiembre"/>
    <n v="26"/>
    <d v="2026-09-26T00:00:00"/>
    <n v="1000886426"/>
    <s v="RODAS  MAZO CINDY DAIANNA "/>
    <n v="84"/>
    <n v="0"/>
    <n v="5611892"/>
  </r>
  <r>
    <s v="Retail"/>
    <s v="Q113 - Envigado - Cc Viva Local-221"/>
    <x v="4"/>
    <s v="septiembre"/>
    <n v="26"/>
    <d v="2026-09-26T00:00:00"/>
    <n v="1011390630"/>
    <s v="CAJAMARCA HENAO JESSICA"/>
    <n v="-1"/>
    <n v="0"/>
    <n v="-96597"/>
  </r>
  <r>
    <s v="Retail"/>
    <s v="Q113 - Envigado - Cc Viva Local-221"/>
    <x v="4"/>
    <s v="septiembre"/>
    <n v="26"/>
    <d v="2026-09-26T00:00:00"/>
    <n v="1022144573"/>
    <s v="RESTREPO RAMIREZ TATIANA"/>
    <n v="69"/>
    <n v="0"/>
    <n v="4265506"/>
  </r>
  <r>
    <s v="Retail"/>
    <s v="Q113 - Envigado - Cc Viva Local-221"/>
    <x v="4"/>
    <s v="septiembre"/>
    <n v="26"/>
    <d v="2026-09-26T00:00:00"/>
    <n v="1128456194"/>
    <s v="ORTIZ QUIROZ YULIANA"/>
    <n v="13"/>
    <n v="0"/>
    <n v="640211"/>
  </r>
  <r>
    <s v="Retail"/>
    <s v="Q113 - Envigado - Cc Viva Local-221"/>
    <x v="4"/>
    <s v="septiembre"/>
    <n v="26"/>
    <d v="2026-09-26T00:00:00"/>
    <n v="1193155892"/>
    <s v="DAVID  DAVID MARIA CLARA "/>
    <n v="94"/>
    <n v="0"/>
    <n v="5896938"/>
  </r>
  <r>
    <s v="Retail"/>
    <s v="Q113 - Envigado - Cc Viva Local-221"/>
    <x v="4"/>
    <s v="septiembre"/>
    <n v="26"/>
    <d v="2026-09-26T00:00:00"/>
    <n v="1214718234"/>
    <s v="GOMEZ TREJOS MARIA FERNANDA"/>
    <n v="67"/>
    <n v="0"/>
    <n v="4416345"/>
  </r>
  <r>
    <s v="Retail"/>
    <s v="Q113 - Envigado - Cc Viva Local-221"/>
    <x v="4"/>
    <s v="septiembre"/>
    <n v="27"/>
    <d v="2026-09-27T00:00:00"/>
    <m/>
    <m/>
    <n v="0"/>
    <n v="12673652"/>
    <n v="0"/>
  </r>
  <r>
    <s v="Retail"/>
    <s v="Q113 - Envigado - Cc Viva Local-221"/>
    <x v="4"/>
    <s v="septiembre"/>
    <n v="27"/>
    <d v="2026-09-27T00:00:00"/>
    <n v="1000886426"/>
    <s v="RODAS  MAZO CINDY DAIANNA "/>
    <n v="124"/>
    <n v="0"/>
    <n v="7073787"/>
  </r>
  <r>
    <s v="Retail"/>
    <s v="Q113 - Envigado - Cc Viva Local-221"/>
    <x v="4"/>
    <s v="septiembre"/>
    <n v="27"/>
    <d v="2026-09-27T00:00:00"/>
    <n v="1022144573"/>
    <s v="RESTREPO RAMIREZ TATIANA"/>
    <n v="73"/>
    <n v="0"/>
    <n v="4190803"/>
  </r>
  <r>
    <s v="Retail"/>
    <s v="Q113 - Envigado - Cc Viva Local-221"/>
    <x v="4"/>
    <s v="septiembre"/>
    <n v="27"/>
    <d v="2026-09-27T00:00:00"/>
    <n v="1128456194"/>
    <s v="ORTIZ QUIROZ YULIANA"/>
    <n v="15"/>
    <n v="0"/>
    <n v="1314496"/>
  </r>
  <r>
    <s v="Retail"/>
    <s v="Q113 - Envigado - Cc Viva Local-221"/>
    <x v="4"/>
    <s v="septiembre"/>
    <n v="27"/>
    <d v="2026-09-27T00:00:00"/>
    <n v="1193155892"/>
    <s v="DAVID  DAVID MARIA CLARA "/>
    <n v="118"/>
    <n v="0"/>
    <n v="7385381"/>
  </r>
  <r>
    <s v="Retail"/>
    <s v="Q113 - Envigado - Cc Viva Local-221"/>
    <x v="4"/>
    <s v="septiembre"/>
    <n v="27"/>
    <d v="2026-09-27T00:00:00"/>
    <n v="1214718234"/>
    <s v="GOMEZ TREJOS MARIA FERNANDA"/>
    <n v="22"/>
    <n v="0"/>
    <n v="1457059"/>
  </r>
  <r>
    <s v="Retail"/>
    <s v="Q113 - Envigado - Cc Viva Local-221"/>
    <x v="4"/>
    <s v="septiembre"/>
    <n v="28"/>
    <d v="2026-09-28T00:00:00"/>
    <m/>
    <m/>
    <n v="0"/>
    <n v="6975055"/>
    <n v="0"/>
  </r>
  <r>
    <s v="Retail"/>
    <s v="Q113 - Envigado - Cc Viva Local-221"/>
    <x v="4"/>
    <s v="septiembre"/>
    <n v="28"/>
    <d v="2026-09-28T00:00:00"/>
    <n v="1000886426"/>
    <s v="RODAS  MAZO CINDY DAIANNA "/>
    <n v="33"/>
    <n v="0"/>
    <n v="2002733"/>
  </r>
  <r>
    <s v="Retail"/>
    <s v="Q113 - Envigado - Cc Viva Local-221"/>
    <x v="4"/>
    <s v="septiembre"/>
    <n v="28"/>
    <d v="2026-09-28T00:00:00"/>
    <n v="1022144573"/>
    <s v="RESTREPO RAMIREZ TATIANA"/>
    <n v="7"/>
    <n v="0"/>
    <n v="512311"/>
  </r>
  <r>
    <s v="Retail"/>
    <s v="Q113 - Envigado - Cc Viva Local-221"/>
    <x v="4"/>
    <s v="septiembre"/>
    <n v="28"/>
    <d v="2026-09-28T00:00:00"/>
    <n v="1128456194"/>
    <s v="ORTIZ QUIROZ YULIANA"/>
    <n v="7"/>
    <n v="0"/>
    <n v="272690"/>
  </r>
  <r>
    <s v="Retail"/>
    <s v="Q113 - Envigado - Cc Viva Local-221"/>
    <x v="4"/>
    <s v="septiembre"/>
    <n v="28"/>
    <d v="2026-09-28T00:00:00"/>
    <n v="1193155892"/>
    <s v="DAVID  DAVID MARIA CLARA "/>
    <n v="40"/>
    <n v="0"/>
    <n v="2372059"/>
  </r>
  <r>
    <s v="Retail"/>
    <s v="Q113 - Envigado - Cc Viva Local-221"/>
    <x v="4"/>
    <s v="septiembre"/>
    <n v="28"/>
    <d v="2026-09-28T00:00:00"/>
    <n v="1214718234"/>
    <s v="GOMEZ TREJOS MARIA FERNANDA"/>
    <n v="11"/>
    <n v="0"/>
    <n v="709624"/>
  </r>
  <r>
    <s v="Retail"/>
    <s v="Q113 - Envigado - Cc Viva Local-221"/>
    <x v="4"/>
    <s v="septiembre"/>
    <n v="29"/>
    <d v="2026-09-29T00:00:00"/>
    <m/>
    <m/>
    <n v="0"/>
    <n v="7450724"/>
    <n v="0"/>
  </r>
  <r>
    <s v="Retail"/>
    <s v="Q113 - Envigado - Cc Viva Local-221"/>
    <x v="4"/>
    <s v="septiembre"/>
    <n v="29"/>
    <d v="2026-09-29T00:00:00"/>
    <n v="1000886426"/>
    <s v="RODAS  MAZO CINDY DAIANNA "/>
    <n v="12"/>
    <n v="0"/>
    <n v="986891"/>
  </r>
  <r>
    <s v="Retail"/>
    <s v="Q113 - Envigado - Cc Viva Local-221"/>
    <x v="4"/>
    <s v="septiembre"/>
    <n v="29"/>
    <d v="2026-09-29T00:00:00"/>
    <n v="1022144573"/>
    <s v="RESTREPO RAMIREZ TATIANA"/>
    <n v="1"/>
    <n v="0"/>
    <n v="20967"/>
  </r>
  <r>
    <s v="Retail"/>
    <s v="Q113 - Envigado - Cc Viva Local-221"/>
    <x v="4"/>
    <s v="septiembre"/>
    <n v="29"/>
    <d v="2026-09-29T00:00:00"/>
    <n v="1128456194"/>
    <s v="ORTIZ QUIROZ YULIANA"/>
    <n v="2"/>
    <n v="0"/>
    <n v="113361"/>
  </r>
  <r>
    <s v="Retail"/>
    <s v="Q113 - Envigado - Cc Viva Local-221"/>
    <x v="4"/>
    <s v="septiembre"/>
    <n v="29"/>
    <d v="2026-09-29T00:00:00"/>
    <n v="1193155892"/>
    <s v="DAVID  DAVID MARIA CLARA "/>
    <n v="25"/>
    <n v="0"/>
    <n v="1313993"/>
  </r>
  <r>
    <s v="Retail"/>
    <s v="Q113 - Envigado - Cc Viva Local-221"/>
    <x v="4"/>
    <s v="septiembre"/>
    <n v="29"/>
    <d v="2026-09-29T00:00:00"/>
    <n v="1214718234"/>
    <s v="GOMEZ TREJOS MARIA FERNANDA"/>
    <n v="36"/>
    <n v="0"/>
    <n v="2361849"/>
  </r>
  <r>
    <s v="Retail"/>
    <s v="Q113 - Envigado - Cc Viva Local-221"/>
    <x v="4"/>
    <s v="septiembre"/>
    <n v="30"/>
    <d v="2026-09-30T00:00:00"/>
    <m/>
    <m/>
    <n v="0"/>
    <n v="7696734"/>
    <n v="0"/>
  </r>
  <r>
    <s v="Retail"/>
    <s v="Q113 - Envigado - Cc Viva Local-221"/>
    <x v="4"/>
    <s v="septiembre"/>
    <n v="30"/>
    <d v="2026-09-30T00:00:00"/>
    <n v="1000886426"/>
    <s v="RODAS  MAZO CINDY DAIANNA "/>
    <n v="17"/>
    <n v="0"/>
    <n v="1041263"/>
  </r>
  <r>
    <s v="Retail"/>
    <s v="Q113 - Envigado - Cc Viva Local-221"/>
    <x v="4"/>
    <s v="septiembre"/>
    <n v="30"/>
    <d v="2026-09-30T00:00:00"/>
    <n v="1001653261"/>
    <s v="ESPINOSA  CEBALLOS NATALIA ANDREA"/>
    <n v="-1"/>
    <n v="0"/>
    <n v="-71386"/>
  </r>
  <r>
    <s v="Retail"/>
    <s v="Q113 - Envigado - Cc Viva Local-221"/>
    <x v="4"/>
    <s v="septiembre"/>
    <n v="30"/>
    <d v="2026-09-30T00:00:00"/>
    <n v="1022144573"/>
    <s v="RESTREPO RAMIREZ TATIANA"/>
    <n v="34"/>
    <n v="0"/>
    <n v="2027774"/>
  </r>
  <r>
    <s v="Retail"/>
    <s v="Q113 - Envigado - Cc Viva Local-221"/>
    <x v="4"/>
    <s v="septiembre"/>
    <n v="30"/>
    <d v="2026-09-30T00:00:00"/>
    <n v="1061774213"/>
    <s v="POTOSI GOMEZ DEISY LORENA"/>
    <n v="-1"/>
    <n v="0"/>
    <n v="-50378"/>
  </r>
  <r>
    <s v="Retail"/>
    <s v="Q113 - Envigado - Cc Viva Local-221"/>
    <x v="4"/>
    <s v="septiembre"/>
    <n v="30"/>
    <d v="2026-09-30T00:00:00"/>
    <n v="1128456194"/>
    <s v="ORTIZ QUIROZ YULIANA"/>
    <n v="1"/>
    <n v="0"/>
    <n v="37773"/>
  </r>
  <r>
    <s v="Retail"/>
    <s v="Q113 - Envigado - Cc Viva Local-221"/>
    <x v="4"/>
    <s v="septiembre"/>
    <n v="30"/>
    <d v="2026-09-30T00:00:00"/>
    <n v="1193155892"/>
    <s v="DAVID  DAVID MARIA CLARA "/>
    <n v="17"/>
    <n v="0"/>
    <n v="1049707"/>
  </r>
  <r>
    <s v="Retail"/>
    <s v="Q113 - Envigado - Cc Viva Local-221"/>
    <x v="4"/>
    <s v="septiembre"/>
    <n v="30"/>
    <d v="2026-09-30T00:00:00"/>
    <n v="1214718234"/>
    <s v="GOMEZ TREJOS MARIA FERNANDA"/>
    <n v="8"/>
    <n v="0"/>
    <n v="600464"/>
  </r>
  <r>
    <s v="Retail"/>
    <s v="Q113 - Envigado - Cc Viva Local-221"/>
    <x v="4"/>
    <s v="octubre"/>
    <n v="1"/>
    <d v="2026-10-01T00:00:00"/>
    <m/>
    <m/>
    <n v="0"/>
    <n v="9627974"/>
    <n v="0"/>
  </r>
  <r>
    <s v="Retail"/>
    <s v="Q113 - Envigado - Cc Viva Local-221"/>
    <x v="4"/>
    <s v="octubre"/>
    <n v="1"/>
    <d v="2026-10-01T00:00:00"/>
    <n v="1000886426"/>
    <s v="RODAS  MAZO CINDY DAIANNA "/>
    <n v="23"/>
    <n v="0"/>
    <n v="1381344"/>
  </r>
  <r>
    <s v="Retail"/>
    <s v="Q113 - Envigado - Cc Viva Local-221"/>
    <x v="4"/>
    <s v="octubre"/>
    <n v="1"/>
    <d v="2026-10-01T00:00:00"/>
    <n v="1000888789"/>
    <s v="LOPEZ  HENAO EDWARD "/>
    <n v="85"/>
    <n v="0"/>
    <n v="4760591"/>
  </r>
  <r>
    <s v="Retail"/>
    <s v="Q113 - Envigado - Cc Viva Local-221"/>
    <x v="4"/>
    <s v="octubre"/>
    <n v="1"/>
    <d v="2026-10-01T00:00:00"/>
    <n v="1022144573"/>
    <s v="RESTREPO RAMIREZ TATIANA"/>
    <n v="36"/>
    <n v="0"/>
    <n v="1943782"/>
  </r>
  <r>
    <s v="Retail"/>
    <s v="Q113 - Envigado - Cc Viva Local-221"/>
    <x v="4"/>
    <s v="octubre"/>
    <n v="1"/>
    <d v="2026-10-01T00:00:00"/>
    <n v="1128456194"/>
    <s v="ORTIZ QUIROZ YULIANA"/>
    <n v="4"/>
    <n v="0"/>
    <n v="193110"/>
  </r>
  <r>
    <s v="Retail"/>
    <s v="Q113 - Envigado - Cc Viva Local-221"/>
    <x v="4"/>
    <s v="octubre"/>
    <n v="1"/>
    <d v="2026-10-01T00:00:00"/>
    <n v="1193155892"/>
    <s v="DAVID  DAVID MARIA CLARA "/>
    <n v="36"/>
    <n v="0"/>
    <n v="2246346"/>
  </r>
  <r>
    <s v="Retail"/>
    <s v="Q113 - Envigado - Cc Viva Local-221"/>
    <x v="4"/>
    <s v="octubre"/>
    <n v="2"/>
    <d v="2026-10-02T00:00:00"/>
    <m/>
    <m/>
    <n v="0"/>
    <n v="10887938"/>
    <n v="0"/>
  </r>
  <r>
    <s v="Retail"/>
    <s v="Q113 - Envigado - Cc Viva Local-221"/>
    <x v="4"/>
    <s v="octubre"/>
    <n v="2"/>
    <d v="2026-10-02T00:00:00"/>
    <n v="1000886426"/>
    <s v="RODAS  MAZO CINDY DAIANNA "/>
    <n v="42"/>
    <n v="0"/>
    <n v="2477101"/>
  </r>
  <r>
    <s v="Retail"/>
    <s v="Q113 - Envigado - Cc Viva Local-221"/>
    <x v="4"/>
    <s v="octubre"/>
    <n v="2"/>
    <d v="2026-10-02T00:00:00"/>
    <n v="1000888789"/>
    <s v="LOPEZ  HENAO EDWARD "/>
    <n v="39"/>
    <n v="0"/>
    <n v="2063240"/>
  </r>
  <r>
    <s v="Retail"/>
    <s v="Q113 - Envigado - Cc Viva Local-221"/>
    <x v="4"/>
    <s v="octubre"/>
    <n v="2"/>
    <d v="2026-10-02T00:00:00"/>
    <n v="1022144573"/>
    <s v="RESTREPO RAMIREZ TATIANA"/>
    <n v="58"/>
    <n v="0"/>
    <n v="3696936"/>
  </r>
  <r>
    <s v="Retail"/>
    <s v="Q113 - Envigado - Cc Viva Local-221"/>
    <x v="4"/>
    <s v="octubre"/>
    <n v="2"/>
    <d v="2026-10-02T00:00:00"/>
    <n v="1040745636"/>
    <s v="ARCILA  DUQUE MATEO ALEJANDRO "/>
    <n v="-1"/>
    <n v="0"/>
    <n v="-58740"/>
  </r>
  <r>
    <s v="Retail"/>
    <s v="Q113 - Envigado - Cc Viva Local-221"/>
    <x v="4"/>
    <s v="octubre"/>
    <n v="2"/>
    <d v="2026-10-02T00:00:00"/>
    <n v="1067865055"/>
    <s v="SANCHEZ BENITEZ DIEGO ANDRES"/>
    <n v="-1"/>
    <n v="0"/>
    <n v="-83992"/>
  </r>
  <r>
    <s v="Retail"/>
    <s v="Q113 - Envigado - Cc Viva Local-221"/>
    <x v="4"/>
    <s v="octubre"/>
    <n v="2"/>
    <d v="2026-10-02T00:00:00"/>
    <n v="1128456194"/>
    <s v="ORTIZ QUIROZ YULIANA"/>
    <n v="3"/>
    <n v="0"/>
    <n v="130127"/>
  </r>
  <r>
    <s v="Retail"/>
    <s v="Q113 - Envigado - Cc Viva Local-221"/>
    <x v="4"/>
    <s v="octubre"/>
    <n v="2"/>
    <d v="2026-10-02T00:00:00"/>
    <n v="1193155892"/>
    <s v="DAVID  DAVID MARIA CLARA "/>
    <n v="35"/>
    <n v="0"/>
    <n v="2317776"/>
  </r>
  <r>
    <s v="Retail"/>
    <s v="Q113 - Envigado - Cc Viva Local-221"/>
    <x v="4"/>
    <s v="octubre"/>
    <n v="2"/>
    <d v="2026-10-02T00:00:00"/>
    <n v="1214718234"/>
    <s v="GOMEZ TREJOS MARIA FERNANDA"/>
    <n v="11"/>
    <n v="0"/>
    <n v="600294"/>
  </r>
  <r>
    <s v="Retail"/>
    <s v="Q113 - Envigado - Cc Viva Local-221"/>
    <x v="4"/>
    <s v="octubre"/>
    <n v="3"/>
    <d v="2026-10-03T00:00:00"/>
    <m/>
    <m/>
    <n v="0"/>
    <n v="16450548"/>
    <n v="0"/>
  </r>
  <r>
    <s v="Retail"/>
    <s v="Q113 - Envigado - Cc Viva Local-221"/>
    <x v="4"/>
    <s v="octubre"/>
    <n v="3"/>
    <d v="2026-10-03T00:00:00"/>
    <n v="1000886426"/>
    <s v="RODAS  MAZO CINDY DAIANNA "/>
    <n v="56"/>
    <n v="0"/>
    <n v="3380293"/>
  </r>
  <r>
    <s v="Retail"/>
    <s v="Q113 - Envigado - Cc Viva Local-221"/>
    <x v="4"/>
    <s v="octubre"/>
    <n v="3"/>
    <d v="2026-10-03T00:00:00"/>
    <n v="1000888789"/>
    <s v="LOPEZ  HENAO EDWARD "/>
    <n v="83"/>
    <n v="0"/>
    <n v="5125819"/>
  </r>
  <r>
    <s v="Retail"/>
    <s v="Q113 - Envigado - Cc Viva Local-221"/>
    <x v="4"/>
    <s v="octubre"/>
    <n v="3"/>
    <d v="2026-10-03T00:00:00"/>
    <n v="1015402645"/>
    <s v="GUERRERO CHILLAMBO JEYSON ESTEVEN"/>
    <n v="-1"/>
    <n v="0"/>
    <n v="-105000"/>
  </r>
  <r>
    <s v="Retail"/>
    <s v="Q113 - Envigado - Cc Viva Local-221"/>
    <x v="4"/>
    <s v="octubre"/>
    <n v="3"/>
    <d v="2026-10-03T00:00:00"/>
    <n v="1022144573"/>
    <s v="RESTREPO RAMIREZ TATIANA"/>
    <n v="58"/>
    <n v="0"/>
    <n v="3223112"/>
  </r>
  <r>
    <s v="Retail"/>
    <s v="Q113 - Envigado - Cc Viva Local-221"/>
    <x v="4"/>
    <s v="octubre"/>
    <n v="3"/>
    <d v="2026-10-03T00:00:00"/>
    <n v="1033259333"/>
    <s v="ZAPATA CANO LEIDY VANESSA"/>
    <n v="-1"/>
    <n v="0"/>
    <n v="-79790"/>
  </r>
  <r>
    <s v="Retail"/>
    <s v="Q113 - Envigado - Cc Viva Local-221"/>
    <x v="4"/>
    <s v="octubre"/>
    <n v="3"/>
    <d v="2026-10-03T00:00:00"/>
    <n v="1193155892"/>
    <s v="DAVID  DAVID MARIA CLARA "/>
    <n v="45"/>
    <n v="0"/>
    <n v="2588439"/>
  </r>
  <r>
    <s v="Retail"/>
    <s v="Q113 - Envigado - Cc Viva Local-221"/>
    <x v="4"/>
    <s v="octubre"/>
    <n v="3"/>
    <d v="2026-10-03T00:00:00"/>
    <n v="1214718234"/>
    <s v="GOMEZ TREJOS MARIA FERNANDA"/>
    <n v="14"/>
    <n v="0"/>
    <n v="771680"/>
  </r>
  <r>
    <s v="Retail"/>
    <s v="Q113 - Envigado - Cc Viva Local-221"/>
    <x v="4"/>
    <s v="octubre"/>
    <n v="4"/>
    <d v="2026-10-04T00:00:00"/>
    <m/>
    <m/>
    <n v="0"/>
    <n v="20349480"/>
    <n v="0"/>
  </r>
  <r>
    <s v="Retail"/>
    <s v="Q113 - Envigado - Cc Viva Local-221"/>
    <x v="4"/>
    <s v="octubre"/>
    <n v="4"/>
    <d v="2026-10-04T00:00:00"/>
    <n v="1000886426"/>
    <s v="RODAS  MAZO CINDY DAIANNA "/>
    <n v="65"/>
    <n v="0"/>
    <n v="4158828"/>
  </r>
  <r>
    <s v="Retail"/>
    <s v="Q113 - Envigado - Cc Viva Local-221"/>
    <x v="4"/>
    <s v="octubre"/>
    <n v="4"/>
    <d v="2026-10-04T00:00:00"/>
    <n v="1000888789"/>
    <s v="LOPEZ  HENAO EDWARD "/>
    <n v="65"/>
    <n v="0"/>
    <n v="3625300"/>
  </r>
  <r>
    <s v="Retail"/>
    <s v="Q113 - Envigado - Cc Viva Local-221"/>
    <x v="4"/>
    <s v="octubre"/>
    <n v="4"/>
    <d v="2026-10-04T00:00:00"/>
    <n v="1022144573"/>
    <s v="RESTREPO RAMIREZ TATIANA"/>
    <n v="34"/>
    <n v="0"/>
    <n v="2132982"/>
  </r>
  <r>
    <s v="Retail"/>
    <s v="Q113 - Envigado - Cc Viva Local-221"/>
    <x v="4"/>
    <s v="octubre"/>
    <n v="4"/>
    <d v="2026-10-04T00:00:00"/>
    <n v="1193155892"/>
    <s v="DAVID  DAVID MARIA CLARA "/>
    <n v="79"/>
    <n v="0"/>
    <n v="5316341"/>
  </r>
  <r>
    <s v="Retail"/>
    <s v="Q113 - Envigado - Cc Viva Local-221"/>
    <x v="4"/>
    <s v="octubre"/>
    <n v="4"/>
    <d v="2026-10-04T00:00:00"/>
    <n v="1214718234"/>
    <s v="GOMEZ TREJOS MARIA FERNANDA"/>
    <n v="0"/>
    <n v="0"/>
    <n v="50422"/>
  </r>
  <r>
    <s v="Retail"/>
    <s v="Q113 - Envigado - Cc Viva Local-221"/>
    <x v="4"/>
    <s v="octubre"/>
    <n v="5"/>
    <d v="2026-10-05T00:00:00"/>
    <m/>
    <m/>
    <n v="0"/>
    <n v="5127993"/>
    <n v="0"/>
  </r>
  <r>
    <s v="Retail"/>
    <s v="Q113 - Envigado - Cc Viva Local-221"/>
    <x v="4"/>
    <s v="octubre"/>
    <n v="5"/>
    <d v="2026-10-05T00:00:00"/>
    <n v="1000886426"/>
    <s v="RODAS  MAZO CINDY DAIANNA "/>
    <n v="2"/>
    <n v="0"/>
    <n v="29327"/>
  </r>
  <r>
    <s v="Retail"/>
    <s v="Q113 - Envigado - Cc Viva Local-221"/>
    <x v="4"/>
    <s v="octubre"/>
    <n v="5"/>
    <d v="2026-10-05T00:00:00"/>
    <n v="1000888789"/>
    <s v="LOPEZ  HENAO EDWARD "/>
    <n v="3"/>
    <n v="0"/>
    <n v="247774"/>
  </r>
  <r>
    <s v="Retail"/>
    <s v="Q113 - Envigado - Cc Viva Local-221"/>
    <x v="4"/>
    <s v="octubre"/>
    <n v="5"/>
    <d v="2026-10-05T00:00:00"/>
    <n v="1193155892"/>
    <s v="DAVID  DAVID MARIA CLARA "/>
    <n v="51"/>
    <n v="0"/>
    <n v="2833783"/>
  </r>
  <r>
    <s v="Retail"/>
    <s v="Q113 - Envigado - Cc Viva Local-221"/>
    <x v="4"/>
    <s v="octubre"/>
    <n v="5"/>
    <d v="2026-10-05T00:00:00"/>
    <n v="1214718234"/>
    <s v="GOMEZ TREJOS MARIA FERNANDA"/>
    <n v="45"/>
    <n v="0"/>
    <n v="2806682"/>
  </r>
  <r>
    <s v="Retail"/>
    <s v="Q113 - Envigado - Cc Viva Local-221"/>
    <x v="4"/>
    <s v="octubre"/>
    <n v="6"/>
    <d v="2026-10-06T00:00:00"/>
    <m/>
    <m/>
    <n v="0"/>
    <n v="5483059"/>
    <n v="0"/>
  </r>
  <r>
    <s v="Retail"/>
    <s v="Q113 - Envigado - Cc Viva Local-221"/>
    <x v="4"/>
    <s v="octubre"/>
    <n v="6"/>
    <d v="2026-10-06T00:00:00"/>
    <n v="1000873482"/>
    <s v="MORENO  VARGAS MARIA FERNANDA "/>
    <n v="-1"/>
    <n v="0"/>
    <n v="-96597"/>
  </r>
  <r>
    <s v="Retail"/>
    <s v="Q113 - Envigado - Cc Viva Local-221"/>
    <x v="4"/>
    <s v="octubre"/>
    <n v="6"/>
    <d v="2026-10-06T00:00:00"/>
    <n v="1000886426"/>
    <s v="RODAS  MAZO CINDY DAIANNA "/>
    <n v="89"/>
    <n v="0"/>
    <n v="6075974"/>
  </r>
  <r>
    <s v="Retail"/>
    <s v="Q113 - Envigado - Cc Viva Local-221"/>
    <x v="4"/>
    <s v="octubre"/>
    <n v="7"/>
    <d v="2026-10-07T00:00:00"/>
    <m/>
    <m/>
    <n v="0"/>
    <n v="5410911"/>
    <n v="0"/>
  </r>
  <r>
    <s v="Retail"/>
    <s v="Q113 - Envigado - Cc Viva Local-221"/>
    <x v="4"/>
    <s v="octubre"/>
    <n v="7"/>
    <d v="2026-10-07T00:00:00"/>
    <n v="1000886426"/>
    <s v="RODAS  MAZO CINDY DAIANNA "/>
    <n v="44"/>
    <n v="0"/>
    <n v="2647060"/>
  </r>
  <r>
    <s v="Retail"/>
    <s v="Q113 - Envigado - Cc Viva Local-221"/>
    <x v="4"/>
    <s v="octubre"/>
    <n v="7"/>
    <d v="2026-10-07T00:00:00"/>
    <n v="1000888789"/>
    <s v="LOPEZ  HENAO EDWARD "/>
    <n v="16"/>
    <n v="0"/>
    <n v="873278"/>
  </r>
  <r>
    <s v="Retail"/>
    <s v="Q113 - Envigado - Cc Viva Local-221"/>
    <x v="4"/>
    <s v="octubre"/>
    <n v="7"/>
    <d v="2026-10-07T00:00:00"/>
    <n v="1022144573"/>
    <s v="RESTREPO RAMIREZ TATIANA"/>
    <n v="37"/>
    <n v="0"/>
    <n v="2832310"/>
  </r>
  <r>
    <s v="Retail"/>
    <s v="Q113 - Envigado - Cc Viva Local-221"/>
    <x v="4"/>
    <s v="octubre"/>
    <n v="7"/>
    <d v="2026-10-07T00:00:00"/>
    <n v="1214718234"/>
    <s v="GOMEZ TREJOS MARIA FERNANDA"/>
    <n v="2"/>
    <n v="0"/>
    <n v="176386"/>
  </r>
  <r>
    <s v="Retail"/>
    <s v="Q127- Sabaneta CC Mayorca"/>
    <x v="4"/>
    <s v="septiembre"/>
    <n v="23"/>
    <d v="2026-09-23T00:00:00"/>
    <m/>
    <m/>
    <n v="0"/>
    <n v="6797581"/>
    <n v="0"/>
  </r>
  <r>
    <s v="Retail"/>
    <s v="Q127- Sabaneta CC Mayorca"/>
    <x v="4"/>
    <s v="septiembre"/>
    <n v="23"/>
    <d v="2026-09-23T00:00:00"/>
    <n v="1023628602"/>
    <s v="LOAIZA BOLIVAR SARY LUNA"/>
    <n v="17"/>
    <n v="0"/>
    <n v="1100126"/>
  </r>
  <r>
    <s v="Retail"/>
    <s v="Q127- Sabaneta CC Mayorca"/>
    <x v="4"/>
    <s v="septiembre"/>
    <n v="23"/>
    <d v="2026-09-23T00:00:00"/>
    <n v="1037585001"/>
    <s v="PELAEZ  GALEANO LENNY YANID "/>
    <n v="24"/>
    <n v="0"/>
    <n v="1511599"/>
  </r>
  <r>
    <s v="Retail"/>
    <s v="Q127- Sabaneta CC Mayorca"/>
    <x v="4"/>
    <s v="septiembre"/>
    <n v="23"/>
    <d v="2026-09-23T00:00:00"/>
    <n v="1039761353"/>
    <s v="MEJIA  ZULETA JOHARA "/>
    <n v="30"/>
    <n v="0"/>
    <n v="1456725"/>
  </r>
  <r>
    <s v="Retail"/>
    <s v="Q127- Sabaneta CC Mayorca"/>
    <x v="4"/>
    <s v="septiembre"/>
    <n v="24"/>
    <d v="2026-09-24T00:00:00"/>
    <m/>
    <m/>
    <n v="0"/>
    <n v="10384071"/>
    <n v="0"/>
  </r>
  <r>
    <s v="Retail"/>
    <s v="Q127- Sabaneta CC Mayorca"/>
    <x v="4"/>
    <s v="septiembre"/>
    <n v="24"/>
    <d v="2026-09-24T00:00:00"/>
    <n v="1011390630"/>
    <s v="CAJAMARCA HENAO JESSICA"/>
    <n v="9"/>
    <n v="0"/>
    <n v="671892"/>
  </r>
  <r>
    <s v="Retail"/>
    <s v="Q127- Sabaneta CC Mayorca"/>
    <x v="4"/>
    <s v="septiembre"/>
    <n v="24"/>
    <d v="2026-09-24T00:00:00"/>
    <n v="1023628602"/>
    <s v="LOAIZA BOLIVAR SARY LUNA"/>
    <n v="14"/>
    <n v="0"/>
    <n v="728404"/>
  </r>
  <r>
    <s v="Retail"/>
    <s v="Q127- Sabaneta CC Mayorca"/>
    <x v="4"/>
    <s v="septiembre"/>
    <n v="24"/>
    <d v="2026-09-24T00:00:00"/>
    <n v="1037585001"/>
    <s v="PELAEZ  GALEANO LENNY YANID "/>
    <n v="20"/>
    <n v="0"/>
    <n v="1320591"/>
  </r>
  <r>
    <s v="Retail"/>
    <s v="Q127- Sabaneta CC Mayorca"/>
    <x v="4"/>
    <s v="septiembre"/>
    <n v="24"/>
    <d v="2026-09-24T00:00:00"/>
    <n v="1039761353"/>
    <s v="MEJIA  ZULETA JOHARA "/>
    <n v="27"/>
    <n v="0"/>
    <n v="1681598"/>
  </r>
  <r>
    <s v="Retail"/>
    <s v="Q127- Sabaneta CC Mayorca"/>
    <x v="4"/>
    <s v="septiembre"/>
    <n v="25"/>
    <d v="2026-09-25T00:00:00"/>
    <m/>
    <m/>
    <n v="0"/>
    <n v="10361080"/>
    <n v="0"/>
  </r>
  <r>
    <s v="Retail"/>
    <s v="Q127- Sabaneta CC Mayorca"/>
    <x v="4"/>
    <s v="septiembre"/>
    <n v="25"/>
    <d v="2026-09-25T00:00:00"/>
    <n v="1011390630"/>
    <s v="CAJAMARCA HENAO JESSICA"/>
    <n v="14"/>
    <n v="0"/>
    <n v="885967"/>
  </r>
  <r>
    <s v="Retail"/>
    <s v="Q127- Sabaneta CC Mayorca"/>
    <x v="4"/>
    <s v="septiembre"/>
    <n v="25"/>
    <d v="2026-09-25T00:00:00"/>
    <n v="1023628602"/>
    <s v="LOAIZA BOLIVAR SARY LUNA"/>
    <n v="21"/>
    <n v="0"/>
    <n v="1209205"/>
  </r>
  <r>
    <s v="Retail"/>
    <s v="Q127- Sabaneta CC Mayorca"/>
    <x v="4"/>
    <s v="septiembre"/>
    <n v="25"/>
    <d v="2026-09-25T00:00:00"/>
    <n v="1034989462"/>
    <s v="QUINTERO QUIRAMA MELISSA"/>
    <n v="-1"/>
    <n v="0"/>
    <n v="-54580"/>
  </r>
  <r>
    <s v="Retail"/>
    <s v="Q127- Sabaneta CC Mayorca"/>
    <x v="4"/>
    <s v="septiembre"/>
    <n v="25"/>
    <d v="2026-09-25T00:00:00"/>
    <n v="1037585001"/>
    <s v="PELAEZ  GALEANO LENNY YANID "/>
    <n v="34"/>
    <n v="0"/>
    <n v="1969163"/>
  </r>
  <r>
    <s v="Retail"/>
    <s v="Q127- Sabaneta CC Mayorca"/>
    <x v="4"/>
    <s v="septiembre"/>
    <n v="25"/>
    <d v="2026-09-25T00:00:00"/>
    <n v="1039761353"/>
    <s v="MEJIA  ZULETA JOHARA "/>
    <n v="28"/>
    <n v="0"/>
    <n v="1948406"/>
  </r>
  <r>
    <s v="Retail"/>
    <s v="Q127- Sabaneta CC Mayorca"/>
    <x v="4"/>
    <s v="septiembre"/>
    <n v="26"/>
    <d v="2026-09-26T00:00:00"/>
    <m/>
    <m/>
    <n v="0"/>
    <n v="14890366"/>
    <n v="0"/>
  </r>
  <r>
    <s v="Retail"/>
    <s v="Q127- Sabaneta CC Mayorca"/>
    <x v="4"/>
    <s v="septiembre"/>
    <n v="26"/>
    <d v="2026-09-26T00:00:00"/>
    <n v="1011390630"/>
    <s v="CAJAMARCA HENAO JESSICA"/>
    <n v="34"/>
    <n v="0"/>
    <n v="2166557"/>
  </r>
  <r>
    <s v="Retail"/>
    <s v="Q127- Sabaneta CC Mayorca"/>
    <x v="4"/>
    <s v="septiembre"/>
    <n v="26"/>
    <d v="2026-09-26T00:00:00"/>
    <n v="1023628602"/>
    <s v="LOAIZA BOLIVAR SARY LUNA"/>
    <n v="32"/>
    <n v="0"/>
    <n v="1941934"/>
  </r>
  <r>
    <s v="Retail"/>
    <s v="Q127- Sabaneta CC Mayorca"/>
    <x v="4"/>
    <s v="septiembre"/>
    <n v="26"/>
    <d v="2026-09-26T00:00:00"/>
    <n v="1032013463"/>
    <s v="HENAO  AGUDELO LAURA VALENTINA "/>
    <n v="-1"/>
    <n v="0"/>
    <n v="-75588"/>
  </r>
  <r>
    <s v="Retail"/>
    <s v="Q127- Sabaneta CC Mayorca"/>
    <x v="4"/>
    <s v="septiembre"/>
    <n v="26"/>
    <d v="2026-09-26T00:00:00"/>
    <n v="1037585001"/>
    <s v="PELAEZ  GALEANO LENNY YANID "/>
    <n v="67"/>
    <n v="0"/>
    <n v="4749205"/>
  </r>
  <r>
    <s v="Retail"/>
    <s v="Q127- Sabaneta CC Mayorca"/>
    <x v="4"/>
    <s v="septiembre"/>
    <n v="26"/>
    <d v="2026-09-26T00:00:00"/>
    <n v="1039761353"/>
    <s v="MEJIA  ZULETA JOHARA "/>
    <n v="56"/>
    <n v="0"/>
    <n v="2995551"/>
  </r>
  <r>
    <s v="Retail"/>
    <s v="Q127- Sabaneta CC Mayorca"/>
    <x v="4"/>
    <s v="septiembre"/>
    <n v="27"/>
    <d v="2026-09-27T00:00:00"/>
    <m/>
    <m/>
    <n v="0"/>
    <n v="11796164"/>
    <n v="0"/>
  </r>
  <r>
    <s v="Retail"/>
    <s v="Q127- Sabaneta CC Mayorca"/>
    <x v="4"/>
    <s v="septiembre"/>
    <n v="27"/>
    <d v="2026-09-27T00:00:00"/>
    <n v="1011390630"/>
    <s v="CAJAMARCA HENAO JESSICA"/>
    <n v="34"/>
    <n v="0"/>
    <n v="2565802"/>
  </r>
  <r>
    <s v="Retail"/>
    <s v="Q127- Sabaneta CC Mayorca"/>
    <x v="4"/>
    <s v="septiembre"/>
    <n v="27"/>
    <d v="2026-09-27T00:00:00"/>
    <n v="1023628602"/>
    <s v="LOAIZA BOLIVAR SARY LUNA"/>
    <n v="16"/>
    <n v="0"/>
    <n v="1207312"/>
  </r>
  <r>
    <s v="Retail"/>
    <s v="Q127- Sabaneta CC Mayorca"/>
    <x v="4"/>
    <s v="septiembre"/>
    <n v="27"/>
    <d v="2026-09-27T00:00:00"/>
    <n v="1037585001"/>
    <s v="PELAEZ  GALEANO LENNY YANID "/>
    <n v="48"/>
    <n v="0"/>
    <n v="3037859"/>
  </r>
  <r>
    <s v="Retail"/>
    <s v="Q127- Sabaneta CC Mayorca"/>
    <x v="4"/>
    <s v="septiembre"/>
    <n v="27"/>
    <d v="2026-09-27T00:00:00"/>
    <n v="1039761353"/>
    <s v="MEJIA  ZULETA JOHARA "/>
    <n v="28"/>
    <n v="0"/>
    <n v="1975712"/>
  </r>
  <r>
    <s v="Retail"/>
    <s v="Q127- Sabaneta CC Mayorca"/>
    <x v="4"/>
    <s v="septiembre"/>
    <n v="28"/>
    <d v="2026-09-28T00:00:00"/>
    <m/>
    <m/>
    <n v="0"/>
    <n v="6492126"/>
    <n v="0"/>
  </r>
  <r>
    <s v="Retail"/>
    <s v="Q127- Sabaneta CC Mayorca"/>
    <x v="4"/>
    <s v="septiembre"/>
    <n v="28"/>
    <d v="2026-09-28T00:00:00"/>
    <n v="4337936"/>
    <s v="MONAGAS CHAVEZ CARIBYA ANDREINA"/>
    <n v="-2"/>
    <n v="0"/>
    <n v="-71344"/>
  </r>
  <r>
    <s v="Retail"/>
    <s v="Q127- Sabaneta CC Mayorca"/>
    <x v="4"/>
    <s v="septiembre"/>
    <n v="28"/>
    <d v="2026-09-28T00:00:00"/>
    <n v="1011390630"/>
    <s v="CAJAMARCA HENAO JESSICA"/>
    <n v="3"/>
    <n v="0"/>
    <n v="109076"/>
  </r>
  <r>
    <s v="Retail"/>
    <s v="Q127- Sabaneta CC Mayorca"/>
    <x v="4"/>
    <s v="septiembre"/>
    <n v="28"/>
    <d v="2026-09-28T00:00:00"/>
    <n v="1023628602"/>
    <s v="LOAIZA BOLIVAR SARY LUNA"/>
    <n v="8"/>
    <n v="0"/>
    <n v="547984"/>
  </r>
  <r>
    <s v="Retail"/>
    <s v="Q127- Sabaneta CC Mayorca"/>
    <x v="4"/>
    <s v="septiembre"/>
    <n v="28"/>
    <d v="2026-09-28T00:00:00"/>
    <n v="1037585001"/>
    <s v="PELAEZ  GALEANO LENNY YANID "/>
    <n v="4"/>
    <n v="0"/>
    <n v="306554"/>
  </r>
  <r>
    <s v="Retail"/>
    <s v="Q127- Sabaneta CC Mayorca"/>
    <x v="4"/>
    <s v="septiembre"/>
    <n v="28"/>
    <d v="2026-09-28T00:00:00"/>
    <n v="1039761353"/>
    <s v="MEJIA  ZULETA JOHARA "/>
    <n v="12"/>
    <n v="0"/>
    <n v="573026"/>
  </r>
  <r>
    <s v="Retail"/>
    <s v="Q127- Sabaneta CC Mayorca"/>
    <x v="4"/>
    <s v="septiembre"/>
    <n v="29"/>
    <d v="2026-09-29T00:00:00"/>
    <m/>
    <m/>
    <n v="0"/>
    <n v="6934863"/>
    <n v="0"/>
  </r>
  <r>
    <s v="Retail"/>
    <s v="Q127- Sabaneta CC Mayorca"/>
    <x v="4"/>
    <s v="septiembre"/>
    <n v="29"/>
    <d v="2026-09-29T00:00:00"/>
    <n v="1011390630"/>
    <s v="CAJAMARCA HENAO JESSICA"/>
    <n v="22"/>
    <n v="0"/>
    <n v="1068194"/>
  </r>
  <r>
    <s v="Retail"/>
    <s v="Q127- Sabaneta CC Mayorca"/>
    <x v="4"/>
    <s v="septiembre"/>
    <n v="29"/>
    <d v="2026-09-29T00:00:00"/>
    <n v="1023628602"/>
    <s v="LOAIZA BOLIVAR SARY LUNA"/>
    <n v="23"/>
    <n v="0"/>
    <n v="1295252"/>
  </r>
  <r>
    <s v="Retail"/>
    <s v="Q127- Sabaneta CC Mayorca"/>
    <x v="4"/>
    <s v="septiembre"/>
    <n v="29"/>
    <d v="2026-09-29T00:00:00"/>
    <n v="1037585001"/>
    <s v="PELAEZ  GALEANO LENNY YANID "/>
    <n v="43"/>
    <n v="0"/>
    <n v="2523158"/>
  </r>
  <r>
    <s v="Retail"/>
    <s v="Q127- Sabaneta CC Mayorca"/>
    <x v="4"/>
    <s v="septiembre"/>
    <n v="29"/>
    <d v="2026-09-29T00:00:00"/>
    <n v="1039761353"/>
    <s v="MEJIA  ZULETA JOHARA "/>
    <n v="19"/>
    <n v="0"/>
    <n v="1268110"/>
  </r>
  <r>
    <s v="Retail"/>
    <s v="Q127- Sabaneta CC Mayorca"/>
    <x v="4"/>
    <s v="septiembre"/>
    <n v="30"/>
    <d v="2026-09-30T00:00:00"/>
    <m/>
    <m/>
    <n v="0"/>
    <n v="7163834"/>
    <n v="0"/>
  </r>
  <r>
    <s v="Retail"/>
    <s v="Q127- Sabaneta CC Mayorca"/>
    <x v="4"/>
    <s v="septiembre"/>
    <n v="30"/>
    <d v="2026-09-30T00:00:00"/>
    <n v="1011390630"/>
    <s v="CAJAMARCA HENAO JESSICA"/>
    <n v="22"/>
    <n v="0"/>
    <n v="1303615"/>
  </r>
  <r>
    <s v="Retail"/>
    <s v="Q127- Sabaneta CC Mayorca"/>
    <x v="4"/>
    <s v="septiembre"/>
    <n v="30"/>
    <d v="2026-09-30T00:00:00"/>
    <n v="1023628602"/>
    <s v="LOAIZA BOLIVAR SARY LUNA"/>
    <n v="29"/>
    <n v="0"/>
    <n v="1683615"/>
  </r>
  <r>
    <s v="Retail"/>
    <s v="Q127- Sabaneta CC Mayorca"/>
    <x v="4"/>
    <s v="septiembre"/>
    <n v="30"/>
    <d v="2026-09-30T00:00:00"/>
    <n v="1037585001"/>
    <s v="PELAEZ  GALEANO LENNY YANID "/>
    <n v="34"/>
    <n v="0"/>
    <n v="1777903"/>
  </r>
  <r>
    <s v="Retail"/>
    <s v="Q127- Sabaneta CC Mayorca"/>
    <x v="4"/>
    <s v="septiembre"/>
    <n v="30"/>
    <d v="2026-09-30T00:00:00"/>
    <n v="1039761353"/>
    <s v="MEJIA  ZULETA JOHARA "/>
    <n v="23"/>
    <n v="0"/>
    <n v="1452775"/>
  </r>
  <r>
    <s v="Retail"/>
    <s v="Q127- Sabaneta CC Mayorca"/>
    <x v="4"/>
    <s v="octubre"/>
    <n v="1"/>
    <d v="2026-10-01T00:00:00"/>
    <m/>
    <m/>
    <n v="0"/>
    <n v="9881952"/>
    <n v="0"/>
  </r>
  <r>
    <s v="Retail"/>
    <s v="Q127- Sabaneta CC Mayorca"/>
    <x v="4"/>
    <s v="octubre"/>
    <n v="1"/>
    <d v="2026-10-01T00:00:00"/>
    <n v="1011390630"/>
    <s v="CAJAMARCA HENAO JESSICA"/>
    <n v="18"/>
    <n v="0"/>
    <n v="814245"/>
  </r>
  <r>
    <s v="Retail"/>
    <s v="Q127- Sabaneta CC Mayorca"/>
    <x v="4"/>
    <s v="octubre"/>
    <n v="1"/>
    <d v="2026-10-01T00:00:00"/>
    <n v="1023628602"/>
    <s v="LOAIZA BOLIVAR SARY LUNA"/>
    <n v="9"/>
    <n v="0"/>
    <n v="638278"/>
  </r>
  <r>
    <s v="Retail"/>
    <s v="Q127- Sabaneta CC Mayorca"/>
    <x v="4"/>
    <s v="octubre"/>
    <n v="1"/>
    <d v="2026-10-01T00:00:00"/>
    <n v="1037585001"/>
    <s v="PELAEZ  GALEANO LENNY YANID "/>
    <n v="26"/>
    <n v="0"/>
    <n v="1452690"/>
  </r>
  <r>
    <s v="Retail"/>
    <s v="Q127- Sabaneta CC Mayorca"/>
    <x v="4"/>
    <s v="octubre"/>
    <n v="1"/>
    <d v="2026-10-01T00:00:00"/>
    <n v="1039467642"/>
    <s v="TRUJILLO CALLE JULIANA"/>
    <n v="-1"/>
    <n v="0"/>
    <n v="-79790"/>
  </r>
  <r>
    <s v="Retail"/>
    <s v="Q127- Sabaneta CC Mayorca"/>
    <x v="4"/>
    <s v="octubre"/>
    <n v="1"/>
    <d v="2026-10-01T00:00:00"/>
    <n v="1039761353"/>
    <s v="MEJIA  ZULETA JOHARA "/>
    <n v="29"/>
    <n v="0"/>
    <n v="1624793"/>
  </r>
  <r>
    <s v="Retail"/>
    <s v="Q127- Sabaneta CC Mayorca"/>
    <x v="4"/>
    <s v="octubre"/>
    <n v="2"/>
    <d v="2026-10-02T00:00:00"/>
    <m/>
    <m/>
    <n v="0"/>
    <n v="8422408"/>
    <n v="0"/>
  </r>
  <r>
    <s v="Retail"/>
    <s v="Q127- Sabaneta CC Mayorca"/>
    <x v="4"/>
    <s v="octubre"/>
    <n v="2"/>
    <d v="2026-10-02T00:00:00"/>
    <n v="1011390630"/>
    <s v="CAJAMARCA HENAO JESSICA"/>
    <n v="12"/>
    <n v="0"/>
    <n v="768321"/>
  </r>
  <r>
    <s v="Retail"/>
    <s v="Q127- Sabaneta CC Mayorca"/>
    <x v="4"/>
    <s v="octubre"/>
    <n v="2"/>
    <d v="2026-10-02T00:00:00"/>
    <n v="1023628602"/>
    <s v="LOAIZA BOLIVAR SARY LUNA"/>
    <n v="13"/>
    <n v="0"/>
    <n v="806093"/>
  </r>
  <r>
    <s v="Retail"/>
    <s v="Q127- Sabaneta CC Mayorca"/>
    <x v="4"/>
    <s v="octubre"/>
    <n v="2"/>
    <d v="2026-10-02T00:00:00"/>
    <n v="1034989462"/>
    <s v="QUINTERO QUIRAMA MELISSA"/>
    <n v="-1"/>
    <n v="0"/>
    <n v="-54580"/>
  </r>
  <r>
    <s v="Retail"/>
    <s v="Q127- Sabaneta CC Mayorca"/>
    <x v="4"/>
    <s v="octubre"/>
    <n v="2"/>
    <d v="2026-10-02T00:00:00"/>
    <n v="1037585001"/>
    <s v="PELAEZ  GALEANO LENNY YANID "/>
    <n v="37"/>
    <n v="0"/>
    <n v="2202145"/>
  </r>
  <r>
    <s v="Retail"/>
    <s v="Q127- Sabaneta CC Mayorca"/>
    <x v="4"/>
    <s v="octubre"/>
    <n v="2"/>
    <d v="2026-10-02T00:00:00"/>
    <n v="1039761353"/>
    <s v="MEJIA  ZULETA JOHARA "/>
    <n v="31"/>
    <n v="0"/>
    <n v="1923025"/>
  </r>
  <r>
    <s v="Retail"/>
    <s v="Q127- Sabaneta CC Mayorca"/>
    <x v="4"/>
    <s v="octubre"/>
    <n v="3"/>
    <d v="2026-10-03T00:00:00"/>
    <m/>
    <m/>
    <n v="0"/>
    <n v="15558077"/>
    <n v="0"/>
  </r>
  <r>
    <s v="Retail"/>
    <s v="Q127- Sabaneta CC Mayorca"/>
    <x v="4"/>
    <s v="octubre"/>
    <n v="3"/>
    <d v="2026-10-03T00:00:00"/>
    <n v="1011390630"/>
    <s v="CAJAMARCA HENAO JESSICA"/>
    <n v="31"/>
    <n v="0"/>
    <n v="1681826"/>
  </r>
  <r>
    <s v="Retail"/>
    <s v="Q127- Sabaneta CC Mayorca"/>
    <x v="4"/>
    <s v="octubre"/>
    <n v="3"/>
    <d v="2026-10-03T00:00:00"/>
    <n v="1023628602"/>
    <s v="LOAIZA BOLIVAR SARY LUNA"/>
    <n v="41"/>
    <n v="0"/>
    <n v="2505758"/>
  </r>
  <r>
    <s v="Retail"/>
    <s v="Q127- Sabaneta CC Mayorca"/>
    <x v="4"/>
    <s v="octubre"/>
    <n v="3"/>
    <d v="2026-10-03T00:00:00"/>
    <n v="1037585001"/>
    <s v="PELAEZ  GALEANO LENNY YANID "/>
    <n v="88"/>
    <n v="0"/>
    <n v="4431733"/>
  </r>
  <r>
    <s v="Retail"/>
    <s v="Q127- Sabaneta CC Mayorca"/>
    <x v="4"/>
    <s v="octubre"/>
    <n v="3"/>
    <d v="2026-10-03T00:00:00"/>
    <n v="1039761353"/>
    <s v="MEJIA  ZULETA JOHARA "/>
    <n v="55"/>
    <n v="0"/>
    <n v="3081682"/>
  </r>
  <r>
    <s v="Retail"/>
    <s v="Q127- Sabaneta CC Mayorca"/>
    <x v="4"/>
    <s v="octubre"/>
    <n v="4"/>
    <d v="2026-10-04T00:00:00"/>
    <m/>
    <m/>
    <n v="0"/>
    <n v="11265090"/>
    <n v="0"/>
  </r>
  <r>
    <s v="Retail"/>
    <s v="Q127- Sabaneta CC Mayorca"/>
    <x v="4"/>
    <s v="octubre"/>
    <n v="4"/>
    <d v="2026-10-04T00:00:00"/>
    <n v="1011390630"/>
    <s v="CAJAMARCA HENAO JESSICA"/>
    <n v="29"/>
    <n v="0"/>
    <n v="1969370"/>
  </r>
  <r>
    <s v="Retail"/>
    <s v="Q127- Sabaneta CC Mayorca"/>
    <x v="4"/>
    <s v="octubre"/>
    <n v="4"/>
    <d v="2026-10-04T00:00:00"/>
    <n v="1023628602"/>
    <s v="LOAIZA BOLIVAR SARY LUNA"/>
    <n v="43"/>
    <n v="0"/>
    <n v="2939288"/>
  </r>
  <r>
    <s v="Retail"/>
    <s v="Q127- Sabaneta CC Mayorca"/>
    <x v="4"/>
    <s v="octubre"/>
    <n v="4"/>
    <d v="2026-10-04T00:00:00"/>
    <n v="1037585001"/>
    <s v="PELAEZ  GALEANO LENNY YANID "/>
    <n v="51"/>
    <n v="0"/>
    <n v="2848574"/>
  </r>
  <r>
    <s v="Retail"/>
    <s v="Q127- Sabaneta CC Mayorca"/>
    <x v="4"/>
    <s v="octubre"/>
    <n v="4"/>
    <d v="2026-10-04T00:00:00"/>
    <n v="1039761353"/>
    <s v="MEJIA  ZULETA JOHARA "/>
    <n v="32"/>
    <n v="0"/>
    <n v="1977651"/>
  </r>
  <r>
    <s v="Retail"/>
    <s v="Q127- Sabaneta CC Mayorca"/>
    <x v="4"/>
    <s v="octubre"/>
    <n v="5"/>
    <d v="2026-10-05T00:00:00"/>
    <m/>
    <m/>
    <n v="0"/>
    <n v="7332208"/>
    <n v="0"/>
  </r>
  <r>
    <s v="Retail"/>
    <s v="Q127- Sabaneta CC Mayorca"/>
    <x v="4"/>
    <s v="octubre"/>
    <n v="5"/>
    <d v="2026-10-05T00:00:00"/>
    <n v="1011390630"/>
    <s v="CAJAMARCA HENAO JESSICA"/>
    <n v="25"/>
    <n v="0"/>
    <n v="1591344"/>
  </r>
  <r>
    <s v="Retail"/>
    <s v="Q127- Sabaneta CC Mayorca"/>
    <x v="4"/>
    <s v="octubre"/>
    <n v="5"/>
    <d v="2026-10-05T00:00:00"/>
    <n v="1023628602"/>
    <s v="LOAIZA BOLIVAR SARY LUNA"/>
    <n v="30"/>
    <n v="0"/>
    <n v="1792608"/>
  </r>
  <r>
    <s v="Retail"/>
    <s v="Q127- Sabaneta CC Mayorca"/>
    <x v="4"/>
    <s v="octubre"/>
    <n v="5"/>
    <d v="2026-10-05T00:00:00"/>
    <n v="1037585001"/>
    <s v="PELAEZ  GALEANO LENNY YANID "/>
    <n v="36"/>
    <n v="0"/>
    <n v="2737817"/>
  </r>
  <r>
    <s v="Retail"/>
    <s v="Q127- Sabaneta CC Mayorca"/>
    <x v="4"/>
    <s v="octubre"/>
    <n v="6"/>
    <d v="2026-10-06T00:00:00"/>
    <m/>
    <m/>
    <n v="0"/>
    <n v="3027471"/>
    <n v="0"/>
  </r>
  <r>
    <s v="Retail"/>
    <s v="Q127- Sabaneta CC Mayorca"/>
    <x v="4"/>
    <s v="octubre"/>
    <n v="6"/>
    <d v="2026-10-06T00:00:00"/>
    <n v="1011390630"/>
    <s v="CAJAMARCA HENAO JESSICA"/>
    <n v="16"/>
    <n v="0"/>
    <n v="688109"/>
  </r>
  <r>
    <s v="Retail"/>
    <s v="Q127- Sabaneta CC Mayorca"/>
    <x v="4"/>
    <s v="octubre"/>
    <n v="6"/>
    <d v="2026-10-06T00:00:00"/>
    <n v="1023628602"/>
    <s v="LOAIZA BOLIVAR SARY LUNA"/>
    <n v="18"/>
    <n v="0"/>
    <n v="1221764"/>
  </r>
  <r>
    <s v="Retail"/>
    <s v="Q127- Sabaneta CC Mayorca"/>
    <x v="4"/>
    <s v="octubre"/>
    <n v="6"/>
    <d v="2026-10-06T00:00:00"/>
    <n v="1039761353"/>
    <s v="MEJIA  ZULETA JOHARA "/>
    <n v="31"/>
    <n v="0"/>
    <n v="1444034"/>
  </r>
  <r>
    <s v="Retail"/>
    <s v="Q127- Sabaneta CC Mayorca"/>
    <x v="4"/>
    <s v="octubre"/>
    <n v="7"/>
    <d v="2026-10-07T00:00:00"/>
    <m/>
    <m/>
    <n v="0"/>
    <n v="2995680"/>
    <n v="0"/>
  </r>
  <r>
    <s v="Retail"/>
    <s v="Q127- Sabaneta CC Mayorca"/>
    <x v="4"/>
    <s v="octubre"/>
    <n v="7"/>
    <d v="2026-10-07T00:00:00"/>
    <n v="1011390630"/>
    <s v="CAJAMARCA HENAO JESSICA"/>
    <n v="1"/>
    <n v="0"/>
    <n v="117605"/>
  </r>
  <r>
    <s v="Retail"/>
    <s v="Q127- Sabaneta CC Mayorca"/>
    <x v="4"/>
    <s v="octubre"/>
    <n v="7"/>
    <d v="2026-10-07T00:00:00"/>
    <n v="1023628602"/>
    <s v="LOAIZA BOLIVAR SARY LUNA"/>
    <n v="2"/>
    <n v="0"/>
    <n v="155378"/>
  </r>
  <r>
    <s v="Retail"/>
    <s v="Q127- Sabaneta CC Mayorca"/>
    <x v="4"/>
    <s v="octubre"/>
    <n v="7"/>
    <d v="2026-10-07T00:00:00"/>
    <n v="1037585001"/>
    <s v="PELAEZ  GALEANO LENNY YANID "/>
    <n v="25"/>
    <n v="0"/>
    <n v="1559791"/>
  </r>
  <r>
    <s v="Retail"/>
    <s v="Q127- Sabaneta CC Mayorca"/>
    <x v="4"/>
    <s v="octubre"/>
    <n v="7"/>
    <d v="2026-10-07T00:00:00"/>
    <n v="1039761353"/>
    <s v="MEJIA  ZULETA JOHARA "/>
    <n v="20"/>
    <n v="0"/>
    <n v="1205003"/>
  </r>
  <r>
    <s v="Retail"/>
    <s v="Q136 Yopal-Centro"/>
    <x v="4"/>
    <s v="septiembre"/>
    <n v="23"/>
    <d v="2026-09-23T00:00:00"/>
    <m/>
    <m/>
    <n v="0"/>
    <n v="10749229"/>
    <n v="0"/>
  </r>
  <r>
    <s v="Retail"/>
    <s v="Q136 Yopal-Centro"/>
    <x v="4"/>
    <s v="septiembre"/>
    <n v="23"/>
    <d v="2026-09-23T00:00:00"/>
    <n v="9432076"/>
    <s v="GUTIERREZ PAEZ MAURICIO"/>
    <n v="26"/>
    <n v="0"/>
    <n v="1385421"/>
  </r>
  <r>
    <s v="Retail"/>
    <s v="Q136 Yopal-Centro"/>
    <x v="4"/>
    <s v="septiembre"/>
    <n v="23"/>
    <d v="2026-09-23T00:00:00"/>
    <n v="1113647023"/>
    <s v="REINA MALDONADO ANDRES FELIPE"/>
    <n v="92"/>
    <n v="0"/>
    <n v="5590629"/>
  </r>
  <r>
    <s v="Retail"/>
    <s v="Q136 Yopal-Centro"/>
    <x v="4"/>
    <s v="septiembre"/>
    <n v="23"/>
    <d v="2026-09-23T00:00:00"/>
    <n v="1114818097"/>
    <s v="TIGREROS CAMPO YURANI ANDREA"/>
    <n v="33"/>
    <n v="0"/>
    <n v="1830464"/>
  </r>
  <r>
    <s v="Retail"/>
    <s v="Q136 Yopal-Centro"/>
    <x v="4"/>
    <s v="septiembre"/>
    <n v="23"/>
    <d v="2026-09-23T00:00:00"/>
    <n v="1115918711"/>
    <s v="RODRIGUEZ PULIDO LISETH LORENA"/>
    <n v="101"/>
    <n v="0"/>
    <n v="5201558"/>
  </r>
  <r>
    <s v="Retail"/>
    <s v="Q136 Yopal-Centro"/>
    <x v="4"/>
    <s v="septiembre"/>
    <n v="23"/>
    <d v="2026-09-23T00:00:00"/>
    <n v="1118575599"/>
    <s v="SALCEDO GONZALEZ MILTON HERNANDO"/>
    <n v="-1"/>
    <n v="0"/>
    <n v="-62941"/>
  </r>
  <r>
    <s v="Retail"/>
    <s v="Q136 Yopal-Centro"/>
    <x v="4"/>
    <s v="septiembre"/>
    <n v="24"/>
    <d v="2026-09-24T00:00:00"/>
    <m/>
    <m/>
    <n v="0"/>
    <n v="16420655"/>
    <n v="0"/>
  </r>
  <r>
    <s v="Retail"/>
    <s v="Q136 Yopal-Centro"/>
    <x v="4"/>
    <s v="septiembre"/>
    <n v="24"/>
    <d v="2026-09-24T00:00:00"/>
    <n v="1020794973"/>
    <s v="CABRA  HIGUERA PEDRO ANTONIO"/>
    <n v="105"/>
    <n v="0"/>
    <n v="5871517"/>
  </r>
  <r>
    <s v="Retail"/>
    <s v="Q136 Yopal-Centro"/>
    <x v="4"/>
    <s v="septiembre"/>
    <n v="24"/>
    <d v="2026-09-24T00:00:00"/>
    <n v="1113647023"/>
    <s v="REINA MALDONADO ANDRES FELIPE"/>
    <n v="93"/>
    <n v="0"/>
    <n v="5477061"/>
  </r>
  <r>
    <s v="Retail"/>
    <s v="Q136 Yopal-Centro"/>
    <x v="4"/>
    <s v="septiembre"/>
    <n v="24"/>
    <d v="2026-09-24T00:00:00"/>
    <n v="1114818097"/>
    <s v="TIGREROS CAMPO YURANI ANDREA"/>
    <n v="27"/>
    <n v="0"/>
    <n v="1515675"/>
  </r>
  <r>
    <s v="Retail"/>
    <s v="Q136 Yopal-Centro"/>
    <x v="4"/>
    <s v="septiembre"/>
    <n v="24"/>
    <d v="2026-09-24T00:00:00"/>
    <n v="1115918711"/>
    <s v="RODRIGUEZ PULIDO LISETH LORENA"/>
    <n v="97"/>
    <n v="0"/>
    <n v="5890719"/>
  </r>
  <r>
    <s v="Retail"/>
    <s v="Q136 Yopal-Centro"/>
    <x v="4"/>
    <s v="septiembre"/>
    <n v="24"/>
    <d v="2026-09-24T00:00:00"/>
    <n v="1118572264"/>
    <s v="ABRIL VARGAS JIMMY ESTEBAN"/>
    <n v="43"/>
    <n v="0"/>
    <n v="2092733"/>
  </r>
  <r>
    <s v="Retail"/>
    <s v="Q136 Yopal-Centro"/>
    <x v="4"/>
    <s v="septiembre"/>
    <n v="25"/>
    <d v="2026-09-25T00:00:00"/>
    <m/>
    <m/>
    <n v="0"/>
    <n v="16384304"/>
    <n v="0"/>
  </r>
  <r>
    <s v="Retail"/>
    <s v="Q136 Yopal-Centro"/>
    <x v="4"/>
    <s v="septiembre"/>
    <n v="25"/>
    <d v="2026-09-25T00:00:00"/>
    <n v="9432076"/>
    <s v="GUTIERREZ PAEZ MAURICIO"/>
    <n v="44"/>
    <n v="0"/>
    <n v="2470759"/>
  </r>
  <r>
    <s v="Retail"/>
    <s v="Q136 Yopal-Centro"/>
    <x v="4"/>
    <s v="septiembre"/>
    <n v="25"/>
    <d v="2026-09-25T00:00:00"/>
    <n v="1020794973"/>
    <s v="CABRA  HIGUERA PEDRO ANTONIO"/>
    <n v="97"/>
    <n v="0"/>
    <n v="5241640"/>
  </r>
  <r>
    <s v="Retail"/>
    <s v="Q136 Yopal-Centro"/>
    <x v="4"/>
    <s v="septiembre"/>
    <n v="25"/>
    <d v="2026-09-25T00:00:00"/>
    <n v="1113647023"/>
    <s v="REINA MALDONADO ANDRES FELIPE"/>
    <n v="100"/>
    <n v="0"/>
    <n v="6084079"/>
  </r>
  <r>
    <s v="Retail"/>
    <s v="Q136 Yopal-Centro"/>
    <x v="4"/>
    <s v="septiembre"/>
    <n v="25"/>
    <d v="2026-09-25T00:00:00"/>
    <n v="1114818097"/>
    <s v="TIGREROS CAMPO YURANI ANDREA"/>
    <n v="0"/>
    <n v="0"/>
    <n v="0"/>
  </r>
  <r>
    <s v="Retail"/>
    <s v="Q136 Yopal-Centro"/>
    <x v="4"/>
    <s v="septiembre"/>
    <n v="25"/>
    <d v="2026-09-25T00:00:00"/>
    <n v="1115918711"/>
    <s v="RODRIGUEZ PULIDO LISETH LORENA"/>
    <n v="89"/>
    <n v="0"/>
    <n v="5107566"/>
  </r>
  <r>
    <s v="Retail"/>
    <s v="Q136 Yopal-Centro"/>
    <x v="4"/>
    <s v="septiembre"/>
    <n v="25"/>
    <d v="2026-09-25T00:00:00"/>
    <n v="1118572264"/>
    <s v="ABRIL VARGAS JIMMY ESTEBAN"/>
    <n v="50"/>
    <n v="0"/>
    <n v="2918028"/>
  </r>
  <r>
    <s v="Retail"/>
    <s v="Q136 Yopal-Centro"/>
    <x v="4"/>
    <s v="septiembre"/>
    <n v="26"/>
    <d v="2026-09-26T00:00:00"/>
    <m/>
    <m/>
    <n v="0"/>
    <n v="23546599"/>
    <n v="0"/>
  </r>
  <r>
    <s v="Retail"/>
    <s v="Q136 Yopal-Centro"/>
    <x v="4"/>
    <s v="septiembre"/>
    <n v="26"/>
    <d v="2026-09-26T00:00:00"/>
    <n v="9432076"/>
    <s v="GUTIERREZ PAEZ MAURICIO"/>
    <n v="34"/>
    <n v="0"/>
    <n v="1945884"/>
  </r>
  <r>
    <s v="Retail"/>
    <s v="Q136 Yopal-Centro"/>
    <x v="4"/>
    <s v="septiembre"/>
    <n v="26"/>
    <d v="2026-09-26T00:00:00"/>
    <n v="1020794973"/>
    <s v="CABRA  HIGUERA PEDRO ANTONIO"/>
    <n v="149"/>
    <n v="0"/>
    <n v="8588113"/>
  </r>
  <r>
    <s v="Retail"/>
    <s v="Q136 Yopal-Centro"/>
    <x v="4"/>
    <s v="septiembre"/>
    <n v="26"/>
    <d v="2026-09-26T00:00:00"/>
    <n v="1113647023"/>
    <s v="REINA MALDONADO ANDRES FELIPE"/>
    <n v="138"/>
    <n v="0"/>
    <n v="8422487"/>
  </r>
  <r>
    <s v="Retail"/>
    <s v="Q136 Yopal-Centro"/>
    <x v="4"/>
    <s v="septiembre"/>
    <n v="26"/>
    <d v="2026-09-26T00:00:00"/>
    <n v="1114818097"/>
    <s v="TIGREROS CAMPO YURANI ANDREA"/>
    <n v="95"/>
    <n v="0"/>
    <n v="4819204"/>
  </r>
  <r>
    <s v="Retail"/>
    <s v="Q136 Yopal-Centro"/>
    <x v="4"/>
    <s v="septiembre"/>
    <n v="26"/>
    <d v="2026-09-26T00:00:00"/>
    <n v="1115918711"/>
    <s v="RODRIGUEZ PULIDO LISETH LORENA"/>
    <n v="174"/>
    <n v="0"/>
    <n v="9397652"/>
  </r>
  <r>
    <s v="Retail"/>
    <s v="Q136 Yopal-Centro"/>
    <x v="4"/>
    <s v="septiembre"/>
    <n v="27"/>
    <d v="2026-09-27T00:00:00"/>
    <m/>
    <m/>
    <n v="0"/>
    <n v="18653645"/>
    <n v="0"/>
  </r>
  <r>
    <s v="Retail"/>
    <s v="Q136 Yopal-Centro"/>
    <x v="4"/>
    <s v="septiembre"/>
    <n v="27"/>
    <d v="2026-09-27T00:00:00"/>
    <n v="1020794973"/>
    <s v="CABRA  HIGUERA PEDRO ANTONIO"/>
    <n v="60"/>
    <n v="0"/>
    <n v="4043658"/>
  </r>
  <r>
    <s v="Retail"/>
    <s v="Q136 Yopal-Centro"/>
    <x v="4"/>
    <s v="septiembre"/>
    <n v="27"/>
    <d v="2026-09-27T00:00:00"/>
    <n v="1113647023"/>
    <s v="REINA MALDONADO ANDRES FELIPE"/>
    <n v="64"/>
    <n v="0"/>
    <n v="4123364"/>
  </r>
  <r>
    <s v="Retail"/>
    <s v="Q136 Yopal-Centro"/>
    <x v="4"/>
    <s v="septiembre"/>
    <n v="27"/>
    <d v="2026-09-27T00:00:00"/>
    <n v="1114818097"/>
    <s v="TIGREROS CAMPO YURANI ANDREA"/>
    <n v="6"/>
    <n v="0"/>
    <n v="411513"/>
  </r>
  <r>
    <s v="Retail"/>
    <s v="Q136 Yopal-Centro"/>
    <x v="4"/>
    <s v="septiembre"/>
    <n v="27"/>
    <d v="2026-09-27T00:00:00"/>
    <n v="1115918711"/>
    <s v="RODRIGUEZ PULIDO LISETH LORENA"/>
    <n v="66"/>
    <n v="0"/>
    <n v="3707275"/>
  </r>
  <r>
    <s v="Retail"/>
    <s v="Q136 Yopal-Centro"/>
    <x v="4"/>
    <s v="septiembre"/>
    <n v="27"/>
    <d v="2026-09-27T00:00:00"/>
    <n v="1118572264"/>
    <s v="ABRIL VARGAS JIMMY ESTEBAN"/>
    <n v="10"/>
    <n v="0"/>
    <n v="646596"/>
  </r>
  <r>
    <s v="Retail"/>
    <s v="Q136 Yopal-Centro"/>
    <x v="4"/>
    <s v="septiembre"/>
    <n v="28"/>
    <d v="2026-09-28T00:00:00"/>
    <m/>
    <m/>
    <n v="0"/>
    <n v="10502834"/>
    <n v="0"/>
  </r>
  <r>
    <s v="Retail"/>
    <s v="Q136 Yopal-Centro"/>
    <x v="4"/>
    <s v="septiembre"/>
    <n v="28"/>
    <d v="2026-09-28T00:00:00"/>
    <n v="9432076"/>
    <s v="GUTIERREZ PAEZ MAURICIO"/>
    <n v="18"/>
    <n v="0"/>
    <n v="986599"/>
  </r>
  <r>
    <s v="Retail"/>
    <s v="Q136 Yopal-Centro"/>
    <x v="4"/>
    <s v="septiembre"/>
    <n v="28"/>
    <d v="2026-09-28T00:00:00"/>
    <n v="1006557709"/>
    <s v="LÓPEZ PLAZAS CRISTIAN  YANDAWER"/>
    <n v="-1"/>
    <n v="0"/>
    <n v="-105000"/>
  </r>
  <r>
    <s v="Retail"/>
    <s v="Q136 Yopal-Centro"/>
    <x v="4"/>
    <s v="septiembre"/>
    <n v="28"/>
    <d v="2026-09-28T00:00:00"/>
    <n v="1020794973"/>
    <s v="CABRA  HIGUERA PEDRO ANTONIO"/>
    <n v="74"/>
    <n v="0"/>
    <n v="4547230"/>
  </r>
  <r>
    <s v="Retail"/>
    <s v="Q136 Yopal-Centro"/>
    <x v="4"/>
    <s v="septiembre"/>
    <n v="28"/>
    <d v="2026-09-28T00:00:00"/>
    <n v="1113647023"/>
    <s v="REINA MALDONADO ANDRES FELIPE"/>
    <n v="37"/>
    <n v="0"/>
    <n v="2118154"/>
  </r>
  <r>
    <s v="Retail"/>
    <s v="Q136 Yopal-Centro"/>
    <x v="4"/>
    <s v="septiembre"/>
    <n v="28"/>
    <d v="2026-09-28T00:00:00"/>
    <n v="1115918711"/>
    <s v="RODRIGUEZ PULIDO LISETH LORENA"/>
    <n v="31"/>
    <n v="0"/>
    <n v="1868406"/>
  </r>
  <r>
    <s v="Retail"/>
    <s v="Q136 Yopal-Centro"/>
    <x v="4"/>
    <s v="septiembre"/>
    <n v="28"/>
    <d v="2026-09-28T00:00:00"/>
    <n v="1118572264"/>
    <s v="ABRIL VARGAS JIMMY ESTEBAN"/>
    <n v="22"/>
    <n v="0"/>
    <n v="1274287"/>
  </r>
  <r>
    <s v="Retail"/>
    <s v="Q136 Yopal-Centro"/>
    <x v="4"/>
    <s v="septiembre"/>
    <n v="29"/>
    <d v="2026-09-29T00:00:00"/>
    <m/>
    <m/>
    <n v="0"/>
    <n v="10729681"/>
    <n v="0"/>
  </r>
  <r>
    <s v="Retail"/>
    <s v="Q136 Yopal-Centro"/>
    <x v="4"/>
    <s v="septiembre"/>
    <n v="29"/>
    <d v="2026-09-29T00:00:00"/>
    <n v="9432076"/>
    <s v="GUTIERREZ PAEZ MAURICIO"/>
    <n v="24"/>
    <n v="0"/>
    <n v="1307816"/>
  </r>
  <r>
    <s v="Retail"/>
    <s v="Q136 Yopal-Centro"/>
    <x v="4"/>
    <s v="septiembre"/>
    <n v="29"/>
    <d v="2026-09-29T00:00:00"/>
    <n v="1020794973"/>
    <s v="CABRA  HIGUERA PEDRO ANTONIO"/>
    <n v="46"/>
    <n v="0"/>
    <n v="2857229"/>
  </r>
  <r>
    <s v="Retail"/>
    <s v="Q136 Yopal-Centro"/>
    <x v="4"/>
    <s v="septiembre"/>
    <n v="29"/>
    <d v="2026-09-29T00:00:00"/>
    <n v="1113647023"/>
    <s v="REINA MALDONADO ANDRES FELIPE"/>
    <n v="44"/>
    <n v="0"/>
    <n v="2649329"/>
  </r>
  <r>
    <s v="Retail"/>
    <s v="Q136 Yopal-Centro"/>
    <x v="4"/>
    <s v="septiembre"/>
    <n v="29"/>
    <d v="2026-09-29T00:00:00"/>
    <n v="1114818097"/>
    <s v="TIGREROS CAMPO YURANI ANDREA"/>
    <n v="22"/>
    <n v="0"/>
    <n v="1003279"/>
  </r>
  <r>
    <s v="Retail"/>
    <s v="Q136 Yopal-Centro"/>
    <x v="4"/>
    <s v="septiembre"/>
    <n v="29"/>
    <d v="2026-09-29T00:00:00"/>
    <n v="1115918711"/>
    <s v="RODRIGUEZ PULIDO LISETH LORENA"/>
    <n v="41"/>
    <n v="0"/>
    <n v="2498279"/>
  </r>
  <r>
    <s v="Retail"/>
    <s v="Q136 Yopal-Centro"/>
    <x v="4"/>
    <s v="septiembre"/>
    <n v="30"/>
    <d v="2026-09-30T00:00:00"/>
    <m/>
    <m/>
    <n v="0"/>
    <n v="11328396"/>
    <n v="0"/>
  </r>
  <r>
    <s v="Retail"/>
    <s v="Q136 Yopal-Centro"/>
    <x v="4"/>
    <s v="septiembre"/>
    <n v="30"/>
    <d v="2026-09-30T00:00:00"/>
    <n v="1020794973"/>
    <s v="CABRA  HIGUERA PEDRO ANTONIO"/>
    <n v="97"/>
    <n v="0"/>
    <n v="5676478"/>
  </r>
  <r>
    <s v="Retail"/>
    <s v="Q136 Yopal-Centro"/>
    <x v="4"/>
    <s v="septiembre"/>
    <n v="30"/>
    <d v="2026-09-30T00:00:00"/>
    <n v="1113647023"/>
    <s v="REINA MALDONADO ANDRES FELIPE"/>
    <n v="36"/>
    <n v="0"/>
    <n v="2158111"/>
  </r>
  <r>
    <s v="Retail"/>
    <s v="Q136 Yopal-Centro"/>
    <x v="4"/>
    <s v="septiembre"/>
    <n v="30"/>
    <d v="2026-09-30T00:00:00"/>
    <n v="1114818097"/>
    <s v="TIGREROS CAMPO YURANI ANDREA"/>
    <n v="33"/>
    <n v="0"/>
    <n v="1807396"/>
  </r>
  <r>
    <s v="Retail"/>
    <s v="Q136 Yopal-Centro"/>
    <x v="4"/>
    <s v="septiembre"/>
    <n v="30"/>
    <d v="2026-09-30T00:00:00"/>
    <n v="1115918711"/>
    <s v="RODRIGUEZ PULIDO LISETH LORENA"/>
    <n v="40"/>
    <n v="0"/>
    <n v="2088616"/>
  </r>
  <r>
    <s v="Retail"/>
    <s v="Q136 Yopal-Centro"/>
    <x v="4"/>
    <s v="septiembre"/>
    <n v="30"/>
    <d v="2026-09-30T00:00:00"/>
    <n v="1118572264"/>
    <s v="ABRIL VARGAS JIMMY ESTEBAN"/>
    <n v="14"/>
    <n v="0"/>
    <n v="694791"/>
  </r>
  <r>
    <s v="Retail"/>
    <s v="Q136 Yopal-Centro"/>
    <x v="4"/>
    <s v="octubre"/>
    <n v="1"/>
    <d v="2026-10-01T00:00:00"/>
    <m/>
    <m/>
    <n v="0"/>
    <n v="12043738"/>
    <n v="0"/>
  </r>
  <r>
    <s v="Retail"/>
    <s v="Q136 Yopal-Centro"/>
    <x v="4"/>
    <s v="octubre"/>
    <n v="1"/>
    <d v="2026-10-01T00:00:00"/>
    <n v="9432076"/>
    <s v="GUTIERREZ PAEZ MAURICIO"/>
    <n v="25"/>
    <n v="0"/>
    <n v="1230043"/>
  </r>
  <r>
    <s v="Retail"/>
    <s v="Q136 Yopal-Centro"/>
    <x v="4"/>
    <s v="octubre"/>
    <n v="1"/>
    <d v="2026-10-01T00:00:00"/>
    <n v="1020794973"/>
    <s v="CABRA  HIGUERA PEDRO ANTONIO"/>
    <n v="66"/>
    <n v="0"/>
    <n v="3862777"/>
  </r>
  <r>
    <s v="Retail"/>
    <s v="Q136 Yopal-Centro"/>
    <x v="4"/>
    <s v="octubre"/>
    <n v="1"/>
    <d v="2026-10-01T00:00:00"/>
    <n v="1113647023"/>
    <s v="REINA MALDONADO ANDRES FELIPE"/>
    <n v="73"/>
    <n v="0"/>
    <n v="4652357"/>
  </r>
  <r>
    <s v="Retail"/>
    <s v="Q136 Yopal-Centro"/>
    <x v="4"/>
    <s v="octubre"/>
    <n v="1"/>
    <d v="2026-10-01T00:00:00"/>
    <n v="1115918711"/>
    <s v="RODRIGUEZ PULIDO LISETH LORENA"/>
    <n v="77"/>
    <n v="0"/>
    <n v="4490212"/>
  </r>
  <r>
    <s v="Retail"/>
    <s v="Q136 Yopal-Centro"/>
    <x v="4"/>
    <s v="octubre"/>
    <n v="1"/>
    <d v="2026-10-01T00:00:00"/>
    <n v="1118572264"/>
    <s v="ABRIL VARGAS JIMMY ESTEBAN"/>
    <n v="21"/>
    <n v="0"/>
    <n v="1192397"/>
  </r>
  <r>
    <s v="Retail"/>
    <s v="Q136 Yopal-Centro"/>
    <x v="4"/>
    <s v="octubre"/>
    <n v="2"/>
    <d v="2026-10-02T00:00:00"/>
    <m/>
    <m/>
    <n v="0"/>
    <n v="17491110"/>
    <n v="0"/>
  </r>
  <r>
    <s v="Retail"/>
    <s v="Q136 Yopal-Centro"/>
    <x v="4"/>
    <s v="octubre"/>
    <n v="2"/>
    <d v="2026-10-02T00:00:00"/>
    <n v="9432076"/>
    <s v="GUTIERREZ PAEZ MAURICIO"/>
    <n v="37"/>
    <n v="0"/>
    <n v="1891304"/>
  </r>
  <r>
    <s v="Retail"/>
    <s v="Q136 Yopal-Centro"/>
    <x v="4"/>
    <s v="octubre"/>
    <n v="2"/>
    <d v="2026-10-02T00:00:00"/>
    <n v="1020794973"/>
    <s v="CABRA  HIGUERA PEDRO ANTONIO"/>
    <n v="62"/>
    <n v="0"/>
    <n v="3478408"/>
  </r>
  <r>
    <s v="Retail"/>
    <s v="Q136 Yopal-Centro"/>
    <x v="4"/>
    <s v="octubre"/>
    <n v="2"/>
    <d v="2026-10-02T00:00:00"/>
    <n v="1113647023"/>
    <s v="REINA MALDONADO ANDRES FELIPE"/>
    <n v="62"/>
    <n v="0"/>
    <n v="3951137"/>
  </r>
  <r>
    <s v="Retail"/>
    <s v="Q136 Yopal-Centro"/>
    <x v="4"/>
    <s v="octubre"/>
    <n v="2"/>
    <d v="2026-10-02T00:00:00"/>
    <n v="1114818097"/>
    <s v="TIGREROS CAMPO YURANI ANDREA"/>
    <n v="30"/>
    <n v="0"/>
    <n v="1713025"/>
  </r>
  <r>
    <s v="Retail"/>
    <s v="Q136 Yopal-Centro"/>
    <x v="4"/>
    <s v="octubre"/>
    <n v="2"/>
    <d v="2026-10-02T00:00:00"/>
    <n v="1115918711"/>
    <s v="RODRIGUEZ PULIDO LISETH LORENA"/>
    <n v="66"/>
    <n v="0"/>
    <n v="3469921"/>
  </r>
  <r>
    <s v="Retail"/>
    <s v="Q136 Yopal-Centro"/>
    <x v="4"/>
    <s v="octubre"/>
    <n v="2"/>
    <d v="2026-10-02T00:00:00"/>
    <n v="1118572264"/>
    <s v="ABRIL VARGAS JIMMY ESTEBAN"/>
    <n v="1"/>
    <n v="0"/>
    <n v="138614"/>
  </r>
  <r>
    <s v="Retail"/>
    <s v="Q136 Yopal-Centro"/>
    <x v="4"/>
    <s v="octubre"/>
    <n v="3"/>
    <d v="2026-10-03T00:00:00"/>
    <m/>
    <m/>
    <n v="0"/>
    <n v="22272766"/>
    <n v="0"/>
  </r>
  <r>
    <s v="Retail"/>
    <s v="Q136 Yopal-Centro"/>
    <x v="4"/>
    <s v="octubre"/>
    <n v="3"/>
    <d v="2026-10-03T00:00:00"/>
    <n v="9432076"/>
    <s v="GUTIERREZ PAEZ MAURICIO"/>
    <n v="2"/>
    <n v="0"/>
    <n v="83950"/>
  </r>
  <r>
    <s v="Retail"/>
    <s v="Q136 Yopal-Centro"/>
    <x v="4"/>
    <s v="octubre"/>
    <n v="3"/>
    <d v="2026-10-03T00:00:00"/>
    <n v="1020794973"/>
    <s v="CABRA  HIGUERA PEDRO ANTONIO"/>
    <n v="127"/>
    <n v="0"/>
    <n v="6136863"/>
  </r>
  <r>
    <s v="Retail"/>
    <s v="Q136 Yopal-Centro"/>
    <x v="4"/>
    <s v="octubre"/>
    <n v="3"/>
    <d v="2026-10-03T00:00:00"/>
    <n v="1113647023"/>
    <s v="REINA MALDONADO ANDRES FELIPE"/>
    <n v="117"/>
    <n v="0"/>
    <n v="5621165"/>
  </r>
  <r>
    <s v="Retail"/>
    <s v="Q136 Yopal-Centro"/>
    <x v="4"/>
    <s v="octubre"/>
    <n v="3"/>
    <d v="2026-10-03T00:00:00"/>
    <n v="1114818097"/>
    <s v="TIGREROS CAMPO YURANI ANDREA"/>
    <n v="46"/>
    <n v="0"/>
    <n v="2602305"/>
  </r>
  <r>
    <s v="Retail"/>
    <s v="Q136 Yopal-Centro"/>
    <x v="4"/>
    <s v="octubre"/>
    <n v="3"/>
    <d v="2026-10-03T00:00:00"/>
    <n v="1115918711"/>
    <s v="RODRIGUEZ PULIDO LISETH LORENA"/>
    <n v="114"/>
    <n v="0"/>
    <n v="6114843"/>
  </r>
  <r>
    <s v="Retail"/>
    <s v="Q136 Yopal-Centro"/>
    <x v="4"/>
    <s v="octubre"/>
    <n v="3"/>
    <d v="2026-10-03T00:00:00"/>
    <n v="1118572264"/>
    <s v="ABRIL VARGAS JIMMY ESTEBAN"/>
    <n v="40"/>
    <n v="0"/>
    <n v="1821920"/>
  </r>
  <r>
    <s v="Retail"/>
    <s v="Q136 Yopal-Centro"/>
    <x v="4"/>
    <s v="octubre"/>
    <n v="4"/>
    <d v="2026-10-04T00:00:00"/>
    <m/>
    <m/>
    <n v="0"/>
    <n v="7693244"/>
    <n v="0"/>
  </r>
  <r>
    <s v="Retail"/>
    <s v="Q136 Yopal-Centro"/>
    <x v="4"/>
    <s v="octubre"/>
    <n v="4"/>
    <d v="2026-10-04T00:00:00"/>
    <n v="9432076"/>
    <s v="GUTIERREZ PAEZ MAURICIO"/>
    <n v="27"/>
    <n v="0"/>
    <n v="1174874"/>
  </r>
  <r>
    <s v="Retail"/>
    <s v="Q136 Yopal-Centro"/>
    <x v="4"/>
    <s v="octubre"/>
    <n v="4"/>
    <d v="2026-10-04T00:00:00"/>
    <n v="1020794973"/>
    <s v="CABRA  HIGUERA PEDRO ANTONIO"/>
    <n v="75"/>
    <n v="0"/>
    <n v="3931138"/>
  </r>
  <r>
    <s v="Retail"/>
    <s v="Q136 Yopal-Centro"/>
    <x v="4"/>
    <s v="octubre"/>
    <n v="4"/>
    <d v="2026-10-04T00:00:00"/>
    <n v="1113647023"/>
    <s v="REINA MALDONADO ANDRES FELIPE"/>
    <n v="79"/>
    <n v="0"/>
    <n v="4260970"/>
  </r>
  <r>
    <s v="Retail"/>
    <s v="Q136 Yopal-Centro"/>
    <x v="4"/>
    <s v="octubre"/>
    <n v="4"/>
    <d v="2026-10-04T00:00:00"/>
    <n v="1115917177"/>
    <s v="SALAS GRANADOS CARLOS ALBERTO"/>
    <n v="-1"/>
    <n v="0"/>
    <n v="-41975"/>
  </r>
  <r>
    <s v="Retail"/>
    <s v="Q136 Yopal-Centro"/>
    <x v="4"/>
    <s v="octubre"/>
    <n v="4"/>
    <d v="2026-10-04T00:00:00"/>
    <n v="1115918711"/>
    <s v="RODRIGUEZ PULIDO LISETH LORENA"/>
    <n v="4"/>
    <n v="0"/>
    <n v="356975"/>
  </r>
  <r>
    <s v="Retail"/>
    <s v="Q136 Yopal-Centro"/>
    <x v="4"/>
    <s v="octubre"/>
    <n v="4"/>
    <d v="2026-10-04T00:00:00"/>
    <n v="1118572264"/>
    <s v="ABRIL VARGAS JIMMY ESTEBAN"/>
    <n v="14"/>
    <n v="0"/>
    <n v="999412"/>
  </r>
  <r>
    <s v="Retail"/>
    <s v="Q136 Yopal-Centro"/>
    <x v="4"/>
    <s v="octubre"/>
    <n v="5"/>
    <d v="2026-10-05T00:00:00"/>
    <m/>
    <m/>
    <n v="0"/>
    <n v="11426454"/>
    <n v="0"/>
  </r>
  <r>
    <s v="Retail"/>
    <s v="Q136 Yopal-Centro"/>
    <x v="4"/>
    <s v="octubre"/>
    <n v="5"/>
    <d v="2026-10-05T00:00:00"/>
    <n v="9432076"/>
    <s v="GUTIERREZ PAEZ MAURICIO"/>
    <n v="55"/>
    <n v="0"/>
    <n v="2175378"/>
  </r>
  <r>
    <s v="Retail"/>
    <s v="Q136 Yopal-Centro"/>
    <x v="4"/>
    <s v="octubre"/>
    <n v="5"/>
    <d v="2026-10-05T00:00:00"/>
    <n v="1020794973"/>
    <s v="CABRA  HIGUERA PEDRO ANTONIO"/>
    <n v="83"/>
    <n v="0"/>
    <n v="4678911"/>
  </r>
  <r>
    <s v="Retail"/>
    <s v="Q136 Yopal-Centro"/>
    <x v="4"/>
    <s v="octubre"/>
    <n v="5"/>
    <d v="2026-10-05T00:00:00"/>
    <n v="1113647023"/>
    <s v="REINA MALDONADO ANDRES FELIPE"/>
    <n v="55"/>
    <n v="0"/>
    <n v="2919709"/>
  </r>
  <r>
    <s v="Retail"/>
    <s v="Q136 Yopal-Centro"/>
    <x v="4"/>
    <s v="octubre"/>
    <n v="5"/>
    <d v="2026-10-05T00:00:00"/>
    <n v="1114818097"/>
    <s v="TIGREROS CAMPO YURANI ANDREA"/>
    <n v="42"/>
    <n v="0"/>
    <n v="2096852"/>
  </r>
  <r>
    <s v="Retail"/>
    <s v="Q136 Yopal-Centro"/>
    <x v="4"/>
    <s v="octubre"/>
    <n v="5"/>
    <d v="2026-10-05T00:00:00"/>
    <n v="1115918711"/>
    <s v="RODRIGUEZ PULIDO LISETH LORENA"/>
    <n v="-2"/>
    <n v="0"/>
    <n v="-138572"/>
  </r>
  <r>
    <s v="Retail"/>
    <s v="Q136 Yopal-Centro"/>
    <x v="4"/>
    <s v="octubre"/>
    <n v="5"/>
    <d v="2026-10-05T00:00:00"/>
    <n v="1118572264"/>
    <s v="ABRIL VARGAS JIMMY ESTEBAN"/>
    <n v="7"/>
    <n v="0"/>
    <n v="293782"/>
  </r>
  <r>
    <s v="Retail"/>
    <s v="Q136 Yopal-Centro"/>
    <x v="4"/>
    <s v="octubre"/>
    <n v="6"/>
    <d v="2026-10-06T00:00:00"/>
    <m/>
    <m/>
    <n v="0"/>
    <n v="6703345"/>
    <n v="0"/>
  </r>
  <r>
    <s v="Retail"/>
    <s v="Q136 Yopal-Centro"/>
    <x v="4"/>
    <s v="octubre"/>
    <n v="6"/>
    <d v="2026-10-06T00:00:00"/>
    <n v="9432076"/>
    <s v="GUTIERREZ PAEZ MAURICIO"/>
    <n v="14"/>
    <n v="0"/>
    <n v="667438"/>
  </r>
  <r>
    <s v="Retail"/>
    <s v="Q136 Yopal-Centro"/>
    <x v="4"/>
    <s v="octubre"/>
    <n v="6"/>
    <d v="2026-10-06T00:00:00"/>
    <n v="1020794973"/>
    <s v="CABRA  HIGUERA PEDRO ANTONIO"/>
    <n v="-2"/>
    <n v="0"/>
    <n v="-60841"/>
  </r>
  <r>
    <s v="Retail"/>
    <s v="Q136 Yopal-Centro"/>
    <x v="4"/>
    <s v="octubre"/>
    <n v="6"/>
    <d v="2026-10-06T00:00:00"/>
    <n v="1113647023"/>
    <s v="REINA MALDONADO ANDRES FELIPE"/>
    <n v="53"/>
    <n v="0"/>
    <n v="2628877"/>
  </r>
  <r>
    <s v="Retail"/>
    <s v="Q136 Yopal-Centro"/>
    <x v="4"/>
    <s v="octubre"/>
    <n v="6"/>
    <d v="2026-10-06T00:00:00"/>
    <n v="1114818097"/>
    <s v="TIGREROS CAMPO YURANI ANDREA"/>
    <n v="20"/>
    <n v="0"/>
    <n v="1163026"/>
  </r>
  <r>
    <s v="Retail"/>
    <s v="Q136 Yopal-Centro"/>
    <x v="4"/>
    <s v="octubre"/>
    <n v="6"/>
    <d v="2026-10-06T00:00:00"/>
    <n v="1115918711"/>
    <s v="RODRIGUEZ PULIDO LISETH LORENA"/>
    <n v="-1"/>
    <n v="0"/>
    <n v="-83949"/>
  </r>
  <r>
    <s v="Retail"/>
    <s v="Q136 Yopal-Centro"/>
    <x v="4"/>
    <s v="octubre"/>
    <n v="6"/>
    <d v="2026-10-06T00:00:00"/>
    <n v="1118572264"/>
    <s v="ABRIL VARGAS JIMMY ESTEBAN"/>
    <n v="25"/>
    <n v="0"/>
    <n v="1192102"/>
  </r>
  <r>
    <s v="Retail"/>
    <s v="Q136 Yopal-Centro"/>
    <x v="4"/>
    <s v="octubre"/>
    <n v="6"/>
    <d v="2026-10-06T00:00:00"/>
    <n v="1118575599"/>
    <s v="SALCEDO GONZALEZ MILTON HERNANDO"/>
    <n v="-2"/>
    <n v="0"/>
    <n v="-109076"/>
  </r>
  <r>
    <s v="Retail"/>
    <s v="Q136 Yopal-Centro"/>
    <x v="4"/>
    <s v="octubre"/>
    <n v="7"/>
    <d v="2026-10-07T00:00:00"/>
    <m/>
    <m/>
    <n v="0"/>
    <n v="6615144"/>
    <n v="0"/>
  </r>
  <r>
    <s v="Retail"/>
    <s v="Q136 Yopal-Centro"/>
    <x v="4"/>
    <s v="octubre"/>
    <n v="7"/>
    <d v="2026-10-07T00:00:00"/>
    <n v="9432076"/>
    <s v="GUTIERREZ PAEZ MAURICIO"/>
    <n v="7"/>
    <n v="0"/>
    <n v="260126"/>
  </r>
  <r>
    <s v="Retail"/>
    <s v="Q136 Yopal-Centro"/>
    <x v="4"/>
    <s v="octubre"/>
    <n v="7"/>
    <d v="2026-10-07T00:00:00"/>
    <n v="1020794973"/>
    <s v="CABRA  HIGUERA PEDRO ANTONIO"/>
    <n v="-1"/>
    <n v="0"/>
    <n v="-138614"/>
  </r>
  <r>
    <s v="Retail"/>
    <s v="Q136 Yopal-Centro"/>
    <x v="4"/>
    <s v="octubre"/>
    <n v="7"/>
    <d v="2026-10-07T00:00:00"/>
    <n v="1113647023"/>
    <s v="REINA MALDONADO ANDRES FELIPE"/>
    <n v="38"/>
    <n v="0"/>
    <n v="1802818"/>
  </r>
  <r>
    <s v="Retail"/>
    <s v="Q136 Yopal-Centro"/>
    <x v="4"/>
    <s v="octubre"/>
    <n v="7"/>
    <d v="2026-10-07T00:00:00"/>
    <n v="1114818097"/>
    <s v="TIGREROS CAMPO YURANI ANDREA"/>
    <n v="2"/>
    <n v="0"/>
    <n v="92353"/>
  </r>
  <r>
    <s v="Retail"/>
    <s v="Q136 Yopal-Centro"/>
    <x v="4"/>
    <s v="octubre"/>
    <n v="7"/>
    <d v="2026-10-07T00:00:00"/>
    <n v="1115918711"/>
    <s v="RODRIGUEZ PULIDO LISETH LORENA"/>
    <n v="58"/>
    <n v="0"/>
    <n v="2946601"/>
  </r>
  <r>
    <s v="Retail"/>
    <s v="Q136 Yopal-Centro"/>
    <x v="4"/>
    <s v="octubre"/>
    <n v="7"/>
    <d v="2026-10-07T00:00:00"/>
    <n v="1118572264"/>
    <s v="ABRIL VARGAS JIMMY ESTEBAN"/>
    <n v="5"/>
    <n v="0"/>
    <n v="222480"/>
  </r>
  <r>
    <s v="Retail"/>
    <s v="Q143 Sabaneta - CC Mayorca Etapa 1"/>
    <x v="4"/>
    <s v="septiembre"/>
    <n v="23"/>
    <d v="2026-09-23T00:00:00"/>
    <m/>
    <m/>
    <n v="0"/>
    <n v="7067145"/>
    <n v="0"/>
  </r>
  <r>
    <s v="Retail"/>
    <s v="Q143 Sabaneta - CC Mayorca Etapa 1"/>
    <x v="4"/>
    <s v="septiembre"/>
    <n v="23"/>
    <d v="2026-09-23T00:00:00"/>
    <n v="43595446"/>
    <s v="ZEA  MARIA ALEIDA"/>
    <n v="24"/>
    <n v="0"/>
    <n v="1637607"/>
  </r>
  <r>
    <s v="Retail"/>
    <s v="Q143 Sabaneta - CC Mayorca Etapa 1"/>
    <x v="4"/>
    <s v="septiembre"/>
    <n v="23"/>
    <d v="2026-09-23T00:00:00"/>
    <n v="1000873482"/>
    <s v="MORENO  VARGAS MARIA FERNANDA "/>
    <n v="22"/>
    <n v="0"/>
    <n v="1203203"/>
  </r>
  <r>
    <s v="Retail"/>
    <s v="Q143 Sabaneta - CC Mayorca Etapa 1"/>
    <x v="4"/>
    <s v="septiembre"/>
    <n v="23"/>
    <d v="2026-09-23T00:00:00"/>
    <n v="1033259333"/>
    <s v="ZAPATA CANO LEIDY VANESSA"/>
    <n v="16"/>
    <n v="0"/>
    <n v="940380"/>
  </r>
  <r>
    <s v="Retail"/>
    <s v="Q143 Sabaneta - CC Mayorca Etapa 1"/>
    <x v="4"/>
    <s v="septiembre"/>
    <n v="23"/>
    <d v="2026-09-23T00:00:00"/>
    <n v="1034989462"/>
    <s v="QUINTERO QUIRAMA MELISSA"/>
    <n v="5"/>
    <n v="0"/>
    <n v="214034"/>
  </r>
  <r>
    <s v="Retail"/>
    <s v="Q143 Sabaneta - CC Mayorca Etapa 1"/>
    <x v="4"/>
    <s v="septiembre"/>
    <n v="23"/>
    <d v="2026-09-23T00:00:00"/>
    <n v="1039467642"/>
    <s v="TRUJILLO CALLE JULIANA"/>
    <n v="12"/>
    <n v="0"/>
    <n v="415421"/>
  </r>
  <r>
    <s v="Retail"/>
    <s v="Q143 Sabaneta - CC Mayorca Etapa 1"/>
    <x v="4"/>
    <s v="septiembre"/>
    <n v="23"/>
    <d v="2026-09-23T00:00:00"/>
    <n v="1143413347"/>
    <s v="RODRIGUEZ CARDILES NATALIA ISABEL"/>
    <n v="6"/>
    <n v="0"/>
    <n v="310673"/>
  </r>
  <r>
    <s v="Retail"/>
    <s v="Q143 Sabaneta - CC Mayorca Etapa 1"/>
    <x v="4"/>
    <s v="septiembre"/>
    <n v="24"/>
    <d v="2026-09-24T00:00:00"/>
    <m/>
    <m/>
    <n v="0"/>
    <n v="10795857"/>
    <n v="0"/>
  </r>
  <r>
    <s v="Retail"/>
    <s v="Q143 Sabaneta - CC Mayorca Etapa 1"/>
    <x v="4"/>
    <s v="septiembre"/>
    <n v="24"/>
    <d v="2026-09-24T00:00:00"/>
    <n v="43595446"/>
    <s v="ZEA  MARIA ALEIDA"/>
    <n v="37"/>
    <n v="0"/>
    <n v="2149707"/>
  </r>
  <r>
    <s v="Retail"/>
    <s v="Q143 Sabaneta - CC Mayorca Etapa 1"/>
    <x v="4"/>
    <s v="septiembre"/>
    <n v="24"/>
    <d v="2026-09-24T00:00:00"/>
    <n v="1000873482"/>
    <s v="MORENO  VARGAS MARIA FERNANDA "/>
    <n v="18"/>
    <n v="0"/>
    <n v="1028529"/>
  </r>
  <r>
    <s v="Retail"/>
    <s v="Q143 Sabaneta - CC Mayorca Etapa 1"/>
    <x v="4"/>
    <s v="septiembre"/>
    <n v="24"/>
    <d v="2026-09-24T00:00:00"/>
    <n v="1033259333"/>
    <s v="ZAPATA CANO LEIDY VANESSA"/>
    <n v="22"/>
    <n v="0"/>
    <n v="1120883"/>
  </r>
  <r>
    <s v="Retail"/>
    <s v="Q143 Sabaneta - CC Mayorca Etapa 1"/>
    <x v="4"/>
    <s v="septiembre"/>
    <n v="24"/>
    <d v="2026-09-24T00:00:00"/>
    <n v="1034989462"/>
    <s v="QUINTERO QUIRAMA MELISSA"/>
    <n v="3"/>
    <n v="0"/>
    <n v="176345"/>
  </r>
  <r>
    <s v="Retail"/>
    <s v="Q143 Sabaneta - CC Mayorca Etapa 1"/>
    <x v="4"/>
    <s v="septiembre"/>
    <n v="24"/>
    <d v="2026-09-24T00:00:00"/>
    <n v="1039467642"/>
    <s v="TRUJILLO CALLE JULIANA"/>
    <n v="2"/>
    <n v="0"/>
    <n v="180588"/>
  </r>
  <r>
    <s v="Retail"/>
    <s v="Q143 Sabaneta - CC Mayorca Etapa 1"/>
    <x v="4"/>
    <s v="septiembre"/>
    <n v="24"/>
    <d v="2026-09-24T00:00:00"/>
    <n v="1143413347"/>
    <s v="RODRIGUEZ CARDILES NATALIA ISABEL"/>
    <n v="3"/>
    <n v="0"/>
    <n v="113319"/>
  </r>
  <r>
    <s v="Retail"/>
    <s v="Q143 Sabaneta - CC Mayorca Etapa 1"/>
    <x v="4"/>
    <s v="septiembre"/>
    <n v="25"/>
    <d v="2026-09-25T00:00:00"/>
    <m/>
    <m/>
    <n v="0"/>
    <n v="10771953"/>
    <n v="0"/>
  </r>
  <r>
    <s v="Retail"/>
    <s v="Q143 Sabaneta - CC Mayorca Etapa 1"/>
    <x v="4"/>
    <s v="septiembre"/>
    <n v="25"/>
    <d v="2026-09-25T00:00:00"/>
    <n v="43595446"/>
    <s v="ZEA  MARIA ALEIDA"/>
    <n v="28"/>
    <n v="0"/>
    <n v="1628699"/>
  </r>
  <r>
    <s v="Retail"/>
    <s v="Q143 Sabaneta - CC Mayorca Etapa 1"/>
    <x v="4"/>
    <s v="septiembre"/>
    <n v="25"/>
    <d v="2026-09-25T00:00:00"/>
    <n v="1000873482"/>
    <s v="MORENO  VARGAS MARIA FERNANDA "/>
    <n v="17"/>
    <n v="0"/>
    <n v="856261"/>
  </r>
  <r>
    <s v="Retail"/>
    <s v="Q143 Sabaneta - CC Mayorca Etapa 1"/>
    <x v="4"/>
    <s v="septiembre"/>
    <n v="25"/>
    <d v="2026-09-25T00:00:00"/>
    <n v="1033259333"/>
    <s v="ZAPATA CANO LEIDY VANESSA"/>
    <n v="17"/>
    <n v="0"/>
    <n v="1043361"/>
  </r>
  <r>
    <s v="Retail"/>
    <s v="Q143 Sabaneta - CC Mayorca Etapa 1"/>
    <x v="4"/>
    <s v="septiembre"/>
    <n v="25"/>
    <d v="2026-09-25T00:00:00"/>
    <n v="1034989462"/>
    <s v="QUINTERO QUIRAMA MELISSA"/>
    <n v="11"/>
    <n v="0"/>
    <n v="596177"/>
  </r>
  <r>
    <s v="Retail"/>
    <s v="Q143 Sabaneta - CC Mayorca Etapa 1"/>
    <x v="4"/>
    <s v="septiembre"/>
    <n v="25"/>
    <d v="2026-09-25T00:00:00"/>
    <n v="1039467642"/>
    <s v="TRUJILLO CALLE JULIANA"/>
    <n v="15"/>
    <n v="0"/>
    <n v="864918"/>
  </r>
  <r>
    <s v="Retail"/>
    <s v="Q143 Sabaneta - CC Mayorca Etapa 1"/>
    <x v="4"/>
    <s v="septiembre"/>
    <n v="25"/>
    <d v="2026-09-25T00:00:00"/>
    <n v="1143413347"/>
    <s v="RODRIGUEZ CARDILES NATALIA ISABEL"/>
    <n v="38"/>
    <n v="0"/>
    <n v="1926934"/>
  </r>
  <r>
    <s v="Retail"/>
    <s v="Q143 Sabaneta - CC Mayorca Etapa 1"/>
    <x v="4"/>
    <s v="septiembre"/>
    <n v="26"/>
    <d v="2026-09-26T00:00:00"/>
    <m/>
    <m/>
    <n v="0"/>
    <n v="15480852"/>
    <n v="0"/>
  </r>
  <r>
    <s v="Retail"/>
    <s v="Q143 Sabaneta - CC Mayorca Etapa 1"/>
    <x v="4"/>
    <s v="septiembre"/>
    <n v="26"/>
    <d v="2026-09-26T00:00:00"/>
    <n v="43595446"/>
    <s v="ZEA  MARIA ALEIDA"/>
    <n v="64"/>
    <n v="0"/>
    <n v="3669329"/>
  </r>
  <r>
    <s v="Retail"/>
    <s v="Q143 Sabaneta - CC Mayorca Etapa 1"/>
    <x v="4"/>
    <s v="septiembre"/>
    <n v="26"/>
    <d v="2026-09-26T00:00:00"/>
    <n v="1000660108"/>
    <s v="VANEGAS URIBE HILARY"/>
    <n v="-1"/>
    <n v="0"/>
    <n v="-71386"/>
  </r>
  <r>
    <s v="Retail"/>
    <s v="Q143 Sabaneta - CC Mayorca Etapa 1"/>
    <x v="4"/>
    <s v="septiembre"/>
    <n v="26"/>
    <d v="2026-09-26T00:00:00"/>
    <n v="1000873482"/>
    <s v="MORENO  VARGAS MARIA FERNANDA "/>
    <n v="53"/>
    <n v="0"/>
    <n v="2627313"/>
  </r>
  <r>
    <s v="Retail"/>
    <s v="Q143 Sabaneta - CC Mayorca Etapa 1"/>
    <x v="4"/>
    <s v="septiembre"/>
    <n v="26"/>
    <d v="2026-09-26T00:00:00"/>
    <n v="1007053771"/>
    <s v="MARIN SALAZAR BRAYAN ALEXIS"/>
    <n v="-1"/>
    <n v="0"/>
    <n v="-25126"/>
  </r>
  <r>
    <s v="Retail"/>
    <s v="Q143 Sabaneta - CC Mayorca Etapa 1"/>
    <x v="4"/>
    <s v="septiembre"/>
    <n v="26"/>
    <d v="2026-09-26T00:00:00"/>
    <n v="1033259333"/>
    <s v="ZAPATA CANO LEIDY VANESSA"/>
    <n v="45"/>
    <n v="0"/>
    <n v="2430505"/>
  </r>
  <r>
    <s v="Retail"/>
    <s v="Q143 Sabaneta - CC Mayorca Etapa 1"/>
    <x v="4"/>
    <s v="septiembre"/>
    <n v="26"/>
    <d v="2026-09-26T00:00:00"/>
    <n v="1034989462"/>
    <s v="QUINTERO QUIRAMA MELISSA"/>
    <n v="11"/>
    <n v="0"/>
    <n v="583446"/>
  </r>
  <r>
    <s v="Retail"/>
    <s v="Q143 Sabaneta - CC Mayorca Etapa 1"/>
    <x v="4"/>
    <s v="septiembre"/>
    <n v="26"/>
    <d v="2026-09-26T00:00:00"/>
    <n v="1039467642"/>
    <s v="TRUJILLO CALLE JULIANA"/>
    <n v="32"/>
    <n v="0"/>
    <n v="1725297"/>
  </r>
  <r>
    <s v="Retail"/>
    <s v="Q143 Sabaneta - CC Mayorca Etapa 1"/>
    <x v="4"/>
    <s v="septiembre"/>
    <n v="26"/>
    <d v="2026-09-26T00:00:00"/>
    <n v="1143413347"/>
    <s v="RODRIGUEZ CARDILES NATALIA ISABEL"/>
    <n v="20"/>
    <n v="0"/>
    <n v="1032693"/>
  </r>
  <r>
    <s v="Retail"/>
    <s v="Q143 Sabaneta - CC Mayorca Etapa 1"/>
    <x v="4"/>
    <s v="septiembre"/>
    <n v="27"/>
    <d v="2026-09-27T00:00:00"/>
    <m/>
    <m/>
    <n v="0"/>
    <n v="12263948"/>
    <n v="0"/>
  </r>
  <r>
    <s v="Retail"/>
    <s v="Q143 Sabaneta - CC Mayorca Etapa 1"/>
    <x v="4"/>
    <s v="septiembre"/>
    <n v="27"/>
    <d v="2026-09-27T00:00:00"/>
    <n v="43595446"/>
    <s v="ZEA  MARIA ALEIDA"/>
    <n v="102"/>
    <n v="0"/>
    <n v="5406559"/>
  </r>
  <r>
    <s v="Retail"/>
    <s v="Q143 Sabaneta - CC Mayorca Etapa 1"/>
    <x v="4"/>
    <s v="septiembre"/>
    <n v="27"/>
    <d v="2026-09-27T00:00:00"/>
    <n v="1000873482"/>
    <s v="MORENO  VARGAS MARIA FERNANDA "/>
    <n v="79"/>
    <n v="0"/>
    <n v="4391011"/>
  </r>
  <r>
    <s v="Retail"/>
    <s v="Q143 Sabaneta - CC Mayorca Etapa 1"/>
    <x v="4"/>
    <s v="septiembre"/>
    <n v="27"/>
    <d v="2026-09-27T00:00:00"/>
    <n v="1033259333"/>
    <s v="ZAPATA CANO LEIDY VANESSA"/>
    <n v="1"/>
    <n v="0"/>
    <n v="105000"/>
  </r>
  <r>
    <s v="Retail"/>
    <s v="Q143 Sabaneta - CC Mayorca Etapa 1"/>
    <x v="4"/>
    <s v="septiembre"/>
    <n v="27"/>
    <d v="2026-09-27T00:00:00"/>
    <n v="1034989462"/>
    <s v="QUINTERO QUIRAMA MELISSA"/>
    <n v="34"/>
    <n v="0"/>
    <n v="1447481"/>
  </r>
  <r>
    <s v="Retail"/>
    <s v="Q143 Sabaneta - CC Mayorca Etapa 1"/>
    <x v="4"/>
    <s v="septiembre"/>
    <n v="27"/>
    <d v="2026-09-27T00:00:00"/>
    <n v="1037585001"/>
    <s v="PELAEZ  GALEANO LENNY YANID "/>
    <n v="-1"/>
    <n v="0"/>
    <n v="-105000"/>
  </r>
  <r>
    <s v="Retail"/>
    <s v="Q143 Sabaneta - CC Mayorca Etapa 1"/>
    <x v="4"/>
    <s v="septiembre"/>
    <n v="27"/>
    <d v="2026-09-27T00:00:00"/>
    <n v="1039467642"/>
    <s v="TRUJILLO CALLE JULIANA"/>
    <n v="37"/>
    <n v="0"/>
    <n v="1573701"/>
  </r>
  <r>
    <s v="Retail"/>
    <s v="Q143 Sabaneta - CC Mayorca Etapa 1"/>
    <x v="4"/>
    <s v="septiembre"/>
    <n v="27"/>
    <d v="2026-09-27T00:00:00"/>
    <n v="1039761353"/>
    <s v="MEJIA  ZULETA JOHARA "/>
    <n v="-1"/>
    <n v="0"/>
    <n v="-109160"/>
  </r>
  <r>
    <s v="Retail"/>
    <s v="Q143 Sabaneta - CC Mayorca Etapa 1"/>
    <x v="4"/>
    <s v="septiembre"/>
    <n v="27"/>
    <d v="2026-09-27T00:00:00"/>
    <n v="1143413347"/>
    <s v="RODRIGUEZ CARDILES NATALIA ISABEL"/>
    <n v="47"/>
    <n v="0"/>
    <n v="2720336"/>
  </r>
  <r>
    <s v="Retail"/>
    <s v="Q143 Sabaneta - CC Mayorca Etapa 1"/>
    <x v="4"/>
    <s v="septiembre"/>
    <n v="28"/>
    <d v="2026-09-28T00:00:00"/>
    <m/>
    <m/>
    <n v="0"/>
    <n v="6905151"/>
    <n v="0"/>
  </r>
  <r>
    <s v="Retail"/>
    <s v="Q143 Sabaneta - CC Mayorca Etapa 1"/>
    <x v="4"/>
    <s v="septiembre"/>
    <n v="28"/>
    <d v="2026-09-28T00:00:00"/>
    <n v="43595446"/>
    <s v="ZEA  MARIA ALEIDA"/>
    <n v="28"/>
    <n v="0"/>
    <n v="1764010"/>
  </r>
  <r>
    <s v="Retail"/>
    <s v="Q143 Sabaneta - CC Mayorca Etapa 1"/>
    <x v="4"/>
    <s v="septiembre"/>
    <n v="28"/>
    <d v="2026-09-28T00:00:00"/>
    <n v="1000873482"/>
    <s v="MORENO  VARGAS MARIA FERNANDA "/>
    <n v="11"/>
    <n v="0"/>
    <n v="570841"/>
  </r>
  <r>
    <s v="Retail"/>
    <s v="Q143 Sabaneta - CC Mayorca Etapa 1"/>
    <x v="4"/>
    <s v="septiembre"/>
    <n v="28"/>
    <d v="2026-09-28T00:00:00"/>
    <n v="1015066253"/>
    <s v="GOMEZ  DAYANA"/>
    <n v="-2"/>
    <n v="0"/>
    <n v="-180588"/>
  </r>
  <r>
    <s v="Retail"/>
    <s v="Q143 Sabaneta - CC Mayorca Etapa 1"/>
    <x v="4"/>
    <s v="septiembre"/>
    <n v="28"/>
    <d v="2026-09-28T00:00:00"/>
    <n v="1034989462"/>
    <s v="QUINTERO QUIRAMA MELISSA"/>
    <n v="9"/>
    <n v="0"/>
    <n v="398655"/>
  </r>
  <r>
    <s v="Retail"/>
    <s v="Q143 Sabaneta - CC Mayorca Etapa 1"/>
    <x v="4"/>
    <s v="septiembre"/>
    <n v="28"/>
    <d v="2026-09-28T00:00:00"/>
    <n v="1039467642"/>
    <s v="TRUJILLO CALLE JULIANA"/>
    <n v="11"/>
    <n v="0"/>
    <n v="612816"/>
  </r>
  <r>
    <s v="Retail"/>
    <s v="Q143 Sabaneta - CC Mayorca Etapa 1"/>
    <x v="4"/>
    <s v="septiembre"/>
    <n v="28"/>
    <d v="2026-09-28T00:00:00"/>
    <n v="1042151904"/>
    <s v="ROLDÁN ÚSUGA VALENTINA"/>
    <n v="-1"/>
    <n v="0"/>
    <n v="-46177"/>
  </r>
  <r>
    <s v="Retail"/>
    <s v="Q143 Sabaneta - CC Mayorca Etapa 1"/>
    <x v="4"/>
    <s v="septiembre"/>
    <n v="28"/>
    <d v="2026-09-28T00:00:00"/>
    <n v="1143413347"/>
    <s v="RODRIGUEZ CARDILES NATALIA ISABEL"/>
    <n v="20"/>
    <n v="0"/>
    <n v="1267899"/>
  </r>
  <r>
    <s v="Retail"/>
    <s v="Q143 Sabaneta - CC Mayorca Etapa 1"/>
    <x v="4"/>
    <s v="septiembre"/>
    <n v="29"/>
    <d v="2026-09-29T00:00:00"/>
    <m/>
    <m/>
    <n v="0"/>
    <n v="7054295"/>
    <n v="0"/>
  </r>
  <r>
    <s v="Retail"/>
    <s v="Q143 Sabaneta - CC Mayorca Etapa 1"/>
    <x v="4"/>
    <s v="septiembre"/>
    <n v="29"/>
    <d v="2026-09-29T00:00:00"/>
    <n v="43595446"/>
    <s v="ZEA  MARIA ALEIDA"/>
    <n v="28"/>
    <n v="0"/>
    <n v="1595254"/>
  </r>
  <r>
    <s v="Retail"/>
    <s v="Q143 Sabaneta - CC Mayorca Etapa 1"/>
    <x v="4"/>
    <s v="septiembre"/>
    <n v="29"/>
    <d v="2026-09-29T00:00:00"/>
    <n v="1000873482"/>
    <s v="MORENO  VARGAS MARIA FERNANDA "/>
    <n v="30"/>
    <n v="0"/>
    <n v="1010631"/>
  </r>
  <r>
    <s v="Retail"/>
    <s v="Q143 Sabaneta - CC Mayorca Etapa 1"/>
    <x v="4"/>
    <s v="septiembre"/>
    <n v="29"/>
    <d v="2026-09-29T00:00:00"/>
    <n v="1033259333"/>
    <s v="ZAPATA CANO LEIDY VANESSA"/>
    <n v="24"/>
    <n v="0"/>
    <n v="1456807"/>
  </r>
  <r>
    <s v="Retail"/>
    <s v="Q143 Sabaneta - CC Mayorca Etapa 1"/>
    <x v="4"/>
    <s v="septiembre"/>
    <n v="29"/>
    <d v="2026-09-29T00:00:00"/>
    <n v="1034989462"/>
    <s v="QUINTERO QUIRAMA MELISSA"/>
    <n v="19"/>
    <n v="0"/>
    <n v="1288952"/>
  </r>
  <r>
    <s v="Retail"/>
    <s v="Q143 Sabaneta - CC Mayorca Etapa 1"/>
    <x v="4"/>
    <s v="septiembre"/>
    <n v="29"/>
    <d v="2026-09-29T00:00:00"/>
    <n v="1039467642"/>
    <s v="TRUJILLO CALLE JULIANA"/>
    <n v="17"/>
    <n v="0"/>
    <n v="755421"/>
  </r>
  <r>
    <s v="Retail"/>
    <s v="Q143 Sabaneta - CC Mayorca Etapa 1"/>
    <x v="4"/>
    <s v="septiembre"/>
    <n v="29"/>
    <d v="2026-09-29T00:00:00"/>
    <n v="1143413347"/>
    <s v="RODRIGUEZ CARDILES NATALIA ISABEL"/>
    <n v="8"/>
    <n v="0"/>
    <n v="419790"/>
  </r>
  <r>
    <s v="Retail"/>
    <s v="Q143 Sabaneta - CC Mayorca Etapa 1"/>
    <x v="4"/>
    <s v="septiembre"/>
    <n v="30"/>
    <d v="2026-09-30T00:00:00"/>
    <m/>
    <m/>
    <n v="0"/>
    <n v="7447920"/>
    <n v="0"/>
  </r>
  <r>
    <s v="Retail"/>
    <s v="Q143 Sabaneta - CC Mayorca Etapa 1"/>
    <x v="4"/>
    <s v="septiembre"/>
    <n v="30"/>
    <d v="2026-09-30T00:00:00"/>
    <n v="43595446"/>
    <s v="ZEA  MARIA ALEIDA"/>
    <n v="37"/>
    <n v="0"/>
    <n v="1863614"/>
  </r>
  <r>
    <s v="Retail"/>
    <s v="Q143 Sabaneta - CC Mayorca Etapa 1"/>
    <x v="4"/>
    <s v="septiembre"/>
    <n v="30"/>
    <d v="2026-09-30T00:00:00"/>
    <n v="1000873482"/>
    <s v="MORENO  VARGAS MARIA FERNANDA "/>
    <n v="36"/>
    <n v="0"/>
    <n v="1722817"/>
  </r>
  <r>
    <s v="Retail"/>
    <s v="Q143 Sabaneta - CC Mayorca Etapa 1"/>
    <x v="4"/>
    <s v="septiembre"/>
    <n v="30"/>
    <d v="2026-09-30T00:00:00"/>
    <n v="1033259333"/>
    <s v="ZAPATA CANO LEIDY VANESSA"/>
    <n v="30"/>
    <n v="0"/>
    <n v="1342859"/>
  </r>
  <r>
    <s v="Retail"/>
    <s v="Q143 Sabaneta - CC Mayorca Etapa 1"/>
    <x v="4"/>
    <s v="septiembre"/>
    <n v="30"/>
    <d v="2026-09-30T00:00:00"/>
    <n v="1034989462"/>
    <s v="QUINTERO QUIRAMA MELISSA"/>
    <n v="24"/>
    <n v="0"/>
    <n v="1015587"/>
  </r>
  <r>
    <s v="Retail"/>
    <s v="Q143 Sabaneta - CC Mayorca Etapa 1"/>
    <x v="4"/>
    <s v="septiembre"/>
    <n v="30"/>
    <d v="2026-09-30T00:00:00"/>
    <n v="1039467642"/>
    <s v="TRUJILLO CALLE JULIANA"/>
    <n v="25"/>
    <n v="0"/>
    <n v="1444034"/>
  </r>
  <r>
    <s v="Retail"/>
    <s v="Q143 Sabaneta - CC Mayorca Etapa 1"/>
    <x v="4"/>
    <s v="septiembre"/>
    <n v="30"/>
    <d v="2026-09-30T00:00:00"/>
    <n v="1143413347"/>
    <s v="RODRIGUEZ CARDILES NATALIA ISABEL"/>
    <n v="16"/>
    <n v="0"/>
    <n v="814286"/>
  </r>
  <r>
    <s v="Retail"/>
    <s v="Q143 Sabaneta - CC Mayorca Etapa 1"/>
    <x v="4"/>
    <s v="octubre"/>
    <n v="1"/>
    <d v="2026-10-01T00:00:00"/>
    <m/>
    <m/>
    <n v="0"/>
    <n v="10490279"/>
    <n v="0"/>
  </r>
  <r>
    <s v="Retail"/>
    <s v="Q143 Sabaneta - CC Mayorca Etapa 1"/>
    <x v="4"/>
    <s v="octubre"/>
    <n v="1"/>
    <d v="2026-10-01T00:00:00"/>
    <n v="43595446"/>
    <s v="ZEA  MARIA ALEIDA"/>
    <n v="30"/>
    <n v="0"/>
    <n v="1439372"/>
  </r>
  <r>
    <s v="Retail"/>
    <s v="Q143 Sabaneta - CC Mayorca Etapa 1"/>
    <x v="4"/>
    <s v="octubre"/>
    <n v="1"/>
    <d v="2026-10-01T00:00:00"/>
    <n v="1000873482"/>
    <s v="MORENO  VARGAS MARIA FERNANDA "/>
    <n v="26"/>
    <n v="0"/>
    <n v="1452565"/>
  </r>
  <r>
    <s v="Retail"/>
    <s v="Q143 Sabaneta - CC Mayorca Etapa 1"/>
    <x v="4"/>
    <s v="octubre"/>
    <n v="1"/>
    <d v="2026-10-01T00:00:00"/>
    <n v="1033259333"/>
    <s v="ZAPATA CANO LEIDY VANESSA"/>
    <n v="16"/>
    <n v="0"/>
    <n v="898195"/>
  </r>
  <r>
    <s v="Retail"/>
    <s v="Q143 Sabaneta - CC Mayorca Etapa 1"/>
    <x v="4"/>
    <s v="octubre"/>
    <n v="1"/>
    <d v="2026-10-01T00:00:00"/>
    <n v="1034989462"/>
    <s v="QUINTERO QUIRAMA MELISSA"/>
    <n v="13"/>
    <n v="0"/>
    <n v="663152"/>
  </r>
  <r>
    <s v="Retail"/>
    <s v="Q143 Sabaneta - CC Mayorca Etapa 1"/>
    <x v="4"/>
    <s v="octubre"/>
    <n v="1"/>
    <d v="2026-10-01T00:00:00"/>
    <n v="1037585001"/>
    <s v="PELAEZ  GALEANO LENNY YANID "/>
    <n v="-1"/>
    <n v="0"/>
    <n v="-54580"/>
  </r>
  <r>
    <s v="Retail"/>
    <s v="Q143 Sabaneta - CC Mayorca Etapa 1"/>
    <x v="4"/>
    <s v="octubre"/>
    <n v="1"/>
    <d v="2026-10-01T00:00:00"/>
    <n v="1039467642"/>
    <s v="TRUJILLO CALLE JULIANA"/>
    <n v="26"/>
    <n v="0"/>
    <n v="1048740"/>
  </r>
  <r>
    <s v="Retail"/>
    <s v="Q143 Sabaneta - CC Mayorca Etapa 1"/>
    <x v="4"/>
    <s v="octubre"/>
    <n v="1"/>
    <d v="2026-10-01T00:00:00"/>
    <n v="1143413347"/>
    <s v="RODRIGUEZ CARDILES NATALIA ISABEL"/>
    <n v="22"/>
    <n v="0"/>
    <n v="1011516"/>
  </r>
  <r>
    <s v="Retail"/>
    <s v="Q143 Sabaneta - CC Mayorca Etapa 1"/>
    <x v="4"/>
    <s v="octubre"/>
    <n v="2"/>
    <d v="2026-10-02T00:00:00"/>
    <m/>
    <m/>
    <n v="0"/>
    <n v="9484586"/>
    <n v="0"/>
  </r>
  <r>
    <s v="Retail"/>
    <s v="Q143 Sabaneta - CC Mayorca Etapa 1"/>
    <x v="4"/>
    <s v="octubre"/>
    <n v="2"/>
    <d v="2026-10-02T00:00:00"/>
    <n v="43595446"/>
    <s v="ZEA  MARIA ALEIDA"/>
    <n v="45"/>
    <n v="0"/>
    <n v="2632062"/>
  </r>
  <r>
    <s v="Retail"/>
    <s v="Q143 Sabaneta - CC Mayorca Etapa 1"/>
    <x v="4"/>
    <s v="octubre"/>
    <n v="2"/>
    <d v="2026-10-02T00:00:00"/>
    <n v="1000873482"/>
    <s v="MORENO  VARGAS MARIA FERNANDA "/>
    <n v="52"/>
    <n v="0"/>
    <n v="2623447"/>
  </r>
  <r>
    <s v="Retail"/>
    <s v="Q143 Sabaneta - CC Mayorca Etapa 1"/>
    <x v="4"/>
    <s v="octubre"/>
    <n v="2"/>
    <d v="2026-10-02T00:00:00"/>
    <n v="1002596138"/>
    <s v="GONZALEZ  GAVIRIA JUAN MANUEL "/>
    <n v="-1"/>
    <n v="0"/>
    <n v="-41975"/>
  </r>
  <r>
    <s v="Retail"/>
    <s v="Q143 Sabaneta - CC Mayorca Etapa 1"/>
    <x v="4"/>
    <s v="octubre"/>
    <n v="2"/>
    <d v="2026-10-02T00:00:00"/>
    <n v="1007390161"/>
    <s v="MARTINEZ MARTINEZ KEISY DANIELA"/>
    <n v="-1"/>
    <n v="0"/>
    <n v="-105000"/>
  </r>
  <r>
    <s v="Retail"/>
    <s v="Q143 Sabaneta - CC Mayorca Etapa 1"/>
    <x v="4"/>
    <s v="octubre"/>
    <n v="2"/>
    <d v="2026-10-02T00:00:00"/>
    <n v="1033259333"/>
    <s v="ZAPATA CANO LEIDY VANESSA"/>
    <n v="49"/>
    <n v="0"/>
    <n v="3018656"/>
  </r>
  <r>
    <s v="Retail"/>
    <s v="Q143 Sabaneta - CC Mayorca Etapa 1"/>
    <x v="4"/>
    <s v="octubre"/>
    <n v="2"/>
    <d v="2026-10-02T00:00:00"/>
    <n v="1034989462"/>
    <s v="QUINTERO QUIRAMA MELISSA"/>
    <n v="10"/>
    <n v="0"/>
    <n v="507986"/>
  </r>
  <r>
    <s v="Retail"/>
    <s v="Q143 Sabaneta - CC Mayorca Etapa 1"/>
    <x v="4"/>
    <s v="octubre"/>
    <n v="2"/>
    <d v="2026-10-02T00:00:00"/>
    <n v="1039467642"/>
    <s v="TRUJILLO CALLE JULIANA"/>
    <n v="18"/>
    <n v="0"/>
    <n v="1108489"/>
  </r>
  <r>
    <s v="Retail"/>
    <s v="Q143 Sabaneta - CC Mayorca Etapa 1"/>
    <x v="4"/>
    <s v="octubre"/>
    <n v="2"/>
    <d v="2026-10-02T00:00:00"/>
    <n v="1039761353"/>
    <s v="MEJIA  ZULETA JOHARA "/>
    <n v="-1"/>
    <n v="0"/>
    <n v="-79790"/>
  </r>
  <r>
    <s v="Retail"/>
    <s v="Q143 Sabaneta - CC Mayorca Etapa 1"/>
    <x v="4"/>
    <s v="octubre"/>
    <n v="2"/>
    <d v="2026-10-02T00:00:00"/>
    <n v="1070607146"/>
    <s v="SUAREZ  CRISTIAN"/>
    <n v="-1"/>
    <n v="0"/>
    <n v="-75546"/>
  </r>
  <r>
    <s v="Retail"/>
    <s v="Q143 Sabaneta - CC Mayorca Etapa 1"/>
    <x v="4"/>
    <s v="octubre"/>
    <n v="2"/>
    <d v="2026-10-02T00:00:00"/>
    <n v="1143413347"/>
    <s v="RODRIGUEZ CARDILES NATALIA ISABEL"/>
    <n v="30"/>
    <n v="0"/>
    <n v="1506851"/>
  </r>
  <r>
    <s v="Retail"/>
    <s v="Q143 Sabaneta - CC Mayorca Etapa 1"/>
    <x v="4"/>
    <s v="octubre"/>
    <n v="3"/>
    <d v="2026-10-03T00:00:00"/>
    <m/>
    <m/>
    <n v="0"/>
    <n v="11014605"/>
    <n v="0"/>
  </r>
  <r>
    <s v="Retail"/>
    <s v="Q143 Sabaneta - CC Mayorca Etapa 1"/>
    <x v="4"/>
    <s v="octubre"/>
    <n v="3"/>
    <d v="2026-10-03T00:00:00"/>
    <n v="43595446"/>
    <s v="ZEA  MARIA ALEIDA"/>
    <n v="80"/>
    <n v="0"/>
    <n v="4567639"/>
  </r>
  <r>
    <s v="Retail"/>
    <s v="Q143 Sabaneta - CC Mayorca Etapa 1"/>
    <x v="4"/>
    <s v="octubre"/>
    <n v="3"/>
    <d v="2026-10-03T00:00:00"/>
    <n v="1000873482"/>
    <s v="MORENO  VARGAS MARIA FERNANDA "/>
    <n v="93"/>
    <n v="0"/>
    <n v="4569973"/>
  </r>
  <r>
    <s v="Retail"/>
    <s v="Q143 Sabaneta - CC Mayorca Etapa 1"/>
    <x v="4"/>
    <s v="octubre"/>
    <n v="3"/>
    <d v="2026-10-03T00:00:00"/>
    <n v="1002596138"/>
    <s v="GONZALEZ  GAVIRIA JUAN MANUEL "/>
    <n v="-1"/>
    <n v="0"/>
    <n v="-54580"/>
  </r>
  <r>
    <s v="Retail"/>
    <s v="Q143 Sabaneta - CC Mayorca Etapa 1"/>
    <x v="4"/>
    <s v="octubre"/>
    <n v="3"/>
    <d v="2026-10-03T00:00:00"/>
    <n v="1033259333"/>
    <s v="ZAPATA CANO LEIDY VANESSA"/>
    <n v="56"/>
    <n v="0"/>
    <n v="2562137"/>
  </r>
  <r>
    <s v="Retail"/>
    <s v="Q143 Sabaneta - CC Mayorca Etapa 1"/>
    <x v="4"/>
    <s v="octubre"/>
    <n v="3"/>
    <d v="2026-10-03T00:00:00"/>
    <n v="1033486789"/>
    <s v="RINCON  CARDONA ESNEIDER "/>
    <n v="-1"/>
    <n v="0"/>
    <n v="-33572"/>
  </r>
  <r>
    <s v="Retail"/>
    <s v="Q143 Sabaneta - CC Mayorca Etapa 1"/>
    <x v="4"/>
    <s v="octubre"/>
    <n v="3"/>
    <d v="2026-10-03T00:00:00"/>
    <n v="1034989462"/>
    <s v="QUINTERO QUIRAMA MELISSA"/>
    <n v="31"/>
    <n v="0"/>
    <n v="1592614"/>
  </r>
  <r>
    <s v="Retail"/>
    <s v="Q143 Sabaneta - CC Mayorca Etapa 1"/>
    <x v="4"/>
    <s v="octubre"/>
    <n v="3"/>
    <d v="2026-10-03T00:00:00"/>
    <n v="1039467642"/>
    <s v="TRUJILLO CALLE JULIANA"/>
    <n v="25"/>
    <n v="0"/>
    <n v="1456127"/>
  </r>
  <r>
    <s v="Retail"/>
    <s v="Q143 Sabaneta - CC Mayorca Etapa 1"/>
    <x v="4"/>
    <s v="octubre"/>
    <n v="3"/>
    <d v="2026-10-03T00:00:00"/>
    <n v="1143413347"/>
    <s v="RODRIGUEZ CARDILES NATALIA ISABEL"/>
    <n v="28"/>
    <n v="0"/>
    <n v="1432311"/>
  </r>
  <r>
    <s v="Retail"/>
    <s v="Q143 Sabaneta - CC Mayorca Etapa 1"/>
    <x v="4"/>
    <s v="octubre"/>
    <n v="4"/>
    <d v="2026-10-04T00:00:00"/>
    <m/>
    <m/>
    <n v="0"/>
    <n v="12414516"/>
    <n v="0"/>
  </r>
  <r>
    <s v="Retail"/>
    <s v="Q143 Sabaneta - CC Mayorca Etapa 1"/>
    <x v="4"/>
    <s v="octubre"/>
    <n v="4"/>
    <d v="2026-10-04T00:00:00"/>
    <n v="43595446"/>
    <s v="ZEA  MARIA ALEIDA"/>
    <n v="58"/>
    <n v="0"/>
    <n v="2744957"/>
  </r>
  <r>
    <s v="Retail"/>
    <s v="Q143 Sabaneta - CC Mayorca Etapa 1"/>
    <x v="4"/>
    <s v="octubre"/>
    <n v="4"/>
    <d v="2026-10-04T00:00:00"/>
    <n v="1000873482"/>
    <s v="MORENO  VARGAS MARIA FERNANDA "/>
    <n v="43"/>
    <n v="0"/>
    <n v="1976639"/>
  </r>
  <r>
    <s v="Retail"/>
    <s v="Q143 Sabaneta - CC Mayorca Etapa 1"/>
    <x v="4"/>
    <s v="octubre"/>
    <n v="4"/>
    <d v="2026-10-04T00:00:00"/>
    <n v="1023628602"/>
    <s v="LOAIZA BOLIVAR SARY LUNA"/>
    <n v="-1"/>
    <n v="0"/>
    <n v="-109202"/>
  </r>
  <r>
    <s v="Retail"/>
    <s v="Q143 Sabaneta - CC Mayorca Etapa 1"/>
    <x v="4"/>
    <s v="octubre"/>
    <n v="4"/>
    <d v="2026-10-04T00:00:00"/>
    <n v="1033259333"/>
    <s v="ZAPATA CANO LEIDY VANESSA"/>
    <n v="44"/>
    <n v="0"/>
    <n v="2426386"/>
  </r>
  <r>
    <s v="Retail"/>
    <s v="Q143 Sabaneta - CC Mayorca Etapa 1"/>
    <x v="4"/>
    <s v="octubre"/>
    <n v="4"/>
    <d v="2026-10-04T00:00:00"/>
    <n v="1034989462"/>
    <s v="QUINTERO QUIRAMA MELISSA"/>
    <n v="-2"/>
    <n v="0"/>
    <n v="-142773"/>
  </r>
  <r>
    <s v="Retail"/>
    <s v="Q143 Sabaneta - CC Mayorca Etapa 1"/>
    <x v="4"/>
    <s v="octubre"/>
    <n v="4"/>
    <d v="2026-10-04T00:00:00"/>
    <n v="1039467642"/>
    <s v="TRUJILLO CALLE JULIANA"/>
    <n v="34"/>
    <n v="0"/>
    <n v="2231556"/>
  </r>
  <r>
    <s v="Retail"/>
    <s v="Q143 Sabaneta - CC Mayorca Etapa 1"/>
    <x v="4"/>
    <s v="octubre"/>
    <n v="4"/>
    <d v="2026-10-04T00:00:00"/>
    <n v="1143413347"/>
    <s v="RODRIGUEZ CARDILES NATALIA ISABEL"/>
    <n v="26"/>
    <n v="0"/>
    <n v="1683403"/>
  </r>
  <r>
    <s v="Retail"/>
    <s v="Q143 Sabaneta - CC Mayorca Etapa 1"/>
    <x v="4"/>
    <s v="octubre"/>
    <n v="5"/>
    <d v="2026-10-05T00:00:00"/>
    <m/>
    <m/>
    <n v="0"/>
    <n v="8888007"/>
    <n v="0"/>
  </r>
  <r>
    <s v="Retail"/>
    <s v="Q143 Sabaneta - CC Mayorca Etapa 1"/>
    <x v="4"/>
    <s v="octubre"/>
    <n v="5"/>
    <d v="2026-10-05T00:00:00"/>
    <n v="43595446"/>
    <s v="ZEA  MARIA ALEIDA"/>
    <n v="31"/>
    <n v="0"/>
    <n v="1969077"/>
  </r>
  <r>
    <s v="Retail"/>
    <s v="Q143 Sabaneta - CC Mayorca Etapa 1"/>
    <x v="4"/>
    <s v="octubre"/>
    <n v="5"/>
    <d v="2026-10-05T00:00:00"/>
    <n v="1000873482"/>
    <s v="MORENO  VARGAS MARIA FERNANDA "/>
    <n v="1"/>
    <n v="0"/>
    <n v="12563"/>
  </r>
  <r>
    <s v="Retail"/>
    <s v="Q143 Sabaneta - CC Mayorca Etapa 1"/>
    <x v="4"/>
    <s v="octubre"/>
    <n v="5"/>
    <d v="2026-10-05T00:00:00"/>
    <n v="1033259333"/>
    <s v="ZAPATA CANO LEIDY VANESSA"/>
    <n v="32"/>
    <n v="0"/>
    <n v="1897270"/>
  </r>
  <r>
    <s v="Retail"/>
    <s v="Q143 Sabaneta - CC Mayorca Etapa 1"/>
    <x v="4"/>
    <s v="octubre"/>
    <n v="5"/>
    <d v="2026-10-05T00:00:00"/>
    <n v="1034989462"/>
    <s v="QUINTERO QUIRAMA MELISSA"/>
    <n v="9"/>
    <n v="0"/>
    <n v="550043"/>
  </r>
  <r>
    <s v="Retail"/>
    <s v="Q143 Sabaneta - CC Mayorca Etapa 1"/>
    <x v="4"/>
    <s v="octubre"/>
    <n v="5"/>
    <d v="2026-10-05T00:00:00"/>
    <n v="1039467642"/>
    <s v="TRUJILLO CALLE JULIANA"/>
    <n v="9"/>
    <n v="0"/>
    <n v="512101"/>
  </r>
  <r>
    <s v="Retail"/>
    <s v="Q143 Sabaneta - CC Mayorca Etapa 1"/>
    <x v="4"/>
    <s v="octubre"/>
    <n v="6"/>
    <d v="2026-10-06T00:00:00"/>
    <m/>
    <m/>
    <n v="0"/>
    <n v="3303009"/>
    <n v="0"/>
  </r>
  <r>
    <s v="Retail"/>
    <s v="Q143 Sabaneta - CC Mayorca Etapa 1"/>
    <x v="4"/>
    <s v="octubre"/>
    <n v="6"/>
    <d v="2026-10-06T00:00:00"/>
    <n v="43595446"/>
    <s v="ZEA  MARIA ALEIDA"/>
    <n v="45"/>
    <n v="0"/>
    <n v="2800382"/>
  </r>
  <r>
    <s v="Retail"/>
    <s v="Q143 Sabaneta - CC Mayorca Etapa 1"/>
    <x v="4"/>
    <s v="octubre"/>
    <n v="6"/>
    <d v="2026-10-06T00:00:00"/>
    <n v="1023628602"/>
    <s v="LOAIZA BOLIVAR SARY LUNA"/>
    <n v="-1"/>
    <n v="0"/>
    <n v="-105000"/>
  </r>
  <r>
    <s v="Retail"/>
    <s v="Q143 Sabaneta - CC Mayorca Etapa 1"/>
    <x v="4"/>
    <s v="octubre"/>
    <n v="6"/>
    <d v="2026-10-06T00:00:00"/>
    <n v="1033259333"/>
    <s v="ZAPATA CANO LEIDY VANESSA"/>
    <n v="38"/>
    <n v="0"/>
    <n v="1968824"/>
  </r>
  <r>
    <s v="Retail"/>
    <s v="Q143 Sabaneta - CC Mayorca Etapa 1"/>
    <x v="4"/>
    <s v="octubre"/>
    <n v="6"/>
    <d v="2026-10-06T00:00:00"/>
    <n v="1034989462"/>
    <s v="QUINTERO QUIRAMA MELISSA"/>
    <n v="13"/>
    <n v="0"/>
    <n v="1033067"/>
  </r>
  <r>
    <s v="Retail"/>
    <s v="Q143 Sabaneta - CC Mayorca Etapa 1"/>
    <x v="4"/>
    <s v="octubre"/>
    <n v="6"/>
    <d v="2026-10-06T00:00:00"/>
    <n v="1040745636"/>
    <s v="ARCILA  DUQUE MATEO ALEJANDRO "/>
    <n v="-1"/>
    <n v="0"/>
    <n v="-16723"/>
  </r>
  <r>
    <s v="Retail"/>
    <s v="Q143 Sabaneta - CC Mayorca Etapa 1"/>
    <x v="4"/>
    <s v="octubre"/>
    <n v="7"/>
    <d v="2026-10-07T00:00:00"/>
    <m/>
    <m/>
    <n v="0"/>
    <n v="3277058"/>
    <n v="0"/>
  </r>
  <r>
    <s v="Retail"/>
    <s v="Q143 Sabaneta - CC Mayorca Etapa 1"/>
    <x v="4"/>
    <s v="octubre"/>
    <n v="7"/>
    <d v="2026-10-07T00:00:00"/>
    <n v="1000873482"/>
    <s v="MORENO  VARGAS MARIA FERNANDA "/>
    <n v="16"/>
    <n v="0"/>
    <n v="1291303"/>
  </r>
  <r>
    <s v="Retail"/>
    <s v="Q143 Sabaneta - CC Mayorca Etapa 1"/>
    <x v="4"/>
    <s v="octubre"/>
    <n v="7"/>
    <d v="2026-10-07T00:00:00"/>
    <n v="1034989462"/>
    <s v="QUINTERO QUIRAMA MELISSA"/>
    <n v="15"/>
    <n v="0"/>
    <n v="774456"/>
  </r>
  <r>
    <s v="Retail"/>
    <s v="Q148 Medellín - Carabobo Centro"/>
    <x v="4"/>
    <s v="septiembre"/>
    <n v="23"/>
    <d v="2026-09-23T00:00:00"/>
    <m/>
    <m/>
    <n v="0"/>
    <n v="8053500"/>
    <n v="0"/>
  </r>
  <r>
    <s v="Retail"/>
    <s v="Q148 Medellín - Carabobo Centro"/>
    <x v="4"/>
    <s v="septiembre"/>
    <n v="23"/>
    <d v="2026-09-23T00:00:00"/>
    <n v="1002596138"/>
    <s v="GONZALEZ  GAVIRIA JUAN MANUEL "/>
    <n v="68"/>
    <n v="0"/>
    <n v="3753742"/>
  </r>
  <r>
    <s v="Retail"/>
    <s v="Q148 Medellín - Carabobo Centro"/>
    <x v="4"/>
    <s v="septiembre"/>
    <n v="23"/>
    <d v="2026-09-23T00:00:00"/>
    <n v="1005327912"/>
    <s v="GARCIA  RODRIGUEZ JAIME ADRIAN "/>
    <n v="38"/>
    <n v="0"/>
    <n v="2034033"/>
  </r>
  <r>
    <s v="Retail"/>
    <s v="Q148 Medellín - Carabobo Centro"/>
    <x v="4"/>
    <s v="septiembre"/>
    <n v="23"/>
    <d v="2026-09-23T00:00:00"/>
    <n v="1015402645"/>
    <s v="GUERRERO CHILLAMBO JEYSON ESTEVEN"/>
    <n v="12"/>
    <n v="0"/>
    <n v="713783"/>
  </r>
  <r>
    <s v="Retail"/>
    <s v="Q148 Medellín - Carabobo Centro"/>
    <x v="4"/>
    <s v="septiembre"/>
    <n v="23"/>
    <d v="2026-09-23T00:00:00"/>
    <n v="1017264739"/>
    <s v="OCHOA GALLEGO  MATEO"/>
    <n v="71"/>
    <n v="0"/>
    <n v="3496596"/>
  </r>
  <r>
    <s v="Retail"/>
    <s v="Q148 Medellín - Carabobo Centro"/>
    <x v="4"/>
    <s v="septiembre"/>
    <n v="23"/>
    <d v="2026-09-23T00:00:00"/>
    <n v="1039622506"/>
    <s v="FLOREZ ESCUDERO REINA MILEIDY"/>
    <n v="22"/>
    <n v="0"/>
    <n v="1154539"/>
  </r>
  <r>
    <s v="Retail"/>
    <s v="Q148 Medellín - Carabobo Centro"/>
    <x v="4"/>
    <s v="septiembre"/>
    <n v="23"/>
    <d v="2026-09-23T00:00:00"/>
    <n v="1040745636"/>
    <s v="ARCILA  DUQUE MATEO ALEJANDRO "/>
    <n v="-1"/>
    <n v="0"/>
    <n v="-54580"/>
  </r>
  <r>
    <s v="Retail"/>
    <s v="Q148 Medellín - Carabobo Centro"/>
    <x v="4"/>
    <s v="septiembre"/>
    <n v="23"/>
    <d v="2026-09-23T00:00:00"/>
    <n v="1045490172"/>
    <s v="JULIO BUELVAS NESTOR  DAVID"/>
    <n v="14"/>
    <n v="0"/>
    <n v="818740"/>
  </r>
  <r>
    <s v="Retail"/>
    <s v="Q148 Medellín - Carabobo Centro"/>
    <x v="4"/>
    <s v="septiembre"/>
    <n v="24"/>
    <d v="2026-09-24T00:00:00"/>
    <m/>
    <m/>
    <n v="0"/>
    <n v="12302626"/>
    <n v="0"/>
  </r>
  <r>
    <s v="Retail"/>
    <s v="Q148 Medellín - Carabobo Centro"/>
    <x v="4"/>
    <s v="septiembre"/>
    <n v="24"/>
    <d v="2026-09-24T00:00:00"/>
    <n v="1000756875"/>
    <s v="GIRALDO VALDERRAMA ANLLY LORENA"/>
    <n v="0"/>
    <n v="0"/>
    <n v="0"/>
  </r>
  <r>
    <s v="Retail"/>
    <s v="Q148 Medellín - Carabobo Centro"/>
    <x v="4"/>
    <s v="septiembre"/>
    <n v="24"/>
    <d v="2026-09-24T00:00:00"/>
    <n v="1002596138"/>
    <s v="GONZALEZ  GAVIRIA JUAN MANUEL "/>
    <n v="36"/>
    <n v="0"/>
    <n v="2099243"/>
  </r>
  <r>
    <s v="Retail"/>
    <s v="Q148 Medellín - Carabobo Centro"/>
    <x v="4"/>
    <s v="septiembre"/>
    <n v="24"/>
    <d v="2026-09-24T00:00:00"/>
    <n v="1005327912"/>
    <s v="GARCIA  RODRIGUEZ JAIME ADRIAN "/>
    <n v="25"/>
    <n v="0"/>
    <n v="1313993"/>
  </r>
  <r>
    <s v="Retail"/>
    <s v="Q148 Medellín - Carabobo Centro"/>
    <x v="4"/>
    <s v="septiembre"/>
    <n v="24"/>
    <d v="2026-09-24T00:00:00"/>
    <n v="1015402645"/>
    <s v="GUERRERO CHILLAMBO JEYSON ESTEVEN"/>
    <n v="31"/>
    <n v="0"/>
    <n v="1860000"/>
  </r>
  <r>
    <s v="Retail"/>
    <s v="Q148 Medellín - Carabobo Centro"/>
    <x v="4"/>
    <s v="septiembre"/>
    <n v="24"/>
    <d v="2026-09-24T00:00:00"/>
    <n v="1017264739"/>
    <s v="OCHOA GALLEGO  MATEO"/>
    <n v="42"/>
    <n v="0"/>
    <n v="2027608"/>
  </r>
  <r>
    <s v="Retail"/>
    <s v="Q148 Medellín - Carabobo Centro"/>
    <x v="4"/>
    <s v="septiembre"/>
    <n v="24"/>
    <d v="2026-09-24T00:00:00"/>
    <n v="1036131390"/>
    <s v="MONA MORALES YULIETH"/>
    <n v="7"/>
    <n v="0"/>
    <n v="524916"/>
  </r>
  <r>
    <s v="Retail"/>
    <s v="Q148 Medellín - Carabobo Centro"/>
    <x v="4"/>
    <s v="septiembre"/>
    <n v="24"/>
    <d v="2026-09-24T00:00:00"/>
    <n v="1039622506"/>
    <s v="FLOREZ ESCUDERO REINA MILEIDY"/>
    <n v="15"/>
    <n v="0"/>
    <n v="864832"/>
  </r>
  <r>
    <s v="Retail"/>
    <s v="Q148 Medellín - Carabobo Centro"/>
    <x v="4"/>
    <s v="septiembre"/>
    <n v="24"/>
    <d v="2026-09-24T00:00:00"/>
    <n v="1045490172"/>
    <s v="JULIO BUELVAS NESTOR  DAVID"/>
    <n v="1"/>
    <n v="0"/>
    <n v="92395"/>
  </r>
  <r>
    <s v="Retail"/>
    <s v="Q148 Medellín - Carabobo Centro"/>
    <x v="4"/>
    <s v="septiembre"/>
    <n v="24"/>
    <d v="2026-09-24T00:00:00"/>
    <n v="1193155892"/>
    <s v="DAVID  DAVID MARIA CLARA "/>
    <n v="-1"/>
    <n v="0"/>
    <n v="-41975"/>
  </r>
  <r>
    <s v="Retail"/>
    <s v="Q148 Medellín - Carabobo Centro"/>
    <x v="4"/>
    <s v="septiembre"/>
    <n v="25"/>
    <d v="2026-09-25T00:00:00"/>
    <m/>
    <m/>
    <n v="0"/>
    <n v="12275390"/>
    <n v="0"/>
  </r>
  <r>
    <s v="Retail"/>
    <s v="Q148 Medellín - Carabobo Centro"/>
    <x v="4"/>
    <s v="septiembre"/>
    <n v="25"/>
    <d v="2026-09-25T00:00:00"/>
    <n v="1002596138"/>
    <s v="GONZALEZ  GAVIRIA JUAN MANUEL "/>
    <n v="51"/>
    <n v="0"/>
    <n v="2825506"/>
  </r>
  <r>
    <s v="Retail"/>
    <s v="Q148 Medellín - Carabobo Centro"/>
    <x v="4"/>
    <s v="septiembre"/>
    <n v="25"/>
    <d v="2026-09-25T00:00:00"/>
    <n v="1005327912"/>
    <s v="GARCIA  RODRIGUEZ JAIME ADRIAN "/>
    <n v="25"/>
    <n v="0"/>
    <n v="1175296"/>
  </r>
  <r>
    <s v="Retail"/>
    <s v="Q148 Medellín - Carabobo Centro"/>
    <x v="4"/>
    <s v="septiembre"/>
    <n v="25"/>
    <d v="2026-09-25T00:00:00"/>
    <n v="1015402645"/>
    <s v="GUERRERO CHILLAMBO JEYSON ESTEVEN"/>
    <n v="38"/>
    <n v="0"/>
    <n v="2159579"/>
  </r>
  <r>
    <s v="Retail"/>
    <s v="Q148 Medellín - Carabobo Centro"/>
    <x v="4"/>
    <s v="septiembre"/>
    <n v="25"/>
    <d v="2026-09-25T00:00:00"/>
    <n v="1017264739"/>
    <s v="OCHOA GALLEGO  MATEO"/>
    <n v="71"/>
    <n v="0"/>
    <n v="3887399"/>
  </r>
  <r>
    <s v="Retail"/>
    <s v="Q148 Medellín - Carabobo Centro"/>
    <x v="4"/>
    <s v="septiembre"/>
    <n v="25"/>
    <d v="2026-09-25T00:00:00"/>
    <n v="1026132356"/>
    <s v="CORDOBA VASCO JUAN SEBASTIAN"/>
    <n v="7"/>
    <n v="0"/>
    <n v="587942"/>
  </r>
  <r>
    <s v="Retail"/>
    <s v="Q148 Medellín - Carabobo Centro"/>
    <x v="4"/>
    <s v="septiembre"/>
    <n v="25"/>
    <d v="2026-09-25T00:00:00"/>
    <n v="1036131390"/>
    <s v="MONA MORALES YULIETH"/>
    <n v="6"/>
    <n v="0"/>
    <n v="403068"/>
  </r>
  <r>
    <s v="Retail"/>
    <s v="Q148 Medellín - Carabobo Centro"/>
    <x v="4"/>
    <s v="septiembre"/>
    <n v="25"/>
    <d v="2026-09-25T00:00:00"/>
    <n v="1039622506"/>
    <s v="FLOREZ ESCUDERO REINA MILEIDY"/>
    <n v="20"/>
    <n v="0"/>
    <n v="1213405"/>
  </r>
  <r>
    <s v="Retail"/>
    <s v="Q148 Medellín - Carabobo Centro"/>
    <x v="4"/>
    <s v="septiembre"/>
    <n v="25"/>
    <d v="2026-09-25T00:00:00"/>
    <n v="1040745636"/>
    <s v="ARCILA  DUQUE MATEO ALEJANDRO "/>
    <n v="-1"/>
    <n v="0"/>
    <n v="-92353"/>
  </r>
  <r>
    <s v="Retail"/>
    <s v="Q148 Medellín - Carabobo Centro"/>
    <x v="4"/>
    <s v="septiembre"/>
    <n v="25"/>
    <d v="2026-09-25T00:00:00"/>
    <n v="1045490172"/>
    <s v="JULIO BUELVAS NESTOR  DAVID"/>
    <n v="5"/>
    <n v="0"/>
    <n v="340127"/>
  </r>
  <r>
    <s v="Retail"/>
    <s v="Q148 Medellín - Carabobo Centro"/>
    <x v="4"/>
    <s v="septiembre"/>
    <n v="26"/>
    <d v="2026-09-26T00:00:00"/>
    <m/>
    <m/>
    <n v="0"/>
    <n v="17641502"/>
    <n v="0"/>
  </r>
  <r>
    <s v="Retail"/>
    <s v="Q148 Medellín - Carabobo Centro"/>
    <x v="4"/>
    <s v="septiembre"/>
    <n v="26"/>
    <d v="2026-09-26T00:00:00"/>
    <n v="1002596138"/>
    <s v="GONZALEZ  GAVIRIA JUAN MANUEL "/>
    <n v="51"/>
    <n v="0"/>
    <n v="3094330"/>
  </r>
  <r>
    <s v="Retail"/>
    <s v="Q148 Medellín - Carabobo Centro"/>
    <x v="4"/>
    <s v="septiembre"/>
    <n v="26"/>
    <d v="2026-09-26T00:00:00"/>
    <n v="1005327912"/>
    <s v="GARCIA  RODRIGUEZ JAIME ADRIAN "/>
    <n v="64"/>
    <n v="0"/>
    <n v="3501346"/>
  </r>
  <r>
    <s v="Retail"/>
    <s v="Q148 Medellín - Carabobo Centro"/>
    <x v="4"/>
    <s v="septiembre"/>
    <n v="26"/>
    <d v="2026-09-26T00:00:00"/>
    <n v="1015402645"/>
    <s v="GUERRERO CHILLAMBO JEYSON ESTEVEN"/>
    <n v="53"/>
    <n v="0"/>
    <n v="2933991"/>
  </r>
  <r>
    <s v="Retail"/>
    <s v="Q148 Medellín - Carabobo Centro"/>
    <x v="4"/>
    <s v="septiembre"/>
    <n v="26"/>
    <d v="2026-09-26T00:00:00"/>
    <n v="1017264739"/>
    <s v="OCHOA GALLEGO  MATEO"/>
    <n v="84"/>
    <n v="0"/>
    <n v="4037692"/>
  </r>
  <r>
    <s v="Retail"/>
    <s v="Q148 Medellín - Carabobo Centro"/>
    <x v="4"/>
    <s v="septiembre"/>
    <n v="26"/>
    <d v="2026-09-26T00:00:00"/>
    <n v="1026132356"/>
    <s v="CORDOBA VASCO JUAN SEBASTIAN"/>
    <n v="13"/>
    <n v="0"/>
    <n v="608614"/>
  </r>
  <r>
    <s v="Retail"/>
    <s v="Q148 Medellín - Carabobo Centro"/>
    <x v="4"/>
    <s v="septiembre"/>
    <n v="26"/>
    <d v="2026-09-26T00:00:00"/>
    <n v="1036131390"/>
    <s v="MONA MORALES YULIETH"/>
    <n v="14"/>
    <n v="0"/>
    <n v="923741"/>
  </r>
  <r>
    <s v="Retail"/>
    <s v="Q148 Medellín - Carabobo Centro"/>
    <x v="4"/>
    <s v="septiembre"/>
    <n v="26"/>
    <d v="2026-09-26T00:00:00"/>
    <n v="1039622506"/>
    <s v="FLOREZ ESCUDERO REINA MILEIDY"/>
    <n v="28"/>
    <n v="0"/>
    <n v="1914750"/>
  </r>
  <r>
    <s v="Retail"/>
    <s v="Q148 Medellín - Carabobo Centro"/>
    <x v="4"/>
    <s v="septiembre"/>
    <n v="26"/>
    <d v="2026-09-26T00:00:00"/>
    <n v="1045490172"/>
    <s v="JULIO BUELVAS NESTOR  DAVID"/>
    <n v="20"/>
    <n v="0"/>
    <n v="1354162"/>
  </r>
  <r>
    <s v="Retail"/>
    <s v="Q148 Medellín - Carabobo Centro"/>
    <x v="4"/>
    <s v="septiembre"/>
    <n v="27"/>
    <d v="2026-09-27T00:00:00"/>
    <m/>
    <m/>
    <n v="0"/>
    <n v="13975621"/>
    <n v="0"/>
  </r>
  <r>
    <s v="Retail"/>
    <s v="Q148 Medellín - Carabobo Centro"/>
    <x v="4"/>
    <s v="septiembre"/>
    <n v="27"/>
    <d v="2026-09-27T00:00:00"/>
    <n v="1002596138"/>
    <s v="GONZALEZ  GAVIRIA JUAN MANUEL "/>
    <n v="11"/>
    <n v="0"/>
    <n v="516345"/>
  </r>
  <r>
    <s v="Retail"/>
    <s v="Q148 Medellín - Carabobo Centro"/>
    <x v="4"/>
    <s v="septiembre"/>
    <n v="27"/>
    <d v="2026-09-27T00:00:00"/>
    <n v="1005327912"/>
    <s v="GARCIA  RODRIGUEZ JAIME ADRIAN "/>
    <n v="10"/>
    <n v="0"/>
    <n v="495338"/>
  </r>
  <r>
    <s v="Retail"/>
    <s v="Q148 Medellín - Carabobo Centro"/>
    <x v="4"/>
    <s v="septiembre"/>
    <n v="27"/>
    <d v="2026-09-27T00:00:00"/>
    <n v="1015402645"/>
    <s v="GUERRERO CHILLAMBO JEYSON ESTEVEN"/>
    <n v="14"/>
    <n v="0"/>
    <n v="730337"/>
  </r>
  <r>
    <s v="Retail"/>
    <s v="Q148 Medellín - Carabobo Centro"/>
    <x v="4"/>
    <s v="septiembre"/>
    <n v="27"/>
    <d v="2026-09-27T00:00:00"/>
    <n v="1017264739"/>
    <s v="OCHOA GALLEGO  MATEO"/>
    <n v="35"/>
    <n v="0"/>
    <n v="1631177"/>
  </r>
  <r>
    <s v="Retail"/>
    <s v="Q148 Medellín - Carabobo Centro"/>
    <x v="4"/>
    <s v="septiembre"/>
    <n v="27"/>
    <d v="2026-09-27T00:00:00"/>
    <n v="1026132356"/>
    <s v="CORDOBA VASCO JUAN SEBASTIAN"/>
    <n v="3"/>
    <n v="0"/>
    <n v="88068"/>
  </r>
  <r>
    <s v="Retail"/>
    <s v="Q148 Medellín - Carabobo Centro"/>
    <x v="4"/>
    <s v="septiembre"/>
    <n v="27"/>
    <d v="2026-09-27T00:00:00"/>
    <n v="1036131390"/>
    <s v="MONA MORALES YULIETH"/>
    <n v="1"/>
    <n v="0"/>
    <n v="75588"/>
  </r>
  <r>
    <s v="Retail"/>
    <s v="Q148 Medellín - Carabobo Centro"/>
    <x v="4"/>
    <s v="septiembre"/>
    <n v="28"/>
    <d v="2026-09-28T00:00:00"/>
    <m/>
    <m/>
    <n v="0"/>
    <n v="7868899"/>
    <n v="0"/>
  </r>
  <r>
    <s v="Retail"/>
    <s v="Q148 Medellín - Carabobo Centro"/>
    <x v="4"/>
    <s v="septiembre"/>
    <n v="28"/>
    <d v="2026-09-28T00:00:00"/>
    <n v="1002596138"/>
    <s v="GONZALEZ  GAVIRIA JUAN MANUEL "/>
    <n v="24"/>
    <n v="0"/>
    <n v="1587060"/>
  </r>
  <r>
    <s v="Retail"/>
    <s v="Q148 Medellín - Carabobo Centro"/>
    <x v="4"/>
    <s v="septiembre"/>
    <n v="28"/>
    <d v="2026-09-28T00:00:00"/>
    <n v="1005327912"/>
    <s v="GARCIA  RODRIGUEZ JAIME ADRIAN "/>
    <n v="31"/>
    <n v="0"/>
    <n v="1681094"/>
  </r>
  <r>
    <s v="Retail"/>
    <s v="Q148 Medellín - Carabobo Centro"/>
    <x v="4"/>
    <s v="septiembre"/>
    <n v="28"/>
    <d v="2026-09-28T00:00:00"/>
    <n v="1015402645"/>
    <s v="GUERRERO CHILLAMBO JEYSON ESTEVEN"/>
    <n v="12"/>
    <n v="0"/>
    <n v="802018"/>
  </r>
  <r>
    <s v="Retail"/>
    <s v="Q148 Medellín - Carabobo Centro"/>
    <x v="4"/>
    <s v="septiembre"/>
    <n v="28"/>
    <d v="2026-09-28T00:00:00"/>
    <n v="1017264739"/>
    <s v="OCHOA GALLEGO  MATEO"/>
    <n v="40"/>
    <n v="0"/>
    <n v="1287438"/>
  </r>
  <r>
    <s v="Retail"/>
    <s v="Q148 Medellín - Carabobo Centro"/>
    <x v="4"/>
    <s v="septiembre"/>
    <n v="28"/>
    <d v="2026-09-28T00:00:00"/>
    <n v="1026132356"/>
    <s v="CORDOBA VASCO JUAN SEBASTIAN"/>
    <n v="3"/>
    <n v="0"/>
    <n v="201512"/>
  </r>
  <r>
    <s v="Retail"/>
    <s v="Q148 Medellín - Carabobo Centro"/>
    <x v="4"/>
    <s v="septiembre"/>
    <n v="28"/>
    <d v="2026-09-28T00:00:00"/>
    <n v="1036131390"/>
    <s v="MONA MORALES YULIETH"/>
    <n v="7"/>
    <n v="0"/>
    <n v="327396"/>
  </r>
  <r>
    <s v="Retail"/>
    <s v="Q148 Medellín - Carabobo Centro"/>
    <x v="4"/>
    <s v="septiembre"/>
    <n v="28"/>
    <d v="2026-09-28T00:00:00"/>
    <n v="1039622506"/>
    <s v="FLOREZ ESCUDERO REINA MILEIDY"/>
    <n v="17"/>
    <n v="0"/>
    <n v="1003404"/>
  </r>
  <r>
    <s v="Retail"/>
    <s v="Q148 Medellín - Carabobo Centro"/>
    <x v="4"/>
    <s v="septiembre"/>
    <n v="28"/>
    <d v="2026-09-28T00:00:00"/>
    <n v="1045490172"/>
    <s v="JULIO BUELVAS NESTOR  DAVID"/>
    <n v="4"/>
    <n v="0"/>
    <n v="109034"/>
  </r>
  <r>
    <s v="Retail"/>
    <s v="Q148 Medellín - Carabobo Centro"/>
    <x v="4"/>
    <s v="septiembre"/>
    <n v="28"/>
    <d v="2026-09-28T00:00:00"/>
    <n v="1056785111"/>
    <s v="LOPEZ  ALZATE JESSICA ALEJANDRA "/>
    <n v="-1"/>
    <n v="0"/>
    <n v="-117605"/>
  </r>
  <r>
    <s v="Retail"/>
    <s v="Q148 Medellín - Carabobo Centro"/>
    <x v="4"/>
    <s v="septiembre"/>
    <n v="28"/>
    <d v="2026-09-28T00:00:00"/>
    <n v="1110283879"/>
    <s v="RODRIGUEZ CAICEDO MARIA  JOSE"/>
    <n v="-1"/>
    <n v="0"/>
    <n v="-54580"/>
  </r>
  <r>
    <s v="Retail"/>
    <s v="Q148 Medellín - Carabobo Centro"/>
    <x v="4"/>
    <s v="septiembre"/>
    <n v="29"/>
    <d v="2026-09-29T00:00:00"/>
    <m/>
    <m/>
    <n v="0"/>
    <n v="8038856"/>
    <n v="0"/>
  </r>
  <r>
    <s v="Retail"/>
    <s v="Q148 Medellín - Carabobo Centro"/>
    <x v="4"/>
    <s v="septiembre"/>
    <n v="29"/>
    <d v="2026-09-29T00:00:00"/>
    <n v="1002596138"/>
    <s v="GONZALEZ  GAVIRIA JUAN MANUEL "/>
    <n v="13"/>
    <n v="0"/>
    <n v="633319"/>
  </r>
  <r>
    <s v="Retail"/>
    <s v="Q148 Medellín - Carabobo Centro"/>
    <x v="4"/>
    <s v="septiembre"/>
    <n v="29"/>
    <d v="2026-09-29T00:00:00"/>
    <n v="1005327912"/>
    <s v="GARCIA  RODRIGUEZ JAIME ADRIAN "/>
    <n v="18"/>
    <n v="0"/>
    <n v="1074789"/>
  </r>
  <r>
    <s v="Retail"/>
    <s v="Q148 Medellín - Carabobo Centro"/>
    <x v="4"/>
    <s v="septiembre"/>
    <n v="29"/>
    <d v="2026-09-29T00:00:00"/>
    <n v="1015402645"/>
    <s v="GUERRERO CHILLAMBO JEYSON ESTEVEN"/>
    <n v="26"/>
    <n v="0"/>
    <n v="1519831"/>
  </r>
  <r>
    <s v="Retail"/>
    <s v="Q148 Medellín - Carabobo Centro"/>
    <x v="4"/>
    <s v="septiembre"/>
    <n v="29"/>
    <d v="2026-09-29T00:00:00"/>
    <n v="1017264739"/>
    <s v="OCHOA GALLEGO  MATEO"/>
    <n v="27"/>
    <n v="0"/>
    <n v="1587102"/>
  </r>
  <r>
    <s v="Retail"/>
    <s v="Q148 Medellín - Carabobo Centro"/>
    <x v="4"/>
    <s v="septiembre"/>
    <n v="29"/>
    <d v="2026-09-29T00:00:00"/>
    <n v="1026132356"/>
    <s v="CORDOBA VASCO JUAN SEBASTIAN"/>
    <n v="10"/>
    <n v="0"/>
    <n v="449118"/>
  </r>
  <r>
    <s v="Retail"/>
    <s v="Q148 Medellín - Carabobo Centro"/>
    <x v="4"/>
    <s v="septiembre"/>
    <n v="29"/>
    <d v="2026-09-29T00:00:00"/>
    <n v="1036131390"/>
    <s v="MONA MORALES YULIETH"/>
    <n v="12"/>
    <n v="0"/>
    <n v="831429"/>
  </r>
  <r>
    <s v="Retail"/>
    <s v="Q148 Medellín - Carabobo Centro"/>
    <x v="4"/>
    <s v="septiembre"/>
    <n v="29"/>
    <d v="2026-09-29T00:00:00"/>
    <n v="1039622506"/>
    <s v="FLOREZ ESCUDERO REINA MILEIDY"/>
    <n v="4"/>
    <n v="0"/>
    <n v="293949"/>
  </r>
  <r>
    <s v="Retail"/>
    <s v="Q148 Medellín - Carabobo Centro"/>
    <x v="4"/>
    <s v="septiembre"/>
    <n v="29"/>
    <d v="2026-09-29T00:00:00"/>
    <n v="1045490172"/>
    <s v="JULIO BUELVAS NESTOR  DAVID"/>
    <n v="5"/>
    <n v="0"/>
    <n v="209832"/>
  </r>
  <r>
    <s v="Retail"/>
    <s v="Q148 Medellín - Carabobo Centro"/>
    <x v="4"/>
    <s v="septiembre"/>
    <n v="30"/>
    <d v="2026-09-30T00:00:00"/>
    <m/>
    <m/>
    <n v="0"/>
    <n v="8487423"/>
    <n v="0"/>
  </r>
  <r>
    <s v="Retail"/>
    <s v="Q148 Medellín - Carabobo Centro"/>
    <x v="4"/>
    <s v="septiembre"/>
    <n v="30"/>
    <d v="2026-09-30T00:00:00"/>
    <n v="1002596138"/>
    <s v="GONZALEZ  GAVIRIA JUAN MANUEL "/>
    <n v="33"/>
    <n v="0"/>
    <n v="1342817"/>
  </r>
  <r>
    <s v="Retail"/>
    <s v="Q148 Medellín - Carabobo Centro"/>
    <x v="4"/>
    <s v="septiembre"/>
    <n v="30"/>
    <d v="2026-09-30T00:00:00"/>
    <n v="1005327912"/>
    <s v="GARCIA  RODRIGUEZ JAIME ADRIAN "/>
    <n v="74"/>
    <n v="0"/>
    <n v="3803031"/>
  </r>
  <r>
    <s v="Retail"/>
    <s v="Q148 Medellín - Carabobo Centro"/>
    <x v="4"/>
    <s v="septiembre"/>
    <n v="30"/>
    <d v="2026-09-30T00:00:00"/>
    <n v="1007390161"/>
    <s v="MARTINEZ MARTINEZ KEISY DANIELA"/>
    <n v="-1"/>
    <n v="0"/>
    <n v="-20966"/>
  </r>
  <r>
    <s v="Retail"/>
    <s v="Q148 Medellín - Carabobo Centro"/>
    <x v="4"/>
    <s v="septiembre"/>
    <n v="30"/>
    <d v="2026-09-30T00:00:00"/>
    <n v="1015402645"/>
    <s v="GUERRERO CHILLAMBO JEYSON ESTEVEN"/>
    <n v="12"/>
    <n v="0"/>
    <n v="491050"/>
  </r>
  <r>
    <s v="Retail"/>
    <s v="Q148 Medellín - Carabobo Centro"/>
    <x v="4"/>
    <s v="septiembre"/>
    <n v="30"/>
    <d v="2026-09-30T00:00:00"/>
    <n v="1017264739"/>
    <s v="OCHOA GALLEGO  MATEO"/>
    <n v="34"/>
    <n v="0"/>
    <n v="1968867"/>
  </r>
  <r>
    <s v="Retail"/>
    <s v="Q148 Medellín - Carabobo Centro"/>
    <x v="4"/>
    <s v="septiembre"/>
    <n v="30"/>
    <d v="2026-09-30T00:00:00"/>
    <n v="1026132356"/>
    <s v="CORDOBA VASCO JUAN SEBASTIAN"/>
    <n v="8"/>
    <n v="0"/>
    <n v="617311"/>
  </r>
  <r>
    <s v="Retail"/>
    <s v="Q148 Medellín - Carabobo Centro"/>
    <x v="4"/>
    <s v="septiembre"/>
    <n v="30"/>
    <d v="2026-09-30T00:00:00"/>
    <n v="1036131390"/>
    <s v="MONA MORALES YULIETH"/>
    <n v="2"/>
    <n v="0"/>
    <n v="146975"/>
  </r>
  <r>
    <s v="Retail"/>
    <s v="Q148 Medellín - Carabobo Centro"/>
    <x v="4"/>
    <s v="septiembre"/>
    <n v="30"/>
    <d v="2026-09-30T00:00:00"/>
    <n v="1039622506"/>
    <s v="FLOREZ ESCUDERO REINA MILEIDY"/>
    <n v="6"/>
    <n v="0"/>
    <n v="310673"/>
  </r>
  <r>
    <s v="Retail"/>
    <s v="Q148 Medellín - Carabobo Centro"/>
    <x v="4"/>
    <s v="septiembre"/>
    <n v="30"/>
    <d v="2026-09-30T00:00:00"/>
    <n v="1045490172"/>
    <s v="JULIO BUELVAS NESTOR  DAVID"/>
    <n v="7"/>
    <n v="0"/>
    <n v="256009"/>
  </r>
  <r>
    <s v="Retail"/>
    <s v="Q148 Medellín - Carabobo Centro"/>
    <x v="4"/>
    <s v="octubre"/>
    <n v="1"/>
    <d v="2026-10-01T00:00:00"/>
    <m/>
    <m/>
    <n v="0"/>
    <n v="11681026"/>
    <n v="0"/>
  </r>
  <r>
    <s v="Retail"/>
    <s v="Q148 Medellín - Carabobo Centro"/>
    <x v="4"/>
    <s v="octubre"/>
    <n v="1"/>
    <d v="2026-10-01T00:00:00"/>
    <n v="1002596138"/>
    <s v="GONZALEZ  GAVIRIA JUAN MANUEL "/>
    <n v="26"/>
    <n v="0"/>
    <n v="1452607"/>
  </r>
  <r>
    <s v="Retail"/>
    <s v="Q148 Medellín - Carabobo Centro"/>
    <x v="4"/>
    <s v="octubre"/>
    <n v="1"/>
    <d v="2026-10-01T00:00:00"/>
    <n v="1005327912"/>
    <s v="GARCIA  RODRIGUEZ JAIME ADRIAN "/>
    <n v="32"/>
    <n v="0"/>
    <n v="1553070"/>
  </r>
  <r>
    <s v="Retail"/>
    <s v="Q148 Medellín - Carabobo Centro"/>
    <x v="4"/>
    <s v="octubre"/>
    <n v="1"/>
    <d v="2026-10-01T00:00:00"/>
    <n v="1015402645"/>
    <s v="GUERRERO CHILLAMBO JEYSON ESTEVEN"/>
    <n v="31"/>
    <n v="0"/>
    <n v="1040252"/>
  </r>
  <r>
    <s v="Retail"/>
    <s v="Q148 Medellín - Carabobo Centro"/>
    <x v="4"/>
    <s v="octubre"/>
    <n v="1"/>
    <d v="2026-10-01T00:00:00"/>
    <n v="1017264739"/>
    <s v="OCHOA GALLEGO  MATEO"/>
    <n v="49"/>
    <n v="0"/>
    <n v="2506135"/>
  </r>
  <r>
    <s v="Retail"/>
    <s v="Q148 Medellín - Carabobo Centro"/>
    <x v="4"/>
    <s v="octubre"/>
    <n v="1"/>
    <d v="2026-10-01T00:00:00"/>
    <n v="1026132356"/>
    <s v="CORDOBA VASCO JUAN SEBASTIAN"/>
    <n v="19"/>
    <n v="0"/>
    <n v="759538"/>
  </r>
  <r>
    <s v="Retail"/>
    <s v="Q148 Medellín - Carabobo Centro"/>
    <x v="4"/>
    <s v="octubre"/>
    <n v="1"/>
    <d v="2026-10-01T00:00:00"/>
    <n v="1036131390"/>
    <s v="MONA MORALES YULIETH"/>
    <n v="11"/>
    <n v="0"/>
    <n v="470001"/>
  </r>
  <r>
    <s v="Retail"/>
    <s v="Q148 Medellín - Carabobo Centro"/>
    <x v="4"/>
    <s v="octubre"/>
    <n v="1"/>
    <d v="2026-10-01T00:00:00"/>
    <n v="1039622506"/>
    <s v="FLOREZ ESCUDERO REINA MILEIDY"/>
    <n v="16"/>
    <n v="0"/>
    <n v="692396"/>
  </r>
  <r>
    <s v="Retail"/>
    <s v="Q148 Medellín - Carabobo Centro"/>
    <x v="4"/>
    <s v="octubre"/>
    <n v="1"/>
    <d v="2026-10-01T00:00:00"/>
    <n v="1045490172"/>
    <s v="JULIO BUELVAS NESTOR  DAVID"/>
    <n v="7"/>
    <n v="0"/>
    <n v="335841"/>
  </r>
  <r>
    <s v="Retail"/>
    <s v="Q148 Medellín - Carabobo Centro"/>
    <x v="4"/>
    <s v="octubre"/>
    <n v="2"/>
    <d v="2026-10-02T00:00:00"/>
    <m/>
    <m/>
    <n v="0"/>
    <n v="16010602"/>
    <n v="0"/>
  </r>
  <r>
    <s v="Retail"/>
    <s v="Q148 Medellín - Carabobo Centro"/>
    <x v="4"/>
    <s v="octubre"/>
    <n v="2"/>
    <d v="2026-10-02T00:00:00"/>
    <n v="1002596138"/>
    <s v="GONZALEZ  GAVIRIA JUAN MANUEL "/>
    <n v="35"/>
    <n v="0"/>
    <n v="2212731"/>
  </r>
  <r>
    <s v="Retail"/>
    <s v="Q148 Medellín - Carabobo Centro"/>
    <x v="4"/>
    <s v="octubre"/>
    <n v="2"/>
    <d v="2026-10-02T00:00:00"/>
    <n v="1005327912"/>
    <s v="GARCIA  RODRIGUEZ JAIME ADRIAN "/>
    <n v="54"/>
    <n v="0"/>
    <n v="3098028"/>
  </r>
  <r>
    <s v="Retail"/>
    <s v="Q148 Medellín - Carabobo Centro"/>
    <x v="4"/>
    <s v="octubre"/>
    <n v="2"/>
    <d v="2026-10-02T00:00:00"/>
    <n v="1015402645"/>
    <s v="GUERRERO CHILLAMBO JEYSON ESTEVEN"/>
    <n v="37"/>
    <n v="0"/>
    <n v="2004628"/>
  </r>
  <r>
    <s v="Retail"/>
    <s v="Q148 Medellín - Carabobo Centro"/>
    <x v="4"/>
    <s v="octubre"/>
    <n v="2"/>
    <d v="2026-10-02T00:00:00"/>
    <n v="1017264739"/>
    <s v="OCHOA GALLEGO  MATEO"/>
    <n v="64"/>
    <n v="0"/>
    <n v="3242436"/>
  </r>
  <r>
    <s v="Retail"/>
    <s v="Q148 Medellín - Carabobo Centro"/>
    <x v="4"/>
    <s v="octubre"/>
    <n v="2"/>
    <d v="2026-10-02T00:00:00"/>
    <n v="1026132356"/>
    <s v="CORDOBA VASCO JUAN SEBASTIAN"/>
    <n v="22"/>
    <n v="0"/>
    <n v="1566321"/>
  </r>
  <r>
    <s v="Retail"/>
    <s v="Q148 Medellín - Carabobo Centro"/>
    <x v="4"/>
    <s v="octubre"/>
    <n v="2"/>
    <d v="2026-10-02T00:00:00"/>
    <n v="1036131390"/>
    <s v="MONA MORALES YULIETH"/>
    <n v="14"/>
    <n v="0"/>
    <n v="785042"/>
  </r>
  <r>
    <s v="Retail"/>
    <s v="Q148 Medellín - Carabobo Centro"/>
    <x v="4"/>
    <s v="octubre"/>
    <n v="2"/>
    <d v="2026-10-02T00:00:00"/>
    <n v="1039622506"/>
    <s v="FLOREZ ESCUDERO REINA MILEIDY"/>
    <n v="24"/>
    <n v="0"/>
    <n v="1423278"/>
  </r>
  <r>
    <s v="Retail"/>
    <s v="Q148 Medellín - Carabobo Centro"/>
    <x v="4"/>
    <s v="octubre"/>
    <n v="2"/>
    <d v="2026-10-02T00:00:00"/>
    <n v="1045490172"/>
    <s v="JULIO BUELVAS NESTOR  DAVID"/>
    <n v="8"/>
    <n v="0"/>
    <n v="663530"/>
  </r>
  <r>
    <s v="Retail"/>
    <s v="Q148 Medellín - Carabobo Centro"/>
    <x v="4"/>
    <s v="octubre"/>
    <n v="3"/>
    <d v="2026-10-03T00:00:00"/>
    <m/>
    <m/>
    <n v="0"/>
    <n v="20016654"/>
    <n v="0"/>
  </r>
  <r>
    <s v="Retail"/>
    <s v="Q148 Medellín - Carabobo Centro"/>
    <x v="4"/>
    <s v="octubre"/>
    <n v="3"/>
    <d v="2026-10-03T00:00:00"/>
    <n v="1002596138"/>
    <s v="GONZALEZ  GAVIRIA JUAN MANUEL "/>
    <n v="64"/>
    <n v="0"/>
    <n v="3386416"/>
  </r>
  <r>
    <s v="Retail"/>
    <s v="Q148 Medellín - Carabobo Centro"/>
    <x v="4"/>
    <s v="octubre"/>
    <n v="3"/>
    <d v="2026-10-03T00:00:00"/>
    <n v="1005327912"/>
    <s v="GARCIA  RODRIGUEZ JAIME ADRIAN "/>
    <n v="55"/>
    <n v="0"/>
    <n v="2837389"/>
  </r>
  <r>
    <s v="Retail"/>
    <s v="Q148 Medellín - Carabobo Centro"/>
    <x v="4"/>
    <s v="octubre"/>
    <n v="3"/>
    <d v="2026-10-03T00:00:00"/>
    <n v="1015066253"/>
    <s v="GOMEZ  DAYANA"/>
    <n v="-1"/>
    <n v="0"/>
    <n v="-58781"/>
  </r>
  <r>
    <s v="Retail"/>
    <s v="Q148 Medellín - Carabobo Centro"/>
    <x v="4"/>
    <s v="octubre"/>
    <n v="3"/>
    <d v="2026-10-03T00:00:00"/>
    <n v="1015402645"/>
    <s v="GUERRERO CHILLAMBO JEYSON ESTEVEN"/>
    <n v="78"/>
    <n v="0"/>
    <n v="3981720"/>
  </r>
  <r>
    <s v="Retail"/>
    <s v="Q148 Medellín - Carabobo Centro"/>
    <x v="4"/>
    <s v="octubre"/>
    <n v="3"/>
    <d v="2026-10-03T00:00:00"/>
    <n v="1017264739"/>
    <s v="OCHOA GALLEGO  MATEO"/>
    <n v="77"/>
    <n v="0"/>
    <n v="4127749"/>
  </r>
  <r>
    <s v="Retail"/>
    <s v="Q148 Medellín - Carabobo Centro"/>
    <x v="4"/>
    <s v="octubre"/>
    <n v="3"/>
    <d v="2026-10-03T00:00:00"/>
    <n v="1026132356"/>
    <s v="CORDOBA VASCO JUAN SEBASTIAN"/>
    <n v="27"/>
    <n v="0"/>
    <n v="1474548"/>
  </r>
  <r>
    <s v="Retail"/>
    <s v="Q148 Medellín - Carabobo Centro"/>
    <x v="4"/>
    <s v="octubre"/>
    <n v="3"/>
    <d v="2026-10-03T00:00:00"/>
    <n v="1036131390"/>
    <s v="MONA MORALES YULIETH"/>
    <n v="26"/>
    <n v="0"/>
    <n v="1410634"/>
  </r>
  <r>
    <s v="Retail"/>
    <s v="Q148 Medellín - Carabobo Centro"/>
    <x v="4"/>
    <s v="octubre"/>
    <n v="3"/>
    <d v="2026-10-03T00:00:00"/>
    <n v="1039622506"/>
    <s v="FLOREZ ESCUDERO REINA MILEIDY"/>
    <n v="36"/>
    <n v="0"/>
    <n v="2077572"/>
  </r>
  <r>
    <s v="Retail"/>
    <s v="Q148 Medellín - Carabobo Centro"/>
    <x v="4"/>
    <s v="octubre"/>
    <n v="3"/>
    <d v="2026-10-03T00:00:00"/>
    <n v="1045490172"/>
    <s v="JULIO BUELVAS NESTOR  DAVID"/>
    <n v="27"/>
    <n v="0"/>
    <n v="1669473"/>
  </r>
  <r>
    <s v="Retail"/>
    <s v="Q148 Medellín - Carabobo Centro"/>
    <x v="4"/>
    <s v="octubre"/>
    <n v="4"/>
    <d v="2026-10-04T00:00:00"/>
    <m/>
    <m/>
    <n v="0"/>
    <n v="9661433"/>
    <n v="0"/>
  </r>
  <r>
    <s v="Retail"/>
    <s v="Q148 Medellín - Carabobo Centro"/>
    <x v="4"/>
    <s v="octubre"/>
    <n v="4"/>
    <d v="2026-10-04T00:00:00"/>
    <n v="1002596138"/>
    <s v="GONZALEZ  GAVIRIA JUAN MANUEL "/>
    <n v="2"/>
    <n v="0"/>
    <n v="67059"/>
  </r>
  <r>
    <s v="Retail"/>
    <s v="Q148 Medellín - Carabobo Centro"/>
    <x v="4"/>
    <s v="octubre"/>
    <n v="4"/>
    <d v="2026-10-04T00:00:00"/>
    <n v="1015402645"/>
    <s v="GUERRERO CHILLAMBO JEYSON ESTEVEN"/>
    <n v="19"/>
    <n v="0"/>
    <n v="1162984"/>
  </r>
  <r>
    <s v="Retail"/>
    <s v="Q148 Medellín - Carabobo Centro"/>
    <x v="4"/>
    <s v="octubre"/>
    <n v="4"/>
    <d v="2026-10-04T00:00:00"/>
    <n v="1026132356"/>
    <s v="CORDOBA VASCO JUAN SEBASTIAN"/>
    <n v="14"/>
    <n v="0"/>
    <n v="810296"/>
  </r>
  <r>
    <s v="Retail"/>
    <s v="Q148 Medellín - Carabobo Centro"/>
    <x v="4"/>
    <s v="octubre"/>
    <n v="4"/>
    <d v="2026-10-04T00:00:00"/>
    <n v="1036131390"/>
    <s v="MONA MORALES YULIETH"/>
    <n v="12"/>
    <n v="0"/>
    <n v="722057"/>
  </r>
  <r>
    <s v="Retail"/>
    <s v="Q148 Medellín - Carabobo Centro"/>
    <x v="4"/>
    <s v="octubre"/>
    <n v="4"/>
    <d v="2026-10-04T00:00:00"/>
    <n v="1039622506"/>
    <s v="FLOREZ ESCUDERO REINA MILEIDY"/>
    <n v="10"/>
    <n v="0"/>
    <n v="768489"/>
  </r>
  <r>
    <s v="Retail"/>
    <s v="Q148 Medellín - Carabobo Centro"/>
    <x v="4"/>
    <s v="octubre"/>
    <n v="4"/>
    <d v="2026-10-04T00:00:00"/>
    <n v="1045490172"/>
    <s v="JULIO BUELVAS NESTOR  DAVID"/>
    <n v="16"/>
    <n v="0"/>
    <n v="998909"/>
  </r>
  <r>
    <s v="Retail"/>
    <s v="Q148 Medellín - Carabobo Centro"/>
    <x v="4"/>
    <s v="octubre"/>
    <n v="5"/>
    <d v="2026-10-05T00:00:00"/>
    <m/>
    <m/>
    <n v="0"/>
    <n v="14881020"/>
    <n v="0"/>
  </r>
  <r>
    <s v="Retail"/>
    <s v="Q148 Medellín - Carabobo Centro"/>
    <x v="4"/>
    <s v="octubre"/>
    <n v="5"/>
    <d v="2026-10-05T00:00:00"/>
    <n v="1002596138"/>
    <s v="GONZALEZ  GAVIRIA JUAN MANUEL "/>
    <n v="52"/>
    <n v="0"/>
    <n v="3232818"/>
  </r>
  <r>
    <s v="Retail"/>
    <s v="Q148 Medellín - Carabobo Centro"/>
    <x v="4"/>
    <s v="octubre"/>
    <n v="5"/>
    <d v="2026-10-05T00:00:00"/>
    <n v="1005327912"/>
    <s v="GARCIA  RODRIGUEZ JAIME ADRIAN "/>
    <n v="42"/>
    <n v="0"/>
    <n v="1972607"/>
  </r>
  <r>
    <s v="Retail"/>
    <s v="Q148 Medellín - Carabobo Centro"/>
    <x v="4"/>
    <s v="octubre"/>
    <n v="5"/>
    <d v="2026-10-05T00:00:00"/>
    <n v="1007390161"/>
    <s v="MARTINEZ MARTINEZ KEISY DANIELA"/>
    <n v="-1"/>
    <n v="0"/>
    <n v="-33529"/>
  </r>
  <r>
    <s v="Retail"/>
    <s v="Q148 Medellín - Carabobo Centro"/>
    <x v="4"/>
    <s v="octubre"/>
    <n v="5"/>
    <d v="2026-10-05T00:00:00"/>
    <n v="1017264739"/>
    <s v="OCHOA GALLEGO  MATEO"/>
    <n v="1"/>
    <n v="0"/>
    <n v="105000"/>
  </r>
  <r>
    <s v="Retail"/>
    <s v="Q148 Medellín - Carabobo Centro"/>
    <x v="4"/>
    <s v="octubre"/>
    <n v="5"/>
    <d v="2026-10-05T00:00:00"/>
    <n v="1026132356"/>
    <s v="CORDOBA VASCO JUAN SEBASTIAN"/>
    <n v="5"/>
    <n v="0"/>
    <n v="209833"/>
  </r>
  <r>
    <s v="Retail"/>
    <s v="Q148 Medellín - Carabobo Centro"/>
    <x v="4"/>
    <s v="octubre"/>
    <n v="5"/>
    <d v="2026-10-05T00:00:00"/>
    <n v="1036131390"/>
    <s v="MONA MORALES YULIETH"/>
    <n v="10"/>
    <n v="0"/>
    <n v="633909"/>
  </r>
  <r>
    <s v="Retail"/>
    <s v="Q148 Medellín - Carabobo Centro"/>
    <x v="4"/>
    <s v="octubre"/>
    <n v="5"/>
    <d v="2026-10-05T00:00:00"/>
    <n v="1039622506"/>
    <s v="FLOREZ ESCUDERO REINA MILEIDY"/>
    <n v="15"/>
    <n v="0"/>
    <n v="873278"/>
  </r>
  <r>
    <s v="Retail"/>
    <s v="Q148 Medellín - Carabobo Centro"/>
    <x v="4"/>
    <s v="octubre"/>
    <n v="5"/>
    <d v="2026-10-05T00:00:00"/>
    <n v="1045490172"/>
    <s v="JULIO BUELVAS NESTOR  DAVID"/>
    <n v="12"/>
    <n v="0"/>
    <n v="696934"/>
  </r>
  <r>
    <s v="Retail"/>
    <s v="Q148 Medellín - Carabobo Centro"/>
    <x v="4"/>
    <s v="octubre"/>
    <n v="6"/>
    <d v="2026-10-06T00:00:00"/>
    <m/>
    <m/>
    <n v="0"/>
    <n v="9539514"/>
    <n v="0"/>
  </r>
  <r>
    <s v="Retail"/>
    <s v="Q148 Medellín - Carabobo Centro"/>
    <x v="4"/>
    <s v="octubre"/>
    <n v="6"/>
    <d v="2026-10-06T00:00:00"/>
    <n v="1002596138"/>
    <s v="GONZALEZ  GAVIRIA JUAN MANUEL "/>
    <n v="40"/>
    <n v="0"/>
    <n v="1639522"/>
  </r>
  <r>
    <s v="Retail"/>
    <s v="Q148 Medellín - Carabobo Centro"/>
    <x v="4"/>
    <s v="octubre"/>
    <n v="6"/>
    <d v="2026-10-06T00:00:00"/>
    <n v="1005327912"/>
    <s v="GARCIA  RODRIGUEZ JAIME ADRIAN "/>
    <n v="0"/>
    <n v="0"/>
    <n v="-84034"/>
  </r>
  <r>
    <s v="Retail"/>
    <s v="Q148 Medellín - Carabobo Centro"/>
    <x v="4"/>
    <s v="octubre"/>
    <n v="6"/>
    <d v="2026-10-06T00:00:00"/>
    <n v="1015402645"/>
    <s v="GUERRERO CHILLAMBO JEYSON ESTEVEN"/>
    <n v="26"/>
    <n v="0"/>
    <n v="1664747"/>
  </r>
  <r>
    <s v="Retail"/>
    <s v="Q148 Medellín - Carabobo Centro"/>
    <x v="4"/>
    <s v="octubre"/>
    <n v="6"/>
    <d v="2026-10-06T00:00:00"/>
    <n v="1017264739"/>
    <s v="OCHOA GALLEGO  MATEO"/>
    <n v="57"/>
    <n v="0"/>
    <n v="2543109"/>
  </r>
  <r>
    <s v="Retail"/>
    <s v="Q148 Medellín - Carabobo Centro"/>
    <x v="4"/>
    <s v="octubre"/>
    <n v="6"/>
    <d v="2026-10-06T00:00:00"/>
    <n v="1026132356"/>
    <s v="CORDOBA VASCO JUAN SEBASTIAN"/>
    <n v="10"/>
    <n v="0"/>
    <n v="491136"/>
  </r>
  <r>
    <s v="Retail"/>
    <s v="Q148 Medellín - Carabobo Centro"/>
    <x v="4"/>
    <s v="octubre"/>
    <n v="6"/>
    <d v="2026-10-06T00:00:00"/>
    <n v="1036131390"/>
    <s v="MONA MORALES YULIETH"/>
    <n v="6"/>
    <n v="0"/>
    <n v="260211"/>
  </r>
  <r>
    <s v="Retail"/>
    <s v="Q148 Medellín - Carabobo Centro"/>
    <x v="4"/>
    <s v="octubre"/>
    <n v="6"/>
    <d v="2026-10-06T00:00:00"/>
    <n v="1039622506"/>
    <s v="FLOREZ ESCUDERO REINA MILEIDY"/>
    <n v="22"/>
    <n v="0"/>
    <n v="1167100"/>
  </r>
  <r>
    <s v="Retail"/>
    <s v="Q148 Medellín - Carabobo Centro"/>
    <x v="4"/>
    <s v="octubre"/>
    <n v="6"/>
    <d v="2026-10-06T00:00:00"/>
    <n v="1045490172"/>
    <s v="JULIO BUELVAS NESTOR  DAVID"/>
    <n v="5"/>
    <n v="0"/>
    <n v="394707"/>
  </r>
  <r>
    <s v="Retail"/>
    <s v="Q148 Medellín - Carabobo Centro"/>
    <x v="4"/>
    <s v="octubre"/>
    <n v="7"/>
    <d v="2026-10-07T00:00:00"/>
    <m/>
    <m/>
    <n v="0"/>
    <n v="9439337"/>
    <n v="0"/>
  </r>
  <r>
    <s v="Retail"/>
    <s v="Q148 Medellín - Carabobo Centro"/>
    <x v="4"/>
    <s v="octubre"/>
    <n v="7"/>
    <d v="2026-10-07T00:00:00"/>
    <n v="1005327912"/>
    <s v="GARCIA  RODRIGUEZ JAIME ADRIAN "/>
    <n v="21"/>
    <n v="0"/>
    <n v="1288868"/>
  </r>
  <r>
    <s v="Retail"/>
    <s v="Q148 Medellín - Carabobo Centro"/>
    <x v="4"/>
    <s v="octubre"/>
    <n v="7"/>
    <d v="2026-10-07T00:00:00"/>
    <n v="1015402645"/>
    <s v="GUERRERO CHILLAMBO JEYSON ESTEVEN"/>
    <n v="1"/>
    <n v="0"/>
    <n v="8320"/>
  </r>
  <r>
    <s v="Retail"/>
    <s v="Q148 Medellín - Carabobo Centro"/>
    <x v="4"/>
    <s v="octubre"/>
    <n v="7"/>
    <d v="2026-10-07T00:00:00"/>
    <n v="1017264739"/>
    <s v="OCHOA GALLEGO  MATEO"/>
    <n v="37"/>
    <n v="0"/>
    <n v="2161684"/>
  </r>
  <r>
    <s v="Retail"/>
    <s v="Q148 Medellín - Carabobo Centro"/>
    <x v="4"/>
    <s v="octubre"/>
    <n v="7"/>
    <d v="2026-10-07T00:00:00"/>
    <n v="1026132356"/>
    <s v="CORDOBA VASCO JUAN SEBASTIAN"/>
    <n v="8"/>
    <n v="0"/>
    <n v="545799"/>
  </r>
  <r>
    <s v="Retail"/>
    <s v="Q148 Medellín - Carabobo Centro"/>
    <x v="4"/>
    <s v="octubre"/>
    <n v="7"/>
    <d v="2026-10-07T00:00:00"/>
    <n v="1036131390"/>
    <s v="MONA MORALES YULIETH"/>
    <n v="6"/>
    <n v="0"/>
    <n v="365295"/>
  </r>
  <r>
    <s v="Retail"/>
    <s v="Q148 Medellín - Carabobo Centro"/>
    <x v="4"/>
    <s v="octubre"/>
    <n v="7"/>
    <d v="2026-10-07T00:00:00"/>
    <n v="1039622506"/>
    <s v="FLOREZ ESCUDERO REINA MILEIDY"/>
    <n v="9"/>
    <n v="0"/>
    <n v="596223"/>
  </r>
  <r>
    <s v="Retail"/>
    <s v="Q148 Medellín - Carabobo Centro"/>
    <x v="4"/>
    <s v="octubre"/>
    <n v="7"/>
    <d v="2026-10-07T00:00:00"/>
    <n v="1045490172"/>
    <s v="JULIO BUELVAS NESTOR  DAVID"/>
    <n v="1"/>
    <n v="0"/>
    <n v="105000"/>
  </r>
  <r>
    <s v="Retail"/>
    <s v="Q149 Medellín - Centro"/>
    <x v="4"/>
    <s v="septiembre"/>
    <n v="23"/>
    <d v="2026-09-23T00:00:00"/>
    <m/>
    <m/>
    <n v="0"/>
    <n v="4146664"/>
    <n v="0"/>
  </r>
  <r>
    <s v="Retail"/>
    <s v="Q149 Medellín - Centro"/>
    <x v="4"/>
    <s v="septiembre"/>
    <n v="23"/>
    <d v="2026-09-23T00:00:00"/>
    <n v="1015066253"/>
    <s v="GOMEZ  DAYANA"/>
    <n v="30"/>
    <n v="0"/>
    <n v="1469372"/>
  </r>
  <r>
    <s v="Retail"/>
    <s v="Q149 Medellín - Centro"/>
    <x v="4"/>
    <s v="septiembre"/>
    <n v="23"/>
    <d v="2026-09-23T00:00:00"/>
    <n v="1040745636"/>
    <s v="ARCILA  DUQUE MATEO ALEJANDRO "/>
    <n v="32"/>
    <n v="0"/>
    <n v="1633068"/>
  </r>
  <r>
    <s v="Retail"/>
    <s v="Q149 Medellín - Centro"/>
    <x v="4"/>
    <s v="septiembre"/>
    <n v="23"/>
    <d v="2026-09-23T00:00:00"/>
    <n v="1110283879"/>
    <s v="RODRIGUEZ CAICEDO MARIA  JOSE"/>
    <n v="18"/>
    <n v="0"/>
    <n v="1032816"/>
  </r>
  <r>
    <s v="Retail"/>
    <s v="Q149 Medellín - Centro"/>
    <x v="4"/>
    <s v="septiembre"/>
    <n v="24"/>
    <d v="2026-09-24T00:00:00"/>
    <m/>
    <m/>
    <n v="0"/>
    <n v="6334497"/>
    <n v="0"/>
  </r>
  <r>
    <s v="Retail"/>
    <s v="Q149 Medellín - Centro"/>
    <x v="4"/>
    <s v="septiembre"/>
    <n v="24"/>
    <d v="2026-09-24T00:00:00"/>
    <n v="1015066253"/>
    <s v="GOMEZ  DAYANA"/>
    <n v="39"/>
    <n v="0"/>
    <n v="2471009"/>
  </r>
  <r>
    <s v="Retail"/>
    <s v="Q149 Medellín - Centro"/>
    <x v="4"/>
    <s v="septiembre"/>
    <n v="24"/>
    <d v="2026-09-24T00:00:00"/>
    <n v="1040745636"/>
    <s v="ARCILA  DUQUE MATEO ALEJANDRO "/>
    <n v="28"/>
    <n v="0"/>
    <n v="1647943"/>
  </r>
  <r>
    <s v="Retail"/>
    <s v="Q149 Medellín - Centro"/>
    <x v="4"/>
    <s v="septiembre"/>
    <n v="24"/>
    <d v="2026-09-24T00:00:00"/>
    <n v="1110283879"/>
    <s v="RODRIGUEZ CAICEDO MARIA  JOSE"/>
    <n v="21"/>
    <n v="0"/>
    <n v="1246977"/>
  </r>
  <r>
    <s v="Retail"/>
    <s v="Q149 Medellín - Centro"/>
    <x v="4"/>
    <s v="septiembre"/>
    <n v="25"/>
    <d v="2026-09-25T00:00:00"/>
    <m/>
    <m/>
    <n v="0"/>
    <n v="6320473"/>
    <n v="0"/>
  </r>
  <r>
    <s v="Retail"/>
    <s v="Q149 Medellín - Centro"/>
    <x v="4"/>
    <s v="septiembre"/>
    <n v="25"/>
    <d v="2026-09-25T00:00:00"/>
    <n v="1015066253"/>
    <s v="GOMEZ  DAYANA"/>
    <n v="56"/>
    <n v="0"/>
    <n v="3192624"/>
  </r>
  <r>
    <s v="Retail"/>
    <s v="Q149 Medellín - Centro"/>
    <x v="4"/>
    <s v="septiembre"/>
    <n v="25"/>
    <d v="2026-09-25T00:00:00"/>
    <n v="1040745636"/>
    <s v="ARCILA  DUQUE MATEO ALEJANDRO "/>
    <n v="53"/>
    <n v="0"/>
    <n v="2901095"/>
  </r>
  <r>
    <s v="Retail"/>
    <s v="Q149 Medellín - Centro"/>
    <x v="4"/>
    <s v="septiembre"/>
    <n v="25"/>
    <d v="2026-09-25T00:00:00"/>
    <n v="1110283879"/>
    <s v="RODRIGUEZ CAICEDO MARIA  JOSE"/>
    <n v="35"/>
    <n v="0"/>
    <n v="1819960"/>
  </r>
  <r>
    <s v="Retail"/>
    <s v="Q149 Medellín - Centro"/>
    <x v="4"/>
    <s v="septiembre"/>
    <n v="26"/>
    <d v="2026-09-26T00:00:00"/>
    <m/>
    <m/>
    <n v="0"/>
    <n v="9083427"/>
    <n v="0"/>
  </r>
  <r>
    <s v="Retail"/>
    <s v="Q149 Medellín - Centro"/>
    <x v="4"/>
    <s v="septiembre"/>
    <n v="26"/>
    <d v="2026-09-26T00:00:00"/>
    <n v="1002596138"/>
    <s v="GONZALEZ  GAVIRIA JUAN MANUEL "/>
    <n v="-1"/>
    <n v="0"/>
    <n v="-79790"/>
  </r>
  <r>
    <s v="Retail"/>
    <s v="Q149 Medellín - Centro"/>
    <x v="4"/>
    <s v="septiembre"/>
    <n v="26"/>
    <d v="2026-09-26T00:00:00"/>
    <n v="1015066253"/>
    <s v="GOMEZ  DAYANA"/>
    <n v="57"/>
    <n v="0"/>
    <n v="3224328"/>
  </r>
  <r>
    <s v="Retail"/>
    <s v="Q149 Medellín - Centro"/>
    <x v="4"/>
    <s v="septiembre"/>
    <n v="26"/>
    <d v="2026-09-26T00:00:00"/>
    <n v="1018234287"/>
    <s v="ESPINOSA  PATIÑO MIGUEL ANGEL "/>
    <n v="1"/>
    <n v="0"/>
    <n v="41975"/>
  </r>
  <r>
    <s v="Retail"/>
    <s v="Q149 Medellín - Centro"/>
    <x v="4"/>
    <s v="septiembre"/>
    <n v="26"/>
    <d v="2026-09-26T00:00:00"/>
    <n v="1032010621"/>
    <s v="GONZALEZ ECHAVARRIA LIZETH MARIANA"/>
    <n v="20"/>
    <n v="0"/>
    <n v="1499162"/>
  </r>
  <r>
    <s v="Retail"/>
    <s v="Q149 Medellín - Centro"/>
    <x v="4"/>
    <s v="septiembre"/>
    <n v="26"/>
    <d v="2026-09-26T00:00:00"/>
    <n v="1040745636"/>
    <s v="ARCILA  DUQUE MATEO ALEJANDRO "/>
    <n v="57"/>
    <n v="0"/>
    <n v="3073110"/>
  </r>
  <r>
    <s v="Retail"/>
    <s v="Q149 Medellín - Centro"/>
    <x v="4"/>
    <s v="septiembre"/>
    <n v="26"/>
    <d v="2026-09-26T00:00:00"/>
    <n v="1110283879"/>
    <s v="RODRIGUEZ CAICEDO MARIA  JOSE"/>
    <n v="26"/>
    <n v="0"/>
    <n v="1540883"/>
  </r>
  <r>
    <s v="Retail"/>
    <s v="Q149 Medellín - Centro"/>
    <x v="4"/>
    <s v="septiembre"/>
    <n v="27"/>
    <d v="2026-09-27T00:00:00"/>
    <m/>
    <m/>
    <n v="0"/>
    <n v="7195903"/>
    <n v="0"/>
  </r>
  <r>
    <s v="Retail"/>
    <s v="Q149 Medellín - Centro"/>
    <x v="4"/>
    <s v="septiembre"/>
    <n v="27"/>
    <d v="2026-09-27T00:00:00"/>
    <n v="1015066253"/>
    <s v="GOMEZ  DAYANA"/>
    <n v="9"/>
    <n v="0"/>
    <n v="428193"/>
  </r>
  <r>
    <s v="Retail"/>
    <s v="Q149 Medellín - Centro"/>
    <x v="4"/>
    <s v="septiembre"/>
    <n v="27"/>
    <d v="2026-09-27T00:00:00"/>
    <n v="1032010621"/>
    <s v="GONZALEZ ECHAVARRIA LIZETH MARIANA"/>
    <n v="1"/>
    <n v="0"/>
    <n v="96597"/>
  </r>
  <r>
    <s v="Retail"/>
    <s v="Q149 Medellín - Centro"/>
    <x v="4"/>
    <s v="septiembre"/>
    <n v="27"/>
    <d v="2026-09-27T00:00:00"/>
    <n v="1040745636"/>
    <s v="ARCILA  DUQUE MATEO ALEJANDRO "/>
    <n v="9"/>
    <n v="0"/>
    <n v="524705"/>
  </r>
  <r>
    <s v="Retail"/>
    <s v="Q149 Medellín - Centro"/>
    <x v="4"/>
    <s v="septiembre"/>
    <n v="27"/>
    <d v="2026-09-27T00:00:00"/>
    <n v="1110283879"/>
    <s v="RODRIGUEZ CAICEDO MARIA  JOSE"/>
    <n v="8"/>
    <n v="0"/>
    <n v="344202"/>
  </r>
  <r>
    <s v="Retail"/>
    <s v="Q149 Medellín - Centro"/>
    <x v="4"/>
    <s v="septiembre"/>
    <n v="28"/>
    <d v="2026-09-28T00:00:00"/>
    <m/>
    <m/>
    <n v="0"/>
    <n v="4051613"/>
    <n v="0"/>
  </r>
  <r>
    <s v="Retail"/>
    <s v="Q149 Medellín - Centro"/>
    <x v="4"/>
    <s v="septiembre"/>
    <n v="28"/>
    <d v="2026-09-28T00:00:00"/>
    <n v="1015066253"/>
    <s v="GOMEZ  DAYANA"/>
    <n v="38"/>
    <n v="0"/>
    <n v="2017103"/>
  </r>
  <r>
    <s v="Retail"/>
    <s v="Q149 Medellín - Centro"/>
    <x v="4"/>
    <s v="septiembre"/>
    <n v="28"/>
    <d v="2026-09-28T00:00:00"/>
    <n v="1032010621"/>
    <s v="GONZALEZ ECHAVARRIA LIZETH MARIANA"/>
    <n v="11"/>
    <n v="0"/>
    <n v="570882"/>
  </r>
  <r>
    <s v="Retail"/>
    <s v="Q149 Medellín - Centro"/>
    <x v="4"/>
    <s v="septiembre"/>
    <n v="28"/>
    <d v="2026-09-28T00:00:00"/>
    <n v="1040745636"/>
    <s v="ARCILA  DUQUE MATEO ALEJANDRO "/>
    <n v="27"/>
    <n v="0"/>
    <n v="1416808"/>
  </r>
  <r>
    <s v="Retail"/>
    <s v="Q149 Medellín - Centro"/>
    <x v="4"/>
    <s v="septiembre"/>
    <n v="28"/>
    <d v="2026-09-28T00:00:00"/>
    <n v="1110283879"/>
    <s v="RODRIGUEZ CAICEDO MARIA  JOSE"/>
    <n v="18"/>
    <n v="0"/>
    <n v="995044"/>
  </r>
  <r>
    <s v="Retail"/>
    <s v="Q149 Medellín - Centro"/>
    <x v="4"/>
    <s v="septiembre"/>
    <n v="29"/>
    <d v="2026-09-29T00:00:00"/>
    <m/>
    <m/>
    <n v="0"/>
    <n v="4139123"/>
    <n v="0"/>
  </r>
  <r>
    <s v="Retail"/>
    <s v="Q149 Medellín - Centro"/>
    <x v="4"/>
    <s v="septiembre"/>
    <n v="29"/>
    <d v="2026-09-29T00:00:00"/>
    <n v="1000439511"/>
    <s v="CORREA OSORIO  DURLEY ANDREA"/>
    <n v="-1"/>
    <n v="0"/>
    <n v="-16723"/>
  </r>
  <r>
    <s v="Retail"/>
    <s v="Q149 Medellín - Centro"/>
    <x v="4"/>
    <s v="septiembre"/>
    <n v="29"/>
    <d v="2026-09-29T00:00:00"/>
    <n v="1015066253"/>
    <s v="GOMEZ  DAYANA"/>
    <n v="40"/>
    <n v="0"/>
    <n v="2393235"/>
  </r>
  <r>
    <s v="Retail"/>
    <s v="Q149 Medellín - Centro"/>
    <x v="4"/>
    <s v="septiembre"/>
    <n v="29"/>
    <d v="2026-09-29T00:00:00"/>
    <n v="1032010621"/>
    <s v="GONZALEZ ECHAVARRIA LIZETH MARIANA"/>
    <n v="14"/>
    <n v="0"/>
    <n v="806134"/>
  </r>
  <r>
    <s v="Retail"/>
    <s v="Q149 Medellín - Centro"/>
    <x v="4"/>
    <s v="septiembre"/>
    <n v="29"/>
    <d v="2026-09-29T00:00:00"/>
    <n v="1040745636"/>
    <s v="ARCILA  DUQUE MATEO ALEJANDRO "/>
    <n v="44"/>
    <n v="0"/>
    <n v="2277563"/>
  </r>
  <r>
    <s v="Retail"/>
    <s v="Q149 Medellín - Centro"/>
    <x v="4"/>
    <s v="septiembre"/>
    <n v="29"/>
    <d v="2026-09-29T00:00:00"/>
    <n v="1110283879"/>
    <s v="RODRIGUEZ CAICEDO MARIA  JOSE"/>
    <n v="9"/>
    <n v="0"/>
    <n v="596134"/>
  </r>
  <r>
    <s v="Retail"/>
    <s v="Q149 Medellín - Centro"/>
    <x v="4"/>
    <s v="septiembre"/>
    <n v="30"/>
    <d v="2026-09-30T00:00:00"/>
    <m/>
    <m/>
    <n v="0"/>
    <n v="4370087"/>
    <n v="0"/>
  </r>
  <r>
    <s v="Retail"/>
    <s v="Q149 Medellín - Centro"/>
    <x v="4"/>
    <s v="septiembre"/>
    <n v="30"/>
    <d v="2026-09-30T00:00:00"/>
    <n v="1000660108"/>
    <s v="VANEGAS URIBE HILARY"/>
    <n v="-1"/>
    <n v="0"/>
    <n v="-33529"/>
  </r>
  <r>
    <s v="Retail"/>
    <s v="Q149 Medellín - Centro"/>
    <x v="4"/>
    <s v="septiembre"/>
    <n v="30"/>
    <d v="2026-09-30T00:00:00"/>
    <n v="1015066253"/>
    <s v="GOMEZ  DAYANA"/>
    <n v="21"/>
    <n v="0"/>
    <n v="1204957"/>
  </r>
  <r>
    <s v="Retail"/>
    <s v="Q149 Medellín - Centro"/>
    <x v="4"/>
    <s v="septiembre"/>
    <n v="30"/>
    <d v="2026-09-30T00:00:00"/>
    <n v="1032010621"/>
    <s v="GONZALEZ ECHAVARRIA LIZETH MARIANA"/>
    <n v="14"/>
    <n v="0"/>
    <n v="932184"/>
  </r>
  <r>
    <s v="Retail"/>
    <s v="Q149 Medellín - Centro"/>
    <x v="4"/>
    <s v="septiembre"/>
    <n v="30"/>
    <d v="2026-09-30T00:00:00"/>
    <n v="1040745636"/>
    <s v="ARCILA  DUQUE MATEO ALEJANDRO "/>
    <n v="25"/>
    <n v="0"/>
    <n v="1400000"/>
  </r>
  <r>
    <s v="Retail"/>
    <s v="Q149 Medellín - Centro"/>
    <x v="4"/>
    <s v="septiembre"/>
    <n v="30"/>
    <d v="2026-09-30T00:00:00"/>
    <n v="1110283879"/>
    <s v="RODRIGUEZ CAICEDO MARIA  JOSE"/>
    <n v="23"/>
    <n v="0"/>
    <n v="1131347"/>
  </r>
  <r>
    <s v="Retail"/>
    <s v="Q149 Medellín - Centro"/>
    <x v="4"/>
    <s v="octubre"/>
    <n v="1"/>
    <d v="2026-10-01T00:00:00"/>
    <m/>
    <m/>
    <n v="0"/>
    <n v="5595566"/>
    <n v="0"/>
  </r>
  <r>
    <s v="Retail"/>
    <s v="Q149 Medellín - Centro"/>
    <x v="4"/>
    <s v="octubre"/>
    <n v="1"/>
    <d v="2026-10-01T00:00:00"/>
    <n v="1015066253"/>
    <s v="GOMEZ  DAYANA"/>
    <n v="46"/>
    <n v="0"/>
    <n v="3142860"/>
  </r>
  <r>
    <s v="Retail"/>
    <s v="Q149 Medellín - Centro"/>
    <x v="4"/>
    <s v="octubre"/>
    <n v="1"/>
    <d v="2026-10-01T00:00:00"/>
    <n v="1032010621"/>
    <s v="GONZALEZ ECHAVARRIA LIZETH MARIANA"/>
    <n v="14"/>
    <n v="0"/>
    <n v="633868"/>
  </r>
  <r>
    <s v="Retail"/>
    <s v="Q149 Medellín - Centro"/>
    <x v="4"/>
    <s v="octubre"/>
    <n v="1"/>
    <d v="2026-10-01T00:00:00"/>
    <n v="1040745636"/>
    <s v="ARCILA  DUQUE MATEO ALEJANDRO "/>
    <n v="38"/>
    <n v="0"/>
    <n v="2153613"/>
  </r>
  <r>
    <s v="Retail"/>
    <s v="Q149 Medellín - Centro"/>
    <x v="4"/>
    <s v="octubre"/>
    <n v="1"/>
    <d v="2026-10-01T00:00:00"/>
    <n v="1110283879"/>
    <s v="RODRIGUEZ CAICEDO MARIA  JOSE"/>
    <n v="13"/>
    <n v="0"/>
    <n v="919581"/>
  </r>
  <r>
    <s v="Retail"/>
    <s v="Q149 Medellín - Centro"/>
    <x v="4"/>
    <s v="octubre"/>
    <n v="2"/>
    <d v="2026-10-02T00:00:00"/>
    <m/>
    <m/>
    <n v="0"/>
    <n v="5254018"/>
    <n v="0"/>
  </r>
  <r>
    <s v="Retail"/>
    <s v="Q149 Medellín - Centro"/>
    <x v="4"/>
    <s v="octubre"/>
    <n v="2"/>
    <d v="2026-10-02T00:00:00"/>
    <n v="1000439511"/>
    <s v="CORREA OSORIO  DURLEY ANDREA"/>
    <n v="1"/>
    <n v="0"/>
    <n v="20966"/>
  </r>
  <r>
    <s v="Retail"/>
    <s v="Q149 Medellín - Centro"/>
    <x v="4"/>
    <s v="octubre"/>
    <n v="2"/>
    <d v="2026-10-02T00:00:00"/>
    <n v="1015066253"/>
    <s v="GOMEZ  DAYANA"/>
    <n v="40"/>
    <n v="0"/>
    <n v="2775545"/>
  </r>
  <r>
    <s v="Retail"/>
    <s v="Q149 Medellín - Centro"/>
    <x v="4"/>
    <s v="octubre"/>
    <n v="2"/>
    <d v="2026-10-02T00:00:00"/>
    <n v="1032010621"/>
    <s v="GONZALEZ ECHAVARRIA LIZETH MARIANA"/>
    <n v="14"/>
    <n v="0"/>
    <n v="768237"/>
  </r>
  <r>
    <s v="Retail"/>
    <s v="Q149 Medellín - Centro"/>
    <x v="4"/>
    <s v="octubre"/>
    <n v="2"/>
    <d v="2026-10-02T00:00:00"/>
    <n v="1040745636"/>
    <s v="ARCILA  DUQUE MATEO ALEJANDRO "/>
    <n v="39"/>
    <n v="0"/>
    <n v="2220925"/>
  </r>
  <r>
    <s v="Retail"/>
    <s v="Q149 Medellín - Centro"/>
    <x v="4"/>
    <s v="octubre"/>
    <n v="3"/>
    <d v="2026-10-03T00:00:00"/>
    <m/>
    <m/>
    <n v="0"/>
    <n v="7228680"/>
    <n v="0"/>
  </r>
  <r>
    <s v="Retail"/>
    <s v="Q149 Medellín - Centro"/>
    <x v="4"/>
    <s v="octubre"/>
    <n v="3"/>
    <d v="2026-10-03T00:00:00"/>
    <n v="1007418189"/>
    <s v="GARCÍA MONTOYA LUIS ALFREDO "/>
    <n v="-1"/>
    <n v="0"/>
    <n v="-62983"/>
  </r>
  <r>
    <s v="Retail"/>
    <s v="Q149 Medellín - Centro"/>
    <x v="4"/>
    <s v="octubre"/>
    <n v="3"/>
    <d v="2026-10-03T00:00:00"/>
    <n v="1015066253"/>
    <s v="GOMEZ  DAYANA"/>
    <n v="61"/>
    <n v="0"/>
    <n v="3602954"/>
  </r>
  <r>
    <s v="Retail"/>
    <s v="Q149 Medellín - Centro"/>
    <x v="4"/>
    <s v="octubre"/>
    <n v="3"/>
    <d v="2026-10-03T00:00:00"/>
    <n v="1032010621"/>
    <s v="GONZALEZ ECHAVARRIA LIZETH MARIANA"/>
    <n v="34"/>
    <n v="0"/>
    <n v="2336380"/>
  </r>
  <r>
    <s v="Retail"/>
    <s v="Q149 Medellín - Centro"/>
    <x v="4"/>
    <s v="octubre"/>
    <n v="3"/>
    <d v="2026-10-03T00:00:00"/>
    <n v="1040745636"/>
    <s v="ARCILA  DUQUE MATEO ALEJANDRO "/>
    <n v="64"/>
    <n v="0"/>
    <n v="3168828"/>
  </r>
  <r>
    <s v="Retail"/>
    <s v="Q149 Medellín - Centro"/>
    <x v="4"/>
    <s v="octubre"/>
    <n v="3"/>
    <d v="2026-10-03T00:00:00"/>
    <n v="1110283879"/>
    <s v="RODRIGUEZ CAICEDO MARIA  JOSE"/>
    <n v="34"/>
    <n v="0"/>
    <n v="2101959"/>
  </r>
  <r>
    <s v="Retail"/>
    <s v="Q149 Medellín - Centro"/>
    <x v="4"/>
    <s v="octubre"/>
    <n v="4"/>
    <d v="2026-10-04T00:00:00"/>
    <m/>
    <m/>
    <n v="0"/>
    <n v="1295723"/>
    <n v="0"/>
  </r>
  <r>
    <s v="Retail"/>
    <s v="Q149 Medellín - Centro"/>
    <x v="4"/>
    <s v="octubre"/>
    <n v="4"/>
    <d v="2026-10-04T00:00:00"/>
    <n v="1015066253"/>
    <s v="GOMEZ  DAYANA"/>
    <n v="7"/>
    <n v="0"/>
    <n v="483336"/>
  </r>
  <r>
    <s v="Retail"/>
    <s v="Q149 Medellín - Centro"/>
    <x v="4"/>
    <s v="octubre"/>
    <n v="4"/>
    <d v="2026-10-04T00:00:00"/>
    <n v="1040745636"/>
    <s v="ARCILA  DUQUE MATEO ALEJANDRO "/>
    <n v="11"/>
    <n v="0"/>
    <n v="444873"/>
  </r>
  <r>
    <s v="Retail"/>
    <s v="Q149 Medellín - Centro"/>
    <x v="4"/>
    <s v="octubre"/>
    <n v="4"/>
    <d v="2026-10-04T00:00:00"/>
    <n v="1110283879"/>
    <s v="RODRIGUEZ CAICEDO MARIA  JOSE"/>
    <n v="3"/>
    <n v="0"/>
    <n v="197361"/>
  </r>
  <r>
    <s v="Retail"/>
    <s v="Q149 Medellín - Centro"/>
    <x v="4"/>
    <s v="octubre"/>
    <n v="5"/>
    <d v="2026-10-05T00:00:00"/>
    <m/>
    <m/>
    <n v="0"/>
    <n v="6314976"/>
    <n v="0"/>
  </r>
  <r>
    <s v="Retail"/>
    <s v="Q149 Medellín - Centro"/>
    <x v="4"/>
    <s v="octubre"/>
    <n v="5"/>
    <d v="2026-10-05T00:00:00"/>
    <n v="1011390630"/>
    <s v="CAJAMARCA HENAO JESSICA"/>
    <n v="-1"/>
    <n v="0"/>
    <n v="-83992"/>
  </r>
  <r>
    <s v="Retail"/>
    <s v="Q149 Medellín - Centro"/>
    <x v="4"/>
    <s v="octubre"/>
    <n v="5"/>
    <d v="2026-10-05T00:00:00"/>
    <n v="1015066253"/>
    <s v="GOMEZ  DAYANA"/>
    <n v="2"/>
    <n v="0"/>
    <n v="37689"/>
  </r>
  <r>
    <s v="Retail"/>
    <s v="Q149 Medellín - Centro"/>
    <x v="4"/>
    <s v="octubre"/>
    <n v="5"/>
    <d v="2026-10-05T00:00:00"/>
    <n v="1032010621"/>
    <s v="GONZALEZ ECHAVARRIA LIZETH MARIANA"/>
    <n v="31"/>
    <n v="0"/>
    <n v="1582607"/>
  </r>
  <r>
    <s v="Retail"/>
    <s v="Q149 Medellín - Centro"/>
    <x v="4"/>
    <s v="octubre"/>
    <n v="5"/>
    <d v="2026-10-05T00:00:00"/>
    <n v="1040745636"/>
    <s v="ARCILA  DUQUE MATEO ALEJANDRO "/>
    <n v="66"/>
    <n v="0"/>
    <n v="3494823"/>
  </r>
  <r>
    <s v="Retail"/>
    <s v="Q149 Medellín - Centro"/>
    <x v="4"/>
    <s v="octubre"/>
    <n v="5"/>
    <d v="2026-10-05T00:00:00"/>
    <n v="1110283879"/>
    <s v="RODRIGUEZ CAICEDO MARIA  JOSE"/>
    <n v="16"/>
    <n v="0"/>
    <n v="1087563"/>
  </r>
  <r>
    <s v="Retail"/>
    <s v="Q149 Medellín - Centro"/>
    <x v="4"/>
    <s v="octubre"/>
    <n v="6"/>
    <d v="2026-10-06T00:00:00"/>
    <m/>
    <m/>
    <n v="0"/>
    <n v="5973687"/>
    <n v="0"/>
  </r>
  <r>
    <s v="Retail"/>
    <s v="Q149 Medellín - Centro"/>
    <x v="4"/>
    <s v="octubre"/>
    <n v="6"/>
    <d v="2026-10-06T00:00:00"/>
    <n v="1023628602"/>
    <s v="LOAIZA BOLIVAR SARY LUNA"/>
    <n v="-2"/>
    <n v="0"/>
    <n v="-92353"/>
  </r>
  <r>
    <s v="Retail"/>
    <s v="Q149 Medellín - Centro"/>
    <x v="4"/>
    <s v="octubre"/>
    <n v="6"/>
    <d v="2026-10-06T00:00:00"/>
    <n v="1032010621"/>
    <s v="GONZALEZ ECHAVARRIA LIZETH MARIANA"/>
    <n v="16"/>
    <n v="0"/>
    <n v="682304"/>
  </r>
  <r>
    <s v="Retail"/>
    <s v="Q149 Medellín - Centro"/>
    <x v="4"/>
    <s v="octubre"/>
    <n v="6"/>
    <d v="2026-10-06T00:00:00"/>
    <n v="1040745636"/>
    <s v="ARCILA  DUQUE MATEO ALEJANDRO "/>
    <n v="58"/>
    <n v="0"/>
    <n v="3123141"/>
  </r>
  <r>
    <s v="Retail"/>
    <s v="Q149 Medellín - Centro"/>
    <x v="4"/>
    <s v="octubre"/>
    <n v="6"/>
    <d v="2026-10-06T00:00:00"/>
    <n v="1045421676"/>
    <s v="GOMEZ VELASQUEZ DANYS MILEIDY"/>
    <n v="-1"/>
    <n v="0"/>
    <n v="-54580"/>
  </r>
  <r>
    <s v="Retail"/>
    <s v="Q149 Medellín - Centro"/>
    <x v="4"/>
    <s v="octubre"/>
    <n v="6"/>
    <d v="2026-10-06T00:00:00"/>
    <n v="1110283879"/>
    <s v="RODRIGUEZ CAICEDO MARIA  JOSE"/>
    <n v="30"/>
    <n v="0"/>
    <n v="1266665"/>
  </r>
  <r>
    <s v="Retail"/>
    <s v="Q149 Medellín - Centro"/>
    <x v="4"/>
    <s v="octubre"/>
    <n v="7"/>
    <d v="2026-10-07T00:00:00"/>
    <m/>
    <m/>
    <n v="0"/>
    <n v="5910959"/>
    <n v="0"/>
  </r>
  <r>
    <s v="Retail"/>
    <s v="Q149 Medellín - Centro"/>
    <x v="4"/>
    <s v="octubre"/>
    <n v="7"/>
    <d v="2026-10-07T00:00:00"/>
    <n v="1015066253"/>
    <s v="GOMEZ  DAYANA"/>
    <n v="42"/>
    <n v="0"/>
    <n v="2464456"/>
  </r>
  <r>
    <s v="Retail"/>
    <s v="Q149 Medellín - Centro"/>
    <x v="4"/>
    <s v="octubre"/>
    <n v="7"/>
    <d v="2026-10-07T00:00:00"/>
    <n v="1040745636"/>
    <s v="ARCILA  DUQUE MATEO ALEJANDRO "/>
    <n v="1"/>
    <n v="0"/>
    <n v="16723"/>
  </r>
  <r>
    <s v="Retail"/>
    <s v="Q149 Medellín - Centro"/>
    <x v="4"/>
    <s v="octubre"/>
    <n v="7"/>
    <d v="2026-10-07T00:00:00"/>
    <n v="1110283879"/>
    <s v="RODRIGUEZ CAICEDO MARIA  JOSE"/>
    <n v="21"/>
    <n v="0"/>
    <n v="885505"/>
  </r>
  <r>
    <s v="Retail"/>
    <s v="Q156 - Medellin - CC Santa Fe"/>
    <x v="4"/>
    <s v="septiembre"/>
    <n v="23"/>
    <d v="2026-09-23T00:00:00"/>
    <m/>
    <m/>
    <n v="0"/>
    <n v="7362231"/>
    <n v="0"/>
  </r>
  <r>
    <s v="Retail"/>
    <s v="Q156 - Medellin - CC Santa Fe"/>
    <x v="4"/>
    <s v="septiembre"/>
    <n v="23"/>
    <d v="2026-09-23T00:00:00"/>
    <n v="1000759550"/>
    <s v="HIGUITA RESTREPO JOSELYN"/>
    <n v="1"/>
    <n v="0"/>
    <n v="33572"/>
  </r>
  <r>
    <s v="Retail"/>
    <s v="Q156 - Medellin - CC Santa Fe"/>
    <x v="4"/>
    <s v="septiembre"/>
    <n v="23"/>
    <d v="2026-09-23T00:00:00"/>
    <n v="1007222843"/>
    <s v="HERNANDEZ AGUDELO YESENIA"/>
    <n v="19"/>
    <n v="0"/>
    <n v="1106345"/>
  </r>
  <r>
    <s v="Retail"/>
    <s v="Q156 - Medellin - CC Santa Fe"/>
    <x v="4"/>
    <s v="septiembre"/>
    <n v="23"/>
    <d v="2026-09-23T00:00:00"/>
    <n v="1067856384"/>
    <s v="PATERNINA OVIEDO JAIDITH ROSA"/>
    <n v="9"/>
    <n v="0"/>
    <n v="409202"/>
  </r>
  <r>
    <s v="Retail"/>
    <s v="Q156 - Medellin - CC Santa Fe"/>
    <x v="4"/>
    <s v="septiembre"/>
    <n v="24"/>
    <d v="2026-09-24T00:00:00"/>
    <m/>
    <m/>
    <n v="0"/>
    <n v="11246637"/>
    <n v="0"/>
  </r>
  <r>
    <s v="Retail"/>
    <s v="Q156 - Medellin - CC Santa Fe"/>
    <x v="4"/>
    <s v="septiembre"/>
    <n v="24"/>
    <d v="2026-09-24T00:00:00"/>
    <n v="1000759550"/>
    <s v="HIGUITA RESTREPO JOSELYN"/>
    <n v="5"/>
    <n v="0"/>
    <n v="310714"/>
  </r>
  <r>
    <s v="Retail"/>
    <s v="Q156 - Medellin - CC Santa Fe"/>
    <x v="4"/>
    <s v="septiembre"/>
    <n v="24"/>
    <d v="2026-09-24T00:00:00"/>
    <n v="1007222843"/>
    <s v="HERNANDEZ AGUDELO YESENIA"/>
    <n v="22"/>
    <n v="0"/>
    <n v="1158740"/>
  </r>
  <r>
    <s v="Retail"/>
    <s v="Q156 - Medellin - CC Santa Fe"/>
    <x v="4"/>
    <s v="septiembre"/>
    <n v="24"/>
    <d v="2026-09-24T00:00:00"/>
    <n v="1067856384"/>
    <s v="PATERNINA OVIEDO JAIDITH ROSA"/>
    <n v="25"/>
    <n v="0"/>
    <n v="1204749"/>
  </r>
  <r>
    <s v="Retail"/>
    <s v="Q156 - Medellin - CC Santa Fe"/>
    <x v="4"/>
    <s v="septiembre"/>
    <n v="25"/>
    <d v="2026-09-25T00:00:00"/>
    <m/>
    <m/>
    <n v="0"/>
    <n v="11221742"/>
    <n v="0"/>
  </r>
  <r>
    <s v="Retail"/>
    <s v="Q156 - Medellin - CC Santa Fe"/>
    <x v="4"/>
    <s v="septiembre"/>
    <n v="25"/>
    <d v="2026-09-25T00:00:00"/>
    <n v="42694454"/>
    <s v="CALDERON  CADAVID NATALIA "/>
    <n v="3"/>
    <n v="0"/>
    <n v="201555"/>
  </r>
  <r>
    <s v="Retail"/>
    <s v="Q156 - Medellin - CC Santa Fe"/>
    <x v="4"/>
    <s v="septiembre"/>
    <n v="25"/>
    <d v="2026-09-25T00:00:00"/>
    <n v="1000759550"/>
    <s v="HIGUITA RESTREPO JOSELYN"/>
    <n v="30"/>
    <n v="0"/>
    <n v="1805380"/>
  </r>
  <r>
    <s v="Retail"/>
    <s v="Q156 - Medellin - CC Santa Fe"/>
    <x v="4"/>
    <s v="septiembre"/>
    <n v="25"/>
    <d v="2026-09-25T00:00:00"/>
    <n v="1007222843"/>
    <s v="HERNANDEZ AGUDELO YESENIA"/>
    <n v="33"/>
    <n v="0"/>
    <n v="2130886"/>
  </r>
  <r>
    <s v="Retail"/>
    <s v="Q156 - Medellin - CC Santa Fe"/>
    <x v="4"/>
    <s v="septiembre"/>
    <n v="25"/>
    <d v="2026-09-25T00:00:00"/>
    <n v="1067856384"/>
    <s v="PATERNINA OVIEDO JAIDITH ROSA"/>
    <n v="35"/>
    <n v="0"/>
    <n v="2090760"/>
  </r>
  <r>
    <s v="Retail"/>
    <s v="Q156 - Medellin - CC Santa Fe"/>
    <x v="4"/>
    <s v="septiembre"/>
    <n v="26"/>
    <d v="2026-09-26T00:00:00"/>
    <m/>
    <m/>
    <n v="0"/>
    <n v="16127251"/>
    <n v="0"/>
  </r>
  <r>
    <s v="Retail"/>
    <s v="Q156 - Medellin - CC Santa Fe"/>
    <x v="4"/>
    <s v="septiembre"/>
    <n v="26"/>
    <d v="2026-09-26T00:00:00"/>
    <n v="1000759550"/>
    <s v="HIGUITA RESTREPO JOSELYN"/>
    <n v="34"/>
    <n v="0"/>
    <n v="2105589"/>
  </r>
  <r>
    <s v="Retail"/>
    <s v="Q156 - Medellin - CC Santa Fe"/>
    <x v="4"/>
    <s v="septiembre"/>
    <n v="26"/>
    <d v="2026-09-26T00:00:00"/>
    <n v="1000886426"/>
    <s v="RODAS  MAZO CINDY DAIANNA "/>
    <n v="-2"/>
    <n v="0"/>
    <n v="-142773"/>
  </r>
  <r>
    <s v="Retail"/>
    <s v="Q156 - Medellin - CC Santa Fe"/>
    <x v="4"/>
    <s v="septiembre"/>
    <n v="26"/>
    <d v="2026-09-26T00:00:00"/>
    <n v="1007222843"/>
    <s v="HERNANDEZ AGUDELO YESENIA"/>
    <n v="40"/>
    <n v="0"/>
    <n v="2985506"/>
  </r>
  <r>
    <s v="Retail"/>
    <s v="Q156 - Medellin - CC Santa Fe"/>
    <x v="4"/>
    <s v="septiembre"/>
    <n v="26"/>
    <d v="2026-09-26T00:00:00"/>
    <n v="1067856384"/>
    <s v="PATERNINA OVIEDO JAIDITH ROSA"/>
    <n v="58"/>
    <n v="0"/>
    <n v="3394372"/>
  </r>
  <r>
    <s v="Retail"/>
    <s v="Q156 - Medellin - CC Santa Fe"/>
    <x v="4"/>
    <s v="septiembre"/>
    <n v="27"/>
    <d v="2026-09-27T00:00:00"/>
    <m/>
    <m/>
    <n v="0"/>
    <n v="12776029"/>
    <n v="0"/>
  </r>
  <r>
    <s v="Retail"/>
    <s v="Q156 - Medellin - CC Santa Fe"/>
    <x v="4"/>
    <s v="septiembre"/>
    <n v="27"/>
    <d v="2026-09-27T00:00:00"/>
    <n v="1000759550"/>
    <s v="HIGUITA RESTREPO JOSELYN"/>
    <n v="46"/>
    <n v="0"/>
    <n v="2861219"/>
  </r>
  <r>
    <s v="Retail"/>
    <s v="Q156 - Medellin - CC Santa Fe"/>
    <x v="4"/>
    <s v="septiembre"/>
    <n v="27"/>
    <d v="2026-09-27T00:00:00"/>
    <n v="1007222843"/>
    <s v="HERNANDEZ AGUDELO YESENIA"/>
    <n v="25"/>
    <n v="0"/>
    <n v="1582899"/>
  </r>
  <r>
    <s v="Retail"/>
    <s v="Q156 - Medellin - CC Santa Fe"/>
    <x v="4"/>
    <s v="septiembre"/>
    <n v="27"/>
    <d v="2026-09-27T00:00:00"/>
    <n v="1067856384"/>
    <s v="PATERNINA OVIEDO JAIDITH ROSA"/>
    <n v="42"/>
    <n v="0"/>
    <n v="2485507"/>
  </r>
  <r>
    <s v="Retail"/>
    <s v="Q156 - Medellin - CC Santa Fe"/>
    <x v="4"/>
    <s v="septiembre"/>
    <n v="28"/>
    <d v="2026-09-28T00:00:00"/>
    <m/>
    <m/>
    <n v="0"/>
    <n v="7031405"/>
    <n v="0"/>
  </r>
  <r>
    <s v="Retail"/>
    <s v="Q156 - Medellin - CC Santa Fe"/>
    <x v="4"/>
    <s v="septiembre"/>
    <n v="28"/>
    <d v="2026-09-28T00:00:00"/>
    <n v="1000637944"/>
    <s v="ANDUQUIA LOPEZ ANYI CATERINE"/>
    <n v="-1"/>
    <n v="0"/>
    <n v="-105000"/>
  </r>
  <r>
    <s v="Retail"/>
    <s v="Q156 - Medellin - CC Santa Fe"/>
    <x v="4"/>
    <s v="septiembre"/>
    <n v="28"/>
    <d v="2026-09-28T00:00:00"/>
    <n v="1000759550"/>
    <s v="HIGUITA RESTREPO JOSELYN"/>
    <n v="12"/>
    <n v="0"/>
    <n v="455379"/>
  </r>
  <r>
    <s v="Retail"/>
    <s v="Q156 - Medellin - CC Santa Fe"/>
    <x v="4"/>
    <s v="septiembre"/>
    <n v="28"/>
    <d v="2026-09-28T00:00:00"/>
    <n v="1007222843"/>
    <s v="HERNANDEZ AGUDELO YESENIA"/>
    <n v="27"/>
    <n v="0"/>
    <n v="1219412"/>
  </r>
  <r>
    <s v="Retail"/>
    <s v="Q156 - Medellin - CC Santa Fe"/>
    <x v="4"/>
    <s v="septiembre"/>
    <n v="28"/>
    <d v="2026-09-28T00:00:00"/>
    <n v="1067856384"/>
    <s v="PATERNINA OVIEDO JAIDITH ROSA"/>
    <n v="48"/>
    <n v="0"/>
    <n v="3128113"/>
  </r>
  <r>
    <s v="Retail"/>
    <s v="Q156 - Medellin - CC Santa Fe"/>
    <x v="4"/>
    <s v="septiembre"/>
    <n v="29"/>
    <d v="2026-09-29T00:00:00"/>
    <m/>
    <m/>
    <n v="0"/>
    <n v="7510916"/>
    <n v="0"/>
  </r>
  <r>
    <s v="Retail"/>
    <s v="Q156 - Medellin - CC Santa Fe"/>
    <x v="4"/>
    <s v="septiembre"/>
    <n v="29"/>
    <d v="2026-09-29T00:00:00"/>
    <n v="1000759550"/>
    <s v="HIGUITA RESTREPO JOSELYN"/>
    <n v="23"/>
    <n v="0"/>
    <n v="1164959"/>
  </r>
  <r>
    <s v="Retail"/>
    <s v="Q156 - Medellin - CC Santa Fe"/>
    <x v="4"/>
    <s v="septiembre"/>
    <n v="29"/>
    <d v="2026-09-29T00:00:00"/>
    <n v="1007222843"/>
    <s v="HERNANDEZ AGUDELO YESENIA"/>
    <n v="14"/>
    <n v="0"/>
    <n v="764076"/>
  </r>
  <r>
    <s v="Retail"/>
    <s v="Q156 - Medellin - CC Santa Fe"/>
    <x v="4"/>
    <s v="septiembre"/>
    <n v="29"/>
    <d v="2026-09-29T00:00:00"/>
    <n v="1067856384"/>
    <s v="PATERNINA OVIEDO JAIDITH ROSA"/>
    <n v="12"/>
    <n v="0"/>
    <n v="629707"/>
  </r>
  <r>
    <s v="Retail"/>
    <s v="Q156 - Medellin - CC Santa Fe"/>
    <x v="4"/>
    <s v="septiembre"/>
    <n v="30"/>
    <d v="2026-09-30T00:00:00"/>
    <m/>
    <m/>
    <n v="0"/>
    <n v="7758907"/>
    <n v="0"/>
  </r>
  <r>
    <s v="Retail"/>
    <s v="Q156 - Medellin - CC Santa Fe"/>
    <x v="4"/>
    <s v="septiembre"/>
    <n v="30"/>
    <d v="2026-09-30T00:00:00"/>
    <n v="1000759550"/>
    <s v="HIGUITA RESTREPO JOSELYN"/>
    <n v="19"/>
    <n v="0"/>
    <n v="1085336"/>
  </r>
  <r>
    <s v="Retail"/>
    <s v="Q156 - Medellin - CC Santa Fe"/>
    <x v="4"/>
    <s v="septiembre"/>
    <n v="30"/>
    <d v="2026-09-30T00:00:00"/>
    <n v="1007222843"/>
    <s v="HERNANDEZ AGUDELO YESENIA"/>
    <n v="12"/>
    <n v="0"/>
    <n v="629749"/>
  </r>
  <r>
    <s v="Retail"/>
    <s v="Q156 - Medellin - CC Santa Fe"/>
    <x v="4"/>
    <s v="septiembre"/>
    <n v="30"/>
    <d v="2026-09-30T00:00:00"/>
    <n v="1067856384"/>
    <s v="PATERNINA OVIEDO JAIDITH ROSA"/>
    <n v="15"/>
    <n v="0"/>
    <n v="990967"/>
  </r>
  <r>
    <s v="Retail"/>
    <s v="Q156 - Medellin - CC Santa Fe"/>
    <x v="4"/>
    <s v="octubre"/>
    <n v="1"/>
    <d v="2026-10-01T00:00:00"/>
    <m/>
    <m/>
    <n v="0"/>
    <n v="3871037"/>
    <n v="0"/>
  </r>
  <r>
    <s v="Retail"/>
    <s v="Q156 - Medellin - CC Santa Fe"/>
    <x v="4"/>
    <s v="octubre"/>
    <n v="1"/>
    <d v="2026-10-01T00:00:00"/>
    <n v="1000759550"/>
    <s v="HIGUITA RESTREPO JOSELYN"/>
    <n v="10"/>
    <n v="0"/>
    <n v="503699"/>
  </r>
  <r>
    <s v="Retail"/>
    <s v="Q156 - Medellin - CC Santa Fe"/>
    <x v="4"/>
    <s v="octubre"/>
    <n v="1"/>
    <d v="2026-10-01T00:00:00"/>
    <n v="1067856384"/>
    <s v="PATERNINA OVIEDO JAIDITH ROSA"/>
    <n v="38"/>
    <n v="0"/>
    <n v="2283951"/>
  </r>
  <r>
    <s v="Retail"/>
    <s v="Q156 - Medellin - CC Santa Fe"/>
    <x v="4"/>
    <s v="octubre"/>
    <n v="2"/>
    <d v="2026-10-02T00:00:00"/>
    <m/>
    <m/>
    <n v="0"/>
    <n v="5728415"/>
    <n v="0"/>
  </r>
  <r>
    <s v="Retail"/>
    <s v="Q156 - Medellin - CC Santa Fe"/>
    <x v="4"/>
    <s v="octubre"/>
    <n v="2"/>
    <d v="2026-10-02T00:00:00"/>
    <n v="1000759550"/>
    <s v="HIGUITA RESTREPO JOSELYN"/>
    <n v="24"/>
    <n v="0"/>
    <n v="1215380"/>
  </r>
  <r>
    <s v="Retail"/>
    <s v="Q156 - Medellin - CC Santa Fe"/>
    <x v="4"/>
    <s v="octubre"/>
    <n v="2"/>
    <d v="2026-10-02T00:00:00"/>
    <n v="1067856384"/>
    <s v="PATERNINA OVIEDO JAIDITH ROSA"/>
    <n v="27"/>
    <n v="0"/>
    <n v="1465252"/>
  </r>
  <r>
    <s v="Retail"/>
    <s v="Q156 - Medellin - CC Santa Fe"/>
    <x v="4"/>
    <s v="octubre"/>
    <n v="3"/>
    <d v="2026-10-03T00:00:00"/>
    <m/>
    <m/>
    <n v="0"/>
    <n v="9350207"/>
    <n v="0"/>
  </r>
  <r>
    <s v="Retail"/>
    <s v="Q156 - Medellin - CC Santa Fe"/>
    <x v="4"/>
    <s v="octubre"/>
    <n v="3"/>
    <d v="2026-10-03T00:00:00"/>
    <n v="1000759550"/>
    <s v="HIGUITA RESTREPO JOSELYN"/>
    <n v="51"/>
    <n v="0"/>
    <n v="2936859"/>
  </r>
  <r>
    <s v="Retail"/>
    <s v="Q156 - Medellin - CC Santa Fe"/>
    <x v="4"/>
    <s v="octubre"/>
    <n v="3"/>
    <d v="2026-10-03T00:00:00"/>
    <n v="1007222843"/>
    <s v="HERNANDEZ AGUDELO YESENIA"/>
    <n v="3"/>
    <n v="0"/>
    <n v="323403"/>
  </r>
  <r>
    <s v="Retail"/>
    <s v="Q156 - Medellin - CC Santa Fe"/>
    <x v="4"/>
    <s v="octubre"/>
    <n v="3"/>
    <d v="2026-10-03T00:00:00"/>
    <n v="1037585001"/>
    <s v="PELAEZ  GALEANO LENNY YANID "/>
    <n v="-1"/>
    <n v="0"/>
    <n v="-105000"/>
  </r>
  <r>
    <s v="Retail"/>
    <s v="Q156 - Medellin - CC Santa Fe"/>
    <x v="4"/>
    <s v="octubre"/>
    <n v="3"/>
    <d v="2026-10-03T00:00:00"/>
    <n v="1067856384"/>
    <s v="PATERNINA OVIEDO JAIDITH ROSA"/>
    <n v="62"/>
    <n v="0"/>
    <n v="3468029"/>
  </r>
  <r>
    <s v="Retail"/>
    <s v="Q156 - Medellin - CC Santa Fe"/>
    <x v="4"/>
    <s v="octubre"/>
    <n v="4"/>
    <d v="2026-10-04T00:00:00"/>
    <m/>
    <m/>
    <n v="0"/>
    <n v="11663362"/>
    <n v="0"/>
  </r>
  <r>
    <s v="Retail"/>
    <s v="Q156 - Medellin - CC Santa Fe"/>
    <x v="4"/>
    <s v="octubre"/>
    <n v="4"/>
    <d v="2026-10-04T00:00:00"/>
    <n v="1034989462"/>
    <s v="QUINTERO QUIRAMA MELISSA"/>
    <n v="23"/>
    <n v="0"/>
    <n v="1314120"/>
  </r>
  <r>
    <s v="Retail"/>
    <s v="Q156 - Medellin - CC Santa Fe"/>
    <x v="4"/>
    <s v="octubre"/>
    <n v="4"/>
    <d v="2026-10-04T00:00:00"/>
    <n v="1067856384"/>
    <s v="PATERNINA OVIEDO JAIDITH ROSA"/>
    <n v="76"/>
    <n v="0"/>
    <n v="3932667"/>
  </r>
  <r>
    <s v="Retail"/>
    <s v="Q156 - Medellin - CC Santa Fe"/>
    <x v="4"/>
    <s v="octubre"/>
    <n v="5"/>
    <d v="2026-10-05T00:00:00"/>
    <m/>
    <m/>
    <n v="0"/>
    <n v="5944154"/>
    <n v="0"/>
  </r>
  <r>
    <s v="Retail"/>
    <s v="Q156 - Medellin - CC Santa Fe"/>
    <x v="4"/>
    <s v="octubre"/>
    <n v="5"/>
    <d v="2026-10-05T00:00:00"/>
    <n v="1000759550"/>
    <s v="HIGUITA RESTREPO JOSELYN"/>
    <n v="41"/>
    <n v="0"/>
    <n v="2622856"/>
  </r>
  <r>
    <s v="Retail"/>
    <s v="Q156 - Medellin - CC Santa Fe"/>
    <x v="4"/>
    <s v="octubre"/>
    <n v="5"/>
    <d v="2026-10-05T00:00:00"/>
    <n v="1007222843"/>
    <s v="HERNANDEZ AGUDELO YESENIA"/>
    <n v="-1"/>
    <n v="0"/>
    <n v="-109202"/>
  </r>
  <r>
    <s v="Retail"/>
    <s v="Q156 - Medellin - CC Santa Fe"/>
    <x v="4"/>
    <s v="octubre"/>
    <n v="6"/>
    <d v="2026-10-06T00:00:00"/>
    <m/>
    <m/>
    <n v="0"/>
    <n v="5561048"/>
    <n v="0"/>
  </r>
  <r>
    <s v="Retail"/>
    <s v="Q156 - Medellin - CC Santa Fe"/>
    <x v="4"/>
    <s v="octubre"/>
    <n v="6"/>
    <d v="2026-10-06T00:00:00"/>
    <n v="1000759550"/>
    <s v="HIGUITA RESTREPO JOSELYN"/>
    <n v="22"/>
    <n v="0"/>
    <n v="1299414"/>
  </r>
  <r>
    <s v="Retail"/>
    <s v="Q156 - Medellin - CC Santa Fe"/>
    <x v="4"/>
    <s v="octubre"/>
    <n v="6"/>
    <d v="2026-10-06T00:00:00"/>
    <n v="1001653261"/>
    <s v="ESPINOSA  CEBALLOS NATALIA ANDREA"/>
    <n v="-1"/>
    <n v="0"/>
    <n v="-109202"/>
  </r>
  <r>
    <s v="Retail"/>
    <s v="Q156 - Medellin - CC Santa Fe"/>
    <x v="4"/>
    <s v="octubre"/>
    <n v="6"/>
    <d v="2026-10-06T00:00:00"/>
    <n v="1007390161"/>
    <s v="MARTINEZ MARTINEZ KEISY DANIELA"/>
    <n v="-1"/>
    <n v="0"/>
    <n v="-79790"/>
  </r>
  <r>
    <s v="Retail"/>
    <s v="Q156 - Medellin - CC Santa Fe"/>
    <x v="4"/>
    <s v="octubre"/>
    <n v="6"/>
    <d v="2026-10-06T00:00:00"/>
    <n v="1023522382"/>
    <s v="HERRERA   BEDOYA MARIA JOSE "/>
    <n v="-1"/>
    <n v="0"/>
    <n v="-151177"/>
  </r>
  <r>
    <s v="Retail"/>
    <s v="Q156 - Medellin - CC Santa Fe"/>
    <x v="4"/>
    <s v="octubre"/>
    <n v="6"/>
    <d v="2026-10-06T00:00:00"/>
    <n v="1067856384"/>
    <s v="PATERNINA OVIEDO JAIDITH ROSA"/>
    <n v="46"/>
    <n v="0"/>
    <n v="3020970"/>
  </r>
  <r>
    <s v="Retail"/>
    <s v="Q156 - Medellin - CC Santa Fe"/>
    <x v="4"/>
    <s v="octubre"/>
    <n v="7"/>
    <d v="2026-10-07T00:00:00"/>
    <m/>
    <m/>
    <n v="0"/>
    <n v="5487877"/>
    <n v="0"/>
  </r>
  <r>
    <s v="Retail"/>
    <s v="Q156 - Medellin - CC Santa Fe"/>
    <x v="4"/>
    <s v="octubre"/>
    <n v="7"/>
    <d v="2026-10-07T00:00:00"/>
    <n v="1000759550"/>
    <s v="HIGUITA RESTREPO JOSELYN"/>
    <n v="43"/>
    <n v="0"/>
    <n v="2443068"/>
  </r>
  <r>
    <s v="Retail"/>
    <s v="Q156 - Medellin - CC Santa Fe"/>
    <x v="4"/>
    <s v="octubre"/>
    <n v="7"/>
    <d v="2026-10-07T00:00:00"/>
    <n v="1067856384"/>
    <s v="PATERNINA OVIEDO JAIDITH ROSA"/>
    <n v="24"/>
    <n v="0"/>
    <n v="992521"/>
  </r>
  <r>
    <s v="Franquicias Sell Out QUEST"/>
    <s v="FQ006 - Florida - Valle del Cauca"/>
    <x v="5"/>
    <s v="septiembre"/>
    <n v="23"/>
    <d v="2026-09-23T00:00:00"/>
    <m/>
    <m/>
    <n v="0"/>
    <n v="2330974"/>
    <n v="0"/>
  </r>
  <r>
    <s v="Franquicias Sell Out QUEST"/>
    <s v="FQ006 - Florida - Valle del Cauca"/>
    <x v="5"/>
    <s v="septiembre"/>
    <n v="23"/>
    <d v="2026-09-23T00:00:00"/>
    <n v="16899901"/>
    <s v="RIZO LOSADA ALONSO"/>
    <n v="47"/>
    <n v="0"/>
    <n v="2825802"/>
  </r>
  <r>
    <s v="Franquicias Sell Out QUEST"/>
    <s v="FQ006 - Florida - Valle del Cauca"/>
    <x v="5"/>
    <s v="septiembre"/>
    <n v="24"/>
    <d v="2026-09-24T00:00:00"/>
    <m/>
    <m/>
    <n v="0"/>
    <n v="6028348"/>
    <n v="0"/>
  </r>
  <r>
    <s v="Franquicias Sell Out QUEST"/>
    <s v="FQ006 - Florida - Valle del Cauca"/>
    <x v="5"/>
    <s v="septiembre"/>
    <n v="24"/>
    <d v="2026-09-24T00:00:00"/>
    <n v="16899901"/>
    <s v="RIZO LOSADA ALONSO"/>
    <n v="76"/>
    <n v="0"/>
    <n v="4879164"/>
  </r>
  <r>
    <s v="Franquicias Sell Out QUEST"/>
    <s v="FQ006 - Florida - Valle del Cauca"/>
    <x v="5"/>
    <s v="septiembre"/>
    <n v="25"/>
    <d v="2026-09-25T00:00:00"/>
    <m/>
    <m/>
    <n v="0"/>
    <n v="6438605"/>
    <n v="0"/>
  </r>
  <r>
    <s v="Franquicias Sell Out QUEST"/>
    <s v="FQ006 - Florida - Valle del Cauca"/>
    <x v="5"/>
    <s v="septiembre"/>
    <n v="25"/>
    <d v="2026-09-25T00:00:00"/>
    <n v="16899901"/>
    <s v="RIZO LOSADA ALONSO"/>
    <n v="88"/>
    <n v="0"/>
    <n v="4464798"/>
  </r>
  <r>
    <s v="Franquicias Sell Out QUEST"/>
    <s v="FQ006 - Florida - Valle del Cauca"/>
    <x v="5"/>
    <s v="septiembre"/>
    <n v="26"/>
    <d v="2026-09-26T00:00:00"/>
    <m/>
    <m/>
    <n v="0"/>
    <n v="8118919"/>
    <n v="0"/>
  </r>
  <r>
    <s v="Franquicias Sell Out QUEST"/>
    <s v="FQ006 - Florida - Valle del Cauca"/>
    <x v="5"/>
    <s v="septiembre"/>
    <n v="26"/>
    <d v="2026-09-26T00:00:00"/>
    <n v="16899901"/>
    <s v="RIZO LOSADA ALONSO"/>
    <n v="136"/>
    <n v="0"/>
    <n v="7046567"/>
  </r>
  <r>
    <s v="Franquicias Sell Out QUEST"/>
    <s v="FQ006 - Florida - Valle del Cauca"/>
    <x v="5"/>
    <s v="septiembre"/>
    <n v="27"/>
    <d v="2026-09-27T00:00:00"/>
    <m/>
    <m/>
    <n v="0"/>
    <n v="4286708"/>
    <n v="0"/>
  </r>
  <r>
    <s v="Franquicias Sell Out QUEST"/>
    <s v="FQ006 - Florida - Valle del Cauca"/>
    <x v="5"/>
    <s v="septiembre"/>
    <n v="27"/>
    <d v="2026-09-27T00:00:00"/>
    <n v="16899901"/>
    <s v="RIZO LOSADA ALONSO"/>
    <n v="56"/>
    <n v="0"/>
    <n v="3041223"/>
  </r>
  <r>
    <s v="Franquicias Sell Out QUEST"/>
    <s v="FQ006 - Florida - Valle del Cauca"/>
    <x v="5"/>
    <s v="septiembre"/>
    <n v="28"/>
    <d v="2026-09-28T00:00:00"/>
    <m/>
    <m/>
    <n v="0"/>
    <n v="3514636"/>
    <n v="0"/>
  </r>
  <r>
    <s v="Franquicias Sell Out QUEST"/>
    <s v="FQ006 - Florida - Valle del Cauca"/>
    <x v="5"/>
    <s v="septiembre"/>
    <n v="28"/>
    <d v="2026-09-28T00:00:00"/>
    <n v="16899901"/>
    <s v="RIZO LOSADA ALONSO"/>
    <n v="82"/>
    <n v="0"/>
    <n v="4376346"/>
  </r>
  <r>
    <s v="Franquicias Sell Out QUEST"/>
    <s v="FQ006 - Florida - Valle del Cauca"/>
    <x v="5"/>
    <s v="septiembre"/>
    <n v="29"/>
    <d v="2026-09-29T00:00:00"/>
    <m/>
    <m/>
    <n v="0"/>
    <n v="3907236"/>
    <n v="0"/>
  </r>
  <r>
    <s v="Franquicias Sell Out QUEST"/>
    <s v="FQ006 - Florida - Valle del Cauca"/>
    <x v="5"/>
    <s v="septiembre"/>
    <n v="29"/>
    <d v="2026-09-29T00:00:00"/>
    <n v="16899901"/>
    <s v="RIZO LOSADA ALONSO"/>
    <n v="68"/>
    <n v="0"/>
    <n v="3463327"/>
  </r>
  <r>
    <s v="Franquicias Sell Out QUEST"/>
    <s v="FQ006 - Florida - Valle del Cauca"/>
    <x v="5"/>
    <s v="septiembre"/>
    <n v="30"/>
    <d v="2026-09-30T00:00:00"/>
    <m/>
    <m/>
    <n v="0"/>
    <n v="4137887"/>
    <n v="0"/>
  </r>
  <r>
    <s v="Franquicias Sell Out QUEST"/>
    <s v="FQ006 - Florida - Valle del Cauca"/>
    <x v="5"/>
    <s v="septiembre"/>
    <n v="30"/>
    <d v="2026-09-30T00:00:00"/>
    <n v="16899901"/>
    <s v="RIZO LOSADA ALONSO"/>
    <n v="64"/>
    <n v="0"/>
    <n v="3505550"/>
  </r>
  <r>
    <s v="Franquicias Sell Out QUEST"/>
    <s v="FQ006 - Florida - Valle del Cauca"/>
    <x v="5"/>
    <s v="octubre"/>
    <n v="1"/>
    <d v="2026-10-01T00:00:00"/>
    <m/>
    <m/>
    <n v="0"/>
    <n v="3180409"/>
    <n v="0"/>
  </r>
  <r>
    <s v="Franquicias Sell Out QUEST"/>
    <s v="FQ006 - Florida - Valle del Cauca"/>
    <x v="5"/>
    <s v="octubre"/>
    <n v="1"/>
    <d v="2026-10-01T00:00:00"/>
    <n v="16899901"/>
    <s v="RIZO LOSADA ALONSO"/>
    <n v="84"/>
    <n v="0"/>
    <n v="4769206"/>
  </r>
  <r>
    <s v="Franquicias Sell Out QUEST"/>
    <s v="FQ006 - Florida - Valle del Cauca"/>
    <x v="5"/>
    <s v="octubre"/>
    <n v="2"/>
    <d v="2026-10-02T00:00:00"/>
    <m/>
    <m/>
    <n v="0"/>
    <n v="3053406"/>
    <n v="0"/>
  </r>
  <r>
    <s v="Franquicias Sell Out QUEST"/>
    <s v="FQ006 - Florida - Valle del Cauca"/>
    <x v="5"/>
    <s v="octubre"/>
    <n v="2"/>
    <d v="2026-10-02T00:00:00"/>
    <n v="16899901"/>
    <s v="RIZO LOSADA ALONSO"/>
    <n v="65"/>
    <n v="0"/>
    <n v="3633614"/>
  </r>
  <r>
    <s v="Franquicias Sell Out QUEST"/>
    <s v="FQ006 - Florida - Valle del Cauca"/>
    <x v="5"/>
    <s v="octubre"/>
    <n v="3"/>
    <d v="2026-10-03T00:00:00"/>
    <m/>
    <m/>
    <n v="0"/>
    <n v="6553668"/>
    <n v="0"/>
  </r>
  <r>
    <s v="Franquicias Sell Out QUEST"/>
    <s v="FQ006 - Florida - Valle del Cauca"/>
    <x v="5"/>
    <s v="octubre"/>
    <n v="3"/>
    <d v="2026-10-03T00:00:00"/>
    <n v="16899901"/>
    <s v="RIZO LOSADA ALONSO"/>
    <n v="172"/>
    <n v="0"/>
    <n v="9153714"/>
  </r>
  <r>
    <s v="Franquicias Sell Out QUEST"/>
    <s v="FQ006 - Florida - Valle del Cauca"/>
    <x v="5"/>
    <s v="octubre"/>
    <n v="4"/>
    <d v="2026-10-04T00:00:00"/>
    <m/>
    <m/>
    <n v="0"/>
    <n v="3951542"/>
    <n v="0"/>
  </r>
  <r>
    <s v="Franquicias Sell Out QUEST"/>
    <s v="FQ006 - Florida - Valle del Cauca"/>
    <x v="5"/>
    <s v="octubre"/>
    <n v="4"/>
    <d v="2026-10-04T00:00:00"/>
    <n v="16899901"/>
    <s v="RIZO LOSADA ALONSO"/>
    <n v="106"/>
    <n v="0"/>
    <n v="6196725"/>
  </r>
  <r>
    <s v="Franquicias Sell Out QUEST"/>
    <s v="FQ006 - Florida - Valle del Cauca"/>
    <x v="5"/>
    <s v="octubre"/>
    <n v="5"/>
    <d v="2026-10-05T00:00:00"/>
    <m/>
    <m/>
    <n v="0"/>
    <n v="4820472"/>
    <n v="0"/>
  </r>
  <r>
    <s v="Franquicias Sell Out QUEST"/>
    <s v="FQ006 - Florida - Valle del Cauca"/>
    <x v="5"/>
    <s v="octubre"/>
    <n v="5"/>
    <d v="2026-10-05T00:00:00"/>
    <n v="16899901"/>
    <s v="RIZO LOSADA ALONSO"/>
    <n v="5"/>
    <n v="0"/>
    <n v="180421"/>
  </r>
  <r>
    <s v="Franquicias Sell Out QUEST"/>
    <s v="FQ006 - Florida - Valle del Cauca"/>
    <x v="5"/>
    <s v="octubre"/>
    <n v="6"/>
    <d v="2026-10-06T00:00:00"/>
    <m/>
    <m/>
    <n v="0"/>
    <n v="2679190"/>
    <n v="0"/>
  </r>
  <r>
    <s v="Franquicias Sell Out QUEST"/>
    <s v="FQ006 - Florida - Valle del Cauca"/>
    <x v="5"/>
    <s v="octubre"/>
    <n v="6"/>
    <d v="2026-10-06T00:00:00"/>
    <n v="16899901"/>
    <s v="RIZO LOSADA ALONSO"/>
    <n v="112"/>
    <n v="0"/>
    <n v="6171520"/>
  </r>
  <r>
    <s v="Franquicias Sell Out QUEST"/>
    <s v="FQ006 - Florida - Valle del Cauca"/>
    <x v="5"/>
    <s v="octubre"/>
    <n v="7"/>
    <d v="2026-10-07T00:00:00"/>
    <m/>
    <m/>
    <n v="0"/>
    <n v="734526"/>
    <n v="0"/>
  </r>
  <r>
    <s v="Franquicias Sell Out QUEST"/>
    <s v="FQ006 - Florida - Valle del Cauca"/>
    <x v="5"/>
    <s v="octubre"/>
    <n v="7"/>
    <d v="2026-10-07T00:00:00"/>
    <n v="16899901"/>
    <s v="RIZO LOSADA ALONSO"/>
    <n v="44"/>
    <n v="0"/>
    <n v="2216392"/>
  </r>
  <r>
    <s v="Franquicias Sell Out QUEST"/>
    <s v="FQ049 Candelaria - Valle del Cauca"/>
    <x v="5"/>
    <s v="septiembre"/>
    <n v="23"/>
    <d v="2026-09-23T00:00:00"/>
    <m/>
    <m/>
    <n v="0"/>
    <n v="1677854"/>
    <n v="0"/>
  </r>
  <r>
    <s v="Franquicias Sell Out QUEST"/>
    <s v="FQ049 Candelaria - Valle del Cauca"/>
    <x v="5"/>
    <s v="septiembre"/>
    <n v="23"/>
    <d v="2026-09-23T00:00:00"/>
    <n v="1113523315"/>
    <s v="CARABALI NUÑEZ  SULAY"/>
    <n v="40"/>
    <n v="0"/>
    <n v="1905884"/>
  </r>
  <r>
    <s v="Franquicias Sell Out QUEST"/>
    <s v="FQ049 Candelaria - Valle del Cauca"/>
    <x v="5"/>
    <s v="septiembre"/>
    <n v="24"/>
    <d v="2026-09-24T00:00:00"/>
    <m/>
    <m/>
    <n v="0"/>
    <n v="4339257"/>
    <n v="0"/>
  </r>
  <r>
    <s v="Franquicias Sell Out QUEST"/>
    <s v="FQ049 Candelaria - Valle del Cauca"/>
    <x v="5"/>
    <s v="septiembre"/>
    <n v="24"/>
    <d v="2026-09-24T00:00:00"/>
    <n v="1113523315"/>
    <s v="CARABALI NUÑEZ  SULAY"/>
    <n v="25"/>
    <n v="0"/>
    <n v="1459034"/>
  </r>
  <r>
    <s v="Franquicias Sell Out QUEST"/>
    <s v="FQ049 Candelaria - Valle del Cauca"/>
    <x v="5"/>
    <s v="septiembre"/>
    <n v="25"/>
    <d v="2026-09-25T00:00:00"/>
    <m/>
    <m/>
    <n v="0"/>
    <n v="4634563"/>
    <n v="0"/>
  </r>
  <r>
    <s v="Franquicias Sell Out QUEST"/>
    <s v="FQ049 Candelaria - Valle del Cauca"/>
    <x v="5"/>
    <s v="septiembre"/>
    <n v="25"/>
    <d v="2026-09-25T00:00:00"/>
    <n v="16899901"/>
    <s v="RIZO LOSADA ALONSO"/>
    <n v="-1"/>
    <n v="0"/>
    <n v="-75546"/>
  </r>
  <r>
    <s v="Franquicias Sell Out QUEST"/>
    <s v="FQ049 Candelaria - Valle del Cauca"/>
    <x v="5"/>
    <s v="septiembre"/>
    <n v="25"/>
    <d v="2026-09-25T00:00:00"/>
    <n v="16927832"/>
    <s v="REVELO SALDANA YILBER YOAN"/>
    <n v="58"/>
    <n v="0"/>
    <n v="3035382"/>
  </r>
  <r>
    <s v="Franquicias Sell Out QUEST"/>
    <s v="FQ049 Candelaria - Valle del Cauca"/>
    <x v="5"/>
    <s v="septiembre"/>
    <n v="25"/>
    <d v="2026-09-25T00:00:00"/>
    <n v="1113523315"/>
    <s v="CARABALI NUÑEZ  SULAY"/>
    <n v="4"/>
    <n v="0"/>
    <n v="314958"/>
  </r>
  <r>
    <s v="Franquicias Sell Out QUEST"/>
    <s v="FQ049 Candelaria - Valle del Cauca"/>
    <x v="5"/>
    <s v="septiembre"/>
    <n v="25"/>
    <d v="2026-09-25T00:00:00"/>
    <n v="1113702313"/>
    <s v="SAA DIAZ  YEINER ENRIQUE"/>
    <n v="3"/>
    <n v="0"/>
    <n v="159538"/>
  </r>
  <r>
    <s v="Franquicias Sell Out QUEST"/>
    <s v="FQ049 Candelaria - Valle del Cauca"/>
    <x v="5"/>
    <s v="septiembre"/>
    <n v="26"/>
    <d v="2026-09-26T00:00:00"/>
    <m/>
    <m/>
    <n v="0"/>
    <n v="5844066"/>
    <n v="0"/>
  </r>
  <r>
    <s v="Franquicias Sell Out QUEST"/>
    <s v="FQ049 Candelaria - Valle del Cauca"/>
    <x v="5"/>
    <s v="septiembre"/>
    <n v="26"/>
    <d v="2026-09-26T00:00:00"/>
    <n v="16927832"/>
    <s v="REVELO SALDANA YILBER YOAN"/>
    <n v="-1"/>
    <n v="0"/>
    <n v="-41975"/>
  </r>
  <r>
    <s v="Franquicias Sell Out QUEST"/>
    <s v="FQ049 Candelaria - Valle del Cauca"/>
    <x v="5"/>
    <s v="septiembre"/>
    <n v="26"/>
    <d v="2026-09-26T00:00:00"/>
    <n v="1113523315"/>
    <s v="CARABALI NUÑEZ  SULAY"/>
    <n v="66"/>
    <n v="0"/>
    <n v="3540930"/>
  </r>
  <r>
    <s v="Franquicias Sell Out QUEST"/>
    <s v="FQ049 Candelaria - Valle del Cauca"/>
    <x v="5"/>
    <s v="septiembre"/>
    <n v="27"/>
    <d v="2026-09-27T00:00:00"/>
    <m/>
    <m/>
    <n v="0"/>
    <n v="3085612"/>
    <n v="0"/>
  </r>
  <r>
    <s v="Franquicias Sell Out QUEST"/>
    <s v="FQ049 Candelaria - Valle del Cauca"/>
    <x v="5"/>
    <s v="septiembre"/>
    <n v="27"/>
    <d v="2026-09-27T00:00:00"/>
    <n v="1113523315"/>
    <s v="CARABALI NUÑEZ  SULAY"/>
    <n v="24"/>
    <n v="0"/>
    <n v="939960"/>
  </r>
  <r>
    <s v="Franquicias Sell Out QUEST"/>
    <s v="FQ049 Candelaria - Valle del Cauca"/>
    <x v="5"/>
    <s v="septiembre"/>
    <n v="28"/>
    <d v="2026-09-28T00:00:00"/>
    <m/>
    <m/>
    <n v="0"/>
    <n v="2529866"/>
    <n v="0"/>
  </r>
  <r>
    <s v="Franquicias Sell Out QUEST"/>
    <s v="FQ049 Candelaria - Valle del Cauca"/>
    <x v="5"/>
    <s v="septiembre"/>
    <n v="28"/>
    <d v="2026-09-28T00:00:00"/>
    <n v="1113523315"/>
    <s v="CARABALI NUÑEZ  SULAY"/>
    <n v="90"/>
    <n v="0"/>
    <n v="4059962"/>
  </r>
  <r>
    <s v="Franquicias Sell Out QUEST"/>
    <s v="FQ049 Candelaria - Valle del Cauca"/>
    <x v="5"/>
    <s v="septiembre"/>
    <n v="29"/>
    <d v="2026-09-29T00:00:00"/>
    <m/>
    <m/>
    <n v="0"/>
    <n v="2812466"/>
    <n v="0"/>
  </r>
  <r>
    <s v="Franquicias Sell Out QUEST"/>
    <s v="FQ049 Candelaria - Valle del Cauca"/>
    <x v="5"/>
    <s v="septiembre"/>
    <n v="29"/>
    <d v="2026-09-29T00:00:00"/>
    <n v="1113523315"/>
    <s v="CARABALI NUÑEZ  SULAY"/>
    <n v="65"/>
    <n v="0"/>
    <n v="3402270"/>
  </r>
  <r>
    <s v="Franquicias Sell Out QUEST"/>
    <s v="FQ049 Candelaria - Valle del Cauca"/>
    <x v="5"/>
    <s v="septiembre"/>
    <n v="30"/>
    <d v="2026-09-30T00:00:00"/>
    <m/>
    <m/>
    <n v="0"/>
    <n v="2978487"/>
    <n v="0"/>
  </r>
  <r>
    <s v="Franquicias Sell Out QUEST"/>
    <s v="FQ049 Candelaria - Valle del Cauca"/>
    <x v="5"/>
    <s v="septiembre"/>
    <n v="30"/>
    <d v="2026-09-30T00:00:00"/>
    <n v="1113523315"/>
    <s v="CARABALI NUÑEZ  SULAY"/>
    <n v="50"/>
    <n v="0"/>
    <n v="2839833"/>
  </r>
  <r>
    <s v="Franquicias Sell Out QUEST"/>
    <s v="FQ049 Candelaria - Valle del Cauca"/>
    <x v="5"/>
    <s v="octubre"/>
    <n v="1"/>
    <d v="2026-10-01T00:00:00"/>
    <m/>
    <m/>
    <n v="0"/>
    <n v="3886073"/>
    <n v="0"/>
  </r>
  <r>
    <s v="Franquicias Sell Out QUEST"/>
    <s v="FQ049 Candelaria - Valle del Cauca"/>
    <x v="5"/>
    <s v="octubre"/>
    <n v="1"/>
    <d v="2026-10-01T00:00:00"/>
    <n v="1113523315"/>
    <s v="CARABALI NUÑEZ  SULAY"/>
    <n v="51"/>
    <n v="0"/>
    <n v="2894413"/>
  </r>
  <r>
    <s v="Franquicias Sell Out QUEST"/>
    <s v="FQ049 Candelaria - Valle del Cauca"/>
    <x v="5"/>
    <s v="octubre"/>
    <n v="2"/>
    <d v="2026-10-02T00:00:00"/>
    <m/>
    <m/>
    <n v="0"/>
    <n v="5496655"/>
    <n v="0"/>
  </r>
  <r>
    <s v="Franquicias Sell Out QUEST"/>
    <s v="FQ049 Candelaria - Valle del Cauca"/>
    <x v="5"/>
    <s v="octubre"/>
    <n v="2"/>
    <d v="2026-10-02T00:00:00"/>
    <n v="1113523315"/>
    <s v="CARABALI NUÑEZ  SULAY"/>
    <n v="58"/>
    <n v="0"/>
    <n v="2924113"/>
  </r>
  <r>
    <s v="Franquicias Sell Out QUEST"/>
    <s v="FQ049 Candelaria - Valle del Cauca"/>
    <x v="5"/>
    <s v="octubre"/>
    <n v="3"/>
    <d v="2026-10-03T00:00:00"/>
    <m/>
    <m/>
    <n v="0"/>
    <n v="5200455"/>
    <n v="0"/>
  </r>
  <r>
    <s v="Franquicias Sell Out QUEST"/>
    <s v="FQ049 Candelaria - Valle del Cauca"/>
    <x v="5"/>
    <s v="octubre"/>
    <n v="3"/>
    <d v="2026-10-03T00:00:00"/>
    <n v="1113523315"/>
    <s v="CARABALI NUÑEZ  SULAY"/>
    <n v="124"/>
    <n v="0"/>
    <n v="6104832"/>
  </r>
  <r>
    <s v="Franquicias Sell Out QUEST"/>
    <s v="FQ049 Candelaria - Valle del Cauca"/>
    <x v="5"/>
    <s v="octubre"/>
    <n v="4"/>
    <d v="2026-10-04T00:00:00"/>
    <m/>
    <m/>
    <n v="0"/>
    <n v="3849376"/>
    <n v="0"/>
  </r>
  <r>
    <s v="Franquicias Sell Out QUEST"/>
    <s v="FQ049 Candelaria - Valle del Cauca"/>
    <x v="5"/>
    <s v="octubre"/>
    <n v="4"/>
    <d v="2026-10-04T00:00:00"/>
    <n v="1113523315"/>
    <s v="CARABALI NUÑEZ  SULAY"/>
    <n v="39"/>
    <n v="0"/>
    <n v="2020633"/>
  </r>
  <r>
    <s v="Franquicias Sell Out QUEST"/>
    <s v="FQ049 Candelaria - Valle del Cauca"/>
    <x v="5"/>
    <s v="octubre"/>
    <n v="5"/>
    <d v="2026-10-05T00:00:00"/>
    <m/>
    <m/>
    <n v="0"/>
    <n v="3057856"/>
    <n v="0"/>
  </r>
  <r>
    <s v="Franquicias Sell Out QUEST"/>
    <s v="FQ049 Candelaria - Valle del Cauca"/>
    <x v="5"/>
    <s v="octubre"/>
    <n v="5"/>
    <d v="2026-10-05T00:00:00"/>
    <n v="1113523315"/>
    <s v="CARABALI NUÑEZ  SULAY"/>
    <n v="77"/>
    <n v="0"/>
    <n v="4382194"/>
  </r>
  <r>
    <s v="Franquicias Sell Out QUEST"/>
    <s v="FQ049 Candelaria - Valle del Cauca"/>
    <x v="5"/>
    <s v="octubre"/>
    <n v="6"/>
    <d v="2026-10-06T00:00:00"/>
    <m/>
    <m/>
    <n v="0"/>
    <n v="3302767"/>
    <n v="0"/>
  </r>
  <r>
    <s v="Franquicias Sell Out QUEST"/>
    <s v="FQ049 Candelaria - Valle del Cauca"/>
    <x v="5"/>
    <s v="octubre"/>
    <n v="6"/>
    <d v="2026-10-06T00:00:00"/>
    <n v="1113523315"/>
    <s v="CARABALI NUÑEZ  SULAY"/>
    <n v="100"/>
    <n v="0"/>
    <n v="5357836"/>
  </r>
  <r>
    <s v="Franquicias Sell Out QUEST"/>
    <s v="FQ049 Candelaria - Valle del Cauca"/>
    <x v="5"/>
    <s v="octubre"/>
    <n v="7"/>
    <d v="2026-10-07T00:00:00"/>
    <m/>
    <m/>
    <n v="0"/>
    <n v="495164"/>
    <n v="0"/>
  </r>
  <r>
    <s v="Franquicias Sell Out QUEST"/>
    <s v="FQ049 Candelaria - Valle del Cauca"/>
    <x v="5"/>
    <s v="octubre"/>
    <n v="7"/>
    <d v="2026-10-07T00:00:00"/>
    <n v="1113523315"/>
    <s v="CARABALI NUÑEZ  SULAY"/>
    <n v="35"/>
    <n v="0"/>
    <n v="1673506"/>
  </r>
  <r>
    <s v="Franquicias Sell Out QUEST"/>
    <s v="FQ063-Pradera-Valle del Cauca"/>
    <x v="5"/>
    <s v="septiembre"/>
    <n v="23"/>
    <d v="2026-09-23T00:00:00"/>
    <m/>
    <m/>
    <n v="0"/>
    <n v="1773978"/>
    <n v="0"/>
  </r>
  <r>
    <s v="Franquicias Sell Out QUEST"/>
    <s v="FQ063-Pradera-Valle del Cauca"/>
    <x v="5"/>
    <s v="septiembre"/>
    <n v="23"/>
    <d v="2026-09-23T00:00:00"/>
    <n v="29706315"/>
    <s v="ANGULO MONTAÑO MARIA LUISA"/>
    <n v="80"/>
    <n v="0"/>
    <n v="4301162"/>
  </r>
  <r>
    <s v="Franquicias Sell Out QUEST"/>
    <s v="FQ063-Pradera-Valle del Cauca"/>
    <x v="5"/>
    <s v="septiembre"/>
    <n v="24"/>
    <d v="2026-09-24T00:00:00"/>
    <m/>
    <m/>
    <n v="0"/>
    <n v="4587848"/>
    <n v="0"/>
  </r>
  <r>
    <s v="Franquicias Sell Out QUEST"/>
    <s v="FQ063-Pradera-Valle del Cauca"/>
    <x v="5"/>
    <s v="septiembre"/>
    <n v="24"/>
    <d v="2026-09-24T00:00:00"/>
    <n v="29706315"/>
    <s v="ANGULO MONTAÑO MARIA LUISA"/>
    <n v="102"/>
    <n v="0"/>
    <n v="5041983"/>
  </r>
  <r>
    <s v="Franquicias Sell Out QUEST"/>
    <s v="FQ063-Pradera-Valle del Cauca"/>
    <x v="5"/>
    <s v="septiembre"/>
    <n v="25"/>
    <d v="2026-09-25T00:00:00"/>
    <m/>
    <m/>
    <n v="0"/>
    <n v="4900069"/>
    <n v="0"/>
  </r>
  <r>
    <s v="Franquicias Sell Out QUEST"/>
    <s v="FQ063-Pradera-Valle del Cauca"/>
    <x v="5"/>
    <s v="septiembre"/>
    <n v="25"/>
    <d v="2026-09-25T00:00:00"/>
    <n v="29706315"/>
    <s v="ANGULO MONTAÑO MARIA LUISA"/>
    <n v="54"/>
    <n v="0"/>
    <n v="2943111"/>
  </r>
  <r>
    <s v="Franquicias Sell Out QUEST"/>
    <s v="FQ063-Pradera-Valle del Cauca"/>
    <x v="5"/>
    <s v="septiembre"/>
    <n v="26"/>
    <d v="2026-09-26T00:00:00"/>
    <m/>
    <m/>
    <n v="0"/>
    <n v="6178869"/>
    <n v="0"/>
  </r>
  <r>
    <s v="Franquicias Sell Out QUEST"/>
    <s v="FQ063-Pradera-Valle del Cauca"/>
    <x v="5"/>
    <s v="septiembre"/>
    <n v="26"/>
    <d v="2026-09-26T00:00:00"/>
    <n v="29706315"/>
    <s v="ANGULO MONTAÑO MARIA LUISA"/>
    <n v="151"/>
    <n v="0"/>
    <n v="8510086"/>
  </r>
  <r>
    <s v="Franquicias Sell Out QUEST"/>
    <s v="FQ063-Pradera-Valle del Cauca"/>
    <x v="5"/>
    <s v="septiembre"/>
    <n v="27"/>
    <d v="2026-09-27T00:00:00"/>
    <m/>
    <m/>
    <n v="0"/>
    <n v="3262380"/>
    <n v="0"/>
  </r>
  <r>
    <s v="Franquicias Sell Out QUEST"/>
    <s v="FQ063-Pradera-Valle del Cauca"/>
    <x v="5"/>
    <s v="septiembre"/>
    <n v="27"/>
    <d v="2026-09-27T00:00:00"/>
    <n v="29706315"/>
    <s v="ANGULO MONTAÑO MARIA LUISA"/>
    <n v="45"/>
    <n v="0"/>
    <n v="2435042"/>
  </r>
  <r>
    <s v="Franquicias Sell Out QUEST"/>
    <s v="FQ063-Pradera-Valle del Cauca"/>
    <x v="5"/>
    <s v="septiembre"/>
    <n v="28"/>
    <d v="2026-09-28T00:00:00"/>
    <m/>
    <m/>
    <n v="0"/>
    <n v="2674801"/>
    <n v="0"/>
  </r>
  <r>
    <s v="Franquicias Sell Out QUEST"/>
    <s v="FQ063-Pradera-Valle del Cauca"/>
    <x v="5"/>
    <s v="septiembre"/>
    <n v="28"/>
    <d v="2026-09-28T00:00:00"/>
    <n v="29706315"/>
    <s v="ANGULO MONTAÑO MARIA LUISA"/>
    <n v="68"/>
    <n v="0"/>
    <n v="3656684"/>
  </r>
  <r>
    <s v="Franquicias Sell Out QUEST"/>
    <s v="FQ063-Pradera-Valle del Cauca"/>
    <x v="5"/>
    <s v="septiembre"/>
    <n v="29"/>
    <d v="2026-09-29T00:00:00"/>
    <m/>
    <m/>
    <n v="0"/>
    <n v="2973585"/>
    <n v="0"/>
  </r>
  <r>
    <s v="Franquicias Sell Out QUEST"/>
    <s v="FQ063-Pradera-Valle del Cauca"/>
    <x v="5"/>
    <s v="septiembre"/>
    <n v="29"/>
    <d v="2026-09-29T00:00:00"/>
    <n v="29706315"/>
    <s v="ANGULO MONTAÑO MARIA LUISA"/>
    <n v="75"/>
    <n v="0"/>
    <n v="3931222"/>
  </r>
  <r>
    <s v="Franquicias Sell Out QUEST"/>
    <s v="FQ063-Pradera-Valle del Cauca"/>
    <x v="5"/>
    <s v="septiembre"/>
    <n v="30"/>
    <d v="2026-09-30T00:00:00"/>
    <m/>
    <m/>
    <n v="0"/>
    <n v="3149124"/>
    <n v="0"/>
  </r>
  <r>
    <s v="Franquicias Sell Out QUEST"/>
    <s v="FQ063-Pradera-Valle del Cauca"/>
    <x v="5"/>
    <s v="septiembre"/>
    <n v="30"/>
    <d v="2026-09-30T00:00:00"/>
    <n v="29706315"/>
    <s v="ANGULO MONTAÑO MARIA LUISA"/>
    <n v="46"/>
    <n v="0"/>
    <n v="2300463"/>
  </r>
  <r>
    <s v="Franquicias Sell Out QUEST"/>
    <s v="FQ063-Pradera-Valle del Cauca"/>
    <x v="5"/>
    <s v="octubre"/>
    <n v="1"/>
    <d v="2026-10-01T00:00:00"/>
    <m/>
    <m/>
    <n v="0"/>
    <n v="5121760"/>
    <n v="0"/>
  </r>
  <r>
    <s v="Franquicias Sell Out QUEST"/>
    <s v="FQ063-Pradera-Valle del Cauca"/>
    <x v="5"/>
    <s v="octubre"/>
    <n v="1"/>
    <d v="2026-10-01T00:00:00"/>
    <n v="29706315"/>
    <s v="ANGULO MONTAÑO MARIA LUISA"/>
    <n v="54"/>
    <n v="0"/>
    <n v="2867315"/>
  </r>
  <r>
    <s v="Franquicias Sell Out QUEST"/>
    <s v="FQ063-Pradera-Valle del Cauca"/>
    <x v="5"/>
    <s v="octubre"/>
    <n v="2"/>
    <d v="2026-10-02T00:00:00"/>
    <m/>
    <m/>
    <n v="0"/>
    <n v="4352622"/>
    <n v="0"/>
  </r>
  <r>
    <s v="Franquicias Sell Out QUEST"/>
    <s v="FQ063-Pradera-Valle del Cauca"/>
    <x v="5"/>
    <s v="octubre"/>
    <n v="2"/>
    <d v="2026-10-02T00:00:00"/>
    <n v="29706315"/>
    <s v="ANGULO MONTAÑO MARIA LUISA"/>
    <n v="29"/>
    <n v="0"/>
    <n v="1668785"/>
  </r>
  <r>
    <s v="Franquicias Sell Out QUEST"/>
    <s v="FQ063-Pradera-Valle del Cauca"/>
    <x v="5"/>
    <s v="octubre"/>
    <n v="3"/>
    <d v="2026-10-03T00:00:00"/>
    <m/>
    <m/>
    <n v="0"/>
    <n v="6627438"/>
    <n v="0"/>
  </r>
  <r>
    <s v="Franquicias Sell Out QUEST"/>
    <s v="FQ063-Pradera-Valle del Cauca"/>
    <x v="5"/>
    <s v="octubre"/>
    <n v="3"/>
    <d v="2026-10-03T00:00:00"/>
    <n v="29706315"/>
    <s v="ANGULO MONTAÑO MARIA LUISA"/>
    <n v="69"/>
    <n v="0"/>
    <n v="3628985"/>
  </r>
  <r>
    <s v="Franquicias Sell Out QUEST"/>
    <s v="FQ063-Pradera-Valle del Cauca"/>
    <x v="5"/>
    <s v="octubre"/>
    <n v="4"/>
    <d v="2026-10-04T00:00:00"/>
    <m/>
    <m/>
    <n v="0"/>
    <n v="3374014"/>
    <n v="0"/>
  </r>
  <r>
    <s v="Franquicias Sell Out QUEST"/>
    <s v="FQ063-Pradera-Valle del Cauca"/>
    <x v="5"/>
    <s v="octubre"/>
    <n v="4"/>
    <d v="2026-10-04T00:00:00"/>
    <n v="29706315"/>
    <s v="ANGULO MONTAÑO MARIA LUISA"/>
    <n v="83"/>
    <n v="0"/>
    <n v="4658029"/>
  </r>
  <r>
    <s v="Franquicias Sell Out QUEST"/>
    <s v="FQ063-Pradera-Valle del Cauca"/>
    <x v="5"/>
    <s v="octubre"/>
    <n v="5"/>
    <d v="2026-10-05T00:00:00"/>
    <m/>
    <m/>
    <n v="0"/>
    <n v="3279191"/>
    <n v="0"/>
  </r>
  <r>
    <s v="Franquicias Sell Out QUEST"/>
    <s v="FQ063-Pradera-Valle del Cauca"/>
    <x v="5"/>
    <s v="octubre"/>
    <n v="5"/>
    <d v="2026-10-05T00:00:00"/>
    <n v="29706315"/>
    <s v="ANGULO MONTAÑO MARIA LUISA"/>
    <n v="109"/>
    <n v="0"/>
    <n v="6188324"/>
  </r>
  <r>
    <s v="Franquicias Sell Out QUEST"/>
    <s v="FQ063-Pradera-Valle del Cauca"/>
    <x v="5"/>
    <s v="octubre"/>
    <n v="6"/>
    <d v="2026-10-06T00:00:00"/>
    <m/>
    <m/>
    <n v="0"/>
    <n v="2370117"/>
    <n v="0"/>
  </r>
  <r>
    <s v="Franquicias Sell Out QUEST"/>
    <s v="FQ063-Pradera-Valle del Cauca"/>
    <x v="5"/>
    <s v="octubre"/>
    <n v="6"/>
    <d v="2026-10-06T00:00:00"/>
    <n v="29706315"/>
    <s v="ANGULO MONTAÑO MARIA LUISA"/>
    <n v="53"/>
    <n v="0"/>
    <n v="2665634"/>
  </r>
  <r>
    <s v="Franquicias Sell Out QUEST"/>
    <s v="FQ063-Pradera-Valle del Cauca"/>
    <x v="5"/>
    <s v="octubre"/>
    <n v="7"/>
    <d v="2026-10-07T00:00:00"/>
    <m/>
    <m/>
    <n v="0"/>
    <n v="1271346"/>
    <n v="0"/>
  </r>
  <r>
    <s v="Franquicias Sell Out QUEST"/>
    <s v="FQ063-Pradera-Valle del Cauca"/>
    <x v="5"/>
    <s v="octubre"/>
    <n v="7"/>
    <d v="2026-10-07T00:00:00"/>
    <n v="29706315"/>
    <s v="ANGULO MONTAÑO MARIA LUISA"/>
    <n v="40"/>
    <n v="0"/>
    <n v="2124330"/>
  </r>
  <r>
    <s v="Retail"/>
    <s v="Q003 - Cali - Calle 23"/>
    <x v="5"/>
    <s v="septiembre"/>
    <n v="23"/>
    <d v="2026-09-23T00:00:00"/>
    <m/>
    <m/>
    <n v="0"/>
    <n v="5715007"/>
    <n v="0"/>
  </r>
  <r>
    <s v="Retail"/>
    <s v="Q003 - Cali - Calle 23"/>
    <x v="5"/>
    <s v="septiembre"/>
    <n v="23"/>
    <d v="2026-09-23T00:00:00"/>
    <n v="1007729215"/>
    <s v="ESCOBAR QUINTERO MARLON"/>
    <n v="43"/>
    <n v="0"/>
    <n v="2409917"/>
  </r>
  <r>
    <s v="Retail"/>
    <s v="Q003 - Cali - Calle 23"/>
    <x v="5"/>
    <s v="septiembre"/>
    <n v="23"/>
    <d v="2026-09-23T00:00:00"/>
    <n v="1110040133"/>
    <s v="FLOREZ  GARCÍA SAMUEL "/>
    <n v="39"/>
    <n v="0"/>
    <n v="2126490"/>
  </r>
  <r>
    <s v="Retail"/>
    <s v="Q003 - Cali - Calle 23"/>
    <x v="5"/>
    <s v="septiembre"/>
    <n v="23"/>
    <d v="2026-09-23T00:00:00"/>
    <n v="1110292684"/>
    <s v="ARVAJAL PIEDRAHITA SANTIAGO"/>
    <n v="23"/>
    <n v="0"/>
    <n v="975925"/>
  </r>
  <r>
    <s v="Retail"/>
    <s v="Q003 - Cali - Calle 23"/>
    <x v="5"/>
    <s v="septiembre"/>
    <n v="24"/>
    <d v="2026-09-24T00:00:00"/>
    <m/>
    <m/>
    <n v="0"/>
    <n v="8730320"/>
    <n v="0"/>
  </r>
  <r>
    <s v="Retail"/>
    <s v="Q003 - Cali - Calle 23"/>
    <x v="5"/>
    <s v="septiembre"/>
    <n v="24"/>
    <d v="2026-09-24T00:00:00"/>
    <n v="1007729215"/>
    <s v="ESCOBAR QUINTERO MARLON"/>
    <n v="55"/>
    <n v="0"/>
    <n v="2423740"/>
  </r>
  <r>
    <s v="Retail"/>
    <s v="Q003 - Cali - Calle 23"/>
    <x v="5"/>
    <s v="septiembre"/>
    <n v="24"/>
    <d v="2026-09-24T00:00:00"/>
    <n v="1110040133"/>
    <s v="FLOREZ  GARCÍA SAMUEL "/>
    <n v="58"/>
    <n v="0"/>
    <n v="2526641"/>
  </r>
  <r>
    <s v="Retail"/>
    <s v="Q003 - Cali - Calle 23"/>
    <x v="5"/>
    <s v="septiembre"/>
    <n v="24"/>
    <d v="2026-09-24T00:00:00"/>
    <n v="1110292684"/>
    <s v="ARVAJAL PIEDRAHITA SANTIAGO"/>
    <n v="21"/>
    <n v="0"/>
    <n v="1137732"/>
  </r>
  <r>
    <s v="Retail"/>
    <s v="Q003 - Cali - Calle 23"/>
    <x v="5"/>
    <s v="septiembre"/>
    <n v="25"/>
    <d v="2026-09-25T00:00:00"/>
    <m/>
    <m/>
    <n v="0"/>
    <n v="8710994"/>
    <n v="0"/>
  </r>
  <r>
    <s v="Retail"/>
    <s v="Q003 - Cali - Calle 23"/>
    <x v="5"/>
    <s v="septiembre"/>
    <n v="25"/>
    <d v="2026-09-25T00:00:00"/>
    <n v="1007729215"/>
    <s v="ESCOBAR QUINTERO MARLON"/>
    <n v="22"/>
    <n v="0"/>
    <n v="1158656"/>
  </r>
  <r>
    <s v="Retail"/>
    <s v="Q003 - Cali - Calle 23"/>
    <x v="5"/>
    <s v="septiembre"/>
    <n v="25"/>
    <d v="2026-09-25T00:00:00"/>
    <n v="1110040133"/>
    <s v="FLOREZ  GARCÍA SAMUEL "/>
    <n v="20"/>
    <n v="0"/>
    <n v="1205085"/>
  </r>
  <r>
    <s v="Retail"/>
    <s v="Q003 - Cali - Calle 23"/>
    <x v="5"/>
    <s v="septiembre"/>
    <n v="25"/>
    <d v="2026-09-25T00:00:00"/>
    <n v="1110292684"/>
    <s v="ARVAJAL PIEDRAHITA SANTIAGO"/>
    <n v="13"/>
    <n v="0"/>
    <n v="577144"/>
  </r>
  <r>
    <s v="Retail"/>
    <s v="Q003 - Cali - Calle 23"/>
    <x v="5"/>
    <s v="septiembre"/>
    <n v="25"/>
    <d v="2026-09-25T00:00:00"/>
    <n v="1144212178"/>
    <s v="TELLO CASTRO NICOLAS"/>
    <n v="-1"/>
    <n v="0"/>
    <n v="-109160"/>
  </r>
  <r>
    <s v="Retail"/>
    <s v="Q003 - Cali - Calle 23"/>
    <x v="5"/>
    <s v="septiembre"/>
    <n v="26"/>
    <d v="2026-09-26T00:00:00"/>
    <m/>
    <m/>
    <n v="0"/>
    <n v="12518948"/>
    <n v="0"/>
  </r>
  <r>
    <s v="Retail"/>
    <s v="Q003 - Cali - Calle 23"/>
    <x v="5"/>
    <s v="septiembre"/>
    <n v="26"/>
    <d v="2026-09-26T00:00:00"/>
    <n v="1007729215"/>
    <s v="ESCOBAR QUINTERO MARLON"/>
    <n v="89"/>
    <n v="0"/>
    <n v="4224587"/>
  </r>
  <r>
    <s v="Retail"/>
    <s v="Q003 - Cali - Calle 23"/>
    <x v="5"/>
    <s v="septiembre"/>
    <n v="26"/>
    <d v="2026-09-26T00:00:00"/>
    <n v="1110040133"/>
    <s v="FLOREZ  GARCÍA SAMUEL "/>
    <n v="79"/>
    <n v="0"/>
    <n v="4311435"/>
  </r>
  <r>
    <s v="Retail"/>
    <s v="Q003 - Cali - Calle 23"/>
    <x v="5"/>
    <s v="septiembre"/>
    <n v="26"/>
    <d v="2026-09-26T00:00:00"/>
    <n v="1110292684"/>
    <s v="ARVAJAL PIEDRAHITA SANTIAGO"/>
    <n v="55"/>
    <n v="0"/>
    <n v="2348784"/>
  </r>
  <r>
    <s v="Retail"/>
    <s v="Q003 - Cali - Calle 23"/>
    <x v="5"/>
    <s v="septiembre"/>
    <n v="27"/>
    <d v="2026-09-27T00:00:00"/>
    <m/>
    <m/>
    <n v="0"/>
    <n v="9917526"/>
    <n v="0"/>
  </r>
  <r>
    <s v="Retail"/>
    <s v="Q003 - Cali - Calle 23"/>
    <x v="5"/>
    <s v="septiembre"/>
    <n v="27"/>
    <d v="2026-09-27T00:00:00"/>
    <n v="1007729215"/>
    <s v="ESCOBAR QUINTERO MARLON"/>
    <n v="19"/>
    <n v="0"/>
    <n v="887689"/>
  </r>
  <r>
    <s v="Retail"/>
    <s v="Q003 - Cali - Calle 23"/>
    <x v="5"/>
    <s v="septiembre"/>
    <n v="27"/>
    <d v="2026-09-27T00:00:00"/>
    <n v="1094265298"/>
    <s v="PEÑA FIGUEROA GERSON  ESTEBAN"/>
    <n v="-1"/>
    <n v="0"/>
    <n v="-71386"/>
  </r>
  <r>
    <s v="Retail"/>
    <s v="Q003 - Cali - Calle 23"/>
    <x v="5"/>
    <s v="septiembre"/>
    <n v="27"/>
    <d v="2026-09-27T00:00:00"/>
    <n v="1110040133"/>
    <s v="FLOREZ  GARCÍA SAMUEL "/>
    <n v="27"/>
    <n v="0"/>
    <n v="962859"/>
  </r>
  <r>
    <s v="Retail"/>
    <s v="Q003 - Cali - Calle 23"/>
    <x v="5"/>
    <s v="septiembre"/>
    <n v="28"/>
    <d v="2026-09-28T00:00:00"/>
    <m/>
    <m/>
    <n v="0"/>
    <n v="5584007"/>
    <n v="0"/>
  </r>
  <r>
    <s v="Retail"/>
    <s v="Q003 - Cali - Calle 23"/>
    <x v="5"/>
    <s v="septiembre"/>
    <n v="28"/>
    <d v="2026-09-28T00:00:00"/>
    <n v="1007729215"/>
    <s v="ESCOBAR QUINTERO MARLON"/>
    <n v="67"/>
    <n v="0"/>
    <n v="3370884"/>
  </r>
  <r>
    <s v="Retail"/>
    <s v="Q003 - Cali - Calle 23"/>
    <x v="5"/>
    <s v="septiembre"/>
    <n v="28"/>
    <d v="2026-09-28T00:00:00"/>
    <n v="1110040133"/>
    <s v="FLOREZ  GARCÍA SAMUEL "/>
    <n v="55"/>
    <n v="0"/>
    <n v="3125674"/>
  </r>
  <r>
    <s v="Retail"/>
    <s v="Q003 - Cali - Calle 23"/>
    <x v="5"/>
    <s v="septiembre"/>
    <n v="28"/>
    <d v="2026-09-28T00:00:00"/>
    <n v="1110292684"/>
    <s v="ARVAJAL PIEDRAHITA SANTIAGO"/>
    <n v="30"/>
    <n v="0"/>
    <n v="1721218"/>
  </r>
  <r>
    <s v="Retail"/>
    <s v="Q003 - Cali - Calle 23"/>
    <x v="5"/>
    <s v="septiembre"/>
    <n v="29"/>
    <d v="2026-09-29T00:00:00"/>
    <m/>
    <m/>
    <n v="0"/>
    <n v="5704619"/>
    <n v="0"/>
  </r>
  <r>
    <s v="Retail"/>
    <s v="Q003 - Cali - Calle 23"/>
    <x v="5"/>
    <s v="septiembre"/>
    <n v="29"/>
    <d v="2026-09-29T00:00:00"/>
    <n v="1007729215"/>
    <s v="ESCOBAR QUINTERO MARLON"/>
    <n v="50"/>
    <n v="0"/>
    <n v="2407271"/>
  </r>
  <r>
    <s v="Retail"/>
    <s v="Q003 - Cali - Calle 23"/>
    <x v="5"/>
    <s v="septiembre"/>
    <n v="29"/>
    <d v="2026-09-29T00:00:00"/>
    <n v="1102868881"/>
    <s v="ESCOBAR PERNA SEBASTIAN DAVID"/>
    <n v="-1"/>
    <n v="0"/>
    <n v="-105000"/>
  </r>
  <r>
    <s v="Retail"/>
    <s v="Q003 - Cali - Calle 23"/>
    <x v="5"/>
    <s v="septiembre"/>
    <n v="29"/>
    <d v="2026-09-29T00:00:00"/>
    <n v="1110040133"/>
    <s v="FLOREZ  GARCÍA SAMUEL "/>
    <n v="38"/>
    <n v="0"/>
    <n v="2208279"/>
  </r>
  <r>
    <s v="Retail"/>
    <s v="Q003 - Cali - Calle 23"/>
    <x v="5"/>
    <s v="septiembre"/>
    <n v="29"/>
    <d v="2026-09-29T00:00:00"/>
    <n v="1110292684"/>
    <s v="ARVAJAL PIEDRAHITA SANTIAGO"/>
    <n v="17"/>
    <n v="0"/>
    <n v="1066472"/>
  </r>
  <r>
    <s v="Retail"/>
    <s v="Q003 - Cali - Calle 23"/>
    <x v="5"/>
    <s v="septiembre"/>
    <n v="29"/>
    <d v="2026-09-29T00:00:00"/>
    <n v="1193597754"/>
    <s v="CASTILLO SOLIS CARMEN CECILIA"/>
    <n v="-1"/>
    <n v="0"/>
    <n v="-50378"/>
  </r>
  <r>
    <s v="Retail"/>
    <s v="Q003 - Cali - Calle 23"/>
    <x v="5"/>
    <s v="septiembre"/>
    <n v="30"/>
    <d v="2026-09-30T00:00:00"/>
    <m/>
    <m/>
    <n v="0"/>
    <n v="6022934"/>
    <n v="0"/>
  </r>
  <r>
    <s v="Retail"/>
    <s v="Q003 - Cali - Calle 23"/>
    <x v="5"/>
    <s v="septiembre"/>
    <n v="30"/>
    <d v="2026-09-30T00:00:00"/>
    <n v="1007729215"/>
    <s v="ESCOBAR QUINTERO MARLON"/>
    <n v="74"/>
    <n v="0"/>
    <n v="3454203"/>
  </r>
  <r>
    <s v="Retail"/>
    <s v="Q003 - Cali - Calle 23"/>
    <x v="5"/>
    <s v="septiembre"/>
    <n v="30"/>
    <d v="2026-09-30T00:00:00"/>
    <n v="1110040133"/>
    <s v="FLOREZ  GARCÍA SAMUEL "/>
    <n v="75"/>
    <n v="0"/>
    <n v="3474916"/>
  </r>
  <r>
    <s v="Retail"/>
    <s v="Q003 - Cali - Calle 23"/>
    <x v="5"/>
    <s v="septiembre"/>
    <n v="30"/>
    <d v="2026-09-30T00:00:00"/>
    <n v="1110292684"/>
    <s v="ARVAJAL PIEDRAHITA SANTIAGO"/>
    <n v="27"/>
    <n v="0"/>
    <n v="931220"/>
  </r>
  <r>
    <s v="Retail"/>
    <s v="Q003 - Cali - Calle 23"/>
    <x v="5"/>
    <s v="octubre"/>
    <n v="1"/>
    <d v="2026-10-01T00:00:00"/>
    <m/>
    <m/>
    <n v="0"/>
    <n v="5294324"/>
    <n v="0"/>
  </r>
  <r>
    <s v="Retail"/>
    <s v="Q003 - Cali - Calle 23"/>
    <x v="5"/>
    <s v="octubre"/>
    <n v="1"/>
    <d v="2026-10-01T00:00:00"/>
    <n v="6469923"/>
    <s v="RODRIGUEZ MELENDEZ ERWIN JOSE"/>
    <n v="-1"/>
    <n v="0"/>
    <n v="-33529"/>
  </r>
  <r>
    <s v="Retail"/>
    <s v="Q003 - Cali - Calle 23"/>
    <x v="5"/>
    <s v="octubre"/>
    <n v="1"/>
    <d v="2026-10-01T00:00:00"/>
    <n v="1007729215"/>
    <s v="ESCOBAR QUINTERO MARLON"/>
    <n v="45"/>
    <n v="0"/>
    <n v="2285800"/>
  </r>
  <r>
    <s v="Retail"/>
    <s v="Q003 - Cali - Calle 23"/>
    <x v="5"/>
    <s v="octubre"/>
    <n v="1"/>
    <d v="2026-10-01T00:00:00"/>
    <n v="1110040133"/>
    <s v="FLOREZ  GARCÍA SAMUEL "/>
    <n v="44"/>
    <n v="0"/>
    <n v="2252272"/>
  </r>
  <r>
    <s v="Retail"/>
    <s v="Q003 - Cali - Calle 23"/>
    <x v="5"/>
    <s v="octubre"/>
    <n v="1"/>
    <d v="2026-10-01T00:00:00"/>
    <n v="1110292684"/>
    <s v="ARVAJAL PIEDRAHITA SANTIAGO"/>
    <n v="28"/>
    <n v="0"/>
    <n v="1028068"/>
  </r>
  <r>
    <s v="Retail"/>
    <s v="Q003 - Cali - Calle 23"/>
    <x v="5"/>
    <s v="octubre"/>
    <n v="2"/>
    <d v="2026-10-02T00:00:00"/>
    <m/>
    <m/>
    <n v="0"/>
    <n v="4973364"/>
    <n v="0"/>
  </r>
  <r>
    <s v="Retail"/>
    <s v="Q003 - Cali - Calle 23"/>
    <x v="5"/>
    <s v="octubre"/>
    <n v="2"/>
    <d v="2026-10-02T00:00:00"/>
    <n v="1007729215"/>
    <s v="ESCOBAR QUINTERO MARLON"/>
    <n v="38"/>
    <n v="0"/>
    <n v="1804874"/>
  </r>
  <r>
    <s v="Retail"/>
    <s v="Q003 - Cali - Calle 23"/>
    <x v="5"/>
    <s v="octubre"/>
    <n v="2"/>
    <d v="2026-10-02T00:00:00"/>
    <n v="1110040133"/>
    <s v="FLOREZ  GARCÍA SAMUEL "/>
    <n v="34"/>
    <n v="0"/>
    <n v="1819705"/>
  </r>
  <r>
    <s v="Retail"/>
    <s v="Q003 - Cali - Calle 23"/>
    <x v="5"/>
    <s v="octubre"/>
    <n v="2"/>
    <d v="2026-10-02T00:00:00"/>
    <n v="1110292684"/>
    <s v="ARVAJAL PIEDRAHITA SANTIAGO"/>
    <n v="20"/>
    <n v="0"/>
    <n v="1070377"/>
  </r>
  <r>
    <s v="Retail"/>
    <s v="Q003 - Cali - Calle 23"/>
    <x v="5"/>
    <s v="octubre"/>
    <n v="3"/>
    <d v="2026-10-03T00:00:00"/>
    <m/>
    <m/>
    <n v="0"/>
    <n v="12854705"/>
    <n v="0"/>
  </r>
  <r>
    <s v="Retail"/>
    <s v="Q003 - Cali - Calle 23"/>
    <x v="5"/>
    <s v="octubre"/>
    <n v="3"/>
    <d v="2026-10-03T00:00:00"/>
    <n v="1006048956"/>
    <s v="MENESES OLAYA SEBASTIAN"/>
    <n v="-1"/>
    <n v="0"/>
    <n v="-75546"/>
  </r>
  <r>
    <s v="Retail"/>
    <s v="Q003 - Cali - Calle 23"/>
    <x v="5"/>
    <s v="octubre"/>
    <n v="3"/>
    <d v="2026-10-03T00:00:00"/>
    <n v="1007729215"/>
    <s v="ESCOBAR QUINTERO MARLON"/>
    <n v="102"/>
    <n v="0"/>
    <n v="5103975"/>
  </r>
  <r>
    <s v="Retail"/>
    <s v="Q003 - Cali - Calle 23"/>
    <x v="5"/>
    <s v="octubre"/>
    <n v="3"/>
    <d v="2026-10-03T00:00:00"/>
    <n v="1110040133"/>
    <s v="FLOREZ  GARCÍA SAMUEL "/>
    <n v="104"/>
    <n v="0"/>
    <n v="4772565"/>
  </r>
  <r>
    <s v="Retail"/>
    <s v="Q003 - Cali - Calle 23"/>
    <x v="5"/>
    <s v="octubre"/>
    <n v="3"/>
    <d v="2026-10-03T00:00:00"/>
    <n v="1110292684"/>
    <s v="ARVAJAL PIEDRAHITA SANTIAGO"/>
    <n v="63"/>
    <n v="0"/>
    <n v="2425634"/>
  </r>
  <r>
    <s v="Retail"/>
    <s v="Q003 - Cali - Calle 23"/>
    <x v="5"/>
    <s v="octubre"/>
    <n v="4"/>
    <d v="2026-10-04T00:00:00"/>
    <m/>
    <m/>
    <n v="0"/>
    <n v="3635740"/>
    <n v="0"/>
  </r>
  <r>
    <s v="Retail"/>
    <s v="Q003 - Cali - Calle 23"/>
    <x v="5"/>
    <s v="octubre"/>
    <n v="4"/>
    <d v="2026-10-04T00:00:00"/>
    <n v="1007729215"/>
    <s v="ESCOBAR QUINTERO MARLON"/>
    <n v="22"/>
    <n v="0"/>
    <n v="1057774"/>
  </r>
  <r>
    <s v="Retail"/>
    <s v="Q003 - Cali - Calle 23"/>
    <x v="5"/>
    <s v="octubre"/>
    <n v="4"/>
    <d v="2026-10-04T00:00:00"/>
    <n v="1110040133"/>
    <s v="FLOREZ  GARCÍA SAMUEL "/>
    <n v="32"/>
    <n v="0"/>
    <n v="1141302"/>
  </r>
  <r>
    <s v="Retail"/>
    <s v="Q003 - Cali - Calle 23"/>
    <x v="5"/>
    <s v="octubre"/>
    <n v="5"/>
    <d v="2026-10-05T00:00:00"/>
    <m/>
    <m/>
    <n v="0"/>
    <n v="10853522"/>
    <n v="0"/>
  </r>
  <r>
    <s v="Retail"/>
    <s v="Q003 - Cali - Calle 23"/>
    <x v="5"/>
    <s v="octubre"/>
    <n v="5"/>
    <d v="2026-10-05T00:00:00"/>
    <n v="1007729215"/>
    <s v="ESCOBAR QUINTERO MARLON"/>
    <n v="34"/>
    <n v="0"/>
    <n v="1914540"/>
  </r>
  <r>
    <s v="Retail"/>
    <s v="Q003 - Cali - Calle 23"/>
    <x v="5"/>
    <s v="octubre"/>
    <n v="5"/>
    <d v="2026-10-05T00:00:00"/>
    <n v="1110040133"/>
    <s v="FLOREZ  GARCÍA SAMUEL "/>
    <n v="35"/>
    <n v="0"/>
    <n v="2036306"/>
  </r>
  <r>
    <s v="Retail"/>
    <s v="Q003 - Cali - Calle 23"/>
    <x v="5"/>
    <s v="octubre"/>
    <n v="5"/>
    <d v="2026-10-05T00:00:00"/>
    <n v="1110292684"/>
    <s v="ARVAJAL PIEDRAHITA SANTIAGO"/>
    <n v="25"/>
    <n v="0"/>
    <n v="1019666"/>
  </r>
  <r>
    <s v="Retail"/>
    <s v="Q003 - Cali - Calle 23"/>
    <x v="5"/>
    <s v="octubre"/>
    <n v="6"/>
    <d v="2026-10-06T00:00:00"/>
    <m/>
    <m/>
    <n v="0"/>
    <n v="4734559"/>
    <n v="0"/>
  </r>
  <r>
    <s v="Retail"/>
    <s v="Q003 - Cali - Calle 23"/>
    <x v="5"/>
    <s v="octubre"/>
    <n v="6"/>
    <d v="2026-10-06T00:00:00"/>
    <n v="1007729215"/>
    <s v="ESCOBAR QUINTERO MARLON"/>
    <n v="19"/>
    <n v="0"/>
    <n v="767567"/>
  </r>
  <r>
    <s v="Retail"/>
    <s v="Q003 - Cali - Calle 23"/>
    <x v="5"/>
    <s v="octubre"/>
    <n v="6"/>
    <d v="2026-10-06T00:00:00"/>
    <n v="1110040133"/>
    <s v="FLOREZ  GARCÍA SAMUEL "/>
    <n v="22"/>
    <n v="0"/>
    <n v="890581"/>
  </r>
  <r>
    <s v="Retail"/>
    <s v="Q003 - Cali - Calle 23"/>
    <x v="5"/>
    <s v="octubre"/>
    <n v="6"/>
    <d v="2026-10-06T00:00:00"/>
    <n v="1110292684"/>
    <s v="ARVAJAL PIEDRAHITA SANTIAGO"/>
    <n v="0"/>
    <n v="0"/>
    <n v="-63067"/>
  </r>
  <r>
    <s v="Retail"/>
    <s v="Q003 - Cali - Calle 23"/>
    <x v="5"/>
    <s v="octubre"/>
    <n v="6"/>
    <d v="2026-10-06T00:00:00"/>
    <n v="1111665228"/>
    <s v="RIVERA ZUÑIGA JUAN DIEGO"/>
    <n v="-1"/>
    <n v="0"/>
    <n v="-105000"/>
  </r>
  <r>
    <s v="Retail"/>
    <s v="Q003 - Cali - Calle 23"/>
    <x v="5"/>
    <s v="octubre"/>
    <n v="7"/>
    <d v="2026-10-07T00:00:00"/>
    <m/>
    <m/>
    <n v="0"/>
    <n v="4697362"/>
    <n v="0"/>
  </r>
  <r>
    <s v="Retail"/>
    <s v="Q003 - Cali - Calle 23"/>
    <x v="5"/>
    <s v="octubre"/>
    <n v="7"/>
    <d v="2026-10-07T00:00:00"/>
    <n v="1007729215"/>
    <s v="ESCOBAR QUINTERO MARLON"/>
    <n v="36"/>
    <n v="0"/>
    <n v="1767313"/>
  </r>
  <r>
    <s v="Retail"/>
    <s v="Q003 - Cali - Calle 23"/>
    <x v="5"/>
    <s v="octubre"/>
    <n v="7"/>
    <d v="2026-10-07T00:00:00"/>
    <n v="1110040133"/>
    <s v="FLOREZ  GARCÍA SAMUEL "/>
    <n v="40"/>
    <n v="0"/>
    <n v="1918994"/>
  </r>
  <r>
    <s v="Retail"/>
    <s v="Q003 - Cali - Calle 23"/>
    <x v="5"/>
    <s v="octubre"/>
    <n v="7"/>
    <d v="2026-10-07T00:00:00"/>
    <n v="1110292684"/>
    <s v="ARVAJAL PIEDRAHITA SANTIAGO"/>
    <n v="21"/>
    <n v="0"/>
    <n v="908488"/>
  </r>
  <r>
    <s v="Retail"/>
    <s v="Q008 - Cali - Alameda"/>
    <x v="5"/>
    <s v="septiembre"/>
    <n v="23"/>
    <d v="2026-09-23T00:00:00"/>
    <m/>
    <m/>
    <n v="0"/>
    <n v="5304382"/>
    <n v="0"/>
  </r>
  <r>
    <s v="Retail"/>
    <s v="Q008 - Cali - Alameda"/>
    <x v="5"/>
    <s v="septiembre"/>
    <n v="23"/>
    <d v="2026-09-23T00:00:00"/>
    <n v="1005893835"/>
    <s v="POPO MOSQUERA ANGIE   NATHALIA"/>
    <n v="15"/>
    <n v="0"/>
    <n v="818617"/>
  </r>
  <r>
    <s v="Retail"/>
    <s v="Q008 - Cali - Alameda"/>
    <x v="5"/>
    <s v="septiembre"/>
    <n v="23"/>
    <d v="2026-09-23T00:00:00"/>
    <n v="1102868881"/>
    <s v="ESCOBAR PERNA SEBASTIAN DAVID"/>
    <n v="36"/>
    <n v="0"/>
    <n v="1913994"/>
  </r>
  <r>
    <s v="Retail"/>
    <s v="Q008 - Cali - Alameda"/>
    <x v="5"/>
    <s v="septiembre"/>
    <n v="23"/>
    <d v="2026-09-23T00:00:00"/>
    <n v="1144159588"/>
    <s v="ARCE CASTELLANOS CRISTIAN ALBERTO"/>
    <n v="43"/>
    <n v="0"/>
    <n v="2050379"/>
  </r>
  <r>
    <s v="Retail"/>
    <s v="Q008 - Cali - Alameda"/>
    <x v="5"/>
    <s v="septiembre"/>
    <n v="24"/>
    <d v="2026-09-24T00:00:00"/>
    <m/>
    <m/>
    <n v="0"/>
    <n v="8103038"/>
    <n v="0"/>
  </r>
  <r>
    <s v="Retail"/>
    <s v="Q008 - Cali - Alameda"/>
    <x v="5"/>
    <s v="septiembre"/>
    <n v="24"/>
    <d v="2026-09-24T00:00:00"/>
    <n v="1005893835"/>
    <s v="POPO MOSQUERA ANGIE   NATHALIA"/>
    <n v="57"/>
    <n v="0"/>
    <n v="2715633"/>
  </r>
  <r>
    <s v="Retail"/>
    <s v="Q008 - Cali - Alameda"/>
    <x v="5"/>
    <s v="septiembre"/>
    <n v="24"/>
    <d v="2026-09-24T00:00:00"/>
    <n v="1102868881"/>
    <s v="ESCOBAR PERNA SEBASTIAN DAVID"/>
    <n v="42"/>
    <n v="0"/>
    <n v="2128195"/>
  </r>
  <r>
    <s v="Retail"/>
    <s v="Q008 - Cali - Alameda"/>
    <x v="5"/>
    <s v="septiembre"/>
    <n v="24"/>
    <d v="2026-09-24T00:00:00"/>
    <n v="1144159588"/>
    <s v="ARCE CASTELLANOS CRISTIAN ALBERTO"/>
    <n v="42"/>
    <n v="0"/>
    <n v="2154136"/>
  </r>
  <r>
    <s v="Retail"/>
    <s v="Q008 - Cali - Alameda"/>
    <x v="5"/>
    <s v="septiembre"/>
    <n v="25"/>
    <d v="2026-09-25T00:00:00"/>
    <m/>
    <m/>
    <n v="0"/>
    <n v="8085102"/>
    <n v="0"/>
  </r>
  <r>
    <s v="Retail"/>
    <s v="Q008 - Cali - Alameda"/>
    <x v="5"/>
    <s v="septiembre"/>
    <n v="25"/>
    <d v="2026-09-25T00:00:00"/>
    <n v="1005893835"/>
    <s v="POPO MOSQUERA ANGIE   NATHALIA"/>
    <n v="75"/>
    <n v="0"/>
    <n v="3538367"/>
  </r>
  <r>
    <s v="Retail"/>
    <s v="Q008 - Cali - Alameda"/>
    <x v="5"/>
    <s v="septiembre"/>
    <n v="25"/>
    <d v="2026-09-25T00:00:00"/>
    <n v="1102868881"/>
    <s v="ESCOBAR PERNA SEBASTIAN DAVID"/>
    <n v="53"/>
    <n v="0"/>
    <n v="2949246"/>
  </r>
  <r>
    <s v="Retail"/>
    <s v="Q008 - Cali - Alameda"/>
    <x v="5"/>
    <s v="septiembre"/>
    <n v="25"/>
    <d v="2026-09-25T00:00:00"/>
    <n v="1144159588"/>
    <s v="ARCE CASTELLANOS CRISTIAN ALBERTO"/>
    <n v="59"/>
    <n v="0"/>
    <n v="2992943"/>
  </r>
  <r>
    <s v="Retail"/>
    <s v="Q008 - Cali - Alameda"/>
    <x v="5"/>
    <s v="septiembre"/>
    <n v="25"/>
    <d v="2026-09-25T00:00:00"/>
    <n v="1144212178"/>
    <s v="TELLO CASTRO NICOLAS"/>
    <n v="-1"/>
    <n v="0"/>
    <n v="-41975"/>
  </r>
  <r>
    <s v="Retail"/>
    <s v="Q008 - Cali - Alameda"/>
    <x v="5"/>
    <s v="septiembre"/>
    <n v="26"/>
    <d v="2026-09-26T00:00:00"/>
    <m/>
    <m/>
    <n v="0"/>
    <n v="11619454"/>
    <n v="0"/>
  </r>
  <r>
    <s v="Retail"/>
    <s v="Q008 - Cali - Alameda"/>
    <x v="5"/>
    <s v="septiembre"/>
    <n v="26"/>
    <d v="2026-09-26T00:00:00"/>
    <n v="1005893835"/>
    <s v="POPO MOSQUERA ANGIE   NATHALIA"/>
    <n v="71"/>
    <n v="0"/>
    <n v="3576529"/>
  </r>
  <r>
    <s v="Retail"/>
    <s v="Q008 - Cali - Alameda"/>
    <x v="5"/>
    <s v="septiembre"/>
    <n v="26"/>
    <d v="2026-09-26T00:00:00"/>
    <n v="1102868881"/>
    <s v="ESCOBAR PERNA SEBASTIAN DAVID"/>
    <n v="79"/>
    <n v="0"/>
    <n v="3687565"/>
  </r>
  <r>
    <s v="Retail"/>
    <s v="Q008 - Cali - Alameda"/>
    <x v="5"/>
    <s v="septiembre"/>
    <n v="26"/>
    <d v="2026-09-26T00:00:00"/>
    <n v="1107047599"/>
    <s v="HURTADO PAREDES CRISTIAN ANDRES"/>
    <n v="-1"/>
    <n v="0"/>
    <n v="-46177"/>
  </r>
  <r>
    <s v="Retail"/>
    <s v="Q008 - Cali - Alameda"/>
    <x v="5"/>
    <s v="septiembre"/>
    <n v="26"/>
    <d v="2026-09-26T00:00:00"/>
    <n v="1144159588"/>
    <s v="ARCE CASTELLANOS CRISTIAN ALBERTO"/>
    <n v="70"/>
    <n v="0"/>
    <n v="3566139"/>
  </r>
  <r>
    <s v="Retail"/>
    <s v="Q008 - Cali - Alameda"/>
    <x v="5"/>
    <s v="septiembre"/>
    <n v="27"/>
    <d v="2026-09-27T00:00:00"/>
    <m/>
    <m/>
    <n v="0"/>
    <n v="9204946"/>
    <n v="0"/>
  </r>
  <r>
    <s v="Retail"/>
    <s v="Q008 - Cali - Alameda"/>
    <x v="5"/>
    <s v="septiembre"/>
    <n v="27"/>
    <d v="2026-09-27T00:00:00"/>
    <n v="1102868881"/>
    <s v="ESCOBAR PERNA SEBASTIAN DAVID"/>
    <n v="23"/>
    <n v="0"/>
    <n v="1206849"/>
  </r>
  <r>
    <s v="Retail"/>
    <s v="Q008 - Cali - Alameda"/>
    <x v="5"/>
    <s v="septiembre"/>
    <n v="27"/>
    <d v="2026-09-27T00:00:00"/>
    <n v="1110292684"/>
    <s v="ARVAJAL PIEDRAHITA SANTIAGO"/>
    <n v="-1"/>
    <n v="0"/>
    <n v="-41975"/>
  </r>
  <r>
    <s v="Retail"/>
    <s v="Q008 - Cali - Alameda"/>
    <x v="5"/>
    <s v="septiembre"/>
    <n v="27"/>
    <d v="2026-09-27T00:00:00"/>
    <n v="1144159588"/>
    <s v="ARCE CASTELLANOS CRISTIAN ALBERTO"/>
    <n v="23"/>
    <n v="0"/>
    <n v="1125000"/>
  </r>
  <r>
    <s v="Retail"/>
    <s v="Q008 - Cali - Alameda"/>
    <x v="5"/>
    <s v="septiembre"/>
    <n v="28"/>
    <d v="2026-09-28T00:00:00"/>
    <m/>
    <m/>
    <n v="0"/>
    <n v="5182796"/>
    <n v="0"/>
  </r>
  <r>
    <s v="Retail"/>
    <s v="Q008 - Cali - Alameda"/>
    <x v="5"/>
    <s v="septiembre"/>
    <n v="28"/>
    <d v="2026-09-28T00:00:00"/>
    <n v="1001132922"/>
    <s v="GOMEZ MONTANA DIANA CAROLINA"/>
    <n v="-1"/>
    <n v="0"/>
    <n v="-109202"/>
  </r>
  <r>
    <s v="Retail"/>
    <s v="Q008 - Cali - Alameda"/>
    <x v="5"/>
    <s v="septiembre"/>
    <n v="28"/>
    <d v="2026-09-28T00:00:00"/>
    <n v="1005893835"/>
    <s v="POPO MOSQUERA ANGIE   NATHALIA"/>
    <n v="54"/>
    <n v="0"/>
    <n v="2180214"/>
  </r>
  <r>
    <s v="Retail"/>
    <s v="Q008 - Cali - Alameda"/>
    <x v="5"/>
    <s v="septiembre"/>
    <n v="28"/>
    <d v="2026-09-28T00:00:00"/>
    <n v="1102868881"/>
    <s v="ESCOBAR PERNA SEBASTIAN DAVID"/>
    <n v="44"/>
    <n v="0"/>
    <n v="2869918"/>
  </r>
  <r>
    <s v="Retail"/>
    <s v="Q008 - Cali - Alameda"/>
    <x v="5"/>
    <s v="septiembre"/>
    <n v="28"/>
    <d v="2026-09-28T00:00:00"/>
    <n v="1143872360"/>
    <s v="TORRES SALINAS JUAN DAVID"/>
    <n v="-1"/>
    <n v="0"/>
    <n v="-71386"/>
  </r>
  <r>
    <s v="Retail"/>
    <s v="Q008 - Cali - Alameda"/>
    <x v="5"/>
    <s v="septiembre"/>
    <n v="28"/>
    <d v="2026-09-28T00:00:00"/>
    <n v="1144159588"/>
    <s v="ARCE CASTELLANOS CRISTIAN ALBERTO"/>
    <n v="52"/>
    <n v="0"/>
    <n v="2959918"/>
  </r>
  <r>
    <s v="Retail"/>
    <s v="Q008 - Cali - Alameda"/>
    <x v="5"/>
    <s v="septiembre"/>
    <n v="29"/>
    <d v="2026-09-29T00:00:00"/>
    <m/>
    <m/>
    <n v="0"/>
    <n v="5294733"/>
    <n v="0"/>
  </r>
  <r>
    <s v="Retail"/>
    <s v="Q008 - Cali - Alameda"/>
    <x v="5"/>
    <s v="septiembre"/>
    <n v="29"/>
    <d v="2026-09-29T00:00:00"/>
    <n v="1005893835"/>
    <s v="POPO MOSQUERA ANGIE   NATHALIA"/>
    <n v="28"/>
    <n v="0"/>
    <n v="1490297"/>
  </r>
  <r>
    <s v="Retail"/>
    <s v="Q008 - Cali - Alameda"/>
    <x v="5"/>
    <s v="septiembre"/>
    <n v="29"/>
    <d v="2026-09-29T00:00:00"/>
    <n v="1102868881"/>
    <s v="ESCOBAR PERNA SEBASTIAN DAVID"/>
    <n v="36"/>
    <n v="0"/>
    <n v="1981560"/>
  </r>
  <r>
    <s v="Retail"/>
    <s v="Q008 - Cali - Alameda"/>
    <x v="5"/>
    <s v="septiembre"/>
    <n v="29"/>
    <d v="2026-09-29T00:00:00"/>
    <n v="1144159588"/>
    <s v="ARCE CASTELLANOS CRISTIAN ALBERTO"/>
    <n v="42"/>
    <n v="0"/>
    <n v="2306599"/>
  </r>
  <r>
    <s v="Retail"/>
    <s v="Q008 - Cali - Alameda"/>
    <x v="5"/>
    <s v="septiembre"/>
    <n v="30"/>
    <d v="2026-09-30T00:00:00"/>
    <m/>
    <m/>
    <n v="0"/>
    <n v="5590182"/>
    <n v="0"/>
  </r>
  <r>
    <s v="Retail"/>
    <s v="Q008 - Cali - Alameda"/>
    <x v="5"/>
    <s v="septiembre"/>
    <n v="30"/>
    <d v="2026-09-30T00:00:00"/>
    <n v="1005893835"/>
    <s v="POPO MOSQUERA ANGIE   NATHALIA"/>
    <n v="13"/>
    <n v="0"/>
    <n v="675884"/>
  </r>
  <r>
    <s v="Retail"/>
    <s v="Q008 - Cali - Alameda"/>
    <x v="5"/>
    <s v="septiembre"/>
    <n v="30"/>
    <d v="2026-09-30T00:00:00"/>
    <n v="1102868881"/>
    <s v="ESCOBAR PERNA SEBASTIAN DAVID"/>
    <n v="64"/>
    <n v="0"/>
    <n v="3202818"/>
  </r>
  <r>
    <s v="Retail"/>
    <s v="Q008 - Cali - Alameda"/>
    <x v="5"/>
    <s v="septiembre"/>
    <n v="30"/>
    <d v="2026-09-30T00:00:00"/>
    <n v="1144159588"/>
    <s v="ARCE CASTELLANOS CRISTIAN ALBERTO"/>
    <n v="64"/>
    <n v="0"/>
    <n v="3090195"/>
  </r>
  <r>
    <s v="Retail"/>
    <s v="Q008 - Cali - Alameda"/>
    <x v="5"/>
    <s v="octubre"/>
    <n v="1"/>
    <d v="2026-10-01T00:00:00"/>
    <m/>
    <m/>
    <n v="0"/>
    <n v="7581551"/>
    <n v="0"/>
  </r>
  <r>
    <s v="Retail"/>
    <s v="Q008 - Cali - Alameda"/>
    <x v="5"/>
    <s v="octubre"/>
    <n v="1"/>
    <d v="2026-10-01T00:00:00"/>
    <n v="1005893835"/>
    <s v="POPO MOSQUERA ANGIE   NATHALIA"/>
    <n v="-2"/>
    <n v="0"/>
    <n v="-92353"/>
  </r>
  <r>
    <s v="Retail"/>
    <s v="Q008 - Cali - Alameda"/>
    <x v="5"/>
    <s v="octubre"/>
    <n v="1"/>
    <d v="2026-10-01T00:00:00"/>
    <n v="1102868881"/>
    <s v="ESCOBAR PERNA SEBASTIAN DAVID"/>
    <n v="39"/>
    <n v="0"/>
    <n v="2052730"/>
  </r>
  <r>
    <s v="Retail"/>
    <s v="Q008 - Cali - Alameda"/>
    <x v="5"/>
    <s v="octubre"/>
    <n v="1"/>
    <d v="2026-10-01T00:00:00"/>
    <n v="1144159588"/>
    <s v="ARCE CASTELLANOS CRISTIAN ALBERTO"/>
    <n v="44"/>
    <n v="0"/>
    <n v="2115559"/>
  </r>
  <r>
    <s v="Retail"/>
    <s v="Q008 - Cali - Alameda"/>
    <x v="5"/>
    <s v="octubre"/>
    <n v="2"/>
    <d v="2026-10-02T00:00:00"/>
    <m/>
    <m/>
    <n v="0"/>
    <n v="5885008"/>
    <n v="0"/>
  </r>
  <r>
    <s v="Retail"/>
    <s v="Q008 - Cali - Alameda"/>
    <x v="5"/>
    <s v="octubre"/>
    <n v="2"/>
    <d v="2026-10-02T00:00:00"/>
    <n v="1005893835"/>
    <s v="POPO MOSQUERA ANGIE   NATHALIA"/>
    <n v="30"/>
    <n v="0"/>
    <n v="1187605"/>
  </r>
  <r>
    <s v="Retail"/>
    <s v="Q008 - Cali - Alameda"/>
    <x v="5"/>
    <s v="octubre"/>
    <n v="2"/>
    <d v="2026-10-02T00:00:00"/>
    <n v="1102868881"/>
    <s v="ESCOBAR PERNA SEBASTIAN DAVID"/>
    <n v="49"/>
    <n v="0"/>
    <n v="2121552"/>
  </r>
  <r>
    <s v="Retail"/>
    <s v="Q008 - Cali - Alameda"/>
    <x v="5"/>
    <s v="octubre"/>
    <n v="2"/>
    <d v="2026-10-02T00:00:00"/>
    <n v="1143851967"/>
    <s v="CASTILLO CASTILLO JOHAN SEBASTIAN"/>
    <n v="-1"/>
    <n v="0"/>
    <n v="-41975"/>
  </r>
  <r>
    <s v="Retail"/>
    <s v="Q008 - Cali - Alameda"/>
    <x v="5"/>
    <s v="octubre"/>
    <n v="2"/>
    <d v="2026-10-02T00:00:00"/>
    <n v="1144159588"/>
    <s v="ARCE CASTELLANOS CRISTIAN ALBERTO"/>
    <n v="32"/>
    <n v="0"/>
    <n v="1597143"/>
  </r>
  <r>
    <s v="Retail"/>
    <s v="Q008 - Cali - Alameda"/>
    <x v="5"/>
    <s v="octubre"/>
    <n v="3"/>
    <d v="2026-10-03T00:00:00"/>
    <m/>
    <m/>
    <n v="0"/>
    <n v="14681832"/>
    <n v="0"/>
  </r>
  <r>
    <s v="Retail"/>
    <s v="Q008 - Cali - Alameda"/>
    <x v="5"/>
    <s v="octubre"/>
    <n v="3"/>
    <d v="2026-10-03T00:00:00"/>
    <n v="1005893835"/>
    <s v="POPO MOSQUERA ANGIE   NATHALIA"/>
    <n v="82"/>
    <n v="0"/>
    <n v="3464263"/>
  </r>
  <r>
    <s v="Retail"/>
    <s v="Q008 - Cali - Alameda"/>
    <x v="5"/>
    <s v="octubre"/>
    <n v="3"/>
    <d v="2026-10-03T00:00:00"/>
    <n v="1044101083"/>
    <s v="GAMBOA OROZCO EDWIN FERNANDO"/>
    <n v="-1"/>
    <n v="0"/>
    <n v="-83992"/>
  </r>
  <r>
    <s v="Retail"/>
    <s v="Q008 - Cali - Alameda"/>
    <x v="5"/>
    <s v="octubre"/>
    <n v="3"/>
    <d v="2026-10-03T00:00:00"/>
    <n v="1102868881"/>
    <s v="ESCOBAR PERNA SEBASTIAN DAVID"/>
    <n v="83"/>
    <n v="0"/>
    <n v="4252470"/>
  </r>
  <r>
    <s v="Retail"/>
    <s v="Q008 - Cali - Alameda"/>
    <x v="5"/>
    <s v="octubre"/>
    <n v="3"/>
    <d v="2026-10-03T00:00:00"/>
    <n v="1107530246"/>
    <s v="CALDERON CASTANEDA CRISTHIAN CAMILO"/>
    <n v="-1"/>
    <n v="0"/>
    <n v="-54580"/>
  </r>
  <r>
    <s v="Retail"/>
    <s v="Q008 - Cali - Alameda"/>
    <x v="5"/>
    <s v="octubre"/>
    <n v="3"/>
    <d v="2026-10-03T00:00:00"/>
    <n v="1144159588"/>
    <s v="ARCE CASTELLANOS CRISTIAN ALBERTO"/>
    <n v="82"/>
    <n v="0"/>
    <n v="4119025"/>
  </r>
  <r>
    <s v="Retail"/>
    <s v="Q008 - Cali - Alameda"/>
    <x v="5"/>
    <s v="octubre"/>
    <n v="4"/>
    <d v="2026-10-04T00:00:00"/>
    <m/>
    <m/>
    <n v="0"/>
    <n v="3883608"/>
    <n v="0"/>
  </r>
  <r>
    <s v="Retail"/>
    <s v="Q008 - Cali - Alameda"/>
    <x v="5"/>
    <s v="octubre"/>
    <n v="4"/>
    <d v="2026-10-04T00:00:00"/>
    <n v="1102868881"/>
    <s v="ESCOBAR PERNA SEBASTIAN DAVID"/>
    <n v="36"/>
    <n v="0"/>
    <n v="1584247"/>
  </r>
  <r>
    <s v="Retail"/>
    <s v="Q008 - Cali - Alameda"/>
    <x v="5"/>
    <s v="octubre"/>
    <n v="5"/>
    <d v="2026-10-05T00:00:00"/>
    <m/>
    <m/>
    <n v="0"/>
    <n v="6631100"/>
    <n v="0"/>
  </r>
  <r>
    <s v="Retail"/>
    <s v="Q008 - Cali - Alameda"/>
    <x v="5"/>
    <s v="octubre"/>
    <n v="5"/>
    <d v="2026-10-05T00:00:00"/>
    <n v="1005893835"/>
    <s v="POPO MOSQUERA ANGIE   NATHALIA"/>
    <n v="51"/>
    <n v="0"/>
    <n v="2098129"/>
  </r>
  <r>
    <s v="Retail"/>
    <s v="Q008 - Cali - Alameda"/>
    <x v="5"/>
    <s v="octubre"/>
    <n v="5"/>
    <d v="2026-10-05T00:00:00"/>
    <n v="1102868881"/>
    <s v="ESCOBAR PERNA SEBASTIAN DAVID"/>
    <n v="63"/>
    <n v="0"/>
    <n v="3019528"/>
  </r>
  <r>
    <s v="Retail"/>
    <s v="Q008 - Cali - Alameda"/>
    <x v="5"/>
    <s v="octubre"/>
    <n v="5"/>
    <d v="2026-10-05T00:00:00"/>
    <n v="1144159588"/>
    <s v="ARCE CASTELLANOS CRISTIAN ALBERTO"/>
    <n v="54"/>
    <n v="0"/>
    <n v="2854666"/>
  </r>
  <r>
    <s v="Retail"/>
    <s v="Q008 - Cali - Alameda"/>
    <x v="5"/>
    <s v="octubre"/>
    <n v="6"/>
    <d v="2026-10-06T00:00:00"/>
    <m/>
    <m/>
    <n v="0"/>
    <n v="2549067"/>
    <n v="0"/>
  </r>
  <r>
    <s v="Retail"/>
    <s v="Q008 - Cali - Alameda"/>
    <x v="5"/>
    <s v="octubre"/>
    <n v="6"/>
    <d v="2026-10-06T00:00:00"/>
    <n v="1005893835"/>
    <s v="POPO MOSQUERA ANGIE   NATHALIA"/>
    <n v="38"/>
    <n v="0"/>
    <n v="1874246"/>
  </r>
  <r>
    <s v="Retail"/>
    <s v="Q008 - Cali - Alameda"/>
    <x v="5"/>
    <s v="octubre"/>
    <n v="6"/>
    <d v="2026-10-06T00:00:00"/>
    <n v="1107840490"/>
    <s v="LONDOÑO RODRIGUEZ NIKOL ANDREA"/>
    <n v="-1"/>
    <n v="0"/>
    <n v="-71386"/>
  </r>
  <r>
    <s v="Retail"/>
    <s v="Q008 - Cali - Alameda"/>
    <x v="5"/>
    <s v="octubre"/>
    <n v="6"/>
    <d v="2026-10-06T00:00:00"/>
    <n v="1144159588"/>
    <s v="ARCE CASTELLANOS CRISTIAN ALBERTO"/>
    <n v="47"/>
    <n v="0"/>
    <n v="2495684"/>
  </r>
  <r>
    <s v="Retail"/>
    <s v="Q008 - Cali - Alameda"/>
    <x v="5"/>
    <s v="octubre"/>
    <n v="7"/>
    <d v="2026-10-07T00:00:00"/>
    <m/>
    <m/>
    <n v="0"/>
    <n v="2529039"/>
    <n v="0"/>
  </r>
  <r>
    <s v="Retail"/>
    <s v="Q008 - Cali - Alameda"/>
    <x v="5"/>
    <s v="octubre"/>
    <n v="7"/>
    <d v="2026-10-07T00:00:00"/>
    <n v="1005893835"/>
    <s v="POPO MOSQUERA ANGIE   NATHALIA"/>
    <n v="41"/>
    <n v="0"/>
    <n v="1206584"/>
  </r>
  <r>
    <s v="Retail"/>
    <s v="Q008 - Cali - Alameda"/>
    <x v="5"/>
    <s v="octubre"/>
    <n v="7"/>
    <d v="2026-10-07T00:00:00"/>
    <n v="1044101083"/>
    <s v="GAMBOA OROZCO EDWIN FERNANDO"/>
    <n v="-1"/>
    <n v="0"/>
    <n v="-46177"/>
  </r>
  <r>
    <s v="Retail"/>
    <s v="Q008 - Cali - Alameda"/>
    <x v="5"/>
    <s v="octubre"/>
    <n v="7"/>
    <d v="2026-10-07T00:00:00"/>
    <n v="1102868881"/>
    <s v="ESCOBAR PERNA SEBASTIAN DAVID"/>
    <n v="36"/>
    <n v="0"/>
    <n v="1872310"/>
  </r>
  <r>
    <s v="Retail"/>
    <s v="Q008 - Cali - Alameda"/>
    <x v="5"/>
    <s v="octubre"/>
    <n v="7"/>
    <d v="2026-10-07T00:00:00"/>
    <n v="1144159588"/>
    <s v="ARCE CASTELLANOS CRISTIAN ALBERTO"/>
    <n v="-1"/>
    <n v="0"/>
    <n v="-29370"/>
  </r>
  <r>
    <s v="Retail"/>
    <s v="Q021 - Cali - Cc Chipichape"/>
    <x v="5"/>
    <s v="septiembre"/>
    <n v="23"/>
    <d v="2026-09-23T00:00:00"/>
    <m/>
    <m/>
    <n v="0"/>
    <n v="11777139"/>
    <n v="0"/>
  </r>
  <r>
    <s v="Retail"/>
    <s v="Q021 - Cali - Cc Chipichape"/>
    <x v="5"/>
    <s v="septiembre"/>
    <n v="23"/>
    <d v="2026-09-23T00:00:00"/>
    <n v="1143413580"/>
    <s v="OCAMPO MENDOZA JHON FEITHER"/>
    <n v="57"/>
    <n v="0"/>
    <n v="3531221"/>
  </r>
  <r>
    <s v="Retail"/>
    <s v="Q021 - Cali - Cc Chipichape"/>
    <x v="5"/>
    <s v="septiembre"/>
    <n v="23"/>
    <d v="2026-09-23T00:00:00"/>
    <n v="1143872360"/>
    <s v="TORRES SALINAS JUAN DAVID"/>
    <n v="50"/>
    <n v="0"/>
    <n v="2865510"/>
  </r>
  <r>
    <s v="Retail"/>
    <s v="Q021 - Cali - Cc Chipichape"/>
    <x v="5"/>
    <s v="septiembre"/>
    <n v="24"/>
    <d v="2026-09-24T00:00:00"/>
    <m/>
    <m/>
    <n v="0"/>
    <n v="17990909"/>
    <n v="0"/>
  </r>
  <r>
    <s v="Retail"/>
    <s v="Q021 - Cali - Cc Chipichape"/>
    <x v="5"/>
    <s v="septiembre"/>
    <n v="24"/>
    <d v="2026-09-24T00:00:00"/>
    <n v="16919109"/>
    <s v="GONZALEZ PENA EDWARD FABIAN"/>
    <n v="-1"/>
    <n v="0"/>
    <n v="-46177"/>
  </r>
  <r>
    <s v="Retail"/>
    <s v="Q021 - Cali - Cc Chipichape"/>
    <x v="5"/>
    <s v="septiembre"/>
    <n v="24"/>
    <d v="2026-09-24T00:00:00"/>
    <n v="1006166647"/>
    <s v="LLANOS HURTADO LEIDY VANNESSA"/>
    <n v="31"/>
    <n v="0"/>
    <n v="1841093"/>
  </r>
  <r>
    <s v="Retail"/>
    <s v="Q021 - Cali - Cc Chipichape"/>
    <x v="5"/>
    <s v="septiembre"/>
    <n v="24"/>
    <d v="2026-09-24T00:00:00"/>
    <n v="1143413580"/>
    <s v="OCAMPO MENDOZA JHON FEITHER"/>
    <n v="164"/>
    <n v="0"/>
    <n v="10118995"/>
  </r>
  <r>
    <s v="Retail"/>
    <s v="Q021 - Cali - Cc Chipichape"/>
    <x v="5"/>
    <s v="septiembre"/>
    <n v="24"/>
    <d v="2026-09-24T00:00:00"/>
    <n v="1143872360"/>
    <s v="TORRES SALINAS JUAN DAVID"/>
    <n v="87"/>
    <n v="0"/>
    <n v="4874290"/>
  </r>
  <r>
    <s v="Retail"/>
    <s v="Q021 - Cali - Cc Chipichape"/>
    <x v="5"/>
    <s v="septiembre"/>
    <n v="25"/>
    <d v="2026-09-25T00:00:00"/>
    <m/>
    <m/>
    <n v="0"/>
    <n v="17951080"/>
    <n v="0"/>
  </r>
  <r>
    <s v="Retail"/>
    <s v="Q021 - Cali - Cc Chipichape"/>
    <x v="5"/>
    <s v="septiembre"/>
    <n v="25"/>
    <d v="2026-09-25T00:00:00"/>
    <n v="1006166647"/>
    <s v="LLANOS HURTADO LEIDY VANNESSA"/>
    <n v="12"/>
    <n v="0"/>
    <n v="604497"/>
  </r>
  <r>
    <s v="Retail"/>
    <s v="Q021 - Cali - Cc Chipichape"/>
    <x v="5"/>
    <s v="septiembre"/>
    <n v="25"/>
    <d v="2026-09-25T00:00:00"/>
    <n v="1109920243"/>
    <s v="MUTIZ VALDES NATHALIE"/>
    <n v="-1"/>
    <n v="0"/>
    <n v="-41975"/>
  </r>
  <r>
    <s v="Retail"/>
    <s v="Q021 - Cali - Cc Chipichape"/>
    <x v="5"/>
    <s v="septiembre"/>
    <n v="25"/>
    <d v="2026-09-25T00:00:00"/>
    <n v="1143413580"/>
    <s v="OCAMPO MENDOZA JHON FEITHER"/>
    <n v="84"/>
    <n v="0"/>
    <n v="4954372"/>
  </r>
  <r>
    <s v="Retail"/>
    <s v="Q021 - Cali - Cc Chipichape"/>
    <x v="5"/>
    <s v="septiembre"/>
    <n v="25"/>
    <d v="2026-09-25T00:00:00"/>
    <n v="1143872360"/>
    <s v="TORRES SALINAS JUAN DAVID"/>
    <n v="88"/>
    <n v="0"/>
    <n v="5094795"/>
  </r>
  <r>
    <s v="Retail"/>
    <s v="Q021 - Cali - Cc Chipichape"/>
    <x v="5"/>
    <s v="septiembre"/>
    <n v="26"/>
    <d v="2026-09-26T00:00:00"/>
    <m/>
    <m/>
    <n v="0"/>
    <n v="25798282"/>
    <n v="0"/>
  </r>
  <r>
    <s v="Retail"/>
    <s v="Q021 - Cali - Cc Chipichape"/>
    <x v="5"/>
    <s v="septiembre"/>
    <n v="26"/>
    <d v="2026-09-26T00:00:00"/>
    <n v="1006166647"/>
    <s v="LLANOS HURTADO LEIDY VANNESSA"/>
    <n v="10"/>
    <n v="0"/>
    <n v="409160"/>
  </r>
  <r>
    <s v="Retail"/>
    <s v="Q021 - Cali - Cc Chipichape"/>
    <x v="5"/>
    <s v="septiembre"/>
    <n v="26"/>
    <d v="2026-09-26T00:00:00"/>
    <n v="1109115019"/>
    <s v="PRADO  MURIEL SANTIAGO "/>
    <n v="-2"/>
    <n v="0"/>
    <n v="-109160"/>
  </r>
  <r>
    <s v="Retail"/>
    <s v="Q021 - Cali - Cc Chipichape"/>
    <x v="5"/>
    <s v="septiembre"/>
    <n v="26"/>
    <d v="2026-09-26T00:00:00"/>
    <n v="1143413580"/>
    <s v="OCAMPO MENDOZA JHON FEITHER"/>
    <n v="184"/>
    <n v="0"/>
    <n v="10214376"/>
  </r>
  <r>
    <s v="Retail"/>
    <s v="Q021 - Cali - Cc Chipichape"/>
    <x v="5"/>
    <s v="septiembre"/>
    <n v="26"/>
    <d v="2026-09-26T00:00:00"/>
    <n v="1143872360"/>
    <s v="TORRES SALINAS JUAN DAVID"/>
    <n v="111"/>
    <n v="0"/>
    <n v="7062148"/>
  </r>
  <r>
    <s v="Retail"/>
    <s v="Q021 - Cali - Cc Chipichape"/>
    <x v="5"/>
    <s v="septiembre"/>
    <n v="27"/>
    <d v="2026-09-27T00:00:00"/>
    <m/>
    <m/>
    <n v="0"/>
    <n v="20437432"/>
    <n v="0"/>
  </r>
  <r>
    <s v="Retail"/>
    <s v="Q021 - Cali - Cc Chipichape"/>
    <x v="5"/>
    <s v="septiembre"/>
    <n v="27"/>
    <d v="2026-09-27T00:00:00"/>
    <n v="1006166647"/>
    <s v="LLANOS HURTADO LEIDY VANNESSA"/>
    <n v="65"/>
    <n v="0"/>
    <n v="3896054"/>
  </r>
  <r>
    <s v="Retail"/>
    <s v="Q021 - Cali - Cc Chipichape"/>
    <x v="5"/>
    <s v="septiembre"/>
    <n v="27"/>
    <d v="2026-09-27T00:00:00"/>
    <n v="1143413580"/>
    <s v="OCAMPO MENDOZA JHON FEITHER"/>
    <n v="218"/>
    <n v="0"/>
    <n v="13105680"/>
  </r>
  <r>
    <s v="Retail"/>
    <s v="Q021 - Cali - Cc Chipichape"/>
    <x v="5"/>
    <s v="septiembre"/>
    <n v="27"/>
    <d v="2026-09-27T00:00:00"/>
    <n v="1143872360"/>
    <s v="TORRES SALINAS JUAN DAVID"/>
    <n v="184"/>
    <n v="0"/>
    <n v="11061101"/>
  </r>
  <r>
    <s v="Retail"/>
    <s v="Q021 - Cali - Cc Chipichape"/>
    <x v="5"/>
    <s v="septiembre"/>
    <n v="28"/>
    <d v="2026-09-28T00:00:00"/>
    <m/>
    <m/>
    <n v="0"/>
    <n v="11247925"/>
    <n v="0"/>
  </r>
  <r>
    <s v="Retail"/>
    <s v="Q021 - Cali - Cc Chipichape"/>
    <x v="5"/>
    <s v="septiembre"/>
    <n v="28"/>
    <d v="2026-09-28T00:00:00"/>
    <n v="1006166647"/>
    <s v="LLANOS HURTADO LEIDY VANNESSA"/>
    <n v="6"/>
    <n v="0"/>
    <n v="365252"/>
  </r>
  <r>
    <s v="Retail"/>
    <s v="Q021 - Cali - Cc Chipichape"/>
    <x v="5"/>
    <s v="septiembre"/>
    <n v="28"/>
    <d v="2026-09-28T00:00:00"/>
    <n v="1111784310"/>
    <s v="MURILLO VALENCIA JHONIER"/>
    <n v="-1"/>
    <n v="0"/>
    <n v="-41975"/>
  </r>
  <r>
    <s v="Retail"/>
    <s v="Q021 - Cali - Cc Chipichape"/>
    <x v="5"/>
    <s v="septiembre"/>
    <n v="28"/>
    <d v="2026-09-28T00:00:00"/>
    <n v="1143413580"/>
    <s v="OCAMPO MENDOZA JHON FEITHER"/>
    <n v="48"/>
    <n v="0"/>
    <n v="2632103"/>
  </r>
  <r>
    <s v="Retail"/>
    <s v="Q021 - Cali - Cc Chipichape"/>
    <x v="5"/>
    <s v="septiembre"/>
    <n v="28"/>
    <d v="2026-09-28T00:00:00"/>
    <n v="1143872360"/>
    <s v="TORRES SALINAS JUAN DAVID"/>
    <n v="58"/>
    <n v="0"/>
    <n v="3673911"/>
  </r>
  <r>
    <s v="Retail"/>
    <s v="Q021 - Cali - Cc Chipichape"/>
    <x v="5"/>
    <s v="septiembre"/>
    <n v="29"/>
    <d v="2026-09-29T00:00:00"/>
    <m/>
    <m/>
    <n v="0"/>
    <n v="12014983"/>
    <n v="0"/>
  </r>
  <r>
    <s v="Retail"/>
    <s v="Q021 - Cali - Cc Chipichape"/>
    <x v="5"/>
    <s v="septiembre"/>
    <n v="29"/>
    <d v="2026-09-29T00:00:00"/>
    <n v="1006166647"/>
    <s v="LLANOS HURTADO LEIDY VANNESSA"/>
    <n v="1"/>
    <n v="0"/>
    <n v="71387"/>
  </r>
  <r>
    <s v="Retail"/>
    <s v="Q021 - Cali - Cc Chipichape"/>
    <x v="5"/>
    <s v="septiembre"/>
    <n v="29"/>
    <d v="2026-09-29T00:00:00"/>
    <n v="1107846457"/>
    <s v="DAYLERINN  FAJARDO SANCHEZ"/>
    <n v="-1"/>
    <n v="0"/>
    <n v="-126008"/>
  </r>
  <r>
    <s v="Retail"/>
    <s v="Q021 - Cali - Cc Chipichape"/>
    <x v="5"/>
    <s v="septiembre"/>
    <n v="29"/>
    <d v="2026-09-29T00:00:00"/>
    <n v="1143413580"/>
    <s v="OCAMPO MENDOZA JHON FEITHER"/>
    <n v="61"/>
    <n v="0"/>
    <n v="3387609"/>
  </r>
  <r>
    <s v="Retail"/>
    <s v="Q021 - Cali - Cc Chipichape"/>
    <x v="5"/>
    <s v="septiembre"/>
    <n v="29"/>
    <d v="2026-09-29T00:00:00"/>
    <n v="1143872360"/>
    <s v="TORRES SALINAS JUAN DAVID"/>
    <n v="65"/>
    <n v="0"/>
    <n v="4055932"/>
  </r>
  <r>
    <s v="Retail"/>
    <s v="Q021 - Cali - Cc Chipichape"/>
    <x v="5"/>
    <s v="septiembre"/>
    <n v="29"/>
    <d v="2026-09-29T00:00:00"/>
    <n v="1193601115"/>
    <s v="OLAVE RODRIGUEZ ANGEL  JOSUE"/>
    <n v="-1"/>
    <n v="0"/>
    <n v="-46177"/>
  </r>
  <r>
    <s v="Retail"/>
    <s v="Q021 - Cali - Cc Chipichape"/>
    <x v="5"/>
    <s v="septiembre"/>
    <n v="30"/>
    <d v="2026-09-30T00:00:00"/>
    <m/>
    <m/>
    <n v="0"/>
    <n v="12411693"/>
    <n v="0"/>
  </r>
  <r>
    <s v="Retail"/>
    <s v="Q021 - Cali - Cc Chipichape"/>
    <x v="5"/>
    <s v="septiembre"/>
    <n v="30"/>
    <d v="2026-09-30T00:00:00"/>
    <n v="1006166647"/>
    <s v="LLANOS HURTADO LEIDY VANNESSA"/>
    <n v="4"/>
    <n v="0"/>
    <n v="272942"/>
  </r>
  <r>
    <s v="Retail"/>
    <s v="Q021 - Cali - Cc Chipichape"/>
    <x v="5"/>
    <s v="septiembre"/>
    <n v="30"/>
    <d v="2026-09-30T00:00:00"/>
    <n v="1143413580"/>
    <s v="OCAMPO MENDOZA JHON FEITHER"/>
    <n v="64"/>
    <n v="0"/>
    <n v="3496641"/>
  </r>
  <r>
    <s v="Retail"/>
    <s v="Q021 - Cali - Cc Chipichape"/>
    <x v="5"/>
    <s v="septiembre"/>
    <n v="30"/>
    <d v="2026-09-30T00:00:00"/>
    <n v="1143851967"/>
    <s v="CASTILLO CASTILLO JOHAN SEBASTIAN"/>
    <n v="-2"/>
    <n v="0"/>
    <n v="-167983"/>
  </r>
  <r>
    <s v="Retail"/>
    <s v="Q021 - Cali - Cc Chipichape"/>
    <x v="5"/>
    <s v="septiembre"/>
    <n v="30"/>
    <d v="2026-09-30T00:00:00"/>
    <n v="1143872360"/>
    <s v="TORRES SALINAS JUAN DAVID"/>
    <n v="114"/>
    <n v="0"/>
    <n v="6444290"/>
  </r>
  <r>
    <s v="Retail"/>
    <s v="Q021 - Cali - Cc Chipichape"/>
    <x v="5"/>
    <s v="octubre"/>
    <n v="1"/>
    <d v="2026-10-01T00:00:00"/>
    <m/>
    <m/>
    <n v="0"/>
    <n v="13546354"/>
    <n v="0"/>
  </r>
  <r>
    <s v="Retail"/>
    <s v="Q021 - Cali - Cc Chipichape"/>
    <x v="5"/>
    <s v="octubre"/>
    <n v="1"/>
    <d v="2026-10-01T00:00:00"/>
    <n v="1006166647"/>
    <s v="LLANOS HURTADO LEIDY VANNESSA"/>
    <n v="5"/>
    <n v="0"/>
    <n v="205673"/>
  </r>
  <r>
    <s v="Retail"/>
    <s v="Q021 - Cali - Cc Chipichape"/>
    <x v="5"/>
    <s v="octubre"/>
    <n v="1"/>
    <d v="2026-10-01T00:00:00"/>
    <n v="1143413580"/>
    <s v="OCAMPO MENDOZA JHON FEITHER"/>
    <n v="128"/>
    <n v="0"/>
    <n v="7010681"/>
  </r>
  <r>
    <s v="Retail"/>
    <s v="Q021 - Cali - Cc Chipichape"/>
    <x v="5"/>
    <s v="octubre"/>
    <n v="1"/>
    <d v="2026-10-01T00:00:00"/>
    <n v="1143872360"/>
    <s v="TORRES SALINAS JUAN DAVID"/>
    <n v="122"/>
    <n v="0"/>
    <n v="6780214"/>
  </r>
  <r>
    <s v="Retail"/>
    <s v="Q021 - Cali - Cc Chipichape"/>
    <x v="5"/>
    <s v="octubre"/>
    <n v="2"/>
    <d v="2026-10-02T00:00:00"/>
    <m/>
    <m/>
    <n v="0"/>
    <n v="13384920"/>
    <n v="0"/>
  </r>
  <r>
    <s v="Retail"/>
    <s v="Q021 - Cali - Cc Chipichape"/>
    <x v="5"/>
    <s v="octubre"/>
    <n v="2"/>
    <d v="2026-10-02T00:00:00"/>
    <n v="1006166647"/>
    <s v="LLANOS HURTADO LEIDY VANNESSA"/>
    <n v="8"/>
    <n v="0"/>
    <n v="415505"/>
  </r>
  <r>
    <s v="Retail"/>
    <s v="Q021 - Cali - Cc Chipichape"/>
    <x v="5"/>
    <s v="octubre"/>
    <n v="2"/>
    <d v="2026-10-02T00:00:00"/>
    <n v="1143413580"/>
    <s v="OCAMPO MENDOZA JHON FEITHER"/>
    <n v="111"/>
    <n v="0"/>
    <n v="6406184"/>
  </r>
  <r>
    <s v="Retail"/>
    <s v="Q021 - Cali - Cc Chipichape"/>
    <x v="5"/>
    <s v="octubre"/>
    <n v="2"/>
    <d v="2026-10-02T00:00:00"/>
    <n v="1143872360"/>
    <s v="TORRES SALINAS JUAN DAVID"/>
    <n v="105"/>
    <n v="0"/>
    <n v="5259415"/>
  </r>
  <r>
    <s v="Retail"/>
    <s v="Q021 - Cali - Cc Chipichape"/>
    <x v="5"/>
    <s v="octubre"/>
    <n v="3"/>
    <d v="2026-10-03T00:00:00"/>
    <m/>
    <m/>
    <n v="0"/>
    <n v="25323866"/>
    <n v="0"/>
  </r>
  <r>
    <s v="Retail"/>
    <s v="Q021 - Cali - Cc Chipichape"/>
    <x v="5"/>
    <s v="octubre"/>
    <n v="3"/>
    <d v="2026-10-03T00:00:00"/>
    <n v="1006166647"/>
    <s v="LLANOS HURTADO LEIDY VANNESSA"/>
    <n v="23"/>
    <n v="0"/>
    <n v="1363746"/>
  </r>
  <r>
    <s v="Retail"/>
    <s v="Q021 - Cali - Cc Chipichape"/>
    <x v="5"/>
    <s v="octubre"/>
    <n v="3"/>
    <d v="2026-10-03T00:00:00"/>
    <n v="1107530246"/>
    <s v="CALDERON CASTANEDA CRISTHIAN CAMILO"/>
    <n v="232"/>
    <n v="0"/>
    <n v="11776588"/>
  </r>
  <r>
    <s v="Retail"/>
    <s v="Q021 - Cali - Cc Chipichape"/>
    <x v="5"/>
    <s v="octubre"/>
    <n v="3"/>
    <d v="2026-10-03T00:00:00"/>
    <n v="1109920243"/>
    <s v="MUTIZ VALDES NATHALIE"/>
    <n v="-1"/>
    <n v="0"/>
    <n v="-33572"/>
  </r>
  <r>
    <s v="Retail"/>
    <s v="Q021 - Cali - Cc Chipichape"/>
    <x v="5"/>
    <s v="octubre"/>
    <n v="3"/>
    <d v="2026-10-03T00:00:00"/>
    <n v="1143413580"/>
    <s v="OCAMPO MENDOZA JHON FEITHER"/>
    <n v="-2"/>
    <n v="0"/>
    <n v="-130168"/>
  </r>
  <r>
    <s v="Retail"/>
    <s v="Q021 - Cali - Cc Chipichape"/>
    <x v="5"/>
    <s v="octubre"/>
    <n v="3"/>
    <d v="2026-10-03T00:00:00"/>
    <n v="1143872360"/>
    <s v="TORRES SALINAS JUAN DAVID"/>
    <n v="254"/>
    <n v="0"/>
    <n v="14287800"/>
  </r>
  <r>
    <s v="Retail"/>
    <s v="Q021 - Cali - Cc Chipichape"/>
    <x v="5"/>
    <s v="octubre"/>
    <n v="3"/>
    <d v="2026-10-03T00:00:00"/>
    <n v="1144085357"/>
    <s v="ZAPATA GIRALDO JUAN CAMILO"/>
    <n v="-1"/>
    <n v="0"/>
    <n v="-54580"/>
  </r>
  <r>
    <s v="Retail"/>
    <s v="Q021 - Cali - Cc Chipichape"/>
    <x v="5"/>
    <s v="octubre"/>
    <n v="3"/>
    <d v="2026-10-03T00:00:00"/>
    <n v="1144158340"/>
    <s v="OCAMPO  JUAN"/>
    <n v="-2"/>
    <n v="0"/>
    <n v="-125966"/>
  </r>
  <r>
    <s v="Retail"/>
    <s v="Q021 - Cali - Cc Chipichape"/>
    <x v="5"/>
    <s v="octubre"/>
    <n v="4"/>
    <d v="2026-10-04T00:00:00"/>
    <m/>
    <m/>
    <n v="0"/>
    <n v="22788098"/>
    <n v="0"/>
  </r>
  <r>
    <s v="Retail"/>
    <s v="Q021 - Cali - Cc Chipichape"/>
    <x v="5"/>
    <s v="octubre"/>
    <n v="4"/>
    <d v="2026-10-04T00:00:00"/>
    <n v="1006166647"/>
    <s v="LLANOS HURTADO LEIDY VANNESSA"/>
    <n v="55"/>
    <n v="0"/>
    <n v="3245336"/>
  </r>
  <r>
    <s v="Retail"/>
    <s v="Q021 - Cali - Cc Chipichape"/>
    <x v="5"/>
    <s v="octubre"/>
    <n v="4"/>
    <d v="2026-10-04T00:00:00"/>
    <n v="1107530246"/>
    <s v="CALDERON CASTANEDA CRISTHIAN CAMILO"/>
    <n v="185"/>
    <n v="0"/>
    <n v="10852993"/>
  </r>
  <r>
    <s v="Retail"/>
    <s v="Q021 - Cali - Cc Chipichape"/>
    <x v="5"/>
    <s v="octubre"/>
    <n v="4"/>
    <d v="2026-10-04T00:00:00"/>
    <n v="1143872360"/>
    <s v="TORRES SALINAS JUAN DAVID"/>
    <n v="212"/>
    <n v="0"/>
    <n v="12492277"/>
  </r>
  <r>
    <s v="Retail"/>
    <s v="Q021 - Cali - Cc Chipichape"/>
    <x v="5"/>
    <s v="octubre"/>
    <n v="5"/>
    <d v="2026-10-05T00:00:00"/>
    <m/>
    <m/>
    <n v="0"/>
    <n v="10050762"/>
    <n v="0"/>
  </r>
  <r>
    <s v="Retail"/>
    <s v="Q021 - Cali - Cc Chipichape"/>
    <x v="5"/>
    <s v="octubre"/>
    <n v="5"/>
    <d v="2026-10-05T00:00:00"/>
    <n v="1006166647"/>
    <s v="LLANOS HURTADO LEIDY VANNESSA"/>
    <n v="14"/>
    <n v="0"/>
    <n v="843950"/>
  </r>
  <r>
    <s v="Retail"/>
    <s v="Q021 - Cali - Cc Chipichape"/>
    <x v="5"/>
    <s v="octubre"/>
    <n v="5"/>
    <d v="2026-10-05T00:00:00"/>
    <n v="1085270297"/>
    <s v="CASTILLO CASTILLO LEYDI YOMARA"/>
    <n v="-1"/>
    <n v="0"/>
    <n v="-50378"/>
  </r>
  <r>
    <s v="Retail"/>
    <s v="Q021 - Cali - Cc Chipichape"/>
    <x v="5"/>
    <s v="octubre"/>
    <n v="5"/>
    <d v="2026-10-05T00:00:00"/>
    <n v="1107530246"/>
    <s v="CALDERON CASTANEDA CRISTHIAN CAMILO"/>
    <n v="75"/>
    <n v="0"/>
    <n v="4196182"/>
  </r>
  <r>
    <s v="Retail"/>
    <s v="Q021 - Cali - Cc Chipichape"/>
    <x v="5"/>
    <s v="octubre"/>
    <n v="5"/>
    <d v="2026-10-05T00:00:00"/>
    <n v="1143413580"/>
    <s v="OCAMPO MENDOZA JHON FEITHER"/>
    <n v="-1"/>
    <n v="0"/>
    <n v="-54580"/>
  </r>
  <r>
    <s v="Retail"/>
    <s v="Q021 - Cali - Cc Chipichape"/>
    <x v="5"/>
    <s v="octubre"/>
    <n v="5"/>
    <d v="2026-10-05T00:00:00"/>
    <n v="1143872360"/>
    <s v="TORRES SALINAS JUAN DAVID"/>
    <n v="115"/>
    <n v="0"/>
    <n v="7003196"/>
  </r>
  <r>
    <s v="Retail"/>
    <s v="Q021 - Cali - Cc Chipichape"/>
    <x v="5"/>
    <s v="octubre"/>
    <n v="6"/>
    <d v="2026-10-06T00:00:00"/>
    <m/>
    <m/>
    <n v="0"/>
    <n v="8032144"/>
    <n v="0"/>
  </r>
  <r>
    <s v="Retail"/>
    <s v="Q021 - Cali - Cc Chipichape"/>
    <x v="5"/>
    <s v="octubre"/>
    <n v="6"/>
    <d v="2026-10-06T00:00:00"/>
    <n v="1006166647"/>
    <s v="LLANOS HURTADO LEIDY VANNESSA"/>
    <n v="14"/>
    <n v="0"/>
    <n v="575044"/>
  </r>
  <r>
    <s v="Retail"/>
    <s v="Q021 - Cali - Cc Chipichape"/>
    <x v="5"/>
    <s v="octubre"/>
    <n v="6"/>
    <d v="2026-10-06T00:00:00"/>
    <n v="1061716853"/>
    <s v="BARRERA TOLA LEIDY JOANA"/>
    <n v="-1"/>
    <n v="0"/>
    <n v="-33572"/>
  </r>
  <r>
    <s v="Retail"/>
    <s v="Q021 - Cali - Cc Chipichape"/>
    <x v="5"/>
    <s v="octubre"/>
    <n v="6"/>
    <d v="2026-10-06T00:00:00"/>
    <n v="1107530246"/>
    <s v="CALDERON CASTANEDA CRISTHIAN CAMILO"/>
    <n v="128"/>
    <n v="0"/>
    <n v="7481689"/>
  </r>
  <r>
    <s v="Retail"/>
    <s v="Q021 - Cali - Cc Chipichape"/>
    <x v="5"/>
    <s v="octubre"/>
    <n v="7"/>
    <d v="2026-10-07T00:00:00"/>
    <m/>
    <m/>
    <n v="0"/>
    <n v="7926460"/>
    <n v="0"/>
  </r>
  <r>
    <s v="Retail"/>
    <s v="Q021 - Cali - Cc Chipichape"/>
    <x v="5"/>
    <s v="octubre"/>
    <n v="7"/>
    <d v="2026-10-07T00:00:00"/>
    <n v="1006166647"/>
    <s v="LLANOS HURTADO LEIDY VANNESSA"/>
    <n v="2"/>
    <n v="0"/>
    <n v="67143"/>
  </r>
  <r>
    <s v="Retail"/>
    <s v="Q021 - Cali - Cc Chipichape"/>
    <x v="5"/>
    <s v="octubre"/>
    <n v="7"/>
    <d v="2026-10-07T00:00:00"/>
    <n v="1102868881"/>
    <s v="ESCOBAR PERNA SEBASTIAN DAVID"/>
    <n v="-1"/>
    <n v="0"/>
    <n v="-79790"/>
  </r>
  <r>
    <s v="Retail"/>
    <s v="Q021 - Cali - Cc Chipichape"/>
    <x v="5"/>
    <s v="octubre"/>
    <n v="7"/>
    <d v="2026-10-07T00:00:00"/>
    <n v="1107530246"/>
    <s v="CALDERON CASTANEDA CRISTHIAN CAMILO"/>
    <n v="67"/>
    <n v="0"/>
    <n v="4087315"/>
  </r>
  <r>
    <s v="Retail"/>
    <s v="Q021 - Cali - Cc Chipichape"/>
    <x v="5"/>
    <s v="octubre"/>
    <n v="7"/>
    <d v="2026-10-07T00:00:00"/>
    <n v="1109920243"/>
    <s v="MUTIZ VALDES NATHALIE"/>
    <n v="-1"/>
    <n v="0"/>
    <n v="-29370"/>
  </r>
  <r>
    <s v="Retail"/>
    <s v="Q021 - Cali - Cc Chipichape"/>
    <x v="5"/>
    <s v="octubre"/>
    <n v="7"/>
    <d v="2026-10-07T00:00:00"/>
    <n v="1143872360"/>
    <s v="TORRES SALINAS JUAN DAVID"/>
    <n v="53"/>
    <n v="0"/>
    <n v="2978576"/>
  </r>
  <r>
    <s v="Retail"/>
    <s v="Q021 - Cali - Cc Chipichape"/>
    <x v="5"/>
    <s v="octubre"/>
    <n v="7"/>
    <d v="2026-10-07T00:00:00"/>
    <n v="1144146047"/>
    <s v="JOYA ORTIZ ANDER FABIAN"/>
    <n v="2"/>
    <n v="0"/>
    <n v="75504"/>
  </r>
  <r>
    <s v="Retail"/>
    <s v="Q028 - Cali - Centro Calle 13"/>
    <x v="5"/>
    <s v="septiembre"/>
    <n v="23"/>
    <d v="2026-09-23T00:00:00"/>
    <m/>
    <m/>
    <n v="0"/>
    <n v="9895858"/>
    <n v="0"/>
  </r>
  <r>
    <s v="Retail"/>
    <s v="Q028 - Cali - Centro Calle 13"/>
    <x v="5"/>
    <s v="septiembre"/>
    <n v="23"/>
    <d v="2026-09-23T00:00:00"/>
    <n v="1044101083"/>
    <s v="GAMBOA OROZCO EDWIN FERNANDO"/>
    <n v="77"/>
    <n v="0"/>
    <n v="4233913"/>
  </r>
  <r>
    <s v="Retail"/>
    <s v="Q028 - Cali - Centro Calle 13"/>
    <x v="5"/>
    <s v="septiembre"/>
    <n v="23"/>
    <d v="2026-09-23T00:00:00"/>
    <n v="1105360449"/>
    <s v="ALEGRIA ORTIZ MAYERLI FERNANDA"/>
    <n v="22"/>
    <n v="0"/>
    <n v="767817"/>
  </r>
  <r>
    <s v="Retail"/>
    <s v="Q028 - Cali - Centro Calle 13"/>
    <x v="5"/>
    <s v="septiembre"/>
    <n v="23"/>
    <d v="2026-09-23T00:00:00"/>
    <n v="1111660535"/>
    <s v="BALANTA ASPRILLA SEBASTIAN"/>
    <n v="17"/>
    <n v="0"/>
    <n v="921512"/>
  </r>
  <r>
    <s v="Retail"/>
    <s v="Q028 - Cali - Centro Calle 13"/>
    <x v="5"/>
    <s v="septiembre"/>
    <n v="23"/>
    <d v="2026-09-23T00:00:00"/>
    <n v="1114388276"/>
    <s v="OSPINA MONCAYO LESLI KATERINE"/>
    <n v="10"/>
    <n v="0"/>
    <n v="499539"/>
  </r>
  <r>
    <s v="Retail"/>
    <s v="Q028 - Cali - Centro Calle 13"/>
    <x v="5"/>
    <s v="septiembre"/>
    <n v="23"/>
    <d v="2026-09-23T00:00:00"/>
    <n v="1144190117"/>
    <s v="LOPEZ LOAIZA JESSICA MARIA"/>
    <n v="84"/>
    <n v="0"/>
    <n v="4290017"/>
  </r>
  <r>
    <s v="Retail"/>
    <s v="Q028 - Cali - Centro Calle 13"/>
    <x v="5"/>
    <s v="septiembre"/>
    <n v="24"/>
    <d v="2026-09-24T00:00:00"/>
    <m/>
    <m/>
    <n v="0"/>
    <n v="15117038"/>
    <n v="0"/>
  </r>
  <r>
    <s v="Retail"/>
    <s v="Q028 - Cali - Centro Calle 13"/>
    <x v="5"/>
    <s v="septiembre"/>
    <n v="24"/>
    <d v="2026-09-24T00:00:00"/>
    <n v="1044101083"/>
    <s v="GAMBOA OROZCO EDWIN FERNANDO"/>
    <n v="89"/>
    <n v="0"/>
    <n v="4195721"/>
  </r>
  <r>
    <s v="Retail"/>
    <s v="Q028 - Cali - Centro Calle 13"/>
    <x v="5"/>
    <s v="septiembre"/>
    <n v="24"/>
    <d v="2026-09-24T00:00:00"/>
    <n v="1105360449"/>
    <s v="ALEGRIA ORTIZ MAYERLI FERNANDA"/>
    <n v="34"/>
    <n v="0"/>
    <n v="1683322"/>
  </r>
  <r>
    <s v="Retail"/>
    <s v="Q028 - Cali - Centro Calle 13"/>
    <x v="5"/>
    <s v="septiembre"/>
    <n v="24"/>
    <d v="2026-09-24T00:00:00"/>
    <n v="1111660535"/>
    <s v="BALANTA ASPRILLA SEBASTIAN"/>
    <n v="30"/>
    <n v="0"/>
    <n v="1582692"/>
  </r>
  <r>
    <s v="Retail"/>
    <s v="Q028 - Cali - Centro Calle 13"/>
    <x v="5"/>
    <s v="septiembre"/>
    <n v="24"/>
    <d v="2026-09-24T00:00:00"/>
    <n v="1114388276"/>
    <s v="OSPINA MONCAYO LESLI KATERINE"/>
    <n v="29"/>
    <n v="0"/>
    <n v="1360043"/>
  </r>
  <r>
    <s v="Retail"/>
    <s v="Q028 - Cali - Centro Calle 13"/>
    <x v="5"/>
    <s v="septiembre"/>
    <n v="24"/>
    <d v="2026-09-24T00:00:00"/>
    <n v="1144190117"/>
    <s v="LOPEZ LOAIZA JESSICA MARIA"/>
    <n v="75"/>
    <n v="0"/>
    <n v="3952522"/>
  </r>
  <r>
    <s v="Retail"/>
    <s v="Q028 - Cali - Centro Calle 13"/>
    <x v="5"/>
    <s v="septiembre"/>
    <n v="25"/>
    <d v="2026-09-25T00:00:00"/>
    <m/>
    <m/>
    <n v="0"/>
    <n v="15083571"/>
    <n v="0"/>
  </r>
  <r>
    <s v="Retail"/>
    <s v="Q028 - Cali - Centro Calle 13"/>
    <x v="5"/>
    <s v="septiembre"/>
    <n v="25"/>
    <d v="2026-09-25T00:00:00"/>
    <n v="1006048956"/>
    <s v="MENESES OLAYA SEBASTIAN"/>
    <n v="-1"/>
    <n v="0"/>
    <n v="-50378"/>
  </r>
  <r>
    <s v="Retail"/>
    <s v="Q028 - Cali - Centro Calle 13"/>
    <x v="5"/>
    <s v="septiembre"/>
    <n v="25"/>
    <d v="2026-09-25T00:00:00"/>
    <n v="1044101083"/>
    <s v="GAMBOA OROZCO EDWIN FERNANDO"/>
    <n v="61"/>
    <n v="0"/>
    <n v="3266222"/>
  </r>
  <r>
    <s v="Retail"/>
    <s v="Q028 - Cali - Centro Calle 13"/>
    <x v="5"/>
    <s v="septiembre"/>
    <n v="25"/>
    <d v="2026-09-25T00:00:00"/>
    <n v="1105360449"/>
    <s v="ALEGRIA ORTIZ MAYERLI FERNANDA"/>
    <n v="13"/>
    <n v="0"/>
    <n v="820840"/>
  </r>
  <r>
    <s v="Retail"/>
    <s v="Q028 - Cali - Centro Calle 13"/>
    <x v="5"/>
    <s v="septiembre"/>
    <n v="25"/>
    <d v="2026-09-25T00:00:00"/>
    <n v="1111660535"/>
    <s v="BALANTA ASPRILLA SEBASTIAN"/>
    <n v="44"/>
    <n v="0"/>
    <n v="2231177"/>
  </r>
  <r>
    <s v="Retail"/>
    <s v="Q028 - Cali - Centro Calle 13"/>
    <x v="5"/>
    <s v="septiembre"/>
    <n v="25"/>
    <d v="2026-09-25T00:00:00"/>
    <n v="1111665228"/>
    <s v="RIVERA ZUÑIGA JUAN DIEGO"/>
    <n v="-1"/>
    <n v="0"/>
    <n v="-79790"/>
  </r>
  <r>
    <s v="Retail"/>
    <s v="Q028 - Cali - Centro Calle 13"/>
    <x v="5"/>
    <s v="septiembre"/>
    <n v="25"/>
    <d v="2026-09-25T00:00:00"/>
    <n v="1114388276"/>
    <s v="OSPINA MONCAYO LESLI KATERINE"/>
    <n v="16"/>
    <n v="0"/>
    <n v="667396"/>
  </r>
  <r>
    <s v="Retail"/>
    <s v="Q028 - Cali - Centro Calle 13"/>
    <x v="5"/>
    <s v="septiembre"/>
    <n v="25"/>
    <d v="2026-09-25T00:00:00"/>
    <n v="1144190117"/>
    <s v="LOPEZ LOAIZA JESSICA MARIA"/>
    <n v="63"/>
    <n v="0"/>
    <n v="3062233"/>
  </r>
  <r>
    <s v="Retail"/>
    <s v="Q028 - Cali - Centro Calle 13"/>
    <x v="5"/>
    <s v="septiembre"/>
    <n v="26"/>
    <d v="2026-09-26T00:00:00"/>
    <m/>
    <m/>
    <n v="0"/>
    <n v="21677260"/>
    <n v="0"/>
  </r>
  <r>
    <s v="Retail"/>
    <s v="Q028 - Cali - Centro Calle 13"/>
    <x v="5"/>
    <s v="septiembre"/>
    <n v="26"/>
    <d v="2026-09-26T00:00:00"/>
    <n v="1044101083"/>
    <s v="GAMBOA OROZCO EDWIN FERNANDO"/>
    <n v="176"/>
    <n v="0"/>
    <n v="8813366"/>
  </r>
  <r>
    <s v="Retail"/>
    <s v="Q028 - Cali - Centro Calle 13"/>
    <x v="5"/>
    <s v="septiembre"/>
    <n v="26"/>
    <d v="2026-09-26T00:00:00"/>
    <n v="1105360449"/>
    <s v="ALEGRIA ORTIZ MAYERLI FERNANDA"/>
    <n v="38"/>
    <n v="0"/>
    <n v="1744120"/>
  </r>
  <r>
    <s v="Retail"/>
    <s v="Q028 - Cali - Centro Calle 13"/>
    <x v="5"/>
    <s v="septiembre"/>
    <n v="26"/>
    <d v="2026-09-26T00:00:00"/>
    <n v="1111660535"/>
    <s v="BALANTA ASPRILLA SEBASTIAN"/>
    <n v="37"/>
    <n v="0"/>
    <n v="1975168"/>
  </r>
  <r>
    <s v="Retail"/>
    <s v="Q028 - Cali - Centro Calle 13"/>
    <x v="5"/>
    <s v="septiembre"/>
    <n v="26"/>
    <d v="2026-09-26T00:00:00"/>
    <n v="1114388276"/>
    <s v="OSPINA MONCAYO LESLI KATERINE"/>
    <n v="28"/>
    <n v="0"/>
    <n v="1431471"/>
  </r>
  <r>
    <s v="Retail"/>
    <s v="Q028 - Cali - Centro Calle 13"/>
    <x v="5"/>
    <s v="septiembre"/>
    <n v="26"/>
    <d v="2026-09-26T00:00:00"/>
    <n v="1144190117"/>
    <s v="LOPEZ LOAIZA JESSICA MARIA"/>
    <n v="181"/>
    <n v="0"/>
    <n v="9012616"/>
  </r>
  <r>
    <s v="Retail"/>
    <s v="Q028 - Cali - Centro Calle 13"/>
    <x v="5"/>
    <s v="septiembre"/>
    <n v="27"/>
    <d v="2026-09-27T00:00:00"/>
    <m/>
    <m/>
    <n v="0"/>
    <n v="17172756"/>
    <n v="0"/>
  </r>
  <r>
    <s v="Retail"/>
    <s v="Q028 - Cali - Centro Calle 13"/>
    <x v="5"/>
    <s v="septiembre"/>
    <n v="27"/>
    <d v="2026-09-27T00:00:00"/>
    <n v="1044101083"/>
    <s v="GAMBOA OROZCO EDWIN FERNANDO"/>
    <n v="40"/>
    <n v="0"/>
    <n v="2118026"/>
  </r>
  <r>
    <s v="Retail"/>
    <s v="Q028 - Cali - Centro Calle 13"/>
    <x v="5"/>
    <s v="septiembre"/>
    <n v="27"/>
    <d v="2026-09-27T00:00:00"/>
    <n v="1144190117"/>
    <s v="LOPEZ LOAIZA JESSICA MARIA"/>
    <n v="36"/>
    <n v="0"/>
    <n v="1937439"/>
  </r>
  <r>
    <s v="Retail"/>
    <s v="Q028 - Cali - Centro Calle 13"/>
    <x v="5"/>
    <s v="septiembre"/>
    <n v="28"/>
    <d v="2026-09-28T00:00:00"/>
    <m/>
    <m/>
    <n v="0"/>
    <n v="9669025"/>
    <n v="0"/>
  </r>
  <r>
    <s v="Retail"/>
    <s v="Q028 - Cali - Centro Calle 13"/>
    <x v="5"/>
    <s v="septiembre"/>
    <n v="28"/>
    <d v="2026-09-28T00:00:00"/>
    <n v="1044101083"/>
    <s v="GAMBOA OROZCO EDWIN FERNANDO"/>
    <n v="79"/>
    <n v="0"/>
    <n v="3739919"/>
  </r>
  <r>
    <s v="Retail"/>
    <s v="Q028 - Cali - Centro Calle 13"/>
    <x v="5"/>
    <s v="septiembre"/>
    <n v="28"/>
    <d v="2026-09-28T00:00:00"/>
    <n v="1105360449"/>
    <s v="ALEGRIA ORTIZ MAYERLI FERNANDA"/>
    <n v="19"/>
    <n v="0"/>
    <n v="768027"/>
  </r>
  <r>
    <s v="Retail"/>
    <s v="Q028 - Cali - Centro Calle 13"/>
    <x v="5"/>
    <s v="septiembre"/>
    <n v="28"/>
    <d v="2026-09-28T00:00:00"/>
    <n v="1111660535"/>
    <s v="BALANTA ASPRILLA SEBASTIAN"/>
    <n v="17"/>
    <n v="0"/>
    <n v="839581"/>
  </r>
  <r>
    <s v="Retail"/>
    <s v="Q028 - Cali - Centro Calle 13"/>
    <x v="5"/>
    <s v="septiembre"/>
    <n v="28"/>
    <d v="2026-09-28T00:00:00"/>
    <n v="1114388276"/>
    <s v="OSPINA MONCAYO LESLI KATERINE"/>
    <n v="13"/>
    <n v="0"/>
    <n v="472058"/>
  </r>
  <r>
    <s v="Retail"/>
    <s v="Q028 - Cali - Centro Calle 13"/>
    <x v="5"/>
    <s v="septiembre"/>
    <n v="28"/>
    <d v="2026-09-28T00:00:00"/>
    <n v="1144190117"/>
    <s v="LOPEZ LOAIZA JESSICA MARIA"/>
    <n v="72"/>
    <n v="0"/>
    <n v="3696349"/>
  </r>
  <r>
    <s v="Retail"/>
    <s v="Q028 - Cali - Centro Calle 13"/>
    <x v="5"/>
    <s v="septiembre"/>
    <n v="29"/>
    <d v="2026-09-29T00:00:00"/>
    <m/>
    <m/>
    <n v="0"/>
    <n v="9877864"/>
    <n v="0"/>
  </r>
  <r>
    <s v="Retail"/>
    <s v="Q028 - Cali - Centro Calle 13"/>
    <x v="5"/>
    <s v="septiembre"/>
    <n v="29"/>
    <d v="2026-09-29T00:00:00"/>
    <n v="1044101083"/>
    <s v="GAMBOA OROZCO EDWIN FERNANDO"/>
    <n v="88"/>
    <n v="0"/>
    <n v="4149205"/>
  </r>
  <r>
    <s v="Retail"/>
    <s v="Q028 - Cali - Centro Calle 13"/>
    <x v="5"/>
    <s v="septiembre"/>
    <n v="29"/>
    <d v="2026-09-29T00:00:00"/>
    <n v="1105360449"/>
    <s v="ALEGRIA ORTIZ MAYERLI FERNANDA"/>
    <n v="24"/>
    <n v="0"/>
    <n v="975840"/>
  </r>
  <r>
    <s v="Retail"/>
    <s v="Q028 - Cali - Centro Calle 13"/>
    <x v="5"/>
    <s v="septiembre"/>
    <n v="29"/>
    <d v="2026-09-29T00:00:00"/>
    <n v="1111660535"/>
    <s v="BALANTA ASPRILLA SEBASTIAN"/>
    <n v="44"/>
    <n v="0"/>
    <n v="2346768"/>
  </r>
  <r>
    <s v="Retail"/>
    <s v="Q028 - Cali - Centro Calle 13"/>
    <x v="5"/>
    <s v="septiembre"/>
    <n v="29"/>
    <d v="2026-09-29T00:00:00"/>
    <n v="1114388276"/>
    <s v="OSPINA MONCAYO LESLI KATERINE"/>
    <n v="19"/>
    <n v="0"/>
    <n v="965546"/>
  </r>
  <r>
    <s v="Retail"/>
    <s v="Q028 - Cali - Centro Calle 13"/>
    <x v="5"/>
    <s v="septiembre"/>
    <n v="29"/>
    <d v="2026-09-29T00:00:00"/>
    <n v="1144190117"/>
    <s v="LOPEZ LOAIZA JESSICA MARIA"/>
    <n v="69"/>
    <n v="0"/>
    <n v="3274207"/>
  </r>
  <r>
    <s v="Retail"/>
    <s v="Q028 - Cali - Centro Calle 13"/>
    <x v="5"/>
    <s v="septiembre"/>
    <n v="30"/>
    <d v="2026-09-30T00:00:00"/>
    <m/>
    <m/>
    <n v="0"/>
    <n v="10429046"/>
    <n v="0"/>
  </r>
  <r>
    <s v="Retail"/>
    <s v="Q028 - Cali - Centro Calle 13"/>
    <x v="5"/>
    <s v="septiembre"/>
    <n v="30"/>
    <d v="2026-09-30T00:00:00"/>
    <n v="1044101083"/>
    <s v="GAMBOA OROZCO EDWIN FERNANDO"/>
    <n v="83"/>
    <n v="0"/>
    <n v="3943660"/>
  </r>
  <r>
    <s v="Retail"/>
    <s v="Q028 - Cali - Centro Calle 13"/>
    <x v="5"/>
    <s v="septiembre"/>
    <n v="30"/>
    <d v="2026-09-30T00:00:00"/>
    <n v="1105360449"/>
    <s v="ALEGRIA ORTIZ MAYERLI FERNANDA"/>
    <n v="15"/>
    <n v="0"/>
    <n v="667396"/>
  </r>
  <r>
    <s v="Retail"/>
    <s v="Q028 - Cali - Centro Calle 13"/>
    <x v="5"/>
    <s v="septiembre"/>
    <n v="30"/>
    <d v="2026-09-30T00:00:00"/>
    <n v="1111660535"/>
    <s v="BALANTA ASPRILLA SEBASTIAN"/>
    <n v="36"/>
    <n v="0"/>
    <n v="1826009"/>
  </r>
  <r>
    <s v="Retail"/>
    <s v="Q028 - Cali - Centro Calle 13"/>
    <x v="5"/>
    <s v="septiembre"/>
    <n v="30"/>
    <d v="2026-09-30T00:00:00"/>
    <n v="1114388276"/>
    <s v="OSPINA MONCAYO LESLI KATERINE"/>
    <n v="7"/>
    <n v="0"/>
    <n v="398867"/>
  </r>
  <r>
    <s v="Retail"/>
    <s v="Q028 - Cali - Centro Calle 13"/>
    <x v="5"/>
    <s v="septiembre"/>
    <n v="30"/>
    <d v="2026-09-30T00:00:00"/>
    <n v="1144190117"/>
    <s v="LOPEZ LOAIZA JESSICA MARIA"/>
    <n v="86"/>
    <n v="0"/>
    <n v="4519331"/>
  </r>
  <r>
    <s v="Retail"/>
    <s v="Q028 - Cali - Centro Calle 13"/>
    <x v="5"/>
    <s v="octubre"/>
    <n v="1"/>
    <d v="2026-10-01T00:00:00"/>
    <m/>
    <m/>
    <n v="0"/>
    <n v="13821145"/>
    <n v="0"/>
  </r>
  <r>
    <s v="Retail"/>
    <s v="Q028 - Cali - Centro Calle 13"/>
    <x v="5"/>
    <s v="octubre"/>
    <n v="1"/>
    <d v="2026-10-01T00:00:00"/>
    <n v="1044101083"/>
    <s v="GAMBOA OROZCO EDWIN FERNANDO"/>
    <n v="103"/>
    <n v="0"/>
    <n v="5045508"/>
  </r>
  <r>
    <s v="Retail"/>
    <s v="Q028 - Cali - Centro Calle 13"/>
    <x v="5"/>
    <s v="octubre"/>
    <n v="1"/>
    <d v="2026-10-01T00:00:00"/>
    <n v="1105360449"/>
    <s v="ALEGRIA ORTIZ MAYERLI FERNANDA"/>
    <n v="2"/>
    <n v="0"/>
    <n v="167983"/>
  </r>
  <r>
    <s v="Retail"/>
    <s v="Q028 - Cali - Centro Calle 13"/>
    <x v="5"/>
    <s v="octubre"/>
    <n v="1"/>
    <d v="2026-10-01T00:00:00"/>
    <n v="1111660535"/>
    <s v="BALANTA ASPRILLA SEBASTIAN"/>
    <n v="22"/>
    <n v="0"/>
    <n v="1164918"/>
  </r>
  <r>
    <s v="Retail"/>
    <s v="Q028 - Cali - Centro Calle 13"/>
    <x v="5"/>
    <s v="octubre"/>
    <n v="1"/>
    <d v="2026-10-01T00:00:00"/>
    <n v="1114388276"/>
    <s v="OSPINA MONCAYO LESLI KATERINE"/>
    <n v="4"/>
    <n v="0"/>
    <n v="197227"/>
  </r>
  <r>
    <s v="Retail"/>
    <s v="Q028 - Cali - Centro Calle 13"/>
    <x v="5"/>
    <s v="octubre"/>
    <n v="1"/>
    <d v="2026-10-01T00:00:00"/>
    <n v="1143976927"/>
    <s v="VIAFARA GOMEZ MARGIE YULLEISY"/>
    <n v="1"/>
    <n v="0"/>
    <n v="16723"/>
  </r>
  <r>
    <s v="Retail"/>
    <s v="Q028 - Cali - Centro Calle 13"/>
    <x v="5"/>
    <s v="octubre"/>
    <n v="1"/>
    <d v="2026-10-01T00:00:00"/>
    <n v="1144190117"/>
    <s v="LOPEZ LOAIZA JESSICA MARIA"/>
    <n v="100"/>
    <n v="0"/>
    <n v="4886181"/>
  </r>
  <r>
    <s v="Retail"/>
    <s v="Q028 - Cali - Centro Calle 13"/>
    <x v="5"/>
    <s v="octubre"/>
    <n v="1"/>
    <d v="2026-10-01T00:00:00"/>
    <n v="1193597754"/>
    <s v="CASTILLO SOLIS CARMEN CECILIA"/>
    <n v="-2"/>
    <n v="0"/>
    <n v="-125966"/>
  </r>
  <r>
    <s v="Retail"/>
    <s v="Q028 - Cali - Centro Calle 13"/>
    <x v="5"/>
    <s v="octubre"/>
    <n v="2"/>
    <d v="2026-10-02T00:00:00"/>
    <m/>
    <m/>
    <n v="0"/>
    <n v="10261381"/>
    <n v="0"/>
  </r>
  <r>
    <s v="Retail"/>
    <s v="Q028 - Cali - Centro Calle 13"/>
    <x v="5"/>
    <s v="octubre"/>
    <n v="2"/>
    <d v="2026-10-02T00:00:00"/>
    <n v="1044101083"/>
    <s v="GAMBOA OROZCO EDWIN FERNANDO"/>
    <n v="93"/>
    <n v="0"/>
    <n v="4796185"/>
  </r>
  <r>
    <s v="Retail"/>
    <s v="Q028 - Cali - Centro Calle 13"/>
    <x v="5"/>
    <s v="octubre"/>
    <n v="2"/>
    <d v="2026-10-02T00:00:00"/>
    <n v="1105360449"/>
    <s v="ALEGRIA ORTIZ MAYERLI FERNANDA"/>
    <n v="7"/>
    <n v="0"/>
    <n v="255967"/>
  </r>
  <r>
    <s v="Retail"/>
    <s v="Q028 - Cali - Centro Calle 13"/>
    <x v="5"/>
    <s v="octubre"/>
    <n v="2"/>
    <d v="2026-10-02T00:00:00"/>
    <n v="1111660535"/>
    <s v="BALANTA ASPRILLA SEBASTIAN"/>
    <n v="23"/>
    <n v="0"/>
    <n v="1167059"/>
  </r>
  <r>
    <s v="Retail"/>
    <s v="Q028 - Cali - Centro Calle 13"/>
    <x v="5"/>
    <s v="octubre"/>
    <n v="2"/>
    <d v="2026-10-02T00:00:00"/>
    <n v="1111665228"/>
    <s v="RIVERA ZUÑIGA JUAN DIEGO"/>
    <n v="-1"/>
    <n v="0"/>
    <n v="-41933"/>
  </r>
  <r>
    <s v="Retail"/>
    <s v="Q028 - Cali - Centro Calle 13"/>
    <x v="5"/>
    <s v="octubre"/>
    <n v="2"/>
    <d v="2026-10-02T00:00:00"/>
    <n v="1114388276"/>
    <s v="OSPINA MONCAYO LESLI KATERINE"/>
    <n v="3"/>
    <n v="0"/>
    <n v="69160"/>
  </r>
  <r>
    <s v="Retail"/>
    <s v="Q028 - Cali - Centro Calle 13"/>
    <x v="5"/>
    <s v="octubre"/>
    <n v="2"/>
    <d v="2026-10-02T00:00:00"/>
    <n v="1144190117"/>
    <s v="LOPEZ LOAIZA JESSICA MARIA"/>
    <n v="101"/>
    <n v="0"/>
    <n v="5224038"/>
  </r>
  <r>
    <s v="Retail"/>
    <s v="Q028 - Cali - Centro Calle 13"/>
    <x v="5"/>
    <s v="octubre"/>
    <n v="3"/>
    <d v="2026-10-03T00:00:00"/>
    <m/>
    <m/>
    <n v="0"/>
    <n v="30929371"/>
    <n v="0"/>
  </r>
  <r>
    <s v="Retail"/>
    <s v="Q028 - Cali - Centro Calle 13"/>
    <x v="5"/>
    <s v="octubre"/>
    <n v="3"/>
    <d v="2026-10-03T00:00:00"/>
    <n v="1007132542"/>
    <s v="SALCEDO CASTRILLON FRACHED"/>
    <n v="-1"/>
    <n v="0"/>
    <n v="-75546"/>
  </r>
  <r>
    <s v="Retail"/>
    <s v="Q028 - Cali - Centro Calle 13"/>
    <x v="5"/>
    <s v="octubre"/>
    <n v="3"/>
    <d v="2026-10-03T00:00:00"/>
    <n v="1044101083"/>
    <s v="GAMBOA OROZCO EDWIN FERNANDO"/>
    <n v="230"/>
    <n v="0"/>
    <n v="11314581"/>
  </r>
  <r>
    <s v="Retail"/>
    <s v="Q028 - Cali - Centro Calle 13"/>
    <x v="5"/>
    <s v="octubre"/>
    <n v="3"/>
    <d v="2026-10-03T00:00:00"/>
    <n v="1105360449"/>
    <s v="ALEGRIA ORTIZ MAYERLI FERNANDA"/>
    <n v="12"/>
    <n v="0"/>
    <n v="477151"/>
  </r>
  <r>
    <s v="Retail"/>
    <s v="Q028 - Cali - Centro Calle 13"/>
    <x v="5"/>
    <s v="octubre"/>
    <n v="3"/>
    <d v="2026-10-03T00:00:00"/>
    <n v="1111660535"/>
    <s v="BALANTA ASPRILLA SEBASTIAN"/>
    <n v="26"/>
    <n v="0"/>
    <n v="1081144"/>
  </r>
  <r>
    <s v="Retail"/>
    <s v="Q028 - Cali - Centro Calle 13"/>
    <x v="5"/>
    <s v="octubre"/>
    <n v="3"/>
    <d v="2026-10-03T00:00:00"/>
    <n v="1114388276"/>
    <s v="OSPINA MONCAYO LESLI KATERINE"/>
    <n v="10"/>
    <n v="0"/>
    <n v="423951"/>
  </r>
  <r>
    <s v="Retail"/>
    <s v="Q028 - Cali - Centro Calle 13"/>
    <x v="5"/>
    <s v="octubre"/>
    <n v="3"/>
    <d v="2026-10-03T00:00:00"/>
    <n v="1144190117"/>
    <s v="LOPEZ LOAIZA JESSICA MARIA"/>
    <n v="223"/>
    <n v="0"/>
    <n v="11585353"/>
  </r>
  <r>
    <s v="Retail"/>
    <s v="Q028 - Cali - Centro Calle 13"/>
    <x v="5"/>
    <s v="octubre"/>
    <n v="4"/>
    <d v="2026-10-04T00:00:00"/>
    <m/>
    <m/>
    <n v="0"/>
    <n v="9169769"/>
    <n v="0"/>
  </r>
  <r>
    <s v="Retail"/>
    <s v="Q028 - Cali - Centro Calle 13"/>
    <x v="5"/>
    <s v="octubre"/>
    <n v="4"/>
    <d v="2026-10-04T00:00:00"/>
    <n v="1044101083"/>
    <s v="GAMBOA OROZCO EDWIN FERNANDO"/>
    <n v="59"/>
    <n v="0"/>
    <n v="3039207"/>
  </r>
  <r>
    <s v="Retail"/>
    <s v="Q028 - Cali - Centro Calle 13"/>
    <x v="5"/>
    <s v="octubre"/>
    <n v="4"/>
    <d v="2026-10-04T00:00:00"/>
    <n v="1105360449"/>
    <s v="ALEGRIA ORTIZ MAYERLI FERNANDA"/>
    <n v="2"/>
    <n v="0"/>
    <n v="31429"/>
  </r>
  <r>
    <s v="Retail"/>
    <s v="Q028 - Cali - Centro Calle 13"/>
    <x v="5"/>
    <s v="octubre"/>
    <n v="4"/>
    <d v="2026-10-04T00:00:00"/>
    <n v="1144190117"/>
    <s v="LOPEZ LOAIZA JESSICA MARIA"/>
    <n v="62"/>
    <n v="0"/>
    <n v="3030757"/>
  </r>
  <r>
    <s v="Retail"/>
    <s v="Q028 - Cali - Centro Calle 13"/>
    <x v="5"/>
    <s v="octubre"/>
    <n v="4"/>
    <d v="2026-10-04T00:00:00"/>
    <n v="1193259913"/>
    <s v="PADILLA DOSMAN  ANGEL MARIO"/>
    <n v="-1"/>
    <n v="0"/>
    <n v="-50378"/>
  </r>
  <r>
    <s v="Retail"/>
    <s v="Q028 - Cali - Centro Calle 13"/>
    <x v="5"/>
    <s v="octubre"/>
    <n v="5"/>
    <d v="2026-10-05T00:00:00"/>
    <m/>
    <m/>
    <n v="0"/>
    <n v="14373755"/>
    <n v="0"/>
  </r>
  <r>
    <s v="Retail"/>
    <s v="Q028 - Cali - Centro Calle 13"/>
    <x v="5"/>
    <s v="octubre"/>
    <n v="5"/>
    <d v="2026-10-05T00:00:00"/>
    <n v="1004006497"/>
    <s v="ACEVEDO  PEREZ ANGUIE CATALINA "/>
    <n v="-2"/>
    <n v="0"/>
    <n v="-125966"/>
  </r>
  <r>
    <s v="Retail"/>
    <s v="Q028 - Cali - Centro Calle 13"/>
    <x v="5"/>
    <s v="octubre"/>
    <n v="5"/>
    <d v="2026-10-05T00:00:00"/>
    <n v="1044101083"/>
    <s v="GAMBOA OROZCO EDWIN FERNANDO"/>
    <n v="118"/>
    <n v="0"/>
    <n v="6643617"/>
  </r>
  <r>
    <s v="Retail"/>
    <s v="Q028 - Cali - Centro Calle 13"/>
    <x v="5"/>
    <s v="octubre"/>
    <n v="5"/>
    <d v="2026-10-05T00:00:00"/>
    <n v="1105360449"/>
    <s v="ALEGRIA ORTIZ MAYERLI FERNANDA"/>
    <n v="2"/>
    <n v="0"/>
    <n v="109160"/>
  </r>
  <r>
    <s v="Retail"/>
    <s v="Q028 - Cali - Centro Calle 13"/>
    <x v="5"/>
    <s v="octubre"/>
    <n v="5"/>
    <d v="2026-10-05T00:00:00"/>
    <n v="1111660535"/>
    <s v="BALANTA ASPRILLA SEBASTIAN"/>
    <n v="5"/>
    <n v="0"/>
    <n v="218277"/>
  </r>
  <r>
    <s v="Retail"/>
    <s v="Q028 - Cali - Centro Calle 13"/>
    <x v="5"/>
    <s v="octubre"/>
    <n v="5"/>
    <d v="2026-10-05T00:00:00"/>
    <n v="1114388276"/>
    <s v="OSPINA MONCAYO LESLI KATERINE"/>
    <n v="4"/>
    <n v="0"/>
    <n v="106975"/>
  </r>
  <r>
    <s v="Retail"/>
    <s v="Q028 - Cali - Centro Calle 13"/>
    <x v="5"/>
    <s v="octubre"/>
    <n v="5"/>
    <d v="2026-10-05T00:00:00"/>
    <n v="1144190117"/>
    <s v="LOPEZ LOAIZA JESSICA MARIA"/>
    <n v="126"/>
    <n v="0"/>
    <n v="6500257"/>
  </r>
  <r>
    <s v="Retail"/>
    <s v="Q028 - Cali - Centro Calle 13"/>
    <x v="5"/>
    <s v="octubre"/>
    <n v="6"/>
    <d v="2026-10-06T00:00:00"/>
    <m/>
    <m/>
    <n v="0"/>
    <n v="8878744"/>
    <n v="0"/>
  </r>
  <r>
    <s v="Retail"/>
    <s v="Q028 - Cali - Centro Calle 13"/>
    <x v="5"/>
    <s v="octubre"/>
    <n v="6"/>
    <d v="2026-10-06T00:00:00"/>
    <n v="1006172031"/>
    <s v="DIAZ BERRIDO DIANA MARLLELY"/>
    <n v="-1"/>
    <n v="0"/>
    <n v="-41975"/>
  </r>
  <r>
    <s v="Retail"/>
    <s v="Q028 - Cali - Centro Calle 13"/>
    <x v="5"/>
    <s v="octubre"/>
    <n v="6"/>
    <d v="2026-10-06T00:00:00"/>
    <n v="1010088636"/>
    <s v="SALAZAR SANCHEZ ESTEBAN"/>
    <n v="-1"/>
    <n v="0"/>
    <n v="-58740"/>
  </r>
  <r>
    <s v="Retail"/>
    <s v="Q028 - Cali - Centro Calle 13"/>
    <x v="5"/>
    <s v="octubre"/>
    <n v="6"/>
    <d v="2026-10-06T00:00:00"/>
    <n v="1044101083"/>
    <s v="GAMBOA OROZCO EDWIN FERNANDO"/>
    <n v="57"/>
    <n v="0"/>
    <n v="2755592"/>
  </r>
  <r>
    <s v="Retail"/>
    <s v="Q028 - Cali - Centro Calle 13"/>
    <x v="5"/>
    <s v="octubre"/>
    <n v="6"/>
    <d v="2026-10-06T00:00:00"/>
    <n v="1105360449"/>
    <s v="ALEGRIA ORTIZ MAYERLI FERNANDA"/>
    <n v="7"/>
    <n v="0"/>
    <n v="289621"/>
  </r>
  <r>
    <s v="Retail"/>
    <s v="Q028 - Cali - Centro Calle 13"/>
    <x v="5"/>
    <s v="octubre"/>
    <n v="6"/>
    <d v="2026-10-06T00:00:00"/>
    <n v="1111660535"/>
    <s v="BALANTA ASPRILLA SEBASTIAN"/>
    <n v="12"/>
    <n v="0"/>
    <n v="904504"/>
  </r>
  <r>
    <s v="Retail"/>
    <s v="Q028 - Cali - Centro Calle 13"/>
    <x v="5"/>
    <s v="octubre"/>
    <n v="6"/>
    <d v="2026-10-06T00:00:00"/>
    <n v="1114388276"/>
    <s v="OSPINA MONCAYO LESLI KATERINE"/>
    <n v="6"/>
    <n v="0"/>
    <n v="230842"/>
  </r>
  <r>
    <s v="Retail"/>
    <s v="Q028 - Cali - Centro Calle 13"/>
    <x v="5"/>
    <s v="octubre"/>
    <n v="6"/>
    <d v="2026-10-06T00:00:00"/>
    <n v="1144190117"/>
    <s v="LOPEZ LOAIZA JESSICA MARIA"/>
    <n v="52"/>
    <n v="0"/>
    <n v="2430089"/>
  </r>
  <r>
    <s v="Retail"/>
    <s v="Q028 - Cali - Centro Calle 13"/>
    <x v="5"/>
    <s v="octubre"/>
    <n v="7"/>
    <d v="2026-10-07T00:00:00"/>
    <m/>
    <m/>
    <n v="0"/>
    <n v="8785510"/>
    <n v="0"/>
  </r>
  <r>
    <s v="Retail"/>
    <s v="Q028 - Cali - Centro Calle 13"/>
    <x v="5"/>
    <s v="octubre"/>
    <n v="7"/>
    <d v="2026-10-07T00:00:00"/>
    <n v="1044101083"/>
    <s v="GAMBOA OROZCO EDWIN FERNANDO"/>
    <n v="69"/>
    <n v="0"/>
    <n v="3341388"/>
  </r>
  <r>
    <s v="Retail"/>
    <s v="Q028 - Cali - Centro Calle 13"/>
    <x v="5"/>
    <s v="octubre"/>
    <n v="7"/>
    <d v="2026-10-07T00:00:00"/>
    <n v="1105360449"/>
    <s v="ALEGRIA ORTIZ MAYERLI FERNANDA"/>
    <n v="10"/>
    <n v="0"/>
    <n v="407100"/>
  </r>
  <r>
    <s v="Retail"/>
    <s v="Q028 - Cali - Centro Calle 13"/>
    <x v="5"/>
    <s v="octubre"/>
    <n v="7"/>
    <d v="2026-10-07T00:00:00"/>
    <n v="1111660535"/>
    <s v="BALANTA ASPRILLA SEBASTIAN"/>
    <n v="7"/>
    <n v="0"/>
    <n v="274876"/>
  </r>
  <r>
    <s v="Retail"/>
    <s v="Q028 - Cali - Centro Calle 13"/>
    <x v="5"/>
    <s v="octubre"/>
    <n v="7"/>
    <d v="2026-10-07T00:00:00"/>
    <n v="1114388276"/>
    <s v="OSPINA MONCAYO LESLI KATERINE"/>
    <n v="5"/>
    <n v="0"/>
    <n v="239286"/>
  </r>
  <r>
    <s v="Retail"/>
    <s v="Q028 - Cali - Centro Calle 13"/>
    <x v="5"/>
    <s v="octubre"/>
    <n v="7"/>
    <d v="2026-10-07T00:00:00"/>
    <n v="1144190117"/>
    <s v="LOPEZ LOAIZA JESSICA MARIA"/>
    <n v="65"/>
    <n v="0"/>
    <n v="3572481"/>
  </r>
  <r>
    <s v="Retail"/>
    <s v="Q031 - Cali - Centro 1"/>
    <x v="5"/>
    <s v="septiembre"/>
    <n v="23"/>
    <d v="2026-09-23T00:00:00"/>
    <m/>
    <m/>
    <n v="0"/>
    <n v="23417882"/>
    <n v="0"/>
  </r>
  <r>
    <s v="Retail"/>
    <s v="Q031 - Cali - Centro 1"/>
    <x v="5"/>
    <s v="septiembre"/>
    <n v="23"/>
    <d v="2026-09-23T00:00:00"/>
    <n v="16919109"/>
    <s v="GONZALEZ PENA EDWARD FABIAN"/>
    <n v="134"/>
    <n v="0"/>
    <n v="7695799"/>
  </r>
  <r>
    <s v="Retail"/>
    <s v="Q031 - Cali - Centro 1"/>
    <x v="5"/>
    <s v="septiembre"/>
    <n v="23"/>
    <d v="2026-09-23T00:00:00"/>
    <n v="1107846391"/>
    <s v="CUBIDES MELO DAVID"/>
    <n v="19"/>
    <n v="0"/>
    <n v="1495001"/>
  </r>
  <r>
    <s v="Retail"/>
    <s v="Q031 - Cali - Centro 1"/>
    <x v="5"/>
    <s v="septiembre"/>
    <n v="23"/>
    <d v="2026-09-23T00:00:00"/>
    <n v="1111662486"/>
    <s v="GRAJALES TROCHEZ JUAN  MANUEL"/>
    <n v="167"/>
    <n v="0"/>
    <n v="9843324"/>
  </r>
  <r>
    <s v="Retail"/>
    <s v="Q031 - Cali - Centro 1"/>
    <x v="5"/>
    <s v="septiembre"/>
    <n v="23"/>
    <d v="2026-09-23T00:00:00"/>
    <n v="1111784310"/>
    <s v="MURILLO VALENCIA JHONIER"/>
    <n v="22"/>
    <n v="0"/>
    <n v="1225758"/>
  </r>
  <r>
    <s v="Retail"/>
    <s v="Q031 - Cali - Centro 1"/>
    <x v="5"/>
    <s v="septiembre"/>
    <n v="23"/>
    <d v="2026-09-23T00:00:00"/>
    <n v="1113689444"/>
    <s v="GONZALEZ QUIÑONES JUAN CAMILO"/>
    <n v="-1"/>
    <n v="0"/>
    <n v="-58740"/>
  </r>
  <r>
    <s v="Retail"/>
    <s v="Q031 - Cali - Centro 1"/>
    <x v="5"/>
    <s v="septiembre"/>
    <n v="23"/>
    <d v="2026-09-23T00:00:00"/>
    <n v="1143972684"/>
    <s v="BOLAÑOS GIL KAREN MILET"/>
    <n v="22"/>
    <n v="0"/>
    <n v="984371"/>
  </r>
  <r>
    <s v="Retail"/>
    <s v="Q031 - Cali - Centro 1"/>
    <x v="5"/>
    <s v="septiembre"/>
    <n v="23"/>
    <d v="2026-09-23T00:00:00"/>
    <n v="1193259913"/>
    <s v="PADILLA DOSMAN  ANGEL MARIO"/>
    <n v="118"/>
    <n v="0"/>
    <n v="6631350"/>
  </r>
  <r>
    <s v="Retail"/>
    <s v="Q031 - Cali - Centro 1"/>
    <x v="5"/>
    <s v="septiembre"/>
    <n v="23"/>
    <d v="2026-09-23T00:00:00"/>
    <n v="1193597754"/>
    <s v="CASTILLO SOLIS CARMEN CECILIA"/>
    <n v="20"/>
    <n v="0"/>
    <n v="1322648"/>
  </r>
  <r>
    <s v="Retail"/>
    <s v="Q031 - Cali - Centro 1"/>
    <x v="5"/>
    <s v="septiembre"/>
    <n v="24"/>
    <d v="2026-09-24T00:00:00"/>
    <m/>
    <m/>
    <n v="0"/>
    <n v="32396418"/>
    <n v="0"/>
  </r>
  <r>
    <s v="Retail"/>
    <s v="Q031 - Cali - Centro 1"/>
    <x v="5"/>
    <s v="septiembre"/>
    <n v="24"/>
    <d v="2026-09-24T00:00:00"/>
    <n v="16919109"/>
    <s v="GONZALEZ PENA EDWARD FABIAN"/>
    <n v="187"/>
    <n v="0"/>
    <n v="9739883"/>
  </r>
  <r>
    <s v="Retail"/>
    <s v="Q031 - Cali - Centro 1"/>
    <x v="5"/>
    <s v="septiembre"/>
    <n v="24"/>
    <d v="2026-09-24T00:00:00"/>
    <n v="1010088636"/>
    <s v="SALAZAR SANCHEZ ESTEBAN"/>
    <n v="-1"/>
    <n v="0"/>
    <n v="-64647"/>
  </r>
  <r>
    <s v="Retail"/>
    <s v="Q031 - Cali - Centro 1"/>
    <x v="5"/>
    <s v="septiembre"/>
    <n v="24"/>
    <d v="2026-09-24T00:00:00"/>
    <n v="1107846391"/>
    <s v="CUBIDES MELO DAVID"/>
    <n v="32"/>
    <n v="0"/>
    <n v="1771766"/>
  </r>
  <r>
    <s v="Retail"/>
    <s v="Q031 - Cali - Centro 1"/>
    <x v="5"/>
    <s v="septiembre"/>
    <n v="24"/>
    <d v="2026-09-24T00:00:00"/>
    <n v="1111662486"/>
    <s v="GRAJALES TROCHEZ JUAN  MANUEL"/>
    <n v="69"/>
    <n v="0"/>
    <n v="3602101"/>
  </r>
  <r>
    <s v="Retail"/>
    <s v="Q031 - Cali - Centro 1"/>
    <x v="5"/>
    <s v="septiembre"/>
    <n v="24"/>
    <d v="2026-09-24T00:00:00"/>
    <n v="1111784310"/>
    <s v="MURILLO VALENCIA JHONIER"/>
    <n v="43"/>
    <n v="0"/>
    <n v="2556934"/>
  </r>
  <r>
    <s v="Retail"/>
    <s v="Q031 - Cali - Centro 1"/>
    <x v="5"/>
    <s v="septiembre"/>
    <n v="24"/>
    <d v="2026-09-24T00:00:00"/>
    <n v="1113689444"/>
    <s v="GONZALEZ QUIÑONES JUAN CAMILO"/>
    <n v="-1"/>
    <n v="0"/>
    <n v="-52882"/>
  </r>
  <r>
    <s v="Retail"/>
    <s v="Q031 - Cali - Centro 1"/>
    <x v="5"/>
    <s v="septiembre"/>
    <n v="24"/>
    <d v="2026-09-24T00:00:00"/>
    <n v="1143972684"/>
    <s v="BOLAÑOS GIL KAREN MILET"/>
    <n v="50"/>
    <n v="0"/>
    <n v="3119583"/>
  </r>
  <r>
    <s v="Retail"/>
    <s v="Q031 - Cali - Centro 1"/>
    <x v="5"/>
    <s v="septiembre"/>
    <n v="24"/>
    <d v="2026-09-24T00:00:00"/>
    <n v="1144159588"/>
    <s v="ARCE CASTELLANOS CRISTIAN ALBERTO"/>
    <n v="-1"/>
    <n v="0"/>
    <n v="-52882"/>
  </r>
  <r>
    <s v="Retail"/>
    <s v="Q031 - Cali - Centro 1"/>
    <x v="5"/>
    <s v="septiembre"/>
    <n v="24"/>
    <d v="2026-09-24T00:00:00"/>
    <n v="1193259913"/>
    <s v="PADILLA DOSMAN  ANGEL MARIO"/>
    <n v="166"/>
    <n v="0"/>
    <n v="8875007"/>
  </r>
  <r>
    <s v="Retail"/>
    <s v="Q031 - Cali - Centro 1"/>
    <x v="5"/>
    <s v="septiembre"/>
    <n v="24"/>
    <d v="2026-09-24T00:00:00"/>
    <n v="1193597754"/>
    <s v="CASTILLO SOLIS CARMEN CECILIA"/>
    <n v="40"/>
    <n v="0"/>
    <n v="2901555"/>
  </r>
  <r>
    <s v="Retail"/>
    <s v="Q031 - Cali - Centro 1"/>
    <x v="5"/>
    <s v="septiembre"/>
    <n v="25"/>
    <d v="2026-09-25T00:00:00"/>
    <m/>
    <m/>
    <n v="0"/>
    <n v="25254092"/>
    <n v="0"/>
  </r>
  <r>
    <s v="Retail"/>
    <s v="Q031 - Cali - Centro 1"/>
    <x v="5"/>
    <s v="septiembre"/>
    <n v="25"/>
    <d v="2026-09-25T00:00:00"/>
    <n v="16919109"/>
    <s v="GONZALEZ PENA EDWARD FABIAN"/>
    <n v="100"/>
    <n v="0"/>
    <n v="5844457"/>
  </r>
  <r>
    <s v="Retail"/>
    <s v="Q031 - Cali - Centro 1"/>
    <x v="5"/>
    <s v="septiembre"/>
    <n v="25"/>
    <d v="2026-09-25T00:00:00"/>
    <n v="1107846391"/>
    <s v="CUBIDES MELO DAVID"/>
    <n v="32"/>
    <n v="0"/>
    <n v="1912480"/>
  </r>
  <r>
    <s v="Retail"/>
    <s v="Q031 - Cali - Centro 1"/>
    <x v="5"/>
    <s v="septiembre"/>
    <n v="25"/>
    <d v="2026-09-25T00:00:00"/>
    <n v="1111662486"/>
    <s v="GRAJALES TROCHEZ JUAN  MANUEL"/>
    <n v="114"/>
    <n v="0"/>
    <n v="6583406"/>
  </r>
  <r>
    <s v="Retail"/>
    <s v="Q031 - Cali - Centro 1"/>
    <x v="5"/>
    <s v="septiembre"/>
    <n v="25"/>
    <d v="2026-09-25T00:00:00"/>
    <n v="1111784310"/>
    <s v="MURILLO VALENCIA JHONIER"/>
    <n v="50"/>
    <n v="0"/>
    <n v="2779414"/>
  </r>
  <r>
    <s v="Retail"/>
    <s v="Q031 - Cali - Centro 1"/>
    <x v="5"/>
    <s v="septiembre"/>
    <n v="25"/>
    <d v="2026-09-25T00:00:00"/>
    <n v="1143972684"/>
    <s v="BOLAÑOS GIL KAREN MILET"/>
    <n v="39"/>
    <n v="0"/>
    <n v="2292398"/>
  </r>
  <r>
    <s v="Retail"/>
    <s v="Q031 - Cali - Centro 1"/>
    <x v="5"/>
    <s v="septiembre"/>
    <n v="25"/>
    <d v="2026-09-25T00:00:00"/>
    <n v="1193259913"/>
    <s v="PADILLA DOSMAN  ANGEL MARIO"/>
    <n v="79"/>
    <n v="0"/>
    <n v="4183492"/>
  </r>
  <r>
    <s v="Retail"/>
    <s v="Q031 - Cali - Centro 1"/>
    <x v="5"/>
    <s v="septiembre"/>
    <n v="25"/>
    <d v="2026-09-25T00:00:00"/>
    <n v="1193597754"/>
    <s v="CASTILLO SOLIS CARMEN CECILIA"/>
    <n v="28"/>
    <n v="0"/>
    <n v="1658446"/>
  </r>
  <r>
    <s v="Retail"/>
    <s v="Q031 - Cali - Centro 1"/>
    <x v="5"/>
    <s v="septiembre"/>
    <n v="26"/>
    <d v="2026-09-26T00:00:00"/>
    <m/>
    <m/>
    <n v="0"/>
    <n v="49722310"/>
    <n v="0"/>
  </r>
  <r>
    <s v="Retail"/>
    <s v="Q031 - Cali - Centro 1"/>
    <x v="5"/>
    <s v="septiembre"/>
    <n v="26"/>
    <d v="2026-09-26T00:00:00"/>
    <n v="16919109"/>
    <s v="GONZALEZ PENA EDWARD FABIAN"/>
    <n v="219"/>
    <n v="0"/>
    <n v="12080465"/>
  </r>
  <r>
    <s v="Retail"/>
    <s v="Q031 - Cali - Centro 1"/>
    <x v="5"/>
    <s v="septiembre"/>
    <n v="26"/>
    <d v="2026-09-26T00:00:00"/>
    <n v="1007666988"/>
    <s v="GARCÍA URDA ALEX ALBERTO"/>
    <n v="-1"/>
    <n v="0"/>
    <n v="-33529"/>
  </r>
  <r>
    <s v="Retail"/>
    <s v="Q031 - Cali - Centro 1"/>
    <x v="5"/>
    <s v="septiembre"/>
    <n v="26"/>
    <d v="2026-09-26T00:00:00"/>
    <n v="1104804320"/>
    <s v="RIOFRIO JIMENEZ NICOLAS"/>
    <n v="-1"/>
    <n v="0"/>
    <n v="-210000"/>
  </r>
  <r>
    <s v="Retail"/>
    <s v="Q031 - Cali - Centro 1"/>
    <x v="5"/>
    <s v="septiembre"/>
    <n v="26"/>
    <d v="2026-09-26T00:00:00"/>
    <n v="1107846391"/>
    <s v="CUBIDES MELO DAVID"/>
    <n v="40"/>
    <n v="0"/>
    <n v="2367942"/>
  </r>
  <r>
    <s v="Retail"/>
    <s v="Q031 - Cali - Centro 1"/>
    <x v="5"/>
    <s v="septiembre"/>
    <n v="26"/>
    <d v="2026-09-26T00:00:00"/>
    <n v="1111662486"/>
    <s v="GRAJALES TROCHEZ JUAN  MANUEL"/>
    <n v="293"/>
    <n v="0"/>
    <n v="17134131"/>
  </r>
  <r>
    <s v="Retail"/>
    <s v="Q031 - Cali - Centro 1"/>
    <x v="5"/>
    <s v="septiembre"/>
    <n v="26"/>
    <d v="2026-09-26T00:00:00"/>
    <n v="1111784310"/>
    <s v="MURILLO VALENCIA JHONIER"/>
    <n v="49"/>
    <n v="0"/>
    <n v="2796139"/>
  </r>
  <r>
    <s v="Retail"/>
    <s v="Q031 - Cali - Centro 1"/>
    <x v="5"/>
    <s v="septiembre"/>
    <n v="26"/>
    <d v="2026-09-26T00:00:00"/>
    <n v="1143413580"/>
    <s v="OCAMPO MENDOZA JHON FEITHER"/>
    <n v="-1"/>
    <n v="0"/>
    <n v="-83992"/>
  </r>
  <r>
    <s v="Retail"/>
    <s v="Q031 - Cali - Centro 1"/>
    <x v="5"/>
    <s v="septiembre"/>
    <n v="26"/>
    <d v="2026-09-26T00:00:00"/>
    <n v="1143972684"/>
    <s v="BOLAÑOS GIL KAREN MILET"/>
    <n v="73"/>
    <n v="0"/>
    <n v="4005091"/>
  </r>
  <r>
    <s v="Retail"/>
    <s v="Q031 - Cali - Centro 1"/>
    <x v="5"/>
    <s v="septiembre"/>
    <n v="26"/>
    <d v="2026-09-26T00:00:00"/>
    <n v="1193259913"/>
    <s v="PADILLA DOSMAN  ANGEL MARIO"/>
    <n v="136"/>
    <n v="0"/>
    <n v="7956437"/>
  </r>
  <r>
    <s v="Retail"/>
    <s v="Q031 - Cali - Centro 1"/>
    <x v="5"/>
    <s v="septiembre"/>
    <n v="26"/>
    <d v="2026-09-26T00:00:00"/>
    <n v="1193597754"/>
    <s v="CASTILLO SOLIS CARMEN CECILIA"/>
    <n v="59"/>
    <n v="0"/>
    <n v="3709627"/>
  </r>
  <r>
    <s v="Retail"/>
    <s v="Q031 - Cali - Centro 1"/>
    <x v="5"/>
    <s v="septiembre"/>
    <n v="27"/>
    <d v="2026-09-27T00:00:00"/>
    <m/>
    <m/>
    <n v="0"/>
    <n v="10582484"/>
    <n v="0"/>
  </r>
  <r>
    <s v="Retail"/>
    <s v="Q031 - Cali - Centro 1"/>
    <x v="5"/>
    <s v="septiembre"/>
    <n v="27"/>
    <d v="2026-09-27T00:00:00"/>
    <n v="16919109"/>
    <s v="GONZALEZ PENA EDWARD FABIAN"/>
    <n v="39"/>
    <n v="0"/>
    <n v="2595044"/>
  </r>
  <r>
    <s v="Retail"/>
    <s v="Q031 - Cali - Centro 1"/>
    <x v="5"/>
    <s v="septiembre"/>
    <n v="27"/>
    <d v="2026-09-27T00:00:00"/>
    <n v="1107846391"/>
    <s v="CUBIDES MELO DAVID"/>
    <n v="11"/>
    <n v="0"/>
    <n v="633951"/>
  </r>
  <r>
    <s v="Retail"/>
    <s v="Q031 - Cali - Centro 1"/>
    <x v="5"/>
    <s v="septiembre"/>
    <n v="27"/>
    <d v="2026-09-27T00:00:00"/>
    <n v="1111662486"/>
    <s v="GRAJALES TROCHEZ JUAN  MANUEL"/>
    <n v="61"/>
    <n v="0"/>
    <n v="3373446"/>
  </r>
  <r>
    <s v="Retail"/>
    <s v="Q031 - Cali - Centro 1"/>
    <x v="5"/>
    <s v="septiembre"/>
    <n v="27"/>
    <d v="2026-09-27T00:00:00"/>
    <n v="1111784310"/>
    <s v="MURILLO VALENCIA JHONIER"/>
    <n v="10"/>
    <n v="0"/>
    <n v="528908"/>
  </r>
  <r>
    <s v="Retail"/>
    <s v="Q031 - Cali - Centro 1"/>
    <x v="5"/>
    <s v="septiembre"/>
    <n v="27"/>
    <d v="2026-09-27T00:00:00"/>
    <n v="1143972684"/>
    <s v="BOLAÑOS GIL KAREN MILET"/>
    <n v="18"/>
    <n v="0"/>
    <n v="1167228"/>
  </r>
  <r>
    <s v="Retail"/>
    <s v="Q031 - Cali - Centro 1"/>
    <x v="5"/>
    <s v="septiembre"/>
    <n v="27"/>
    <d v="2026-09-27T00:00:00"/>
    <n v="1193259913"/>
    <s v="PADILLA DOSMAN  ANGEL MARIO"/>
    <n v="40"/>
    <n v="0"/>
    <n v="2283908"/>
  </r>
  <r>
    <s v="Retail"/>
    <s v="Q031 - Cali - Centro 1"/>
    <x v="5"/>
    <s v="septiembre"/>
    <n v="28"/>
    <d v="2026-09-28T00:00:00"/>
    <m/>
    <m/>
    <n v="0"/>
    <n v="22881096"/>
    <n v="0"/>
  </r>
  <r>
    <s v="Retail"/>
    <s v="Q031 - Cali - Centro 1"/>
    <x v="5"/>
    <s v="septiembre"/>
    <n v="28"/>
    <d v="2026-09-28T00:00:00"/>
    <n v="16919109"/>
    <s v="GONZALEZ PENA EDWARD FABIAN"/>
    <n v="114"/>
    <n v="0"/>
    <n v="6902487"/>
  </r>
  <r>
    <s v="Retail"/>
    <s v="Q031 - Cali - Centro 1"/>
    <x v="5"/>
    <s v="septiembre"/>
    <n v="28"/>
    <d v="2026-09-28T00:00:00"/>
    <n v="1102868881"/>
    <s v="ESCOBAR PERNA SEBASTIAN DAVID"/>
    <n v="-1"/>
    <n v="0"/>
    <n v="-109202"/>
  </r>
  <r>
    <s v="Retail"/>
    <s v="Q031 - Cali - Centro 1"/>
    <x v="5"/>
    <s v="septiembre"/>
    <n v="28"/>
    <d v="2026-09-28T00:00:00"/>
    <n v="1111662486"/>
    <s v="GRAJALES TROCHEZ JUAN  MANUEL"/>
    <n v="110"/>
    <n v="0"/>
    <n v="6234669"/>
  </r>
  <r>
    <s v="Retail"/>
    <s v="Q031 - Cali - Centro 1"/>
    <x v="5"/>
    <s v="septiembre"/>
    <n v="28"/>
    <d v="2026-09-28T00:00:00"/>
    <n v="1111784310"/>
    <s v="MURILLO VALENCIA JHONIER"/>
    <n v="70"/>
    <n v="0"/>
    <n v="3761601"/>
  </r>
  <r>
    <s v="Retail"/>
    <s v="Q031 - Cali - Centro 1"/>
    <x v="5"/>
    <s v="septiembre"/>
    <n v="28"/>
    <d v="2026-09-28T00:00:00"/>
    <n v="1143972684"/>
    <s v="BOLAÑOS GIL KAREN MILET"/>
    <n v="0"/>
    <n v="0"/>
    <n v="4202"/>
  </r>
  <r>
    <s v="Retail"/>
    <s v="Q031 - Cali - Centro 1"/>
    <x v="5"/>
    <s v="septiembre"/>
    <n v="28"/>
    <d v="2026-09-28T00:00:00"/>
    <n v="1144158340"/>
    <s v="OCAMPO  JUAN"/>
    <n v="-1"/>
    <n v="0"/>
    <n v="-105000"/>
  </r>
  <r>
    <s v="Retail"/>
    <s v="Q031 - Cali - Centro 1"/>
    <x v="5"/>
    <s v="septiembre"/>
    <n v="28"/>
    <d v="2026-09-28T00:00:00"/>
    <n v="1193259913"/>
    <s v="PADILLA DOSMAN  ANGEL MARIO"/>
    <n v="93"/>
    <n v="0"/>
    <n v="5661900"/>
  </r>
  <r>
    <s v="Retail"/>
    <s v="Q031 - Cali - Centro 1"/>
    <x v="5"/>
    <s v="septiembre"/>
    <n v="28"/>
    <d v="2026-09-28T00:00:00"/>
    <n v="1193597754"/>
    <s v="CASTILLO SOLIS CARMEN CECILIA"/>
    <n v="60"/>
    <n v="0"/>
    <n v="3281008"/>
  </r>
  <r>
    <s v="Retail"/>
    <s v="Q031 - Cali - Centro 1"/>
    <x v="5"/>
    <s v="septiembre"/>
    <n v="29"/>
    <d v="2026-09-29T00:00:00"/>
    <m/>
    <m/>
    <n v="0"/>
    <n v="22335475"/>
    <n v="0"/>
  </r>
  <r>
    <s v="Retail"/>
    <s v="Q031 - Cali - Centro 1"/>
    <x v="5"/>
    <s v="septiembre"/>
    <n v="29"/>
    <d v="2026-09-29T00:00:00"/>
    <n v="16919109"/>
    <s v="GONZALEZ PENA EDWARD FABIAN"/>
    <n v="126"/>
    <n v="0"/>
    <n v="6985632"/>
  </r>
  <r>
    <s v="Retail"/>
    <s v="Q031 - Cali - Centro 1"/>
    <x v="5"/>
    <s v="septiembre"/>
    <n v="29"/>
    <d v="2026-09-29T00:00:00"/>
    <n v="1004006497"/>
    <s v="ACEVEDO  PEREZ ANGUIE CATALINA "/>
    <n v="-2"/>
    <n v="0"/>
    <n v="-100756"/>
  </r>
  <r>
    <s v="Retail"/>
    <s v="Q031 - Cali - Centro 1"/>
    <x v="5"/>
    <s v="septiembre"/>
    <n v="29"/>
    <d v="2026-09-29T00:00:00"/>
    <n v="1005707524"/>
    <s v="MOSQUERA MOLINA JHOAN SEBASTIAN"/>
    <n v="-1"/>
    <n v="0"/>
    <n v="-41975"/>
  </r>
  <r>
    <s v="Retail"/>
    <s v="Q031 - Cali - Centro 1"/>
    <x v="5"/>
    <s v="septiembre"/>
    <n v="29"/>
    <d v="2026-09-29T00:00:00"/>
    <n v="1094265298"/>
    <s v="PEÑA FIGUEROA GERSON  ESTEBAN"/>
    <n v="-1"/>
    <n v="0"/>
    <n v="-67185"/>
  </r>
  <r>
    <s v="Retail"/>
    <s v="Q031 - Cali - Centro 1"/>
    <x v="5"/>
    <s v="septiembre"/>
    <n v="29"/>
    <d v="2026-09-29T00:00:00"/>
    <n v="1107846391"/>
    <s v="CUBIDES MELO DAVID"/>
    <n v="23"/>
    <n v="0"/>
    <n v="1444414"/>
  </r>
  <r>
    <s v="Retail"/>
    <s v="Q031 - Cali - Centro 1"/>
    <x v="5"/>
    <s v="septiembre"/>
    <n v="29"/>
    <d v="2026-09-29T00:00:00"/>
    <n v="1111662486"/>
    <s v="GRAJALES TROCHEZ JUAN  MANUEL"/>
    <n v="86"/>
    <n v="0"/>
    <n v="5092944"/>
  </r>
  <r>
    <s v="Retail"/>
    <s v="Q031 - Cali - Centro 1"/>
    <x v="5"/>
    <s v="septiembre"/>
    <n v="29"/>
    <d v="2026-09-29T00:00:00"/>
    <n v="1111784310"/>
    <s v="MURILLO VALENCIA JHONIER"/>
    <n v="20"/>
    <n v="0"/>
    <n v="1125211"/>
  </r>
  <r>
    <s v="Retail"/>
    <s v="Q031 - Cali - Centro 1"/>
    <x v="5"/>
    <s v="septiembre"/>
    <n v="29"/>
    <d v="2026-09-29T00:00:00"/>
    <n v="1143972684"/>
    <s v="BOLAÑOS GIL KAREN MILET"/>
    <n v="28"/>
    <n v="0"/>
    <n v="1799119"/>
  </r>
  <r>
    <s v="Retail"/>
    <s v="Q031 - Cali - Centro 1"/>
    <x v="5"/>
    <s v="septiembre"/>
    <n v="29"/>
    <d v="2026-09-29T00:00:00"/>
    <n v="1193259913"/>
    <s v="PADILLA DOSMAN  ANGEL MARIO"/>
    <n v="86"/>
    <n v="0"/>
    <n v="4798575"/>
  </r>
  <r>
    <s v="Retail"/>
    <s v="Q031 - Cali - Centro 1"/>
    <x v="5"/>
    <s v="septiembre"/>
    <n v="29"/>
    <d v="2026-09-29T00:00:00"/>
    <n v="1193597754"/>
    <s v="CASTILLO SOLIS CARMEN CECILIA"/>
    <n v="21"/>
    <n v="0"/>
    <n v="1299496"/>
  </r>
  <r>
    <s v="Retail"/>
    <s v="Q031 - Cali - Centro 1"/>
    <x v="5"/>
    <s v="septiembre"/>
    <n v="30"/>
    <d v="2026-09-30T00:00:00"/>
    <m/>
    <m/>
    <n v="0"/>
    <n v="24679639"/>
    <n v="0"/>
  </r>
  <r>
    <s v="Retail"/>
    <s v="Q031 - Cali - Centro 1"/>
    <x v="5"/>
    <s v="septiembre"/>
    <n v="30"/>
    <d v="2026-09-30T00:00:00"/>
    <n v="16919109"/>
    <s v="GONZALEZ PENA EDWARD FABIAN"/>
    <n v="116"/>
    <n v="0"/>
    <n v="6633113"/>
  </r>
  <r>
    <s v="Retail"/>
    <s v="Q031 - Cali - Centro 1"/>
    <x v="5"/>
    <s v="septiembre"/>
    <n v="30"/>
    <d v="2026-09-30T00:00:00"/>
    <n v="1102868881"/>
    <s v="ESCOBAR PERNA SEBASTIAN DAVID"/>
    <n v="-1"/>
    <n v="0"/>
    <n v="-75588"/>
  </r>
  <r>
    <s v="Retail"/>
    <s v="Q031 - Cali - Centro 1"/>
    <x v="5"/>
    <s v="septiembre"/>
    <n v="30"/>
    <d v="2026-09-30T00:00:00"/>
    <n v="1107846391"/>
    <s v="CUBIDES MELO DAVID"/>
    <n v="39"/>
    <n v="0"/>
    <n v="2040255"/>
  </r>
  <r>
    <s v="Retail"/>
    <s v="Q031 - Cali - Centro 1"/>
    <x v="5"/>
    <s v="septiembre"/>
    <n v="30"/>
    <d v="2026-09-30T00:00:00"/>
    <n v="1111662486"/>
    <s v="GRAJALES TROCHEZ JUAN  MANUEL"/>
    <n v="91"/>
    <n v="0"/>
    <n v="5512647"/>
  </r>
  <r>
    <s v="Retail"/>
    <s v="Q031 - Cali - Centro 1"/>
    <x v="5"/>
    <s v="septiembre"/>
    <n v="30"/>
    <d v="2026-09-30T00:00:00"/>
    <n v="1143972684"/>
    <s v="BOLAÑOS GIL KAREN MILET"/>
    <n v="48"/>
    <n v="0"/>
    <n v="2766726"/>
  </r>
  <r>
    <s v="Retail"/>
    <s v="Q031 - Cali - Centro 1"/>
    <x v="5"/>
    <s v="septiembre"/>
    <n v="30"/>
    <d v="2026-09-30T00:00:00"/>
    <n v="1193259913"/>
    <s v="PADILLA DOSMAN  ANGEL MARIO"/>
    <n v="114"/>
    <n v="0"/>
    <n v="6501013"/>
  </r>
  <r>
    <s v="Retail"/>
    <s v="Q031 - Cali - Centro 1"/>
    <x v="5"/>
    <s v="septiembre"/>
    <n v="30"/>
    <d v="2026-09-30T00:00:00"/>
    <n v="1193597754"/>
    <s v="CASTILLO SOLIS CARMEN CECILIA"/>
    <n v="43"/>
    <n v="0"/>
    <n v="2519074"/>
  </r>
  <r>
    <s v="Retail"/>
    <s v="Q031 - Cali - Centro 1"/>
    <x v="5"/>
    <s v="octubre"/>
    <n v="1"/>
    <d v="2026-10-01T00:00:00"/>
    <m/>
    <m/>
    <n v="0"/>
    <n v="33321650"/>
    <n v="0"/>
  </r>
  <r>
    <s v="Retail"/>
    <s v="Q031 - Cali - Centro 1"/>
    <x v="5"/>
    <s v="octubre"/>
    <n v="1"/>
    <d v="2026-10-01T00:00:00"/>
    <n v="16919109"/>
    <s v="GONZALEZ PENA EDWARD FABIAN"/>
    <n v="95"/>
    <n v="0"/>
    <n v="5735258"/>
  </r>
  <r>
    <s v="Retail"/>
    <s v="Q031 - Cali - Centro 1"/>
    <x v="5"/>
    <s v="octubre"/>
    <n v="1"/>
    <d v="2026-10-01T00:00:00"/>
    <n v="1087185324"/>
    <s v="GAVIRIA MONTAÑO PAOLA PILAR"/>
    <n v="-1"/>
    <n v="0"/>
    <n v="-50378"/>
  </r>
  <r>
    <s v="Retail"/>
    <s v="Q031 - Cali - Centro 1"/>
    <x v="5"/>
    <s v="octubre"/>
    <n v="1"/>
    <d v="2026-10-01T00:00:00"/>
    <n v="1107846391"/>
    <s v="CUBIDES MELO DAVID"/>
    <n v="36"/>
    <n v="0"/>
    <n v="2031934"/>
  </r>
  <r>
    <s v="Retail"/>
    <s v="Q031 - Cali - Centro 1"/>
    <x v="5"/>
    <s v="octubre"/>
    <n v="1"/>
    <d v="2026-10-01T00:00:00"/>
    <n v="1111662486"/>
    <s v="GRAJALES TROCHEZ JUAN  MANUEL"/>
    <n v="121"/>
    <n v="0"/>
    <n v="7780512"/>
  </r>
  <r>
    <s v="Retail"/>
    <s v="Q031 - Cali - Centro 1"/>
    <x v="5"/>
    <s v="octubre"/>
    <n v="1"/>
    <d v="2026-10-01T00:00:00"/>
    <n v="1111665228"/>
    <s v="RIVERA ZUÑIGA JUAN DIEGO"/>
    <n v="-1"/>
    <n v="0"/>
    <n v="-33572"/>
  </r>
  <r>
    <s v="Retail"/>
    <s v="Q031 - Cali - Centro 1"/>
    <x v="5"/>
    <s v="octubre"/>
    <n v="1"/>
    <d v="2026-10-01T00:00:00"/>
    <n v="1111784310"/>
    <s v="MURILLO VALENCIA JHONIER"/>
    <n v="33"/>
    <n v="0"/>
    <n v="1927188"/>
  </r>
  <r>
    <s v="Retail"/>
    <s v="Q031 - Cali - Centro 1"/>
    <x v="5"/>
    <s v="octubre"/>
    <n v="1"/>
    <d v="2026-10-01T00:00:00"/>
    <n v="1130621645"/>
    <s v="PATINO LENIS FREDDY ALEXANDER"/>
    <n v="1"/>
    <n v="0"/>
    <n v="37773"/>
  </r>
  <r>
    <s v="Retail"/>
    <s v="Q031 - Cali - Centro 1"/>
    <x v="5"/>
    <s v="octubre"/>
    <n v="1"/>
    <d v="2026-10-01T00:00:00"/>
    <n v="1143972684"/>
    <s v="BOLAÑOS GIL KAREN MILET"/>
    <n v="42"/>
    <n v="0"/>
    <n v="2594876"/>
  </r>
  <r>
    <s v="Retail"/>
    <s v="Q031 - Cali - Centro 1"/>
    <x v="5"/>
    <s v="octubre"/>
    <n v="1"/>
    <d v="2026-10-01T00:00:00"/>
    <n v="1193259913"/>
    <s v="PADILLA DOSMAN  ANGEL MARIO"/>
    <n v="65"/>
    <n v="0"/>
    <n v="3463492"/>
  </r>
  <r>
    <s v="Retail"/>
    <s v="Q031 - Cali - Centro 1"/>
    <x v="5"/>
    <s v="octubre"/>
    <n v="1"/>
    <d v="2026-10-01T00:00:00"/>
    <n v="1193597754"/>
    <s v="CASTILLO SOLIS CARMEN CECILIA"/>
    <n v="40"/>
    <n v="0"/>
    <n v="2229161"/>
  </r>
  <r>
    <s v="Retail"/>
    <s v="Q031 - Cali - Centro 1"/>
    <x v="5"/>
    <s v="octubre"/>
    <n v="2"/>
    <d v="2026-10-02T00:00:00"/>
    <m/>
    <m/>
    <n v="0"/>
    <n v="31203141"/>
    <n v="0"/>
  </r>
  <r>
    <s v="Retail"/>
    <s v="Q031 - Cali - Centro 1"/>
    <x v="5"/>
    <s v="octubre"/>
    <n v="2"/>
    <d v="2026-10-02T00:00:00"/>
    <n v="16919109"/>
    <s v="GONZALEZ PENA EDWARD FABIAN"/>
    <n v="106"/>
    <n v="0"/>
    <n v="6457530"/>
  </r>
  <r>
    <s v="Retail"/>
    <s v="Q031 - Cali - Centro 1"/>
    <x v="5"/>
    <s v="octubre"/>
    <n v="2"/>
    <d v="2026-10-02T00:00:00"/>
    <n v="1061716853"/>
    <s v="BARRERA TOLA LEIDY JOANA"/>
    <n v="-1"/>
    <n v="0"/>
    <n v="-62983"/>
  </r>
  <r>
    <s v="Retail"/>
    <s v="Q031 - Cali - Centro 1"/>
    <x v="5"/>
    <s v="octubre"/>
    <n v="2"/>
    <d v="2026-10-02T00:00:00"/>
    <n v="1107840490"/>
    <s v="LONDOÑO RODRIGUEZ NIKOL ANDREA"/>
    <n v="-1"/>
    <n v="0"/>
    <n v="-159580"/>
  </r>
  <r>
    <s v="Retail"/>
    <s v="Q031 - Cali - Centro 1"/>
    <x v="5"/>
    <s v="octubre"/>
    <n v="2"/>
    <d v="2026-10-02T00:00:00"/>
    <n v="1107846391"/>
    <s v="CUBIDES MELO DAVID"/>
    <n v="49"/>
    <n v="0"/>
    <n v="2955841"/>
  </r>
  <r>
    <s v="Retail"/>
    <s v="Q031 - Cali - Centro 1"/>
    <x v="5"/>
    <s v="octubre"/>
    <n v="2"/>
    <d v="2026-10-02T00:00:00"/>
    <n v="1111662486"/>
    <s v="GRAJALES TROCHEZ JUAN  MANUEL"/>
    <n v="142"/>
    <n v="0"/>
    <n v="8589524"/>
  </r>
  <r>
    <s v="Retail"/>
    <s v="Q031 - Cali - Centro 1"/>
    <x v="5"/>
    <s v="octubre"/>
    <n v="2"/>
    <d v="2026-10-02T00:00:00"/>
    <n v="1118312125"/>
    <s v="CORREDOR  BUITRAGO ANGIE LIZETH "/>
    <n v="-2"/>
    <n v="0"/>
    <n v="-113361"/>
  </r>
  <r>
    <s v="Retail"/>
    <s v="Q031 - Cali - Centro 1"/>
    <x v="5"/>
    <s v="octubre"/>
    <n v="2"/>
    <d v="2026-10-02T00:00:00"/>
    <n v="1143972684"/>
    <s v="BOLAÑOS GIL KAREN MILET"/>
    <n v="9"/>
    <n v="0"/>
    <n v="428193"/>
  </r>
  <r>
    <s v="Retail"/>
    <s v="Q031 - Cali - Centro 1"/>
    <x v="5"/>
    <s v="octubre"/>
    <n v="2"/>
    <d v="2026-10-02T00:00:00"/>
    <n v="1193259913"/>
    <s v="PADILLA DOSMAN  ANGEL MARIO"/>
    <n v="69"/>
    <n v="0"/>
    <n v="3923450"/>
  </r>
  <r>
    <s v="Retail"/>
    <s v="Q031 - Cali - Centro 1"/>
    <x v="5"/>
    <s v="octubre"/>
    <n v="2"/>
    <d v="2026-10-02T00:00:00"/>
    <n v="1193597754"/>
    <s v="CASTILLO SOLIS CARMEN CECILIA"/>
    <n v="28"/>
    <n v="0"/>
    <n v="1591177"/>
  </r>
  <r>
    <s v="Retail"/>
    <s v="Q031 - Cali - Centro 1"/>
    <x v="5"/>
    <s v="octubre"/>
    <n v="3"/>
    <d v="2026-10-03T00:00:00"/>
    <m/>
    <m/>
    <n v="0"/>
    <n v="59181712"/>
    <n v="0"/>
  </r>
  <r>
    <s v="Retail"/>
    <s v="Q031 - Cali - Centro 1"/>
    <x v="5"/>
    <s v="octubre"/>
    <n v="3"/>
    <d v="2026-10-03T00:00:00"/>
    <n v="16919109"/>
    <s v="GONZALEZ PENA EDWARD FABIAN"/>
    <n v="276"/>
    <n v="0"/>
    <n v="15376082"/>
  </r>
  <r>
    <s v="Retail"/>
    <s v="Q031 - Cali - Centro 1"/>
    <x v="5"/>
    <s v="octubre"/>
    <n v="3"/>
    <d v="2026-10-03T00:00:00"/>
    <n v="1107846391"/>
    <s v="CUBIDES MELO DAVID"/>
    <n v="105"/>
    <n v="0"/>
    <n v="4662619"/>
  </r>
  <r>
    <s v="Retail"/>
    <s v="Q031 - Cali - Centro 1"/>
    <x v="5"/>
    <s v="octubre"/>
    <n v="3"/>
    <d v="2026-10-03T00:00:00"/>
    <n v="1111662486"/>
    <s v="GRAJALES TROCHEZ JUAN  MANUEL"/>
    <n v="267"/>
    <n v="0"/>
    <n v="14298609"/>
  </r>
  <r>
    <s v="Retail"/>
    <s v="Q031 - Cali - Centro 1"/>
    <x v="5"/>
    <s v="octubre"/>
    <n v="3"/>
    <d v="2026-10-03T00:00:00"/>
    <n v="1143851967"/>
    <s v="CASTILLO CASTILLO JOHAN SEBASTIAN"/>
    <n v="-2"/>
    <n v="0"/>
    <n v="-176303"/>
  </r>
  <r>
    <s v="Retail"/>
    <s v="Q031 - Cali - Centro 1"/>
    <x v="5"/>
    <s v="octubre"/>
    <n v="3"/>
    <d v="2026-10-03T00:00:00"/>
    <n v="1193259913"/>
    <s v="PADILLA DOSMAN  ANGEL MARIO"/>
    <n v="184"/>
    <n v="0"/>
    <n v="9521908"/>
  </r>
  <r>
    <s v="Retail"/>
    <s v="Q031 - Cali - Centro 1"/>
    <x v="5"/>
    <s v="octubre"/>
    <n v="3"/>
    <d v="2026-10-03T00:00:00"/>
    <n v="1193597754"/>
    <s v="CASTILLO SOLIS CARMEN CECILIA"/>
    <n v="76"/>
    <n v="0"/>
    <n v="3758489"/>
  </r>
  <r>
    <s v="Retail"/>
    <s v="Q031 - Cali - Centro 1"/>
    <x v="5"/>
    <s v="octubre"/>
    <n v="4"/>
    <d v="2026-10-04T00:00:00"/>
    <m/>
    <m/>
    <n v="0"/>
    <n v="22154597"/>
    <n v="0"/>
  </r>
  <r>
    <s v="Retail"/>
    <s v="Q031 - Cali - Centro 1"/>
    <x v="5"/>
    <s v="octubre"/>
    <n v="4"/>
    <d v="2026-10-04T00:00:00"/>
    <n v="16919109"/>
    <s v="GONZALEZ PENA EDWARD FABIAN"/>
    <n v="127"/>
    <n v="0"/>
    <n v="7262778"/>
  </r>
  <r>
    <s v="Retail"/>
    <s v="Q031 - Cali - Centro 1"/>
    <x v="5"/>
    <s v="octubre"/>
    <n v="4"/>
    <d v="2026-10-04T00:00:00"/>
    <n v="1107846391"/>
    <s v="CUBIDES MELO DAVID"/>
    <n v="22"/>
    <n v="0"/>
    <n v="1541094"/>
  </r>
  <r>
    <s v="Retail"/>
    <s v="Q031 - Cali - Centro 1"/>
    <x v="5"/>
    <s v="octubre"/>
    <n v="4"/>
    <d v="2026-10-04T00:00:00"/>
    <n v="1143972684"/>
    <s v="BOLAÑOS GIL KAREN MILET"/>
    <n v="32"/>
    <n v="0"/>
    <n v="1897730"/>
  </r>
  <r>
    <s v="Retail"/>
    <s v="Q031 - Cali - Centro 1"/>
    <x v="5"/>
    <s v="octubre"/>
    <n v="4"/>
    <d v="2026-10-04T00:00:00"/>
    <n v="1193259913"/>
    <s v="PADILLA DOSMAN  ANGEL MARIO"/>
    <n v="79"/>
    <n v="0"/>
    <n v="5132720"/>
  </r>
  <r>
    <s v="Retail"/>
    <s v="Q031 - Cali - Centro 1"/>
    <x v="5"/>
    <s v="octubre"/>
    <n v="5"/>
    <d v="2026-10-05T00:00:00"/>
    <m/>
    <m/>
    <n v="0"/>
    <n v="37003369"/>
    <n v="0"/>
  </r>
  <r>
    <s v="Retail"/>
    <s v="Q031 - Cali - Centro 1"/>
    <x v="5"/>
    <s v="octubre"/>
    <n v="5"/>
    <d v="2026-10-05T00:00:00"/>
    <n v="16919109"/>
    <s v="GONZALEZ PENA EDWARD FABIAN"/>
    <n v="3"/>
    <n v="0"/>
    <n v="272135"/>
  </r>
  <r>
    <s v="Retail"/>
    <s v="Q031 - Cali - Centro 1"/>
    <x v="5"/>
    <s v="octubre"/>
    <n v="5"/>
    <d v="2026-10-05T00:00:00"/>
    <n v="1001132922"/>
    <s v="GOMEZ MONTANA DIANA CAROLINA"/>
    <n v="-1"/>
    <n v="0"/>
    <n v="-71386"/>
  </r>
  <r>
    <s v="Retail"/>
    <s v="Q031 - Cali - Centro 1"/>
    <x v="5"/>
    <s v="octubre"/>
    <n v="5"/>
    <d v="2026-10-05T00:00:00"/>
    <n v="1007132542"/>
    <s v="SALCEDO CASTRILLON FRACHED"/>
    <n v="-1"/>
    <n v="0"/>
    <n v="-105000"/>
  </r>
  <r>
    <s v="Retail"/>
    <s v="Q031 - Cali - Centro 1"/>
    <x v="5"/>
    <s v="octubre"/>
    <n v="5"/>
    <d v="2026-10-05T00:00:00"/>
    <n v="1044101083"/>
    <s v="GAMBOA OROZCO EDWIN FERNANDO"/>
    <n v="-1"/>
    <n v="0"/>
    <n v="-54580"/>
  </r>
  <r>
    <s v="Retail"/>
    <s v="Q031 - Cali - Centro 1"/>
    <x v="5"/>
    <s v="octubre"/>
    <n v="5"/>
    <d v="2026-10-05T00:00:00"/>
    <n v="1087805009"/>
    <s v="PERDOMO GAVIRIA MAURICIO STIVEN"/>
    <n v="-1"/>
    <n v="0"/>
    <n v="-67185"/>
  </r>
  <r>
    <s v="Retail"/>
    <s v="Q031 - Cali - Centro 1"/>
    <x v="5"/>
    <s v="octubre"/>
    <n v="5"/>
    <d v="2026-10-05T00:00:00"/>
    <n v="1107846391"/>
    <s v="CUBIDES MELO DAVID"/>
    <n v="16"/>
    <n v="0"/>
    <n v="986640"/>
  </r>
  <r>
    <s v="Retail"/>
    <s v="Q031 - Cali - Centro 1"/>
    <x v="5"/>
    <s v="octubre"/>
    <n v="5"/>
    <d v="2026-10-05T00:00:00"/>
    <n v="1111662486"/>
    <s v="GRAJALES TROCHEZ JUAN  MANUEL"/>
    <n v="188"/>
    <n v="0"/>
    <n v="10965291"/>
  </r>
  <r>
    <s v="Retail"/>
    <s v="Q031 - Cali - Centro 1"/>
    <x v="5"/>
    <s v="octubre"/>
    <n v="5"/>
    <d v="2026-10-05T00:00:00"/>
    <n v="1143972684"/>
    <s v="BOLAÑOS GIL KAREN MILET"/>
    <n v="53"/>
    <n v="0"/>
    <n v="3401098"/>
  </r>
  <r>
    <s v="Retail"/>
    <s v="Q031 - Cali - Centro 1"/>
    <x v="5"/>
    <s v="octubre"/>
    <n v="5"/>
    <d v="2026-10-05T00:00:00"/>
    <n v="1193259913"/>
    <s v="PADILLA DOSMAN  ANGEL MARIO"/>
    <n v="128"/>
    <n v="0"/>
    <n v="7687782"/>
  </r>
  <r>
    <s v="Retail"/>
    <s v="Q031 - Cali - Centro 1"/>
    <x v="5"/>
    <s v="octubre"/>
    <n v="5"/>
    <d v="2026-10-05T00:00:00"/>
    <n v="1193597754"/>
    <s v="CASTILLO SOLIS CARMEN CECILIA"/>
    <n v="35"/>
    <n v="0"/>
    <n v="1956516"/>
  </r>
  <r>
    <s v="Retail"/>
    <s v="Q031 - Cali - Centro 1"/>
    <x v="5"/>
    <s v="octubre"/>
    <n v="6"/>
    <d v="2026-10-06T00:00:00"/>
    <m/>
    <m/>
    <n v="0"/>
    <n v="21136971"/>
    <n v="0"/>
  </r>
  <r>
    <s v="Retail"/>
    <s v="Q031 - Cali - Centro 1"/>
    <x v="5"/>
    <s v="octubre"/>
    <n v="6"/>
    <d v="2026-10-06T00:00:00"/>
    <n v="16919109"/>
    <s v="GONZALEZ PENA EDWARD FABIAN"/>
    <n v="87"/>
    <n v="0"/>
    <n v="5601140"/>
  </r>
  <r>
    <s v="Retail"/>
    <s v="Q031 - Cali - Centro 1"/>
    <x v="5"/>
    <s v="octubre"/>
    <n v="6"/>
    <d v="2026-10-06T00:00:00"/>
    <n v="1107530246"/>
    <s v="CALDERON CASTANEDA CRISTHIAN CAMILO"/>
    <n v="-1"/>
    <n v="0"/>
    <n v="-37773"/>
  </r>
  <r>
    <s v="Retail"/>
    <s v="Q031 - Cali - Centro 1"/>
    <x v="5"/>
    <s v="octubre"/>
    <n v="6"/>
    <d v="2026-10-06T00:00:00"/>
    <n v="1107846391"/>
    <s v="CUBIDES MELO DAVID"/>
    <n v="19"/>
    <n v="0"/>
    <n v="1288992"/>
  </r>
  <r>
    <s v="Retail"/>
    <s v="Q031 - Cali - Centro 1"/>
    <x v="5"/>
    <s v="octubre"/>
    <n v="6"/>
    <d v="2026-10-06T00:00:00"/>
    <n v="1111662486"/>
    <s v="GRAJALES TROCHEZ JUAN  MANUEL"/>
    <n v="7"/>
    <n v="0"/>
    <n v="438782"/>
  </r>
  <r>
    <s v="Retail"/>
    <s v="Q031 - Cali - Centro 1"/>
    <x v="5"/>
    <s v="octubre"/>
    <n v="6"/>
    <d v="2026-10-06T00:00:00"/>
    <n v="1144190117"/>
    <s v="LOPEZ LOAIZA JESSICA MARIA"/>
    <n v="-1"/>
    <n v="0"/>
    <n v="-54580"/>
  </r>
  <r>
    <s v="Retail"/>
    <s v="Q031 - Cali - Centro 1"/>
    <x v="5"/>
    <s v="octubre"/>
    <n v="6"/>
    <d v="2026-10-06T00:00:00"/>
    <n v="1193259913"/>
    <s v="PADILLA DOSMAN  ANGEL MARIO"/>
    <n v="77"/>
    <n v="0"/>
    <n v="4462903"/>
  </r>
  <r>
    <s v="Retail"/>
    <s v="Q031 - Cali - Centro 1"/>
    <x v="5"/>
    <s v="octubre"/>
    <n v="6"/>
    <d v="2026-10-06T00:00:00"/>
    <n v="1193597754"/>
    <s v="CASTILLO SOLIS CARMEN CECILIA"/>
    <n v="19"/>
    <n v="0"/>
    <n v="982355"/>
  </r>
  <r>
    <s v="Retail"/>
    <s v="Q031 - Cali - Centro 1"/>
    <x v="5"/>
    <s v="octubre"/>
    <n v="7"/>
    <d v="2026-10-07T00:00:00"/>
    <m/>
    <m/>
    <n v="0"/>
    <n v="20858848"/>
    <n v="0"/>
  </r>
  <r>
    <s v="Retail"/>
    <s v="Q031 - Cali - Centro 1"/>
    <x v="5"/>
    <s v="octubre"/>
    <n v="7"/>
    <d v="2026-10-07T00:00:00"/>
    <n v="16919109"/>
    <s v="GONZALEZ PENA EDWARD FABIAN"/>
    <n v="109"/>
    <n v="0"/>
    <n v="7096142"/>
  </r>
  <r>
    <s v="Retail"/>
    <s v="Q031 - Cali - Centro 1"/>
    <x v="5"/>
    <s v="octubre"/>
    <n v="7"/>
    <d v="2026-10-07T00:00:00"/>
    <n v="1038822751"/>
    <s v="HOYOS  LEON WENDY VANESSA "/>
    <n v="-1"/>
    <n v="0"/>
    <n v="-75588"/>
  </r>
  <r>
    <s v="Retail"/>
    <s v="Q031 - Cali - Centro 1"/>
    <x v="5"/>
    <s v="octubre"/>
    <n v="7"/>
    <d v="2026-10-07T00:00:00"/>
    <n v="1111662486"/>
    <s v="GRAJALES TROCHEZ JUAN  MANUEL"/>
    <n v="182"/>
    <n v="0"/>
    <n v="9874568"/>
  </r>
  <r>
    <s v="Retail"/>
    <s v="Q031 - Cali - Centro 1"/>
    <x v="5"/>
    <s v="octubre"/>
    <n v="7"/>
    <d v="2026-10-07T00:00:00"/>
    <n v="1143972684"/>
    <s v="BOLAÑOS GIL KAREN MILET"/>
    <n v="0"/>
    <n v="0"/>
    <n v="16807"/>
  </r>
  <r>
    <s v="Retail"/>
    <s v="Q031 - Cali - Centro 1"/>
    <x v="5"/>
    <s v="octubre"/>
    <n v="7"/>
    <d v="2026-10-07T00:00:00"/>
    <n v="1193259913"/>
    <s v="PADILLA DOSMAN  ANGEL MARIO"/>
    <n v="96"/>
    <n v="0"/>
    <n v="5453786"/>
  </r>
  <r>
    <s v="Retail"/>
    <s v="Q041 - Cali - Cc Calima"/>
    <x v="5"/>
    <s v="septiembre"/>
    <n v="23"/>
    <d v="2026-09-23T00:00:00"/>
    <m/>
    <m/>
    <n v="0"/>
    <n v="5326107"/>
    <n v="0"/>
  </r>
  <r>
    <s v="Retail"/>
    <s v="Q041 - Cali - Cc Calima"/>
    <x v="5"/>
    <s v="septiembre"/>
    <n v="23"/>
    <d v="2026-09-23T00:00:00"/>
    <n v="1006048956"/>
    <s v="MENESES OLAYA SEBASTIAN"/>
    <n v="41"/>
    <n v="0"/>
    <n v="2374760"/>
  </r>
  <r>
    <s v="Retail"/>
    <s v="Q041 - Cali - Cc Calima"/>
    <x v="5"/>
    <s v="septiembre"/>
    <n v="23"/>
    <d v="2026-09-23T00:00:00"/>
    <n v="1109920243"/>
    <s v="MUTIZ VALDES NATHALIE"/>
    <n v="57"/>
    <n v="0"/>
    <n v="2951347"/>
  </r>
  <r>
    <s v="Retail"/>
    <s v="Q041 - Cali - Cc Calima"/>
    <x v="5"/>
    <s v="septiembre"/>
    <n v="24"/>
    <d v="2026-09-24T00:00:00"/>
    <m/>
    <m/>
    <n v="0"/>
    <n v="5523076"/>
    <n v="0"/>
  </r>
  <r>
    <s v="Retail"/>
    <s v="Q041 - Cali - Cc Calima"/>
    <x v="5"/>
    <s v="septiembre"/>
    <n v="24"/>
    <d v="2026-09-24T00:00:00"/>
    <n v="1006048956"/>
    <s v="MENESES OLAYA SEBASTIAN"/>
    <n v="55"/>
    <n v="0"/>
    <n v="3029163"/>
  </r>
  <r>
    <s v="Retail"/>
    <s v="Q041 - Cali - Cc Calima"/>
    <x v="5"/>
    <s v="septiembre"/>
    <n v="24"/>
    <d v="2026-09-24T00:00:00"/>
    <n v="1109541659"/>
    <s v="MINA CRUZ SANTIAGO"/>
    <n v="-1"/>
    <n v="0"/>
    <n v="-71386"/>
  </r>
  <r>
    <s v="Retail"/>
    <s v="Q041 - Cali - Cc Calima"/>
    <x v="5"/>
    <s v="septiembre"/>
    <n v="24"/>
    <d v="2026-09-24T00:00:00"/>
    <n v="1109920243"/>
    <s v="MUTIZ VALDES NATHALIE"/>
    <n v="48"/>
    <n v="0"/>
    <n v="2624040"/>
  </r>
  <r>
    <s v="Retail"/>
    <s v="Q041 - Cali - Cc Calima"/>
    <x v="5"/>
    <s v="septiembre"/>
    <n v="24"/>
    <d v="2026-09-24T00:00:00"/>
    <n v="1113623464"/>
    <s v="BELLO MANCO HAIDY MICHELLE"/>
    <n v="-1"/>
    <n v="0"/>
    <n v="-58740"/>
  </r>
  <r>
    <s v="Retail"/>
    <s v="Q041 - Cali - Cc Calima"/>
    <x v="5"/>
    <s v="septiembre"/>
    <n v="25"/>
    <d v="2026-09-25T00:00:00"/>
    <m/>
    <m/>
    <n v="0"/>
    <n v="5434881"/>
    <n v="0"/>
  </r>
  <r>
    <s v="Retail"/>
    <s v="Q041 - Cali - Cc Calima"/>
    <x v="5"/>
    <s v="septiembre"/>
    <n v="25"/>
    <d v="2026-09-25T00:00:00"/>
    <n v="1006048956"/>
    <s v="MENESES OLAYA SEBASTIAN"/>
    <n v="58"/>
    <n v="0"/>
    <n v="3392442"/>
  </r>
  <r>
    <s v="Retail"/>
    <s v="Q041 - Cali - Cc Calima"/>
    <x v="5"/>
    <s v="septiembre"/>
    <n v="25"/>
    <d v="2026-09-25T00:00:00"/>
    <n v="1109920243"/>
    <s v="MUTIZ VALDES NATHALIE"/>
    <n v="40"/>
    <n v="0"/>
    <n v="2042439"/>
  </r>
  <r>
    <s v="Retail"/>
    <s v="Q041 - Cali - Cc Calima"/>
    <x v="5"/>
    <s v="septiembre"/>
    <n v="26"/>
    <d v="2026-09-26T00:00:00"/>
    <m/>
    <m/>
    <n v="0"/>
    <n v="14644293"/>
    <n v="0"/>
  </r>
  <r>
    <s v="Retail"/>
    <s v="Q041 - Cali - Cc Calima"/>
    <x v="5"/>
    <s v="septiembre"/>
    <n v="26"/>
    <d v="2026-09-26T00:00:00"/>
    <n v="1006048956"/>
    <s v="MENESES OLAYA SEBASTIAN"/>
    <n v="102"/>
    <n v="0"/>
    <n v="5905131"/>
  </r>
  <r>
    <s v="Retail"/>
    <s v="Q041 - Cali - Cc Calima"/>
    <x v="5"/>
    <s v="septiembre"/>
    <n v="26"/>
    <d v="2026-09-26T00:00:00"/>
    <n v="1109920243"/>
    <s v="MUTIZ VALDES NATHALIE"/>
    <n v="108"/>
    <n v="0"/>
    <n v="5930256"/>
  </r>
  <r>
    <s v="Retail"/>
    <s v="Q041 - Cali - Cc Calima"/>
    <x v="5"/>
    <s v="septiembre"/>
    <n v="26"/>
    <d v="2026-09-26T00:00:00"/>
    <n v="1143838000"/>
    <s v="MONTES OROZCO  JORGE ANDRES"/>
    <n v="48"/>
    <n v="0"/>
    <n v="2876095"/>
  </r>
  <r>
    <s v="Retail"/>
    <s v="Q041 - Cali - Cc Calima"/>
    <x v="5"/>
    <s v="septiembre"/>
    <n v="26"/>
    <d v="2026-09-26T00:00:00"/>
    <n v="1144158340"/>
    <s v="OCAMPO  JUAN"/>
    <n v="-1"/>
    <n v="0"/>
    <n v="-67185"/>
  </r>
  <r>
    <s v="Retail"/>
    <s v="Q041 - Cali - Cc Calima"/>
    <x v="5"/>
    <s v="septiembre"/>
    <n v="27"/>
    <d v="2026-09-27T00:00:00"/>
    <m/>
    <m/>
    <n v="0"/>
    <n v="10919011"/>
    <n v="0"/>
  </r>
  <r>
    <s v="Retail"/>
    <s v="Q041 - Cali - Cc Calima"/>
    <x v="5"/>
    <s v="septiembre"/>
    <n v="27"/>
    <d v="2026-09-27T00:00:00"/>
    <n v="1006048956"/>
    <s v="MENESES OLAYA SEBASTIAN"/>
    <n v="52"/>
    <n v="0"/>
    <n v="3401142"/>
  </r>
  <r>
    <s v="Retail"/>
    <s v="Q041 - Cali - Cc Calima"/>
    <x v="5"/>
    <s v="septiembre"/>
    <n v="27"/>
    <d v="2026-09-27T00:00:00"/>
    <n v="1109920243"/>
    <s v="MUTIZ VALDES NATHALIE"/>
    <n v="64"/>
    <n v="0"/>
    <n v="3734712"/>
  </r>
  <r>
    <s v="Retail"/>
    <s v="Q041 - Cali - Cc Calima"/>
    <x v="5"/>
    <s v="septiembre"/>
    <n v="27"/>
    <d v="2026-09-27T00:00:00"/>
    <n v="1143838000"/>
    <s v="MONTES OROZCO  JORGE ANDRES"/>
    <n v="60"/>
    <n v="0"/>
    <n v="3783156"/>
  </r>
  <r>
    <s v="Retail"/>
    <s v="Q041 - Cali - Cc Calima"/>
    <x v="5"/>
    <s v="septiembre"/>
    <n v="28"/>
    <d v="2026-09-28T00:00:00"/>
    <m/>
    <m/>
    <n v="0"/>
    <n v="6584051"/>
    <n v="0"/>
  </r>
  <r>
    <s v="Retail"/>
    <s v="Q041 - Cali - Cc Calima"/>
    <x v="5"/>
    <s v="septiembre"/>
    <n v="28"/>
    <d v="2026-09-28T00:00:00"/>
    <n v="1006048956"/>
    <s v="MENESES OLAYA SEBASTIAN"/>
    <n v="54"/>
    <n v="0"/>
    <n v="3220215"/>
  </r>
  <r>
    <s v="Retail"/>
    <s v="Q041 - Cali - Cc Calima"/>
    <x v="5"/>
    <s v="septiembre"/>
    <n v="28"/>
    <d v="2026-09-28T00:00:00"/>
    <n v="1109920243"/>
    <s v="MUTIZ VALDES NATHALIE"/>
    <n v="59"/>
    <n v="0"/>
    <n v="3533238"/>
  </r>
  <r>
    <s v="Retail"/>
    <s v="Q041 - Cali - Cc Calima"/>
    <x v="5"/>
    <s v="septiembre"/>
    <n v="28"/>
    <d v="2026-09-28T00:00:00"/>
    <n v="1143872360"/>
    <s v="TORRES SALINAS JUAN DAVID"/>
    <n v="-1"/>
    <n v="0"/>
    <n v="-41975"/>
  </r>
  <r>
    <s v="Retail"/>
    <s v="Q041 - Cali - Cc Calima"/>
    <x v="5"/>
    <s v="septiembre"/>
    <n v="29"/>
    <d v="2026-09-29T00:00:00"/>
    <m/>
    <m/>
    <n v="0"/>
    <n v="5616098"/>
    <n v="0"/>
  </r>
  <r>
    <s v="Retail"/>
    <s v="Q041 - Cali - Cc Calima"/>
    <x v="5"/>
    <s v="septiembre"/>
    <n v="29"/>
    <d v="2026-09-29T00:00:00"/>
    <n v="1006048956"/>
    <s v="MENESES OLAYA SEBASTIAN"/>
    <n v="43"/>
    <n v="0"/>
    <n v="2874205"/>
  </r>
  <r>
    <s v="Retail"/>
    <s v="Q041 - Cali - Cc Calima"/>
    <x v="5"/>
    <s v="septiembre"/>
    <n v="29"/>
    <d v="2026-09-29T00:00:00"/>
    <n v="1109541659"/>
    <s v="MINA CRUZ SANTIAGO"/>
    <n v="-1"/>
    <n v="0"/>
    <n v="-79790"/>
  </r>
  <r>
    <s v="Retail"/>
    <s v="Q041 - Cali - Cc Calima"/>
    <x v="5"/>
    <s v="septiembre"/>
    <n v="29"/>
    <d v="2026-09-29T00:00:00"/>
    <n v="1109920243"/>
    <s v="MUTIZ VALDES NATHALIE"/>
    <n v="22"/>
    <n v="0"/>
    <n v="1616682"/>
  </r>
  <r>
    <s v="Retail"/>
    <s v="Q041 - Cali - Cc Calima"/>
    <x v="5"/>
    <s v="septiembre"/>
    <n v="29"/>
    <d v="2026-09-29T00:00:00"/>
    <n v="1143838000"/>
    <s v="MONTES OROZCO  JORGE ANDRES"/>
    <n v="21"/>
    <n v="0"/>
    <n v="1205002"/>
  </r>
  <r>
    <s v="Retail"/>
    <s v="Q041 - Cali - Cc Calima"/>
    <x v="5"/>
    <s v="septiembre"/>
    <n v="30"/>
    <d v="2026-09-30T00:00:00"/>
    <m/>
    <m/>
    <n v="0"/>
    <n v="7265267"/>
    <n v="0"/>
  </r>
  <r>
    <s v="Retail"/>
    <s v="Q041 - Cali - Cc Calima"/>
    <x v="5"/>
    <s v="septiembre"/>
    <n v="30"/>
    <d v="2026-09-30T00:00:00"/>
    <n v="1006048956"/>
    <s v="MENESES OLAYA SEBASTIAN"/>
    <n v="77"/>
    <n v="0"/>
    <n v="3975382"/>
  </r>
  <r>
    <s v="Retail"/>
    <s v="Q041 - Cali - Cc Calima"/>
    <x v="5"/>
    <s v="septiembre"/>
    <n v="30"/>
    <d v="2026-09-30T00:00:00"/>
    <n v="1109920243"/>
    <s v="MUTIZ VALDES NATHALIE"/>
    <n v="89"/>
    <n v="0"/>
    <n v="4531940"/>
  </r>
  <r>
    <s v="Retail"/>
    <s v="Q041 - Cali - Cc Calima"/>
    <x v="5"/>
    <s v="octubre"/>
    <n v="1"/>
    <d v="2026-10-01T00:00:00"/>
    <m/>
    <m/>
    <n v="0"/>
    <n v="7897013"/>
    <n v="0"/>
  </r>
  <r>
    <s v="Retail"/>
    <s v="Q041 - Cali - Cc Calima"/>
    <x v="5"/>
    <s v="octubre"/>
    <n v="1"/>
    <d v="2026-10-01T00:00:00"/>
    <n v="1006048956"/>
    <s v="MENESES OLAYA SEBASTIAN"/>
    <n v="63"/>
    <n v="0"/>
    <n v="3421726"/>
  </r>
  <r>
    <s v="Retail"/>
    <s v="Q041 - Cali - Cc Calima"/>
    <x v="5"/>
    <s v="octubre"/>
    <n v="1"/>
    <d v="2026-10-01T00:00:00"/>
    <n v="1109920243"/>
    <s v="MUTIZ VALDES NATHALIE"/>
    <n v="65"/>
    <n v="0"/>
    <n v="3850085"/>
  </r>
  <r>
    <s v="Retail"/>
    <s v="Q041 - Cali - Cc Calima"/>
    <x v="5"/>
    <s v="octubre"/>
    <n v="1"/>
    <d v="2026-10-01T00:00:00"/>
    <n v="1143838000"/>
    <s v="MONTES OROZCO  JORGE ANDRES"/>
    <n v="17"/>
    <n v="0"/>
    <n v="978279"/>
  </r>
  <r>
    <s v="Retail"/>
    <s v="Q041 - Cali - Cc Calima"/>
    <x v="5"/>
    <s v="octubre"/>
    <n v="2"/>
    <d v="2026-10-02T00:00:00"/>
    <m/>
    <m/>
    <n v="0"/>
    <n v="8423341"/>
    <n v="0"/>
  </r>
  <r>
    <s v="Retail"/>
    <s v="Q041 - Cali - Cc Calima"/>
    <x v="5"/>
    <s v="octubre"/>
    <n v="2"/>
    <d v="2026-10-02T00:00:00"/>
    <n v="1006048956"/>
    <s v="MENESES OLAYA SEBASTIAN"/>
    <n v="48"/>
    <n v="0"/>
    <n v="2981096"/>
  </r>
  <r>
    <s v="Retail"/>
    <s v="Q041 - Cali - Cc Calima"/>
    <x v="5"/>
    <s v="octubre"/>
    <n v="2"/>
    <d v="2026-10-02T00:00:00"/>
    <n v="1109920243"/>
    <s v="MUTIZ VALDES NATHALIE"/>
    <n v="39"/>
    <n v="0"/>
    <n v="2477315"/>
  </r>
  <r>
    <s v="Retail"/>
    <s v="Q041 - Cali - Cc Calima"/>
    <x v="5"/>
    <s v="octubre"/>
    <n v="2"/>
    <d v="2026-10-02T00:00:00"/>
    <n v="1143838000"/>
    <s v="MONTES OROZCO  JORGE ANDRES"/>
    <n v="1"/>
    <n v="0"/>
    <n v="37773"/>
  </r>
  <r>
    <s v="Retail"/>
    <s v="Q041 - Cali - Cc Calima"/>
    <x v="5"/>
    <s v="octubre"/>
    <n v="3"/>
    <d v="2026-10-03T00:00:00"/>
    <m/>
    <m/>
    <n v="0"/>
    <n v="17106115"/>
    <n v="0"/>
  </r>
  <r>
    <s v="Retail"/>
    <s v="Q041 - Cali - Cc Calima"/>
    <x v="5"/>
    <s v="octubre"/>
    <n v="3"/>
    <d v="2026-10-03T00:00:00"/>
    <n v="1005707524"/>
    <s v="MOSQUERA MOLINA JHOAN SEBASTIAN"/>
    <n v="-1"/>
    <n v="0"/>
    <n v="-54580"/>
  </r>
  <r>
    <s v="Retail"/>
    <s v="Q041 - Cali - Cc Calima"/>
    <x v="5"/>
    <s v="octubre"/>
    <n v="3"/>
    <d v="2026-10-03T00:00:00"/>
    <n v="1006048956"/>
    <s v="MENESES OLAYA SEBASTIAN"/>
    <n v="83"/>
    <n v="0"/>
    <n v="4556961"/>
  </r>
  <r>
    <s v="Retail"/>
    <s v="Q041 - Cali - Cc Calima"/>
    <x v="5"/>
    <s v="octubre"/>
    <n v="3"/>
    <d v="2026-10-03T00:00:00"/>
    <n v="1007132542"/>
    <s v="SALCEDO CASTRILLON FRACHED"/>
    <n v="-1"/>
    <n v="0"/>
    <n v="-58765"/>
  </r>
  <r>
    <s v="Retail"/>
    <s v="Q041 - Cali - Cc Calima"/>
    <x v="5"/>
    <s v="octubre"/>
    <n v="3"/>
    <d v="2026-10-03T00:00:00"/>
    <n v="1109920243"/>
    <s v="MUTIZ VALDES NATHALIE"/>
    <n v="72"/>
    <n v="0"/>
    <n v="3977735"/>
  </r>
  <r>
    <s v="Retail"/>
    <s v="Q041 - Cali - Cc Calima"/>
    <x v="5"/>
    <s v="octubre"/>
    <n v="3"/>
    <d v="2026-10-03T00:00:00"/>
    <n v="1111665228"/>
    <s v="RIVERA ZUÑIGA JUAN DIEGO"/>
    <n v="-1"/>
    <n v="0"/>
    <n v="-25126"/>
  </r>
  <r>
    <s v="Retail"/>
    <s v="Q041 - Cali - Cc Calima"/>
    <x v="5"/>
    <s v="octubre"/>
    <n v="3"/>
    <d v="2026-10-03T00:00:00"/>
    <n v="1143838000"/>
    <s v="MONTES OROZCO  JORGE ANDRES"/>
    <n v="63"/>
    <n v="0"/>
    <n v="3461766"/>
  </r>
  <r>
    <s v="Retail"/>
    <s v="Q041 - Cali - Cc Calima"/>
    <x v="5"/>
    <s v="octubre"/>
    <n v="4"/>
    <d v="2026-10-04T00:00:00"/>
    <m/>
    <m/>
    <n v="0"/>
    <n v="10155954"/>
    <n v="0"/>
  </r>
  <r>
    <s v="Retail"/>
    <s v="Q041 - Cali - Cc Calima"/>
    <x v="5"/>
    <s v="octubre"/>
    <n v="4"/>
    <d v="2026-10-04T00:00:00"/>
    <n v="1006048956"/>
    <s v="MENESES OLAYA SEBASTIAN"/>
    <n v="105"/>
    <n v="0"/>
    <n v="6560637"/>
  </r>
  <r>
    <s v="Retail"/>
    <s v="Q041 - Cali - Cc Calima"/>
    <x v="5"/>
    <s v="octubre"/>
    <n v="4"/>
    <d v="2026-10-04T00:00:00"/>
    <n v="1109920243"/>
    <s v="MUTIZ VALDES NATHALIE"/>
    <n v="118"/>
    <n v="0"/>
    <n v="7492943"/>
  </r>
  <r>
    <s v="Retail"/>
    <s v="Q041 - Cali - Cc Calima"/>
    <x v="5"/>
    <s v="octubre"/>
    <n v="4"/>
    <d v="2026-10-04T00:00:00"/>
    <n v="1143838000"/>
    <s v="MONTES OROZCO  JORGE ANDRES"/>
    <n v="22"/>
    <n v="0"/>
    <n v="1230128"/>
  </r>
  <r>
    <s v="Retail"/>
    <s v="Q041 - Cali - Cc Calima"/>
    <x v="5"/>
    <s v="octubre"/>
    <n v="5"/>
    <d v="2026-10-05T00:00:00"/>
    <m/>
    <m/>
    <n v="0"/>
    <n v="6260904"/>
    <n v="0"/>
  </r>
  <r>
    <s v="Retail"/>
    <s v="Q041 - Cali - Cc Calima"/>
    <x v="5"/>
    <s v="octubre"/>
    <n v="5"/>
    <d v="2026-10-05T00:00:00"/>
    <n v="1006048956"/>
    <s v="MENESES OLAYA SEBASTIAN"/>
    <n v="87"/>
    <n v="0"/>
    <n v="4630675"/>
  </r>
  <r>
    <s v="Retail"/>
    <s v="Q041 - Cali - Cc Calima"/>
    <x v="5"/>
    <s v="octubre"/>
    <n v="5"/>
    <d v="2026-10-05T00:00:00"/>
    <n v="1109920243"/>
    <s v="MUTIZ VALDES NATHALIE"/>
    <n v="66"/>
    <n v="0"/>
    <n v="4274544"/>
  </r>
  <r>
    <s v="Retail"/>
    <s v="Q041 - Cali - Cc Calima"/>
    <x v="5"/>
    <s v="octubre"/>
    <n v="6"/>
    <d v="2026-10-06T00:00:00"/>
    <m/>
    <m/>
    <n v="0"/>
    <n v="4655568"/>
    <n v="0"/>
  </r>
  <r>
    <s v="Retail"/>
    <s v="Q041 - Cali - Cc Calima"/>
    <x v="5"/>
    <s v="octubre"/>
    <n v="6"/>
    <d v="2026-10-06T00:00:00"/>
    <n v="1006048956"/>
    <s v="MENESES OLAYA SEBASTIAN"/>
    <n v="52"/>
    <n v="0"/>
    <n v="3485213"/>
  </r>
  <r>
    <s v="Retail"/>
    <s v="Q041 - Cali - Cc Calima"/>
    <x v="5"/>
    <s v="octubre"/>
    <n v="6"/>
    <d v="2026-10-06T00:00:00"/>
    <n v="1109920243"/>
    <s v="MUTIZ VALDES NATHALIE"/>
    <n v="29"/>
    <n v="0"/>
    <n v="1725675"/>
  </r>
  <r>
    <s v="Retail"/>
    <s v="Q041 - Cali - Cc Calima"/>
    <x v="5"/>
    <s v="octubre"/>
    <n v="7"/>
    <d v="2026-10-07T00:00:00"/>
    <m/>
    <m/>
    <n v="0"/>
    <n v="4594311"/>
    <n v="0"/>
  </r>
  <r>
    <s v="Retail"/>
    <s v="Q041 - Cali - Cc Calima"/>
    <x v="5"/>
    <s v="octubre"/>
    <n v="7"/>
    <d v="2026-10-07T00:00:00"/>
    <n v="1006048956"/>
    <s v="MENESES OLAYA SEBASTIAN"/>
    <n v="4"/>
    <n v="0"/>
    <n v="188909"/>
  </r>
  <r>
    <s v="Retail"/>
    <s v="Q041 - Cali - Cc Calima"/>
    <x v="5"/>
    <s v="octubre"/>
    <n v="7"/>
    <d v="2026-10-07T00:00:00"/>
    <n v="1109920243"/>
    <s v="MUTIZ VALDES NATHALIE"/>
    <n v="20"/>
    <n v="0"/>
    <n v="978111"/>
  </r>
  <r>
    <s v="Retail"/>
    <s v="Q120 - Cali- Plaza Q"/>
    <x v="5"/>
    <s v="septiembre"/>
    <n v="23"/>
    <d v="2026-09-23T00:00:00"/>
    <m/>
    <m/>
    <n v="0"/>
    <n v="12712961"/>
    <n v="0"/>
  </r>
  <r>
    <s v="Retail"/>
    <s v="Q120 - Cali- Plaza Q"/>
    <x v="5"/>
    <s v="septiembre"/>
    <n v="23"/>
    <d v="2026-09-23T00:00:00"/>
    <n v="1006073270"/>
    <s v="BONILLA CHOCO CRISTIAN FELIPE"/>
    <n v="71"/>
    <n v="0"/>
    <n v="4845716"/>
  </r>
  <r>
    <s v="Retail"/>
    <s v="Q120 - Cali- Plaza Q"/>
    <x v="5"/>
    <s v="septiembre"/>
    <n v="23"/>
    <d v="2026-09-23T00:00:00"/>
    <n v="1109541659"/>
    <s v="MINA CRUZ SANTIAGO"/>
    <n v="110"/>
    <n v="0"/>
    <n v="6372455"/>
  </r>
  <r>
    <s v="Retail"/>
    <s v="Q120 - Cali- Plaza Q"/>
    <x v="5"/>
    <s v="septiembre"/>
    <n v="23"/>
    <d v="2026-09-23T00:00:00"/>
    <n v="1143972684"/>
    <s v="BOLAÑOS GIL KAREN MILET"/>
    <n v="-1"/>
    <n v="0"/>
    <n v="-58781"/>
  </r>
  <r>
    <s v="Retail"/>
    <s v="Q120 - Cali- Plaza Q"/>
    <x v="5"/>
    <s v="septiembre"/>
    <n v="24"/>
    <d v="2026-09-24T00:00:00"/>
    <m/>
    <m/>
    <n v="0"/>
    <n v="19420483"/>
    <n v="0"/>
  </r>
  <r>
    <s v="Retail"/>
    <s v="Q120 - Cali- Plaza Q"/>
    <x v="5"/>
    <s v="septiembre"/>
    <n v="24"/>
    <d v="2026-09-24T00:00:00"/>
    <n v="1006073270"/>
    <s v="BONILLA CHOCO CRISTIAN FELIPE"/>
    <n v="111"/>
    <n v="0"/>
    <n v="6822860"/>
  </r>
  <r>
    <s v="Retail"/>
    <s v="Q120 - Cali- Plaza Q"/>
    <x v="5"/>
    <s v="septiembre"/>
    <n v="24"/>
    <d v="2026-09-24T00:00:00"/>
    <n v="1094265298"/>
    <s v="PEÑA FIGUEROA GERSON  ESTEBAN"/>
    <n v="5"/>
    <n v="0"/>
    <n v="415756"/>
  </r>
  <r>
    <s v="Retail"/>
    <s v="Q120 - Cali- Plaza Q"/>
    <x v="5"/>
    <s v="septiembre"/>
    <n v="24"/>
    <d v="2026-09-24T00:00:00"/>
    <n v="1109541659"/>
    <s v="MINA CRUZ SANTIAGO"/>
    <n v="155"/>
    <n v="0"/>
    <n v="9449617"/>
  </r>
  <r>
    <s v="Retail"/>
    <s v="Q120 - Cali- Plaza Q"/>
    <x v="5"/>
    <s v="septiembre"/>
    <n v="24"/>
    <d v="2026-09-24T00:00:00"/>
    <n v="1143851967"/>
    <s v="CASTILLO CASTILLO JOHAN SEBASTIAN"/>
    <n v="-1"/>
    <n v="0"/>
    <n v="-58765"/>
  </r>
  <r>
    <s v="Retail"/>
    <s v="Q120 - Cali- Plaza Q"/>
    <x v="5"/>
    <s v="septiembre"/>
    <n v="25"/>
    <d v="2026-09-25T00:00:00"/>
    <m/>
    <m/>
    <n v="0"/>
    <n v="19377489"/>
    <n v="0"/>
  </r>
  <r>
    <s v="Retail"/>
    <s v="Q120 - Cali- Plaza Q"/>
    <x v="5"/>
    <s v="septiembre"/>
    <n v="25"/>
    <d v="2026-09-25T00:00:00"/>
    <n v="1006073270"/>
    <s v="BONILLA CHOCO CRISTIAN FELIPE"/>
    <n v="84"/>
    <n v="0"/>
    <n v="4651849"/>
  </r>
  <r>
    <s v="Retail"/>
    <s v="Q120 - Cali- Plaza Q"/>
    <x v="5"/>
    <s v="septiembre"/>
    <n v="25"/>
    <d v="2026-09-25T00:00:00"/>
    <n v="1094265298"/>
    <s v="PEÑA FIGUEROA GERSON  ESTEBAN"/>
    <n v="14"/>
    <n v="0"/>
    <n v="877521"/>
  </r>
  <r>
    <s v="Retail"/>
    <s v="Q120 - Cali- Plaza Q"/>
    <x v="5"/>
    <s v="septiembre"/>
    <n v="25"/>
    <d v="2026-09-25T00:00:00"/>
    <n v="1109541659"/>
    <s v="MINA CRUZ SANTIAGO"/>
    <n v="89"/>
    <n v="0"/>
    <n v="5161234"/>
  </r>
  <r>
    <s v="Retail"/>
    <s v="Q120 - Cali- Plaza Q"/>
    <x v="5"/>
    <s v="septiembre"/>
    <n v="25"/>
    <d v="2026-09-25T00:00:00"/>
    <n v="1113689444"/>
    <s v="GONZALEZ QUIÑONES JUAN CAMILO"/>
    <n v="-1"/>
    <n v="0"/>
    <n v="-46177"/>
  </r>
  <r>
    <s v="Retail"/>
    <s v="Q120 - Cali- Plaza Q"/>
    <x v="5"/>
    <s v="septiembre"/>
    <n v="26"/>
    <d v="2026-09-26T00:00:00"/>
    <m/>
    <m/>
    <n v="0"/>
    <n v="27848238"/>
    <n v="0"/>
  </r>
  <r>
    <s v="Retail"/>
    <s v="Q120 - Cali- Plaza Q"/>
    <x v="5"/>
    <s v="septiembre"/>
    <n v="26"/>
    <d v="2026-09-26T00:00:00"/>
    <n v="98456222"/>
    <s v="AGUIRRE TORO EFRAIN DE JESUS"/>
    <n v="1"/>
    <n v="0"/>
    <n v="4118"/>
  </r>
  <r>
    <s v="Retail"/>
    <s v="Q120 - Cali- Plaza Q"/>
    <x v="5"/>
    <s v="septiembre"/>
    <n v="26"/>
    <d v="2026-09-26T00:00:00"/>
    <n v="1006073270"/>
    <s v="BONILLA CHOCO CRISTIAN FELIPE"/>
    <n v="181"/>
    <n v="0"/>
    <n v="10531091"/>
  </r>
  <r>
    <s v="Retail"/>
    <s v="Q120 - Cali- Plaza Q"/>
    <x v="5"/>
    <s v="septiembre"/>
    <n v="26"/>
    <d v="2026-09-26T00:00:00"/>
    <n v="1094265298"/>
    <s v="PEÑA FIGUEROA GERSON  ESTEBAN"/>
    <n v="40"/>
    <n v="0"/>
    <n v="2286011"/>
  </r>
  <r>
    <s v="Retail"/>
    <s v="Q120 - Cali- Plaza Q"/>
    <x v="5"/>
    <s v="septiembre"/>
    <n v="26"/>
    <d v="2026-09-26T00:00:00"/>
    <n v="1109541659"/>
    <s v="MINA CRUZ SANTIAGO"/>
    <n v="247"/>
    <n v="0"/>
    <n v="12809706"/>
  </r>
  <r>
    <s v="Retail"/>
    <s v="Q120 - Cali- Plaza Q"/>
    <x v="5"/>
    <s v="septiembre"/>
    <n v="27"/>
    <d v="2026-09-27T00:00:00"/>
    <m/>
    <m/>
    <n v="0"/>
    <n v="22061410"/>
    <n v="0"/>
  </r>
  <r>
    <s v="Retail"/>
    <s v="Q120 - Cali- Plaza Q"/>
    <x v="5"/>
    <s v="septiembre"/>
    <n v="27"/>
    <d v="2026-09-27T00:00:00"/>
    <n v="1006073270"/>
    <s v="BONILLA CHOCO CRISTIAN FELIPE"/>
    <n v="141"/>
    <n v="0"/>
    <n v="7529390"/>
  </r>
  <r>
    <s v="Retail"/>
    <s v="Q120 - Cali- Plaza Q"/>
    <x v="5"/>
    <s v="septiembre"/>
    <n v="27"/>
    <d v="2026-09-27T00:00:00"/>
    <n v="1109541659"/>
    <s v="MINA CRUZ SANTIAGO"/>
    <n v="134"/>
    <n v="0"/>
    <n v="7468130"/>
  </r>
  <r>
    <s v="Retail"/>
    <s v="Q120 - Cali- Plaza Q"/>
    <x v="5"/>
    <s v="septiembre"/>
    <n v="28"/>
    <d v="2026-09-28T00:00:00"/>
    <m/>
    <m/>
    <n v="0"/>
    <n v="12421555"/>
    <n v="0"/>
  </r>
  <r>
    <s v="Retail"/>
    <s v="Q120 - Cali- Plaza Q"/>
    <x v="5"/>
    <s v="septiembre"/>
    <n v="28"/>
    <d v="2026-09-28T00:00:00"/>
    <n v="1006073270"/>
    <s v="BONILLA CHOCO CRISTIAN FELIPE"/>
    <n v="84"/>
    <n v="0"/>
    <n v="4903877"/>
  </r>
  <r>
    <s v="Retail"/>
    <s v="Q120 - Cali- Plaza Q"/>
    <x v="5"/>
    <s v="septiembre"/>
    <n v="28"/>
    <d v="2026-09-28T00:00:00"/>
    <n v="1044101083"/>
    <s v="GAMBOA OROZCO EDWIN FERNANDO"/>
    <n v="-1"/>
    <n v="0"/>
    <n v="-50378"/>
  </r>
  <r>
    <s v="Retail"/>
    <s v="Q120 - Cali- Plaza Q"/>
    <x v="5"/>
    <s v="septiembre"/>
    <n v="28"/>
    <d v="2026-09-28T00:00:00"/>
    <n v="1094265298"/>
    <s v="PEÑA FIGUEROA GERSON  ESTEBAN"/>
    <n v="27"/>
    <n v="0"/>
    <n v="1421052"/>
  </r>
  <r>
    <s v="Retail"/>
    <s v="Q120 - Cali- Plaza Q"/>
    <x v="5"/>
    <s v="septiembre"/>
    <n v="28"/>
    <d v="2026-09-28T00:00:00"/>
    <n v="1109541659"/>
    <s v="MINA CRUZ SANTIAGO"/>
    <n v="85"/>
    <n v="0"/>
    <n v="4725415"/>
  </r>
  <r>
    <s v="Retail"/>
    <s v="Q120 - Cali- Plaza Q"/>
    <x v="5"/>
    <s v="septiembre"/>
    <n v="28"/>
    <d v="2026-09-28T00:00:00"/>
    <n v="1144190117"/>
    <s v="LOPEZ LOAIZA JESSICA MARIA"/>
    <n v="-1"/>
    <n v="0"/>
    <n v="-79790"/>
  </r>
  <r>
    <s v="Retail"/>
    <s v="Q120 - Cali- Plaza Q"/>
    <x v="5"/>
    <s v="septiembre"/>
    <n v="29"/>
    <d v="2026-09-29T00:00:00"/>
    <m/>
    <m/>
    <n v="0"/>
    <n v="12689847"/>
    <n v="0"/>
  </r>
  <r>
    <s v="Retail"/>
    <s v="Q120 - Cali- Plaza Q"/>
    <x v="5"/>
    <s v="septiembre"/>
    <n v="29"/>
    <d v="2026-09-29T00:00:00"/>
    <n v="16919109"/>
    <s v="GONZALEZ PENA EDWARD FABIAN"/>
    <n v="-1"/>
    <n v="0"/>
    <n v="-83992"/>
  </r>
  <r>
    <s v="Retail"/>
    <s v="Q120 - Cali- Plaza Q"/>
    <x v="5"/>
    <s v="septiembre"/>
    <n v="29"/>
    <d v="2026-09-29T00:00:00"/>
    <n v="98456222"/>
    <s v="AGUIRRE TORO EFRAIN DE JESUS"/>
    <n v="-2"/>
    <n v="0"/>
    <n v="-109160"/>
  </r>
  <r>
    <s v="Retail"/>
    <s v="Q120 - Cali- Plaza Q"/>
    <x v="5"/>
    <s v="septiembre"/>
    <n v="29"/>
    <d v="2026-09-29T00:00:00"/>
    <n v="1006073270"/>
    <s v="BONILLA CHOCO CRISTIAN FELIPE"/>
    <n v="205"/>
    <n v="0"/>
    <n v="8542775"/>
  </r>
  <r>
    <s v="Retail"/>
    <s v="Q120 - Cali- Plaza Q"/>
    <x v="5"/>
    <s v="septiembre"/>
    <n v="29"/>
    <d v="2026-09-29T00:00:00"/>
    <n v="1094265298"/>
    <s v="PEÑA FIGUEROA GERSON  ESTEBAN"/>
    <n v="9"/>
    <n v="0"/>
    <n v="596261"/>
  </r>
  <r>
    <s v="Retail"/>
    <s v="Q120 - Cali- Plaza Q"/>
    <x v="5"/>
    <s v="septiembre"/>
    <n v="29"/>
    <d v="2026-09-29T00:00:00"/>
    <n v="1109541659"/>
    <s v="MINA CRUZ SANTIAGO"/>
    <n v="142"/>
    <n v="0"/>
    <n v="8136145"/>
  </r>
  <r>
    <s v="Retail"/>
    <s v="Q120 - Cali- Plaza Q"/>
    <x v="5"/>
    <s v="septiembre"/>
    <n v="29"/>
    <d v="2026-09-29T00:00:00"/>
    <n v="1193259913"/>
    <s v="PADILLA DOSMAN  ANGEL MARIO"/>
    <n v="-1"/>
    <n v="0"/>
    <n v="-126008"/>
  </r>
  <r>
    <s v="Retail"/>
    <s v="Q120 - Cali- Plaza Q"/>
    <x v="5"/>
    <s v="septiembre"/>
    <n v="30"/>
    <d v="2026-09-30T00:00:00"/>
    <m/>
    <m/>
    <n v="0"/>
    <n v="13397939"/>
    <n v="0"/>
  </r>
  <r>
    <s v="Retail"/>
    <s v="Q120 - Cali- Plaza Q"/>
    <x v="5"/>
    <s v="septiembre"/>
    <n v="30"/>
    <d v="2026-09-30T00:00:00"/>
    <n v="1006073270"/>
    <s v="BONILLA CHOCO CRISTIAN FELIPE"/>
    <n v="88"/>
    <n v="0"/>
    <n v="4443505"/>
  </r>
  <r>
    <s v="Retail"/>
    <s v="Q120 - Cali- Plaza Q"/>
    <x v="5"/>
    <s v="septiembre"/>
    <n v="30"/>
    <d v="2026-09-30T00:00:00"/>
    <n v="1094265298"/>
    <s v="PEÑA FIGUEROA GERSON  ESTEBAN"/>
    <n v="41"/>
    <n v="0"/>
    <n v="2515002"/>
  </r>
  <r>
    <s v="Retail"/>
    <s v="Q120 - Cali- Plaza Q"/>
    <x v="5"/>
    <s v="septiembre"/>
    <n v="30"/>
    <d v="2026-09-30T00:00:00"/>
    <n v="1109541659"/>
    <s v="MINA CRUZ SANTIAGO"/>
    <n v="92"/>
    <n v="0"/>
    <n v="5403491"/>
  </r>
  <r>
    <s v="Retail"/>
    <s v="Q120 - Cali- Plaza Q"/>
    <x v="5"/>
    <s v="octubre"/>
    <n v="1"/>
    <d v="2026-10-01T00:00:00"/>
    <m/>
    <m/>
    <n v="0"/>
    <n v="16218024"/>
    <n v="0"/>
  </r>
  <r>
    <s v="Retail"/>
    <s v="Q120 - Cali- Plaza Q"/>
    <x v="5"/>
    <s v="octubre"/>
    <n v="1"/>
    <d v="2026-10-01T00:00:00"/>
    <n v="1006073270"/>
    <s v="BONILLA CHOCO CRISTIAN FELIPE"/>
    <n v="117"/>
    <n v="0"/>
    <n v="6028373"/>
  </r>
  <r>
    <s v="Retail"/>
    <s v="Q120 - Cali- Plaza Q"/>
    <x v="5"/>
    <s v="octubre"/>
    <n v="1"/>
    <d v="2026-10-01T00:00:00"/>
    <n v="1094265298"/>
    <s v="PEÑA FIGUEROA GERSON  ESTEBAN"/>
    <n v="13"/>
    <n v="0"/>
    <n v="540513"/>
  </r>
  <r>
    <s v="Retail"/>
    <s v="Q120 - Cali- Plaza Q"/>
    <x v="5"/>
    <s v="octubre"/>
    <n v="1"/>
    <d v="2026-10-01T00:00:00"/>
    <n v="1109541659"/>
    <s v="MINA CRUZ SANTIAGO"/>
    <n v="209"/>
    <n v="0"/>
    <n v="9651213"/>
  </r>
  <r>
    <s v="Retail"/>
    <s v="Q120 - Cali- Plaza Q"/>
    <x v="5"/>
    <s v="octubre"/>
    <n v="1"/>
    <d v="2026-10-01T00:00:00"/>
    <n v="1144159588"/>
    <s v="ARCE CASTELLANOS CRISTIAN ALBERTO"/>
    <n v="-2"/>
    <n v="0"/>
    <n v="-155378"/>
  </r>
  <r>
    <s v="Retail"/>
    <s v="Q120 - Cali- Plaza Q"/>
    <x v="5"/>
    <s v="octubre"/>
    <n v="2"/>
    <d v="2026-10-02T00:00:00"/>
    <m/>
    <m/>
    <n v="0"/>
    <n v="13332228"/>
    <n v="0"/>
  </r>
  <r>
    <s v="Retail"/>
    <s v="Q120 - Cali- Plaza Q"/>
    <x v="5"/>
    <s v="octubre"/>
    <n v="2"/>
    <d v="2026-10-02T00:00:00"/>
    <n v="6469923"/>
    <s v="RODRIGUEZ MELENDEZ ERWIN JOSE"/>
    <n v="-1"/>
    <n v="0"/>
    <n v="-67185"/>
  </r>
  <r>
    <s v="Retail"/>
    <s v="Q120 - Cali- Plaza Q"/>
    <x v="5"/>
    <s v="octubre"/>
    <n v="2"/>
    <d v="2026-10-02T00:00:00"/>
    <n v="1006073270"/>
    <s v="BONILLA CHOCO CRISTIAN FELIPE"/>
    <n v="69"/>
    <n v="0"/>
    <n v="3624402"/>
  </r>
  <r>
    <s v="Retail"/>
    <s v="Q120 - Cali- Plaza Q"/>
    <x v="5"/>
    <s v="octubre"/>
    <n v="2"/>
    <d v="2026-10-02T00:00:00"/>
    <n v="1094265298"/>
    <s v="PEÑA FIGUEROA GERSON  ESTEBAN"/>
    <n v="11"/>
    <n v="0"/>
    <n v="600378"/>
  </r>
  <r>
    <s v="Retail"/>
    <s v="Q120 - Cali- Plaza Q"/>
    <x v="5"/>
    <s v="octubre"/>
    <n v="2"/>
    <d v="2026-10-02T00:00:00"/>
    <n v="1109541659"/>
    <s v="MINA CRUZ SANTIAGO"/>
    <n v="96"/>
    <n v="0"/>
    <n v="5464022"/>
  </r>
  <r>
    <s v="Retail"/>
    <s v="Q120 - Cali- Plaza Q"/>
    <x v="5"/>
    <s v="octubre"/>
    <n v="3"/>
    <d v="2026-10-03T00:00:00"/>
    <m/>
    <m/>
    <n v="0"/>
    <n v="27238014"/>
    <n v="0"/>
  </r>
  <r>
    <s v="Retail"/>
    <s v="Q120 - Cali- Plaza Q"/>
    <x v="5"/>
    <s v="octubre"/>
    <n v="3"/>
    <d v="2026-10-03T00:00:00"/>
    <n v="1006073270"/>
    <s v="BONILLA CHOCO CRISTIAN FELIPE"/>
    <n v="183"/>
    <n v="0"/>
    <n v="8841380"/>
  </r>
  <r>
    <s v="Retail"/>
    <s v="Q120 - Cali- Plaza Q"/>
    <x v="5"/>
    <s v="octubre"/>
    <n v="3"/>
    <d v="2026-10-03T00:00:00"/>
    <n v="1094265298"/>
    <s v="PEÑA FIGUEROA GERSON  ESTEBAN"/>
    <n v="39"/>
    <n v="0"/>
    <n v="2079866"/>
  </r>
  <r>
    <s v="Retail"/>
    <s v="Q120 - Cali- Plaza Q"/>
    <x v="5"/>
    <s v="octubre"/>
    <n v="3"/>
    <d v="2026-10-03T00:00:00"/>
    <n v="1107047599"/>
    <s v="HURTADO PAREDES CRISTIAN ANDRES"/>
    <n v="-1"/>
    <n v="0"/>
    <n v="-67143"/>
  </r>
  <r>
    <s v="Retail"/>
    <s v="Q120 - Cali- Plaza Q"/>
    <x v="5"/>
    <s v="octubre"/>
    <n v="3"/>
    <d v="2026-10-03T00:00:00"/>
    <n v="1109541659"/>
    <s v="MINA CRUZ SANTIAGO"/>
    <n v="185"/>
    <n v="0"/>
    <n v="9729781"/>
  </r>
  <r>
    <s v="Retail"/>
    <s v="Q120 - Cali- Plaza Q"/>
    <x v="5"/>
    <s v="octubre"/>
    <n v="3"/>
    <d v="2026-10-03T00:00:00"/>
    <n v="1144212178"/>
    <s v="TELLO CASTRO NICOLAS"/>
    <n v="-1"/>
    <n v="0"/>
    <n v="-83992"/>
  </r>
  <r>
    <s v="Retail"/>
    <s v="Q120 - Cali- Plaza Q"/>
    <x v="5"/>
    <s v="octubre"/>
    <n v="4"/>
    <d v="2026-10-04T00:00:00"/>
    <m/>
    <m/>
    <n v="0"/>
    <n v="13676832"/>
    <n v="0"/>
  </r>
  <r>
    <s v="Retail"/>
    <s v="Q120 - Cali- Plaza Q"/>
    <x v="5"/>
    <s v="octubre"/>
    <n v="4"/>
    <d v="2026-10-04T00:00:00"/>
    <n v="98456222"/>
    <s v="AGUIRRE TORO EFRAIN DE JESUS"/>
    <n v="-1"/>
    <n v="0"/>
    <n v="-33529"/>
  </r>
  <r>
    <s v="Retail"/>
    <s v="Q120 - Cali- Plaza Q"/>
    <x v="5"/>
    <s v="octubre"/>
    <n v="4"/>
    <d v="2026-10-04T00:00:00"/>
    <n v="1006073270"/>
    <s v="BONILLA CHOCO CRISTIAN FELIPE"/>
    <n v="124"/>
    <n v="0"/>
    <n v="7080231"/>
  </r>
  <r>
    <s v="Retail"/>
    <s v="Q120 - Cali- Plaza Q"/>
    <x v="5"/>
    <s v="octubre"/>
    <n v="4"/>
    <d v="2026-10-04T00:00:00"/>
    <n v="1109541659"/>
    <s v="MINA CRUZ SANTIAGO"/>
    <n v="128"/>
    <n v="0"/>
    <n v="7267743"/>
  </r>
  <r>
    <s v="Retail"/>
    <s v="Q120 - Cali- Plaza Q"/>
    <x v="5"/>
    <s v="octubre"/>
    <n v="5"/>
    <d v="2026-10-05T00:00:00"/>
    <m/>
    <m/>
    <n v="0"/>
    <n v="12420964"/>
    <n v="0"/>
  </r>
  <r>
    <s v="Retail"/>
    <s v="Q120 - Cali- Plaza Q"/>
    <x v="5"/>
    <s v="octubre"/>
    <n v="5"/>
    <d v="2026-10-05T00:00:00"/>
    <n v="1006073270"/>
    <s v="BONILLA CHOCO CRISTIAN FELIPE"/>
    <n v="190"/>
    <n v="0"/>
    <n v="9925697"/>
  </r>
  <r>
    <s v="Retail"/>
    <s v="Q120 - Cali- Plaza Q"/>
    <x v="5"/>
    <s v="octubre"/>
    <n v="5"/>
    <d v="2026-10-05T00:00:00"/>
    <n v="1094265298"/>
    <s v="PEÑA FIGUEROA GERSON  ESTEBAN"/>
    <n v="28"/>
    <n v="0"/>
    <n v="1338993"/>
  </r>
  <r>
    <s v="Retail"/>
    <s v="Q120 - Cali- Plaza Q"/>
    <x v="5"/>
    <s v="octubre"/>
    <n v="5"/>
    <d v="2026-10-05T00:00:00"/>
    <n v="1109541659"/>
    <s v="MINA CRUZ SANTIAGO"/>
    <n v="6"/>
    <n v="0"/>
    <n v="287647"/>
  </r>
  <r>
    <s v="Retail"/>
    <s v="Q120 - Cali- Plaza Q"/>
    <x v="5"/>
    <s v="octubre"/>
    <n v="6"/>
    <d v="2026-10-06T00:00:00"/>
    <m/>
    <m/>
    <n v="0"/>
    <n v="9032324"/>
    <n v="0"/>
  </r>
  <r>
    <s v="Retail"/>
    <s v="Q120 - Cali- Plaza Q"/>
    <x v="5"/>
    <s v="octubre"/>
    <n v="6"/>
    <d v="2026-10-06T00:00:00"/>
    <n v="98456222"/>
    <s v="AGUIRRE TORO EFRAIN DE JESUS"/>
    <n v="-1"/>
    <n v="0"/>
    <n v="-37773"/>
  </r>
  <r>
    <s v="Retail"/>
    <s v="Q120 - Cali- Plaza Q"/>
    <x v="5"/>
    <s v="octubre"/>
    <n v="6"/>
    <d v="2026-10-06T00:00:00"/>
    <n v="1006073270"/>
    <s v="BONILLA CHOCO CRISTIAN FELIPE"/>
    <n v="48"/>
    <n v="0"/>
    <n v="2110136"/>
  </r>
  <r>
    <s v="Retail"/>
    <s v="Q120 - Cali- Plaza Q"/>
    <x v="5"/>
    <s v="octubre"/>
    <n v="6"/>
    <d v="2026-10-06T00:00:00"/>
    <n v="1007132542"/>
    <s v="SALCEDO CASTRILLON FRACHED"/>
    <n v="-1"/>
    <n v="0"/>
    <n v="-83992"/>
  </r>
  <r>
    <s v="Retail"/>
    <s v="Q120 - Cali- Plaza Q"/>
    <x v="5"/>
    <s v="octubre"/>
    <n v="6"/>
    <d v="2026-10-06T00:00:00"/>
    <n v="1094265298"/>
    <s v="PEÑA FIGUEROA GERSON  ESTEBAN"/>
    <n v="6"/>
    <n v="0"/>
    <n v="209791"/>
  </r>
  <r>
    <s v="Retail"/>
    <s v="Q120 - Cali- Plaza Q"/>
    <x v="5"/>
    <s v="octubre"/>
    <n v="6"/>
    <d v="2026-10-06T00:00:00"/>
    <n v="1109541659"/>
    <s v="MINA CRUZ SANTIAGO"/>
    <n v="53"/>
    <n v="0"/>
    <n v="2474556"/>
  </r>
  <r>
    <s v="Retail"/>
    <s v="Q120 - Cali- Plaza Q"/>
    <x v="5"/>
    <s v="octubre"/>
    <n v="7"/>
    <d v="2026-10-07T00:00:00"/>
    <m/>
    <m/>
    <n v="0"/>
    <n v="8937476"/>
    <n v="0"/>
  </r>
  <r>
    <s v="Retail"/>
    <s v="Q120 - Cali- Plaza Q"/>
    <x v="5"/>
    <s v="octubre"/>
    <n v="7"/>
    <d v="2026-10-07T00:00:00"/>
    <n v="1006073270"/>
    <s v="BONILLA CHOCO CRISTIAN FELIPE"/>
    <n v="46"/>
    <n v="0"/>
    <n v="2403440"/>
  </r>
  <r>
    <s v="Retail"/>
    <s v="Q120 - Cali- Plaza Q"/>
    <x v="5"/>
    <s v="octubre"/>
    <n v="7"/>
    <d v="2026-10-07T00:00:00"/>
    <n v="1109541659"/>
    <s v="MINA CRUZ SANTIAGO"/>
    <n v="38"/>
    <n v="0"/>
    <n v="2323911"/>
  </r>
  <r>
    <s v="Retail"/>
    <s v="Q147 Cali - Cali Mall Plaza"/>
    <x v="5"/>
    <s v="septiembre"/>
    <n v="23"/>
    <d v="2026-09-23T00:00:00"/>
    <m/>
    <m/>
    <n v="0"/>
    <n v="3629752"/>
    <n v="0"/>
  </r>
  <r>
    <s v="Retail"/>
    <s v="Q147 Cali - Cali Mall Plaza"/>
    <x v="5"/>
    <s v="septiembre"/>
    <n v="23"/>
    <d v="2026-09-23T00:00:00"/>
    <n v="1006100360"/>
    <s v="MOLINA MUÑOZ  KAREN   MAYERLI"/>
    <n v="5"/>
    <n v="0"/>
    <n v="264455"/>
  </r>
  <r>
    <s v="Retail"/>
    <s v="Q147 Cali - Cali Mall Plaza"/>
    <x v="5"/>
    <s v="septiembre"/>
    <n v="23"/>
    <d v="2026-09-23T00:00:00"/>
    <n v="1007257651"/>
    <s v="LARGO BAÑOL YILBER DANILO"/>
    <n v="1"/>
    <n v="0"/>
    <n v="58782"/>
  </r>
  <r>
    <s v="Retail"/>
    <s v="Q147 Cali - Cali Mall Plaza"/>
    <x v="5"/>
    <s v="septiembre"/>
    <n v="23"/>
    <d v="2026-09-23T00:00:00"/>
    <n v="1087185324"/>
    <s v="GAVIRIA MONTAÑO PAOLA PILAR"/>
    <n v="29"/>
    <n v="0"/>
    <n v="1879036"/>
  </r>
  <r>
    <s v="Retail"/>
    <s v="Q147 Cali - Cali Mall Plaza"/>
    <x v="5"/>
    <s v="septiembre"/>
    <n v="23"/>
    <d v="2026-09-23T00:00:00"/>
    <n v="1107530246"/>
    <s v="CALDERON CASTANEDA CRISTHIAN CAMILO"/>
    <n v="25"/>
    <n v="0"/>
    <n v="1427479"/>
  </r>
  <r>
    <s v="Retail"/>
    <s v="Q147 Cali - Cali Mall Plaza"/>
    <x v="5"/>
    <s v="septiembre"/>
    <n v="24"/>
    <d v="2026-09-24T00:00:00"/>
    <m/>
    <m/>
    <n v="0"/>
    <n v="3239204"/>
    <n v="0"/>
  </r>
  <r>
    <s v="Retail"/>
    <s v="Q147 Cali - Cali Mall Plaza"/>
    <x v="5"/>
    <s v="septiembre"/>
    <n v="24"/>
    <d v="2026-09-24T00:00:00"/>
    <n v="1006100360"/>
    <s v="MOLINA MUÑOZ  KAREN   MAYERLI"/>
    <n v="13"/>
    <n v="0"/>
    <n v="770505"/>
  </r>
  <r>
    <s v="Retail"/>
    <s v="Q147 Cali - Cali Mall Plaza"/>
    <x v="5"/>
    <s v="septiembre"/>
    <n v="24"/>
    <d v="2026-09-24T00:00:00"/>
    <n v="1007257651"/>
    <s v="LARGO BAÑOL YILBER DANILO"/>
    <n v="2"/>
    <n v="0"/>
    <n v="134370"/>
  </r>
  <r>
    <s v="Retail"/>
    <s v="Q147 Cali - Cali Mall Plaza"/>
    <x v="5"/>
    <s v="septiembre"/>
    <n v="24"/>
    <d v="2026-09-24T00:00:00"/>
    <n v="1087185324"/>
    <s v="GAVIRIA MONTAÑO PAOLA PILAR"/>
    <n v="21"/>
    <n v="0"/>
    <n v="1150380"/>
  </r>
  <r>
    <s v="Retail"/>
    <s v="Q147 Cali - Cali Mall Plaza"/>
    <x v="5"/>
    <s v="septiembre"/>
    <n v="24"/>
    <d v="2026-09-24T00:00:00"/>
    <n v="1107530246"/>
    <s v="CALDERON CASTANEDA CRISTHIAN CAMILO"/>
    <n v="22"/>
    <n v="0"/>
    <n v="1183949"/>
  </r>
  <r>
    <s v="Retail"/>
    <s v="Q147 Cali - Cali Mall Plaza"/>
    <x v="5"/>
    <s v="septiembre"/>
    <n v="25"/>
    <d v="2026-09-25T00:00:00"/>
    <m/>
    <m/>
    <n v="0"/>
    <n v="1788491"/>
    <n v="0"/>
  </r>
  <r>
    <s v="Retail"/>
    <s v="Q147 Cali - Cali Mall Plaza"/>
    <x v="5"/>
    <s v="septiembre"/>
    <n v="25"/>
    <d v="2026-09-25T00:00:00"/>
    <n v="1006100360"/>
    <s v="MOLINA MUÑOZ  KAREN   MAYERLI"/>
    <n v="8"/>
    <n v="0"/>
    <n v="365211"/>
  </r>
  <r>
    <s v="Retail"/>
    <s v="Q147 Cali - Cali Mall Plaza"/>
    <x v="5"/>
    <s v="septiembre"/>
    <n v="25"/>
    <d v="2026-09-25T00:00:00"/>
    <n v="1087185324"/>
    <s v="GAVIRIA MONTAÑO PAOLA PILAR"/>
    <n v="16"/>
    <n v="0"/>
    <n v="953069"/>
  </r>
  <r>
    <s v="Retail"/>
    <s v="Q147 Cali - Cali Mall Plaza"/>
    <x v="5"/>
    <s v="septiembre"/>
    <n v="25"/>
    <d v="2026-09-25T00:00:00"/>
    <n v="1107530246"/>
    <s v="CALDERON CASTANEDA CRISTHIAN CAMILO"/>
    <n v="8"/>
    <n v="0"/>
    <n v="470212"/>
  </r>
  <r>
    <s v="Retail"/>
    <s v="Q147 Cali - Cali Mall Plaza"/>
    <x v="5"/>
    <s v="septiembre"/>
    <n v="26"/>
    <d v="2026-09-26T00:00:00"/>
    <m/>
    <m/>
    <n v="0"/>
    <n v="8692901"/>
    <n v="0"/>
  </r>
  <r>
    <s v="Retail"/>
    <s v="Q147 Cali - Cali Mall Plaza"/>
    <x v="5"/>
    <s v="septiembre"/>
    <n v="26"/>
    <d v="2026-09-26T00:00:00"/>
    <n v="1006100360"/>
    <s v="MOLINA MUÑOZ  KAREN   MAYERLI"/>
    <n v="12"/>
    <n v="0"/>
    <n v="722143"/>
  </r>
  <r>
    <s v="Retail"/>
    <s v="Q147 Cali - Cali Mall Plaza"/>
    <x v="5"/>
    <s v="septiembre"/>
    <n v="26"/>
    <d v="2026-09-26T00:00:00"/>
    <n v="1087185324"/>
    <s v="GAVIRIA MONTAÑO PAOLA PILAR"/>
    <n v="84"/>
    <n v="0"/>
    <n v="4819917"/>
  </r>
  <r>
    <s v="Retail"/>
    <s v="Q147 Cali - Cali Mall Plaza"/>
    <x v="5"/>
    <s v="septiembre"/>
    <n v="26"/>
    <d v="2026-09-26T00:00:00"/>
    <n v="1107530246"/>
    <s v="CALDERON CASTANEDA CRISTHIAN CAMILO"/>
    <n v="57"/>
    <n v="0"/>
    <n v="3150843"/>
  </r>
  <r>
    <s v="Retail"/>
    <s v="Q147 Cali - Cali Mall Plaza"/>
    <x v="5"/>
    <s v="septiembre"/>
    <n v="27"/>
    <d v="2026-09-27T00:00:00"/>
    <m/>
    <m/>
    <n v="0"/>
    <n v="7141173"/>
    <n v="0"/>
  </r>
  <r>
    <s v="Retail"/>
    <s v="Q147 Cali - Cali Mall Plaza"/>
    <x v="5"/>
    <s v="septiembre"/>
    <n v="27"/>
    <d v="2026-09-27T00:00:00"/>
    <n v="1006100360"/>
    <s v="MOLINA MUÑOZ  KAREN   MAYERLI"/>
    <n v="21"/>
    <n v="0"/>
    <n v="1433866"/>
  </r>
  <r>
    <s v="Retail"/>
    <s v="Q147 Cali - Cali Mall Plaza"/>
    <x v="5"/>
    <s v="septiembre"/>
    <n v="27"/>
    <d v="2026-09-27T00:00:00"/>
    <n v="1087185324"/>
    <s v="GAVIRIA MONTAÑO PAOLA PILAR"/>
    <n v="61"/>
    <n v="0"/>
    <n v="3904920"/>
  </r>
  <r>
    <s v="Retail"/>
    <s v="Q147 Cali - Cali Mall Plaza"/>
    <x v="5"/>
    <s v="septiembre"/>
    <n v="27"/>
    <d v="2026-09-27T00:00:00"/>
    <n v="1107530246"/>
    <s v="CALDERON CASTANEDA CRISTHIAN CAMILO"/>
    <n v="67"/>
    <n v="0"/>
    <n v="4322649"/>
  </r>
  <r>
    <s v="Retail"/>
    <s v="Q147 Cali - Cali Mall Plaza"/>
    <x v="5"/>
    <s v="septiembre"/>
    <n v="27"/>
    <d v="2026-09-27T00:00:00"/>
    <n v="1113689444"/>
    <s v="GONZALEZ QUIÑONES JUAN CAMILO"/>
    <n v="-1"/>
    <n v="0"/>
    <n v="-90706"/>
  </r>
  <r>
    <s v="Retail"/>
    <s v="Q147 Cali - Cali Mall Plaza"/>
    <x v="5"/>
    <s v="septiembre"/>
    <n v="28"/>
    <d v="2026-09-28T00:00:00"/>
    <m/>
    <m/>
    <n v="0"/>
    <n v="3930208"/>
    <n v="0"/>
  </r>
  <r>
    <s v="Retail"/>
    <s v="Q147 Cali - Cali Mall Plaza"/>
    <x v="5"/>
    <s v="septiembre"/>
    <n v="28"/>
    <d v="2026-09-28T00:00:00"/>
    <n v="1006100360"/>
    <s v="MOLINA MUÑOZ  KAREN   MAYERLI"/>
    <n v="14"/>
    <n v="0"/>
    <n v="734707"/>
  </r>
  <r>
    <s v="Retail"/>
    <s v="Q147 Cali - Cali Mall Plaza"/>
    <x v="5"/>
    <s v="septiembre"/>
    <n v="28"/>
    <d v="2026-09-28T00:00:00"/>
    <n v="1007132542"/>
    <s v="SALCEDO CASTRILLON FRACHED"/>
    <n v="-2"/>
    <n v="0"/>
    <n v="-104916"/>
  </r>
  <r>
    <s v="Retail"/>
    <s v="Q147 Cali - Cali Mall Plaza"/>
    <x v="5"/>
    <s v="septiembre"/>
    <n v="28"/>
    <d v="2026-09-28T00:00:00"/>
    <n v="1087185324"/>
    <s v="GAVIRIA MONTAÑO PAOLA PILAR"/>
    <n v="-2"/>
    <n v="0"/>
    <n v="-151092"/>
  </r>
  <r>
    <s v="Retail"/>
    <s v="Q147 Cali - Cali Mall Plaza"/>
    <x v="5"/>
    <s v="septiembre"/>
    <n v="28"/>
    <d v="2026-09-28T00:00:00"/>
    <n v="1107530246"/>
    <s v="CALDERON CASTANEDA CRISTHIAN CAMILO"/>
    <n v="94"/>
    <n v="0"/>
    <n v="5319247"/>
  </r>
  <r>
    <s v="Retail"/>
    <s v="Q147 Cali - Cali Mall Plaza"/>
    <x v="5"/>
    <s v="septiembre"/>
    <n v="29"/>
    <d v="2026-09-29T00:00:00"/>
    <m/>
    <m/>
    <n v="0"/>
    <n v="2365844"/>
    <n v="0"/>
  </r>
  <r>
    <s v="Retail"/>
    <s v="Q147 Cali - Cali Mall Plaza"/>
    <x v="5"/>
    <s v="septiembre"/>
    <n v="29"/>
    <d v="2026-09-29T00:00:00"/>
    <n v="1087185324"/>
    <s v="GAVIRIA MONTAÑO PAOLA PILAR"/>
    <n v="22"/>
    <n v="0"/>
    <n v="1249078"/>
  </r>
  <r>
    <s v="Retail"/>
    <s v="Q147 Cali - Cali Mall Plaza"/>
    <x v="5"/>
    <s v="septiembre"/>
    <n v="29"/>
    <d v="2026-09-29T00:00:00"/>
    <n v="1107530246"/>
    <s v="CALDERON CASTANEDA CRISTHIAN CAMILO"/>
    <n v="20"/>
    <n v="0"/>
    <n v="1116766"/>
  </r>
  <r>
    <s v="Retail"/>
    <s v="Q147 Cali - Cali Mall Plaza"/>
    <x v="5"/>
    <s v="septiembre"/>
    <n v="30"/>
    <d v="2026-09-30T00:00:00"/>
    <m/>
    <m/>
    <n v="0"/>
    <n v="4336850"/>
    <n v="0"/>
  </r>
  <r>
    <s v="Retail"/>
    <s v="Q147 Cali - Cali Mall Plaza"/>
    <x v="5"/>
    <s v="septiembre"/>
    <n v="30"/>
    <d v="2026-09-30T00:00:00"/>
    <n v="1006100360"/>
    <s v="MOLINA MUÑOZ  KAREN   MAYERLI"/>
    <n v="12"/>
    <n v="0"/>
    <n v="717942"/>
  </r>
  <r>
    <s v="Retail"/>
    <s v="Q147 Cali - Cali Mall Plaza"/>
    <x v="5"/>
    <s v="septiembre"/>
    <n v="30"/>
    <d v="2026-09-30T00:00:00"/>
    <n v="1087185324"/>
    <s v="GAVIRIA MONTAÑO PAOLA PILAR"/>
    <n v="44"/>
    <n v="0"/>
    <n v="2235466"/>
  </r>
  <r>
    <s v="Retail"/>
    <s v="Q147 Cali - Cali Mall Plaza"/>
    <x v="5"/>
    <s v="septiembre"/>
    <n v="30"/>
    <d v="2026-09-30T00:00:00"/>
    <n v="1107530246"/>
    <s v="CALDERON CASTANEDA CRISTHIAN CAMILO"/>
    <n v="59"/>
    <n v="0"/>
    <n v="3787353"/>
  </r>
  <r>
    <s v="Retail"/>
    <s v="Q147 Cali - Cali Mall Plaza"/>
    <x v="5"/>
    <s v="octubre"/>
    <n v="1"/>
    <d v="2026-10-01T00:00:00"/>
    <m/>
    <m/>
    <n v="0"/>
    <n v="4728938"/>
    <n v="0"/>
  </r>
  <r>
    <s v="Retail"/>
    <s v="Q147 Cali - Cali Mall Plaza"/>
    <x v="5"/>
    <s v="octubre"/>
    <n v="1"/>
    <d v="2026-10-01T00:00:00"/>
    <n v="1006100360"/>
    <s v="MOLINA MUÑOZ  KAREN   MAYERLI"/>
    <n v="14"/>
    <n v="0"/>
    <n v="919581"/>
  </r>
  <r>
    <s v="Retail"/>
    <s v="Q147 Cali - Cali Mall Plaza"/>
    <x v="5"/>
    <s v="octubre"/>
    <n v="1"/>
    <d v="2026-10-01T00:00:00"/>
    <n v="1087185324"/>
    <s v="GAVIRIA MONTAÑO PAOLA PILAR"/>
    <n v="52"/>
    <n v="0"/>
    <n v="2884036"/>
  </r>
  <r>
    <s v="Retail"/>
    <s v="Q147 Cali - Cali Mall Plaza"/>
    <x v="5"/>
    <s v="octubre"/>
    <n v="1"/>
    <d v="2026-10-01T00:00:00"/>
    <n v="1107530246"/>
    <s v="CALDERON CASTANEDA CRISTHIAN CAMILO"/>
    <n v="23"/>
    <n v="0"/>
    <n v="1465379"/>
  </r>
  <r>
    <s v="Retail"/>
    <s v="Q147 Cali - Cali Mall Plaza"/>
    <x v="5"/>
    <s v="octubre"/>
    <n v="2"/>
    <d v="2026-10-02T00:00:00"/>
    <m/>
    <m/>
    <n v="0"/>
    <n v="7968848"/>
    <n v="0"/>
  </r>
  <r>
    <s v="Retail"/>
    <s v="Q147 Cali - Cali Mall Plaza"/>
    <x v="5"/>
    <s v="octubre"/>
    <n v="2"/>
    <d v="2026-10-02T00:00:00"/>
    <n v="1005815270"/>
    <s v="GUERRERO ATUESTA JUAN PABLO"/>
    <n v="-1"/>
    <n v="0"/>
    <n v="-52882"/>
  </r>
  <r>
    <s v="Retail"/>
    <s v="Q147 Cali - Cali Mall Plaza"/>
    <x v="5"/>
    <s v="octubre"/>
    <n v="2"/>
    <d v="2026-10-02T00:00:00"/>
    <n v="1006100360"/>
    <s v="MOLINA MUÑOZ  KAREN   MAYERLI"/>
    <n v="10"/>
    <n v="0"/>
    <n v="499581"/>
  </r>
  <r>
    <s v="Retail"/>
    <s v="Q147 Cali - Cali Mall Plaza"/>
    <x v="5"/>
    <s v="octubre"/>
    <n v="2"/>
    <d v="2026-10-02T00:00:00"/>
    <n v="1087185324"/>
    <s v="GAVIRIA MONTAÑO PAOLA PILAR"/>
    <n v="20"/>
    <n v="0"/>
    <n v="1288950"/>
  </r>
  <r>
    <s v="Retail"/>
    <s v="Q147 Cali - Cali Mall Plaza"/>
    <x v="5"/>
    <s v="octubre"/>
    <n v="2"/>
    <d v="2026-10-02T00:00:00"/>
    <n v="1107530246"/>
    <s v="CALDERON CASTANEDA CRISTHIAN CAMILO"/>
    <n v="16"/>
    <n v="0"/>
    <n v="932102"/>
  </r>
  <r>
    <s v="Retail"/>
    <s v="Q147 Cali - Cali Mall Plaza"/>
    <x v="5"/>
    <s v="octubre"/>
    <n v="3"/>
    <d v="2026-10-03T00:00:00"/>
    <m/>
    <m/>
    <n v="0"/>
    <n v="10674767"/>
    <n v="0"/>
  </r>
  <r>
    <s v="Retail"/>
    <s v="Q147 Cali - Cali Mall Plaza"/>
    <x v="5"/>
    <s v="octubre"/>
    <n v="3"/>
    <d v="2026-10-03T00:00:00"/>
    <n v="1006100360"/>
    <s v="MOLINA MUÑOZ  KAREN   MAYERLI"/>
    <n v="59"/>
    <n v="0"/>
    <n v="3346697"/>
  </r>
  <r>
    <s v="Retail"/>
    <s v="Q147 Cali - Cali Mall Plaza"/>
    <x v="5"/>
    <s v="octubre"/>
    <n v="3"/>
    <d v="2026-10-03T00:00:00"/>
    <n v="1087185324"/>
    <s v="GAVIRIA MONTAÑO PAOLA PILAR"/>
    <n v="168"/>
    <n v="0"/>
    <n v="9200495"/>
  </r>
  <r>
    <s v="Retail"/>
    <s v="Q147 Cali - Cali Mall Plaza"/>
    <x v="5"/>
    <s v="octubre"/>
    <n v="3"/>
    <d v="2026-10-03T00:00:00"/>
    <n v="1107530246"/>
    <s v="CALDERON CASTANEDA CRISTHIAN CAMILO"/>
    <n v="-2"/>
    <n v="0"/>
    <n v="-117563"/>
  </r>
  <r>
    <s v="Retail"/>
    <s v="Q147 Cali - Cali Mall Plaza"/>
    <x v="5"/>
    <s v="octubre"/>
    <n v="3"/>
    <d v="2026-10-03T00:00:00"/>
    <n v="1113675600"/>
    <s v="OPANCE COLORADO DAISLY YULEIDY"/>
    <n v="-1"/>
    <n v="0"/>
    <n v="-37773"/>
  </r>
  <r>
    <s v="Retail"/>
    <s v="Q147 Cali - Cali Mall Plaza"/>
    <x v="5"/>
    <s v="octubre"/>
    <n v="4"/>
    <d v="2026-10-04T00:00:00"/>
    <m/>
    <m/>
    <n v="0"/>
    <n v="11883740"/>
    <n v="0"/>
  </r>
  <r>
    <s v="Retail"/>
    <s v="Q147 Cali - Cali Mall Plaza"/>
    <x v="5"/>
    <s v="octubre"/>
    <n v="4"/>
    <d v="2026-10-04T00:00:00"/>
    <n v="1006100360"/>
    <s v="MOLINA MUÑOZ  KAREN   MAYERLI"/>
    <n v="59"/>
    <n v="0"/>
    <n v="3804159"/>
  </r>
  <r>
    <s v="Retail"/>
    <s v="Q147 Cali - Cali Mall Plaza"/>
    <x v="5"/>
    <s v="octubre"/>
    <n v="4"/>
    <d v="2026-10-04T00:00:00"/>
    <n v="1007132542"/>
    <s v="SALCEDO CASTRILLON FRACHED"/>
    <n v="-1"/>
    <n v="0"/>
    <n v="-54580"/>
  </r>
  <r>
    <s v="Retail"/>
    <s v="Q147 Cali - Cali Mall Plaza"/>
    <x v="5"/>
    <s v="octubre"/>
    <n v="4"/>
    <d v="2026-10-04T00:00:00"/>
    <n v="1087185324"/>
    <s v="GAVIRIA MONTAÑO PAOLA PILAR"/>
    <n v="123"/>
    <n v="0"/>
    <n v="7545131"/>
  </r>
  <r>
    <s v="Retail"/>
    <s v="Q147 Cali - Cali Mall Plaza"/>
    <x v="5"/>
    <s v="octubre"/>
    <n v="4"/>
    <d v="2026-10-04T00:00:00"/>
    <n v="1107530246"/>
    <s v="CALDERON CASTANEDA CRISTHIAN CAMILO"/>
    <n v="-1"/>
    <n v="0"/>
    <n v="-75588"/>
  </r>
  <r>
    <s v="Retail"/>
    <s v="Q147 Cali - Cali Mall Plaza"/>
    <x v="5"/>
    <s v="octubre"/>
    <n v="4"/>
    <d v="2026-10-04T00:00:00"/>
    <n v="1193601115"/>
    <s v="OLAVE RODRIGUEZ ANGEL  JOSUE"/>
    <n v="-1"/>
    <n v="0"/>
    <n v="-75588"/>
  </r>
  <r>
    <s v="Retail"/>
    <s v="Q147 Cali - Cali Mall Plaza"/>
    <x v="5"/>
    <s v="octubre"/>
    <n v="5"/>
    <d v="2026-10-05T00:00:00"/>
    <m/>
    <m/>
    <n v="0"/>
    <n v="6099479"/>
    <n v="0"/>
  </r>
  <r>
    <s v="Retail"/>
    <s v="Q147 Cali - Cali Mall Plaza"/>
    <x v="5"/>
    <s v="octubre"/>
    <n v="5"/>
    <d v="2026-10-05T00:00:00"/>
    <n v="1006100360"/>
    <s v="MOLINA MUÑOZ  KAREN   MAYERLI"/>
    <n v="54"/>
    <n v="0"/>
    <n v="3247648"/>
  </r>
  <r>
    <s v="Retail"/>
    <s v="Q147 Cali - Cali Mall Plaza"/>
    <x v="5"/>
    <s v="octubre"/>
    <n v="5"/>
    <d v="2026-10-05T00:00:00"/>
    <n v="1087185324"/>
    <s v="GAVIRIA MONTAÑO PAOLA PILAR"/>
    <n v="109"/>
    <n v="0"/>
    <n v="6461729"/>
  </r>
  <r>
    <s v="Retail"/>
    <s v="Q147 Cali - Cali Mall Plaza"/>
    <x v="5"/>
    <s v="octubre"/>
    <n v="5"/>
    <d v="2026-10-05T00:00:00"/>
    <n v="1087805009"/>
    <s v="PERDOMO GAVIRIA MAURICIO STIVEN"/>
    <n v="-2"/>
    <n v="0"/>
    <n v="-75546"/>
  </r>
  <r>
    <s v="Retail"/>
    <s v="Q147 Cali - Cali Mall Plaza"/>
    <x v="5"/>
    <s v="octubre"/>
    <n v="6"/>
    <d v="2026-10-06T00:00:00"/>
    <m/>
    <m/>
    <n v="0"/>
    <n v="2078690"/>
    <n v="0"/>
  </r>
  <r>
    <s v="Retail"/>
    <s v="Q147 Cali - Cali Mall Plaza"/>
    <x v="5"/>
    <s v="octubre"/>
    <n v="6"/>
    <d v="2026-10-06T00:00:00"/>
    <n v="1087185324"/>
    <s v="GAVIRIA MONTAÑO PAOLA PILAR"/>
    <n v="52"/>
    <n v="0"/>
    <n v="2968322"/>
  </r>
  <r>
    <s v="Retail"/>
    <s v="Q147 Cali - Cali Mall Plaza"/>
    <x v="5"/>
    <s v="octubre"/>
    <n v="7"/>
    <d v="2026-10-07T00:00:00"/>
    <m/>
    <m/>
    <n v="0"/>
    <n v="2051340"/>
    <n v="0"/>
  </r>
  <r>
    <s v="Retail"/>
    <s v="Q147 Cali - Cali Mall Plaza"/>
    <x v="5"/>
    <s v="octubre"/>
    <n v="7"/>
    <d v="2026-10-07T00:00:00"/>
    <n v="1085270297"/>
    <s v="CASTILLO CASTILLO LEYDI YOMARA"/>
    <n v="-1"/>
    <n v="0"/>
    <n v="-105000"/>
  </r>
  <r>
    <s v="Retail"/>
    <s v="Q147 Cali - Cali Mall Plaza"/>
    <x v="5"/>
    <s v="octubre"/>
    <n v="7"/>
    <d v="2026-10-07T00:00:00"/>
    <n v="1087185324"/>
    <s v="GAVIRIA MONTAÑO PAOLA PILAR"/>
    <n v="75"/>
    <n v="0"/>
    <n v="4355968"/>
  </r>
  <r>
    <s v="Retail"/>
    <s v="Q147 Cali - Cali Mall Plaza"/>
    <x v="5"/>
    <s v="octubre"/>
    <n v="7"/>
    <d v="2026-10-07T00:00:00"/>
    <n v="1104805189"/>
    <s v="SINISTERRA  ALZATE VALENTINA "/>
    <n v="-1"/>
    <n v="0"/>
    <n v="-41975"/>
  </r>
  <r>
    <s v="Retail"/>
    <s v="Q147 Cali - Cali Mall Plaza"/>
    <x v="5"/>
    <s v="octubre"/>
    <n v="7"/>
    <d v="2026-10-07T00:00:00"/>
    <n v="1111665228"/>
    <s v="RIVERA ZUÑIGA JUAN DIEGO"/>
    <n v="-1"/>
    <n v="0"/>
    <n v="-100756"/>
  </r>
  <r>
    <s v="Retail"/>
    <s v="Q147 Cali - Cali Mall Plaza"/>
    <x v="5"/>
    <s v="octubre"/>
    <n v="7"/>
    <d v="2026-10-07T00:00:00"/>
    <n v="1143413580"/>
    <s v="OCAMPO MENDOZA JHON FEITHER"/>
    <n v="-1"/>
    <n v="0"/>
    <n v="-62983"/>
  </r>
  <r>
    <s v="Franquicias Sell Out QUEST"/>
    <s v="FQ021 - Granada - Meta"/>
    <x v="6"/>
    <s v="septiembre"/>
    <n v="23"/>
    <d v="2026-09-23T00:00:00"/>
    <m/>
    <m/>
    <n v="0"/>
    <n v="3254558"/>
    <n v="0"/>
  </r>
  <r>
    <s v="Franquicias Sell Out QUEST"/>
    <s v="FQ021 - Granada - Meta"/>
    <x v="6"/>
    <s v="septiembre"/>
    <n v="23"/>
    <d v="2026-09-23T00:00:00"/>
    <n v="1006773195"/>
    <m/>
    <n v="57"/>
    <n v="0"/>
    <n v="3337904"/>
  </r>
  <r>
    <s v="Franquicias Sell Out QUEST"/>
    <s v="FQ021 - Granada - Meta"/>
    <x v="6"/>
    <s v="septiembre"/>
    <n v="23"/>
    <d v="2026-09-23T00:00:00"/>
    <n v="1120361630"/>
    <s v="TÉLLEZ MENDOZA  SOLANYI"/>
    <n v="90"/>
    <n v="0"/>
    <n v="4870174"/>
  </r>
  <r>
    <s v="Franquicias Sell Out QUEST"/>
    <s v="FQ021 - Granada - Meta"/>
    <x v="6"/>
    <s v="septiembre"/>
    <n v="24"/>
    <d v="2026-09-24T00:00:00"/>
    <m/>
    <m/>
    <n v="0"/>
    <n v="8416919"/>
    <n v="0"/>
  </r>
  <r>
    <s v="Franquicias Sell Out QUEST"/>
    <s v="FQ021 - Granada - Meta"/>
    <x v="6"/>
    <s v="septiembre"/>
    <n v="24"/>
    <d v="2026-09-24T00:00:00"/>
    <n v="1006773195"/>
    <m/>
    <n v="106"/>
    <n v="0"/>
    <n v="5856897"/>
  </r>
  <r>
    <s v="Franquicias Sell Out QUEST"/>
    <s v="FQ021 - Granada - Meta"/>
    <x v="6"/>
    <s v="septiembre"/>
    <n v="24"/>
    <d v="2026-09-24T00:00:00"/>
    <n v="1120361630"/>
    <s v="TÉLLEZ MENDOZA  SOLANYI"/>
    <n v="83"/>
    <n v="0"/>
    <n v="4754965"/>
  </r>
  <r>
    <s v="Franquicias Sell Out QUEST"/>
    <s v="FQ021 - Granada - Meta"/>
    <x v="6"/>
    <s v="septiembre"/>
    <n v="25"/>
    <d v="2026-09-25T00:00:00"/>
    <m/>
    <m/>
    <n v="0"/>
    <n v="8989725"/>
    <n v="0"/>
  </r>
  <r>
    <s v="Franquicias Sell Out QUEST"/>
    <s v="FQ021 - Granada - Meta"/>
    <x v="6"/>
    <s v="septiembre"/>
    <n v="25"/>
    <d v="2026-09-25T00:00:00"/>
    <n v="1006773195"/>
    <m/>
    <n v="78"/>
    <n v="0"/>
    <n v="4076555"/>
  </r>
  <r>
    <s v="Franquicias Sell Out QUEST"/>
    <s v="FQ021 - Granada - Meta"/>
    <x v="6"/>
    <s v="septiembre"/>
    <n v="25"/>
    <d v="2026-09-25T00:00:00"/>
    <n v="1120361630"/>
    <s v="TÉLLEZ MENDOZA  SOLANYI"/>
    <n v="76"/>
    <n v="0"/>
    <n v="4530424"/>
  </r>
  <r>
    <s v="Franquicias Sell Out QUEST"/>
    <s v="FQ021 - Granada - Meta"/>
    <x v="6"/>
    <s v="septiembre"/>
    <n v="26"/>
    <d v="2026-09-26T00:00:00"/>
    <m/>
    <m/>
    <n v="0"/>
    <n v="11335819"/>
    <n v="0"/>
  </r>
  <r>
    <s v="Franquicias Sell Out QUEST"/>
    <s v="FQ021 - Granada - Meta"/>
    <x v="6"/>
    <s v="septiembre"/>
    <n v="26"/>
    <d v="2026-09-26T00:00:00"/>
    <n v="1006773195"/>
    <m/>
    <n v="145"/>
    <n v="0"/>
    <n v="8708157"/>
  </r>
  <r>
    <s v="Franquicias Sell Out QUEST"/>
    <s v="FQ021 - Granada - Meta"/>
    <x v="6"/>
    <s v="septiembre"/>
    <n v="26"/>
    <d v="2026-09-26T00:00:00"/>
    <n v="1120361630"/>
    <s v="TÉLLEZ MENDOZA  SOLANYI"/>
    <n v="12"/>
    <n v="0"/>
    <n v="675966"/>
  </r>
  <r>
    <s v="Franquicias Sell Out QUEST"/>
    <s v="FQ021 - Granada - Meta"/>
    <x v="6"/>
    <s v="septiembre"/>
    <n v="27"/>
    <d v="2026-09-27T00:00:00"/>
    <m/>
    <m/>
    <n v="0"/>
    <n v="5985205"/>
    <n v="0"/>
  </r>
  <r>
    <s v="Franquicias Sell Out QUEST"/>
    <s v="FQ021 - Granada - Meta"/>
    <x v="6"/>
    <s v="septiembre"/>
    <n v="27"/>
    <d v="2026-09-27T00:00:00"/>
    <n v="1006773195"/>
    <m/>
    <n v="43"/>
    <n v="0"/>
    <n v="2416219"/>
  </r>
  <r>
    <s v="Franquicias Sell Out QUEST"/>
    <s v="FQ021 - Granada - Meta"/>
    <x v="6"/>
    <s v="septiembre"/>
    <n v="27"/>
    <d v="2026-09-27T00:00:00"/>
    <n v="1120361630"/>
    <s v="TÉLLEZ MENDOZA  SOLANYI"/>
    <n v="41"/>
    <n v="0"/>
    <n v="2187354"/>
  </r>
  <r>
    <s v="Franquicias Sell Out QUEST"/>
    <s v="FQ021 - Granada - Meta"/>
    <x v="6"/>
    <s v="septiembre"/>
    <n v="28"/>
    <d v="2026-09-28T00:00:00"/>
    <m/>
    <m/>
    <n v="0"/>
    <n v="4907217"/>
    <n v="0"/>
  </r>
  <r>
    <s v="Franquicias Sell Out QUEST"/>
    <s v="FQ021 - Granada - Meta"/>
    <x v="6"/>
    <s v="septiembre"/>
    <n v="28"/>
    <d v="2026-09-28T00:00:00"/>
    <n v="1006773195"/>
    <m/>
    <n v="34"/>
    <n v="0"/>
    <n v="2166641"/>
  </r>
  <r>
    <s v="Franquicias Sell Out QUEST"/>
    <s v="FQ021 - Granada - Meta"/>
    <x v="6"/>
    <s v="septiembre"/>
    <n v="28"/>
    <d v="2026-09-28T00:00:00"/>
    <n v="1120361630"/>
    <s v="TÉLLEZ MENDOZA  SOLANYI"/>
    <n v="71"/>
    <n v="0"/>
    <n v="3994878"/>
  </r>
  <r>
    <s v="Franquicias Sell Out QUEST"/>
    <s v="FQ021 - Granada - Meta"/>
    <x v="6"/>
    <s v="septiembre"/>
    <n v="29"/>
    <d v="2026-09-29T00:00:00"/>
    <m/>
    <m/>
    <n v="0"/>
    <n v="5455372"/>
    <n v="0"/>
  </r>
  <r>
    <s v="Franquicias Sell Out QUEST"/>
    <s v="FQ021 - Granada - Meta"/>
    <x v="6"/>
    <s v="septiembre"/>
    <n v="29"/>
    <d v="2026-09-29T00:00:00"/>
    <n v="1006773195"/>
    <m/>
    <n v="59"/>
    <n v="0"/>
    <n v="3552103"/>
  </r>
  <r>
    <s v="Franquicias Sell Out QUEST"/>
    <s v="FQ021 - Granada - Meta"/>
    <x v="6"/>
    <s v="septiembre"/>
    <n v="29"/>
    <d v="2026-09-29T00:00:00"/>
    <n v="1120361630"/>
    <s v="TÉLLEZ MENDOZA  SOLANYI"/>
    <n v="9"/>
    <n v="0"/>
    <n v="432352"/>
  </r>
  <r>
    <s v="Franquicias Sell Out QUEST"/>
    <s v="FQ021 - Granada - Meta"/>
    <x v="6"/>
    <s v="septiembre"/>
    <n v="30"/>
    <d v="2026-09-30T00:00:00"/>
    <m/>
    <m/>
    <n v="0"/>
    <n v="5777415"/>
    <n v="0"/>
  </r>
  <r>
    <s v="Franquicias Sell Out QUEST"/>
    <s v="FQ021 - Granada - Meta"/>
    <x v="6"/>
    <s v="septiembre"/>
    <n v="30"/>
    <d v="2026-09-30T00:00:00"/>
    <n v="1006773195"/>
    <m/>
    <n v="-2"/>
    <n v="0"/>
    <n v="-96555"/>
  </r>
  <r>
    <s v="Franquicias Sell Out QUEST"/>
    <s v="FQ021 - Granada - Meta"/>
    <x v="6"/>
    <s v="septiembre"/>
    <n v="30"/>
    <d v="2026-09-30T00:00:00"/>
    <n v="1120361630"/>
    <s v="TÉLLEZ MENDOZA  SOLANYI"/>
    <n v="69"/>
    <n v="0"/>
    <n v="3938284"/>
  </r>
  <r>
    <s v="Franquicias Sell Out QUEST"/>
    <s v="FQ021 - Granada - Meta"/>
    <x v="6"/>
    <s v="octubre"/>
    <n v="1"/>
    <d v="2026-10-01T00:00:00"/>
    <m/>
    <m/>
    <n v="0"/>
    <n v="7880652"/>
    <n v="0"/>
  </r>
  <r>
    <s v="Franquicias Sell Out QUEST"/>
    <s v="FQ021 - Granada - Meta"/>
    <x v="6"/>
    <s v="octubre"/>
    <n v="1"/>
    <d v="2026-10-01T00:00:00"/>
    <n v="1006773195"/>
    <m/>
    <n v="35"/>
    <n v="0"/>
    <n v="1880841"/>
  </r>
  <r>
    <s v="Franquicias Sell Out QUEST"/>
    <s v="FQ021 - Granada - Meta"/>
    <x v="6"/>
    <s v="octubre"/>
    <n v="1"/>
    <d v="2026-10-01T00:00:00"/>
    <n v="1120361630"/>
    <s v="TÉLLEZ MENDOZA  SOLANYI"/>
    <n v="45"/>
    <n v="0"/>
    <n v="2500210"/>
  </r>
  <r>
    <s v="Franquicias Sell Out QUEST"/>
    <s v="FQ021 - Granada - Meta"/>
    <x v="6"/>
    <s v="octubre"/>
    <n v="2"/>
    <d v="2026-10-02T00:00:00"/>
    <m/>
    <m/>
    <n v="0"/>
    <n v="7745616"/>
    <n v="0"/>
  </r>
  <r>
    <s v="Franquicias Sell Out QUEST"/>
    <s v="FQ021 - Granada - Meta"/>
    <x v="6"/>
    <s v="octubre"/>
    <n v="2"/>
    <d v="2026-10-02T00:00:00"/>
    <n v="1006773195"/>
    <m/>
    <n v="62"/>
    <n v="0"/>
    <n v="3768450"/>
  </r>
  <r>
    <s v="Franquicias Sell Out QUEST"/>
    <s v="FQ021 - Granada - Meta"/>
    <x v="6"/>
    <s v="octubre"/>
    <n v="2"/>
    <d v="2026-10-02T00:00:00"/>
    <n v="1120361630"/>
    <s v="TÉLLEZ MENDOZA  SOLANYI"/>
    <n v="46"/>
    <n v="0"/>
    <n v="2739622"/>
  </r>
  <r>
    <s v="Franquicias Sell Out QUEST"/>
    <s v="FQ021 - Granada - Meta"/>
    <x v="6"/>
    <s v="octubre"/>
    <n v="3"/>
    <d v="2026-10-03T00:00:00"/>
    <m/>
    <m/>
    <n v="0"/>
    <n v="8365703"/>
    <n v="0"/>
  </r>
  <r>
    <s v="Franquicias Sell Out QUEST"/>
    <s v="FQ021 - Granada - Meta"/>
    <x v="6"/>
    <s v="octubre"/>
    <n v="3"/>
    <d v="2026-10-03T00:00:00"/>
    <n v="1006773195"/>
    <m/>
    <n v="82"/>
    <n v="0"/>
    <n v="4254478"/>
  </r>
  <r>
    <s v="Franquicias Sell Out QUEST"/>
    <s v="FQ021 - Granada - Meta"/>
    <x v="6"/>
    <s v="octubre"/>
    <n v="3"/>
    <d v="2026-10-03T00:00:00"/>
    <n v="1120361630"/>
    <s v="TÉLLEZ MENDOZA  SOLANYI"/>
    <n v="90"/>
    <n v="0"/>
    <n v="4516957"/>
  </r>
  <r>
    <s v="Franquicias Sell Out QUEST"/>
    <s v="FQ021 - Granada - Meta"/>
    <x v="6"/>
    <s v="octubre"/>
    <n v="4"/>
    <d v="2026-10-04T00:00:00"/>
    <m/>
    <m/>
    <n v="0"/>
    <n v="4802408"/>
    <n v="0"/>
  </r>
  <r>
    <s v="Franquicias Sell Out QUEST"/>
    <s v="FQ021 - Granada - Meta"/>
    <x v="6"/>
    <s v="octubre"/>
    <n v="4"/>
    <d v="2026-10-04T00:00:00"/>
    <n v="1120361630"/>
    <s v="TÉLLEZ MENDOZA  SOLANYI"/>
    <n v="81"/>
    <n v="0"/>
    <n v="4504586"/>
  </r>
  <r>
    <s v="Franquicias Sell Out QUEST"/>
    <s v="FQ021 - Granada - Meta"/>
    <x v="6"/>
    <s v="octubre"/>
    <n v="5"/>
    <d v="2026-10-05T00:00:00"/>
    <m/>
    <m/>
    <n v="0"/>
    <n v="5486380"/>
    <n v="0"/>
  </r>
  <r>
    <s v="Franquicias Sell Out QUEST"/>
    <s v="FQ021 - Granada - Meta"/>
    <x v="6"/>
    <s v="octubre"/>
    <n v="5"/>
    <d v="2026-10-05T00:00:00"/>
    <n v="1006773195"/>
    <m/>
    <n v="74"/>
    <n v="0"/>
    <n v="4185634"/>
  </r>
  <r>
    <s v="Franquicias Sell Out QUEST"/>
    <s v="FQ021 - Granada - Meta"/>
    <x v="6"/>
    <s v="octubre"/>
    <n v="5"/>
    <d v="2026-10-05T00:00:00"/>
    <n v="1120361630"/>
    <s v="TÉLLEZ MENDOZA  SOLANYI"/>
    <n v="-6"/>
    <n v="0"/>
    <n v="-259000"/>
  </r>
  <r>
    <s v="Franquicias Sell Out QUEST"/>
    <s v="FQ021 - Granada - Meta"/>
    <x v="6"/>
    <s v="octubre"/>
    <n v="6"/>
    <d v="2026-10-06T00:00:00"/>
    <m/>
    <m/>
    <n v="0"/>
    <n v="1296215"/>
    <n v="0"/>
  </r>
  <r>
    <s v="Franquicias Sell Out QUEST"/>
    <s v="FQ021 - Granada - Meta"/>
    <x v="6"/>
    <s v="octubre"/>
    <n v="6"/>
    <d v="2026-10-06T00:00:00"/>
    <n v="1006773195"/>
    <m/>
    <n v="50"/>
    <n v="0"/>
    <n v="2999749"/>
  </r>
  <r>
    <s v="Franquicias Sell Out QUEST"/>
    <s v="FQ021 - Granada - Meta"/>
    <x v="6"/>
    <s v="octubre"/>
    <n v="6"/>
    <d v="2026-10-06T00:00:00"/>
    <n v="1120361630"/>
    <s v="TÉLLEZ MENDOZA  SOLANYI"/>
    <n v="-3"/>
    <n v="0"/>
    <n v="-144420"/>
  </r>
  <r>
    <s v="Franquicias Sell Out QUEST"/>
    <s v="FQ021 - Granada - Meta"/>
    <x v="6"/>
    <s v="octubre"/>
    <n v="7"/>
    <d v="2026-10-07T00:00:00"/>
    <m/>
    <m/>
    <n v="0"/>
    <n v="2272753"/>
    <n v="0"/>
  </r>
  <r>
    <s v="Franquicias Sell Out QUEST"/>
    <s v="FQ021 - Granada - Meta"/>
    <x v="6"/>
    <s v="octubre"/>
    <n v="7"/>
    <d v="2026-10-07T00:00:00"/>
    <n v="1006773195"/>
    <m/>
    <n v="8"/>
    <n v="0"/>
    <n v="382058"/>
  </r>
  <r>
    <s v="Franquicias Sell Out QUEST"/>
    <s v="FQ021 - Granada - Meta"/>
    <x v="6"/>
    <s v="octubre"/>
    <n v="7"/>
    <d v="2026-10-07T00:00:00"/>
    <n v="1120361630"/>
    <s v="TÉLLEZ MENDOZA  SOLANYI"/>
    <n v="3"/>
    <n v="0"/>
    <n v="197353"/>
  </r>
  <r>
    <s v="Franquicias Sell Out QUEST"/>
    <s v="FQ036 - Acacias - Meta"/>
    <x v="6"/>
    <s v="septiembre"/>
    <n v="23"/>
    <d v="2026-09-23T00:00:00"/>
    <m/>
    <m/>
    <n v="0"/>
    <n v="2664855"/>
    <n v="0"/>
  </r>
  <r>
    <s v="Franquicias Sell Out QUEST"/>
    <s v="FQ036 - Acacias - Meta"/>
    <x v="6"/>
    <s v="septiembre"/>
    <n v="23"/>
    <d v="2026-09-23T00:00:00"/>
    <n v="1121853221"/>
    <s v="CASTAÑEDA SALDAÑA VALERIA"/>
    <n v="25"/>
    <n v="0"/>
    <n v="1217460"/>
  </r>
  <r>
    <s v="Franquicias Sell Out QUEST"/>
    <s v="FQ036 - Acacias - Meta"/>
    <x v="6"/>
    <s v="septiembre"/>
    <n v="23"/>
    <d v="2026-09-23T00:00:00"/>
    <n v="1121880693"/>
    <s v="MORA CASANOVA YEISON FABIAN"/>
    <n v="29"/>
    <n v="0"/>
    <n v="1511387"/>
  </r>
  <r>
    <s v="Franquicias Sell Out QUEST"/>
    <s v="FQ036 - Acacias - Meta"/>
    <x v="6"/>
    <s v="septiembre"/>
    <n v="24"/>
    <d v="2026-09-24T00:00:00"/>
    <m/>
    <m/>
    <n v="0"/>
    <n v="6891824"/>
    <n v="0"/>
  </r>
  <r>
    <s v="Franquicias Sell Out QUEST"/>
    <s v="FQ036 - Acacias - Meta"/>
    <x v="6"/>
    <s v="septiembre"/>
    <n v="24"/>
    <d v="2026-09-24T00:00:00"/>
    <n v="1121853221"/>
    <s v="CASTAÑEDA SALDAÑA VALERIA"/>
    <n v="44"/>
    <n v="0"/>
    <n v="2542271"/>
  </r>
  <r>
    <s v="Franquicias Sell Out QUEST"/>
    <s v="FQ036 - Acacias - Meta"/>
    <x v="6"/>
    <s v="septiembre"/>
    <n v="24"/>
    <d v="2026-09-24T00:00:00"/>
    <n v="1121880693"/>
    <s v="MORA CASANOVA YEISON FABIAN"/>
    <n v="21"/>
    <n v="0"/>
    <n v="1057942"/>
  </r>
  <r>
    <s v="Franquicias Sell Out QUEST"/>
    <s v="FQ036 - Acacias - Meta"/>
    <x v="6"/>
    <s v="septiembre"/>
    <n v="25"/>
    <d v="2026-09-25T00:00:00"/>
    <m/>
    <m/>
    <n v="0"/>
    <n v="7360842"/>
    <n v="0"/>
  </r>
  <r>
    <s v="Franquicias Sell Out QUEST"/>
    <s v="FQ036 - Acacias - Meta"/>
    <x v="6"/>
    <s v="septiembre"/>
    <n v="25"/>
    <d v="2026-09-25T00:00:00"/>
    <n v="1121853221"/>
    <s v="CASTAÑEDA SALDAÑA VALERIA"/>
    <n v="55"/>
    <n v="0"/>
    <n v="2854839"/>
  </r>
  <r>
    <s v="Franquicias Sell Out QUEST"/>
    <s v="FQ036 - Acacias - Meta"/>
    <x v="6"/>
    <s v="septiembre"/>
    <n v="25"/>
    <d v="2026-09-25T00:00:00"/>
    <n v="1122128372"/>
    <s v="REYES PINZON LAURA LUCIA"/>
    <n v="15"/>
    <n v="0"/>
    <n v="890126"/>
  </r>
  <r>
    <s v="Franquicias Sell Out QUEST"/>
    <s v="FQ036 - Acacias - Meta"/>
    <x v="6"/>
    <s v="septiembre"/>
    <n v="26"/>
    <d v="2026-09-26T00:00:00"/>
    <m/>
    <m/>
    <n v="0"/>
    <n v="9281837"/>
    <n v="0"/>
  </r>
  <r>
    <s v="Franquicias Sell Out QUEST"/>
    <s v="FQ036 - Acacias - Meta"/>
    <x v="6"/>
    <s v="septiembre"/>
    <n v="26"/>
    <d v="2026-09-26T00:00:00"/>
    <n v="1121853221"/>
    <s v="CASTAÑEDA SALDAÑA VALERIA"/>
    <n v="82"/>
    <n v="0"/>
    <n v="3807400"/>
  </r>
  <r>
    <s v="Franquicias Sell Out QUEST"/>
    <s v="FQ036 - Acacias - Meta"/>
    <x v="6"/>
    <s v="septiembre"/>
    <n v="26"/>
    <d v="2026-09-26T00:00:00"/>
    <n v="1121880693"/>
    <s v="MORA CASANOVA YEISON FABIAN"/>
    <n v="14"/>
    <n v="0"/>
    <n v="789330"/>
  </r>
  <r>
    <s v="Franquicias Sell Out QUEST"/>
    <s v="FQ036 - Acacias - Meta"/>
    <x v="6"/>
    <s v="septiembre"/>
    <n v="27"/>
    <d v="2026-09-27T00:00:00"/>
    <m/>
    <m/>
    <n v="0"/>
    <n v="4900723"/>
    <n v="0"/>
  </r>
  <r>
    <s v="Franquicias Sell Out QUEST"/>
    <s v="FQ036 - Acacias - Meta"/>
    <x v="6"/>
    <s v="septiembre"/>
    <n v="27"/>
    <d v="2026-09-27T00:00:00"/>
    <n v="1121853221"/>
    <s v="CASTAÑEDA SALDAÑA VALERIA"/>
    <n v="45"/>
    <n v="0"/>
    <n v="2462356"/>
  </r>
  <r>
    <s v="Franquicias Sell Out QUEST"/>
    <s v="FQ036 - Acacias - Meta"/>
    <x v="6"/>
    <s v="septiembre"/>
    <n v="28"/>
    <d v="2026-09-28T00:00:00"/>
    <m/>
    <m/>
    <n v="0"/>
    <n v="4018057"/>
    <n v="0"/>
  </r>
  <r>
    <s v="Franquicias Sell Out QUEST"/>
    <s v="FQ036 - Acacias - Meta"/>
    <x v="6"/>
    <s v="septiembre"/>
    <n v="28"/>
    <d v="2026-09-28T00:00:00"/>
    <n v="1121853221"/>
    <s v="CASTAÑEDA SALDAÑA VALERIA"/>
    <n v="34"/>
    <n v="0"/>
    <n v="2006810"/>
  </r>
  <r>
    <s v="Franquicias Sell Out QUEST"/>
    <s v="FQ036 - Acacias - Meta"/>
    <x v="6"/>
    <s v="septiembre"/>
    <n v="29"/>
    <d v="2026-09-29T00:00:00"/>
    <m/>
    <m/>
    <n v="0"/>
    <n v="4466894"/>
    <n v="0"/>
  </r>
  <r>
    <s v="Franquicias Sell Out QUEST"/>
    <s v="FQ036 - Acacias - Meta"/>
    <x v="6"/>
    <s v="septiembre"/>
    <n v="29"/>
    <d v="2026-09-29T00:00:00"/>
    <n v="1121853221"/>
    <s v="CASTAÑEDA SALDAÑA VALERIA"/>
    <n v="55"/>
    <n v="0"/>
    <n v="3172060"/>
  </r>
  <r>
    <s v="Franquicias Sell Out QUEST"/>
    <s v="FQ036 - Acacias - Meta"/>
    <x v="6"/>
    <s v="septiembre"/>
    <n v="29"/>
    <d v="2026-09-29T00:00:00"/>
    <n v="1121880693"/>
    <s v="MORA CASANOVA YEISON FABIAN"/>
    <n v="16"/>
    <n v="0"/>
    <n v="860674"/>
  </r>
  <r>
    <s v="Franquicias Sell Out QUEST"/>
    <s v="FQ036 - Acacias - Meta"/>
    <x v="6"/>
    <s v="septiembre"/>
    <n v="30"/>
    <d v="2026-09-30T00:00:00"/>
    <m/>
    <m/>
    <n v="0"/>
    <n v="4730582"/>
    <n v="0"/>
  </r>
  <r>
    <s v="Franquicias Sell Out QUEST"/>
    <s v="FQ036 - Acacias - Meta"/>
    <x v="6"/>
    <s v="septiembre"/>
    <n v="30"/>
    <d v="2026-09-30T00:00:00"/>
    <n v="1121853221"/>
    <s v="CASTAÑEDA SALDAÑA VALERIA"/>
    <n v="46"/>
    <n v="0"/>
    <n v="2443281"/>
  </r>
  <r>
    <s v="Franquicias Sell Out QUEST"/>
    <s v="FQ036 - Acacias - Meta"/>
    <x v="6"/>
    <s v="septiembre"/>
    <n v="30"/>
    <d v="2026-09-30T00:00:00"/>
    <n v="1121880693"/>
    <s v="MORA CASANOVA YEISON FABIAN"/>
    <n v="7"/>
    <n v="0"/>
    <n v="377858"/>
  </r>
  <r>
    <s v="Franquicias Sell Out QUEST"/>
    <s v="FQ036 - Acacias - Meta"/>
    <x v="6"/>
    <s v="octubre"/>
    <n v="1"/>
    <d v="2026-10-01T00:00:00"/>
    <m/>
    <m/>
    <n v="0"/>
    <n v="7564342"/>
    <n v="0"/>
  </r>
  <r>
    <s v="Franquicias Sell Out QUEST"/>
    <s v="FQ036 - Acacias - Meta"/>
    <x v="6"/>
    <s v="octubre"/>
    <n v="1"/>
    <d v="2026-10-01T00:00:00"/>
    <n v="1121853221"/>
    <s v="CASTAÑEDA SALDAÑA VALERIA"/>
    <n v="69"/>
    <n v="0"/>
    <n v="3673365"/>
  </r>
  <r>
    <s v="Franquicias Sell Out QUEST"/>
    <s v="FQ036 - Acacias - Meta"/>
    <x v="6"/>
    <s v="octubre"/>
    <n v="2"/>
    <d v="2026-10-02T00:00:00"/>
    <m/>
    <m/>
    <n v="0"/>
    <n v="6208940"/>
    <n v="0"/>
  </r>
  <r>
    <s v="Franquicias Sell Out QUEST"/>
    <s v="FQ036 - Acacias - Meta"/>
    <x v="6"/>
    <s v="octubre"/>
    <n v="2"/>
    <d v="2026-10-02T00:00:00"/>
    <n v="1121853221"/>
    <s v="CASTAÑEDA SALDAÑA VALERIA"/>
    <n v="80"/>
    <n v="0"/>
    <n v="4181393"/>
  </r>
  <r>
    <s v="Franquicias Sell Out QUEST"/>
    <s v="FQ036 - Acacias - Meta"/>
    <x v="6"/>
    <s v="octubre"/>
    <n v="3"/>
    <d v="2026-10-03T00:00:00"/>
    <m/>
    <m/>
    <n v="0"/>
    <n v="5881370"/>
    <n v="0"/>
  </r>
  <r>
    <s v="Franquicias Sell Out QUEST"/>
    <s v="FQ036 - Acacias - Meta"/>
    <x v="6"/>
    <s v="octubre"/>
    <n v="3"/>
    <d v="2026-10-03T00:00:00"/>
    <n v="1121853221"/>
    <s v="CASTAÑEDA SALDAÑA VALERIA"/>
    <n v="105"/>
    <n v="0"/>
    <n v="5269218"/>
  </r>
  <r>
    <s v="Franquicias Sell Out QUEST"/>
    <s v="FQ036 - Acacias - Meta"/>
    <x v="6"/>
    <s v="octubre"/>
    <n v="4"/>
    <d v="2026-10-04T00:00:00"/>
    <m/>
    <m/>
    <n v="0"/>
    <n v="6599029"/>
    <n v="0"/>
  </r>
  <r>
    <s v="Franquicias Sell Out QUEST"/>
    <s v="FQ036 - Acacias - Meta"/>
    <x v="6"/>
    <s v="octubre"/>
    <n v="4"/>
    <d v="2026-10-04T00:00:00"/>
    <n v="1121853221"/>
    <s v="CASTAÑEDA SALDAÑA VALERIA"/>
    <n v="28"/>
    <n v="0"/>
    <n v="1679412"/>
  </r>
  <r>
    <s v="Franquicias Sell Out QUEST"/>
    <s v="FQ036 - Acacias - Meta"/>
    <x v="6"/>
    <s v="octubre"/>
    <n v="5"/>
    <d v="2026-10-05T00:00:00"/>
    <m/>
    <m/>
    <n v="0"/>
    <n v="1465845"/>
    <n v="0"/>
  </r>
  <r>
    <s v="Franquicias Sell Out QUEST"/>
    <s v="FQ036 - Acacias - Meta"/>
    <x v="6"/>
    <s v="octubre"/>
    <n v="5"/>
    <d v="2026-10-05T00:00:00"/>
    <n v="1121853221"/>
    <s v="CASTAÑEDA SALDAÑA VALERIA"/>
    <n v="42"/>
    <n v="0"/>
    <n v="2311422"/>
  </r>
  <r>
    <s v="Franquicias Sell Out QUEST"/>
    <s v="FQ036 - Acacias - Meta"/>
    <x v="6"/>
    <s v="octubre"/>
    <n v="5"/>
    <d v="2026-10-05T00:00:00"/>
    <n v="1121880693"/>
    <s v="MORA CASANOVA YEISON FABIAN"/>
    <n v="10"/>
    <n v="0"/>
    <n v="562606"/>
  </r>
  <r>
    <s v="Franquicias Sell Out QUEST"/>
    <s v="FQ036 - Acacias - Meta"/>
    <x v="6"/>
    <s v="octubre"/>
    <n v="6"/>
    <d v="2026-10-06T00:00:00"/>
    <m/>
    <m/>
    <n v="0"/>
    <n v="2717392"/>
    <n v="0"/>
  </r>
  <r>
    <s v="Franquicias Sell Out QUEST"/>
    <s v="FQ036 - Acacias - Meta"/>
    <x v="6"/>
    <s v="octubre"/>
    <n v="6"/>
    <d v="2026-10-06T00:00:00"/>
    <n v="1121853221"/>
    <s v="CASTAÑEDA SALDAÑA VALERIA"/>
    <n v="33"/>
    <n v="0"/>
    <n v="1735969"/>
  </r>
  <r>
    <s v="Franquicias Sell Out QUEST"/>
    <s v="FQ036 - Acacias - Meta"/>
    <x v="6"/>
    <s v="octubre"/>
    <n v="6"/>
    <d v="2026-10-06T00:00:00"/>
    <n v="1121880693"/>
    <s v="MORA CASANOVA YEISON FABIAN"/>
    <n v="-1"/>
    <n v="0"/>
    <n v="-54580"/>
  </r>
  <r>
    <s v="Franquicias Sell Out QUEST"/>
    <s v="FQ036 - Acacias - Meta"/>
    <x v="6"/>
    <s v="octubre"/>
    <n v="7"/>
    <d v="2026-10-07T00:00:00"/>
    <m/>
    <m/>
    <n v="0"/>
    <n v="1612742"/>
    <n v="0"/>
  </r>
  <r>
    <s v="Franquicias Sell Out QUEST"/>
    <s v="FQ036 - Acacias - Meta"/>
    <x v="6"/>
    <s v="octubre"/>
    <n v="7"/>
    <d v="2026-10-07T00:00:00"/>
    <n v="1121853221"/>
    <s v="CASTAÑEDA SALDAÑA VALERIA"/>
    <n v="34"/>
    <n v="0"/>
    <n v="1645506"/>
  </r>
  <r>
    <s v="Franquicias Sell Out QUEST"/>
    <s v="FQ036 - Acacias - Meta"/>
    <x v="6"/>
    <s v="octubre"/>
    <n v="7"/>
    <d v="2026-10-07T00:00:00"/>
    <n v="1121880693"/>
    <s v="MORA CASANOVA YEISON FABIAN"/>
    <n v="2"/>
    <n v="0"/>
    <n v="167984"/>
  </r>
  <r>
    <s v="Franquicias Sell Out QUEST"/>
    <s v="FQ043 - Arauca - Arauca"/>
    <x v="6"/>
    <s v="septiembre"/>
    <n v="23"/>
    <d v="2026-09-23T00:00:00"/>
    <m/>
    <m/>
    <n v="0"/>
    <n v="5850410"/>
    <n v="0"/>
  </r>
  <r>
    <s v="Franquicias Sell Out QUEST"/>
    <s v="FQ043 - Arauca - Arauca"/>
    <x v="6"/>
    <s v="septiembre"/>
    <n v="23"/>
    <d v="2026-09-23T00:00:00"/>
    <n v="1001807290"/>
    <s v="SALAS RICAURTE TANIA ISABEL"/>
    <n v="59"/>
    <n v="0"/>
    <n v="3419792"/>
  </r>
  <r>
    <s v="Franquicias Sell Out QUEST"/>
    <s v="FQ043 - Arauca - Arauca"/>
    <x v="6"/>
    <s v="septiembre"/>
    <n v="23"/>
    <d v="2026-09-23T00:00:00"/>
    <n v="1006453393"/>
    <s v="ARIZA QUINTERO MAITE LILY"/>
    <n v="71"/>
    <n v="0"/>
    <n v="3652488"/>
  </r>
  <r>
    <s v="Franquicias Sell Out QUEST"/>
    <s v="FQ043 - Arauca - Arauca"/>
    <x v="6"/>
    <s v="septiembre"/>
    <n v="23"/>
    <d v="2026-09-23T00:00:00"/>
    <n v="1116801557"/>
    <s v="PATRICIA MENDONZA  LEILA"/>
    <n v="79"/>
    <n v="0"/>
    <n v="4561809"/>
  </r>
  <r>
    <s v="Franquicias Sell Out QUEST"/>
    <s v="FQ043 - Arauca - Arauca"/>
    <x v="6"/>
    <s v="septiembre"/>
    <n v="24"/>
    <d v="2026-09-24T00:00:00"/>
    <m/>
    <m/>
    <n v="0"/>
    <n v="15130280"/>
    <n v="0"/>
  </r>
  <r>
    <s v="Franquicias Sell Out QUEST"/>
    <s v="FQ043 - Arauca - Arauca"/>
    <x v="6"/>
    <s v="septiembre"/>
    <n v="24"/>
    <d v="2026-09-24T00:00:00"/>
    <n v="1001807290"/>
    <s v="SALAS RICAURTE TANIA ISABEL"/>
    <n v="67"/>
    <n v="0"/>
    <n v="3417358"/>
  </r>
  <r>
    <s v="Franquicias Sell Out QUEST"/>
    <s v="FQ043 - Arauca - Arauca"/>
    <x v="6"/>
    <s v="septiembre"/>
    <n v="24"/>
    <d v="2026-09-24T00:00:00"/>
    <n v="1006453393"/>
    <s v="ARIZA QUINTERO MAITE LILY"/>
    <n v="69"/>
    <n v="0"/>
    <n v="3263918"/>
  </r>
  <r>
    <s v="Franquicias Sell Out QUEST"/>
    <s v="FQ043 - Arauca - Arauca"/>
    <x v="6"/>
    <s v="septiembre"/>
    <n v="24"/>
    <d v="2026-09-24T00:00:00"/>
    <n v="1116801557"/>
    <s v="PATRICIA MENDONZA  LEILA"/>
    <n v="58"/>
    <n v="0"/>
    <n v="3375717"/>
  </r>
  <r>
    <s v="Franquicias Sell Out QUEST"/>
    <s v="FQ043 - Arauca - Arauca"/>
    <x v="6"/>
    <s v="septiembre"/>
    <n v="25"/>
    <d v="2026-09-25T00:00:00"/>
    <m/>
    <m/>
    <n v="0"/>
    <n v="16159967"/>
    <n v="0"/>
  </r>
  <r>
    <s v="Franquicias Sell Out QUEST"/>
    <s v="FQ043 - Arauca - Arauca"/>
    <x v="6"/>
    <s v="septiembre"/>
    <n v="25"/>
    <d v="2026-09-25T00:00:00"/>
    <n v="1001807290"/>
    <s v="SALAS RICAURTE TANIA ISABEL"/>
    <n v="119"/>
    <n v="0"/>
    <n v="6394215"/>
  </r>
  <r>
    <s v="Franquicias Sell Out QUEST"/>
    <s v="FQ043 - Arauca - Arauca"/>
    <x v="6"/>
    <s v="septiembre"/>
    <n v="25"/>
    <d v="2026-09-25T00:00:00"/>
    <n v="1006453393"/>
    <s v="ARIZA QUINTERO MAITE LILY"/>
    <n v="112"/>
    <n v="0"/>
    <n v="6049929"/>
  </r>
  <r>
    <s v="Franquicias Sell Out QUEST"/>
    <s v="FQ043 - Arauca - Arauca"/>
    <x v="6"/>
    <s v="septiembre"/>
    <n v="25"/>
    <d v="2026-09-25T00:00:00"/>
    <n v="1116801557"/>
    <s v="PATRICIA MENDONZA  LEILA"/>
    <n v="109"/>
    <n v="0"/>
    <n v="6207614"/>
  </r>
  <r>
    <s v="Franquicias Sell Out QUEST"/>
    <s v="FQ043 - Arauca - Arauca"/>
    <x v="6"/>
    <s v="septiembre"/>
    <n v="26"/>
    <d v="2026-09-26T00:00:00"/>
    <m/>
    <m/>
    <n v="0"/>
    <n v="20377311"/>
    <n v="0"/>
  </r>
  <r>
    <s v="Franquicias Sell Out QUEST"/>
    <s v="FQ043 - Arauca - Arauca"/>
    <x v="6"/>
    <s v="septiembre"/>
    <n v="26"/>
    <d v="2026-09-26T00:00:00"/>
    <n v="1001807290"/>
    <s v="SALAS RICAURTE TANIA ISABEL"/>
    <n v="138"/>
    <n v="0"/>
    <n v="6634806"/>
  </r>
  <r>
    <s v="Franquicias Sell Out QUEST"/>
    <s v="FQ043 - Arauca - Arauca"/>
    <x v="6"/>
    <s v="septiembre"/>
    <n v="26"/>
    <d v="2026-09-26T00:00:00"/>
    <n v="1006453393"/>
    <s v="ARIZA QUINTERO MAITE LILY"/>
    <n v="130"/>
    <n v="0"/>
    <n v="6599468"/>
  </r>
  <r>
    <s v="Franquicias Sell Out QUEST"/>
    <s v="FQ043 - Arauca - Arauca"/>
    <x v="6"/>
    <s v="septiembre"/>
    <n v="26"/>
    <d v="2026-09-26T00:00:00"/>
    <n v="1116801557"/>
    <s v="PATRICIA MENDONZA  LEILA"/>
    <n v="146"/>
    <n v="0"/>
    <n v="7838370"/>
  </r>
  <r>
    <s v="Franquicias Sell Out QUEST"/>
    <s v="FQ043 - Arauca - Arauca"/>
    <x v="6"/>
    <s v="septiembre"/>
    <n v="26"/>
    <d v="2026-09-26T00:00:00"/>
    <n v="11167925556"/>
    <s v="SOGAMOSO  CAREN ALEJANDRA"/>
    <n v="3"/>
    <n v="0"/>
    <n v="125925"/>
  </r>
  <r>
    <s v="Franquicias Sell Out QUEST"/>
    <s v="FQ043 - Arauca - Arauca"/>
    <x v="6"/>
    <s v="septiembre"/>
    <n v="27"/>
    <d v="2026-09-27T00:00:00"/>
    <m/>
    <m/>
    <n v="0"/>
    <n v="10759026"/>
    <n v="0"/>
  </r>
  <r>
    <s v="Franquicias Sell Out QUEST"/>
    <s v="FQ043 - Arauca - Arauca"/>
    <x v="6"/>
    <s v="septiembre"/>
    <n v="27"/>
    <d v="2026-09-27T00:00:00"/>
    <n v="1001807290"/>
    <s v="SALAS RICAURTE TANIA ISABEL"/>
    <n v="37"/>
    <n v="0"/>
    <n v="1771390"/>
  </r>
  <r>
    <s v="Franquicias Sell Out QUEST"/>
    <s v="FQ043 - Arauca - Arauca"/>
    <x v="6"/>
    <s v="septiembre"/>
    <n v="27"/>
    <d v="2026-09-27T00:00:00"/>
    <n v="1006453393"/>
    <s v="ARIZA QUINTERO MAITE LILY"/>
    <n v="34"/>
    <n v="0"/>
    <n v="1490175"/>
  </r>
  <r>
    <s v="Franquicias Sell Out QUEST"/>
    <s v="FQ043 - Arauca - Arauca"/>
    <x v="6"/>
    <s v="septiembre"/>
    <n v="27"/>
    <d v="2026-09-27T00:00:00"/>
    <n v="1116801557"/>
    <s v="PATRICIA MENDONZA  LEILA"/>
    <n v="43"/>
    <n v="0"/>
    <n v="1977063"/>
  </r>
  <r>
    <s v="Franquicias Sell Out QUEST"/>
    <s v="FQ043 - Arauca - Arauca"/>
    <x v="6"/>
    <s v="septiembre"/>
    <n v="27"/>
    <d v="2026-09-27T00:00:00"/>
    <n v="11167925556"/>
    <s v="SOGAMOSO  CAREN ALEJANDRA"/>
    <n v="2"/>
    <n v="0"/>
    <n v="79748"/>
  </r>
  <r>
    <s v="Franquicias Sell Out QUEST"/>
    <s v="FQ043 - Arauca - Arauca"/>
    <x v="6"/>
    <s v="septiembre"/>
    <n v="28"/>
    <d v="2026-09-28T00:00:00"/>
    <m/>
    <m/>
    <n v="0"/>
    <n v="8821231"/>
    <n v="0"/>
  </r>
  <r>
    <s v="Franquicias Sell Out QUEST"/>
    <s v="FQ043 - Arauca - Arauca"/>
    <x v="6"/>
    <s v="septiembre"/>
    <n v="28"/>
    <d v="2026-09-28T00:00:00"/>
    <n v="1001807290"/>
    <s v="SALAS RICAURTE TANIA ISABEL"/>
    <n v="38"/>
    <n v="0"/>
    <n v="2141054"/>
  </r>
  <r>
    <s v="Franquicias Sell Out QUEST"/>
    <s v="FQ043 - Arauca - Arauca"/>
    <x v="6"/>
    <s v="septiembre"/>
    <n v="28"/>
    <d v="2026-09-28T00:00:00"/>
    <n v="1006453393"/>
    <s v="ARIZA QUINTERO MAITE LILY"/>
    <n v="46"/>
    <n v="0"/>
    <n v="2222736"/>
  </r>
  <r>
    <s v="Franquicias Sell Out QUEST"/>
    <s v="FQ043 - Arauca - Arauca"/>
    <x v="6"/>
    <s v="septiembre"/>
    <n v="28"/>
    <d v="2026-09-28T00:00:00"/>
    <n v="1116801557"/>
    <s v="PATRICIA MENDONZA  LEILA"/>
    <n v="44"/>
    <n v="0"/>
    <n v="2380426"/>
  </r>
  <r>
    <s v="Franquicias Sell Out QUEST"/>
    <s v="FQ043 - Arauca - Arauca"/>
    <x v="6"/>
    <s v="septiembre"/>
    <n v="29"/>
    <d v="2026-09-29T00:00:00"/>
    <m/>
    <m/>
    <n v="0"/>
    <n v="9806599"/>
    <n v="0"/>
  </r>
  <r>
    <s v="Franquicias Sell Out QUEST"/>
    <s v="FQ043 - Arauca - Arauca"/>
    <x v="6"/>
    <s v="septiembre"/>
    <n v="29"/>
    <d v="2026-09-29T00:00:00"/>
    <n v="1001807290"/>
    <s v="SALAS RICAURTE TANIA ISABEL"/>
    <n v="48"/>
    <n v="0"/>
    <n v="2539961"/>
  </r>
  <r>
    <s v="Franquicias Sell Out QUEST"/>
    <s v="FQ043 - Arauca - Arauca"/>
    <x v="6"/>
    <s v="septiembre"/>
    <n v="29"/>
    <d v="2026-09-29T00:00:00"/>
    <n v="1006453393"/>
    <s v="ARIZA QUINTERO MAITE LILY"/>
    <n v="47"/>
    <n v="0"/>
    <n v="2460086"/>
  </r>
  <r>
    <s v="Franquicias Sell Out QUEST"/>
    <s v="FQ043 - Arauca - Arauca"/>
    <x v="6"/>
    <s v="septiembre"/>
    <n v="29"/>
    <d v="2026-09-29T00:00:00"/>
    <n v="1116801557"/>
    <s v="PATRICIA MENDONZA  LEILA"/>
    <n v="59"/>
    <n v="0"/>
    <n v="3289333"/>
  </r>
  <r>
    <s v="Franquicias Sell Out QUEST"/>
    <s v="FQ043 - Arauca - Arauca"/>
    <x v="6"/>
    <s v="septiembre"/>
    <n v="30"/>
    <d v="2026-09-30T00:00:00"/>
    <m/>
    <m/>
    <n v="0"/>
    <n v="10385500"/>
    <n v="0"/>
  </r>
  <r>
    <s v="Franquicias Sell Out QUEST"/>
    <s v="FQ043 - Arauca - Arauca"/>
    <x v="6"/>
    <s v="septiembre"/>
    <n v="30"/>
    <d v="2026-09-30T00:00:00"/>
    <n v="1001807290"/>
    <s v="SALAS RICAURTE TANIA ISABEL"/>
    <n v="92"/>
    <n v="0"/>
    <n v="4508492"/>
  </r>
  <r>
    <s v="Franquicias Sell Out QUEST"/>
    <s v="FQ043 - Arauca - Arauca"/>
    <x v="6"/>
    <s v="septiembre"/>
    <n v="30"/>
    <d v="2026-09-30T00:00:00"/>
    <n v="1006453393"/>
    <s v="ARIZA QUINTERO MAITE LILY"/>
    <n v="85"/>
    <n v="0"/>
    <n v="4420426"/>
  </r>
  <r>
    <s v="Franquicias Sell Out QUEST"/>
    <s v="FQ043 - Arauca - Arauca"/>
    <x v="6"/>
    <s v="septiembre"/>
    <n v="30"/>
    <d v="2026-09-30T00:00:00"/>
    <n v="1116801557"/>
    <s v="PATRICIA MENDONZA  LEILA"/>
    <n v="1"/>
    <n v="0"/>
    <n v="29370"/>
  </r>
  <r>
    <s v="Franquicias Sell Out QUEST"/>
    <s v="FQ043 - Arauca - Arauca"/>
    <x v="6"/>
    <s v="octubre"/>
    <n v="1"/>
    <d v="2026-10-01T00:00:00"/>
    <m/>
    <m/>
    <n v="0"/>
    <n v="9465097"/>
    <n v="0"/>
  </r>
  <r>
    <s v="Franquicias Sell Out QUEST"/>
    <s v="FQ043 - Arauca - Arauca"/>
    <x v="6"/>
    <s v="octubre"/>
    <n v="1"/>
    <d v="2026-10-01T00:00:00"/>
    <n v="1001807290"/>
    <s v="SALAS RICAURTE TANIA ISABEL"/>
    <n v="58"/>
    <n v="0"/>
    <n v="2896726"/>
  </r>
  <r>
    <s v="Franquicias Sell Out QUEST"/>
    <s v="FQ043 - Arauca - Arauca"/>
    <x v="6"/>
    <s v="octubre"/>
    <n v="1"/>
    <d v="2026-10-01T00:00:00"/>
    <n v="1006453393"/>
    <s v="ARIZA QUINTERO MAITE LILY"/>
    <n v="61"/>
    <n v="0"/>
    <n v="2984623"/>
  </r>
  <r>
    <s v="Franquicias Sell Out QUEST"/>
    <s v="FQ043 - Arauca - Arauca"/>
    <x v="6"/>
    <s v="octubre"/>
    <n v="1"/>
    <d v="2026-10-01T00:00:00"/>
    <n v="1116801557"/>
    <s v="PATRICIA MENDONZA  LEILA"/>
    <n v="61"/>
    <n v="0"/>
    <n v="3081098"/>
  </r>
  <r>
    <s v="Franquicias Sell Out QUEST"/>
    <s v="FQ043 - Arauca - Arauca"/>
    <x v="6"/>
    <s v="octubre"/>
    <n v="2"/>
    <d v="2026-10-02T00:00:00"/>
    <m/>
    <m/>
    <n v="0"/>
    <n v="12521858"/>
    <n v="0"/>
  </r>
  <r>
    <s v="Franquicias Sell Out QUEST"/>
    <s v="FQ043 - Arauca - Arauca"/>
    <x v="6"/>
    <s v="octubre"/>
    <n v="2"/>
    <d v="2026-10-02T00:00:00"/>
    <n v="1001807290"/>
    <s v="SALAS RICAURTE TANIA ISABEL"/>
    <n v="57"/>
    <n v="0"/>
    <n v="2997399"/>
  </r>
  <r>
    <s v="Franquicias Sell Out QUEST"/>
    <s v="FQ043 - Arauca - Arauca"/>
    <x v="6"/>
    <s v="octubre"/>
    <n v="2"/>
    <d v="2026-10-02T00:00:00"/>
    <n v="1006453393"/>
    <s v="ARIZA QUINTERO MAITE LILY"/>
    <n v="58"/>
    <n v="0"/>
    <n v="3062484"/>
  </r>
  <r>
    <s v="Franquicias Sell Out QUEST"/>
    <s v="FQ043 - Arauca - Arauca"/>
    <x v="6"/>
    <s v="octubre"/>
    <n v="2"/>
    <d v="2026-10-02T00:00:00"/>
    <n v="1116801557"/>
    <s v="PATRICIA MENDONZA  LEILA"/>
    <n v="61"/>
    <n v="0"/>
    <n v="3320760"/>
  </r>
  <r>
    <s v="Franquicias Sell Out QUEST"/>
    <s v="FQ043 - Arauca - Arauca"/>
    <x v="6"/>
    <s v="octubre"/>
    <n v="2"/>
    <d v="2026-10-02T00:00:00"/>
    <n v="11167925556"/>
    <s v="SOGAMOSO  CAREN ALEJANDRA"/>
    <n v="1"/>
    <n v="0"/>
    <n v="29370"/>
  </r>
  <r>
    <s v="Franquicias Sell Out QUEST"/>
    <s v="FQ043 - Arauca - Arauca"/>
    <x v="6"/>
    <s v="octubre"/>
    <n v="3"/>
    <d v="2026-10-03T00:00:00"/>
    <m/>
    <m/>
    <n v="0"/>
    <n v="11347021"/>
    <n v="0"/>
  </r>
  <r>
    <s v="Franquicias Sell Out QUEST"/>
    <s v="FQ043 - Arauca - Arauca"/>
    <x v="6"/>
    <s v="octubre"/>
    <n v="3"/>
    <d v="2026-10-03T00:00:00"/>
    <n v="1001807290"/>
    <s v="SALAS RICAURTE TANIA ISABEL"/>
    <n v="87"/>
    <n v="0"/>
    <n v="4483528"/>
  </r>
  <r>
    <s v="Franquicias Sell Out QUEST"/>
    <s v="FQ043 - Arauca - Arauca"/>
    <x v="6"/>
    <s v="octubre"/>
    <n v="3"/>
    <d v="2026-10-03T00:00:00"/>
    <n v="1006453393"/>
    <s v="ARIZA QUINTERO MAITE LILY"/>
    <n v="81"/>
    <n v="0"/>
    <n v="4429430"/>
  </r>
  <r>
    <s v="Franquicias Sell Out QUEST"/>
    <s v="FQ043 - Arauca - Arauca"/>
    <x v="6"/>
    <s v="octubre"/>
    <n v="3"/>
    <d v="2026-10-03T00:00:00"/>
    <n v="1116801557"/>
    <s v="PATRICIA MENDONZA  LEILA"/>
    <n v="80"/>
    <n v="0"/>
    <n v="4463570"/>
  </r>
  <r>
    <s v="Franquicias Sell Out QUEST"/>
    <s v="FQ043 - Arauca - Arauca"/>
    <x v="6"/>
    <s v="octubre"/>
    <n v="4"/>
    <d v="2026-10-04T00:00:00"/>
    <m/>
    <m/>
    <n v="0"/>
    <n v="7516814"/>
    <n v="0"/>
  </r>
  <r>
    <s v="Franquicias Sell Out QUEST"/>
    <s v="FQ043 - Arauca - Arauca"/>
    <x v="6"/>
    <s v="octubre"/>
    <n v="4"/>
    <d v="2026-10-04T00:00:00"/>
    <n v="1001807290"/>
    <s v="SALAS RICAURTE TANIA ISABEL"/>
    <n v="36"/>
    <n v="0"/>
    <n v="1836600"/>
  </r>
  <r>
    <s v="Franquicias Sell Out QUEST"/>
    <s v="FQ043 - Arauca - Arauca"/>
    <x v="6"/>
    <s v="octubre"/>
    <n v="4"/>
    <d v="2026-10-04T00:00:00"/>
    <n v="1006453393"/>
    <s v="ARIZA QUINTERO MAITE LILY"/>
    <n v="1"/>
    <n v="0"/>
    <n v="16723"/>
  </r>
  <r>
    <s v="Franquicias Sell Out QUEST"/>
    <s v="FQ043 - Arauca - Arauca"/>
    <x v="6"/>
    <s v="octubre"/>
    <n v="4"/>
    <d v="2026-10-04T00:00:00"/>
    <n v="1116801557"/>
    <s v="PATRICIA MENDONZA  LEILA"/>
    <n v="38"/>
    <n v="0"/>
    <n v="1924626"/>
  </r>
  <r>
    <s v="Franquicias Sell Out QUEST"/>
    <s v="FQ043 - Arauca - Arauca"/>
    <x v="6"/>
    <s v="octubre"/>
    <n v="5"/>
    <d v="2026-10-05T00:00:00"/>
    <m/>
    <m/>
    <n v="0"/>
    <n v="7291831"/>
    <n v="0"/>
  </r>
  <r>
    <s v="Franquicias Sell Out QUEST"/>
    <s v="FQ043 - Arauca - Arauca"/>
    <x v="6"/>
    <s v="octubre"/>
    <n v="5"/>
    <d v="2026-10-05T00:00:00"/>
    <n v="1001807290"/>
    <s v="SALAS RICAURTE TANIA ISABEL"/>
    <n v="53"/>
    <n v="0"/>
    <n v="3279037"/>
  </r>
  <r>
    <s v="Franquicias Sell Out QUEST"/>
    <s v="FQ043 - Arauca - Arauca"/>
    <x v="6"/>
    <s v="octubre"/>
    <n v="5"/>
    <d v="2026-10-05T00:00:00"/>
    <n v="1006453393"/>
    <s v="ARIZA QUINTERO MAITE LILY"/>
    <n v="0"/>
    <n v="0"/>
    <n v="0"/>
  </r>
  <r>
    <s v="Franquicias Sell Out QUEST"/>
    <s v="FQ043 - Arauca - Arauca"/>
    <x v="6"/>
    <s v="octubre"/>
    <n v="5"/>
    <d v="2026-10-05T00:00:00"/>
    <n v="1116801557"/>
    <s v="PATRICIA MENDONZA  LEILA"/>
    <n v="65"/>
    <n v="0"/>
    <n v="3780511"/>
  </r>
  <r>
    <s v="Franquicias Sell Out QUEST"/>
    <s v="FQ043 - Arauca - Arauca"/>
    <x v="6"/>
    <s v="octubre"/>
    <n v="6"/>
    <d v="2026-10-06T00:00:00"/>
    <m/>
    <m/>
    <n v="0"/>
    <n v="4387002"/>
    <n v="0"/>
  </r>
  <r>
    <s v="Franquicias Sell Out QUEST"/>
    <s v="FQ043 - Arauca - Arauca"/>
    <x v="6"/>
    <s v="octubre"/>
    <n v="6"/>
    <d v="2026-10-06T00:00:00"/>
    <n v="1001807290"/>
    <s v="SALAS RICAURTE TANIA ISABEL"/>
    <n v="29"/>
    <n v="0"/>
    <n v="1414707"/>
  </r>
  <r>
    <s v="Franquicias Sell Out QUEST"/>
    <s v="FQ043 - Arauca - Arauca"/>
    <x v="6"/>
    <s v="octubre"/>
    <n v="6"/>
    <d v="2026-10-06T00:00:00"/>
    <n v="1006453393"/>
    <s v="ARIZA QUINTERO MAITE LILY"/>
    <n v="2"/>
    <n v="0"/>
    <n v="134370"/>
  </r>
  <r>
    <s v="Franquicias Sell Out QUEST"/>
    <s v="FQ043 - Arauca - Arauca"/>
    <x v="6"/>
    <s v="octubre"/>
    <n v="6"/>
    <d v="2026-10-06T00:00:00"/>
    <n v="1116801557"/>
    <s v="PATRICIA MENDONZA  LEILA"/>
    <n v="31"/>
    <n v="0"/>
    <n v="1867158"/>
  </r>
  <r>
    <s v="Franquicias Sell Out QUEST"/>
    <s v="FQ043 - Arauca - Arauca"/>
    <x v="6"/>
    <s v="octubre"/>
    <n v="7"/>
    <d v="2026-10-07T00:00:00"/>
    <m/>
    <m/>
    <n v="0"/>
    <n v="4329528"/>
    <n v="0"/>
  </r>
  <r>
    <s v="Franquicias Sell Out QUEST"/>
    <s v="FQ043 - Arauca - Arauca"/>
    <x v="6"/>
    <s v="octubre"/>
    <n v="7"/>
    <d v="2026-10-07T00:00:00"/>
    <n v="1001807290"/>
    <s v="SALAS RICAURTE TANIA ISABEL"/>
    <n v="26"/>
    <n v="0"/>
    <n v="1435676"/>
  </r>
  <r>
    <s v="Franquicias Sell Out QUEST"/>
    <s v="FQ043 - Arauca - Arauca"/>
    <x v="6"/>
    <s v="octubre"/>
    <n v="7"/>
    <d v="2026-10-07T00:00:00"/>
    <n v="1006453393"/>
    <s v="ARIZA QUINTERO MAITE LILY"/>
    <n v="0"/>
    <n v="0"/>
    <n v="0"/>
  </r>
  <r>
    <s v="Franquicias Sell Out QUEST"/>
    <s v="FQ043 - Arauca - Arauca"/>
    <x v="6"/>
    <s v="octubre"/>
    <n v="7"/>
    <d v="2026-10-07T00:00:00"/>
    <n v="1116801557"/>
    <s v="PATRICIA MENDONZA  LEILA"/>
    <n v="24"/>
    <n v="0"/>
    <n v="1515717"/>
  </r>
  <r>
    <s v="Franquicias Sell Out QUEST"/>
    <s v="FQ046-San Jose del Guaviare - Guaviare"/>
    <x v="6"/>
    <s v="septiembre"/>
    <n v="23"/>
    <d v="2026-09-23T00:00:00"/>
    <m/>
    <m/>
    <n v="0"/>
    <n v="4918557"/>
    <n v="0"/>
  </r>
  <r>
    <s v="Franquicias Sell Out QUEST"/>
    <s v="FQ046-San Jose del Guaviare - Guaviare"/>
    <x v="6"/>
    <s v="septiembre"/>
    <n v="23"/>
    <d v="2026-09-23T00:00:00"/>
    <n v="80795021"/>
    <s v="BURGOS ROMERO EDWIN MIGUEL"/>
    <n v="127"/>
    <n v="0"/>
    <n v="6528258"/>
  </r>
  <r>
    <s v="Franquicias Sell Out QUEST"/>
    <s v="FQ046-San Jose del Guaviare - Guaviare"/>
    <x v="6"/>
    <s v="septiembre"/>
    <n v="24"/>
    <d v="2026-09-24T00:00:00"/>
    <m/>
    <m/>
    <n v="0"/>
    <n v="12720335"/>
    <n v="0"/>
  </r>
  <r>
    <s v="Franquicias Sell Out QUEST"/>
    <s v="FQ046-San Jose del Guaviare - Guaviare"/>
    <x v="6"/>
    <s v="septiembre"/>
    <n v="24"/>
    <d v="2026-09-24T00:00:00"/>
    <n v="80795021"/>
    <s v="BURGOS ROMERO EDWIN MIGUEL"/>
    <n v="208"/>
    <n v="0"/>
    <n v="11291742"/>
  </r>
  <r>
    <s v="Franquicias Sell Out QUEST"/>
    <s v="FQ046-San Jose del Guaviare - Guaviare"/>
    <x v="6"/>
    <s v="septiembre"/>
    <n v="25"/>
    <d v="2026-09-25T00:00:00"/>
    <m/>
    <m/>
    <n v="0"/>
    <n v="13586009"/>
    <n v="0"/>
  </r>
  <r>
    <s v="Franquicias Sell Out QUEST"/>
    <s v="FQ046-San Jose del Guaviare - Guaviare"/>
    <x v="6"/>
    <s v="septiembre"/>
    <n v="25"/>
    <d v="2026-09-25T00:00:00"/>
    <n v="80795021"/>
    <s v="BURGOS ROMERO EDWIN MIGUEL"/>
    <n v="242"/>
    <n v="0"/>
    <n v="12567605"/>
  </r>
  <r>
    <s v="Franquicias Sell Out QUEST"/>
    <s v="FQ046-San Jose del Guaviare - Guaviare"/>
    <x v="6"/>
    <s v="septiembre"/>
    <n v="26"/>
    <d v="2026-09-26T00:00:00"/>
    <m/>
    <m/>
    <n v="0"/>
    <n v="17131618"/>
    <n v="0"/>
  </r>
  <r>
    <s v="Franquicias Sell Out QUEST"/>
    <s v="FQ046-San Jose del Guaviare - Guaviare"/>
    <x v="6"/>
    <s v="septiembre"/>
    <n v="26"/>
    <d v="2026-09-26T00:00:00"/>
    <n v="80795021"/>
    <s v="BURGOS ROMERO EDWIN MIGUEL"/>
    <n v="258"/>
    <n v="0"/>
    <n v="12994598"/>
  </r>
  <r>
    <s v="Franquicias Sell Out QUEST"/>
    <s v="FQ046-San Jose del Guaviare - Guaviare"/>
    <x v="6"/>
    <s v="septiembre"/>
    <n v="27"/>
    <d v="2026-09-27T00:00:00"/>
    <m/>
    <m/>
    <n v="0"/>
    <n v="9045331"/>
    <n v="0"/>
  </r>
  <r>
    <s v="Franquicias Sell Out QUEST"/>
    <s v="FQ046-San Jose del Guaviare - Guaviare"/>
    <x v="6"/>
    <s v="septiembre"/>
    <n v="27"/>
    <d v="2026-09-27T00:00:00"/>
    <n v="80795021"/>
    <s v="BURGOS ROMERO EDWIN MIGUEL"/>
    <n v="125"/>
    <n v="0"/>
    <n v="6903837"/>
  </r>
  <r>
    <s v="Franquicias Sell Out QUEST"/>
    <s v="FQ046-San Jose del Guaviare - Guaviare"/>
    <x v="6"/>
    <s v="septiembre"/>
    <n v="28"/>
    <d v="2026-09-28T00:00:00"/>
    <m/>
    <m/>
    <n v="0"/>
    <n v="7416189"/>
    <n v="0"/>
  </r>
  <r>
    <s v="Franquicias Sell Out QUEST"/>
    <s v="FQ046-San Jose del Guaviare - Guaviare"/>
    <x v="6"/>
    <s v="septiembre"/>
    <n v="28"/>
    <d v="2026-09-28T00:00:00"/>
    <n v="80795021"/>
    <s v="BURGOS ROMERO EDWIN MIGUEL"/>
    <n v="123"/>
    <n v="0"/>
    <n v="6652162"/>
  </r>
  <r>
    <s v="Franquicias Sell Out QUEST"/>
    <s v="FQ046-San Jose del Guaviare - Guaviare"/>
    <x v="6"/>
    <s v="septiembre"/>
    <n v="29"/>
    <d v="2026-09-29T00:00:00"/>
    <m/>
    <m/>
    <n v="0"/>
    <n v="8244607"/>
    <n v="0"/>
  </r>
  <r>
    <s v="Franquicias Sell Out QUEST"/>
    <s v="FQ046-San Jose del Guaviare - Guaviare"/>
    <x v="6"/>
    <s v="septiembre"/>
    <n v="29"/>
    <d v="2026-09-29T00:00:00"/>
    <n v="80795021"/>
    <s v="BURGOS ROMERO EDWIN MIGUEL"/>
    <n v="102"/>
    <n v="0"/>
    <n v="5289316"/>
  </r>
  <r>
    <s v="Franquicias Sell Out QUEST"/>
    <s v="FQ046-San Jose del Guaviare - Guaviare"/>
    <x v="6"/>
    <s v="septiembre"/>
    <n v="30"/>
    <d v="2026-09-30T00:00:00"/>
    <m/>
    <m/>
    <n v="0"/>
    <n v="8731301"/>
    <n v="0"/>
  </r>
  <r>
    <s v="Franquicias Sell Out QUEST"/>
    <s v="FQ046-San Jose del Guaviare - Guaviare"/>
    <x v="6"/>
    <s v="septiembre"/>
    <n v="30"/>
    <d v="2026-09-30T00:00:00"/>
    <n v="80795021"/>
    <s v="BURGOS ROMERO EDWIN MIGUEL"/>
    <n v="134"/>
    <n v="0"/>
    <n v="7451173"/>
  </r>
  <r>
    <s v="Franquicias Sell Out QUEST"/>
    <s v="FQ046-San Jose del Guaviare - Guaviare"/>
    <x v="6"/>
    <s v="octubre"/>
    <n v="1"/>
    <d v="2026-10-01T00:00:00"/>
    <m/>
    <m/>
    <n v="0"/>
    <n v="8907582"/>
    <n v="0"/>
  </r>
  <r>
    <s v="Franquicias Sell Out QUEST"/>
    <s v="FQ046-San Jose del Guaviare - Guaviare"/>
    <x v="6"/>
    <s v="octubre"/>
    <n v="1"/>
    <d v="2026-10-01T00:00:00"/>
    <n v="80795021"/>
    <s v="BURGOS ROMERO EDWIN MIGUEL"/>
    <n v="144"/>
    <n v="0"/>
    <n v="7768810"/>
  </r>
  <r>
    <s v="Franquicias Sell Out QUEST"/>
    <s v="FQ046-San Jose del Guaviare - Guaviare"/>
    <x v="6"/>
    <s v="octubre"/>
    <n v="2"/>
    <d v="2026-10-02T00:00:00"/>
    <m/>
    <m/>
    <n v="0"/>
    <n v="7518262"/>
    <n v="0"/>
  </r>
  <r>
    <s v="Franquicias Sell Out QUEST"/>
    <s v="FQ046-San Jose del Guaviare - Guaviare"/>
    <x v="6"/>
    <s v="octubre"/>
    <n v="2"/>
    <d v="2026-10-02T00:00:00"/>
    <n v="80795021"/>
    <s v="BURGOS ROMERO EDWIN MIGUEL"/>
    <n v="168"/>
    <n v="0"/>
    <n v="9809680"/>
  </r>
  <r>
    <s v="Franquicias Sell Out QUEST"/>
    <s v="FQ046-San Jose del Guaviare - Guaviare"/>
    <x v="6"/>
    <s v="octubre"/>
    <n v="3"/>
    <d v="2026-10-03T00:00:00"/>
    <m/>
    <m/>
    <n v="0"/>
    <n v="9837579"/>
    <n v="0"/>
  </r>
  <r>
    <s v="Franquicias Sell Out QUEST"/>
    <s v="FQ046-San Jose del Guaviare - Guaviare"/>
    <x v="6"/>
    <s v="octubre"/>
    <n v="3"/>
    <d v="2026-10-03T00:00:00"/>
    <n v="80795021"/>
    <s v="BURGOS ROMERO EDWIN MIGUEL"/>
    <n v="131"/>
    <n v="0"/>
    <n v="6980459"/>
  </r>
  <r>
    <s v="Franquicias Sell Out QUEST"/>
    <s v="FQ046-San Jose del Guaviare - Guaviare"/>
    <x v="6"/>
    <s v="octubre"/>
    <n v="4"/>
    <d v="2026-10-04T00:00:00"/>
    <m/>
    <m/>
    <n v="0"/>
    <n v="5325916"/>
    <n v="0"/>
  </r>
  <r>
    <s v="Franquicias Sell Out QUEST"/>
    <s v="FQ046-San Jose del Guaviare - Guaviare"/>
    <x v="6"/>
    <s v="octubre"/>
    <n v="4"/>
    <d v="2026-10-04T00:00:00"/>
    <n v="80795021"/>
    <s v="BURGOS ROMERO EDWIN MIGUEL"/>
    <n v="67"/>
    <n v="0"/>
    <n v="3925449"/>
  </r>
  <r>
    <s v="Franquicias Sell Out QUEST"/>
    <s v="FQ046-San Jose del Guaviare - Guaviare"/>
    <x v="6"/>
    <s v="octubre"/>
    <n v="5"/>
    <d v="2026-10-05T00:00:00"/>
    <m/>
    <m/>
    <n v="0"/>
    <n v="3747227"/>
    <n v="0"/>
  </r>
  <r>
    <s v="Franquicias Sell Out QUEST"/>
    <s v="FQ046-San Jose del Guaviare - Guaviare"/>
    <x v="6"/>
    <s v="octubre"/>
    <n v="5"/>
    <d v="2026-10-05T00:00:00"/>
    <n v="80795021"/>
    <s v="BURGOS ROMERO EDWIN MIGUEL"/>
    <n v="109"/>
    <n v="0"/>
    <n v="6057629"/>
  </r>
  <r>
    <s v="Franquicias Sell Out QUEST"/>
    <s v="FQ046-San Jose del Guaviare - Guaviare"/>
    <x v="6"/>
    <s v="octubre"/>
    <n v="6"/>
    <d v="2026-10-06T00:00:00"/>
    <m/>
    <m/>
    <n v="0"/>
    <n v="6193522"/>
    <n v="0"/>
  </r>
  <r>
    <s v="Franquicias Sell Out QUEST"/>
    <s v="FQ046-San Jose del Guaviare - Guaviare"/>
    <x v="6"/>
    <s v="octubre"/>
    <n v="6"/>
    <d v="2026-10-06T00:00:00"/>
    <n v="80795021"/>
    <s v="BURGOS ROMERO EDWIN MIGUEL"/>
    <n v="60"/>
    <n v="0"/>
    <n v="3181797"/>
  </r>
  <r>
    <s v="Franquicias Sell Out QUEST"/>
    <s v="FQ046-San Jose del Guaviare - Guaviare"/>
    <x v="6"/>
    <s v="octubre"/>
    <n v="7"/>
    <d v="2026-10-07T00:00:00"/>
    <m/>
    <m/>
    <n v="0"/>
    <n v="5584042"/>
    <n v="0"/>
  </r>
  <r>
    <s v="Franquicias Sell Out QUEST"/>
    <s v="FQ046-San Jose del Guaviare - Guaviare"/>
    <x v="6"/>
    <s v="octubre"/>
    <n v="7"/>
    <d v="2026-10-07T00:00:00"/>
    <n v="80795021"/>
    <s v="BURGOS ROMERO EDWIN MIGUEL"/>
    <n v="53"/>
    <n v="0"/>
    <n v="3161419"/>
  </r>
  <r>
    <s v="Franquicias Sell Out QUEST"/>
    <s v="FQ055-Tame - Arauca"/>
    <x v="6"/>
    <s v="septiembre"/>
    <n v="23"/>
    <d v="2026-09-23T00:00:00"/>
    <m/>
    <m/>
    <n v="0"/>
    <n v="3424149"/>
    <n v="0"/>
  </r>
  <r>
    <s v="Franquicias Sell Out QUEST"/>
    <s v="FQ055-Tame - Arauca"/>
    <x v="6"/>
    <s v="septiembre"/>
    <n v="23"/>
    <d v="2026-09-23T00:00:00"/>
    <n v="1119181302"/>
    <s v="GARCIA SERRANO  YUSNEY"/>
    <n v="174"/>
    <n v="0"/>
    <n v="9704881"/>
  </r>
  <r>
    <s v="Franquicias Sell Out QUEST"/>
    <s v="FQ055-Tame - Arauca"/>
    <x v="6"/>
    <s v="septiembre"/>
    <n v="24"/>
    <d v="2026-09-24T00:00:00"/>
    <m/>
    <m/>
    <n v="0"/>
    <n v="8855516"/>
    <n v="0"/>
  </r>
  <r>
    <s v="Franquicias Sell Out QUEST"/>
    <s v="FQ055-Tame - Arauca"/>
    <x v="6"/>
    <s v="septiembre"/>
    <n v="24"/>
    <d v="2026-09-24T00:00:00"/>
    <n v="1119181302"/>
    <s v="GARCIA SERRANO  YUSNEY"/>
    <n v="168"/>
    <n v="0"/>
    <n v="8705177"/>
  </r>
  <r>
    <s v="Franquicias Sell Out QUEST"/>
    <s v="FQ055-Tame - Arauca"/>
    <x v="6"/>
    <s v="septiembre"/>
    <n v="25"/>
    <d v="2026-09-25T00:00:00"/>
    <m/>
    <m/>
    <n v="0"/>
    <n v="9458177"/>
    <n v="0"/>
  </r>
  <r>
    <s v="Franquicias Sell Out QUEST"/>
    <s v="FQ055-Tame - Arauca"/>
    <x v="6"/>
    <s v="septiembre"/>
    <n v="25"/>
    <d v="2026-09-25T00:00:00"/>
    <n v="1115721916"/>
    <s v="SARMIENTO BELLO SAYRA DANIELA"/>
    <n v="69"/>
    <n v="0"/>
    <n v="3522314"/>
  </r>
  <r>
    <s v="Franquicias Sell Out QUEST"/>
    <s v="FQ055-Tame - Arauca"/>
    <x v="6"/>
    <s v="septiembre"/>
    <n v="25"/>
    <d v="2026-09-25T00:00:00"/>
    <n v="1116868268"/>
    <s v="GOYENECHE  YOSELIN PAMELA"/>
    <n v="62"/>
    <n v="0"/>
    <n v="3476391"/>
  </r>
  <r>
    <s v="Franquicias Sell Out QUEST"/>
    <s v="FQ055-Tame - Arauca"/>
    <x v="6"/>
    <s v="septiembre"/>
    <n v="25"/>
    <d v="2026-09-25T00:00:00"/>
    <n v="1119181302"/>
    <s v="GARCIA SERRANO  YUSNEY"/>
    <n v="66"/>
    <n v="0"/>
    <n v="3182107"/>
  </r>
  <r>
    <s v="Franquicias Sell Out QUEST"/>
    <s v="FQ055-Tame - Arauca"/>
    <x v="6"/>
    <s v="septiembre"/>
    <n v="26"/>
    <d v="2026-09-26T00:00:00"/>
    <m/>
    <m/>
    <n v="0"/>
    <n v="11926517"/>
    <n v="0"/>
  </r>
  <r>
    <s v="Franquicias Sell Out QUEST"/>
    <s v="FQ055-Tame - Arauca"/>
    <x v="6"/>
    <s v="septiembre"/>
    <n v="26"/>
    <d v="2026-09-26T00:00:00"/>
    <n v="1115721916"/>
    <s v="SARMIENTO BELLO SAYRA DANIELA"/>
    <n v="87"/>
    <n v="0"/>
    <n v="4328070"/>
  </r>
  <r>
    <s v="Franquicias Sell Out QUEST"/>
    <s v="FQ055-Tame - Arauca"/>
    <x v="6"/>
    <s v="septiembre"/>
    <n v="26"/>
    <d v="2026-09-26T00:00:00"/>
    <n v="1116868268"/>
    <s v="GOYENECHE  YOSELIN PAMELA"/>
    <n v="111"/>
    <n v="0"/>
    <n v="5509711"/>
  </r>
  <r>
    <s v="Franquicias Sell Out QUEST"/>
    <s v="FQ055-Tame - Arauca"/>
    <x v="6"/>
    <s v="septiembre"/>
    <n v="26"/>
    <d v="2026-09-26T00:00:00"/>
    <n v="1119181302"/>
    <s v="GARCIA SERRANO  YUSNEY"/>
    <n v="109"/>
    <n v="0"/>
    <n v="5644458"/>
  </r>
  <r>
    <s v="Franquicias Sell Out QUEST"/>
    <s v="FQ055-Tame - Arauca"/>
    <x v="6"/>
    <s v="septiembre"/>
    <n v="27"/>
    <d v="2026-09-27T00:00:00"/>
    <m/>
    <m/>
    <n v="0"/>
    <n v="6297090"/>
    <n v="0"/>
  </r>
  <r>
    <s v="Franquicias Sell Out QUEST"/>
    <s v="FQ055-Tame - Arauca"/>
    <x v="6"/>
    <s v="septiembre"/>
    <n v="27"/>
    <d v="2026-09-27T00:00:00"/>
    <n v="1116868268"/>
    <s v="GOYENECHE  YOSELIN PAMELA"/>
    <n v="66"/>
    <n v="0"/>
    <n v="2946226"/>
  </r>
  <r>
    <s v="Franquicias Sell Out QUEST"/>
    <s v="FQ055-Tame - Arauca"/>
    <x v="6"/>
    <s v="septiembre"/>
    <n v="27"/>
    <d v="2026-09-27T00:00:00"/>
    <n v="1119181302"/>
    <s v="GARCIA SERRANO  YUSNEY"/>
    <n v="52"/>
    <n v="0"/>
    <n v="2598450"/>
  </r>
  <r>
    <s v="Franquicias Sell Out QUEST"/>
    <s v="FQ055-Tame - Arauca"/>
    <x v="6"/>
    <s v="septiembre"/>
    <n v="28"/>
    <d v="2026-09-28T00:00:00"/>
    <m/>
    <m/>
    <n v="0"/>
    <n v="5162931"/>
    <n v="0"/>
  </r>
  <r>
    <s v="Franquicias Sell Out QUEST"/>
    <s v="FQ055-Tame - Arauca"/>
    <x v="6"/>
    <s v="septiembre"/>
    <n v="28"/>
    <d v="2026-09-28T00:00:00"/>
    <n v="1115721916"/>
    <s v="SARMIENTO BELLO SAYRA DANIELA"/>
    <n v="32"/>
    <n v="0"/>
    <n v="1544748"/>
  </r>
  <r>
    <s v="Franquicias Sell Out QUEST"/>
    <s v="FQ055-Tame - Arauca"/>
    <x v="6"/>
    <s v="septiembre"/>
    <n v="28"/>
    <d v="2026-09-28T00:00:00"/>
    <n v="1116868268"/>
    <s v="GOYENECHE  YOSELIN PAMELA"/>
    <n v="36"/>
    <n v="0"/>
    <n v="1729497"/>
  </r>
  <r>
    <s v="Franquicias Sell Out QUEST"/>
    <s v="FQ055-Tame - Arauca"/>
    <x v="6"/>
    <s v="septiembre"/>
    <n v="28"/>
    <d v="2026-09-28T00:00:00"/>
    <n v="1119181302"/>
    <s v="GARCIA SERRANO  YUSNEY"/>
    <n v="41"/>
    <n v="0"/>
    <n v="1962521"/>
  </r>
  <r>
    <s v="Franquicias Sell Out QUEST"/>
    <s v="FQ055-Tame - Arauca"/>
    <x v="6"/>
    <s v="septiembre"/>
    <n v="29"/>
    <d v="2026-09-29T00:00:00"/>
    <m/>
    <m/>
    <n v="0"/>
    <n v="5739649"/>
    <n v="0"/>
  </r>
  <r>
    <s v="Franquicias Sell Out QUEST"/>
    <s v="FQ055-Tame - Arauca"/>
    <x v="6"/>
    <s v="septiembre"/>
    <n v="29"/>
    <d v="2026-09-29T00:00:00"/>
    <n v="1115721916"/>
    <s v="SARMIENTO BELLO SAYRA DANIELA"/>
    <n v="36"/>
    <n v="0"/>
    <n v="1924833"/>
  </r>
  <r>
    <s v="Franquicias Sell Out QUEST"/>
    <s v="FQ055-Tame - Arauca"/>
    <x v="6"/>
    <s v="septiembre"/>
    <n v="29"/>
    <d v="2026-09-29T00:00:00"/>
    <n v="1116868268"/>
    <s v="GOYENECHE  YOSELIN PAMELA"/>
    <n v="42"/>
    <n v="0"/>
    <n v="2048195"/>
  </r>
  <r>
    <s v="Franquicias Sell Out QUEST"/>
    <s v="FQ055-Tame - Arauca"/>
    <x v="6"/>
    <s v="septiembre"/>
    <n v="29"/>
    <d v="2026-09-29T00:00:00"/>
    <n v="1119181302"/>
    <s v="GARCIA SERRANO  YUSNEY"/>
    <n v="34"/>
    <n v="0"/>
    <n v="1630757"/>
  </r>
  <r>
    <s v="Franquicias Sell Out QUEST"/>
    <s v="FQ055-Tame - Arauca"/>
    <x v="6"/>
    <s v="septiembre"/>
    <n v="30"/>
    <d v="2026-09-30T00:00:00"/>
    <m/>
    <m/>
    <n v="0"/>
    <n v="6078472"/>
    <n v="0"/>
  </r>
  <r>
    <s v="Franquicias Sell Out QUEST"/>
    <s v="FQ055-Tame - Arauca"/>
    <x v="6"/>
    <s v="septiembre"/>
    <n v="30"/>
    <d v="2026-09-30T00:00:00"/>
    <n v="1115721916"/>
    <s v="SARMIENTO BELLO SAYRA DANIELA"/>
    <n v="53"/>
    <n v="0"/>
    <n v="2749284"/>
  </r>
  <r>
    <s v="Franquicias Sell Out QUEST"/>
    <s v="FQ055-Tame - Arauca"/>
    <x v="6"/>
    <s v="septiembre"/>
    <n v="30"/>
    <d v="2026-09-30T00:00:00"/>
    <n v="1116868268"/>
    <s v="GOYENECHE  YOSELIN PAMELA"/>
    <n v="36"/>
    <n v="0"/>
    <n v="1599036"/>
  </r>
  <r>
    <s v="Franquicias Sell Out QUEST"/>
    <s v="FQ055-Tame - Arauca"/>
    <x v="6"/>
    <s v="septiembre"/>
    <n v="30"/>
    <d v="2026-09-30T00:00:00"/>
    <n v="1119181302"/>
    <s v="GARCIA SERRANO  YUSNEY"/>
    <n v="64"/>
    <n v="0"/>
    <n v="2845801"/>
  </r>
  <r>
    <s v="Franquicias Sell Out QUEST"/>
    <s v="FQ055-Tame - Arauca"/>
    <x v="6"/>
    <s v="octubre"/>
    <n v="1"/>
    <d v="2026-10-01T00:00:00"/>
    <m/>
    <m/>
    <n v="0"/>
    <n v="5374201"/>
    <n v="0"/>
  </r>
  <r>
    <s v="Franquicias Sell Out QUEST"/>
    <s v="FQ055-Tame - Arauca"/>
    <x v="6"/>
    <s v="octubre"/>
    <n v="1"/>
    <d v="2026-10-01T00:00:00"/>
    <n v="1115721916"/>
    <s v="SARMIENTO BELLO SAYRA DANIELA"/>
    <n v="35"/>
    <n v="0"/>
    <n v="1687397"/>
  </r>
  <r>
    <s v="Franquicias Sell Out QUEST"/>
    <s v="FQ055-Tame - Arauca"/>
    <x v="6"/>
    <s v="octubre"/>
    <n v="1"/>
    <d v="2026-10-01T00:00:00"/>
    <n v="1116868268"/>
    <s v="GOYENECHE  YOSELIN PAMELA"/>
    <n v="33"/>
    <n v="0"/>
    <n v="2099285"/>
  </r>
  <r>
    <s v="Franquicias Sell Out QUEST"/>
    <s v="FQ055-Tame - Arauca"/>
    <x v="6"/>
    <s v="octubre"/>
    <n v="1"/>
    <d v="2026-10-01T00:00:00"/>
    <n v="1119181302"/>
    <s v="GARCIA SERRANO  YUSNEY"/>
    <n v="37"/>
    <n v="0"/>
    <n v="1809246"/>
  </r>
  <r>
    <s v="Franquicias Sell Out QUEST"/>
    <s v="FQ055-Tame - Arauca"/>
    <x v="6"/>
    <s v="octubre"/>
    <n v="2"/>
    <d v="2026-10-02T00:00:00"/>
    <m/>
    <m/>
    <n v="0"/>
    <n v="6579913"/>
    <n v="0"/>
  </r>
  <r>
    <s v="Franquicias Sell Out QUEST"/>
    <s v="FQ055-Tame - Arauca"/>
    <x v="6"/>
    <s v="octubre"/>
    <n v="2"/>
    <d v="2026-10-02T00:00:00"/>
    <n v="1115721916"/>
    <s v="SARMIENTO BELLO SAYRA DANIELA"/>
    <n v="49"/>
    <n v="0"/>
    <n v="2257899"/>
  </r>
  <r>
    <s v="Franquicias Sell Out QUEST"/>
    <s v="FQ055-Tame - Arauca"/>
    <x v="6"/>
    <s v="octubre"/>
    <n v="2"/>
    <d v="2026-10-02T00:00:00"/>
    <n v="1116868268"/>
    <s v="GOYENECHE  YOSELIN PAMELA"/>
    <n v="31"/>
    <n v="0"/>
    <n v="1574245"/>
  </r>
  <r>
    <s v="Franquicias Sell Out QUEST"/>
    <s v="FQ055-Tame - Arauca"/>
    <x v="6"/>
    <s v="octubre"/>
    <n v="2"/>
    <d v="2026-10-02T00:00:00"/>
    <n v="1119181302"/>
    <s v="GARCIA SERRANO  YUSNEY"/>
    <n v="45"/>
    <n v="0"/>
    <n v="2020804"/>
  </r>
  <r>
    <s v="Franquicias Sell Out QUEST"/>
    <s v="FQ055-Tame - Arauca"/>
    <x v="6"/>
    <s v="octubre"/>
    <n v="3"/>
    <d v="2026-10-03T00:00:00"/>
    <m/>
    <m/>
    <n v="0"/>
    <n v="6213832"/>
    <n v="0"/>
  </r>
  <r>
    <s v="Franquicias Sell Out QUEST"/>
    <s v="FQ055-Tame - Arauca"/>
    <x v="6"/>
    <s v="octubre"/>
    <n v="3"/>
    <d v="2026-10-03T00:00:00"/>
    <n v="1115721916"/>
    <s v="SARMIENTO BELLO SAYRA DANIELA"/>
    <n v="43"/>
    <n v="0"/>
    <n v="2115479"/>
  </r>
  <r>
    <s v="Franquicias Sell Out QUEST"/>
    <s v="FQ055-Tame - Arauca"/>
    <x v="6"/>
    <s v="octubre"/>
    <n v="3"/>
    <d v="2026-10-03T00:00:00"/>
    <n v="1116868268"/>
    <s v="GOYENECHE  YOSELIN PAMELA"/>
    <n v="44"/>
    <n v="0"/>
    <n v="2305849"/>
  </r>
  <r>
    <s v="Franquicias Sell Out QUEST"/>
    <s v="FQ055-Tame - Arauca"/>
    <x v="6"/>
    <s v="octubre"/>
    <n v="3"/>
    <d v="2026-10-03T00:00:00"/>
    <n v="1119181302"/>
    <s v="GARCIA SERRANO  YUSNEY"/>
    <n v="51"/>
    <n v="0"/>
    <n v="2428825"/>
  </r>
  <r>
    <s v="Franquicias Sell Out QUEST"/>
    <s v="FQ055-Tame - Arauca"/>
    <x v="6"/>
    <s v="octubre"/>
    <n v="4"/>
    <d v="2026-10-04T00:00:00"/>
    <m/>
    <m/>
    <n v="0"/>
    <n v="5147582"/>
    <n v="0"/>
  </r>
  <r>
    <s v="Franquicias Sell Out QUEST"/>
    <s v="FQ055-Tame - Arauca"/>
    <x v="6"/>
    <s v="octubre"/>
    <n v="4"/>
    <d v="2026-10-04T00:00:00"/>
    <n v="1115721916"/>
    <s v="SARMIENTO BELLO SAYRA DANIELA"/>
    <n v="44"/>
    <n v="0"/>
    <n v="2100762"/>
  </r>
  <r>
    <s v="Franquicias Sell Out QUEST"/>
    <s v="FQ055-Tame - Arauca"/>
    <x v="6"/>
    <s v="octubre"/>
    <n v="4"/>
    <d v="2026-10-04T00:00:00"/>
    <n v="1116868268"/>
    <s v="GOYENECHE  YOSELIN PAMELA"/>
    <n v="6"/>
    <n v="0"/>
    <n v="314831"/>
  </r>
  <r>
    <s v="Franquicias Sell Out QUEST"/>
    <s v="FQ055-Tame - Arauca"/>
    <x v="6"/>
    <s v="octubre"/>
    <n v="4"/>
    <d v="2026-10-04T00:00:00"/>
    <n v="1119181302"/>
    <s v="GARCIA SERRANO  YUSNEY"/>
    <n v="54"/>
    <n v="0"/>
    <n v="2520592"/>
  </r>
  <r>
    <s v="Franquicias Sell Out QUEST"/>
    <s v="FQ055-Tame - Arauca"/>
    <x v="6"/>
    <s v="octubre"/>
    <n v="5"/>
    <d v="2026-10-05T00:00:00"/>
    <m/>
    <m/>
    <n v="0"/>
    <n v="3090384"/>
    <n v="0"/>
  </r>
  <r>
    <s v="Franquicias Sell Out QUEST"/>
    <s v="FQ055-Tame - Arauca"/>
    <x v="6"/>
    <s v="octubre"/>
    <n v="5"/>
    <d v="2026-10-05T00:00:00"/>
    <n v="1115721916"/>
    <s v="SARMIENTO BELLO SAYRA DANIELA"/>
    <n v="26"/>
    <n v="0"/>
    <n v="1477817"/>
  </r>
  <r>
    <s v="Franquicias Sell Out QUEST"/>
    <s v="FQ055-Tame - Arauca"/>
    <x v="6"/>
    <s v="octubre"/>
    <n v="5"/>
    <d v="2026-10-05T00:00:00"/>
    <n v="1116868268"/>
    <s v="GOYENECHE  YOSELIN PAMELA"/>
    <n v="30"/>
    <n v="0"/>
    <n v="1536553"/>
  </r>
  <r>
    <s v="Franquicias Sell Out QUEST"/>
    <s v="FQ055-Tame - Arauca"/>
    <x v="6"/>
    <s v="octubre"/>
    <n v="5"/>
    <d v="2026-10-05T00:00:00"/>
    <n v="1119181302"/>
    <s v="GARCIA SERRANO  YUSNEY"/>
    <n v="38"/>
    <n v="0"/>
    <n v="1783655"/>
  </r>
  <r>
    <s v="Franquicias Sell Out QUEST"/>
    <s v="FQ055-Tame - Arauca"/>
    <x v="6"/>
    <s v="octubre"/>
    <n v="6"/>
    <d v="2026-10-06T00:00:00"/>
    <m/>
    <m/>
    <n v="0"/>
    <n v="2193694"/>
    <n v="0"/>
  </r>
  <r>
    <s v="Franquicias Sell Out QUEST"/>
    <s v="FQ055-Tame - Arauca"/>
    <x v="6"/>
    <s v="octubre"/>
    <n v="6"/>
    <d v="2026-10-06T00:00:00"/>
    <n v="1115721916"/>
    <s v="SARMIENTO BELLO SAYRA DANIELA"/>
    <n v="22"/>
    <n v="0"/>
    <n v="1269144"/>
  </r>
  <r>
    <s v="Franquicias Sell Out QUEST"/>
    <s v="FQ055-Tame - Arauca"/>
    <x v="6"/>
    <s v="octubre"/>
    <n v="6"/>
    <d v="2026-10-06T00:00:00"/>
    <n v="1116868268"/>
    <s v="GOYENECHE  YOSELIN PAMELA"/>
    <n v="27"/>
    <n v="0"/>
    <n v="1406219"/>
  </r>
  <r>
    <s v="Franquicias Sell Out QUEST"/>
    <s v="FQ055-Tame - Arauca"/>
    <x v="6"/>
    <s v="octubre"/>
    <n v="6"/>
    <d v="2026-10-06T00:00:00"/>
    <n v="1119181302"/>
    <s v="GARCIA SERRANO  YUSNEY"/>
    <n v="11"/>
    <n v="0"/>
    <n v="570881"/>
  </r>
  <r>
    <s v="Franquicias Sell Out QUEST"/>
    <s v="FQ055-Tame - Arauca"/>
    <x v="6"/>
    <s v="octubre"/>
    <n v="7"/>
    <d v="2026-10-07T00:00:00"/>
    <m/>
    <m/>
    <n v="0"/>
    <n v="2706494"/>
    <n v="0"/>
  </r>
  <r>
    <s v="Franquicias Sell Out QUEST"/>
    <s v="FQ055-Tame - Arauca"/>
    <x v="6"/>
    <s v="octubre"/>
    <n v="7"/>
    <d v="2026-10-07T00:00:00"/>
    <n v="1116868268"/>
    <s v="GOYENECHE  YOSELIN PAMELA"/>
    <n v="47"/>
    <n v="0"/>
    <n v="1942903"/>
  </r>
  <r>
    <s v="Franquicias Sell Out QUEST"/>
    <s v="FQ055-Tame - Arauca"/>
    <x v="6"/>
    <s v="octubre"/>
    <n v="7"/>
    <d v="2026-10-07T00:00:00"/>
    <n v="1119181302"/>
    <s v="GARCIA SERRANO  YUSNEY"/>
    <n v="40"/>
    <n v="0"/>
    <n v="2113490"/>
  </r>
  <r>
    <s v="Franquicias Sell Out QUEST"/>
    <s v="FQ058-Villavicencio - Meta"/>
    <x v="6"/>
    <s v="septiembre"/>
    <n v="23"/>
    <d v="2026-09-23T00:00:00"/>
    <m/>
    <m/>
    <n v="0"/>
    <n v="3657254"/>
    <n v="0"/>
  </r>
  <r>
    <s v="Franquicias Sell Out QUEST"/>
    <s v="FQ058-Villavicencio - Meta"/>
    <x v="6"/>
    <s v="septiembre"/>
    <n v="23"/>
    <d v="2026-09-23T00:00:00"/>
    <n v="1120375006"/>
    <s v="RÍOS  GERAL"/>
    <n v="11"/>
    <n v="0"/>
    <n v="545757"/>
  </r>
  <r>
    <s v="Franquicias Sell Out QUEST"/>
    <s v="FQ058-Villavicencio - Meta"/>
    <x v="6"/>
    <s v="septiembre"/>
    <n v="23"/>
    <d v="2026-09-23T00:00:00"/>
    <n v="1121835267"/>
    <s v="RODRIGUEZ  MILENA"/>
    <n v="44"/>
    <n v="0"/>
    <n v="2386808"/>
  </r>
  <r>
    <s v="Franquicias Sell Out QUEST"/>
    <s v="FQ058-Villavicencio - Meta"/>
    <x v="6"/>
    <s v="septiembre"/>
    <n v="23"/>
    <d v="2026-09-23T00:00:00"/>
    <n v="1122506891"/>
    <s v="HERNANDEZ ARIAS RICHARD STEVEN"/>
    <n v="27"/>
    <n v="0"/>
    <n v="1414835"/>
  </r>
  <r>
    <s v="Franquicias Sell Out QUEST"/>
    <s v="FQ058-Villavicencio - Meta"/>
    <x v="6"/>
    <s v="septiembre"/>
    <n v="23"/>
    <d v="2026-09-23T00:00:00"/>
    <n v="1123561438"/>
    <s v="HERNÁNDEZ  JHOJAN"/>
    <n v="10"/>
    <n v="0"/>
    <n v="465967"/>
  </r>
  <r>
    <s v="Franquicias Sell Out QUEST"/>
    <s v="FQ058-Villavicencio - Meta"/>
    <x v="6"/>
    <s v="septiembre"/>
    <n v="24"/>
    <d v="2026-09-24T00:00:00"/>
    <m/>
    <m/>
    <n v="0"/>
    <n v="9458361"/>
    <n v="0"/>
  </r>
  <r>
    <s v="Franquicias Sell Out QUEST"/>
    <s v="FQ058-Villavicencio - Meta"/>
    <x v="6"/>
    <s v="septiembre"/>
    <n v="24"/>
    <d v="2026-09-24T00:00:00"/>
    <n v="93368493"/>
    <s v="SERNA  JUAN CARLOS"/>
    <n v="-1"/>
    <n v="0"/>
    <n v="-100756"/>
  </r>
  <r>
    <s v="Franquicias Sell Out QUEST"/>
    <s v="FQ058-Villavicencio - Meta"/>
    <x v="6"/>
    <s v="septiembre"/>
    <n v="24"/>
    <d v="2026-09-24T00:00:00"/>
    <n v="1120375006"/>
    <s v="RÍOS  GERAL"/>
    <n v="43"/>
    <n v="0"/>
    <n v="2460380"/>
  </r>
  <r>
    <s v="Franquicias Sell Out QUEST"/>
    <s v="FQ058-Villavicencio - Meta"/>
    <x v="6"/>
    <s v="septiembre"/>
    <n v="24"/>
    <d v="2026-09-24T00:00:00"/>
    <n v="1121835267"/>
    <s v="RODRIGUEZ  MILENA"/>
    <n v="61"/>
    <n v="0"/>
    <n v="3106726"/>
  </r>
  <r>
    <s v="Franquicias Sell Out QUEST"/>
    <s v="FQ058-Villavicencio - Meta"/>
    <x v="6"/>
    <s v="septiembre"/>
    <n v="24"/>
    <d v="2026-09-24T00:00:00"/>
    <n v="1121869736"/>
    <s v="BARBOSA  GISELLA"/>
    <n v="1"/>
    <n v="0"/>
    <n v="105000"/>
  </r>
  <r>
    <s v="Franquicias Sell Out QUEST"/>
    <s v="FQ058-Villavicencio - Meta"/>
    <x v="6"/>
    <s v="septiembre"/>
    <n v="24"/>
    <d v="2026-09-24T00:00:00"/>
    <n v="1123561438"/>
    <s v="HERNÁNDEZ  JHOJAN"/>
    <n v="37"/>
    <n v="0"/>
    <n v="2380799"/>
  </r>
  <r>
    <s v="Franquicias Sell Out QUEST"/>
    <s v="FQ058-Villavicencio - Meta"/>
    <x v="6"/>
    <s v="septiembre"/>
    <n v="25"/>
    <d v="2026-09-25T00:00:00"/>
    <m/>
    <m/>
    <n v="0"/>
    <n v="10102045"/>
    <n v="0"/>
  </r>
  <r>
    <s v="Franquicias Sell Out QUEST"/>
    <s v="FQ058-Villavicencio - Meta"/>
    <x v="6"/>
    <s v="septiembre"/>
    <n v="25"/>
    <d v="2026-09-25T00:00:00"/>
    <n v="1120375006"/>
    <s v="RÍOS  GERAL"/>
    <n v="38"/>
    <n v="0"/>
    <n v="2298827"/>
  </r>
  <r>
    <s v="Franquicias Sell Out QUEST"/>
    <s v="FQ058-Villavicencio - Meta"/>
    <x v="6"/>
    <s v="septiembre"/>
    <n v="25"/>
    <d v="2026-09-25T00:00:00"/>
    <n v="1121835267"/>
    <s v="RODRIGUEZ  MILENA"/>
    <n v="46"/>
    <n v="0"/>
    <n v="2619918"/>
  </r>
  <r>
    <s v="Franquicias Sell Out QUEST"/>
    <s v="FQ058-Villavicencio - Meta"/>
    <x v="6"/>
    <s v="septiembre"/>
    <n v="25"/>
    <d v="2026-09-25T00:00:00"/>
    <n v="1121869736"/>
    <s v="BARBOSA  GISELLA"/>
    <n v="3"/>
    <n v="0"/>
    <n v="155336"/>
  </r>
  <r>
    <s v="Franquicias Sell Out QUEST"/>
    <s v="FQ058-Villavicencio - Meta"/>
    <x v="6"/>
    <s v="septiembre"/>
    <n v="25"/>
    <d v="2026-09-25T00:00:00"/>
    <n v="1122506891"/>
    <s v="HERNANDEZ ARIAS RICHARD STEVEN"/>
    <n v="23"/>
    <n v="0"/>
    <n v="1339370"/>
  </r>
  <r>
    <s v="Franquicias Sell Out QUEST"/>
    <s v="FQ058-Villavicencio - Meta"/>
    <x v="6"/>
    <s v="septiembre"/>
    <n v="25"/>
    <d v="2026-09-25T00:00:00"/>
    <n v="1123561438"/>
    <s v="HERNÁNDEZ  JHOJAN"/>
    <n v="43"/>
    <n v="0"/>
    <n v="2609542"/>
  </r>
  <r>
    <s v="Franquicias Sell Out QUEST"/>
    <s v="FQ058-Villavicencio - Meta"/>
    <x v="6"/>
    <s v="septiembre"/>
    <n v="26"/>
    <d v="2026-09-26T00:00:00"/>
    <m/>
    <m/>
    <n v="0"/>
    <n v="12738420"/>
    <n v="0"/>
  </r>
  <r>
    <s v="Franquicias Sell Out QUEST"/>
    <s v="FQ058-Villavicencio - Meta"/>
    <x v="6"/>
    <s v="septiembre"/>
    <n v="26"/>
    <d v="2026-09-26T00:00:00"/>
    <n v="1120375006"/>
    <s v="RÍOS  GERAL"/>
    <n v="32"/>
    <n v="0"/>
    <n v="1683531"/>
  </r>
  <r>
    <s v="Franquicias Sell Out QUEST"/>
    <s v="FQ058-Villavicencio - Meta"/>
    <x v="6"/>
    <s v="septiembre"/>
    <n v="26"/>
    <d v="2026-09-26T00:00:00"/>
    <n v="1121835267"/>
    <s v="RODRIGUEZ  MILENA"/>
    <n v="55"/>
    <n v="0"/>
    <n v="3195170"/>
  </r>
  <r>
    <s v="Franquicias Sell Out QUEST"/>
    <s v="FQ058-Villavicencio - Meta"/>
    <x v="6"/>
    <s v="septiembre"/>
    <n v="26"/>
    <d v="2026-09-26T00:00:00"/>
    <n v="1121869736"/>
    <s v="BARBOSA  GISELLA"/>
    <n v="11"/>
    <n v="0"/>
    <n v="692817"/>
  </r>
  <r>
    <s v="Franquicias Sell Out QUEST"/>
    <s v="FQ058-Villavicencio - Meta"/>
    <x v="6"/>
    <s v="septiembre"/>
    <n v="26"/>
    <d v="2026-09-26T00:00:00"/>
    <n v="1122506891"/>
    <s v="HERNANDEZ ARIAS RICHARD STEVEN"/>
    <n v="56"/>
    <n v="0"/>
    <n v="3033407"/>
  </r>
  <r>
    <s v="Franquicias Sell Out QUEST"/>
    <s v="FQ058-Villavicencio - Meta"/>
    <x v="6"/>
    <s v="septiembre"/>
    <n v="26"/>
    <d v="2026-09-26T00:00:00"/>
    <n v="1123561438"/>
    <s v="HERNÁNDEZ  JHOJAN"/>
    <n v="37"/>
    <n v="0"/>
    <n v="2046767"/>
  </r>
  <r>
    <s v="Franquicias Sell Out QUEST"/>
    <s v="FQ058-Villavicencio - Meta"/>
    <x v="6"/>
    <s v="septiembre"/>
    <n v="27"/>
    <d v="2026-09-27T00:00:00"/>
    <m/>
    <m/>
    <n v="0"/>
    <n v="6725765"/>
    <n v="0"/>
  </r>
  <r>
    <s v="Franquicias Sell Out QUEST"/>
    <s v="FQ058-Villavicencio - Meta"/>
    <x v="6"/>
    <s v="septiembre"/>
    <n v="27"/>
    <d v="2026-09-27T00:00:00"/>
    <n v="1120375006"/>
    <s v="RÍOS  GERAL"/>
    <n v="23"/>
    <n v="0"/>
    <n v="1028448"/>
  </r>
  <r>
    <s v="Franquicias Sell Out QUEST"/>
    <s v="FQ058-Villavicencio - Meta"/>
    <x v="6"/>
    <s v="septiembre"/>
    <n v="27"/>
    <d v="2026-09-27T00:00:00"/>
    <n v="1121869736"/>
    <s v="BARBOSA  GISELLA"/>
    <n v="8"/>
    <n v="0"/>
    <n v="499664"/>
  </r>
  <r>
    <s v="Franquicias Sell Out QUEST"/>
    <s v="FQ058-Villavicencio - Meta"/>
    <x v="6"/>
    <s v="septiembre"/>
    <n v="27"/>
    <d v="2026-09-27T00:00:00"/>
    <n v="1122506891"/>
    <s v="HERNANDEZ ARIAS RICHARD STEVEN"/>
    <n v="24"/>
    <n v="0"/>
    <n v="1482187"/>
  </r>
  <r>
    <s v="Franquicias Sell Out QUEST"/>
    <s v="FQ058-Villavicencio - Meta"/>
    <x v="6"/>
    <s v="septiembre"/>
    <n v="27"/>
    <d v="2026-09-27T00:00:00"/>
    <n v="1123561438"/>
    <s v="HERNÁNDEZ  JHOJAN"/>
    <n v="28"/>
    <n v="0"/>
    <n v="1736220"/>
  </r>
  <r>
    <s v="Franquicias Sell Out QUEST"/>
    <s v="FQ058-Villavicencio - Meta"/>
    <x v="6"/>
    <s v="septiembre"/>
    <n v="28"/>
    <d v="2026-09-28T00:00:00"/>
    <m/>
    <m/>
    <n v="0"/>
    <n v="5514394"/>
    <n v="0"/>
  </r>
  <r>
    <s v="Franquicias Sell Out QUEST"/>
    <s v="FQ058-Villavicencio - Meta"/>
    <x v="6"/>
    <s v="septiembre"/>
    <n v="28"/>
    <d v="2026-09-28T00:00:00"/>
    <n v="1120375006"/>
    <s v="RÍOS  GERAL"/>
    <n v="12"/>
    <n v="0"/>
    <n v="654959"/>
  </r>
  <r>
    <s v="Franquicias Sell Out QUEST"/>
    <s v="FQ058-Villavicencio - Meta"/>
    <x v="6"/>
    <s v="septiembre"/>
    <n v="28"/>
    <d v="2026-09-28T00:00:00"/>
    <n v="1121835267"/>
    <s v="RODRIGUEZ  MILENA"/>
    <n v="24"/>
    <n v="0"/>
    <n v="1211178"/>
  </r>
  <r>
    <s v="Franquicias Sell Out QUEST"/>
    <s v="FQ058-Villavicencio - Meta"/>
    <x v="6"/>
    <s v="septiembre"/>
    <n v="28"/>
    <d v="2026-09-28T00:00:00"/>
    <n v="1121869736"/>
    <s v="BARBOSA  GISELLA"/>
    <n v="7"/>
    <n v="0"/>
    <n v="382060"/>
  </r>
  <r>
    <s v="Franquicias Sell Out QUEST"/>
    <s v="FQ058-Villavicencio - Meta"/>
    <x v="6"/>
    <s v="septiembre"/>
    <n v="28"/>
    <d v="2026-09-28T00:00:00"/>
    <n v="1122506891"/>
    <s v="HERNANDEZ ARIAS RICHARD STEVEN"/>
    <n v="26"/>
    <n v="0"/>
    <n v="1643867"/>
  </r>
  <r>
    <s v="Franquicias Sell Out QUEST"/>
    <s v="FQ058-Villavicencio - Meta"/>
    <x v="6"/>
    <s v="septiembre"/>
    <n v="28"/>
    <d v="2026-09-28T00:00:00"/>
    <n v="1123561438"/>
    <s v="HERNÁNDEZ  JHOJAN"/>
    <n v="20"/>
    <n v="0"/>
    <n v="1347900"/>
  </r>
  <r>
    <s v="Franquicias Sell Out QUEST"/>
    <s v="FQ058-Villavicencio - Meta"/>
    <x v="6"/>
    <s v="septiembre"/>
    <n v="29"/>
    <d v="2026-09-29T00:00:00"/>
    <m/>
    <m/>
    <n v="0"/>
    <n v="6130379"/>
    <n v="0"/>
  </r>
  <r>
    <s v="Franquicias Sell Out QUEST"/>
    <s v="FQ058-Villavicencio - Meta"/>
    <x v="6"/>
    <s v="septiembre"/>
    <n v="29"/>
    <d v="2026-09-29T00:00:00"/>
    <n v="1120375006"/>
    <s v="RÍOS  GERAL"/>
    <n v="19"/>
    <n v="0"/>
    <n v="1139959"/>
  </r>
  <r>
    <s v="Franquicias Sell Out QUEST"/>
    <s v="FQ058-Villavicencio - Meta"/>
    <x v="6"/>
    <s v="septiembre"/>
    <n v="29"/>
    <d v="2026-09-29T00:00:00"/>
    <n v="1121835267"/>
    <s v="RODRIGUEZ  MILENA"/>
    <n v="33"/>
    <n v="0"/>
    <n v="1855714"/>
  </r>
  <r>
    <s v="Franquicias Sell Out QUEST"/>
    <s v="FQ058-Villavicencio - Meta"/>
    <x v="6"/>
    <s v="septiembre"/>
    <n v="29"/>
    <d v="2026-09-29T00:00:00"/>
    <n v="1121869736"/>
    <s v="BARBOSA  GISELLA"/>
    <n v="2"/>
    <n v="0"/>
    <n v="138572"/>
  </r>
  <r>
    <s v="Franquicias Sell Out QUEST"/>
    <s v="FQ058-Villavicencio - Meta"/>
    <x v="6"/>
    <s v="septiembre"/>
    <n v="29"/>
    <d v="2026-09-29T00:00:00"/>
    <n v="1122506891"/>
    <s v="HERNANDEZ ARIAS RICHARD STEVEN"/>
    <n v="-1"/>
    <n v="0"/>
    <n v="-58781"/>
  </r>
  <r>
    <s v="Franquicias Sell Out QUEST"/>
    <s v="FQ058-Villavicencio - Meta"/>
    <x v="6"/>
    <s v="septiembre"/>
    <n v="29"/>
    <d v="2026-09-29T00:00:00"/>
    <n v="1123561438"/>
    <s v="HERNÁNDEZ  JHOJAN"/>
    <n v="19"/>
    <n v="0"/>
    <n v="1158867"/>
  </r>
  <r>
    <s v="Franquicias Sell Out QUEST"/>
    <s v="FQ058-Villavicencio - Meta"/>
    <x v="6"/>
    <s v="septiembre"/>
    <n v="30"/>
    <d v="2026-09-30T00:00:00"/>
    <m/>
    <m/>
    <n v="0"/>
    <n v="6492267"/>
    <n v="0"/>
  </r>
  <r>
    <s v="Franquicias Sell Out QUEST"/>
    <s v="FQ058-Villavicencio - Meta"/>
    <x v="6"/>
    <s v="septiembre"/>
    <n v="30"/>
    <d v="2026-09-30T00:00:00"/>
    <n v="1120375006"/>
    <s v="RÍOS  GERAL"/>
    <n v="76"/>
    <n v="0"/>
    <n v="4255091"/>
  </r>
  <r>
    <s v="Franquicias Sell Out QUEST"/>
    <s v="FQ058-Villavicencio - Meta"/>
    <x v="6"/>
    <s v="septiembre"/>
    <n v="30"/>
    <d v="2026-09-30T00:00:00"/>
    <n v="1121869736"/>
    <s v="BARBOSA  GISELLA"/>
    <n v="1"/>
    <n v="0"/>
    <n v="92395"/>
  </r>
  <r>
    <s v="Franquicias Sell Out QUEST"/>
    <s v="FQ058-Villavicencio - Meta"/>
    <x v="6"/>
    <s v="septiembre"/>
    <n v="30"/>
    <d v="2026-09-30T00:00:00"/>
    <n v="1122506891"/>
    <s v="HERNANDEZ ARIAS RICHARD STEVEN"/>
    <n v="42"/>
    <n v="0"/>
    <n v="2464582"/>
  </r>
  <r>
    <s v="Franquicias Sell Out QUEST"/>
    <s v="FQ058-Villavicencio - Meta"/>
    <x v="6"/>
    <s v="septiembre"/>
    <n v="30"/>
    <d v="2026-09-30T00:00:00"/>
    <n v="1123561438"/>
    <s v="HERNÁNDEZ  JHOJAN"/>
    <n v="30"/>
    <n v="0"/>
    <n v="1631052"/>
  </r>
  <r>
    <s v="Franquicias Sell Out QUEST"/>
    <s v="FQ058-Villavicencio - Meta"/>
    <x v="6"/>
    <s v="octubre"/>
    <n v="1"/>
    <d v="2026-10-01T00:00:00"/>
    <m/>
    <m/>
    <n v="0"/>
    <n v="9088589"/>
    <n v="0"/>
  </r>
  <r>
    <s v="Franquicias Sell Out QUEST"/>
    <s v="FQ058-Villavicencio - Meta"/>
    <x v="6"/>
    <s v="octubre"/>
    <n v="1"/>
    <d v="2026-10-01T00:00:00"/>
    <n v="1120375006"/>
    <s v="RÍOS  GERAL"/>
    <n v="29"/>
    <n v="0"/>
    <n v="1425258"/>
  </r>
  <r>
    <s v="Franquicias Sell Out QUEST"/>
    <s v="FQ058-Villavicencio - Meta"/>
    <x v="6"/>
    <s v="octubre"/>
    <n v="1"/>
    <d v="2026-10-01T00:00:00"/>
    <n v="1121835267"/>
    <s v="RODRIGUEZ  MILENA"/>
    <n v="29"/>
    <n v="0"/>
    <n v="1717229"/>
  </r>
  <r>
    <s v="Franquicias Sell Out QUEST"/>
    <s v="FQ058-Villavicencio - Meta"/>
    <x v="6"/>
    <s v="octubre"/>
    <n v="1"/>
    <d v="2026-10-01T00:00:00"/>
    <n v="1122506891"/>
    <s v="HERNANDEZ ARIAS RICHARD STEVEN"/>
    <n v="41"/>
    <n v="0"/>
    <n v="1962481"/>
  </r>
  <r>
    <s v="Franquicias Sell Out QUEST"/>
    <s v="FQ058-Villavicencio - Meta"/>
    <x v="6"/>
    <s v="octubre"/>
    <n v="1"/>
    <d v="2026-10-01T00:00:00"/>
    <n v="1123561438"/>
    <s v="HERNÁNDEZ  JHOJAN"/>
    <n v="31"/>
    <n v="0"/>
    <n v="1931474"/>
  </r>
  <r>
    <s v="Franquicias Sell Out QUEST"/>
    <s v="FQ058-Villavicencio - Meta"/>
    <x v="6"/>
    <s v="octubre"/>
    <n v="2"/>
    <d v="2026-10-02T00:00:00"/>
    <m/>
    <m/>
    <n v="0"/>
    <n v="7211989"/>
    <n v="0"/>
  </r>
  <r>
    <s v="Franquicias Sell Out QUEST"/>
    <s v="FQ058-Villavicencio - Meta"/>
    <x v="6"/>
    <s v="octubre"/>
    <n v="2"/>
    <d v="2026-10-02T00:00:00"/>
    <n v="1120375006"/>
    <s v="RÍOS  GERAL"/>
    <n v="27"/>
    <n v="0"/>
    <n v="1528280"/>
  </r>
  <r>
    <s v="Franquicias Sell Out QUEST"/>
    <s v="FQ058-Villavicencio - Meta"/>
    <x v="6"/>
    <s v="octubre"/>
    <n v="2"/>
    <d v="2026-10-02T00:00:00"/>
    <n v="1121835267"/>
    <s v="RODRIGUEZ  MILENA"/>
    <n v="44"/>
    <n v="0"/>
    <n v="2619833"/>
  </r>
  <r>
    <s v="Franquicias Sell Out QUEST"/>
    <s v="FQ058-Villavicencio - Meta"/>
    <x v="6"/>
    <s v="octubre"/>
    <n v="2"/>
    <d v="2026-10-02T00:00:00"/>
    <n v="1121869736"/>
    <s v="BARBOSA  GISELLA"/>
    <n v="-1"/>
    <n v="0"/>
    <n v="-54580"/>
  </r>
  <r>
    <s v="Franquicias Sell Out QUEST"/>
    <s v="FQ058-Villavicencio - Meta"/>
    <x v="6"/>
    <s v="octubre"/>
    <n v="2"/>
    <d v="2026-10-02T00:00:00"/>
    <n v="1122506891"/>
    <s v="HERNANDEZ ARIAS RICHARD STEVEN"/>
    <n v="40"/>
    <n v="0"/>
    <n v="2359670"/>
  </r>
  <r>
    <s v="Franquicias Sell Out QUEST"/>
    <s v="FQ058-Villavicencio - Meta"/>
    <x v="6"/>
    <s v="octubre"/>
    <n v="2"/>
    <d v="2026-10-02T00:00:00"/>
    <n v="1123561438"/>
    <s v="HERNÁNDEZ  JHOJAN"/>
    <n v="41"/>
    <n v="0"/>
    <n v="2134752"/>
  </r>
  <r>
    <s v="Franquicias Sell Out QUEST"/>
    <s v="FQ058-Villavicencio - Meta"/>
    <x v="6"/>
    <s v="octubre"/>
    <n v="3"/>
    <d v="2026-10-03T00:00:00"/>
    <m/>
    <m/>
    <n v="0"/>
    <n v="11389891"/>
    <n v="0"/>
  </r>
  <r>
    <s v="Franquicias Sell Out QUEST"/>
    <s v="FQ058-Villavicencio - Meta"/>
    <x v="6"/>
    <s v="octubre"/>
    <n v="3"/>
    <d v="2026-10-03T00:00:00"/>
    <n v="1120375006"/>
    <s v="RÍOS  GERAL"/>
    <n v="27"/>
    <n v="0"/>
    <n v="1346818"/>
  </r>
  <r>
    <s v="Franquicias Sell Out QUEST"/>
    <s v="FQ058-Villavicencio - Meta"/>
    <x v="6"/>
    <s v="octubre"/>
    <n v="3"/>
    <d v="2026-10-03T00:00:00"/>
    <n v="1121835267"/>
    <s v="RODRIGUEZ  MILENA"/>
    <n v="44"/>
    <n v="0"/>
    <n v="2600656"/>
  </r>
  <r>
    <s v="Franquicias Sell Out QUEST"/>
    <s v="FQ058-Villavicencio - Meta"/>
    <x v="6"/>
    <s v="octubre"/>
    <n v="3"/>
    <d v="2026-10-03T00:00:00"/>
    <n v="1121869736"/>
    <s v="BARBOSA  GISELLA"/>
    <n v="-1"/>
    <n v="0"/>
    <n v="-54580"/>
  </r>
  <r>
    <s v="Franquicias Sell Out QUEST"/>
    <s v="FQ058-Villavicencio - Meta"/>
    <x v="6"/>
    <s v="octubre"/>
    <n v="3"/>
    <d v="2026-10-03T00:00:00"/>
    <n v="1122506891"/>
    <s v="HERNANDEZ ARIAS RICHARD STEVEN"/>
    <n v="51"/>
    <n v="0"/>
    <n v="2353852"/>
  </r>
  <r>
    <s v="Franquicias Sell Out QUEST"/>
    <s v="FQ058-Villavicencio - Meta"/>
    <x v="6"/>
    <s v="octubre"/>
    <n v="3"/>
    <d v="2026-10-03T00:00:00"/>
    <n v="1123561438"/>
    <s v="HERNÁNDEZ  JHOJAN"/>
    <n v="46"/>
    <n v="0"/>
    <n v="2159442"/>
  </r>
  <r>
    <s v="Franquicias Sell Out QUEST"/>
    <s v="FQ058-Villavicencio - Meta"/>
    <x v="6"/>
    <s v="octubre"/>
    <n v="4"/>
    <d v="2026-10-04T00:00:00"/>
    <m/>
    <m/>
    <n v="0"/>
    <n v="6214925"/>
    <n v="0"/>
  </r>
  <r>
    <s v="Franquicias Sell Out QUEST"/>
    <s v="FQ058-Villavicencio - Meta"/>
    <x v="6"/>
    <s v="octubre"/>
    <n v="4"/>
    <d v="2026-10-04T00:00:00"/>
    <n v="1120375006"/>
    <s v="RÍOS  GERAL"/>
    <n v="41"/>
    <n v="0"/>
    <n v="2521308"/>
  </r>
  <r>
    <s v="Franquicias Sell Out QUEST"/>
    <s v="FQ058-Villavicencio - Meta"/>
    <x v="6"/>
    <s v="octubre"/>
    <n v="4"/>
    <d v="2026-10-04T00:00:00"/>
    <n v="1121835267"/>
    <s v="RODRIGUEZ  MILENA"/>
    <n v="50"/>
    <n v="0"/>
    <n v="2930627"/>
  </r>
  <r>
    <s v="Franquicias Sell Out QUEST"/>
    <s v="FQ058-Villavicencio - Meta"/>
    <x v="6"/>
    <s v="octubre"/>
    <n v="4"/>
    <d v="2026-10-04T00:00:00"/>
    <n v="1122506891"/>
    <s v="HERNANDEZ ARIAS RICHARD STEVEN"/>
    <n v="-2"/>
    <n v="0"/>
    <n v="-105807"/>
  </r>
  <r>
    <s v="Franquicias Sell Out QUEST"/>
    <s v="FQ058-Villavicencio - Meta"/>
    <x v="6"/>
    <s v="octubre"/>
    <n v="4"/>
    <d v="2026-10-04T00:00:00"/>
    <n v="1123561438"/>
    <s v="HERNÁNDEZ  JHOJAN"/>
    <n v="32"/>
    <n v="0"/>
    <n v="1681431"/>
  </r>
  <r>
    <s v="Franquicias Sell Out QUEST"/>
    <s v="FQ058-Villavicencio - Meta"/>
    <x v="6"/>
    <s v="octubre"/>
    <n v="5"/>
    <d v="2026-10-05T00:00:00"/>
    <m/>
    <m/>
    <n v="0"/>
    <n v="7399860"/>
    <n v="0"/>
  </r>
  <r>
    <s v="Franquicias Sell Out QUEST"/>
    <s v="FQ058-Villavicencio - Meta"/>
    <x v="6"/>
    <s v="octubre"/>
    <n v="5"/>
    <d v="2026-10-05T00:00:00"/>
    <n v="1120375006"/>
    <s v="RÍOS  GERAL"/>
    <n v="19"/>
    <n v="0"/>
    <n v="1211388"/>
  </r>
  <r>
    <s v="Franquicias Sell Out QUEST"/>
    <s v="FQ058-Villavicencio - Meta"/>
    <x v="6"/>
    <s v="octubre"/>
    <n v="5"/>
    <d v="2026-10-05T00:00:00"/>
    <n v="1121835267"/>
    <s v="RODRIGUEZ  MILENA"/>
    <n v="-2"/>
    <n v="0"/>
    <n v="-125966"/>
  </r>
  <r>
    <s v="Franquicias Sell Out QUEST"/>
    <s v="FQ058-Villavicencio - Meta"/>
    <x v="6"/>
    <s v="octubre"/>
    <n v="5"/>
    <d v="2026-10-05T00:00:00"/>
    <n v="1122506891"/>
    <s v="HERNANDEZ ARIAS RICHARD STEVEN"/>
    <n v="33"/>
    <n v="0"/>
    <n v="2065801"/>
  </r>
  <r>
    <s v="Franquicias Sell Out QUEST"/>
    <s v="FQ058-Villavicencio - Meta"/>
    <x v="6"/>
    <s v="octubre"/>
    <n v="5"/>
    <d v="2026-10-05T00:00:00"/>
    <n v="1123561438"/>
    <s v="HERNÁNDEZ  JHOJAN"/>
    <n v="44"/>
    <n v="0"/>
    <n v="2422481"/>
  </r>
  <r>
    <s v="Franquicias Sell Out QUEST"/>
    <s v="FQ058-Villavicencio - Meta"/>
    <x v="6"/>
    <s v="octubre"/>
    <n v="6"/>
    <d v="2026-10-06T00:00:00"/>
    <m/>
    <m/>
    <n v="0"/>
    <n v="6766110"/>
    <n v="0"/>
  </r>
  <r>
    <s v="Franquicias Sell Out QUEST"/>
    <s v="FQ058-Villavicencio - Meta"/>
    <x v="6"/>
    <s v="octubre"/>
    <n v="6"/>
    <d v="2026-10-06T00:00:00"/>
    <n v="1120375006"/>
    <s v="RÍOS  GERAL"/>
    <n v="8"/>
    <n v="0"/>
    <n v="451345"/>
  </r>
  <r>
    <s v="Franquicias Sell Out QUEST"/>
    <s v="FQ058-Villavicencio - Meta"/>
    <x v="6"/>
    <s v="octubre"/>
    <n v="6"/>
    <d v="2026-10-06T00:00:00"/>
    <n v="1121835267"/>
    <s v="RODRIGUEZ  MILENA"/>
    <n v="18"/>
    <n v="0"/>
    <n v="1009707"/>
  </r>
  <r>
    <s v="Franquicias Sell Out QUEST"/>
    <s v="FQ058-Villavicencio - Meta"/>
    <x v="6"/>
    <s v="octubre"/>
    <n v="6"/>
    <d v="2026-10-06T00:00:00"/>
    <n v="1122506891"/>
    <s v="HERNANDEZ ARIAS RICHARD STEVEN"/>
    <n v="17"/>
    <n v="0"/>
    <n v="1058110"/>
  </r>
  <r>
    <s v="Franquicias Sell Out QUEST"/>
    <s v="FQ058-Villavicencio - Meta"/>
    <x v="6"/>
    <s v="octubre"/>
    <n v="6"/>
    <d v="2026-10-06T00:00:00"/>
    <n v="1123561438"/>
    <s v="HERNÁNDEZ  JHOJAN"/>
    <n v="18"/>
    <n v="0"/>
    <n v="1077017"/>
  </r>
  <r>
    <s v="Franquicias Sell Out QUEST"/>
    <s v="FQ058-Villavicencio - Meta"/>
    <x v="6"/>
    <s v="octubre"/>
    <n v="7"/>
    <d v="2026-10-07T00:00:00"/>
    <m/>
    <m/>
    <n v="0"/>
    <n v="4648000"/>
    <n v="0"/>
  </r>
  <r>
    <s v="Franquicias Sell Out QUEST"/>
    <s v="FQ058-Villavicencio - Meta"/>
    <x v="6"/>
    <s v="octubre"/>
    <n v="7"/>
    <d v="2026-10-07T00:00:00"/>
    <n v="1120375006"/>
    <s v="RÍOS  GERAL"/>
    <n v="4"/>
    <n v="0"/>
    <n v="260336"/>
  </r>
  <r>
    <s v="Franquicias Sell Out QUEST"/>
    <s v="FQ058-Villavicencio - Meta"/>
    <x v="6"/>
    <s v="octubre"/>
    <n v="7"/>
    <d v="2026-10-07T00:00:00"/>
    <n v="1121835267"/>
    <s v="RODRIGUEZ  MILENA"/>
    <n v="17"/>
    <n v="0"/>
    <n v="1079118"/>
  </r>
  <r>
    <s v="Franquicias Sell Out QUEST"/>
    <s v="FQ058-Villavicencio - Meta"/>
    <x v="6"/>
    <s v="octubre"/>
    <n v="7"/>
    <d v="2026-10-07T00:00:00"/>
    <n v="1122506891"/>
    <s v="HERNANDEZ ARIAS RICHARD STEVEN"/>
    <n v="10"/>
    <n v="0"/>
    <n v="577311"/>
  </r>
  <r>
    <s v="Franquicias Sell Out QUEST"/>
    <s v="FQ058-Villavicencio - Meta"/>
    <x v="6"/>
    <s v="octubre"/>
    <n v="7"/>
    <d v="2026-10-07T00:00:00"/>
    <n v="1123561438"/>
    <s v="HERNÁNDEZ  JHOJAN"/>
    <n v="23"/>
    <n v="0"/>
    <n v="1188109"/>
  </r>
  <r>
    <s v="Franquicias Sell Out QUEST"/>
    <s v="FQ064-Puerto Boyaca-Boyaca"/>
    <x v="6"/>
    <s v="septiembre"/>
    <n v="23"/>
    <d v="2026-09-23T00:00:00"/>
    <m/>
    <m/>
    <n v="0"/>
    <n v="1989980"/>
    <n v="0"/>
  </r>
  <r>
    <s v="Franquicias Sell Out QUEST"/>
    <s v="FQ064-Puerto Boyaca-Boyaca"/>
    <x v="6"/>
    <s v="septiembre"/>
    <n v="23"/>
    <d v="2026-09-23T00:00:00"/>
    <n v="1000295252"/>
    <s v="OSORIO RUIZ VALENTINA"/>
    <n v="5"/>
    <n v="0"/>
    <n v="155294"/>
  </r>
  <r>
    <s v="Franquicias Sell Out QUEST"/>
    <s v="FQ064-Puerto Boyaca-Boyaca"/>
    <x v="6"/>
    <s v="septiembre"/>
    <n v="23"/>
    <d v="2026-09-23T00:00:00"/>
    <n v="1056769138"/>
    <s v="GUTIÉRREZ SALINAS KARINA"/>
    <n v="46"/>
    <n v="0"/>
    <n v="2224917"/>
  </r>
  <r>
    <s v="Franquicias Sell Out QUEST"/>
    <s v="FQ064-Puerto Boyaca-Boyaca"/>
    <x v="6"/>
    <s v="septiembre"/>
    <n v="23"/>
    <d v="2026-09-23T00:00:00"/>
    <n v="1056777427"/>
    <s v="TRUJILLO ECHEVERRY YENNY PATRICIA"/>
    <n v="37"/>
    <n v="0"/>
    <n v="1872394"/>
  </r>
  <r>
    <s v="Franquicias Sell Out QUEST"/>
    <s v="FQ064-Puerto Boyaca-Boyaca"/>
    <x v="6"/>
    <s v="septiembre"/>
    <n v="24"/>
    <d v="2026-09-24T00:00:00"/>
    <m/>
    <m/>
    <n v="0"/>
    <n v="5146473"/>
    <n v="0"/>
  </r>
  <r>
    <s v="Franquicias Sell Out QUEST"/>
    <s v="FQ064-Puerto Boyaca-Boyaca"/>
    <x v="6"/>
    <s v="septiembre"/>
    <n v="24"/>
    <d v="2026-09-24T00:00:00"/>
    <n v="1000295252"/>
    <s v="OSORIO RUIZ VALENTINA"/>
    <n v="2"/>
    <n v="0"/>
    <n v="67144"/>
  </r>
  <r>
    <s v="Franquicias Sell Out QUEST"/>
    <s v="FQ064-Puerto Boyaca-Boyaca"/>
    <x v="6"/>
    <s v="septiembre"/>
    <n v="24"/>
    <d v="2026-09-24T00:00:00"/>
    <n v="1056769138"/>
    <s v="GUTIÉRREZ SALINAS KARINA"/>
    <n v="16"/>
    <n v="0"/>
    <n v="986683"/>
  </r>
  <r>
    <s v="Franquicias Sell Out QUEST"/>
    <s v="FQ064-Puerto Boyaca-Boyaca"/>
    <x v="6"/>
    <s v="septiembre"/>
    <n v="24"/>
    <d v="2026-09-24T00:00:00"/>
    <n v="1056777427"/>
    <s v="TRUJILLO ECHEVERRY YENNY PATRICIA"/>
    <n v="50"/>
    <n v="0"/>
    <n v="2726892"/>
  </r>
  <r>
    <s v="Franquicias Sell Out QUEST"/>
    <s v="FQ064-Puerto Boyaca-Boyaca"/>
    <x v="6"/>
    <s v="septiembre"/>
    <n v="25"/>
    <d v="2026-09-25T00:00:00"/>
    <m/>
    <m/>
    <n v="0"/>
    <n v="5496711"/>
    <n v="0"/>
  </r>
  <r>
    <s v="Franquicias Sell Out QUEST"/>
    <s v="FQ064-Puerto Boyaca-Boyaca"/>
    <x v="6"/>
    <s v="septiembre"/>
    <n v="25"/>
    <d v="2026-09-25T00:00:00"/>
    <n v="1000295252"/>
    <s v="OSORIO RUIZ VALENTINA"/>
    <n v="5"/>
    <n v="0"/>
    <n v="247690"/>
  </r>
  <r>
    <s v="Franquicias Sell Out QUEST"/>
    <s v="FQ064-Puerto Boyaca-Boyaca"/>
    <x v="6"/>
    <s v="septiembre"/>
    <n v="25"/>
    <d v="2026-09-25T00:00:00"/>
    <n v="1056769138"/>
    <s v="GUTIÉRREZ SALINAS KARINA"/>
    <n v="24"/>
    <n v="0"/>
    <n v="1246889"/>
  </r>
  <r>
    <s v="Franquicias Sell Out QUEST"/>
    <s v="FQ064-Puerto Boyaca-Boyaca"/>
    <x v="6"/>
    <s v="septiembre"/>
    <n v="25"/>
    <d v="2026-09-25T00:00:00"/>
    <n v="1056777427"/>
    <s v="TRUJILLO ECHEVERRY YENNY PATRICIA"/>
    <n v="17"/>
    <n v="0"/>
    <n v="1068615"/>
  </r>
  <r>
    <s v="Franquicias Sell Out QUEST"/>
    <s v="FQ064-Puerto Boyaca-Boyaca"/>
    <x v="6"/>
    <s v="septiembre"/>
    <n v="26"/>
    <d v="2026-09-26T00:00:00"/>
    <m/>
    <m/>
    <n v="0"/>
    <n v="6931216"/>
    <n v="0"/>
  </r>
  <r>
    <s v="Franquicias Sell Out QUEST"/>
    <s v="FQ064-Puerto Boyaca-Boyaca"/>
    <x v="6"/>
    <s v="septiembre"/>
    <n v="26"/>
    <d v="2026-09-26T00:00:00"/>
    <n v="1000295252"/>
    <s v="OSORIO RUIZ VALENTINA"/>
    <n v="12"/>
    <n v="0"/>
    <n v="604454"/>
  </r>
  <r>
    <s v="Franquicias Sell Out QUEST"/>
    <s v="FQ064-Puerto Boyaca-Boyaca"/>
    <x v="6"/>
    <s v="septiembre"/>
    <n v="26"/>
    <d v="2026-09-26T00:00:00"/>
    <n v="1056769138"/>
    <s v="GUTIÉRREZ SALINAS KARINA"/>
    <n v="53"/>
    <n v="0"/>
    <n v="2381932"/>
  </r>
  <r>
    <s v="Franquicias Sell Out QUEST"/>
    <s v="FQ064-Puerto Boyaca-Boyaca"/>
    <x v="6"/>
    <s v="septiembre"/>
    <n v="26"/>
    <d v="2026-09-26T00:00:00"/>
    <n v="1056777427"/>
    <s v="TRUJILLO ECHEVERRY YENNY PATRICIA"/>
    <n v="42"/>
    <n v="0"/>
    <n v="2239706"/>
  </r>
  <r>
    <s v="Franquicias Sell Out QUEST"/>
    <s v="FQ064-Puerto Boyaca-Boyaca"/>
    <x v="6"/>
    <s v="septiembre"/>
    <n v="27"/>
    <d v="2026-09-27T00:00:00"/>
    <m/>
    <m/>
    <n v="0"/>
    <n v="3659616"/>
    <n v="0"/>
  </r>
  <r>
    <s v="Franquicias Sell Out QUEST"/>
    <s v="FQ064-Puerto Boyaca-Boyaca"/>
    <x v="6"/>
    <s v="septiembre"/>
    <n v="27"/>
    <d v="2026-09-27T00:00:00"/>
    <n v="1000295252"/>
    <s v="OSORIO RUIZ VALENTINA"/>
    <n v="35"/>
    <n v="0"/>
    <n v="1914288"/>
  </r>
  <r>
    <s v="Franquicias Sell Out QUEST"/>
    <s v="FQ064-Puerto Boyaca-Boyaca"/>
    <x v="6"/>
    <s v="septiembre"/>
    <n v="28"/>
    <d v="2026-09-28T00:00:00"/>
    <m/>
    <m/>
    <n v="0"/>
    <n v="3000488"/>
    <n v="0"/>
  </r>
  <r>
    <s v="Franquicias Sell Out QUEST"/>
    <s v="FQ064-Puerto Boyaca-Boyaca"/>
    <x v="6"/>
    <s v="septiembre"/>
    <n v="28"/>
    <d v="2026-09-28T00:00:00"/>
    <n v="1056769138"/>
    <s v="GUTIÉRREZ SALINAS KARINA"/>
    <n v="49"/>
    <n v="0"/>
    <n v="2253744"/>
  </r>
  <r>
    <s v="Franquicias Sell Out QUEST"/>
    <s v="FQ064-Puerto Boyaca-Boyaca"/>
    <x v="6"/>
    <s v="septiembre"/>
    <n v="29"/>
    <d v="2026-09-29T00:00:00"/>
    <m/>
    <m/>
    <n v="0"/>
    <n v="3335654"/>
    <n v="0"/>
  </r>
  <r>
    <s v="Franquicias Sell Out QUEST"/>
    <s v="FQ064-Puerto Boyaca-Boyaca"/>
    <x v="6"/>
    <s v="septiembre"/>
    <n v="29"/>
    <d v="2026-09-29T00:00:00"/>
    <n v="1000295252"/>
    <s v="OSORIO RUIZ VALENTINA"/>
    <n v="4"/>
    <n v="0"/>
    <n v="268614"/>
  </r>
  <r>
    <s v="Franquicias Sell Out QUEST"/>
    <s v="FQ064-Puerto Boyaca-Boyaca"/>
    <x v="6"/>
    <s v="septiembre"/>
    <n v="29"/>
    <d v="2026-09-29T00:00:00"/>
    <n v="1056769138"/>
    <s v="GUTIÉRREZ SALINAS KARINA"/>
    <n v="57"/>
    <n v="0"/>
    <n v="2686264"/>
  </r>
  <r>
    <s v="Franquicias Sell Out QUEST"/>
    <s v="FQ064-Puerto Boyaca-Boyaca"/>
    <x v="6"/>
    <s v="septiembre"/>
    <n v="29"/>
    <d v="2026-09-29T00:00:00"/>
    <n v="1056777427"/>
    <s v="TRUJILLO ECHEVERRY YENNY PATRICIA"/>
    <n v="1"/>
    <n v="0"/>
    <n v="4118"/>
  </r>
  <r>
    <s v="Franquicias Sell Out QUEST"/>
    <s v="FQ064-Puerto Boyaca-Boyaca"/>
    <x v="6"/>
    <s v="septiembre"/>
    <n v="30"/>
    <d v="2026-09-30T00:00:00"/>
    <m/>
    <m/>
    <n v="0"/>
    <n v="3532562"/>
    <n v="0"/>
  </r>
  <r>
    <s v="Franquicias Sell Out QUEST"/>
    <s v="FQ064-Puerto Boyaca-Boyaca"/>
    <x v="6"/>
    <s v="septiembre"/>
    <n v="30"/>
    <d v="2026-09-30T00:00:00"/>
    <n v="1000295252"/>
    <s v="OSORIO RUIZ VALENTINA"/>
    <n v="3"/>
    <n v="0"/>
    <n v="256176"/>
  </r>
  <r>
    <s v="Franquicias Sell Out QUEST"/>
    <s v="FQ064-Puerto Boyaca-Boyaca"/>
    <x v="6"/>
    <s v="septiembre"/>
    <n v="30"/>
    <d v="2026-09-30T00:00:00"/>
    <n v="1056769138"/>
    <s v="GUTIÉRREZ SALINAS KARINA"/>
    <n v="43"/>
    <n v="0"/>
    <n v="2147019"/>
  </r>
  <r>
    <s v="Franquicias Sell Out QUEST"/>
    <s v="FQ064-Puerto Boyaca-Boyaca"/>
    <x v="6"/>
    <s v="septiembre"/>
    <n v="30"/>
    <d v="2026-09-30T00:00:00"/>
    <n v="1056777427"/>
    <s v="TRUJILLO ECHEVERRY YENNY PATRICIA"/>
    <n v="3"/>
    <n v="0"/>
    <n v="-293"/>
  </r>
  <r>
    <s v="Franquicias Sell Out QUEST"/>
    <s v="FQ064-Puerto Boyaca-Boyaca"/>
    <x v="6"/>
    <s v="octubre"/>
    <n v="1"/>
    <d v="2026-10-01T00:00:00"/>
    <m/>
    <m/>
    <n v="0"/>
    <n v="4166343"/>
    <n v="0"/>
  </r>
  <r>
    <s v="Franquicias Sell Out QUEST"/>
    <s v="FQ064-Puerto Boyaca-Boyaca"/>
    <x v="6"/>
    <s v="octubre"/>
    <n v="1"/>
    <d v="2026-10-01T00:00:00"/>
    <n v="1000295252"/>
    <s v="OSORIO RUIZ VALENTINA"/>
    <n v="37"/>
    <n v="0"/>
    <n v="1645942"/>
  </r>
  <r>
    <s v="Franquicias Sell Out QUEST"/>
    <s v="FQ064-Puerto Boyaca-Boyaca"/>
    <x v="6"/>
    <s v="octubre"/>
    <n v="1"/>
    <d v="2026-10-01T00:00:00"/>
    <n v="1056769138"/>
    <s v="GUTIÉRREZ SALINAS KARINA"/>
    <n v="39"/>
    <n v="0"/>
    <n v="1703785"/>
  </r>
  <r>
    <s v="Franquicias Sell Out QUEST"/>
    <s v="FQ064-Puerto Boyaca-Boyaca"/>
    <x v="6"/>
    <s v="octubre"/>
    <n v="2"/>
    <d v="2026-10-02T00:00:00"/>
    <m/>
    <m/>
    <n v="0"/>
    <n v="2969384"/>
    <n v="0"/>
  </r>
  <r>
    <s v="Franquicias Sell Out QUEST"/>
    <s v="FQ064-Puerto Boyaca-Boyaca"/>
    <x v="6"/>
    <s v="octubre"/>
    <n v="2"/>
    <d v="2026-10-02T00:00:00"/>
    <n v="1000295252"/>
    <s v="OSORIO RUIZ VALENTINA"/>
    <n v="13"/>
    <n v="0"/>
    <n v="717816"/>
  </r>
  <r>
    <s v="Franquicias Sell Out QUEST"/>
    <s v="FQ064-Puerto Boyaca-Boyaca"/>
    <x v="6"/>
    <s v="octubre"/>
    <n v="2"/>
    <d v="2026-10-02T00:00:00"/>
    <n v="1056769138"/>
    <s v="GUTIÉRREZ SALINAS KARINA"/>
    <n v="53"/>
    <n v="0"/>
    <n v="2419541"/>
  </r>
  <r>
    <s v="Franquicias Sell Out QUEST"/>
    <s v="FQ064-Puerto Boyaca-Boyaca"/>
    <x v="6"/>
    <s v="octubre"/>
    <n v="3"/>
    <d v="2026-10-03T00:00:00"/>
    <m/>
    <m/>
    <n v="0"/>
    <n v="6238556"/>
    <n v="0"/>
  </r>
  <r>
    <s v="Franquicias Sell Out QUEST"/>
    <s v="FQ064-Puerto Boyaca-Boyaca"/>
    <x v="6"/>
    <s v="octubre"/>
    <n v="3"/>
    <d v="2026-10-03T00:00:00"/>
    <n v="1000295252"/>
    <s v="OSORIO RUIZ VALENTINA"/>
    <n v="49"/>
    <n v="0"/>
    <n v="2278356"/>
  </r>
  <r>
    <s v="Franquicias Sell Out QUEST"/>
    <s v="FQ064-Puerto Boyaca-Boyaca"/>
    <x v="6"/>
    <s v="octubre"/>
    <n v="3"/>
    <d v="2026-10-03T00:00:00"/>
    <n v="1056769138"/>
    <s v="GUTIÉRREZ SALINAS KARINA"/>
    <n v="56"/>
    <n v="0"/>
    <n v="2665529"/>
  </r>
  <r>
    <s v="Franquicias Sell Out QUEST"/>
    <s v="FQ064-Puerto Boyaca-Boyaca"/>
    <x v="6"/>
    <s v="octubre"/>
    <n v="4"/>
    <d v="2026-10-04T00:00:00"/>
    <m/>
    <m/>
    <n v="0"/>
    <n v="4429759"/>
    <n v="0"/>
  </r>
  <r>
    <s v="Franquicias Sell Out QUEST"/>
    <s v="FQ064-Puerto Boyaca-Boyaca"/>
    <x v="6"/>
    <s v="octubre"/>
    <n v="4"/>
    <d v="2026-10-04T00:00:00"/>
    <n v="1000295252"/>
    <s v="OSORIO RUIZ VALENTINA"/>
    <n v="42"/>
    <n v="0"/>
    <n v="1970462"/>
  </r>
  <r>
    <s v="Franquicias Sell Out QUEST"/>
    <s v="FQ064-Puerto Boyaca-Boyaca"/>
    <x v="6"/>
    <s v="octubre"/>
    <n v="4"/>
    <d v="2026-10-04T00:00:00"/>
    <n v="1056769138"/>
    <s v="GUTIÉRREZ SALINAS KARINA"/>
    <n v="1"/>
    <n v="0"/>
    <n v="31043"/>
  </r>
  <r>
    <s v="Franquicias Sell Out QUEST"/>
    <s v="FQ064-Puerto Boyaca-Boyaca"/>
    <x v="6"/>
    <s v="octubre"/>
    <n v="5"/>
    <d v="2026-10-05T00:00:00"/>
    <m/>
    <m/>
    <n v="0"/>
    <n v="3772415"/>
    <n v="0"/>
  </r>
  <r>
    <s v="Franquicias Sell Out QUEST"/>
    <s v="FQ064-Puerto Boyaca-Boyaca"/>
    <x v="6"/>
    <s v="octubre"/>
    <n v="5"/>
    <d v="2026-10-05T00:00:00"/>
    <n v="1000295252"/>
    <s v="OSORIO RUIZ VALENTINA"/>
    <n v="16"/>
    <n v="0"/>
    <n v="969832"/>
  </r>
  <r>
    <s v="Franquicias Sell Out QUEST"/>
    <s v="FQ064-Puerto Boyaca-Boyaca"/>
    <x v="6"/>
    <s v="octubre"/>
    <n v="5"/>
    <d v="2026-10-05T00:00:00"/>
    <n v="1056769138"/>
    <s v="GUTIÉRREZ SALINAS KARINA"/>
    <n v="36"/>
    <n v="0"/>
    <n v="1783866"/>
  </r>
  <r>
    <s v="Franquicias Sell Out QUEST"/>
    <s v="FQ064-Puerto Boyaca-Boyaca"/>
    <x v="6"/>
    <s v="octubre"/>
    <n v="6"/>
    <d v="2026-10-06T00:00:00"/>
    <m/>
    <m/>
    <n v="0"/>
    <n v="3397337"/>
    <n v="0"/>
  </r>
  <r>
    <s v="Franquicias Sell Out QUEST"/>
    <s v="FQ064-Puerto Boyaca-Boyaca"/>
    <x v="6"/>
    <s v="octubre"/>
    <n v="6"/>
    <d v="2026-10-06T00:00:00"/>
    <n v="1000295252"/>
    <s v="OSORIO RUIZ VALENTINA"/>
    <n v="23"/>
    <n v="0"/>
    <n v="1026093"/>
  </r>
  <r>
    <s v="Franquicias Sell Out QUEST"/>
    <s v="FQ064-Puerto Boyaca-Boyaca"/>
    <x v="6"/>
    <s v="octubre"/>
    <n v="6"/>
    <d v="2026-10-06T00:00:00"/>
    <n v="1056769138"/>
    <s v="GUTIÉRREZ SALINAS KARINA"/>
    <n v="23"/>
    <n v="0"/>
    <n v="1206808"/>
  </r>
  <r>
    <s v="Franquicias Sell Out QUEST"/>
    <s v="FQ064-Puerto Boyaca-Boyaca"/>
    <x v="6"/>
    <s v="octubre"/>
    <n v="7"/>
    <d v="2026-10-07T00:00:00"/>
    <m/>
    <m/>
    <n v="0"/>
    <n v="66475"/>
    <n v="0"/>
  </r>
  <r>
    <s v="Franquicias Sell Out QUEST"/>
    <s v="FQ064-Puerto Boyaca-Boyaca"/>
    <x v="6"/>
    <s v="octubre"/>
    <n v="7"/>
    <d v="2026-10-07T00:00:00"/>
    <n v="1000295252"/>
    <s v="OSORIO RUIZ VALENTINA"/>
    <n v="29"/>
    <n v="0"/>
    <n v="1761262"/>
  </r>
  <r>
    <s v="Franquicias Sell Out QUEST"/>
    <s v="FQ064-Puerto Boyaca-Boyaca"/>
    <x v="6"/>
    <s v="octubre"/>
    <n v="7"/>
    <d v="2026-10-07T00:00:00"/>
    <n v="1056769138"/>
    <s v="GUTIÉRREZ SALINAS KARINA"/>
    <n v="43"/>
    <n v="0"/>
    <n v="1987608"/>
  </r>
  <r>
    <s v="Franquicias Sell Out QUEST"/>
    <s v="FQ067-Leticia-Amazonas"/>
    <x v="6"/>
    <s v="septiembre"/>
    <n v="23"/>
    <d v="2026-09-23T00:00:00"/>
    <m/>
    <m/>
    <n v="0"/>
    <n v="4161512"/>
    <n v="0"/>
  </r>
  <r>
    <s v="Franquicias Sell Out QUEST"/>
    <s v="FQ067-Leticia-Amazonas"/>
    <x v="6"/>
    <s v="septiembre"/>
    <n v="23"/>
    <d v="2026-09-23T00:00:00"/>
    <n v="40178744"/>
    <s v="GARCIA CAGHUACHE IDALI"/>
    <n v="28"/>
    <n v="0"/>
    <n v="1723611"/>
  </r>
  <r>
    <s v="Franquicias Sell Out QUEST"/>
    <s v="FQ067-Leticia-Amazonas"/>
    <x v="6"/>
    <s v="septiembre"/>
    <n v="23"/>
    <d v="2026-09-23T00:00:00"/>
    <n v="41059862"/>
    <s v="PULIDO CASTRO YESICA"/>
    <n v="30"/>
    <n v="0"/>
    <n v="1378988"/>
  </r>
  <r>
    <s v="Franquicias Sell Out QUEST"/>
    <s v="FQ067-Leticia-Amazonas"/>
    <x v="6"/>
    <s v="septiembre"/>
    <n v="24"/>
    <d v="2026-09-24T00:00:00"/>
    <m/>
    <m/>
    <n v="0"/>
    <n v="10762471"/>
    <n v="0"/>
  </r>
  <r>
    <s v="Franquicias Sell Out QUEST"/>
    <s v="FQ067-Leticia-Amazonas"/>
    <x v="6"/>
    <s v="septiembre"/>
    <n v="24"/>
    <d v="2026-09-24T00:00:00"/>
    <n v="40178744"/>
    <s v="GARCIA CAGHUACHE IDALI"/>
    <n v="33"/>
    <n v="0"/>
    <n v="1796928"/>
  </r>
  <r>
    <s v="Franquicias Sell Out QUEST"/>
    <s v="FQ067-Leticia-Amazonas"/>
    <x v="6"/>
    <s v="septiembre"/>
    <n v="24"/>
    <d v="2026-09-24T00:00:00"/>
    <n v="41059862"/>
    <s v="PULIDO CASTRO YESICA"/>
    <n v="29"/>
    <n v="0"/>
    <n v="1610118"/>
  </r>
  <r>
    <s v="Franquicias Sell Out QUEST"/>
    <s v="FQ067-Leticia-Amazonas"/>
    <x v="6"/>
    <s v="septiembre"/>
    <n v="25"/>
    <d v="2026-09-25T00:00:00"/>
    <m/>
    <m/>
    <n v="0"/>
    <n v="11494908"/>
    <n v="0"/>
  </r>
  <r>
    <s v="Franquicias Sell Out QUEST"/>
    <s v="FQ067-Leticia-Amazonas"/>
    <x v="6"/>
    <s v="septiembre"/>
    <n v="25"/>
    <d v="2026-09-25T00:00:00"/>
    <n v="40178744"/>
    <s v="GARCIA CAGHUACHE IDALI"/>
    <n v="48"/>
    <n v="0"/>
    <n v="2466466"/>
  </r>
  <r>
    <s v="Franquicias Sell Out QUEST"/>
    <s v="FQ067-Leticia-Amazonas"/>
    <x v="6"/>
    <s v="septiembre"/>
    <n v="25"/>
    <d v="2026-09-25T00:00:00"/>
    <n v="41059862"/>
    <s v="PULIDO CASTRO YESICA"/>
    <n v="47"/>
    <n v="0"/>
    <n v="2609359"/>
  </r>
  <r>
    <s v="Franquicias Sell Out QUEST"/>
    <s v="FQ067-Leticia-Amazonas"/>
    <x v="6"/>
    <s v="septiembre"/>
    <n v="26"/>
    <d v="2026-09-26T00:00:00"/>
    <m/>
    <m/>
    <n v="0"/>
    <n v="14494787"/>
    <n v="0"/>
  </r>
  <r>
    <s v="Franquicias Sell Out QUEST"/>
    <s v="FQ067-Leticia-Amazonas"/>
    <x v="6"/>
    <s v="septiembre"/>
    <n v="26"/>
    <d v="2026-09-26T00:00:00"/>
    <n v="40178744"/>
    <s v="GARCIA CAGHUACHE IDALI"/>
    <n v="123"/>
    <n v="0"/>
    <n v="6130388"/>
  </r>
  <r>
    <s v="Franquicias Sell Out QUEST"/>
    <s v="FQ067-Leticia-Amazonas"/>
    <x v="6"/>
    <s v="septiembre"/>
    <n v="26"/>
    <d v="2026-09-26T00:00:00"/>
    <n v="41059862"/>
    <s v="PULIDO CASTRO YESICA"/>
    <n v="115"/>
    <n v="0"/>
    <n v="5484725"/>
  </r>
  <r>
    <s v="Franquicias Sell Out QUEST"/>
    <s v="FQ067-Leticia-Amazonas"/>
    <x v="6"/>
    <s v="septiembre"/>
    <n v="27"/>
    <d v="2026-09-27T00:00:00"/>
    <m/>
    <m/>
    <n v="0"/>
    <n v="7653107"/>
    <n v="0"/>
  </r>
  <r>
    <s v="Franquicias Sell Out QUEST"/>
    <s v="FQ067-Leticia-Amazonas"/>
    <x v="6"/>
    <s v="septiembre"/>
    <n v="27"/>
    <d v="2026-09-27T00:00:00"/>
    <n v="40178744"/>
    <s v="GARCIA CAGHUACHE IDALI"/>
    <n v="46"/>
    <n v="0"/>
    <n v="2350357"/>
  </r>
  <r>
    <s v="Franquicias Sell Out QUEST"/>
    <s v="FQ067-Leticia-Amazonas"/>
    <x v="6"/>
    <s v="septiembre"/>
    <n v="27"/>
    <d v="2026-09-27T00:00:00"/>
    <n v="41059862"/>
    <s v="PULIDO CASTRO YESICA"/>
    <n v="21"/>
    <n v="0"/>
    <n v="1110456"/>
  </r>
  <r>
    <s v="Franquicias Sell Out QUEST"/>
    <s v="FQ067-Leticia-Amazonas"/>
    <x v="6"/>
    <s v="septiembre"/>
    <n v="28"/>
    <d v="2026-09-28T00:00:00"/>
    <m/>
    <m/>
    <n v="0"/>
    <n v="6274717"/>
    <n v="0"/>
  </r>
  <r>
    <s v="Franquicias Sell Out QUEST"/>
    <s v="FQ067-Leticia-Amazonas"/>
    <x v="6"/>
    <s v="septiembre"/>
    <n v="28"/>
    <d v="2026-09-28T00:00:00"/>
    <n v="40178744"/>
    <s v="GARCIA CAGHUACHE IDALI"/>
    <n v="72"/>
    <n v="0"/>
    <n v="3285206"/>
  </r>
  <r>
    <s v="Franquicias Sell Out QUEST"/>
    <s v="FQ067-Leticia-Amazonas"/>
    <x v="6"/>
    <s v="septiembre"/>
    <n v="28"/>
    <d v="2026-09-28T00:00:00"/>
    <n v="41059862"/>
    <s v="PULIDO CASTRO YESICA"/>
    <n v="81"/>
    <n v="0"/>
    <n v="3382383"/>
  </r>
  <r>
    <s v="Franquicias Sell Out QUEST"/>
    <s v="FQ067-Leticia-Amazonas"/>
    <x v="6"/>
    <s v="septiembre"/>
    <n v="29"/>
    <d v="2026-09-29T00:00:00"/>
    <m/>
    <m/>
    <n v="0"/>
    <n v="6975632"/>
    <n v="0"/>
  </r>
  <r>
    <s v="Franquicias Sell Out QUEST"/>
    <s v="FQ067-Leticia-Amazonas"/>
    <x v="6"/>
    <s v="septiembre"/>
    <n v="29"/>
    <d v="2026-09-29T00:00:00"/>
    <n v="40178744"/>
    <s v="GARCIA CAGHUACHE IDALI"/>
    <n v="69"/>
    <n v="0"/>
    <n v="2605862"/>
  </r>
  <r>
    <s v="Franquicias Sell Out QUEST"/>
    <s v="FQ067-Leticia-Amazonas"/>
    <x v="6"/>
    <s v="septiembre"/>
    <n v="29"/>
    <d v="2026-09-29T00:00:00"/>
    <n v="41059862"/>
    <s v="PULIDO CASTRO YESICA"/>
    <n v="92"/>
    <n v="0"/>
    <n v="4451948"/>
  </r>
  <r>
    <s v="Franquicias Sell Out QUEST"/>
    <s v="FQ067-Leticia-Amazonas"/>
    <x v="6"/>
    <s v="septiembre"/>
    <n v="30"/>
    <d v="2026-09-30T00:00:00"/>
    <m/>
    <m/>
    <n v="0"/>
    <n v="7387413"/>
    <n v="0"/>
  </r>
  <r>
    <s v="Franquicias Sell Out QUEST"/>
    <s v="FQ067-Leticia-Amazonas"/>
    <x v="6"/>
    <s v="septiembre"/>
    <n v="30"/>
    <d v="2026-09-30T00:00:00"/>
    <n v="40178744"/>
    <s v="GARCIA CAGHUACHE IDALI"/>
    <n v="112"/>
    <n v="0"/>
    <n v="5727667"/>
  </r>
  <r>
    <s v="Franquicias Sell Out QUEST"/>
    <s v="FQ067-Leticia-Amazonas"/>
    <x v="6"/>
    <s v="septiembre"/>
    <n v="30"/>
    <d v="2026-09-30T00:00:00"/>
    <n v="41059862"/>
    <s v="PULIDO CASTRO YESICA"/>
    <n v="134"/>
    <n v="0"/>
    <n v="6408581"/>
  </r>
  <r>
    <s v="Franquicias Sell Out QUEST"/>
    <s v="FQ067-Leticia-Amazonas"/>
    <x v="6"/>
    <s v="octubre"/>
    <n v="1"/>
    <d v="2026-10-01T00:00:00"/>
    <m/>
    <m/>
    <n v="0"/>
    <n v="12542052"/>
    <n v="0"/>
  </r>
  <r>
    <s v="Franquicias Sell Out QUEST"/>
    <s v="FQ067-Leticia-Amazonas"/>
    <x v="6"/>
    <s v="octubre"/>
    <n v="1"/>
    <d v="2026-10-01T00:00:00"/>
    <n v="40178744"/>
    <s v="GARCIA CAGHUACHE IDALI"/>
    <n v="81"/>
    <n v="0"/>
    <n v="3937881"/>
  </r>
  <r>
    <s v="Franquicias Sell Out QUEST"/>
    <s v="FQ067-Leticia-Amazonas"/>
    <x v="6"/>
    <s v="octubre"/>
    <n v="1"/>
    <d v="2026-10-01T00:00:00"/>
    <n v="41059862"/>
    <s v="PULIDO CASTRO YESICA"/>
    <n v="86"/>
    <n v="0"/>
    <n v="4149230"/>
  </r>
  <r>
    <s v="Franquicias Sell Out QUEST"/>
    <s v="FQ067-Leticia-Amazonas"/>
    <x v="6"/>
    <s v="octubre"/>
    <n v="2"/>
    <d v="2026-10-02T00:00:00"/>
    <m/>
    <m/>
    <n v="0"/>
    <n v="11953773"/>
    <n v="0"/>
  </r>
  <r>
    <s v="Franquicias Sell Out QUEST"/>
    <s v="FQ067-Leticia-Amazonas"/>
    <x v="6"/>
    <s v="octubre"/>
    <n v="2"/>
    <d v="2026-10-02T00:00:00"/>
    <n v="40178744"/>
    <s v="GARCIA CAGHUACHE IDALI"/>
    <n v="85"/>
    <n v="0"/>
    <n v="4219865"/>
  </r>
  <r>
    <s v="Franquicias Sell Out QUEST"/>
    <s v="FQ067-Leticia-Amazonas"/>
    <x v="6"/>
    <s v="octubre"/>
    <n v="2"/>
    <d v="2026-10-02T00:00:00"/>
    <n v="41059862"/>
    <s v="PULIDO CASTRO YESICA"/>
    <n v="113"/>
    <n v="0"/>
    <n v="5903088"/>
  </r>
  <r>
    <s v="Franquicias Sell Out QUEST"/>
    <s v="FQ067-Leticia-Amazonas"/>
    <x v="6"/>
    <s v="octubre"/>
    <n v="3"/>
    <d v="2026-10-03T00:00:00"/>
    <m/>
    <m/>
    <n v="0"/>
    <n v="14604326"/>
    <n v="0"/>
  </r>
  <r>
    <s v="Franquicias Sell Out QUEST"/>
    <s v="FQ067-Leticia-Amazonas"/>
    <x v="6"/>
    <s v="octubre"/>
    <n v="3"/>
    <d v="2026-10-03T00:00:00"/>
    <n v="40178744"/>
    <s v="GARCIA CAGHUACHE IDALI"/>
    <n v="117"/>
    <n v="0"/>
    <n v="5681807"/>
  </r>
  <r>
    <s v="Franquicias Sell Out QUEST"/>
    <s v="FQ067-Leticia-Amazonas"/>
    <x v="6"/>
    <s v="octubre"/>
    <n v="3"/>
    <d v="2026-10-03T00:00:00"/>
    <n v="41059862"/>
    <s v="PULIDO CASTRO YESICA"/>
    <n v="124"/>
    <n v="0"/>
    <n v="5813732"/>
  </r>
  <r>
    <s v="Franquicias Sell Out QUEST"/>
    <s v="FQ067-Leticia-Amazonas"/>
    <x v="6"/>
    <s v="octubre"/>
    <n v="3"/>
    <d v="2026-10-03T00:00:00"/>
    <n v="1144145808"/>
    <s v="BOLAÑOS  JESSICA ELENA"/>
    <n v="1"/>
    <n v="0"/>
    <n v="58781"/>
  </r>
  <r>
    <s v="Franquicias Sell Out QUEST"/>
    <s v="FQ067-Leticia-Amazonas"/>
    <x v="6"/>
    <s v="octubre"/>
    <n v="4"/>
    <d v="2026-10-04T00:00:00"/>
    <m/>
    <m/>
    <n v="0"/>
    <n v="6131901"/>
    <n v="0"/>
  </r>
  <r>
    <s v="Franquicias Sell Out QUEST"/>
    <s v="FQ067-Leticia-Amazonas"/>
    <x v="6"/>
    <s v="octubre"/>
    <n v="4"/>
    <d v="2026-10-04T00:00:00"/>
    <n v="40178744"/>
    <s v="GARCIA CAGHUACHE IDALI"/>
    <n v="32"/>
    <n v="0"/>
    <n v="1615836"/>
  </r>
  <r>
    <s v="Franquicias Sell Out QUEST"/>
    <s v="FQ067-Leticia-Amazonas"/>
    <x v="6"/>
    <s v="octubre"/>
    <n v="4"/>
    <d v="2026-10-04T00:00:00"/>
    <n v="41059862"/>
    <s v="PULIDO CASTRO YESICA"/>
    <n v="44"/>
    <n v="0"/>
    <n v="2445517"/>
  </r>
  <r>
    <s v="Franquicias Sell Out QUEST"/>
    <s v="FQ067-Leticia-Amazonas"/>
    <x v="6"/>
    <s v="octubre"/>
    <n v="5"/>
    <d v="2026-10-05T00:00:00"/>
    <m/>
    <m/>
    <n v="0"/>
    <n v="9045218"/>
    <n v="0"/>
  </r>
  <r>
    <s v="Franquicias Sell Out QUEST"/>
    <s v="FQ067-Leticia-Amazonas"/>
    <x v="6"/>
    <s v="octubre"/>
    <n v="5"/>
    <d v="2026-10-05T00:00:00"/>
    <n v="40178744"/>
    <s v="GARCIA CAGHUACHE IDALI"/>
    <n v="259"/>
    <n v="0"/>
    <n v="12587916"/>
  </r>
  <r>
    <s v="Franquicias Sell Out QUEST"/>
    <s v="FQ067-Leticia-Amazonas"/>
    <x v="6"/>
    <s v="octubre"/>
    <n v="5"/>
    <d v="2026-10-05T00:00:00"/>
    <n v="41059862"/>
    <s v="PULIDO CASTRO YESICA"/>
    <n v="28"/>
    <n v="0"/>
    <n v="956802"/>
  </r>
  <r>
    <s v="Franquicias Sell Out QUEST"/>
    <s v="FQ067-Leticia-Amazonas"/>
    <x v="6"/>
    <s v="octubre"/>
    <n v="6"/>
    <d v="2026-10-06T00:00:00"/>
    <m/>
    <m/>
    <n v="0"/>
    <n v="7576508"/>
    <n v="0"/>
  </r>
  <r>
    <s v="Franquicias Sell Out QUEST"/>
    <s v="FQ067-Leticia-Amazonas"/>
    <x v="6"/>
    <s v="octubre"/>
    <n v="6"/>
    <d v="2026-10-06T00:00:00"/>
    <n v="40178744"/>
    <s v="GARCIA CAGHUACHE IDALI"/>
    <n v="4"/>
    <n v="0"/>
    <n v="247688"/>
  </r>
  <r>
    <s v="Franquicias Sell Out QUEST"/>
    <s v="FQ067-Leticia-Amazonas"/>
    <x v="6"/>
    <s v="octubre"/>
    <n v="6"/>
    <d v="2026-10-06T00:00:00"/>
    <n v="41059862"/>
    <s v="PULIDO CASTRO YESICA"/>
    <n v="116"/>
    <n v="0"/>
    <n v="6208170"/>
  </r>
  <r>
    <s v="Franquicias Sell Out QUEST"/>
    <s v="FQ067-Leticia-Amazonas"/>
    <x v="6"/>
    <s v="octubre"/>
    <n v="7"/>
    <d v="2026-10-07T00:00:00"/>
    <m/>
    <m/>
    <n v="0"/>
    <n v="2839373"/>
    <n v="0"/>
  </r>
  <r>
    <s v="Franquicias Sell Out QUEST"/>
    <s v="FQ067-Leticia-Amazonas"/>
    <x v="6"/>
    <s v="octubre"/>
    <n v="7"/>
    <d v="2026-10-07T00:00:00"/>
    <n v="40178744"/>
    <s v="GARCIA CAGHUACHE IDALI"/>
    <n v="66"/>
    <n v="0"/>
    <n v="3885653"/>
  </r>
  <r>
    <s v="Franquicias Sell Out QUEST"/>
    <s v="FQ067-Leticia-Amazonas"/>
    <x v="6"/>
    <s v="octubre"/>
    <n v="7"/>
    <d v="2026-10-07T00:00:00"/>
    <n v="41059862"/>
    <s v="PULIDO CASTRO YESICA"/>
    <n v="70"/>
    <n v="0"/>
    <n v="3677166"/>
  </r>
  <r>
    <s v="Franquicias Sell Out QUEST"/>
    <s v="FQ069-Saravena - Arauca"/>
    <x v="6"/>
    <s v="septiembre"/>
    <n v="23"/>
    <d v="2026-09-23T00:00:00"/>
    <m/>
    <m/>
    <n v="0"/>
    <n v="4930184"/>
    <n v="0"/>
  </r>
  <r>
    <s v="Franquicias Sell Out QUEST"/>
    <s v="FQ069-Saravena - Arauca"/>
    <x v="6"/>
    <s v="septiembre"/>
    <n v="23"/>
    <d v="2026-09-23T00:00:00"/>
    <n v="5157250"/>
    <s v="COTE PABÓN IRAIDA PAOLA"/>
    <n v="87"/>
    <n v="0"/>
    <n v="4540508"/>
  </r>
  <r>
    <s v="Franquicias Sell Out QUEST"/>
    <s v="FQ069-Saravena - Arauca"/>
    <x v="6"/>
    <s v="septiembre"/>
    <n v="23"/>
    <d v="2026-09-23T00:00:00"/>
    <n v="1007419423"/>
    <s v="ZUTANEME HERNÁNDEZ GISELLY YULEDSY"/>
    <n v="36"/>
    <n v="0"/>
    <n v="1439708"/>
  </r>
  <r>
    <s v="Franquicias Sell Out QUEST"/>
    <s v="FQ069-Saravena - Arauca"/>
    <x v="6"/>
    <s v="septiembre"/>
    <n v="23"/>
    <d v="2026-09-23T00:00:00"/>
    <n v="1049393048"/>
    <s v="GAMBOA ARAQUE VALERIE FERNANDA"/>
    <n v="78"/>
    <n v="0"/>
    <n v="3740462"/>
  </r>
  <r>
    <s v="Franquicias Sell Out QUEST"/>
    <s v="FQ069-Saravena - Arauca"/>
    <x v="6"/>
    <s v="septiembre"/>
    <n v="24"/>
    <d v="2026-09-24T00:00:00"/>
    <m/>
    <m/>
    <n v="0"/>
    <n v="12750396"/>
    <n v="0"/>
  </r>
  <r>
    <s v="Franquicias Sell Out QUEST"/>
    <s v="FQ069-Saravena - Arauca"/>
    <x v="6"/>
    <s v="septiembre"/>
    <n v="24"/>
    <d v="2026-09-24T00:00:00"/>
    <n v="5157250"/>
    <s v="COTE PABÓN IRAIDA PAOLA"/>
    <n v="47"/>
    <n v="0"/>
    <n v="2477021"/>
  </r>
  <r>
    <s v="Franquicias Sell Out QUEST"/>
    <s v="FQ069-Saravena - Arauca"/>
    <x v="6"/>
    <s v="septiembre"/>
    <n v="24"/>
    <d v="2026-09-24T00:00:00"/>
    <n v="1007419423"/>
    <s v="ZUTANEME HERNÁNDEZ GISELLY YULEDSY"/>
    <n v="49"/>
    <n v="0"/>
    <n v="2504246"/>
  </r>
  <r>
    <s v="Franquicias Sell Out QUEST"/>
    <s v="FQ069-Saravena - Arauca"/>
    <x v="6"/>
    <s v="septiembre"/>
    <n v="24"/>
    <d v="2026-09-24T00:00:00"/>
    <n v="1049393048"/>
    <s v="GAMBOA ARAQUE VALERIE FERNANDA"/>
    <n v="70"/>
    <n v="0"/>
    <n v="3726054"/>
  </r>
  <r>
    <s v="Franquicias Sell Out QUEST"/>
    <s v="FQ069-Saravena - Arauca"/>
    <x v="6"/>
    <s v="septiembre"/>
    <n v="25"/>
    <d v="2026-09-25T00:00:00"/>
    <m/>
    <m/>
    <n v="0"/>
    <n v="13618121"/>
    <n v="0"/>
  </r>
  <r>
    <s v="Franquicias Sell Out QUEST"/>
    <s v="FQ069-Saravena - Arauca"/>
    <x v="6"/>
    <s v="septiembre"/>
    <n v="25"/>
    <d v="2026-09-25T00:00:00"/>
    <n v="5157250"/>
    <s v="COTE PABÓN IRAIDA PAOLA"/>
    <n v="103"/>
    <n v="0"/>
    <n v="4863284"/>
  </r>
  <r>
    <s v="Franquicias Sell Out QUEST"/>
    <s v="FQ069-Saravena - Arauca"/>
    <x v="6"/>
    <s v="septiembre"/>
    <n v="25"/>
    <d v="2026-09-25T00:00:00"/>
    <n v="1007419423"/>
    <s v="ZUTANEME HERNÁNDEZ GISELLY YULEDSY"/>
    <n v="68"/>
    <n v="0"/>
    <n v="3476142"/>
  </r>
  <r>
    <s v="Franquicias Sell Out QUEST"/>
    <s v="FQ069-Saravena - Arauca"/>
    <x v="6"/>
    <s v="septiembre"/>
    <n v="25"/>
    <d v="2026-09-25T00:00:00"/>
    <n v="1049393048"/>
    <s v="GAMBOA ARAQUE VALERIE FERNANDA"/>
    <n v="80"/>
    <n v="0"/>
    <n v="4131100"/>
  </r>
  <r>
    <s v="Franquicias Sell Out QUEST"/>
    <s v="FQ069-Saravena - Arauca"/>
    <x v="6"/>
    <s v="septiembre"/>
    <n v="26"/>
    <d v="2026-09-26T00:00:00"/>
    <m/>
    <m/>
    <n v="0"/>
    <n v="17172112"/>
    <n v="0"/>
  </r>
  <r>
    <s v="Franquicias Sell Out QUEST"/>
    <s v="FQ069-Saravena - Arauca"/>
    <x v="6"/>
    <s v="septiembre"/>
    <n v="26"/>
    <d v="2026-09-26T00:00:00"/>
    <n v="5157250"/>
    <s v="COTE PABÓN IRAIDA PAOLA"/>
    <n v="104"/>
    <n v="0"/>
    <n v="5092101"/>
  </r>
  <r>
    <s v="Franquicias Sell Out QUEST"/>
    <s v="FQ069-Saravena - Arauca"/>
    <x v="6"/>
    <s v="septiembre"/>
    <n v="26"/>
    <d v="2026-09-26T00:00:00"/>
    <n v="1007419423"/>
    <s v="ZUTANEME HERNÁNDEZ GISELLY YULEDSY"/>
    <n v="91"/>
    <n v="0"/>
    <n v="4500382"/>
  </r>
  <r>
    <s v="Franquicias Sell Out QUEST"/>
    <s v="FQ069-Saravena - Arauca"/>
    <x v="6"/>
    <s v="septiembre"/>
    <n v="26"/>
    <d v="2026-09-26T00:00:00"/>
    <n v="1049393048"/>
    <s v="GAMBOA ARAQUE VALERIE FERNANDA"/>
    <n v="106"/>
    <n v="0"/>
    <n v="4927941"/>
  </r>
  <r>
    <s v="Franquicias Sell Out QUEST"/>
    <s v="FQ069-Saravena - Arauca"/>
    <x v="6"/>
    <s v="septiembre"/>
    <n v="27"/>
    <d v="2026-09-27T00:00:00"/>
    <m/>
    <m/>
    <n v="0"/>
    <n v="9066710"/>
    <n v="0"/>
  </r>
  <r>
    <s v="Franquicias Sell Out QUEST"/>
    <s v="FQ069-Saravena - Arauca"/>
    <x v="6"/>
    <s v="septiembre"/>
    <n v="27"/>
    <d v="2026-09-27T00:00:00"/>
    <n v="5157250"/>
    <s v="COTE PABÓN IRAIDA PAOLA"/>
    <n v="60"/>
    <n v="0"/>
    <n v="3245378"/>
  </r>
  <r>
    <s v="Franquicias Sell Out QUEST"/>
    <s v="FQ069-Saravena - Arauca"/>
    <x v="6"/>
    <s v="septiembre"/>
    <n v="27"/>
    <d v="2026-09-27T00:00:00"/>
    <n v="1049393048"/>
    <s v="GAMBOA ARAQUE VALERIE FERNANDA"/>
    <n v="61"/>
    <n v="0"/>
    <n v="2807900"/>
  </r>
  <r>
    <s v="Franquicias Sell Out QUEST"/>
    <s v="FQ069-Saravena - Arauca"/>
    <x v="6"/>
    <s v="septiembre"/>
    <n v="28"/>
    <d v="2026-09-28T00:00:00"/>
    <m/>
    <m/>
    <n v="0"/>
    <n v="7433714"/>
    <n v="0"/>
  </r>
  <r>
    <s v="Franquicias Sell Out QUEST"/>
    <s v="FQ069-Saravena - Arauca"/>
    <x v="6"/>
    <s v="septiembre"/>
    <n v="28"/>
    <d v="2026-09-28T00:00:00"/>
    <n v="5157250"/>
    <s v="COTE PABÓN IRAIDA PAOLA"/>
    <n v="40"/>
    <n v="0"/>
    <n v="1830255"/>
  </r>
  <r>
    <s v="Franquicias Sell Out QUEST"/>
    <s v="FQ069-Saravena - Arauca"/>
    <x v="6"/>
    <s v="septiembre"/>
    <n v="28"/>
    <d v="2026-09-28T00:00:00"/>
    <n v="1007419423"/>
    <s v="ZUTANEME HERNÁNDEZ GISELLY YULEDSY"/>
    <n v="41"/>
    <n v="0"/>
    <n v="2061265"/>
  </r>
  <r>
    <s v="Franquicias Sell Out QUEST"/>
    <s v="FQ069-Saravena - Arauca"/>
    <x v="6"/>
    <s v="septiembre"/>
    <n v="28"/>
    <d v="2026-09-28T00:00:00"/>
    <n v="1049393048"/>
    <s v="GAMBOA ARAQUE VALERIE FERNANDA"/>
    <n v="47"/>
    <n v="0"/>
    <n v="2540040"/>
  </r>
  <r>
    <s v="Franquicias Sell Out QUEST"/>
    <s v="FQ069-Saravena - Arauca"/>
    <x v="6"/>
    <s v="septiembre"/>
    <n v="29"/>
    <d v="2026-09-29T00:00:00"/>
    <m/>
    <m/>
    <n v="0"/>
    <n v="8264092"/>
    <n v="0"/>
  </r>
  <r>
    <s v="Franquicias Sell Out QUEST"/>
    <s v="FQ069-Saravena - Arauca"/>
    <x v="6"/>
    <s v="septiembre"/>
    <n v="29"/>
    <d v="2026-09-29T00:00:00"/>
    <n v="5157250"/>
    <s v="COTE PABÓN IRAIDA PAOLA"/>
    <n v="41"/>
    <n v="0"/>
    <n v="1909961"/>
  </r>
  <r>
    <s v="Franquicias Sell Out QUEST"/>
    <s v="FQ069-Saravena - Arauca"/>
    <x v="6"/>
    <s v="septiembre"/>
    <n v="29"/>
    <d v="2026-09-29T00:00:00"/>
    <n v="1007419423"/>
    <s v="ZUTANEME HERNÁNDEZ GISELLY YULEDSY"/>
    <n v="29"/>
    <n v="0"/>
    <n v="1534454"/>
  </r>
  <r>
    <s v="Franquicias Sell Out QUEST"/>
    <s v="FQ069-Saravena - Arauca"/>
    <x v="6"/>
    <s v="septiembre"/>
    <n v="29"/>
    <d v="2026-09-29T00:00:00"/>
    <n v="1049393048"/>
    <s v="GAMBOA ARAQUE VALERIE FERNANDA"/>
    <n v="54"/>
    <n v="0"/>
    <n v="2850504"/>
  </r>
  <r>
    <s v="Franquicias Sell Out QUEST"/>
    <s v="FQ069-Saravena - Arauca"/>
    <x v="6"/>
    <s v="septiembre"/>
    <n v="30"/>
    <d v="2026-09-30T00:00:00"/>
    <m/>
    <m/>
    <n v="0"/>
    <n v="8751936"/>
    <n v="0"/>
  </r>
  <r>
    <s v="Franquicias Sell Out QUEST"/>
    <s v="FQ069-Saravena - Arauca"/>
    <x v="6"/>
    <s v="septiembre"/>
    <n v="30"/>
    <d v="2026-09-30T00:00:00"/>
    <n v="5157250"/>
    <s v="COTE PABÓN IRAIDA PAOLA"/>
    <n v="38"/>
    <n v="0"/>
    <n v="1956389"/>
  </r>
  <r>
    <s v="Franquicias Sell Out QUEST"/>
    <s v="FQ069-Saravena - Arauca"/>
    <x v="6"/>
    <s v="septiembre"/>
    <n v="30"/>
    <d v="2026-09-30T00:00:00"/>
    <n v="1007419423"/>
    <s v="ZUTANEME HERNÁNDEZ GISELLY YULEDSY"/>
    <n v="23"/>
    <n v="0"/>
    <n v="1070465"/>
  </r>
  <r>
    <s v="Franquicias Sell Out QUEST"/>
    <s v="FQ069-Saravena - Arauca"/>
    <x v="6"/>
    <s v="septiembre"/>
    <n v="30"/>
    <d v="2026-09-30T00:00:00"/>
    <n v="1049393048"/>
    <s v="GAMBOA ARAQUE VALERIE FERNANDA"/>
    <n v="51"/>
    <n v="0"/>
    <n v="2655419"/>
  </r>
  <r>
    <s v="Franquicias Sell Out QUEST"/>
    <s v="FQ069-Saravena - Arauca"/>
    <x v="6"/>
    <s v="octubre"/>
    <n v="1"/>
    <d v="2026-10-01T00:00:00"/>
    <m/>
    <m/>
    <n v="0"/>
    <n v="7244381"/>
    <n v="0"/>
  </r>
  <r>
    <s v="Franquicias Sell Out QUEST"/>
    <s v="FQ069-Saravena - Arauca"/>
    <x v="6"/>
    <s v="octubre"/>
    <n v="1"/>
    <d v="2026-10-01T00:00:00"/>
    <n v="5157250"/>
    <s v="COTE PABÓN IRAIDA PAOLA"/>
    <n v="40"/>
    <n v="0"/>
    <n v="1779789"/>
  </r>
  <r>
    <s v="Franquicias Sell Out QUEST"/>
    <s v="FQ069-Saravena - Arauca"/>
    <x v="6"/>
    <s v="octubre"/>
    <n v="1"/>
    <d v="2026-10-01T00:00:00"/>
    <n v="1007419423"/>
    <s v="ZUTANEME HERNÁNDEZ GISELLY YULEDSY"/>
    <n v="60"/>
    <n v="0"/>
    <n v="3022648"/>
  </r>
  <r>
    <s v="Franquicias Sell Out QUEST"/>
    <s v="FQ069-Saravena - Arauca"/>
    <x v="6"/>
    <s v="octubre"/>
    <n v="1"/>
    <d v="2026-10-01T00:00:00"/>
    <n v="1049393048"/>
    <s v="GAMBOA ARAQUE VALERIE FERNANDA"/>
    <n v="44"/>
    <n v="0"/>
    <n v="2327902"/>
  </r>
  <r>
    <s v="Franquicias Sell Out QUEST"/>
    <s v="FQ069-Saravena - Arauca"/>
    <x v="6"/>
    <s v="octubre"/>
    <n v="2"/>
    <d v="2026-10-02T00:00:00"/>
    <m/>
    <m/>
    <n v="0"/>
    <n v="10351877"/>
    <n v="0"/>
  </r>
  <r>
    <s v="Franquicias Sell Out QUEST"/>
    <s v="FQ069-Saravena - Arauca"/>
    <x v="6"/>
    <s v="octubre"/>
    <n v="2"/>
    <d v="2026-10-02T00:00:00"/>
    <n v="5157250"/>
    <s v="COTE PABÓN IRAIDA PAOLA"/>
    <n v="53"/>
    <n v="0"/>
    <n v="2697270"/>
  </r>
  <r>
    <s v="Franquicias Sell Out QUEST"/>
    <s v="FQ069-Saravena - Arauca"/>
    <x v="6"/>
    <s v="octubre"/>
    <n v="2"/>
    <d v="2026-10-02T00:00:00"/>
    <n v="1007419423"/>
    <s v="ZUTANEME HERNÁNDEZ GISELLY YULEDSY"/>
    <n v="61"/>
    <n v="0"/>
    <n v="2669623"/>
  </r>
  <r>
    <s v="Franquicias Sell Out QUEST"/>
    <s v="FQ069-Saravena - Arauca"/>
    <x v="6"/>
    <s v="octubre"/>
    <n v="2"/>
    <d v="2026-10-02T00:00:00"/>
    <n v="1049393048"/>
    <s v="GAMBOA ARAQUE VALERIE FERNANDA"/>
    <n v="71"/>
    <n v="0"/>
    <n v="4089201"/>
  </r>
  <r>
    <s v="Franquicias Sell Out QUEST"/>
    <s v="FQ069-Saravena - Arauca"/>
    <x v="6"/>
    <s v="octubre"/>
    <n v="3"/>
    <d v="2026-10-03T00:00:00"/>
    <m/>
    <m/>
    <n v="0"/>
    <n v="11729156"/>
    <n v="0"/>
  </r>
  <r>
    <s v="Franquicias Sell Out QUEST"/>
    <s v="FQ069-Saravena - Arauca"/>
    <x v="6"/>
    <s v="octubre"/>
    <n v="3"/>
    <d v="2026-10-03T00:00:00"/>
    <n v="5157250"/>
    <s v="COTE PABÓN IRAIDA PAOLA"/>
    <n v="58"/>
    <n v="0"/>
    <n v="2929472"/>
  </r>
  <r>
    <s v="Franquicias Sell Out QUEST"/>
    <s v="FQ069-Saravena - Arauca"/>
    <x v="6"/>
    <s v="octubre"/>
    <n v="3"/>
    <d v="2026-10-03T00:00:00"/>
    <n v="1007419423"/>
    <s v="ZUTANEME HERNÁNDEZ GISELLY YULEDSY"/>
    <n v="111"/>
    <n v="0"/>
    <n v="5278400"/>
  </r>
  <r>
    <s v="Franquicias Sell Out QUEST"/>
    <s v="FQ069-Saravena - Arauca"/>
    <x v="6"/>
    <s v="octubre"/>
    <n v="3"/>
    <d v="2026-10-03T00:00:00"/>
    <n v="1049393048"/>
    <s v="GAMBOA ARAQUE VALERIE FERNANDA"/>
    <n v="61"/>
    <n v="0"/>
    <n v="2947031"/>
  </r>
  <r>
    <s v="Franquicias Sell Out QUEST"/>
    <s v="FQ069-Saravena - Arauca"/>
    <x v="6"/>
    <s v="octubre"/>
    <n v="4"/>
    <d v="2026-10-04T00:00:00"/>
    <m/>
    <m/>
    <n v="0"/>
    <n v="6288953"/>
    <n v="0"/>
  </r>
  <r>
    <s v="Franquicias Sell Out QUEST"/>
    <s v="FQ069-Saravena - Arauca"/>
    <x v="6"/>
    <s v="octubre"/>
    <n v="4"/>
    <d v="2026-10-04T00:00:00"/>
    <n v="5157250"/>
    <s v="COTE PABÓN IRAIDA PAOLA"/>
    <n v="52"/>
    <n v="0"/>
    <n v="2766684"/>
  </r>
  <r>
    <s v="Franquicias Sell Out QUEST"/>
    <s v="FQ069-Saravena - Arauca"/>
    <x v="6"/>
    <s v="octubre"/>
    <n v="4"/>
    <d v="2026-10-04T00:00:00"/>
    <n v="1007419423"/>
    <s v="ZUTANEME HERNÁNDEZ GISELLY YULEDSY"/>
    <n v="0"/>
    <n v="0"/>
    <n v="8403"/>
  </r>
  <r>
    <s v="Franquicias Sell Out QUEST"/>
    <s v="FQ069-Saravena - Arauca"/>
    <x v="6"/>
    <s v="octubre"/>
    <n v="4"/>
    <d v="2026-10-04T00:00:00"/>
    <n v="1049393048"/>
    <s v="GAMBOA ARAQUE VALERIE FERNANDA"/>
    <n v="57"/>
    <n v="0"/>
    <n v="2724415"/>
  </r>
  <r>
    <s v="Franquicias Sell Out QUEST"/>
    <s v="FQ069-Saravena - Arauca"/>
    <x v="6"/>
    <s v="octubre"/>
    <n v="5"/>
    <d v="2026-10-05T00:00:00"/>
    <m/>
    <m/>
    <n v="0"/>
    <n v="5136028"/>
    <n v="0"/>
  </r>
  <r>
    <s v="Franquicias Sell Out QUEST"/>
    <s v="FQ069-Saravena - Arauca"/>
    <x v="6"/>
    <s v="octubre"/>
    <n v="5"/>
    <d v="2026-10-05T00:00:00"/>
    <n v="5157250"/>
    <s v="COTE PABÓN IRAIDA PAOLA"/>
    <n v="42"/>
    <n v="0"/>
    <n v="2330043"/>
  </r>
  <r>
    <s v="Franquicias Sell Out QUEST"/>
    <s v="FQ069-Saravena - Arauca"/>
    <x v="6"/>
    <s v="octubre"/>
    <n v="5"/>
    <d v="2026-10-05T00:00:00"/>
    <n v="1007419423"/>
    <s v="ZUTANEME HERNÁNDEZ GISELLY YULEDSY"/>
    <n v="39"/>
    <n v="0"/>
    <n v="2073954"/>
  </r>
  <r>
    <s v="Franquicias Sell Out QUEST"/>
    <s v="FQ069-Saravena - Arauca"/>
    <x v="6"/>
    <s v="octubre"/>
    <n v="5"/>
    <d v="2026-10-05T00:00:00"/>
    <n v="1049393048"/>
    <s v="GAMBOA ARAQUE VALERIE FERNANDA"/>
    <n v="49"/>
    <n v="0"/>
    <n v="2628110"/>
  </r>
  <r>
    <s v="Franquicias Sell Out QUEST"/>
    <s v="FQ069-Saravena - Arauca"/>
    <x v="6"/>
    <s v="octubre"/>
    <n v="6"/>
    <d v="2026-10-06T00:00:00"/>
    <m/>
    <m/>
    <n v="0"/>
    <n v="4243071"/>
    <n v="0"/>
  </r>
  <r>
    <s v="Franquicias Sell Out QUEST"/>
    <s v="FQ069-Saravena - Arauca"/>
    <x v="6"/>
    <s v="octubre"/>
    <n v="6"/>
    <d v="2026-10-06T00:00:00"/>
    <n v="5157250"/>
    <s v="COTE PABÓN IRAIDA PAOLA"/>
    <n v="11"/>
    <n v="0"/>
    <n v="596177"/>
  </r>
  <r>
    <s v="Franquicias Sell Out QUEST"/>
    <s v="FQ069-Saravena - Arauca"/>
    <x v="6"/>
    <s v="octubre"/>
    <n v="6"/>
    <d v="2026-10-06T00:00:00"/>
    <n v="1007419423"/>
    <s v="ZUTANEME HERNÁNDEZ GISELLY YULEDSY"/>
    <n v="22"/>
    <n v="0"/>
    <n v="1082982"/>
  </r>
  <r>
    <s v="Franquicias Sell Out QUEST"/>
    <s v="FQ069-Saravena - Arauca"/>
    <x v="6"/>
    <s v="octubre"/>
    <n v="6"/>
    <d v="2026-10-06T00:00:00"/>
    <n v="1049393048"/>
    <s v="GAMBOA ARAQUE VALERIE FERNANDA"/>
    <n v="17"/>
    <n v="0"/>
    <n v="1066472"/>
  </r>
  <r>
    <s v="Franquicias Sell Out QUEST"/>
    <s v="FQ069-Saravena - Arauca"/>
    <x v="6"/>
    <s v="octubre"/>
    <n v="7"/>
    <d v="2026-10-07T00:00:00"/>
    <m/>
    <m/>
    <n v="0"/>
    <n v="3312463"/>
    <n v="0"/>
  </r>
  <r>
    <s v="Franquicias Sell Out QUEST"/>
    <s v="FQ069-Saravena - Arauca"/>
    <x v="6"/>
    <s v="octubre"/>
    <n v="7"/>
    <d v="2026-10-07T00:00:00"/>
    <n v="5157250"/>
    <s v="COTE PABÓN IRAIDA PAOLA"/>
    <n v="43"/>
    <n v="0"/>
    <n v="2182649"/>
  </r>
  <r>
    <s v="Franquicias Sell Out QUEST"/>
    <s v="FQ069-Saravena - Arauca"/>
    <x v="6"/>
    <s v="octubre"/>
    <n v="7"/>
    <d v="2026-10-07T00:00:00"/>
    <n v="1007419423"/>
    <s v="ZUTANEME HERNÁNDEZ GISELLY YULEDSY"/>
    <n v="19"/>
    <n v="0"/>
    <n v="1301683"/>
  </r>
  <r>
    <s v="Franquicias Sell Out QUEST"/>
    <s v="FQ069-Saravena - Arauca"/>
    <x v="6"/>
    <s v="octubre"/>
    <n v="7"/>
    <d v="2026-10-07T00:00:00"/>
    <n v="1049393048"/>
    <s v="GAMBOA ARAQUE VALERIE FERNANDA"/>
    <n v="27"/>
    <n v="0"/>
    <n v="1551262"/>
  </r>
  <r>
    <s v="Franquicias Sell Out QUEST"/>
    <s v="FQ075-Fusagasuga - Cundinamarca"/>
    <x v="6"/>
    <s v="septiembre"/>
    <n v="23"/>
    <d v="2026-09-23T00:00:00"/>
    <m/>
    <m/>
    <n v="0"/>
    <n v="1993906"/>
    <n v="0"/>
  </r>
  <r>
    <s v="Franquicias Sell Out QUEST"/>
    <s v="FQ075-Fusagasuga - Cundinamarca"/>
    <x v="6"/>
    <s v="septiembre"/>
    <n v="23"/>
    <d v="2026-09-23T00:00:00"/>
    <n v="39619108"/>
    <s v="BELLO  ANA LUCIA"/>
    <n v="55"/>
    <n v="0"/>
    <n v="2829664"/>
  </r>
  <r>
    <s v="Franquicias Sell Out QUEST"/>
    <s v="FQ075-Fusagasuga - Cundinamarca"/>
    <x v="6"/>
    <s v="septiembre"/>
    <n v="24"/>
    <d v="2026-09-24T00:00:00"/>
    <m/>
    <m/>
    <n v="0"/>
    <n v="5156627"/>
    <n v="0"/>
  </r>
  <r>
    <s v="Franquicias Sell Out QUEST"/>
    <s v="FQ075-Fusagasuga - Cundinamarca"/>
    <x v="6"/>
    <s v="septiembre"/>
    <n v="24"/>
    <d v="2026-09-24T00:00:00"/>
    <n v="39619108"/>
    <s v="BELLO  ANA LUCIA"/>
    <n v="115"/>
    <n v="0"/>
    <n v="6154751"/>
  </r>
  <r>
    <s v="Franquicias Sell Out QUEST"/>
    <s v="FQ075-Fusagasuga - Cundinamarca"/>
    <x v="6"/>
    <s v="septiembre"/>
    <n v="25"/>
    <d v="2026-09-25T00:00:00"/>
    <m/>
    <m/>
    <n v="0"/>
    <n v="5507558"/>
    <n v="0"/>
  </r>
  <r>
    <s v="Franquicias Sell Out QUEST"/>
    <s v="FQ075-Fusagasuga - Cundinamarca"/>
    <x v="6"/>
    <s v="septiembre"/>
    <n v="25"/>
    <d v="2026-09-25T00:00:00"/>
    <n v="39619108"/>
    <s v="BELLO  ANA LUCIA"/>
    <n v="48"/>
    <n v="0"/>
    <n v="2294203"/>
  </r>
  <r>
    <s v="Franquicias Sell Out QUEST"/>
    <s v="FQ075-Fusagasuga - Cundinamarca"/>
    <x v="6"/>
    <s v="septiembre"/>
    <n v="26"/>
    <d v="2026-09-26T00:00:00"/>
    <m/>
    <m/>
    <n v="0"/>
    <n v="6944891"/>
    <n v="0"/>
  </r>
  <r>
    <s v="Franquicias Sell Out QUEST"/>
    <s v="FQ075-Fusagasuga - Cundinamarca"/>
    <x v="6"/>
    <s v="septiembre"/>
    <n v="26"/>
    <d v="2026-09-26T00:00:00"/>
    <n v="39619108"/>
    <s v="BELLO  ANA LUCIA"/>
    <n v="115"/>
    <n v="0"/>
    <n v="6341729"/>
  </r>
  <r>
    <s v="Franquicias Sell Out QUEST"/>
    <s v="FQ075-Fusagasuga - Cundinamarca"/>
    <x v="6"/>
    <s v="septiembre"/>
    <n v="27"/>
    <d v="2026-09-27T00:00:00"/>
    <m/>
    <m/>
    <n v="0"/>
    <n v="3666835"/>
    <n v="0"/>
  </r>
  <r>
    <s v="Franquicias Sell Out QUEST"/>
    <s v="FQ075-Fusagasuga - Cundinamarca"/>
    <x v="6"/>
    <s v="septiembre"/>
    <n v="27"/>
    <d v="2026-09-27T00:00:00"/>
    <n v="39619108"/>
    <s v="BELLO  ANA LUCIA"/>
    <n v="67"/>
    <n v="0"/>
    <n v="3729962"/>
  </r>
  <r>
    <s v="Franquicias Sell Out QUEST"/>
    <s v="FQ075-Fusagasuga - Cundinamarca"/>
    <x v="6"/>
    <s v="septiembre"/>
    <n v="28"/>
    <d v="2026-09-28T00:00:00"/>
    <m/>
    <m/>
    <n v="0"/>
    <n v="3006407"/>
    <n v="0"/>
  </r>
  <r>
    <s v="Franquicias Sell Out QUEST"/>
    <s v="FQ075-Fusagasuga - Cundinamarca"/>
    <x v="6"/>
    <s v="septiembre"/>
    <n v="28"/>
    <d v="2026-09-28T00:00:00"/>
    <n v="39619108"/>
    <s v="BELLO  ANA LUCIA"/>
    <n v="61"/>
    <n v="0"/>
    <n v="3940506"/>
  </r>
  <r>
    <s v="Franquicias Sell Out QUEST"/>
    <s v="FQ075-Fusagasuga - Cundinamarca"/>
    <x v="6"/>
    <s v="septiembre"/>
    <n v="29"/>
    <d v="2026-09-29T00:00:00"/>
    <m/>
    <m/>
    <n v="0"/>
    <n v="3342235"/>
    <n v="0"/>
  </r>
  <r>
    <s v="Franquicias Sell Out QUEST"/>
    <s v="FQ075-Fusagasuga - Cundinamarca"/>
    <x v="6"/>
    <s v="septiembre"/>
    <n v="29"/>
    <d v="2026-09-29T00:00:00"/>
    <n v="39619108"/>
    <s v="BELLO  ANA LUCIA"/>
    <n v="73"/>
    <n v="0"/>
    <n v="4589287"/>
  </r>
  <r>
    <s v="Franquicias Sell Out QUEST"/>
    <s v="FQ075-Fusagasuga - Cundinamarca"/>
    <x v="6"/>
    <s v="septiembre"/>
    <n v="30"/>
    <d v="2026-09-30T00:00:00"/>
    <m/>
    <m/>
    <n v="0"/>
    <n v="3539533"/>
    <n v="0"/>
  </r>
  <r>
    <s v="Franquicias Sell Out QUEST"/>
    <s v="FQ075-Fusagasuga - Cundinamarca"/>
    <x v="6"/>
    <s v="septiembre"/>
    <n v="30"/>
    <d v="2026-09-30T00:00:00"/>
    <n v="39619108"/>
    <s v="BELLO  ANA LUCIA"/>
    <n v="50"/>
    <n v="0"/>
    <n v="3222694"/>
  </r>
  <r>
    <s v="Franquicias Sell Out QUEST"/>
    <s v="FQ075-Fusagasuga - Cundinamarca"/>
    <x v="6"/>
    <s v="octubre"/>
    <n v="1"/>
    <d v="2026-10-01T00:00:00"/>
    <m/>
    <m/>
    <n v="0"/>
    <n v="3470108"/>
    <n v="0"/>
  </r>
  <r>
    <s v="Franquicias Sell Out QUEST"/>
    <s v="FQ075-Fusagasuga - Cundinamarca"/>
    <x v="6"/>
    <s v="octubre"/>
    <n v="1"/>
    <d v="2026-10-01T00:00:00"/>
    <n v="39619108"/>
    <s v="BELLO  ANA LUCIA"/>
    <n v="42"/>
    <n v="0"/>
    <n v="2321639"/>
  </r>
  <r>
    <s v="Franquicias Sell Out QUEST"/>
    <s v="FQ075-Fusagasuga - Cundinamarca"/>
    <x v="6"/>
    <s v="octubre"/>
    <n v="2"/>
    <d v="2026-10-02T00:00:00"/>
    <m/>
    <m/>
    <n v="0"/>
    <n v="6049780"/>
    <n v="0"/>
  </r>
  <r>
    <s v="Franquicias Sell Out QUEST"/>
    <s v="FQ075-Fusagasuga - Cundinamarca"/>
    <x v="6"/>
    <s v="octubre"/>
    <n v="2"/>
    <d v="2026-10-02T00:00:00"/>
    <n v="39619108"/>
    <s v="BELLO  ANA LUCIA"/>
    <n v="53"/>
    <n v="0"/>
    <n v="2993407"/>
  </r>
  <r>
    <s v="Franquicias Sell Out QUEST"/>
    <s v="FQ075-Fusagasuga - Cundinamarca"/>
    <x v="6"/>
    <s v="octubre"/>
    <n v="3"/>
    <d v="2026-10-03T00:00:00"/>
    <m/>
    <m/>
    <n v="0"/>
    <n v="5522922"/>
    <n v="0"/>
  </r>
  <r>
    <s v="Franquicias Sell Out QUEST"/>
    <s v="FQ075-Fusagasuga - Cundinamarca"/>
    <x v="6"/>
    <s v="octubre"/>
    <n v="3"/>
    <d v="2026-10-03T00:00:00"/>
    <n v="39619108"/>
    <s v="BELLO  ANA LUCIA"/>
    <n v="49"/>
    <n v="0"/>
    <n v="2748140"/>
  </r>
  <r>
    <s v="Franquicias Sell Out QUEST"/>
    <s v="FQ075-Fusagasuga - Cundinamarca"/>
    <x v="6"/>
    <s v="octubre"/>
    <n v="4"/>
    <d v="2026-10-04T00:00:00"/>
    <m/>
    <m/>
    <n v="0"/>
    <n v="4376115"/>
    <n v="0"/>
  </r>
  <r>
    <s v="Franquicias Sell Out QUEST"/>
    <s v="FQ075-Fusagasuga - Cundinamarca"/>
    <x v="6"/>
    <s v="octubre"/>
    <n v="4"/>
    <d v="2026-10-04T00:00:00"/>
    <n v="39619108"/>
    <s v="BELLO  ANA LUCIA"/>
    <n v="98"/>
    <n v="0"/>
    <n v="5669959"/>
  </r>
  <r>
    <s v="Franquicias Sell Out QUEST"/>
    <s v="FQ075-Fusagasuga - Cundinamarca"/>
    <x v="6"/>
    <s v="octubre"/>
    <n v="5"/>
    <d v="2026-10-05T00:00:00"/>
    <m/>
    <m/>
    <n v="0"/>
    <n v="2996716"/>
    <n v="0"/>
  </r>
  <r>
    <s v="Franquicias Sell Out QUEST"/>
    <s v="FQ075-Fusagasuga - Cundinamarca"/>
    <x v="6"/>
    <s v="octubre"/>
    <n v="5"/>
    <d v="2026-10-05T00:00:00"/>
    <n v="39619108"/>
    <s v="BELLO  ANA LUCIA"/>
    <n v="53"/>
    <n v="0"/>
    <n v="3203236"/>
  </r>
  <r>
    <s v="Franquicias Sell Out QUEST"/>
    <s v="FQ075-Fusagasuga - Cundinamarca"/>
    <x v="6"/>
    <s v="octubre"/>
    <n v="6"/>
    <d v="2026-10-06T00:00:00"/>
    <m/>
    <m/>
    <n v="0"/>
    <n v="2932134"/>
    <n v="0"/>
  </r>
  <r>
    <s v="Franquicias Sell Out QUEST"/>
    <s v="FQ075-Fusagasuga - Cundinamarca"/>
    <x v="6"/>
    <s v="octubre"/>
    <n v="6"/>
    <d v="2026-10-06T00:00:00"/>
    <n v="39619108"/>
    <s v="BELLO  ANA LUCIA"/>
    <n v="30"/>
    <n v="0"/>
    <n v="1441934"/>
  </r>
  <r>
    <s v="Franquicias Sell Out QUEST"/>
    <s v="FQ075-Fusagasuga - Cundinamarca"/>
    <x v="6"/>
    <s v="octubre"/>
    <n v="7"/>
    <d v="2026-10-07T00:00:00"/>
    <m/>
    <m/>
    <n v="0"/>
    <n v="2559440"/>
    <n v="0"/>
  </r>
  <r>
    <s v="Franquicias Sell Out QUEST"/>
    <s v="FQ075-Fusagasuga - Cundinamarca"/>
    <x v="6"/>
    <s v="octubre"/>
    <n v="7"/>
    <d v="2026-10-07T00:00:00"/>
    <n v="39619108"/>
    <s v="BELLO  ANA LUCIA"/>
    <n v="9"/>
    <n v="0"/>
    <n v="570924"/>
  </r>
  <r>
    <s v="Franquicias Sell Out QUEST"/>
    <s v="FQ100 - Puerto Carreño - Vichada"/>
    <x v="6"/>
    <s v="septiembre"/>
    <n v="23"/>
    <d v="2026-09-23T00:00:00"/>
    <m/>
    <m/>
    <n v="0"/>
    <n v="2519346"/>
    <n v="0"/>
  </r>
  <r>
    <s v="Franquicias Sell Out QUEST"/>
    <s v="FQ100 - Puerto Carreño - Vichada"/>
    <x v="6"/>
    <s v="septiembre"/>
    <n v="23"/>
    <d v="2026-09-23T00:00:00"/>
    <n v="1120964208"/>
    <s v="GARCÍA DAZA DANNA KATHERINE"/>
    <n v="92"/>
    <n v="0"/>
    <n v="5548465"/>
  </r>
  <r>
    <s v="Franquicias Sell Out QUEST"/>
    <s v="FQ100 - Puerto Carreño - Vichada"/>
    <x v="6"/>
    <s v="septiembre"/>
    <n v="24"/>
    <d v="2026-09-24T00:00:00"/>
    <m/>
    <m/>
    <n v="0"/>
    <n v="6515503"/>
    <n v="0"/>
  </r>
  <r>
    <s v="Franquicias Sell Out QUEST"/>
    <s v="FQ100 - Puerto Carreño - Vichada"/>
    <x v="6"/>
    <s v="septiembre"/>
    <n v="24"/>
    <d v="2026-09-24T00:00:00"/>
    <n v="1120964208"/>
    <s v="GARCÍA DAZA DANNA KATHERINE"/>
    <n v="83"/>
    <n v="0"/>
    <n v="4435482"/>
  </r>
  <r>
    <s v="Franquicias Sell Out QUEST"/>
    <s v="FQ100 - Puerto Carreño - Vichada"/>
    <x v="6"/>
    <s v="septiembre"/>
    <n v="25"/>
    <d v="2026-09-25T00:00:00"/>
    <m/>
    <m/>
    <n v="0"/>
    <n v="6958917"/>
    <n v="0"/>
  </r>
  <r>
    <s v="Franquicias Sell Out QUEST"/>
    <s v="FQ100 - Puerto Carreño - Vichada"/>
    <x v="6"/>
    <s v="septiembre"/>
    <n v="25"/>
    <d v="2026-09-25T00:00:00"/>
    <n v="1120964208"/>
    <s v="GARCÍA DAZA DANNA KATHERINE"/>
    <n v="131"/>
    <n v="0"/>
    <n v="6242060"/>
  </r>
  <r>
    <s v="Franquicias Sell Out QUEST"/>
    <s v="FQ100 - Puerto Carreño - Vichada"/>
    <x v="6"/>
    <s v="septiembre"/>
    <n v="26"/>
    <d v="2026-09-26T00:00:00"/>
    <m/>
    <m/>
    <n v="0"/>
    <n v="8775016"/>
    <n v="0"/>
  </r>
  <r>
    <s v="Franquicias Sell Out QUEST"/>
    <s v="FQ100 - Puerto Carreño - Vichada"/>
    <x v="6"/>
    <s v="septiembre"/>
    <n v="26"/>
    <d v="2026-09-26T00:00:00"/>
    <n v="1120964208"/>
    <s v="GARCÍA DAZA DANNA KATHERINE"/>
    <n v="91"/>
    <n v="0"/>
    <n v="4825612"/>
  </r>
  <r>
    <s v="Franquicias Sell Out QUEST"/>
    <s v="FQ100 - Puerto Carreño - Vichada"/>
    <x v="6"/>
    <s v="septiembre"/>
    <n v="27"/>
    <d v="2026-09-27T00:00:00"/>
    <m/>
    <m/>
    <n v="0"/>
    <n v="4633125"/>
    <n v="0"/>
  </r>
  <r>
    <s v="Franquicias Sell Out QUEST"/>
    <s v="FQ100 - Puerto Carreño - Vichada"/>
    <x v="6"/>
    <s v="septiembre"/>
    <n v="27"/>
    <d v="2026-09-27T00:00:00"/>
    <n v="1120964208"/>
    <s v="GARCÍA DAZA DANNA KATHERINE"/>
    <n v="22"/>
    <n v="0"/>
    <n v="1005204"/>
  </r>
  <r>
    <s v="Franquicias Sell Out QUEST"/>
    <s v="FQ100 - Puerto Carreño - Vichada"/>
    <x v="6"/>
    <s v="septiembre"/>
    <n v="28"/>
    <d v="2026-09-28T00:00:00"/>
    <m/>
    <m/>
    <n v="0"/>
    <n v="3798661"/>
    <n v="0"/>
  </r>
  <r>
    <s v="Franquicias Sell Out QUEST"/>
    <s v="FQ100 - Puerto Carreño - Vichada"/>
    <x v="6"/>
    <s v="septiembre"/>
    <n v="28"/>
    <d v="2026-09-28T00:00:00"/>
    <n v="1120964208"/>
    <s v="GARCÍA DAZA DANNA KATHERINE"/>
    <n v="52"/>
    <n v="0"/>
    <n v="2743468"/>
  </r>
  <r>
    <s v="Franquicias Sell Out QUEST"/>
    <s v="FQ100 - Puerto Carreño - Vichada"/>
    <x v="6"/>
    <s v="septiembre"/>
    <n v="29"/>
    <d v="2026-09-29T00:00:00"/>
    <m/>
    <m/>
    <n v="0"/>
    <n v="4222984"/>
    <n v="0"/>
  </r>
  <r>
    <s v="Franquicias Sell Out QUEST"/>
    <s v="FQ100 - Puerto Carreño - Vichada"/>
    <x v="6"/>
    <s v="septiembre"/>
    <n v="29"/>
    <d v="2026-09-29T00:00:00"/>
    <n v="1120964208"/>
    <s v="GARCÍA DAZA DANNA KATHERINE"/>
    <n v="62"/>
    <n v="0"/>
    <n v="3295318"/>
  </r>
  <r>
    <s v="Franquicias Sell Out QUEST"/>
    <s v="FQ100 - Puerto Carreño - Vichada"/>
    <x v="6"/>
    <s v="septiembre"/>
    <n v="30"/>
    <d v="2026-09-30T00:00:00"/>
    <m/>
    <m/>
    <n v="0"/>
    <n v="4472276"/>
    <n v="0"/>
  </r>
  <r>
    <s v="Franquicias Sell Out QUEST"/>
    <s v="FQ100 - Puerto Carreño - Vichada"/>
    <x v="6"/>
    <s v="septiembre"/>
    <n v="30"/>
    <d v="2026-09-30T00:00:00"/>
    <n v="1120964208"/>
    <s v="GARCÍA DAZA DANNA KATHERINE"/>
    <n v="58"/>
    <n v="0"/>
    <n v="3108596"/>
  </r>
  <r>
    <s v="Franquicias Sell Out QUEST"/>
    <s v="FQ100 - Puerto Carreño - Vichada"/>
    <x v="6"/>
    <s v="octubre"/>
    <n v="1"/>
    <d v="2026-10-01T00:00:00"/>
    <m/>
    <m/>
    <n v="0"/>
    <n v="4085781"/>
    <n v="0"/>
  </r>
  <r>
    <s v="Franquicias Sell Out QUEST"/>
    <s v="FQ100 - Puerto Carreño - Vichada"/>
    <x v="6"/>
    <s v="octubre"/>
    <n v="1"/>
    <d v="2026-10-01T00:00:00"/>
    <n v="1120964208"/>
    <s v="GARCÍA DAZA DANNA KATHERINE"/>
    <n v="112"/>
    <n v="0"/>
    <n v="5887187"/>
  </r>
  <r>
    <s v="Franquicias Sell Out QUEST"/>
    <s v="FQ100 - Puerto Carreño - Vichada"/>
    <x v="6"/>
    <s v="octubre"/>
    <n v="2"/>
    <d v="2026-10-02T00:00:00"/>
    <m/>
    <m/>
    <n v="0"/>
    <n v="7936742"/>
    <n v="0"/>
  </r>
  <r>
    <s v="Franquicias Sell Out QUEST"/>
    <s v="FQ100 - Puerto Carreño - Vichada"/>
    <x v="6"/>
    <s v="octubre"/>
    <n v="2"/>
    <d v="2026-10-02T00:00:00"/>
    <n v="1120964208"/>
    <s v="GARCÍA DAZA DANNA KATHERINE"/>
    <n v="86"/>
    <n v="0"/>
    <n v="4384998"/>
  </r>
  <r>
    <s v="Franquicias Sell Out QUEST"/>
    <s v="FQ100 - Puerto Carreño - Vichada"/>
    <x v="6"/>
    <s v="octubre"/>
    <n v="3"/>
    <d v="2026-10-03T00:00:00"/>
    <m/>
    <m/>
    <n v="0"/>
    <n v="7806109"/>
    <n v="0"/>
  </r>
  <r>
    <s v="Franquicias Sell Out QUEST"/>
    <s v="FQ100 - Puerto Carreño - Vichada"/>
    <x v="6"/>
    <s v="octubre"/>
    <n v="3"/>
    <d v="2026-10-03T00:00:00"/>
    <n v="1120964208"/>
    <s v="GARCÍA DAZA DANNA KATHERINE"/>
    <n v="83"/>
    <n v="0"/>
    <n v="3905617"/>
  </r>
  <r>
    <s v="Franquicias Sell Out QUEST"/>
    <s v="FQ100 - Puerto Carreño - Vichada"/>
    <x v="6"/>
    <s v="octubre"/>
    <n v="4"/>
    <d v="2026-10-04T00:00:00"/>
    <m/>
    <m/>
    <n v="0"/>
    <n v="7892905"/>
    <n v="0"/>
  </r>
  <r>
    <s v="Franquicias Sell Out QUEST"/>
    <s v="FQ100 - Puerto Carreño - Vichada"/>
    <x v="6"/>
    <s v="octubre"/>
    <n v="4"/>
    <d v="2026-10-04T00:00:00"/>
    <n v="1120964208"/>
    <s v="GARCÍA DAZA DANNA KATHERINE"/>
    <n v="47"/>
    <n v="0"/>
    <n v="2274476"/>
  </r>
  <r>
    <s v="Franquicias Sell Out QUEST"/>
    <s v="FQ100 - Puerto Carreño - Vichada"/>
    <x v="6"/>
    <s v="octubre"/>
    <n v="5"/>
    <d v="2026-10-05T00:00:00"/>
    <m/>
    <m/>
    <n v="0"/>
    <n v="10118752"/>
    <n v="0"/>
  </r>
  <r>
    <s v="Franquicias Sell Out QUEST"/>
    <s v="FQ100 - Puerto Carreño - Vichada"/>
    <x v="6"/>
    <s v="octubre"/>
    <n v="5"/>
    <d v="2026-10-05T00:00:00"/>
    <n v="1120964208"/>
    <s v="GARCÍA DAZA DANNA KATHERINE"/>
    <n v="62"/>
    <n v="0"/>
    <n v="3108387"/>
  </r>
  <r>
    <s v="Franquicias Sell Out QUEST"/>
    <s v="FQ100 - Puerto Carreño - Vichada"/>
    <x v="6"/>
    <s v="octubre"/>
    <n v="6"/>
    <d v="2026-10-06T00:00:00"/>
    <m/>
    <m/>
    <n v="0"/>
    <n v="4980363"/>
    <n v="0"/>
  </r>
  <r>
    <s v="Franquicias Sell Out QUEST"/>
    <s v="FQ100 - Puerto Carreño - Vichada"/>
    <x v="6"/>
    <s v="octubre"/>
    <n v="6"/>
    <d v="2026-10-06T00:00:00"/>
    <n v="1120964208"/>
    <s v="GARCÍA DAZA DANNA KATHERINE"/>
    <n v="41"/>
    <n v="0"/>
    <n v="2289605"/>
  </r>
  <r>
    <s v="Franquicias Sell Out QUEST"/>
    <s v="FQ100 - Puerto Carreño - Vichada"/>
    <x v="6"/>
    <s v="octubre"/>
    <n v="7"/>
    <d v="2026-10-07T00:00:00"/>
    <m/>
    <m/>
    <n v="0"/>
    <n v="2947603"/>
    <n v="0"/>
  </r>
  <r>
    <s v="Franquicias Sell Out QUEST"/>
    <s v="FQ100 - Puerto Carreño - Vichada"/>
    <x v="6"/>
    <s v="octubre"/>
    <n v="7"/>
    <d v="2026-10-07T00:00:00"/>
    <n v="1120964208"/>
    <s v="GARCÍA DAZA DANNA KATHERINE"/>
    <n v="36"/>
    <n v="0"/>
    <n v="1505721"/>
  </r>
  <r>
    <s v="Franquicias Sell Out QUEST"/>
    <s v="FQ93 - Sogamoso - Boyacá"/>
    <x v="6"/>
    <s v="septiembre"/>
    <n v="23"/>
    <d v="2026-09-23T00:00:00"/>
    <m/>
    <m/>
    <n v="0"/>
    <n v="1165570"/>
    <n v="0"/>
  </r>
  <r>
    <s v="Franquicias Sell Out QUEST"/>
    <s v="FQ93 - Sogamoso - Boyacá"/>
    <x v="6"/>
    <s v="septiembre"/>
    <n v="23"/>
    <d v="2026-09-23T00:00:00"/>
    <n v="1044429355"/>
    <s v="GARCIAS RONDEROS DIARA"/>
    <n v="17"/>
    <n v="0"/>
    <n v="948887"/>
  </r>
  <r>
    <s v="Franquicias Sell Out QUEST"/>
    <s v="FQ93 - Sogamoso - Boyacá"/>
    <x v="6"/>
    <s v="septiembre"/>
    <n v="23"/>
    <d v="2026-09-23T00:00:00"/>
    <n v="1057597569"/>
    <s v="MONTAÑA BOADA LEIDY VIVIANA"/>
    <n v="9"/>
    <n v="0"/>
    <n v="587857"/>
  </r>
  <r>
    <s v="Franquicias Sell Out QUEST"/>
    <s v="FQ93 - Sogamoso - Boyacá"/>
    <x v="6"/>
    <s v="septiembre"/>
    <n v="24"/>
    <d v="2026-09-24T00:00:00"/>
    <m/>
    <m/>
    <n v="0"/>
    <n v="3014396"/>
    <n v="0"/>
  </r>
  <r>
    <s v="Franquicias Sell Out QUEST"/>
    <s v="FQ93 - Sogamoso - Boyacá"/>
    <x v="6"/>
    <s v="septiembre"/>
    <n v="24"/>
    <d v="2026-09-24T00:00:00"/>
    <n v="1044429355"/>
    <s v="GARCIAS RONDEROS DIARA"/>
    <n v="14"/>
    <n v="0"/>
    <n v="894370"/>
  </r>
  <r>
    <s v="Franquicias Sell Out QUEST"/>
    <s v="FQ93 - Sogamoso - Boyacá"/>
    <x v="6"/>
    <s v="septiembre"/>
    <n v="24"/>
    <d v="2026-09-24T00:00:00"/>
    <n v="1057597569"/>
    <s v="MONTAÑA BOADA LEIDY VIVIANA"/>
    <n v="4"/>
    <n v="0"/>
    <n v="230925"/>
  </r>
  <r>
    <s v="Franquicias Sell Out QUEST"/>
    <s v="FQ93 - Sogamoso - Boyacá"/>
    <x v="6"/>
    <s v="septiembre"/>
    <n v="25"/>
    <d v="2026-09-25T00:00:00"/>
    <m/>
    <m/>
    <n v="0"/>
    <n v="3219538"/>
    <n v="0"/>
  </r>
  <r>
    <s v="Franquicias Sell Out QUEST"/>
    <s v="FQ93 - Sogamoso - Boyacá"/>
    <x v="6"/>
    <s v="septiembre"/>
    <n v="25"/>
    <d v="2026-09-25T00:00:00"/>
    <n v="1044429355"/>
    <s v="GARCIAS RONDEROS DIARA"/>
    <n v="16"/>
    <n v="0"/>
    <n v="919497"/>
  </r>
  <r>
    <s v="Franquicias Sell Out QUEST"/>
    <s v="FQ93 - Sogamoso - Boyacá"/>
    <x v="6"/>
    <s v="septiembre"/>
    <n v="25"/>
    <d v="2026-09-25T00:00:00"/>
    <n v="1057597569"/>
    <s v="MONTAÑA BOADA LEIDY VIVIANA"/>
    <n v="27"/>
    <n v="0"/>
    <n v="1603910"/>
  </r>
  <r>
    <s v="Franquicias Sell Out QUEST"/>
    <s v="FQ93 - Sogamoso - Boyacá"/>
    <x v="6"/>
    <s v="septiembre"/>
    <n v="26"/>
    <d v="2026-09-26T00:00:00"/>
    <m/>
    <m/>
    <n v="0"/>
    <n v="4059762"/>
    <n v="0"/>
  </r>
  <r>
    <s v="Franquicias Sell Out QUEST"/>
    <s v="FQ93 - Sogamoso - Boyacá"/>
    <x v="6"/>
    <s v="septiembre"/>
    <n v="26"/>
    <d v="2026-09-26T00:00:00"/>
    <n v="1044429355"/>
    <s v="GARCIAS RONDEROS DIARA"/>
    <n v="27"/>
    <n v="0"/>
    <n v="1864371"/>
  </r>
  <r>
    <s v="Franquicias Sell Out QUEST"/>
    <s v="FQ93 - Sogamoso - Boyacá"/>
    <x v="6"/>
    <s v="septiembre"/>
    <n v="26"/>
    <d v="2026-09-26T00:00:00"/>
    <n v="1057597569"/>
    <s v="MONTAÑA BOADA LEIDY VIVIANA"/>
    <n v="57"/>
    <n v="0"/>
    <n v="2577019"/>
  </r>
  <r>
    <s v="Franquicias Sell Out QUEST"/>
    <s v="FQ93 - Sogamoso - Boyacá"/>
    <x v="6"/>
    <s v="septiembre"/>
    <n v="27"/>
    <d v="2026-09-27T00:00:00"/>
    <m/>
    <m/>
    <n v="0"/>
    <n v="2143511"/>
    <n v="0"/>
  </r>
  <r>
    <s v="Franquicias Sell Out QUEST"/>
    <s v="FQ93 - Sogamoso - Boyacá"/>
    <x v="6"/>
    <s v="septiembre"/>
    <n v="27"/>
    <d v="2026-09-27T00:00:00"/>
    <n v="1044429355"/>
    <s v="GARCIAS RONDEROS DIARA"/>
    <n v="35"/>
    <n v="0"/>
    <n v="1870168"/>
  </r>
  <r>
    <s v="Franquicias Sell Out QUEST"/>
    <s v="FQ93 - Sogamoso - Boyacá"/>
    <x v="6"/>
    <s v="septiembre"/>
    <n v="28"/>
    <d v="2026-09-28T00:00:00"/>
    <m/>
    <m/>
    <n v="0"/>
    <n v="1757448"/>
    <n v="0"/>
  </r>
  <r>
    <s v="Franquicias Sell Out QUEST"/>
    <s v="FQ93 - Sogamoso - Boyacá"/>
    <x v="6"/>
    <s v="septiembre"/>
    <n v="28"/>
    <d v="2026-09-28T00:00:00"/>
    <n v="1044429355"/>
    <s v="GARCIAS RONDEROS DIARA"/>
    <n v="37"/>
    <n v="0"/>
    <n v="1817690"/>
  </r>
  <r>
    <s v="Franquicias Sell Out QUEST"/>
    <s v="FQ93 - Sogamoso - Boyacá"/>
    <x v="6"/>
    <s v="septiembre"/>
    <n v="28"/>
    <d v="2026-09-28T00:00:00"/>
    <n v="1057597569"/>
    <s v="MONTAÑA BOADA LEIDY VIVIANA"/>
    <n v="17"/>
    <n v="0"/>
    <n v="826767"/>
  </r>
  <r>
    <s v="Franquicias Sell Out QUEST"/>
    <s v="FQ93 - Sogamoso - Boyacá"/>
    <x v="6"/>
    <s v="septiembre"/>
    <n v="29"/>
    <d v="2026-09-29T00:00:00"/>
    <m/>
    <m/>
    <n v="0"/>
    <n v="1953762"/>
    <n v="0"/>
  </r>
  <r>
    <s v="Franquicias Sell Out QUEST"/>
    <s v="FQ93 - Sogamoso - Boyacá"/>
    <x v="6"/>
    <s v="septiembre"/>
    <n v="29"/>
    <d v="2026-09-29T00:00:00"/>
    <n v="1044429355"/>
    <s v="GARCIAS RONDEROS DIARA"/>
    <n v="29"/>
    <n v="0"/>
    <n v="1649876"/>
  </r>
  <r>
    <s v="Franquicias Sell Out QUEST"/>
    <s v="FQ93 - Sogamoso - Boyacá"/>
    <x v="6"/>
    <s v="septiembre"/>
    <n v="29"/>
    <d v="2026-09-29T00:00:00"/>
    <n v="1057597569"/>
    <s v="MONTAÑA BOADA LEIDY VIVIANA"/>
    <n v="24"/>
    <n v="0"/>
    <n v="1322396"/>
  </r>
  <r>
    <s v="Franquicias Sell Out QUEST"/>
    <s v="FQ93 - Sogamoso - Boyacá"/>
    <x v="6"/>
    <s v="septiembre"/>
    <n v="30"/>
    <d v="2026-09-30T00:00:00"/>
    <m/>
    <m/>
    <n v="0"/>
    <n v="2069098"/>
    <n v="0"/>
  </r>
  <r>
    <s v="Franquicias Sell Out QUEST"/>
    <s v="FQ93 - Sogamoso - Boyacá"/>
    <x v="6"/>
    <s v="septiembre"/>
    <n v="30"/>
    <d v="2026-09-30T00:00:00"/>
    <n v="1044429355"/>
    <s v="GARCIAS RONDEROS DIARA"/>
    <n v="26"/>
    <n v="0"/>
    <n v="1183487"/>
  </r>
  <r>
    <s v="Franquicias Sell Out QUEST"/>
    <s v="FQ93 - Sogamoso - Boyacá"/>
    <x v="6"/>
    <s v="septiembre"/>
    <n v="30"/>
    <d v="2026-09-30T00:00:00"/>
    <n v="1057597569"/>
    <s v="MONTAÑA BOADA LEIDY VIVIANA"/>
    <n v="13"/>
    <n v="0"/>
    <n v="848025"/>
  </r>
  <r>
    <s v="Franquicias Sell Out QUEST"/>
    <s v="FQ93 - Sogamoso - Boyacá"/>
    <x v="6"/>
    <s v="octubre"/>
    <n v="1"/>
    <d v="2026-10-01T00:00:00"/>
    <m/>
    <m/>
    <n v="0"/>
    <n v="2344321"/>
    <n v="0"/>
  </r>
  <r>
    <s v="Franquicias Sell Out QUEST"/>
    <s v="FQ93 - Sogamoso - Boyacá"/>
    <x v="6"/>
    <s v="octubre"/>
    <n v="1"/>
    <d v="2026-10-01T00:00:00"/>
    <n v="1002536132"/>
    <s v="MORENO  SOFIA"/>
    <n v="4"/>
    <n v="0"/>
    <n v="201471"/>
  </r>
  <r>
    <s v="Franquicias Sell Out QUEST"/>
    <s v="FQ93 - Sogamoso - Boyacá"/>
    <x v="6"/>
    <s v="octubre"/>
    <n v="1"/>
    <d v="2026-10-01T00:00:00"/>
    <n v="1044429355"/>
    <s v="GARCIAS RONDEROS DIARA"/>
    <n v="17"/>
    <n v="0"/>
    <n v="805923"/>
  </r>
  <r>
    <s v="Franquicias Sell Out QUEST"/>
    <s v="FQ93 - Sogamoso - Boyacá"/>
    <x v="6"/>
    <s v="octubre"/>
    <n v="1"/>
    <d v="2026-10-01T00:00:00"/>
    <n v="1057597569"/>
    <s v="MONTAÑA BOADA LEIDY VIVIANA"/>
    <n v="26"/>
    <n v="0"/>
    <n v="1242395"/>
  </r>
  <r>
    <s v="Franquicias Sell Out QUEST"/>
    <s v="FQ93 - Sogamoso - Boyacá"/>
    <x v="6"/>
    <s v="octubre"/>
    <n v="2"/>
    <d v="2026-10-02T00:00:00"/>
    <m/>
    <m/>
    <n v="0"/>
    <n v="3526212"/>
    <n v="0"/>
  </r>
  <r>
    <s v="Franquicias Sell Out QUEST"/>
    <s v="FQ93 - Sogamoso - Boyacá"/>
    <x v="6"/>
    <s v="octubre"/>
    <n v="2"/>
    <d v="2026-10-02T00:00:00"/>
    <n v="1002536132"/>
    <s v="MORENO  SOFIA"/>
    <n v="2"/>
    <n v="0"/>
    <n v="210000"/>
  </r>
  <r>
    <s v="Franquicias Sell Out QUEST"/>
    <s v="FQ93 - Sogamoso - Boyacá"/>
    <x v="6"/>
    <s v="octubre"/>
    <n v="2"/>
    <d v="2026-10-02T00:00:00"/>
    <n v="1044429355"/>
    <s v="GARCIAS RONDEROS DIARA"/>
    <n v="33"/>
    <n v="0"/>
    <n v="1859622"/>
  </r>
  <r>
    <s v="Franquicias Sell Out QUEST"/>
    <s v="FQ93 - Sogamoso - Boyacá"/>
    <x v="6"/>
    <s v="octubre"/>
    <n v="2"/>
    <d v="2026-10-02T00:00:00"/>
    <n v="1057597569"/>
    <s v="MONTAÑA BOADA LEIDY VIVIANA"/>
    <n v="20"/>
    <n v="0"/>
    <n v="1087144"/>
  </r>
  <r>
    <s v="Franquicias Sell Out QUEST"/>
    <s v="FQ93 - Sogamoso - Boyacá"/>
    <x v="6"/>
    <s v="octubre"/>
    <n v="3"/>
    <d v="2026-10-03T00:00:00"/>
    <m/>
    <m/>
    <n v="0"/>
    <n v="6034169"/>
    <n v="0"/>
  </r>
  <r>
    <s v="Franquicias Sell Out QUEST"/>
    <s v="FQ93 - Sogamoso - Boyacá"/>
    <x v="6"/>
    <s v="octubre"/>
    <n v="3"/>
    <d v="2026-10-03T00:00:00"/>
    <n v="1002536132"/>
    <s v="MORENO  SOFIA"/>
    <n v="16"/>
    <n v="0"/>
    <n v="1043078"/>
  </r>
  <r>
    <s v="Franquicias Sell Out QUEST"/>
    <s v="FQ93 - Sogamoso - Boyacá"/>
    <x v="6"/>
    <s v="octubre"/>
    <n v="3"/>
    <d v="2026-10-03T00:00:00"/>
    <n v="1044429355"/>
    <s v="GARCIAS RONDEROS DIARA"/>
    <n v="15"/>
    <n v="0"/>
    <n v="882161"/>
  </r>
  <r>
    <s v="Franquicias Sell Out QUEST"/>
    <s v="FQ93 - Sogamoso - Boyacá"/>
    <x v="6"/>
    <s v="octubre"/>
    <n v="3"/>
    <d v="2026-10-03T00:00:00"/>
    <n v="1057597569"/>
    <s v="MONTAÑA BOADA LEIDY VIVIANA"/>
    <n v="81"/>
    <n v="0"/>
    <n v="4089196"/>
  </r>
  <r>
    <s v="Franquicias Sell Out QUEST"/>
    <s v="FQ93 - Sogamoso - Boyacá"/>
    <x v="6"/>
    <s v="octubre"/>
    <n v="4"/>
    <d v="2026-10-04T00:00:00"/>
    <m/>
    <m/>
    <n v="0"/>
    <n v="5663436"/>
    <n v="0"/>
  </r>
  <r>
    <s v="Franquicias Sell Out QUEST"/>
    <s v="FQ93 - Sogamoso - Boyacá"/>
    <x v="6"/>
    <s v="octubre"/>
    <n v="4"/>
    <d v="2026-10-04T00:00:00"/>
    <n v="1002536132"/>
    <s v="MORENO  SOFIA"/>
    <n v="13"/>
    <n v="0"/>
    <n v="795633"/>
  </r>
  <r>
    <s v="Franquicias Sell Out QUEST"/>
    <s v="FQ93 - Sogamoso - Boyacá"/>
    <x v="6"/>
    <s v="octubre"/>
    <n v="4"/>
    <d v="2026-10-04T00:00:00"/>
    <n v="1057597569"/>
    <s v="MONTAÑA BOADA LEIDY VIVIANA"/>
    <n v="44"/>
    <n v="0"/>
    <n v="2298282"/>
  </r>
  <r>
    <s v="Franquicias Sell Out QUEST"/>
    <s v="FQ93 - Sogamoso - Boyacá"/>
    <x v="6"/>
    <s v="octubre"/>
    <n v="5"/>
    <d v="2026-10-05T00:00:00"/>
    <m/>
    <m/>
    <n v="0"/>
    <n v="4118150"/>
    <n v="0"/>
  </r>
  <r>
    <s v="Franquicias Sell Out QUEST"/>
    <s v="FQ93 - Sogamoso - Boyacá"/>
    <x v="6"/>
    <s v="octubre"/>
    <n v="5"/>
    <d v="2026-10-05T00:00:00"/>
    <n v="1002536132"/>
    <s v="MORENO  SOFIA"/>
    <n v="6"/>
    <n v="0"/>
    <n v="407269"/>
  </r>
  <r>
    <s v="Franquicias Sell Out QUEST"/>
    <s v="FQ93 - Sogamoso - Boyacá"/>
    <x v="6"/>
    <s v="octubre"/>
    <n v="5"/>
    <d v="2026-10-05T00:00:00"/>
    <n v="1044429355"/>
    <s v="GARCIAS RONDEROS DIARA"/>
    <n v="8"/>
    <n v="0"/>
    <n v="403026"/>
  </r>
  <r>
    <s v="Franquicias Sell Out QUEST"/>
    <s v="FQ93 - Sogamoso - Boyacá"/>
    <x v="6"/>
    <s v="octubre"/>
    <n v="5"/>
    <d v="2026-10-05T00:00:00"/>
    <n v="1057597569"/>
    <s v="MONTAÑA BOADA LEIDY VIVIANA"/>
    <n v="22"/>
    <n v="0"/>
    <n v="1089330"/>
  </r>
  <r>
    <s v="Franquicias Sell Out QUEST"/>
    <s v="FQ93 - Sogamoso - Boyacá"/>
    <x v="6"/>
    <s v="octubre"/>
    <n v="6"/>
    <d v="2026-10-06T00:00:00"/>
    <m/>
    <m/>
    <n v="0"/>
    <n v="3283329"/>
    <n v="0"/>
  </r>
  <r>
    <s v="Franquicias Sell Out QUEST"/>
    <s v="FQ93 - Sogamoso - Boyacá"/>
    <x v="6"/>
    <s v="octubre"/>
    <n v="6"/>
    <d v="2026-10-06T00:00:00"/>
    <n v="1002536132"/>
    <s v="MORENO  SOFIA"/>
    <n v="10"/>
    <n v="0"/>
    <n v="524814"/>
  </r>
  <r>
    <s v="Franquicias Sell Out QUEST"/>
    <s v="FQ93 - Sogamoso - Boyacá"/>
    <x v="6"/>
    <s v="octubre"/>
    <n v="6"/>
    <d v="2026-10-06T00:00:00"/>
    <n v="1044429355"/>
    <s v="GARCIAS RONDEROS DIARA"/>
    <n v="5"/>
    <n v="0"/>
    <n v="273723"/>
  </r>
  <r>
    <s v="Franquicias Sell Out QUEST"/>
    <s v="FQ93 - Sogamoso - Boyacá"/>
    <x v="6"/>
    <s v="octubre"/>
    <n v="6"/>
    <d v="2026-10-06T00:00:00"/>
    <n v="1057597569"/>
    <s v="MONTAÑA BOADA LEIDY VIVIANA"/>
    <n v="9"/>
    <n v="0"/>
    <n v="585778"/>
  </r>
  <r>
    <s v="Franquicias Sell Out QUEST"/>
    <s v="FQ93 - Sogamoso - Boyacá"/>
    <x v="6"/>
    <s v="octubre"/>
    <n v="7"/>
    <d v="2026-10-07T00:00:00"/>
    <m/>
    <m/>
    <n v="0"/>
    <n v="892900"/>
    <n v="0"/>
  </r>
  <r>
    <s v="Franquicias Sell Out QUEST"/>
    <s v="FQ93 - Sogamoso - Boyacá"/>
    <x v="6"/>
    <s v="octubre"/>
    <n v="7"/>
    <d v="2026-10-07T00:00:00"/>
    <n v="1044429355"/>
    <s v="GARCIAS RONDEROS DIARA"/>
    <n v="22"/>
    <n v="0"/>
    <n v="1356134"/>
  </r>
  <r>
    <s v="Franquicias Sell Out QUEST"/>
    <s v="FQ93 - Sogamoso - Boyacá"/>
    <x v="6"/>
    <s v="octubre"/>
    <n v="7"/>
    <d v="2026-10-07T00:00:00"/>
    <n v="1057597569"/>
    <s v="MONTAÑA BOADA LEIDY VIVIANA"/>
    <n v="46"/>
    <n v="0"/>
    <n v="2932862"/>
  </r>
  <r>
    <s v="Franquicias Sell Out QUEST"/>
    <s v="FQ99 - Puerto Gaitan - Meta"/>
    <x v="6"/>
    <s v="septiembre"/>
    <n v="23"/>
    <d v="2026-09-23T00:00:00"/>
    <m/>
    <m/>
    <n v="0"/>
    <n v="1669587"/>
    <n v="0"/>
  </r>
  <r>
    <s v="Franquicias Sell Out QUEST"/>
    <s v="FQ99 - Puerto Gaitan - Meta"/>
    <x v="6"/>
    <s v="septiembre"/>
    <n v="23"/>
    <d v="2026-09-23T00:00:00"/>
    <n v="1117324500"/>
    <s v="MAGDA MARCELA MARTINEZ MUÑOS"/>
    <n v="5"/>
    <n v="0"/>
    <n v="239286"/>
  </r>
  <r>
    <s v="Franquicias Sell Out QUEST"/>
    <s v="FQ99 - Puerto Gaitan - Meta"/>
    <x v="6"/>
    <s v="septiembre"/>
    <n v="23"/>
    <d v="2026-09-23T00:00:00"/>
    <n v="1124819077"/>
    <s v="ALFONSO  KAROL"/>
    <n v="9"/>
    <n v="0"/>
    <n v="423991"/>
  </r>
  <r>
    <s v="Franquicias Sell Out QUEST"/>
    <s v="FQ99 - Puerto Gaitan - Meta"/>
    <x v="6"/>
    <s v="septiembre"/>
    <n v="23"/>
    <d v="2026-09-23T00:00:00"/>
    <n v="1124822850"/>
    <s v="CRUZ BETANCOURTH BIBIANA JISSETH"/>
    <n v="7"/>
    <n v="0"/>
    <n v="314832"/>
  </r>
  <r>
    <s v="Franquicias Sell Out QUEST"/>
    <s v="FQ99 - Puerto Gaitan - Meta"/>
    <x v="6"/>
    <s v="septiembre"/>
    <n v="24"/>
    <d v="2026-09-24T00:00:00"/>
    <m/>
    <m/>
    <n v="0"/>
    <n v="4317873"/>
    <n v="0"/>
  </r>
  <r>
    <s v="Franquicias Sell Out QUEST"/>
    <s v="FQ99 - Puerto Gaitan - Meta"/>
    <x v="6"/>
    <s v="septiembre"/>
    <n v="24"/>
    <d v="2026-09-24T00:00:00"/>
    <n v="1117324500"/>
    <s v="MAGDA MARCELA MARTINEZ MUÑOS"/>
    <n v="28"/>
    <n v="0"/>
    <n v="1484078"/>
  </r>
  <r>
    <s v="Franquicias Sell Out QUEST"/>
    <s v="FQ99 - Puerto Gaitan - Meta"/>
    <x v="6"/>
    <s v="septiembre"/>
    <n v="24"/>
    <d v="2026-09-24T00:00:00"/>
    <n v="1124819077"/>
    <s v="ALFONSO  KAROL"/>
    <n v="47"/>
    <n v="0"/>
    <n v="2216471"/>
  </r>
  <r>
    <s v="Franquicias Sell Out QUEST"/>
    <s v="FQ99 - Puerto Gaitan - Meta"/>
    <x v="6"/>
    <s v="septiembre"/>
    <n v="25"/>
    <d v="2026-09-25T00:00:00"/>
    <m/>
    <m/>
    <n v="0"/>
    <n v="4611724"/>
    <n v="0"/>
  </r>
  <r>
    <s v="Franquicias Sell Out QUEST"/>
    <s v="FQ99 - Puerto Gaitan - Meta"/>
    <x v="6"/>
    <s v="septiembre"/>
    <n v="25"/>
    <d v="2026-09-25T00:00:00"/>
    <n v="1117324500"/>
    <s v="MAGDA MARCELA MARTINEZ MUÑOS"/>
    <n v="27"/>
    <n v="0"/>
    <n v="1654245"/>
  </r>
  <r>
    <s v="Franquicias Sell Out QUEST"/>
    <s v="FQ99 - Puerto Gaitan - Meta"/>
    <x v="6"/>
    <s v="septiembre"/>
    <n v="25"/>
    <d v="2026-09-25T00:00:00"/>
    <n v="1124819077"/>
    <s v="ALFONSO  KAROL"/>
    <n v="35"/>
    <n v="0"/>
    <n v="1824162"/>
  </r>
  <r>
    <s v="Franquicias Sell Out QUEST"/>
    <s v="FQ99 - Puerto Gaitan - Meta"/>
    <x v="6"/>
    <s v="septiembre"/>
    <n v="26"/>
    <d v="2026-09-26T00:00:00"/>
    <m/>
    <m/>
    <n v="0"/>
    <n v="5815266"/>
    <n v="0"/>
  </r>
  <r>
    <s v="Franquicias Sell Out QUEST"/>
    <s v="FQ99 - Puerto Gaitan - Meta"/>
    <x v="6"/>
    <s v="septiembre"/>
    <n v="26"/>
    <d v="2026-09-26T00:00:00"/>
    <n v="1117324500"/>
    <s v="MAGDA MARCELA MARTINEZ MUÑOS"/>
    <n v="87"/>
    <n v="0"/>
    <n v="4275679"/>
  </r>
  <r>
    <s v="Franquicias Sell Out QUEST"/>
    <s v="FQ99 - Puerto Gaitan - Meta"/>
    <x v="6"/>
    <s v="septiembre"/>
    <n v="27"/>
    <d v="2026-09-27T00:00:00"/>
    <m/>
    <m/>
    <n v="0"/>
    <n v="3070406"/>
    <n v="0"/>
  </r>
  <r>
    <s v="Franquicias Sell Out QUEST"/>
    <s v="FQ99 - Puerto Gaitan - Meta"/>
    <x v="6"/>
    <s v="septiembre"/>
    <n v="27"/>
    <d v="2026-09-27T00:00:00"/>
    <n v="1117324500"/>
    <s v="MAGDA MARCELA MARTINEZ MUÑOS"/>
    <n v="51"/>
    <n v="0"/>
    <n v="2472232"/>
  </r>
  <r>
    <s v="Franquicias Sell Out QUEST"/>
    <s v="FQ99 - Puerto Gaitan - Meta"/>
    <x v="6"/>
    <s v="septiembre"/>
    <n v="27"/>
    <d v="2026-09-27T00:00:00"/>
    <n v="1124819077"/>
    <s v="ALFONSO  KAROL"/>
    <n v="26"/>
    <n v="0"/>
    <n v="1381220"/>
  </r>
  <r>
    <s v="Franquicias Sell Out QUEST"/>
    <s v="FQ99 - Puerto Gaitan - Meta"/>
    <x v="6"/>
    <s v="septiembre"/>
    <n v="28"/>
    <d v="2026-09-28T00:00:00"/>
    <m/>
    <m/>
    <n v="0"/>
    <n v="2517402"/>
    <n v="0"/>
  </r>
  <r>
    <s v="Franquicias Sell Out QUEST"/>
    <s v="FQ99 - Puerto Gaitan - Meta"/>
    <x v="6"/>
    <s v="septiembre"/>
    <n v="28"/>
    <d v="2026-09-28T00:00:00"/>
    <n v="1117324500"/>
    <s v="MAGDA MARCELA MARTINEZ MUÑOS"/>
    <n v="40"/>
    <n v="0"/>
    <n v="2573699"/>
  </r>
  <r>
    <s v="Franquicias Sell Out QUEST"/>
    <s v="FQ99 - Puerto Gaitan - Meta"/>
    <x v="6"/>
    <s v="septiembre"/>
    <n v="28"/>
    <d v="2026-09-28T00:00:00"/>
    <n v="1124819077"/>
    <s v="ALFONSO  KAROL"/>
    <n v="29"/>
    <n v="0"/>
    <n v="1372646"/>
  </r>
  <r>
    <s v="Franquicias Sell Out QUEST"/>
    <s v="FQ99 - Puerto Gaitan - Meta"/>
    <x v="6"/>
    <s v="septiembre"/>
    <n v="29"/>
    <d v="2026-09-29T00:00:00"/>
    <m/>
    <m/>
    <n v="0"/>
    <n v="2798603"/>
    <n v="0"/>
  </r>
  <r>
    <s v="Franquicias Sell Out QUEST"/>
    <s v="FQ99 - Puerto Gaitan - Meta"/>
    <x v="6"/>
    <s v="septiembre"/>
    <n v="29"/>
    <d v="2026-09-29T00:00:00"/>
    <n v="1117324500"/>
    <s v="MAGDA MARCELA MARTINEZ MUÑOS"/>
    <n v="22"/>
    <n v="0"/>
    <n v="1141935"/>
  </r>
  <r>
    <s v="Franquicias Sell Out QUEST"/>
    <s v="FQ99 - Puerto Gaitan - Meta"/>
    <x v="6"/>
    <s v="septiembre"/>
    <n v="29"/>
    <d v="2026-09-29T00:00:00"/>
    <n v="1124819077"/>
    <s v="ALFONSO  KAROL"/>
    <n v="57"/>
    <n v="0"/>
    <n v="2581390"/>
  </r>
  <r>
    <s v="Franquicias Sell Out QUEST"/>
    <s v="FQ99 - Puerto Gaitan - Meta"/>
    <x v="6"/>
    <s v="septiembre"/>
    <n v="30"/>
    <d v="2026-09-30T00:00:00"/>
    <m/>
    <m/>
    <n v="0"/>
    <n v="2963808"/>
    <n v="0"/>
  </r>
  <r>
    <s v="Franquicias Sell Out QUEST"/>
    <s v="FQ99 - Puerto Gaitan - Meta"/>
    <x v="6"/>
    <s v="septiembre"/>
    <n v="30"/>
    <d v="2026-09-30T00:00:00"/>
    <n v="1117324500"/>
    <s v="MAGDA MARCELA MARTINEZ MUÑOS"/>
    <n v="57"/>
    <n v="0"/>
    <n v="2654918"/>
  </r>
  <r>
    <s v="Franquicias Sell Out QUEST"/>
    <s v="FQ99 - Puerto Gaitan - Meta"/>
    <x v="6"/>
    <s v="septiembre"/>
    <n v="30"/>
    <d v="2026-09-30T00:00:00"/>
    <n v="1124819077"/>
    <s v="ALFONSO  KAROL"/>
    <n v="102"/>
    <n v="0"/>
    <n v="5266267"/>
  </r>
  <r>
    <s v="Franquicias Sell Out QUEST"/>
    <s v="FQ99 - Puerto Gaitan - Meta"/>
    <x v="6"/>
    <s v="septiembre"/>
    <n v="30"/>
    <d v="2026-09-30T00:00:00"/>
    <n v="1124822850"/>
    <s v="CRUZ BETANCOURTH BIBIANA JISSETH"/>
    <n v="4"/>
    <n v="0"/>
    <n v="188908"/>
  </r>
  <r>
    <s v="Franquicias Sell Out QUEST"/>
    <s v="FQ99 - Puerto Gaitan - Meta"/>
    <x v="6"/>
    <s v="octubre"/>
    <n v="1"/>
    <d v="2026-10-01T00:00:00"/>
    <m/>
    <m/>
    <n v="0"/>
    <n v="8145356"/>
    <n v="0"/>
  </r>
  <r>
    <s v="Franquicias Sell Out QUEST"/>
    <s v="FQ99 - Puerto Gaitan - Meta"/>
    <x v="6"/>
    <s v="octubre"/>
    <n v="1"/>
    <d v="2026-10-01T00:00:00"/>
    <n v="1124819077"/>
    <s v="ALFONSO  KAROL"/>
    <n v="123"/>
    <n v="0"/>
    <n v="5876436"/>
  </r>
  <r>
    <s v="Franquicias Sell Out QUEST"/>
    <s v="FQ99 - Puerto Gaitan - Meta"/>
    <x v="6"/>
    <s v="octubre"/>
    <n v="1"/>
    <d v="2026-10-01T00:00:00"/>
    <n v="1124822850"/>
    <s v="CRUZ BETANCOURTH BIBIANA JISSETH"/>
    <n v="44"/>
    <n v="0"/>
    <n v="2235297"/>
  </r>
  <r>
    <s v="Franquicias Sell Out QUEST"/>
    <s v="FQ99 - Puerto Gaitan - Meta"/>
    <x v="6"/>
    <s v="octubre"/>
    <n v="2"/>
    <d v="2026-10-02T00:00:00"/>
    <m/>
    <m/>
    <n v="0"/>
    <n v="10871656"/>
    <n v="0"/>
  </r>
  <r>
    <s v="Franquicias Sell Out QUEST"/>
    <s v="FQ99 - Puerto Gaitan - Meta"/>
    <x v="6"/>
    <s v="octubre"/>
    <n v="2"/>
    <d v="2026-10-02T00:00:00"/>
    <n v="1124819077"/>
    <s v="ALFONSO  KAROL"/>
    <n v="95"/>
    <n v="0"/>
    <n v="4590048"/>
  </r>
  <r>
    <s v="Franquicias Sell Out QUEST"/>
    <s v="FQ99 - Puerto Gaitan - Meta"/>
    <x v="6"/>
    <s v="octubre"/>
    <n v="2"/>
    <d v="2026-10-02T00:00:00"/>
    <n v="1124822850"/>
    <s v="CRUZ BETANCOURTH BIBIANA JISSETH"/>
    <n v="43"/>
    <n v="0"/>
    <n v="1972778"/>
  </r>
  <r>
    <s v="Franquicias Sell Out QUEST"/>
    <s v="FQ99 - Puerto Gaitan - Meta"/>
    <x v="6"/>
    <s v="octubre"/>
    <n v="3"/>
    <d v="2026-10-03T00:00:00"/>
    <m/>
    <m/>
    <n v="0"/>
    <n v="5855242"/>
    <n v="0"/>
  </r>
  <r>
    <s v="Franquicias Sell Out QUEST"/>
    <s v="FQ99 - Puerto Gaitan - Meta"/>
    <x v="6"/>
    <s v="octubre"/>
    <n v="3"/>
    <d v="2026-10-03T00:00:00"/>
    <n v="1124822850"/>
    <s v="CRUZ BETANCOURTH BIBIANA JISSETH"/>
    <n v="80"/>
    <n v="0"/>
    <n v="3552781"/>
  </r>
  <r>
    <s v="Franquicias Sell Out QUEST"/>
    <s v="FQ99 - Puerto Gaitan - Meta"/>
    <x v="6"/>
    <s v="octubre"/>
    <n v="4"/>
    <d v="2026-10-04T00:00:00"/>
    <m/>
    <m/>
    <n v="0"/>
    <n v="2118835"/>
    <n v="0"/>
  </r>
  <r>
    <s v="Franquicias Sell Out QUEST"/>
    <s v="FQ99 - Puerto Gaitan - Meta"/>
    <x v="6"/>
    <s v="octubre"/>
    <n v="4"/>
    <d v="2026-10-04T00:00:00"/>
    <n v="1124819077"/>
    <s v="ALFONSO  KAROL"/>
    <n v="35"/>
    <n v="0"/>
    <n v="1670759"/>
  </r>
  <r>
    <s v="Franquicias Sell Out QUEST"/>
    <s v="FQ99 - Puerto Gaitan - Meta"/>
    <x v="6"/>
    <s v="octubre"/>
    <n v="4"/>
    <d v="2026-10-04T00:00:00"/>
    <n v="1124822850"/>
    <s v="CRUZ BETANCOURTH BIBIANA JISSETH"/>
    <n v="49"/>
    <n v="0"/>
    <n v="2285505"/>
  </r>
  <r>
    <s v="Franquicias Sell Out QUEST"/>
    <s v="FQ99 - Puerto Gaitan - Meta"/>
    <x v="6"/>
    <s v="octubre"/>
    <n v="5"/>
    <d v="2026-10-05T00:00:00"/>
    <m/>
    <m/>
    <n v="0"/>
    <n v="6819206"/>
    <n v="0"/>
  </r>
  <r>
    <s v="Franquicias Sell Out QUEST"/>
    <s v="FQ99 - Puerto Gaitan - Meta"/>
    <x v="6"/>
    <s v="octubre"/>
    <n v="5"/>
    <d v="2026-10-05T00:00:00"/>
    <n v="1124819077"/>
    <s v="ALFONSO  KAROL"/>
    <n v="51"/>
    <n v="0"/>
    <n v="2648786"/>
  </r>
  <r>
    <s v="Franquicias Sell Out QUEST"/>
    <s v="FQ99 - Puerto Gaitan - Meta"/>
    <x v="6"/>
    <s v="octubre"/>
    <n v="5"/>
    <d v="2026-10-05T00:00:00"/>
    <n v="1124822850"/>
    <s v="CRUZ BETANCOURTH BIBIANA JISSETH"/>
    <n v="26"/>
    <n v="0"/>
    <n v="1196303"/>
  </r>
  <r>
    <s v="Franquicias Sell Out QUEST"/>
    <s v="FQ99 - Puerto Gaitan - Meta"/>
    <x v="6"/>
    <s v="octubre"/>
    <n v="6"/>
    <d v="2026-10-06T00:00:00"/>
    <m/>
    <m/>
    <n v="0"/>
    <n v="4838764"/>
    <n v="0"/>
  </r>
  <r>
    <s v="Franquicias Sell Out QUEST"/>
    <s v="FQ99 - Puerto Gaitan - Meta"/>
    <x v="6"/>
    <s v="octubre"/>
    <n v="6"/>
    <d v="2026-10-06T00:00:00"/>
    <n v="1124819077"/>
    <s v="ALFONSO  KAROL"/>
    <n v="23"/>
    <n v="0"/>
    <n v="1001094"/>
  </r>
  <r>
    <s v="Franquicias Sell Out QUEST"/>
    <s v="FQ99 - Puerto Gaitan - Meta"/>
    <x v="6"/>
    <s v="octubre"/>
    <n v="6"/>
    <d v="2026-10-06T00:00:00"/>
    <n v="1124822850"/>
    <s v="CRUZ BETANCOURTH BIBIANA JISSETH"/>
    <n v="18"/>
    <n v="0"/>
    <n v="1343741"/>
  </r>
  <r>
    <s v="Franquicias Sell Out QUEST"/>
    <s v="FQ99 - Puerto Gaitan - Meta"/>
    <x v="6"/>
    <s v="octubre"/>
    <n v="7"/>
    <d v="2026-10-07T00:00:00"/>
    <m/>
    <m/>
    <n v="0"/>
    <n v="1264496"/>
    <n v="0"/>
  </r>
  <r>
    <s v="Franquicias Sell Out QUEST"/>
    <s v="FQ99 - Puerto Gaitan - Meta"/>
    <x v="6"/>
    <s v="octubre"/>
    <n v="7"/>
    <d v="2026-10-07T00:00:00"/>
    <n v="1124819077"/>
    <s v="ALFONSO  KAROL"/>
    <n v="12"/>
    <n v="0"/>
    <n v="587648"/>
  </r>
  <r>
    <s v="Franquicias Sell Out QUEST"/>
    <s v="FQ99 - Puerto Gaitan - Meta"/>
    <x v="6"/>
    <s v="octubre"/>
    <n v="7"/>
    <d v="2026-10-07T00:00:00"/>
    <n v="1124822850"/>
    <s v="CRUZ BETANCOURTH BIBIANA JISSETH"/>
    <n v="23"/>
    <n v="0"/>
    <n v="1274118"/>
  </r>
  <r>
    <s v="Retail"/>
    <s v="Q074 - Villavicencio - Cc Unico"/>
    <x v="6"/>
    <s v="septiembre"/>
    <n v="23"/>
    <d v="2026-09-23T00:00:00"/>
    <m/>
    <m/>
    <n v="0"/>
    <n v="14514813"/>
    <n v="0"/>
  </r>
  <r>
    <s v="Retail"/>
    <s v="Q074 - Villavicencio - Cc Unico"/>
    <x v="6"/>
    <s v="septiembre"/>
    <n v="23"/>
    <d v="2026-09-23T00:00:00"/>
    <n v="1005584151"/>
    <s v="RIVERA CORTINA JUAN PABLO"/>
    <n v="78"/>
    <n v="0"/>
    <n v="3216434"/>
  </r>
  <r>
    <s v="Retail"/>
    <s v="Q074 - Villavicencio - Cc Unico"/>
    <x v="6"/>
    <s v="septiembre"/>
    <n v="23"/>
    <d v="2026-09-23T00:00:00"/>
    <n v="1121854340"/>
    <s v="SANCHEZ  DIAZ HEIDY CAROLINA "/>
    <n v="80"/>
    <n v="0"/>
    <n v="3193361"/>
  </r>
  <r>
    <s v="Retail"/>
    <s v="Q074 - Villavicencio - Cc Unico"/>
    <x v="6"/>
    <s v="septiembre"/>
    <n v="23"/>
    <d v="2026-09-23T00:00:00"/>
    <n v="1122924164"/>
    <s v="ARANA  CARRILLO GIOVANNA VALENTINA "/>
    <n v="73"/>
    <n v="0"/>
    <n v="3156030"/>
  </r>
  <r>
    <s v="Retail"/>
    <s v="Q074 - Villavicencio - Cc Unico"/>
    <x v="6"/>
    <s v="septiembre"/>
    <n v="24"/>
    <d v="2026-09-24T00:00:00"/>
    <m/>
    <m/>
    <n v="0"/>
    <n v="22173009"/>
    <n v="0"/>
  </r>
  <r>
    <s v="Retail"/>
    <s v="Q074 - Villavicencio - Cc Unico"/>
    <x v="6"/>
    <s v="septiembre"/>
    <n v="24"/>
    <d v="2026-09-24T00:00:00"/>
    <n v="1005584151"/>
    <s v="RIVERA CORTINA JUAN PABLO"/>
    <n v="39"/>
    <n v="0"/>
    <n v="2065212"/>
  </r>
  <r>
    <s v="Retail"/>
    <s v="Q074 - Villavicencio - Cc Unico"/>
    <x v="6"/>
    <s v="septiembre"/>
    <n v="24"/>
    <d v="2026-09-24T00:00:00"/>
    <n v="1010123104"/>
    <s v="AGUIRRE VIAZUS KEVIN  ANDRES"/>
    <n v="54"/>
    <n v="0"/>
    <n v="2396136"/>
  </r>
  <r>
    <s v="Retail"/>
    <s v="Q074 - Villavicencio - Cc Unico"/>
    <x v="6"/>
    <s v="septiembre"/>
    <n v="24"/>
    <d v="2026-09-24T00:00:00"/>
    <n v="1016010865"/>
    <s v="RAMOS PEREZ KEVIN SANTIAGO"/>
    <n v="48"/>
    <n v="0"/>
    <n v="2144579"/>
  </r>
  <r>
    <s v="Retail"/>
    <s v="Q074 - Villavicencio - Cc Unico"/>
    <x v="6"/>
    <s v="septiembre"/>
    <n v="24"/>
    <d v="2026-09-24T00:00:00"/>
    <n v="1094282665"/>
    <s v="CERPA  DANIELA"/>
    <n v="34"/>
    <n v="0"/>
    <n v="1792397"/>
  </r>
  <r>
    <s v="Retail"/>
    <s v="Q074 - Villavicencio - Cc Unico"/>
    <x v="6"/>
    <s v="septiembre"/>
    <n v="24"/>
    <d v="2026-09-24T00:00:00"/>
    <n v="1121854340"/>
    <s v="SANCHEZ  DIAZ HEIDY CAROLINA "/>
    <n v="32"/>
    <n v="0"/>
    <n v="1460549"/>
  </r>
  <r>
    <s v="Retail"/>
    <s v="Q074 - Villavicencio - Cc Unico"/>
    <x v="6"/>
    <s v="septiembre"/>
    <n v="24"/>
    <d v="2026-09-24T00:00:00"/>
    <n v="1122924164"/>
    <s v="ARANA  CARRILLO GIOVANNA VALENTINA "/>
    <n v="56"/>
    <n v="0"/>
    <n v="2316137"/>
  </r>
  <r>
    <s v="Retail"/>
    <s v="Q074 - Villavicencio - Cc Unico"/>
    <x v="6"/>
    <s v="septiembre"/>
    <n v="25"/>
    <d v="2026-09-25T00:00:00"/>
    <m/>
    <m/>
    <n v="0"/>
    <n v="22123922"/>
    <n v="0"/>
  </r>
  <r>
    <s v="Retail"/>
    <s v="Q074 - Villavicencio - Cc Unico"/>
    <x v="6"/>
    <s v="septiembre"/>
    <n v="25"/>
    <d v="2026-09-25T00:00:00"/>
    <n v="1005584151"/>
    <s v="RIVERA CORTINA JUAN PABLO"/>
    <n v="89"/>
    <n v="0"/>
    <n v="3738788"/>
  </r>
  <r>
    <s v="Retail"/>
    <s v="Q074 - Villavicencio - Cc Unico"/>
    <x v="6"/>
    <s v="septiembre"/>
    <n v="25"/>
    <d v="2026-09-25T00:00:00"/>
    <n v="1010123104"/>
    <s v="AGUIRRE VIAZUS KEVIN  ANDRES"/>
    <n v="54"/>
    <n v="0"/>
    <n v="1862329"/>
  </r>
  <r>
    <s v="Retail"/>
    <s v="Q074 - Villavicencio - Cc Unico"/>
    <x v="6"/>
    <s v="septiembre"/>
    <n v="25"/>
    <d v="2026-09-25T00:00:00"/>
    <n v="1016010865"/>
    <s v="RAMOS PEREZ KEVIN SANTIAGO"/>
    <n v="36"/>
    <n v="0"/>
    <n v="1702062"/>
  </r>
  <r>
    <s v="Retail"/>
    <s v="Q074 - Villavicencio - Cc Unico"/>
    <x v="6"/>
    <s v="septiembre"/>
    <n v="25"/>
    <d v="2026-09-25T00:00:00"/>
    <n v="1094282665"/>
    <s v="CERPA  DANIELA"/>
    <n v="34"/>
    <n v="0"/>
    <n v="1746096"/>
  </r>
  <r>
    <s v="Retail"/>
    <s v="Q074 - Villavicencio - Cc Unico"/>
    <x v="6"/>
    <s v="septiembre"/>
    <n v="25"/>
    <d v="2026-09-25T00:00:00"/>
    <n v="1121854340"/>
    <s v="SANCHEZ  DIAZ HEIDY CAROLINA "/>
    <n v="94"/>
    <n v="0"/>
    <n v="3582836"/>
  </r>
  <r>
    <s v="Retail"/>
    <s v="Q074 - Villavicencio - Cc Unico"/>
    <x v="6"/>
    <s v="septiembre"/>
    <n v="25"/>
    <d v="2026-09-25T00:00:00"/>
    <n v="1122924164"/>
    <s v="ARANA  CARRILLO GIOVANNA VALENTINA "/>
    <n v="82"/>
    <n v="0"/>
    <n v="3608870"/>
  </r>
  <r>
    <s v="Retail"/>
    <s v="Q074 - Villavicencio - Cc Unico"/>
    <x v="6"/>
    <s v="septiembre"/>
    <n v="26"/>
    <d v="2026-09-26T00:00:00"/>
    <m/>
    <m/>
    <n v="0"/>
    <n v="31795260"/>
    <n v="0"/>
  </r>
  <r>
    <s v="Retail"/>
    <s v="Q074 - Villavicencio - Cc Unico"/>
    <x v="6"/>
    <s v="septiembre"/>
    <n v="26"/>
    <d v="2026-09-26T00:00:00"/>
    <n v="1005584151"/>
    <s v="RIVERA CORTINA JUAN PABLO"/>
    <n v="134"/>
    <n v="0"/>
    <n v="6221856"/>
  </r>
  <r>
    <s v="Retail"/>
    <s v="Q074 - Villavicencio - Cc Unico"/>
    <x v="6"/>
    <s v="septiembre"/>
    <n v="26"/>
    <d v="2026-09-26T00:00:00"/>
    <n v="1010123104"/>
    <s v="AGUIRRE VIAZUS KEVIN  ANDRES"/>
    <n v="91"/>
    <n v="0"/>
    <n v="4482876"/>
  </r>
  <r>
    <s v="Retail"/>
    <s v="Q074 - Villavicencio - Cc Unico"/>
    <x v="6"/>
    <s v="septiembre"/>
    <n v="26"/>
    <d v="2026-09-26T00:00:00"/>
    <n v="1016010865"/>
    <s v="RAMOS PEREZ KEVIN SANTIAGO"/>
    <n v="78"/>
    <n v="0"/>
    <n v="3851137"/>
  </r>
  <r>
    <s v="Retail"/>
    <s v="Q074 - Villavicencio - Cc Unico"/>
    <x v="6"/>
    <s v="septiembre"/>
    <n v="26"/>
    <d v="2026-09-26T00:00:00"/>
    <n v="1094282665"/>
    <s v="CERPA  DANIELA"/>
    <n v="82"/>
    <n v="0"/>
    <n v="3941305"/>
  </r>
  <r>
    <s v="Retail"/>
    <s v="Q074 - Villavicencio - Cc Unico"/>
    <x v="6"/>
    <s v="septiembre"/>
    <n v="26"/>
    <d v="2026-09-26T00:00:00"/>
    <n v="1121854340"/>
    <s v="SANCHEZ  DIAZ HEIDY CAROLINA "/>
    <n v="135"/>
    <n v="0"/>
    <n v="6323501"/>
  </r>
  <r>
    <s v="Retail"/>
    <s v="Q074 - Villavicencio - Cc Unico"/>
    <x v="6"/>
    <s v="septiembre"/>
    <n v="26"/>
    <d v="2026-09-26T00:00:00"/>
    <n v="1122924164"/>
    <s v="ARANA  CARRILLO GIOVANNA VALENTINA "/>
    <n v="139"/>
    <n v="0"/>
    <n v="6333834"/>
  </r>
  <r>
    <s v="Retail"/>
    <s v="Q074 - Villavicencio - Cc Unico"/>
    <x v="6"/>
    <s v="septiembre"/>
    <n v="27"/>
    <d v="2026-09-27T00:00:00"/>
    <m/>
    <m/>
    <n v="0"/>
    <n v="25188244"/>
    <n v="0"/>
  </r>
  <r>
    <s v="Retail"/>
    <s v="Q074 - Villavicencio - Cc Unico"/>
    <x v="6"/>
    <s v="septiembre"/>
    <n v="27"/>
    <d v="2026-09-27T00:00:00"/>
    <n v="1005584151"/>
    <s v="RIVERA CORTINA JUAN PABLO"/>
    <n v="136"/>
    <n v="0"/>
    <n v="7257775"/>
  </r>
  <r>
    <s v="Retail"/>
    <s v="Q074 - Villavicencio - Cc Unico"/>
    <x v="6"/>
    <s v="septiembre"/>
    <n v="27"/>
    <d v="2026-09-27T00:00:00"/>
    <n v="1010123104"/>
    <s v="AGUIRRE VIAZUS KEVIN  ANDRES"/>
    <n v="79"/>
    <n v="0"/>
    <n v="3477119"/>
  </r>
  <r>
    <s v="Retail"/>
    <s v="Q074 - Villavicencio - Cc Unico"/>
    <x v="6"/>
    <s v="septiembre"/>
    <n v="27"/>
    <d v="2026-09-27T00:00:00"/>
    <n v="1016010865"/>
    <s v="RAMOS PEREZ KEVIN SANTIAGO"/>
    <n v="77"/>
    <n v="0"/>
    <n v="3647526"/>
  </r>
  <r>
    <s v="Retail"/>
    <s v="Q074 - Villavicencio - Cc Unico"/>
    <x v="6"/>
    <s v="septiembre"/>
    <n v="27"/>
    <d v="2026-09-27T00:00:00"/>
    <n v="1094282665"/>
    <s v="CERPA  DANIELA"/>
    <n v="65"/>
    <n v="0"/>
    <n v="3299374"/>
  </r>
  <r>
    <s v="Retail"/>
    <s v="Q074 - Villavicencio - Cc Unico"/>
    <x v="6"/>
    <s v="septiembre"/>
    <n v="27"/>
    <d v="2026-09-27T00:00:00"/>
    <n v="1121854340"/>
    <s v="SANCHEZ  DIAZ HEIDY CAROLINA "/>
    <n v="146"/>
    <n v="0"/>
    <n v="6668793"/>
  </r>
  <r>
    <s v="Retail"/>
    <s v="Q074 - Villavicencio - Cc Unico"/>
    <x v="6"/>
    <s v="septiembre"/>
    <n v="27"/>
    <d v="2026-09-27T00:00:00"/>
    <n v="1122924164"/>
    <s v="ARANA  CARRILLO GIOVANNA VALENTINA "/>
    <n v="156"/>
    <n v="0"/>
    <n v="6766605"/>
  </r>
  <r>
    <s v="Retail"/>
    <s v="Q074 - Villavicencio - Cc Unico"/>
    <x v="6"/>
    <s v="septiembre"/>
    <n v="28"/>
    <d v="2026-09-28T00:00:00"/>
    <m/>
    <m/>
    <n v="0"/>
    <n v="13862575"/>
    <n v="0"/>
  </r>
  <r>
    <s v="Retail"/>
    <s v="Q074 - Villavicencio - Cc Unico"/>
    <x v="6"/>
    <s v="septiembre"/>
    <n v="28"/>
    <d v="2026-09-28T00:00:00"/>
    <n v="1005584151"/>
    <s v="RIVERA CORTINA JUAN PABLO"/>
    <n v="98"/>
    <n v="0"/>
    <n v="4015760"/>
  </r>
  <r>
    <s v="Retail"/>
    <s v="Q074 - Villavicencio - Cc Unico"/>
    <x v="6"/>
    <s v="septiembre"/>
    <n v="28"/>
    <d v="2026-09-28T00:00:00"/>
    <n v="1010123104"/>
    <s v="AGUIRRE VIAZUS KEVIN  ANDRES"/>
    <n v="36"/>
    <n v="0"/>
    <n v="1779539"/>
  </r>
  <r>
    <s v="Retail"/>
    <s v="Q074 - Villavicencio - Cc Unico"/>
    <x v="6"/>
    <s v="septiembre"/>
    <n v="28"/>
    <d v="2026-09-28T00:00:00"/>
    <n v="1016010865"/>
    <s v="RAMOS PEREZ KEVIN SANTIAGO"/>
    <n v="27"/>
    <n v="0"/>
    <n v="1555338"/>
  </r>
  <r>
    <s v="Retail"/>
    <s v="Q074 - Villavicencio - Cc Unico"/>
    <x v="6"/>
    <s v="septiembre"/>
    <n v="28"/>
    <d v="2026-09-28T00:00:00"/>
    <n v="1094282665"/>
    <s v="CERPA  DANIELA"/>
    <n v="28"/>
    <n v="0"/>
    <n v="1412354"/>
  </r>
  <r>
    <s v="Retail"/>
    <s v="Q074 - Villavicencio - Cc Unico"/>
    <x v="6"/>
    <s v="septiembre"/>
    <n v="28"/>
    <d v="2026-09-28T00:00:00"/>
    <n v="1121854340"/>
    <s v="SANCHEZ  DIAZ HEIDY CAROLINA "/>
    <n v="104"/>
    <n v="0"/>
    <n v="3632272"/>
  </r>
  <r>
    <s v="Retail"/>
    <s v="Q074 - Villavicencio - Cc Unico"/>
    <x v="6"/>
    <s v="septiembre"/>
    <n v="28"/>
    <d v="2026-09-28T00:00:00"/>
    <n v="1122924164"/>
    <s v="ARANA  CARRILLO GIOVANNA VALENTINA "/>
    <n v="81"/>
    <n v="0"/>
    <n v="4044114"/>
  </r>
  <r>
    <s v="Retail"/>
    <s v="Q074 - Villavicencio - Cc Unico"/>
    <x v="6"/>
    <s v="septiembre"/>
    <n v="29"/>
    <d v="2026-09-29T00:00:00"/>
    <m/>
    <m/>
    <n v="0"/>
    <n v="14807945"/>
    <n v="0"/>
  </r>
  <r>
    <s v="Retail"/>
    <s v="Q074 - Villavicencio - Cc Unico"/>
    <x v="6"/>
    <s v="septiembre"/>
    <n v="29"/>
    <d v="2026-09-29T00:00:00"/>
    <n v="1005584151"/>
    <s v="RIVERA CORTINA JUAN PABLO"/>
    <n v="84"/>
    <n v="0"/>
    <n v="3907316"/>
  </r>
  <r>
    <s v="Retail"/>
    <s v="Q074 - Villavicencio - Cc Unico"/>
    <x v="6"/>
    <s v="septiembre"/>
    <n v="29"/>
    <d v="2026-09-29T00:00:00"/>
    <n v="1006822002"/>
    <s v="BELTRAN CONCHA CAMILA TATIANA"/>
    <n v="-1"/>
    <n v="0"/>
    <n v="-31471"/>
  </r>
  <r>
    <s v="Retail"/>
    <s v="Q074 - Villavicencio - Cc Unico"/>
    <x v="6"/>
    <s v="septiembre"/>
    <n v="29"/>
    <d v="2026-09-29T00:00:00"/>
    <n v="1010123104"/>
    <s v="AGUIRRE VIAZUS KEVIN  ANDRES"/>
    <n v="10"/>
    <n v="0"/>
    <n v="646555"/>
  </r>
  <r>
    <s v="Retail"/>
    <s v="Q074 - Villavicencio - Cc Unico"/>
    <x v="6"/>
    <s v="septiembre"/>
    <n v="29"/>
    <d v="2026-09-29T00:00:00"/>
    <n v="1016010865"/>
    <s v="RAMOS PEREZ KEVIN SANTIAGO"/>
    <n v="14"/>
    <n v="0"/>
    <n v="667269"/>
  </r>
  <r>
    <s v="Retail"/>
    <s v="Q074 - Villavicencio - Cc Unico"/>
    <x v="6"/>
    <s v="septiembre"/>
    <n v="29"/>
    <d v="2026-09-29T00:00:00"/>
    <n v="1094282665"/>
    <s v="CERPA  DANIELA"/>
    <n v="22"/>
    <n v="0"/>
    <n v="763529"/>
  </r>
  <r>
    <s v="Retail"/>
    <s v="Q074 - Villavicencio - Cc Unico"/>
    <x v="6"/>
    <s v="septiembre"/>
    <n v="29"/>
    <d v="2026-09-29T00:00:00"/>
    <n v="1121854340"/>
    <s v="SANCHEZ  DIAZ HEIDY CAROLINA "/>
    <n v="86"/>
    <n v="0"/>
    <n v="4119476"/>
  </r>
  <r>
    <s v="Retail"/>
    <s v="Q074 - Villavicencio - Cc Unico"/>
    <x v="6"/>
    <s v="septiembre"/>
    <n v="29"/>
    <d v="2026-09-29T00:00:00"/>
    <n v="1122924164"/>
    <s v="ARANA  CARRILLO GIOVANNA VALENTINA "/>
    <n v="16"/>
    <n v="0"/>
    <n v="761807"/>
  </r>
  <r>
    <s v="Retail"/>
    <s v="Q074 - Villavicencio - Cc Unico"/>
    <x v="6"/>
    <s v="septiembre"/>
    <n v="30"/>
    <d v="2026-09-30T00:00:00"/>
    <m/>
    <m/>
    <n v="0"/>
    <n v="15296870"/>
    <n v="0"/>
  </r>
  <r>
    <s v="Retail"/>
    <s v="Q074 - Villavicencio - Cc Unico"/>
    <x v="6"/>
    <s v="septiembre"/>
    <n v="30"/>
    <d v="2026-09-30T00:00:00"/>
    <n v="1005584151"/>
    <s v="RIVERA CORTINA JUAN PABLO"/>
    <n v="100"/>
    <n v="0"/>
    <n v="4253029"/>
  </r>
  <r>
    <s v="Retail"/>
    <s v="Q074 - Villavicencio - Cc Unico"/>
    <x v="6"/>
    <s v="septiembre"/>
    <n v="30"/>
    <d v="2026-09-30T00:00:00"/>
    <n v="1016010865"/>
    <s v="RAMOS PEREZ KEVIN SANTIAGO"/>
    <n v="5"/>
    <n v="0"/>
    <n v="272773"/>
  </r>
  <r>
    <s v="Retail"/>
    <s v="Q074 - Villavicencio - Cc Unico"/>
    <x v="6"/>
    <s v="septiembre"/>
    <n v="30"/>
    <d v="2026-09-30T00:00:00"/>
    <n v="1094282665"/>
    <s v="CERPA  DANIELA"/>
    <n v="16"/>
    <n v="0"/>
    <n v="822606"/>
  </r>
  <r>
    <s v="Retail"/>
    <s v="Q074 - Villavicencio - Cc Unico"/>
    <x v="6"/>
    <s v="septiembre"/>
    <n v="30"/>
    <d v="2026-09-30T00:00:00"/>
    <n v="1121854340"/>
    <s v="SANCHEZ  DIAZ HEIDY CAROLINA "/>
    <n v="90"/>
    <n v="0"/>
    <n v="4047373"/>
  </r>
  <r>
    <s v="Retail"/>
    <s v="Q074 - Villavicencio - Cc Unico"/>
    <x v="6"/>
    <s v="septiembre"/>
    <n v="30"/>
    <d v="2026-09-30T00:00:00"/>
    <n v="1122924164"/>
    <s v="ARANA  CARRILLO GIOVANNA VALENTINA "/>
    <n v="96"/>
    <n v="0"/>
    <n v="4164726"/>
  </r>
  <r>
    <s v="Retail"/>
    <s v="Q074 - Villavicencio - Cc Unico"/>
    <x v="6"/>
    <s v="octubre"/>
    <n v="1"/>
    <d v="2026-10-01T00:00:00"/>
    <m/>
    <m/>
    <n v="0"/>
    <n v="13888589"/>
    <n v="0"/>
  </r>
  <r>
    <s v="Retail"/>
    <s v="Q074 - Villavicencio - Cc Unico"/>
    <x v="6"/>
    <s v="octubre"/>
    <n v="1"/>
    <d v="2026-10-01T00:00:00"/>
    <n v="1005584151"/>
    <s v="RIVERA CORTINA JUAN PABLO"/>
    <n v="110"/>
    <n v="0"/>
    <n v="4420468"/>
  </r>
  <r>
    <s v="Retail"/>
    <s v="Q074 - Villavicencio - Cc Unico"/>
    <x v="6"/>
    <s v="octubre"/>
    <n v="1"/>
    <d v="2026-10-01T00:00:00"/>
    <n v="1010123104"/>
    <s v="AGUIRRE VIAZUS KEVIN  ANDRES"/>
    <n v="25"/>
    <n v="0"/>
    <n v="1204412"/>
  </r>
  <r>
    <s v="Retail"/>
    <s v="Q074 - Villavicencio - Cc Unico"/>
    <x v="6"/>
    <s v="octubre"/>
    <n v="1"/>
    <d v="2026-10-01T00:00:00"/>
    <n v="1016010865"/>
    <s v="RAMOS PEREZ KEVIN SANTIAGO"/>
    <n v="22"/>
    <n v="0"/>
    <n v="1103990"/>
  </r>
  <r>
    <s v="Retail"/>
    <s v="Q074 - Villavicencio - Cc Unico"/>
    <x v="6"/>
    <s v="octubre"/>
    <n v="1"/>
    <d v="2026-10-01T00:00:00"/>
    <n v="1094282665"/>
    <s v="CERPA  DANIELA"/>
    <n v="27"/>
    <n v="0"/>
    <n v="1103656"/>
  </r>
  <r>
    <s v="Retail"/>
    <s v="Q074 - Villavicencio - Cc Unico"/>
    <x v="6"/>
    <s v="octubre"/>
    <n v="1"/>
    <d v="2026-10-01T00:00:00"/>
    <n v="1121854340"/>
    <s v="SANCHEZ  DIAZ HEIDY CAROLINA "/>
    <n v="97"/>
    <n v="0"/>
    <n v="4286726"/>
  </r>
  <r>
    <s v="Retail"/>
    <s v="Q074 - Villavicencio - Cc Unico"/>
    <x v="6"/>
    <s v="octubre"/>
    <n v="1"/>
    <d v="2026-10-01T00:00:00"/>
    <n v="1122924164"/>
    <s v="ARANA  CARRILLO GIOVANNA VALENTINA "/>
    <n v="104"/>
    <n v="0"/>
    <n v="4359685"/>
  </r>
  <r>
    <s v="Retail"/>
    <s v="Q074 - Villavicencio - Cc Unico"/>
    <x v="6"/>
    <s v="octubre"/>
    <n v="2"/>
    <d v="2026-10-02T00:00:00"/>
    <m/>
    <m/>
    <n v="0"/>
    <n v="16709809"/>
    <n v="0"/>
  </r>
  <r>
    <s v="Retail"/>
    <s v="Q074 - Villavicencio - Cc Unico"/>
    <x v="6"/>
    <s v="octubre"/>
    <n v="2"/>
    <d v="2026-10-02T00:00:00"/>
    <n v="1005584151"/>
    <s v="RIVERA CORTINA JUAN PABLO"/>
    <n v="98"/>
    <n v="0"/>
    <n v="3906049"/>
  </r>
  <r>
    <s v="Retail"/>
    <s v="Q074 - Villavicencio - Cc Unico"/>
    <x v="6"/>
    <s v="octubre"/>
    <n v="2"/>
    <d v="2026-10-02T00:00:00"/>
    <n v="1010123104"/>
    <s v="AGUIRRE VIAZUS KEVIN  ANDRES"/>
    <n v="39"/>
    <n v="0"/>
    <n v="1523254"/>
  </r>
  <r>
    <s v="Retail"/>
    <s v="Q074 - Villavicencio - Cc Unico"/>
    <x v="6"/>
    <s v="octubre"/>
    <n v="2"/>
    <d v="2026-10-02T00:00:00"/>
    <n v="1016010865"/>
    <s v="RAMOS PEREZ KEVIN SANTIAGO"/>
    <n v="27"/>
    <n v="0"/>
    <n v="1445883"/>
  </r>
  <r>
    <s v="Retail"/>
    <s v="Q074 - Villavicencio - Cc Unico"/>
    <x v="6"/>
    <s v="octubre"/>
    <n v="2"/>
    <d v="2026-10-02T00:00:00"/>
    <n v="1094282665"/>
    <s v="CERPA  DANIELA"/>
    <n v="37"/>
    <n v="0"/>
    <n v="1514784"/>
  </r>
  <r>
    <s v="Retail"/>
    <s v="Q074 - Villavicencio - Cc Unico"/>
    <x v="6"/>
    <s v="octubre"/>
    <n v="2"/>
    <d v="2026-10-02T00:00:00"/>
    <n v="1121854340"/>
    <s v="SANCHEZ  DIAZ HEIDY CAROLINA "/>
    <n v="98"/>
    <n v="0"/>
    <n v="3788965"/>
  </r>
  <r>
    <s v="Retail"/>
    <s v="Q074 - Villavicencio - Cc Unico"/>
    <x v="6"/>
    <s v="octubre"/>
    <n v="2"/>
    <d v="2026-10-02T00:00:00"/>
    <n v="1122924164"/>
    <s v="ARANA  CARRILLO GIOVANNA VALENTINA "/>
    <n v="101"/>
    <n v="0"/>
    <n v="3981658"/>
  </r>
  <r>
    <s v="Retail"/>
    <s v="Q074 - Villavicencio - Cc Unico"/>
    <x v="6"/>
    <s v="octubre"/>
    <n v="2"/>
    <d v="2026-10-02T00:00:00"/>
    <n v="1123059086"/>
    <s v="SIERRA  VALENCIA ANDREA "/>
    <n v="-2"/>
    <n v="0"/>
    <n v="-163782"/>
  </r>
  <r>
    <s v="Retail"/>
    <s v="Q074 - Villavicencio - Cc Unico"/>
    <x v="6"/>
    <s v="octubre"/>
    <n v="3"/>
    <d v="2026-10-03T00:00:00"/>
    <m/>
    <m/>
    <n v="0"/>
    <n v="28519113"/>
    <n v="0"/>
  </r>
  <r>
    <s v="Retail"/>
    <s v="Q074 - Villavicencio - Cc Unico"/>
    <x v="6"/>
    <s v="octubre"/>
    <n v="3"/>
    <d v="2026-10-03T00:00:00"/>
    <n v="1005584151"/>
    <s v="RIVERA CORTINA JUAN PABLO"/>
    <n v="131"/>
    <n v="0"/>
    <n v="5452061"/>
  </r>
  <r>
    <s v="Retail"/>
    <s v="Q074 - Villavicencio - Cc Unico"/>
    <x v="6"/>
    <s v="octubre"/>
    <n v="3"/>
    <d v="2026-10-03T00:00:00"/>
    <n v="1010123104"/>
    <s v="AGUIRRE VIAZUS KEVIN  ANDRES"/>
    <n v="42"/>
    <n v="0"/>
    <n v="1708782"/>
  </r>
  <r>
    <s v="Retail"/>
    <s v="Q074 - Villavicencio - Cc Unico"/>
    <x v="6"/>
    <s v="octubre"/>
    <n v="3"/>
    <d v="2026-10-03T00:00:00"/>
    <n v="1016010865"/>
    <s v="RAMOS PEREZ KEVIN SANTIAGO"/>
    <n v="42"/>
    <n v="0"/>
    <n v="1717169"/>
  </r>
  <r>
    <s v="Retail"/>
    <s v="Q074 - Villavicencio - Cc Unico"/>
    <x v="6"/>
    <s v="octubre"/>
    <n v="3"/>
    <d v="2026-10-03T00:00:00"/>
    <n v="1094282665"/>
    <s v="CERPA  DANIELA"/>
    <n v="41"/>
    <n v="0"/>
    <n v="1807625"/>
  </r>
  <r>
    <s v="Retail"/>
    <s v="Q074 - Villavicencio - Cc Unico"/>
    <x v="6"/>
    <s v="octubre"/>
    <n v="3"/>
    <d v="2026-10-03T00:00:00"/>
    <n v="1121854340"/>
    <s v="SANCHEZ  DIAZ HEIDY CAROLINA "/>
    <n v="128"/>
    <n v="0"/>
    <n v="5460018"/>
  </r>
  <r>
    <s v="Retail"/>
    <s v="Q074 - Villavicencio - Cc Unico"/>
    <x v="6"/>
    <s v="octubre"/>
    <n v="3"/>
    <d v="2026-10-03T00:00:00"/>
    <n v="1122924164"/>
    <s v="ARANA  CARRILLO GIOVANNA VALENTINA "/>
    <n v="127"/>
    <n v="0"/>
    <n v="5299709"/>
  </r>
  <r>
    <s v="Retail"/>
    <s v="Q074 - Villavicencio - Cc Unico"/>
    <x v="6"/>
    <s v="octubre"/>
    <n v="4"/>
    <d v="2026-10-04T00:00:00"/>
    <m/>
    <m/>
    <n v="0"/>
    <n v="24082888"/>
    <n v="0"/>
  </r>
  <r>
    <s v="Retail"/>
    <s v="Q074 - Villavicencio - Cc Unico"/>
    <x v="6"/>
    <s v="octubre"/>
    <n v="4"/>
    <d v="2026-10-04T00:00:00"/>
    <n v="1005584151"/>
    <s v="RIVERA CORTINA JUAN PABLO"/>
    <n v="107"/>
    <n v="0"/>
    <n v="5109954"/>
  </r>
  <r>
    <s v="Retail"/>
    <s v="Q074 - Villavicencio - Cc Unico"/>
    <x v="6"/>
    <s v="octubre"/>
    <n v="4"/>
    <d v="2026-10-04T00:00:00"/>
    <n v="1010123104"/>
    <s v="AGUIRRE VIAZUS KEVIN  ANDRES"/>
    <n v="48"/>
    <n v="0"/>
    <n v="2213886"/>
  </r>
  <r>
    <s v="Retail"/>
    <s v="Q074 - Villavicencio - Cc Unico"/>
    <x v="6"/>
    <s v="octubre"/>
    <n v="4"/>
    <d v="2026-10-04T00:00:00"/>
    <n v="1016010865"/>
    <s v="RAMOS PEREZ KEVIN SANTIAGO"/>
    <n v="44"/>
    <n v="0"/>
    <n v="1913404"/>
  </r>
  <r>
    <s v="Retail"/>
    <s v="Q074 - Villavicencio - Cc Unico"/>
    <x v="6"/>
    <s v="octubre"/>
    <n v="4"/>
    <d v="2026-10-04T00:00:00"/>
    <n v="1094282665"/>
    <s v="CERPA  DANIELA"/>
    <n v="42"/>
    <n v="0"/>
    <n v="1985337"/>
  </r>
  <r>
    <s v="Retail"/>
    <s v="Q074 - Villavicencio - Cc Unico"/>
    <x v="6"/>
    <s v="octubre"/>
    <n v="4"/>
    <d v="2026-10-04T00:00:00"/>
    <n v="1121854340"/>
    <s v="SANCHEZ  DIAZ HEIDY CAROLINA "/>
    <n v="114"/>
    <n v="0"/>
    <n v="5094601"/>
  </r>
  <r>
    <s v="Retail"/>
    <s v="Q074 - Villavicencio - Cc Unico"/>
    <x v="6"/>
    <s v="octubre"/>
    <n v="4"/>
    <d v="2026-10-04T00:00:00"/>
    <n v="1122924164"/>
    <s v="ARANA  CARRILLO GIOVANNA VALENTINA "/>
    <n v="108"/>
    <n v="0"/>
    <n v="5271699"/>
  </r>
  <r>
    <s v="Retail"/>
    <s v="Q074 - Villavicencio - Cc Unico"/>
    <x v="6"/>
    <s v="octubre"/>
    <n v="5"/>
    <d v="2026-10-05T00:00:00"/>
    <m/>
    <m/>
    <n v="0"/>
    <n v="8687873"/>
    <n v="0"/>
  </r>
  <r>
    <s v="Retail"/>
    <s v="Q074 - Villavicencio - Cc Unico"/>
    <x v="6"/>
    <s v="octubre"/>
    <n v="5"/>
    <d v="2026-10-05T00:00:00"/>
    <n v="1005584151"/>
    <s v="RIVERA CORTINA JUAN PABLO"/>
    <n v="52"/>
    <n v="0"/>
    <n v="2362693"/>
  </r>
  <r>
    <s v="Retail"/>
    <s v="Q074 - Villavicencio - Cc Unico"/>
    <x v="6"/>
    <s v="octubre"/>
    <n v="5"/>
    <d v="2026-10-05T00:00:00"/>
    <n v="1010123104"/>
    <s v="AGUIRRE VIAZUS KEVIN  ANDRES"/>
    <n v="14"/>
    <n v="0"/>
    <n v="637815"/>
  </r>
  <r>
    <s v="Retail"/>
    <s v="Q074 - Villavicencio - Cc Unico"/>
    <x v="6"/>
    <s v="octubre"/>
    <n v="5"/>
    <d v="2026-10-05T00:00:00"/>
    <n v="1016010865"/>
    <s v="RAMOS PEREZ KEVIN SANTIAGO"/>
    <n v="16"/>
    <n v="0"/>
    <n v="528632"/>
  </r>
  <r>
    <s v="Retail"/>
    <s v="Q074 - Villavicencio - Cc Unico"/>
    <x v="6"/>
    <s v="octubre"/>
    <n v="5"/>
    <d v="2026-10-05T00:00:00"/>
    <n v="1094282665"/>
    <s v="CERPA  DANIELA"/>
    <n v="9"/>
    <n v="0"/>
    <n v="530538"/>
  </r>
  <r>
    <s v="Retail"/>
    <s v="Q074 - Villavicencio - Cc Unico"/>
    <x v="6"/>
    <s v="octubre"/>
    <n v="5"/>
    <d v="2026-10-05T00:00:00"/>
    <n v="1121854340"/>
    <s v="SANCHEZ  DIAZ HEIDY CAROLINA "/>
    <n v="56"/>
    <n v="0"/>
    <n v="2522220"/>
  </r>
  <r>
    <s v="Retail"/>
    <s v="Q074 - Villavicencio - Cc Unico"/>
    <x v="6"/>
    <s v="octubre"/>
    <n v="5"/>
    <d v="2026-10-05T00:00:00"/>
    <n v="1122924164"/>
    <s v="ARANA  CARRILLO GIOVANNA VALENTINA "/>
    <n v="52"/>
    <n v="0"/>
    <n v="2282824"/>
  </r>
  <r>
    <s v="Retail"/>
    <s v="Q074 - Villavicencio - Cc Unico"/>
    <x v="6"/>
    <s v="octubre"/>
    <n v="6"/>
    <d v="2026-10-06T00:00:00"/>
    <m/>
    <m/>
    <n v="0"/>
    <n v="6974916"/>
    <n v="0"/>
  </r>
  <r>
    <s v="Retail"/>
    <s v="Q074 - Villavicencio - Cc Unico"/>
    <x v="6"/>
    <s v="octubre"/>
    <n v="6"/>
    <d v="2026-10-06T00:00:00"/>
    <n v="1005584151"/>
    <s v="RIVERA CORTINA JUAN PABLO"/>
    <n v="43"/>
    <n v="0"/>
    <n v="1817145"/>
  </r>
  <r>
    <s v="Retail"/>
    <s v="Q074 - Villavicencio - Cc Unico"/>
    <x v="6"/>
    <s v="octubre"/>
    <n v="6"/>
    <d v="2026-10-06T00:00:00"/>
    <n v="1010123104"/>
    <s v="AGUIRRE VIAZUS KEVIN  ANDRES"/>
    <n v="23"/>
    <n v="0"/>
    <n v="519497"/>
  </r>
  <r>
    <s v="Retail"/>
    <s v="Q074 - Villavicencio - Cc Unico"/>
    <x v="6"/>
    <s v="octubre"/>
    <n v="6"/>
    <d v="2026-10-06T00:00:00"/>
    <n v="1016010865"/>
    <s v="RAMOS PEREZ KEVIN SANTIAGO"/>
    <n v="16"/>
    <n v="0"/>
    <n v="599915"/>
  </r>
  <r>
    <s v="Retail"/>
    <s v="Q074 - Villavicencio - Cc Unico"/>
    <x v="6"/>
    <s v="octubre"/>
    <n v="6"/>
    <d v="2026-10-06T00:00:00"/>
    <n v="1094282665"/>
    <s v="CERPA  DANIELA"/>
    <n v="16"/>
    <n v="0"/>
    <n v="889834"/>
  </r>
  <r>
    <s v="Retail"/>
    <s v="Q074 - Villavicencio - Cc Unico"/>
    <x v="6"/>
    <s v="octubre"/>
    <n v="6"/>
    <d v="2026-10-06T00:00:00"/>
    <n v="1121854340"/>
    <s v="SANCHEZ  DIAZ HEIDY CAROLINA "/>
    <n v="52"/>
    <n v="0"/>
    <n v="1989782"/>
  </r>
  <r>
    <s v="Retail"/>
    <s v="Q074 - Villavicencio - Cc Unico"/>
    <x v="6"/>
    <s v="octubre"/>
    <n v="6"/>
    <d v="2026-10-06T00:00:00"/>
    <n v="1122924164"/>
    <s v="ARANA  CARRILLO GIOVANNA VALENTINA "/>
    <n v="63"/>
    <n v="0"/>
    <n v="2271952"/>
  </r>
  <r>
    <s v="Retail"/>
    <s v="Q074 - Villavicencio - Cc Unico"/>
    <x v="6"/>
    <s v="octubre"/>
    <n v="7"/>
    <d v="2026-10-07T00:00:00"/>
    <m/>
    <m/>
    <n v="0"/>
    <n v="6920118"/>
    <n v="0"/>
  </r>
  <r>
    <s v="Retail"/>
    <s v="Q074 - Villavicencio - Cc Unico"/>
    <x v="6"/>
    <s v="octubre"/>
    <n v="7"/>
    <d v="2026-10-07T00:00:00"/>
    <n v="1005584151"/>
    <s v="RIVERA CORTINA JUAN PABLO"/>
    <n v="56"/>
    <n v="0"/>
    <n v="2219497"/>
  </r>
  <r>
    <s v="Retail"/>
    <s v="Q074 - Villavicencio - Cc Unico"/>
    <x v="6"/>
    <s v="octubre"/>
    <n v="7"/>
    <d v="2026-10-07T00:00:00"/>
    <n v="1010123104"/>
    <s v="AGUIRRE VIAZUS KEVIN  ANDRES"/>
    <n v="9"/>
    <n v="0"/>
    <n v="394497"/>
  </r>
  <r>
    <s v="Retail"/>
    <s v="Q074 - Villavicencio - Cc Unico"/>
    <x v="6"/>
    <s v="octubre"/>
    <n v="7"/>
    <d v="2026-10-07T00:00:00"/>
    <n v="1016010865"/>
    <s v="RAMOS PEREZ KEVIN SANTIAGO"/>
    <n v="23"/>
    <n v="0"/>
    <n v="864119"/>
  </r>
  <r>
    <s v="Retail"/>
    <s v="Q074 - Villavicencio - Cc Unico"/>
    <x v="6"/>
    <s v="octubre"/>
    <n v="7"/>
    <d v="2026-10-07T00:00:00"/>
    <n v="1094282665"/>
    <s v="CERPA  DANIELA"/>
    <n v="12"/>
    <n v="0"/>
    <n v="383697"/>
  </r>
  <r>
    <s v="Retail"/>
    <s v="Q074 - Villavicencio - Cc Unico"/>
    <x v="6"/>
    <s v="octubre"/>
    <n v="7"/>
    <d v="2026-10-07T00:00:00"/>
    <n v="1121854340"/>
    <s v="SANCHEZ  DIAZ HEIDY CAROLINA "/>
    <n v="51"/>
    <n v="0"/>
    <n v="2261640"/>
  </r>
  <r>
    <s v="Retail"/>
    <s v="Q074 - Villavicencio - Cc Unico"/>
    <x v="6"/>
    <s v="octubre"/>
    <n v="7"/>
    <d v="2026-10-07T00:00:00"/>
    <n v="1122924164"/>
    <s v="ARANA  CARRILLO GIOVANNA VALENTINA "/>
    <n v="41"/>
    <n v="0"/>
    <n v="1750103"/>
  </r>
  <r>
    <s v="Retail"/>
    <s v="Q086 - Villavicencio - Cc Viva"/>
    <x v="6"/>
    <s v="septiembre"/>
    <n v="23"/>
    <d v="2026-09-23T00:00:00"/>
    <m/>
    <m/>
    <n v="0"/>
    <n v="9085253"/>
    <n v="0"/>
  </r>
  <r>
    <s v="Retail"/>
    <s v="Q086 - Villavicencio - Cc Viva"/>
    <x v="6"/>
    <s v="septiembre"/>
    <n v="23"/>
    <d v="2026-09-23T00:00:00"/>
    <n v="1072394323"/>
    <s v="LADINO RUIZ ESNEIDER YESID"/>
    <n v="93"/>
    <n v="0"/>
    <n v="5208069"/>
  </r>
  <r>
    <s v="Retail"/>
    <s v="Q086 - Villavicencio - Cc Viva"/>
    <x v="6"/>
    <s v="septiembre"/>
    <n v="23"/>
    <d v="2026-09-23T00:00:00"/>
    <n v="1123059086"/>
    <s v="SIERRA  VALENCIA ANDREA "/>
    <n v="83"/>
    <n v="0"/>
    <n v="4494121"/>
  </r>
  <r>
    <s v="Retail"/>
    <s v="Q086 - Villavicencio - Cc Viva"/>
    <x v="6"/>
    <s v="septiembre"/>
    <n v="24"/>
    <d v="2026-09-24T00:00:00"/>
    <m/>
    <m/>
    <n v="0"/>
    <n v="13878744"/>
    <n v="0"/>
  </r>
  <r>
    <s v="Retail"/>
    <s v="Q086 - Villavicencio - Cc Viva"/>
    <x v="6"/>
    <s v="septiembre"/>
    <n v="24"/>
    <d v="2026-09-24T00:00:00"/>
    <n v="1006822002"/>
    <s v="BELTRAN CONCHA CAMILA TATIANA"/>
    <n v="6"/>
    <n v="0"/>
    <n v="352689"/>
  </r>
  <r>
    <s v="Retail"/>
    <s v="Q086 - Villavicencio - Cc Viva"/>
    <x v="6"/>
    <s v="septiembre"/>
    <n v="24"/>
    <d v="2026-09-24T00:00:00"/>
    <n v="1072394323"/>
    <s v="LADINO RUIZ ESNEIDER YESID"/>
    <n v="53"/>
    <n v="0"/>
    <n v="3157312"/>
  </r>
  <r>
    <s v="Retail"/>
    <s v="Q086 - Villavicencio - Cc Viva"/>
    <x v="6"/>
    <s v="septiembre"/>
    <n v="24"/>
    <d v="2026-09-24T00:00:00"/>
    <n v="1106394656"/>
    <s v="DEVIA FERIA MARLON STIVENN"/>
    <n v="13"/>
    <n v="0"/>
    <n v="705296"/>
  </r>
  <r>
    <s v="Retail"/>
    <s v="Q086 - Villavicencio - Cc Viva"/>
    <x v="6"/>
    <s v="septiembre"/>
    <n v="24"/>
    <d v="2026-09-24T00:00:00"/>
    <n v="1123059086"/>
    <s v="SIERRA  VALENCIA ANDREA "/>
    <n v="76"/>
    <n v="0"/>
    <n v="3544499"/>
  </r>
  <r>
    <s v="Retail"/>
    <s v="Q086 - Villavicencio - Cc Viva"/>
    <x v="6"/>
    <s v="septiembre"/>
    <n v="25"/>
    <d v="2026-09-25T00:00:00"/>
    <m/>
    <m/>
    <n v="0"/>
    <n v="13848019"/>
    <n v="0"/>
  </r>
  <r>
    <s v="Retail"/>
    <s v="Q086 - Villavicencio - Cc Viva"/>
    <x v="6"/>
    <s v="septiembre"/>
    <n v="25"/>
    <d v="2026-09-25T00:00:00"/>
    <n v="1006822002"/>
    <s v="BELTRAN CONCHA CAMILA TATIANA"/>
    <n v="33"/>
    <n v="0"/>
    <n v="1807357"/>
  </r>
  <r>
    <s v="Retail"/>
    <s v="Q086 - Villavicencio - Cc Viva"/>
    <x v="6"/>
    <s v="septiembre"/>
    <n v="25"/>
    <d v="2026-09-25T00:00:00"/>
    <n v="1072394323"/>
    <s v="LADINO RUIZ ESNEIDER YESID"/>
    <n v="90"/>
    <n v="0"/>
    <n v="4678620"/>
  </r>
  <r>
    <s v="Retail"/>
    <s v="Q086 - Villavicencio - Cc Viva"/>
    <x v="6"/>
    <s v="septiembre"/>
    <n v="25"/>
    <d v="2026-09-25T00:00:00"/>
    <n v="1106394656"/>
    <s v="DEVIA FERIA MARLON STIVENN"/>
    <n v="29"/>
    <n v="0"/>
    <n v="1515505"/>
  </r>
  <r>
    <s v="Retail"/>
    <s v="Q086 - Villavicencio - Cc Viva"/>
    <x v="6"/>
    <s v="septiembre"/>
    <n v="25"/>
    <d v="2026-09-25T00:00:00"/>
    <n v="1123059086"/>
    <s v="SIERRA  VALENCIA ANDREA "/>
    <n v="82"/>
    <n v="0"/>
    <n v="4870468"/>
  </r>
  <r>
    <s v="Retail"/>
    <s v="Q086 - Villavicencio - Cc Viva"/>
    <x v="6"/>
    <s v="septiembre"/>
    <n v="26"/>
    <d v="2026-09-26T00:00:00"/>
    <m/>
    <m/>
    <n v="0"/>
    <n v="19901593"/>
    <n v="0"/>
  </r>
  <r>
    <s v="Retail"/>
    <s v="Q086 - Villavicencio - Cc Viva"/>
    <x v="6"/>
    <s v="septiembre"/>
    <n v="26"/>
    <d v="2026-09-26T00:00:00"/>
    <n v="1006822002"/>
    <s v="BELTRAN CONCHA CAMILA TATIANA"/>
    <n v="27"/>
    <n v="0"/>
    <n v="1082733"/>
  </r>
  <r>
    <s v="Retail"/>
    <s v="Q086 - Villavicencio - Cc Viva"/>
    <x v="6"/>
    <s v="septiembre"/>
    <n v="26"/>
    <d v="2026-09-26T00:00:00"/>
    <n v="1072394323"/>
    <s v="LADINO RUIZ ESNEIDER YESID"/>
    <n v="102"/>
    <n v="0"/>
    <n v="5793831"/>
  </r>
  <r>
    <s v="Retail"/>
    <s v="Q086 - Villavicencio - Cc Viva"/>
    <x v="6"/>
    <s v="septiembre"/>
    <n v="26"/>
    <d v="2026-09-26T00:00:00"/>
    <n v="1106394656"/>
    <s v="DEVIA FERIA MARLON STIVENN"/>
    <n v="43"/>
    <n v="0"/>
    <n v="2363699"/>
  </r>
  <r>
    <s v="Retail"/>
    <s v="Q086 - Villavicencio - Cc Viva"/>
    <x v="6"/>
    <s v="septiembre"/>
    <n v="26"/>
    <d v="2026-09-26T00:00:00"/>
    <n v="1123059086"/>
    <s v="SIERRA  VALENCIA ANDREA "/>
    <n v="106"/>
    <n v="0"/>
    <n v="5772610"/>
  </r>
  <r>
    <s v="Retail"/>
    <s v="Q086 - Villavicencio - Cc Viva"/>
    <x v="6"/>
    <s v="septiembre"/>
    <n v="27"/>
    <d v="2026-09-27T00:00:00"/>
    <m/>
    <m/>
    <n v="0"/>
    <n v="15766070"/>
    <n v="0"/>
  </r>
  <r>
    <s v="Retail"/>
    <s v="Q086 - Villavicencio - Cc Viva"/>
    <x v="6"/>
    <s v="septiembre"/>
    <n v="27"/>
    <d v="2026-09-27T00:00:00"/>
    <n v="1006822002"/>
    <s v="BELTRAN CONCHA CAMILA TATIANA"/>
    <n v="28"/>
    <n v="0"/>
    <n v="1624792"/>
  </r>
  <r>
    <s v="Retail"/>
    <s v="Q086 - Villavicencio - Cc Viva"/>
    <x v="6"/>
    <s v="septiembre"/>
    <n v="27"/>
    <d v="2026-09-27T00:00:00"/>
    <n v="1072394323"/>
    <s v="LADINO RUIZ ESNEIDER YESID"/>
    <n v="112"/>
    <n v="0"/>
    <n v="6203156"/>
  </r>
  <r>
    <s v="Retail"/>
    <s v="Q086 - Villavicencio - Cc Viva"/>
    <x v="6"/>
    <s v="septiembre"/>
    <n v="27"/>
    <d v="2026-09-27T00:00:00"/>
    <n v="1106394656"/>
    <s v="DEVIA FERIA MARLON STIVENN"/>
    <n v="35"/>
    <n v="0"/>
    <n v="2267313"/>
  </r>
  <r>
    <s v="Retail"/>
    <s v="Q086 - Villavicencio - Cc Viva"/>
    <x v="6"/>
    <s v="septiembre"/>
    <n v="27"/>
    <d v="2026-09-27T00:00:00"/>
    <n v="1123059086"/>
    <s v="SIERRA  VALENCIA ANDREA "/>
    <n v="100"/>
    <n v="0"/>
    <n v="6268615"/>
  </r>
  <r>
    <s v="Retail"/>
    <s v="Q086 - Villavicencio - Cc Viva"/>
    <x v="6"/>
    <s v="septiembre"/>
    <n v="28"/>
    <d v="2026-09-28T00:00:00"/>
    <m/>
    <m/>
    <n v="0"/>
    <n v="8676997"/>
    <n v="0"/>
  </r>
  <r>
    <s v="Retail"/>
    <s v="Q086 - Villavicencio - Cc Viva"/>
    <x v="6"/>
    <s v="septiembre"/>
    <n v="28"/>
    <d v="2026-09-28T00:00:00"/>
    <n v="1006822002"/>
    <s v="BELTRAN CONCHA CAMILA TATIANA"/>
    <n v="11"/>
    <n v="0"/>
    <n v="633992"/>
  </r>
  <r>
    <s v="Retail"/>
    <s v="Q086 - Villavicencio - Cc Viva"/>
    <x v="6"/>
    <s v="septiembre"/>
    <n v="28"/>
    <d v="2026-09-28T00:00:00"/>
    <n v="1072394323"/>
    <s v="LADINO RUIZ ESNEIDER YESID"/>
    <n v="47"/>
    <n v="0"/>
    <n v="2384330"/>
  </r>
  <r>
    <s v="Retail"/>
    <s v="Q086 - Villavicencio - Cc Viva"/>
    <x v="6"/>
    <s v="septiembre"/>
    <n v="28"/>
    <d v="2026-09-28T00:00:00"/>
    <n v="1106394656"/>
    <s v="DEVIA FERIA MARLON STIVENN"/>
    <n v="2"/>
    <n v="0"/>
    <n v="113362"/>
  </r>
  <r>
    <s v="Retail"/>
    <s v="Q086 - Villavicencio - Cc Viva"/>
    <x v="6"/>
    <s v="septiembre"/>
    <n v="28"/>
    <d v="2026-09-28T00:00:00"/>
    <n v="1123059086"/>
    <s v="SIERRA  VALENCIA ANDREA "/>
    <n v="47"/>
    <n v="0"/>
    <n v="2432775"/>
  </r>
  <r>
    <s v="Retail"/>
    <s v="Q086 - Villavicencio - Cc Viva"/>
    <x v="6"/>
    <s v="septiembre"/>
    <n v="29"/>
    <d v="2026-09-29T00:00:00"/>
    <m/>
    <m/>
    <n v="0"/>
    <n v="9268732"/>
    <n v="0"/>
  </r>
  <r>
    <s v="Retail"/>
    <s v="Q086 - Villavicencio - Cc Viva"/>
    <x v="6"/>
    <s v="septiembre"/>
    <n v="29"/>
    <d v="2026-09-29T00:00:00"/>
    <n v="1006822002"/>
    <s v="BELTRAN CONCHA CAMILA TATIANA"/>
    <n v="10"/>
    <n v="0"/>
    <n v="524708"/>
  </r>
  <r>
    <s v="Retail"/>
    <s v="Q086 - Villavicencio - Cc Viva"/>
    <x v="6"/>
    <s v="septiembre"/>
    <n v="29"/>
    <d v="2026-09-29T00:00:00"/>
    <n v="1072394323"/>
    <s v="LADINO RUIZ ESNEIDER YESID"/>
    <n v="65"/>
    <n v="0"/>
    <n v="3667232"/>
  </r>
  <r>
    <s v="Retail"/>
    <s v="Q086 - Villavicencio - Cc Viva"/>
    <x v="6"/>
    <s v="septiembre"/>
    <n v="29"/>
    <d v="2026-09-29T00:00:00"/>
    <n v="1106394656"/>
    <s v="DEVIA FERIA MARLON STIVENN"/>
    <n v="28"/>
    <n v="0"/>
    <n v="1347522"/>
  </r>
  <r>
    <s v="Retail"/>
    <s v="Q086 - Villavicencio - Cc Viva"/>
    <x v="6"/>
    <s v="septiembre"/>
    <n v="30"/>
    <d v="2026-09-30T00:00:00"/>
    <m/>
    <m/>
    <n v="0"/>
    <n v="9574765"/>
    <n v="0"/>
  </r>
  <r>
    <s v="Retail"/>
    <s v="Q086 - Villavicencio - Cc Viva"/>
    <x v="6"/>
    <s v="septiembre"/>
    <n v="30"/>
    <d v="2026-09-30T00:00:00"/>
    <n v="1006822002"/>
    <s v="BELTRAN CONCHA CAMILA TATIANA"/>
    <n v="23"/>
    <n v="0"/>
    <n v="1221474"/>
  </r>
  <r>
    <s v="Retail"/>
    <s v="Q086 - Villavicencio - Cc Viva"/>
    <x v="6"/>
    <s v="septiembre"/>
    <n v="30"/>
    <d v="2026-09-30T00:00:00"/>
    <n v="1072394323"/>
    <s v="LADINO RUIZ ESNEIDER YESID"/>
    <n v="11"/>
    <n v="0"/>
    <n v="541471"/>
  </r>
  <r>
    <s v="Retail"/>
    <s v="Q086 - Villavicencio - Cc Viva"/>
    <x v="6"/>
    <s v="septiembre"/>
    <n v="30"/>
    <d v="2026-09-30T00:00:00"/>
    <n v="1106394656"/>
    <s v="DEVIA FERIA MARLON STIVENN"/>
    <n v="18"/>
    <n v="0"/>
    <n v="1032774"/>
  </r>
  <r>
    <s v="Retail"/>
    <s v="Q086 - Villavicencio - Cc Viva"/>
    <x v="6"/>
    <s v="septiembre"/>
    <n v="30"/>
    <d v="2026-09-30T00:00:00"/>
    <n v="1123059086"/>
    <s v="SIERRA  VALENCIA ANDREA "/>
    <n v="57"/>
    <n v="0"/>
    <n v="3535215"/>
  </r>
  <r>
    <s v="Retail"/>
    <s v="Q086 - Villavicencio - Cc Viva"/>
    <x v="6"/>
    <s v="octubre"/>
    <n v="1"/>
    <d v="2026-10-01T00:00:00"/>
    <m/>
    <m/>
    <n v="0"/>
    <n v="9610750"/>
    <n v="0"/>
  </r>
  <r>
    <s v="Retail"/>
    <s v="Q086 - Villavicencio - Cc Viva"/>
    <x v="6"/>
    <s v="octubre"/>
    <n v="1"/>
    <d v="2026-10-01T00:00:00"/>
    <n v="1006822002"/>
    <s v="BELTRAN CONCHA CAMILA TATIANA"/>
    <n v="16"/>
    <n v="0"/>
    <n v="793364"/>
  </r>
  <r>
    <s v="Retail"/>
    <s v="Q086 - Villavicencio - Cc Viva"/>
    <x v="6"/>
    <s v="octubre"/>
    <n v="1"/>
    <d v="2026-10-01T00:00:00"/>
    <n v="1072394323"/>
    <s v="LADINO RUIZ ESNEIDER YESID"/>
    <n v="40"/>
    <n v="0"/>
    <n v="2290129"/>
  </r>
  <r>
    <s v="Retail"/>
    <s v="Q086 - Villavicencio - Cc Viva"/>
    <x v="6"/>
    <s v="octubre"/>
    <n v="1"/>
    <d v="2026-10-01T00:00:00"/>
    <n v="1094282665"/>
    <s v="CERPA  DANIELA"/>
    <n v="-1"/>
    <n v="0"/>
    <n v="-46177"/>
  </r>
  <r>
    <s v="Retail"/>
    <s v="Q086 - Villavicencio - Cc Viva"/>
    <x v="6"/>
    <s v="octubre"/>
    <n v="1"/>
    <d v="2026-10-01T00:00:00"/>
    <n v="1106394656"/>
    <s v="DEVIA FERIA MARLON STIVENN"/>
    <n v="21"/>
    <n v="0"/>
    <n v="1263825"/>
  </r>
  <r>
    <s v="Retail"/>
    <s v="Q086 - Villavicencio - Cc Viva"/>
    <x v="6"/>
    <s v="octubre"/>
    <n v="1"/>
    <d v="2026-10-01T00:00:00"/>
    <n v="1123059086"/>
    <s v="SIERRA  VALENCIA ANDREA "/>
    <n v="43"/>
    <n v="0"/>
    <n v="2241809"/>
  </r>
  <r>
    <s v="Retail"/>
    <s v="Q086 - Villavicencio - Cc Viva"/>
    <x v="6"/>
    <s v="octubre"/>
    <n v="2"/>
    <d v="2026-10-02T00:00:00"/>
    <m/>
    <m/>
    <n v="0"/>
    <n v="9992707"/>
    <n v="0"/>
  </r>
  <r>
    <s v="Retail"/>
    <s v="Q086 - Villavicencio - Cc Viva"/>
    <x v="6"/>
    <s v="octubre"/>
    <n v="2"/>
    <d v="2026-10-02T00:00:00"/>
    <n v="1006822002"/>
    <s v="BELTRAN CONCHA CAMILA TATIANA"/>
    <n v="18"/>
    <n v="0"/>
    <n v="1041094"/>
  </r>
  <r>
    <s v="Retail"/>
    <s v="Q086 - Villavicencio - Cc Viva"/>
    <x v="6"/>
    <s v="octubre"/>
    <n v="2"/>
    <d v="2026-10-02T00:00:00"/>
    <n v="1072394323"/>
    <s v="LADINO RUIZ ESNEIDER YESID"/>
    <n v="62"/>
    <n v="0"/>
    <n v="3724082"/>
  </r>
  <r>
    <s v="Retail"/>
    <s v="Q086 - Villavicencio - Cc Viva"/>
    <x v="6"/>
    <s v="octubre"/>
    <n v="2"/>
    <d v="2026-10-02T00:00:00"/>
    <n v="1106394656"/>
    <s v="DEVIA FERIA MARLON STIVENN"/>
    <n v="17"/>
    <n v="0"/>
    <n v="999163"/>
  </r>
  <r>
    <s v="Retail"/>
    <s v="Q086 - Villavicencio - Cc Viva"/>
    <x v="6"/>
    <s v="octubre"/>
    <n v="2"/>
    <d v="2026-10-02T00:00:00"/>
    <n v="1123059086"/>
    <s v="SIERRA  VALENCIA ANDREA "/>
    <n v="82"/>
    <n v="0"/>
    <n v="4487902"/>
  </r>
  <r>
    <s v="Retail"/>
    <s v="Q086 - Villavicencio - Cc Viva"/>
    <x v="6"/>
    <s v="octubre"/>
    <n v="3"/>
    <d v="2026-10-03T00:00:00"/>
    <m/>
    <m/>
    <n v="0"/>
    <n v="16052233"/>
    <n v="0"/>
  </r>
  <r>
    <s v="Retail"/>
    <s v="Q086 - Villavicencio - Cc Viva"/>
    <x v="6"/>
    <s v="octubre"/>
    <n v="3"/>
    <d v="2026-10-03T00:00:00"/>
    <n v="52805111"/>
    <s v="RINCON  QUINTERO SONIA LILIANA "/>
    <n v="-4"/>
    <n v="0"/>
    <n v="-197269"/>
  </r>
  <r>
    <s v="Retail"/>
    <s v="Q086 - Villavicencio - Cc Viva"/>
    <x v="6"/>
    <s v="octubre"/>
    <n v="3"/>
    <d v="2026-10-03T00:00:00"/>
    <n v="1006822002"/>
    <s v="BELTRAN CONCHA CAMILA TATIANA"/>
    <n v="31"/>
    <n v="0"/>
    <n v="1661624"/>
  </r>
  <r>
    <s v="Retail"/>
    <s v="Q086 - Villavicencio - Cc Viva"/>
    <x v="6"/>
    <s v="octubre"/>
    <n v="3"/>
    <d v="2026-10-03T00:00:00"/>
    <n v="1072394323"/>
    <s v="LADINO RUIZ ESNEIDER YESID"/>
    <n v="97"/>
    <n v="0"/>
    <n v="5356509"/>
  </r>
  <r>
    <s v="Retail"/>
    <s v="Q086 - Villavicencio - Cc Viva"/>
    <x v="6"/>
    <s v="octubre"/>
    <n v="3"/>
    <d v="2026-10-03T00:00:00"/>
    <n v="1106394656"/>
    <s v="DEVIA FERIA MARLON STIVENN"/>
    <n v="54"/>
    <n v="0"/>
    <n v="2809135"/>
  </r>
  <r>
    <s v="Retail"/>
    <s v="Q086 - Villavicencio - Cc Viva"/>
    <x v="6"/>
    <s v="octubre"/>
    <n v="3"/>
    <d v="2026-10-03T00:00:00"/>
    <n v="1123059086"/>
    <s v="SIERRA  VALENCIA ANDREA "/>
    <n v="105"/>
    <n v="0"/>
    <n v="5412127"/>
  </r>
  <r>
    <s v="Retail"/>
    <s v="Q086 - Villavicencio - Cc Viva"/>
    <x v="6"/>
    <s v="octubre"/>
    <n v="4"/>
    <d v="2026-10-04T00:00:00"/>
    <m/>
    <m/>
    <n v="0"/>
    <n v="10053513"/>
    <n v="0"/>
  </r>
  <r>
    <s v="Retail"/>
    <s v="Q086 - Villavicencio - Cc Viva"/>
    <x v="6"/>
    <s v="octubre"/>
    <n v="4"/>
    <d v="2026-10-04T00:00:00"/>
    <n v="1006822002"/>
    <s v="BELTRAN CONCHA CAMILA TATIANA"/>
    <n v="21"/>
    <n v="0"/>
    <n v="1067136"/>
  </r>
  <r>
    <s v="Retail"/>
    <s v="Q086 - Villavicencio - Cc Viva"/>
    <x v="6"/>
    <s v="octubre"/>
    <n v="4"/>
    <d v="2026-10-04T00:00:00"/>
    <n v="1072394323"/>
    <s v="LADINO RUIZ ESNEIDER YESID"/>
    <n v="100"/>
    <n v="0"/>
    <n v="5728870"/>
  </r>
  <r>
    <s v="Retail"/>
    <s v="Q086 - Villavicencio - Cc Viva"/>
    <x v="6"/>
    <s v="octubre"/>
    <n v="4"/>
    <d v="2026-10-04T00:00:00"/>
    <n v="1106394656"/>
    <s v="DEVIA FERIA MARLON STIVENN"/>
    <n v="9"/>
    <n v="0"/>
    <n v="596177"/>
  </r>
  <r>
    <s v="Retail"/>
    <s v="Q086 - Villavicencio - Cc Viva"/>
    <x v="6"/>
    <s v="octubre"/>
    <n v="4"/>
    <d v="2026-10-04T00:00:00"/>
    <n v="1123059086"/>
    <s v="SIERRA  VALENCIA ANDREA "/>
    <n v="108"/>
    <n v="0"/>
    <n v="5774669"/>
  </r>
  <r>
    <s v="Retail"/>
    <s v="Q086 - Villavicencio - Cc Viva"/>
    <x v="6"/>
    <s v="octubre"/>
    <n v="5"/>
    <d v="2026-10-05T00:00:00"/>
    <m/>
    <m/>
    <n v="0"/>
    <n v="6464783"/>
    <n v="0"/>
  </r>
  <r>
    <s v="Retail"/>
    <s v="Q086 - Villavicencio - Cc Viva"/>
    <x v="6"/>
    <s v="octubre"/>
    <n v="5"/>
    <d v="2026-10-05T00:00:00"/>
    <n v="1005584151"/>
    <s v="RIVERA CORTINA JUAN PABLO"/>
    <n v="-1"/>
    <n v="0"/>
    <n v="-105000"/>
  </r>
  <r>
    <s v="Retail"/>
    <s v="Q086 - Villavicencio - Cc Viva"/>
    <x v="6"/>
    <s v="octubre"/>
    <n v="5"/>
    <d v="2026-10-05T00:00:00"/>
    <n v="1006822002"/>
    <s v="BELTRAN CONCHA CAMILA TATIANA"/>
    <n v="25"/>
    <n v="0"/>
    <n v="1047146"/>
  </r>
  <r>
    <s v="Retail"/>
    <s v="Q086 - Villavicencio - Cc Viva"/>
    <x v="6"/>
    <s v="octubre"/>
    <n v="5"/>
    <d v="2026-10-05T00:00:00"/>
    <n v="1072394323"/>
    <s v="LADINO RUIZ ESNEIDER YESID"/>
    <n v="45"/>
    <n v="0"/>
    <n v="2487354"/>
  </r>
  <r>
    <s v="Retail"/>
    <s v="Q086 - Villavicencio - Cc Viva"/>
    <x v="6"/>
    <s v="octubre"/>
    <n v="5"/>
    <d v="2026-10-05T00:00:00"/>
    <n v="1106394656"/>
    <s v="DEVIA FERIA MARLON STIVENN"/>
    <n v="18"/>
    <n v="0"/>
    <n v="1167314"/>
  </r>
  <r>
    <s v="Retail"/>
    <s v="Q086 - Villavicencio - Cc Viva"/>
    <x v="6"/>
    <s v="octubre"/>
    <n v="5"/>
    <d v="2026-10-05T00:00:00"/>
    <n v="1123059086"/>
    <s v="SIERRA  VALENCIA ANDREA "/>
    <n v="41"/>
    <n v="0"/>
    <n v="2334160"/>
  </r>
  <r>
    <s v="Retail"/>
    <s v="Q086 - Villavicencio - Cc Viva"/>
    <x v="6"/>
    <s v="octubre"/>
    <n v="6"/>
    <d v="2026-10-06T00:00:00"/>
    <m/>
    <m/>
    <n v="0"/>
    <n v="4880165"/>
    <n v="0"/>
  </r>
  <r>
    <s v="Retail"/>
    <s v="Q086 - Villavicencio - Cc Viva"/>
    <x v="6"/>
    <s v="octubre"/>
    <n v="6"/>
    <d v="2026-10-06T00:00:00"/>
    <n v="1072394323"/>
    <s v="LADINO RUIZ ESNEIDER YESID"/>
    <n v="26"/>
    <n v="0"/>
    <n v="1494707"/>
  </r>
  <r>
    <s v="Retail"/>
    <s v="Q086 - Villavicencio - Cc Viva"/>
    <x v="6"/>
    <s v="octubre"/>
    <n v="6"/>
    <d v="2026-10-06T00:00:00"/>
    <n v="1106394656"/>
    <s v="DEVIA FERIA MARLON STIVENN"/>
    <n v="17"/>
    <n v="0"/>
    <n v="913027"/>
  </r>
  <r>
    <s v="Retail"/>
    <s v="Q086 - Villavicencio - Cc Viva"/>
    <x v="6"/>
    <s v="octubre"/>
    <n v="6"/>
    <d v="2026-10-06T00:00:00"/>
    <n v="1123059086"/>
    <s v="SIERRA  VALENCIA ANDREA "/>
    <n v="23"/>
    <n v="0"/>
    <n v="1471725"/>
  </r>
  <r>
    <s v="Retail"/>
    <s v="Q086 - Villavicencio - Cc Viva"/>
    <x v="6"/>
    <s v="octubre"/>
    <n v="7"/>
    <d v="2026-10-07T00:00:00"/>
    <m/>
    <m/>
    <n v="0"/>
    <n v="4815952"/>
    <n v="0"/>
  </r>
  <r>
    <s v="Retail"/>
    <s v="Q086 - Villavicencio - Cc Viva"/>
    <x v="6"/>
    <s v="octubre"/>
    <n v="7"/>
    <d v="2026-10-07T00:00:00"/>
    <n v="1072394323"/>
    <s v="LADINO RUIZ ESNEIDER YESID"/>
    <n v="45"/>
    <n v="0"/>
    <n v="2262438"/>
  </r>
  <r>
    <s v="Retail"/>
    <s v="Q086 - Villavicencio - Cc Viva"/>
    <x v="6"/>
    <s v="octubre"/>
    <n v="7"/>
    <d v="2026-10-07T00:00:00"/>
    <n v="1106394656"/>
    <s v="DEVIA FERIA MARLON STIVENN"/>
    <n v="3"/>
    <n v="0"/>
    <n v="159538"/>
  </r>
  <r>
    <s v="Retail"/>
    <s v="Q086 - Villavicencio - Cc Viva"/>
    <x v="6"/>
    <s v="octubre"/>
    <n v="7"/>
    <d v="2026-10-07T00:00:00"/>
    <n v="1123059086"/>
    <s v="SIERRA  VALENCIA ANDREA "/>
    <n v="35"/>
    <n v="0"/>
    <n v="1987903"/>
  </r>
  <r>
    <s v="Retail"/>
    <s v="Q124 - Bogotá - Cc Nuestro Bogotá"/>
    <x v="6"/>
    <s v="septiembre"/>
    <n v="23"/>
    <d v="2026-09-23T00:00:00"/>
    <m/>
    <m/>
    <n v="0"/>
    <n v="5995227"/>
    <n v="0"/>
  </r>
  <r>
    <s v="Retail"/>
    <s v="Q124 - Bogotá - Cc Nuestro Bogotá"/>
    <x v="6"/>
    <s v="septiembre"/>
    <n v="23"/>
    <d v="2026-09-23T00:00:00"/>
    <n v="1019988315"/>
    <s v="PARDO CASTAÑEDA NICOLAS"/>
    <n v="15"/>
    <n v="0"/>
    <n v="623278"/>
  </r>
  <r>
    <s v="Retail"/>
    <s v="Q124 - Bogotá - Cc Nuestro Bogotá"/>
    <x v="6"/>
    <s v="septiembre"/>
    <n v="23"/>
    <d v="2026-09-23T00:00:00"/>
    <n v="1023005185"/>
    <s v="TRUJILLO  MORALES NATALIA "/>
    <n v="8"/>
    <n v="0"/>
    <n v="449204"/>
  </r>
  <r>
    <s v="Retail"/>
    <s v="Q124 - Bogotá - Cc Nuestro Bogotá"/>
    <x v="6"/>
    <s v="septiembre"/>
    <n v="23"/>
    <d v="2026-09-23T00:00:00"/>
    <n v="1058968780"/>
    <s v="MARTINEZ  IMBACHI JULIO CESAR "/>
    <n v="17"/>
    <n v="0"/>
    <n v="942353"/>
  </r>
  <r>
    <s v="Retail"/>
    <s v="Q124 - Bogotá - Cc Nuestro Bogotá"/>
    <x v="6"/>
    <s v="septiembre"/>
    <n v="23"/>
    <d v="2026-09-23T00:00:00"/>
    <n v="1122510706"/>
    <s v="GUTIERREZ CALDERON GUTIERREZ CALDERON DIANA MARCELA"/>
    <n v="9"/>
    <n v="0"/>
    <n v="722311"/>
  </r>
  <r>
    <s v="Retail"/>
    <s v="Q124 - Bogotá - Cc Nuestro Bogotá"/>
    <x v="6"/>
    <s v="septiembre"/>
    <n v="24"/>
    <d v="2026-09-24T00:00:00"/>
    <m/>
    <m/>
    <n v="0"/>
    <n v="9158384"/>
    <n v="0"/>
  </r>
  <r>
    <s v="Retail"/>
    <s v="Q124 - Bogotá - Cc Nuestro Bogotá"/>
    <x v="6"/>
    <s v="septiembre"/>
    <n v="24"/>
    <d v="2026-09-24T00:00:00"/>
    <n v="1019988315"/>
    <s v="PARDO CASTAÑEDA NICOLAS"/>
    <n v="30"/>
    <n v="0"/>
    <n v="2141555"/>
  </r>
  <r>
    <s v="Retail"/>
    <s v="Q124 - Bogotá - Cc Nuestro Bogotá"/>
    <x v="6"/>
    <s v="septiembre"/>
    <n v="24"/>
    <d v="2026-09-24T00:00:00"/>
    <n v="1023005185"/>
    <s v="TRUJILLO  MORALES NATALIA "/>
    <n v="17"/>
    <n v="0"/>
    <n v="1125336"/>
  </r>
  <r>
    <s v="Retail"/>
    <s v="Q124 - Bogotá - Cc Nuestro Bogotá"/>
    <x v="6"/>
    <s v="septiembre"/>
    <n v="24"/>
    <d v="2026-09-24T00:00:00"/>
    <n v="1058968780"/>
    <s v="MARTINEZ  IMBACHI JULIO CESAR "/>
    <n v="26"/>
    <n v="0"/>
    <n v="1612185"/>
  </r>
  <r>
    <s v="Retail"/>
    <s v="Q124 - Bogotá - Cc Nuestro Bogotá"/>
    <x v="6"/>
    <s v="septiembre"/>
    <n v="24"/>
    <d v="2026-09-24T00:00:00"/>
    <n v="1122510706"/>
    <s v="GUTIERREZ CALDERON GUTIERREZ CALDERON DIANA MARCELA"/>
    <n v="6"/>
    <n v="0"/>
    <n v="478739"/>
  </r>
  <r>
    <s v="Retail"/>
    <s v="Q124 - Bogotá - Cc Nuestro Bogotá"/>
    <x v="6"/>
    <s v="septiembre"/>
    <n v="25"/>
    <d v="2026-09-25T00:00:00"/>
    <m/>
    <m/>
    <n v="0"/>
    <n v="9138109"/>
    <n v="0"/>
  </r>
  <r>
    <s v="Retail"/>
    <s v="Q124 - Bogotá - Cc Nuestro Bogotá"/>
    <x v="6"/>
    <s v="septiembre"/>
    <n v="25"/>
    <d v="2026-09-25T00:00:00"/>
    <n v="1019988315"/>
    <s v="PARDO CASTAÑEDA NICOLAS"/>
    <n v="17"/>
    <n v="0"/>
    <n v="1037060"/>
  </r>
  <r>
    <s v="Retail"/>
    <s v="Q124 - Bogotá - Cc Nuestro Bogotá"/>
    <x v="6"/>
    <s v="septiembre"/>
    <n v="25"/>
    <d v="2026-09-25T00:00:00"/>
    <n v="1023005185"/>
    <s v="TRUJILLO  MORALES NATALIA "/>
    <n v="30"/>
    <n v="0"/>
    <n v="2076304"/>
  </r>
  <r>
    <s v="Retail"/>
    <s v="Q124 - Bogotá - Cc Nuestro Bogotá"/>
    <x v="6"/>
    <s v="septiembre"/>
    <n v="25"/>
    <d v="2026-09-25T00:00:00"/>
    <n v="1058968780"/>
    <s v="MARTINEZ  IMBACHI JULIO CESAR "/>
    <n v="30"/>
    <n v="0"/>
    <n v="1863993"/>
  </r>
  <r>
    <s v="Retail"/>
    <s v="Q124 - Bogotá - Cc Nuestro Bogotá"/>
    <x v="6"/>
    <s v="septiembre"/>
    <n v="25"/>
    <d v="2026-09-25T00:00:00"/>
    <n v="1122510706"/>
    <s v="GUTIERREZ CALDERON GUTIERREZ CALDERON DIANA MARCELA"/>
    <n v="24"/>
    <n v="0"/>
    <n v="1295172"/>
  </r>
  <r>
    <s v="Retail"/>
    <s v="Q124 - Bogotá - Cc Nuestro Bogotá"/>
    <x v="6"/>
    <s v="septiembre"/>
    <n v="26"/>
    <d v="2026-09-26T00:00:00"/>
    <m/>
    <m/>
    <n v="0"/>
    <n v="13132775"/>
    <n v="0"/>
  </r>
  <r>
    <s v="Retail"/>
    <s v="Q124 - Bogotá - Cc Nuestro Bogotá"/>
    <x v="6"/>
    <s v="septiembre"/>
    <n v="26"/>
    <d v="2026-09-26T00:00:00"/>
    <n v="1019988315"/>
    <s v="PARDO CASTAÑEDA NICOLAS"/>
    <n v="34"/>
    <n v="0"/>
    <n v="1992144"/>
  </r>
  <r>
    <s v="Retail"/>
    <s v="Q124 - Bogotá - Cc Nuestro Bogotá"/>
    <x v="6"/>
    <s v="septiembre"/>
    <n v="26"/>
    <d v="2026-09-26T00:00:00"/>
    <n v="1023005185"/>
    <s v="TRUJILLO  MORALES NATALIA "/>
    <n v="46"/>
    <n v="0"/>
    <n v="2901138"/>
  </r>
  <r>
    <s v="Retail"/>
    <s v="Q124 - Bogotá - Cc Nuestro Bogotá"/>
    <x v="6"/>
    <s v="septiembre"/>
    <n v="26"/>
    <d v="2026-09-26T00:00:00"/>
    <n v="1058968780"/>
    <s v="MARTINEZ  IMBACHI JULIO CESAR "/>
    <n v="18"/>
    <n v="0"/>
    <n v="814118"/>
  </r>
  <r>
    <s v="Retail"/>
    <s v="Q124 - Bogotá - Cc Nuestro Bogotá"/>
    <x v="6"/>
    <s v="septiembre"/>
    <n v="26"/>
    <d v="2026-09-26T00:00:00"/>
    <n v="1122510706"/>
    <s v="GUTIERREZ CALDERON GUTIERREZ CALDERON DIANA MARCELA"/>
    <n v="48"/>
    <n v="0"/>
    <n v="2543741"/>
  </r>
  <r>
    <s v="Retail"/>
    <s v="Q124 - Bogotá - Cc Nuestro Bogotá"/>
    <x v="6"/>
    <s v="septiembre"/>
    <n v="27"/>
    <d v="2026-09-27T00:00:00"/>
    <m/>
    <m/>
    <n v="0"/>
    <n v="10403801"/>
    <n v="0"/>
  </r>
  <r>
    <s v="Retail"/>
    <s v="Q124 - Bogotá - Cc Nuestro Bogotá"/>
    <x v="6"/>
    <s v="septiembre"/>
    <n v="27"/>
    <d v="2026-09-27T00:00:00"/>
    <n v="1019988315"/>
    <s v="PARDO CASTAÑEDA NICOLAS"/>
    <n v="30"/>
    <n v="0"/>
    <n v="1933363"/>
  </r>
  <r>
    <s v="Retail"/>
    <s v="Q124 - Bogotá - Cc Nuestro Bogotá"/>
    <x v="6"/>
    <s v="septiembre"/>
    <n v="27"/>
    <d v="2026-09-27T00:00:00"/>
    <n v="1023005185"/>
    <s v="TRUJILLO  MORALES NATALIA "/>
    <n v="31"/>
    <n v="0"/>
    <n v="2112102"/>
  </r>
  <r>
    <s v="Retail"/>
    <s v="Q124 - Bogotá - Cc Nuestro Bogotá"/>
    <x v="6"/>
    <s v="septiembre"/>
    <n v="27"/>
    <d v="2026-09-27T00:00:00"/>
    <n v="1058968780"/>
    <s v="MARTINEZ  IMBACHI JULIO CESAR "/>
    <n v="43"/>
    <n v="0"/>
    <n v="1720589"/>
  </r>
  <r>
    <s v="Retail"/>
    <s v="Q124 - Bogotá - Cc Nuestro Bogotá"/>
    <x v="6"/>
    <s v="septiembre"/>
    <n v="27"/>
    <d v="2026-09-27T00:00:00"/>
    <n v="1122510706"/>
    <s v="GUTIERREZ CALDERON GUTIERREZ CALDERON DIANA MARCELA"/>
    <n v="42"/>
    <n v="0"/>
    <n v="2653364"/>
  </r>
  <r>
    <s v="Retail"/>
    <s v="Q124 - Bogotá - Cc Nuestro Bogotá"/>
    <x v="6"/>
    <s v="septiembre"/>
    <n v="28"/>
    <d v="2026-09-28T00:00:00"/>
    <m/>
    <m/>
    <n v="0"/>
    <n v="5725825"/>
    <n v="0"/>
  </r>
  <r>
    <s v="Retail"/>
    <s v="Q124 - Bogotá - Cc Nuestro Bogotá"/>
    <x v="6"/>
    <s v="septiembre"/>
    <n v="28"/>
    <d v="2026-09-28T00:00:00"/>
    <n v="1019988315"/>
    <s v="PARDO CASTAÑEDA NICOLAS"/>
    <n v="14"/>
    <n v="0"/>
    <n v="1125337"/>
  </r>
  <r>
    <s v="Retail"/>
    <s v="Q124 - Bogotá - Cc Nuestro Bogotá"/>
    <x v="6"/>
    <s v="septiembre"/>
    <n v="28"/>
    <d v="2026-09-28T00:00:00"/>
    <n v="1023005185"/>
    <s v="TRUJILLO  MORALES NATALIA "/>
    <n v="16"/>
    <n v="0"/>
    <n v="1268068"/>
  </r>
  <r>
    <s v="Retail"/>
    <s v="Q124 - Bogotá - Cc Nuestro Bogotá"/>
    <x v="6"/>
    <s v="septiembre"/>
    <n v="28"/>
    <d v="2026-09-28T00:00:00"/>
    <n v="1058968780"/>
    <s v="MARTINEZ  IMBACHI JULIO CESAR "/>
    <n v="-1"/>
    <n v="0"/>
    <n v="-130210"/>
  </r>
  <r>
    <s v="Retail"/>
    <s v="Q124 - Bogotá - Cc Nuestro Bogotá"/>
    <x v="6"/>
    <s v="septiembre"/>
    <n v="28"/>
    <d v="2026-09-28T00:00:00"/>
    <n v="1122510706"/>
    <s v="GUTIERREZ CALDERON GUTIERREZ CALDERON DIANA MARCELA"/>
    <n v="21"/>
    <n v="0"/>
    <n v="1263824"/>
  </r>
  <r>
    <s v="Retail"/>
    <s v="Q124 - Bogotá - Cc Nuestro Bogotá"/>
    <x v="6"/>
    <s v="septiembre"/>
    <n v="29"/>
    <d v="2026-09-29T00:00:00"/>
    <m/>
    <m/>
    <n v="0"/>
    <n v="6116303"/>
    <n v="0"/>
  </r>
  <r>
    <s v="Retail"/>
    <s v="Q124 - Bogotá - Cc Nuestro Bogotá"/>
    <x v="6"/>
    <s v="septiembre"/>
    <n v="29"/>
    <d v="2026-09-29T00:00:00"/>
    <n v="1019988315"/>
    <s v="PARDO CASTAÑEDA NICOLAS"/>
    <n v="33"/>
    <n v="0"/>
    <n v="2334665"/>
  </r>
  <r>
    <s v="Retail"/>
    <s v="Q124 - Bogotá - Cc Nuestro Bogotá"/>
    <x v="6"/>
    <s v="septiembre"/>
    <n v="29"/>
    <d v="2026-09-29T00:00:00"/>
    <n v="1023005185"/>
    <s v="TRUJILLO  MORALES NATALIA "/>
    <n v="3"/>
    <n v="0"/>
    <n v="289790"/>
  </r>
  <r>
    <s v="Retail"/>
    <s v="Q124 - Bogotá - Cc Nuestro Bogotá"/>
    <x v="6"/>
    <s v="septiembre"/>
    <n v="29"/>
    <d v="2026-09-29T00:00:00"/>
    <n v="1122510706"/>
    <s v="GUTIERREZ CALDERON GUTIERREZ CALDERON DIANA MARCELA"/>
    <n v="21"/>
    <n v="0"/>
    <n v="1343615"/>
  </r>
  <r>
    <s v="Retail"/>
    <s v="Q124 - Bogotá - Cc Nuestro Bogotá"/>
    <x v="6"/>
    <s v="septiembre"/>
    <n v="30"/>
    <d v="2026-09-30T00:00:00"/>
    <m/>
    <m/>
    <n v="0"/>
    <n v="6318249"/>
    <n v="0"/>
  </r>
  <r>
    <s v="Retail"/>
    <s v="Q124 - Bogotá - Cc Nuestro Bogotá"/>
    <x v="6"/>
    <s v="septiembre"/>
    <n v="30"/>
    <d v="2026-09-30T00:00:00"/>
    <n v="1019988315"/>
    <s v="PARDO CASTAÑEDA NICOLAS"/>
    <n v="30"/>
    <n v="0"/>
    <n v="1649793"/>
  </r>
  <r>
    <s v="Retail"/>
    <s v="Q124 - Bogotá - Cc Nuestro Bogotá"/>
    <x v="6"/>
    <s v="septiembre"/>
    <n v="30"/>
    <d v="2026-09-30T00:00:00"/>
    <n v="1023005185"/>
    <s v="TRUJILLO  MORALES NATALIA "/>
    <n v="2"/>
    <n v="0"/>
    <n v="125925"/>
  </r>
  <r>
    <s v="Retail"/>
    <s v="Q124 - Bogotá - Cc Nuestro Bogotá"/>
    <x v="6"/>
    <s v="septiembre"/>
    <n v="30"/>
    <d v="2026-09-30T00:00:00"/>
    <n v="1058968780"/>
    <s v="MARTINEZ  IMBACHI JULIO CESAR "/>
    <n v="3"/>
    <n v="0"/>
    <n v="138487"/>
  </r>
  <r>
    <s v="Retail"/>
    <s v="Q124 - Bogotá - Cc Nuestro Bogotá"/>
    <x v="6"/>
    <s v="septiembre"/>
    <n v="30"/>
    <d v="2026-09-30T00:00:00"/>
    <n v="1122510706"/>
    <s v="GUTIERREZ CALDERON GUTIERREZ CALDERON DIANA MARCELA"/>
    <n v="15"/>
    <n v="0"/>
    <n v="911051"/>
  </r>
  <r>
    <s v="Retail"/>
    <s v="Q124 - Bogotá - Cc Nuestro Bogotá"/>
    <x v="6"/>
    <s v="octubre"/>
    <n v="1"/>
    <d v="2026-10-01T00:00:00"/>
    <m/>
    <m/>
    <n v="0"/>
    <n v="7079880"/>
    <n v="0"/>
  </r>
  <r>
    <s v="Retail"/>
    <s v="Q124 - Bogotá - Cc Nuestro Bogotá"/>
    <x v="6"/>
    <s v="octubre"/>
    <n v="1"/>
    <d v="2026-10-01T00:00:00"/>
    <n v="1019988315"/>
    <s v="PARDO CASTAÑEDA NICOLAS"/>
    <n v="16"/>
    <n v="0"/>
    <n v="902689"/>
  </r>
  <r>
    <s v="Retail"/>
    <s v="Q124 - Bogotá - Cc Nuestro Bogotá"/>
    <x v="6"/>
    <s v="octubre"/>
    <n v="1"/>
    <d v="2026-10-01T00:00:00"/>
    <n v="1023005185"/>
    <s v="TRUJILLO  MORALES NATALIA "/>
    <n v="12"/>
    <n v="0"/>
    <n v="746841"/>
  </r>
  <r>
    <s v="Retail"/>
    <s v="Q124 - Bogotá - Cc Nuestro Bogotá"/>
    <x v="6"/>
    <s v="octubre"/>
    <n v="1"/>
    <d v="2026-10-01T00:00:00"/>
    <n v="1058968780"/>
    <s v="MARTINEZ  IMBACHI JULIO CESAR "/>
    <n v="10"/>
    <n v="0"/>
    <n v="629707"/>
  </r>
  <r>
    <s v="Retail"/>
    <s v="Q124 - Bogotá - Cc Nuestro Bogotá"/>
    <x v="6"/>
    <s v="octubre"/>
    <n v="1"/>
    <d v="2026-10-01T00:00:00"/>
    <n v="1122510706"/>
    <s v="GUTIERREZ CALDERON GUTIERREZ CALDERON DIANA MARCELA"/>
    <n v="9"/>
    <n v="0"/>
    <n v="709707"/>
  </r>
  <r>
    <s v="Retail"/>
    <s v="Q124 - Bogotá - Cc Nuestro Bogotá"/>
    <x v="6"/>
    <s v="octubre"/>
    <n v="2"/>
    <d v="2026-10-02T00:00:00"/>
    <m/>
    <m/>
    <n v="0"/>
    <n v="7663272"/>
    <n v="0"/>
  </r>
  <r>
    <s v="Retail"/>
    <s v="Q124 - Bogotá - Cc Nuestro Bogotá"/>
    <x v="6"/>
    <s v="octubre"/>
    <n v="2"/>
    <d v="2026-10-02T00:00:00"/>
    <n v="1019988315"/>
    <s v="PARDO CASTAÑEDA NICOLAS"/>
    <n v="31"/>
    <n v="0"/>
    <n v="2179328"/>
  </r>
  <r>
    <s v="Retail"/>
    <s v="Q124 - Bogotá - Cc Nuestro Bogotá"/>
    <x v="6"/>
    <s v="octubre"/>
    <n v="2"/>
    <d v="2026-10-02T00:00:00"/>
    <n v="1023005185"/>
    <s v="TRUJILLO  MORALES NATALIA "/>
    <n v="46"/>
    <n v="0"/>
    <n v="2502184"/>
  </r>
  <r>
    <s v="Retail"/>
    <s v="Q124 - Bogotá - Cc Nuestro Bogotá"/>
    <x v="6"/>
    <s v="octubre"/>
    <n v="2"/>
    <d v="2026-10-02T00:00:00"/>
    <n v="1058968780"/>
    <s v="MARTINEZ  IMBACHI JULIO CESAR "/>
    <n v="48"/>
    <n v="0"/>
    <n v="2526754"/>
  </r>
  <r>
    <s v="Retail"/>
    <s v="Q124 - Bogotá - Cc Nuestro Bogotá"/>
    <x v="6"/>
    <s v="octubre"/>
    <n v="2"/>
    <d v="2026-10-02T00:00:00"/>
    <n v="1122510706"/>
    <s v="GUTIERREZ CALDERON GUTIERREZ CALDERON DIANA MARCELA"/>
    <n v="13"/>
    <n v="0"/>
    <n v="873405"/>
  </r>
  <r>
    <s v="Retail"/>
    <s v="Q124 - Bogotá - Cc Nuestro Bogotá"/>
    <x v="6"/>
    <s v="octubre"/>
    <n v="3"/>
    <d v="2026-10-03T00:00:00"/>
    <m/>
    <m/>
    <n v="0"/>
    <n v="10522466"/>
    <n v="0"/>
  </r>
  <r>
    <s v="Retail"/>
    <s v="Q124 - Bogotá - Cc Nuestro Bogotá"/>
    <x v="6"/>
    <s v="octubre"/>
    <n v="3"/>
    <d v="2026-10-03T00:00:00"/>
    <n v="1019988315"/>
    <s v="PARDO CASTAÑEDA NICOLAS"/>
    <n v="66"/>
    <n v="0"/>
    <n v="3335902"/>
  </r>
  <r>
    <s v="Retail"/>
    <s v="Q124 - Bogotá - Cc Nuestro Bogotá"/>
    <x v="6"/>
    <s v="octubre"/>
    <n v="3"/>
    <d v="2026-10-03T00:00:00"/>
    <n v="1023005185"/>
    <s v="TRUJILLO  MORALES NATALIA "/>
    <n v="52"/>
    <n v="0"/>
    <n v="3339992"/>
  </r>
  <r>
    <s v="Retail"/>
    <s v="Q124 - Bogotá - Cc Nuestro Bogotá"/>
    <x v="6"/>
    <s v="octubre"/>
    <n v="3"/>
    <d v="2026-10-03T00:00:00"/>
    <n v="1122510706"/>
    <s v="GUTIERREZ CALDERON GUTIERREZ CALDERON DIANA MARCELA"/>
    <n v="74"/>
    <n v="0"/>
    <n v="4356364"/>
  </r>
  <r>
    <s v="Retail"/>
    <s v="Q124 - Bogotá - Cc Nuestro Bogotá"/>
    <x v="6"/>
    <s v="octubre"/>
    <n v="4"/>
    <d v="2026-10-04T00:00:00"/>
    <m/>
    <m/>
    <n v="0"/>
    <n v="13287419"/>
    <n v="0"/>
  </r>
  <r>
    <s v="Retail"/>
    <s v="Q124 - Bogotá - Cc Nuestro Bogotá"/>
    <x v="6"/>
    <s v="octubre"/>
    <n v="4"/>
    <d v="2026-10-04T00:00:00"/>
    <n v="1005716262"/>
    <s v="QUINTANA MONTAÑA  JUAN  SEBASTIAN"/>
    <n v="-1"/>
    <n v="0"/>
    <n v="-105000"/>
  </r>
  <r>
    <s v="Retail"/>
    <s v="Q124 - Bogotá - Cc Nuestro Bogotá"/>
    <x v="6"/>
    <s v="octubre"/>
    <n v="4"/>
    <d v="2026-10-04T00:00:00"/>
    <n v="1019988315"/>
    <s v="PARDO CASTAÑEDA NICOLAS"/>
    <n v="59"/>
    <n v="0"/>
    <n v="3325029"/>
  </r>
  <r>
    <s v="Retail"/>
    <s v="Q124 - Bogotá - Cc Nuestro Bogotá"/>
    <x v="6"/>
    <s v="octubre"/>
    <n v="4"/>
    <d v="2026-10-04T00:00:00"/>
    <n v="1023005185"/>
    <s v="TRUJILLO  MORALES NATALIA "/>
    <n v="50"/>
    <n v="0"/>
    <n v="3005354"/>
  </r>
  <r>
    <s v="Retail"/>
    <s v="Q124 - Bogotá - Cc Nuestro Bogotá"/>
    <x v="6"/>
    <s v="octubre"/>
    <n v="4"/>
    <d v="2026-10-04T00:00:00"/>
    <n v="1122510706"/>
    <s v="GUTIERREZ CALDERON GUTIERREZ CALDERON DIANA MARCELA"/>
    <n v="53"/>
    <n v="0"/>
    <n v="3525322"/>
  </r>
  <r>
    <s v="Retail"/>
    <s v="Q124 - Bogotá - Cc Nuestro Bogotá"/>
    <x v="6"/>
    <s v="octubre"/>
    <n v="5"/>
    <d v="2026-10-05T00:00:00"/>
    <m/>
    <m/>
    <n v="0"/>
    <n v="6206019"/>
    <n v="0"/>
  </r>
  <r>
    <s v="Retail"/>
    <s v="Q124 - Bogotá - Cc Nuestro Bogotá"/>
    <x v="6"/>
    <s v="octubre"/>
    <n v="5"/>
    <d v="2026-10-05T00:00:00"/>
    <n v="1019988315"/>
    <s v="PARDO CASTAÑEDA NICOLAS"/>
    <n v="13"/>
    <n v="0"/>
    <n v="738823"/>
  </r>
  <r>
    <s v="Retail"/>
    <s v="Q124 - Bogotá - Cc Nuestro Bogotá"/>
    <x v="6"/>
    <s v="octubre"/>
    <n v="5"/>
    <d v="2026-10-05T00:00:00"/>
    <n v="1023005185"/>
    <s v="TRUJILLO  MORALES NATALIA "/>
    <n v="6"/>
    <n v="0"/>
    <n v="533362"/>
  </r>
  <r>
    <s v="Retail"/>
    <s v="Q124 - Bogotá - Cc Nuestro Bogotá"/>
    <x v="6"/>
    <s v="octubre"/>
    <n v="5"/>
    <d v="2026-10-05T00:00:00"/>
    <n v="1058968780"/>
    <s v="MARTINEZ  IMBACHI JULIO CESAR "/>
    <n v="3"/>
    <n v="0"/>
    <n v="209958"/>
  </r>
  <r>
    <s v="Retail"/>
    <s v="Q124 - Bogotá - Cc Nuestro Bogotá"/>
    <x v="6"/>
    <s v="octubre"/>
    <n v="5"/>
    <d v="2026-10-05T00:00:00"/>
    <n v="1122510706"/>
    <s v="GUTIERREZ CALDERON GUTIERREZ CALDERON DIANA MARCELA"/>
    <n v="26"/>
    <n v="0"/>
    <n v="1461009"/>
  </r>
  <r>
    <s v="Retail"/>
    <s v="Q124 - Bogotá - Cc Nuestro Bogotá"/>
    <x v="6"/>
    <s v="octubre"/>
    <n v="6"/>
    <d v="2026-10-06T00:00:00"/>
    <m/>
    <m/>
    <n v="0"/>
    <n v="3279916"/>
    <n v="0"/>
  </r>
  <r>
    <s v="Retail"/>
    <s v="Q124 - Bogotá - Cc Nuestro Bogotá"/>
    <x v="6"/>
    <s v="octubre"/>
    <n v="6"/>
    <d v="2026-10-06T00:00:00"/>
    <n v="1019988315"/>
    <s v="PARDO CASTAÑEDA NICOLAS"/>
    <n v="10"/>
    <n v="0"/>
    <n v="671850"/>
  </r>
  <r>
    <s v="Retail"/>
    <s v="Q124 - Bogotá - Cc Nuestro Bogotá"/>
    <x v="6"/>
    <s v="octubre"/>
    <n v="6"/>
    <d v="2026-10-06T00:00:00"/>
    <n v="1058968780"/>
    <s v="MARTINEZ  IMBACHI JULIO CESAR "/>
    <n v="9"/>
    <n v="0"/>
    <n v="730673"/>
  </r>
  <r>
    <s v="Retail"/>
    <s v="Q124 - Bogotá - Cc Nuestro Bogotá"/>
    <x v="6"/>
    <s v="octubre"/>
    <n v="6"/>
    <d v="2026-10-06T00:00:00"/>
    <n v="1122510706"/>
    <s v="GUTIERREZ CALDERON GUTIERREZ CALDERON DIANA MARCELA"/>
    <n v="8"/>
    <n v="0"/>
    <n v="571092"/>
  </r>
  <r>
    <s v="Retail"/>
    <s v="Q124 - Bogotá - Cc Nuestro Bogotá"/>
    <x v="6"/>
    <s v="octubre"/>
    <n v="7"/>
    <d v="2026-10-07T00:00:00"/>
    <m/>
    <m/>
    <n v="0"/>
    <n v="3245473"/>
    <n v="0"/>
  </r>
  <r>
    <s v="Retail"/>
    <s v="Q124 - Bogotá - Cc Nuestro Bogotá"/>
    <x v="6"/>
    <s v="octubre"/>
    <n v="7"/>
    <d v="2026-10-07T00:00:00"/>
    <n v="1019988315"/>
    <s v="PARDO CASTAÑEDA NICOLAS"/>
    <n v="28"/>
    <n v="0"/>
    <n v="1376891"/>
  </r>
  <r>
    <s v="Retail"/>
    <s v="Q124 - Bogotá - Cc Nuestro Bogotá"/>
    <x v="6"/>
    <s v="octubre"/>
    <n v="7"/>
    <d v="2026-10-07T00:00:00"/>
    <n v="1023005185"/>
    <s v="TRUJILLO  MORALES NATALIA "/>
    <n v="17"/>
    <n v="0"/>
    <n v="1335379"/>
  </r>
  <r>
    <s v="Retail"/>
    <s v="Q124 - Bogotá - Cc Nuestro Bogotá"/>
    <x v="6"/>
    <s v="octubre"/>
    <n v="7"/>
    <d v="2026-10-07T00:00:00"/>
    <n v="1058968780"/>
    <s v="MARTINEZ  IMBACHI JULIO CESAR "/>
    <n v="-1"/>
    <n v="0"/>
    <n v="-105000"/>
  </r>
  <r>
    <s v="Retail"/>
    <s v="Q124 - Bogotá - Cc Nuestro Bogotá"/>
    <x v="6"/>
    <s v="octubre"/>
    <n v="7"/>
    <d v="2026-10-07T00:00:00"/>
    <n v="1122510706"/>
    <s v="GUTIERREZ CALDERON GUTIERREZ CALDERON DIANA MARCELA"/>
    <n v="27"/>
    <n v="0"/>
    <n v="2116385"/>
  </r>
  <r>
    <s v="Retail"/>
    <s v="Q129-Bogota-cc plaza de las americas"/>
    <x v="6"/>
    <s v="septiembre"/>
    <n v="23"/>
    <d v="2026-09-23T00:00:00"/>
    <m/>
    <m/>
    <n v="0"/>
    <n v="5354339"/>
    <n v="0"/>
  </r>
  <r>
    <s v="Retail"/>
    <s v="Q129-Bogota-cc plaza de las americas"/>
    <x v="6"/>
    <s v="septiembre"/>
    <n v="23"/>
    <d v="2026-09-23T00:00:00"/>
    <n v="1012337582"/>
    <s v="ORTIZ MARTÍNEZ NICOLE  JOHANNA"/>
    <n v="15"/>
    <n v="0"/>
    <n v="839706"/>
  </r>
  <r>
    <s v="Retail"/>
    <s v="Q129-Bogota-cc plaza de las americas"/>
    <x v="6"/>
    <s v="septiembre"/>
    <n v="23"/>
    <d v="2026-09-23T00:00:00"/>
    <n v="1016834696"/>
    <s v="SALAMANCA  GOMEZ NATALIA "/>
    <n v="18"/>
    <n v="0"/>
    <n v="1335379"/>
  </r>
  <r>
    <s v="Retail"/>
    <s v="Q129-Bogota-cc plaza de las americas"/>
    <x v="6"/>
    <s v="septiembre"/>
    <n v="23"/>
    <d v="2026-09-23T00:00:00"/>
    <n v="1121960419"/>
    <s v="PALACIOS  LADERA WILLESTHER ALEJANDRO "/>
    <n v="16"/>
    <n v="0"/>
    <n v="1201010"/>
  </r>
  <r>
    <s v="Retail"/>
    <s v="Q129-Bogota-cc plaza de las americas"/>
    <x v="6"/>
    <s v="septiembre"/>
    <n v="24"/>
    <d v="2026-09-24T00:00:00"/>
    <m/>
    <m/>
    <n v="0"/>
    <n v="8179358"/>
    <n v="0"/>
  </r>
  <r>
    <s v="Retail"/>
    <s v="Q129-Bogota-cc plaza de las americas"/>
    <x v="6"/>
    <s v="septiembre"/>
    <n v="24"/>
    <d v="2026-09-24T00:00:00"/>
    <n v="1011324433"/>
    <s v="PADILLA AVILA KEVIN  ALEJANDO"/>
    <n v="12"/>
    <n v="0"/>
    <n v="577226"/>
  </r>
  <r>
    <s v="Retail"/>
    <s v="Q129-Bogota-cc plaza de las americas"/>
    <x v="6"/>
    <s v="septiembre"/>
    <n v="24"/>
    <d v="2026-09-24T00:00:00"/>
    <n v="1012337582"/>
    <s v="ORTIZ MARTÍNEZ NICOLE  JOHANNA"/>
    <n v="14"/>
    <n v="0"/>
    <n v="1075042"/>
  </r>
  <r>
    <s v="Retail"/>
    <s v="Q129-Bogota-cc plaza de las americas"/>
    <x v="6"/>
    <s v="septiembre"/>
    <n v="24"/>
    <d v="2026-09-24T00:00:00"/>
    <n v="1016834696"/>
    <s v="SALAMANCA  GOMEZ NATALIA "/>
    <n v="33"/>
    <n v="0"/>
    <n v="2261221"/>
  </r>
  <r>
    <s v="Retail"/>
    <s v="Q129-Bogota-cc plaza de las americas"/>
    <x v="6"/>
    <s v="septiembre"/>
    <n v="24"/>
    <d v="2026-09-24T00:00:00"/>
    <n v="1121960419"/>
    <s v="PALACIOS  LADERA WILLESTHER ALEJANDRO "/>
    <n v="43"/>
    <n v="0"/>
    <n v="2956216"/>
  </r>
  <r>
    <s v="Retail"/>
    <s v="Q129-Bogota-cc plaza de las americas"/>
    <x v="6"/>
    <s v="septiembre"/>
    <n v="25"/>
    <d v="2026-09-25T00:00:00"/>
    <m/>
    <m/>
    <n v="0"/>
    <n v="8161248"/>
    <n v="0"/>
  </r>
  <r>
    <s v="Retail"/>
    <s v="Q129-Bogota-cc plaza de las americas"/>
    <x v="6"/>
    <s v="septiembre"/>
    <n v="25"/>
    <d v="2026-09-25T00:00:00"/>
    <n v="1011324433"/>
    <s v="PADILLA AVILA KEVIN  ALEJANDO"/>
    <n v="7"/>
    <n v="0"/>
    <n v="524916"/>
  </r>
  <r>
    <s v="Retail"/>
    <s v="Q129-Bogota-cc plaza de las americas"/>
    <x v="6"/>
    <s v="septiembre"/>
    <n v="25"/>
    <d v="2026-09-25T00:00:00"/>
    <n v="1012337582"/>
    <s v="ORTIZ MARTÍNEZ NICOLE  JOHANNA"/>
    <n v="16"/>
    <n v="0"/>
    <n v="951009"/>
  </r>
  <r>
    <s v="Retail"/>
    <s v="Q129-Bogota-cc plaza de las americas"/>
    <x v="6"/>
    <s v="septiembre"/>
    <n v="25"/>
    <d v="2026-09-25T00:00:00"/>
    <n v="1016834696"/>
    <s v="SALAMANCA  GOMEZ NATALIA "/>
    <n v="26"/>
    <n v="0"/>
    <n v="1751009"/>
  </r>
  <r>
    <s v="Retail"/>
    <s v="Q129-Bogota-cc plaza de las americas"/>
    <x v="6"/>
    <s v="septiembre"/>
    <n v="25"/>
    <d v="2026-09-25T00:00:00"/>
    <n v="1121960419"/>
    <s v="PALACIOS  LADERA WILLESTHER ALEJANDRO "/>
    <n v="25"/>
    <n v="0"/>
    <n v="1772017"/>
  </r>
  <r>
    <s v="Retail"/>
    <s v="Q129-Bogota-cc plaza de las americas"/>
    <x v="6"/>
    <s v="septiembre"/>
    <n v="26"/>
    <d v="2026-09-26T00:00:00"/>
    <m/>
    <m/>
    <n v="0"/>
    <n v="11728889"/>
    <n v="0"/>
  </r>
  <r>
    <s v="Retail"/>
    <s v="Q129-Bogota-cc plaza de las americas"/>
    <x v="6"/>
    <s v="septiembre"/>
    <n v="26"/>
    <d v="2026-09-26T00:00:00"/>
    <n v="1011324433"/>
    <s v="PADILLA AVILA KEVIN  ALEJANDO"/>
    <n v="33"/>
    <n v="0"/>
    <n v="1965001"/>
  </r>
  <r>
    <s v="Retail"/>
    <s v="Q129-Bogota-cc plaza de las americas"/>
    <x v="6"/>
    <s v="septiembre"/>
    <n v="26"/>
    <d v="2026-09-26T00:00:00"/>
    <n v="1012337582"/>
    <s v="ORTIZ MARTÍNEZ NICOLE  JOHANNA"/>
    <n v="33"/>
    <n v="0"/>
    <n v="2456598"/>
  </r>
  <r>
    <s v="Retail"/>
    <s v="Q129-Bogota-cc plaza de las americas"/>
    <x v="6"/>
    <s v="septiembre"/>
    <n v="26"/>
    <d v="2026-09-26T00:00:00"/>
    <n v="1016834696"/>
    <s v="SALAMANCA  GOMEZ NATALIA "/>
    <n v="43"/>
    <n v="0"/>
    <n v="3056973"/>
  </r>
  <r>
    <s v="Retail"/>
    <s v="Q129-Bogota-cc plaza de las americas"/>
    <x v="6"/>
    <s v="septiembre"/>
    <n v="26"/>
    <d v="2026-09-26T00:00:00"/>
    <n v="1121960419"/>
    <s v="PALACIOS  LADERA WILLESTHER ALEJANDRO "/>
    <n v="69"/>
    <n v="0"/>
    <n v="4408868"/>
  </r>
  <r>
    <s v="Retail"/>
    <s v="Q129-Bogota-cc plaza de las americas"/>
    <x v="6"/>
    <s v="septiembre"/>
    <n v="27"/>
    <d v="2026-09-27T00:00:00"/>
    <m/>
    <m/>
    <n v="0"/>
    <n v="9291641"/>
    <n v="0"/>
  </r>
  <r>
    <s v="Retail"/>
    <s v="Q129-Bogota-cc plaza de las americas"/>
    <x v="6"/>
    <s v="septiembre"/>
    <n v="27"/>
    <d v="2026-09-27T00:00:00"/>
    <n v="1011324433"/>
    <s v="PADILLA AVILA KEVIN  ALEJANDO"/>
    <n v="31"/>
    <n v="0"/>
    <n v="2114244"/>
  </r>
  <r>
    <s v="Retail"/>
    <s v="Q129-Bogota-cc plaza de las americas"/>
    <x v="6"/>
    <s v="septiembre"/>
    <n v="27"/>
    <d v="2026-09-27T00:00:00"/>
    <n v="1012337582"/>
    <s v="ORTIZ MARTÍNEZ NICOLE  JOHANNA"/>
    <n v="62"/>
    <n v="0"/>
    <n v="4465885"/>
  </r>
  <r>
    <s v="Retail"/>
    <s v="Q129-Bogota-cc plaza de las americas"/>
    <x v="6"/>
    <s v="septiembre"/>
    <n v="27"/>
    <d v="2026-09-27T00:00:00"/>
    <n v="1121960419"/>
    <s v="PALACIOS  LADERA WILLESTHER ALEJANDRO "/>
    <n v="93"/>
    <n v="0"/>
    <n v="6674666"/>
  </r>
  <r>
    <s v="Retail"/>
    <s v="Q129-Bogota-cc plaza de las americas"/>
    <x v="6"/>
    <s v="septiembre"/>
    <n v="28"/>
    <d v="2026-09-28T00:00:00"/>
    <m/>
    <m/>
    <n v="0"/>
    <n v="5113736"/>
    <n v="0"/>
  </r>
  <r>
    <s v="Retail"/>
    <s v="Q129-Bogota-cc plaza de las americas"/>
    <x v="6"/>
    <s v="septiembre"/>
    <n v="28"/>
    <d v="2026-09-28T00:00:00"/>
    <n v="1011324433"/>
    <s v="PADILLA AVILA KEVIN  ALEJANDO"/>
    <n v="4"/>
    <n v="0"/>
    <n v="382186"/>
  </r>
  <r>
    <s v="Retail"/>
    <s v="Q129-Bogota-cc plaza de las americas"/>
    <x v="6"/>
    <s v="septiembre"/>
    <n v="28"/>
    <d v="2026-09-28T00:00:00"/>
    <n v="1012337582"/>
    <s v="ORTIZ MARTÍNEZ NICOLE  JOHANNA"/>
    <n v="6"/>
    <n v="0"/>
    <n v="436722"/>
  </r>
  <r>
    <s v="Retail"/>
    <s v="Q129-Bogota-cc plaza de las americas"/>
    <x v="6"/>
    <s v="septiembre"/>
    <n v="28"/>
    <d v="2026-09-28T00:00:00"/>
    <n v="1016834696"/>
    <s v="SALAMANCA  GOMEZ NATALIA "/>
    <n v="12"/>
    <n v="0"/>
    <n v="764201"/>
  </r>
  <r>
    <s v="Retail"/>
    <s v="Q129-Bogota-cc plaza de las americas"/>
    <x v="6"/>
    <s v="septiembre"/>
    <n v="28"/>
    <d v="2026-09-28T00:00:00"/>
    <n v="1121960419"/>
    <s v="PALACIOS  LADERA WILLESTHER ALEJANDRO "/>
    <n v="23"/>
    <n v="0"/>
    <n v="1213321"/>
  </r>
  <r>
    <s v="Retail"/>
    <s v="Q129-Bogota-cc plaza de las americas"/>
    <x v="6"/>
    <s v="septiembre"/>
    <n v="29"/>
    <d v="2026-09-29T00:00:00"/>
    <m/>
    <m/>
    <n v="0"/>
    <n v="5462475"/>
    <n v="0"/>
  </r>
  <r>
    <s v="Retail"/>
    <s v="Q129-Bogota-cc plaza de las americas"/>
    <x v="6"/>
    <s v="septiembre"/>
    <n v="29"/>
    <d v="2026-09-29T00:00:00"/>
    <n v="1011324433"/>
    <s v="PADILLA AVILA KEVIN  ALEJANDO"/>
    <n v="8"/>
    <n v="0"/>
    <n v="369412"/>
  </r>
  <r>
    <s v="Retail"/>
    <s v="Q129-Bogota-cc plaza de las americas"/>
    <x v="6"/>
    <s v="septiembre"/>
    <n v="29"/>
    <d v="2026-09-29T00:00:00"/>
    <n v="1012337582"/>
    <s v="ORTIZ MARTÍNEZ NICOLE  JOHANNA"/>
    <n v="6"/>
    <n v="0"/>
    <n v="419916"/>
  </r>
  <r>
    <s v="Retail"/>
    <s v="Q129-Bogota-cc plaza de las americas"/>
    <x v="6"/>
    <s v="septiembre"/>
    <n v="29"/>
    <d v="2026-09-29T00:00:00"/>
    <n v="1016834696"/>
    <s v="SALAMANCA  GOMEZ NATALIA "/>
    <n v="3"/>
    <n v="0"/>
    <n v="201554"/>
  </r>
  <r>
    <s v="Retail"/>
    <s v="Q129-Bogota-cc plaza de las americas"/>
    <x v="6"/>
    <s v="septiembre"/>
    <n v="29"/>
    <d v="2026-09-29T00:00:00"/>
    <n v="1121960419"/>
    <s v="PALACIOS  LADERA WILLESTHER ALEJANDRO "/>
    <n v="10"/>
    <n v="0"/>
    <n v="545799"/>
  </r>
  <r>
    <s v="Retail"/>
    <s v="Q129-Bogota-cc plaza de las americas"/>
    <x v="6"/>
    <s v="septiembre"/>
    <n v="30"/>
    <d v="2026-09-30T00:00:00"/>
    <m/>
    <m/>
    <n v="0"/>
    <n v="5642829"/>
    <n v="0"/>
  </r>
  <r>
    <s v="Retail"/>
    <s v="Q129-Bogota-cc plaza de las americas"/>
    <x v="6"/>
    <s v="septiembre"/>
    <n v="30"/>
    <d v="2026-09-30T00:00:00"/>
    <n v="1011324433"/>
    <s v="PADILLA AVILA KEVIN  ALEJANDO"/>
    <n v="5"/>
    <n v="0"/>
    <n v="298109"/>
  </r>
  <r>
    <s v="Retail"/>
    <s v="Q129-Bogota-cc plaza de las americas"/>
    <x v="6"/>
    <s v="septiembre"/>
    <n v="30"/>
    <d v="2026-09-30T00:00:00"/>
    <n v="1012337582"/>
    <s v="ORTIZ MARTÍNEZ NICOLE  JOHANNA"/>
    <n v="10"/>
    <n v="0"/>
    <n v="657143"/>
  </r>
  <r>
    <s v="Retail"/>
    <s v="Q129-Bogota-cc plaza de las americas"/>
    <x v="6"/>
    <s v="septiembre"/>
    <n v="30"/>
    <d v="2026-09-30T00:00:00"/>
    <n v="1016834696"/>
    <s v="SALAMANCA  GOMEZ NATALIA "/>
    <n v="27"/>
    <n v="0"/>
    <n v="1797143"/>
  </r>
  <r>
    <s v="Retail"/>
    <s v="Q129-Bogota-cc plaza de las americas"/>
    <x v="6"/>
    <s v="septiembre"/>
    <n v="30"/>
    <d v="2026-09-30T00:00:00"/>
    <n v="1121960419"/>
    <s v="PALACIOS  LADERA WILLESTHER ALEJANDRO "/>
    <n v="33"/>
    <n v="0"/>
    <n v="1849413"/>
  </r>
  <r>
    <s v="Retail"/>
    <s v="Q129-Bogota-cc plaza de las americas"/>
    <x v="6"/>
    <s v="octubre"/>
    <n v="1"/>
    <d v="2026-10-01T00:00:00"/>
    <m/>
    <m/>
    <n v="0"/>
    <n v="4009737"/>
    <n v="0"/>
  </r>
  <r>
    <s v="Retail"/>
    <s v="Q129-Bogota-cc plaza de las americas"/>
    <x v="6"/>
    <s v="octubre"/>
    <n v="1"/>
    <d v="2026-10-01T00:00:00"/>
    <n v="1011324433"/>
    <s v="PADILLA AVILA KEVIN  ALEJANDO"/>
    <n v="22"/>
    <n v="0"/>
    <n v="1450674"/>
  </r>
  <r>
    <s v="Retail"/>
    <s v="Q129-Bogota-cc plaza de las americas"/>
    <x v="6"/>
    <s v="octubre"/>
    <n v="1"/>
    <d v="2026-10-01T00:00:00"/>
    <n v="1012337582"/>
    <s v="ORTIZ MARTÍNEZ NICOLE  JOHANNA"/>
    <n v="8"/>
    <n v="0"/>
    <n v="445043"/>
  </r>
  <r>
    <s v="Retail"/>
    <s v="Q129-Bogota-cc plaza de las americas"/>
    <x v="6"/>
    <s v="octubre"/>
    <n v="1"/>
    <d v="2026-10-01T00:00:00"/>
    <n v="1016834696"/>
    <s v="SALAMANCA  GOMEZ NATALIA "/>
    <n v="34"/>
    <n v="0"/>
    <n v="2097311"/>
  </r>
  <r>
    <s v="Retail"/>
    <s v="Q129-Bogota-cc plaza de las americas"/>
    <x v="6"/>
    <s v="octubre"/>
    <n v="1"/>
    <d v="2026-10-01T00:00:00"/>
    <n v="1121960419"/>
    <s v="PALACIOS  LADERA WILLESTHER ALEJANDRO "/>
    <n v="18"/>
    <n v="0"/>
    <n v="1175714"/>
  </r>
  <r>
    <s v="Retail"/>
    <s v="Q129-Bogota-cc plaza de las americas"/>
    <x v="6"/>
    <s v="octubre"/>
    <n v="2"/>
    <d v="2026-10-02T00:00:00"/>
    <m/>
    <m/>
    <n v="0"/>
    <n v="7328428"/>
    <n v="0"/>
  </r>
  <r>
    <s v="Retail"/>
    <s v="Q129-Bogota-cc plaza de las americas"/>
    <x v="6"/>
    <s v="octubre"/>
    <n v="2"/>
    <d v="2026-10-02T00:00:00"/>
    <n v="1011324433"/>
    <s v="PADILLA AVILA KEVIN  ALEJANDO"/>
    <n v="19"/>
    <n v="0"/>
    <n v="999202"/>
  </r>
  <r>
    <s v="Retail"/>
    <s v="Q129-Bogota-cc plaza de las americas"/>
    <x v="6"/>
    <s v="octubre"/>
    <n v="2"/>
    <d v="2026-10-02T00:00:00"/>
    <n v="1012337582"/>
    <s v="ORTIZ MARTÍNEZ NICOLE  JOHANNA"/>
    <n v="36"/>
    <n v="0"/>
    <n v="2301009"/>
  </r>
  <r>
    <s v="Retail"/>
    <s v="Q129-Bogota-cc plaza de las americas"/>
    <x v="6"/>
    <s v="octubre"/>
    <n v="2"/>
    <d v="2026-10-02T00:00:00"/>
    <n v="1016834696"/>
    <s v="SALAMANCA  GOMEZ NATALIA "/>
    <n v="25"/>
    <n v="0"/>
    <n v="1461135"/>
  </r>
  <r>
    <s v="Retail"/>
    <s v="Q129-Bogota-cc plaza de las americas"/>
    <x v="6"/>
    <s v="octubre"/>
    <n v="2"/>
    <d v="2026-10-02T00:00:00"/>
    <n v="1121960419"/>
    <s v="PALACIOS  LADERA WILLESTHER ALEJANDRO "/>
    <n v="13"/>
    <n v="0"/>
    <n v="577060"/>
  </r>
  <r>
    <s v="Retail"/>
    <s v="Q129-Bogota-cc plaza de las americas"/>
    <x v="6"/>
    <s v="octubre"/>
    <n v="3"/>
    <d v="2026-10-03T00:00:00"/>
    <m/>
    <m/>
    <n v="0"/>
    <n v="12213002"/>
    <n v="0"/>
  </r>
  <r>
    <s v="Retail"/>
    <s v="Q129-Bogota-cc plaza de las americas"/>
    <x v="6"/>
    <s v="octubre"/>
    <n v="3"/>
    <d v="2026-10-03T00:00:00"/>
    <n v="1011324433"/>
    <s v="PADILLA AVILA KEVIN  ALEJANDO"/>
    <n v="21"/>
    <n v="0"/>
    <n v="1299505"/>
  </r>
  <r>
    <s v="Retail"/>
    <s v="Q129-Bogota-cc plaza de las americas"/>
    <x v="6"/>
    <s v="octubre"/>
    <n v="3"/>
    <d v="2026-10-03T00:00:00"/>
    <n v="1012337582"/>
    <s v="ORTIZ MARTÍNEZ NICOLE  JOHANNA"/>
    <n v="47"/>
    <n v="0"/>
    <n v="2522389"/>
  </r>
  <r>
    <s v="Retail"/>
    <s v="Q129-Bogota-cc plaza de las americas"/>
    <x v="6"/>
    <s v="octubre"/>
    <n v="3"/>
    <d v="2026-10-03T00:00:00"/>
    <n v="1016834696"/>
    <s v="SALAMANCA  GOMEZ NATALIA "/>
    <n v="55"/>
    <n v="0"/>
    <n v="3346540"/>
  </r>
  <r>
    <s v="Retail"/>
    <s v="Q129-Bogota-cc plaza de las americas"/>
    <x v="6"/>
    <s v="octubre"/>
    <n v="3"/>
    <d v="2026-10-03T00:00:00"/>
    <n v="1121960419"/>
    <s v="PALACIOS  LADERA WILLESTHER ALEJANDRO "/>
    <n v="106"/>
    <n v="0"/>
    <n v="5849611"/>
  </r>
  <r>
    <s v="Retail"/>
    <s v="Q129-Bogota-cc plaza de las americas"/>
    <x v="6"/>
    <s v="octubre"/>
    <n v="4"/>
    <d v="2026-10-04T00:00:00"/>
    <m/>
    <m/>
    <n v="0"/>
    <n v="11470125"/>
    <n v="0"/>
  </r>
  <r>
    <s v="Retail"/>
    <s v="Q129-Bogota-cc plaza de las americas"/>
    <x v="6"/>
    <s v="octubre"/>
    <n v="4"/>
    <d v="2026-10-04T00:00:00"/>
    <n v="1011324433"/>
    <s v="PADILLA AVILA KEVIN  ALEJANDO"/>
    <n v="29"/>
    <n v="0"/>
    <n v="1734075"/>
  </r>
  <r>
    <s v="Retail"/>
    <s v="Q129-Bogota-cc plaza de las americas"/>
    <x v="6"/>
    <s v="octubre"/>
    <n v="4"/>
    <d v="2026-10-04T00:00:00"/>
    <n v="1012337582"/>
    <s v="ORTIZ MARTÍNEZ NICOLE  JOHANNA"/>
    <n v="29"/>
    <n v="0"/>
    <n v="1742437"/>
  </r>
  <r>
    <s v="Retail"/>
    <s v="Q129-Bogota-cc plaza de las americas"/>
    <x v="6"/>
    <s v="octubre"/>
    <n v="4"/>
    <d v="2026-10-04T00:00:00"/>
    <n v="1016834696"/>
    <s v="SALAMANCA  GOMEZ NATALIA "/>
    <n v="43"/>
    <n v="0"/>
    <n v="2668321"/>
  </r>
  <r>
    <s v="Retail"/>
    <s v="Q129-Bogota-cc plaza de las americas"/>
    <x v="6"/>
    <s v="octubre"/>
    <n v="4"/>
    <d v="2026-10-04T00:00:00"/>
    <n v="1121960419"/>
    <s v="PALACIOS  LADERA WILLESTHER ALEJANDRO "/>
    <n v="36"/>
    <n v="0"/>
    <n v="2046807"/>
  </r>
  <r>
    <s v="Retail"/>
    <s v="Q129-Bogota-cc plaza de las americas"/>
    <x v="6"/>
    <s v="octubre"/>
    <n v="5"/>
    <d v="2026-10-05T00:00:00"/>
    <m/>
    <m/>
    <n v="0"/>
    <n v="2861721"/>
    <n v="0"/>
  </r>
  <r>
    <s v="Retail"/>
    <s v="Q129-Bogota-cc plaza de las americas"/>
    <x v="6"/>
    <s v="octubre"/>
    <n v="5"/>
    <d v="2026-10-05T00:00:00"/>
    <n v="1011324433"/>
    <s v="PADILLA AVILA KEVIN  ALEJANDO"/>
    <n v="13"/>
    <n v="0"/>
    <n v="978404"/>
  </r>
  <r>
    <s v="Retail"/>
    <s v="Q129-Bogota-cc plaza de las americas"/>
    <x v="6"/>
    <s v="octubre"/>
    <n v="5"/>
    <d v="2026-10-05T00:00:00"/>
    <n v="1012337582"/>
    <s v="ORTIZ MARTÍNEZ NICOLE  JOHANNA"/>
    <n v="19"/>
    <n v="0"/>
    <n v="1331135"/>
  </r>
  <r>
    <s v="Retail"/>
    <s v="Q129-Bogota-cc plaza de las americas"/>
    <x v="6"/>
    <s v="octubre"/>
    <n v="5"/>
    <d v="2026-10-05T00:00:00"/>
    <n v="1016834696"/>
    <s v="SALAMANCA  GOMEZ NATALIA "/>
    <n v="13"/>
    <n v="0"/>
    <n v="730546"/>
  </r>
  <r>
    <s v="Retail"/>
    <s v="Q129-Bogota-cc plaza de las americas"/>
    <x v="6"/>
    <s v="octubre"/>
    <n v="5"/>
    <d v="2026-10-05T00:00:00"/>
    <n v="1121960419"/>
    <s v="PALACIOS  LADERA WILLESTHER ALEJANDRO "/>
    <n v="12"/>
    <n v="0"/>
    <n v="692773"/>
  </r>
  <r>
    <s v="Retail"/>
    <s v="Q129-Bogota-cc plaza de las americas"/>
    <x v="6"/>
    <s v="octubre"/>
    <n v="6"/>
    <d v="2026-10-06T00:00:00"/>
    <m/>
    <m/>
    <n v="0"/>
    <n v="4322113"/>
    <n v="0"/>
  </r>
  <r>
    <s v="Retail"/>
    <s v="Q129-Bogota-cc plaza de las americas"/>
    <x v="6"/>
    <s v="octubre"/>
    <n v="6"/>
    <d v="2026-10-06T00:00:00"/>
    <n v="1011324433"/>
    <s v="PADILLA AVILA KEVIN  ALEJANDO"/>
    <n v="7"/>
    <n v="0"/>
    <n v="533319"/>
  </r>
  <r>
    <s v="Retail"/>
    <s v="Q129-Bogota-cc plaza de las americas"/>
    <x v="6"/>
    <s v="octubre"/>
    <n v="6"/>
    <d v="2026-10-06T00:00:00"/>
    <n v="1012337582"/>
    <s v="ORTIZ MARTÍNEZ NICOLE  JOHANNA"/>
    <n v="1"/>
    <n v="0"/>
    <n v="96597"/>
  </r>
  <r>
    <s v="Retail"/>
    <s v="Q129-Bogota-cc plaza de las americas"/>
    <x v="6"/>
    <s v="octubre"/>
    <n v="6"/>
    <d v="2026-10-06T00:00:00"/>
    <n v="1016834696"/>
    <s v="SALAMANCA  GOMEZ NATALIA "/>
    <n v="7"/>
    <n v="0"/>
    <n v="394664"/>
  </r>
  <r>
    <s v="Retail"/>
    <s v="Q129-Bogota-cc plaza de las americas"/>
    <x v="6"/>
    <s v="octubre"/>
    <n v="6"/>
    <d v="2026-10-06T00:00:00"/>
    <n v="1121960419"/>
    <s v="PALACIOS  LADERA WILLESTHER ALEJANDRO "/>
    <n v="5"/>
    <n v="0"/>
    <n v="214075"/>
  </r>
  <r>
    <s v="Retail"/>
    <s v="Q129-Bogota-cc plaza de las americas"/>
    <x v="6"/>
    <s v="octubre"/>
    <n v="7"/>
    <d v="2026-10-07T00:00:00"/>
    <m/>
    <m/>
    <n v="0"/>
    <n v="4265240"/>
    <n v="0"/>
  </r>
  <r>
    <s v="Retail"/>
    <s v="Q129-Bogota-cc plaza de las americas"/>
    <x v="6"/>
    <s v="octubre"/>
    <n v="7"/>
    <d v="2026-10-07T00:00:00"/>
    <n v="1011324433"/>
    <s v="PADILLA AVILA KEVIN  ALEJANDO"/>
    <n v="13"/>
    <n v="0"/>
    <n v="881808"/>
  </r>
  <r>
    <s v="Retail"/>
    <s v="Q129-Bogota-cc plaza de las americas"/>
    <x v="6"/>
    <s v="octubre"/>
    <n v="7"/>
    <d v="2026-10-07T00:00:00"/>
    <n v="1012337582"/>
    <s v="ORTIZ MARTÍNEZ NICOLE  JOHANNA"/>
    <n v="11"/>
    <n v="0"/>
    <n v="617186"/>
  </r>
  <r>
    <s v="Retail"/>
    <s v="Q129-Bogota-cc plaza de las americas"/>
    <x v="6"/>
    <s v="octubre"/>
    <n v="7"/>
    <d v="2026-10-07T00:00:00"/>
    <n v="1016834696"/>
    <s v="SALAMANCA  GOMEZ NATALIA "/>
    <n v="7"/>
    <n v="0"/>
    <n v="600546"/>
  </r>
  <r>
    <s v="Retail"/>
    <s v="Q155 - Bogota - CC Outlet las Americas"/>
    <x v="6"/>
    <s v="septiembre"/>
    <n v="23"/>
    <d v="2026-09-23T00:00:00"/>
    <m/>
    <m/>
    <n v="0"/>
    <n v="9326402"/>
    <n v="0"/>
  </r>
  <r>
    <s v="Retail"/>
    <s v="Q155 - Bogota - CC Outlet las Americas"/>
    <x v="6"/>
    <s v="septiembre"/>
    <n v="23"/>
    <d v="2026-09-23T00:00:00"/>
    <n v="52324929"/>
    <s v="FONSECA BUSTOS GLORIA YANNETH"/>
    <n v="66"/>
    <n v="0"/>
    <n v="2824412"/>
  </r>
  <r>
    <s v="Retail"/>
    <s v="Q155 - Bogota - CC Outlet las Americas"/>
    <x v="6"/>
    <s v="septiembre"/>
    <n v="23"/>
    <d v="2026-09-23T00:00:00"/>
    <n v="52805111"/>
    <s v="RINCON  QUINTERO SONIA LILIANA "/>
    <n v="17"/>
    <n v="0"/>
    <n v="730168"/>
  </r>
  <r>
    <s v="Retail"/>
    <s v="Q155 - Bogota - CC Outlet las Americas"/>
    <x v="6"/>
    <s v="septiembre"/>
    <n v="23"/>
    <d v="2026-09-23T00:00:00"/>
    <n v="1012357095"/>
    <s v="BECERRA IBARRA IVONNE  NATALIA"/>
    <n v="21"/>
    <n v="0"/>
    <n v="1209076"/>
  </r>
  <r>
    <s v="Retail"/>
    <s v="Q155 - Bogota - CC Outlet las Americas"/>
    <x v="6"/>
    <s v="septiembre"/>
    <n v="23"/>
    <d v="2026-09-23T00:00:00"/>
    <n v="1013099328"/>
    <s v="BARROS RAMOS MANUEL  DAVID"/>
    <n v="2"/>
    <n v="0"/>
    <n v="50294"/>
  </r>
  <r>
    <s v="Retail"/>
    <s v="Q155 - Bogota - CC Outlet las Americas"/>
    <x v="6"/>
    <s v="septiembre"/>
    <n v="24"/>
    <d v="2026-09-24T00:00:00"/>
    <m/>
    <m/>
    <n v="0"/>
    <n v="14247129"/>
    <n v="0"/>
  </r>
  <r>
    <s v="Retail"/>
    <s v="Q155 - Bogota - CC Outlet las Americas"/>
    <x v="6"/>
    <s v="septiembre"/>
    <n v="24"/>
    <d v="2026-09-24T00:00:00"/>
    <n v="52324929"/>
    <s v="FONSECA BUSTOS GLORIA YANNETH"/>
    <n v="15"/>
    <n v="0"/>
    <n v="574705"/>
  </r>
  <r>
    <s v="Retail"/>
    <s v="Q155 - Bogota - CC Outlet las Americas"/>
    <x v="6"/>
    <s v="septiembre"/>
    <n v="24"/>
    <d v="2026-09-24T00:00:00"/>
    <n v="52805111"/>
    <s v="RINCON  QUINTERO SONIA LILIANA "/>
    <n v="22"/>
    <n v="0"/>
    <n v="1225673"/>
  </r>
  <r>
    <s v="Retail"/>
    <s v="Q155 - Bogota - CC Outlet las Americas"/>
    <x v="6"/>
    <s v="septiembre"/>
    <n v="24"/>
    <d v="2026-09-24T00:00:00"/>
    <n v="1000130743"/>
    <s v="TIQUE VERA JEIMY DANIELA"/>
    <n v="10"/>
    <n v="0"/>
    <n v="554118"/>
  </r>
  <r>
    <s v="Retail"/>
    <s v="Q155 - Bogota - CC Outlet las Americas"/>
    <x v="6"/>
    <s v="septiembre"/>
    <n v="24"/>
    <d v="2026-09-24T00:00:00"/>
    <n v="1012357095"/>
    <s v="BECERRA IBARRA IVONNE  NATALIA"/>
    <n v="14"/>
    <n v="0"/>
    <n v="654873"/>
  </r>
  <r>
    <s v="Retail"/>
    <s v="Q155 - Bogota - CC Outlet las Americas"/>
    <x v="6"/>
    <s v="septiembre"/>
    <n v="24"/>
    <d v="2026-09-24T00:00:00"/>
    <n v="1013099328"/>
    <s v="BARROS RAMOS MANUEL  DAVID"/>
    <n v="12"/>
    <n v="0"/>
    <n v="545589"/>
  </r>
  <r>
    <s v="Retail"/>
    <s v="Q155 - Bogota - CC Outlet las Americas"/>
    <x v="6"/>
    <s v="septiembre"/>
    <n v="25"/>
    <d v="2026-09-25T00:00:00"/>
    <m/>
    <m/>
    <n v="0"/>
    <n v="14215590"/>
    <n v="0"/>
  </r>
  <r>
    <s v="Retail"/>
    <s v="Q155 - Bogota - CC Outlet las Americas"/>
    <x v="6"/>
    <s v="septiembre"/>
    <n v="25"/>
    <d v="2026-09-25T00:00:00"/>
    <n v="52324929"/>
    <s v="FONSECA BUSTOS GLORIA YANNETH"/>
    <n v="28"/>
    <n v="0"/>
    <n v="1080294"/>
  </r>
  <r>
    <s v="Retail"/>
    <s v="Q155 - Bogota - CC Outlet las Americas"/>
    <x v="6"/>
    <s v="septiembre"/>
    <n v="25"/>
    <d v="2026-09-25T00:00:00"/>
    <n v="52805111"/>
    <s v="RINCON  QUINTERO SONIA LILIANA "/>
    <n v="18"/>
    <n v="0"/>
    <n v="654622"/>
  </r>
  <r>
    <s v="Retail"/>
    <s v="Q155 - Bogota - CC Outlet las Americas"/>
    <x v="6"/>
    <s v="septiembre"/>
    <n v="25"/>
    <d v="2026-09-25T00:00:00"/>
    <n v="1000130743"/>
    <s v="TIQUE VERA JEIMY DANIELA"/>
    <n v="25"/>
    <n v="0"/>
    <n v="1061765"/>
  </r>
  <r>
    <s v="Retail"/>
    <s v="Q155 - Bogota - CC Outlet las Americas"/>
    <x v="6"/>
    <s v="septiembre"/>
    <n v="25"/>
    <d v="2026-09-25T00:00:00"/>
    <n v="1012357095"/>
    <s v="BECERRA IBARRA IVONNE  NATALIA"/>
    <n v="10"/>
    <n v="0"/>
    <n v="596051"/>
  </r>
  <r>
    <s v="Retail"/>
    <s v="Q155 - Bogota - CC Outlet las Americas"/>
    <x v="6"/>
    <s v="septiembre"/>
    <n v="25"/>
    <d v="2026-09-25T00:00:00"/>
    <n v="1013099328"/>
    <s v="BARROS RAMOS MANUEL  DAVID"/>
    <n v="10"/>
    <n v="0"/>
    <n v="459665"/>
  </r>
  <r>
    <s v="Retail"/>
    <s v="Q155 - Bogota - CC Outlet las Americas"/>
    <x v="6"/>
    <s v="septiembre"/>
    <n v="26"/>
    <d v="2026-09-26T00:00:00"/>
    <m/>
    <m/>
    <n v="0"/>
    <n v="20429847"/>
    <n v="0"/>
  </r>
  <r>
    <s v="Retail"/>
    <s v="Q155 - Bogota - CC Outlet las Americas"/>
    <x v="6"/>
    <s v="septiembre"/>
    <n v="26"/>
    <d v="2026-09-26T00:00:00"/>
    <n v="52324929"/>
    <s v="FONSECA BUSTOS GLORIA YANNETH"/>
    <n v="27"/>
    <n v="0"/>
    <n v="1276050"/>
  </r>
  <r>
    <s v="Retail"/>
    <s v="Q155 - Bogota - CC Outlet las Americas"/>
    <x v="6"/>
    <s v="septiembre"/>
    <n v="26"/>
    <d v="2026-09-26T00:00:00"/>
    <n v="52805111"/>
    <s v="RINCON  QUINTERO SONIA LILIANA "/>
    <n v="47"/>
    <n v="0"/>
    <n v="2136178"/>
  </r>
  <r>
    <s v="Retail"/>
    <s v="Q155 - Bogota - CC Outlet las Americas"/>
    <x v="6"/>
    <s v="septiembre"/>
    <n v="26"/>
    <d v="2026-09-26T00:00:00"/>
    <n v="1000130743"/>
    <s v="TIQUE VERA JEIMY DANIELA"/>
    <n v="18"/>
    <n v="0"/>
    <n v="826851"/>
  </r>
  <r>
    <s v="Retail"/>
    <s v="Q155 - Bogota - CC Outlet las Americas"/>
    <x v="6"/>
    <s v="septiembre"/>
    <n v="26"/>
    <d v="2026-09-26T00:00:00"/>
    <n v="1012357095"/>
    <s v="BECERRA IBARRA IVONNE  NATALIA"/>
    <n v="37"/>
    <n v="0"/>
    <n v="2073824"/>
  </r>
  <r>
    <s v="Retail"/>
    <s v="Q155 - Bogota - CC Outlet las Americas"/>
    <x v="6"/>
    <s v="septiembre"/>
    <n v="26"/>
    <d v="2026-09-26T00:00:00"/>
    <n v="1013099328"/>
    <s v="BARROS RAMOS MANUEL  DAVID"/>
    <n v="31"/>
    <n v="0"/>
    <n v="1435462"/>
  </r>
  <r>
    <s v="Retail"/>
    <s v="Q155 - Bogota - CC Outlet las Americas"/>
    <x v="6"/>
    <s v="septiembre"/>
    <n v="27"/>
    <d v="2026-09-27T00:00:00"/>
    <m/>
    <m/>
    <n v="0"/>
    <n v="16184551"/>
    <n v="0"/>
  </r>
  <r>
    <s v="Retail"/>
    <s v="Q155 - Bogota - CC Outlet las Americas"/>
    <x v="6"/>
    <s v="septiembre"/>
    <n v="27"/>
    <d v="2026-09-27T00:00:00"/>
    <n v="52324929"/>
    <s v="FONSECA BUSTOS GLORIA YANNETH"/>
    <n v="91"/>
    <n v="0"/>
    <n v="5621723"/>
  </r>
  <r>
    <s v="Retail"/>
    <s v="Q155 - Bogota - CC Outlet las Americas"/>
    <x v="6"/>
    <s v="septiembre"/>
    <n v="27"/>
    <d v="2026-09-27T00:00:00"/>
    <n v="52805111"/>
    <s v="RINCON  QUINTERO SONIA LILIANA "/>
    <n v="70"/>
    <n v="0"/>
    <n v="3046809"/>
  </r>
  <r>
    <s v="Retail"/>
    <s v="Q155 - Bogota - CC Outlet las Americas"/>
    <x v="6"/>
    <s v="septiembre"/>
    <n v="27"/>
    <d v="2026-09-27T00:00:00"/>
    <n v="1000130743"/>
    <s v="TIQUE VERA JEIMY DANIELA"/>
    <n v="43"/>
    <n v="0"/>
    <n v="2739666"/>
  </r>
  <r>
    <s v="Retail"/>
    <s v="Q155 - Bogota - CC Outlet las Americas"/>
    <x v="6"/>
    <s v="septiembre"/>
    <n v="27"/>
    <d v="2026-09-27T00:00:00"/>
    <n v="1012357095"/>
    <s v="BECERRA IBARRA IVONNE  NATALIA"/>
    <n v="45"/>
    <n v="0"/>
    <n v="2149035"/>
  </r>
  <r>
    <s v="Retail"/>
    <s v="Q155 - Bogota - CC Outlet las Americas"/>
    <x v="6"/>
    <s v="septiembre"/>
    <n v="27"/>
    <d v="2026-09-27T00:00:00"/>
    <n v="1013099328"/>
    <s v="BARROS RAMOS MANUEL  DAVID"/>
    <n v="38"/>
    <n v="0"/>
    <n v="1653740"/>
  </r>
  <r>
    <s v="Retail"/>
    <s v="Q155 - Bogota - CC Outlet las Americas"/>
    <x v="6"/>
    <s v="septiembre"/>
    <n v="28"/>
    <d v="2026-09-28T00:00:00"/>
    <m/>
    <m/>
    <n v="0"/>
    <n v="9112620"/>
    <n v="0"/>
  </r>
  <r>
    <s v="Retail"/>
    <s v="Q155 - Bogota - CC Outlet las Americas"/>
    <x v="6"/>
    <s v="septiembre"/>
    <n v="28"/>
    <d v="2026-09-28T00:00:00"/>
    <n v="52324929"/>
    <s v="FONSECA BUSTOS GLORIA YANNETH"/>
    <n v="6"/>
    <n v="0"/>
    <n v="369454"/>
  </r>
  <r>
    <s v="Retail"/>
    <s v="Q155 - Bogota - CC Outlet las Americas"/>
    <x v="6"/>
    <s v="septiembre"/>
    <n v="28"/>
    <d v="2026-09-28T00:00:00"/>
    <n v="52805111"/>
    <s v="RINCON  QUINTERO SONIA LILIANA "/>
    <n v="37"/>
    <n v="0"/>
    <n v="1737647"/>
  </r>
  <r>
    <s v="Retail"/>
    <s v="Q155 - Bogota - CC Outlet las Americas"/>
    <x v="6"/>
    <s v="septiembre"/>
    <n v="28"/>
    <d v="2026-09-28T00:00:00"/>
    <n v="1000130743"/>
    <s v="TIQUE VERA JEIMY DANIELA"/>
    <n v="6"/>
    <n v="0"/>
    <n v="201429"/>
  </r>
  <r>
    <s v="Retail"/>
    <s v="Q155 - Bogota - CC Outlet las Americas"/>
    <x v="6"/>
    <s v="septiembre"/>
    <n v="28"/>
    <d v="2026-09-28T00:00:00"/>
    <n v="1012357095"/>
    <s v="BECERRA IBARRA IVONNE  NATALIA"/>
    <n v="16"/>
    <n v="0"/>
    <n v="805967"/>
  </r>
  <r>
    <s v="Retail"/>
    <s v="Q155 - Bogota - CC Outlet las Americas"/>
    <x v="6"/>
    <s v="septiembre"/>
    <n v="29"/>
    <d v="2026-09-29T00:00:00"/>
    <m/>
    <m/>
    <n v="0"/>
    <n v="9309444"/>
    <n v="0"/>
  </r>
  <r>
    <s v="Retail"/>
    <s v="Q155 - Bogota - CC Outlet las Americas"/>
    <x v="6"/>
    <s v="septiembre"/>
    <n v="29"/>
    <d v="2026-09-29T00:00:00"/>
    <n v="52324929"/>
    <s v="FONSECA BUSTOS GLORIA YANNETH"/>
    <n v="20"/>
    <n v="0"/>
    <n v="1053740"/>
  </r>
  <r>
    <s v="Retail"/>
    <s v="Q155 - Bogota - CC Outlet las Americas"/>
    <x v="6"/>
    <s v="septiembre"/>
    <n v="29"/>
    <d v="2026-09-29T00:00:00"/>
    <n v="52805111"/>
    <s v="RINCON  QUINTERO SONIA LILIANA "/>
    <n v="48"/>
    <n v="0"/>
    <n v="1736302"/>
  </r>
  <r>
    <s v="Retail"/>
    <s v="Q155 - Bogota - CC Outlet las Americas"/>
    <x v="6"/>
    <s v="septiembre"/>
    <n v="29"/>
    <d v="2026-09-29T00:00:00"/>
    <n v="1000130743"/>
    <s v="TIQUE VERA JEIMY DANIELA"/>
    <n v="10"/>
    <n v="0"/>
    <n v="516387"/>
  </r>
  <r>
    <s v="Retail"/>
    <s v="Q155 - Bogota - CC Outlet las Americas"/>
    <x v="6"/>
    <s v="septiembre"/>
    <n v="29"/>
    <d v="2026-09-29T00:00:00"/>
    <n v="1012357095"/>
    <s v="BECERRA IBARRA IVONNE  NATALIA"/>
    <n v="23"/>
    <n v="0"/>
    <n v="876891"/>
  </r>
  <r>
    <s v="Retail"/>
    <s v="Q155 - Bogota - CC Outlet las Americas"/>
    <x v="6"/>
    <s v="septiembre"/>
    <n v="30"/>
    <d v="2026-09-30T00:00:00"/>
    <m/>
    <m/>
    <n v="0"/>
    <n v="9828910"/>
    <n v="0"/>
  </r>
  <r>
    <s v="Retail"/>
    <s v="Q155 - Bogota - CC Outlet las Americas"/>
    <x v="6"/>
    <s v="septiembre"/>
    <n v="30"/>
    <d v="2026-09-30T00:00:00"/>
    <n v="52324929"/>
    <s v="FONSECA BUSTOS GLORIA YANNETH"/>
    <n v="41"/>
    <n v="0"/>
    <n v="1300210"/>
  </r>
  <r>
    <s v="Retail"/>
    <s v="Q155 - Bogota - CC Outlet las Americas"/>
    <x v="6"/>
    <s v="septiembre"/>
    <n v="30"/>
    <d v="2026-09-30T00:00:00"/>
    <n v="52805111"/>
    <s v="RINCON  QUINTERO SONIA LILIANA "/>
    <n v="27"/>
    <n v="0"/>
    <n v="1170755"/>
  </r>
  <r>
    <s v="Retail"/>
    <s v="Q155 - Bogota - CC Outlet las Americas"/>
    <x v="6"/>
    <s v="septiembre"/>
    <n v="30"/>
    <d v="2026-09-30T00:00:00"/>
    <n v="1000130743"/>
    <s v="TIQUE VERA JEIMY DANIELA"/>
    <n v="40"/>
    <n v="0"/>
    <n v="1834161"/>
  </r>
  <r>
    <s v="Retail"/>
    <s v="Q155 - Bogota - CC Outlet las Americas"/>
    <x v="6"/>
    <s v="septiembre"/>
    <n v="30"/>
    <d v="2026-09-30T00:00:00"/>
    <n v="1012357095"/>
    <s v="BECERRA IBARRA IVONNE  NATALIA"/>
    <n v="3"/>
    <n v="0"/>
    <n v="159538"/>
  </r>
  <r>
    <s v="Retail"/>
    <s v="Q155 - Bogota - CC Outlet las Americas"/>
    <x v="6"/>
    <s v="septiembre"/>
    <n v="30"/>
    <d v="2026-09-30T00:00:00"/>
    <n v="1013099328"/>
    <s v="BARROS RAMOS MANUEL  DAVID"/>
    <n v="4"/>
    <n v="0"/>
    <n v="108992"/>
  </r>
  <r>
    <s v="Retail"/>
    <s v="Q155 - Bogota - CC Outlet las Americas"/>
    <x v="6"/>
    <s v="octubre"/>
    <n v="1"/>
    <d v="2026-10-01T00:00:00"/>
    <m/>
    <m/>
    <n v="0"/>
    <n v="3561519"/>
    <n v="0"/>
  </r>
  <r>
    <s v="Retail"/>
    <s v="Q155 - Bogota - CC Outlet las Americas"/>
    <x v="6"/>
    <s v="octubre"/>
    <n v="1"/>
    <d v="2026-10-01T00:00:00"/>
    <n v="52324929"/>
    <s v="FONSECA BUSTOS GLORIA YANNETH"/>
    <n v="44"/>
    <n v="0"/>
    <n v="1888447"/>
  </r>
  <r>
    <s v="Retail"/>
    <s v="Q155 - Bogota - CC Outlet las Americas"/>
    <x v="6"/>
    <s v="octubre"/>
    <n v="1"/>
    <d v="2026-10-01T00:00:00"/>
    <n v="1000130743"/>
    <s v="TIQUE VERA JEIMY DANIELA"/>
    <n v="19"/>
    <n v="0"/>
    <n v="1125168"/>
  </r>
  <r>
    <s v="Retail"/>
    <s v="Q155 - Bogota - CC Outlet las Americas"/>
    <x v="6"/>
    <s v="octubre"/>
    <n v="1"/>
    <d v="2026-10-01T00:00:00"/>
    <n v="1012357095"/>
    <s v="BECERRA IBARRA IVONNE  NATALIA"/>
    <n v="10"/>
    <n v="0"/>
    <n v="369326"/>
  </r>
  <r>
    <s v="Retail"/>
    <s v="Q155 - Bogota - CC Outlet las Americas"/>
    <x v="6"/>
    <s v="octubre"/>
    <n v="1"/>
    <d v="2026-10-01T00:00:00"/>
    <n v="1013099328"/>
    <s v="BARROS RAMOS MANUEL  DAVID"/>
    <n v="14"/>
    <n v="0"/>
    <n v="488741"/>
  </r>
  <r>
    <s v="Retail"/>
    <s v="Q155 - Bogota - CC Outlet las Americas"/>
    <x v="6"/>
    <s v="octubre"/>
    <n v="2"/>
    <d v="2026-10-02T00:00:00"/>
    <m/>
    <m/>
    <n v="0"/>
    <n v="4786054"/>
    <n v="0"/>
  </r>
  <r>
    <s v="Retail"/>
    <s v="Q155 - Bogota - CC Outlet las Americas"/>
    <x v="6"/>
    <s v="octubre"/>
    <n v="2"/>
    <d v="2026-10-02T00:00:00"/>
    <n v="52324929"/>
    <s v="FONSECA BUSTOS GLORIA YANNETH"/>
    <n v="19"/>
    <n v="0"/>
    <n v="868781"/>
  </r>
  <r>
    <s v="Retail"/>
    <s v="Q155 - Bogota - CC Outlet las Americas"/>
    <x v="6"/>
    <s v="octubre"/>
    <n v="2"/>
    <d v="2026-10-02T00:00:00"/>
    <n v="52805111"/>
    <s v="RINCON  QUINTERO SONIA LILIANA "/>
    <n v="-1"/>
    <n v="0"/>
    <n v="-131042"/>
  </r>
  <r>
    <s v="Retail"/>
    <s v="Q155 - Bogota - CC Outlet las Americas"/>
    <x v="6"/>
    <s v="octubre"/>
    <n v="2"/>
    <d v="2026-10-02T00:00:00"/>
    <n v="1000130743"/>
    <s v="TIQUE VERA JEIMY DANIELA"/>
    <n v="16"/>
    <n v="0"/>
    <n v="797523"/>
  </r>
  <r>
    <s v="Retail"/>
    <s v="Q155 - Bogota - CC Outlet las Americas"/>
    <x v="6"/>
    <s v="octubre"/>
    <n v="2"/>
    <d v="2026-10-02T00:00:00"/>
    <n v="1012357095"/>
    <s v="BECERRA IBARRA IVONNE  NATALIA"/>
    <n v="21"/>
    <n v="0"/>
    <n v="1076681"/>
  </r>
  <r>
    <s v="Retail"/>
    <s v="Q155 - Bogota - CC Outlet las Americas"/>
    <x v="6"/>
    <s v="octubre"/>
    <n v="2"/>
    <d v="2026-10-02T00:00:00"/>
    <n v="1013099328"/>
    <s v="BARROS RAMOS MANUEL  DAVID"/>
    <n v="17"/>
    <n v="0"/>
    <n v="1066385"/>
  </r>
  <r>
    <s v="Retail"/>
    <s v="Q155 - Bogota - CC Outlet las Americas"/>
    <x v="6"/>
    <s v="octubre"/>
    <n v="2"/>
    <d v="2026-10-02T00:00:00"/>
    <n v="1016834696"/>
    <s v="SALAMANCA  GOMEZ NATALIA "/>
    <n v="-1"/>
    <n v="0"/>
    <n v="-75588"/>
  </r>
  <r>
    <s v="Retail"/>
    <s v="Q155 - Bogota - CC Outlet las Americas"/>
    <x v="6"/>
    <s v="octubre"/>
    <n v="3"/>
    <d v="2026-10-03T00:00:00"/>
    <m/>
    <m/>
    <n v="0"/>
    <n v="7194287"/>
    <n v="0"/>
  </r>
  <r>
    <s v="Retail"/>
    <s v="Q155 - Bogota - CC Outlet las Americas"/>
    <x v="6"/>
    <s v="octubre"/>
    <n v="3"/>
    <d v="2026-10-03T00:00:00"/>
    <n v="52324929"/>
    <s v="FONSECA BUSTOS GLORIA YANNETH"/>
    <n v="44"/>
    <n v="0"/>
    <n v="1876614"/>
  </r>
  <r>
    <s v="Retail"/>
    <s v="Q155 - Bogota - CC Outlet las Americas"/>
    <x v="6"/>
    <s v="octubre"/>
    <n v="3"/>
    <d v="2026-10-03T00:00:00"/>
    <n v="1000130743"/>
    <s v="TIQUE VERA JEIMY DANIELA"/>
    <n v="47"/>
    <n v="0"/>
    <n v="2397278"/>
  </r>
  <r>
    <s v="Retail"/>
    <s v="Q155 - Bogota - CC Outlet las Americas"/>
    <x v="6"/>
    <s v="octubre"/>
    <n v="3"/>
    <d v="2026-10-03T00:00:00"/>
    <n v="1012357095"/>
    <s v="BECERRA IBARRA IVONNE  NATALIA"/>
    <n v="31"/>
    <n v="0"/>
    <n v="1442185"/>
  </r>
  <r>
    <s v="Retail"/>
    <s v="Q155 - Bogota - CC Outlet las Americas"/>
    <x v="6"/>
    <s v="octubre"/>
    <n v="3"/>
    <d v="2026-10-03T00:00:00"/>
    <n v="1013099328"/>
    <s v="BARROS RAMOS MANUEL  DAVID"/>
    <n v="27"/>
    <n v="0"/>
    <n v="1252439"/>
  </r>
  <r>
    <s v="Retail"/>
    <s v="Q155 - Bogota - CC Outlet las Americas"/>
    <x v="6"/>
    <s v="octubre"/>
    <n v="4"/>
    <d v="2026-10-04T00:00:00"/>
    <m/>
    <m/>
    <n v="0"/>
    <n v="7788329"/>
    <n v="0"/>
  </r>
  <r>
    <s v="Retail"/>
    <s v="Q155 - Bogota - CC Outlet las Americas"/>
    <x v="6"/>
    <s v="octubre"/>
    <n v="4"/>
    <d v="2026-10-04T00:00:00"/>
    <n v="52324929"/>
    <s v="FONSECA BUSTOS GLORIA YANNETH"/>
    <n v="53"/>
    <n v="0"/>
    <n v="2164935"/>
  </r>
  <r>
    <s v="Retail"/>
    <s v="Q155 - Bogota - CC Outlet las Americas"/>
    <x v="6"/>
    <s v="octubre"/>
    <n v="4"/>
    <d v="2026-10-04T00:00:00"/>
    <n v="52805111"/>
    <s v="RINCON  QUINTERO SONIA LILIANA "/>
    <n v="-1"/>
    <n v="0"/>
    <n v="-117605"/>
  </r>
  <r>
    <s v="Retail"/>
    <s v="Q155 - Bogota - CC Outlet las Americas"/>
    <x v="6"/>
    <s v="octubre"/>
    <n v="4"/>
    <d v="2026-10-04T00:00:00"/>
    <n v="1000130743"/>
    <s v="TIQUE VERA JEIMY DANIELA"/>
    <n v="76"/>
    <n v="0"/>
    <n v="3857695"/>
  </r>
  <r>
    <s v="Retail"/>
    <s v="Q155 - Bogota - CC Outlet las Americas"/>
    <x v="6"/>
    <s v="octubre"/>
    <n v="4"/>
    <d v="2026-10-04T00:00:00"/>
    <n v="1013099328"/>
    <s v="BARROS RAMOS MANUEL  DAVID"/>
    <n v="50"/>
    <n v="0"/>
    <n v="2388150"/>
  </r>
  <r>
    <s v="Retail"/>
    <s v="Q155 - Bogota - CC Outlet las Americas"/>
    <x v="6"/>
    <s v="octubre"/>
    <n v="5"/>
    <d v="2026-10-05T00:00:00"/>
    <m/>
    <m/>
    <n v="0"/>
    <n v="2180177"/>
    <n v="0"/>
  </r>
  <r>
    <s v="Retail"/>
    <s v="Q155 - Bogota - CC Outlet las Americas"/>
    <x v="6"/>
    <s v="octubre"/>
    <n v="5"/>
    <d v="2026-10-05T00:00:00"/>
    <n v="52324929"/>
    <s v="FONSECA BUSTOS GLORIA YANNETH"/>
    <n v="5"/>
    <n v="0"/>
    <n v="214034"/>
  </r>
  <r>
    <s v="Retail"/>
    <s v="Q155 - Bogota - CC Outlet las Americas"/>
    <x v="6"/>
    <s v="octubre"/>
    <n v="5"/>
    <d v="2026-10-05T00:00:00"/>
    <n v="1000130743"/>
    <s v="TIQUE VERA JEIMY DANIELA"/>
    <n v="26"/>
    <n v="0"/>
    <n v="1120588"/>
  </r>
  <r>
    <s v="Retail"/>
    <s v="Q155 - Bogota - CC Outlet las Americas"/>
    <x v="6"/>
    <s v="octubre"/>
    <n v="5"/>
    <d v="2026-10-05T00:00:00"/>
    <n v="1012357095"/>
    <s v="BECERRA IBARRA IVONNE  NATALIA"/>
    <n v="19"/>
    <n v="0"/>
    <n v="717521"/>
  </r>
  <r>
    <s v="Retail"/>
    <s v="Q155 - Bogota - CC Outlet las Americas"/>
    <x v="6"/>
    <s v="octubre"/>
    <n v="5"/>
    <d v="2026-10-05T00:00:00"/>
    <n v="1013099328"/>
    <s v="BARROS RAMOS MANUEL  DAVID"/>
    <n v="20"/>
    <n v="0"/>
    <n v="919119"/>
  </r>
  <r>
    <s v="Retail"/>
    <s v="Q155 - Bogota - CC Outlet las Americas"/>
    <x v="6"/>
    <s v="octubre"/>
    <n v="6"/>
    <d v="2026-10-06T00:00:00"/>
    <m/>
    <m/>
    <n v="0"/>
    <n v="2786239"/>
    <n v="0"/>
  </r>
  <r>
    <s v="Retail"/>
    <s v="Q155 - Bogota - CC Outlet las Americas"/>
    <x v="6"/>
    <s v="octubre"/>
    <n v="6"/>
    <d v="2026-10-06T00:00:00"/>
    <n v="52324929"/>
    <s v="FONSECA BUSTOS GLORIA YANNETH"/>
    <n v="9"/>
    <n v="0"/>
    <n v="520546"/>
  </r>
  <r>
    <s v="Retail"/>
    <s v="Q155 - Bogota - CC Outlet las Americas"/>
    <x v="6"/>
    <s v="octubre"/>
    <n v="6"/>
    <d v="2026-10-06T00:00:00"/>
    <n v="1000130743"/>
    <s v="TIQUE VERA JEIMY DANIELA"/>
    <n v="10"/>
    <n v="0"/>
    <n v="581428"/>
  </r>
  <r>
    <s v="Retail"/>
    <s v="Q155 - Bogota - CC Outlet las Americas"/>
    <x v="6"/>
    <s v="octubre"/>
    <n v="6"/>
    <d v="2026-10-06T00:00:00"/>
    <n v="1012357095"/>
    <s v="BECERRA IBARRA IVONNE  NATALIA"/>
    <n v="14"/>
    <n v="0"/>
    <n v="532942"/>
  </r>
  <r>
    <s v="Retail"/>
    <s v="Q155 - Bogota - CC Outlet las Americas"/>
    <x v="6"/>
    <s v="octubre"/>
    <n v="6"/>
    <d v="2026-10-06T00:00:00"/>
    <n v="1013099328"/>
    <s v="BARROS RAMOS MANUEL  DAVID"/>
    <n v="0"/>
    <n v="0"/>
    <n v="10505"/>
  </r>
  <r>
    <s v="Retail"/>
    <s v="Q155 - Bogota - CC Outlet las Americas"/>
    <x v="6"/>
    <s v="octubre"/>
    <n v="7"/>
    <d v="2026-10-07T00:00:00"/>
    <m/>
    <m/>
    <n v="0"/>
    <n v="2764347"/>
    <n v="0"/>
  </r>
  <r>
    <s v="Retail"/>
    <s v="Q155 - Bogota - CC Outlet las Americas"/>
    <x v="6"/>
    <s v="octubre"/>
    <n v="7"/>
    <d v="2026-10-07T00:00:00"/>
    <n v="52324929"/>
    <s v="FONSECA BUSTOS GLORIA YANNETH"/>
    <n v="28"/>
    <n v="0"/>
    <n v="1490294"/>
  </r>
  <r>
    <s v="Retail"/>
    <s v="Q155 - Bogota - CC Outlet las Americas"/>
    <x v="6"/>
    <s v="octubre"/>
    <n v="7"/>
    <d v="2026-10-07T00:00:00"/>
    <n v="1000130743"/>
    <s v="TIQUE VERA JEIMY DANIELA"/>
    <n v="22"/>
    <n v="0"/>
    <n v="1217523"/>
  </r>
  <r>
    <s v="Franquicias Sell Out QUEST"/>
    <s v="FQ013 - Quibdó - Chocó"/>
    <x v="7"/>
    <s v="septiembre"/>
    <n v="23"/>
    <d v="2026-09-23T00:00:00"/>
    <m/>
    <m/>
    <n v="0"/>
    <n v="2807844"/>
    <n v="0"/>
  </r>
  <r>
    <s v="Franquicias Sell Out QUEST"/>
    <s v="FQ013 - Quibdó - Chocó"/>
    <x v="7"/>
    <s v="septiembre"/>
    <n v="23"/>
    <d v="2026-09-23T00:00:00"/>
    <n v="1077437469"/>
    <s v="GRANADA RÍOS ELEANA"/>
    <n v="60"/>
    <n v="0"/>
    <n v="3860883"/>
  </r>
  <r>
    <s v="Franquicias Sell Out QUEST"/>
    <s v="FQ013 - Quibdó - Chocó"/>
    <x v="7"/>
    <s v="septiembre"/>
    <n v="24"/>
    <d v="2026-09-24T00:00:00"/>
    <m/>
    <m/>
    <n v="0"/>
    <n v="7261624"/>
    <n v="0"/>
  </r>
  <r>
    <s v="Franquicias Sell Out QUEST"/>
    <s v="FQ013 - Quibdó - Chocó"/>
    <x v="7"/>
    <s v="septiembre"/>
    <n v="24"/>
    <d v="2026-09-24T00:00:00"/>
    <n v="1077437469"/>
    <s v="GRANADA RÍOS ELEANA"/>
    <n v="125"/>
    <n v="0"/>
    <n v="7024087"/>
  </r>
  <r>
    <s v="Franquicias Sell Out QUEST"/>
    <s v="FQ013 - Quibdó - Chocó"/>
    <x v="7"/>
    <s v="septiembre"/>
    <n v="25"/>
    <d v="2026-09-25T00:00:00"/>
    <m/>
    <m/>
    <n v="0"/>
    <n v="7755811"/>
    <n v="0"/>
  </r>
  <r>
    <s v="Franquicias Sell Out QUEST"/>
    <s v="FQ013 - Quibdó - Chocó"/>
    <x v="7"/>
    <s v="septiembre"/>
    <n v="25"/>
    <d v="2026-09-25T00:00:00"/>
    <n v="1077437469"/>
    <s v="GRANADA RÍOS ELEANA"/>
    <n v="143"/>
    <n v="0"/>
    <n v="7601096"/>
  </r>
  <r>
    <s v="Franquicias Sell Out QUEST"/>
    <s v="FQ013 - Quibdó - Chocó"/>
    <x v="7"/>
    <s v="septiembre"/>
    <n v="26"/>
    <d v="2026-09-26T00:00:00"/>
    <m/>
    <m/>
    <n v="0"/>
    <n v="9779881"/>
    <n v="0"/>
  </r>
  <r>
    <s v="Franquicias Sell Out QUEST"/>
    <s v="FQ013 - Quibdó - Chocó"/>
    <x v="7"/>
    <s v="septiembre"/>
    <n v="26"/>
    <d v="2026-09-26T00:00:00"/>
    <n v="1077437469"/>
    <s v="GRANADA RÍOS ELEANA"/>
    <n v="181"/>
    <n v="0"/>
    <n v="9099385"/>
  </r>
  <r>
    <s v="Franquicias Sell Out QUEST"/>
    <s v="FQ013 - Quibdó - Chocó"/>
    <x v="7"/>
    <s v="septiembre"/>
    <n v="27"/>
    <d v="2026-09-27T00:00:00"/>
    <m/>
    <m/>
    <n v="0"/>
    <n v="5163683"/>
    <n v="0"/>
  </r>
  <r>
    <s v="Franquicias Sell Out QUEST"/>
    <s v="FQ013 - Quibdó - Chocó"/>
    <x v="7"/>
    <s v="septiembre"/>
    <n v="27"/>
    <d v="2026-09-27T00:00:00"/>
    <n v="1077437469"/>
    <s v="GRANADA RÍOS ELEANA"/>
    <n v="51"/>
    <n v="0"/>
    <n v="2701514"/>
  </r>
  <r>
    <s v="Franquicias Sell Out QUEST"/>
    <s v="FQ013 - Quibdó - Chocó"/>
    <x v="7"/>
    <s v="septiembre"/>
    <n v="28"/>
    <d v="2026-09-28T00:00:00"/>
    <m/>
    <m/>
    <n v="0"/>
    <n v="4233661"/>
    <n v="0"/>
  </r>
  <r>
    <s v="Franquicias Sell Out QUEST"/>
    <s v="FQ013 - Quibdó - Chocó"/>
    <x v="7"/>
    <s v="septiembre"/>
    <n v="28"/>
    <d v="2026-09-28T00:00:00"/>
    <n v="1010101553"/>
    <s v="ORTIZ  JESSICA MARCELA"/>
    <n v="42"/>
    <n v="0"/>
    <n v="2040212"/>
  </r>
  <r>
    <s v="Franquicias Sell Out QUEST"/>
    <s v="FQ013 - Quibdó - Chocó"/>
    <x v="7"/>
    <s v="septiembre"/>
    <n v="28"/>
    <d v="2026-09-28T00:00:00"/>
    <n v="1077435441"/>
    <s v="RODRÍGUEZ VAHOS YULIANA"/>
    <n v="52"/>
    <n v="0"/>
    <n v="2705673"/>
  </r>
  <r>
    <s v="Franquicias Sell Out QUEST"/>
    <s v="FQ013 - Quibdó - Chocó"/>
    <x v="7"/>
    <s v="septiembre"/>
    <n v="28"/>
    <d v="2026-09-28T00:00:00"/>
    <n v="1077437469"/>
    <s v="GRANADA RÍOS ELEANA"/>
    <n v="31"/>
    <n v="0"/>
    <n v="1456640"/>
  </r>
  <r>
    <s v="Franquicias Sell Out QUEST"/>
    <s v="FQ013 - Quibdó - Chocó"/>
    <x v="7"/>
    <s v="septiembre"/>
    <n v="29"/>
    <d v="2026-09-29T00:00:00"/>
    <m/>
    <m/>
    <n v="0"/>
    <n v="4706578"/>
    <n v="0"/>
  </r>
  <r>
    <s v="Franquicias Sell Out QUEST"/>
    <s v="FQ013 - Quibdó - Chocó"/>
    <x v="7"/>
    <s v="septiembre"/>
    <n v="29"/>
    <d v="2026-09-29T00:00:00"/>
    <n v="1010101553"/>
    <s v="ORTIZ  JESSICA MARCELA"/>
    <n v="42"/>
    <n v="0"/>
    <n v="2245841"/>
  </r>
  <r>
    <s v="Franquicias Sell Out QUEST"/>
    <s v="FQ013 - Quibdó - Chocó"/>
    <x v="7"/>
    <s v="septiembre"/>
    <n v="29"/>
    <d v="2026-09-29T00:00:00"/>
    <n v="1077435441"/>
    <s v="RODRÍGUEZ VAHOS YULIANA"/>
    <n v="96"/>
    <n v="0"/>
    <n v="3050715"/>
  </r>
  <r>
    <s v="Franquicias Sell Out QUEST"/>
    <s v="FQ013 - Quibdó - Chocó"/>
    <x v="7"/>
    <s v="septiembre"/>
    <n v="29"/>
    <d v="2026-09-29T00:00:00"/>
    <n v="1077437469"/>
    <s v="GRANADA RÍOS ELEANA"/>
    <n v="29"/>
    <n v="0"/>
    <n v="878318"/>
  </r>
  <r>
    <s v="Franquicias Sell Out QUEST"/>
    <s v="FQ013 - Quibdó - Chocó"/>
    <x v="7"/>
    <s v="septiembre"/>
    <n v="30"/>
    <d v="2026-09-30T00:00:00"/>
    <m/>
    <m/>
    <n v="0"/>
    <n v="4984413"/>
    <n v="0"/>
  </r>
  <r>
    <s v="Franquicias Sell Out QUEST"/>
    <s v="FQ013 - Quibdó - Chocó"/>
    <x v="7"/>
    <s v="septiembre"/>
    <n v="30"/>
    <d v="2026-09-30T00:00:00"/>
    <n v="1010101553"/>
    <s v="ORTIZ  JESSICA MARCELA"/>
    <n v="34"/>
    <n v="0"/>
    <n v="1723153"/>
  </r>
  <r>
    <s v="Franquicias Sell Out QUEST"/>
    <s v="FQ013 - Quibdó - Chocó"/>
    <x v="7"/>
    <s v="septiembre"/>
    <n v="30"/>
    <d v="2026-09-30T00:00:00"/>
    <n v="1077435441"/>
    <s v="RODRÍGUEZ VAHOS YULIANA"/>
    <n v="8"/>
    <n v="0"/>
    <n v="520672"/>
  </r>
  <r>
    <s v="Franquicias Sell Out QUEST"/>
    <s v="FQ013 - Quibdó - Chocó"/>
    <x v="7"/>
    <s v="septiembre"/>
    <n v="30"/>
    <d v="2026-09-30T00:00:00"/>
    <n v="1077437469"/>
    <s v="GRANADA RÍOS ELEANA"/>
    <n v="40"/>
    <n v="0"/>
    <n v="1743864"/>
  </r>
  <r>
    <s v="Franquicias Sell Out QUEST"/>
    <s v="FQ013 - Quibdó - Chocó"/>
    <x v="7"/>
    <s v="octubre"/>
    <n v="1"/>
    <d v="2026-10-01T00:00:00"/>
    <m/>
    <m/>
    <n v="0"/>
    <n v="9302080"/>
    <n v="0"/>
  </r>
  <r>
    <s v="Franquicias Sell Out QUEST"/>
    <s v="FQ013 - Quibdó - Chocó"/>
    <x v="7"/>
    <s v="octubre"/>
    <n v="1"/>
    <d v="2026-10-01T00:00:00"/>
    <n v="1010101553"/>
    <s v="ORTIZ  JESSICA MARCELA"/>
    <n v="26"/>
    <n v="0"/>
    <n v="1347521"/>
  </r>
  <r>
    <s v="Franquicias Sell Out QUEST"/>
    <s v="FQ013 - Quibdó - Chocó"/>
    <x v="7"/>
    <s v="octubre"/>
    <n v="1"/>
    <d v="2026-10-01T00:00:00"/>
    <n v="1077435441"/>
    <s v="RODRÍGUEZ VAHOS YULIANA"/>
    <n v="38"/>
    <n v="0"/>
    <n v="1861724"/>
  </r>
  <r>
    <s v="Franquicias Sell Out QUEST"/>
    <s v="FQ013 - Quibdó - Chocó"/>
    <x v="7"/>
    <s v="octubre"/>
    <n v="1"/>
    <d v="2026-10-01T00:00:00"/>
    <n v="1077437469"/>
    <s v="GRANADA RÍOS ELEANA"/>
    <n v="43"/>
    <n v="0"/>
    <n v="2157729"/>
  </r>
  <r>
    <s v="Franquicias Sell Out QUEST"/>
    <s v="FQ013 - Quibdó - Chocó"/>
    <x v="7"/>
    <s v="octubre"/>
    <n v="2"/>
    <d v="2026-10-02T00:00:00"/>
    <m/>
    <m/>
    <n v="0"/>
    <n v="12200166"/>
    <n v="0"/>
  </r>
  <r>
    <s v="Franquicias Sell Out QUEST"/>
    <s v="FQ013 - Quibdó - Chocó"/>
    <x v="7"/>
    <s v="octubre"/>
    <n v="2"/>
    <d v="2026-10-02T00:00:00"/>
    <n v="1010101553"/>
    <s v="ORTIZ  JESSICA MARCELA"/>
    <n v="56"/>
    <n v="0"/>
    <n v="2694833"/>
  </r>
  <r>
    <s v="Franquicias Sell Out QUEST"/>
    <s v="FQ013 - Quibdó - Chocó"/>
    <x v="7"/>
    <s v="octubre"/>
    <n v="2"/>
    <d v="2026-10-02T00:00:00"/>
    <n v="1077435441"/>
    <s v="RODRÍGUEZ VAHOS YULIANA"/>
    <n v="51"/>
    <n v="0"/>
    <n v="2602689"/>
  </r>
  <r>
    <s v="Franquicias Sell Out QUEST"/>
    <s v="FQ013 - Quibdó - Chocó"/>
    <x v="7"/>
    <s v="octubre"/>
    <n v="2"/>
    <d v="2026-10-02T00:00:00"/>
    <n v="1077437469"/>
    <s v="GRANADA RÍOS ELEANA"/>
    <n v="65"/>
    <n v="0"/>
    <n v="3583152"/>
  </r>
  <r>
    <s v="Franquicias Sell Out QUEST"/>
    <s v="FQ013 - Quibdó - Chocó"/>
    <x v="7"/>
    <s v="octubre"/>
    <n v="3"/>
    <d v="2026-10-03T00:00:00"/>
    <m/>
    <m/>
    <n v="0"/>
    <n v="6335337"/>
    <n v="0"/>
  </r>
  <r>
    <s v="Franquicias Sell Out QUEST"/>
    <s v="FQ013 - Quibdó - Chocó"/>
    <x v="7"/>
    <s v="octubre"/>
    <n v="3"/>
    <d v="2026-10-03T00:00:00"/>
    <n v="1010101553"/>
    <s v="ORTIZ  JESSICA MARCELA"/>
    <n v="28"/>
    <n v="0"/>
    <n v="1536521"/>
  </r>
  <r>
    <s v="Franquicias Sell Out QUEST"/>
    <s v="FQ013 - Quibdó - Chocó"/>
    <x v="7"/>
    <s v="octubre"/>
    <n v="3"/>
    <d v="2026-10-03T00:00:00"/>
    <n v="1077435441"/>
    <s v="RODRÍGUEZ VAHOS YULIANA"/>
    <n v="64"/>
    <n v="0"/>
    <n v="2952729"/>
  </r>
  <r>
    <s v="Franquicias Sell Out QUEST"/>
    <s v="FQ013 - Quibdó - Chocó"/>
    <x v="7"/>
    <s v="octubre"/>
    <n v="3"/>
    <d v="2026-10-03T00:00:00"/>
    <n v="1077437469"/>
    <s v="GRANADA RÍOS ELEANA"/>
    <n v="61"/>
    <n v="0"/>
    <n v="2659621"/>
  </r>
  <r>
    <s v="Franquicias Sell Out QUEST"/>
    <s v="FQ013 - Quibdó - Chocó"/>
    <x v="7"/>
    <s v="octubre"/>
    <n v="4"/>
    <d v="2026-10-04T00:00:00"/>
    <m/>
    <m/>
    <n v="0"/>
    <n v="2188472"/>
    <n v="0"/>
  </r>
  <r>
    <s v="Franquicias Sell Out QUEST"/>
    <s v="FQ013 - Quibdó - Chocó"/>
    <x v="7"/>
    <s v="octubre"/>
    <n v="4"/>
    <d v="2026-10-04T00:00:00"/>
    <n v="1010101553"/>
    <s v="ORTIZ  JESSICA MARCELA"/>
    <n v="7"/>
    <n v="0"/>
    <n v="377858"/>
  </r>
  <r>
    <s v="Franquicias Sell Out QUEST"/>
    <s v="FQ013 - Quibdó - Chocó"/>
    <x v="7"/>
    <s v="octubre"/>
    <n v="4"/>
    <d v="2026-10-04T00:00:00"/>
    <n v="1077435441"/>
    <s v="RODRÍGUEZ VAHOS YULIANA"/>
    <n v="51"/>
    <n v="0"/>
    <n v="2634120"/>
  </r>
  <r>
    <s v="Franquicias Sell Out QUEST"/>
    <s v="FQ013 - Quibdó - Chocó"/>
    <x v="7"/>
    <s v="octubre"/>
    <n v="4"/>
    <d v="2026-10-04T00:00:00"/>
    <n v="1077437469"/>
    <s v="GRANADA RÍOS ELEANA"/>
    <n v="50"/>
    <n v="0"/>
    <n v="2405212"/>
  </r>
  <r>
    <s v="Franquicias Sell Out QUEST"/>
    <s v="FQ013 - Quibdó - Chocó"/>
    <x v="7"/>
    <s v="octubre"/>
    <n v="5"/>
    <d v="2026-10-05T00:00:00"/>
    <m/>
    <m/>
    <n v="0"/>
    <n v="5413928"/>
    <n v="0"/>
  </r>
  <r>
    <s v="Franquicias Sell Out QUEST"/>
    <s v="FQ013 - Quibdó - Chocó"/>
    <x v="7"/>
    <s v="octubre"/>
    <n v="5"/>
    <d v="2026-10-05T00:00:00"/>
    <n v="1010101553"/>
    <s v="ORTIZ  JESSICA MARCELA"/>
    <n v="5"/>
    <n v="0"/>
    <n v="340084"/>
  </r>
  <r>
    <s v="Franquicias Sell Out QUEST"/>
    <s v="FQ013 - Quibdó - Chocó"/>
    <x v="7"/>
    <s v="octubre"/>
    <n v="5"/>
    <d v="2026-10-05T00:00:00"/>
    <n v="1077435441"/>
    <s v="RODRÍGUEZ VAHOS YULIANA"/>
    <n v="29"/>
    <n v="0"/>
    <n v="1649958"/>
  </r>
  <r>
    <s v="Franquicias Sell Out QUEST"/>
    <s v="FQ013 - Quibdó - Chocó"/>
    <x v="7"/>
    <s v="octubre"/>
    <n v="5"/>
    <d v="2026-10-05T00:00:00"/>
    <n v="1077437469"/>
    <s v="GRANADA RÍOS ELEANA"/>
    <n v="53"/>
    <n v="0"/>
    <n v="2833783"/>
  </r>
  <r>
    <s v="Franquicias Sell Out QUEST"/>
    <s v="FQ013 - Quibdó - Chocó"/>
    <x v="7"/>
    <s v="octubre"/>
    <n v="6"/>
    <d v="2026-10-06T00:00:00"/>
    <m/>
    <m/>
    <n v="0"/>
    <n v="3192878"/>
    <n v="0"/>
  </r>
  <r>
    <s v="Franquicias Sell Out QUEST"/>
    <s v="FQ013 - Quibdó - Chocó"/>
    <x v="7"/>
    <s v="octubre"/>
    <n v="6"/>
    <d v="2026-10-06T00:00:00"/>
    <n v="1010101553"/>
    <s v="ORTIZ  JESSICA MARCELA"/>
    <n v="33"/>
    <n v="0"/>
    <n v="1750591"/>
  </r>
  <r>
    <s v="Franquicias Sell Out QUEST"/>
    <s v="FQ013 - Quibdó - Chocó"/>
    <x v="7"/>
    <s v="octubre"/>
    <n v="6"/>
    <d v="2026-10-06T00:00:00"/>
    <n v="1077435441"/>
    <s v="RODRÍGUEZ VAHOS YULIANA"/>
    <n v="52"/>
    <n v="0"/>
    <n v="3050170"/>
  </r>
  <r>
    <s v="Franquicias Sell Out QUEST"/>
    <s v="FQ013 - Quibdó - Chocó"/>
    <x v="7"/>
    <s v="octubre"/>
    <n v="6"/>
    <d v="2026-10-06T00:00:00"/>
    <n v="1077437469"/>
    <s v="GRANADA RÍOS ELEANA"/>
    <n v="13"/>
    <n v="0"/>
    <n v="709369"/>
  </r>
  <r>
    <s v="Franquicias Sell Out QUEST"/>
    <s v="FQ013 - Quibdó - Chocó"/>
    <x v="7"/>
    <s v="octubre"/>
    <n v="7"/>
    <d v="2026-10-07T00:00:00"/>
    <m/>
    <m/>
    <n v="0"/>
    <n v="4179908"/>
    <n v="0"/>
  </r>
  <r>
    <s v="Franquicias Sell Out QUEST"/>
    <s v="FQ013 - Quibdó - Chocó"/>
    <x v="7"/>
    <s v="octubre"/>
    <n v="7"/>
    <d v="2026-10-07T00:00:00"/>
    <n v="1010101553"/>
    <s v="ORTIZ  JESSICA MARCELA"/>
    <n v="33"/>
    <n v="0"/>
    <n v="1767437"/>
  </r>
  <r>
    <s v="Franquicias Sell Out QUEST"/>
    <s v="FQ013 - Quibdó - Chocó"/>
    <x v="7"/>
    <s v="octubre"/>
    <n v="7"/>
    <d v="2026-10-07T00:00:00"/>
    <n v="1077435441"/>
    <s v="RODRÍGUEZ VAHOS YULIANA"/>
    <n v="38"/>
    <n v="0"/>
    <n v="1882733"/>
  </r>
  <r>
    <s v="Franquicias Sell Out QUEST"/>
    <s v="FQ013 - Quibdó - Chocó"/>
    <x v="7"/>
    <s v="octubre"/>
    <n v="7"/>
    <d v="2026-10-07T00:00:00"/>
    <n v="1077437469"/>
    <s v="GRANADA RÍOS ELEANA"/>
    <n v="22"/>
    <n v="0"/>
    <n v="1040967"/>
  </r>
  <r>
    <s v="Franquicias Sell Out QUEST"/>
    <s v="FQ059-Chinchina - Caldas"/>
    <x v="7"/>
    <s v="septiembre"/>
    <n v="23"/>
    <d v="2026-09-23T00:00:00"/>
    <m/>
    <m/>
    <n v="0"/>
    <n v="2283033"/>
    <n v="0"/>
  </r>
  <r>
    <s v="Franquicias Sell Out QUEST"/>
    <s v="FQ059-Chinchina - Caldas"/>
    <x v="7"/>
    <s v="septiembre"/>
    <n v="23"/>
    <d v="2026-09-23T00:00:00"/>
    <n v="1128395413"/>
    <s v="RODRIGUEZ  YURI ELENA"/>
    <n v="63"/>
    <n v="0"/>
    <n v="3738975"/>
  </r>
  <r>
    <s v="Franquicias Sell Out QUEST"/>
    <s v="FQ059-Chinchina - Caldas"/>
    <x v="7"/>
    <s v="septiembre"/>
    <n v="24"/>
    <d v="2026-09-24T00:00:00"/>
    <m/>
    <m/>
    <n v="0"/>
    <n v="5904362"/>
    <n v="0"/>
  </r>
  <r>
    <s v="Franquicias Sell Out QUEST"/>
    <s v="FQ059-Chinchina - Caldas"/>
    <x v="7"/>
    <s v="septiembre"/>
    <n v="24"/>
    <d v="2026-09-24T00:00:00"/>
    <n v="1128395413"/>
    <s v="RODRIGUEZ  YURI ELENA"/>
    <n v="100"/>
    <n v="0"/>
    <n v="5430680"/>
  </r>
  <r>
    <s v="Franquicias Sell Out QUEST"/>
    <s v="FQ059-Chinchina - Caldas"/>
    <x v="7"/>
    <s v="septiembre"/>
    <n v="25"/>
    <d v="2026-09-25T00:00:00"/>
    <m/>
    <m/>
    <n v="0"/>
    <n v="6306180"/>
    <n v="0"/>
  </r>
  <r>
    <s v="Franquicias Sell Out QUEST"/>
    <s v="FQ059-Chinchina - Caldas"/>
    <x v="7"/>
    <s v="septiembre"/>
    <n v="25"/>
    <d v="2026-09-25T00:00:00"/>
    <n v="1128395413"/>
    <s v="RODRIGUEZ  YURI ELENA"/>
    <n v="116"/>
    <n v="0"/>
    <n v="6095968"/>
  </r>
  <r>
    <s v="Franquicias Sell Out QUEST"/>
    <s v="FQ059-Chinchina - Caldas"/>
    <x v="7"/>
    <s v="septiembre"/>
    <n v="26"/>
    <d v="2026-09-26T00:00:00"/>
    <m/>
    <m/>
    <n v="0"/>
    <n v="7951937"/>
    <n v="0"/>
  </r>
  <r>
    <s v="Franquicias Sell Out QUEST"/>
    <s v="FQ059-Chinchina - Caldas"/>
    <x v="7"/>
    <s v="septiembre"/>
    <n v="26"/>
    <d v="2026-09-26T00:00:00"/>
    <n v="1014180332"/>
    <s v="SIERRA OCHOA DIANA MARITZA"/>
    <n v="114"/>
    <n v="0"/>
    <n v="6734540"/>
  </r>
  <r>
    <s v="Franquicias Sell Out QUEST"/>
    <s v="FQ059-Chinchina - Caldas"/>
    <x v="7"/>
    <s v="septiembre"/>
    <n v="26"/>
    <d v="2026-09-26T00:00:00"/>
    <n v="1128395413"/>
    <s v="RODRIGUEZ  YURI ELENA"/>
    <n v="62"/>
    <n v="0"/>
    <n v="3003576"/>
  </r>
  <r>
    <s v="Franquicias Sell Out QUEST"/>
    <s v="FQ059-Chinchina - Caldas"/>
    <x v="7"/>
    <s v="septiembre"/>
    <n v="27"/>
    <d v="2026-09-27T00:00:00"/>
    <m/>
    <m/>
    <n v="0"/>
    <n v="4198545"/>
    <n v="0"/>
  </r>
  <r>
    <s v="Franquicias Sell Out QUEST"/>
    <s v="FQ059-Chinchina - Caldas"/>
    <x v="7"/>
    <s v="septiembre"/>
    <n v="27"/>
    <d v="2026-09-27T00:00:00"/>
    <n v="1014180332"/>
    <s v="SIERRA OCHOA DIANA MARITZA"/>
    <n v="60"/>
    <n v="0"/>
    <n v="3568658"/>
  </r>
  <r>
    <s v="Franquicias Sell Out QUEST"/>
    <s v="FQ059-Chinchina - Caldas"/>
    <x v="7"/>
    <s v="septiembre"/>
    <n v="28"/>
    <d v="2026-09-28T00:00:00"/>
    <m/>
    <m/>
    <n v="0"/>
    <n v="3442353"/>
    <n v="0"/>
  </r>
  <r>
    <s v="Franquicias Sell Out QUEST"/>
    <s v="FQ059-Chinchina - Caldas"/>
    <x v="7"/>
    <s v="septiembre"/>
    <n v="28"/>
    <d v="2026-09-28T00:00:00"/>
    <n v="1014180332"/>
    <s v="SIERRA OCHOA DIANA MARITZA"/>
    <n v="70"/>
    <n v="0"/>
    <n v="3824372"/>
  </r>
  <r>
    <s v="Franquicias Sell Out QUEST"/>
    <s v="FQ059-Chinchina - Caldas"/>
    <x v="7"/>
    <s v="septiembre"/>
    <n v="28"/>
    <d v="2026-09-28T00:00:00"/>
    <n v="1128395413"/>
    <s v="RODRIGUEZ  YURI ELENA"/>
    <n v="36"/>
    <n v="0"/>
    <n v="2506808"/>
  </r>
  <r>
    <s v="Franquicias Sell Out QUEST"/>
    <s v="FQ059-Chinchina - Caldas"/>
    <x v="7"/>
    <s v="septiembre"/>
    <n v="29"/>
    <d v="2026-09-29T00:00:00"/>
    <m/>
    <m/>
    <n v="0"/>
    <n v="3826875"/>
    <n v="0"/>
  </r>
  <r>
    <s v="Franquicias Sell Out QUEST"/>
    <s v="FQ059-Chinchina - Caldas"/>
    <x v="7"/>
    <s v="septiembre"/>
    <n v="29"/>
    <d v="2026-09-29T00:00:00"/>
    <n v="1014180332"/>
    <s v="SIERRA OCHOA DIANA MARITZA"/>
    <n v="80"/>
    <n v="0"/>
    <n v="4011011"/>
  </r>
  <r>
    <s v="Franquicias Sell Out QUEST"/>
    <s v="FQ059-Chinchina - Caldas"/>
    <x v="7"/>
    <s v="septiembre"/>
    <n v="29"/>
    <d v="2026-09-29T00:00:00"/>
    <n v="1128395413"/>
    <s v="RODRIGUEZ  YURI ELENA"/>
    <n v="1"/>
    <n v="0"/>
    <n v="54580"/>
  </r>
  <r>
    <s v="Franquicias Sell Out QUEST"/>
    <s v="FQ059-Chinchina - Caldas"/>
    <x v="7"/>
    <s v="septiembre"/>
    <n v="30"/>
    <d v="2026-09-30T00:00:00"/>
    <m/>
    <m/>
    <n v="0"/>
    <n v="4052781"/>
    <n v="0"/>
  </r>
  <r>
    <s v="Franquicias Sell Out QUEST"/>
    <s v="FQ059-Chinchina - Caldas"/>
    <x v="7"/>
    <s v="septiembre"/>
    <n v="30"/>
    <d v="2026-09-30T00:00:00"/>
    <n v="1014180332"/>
    <s v="SIERRA OCHOA DIANA MARITZA"/>
    <n v="39"/>
    <n v="0"/>
    <n v="2170380"/>
  </r>
  <r>
    <s v="Franquicias Sell Out QUEST"/>
    <s v="FQ059-Chinchina - Caldas"/>
    <x v="7"/>
    <s v="septiembre"/>
    <n v="30"/>
    <d v="2026-09-30T00:00:00"/>
    <n v="1128395413"/>
    <s v="RODRIGUEZ  YURI ELENA"/>
    <n v="39"/>
    <n v="0"/>
    <n v="2094918"/>
  </r>
  <r>
    <s v="Franquicias Sell Out QUEST"/>
    <s v="FQ059-Chinchina - Caldas"/>
    <x v="7"/>
    <s v="octubre"/>
    <n v="1"/>
    <d v="2026-10-01T00:00:00"/>
    <m/>
    <m/>
    <n v="0"/>
    <n v="5503859"/>
    <n v="0"/>
  </r>
  <r>
    <s v="Franquicias Sell Out QUEST"/>
    <s v="FQ059-Chinchina - Caldas"/>
    <x v="7"/>
    <s v="octubre"/>
    <n v="1"/>
    <d v="2026-10-01T00:00:00"/>
    <n v="1014180332"/>
    <s v="SIERRA OCHOA DIANA MARITZA"/>
    <n v="30"/>
    <n v="0"/>
    <n v="1746597"/>
  </r>
  <r>
    <s v="Franquicias Sell Out QUEST"/>
    <s v="FQ059-Chinchina - Caldas"/>
    <x v="7"/>
    <s v="octubre"/>
    <n v="1"/>
    <d v="2026-10-01T00:00:00"/>
    <n v="1128395413"/>
    <s v="RODRIGUEZ  YURI ELENA"/>
    <n v="23"/>
    <n v="0"/>
    <n v="1250968"/>
  </r>
  <r>
    <s v="Franquicias Sell Out QUEST"/>
    <s v="FQ059-Chinchina - Caldas"/>
    <x v="7"/>
    <s v="octubre"/>
    <n v="2"/>
    <d v="2026-10-02T00:00:00"/>
    <m/>
    <m/>
    <n v="0"/>
    <n v="5281711"/>
    <n v="0"/>
  </r>
  <r>
    <s v="Franquicias Sell Out QUEST"/>
    <s v="FQ059-Chinchina - Caldas"/>
    <x v="7"/>
    <s v="octubre"/>
    <n v="2"/>
    <d v="2026-10-02T00:00:00"/>
    <n v="1014180332"/>
    <s v="SIERRA OCHOA DIANA MARITZA"/>
    <n v="24"/>
    <n v="0"/>
    <n v="1309748"/>
  </r>
  <r>
    <s v="Franquicias Sell Out QUEST"/>
    <s v="FQ059-Chinchina - Caldas"/>
    <x v="7"/>
    <s v="octubre"/>
    <n v="2"/>
    <d v="2026-10-02T00:00:00"/>
    <n v="1128395413"/>
    <s v="RODRIGUEZ  YURI ELENA"/>
    <n v="26"/>
    <n v="0"/>
    <n v="1065923"/>
  </r>
  <r>
    <s v="Franquicias Sell Out QUEST"/>
    <s v="FQ059-Chinchina - Caldas"/>
    <x v="7"/>
    <s v="octubre"/>
    <n v="3"/>
    <d v="2026-10-03T00:00:00"/>
    <m/>
    <m/>
    <n v="0"/>
    <n v="11304346"/>
    <n v="0"/>
  </r>
  <r>
    <s v="Franquicias Sell Out QUEST"/>
    <s v="FQ059-Chinchina - Caldas"/>
    <x v="7"/>
    <s v="octubre"/>
    <n v="3"/>
    <d v="2026-10-03T00:00:00"/>
    <n v="1014180332"/>
    <s v="SIERRA OCHOA DIANA MARITZA"/>
    <n v="90"/>
    <n v="0"/>
    <n v="4201273"/>
  </r>
  <r>
    <s v="Franquicias Sell Out QUEST"/>
    <s v="FQ059-Chinchina - Caldas"/>
    <x v="7"/>
    <s v="octubre"/>
    <n v="3"/>
    <d v="2026-10-03T00:00:00"/>
    <n v="1128395413"/>
    <s v="RODRIGUEZ  YURI ELENA"/>
    <n v="101"/>
    <n v="0"/>
    <n v="4872910"/>
  </r>
  <r>
    <s v="Franquicias Sell Out QUEST"/>
    <s v="FQ059-Chinchina - Caldas"/>
    <x v="7"/>
    <s v="octubre"/>
    <n v="4"/>
    <d v="2026-10-04T00:00:00"/>
    <m/>
    <m/>
    <n v="0"/>
    <n v="7621386"/>
    <n v="0"/>
  </r>
  <r>
    <s v="Franquicias Sell Out QUEST"/>
    <s v="FQ059-Chinchina - Caldas"/>
    <x v="7"/>
    <s v="octubre"/>
    <n v="4"/>
    <d v="2026-10-04T00:00:00"/>
    <n v="1014180332"/>
    <s v="SIERRA OCHOA DIANA MARITZA"/>
    <n v="69"/>
    <n v="0"/>
    <n v="3379372"/>
  </r>
  <r>
    <s v="Franquicias Sell Out QUEST"/>
    <s v="FQ059-Chinchina - Caldas"/>
    <x v="7"/>
    <s v="octubre"/>
    <n v="4"/>
    <d v="2026-10-04T00:00:00"/>
    <n v="1128395413"/>
    <s v="RODRIGUEZ  YURI ELENA"/>
    <n v="44"/>
    <n v="0"/>
    <n v="2054749"/>
  </r>
  <r>
    <s v="Franquicias Sell Out QUEST"/>
    <s v="FQ059-Chinchina - Caldas"/>
    <x v="7"/>
    <s v="octubre"/>
    <n v="5"/>
    <d v="2026-10-05T00:00:00"/>
    <m/>
    <m/>
    <n v="0"/>
    <n v="7696569"/>
    <n v="0"/>
  </r>
  <r>
    <s v="Franquicias Sell Out QUEST"/>
    <s v="FQ059-Chinchina - Caldas"/>
    <x v="7"/>
    <s v="octubre"/>
    <n v="5"/>
    <d v="2026-10-05T00:00:00"/>
    <n v="1014180332"/>
    <s v="SIERRA OCHOA DIANA MARITZA"/>
    <n v="49"/>
    <n v="0"/>
    <n v="2632271"/>
  </r>
  <r>
    <s v="Franquicias Sell Out QUEST"/>
    <s v="FQ059-Chinchina - Caldas"/>
    <x v="7"/>
    <s v="octubre"/>
    <n v="5"/>
    <d v="2026-10-05T00:00:00"/>
    <n v="1128395413"/>
    <s v="RODRIGUEZ  YURI ELENA"/>
    <n v="53"/>
    <n v="0"/>
    <n v="2724328"/>
  </r>
  <r>
    <s v="Franquicias Sell Out QUEST"/>
    <s v="FQ059-Chinchina - Caldas"/>
    <x v="7"/>
    <s v="octubre"/>
    <n v="6"/>
    <d v="2026-10-06T00:00:00"/>
    <m/>
    <m/>
    <n v="0"/>
    <n v="5940318"/>
    <n v="0"/>
  </r>
  <r>
    <s v="Franquicias Sell Out QUEST"/>
    <s v="FQ059-Chinchina - Caldas"/>
    <x v="7"/>
    <s v="octubre"/>
    <n v="6"/>
    <d v="2026-10-06T00:00:00"/>
    <n v="1014180332"/>
    <s v="SIERRA OCHOA DIANA MARITZA"/>
    <n v="45"/>
    <n v="0"/>
    <n v="1997818"/>
  </r>
  <r>
    <s v="Franquicias Sell Out QUEST"/>
    <s v="FQ059-Chinchina - Caldas"/>
    <x v="7"/>
    <s v="octubre"/>
    <n v="6"/>
    <d v="2026-10-06T00:00:00"/>
    <n v="1128395413"/>
    <s v="RODRIGUEZ  YURI ELENA"/>
    <n v="29"/>
    <n v="0"/>
    <n v="1471346"/>
  </r>
  <r>
    <s v="Franquicias Sell Out QUEST"/>
    <s v="FQ059-Chinchina - Caldas"/>
    <x v="7"/>
    <s v="octubre"/>
    <n v="7"/>
    <d v="2026-10-07T00:00:00"/>
    <m/>
    <m/>
    <n v="0"/>
    <n v="1422153"/>
    <n v="0"/>
  </r>
  <r>
    <s v="Franquicias Sell Out QUEST"/>
    <s v="FQ059-Chinchina - Caldas"/>
    <x v="7"/>
    <s v="octubre"/>
    <n v="7"/>
    <d v="2026-10-07T00:00:00"/>
    <n v="1014180332"/>
    <s v="SIERRA OCHOA DIANA MARITZA"/>
    <n v="16"/>
    <n v="0"/>
    <n v="984583"/>
  </r>
  <r>
    <s v="Franquicias Sell Out QUEST"/>
    <s v="FQ059-Chinchina - Caldas"/>
    <x v="7"/>
    <s v="octubre"/>
    <n v="7"/>
    <d v="2026-10-07T00:00:00"/>
    <n v="1128395413"/>
    <s v="RODRIGUEZ  YURI ELENA"/>
    <n v="20"/>
    <n v="0"/>
    <n v="1078992"/>
  </r>
  <r>
    <s v="Franquicias Sell Out QUEST"/>
    <s v="FQ060 Santa Rosa-Risaralda"/>
    <x v="7"/>
    <s v="septiembre"/>
    <n v="23"/>
    <d v="2026-09-23T00:00:00"/>
    <m/>
    <m/>
    <n v="0"/>
    <n v="4446621"/>
    <n v="0"/>
  </r>
  <r>
    <s v="Franquicias Sell Out QUEST"/>
    <s v="FQ060 Santa Rosa-Risaralda"/>
    <x v="7"/>
    <s v="septiembre"/>
    <n v="23"/>
    <d v="2026-09-23T00:00:00"/>
    <n v="1006022341"/>
    <s v="GARCIA BEDOYA LUISA FERNANDA"/>
    <n v="74"/>
    <n v="0"/>
    <n v="4020005"/>
  </r>
  <r>
    <s v="Franquicias Sell Out QUEST"/>
    <s v="FQ060 Santa Rosa-Risaralda"/>
    <x v="7"/>
    <s v="septiembre"/>
    <n v="23"/>
    <d v="2026-09-23T00:00:00"/>
    <n v="1054683161"/>
    <s v="GRANADA LOPEZ  CRISTIAN CAMILO"/>
    <n v="20"/>
    <n v="0"/>
    <n v="822691"/>
  </r>
  <r>
    <s v="Franquicias Sell Out QUEST"/>
    <s v="FQ060 Santa Rosa-Risaralda"/>
    <x v="7"/>
    <s v="septiembre"/>
    <n v="23"/>
    <d v="2026-09-23T00:00:00"/>
    <n v="1093226259"/>
    <s v="QUINTERO  JENNIFER JHOANA"/>
    <n v="57"/>
    <n v="0"/>
    <n v="3451346"/>
  </r>
  <r>
    <s v="Franquicias Sell Out QUEST"/>
    <s v="FQ060 Santa Rosa-Risaralda"/>
    <x v="7"/>
    <s v="septiembre"/>
    <n v="24"/>
    <d v="2026-09-24T00:00:00"/>
    <m/>
    <m/>
    <n v="0"/>
    <n v="11499811"/>
    <n v="0"/>
  </r>
  <r>
    <s v="Franquicias Sell Out QUEST"/>
    <s v="FQ060 Santa Rosa-Risaralda"/>
    <x v="7"/>
    <s v="septiembre"/>
    <n v="24"/>
    <d v="2026-09-24T00:00:00"/>
    <n v="1006022341"/>
    <s v="GARCIA BEDOYA LUISA FERNANDA"/>
    <n v="78"/>
    <n v="0"/>
    <n v="4555635"/>
  </r>
  <r>
    <s v="Franquicias Sell Out QUEST"/>
    <s v="FQ060 Santa Rosa-Risaralda"/>
    <x v="7"/>
    <s v="septiembre"/>
    <n v="24"/>
    <d v="2026-09-24T00:00:00"/>
    <n v="1054683161"/>
    <s v="GRANADA LOPEZ  CRISTIAN CAMILO"/>
    <n v="21"/>
    <n v="0"/>
    <n v="1162942"/>
  </r>
  <r>
    <s v="Franquicias Sell Out QUEST"/>
    <s v="FQ060 Santa Rosa-Risaralda"/>
    <x v="7"/>
    <s v="septiembre"/>
    <n v="24"/>
    <d v="2026-09-24T00:00:00"/>
    <n v="1093226259"/>
    <s v="QUINTERO  JENNIFER JHOANA"/>
    <n v="56"/>
    <n v="0"/>
    <n v="3503952"/>
  </r>
  <r>
    <s v="Franquicias Sell Out QUEST"/>
    <s v="FQ060 Santa Rosa-Risaralda"/>
    <x v="7"/>
    <s v="septiembre"/>
    <n v="25"/>
    <d v="2026-09-25T00:00:00"/>
    <m/>
    <m/>
    <n v="0"/>
    <n v="12282425"/>
    <n v="0"/>
  </r>
  <r>
    <s v="Franquicias Sell Out QUEST"/>
    <s v="FQ060 Santa Rosa-Risaralda"/>
    <x v="7"/>
    <s v="septiembre"/>
    <n v="25"/>
    <d v="2026-09-25T00:00:00"/>
    <n v="1006022341"/>
    <s v="GARCIA BEDOYA LUISA FERNANDA"/>
    <n v="76"/>
    <n v="0"/>
    <n v="4528239"/>
  </r>
  <r>
    <s v="Franquicias Sell Out QUEST"/>
    <s v="FQ060 Santa Rosa-Risaralda"/>
    <x v="7"/>
    <s v="septiembre"/>
    <n v="25"/>
    <d v="2026-09-25T00:00:00"/>
    <n v="1054683161"/>
    <s v="GRANADA LOPEZ  CRISTIAN CAMILO"/>
    <n v="21"/>
    <n v="0"/>
    <n v="1087313"/>
  </r>
  <r>
    <s v="Franquicias Sell Out QUEST"/>
    <s v="FQ060 Santa Rosa-Risaralda"/>
    <x v="7"/>
    <s v="septiembre"/>
    <n v="25"/>
    <d v="2026-09-25T00:00:00"/>
    <n v="1093226259"/>
    <s v="QUINTERO  JENNIFER JHOANA"/>
    <n v="58"/>
    <n v="0"/>
    <n v="3629832"/>
  </r>
  <r>
    <s v="Franquicias Sell Out QUEST"/>
    <s v="FQ060 Santa Rosa-Risaralda"/>
    <x v="7"/>
    <s v="septiembre"/>
    <n v="26"/>
    <d v="2026-09-26T00:00:00"/>
    <m/>
    <m/>
    <n v="0"/>
    <n v="15487828"/>
    <n v="0"/>
  </r>
  <r>
    <s v="Franquicias Sell Out QUEST"/>
    <s v="FQ060 Santa Rosa-Risaralda"/>
    <x v="7"/>
    <s v="septiembre"/>
    <n v="26"/>
    <d v="2026-09-26T00:00:00"/>
    <n v="1006022341"/>
    <s v="GARCIA BEDOYA LUISA FERNANDA"/>
    <n v="123"/>
    <n v="0"/>
    <n v="7565932"/>
  </r>
  <r>
    <s v="Franquicias Sell Out QUEST"/>
    <s v="FQ060 Santa Rosa-Risaralda"/>
    <x v="7"/>
    <s v="septiembre"/>
    <n v="26"/>
    <d v="2026-09-26T00:00:00"/>
    <n v="1054683161"/>
    <s v="GRANADA LOPEZ  CRISTIAN CAMILO"/>
    <n v="31"/>
    <n v="0"/>
    <n v="1515508"/>
  </r>
  <r>
    <s v="Franquicias Sell Out QUEST"/>
    <s v="FQ060 Santa Rosa-Risaralda"/>
    <x v="7"/>
    <s v="septiembre"/>
    <n v="26"/>
    <d v="2026-09-26T00:00:00"/>
    <n v="1093226259"/>
    <s v="QUINTERO  JENNIFER JHOANA"/>
    <n v="92"/>
    <n v="0"/>
    <n v="5428494"/>
  </r>
  <r>
    <s v="Franquicias Sell Out QUEST"/>
    <s v="FQ060 Santa Rosa-Risaralda"/>
    <x v="7"/>
    <s v="septiembre"/>
    <n v="27"/>
    <d v="2026-09-27T00:00:00"/>
    <m/>
    <m/>
    <n v="0"/>
    <n v="8177427"/>
    <n v="0"/>
  </r>
  <r>
    <s v="Franquicias Sell Out QUEST"/>
    <s v="FQ060 Santa Rosa-Risaralda"/>
    <x v="7"/>
    <s v="septiembre"/>
    <n v="27"/>
    <d v="2026-09-27T00:00:00"/>
    <n v="1006022341"/>
    <s v="GARCIA BEDOYA LUISA FERNANDA"/>
    <n v="4"/>
    <n v="0"/>
    <n v="285546"/>
  </r>
  <r>
    <s v="Franquicias Sell Out QUEST"/>
    <s v="FQ060 Santa Rosa-Risaralda"/>
    <x v="7"/>
    <s v="septiembre"/>
    <n v="27"/>
    <d v="2026-09-27T00:00:00"/>
    <n v="1054683161"/>
    <s v="GRANADA LOPEZ  CRISTIAN CAMILO"/>
    <n v="78"/>
    <n v="0"/>
    <n v="4252651"/>
  </r>
  <r>
    <s v="Franquicias Sell Out QUEST"/>
    <s v="FQ060 Santa Rosa-Risaralda"/>
    <x v="7"/>
    <s v="septiembre"/>
    <n v="27"/>
    <d v="2026-09-27T00:00:00"/>
    <n v="1093226259"/>
    <s v="QUINTERO  JENNIFER JHOANA"/>
    <n v="89"/>
    <n v="0"/>
    <n v="5369835"/>
  </r>
  <r>
    <s v="Franquicias Sell Out QUEST"/>
    <s v="FQ060 Santa Rosa-Risaralda"/>
    <x v="7"/>
    <s v="septiembre"/>
    <n v="28"/>
    <d v="2026-09-28T00:00:00"/>
    <m/>
    <m/>
    <n v="0"/>
    <n v="6704599"/>
    <n v="0"/>
  </r>
  <r>
    <s v="Franquicias Sell Out QUEST"/>
    <s v="FQ060 Santa Rosa-Risaralda"/>
    <x v="7"/>
    <s v="septiembre"/>
    <n v="28"/>
    <d v="2026-09-28T00:00:00"/>
    <n v="1006022341"/>
    <s v="GARCIA BEDOYA LUISA FERNANDA"/>
    <n v="88"/>
    <n v="0"/>
    <n v="4487486"/>
  </r>
  <r>
    <s v="Franquicias Sell Out QUEST"/>
    <s v="FQ060 Santa Rosa-Risaralda"/>
    <x v="7"/>
    <s v="septiembre"/>
    <n v="28"/>
    <d v="2026-09-28T00:00:00"/>
    <n v="1054683161"/>
    <s v="GRANADA LOPEZ  CRISTIAN CAMILO"/>
    <n v="1"/>
    <n v="0"/>
    <n v="96597"/>
  </r>
  <r>
    <s v="Franquicias Sell Out QUEST"/>
    <s v="FQ060 Santa Rosa-Risaralda"/>
    <x v="7"/>
    <s v="septiembre"/>
    <n v="29"/>
    <d v="2026-09-29T00:00:00"/>
    <m/>
    <m/>
    <n v="0"/>
    <n v="7453531"/>
    <n v="0"/>
  </r>
  <r>
    <s v="Franquicias Sell Out QUEST"/>
    <s v="FQ060 Santa Rosa-Risaralda"/>
    <x v="7"/>
    <s v="septiembre"/>
    <n v="29"/>
    <d v="2026-09-29T00:00:00"/>
    <n v="1006022341"/>
    <s v="GARCIA BEDOYA LUISA FERNANDA"/>
    <n v="53"/>
    <n v="0"/>
    <n v="2997522"/>
  </r>
  <r>
    <s v="Franquicias Sell Out QUEST"/>
    <s v="FQ060 Santa Rosa-Risaralda"/>
    <x v="7"/>
    <s v="septiembre"/>
    <n v="29"/>
    <d v="2026-09-29T00:00:00"/>
    <n v="1054683161"/>
    <s v="GRANADA LOPEZ  CRISTIAN CAMILO"/>
    <n v="10"/>
    <n v="0"/>
    <n v="440632"/>
  </r>
  <r>
    <s v="Franquicias Sell Out QUEST"/>
    <s v="FQ060 Santa Rosa-Risaralda"/>
    <x v="7"/>
    <s v="septiembre"/>
    <n v="29"/>
    <d v="2026-09-29T00:00:00"/>
    <n v="1093226259"/>
    <s v="QUINTERO  JENNIFER JHOANA"/>
    <n v="37"/>
    <n v="0"/>
    <n v="1888784"/>
  </r>
  <r>
    <s v="Franquicias Sell Out QUEST"/>
    <s v="FQ060 Santa Rosa-Risaralda"/>
    <x v="7"/>
    <s v="septiembre"/>
    <n v="30"/>
    <d v="2026-09-30T00:00:00"/>
    <m/>
    <m/>
    <n v="0"/>
    <n v="7893529"/>
    <n v="0"/>
  </r>
  <r>
    <s v="Franquicias Sell Out QUEST"/>
    <s v="FQ060 Santa Rosa-Risaralda"/>
    <x v="7"/>
    <s v="septiembre"/>
    <n v="30"/>
    <d v="2026-09-30T00:00:00"/>
    <n v="1006022341"/>
    <s v="GARCIA BEDOYA LUISA FERNANDA"/>
    <n v="45"/>
    <n v="0"/>
    <n v="2529333"/>
  </r>
  <r>
    <s v="Franquicias Sell Out QUEST"/>
    <s v="FQ060 Santa Rosa-Risaralda"/>
    <x v="7"/>
    <s v="septiembre"/>
    <n v="30"/>
    <d v="2026-09-30T00:00:00"/>
    <n v="1054683161"/>
    <s v="GRANADA LOPEZ  CRISTIAN CAMILO"/>
    <n v="17"/>
    <n v="0"/>
    <n v="784960"/>
  </r>
  <r>
    <s v="Franquicias Sell Out QUEST"/>
    <s v="FQ060 Santa Rosa-Risaralda"/>
    <x v="7"/>
    <s v="septiembre"/>
    <n v="30"/>
    <d v="2026-09-30T00:00:00"/>
    <n v="1093226259"/>
    <s v="QUINTERO  JENNIFER JHOANA"/>
    <n v="34"/>
    <n v="0"/>
    <n v="1973112"/>
  </r>
  <r>
    <s v="Franquicias Sell Out QUEST"/>
    <s v="FQ060 Santa Rosa-Risaralda"/>
    <x v="7"/>
    <s v="octubre"/>
    <n v="1"/>
    <d v="2026-10-01T00:00:00"/>
    <m/>
    <m/>
    <n v="0"/>
    <n v="7597612"/>
    <n v="0"/>
  </r>
  <r>
    <s v="Franquicias Sell Out QUEST"/>
    <s v="FQ060 Santa Rosa-Risaralda"/>
    <x v="7"/>
    <s v="octubre"/>
    <n v="1"/>
    <d v="2026-10-01T00:00:00"/>
    <n v="1006022341"/>
    <s v="GARCIA BEDOYA LUISA FERNANDA"/>
    <n v="67"/>
    <n v="0"/>
    <n v="3794288"/>
  </r>
  <r>
    <s v="Franquicias Sell Out QUEST"/>
    <s v="FQ060 Santa Rosa-Risaralda"/>
    <x v="7"/>
    <s v="octubre"/>
    <n v="1"/>
    <d v="2026-10-01T00:00:00"/>
    <n v="1054683161"/>
    <s v="GRANADA LOPEZ  CRISTIAN CAMILO"/>
    <n v="18"/>
    <n v="0"/>
    <n v="948700"/>
  </r>
  <r>
    <s v="Franquicias Sell Out QUEST"/>
    <s v="FQ060 Santa Rosa-Risaralda"/>
    <x v="7"/>
    <s v="octubre"/>
    <n v="1"/>
    <d v="2026-10-01T00:00:00"/>
    <n v="1093226259"/>
    <s v="QUINTERO  JENNIFER JHOANA"/>
    <n v="51"/>
    <n v="0"/>
    <n v="2737107"/>
  </r>
  <r>
    <s v="Franquicias Sell Out QUEST"/>
    <s v="FQ060 Santa Rosa-Risaralda"/>
    <x v="7"/>
    <s v="octubre"/>
    <n v="2"/>
    <d v="2026-10-02T00:00:00"/>
    <m/>
    <m/>
    <n v="0"/>
    <n v="9738853"/>
    <n v="0"/>
  </r>
  <r>
    <s v="Franquicias Sell Out QUEST"/>
    <s v="FQ060 Santa Rosa-Risaralda"/>
    <x v="7"/>
    <s v="octubre"/>
    <n v="2"/>
    <d v="2026-10-02T00:00:00"/>
    <n v="1006022341"/>
    <s v="GARCIA BEDOYA LUISA FERNANDA"/>
    <n v="43"/>
    <n v="0"/>
    <n v="2518952"/>
  </r>
  <r>
    <s v="Franquicias Sell Out QUEST"/>
    <s v="FQ060 Santa Rosa-Risaralda"/>
    <x v="7"/>
    <s v="octubre"/>
    <n v="2"/>
    <d v="2026-10-02T00:00:00"/>
    <n v="1054683161"/>
    <s v="GRANADA LOPEZ  CRISTIAN CAMILO"/>
    <n v="21"/>
    <n v="0"/>
    <n v="912733"/>
  </r>
  <r>
    <s v="Franquicias Sell Out QUEST"/>
    <s v="FQ060 Santa Rosa-Risaralda"/>
    <x v="7"/>
    <s v="octubre"/>
    <n v="2"/>
    <d v="2026-10-02T00:00:00"/>
    <n v="1093226259"/>
    <s v="QUINTERO  JENNIFER JHOANA"/>
    <n v="41"/>
    <n v="0"/>
    <n v="2180716"/>
  </r>
  <r>
    <s v="Franquicias Sell Out QUEST"/>
    <s v="FQ060 Santa Rosa-Risaralda"/>
    <x v="7"/>
    <s v="octubre"/>
    <n v="3"/>
    <d v="2026-10-03T00:00:00"/>
    <m/>
    <m/>
    <n v="0"/>
    <n v="9339083"/>
    <n v="0"/>
  </r>
  <r>
    <s v="Franquicias Sell Out QUEST"/>
    <s v="FQ060 Santa Rosa-Risaralda"/>
    <x v="7"/>
    <s v="octubre"/>
    <n v="3"/>
    <d v="2026-10-03T00:00:00"/>
    <n v="1006022341"/>
    <s v="GARCIA BEDOYA LUISA FERNANDA"/>
    <n v="87"/>
    <n v="0"/>
    <n v="4720806"/>
  </r>
  <r>
    <s v="Franquicias Sell Out QUEST"/>
    <s v="FQ060 Santa Rosa-Risaralda"/>
    <x v="7"/>
    <s v="octubre"/>
    <n v="3"/>
    <d v="2026-10-03T00:00:00"/>
    <n v="1054683161"/>
    <s v="GRANADA LOPEZ  CRISTIAN CAMILO"/>
    <n v="33"/>
    <n v="0"/>
    <n v="1345346"/>
  </r>
  <r>
    <s v="Franquicias Sell Out QUEST"/>
    <s v="FQ060 Santa Rosa-Risaralda"/>
    <x v="7"/>
    <s v="octubre"/>
    <n v="3"/>
    <d v="2026-10-03T00:00:00"/>
    <n v="1093226259"/>
    <s v="QUINTERO  JENNIFER JHOANA"/>
    <n v="66"/>
    <n v="0"/>
    <n v="3825539"/>
  </r>
  <r>
    <s v="Franquicias Sell Out QUEST"/>
    <s v="FQ060 Santa Rosa-Risaralda"/>
    <x v="7"/>
    <s v="octubre"/>
    <n v="4"/>
    <d v="2026-10-04T00:00:00"/>
    <m/>
    <m/>
    <n v="0"/>
    <n v="9529146"/>
    <n v="0"/>
  </r>
  <r>
    <s v="Franquicias Sell Out QUEST"/>
    <s v="FQ060 Santa Rosa-Risaralda"/>
    <x v="7"/>
    <s v="octubre"/>
    <n v="4"/>
    <d v="2026-10-04T00:00:00"/>
    <n v="1006022341"/>
    <s v="GARCIA BEDOYA LUISA FERNANDA"/>
    <n v="125"/>
    <n v="0"/>
    <n v="6876559"/>
  </r>
  <r>
    <s v="Franquicias Sell Out QUEST"/>
    <s v="FQ060 Santa Rosa-Risaralda"/>
    <x v="7"/>
    <s v="octubre"/>
    <n v="4"/>
    <d v="2026-10-04T00:00:00"/>
    <n v="1054683161"/>
    <s v="GRANADA LOPEZ  CRISTIAN CAMILO"/>
    <n v="54"/>
    <n v="0"/>
    <n v="2831345"/>
  </r>
  <r>
    <s v="Franquicias Sell Out QUEST"/>
    <s v="FQ060 Santa Rosa-Risaralda"/>
    <x v="7"/>
    <s v="octubre"/>
    <n v="5"/>
    <d v="2026-10-05T00:00:00"/>
    <m/>
    <m/>
    <n v="0"/>
    <n v="8200569"/>
    <n v="0"/>
  </r>
  <r>
    <s v="Franquicias Sell Out QUEST"/>
    <s v="FQ060 Santa Rosa-Risaralda"/>
    <x v="7"/>
    <s v="octubre"/>
    <n v="5"/>
    <d v="2026-10-05T00:00:00"/>
    <n v="1006022341"/>
    <s v="GARCIA BEDOYA LUISA FERNANDA"/>
    <n v="38"/>
    <n v="0"/>
    <n v="2136684"/>
  </r>
  <r>
    <s v="Franquicias Sell Out QUEST"/>
    <s v="FQ060 Santa Rosa-Risaralda"/>
    <x v="7"/>
    <s v="octubre"/>
    <n v="5"/>
    <d v="2026-10-05T00:00:00"/>
    <n v="1054683161"/>
    <s v="GRANADA LOPEZ  CRISTIAN CAMILO"/>
    <n v="9"/>
    <n v="0"/>
    <n v="688614"/>
  </r>
  <r>
    <s v="Franquicias Sell Out QUEST"/>
    <s v="FQ060 Santa Rosa-Risaralda"/>
    <x v="7"/>
    <s v="octubre"/>
    <n v="5"/>
    <d v="2026-10-05T00:00:00"/>
    <n v="1093226259"/>
    <s v="QUINTERO  JENNIFER JHOANA"/>
    <n v="33"/>
    <n v="0"/>
    <n v="1903868"/>
  </r>
  <r>
    <s v="Franquicias Sell Out QUEST"/>
    <s v="FQ060 Santa Rosa-Risaralda"/>
    <x v="7"/>
    <s v="octubre"/>
    <n v="6"/>
    <d v="2026-10-06T00:00:00"/>
    <m/>
    <m/>
    <n v="0"/>
    <n v="5668422"/>
    <n v="0"/>
  </r>
  <r>
    <s v="Franquicias Sell Out QUEST"/>
    <s v="FQ060 Santa Rosa-Risaralda"/>
    <x v="7"/>
    <s v="octubre"/>
    <n v="6"/>
    <d v="2026-10-06T00:00:00"/>
    <n v="1006022341"/>
    <s v="GARCIA BEDOYA LUISA FERNANDA"/>
    <n v="0"/>
    <n v="0"/>
    <n v="-12605"/>
  </r>
  <r>
    <s v="Franquicias Sell Out QUEST"/>
    <s v="FQ060 Santa Rosa-Risaralda"/>
    <x v="7"/>
    <s v="octubre"/>
    <n v="6"/>
    <d v="2026-10-06T00:00:00"/>
    <n v="1054683161"/>
    <s v="GRANADA LOPEZ  CRISTIAN CAMILO"/>
    <n v="13"/>
    <n v="0"/>
    <n v="570800"/>
  </r>
  <r>
    <s v="Franquicias Sell Out QUEST"/>
    <s v="FQ060 Santa Rosa-Risaralda"/>
    <x v="7"/>
    <s v="octubre"/>
    <n v="6"/>
    <d v="2026-10-06T00:00:00"/>
    <n v="1093226259"/>
    <s v="QUINTERO  JENNIFER JHOANA"/>
    <n v="46"/>
    <n v="0"/>
    <n v="2802442"/>
  </r>
  <r>
    <s v="Franquicias Sell Out QUEST"/>
    <s v="FQ060 Santa Rosa-Risaralda"/>
    <x v="7"/>
    <s v="octubre"/>
    <n v="7"/>
    <d v="2026-10-07T00:00:00"/>
    <m/>
    <m/>
    <n v="0"/>
    <n v="3326049"/>
    <n v="0"/>
  </r>
  <r>
    <s v="Franquicias Sell Out QUEST"/>
    <s v="FQ060 Santa Rosa-Risaralda"/>
    <x v="7"/>
    <s v="octubre"/>
    <n v="7"/>
    <d v="2026-10-07T00:00:00"/>
    <n v="1006022341"/>
    <s v="GARCIA BEDOYA LUISA FERNANDA"/>
    <n v="18"/>
    <n v="0"/>
    <n v="927524"/>
  </r>
  <r>
    <s v="Franquicias Sell Out QUEST"/>
    <s v="FQ060 Santa Rosa-Risaralda"/>
    <x v="7"/>
    <s v="octubre"/>
    <n v="7"/>
    <d v="2026-10-07T00:00:00"/>
    <n v="1054683161"/>
    <s v="GRANADA LOPEZ  CRISTIAN CAMILO"/>
    <n v="2"/>
    <n v="0"/>
    <n v="100715"/>
  </r>
  <r>
    <s v="Franquicias Sell Out QUEST"/>
    <s v="FQ060 Santa Rosa-Risaralda"/>
    <x v="7"/>
    <s v="octubre"/>
    <n v="7"/>
    <d v="2026-10-07T00:00:00"/>
    <n v="1093226259"/>
    <s v="QUINTERO  JENNIFER JHOANA"/>
    <n v="12"/>
    <n v="0"/>
    <n v="755672"/>
  </r>
  <r>
    <s v="Franquicias Sell Out QUEST"/>
    <s v="FQ066-Calarca-Quindio"/>
    <x v="7"/>
    <s v="septiembre"/>
    <n v="23"/>
    <d v="2026-09-23T00:00:00"/>
    <m/>
    <m/>
    <n v="0"/>
    <n v="2097101"/>
    <n v="0"/>
  </r>
  <r>
    <s v="Franquicias Sell Out QUEST"/>
    <s v="FQ066-Calarca-Quindio"/>
    <x v="7"/>
    <s v="septiembre"/>
    <n v="23"/>
    <d v="2026-09-23T00:00:00"/>
    <n v="1097402102"/>
    <s v="CULMA  YESSICA"/>
    <n v="41"/>
    <n v="0"/>
    <n v="2227272"/>
  </r>
  <r>
    <s v="Franquicias Sell Out QUEST"/>
    <s v="FQ066-Calarca-Quindio"/>
    <x v="7"/>
    <s v="septiembre"/>
    <n v="23"/>
    <d v="2026-09-23T00:00:00"/>
    <n v="1097402451"/>
    <s v="GUTIÉRREZ USECHE VANESSA"/>
    <n v="56"/>
    <n v="0"/>
    <n v="2949329"/>
  </r>
  <r>
    <s v="Franquicias Sell Out QUEST"/>
    <s v="FQ066-Calarca-Quindio"/>
    <x v="7"/>
    <s v="septiembre"/>
    <n v="24"/>
    <d v="2026-09-24T00:00:00"/>
    <m/>
    <m/>
    <n v="0"/>
    <n v="5423503"/>
    <n v="0"/>
  </r>
  <r>
    <s v="Franquicias Sell Out QUEST"/>
    <s v="FQ066-Calarca-Quindio"/>
    <x v="7"/>
    <s v="septiembre"/>
    <n v="24"/>
    <d v="2026-09-24T00:00:00"/>
    <n v="1097402102"/>
    <s v="CULMA  YESSICA"/>
    <n v="21"/>
    <n v="0"/>
    <n v="1053782"/>
  </r>
  <r>
    <s v="Franquicias Sell Out QUEST"/>
    <s v="FQ066-Calarca-Quindio"/>
    <x v="7"/>
    <s v="septiembre"/>
    <n v="24"/>
    <d v="2026-09-24T00:00:00"/>
    <n v="1097402451"/>
    <s v="GUTIÉRREZ USECHE VANESSA"/>
    <n v="22"/>
    <n v="0"/>
    <n v="1425504"/>
  </r>
  <r>
    <s v="Franquicias Sell Out QUEST"/>
    <s v="FQ066-Calarca-Quindio"/>
    <x v="7"/>
    <s v="septiembre"/>
    <n v="24"/>
    <d v="2026-09-24T00:00:00"/>
    <n v="1116440683"/>
    <s v="MURILLO  ALEXANDRA"/>
    <n v="27"/>
    <n v="0"/>
    <n v="1677437"/>
  </r>
  <r>
    <s v="Franquicias Sell Out QUEST"/>
    <s v="FQ066-Calarca-Quindio"/>
    <x v="7"/>
    <s v="septiembre"/>
    <n v="25"/>
    <d v="2026-09-25T00:00:00"/>
    <m/>
    <m/>
    <n v="0"/>
    <n v="5792599"/>
    <n v="0"/>
  </r>
  <r>
    <s v="Franquicias Sell Out QUEST"/>
    <s v="FQ066-Calarca-Quindio"/>
    <x v="7"/>
    <s v="septiembre"/>
    <n v="25"/>
    <d v="2026-09-25T00:00:00"/>
    <n v="1097402102"/>
    <s v="CULMA  YESSICA"/>
    <n v="27"/>
    <n v="0"/>
    <n v="1408531"/>
  </r>
  <r>
    <s v="Franquicias Sell Out QUEST"/>
    <s v="FQ066-Calarca-Quindio"/>
    <x v="7"/>
    <s v="septiembre"/>
    <n v="25"/>
    <d v="2026-09-25T00:00:00"/>
    <n v="1097402451"/>
    <s v="GUTIÉRREZ USECHE VANESSA"/>
    <n v="18"/>
    <n v="0"/>
    <n v="801766"/>
  </r>
  <r>
    <s v="Franquicias Sell Out QUEST"/>
    <s v="FQ066-Calarca-Quindio"/>
    <x v="7"/>
    <s v="septiembre"/>
    <n v="25"/>
    <d v="2026-09-25T00:00:00"/>
    <n v="1116440683"/>
    <s v="MURILLO  ALEXANDRA"/>
    <n v="21"/>
    <n v="0"/>
    <n v="1087356"/>
  </r>
  <r>
    <s v="Franquicias Sell Out QUEST"/>
    <s v="FQ066-Calarca-Quindio"/>
    <x v="7"/>
    <s v="septiembre"/>
    <n v="26"/>
    <d v="2026-09-26T00:00:00"/>
    <m/>
    <m/>
    <n v="0"/>
    <n v="7304319"/>
    <n v="0"/>
  </r>
  <r>
    <s v="Franquicias Sell Out QUEST"/>
    <s v="FQ066-Calarca-Quindio"/>
    <x v="7"/>
    <s v="septiembre"/>
    <n v="26"/>
    <d v="2026-09-26T00:00:00"/>
    <n v="1097402102"/>
    <s v="CULMA  YESSICA"/>
    <n v="45"/>
    <n v="0"/>
    <n v="2346434"/>
  </r>
  <r>
    <s v="Franquicias Sell Out QUEST"/>
    <s v="FQ066-Calarca-Quindio"/>
    <x v="7"/>
    <s v="septiembre"/>
    <n v="26"/>
    <d v="2026-09-26T00:00:00"/>
    <n v="1097402451"/>
    <s v="GUTIÉRREZ USECHE VANESSA"/>
    <n v="42"/>
    <n v="0"/>
    <n v="2180717"/>
  </r>
  <r>
    <s v="Franquicias Sell Out QUEST"/>
    <s v="FQ066-Calarca-Quindio"/>
    <x v="7"/>
    <s v="septiembre"/>
    <n v="26"/>
    <d v="2026-09-26T00:00:00"/>
    <n v="1116440683"/>
    <s v="MURILLO  ALEXANDRA"/>
    <n v="24"/>
    <n v="0"/>
    <n v="1068320"/>
  </r>
  <r>
    <s v="Franquicias Sell Out QUEST"/>
    <s v="FQ066-Calarca-Quindio"/>
    <x v="7"/>
    <s v="septiembre"/>
    <n v="27"/>
    <d v="2026-09-27T00:00:00"/>
    <m/>
    <m/>
    <n v="0"/>
    <n v="3856611"/>
    <n v="0"/>
  </r>
  <r>
    <s v="Franquicias Sell Out QUEST"/>
    <s v="FQ066-Calarca-Quindio"/>
    <x v="7"/>
    <s v="septiembre"/>
    <n v="27"/>
    <d v="2026-09-27T00:00:00"/>
    <n v="1097402102"/>
    <s v="CULMA  YESSICA"/>
    <n v="29"/>
    <n v="0"/>
    <n v="1508992"/>
  </r>
  <r>
    <s v="Franquicias Sell Out QUEST"/>
    <s v="FQ066-Calarca-Quindio"/>
    <x v="7"/>
    <s v="septiembre"/>
    <n v="27"/>
    <d v="2026-09-27T00:00:00"/>
    <n v="1097402451"/>
    <s v="GUTIÉRREZ USECHE VANESSA"/>
    <n v="19"/>
    <n v="0"/>
    <n v="1259538"/>
  </r>
  <r>
    <s v="Franquicias Sell Out QUEST"/>
    <s v="FQ066-Calarca-Quindio"/>
    <x v="7"/>
    <s v="septiembre"/>
    <n v="28"/>
    <d v="2026-09-28T00:00:00"/>
    <m/>
    <m/>
    <n v="0"/>
    <n v="3162002"/>
    <n v="0"/>
  </r>
  <r>
    <s v="Franquicias Sell Out QUEST"/>
    <s v="FQ066-Calarca-Quindio"/>
    <x v="7"/>
    <s v="septiembre"/>
    <n v="28"/>
    <d v="2026-09-28T00:00:00"/>
    <n v="1097402102"/>
    <s v="CULMA  YESSICA"/>
    <n v="22"/>
    <n v="0"/>
    <n v="1190252"/>
  </r>
  <r>
    <s v="Franquicias Sell Out QUEST"/>
    <s v="FQ066-Calarca-Quindio"/>
    <x v="7"/>
    <s v="septiembre"/>
    <n v="28"/>
    <d v="2026-09-28T00:00:00"/>
    <n v="1116440683"/>
    <s v="MURILLO  ALEXANDRA"/>
    <n v="23"/>
    <n v="0"/>
    <n v="1368698"/>
  </r>
  <r>
    <s v="Franquicias Sell Out QUEST"/>
    <s v="FQ066-Calarca-Quindio"/>
    <x v="7"/>
    <s v="septiembre"/>
    <n v="29"/>
    <d v="2026-09-29T00:00:00"/>
    <m/>
    <m/>
    <n v="0"/>
    <n v="3515208"/>
    <n v="0"/>
  </r>
  <r>
    <s v="Franquicias Sell Out QUEST"/>
    <s v="FQ066-Calarca-Quindio"/>
    <x v="7"/>
    <s v="septiembre"/>
    <n v="29"/>
    <d v="2026-09-29T00:00:00"/>
    <n v="1097402451"/>
    <s v="GUTIÉRREZ USECHE VANESSA"/>
    <n v="17"/>
    <n v="0"/>
    <n v="700675"/>
  </r>
  <r>
    <s v="Franquicias Sell Out QUEST"/>
    <s v="FQ066-Calarca-Quindio"/>
    <x v="7"/>
    <s v="septiembre"/>
    <n v="29"/>
    <d v="2026-09-29T00:00:00"/>
    <n v="1116440683"/>
    <s v="MURILLO  ALEXANDRA"/>
    <n v="20"/>
    <n v="0"/>
    <n v="1141809"/>
  </r>
  <r>
    <s v="Franquicias Sell Out QUEST"/>
    <s v="FQ066-Calarca-Quindio"/>
    <x v="7"/>
    <s v="septiembre"/>
    <n v="30"/>
    <d v="2026-09-30T00:00:00"/>
    <m/>
    <m/>
    <n v="0"/>
    <n v="3722722"/>
    <n v="0"/>
  </r>
  <r>
    <s v="Franquicias Sell Out QUEST"/>
    <s v="FQ066-Calarca-Quindio"/>
    <x v="7"/>
    <s v="septiembre"/>
    <n v="30"/>
    <d v="2026-09-30T00:00:00"/>
    <n v="1097402102"/>
    <s v="CULMA  YESSICA"/>
    <n v="22"/>
    <n v="0"/>
    <n v="1419202"/>
  </r>
  <r>
    <s v="Franquicias Sell Out QUEST"/>
    <s v="FQ066-Calarca-Quindio"/>
    <x v="7"/>
    <s v="septiembre"/>
    <n v="30"/>
    <d v="2026-09-30T00:00:00"/>
    <n v="1097402451"/>
    <s v="GUTIÉRREZ USECHE VANESSA"/>
    <n v="23"/>
    <n v="0"/>
    <n v="1368658"/>
  </r>
  <r>
    <s v="Franquicias Sell Out QUEST"/>
    <s v="FQ066-Calarca-Quindio"/>
    <x v="7"/>
    <s v="octubre"/>
    <n v="1"/>
    <d v="2026-10-01T00:00:00"/>
    <m/>
    <m/>
    <n v="0"/>
    <n v="6279712"/>
    <n v="0"/>
  </r>
  <r>
    <s v="Franquicias Sell Out QUEST"/>
    <s v="FQ066-Calarca-Quindio"/>
    <x v="7"/>
    <s v="octubre"/>
    <n v="1"/>
    <d v="2026-10-01T00:00:00"/>
    <n v="1097402451"/>
    <s v="GUTIÉRREZ USECHE VANESSA"/>
    <n v="57"/>
    <n v="0"/>
    <n v="3219919"/>
  </r>
  <r>
    <s v="Franquicias Sell Out QUEST"/>
    <s v="FQ066-Calarca-Quindio"/>
    <x v="7"/>
    <s v="octubre"/>
    <n v="2"/>
    <d v="2026-10-02T00:00:00"/>
    <m/>
    <m/>
    <n v="0"/>
    <n v="6521103"/>
    <n v="0"/>
  </r>
  <r>
    <s v="Franquicias Sell Out QUEST"/>
    <s v="FQ066-Calarca-Quindio"/>
    <x v="7"/>
    <s v="octubre"/>
    <n v="2"/>
    <d v="2026-10-02T00:00:00"/>
    <n v="1097402451"/>
    <s v="GUTIÉRREZ USECHE VANESSA"/>
    <n v="46"/>
    <n v="0"/>
    <n v="2638572"/>
  </r>
  <r>
    <s v="Franquicias Sell Out QUEST"/>
    <s v="FQ066-Calarca-Quindio"/>
    <x v="7"/>
    <s v="octubre"/>
    <n v="2"/>
    <d v="2026-10-02T00:00:00"/>
    <n v="1116440683"/>
    <s v="MURILLO  ALEXANDRA"/>
    <n v="17"/>
    <n v="0"/>
    <n v="1095757"/>
  </r>
  <r>
    <s v="Franquicias Sell Out QUEST"/>
    <s v="FQ066-Calarca-Quindio"/>
    <x v="7"/>
    <s v="octubre"/>
    <n v="3"/>
    <d v="2026-10-03T00:00:00"/>
    <m/>
    <m/>
    <n v="0"/>
    <n v="7038478"/>
    <n v="0"/>
  </r>
  <r>
    <s v="Franquicias Sell Out QUEST"/>
    <s v="FQ066-Calarca-Quindio"/>
    <x v="7"/>
    <s v="octubre"/>
    <n v="3"/>
    <d v="2026-10-03T00:00:00"/>
    <n v="1097402451"/>
    <s v="GUTIÉRREZ USECHE VANESSA"/>
    <n v="48"/>
    <n v="0"/>
    <n v="2726877"/>
  </r>
  <r>
    <s v="Franquicias Sell Out QUEST"/>
    <s v="FQ066-Calarca-Quindio"/>
    <x v="7"/>
    <s v="octubre"/>
    <n v="3"/>
    <d v="2026-10-03T00:00:00"/>
    <n v="1116440683"/>
    <s v="MURILLO  ALEXANDRA"/>
    <n v="44"/>
    <n v="0"/>
    <n v="2326567"/>
  </r>
  <r>
    <s v="Franquicias Sell Out QUEST"/>
    <s v="FQ066-Calarca-Quindio"/>
    <x v="7"/>
    <s v="octubre"/>
    <n v="4"/>
    <d v="2026-10-04T00:00:00"/>
    <m/>
    <m/>
    <n v="0"/>
    <n v="3817433"/>
    <n v="0"/>
  </r>
  <r>
    <s v="Franquicias Sell Out QUEST"/>
    <s v="FQ066-Calarca-Quindio"/>
    <x v="7"/>
    <s v="octubre"/>
    <n v="4"/>
    <d v="2026-10-04T00:00:00"/>
    <n v="1097402451"/>
    <s v="GUTIÉRREZ USECHE VANESSA"/>
    <n v="1"/>
    <n v="0"/>
    <n v="67185"/>
  </r>
  <r>
    <s v="Franquicias Sell Out QUEST"/>
    <s v="FQ066-Calarca-Quindio"/>
    <x v="7"/>
    <s v="octubre"/>
    <n v="4"/>
    <d v="2026-10-04T00:00:00"/>
    <n v="1116440683"/>
    <s v="MURILLO  ALEXANDRA"/>
    <n v="45"/>
    <n v="0"/>
    <n v="2684708"/>
  </r>
  <r>
    <s v="Franquicias Sell Out QUEST"/>
    <s v="FQ066-Calarca-Quindio"/>
    <x v="7"/>
    <s v="octubre"/>
    <n v="5"/>
    <d v="2026-10-05T00:00:00"/>
    <m/>
    <m/>
    <n v="0"/>
    <n v="4110087"/>
    <n v="0"/>
  </r>
  <r>
    <s v="Franquicias Sell Out QUEST"/>
    <s v="FQ066-Calarca-Quindio"/>
    <x v="7"/>
    <s v="octubre"/>
    <n v="5"/>
    <d v="2026-10-05T00:00:00"/>
    <n v="1097402451"/>
    <s v="GUTIÉRREZ USECHE VANESSA"/>
    <n v="50"/>
    <n v="0"/>
    <n v="2920245"/>
  </r>
  <r>
    <s v="Franquicias Sell Out QUEST"/>
    <s v="FQ066-Calarca-Quindio"/>
    <x v="7"/>
    <s v="octubre"/>
    <n v="5"/>
    <d v="2026-10-05T00:00:00"/>
    <n v="1116440683"/>
    <s v="MURILLO  ALEXANDRA"/>
    <n v="29"/>
    <n v="0"/>
    <n v="1481851"/>
  </r>
  <r>
    <s v="Franquicias Sell Out QUEST"/>
    <s v="FQ066-Calarca-Quindio"/>
    <x v="7"/>
    <s v="octubre"/>
    <n v="6"/>
    <d v="2026-10-06T00:00:00"/>
    <m/>
    <m/>
    <n v="0"/>
    <n v="1807215"/>
    <n v="0"/>
  </r>
  <r>
    <s v="Franquicias Sell Out QUEST"/>
    <s v="FQ066-Calarca-Quindio"/>
    <x v="7"/>
    <s v="octubre"/>
    <n v="6"/>
    <d v="2026-10-06T00:00:00"/>
    <n v="1097402451"/>
    <s v="GUTIÉRREZ USECHE VANESSA"/>
    <n v="43"/>
    <n v="0"/>
    <n v="2329352"/>
  </r>
  <r>
    <s v="Franquicias Sell Out QUEST"/>
    <s v="FQ066-Calarca-Quindio"/>
    <x v="7"/>
    <s v="octubre"/>
    <n v="6"/>
    <d v="2026-10-06T00:00:00"/>
    <n v="1116440683"/>
    <s v="MURILLO  ALEXANDRA"/>
    <n v="20"/>
    <n v="0"/>
    <n v="1014606"/>
  </r>
  <r>
    <s v="Franquicias Sell Out QUEST"/>
    <s v="FQ066-Calarca-Quindio"/>
    <x v="7"/>
    <s v="octubre"/>
    <n v="7"/>
    <d v="2026-10-07T00:00:00"/>
    <m/>
    <m/>
    <n v="0"/>
    <n v="1429400"/>
    <n v="0"/>
  </r>
  <r>
    <s v="Franquicias Sell Out QUEST"/>
    <s v="FQ066-Calarca-Quindio"/>
    <x v="7"/>
    <s v="octubre"/>
    <n v="7"/>
    <d v="2026-10-07T00:00:00"/>
    <n v="1097402451"/>
    <s v="GUTIÉRREZ USECHE VANESSA"/>
    <n v="35"/>
    <n v="0"/>
    <n v="1718908"/>
  </r>
  <r>
    <s v="Franquicias Sell Out QUEST"/>
    <s v="FQ066-Calarca-Quindio"/>
    <x v="7"/>
    <s v="octubre"/>
    <n v="7"/>
    <d v="2026-10-07T00:00:00"/>
    <n v="1116440683"/>
    <s v="MURILLO  ALEXANDRA"/>
    <n v="37"/>
    <n v="0"/>
    <n v="2065548"/>
  </r>
  <r>
    <s v="Franquicias Sell Out QUEST"/>
    <s v="FQ084 - La Virginia - Risaralda"/>
    <x v="7"/>
    <s v="septiembre"/>
    <n v="23"/>
    <d v="2026-09-23T00:00:00"/>
    <m/>
    <m/>
    <n v="0"/>
    <n v="2683900"/>
    <n v="0"/>
  </r>
  <r>
    <s v="Franquicias Sell Out QUEST"/>
    <s v="FQ084 - La Virginia - Risaralda"/>
    <x v="7"/>
    <s v="septiembre"/>
    <n v="23"/>
    <d v="2026-09-23T00:00:00"/>
    <n v="1087549195"/>
    <s v="PIMIENTA LONDOÑO VALENTINA"/>
    <n v="51"/>
    <n v="0"/>
    <n v="2546219"/>
  </r>
  <r>
    <s v="Franquicias Sell Out QUEST"/>
    <s v="FQ084 - La Virginia - Risaralda"/>
    <x v="7"/>
    <s v="septiembre"/>
    <n v="23"/>
    <d v="2026-09-23T00:00:00"/>
    <n v="1087553241"/>
    <s v="HERNANDEZ  JENIFER PAOLA"/>
    <n v="33"/>
    <n v="0"/>
    <n v="1492355"/>
  </r>
  <r>
    <s v="Franquicias Sell Out QUEST"/>
    <s v="FQ084 - La Virginia - Risaralda"/>
    <x v="7"/>
    <s v="septiembre"/>
    <n v="23"/>
    <d v="2026-09-23T00:00:00"/>
    <n v="1087556533"/>
    <s v="FLOREZ OCAMPO JESSICA"/>
    <n v="31"/>
    <n v="0"/>
    <n v="1853783"/>
  </r>
  <r>
    <s v="Franquicias Sell Out QUEST"/>
    <s v="FQ084 - La Virginia - Risaralda"/>
    <x v="7"/>
    <s v="septiembre"/>
    <n v="24"/>
    <d v="2026-09-24T00:00:00"/>
    <m/>
    <m/>
    <n v="0"/>
    <n v="6941084"/>
    <n v="0"/>
  </r>
  <r>
    <s v="Franquicias Sell Out QUEST"/>
    <s v="FQ084 - La Virginia - Risaralda"/>
    <x v="7"/>
    <s v="septiembre"/>
    <n v="24"/>
    <d v="2026-09-24T00:00:00"/>
    <n v="1087549195"/>
    <s v="PIMIENTA LONDOÑO VALENTINA"/>
    <n v="41"/>
    <n v="0"/>
    <n v="2288194"/>
  </r>
  <r>
    <s v="Franquicias Sell Out QUEST"/>
    <s v="FQ084 - La Virginia - Risaralda"/>
    <x v="7"/>
    <s v="septiembre"/>
    <n v="24"/>
    <d v="2026-09-24T00:00:00"/>
    <n v="1087553241"/>
    <s v="HERNANDEZ  JENIFER PAOLA"/>
    <n v="40"/>
    <n v="0"/>
    <n v="2179035"/>
  </r>
  <r>
    <s v="Franquicias Sell Out QUEST"/>
    <s v="FQ084 - La Virginia - Risaralda"/>
    <x v="7"/>
    <s v="septiembre"/>
    <n v="24"/>
    <d v="2026-09-24T00:00:00"/>
    <n v="1087556533"/>
    <s v="FLOREZ OCAMPO JESSICA"/>
    <n v="12"/>
    <n v="0"/>
    <n v="663362"/>
  </r>
  <r>
    <s v="Franquicias Sell Out QUEST"/>
    <s v="FQ084 - La Virginia - Risaralda"/>
    <x v="7"/>
    <s v="septiembre"/>
    <n v="25"/>
    <d v="2026-09-25T00:00:00"/>
    <m/>
    <m/>
    <n v="0"/>
    <n v="7413457"/>
    <n v="0"/>
  </r>
  <r>
    <s v="Franquicias Sell Out QUEST"/>
    <s v="FQ084 - La Virginia - Risaralda"/>
    <x v="7"/>
    <s v="septiembre"/>
    <n v="25"/>
    <d v="2026-09-25T00:00:00"/>
    <n v="1087549195"/>
    <s v="PIMIENTA LONDOÑO VALENTINA"/>
    <n v="58"/>
    <n v="0"/>
    <n v="3119412"/>
  </r>
  <r>
    <s v="Franquicias Sell Out QUEST"/>
    <s v="FQ084 - La Virginia - Risaralda"/>
    <x v="7"/>
    <s v="septiembre"/>
    <n v="25"/>
    <d v="2026-09-25T00:00:00"/>
    <n v="1087556533"/>
    <s v="FLOREZ OCAMPO JESSICA"/>
    <n v="38"/>
    <n v="0"/>
    <n v="1603489"/>
  </r>
  <r>
    <s v="Franquicias Sell Out QUEST"/>
    <s v="FQ084 - La Virginia - Risaralda"/>
    <x v="7"/>
    <s v="septiembre"/>
    <n v="26"/>
    <d v="2026-09-26T00:00:00"/>
    <m/>
    <m/>
    <n v="0"/>
    <n v="9348180"/>
    <n v="0"/>
  </r>
  <r>
    <s v="Franquicias Sell Out QUEST"/>
    <s v="FQ084 - La Virginia - Risaralda"/>
    <x v="7"/>
    <s v="septiembre"/>
    <n v="26"/>
    <d v="2026-09-26T00:00:00"/>
    <n v="1087549195"/>
    <s v="PIMIENTA LONDOÑO VALENTINA"/>
    <n v="72"/>
    <n v="0"/>
    <n v="3566183"/>
  </r>
  <r>
    <s v="Franquicias Sell Out QUEST"/>
    <s v="FQ084 - La Virginia - Risaralda"/>
    <x v="7"/>
    <s v="septiembre"/>
    <n v="26"/>
    <d v="2026-09-26T00:00:00"/>
    <n v="1087556533"/>
    <s v="FLOREZ OCAMPO JESSICA"/>
    <n v="59"/>
    <n v="0"/>
    <n v="3526770"/>
  </r>
  <r>
    <s v="Franquicias Sell Out QUEST"/>
    <s v="FQ084 - La Virginia - Risaralda"/>
    <x v="7"/>
    <s v="septiembre"/>
    <n v="27"/>
    <d v="2026-09-27T00:00:00"/>
    <m/>
    <m/>
    <n v="0"/>
    <n v="4935750"/>
    <n v="0"/>
  </r>
  <r>
    <s v="Franquicias Sell Out QUEST"/>
    <s v="FQ084 - La Virginia - Risaralda"/>
    <x v="7"/>
    <s v="septiembre"/>
    <n v="27"/>
    <d v="2026-09-27T00:00:00"/>
    <n v="1087549195"/>
    <s v="PIMIENTA LONDOÑO VALENTINA"/>
    <n v="14"/>
    <n v="0"/>
    <n v="709412"/>
  </r>
  <r>
    <s v="Franquicias Sell Out QUEST"/>
    <s v="FQ084 - La Virginia - Risaralda"/>
    <x v="7"/>
    <s v="septiembre"/>
    <n v="27"/>
    <d v="2026-09-27T00:00:00"/>
    <n v="1087556533"/>
    <s v="FLOREZ OCAMPO JESSICA"/>
    <n v="59"/>
    <n v="0"/>
    <n v="3379710"/>
  </r>
  <r>
    <s v="Franquicias Sell Out QUEST"/>
    <s v="FQ084 - La Virginia - Risaralda"/>
    <x v="7"/>
    <s v="septiembre"/>
    <n v="28"/>
    <d v="2026-09-28T00:00:00"/>
    <m/>
    <m/>
    <n v="0"/>
    <n v="4046779"/>
    <n v="0"/>
  </r>
  <r>
    <s v="Franquicias Sell Out QUEST"/>
    <s v="FQ084 - La Virginia - Risaralda"/>
    <x v="7"/>
    <s v="septiembre"/>
    <n v="28"/>
    <d v="2026-09-28T00:00:00"/>
    <n v="1087549195"/>
    <s v="PIMIENTA LONDOÑO VALENTINA"/>
    <n v="39"/>
    <n v="0"/>
    <n v="1952063"/>
  </r>
  <r>
    <s v="Franquicias Sell Out QUEST"/>
    <s v="FQ084 - La Virginia - Risaralda"/>
    <x v="7"/>
    <s v="septiembre"/>
    <n v="28"/>
    <d v="2026-09-28T00:00:00"/>
    <n v="1087553241"/>
    <s v="HERNANDEZ  JENIFER PAOLA"/>
    <n v="43"/>
    <n v="0"/>
    <n v="2365799"/>
  </r>
  <r>
    <s v="Franquicias Sell Out QUEST"/>
    <s v="FQ084 - La Virginia - Risaralda"/>
    <x v="7"/>
    <s v="septiembre"/>
    <n v="29"/>
    <d v="2026-09-29T00:00:00"/>
    <m/>
    <m/>
    <n v="0"/>
    <n v="4498822"/>
    <n v="0"/>
  </r>
  <r>
    <s v="Franquicias Sell Out QUEST"/>
    <s v="FQ084 - La Virginia - Risaralda"/>
    <x v="7"/>
    <s v="septiembre"/>
    <n v="29"/>
    <d v="2026-09-29T00:00:00"/>
    <n v="1087549195"/>
    <s v="PIMIENTA LONDOÑO VALENTINA"/>
    <n v="35"/>
    <n v="0"/>
    <n v="1649579"/>
  </r>
  <r>
    <s v="Franquicias Sell Out QUEST"/>
    <s v="FQ084 - La Virginia - Risaralda"/>
    <x v="7"/>
    <s v="septiembre"/>
    <n v="29"/>
    <d v="2026-09-29T00:00:00"/>
    <n v="1087553241"/>
    <s v="HERNANDEZ  JENIFER PAOLA"/>
    <n v="11"/>
    <n v="0"/>
    <n v="596176"/>
  </r>
  <r>
    <s v="Franquicias Sell Out QUEST"/>
    <s v="FQ084 - La Virginia - Risaralda"/>
    <x v="7"/>
    <s v="septiembre"/>
    <n v="29"/>
    <d v="2026-09-29T00:00:00"/>
    <n v="1087556533"/>
    <s v="FLOREZ OCAMPO JESSICA"/>
    <n v="15"/>
    <n v="0"/>
    <n v="826934"/>
  </r>
  <r>
    <s v="Franquicias Sell Out QUEST"/>
    <s v="FQ084 - La Virginia - Risaralda"/>
    <x v="7"/>
    <s v="septiembre"/>
    <n v="30"/>
    <d v="2026-09-30T00:00:00"/>
    <m/>
    <m/>
    <n v="0"/>
    <n v="4764395"/>
    <n v="0"/>
  </r>
  <r>
    <s v="Franquicias Sell Out QUEST"/>
    <s v="FQ084 - La Virginia - Risaralda"/>
    <x v="7"/>
    <s v="septiembre"/>
    <n v="30"/>
    <d v="2026-09-30T00:00:00"/>
    <n v="1087549195"/>
    <s v="PIMIENTA LONDOÑO VALENTINA"/>
    <n v="36"/>
    <n v="0"/>
    <n v="1880715"/>
  </r>
  <r>
    <s v="Franquicias Sell Out QUEST"/>
    <s v="FQ084 - La Virginia - Risaralda"/>
    <x v="7"/>
    <s v="septiembre"/>
    <n v="30"/>
    <d v="2026-09-30T00:00:00"/>
    <n v="1087553241"/>
    <s v="HERNANDEZ  JENIFER PAOLA"/>
    <n v="32"/>
    <n v="0"/>
    <n v="1693995"/>
  </r>
  <r>
    <s v="Franquicias Sell Out QUEST"/>
    <s v="FQ084 - La Virginia - Risaralda"/>
    <x v="7"/>
    <s v="septiembre"/>
    <n v="30"/>
    <d v="2026-09-30T00:00:00"/>
    <n v="1087556533"/>
    <s v="FLOREZ OCAMPO JESSICA"/>
    <n v="25"/>
    <n v="0"/>
    <n v="1521892"/>
  </r>
  <r>
    <s v="Franquicias Sell Out QUEST"/>
    <s v="FQ084 - La Virginia - Risaralda"/>
    <x v="7"/>
    <s v="octubre"/>
    <n v="1"/>
    <d v="2026-10-01T00:00:00"/>
    <m/>
    <m/>
    <n v="0"/>
    <n v="4380254"/>
    <n v="0"/>
  </r>
  <r>
    <s v="Franquicias Sell Out QUEST"/>
    <s v="FQ084 - La Virginia - Risaralda"/>
    <x v="7"/>
    <s v="octubre"/>
    <n v="1"/>
    <d v="2026-10-01T00:00:00"/>
    <n v="1087549195"/>
    <s v="PIMIENTA LONDOÑO VALENTINA"/>
    <n v="52"/>
    <n v="0"/>
    <n v="3245633"/>
  </r>
  <r>
    <s v="Franquicias Sell Out QUEST"/>
    <s v="FQ084 - La Virginia - Risaralda"/>
    <x v="7"/>
    <s v="octubre"/>
    <n v="1"/>
    <d v="2026-10-01T00:00:00"/>
    <n v="1087553241"/>
    <s v="HERNANDEZ  JENIFER PAOLA"/>
    <n v="31"/>
    <n v="0"/>
    <n v="1555381"/>
  </r>
  <r>
    <s v="Franquicias Sell Out QUEST"/>
    <s v="FQ084 - La Virginia - Risaralda"/>
    <x v="7"/>
    <s v="octubre"/>
    <n v="1"/>
    <d v="2026-10-01T00:00:00"/>
    <n v="1087556533"/>
    <s v="FLOREZ OCAMPO JESSICA"/>
    <n v="39"/>
    <n v="0"/>
    <n v="1710464"/>
  </r>
  <r>
    <s v="Franquicias Sell Out QUEST"/>
    <s v="FQ084 - La Virginia - Risaralda"/>
    <x v="7"/>
    <s v="octubre"/>
    <n v="2"/>
    <d v="2026-10-02T00:00:00"/>
    <m/>
    <m/>
    <n v="0"/>
    <n v="5506829"/>
    <n v="0"/>
  </r>
  <r>
    <s v="Franquicias Sell Out QUEST"/>
    <s v="FQ084 - La Virginia - Risaralda"/>
    <x v="7"/>
    <s v="octubre"/>
    <n v="2"/>
    <d v="2026-10-02T00:00:00"/>
    <n v="1087549195"/>
    <s v="PIMIENTA LONDOÑO VALENTINA"/>
    <n v="20"/>
    <n v="0"/>
    <n v="1146220"/>
  </r>
  <r>
    <s v="Franquicias Sell Out QUEST"/>
    <s v="FQ084 - La Virginia - Risaralda"/>
    <x v="7"/>
    <s v="octubre"/>
    <n v="2"/>
    <d v="2026-10-02T00:00:00"/>
    <n v="1087553241"/>
    <s v="HERNANDEZ  JENIFER PAOLA"/>
    <n v="17"/>
    <n v="0"/>
    <n v="868868"/>
  </r>
  <r>
    <s v="Franquicias Sell Out QUEST"/>
    <s v="FQ084 - La Virginia - Risaralda"/>
    <x v="7"/>
    <s v="octubre"/>
    <n v="2"/>
    <d v="2026-10-02T00:00:00"/>
    <n v="1087556533"/>
    <s v="FLOREZ OCAMPO JESSICA"/>
    <n v="11"/>
    <n v="0"/>
    <n v="678067"/>
  </r>
  <r>
    <s v="Franquicias Sell Out QUEST"/>
    <s v="FQ084 - La Virginia - Risaralda"/>
    <x v="7"/>
    <s v="octubre"/>
    <n v="3"/>
    <d v="2026-10-03T00:00:00"/>
    <m/>
    <m/>
    <n v="0"/>
    <n v="8352250"/>
    <n v="0"/>
  </r>
  <r>
    <s v="Franquicias Sell Out QUEST"/>
    <s v="FQ084 - La Virginia - Risaralda"/>
    <x v="7"/>
    <s v="octubre"/>
    <n v="3"/>
    <d v="2026-10-03T00:00:00"/>
    <n v="1087549195"/>
    <s v="PIMIENTA LONDOÑO VALENTINA"/>
    <n v="41"/>
    <n v="0"/>
    <n v="2104684"/>
  </r>
  <r>
    <s v="Franquicias Sell Out QUEST"/>
    <s v="FQ084 - La Virginia - Risaralda"/>
    <x v="7"/>
    <s v="octubre"/>
    <n v="3"/>
    <d v="2026-10-03T00:00:00"/>
    <n v="1087553241"/>
    <s v="HERNANDEZ  JENIFER PAOLA"/>
    <n v="45"/>
    <n v="0"/>
    <n v="2639273"/>
  </r>
  <r>
    <s v="Franquicias Sell Out QUEST"/>
    <s v="FQ084 - La Virginia - Risaralda"/>
    <x v="7"/>
    <s v="octubre"/>
    <n v="3"/>
    <d v="2026-10-03T00:00:00"/>
    <n v="1087556533"/>
    <s v="FLOREZ OCAMPO JESSICA"/>
    <n v="42"/>
    <n v="0"/>
    <n v="2446917"/>
  </r>
  <r>
    <s v="Franquicias Sell Out QUEST"/>
    <s v="FQ084 - La Virginia - Risaralda"/>
    <x v="7"/>
    <s v="octubre"/>
    <n v="4"/>
    <d v="2026-10-04T00:00:00"/>
    <m/>
    <m/>
    <n v="0"/>
    <n v="4148413"/>
    <n v="0"/>
  </r>
  <r>
    <s v="Franquicias Sell Out QUEST"/>
    <s v="FQ084 - La Virginia - Risaralda"/>
    <x v="7"/>
    <s v="octubre"/>
    <n v="4"/>
    <d v="2026-10-04T00:00:00"/>
    <n v="1087549195"/>
    <s v="PIMIENTA LONDOÑO VALENTINA"/>
    <n v="39"/>
    <n v="0"/>
    <n v="1857268"/>
  </r>
  <r>
    <s v="Franquicias Sell Out QUEST"/>
    <s v="FQ084 - La Virginia - Risaralda"/>
    <x v="7"/>
    <s v="octubre"/>
    <n v="4"/>
    <d v="2026-10-04T00:00:00"/>
    <n v="1087553241"/>
    <s v="HERNANDEZ  JENIFER PAOLA"/>
    <n v="24"/>
    <n v="0"/>
    <n v="1358193"/>
  </r>
  <r>
    <s v="Franquicias Sell Out QUEST"/>
    <s v="FQ084 - La Virginia - Risaralda"/>
    <x v="7"/>
    <s v="octubre"/>
    <n v="5"/>
    <d v="2026-10-05T00:00:00"/>
    <m/>
    <m/>
    <n v="0"/>
    <n v="4155879"/>
    <n v="0"/>
  </r>
  <r>
    <s v="Franquicias Sell Out QUEST"/>
    <s v="FQ084 - La Virginia - Risaralda"/>
    <x v="7"/>
    <s v="octubre"/>
    <n v="5"/>
    <d v="2026-10-05T00:00:00"/>
    <n v="1087549195"/>
    <s v="PIMIENTA LONDOÑO VALENTINA"/>
    <n v="33"/>
    <n v="0"/>
    <n v="1855548"/>
  </r>
  <r>
    <s v="Franquicias Sell Out QUEST"/>
    <s v="FQ084 - La Virginia - Risaralda"/>
    <x v="7"/>
    <s v="octubre"/>
    <n v="5"/>
    <d v="2026-10-05T00:00:00"/>
    <n v="1087553241"/>
    <s v="HERNANDEZ  JENIFER PAOLA"/>
    <n v="18"/>
    <n v="0"/>
    <n v="944538"/>
  </r>
  <r>
    <s v="Franquicias Sell Out QUEST"/>
    <s v="FQ084 - La Virginia - Risaralda"/>
    <x v="7"/>
    <s v="octubre"/>
    <n v="5"/>
    <d v="2026-10-05T00:00:00"/>
    <n v="1087556533"/>
    <s v="FLOREZ OCAMPO JESSICA"/>
    <n v="6"/>
    <n v="0"/>
    <n v="218193"/>
  </r>
  <r>
    <s v="Franquicias Sell Out QUEST"/>
    <s v="FQ084 - La Virginia - Risaralda"/>
    <x v="7"/>
    <s v="octubre"/>
    <n v="6"/>
    <d v="2026-10-06T00:00:00"/>
    <m/>
    <m/>
    <n v="0"/>
    <n v="3094309"/>
    <n v="0"/>
  </r>
  <r>
    <s v="Franquicias Sell Out QUEST"/>
    <s v="FQ084 - La Virginia - Risaralda"/>
    <x v="7"/>
    <s v="octubre"/>
    <n v="6"/>
    <d v="2026-10-06T00:00:00"/>
    <n v="1087549195"/>
    <s v="PIMIENTA LONDOÑO VALENTINA"/>
    <n v="28"/>
    <n v="0"/>
    <n v="1620630"/>
  </r>
  <r>
    <s v="Franquicias Sell Out QUEST"/>
    <s v="FQ084 - La Virginia - Risaralda"/>
    <x v="7"/>
    <s v="octubre"/>
    <n v="6"/>
    <d v="2026-10-06T00:00:00"/>
    <n v="1087556533"/>
    <s v="FLOREZ OCAMPO JESSICA"/>
    <n v="15"/>
    <n v="0"/>
    <n v="852271"/>
  </r>
  <r>
    <s v="Franquicias Sell Out QUEST"/>
    <s v="FQ084 - La Virginia - Risaralda"/>
    <x v="7"/>
    <s v="octubre"/>
    <n v="7"/>
    <d v="2026-10-07T00:00:00"/>
    <m/>
    <m/>
    <n v="0"/>
    <n v="2122953"/>
    <n v="0"/>
  </r>
  <r>
    <s v="Franquicias Sell Out QUEST"/>
    <s v="FQ084 - La Virginia - Risaralda"/>
    <x v="7"/>
    <s v="octubre"/>
    <n v="7"/>
    <d v="2026-10-07T00:00:00"/>
    <n v="1087549195"/>
    <s v="PIMIENTA LONDOÑO VALENTINA"/>
    <n v="10"/>
    <n v="0"/>
    <n v="596177"/>
  </r>
  <r>
    <s v="Franquicias Sell Out QUEST"/>
    <s v="FQ084 - La Virginia - Risaralda"/>
    <x v="7"/>
    <s v="octubre"/>
    <n v="7"/>
    <d v="2026-10-07T00:00:00"/>
    <n v="1087553241"/>
    <s v="HERNANDEZ  JENIFER PAOLA"/>
    <n v="10"/>
    <n v="0"/>
    <n v="709664"/>
  </r>
  <r>
    <s v="Franquicias Sell Out QUEST"/>
    <s v="FQ084 - La Virginia - Risaralda"/>
    <x v="7"/>
    <s v="octubre"/>
    <n v="7"/>
    <d v="2026-10-07T00:00:00"/>
    <n v="1087556533"/>
    <s v="FLOREZ OCAMPO JESSICA"/>
    <n v="17"/>
    <n v="0"/>
    <n v="805882"/>
  </r>
  <r>
    <s v="Franquicias Sell Out QUEST"/>
    <s v="FQ085 - Istmina - Chocó"/>
    <x v="7"/>
    <s v="septiembre"/>
    <n v="23"/>
    <d v="2026-09-23T00:00:00"/>
    <m/>
    <m/>
    <n v="0"/>
    <n v="1788650"/>
    <n v="0"/>
  </r>
  <r>
    <s v="Franquicias Sell Out QUEST"/>
    <s v="FQ085 - Istmina - Chocó"/>
    <x v="7"/>
    <s v="septiembre"/>
    <n v="23"/>
    <d v="2026-09-23T00:00:00"/>
    <n v="1076326561"/>
    <s v="MURILLO MANYOMA ELCY BELARMINA"/>
    <n v="47"/>
    <n v="0"/>
    <n v="2195549"/>
  </r>
  <r>
    <s v="Franquicias Sell Out QUEST"/>
    <s v="FQ085 - Istmina - Chocó"/>
    <x v="7"/>
    <s v="septiembre"/>
    <n v="23"/>
    <d v="2026-09-23T00:00:00"/>
    <n v="1077477819"/>
    <s v="MOSQUERA VIVEROS SANDRA PAOLA"/>
    <n v="35"/>
    <n v="0"/>
    <n v="1851598"/>
  </r>
  <r>
    <s v="Franquicias Sell Out QUEST"/>
    <s v="FQ085 - Istmina - Chocó"/>
    <x v="7"/>
    <s v="septiembre"/>
    <n v="24"/>
    <d v="2026-09-24T00:00:00"/>
    <m/>
    <m/>
    <n v="0"/>
    <n v="4625790"/>
    <n v="0"/>
  </r>
  <r>
    <s v="Franquicias Sell Out QUEST"/>
    <s v="FQ085 - Istmina - Chocó"/>
    <x v="7"/>
    <s v="septiembre"/>
    <n v="24"/>
    <d v="2026-09-24T00:00:00"/>
    <n v="1076326561"/>
    <s v="MURILLO MANYOMA ELCY BELARMINA"/>
    <n v="53"/>
    <n v="0"/>
    <n v="2722605"/>
  </r>
  <r>
    <s v="Franquicias Sell Out QUEST"/>
    <s v="FQ085 - Istmina - Chocó"/>
    <x v="7"/>
    <s v="septiembre"/>
    <n v="24"/>
    <d v="2026-09-24T00:00:00"/>
    <n v="1077477819"/>
    <s v="MOSQUERA VIVEROS SANDRA PAOLA"/>
    <n v="50"/>
    <n v="0"/>
    <n v="2416052"/>
  </r>
  <r>
    <s v="Franquicias Sell Out QUEST"/>
    <s v="FQ085 - Istmina - Chocó"/>
    <x v="7"/>
    <s v="septiembre"/>
    <n v="25"/>
    <d v="2026-09-25T00:00:00"/>
    <m/>
    <m/>
    <n v="0"/>
    <n v="4940597"/>
    <n v="0"/>
  </r>
  <r>
    <s v="Franquicias Sell Out QUEST"/>
    <s v="FQ085 - Istmina - Chocó"/>
    <x v="7"/>
    <s v="septiembre"/>
    <n v="25"/>
    <d v="2026-09-25T00:00:00"/>
    <n v="1076326561"/>
    <s v="MURILLO MANYOMA ELCY BELARMINA"/>
    <n v="32"/>
    <n v="0"/>
    <n v="1265546"/>
  </r>
  <r>
    <s v="Franquicias Sell Out QUEST"/>
    <s v="FQ085 - Istmina - Chocó"/>
    <x v="7"/>
    <s v="septiembre"/>
    <n v="25"/>
    <d v="2026-09-25T00:00:00"/>
    <n v="1077477819"/>
    <s v="MOSQUERA VIVEROS SANDRA PAOLA"/>
    <n v="42"/>
    <n v="0"/>
    <n v="1933237"/>
  </r>
  <r>
    <s v="Franquicias Sell Out QUEST"/>
    <s v="FQ085 - Istmina - Chocó"/>
    <x v="7"/>
    <s v="septiembre"/>
    <n v="26"/>
    <d v="2026-09-26T00:00:00"/>
    <m/>
    <m/>
    <n v="0"/>
    <n v="6229969"/>
    <n v="0"/>
  </r>
  <r>
    <s v="Franquicias Sell Out QUEST"/>
    <s v="FQ085 - Istmina - Chocó"/>
    <x v="7"/>
    <s v="septiembre"/>
    <n v="26"/>
    <d v="2026-09-26T00:00:00"/>
    <n v="1076326561"/>
    <s v="MURILLO MANYOMA ELCY BELARMINA"/>
    <n v="54"/>
    <n v="0"/>
    <n v="2720044"/>
  </r>
  <r>
    <s v="Franquicias Sell Out QUEST"/>
    <s v="FQ085 - Istmina - Chocó"/>
    <x v="7"/>
    <s v="septiembre"/>
    <n v="26"/>
    <d v="2026-09-26T00:00:00"/>
    <n v="1077477819"/>
    <s v="MOSQUERA VIVEROS SANDRA PAOLA"/>
    <n v="57"/>
    <n v="0"/>
    <n v="1836976"/>
  </r>
  <r>
    <s v="Franquicias Sell Out QUEST"/>
    <s v="FQ085 - Istmina - Chocó"/>
    <x v="7"/>
    <s v="septiembre"/>
    <n v="27"/>
    <d v="2026-09-27T00:00:00"/>
    <m/>
    <m/>
    <n v="0"/>
    <n v="3289363"/>
    <n v="0"/>
  </r>
  <r>
    <s v="Franquicias Sell Out QUEST"/>
    <s v="FQ085 - Istmina - Chocó"/>
    <x v="7"/>
    <s v="septiembre"/>
    <n v="27"/>
    <d v="2026-09-27T00:00:00"/>
    <n v="1077477819"/>
    <s v="MOSQUERA VIVEROS SANDRA PAOLA"/>
    <n v="39"/>
    <n v="0"/>
    <n v="1808910"/>
  </r>
  <r>
    <s v="Franquicias Sell Out QUEST"/>
    <s v="FQ085 - Istmina - Chocó"/>
    <x v="7"/>
    <s v="septiembre"/>
    <n v="28"/>
    <d v="2026-09-28T00:00:00"/>
    <m/>
    <m/>
    <n v="0"/>
    <n v="2696923"/>
    <n v="0"/>
  </r>
  <r>
    <s v="Franquicias Sell Out QUEST"/>
    <s v="FQ085 - Istmina - Chocó"/>
    <x v="7"/>
    <s v="septiembre"/>
    <n v="28"/>
    <d v="2026-09-28T00:00:00"/>
    <n v="1077477819"/>
    <s v="MOSQUERA VIVEROS SANDRA PAOLA"/>
    <n v="56"/>
    <n v="0"/>
    <n v="2654834"/>
  </r>
  <r>
    <s v="Franquicias Sell Out QUEST"/>
    <s v="FQ085 - Istmina - Chocó"/>
    <x v="7"/>
    <s v="septiembre"/>
    <n v="29"/>
    <d v="2026-09-29T00:00:00"/>
    <m/>
    <m/>
    <n v="0"/>
    <n v="2998179"/>
    <n v="0"/>
  </r>
  <r>
    <s v="Franquicias Sell Out QUEST"/>
    <s v="FQ085 - Istmina - Chocó"/>
    <x v="7"/>
    <s v="septiembre"/>
    <n v="29"/>
    <d v="2026-09-29T00:00:00"/>
    <n v="1076326561"/>
    <s v="MURILLO MANYOMA ELCY BELARMINA"/>
    <n v="57"/>
    <n v="0"/>
    <n v="2566557"/>
  </r>
  <r>
    <s v="Franquicias Sell Out QUEST"/>
    <s v="FQ085 - Istmina - Chocó"/>
    <x v="7"/>
    <s v="septiembre"/>
    <n v="29"/>
    <d v="2026-09-29T00:00:00"/>
    <n v="1077477819"/>
    <s v="MOSQUERA VIVEROS SANDRA PAOLA"/>
    <n v="29"/>
    <n v="0"/>
    <n v="1885253"/>
  </r>
  <r>
    <s v="Franquicias Sell Out QUEST"/>
    <s v="FQ085 - Istmina - Chocó"/>
    <x v="7"/>
    <s v="septiembre"/>
    <n v="30"/>
    <d v="2026-09-30T00:00:00"/>
    <m/>
    <m/>
    <n v="0"/>
    <n v="3175168"/>
    <n v="0"/>
  </r>
  <r>
    <s v="Franquicias Sell Out QUEST"/>
    <s v="FQ085 - Istmina - Chocó"/>
    <x v="7"/>
    <s v="septiembre"/>
    <n v="30"/>
    <d v="2026-09-30T00:00:00"/>
    <n v="1076326561"/>
    <s v="MURILLO MANYOMA ELCY BELARMINA"/>
    <n v="36"/>
    <n v="0"/>
    <n v="2027774"/>
  </r>
  <r>
    <s v="Franquicias Sell Out QUEST"/>
    <s v="FQ085 - Istmina - Chocó"/>
    <x v="7"/>
    <s v="septiembre"/>
    <n v="30"/>
    <d v="2026-09-30T00:00:00"/>
    <n v="1077477819"/>
    <s v="MOSQUERA VIVEROS SANDRA PAOLA"/>
    <n v="18"/>
    <n v="0"/>
    <n v="877269"/>
  </r>
  <r>
    <s v="Franquicias Sell Out QUEST"/>
    <s v="FQ085 - Istmina - Chocó"/>
    <x v="7"/>
    <s v="octubre"/>
    <n v="1"/>
    <d v="2026-10-01T00:00:00"/>
    <m/>
    <m/>
    <n v="0"/>
    <n v="3276495"/>
    <n v="0"/>
  </r>
  <r>
    <s v="Franquicias Sell Out QUEST"/>
    <s v="FQ085 - Istmina - Chocó"/>
    <x v="7"/>
    <s v="octubre"/>
    <n v="1"/>
    <d v="2026-10-01T00:00:00"/>
    <n v="1076326561"/>
    <s v="MURILLO MANYOMA ELCY BELARMINA"/>
    <n v="26"/>
    <n v="0"/>
    <n v="1435928"/>
  </r>
  <r>
    <s v="Franquicias Sell Out QUEST"/>
    <s v="FQ085 - Istmina - Chocó"/>
    <x v="7"/>
    <s v="octubre"/>
    <n v="1"/>
    <d v="2026-10-01T00:00:00"/>
    <n v="1077477819"/>
    <s v="MOSQUERA VIVEROS SANDRA PAOLA"/>
    <n v="36"/>
    <n v="0"/>
    <n v="1856363"/>
  </r>
  <r>
    <s v="Franquicias Sell Out QUEST"/>
    <s v="FQ085 - Istmina - Chocó"/>
    <x v="7"/>
    <s v="octubre"/>
    <n v="2"/>
    <d v="2026-10-02T00:00:00"/>
    <m/>
    <m/>
    <n v="0"/>
    <n v="3008128"/>
    <n v="0"/>
  </r>
  <r>
    <s v="Franquicias Sell Out QUEST"/>
    <s v="FQ085 - Istmina - Chocó"/>
    <x v="7"/>
    <s v="octubre"/>
    <n v="2"/>
    <d v="2026-10-02T00:00:00"/>
    <n v="1076326561"/>
    <s v="MURILLO MANYOMA ELCY BELARMINA"/>
    <n v="41"/>
    <n v="0"/>
    <n v="2140797"/>
  </r>
  <r>
    <s v="Franquicias Sell Out QUEST"/>
    <s v="FQ085 - Istmina - Chocó"/>
    <x v="7"/>
    <s v="octubre"/>
    <n v="2"/>
    <d v="2026-10-02T00:00:00"/>
    <n v="1077477819"/>
    <s v="MOSQUERA VIVEROS SANDRA PAOLA"/>
    <n v="32"/>
    <n v="0"/>
    <n v="1422648"/>
  </r>
  <r>
    <s v="Franquicias Sell Out QUEST"/>
    <s v="FQ085 - Istmina - Chocó"/>
    <x v="7"/>
    <s v="octubre"/>
    <n v="3"/>
    <d v="2026-10-03T00:00:00"/>
    <m/>
    <m/>
    <n v="0"/>
    <n v="2225487"/>
    <n v="0"/>
  </r>
  <r>
    <s v="Franquicias Sell Out QUEST"/>
    <s v="FQ085 - Istmina - Chocó"/>
    <x v="7"/>
    <s v="octubre"/>
    <n v="3"/>
    <d v="2026-10-03T00:00:00"/>
    <n v="1076326561"/>
    <s v="MURILLO MANYOMA ELCY BELARMINA"/>
    <n v="52"/>
    <n v="0"/>
    <n v="2010420"/>
  </r>
  <r>
    <s v="Franquicias Sell Out QUEST"/>
    <s v="FQ085 - Istmina - Chocó"/>
    <x v="7"/>
    <s v="octubre"/>
    <n v="3"/>
    <d v="2026-10-03T00:00:00"/>
    <n v="1077477819"/>
    <s v="MOSQUERA VIVEROS SANDRA PAOLA"/>
    <n v="35"/>
    <n v="0"/>
    <n v="1657573"/>
  </r>
  <r>
    <s v="Franquicias Sell Out QUEST"/>
    <s v="FQ085 - Istmina - Chocó"/>
    <x v="7"/>
    <s v="octubre"/>
    <n v="4"/>
    <d v="2026-10-04T00:00:00"/>
    <m/>
    <m/>
    <n v="0"/>
    <n v="2236906"/>
    <n v="0"/>
  </r>
  <r>
    <s v="Franquicias Sell Out QUEST"/>
    <s v="FQ085 - Istmina - Chocó"/>
    <x v="7"/>
    <s v="octubre"/>
    <n v="4"/>
    <d v="2026-10-04T00:00:00"/>
    <n v="1076326561"/>
    <s v="MURILLO MANYOMA ELCY BELARMINA"/>
    <n v="68"/>
    <n v="0"/>
    <n v="3099752"/>
  </r>
  <r>
    <s v="Franquicias Sell Out QUEST"/>
    <s v="FQ085 - Istmina - Chocó"/>
    <x v="7"/>
    <s v="octubre"/>
    <n v="5"/>
    <d v="2026-10-05T00:00:00"/>
    <m/>
    <m/>
    <n v="0"/>
    <n v="3694100"/>
    <n v="0"/>
  </r>
  <r>
    <s v="Franquicias Sell Out QUEST"/>
    <s v="FQ085 - Istmina - Chocó"/>
    <x v="7"/>
    <s v="octubre"/>
    <n v="5"/>
    <d v="2026-10-05T00:00:00"/>
    <n v="1077477819"/>
    <s v="MOSQUERA VIVEROS SANDRA PAOLA"/>
    <n v="79"/>
    <n v="0"/>
    <n v="4681180"/>
  </r>
  <r>
    <s v="Franquicias Sell Out QUEST"/>
    <s v="FQ085 - Istmina - Chocó"/>
    <x v="7"/>
    <s v="octubre"/>
    <n v="6"/>
    <d v="2026-10-06T00:00:00"/>
    <m/>
    <m/>
    <n v="0"/>
    <n v="1562069"/>
    <n v="0"/>
  </r>
  <r>
    <s v="Franquicias Sell Out QUEST"/>
    <s v="FQ085 - Istmina - Chocó"/>
    <x v="7"/>
    <s v="octubre"/>
    <n v="6"/>
    <d v="2026-10-06T00:00:00"/>
    <n v="1076326561"/>
    <s v="MURILLO MANYOMA ELCY BELARMINA"/>
    <n v="42"/>
    <n v="0"/>
    <n v="1683678"/>
  </r>
  <r>
    <s v="Franquicias Sell Out QUEST"/>
    <s v="FQ085 - Istmina - Chocó"/>
    <x v="7"/>
    <s v="octubre"/>
    <n v="6"/>
    <d v="2026-10-06T00:00:00"/>
    <n v="1077477819"/>
    <s v="MOSQUERA VIVEROS SANDRA PAOLA"/>
    <n v="37"/>
    <n v="0"/>
    <n v="1604270"/>
  </r>
  <r>
    <s v="Franquicias Sell Out QUEST"/>
    <s v="FQ085 - Istmina - Chocó"/>
    <x v="7"/>
    <s v="octubre"/>
    <n v="7"/>
    <d v="2026-10-07T00:00:00"/>
    <m/>
    <m/>
    <n v="0"/>
    <n v="4168531"/>
    <n v="0"/>
  </r>
  <r>
    <s v="Franquicias Sell Out QUEST"/>
    <s v="FQ085 - Istmina - Chocó"/>
    <x v="7"/>
    <s v="octubre"/>
    <n v="7"/>
    <d v="2026-10-07T00:00:00"/>
    <n v="1076326561"/>
    <s v="MURILLO MANYOMA ELCY BELARMINA"/>
    <n v="37"/>
    <n v="0"/>
    <n v="1388825"/>
  </r>
  <r>
    <s v="Franquicias Sell Out QUEST"/>
    <s v="FQ085 - Istmina - Chocó"/>
    <x v="7"/>
    <s v="octubre"/>
    <n v="7"/>
    <d v="2026-10-07T00:00:00"/>
    <n v="1077477819"/>
    <s v="MOSQUERA VIVEROS SANDRA PAOLA"/>
    <n v="28"/>
    <n v="0"/>
    <n v="1183448"/>
  </r>
  <r>
    <s v="Retail"/>
    <s v="Q038 - Pereira - Cc Unicentro"/>
    <x v="7"/>
    <s v="septiembre"/>
    <n v="23"/>
    <d v="2026-09-23T00:00:00"/>
    <m/>
    <m/>
    <n v="0"/>
    <n v="6379278"/>
    <n v="0"/>
  </r>
  <r>
    <s v="Retail"/>
    <s v="Q038 - Pereira - Cc Unicentro"/>
    <x v="7"/>
    <s v="septiembre"/>
    <n v="23"/>
    <d v="2026-09-23T00:00:00"/>
    <n v="1002491256"/>
    <s v="RADA GONZALEZ MARIA LAURA"/>
    <n v="48"/>
    <n v="0"/>
    <n v="2310589"/>
  </r>
  <r>
    <s v="Retail"/>
    <s v="Q038 - Pereira - Cc Unicentro"/>
    <x v="7"/>
    <s v="septiembre"/>
    <n v="23"/>
    <d v="2026-09-23T00:00:00"/>
    <n v="1004520656"/>
    <s v="CARDENAS CASTAÑO SOFIA"/>
    <n v="22"/>
    <n v="0"/>
    <n v="1473825"/>
  </r>
  <r>
    <s v="Retail"/>
    <s v="Q038 - Pereira - Cc Unicentro"/>
    <x v="7"/>
    <s v="septiembre"/>
    <n v="23"/>
    <d v="2026-09-23T00:00:00"/>
    <n v="1088333747"/>
    <s v="FLOREZ AGUDELO  ANGIE "/>
    <n v="60"/>
    <n v="0"/>
    <n v="3509877"/>
  </r>
  <r>
    <s v="Retail"/>
    <s v="Q038 - Pereira - Cc Unicentro"/>
    <x v="7"/>
    <s v="septiembre"/>
    <n v="23"/>
    <d v="2026-09-23T00:00:00"/>
    <n v="1112760066"/>
    <s v="RIVERA QUINTERO ANGELLI"/>
    <n v="73"/>
    <n v="0"/>
    <n v="4172901"/>
  </r>
  <r>
    <s v="Retail"/>
    <s v="Q038 - Pereira - Cc Unicentro"/>
    <x v="7"/>
    <s v="septiembre"/>
    <n v="24"/>
    <d v="2026-09-24T00:00:00"/>
    <m/>
    <m/>
    <n v="0"/>
    <n v="9745069"/>
    <n v="0"/>
  </r>
  <r>
    <s v="Retail"/>
    <s v="Q038 - Pereira - Cc Unicentro"/>
    <x v="7"/>
    <s v="septiembre"/>
    <n v="24"/>
    <d v="2026-09-24T00:00:00"/>
    <n v="1002491256"/>
    <s v="RADA GONZALEZ MARIA LAURA"/>
    <n v="36"/>
    <n v="0"/>
    <n v="1514875"/>
  </r>
  <r>
    <s v="Retail"/>
    <s v="Q038 - Pereira - Cc Unicentro"/>
    <x v="7"/>
    <s v="septiembre"/>
    <n v="24"/>
    <d v="2026-09-24T00:00:00"/>
    <n v="1004520656"/>
    <s v="CARDENAS CASTAÑO SOFIA"/>
    <n v="25"/>
    <n v="0"/>
    <n v="1204513"/>
  </r>
  <r>
    <s v="Retail"/>
    <s v="Q038 - Pereira - Cc Unicentro"/>
    <x v="7"/>
    <s v="septiembre"/>
    <n v="24"/>
    <d v="2026-09-24T00:00:00"/>
    <n v="1088333747"/>
    <s v="FLOREZ AGUDELO  ANGIE "/>
    <n v="63"/>
    <n v="0"/>
    <n v="2635590"/>
  </r>
  <r>
    <s v="Retail"/>
    <s v="Q038 - Pereira - Cc Unicentro"/>
    <x v="7"/>
    <s v="septiembre"/>
    <n v="24"/>
    <d v="2026-09-24T00:00:00"/>
    <n v="1112760066"/>
    <s v="RIVERA QUINTERO ANGELLI"/>
    <n v="80"/>
    <n v="0"/>
    <n v="3937188"/>
  </r>
  <r>
    <s v="Retail"/>
    <s v="Q038 - Pereira - Cc Unicentro"/>
    <x v="7"/>
    <s v="septiembre"/>
    <n v="25"/>
    <d v="2026-09-25T00:00:00"/>
    <m/>
    <m/>
    <n v="0"/>
    <n v="9723491"/>
    <n v="0"/>
  </r>
  <r>
    <s v="Retail"/>
    <s v="Q038 - Pereira - Cc Unicentro"/>
    <x v="7"/>
    <s v="septiembre"/>
    <n v="25"/>
    <d v="2026-09-25T00:00:00"/>
    <n v="1002491256"/>
    <s v="RADA GONZALEZ MARIA LAURA"/>
    <n v="39"/>
    <n v="0"/>
    <n v="2816893"/>
  </r>
  <r>
    <s v="Retail"/>
    <s v="Q038 - Pereira - Cc Unicentro"/>
    <x v="7"/>
    <s v="septiembre"/>
    <n v="25"/>
    <d v="2026-09-25T00:00:00"/>
    <n v="1004520656"/>
    <s v="CARDENAS CASTAÑO SOFIA"/>
    <n v="30"/>
    <n v="0"/>
    <n v="1805294"/>
  </r>
  <r>
    <s v="Retail"/>
    <s v="Q038 - Pereira - Cc Unicentro"/>
    <x v="7"/>
    <s v="septiembre"/>
    <n v="25"/>
    <d v="2026-09-25T00:00:00"/>
    <n v="1005654398"/>
    <s v="RICO GÓMEZ CAMILA ANDREA"/>
    <n v="-1"/>
    <n v="0"/>
    <n v="-37773"/>
  </r>
  <r>
    <s v="Retail"/>
    <s v="Q038 - Pereira - Cc Unicentro"/>
    <x v="7"/>
    <s v="septiembre"/>
    <n v="25"/>
    <d v="2026-09-25T00:00:00"/>
    <n v="1088333747"/>
    <s v="FLOREZ AGUDELO  ANGIE "/>
    <n v="96"/>
    <n v="0"/>
    <n v="4211808"/>
  </r>
  <r>
    <s v="Retail"/>
    <s v="Q038 - Pereira - Cc Unicentro"/>
    <x v="7"/>
    <s v="septiembre"/>
    <n v="25"/>
    <d v="2026-09-25T00:00:00"/>
    <n v="1112760066"/>
    <s v="RIVERA QUINTERO ANGELLI"/>
    <n v="101"/>
    <n v="0"/>
    <n v="8740466"/>
  </r>
  <r>
    <s v="Retail"/>
    <s v="Q038 - Pereira - Cc Unicentro"/>
    <x v="7"/>
    <s v="septiembre"/>
    <n v="26"/>
    <d v="2026-09-26T00:00:00"/>
    <m/>
    <m/>
    <n v="0"/>
    <n v="13974058"/>
    <n v="0"/>
  </r>
  <r>
    <s v="Retail"/>
    <s v="Q038 - Pereira - Cc Unicentro"/>
    <x v="7"/>
    <s v="septiembre"/>
    <n v="26"/>
    <d v="2026-09-26T00:00:00"/>
    <n v="1002491256"/>
    <s v="RADA GONZALEZ MARIA LAURA"/>
    <n v="16"/>
    <n v="0"/>
    <n v="620966"/>
  </r>
  <r>
    <s v="Retail"/>
    <s v="Q038 - Pereira - Cc Unicentro"/>
    <x v="7"/>
    <s v="septiembre"/>
    <n v="26"/>
    <d v="2026-09-26T00:00:00"/>
    <n v="1004520656"/>
    <s v="CARDENAS CASTAÑO SOFIA"/>
    <n v="13"/>
    <n v="0"/>
    <n v="742816"/>
  </r>
  <r>
    <s v="Retail"/>
    <s v="Q038 - Pereira - Cc Unicentro"/>
    <x v="7"/>
    <s v="septiembre"/>
    <n v="26"/>
    <d v="2026-09-26T00:00:00"/>
    <n v="1088333747"/>
    <s v="FLOREZ AGUDELO  ANGIE "/>
    <n v="101"/>
    <n v="0"/>
    <n v="5746645"/>
  </r>
  <r>
    <s v="Retail"/>
    <s v="Q038 - Pereira - Cc Unicentro"/>
    <x v="7"/>
    <s v="septiembre"/>
    <n v="26"/>
    <d v="2026-09-26T00:00:00"/>
    <n v="1089598192"/>
    <s v="CASTAÑO VILLEGAS JHONATAN"/>
    <n v="125"/>
    <n v="0"/>
    <n v="6435129"/>
  </r>
  <r>
    <s v="Retail"/>
    <s v="Q038 - Pereira - Cc Unicentro"/>
    <x v="7"/>
    <s v="septiembre"/>
    <n v="26"/>
    <d v="2026-09-26T00:00:00"/>
    <n v="1112760066"/>
    <s v="RIVERA QUINTERO ANGELLI"/>
    <n v="112"/>
    <n v="0"/>
    <n v="6549245"/>
  </r>
  <r>
    <s v="Retail"/>
    <s v="Q038 - Pereira - Cc Unicentro"/>
    <x v="7"/>
    <s v="septiembre"/>
    <n v="27"/>
    <d v="2026-09-27T00:00:00"/>
    <m/>
    <m/>
    <n v="0"/>
    <n v="11070265"/>
    <n v="0"/>
  </r>
  <r>
    <s v="Retail"/>
    <s v="Q038 - Pereira - Cc Unicentro"/>
    <x v="7"/>
    <s v="septiembre"/>
    <n v="27"/>
    <d v="2026-09-27T00:00:00"/>
    <n v="1002491256"/>
    <s v="RADA GONZALEZ MARIA LAURA"/>
    <n v="22"/>
    <n v="0"/>
    <n v="994624"/>
  </r>
  <r>
    <s v="Retail"/>
    <s v="Q038 - Pereira - Cc Unicentro"/>
    <x v="7"/>
    <s v="septiembre"/>
    <n v="27"/>
    <d v="2026-09-27T00:00:00"/>
    <n v="1004520656"/>
    <s v="CARDENAS CASTAÑO SOFIA"/>
    <n v="48"/>
    <n v="0"/>
    <n v="2251892"/>
  </r>
  <r>
    <s v="Retail"/>
    <s v="Q038 - Pereira - Cc Unicentro"/>
    <x v="7"/>
    <s v="septiembre"/>
    <n v="27"/>
    <d v="2026-09-27T00:00:00"/>
    <n v="1088333747"/>
    <s v="FLOREZ AGUDELO  ANGIE "/>
    <n v="82"/>
    <n v="0"/>
    <n v="4674371"/>
  </r>
  <r>
    <s v="Retail"/>
    <s v="Q038 - Pereira - Cc Unicentro"/>
    <x v="7"/>
    <s v="septiembre"/>
    <n v="27"/>
    <d v="2026-09-27T00:00:00"/>
    <n v="1089598192"/>
    <s v="CASTAÑO VILLEGAS JHONATAN"/>
    <n v="79"/>
    <n v="0"/>
    <n v="3772750"/>
  </r>
  <r>
    <s v="Retail"/>
    <s v="Q038 - Pereira - Cc Unicentro"/>
    <x v="7"/>
    <s v="septiembre"/>
    <n v="27"/>
    <d v="2026-09-27T00:00:00"/>
    <n v="1112760066"/>
    <s v="RIVERA QUINTERO ANGELLI"/>
    <n v="102"/>
    <n v="0"/>
    <n v="5391978"/>
  </r>
  <r>
    <s v="Retail"/>
    <s v="Q038 - Pereira - Cc Unicentro"/>
    <x v="7"/>
    <s v="septiembre"/>
    <n v="28"/>
    <d v="2026-09-28T00:00:00"/>
    <m/>
    <m/>
    <n v="0"/>
    <n v="6092618"/>
    <n v="0"/>
  </r>
  <r>
    <s v="Retail"/>
    <s v="Q038 - Pereira - Cc Unicentro"/>
    <x v="7"/>
    <s v="septiembre"/>
    <n v="28"/>
    <d v="2026-09-28T00:00:00"/>
    <n v="1002491256"/>
    <s v="RADA GONZALEZ MARIA LAURA"/>
    <n v="28"/>
    <n v="0"/>
    <n v="1187564"/>
  </r>
  <r>
    <s v="Retail"/>
    <s v="Q038 - Pereira - Cc Unicentro"/>
    <x v="7"/>
    <s v="septiembre"/>
    <n v="28"/>
    <d v="2026-09-28T00:00:00"/>
    <n v="1088286603"/>
    <s v="PINEDA RODRIGUEZ ANDERSON"/>
    <n v="-1"/>
    <n v="0"/>
    <n v="-55412"/>
  </r>
  <r>
    <s v="Retail"/>
    <s v="Q038 - Pereira - Cc Unicentro"/>
    <x v="7"/>
    <s v="septiembre"/>
    <n v="28"/>
    <d v="2026-09-28T00:00:00"/>
    <n v="1088333747"/>
    <s v="FLOREZ AGUDELO  ANGIE "/>
    <n v="90"/>
    <n v="0"/>
    <n v="4200923"/>
  </r>
  <r>
    <s v="Retail"/>
    <s v="Q038 - Pereira - Cc Unicentro"/>
    <x v="7"/>
    <s v="septiembre"/>
    <n v="28"/>
    <d v="2026-09-28T00:00:00"/>
    <n v="1089598192"/>
    <s v="CASTAÑO VILLEGAS JHONATAN"/>
    <n v="-2"/>
    <n v="0"/>
    <n v="-96555"/>
  </r>
  <r>
    <s v="Retail"/>
    <s v="Q038 - Pereira - Cc Unicentro"/>
    <x v="7"/>
    <s v="septiembre"/>
    <n v="28"/>
    <d v="2026-09-28T00:00:00"/>
    <n v="1112760066"/>
    <s v="RIVERA QUINTERO ANGELLI"/>
    <n v="0"/>
    <n v="0"/>
    <n v="0"/>
  </r>
  <r>
    <s v="Retail"/>
    <s v="Q038 - Pereira - Cc Unicentro"/>
    <x v="7"/>
    <s v="septiembre"/>
    <n v="29"/>
    <d v="2026-09-29T00:00:00"/>
    <m/>
    <m/>
    <n v="0"/>
    <n v="6508113"/>
    <n v="0"/>
  </r>
  <r>
    <s v="Retail"/>
    <s v="Q038 - Pereira - Cc Unicentro"/>
    <x v="7"/>
    <s v="septiembre"/>
    <n v="29"/>
    <d v="2026-09-29T00:00:00"/>
    <n v="1002491256"/>
    <s v="RADA GONZALEZ MARIA LAURA"/>
    <n v="32"/>
    <n v="0"/>
    <n v="1645464"/>
  </r>
  <r>
    <s v="Retail"/>
    <s v="Q038 - Pereira - Cc Unicentro"/>
    <x v="7"/>
    <s v="septiembre"/>
    <n v="29"/>
    <d v="2026-09-29T00:00:00"/>
    <n v="1004520656"/>
    <s v="CARDENAS CASTAÑO SOFIA"/>
    <n v="45"/>
    <n v="0"/>
    <n v="1944836"/>
  </r>
  <r>
    <s v="Retail"/>
    <s v="Q038 - Pereira - Cc Unicentro"/>
    <x v="7"/>
    <s v="septiembre"/>
    <n v="29"/>
    <d v="2026-09-29T00:00:00"/>
    <n v="1088333747"/>
    <s v="FLOREZ AGUDELO  ANGIE "/>
    <n v="0"/>
    <n v="0"/>
    <n v="6302"/>
  </r>
  <r>
    <s v="Retail"/>
    <s v="Q038 - Pereira - Cc Unicentro"/>
    <x v="7"/>
    <s v="septiembre"/>
    <n v="29"/>
    <d v="2026-09-29T00:00:00"/>
    <n v="1089598192"/>
    <s v="CASTAÑO VILLEGAS JHONATAN"/>
    <n v="-1"/>
    <n v="0"/>
    <n v="-83950"/>
  </r>
  <r>
    <s v="Retail"/>
    <s v="Q038 - Pereira - Cc Unicentro"/>
    <x v="7"/>
    <s v="septiembre"/>
    <n v="29"/>
    <d v="2026-09-29T00:00:00"/>
    <n v="1112760066"/>
    <s v="RIVERA QUINTERO ANGELLI"/>
    <n v="67"/>
    <n v="0"/>
    <n v="3237900"/>
  </r>
  <r>
    <s v="Retail"/>
    <s v="Q038 - Pereira - Cc Unicentro"/>
    <x v="7"/>
    <s v="septiembre"/>
    <n v="29"/>
    <d v="2026-09-29T00:00:00"/>
    <n v="1116280441"/>
    <s v="LOPEZ ARBELAEZ ESTEBAN"/>
    <n v="-1"/>
    <n v="0"/>
    <n v="-50378"/>
  </r>
  <r>
    <s v="Retail"/>
    <s v="Q038 - Pereira - Cc Unicentro"/>
    <x v="7"/>
    <s v="septiembre"/>
    <n v="30"/>
    <d v="2026-09-30T00:00:00"/>
    <m/>
    <m/>
    <n v="0"/>
    <n v="6722993"/>
    <n v="0"/>
  </r>
  <r>
    <s v="Retail"/>
    <s v="Q038 - Pereira - Cc Unicentro"/>
    <x v="7"/>
    <s v="septiembre"/>
    <n v="30"/>
    <d v="2026-09-30T00:00:00"/>
    <n v="1002491256"/>
    <s v="RADA GONZALEZ MARIA LAURA"/>
    <n v="0"/>
    <n v="0"/>
    <n v="12606"/>
  </r>
  <r>
    <s v="Retail"/>
    <s v="Q038 - Pereira - Cc Unicentro"/>
    <x v="7"/>
    <s v="septiembre"/>
    <n v="30"/>
    <d v="2026-09-30T00:00:00"/>
    <n v="1004520656"/>
    <s v="CARDENAS CASTAÑO SOFIA"/>
    <n v="27"/>
    <n v="0"/>
    <n v="1006807"/>
  </r>
  <r>
    <s v="Retail"/>
    <s v="Q038 - Pereira - Cc Unicentro"/>
    <x v="7"/>
    <s v="septiembre"/>
    <n v="30"/>
    <d v="2026-09-30T00:00:00"/>
    <n v="1088333747"/>
    <s v="FLOREZ AGUDELO  ANGIE "/>
    <n v="138"/>
    <n v="0"/>
    <n v="7089503"/>
  </r>
  <r>
    <s v="Retail"/>
    <s v="Q038 - Pereira - Cc Unicentro"/>
    <x v="7"/>
    <s v="septiembre"/>
    <n v="30"/>
    <d v="2026-09-30T00:00:00"/>
    <n v="1112760066"/>
    <s v="RIVERA QUINTERO ANGELLI"/>
    <n v="30"/>
    <n v="0"/>
    <n v="1766933"/>
  </r>
  <r>
    <s v="Retail"/>
    <s v="Q038 - Pereira - Cc Unicentro"/>
    <x v="7"/>
    <s v="octubre"/>
    <n v="1"/>
    <d v="2026-10-01T00:00:00"/>
    <m/>
    <m/>
    <n v="0"/>
    <n v="7463596"/>
    <n v="0"/>
  </r>
  <r>
    <s v="Retail"/>
    <s v="Q038 - Pereira - Cc Unicentro"/>
    <x v="7"/>
    <s v="octubre"/>
    <n v="1"/>
    <d v="2026-10-01T00:00:00"/>
    <n v="1002491256"/>
    <s v="RADA GONZALEZ MARIA LAURA"/>
    <n v="18"/>
    <n v="0"/>
    <n v="961346"/>
  </r>
  <r>
    <s v="Retail"/>
    <s v="Q038 - Pereira - Cc Unicentro"/>
    <x v="7"/>
    <s v="octubre"/>
    <n v="1"/>
    <d v="2026-10-01T00:00:00"/>
    <n v="1002743905"/>
    <s v="FRANCO RAMIREZ JACKELINE"/>
    <n v="51"/>
    <n v="0"/>
    <n v="2843534"/>
  </r>
  <r>
    <s v="Retail"/>
    <s v="Q038 - Pereira - Cc Unicentro"/>
    <x v="7"/>
    <s v="octubre"/>
    <n v="1"/>
    <d v="2026-10-01T00:00:00"/>
    <n v="1004520656"/>
    <s v="CARDENAS CASTAÑO SOFIA"/>
    <n v="26"/>
    <n v="0"/>
    <n v="1208857"/>
  </r>
  <r>
    <s v="Retail"/>
    <s v="Q038 - Pereira - Cc Unicentro"/>
    <x v="7"/>
    <s v="octubre"/>
    <n v="1"/>
    <d v="2026-10-01T00:00:00"/>
    <n v="1088333747"/>
    <s v="FLOREZ AGUDELO  ANGIE "/>
    <n v="102"/>
    <n v="0"/>
    <n v="5804963"/>
  </r>
  <r>
    <s v="Retail"/>
    <s v="Q038 - Pereira - Cc Unicentro"/>
    <x v="7"/>
    <s v="octubre"/>
    <n v="1"/>
    <d v="2026-10-01T00:00:00"/>
    <n v="1112760066"/>
    <s v="RIVERA QUINTERO ANGELLI"/>
    <n v="2"/>
    <n v="0"/>
    <n v="12436"/>
  </r>
  <r>
    <s v="Retail"/>
    <s v="Q038 - Pereira - Cc Unicentro"/>
    <x v="7"/>
    <s v="octubre"/>
    <n v="2"/>
    <d v="2026-10-02T00:00:00"/>
    <m/>
    <m/>
    <n v="0"/>
    <n v="9201677"/>
    <n v="0"/>
  </r>
  <r>
    <s v="Retail"/>
    <s v="Q038 - Pereira - Cc Unicentro"/>
    <x v="7"/>
    <s v="octubre"/>
    <n v="2"/>
    <d v="2026-10-02T00:00:00"/>
    <n v="1002491256"/>
    <s v="RADA GONZALEZ MARIA LAURA"/>
    <n v="24"/>
    <n v="0"/>
    <n v="965252"/>
  </r>
  <r>
    <s v="Retail"/>
    <s v="Q038 - Pereira - Cc Unicentro"/>
    <x v="7"/>
    <s v="octubre"/>
    <n v="2"/>
    <d v="2026-10-02T00:00:00"/>
    <n v="1002743905"/>
    <s v="FRANCO RAMIREZ JACKELINE"/>
    <n v="83"/>
    <n v="0"/>
    <n v="4709455"/>
  </r>
  <r>
    <s v="Retail"/>
    <s v="Q038 - Pereira - Cc Unicentro"/>
    <x v="7"/>
    <s v="octubre"/>
    <n v="2"/>
    <d v="2026-10-02T00:00:00"/>
    <n v="1004520656"/>
    <s v="CARDENAS CASTAÑO SOFIA"/>
    <n v="24"/>
    <n v="0"/>
    <n v="1145925"/>
  </r>
  <r>
    <s v="Retail"/>
    <s v="Q038 - Pereira - Cc Unicentro"/>
    <x v="7"/>
    <s v="octubre"/>
    <n v="2"/>
    <d v="2026-10-02T00:00:00"/>
    <n v="1088333747"/>
    <s v="FLOREZ AGUDELO  ANGIE "/>
    <n v="57"/>
    <n v="0"/>
    <n v="2952355"/>
  </r>
  <r>
    <s v="Retail"/>
    <s v="Q038 - Pereira - Cc Unicentro"/>
    <x v="7"/>
    <s v="octubre"/>
    <n v="2"/>
    <d v="2026-10-02T00:00:00"/>
    <n v="1089598192"/>
    <s v="CASTAÑO VILLEGAS JHONATAN"/>
    <n v="-1"/>
    <n v="0"/>
    <n v="-79790"/>
  </r>
  <r>
    <s v="Retail"/>
    <s v="Q038 - Pereira - Cc Unicentro"/>
    <x v="7"/>
    <s v="octubre"/>
    <n v="3"/>
    <d v="2026-10-03T00:00:00"/>
    <m/>
    <m/>
    <n v="0"/>
    <n v="17492964"/>
    <n v="0"/>
  </r>
  <r>
    <s v="Retail"/>
    <s v="Q038 - Pereira - Cc Unicentro"/>
    <x v="7"/>
    <s v="octubre"/>
    <n v="3"/>
    <d v="2026-10-03T00:00:00"/>
    <n v="1002491256"/>
    <s v="RADA GONZALEZ MARIA LAURA"/>
    <n v="13"/>
    <n v="0"/>
    <n v="636320"/>
  </r>
  <r>
    <s v="Retail"/>
    <s v="Q038 - Pereira - Cc Unicentro"/>
    <x v="7"/>
    <s v="octubre"/>
    <n v="3"/>
    <d v="2026-10-03T00:00:00"/>
    <n v="1002743905"/>
    <s v="FRANCO RAMIREZ JACKELINE"/>
    <n v="101"/>
    <n v="0"/>
    <n v="4613314"/>
  </r>
  <r>
    <s v="Retail"/>
    <s v="Q038 - Pereira - Cc Unicentro"/>
    <x v="7"/>
    <s v="octubre"/>
    <n v="3"/>
    <d v="2026-10-03T00:00:00"/>
    <n v="1004520656"/>
    <s v="CARDENAS CASTAÑO SOFIA"/>
    <n v="50"/>
    <n v="0"/>
    <n v="2276188"/>
  </r>
  <r>
    <s v="Retail"/>
    <s v="Q038 - Pereira - Cc Unicentro"/>
    <x v="7"/>
    <s v="octubre"/>
    <n v="3"/>
    <d v="2026-10-03T00:00:00"/>
    <n v="1088333747"/>
    <s v="FLOREZ AGUDELO  ANGIE "/>
    <n v="136"/>
    <n v="0"/>
    <n v="6920470"/>
  </r>
  <r>
    <s v="Retail"/>
    <s v="Q038 - Pereira - Cc Unicentro"/>
    <x v="7"/>
    <s v="octubre"/>
    <n v="4"/>
    <d v="2026-10-04T00:00:00"/>
    <m/>
    <m/>
    <n v="0"/>
    <n v="14766053"/>
    <n v="0"/>
  </r>
  <r>
    <s v="Retail"/>
    <s v="Q038 - Pereira - Cc Unicentro"/>
    <x v="7"/>
    <s v="octubre"/>
    <n v="4"/>
    <d v="2026-10-04T00:00:00"/>
    <n v="1002491256"/>
    <s v="RADA GONZALEZ MARIA LAURA"/>
    <n v="17"/>
    <n v="0"/>
    <n v="675590"/>
  </r>
  <r>
    <s v="Retail"/>
    <s v="Q038 - Pereira - Cc Unicentro"/>
    <x v="7"/>
    <s v="octubre"/>
    <n v="4"/>
    <d v="2026-10-04T00:00:00"/>
    <n v="1002743905"/>
    <s v="FRANCO RAMIREZ JACKELINE"/>
    <n v="96"/>
    <n v="0"/>
    <n v="4801685"/>
  </r>
  <r>
    <s v="Retail"/>
    <s v="Q038 - Pereira - Cc Unicentro"/>
    <x v="7"/>
    <s v="octubre"/>
    <n v="4"/>
    <d v="2026-10-04T00:00:00"/>
    <n v="1004520656"/>
    <s v="CARDENAS CASTAÑO SOFIA"/>
    <n v="25"/>
    <n v="0"/>
    <n v="1326346"/>
  </r>
  <r>
    <s v="Retail"/>
    <s v="Q038 - Pereira - Cc Unicentro"/>
    <x v="7"/>
    <s v="octubre"/>
    <n v="4"/>
    <d v="2026-10-04T00:00:00"/>
    <n v="1088017254"/>
    <s v="DUQUE CUERVO SERGIO ANDRES"/>
    <n v="-1"/>
    <n v="0"/>
    <n v="-46177"/>
  </r>
  <r>
    <s v="Retail"/>
    <s v="Q038 - Pereira - Cc Unicentro"/>
    <x v="7"/>
    <s v="octubre"/>
    <n v="4"/>
    <d v="2026-10-04T00:00:00"/>
    <n v="1088333747"/>
    <s v="FLOREZ AGUDELO  ANGIE "/>
    <n v="120"/>
    <n v="0"/>
    <n v="5197108"/>
  </r>
  <r>
    <s v="Retail"/>
    <s v="Q038 - Pereira - Cc Unicentro"/>
    <x v="7"/>
    <s v="octubre"/>
    <n v="4"/>
    <d v="2026-10-04T00:00:00"/>
    <n v="1112760066"/>
    <s v="RIVERA QUINTERO ANGELLI"/>
    <n v="-1"/>
    <n v="0"/>
    <n v="-50336"/>
  </r>
  <r>
    <s v="Retail"/>
    <s v="Q038 - Pereira - Cc Unicentro"/>
    <x v="7"/>
    <s v="octubre"/>
    <n v="5"/>
    <d v="2026-10-05T00:00:00"/>
    <m/>
    <m/>
    <n v="0"/>
    <n v="5418303"/>
    <n v="0"/>
  </r>
  <r>
    <s v="Retail"/>
    <s v="Q038 - Pereira - Cc Unicentro"/>
    <x v="7"/>
    <s v="octubre"/>
    <n v="5"/>
    <d v="2026-10-05T00:00:00"/>
    <n v="4883683"/>
    <s v="GONZÁLEZ BERMÚDEZ ALEXANDRA  DEL CARMEN"/>
    <n v="-1"/>
    <n v="0"/>
    <n v="-37773"/>
  </r>
  <r>
    <s v="Retail"/>
    <s v="Q038 - Pereira - Cc Unicentro"/>
    <x v="7"/>
    <s v="octubre"/>
    <n v="5"/>
    <d v="2026-10-05T00:00:00"/>
    <n v="1002491256"/>
    <s v="RADA GONZALEZ MARIA LAURA"/>
    <n v="23"/>
    <n v="0"/>
    <n v="1108109"/>
  </r>
  <r>
    <s v="Retail"/>
    <s v="Q038 - Pereira - Cc Unicentro"/>
    <x v="7"/>
    <s v="octubre"/>
    <n v="5"/>
    <d v="2026-10-05T00:00:00"/>
    <n v="1002743905"/>
    <s v="FRANCO RAMIREZ JACKELINE"/>
    <n v="94"/>
    <n v="0"/>
    <n v="4316475"/>
  </r>
  <r>
    <s v="Retail"/>
    <s v="Q038 - Pereira - Cc Unicentro"/>
    <x v="7"/>
    <s v="octubre"/>
    <n v="5"/>
    <d v="2026-10-05T00:00:00"/>
    <n v="1004520656"/>
    <s v="CARDENAS CASTAÑO SOFIA"/>
    <n v="41"/>
    <n v="0"/>
    <n v="2197062"/>
  </r>
  <r>
    <s v="Retail"/>
    <s v="Q038 - Pereira - Cc Unicentro"/>
    <x v="7"/>
    <s v="octubre"/>
    <n v="6"/>
    <d v="2026-10-06T00:00:00"/>
    <m/>
    <m/>
    <n v="0"/>
    <n v="3291793"/>
    <n v="0"/>
  </r>
  <r>
    <s v="Retail"/>
    <s v="Q038 - Pereira - Cc Unicentro"/>
    <x v="7"/>
    <s v="octubre"/>
    <n v="6"/>
    <d v="2026-10-06T00:00:00"/>
    <n v="1002491256"/>
    <s v="RADA GONZALEZ MARIA LAURA"/>
    <n v="49"/>
    <n v="0"/>
    <n v="2331302"/>
  </r>
  <r>
    <s v="Retail"/>
    <s v="Q038 - Pereira - Cc Unicentro"/>
    <x v="7"/>
    <s v="octubre"/>
    <n v="6"/>
    <d v="2026-10-06T00:00:00"/>
    <n v="1004789966"/>
    <s v="DE LA CRUZ BUSTAMANTE MARIA ALEJANDRA"/>
    <n v="-1"/>
    <n v="0"/>
    <n v="-33529"/>
  </r>
  <r>
    <s v="Retail"/>
    <s v="Q038 - Pereira - Cc Unicentro"/>
    <x v="7"/>
    <s v="octubre"/>
    <n v="6"/>
    <d v="2026-10-06T00:00:00"/>
    <n v="1088333747"/>
    <s v="FLOREZ AGUDELO  ANGIE "/>
    <n v="105"/>
    <n v="0"/>
    <n v="5449880"/>
  </r>
  <r>
    <s v="Retail"/>
    <s v="Q038 - Pereira - Cc Unicentro"/>
    <x v="7"/>
    <s v="octubre"/>
    <n v="7"/>
    <d v="2026-10-07T00:00:00"/>
    <m/>
    <m/>
    <n v="0"/>
    <n v="3257230"/>
    <n v="0"/>
  </r>
  <r>
    <s v="Retail"/>
    <s v="Q038 - Pereira - Cc Unicentro"/>
    <x v="7"/>
    <s v="octubre"/>
    <n v="7"/>
    <d v="2026-10-07T00:00:00"/>
    <n v="1002491256"/>
    <s v="RADA GONZALEZ MARIA LAURA"/>
    <n v="19"/>
    <n v="0"/>
    <n v="755171"/>
  </r>
  <r>
    <s v="Retail"/>
    <s v="Q038 - Pereira - Cc Unicentro"/>
    <x v="7"/>
    <s v="octubre"/>
    <n v="7"/>
    <d v="2026-10-07T00:00:00"/>
    <n v="1002743905"/>
    <s v="FRANCO RAMIREZ JACKELINE"/>
    <n v="49"/>
    <n v="0"/>
    <n v="2801891"/>
  </r>
  <r>
    <s v="Retail"/>
    <s v="Q038 - Pereira - Cc Unicentro"/>
    <x v="7"/>
    <s v="octubre"/>
    <n v="7"/>
    <d v="2026-10-07T00:00:00"/>
    <n v="1088333747"/>
    <s v="FLOREZ AGUDELO  ANGIE "/>
    <n v="60"/>
    <n v="0"/>
    <n v="3080775"/>
  </r>
  <r>
    <s v="Retail"/>
    <s v="Q038 - Pereira - Cc Unicentro"/>
    <x v="7"/>
    <s v="octubre"/>
    <n v="7"/>
    <d v="2026-10-07T00:00:00"/>
    <n v="1112760066"/>
    <s v="RIVERA QUINTERO ANGELLI"/>
    <n v="-1"/>
    <n v="0"/>
    <n v="-20966"/>
  </r>
  <r>
    <s v="Retail"/>
    <s v="Q049 - Dosquebradas - Cc Unico"/>
    <x v="7"/>
    <s v="septiembre"/>
    <n v="23"/>
    <d v="2026-09-23T00:00:00"/>
    <m/>
    <m/>
    <n v="0"/>
    <n v="13033271"/>
    <n v="0"/>
  </r>
  <r>
    <s v="Retail"/>
    <s v="Q049 - Dosquebradas - Cc Unico"/>
    <x v="7"/>
    <s v="septiembre"/>
    <n v="23"/>
    <d v="2026-09-23T00:00:00"/>
    <n v="4883683"/>
    <s v="GONZÁLEZ BERMÚDEZ ALEXANDRA  DEL CARMEN"/>
    <n v="37"/>
    <n v="0"/>
    <n v="1634792"/>
  </r>
  <r>
    <s v="Retail"/>
    <s v="Q049 - Dosquebradas - Cc Unico"/>
    <x v="7"/>
    <s v="septiembre"/>
    <n v="23"/>
    <d v="2026-09-23T00:00:00"/>
    <n v="1006535971"/>
    <s v="MOLINA ARTEGA VERONICA"/>
    <n v="84"/>
    <n v="0"/>
    <n v="5361597"/>
  </r>
  <r>
    <s v="Retail"/>
    <s v="Q049 - Dosquebradas - Cc Unico"/>
    <x v="7"/>
    <s v="septiembre"/>
    <n v="23"/>
    <d v="2026-09-23T00:00:00"/>
    <n v="1088017254"/>
    <s v="DUQUE CUERVO SERGIO ANDRES"/>
    <n v="-1"/>
    <n v="0"/>
    <n v="-88193"/>
  </r>
  <r>
    <s v="Retail"/>
    <s v="Q049 - Dosquebradas - Cc Unico"/>
    <x v="7"/>
    <s v="septiembre"/>
    <n v="23"/>
    <d v="2026-09-23T00:00:00"/>
    <n v="1088017991"/>
    <s v="ROJAS DUQUE EISENHAWUER"/>
    <n v="64"/>
    <n v="0"/>
    <n v="4147819"/>
  </r>
  <r>
    <s v="Retail"/>
    <s v="Q049 - Dosquebradas - Cc Unico"/>
    <x v="7"/>
    <s v="septiembre"/>
    <n v="23"/>
    <d v="2026-09-23T00:00:00"/>
    <n v="1088286603"/>
    <s v="PINEDA RODRIGUEZ ANDERSON"/>
    <n v="77"/>
    <n v="0"/>
    <n v="4171008"/>
  </r>
  <r>
    <s v="Retail"/>
    <s v="Q049 - Dosquebradas - Cc Unico"/>
    <x v="7"/>
    <s v="septiembre"/>
    <n v="23"/>
    <d v="2026-09-23T00:00:00"/>
    <n v="1127536836"/>
    <s v="RODAS MURILLO ESTEFANIA"/>
    <n v="15"/>
    <n v="0"/>
    <n v="831195"/>
  </r>
  <r>
    <s v="Retail"/>
    <s v="Q049 - Dosquebradas - Cc Unico"/>
    <x v="7"/>
    <s v="septiembre"/>
    <n v="24"/>
    <d v="2026-09-24T00:00:00"/>
    <m/>
    <m/>
    <n v="0"/>
    <n v="19909787"/>
    <n v="0"/>
  </r>
  <r>
    <s v="Retail"/>
    <s v="Q049 - Dosquebradas - Cc Unico"/>
    <x v="7"/>
    <s v="septiembre"/>
    <n v="24"/>
    <d v="2026-09-24T00:00:00"/>
    <n v="4883683"/>
    <s v="GONZÁLEZ BERMÚDEZ ALEXANDRA  DEL CARMEN"/>
    <n v="13"/>
    <n v="0"/>
    <n v="818783"/>
  </r>
  <r>
    <s v="Retail"/>
    <s v="Q049 - Dosquebradas - Cc Unico"/>
    <x v="7"/>
    <s v="septiembre"/>
    <n v="24"/>
    <d v="2026-09-24T00:00:00"/>
    <n v="6300471"/>
    <s v="BARRIOS  MONTIEL NORMARY ELIZABETH "/>
    <n v="34"/>
    <n v="0"/>
    <n v="1796809"/>
  </r>
  <r>
    <s v="Retail"/>
    <s v="Q049 - Dosquebradas - Cc Unico"/>
    <x v="7"/>
    <s v="septiembre"/>
    <n v="24"/>
    <d v="2026-09-24T00:00:00"/>
    <n v="1006535971"/>
    <s v="MOLINA ARTEGA VERONICA"/>
    <n v="58"/>
    <n v="0"/>
    <n v="3401732"/>
  </r>
  <r>
    <s v="Retail"/>
    <s v="Q049 - Dosquebradas - Cc Unico"/>
    <x v="7"/>
    <s v="septiembre"/>
    <n v="24"/>
    <d v="2026-09-24T00:00:00"/>
    <n v="1088017991"/>
    <s v="ROJAS DUQUE EISENHAWUER"/>
    <n v="107"/>
    <n v="0"/>
    <n v="5746939"/>
  </r>
  <r>
    <s v="Retail"/>
    <s v="Q049 - Dosquebradas - Cc Unico"/>
    <x v="7"/>
    <s v="septiembre"/>
    <n v="24"/>
    <d v="2026-09-24T00:00:00"/>
    <n v="1088286603"/>
    <s v="PINEDA RODRIGUEZ ANDERSON"/>
    <n v="57"/>
    <n v="0"/>
    <n v="3478028"/>
  </r>
  <r>
    <s v="Retail"/>
    <s v="Q049 - Dosquebradas - Cc Unico"/>
    <x v="7"/>
    <s v="septiembre"/>
    <n v="24"/>
    <d v="2026-09-24T00:00:00"/>
    <n v="1127536836"/>
    <s v="RODAS MURILLO ESTEFANIA"/>
    <n v="14"/>
    <n v="0"/>
    <n v="881806"/>
  </r>
  <r>
    <s v="Retail"/>
    <s v="Q049 - Dosquebradas - Cc Unico"/>
    <x v="7"/>
    <s v="septiembre"/>
    <n v="25"/>
    <d v="2026-09-25T00:00:00"/>
    <m/>
    <m/>
    <n v="0"/>
    <n v="19865708"/>
    <n v="0"/>
  </r>
  <r>
    <s v="Retail"/>
    <s v="Q049 - Dosquebradas - Cc Unico"/>
    <x v="7"/>
    <s v="septiembre"/>
    <n v="25"/>
    <d v="2026-09-25T00:00:00"/>
    <n v="4883683"/>
    <s v="GONZÁLEZ BERMÚDEZ ALEXANDRA  DEL CARMEN"/>
    <n v="34"/>
    <n v="0"/>
    <n v="2282188"/>
  </r>
  <r>
    <s v="Retail"/>
    <s v="Q049 - Dosquebradas - Cc Unico"/>
    <x v="7"/>
    <s v="septiembre"/>
    <n v="25"/>
    <d v="2026-09-25T00:00:00"/>
    <n v="6300471"/>
    <s v="BARRIOS  MONTIEL NORMARY ELIZABETH "/>
    <n v="77"/>
    <n v="0"/>
    <n v="6587439"/>
  </r>
  <r>
    <s v="Retail"/>
    <s v="Q049 - Dosquebradas - Cc Unico"/>
    <x v="7"/>
    <s v="septiembre"/>
    <n v="25"/>
    <d v="2026-09-25T00:00:00"/>
    <n v="1006535971"/>
    <s v="MOLINA ARTEGA VERONICA"/>
    <n v="66"/>
    <n v="0"/>
    <n v="5491979"/>
  </r>
  <r>
    <s v="Retail"/>
    <s v="Q049 - Dosquebradas - Cc Unico"/>
    <x v="7"/>
    <s v="septiembre"/>
    <n v="25"/>
    <d v="2026-09-25T00:00:00"/>
    <n v="1088017991"/>
    <s v="ROJAS DUQUE EISENHAWUER"/>
    <n v="86"/>
    <n v="0"/>
    <n v="5368912"/>
  </r>
  <r>
    <s v="Retail"/>
    <s v="Q049 - Dosquebradas - Cc Unico"/>
    <x v="7"/>
    <s v="septiembre"/>
    <n v="25"/>
    <d v="2026-09-25T00:00:00"/>
    <n v="1088286603"/>
    <s v="PINEDA RODRIGUEZ ANDERSON"/>
    <n v="70"/>
    <n v="0"/>
    <n v="4731728"/>
  </r>
  <r>
    <s v="Retail"/>
    <s v="Q049 - Dosquebradas - Cc Unico"/>
    <x v="7"/>
    <s v="septiembre"/>
    <n v="25"/>
    <d v="2026-09-25T00:00:00"/>
    <n v="1094971574"/>
    <s v="RAMIREZ  FLOREZ CAROLINA "/>
    <n v="-1"/>
    <n v="0"/>
    <n v="-83949"/>
  </r>
  <r>
    <s v="Retail"/>
    <s v="Q049 - Dosquebradas - Cc Unico"/>
    <x v="7"/>
    <s v="septiembre"/>
    <n v="25"/>
    <d v="2026-09-25T00:00:00"/>
    <n v="1127536836"/>
    <s v="RODAS MURILLO ESTEFANIA"/>
    <n v="36"/>
    <n v="0"/>
    <n v="1742062"/>
  </r>
  <r>
    <s v="Retail"/>
    <s v="Q049 - Dosquebradas - Cc Unico"/>
    <x v="7"/>
    <s v="septiembre"/>
    <n v="26"/>
    <d v="2026-09-26T00:00:00"/>
    <m/>
    <m/>
    <n v="0"/>
    <n v="28549881"/>
    <n v="0"/>
  </r>
  <r>
    <s v="Retail"/>
    <s v="Q049 - Dosquebradas - Cc Unico"/>
    <x v="7"/>
    <s v="septiembre"/>
    <n v="26"/>
    <d v="2026-09-26T00:00:00"/>
    <n v="4883683"/>
    <s v="GONZÁLEZ BERMÚDEZ ALEXANDRA  DEL CARMEN"/>
    <n v="75"/>
    <n v="0"/>
    <n v="4603663"/>
  </r>
  <r>
    <s v="Retail"/>
    <s v="Q049 - Dosquebradas - Cc Unico"/>
    <x v="7"/>
    <s v="septiembre"/>
    <n v="26"/>
    <d v="2026-09-26T00:00:00"/>
    <n v="6300471"/>
    <s v="BARRIOS  MONTIEL NORMARY ELIZABETH "/>
    <n v="107"/>
    <n v="0"/>
    <n v="5820763"/>
  </r>
  <r>
    <s v="Retail"/>
    <s v="Q049 - Dosquebradas - Cc Unico"/>
    <x v="7"/>
    <s v="septiembre"/>
    <n v="26"/>
    <d v="2026-09-26T00:00:00"/>
    <n v="1006535971"/>
    <s v="MOLINA ARTEGA VERONICA"/>
    <n v="116"/>
    <n v="0"/>
    <n v="6478484"/>
  </r>
  <r>
    <s v="Retail"/>
    <s v="Q049 - Dosquebradas - Cc Unico"/>
    <x v="7"/>
    <s v="septiembre"/>
    <n v="26"/>
    <d v="2026-09-26T00:00:00"/>
    <n v="1088017991"/>
    <s v="ROJAS DUQUE EISENHAWUER"/>
    <n v="115"/>
    <n v="0"/>
    <n v="6891450"/>
  </r>
  <r>
    <s v="Retail"/>
    <s v="Q049 - Dosquebradas - Cc Unico"/>
    <x v="7"/>
    <s v="septiembre"/>
    <n v="26"/>
    <d v="2026-09-26T00:00:00"/>
    <n v="1088286603"/>
    <s v="PINEDA RODRIGUEZ ANDERSON"/>
    <n v="95"/>
    <n v="0"/>
    <n v="5550379"/>
  </r>
  <r>
    <s v="Retail"/>
    <s v="Q049 - Dosquebradas - Cc Unico"/>
    <x v="7"/>
    <s v="septiembre"/>
    <n v="26"/>
    <d v="2026-09-26T00:00:00"/>
    <n v="1088333564"/>
    <s v="LOPEZ AGUIRRE CESAR AUGUSTO"/>
    <n v="71"/>
    <n v="0"/>
    <n v="4284462"/>
  </r>
  <r>
    <s v="Retail"/>
    <s v="Q049 - Dosquebradas - Cc Unico"/>
    <x v="7"/>
    <s v="septiembre"/>
    <n v="26"/>
    <d v="2026-09-26T00:00:00"/>
    <n v="1127536836"/>
    <s v="RODAS MURILLO ESTEFANIA"/>
    <n v="25"/>
    <n v="0"/>
    <n v="1603996"/>
  </r>
  <r>
    <s v="Retail"/>
    <s v="Q049 - Dosquebradas - Cc Unico"/>
    <x v="7"/>
    <s v="septiembre"/>
    <n v="27"/>
    <d v="2026-09-27T00:00:00"/>
    <m/>
    <m/>
    <n v="0"/>
    <n v="22617256"/>
    <n v="0"/>
  </r>
  <r>
    <s v="Retail"/>
    <s v="Q049 - Dosquebradas - Cc Unico"/>
    <x v="7"/>
    <s v="septiembre"/>
    <n v="27"/>
    <d v="2026-09-27T00:00:00"/>
    <n v="4883683"/>
    <s v="GONZÁLEZ BERMÚDEZ ALEXANDRA  DEL CARMEN"/>
    <n v="79"/>
    <n v="0"/>
    <n v="4479582"/>
  </r>
  <r>
    <s v="Retail"/>
    <s v="Q049 - Dosquebradas - Cc Unico"/>
    <x v="7"/>
    <s v="septiembre"/>
    <n v="27"/>
    <d v="2026-09-27T00:00:00"/>
    <n v="6300471"/>
    <s v="BARRIOS  MONTIEL NORMARY ELIZABETH "/>
    <n v="105"/>
    <n v="0"/>
    <n v="5999584"/>
  </r>
  <r>
    <s v="Retail"/>
    <s v="Q049 - Dosquebradas - Cc Unico"/>
    <x v="7"/>
    <s v="septiembre"/>
    <n v="27"/>
    <d v="2026-09-27T00:00:00"/>
    <n v="1005134195"/>
    <s v="RUIZ  PARRA MATTHYW "/>
    <n v="-2"/>
    <n v="0"/>
    <n v="-167899"/>
  </r>
  <r>
    <s v="Retail"/>
    <s v="Q049 - Dosquebradas - Cc Unico"/>
    <x v="7"/>
    <s v="septiembre"/>
    <n v="27"/>
    <d v="2026-09-27T00:00:00"/>
    <n v="1006535971"/>
    <s v="MOLINA ARTEGA VERONICA"/>
    <n v="130"/>
    <n v="0"/>
    <n v="7273325"/>
  </r>
  <r>
    <s v="Retail"/>
    <s v="Q049 - Dosquebradas - Cc Unico"/>
    <x v="7"/>
    <s v="septiembre"/>
    <n v="27"/>
    <d v="2026-09-27T00:00:00"/>
    <n v="1088017991"/>
    <s v="ROJAS DUQUE EISENHAWUER"/>
    <n v="125"/>
    <n v="0"/>
    <n v="6574127"/>
  </r>
  <r>
    <s v="Retail"/>
    <s v="Q049 - Dosquebradas - Cc Unico"/>
    <x v="7"/>
    <s v="septiembre"/>
    <n v="27"/>
    <d v="2026-09-27T00:00:00"/>
    <n v="1088286603"/>
    <s v="PINEDA RODRIGUEZ ANDERSON"/>
    <n v="112"/>
    <n v="0"/>
    <n v="5956066"/>
  </r>
  <r>
    <s v="Retail"/>
    <s v="Q049 - Dosquebradas - Cc Unico"/>
    <x v="7"/>
    <s v="septiembre"/>
    <n v="27"/>
    <d v="2026-09-27T00:00:00"/>
    <n v="1088333564"/>
    <s v="LOPEZ AGUIRRE CESAR AUGUSTO"/>
    <n v="83"/>
    <n v="0"/>
    <n v="4842654"/>
  </r>
  <r>
    <s v="Retail"/>
    <s v="Q049 - Dosquebradas - Cc Unico"/>
    <x v="7"/>
    <s v="septiembre"/>
    <n v="27"/>
    <d v="2026-09-27T00:00:00"/>
    <n v="1127536836"/>
    <s v="RODAS MURILLO ESTEFANIA"/>
    <n v="0"/>
    <n v="0"/>
    <n v="12605"/>
  </r>
  <r>
    <s v="Retail"/>
    <s v="Q049 - Dosquebradas - Cc Unico"/>
    <x v="7"/>
    <s v="septiembre"/>
    <n v="28"/>
    <d v="2026-09-28T00:00:00"/>
    <m/>
    <m/>
    <n v="0"/>
    <n v="12447606"/>
    <n v="0"/>
  </r>
  <r>
    <s v="Retail"/>
    <s v="Q049 - Dosquebradas - Cc Unico"/>
    <x v="7"/>
    <s v="septiembre"/>
    <n v="28"/>
    <d v="2026-09-28T00:00:00"/>
    <n v="4883683"/>
    <s v="GONZÁLEZ BERMÚDEZ ALEXANDRA  DEL CARMEN"/>
    <n v="29"/>
    <n v="0"/>
    <n v="1282312"/>
  </r>
  <r>
    <s v="Retail"/>
    <s v="Q049 - Dosquebradas - Cc Unico"/>
    <x v="7"/>
    <s v="septiembre"/>
    <n v="28"/>
    <d v="2026-09-28T00:00:00"/>
    <n v="1006535971"/>
    <s v="MOLINA ARTEGA VERONICA"/>
    <n v="22"/>
    <n v="0"/>
    <n v="1326700"/>
  </r>
  <r>
    <s v="Retail"/>
    <s v="Q049 - Dosquebradas - Cc Unico"/>
    <x v="7"/>
    <s v="septiembre"/>
    <n v="28"/>
    <d v="2026-09-28T00:00:00"/>
    <n v="1088017991"/>
    <s v="ROJAS DUQUE EISENHAWUER"/>
    <n v="68"/>
    <n v="0"/>
    <n v="4190914"/>
  </r>
  <r>
    <s v="Retail"/>
    <s v="Q049 - Dosquebradas - Cc Unico"/>
    <x v="7"/>
    <s v="septiembre"/>
    <n v="28"/>
    <d v="2026-09-28T00:00:00"/>
    <n v="1088286603"/>
    <s v="PINEDA RODRIGUEZ ANDERSON"/>
    <n v="75"/>
    <n v="0"/>
    <n v="5869286"/>
  </r>
  <r>
    <s v="Retail"/>
    <s v="Q049 - Dosquebradas - Cc Unico"/>
    <x v="7"/>
    <s v="septiembre"/>
    <n v="28"/>
    <d v="2026-09-28T00:00:00"/>
    <n v="1127536836"/>
    <s v="RODAS MURILLO ESTEFANIA"/>
    <n v="29"/>
    <n v="0"/>
    <n v="1463066"/>
  </r>
  <r>
    <s v="Retail"/>
    <s v="Q049 - Dosquebradas - Cc Unico"/>
    <x v="7"/>
    <s v="septiembre"/>
    <n v="29"/>
    <d v="2026-09-29T00:00:00"/>
    <m/>
    <m/>
    <n v="0"/>
    <n v="13296484"/>
    <n v="0"/>
  </r>
  <r>
    <s v="Retail"/>
    <s v="Q049 - Dosquebradas - Cc Unico"/>
    <x v="7"/>
    <s v="septiembre"/>
    <n v="29"/>
    <d v="2026-09-29T00:00:00"/>
    <n v="6300471"/>
    <s v="BARRIOS  MONTIEL NORMARY ELIZABETH "/>
    <n v="-2"/>
    <n v="0"/>
    <n v="-83907"/>
  </r>
  <r>
    <s v="Retail"/>
    <s v="Q049 - Dosquebradas - Cc Unico"/>
    <x v="7"/>
    <s v="septiembre"/>
    <n v="29"/>
    <d v="2026-09-29T00:00:00"/>
    <n v="1006535971"/>
    <s v="MOLINA ARTEGA VERONICA"/>
    <n v="86"/>
    <n v="0"/>
    <n v="3938404"/>
  </r>
  <r>
    <s v="Retail"/>
    <s v="Q049 - Dosquebradas - Cc Unico"/>
    <x v="7"/>
    <s v="septiembre"/>
    <n v="29"/>
    <d v="2026-09-29T00:00:00"/>
    <n v="1088017991"/>
    <s v="ROJAS DUQUE EISENHAWUER"/>
    <n v="114"/>
    <n v="0"/>
    <n v="4251100"/>
  </r>
  <r>
    <s v="Retail"/>
    <s v="Q049 - Dosquebradas - Cc Unico"/>
    <x v="7"/>
    <s v="septiembre"/>
    <n v="29"/>
    <d v="2026-09-29T00:00:00"/>
    <n v="1088286603"/>
    <s v="PINEDA RODRIGUEZ ANDERSON"/>
    <n v="66"/>
    <n v="0"/>
    <n v="2564811"/>
  </r>
  <r>
    <s v="Retail"/>
    <s v="Q049 - Dosquebradas - Cc Unico"/>
    <x v="7"/>
    <s v="septiembre"/>
    <n v="29"/>
    <d v="2026-09-29T00:00:00"/>
    <n v="1127536836"/>
    <s v="RODAS MURILLO ESTEFANIA"/>
    <n v="56"/>
    <n v="0"/>
    <n v="2635674"/>
  </r>
  <r>
    <s v="Retail"/>
    <s v="Q049 - Dosquebradas - Cc Unico"/>
    <x v="7"/>
    <s v="septiembre"/>
    <n v="30"/>
    <d v="2026-09-30T00:00:00"/>
    <m/>
    <m/>
    <n v="0"/>
    <n v="13735503"/>
    <n v="0"/>
  </r>
  <r>
    <s v="Retail"/>
    <s v="Q049 - Dosquebradas - Cc Unico"/>
    <x v="7"/>
    <s v="septiembre"/>
    <n v="30"/>
    <d v="2026-09-30T00:00:00"/>
    <n v="4883683"/>
    <s v="GONZÁLEZ BERMÚDEZ ALEXANDRA  DEL CARMEN"/>
    <n v="45"/>
    <n v="0"/>
    <n v="2268657"/>
  </r>
  <r>
    <s v="Retail"/>
    <s v="Q049 - Dosquebradas - Cc Unico"/>
    <x v="7"/>
    <s v="septiembre"/>
    <n v="30"/>
    <d v="2026-09-30T00:00:00"/>
    <n v="1004789966"/>
    <s v="DE LA CRUZ BUSTAMANTE MARIA ALEJANDRA"/>
    <n v="-1"/>
    <n v="0"/>
    <n v="-71386"/>
  </r>
  <r>
    <s v="Retail"/>
    <s v="Q049 - Dosquebradas - Cc Unico"/>
    <x v="7"/>
    <s v="septiembre"/>
    <n v="30"/>
    <d v="2026-09-30T00:00:00"/>
    <n v="1006535971"/>
    <s v="MOLINA ARTEGA VERONICA"/>
    <n v="85"/>
    <n v="0"/>
    <n v="3906638"/>
  </r>
  <r>
    <s v="Retail"/>
    <s v="Q049 - Dosquebradas - Cc Unico"/>
    <x v="7"/>
    <s v="septiembre"/>
    <n v="30"/>
    <d v="2026-09-30T00:00:00"/>
    <n v="1088017991"/>
    <s v="ROJAS DUQUE EISENHAWUER"/>
    <n v="187"/>
    <n v="0"/>
    <n v="7290717"/>
  </r>
  <r>
    <s v="Retail"/>
    <s v="Q049 - Dosquebradas - Cc Unico"/>
    <x v="7"/>
    <s v="septiembre"/>
    <n v="30"/>
    <d v="2026-09-30T00:00:00"/>
    <n v="1088286603"/>
    <s v="PINEDA RODRIGUEZ ANDERSON"/>
    <n v="83"/>
    <n v="0"/>
    <n v="5019325"/>
  </r>
  <r>
    <s v="Retail"/>
    <s v="Q049 - Dosquebradas - Cc Unico"/>
    <x v="7"/>
    <s v="septiembre"/>
    <n v="30"/>
    <d v="2026-09-30T00:00:00"/>
    <n v="1088333564"/>
    <s v="LOPEZ AGUIRRE CESAR AUGUSTO"/>
    <n v="2"/>
    <n v="0"/>
    <n v="33446"/>
  </r>
  <r>
    <s v="Retail"/>
    <s v="Q049 - Dosquebradas - Cc Unico"/>
    <x v="7"/>
    <s v="septiembre"/>
    <n v="30"/>
    <d v="2026-09-30T00:00:00"/>
    <n v="1127536836"/>
    <s v="RODAS MURILLO ESTEFANIA"/>
    <n v="65"/>
    <n v="0"/>
    <n v="3145820"/>
  </r>
  <r>
    <s v="Retail"/>
    <s v="Q049 - Dosquebradas - Cc Unico"/>
    <x v="7"/>
    <s v="octubre"/>
    <n v="1"/>
    <d v="2026-10-01T00:00:00"/>
    <m/>
    <m/>
    <n v="0"/>
    <n v="15468729"/>
    <n v="0"/>
  </r>
  <r>
    <s v="Retail"/>
    <s v="Q049 - Dosquebradas - Cc Unico"/>
    <x v="7"/>
    <s v="octubre"/>
    <n v="1"/>
    <d v="2026-10-01T00:00:00"/>
    <n v="4883683"/>
    <s v="GONZÁLEZ BERMÚDEZ ALEXANDRA  DEL CARMEN"/>
    <n v="46"/>
    <n v="0"/>
    <n v="2192481"/>
  </r>
  <r>
    <s v="Retail"/>
    <s v="Q049 - Dosquebradas - Cc Unico"/>
    <x v="7"/>
    <s v="octubre"/>
    <n v="1"/>
    <d v="2026-10-01T00:00:00"/>
    <n v="1006535971"/>
    <s v="MOLINA ARTEGA VERONICA"/>
    <n v="163"/>
    <n v="0"/>
    <n v="7223447"/>
  </r>
  <r>
    <s v="Retail"/>
    <s v="Q049 - Dosquebradas - Cc Unico"/>
    <x v="7"/>
    <s v="octubre"/>
    <n v="1"/>
    <d v="2026-10-01T00:00:00"/>
    <n v="1088017991"/>
    <s v="ROJAS DUQUE EISENHAWUER"/>
    <n v="1"/>
    <n v="0"/>
    <n v="117689"/>
  </r>
  <r>
    <s v="Retail"/>
    <s v="Q049 - Dosquebradas - Cc Unico"/>
    <x v="7"/>
    <s v="octubre"/>
    <n v="1"/>
    <d v="2026-10-01T00:00:00"/>
    <n v="1088286603"/>
    <s v="PINEDA RODRIGUEZ ANDERSON"/>
    <n v="146"/>
    <n v="0"/>
    <n v="6440258"/>
  </r>
  <r>
    <s v="Retail"/>
    <s v="Q049 - Dosquebradas - Cc Unico"/>
    <x v="7"/>
    <s v="octubre"/>
    <n v="1"/>
    <d v="2026-10-01T00:00:00"/>
    <n v="1088303391"/>
    <s v="ARIAS VELASQUEZ PAOLA ANDREA"/>
    <n v="-1"/>
    <n v="0"/>
    <n v="-29370"/>
  </r>
  <r>
    <s v="Retail"/>
    <s v="Q049 - Dosquebradas - Cc Unico"/>
    <x v="7"/>
    <s v="octubre"/>
    <n v="1"/>
    <d v="2026-10-01T00:00:00"/>
    <n v="1089598192"/>
    <s v="CASTAÑO VILLEGAS JHONATAN"/>
    <n v="-1"/>
    <n v="0"/>
    <n v="-71386"/>
  </r>
  <r>
    <s v="Retail"/>
    <s v="Q049 - Dosquebradas - Cc Unico"/>
    <x v="7"/>
    <s v="octubre"/>
    <n v="1"/>
    <d v="2026-10-01T00:00:00"/>
    <n v="1127536836"/>
    <s v="RODAS MURILLO ESTEFANIA"/>
    <n v="91"/>
    <n v="0"/>
    <n v="3740465"/>
  </r>
  <r>
    <s v="Retail"/>
    <s v="Q049 - Dosquebradas - Cc Unico"/>
    <x v="7"/>
    <s v="octubre"/>
    <n v="2"/>
    <d v="2026-10-02T00:00:00"/>
    <m/>
    <m/>
    <n v="0"/>
    <n v="22132018"/>
    <n v="0"/>
  </r>
  <r>
    <s v="Retail"/>
    <s v="Q049 - Dosquebradas - Cc Unico"/>
    <x v="7"/>
    <s v="octubre"/>
    <n v="2"/>
    <d v="2026-10-02T00:00:00"/>
    <n v="4883683"/>
    <s v="GONZÁLEZ BERMÚDEZ ALEXANDRA  DEL CARMEN"/>
    <n v="58"/>
    <n v="0"/>
    <n v="2852018"/>
  </r>
  <r>
    <s v="Retail"/>
    <s v="Q049 - Dosquebradas - Cc Unico"/>
    <x v="7"/>
    <s v="octubre"/>
    <n v="2"/>
    <d v="2026-10-02T00:00:00"/>
    <n v="1006535971"/>
    <s v="MOLINA ARTEGA VERONICA"/>
    <n v="109"/>
    <n v="0"/>
    <n v="7697144"/>
  </r>
  <r>
    <s v="Retail"/>
    <s v="Q049 - Dosquebradas - Cc Unico"/>
    <x v="7"/>
    <s v="octubre"/>
    <n v="2"/>
    <d v="2026-10-02T00:00:00"/>
    <n v="1088017991"/>
    <s v="ROJAS DUQUE EISENHAWUER"/>
    <n v="36"/>
    <n v="0"/>
    <n v="1395002"/>
  </r>
  <r>
    <s v="Retail"/>
    <s v="Q049 - Dosquebradas - Cc Unico"/>
    <x v="7"/>
    <s v="octubre"/>
    <n v="2"/>
    <d v="2026-10-02T00:00:00"/>
    <n v="1088286603"/>
    <s v="PINEDA RODRIGUEZ ANDERSON"/>
    <n v="62"/>
    <n v="0"/>
    <n v="3143869"/>
  </r>
  <r>
    <s v="Retail"/>
    <s v="Q049 - Dosquebradas - Cc Unico"/>
    <x v="7"/>
    <s v="octubre"/>
    <n v="2"/>
    <d v="2026-10-02T00:00:00"/>
    <n v="1127536836"/>
    <s v="RODAS MURILLO ESTEFANIA"/>
    <n v="89"/>
    <n v="0"/>
    <n v="4606389"/>
  </r>
  <r>
    <s v="Retail"/>
    <s v="Q049 - Dosquebradas - Cc Unico"/>
    <x v="7"/>
    <s v="octubre"/>
    <n v="3"/>
    <d v="2026-10-03T00:00:00"/>
    <m/>
    <m/>
    <n v="0"/>
    <n v="39915786"/>
    <n v="0"/>
  </r>
  <r>
    <s v="Retail"/>
    <s v="Q049 - Dosquebradas - Cc Unico"/>
    <x v="7"/>
    <s v="octubre"/>
    <n v="3"/>
    <d v="2026-10-03T00:00:00"/>
    <n v="4883683"/>
    <s v="GONZÁLEZ BERMÚDEZ ALEXANDRA  DEL CARMEN"/>
    <n v="53"/>
    <n v="0"/>
    <n v="2375853"/>
  </r>
  <r>
    <s v="Retail"/>
    <s v="Q049 - Dosquebradas - Cc Unico"/>
    <x v="7"/>
    <s v="octubre"/>
    <n v="3"/>
    <d v="2026-10-03T00:00:00"/>
    <n v="6300471"/>
    <s v="BARRIOS  MONTIEL NORMARY ELIZABETH "/>
    <n v="-1"/>
    <n v="0"/>
    <n v="-50378"/>
  </r>
  <r>
    <s v="Retail"/>
    <s v="Q049 - Dosquebradas - Cc Unico"/>
    <x v="7"/>
    <s v="octubre"/>
    <n v="3"/>
    <d v="2026-10-03T00:00:00"/>
    <n v="1006535971"/>
    <s v="MOLINA ARTEGA VERONICA"/>
    <n v="171"/>
    <n v="0"/>
    <n v="9078169"/>
  </r>
  <r>
    <s v="Retail"/>
    <s v="Q049 - Dosquebradas - Cc Unico"/>
    <x v="7"/>
    <s v="octubre"/>
    <n v="3"/>
    <d v="2026-10-03T00:00:00"/>
    <n v="1088286603"/>
    <s v="PINEDA RODRIGUEZ ANDERSON"/>
    <n v="286"/>
    <n v="0"/>
    <n v="12916888"/>
  </r>
  <r>
    <s v="Retail"/>
    <s v="Q049 - Dosquebradas - Cc Unico"/>
    <x v="7"/>
    <s v="octubre"/>
    <n v="3"/>
    <d v="2026-10-03T00:00:00"/>
    <n v="1088333747"/>
    <s v="FLOREZ AGUDELO  ANGIE "/>
    <n v="-1"/>
    <n v="0"/>
    <n v="-37773"/>
  </r>
  <r>
    <s v="Retail"/>
    <s v="Q049 - Dosquebradas - Cc Unico"/>
    <x v="7"/>
    <s v="octubre"/>
    <n v="3"/>
    <d v="2026-10-03T00:00:00"/>
    <n v="1112620904"/>
    <s v="OROZCO SALGADO KEREN  LISETH"/>
    <n v="-1"/>
    <n v="0"/>
    <n v="-50336"/>
  </r>
  <r>
    <s v="Retail"/>
    <s v="Q049 - Dosquebradas - Cc Unico"/>
    <x v="7"/>
    <s v="octubre"/>
    <n v="3"/>
    <d v="2026-10-03T00:00:00"/>
    <n v="1127536836"/>
    <s v="RODAS MURILLO ESTEFANIA"/>
    <n v="126"/>
    <n v="0"/>
    <n v="5851501"/>
  </r>
  <r>
    <s v="Retail"/>
    <s v="Q049 - Dosquebradas - Cc Unico"/>
    <x v="7"/>
    <s v="octubre"/>
    <n v="4"/>
    <d v="2026-10-04T00:00:00"/>
    <m/>
    <m/>
    <n v="0"/>
    <n v="37807238"/>
    <n v="0"/>
  </r>
  <r>
    <s v="Retail"/>
    <s v="Q049 - Dosquebradas - Cc Unico"/>
    <x v="7"/>
    <s v="octubre"/>
    <n v="4"/>
    <d v="2026-10-04T00:00:00"/>
    <n v="4883683"/>
    <s v="GONZÁLEZ BERMÚDEZ ALEXANDRA  DEL CARMEN"/>
    <n v="40"/>
    <n v="0"/>
    <n v="2249879"/>
  </r>
  <r>
    <s v="Retail"/>
    <s v="Q049 - Dosquebradas - Cc Unico"/>
    <x v="7"/>
    <s v="octubre"/>
    <n v="4"/>
    <d v="2026-10-04T00:00:00"/>
    <n v="1006535971"/>
    <s v="MOLINA ARTEGA VERONICA"/>
    <n v="150"/>
    <n v="0"/>
    <n v="7047274"/>
  </r>
  <r>
    <s v="Retail"/>
    <s v="Q049 - Dosquebradas - Cc Unico"/>
    <x v="7"/>
    <s v="octubre"/>
    <n v="4"/>
    <d v="2026-10-04T00:00:00"/>
    <n v="1088017991"/>
    <s v="ROJAS DUQUE EISENHAWUER"/>
    <n v="-2"/>
    <n v="0"/>
    <n v="-88109"/>
  </r>
  <r>
    <s v="Retail"/>
    <s v="Q049 - Dosquebradas - Cc Unico"/>
    <x v="7"/>
    <s v="octubre"/>
    <n v="4"/>
    <d v="2026-10-04T00:00:00"/>
    <n v="1088286603"/>
    <s v="PINEDA RODRIGUEZ ANDERSON"/>
    <n v="237"/>
    <n v="0"/>
    <n v="11616428"/>
  </r>
  <r>
    <s v="Retail"/>
    <s v="Q049 - Dosquebradas - Cc Unico"/>
    <x v="7"/>
    <s v="octubre"/>
    <n v="4"/>
    <d v="2026-10-04T00:00:00"/>
    <n v="1112760066"/>
    <s v="RIVERA QUINTERO ANGELLI"/>
    <n v="-2"/>
    <n v="0"/>
    <n v="-83949"/>
  </r>
  <r>
    <s v="Retail"/>
    <s v="Q049 - Dosquebradas - Cc Unico"/>
    <x v="7"/>
    <s v="octubre"/>
    <n v="4"/>
    <d v="2026-10-04T00:00:00"/>
    <n v="1127536836"/>
    <s v="RODAS MURILLO ESTEFANIA"/>
    <n v="118"/>
    <n v="0"/>
    <n v="6395694"/>
  </r>
  <r>
    <s v="Retail"/>
    <s v="Q049 - Dosquebradas - Cc Unico"/>
    <x v="7"/>
    <s v="octubre"/>
    <n v="5"/>
    <d v="2026-10-05T00:00:00"/>
    <m/>
    <m/>
    <n v="0"/>
    <n v="14258516"/>
    <n v="0"/>
  </r>
  <r>
    <s v="Retail"/>
    <s v="Q049 - Dosquebradas - Cc Unico"/>
    <x v="7"/>
    <s v="octubre"/>
    <n v="5"/>
    <d v="2026-10-05T00:00:00"/>
    <n v="4883683"/>
    <s v="GONZÁLEZ BERMÚDEZ ALEXANDRA  DEL CARMEN"/>
    <n v="33"/>
    <n v="0"/>
    <n v="1325882"/>
  </r>
  <r>
    <s v="Retail"/>
    <s v="Q049 - Dosquebradas - Cc Unico"/>
    <x v="7"/>
    <s v="octubre"/>
    <n v="5"/>
    <d v="2026-10-05T00:00:00"/>
    <n v="1006535971"/>
    <s v="MOLINA ARTEGA VERONICA"/>
    <n v="82"/>
    <n v="0"/>
    <n v="4623700"/>
  </r>
  <r>
    <s v="Retail"/>
    <s v="Q049 - Dosquebradas - Cc Unico"/>
    <x v="7"/>
    <s v="octubre"/>
    <n v="5"/>
    <d v="2026-10-05T00:00:00"/>
    <n v="1088286603"/>
    <s v="PINEDA RODRIGUEZ ANDERSON"/>
    <n v="94"/>
    <n v="0"/>
    <n v="4687901"/>
  </r>
  <r>
    <s v="Retail"/>
    <s v="Q049 - Dosquebradas - Cc Unico"/>
    <x v="7"/>
    <s v="octubre"/>
    <n v="5"/>
    <d v="2026-10-05T00:00:00"/>
    <n v="1127536836"/>
    <s v="RODAS MURILLO ESTEFANIA"/>
    <n v="68"/>
    <n v="0"/>
    <n v="3389557"/>
  </r>
  <r>
    <s v="Retail"/>
    <s v="Q049 - Dosquebradas - Cc Unico"/>
    <x v="7"/>
    <s v="octubre"/>
    <n v="6"/>
    <d v="2026-10-06T00:00:00"/>
    <m/>
    <m/>
    <n v="0"/>
    <n v="8691020"/>
    <n v="0"/>
  </r>
  <r>
    <s v="Retail"/>
    <s v="Q049 - Dosquebradas - Cc Unico"/>
    <x v="7"/>
    <s v="octubre"/>
    <n v="6"/>
    <d v="2026-10-06T00:00:00"/>
    <n v="4883683"/>
    <s v="GONZÁLEZ BERMÚDEZ ALEXANDRA  DEL CARMEN"/>
    <n v="38"/>
    <n v="0"/>
    <n v="1741680"/>
  </r>
  <r>
    <s v="Retail"/>
    <s v="Q049 - Dosquebradas - Cc Unico"/>
    <x v="7"/>
    <s v="octubre"/>
    <n v="6"/>
    <d v="2026-10-06T00:00:00"/>
    <n v="1006535971"/>
    <s v="MOLINA ARTEGA VERONICA"/>
    <n v="-1"/>
    <n v="0"/>
    <n v="-65044"/>
  </r>
  <r>
    <s v="Retail"/>
    <s v="Q049 - Dosquebradas - Cc Unico"/>
    <x v="7"/>
    <s v="octubre"/>
    <n v="6"/>
    <d v="2026-10-06T00:00:00"/>
    <n v="1088286603"/>
    <s v="PINEDA RODRIGUEZ ANDERSON"/>
    <n v="98"/>
    <n v="0"/>
    <n v="4952776"/>
  </r>
  <r>
    <s v="Retail"/>
    <s v="Q049 - Dosquebradas - Cc Unico"/>
    <x v="7"/>
    <s v="octubre"/>
    <n v="6"/>
    <d v="2026-10-06T00:00:00"/>
    <n v="1127536836"/>
    <s v="RODAS MURILLO ESTEFANIA"/>
    <n v="63"/>
    <n v="0"/>
    <n v="2610086"/>
  </r>
  <r>
    <s v="Retail"/>
    <s v="Q049 - Dosquebradas - Cc Unico"/>
    <x v="7"/>
    <s v="octubre"/>
    <n v="7"/>
    <d v="2026-10-07T00:00:00"/>
    <m/>
    <m/>
    <n v="0"/>
    <n v="8622738"/>
    <n v="0"/>
  </r>
  <r>
    <s v="Retail"/>
    <s v="Q049 - Dosquebradas - Cc Unico"/>
    <x v="7"/>
    <s v="octubre"/>
    <n v="7"/>
    <d v="2026-10-07T00:00:00"/>
    <n v="4883683"/>
    <s v="GONZÁLEZ BERMÚDEZ ALEXANDRA  DEL CARMEN"/>
    <n v="27"/>
    <n v="0"/>
    <n v="1246639"/>
  </r>
  <r>
    <s v="Retail"/>
    <s v="Q049 - Dosquebradas - Cc Unico"/>
    <x v="7"/>
    <s v="octubre"/>
    <n v="7"/>
    <d v="2026-10-07T00:00:00"/>
    <n v="1002743905"/>
    <s v="FRANCO RAMIREZ JACKELINE"/>
    <n v="-1"/>
    <n v="0"/>
    <n v="-54580"/>
  </r>
  <r>
    <s v="Retail"/>
    <s v="Q049 - Dosquebradas - Cc Unico"/>
    <x v="7"/>
    <s v="octubre"/>
    <n v="7"/>
    <d v="2026-10-07T00:00:00"/>
    <n v="1004801651"/>
    <s v="ARICAPA CALVO  MONICA  ANDREA"/>
    <n v="-1"/>
    <n v="0"/>
    <n v="-41975"/>
  </r>
  <r>
    <s v="Retail"/>
    <s v="Q049 - Dosquebradas - Cc Unico"/>
    <x v="7"/>
    <s v="octubre"/>
    <n v="7"/>
    <d v="2026-10-07T00:00:00"/>
    <n v="1006535971"/>
    <s v="MOLINA ARTEGA VERONICA"/>
    <n v="91"/>
    <n v="0"/>
    <n v="4800172"/>
  </r>
  <r>
    <s v="Retail"/>
    <s v="Q049 - Dosquebradas - Cc Unico"/>
    <x v="7"/>
    <s v="octubre"/>
    <n v="7"/>
    <d v="2026-10-07T00:00:00"/>
    <n v="1088286603"/>
    <s v="PINEDA RODRIGUEZ ANDERSON"/>
    <n v="0"/>
    <n v="0"/>
    <n v="16849"/>
  </r>
  <r>
    <s v="Retail"/>
    <s v="Q049 - Dosquebradas - Cc Unico"/>
    <x v="7"/>
    <s v="octubre"/>
    <n v="7"/>
    <d v="2026-10-07T00:00:00"/>
    <n v="1105670101"/>
    <s v="LEAL MAYORGA JENNIFER KATHERINE"/>
    <n v="-1"/>
    <n v="0"/>
    <n v="-105000"/>
  </r>
  <r>
    <s v="Retail"/>
    <s v="Q049 - Dosquebradas - Cc Unico"/>
    <x v="7"/>
    <s v="octubre"/>
    <n v="7"/>
    <d v="2026-10-07T00:00:00"/>
    <n v="1127536836"/>
    <s v="RODAS MURILLO ESTEFANIA"/>
    <n v="30"/>
    <n v="0"/>
    <n v="1372563"/>
  </r>
  <r>
    <s v="Retail"/>
    <s v="Q058 - Pereira - Cc Victoria Plaza"/>
    <x v="7"/>
    <s v="septiembre"/>
    <n v="23"/>
    <d v="2026-09-23T00:00:00"/>
    <m/>
    <m/>
    <n v="0"/>
    <n v="15347481"/>
    <n v="0"/>
  </r>
  <r>
    <s v="Retail"/>
    <s v="Q058 - Pereira - Cc Victoria Plaza"/>
    <x v="7"/>
    <s v="septiembre"/>
    <n v="23"/>
    <d v="2026-09-23T00:00:00"/>
    <n v="1004680283"/>
    <s v="RODRIGUEZ BUENO DEISY TATIANA"/>
    <n v="16"/>
    <n v="0"/>
    <n v="982437"/>
  </r>
  <r>
    <s v="Retail"/>
    <s v="Q058 - Pereira - Cc Victoria Plaza"/>
    <x v="7"/>
    <s v="septiembre"/>
    <n v="23"/>
    <d v="2026-09-23T00:00:00"/>
    <n v="1004789966"/>
    <s v="DE LA CRUZ BUSTAMANTE MARIA ALEJANDRA"/>
    <n v="54"/>
    <n v="0"/>
    <n v="3743068"/>
  </r>
  <r>
    <s v="Retail"/>
    <s v="Q058 - Pereira - Cc Victoria Plaza"/>
    <x v="7"/>
    <s v="septiembre"/>
    <n v="23"/>
    <d v="2026-09-23T00:00:00"/>
    <n v="1005654398"/>
    <s v="RICO GÓMEZ CAMILA ANDREA"/>
    <n v="3"/>
    <n v="0"/>
    <n v="58824"/>
  </r>
  <r>
    <s v="Retail"/>
    <s v="Q058 - Pereira - Cc Victoria Plaza"/>
    <x v="7"/>
    <s v="septiembre"/>
    <n v="23"/>
    <d v="2026-09-23T00:00:00"/>
    <n v="1088017254"/>
    <s v="DUQUE CUERVO SERGIO ANDRES"/>
    <n v="78"/>
    <n v="0"/>
    <n v="5447904"/>
  </r>
  <r>
    <s v="Retail"/>
    <s v="Q058 - Pereira - Cc Victoria Plaza"/>
    <x v="7"/>
    <s v="septiembre"/>
    <n v="23"/>
    <d v="2026-09-23T00:00:00"/>
    <n v="1088286603"/>
    <s v="PINEDA RODRIGUEZ ANDERSON"/>
    <n v="-1"/>
    <n v="0"/>
    <n v="-131042"/>
  </r>
  <r>
    <s v="Retail"/>
    <s v="Q058 - Pereira - Cc Victoria Plaza"/>
    <x v="7"/>
    <s v="septiembre"/>
    <n v="23"/>
    <d v="2026-09-23T00:00:00"/>
    <n v="1105670101"/>
    <s v="LEAL MAYORGA JENNIFER KATHERINE"/>
    <n v="30"/>
    <n v="0"/>
    <n v="2733488"/>
  </r>
  <r>
    <s v="Retail"/>
    <s v="Q058 - Pereira - Cc Victoria Plaza"/>
    <x v="7"/>
    <s v="septiembre"/>
    <n v="24"/>
    <d v="2026-09-24T00:00:00"/>
    <m/>
    <m/>
    <n v="0"/>
    <n v="23445004"/>
    <n v="0"/>
  </r>
  <r>
    <s v="Retail"/>
    <s v="Q058 - Pereira - Cc Victoria Plaza"/>
    <x v="7"/>
    <s v="septiembre"/>
    <n v="24"/>
    <d v="2026-09-24T00:00:00"/>
    <n v="1004680283"/>
    <s v="RODRIGUEZ BUENO DEISY TATIANA"/>
    <n v="-1"/>
    <n v="0"/>
    <n v="-37773"/>
  </r>
  <r>
    <s v="Retail"/>
    <s v="Q058 - Pereira - Cc Victoria Plaza"/>
    <x v="7"/>
    <s v="septiembre"/>
    <n v="24"/>
    <d v="2026-09-24T00:00:00"/>
    <n v="1004789966"/>
    <s v="DE LA CRUZ BUSTAMANTE MARIA ALEJANDRA"/>
    <n v="109"/>
    <n v="0"/>
    <n v="9342101"/>
  </r>
  <r>
    <s v="Retail"/>
    <s v="Q058 - Pereira - Cc Victoria Plaza"/>
    <x v="7"/>
    <s v="septiembre"/>
    <n v="24"/>
    <d v="2026-09-24T00:00:00"/>
    <n v="1005654398"/>
    <s v="RICO GÓMEZ CAMILA ANDREA"/>
    <n v="121"/>
    <n v="0"/>
    <n v="9954792"/>
  </r>
  <r>
    <s v="Retail"/>
    <s v="Q058 - Pereira - Cc Victoria Plaza"/>
    <x v="7"/>
    <s v="septiembre"/>
    <n v="24"/>
    <d v="2026-09-24T00:00:00"/>
    <n v="1088017254"/>
    <s v="DUQUE CUERVO SERGIO ANDRES"/>
    <n v="76"/>
    <n v="0"/>
    <n v="6979034"/>
  </r>
  <r>
    <s v="Retail"/>
    <s v="Q058 - Pereira - Cc Victoria Plaza"/>
    <x v="7"/>
    <s v="septiembre"/>
    <n v="24"/>
    <d v="2026-09-24T00:00:00"/>
    <n v="1105670101"/>
    <s v="LEAL MAYORGA JENNIFER KATHERINE"/>
    <n v="55"/>
    <n v="0"/>
    <n v="3335802"/>
  </r>
  <r>
    <s v="Retail"/>
    <s v="Q058 - Pereira - Cc Victoria Plaza"/>
    <x v="7"/>
    <s v="septiembre"/>
    <n v="25"/>
    <d v="2026-09-25T00:00:00"/>
    <m/>
    <m/>
    <n v="0"/>
    <n v="23393100"/>
    <n v="0"/>
  </r>
  <r>
    <s v="Retail"/>
    <s v="Q058 - Pereira - Cc Victoria Plaza"/>
    <x v="7"/>
    <s v="septiembre"/>
    <n v="25"/>
    <d v="2026-09-25T00:00:00"/>
    <n v="1004789966"/>
    <s v="DE LA CRUZ BUSTAMANTE MARIA ALEJANDRA"/>
    <n v="71"/>
    <n v="0"/>
    <n v="4311730"/>
  </r>
  <r>
    <s v="Retail"/>
    <s v="Q058 - Pereira - Cc Victoria Plaza"/>
    <x v="7"/>
    <s v="septiembre"/>
    <n v="25"/>
    <d v="2026-09-25T00:00:00"/>
    <n v="1005654398"/>
    <s v="RICO GÓMEZ CAMILA ANDREA"/>
    <n v="79"/>
    <n v="0"/>
    <n v="6697272"/>
  </r>
  <r>
    <s v="Retail"/>
    <s v="Q058 - Pereira - Cc Victoria Plaza"/>
    <x v="7"/>
    <s v="septiembre"/>
    <n v="25"/>
    <d v="2026-09-25T00:00:00"/>
    <n v="1088017254"/>
    <s v="DUQUE CUERVO SERGIO ANDRES"/>
    <n v="93"/>
    <n v="0"/>
    <n v="5067274"/>
  </r>
  <r>
    <s v="Retail"/>
    <s v="Q058 - Pereira - Cc Victoria Plaza"/>
    <x v="7"/>
    <s v="septiembre"/>
    <n v="25"/>
    <d v="2026-09-25T00:00:00"/>
    <n v="1088310787"/>
    <s v="OSORIO LONDOÑO GERALDIN"/>
    <n v="22"/>
    <n v="0"/>
    <n v="1360379"/>
  </r>
  <r>
    <s v="Retail"/>
    <s v="Q058 - Pereira - Cc Victoria Plaza"/>
    <x v="7"/>
    <s v="septiembre"/>
    <n v="25"/>
    <d v="2026-09-25T00:00:00"/>
    <n v="1105670101"/>
    <s v="LEAL MAYORGA JENNIFER KATHERINE"/>
    <n v="30"/>
    <n v="0"/>
    <n v="1717146"/>
  </r>
  <r>
    <s v="Retail"/>
    <s v="Q058 - Pereira - Cc Victoria Plaza"/>
    <x v="7"/>
    <s v="septiembre"/>
    <n v="26"/>
    <d v="2026-09-26T00:00:00"/>
    <m/>
    <m/>
    <n v="0"/>
    <n v="33619249"/>
    <n v="0"/>
  </r>
  <r>
    <s v="Retail"/>
    <s v="Q058 - Pereira - Cc Victoria Plaza"/>
    <x v="7"/>
    <s v="septiembre"/>
    <n v="26"/>
    <d v="2026-09-26T00:00:00"/>
    <n v="1004789966"/>
    <s v="DE LA CRUZ BUSTAMANTE MARIA ALEJANDRA"/>
    <n v="127"/>
    <n v="0"/>
    <n v="7363664"/>
  </r>
  <r>
    <s v="Retail"/>
    <s v="Q058 - Pereira - Cc Victoria Plaza"/>
    <x v="7"/>
    <s v="septiembre"/>
    <n v="26"/>
    <d v="2026-09-26T00:00:00"/>
    <n v="1005654398"/>
    <s v="RICO GÓMEZ CAMILA ANDREA"/>
    <n v="124"/>
    <n v="0"/>
    <n v="8670089"/>
  </r>
  <r>
    <s v="Retail"/>
    <s v="Q058 - Pereira - Cc Victoria Plaza"/>
    <x v="7"/>
    <s v="septiembre"/>
    <n v="26"/>
    <d v="2026-09-26T00:00:00"/>
    <n v="1088017254"/>
    <s v="DUQUE CUERVO SERGIO ANDRES"/>
    <n v="121"/>
    <n v="0"/>
    <n v="8092734"/>
  </r>
  <r>
    <s v="Retail"/>
    <s v="Q058 - Pereira - Cc Victoria Plaza"/>
    <x v="7"/>
    <s v="septiembre"/>
    <n v="26"/>
    <d v="2026-09-26T00:00:00"/>
    <n v="1088310787"/>
    <s v="OSORIO LONDOÑO GERALDIN"/>
    <n v="42"/>
    <n v="0"/>
    <n v="2615506"/>
  </r>
  <r>
    <s v="Retail"/>
    <s v="Q058 - Pereira - Cc Victoria Plaza"/>
    <x v="7"/>
    <s v="septiembre"/>
    <n v="26"/>
    <d v="2026-09-26T00:00:00"/>
    <n v="1105670101"/>
    <s v="LEAL MAYORGA JENNIFER KATHERINE"/>
    <n v="40"/>
    <n v="0"/>
    <n v="2867689"/>
  </r>
  <r>
    <s v="Retail"/>
    <s v="Q058 - Pereira - Cc Victoria Plaza"/>
    <x v="7"/>
    <s v="septiembre"/>
    <n v="27"/>
    <d v="2026-09-27T00:00:00"/>
    <m/>
    <m/>
    <n v="0"/>
    <n v="26633213"/>
    <n v="0"/>
  </r>
  <r>
    <s v="Retail"/>
    <s v="Q058 - Pereira - Cc Victoria Plaza"/>
    <x v="7"/>
    <s v="septiembre"/>
    <n v="27"/>
    <d v="2026-09-27T00:00:00"/>
    <n v="1004789966"/>
    <s v="DE LA CRUZ BUSTAMANTE MARIA ALEJANDRA"/>
    <n v="100"/>
    <n v="0"/>
    <n v="6262358"/>
  </r>
  <r>
    <s v="Retail"/>
    <s v="Q058 - Pereira - Cc Victoria Plaza"/>
    <x v="7"/>
    <s v="septiembre"/>
    <n v="27"/>
    <d v="2026-09-27T00:00:00"/>
    <n v="1005654398"/>
    <s v="RICO GÓMEZ CAMILA ANDREA"/>
    <n v="104"/>
    <n v="0"/>
    <n v="7089877"/>
  </r>
  <r>
    <s v="Retail"/>
    <s v="Q058 - Pereira - Cc Victoria Plaza"/>
    <x v="7"/>
    <s v="septiembre"/>
    <n v="27"/>
    <d v="2026-09-27T00:00:00"/>
    <n v="1088017254"/>
    <s v="DUQUE CUERVO SERGIO ANDRES"/>
    <n v="96"/>
    <n v="0"/>
    <n v="6789456"/>
  </r>
  <r>
    <s v="Retail"/>
    <s v="Q058 - Pereira - Cc Victoria Plaza"/>
    <x v="7"/>
    <s v="septiembre"/>
    <n v="28"/>
    <d v="2026-09-28T00:00:00"/>
    <m/>
    <m/>
    <n v="0"/>
    <n v="14657826"/>
    <n v="0"/>
  </r>
  <r>
    <s v="Retail"/>
    <s v="Q058 - Pereira - Cc Victoria Plaza"/>
    <x v="7"/>
    <s v="septiembre"/>
    <n v="28"/>
    <d v="2026-09-28T00:00:00"/>
    <n v="1004789966"/>
    <s v="DE LA CRUZ BUSTAMANTE MARIA ALEJANDRA"/>
    <n v="47"/>
    <n v="0"/>
    <n v="3468028"/>
  </r>
  <r>
    <s v="Retail"/>
    <s v="Q058 - Pereira - Cc Victoria Plaza"/>
    <x v="7"/>
    <s v="septiembre"/>
    <n v="28"/>
    <d v="2026-09-28T00:00:00"/>
    <n v="1005134195"/>
    <s v="RUIZ  PARRA MATTHYW "/>
    <n v="-1"/>
    <n v="0"/>
    <n v="-92353"/>
  </r>
  <r>
    <s v="Retail"/>
    <s v="Q058 - Pereira - Cc Victoria Plaza"/>
    <x v="7"/>
    <s v="septiembre"/>
    <n v="28"/>
    <d v="2026-09-28T00:00:00"/>
    <n v="1005654398"/>
    <s v="RICO GÓMEZ CAMILA ANDREA"/>
    <n v="53"/>
    <n v="0"/>
    <n v="3674035"/>
  </r>
  <r>
    <s v="Retail"/>
    <s v="Q058 - Pereira - Cc Victoria Plaza"/>
    <x v="7"/>
    <s v="septiembre"/>
    <n v="28"/>
    <d v="2026-09-28T00:00:00"/>
    <n v="1088017254"/>
    <s v="DUQUE CUERVO SERGIO ANDRES"/>
    <n v="52"/>
    <n v="0"/>
    <n v="3497145"/>
  </r>
  <r>
    <s v="Retail"/>
    <s v="Q058 - Pereira - Cc Victoria Plaza"/>
    <x v="7"/>
    <s v="septiembre"/>
    <n v="28"/>
    <d v="2026-09-28T00:00:00"/>
    <n v="1088017991"/>
    <s v="ROJAS DUQUE EISENHAWUER"/>
    <n v="-1"/>
    <n v="0"/>
    <n v="-50336"/>
  </r>
  <r>
    <s v="Retail"/>
    <s v="Q058 - Pereira - Cc Victoria Plaza"/>
    <x v="7"/>
    <s v="septiembre"/>
    <n v="28"/>
    <d v="2026-09-28T00:00:00"/>
    <n v="1105670101"/>
    <s v="LEAL MAYORGA JENNIFER KATHERINE"/>
    <n v="34"/>
    <n v="0"/>
    <n v="2298952"/>
  </r>
  <r>
    <s v="Retail"/>
    <s v="Q058 - Pereira - Cc Victoria Plaza"/>
    <x v="7"/>
    <s v="septiembre"/>
    <n v="29"/>
    <d v="2026-09-29T00:00:00"/>
    <m/>
    <m/>
    <n v="0"/>
    <n v="15657429"/>
    <n v="0"/>
  </r>
  <r>
    <s v="Retail"/>
    <s v="Q058 - Pereira - Cc Victoria Plaza"/>
    <x v="7"/>
    <s v="septiembre"/>
    <n v="29"/>
    <d v="2026-09-29T00:00:00"/>
    <n v="1004789966"/>
    <s v="DE LA CRUZ BUSTAMANTE MARIA ALEJANDRA"/>
    <n v="35"/>
    <n v="0"/>
    <n v="2842606"/>
  </r>
  <r>
    <s v="Retail"/>
    <s v="Q058 - Pereira - Cc Victoria Plaza"/>
    <x v="7"/>
    <s v="septiembre"/>
    <n v="29"/>
    <d v="2026-09-29T00:00:00"/>
    <n v="1005654398"/>
    <s v="RICO GÓMEZ CAMILA ANDREA"/>
    <n v="37"/>
    <n v="0"/>
    <n v="3455674"/>
  </r>
  <r>
    <s v="Retail"/>
    <s v="Q058 - Pereira - Cc Victoria Plaza"/>
    <x v="7"/>
    <s v="septiembre"/>
    <n v="29"/>
    <d v="2026-09-29T00:00:00"/>
    <n v="1088017254"/>
    <s v="DUQUE CUERVO SERGIO ANDRES"/>
    <n v="41"/>
    <n v="0"/>
    <n v="3377817"/>
  </r>
  <r>
    <s v="Retail"/>
    <s v="Q058 - Pereira - Cc Victoria Plaza"/>
    <x v="7"/>
    <s v="septiembre"/>
    <n v="29"/>
    <d v="2026-09-29T00:00:00"/>
    <n v="1105670101"/>
    <s v="LEAL MAYORGA JENNIFER KATHERINE"/>
    <n v="32"/>
    <n v="0"/>
    <n v="1906221"/>
  </r>
  <r>
    <s v="Retail"/>
    <s v="Q058 - Pereira - Cc Victoria Plaza"/>
    <x v="7"/>
    <s v="septiembre"/>
    <n v="30"/>
    <d v="2026-09-30T00:00:00"/>
    <m/>
    <m/>
    <n v="0"/>
    <n v="16174402"/>
    <n v="0"/>
  </r>
  <r>
    <s v="Retail"/>
    <s v="Q058 - Pereira - Cc Victoria Plaza"/>
    <x v="7"/>
    <s v="septiembre"/>
    <n v="30"/>
    <d v="2026-09-30T00:00:00"/>
    <n v="1004789966"/>
    <s v="DE LA CRUZ BUSTAMANTE MARIA ALEJANDRA"/>
    <n v="88"/>
    <n v="0"/>
    <n v="8901390"/>
  </r>
  <r>
    <s v="Retail"/>
    <s v="Q058 - Pereira - Cc Victoria Plaza"/>
    <x v="7"/>
    <s v="septiembre"/>
    <n v="30"/>
    <d v="2026-09-30T00:00:00"/>
    <n v="1005654398"/>
    <s v="RICO GÓMEZ CAMILA ANDREA"/>
    <n v="107"/>
    <n v="0"/>
    <n v="8056346"/>
  </r>
  <r>
    <s v="Retail"/>
    <s v="Q058 - Pereira - Cc Victoria Plaza"/>
    <x v="7"/>
    <s v="septiembre"/>
    <n v="30"/>
    <d v="2026-09-30T00:00:00"/>
    <n v="1088017254"/>
    <s v="DUQUE CUERVO SERGIO ANDRES"/>
    <n v="73"/>
    <n v="0"/>
    <n v="6923953"/>
  </r>
  <r>
    <s v="Retail"/>
    <s v="Q058 - Pereira - Cc Victoria Plaza"/>
    <x v="7"/>
    <s v="septiembre"/>
    <n v="30"/>
    <d v="2026-09-30T00:00:00"/>
    <n v="1088333564"/>
    <s v="LOPEZ AGUIRRE CESAR AUGUSTO"/>
    <n v="-1"/>
    <n v="0"/>
    <n v="-25126"/>
  </r>
  <r>
    <s v="Retail"/>
    <s v="Q058 - Pereira - Cc Victoria Plaza"/>
    <x v="7"/>
    <s v="septiembre"/>
    <n v="30"/>
    <d v="2026-09-30T00:00:00"/>
    <n v="1105670101"/>
    <s v="LEAL MAYORGA JENNIFER KATHERINE"/>
    <n v="46"/>
    <n v="0"/>
    <n v="3342187"/>
  </r>
  <r>
    <s v="Retail"/>
    <s v="Q058 - Pereira - Cc Victoria Plaza"/>
    <x v="7"/>
    <s v="octubre"/>
    <n v="1"/>
    <d v="2026-10-01T00:00:00"/>
    <m/>
    <m/>
    <n v="0"/>
    <n v="17034558"/>
    <n v="0"/>
  </r>
  <r>
    <s v="Retail"/>
    <s v="Q058 - Pereira - Cc Victoria Plaza"/>
    <x v="7"/>
    <s v="octubre"/>
    <n v="1"/>
    <d v="2026-10-01T00:00:00"/>
    <n v="6300471"/>
    <s v="BARRIOS  MONTIEL NORMARY ELIZABETH "/>
    <n v="-1"/>
    <n v="0"/>
    <n v="-58781"/>
  </r>
  <r>
    <s v="Retail"/>
    <s v="Q058 - Pereira - Cc Victoria Plaza"/>
    <x v="7"/>
    <s v="octubre"/>
    <n v="1"/>
    <d v="2026-10-01T00:00:00"/>
    <n v="1004789966"/>
    <s v="DE LA CRUZ BUSTAMANTE MARIA ALEJANDRA"/>
    <n v="78"/>
    <n v="0"/>
    <n v="5432103"/>
  </r>
  <r>
    <s v="Retail"/>
    <s v="Q058 - Pereira - Cc Victoria Plaza"/>
    <x v="7"/>
    <s v="octubre"/>
    <n v="1"/>
    <d v="2026-10-01T00:00:00"/>
    <n v="1005654398"/>
    <s v="RICO GÓMEZ CAMILA ANDREA"/>
    <n v="101"/>
    <n v="0"/>
    <n v="6501433"/>
  </r>
  <r>
    <s v="Retail"/>
    <s v="Q058 - Pereira - Cc Victoria Plaza"/>
    <x v="7"/>
    <s v="octubre"/>
    <n v="1"/>
    <d v="2026-10-01T00:00:00"/>
    <n v="1088017254"/>
    <s v="DUQUE CUERVO SERGIO ANDRES"/>
    <n v="71"/>
    <n v="0"/>
    <n v="5428742"/>
  </r>
  <r>
    <s v="Retail"/>
    <s v="Q058 - Pereira - Cc Victoria Plaza"/>
    <x v="7"/>
    <s v="octubre"/>
    <n v="1"/>
    <d v="2026-10-01T00:00:00"/>
    <n v="1105670101"/>
    <s v="LEAL MAYORGA JENNIFER KATHERINE"/>
    <n v="37"/>
    <n v="0"/>
    <n v="2493869"/>
  </r>
  <r>
    <s v="Retail"/>
    <s v="Q058 - Pereira - Cc Victoria Plaza"/>
    <x v="7"/>
    <s v="octubre"/>
    <n v="1"/>
    <d v="2026-10-01T00:00:00"/>
    <n v="1140064596"/>
    <s v="ROMAN POSADA DANIELA"/>
    <n v="10"/>
    <n v="0"/>
    <n v="596220"/>
  </r>
  <r>
    <s v="Retail"/>
    <s v="Q058 - Pereira - Cc Victoria Plaza"/>
    <x v="7"/>
    <s v="octubre"/>
    <n v="2"/>
    <d v="2026-10-02T00:00:00"/>
    <m/>
    <m/>
    <n v="0"/>
    <n v="19570581"/>
    <n v="0"/>
  </r>
  <r>
    <s v="Retail"/>
    <s v="Q058 - Pereira - Cc Victoria Plaza"/>
    <x v="7"/>
    <s v="octubre"/>
    <n v="2"/>
    <d v="2026-10-02T00:00:00"/>
    <n v="1004789966"/>
    <s v="DE LA CRUZ BUSTAMANTE MARIA ALEJANDRA"/>
    <n v="47"/>
    <n v="0"/>
    <n v="3203572"/>
  </r>
  <r>
    <s v="Retail"/>
    <s v="Q058 - Pereira - Cc Victoria Plaza"/>
    <x v="7"/>
    <s v="octubre"/>
    <n v="2"/>
    <d v="2026-10-02T00:00:00"/>
    <n v="1005654398"/>
    <s v="RICO GÓMEZ CAMILA ANDREA"/>
    <n v="109"/>
    <n v="0"/>
    <n v="7563617"/>
  </r>
  <r>
    <s v="Retail"/>
    <s v="Q058 - Pereira - Cc Victoria Plaza"/>
    <x v="7"/>
    <s v="octubre"/>
    <n v="2"/>
    <d v="2026-10-02T00:00:00"/>
    <n v="1088017254"/>
    <s v="DUQUE CUERVO SERGIO ANDRES"/>
    <n v="78"/>
    <n v="0"/>
    <n v="4953744"/>
  </r>
  <r>
    <s v="Retail"/>
    <s v="Q058 - Pereira - Cc Victoria Plaza"/>
    <x v="7"/>
    <s v="octubre"/>
    <n v="2"/>
    <d v="2026-10-02T00:00:00"/>
    <n v="1088310787"/>
    <s v="OSORIO LONDOÑO GERALDIN"/>
    <n v="-1"/>
    <n v="0"/>
    <n v="-75588"/>
  </r>
  <r>
    <s v="Retail"/>
    <s v="Q058 - Pereira - Cc Victoria Plaza"/>
    <x v="7"/>
    <s v="octubre"/>
    <n v="2"/>
    <d v="2026-10-02T00:00:00"/>
    <n v="1105670101"/>
    <s v="LEAL MAYORGA JENNIFER KATHERINE"/>
    <n v="18"/>
    <n v="0"/>
    <n v="1234494"/>
  </r>
  <r>
    <s v="Retail"/>
    <s v="Q058 - Pereira - Cc Victoria Plaza"/>
    <x v="7"/>
    <s v="octubre"/>
    <n v="2"/>
    <d v="2026-10-02T00:00:00"/>
    <n v="1140064596"/>
    <s v="ROMAN POSADA DANIELA"/>
    <n v="18"/>
    <n v="0"/>
    <n v="1104245"/>
  </r>
  <r>
    <s v="Retail"/>
    <s v="Q058 - Pereira - Cc Victoria Plaza"/>
    <x v="7"/>
    <s v="octubre"/>
    <n v="3"/>
    <d v="2026-10-03T00:00:00"/>
    <m/>
    <m/>
    <n v="0"/>
    <n v="21952444"/>
    <n v="0"/>
  </r>
  <r>
    <s v="Retail"/>
    <s v="Q058 - Pereira - Cc Victoria Plaza"/>
    <x v="7"/>
    <s v="octubre"/>
    <n v="3"/>
    <d v="2026-10-03T00:00:00"/>
    <n v="1004789966"/>
    <s v="DE LA CRUZ BUSTAMANTE MARIA ALEJANDRA"/>
    <n v="149"/>
    <n v="0"/>
    <n v="8649690"/>
  </r>
  <r>
    <s v="Retail"/>
    <s v="Q058 - Pereira - Cc Victoria Plaza"/>
    <x v="7"/>
    <s v="octubre"/>
    <n v="3"/>
    <d v="2026-10-03T00:00:00"/>
    <n v="1005654398"/>
    <s v="RICO GÓMEZ CAMILA ANDREA"/>
    <n v="139"/>
    <n v="0"/>
    <n v="9015843"/>
  </r>
  <r>
    <s v="Retail"/>
    <s v="Q058 - Pereira - Cc Victoria Plaza"/>
    <x v="7"/>
    <s v="octubre"/>
    <n v="3"/>
    <d v="2026-10-03T00:00:00"/>
    <n v="1088017254"/>
    <s v="DUQUE CUERVO SERGIO ANDRES"/>
    <n v="128"/>
    <n v="0"/>
    <n v="8226022"/>
  </r>
  <r>
    <s v="Retail"/>
    <s v="Q058 - Pereira - Cc Victoria Plaza"/>
    <x v="7"/>
    <s v="octubre"/>
    <n v="3"/>
    <d v="2026-10-03T00:00:00"/>
    <n v="1089598192"/>
    <s v="CASTAÑO VILLEGAS JHONATAN"/>
    <n v="-1"/>
    <n v="0"/>
    <n v="-151177"/>
  </r>
  <r>
    <s v="Retail"/>
    <s v="Q058 - Pereira - Cc Victoria Plaza"/>
    <x v="7"/>
    <s v="octubre"/>
    <n v="3"/>
    <d v="2026-10-03T00:00:00"/>
    <n v="1105670101"/>
    <s v="LEAL MAYORGA JENNIFER KATHERINE"/>
    <n v="12"/>
    <n v="0"/>
    <n v="1054033"/>
  </r>
  <r>
    <s v="Retail"/>
    <s v="Q058 - Pereira - Cc Victoria Plaza"/>
    <x v="7"/>
    <s v="octubre"/>
    <n v="3"/>
    <d v="2026-10-03T00:00:00"/>
    <n v="1112620904"/>
    <s v="OROZCO SALGADO KEREN  LISETH"/>
    <n v="-1"/>
    <n v="0"/>
    <n v="-75588"/>
  </r>
  <r>
    <s v="Retail"/>
    <s v="Q058 - Pereira - Cc Victoria Plaza"/>
    <x v="7"/>
    <s v="octubre"/>
    <n v="3"/>
    <d v="2026-10-03T00:00:00"/>
    <n v="1140064596"/>
    <s v="ROMAN POSADA DANIELA"/>
    <n v="19"/>
    <n v="0"/>
    <n v="1169556"/>
  </r>
  <r>
    <s v="Retail"/>
    <s v="Q058 - Pereira - Cc Victoria Plaza"/>
    <x v="7"/>
    <s v="octubre"/>
    <n v="4"/>
    <d v="2026-10-04T00:00:00"/>
    <m/>
    <m/>
    <n v="0"/>
    <n v="14321547"/>
    <n v="0"/>
  </r>
  <r>
    <s v="Retail"/>
    <s v="Q058 - Pereira - Cc Victoria Plaza"/>
    <x v="7"/>
    <s v="octubre"/>
    <n v="4"/>
    <d v="2026-10-04T00:00:00"/>
    <n v="1004789966"/>
    <s v="DE LA CRUZ BUSTAMANTE MARIA ALEJANDRA"/>
    <n v="48"/>
    <n v="0"/>
    <n v="3472229"/>
  </r>
  <r>
    <s v="Retail"/>
    <s v="Q058 - Pereira - Cc Victoria Plaza"/>
    <x v="7"/>
    <s v="octubre"/>
    <n v="4"/>
    <d v="2026-10-04T00:00:00"/>
    <n v="1005654398"/>
    <s v="RICO GÓMEZ CAMILA ANDREA"/>
    <n v="65"/>
    <n v="0"/>
    <n v="4049709"/>
  </r>
  <r>
    <s v="Retail"/>
    <s v="Q058 - Pereira - Cc Victoria Plaza"/>
    <x v="7"/>
    <s v="octubre"/>
    <n v="4"/>
    <d v="2026-10-04T00:00:00"/>
    <n v="1006535971"/>
    <s v="MOLINA ARTEGA VERONICA"/>
    <n v="-1"/>
    <n v="0"/>
    <n v="-50378"/>
  </r>
  <r>
    <s v="Retail"/>
    <s v="Q058 - Pereira - Cc Victoria Plaza"/>
    <x v="7"/>
    <s v="octubre"/>
    <n v="4"/>
    <d v="2026-10-04T00:00:00"/>
    <n v="1088017254"/>
    <s v="DUQUE CUERVO SERGIO ANDRES"/>
    <n v="69"/>
    <n v="0"/>
    <n v="4511599"/>
  </r>
  <r>
    <s v="Retail"/>
    <s v="Q058 - Pereira - Cc Victoria Plaza"/>
    <x v="7"/>
    <s v="octubre"/>
    <n v="4"/>
    <d v="2026-10-04T00:00:00"/>
    <n v="1105670101"/>
    <s v="LEAL MAYORGA JENNIFER KATHERINE"/>
    <n v="20"/>
    <n v="0"/>
    <n v="1053700"/>
  </r>
  <r>
    <s v="Retail"/>
    <s v="Q058 - Pereira - Cc Victoria Plaza"/>
    <x v="7"/>
    <s v="octubre"/>
    <n v="4"/>
    <d v="2026-10-04T00:00:00"/>
    <n v="1140064596"/>
    <s v="ROMAN POSADA DANIELA"/>
    <n v="13"/>
    <n v="0"/>
    <n v="581347"/>
  </r>
  <r>
    <s v="Retail"/>
    <s v="Q058 - Pereira - Cc Victoria Plaza"/>
    <x v="7"/>
    <s v="octubre"/>
    <n v="5"/>
    <d v="2026-10-05T00:00:00"/>
    <m/>
    <m/>
    <n v="0"/>
    <n v="12095883"/>
    <n v="0"/>
  </r>
  <r>
    <s v="Retail"/>
    <s v="Q058 - Pereira - Cc Victoria Plaza"/>
    <x v="7"/>
    <s v="octubre"/>
    <n v="5"/>
    <d v="2026-10-05T00:00:00"/>
    <n v="6300471"/>
    <s v="BARRIOS  MONTIEL NORMARY ELIZABETH "/>
    <n v="-1"/>
    <n v="0"/>
    <n v="-33529"/>
  </r>
  <r>
    <s v="Retail"/>
    <s v="Q058 - Pereira - Cc Victoria Plaza"/>
    <x v="7"/>
    <s v="octubre"/>
    <n v="5"/>
    <d v="2026-10-05T00:00:00"/>
    <n v="1004789966"/>
    <s v="DE LA CRUZ BUSTAMANTE MARIA ALEJANDRA"/>
    <n v="0"/>
    <n v="0"/>
    <n v="12604"/>
  </r>
  <r>
    <s v="Retail"/>
    <s v="Q058 - Pereira - Cc Victoria Plaza"/>
    <x v="7"/>
    <s v="octubre"/>
    <n v="5"/>
    <d v="2026-10-05T00:00:00"/>
    <n v="1005654398"/>
    <s v="RICO GÓMEZ CAMILA ANDREA"/>
    <n v="87"/>
    <n v="0"/>
    <n v="5763822"/>
  </r>
  <r>
    <s v="Retail"/>
    <s v="Q058 - Pereira - Cc Victoria Plaza"/>
    <x v="7"/>
    <s v="octubre"/>
    <n v="5"/>
    <d v="2026-10-05T00:00:00"/>
    <n v="1088017254"/>
    <s v="DUQUE CUERVO SERGIO ANDRES"/>
    <n v="86"/>
    <n v="0"/>
    <n v="6027063"/>
  </r>
  <r>
    <s v="Retail"/>
    <s v="Q058 - Pereira - Cc Victoria Plaza"/>
    <x v="7"/>
    <s v="octubre"/>
    <n v="5"/>
    <d v="2026-10-05T00:00:00"/>
    <n v="1105670101"/>
    <s v="LEAL MAYORGA JENNIFER KATHERINE"/>
    <n v="44"/>
    <n v="0"/>
    <n v="2676469"/>
  </r>
  <r>
    <s v="Retail"/>
    <s v="Q058 - Pereira - Cc Victoria Plaza"/>
    <x v="7"/>
    <s v="octubre"/>
    <n v="5"/>
    <d v="2026-10-05T00:00:00"/>
    <n v="1112620904"/>
    <s v="OROZCO SALGADO KEREN  LISETH"/>
    <n v="-1"/>
    <n v="0"/>
    <n v="-30219"/>
  </r>
  <r>
    <s v="Retail"/>
    <s v="Q058 - Pereira - Cc Victoria Plaza"/>
    <x v="7"/>
    <s v="octubre"/>
    <n v="5"/>
    <d v="2026-10-05T00:00:00"/>
    <n v="1140064596"/>
    <s v="ROMAN POSADA DANIELA"/>
    <n v="16"/>
    <n v="0"/>
    <n v="852145"/>
  </r>
  <r>
    <s v="Retail"/>
    <s v="Q058 - Pereira - Cc Victoria Plaza"/>
    <x v="7"/>
    <s v="octubre"/>
    <n v="6"/>
    <d v="2026-10-06T00:00:00"/>
    <m/>
    <m/>
    <n v="0"/>
    <n v="5961563"/>
    <n v="0"/>
  </r>
  <r>
    <s v="Retail"/>
    <s v="Q058 - Pereira - Cc Victoria Plaza"/>
    <x v="7"/>
    <s v="octubre"/>
    <n v="6"/>
    <d v="2026-10-06T00:00:00"/>
    <n v="1004789966"/>
    <s v="DE LA CRUZ BUSTAMANTE MARIA ALEJANDRA"/>
    <n v="99"/>
    <n v="0"/>
    <n v="5780761"/>
  </r>
  <r>
    <s v="Retail"/>
    <s v="Q058 - Pereira - Cc Victoria Plaza"/>
    <x v="7"/>
    <s v="octubre"/>
    <n v="6"/>
    <d v="2026-10-06T00:00:00"/>
    <n v="1005654398"/>
    <s v="RICO GÓMEZ CAMILA ANDREA"/>
    <n v="0"/>
    <n v="0"/>
    <n v="-4202"/>
  </r>
  <r>
    <s v="Retail"/>
    <s v="Q058 - Pereira - Cc Victoria Plaza"/>
    <x v="7"/>
    <s v="octubre"/>
    <n v="6"/>
    <d v="2026-10-06T00:00:00"/>
    <n v="1088017254"/>
    <s v="DUQUE CUERVO SERGIO ANDRES"/>
    <n v="2"/>
    <n v="0"/>
    <n v="125925"/>
  </r>
  <r>
    <s v="Retail"/>
    <s v="Q058 - Pereira - Cc Victoria Plaza"/>
    <x v="7"/>
    <s v="octubre"/>
    <n v="6"/>
    <d v="2026-10-06T00:00:00"/>
    <n v="1105670101"/>
    <s v="LEAL MAYORGA JENNIFER KATHERINE"/>
    <n v="40"/>
    <n v="0"/>
    <n v="2357355"/>
  </r>
  <r>
    <s v="Retail"/>
    <s v="Q058 - Pereira - Cc Victoria Plaza"/>
    <x v="7"/>
    <s v="octubre"/>
    <n v="6"/>
    <d v="2026-10-06T00:00:00"/>
    <n v="1140064596"/>
    <s v="ROMAN POSADA DANIELA"/>
    <n v="36"/>
    <n v="0"/>
    <n v="1870169"/>
  </r>
  <r>
    <s v="Retail"/>
    <s v="Q058 - Pereira - Cc Victoria Plaza"/>
    <x v="7"/>
    <s v="octubre"/>
    <n v="7"/>
    <d v="2026-10-07T00:00:00"/>
    <m/>
    <m/>
    <n v="0"/>
    <n v="5883121"/>
    <n v="0"/>
  </r>
  <r>
    <s v="Retail"/>
    <s v="Q058 - Pereira - Cc Victoria Plaza"/>
    <x v="7"/>
    <s v="octubre"/>
    <n v="7"/>
    <d v="2026-10-07T00:00:00"/>
    <n v="1004789966"/>
    <s v="DE LA CRUZ BUSTAMANTE MARIA ALEJANDRA"/>
    <n v="30"/>
    <n v="0"/>
    <n v="1870213"/>
  </r>
  <r>
    <s v="Retail"/>
    <s v="Q058 - Pereira - Cc Victoria Plaza"/>
    <x v="7"/>
    <s v="octubre"/>
    <n v="7"/>
    <d v="2026-10-07T00:00:00"/>
    <n v="1005654398"/>
    <s v="RICO GÓMEZ CAMILA ANDREA"/>
    <n v="34"/>
    <n v="0"/>
    <n v="2166556"/>
  </r>
  <r>
    <s v="Retail"/>
    <s v="Q058 - Pereira - Cc Victoria Plaza"/>
    <x v="7"/>
    <s v="octubre"/>
    <n v="7"/>
    <d v="2026-10-07T00:00:00"/>
    <n v="1088017254"/>
    <s v="DUQUE CUERVO SERGIO ANDRES"/>
    <n v="31"/>
    <n v="0"/>
    <n v="2275800"/>
  </r>
  <r>
    <s v="Retail"/>
    <s v="Q058 - Pereira - Cc Victoria Plaza"/>
    <x v="7"/>
    <s v="octubre"/>
    <n v="7"/>
    <d v="2026-10-07T00:00:00"/>
    <n v="1088017991"/>
    <s v="ROJAS DUQUE EISENHAWUER"/>
    <n v="-2"/>
    <n v="0"/>
    <n v="-79748"/>
  </r>
  <r>
    <s v="Retail"/>
    <s v="Q058 - Pereira - Cc Victoria Plaza"/>
    <x v="7"/>
    <s v="octubre"/>
    <n v="7"/>
    <d v="2026-10-07T00:00:00"/>
    <n v="1105670101"/>
    <s v="LEAL MAYORGA JENNIFER KATHERINE"/>
    <n v="5"/>
    <n v="0"/>
    <n v="472479"/>
  </r>
  <r>
    <s v="Retail"/>
    <s v="Q058 - Pereira - Cc Victoria Plaza"/>
    <x v="7"/>
    <s v="octubre"/>
    <n v="7"/>
    <d v="2026-10-07T00:00:00"/>
    <n v="1140064596"/>
    <s v="ROMAN POSADA DANIELA"/>
    <n v="1"/>
    <n v="0"/>
    <n v="31471"/>
  </r>
  <r>
    <s v="Retail"/>
    <s v="Q061 - Armenia - Cc Unicentro"/>
    <x v="7"/>
    <s v="septiembre"/>
    <n v="23"/>
    <d v="2026-09-23T00:00:00"/>
    <m/>
    <m/>
    <n v="0"/>
    <n v="14306111"/>
    <n v="0"/>
  </r>
  <r>
    <s v="Retail"/>
    <s v="Q061 - Armenia - Cc Unicentro"/>
    <x v="7"/>
    <s v="septiembre"/>
    <n v="23"/>
    <d v="2026-09-23T00:00:00"/>
    <n v="1092850523"/>
    <s v="OSPINA BETANCUR LAURA SOFIA"/>
    <n v="146"/>
    <n v="0"/>
    <n v="8831730"/>
  </r>
  <r>
    <s v="Retail"/>
    <s v="Q061 - Armenia - Cc Unicentro"/>
    <x v="7"/>
    <s v="septiembre"/>
    <n v="23"/>
    <d v="2026-09-23T00:00:00"/>
    <n v="1094971574"/>
    <s v="RAMIREZ  FLOREZ CAROLINA "/>
    <n v="111"/>
    <n v="0"/>
    <n v="6452986"/>
  </r>
  <r>
    <s v="Retail"/>
    <s v="Q061 - Armenia - Cc Unicentro"/>
    <x v="7"/>
    <s v="septiembre"/>
    <n v="24"/>
    <d v="2026-09-24T00:00:00"/>
    <m/>
    <m/>
    <n v="0"/>
    <n v="21854193"/>
    <n v="0"/>
  </r>
  <r>
    <s v="Retail"/>
    <s v="Q061 - Armenia - Cc Unicentro"/>
    <x v="7"/>
    <s v="septiembre"/>
    <n v="24"/>
    <d v="2026-09-24T00:00:00"/>
    <n v="1000190054"/>
    <s v="RIVERA DEOSSA RUBEN"/>
    <n v="25"/>
    <n v="0"/>
    <n v="1023870"/>
  </r>
  <r>
    <s v="Retail"/>
    <s v="Q061 - Armenia - Cc Unicentro"/>
    <x v="7"/>
    <s v="septiembre"/>
    <n v="24"/>
    <d v="2026-09-24T00:00:00"/>
    <n v="1092850523"/>
    <s v="OSPINA BETANCUR LAURA SOFIA"/>
    <n v="76"/>
    <n v="0"/>
    <n v="4227696"/>
  </r>
  <r>
    <s v="Retail"/>
    <s v="Q061 - Armenia - Cc Unicentro"/>
    <x v="7"/>
    <s v="septiembre"/>
    <n v="24"/>
    <d v="2026-09-24T00:00:00"/>
    <n v="1094905873"/>
    <s v="GÓMEZ GALVEZ LUISA FERNANDA"/>
    <n v="29"/>
    <n v="0"/>
    <n v="1710844"/>
  </r>
  <r>
    <s v="Retail"/>
    <s v="Q061 - Armenia - Cc Unicentro"/>
    <x v="7"/>
    <s v="septiembre"/>
    <n v="24"/>
    <d v="2026-09-24T00:00:00"/>
    <n v="1094971574"/>
    <s v="RAMIREZ  FLOREZ CAROLINA "/>
    <n v="61"/>
    <n v="0"/>
    <n v="3944792"/>
  </r>
  <r>
    <s v="Retail"/>
    <s v="Q061 - Armenia - Cc Unicentro"/>
    <x v="7"/>
    <s v="septiembre"/>
    <n v="24"/>
    <d v="2026-09-24T00:00:00"/>
    <n v="1097391531"/>
    <s v="RODRIGUEZ  NATALY"/>
    <n v="-1"/>
    <n v="0"/>
    <n v="-75546"/>
  </r>
  <r>
    <s v="Retail"/>
    <s v="Q061 - Armenia - Cc Unicentro"/>
    <x v="7"/>
    <s v="septiembre"/>
    <n v="24"/>
    <d v="2026-09-24T00:00:00"/>
    <n v="1149934620"/>
    <s v="RAMOS RODRIGUEZ SAMUEL"/>
    <n v="24"/>
    <n v="0"/>
    <n v="1368699"/>
  </r>
  <r>
    <s v="Retail"/>
    <s v="Q061 - Armenia - Cc Unicentro"/>
    <x v="7"/>
    <s v="septiembre"/>
    <n v="25"/>
    <d v="2026-09-25T00:00:00"/>
    <m/>
    <m/>
    <n v="0"/>
    <n v="21805813"/>
    <n v="0"/>
  </r>
  <r>
    <s v="Retail"/>
    <s v="Q061 - Armenia - Cc Unicentro"/>
    <x v="7"/>
    <s v="septiembre"/>
    <n v="25"/>
    <d v="2026-09-25T00:00:00"/>
    <n v="1000190054"/>
    <s v="RIVERA DEOSSA RUBEN"/>
    <n v="32"/>
    <n v="0"/>
    <n v="1820085"/>
  </r>
  <r>
    <s v="Retail"/>
    <s v="Q061 - Armenia - Cc Unicentro"/>
    <x v="7"/>
    <s v="septiembre"/>
    <n v="25"/>
    <d v="2026-09-25T00:00:00"/>
    <n v="1092850523"/>
    <s v="OSPINA BETANCUR LAURA SOFIA"/>
    <n v="36"/>
    <n v="0"/>
    <n v="1990043"/>
  </r>
  <r>
    <s v="Retail"/>
    <s v="Q061 - Armenia - Cc Unicentro"/>
    <x v="7"/>
    <s v="septiembre"/>
    <n v="25"/>
    <d v="2026-09-25T00:00:00"/>
    <n v="1094905873"/>
    <s v="GÓMEZ GALVEZ LUISA FERNANDA"/>
    <n v="34"/>
    <n v="0"/>
    <n v="2599287"/>
  </r>
  <r>
    <s v="Retail"/>
    <s v="Q061 - Armenia - Cc Unicentro"/>
    <x v="7"/>
    <s v="septiembre"/>
    <n v="25"/>
    <d v="2026-09-25T00:00:00"/>
    <n v="1094968844"/>
    <s v="BETANCOURTH CARDONA DANIELA"/>
    <n v="-1"/>
    <n v="0"/>
    <n v="-52882"/>
  </r>
  <r>
    <s v="Retail"/>
    <s v="Q061 - Armenia - Cc Unicentro"/>
    <x v="7"/>
    <s v="septiembre"/>
    <n v="25"/>
    <d v="2026-09-25T00:00:00"/>
    <n v="1094971574"/>
    <s v="RAMIREZ  FLOREZ CAROLINA "/>
    <n v="39"/>
    <n v="0"/>
    <n v="2353322"/>
  </r>
  <r>
    <s v="Retail"/>
    <s v="Q061 - Armenia - Cc Unicentro"/>
    <x v="7"/>
    <s v="septiembre"/>
    <n v="25"/>
    <d v="2026-09-25T00:00:00"/>
    <n v="1149934620"/>
    <s v="RAMOS RODRIGUEZ SAMUEL"/>
    <n v="34"/>
    <n v="0"/>
    <n v="2212816"/>
  </r>
  <r>
    <s v="Retail"/>
    <s v="Q061 - Armenia - Cc Unicentro"/>
    <x v="7"/>
    <s v="septiembre"/>
    <n v="26"/>
    <d v="2026-09-26T00:00:00"/>
    <m/>
    <m/>
    <n v="0"/>
    <n v="31338087"/>
    <n v="0"/>
  </r>
  <r>
    <s v="Retail"/>
    <s v="Q061 - Armenia - Cc Unicentro"/>
    <x v="7"/>
    <s v="septiembre"/>
    <n v="26"/>
    <d v="2026-09-26T00:00:00"/>
    <n v="33355697"/>
    <s v="NERYS MEJIA DENIS SELENIA"/>
    <n v="-1"/>
    <n v="0"/>
    <n v="-58781"/>
  </r>
  <r>
    <s v="Retail"/>
    <s v="Q061 - Armenia - Cc Unicentro"/>
    <x v="7"/>
    <s v="septiembre"/>
    <n v="26"/>
    <d v="2026-09-26T00:00:00"/>
    <n v="1000190054"/>
    <s v="RIVERA DEOSSA RUBEN"/>
    <n v="42"/>
    <n v="0"/>
    <n v="2199456"/>
  </r>
  <r>
    <s v="Retail"/>
    <s v="Q061 - Armenia - Cc Unicentro"/>
    <x v="7"/>
    <s v="septiembre"/>
    <n v="26"/>
    <d v="2026-09-26T00:00:00"/>
    <n v="1092850523"/>
    <s v="OSPINA BETANCUR LAURA SOFIA"/>
    <n v="117"/>
    <n v="0"/>
    <n v="6629085"/>
  </r>
  <r>
    <s v="Retail"/>
    <s v="Q061 - Armenia - Cc Unicentro"/>
    <x v="7"/>
    <s v="septiembre"/>
    <n v="26"/>
    <d v="2026-09-26T00:00:00"/>
    <n v="1094905873"/>
    <s v="GÓMEZ GALVEZ LUISA FERNANDA"/>
    <n v="39"/>
    <n v="0"/>
    <n v="2246180"/>
  </r>
  <r>
    <s v="Retail"/>
    <s v="Q061 - Armenia - Cc Unicentro"/>
    <x v="7"/>
    <s v="septiembre"/>
    <n v="26"/>
    <d v="2026-09-26T00:00:00"/>
    <n v="1094971574"/>
    <s v="RAMIREZ  FLOREZ CAROLINA "/>
    <n v="90"/>
    <n v="0"/>
    <n v="4924544"/>
  </r>
  <r>
    <s v="Retail"/>
    <s v="Q061 - Armenia - Cc Unicentro"/>
    <x v="7"/>
    <s v="septiembre"/>
    <n v="26"/>
    <d v="2026-09-26T00:00:00"/>
    <n v="1097391531"/>
    <s v="RODRIGUEZ  NATALY"/>
    <n v="-1"/>
    <n v="0"/>
    <n v="-41975"/>
  </r>
  <r>
    <s v="Retail"/>
    <s v="Q061 - Armenia - Cc Unicentro"/>
    <x v="7"/>
    <s v="septiembre"/>
    <n v="26"/>
    <d v="2026-09-26T00:00:00"/>
    <n v="1149934620"/>
    <s v="RAMOS RODRIGUEZ SAMUEL"/>
    <n v="46"/>
    <n v="0"/>
    <n v="2214160"/>
  </r>
  <r>
    <s v="Retail"/>
    <s v="Q061 - Armenia - Cc Unicentro"/>
    <x v="7"/>
    <s v="septiembre"/>
    <n v="27"/>
    <d v="2026-09-27T00:00:00"/>
    <m/>
    <m/>
    <n v="0"/>
    <n v="24826075"/>
    <n v="0"/>
  </r>
  <r>
    <s v="Retail"/>
    <s v="Q061 - Armenia - Cc Unicentro"/>
    <x v="7"/>
    <s v="septiembre"/>
    <n v="27"/>
    <d v="2026-09-27T00:00:00"/>
    <n v="1000190054"/>
    <s v="RIVERA DEOSSA RUBEN"/>
    <n v="37"/>
    <n v="0"/>
    <n v="1916347"/>
  </r>
  <r>
    <s v="Retail"/>
    <s v="Q061 - Armenia - Cc Unicentro"/>
    <x v="7"/>
    <s v="septiembre"/>
    <n v="27"/>
    <d v="2026-09-27T00:00:00"/>
    <n v="1092850523"/>
    <s v="OSPINA BETANCUR LAURA SOFIA"/>
    <n v="123"/>
    <n v="0"/>
    <n v="8473330"/>
  </r>
  <r>
    <s v="Retail"/>
    <s v="Q061 - Armenia - Cc Unicentro"/>
    <x v="7"/>
    <s v="septiembre"/>
    <n v="27"/>
    <d v="2026-09-27T00:00:00"/>
    <n v="1094905873"/>
    <s v="GÓMEZ GALVEZ LUISA FERNANDA"/>
    <n v="51"/>
    <n v="0"/>
    <n v="2705632"/>
  </r>
  <r>
    <s v="Retail"/>
    <s v="Q061 - Armenia - Cc Unicentro"/>
    <x v="7"/>
    <s v="septiembre"/>
    <n v="27"/>
    <d v="2026-09-27T00:00:00"/>
    <n v="1094957784"/>
    <s v=" LOPEZ  AVENDAÑO VANESSA"/>
    <n v="-1"/>
    <n v="0"/>
    <n v="-37773"/>
  </r>
  <r>
    <s v="Retail"/>
    <s v="Q061 - Armenia - Cc Unicentro"/>
    <x v="7"/>
    <s v="septiembre"/>
    <n v="27"/>
    <d v="2026-09-27T00:00:00"/>
    <n v="1094971574"/>
    <s v="RAMIREZ  FLOREZ CAROLINA "/>
    <n v="86"/>
    <n v="0"/>
    <n v="4920512"/>
  </r>
  <r>
    <s v="Retail"/>
    <s v="Q061 - Armenia - Cc Unicentro"/>
    <x v="7"/>
    <s v="septiembre"/>
    <n v="27"/>
    <d v="2026-09-27T00:00:00"/>
    <n v="1149934620"/>
    <s v="RAMOS RODRIGUEZ SAMUEL"/>
    <n v="48"/>
    <n v="0"/>
    <n v="2884499"/>
  </r>
  <r>
    <s v="Retail"/>
    <s v="Q061 - Armenia - Cc Unicentro"/>
    <x v="7"/>
    <s v="septiembre"/>
    <n v="28"/>
    <d v="2026-09-28T00:00:00"/>
    <m/>
    <m/>
    <n v="0"/>
    <n v="13663252"/>
    <n v="0"/>
  </r>
  <r>
    <s v="Retail"/>
    <s v="Q061 - Armenia - Cc Unicentro"/>
    <x v="7"/>
    <s v="septiembre"/>
    <n v="28"/>
    <d v="2026-09-28T00:00:00"/>
    <n v="1000190054"/>
    <s v="RIVERA DEOSSA RUBEN"/>
    <n v="11"/>
    <n v="0"/>
    <n v="612987"/>
  </r>
  <r>
    <s v="Retail"/>
    <s v="Q061 - Armenia - Cc Unicentro"/>
    <x v="7"/>
    <s v="septiembre"/>
    <n v="28"/>
    <d v="2026-09-28T00:00:00"/>
    <n v="1092850523"/>
    <s v="OSPINA BETANCUR LAURA SOFIA"/>
    <n v="63"/>
    <n v="0"/>
    <n v="4016013"/>
  </r>
  <r>
    <s v="Retail"/>
    <s v="Q061 - Armenia - Cc Unicentro"/>
    <x v="7"/>
    <s v="septiembre"/>
    <n v="28"/>
    <d v="2026-09-28T00:00:00"/>
    <n v="1094905873"/>
    <s v="GÓMEZ GALVEZ LUISA FERNANDA"/>
    <n v="15"/>
    <n v="0"/>
    <n v="644160"/>
  </r>
  <r>
    <s v="Retail"/>
    <s v="Q061 - Armenia - Cc Unicentro"/>
    <x v="7"/>
    <s v="septiembre"/>
    <n v="28"/>
    <d v="2026-09-28T00:00:00"/>
    <n v="1094971574"/>
    <s v="RAMIREZ  FLOREZ CAROLINA "/>
    <n v="46"/>
    <n v="0"/>
    <n v="2447484"/>
  </r>
  <r>
    <s v="Retail"/>
    <s v="Q061 - Armenia - Cc Unicentro"/>
    <x v="7"/>
    <s v="septiembre"/>
    <n v="28"/>
    <d v="2026-09-28T00:00:00"/>
    <n v="1149934620"/>
    <s v="RAMOS RODRIGUEZ SAMUEL"/>
    <n v="28"/>
    <n v="0"/>
    <n v="1349497"/>
  </r>
  <r>
    <s v="Retail"/>
    <s v="Q061 - Armenia - Cc Unicentro"/>
    <x v="7"/>
    <s v="septiembre"/>
    <n v="29"/>
    <d v="2026-09-29T00:00:00"/>
    <m/>
    <m/>
    <n v="0"/>
    <n v="14595025"/>
    <n v="0"/>
  </r>
  <r>
    <s v="Retail"/>
    <s v="Q061 - Armenia - Cc Unicentro"/>
    <x v="7"/>
    <s v="septiembre"/>
    <n v="29"/>
    <d v="2026-09-29T00:00:00"/>
    <n v="1000190054"/>
    <s v="RIVERA DEOSSA RUBEN"/>
    <n v="28"/>
    <n v="0"/>
    <n v="1679287"/>
  </r>
  <r>
    <s v="Retail"/>
    <s v="Q061 - Armenia - Cc Unicentro"/>
    <x v="7"/>
    <s v="septiembre"/>
    <n v="29"/>
    <d v="2026-09-29T00:00:00"/>
    <n v="1092850523"/>
    <s v="OSPINA BETANCUR LAURA SOFIA"/>
    <n v="43"/>
    <n v="0"/>
    <n v="2401431"/>
  </r>
  <r>
    <s v="Retail"/>
    <s v="Q061 - Armenia - Cc Unicentro"/>
    <x v="7"/>
    <s v="septiembre"/>
    <n v="29"/>
    <d v="2026-09-29T00:00:00"/>
    <n v="1094905873"/>
    <s v="GÓMEZ GALVEZ LUISA FERNANDA"/>
    <n v="23"/>
    <n v="0"/>
    <n v="1454792"/>
  </r>
  <r>
    <s v="Retail"/>
    <s v="Q061 - Armenia - Cc Unicentro"/>
    <x v="7"/>
    <s v="septiembre"/>
    <n v="29"/>
    <d v="2026-09-29T00:00:00"/>
    <n v="1094971574"/>
    <s v="RAMIREZ  FLOREZ CAROLINA "/>
    <n v="39"/>
    <n v="0"/>
    <n v="1932904"/>
  </r>
  <r>
    <s v="Retail"/>
    <s v="Q061 - Armenia - Cc Unicentro"/>
    <x v="7"/>
    <s v="septiembre"/>
    <n v="29"/>
    <d v="2026-09-29T00:00:00"/>
    <n v="1149934620"/>
    <s v="RAMOS RODRIGUEZ SAMUEL"/>
    <n v="27"/>
    <n v="0"/>
    <n v="1612186"/>
  </r>
  <r>
    <s v="Retail"/>
    <s v="Q061 - Armenia - Cc Unicentro"/>
    <x v="7"/>
    <s v="septiembre"/>
    <n v="30"/>
    <d v="2026-09-30T00:00:00"/>
    <m/>
    <m/>
    <n v="0"/>
    <n v="15076925"/>
    <n v="0"/>
  </r>
  <r>
    <s v="Retail"/>
    <s v="Q061 - Armenia - Cc Unicentro"/>
    <x v="7"/>
    <s v="septiembre"/>
    <n v="30"/>
    <d v="2026-09-30T00:00:00"/>
    <n v="1000190054"/>
    <s v="RIVERA DEOSSA RUBEN"/>
    <n v="1"/>
    <n v="0"/>
    <n v="37774"/>
  </r>
  <r>
    <s v="Retail"/>
    <s v="Q061 - Armenia - Cc Unicentro"/>
    <x v="7"/>
    <s v="septiembre"/>
    <n v="30"/>
    <d v="2026-09-30T00:00:00"/>
    <n v="1092850523"/>
    <s v="OSPINA BETANCUR LAURA SOFIA"/>
    <n v="153"/>
    <n v="0"/>
    <n v="8648246"/>
  </r>
  <r>
    <s v="Retail"/>
    <s v="Q061 - Armenia - Cc Unicentro"/>
    <x v="7"/>
    <s v="septiembre"/>
    <n v="30"/>
    <d v="2026-09-30T00:00:00"/>
    <n v="1094905873"/>
    <s v="GÓMEZ GALVEZ LUISA FERNANDA"/>
    <n v="14"/>
    <n v="0"/>
    <n v="827100"/>
  </r>
  <r>
    <s v="Retail"/>
    <s v="Q061 - Armenia - Cc Unicentro"/>
    <x v="7"/>
    <s v="septiembre"/>
    <n v="30"/>
    <d v="2026-09-30T00:00:00"/>
    <n v="1094971574"/>
    <s v="RAMIREZ  FLOREZ CAROLINA "/>
    <n v="0"/>
    <n v="0"/>
    <n v="0"/>
  </r>
  <r>
    <s v="Retail"/>
    <s v="Q061 - Armenia - Cc Unicentro"/>
    <x v="7"/>
    <s v="septiembre"/>
    <n v="30"/>
    <d v="2026-09-30T00:00:00"/>
    <n v="1097391531"/>
    <s v="RODRIGUEZ  NATALY"/>
    <n v="-1"/>
    <n v="0"/>
    <n v="-67143"/>
  </r>
  <r>
    <s v="Retail"/>
    <s v="Q061 - Armenia - Cc Unicentro"/>
    <x v="7"/>
    <s v="septiembre"/>
    <n v="30"/>
    <d v="2026-09-30T00:00:00"/>
    <n v="1149934620"/>
    <s v="RAMOS RODRIGUEZ SAMUEL"/>
    <n v="4"/>
    <n v="0"/>
    <n v="266639"/>
  </r>
  <r>
    <s v="Retail"/>
    <s v="Q061 - Armenia - Cc Unicentro"/>
    <x v="7"/>
    <s v="octubre"/>
    <n v="1"/>
    <d v="2026-10-01T00:00:00"/>
    <m/>
    <m/>
    <n v="0"/>
    <n v="14431709"/>
    <n v="0"/>
  </r>
  <r>
    <s v="Retail"/>
    <s v="Q061 - Armenia - Cc Unicentro"/>
    <x v="7"/>
    <s v="octubre"/>
    <n v="1"/>
    <d v="2026-10-01T00:00:00"/>
    <n v="1000190054"/>
    <s v="RIVERA DEOSSA RUBEN"/>
    <n v="31"/>
    <n v="0"/>
    <n v="1826433"/>
  </r>
  <r>
    <s v="Retail"/>
    <s v="Q061 - Armenia - Cc Unicentro"/>
    <x v="7"/>
    <s v="octubre"/>
    <n v="1"/>
    <d v="2026-10-01T00:00:00"/>
    <n v="1092850523"/>
    <s v="OSPINA BETANCUR LAURA SOFIA"/>
    <n v="49"/>
    <n v="0"/>
    <n v="2481014"/>
  </r>
  <r>
    <s v="Retail"/>
    <s v="Q061 - Armenia - Cc Unicentro"/>
    <x v="7"/>
    <s v="octubre"/>
    <n v="1"/>
    <d v="2026-10-01T00:00:00"/>
    <n v="1094905873"/>
    <s v="GÓMEZ GALVEZ LUISA FERNANDA"/>
    <n v="44"/>
    <n v="0"/>
    <n v="2548363"/>
  </r>
  <r>
    <s v="Retail"/>
    <s v="Q061 - Armenia - Cc Unicentro"/>
    <x v="7"/>
    <s v="octubre"/>
    <n v="1"/>
    <d v="2026-10-01T00:00:00"/>
    <n v="1094971574"/>
    <s v="RAMIREZ  FLOREZ CAROLINA "/>
    <n v="34"/>
    <n v="0"/>
    <n v="1998403"/>
  </r>
  <r>
    <s v="Retail"/>
    <s v="Q061 - Armenia - Cc Unicentro"/>
    <x v="7"/>
    <s v="octubre"/>
    <n v="1"/>
    <d v="2026-10-01T00:00:00"/>
    <n v="1149934620"/>
    <s v="RAMOS RODRIGUEZ SAMUEL"/>
    <n v="42"/>
    <n v="0"/>
    <n v="2439203"/>
  </r>
  <r>
    <s v="Retail"/>
    <s v="Q061 - Armenia - Cc Unicentro"/>
    <x v="7"/>
    <s v="octubre"/>
    <n v="2"/>
    <d v="2026-10-02T00:00:00"/>
    <m/>
    <m/>
    <n v="0"/>
    <n v="13531382"/>
    <n v="0"/>
  </r>
  <r>
    <s v="Retail"/>
    <s v="Q061 - Armenia - Cc Unicentro"/>
    <x v="7"/>
    <s v="octubre"/>
    <n v="2"/>
    <d v="2026-10-02T00:00:00"/>
    <n v="1000190054"/>
    <s v="RIVERA DEOSSA RUBEN"/>
    <n v="-1"/>
    <n v="0"/>
    <n v="-67185"/>
  </r>
  <r>
    <s v="Retail"/>
    <s v="Q061 - Armenia - Cc Unicentro"/>
    <x v="7"/>
    <s v="octubre"/>
    <n v="2"/>
    <d v="2026-10-02T00:00:00"/>
    <n v="1092850523"/>
    <s v="OSPINA BETANCUR LAURA SOFIA"/>
    <n v="44"/>
    <n v="0"/>
    <n v="2395006"/>
  </r>
  <r>
    <s v="Retail"/>
    <s v="Q061 - Armenia - Cc Unicentro"/>
    <x v="7"/>
    <s v="octubre"/>
    <n v="2"/>
    <d v="2026-10-02T00:00:00"/>
    <n v="1094905873"/>
    <s v="GÓMEZ GALVEZ LUISA FERNANDA"/>
    <n v="71"/>
    <n v="0"/>
    <n v="4116265"/>
  </r>
  <r>
    <s v="Retail"/>
    <s v="Q061 - Armenia - Cc Unicentro"/>
    <x v="7"/>
    <s v="octubre"/>
    <n v="2"/>
    <d v="2026-10-02T00:00:00"/>
    <n v="1094971574"/>
    <s v="RAMIREZ  FLOREZ CAROLINA "/>
    <n v="44"/>
    <n v="0"/>
    <n v="2543996"/>
  </r>
  <r>
    <s v="Retail"/>
    <s v="Q061 - Armenia - Cc Unicentro"/>
    <x v="7"/>
    <s v="octubre"/>
    <n v="2"/>
    <d v="2026-10-02T00:00:00"/>
    <n v="1149934620"/>
    <s v="RAMOS RODRIGUEZ SAMUEL"/>
    <n v="41"/>
    <n v="0"/>
    <n v="2540214"/>
  </r>
  <r>
    <s v="Retail"/>
    <s v="Q061 - Armenia - Cc Unicentro"/>
    <x v="7"/>
    <s v="octubre"/>
    <n v="3"/>
    <d v="2026-10-03T00:00:00"/>
    <m/>
    <m/>
    <n v="0"/>
    <n v="19701964"/>
    <n v="0"/>
  </r>
  <r>
    <s v="Retail"/>
    <s v="Q061 - Armenia - Cc Unicentro"/>
    <x v="7"/>
    <s v="octubre"/>
    <n v="3"/>
    <d v="2026-10-03T00:00:00"/>
    <n v="1092850523"/>
    <s v="OSPINA BETANCUR LAURA SOFIA"/>
    <n v="41"/>
    <n v="0"/>
    <n v="1943012"/>
  </r>
  <r>
    <s v="Retail"/>
    <s v="Q061 - Armenia - Cc Unicentro"/>
    <x v="7"/>
    <s v="octubre"/>
    <n v="3"/>
    <d v="2026-10-03T00:00:00"/>
    <n v="1094905873"/>
    <s v="GÓMEZ GALVEZ LUISA FERNANDA"/>
    <n v="138"/>
    <n v="0"/>
    <n v="7483177"/>
  </r>
  <r>
    <s v="Retail"/>
    <s v="Q061 - Armenia - Cc Unicentro"/>
    <x v="7"/>
    <s v="octubre"/>
    <n v="3"/>
    <d v="2026-10-03T00:00:00"/>
    <n v="1094971574"/>
    <s v="RAMIREZ  FLOREZ CAROLINA "/>
    <n v="120"/>
    <n v="0"/>
    <n v="6250431"/>
  </r>
  <r>
    <s v="Retail"/>
    <s v="Q061 - Armenia - Cc Unicentro"/>
    <x v="7"/>
    <s v="octubre"/>
    <n v="3"/>
    <d v="2026-10-03T00:00:00"/>
    <n v="1097391531"/>
    <s v="RODRIGUEZ  NATALY"/>
    <n v="-1"/>
    <n v="0"/>
    <n v="-58781"/>
  </r>
  <r>
    <s v="Retail"/>
    <s v="Q061 - Armenia - Cc Unicentro"/>
    <x v="7"/>
    <s v="octubre"/>
    <n v="3"/>
    <d v="2026-10-03T00:00:00"/>
    <n v="1149934620"/>
    <s v="RAMOS RODRIGUEZ SAMUEL"/>
    <n v="81"/>
    <n v="0"/>
    <n v="4196210"/>
  </r>
  <r>
    <s v="Retail"/>
    <s v="Q061 - Armenia - Cc Unicentro"/>
    <x v="7"/>
    <s v="octubre"/>
    <n v="4"/>
    <d v="2026-10-04T00:00:00"/>
    <m/>
    <m/>
    <n v="0"/>
    <n v="16983025"/>
    <n v="0"/>
  </r>
  <r>
    <s v="Retail"/>
    <s v="Q061 - Armenia - Cc Unicentro"/>
    <x v="7"/>
    <s v="octubre"/>
    <n v="4"/>
    <d v="2026-10-04T00:00:00"/>
    <n v="1000190054"/>
    <s v="RIVERA DEOSSA RUBEN"/>
    <n v="-1"/>
    <n v="0"/>
    <n v="-33572"/>
  </r>
  <r>
    <s v="Retail"/>
    <s v="Q061 - Armenia - Cc Unicentro"/>
    <x v="7"/>
    <s v="octubre"/>
    <n v="4"/>
    <d v="2026-10-04T00:00:00"/>
    <n v="1004826334"/>
    <s v="VILLA ARIAS MARIEN MELIZA"/>
    <n v="-1"/>
    <n v="0"/>
    <n v="-83992"/>
  </r>
  <r>
    <s v="Retail"/>
    <s v="Q061 - Armenia - Cc Unicentro"/>
    <x v="7"/>
    <s v="octubre"/>
    <n v="4"/>
    <d v="2026-10-04T00:00:00"/>
    <n v="1007466983"/>
    <s v="OSORIO CAMPIÑO INGRID KATERINE"/>
    <n v="-1"/>
    <n v="0"/>
    <n v="-29370"/>
  </r>
  <r>
    <s v="Retail"/>
    <s v="Q061 - Armenia - Cc Unicentro"/>
    <x v="7"/>
    <s v="octubre"/>
    <n v="4"/>
    <d v="2026-10-04T00:00:00"/>
    <n v="1092850523"/>
    <s v="OSPINA BETANCUR LAURA SOFIA"/>
    <n v="104"/>
    <n v="0"/>
    <n v="5921978"/>
  </r>
  <r>
    <s v="Retail"/>
    <s v="Q061 - Armenia - Cc Unicentro"/>
    <x v="7"/>
    <s v="octubre"/>
    <n v="4"/>
    <d v="2026-10-04T00:00:00"/>
    <n v="1094905873"/>
    <s v="GÓMEZ GALVEZ LUISA FERNANDA"/>
    <n v="1"/>
    <n v="0"/>
    <n v="121849"/>
  </r>
  <r>
    <s v="Retail"/>
    <s v="Q061 - Armenia - Cc Unicentro"/>
    <x v="7"/>
    <s v="octubre"/>
    <n v="4"/>
    <d v="2026-10-04T00:00:00"/>
    <n v="1094957784"/>
    <s v=" LOPEZ  AVENDAÑO VANESSA"/>
    <n v="-1"/>
    <n v="0"/>
    <n v="-41975"/>
  </r>
  <r>
    <s v="Retail"/>
    <s v="Q061 - Armenia - Cc Unicentro"/>
    <x v="7"/>
    <s v="octubre"/>
    <n v="4"/>
    <d v="2026-10-04T00:00:00"/>
    <n v="1094971574"/>
    <s v="RAMIREZ  FLOREZ CAROLINA "/>
    <n v="125"/>
    <n v="0"/>
    <n v="7414918"/>
  </r>
  <r>
    <s v="Retail"/>
    <s v="Q061 - Armenia - Cc Unicentro"/>
    <x v="7"/>
    <s v="octubre"/>
    <n v="4"/>
    <d v="2026-10-04T00:00:00"/>
    <n v="1149934620"/>
    <s v="RAMOS RODRIGUEZ SAMUEL"/>
    <n v="99"/>
    <n v="0"/>
    <n v="6208231"/>
  </r>
  <r>
    <s v="Retail"/>
    <s v="Q061 - Armenia - Cc Unicentro"/>
    <x v="7"/>
    <s v="octubre"/>
    <n v="5"/>
    <d v="2026-10-05T00:00:00"/>
    <m/>
    <m/>
    <n v="0"/>
    <n v="10913617"/>
    <n v="0"/>
  </r>
  <r>
    <s v="Retail"/>
    <s v="Q061 - Armenia - Cc Unicentro"/>
    <x v="7"/>
    <s v="octubre"/>
    <n v="5"/>
    <d v="2026-10-05T00:00:00"/>
    <n v="33355697"/>
    <s v="NERYS MEJIA DENIS SELENIA"/>
    <n v="-2"/>
    <n v="0"/>
    <n v="-142773"/>
  </r>
  <r>
    <s v="Retail"/>
    <s v="Q061 - Armenia - Cc Unicentro"/>
    <x v="7"/>
    <s v="octubre"/>
    <n v="5"/>
    <d v="2026-10-05T00:00:00"/>
    <n v="1000190054"/>
    <s v="RIVERA DEOSSA RUBEN"/>
    <n v="36"/>
    <n v="0"/>
    <n v="1809329"/>
  </r>
  <r>
    <s v="Retail"/>
    <s v="Q061 - Armenia - Cc Unicentro"/>
    <x v="7"/>
    <s v="octubre"/>
    <n v="5"/>
    <d v="2026-10-05T00:00:00"/>
    <n v="1092850523"/>
    <s v="OSPINA BETANCUR LAURA SOFIA"/>
    <n v="-1"/>
    <n v="0"/>
    <n v="-67185"/>
  </r>
  <r>
    <s v="Retail"/>
    <s v="Q061 - Armenia - Cc Unicentro"/>
    <x v="7"/>
    <s v="octubre"/>
    <n v="5"/>
    <d v="2026-10-05T00:00:00"/>
    <n v="1094905873"/>
    <s v="GÓMEZ GALVEZ LUISA FERNANDA"/>
    <n v="69"/>
    <n v="0"/>
    <n v="3803450"/>
  </r>
  <r>
    <s v="Retail"/>
    <s v="Q061 - Armenia - Cc Unicentro"/>
    <x v="7"/>
    <s v="octubre"/>
    <n v="5"/>
    <d v="2026-10-05T00:00:00"/>
    <n v="1094971574"/>
    <s v="RAMIREZ  FLOREZ CAROLINA "/>
    <n v="58"/>
    <n v="0"/>
    <n v="3490972"/>
  </r>
  <r>
    <s v="Retail"/>
    <s v="Q061 - Armenia - Cc Unicentro"/>
    <x v="7"/>
    <s v="octubre"/>
    <n v="5"/>
    <d v="2026-10-05T00:00:00"/>
    <n v="1097391531"/>
    <s v="RODRIGUEZ  NATALY"/>
    <n v="-1"/>
    <n v="0"/>
    <n v="-40302"/>
  </r>
  <r>
    <s v="Retail"/>
    <s v="Q061 - Armenia - Cc Unicentro"/>
    <x v="7"/>
    <s v="octubre"/>
    <n v="5"/>
    <d v="2026-10-05T00:00:00"/>
    <n v="1149934620"/>
    <s v="RAMOS RODRIGUEZ SAMUEL"/>
    <n v="56"/>
    <n v="0"/>
    <n v="3014114"/>
  </r>
  <r>
    <s v="Retail"/>
    <s v="Q061 - Armenia - Cc Unicentro"/>
    <x v="7"/>
    <s v="octubre"/>
    <n v="6"/>
    <d v="2026-10-06T00:00:00"/>
    <m/>
    <m/>
    <n v="0"/>
    <n v="4772903"/>
    <n v="0"/>
  </r>
  <r>
    <s v="Retail"/>
    <s v="Q061 - Armenia - Cc Unicentro"/>
    <x v="7"/>
    <s v="octubre"/>
    <n v="6"/>
    <d v="2026-10-06T00:00:00"/>
    <n v="1000190054"/>
    <s v="RIVERA DEOSSA RUBEN"/>
    <n v="-1"/>
    <n v="0"/>
    <n v="-46177"/>
  </r>
  <r>
    <s v="Retail"/>
    <s v="Q061 - Armenia - Cc Unicentro"/>
    <x v="7"/>
    <s v="octubre"/>
    <n v="6"/>
    <d v="2026-10-06T00:00:00"/>
    <n v="1004826334"/>
    <s v="VILLA ARIAS MARIEN MELIZA"/>
    <n v="-2"/>
    <n v="0"/>
    <n v="-117563"/>
  </r>
  <r>
    <s v="Retail"/>
    <s v="Q061 - Armenia - Cc Unicentro"/>
    <x v="7"/>
    <s v="octubre"/>
    <n v="6"/>
    <d v="2026-10-06T00:00:00"/>
    <n v="1092850523"/>
    <s v="OSPINA BETANCUR LAURA SOFIA"/>
    <n v="-2"/>
    <n v="0"/>
    <n v="-146975"/>
  </r>
  <r>
    <s v="Retail"/>
    <s v="Q061 - Armenia - Cc Unicentro"/>
    <x v="7"/>
    <s v="octubre"/>
    <n v="6"/>
    <d v="2026-10-06T00:00:00"/>
    <n v="1094905873"/>
    <s v="GÓMEZ GALVEZ LUISA FERNANDA"/>
    <n v="64"/>
    <n v="0"/>
    <n v="3700845"/>
  </r>
  <r>
    <s v="Retail"/>
    <s v="Q061 - Armenia - Cc Unicentro"/>
    <x v="7"/>
    <s v="octubre"/>
    <n v="6"/>
    <d v="2026-10-06T00:00:00"/>
    <n v="1094971574"/>
    <s v="RAMIREZ  FLOREZ CAROLINA "/>
    <n v="81"/>
    <n v="0"/>
    <n v="3907815"/>
  </r>
  <r>
    <s v="Retail"/>
    <s v="Q061 - Armenia - Cc Unicentro"/>
    <x v="7"/>
    <s v="octubre"/>
    <n v="7"/>
    <d v="2026-10-07T00:00:00"/>
    <m/>
    <m/>
    <n v="0"/>
    <n v="4710099"/>
    <n v="0"/>
  </r>
  <r>
    <s v="Retail"/>
    <s v="Q061 - Armenia - Cc Unicentro"/>
    <x v="7"/>
    <s v="octubre"/>
    <n v="7"/>
    <d v="2026-10-07T00:00:00"/>
    <n v="1094905873"/>
    <s v="GÓMEZ GALVEZ LUISA FERNANDA"/>
    <n v="25"/>
    <n v="0"/>
    <n v="1372689"/>
  </r>
  <r>
    <s v="Retail"/>
    <s v="Q061 - Armenia - Cc Unicentro"/>
    <x v="7"/>
    <s v="octubre"/>
    <n v="7"/>
    <d v="2026-10-07T00:00:00"/>
    <n v="1094971574"/>
    <s v="RAMIREZ  FLOREZ CAROLINA "/>
    <n v="71"/>
    <n v="0"/>
    <n v="3742357"/>
  </r>
  <r>
    <s v="Retail"/>
    <s v="Q061 - Armenia - Cc Unicentro"/>
    <x v="7"/>
    <s v="octubre"/>
    <n v="7"/>
    <d v="2026-10-07T00:00:00"/>
    <n v="1097391531"/>
    <s v="RODRIGUEZ  NATALY"/>
    <n v="-1"/>
    <n v="0"/>
    <n v="-109202"/>
  </r>
  <r>
    <s v="Retail"/>
    <s v="Q061 - Armenia - Cc Unicentro"/>
    <x v="7"/>
    <s v="octubre"/>
    <n v="7"/>
    <d v="2026-10-07T00:00:00"/>
    <n v="1149934620"/>
    <s v="RAMOS RODRIGUEZ SAMUEL"/>
    <n v="55"/>
    <n v="0"/>
    <n v="2837651"/>
  </r>
  <r>
    <s v="Retail"/>
    <s v="Q091 - Armenia - Centro"/>
    <x v="7"/>
    <s v="septiembre"/>
    <n v="23"/>
    <d v="2026-09-23T00:00:00"/>
    <m/>
    <m/>
    <n v="0"/>
    <n v="8312748"/>
    <n v="0"/>
  </r>
  <r>
    <s v="Retail"/>
    <s v="Q091 - Armenia - Centro"/>
    <x v="7"/>
    <s v="septiembre"/>
    <n v="23"/>
    <d v="2026-09-23T00:00:00"/>
    <n v="1094957784"/>
    <s v=" LOPEZ  AVENDAÑO VANESSA"/>
    <n v="59"/>
    <n v="0"/>
    <n v="3447019"/>
  </r>
  <r>
    <s v="Retail"/>
    <s v="Q091 - Armenia - Centro"/>
    <x v="7"/>
    <s v="septiembre"/>
    <n v="23"/>
    <d v="2026-09-23T00:00:00"/>
    <n v="1097391531"/>
    <s v="RODRIGUEZ  NATALY"/>
    <n v="80"/>
    <n v="0"/>
    <n v="4937692"/>
  </r>
  <r>
    <s v="Retail"/>
    <s v="Q091 - Armenia - Centro"/>
    <x v="7"/>
    <s v="septiembre"/>
    <n v="24"/>
    <d v="2026-09-24T00:00:00"/>
    <m/>
    <m/>
    <n v="0"/>
    <n v="12698660"/>
    <n v="0"/>
  </r>
  <r>
    <s v="Retail"/>
    <s v="Q091 - Armenia - Centro"/>
    <x v="7"/>
    <s v="septiembre"/>
    <n v="24"/>
    <d v="2026-09-24T00:00:00"/>
    <n v="33355697"/>
    <s v="NERYS MEJIA DENIS SELENIA"/>
    <n v="-1"/>
    <n v="0"/>
    <n v="-75546"/>
  </r>
  <r>
    <s v="Retail"/>
    <s v="Q091 - Armenia - Centro"/>
    <x v="7"/>
    <s v="septiembre"/>
    <n v="24"/>
    <d v="2026-09-24T00:00:00"/>
    <n v="1005089852"/>
    <s v="TORRES MUÑETON ANA SOFIA"/>
    <n v="41"/>
    <n v="0"/>
    <n v="2636767"/>
  </r>
  <r>
    <s v="Retail"/>
    <s v="Q091 - Armenia - Centro"/>
    <x v="7"/>
    <s v="septiembre"/>
    <n v="24"/>
    <d v="2026-09-24T00:00:00"/>
    <n v="1094957784"/>
    <s v=" LOPEZ  AVENDAÑO VANESSA"/>
    <n v="53"/>
    <n v="0"/>
    <n v="2711897"/>
  </r>
  <r>
    <s v="Retail"/>
    <s v="Q091 - Armenia - Centro"/>
    <x v="7"/>
    <s v="septiembre"/>
    <n v="24"/>
    <d v="2026-09-24T00:00:00"/>
    <n v="1097391531"/>
    <s v="RODRIGUEZ  NATALY"/>
    <n v="52"/>
    <n v="0"/>
    <n v="3033365"/>
  </r>
  <r>
    <s v="Retail"/>
    <s v="Q091 - Armenia - Centro"/>
    <x v="7"/>
    <s v="septiembre"/>
    <n v="25"/>
    <d v="2026-09-25T00:00:00"/>
    <m/>
    <m/>
    <n v="0"/>
    <n v="12670550"/>
    <n v="0"/>
  </r>
  <r>
    <s v="Retail"/>
    <s v="Q091 - Armenia - Centro"/>
    <x v="7"/>
    <s v="septiembre"/>
    <n v="25"/>
    <d v="2026-09-25T00:00:00"/>
    <n v="33355697"/>
    <s v="NERYS MEJIA DENIS SELENIA"/>
    <n v="-1"/>
    <n v="0"/>
    <n v="-67185"/>
  </r>
  <r>
    <s v="Retail"/>
    <s v="Q091 - Armenia - Centro"/>
    <x v="7"/>
    <s v="septiembre"/>
    <n v="25"/>
    <d v="2026-09-25T00:00:00"/>
    <n v="1005089852"/>
    <s v="TORRES MUÑETON ANA SOFIA"/>
    <n v="49"/>
    <n v="0"/>
    <n v="2665926"/>
  </r>
  <r>
    <s v="Retail"/>
    <s v="Q091 - Armenia - Centro"/>
    <x v="7"/>
    <s v="septiembre"/>
    <n v="25"/>
    <d v="2026-09-25T00:00:00"/>
    <n v="1094957784"/>
    <s v=" LOPEZ  AVENDAÑO VANESSA"/>
    <n v="55"/>
    <n v="0"/>
    <n v="2884038"/>
  </r>
  <r>
    <s v="Retail"/>
    <s v="Q091 - Armenia - Centro"/>
    <x v="7"/>
    <s v="septiembre"/>
    <n v="25"/>
    <d v="2026-09-25T00:00:00"/>
    <n v="1097391531"/>
    <s v="RODRIGUEZ  NATALY"/>
    <n v="53"/>
    <n v="0"/>
    <n v="3031262"/>
  </r>
  <r>
    <s v="Retail"/>
    <s v="Q091 - Armenia - Centro"/>
    <x v="7"/>
    <s v="septiembre"/>
    <n v="26"/>
    <d v="2026-09-26T00:00:00"/>
    <m/>
    <m/>
    <n v="0"/>
    <n v="18209401"/>
    <n v="0"/>
  </r>
  <r>
    <s v="Retail"/>
    <s v="Q091 - Armenia - Centro"/>
    <x v="7"/>
    <s v="septiembre"/>
    <n v="26"/>
    <d v="2026-09-26T00:00:00"/>
    <n v="1005089852"/>
    <s v="TORRES MUÑETON ANA SOFIA"/>
    <n v="80"/>
    <n v="0"/>
    <n v="4530087"/>
  </r>
  <r>
    <s v="Retail"/>
    <s v="Q091 - Armenia - Centro"/>
    <x v="7"/>
    <s v="septiembre"/>
    <n v="26"/>
    <d v="2026-09-26T00:00:00"/>
    <n v="1094957784"/>
    <s v=" LOPEZ  AVENDAÑO VANESSA"/>
    <n v="98"/>
    <n v="0"/>
    <n v="6399119"/>
  </r>
  <r>
    <s v="Retail"/>
    <s v="Q091 - Armenia - Centro"/>
    <x v="7"/>
    <s v="septiembre"/>
    <n v="26"/>
    <d v="2026-09-26T00:00:00"/>
    <n v="1097391531"/>
    <s v="RODRIGUEZ  NATALY"/>
    <n v="128"/>
    <n v="0"/>
    <n v="7889294"/>
  </r>
  <r>
    <s v="Retail"/>
    <s v="Q091 - Armenia - Centro"/>
    <x v="7"/>
    <s v="septiembre"/>
    <n v="26"/>
    <d v="2026-09-26T00:00:00"/>
    <n v="1114148923"/>
    <s v="CANO CORTES JOFI ESTEBAN"/>
    <n v="-3"/>
    <n v="0"/>
    <n v="-104916"/>
  </r>
  <r>
    <s v="Retail"/>
    <s v="Q091 - Armenia - Centro"/>
    <x v="7"/>
    <s v="septiembre"/>
    <n v="27"/>
    <d v="2026-09-27T00:00:00"/>
    <m/>
    <m/>
    <n v="0"/>
    <n v="14425513"/>
    <n v="0"/>
  </r>
  <r>
    <s v="Retail"/>
    <s v="Q091 - Armenia - Centro"/>
    <x v="7"/>
    <s v="septiembre"/>
    <n v="27"/>
    <d v="2026-09-27T00:00:00"/>
    <n v="1005089852"/>
    <s v="TORRES MUÑETON ANA SOFIA"/>
    <n v="25"/>
    <n v="0"/>
    <n v="1486263"/>
  </r>
  <r>
    <s v="Retail"/>
    <s v="Q091 - Armenia - Centro"/>
    <x v="7"/>
    <s v="septiembre"/>
    <n v="27"/>
    <d v="2026-09-27T00:00:00"/>
    <n v="1094957784"/>
    <s v=" LOPEZ  AVENDAÑO VANESSA"/>
    <n v="35"/>
    <n v="0"/>
    <n v="1758910"/>
  </r>
  <r>
    <s v="Retail"/>
    <s v="Q091 - Armenia - Centro"/>
    <x v="7"/>
    <s v="septiembre"/>
    <n v="27"/>
    <d v="2026-09-27T00:00:00"/>
    <n v="1097391531"/>
    <s v="RODRIGUEZ  NATALY"/>
    <n v="39"/>
    <n v="0"/>
    <n v="2099162"/>
  </r>
  <r>
    <s v="Retail"/>
    <s v="Q091 - Armenia - Centro"/>
    <x v="7"/>
    <s v="septiembre"/>
    <n v="28"/>
    <d v="2026-09-28T00:00:00"/>
    <m/>
    <m/>
    <n v="0"/>
    <n v="8122204"/>
    <n v="0"/>
  </r>
  <r>
    <s v="Retail"/>
    <s v="Q091 - Armenia - Centro"/>
    <x v="7"/>
    <s v="septiembre"/>
    <n v="28"/>
    <d v="2026-09-28T00:00:00"/>
    <n v="1005089852"/>
    <s v="TORRES MUÑETON ANA SOFIA"/>
    <n v="35"/>
    <n v="0"/>
    <n v="2103322"/>
  </r>
  <r>
    <s v="Retail"/>
    <s v="Q091 - Armenia - Centro"/>
    <x v="7"/>
    <s v="septiembre"/>
    <n v="28"/>
    <d v="2026-09-28T00:00:00"/>
    <n v="1094957784"/>
    <s v=" LOPEZ  AVENDAÑO VANESSA"/>
    <n v="46"/>
    <n v="0"/>
    <n v="2565211"/>
  </r>
  <r>
    <s v="Retail"/>
    <s v="Q091 - Armenia - Centro"/>
    <x v="7"/>
    <s v="septiembre"/>
    <n v="28"/>
    <d v="2026-09-28T00:00:00"/>
    <n v="1097391531"/>
    <s v="RODRIGUEZ  NATALY"/>
    <n v="56"/>
    <n v="0"/>
    <n v="3005759"/>
  </r>
  <r>
    <s v="Retail"/>
    <s v="Q091 - Armenia - Centro"/>
    <x v="7"/>
    <s v="septiembre"/>
    <n v="29"/>
    <d v="2026-09-29T00:00:00"/>
    <m/>
    <m/>
    <n v="0"/>
    <n v="8297636"/>
    <n v="0"/>
  </r>
  <r>
    <s v="Retail"/>
    <s v="Q091 - Armenia - Centro"/>
    <x v="7"/>
    <s v="septiembre"/>
    <n v="29"/>
    <d v="2026-09-29T00:00:00"/>
    <n v="1005089852"/>
    <s v="TORRES MUÑETON ANA SOFIA"/>
    <n v="7"/>
    <n v="0"/>
    <n v="491302"/>
  </r>
  <r>
    <s v="Retail"/>
    <s v="Q091 - Armenia - Centro"/>
    <x v="7"/>
    <s v="septiembre"/>
    <n v="29"/>
    <d v="2026-09-29T00:00:00"/>
    <n v="1092850523"/>
    <s v="OSPINA BETANCUR LAURA SOFIA"/>
    <n v="-1"/>
    <n v="0"/>
    <n v="-31471"/>
  </r>
  <r>
    <s v="Retail"/>
    <s v="Q091 - Armenia - Centro"/>
    <x v="7"/>
    <s v="septiembre"/>
    <n v="29"/>
    <d v="2026-09-29T00:00:00"/>
    <n v="1094957784"/>
    <s v=" LOPEZ  AVENDAÑO VANESSA"/>
    <n v="75"/>
    <n v="0"/>
    <n v="4130465"/>
  </r>
  <r>
    <s v="Retail"/>
    <s v="Q091 - Armenia - Centro"/>
    <x v="7"/>
    <s v="septiembre"/>
    <n v="29"/>
    <d v="2026-09-29T00:00:00"/>
    <n v="1097391531"/>
    <s v="RODRIGUEZ  NATALY"/>
    <n v="74"/>
    <n v="0"/>
    <n v="4353702"/>
  </r>
  <r>
    <s v="Retail"/>
    <s v="Q091 - Armenia - Centro"/>
    <x v="7"/>
    <s v="septiembre"/>
    <n v="30"/>
    <d v="2026-09-30T00:00:00"/>
    <m/>
    <m/>
    <n v="0"/>
    <n v="8760642"/>
    <n v="0"/>
  </r>
  <r>
    <s v="Retail"/>
    <s v="Q091 - Armenia - Centro"/>
    <x v="7"/>
    <s v="septiembre"/>
    <n v="30"/>
    <d v="2026-09-30T00:00:00"/>
    <n v="1005089852"/>
    <s v="TORRES MUÑETON ANA SOFIA"/>
    <n v="24"/>
    <n v="0"/>
    <n v="1482102"/>
  </r>
  <r>
    <s v="Retail"/>
    <s v="Q091 - Armenia - Centro"/>
    <x v="7"/>
    <s v="septiembre"/>
    <n v="30"/>
    <d v="2026-09-30T00:00:00"/>
    <n v="1094957784"/>
    <s v=" LOPEZ  AVENDAÑO VANESSA"/>
    <n v="59"/>
    <n v="0"/>
    <n v="3291562"/>
  </r>
  <r>
    <s v="Retail"/>
    <s v="Q091 - Armenia - Centro"/>
    <x v="7"/>
    <s v="septiembre"/>
    <n v="30"/>
    <d v="2026-09-30T00:00:00"/>
    <n v="1097391531"/>
    <s v="RODRIGUEZ  NATALY"/>
    <n v="70"/>
    <n v="0"/>
    <n v="4760847"/>
  </r>
  <r>
    <s v="Retail"/>
    <s v="Q091 - Armenia - Centro"/>
    <x v="7"/>
    <s v="octubre"/>
    <n v="1"/>
    <d v="2026-10-01T00:00:00"/>
    <m/>
    <m/>
    <n v="0"/>
    <n v="8116591"/>
    <n v="0"/>
  </r>
  <r>
    <s v="Retail"/>
    <s v="Q091 - Armenia - Centro"/>
    <x v="7"/>
    <s v="octubre"/>
    <n v="1"/>
    <d v="2026-10-01T00:00:00"/>
    <n v="1005089852"/>
    <s v="TORRES MUÑETON ANA SOFIA"/>
    <n v="27"/>
    <n v="0"/>
    <n v="1387478"/>
  </r>
  <r>
    <s v="Retail"/>
    <s v="Q091 - Armenia - Centro"/>
    <x v="7"/>
    <s v="octubre"/>
    <n v="1"/>
    <d v="2026-10-01T00:00:00"/>
    <n v="1094957784"/>
    <s v=" LOPEZ  AVENDAÑO VANESSA"/>
    <n v="52"/>
    <n v="0"/>
    <n v="2842313"/>
  </r>
  <r>
    <s v="Retail"/>
    <s v="Q091 - Armenia - Centro"/>
    <x v="7"/>
    <s v="octubre"/>
    <n v="1"/>
    <d v="2026-10-01T00:00:00"/>
    <n v="1097391531"/>
    <s v="RODRIGUEZ  NATALY"/>
    <n v="35"/>
    <n v="0"/>
    <n v="2035969"/>
  </r>
  <r>
    <s v="Retail"/>
    <s v="Q091 - Armenia - Centro"/>
    <x v="7"/>
    <s v="octubre"/>
    <n v="2"/>
    <d v="2026-10-02T00:00:00"/>
    <m/>
    <m/>
    <n v="0"/>
    <n v="9178759"/>
    <n v="0"/>
  </r>
  <r>
    <s v="Retail"/>
    <s v="Q091 - Armenia - Centro"/>
    <x v="7"/>
    <s v="octubre"/>
    <n v="2"/>
    <d v="2026-10-02T00:00:00"/>
    <n v="1005089852"/>
    <s v="TORRES MUÑETON ANA SOFIA"/>
    <n v="30"/>
    <n v="0"/>
    <n v="1654079"/>
  </r>
  <r>
    <s v="Retail"/>
    <s v="Q091 - Armenia - Centro"/>
    <x v="7"/>
    <s v="octubre"/>
    <n v="2"/>
    <d v="2026-10-02T00:00:00"/>
    <n v="1005654398"/>
    <s v="RICO GÓMEZ CAMILA ANDREA"/>
    <n v="-1"/>
    <n v="0"/>
    <n v="-105000"/>
  </r>
  <r>
    <s v="Retail"/>
    <s v="Q091 - Armenia - Centro"/>
    <x v="7"/>
    <s v="octubre"/>
    <n v="2"/>
    <d v="2026-10-02T00:00:00"/>
    <n v="1094957784"/>
    <s v=" LOPEZ  AVENDAÑO VANESSA"/>
    <n v="57"/>
    <n v="0"/>
    <n v="3202949"/>
  </r>
  <r>
    <s v="Retail"/>
    <s v="Q091 - Armenia - Centro"/>
    <x v="7"/>
    <s v="octubre"/>
    <n v="2"/>
    <d v="2026-10-02T00:00:00"/>
    <n v="1094971574"/>
    <s v="RAMIREZ  FLOREZ CAROLINA "/>
    <n v="-1"/>
    <n v="0"/>
    <n v="-37773"/>
  </r>
  <r>
    <s v="Retail"/>
    <s v="Q091 - Armenia - Centro"/>
    <x v="7"/>
    <s v="octubre"/>
    <n v="2"/>
    <d v="2026-10-02T00:00:00"/>
    <n v="1097391531"/>
    <s v="RODRIGUEZ  NATALY"/>
    <n v="80"/>
    <n v="0"/>
    <n v="4597317"/>
  </r>
  <r>
    <s v="Retail"/>
    <s v="Q091 - Armenia - Centro"/>
    <x v="7"/>
    <s v="octubre"/>
    <n v="3"/>
    <d v="2026-10-03T00:00:00"/>
    <m/>
    <m/>
    <n v="0"/>
    <n v="18093051"/>
    <n v="0"/>
  </r>
  <r>
    <s v="Retail"/>
    <s v="Q091 - Armenia - Centro"/>
    <x v="7"/>
    <s v="octubre"/>
    <n v="3"/>
    <d v="2026-10-03T00:00:00"/>
    <n v="1005089852"/>
    <s v="TORRES MUÑETON ANA SOFIA"/>
    <n v="41"/>
    <n v="0"/>
    <n v="2316817"/>
  </r>
  <r>
    <s v="Retail"/>
    <s v="Q091 - Armenia - Centro"/>
    <x v="7"/>
    <s v="octubre"/>
    <n v="3"/>
    <d v="2026-10-03T00:00:00"/>
    <n v="1094957784"/>
    <s v=" LOPEZ  AVENDAÑO VANESSA"/>
    <n v="98"/>
    <n v="0"/>
    <n v="4899170"/>
  </r>
  <r>
    <s v="Retail"/>
    <s v="Q091 - Armenia - Centro"/>
    <x v="7"/>
    <s v="octubre"/>
    <n v="3"/>
    <d v="2026-10-03T00:00:00"/>
    <n v="1097391531"/>
    <s v="RODRIGUEZ  NATALY"/>
    <n v="116"/>
    <n v="0"/>
    <n v="5801056"/>
  </r>
  <r>
    <s v="Retail"/>
    <s v="Q091 - Armenia - Centro"/>
    <x v="7"/>
    <s v="octubre"/>
    <n v="4"/>
    <d v="2026-10-04T00:00:00"/>
    <m/>
    <m/>
    <n v="0"/>
    <n v="7282284"/>
    <n v="0"/>
  </r>
  <r>
    <s v="Retail"/>
    <s v="Q091 - Armenia - Centro"/>
    <x v="7"/>
    <s v="octubre"/>
    <n v="4"/>
    <d v="2026-10-04T00:00:00"/>
    <n v="1005089852"/>
    <s v="TORRES MUÑETON ANA SOFIA"/>
    <n v="24"/>
    <n v="0"/>
    <n v="1135379"/>
  </r>
  <r>
    <s v="Retail"/>
    <s v="Q091 - Armenia - Centro"/>
    <x v="7"/>
    <s v="octubre"/>
    <n v="4"/>
    <d v="2026-10-04T00:00:00"/>
    <n v="1094957784"/>
    <s v=" LOPEZ  AVENDAÑO VANESSA"/>
    <n v="24"/>
    <n v="0"/>
    <n v="1447303"/>
  </r>
  <r>
    <s v="Retail"/>
    <s v="Q091 - Armenia - Centro"/>
    <x v="7"/>
    <s v="octubre"/>
    <n v="4"/>
    <d v="2026-10-04T00:00:00"/>
    <n v="1097391531"/>
    <s v="RODRIGUEZ  NATALY"/>
    <n v="26"/>
    <n v="0"/>
    <n v="1671094"/>
  </r>
  <r>
    <s v="Retail"/>
    <s v="Q091 - Armenia - Centro"/>
    <x v="7"/>
    <s v="octubre"/>
    <n v="5"/>
    <d v="2026-10-05T00:00:00"/>
    <m/>
    <m/>
    <n v="0"/>
    <n v="7036120"/>
    <n v="0"/>
  </r>
  <r>
    <s v="Retail"/>
    <s v="Q091 - Armenia - Centro"/>
    <x v="7"/>
    <s v="octubre"/>
    <n v="5"/>
    <d v="2026-10-05T00:00:00"/>
    <n v="1005089852"/>
    <s v="TORRES MUÑETON ANA SOFIA"/>
    <n v="47"/>
    <n v="0"/>
    <n v="3012103"/>
  </r>
  <r>
    <s v="Retail"/>
    <s v="Q091 - Armenia - Centro"/>
    <x v="7"/>
    <s v="octubre"/>
    <n v="5"/>
    <d v="2026-10-05T00:00:00"/>
    <n v="1094957784"/>
    <s v=" LOPEZ  AVENDAÑO VANESSA"/>
    <n v="52"/>
    <n v="0"/>
    <n v="2701262"/>
  </r>
  <r>
    <s v="Retail"/>
    <s v="Q091 - Armenia - Centro"/>
    <x v="7"/>
    <s v="octubre"/>
    <n v="5"/>
    <d v="2026-10-05T00:00:00"/>
    <n v="1097391531"/>
    <s v="RODRIGUEZ  NATALY"/>
    <n v="44"/>
    <n v="0"/>
    <n v="2519035"/>
  </r>
  <r>
    <s v="Retail"/>
    <s v="Q091 - Armenia - Centro"/>
    <x v="7"/>
    <s v="octubre"/>
    <n v="6"/>
    <d v="2026-10-06T00:00:00"/>
    <m/>
    <m/>
    <n v="0"/>
    <n v="3440551"/>
    <n v="0"/>
  </r>
  <r>
    <s v="Retail"/>
    <s v="Q091 - Armenia - Centro"/>
    <x v="7"/>
    <s v="octubre"/>
    <n v="6"/>
    <d v="2026-10-06T00:00:00"/>
    <n v="1005089852"/>
    <s v="TORRES MUÑETON ANA SOFIA"/>
    <n v="20"/>
    <n v="0"/>
    <n v="1259623"/>
  </r>
  <r>
    <s v="Retail"/>
    <s v="Q091 - Armenia - Centro"/>
    <x v="7"/>
    <s v="octubre"/>
    <n v="6"/>
    <d v="2026-10-06T00:00:00"/>
    <n v="1007466983"/>
    <s v="OSORIO CAMPIÑO INGRID KATERINE"/>
    <n v="-1"/>
    <n v="0"/>
    <n v="-67193"/>
  </r>
  <r>
    <s v="Retail"/>
    <s v="Q091 - Armenia - Centro"/>
    <x v="7"/>
    <s v="octubre"/>
    <n v="6"/>
    <d v="2026-10-06T00:00:00"/>
    <n v="1092850523"/>
    <s v="OSPINA BETANCUR LAURA SOFIA"/>
    <n v="21"/>
    <n v="0"/>
    <n v="898236"/>
  </r>
  <r>
    <s v="Retail"/>
    <s v="Q091 - Armenia - Centro"/>
    <x v="7"/>
    <s v="octubre"/>
    <n v="6"/>
    <d v="2026-10-06T00:00:00"/>
    <n v="1094957784"/>
    <s v=" LOPEZ  AVENDAÑO VANESSA"/>
    <n v="59"/>
    <n v="0"/>
    <n v="2658952"/>
  </r>
  <r>
    <s v="Retail"/>
    <s v="Q091 - Armenia - Centro"/>
    <x v="7"/>
    <s v="octubre"/>
    <n v="7"/>
    <d v="2026-10-07T00:00:00"/>
    <m/>
    <m/>
    <n v="0"/>
    <n v="3395283"/>
    <n v="0"/>
  </r>
  <r>
    <s v="Retail"/>
    <s v="Q091 - Armenia - Centro"/>
    <x v="7"/>
    <s v="octubre"/>
    <n v="7"/>
    <d v="2026-10-07T00:00:00"/>
    <n v="24606628"/>
    <s v="JIMENEZ BARRERA SANDRA MILENA"/>
    <n v="-1"/>
    <n v="0"/>
    <n v="-33529"/>
  </r>
  <r>
    <s v="Retail"/>
    <s v="Q091 - Armenia - Centro"/>
    <x v="7"/>
    <s v="octubre"/>
    <n v="7"/>
    <d v="2026-10-07T00:00:00"/>
    <n v="1005089852"/>
    <s v="TORRES MUÑETON ANA SOFIA"/>
    <n v="32"/>
    <n v="0"/>
    <n v="1651893"/>
  </r>
  <r>
    <s v="Retail"/>
    <s v="Q091 - Armenia - Centro"/>
    <x v="7"/>
    <s v="octubre"/>
    <n v="7"/>
    <d v="2026-10-07T00:00:00"/>
    <n v="1092850523"/>
    <s v="OSPINA BETANCUR LAURA SOFIA"/>
    <n v="31"/>
    <n v="0"/>
    <n v="1628868"/>
  </r>
  <r>
    <s v="Retail"/>
    <s v="Q091 - Armenia - Centro"/>
    <x v="7"/>
    <s v="octubre"/>
    <n v="7"/>
    <d v="2026-10-07T00:00:00"/>
    <n v="1094957784"/>
    <s v=" LOPEZ  AVENDAÑO VANESSA"/>
    <n v="27"/>
    <n v="0"/>
    <n v="1358029"/>
  </r>
  <r>
    <s v="Retail"/>
    <s v="Q091 - Armenia - Centro"/>
    <x v="7"/>
    <s v="octubre"/>
    <n v="7"/>
    <d v="2026-10-07T00:00:00"/>
    <n v="1097391531"/>
    <s v="RODRIGUEZ  NATALY"/>
    <n v="-1"/>
    <n v="0"/>
    <n v="-33529"/>
  </r>
  <r>
    <s v="Retail"/>
    <s v="Q097 - Cartago - Centro"/>
    <x v="7"/>
    <s v="septiembre"/>
    <n v="23"/>
    <d v="2026-09-23T00:00:00"/>
    <m/>
    <m/>
    <n v="0"/>
    <n v="5767847"/>
    <n v="0"/>
  </r>
  <r>
    <s v="Retail"/>
    <s v="Q097 - Cartago - Centro"/>
    <x v="7"/>
    <s v="septiembre"/>
    <n v="23"/>
    <d v="2026-09-23T00:00:00"/>
    <n v="1007375030"/>
    <s v="NOVOA BENTACUR KELLIN NATALIA"/>
    <n v="9"/>
    <n v="0"/>
    <n v="507942"/>
  </r>
  <r>
    <s v="Retail"/>
    <s v="Q097 - Cartago - Centro"/>
    <x v="7"/>
    <s v="septiembre"/>
    <n v="23"/>
    <d v="2026-09-23T00:00:00"/>
    <n v="1088291704"/>
    <s v="LLANOS  BERNAL KERLEN LISANYURI "/>
    <n v="-1"/>
    <n v="0"/>
    <n v="-58740"/>
  </r>
  <r>
    <s v="Retail"/>
    <s v="Q097 - Cartago - Centro"/>
    <x v="7"/>
    <s v="septiembre"/>
    <n v="23"/>
    <d v="2026-09-23T00:00:00"/>
    <n v="1114148923"/>
    <s v="CANO CORTES JOFI ESTEBAN"/>
    <n v="91"/>
    <n v="0"/>
    <n v="4935086"/>
  </r>
  <r>
    <s v="Retail"/>
    <s v="Q097 - Cartago - Centro"/>
    <x v="7"/>
    <s v="septiembre"/>
    <n v="23"/>
    <d v="2026-09-23T00:00:00"/>
    <n v="1114149755"/>
    <s v="ROMAN REBELLO ALEJANDRO"/>
    <n v="69"/>
    <n v="0"/>
    <n v="4202942"/>
  </r>
  <r>
    <s v="Retail"/>
    <s v="Q097 - Cartago - Centro"/>
    <x v="7"/>
    <s v="septiembre"/>
    <n v="23"/>
    <d v="2026-09-23T00:00:00"/>
    <n v="1137977751"/>
    <s v="TINOCO MARÍN ALEJANDRO"/>
    <n v="4"/>
    <n v="0"/>
    <n v="218277"/>
  </r>
  <r>
    <s v="Retail"/>
    <s v="Q097 - Cartago - Centro"/>
    <x v="7"/>
    <s v="septiembre"/>
    <n v="24"/>
    <d v="2026-09-24T00:00:00"/>
    <m/>
    <m/>
    <n v="0"/>
    <n v="8811032"/>
    <n v="0"/>
  </r>
  <r>
    <s v="Retail"/>
    <s v="Q097 - Cartago - Centro"/>
    <x v="7"/>
    <s v="septiembre"/>
    <n v="24"/>
    <d v="2026-09-24T00:00:00"/>
    <n v="1007375030"/>
    <s v="NOVOA BENTACUR KELLIN NATALIA"/>
    <n v="18"/>
    <n v="0"/>
    <n v="763825"/>
  </r>
  <r>
    <s v="Retail"/>
    <s v="Q097 - Cartago - Centro"/>
    <x v="7"/>
    <s v="septiembre"/>
    <n v="24"/>
    <d v="2026-09-24T00:00:00"/>
    <n v="1114148923"/>
    <s v="CANO CORTES JOFI ESTEBAN"/>
    <n v="119"/>
    <n v="0"/>
    <n v="6358026"/>
  </r>
  <r>
    <s v="Retail"/>
    <s v="Q097 - Cartago - Centro"/>
    <x v="7"/>
    <s v="septiembre"/>
    <n v="24"/>
    <d v="2026-09-24T00:00:00"/>
    <n v="1114149755"/>
    <s v="ROMAN REBELLO ALEJANDRO"/>
    <n v="106"/>
    <n v="0"/>
    <n v="5608405"/>
  </r>
  <r>
    <s v="Retail"/>
    <s v="Q097 - Cartago - Centro"/>
    <x v="7"/>
    <s v="septiembre"/>
    <n v="24"/>
    <d v="2026-09-24T00:00:00"/>
    <n v="1137977751"/>
    <s v="TINOCO MARÍN ALEJANDRO"/>
    <n v="12"/>
    <n v="0"/>
    <n v="547773"/>
  </r>
  <r>
    <s v="Retail"/>
    <s v="Q097 - Cartago - Centro"/>
    <x v="7"/>
    <s v="septiembre"/>
    <n v="25"/>
    <d v="2026-09-25T00:00:00"/>
    <m/>
    <m/>
    <n v="0"/>
    <n v="8791528"/>
    <n v="0"/>
  </r>
  <r>
    <s v="Retail"/>
    <s v="Q097 - Cartago - Centro"/>
    <x v="7"/>
    <s v="septiembre"/>
    <n v="25"/>
    <d v="2026-09-25T00:00:00"/>
    <n v="1007375030"/>
    <s v="NOVOA BENTACUR KELLIN NATALIA"/>
    <n v="34"/>
    <n v="0"/>
    <n v="1561475"/>
  </r>
  <r>
    <s v="Retail"/>
    <s v="Q097 - Cartago - Centro"/>
    <x v="7"/>
    <s v="septiembre"/>
    <n v="25"/>
    <d v="2026-09-25T00:00:00"/>
    <n v="1114148923"/>
    <s v="CANO CORTES JOFI ESTEBAN"/>
    <n v="80"/>
    <n v="0"/>
    <n v="4845129"/>
  </r>
  <r>
    <s v="Retail"/>
    <s v="Q097 - Cartago - Centro"/>
    <x v="7"/>
    <s v="septiembre"/>
    <n v="25"/>
    <d v="2026-09-25T00:00:00"/>
    <n v="1114149755"/>
    <s v="ROMAN REBELLO ALEJANDRO"/>
    <n v="73"/>
    <n v="0"/>
    <n v="4061809"/>
  </r>
  <r>
    <s v="Retail"/>
    <s v="Q097 - Cartago - Centro"/>
    <x v="7"/>
    <s v="septiembre"/>
    <n v="25"/>
    <d v="2026-09-25T00:00:00"/>
    <n v="1137977751"/>
    <s v="TINOCO MARÍN ALEJANDRO"/>
    <n v="10"/>
    <n v="0"/>
    <n v="411344"/>
  </r>
  <r>
    <s v="Retail"/>
    <s v="Q097 - Cartago - Centro"/>
    <x v="7"/>
    <s v="septiembre"/>
    <n v="26"/>
    <d v="2026-09-26T00:00:00"/>
    <m/>
    <m/>
    <n v="0"/>
    <n v="12634690"/>
    <n v="0"/>
  </r>
  <r>
    <s v="Retail"/>
    <s v="Q097 - Cartago - Centro"/>
    <x v="7"/>
    <s v="septiembre"/>
    <n v="26"/>
    <d v="2026-09-26T00:00:00"/>
    <n v="1007375030"/>
    <s v="NOVOA BENTACUR KELLIN NATALIA"/>
    <n v="44"/>
    <n v="0"/>
    <n v="1563030"/>
  </r>
  <r>
    <s v="Retail"/>
    <s v="Q097 - Cartago - Centro"/>
    <x v="7"/>
    <s v="septiembre"/>
    <n v="26"/>
    <d v="2026-09-26T00:00:00"/>
    <n v="1114148923"/>
    <s v="CANO CORTES JOFI ESTEBAN"/>
    <n v="144"/>
    <n v="0"/>
    <n v="7238953"/>
  </r>
  <r>
    <s v="Retail"/>
    <s v="Q097 - Cartago - Centro"/>
    <x v="7"/>
    <s v="septiembre"/>
    <n v="26"/>
    <d v="2026-09-26T00:00:00"/>
    <n v="1114149755"/>
    <s v="ROMAN REBELLO ALEJANDRO"/>
    <n v="119"/>
    <n v="0"/>
    <n v="6248324"/>
  </r>
  <r>
    <s v="Retail"/>
    <s v="Q097 - Cartago - Centro"/>
    <x v="7"/>
    <s v="septiembre"/>
    <n v="26"/>
    <d v="2026-09-26T00:00:00"/>
    <n v="1137977751"/>
    <s v="TINOCO MARÍN ALEJANDRO"/>
    <n v="17"/>
    <n v="0"/>
    <n v="894120"/>
  </r>
  <r>
    <s v="Retail"/>
    <s v="Q097 - Cartago - Centro"/>
    <x v="7"/>
    <s v="septiembre"/>
    <n v="27"/>
    <d v="2026-09-27T00:00:00"/>
    <m/>
    <m/>
    <n v="0"/>
    <n v="10009217"/>
    <n v="0"/>
  </r>
  <r>
    <s v="Retail"/>
    <s v="Q097 - Cartago - Centro"/>
    <x v="7"/>
    <s v="septiembre"/>
    <n v="27"/>
    <d v="2026-09-27T00:00:00"/>
    <n v="1007375030"/>
    <s v="NOVOA BENTACUR KELLIN NATALIA"/>
    <n v="12"/>
    <n v="0"/>
    <n v="730590"/>
  </r>
  <r>
    <s v="Retail"/>
    <s v="Q097 - Cartago - Centro"/>
    <x v="7"/>
    <s v="septiembre"/>
    <n v="27"/>
    <d v="2026-09-27T00:00:00"/>
    <n v="1114148923"/>
    <s v="CANO CORTES JOFI ESTEBAN"/>
    <n v="35"/>
    <n v="0"/>
    <n v="2019244"/>
  </r>
  <r>
    <s v="Retail"/>
    <s v="Q097 - Cartago - Centro"/>
    <x v="7"/>
    <s v="septiembre"/>
    <n v="27"/>
    <d v="2026-09-27T00:00:00"/>
    <n v="1114149755"/>
    <s v="ROMAN REBELLO ALEJANDRO"/>
    <n v="39"/>
    <n v="0"/>
    <n v="2189284"/>
  </r>
  <r>
    <s v="Retail"/>
    <s v="Q097 - Cartago - Centro"/>
    <x v="7"/>
    <s v="septiembre"/>
    <n v="27"/>
    <d v="2026-09-27T00:00:00"/>
    <n v="1137977751"/>
    <s v="TINOCO MARÍN ALEJANDRO"/>
    <n v="8"/>
    <n v="0"/>
    <n v="367311"/>
  </r>
  <r>
    <s v="Retail"/>
    <s v="Q097 - Cartago - Centro"/>
    <x v="7"/>
    <s v="septiembre"/>
    <n v="28"/>
    <d v="2026-09-28T00:00:00"/>
    <m/>
    <m/>
    <n v="0"/>
    <n v="5635635"/>
    <n v="0"/>
  </r>
  <r>
    <s v="Retail"/>
    <s v="Q097 - Cartago - Centro"/>
    <x v="7"/>
    <s v="septiembre"/>
    <n v="28"/>
    <d v="2026-09-28T00:00:00"/>
    <n v="1007375030"/>
    <s v="NOVOA BENTACUR KELLIN NATALIA"/>
    <n v="24"/>
    <n v="0"/>
    <n v="1301219"/>
  </r>
  <r>
    <s v="Retail"/>
    <s v="Q097 - Cartago - Centro"/>
    <x v="7"/>
    <s v="septiembre"/>
    <n v="28"/>
    <d v="2026-09-28T00:00:00"/>
    <n v="1114148923"/>
    <s v="CANO CORTES JOFI ESTEBAN"/>
    <n v="44"/>
    <n v="0"/>
    <n v="2483322"/>
  </r>
  <r>
    <s v="Retail"/>
    <s v="Q097 - Cartago - Centro"/>
    <x v="7"/>
    <s v="septiembre"/>
    <n v="28"/>
    <d v="2026-09-28T00:00:00"/>
    <n v="1114149755"/>
    <s v="ROMAN REBELLO ALEJANDRO"/>
    <n v="43"/>
    <n v="0"/>
    <n v="2275336"/>
  </r>
  <r>
    <s v="Retail"/>
    <s v="Q097 - Cartago - Centro"/>
    <x v="7"/>
    <s v="septiembre"/>
    <n v="28"/>
    <d v="2026-09-28T00:00:00"/>
    <n v="1137977751"/>
    <s v="TINOCO MARÍN ALEJANDRO"/>
    <n v="21"/>
    <n v="0"/>
    <n v="822271"/>
  </r>
  <r>
    <s v="Retail"/>
    <s v="Q097 - Cartago - Centro"/>
    <x v="7"/>
    <s v="septiembre"/>
    <n v="29"/>
    <d v="2026-09-29T00:00:00"/>
    <m/>
    <m/>
    <n v="0"/>
    <n v="5757359"/>
    <n v="0"/>
  </r>
  <r>
    <s v="Retail"/>
    <s v="Q097 - Cartago - Centro"/>
    <x v="7"/>
    <s v="septiembre"/>
    <n v="29"/>
    <d v="2026-09-29T00:00:00"/>
    <n v="1007375030"/>
    <s v="NOVOA BENTACUR KELLIN NATALIA"/>
    <n v="23"/>
    <n v="0"/>
    <n v="1305588"/>
  </r>
  <r>
    <s v="Retail"/>
    <s v="Q097 - Cartago - Centro"/>
    <x v="7"/>
    <s v="septiembre"/>
    <n v="29"/>
    <d v="2026-09-29T00:00:00"/>
    <n v="1114148923"/>
    <s v="CANO CORTES JOFI ESTEBAN"/>
    <n v="50"/>
    <n v="0"/>
    <n v="2550210"/>
  </r>
  <r>
    <s v="Retail"/>
    <s v="Q097 - Cartago - Centro"/>
    <x v="7"/>
    <s v="septiembre"/>
    <n v="29"/>
    <d v="2026-09-29T00:00:00"/>
    <n v="1114149755"/>
    <s v="ROMAN REBELLO ALEJANDRO"/>
    <n v="32"/>
    <n v="0"/>
    <n v="1502732"/>
  </r>
  <r>
    <s v="Retail"/>
    <s v="Q097 - Cartago - Centro"/>
    <x v="7"/>
    <s v="septiembre"/>
    <n v="29"/>
    <d v="2026-09-29T00:00:00"/>
    <n v="1137977751"/>
    <s v="TINOCO MARÍN ALEJANDRO"/>
    <n v="10"/>
    <n v="0"/>
    <n v="587816"/>
  </r>
  <r>
    <s v="Retail"/>
    <s v="Q097 - Cartago - Centro"/>
    <x v="7"/>
    <s v="septiembre"/>
    <n v="30"/>
    <d v="2026-09-30T00:00:00"/>
    <m/>
    <m/>
    <n v="0"/>
    <n v="6078618"/>
    <n v="0"/>
  </r>
  <r>
    <s v="Retail"/>
    <s v="Q097 - Cartago - Centro"/>
    <x v="7"/>
    <s v="septiembre"/>
    <n v="30"/>
    <d v="2026-09-30T00:00:00"/>
    <n v="1007375030"/>
    <s v="NOVOA BENTACUR KELLIN NATALIA"/>
    <n v="34"/>
    <n v="0"/>
    <n v="1731597"/>
  </r>
  <r>
    <s v="Retail"/>
    <s v="Q097 - Cartago - Centro"/>
    <x v="7"/>
    <s v="septiembre"/>
    <n v="30"/>
    <d v="2026-09-30T00:00:00"/>
    <n v="1114148923"/>
    <s v="CANO CORTES JOFI ESTEBAN"/>
    <n v="54"/>
    <n v="0"/>
    <n v="2730757"/>
  </r>
  <r>
    <s v="Retail"/>
    <s v="Q097 - Cartago - Centro"/>
    <x v="7"/>
    <s v="septiembre"/>
    <n v="30"/>
    <d v="2026-09-30T00:00:00"/>
    <n v="1114149755"/>
    <s v="ROMAN REBELLO ALEJANDRO"/>
    <n v="71"/>
    <n v="0"/>
    <n v="3653743"/>
  </r>
  <r>
    <s v="Retail"/>
    <s v="Q097 - Cartago - Centro"/>
    <x v="7"/>
    <s v="septiembre"/>
    <n v="30"/>
    <d v="2026-09-30T00:00:00"/>
    <n v="1137977751"/>
    <s v="TINOCO MARÍN ALEJANDRO"/>
    <n v="15"/>
    <n v="0"/>
    <n v="738824"/>
  </r>
  <r>
    <s v="Retail"/>
    <s v="Q097 - Cartago - Centro"/>
    <x v="7"/>
    <s v="octubre"/>
    <n v="1"/>
    <d v="2026-10-01T00:00:00"/>
    <m/>
    <m/>
    <n v="0"/>
    <n v="6848563"/>
    <n v="0"/>
  </r>
  <r>
    <s v="Retail"/>
    <s v="Q097 - Cartago - Centro"/>
    <x v="7"/>
    <s v="octubre"/>
    <n v="1"/>
    <d v="2026-10-01T00:00:00"/>
    <n v="1007375030"/>
    <s v="NOVOA BENTACUR KELLIN NATALIA"/>
    <n v="33"/>
    <n v="0"/>
    <n v="1727312"/>
  </r>
  <r>
    <s v="Retail"/>
    <s v="Q097 - Cartago - Centro"/>
    <x v="7"/>
    <s v="octubre"/>
    <n v="1"/>
    <d v="2026-10-01T00:00:00"/>
    <n v="1114148923"/>
    <s v="CANO CORTES JOFI ESTEBAN"/>
    <n v="52"/>
    <n v="0"/>
    <n v="2602773"/>
  </r>
  <r>
    <s v="Retail"/>
    <s v="Q097 - Cartago - Centro"/>
    <x v="7"/>
    <s v="octubre"/>
    <n v="1"/>
    <d v="2026-10-01T00:00:00"/>
    <n v="1114149755"/>
    <s v="ROMAN REBELLO ALEJANDRO"/>
    <n v="45"/>
    <n v="0"/>
    <n v="2165969"/>
  </r>
  <r>
    <s v="Retail"/>
    <s v="Q097 - Cartago - Centro"/>
    <x v="7"/>
    <s v="octubre"/>
    <n v="1"/>
    <d v="2026-10-01T00:00:00"/>
    <n v="1137977751"/>
    <s v="TINOCO MARÍN ALEJANDRO"/>
    <n v="15"/>
    <n v="0"/>
    <n v="544707"/>
  </r>
  <r>
    <s v="Retail"/>
    <s v="Q097 - Cartago - Centro"/>
    <x v="7"/>
    <s v="octubre"/>
    <n v="2"/>
    <d v="2026-10-02T00:00:00"/>
    <m/>
    <m/>
    <n v="0"/>
    <n v="5397642"/>
    <n v="0"/>
  </r>
  <r>
    <s v="Retail"/>
    <s v="Q097 - Cartago - Centro"/>
    <x v="7"/>
    <s v="octubre"/>
    <n v="2"/>
    <d v="2026-10-02T00:00:00"/>
    <n v="1007375030"/>
    <s v="NOVOA BENTACUR KELLIN NATALIA"/>
    <n v="38"/>
    <n v="0"/>
    <n v="1971010"/>
  </r>
  <r>
    <s v="Retail"/>
    <s v="Q097 - Cartago - Centro"/>
    <x v="7"/>
    <s v="octubre"/>
    <n v="2"/>
    <d v="2026-10-02T00:00:00"/>
    <n v="1088291704"/>
    <s v="LLANOS  BERNAL KERLEN LISANYURI "/>
    <n v="-1"/>
    <n v="0"/>
    <n v="-109160"/>
  </r>
  <r>
    <s v="Retail"/>
    <s v="Q097 - Cartago - Centro"/>
    <x v="7"/>
    <s v="octubre"/>
    <n v="2"/>
    <d v="2026-10-02T00:00:00"/>
    <n v="1113860425"/>
    <s v="RUIZ SILVA JHOANNI ANDRES"/>
    <n v="-1"/>
    <n v="0"/>
    <n v="-83992"/>
  </r>
  <r>
    <s v="Retail"/>
    <s v="Q097 - Cartago - Centro"/>
    <x v="7"/>
    <s v="octubre"/>
    <n v="2"/>
    <d v="2026-10-02T00:00:00"/>
    <n v="1114148923"/>
    <s v="CANO CORTES JOFI ESTEBAN"/>
    <n v="56"/>
    <n v="0"/>
    <n v="3030927"/>
  </r>
  <r>
    <s v="Retail"/>
    <s v="Q097 - Cartago - Centro"/>
    <x v="7"/>
    <s v="octubre"/>
    <n v="2"/>
    <d v="2026-10-02T00:00:00"/>
    <n v="1114149755"/>
    <s v="ROMAN REBELLO ALEJANDRO"/>
    <n v="62"/>
    <n v="0"/>
    <n v="2833030"/>
  </r>
  <r>
    <s v="Retail"/>
    <s v="Q097 - Cartago - Centro"/>
    <x v="7"/>
    <s v="octubre"/>
    <n v="2"/>
    <d v="2026-10-02T00:00:00"/>
    <n v="1137977751"/>
    <s v="TINOCO MARÍN ALEJANDRO"/>
    <n v="8"/>
    <n v="0"/>
    <n v="323193"/>
  </r>
  <r>
    <s v="Retail"/>
    <s v="Q097 - Cartago - Centro"/>
    <x v="7"/>
    <s v="octubre"/>
    <n v="3"/>
    <d v="2026-10-03T00:00:00"/>
    <m/>
    <m/>
    <n v="0"/>
    <n v="14133639"/>
    <n v="0"/>
  </r>
  <r>
    <s v="Retail"/>
    <s v="Q097 - Cartago - Centro"/>
    <x v="7"/>
    <s v="octubre"/>
    <n v="3"/>
    <d v="2026-10-03T00:00:00"/>
    <n v="1003533393"/>
    <s v="LAVERDE PEA JUAN DAVID"/>
    <n v="-2"/>
    <n v="0"/>
    <n v="-88151"/>
  </r>
  <r>
    <s v="Retail"/>
    <s v="Q097 - Cartago - Centro"/>
    <x v="7"/>
    <s v="octubre"/>
    <n v="3"/>
    <d v="2026-10-03T00:00:00"/>
    <n v="1007375030"/>
    <s v="NOVOA BENTACUR KELLIN NATALIA"/>
    <n v="64"/>
    <n v="0"/>
    <n v="2598473"/>
  </r>
  <r>
    <s v="Retail"/>
    <s v="Q097 - Cartago - Centro"/>
    <x v="7"/>
    <s v="octubre"/>
    <n v="3"/>
    <d v="2026-10-03T00:00:00"/>
    <n v="1088017991"/>
    <s v="ROJAS DUQUE EISENHAWUER"/>
    <n v="-1"/>
    <n v="0"/>
    <n v="-54580"/>
  </r>
  <r>
    <s v="Retail"/>
    <s v="Q097 - Cartago - Centro"/>
    <x v="7"/>
    <s v="octubre"/>
    <n v="3"/>
    <d v="2026-10-03T00:00:00"/>
    <n v="1114148923"/>
    <s v="CANO CORTES JOFI ESTEBAN"/>
    <n v="70"/>
    <n v="0"/>
    <n v="3322865"/>
  </r>
  <r>
    <s v="Retail"/>
    <s v="Q097 - Cartago - Centro"/>
    <x v="7"/>
    <s v="octubre"/>
    <n v="3"/>
    <d v="2026-10-03T00:00:00"/>
    <n v="1114149755"/>
    <s v="ROMAN REBELLO ALEJANDRO"/>
    <n v="91"/>
    <n v="0"/>
    <n v="4341173"/>
  </r>
  <r>
    <s v="Retail"/>
    <s v="Q097 - Cartago - Centro"/>
    <x v="7"/>
    <s v="octubre"/>
    <n v="3"/>
    <d v="2026-10-03T00:00:00"/>
    <n v="1137977751"/>
    <s v="TINOCO MARÍN ALEJANDRO"/>
    <n v="28"/>
    <n v="0"/>
    <n v="947867"/>
  </r>
  <r>
    <s v="Retail"/>
    <s v="Q097 - Cartago - Centro"/>
    <x v="7"/>
    <s v="octubre"/>
    <n v="4"/>
    <d v="2026-10-04T00:00:00"/>
    <m/>
    <m/>
    <n v="0"/>
    <n v="4568620"/>
    <n v="0"/>
  </r>
  <r>
    <s v="Retail"/>
    <s v="Q097 - Cartago - Centro"/>
    <x v="7"/>
    <s v="octubre"/>
    <n v="4"/>
    <d v="2026-10-04T00:00:00"/>
    <n v="1007375030"/>
    <s v="NOVOA BENTACUR KELLIN NATALIA"/>
    <n v="21"/>
    <n v="0"/>
    <n v="965253"/>
  </r>
  <r>
    <s v="Retail"/>
    <s v="Q097 - Cartago - Centro"/>
    <x v="7"/>
    <s v="octubre"/>
    <n v="4"/>
    <d v="2026-10-04T00:00:00"/>
    <n v="1114148923"/>
    <s v="CANO CORTES JOFI ESTEBAN"/>
    <n v="32"/>
    <n v="0"/>
    <n v="1462523"/>
  </r>
  <r>
    <s v="Retail"/>
    <s v="Q097 - Cartago - Centro"/>
    <x v="7"/>
    <s v="octubre"/>
    <n v="4"/>
    <d v="2026-10-04T00:00:00"/>
    <n v="1114149755"/>
    <s v="ROMAN REBELLO ALEJANDRO"/>
    <n v="21"/>
    <n v="0"/>
    <n v="1156598"/>
  </r>
  <r>
    <s v="Retail"/>
    <s v="Q097 - Cartago - Centro"/>
    <x v="7"/>
    <s v="octubre"/>
    <n v="4"/>
    <d v="2026-10-04T00:00:00"/>
    <n v="1137977751"/>
    <s v="TINOCO MARÍN ALEJANDRO"/>
    <n v="9"/>
    <n v="0"/>
    <n v="272731"/>
  </r>
  <r>
    <s v="Retail"/>
    <s v="Q097 - Cartago - Centro"/>
    <x v="7"/>
    <s v="octubre"/>
    <n v="5"/>
    <d v="2026-10-05T00:00:00"/>
    <m/>
    <m/>
    <n v="0"/>
    <n v="5328570"/>
    <n v="0"/>
  </r>
  <r>
    <s v="Retail"/>
    <s v="Q097 - Cartago - Centro"/>
    <x v="7"/>
    <s v="octubre"/>
    <n v="5"/>
    <d v="2026-10-05T00:00:00"/>
    <n v="1007375030"/>
    <s v="NOVOA BENTACUR KELLIN NATALIA"/>
    <n v="43"/>
    <n v="0"/>
    <n v="2237440"/>
  </r>
  <r>
    <s v="Retail"/>
    <s v="Q097 - Cartago - Centro"/>
    <x v="7"/>
    <s v="octubre"/>
    <n v="5"/>
    <d v="2026-10-05T00:00:00"/>
    <n v="1114148923"/>
    <s v="CANO CORTES JOFI ESTEBAN"/>
    <n v="78"/>
    <n v="0"/>
    <n v="3835803"/>
  </r>
  <r>
    <s v="Retail"/>
    <s v="Q097 - Cartago - Centro"/>
    <x v="7"/>
    <s v="octubre"/>
    <n v="5"/>
    <d v="2026-10-05T00:00:00"/>
    <n v="1114149755"/>
    <s v="ROMAN REBELLO ALEJANDRO"/>
    <n v="49"/>
    <n v="0"/>
    <n v="2335590"/>
  </r>
  <r>
    <s v="Retail"/>
    <s v="Q097 - Cartago - Centro"/>
    <x v="7"/>
    <s v="octubre"/>
    <n v="5"/>
    <d v="2026-10-05T00:00:00"/>
    <n v="1137977751"/>
    <s v="TINOCO MARÍN ALEJANDRO"/>
    <n v="16"/>
    <n v="0"/>
    <n v="793361"/>
  </r>
  <r>
    <s v="Retail"/>
    <s v="Q097 - Cartago - Centro"/>
    <x v="7"/>
    <s v="octubre"/>
    <n v="6"/>
    <d v="2026-10-06T00:00:00"/>
    <m/>
    <m/>
    <n v="0"/>
    <n v="6050209"/>
    <n v="0"/>
  </r>
  <r>
    <s v="Retail"/>
    <s v="Q097 - Cartago - Centro"/>
    <x v="7"/>
    <s v="octubre"/>
    <n v="6"/>
    <d v="2026-10-06T00:00:00"/>
    <n v="1007375030"/>
    <s v="NOVOA BENTACUR KELLIN NATALIA"/>
    <n v="19"/>
    <n v="0"/>
    <n v="1030630"/>
  </r>
  <r>
    <s v="Retail"/>
    <s v="Q097 - Cartago - Centro"/>
    <x v="7"/>
    <s v="octubre"/>
    <n v="6"/>
    <d v="2026-10-06T00:00:00"/>
    <n v="1065614711"/>
    <s v="CASTRO DAZA CARLOS ANDRES"/>
    <n v="-1"/>
    <n v="0"/>
    <n v="-41988"/>
  </r>
  <r>
    <s v="Retail"/>
    <s v="Q097 - Cartago - Centro"/>
    <x v="7"/>
    <s v="octubre"/>
    <n v="6"/>
    <d v="2026-10-06T00:00:00"/>
    <n v="1114148923"/>
    <s v="CANO CORTES JOFI ESTEBAN"/>
    <n v="27"/>
    <n v="0"/>
    <n v="1637144"/>
  </r>
  <r>
    <s v="Retail"/>
    <s v="Q097 - Cartago - Centro"/>
    <x v="7"/>
    <s v="octubre"/>
    <n v="6"/>
    <d v="2026-10-06T00:00:00"/>
    <n v="1114149755"/>
    <s v="ROMAN REBELLO ALEJANDRO"/>
    <n v="21"/>
    <n v="0"/>
    <n v="1213363"/>
  </r>
  <r>
    <s v="Retail"/>
    <s v="Q097 - Cartago - Centro"/>
    <x v="7"/>
    <s v="octubre"/>
    <n v="6"/>
    <d v="2026-10-06T00:00:00"/>
    <n v="1137977751"/>
    <s v="TINOCO MARÍN ALEJANDRO"/>
    <n v="9"/>
    <n v="0"/>
    <n v="373446"/>
  </r>
  <r>
    <s v="Retail"/>
    <s v="Q097 - Cartago - Centro"/>
    <x v="7"/>
    <s v="octubre"/>
    <n v="7"/>
    <d v="2026-10-07T00:00:00"/>
    <m/>
    <m/>
    <n v="0"/>
    <n v="5986677"/>
    <n v="0"/>
  </r>
  <r>
    <s v="Retail"/>
    <s v="Q097 - Cartago - Centro"/>
    <x v="7"/>
    <s v="octubre"/>
    <n v="7"/>
    <d v="2026-10-07T00:00:00"/>
    <n v="1004754146"/>
    <s v="MARIN AGUDELO MARIA CAMILA"/>
    <n v="-1"/>
    <n v="0"/>
    <n v="-54580"/>
  </r>
  <r>
    <s v="Retail"/>
    <s v="Q097 - Cartago - Centro"/>
    <x v="7"/>
    <s v="octubre"/>
    <n v="7"/>
    <d v="2026-10-07T00:00:00"/>
    <n v="1007375030"/>
    <s v="NOVOA BENTACUR KELLIN NATALIA"/>
    <n v="30"/>
    <n v="0"/>
    <n v="1164414"/>
  </r>
  <r>
    <s v="Retail"/>
    <s v="Q097 - Cartago - Centro"/>
    <x v="7"/>
    <s v="octubre"/>
    <n v="7"/>
    <d v="2026-10-07T00:00:00"/>
    <n v="1114148923"/>
    <s v="CANO CORTES JOFI ESTEBAN"/>
    <n v="27"/>
    <n v="0"/>
    <n v="1513404"/>
  </r>
  <r>
    <s v="Retail"/>
    <s v="Q097 - Cartago - Centro"/>
    <x v="7"/>
    <s v="octubre"/>
    <n v="7"/>
    <d v="2026-10-07T00:00:00"/>
    <n v="1114149755"/>
    <s v="ROMAN REBELLO ALEJANDRO"/>
    <n v="45"/>
    <n v="0"/>
    <n v="2575802"/>
  </r>
  <r>
    <s v="Retail"/>
    <s v="Q097 - Cartago - Centro"/>
    <x v="7"/>
    <s v="octubre"/>
    <n v="7"/>
    <d v="2026-10-07T00:00:00"/>
    <n v="1137977751"/>
    <s v="TINOCO MARÍN ALEJANDRO"/>
    <n v="10"/>
    <n v="0"/>
    <n v="425966"/>
  </r>
  <r>
    <s v="Retail"/>
    <s v="Q116 - Cartago - Cc Nuestro Cartago"/>
    <x v="7"/>
    <s v="septiembre"/>
    <n v="23"/>
    <d v="2026-09-23T00:00:00"/>
    <m/>
    <m/>
    <n v="0"/>
    <n v="13458254"/>
    <n v="0"/>
  </r>
  <r>
    <s v="Retail"/>
    <s v="Q116 - Cartago - Cc Nuestro Cartago"/>
    <x v="7"/>
    <s v="septiembre"/>
    <n v="23"/>
    <d v="2026-09-23T00:00:00"/>
    <n v="1004754146"/>
    <s v="MARIN AGUDELO MARIA CAMILA"/>
    <n v="70"/>
    <n v="0"/>
    <n v="4223869"/>
  </r>
  <r>
    <s v="Retail"/>
    <s v="Q116 - Cartago - Cc Nuestro Cartago"/>
    <x v="7"/>
    <s v="septiembre"/>
    <n v="23"/>
    <d v="2026-09-23T00:00:00"/>
    <n v="1088291704"/>
    <s v="LLANOS  BERNAL KERLEN LISANYURI "/>
    <n v="56"/>
    <n v="0"/>
    <n v="2953365"/>
  </r>
  <r>
    <s v="Retail"/>
    <s v="Q116 - Cartago - Cc Nuestro Cartago"/>
    <x v="7"/>
    <s v="septiembre"/>
    <n v="24"/>
    <d v="2026-09-24T00:00:00"/>
    <m/>
    <m/>
    <n v="0"/>
    <n v="20559002"/>
    <n v="0"/>
  </r>
  <r>
    <s v="Retail"/>
    <s v="Q116 - Cartago - Cc Nuestro Cartago"/>
    <x v="7"/>
    <s v="septiembre"/>
    <n v="24"/>
    <d v="2026-09-24T00:00:00"/>
    <n v="1003533393"/>
    <s v="LAVERDE PEA JUAN DAVID"/>
    <n v="21"/>
    <n v="0"/>
    <n v="1018024"/>
  </r>
  <r>
    <s v="Retail"/>
    <s v="Q116 - Cartago - Cc Nuestro Cartago"/>
    <x v="7"/>
    <s v="septiembre"/>
    <n v="24"/>
    <d v="2026-09-24T00:00:00"/>
    <n v="1004754146"/>
    <s v="MARIN AGUDELO MARIA CAMILA"/>
    <n v="83"/>
    <n v="0"/>
    <n v="4494288"/>
  </r>
  <r>
    <s v="Retail"/>
    <s v="Q116 - Cartago - Cc Nuestro Cartago"/>
    <x v="7"/>
    <s v="septiembre"/>
    <n v="24"/>
    <d v="2026-09-24T00:00:00"/>
    <n v="1088291704"/>
    <s v="LLANOS  BERNAL KERLEN LISANYURI "/>
    <n v="122"/>
    <n v="0"/>
    <n v="6897901"/>
  </r>
  <r>
    <s v="Retail"/>
    <s v="Q116 - Cartago - Cc Nuestro Cartago"/>
    <x v="7"/>
    <s v="septiembre"/>
    <n v="24"/>
    <d v="2026-09-24T00:00:00"/>
    <n v="1113860425"/>
    <s v="RUIZ SILVA JHOANNI ANDRES"/>
    <n v="75"/>
    <n v="0"/>
    <n v="4084877"/>
  </r>
  <r>
    <s v="Retail"/>
    <s v="Q116 - Cartago - Cc Nuestro Cartago"/>
    <x v="7"/>
    <s v="septiembre"/>
    <n v="25"/>
    <d v="2026-09-25T00:00:00"/>
    <m/>
    <m/>
    <n v="0"/>
    <n v="20513487"/>
    <n v="0"/>
  </r>
  <r>
    <s v="Retail"/>
    <s v="Q116 - Cartago - Cc Nuestro Cartago"/>
    <x v="7"/>
    <s v="septiembre"/>
    <n v="25"/>
    <d v="2026-09-25T00:00:00"/>
    <n v="1003533393"/>
    <s v="LAVERDE PEA JUAN DAVID"/>
    <n v="23"/>
    <n v="0"/>
    <n v="1339289"/>
  </r>
  <r>
    <s v="Retail"/>
    <s v="Q116 - Cartago - Cc Nuestro Cartago"/>
    <x v="7"/>
    <s v="septiembre"/>
    <n v="25"/>
    <d v="2026-09-25T00:00:00"/>
    <n v="1004754146"/>
    <s v="MARIN AGUDELO MARIA CAMILA"/>
    <n v="77"/>
    <n v="0"/>
    <n v="4605803"/>
  </r>
  <r>
    <s v="Retail"/>
    <s v="Q116 - Cartago - Cc Nuestro Cartago"/>
    <x v="7"/>
    <s v="septiembre"/>
    <n v="25"/>
    <d v="2026-09-25T00:00:00"/>
    <n v="1088291704"/>
    <s v="LLANOS  BERNAL KERLEN LISANYURI "/>
    <n v="39"/>
    <n v="0"/>
    <n v="2237859"/>
  </r>
  <r>
    <s v="Retail"/>
    <s v="Q116 - Cartago - Cc Nuestro Cartago"/>
    <x v="7"/>
    <s v="septiembre"/>
    <n v="25"/>
    <d v="2026-09-25T00:00:00"/>
    <n v="1113860425"/>
    <s v="RUIZ SILVA JHOANNI ANDRES"/>
    <n v="42"/>
    <n v="0"/>
    <n v="2273406"/>
  </r>
  <r>
    <s v="Retail"/>
    <s v="Q116 - Cartago - Cc Nuestro Cartago"/>
    <x v="7"/>
    <s v="septiembre"/>
    <n v="26"/>
    <d v="2026-09-26T00:00:00"/>
    <m/>
    <m/>
    <n v="0"/>
    <n v="29480829"/>
    <n v="0"/>
  </r>
  <r>
    <s v="Retail"/>
    <s v="Q116 - Cartago - Cc Nuestro Cartago"/>
    <x v="7"/>
    <s v="septiembre"/>
    <n v="26"/>
    <d v="2026-09-26T00:00:00"/>
    <n v="1003533393"/>
    <s v="LAVERDE PEA JUAN DAVID"/>
    <n v="54"/>
    <n v="0"/>
    <n v="3522819"/>
  </r>
  <r>
    <s v="Retail"/>
    <s v="Q116 - Cartago - Cc Nuestro Cartago"/>
    <x v="7"/>
    <s v="septiembre"/>
    <n v="26"/>
    <d v="2026-09-26T00:00:00"/>
    <n v="1004754146"/>
    <s v="MARIN AGUDELO MARIA CAMILA"/>
    <n v="131"/>
    <n v="0"/>
    <n v="6985554"/>
  </r>
  <r>
    <s v="Retail"/>
    <s v="Q116 - Cartago - Cc Nuestro Cartago"/>
    <x v="7"/>
    <s v="septiembre"/>
    <n v="26"/>
    <d v="2026-09-26T00:00:00"/>
    <n v="1088291704"/>
    <s v="LLANOS  BERNAL KERLEN LISANYURI "/>
    <n v="100"/>
    <n v="0"/>
    <n v="6333787"/>
  </r>
  <r>
    <s v="Retail"/>
    <s v="Q116 - Cartago - Cc Nuestro Cartago"/>
    <x v="7"/>
    <s v="septiembre"/>
    <n v="26"/>
    <d v="2026-09-26T00:00:00"/>
    <n v="1113860425"/>
    <s v="RUIZ SILVA JHOANNI ANDRES"/>
    <n v="98"/>
    <n v="0"/>
    <n v="5678281"/>
  </r>
  <r>
    <s v="Retail"/>
    <s v="Q116 - Cartago - Cc Nuestro Cartago"/>
    <x v="7"/>
    <s v="septiembre"/>
    <n v="27"/>
    <d v="2026-09-27T00:00:00"/>
    <m/>
    <m/>
    <n v="0"/>
    <n v="23354751"/>
    <n v="0"/>
  </r>
  <r>
    <s v="Retail"/>
    <s v="Q116 - Cartago - Cc Nuestro Cartago"/>
    <x v="7"/>
    <s v="septiembre"/>
    <n v="27"/>
    <d v="2026-09-27T00:00:00"/>
    <n v="1003533393"/>
    <s v="LAVERDE PEA JUAN DAVID"/>
    <n v="45"/>
    <n v="0"/>
    <n v="2884582"/>
  </r>
  <r>
    <s v="Retail"/>
    <s v="Q116 - Cartago - Cc Nuestro Cartago"/>
    <x v="7"/>
    <s v="septiembre"/>
    <n v="27"/>
    <d v="2026-09-27T00:00:00"/>
    <n v="1004754146"/>
    <s v="MARIN AGUDELO MARIA CAMILA"/>
    <n v="151"/>
    <n v="0"/>
    <n v="9111052"/>
  </r>
  <r>
    <s v="Retail"/>
    <s v="Q116 - Cartago - Cc Nuestro Cartago"/>
    <x v="7"/>
    <s v="septiembre"/>
    <n v="27"/>
    <d v="2026-09-27T00:00:00"/>
    <n v="1088286603"/>
    <s v="PINEDA RODRIGUEZ ANDERSON"/>
    <n v="-1"/>
    <n v="0"/>
    <n v="-54580"/>
  </r>
  <r>
    <s v="Retail"/>
    <s v="Q116 - Cartago - Cc Nuestro Cartago"/>
    <x v="7"/>
    <s v="septiembre"/>
    <n v="27"/>
    <d v="2026-09-27T00:00:00"/>
    <n v="1088291704"/>
    <s v="LLANOS  BERNAL KERLEN LISANYURI "/>
    <n v="100"/>
    <n v="0"/>
    <n v="6495635"/>
  </r>
  <r>
    <s v="Retail"/>
    <s v="Q116 - Cartago - Cc Nuestro Cartago"/>
    <x v="7"/>
    <s v="septiembre"/>
    <n v="27"/>
    <d v="2026-09-27T00:00:00"/>
    <n v="1113860425"/>
    <s v="RUIZ SILVA JHOANNI ANDRES"/>
    <n v="97"/>
    <n v="0"/>
    <n v="5575298"/>
  </r>
  <r>
    <s v="Retail"/>
    <s v="Q116 - Cartago - Cc Nuestro Cartago"/>
    <x v="7"/>
    <s v="septiembre"/>
    <n v="28"/>
    <d v="2026-09-28T00:00:00"/>
    <m/>
    <m/>
    <n v="0"/>
    <n v="12853496"/>
    <n v="0"/>
  </r>
  <r>
    <s v="Retail"/>
    <s v="Q116 - Cartago - Cc Nuestro Cartago"/>
    <x v="7"/>
    <s v="septiembre"/>
    <n v="28"/>
    <d v="2026-09-28T00:00:00"/>
    <n v="1003533393"/>
    <s v="LAVERDE PEA JUAN DAVID"/>
    <n v="30"/>
    <n v="0"/>
    <n v="1746556"/>
  </r>
  <r>
    <s v="Retail"/>
    <s v="Q116 - Cartago - Cc Nuestro Cartago"/>
    <x v="7"/>
    <s v="septiembre"/>
    <n v="28"/>
    <d v="2026-09-28T00:00:00"/>
    <n v="1004754146"/>
    <s v="MARIN AGUDELO MARIA CAMILA"/>
    <n v="39"/>
    <n v="0"/>
    <n v="1960463"/>
  </r>
  <r>
    <s v="Retail"/>
    <s v="Q116 - Cartago - Cc Nuestro Cartago"/>
    <x v="7"/>
    <s v="septiembre"/>
    <n v="28"/>
    <d v="2026-09-28T00:00:00"/>
    <n v="1088291704"/>
    <s v="LLANOS  BERNAL KERLEN LISANYURI "/>
    <n v="36"/>
    <n v="0"/>
    <n v="2025757"/>
  </r>
  <r>
    <s v="Retail"/>
    <s v="Q116 - Cartago - Cc Nuestro Cartago"/>
    <x v="7"/>
    <s v="septiembre"/>
    <n v="28"/>
    <d v="2026-09-28T00:00:00"/>
    <n v="1113860425"/>
    <s v="RUIZ SILVA JHOANNI ANDRES"/>
    <n v="52"/>
    <n v="0"/>
    <n v="3052314"/>
  </r>
  <r>
    <s v="Retail"/>
    <s v="Q116 - Cartago - Cc Nuestro Cartago"/>
    <x v="7"/>
    <s v="septiembre"/>
    <n v="29"/>
    <d v="2026-09-29T00:00:00"/>
    <m/>
    <m/>
    <n v="0"/>
    <n v="13730048"/>
    <n v="0"/>
  </r>
  <r>
    <s v="Retail"/>
    <s v="Q116 - Cartago - Cc Nuestro Cartago"/>
    <x v="7"/>
    <s v="septiembre"/>
    <n v="29"/>
    <d v="2026-09-29T00:00:00"/>
    <n v="1003533393"/>
    <s v="LAVERDE PEA JUAN DAVID"/>
    <n v="42"/>
    <n v="0"/>
    <n v="2460380"/>
  </r>
  <r>
    <s v="Retail"/>
    <s v="Q116 - Cartago - Cc Nuestro Cartago"/>
    <x v="7"/>
    <s v="septiembre"/>
    <n v="29"/>
    <d v="2026-09-29T00:00:00"/>
    <n v="1004754146"/>
    <s v="MARIN AGUDELO MARIA CAMILA"/>
    <n v="56"/>
    <n v="0"/>
    <n v="3198782"/>
  </r>
  <r>
    <s v="Retail"/>
    <s v="Q116 - Cartago - Cc Nuestro Cartago"/>
    <x v="7"/>
    <s v="septiembre"/>
    <n v="29"/>
    <d v="2026-09-29T00:00:00"/>
    <n v="1088291704"/>
    <s v="LLANOS  BERNAL KERLEN LISANYURI "/>
    <n v="51"/>
    <n v="0"/>
    <n v="3016766"/>
  </r>
  <r>
    <s v="Retail"/>
    <s v="Q116 - Cartago - Cc Nuestro Cartago"/>
    <x v="7"/>
    <s v="septiembre"/>
    <n v="29"/>
    <d v="2026-09-29T00:00:00"/>
    <n v="1113860425"/>
    <s v="RUIZ SILVA JHOANNI ANDRES"/>
    <n v="40"/>
    <n v="0"/>
    <n v="2708236"/>
  </r>
  <r>
    <s v="Retail"/>
    <s v="Q116 - Cartago - Cc Nuestro Cartago"/>
    <x v="7"/>
    <s v="septiembre"/>
    <n v="30"/>
    <d v="2026-09-30T00:00:00"/>
    <m/>
    <m/>
    <n v="0"/>
    <n v="14183387"/>
    <n v="0"/>
  </r>
  <r>
    <s v="Retail"/>
    <s v="Q116 - Cartago - Cc Nuestro Cartago"/>
    <x v="7"/>
    <s v="septiembre"/>
    <n v="30"/>
    <d v="2026-09-30T00:00:00"/>
    <n v="1003533393"/>
    <s v="LAVERDE PEA JUAN DAVID"/>
    <n v="34"/>
    <n v="0"/>
    <n v="2042523"/>
  </r>
  <r>
    <s v="Retail"/>
    <s v="Q116 - Cartago - Cc Nuestro Cartago"/>
    <x v="7"/>
    <s v="septiembre"/>
    <n v="30"/>
    <d v="2026-09-30T00:00:00"/>
    <n v="1004754146"/>
    <s v="MARIN AGUDELO MARIA CAMILA"/>
    <n v="43"/>
    <n v="0"/>
    <n v="2489539"/>
  </r>
  <r>
    <s v="Retail"/>
    <s v="Q116 - Cartago - Cc Nuestro Cartago"/>
    <x v="7"/>
    <s v="septiembre"/>
    <n v="30"/>
    <d v="2026-09-30T00:00:00"/>
    <n v="1088291704"/>
    <s v="LLANOS  BERNAL KERLEN LISANYURI "/>
    <n v="41"/>
    <n v="0"/>
    <n v="2247987"/>
  </r>
  <r>
    <s v="Retail"/>
    <s v="Q116 - Cartago - Cc Nuestro Cartago"/>
    <x v="7"/>
    <s v="septiembre"/>
    <n v="30"/>
    <d v="2026-09-30T00:00:00"/>
    <n v="1113860425"/>
    <s v="RUIZ SILVA JHOANNI ANDRES"/>
    <n v="55"/>
    <n v="0"/>
    <n v="3241096"/>
  </r>
  <r>
    <s v="Retail"/>
    <s v="Q116 - Cartago - Cc Nuestro Cartago"/>
    <x v="7"/>
    <s v="octubre"/>
    <n v="1"/>
    <d v="2026-10-01T00:00:00"/>
    <m/>
    <m/>
    <n v="0"/>
    <n v="9554550"/>
    <n v="0"/>
  </r>
  <r>
    <s v="Retail"/>
    <s v="Q116 - Cartago - Cc Nuestro Cartago"/>
    <x v="7"/>
    <s v="octubre"/>
    <n v="1"/>
    <d v="2026-10-01T00:00:00"/>
    <n v="1003533393"/>
    <s v="LAVERDE PEA JUAN DAVID"/>
    <n v="41"/>
    <n v="0"/>
    <n v="2477228"/>
  </r>
  <r>
    <s v="Retail"/>
    <s v="Q116 - Cartago - Cc Nuestro Cartago"/>
    <x v="7"/>
    <s v="octubre"/>
    <n v="1"/>
    <d v="2026-10-01T00:00:00"/>
    <n v="1004754146"/>
    <s v="MARIN AGUDELO MARIA CAMILA"/>
    <n v="74"/>
    <n v="0"/>
    <n v="3944252"/>
  </r>
  <r>
    <s v="Retail"/>
    <s v="Q116 - Cartago - Cc Nuestro Cartago"/>
    <x v="7"/>
    <s v="octubre"/>
    <n v="1"/>
    <d v="2026-10-01T00:00:00"/>
    <n v="1007375030"/>
    <s v="NOVOA BENTACUR KELLIN NATALIA"/>
    <n v="-1"/>
    <n v="0"/>
    <n v="-54580"/>
  </r>
  <r>
    <s v="Retail"/>
    <s v="Q116 - Cartago - Cc Nuestro Cartago"/>
    <x v="7"/>
    <s v="octubre"/>
    <n v="1"/>
    <d v="2026-10-01T00:00:00"/>
    <n v="1088291704"/>
    <s v="LLANOS  BERNAL KERLEN LISANYURI "/>
    <n v="51"/>
    <n v="0"/>
    <n v="2781350"/>
  </r>
  <r>
    <s v="Retail"/>
    <s v="Q116 - Cartago - Cc Nuestro Cartago"/>
    <x v="7"/>
    <s v="octubre"/>
    <n v="1"/>
    <d v="2026-10-01T00:00:00"/>
    <n v="1113860425"/>
    <s v="RUIZ SILVA JHOANNI ANDRES"/>
    <n v="59"/>
    <n v="0"/>
    <n v="3098070"/>
  </r>
  <r>
    <s v="Retail"/>
    <s v="Q116 - Cartago - Cc Nuestro Cartago"/>
    <x v="7"/>
    <s v="octubre"/>
    <n v="2"/>
    <d v="2026-10-02T00:00:00"/>
    <m/>
    <m/>
    <n v="0"/>
    <n v="6927234"/>
    <n v="0"/>
  </r>
  <r>
    <s v="Retail"/>
    <s v="Q116 - Cartago - Cc Nuestro Cartago"/>
    <x v="7"/>
    <s v="octubre"/>
    <n v="2"/>
    <d v="2026-10-02T00:00:00"/>
    <n v="1003533393"/>
    <s v="LAVERDE PEA JUAN DAVID"/>
    <n v="33"/>
    <n v="0"/>
    <n v="1565757"/>
  </r>
  <r>
    <s v="Retail"/>
    <s v="Q116 - Cartago - Cc Nuestro Cartago"/>
    <x v="7"/>
    <s v="octubre"/>
    <n v="2"/>
    <d v="2026-10-02T00:00:00"/>
    <n v="1004754146"/>
    <s v="MARIN AGUDELO MARIA CAMILA"/>
    <n v="16"/>
    <n v="0"/>
    <n v="801850"/>
  </r>
  <r>
    <s v="Retail"/>
    <s v="Q116 - Cartago - Cc Nuestro Cartago"/>
    <x v="7"/>
    <s v="octubre"/>
    <n v="2"/>
    <d v="2026-10-02T00:00:00"/>
    <n v="1088291704"/>
    <s v="LLANOS  BERNAL KERLEN LISANYURI "/>
    <n v="32"/>
    <n v="0"/>
    <n v="1647773"/>
  </r>
  <r>
    <s v="Retail"/>
    <s v="Q116 - Cartago - Cc Nuestro Cartago"/>
    <x v="7"/>
    <s v="octubre"/>
    <n v="2"/>
    <d v="2026-10-02T00:00:00"/>
    <n v="1113860425"/>
    <s v="RUIZ SILVA JHOANNI ANDRES"/>
    <n v="43"/>
    <n v="0"/>
    <n v="2329836"/>
  </r>
  <r>
    <s v="Retail"/>
    <s v="Q116 - Cartago - Cc Nuestro Cartago"/>
    <x v="7"/>
    <s v="octubre"/>
    <n v="2"/>
    <d v="2026-10-02T00:00:00"/>
    <n v="1114149755"/>
    <s v="ROMAN REBELLO ALEJANDRO"/>
    <n v="-1"/>
    <n v="0"/>
    <n v="-83992"/>
  </r>
  <r>
    <s v="Retail"/>
    <s v="Q116 - Cartago - Cc Nuestro Cartago"/>
    <x v="7"/>
    <s v="octubre"/>
    <n v="3"/>
    <d v="2026-10-03T00:00:00"/>
    <m/>
    <m/>
    <n v="0"/>
    <n v="15102247"/>
    <n v="0"/>
  </r>
  <r>
    <s v="Retail"/>
    <s v="Q116 - Cartago - Cc Nuestro Cartago"/>
    <x v="7"/>
    <s v="octubre"/>
    <n v="3"/>
    <d v="2026-10-03T00:00:00"/>
    <n v="1003533393"/>
    <s v="LAVERDE PEA JUAN DAVID"/>
    <n v="25"/>
    <n v="0"/>
    <n v="1457414"/>
  </r>
  <r>
    <s v="Retail"/>
    <s v="Q116 - Cartago - Cc Nuestro Cartago"/>
    <x v="7"/>
    <s v="octubre"/>
    <n v="3"/>
    <d v="2026-10-03T00:00:00"/>
    <n v="1004754146"/>
    <s v="MARIN AGUDELO MARIA CAMILA"/>
    <n v="77"/>
    <n v="0"/>
    <n v="3975002"/>
  </r>
  <r>
    <s v="Retail"/>
    <s v="Q116 - Cartago - Cc Nuestro Cartago"/>
    <x v="7"/>
    <s v="octubre"/>
    <n v="3"/>
    <d v="2026-10-03T00:00:00"/>
    <n v="1088291704"/>
    <s v="LLANOS  BERNAL KERLEN LISANYURI "/>
    <n v="58"/>
    <n v="0"/>
    <n v="3177448"/>
  </r>
  <r>
    <s v="Retail"/>
    <s v="Q116 - Cartago - Cc Nuestro Cartago"/>
    <x v="7"/>
    <s v="octubre"/>
    <n v="3"/>
    <d v="2026-10-03T00:00:00"/>
    <n v="1113860425"/>
    <s v="RUIZ SILVA JHOANNI ANDRES"/>
    <n v="53"/>
    <n v="0"/>
    <n v="2836028"/>
  </r>
  <r>
    <s v="Retail"/>
    <s v="Q116 - Cartago - Cc Nuestro Cartago"/>
    <x v="7"/>
    <s v="octubre"/>
    <n v="4"/>
    <d v="2026-10-04T00:00:00"/>
    <m/>
    <m/>
    <n v="0"/>
    <n v="16907597"/>
    <n v="0"/>
  </r>
  <r>
    <s v="Retail"/>
    <s v="Q116 - Cartago - Cc Nuestro Cartago"/>
    <x v="7"/>
    <s v="octubre"/>
    <n v="4"/>
    <d v="2026-10-04T00:00:00"/>
    <n v="1003533393"/>
    <s v="LAVERDE PEA JUAN DAVID"/>
    <n v="65"/>
    <n v="0"/>
    <n v="4014079"/>
  </r>
  <r>
    <s v="Retail"/>
    <s v="Q116 - Cartago - Cc Nuestro Cartago"/>
    <x v="7"/>
    <s v="octubre"/>
    <n v="4"/>
    <d v="2026-10-04T00:00:00"/>
    <n v="1004754146"/>
    <s v="MARIN AGUDELO MARIA CAMILA"/>
    <n v="71"/>
    <n v="0"/>
    <n v="4164838"/>
  </r>
  <r>
    <s v="Retail"/>
    <s v="Q116 - Cartago - Cc Nuestro Cartago"/>
    <x v="7"/>
    <s v="octubre"/>
    <n v="4"/>
    <d v="2026-10-04T00:00:00"/>
    <n v="1088291704"/>
    <s v="LLANOS  BERNAL KERLEN LISANYURI "/>
    <n v="61"/>
    <n v="0"/>
    <n v="3661222"/>
  </r>
  <r>
    <s v="Retail"/>
    <s v="Q116 - Cartago - Cc Nuestro Cartago"/>
    <x v="7"/>
    <s v="octubre"/>
    <n v="4"/>
    <d v="2026-10-04T00:00:00"/>
    <n v="1113860425"/>
    <s v="RUIZ SILVA JHOANNI ANDRES"/>
    <n v="72"/>
    <n v="0"/>
    <n v="4477986"/>
  </r>
  <r>
    <s v="Retail"/>
    <s v="Q116 - Cartago - Cc Nuestro Cartago"/>
    <x v="7"/>
    <s v="octubre"/>
    <n v="5"/>
    <d v="2026-10-05T00:00:00"/>
    <m/>
    <m/>
    <n v="0"/>
    <n v="6167866"/>
    <n v="0"/>
  </r>
  <r>
    <s v="Retail"/>
    <s v="Q116 - Cartago - Cc Nuestro Cartago"/>
    <x v="7"/>
    <s v="octubre"/>
    <n v="5"/>
    <d v="2026-10-05T00:00:00"/>
    <n v="1003533393"/>
    <s v="LAVERDE PEA JUAN DAVID"/>
    <n v="20"/>
    <n v="0"/>
    <n v="1026427"/>
  </r>
  <r>
    <s v="Retail"/>
    <s v="Q116 - Cartago - Cc Nuestro Cartago"/>
    <x v="7"/>
    <s v="octubre"/>
    <n v="5"/>
    <d v="2026-10-05T00:00:00"/>
    <n v="1004754146"/>
    <s v="MARIN AGUDELO MARIA CAMILA"/>
    <n v="5"/>
    <n v="0"/>
    <n v="287606"/>
  </r>
  <r>
    <s v="Retail"/>
    <s v="Q116 - Cartago - Cc Nuestro Cartago"/>
    <x v="7"/>
    <s v="octubre"/>
    <n v="5"/>
    <d v="2026-10-05T00:00:00"/>
    <n v="1088291704"/>
    <s v="LLANOS  BERNAL KERLEN LISANYURI "/>
    <n v="21"/>
    <n v="0"/>
    <n v="1227682"/>
  </r>
  <r>
    <s v="Retail"/>
    <s v="Q116 - Cartago - Cc Nuestro Cartago"/>
    <x v="7"/>
    <s v="octubre"/>
    <n v="5"/>
    <d v="2026-10-05T00:00:00"/>
    <n v="1113860425"/>
    <s v="RUIZ SILVA JHOANNI ANDRES"/>
    <n v="33"/>
    <n v="0"/>
    <n v="2006934"/>
  </r>
  <r>
    <s v="Retail"/>
    <s v="Q116 - Cartago - Cc Nuestro Cartago"/>
    <x v="7"/>
    <s v="octubre"/>
    <n v="5"/>
    <d v="2026-10-05T00:00:00"/>
    <n v="1137977751"/>
    <s v="TINOCO MARÍN ALEJANDRO"/>
    <n v="-2"/>
    <n v="0"/>
    <n v="-79748"/>
  </r>
  <r>
    <s v="Retail"/>
    <s v="Q116 - Cartago - Cc Nuestro Cartago"/>
    <x v="7"/>
    <s v="octubre"/>
    <n v="6"/>
    <d v="2026-10-06T00:00:00"/>
    <m/>
    <m/>
    <n v="0"/>
    <n v="3377240"/>
    <n v="0"/>
  </r>
  <r>
    <s v="Retail"/>
    <s v="Q116 - Cartago - Cc Nuestro Cartago"/>
    <x v="7"/>
    <s v="octubre"/>
    <n v="6"/>
    <d v="2026-10-06T00:00:00"/>
    <n v="1003533393"/>
    <s v="LAVERDE PEA JUAN DAVID"/>
    <n v="11"/>
    <n v="0"/>
    <n v="667606"/>
  </r>
  <r>
    <s v="Retail"/>
    <s v="Q116 - Cartago - Cc Nuestro Cartago"/>
    <x v="7"/>
    <s v="octubre"/>
    <n v="6"/>
    <d v="2026-10-06T00:00:00"/>
    <n v="1004754146"/>
    <s v="MARIN AGUDELO MARIA CAMILA"/>
    <n v="18"/>
    <n v="0"/>
    <n v="856386"/>
  </r>
  <r>
    <s v="Retail"/>
    <s v="Q116 - Cartago - Cc Nuestro Cartago"/>
    <x v="7"/>
    <s v="octubre"/>
    <n v="6"/>
    <d v="2026-10-06T00:00:00"/>
    <n v="1088291704"/>
    <s v="LLANOS  BERNAL KERLEN LISANYURI "/>
    <n v="16"/>
    <n v="0"/>
    <n v="1289161"/>
  </r>
  <r>
    <s v="Retail"/>
    <s v="Q116 - Cartago - Cc Nuestro Cartago"/>
    <x v="7"/>
    <s v="octubre"/>
    <n v="6"/>
    <d v="2026-10-06T00:00:00"/>
    <n v="1113860425"/>
    <s v="RUIZ SILVA JHOANNI ANDRES"/>
    <n v="7"/>
    <n v="0"/>
    <n v="461849"/>
  </r>
  <r>
    <s v="Retail"/>
    <s v="Q116 - Cartago - Cc Nuestro Cartago"/>
    <x v="7"/>
    <s v="octubre"/>
    <n v="6"/>
    <d v="2026-10-06T00:00:00"/>
    <n v="1114148923"/>
    <s v="CANO CORTES JOFI ESTEBAN"/>
    <n v="-2"/>
    <n v="0"/>
    <n v="-75546"/>
  </r>
  <r>
    <s v="Retail"/>
    <s v="Q116 - Cartago - Cc Nuestro Cartago"/>
    <x v="7"/>
    <s v="octubre"/>
    <n v="7"/>
    <d v="2026-10-07T00:00:00"/>
    <m/>
    <m/>
    <n v="0"/>
    <n v="3332805"/>
    <n v="0"/>
  </r>
  <r>
    <s v="Retail"/>
    <s v="Q116 - Cartago - Cc Nuestro Cartago"/>
    <x v="7"/>
    <s v="octubre"/>
    <n v="7"/>
    <d v="2026-10-07T00:00:00"/>
    <n v="1004754146"/>
    <s v="MARIN AGUDELO MARIA CAMILA"/>
    <n v="22"/>
    <n v="0"/>
    <n v="1022060"/>
  </r>
  <r>
    <s v="Retail"/>
    <s v="Q116 - Cartago - Cc Nuestro Cartago"/>
    <x v="7"/>
    <s v="octubre"/>
    <n v="7"/>
    <d v="2026-10-07T00:00:00"/>
    <n v="1088291704"/>
    <s v="LLANOS  BERNAL KERLEN LISANYURI "/>
    <n v="26"/>
    <n v="0"/>
    <n v="1273866"/>
  </r>
  <r>
    <s v="Retail"/>
    <s v="Q116 - Cartago - Cc Nuestro Cartago"/>
    <x v="7"/>
    <s v="octubre"/>
    <n v="7"/>
    <d v="2026-10-07T00:00:00"/>
    <n v="1113860425"/>
    <s v="RUIZ SILVA JHOANNI ANDRES"/>
    <n v="8"/>
    <n v="0"/>
    <n v="550042"/>
  </r>
  <r>
    <s v="Retail"/>
    <s v="Q138 Manizales - CC Fundadores"/>
    <x v="7"/>
    <s v="septiembre"/>
    <n v="23"/>
    <d v="2026-09-23T00:00:00"/>
    <m/>
    <m/>
    <n v="0"/>
    <n v="4864804"/>
    <n v="0"/>
  </r>
  <r>
    <s v="Retail"/>
    <s v="Q138 Manizales - CC Fundadores"/>
    <x v="7"/>
    <s v="septiembre"/>
    <n v="23"/>
    <d v="2026-09-23T00:00:00"/>
    <n v="1002591302"/>
    <s v="SANCHEZ TANGARIFE PAULA ANDREA"/>
    <n v="24"/>
    <n v="0"/>
    <n v="1309916"/>
  </r>
  <r>
    <s v="Retail"/>
    <s v="Q138 Manizales - CC Fundadores"/>
    <x v="7"/>
    <s v="septiembre"/>
    <n v="23"/>
    <d v="2026-09-23T00:00:00"/>
    <n v="1006410542"/>
    <s v="CAMPO MORENO MAIRA  ALEJANDRA"/>
    <n v="13"/>
    <n v="0"/>
    <n v="949034"/>
  </r>
  <r>
    <s v="Retail"/>
    <s v="Q138 Manizales - CC Fundadores"/>
    <x v="7"/>
    <s v="septiembre"/>
    <n v="23"/>
    <d v="2026-09-23T00:00:00"/>
    <n v="1053836534"/>
    <s v="BALLESTEROS VALDERRAMA CRISTIAN CAMILO"/>
    <n v="30"/>
    <n v="0"/>
    <n v="1408361"/>
  </r>
  <r>
    <s v="Retail"/>
    <s v="Q138 Manizales - CC Fundadores"/>
    <x v="7"/>
    <s v="septiembre"/>
    <n v="24"/>
    <d v="2026-09-24T00:00:00"/>
    <m/>
    <m/>
    <n v="0"/>
    <n v="7431536"/>
    <n v="0"/>
  </r>
  <r>
    <s v="Retail"/>
    <s v="Q138 Manizales - CC Fundadores"/>
    <x v="7"/>
    <s v="septiembre"/>
    <n v="24"/>
    <d v="2026-09-24T00:00:00"/>
    <n v="1006410542"/>
    <s v="CAMPO MORENO MAIRA  ALEJANDRA"/>
    <n v="47"/>
    <n v="0"/>
    <n v="2422397"/>
  </r>
  <r>
    <s v="Retail"/>
    <s v="Q138 Manizales - CC Fundadores"/>
    <x v="7"/>
    <s v="septiembre"/>
    <n v="24"/>
    <d v="2026-09-24T00:00:00"/>
    <n v="1033486789"/>
    <s v="RINCON  CARDONA ESNEIDER "/>
    <n v="87"/>
    <n v="0"/>
    <n v="4571845"/>
  </r>
  <r>
    <s v="Retail"/>
    <s v="Q138 Manizales - CC Fundadores"/>
    <x v="7"/>
    <s v="septiembre"/>
    <n v="25"/>
    <d v="2026-09-25T00:00:00"/>
    <m/>
    <m/>
    <n v="0"/>
    <n v="7415085"/>
    <n v="0"/>
  </r>
  <r>
    <s v="Retail"/>
    <s v="Q138 Manizales - CC Fundadores"/>
    <x v="7"/>
    <s v="septiembre"/>
    <n v="25"/>
    <d v="2026-09-25T00:00:00"/>
    <n v="1006410542"/>
    <s v="CAMPO MORENO MAIRA  ALEJANDRA"/>
    <n v="50"/>
    <n v="0"/>
    <n v="2712188"/>
  </r>
  <r>
    <s v="Retail"/>
    <s v="Q138 Manizales - CC Fundadores"/>
    <x v="7"/>
    <s v="septiembre"/>
    <n v="25"/>
    <d v="2026-09-25T00:00:00"/>
    <n v="1033486789"/>
    <s v="RINCON  CARDONA ESNEIDER "/>
    <n v="38"/>
    <n v="0"/>
    <n v="2254707"/>
  </r>
  <r>
    <s v="Retail"/>
    <s v="Q138 Manizales - CC Fundadores"/>
    <x v="7"/>
    <s v="septiembre"/>
    <n v="25"/>
    <d v="2026-09-25T00:00:00"/>
    <n v="1053836534"/>
    <s v="BALLESTEROS VALDERRAMA CRISTIAN CAMILO"/>
    <n v="40"/>
    <n v="0"/>
    <n v="2323950"/>
  </r>
  <r>
    <s v="Retail"/>
    <s v="Q138 Manizales - CC Fundadores"/>
    <x v="7"/>
    <s v="septiembre"/>
    <n v="26"/>
    <d v="2026-09-26T00:00:00"/>
    <m/>
    <m/>
    <n v="0"/>
    <n v="10656540"/>
    <n v="0"/>
  </r>
  <r>
    <s v="Retail"/>
    <s v="Q138 Manizales - CC Fundadores"/>
    <x v="7"/>
    <s v="septiembre"/>
    <n v="26"/>
    <d v="2026-09-26T00:00:00"/>
    <n v="1006410542"/>
    <s v="CAMPO MORENO MAIRA  ALEJANDRA"/>
    <n v="58"/>
    <n v="0"/>
    <n v="3484875"/>
  </r>
  <r>
    <s v="Retail"/>
    <s v="Q138 Manizales - CC Fundadores"/>
    <x v="7"/>
    <s v="septiembre"/>
    <n v="26"/>
    <d v="2026-09-26T00:00:00"/>
    <n v="1033486789"/>
    <s v="RINCON  CARDONA ESNEIDER "/>
    <n v="67"/>
    <n v="0"/>
    <n v="3457142"/>
  </r>
  <r>
    <s v="Retail"/>
    <s v="Q138 Manizales - CC Fundadores"/>
    <x v="7"/>
    <s v="septiembre"/>
    <n v="26"/>
    <d v="2026-09-26T00:00:00"/>
    <n v="1053836534"/>
    <s v="BALLESTEROS VALDERRAMA CRISTIAN CAMILO"/>
    <n v="106"/>
    <n v="0"/>
    <n v="5345000"/>
  </r>
  <r>
    <s v="Retail"/>
    <s v="Q138 Manizales - CC Fundadores"/>
    <x v="7"/>
    <s v="septiembre"/>
    <n v="27"/>
    <d v="2026-09-27T00:00:00"/>
    <m/>
    <m/>
    <n v="0"/>
    <n v="8442125"/>
    <n v="0"/>
  </r>
  <r>
    <s v="Retail"/>
    <s v="Q138 Manizales - CC Fundadores"/>
    <x v="7"/>
    <s v="septiembre"/>
    <n v="27"/>
    <d v="2026-09-27T00:00:00"/>
    <n v="1006410542"/>
    <s v="CAMPO MORENO MAIRA  ALEJANDRA"/>
    <n v="44"/>
    <n v="0"/>
    <n v="2504288"/>
  </r>
  <r>
    <s v="Retail"/>
    <s v="Q138 Manizales - CC Fundadores"/>
    <x v="7"/>
    <s v="septiembre"/>
    <n v="27"/>
    <d v="2026-09-27T00:00:00"/>
    <n v="1033486789"/>
    <s v="RINCON  CARDONA ESNEIDER "/>
    <n v="40"/>
    <n v="0"/>
    <n v="2816805"/>
  </r>
  <r>
    <s v="Retail"/>
    <s v="Q138 Manizales - CC Fundadores"/>
    <x v="7"/>
    <s v="septiembre"/>
    <n v="27"/>
    <d v="2026-09-27T00:00:00"/>
    <n v="1053836534"/>
    <s v="BALLESTEROS VALDERRAMA CRISTIAN CAMILO"/>
    <n v="77"/>
    <n v="0"/>
    <n v="4671011"/>
  </r>
  <r>
    <s v="Retail"/>
    <s v="Q138 Manizales - CC Fundadores"/>
    <x v="7"/>
    <s v="septiembre"/>
    <n v="28"/>
    <d v="2026-09-28T00:00:00"/>
    <m/>
    <m/>
    <n v="0"/>
    <n v="4646200"/>
    <n v="0"/>
  </r>
  <r>
    <s v="Retail"/>
    <s v="Q138 Manizales - CC Fundadores"/>
    <x v="7"/>
    <s v="septiembre"/>
    <n v="28"/>
    <d v="2026-09-28T00:00:00"/>
    <n v="1006410542"/>
    <s v="CAMPO MORENO MAIRA  ALEJANDRA"/>
    <n v="3"/>
    <n v="0"/>
    <n v="167899"/>
  </r>
  <r>
    <s v="Retail"/>
    <s v="Q138 Manizales - CC Fundadores"/>
    <x v="7"/>
    <s v="septiembre"/>
    <n v="28"/>
    <d v="2026-09-28T00:00:00"/>
    <n v="1033486789"/>
    <s v="RINCON  CARDONA ESNEIDER "/>
    <n v="53"/>
    <n v="0"/>
    <n v="2711891"/>
  </r>
  <r>
    <s v="Retail"/>
    <s v="Q138 Manizales - CC Fundadores"/>
    <x v="7"/>
    <s v="septiembre"/>
    <n v="28"/>
    <d v="2026-09-28T00:00:00"/>
    <n v="1053836534"/>
    <s v="BALLESTEROS VALDERRAMA CRISTIAN CAMILO"/>
    <n v="49"/>
    <n v="0"/>
    <n v="2469581"/>
  </r>
  <r>
    <s v="Retail"/>
    <s v="Q138 Manizales - CC Fundadores"/>
    <x v="7"/>
    <s v="septiembre"/>
    <n v="29"/>
    <d v="2026-09-29T00:00:00"/>
    <m/>
    <m/>
    <n v="0"/>
    <n v="4963050"/>
    <n v="0"/>
  </r>
  <r>
    <s v="Retail"/>
    <s v="Q138 Manizales - CC Fundadores"/>
    <x v="7"/>
    <s v="septiembre"/>
    <n v="29"/>
    <d v="2026-09-29T00:00:00"/>
    <n v="1006410542"/>
    <s v="CAMPO MORENO MAIRA  ALEJANDRA"/>
    <n v="33"/>
    <n v="0"/>
    <n v="1644792"/>
  </r>
  <r>
    <s v="Retail"/>
    <s v="Q138 Manizales - CC Fundadores"/>
    <x v="7"/>
    <s v="septiembre"/>
    <n v="29"/>
    <d v="2026-09-29T00:00:00"/>
    <n v="1033486789"/>
    <s v="RINCON  CARDONA ESNEIDER "/>
    <n v="29"/>
    <n v="0"/>
    <n v="1469160"/>
  </r>
  <r>
    <s v="Retail"/>
    <s v="Q138 Manizales - CC Fundadores"/>
    <x v="7"/>
    <s v="septiembre"/>
    <n v="29"/>
    <d v="2026-09-29T00:00:00"/>
    <n v="1053836534"/>
    <s v="BALLESTEROS VALDERRAMA CRISTIAN CAMILO"/>
    <n v="40"/>
    <n v="0"/>
    <n v="2262861"/>
  </r>
  <r>
    <s v="Retail"/>
    <s v="Q138 Manizales - CC Fundadores"/>
    <x v="7"/>
    <s v="septiembre"/>
    <n v="30"/>
    <d v="2026-09-30T00:00:00"/>
    <m/>
    <m/>
    <n v="0"/>
    <n v="5126920"/>
    <n v="0"/>
  </r>
  <r>
    <s v="Retail"/>
    <s v="Q138 Manizales - CC Fundadores"/>
    <x v="7"/>
    <s v="septiembre"/>
    <n v="30"/>
    <d v="2026-09-30T00:00:00"/>
    <n v="1006410542"/>
    <s v="CAMPO MORENO MAIRA  ALEJANDRA"/>
    <n v="50"/>
    <n v="0"/>
    <n v="2719499"/>
  </r>
  <r>
    <s v="Retail"/>
    <s v="Q138 Manizales - CC Fundadores"/>
    <x v="7"/>
    <s v="septiembre"/>
    <n v="30"/>
    <d v="2026-09-30T00:00:00"/>
    <n v="1033486789"/>
    <s v="RINCON  CARDONA ESNEIDER "/>
    <n v="51"/>
    <n v="0"/>
    <n v="3281295"/>
  </r>
  <r>
    <s v="Retail"/>
    <s v="Q138 Manizales - CC Fundadores"/>
    <x v="7"/>
    <s v="septiembre"/>
    <n v="30"/>
    <d v="2026-09-30T00:00:00"/>
    <n v="1053836534"/>
    <s v="BALLESTEROS VALDERRAMA CRISTIAN CAMILO"/>
    <n v="1"/>
    <n v="0"/>
    <n v="37773"/>
  </r>
  <r>
    <s v="Retail"/>
    <s v="Q138 Manizales - CC Fundadores"/>
    <x v="7"/>
    <s v="octubre"/>
    <n v="1"/>
    <d v="2026-10-01T00:00:00"/>
    <m/>
    <m/>
    <n v="0"/>
    <n v="5056310"/>
    <n v="0"/>
  </r>
  <r>
    <s v="Retail"/>
    <s v="Q138 Manizales - CC Fundadores"/>
    <x v="7"/>
    <s v="octubre"/>
    <n v="1"/>
    <d v="2026-10-01T00:00:00"/>
    <n v="1002546365"/>
    <s v="LOPEZ GIRALDO PAOLA"/>
    <n v="27"/>
    <n v="0"/>
    <n v="1440002"/>
  </r>
  <r>
    <s v="Retail"/>
    <s v="Q138 Manizales - CC Fundadores"/>
    <x v="7"/>
    <s v="octubre"/>
    <n v="1"/>
    <d v="2026-10-01T00:00:00"/>
    <n v="1006410542"/>
    <s v="CAMPO MORENO MAIRA  ALEJANDRA"/>
    <n v="36"/>
    <n v="0"/>
    <n v="2378698"/>
  </r>
  <r>
    <s v="Retail"/>
    <s v="Q138 Manizales - CC Fundadores"/>
    <x v="7"/>
    <s v="octubre"/>
    <n v="1"/>
    <d v="2026-10-01T00:00:00"/>
    <n v="1053836534"/>
    <s v="BALLESTEROS VALDERRAMA CRISTIAN CAMILO"/>
    <n v="27"/>
    <n v="0"/>
    <n v="1591178"/>
  </r>
  <r>
    <s v="Retail"/>
    <s v="Q138 Manizales - CC Fundadores"/>
    <x v="7"/>
    <s v="octubre"/>
    <n v="2"/>
    <d v="2026-10-02T00:00:00"/>
    <m/>
    <m/>
    <n v="0"/>
    <n v="5805214"/>
    <n v="0"/>
  </r>
  <r>
    <s v="Retail"/>
    <s v="Q138 Manizales - CC Fundadores"/>
    <x v="7"/>
    <s v="octubre"/>
    <n v="2"/>
    <d v="2026-10-02T00:00:00"/>
    <n v="1002546365"/>
    <s v="LOPEZ GIRALDO PAOLA"/>
    <n v="58"/>
    <n v="0"/>
    <n v="3207480"/>
  </r>
  <r>
    <s v="Retail"/>
    <s v="Q138 Manizales - CC Fundadores"/>
    <x v="7"/>
    <s v="octubre"/>
    <n v="2"/>
    <d v="2026-10-02T00:00:00"/>
    <n v="1006410542"/>
    <s v="CAMPO MORENO MAIRA  ALEJANDRA"/>
    <n v="45"/>
    <n v="0"/>
    <n v="2794204"/>
  </r>
  <r>
    <s v="Retail"/>
    <s v="Q138 Manizales - CC Fundadores"/>
    <x v="7"/>
    <s v="octubre"/>
    <n v="2"/>
    <d v="2026-10-02T00:00:00"/>
    <n v="1033486789"/>
    <s v="RINCON  CARDONA ESNEIDER "/>
    <n v="35"/>
    <n v="0"/>
    <n v="2029960"/>
  </r>
  <r>
    <s v="Retail"/>
    <s v="Q138 Manizales - CC Fundadores"/>
    <x v="7"/>
    <s v="octubre"/>
    <n v="2"/>
    <d v="2026-10-02T00:00:00"/>
    <n v="1053836534"/>
    <s v="BALLESTEROS VALDERRAMA CRISTIAN CAMILO"/>
    <n v="36"/>
    <n v="0"/>
    <n v="1884959"/>
  </r>
  <r>
    <s v="Retail"/>
    <s v="Q138 Manizales - CC Fundadores"/>
    <x v="7"/>
    <s v="octubre"/>
    <n v="3"/>
    <d v="2026-10-03T00:00:00"/>
    <m/>
    <m/>
    <n v="0"/>
    <n v="11543468"/>
    <n v="0"/>
  </r>
  <r>
    <s v="Retail"/>
    <s v="Q138 Manizales - CC Fundadores"/>
    <x v="7"/>
    <s v="octubre"/>
    <n v="3"/>
    <d v="2026-10-03T00:00:00"/>
    <n v="1002546365"/>
    <s v="LOPEZ GIRALDO PAOLA"/>
    <n v="52"/>
    <n v="0"/>
    <n v="2756541"/>
  </r>
  <r>
    <s v="Retail"/>
    <s v="Q138 Manizales - CC Fundadores"/>
    <x v="7"/>
    <s v="octubre"/>
    <n v="3"/>
    <d v="2026-10-03T00:00:00"/>
    <n v="1006410542"/>
    <s v="CAMPO MORENO MAIRA  ALEJANDRA"/>
    <n v="49"/>
    <n v="0"/>
    <n v="2648321"/>
  </r>
  <r>
    <s v="Retail"/>
    <s v="Q138 Manizales - CC Fundadores"/>
    <x v="7"/>
    <s v="octubre"/>
    <n v="3"/>
    <d v="2026-10-03T00:00:00"/>
    <n v="1033486789"/>
    <s v="RINCON  CARDONA ESNEIDER "/>
    <n v="37"/>
    <n v="0"/>
    <n v="1830003"/>
  </r>
  <r>
    <s v="Retail"/>
    <s v="Q138 Manizales - CC Fundadores"/>
    <x v="7"/>
    <s v="octubre"/>
    <n v="3"/>
    <d v="2026-10-03T00:00:00"/>
    <n v="1053836534"/>
    <s v="BALLESTEROS VALDERRAMA CRISTIAN CAMILO"/>
    <n v="48"/>
    <n v="0"/>
    <n v="2687018"/>
  </r>
  <r>
    <s v="Retail"/>
    <s v="Q138 Manizales - CC Fundadores"/>
    <x v="7"/>
    <s v="octubre"/>
    <n v="3"/>
    <d v="2026-10-03T00:00:00"/>
    <n v="1074810079"/>
    <s v="AVILEZ ROMERO LUIS CARLOS"/>
    <n v="-1"/>
    <n v="0"/>
    <n v="-75546"/>
  </r>
  <r>
    <s v="Retail"/>
    <s v="Q138 Manizales - CC Fundadores"/>
    <x v="7"/>
    <s v="octubre"/>
    <n v="4"/>
    <d v="2026-10-04T00:00:00"/>
    <m/>
    <m/>
    <n v="0"/>
    <n v="4590931"/>
    <n v="0"/>
  </r>
  <r>
    <s v="Retail"/>
    <s v="Q138 Manizales - CC Fundadores"/>
    <x v="7"/>
    <s v="octubre"/>
    <n v="4"/>
    <d v="2026-10-04T00:00:00"/>
    <n v="1002546365"/>
    <s v="LOPEZ GIRALDO PAOLA"/>
    <n v="36"/>
    <n v="0"/>
    <n v="2008570"/>
  </r>
  <r>
    <s v="Retail"/>
    <s v="Q138 Manizales - CC Fundadores"/>
    <x v="7"/>
    <s v="octubre"/>
    <n v="4"/>
    <d v="2026-10-04T00:00:00"/>
    <n v="1006410542"/>
    <s v="CAMPO MORENO MAIRA  ALEJANDRA"/>
    <n v="36"/>
    <n v="0"/>
    <n v="1973025"/>
  </r>
  <r>
    <s v="Retail"/>
    <s v="Q138 Manizales - CC Fundadores"/>
    <x v="7"/>
    <s v="octubre"/>
    <n v="4"/>
    <d v="2026-10-04T00:00:00"/>
    <n v="1033486789"/>
    <s v="RINCON  CARDONA ESNEIDER "/>
    <n v="48"/>
    <n v="0"/>
    <n v="2901175"/>
  </r>
  <r>
    <s v="Retail"/>
    <s v="Q138 Manizales - CC Fundadores"/>
    <x v="7"/>
    <s v="octubre"/>
    <n v="4"/>
    <d v="2026-10-04T00:00:00"/>
    <n v="1053836534"/>
    <s v="BALLESTEROS VALDERRAMA CRISTIAN CAMILO"/>
    <n v="44"/>
    <n v="0"/>
    <n v="2228781"/>
  </r>
  <r>
    <s v="Retail"/>
    <s v="Q138 Manizales - CC Fundadores"/>
    <x v="7"/>
    <s v="octubre"/>
    <n v="5"/>
    <d v="2026-10-05T00:00:00"/>
    <m/>
    <m/>
    <n v="0"/>
    <n v="3868858"/>
    <n v="0"/>
  </r>
  <r>
    <s v="Retail"/>
    <s v="Q138 Manizales - CC Fundadores"/>
    <x v="7"/>
    <s v="octubre"/>
    <n v="5"/>
    <d v="2026-10-05T00:00:00"/>
    <n v="1002546365"/>
    <s v="LOPEZ GIRALDO PAOLA"/>
    <n v="30"/>
    <n v="0"/>
    <n v="1494371"/>
  </r>
  <r>
    <s v="Retail"/>
    <s v="Q138 Manizales - CC Fundadores"/>
    <x v="7"/>
    <s v="octubre"/>
    <n v="5"/>
    <d v="2026-10-05T00:00:00"/>
    <n v="1006410542"/>
    <s v="CAMPO MORENO MAIRA  ALEJANDRA"/>
    <n v="25"/>
    <n v="0"/>
    <n v="1561935"/>
  </r>
  <r>
    <s v="Retail"/>
    <s v="Q138 Manizales - CC Fundadores"/>
    <x v="7"/>
    <s v="octubre"/>
    <n v="5"/>
    <d v="2026-10-05T00:00:00"/>
    <n v="1033486789"/>
    <s v="RINCON  CARDONA ESNEIDER "/>
    <n v="15"/>
    <n v="0"/>
    <n v="873279"/>
  </r>
  <r>
    <s v="Retail"/>
    <s v="Q138 Manizales - CC Fundadores"/>
    <x v="7"/>
    <s v="octubre"/>
    <n v="5"/>
    <d v="2026-10-05T00:00:00"/>
    <n v="1053836534"/>
    <s v="BALLESTEROS VALDERRAMA CRISTIAN CAMILO"/>
    <n v="-2"/>
    <n v="0"/>
    <n v="-104958"/>
  </r>
  <r>
    <s v="Retail"/>
    <s v="Q138 Manizales - CC Fundadores"/>
    <x v="7"/>
    <s v="octubre"/>
    <n v="5"/>
    <d v="2026-10-05T00:00:00"/>
    <n v="1088286603"/>
    <s v="PINEDA RODRIGUEZ ANDERSON"/>
    <n v="-1"/>
    <n v="0"/>
    <n v="-71386"/>
  </r>
  <r>
    <s v="Retail"/>
    <s v="Q138 Manizales - CC Fundadores"/>
    <x v="7"/>
    <s v="octubre"/>
    <n v="6"/>
    <d v="2026-10-06T00:00:00"/>
    <m/>
    <m/>
    <n v="0"/>
    <n v="2116006"/>
    <n v="0"/>
  </r>
  <r>
    <s v="Retail"/>
    <s v="Q138 Manizales - CC Fundadores"/>
    <x v="7"/>
    <s v="octubre"/>
    <n v="6"/>
    <d v="2026-10-06T00:00:00"/>
    <n v="1002546365"/>
    <s v="LOPEZ GIRALDO PAOLA"/>
    <n v="19"/>
    <n v="0"/>
    <n v="959202"/>
  </r>
  <r>
    <s v="Retail"/>
    <s v="Q138 Manizales - CC Fundadores"/>
    <x v="7"/>
    <s v="octubre"/>
    <n v="6"/>
    <d v="2026-10-06T00:00:00"/>
    <n v="1006410542"/>
    <s v="CAMPO MORENO MAIRA  ALEJANDRA"/>
    <n v="18"/>
    <n v="0"/>
    <n v="1003363"/>
  </r>
  <r>
    <s v="Retail"/>
    <s v="Q138 Manizales - CC Fundadores"/>
    <x v="7"/>
    <s v="octubre"/>
    <n v="6"/>
    <d v="2026-10-06T00:00:00"/>
    <n v="1053836534"/>
    <s v="BALLESTEROS VALDERRAMA CRISTIAN CAMILO"/>
    <n v="9"/>
    <n v="0"/>
    <n v="478615"/>
  </r>
  <r>
    <s v="Retail"/>
    <s v="Q138 Manizales - CC Fundadores"/>
    <x v="7"/>
    <s v="octubre"/>
    <n v="7"/>
    <d v="2026-10-07T00:00:00"/>
    <m/>
    <m/>
    <n v="0"/>
    <n v="2088164"/>
    <n v="0"/>
  </r>
  <r>
    <s v="Retail"/>
    <s v="Q138 Manizales - CC Fundadores"/>
    <x v="7"/>
    <s v="octubre"/>
    <n v="7"/>
    <d v="2026-10-07T00:00:00"/>
    <n v="1002546365"/>
    <s v="LOPEZ GIRALDO PAOLA"/>
    <n v="15"/>
    <n v="0"/>
    <n v="822773"/>
  </r>
  <r>
    <s v="Retail"/>
    <s v="Q138 Manizales - CC Fundadores"/>
    <x v="7"/>
    <s v="octubre"/>
    <n v="7"/>
    <d v="2026-10-07T00:00:00"/>
    <n v="1005654398"/>
    <s v="RICO GÓMEZ CAMILA ANDREA"/>
    <n v="-3"/>
    <n v="0"/>
    <n v="-373823"/>
  </r>
  <r>
    <s v="Retail"/>
    <s v="Q138 Manizales - CC Fundadores"/>
    <x v="7"/>
    <s v="octubre"/>
    <n v="7"/>
    <d v="2026-10-07T00:00:00"/>
    <n v="1006410542"/>
    <s v="CAMPO MORENO MAIRA  ALEJANDRA"/>
    <n v="14"/>
    <n v="0"/>
    <n v="801891"/>
  </r>
  <r>
    <s v="Retail"/>
    <s v="Q138 Manizales - CC Fundadores"/>
    <x v="7"/>
    <s v="octubre"/>
    <n v="7"/>
    <d v="2026-10-07T00:00:00"/>
    <n v="1033486789"/>
    <s v="RINCON  CARDONA ESNEIDER "/>
    <n v="21"/>
    <n v="0"/>
    <n v="1246934"/>
  </r>
  <r>
    <s v="Retail"/>
    <s v="Q138 Manizales - CC Fundadores"/>
    <x v="7"/>
    <s v="octubre"/>
    <n v="7"/>
    <d v="2026-10-07T00:00:00"/>
    <n v="1053836534"/>
    <s v="BALLESTEROS VALDERRAMA CRISTIAN CAMILO"/>
    <n v="16"/>
    <n v="0"/>
    <n v="1137899"/>
  </r>
  <r>
    <s v="Retail"/>
    <s v="Q139 Armenia - Centro 2"/>
    <x v="7"/>
    <s v="septiembre"/>
    <n v="23"/>
    <d v="2026-09-23T00:00:00"/>
    <m/>
    <m/>
    <n v="0"/>
    <n v="11396338"/>
    <n v="0"/>
  </r>
  <r>
    <s v="Retail"/>
    <s v="Q139 Armenia - Centro 2"/>
    <x v="7"/>
    <s v="septiembre"/>
    <n v="23"/>
    <d v="2026-09-23T00:00:00"/>
    <n v="24606628"/>
    <s v="JIMENEZ BARRERA SANDRA MILENA"/>
    <n v="89"/>
    <n v="0"/>
    <n v="5412103"/>
  </r>
  <r>
    <s v="Retail"/>
    <s v="Q139 Armenia - Centro 2"/>
    <x v="7"/>
    <s v="septiembre"/>
    <n v="23"/>
    <d v="2026-09-23T00:00:00"/>
    <n v="33355697"/>
    <s v="NERYS MEJIA DENIS SELENIA"/>
    <n v="80"/>
    <n v="0"/>
    <n v="4679373"/>
  </r>
  <r>
    <s v="Retail"/>
    <s v="Q139 Armenia - Centro 2"/>
    <x v="7"/>
    <s v="septiembre"/>
    <n v="23"/>
    <d v="2026-09-23T00:00:00"/>
    <n v="1004826334"/>
    <s v="VILLA ARIAS MARIEN MELIZA"/>
    <n v="21"/>
    <n v="0"/>
    <n v="1125170"/>
  </r>
  <r>
    <s v="Retail"/>
    <s v="Q139 Armenia - Centro 2"/>
    <x v="7"/>
    <s v="septiembre"/>
    <n v="23"/>
    <d v="2026-09-23T00:00:00"/>
    <n v="1007466983"/>
    <s v="OSORIO CAMPIÑO INGRID KATERINE"/>
    <n v="21"/>
    <n v="0"/>
    <n v="1324749"/>
  </r>
  <r>
    <s v="Retail"/>
    <s v="Q139 Armenia - Centro 2"/>
    <x v="7"/>
    <s v="septiembre"/>
    <n v="24"/>
    <d v="2026-09-24T00:00:00"/>
    <m/>
    <m/>
    <n v="0"/>
    <n v="17409191"/>
    <n v="0"/>
  </r>
  <r>
    <s v="Retail"/>
    <s v="Q139 Armenia - Centro 2"/>
    <x v="7"/>
    <s v="septiembre"/>
    <n v="24"/>
    <d v="2026-09-24T00:00:00"/>
    <n v="24606628"/>
    <s v="JIMENEZ BARRERA SANDRA MILENA"/>
    <n v="61"/>
    <n v="0"/>
    <n v="4037356"/>
  </r>
  <r>
    <s v="Retail"/>
    <s v="Q139 Armenia - Centro 2"/>
    <x v="7"/>
    <s v="septiembre"/>
    <n v="24"/>
    <d v="2026-09-24T00:00:00"/>
    <n v="33355697"/>
    <s v="NERYS MEJIA DENIS SELENIA"/>
    <n v="121"/>
    <n v="0"/>
    <n v="7146098"/>
  </r>
  <r>
    <s v="Retail"/>
    <s v="Q139 Armenia - Centro 2"/>
    <x v="7"/>
    <s v="septiembre"/>
    <n v="24"/>
    <d v="2026-09-24T00:00:00"/>
    <n v="1004826334"/>
    <s v="VILLA ARIAS MARIEN MELIZA"/>
    <n v="47"/>
    <n v="0"/>
    <n v="2943405"/>
  </r>
  <r>
    <s v="Retail"/>
    <s v="Q139 Armenia - Centro 2"/>
    <x v="7"/>
    <s v="septiembre"/>
    <n v="24"/>
    <d v="2026-09-24T00:00:00"/>
    <n v="1007466983"/>
    <s v="OSORIO CAMPIÑO INGRID KATERINE"/>
    <n v="42"/>
    <n v="0"/>
    <n v="2575885"/>
  </r>
  <r>
    <s v="Retail"/>
    <s v="Q139 Armenia - Centro 2"/>
    <x v="7"/>
    <s v="septiembre"/>
    <n v="25"/>
    <d v="2026-09-25T00:00:00"/>
    <m/>
    <m/>
    <n v="0"/>
    <n v="17370652"/>
    <n v="0"/>
  </r>
  <r>
    <s v="Retail"/>
    <s v="Q139 Armenia - Centro 2"/>
    <x v="7"/>
    <s v="septiembre"/>
    <n v="25"/>
    <d v="2026-09-25T00:00:00"/>
    <n v="24606628"/>
    <s v="JIMENEZ BARRERA SANDRA MILENA"/>
    <n v="44"/>
    <n v="0"/>
    <n v="2859455"/>
  </r>
  <r>
    <s v="Retail"/>
    <s v="Q139 Armenia - Centro 2"/>
    <x v="7"/>
    <s v="septiembre"/>
    <n v="25"/>
    <d v="2026-09-25T00:00:00"/>
    <n v="33355697"/>
    <s v="NERYS MEJIA DENIS SELENIA"/>
    <n v="58"/>
    <n v="0"/>
    <n v="3440841"/>
  </r>
  <r>
    <s v="Retail"/>
    <s v="Q139 Armenia - Centro 2"/>
    <x v="7"/>
    <s v="septiembre"/>
    <n v="25"/>
    <d v="2026-09-25T00:00:00"/>
    <n v="1004826334"/>
    <s v="VILLA ARIAS MARIEN MELIZA"/>
    <n v="34"/>
    <n v="0"/>
    <n v="2212775"/>
  </r>
  <r>
    <s v="Retail"/>
    <s v="Q139 Armenia - Centro 2"/>
    <x v="7"/>
    <s v="septiembre"/>
    <n v="25"/>
    <d v="2026-09-25T00:00:00"/>
    <n v="1007466983"/>
    <s v="OSORIO CAMPIÑO INGRID KATERINE"/>
    <n v="44"/>
    <n v="0"/>
    <n v="2641010"/>
  </r>
  <r>
    <s v="Retail"/>
    <s v="Q139 Armenia - Centro 2"/>
    <x v="7"/>
    <s v="septiembre"/>
    <n v="26"/>
    <d v="2026-09-26T00:00:00"/>
    <m/>
    <m/>
    <n v="0"/>
    <n v="24964125"/>
    <n v="0"/>
  </r>
  <r>
    <s v="Retail"/>
    <s v="Q139 Armenia - Centro 2"/>
    <x v="7"/>
    <s v="septiembre"/>
    <n v="26"/>
    <d v="2026-09-26T00:00:00"/>
    <n v="24606628"/>
    <s v="JIMENEZ BARRERA SANDRA MILENA"/>
    <n v="101"/>
    <n v="0"/>
    <n v="6476722"/>
  </r>
  <r>
    <s v="Retail"/>
    <s v="Q139 Armenia - Centro 2"/>
    <x v="7"/>
    <s v="septiembre"/>
    <n v="26"/>
    <d v="2026-09-26T00:00:00"/>
    <n v="33355697"/>
    <s v="NERYS MEJIA DENIS SELENIA"/>
    <n v="112"/>
    <n v="0"/>
    <n v="7553873"/>
  </r>
  <r>
    <s v="Retail"/>
    <s v="Q139 Armenia - Centro 2"/>
    <x v="7"/>
    <s v="septiembre"/>
    <n v="26"/>
    <d v="2026-09-26T00:00:00"/>
    <n v="1004826334"/>
    <s v="VILLA ARIAS MARIEN MELIZA"/>
    <n v="65"/>
    <n v="0"/>
    <n v="4198868"/>
  </r>
  <r>
    <s v="Retail"/>
    <s v="Q139 Armenia - Centro 2"/>
    <x v="7"/>
    <s v="septiembre"/>
    <n v="26"/>
    <d v="2026-09-26T00:00:00"/>
    <n v="1007466983"/>
    <s v="OSORIO CAMPIÑO INGRID KATERINE"/>
    <n v="48"/>
    <n v="0"/>
    <n v="2928490"/>
  </r>
  <r>
    <s v="Retail"/>
    <s v="Q139 Armenia - Centro 2"/>
    <x v="7"/>
    <s v="septiembre"/>
    <n v="26"/>
    <d v="2026-09-26T00:00:00"/>
    <n v="1094905873"/>
    <s v="GÓMEZ GALVEZ LUISA FERNANDA"/>
    <n v="-2"/>
    <n v="0"/>
    <n v="-125966"/>
  </r>
  <r>
    <s v="Retail"/>
    <s v="Q139 Armenia - Centro 2"/>
    <x v="7"/>
    <s v="septiembre"/>
    <n v="26"/>
    <d v="2026-09-26T00:00:00"/>
    <n v="1094957784"/>
    <s v=" LOPEZ  AVENDAÑO VANESSA"/>
    <n v="-1"/>
    <n v="0"/>
    <n v="-46177"/>
  </r>
  <r>
    <s v="Retail"/>
    <s v="Q139 Armenia - Centro 2"/>
    <x v="7"/>
    <s v="septiembre"/>
    <n v="27"/>
    <d v="2026-09-27T00:00:00"/>
    <m/>
    <m/>
    <n v="0"/>
    <n v="19776609"/>
    <n v="0"/>
  </r>
  <r>
    <s v="Retail"/>
    <s v="Q139 Armenia - Centro 2"/>
    <x v="7"/>
    <s v="septiembre"/>
    <n v="27"/>
    <d v="2026-09-27T00:00:00"/>
    <n v="24606628"/>
    <s v="JIMENEZ BARRERA SANDRA MILENA"/>
    <n v="51"/>
    <n v="0"/>
    <n v="2959916"/>
  </r>
  <r>
    <s v="Retail"/>
    <s v="Q139 Armenia - Centro 2"/>
    <x v="7"/>
    <s v="septiembre"/>
    <n v="27"/>
    <d v="2026-09-27T00:00:00"/>
    <n v="33355697"/>
    <s v="NERYS MEJIA DENIS SELENIA"/>
    <n v="48"/>
    <n v="0"/>
    <n v="3098826"/>
  </r>
  <r>
    <s v="Retail"/>
    <s v="Q139 Armenia - Centro 2"/>
    <x v="7"/>
    <s v="septiembre"/>
    <n v="27"/>
    <d v="2026-09-27T00:00:00"/>
    <n v="1004826334"/>
    <s v="VILLA ARIAS MARIEN MELIZA"/>
    <n v="15"/>
    <n v="0"/>
    <n v="917312"/>
  </r>
  <r>
    <s v="Retail"/>
    <s v="Q139 Armenia - Centro 2"/>
    <x v="7"/>
    <s v="septiembre"/>
    <n v="27"/>
    <d v="2026-09-27T00:00:00"/>
    <n v="1007466983"/>
    <s v="OSORIO CAMPIÑO INGRID KATERINE"/>
    <n v="15"/>
    <n v="0"/>
    <n v="776598"/>
  </r>
  <r>
    <s v="Retail"/>
    <s v="Q139 Armenia - Centro 2"/>
    <x v="7"/>
    <s v="septiembre"/>
    <n v="28"/>
    <d v="2026-09-28T00:00:00"/>
    <m/>
    <m/>
    <n v="0"/>
    <n v="11135112"/>
    <n v="0"/>
  </r>
  <r>
    <s v="Retail"/>
    <s v="Q139 Armenia - Centro 2"/>
    <x v="7"/>
    <s v="septiembre"/>
    <n v="28"/>
    <d v="2026-09-28T00:00:00"/>
    <n v="24606628"/>
    <s v="JIMENEZ BARRERA SANDRA MILENA"/>
    <n v="49"/>
    <n v="0"/>
    <n v="2911681"/>
  </r>
  <r>
    <s v="Retail"/>
    <s v="Q139 Armenia - Centro 2"/>
    <x v="7"/>
    <s v="septiembre"/>
    <n v="28"/>
    <d v="2026-09-28T00:00:00"/>
    <n v="33355697"/>
    <s v="NERYS MEJIA DENIS SELENIA"/>
    <n v="62"/>
    <n v="0"/>
    <n v="3520467"/>
  </r>
  <r>
    <s v="Retail"/>
    <s v="Q139 Armenia - Centro 2"/>
    <x v="7"/>
    <s v="septiembre"/>
    <n v="28"/>
    <d v="2026-09-28T00:00:00"/>
    <n v="1004826334"/>
    <s v="VILLA ARIAS MARIEN MELIZA"/>
    <n v="35"/>
    <n v="0"/>
    <n v="2111640"/>
  </r>
  <r>
    <s v="Retail"/>
    <s v="Q139 Armenia - Centro 2"/>
    <x v="7"/>
    <s v="septiembre"/>
    <n v="28"/>
    <d v="2026-09-28T00:00:00"/>
    <n v="1007466983"/>
    <s v="OSORIO CAMPIÑO INGRID KATERINE"/>
    <n v="38"/>
    <n v="0"/>
    <n v="2410171"/>
  </r>
  <r>
    <s v="Retail"/>
    <s v="Q139 Armenia - Centro 2"/>
    <x v="7"/>
    <s v="septiembre"/>
    <n v="28"/>
    <d v="2026-09-28T00:00:00"/>
    <n v="1092850523"/>
    <s v="OSPINA BETANCUR LAURA SOFIA"/>
    <n v="-1"/>
    <n v="0"/>
    <n v="-41933"/>
  </r>
  <r>
    <s v="Retail"/>
    <s v="Q139 Armenia - Centro 2"/>
    <x v="7"/>
    <s v="septiembre"/>
    <n v="29"/>
    <d v="2026-09-29T00:00:00"/>
    <m/>
    <m/>
    <n v="0"/>
    <n v="11375617"/>
    <n v="0"/>
  </r>
  <r>
    <s v="Retail"/>
    <s v="Q139 Armenia - Centro 2"/>
    <x v="7"/>
    <s v="septiembre"/>
    <n v="29"/>
    <d v="2026-09-29T00:00:00"/>
    <n v="24606628"/>
    <s v="JIMENEZ BARRERA SANDRA MILENA"/>
    <n v="35"/>
    <n v="0"/>
    <n v="2221179"/>
  </r>
  <r>
    <s v="Retail"/>
    <s v="Q139 Armenia - Centro 2"/>
    <x v="7"/>
    <s v="septiembre"/>
    <n v="29"/>
    <d v="2026-09-29T00:00:00"/>
    <n v="33355697"/>
    <s v="NERYS MEJIA DENIS SELENIA"/>
    <n v="57"/>
    <n v="0"/>
    <n v="3913487"/>
  </r>
  <r>
    <s v="Retail"/>
    <s v="Q139 Armenia - Centro 2"/>
    <x v="7"/>
    <s v="septiembre"/>
    <n v="29"/>
    <d v="2026-09-29T00:00:00"/>
    <n v="1004826334"/>
    <s v="VILLA ARIAS MARIEN MELIZA"/>
    <n v="27"/>
    <n v="0"/>
    <n v="1568110"/>
  </r>
  <r>
    <s v="Retail"/>
    <s v="Q139 Armenia - Centro 2"/>
    <x v="7"/>
    <s v="septiembre"/>
    <n v="29"/>
    <d v="2026-09-29T00:00:00"/>
    <n v="1007466983"/>
    <s v="OSORIO CAMPIÑO INGRID KATERINE"/>
    <n v="38"/>
    <n v="0"/>
    <n v="2414245"/>
  </r>
  <r>
    <s v="Retail"/>
    <s v="Q139 Armenia - Centro 2"/>
    <x v="7"/>
    <s v="septiembre"/>
    <n v="30"/>
    <d v="2026-09-30T00:00:00"/>
    <m/>
    <m/>
    <n v="0"/>
    <n v="12010374"/>
    <n v="0"/>
  </r>
  <r>
    <s v="Retail"/>
    <s v="Q139 Armenia - Centro 2"/>
    <x v="7"/>
    <s v="septiembre"/>
    <n v="30"/>
    <d v="2026-09-30T00:00:00"/>
    <n v="24606628"/>
    <s v="JIMENEZ BARRERA SANDRA MILENA"/>
    <n v="58"/>
    <n v="0"/>
    <n v="3331513"/>
  </r>
  <r>
    <s v="Retail"/>
    <s v="Q139 Armenia - Centro 2"/>
    <x v="7"/>
    <s v="septiembre"/>
    <n v="30"/>
    <d v="2026-09-30T00:00:00"/>
    <n v="33355697"/>
    <s v="NERYS MEJIA DENIS SELENIA"/>
    <n v="54"/>
    <n v="0"/>
    <n v="3014456"/>
  </r>
  <r>
    <s v="Retail"/>
    <s v="Q139 Armenia - Centro 2"/>
    <x v="7"/>
    <s v="septiembre"/>
    <n v="30"/>
    <d v="2026-09-30T00:00:00"/>
    <n v="1004826334"/>
    <s v="VILLA ARIAS MARIEN MELIZA"/>
    <n v="41"/>
    <n v="0"/>
    <n v="2617988"/>
  </r>
  <r>
    <s v="Retail"/>
    <s v="Q139 Armenia - Centro 2"/>
    <x v="7"/>
    <s v="septiembre"/>
    <n v="30"/>
    <d v="2026-09-30T00:00:00"/>
    <n v="1007466983"/>
    <s v="OSORIO CAMPIÑO INGRID KATERINE"/>
    <n v="35"/>
    <n v="0"/>
    <n v="2111976"/>
  </r>
  <r>
    <s v="Retail"/>
    <s v="Q139 Armenia - Centro 2"/>
    <x v="7"/>
    <s v="septiembre"/>
    <n v="30"/>
    <d v="2026-09-30T00:00:00"/>
    <n v="1094971574"/>
    <s v="RAMIREZ  FLOREZ CAROLINA "/>
    <n v="-1"/>
    <n v="0"/>
    <n v="-125966"/>
  </r>
  <r>
    <s v="Retail"/>
    <s v="Q139 Armenia - Centro 2"/>
    <x v="7"/>
    <s v="octubre"/>
    <n v="1"/>
    <d v="2026-10-01T00:00:00"/>
    <m/>
    <m/>
    <n v="0"/>
    <n v="14633666"/>
    <n v="0"/>
  </r>
  <r>
    <s v="Retail"/>
    <s v="Q139 Armenia - Centro 2"/>
    <x v="7"/>
    <s v="octubre"/>
    <n v="1"/>
    <d v="2026-10-01T00:00:00"/>
    <n v="24606628"/>
    <s v="JIMENEZ BARRERA SANDRA MILENA"/>
    <n v="30"/>
    <n v="0"/>
    <n v="1977691"/>
  </r>
  <r>
    <s v="Retail"/>
    <s v="Q139 Armenia - Centro 2"/>
    <x v="7"/>
    <s v="octubre"/>
    <n v="1"/>
    <d v="2026-10-01T00:00:00"/>
    <n v="33355697"/>
    <s v="NERYS MEJIA DENIS SELENIA"/>
    <n v="38"/>
    <n v="0"/>
    <n v="2244160"/>
  </r>
  <r>
    <s v="Retail"/>
    <s v="Q139 Armenia - Centro 2"/>
    <x v="7"/>
    <s v="octubre"/>
    <n v="1"/>
    <d v="2026-10-01T00:00:00"/>
    <n v="1004826334"/>
    <s v="VILLA ARIAS MARIEN MELIZA"/>
    <n v="48"/>
    <n v="0"/>
    <n v="3056808"/>
  </r>
  <r>
    <s v="Retail"/>
    <s v="Q139 Armenia - Centro 2"/>
    <x v="7"/>
    <s v="octubre"/>
    <n v="1"/>
    <d v="2026-10-01T00:00:00"/>
    <n v="1007466983"/>
    <s v="OSORIO CAMPIÑO INGRID KATERINE"/>
    <n v="55"/>
    <n v="0"/>
    <n v="3291766"/>
  </r>
  <r>
    <s v="Retail"/>
    <s v="Q139 Armenia - Centro 2"/>
    <x v="7"/>
    <s v="octubre"/>
    <n v="1"/>
    <d v="2026-10-01T00:00:00"/>
    <n v="1094957784"/>
    <s v=" LOPEZ  AVENDAÑO VANESSA"/>
    <n v="-2"/>
    <n v="0"/>
    <n v="-79748"/>
  </r>
  <r>
    <s v="Retail"/>
    <s v="Q139 Armenia - Centro 2"/>
    <x v="7"/>
    <s v="octubre"/>
    <n v="1"/>
    <d v="2026-10-01T00:00:00"/>
    <n v="1097391531"/>
    <s v="RODRIGUEZ  NATALY"/>
    <n v="-1"/>
    <n v="0"/>
    <n v="-50336"/>
  </r>
  <r>
    <s v="Retail"/>
    <s v="Q139 Armenia - Centro 2"/>
    <x v="7"/>
    <s v="octubre"/>
    <n v="2"/>
    <d v="2026-10-02T00:00:00"/>
    <m/>
    <m/>
    <n v="0"/>
    <n v="12485516"/>
    <n v="0"/>
  </r>
  <r>
    <s v="Retail"/>
    <s v="Q139 Armenia - Centro 2"/>
    <x v="7"/>
    <s v="octubre"/>
    <n v="2"/>
    <d v="2026-10-02T00:00:00"/>
    <n v="24606628"/>
    <s v="JIMENEZ BARRERA SANDRA MILENA"/>
    <n v="0"/>
    <n v="0"/>
    <n v="8403"/>
  </r>
  <r>
    <s v="Retail"/>
    <s v="Q139 Armenia - Centro 2"/>
    <x v="7"/>
    <s v="octubre"/>
    <n v="2"/>
    <d v="2026-10-02T00:00:00"/>
    <n v="33355697"/>
    <s v="NERYS MEJIA DENIS SELENIA"/>
    <n v="82"/>
    <n v="0"/>
    <n v="4872528"/>
  </r>
  <r>
    <s v="Retail"/>
    <s v="Q139 Armenia - Centro 2"/>
    <x v="7"/>
    <s v="octubre"/>
    <n v="2"/>
    <d v="2026-10-02T00:00:00"/>
    <n v="1000190054"/>
    <s v="RIVERA DEOSSA RUBEN"/>
    <n v="30"/>
    <n v="0"/>
    <n v="1931473"/>
  </r>
  <r>
    <s v="Retail"/>
    <s v="Q139 Armenia - Centro 2"/>
    <x v="7"/>
    <s v="octubre"/>
    <n v="2"/>
    <d v="2026-10-02T00:00:00"/>
    <n v="1004826334"/>
    <s v="VILLA ARIAS MARIEN MELIZA"/>
    <n v="44"/>
    <n v="0"/>
    <n v="2652351"/>
  </r>
  <r>
    <s v="Retail"/>
    <s v="Q139 Armenia - Centro 2"/>
    <x v="7"/>
    <s v="octubre"/>
    <n v="2"/>
    <d v="2026-10-02T00:00:00"/>
    <n v="1007466983"/>
    <s v="OSORIO CAMPIÑO INGRID KATERINE"/>
    <n v="53"/>
    <n v="0"/>
    <n v="3157272"/>
  </r>
  <r>
    <s v="Retail"/>
    <s v="Q139 Armenia - Centro 2"/>
    <x v="7"/>
    <s v="octubre"/>
    <n v="3"/>
    <d v="2026-10-03T00:00:00"/>
    <m/>
    <m/>
    <n v="0"/>
    <n v="21573840"/>
    <n v="0"/>
  </r>
  <r>
    <s v="Retail"/>
    <s v="Q139 Armenia - Centro 2"/>
    <x v="7"/>
    <s v="octubre"/>
    <n v="3"/>
    <d v="2026-10-03T00:00:00"/>
    <n v="33355697"/>
    <s v="NERYS MEJIA DENIS SELENIA"/>
    <n v="141"/>
    <n v="0"/>
    <n v="8000804"/>
  </r>
  <r>
    <s v="Retail"/>
    <s v="Q139 Armenia - Centro 2"/>
    <x v="7"/>
    <s v="octubre"/>
    <n v="3"/>
    <d v="2026-10-03T00:00:00"/>
    <n v="1000190054"/>
    <s v="RIVERA DEOSSA RUBEN"/>
    <n v="100"/>
    <n v="0"/>
    <n v="4890073"/>
  </r>
  <r>
    <s v="Retail"/>
    <s v="Q139 Armenia - Centro 2"/>
    <x v="7"/>
    <s v="octubre"/>
    <n v="3"/>
    <d v="2026-10-03T00:00:00"/>
    <n v="1004826334"/>
    <s v="VILLA ARIAS MARIEN MELIZA"/>
    <n v="69"/>
    <n v="0"/>
    <n v="3877824"/>
  </r>
  <r>
    <s v="Retail"/>
    <s v="Q139 Armenia - Centro 2"/>
    <x v="7"/>
    <s v="octubre"/>
    <n v="3"/>
    <d v="2026-10-03T00:00:00"/>
    <n v="1007466983"/>
    <s v="OSORIO CAMPIÑO INGRID KATERINE"/>
    <n v="103"/>
    <n v="0"/>
    <n v="5757714"/>
  </r>
  <r>
    <s v="Retail"/>
    <s v="Q139 Armenia - Centro 2"/>
    <x v="7"/>
    <s v="octubre"/>
    <n v="3"/>
    <d v="2026-10-03T00:00:00"/>
    <n v="1094971574"/>
    <s v="RAMIREZ  FLOREZ CAROLINA "/>
    <n v="-1"/>
    <n v="0"/>
    <n v="-41975"/>
  </r>
  <r>
    <s v="Retail"/>
    <s v="Q139 Armenia - Centro 2"/>
    <x v="7"/>
    <s v="octubre"/>
    <n v="4"/>
    <d v="2026-10-04T00:00:00"/>
    <m/>
    <m/>
    <n v="0"/>
    <n v="8707134"/>
    <n v="0"/>
  </r>
  <r>
    <s v="Retail"/>
    <s v="Q139 Armenia - Centro 2"/>
    <x v="7"/>
    <s v="octubre"/>
    <n v="4"/>
    <d v="2026-10-04T00:00:00"/>
    <n v="24606628"/>
    <s v="JIMENEZ BARRERA SANDRA MILENA"/>
    <n v="-2"/>
    <n v="0"/>
    <n v="-100672"/>
  </r>
  <r>
    <s v="Retail"/>
    <s v="Q139 Armenia - Centro 2"/>
    <x v="7"/>
    <s v="octubre"/>
    <n v="4"/>
    <d v="2026-10-04T00:00:00"/>
    <n v="33355697"/>
    <s v="NERYS MEJIA DENIS SELENIA"/>
    <n v="52"/>
    <n v="0"/>
    <n v="3359037"/>
  </r>
  <r>
    <s v="Retail"/>
    <s v="Q139 Armenia - Centro 2"/>
    <x v="7"/>
    <s v="octubre"/>
    <n v="4"/>
    <d v="2026-10-04T00:00:00"/>
    <n v="1000190054"/>
    <s v="RIVERA DEOSSA RUBEN"/>
    <n v="13"/>
    <n v="0"/>
    <n v="789329"/>
  </r>
  <r>
    <s v="Retail"/>
    <s v="Q139 Armenia - Centro 2"/>
    <x v="7"/>
    <s v="octubre"/>
    <n v="4"/>
    <d v="2026-10-04T00:00:00"/>
    <n v="1004826334"/>
    <s v="VILLA ARIAS MARIEN MELIZA"/>
    <n v="32"/>
    <n v="0"/>
    <n v="1796892"/>
  </r>
  <r>
    <s v="Retail"/>
    <s v="Q139 Armenia - Centro 2"/>
    <x v="7"/>
    <s v="octubre"/>
    <n v="4"/>
    <d v="2026-10-04T00:00:00"/>
    <n v="1007466983"/>
    <s v="OSORIO CAMPIÑO INGRID KATERINE"/>
    <n v="42"/>
    <n v="0"/>
    <n v="2527651"/>
  </r>
  <r>
    <s v="Retail"/>
    <s v="Q139 Armenia - Centro 2"/>
    <x v="7"/>
    <s v="octubre"/>
    <n v="5"/>
    <d v="2026-10-05T00:00:00"/>
    <m/>
    <m/>
    <n v="0"/>
    <n v="8414994"/>
    <n v="0"/>
  </r>
  <r>
    <s v="Retail"/>
    <s v="Q139 Armenia - Centro 2"/>
    <x v="7"/>
    <s v="octubre"/>
    <n v="5"/>
    <d v="2026-10-05T00:00:00"/>
    <n v="33355697"/>
    <s v="NERYS MEJIA DENIS SELENIA"/>
    <n v="89"/>
    <n v="0"/>
    <n v="5254612"/>
  </r>
  <r>
    <s v="Retail"/>
    <s v="Q139 Armenia - Centro 2"/>
    <x v="7"/>
    <s v="octubre"/>
    <n v="5"/>
    <d v="2026-10-05T00:00:00"/>
    <n v="1000190054"/>
    <s v="RIVERA DEOSSA RUBEN"/>
    <n v="-1"/>
    <n v="0"/>
    <n v="-41975"/>
  </r>
  <r>
    <s v="Retail"/>
    <s v="Q139 Armenia - Centro 2"/>
    <x v="7"/>
    <s v="octubre"/>
    <n v="5"/>
    <d v="2026-10-05T00:00:00"/>
    <n v="1004826334"/>
    <s v="VILLA ARIAS MARIEN MELIZA"/>
    <n v="64"/>
    <n v="0"/>
    <n v="3833112"/>
  </r>
  <r>
    <s v="Retail"/>
    <s v="Q139 Armenia - Centro 2"/>
    <x v="7"/>
    <s v="octubre"/>
    <n v="5"/>
    <d v="2026-10-05T00:00:00"/>
    <n v="1007466983"/>
    <s v="OSORIO CAMPIÑO INGRID KATERINE"/>
    <n v="79"/>
    <n v="0"/>
    <n v="4904164"/>
  </r>
  <r>
    <s v="Retail"/>
    <s v="Q139 Armenia - Centro 2"/>
    <x v="7"/>
    <s v="octubre"/>
    <n v="5"/>
    <d v="2026-10-05T00:00:00"/>
    <n v="1092850523"/>
    <s v="OSPINA BETANCUR LAURA SOFIA"/>
    <n v="-1"/>
    <n v="0"/>
    <n v="-54580"/>
  </r>
  <r>
    <s v="Retail"/>
    <s v="Q139 Armenia - Centro 2"/>
    <x v="7"/>
    <s v="octubre"/>
    <n v="6"/>
    <d v="2026-10-06T00:00:00"/>
    <m/>
    <m/>
    <n v="0"/>
    <n v="7070188"/>
    <n v="0"/>
  </r>
  <r>
    <s v="Retail"/>
    <s v="Q139 Armenia - Centro 2"/>
    <x v="7"/>
    <s v="octubre"/>
    <n v="6"/>
    <d v="2026-10-06T00:00:00"/>
    <n v="33355697"/>
    <s v="NERYS MEJIA DENIS SELENIA"/>
    <n v="44"/>
    <n v="0"/>
    <n v="2579962"/>
  </r>
  <r>
    <s v="Retail"/>
    <s v="Q139 Armenia - Centro 2"/>
    <x v="7"/>
    <s v="octubre"/>
    <n v="6"/>
    <d v="2026-10-06T00:00:00"/>
    <n v="1000190054"/>
    <s v="RIVERA DEOSSA RUBEN"/>
    <n v="-2"/>
    <n v="0"/>
    <n v="-92361"/>
  </r>
  <r>
    <s v="Retail"/>
    <s v="Q139 Armenia - Centro 2"/>
    <x v="7"/>
    <s v="octubre"/>
    <n v="6"/>
    <d v="2026-10-06T00:00:00"/>
    <n v="1004826334"/>
    <s v="VILLA ARIAS MARIEN MELIZA"/>
    <n v="34"/>
    <n v="0"/>
    <n v="1962856"/>
  </r>
  <r>
    <s v="Retail"/>
    <s v="Q139 Armenia - Centro 2"/>
    <x v="7"/>
    <s v="octubre"/>
    <n v="6"/>
    <d v="2026-10-06T00:00:00"/>
    <n v="1007466983"/>
    <s v="OSORIO CAMPIÑO INGRID KATERINE"/>
    <n v="45"/>
    <n v="0"/>
    <n v="2655507"/>
  </r>
  <r>
    <s v="Retail"/>
    <s v="Q139 Armenia - Centro 2"/>
    <x v="7"/>
    <s v="octubre"/>
    <n v="7"/>
    <d v="2026-10-07T00:00:00"/>
    <m/>
    <m/>
    <n v="0"/>
    <n v="6977158"/>
    <n v="0"/>
  </r>
  <r>
    <s v="Retail"/>
    <s v="Q139 Armenia - Centro 2"/>
    <x v="7"/>
    <s v="octubre"/>
    <n v="7"/>
    <d v="2026-10-07T00:00:00"/>
    <n v="24606628"/>
    <s v="JIMENEZ BARRERA SANDRA MILENA"/>
    <n v="-1"/>
    <n v="0"/>
    <n v="-79790"/>
  </r>
  <r>
    <s v="Retail"/>
    <s v="Q139 Armenia - Centro 2"/>
    <x v="7"/>
    <s v="octubre"/>
    <n v="7"/>
    <d v="2026-10-07T00:00:00"/>
    <n v="33355697"/>
    <s v="NERYS MEJIA DENIS SELENIA"/>
    <n v="55"/>
    <n v="0"/>
    <n v="3468028"/>
  </r>
  <r>
    <s v="Retail"/>
    <s v="Q139 Armenia - Centro 2"/>
    <x v="7"/>
    <s v="octubre"/>
    <n v="7"/>
    <d v="2026-10-07T00:00:00"/>
    <n v="1004826334"/>
    <s v="VILLA ARIAS MARIEN MELIZA"/>
    <n v="31"/>
    <n v="0"/>
    <n v="1925129"/>
  </r>
  <r>
    <s v="Retail"/>
    <s v="Q139 Armenia - Centro 2"/>
    <x v="7"/>
    <s v="octubre"/>
    <n v="7"/>
    <d v="2026-10-07T00:00:00"/>
    <n v="1007466983"/>
    <s v="OSORIO CAMPIÑO INGRID KATERINE"/>
    <n v="64"/>
    <n v="0"/>
    <n v="3883698"/>
  </r>
  <r>
    <s v="Retail"/>
    <s v="Q139 Armenia - Centro 2"/>
    <x v="7"/>
    <s v="octubre"/>
    <n v="7"/>
    <d v="2026-10-07T00:00:00"/>
    <n v="1094905873"/>
    <s v="GÓMEZ GALVEZ LUISA FERNANDA"/>
    <n v="-1"/>
    <n v="0"/>
    <n v="-58740"/>
  </r>
  <r>
    <s v="Franquicias Sell Out QUEST"/>
    <s v="FQ033 - Pasto Nariño"/>
    <x v="8"/>
    <s v="septiembre"/>
    <n v="23"/>
    <d v="2026-09-23T00:00:00"/>
    <m/>
    <m/>
    <n v="0"/>
    <n v="2415533"/>
    <n v="0"/>
  </r>
  <r>
    <s v="Franquicias Sell Out QUEST"/>
    <s v="FQ033 - Pasto Nariño"/>
    <x v="8"/>
    <s v="septiembre"/>
    <n v="23"/>
    <d v="2026-09-23T00:00:00"/>
    <n v="5168766"/>
    <s v="RODRIGUEZ  NILSAN"/>
    <n v="30"/>
    <n v="0"/>
    <n v="1834876"/>
  </r>
  <r>
    <s v="Franquicias Sell Out QUEST"/>
    <s v="FQ033 - Pasto Nariño"/>
    <x v="8"/>
    <s v="septiembre"/>
    <n v="23"/>
    <d v="2026-09-23T00:00:00"/>
    <n v="87067735"/>
    <s v="ORTEGA  JEICK"/>
    <n v="28"/>
    <n v="0"/>
    <n v="1994625"/>
  </r>
  <r>
    <s v="Franquicias Sell Out QUEST"/>
    <s v="FQ033 - Pasto Nariño"/>
    <x v="8"/>
    <s v="septiembre"/>
    <n v="23"/>
    <d v="2026-09-23T00:00:00"/>
    <n v="1085332711"/>
    <s v="LEITON  EVELYN"/>
    <n v="1"/>
    <n v="0"/>
    <n v="54580"/>
  </r>
  <r>
    <s v="Franquicias Sell Out QUEST"/>
    <s v="FQ033 - Pasto Nariño"/>
    <x v="8"/>
    <s v="septiembre"/>
    <n v="24"/>
    <d v="2026-09-24T00:00:00"/>
    <m/>
    <m/>
    <n v="0"/>
    <n v="6247037"/>
    <n v="0"/>
  </r>
  <r>
    <s v="Franquicias Sell Out QUEST"/>
    <s v="FQ033 - Pasto Nariño"/>
    <x v="8"/>
    <s v="septiembre"/>
    <n v="24"/>
    <d v="2026-09-24T00:00:00"/>
    <n v="5168766"/>
    <s v="RODRIGUEZ  NILSAN"/>
    <n v="33"/>
    <n v="0"/>
    <n v="2078448"/>
  </r>
  <r>
    <s v="Franquicias Sell Out QUEST"/>
    <s v="FQ033 - Pasto Nariño"/>
    <x v="8"/>
    <s v="septiembre"/>
    <n v="24"/>
    <d v="2026-09-24T00:00:00"/>
    <n v="87067735"/>
    <s v="ORTEGA  JEICK"/>
    <n v="37"/>
    <n v="0"/>
    <n v="2044670"/>
  </r>
  <r>
    <s v="Franquicias Sell Out QUEST"/>
    <s v="FQ033 - Pasto Nariño"/>
    <x v="8"/>
    <s v="septiembre"/>
    <n v="24"/>
    <d v="2026-09-24T00:00:00"/>
    <n v="1085332711"/>
    <s v="LEITON  EVELYN"/>
    <n v="-1"/>
    <n v="0"/>
    <n v="-67143"/>
  </r>
  <r>
    <s v="Franquicias Sell Out QUEST"/>
    <s v="FQ033 - Pasto Nariño"/>
    <x v="8"/>
    <s v="septiembre"/>
    <n v="25"/>
    <d v="2026-09-25T00:00:00"/>
    <m/>
    <m/>
    <n v="0"/>
    <n v="6672173"/>
    <n v="0"/>
  </r>
  <r>
    <s v="Franquicias Sell Out QUEST"/>
    <s v="FQ033 - Pasto Nariño"/>
    <x v="8"/>
    <s v="septiembre"/>
    <n v="25"/>
    <d v="2026-09-25T00:00:00"/>
    <n v="5168766"/>
    <s v="RODRIGUEZ  NILSAN"/>
    <n v="30"/>
    <n v="0"/>
    <n v="1996639"/>
  </r>
  <r>
    <s v="Franquicias Sell Out QUEST"/>
    <s v="FQ033 - Pasto Nariño"/>
    <x v="8"/>
    <s v="septiembre"/>
    <n v="25"/>
    <d v="2026-09-25T00:00:00"/>
    <n v="87067735"/>
    <s v="ORTEGA  JEICK"/>
    <n v="68"/>
    <n v="0"/>
    <n v="3917313"/>
  </r>
  <r>
    <s v="Franquicias Sell Out QUEST"/>
    <s v="FQ033 - Pasto Nariño"/>
    <x v="8"/>
    <s v="septiembre"/>
    <n v="25"/>
    <d v="2026-09-25T00:00:00"/>
    <n v="1085314352"/>
    <s v="CUASTUMAL FIGUEROA DANILO"/>
    <n v="13"/>
    <n v="0"/>
    <n v="995252"/>
  </r>
  <r>
    <s v="Franquicias Sell Out QUEST"/>
    <s v="FQ033 - Pasto Nariño"/>
    <x v="8"/>
    <s v="septiembre"/>
    <n v="26"/>
    <d v="2026-09-26T00:00:00"/>
    <m/>
    <m/>
    <n v="0"/>
    <n v="8413444"/>
    <n v="0"/>
  </r>
  <r>
    <s v="Franquicias Sell Out QUEST"/>
    <s v="FQ033 - Pasto Nariño"/>
    <x v="8"/>
    <s v="septiembre"/>
    <n v="26"/>
    <d v="2026-09-26T00:00:00"/>
    <n v="5168766"/>
    <s v="RODRIGUEZ  NILSAN"/>
    <n v="111"/>
    <n v="0"/>
    <n v="3182496"/>
  </r>
  <r>
    <s v="Franquicias Sell Out QUEST"/>
    <s v="FQ033 - Pasto Nariño"/>
    <x v="8"/>
    <s v="septiembre"/>
    <n v="26"/>
    <d v="2026-09-26T00:00:00"/>
    <n v="87067735"/>
    <s v="ORTEGA  JEICK"/>
    <n v="214"/>
    <n v="0"/>
    <n v="6450081"/>
  </r>
  <r>
    <s v="Franquicias Sell Out QUEST"/>
    <s v="FQ033 - Pasto Nariño"/>
    <x v="8"/>
    <s v="septiembre"/>
    <n v="26"/>
    <d v="2026-09-26T00:00:00"/>
    <n v="1085314352"/>
    <s v="CUASTUMAL FIGUEROA DANILO"/>
    <n v="153"/>
    <n v="0"/>
    <n v="4436744"/>
  </r>
  <r>
    <s v="Franquicias Sell Out QUEST"/>
    <s v="FQ033 - Pasto Nariño"/>
    <x v="8"/>
    <s v="septiembre"/>
    <n v="27"/>
    <d v="2026-09-27T00:00:00"/>
    <m/>
    <m/>
    <n v="0"/>
    <n v="4442218"/>
    <n v="0"/>
  </r>
  <r>
    <s v="Franquicias Sell Out QUEST"/>
    <s v="FQ033 - Pasto Nariño"/>
    <x v="8"/>
    <s v="septiembre"/>
    <n v="27"/>
    <d v="2026-09-27T00:00:00"/>
    <n v="5168766"/>
    <s v="RODRIGUEZ  NILSAN"/>
    <n v="11"/>
    <n v="0"/>
    <n v="701177"/>
  </r>
  <r>
    <s v="Franquicias Sell Out QUEST"/>
    <s v="FQ033 - Pasto Nariño"/>
    <x v="8"/>
    <s v="septiembre"/>
    <n v="27"/>
    <d v="2026-09-27T00:00:00"/>
    <n v="87067735"/>
    <s v="ORTEGA  JEICK"/>
    <n v="7"/>
    <n v="0"/>
    <n v="398824"/>
  </r>
  <r>
    <s v="Franquicias Sell Out QUEST"/>
    <s v="FQ033 - Pasto Nariño"/>
    <x v="8"/>
    <s v="septiembre"/>
    <n v="28"/>
    <d v="2026-09-28T00:00:00"/>
    <m/>
    <m/>
    <n v="0"/>
    <n v="3642135"/>
    <n v="0"/>
  </r>
  <r>
    <s v="Franquicias Sell Out QUEST"/>
    <s v="FQ033 - Pasto Nariño"/>
    <x v="8"/>
    <s v="septiembre"/>
    <n v="28"/>
    <d v="2026-09-28T00:00:00"/>
    <n v="5168766"/>
    <s v="RODRIGUEZ  NILSAN"/>
    <n v="24"/>
    <n v="0"/>
    <n v="1528405"/>
  </r>
  <r>
    <s v="Franquicias Sell Out QUEST"/>
    <s v="FQ033 - Pasto Nariño"/>
    <x v="8"/>
    <s v="septiembre"/>
    <n v="28"/>
    <d v="2026-09-28T00:00:00"/>
    <n v="87067735"/>
    <s v="ORTEGA  JEICK"/>
    <n v="27"/>
    <n v="0"/>
    <n v="1687818"/>
  </r>
  <r>
    <s v="Franquicias Sell Out QUEST"/>
    <s v="FQ033 - Pasto Nariño"/>
    <x v="8"/>
    <s v="septiembre"/>
    <n v="28"/>
    <d v="2026-09-28T00:00:00"/>
    <n v="1085314352"/>
    <s v="CUASTUMAL FIGUEROA DANILO"/>
    <n v="3"/>
    <n v="0"/>
    <n v="107018"/>
  </r>
  <r>
    <s v="Franquicias Sell Out QUEST"/>
    <s v="FQ033 - Pasto Nariño"/>
    <x v="8"/>
    <s v="septiembre"/>
    <n v="29"/>
    <d v="2026-09-29T00:00:00"/>
    <m/>
    <m/>
    <n v="0"/>
    <n v="4048977"/>
    <n v="0"/>
  </r>
  <r>
    <s v="Franquicias Sell Out QUEST"/>
    <s v="FQ033 - Pasto Nariño"/>
    <x v="8"/>
    <s v="septiembre"/>
    <n v="29"/>
    <d v="2026-09-29T00:00:00"/>
    <n v="5168766"/>
    <s v="RODRIGUEZ  NILSAN"/>
    <n v="29"/>
    <n v="0"/>
    <n v="1614330"/>
  </r>
  <r>
    <s v="Franquicias Sell Out QUEST"/>
    <s v="FQ033 - Pasto Nariño"/>
    <x v="8"/>
    <s v="septiembre"/>
    <n v="29"/>
    <d v="2026-09-29T00:00:00"/>
    <n v="87067735"/>
    <s v="ORTEGA  JEICK"/>
    <n v="31"/>
    <n v="0"/>
    <n v="1975463"/>
  </r>
  <r>
    <s v="Franquicias Sell Out QUEST"/>
    <s v="FQ033 - Pasto Nariño"/>
    <x v="8"/>
    <s v="septiembre"/>
    <n v="30"/>
    <d v="2026-09-30T00:00:00"/>
    <m/>
    <m/>
    <n v="0"/>
    <n v="4287995"/>
    <n v="0"/>
  </r>
  <r>
    <s v="Franquicias Sell Out QUEST"/>
    <s v="FQ033 - Pasto Nariño"/>
    <x v="8"/>
    <s v="septiembre"/>
    <n v="30"/>
    <d v="2026-09-30T00:00:00"/>
    <n v="5168766"/>
    <s v="RODRIGUEZ  NILSAN"/>
    <n v="38"/>
    <n v="0"/>
    <n v="2935211"/>
  </r>
  <r>
    <s v="Franquicias Sell Out QUEST"/>
    <s v="FQ033 - Pasto Nariño"/>
    <x v="8"/>
    <s v="septiembre"/>
    <n v="30"/>
    <d v="2026-09-30T00:00:00"/>
    <n v="87067735"/>
    <s v="ORTEGA  JEICK"/>
    <n v="53"/>
    <n v="0"/>
    <n v="3167400"/>
  </r>
  <r>
    <s v="Franquicias Sell Out QUEST"/>
    <s v="FQ033 - Pasto Nariño"/>
    <x v="8"/>
    <s v="octubre"/>
    <n v="1"/>
    <d v="2026-10-01T00:00:00"/>
    <m/>
    <m/>
    <n v="0"/>
    <n v="5653013"/>
    <n v="0"/>
  </r>
  <r>
    <s v="Franquicias Sell Out QUEST"/>
    <s v="FQ033 - Pasto Nariño"/>
    <x v="8"/>
    <s v="octubre"/>
    <n v="1"/>
    <d v="2026-10-01T00:00:00"/>
    <n v="5168766"/>
    <s v="RODRIGUEZ  NILSAN"/>
    <n v="37"/>
    <n v="0"/>
    <n v="2126471"/>
  </r>
  <r>
    <s v="Franquicias Sell Out QUEST"/>
    <s v="FQ033 - Pasto Nariño"/>
    <x v="8"/>
    <s v="octubre"/>
    <n v="1"/>
    <d v="2026-10-01T00:00:00"/>
    <n v="87067735"/>
    <s v="ORTEGA  JEICK"/>
    <n v="39"/>
    <n v="0"/>
    <n v="2569578"/>
  </r>
  <r>
    <s v="Franquicias Sell Out QUEST"/>
    <s v="FQ033 - Pasto Nariño"/>
    <x v="8"/>
    <s v="octubre"/>
    <n v="2"/>
    <d v="2026-10-02T00:00:00"/>
    <m/>
    <m/>
    <n v="0"/>
    <n v="4942785"/>
    <n v="0"/>
  </r>
  <r>
    <s v="Franquicias Sell Out QUEST"/>
    <s v="FQ033 - Pasto Nariño"/>
    <x v="8"/>
    <s v="octubre"/>
    <n v="2"/>
    <d v="2026-10-02T00:00:00"/>
    <n v="5168766"/>
    <s v="RODRIGUEZ  NILSAN"/>
    <n v="41"/>
    <n v="0"/>
    <n v="2615885"/>
  </r>
  <r>
    <s v="Franquicias Sell Out QUEST"/>
    <s v="FQ033 - Pasto Nariño"/>
    <x v="8"/>
    <s v="octubre"/>
    <n v="2"/>
    <d v="2026-10-02T00:00:00"/>
    <n v="87067735"/>
    <s v="ORTEGA  JEICK"/>
    <n v="36"/>
    <n v="0"/>
    <n v="2017398"/>
  </r>
  <r>
    <s v="Franquicias Sell Out QUEST"/>
    <s v="FQ033 - Pasto Nariño"/>
    <x v="8"/>
    <s v="octubre"/>
    <n v="3"/>
    <d v="2026-10-03T00:00:00"/>
    <m/>
    <m/>
    <n v="0"/>
    <n v="5342885"/>
    <n v="0"/>
  </r>
  <r>
    <s v="Franquicias Sell Out QUEST"/>
    <s v="FQ033 - Pasto Nariño"/>
    <x v="8"/>
    <s v="octubre"/>
    <n v="3"/>
    <d v="2026-10-03T00:00:00"/>
    <n v="5168766"/>
    <s v="RODRIGUEZ  NILSAN"/>
    <n v="38"/>
    <n v="0"/>
    <n v="2157280"/>
  </r>
  <r>
    <s v="Franquicias Sell Out QUEST"/>
    <s v="FQ033 - Pasto Nariño"/>
    <x v="8"/>
    <s v="octubre"/>
    <n v="3"/>
    <d v="2026-10-03T00:00:00"/>
    <n v="87067735"/>
    <s v="ORTEGA  JEICK"/>
    <n v="46"/>
    <n v="0"/>
    <n v="2587060"/>
  </r>
  <r>
    <s v="Franquicias Sell Out QUEST"/>
    <s v="FQ033 - Pasto Nariño"/>
    <x v="8"/>
    <s v="octubre"/>
    <n v="4"/>
    <d v="2026-10-04T00:00:00"/>
    <m/>
    <m/>
    <n v="0"/>
    <n v="753171"/>
    <n v="0"/>
  </r>
  <r>
    <s v="Franquicias Sell Out QUEST"/>
    <s v="FQ033 - Pasto Nariño"/>
    <x v="8"/>
    <s v="octubre"/>
    <n v="4"/>
    <d v="2026-10-04T00:00:00"/>
    <n v="87067735"/>
    <s v="ORTEGA  JEICK"/>
    <n v="20"/>
    <n v="0"/>
    <n v="1528488"/>
  </r>
  <r>
    <s v="Franquicias Sell Out QUEST"/>
    <s v="FQ033 - Pasto Nariño"/>
    <x v="8"/>
    <s v="octubre"/>
    <n v="4"/>
    <d v="2026-10-04T00:00:00"/>
    <n v="1085314352"/>
    <s v="CUASTUMAL FIGUEROA DANILO"/>
    <n v="11"/>
    <n v="0"/>
    <n v="818824"/>
  </r>
  <r>
    <s v="Franquicias Sell Out QUEST"/>
    <s v="FQ033 - Pasto Nariño"/>
    <x v="8"/>
    <s v="octubre"/>
    <n v="5"/>
    <d v="2026-10-05T00:00:00"/>
    <m/>
    <m/>
    <n v="0"/>
    <n v="3699222"/>
    <n v="0"/>
  </r>
  <r>
    <s v="Franquicias Sell Out QUEST"/>
    <s v="FQ033 - Pasto Nariño"/>
    <x v="8"/>
    <s v="octubre"/>
    <n v="5"/>
    <d v="2026-10-05T00:00:00"/>
    <n v="5168766"/>
    <s v="RODRIGUEZ  NILSAN"/>
    <n v="30"/>
    <n v="0"/>
    <n v="1973192"/>
  </r>
  <r>
    <s v="Franquicias Sell Out QUEST"/>
    <s v="FQ033 - Pasto Nariño"/>
    <x v="8"/>
    <s v="octubre"/>
    <n v="5"/>
    <d v="2026-10-05T00:00:00"/>
    <n v="87067735"/>
    <s v="ORTEGA  JEICK"/>
    <n v="33"/>
    <n v="0"/>
    <n v="2099375"/>
  </r>
  <r>
    <s v="Franquicias Sell Out QUEST"/>
    <s v="FQ033 - Pasto Nariño"/>
    <x v="8"/>
    <s v="octubre"/>
    <n v="6"/>
    <d v="2026-10-06T00:00:00"/>
    <m/>
    <m/>
    <n v="0"/>
    <n v="3836679"/>
    <n v="0"/>
  </r>
  <r>
    <s v="Franquicias Sell Out QUEST"/>
    <s v="FQ033 - Pasto Nariño"/>
    <x v="8"/>
    <s v="octubre"/>
    <n v="6"/>
    <d v="2026-10-06T00:00:00"/>
    <n v="5168766"/>
    <s v="RODRIGUEZ  NILSAN"/>
    <n v="18"/>
    <n v="0"/>
    <n v="1062270"/>
  </r>
  <r>
    <s v="Franquicias Sell Out QUEST"/>
    <s v="FQ033 - Pasto Nariño"/>
    <x v="8"/>
    <s v="octubre"/>
    <n v="6"/>
    <d v="2026-10-06T00:00:00"/>
    <n v="87067735"/>
    <s v="ORTEGA  JEICK"/>
    <n v="32"/>
    <n v="0"/>
    <n v="2376555"/>
  </r>
  <r>
    <s v="Franquicias Sell Out QUEST"/>
    <s v="FQ033 - Pasto Nariño"/>
    <x v="8"/>
    <s v="octubre"/>
    <n v="7"/>
    <d v="2026-10-07T00:00:00"/>
    <m/>
    <m/>
    <n v="0"/>
    <n v="1666742"/>
    <n v="0"/>
  </r>
  <r>
    <s v="Franquicias Sell Out QUEST"/>
    <s v="FQ033 - Pasto Nariño"/>
    <x v="8"/>
    <s v="octubre"/>
    <n v="7"/>
    <d v="2026-10-07T00:00:00"/>
    <n v="5168766"/>
    <s v="RODRIGUEZ  NILSAN"/>
    <n v="24"/>
    <n v="0"/>
    <n v="1738363"/>
  </r>
  <r>
    <s v="Franquicias Sell Out QUEST"/>
    <s v="FQ033 - Pasto Nariño"/>
    <x v="8"/>
    <s v="octubre"/>
    <n v="7"/>
    <d v="2026-10-07T00:00:00"/>
    <n v="87067735"/>
    <s v="ORTEGA  JEICK"/>
    <n v="19"/>
    <n v="0"/>
    <n v="1137817"/>
  </r>
  <r>
    <s v="Franquicias Sell Out QUEST"/>
    <s v="FQ038 - Tumaco - Nariño"/>
    <x v="8"/>
    <s v="septiembre"/>
    <n v="23"/>
    <d v="2026-09-23T00:00:00"/>
    <m/>
    <m/>
    <n v="0"/>
    <n v="5339560"/>
    <n v="0"/>
  </r>
  <r>
    <s v="Franquicias Sell Out QUEST"/>
    <s v="FQ038 - Tumaco - Nariño"/>
    <x v="8"/>
    <s v="septiembre"/>
    <n v="23"/>
    <d v="2026-09-23T00:00:00"/>
    <n v="1059900042"/>
    <s v="MONTAÑO  ESTEFANIA"/>
    <n v="146"/>
    <n v="0"/>
    <n v="7886684"/>
  </r>
  <r>
    <s v="Franquicias Sell Out QUEST"/>
    <s v="FQ038 - Tumaco - Nariño"/>
    <x v="8"/>
    <s v="septiembre"/>
    <n v="24"/>
    <d v="2026-09-24T00:00:00"/>
    <m/>
    <m/>
    <n v="0"/>
    <n v="13809127"/>
    <n v="0"/>
  </r>
  <r>
    <s v="Franquicias Sell Out QUEST"/>
    <s v="FQ038 - Tumaco - Nariño"/>
    <x v="8"/>
    <s v="septiembre"/>
    <n v="24"/>
    <d v="2026-09-24T00:00:00"/>
    <n v="1059900042"/>
    <s v="MONTAÑO  ESTEFANIA"/>
    <n v="283"/>
    <n v="0"/>
    <n v="16441902"/>
  </r>
  <r>
    <s v="Franquicias Sell Out QUEST"/>
    <s v="FQ038 - Tumaco - Nariño"/>
    <x v="8"/>
    <s v="septiembre"/>
    <n v="25"/>
    <d v="2026-09-25T00:00:00"/>
    <m/>
    <m/>
    <n v="0"/>
    <n v="14748902"/>
    <n v="0"/>
  </r>
  <r>
    <s v="Franquicias Sell Out QUEST"/>
    <s v="FQ038 - Tumaco - Nariño"/>
    <x v="8"/>
    <s v="septiembre"/>
    <n v="25"/>
    <d v="2026-09-25T00:00:00"/>
    <n v="1059900042"/>
    <s v="MONTAÑO  ESTEFANIA"/>
    <n v="351"/>
    <n v="0"/>
    <n v="19340306"/>
  </r>
  <r>
    <s v="Franquicias Sell Out QUEST"/>
    <s v="FQ038 - Tumaco - Nariño"/>
    <x v="8"/>
    <s v="septiembre"/>
    <n v="26"/>
    <d v="2026-09-26T00:00:00"/>
    <m/>
    <m/>
    <n v="0"/>
    <n v="18597992"/>
    <n v="0"/>
  </r>
  <r>
    <s v="Franquicias Sell Out QUEST"/>
    <s v="FQ038 - Tumaco - Nariño"/>
    <x v="8"/>
    <s v="septiembre"/>
    <n v="26"/>
    <d v="2026-09-26T00:00:00"/>
    <n v="87101928"/>
    <s v="CHALAPUD  JAIRO"/>
    <n v="1"/>
    <n v="0"/>
    <n v="62983"/>
  </r>
  <r>
    <s v="Franquicias Sell Out QUEST"/>
    <s v="FQ038 - Tumaco - Nariño"/>
    <x v="8"/>
    <s v="septiembre"/>
    <n v="26"/>
    <d v="2026-09-26T00:00:00"/>
    <n v="1059900042"/>
    <s v="MONTAÑO  ESTEFANIA"/>
    <n v="233"/>
    <n v="0"/>
    <n v="12956614"/>
  </r>
  <r>
    <s v="Franquicias Sell Out QUEST"/>
    <s v="FQ038 - Tumaco - Nariño"/>
    <x v="8"/>
    <s v="septiembre"/>
    <n v="27"/>
    <d v="2026-09-27T00:00:00"/>
    <m/>
    <m/>
    <n v="0"/>
    <n v="9819566"/>
    <n v="0"/>
  </r>
  <r>
    <s v="Franquicias Sell Out QUEST"/>
    <s v="FQ038 - Tumaco - Nariño"/>
    <x v="8"/>
    <s v="septiembre"/>
    <n v="27"/>
    <d v="2026-09-27T00:00:00"/>
    <n v="1059900042"/>
    <s v="MONTAÑO  ESTEFANIA"/>
    <n v="48"/>
    <n v="0"/>
    <n v="2550419"/>
  </r>
  <r>
    <s v="Franquicias Sell Out QUEST"/>
    <s v="FQ038 - Tumaco - Nariño"/>
    <x v="8"/>
    <s v="septiembre"/>
    <n v="28"/>
    <d v="2026-09-28T00:00:00"/>
    <m/>
    <m/>
    <n v="0"/>
    <n v="8050973"/>
    <n v="0"/>
  </r>
  <r>
    <s v="Franquicias Sell Out QUEST"/>
    <s v="FQ038 - Tumaco - Nariño"/>
    <x v="8"/>
    <s v="septiembre"/>
    <n v="28"/>
    <d v="2026-09-28T00:00:00"/>
    <n v="1059900042"/>
    <s v="MONTAÑO  ESTEFANIA"/>
    <n v="123"/>
    <n v="0"/>
    <n v="7154334"/>
  </r>
  <r>
    <s v="Franquicias Sell Out QUEST"/>
    <s v="FQ038 - Tumaco - Nariño"/>
    <x v="8"/>
    <s v="septiembre"/>
    <n v="29"/>
    <d v="2026-09-29T00:00:00"/>
    <m/>
    <m/>
    <n v="0"/>
    <n v="8950303"/>
    <n v="0"/>
  </r>
  <r>
    <s v="Franquicias Sell Out QUEST"/>
    <s v="FQ038 - Tumaco - Nariño"/>
    <x v="8"/>
    <s v="septiembre"/>
    <n v="29"/>
    <d v="2026-09-29T00:00:00"/>
    <n v="1059900042"/>
    <s v="MONTAÑO  ESTEFANIA"/>
    <n v="133"/>
    <n v="0"/>
    <n v="7670516"/>
  </r>
  <r>
    <s v="Franquicias Sell Out QUEST"/>
    <s v="FQ038 - Tumaco - Nariño"/>
    <x v="8"/>
    <s v="septiembre"/>
    <n v="30"/>
    <d v="2026-09-30T00:00:00"/>
    <m/>
    <m/>
    <n v="0"/>
    <n v="9478653"/>
    <n v="0"/>
  </r>
  <r>
    <s v="Franquicias Sell Out QUEST"/>
    <s v="FQ038 - Tumaco - Nariño"/>
    <x v="8"/>
    <s v="septiembre"/>
    <n v="30"/>
    <d v="2026-09-30T00:00:00"/>
    <n v="1059900042"/>
    <s v="MONTAÑO  ESTEFANIA"/>
    <n v="155"/>
    <n v="0"/>
    <n v="8446823"/>
  </r>
  <r>
    <s v="Franquicias Sell Out QUEST"/>
    <s v="FQ038 - Tumaco - Nariño"/>
    <x v="8"/>
    <s v="octubre"/>
    <n v="1"/>
    <d v="2026-10-01T00:00:00"/>
    <m/>
    <m/>
    <n v="0"/>
    <n v="16457617"/>
    <n v="0"/>
  </r>
  <r>
    <s v="Franquicias Sell Out QUEST"/>
    <s v="FQ038 - Tumaco - Nariño"/>
    <x v="8"/>
    <s v="octubre"/>
    <n v="1"/>
    <d v="2026-10-01T00:00:00"/>
    <n v="59682208"/>
    <s v="GUERRERO  AMANDA"/>
    <n v="4"/>
    <n v="0"/>
    <n v="205714"/>
  </r>
  <r>
    <s v="Franquicias Sell Out QUEST"/>
    <s v="FQ038 - Tumaco - Nariño"/>
    <x v="8"/>
    <s v="octubre"/>
    <n v="1"/>
    <d v="2026-10-01T00:00:00"/>
    <n v="1059900042"/>
    <s v="MONTAÑO  ESTEFANIA"/>
    <n v="186"/>
    <n v="0"/>
    <n v="10645093"/>
  </r>
  <r>
    <s v="Franquicias Sell Out QUEST"/>
    <s v="FQ038 - Tumaco - Nariño"/>
    <x v="8"/>
    <s v="octubre"/>
    <n v="2"/>
    <d v="2026-10-02T00:00:00"/>
    <m/>
    <m/>
    <n v="0"/>
    <n v="18594521"/>
    <n v="0"/>
  </r>
  <r>
    <s v="Franquicias Sell Out QUEST"/>
    <s v="FQ038 - Tumaco - Nariño"/>
    <x v="8"/>
    <s v="octubre"/>
    <n v="2"/>
    <d v="2026-10-02T00:00:00"/>
    <n v="1059900042"/>
    <s v="MONTAÑO  ESTEFANIA"/>
    <n v="137"/>
    <n v="0"/>
    <n v="7546478"/>
  </r>
  <r>
    <s v="Franquicias Sell Out QUEST"/>
    <s v="FQ038 - Tumaco - Nariño"/>
    <x v="8"/>
    <s v="octubre"/>
    <n v="3"/>
    <d v="2026-10-03T00:00:00"/>
    <m/>
    <m/>
    <n v="0"/>
    <n v="16432875"/>
    <n v="0"/>
  </r>
  <r>
    <s v="Franquicias Sell Out QUEST"/>
    <s v="FQ038 - Tumaco - Nariño"/>
    <x v="8"/>
    <s v="octubre"/>
    <n v="3"/>
    <d v="2026-10-03T00:00:00"/>
    <n v="1059900042"/>
    <s v="MONTAÑO  ESTEFANIA"/>
    <n v="266"/>
    <n v="0"/>
    <n v="15388327"/>
  </r>
  <r>
    <s v="Franquicias Sell Out QUEST"/>
    <s v="FQ038 - Tumaco - Nariño"/>
    <x v="8"/>
    <s v="octubre"/>
    <n v="4"/>
    <d v="2026-10-04T00:00:00"/>
    <m/>
    <m/>
    <n v="0"/>
    <n v="7124265"/>
    <n v="0"/>
  </r>
  <r>
    <s v="Franquicias Sell Out QUEST"/>
    <s v="FQ038 - Tumaco - Nariño"/>
    <x v="8"/>
    <s v="octubre"/>
    <n v="4"/>
    <d v="2026-10-04T00:00:00"/>
    <n v="1059900042"/>
    <s v="MONTAÑO  ESTEFANIA"/>
    <n v="53"/>
    <n v="0"/>
    <n v="3260751"/>
  </r>
  <r>
    <s v="Franquicias Sell Out QUEST"/>
    <s v="FQ038 - Tumaco - Nariño"/>
    <x v="8"/>
    <s v="octubre"/>
    <n v="5"/>
    <d v="2026-10-05T00:00:00"/>
    <m/>
    <m/>
    <n v="0"/>
    <n v="7418838"/>
    <n v="0"/>
  </r>
  <r>
    <s v="Franquicias Sell Out QUEST"/>
    <s v="FQ038 - Tumaco - Nariño"/>
    <x v="8"/>
    <s v="octubre"/>
    <n v="5"/>
    <d v="2026-10-05T00:00:00"/>
    <n v="1059900042"/>
    <s v="MONTAÑO  ESTEFANIA"/>
    <n v="184"/>
    <n v="0"/>
    <n v="10628656"/>
  </r>
  <r>
    <s v="Franquicias Sell Out QUEST"/>
    <s v="FQ038 - Tumaco - Nariño"/>
    <x v="8"/>
    <s v="octubre"/>
    <n v="6"/>
    <d v="2026-10-06T00:00:00"/>
    <m/>
    <m/>
    <n v="0"/>
    <n v="5330942"/>
    <n v="0"/>
  </r>
  <r>
    <s v="Franquicias Sell Out QUEST"/>
    <s v="FQ038 - Tumaco - Nariño"/>
    <x v="8"/>
    <s v="octubre"/>
    <n v="6"/>
    <d v="2026-10-06T00:00:00"/>
    <n v="1059900042"/>
    <s v="MONTAÑO  ESTEFANIA"/>
    <n v="66"/>
    <n v="0"/>
    <n v="4110594"/>
  </r>
  <r>
    <s v="Franquicias Sell Out QUEST"/>
    <s v="FQ038 - Tumaco - Nariño"/>
    <x v="8"/>
    <s v="octubre"/>
    <n v="7"/>
    <d v="2026-10-07T00:00:00"/>
    <m/>
    <m/>
    <n v="0"/>
    <n v="2116887"/>
    <n v="0"/>
  </r>
  <r>
    <s v="Franquicias Sell Out QUEST"/>
    <s v="FQ038 - Tumaco - Nariño"/>
    <x v="8"/>
    <s v="octubre"/>
    <n v="7"/>
    <d v="2026-10-07T00:00:00"/>
    <n v="1059900042"/>
    <s v="MONTAÑO  ESTEFANIA"/>
    <n v="58"/>
    <n v="0"/>
    <n v="3379543"/>
  </r>
  <r>
    <s v="Franquicias Sell Out QUEST"/>
    <s v="FQ044- Puerto Asis - Putumayo"/>
    <x v="8"/>
    <s v="septiembre"/>
    <n v="23"/>
    <d v="2026-09-23T00:00:00"/>
    <m/>
    <m/>
    <n v="0"/>
    <n v="3725643"/>
    <n v="0"/>
  </r>
  <r>
    <s v="Franquicias Sell Out QUEST"/>
    <s v="FQ044- Puerto Asis - Putumayo"/>
    <x v="8"/>
    <s v="septiembre"/>
    <n v="23"/>
    <d v="2026-09-23T00:00:00"/>
    <n v="52448582"/>
    <s v="SOTO CHACON LUZ ANDREA"/>
    <n v="268"/>
    <n v="0"/>
    <n v="14881614"/>
  </r>
  <r>
    <s v="Franquicias Sell Out QUEST"/>
    <s v="FQ044- Puerto Asis - Putumayo"/>
    <x v="8"/>
    <s v="septiembre"/>
    <n v="23"/>
    <d v="2026-09-23T00:00:00"/>
    <n v="1123207741"/>
    <s v="SALAZAR LASSO SHARON ANGELICA"/>
    <n v="152"/>
    <n v="0"/>
    <n v="8325631"/>
  </r>
  <r>
    <s v="Franquicias Sell Out QUEST"/>
    <s v="FQ044- Puerto Asis - Putumayo"/>
    <x v="8"/>
    <s v="septiembre"/>
    <n v="24"/>
    <d v="2026-09-24T00:00:00"/>
    <m/>
    <m/>
    <n v="0"/>
    <n v="9635223"/>
    <n v="0"/>
  </r>
  <r>
    <s v="Franquicias Sell Out QUEST"/>
    <s v="FQ044- Puerto Asis - Putumayo"/>
    <x v="8"/>
    <s v="septiembre"/>
    <n v="24"/>
    <d v="2026-09-24T00:00:00"/>
    <n v="52448582"/>
    <s v="SOTO CHACON LUZ ANDREA"/>
    <n v="209"/>
    <n v="0"/>
    <n v="10466024"/>
  </r>
  <r>
    <s v="Franquicias Sell Out QUEST"/>
    <s v="FQ044- Puerto Asis - Putumayo"/>
    <x v="8"/>
    <s v="septiembre"/>
    <n v="24"/>
    <d v="2026-09-24T00:00:00"/>
    <n v="1123207741"/>
    <s v="SALAZAR LASSO SHARON ANGELICA"/>
    <n v="64"/>
    <n v="0"/>
    <n v="3751558"/>
  </r>
  <r>
    <s v="Franquicias Sell Out QUEST"/>
    <s v="FQ044- Puerto Asis - Putumayo"/>
    <x v="8"/>
    <s v="septiembre"/>
    <n v="25"/>
    <d v="2026-09-25T00:00:00"/>
    <m/>
    <m/>
    <n v="0"/>
    <n v="10290942"/>
    <n v="0"/>
  </r>
  <r>
    <s v="Franquicias Sell Out QUEST"/>
    <s v="FQ044- Puerto Asis - Putumayo"/>
    <x v="8"/>
    <s v="septiembre"/>
    <n v="25"/>
    <d v="2026-09-25T00:00:00"/>
    <n v="52448582"/>
    <s v="SOTO CHACON LUZ ANDREA"/>
    <n v="114"/>
    <n v="0"/>
    <n v="6675847"/>
  </r>
  <r>
    <s v="Franquicias Sell Out QUEST"/>
    <s v="FQ044- Puerto Asis - Putumayo"/>
    <x v="8"/>
    <s v="septiembre"/>
    <n v="25"/>
    <d v="2026-09-25T00:00:00"/>
    <n v="1123207741"/>
    <s v="SALAZAR LASSO SHARON ANGELICA"/>
    <n v="108"/>
    <n v="0"/>
    <n v="5448847"/>
  </r>
  <r>
    <s v="Franquicias Sell Out QUEST"/>
    <s v="FQ044- Puerto Asis - Putumayo"/>
    <x v="8"/>
    <s v="septiembre"/>
    <n v="26"/>
    <d v="2026-09-26T00:00:00"/>
    <m/>
    <m/>
    <n v="0"/>
    <n v="12976620"/>
    <n v="0"/>
  </r>
  <r>
    <s v="Franquicias Sell Out QUEST"/>
    <s v="FQ044- Puerto Asis - Putumayo"/>
    <x v="8"/>
    <s v="septiembre"/>
    <n v="26"/>
    <d v="2026-09-26T00:00:00"/>
    <n v="52448582"/>
    <s v="SOTO CHACON LUZ ANDREA"/>
    <n v="189"/>
    <n v="0"/>
    <n v="10071398"/>
  </r>
  <r>
    <s v="Franquicias Sell Out QUEST"/>
    <s v="FQ044- Puerto Asis - Putumayo"/>
    <x v="8"/>
    <s v="septiembre"/>
    <n v="26"/>
    <d v="2026-09-26T00:00:00"/>
    <n v="1123207741"/>
    <s v="SALAZAR LASSO SHARON ANGELICA"/>
    <n v="129"/>
    <n v="0"/>
    <n v="6339040"/>
  </r>
  <r>
    <s v="Franquicias Sell Out QUEST"/>
    <s v="FQ044- Puerto Asis - Putumayo"/>
    <x v="8"/>
    <s v="septiembre"/>
    <n v="27"/>
    <d v="2026-09-27T00:00:00"/>
    <m/>
    <m/>
    <n v="0"/>
    <n v="6851532"/>
    <n v="0"/>
  </r>
  <r>
    <s v="Franquicias Sell Out QUEST"/>
    <s v="FQ044- Puerto Asis - Putumayo"/>
    <x v="8"/>
    <s v="septiembre"/>
    <n v="27"/>
    <d v="2026-09-27T00:00:00"/>
    <n v="52448582"/>
    <s v="SOTO CHACON LUZ ANDREA"/>
    <n v="39"/>
    <n v="0"/>
    <n v="2466724"/>
  </r>
  <r>
    <s v="Franquicias Sell Out QUEST"/>
    <s v="FQ044- Puerto Asis - Putumayo"/>
    <x v="8"/>
    <s v="septiembre"/>
    <n v="27"/>
    <d v="2026-09-27T00:00:00"/>
    <n v="1123207741"/>
    <s v="SALAZAR LASSO SHARON ANGELICA"/>
    <n v="195"/>
    <n v="0"/>
    <n v="11081734"/>
  </r>
  <r>
    <s v="Franquicias Sell Out QUEST"/>
    <s v="FQ044- Puerto Asis - Putumayo"/>
    <x v="8"/>
    <s v="septiembre"/>
    <n v="28"/>
    <d v="2026-09-28T00:00:00"/>
    <m/>
    <m/>
    <n v="0"/>
    <n v="5617512"/>
    <n v="0"/>
  </r>
  <r>
    <s v="Franquicias Sell Out QUEST"/>
    <s v="FQ044- Puerto Asis - Putumayo"/>
    <x v="8"/>
    <s v="septiembre"/>
    <n v="28"/>
    <d v="2026-09-28T00:00:00"/>
    <n v="52448582"/>
    <s v="SOTO CHACON LUZ ANDREA"/>
    <n v="44"/>
    <n v="0"/>
    <n v="2191224"/>
  </r>
  <r>
    <s v="Franquicias Sell Out QUEST"/>
    <s v="FQ044- Puerto Asis - Putumayo"/>
    <x v="8"/>
    <s v="septiembre"/>
    <n v="28"/>
    <d v="2026-09-28T00:00:00"/>
    <n v="1123207741"/>
    <s v="SALAZAR LASSO SHARON ANGELICA"/>
    <n v="99"/>
    <n v="0"/>
    <n v="5337987"/>
  </r>
  <r>
    <s v="Franquicias Sell Out QUEST"/>
    <s v="FQ044- Puerto Asis - Putumayo"/>
    <x v="8"/>
    <s v="septiembre"/>
    <n v="29"/>
    <d v="2026-09-29T00:00:00"/>
    <m/>
    <m/>
    <n v="0"/>
    <n v="6245011"/>
    <n v="0"/>
  </r>
  <r>
    <s v="Franquicias Sell Out QUEST"/>
    <s v="FQ044- Puerto Asis - Putumayo"/>
    <x v="8"/>
    <s v="septiembre"/>
    <n v="29"/>
    <d v="2026-09-29T00:00:00"/>
    <n v="52448582"/>
    <s v="SOTO CHACON LUZ ANDREA"/>
    <n v="72"/>
    <n v="0"/>
    <n v="3442063"/>
  </r>
  <r>
    <s v="Franquicias Sell Out QUEST"/>
    <s v="FQ044- Puerto Asis - Putumayo"/>
    <x v="8"/>
    <s v="septiembre"/>
    <n v="29"/>
    <d v="2026-09-29T00:00:00"/>
    <n v="1120097323"/>
    <s v="LONDOÑO GOMEZ BRAHYMAN ANDRES"/>
    <n v="-1"/>
    <n v="0"/>
    <n v="-41933"/>
  </r>
  <r>
    <s v="Franquicias Sell Out QUEST"/>
    <s v="FQ044- Puerto Asis - Putumayo"/>
    <x v="8"/>
    <s v="septiembre"/>
    <n v="29"/>
    <d v="2026-09-29T00:00:00"/>
    <n v="1123207741"/>
    <s v="SALAZAR LASSO SHARON ANGELICA"/>
    <n v="95"/>
    <n v="0"/>
    <n v="4697527"/>
  </r>
  <r>
    <s v="Franquicias Sell Out QUEST"/>
    <s v="FQ044- Puerto Asis - Putumayo"/>
    <x v="8"/>
    <s v="septiembre"/>
    <n v="30"/>
    <d v="2026-09-30T00:00:00"/>
    <m/>
    <m/>
    <n v="0"/>
    <n v="6613664"/>
    <n v="0"/>
  </r>
  <r>
    <s v="Franquicias Sell Out QUEST"/>
    <s v="FQ044- Puerto Asis - Putumayo"/>
    <x v="8"/>
    <s v="septiembre"/>
    <n v="30"/>
    <d v="2026-09-30T00:00:00"/>
    <n v="52448582"/>
    <s v="SOTO CHACON LUZ ANDREA"/>
    <n v="31"/>
    <n v="0"/>
    <n v="1603530"/>
  </r>
  <r>
    <s v="Franquicias Sell Out QUEST"/>
    <s v="FQ044- Puerto Asis - Putumayo"/>
    <x v="8"/>
    <s v="septiembre"/>
    <n v="30"/>
    <d v="2026-09-30T00:00:00"/>
    <n v="1123207741"/>
    <s v="SALAZAR LASSO SHARON ANGELICA"/>
    <n v="145"/>
    <n v="0"/>
    <n v="7165768"/>
  </r>
  <r>
    <s v="Franquicias Sell Out QUEST"/>
    <s v="FQ044- Puerto Asis - Putumayo"/>
    <x v="8"/>
    <s v="octubre"/>
    <n v="1"/>
    <d v="2026-10-01T00:00:00"/>
    <m/>
    <m/>
    <n v="0"/>
    <n v="10829691"/>
    <n v="0"/>
  </r>
  <r>
    <s v="Franquicias Sell Out QUEST"/>
    <s v="FQ044- Puerto Asis - Putumayo"/>
    <x v="8"/>
    <s v="octubre"/>
    <n v="1"/>
    <d v="2026-10-01T00:00:00"/>
    <n v="52448582"/>
    <s v="SOTO CHACON LUZ ANDREA"/>
    <n v="81"/>
    <n v="0"/>
    <n v="4189542"/>
  </r>
  <r>
    <s v="Franquicias Sell Out QUEST"/>
    <s v="FQ044- Puerto Asis - Putumayo"/>
    <x v="8"/>
    <s v="octubre"/>
    <n v="1"/>
    <d v="2026-10-01T00:00:00"/>
    <n v="1123207741"/>
    <s v="SALAZAR LASSO SHARON ANGELICA"/>
    <n v="87"/>
    <n v="0"/>
    <n v="4485551"/>
  </r>
  <r>
    <s v="Franquicias Sell Out QUEST"/>
    <s v="FQ044- Puerto Asis - Putumayo"/>
    <x v="8"/>
    <s v="octubre"/>
    <n v="2"/>
    <d v="2026-10-02T00:00:00"/>
    <m/>
    <m/>
    <n v="0"/>
    <n v="8889522"/>
    <n v="0"/>
  </r>
  <r>
    <s v="Franquicias Sell Out QUEST"/>
    <s v="FQ044- Puerto Asis - Putumayo"/>
    <x v="8"/>
    <s v="octubre"/>
    <n v="2"/>
    <d v="2026-10-02T00:00:00"/>
    <n v="52448582"/>
    <s v="SOTO CHACON LUZ ANDREA"/>
    <n v="76"/>
    <n v="0"/>
    <n v="3643407"/>
  </r>
  <r>
    <s v="Franquicias Sell Out QUEST"/>
    <s v="FQ044- Puerto Asis - Putumayo"/>
    <x v="8"/>
    <s v="octubre"/>
    <n v="2"/>
    <d v="2026-10-02T00:00:00"/>
    <n v="1123207741"/>
    <s v="SALAZAR LASSO SHARON ANGELICA"/>
    <n v="107"/>
    <n v="0"/>
    <n v="5461513"/>
  </r>
  <r>
    <s v="Franquicias Sell Out QUEST"/>
    <s v="FQ044- Puerto Asis - Putumayo"/>
    <x v="8"/>
    <s v="octubre"/>
    <n v="3"/>
    <d v="2026-10-03T00:00:00"/>
    <m/>
    <m/>
    <n v="0"/>
    <n v="10054378"/>
    <n v="0"/>
  </r>
  <r>
    <s v="Franquicias Sell Out QUEST"/>
    <s v="FQ044- Puerto Asis - Putumayo"/>
    <x v="8"/>
    <s v="octubre"/>
    <n v="3"/>
    <d v="2026-10-03T00:00:00"/>
    <n v="52448582"/>
    <s v="SOTO CHACON LUZ ANDREA"/>
    <n v="170"/>
    <n v="0"/>
    <n v="7666127"/>
  </r>
  <r>
    <s v="Franquicias Sell Out QUEST"/>
    <s v="FQ044- Puerto Asis - Putumayo"/>
    <x v="8"/>
    <s v="octubre"/>
    <n v="3"/>
    <d v="2026-10-03T00:00:00"/>
    <n v="1123207741"/>
    <s v="SALAZAR LASSO SHARON ANGELICA"/>
    <n v="124"/>
    <n v="0"/>
    <n v="5553610"/>
  </r>
  <r>
    <s v="Franquicias Sell Out QUEST"/>
    <s v="FQ044- Puerto Asis - Putumayo"/>
    <x v="8"/>
    <s v="octubre"/>
    <n v="4"/>
    <d v="2026-10-04T00:00:00"/>
    <m/>
    <m/>
    <n v="0"/>
    <n v="2909815"/>
    <n v="0"/>
  </r>
  <r>
    <s v="Franquicias Sell Out QUEST"/>
    <s v="FQ044- Puerto Asis - Putumayo"/>
    <x v="8"/>
    <s v="octubre"/>
    <n v="4"/>
    <d v="2026-10-04T00:00:00"/>
    <n v="52448582"/>
    <s v="SOTO CHACON LUZ ANDREA"/>
    <n v="122"/>
    <n v="0"/>
    <n v="5241641"/>
  </r>
  <r>
    <s v="Franquicias Sell Out QUEST"/>
    <s v="FQ044- Puerto Asis - Putumayo"/>
    <x v="8"/>
    <s v="octubre"/>
    <n v="4"/>
    <d v="2026-10-04T00:00:00"/>
    <n v="1123207741"/>
    <s v="SALAZAR LASSO SHARON ANGELICA"/>
    <n v="-4"/>
    <n v="0"/>
    <n v="-193109"/>
  </r>
  <r>
    <s v="Franquicias Sell Out QUEST"/>
    <s v="FQ044- Puerto Asis - Putumayo"/>
    <x v="8"/>
    <s v="octubre"/>
    <n v="5"/>
    <d v="2026-10-05T00:00:00"/>
    <m/>
    <m/>
    <n v="0"/>
    <n v="7581556"/>
    <n v="0"/>
  </r>
  <r>
    <s v="Franquicias Sell Out QUEST"/>
    <s v="FQ044- Puerto Asis - Putumayo"/>
    <x v="8"/>
    <s v="octubre"/>
    <n v="5"/>
    <d v="2026-10-05T00:00:00"/>
    <n v="52448582"/>
    <s v="SOTO CHACON LUZ ANDREA"/>
    <n v="149"/>
    <n v="0"/>
    <n v="5949606"/>
  </r>
  <r>
    <s v="Franquicias Sell Out QUEST"/>
    <s v="FQ044- Puerto Asis - Putumayo"/>
    <x v="8"/>
    <s v="octubre"/>
    <n v="5"/>
    <d v="2026-10-05T00:00:00"/>
    <n v="1123207741"/>
    <s v="SALAZAR LASSO SHARON ANGELICA"/>
    <n v="-7"/>
    <n v="0"/>
    <n v="-434168"/>
  </r>
  <r>
    <s v="Franquicias Sell Out QUEST"/>
    <s v="FQ044- Puerto Asis - Putumayo"/>
    <x v="8"/>
    <s v="octubre"/>
    <n v="6"/>
    <d v="2026-10-06T00:00:00"/>
    <m/>
    <m/>
    <n v="0"/>
    <n v="5065602"/>
    <n v="0"/>
  </r>
  <r>
    <s v="Franquicias Sell Out QUEST"/>
    <s v="FQ044- Puerto Asis - Putumayo"/>
    <x v="8"/>
    <s v="octubre"/>
    <n v="6"/>
    <d v="2026-10-06T00:00:00"/>
    <n v="52448582"/>
    <s v="SOTO CHACON LUZ ANDREA"/>
    <n v="35"/>
    <n v="0"/>
    <n v="1456012"/>
  </r>
  <r>
    <s v="Franquicias Sell Out QUEST"/>
    <s v="FQ044- Puerto Asis - Putumayo"/>
    <x v="8"/>
    <s v="octubre"/>
    <n v="6"/>
    <d v="2026-10-06T00:00:00"/>
    <n v="1123207741"/>
    <s v="SALAZAR LASSO SHARON ANGELICA"/>
    <n v="54"/>
    <n v="0"/>
    <n v="2465628"/>
  </r>
  <r>
    <s v="Franquicias Sell Out QUEST"/>
    <s v="FQ044- Puerto Asis - Putumayo"/>
    <x v="8"/>
    <s v="octubre"/>
    <n v="7"/>
    <d v="2026-10-07T00:00:00"/>
    <m/>
    <m/>
    <n v="0"/>
    <n v="2656096"/>
    <n v="0"/>
  </r>
  <r>
    <s v="Franquicias Sell Out QUEST"/>
    <s v="FQ044- Puerto Asis - Putumayo"/>
    <x v="8"/>
    <s v="octubre"/>
    <n v="7"/>
    <d v="2026-10-07T00:00:00"/>
    <n v="52448582"/>
    <s v="SOTO CHACON LUZ ANDREA"/>
    <n v="0"/>
    <n v="0"/>
    <n v="83992"/>
  </r>
  <r>
    <s v="Franquicias Sell Out QUEST"/>
    <s v="FQ044- Puerto Asis - Putumayo"/>
    <x v="8"/>
    <s v="octubre"/>
    <n v="7"/>
    <d v="2026-10-07T00:00:00"/>
    <n v="1123207741"/>
    <s v="SALAZAR LASSO SHARON ANGELICA"/>
    <n v="136"/>
    <n v="0"/>
    <n v="6656476"/>
  </r>
  <r>
    <s v="Franquicias Sell Out QUEST"/>
    <s v="FQ047 Mocoa - Putumayo"/>
    <x v="8"/>
    <s v="septiembre"/>
    <n v="23"/>
    <d v="2026-09-23T00:00:00"/>
    <m/>
    <m/>
    <n v="0"/>
    <n v="6997650"/>
    <n v="0"/>
  </r>
  <r>
    <s v="Franquicias Sell Out QUEST"/>
    <s v="FQ047 Mocoa - Putumayo"/>
    <x v="8"/>
    <s v="septiembre"/>
    <n v="23"/>
    <d v="2026-09-23T00:00:00"/>
    <n v="69006846"/>
    <s v="ORDOÑEZ JARAMILLO DEISY YAMILETH"/>
    <n v="4"/>
    <n v="0"/>
    <n v="193109"/>
  </r>
  <r>
    <s v="Franquicias Sell Out QUEST"/>
    <s v="FQ047 Mocoa - Putumayo"/>
    <x v="8"/>
    <s v="septiembre"/>
    <n v="23"/>
    <d v="2026-09-23T00:00:00"/>
    <n v="98400453"/>
    <s v="ORODÑEZ JARAMILLO FAVIAN"/>
    <n v="1"/>
    <n v="0"/>
    <n v="33572"/>
  </r>
  <r>
    <s v="Franquicias Sell Out QUEST"/>
    <s v="FQ047 Mocoa - Putumayo"/>
    <x v="8"/>
    <s v="septiembre"/>
    <n v="23"/>
    <d v="2026-09-23T00:00:00"/>
    <n v="1006180343"/>
    <s v="CORTES SINISTERRA LUISA MARIA"/>
    <n v="74"/>
    <n v="0"/>
    <n v="3379246"/>
  </r>
  <r>
    <s v="Franquicias Sell Out QUEST"/>
    <s v="FQ047 Mocoa - Putumayo"/>
    <x v="8"/>
    <s v="septiembre"/>
    <n v="23"/>
    <d v="2026-09-23T00:00:00"/>
    <n v="1006849022"/>
    <s v="ENRRIQUEZ TORRES ALEJANDRA"/>
    <n v="26"/>
    <n v="0"/>
    <n v="1414916"/>
  </r>
  <r>
    <s v="Franquicias Sell Out QUEST"/>
    <s v="FQ047 Mocoa - Putumayo"/>
    <x v="8"/>
    <s v="septiembre"/>
    <n v="23"/>
    <d v="2026-09-23T00:00:00"/>
    <n v="1006947645"/>
    <s v="CHAPID CONZÁLEZ JENNIFER ALEJANDRA"/>
    <n v="115"/>
    <n v="0"/>
    <n v="6295595"/>
  </r>
  <r>
    <s v="Franquicias Sell Out QUEST"/>
    <s v="FQ047 Mocoa - Putumayo"/>
    <x v="8"/>
    <s v="septiembre"/>
    <n v="23"/>
    <d v="2026-09-23T00:00:00"/>
    <n v="1085305990"/>
    <s v="SOLARTE ERAZO KAREN JOHANA"/>
    <n v="130"/>
    <n v="0"/>
    <n v="6232062"/>
  </r>
  <r>
    <s v="Franquicias Sell Out QUEST"/>
    <s v="FQ047 Mocoa - Putumayo"/>
    <x v="8"/>
    <s v="septiembre"/>
    <n v="23"/>
    <d v="2026-09-23T00:00:00"/>
    <n v="1124866497"/>
    <s v="MARTINEZ GALLARDO HEIDY NERIETH"/>
    <n v="78"/>
    <n v="0"/>
    <n v="4221525"/>
  </r>
  <r>
    <s v="Franquicias Sell Out QUEST"/>
    <s v="FQ047 Mocoa - Putumayo"/>
    <x v="8"/>
    <s v="septiembre"/>
    <n v="23"/>
    <d v="2026-09-23T00:00:00"/>
    <n v="1127077969"/>
    <s v="ITER MESTIZO IRMA RUBY"/>
    <n v="157"/>
    <n v="0"/>
    <n v="8585842"/>
  </r>
  <r>
    <s v="Franquicias Sell Out QUEST"/>
    <s v="FQ047 Mocoa - Putumayo"/>
    <x v="8"/>
    <s v="septiembre"/>
    <n v="24"/>
    <d v="2026-09-24T00:00:00"/>
    <m/>
    <m/>
    <n v="0"/>
    <n v="18097259"/>
    <n v="0"/>
  </r>
  <r>
    <s v="Franquicias Sell Out QUEST"/>
    <s v="FQ047 Mocoa - Putumayo"/>
    <x v="8"/>
    <s v="septiembre"/>
    <n v="24"/>
    <d v="2026-09-24T00:00:00"/>
    <n v="69006846"/>
    <s v="ORDOÑEZ JARAMILLO DEISY YAMILETH"/>
    <n v="22"/>
    <n v="0"/>
    <n v="1263868"/>
  </r>
  <r>
    <s v="Franquicias Sell Out QUEST"/>
    <s v="FQ047 Mocoa - Putumayo"/>
    <x v="8"/>
    <s v="septiembre"/>
    <n v="24"/>
    <d v="2026-09-24T00:00:00"/>
    <n v="1006180343"/>
    <s v="CORTES SINISTERRA LUISA MARIA"/>
    <n v="59"/>
    <n v="0"/>
    <n v="3064755"/>
  </r>
  <r>
    <s v="Franquicias Sell Out QUEST"/>
    <s v="FQ047 Mocoa - Putumayo"/>
    <x v="8"/>
    <s v="septiembre"/>
    <n v="24"/>
    <d v="2026-09-24T00:00:00"/>
    <n v="1006849022"/>
    <s v="ENRRIQUEZ TORRES ALEJANDRA"/>
    <n v="57"/>
    <n v="0"/>
    <n v="3090041"/>
  </r>
  <r>
    <s v="Franquicias Sell Out QUEST"/>
    <s v="FQ047 Mocoa - Putumayo"/>
    <x v="8"/>
    <s v="septiembre"/>
    <n v="24"/>
    <d v="2026-09-24T00:00:00"/>
    <n v="1006947645"/>
    <s v="CHAPID CONZÁLEZ JENNIFER ALEJANDRA"/>
    <n v="80"/>
    <n v="0"/>
    <n v="4448324"/>
  </r>
  <r>
    <s v="Franquicias Sell Out QUEST"/>
    <s v="FQ047 Mocoa - Putumayo"/>
    <x v="8"/>
    <s v="septiembre"/>
    <n v="24"/>
    <d v="2026-09-24T00:00:00"/>
    <n v="1085305990"/>
    <s v="SOLARTE ERAZO KAREN JOHANA"/>
    <n v="91"/>
    <n v="0"/>
    <n v="4439506"/>
  </r>
  <r>
    <s v="Franquicias Sell Out QUEST"/>
    <s v="FQ047 Mocoa - Putumayo"/>
    <x v="8"/>
    <s v="septiembre"/>
    <n v="24"/>
    <d v="2026-09-24T00:00:00"/>
    <n v="1124866497"/>
    <s v="MARTINEZ GALLARDO HEIDY NERIETH"/>
    <n v="91"/>
    <n v="0"/>
    <n v="4981476"/>
  </r>
  <r>
    <s v="Franquicias Sell Out QUEST"/>
    <s v="FQ047 Mocoa - Putumayo"/>
    <x v="8"/>
    <s v="septiembre"/>
    <n v="24"/>
    <d v="2026-09-24T00:00:00"/>
    <n v="1127077969"/>
    <s v="ITER MESTIZO IRMA RUBY"/>
    <n v="79"/>
    <n v="0"/>
    <n v="4933655"/>
  </r>
  <r>
    <s v="Franquicias Sell Out QUEST"/>
    <s v="FQ047 Mocoa - Putumayo"/>
    <x v="8"/>
    <s v="septiembre"/>
    <n v="25"/>
    <d v="2026-09-25T00:00:00"/>
    <m/>
    <m/>
    <n v="0"/>
    <n v="19328862"/>
    <n v="0"/>
  </r>
  <r>
    <s v="Franquicias Sell Out QUEST"/>
    <s v="FQ047 Mocoa - Putumayo"/>
    <x v="8"/>
    <s v="septiembre"/>
    <n v="25"/>
    <d v="2026-09-25T00:00:00"/>
    <n v="69006846"/>
    <s v="ORDOÑEZ JARAMILLO DEISY YAMILETH"/>
    <n v="62"/>
    <n v="0"/>
    <n v="3140260"/>
  </r>
  <r>
    <s v="Franquicias Sell Out QUEST"/>
    <s v="FQ047 Mocoa - Putumayo"/>
    <x v="8"/>
    <s v="septiembre"/>
    <n v="25"/>
    <d v="2026-09-25T00:00:00"/>
    <n v="1006180343"/>
    <s v="CORTES SINISTERRA LUISA MARIA"/>
    <n v="43"/>
    <n v="0"/>
    <n v="2376346"/>
  </r>
  <r>
    <s v="Franquicias Sell Out QUEST"/>
    <s v="FQ047 Mocoa - Putumayo"/>
    <x v="8"/>
    <s v="septiembre"/>
    <n v="25"/>
    <d v="2026-09-25T00:00:00"/>
    <n v="1006849022"/>
    <s v="ENRRIQUEZ TORRES ALEJANDRA"/>
    <n v="58"/>
    <n v="0"/>
    <n v="3398870"/>
  </r>
  <r>
    <s v="Franquicias Sell Out QUEST"/>
    <s v="FQ047 Mocoa - Putumayo"/>
    <x v="8"/>
    <s v="septiembre"/>
    <n v="25"/>
    <d v="2026-09-25T00:00:00"/>
    <n v="1006947645"/>
    <s v="CHAPID CONZÁLEZ JENNIFER ALEJANDRA"/>
    <n v="90"/>
    <n v="0"/>
    <n v="5668491"/>
  </r>
  <r>
    <s v="Franquicias Sell Out QUEST"/>
    <s v="FQ047 Mocoa - Putumayo"/>
    <x v="8"/>
    <s v="septiembre"/>
    <n v="25"/>
    <d v="2026-09-25T00:00:00"/>
    <n v="1026289163"/>
    <s v="JOAQUI SAMBONI NELLY MAGALY"/>
    <n v="14"/>
    <n v="0"/>
    <n v="799833"/>
  </r>
  <r>
    <s v="Franquicias Sell Out QUEST"/>
    <s v="FQ047 Mocoa - Putumayo"/>
    <x v="8"/>
    <s v="septiembre"/>
    <n v="25"/>
    <d v="2026-09-25T00:00:00"/>
    <n v="1085305990"/>
    <s v="SOLARTE ERAZO KAREN JOHANA"/>
    <n v="84"/>
    <n v="0"/>
    <n v="5103403"/>
  </r>
  <r>
    <s v="Franquicias Sell Out QUEST"/>
    <s v="FQ047 Mocoa - Putumayo"/>
    <x v="8"/>
    <s v="septiembre"/>
    <n v="25"/>
    <d v="2026-09-25T00:00:00"/>
    <n v="1124866497"/>
    <s v="MARTINEZ GALLARDO HEIDY NERIETH"/>
    <n v="61"/>
    <n v="0"/>
    <n v="3369287"/>
  </r>
  <r>
    <s v="Franquicias Sell Out QUEST"/>
    <s v="FQ047 Mocoa - Putumayo"/>
    <x v="8"/>
    <s v="septiembre"/>
    <n v="25"/>
    <d v="2026-09-25T00:00:00"/>
    <n v="1127077969"/>
    <s v="ITER MESTIZO IRMA RUBY"/>
    <n v="86"/>
    <n v="0"/>
    <n v="4496392"/>
  </r>
  <r>
    <s v="Franquicias Sell Out QUEST"/>
    <s v="FQ047 Mocoa - Putumayo"/>
    <x v="8"/>
    <s v="septiembre"/>
    <n v="26"/>
    <d v="2026-09-26T00:00:00"/>
    <m/>
    <m/>
    <n v="0"/>
    <n v="24373210"/>
    <n v="0"/>
  </r>
  <r>
    <s v="Franquicias Sell Out QUEST"/>
    <s v="FQ047 Mocoa - Putumayo"/>
    <x v="8"/>
    <s v="septiembre"/>
    <n v="26"/>
    <d v="2026-09-26T00:00:00"/>
    <n v="69006846"/>
    <s v="ORDOÑEZ JARAMILLO DEISY YAMILETH"/>
    <n v="83"/>
    <n v="0"/>
    <n v="4177189"/>
  </r>
  <r>
    <s v="Franquicias Sell Out QUEST"/>
    <s v="FQ047 Mocoa - Putumayo"/>
    <x v="8"/>
    <s v="septiembre"/>
    <n v="26"/>
    <d v="2026-09-26T00:00:00"/>
    <n v="1006180343"/>
    <s v="CORTES SINISTERRA LUISA MARIA"/>
    <n v="62"/>
    <n v="0"/>
    <n v="2991013"/>
  </r>
  <r>
    <s v="Franquicias Sell Out QUEST"/>
    <s v="FQ047 Mocoa - Putumayo"/>
    <x v="8"/>
    <s v="septiembre"/>
    <n v="26"/>
    <d v="2026-09-26T00:00:00"/>
    <n v="1006849022"/>
    <s v="ENRRIQUEZ TORRES ALEJANDRA"/>
    <n v="80"/>
    <n v="0"/>
    <n v="3719292"/>
  </r>
  <r>
    <s v="Franquicias Sell Out QUEST"/>
    <s v="FQ047 Mocoa - Putumayo"/>
    <x v="8"/>
    <s v="septiembre"/>
    <n v="26"/>
    <d v="2026-09-26T00:00:00"/>
    <n v="1006947645"/>
    <s v="CHAPID CONZÁLEZ JENNIFER ALEJANDRA"/>
    <n v="1"/>
    <n v="0"/>
    <n v="46177"/>
  </r>
  <r>
    <s v="Franquicias Sell Out QUEST"/>
    <s v="FQ047 Mocoa - Putumayo"/>
    <x v="8"/>
    <s v="septiembre"/>
    <n v="26"/>
    <d v="2026-09-26T00:00:00"/>
    <n v="1026289163"/>
    <s v="JOAQUI SAMBONI NELLY MAGALY"/>
    <n v="4"/>
    <n v="0"/>
    <n v="41934"/>
  </r>
  <r>
    <s v="Franquicias Sell Out QUEST"/>
    <s v="FQ047 Mocoa - Putumayo"/>
    <x v="8"/>
    <s v="septiembre"/>
    <n v="26"/>
    <d v="2026-09-26T00:00:00"/>
    <n v="1085305990"/>
    <s v="SOLARTE ERAZO KAREN JOHANA"/>
    <n v="97"/>
    <n v="0"/>
    <n v="5153407"/>
  </r>
  <r>
    <s v="Franquicias Sell Out QUEST"/>
    <s v="FQ047 Mocoa - Putumayo"/>
    <x v="8"/>
    <s v="septiembre"/>
    <n v="26"/>
    <d v="2026-09-26T00:00:00"/>
    <n v="1124866497"/>
    <s v="MARTINEZ GALLARDO HEIDY NERIETH"/>
    <n v="88"/>
    <n v="0"/>
    <n v="4998368"/>
  </r>
  <r>
    <s v="Franquicias Sell Out QUEST"/>
    <s v="FQ047 Mocoa - Putumayo"/>
    <x v="8"/>
    <s v="septiembre"/>
    <n v="26"/>
    <d v="2026-09-26T00:00:00"/>
    <n v="1127077969"/>
    <s v="ITER MESTIZO IRMA RUBY"/>
    <n v="74"/>
    <n v="0"/>
    <n v="4419121"/>
  </r>
  <r>
    <s v="Franquicias Sell Out QUEST"/>
    <s v="FQ047 Mocoa - Putumayo"/>
    <x v="8"/>
    <s v="septiembre"/>
    <n v="27"/>
    <d v="2026-09-27T00:00:00"/>
    <m/>
    <m/>
    <n v="0"/>
    <n v="12868823"/>
    <n v="0"/>
  </r>
  <r>
    <s v="Franquicias Sell Out QUEST"/>
    <s v="FQ047 Mocoa - Putumayo"/>
    <x v="8"/>
    <s v="septiembre"/>
    <n v="27"/>
    <d v="2026-09-27T00:00:00"/>
    <n v="69006846"/>
    <s v="ORDOÑEZ JARAMILLO DEISY YAMILETH"/>
    <n v="47"/>
    <n v="0"/>
    <n v="2289875"/>
  </r>
  <r>
    <s v="Franquicias Sell Out QUEST"/>
    <s v="FQ047 Mocoa - Putumayo"/>
    <x v="8"/>
    <s v="septiembre"/>
    <n v="27"/>
    <d v="2026-09-27T00:00:00"/>
    <n v="1006180343"/>
    <s v="CORTES SINISTERRA LUISA MARIA"/>
    <n v="10"/>
    <n v="0"/>
    <n v="633991"/>
  </r>
  <r>
    <s v="Franquicias Sell Out QUEST"/>
    <s v="FQ047 Mocoa - Putumayo"/>
    <x v="8"/>
    <s v="septiembre"/>
    <n v="27"/>
    <d v="2026-09-27T00:00:00"/>
    <n v="1006849022"/>
    <s v="ENRRIQUEZ TORRES ALEJANDRA"/>
    <n v="25"/>
    <n v="0"/>
    <n v="1391809"/>
  </r>
  <r>
    <s v="Franquicias Sell Out QUEST"/>
    <s v="FQ047 Mocoa - Putumayo"/>
    <x v="8"/>
    <s v="septiembre"/>
    <n v="27"/>
    <d v="2026-09-27T00:00:00"/>
    <n v="1026289163"/>
    <s v="JOAQUI SAMBONI NELLY MAGALY"/>
    <n v="3"/>
    <n v="0"/>
    <n v="134328"/>
  </r>
  <r>
    <s v="Franquicias Sell Out QUEST"/>
    <s v="FQ047 Mocoa - Putumayo"/>
    <x v="8"/>
    <s v="septiembre"/>
    <n v="27"/>
    <d v="2026-09-27T00:00:00"/>
    <n v="1085305990"/>
    <s v="SOLARTE ERAZO KAREN JOHANA"/>
    <n v="80"/>
    <n v="0"/>
    <n v="4565887"/>
  </r>
  <r>
    <s v="Franquicias Sell Out QUEST"/>
    <s v="FQ047 Mocoa - Putumayo"/>
    <x v="8"/>
    <s v="septiembre"/>
    <n v="27"/>
    <d v="2026-09-27T00:00:00"/>
    <n v="1124866497"/>
    <s v="MARTINEZ GALLARDO HEIDY NERIETH"/>
    <n v="41"/>
    <n v="0"/>
    <n v="2073912"/>
  </r>
  <r>
    <s v="Franquicias Sell Out QUEST"/>
    <s v="FQ047 Mocoa - Putumayo"/>
    <x v="8"/>
    <s v="septiembre"/>
    <n v="27"/>
    <d v="2026-09-27T00:00:00"/>
    <n v="1127077969"/>
    <s v="ITER MESTIZO IRMA RUBY"/>
    <n v="53"/>
    <n v="0"/>
    <n v="3031390"/>
  </r>
  <r>
    <s v="Franquicias Sell Out QUEST"/>
    <s v="FQ047 Mocoa - Putumayo"/>
    <x v="8"/>
    <s v="septiembre"/>
    <n v="28"/>
    <d v="2026-09-28T00:00:00"/>
    <m/>
    <m/>
    <n v="0"/>
    <n v="10551034"/>
    <n v="0"/>
  </r>
  <r>
    <s v="Franquicias Sell Out QUEST"/>
    <s v="FQ047 Mocoa - Putumayo"/>
    <x v="8"/>
    <s v="septiembre"/>
    <n v="28"/>
    <d v="2026-09-28T00:00:00"/>
    <n v="69006846"/>
    <s v="ORDOÑEZ JARAMILLO DEISY YAMILETH"/>
    <n v="1"/>
    <n v="0"/>
    <n v="20967"/>
  </r>
  <r>
    <s v="Franquicias Sell Out QUEST"/>
    <s v="FQ047 Mocoa - Putumayo"/>
    <x v="8"/>
    <s v="septiembre"/>
    <n v="28"/>
    <d v="2026-09-28T00:00:00"/>
    <n v="1006180343"/>
    <s v="CORTES SINISTERRA LUISA MARIA"/>
    <n v="36"/>
    <n v="0"/>
    <n v="1616054"/>
  </r>
  <r>
    <s v="Franquicias Sell Out QUEST"/>
    <s v="FQ047 Mocoa - Putumayo"/>
    <x v="8"/>
    <s v="septiembre"/>
    <n v="28"/>
    <d v="2026-09-28T00:00:00"/>
    <n v="1006849022"/>
    <s v="ENRRIQUEZ TORRES ALEJANDRA"/>
    <n v="43"/>
    <n v="0"/>
    <n v="2117733"/>
  </r>
  <r>
    <s v="Franquicias Sell Out QUEST"/>
    <s v="FQ047 Mocoa - Putumayo"/>
    <x v="8"/>
    <s v="septiembre"/>
    <n v="28"/>
    <d v="2026-09-28T00:00:00"/>
    <n v="1006947645"/>
    <s v="CHAPID CONZÁLEZ JENNIFER ALEJANDRA"/>
    <n v="71"/>
    <n v="0"/>
    <n v="4000925"/>
  </r>
  <r>
    <s v="Franquicias Sell Out QUEST"/>
    <s v="FQ047 Mocoa - Putumayo"/>
    <x v="8"/>
    <s v="septiembre"/>
    <n v="28"/>
    <d v="2026-09-28T00:00:00"/>
    <n v="1085305990"/>
    <s v="SOLARTE ERAZO KAREN JOHANA"/>
    <n v="0"/>
    <n v="0"/>
    <n v="12603"/>
  </r>
  <r>
    <s v="Franquicias Sell Out QUEST"/>
    <s v="FQ047 Mocoa - Putumayo"/>
    <x v="8"/>
    <s v="septiembre"/>
    <n v="28"/>
    <d v="2026-09-28T00:00:00"/>
    <n v="1124866497"/>
    <s v="MARTINEZ GALLARDO HEIDY NERIETH"/>
    <n v="50"/>
    <n v="0"/>
    <n v="2535510"/>
  </r>
  <r>
    <s v="Franquicias Sell Out QUEST"/>
    <s v="FQ047 Mocoa - Putumayo"/>
    <x v="8"/>
    <s v="septiembre"/>
    <n v="28"/>
    <d v="2026-09-28T00:00:00"/>
    <n v="1127077969"/>
    <s v="ITER MESTIZO IRMA RUBY"/>
    <n v="44"/>
    <n v="0"/>
    <n v="2193239"/>
  </r>
  <r>
    <s v="Franquicias Sell Out QUEST"/>
    <s v="FQ047 Mocoa - Putumayo"/>
    <x v="8"/>
    <s v="septiembre"/>
    <n v="29"/>
    <d v="2026-09-29T00:00:00"/>
    <m/>
    <m/>
    <n v="0"/>
    <n v="11729628"/>
    <n v="0"/>
  </r>
  <r>
    <s v="Franquicias Sell Out QUEST"/>
    <s v="FQ047 Mocoa - Putumayo"/>
    <x v="8"/>
    <s v="septiembre"/>
    <n v="29"/>
    <d v="2026-09-29T00:00:00"/>
    <n v="69006846"/>
    <s v="ORDOÑEZ JARAMILLO DEISY YAMILETH"/>
    <n v="0"/>
    <n v="0"/>
    <n v="12605"/>
  </r>
  <r>
    <s v="Franquicias Sell Out QUEST"/>
    <s v="FQ047 Mocoa - Putumayo"/>
    <x v="8"/>
    <s v="septiembre"/>
    <n v="29"/>
    <d v="2026-09-29T00:00:00"/>
    <n v="1006180343"/>
    <s v="CORTES SINISTERRA LUISA MARIA"/>
    <n v="38"/>
    <n v="0"/>
    <n v="1836601"/>
  </r>
  <r>
    <s v="Franquicias Sell Out QUEST"/>
    <s v="FQ047 Mocoa - Putumayo"/>
    <x v="8"/>
    <s v="septiembre"/>
    <n v="29"/>
    <d v="2026-09-29T00:00:00"/>
    <n v="1006849022"/>
    <s v="ENRRIQUEZ TORRES ALEJANDRA"/>
    <n v="30"/>
    <n v="0"/>
    <n v="1488193"/>
  </r>
  <r>
    <s v="Franquicias Sell Out QUEST"/>
    <s v="FQ047 Mocoa - Putumayo"/>
    <x v="8"/>
    <s v="septiembre"/>
    <n v="29"/>
    <d v="2026-09-29T00:00:00"/>
    <n v="1006947645"/>
    <s v="CHAPID CONZÁLEZ JENNIFER ALEJANDRA"/>
    <n v="58"/>
    <n v="0"/>
    <n v="3289583"/>
  </r>
  <r>
    <s v="Franquicias Sell Out QUEST"/>
    <s v="FQ047 Mocoa - Putumayo"/>
    <x v="8"/>
    <s v="septiembre"/>
    <n v="29"/>
    <d v="2026-09-29T00:00:00"/>
    <n v="1085305990"/>
    <s v="SOLARTE ERAZO KAREN JOHANA"/>
    <n v="36"/>
    <n v="0"/>
    <n v="2143407"/>
  </r>
  <r>
    <s v="Franquicias Sell Out QUEST"/>
    <s v="FQ047 Mocoa - Putumayo"/>
    <x v="8"/>
    <s v="septiembre"/>
    <n v="29"/>
    <d v="2026-09-29T00:00:00"/>
    <n v="1124866497"/>
    <s v="MARTINEZ GALLARDO HEIDY NERIETH"/>
    <n v="17"/>
    <n v="0"/>
    <n v="793320"/>
  </r>
  <r>
    <s v="Franquicias Sell Out QUEST"/>
    <s v="FQ047 Mocoa - Putumayo"/>
    <x v="8"/>
    <s v="septiembre"/>
    <n v="29"/>
    <d v="2026-09-29T00:00:00"/>
    <n v="1127077969"/>
    <s v="ITER MESTIZO IRMA RUBY"/>
    <n v="67"/>
    <n v="0"/>
    <n v="3650467"/>
  </r>
  <r>
    <s v="Franquicias Sell Out QUEST"/>
    <s v="FQ047 Mocoa - Putumayo"/>
    <x v="8"/>
    <s v="septiembre"/>
    <n v="30"/>
    <d v="2026-09-30T00:00:00"/>
    <m/>
    <m/>
    <n v="0"/>
    <n v="12422050"/>
    <n v="0"/>
  </r>
  <r>
    <s v="Franquicias Sell Out QUEST"/>
    <s v="FQ047 Mocoa - Putumayo"/>
    <x v="8"/>
    <s v="septiembre"/>
    <n v="30"/>
    <d v="2026-09-30T00:00:00"/>
    <n v="69006846"/>
    <s v="ORDOÑEZ JARAMILLO DEISY YAMILETH"/>
    <n v="1"/>
    <n v="0"/>
    <n v="20966"/>
  </r>
  <r>
    <s v="Franquicias Sell Out QUEST"/>
    <s v="FQ047 Mocoa - Putumayo"/>
    <x v="8"/>
    <s v="septiembre"/>
    <n v="30"/>
    <d v="2026-09-30T00:00:00"/>
    <n v="1006180343"/>
    <s v="CORTES SINISTERRA LUISA MARIA"/>
    <n v="20"/>
    <n v="0"/>
    <n v="660548"/>
  </r>
  <r>
    <s v="Franquicias Sell Out QUEST"/>
    <s v="FQ047 Mocoa - Putumayo"/>
    <x v="8"/>
    <s v="septiembre"/>
    <n v="30"/>
    <d v="2026-09-30T00:00:00"/>
    <n v="1006849022"/>
    <s v="ENRRIQUEZ TORRES ALEJANDRA"/>
    <n v="13"/>
    <n v="0"/>
    <n v="682100"/>
  </r>
  <r>
    <s v="Franquicias Sell Out QUEST"/>
    <s v="FQ047 Mocoa - Putumayo"/>
    <x v="8"/>
    <s v="septiembre"/>
    <n v="30"/>
    <d v="2026-09-30T00:00:00"/>
    <n v="1006947645"/>
    <s v="CHAPID CONZÁLEZ JENNIFER ALEJANDRA"/>
    <n v="72"/>
    <n v="0"/>
    <n v="3383238"/>
  </r>
  <r>
    <s v="Franquicias Sell Out QUEST"/>
    <s v="FQ047 Mocoa - Putumayo"/>
    <x v="8"/>
    <s v="septiembre"/>
    <n v="30"/>
    <d v="2026-09-30T00:00:00"/>
    <n v="1085305990"/>
    <s v="SOLARTE ERAZO KAREN JOHANA"/>
    <n v="79"/>
    <n v="0"/>
    <n v="3367819"/>
  </r>
  <r>
    <s v="Franquicias Sell Out QUEST"/>
    <s v="FQ047 Mocoa - Putumayo"/>
    <x v="8"/>
    <s v="septiembre"/>
    <n v="30"/>
    <d v="2026-09-30T00:00:00"/>
    <n v="1124866497"/>
    <s v="MARTINEZ GALLARDO HEIDY NERIETH"/>
    <n v="3"/>
    <n v="0"/>
    <n v="138531"/>
  </r>
  <r>
    <s v="Franquicias Sell Out QUEST"/>
    <s v="FQ047 Mocoa - Putumayo"/>
    <x v="8"/>
    <s v="septiembre"/>
    <n v="30"/>
    <d v="2026-09-30T00:00:00"/>
    <n v="1127077969"/>
    <s v="ITER MESTIZO IRMA RUBY"/>
    <n v="36"/>
    <n v="0"/>
    <n v="1842733"/>
  </r>
  <r>
    <s v="Franquicias Sell Out QUEST"/>
    <s v="FQ047 Mocoa - Putumayo"/>
    <x v="8"/>
    <s v="octubre"/>
    <n v="1"/>
    <d v="2026-10-01T00:00:00"/>
    <m/>
    <m/>
    <n v="0"/>
    <n v="25594771"/>
    <n v="0"/>
  </r>
  <r>
    <s v="Franquicias Sell Out QUEST"/>
    <s v="FQ047 Mocoa - Putumayo"/>
    <x v="8"/>
    <s v="octubre"/>
    <n v="1"/>
    <d v="2026-10-01T00:00:00"/>
    <n v="1006180343"/>
    <s v="CORTES SINISTERRA LUISA MARIA"/>
    <n v="35"/>
    <n v="0"/>
    <n v="1720966"/>
  </r>
  <r>
    <s v="Franquicias Sell Out QUEST"/>
    <s v="FQ047 Mocoa - Putumayo"/>
    <x v="8"/>
    <s v="octubre"/>
    <n v="1"/>
    <d v="2026-10-01T00:00:00"/>
    <n v="1006849022"/>
    <s v="ENRRIQUEZ TORRES ALEJANDRA"/>
    <n v="49"/>
    <n v="0"/>
    <n v="2652944"/>
  </r>
  <r>
    <s v="Franquicias Sell Out QUEST"/>
    <s v="FQ047 Mocoa - Putumayo"/>
    <x v="8"/>
    <s v="octubre"/>
    <n v="1"/>
    <d v="2026-10-01T00:00:00"/>
    <n v="1006947645"/>
    <s v="CHAPID CONZÁLEZ JENNIFER ALEJANDRA"/>
    <n v="70"/>
    <n v="0"/>
    <n v="3517777"/>
  </r>
  <r>
    <s v="Franquicias Sell Out QUEST"/>
    <s v="FQ047 Mocoa - Putumayo"/>
    <x v="8"/>
    <s v="octubre"/>
    <n v="1"/>
    <d v="2026-10-01T00:00:00"/>
    <n v="1085305990"/>
    <s v="SOLARTE ERAZO KAREN JOHANA"/>
    <n v="60"/>
    <n v="0"/>
    <n v="3009666"/>
  </r>
  <r>
    <s v="Franquicias Sell Out QUEST"/>
    <s v="FQ047 Mocoa - Putumayo"/>
    <x v="8"/>
    <s v="octubre"/>
    <n v="1"/>
    <d v="2026-10-01T00:00:00"/>
    <n v="1124866497"/>
    <s v="MARTINEZ GALLARDO HEIDY NERIETH"/>
    <n v="30"/>
    <n v="0"/>
    <n v="1447984"/>
  </r>
  <r>
    <s v="Franquicias Sell Out QUEST"/>
    <s v="FQ047 Mocoa - Putumayo"/>
    <x v="8"/>
    <s v="octubre"/>
    <n v="1"/>
    <d v="2026-10-01T00:00:00"/>
    <n v="1127077969"/>
    <s v="ITER MESTIZO IRMA RUBY"/>
    <n v="64"/>
    <n v="0"/>
    <n v="3370927"/>
  </r>
  <r>
    <s v="Franquicias Sell Out QUEST"/>
    <s v="FQ047 Mocoa - Putumayo"/>
    <x v="8"/>
    <s v="octubre"/>
    <n v="2"/>
    <d v="2026-10-02T00:00:00"/>
    <m/>
    <m/>
    <n v="0"/>
    <n v="22365167"/>
    <n v="0"/>
  </r>
  <r>
    <s v="Franquicias Sell Out QUEST"/>
    <s v="FQ047 Mocoa - Putumayo"/>
    <x v="8"/>
    <s v="octubre"/>
    <n v="2"/>
    <d v="2026-10-02T00:00:00"/>
    <n v="69006846"/>
    <s v="ORDOÑEZ JARAMILLO DEISY YAMILETH"/>
    <n v="18"/>
    <n v="0"/>
    <n v="898363"/>
  </r>
  <r>
    <s v="Franquicias Sell Out QUEST"/>
    <s v="FQ047 Mocoa - Putumayo"/>
    <x v="8"/>
    <s v="octubre"/>
    <n v="2"/>
    <d v="2026-10-02T00:00:00"/>
    <n v="1006180343"/>
    <s v="CORTES SINISTERRA LUISA MARIA"/>
    <n v="23"/>
    <n v="0"/>
    <n v="1246808"/>
  </r>
  <r>
    <s v="Franquicias Sell Out QUEST"/>
    <s v="FQ047 Mocoa - Putumayo"/>
    <x v="8"/>
    <s v="octubre"/>
    <n v="2"/>
    <d v="2026-10-02T00:00:00"/>
    <n v="1006849022"/>
    <s v="ENRRIQUEZ TORRES ALEJANDRA"/>
    <n v="26"/>
    <n v="0"/>
    <n v="1252944"/>
  </r>
  <r>
    <s v="Franquicias Sell Out QUEST"/>
    <s v="FQ047 Mocoa - Putumayo"/>
    <x v="8"/>
    <s v="octubre"/>
    <n v="2"/>
    <d v="2026-10-02T00:00:00"/>
    <n v="1006947645"/>
    <s v="CHAPID CONZÁLEZ JENNIFER ALEJANDRA"/>
    <n v="39"/>
    <n v="0"/>
    <n v="2275463"/>
  </r>
  <r>
    <s v="Franquicias Sell Out QUEST"/>
    <s v="FQ047 Mocoa - Putumayo"/>
    <x v="8"/>
    <s v="octubre"/>
    <n v="2"/>
    <d v="2026-10-02T00:00:00"/>
    <n v="1085305990"/>
    <s v="SOLARTE ERAZO KAREN JOHANA"/>
    <n v="61"/>
    <n v="0"/>
    <n v="3232481"/>
  </r>
  <r>
    <s v="Franquicias Sell Out QUEST"/>
    <s v="FQ047 Mocoa - Putumayo"/>
    <x v="8"/>
    <s v="octubre"/>
    <n v="2"/>
    <d v="2026-10-02T00:00:00"/>
    <n v="1127077969"/>
    <s v="ITER MESTIZO IRMA RUBY"/>
    <n v="31"/>
    <n v="0"/>
    <n v="1824117"/>
  </r>
  <r>
    <s v="Franquicias Sell Out QUEST"/>
    <s v="FQ047 Mocoa - Putumayo"/>
    <x v="8"/>
    <s v="octubre"/>
    <n v="3"/>
    <d v="2026-10-03T00:00:00"/>
    <m/>
    <m/>
    <n v="0"/>
    <n v="29444336"/>
    <n v="0"/>
  </r>
  <r>
    <s v="Franquicias Sell Out QUEST"/>
    <s v="FQ047 Mocoa - Putumayo"/>
    <x v="8"/>
    <s v="octubre"/>
    <n v="3"/>
    <d v="2026-10-03T00:00:00"/>
    <n v="69006846"/>
    <s v="ORDOÑEZ JARAMILLO DEISY YAMILETH"/>
    <n v="105"/>
    <n v="0"/>
    <n v="5185128"/>
  </r>
  <r>
    <s v="Franquicias Sell Out QUEST"/>
    <s v="FQ047 Mocoa - Putumayo"/>
    <x v="8"/>
    <s v="octubre"/>
    <n v="3"/>
    <d v="2026-10-03T00:00:00"/>
    <n v="1006180343"/>
    <s v="CORTES SINISTERRA LUISA MARIA"/>
    <n v="78"/>
    <n v="0"/>
    <n v="3947178"/>
  </r>
  <r>
    <s v="Franquicias Sell Out QUEST"/>
    <s v="FQ047 Mocoa - Putumayo"/>
    <x v="8"/>
    <s v="octubre"/>
    <n v="3"/>
    <d v="2026-10-03T00:00:00"/>
    <n v="1006849022"/>
    <s v="ENRRIQUEZ TORRES ALEJANDRA"/>
    <n v="46"/>
    <n v="0"/>
    <n v="2360767"/>
  </r>
  <r>
    <s v="Franquicias Sell Out QUEST"/>
    <s v="FQ047 Mocoa - Putumayo"/>
    <x v="8"/>
    <s v="octubre"/>
    <n v="3"/>
    <d v="2026-10-03T00:00:00"/>
    <n v="1006947645"/>
    <s v="CHAPID CONZÁLEZ JENNIFER ALEJANDRA"/>
    <n v="2"/>
    <n v="0"/>
    <n v="69681"/>
  </r>
  <r>
    <s v="Franquicias Sell Out QUEST"/>
    <s v="FQ047 Mocoa - Putumayo"/>
    <x v="8"/>
    <s v="octubre"/>
    <n v="3"/>
    <d v="2026-10-03T00:00:00"/>
    <n v="1085305990"/>
    <s v="SOLARTE ERAZO KAREN JOHANA"/>
    <n v="117"/>
    <n v="0"/>
    <n v="5997575"/>
  </r>
  <r>
    <s v="Franquicias Sell Out QUEST"/>
    <s v="FQ047 Mocoa - Putumayo"/>
    <x v="8"/>
    <s v="octubre"/>
    <n v="3"/>
    <d v="2026-10-03T00:00:00"/>
    <n v="1124866497"/>
    <s v="MARTINEZ GALLARDO HEIDY NERIETH"/>
    <n v="87"/>
    <n v="0"/>
    <n v="4140486"/>
  </r>
  <r>
    <s v="Franquicias Sell Out QUEST"/>
    <s v="FQ047 Mocoa - Putumayo"/>
    <x v="8"/>
    <s v="octubre"/>
    <n v="3"/>
    <d v="2026-10-03T00:00:00"/>
    <n v="1127077969"/>
    <s v="ITER MESTIZO IRMA RUBY"/>
    <n v="95"/>
    <n v="0"/>
    <n v="4655130"/>
  </r>
  <r>
    <s v="Franquicias Sell Out QUEST"/>
    <s v="FQ047 Mocoa - Putumayo"/>
    <x v="8"/>
    <s v="octubre"/>
    <n v="4"/>
    <d v="2026-10-04T00:00:00"/>
    <m/>
    <m/>
    <n v="0"/>
    <n v="28228250"/>
    <n v="0"/>
  </r>
  <r>
    <s v="Franquicias Sell Out QUEST"/>
    <s v="FQ047 Mocoa - Putumayo"/>
    <x v="8"/>
    <s v="octubre"/>
    <n v="4"/>
    <d v="2026-10-04T00:00:00"/>
    <n v="69006846"/>
    <s v="ORDOÑEZ JARAMILLO DEISY YAMILETH"/>
    <n v="25"/>
    <n v="0"/>
    <n v="1292094"/>
  </r>
  <r>
    <s v="Franquicias Sell Out QUEST"/>
    <s v="FQ047 Mocoa - Putumayo"/>
    <x v="8"/>
    <s v="octubre"/>
    <n v="4"/>
    <d v="2026-10-04T00:00:00"/>
    <n v="1006180343"/>
    <s v="CORTES SINISTERRA LUISA MARIA"/>
    <n v="21"/>
    <n v="0"/>
    <n v="1141807"/>
  </r>
  <r>
    <s v="Franquicias Sell Out QUEST"/>
    <s v="FQ047 Mocoa - Putumayo"/>
    <x v="8"/>
    <s v="octubre"/>
    <n v="4"/>
    <d v="2026-10-04T00:00:00"/>
    <n v="1006849022"/>
    <s v="ENRRIQUEZ TORRES ALEJANDRA"/>
    <n v="18"/>
    <n v="0"/>
    <n v="863513"/>
  </r>
  <r>
    <s v="Franquicias Sell Out QUEST"/>
    <s v="FQ047 Mocoa - Putumayo"/>
    <x v="8"/>
    <s v="octubre"/>
    <n v="4"/>
    <d v="2026-10-04T00:00:00"/>
    <n v="1026289163"/>
    <s v="JOAQUI SAMBONI NELLY MAGALY"/>
    <n v="5"/>
    <n v="0"/>
    <n v="306513"/>
  </r>
  <r>
    <s v="Franquicias Sell Out QUEST"/>
    <s v="FQ047 Mocoa - Putumayo"/>
    <x v="8"/>
    <s v="octubre"/>
    <n v="4"/>
    <d v="2026-10-04T00:00:00"/>
    <n v="1085305990"/>
    <s v="SOLARTE ERAZO KAREN JOHANA"/>
    <n v="60"/>
    <n v="0"/>
    <n v="3394289"/>
  </r>
  <r>
    <s v="Franquicias Sell Out QUEST"/>
    <s v="FQ047 Mocoa - Putumayo"/>
    <x v="8"/>
    <s v="octubre"/>
    <n v="4"/>
    <d v="2026-10-04T00:00:00"/>
    <n v="1124866497"/>
    <s v="MARTINEZ GALLARDO HEIDY NERIETH"/>
    <n v="29"/>
    <n v="0"/>
    <n v="1563909"/>
  </r>
  <r>
    <s v="Franquicias Sell Out QUEST"/>
    <s v="FQ047 Mocoa - Putumayo"/>
    <x v="8"/>
    <s v="octubre"/>
    <n v="4"/>
    <d v="2026-10-04T00:00:00"/>
    <n v="1127077969"/>
    <s v="ITER MESTIZO IRMA RUBY"/>
    <n v="29"/>
    <n v="0"/>
    <n v="1930615"/>
  </r>
  <r>
    <s v="Franquicias Sell Out QUEST"/>
    <s v="FQ047 Mocoa - Putumayo"/>
    <x v="8"/>
    <s v="octubre"/>
    <n v="5"/>
    <d v="2026-10-05T00:00:00"/>
    <m/>
    <m/>
    <n v="0"/>
    <n v="24638902"/>
    <n v="0"/>
  </r>
  <r>
    <s v="Franquicias Sell Out QUEST"/>
    <s v="FQ047 Mocoa - Putumayo"/>
    <x v="8"/>
    <s v="octubre"/>
    <n v="5"/>
    <d v="2026-10-05T00:00:00"/>
    <n v="1006180343"/>
    <s v="CORTES SINISTERRA LUISA MARIA"/>
    <n v="18"/>
    <n v="0"/>
    <n v="782732"/>
  </r>
  <r>
    <s v="Franquicias Sell Out QUEST"/>
    <s v="FQ047 Mocoa - Putumayo"/>
    <x v="8"/>
    <s v="octubre"/>
    <n v="5"/>
    <d v="2026-10-05T00:00:00"/>
    <n v="1006849022"/>
    <s v="ENRRIQUEZ TORRES ALEJANDRA"/>
    <n v="20"/>
    <n v="0"/>
    <n v="1139832"/>
  </r>
  <r>
    <s v="Franquicias Sell Out QUEST"/>
    <s v="FQ047 Mocoa - Putumayo"/>
    <x v="8"/>
    <s v="octubre"/>
    <n v="5"/>
    <d v="2026-10-05T00:00:00"/>
    <n v="1006947645"/>
    <s v="CHAPID CONZÁLEZ JENNIFER ALEJANDRA"/>
    <n v="92"/>
    <n v="0"/>
    <n v="4615428"/>
  </r>
  <r>
    <s v="Franquicias Sell Out QUEST"/>
    <s v="FQ047 Mocoa - Putumayo"/>
    <x v="8"/>
    <s v="octubre"/>
    <n v="5"/>
    <d v="2026-10-05T00:00:00"/>
    <n v="1085305990"/>
    <s v="SOLARTE ERAZO KAREN JOHANA"/>
    <n v="114"/>
    <n v="0"/>
    <n v="5655415"/>
  </r>
  <r>
    <s v="Franquicias Sell Out QUEST"/>
    <s v="FQ047 Mocoa - Putumayo"/>
    <x v="8"/>
    <s v="octubre"/>
    <n v="5"/>
    <d v="2026-10-05T00:00:00"/>
    <n v="1124866497"/>
    <s v="MARTINEZ GALLARDO HEIDY NERIETH"/>
    <n v="26"/>
    <n v="0"/>
    <n v="1217227"/>
  </r>
  <r>
    <s v="Franquicias Sell Out QUEST"/>
    <s v="FQ047 Mocoa - Putumayo"/>
    <x v="8"/>
    <s v="octubre"/>
    <n v="5"/>
    <d v="2026-10-05T00:00:00"/>
    <n v="1127077969"/>
    <s v="ITER MESTIZO IRMA RUBY"/>
    <n v="26"/>
    <n v="0"/>
    <n v="1305545"/>
  </r>
  <r>
    <s v="Franquicias Sell Out QUEST"/>
    <s v="FQ047 Mocoa - Putumayo"/>
    <x v="8"/>
    <s v="octubre"/>
    <n v="6"/>
    <d v="2026-10-06T00:00:00"/>
    <m/>
    <m/>
    <n v="0"/>
    <n v="11387146"/>
    <n v="0"/>
  </r>
  <r>
    <s v="Franquicias Sell Out QUEST"/>
    <s v="FQ047 Mocoa - Putumayo"/>
    <x v="8"/>
    <s v="octubre"/>
    <n v="6"/>
    <d v="2026-10-06T00:00:00"/>
    <n v="69006846"/>
    <s v="ORDOÑEZ JARAMILLO DEISY YAMILETH"/>
    <n v="0"/>
    <n v="0"/>
    <n v="0"/>
  </r>
  <r>
    <s v="Franquicias Sell Out QUEST"/>
    <s v="FQ047 Mocoa - Putumayo"/>
    <x v="8"/>
    <s v="octubre"/>
    <n v="6"/>
    <d v="2026-10-06T00:00:00"/>
    <n v="1006180343"/>
    <s v="CORTES SINISTERRA LUISA MARIA"/>
    <n v="1"/>
    <n v="0"/>
    <n v="8319"/>
  </r>
  <r>
    <s v="Franquicias Sell Out QUEST"/>
    <s v="FQ047 Mocoa - Putumayo"/>
    <x v="8"/>
    <s v="octubre"/>
    <n v="6"/>
    <d v="2026-10-06T00:00:00"/>
    <n v="1006849022"/>
    <s v="ENRRIQUEZ TORRES ALEJANDRA"/>
    <n v="14"/>
    <n v="0"/>
    <n v="467816"/>
  </r>
  <r>
    <s v="Franquicias Sell Out QUEST"/>
    <s v="FQ047 Mocoa - Putumayo"/>
    <x v="8"/>
    <s v="octubre"/>
    <n v="6"/>
    <d v="2026-10-06T00:00:00"/>
    <n v="1006947645"/>
    <s v="CHAPID CONZÁLEZ JENNIFER ALEJANDRA"/>
    <n v="62"/>
    <n v="0"/>
    <n v="2883699"/>
  </r>
  <r>
    <s v="Franquicias Sell Out QUEST"/>
    <s v="FQ047 Mocoa - Putumayo"/>
    <x v="8"/>
    <s v="octubre"/>
    <n v="6"/>
    <d v="2026-10-06T00:00:00"/>
    <n v="1085305990"/>
    <s v="SOLARTE ERAZO KAREN JOHANA"/>
    <n v="57"/>
    <n v="0"/>
    <n v="2900797"/>
  </r>
  <r>
    <s v="Franquicias Sell Out QUEST"/>
    <s v="FQ047 Mocoa - Putumayo"/>
    <x v="8"/>
    <s v="octubre"/>
    <n v="6"/>
    <d v="2026-10-06T00:00:00"/>
    <n v="1124866497"/>
    <s v="MARTINEZ GALLARDO HEIDY NERIETH"/>
    <n v="8"/>
    <n v="0"/>
    <n v="451345"/>
  </r>
  <r>
    <s v="Franquicias Sell Out QUEST"/>
    <s v="FQ047 Mocoa - Putumayo"/>
    <x v="8"/>
    <s v="octubre"/>
    <n v="6"/>
    <d v="2026-10-06T00:00:00"/>
    <n v="1127077969"/>
    <s v="ITER MESTIZO IRMA RUBY"/>
    <n v="11"/>
    <n v="0"/>
    <n v="423907"/>
  </r>
  <r>
    <s v="Franquicias Sell Out QUEST"/>
    <s v="FQ047 Mocoa - Putumayo"/>
    <x v="8"/>
    <s v="octubre"/>
    <n v="7"/>
    <d v="2026-10-07T00:00:00"/>
    <m/>
    <m/>
    <n v="0"/>
    <n v="1221555"/>
    <n v="0"/>
  </r>
  <r>
    <s v="Franquicias Sell Out QUEST"/>
    <s v="FQ047 Mocoa - Putumayo"/>
    <x v="8"/>
    <s v="octubre"/>
    <n v="7"/>
    <d v="2026-10-07T00:00:00"/>
    <n v="1006180343"/>
    <s v="CORTES SINISTERRA LUISA MARIA"/>
    <n v="45"/>
    <n v="0"/>
    <n v="2184746"/>
  </r>
  <r>
    <s v="Franquicias Sell Out QUEST"/>
    <s v="FQ047 Mocoa - Putumayo"/>
    <x v="8"/>
    <s v="octubre"/>
    <n v="7"/>
    <d v="2026-10-07T00:00:00"/>
    <n v="1006849022"/>
    <s v="ENRRIQUEZ TORRES ALEJANDRA"/>
    <n v="40"/>
    <n v="0"/>
    <n v="1718570"/>
  </r>
  <r>
    <s v="Franquicias Sell Out QUEST"/>
    <s v="FQ047 Mocoa - Putumayo"/>
    <x v="8"/>
    <s v="octubre"/>
    <n v="7"/>
    <d v="2026-10-07T00:00:00"/>
    <n v="1006947645"/>
    <s v="CHAPID CONZÁLEZ JENNIFER ALEJANDRA"/>
    <n v="67"/>
    <n v="0"/>
    <n v="2975757"/>
  </r>
  <r>
    <s v="Franquicias Sell Out QUEST"/>
    <s v="FQ047 Mocoa - Putumayo"/>
    <x v="8"/>
    <s v="octubre"/>
    <n v="7"/>
    <d v="2026-10-07T00:00:00"/>
    <n v="1085305990"/>
    <s v="SOLARTE ERAZO KAREN JOHANA"/>
    <n v="15"/>
    <n v="0"/>
    <n v="794983"/>
  </r>
  <r>
    <s v="Franquicias Sell Out QUEST"/>
    <s v="FQ047 Mocoa - Putumayo"/>
    <x v="8"/>
    <s v="octubre"/>
    <n v="7"/>
    <d v="2026-10-07T00:00:00"/>
    <n v="1124866497"/>
    <s v="MARTINEZ GALLARDO HEIDY NERIETH"/>
    <n v="18"/>
    <n v="0"/>
    <n v="856344"/>
  </r>
  <r>
    <s v="Franquicias Sell Out QUEST"/>
    <s v="FQ047 Mocoa - Putumayo"/>
    <x v="8"/>
    <s v="octubre"/>
    <n v="7"/>
    <d v="2026-10-07T00:00:00"/>
    <n v="1127077969"/>
    <s v="ITER MESTIZO IRMA RUBY"/>
    <n v="39"/>
    <n v="0"/>
    <n v="1933070"/>
  </r>
  <r>
    <s v="Franquicias Sell Out QUEST"/>
    <s v="FQ107 - Orito - Putumayo"/>
    <x v="8"/>
    <s v="septiembre"/>
    <n v="23"/>
    <d v="2026-09-23T00:00:00"/>
    <m/>
    <m/>
    <n v="0"/>
    <n v="1516007"/>
    <n v="0"/>
  </r>
  <r>
    <s v="Franquicias Sell Out QUEST"/>
    <s v="FQ107 - Orito - Putumayo"/>
    <x v="8"/>
    <s v="septiembre"/>
    <n v="23"/>
    <d v="2026-09-23T00:00:00"/>
    <n v="1122342386"/>
    <s v="MENESES DIAZ DARLYN"/>
    <n v="99"/>
    <n v="0"/>
    <n v="5012648"/>
  </r>
  <r>
    <s v="Franquicias Sell Out QUEST"/>
    <s v="FQ107 - Orito - Putumayo"/>
    <x v="8"/>
    <s v="septiembre"/>
    <n v="23"/>
    <d v="2026-09-23T00:00:00"/>
    <n v="1123321967"/>
    <s v="RODRIGUEZ  HELENA PATRICIA"/>
    <n v="22"/>
    <n v="0"/>
    <n v="1097818"/>
  </r>
  <r>
    <s v="Franquicias Sell Out QUEST"/>
    <s v="FQ107 - Orito - Putumayo"/>
    <x v="8"/>
    <s v="septiembre"/>
    <n v="24"/>
    <d v="2026-09-24T00:00:00"/>
    <m/>
    <m/>
    <n v="0"/>
    <n v="3920683"/>
    <n v="0"/>
  </r>
  <r>
    <s v="Franquicias Sell Out QUEST"/>
    <s v="FQ107 - Orito - Putumayo"/>
    <x v="8"/>
    <s v="septiembre"/>
    <n v="24"/>
    <d v="2026-09-24T00:00:00"/>
    <n v="1122342386"/>
    <s v="MENESES DIAZ DARLYN"/>
    <n v="122"/>
    <n v="0"/>
    <n v="6244880"/>
  </r>
  <r>
    <s v="Franquicias Sell Out QUEST"/>
    <s v="FQ107 - Orito - Putumayo"/>
    <x v="8"/>
    <s v="septiembre"/>
    <n v="24"/>
    <d v="2026-09-24T00:00:00"/>
    <n v="1123321967"/>
    <s v="RODRIGUEZ  HELENA PATRICIA"/>
    <n v="34"/>
    <n v="0"/>
    <n v="1641473"/>
  </r>
  <r>
    <s v="Franquicias Sell Out QUEST"/>
    <s v="FQ107 - Orito - Putumayo"/>
    <x v="8"/>
    <s v="septiembre"/>
    <n v="25"/>
    <d v="2026-09-25T00:00:00"/>
    <m/>
    <m/>
    <n v="0"/>
    <n v="4187505"/>
    <n v="0"/>
  </r>
  <r>
    <s v="Franquicias Sell Out QUEST"/>
    <s v="FQ107 - Orito - Putumayo"/>
    <x v="8"/>
    <s v="septiembre"/>
    <n v="25"/>
    <d v="2026-09-25T00:00:00"/>
    <n v="1122342386"/>
    <s v="MENESES DIAZ DARLYN"/>
    <n v="58"/>
    <n v="0"/>
    <n v="3150926"/>
  </r>
  <r>
    <s v="Franquicias Sell Out QUEST"/>
    <s v="FQ107 - Orito - Putumayo"/>
    <x v="8"/>
    <s v="septiembre"/>
    <n v="25"/>
    <d v="2026-09-25T00:00:00"/>
    <n v="1123321967"/>
    <s v="RODRIGUEZ  HELENA PATRICIA"/>
    <n v="38"/>
    <n v="0"/>
    <n v="1700129"/>
  </r>
  <r>
    <s v="Franquicias Sell Out QUEST"/>
    <s v="FQ107 - Orito - Putumayo"/>
    <x v="8"/>
    <s v="septiembre"/>
    <n v="26"/>
    <d v="2026-09-26T00:00:00"/>
    <m/>
    <m/>
    <n v="0"/>
    <n v="5280336"/>
    <n v="0"/>
  </r>
  <r>
    <s v="Franquicias Sell Out QUEST"/>
    <s v="FQ107 - Orito - Putumayo"/>
    <x v="8"/>
    <s v="septiembre"/>
    <n v="26"/>
    <d v="2026-09-26T00:00:00"/>
    <n v="1122342386"/>
    <s v="MENESES DIAZ DARLYN"/>
    <n v="141"/>
    <n v="0"/>
    <n v="7517236"/>
  </r>
  <r>
    <s v="Franquicias Sell Out QUEST"/>
    <s v="FQ107 - Orito - Putumayo"/>
    <x v="8"/>
    <s v="septiembre"/>
    <n v="26"/>
    <d v="2026-09-26T00:00:00"/>
    <n v="1123321967"/>
    <s v="RODRIGUEZ  HELENA PATRICIA"/>
    <n v="28"/>
    <n v="0"/>
    <n v="1528238"/>
  </r>
  <r>
    <s v="Franquicias Sell Out QUEST"/>
    <s v="FQ107 - Orito - Putumayo"/>
    <x v="8"/>
    <s v="septiembre"/>
    <n v="27"/>
    <d v="2026-09-27T00:00:00"/>
    <m/>
    <m/>
    <n v="0"/>
    <n v="2787969"/>
    <n v="0"/>
  </r>
  <r>
    <s v="Franquicias Sell Out QUEST"/>
    <s v="FQ107 - Orito - Putumayo"/>
    <x v="8"/>
    <s v="septiembre"/>
    <n v="27"/>
    <d v="2026-09-27T00:00:00"/>
    <n v="1122342386"/>
    <s v="MENESES DIAZ DARLYN"/>
    <n v="35"/>
    <n v="0"/>
    <n v="1805086"/>
  </r>
  <r>
    <s v="Franquicias Sell Out QUEST"/>
    <s v="FQ107 - Orito - Putumayo"/>
    <x v="8"/>
    <s v="septiembre"/>
    <n v="27"/>
    <d v="2026-09-27T00:00:00"/>
    <n v="1123321967"/>
    <s v="RODRIGUEZ  HELENA PATRICIA"/>
    <n v="12"/>
    <n v="0"/>
    <n v="785169"/>
  </r>
  <r>
    <s v="Franquicias Sell Out QUEST"/>
    <s v="FQ107 - Orito - Putumayo"/>
    <x v="8"/>
    <s v="septiembre"/>
    <n v="28"/>
    <d v="2026-09-28T00:00:00"/>
    <m/>
    <m/>
    <n v="0"/>
    <n v="2285831"/>
    <n v="0"/>
  </r>
  <r>
    <s v="Franquicias Sell Out QUEST"/>
    <s v="FQ107 - Orito - Putumayo"/>
    <x v="8"/>
    <s v="septiembre"/>
    <n v="28"/>
    <d v="2026-09-28T00:00:00"/>
    <n v="1122342386"/>
    <s v="MENESES DIAZ DARLYN"/>
    <n v="-8"/>
    <n v="0"/>
    <n v="-466009"/>
  </r>
  <r>
    <s v="Franquicias Sell Out QUEST"/>
    <s v="FQ107 - Orito - Putumayo"/>
    <x v="8"/>
    <s v="septiembre"/>
    <n v="28"/>
    <d v="2026-09-28T00:00:00"/>
    <n v="1123321967"/>
    <s v="RODRIGUEZ  HELENA PATRICIA"/>
    <n v="44"/>
    <n v="0"/>
    <n v="2439161"/>
  </r>
  <r>
    <s v="Franquicias Sell Out QUEST"/>
    <s v="FQ107 - Orito - Putumayo"/>
    <x v="8"/>
    <s v="septiembre"/>
    <n v="29"/>
    <d v="2026-09-29T00:00:00"/>
    <m/>
    <m/>
    <n v="0"/>
    <n v="2541169"/>
    <n v="0"/>
  </r>
  <r>
    <s v="Franquicias Sell Out QUEST"/>
    <s v="FQ107 - Orito - Putumayo"/>
    <x v="8"/>
    <s v="septiembre"/>
    <n v="29"/>
    <d v="2026-09-29T00:00:00"/>
    <n v="1122342386"/>
    <s v="MENESES DIAZ DARLYN"/>
    <n v="53"/>
    <n v="0"/>
    <n v="2798028"/>
  </r>
  <r>
    <s v="Franquicias Sell Out QUEST"/>
    <s v="FQ107 - Orito - Putumayo"/>
    <x v="8"/>
    <s v="septiembre"/>
    <n v="30"/>
    <d v="2026-09-30T00:00:00"/>
    <m/>
    <m/>
    <n v="0"/>
    <n v="2691176"/>
    <n v="0"/>
  </r>
  <r>
    <s v="Franquicias Sell Out QUEST"/>
    <s v="FQ107 - Orito - Putumayo"/>
    <x v="8"/>
    <s v="septiembre"/>
    <n v="30"/>
    <d v="2026-09-30T00:00:00"/>
    <n v="1122342386"/>
    <s v="MENESES DIAZ DARLYN"/>
    <n v="24"/>
    <n v="0"/>
    <n v="1206891"/>
  </r>
  <r>
    <s v="Franquicias Sell Out QUEST"/>
    <s v="FQ107 - Orito - Putumayo"/>
    <x v="8"/>
    <s v="septiembre"/>
    <n v="30"/>
    <d v="2026-09-30T00:00:00"/>
    <n v="1123321967"/>
    <s v="RODRIGUEZ  HELENA PATRICIA"/>
    <n v="31"/>
    <n v="0"/>
    <n v="1603700"/>
  </r>
  <r>
    <s v="Franquicias Sell Out QUEST"/>
    <s v="FQ107 - Orito - Putumayo"/>
    <x v="8"/>
    <s v="octubre"/>
    <n v="1"/>
    <d v="2026-10-01T00:00:00"/>
    <m/>
    <m/>
    <n v="0"/>
    <n v="3709433"/>
    <n v="0"/>
  </r>
  <r>
    <s v="Franquicias Sell Out QUEST"/>
    <s v="FQ107 - Orito - Putumayo"/>
    <x v="8"/>
    <s v="octubre"/>
    <n v="1"/>
    <d v="2026-10-01T00:00:00"/>
    <n v="1122342386"/>
    <s v="MENESES DIAZ DARLYN"/>
    <n v="51"/>
    <n v="0"/>
    <n v="2800254"/>
  </r>
  <r>
    <s v="Franquicias Sell Out QUEST"/>
    <s v="FQ107 - Orito - Putumayo"/>
    <x v="8"/>
    <s v="octubre"/>
    <n v="1"/>
    <d v="2026-10-01T00:00:00"/>
    <n v="1123321967"/>
    <s v="RODRIGUEZ  HELENA PATRICIA"/>
    <n v="18"/>
    <n v="0"/>
    <n v="818532"/>
  </r>
  <r>
    <s v="Franquicias Sell Out QUEST"/>
    <s v="FQ107 - Orito - Putumayo"/>
    <x v="8"/>
    <s v="octubre"/>
    <n v="2"/>
    <d v="2026-10-02T00:00:00"/>
    <m/>
    <m/>
    <n v="0"/>
    <n v="4195070"/>
    <n v="0"/>
  </r>
  <r>
    <s v="Franquicias Sell Out QUEST"/>
    <s v="FQ107 - Orito - Putumayo"/>
    <x v="8"/>
    <s v="octubre"/>
    <n v="2"/>
    <d v="2026-10-02T00:00:00"/>
    <n v="1122342386"/>
    <s v="MENESES DIAZ DARLYN"/>
    <n v="49"/>
    <n v="0"/>
    <n v="2808572"/>
  </r>
  <r>
    <s v="Franquicias Sell Out QUEST"/>
    <s v="FQ107 - Orito - Putumayo"/>
    <x v="8"/>
    <s v="octubre"/>
    <n v="2"/>
    <d v="2026-10-02T00:00:00"/>
    <n v="1123321967"/>
    <s v="RODRIGUEZ  HELENA PATRICIA"/>
    <n v="48"/>
    <n v="0"/>
    <n v="2586010"/>
  </r>
  <r>
    <s v="Franquicias Sell Out QUEST"/>
    <s v="FQ107 - Orito - Putumayo"/>
    <x v="8"/>
    <s v="octubre"/>
    <n v="3"/>
    <d v="2026-10-03T00:00:00"/>
    <m/>
    <m/>
    <n v="0"/>
    <n v="4179234"/>
    <n v="0"/>
  </r>
  <r>
    <s v="Franquicias Sell Out QUEST"/>
    <s v="FQ107 - Orito - Putumayo"/>
    <x v="8"/>
    <s v="octubre"/>
    <n v="3"/>
    <d v="2026-10-03T00:00:00"/>
    <n v="1122342386"/>
    <s v="MENESES DIAZ DARLYN"/>
    <n v="59"/>
    <n v="0"/>
    <n v="2891661"/>
  </r>
  <r>
    <s v="Franquicias Sell Out QUEST"/>
    <s v="FQ107 - Orito - Putumayo"/>
    <x v="8"/>
    <s v="octubre"/>
    <n v="3"/>
    <d v="2026-10-03T00:00:00"/>
    <n v="1123321967"/>
    <s v="RODRIGUEZ  HELENA PATRICIA"/>
    <n v="36"/>
    <n v="0"/>
    <n v="1813768"/>
  </r>
  <r>
    <s v="Franquicias Sell Out QUEST"/>
    <s v="FQ107 - Orito - Putumayo"/>
    <x v="8"/>
    <s v="octubre"/>
    <n v="4"/>
    <d v="2026-10-04T00:00:00"/>
    <m/>
    <m/>
    <n v="0"/>
    <n v="1355335"/>
    <n v="0"/>
  </r>
  <r>
    <s v="Franquicias Sell Out QUEST"/>
    <s v="FQ107 - Orito - Putumayo"/>
    <x v="8"/>
    <s v="octubre"/>
    <n v="4"/>
    <d v="2026-10-04T00:00:00"/>
    <n v="1122342386"/>
    <s v="MENESES DIAZ DARLYN"/>
    <n v="38"/>
    <n v="0"/>
    <n v="1905968"/>
  </r>
  <r>
    <s v="Franquicias Sell Out QUEST"/>
    <s v="FQ107 - Orito - Putumayo"/>
    <x v="8"/>
    <s v="octubre"/>
    <n v="4"/>
    <d v="2026-10-04T00:00:00"/>
    <n v="1123321967"/>
    <s v="RODRIGUEZ  HELENA PATRICIA"/>
    <n v="27"/>
    <n v="0"/>
    <n v="1510623"/>
  </r>
  <r>
    <s v="Franquicias Sell Out QUEST"/>
    <s v="FQ107 - Orito - Putumayo"/>
    <x v="8"/>
    <s v="octubre"/>
    <n v="5"/>
    <d v="2026-10-05T00:00:00"/>
    <m/>
    <m/>
    <n v="0"/>
    <n v="3346607"/>
    <n v="0"/>
  </r>
  <r>
    <s v="Franquicias Sell Out QUEST"/>
    <s v="FQ107 - Orito - Putumayo"/>
    <x v="8"/>
    <s v="octubre"/>
    <n v="5"/>
    <d v="2026-10-05T00:00:00"/>
    <n v="1122342386"/>
    <s v="MENESES DIAZ DARLYN"/>
    <n v="24"/>
    <n v="0"/>
    <n v="1018104"/>
  </r>
  <r>
    <s v="Franquicias Sell Out QUEST"/>
    <s v="FQ107 - Orito - Putumayo"/>
    <x v="8"/>
    <s v="octubre"/>
    <n v="5"/>
    <d v="2026-10-05T00:00:00"/>
    <n v="1123321967"/>
    <s v="RODRIGUEZ  HELENA PATRICIA"/>
    <n v="34"/>
    <n v="0"/>
    <n v="1763069"/>
  </r>
  <r>
    <s v="Franquicias Sell Out QUEST"/>
    <s v="FQ107 - Orito - Putumayo"/>
    <x v="8"/>
    <s v="octubre"/>
    <n v="6"/>
    <d v="2026-10-06T00:00:00"/>
    <m/>
    <m/>
    <n v="0"/>
    <n v="1297330"/>
    <n v="0"/>
  </r>
  <r>
    <s v="Franquicias Sell Out QUEST"/>
    <s v="FQ107 - Orito - Putumayo"/>
    <x v="8"/>
    <s v="octubre"/>
    <n v="6"/>
    <d v="2026-10-06T00:00:00"/>
    <n v="1122342386"/>
    <s v="MENESES DIAZ DARLYN"/>
    <n v="41"/>
    <n v="0"/>
    <n v="2241725"/>
  </r>
  <r>
    <s v="Franquicias Sell Out QUEST"/>
    <s v="FQ107 - Orito - Putumayo"/>
    <x v="8"/>
    <s v="octubre"/>
    <n v="6"/>
    <d v="2026-10-06T00:00:00"/>
    <n v="1123321967"/>
    <s v="RODRIGUEZ  HELENA PATRICIA"/>
    <n v="-4"/>
    <n v="0"/>
    <n v="-177950"/>
  </r>
  <r>
    <s v="Franquicias Sell Out QUEST"/>
    <s v="FQ107 - Orito - Putumayo"/>
    <x v="8"/>
    <s v="octubre"/>
    <n v="7"/>
    <d v="2026-10-07T00:00:00"/>
    <m/>
    <m/>
    <n v="0"/>
    <n v="776754"/>
    <n v="0"/>
  </r>
  <r>
    <s v="Franquicias Sell Out QUEST"/>
    <s v="FQ107 - Orito - Putumayo"/>
    <x v="8"/>
    <s v="octubre"/>
    <n v="7"/>
    <d v="2026-10-07T00:00:00"/>
    <n v="1123321967"/>
    <s v="RODRIGUEZ  HELENA PATRICIA"/>
    <n v="22"/>
    <n v="0"/>
    <n v="1267858"/>
  </r>
  <r>
    <s v="Franquicias Sell Out QUEST"/>
    <s v="FQ91 - La Unión - Nariño"/>
    <x v="8"/>
    <s v="septiembre"/>
    <n v="23"/>
    <d v="2026-09-23T00:00:00"/>
    <m/>
    <m/>
    <n v="0"/>
    <n v="2549111"/>
    <n v="0"/>
  </r>
  <r>
    <s v="Franquicias Sell Out QUEST"/>
    <s v="FQ91 - La Unión - Nariño"/>
    <x v="8"/>
    <s v="septiembre"/>
    <n v="23"/>
    <d v="2026-09-23T00:00:00"/>
    <n v="1089479144"/>
    <s v="GÓMEZ DIAZ  JOSE MANUEL"/>
    <n v="57"/>
    <n v="0"/>
    <n v="2711850"/>
  </r>
  <r>
    <s v="Franquicias Sell Out QUEST"/>
    <s v="FQ91 - La Unión - Nariño"/>
    <x v="8"/>
    <s v="septiembre"/>
    <n v="23"/>
    <d v="2026-09-23T00:00:00"/>
    <n v="1114837522"/>
    <s v="MONTERO AULLON  TANIA KATHERIN"/>
    <n v="45"/>
    <n v="0"/>
    <n v="2767061"/>
  </r>
  <r>
    <s v="Franquicias Sell Out QUEST"/>
    <s v="FQ91 - La Unión - Nariño"/>
    <x v="8"/>
    <s v="septiembre"/>
    <n v="24"/>
    <d v="2026-09-24T00:00:00"/>
    <m/>
    <m/>
    <n v="0"/>
    <n v="6592494"/>
    <n v="0"/>
  </r>
  <r>
    <s v="Franquicias Sell Out QUEST"/>
    <s v="FQ91 - La Unión - Nariño"/>
    <x v="8"/>
    <s v="septiembre"/>
    <n v="24"/>
    <d v="2026-09-24T00:00:00"/>
    <n v="1089479144"/>
    <s v="GÓMEZ DIAZ  JOSE MANUEL"/>
    <n v="54"/>
    <n v="0"/>
    <n v="3006136"/>
  </r>
  <r>
    <s v="Franquicias Sell Out QUEST"/>
    <s v="FQ91 - La Unión - Nariño"/>
    <x v="8"/>
    <s v="septiembre"/>
    <n v="24"/>
    <d v="2026-09-24T00:00:00"/>
    <n v="1114837522"/>
    <s v="MONTERO AULLON  TANIA KATHERIN"/>
    <n v="57"/>
    <n v="0"/>
    <n v="2869457"/>
  </r>
  <r>
    <s v="Franquicias Sell Out QUEST"/>
    <s v="FQ91 - La Unión - Nariño"/>
    <x v="8"/>
    <s v="septiembre"/>
    <n v="25"/>
    <d v="2026-09-25T00:00:00"/>
    <m/>
    <m/>
    <n v="0"/>
    <n v="7041142"/>
    <n v="0"/>
  </r>
  <r>
    <s v="Franquicias Sell Out QUEST"/>
    <s v="FQ91 - La Unión - Nariño"/>
    <x v="8"/>
    <s v="septiembre"/>
    <n v="25"/>
    <d v="2026-09-25T00:00:00"/>
    <n v="1089479144"/>
    <s v="GÓMEZ DIAZ  JOSE MANUEL"/>
    <n v="69"/>
    <n v="0"/>
    <n v="3858447"/>
  </r>
  <r>
    <s v="Franquicias Sell Out QUEST"/>
    <s v="FQ91 - La Unión - Nariño"/>
    <x v="8"/>
    <s v="septiembre"/>
    <n v="25"/>
    <d v="2026-09-25T00:00:00"/>
    <n v="1114837522"/>
    <s v="MONTERO AULLON  TANIA KATHERIN"/>
    <n v="74"/>
    <n v="0"/>
    <n v="3767903"/>
  </r>
  <r>
    <s v="Franquicias Sell Out QUEST"/>
    <s v="FQ91 - La Unión - Nariño"/>
    <x v="8"/>
    <s v="septiembre"/>
    <n v="26"/>
    <d v="2026-09-26T00:00:00"/>
    <m/>
    <m/>
    <n v="0"/>
    <n v="8878709"/>
    <n v="0"/>
  </r>
  <r>
    <s v="Franquicias Sell Out QUEST"/>
    <s v="FQ91 - La Unión - Nariño"/>
    <x v="8"/>
    <s v="septiembre"/>
    <n v="26"/>
    <d v="2026-09-26T00:00:00"/>
    <n v="1089479144"/>
    <s v="GÓMEZ DIAZ  JOSE MANUEL"/>
    <n v="134"/>
    <n v="0"/>
    <n v="6495089"/>
  </r>
  <r>
    <s v="Franquicias Sell Out QUEST"/>
    <s v="FQ91 - La Unión - Nariño"/>
    <x v="8"/>
    <s v="septiembre"/>
    <n v="26"/>
    <d v="2026-09-26T00:00:00"/>
    <n v="1114837522"/>
    <s v="MONTERO AULLON  TANIA KATHERIN"/>
    <n v="112"/>
    <n v="0"/>
    <n v="6312111"/>
  </r>
  <r>
    <s v="Franquicias Sell Out QUEST"/>
    <s v="FQ91 - La Unión - Nariño"/>
    <x v="8"/>
    <s v="septiembre"/>
    <n v="27"/>
    <d v="2026-09-27T00:00:00"/>
    <m/>
    <m/>
    <n v="0"/>
    <n v="4687875"/>
    <n v="0"/>
  </r>
  <r>
    <s v="Franquicias Sell Out QUEST"/>
    <s v="FQ91 - La Unión - Nariño"/>
    <x v="8"/>
    <s v="septiembre"/>
    <n v="27"/>
    <d v="2026-09-27T00:00:00"/>
    <n v="1114837522"/>
    <s v="MONTERO AULLON  TANIA KATHERIN"/>
    <n v="76"/>
    <n v="0"/>
    <n v="3821434"/>
  </r>
  <r>
    <s v="Franquicias Sell Out QUEST"/>
    <s v="FQ91 - La Unión - Nariño"/>
    <x v="8"/>
    <s v="septiembre"/>
    <n v="28"/>
    <d v="2026-09-28T00:00:00"/>
    <m/>
    <m/>
    <n v="0"/>
    <n v="3843545"/>
    <n v="0"/>
  </r>
  <r>
    <s v="Franquicias Sell Out QUEST"/>
    <s v="FQ91 - La Unión - Nariño"/>
    <x v="8"/>
    <s v="septiembre"/>
    <n v="28"/>
    <d v="2026-09-28T00:00:00"/>
    <n v="1089479144"/>
    <s v="GÓMEZ DIAZ  JOSE MANUEL"/>
    <n v="121"/>
    <n v="0"/>
    <n v="6592861"/>
  </r>
  <r>
    <s v="Franquicias Sell Out QUEST"/>
    <s v="FQ91 - La Unión - Nariño"/>
    <x v="8"/>
    <s v="septiembre"/>
    <n v="29"/>
    <d v="2026-09-29T00:00:00"/>
    <m/>
    <m/>
    <n v="0"/>
    <n v="4272885"/>
    <n v="0"/>
  </r>
  <r>
    <s v="Franquicias Sell Out QUEST"/>
    <s v="FQ91 - La Unión - Nariño"/>
    <x v="8"/>
    <s v="septiembre"/>
    <n v="29"/>
    <d v="2026-09-29T00:00:00"/>
    <n v="1089479144"/>
    <s v="GÓMEZ DIAZ  JOSE MANUEL"/>
    <n v="38"/>
    <n v="0"/>
    <n v="1857565"/>
  </r>
  <r>
    <s v="Franquicias Sell Out QUEST"/>
    <s v="FQ91 - La Unión - Nariño"/>
    <x v="8"/>
    <s v="septiembre"/>
    <n v="29"/>
    <d v="2026-09-29T00:00:00"/>
    <n v="1114837522"/>
    <s v="MONTERO AULLON  TANIA KATHERIN"/>
    <n v="32"/>
    <n v="0"/>
    <n v="1712775"/>
  </r>
  <r>
    <s v="Franquicias Sell Out QUEST"/>
    <s v="FQ91 - La Unión - Nariño"/>
    <x v="8"/>
    <s v="septiembre"/>
    <n v="30"/>
    <d v="2026-09-30T00:00:00"/>
    <m/>
    <m/>
    <n v="0"/>
    <n v="4525122"/>
    <n v="0"/>
  </r>
  <r>
    <s v="Franquicias Sell Out QUEST"/>
    <s v="FQ91 - La Unión - Nariño"/>
    <x v="8"/>
    <s v="septiembre"/>
    <n v="30"/>
    <d v="2026-09-30T00:00:00"/>
    <n v="1089479144"/>
    <s v="GÓMEZ DIAZ  JOSE MANUEL"/>
    <n v="30"/>
    <n v="0"/>
    <n v="1801092"/>
  </r>
  <r>
    <s v="Franquicias Sell Out QUEST"/>
    <s v="FQ91 - La Unión - Nariño"/>
    <x v="8"/>
    <s v="septiembre"/>
    <n v="30"/>
    <d v="2026-09-30T00:00:00"/>
    <n v="1114837522"/>
    <s v="MONTERO AULLON  TANIA KATHERIN"/>
    <n v="36"/>
    <n v="0"/>
    <n v="2006850"/>
  </r>
  <r>
    <s v="Franquicias Sell Out QUEST"/>
    <s v="FQ91 - La Unión - Nariño"/>
    <x v="8"/>
    <s v="octubre"/>
    <n v="1"/>
    <d v="2026-10-01T00:00:00"/>
    <m/>
    <m/>
    <n v="0"/>
    <n v="4782047"/>
    <n v="0"/>
  </r>
  <r>
    <s v="Franquicias Sell Out QUEST"/>
    <s v="FQ91 - La Unión - Nariño"/>
    <x v="8"/>
    <s v="octubre"/>
    <n v="1"/>
    <d v="2026-10-01T00:00:00"/>
    <n v="1089479144"/>
    <s v="GÓMEZ DIAZ  JOSE MANUEL"/>
    <n v="41"/>
    <n v="0"/>
    <n v="2655631"/>
  </r>
  <r>
    <s v="Franquicias Sell Out QUEST"/>
    <s v="FQ91 - La Unión - Nariño"/>
    <x v="8"/>
    <s v="octubre"/>
    <n v="1"/>
    <d v="2026-10-01T00:00:00"/>
    <n v="1114837522"/>
    <s v="MONTERO AULLON  TANIA KATHERIN"/>
    <n v="49"/>
    <n v="0"/>
    <n v="2636473"/>
  </r>
  <r>
    <s v="Franquicias Sell Out QUEST"/>
    <s v="FQ91 - La Unión - Nariño"/>
    <x v="8"/>
    <s v="octubre"/>
    <n v="2"/>
    <d v="2026-10-02T00:00:00"/>
    <m/>
    <m/>
    <n v="0"/>
    <n v="8367128"/>
    <n v="0"/>
  </r>
  <r>
    <s v="Franquicias Sell Out QUEST"/>
    <s v="FQ91 - La Unión - Nariño"/>
    <x v="8"/>
    <s v="octubre"/>
    <n v="2"/>
    <d v="2026-10-02T00:00:00"/>
    <n v="1089479144"/>
    <s v="GÓMEZ DIAZ  JOSE MANUEL"/>
    <n v="63"/>
    <n v="0"/>
    <n v="3736681"/>
  </r>
  <r>
    <s v="Franquicias Sell Out QUEST"/>
    <s v="FQ91 - La Unión - Nariño"/>
    <x v="8"/>
    <s v="octubre"/>
    <n v="2"/>
    <d v="2026-10-02T00:00:00"/>
    <n v="1114837522"/>
    <s v="MONTERO AULLON  TANIA KATHERIN"/>
    <n v="68"/>
    <n v="0"/>
    <n v="3750927"/>
  </r>
  <r>
    <s v="Franquicias Sell Out QUEST"/>
    <s v="FQ91 - La Unión - Nariño"/>
    <x v="8"/>
    <s v="octubre"/>
    <n v="3"/>
    <d v="2026-10-03T00:00:00"/>
    <m/>
    <m/>
    <n v="0"/>
    <n v="9268740"/>
    <n v="0"/>
  </r>
  <r>
    <s v="Franquicias Sell Out QUEST"/>
    <s v="FQ91 - La Unión - Nariño"/>
    <x v="8"/>
    <s v="octubre"/>
    <n v="3"/>
    <d v="2026-10-03T00:00:00"/>
    <n v="1089479144"/>
    <s v="GÓMEZ DIAZ  JOSE MANUEL"/>
    <n v="97"/>
    <n v="0"/>
    <n v="5158748"/>
  </r>
  <r>
    <s v="Franquicias Sell Out QUEST"/>
    <s v="FQ91 - La Unión - Nariño"/>
    <x v="8"/>
    <s v="octubre"/>
    <n v="3"/>
    <d v="2026-10-03T00:00:00"/>
    <n v="1114837522"/>
    <s v="MONTERO AULLON  TANIA KATHERIN"/>
    <n v="101"/>
    <n v="0"/>
    <n v="5067521"/>
  </r>
  <r>
    <s v="Franquicias Sell Out QUEST"/>
    <s v="FQ91 - La Unión - Nariño"/>
    <x v="8"/>
    <s v="octubre"/>
    <n v="4"/>
    <d v="2026-10-04T00:00:00"/>
    <m/>
    <m/>
    <n v="0"/>
    <n v="3453506"/>
    <n v="0"/>
  </r>
  <r>
    <s v="Franquicias Sell Out QUEST"/>
    <s v="FQ91 - La Unión - Nariño"/>
    <x v="8"/>
    <s v="octubre"/>
    <n v="4"/>
    <d v="2026-10-04T00:00:00"/>
    <n v="1089479144"/>
    <s v="GÓMEZ DIAZ  JOSE MANUEL"/>
    <n v="37"/>
    <n v="0"/>
    <n v="2174903"/>
  </r>
  <r>
    <s v="Franquicias Sell Out QUEST"/>
    <s v="FQ91 - La Unión - Nariño"/>
    <x v="8"/>
    <s v="octubre"/>
    <n v="4"/>
    <d v="2026-10-04T00:00:00"/>
    <n v="1114837522"/>
    <s v="MONTERO AULLON  TANIA KATHERIN"/>
    <n v="0"/>
    <n v="0"/>
    <n v="-14294"/>
  </r>
  <r>
    <s v="Franquicias Sell Out QUEST"/>
    <s v="FQ91 - La Unión - Nariño"/>
    <x v="8"/>
    <s v="octubre"/>
    <n v="5"/>
    <d v="2026-10-05T00:00:00"/>
    <m/>
    <m/>
    <n v="0"/>
    <n v="2781178"/>
    <n v="0"/>
  </r>
  <r>
    <s v="Franquicias Sell Out QUEST"/>
    <s v="FQ91 - La Unión - Nariño"/>
    <x v="8"/>
    <s v="octubre"/>
    <n v="5"/>
    <d v="2026-10-05T00:00:00"/>
    <n v="1114837522"/>
    <s v="MONTERO AULLON  TANIA KATHERIN"/>
    <n v="45"/>
    <n v="0"/>
    <n v="2624039"/>
  </r>
  <r>
    <s v="Franquicias Sell Out QUEST"/>
    <s v="FQ91 - La Unión - Nariño"/>
    <x v="8"/>
    <s v="octubre"/>
    <n v="6"/>
    <d v="2026-10-06T00:00:00"/>
    <m/>
    <m/>
    <n v="0"/>
    <n v="4422456"/>
    <n v="0"/>
  </r>
  <r>
    <s v="Franquicias Sell Out QUEST"/>
    <s v="FQ91 - La Unión - Nariño"/>
    <x v="8"/>
    <s v="octubre"/>
    <n v="6"/>
    <d v="2026-10-06T00:00:00"/>
    <n v="1089479144"/>
    <s v="GÓMEZ DIAZ  JOSE MANUEL"/>
    <n v="21"/>
    <n v="0"/>
    <n v="1205002"/>
  </r>
  <r>
    <s v="Franquicias Sell Out QUEST"/>
    <s v="FQ91 - La Unión - Nariño"/>
    <x v="8"/>
    <s v="octubre"/>
    <n v="6"/>
    <d v="2026-10-06T00:00:00"/>
    <n v="1114837522"/>
    <s v="MONTERO AULLON  TANIA KATHERIN"/>
    <n v="29"/>
    <n v="0"/>
    <n v="1288655"/>
  </r>
  <r>
    <s v="Franquicias Sell Out QUEST"/>
    <s v="FQ91 - La Unión - Nariño"/>
    <x v="8"/>
    <s v="octubre"/>
    <n v="7"/>
    <d v="2026-10-07T00:00:00"/>
    <m/>
    <m/>
    <n v="0"/>
    <n v="231946"/>
    <n v="0"/>
  </r>
  <r>
    <s v="Franquicias Sell Out QUEST"/>
    <s v="FQ91 - La Unión - Nariño"/>
    <x v="8"/>
    <s v="octubre"/>
    <n v="7"/>
    <d v="2026-10-07T00:00:00"/>
    <n v="1089479144"/>
    <s v="GÓMEZ DIAZ  JOSE MANUEL"/>
    <n v="20"/>
    <n v="0"/>
    <n v="1280548"/>
  </r>
  <r>
    <s v="Franquicias Sell Out QUEST"/>
    <s v="FQ91 - La Unión - Nariño"/>
    <x v="8"/>
    <s v="octubre"/>
    <n v="7"/>
    <d v="2026-10-07T00:00:00"/>
    <n v="1114837522"/>
    <s v="MONTERO AULLON  TANIA KATHERIN"/>
    <n v="20"/>
    <n v="0"/>
    <n v="1190296"/>
  </r>
  <r>
    <s v="Franquicias Sell Out QUEST"/>
    <s v="FQ92 - El Bordo - Cauca"/>
    <x v="8"/>
    <s v="septiembre"/>
    <n v="23"/>
    <d v="2026-09-23T00:00:00"/>
    <m/>
    <m/>
    <n v="0"/>
    <n v="2947978"/>
    <n v="0"/>
  </r>
  <r>
    <s v="Franquicias Sell Out QUEST"/>
    <s v="FQ92 - El Bordo - Cauca"/>
    <x v="8"/>
    <s v="septiembre"/>
    <n v="23"/>
    <d v="2026-09-23T00:00:00"/>
    <n v="1061801968"/>
    <s v="ROJAS RIVERA  YESICA ANSORENA"/>
    <n v="3"/>
    <n v="0"/>
    <n v="281344"/>
  </r>
  <r>
    <s v="Franquicias Sell Out QUEST"/>
    <s v="FQ92 - El Bordo - Cauca"/>
    <x v="8"/>
    <s v="septiembre"/>
    <n v="23"/>
    <d v="2026-09-23T00:00:00"/>
    <n v="1131024340"/>
    <s v="CHILITO MENESES  JENNIFER YULIANA"/>
    <n v="48"/>
    <n v="0"/>
    <n v="2808614"/>
  </r>
  <r>
    <s v="Franquicias Sell Out QUEST"/>
    <s v="FQ92 - El Bordo - Cauca"/>
    <x v="8"/>
    <s v="septiembre"/>
    <n v="24"/>
    <d v="2026-09-24T00:00:00"/>
    <m/>
    <m/>
    <n v="0"/>
    <n v="7624036"/>
    <n v="0"/>
  </r>
  <r>
    <s v="Franquicias Sell Out QUEST"/>
    <s v="FQ92 - El Bordo - Cauca"/>
    <x v="8"/>
    <s v="septiembre"/>
    <n v="24"/>
    <d v="2026-09-24T00:00:00"/>
    <n v="1061801968"/>
    <s v="ROJAS RIVERA  YESICA ANSORENA"/>
    <n v="57"/>
    <n v="0"/>
    <n v="2970217"/>
  </r>
  <r>
    <s v="Franquicias Sell Out QUEST"/>
    <s v="FQ92 - El Bordo - Cauca"/>
    <x v="8"/>
    <s v="septiembre"/>
    <n v="24"/>
    <d v="2026-09-24T00:00:00"/>
    <n v="1131024340"/>
    <s v="CHILITO MENESES  JENNIFER YULIANA"/>
    <n v="85"/>
    <n v="0"/>
    <n v="5149792"/>
  </r>
  <r>
    <s v="Franquicias Sell Out QUEST"/>
    <s v="FQ92 - El Bordo - Cauca"/>
    <x v="8"/>
    <s v="septiembre"/>
    <n v="25"/>
    <d v="2026-09-25T00:00:00"/>
    <m/>
    <m/>
    <n v="0"/>
    <n v="8142888"/>
    <n v="0"/>
  </r>
  <r>
    <s v="Franquicias Sell Out QUEST"/>
    <s v="FQ92 - El Bordo - Cauca"/>
    <x v="8"/>
    <s v="septiembre"/>
    <n v="25"/>
    <d v="2026-09-25T00:00:00"/>
    <n v="1061801968"/>
    <s v="ROJAS RIVERA  YESICA ANSORENA"/>
    <n v="54"/>
    <n v="0"/>
    <n v="2661600"/>
  </r>
  <r>
    <s v="Franquicias Sell Out QUEST"/>
    <s v="FQ92 - El Bordo - Cauca"/>
    <x v="8"/>
    <s v="septiembre"/>
    <n v="25"/>
    <d v="2026-09-25T00:00:00"/>
    <n v="1131024340"/>
    <s v="CHILITO MENESES  JENNIFER YULIANA"/>
    <n v="95"/>
    <n v="0"/>
    <n v="5653531"/>
  </r>
  <r>
    <s v="Franquicias Sell Out QUEST"/>
    <s v="FQ92 - El Bordo - Cauca"/>
    <x v="8"/>
    <s v="septiembre"/>
    <n v="26"/>
    <d v="2026-09-26T00:00:00"/>
    <m/>
    <m/>
    <n v="0"/>
    <n v="10267973"/>
    <n v="0"/>
  </r>
  <r>
    <s v="Franquicias Sell Out QUEST"/>
    <s v="FQ92 - El Bordo - Cauca"/>
    <x v="8"/>
    <s v="septiembre"/>
    <n v="26"/>
    <d v="2026-09-26T00:00:00"/>
    <n v="1061801968"/>
    <s v="ROJAS RIVERA  YESICA ANSORENA"/>
    <n v="113"/>
    <n v="0"/>
    <n v="5843956"/>
  </r>
  <r>
    <s v="Franquicias Sell Out QUEST"/>
    <s v="FQ92 - El Bordo - Cauca"/>
    <x v="8"/>
    <s v="septiembre"/>
    <n v="26"/>
    <d v="2026-09-26T00:00:00"/>
    <n v="1131024340"/>
    <s v="CHILITO MENESES  JENNIFER YULIANA"/>
    <n v="172"/>
    <n v="0"/>
    <n v="9555808"/>
  </r>
  <r>
    <s v="Franquicias Sell Out QUEST"/>
    <s v="FQ92 - El Bordo - Cauca"/>
    <x v="8"/>
    <s v="septiembre"/>
    <n v="27"/>
    <d v="2026-09-27T00:00:00"/>
    <m/>
    <m/>
    <n v="0"/>
    <n v="5421392"/>
    <n v="0"/>
  </r>
  <r>
    <s v="Franquicias Sell Out QUEST"/>
    <s v="FQ92 - El Bordo - Cauca"/>
    <x v="8"/>
    <s v="septiembre"/>
    <n v="27"/>
    <d v="2026-09-27T00:00:00"/>
    <n v="1061801968"/>
    <s v="ROJAS RIVERA  YESICA ANSORENA"/>
    <n v="2"/>
    <n v="0"/>
    <n v="62941"/>
  </r>
  <r>
    <s v="Franquicias Sell Out QUEST"/>
    <s v="FQ92 - El Bordo - Cauca"/>
    <x v="8"/>
    <s v="septiembre"/>
    <n v="27"/>
    <d v="2026-09-27T00:00:00"/>
    <n v="1131024340"/>
    <s v="CHILITO MENESES  JENNIFER YULIANA"/>
    <n v="83"/>
    <n v="0"/>
    <n v="4813408"/>
  </r>
  <r>
    <s v="Franquicias Sell Out QUEST"/>
    <s v="FQ92 - El Bordo - Cauca"/>
    <x v="8"/>
    <s v="septiembre"/>
    <n v="28"/>
    <d v="2026-09-28T00:00:00"/>
    <m/>
    <m/>
    <n v="0"/>
    <n v="4444952"/>
    <n v="0"/>
  </r>
  <r>
    <s v="Franquicias Sell Out QUEST"/>
    <s v="FQ92 - El Bordo - Cauca"/>
    <x v="8"/>
    <s v="septiembre"/>
    <n v="28"/>
    <d v="2026-09-28T00:00:00"/>
    <n v="1061801968"/>
    <s v="ROJAS RIVERA  YESICA ANSORENA"/>
    <n v="32"/>
    <n v="0"/>
    <n v="1561472"/>
  </r>
  <r>
    <s v="Franquicias Sell Out QUEST"/>
    <s v="FQ92 - El Bordo - Cauca"/>
    <x v="8"/>
    <s v="septiembre"/>
    <n v="28"/>
    <d v="2026-09-28T00:00:00"/>
    <n v="1131024340"/>
    <s v="CHILITO MENESES  JENNIFER YULIANA"/>
    <n v="68"/>
    <n v="0"/>
    <n v="3402184"/>
  </r>
  <r>
    <s v="Franquicias Sell Out QUEST"/>
    <s v="FQ92 - El Bordo - Cauca"/>
    <x v="8"/>
    <s v="septiembre"/>
    <n v="29"/>
    <d v="2026-09-29T00:00:00"/>
    <m/>
    <m/>
    <n v="0"/>
    <n v="4941473"/>
    <n v="0"/>
  </r>
  <r>
    <s v="Franquicias Sell Out QUEST"/>
    <s v="FQ92 - El Bordo - Cauca"/>
    <x v="8"/>
    <s v="septiembre"/>
    <n v="29"/>
    <d v="2026-09-29T00:00:00"/>
    <n v="1061801968"/>
    <s v="ROJAS RIVERA  YESICA ANSORENA"/>
    <n v="76"/>
    <n v="0"/>
    <n v="4403995"/>
  </r>
  <r>
    <s v="Franquicias Sell Out QUEST"/>
    <s v="FQ92 - El Bordo - Cauca"/>
    <x v="8"/>
    <s v="septiembre"/>
    <n v="29"/>
    <d v="2026-09-29T00:00:00"/>
    <n v="1131024340"/>
    <s v="CHILITO MENESES  JENNIFER YULIANA"/>
    <n v="6"/>
    <n v="0"/>
    <n v="373697"/>
  </r>
  <r>
    <s v="Franquicias Sell Out QUEST"/>
    <s v="FQ92 - El Bordo - Cauca"/>
    <x v="8"/>
    <s v="septiembre"/>
    <n v="30"/>
    <d v="2026-09-30T00:00:00"/>
    <m/>
    <m/>
    <n v="0"/>
    <n v="5233178"/>
    <n v="0"/>
  </r>
  <r>
    <s v="Franquicias Sell Out QUEST"/>
    <s v="FQ92 - El Bordo - Cauca"/>
    <x v="8"/>
    <s v="septiembre"/>
    <n v="30"/>
    <d v="2026-09-30T00:00:00"/>
    <n v="1061801968"/>
    <s v="ROJAS RIVERA  YESICA ANSORENA"/>
    <n v="40"/>
    <n v="0"/>
    <n v="2105295"/>
  </r>
  <r>
    <s v="Franquicias Sell Out QUEST"/>
    <s v="FQ92 - El Bordo - Cauca"/>
    <x v="8"/>
    <s v="septiembre"/>
    <n v="30"/>
    <d v="2026-09-30T00:00:00"/>
    <n v="1131024340"/>
    <s v="CHILITO MENESES  JENNIFER YULIANA"/>
    <n v="33"/>
    <n v="0"/>
    <n v="1796809"/>
  </r>
  <r>
    <s v="Franquicias Sell Out QUEST"/>
    <s v="FQ92 - El Bordo - Cauca"/>
    <x v="8"/>
    <s v="octubre"/>
    <n v="1"/>
    <d v="2026-10-01T00:00:00"/>
    <m/>
    <m/>
    <n v="0"/>
    <n v="3948113"/>
    <n v="0"/>
  </r>
  <r>
    <s v="Franquicias Sell Out QUEST"/>
    <s v="FQ92 - El Bordo - Cauca"/>
    <x v="8"/>
    <s v="octubre"/>
    <n v="1"/>
    <d v="2026-10-01T00:00:00"/>
    <n v="1061801968"/>
    <s v="ROJAS RIVERA  YESICA ANSORENA"/>
    <n v="14"/>
    <n v="0"/>
    <n v="761935"/>
  </r>
  <r>
    <s v="Franquicias Sell Out QUEST"/>
    <s v="FQ92 - El Bordo - Cauca"/>
    <x v="8"/>
    <s v="octubre"/>
    <n v="1"/>
    <d v="2026-10-01T00:00:00"/>
    <n v="1131024340"/>
    <s v="CHILITO MENESES  JENNIFER YULIANA"/>
    <n v="54"/>
    <n v="0"/>
    <n v="2793785"/>
  </r>
  <r>
    <s v="Franquicias Sell Out QUEST"/>
    <s v="FQ92 - El Bordo - Cauca"/>
    <x v="8"/>
    <s v="octubre"/>
    <n v="2"/>
    <d v="2026-10-02T00:00:00"/>
    <m/>
    <m/>
    <n v="0"/>
    <n v="4141285"/>
    <n v="0"/>
  </r>
  <r>
    <s v="Franquicias Sell Out QUEST"/>
    <s v="FQ92 - El Bordo - Cauca"/>
    <x v="8"/>
    <s v="octubre"/>
    <n v="2"/>
    <d v="2026-10-02T00:00:00"/>
    <n v="1061801968"/>
    <s v="ROJAS RIVERA  YESICA ANSORENA"/>
    <n v="21"/>
    <n v="0"/>
    <n v="994835"/>
  </r>
  <r>
    <s v="Franquicias Sell Out QUEST"/>
    <s v="FQ92 - El Bordo - Cauca"/>
    <x v="8"/>
    <s v="octubre"/>
    <n v="2"/>
    <d v="2026-10-02T00:00:00"/>
    <n v="1131024340"/>
    <s v="CHILITO MENESES  JENNIFER YULIANA"/>
    <n v="108"/>
    <n v="0"/>
    <n v="5990593"/>
  </r>
  <r>
    <s v="Franquicias Sell Out QUEST"/>
    <s v="FQ92 - El Bordo - Cauca"/>
    <x v="8"/>
    <s v="octubre"/>
    <n v="3"/>
    <d v="2026-10-03T00:00:00"/>
    <m/>
    <m/>
    <n v="0"/>
    <n v="9024550"/>
    <n v="0"/>
  </r>
  <r>
    <s v="Franquicias Sell Out QUEST"/>
    <s v="FQ92 - El Bordo - Cauca"/>
    <x v="8"/>
    <s v="octubre"/>
    <n v="3"/>
    <d v="2026-10-03T00:00:00"/>
    <n v="1061801968"/>
    <s v="ROJAS RIVERA  YESICA ANSORENA"/>
    <n v="79"/>
    <n v="0"/>
    <n v="4022113"/>
  </r>
  <r>
    <s v="Franquicias Sell Out QUEST"/>
    <s v="FQ92 - El Bordo - Cauca"/>
    <x v="8"/>
    <s v="octubre"/>
    <n v="3"/>
    <d v="2026-10-03T00:00:00"/>
    <n v="1131024340"/>
    <s v="CHILITO MENESES  JENNIFER YULIANA"/>
    <n v="171"/>
    <n v="0"/>
    <n v="9826970"/>
  </r>
  <r>
    <s v="Franquicias Sell Out QUEST"/>
    <s v="FQ92 - El Bordo - Cauca"/>
    <x v="8"/>
    <s v="octubre"/>
    <n v="4"/>
    <d v="2026-10-04T00:00:00"/>
    <m/>
    <m/>
    <n v="0"/>
    <n v="3896399"/>
    <n v="0"/>
  </r>
  <r>
    <s v="Franquicias Sell Out QUEST"/>
    <s v="FQ92 - El Bordo - Cauca"/>
    <x v="8"/>
    <s v="octubre"/>
    <n v="4"/>
    <d v="2026-10-04T00:00:00"/>
    <n v="1131024340"/>
    <s v="CHILITO MENESES  JENNIFER YULIANA"/>
    <n v="44"/>
    <n v="0"/>
    <n v="2449667"/>
  </r>
  <r>
    <s v="Franquicias Sell Out QUEST"/>
    <s v="FQ92 - El Bordo - Cauca"/>
    <x v="8"/>
    <s v="octubre"/>
    <n v="5"/>
    <d v="2026-10-05T00:00:00"/>
    <m/>
    <m/>
    <n v="0"/>
    <n v="4024570"/>
    <n v="0"/>
  </r>
  <r>
    <s v="Franquicias Sell Out QUEST"/>
    <s v="FQ92 - El Bordo - Cauca"/>
    <x v="8"/>
    <s v="octubre"/>
    <n v="5"/>
    <d v="2026-10-05T00:00:00"/>
    <n v="1061801968"/>
    <s v="ROJAS RIVERA  YESICA ANSORENA"/>
    <n v="3"/>
    <n v="0"/>
    <n v="100714"/>
  </r>
  <r>
    <s v="Franquicias Sell Out QUEST"/>
    <s v="FQ92 - El Bordo - Cauca"/>
    <x v="8"/>
    <s v="octubre"/>
    <n v="5"/>
    <d v="2026-10-05T00:00:00"/>
    <n v="1131024340"/>
    <s v="CHILITO MENESES  JENNIFER YULIANA"/>
    <n v="39"/>
    <n v="0"/>
    <n v="2088530"/>
  </r>
  <r>
    <s v="Franquicias Sell Out QUEST"/>
    <s v="FQ92 - El Bordo - Cauca"/>
    <x v="8"/>
    <s v="octubre"/>
    <n v="6"/>
    <d v="2026-10-06T00:00:00"/>
    <m/>
    <m/>
    <n v="0"/>
    <n v="2137035"/>
    <n v="0"/>
  </r>
  <r>
    <s v="Franquicias Sell Out QUEST"/>
    <s v="FQ92 - El Bordo - Cauca"/>
    <x v="8"/>
    <s v="octubre"/>
    <n v="6"/>
    <d v="2026-10-06T00:00:00"/>
    <n v="1061801968"/>
    <s v="ROJAS RIVERA  YESICA ANSORENA"/>
    <n v="22"/>
    <n v="0"/>
    <n v="956935"/>
  </r>
  <r>
    <s v="Franquicias Sell Out QUEST"/>
    <s v="FQ92 - El Bordo - Cauca"/>
    <x v="8"/>
    <s v="octubre"/>
    <n v="6"/>
    <d v="2026-10-06T00:00:00"/>
    <n v="1131024340"/>
    <s v="CHILITO MENESES  JENNIFER YULIANA"/>
    <n v="52"/>
    <n v="0"/>
    <n v="2508028"/>
  </r>
  <r>
    <s v="Franquicias Sell Out QUEST"/>
    <s v="FQ92 - El Bordo - Cauca"/>
    <x v="8"/>
    <s v="octubre"/>
    <n v="7"/>
    <d v="2026-10-07T00:00:00"/>
    <m/>
    <m/>
    <n v="0"/>
    <n v="614640"/>
    <n v="0"/>
  </r>
  <r>
    <s v="Franquicias Sell Out QUEST"/>
    <s v="FQ92 - El Bordo - Cauca"/>
    <x v="8"/>
    <s v="octubre"/>
    <n v="7"/>
    <d v="2026-10-07T00:00:00"/>
    <n v="1061801968"/>
    <s v="ROJAS RIVERA  YESICA ANSORENA"/>
    <n v="14"/>
    <n v="0"/>
    <n v="684160"/>
  </r>
  <r>
    <s v="Franquicias Sell Out QUEST"/>
    <s v="FQ92 - El Bordo - Cauca"/>
    <x v="8"/>
    <s v="octubre"/>
    <n v="7"/>
    <d v="2026-10-07T00:00:00"/>
    <n v="1131024340"/>
    <s v="CHILITO MENESES  JENNIFER YULIANA"/>
    <n v="52"/>
    <n v="0"/>
    <n v="3060212"/>
  </r>
  <r>
    <s v="Franquicias Sell Out QUEST"/>
    <s v="FQ96 - Túquerres - Nariño"/>
    <x v="8"/>
    <s v="septiembre"/>
    <n v="23"/>
    <d v="2026-09-23T00:00:00"/>
    <m/>
    <m/>
    <n v="0"/>
    <n v="1325083"/>
    <n v="0"/>
  </r>
  <r>
    <s v="Franquicias Sell Out QUEST"/>
    <s v="FQ96 - Túquerres - Nariño"/>
    <x v="8"/>
    <s v="septiembre"/>
    <n v="23"/>
    <d v="2026-09-23T00:00:00"/>
    <n v="1004563904"/>
    <s v="LÓPEZ  DAYANA"/>
    <n v="43"/>
    <n v="0"/>
    <n v="2811220"/>
  </r>
  <r>
    <s v="Franquicias Sell Out QUEST"/>
    <s v="FQ96 - Túquerres - Nariño"/>
    <x v="8"/>
    <s v="septiembre"/>
    <n v="23"/>
    <d v="2026-09-23T00:00:00"/>
    <n v="1004564278"/>
    <s v="FIGUEROA  KATHERINNE"/>
    <n v="40"/>
    <n v="0"/>
    <n v="2590760"/>
  </r>
  <r>
    <s v="Franquicias Sell Out QUEST"/>
    <s v="FQ96 - Túquerres - Nariño"/>
    <x v="8"/>
    <s v="septiembre"/>
    <n v="24"/>
    <d v="2026-09-24T00:00:00"/>
    <m/>
    <m/>
    <n v="0"/>
    <n v="3426915"/>
    <n v="0"/>
  </r>
  <r>
    <s v="Franquicias Sell Out QUEST"/>
    <s v="FQ96 - Túquerres - Nariño"/>
    <x v="8"/>
    <s v="septiembre"/>
    <n v="24"/>
    <d v="2026-09-24T00:00:00"/>
    <n v="1004563904"/>
    <s v="LÓPEZ  DAYANA"/>
    <n v="49"/>
    <n v="0"/>
    <n v="2628196"/>
  </r>
  <r>
    <s v="Franquicias Sell Out QUEST"/>
    <s v="FQ96 - Túquerres - Nariño"/>
    <x v="8"/>
    <s v="septiembre"/>
    <n v="24"/>
    <d v="2026-09-24T00:00:00"/>
    <n v="1004564278"/>
    <s v="FIGUEROA  KATHERINNE"/>
    <n v="61"/>
    <n v="0"/>
    <n v="3383993"/>
  </r>
  <r>
    <s v="Franquicias Sell Out QUEST"/>
    <s v="FQ96 - Túquerres - Nariño"/>
    <x v="8"/>
    <s v="septiembre"/>
    <n v="25"/>
    <d v="2026-09-25T00:00:00"/>
    <m/>
    <m/>
    <n v="0"/>
    <n v="3660134"/>
    <n v="0"/>
  </r>
  <r>
    <s v="Franquicias Sell Out QUEST"/>
    <s v="FQ96 - Túquerres - Nariño"/>
    <x v="8"/>
    <s v="septiembre"/>
    <n v="25"/>
    <d v="2026-09-25T00:00:00"/>
    <n v="13069015"/>
    <s v="PANTOJA ZAMBRANO OSCAR JAVIER"/>
    <n v="15"/>
    <n v="0"/>
    <n v="755675"/>
  </r>
  <r>
    <s v="Franquicias Sell Out QUEST"/>
    <s v="FQ96 - Túquerres - Nariño"/>
    <x v="8"/>
    <s v="septiembre"/>
    <n v="25"/>
    <d v="2026-09-25T00:00:00"/>
    <n v="1004563904"/>
    <s v="LÓPEZ  DAYANA"/>
    <n v="49"/>
    <n v="0"/>
    <n v="2645004"/>
  </r>
  <r>
    <s v="Franquicias Sell Out QUEST"/>
    <s v="FQ96 - Túquerres - Nariño"/>
    <x v="8"/>
    <s v="septiembre"/>
    <n v="25"/>
    <d v="2026-09-25T00:00:00"/>
    <n v="1004564278"/>
    <s v="FIGUEROA  KATHERINNE"/>
    <n v="58"/>
    <n v="0"/>
    <n v="3218153"/>
  </r>
  <r>
    <s v="Franquicias Sell Out QUEST"/>
    <s v="FQ96 - Túquerres - Nariño"/>
    <x v="8"/>
    <s v="septiembre"/>
    <n v="26"/>
    <d v="2026-09-26T00:00:00"/>
    <m/>
    <m/>
    <n v="0"/>
    <n v="4615332"/>
    <n v="0"/>
  </r>
  <r>
    <s v="Franquicias Sell Out QUEST"/>
    <s v="FQ96 - Túquerres - Nariño"/>
    <x v="8"/>
    <s v="septiembre"/>
    <n v="26"/>
    <d v="2026-09-26T00:00:00"/>
    <n v="13069015"/>
    <s v="PANTOJA ZAMBRANO OSCAR JAVIER"/>
    <n v="58"/>
    <n v="0"/>
    <n v="2871491"/>
  </r>
  <r>
    <s v="Franquicias Sell Out QUEST"/>
    <s v="FQ96 - Túquerres - Nariño"/>
    <x v="8"/>
    <s v="septiembre"/>
    <n v="26"/>
    <d v="2026-09-26T00:00:00"/>
    <n v="1004563904"/>
    <s v="LÓPEZ  DAYANA"/>
    <n v="47"/>
    <n v="0"/>
    <n v="2611220"/>
  </r>
  <r>
    <s v="Franquicias Sell Out QUEST"/>
    <s v="FQ96 - Túquerres - Nariño"/>
    <x v="8"/>
    <s v="septiembre"/>
    <n v="26"/>
    <d v="2026-09-26T00:00:00"/>
    <n v="1004564278"/>
    <s v="FIGUEROA  KATHERINNE"/>
    <n v="47"/>
    <n v="0"/>
    <n v="2777419"/>
  </r>
  <r>
    <s v="Franquicias Sell Out QUEST"/>
    <s v="FQ96 - Túquerres - Nariño"/>
    <x v="8"/>
    <s v="septiembre"/>
    <n v="27"/>
    <d v="2026-09-27T00:00:00"/>
    <m/>
    <m/>
    <n v="0"/>
    <n v="2436853"/>
    <n v="0"/>
  </r>
  <r>
    <s v="Franquicias Sell Out QUEST"/>
    <s v="FQ96 - Túquerres - Nariño"/>
    <x v="8"/>
    <s v="septiembre"/>
    <n v="27"/>
    <d v="2026-09-27T00:00:00"/>
    <n v="13069015"/>
    <s v="PANTOJA ZAMBRANO OSCAR JAVIER"/>
    <n v="22"/>
    <n v="0"/>
    <n v="1528405"/>
  </r>
  <r>
    <s v="Franquicias Sell Out QUEST"/>
    <s v="FQ96 - Túquerres - Nariño"/>
    <x v="8"/>
    <s v="septiembre"/>
    <n v="27"/>
    <d v="2026-09-27T00:00:00"/>
    <n v="1004563904"/>
    <s v="LÓPEZ  DAYANA"/>
    <n v="7"/>
    <n v="0"/>
    <n v="419874"/>
  </r>
  <r>
    <s v="Franquicias Sell Out QUEST"/>
    <s v="FQ96 - Túquerres - Nariño"/>
    <x v="8"/>
    <s v="septiembre"/>
    <n v="27"/>
    <d v="2026-09-27T00:00:00"/>
    <n v="1004564278"/>
    <s v="FIGUEROA  KATHERINNE"/>
    <n v="10"/>
    <n v="0"/>
    <n v="743278"/>
  </r>
  <r>
    <s v="Franquicias Sell Out QUEST"/>
    <s v="FQ96 - Túquerres - Nariño"/>
    <x v="8"/>
    <s v="septiembre"/>
    <n v="28"/>
    <d v="2026-09-28T00:00:00"/>
    <m/>
    <m/>
    <n v="0"/>
    <n v="1997955"/>
    <n v="0"/>
  </r>
  <r>
    <s v="Franquicias Sell Out QUEST"/>
    <s v="FQ96 - Túquerres - Nariño"/>
    <x v="8"/>
    <s v="septiembre"/>
    <n v="28"/>
    <d v="2026-09-28T00:00:00"/>
    <n v="1004563904"/>
    <s v="LÓPEZ  DAYANA"/>
    <n v="14"/>
    <n v="0"/>
    <n v="631681"/>
  </r>
  <r>
    <s v="Franquicias Sell Out QUEST"/>
    <s v="FQ96 - Túquerres - Nariño"/>
    <x v="8"/>
    <s v="septiembre"/>
    <n v="28"/>
    <d v="2026-09-28T00:00:00"/>
    <n v="1004564278"/>
    <s v="FIGUEROA  KATHERINNE"/>
    <n v="10"/>
    <n v="0"/>
    <n v="606724"/>
  </r>
  <r>
    <s v="Franquicias Sell Out QUEST"/>
    <s v="FQ96 - Túquerres - Nariño"/>
    <x v="8"/>
    <s v="septiembre"/>
    <n v="29"/>
    <d v="2026-09-29T00:00:00"/>
    <m/>
    <m/>
    <n v="0"/>
    <n v="2221136"/>
    <n v="0"/>
  </r>
  <r>
    <s v="Franquicias Sell Out QUEST"/>
    <s v="FQ96 - Túquerres - Nariño"/>
    <x v="8"/>
    <s v="septiembre"/>
    <n v="29"/>
    <d v="2026-09-29T00:00:00"/>
    <n v="1004563904"/>
    <s v="LÓPEZ  DAYANA"/>
    <n v="31"/>
    <n v="0"/>
    <n v="1370253"/>
  </r>
  <r>
    <s v="Franquicias Sell Out QUEST"/>
    <s v="FQ96 - Túquerres - Nariño"/>
    <x v="8"/>
    <s v="septiembre"/>
    <n v="29"/>
    <d v="2026-09-29T00:00:00"/>
    <n v="1004564278"/>
    <s v="FIGUEROA  KATHERINNE"/>
    <n v="21"/>
    <n v="0"/>
    <n v="921346"/>
  </r>
  <r>
    <s v="Franquicias Sell Out QUEST"/>
    <s v="FQ96 - Túquerres - Nariño"/>
    <x v="8"/>
    <s v="septiembre"/>
    <n v="30"/>
    <d v="2026-09-30T00:00:00"/>
    <m/>
    <m/>
    <n v="0"/>
    <n v="2352252"/>
    <n v="0"/>
  </r>
  <r>
    <s v="Franquicias Sell Out QUEST"/>
    <s v="FQ96 - Túquerres - Nariño"/>
    <x v="8"/>
    <s v="septiembre"/>
    <n v="30"/>
    <d v="2026-09-30T00:00:00"/>
    <n v="1004563904"/>
    <s v="LÓPEZ  DAYANA"/>
    <n v="22"/>
    <n v="0"/>
    <n v="1204918"/>
  </r>
  <r>
    <s v="Franquicias Sell Out QUEST"/>
    <s v="FQ96 - Túquerres - Nariño"/>
    <x v="8"/>
    <s v="septiembre"/>
    <n v="30"/>
    <d v="2026-09-30T00:00:00"/>
    <n v="1004564278"/>
    <s v="FIGUEROA  KATHERINNE"/>
    <n v="20"/>
    <n v="0"/>
    <n v="940252"/>
  </r>
  <r>
    <s v="Franquicias Sell Out QUEST"/>
    <s v="FQ96 - Túquerres - Nariño"/>
    <x v="8"/>
    <s v="octubre"/>
    <n v="1"/>
    <d v="2026-10-01T00:00:00"/>
    <m/>
    <m/>
    <n v="0"/>
    <n v="6970817"/>
    <n v="0"/>
  </r>
  <r>
    <s v="Franquicias Sell Out QUEST"/>
    <s v="FQ96 - Túquerres - Nariño"/>
    <x v="8"/>
    <s v="octubre"/>
    <n v="1"/>
    <d v="2026-10-01T00:00:00"/>
    <n v="1004563904"/>
    <s v="LÓPEZ  DAYANA"/>
    <n v="32"/>
    <n v="0"/>
    <n v="1578026"/>
  </r>
  <r>
    <s v="Franquicias Sell Out QUEST"/>
    <s v="FQ96 - Túquerres - Nariño"/>
    <x v="8"/>
    <s v="octubre"/>
    <n v="1"/>
    <d v="2026-10-01T00:00:00"/>
    <n v="1004564278"/>
    <s v="FIGUEROA  KATHERINNE"/>
    <n v="24"/>
    <n v="0"/>
    <n v="1578742"/>
  </r>
  <r>
    <s v="Franquicias Sell Out QUEST"/>
    <s v="FQ96 - Túquerres - Nariño"/>
    <x v="8"/>
    <s v="octubre"/>
    <n v="2"/>
    <d v="2026-10-02T00:00:00"/>
    <m/>
    <m/>
    <n v="0"/>
    <n v="6785322"/>
    <n v="0"/>
  </r>
  <r>
    <s v="Franquicias Sell Out QUEST"/>
    <s v="FQ96 - Túquerres - Nariño"/>
    <x v="8"/>
    <s v="octubre"/>
    <n v="2"/>
    <d v="2026-10-02T00:00:00"/>
    <n v="1004563904"/>
    <s v="LÓPEZ  DAYANA"/>
    <n v="21"/>
    <n v="0"/>
    <n v="931766"/>
  </r>
  <r>
    <s v="Franquicias Sell Out QUEST"/>
    <s v="FQ96 - Túquerres - Nariño"/>
    <x v="8"/>
    <s v="octubre"/>
    <n v="2"/>
    <d v="2026-10-02T00:00:00"/>
    <n v="1004564278"/>
    <s v="FIGUEROA  KATHERINNE"/>
    <n v="39"/>
    <n v="0"/>
    <n v="2059162"/>
  </r>
  <r>
    <s v="Franquicias Sell Out QUEST"/>
    <s v="FQ96 - Túquerres - Nariño"/>
    <x v="8"/>
    <s v="octubre"/>
    <n v="3"/>
    <d v="2026-10-03T00:00:00"/>
    <m/>
    <m/>
    <n v="0"/>
    <n v="11130846"/>
    <n v="0"/>
  </r>
  <r>
    <s v="Franquicias Sell Out QUEST"/>
    <s v="FQ96 - Túquerres - Nariño"/>
    <x v="8"/>
    <s v="octubre"/>
    <n v="3"/>
    <d v="2026-10-03T00:00:00"/>
    <n v="1004563904"/>
    <s v="LÓPEZ  DAYANA"/>
    <n v="34"/>
    <n v="0"/>
    <n v="1685642"/>
  </r>
  <r>
    <s v="Franquicias Sell Out QUEST"/>
    <s v="FQ96 - Túquerres - Nariño"/>
    <x v="8"/>
    <s v="octubre"/>
    <n v="3"/>
    <d v="2026-10-03T00:00:00"/>
    <n v="1004564278"/>
    <s v="FIGUEROA  KATHERINNE"/>
    <n v="38"/>
    <n v="0"/>
    <n v="2293254"/>
  </r>
  <r>
    <s v="Franquicias Sell Out QUEST"/>
    <s v="FQ96 - Túquerres - Nariño"/>
    <x v="8"/>
    <s v="octubre"/>
    <n v="4"/>
    <d v="2026-10-04T00:00:00"/>
    <m/>
    <m/>
    <n v="0"/>
    <n v="3622209"/>
    <n v="0"/>
  </r>
  <r>
    <s v="Franquicias Sell Out QUEST"/>
    <s v="FQ96 - Túquerres - Nariño"/>
    <x v="8"/>
    <s v="octubre"/>
    <n v="4"/>
    <d v="2026-10-04T00:00:00"/>
    <n v="1004563904"/>
    <s v="LÓPEZ  DAYANA"/>
    <n v="17"/>
    <n v="0"/>
    <n v="910841"/>
  </r>
  <r>
    <s v="Franquicias Sell Out QUEST"/>
    <s v="FQ96 - Túquerres - Nariño"/>
    <x v="8"/>
    <s v="octubre"/>
    <n v="4"/>
    <d v="2026-10-04T00:00:00"/>
    <n v="1004564278"/>
    <s v="FIGUEROA  KATHERINNE"/>
    <n v="23"/>
    <n v="0"/>
    <n v="1406554"/>
  </r>
  <r>
    <s v="Franquicias Sell Out QUEST"/>
    <s v="FQ96 - Túquerres - Nariño"/>
    <x v="8"/>
    <s v="octubre"/>
    <n v="5"/>
    <d v="2026-10-05T00:00:00"/>
    <m/>
    <m/>
    <n v="0"/>
    <n v="5287076"/>
    <n v="0"/>
  </r>
  <r>
    <s v="Franquicias Sell Out QUEST"/>
    <s v="FQ96 - Túquerres - Nariño"/>
    <x v="8"/>
    <s v="octubre"/>
    <n v="5"/>
    <d v="2026-10-05T00:00:00"/>
    <n v="1004563904"/>
    <s v="LÓPEZ  DAYANA"/>
    <n v="9"/>
    <n v="0"/>
    <n v="461765"/>
  </r>
  <r>
    <s v="Franquicias Sell Out QUEST"/>
    <s v="FQ96 - Túquerres - Nariño"/>
    <x v="8"/>
    <s v="octubre"/>
    <n v="5"/>
    <d v="2026-10-05T00:00:00"/>
    <n v="1004564278"/>
    <s v="FIGUEROA  KATHERINNE"/>
    <n v="18"/>
    <n v="0"/>
    <n v="923488"/>
  </r>
  <r>
    <s v="Franquicias Sell Out QUEST"/>
    <s v="FQ96 - Túquerres - Nariño"/>
    <x v="8"/>
    <s v="octubre"/>
    <n v="6"/>
    <d v="2026-10-06T00:00:00"/>
    <m/>
    <m/>
    <n v="0"/>
    <n v="3090645"/>
    <n v="0"/>
  </r>
  <r>
    <s v="Franquicias Sell Out QUEST"/>
    <s v="FQ96 - Túquerres - Nariño"/>
    <x v="8"/>
    <s v="octubre"/>
    <n v="6"/>
    <d v="2026-10-06T00:00:00"/>
    <n v="1004563904"/>
    <s v="LÓPEZ  DAYANA"/>
    <n v="18"/>
    <n v="0"/>
    <n v="933670"/>
  </r>
  <r>
    <s v="Franquicias Sell Out QUEST"/>
    <s v="FQ96 - Túquerres - Nariño"/>
    <x v="8"/>
    <s v="octubre"/>
    <n v="6"/>
    <d v="2026-10-06T00:00:00"/>
    <n v="1004564278"/>
    <s v="FIGUEROA  KATHERINNE"/>
    <n v="18"/>
    <n v="0"/>
    <n v="765969"/>
  </r>
  <r>
    <s v="Franquicias Sell Out QUEST"/>
    <s v="FQ96 - Túquerres - Nariño"/>
    <x v="8"/>
    <s v="octubre"/>
    <n v="7"/>
    <d v="2026-10-07T00:00:00"/>
    <m/>
    <m/>
    <n v="0"/>
    <n v="312745"/>
    <n v="0"/>
  </r>
  <r>
    <s v="Franquicias Sell Out QUEST"/>
    <s v="FQ96 - Túquerres - Nariño"/>
    <x v="8"/>
    <s v="octubre"/>
    <n v="7"/>
    <d v="2026-10-07T00:00:00"/>
    <n v="1004563904"/>
    <s v="LÓPEZ  DAYANA"/>
    <n v="14"/>
    <n v="0"/>
    <n v="625379"/>
  </r>
  <r>
    <s v="Franquicias Sell Out QUEST"/>
    <s v="FQ96 - Túquerres - Nariño"/>
    <x v="8"/>
    <s v="octubre"/>
    <n v="7"/>
    <d v="2026-10-07T00:00:00"/>
    <n v="1004564278"/>
    <s v="FIGUEROA  KATHERINNE"/>
    <n v="25"/>
    <n v="0"/>
    <n v="1572312"/>
  </r>
  <r>
    <s v="Retail"/>
    <s v="Q045 - Pasto - Cc Unicentro"/>
    <x v="8"/>
    <s v="septiembre"/>
    <n v="23"/>
    <d v="2026-09-23T00:00:00"/>
    <m/>
    <m/>
    <n v="0"/>
    <n v="8713029"/>
    <n v="0"/>
  </r>
  <r>
    <s v="Retail"/>
    <s v="Q045 - Pasto - Cc Unicentro"/>
    <x v="8"/>
    <s v="septiembre"/>
    <n v="23"/>
    <d v="2026-09-23T00:00:00"/>
    <n v="1004217416"/>
    <s v="CABRERA CAICEDO ANGELY  GABRIELA"/>
    <n v="18"/>
    <n v="0"/>
    <n v="1385799"/>
  </r>
  <r>
    <s v="Retail"/>
    <s v="Q045 - Pasto - Cc Unicentro"/>
    <x v="8"/>
    <s v="septiembre"/>
    <n v="23"/>
    <d v="2026-09-23T00:00:00"/>
    <n v="1004236530"/>
    <s v="MONTENEGRO ORTEGA SANTIAGO ESLEANY"/>
    <n v="5"/>
    <n v="0"/>
    <n v="333824"/>
  </r>
  <r>
    <s v="Retail"/>
    <s v="Q045 - Pasto - Cc Unicentro"/>
    <x v="8"/>
    <s v="septiembre"/>
    <n v="23"/>
    <d v="2026-09-23T00:00:00"/>
    <n v="1085274203"/>
    <s v="VALENCIA  VIVIANA"/>
    <n v="89"/>
    <n v="0"/>
    <n v="5725218"/>
  </r>
  <r>
    <s v="Retail"/>
    <s v="Q045 - Pasto - Cc Unicentro"/>
    <x v="8"/>
    <s v="septiembre"/>
    <n v="23"/>
    <d v="2026-09-23T00:00:00"/>
    <n v="1233193345"/>
    <s v="PILPUD ENRIQUEZ YULIETH CATHERINE"/>
    <n v="57"/>
    <n v="0"/>
    <n v="3310633"/>
  </r>
  <r>
    <s v="Retail"/>
    <s v="Q045 - Pasto - Cc Unicentro"/>
    <x v="8"/>
    <s v="septiembre"/>
    <n v="24"/>
    <d v="2026-09-24T00:00:00"/>
    <m/>
    <m/>
    <n v="0"/>
    <n v="13310131"/>
    <n v="0"/>
  </r>
  <r>
    <s v="Retail"/>
    <s v="Q045 - Pasto - Cc Unicentro"/>
    <x v="8"/>
    <s v="septiembre"/>
    <n v="24"/>
    <d v="2026-09-24T00:00:00"/>
    <n v="1004217416"/>
    <s v="CABRERA CAICEDO ANGELY  GABRIELA"/>
    <n v="15"/>
    <n v="0"/>
    <n v="776682"/>
  </r>
  <r>
    <s v="Retail"/>
    <s v="Q045 - Pasto - Cc Unicentro"/>
    <x v="8"/>
    <s v="septiembre"/>
    <n v="24"/>
    <d v="2026-09-24T00:00:00"/>
    <n v="1085274203"/>
    <s v="VALENCIA  VIVIANA"/>
    <n v="95"/>
    <n v="0"/>
    <n v="5598870"/>
  </r>
  <r>
    <s v="Retail"/>
    <s v="Q045 - Pasto - Cc Unicentro"/>
    <x v="8"/>
    <s v="septiembre"/>
    <n v="24"/>
    <d v="2026-09-24T00:00:00"/>
    <n v="1233193345"/>
    <s v="PILPUD ENRIQUEZ YULIETH CATHERINE"/>
    <n v="110"/>
    <n v="0"/>
    <n v="6636009"/>
  </r>
  <r>
    <s v="Retail"/>
    <s v="Q045 - Pasto - Cc Unicentro"/>
    <x v="8"/>
    <s v="septiembre"/>
    <n v="25"/>
    <d v="2026-09-25T00:00:00"/>
    <m/>
    <m/>
    <n v="0"/>
    <n v="13280667"/>
    <n v="0"/>
  </r>
  <r>
    <s v="Retail"/>
    <s v="Q045 - Pasto - Cc Unicentro"/>
    <x v="8"/>
    <s v="septiembre"/>
    <n v="25"/>
    <d v="2026-09-25T00:00:00"/>
    <n v="1004191830"/>
    <s v="SALAZAR MENESES VICTOR FELIPE"/>
    <n v="15"/>
    <n v="0"/>
    <n v="902647"/>
  </r>
  <r>
    <s v="Retail"/>
    <s v="Q045 - Pasto - Cc Unicentro"/>
    <x v="8"/>
    <s v="septiembre"/>
    <n v="25"/>
    <d v="2026-09-25T00:00:00"/>
    <n v="1004217416"/>
    <s v="CABRERA CAICEDO ANGELY  GABRIELA"/>
    <n v="16"/>
    <n v="0"/>
    <n v="1264036"/>
  </r>
  <r>
    <s v="Retail"/>
    <s v="Q045 - Pasto - Cc Unicentro"/>
    <x v="8"/>
    <s v="septiembre"/>
    <n v="25"/>
    <d v="2026-09-25T00:00:00"/>
    <n v="1085274203"/>
    <s v="VALENCIA  VIVIANA"/>
    <n v="68"/>
    <n v="0"/>
    <n v="3843617"/>
  </r>
  <r>
    <s v="Retail"/>
    <s v="Q045 - Pasto - Cc Unicentro"/>
    <x v="8"/>
    <s v="septiembre"/>
    <n v="25"/>
    <d v="2026-09-25T00:00:00"/>
    <n v="1233193345"/>
    <s v="PILPUD ENRIQUEZ YULIETH CATHERINE"/>
    <n v="89"/>
    <n v="0"/>
    <n v="5611689"/>
  </r>
  <r>
    <s v="Retail"/>
    <s v="Q045 - Pasto - Cc Unicentro"/>
    <x v="8"/>
    <s v="septiembre"/>
    <n v="26"/>
    <d v="2026-09-26T00:00:00"/>
    <m/>
    <m/>
    <n v="0"/>
    <n v="19086224"/>
    <n v="0"/>
  </r>
  <r>
    <s v="Retail"/>
    <s v="Q045 - Pasto - Cc Unicentro"/>
    <x v="8"/>
    <s v="septiembre"/>
    <n v="26"/>
    <d v="2026-09-26T00:00:00"/>
    <n v="1004191830"/>
    <s v="SALAZAR MENESES VICTOR FELIPE"/>
    <n v="3"/>
    <n v="0"/>
    <n v="159538"/>
  </r>
  <r>
    <s v="Retail"/>
    <s v="Q045 - Pasto - Cc Unicentro"/>
    <x v="8"/>
    <s v="septiembre"/>
    <n v="26"/>
    <d v="2026-09-26T00:00:00"/>
    <n v="1004217416"/>
    <s v="CABRERA CAICEDO ANGELY  GABRIELA"/>
    <n v="15"/>
    <n v="0"/>
    <n v="848069"/>
  </r>
  <r>
    <s v="Retail"/>
    <s v="Q045 - Pasto - Cc Unicentro"/>
    <x v="8"/>
    <s v="septiembre"/>
    <n v="26"/>
    <d v="2026-09-26T00:00:00"/>
    <n v="1085274203"/>
    <s v="VALENCIA  VIVIANA"/>
    <n v="89"/>
    <n v="0"/>
    <n v="4972943"/>
  </r>
  <r>
    <s v="Retail"/>
    <s v="Q045 - Pasto - Cc Unicentro"/>
    <x v="8"/>
    <s v="septiembre"/>
    <n v="26"/>
    <d v="2026-09-26T00:00:00"/>
    <n v="1233193345"/>
    <s v="PILPUD ENRIQUEZ YULIETH CATHERINE"/>
    <n v="83"/>
    <n v="0"/>
    <n v="5863955"/>
  </r>
  <r>
    <s v="Retail"/>
    <s v="Q045 - Pasto - Cc Unicentro"/>
    <x v="8"/>
    <s v="septiembre"/>
    <n v="27"/>
    <d v="2026-09-27T00:00:00"/>
    <m/>
    <m/>
    <n v="0"/>
    <n v="15120133"/>
    <n v="0"/>
  </r>
  <r>
    <s v="Retail"/>
    <s v="Q045 - Pasto - Cc Unicentro"/>
    <x v="8"/>
    <s v="septiembre"/>
    <n v="27"/>
    <d v="2026-09-27T00:00:00"/>
    <n v="1004217416"/>
    <s v="CABRERA CAICEDO ANGELY  GABRIELA"/>
    <n v="26"/>
    <n v="0"/>
    <n v="1704747"/>
  </r>
  <r>
    <s v="Retail"/>
    <s v="Q045 - Pasto - Cc Unicentro"/>
    <x v="8"/>
    <s v="septiembre"/>
    <n v="27"/>
    <d v="2026-09-27T00:00:00"/>
    <n v="1085274203"/>
    <s v="VALENCIA  VIVIANA"/>
    <n v="46"/>
    <n v="0"/>
    <n v="3212358"/>
  </r>
  <r>
    <s v="Retail"/>
    <s v="Q045 - Pasto - Cc Unicentro"/>
    <x v="8"/>
    <s v="septiembre"/>
    <n v="27"/>
    <d v="2026-09-27T00:00:00"/>
    <n v="1233193345"/>
    <s v="PILPUD ENRIQUEZ YULIETH CATHERINE"/>
    <n v="45"/>
    <n v="0"/>
    <n v="3670337"/>
  </r>
  <r>
    <s v="Retail"/>
    <s v="Q045 - Pasto - Cc Unicentro"/>
    <x v="8"/>
    <s v="septiembre"/>
    <n v="28"/>
    <d v="2026-09-28T00:00:00"/>
    <m/>
    <m/>
    <n v="0"/>
    <n v="8321500"/>
    <n v="0"/>
  </r>
  <r>
    <s v="Retail"/>
    <s v="Q045 - Pasto - Cc Unicentro"/>
    <x v="8"/>
    <s v="septiembre"/>
    <n v="28"/>
    <d v="2026-09-28T00:00:00"/>
    <n v="1004217416"/>
    <s v="CABRERA CAICEDO ANGELY  GABRIELA"/>
    <n v="7"/>
    <n v="0"/>
    <n v="331640"/>
  </r>
  <r>
    <s v="Retail"/>
    <s v="Q045 - Pasto - Cc Unicentro"/>
    <x v="8"/>
    <s v="septiembre"/>
    <n v="28"/>
    <d v="2026-09-28T00:00:00"/>
    <n v="1085274203"/>
    <s v="VALENCIA  VIVIANA"/>
    <n v="68"/>
    <n v="0"/>
    <n v="4559959"/>
  </r>
  <r>
    <s v="Retail"/>
    <s v="Q045 - Pasto - Cc Unicentro"/>
    <x v="8"/>
    <s v="septiembre"/>
    <n v="28"/>
    <d v="2026-09-28T00:00:00"/>
    <n v="1233193345"/>
    <s v="PILPUD ENRIQUEZ YULIETH CATHERINE"/>
    <n v="51"/>
    <n v="0"/>
    <n v="2817146"/>
  </r>
  <r>
    <s v="Retail"/>
    <s v="Q045 - Pasto - Cc Unicentro"/>
    <x v="8"/>
    <s v="septiembre"/>
    <n v="29"/>
    <d v="2026-09-29T00:00:00"/>
    <m/>
    <m/>
    <n v="0"/>
    <n v="8888992"/>
    <n v="0"/>
  </r>
  <r>
    <s v="Retail"/>
    <s v="Q045 - Pasto - Cc Unicentro"/>
    <x v="8"/>
    <s v="septiembre"/>
    <n v="29"/>
    <d v="2026-09-29T00:00:00"/>
    <n v="1004191830"/>
    <s v="SALAZAR MENESES VICTOR FELIPE"/>
    <n v="1"/>
    <n v="0"/>
    <n v="88193"/>
  </r>
  <r>
    <s v="Retail"/>
    <s v="Q045 - Pasto - Cc Unicentro"/>
    <x v="8"/>
    <s v="septiembre"/>
    <n v="29"/>
    <d v="2026-09-29T00:00:00"/>
    <n v="1004217416"/>
    <s v="CABRERA CAICEDO ANGELY  GABRIELA"/>
    <n v="19"/>
    <n v="0"/>
    <n v="1259708"/>
  </r>
  <r>
    <s v="Retail"/>
    <s v="Q045 - Pasto - Cc Unicentro"/>
    <x v="8"/>
    <s v="septiembre"/>
    <n v="29"/>
    <d v="2026-09-29T00:00:00"/>
    <n v="1085274203"/>
    <s v="VALENCIA  VIVIANA"/>
    <n v="37"/>
    <n v="0"/>
    <n v="2195673"/>
  </r>
  <r>
    <s v="Retail"/>
    <s v="Q045 - Pasto - Cc Unicentro"/>
    <x v="8"/>
    <s v="septiembre"/>
    <n v="29"/>
    <d v="2026-09-29T00:00:00"/>
    <n v="1233193345"/>
    <s v="PILPUD ENRIQUEZ YULIETH CATHERINE"/>
    <n v="33"/>
    <n v="0"/>
    <n v="1788364"/>
  </r>
  <r>
    <s v="Retail"/>
    <s v="Q045 - Pasto - Cc Unicentro"/>
    <x v="8"/>
    <s v="septiembre"/>
    <n v="30"/>
    <d v="2026-09-30T00:00:00"/>
    <m/>
    <m/>
    <n v="0"/>
    <n v="9182486"/>
    <n v="0"/>
  </r>
  <r>
    <s v="Retail"/>
    <s v="Q045 - Pasto - Cc Unicentro"/>
    <x v="8"/>
    <s v="septiembre"/>
    <n v="30"/>
    <d v="2026-09-30T00:00:00"/>
    <n v="1004217416"/>
    <s v="CABRERA CAICEDO ANGELY  GABRIELA"/>
    <n v="16"/>
    <n v="0"/>
    <n v="742984"/>
  </r>
  <r>
    <s v="Retail"/>
    <s v="Q045 - Pasto - Cc Unicentro"/>
    <x v="8"/>
    <s v="septiembre"/>
    <n v="30"/>
    <d v="2026-09-30T00:00:00"/>
    <n v="1085274203"/>
    <s v="VALENCIA  VIVIANA"/>
    <n v="19"/>
    <n v="0"/>
    <n v="1112648"/>
  </r>
  <r>
    <s v="Retail"/>
    <s v="Q045 - Pasto - Cc Unicentro"/>
    <x v="8"/>
    <s v="septiembre"/>
    <n v="30"/>
    <d v="2026-09-30T00:00:00"/>
    <n v="1233193345"/>
    <s v="PILPUD ENRIQUEZ YULIETH CATHERINE"/>
    <n v="58"/>
    <n v="0"/>
    <n v="4335758"/>
  </r>
  <r>
    <s v="Retail"/>
    <s v="Q045 - Pasto - Cc Unicentro"/>
    <x v="8"/>
    <s v="octubre"/>
    <n v="1"/>
    <d v="2026-10-01T00:00:00"/>
    <m/>
    <m/>
    <n v="0"/>
    <n v="9146210"/>
    <n v="0"/>
  </r>
  <r>
    <s v="Retail"/>
    <s v="Q045 - Pasto - Cc Unicentro"/>
    <x v="8"/>
    <s v="octubre"/>
    <n v="1"/>
    <d v="2026-10-01T00:00:00"/>
    <n v="1004191830"/>
    <s v="SALAZAR MENESES VICTOR FELIPE"/>
    <n v="43"/>
    <n v="0"/>
    <n v="2741893"/>
  </r>
  <r>
    <s v="Retail"/>
    <s v="Q045 - Pasto - Cc Unicentro"/>
    <x v="8"/>
    <s v="octubre"/>
    <n v="1"/>
    <d v="2026-10-01T00:00:00"/>
    <n v="1004217416"/>
    <s v="CABRERA CAICEDO ANGELY  GABRIELA"/>
    <n v="12"/>
    <n v="0"/>
    <n v="982690"/>
  </r>
  <r>
    <s v="Retail"/>
    <s v="Q045 - Pasto - Cc Unicentro"/>
    <x v="8"/>
    <s v="octubre"/>
    <n v="1"/>
    <d v="2026-10-01T00:00:00"/>
    <n v="1085274203"/>
    <s v="VALENCIA  VIVIANA"/>
    <n v="24"/>
    <n v="0"/>
    <n v="1755253"/>
  </r>
  <r>
    <s v="Retail"/>
    <s v="Q045 - Pasto - Cc Unicentro"/>
    <x v="8"/>
    <s v="octubre"/>
    <n v="1"/>
    <d v="2026-10-01T00:00:00"/>
    <n v="1085283938"/>
    <s v="SALAMANCA ESTRADA CLAUDIA ANDREA"/>
    <n v="-1"/>
    <n v="0"/>
    <n v="-41975"/>
  </r>
  <r>
    <s v="Retail"/>
    <s v="Q045 - Pasto - Cc Unicentro"/>
    <x v="8"/>
    <s v="octubre"/>
    <n v="1"/>
    <d v="2026-10-01T00:00:00"/>
    <n v="1233193345"/>
    <s v="PILPUD ENRIQUEZ YULIETH CATHERINE"/>
    <n v="45"/>
    <n v="0"/>
    <n v="2941305"/>
  </r>
  <r>
    <s v="Retail"/>
    <s v="Q045 - Pasto - Cc Unicentro"/>
    <x v="8"/>
    <s v="octubre"/>
    <n v="2"/>
    <d v="2026-10-02T00:00:00"/>
    <m/>
    <m/>
    <n v="0"/>
    <n v="8327155"/>
    <n v="0"/>
  </r>
  <r>
    <s v="Retail"/>
    <s v="Q045 - Pasto - Cc Unicentro"/>
    <x v="8"/>
    <s v="octubre"/>
    <n v="2"/>
    <d v="2026-10-02T00:00:00"/>
    <n v="1004191830"/>
    <s v="SALAZAR MENESES VICTOR FELIPE"/>
    <n v="12"/>
    <n v="0"/>
    <n v="768404"/>
  </r>
  <r>
    <s v="Retail"/>
    <s v="Q045 - Pasto - Cc Unicentro"/>
    <x v="8"/>
    <s v="octubre"/>
    <n v="2"/>
    <d v="2026-10-02T00:00:00"/>
    <n v="1004217416"/>
    <s v="CABRERA CAICEDO ANGELY  GABRIELA"/>
    <n v="40"/>
    <n v="0"/>
    <n v="2582229"/>
  </r>
  <r>
    <s v="Retail"/>
    <s v="Q045 - Pasto - Cc Unicentro"/>
    <x v="8"/>
    <s v="octubre"/>
    <n v="2"/>
    <d v="2026-10-02T00:00:00"/>
    <n v="1085274203"/>
    <s v="VALENCIA  VIVIANA"/>
    <n v="63"/>
    <n v="0"/>
    <n v="3606343"/>
  </r>
  <r>
    <s v="Retail"/>
    <s v="Q045 - Pasto - Cc Unicentro"/>
    <x v="8"/>
    <s v="octubre"/>
    <n v="2"/>
    <d v="2026-10-02T00:00:00"/>
    <n v="1233193345"/>
    <s v="PILPUD ENRIQUEZ YULIETH CATHERINE"/>
    <n v="87"/>
    <n v="0"/>
    <n v="5659918"/>
  </r>
  <r>
    <s v="Retail"/>
    <s v="Q045 - Pasto - Cc Unicentro"/>
    <x v="8"/>
    <s v="octubre"/>
    <n v="3"/>
    <d v="2026-10-03T00:00:00"/>
    <m/>
    <m/>
    <n v="0"/>
    <n v="11198741"/>
    <n v="0"/>
  </r>
  <r>
    <s v="Retail"/>
    <s v="Q045 - Pasto - Cc Unicentro"/>
    <x v="8"/>
    <s v="octubre"/>
    <n v="3"/>
    <d v="2026-10-03T00:00:00"/>
    <n v="1004191830"/>
    <s v="SALAZAR MENESES VICTOR FELIPE"/>
    <n v="5"/>
    <n v="0"/>
    <n v="251891"/>
  </r>
  <r>
    <s v="Retail"/>
    <s v="Q045 - Pasto - Cc Unicentro"/>
    <x v="8"/>
    <s v="octubre"/>
    <n v="3"/>
    <d v="2026-10-03T00:00:00"/>
    <n v="1004217416"/>
    <s v="CABRERA CAICEDO ANGELY  GABRIELA"/>
    <n v="30"/>
    <n v="0"/>
    <n v="1575135"/>
  </r>
  <r>
    <s v="Retail"/>
    <s v="Q045 - Pasto - Cc Unicentro"/>
    <x v="8"/>
    <s v="octubre"/>
    <n v="3"/>
    <d v="2026-10-03T00:00:00"/>
    <n v="1085274203"/>
    <s v="VALENCIA  VIVIANA"/>
    <n v="83"/>
    <n v="0"/>
    <n v="4488573"/>
  </r>
  <r>
    <s v="Retail"/>
    <s v="Q045 - Pasto - Cc Unicentro"/>
    <x v="8"/>
    <s v="octubre"/>
    <n v="3"/>
    <d v="2026-10-03T00:00:00"/>
    <n v="1233193345"/>
    <s v="PILPUD ENRIQUEZ YULIETH CATHERINE"/>
    <n v="90"/>
    <n v="0"/>
    <n v="5797834"/>
  </r>
  <r>
    <s v="Retail"/>
    <s v="Q045 - Pasto - Cc Unicentro"/>
    <x v="8"/>
    <s v="octubre"/>
    <n v="4"/>
    <d v="2026-10-04T00:00:00"/>
    <m/>
    <m/>
    <n v="0"/>
    <n v="9088797"/>
    <n v="0"/>
  </r>
  <r>
    <s v="Retail"/>
    <s v="Q045 - Pasto - Cc Unicentro"/>
    <x v="8"/>
    <s v="octubre"/>
    <n v="4"/>
    <d v="2026-10-04T00:00:00"/>
    <n v="1004191830"/>
    <s v="SALAZAR MENESES VICTOR FELIPE"/>
    <n v="24"/>
    <n v="0"/>
    <n v="1452732"/>
  </r>
  <r>
    <s v="Retail"/>
    <s v="Q045 - Pasto - Cc Unicentro"/>
    <x v="8"/>
    <s v="octubre"/>
    <n v="4"/>
    <d v="2026-10-04T00:00:00"/>
    <n v="1004217416"/>
    <s v="CABRERA CAICEDO ANGELY  GABRIELA"/>
    <n v="27"/>
    <n v="0"/>
    <n v="1742439"/>
  </r>
  <r>
    <s v="Retail"/>
    <s v="Q045 - Pasto - Cc Unicentro"/>
    <x v="8"/>
    <s v="octubre"/>
    <n v="4"/>
    <d v="2026-10-04T00:00:00"/>
    <n v="1233193345"/>
    <s v="PILPUD ENRIQUEZ YULIETH CATHERINE"/>
    <n v="92"/>
    <n v="0"/>
    <n v="6002229"/>
  </r>
  <r>
    <s v="Retail"/>
    <s v="Q045 - Pasto - Cc Unicentro"/>
    <x v="8"/>
    <s v="octubre"/>
    <n v="5"/>
    <d v="2026-10-05T00:00:00"/>
    <m/>
    <m/>
    <n v="0"/>
    <n v="7026796"/>
    <n v="0"/>
  </r>
  <r>
    <s v="Retail"/>
    <s v="Q045 - Pasto - Cc Unicentro"/>
    <x v="8"/>
    <s v="octubre"/>
    <n v="5"/>
    <d v="2026-10-05T00:00:00"/>
    <n v="1004191830"/>
    <s v="SALAZAR MENESES VICTOR FELIPE"/>
    <n v="1"/>
    <n v="0"/>
    <n v="96597"/>
  </r>
  <r>
    <s v="Retail"/>
    <s v="Q045 - Pasto - Cc Unicentro"/>
    <x v="8"/>
    <s v="octubre"/>
    <n v="5"/>
    <d v="2026-10-05T00:00:00"/>
    <n v="1004217416"/>
    <s v="CABRERA CAICEDO ANGELY  GABRIELA"/>
    <n v="17"/>
    <n v="0"/>
    <n v="1049623"/>
  </r>
  <r>
    <s v="Retail"/>
    <s v="Q045 - Pasto - Cc Unicentro"/>
    <x v="8"/>
    <s v="octubre"/>
    <n v="5"/>
    <d v="2026-10-05T00:00:00"/>
    <n v="1085274203"/>
    <s v="VALENCIA  VIVIANA"/>
    <n v="62"/>
    <n v="0"/>
    <n v="3764161"/>
  </r>
  <r>
    <s v="Retail"/>
    <s v="Q045 - Pasto - Cc Unicentro"/>
    <x v="8"/>
    <s v="octubre"/>
    <n v="5"/>
    <d v="2026-10-05T00:00:00"/>
    <n v="1233193345"/>
    <s v="PILPUD ENRIQUEZ YULIETH CATHERINE"/>
    <n v="79"/>
    <n v="0"/>
    <n v="5017357"/>
  </r>
  <r>
    <s v="Retail"/>
    <s v="Q045 - Pasto - Cc Unicentro"/>
    <x v="8"/>
    <s v="octubre"/>
    <n v="6"/>
    <d v="2026-10-06T00:00:00"/>
    <m/>
    <m/>
    <n v="0"/>
    <n v="4735304"/>
    <n v="0"/>
  </r>
  <r>
    <s v="Retail"/>
    <s v="Q045 - Pasto - Cc Unicentro"/>
    <x v="8"/>
    <s v="octubre"/>
    <n v="6"/>
    <d v="2026-10-06T00:00:00"/>
    <n v="1004191830"/>
    <s v="SALAZAR MENESES VICTOR FELIPE"/>
    <n v="34"/>
    <n v="0"/>
    <n v="2015376"/>
  </r>
  <r>
    <s v="Retail"/>
    <s v="Q045 - Pasto - Cc Unicentro"/>
    <x v="8"/>
    <s v="octubre"/>
    <n v="6"/>
    <d v="2026-10-06T00:00:00"/>
    <n v="1004217416"/>
    <s v="CABRERA CAICEDO ANGELY  GABRIELA"/>
    <n v="15"/>
    <n v="0"/>
    <n v="999329"/>
  </r>
  <r>
    <s v="Retail"/>
    <s v="Q045 - Pasto - Cc Unicentro"/>
    <x v="8"/>
    <s v="octubre"/>
    <n v="6"/>
    <d v="2026-10-06T00:00:00"/>
    <n v="1085274203"/>
    <s v="VALENCIA  VIVIANA"/>
    <n v="30"/>
    <n v="0"/>
    <n v="1864244"/>
  </r>
  <r>
    <s v="Retail"/>
    <s v="Q045 - Pasto - Cc Unicentro"/>
    <x v="8"/>
    <s v="octubre"/>
    <n v="6"/>
    <d v="2026-10-06T00:00:00"/>
    <n v="1233193345"/>
    <s v="PILPUD ENRIQUEZ YULIETH CATHERINE"/>
    <n v="14"/>
    <n v="0"/>
    <n v="1121177"/>
  </r>
  <r>
    <s v="Retail"/>
    <s v="Q045 - Pasto - Cc Unicentro"/>
    <x v="8"/>
    <s v="octubre"/>
    <n v="7"/>
    <d v="2026-10-07T00:00:00"/>
    <m/>
    <m/>
    <n v="0"/>
    <n v="4672998"/>
    <n v="0"/>
  </r>
  <r>
    <s v="Retail"/>
    <s v="Q045 - Pasto - Cc Unicentro"/>
    <x v="8"/>
    <s v="octubre"/>
    <n v="7"/>
    <d v="2026-10-07T00:00:00"/>
    <n v="1004191830"/>
    <s v="SALAZAR MENESES VICTOR FELIPE"/>
    <n v="1"/>
    <n v="0"/>
    <n v="20966"/>
  </r>
  <r>
    <s v="Retail"/>
    <s v="Q045 - Pasto - Cc Unicentro"/>
    <x v="8"/>
    <s v="octubre"/>
    <n v="7"/>
    <d v="2026-10-07T00:00:00"/>
    <n v="1004217416"/>
    <s v="CABRERA CAICEDO ANGELY  GABRIELA"/>
    <n v="11"/>
    <n v="0"/>
    <n v="600336"/>
  </r>
  <r>
    <s v="Retail"/>
    <s v="Q045 - Pasto - Cc Unicentro"/>
    <x v="8"/>
    <s v="octubre"/>
    <n v="7"/>
    <d v="2026-10-07T00:00:00"/>
    <n v="1085274203"/>
    <s v="VALENCIA  VIVIANA"/>
    <n v="28"/>
    <n v="0"/>
    <n v="1969330"/>
  </r>
  <r>
    <s v="Retail"/>
    <s v="Q045 - Pasto - Cc Unicentro"/>
    <x v="8"/>
    <s v="octubre"/>
    <n v="7"/>
    <d v="2026-10-07T00:00:00"/>
    <n v="1233193345"/>
    <s v="PILPUD ENRIQUEZ YULIETH CATHERINE"/>
    <n v="44"/>
    <n v="0"/>
    <n v="2239664"/>
  </r>
  <r>
    <s v="Retail"/>
    <s v="Q057 - Pasto - Cc Unico"/>
    <x v="8"/>
    <s v="septiembre"/>
    <n v="23"/>
    <d v="2026-09-23T00:00:00"/>
    <m/>
    <m/>
    <n v="0"/>
    <n v="19250200"/>
    <n v="0"/>
  </r>
  <r>
    <s v="Retail"/>
    <s v="Q057 - Pasto - Cc Unico"/>
    <x v="8"/>
    <s v="septiembre"/>
    <n v="23"/>
    <d v="2026-09-23T00:00:00"/>
    <n v="1004135195"/>
    <s v="CEBALLOS ROSAS JENNY SOFIA"/>
    <n v="9"/>
    <n v="0"/>
    <n v="507943"/>
  </r>
  <r>
    <s v="Retail"/>
    <s v="Q057 - Pasto - Cc Unico"/>
    <x v="8"/>
    <s v="septiembre"/>
    <n v="23"/>
    <d v="2026-09-23T00:00:00"/>
    <n v="1004215413"/>
    <s v="CISNEROS DE LA CRUZ SANTIAGO"/>
    <n v="35"/>
    <n v="0"/>
    <n v="1405759"/>
  </r>
  <r>
    <s v="Retail"/>
    <s v="Q057 - Pasto - Cc Unico"/>
    <x v="8"/>
    <s v="septiembre"/>
    <n v="23"/>
    <d v="2026-09-23T00:00:00"/>
    <n v="1004235122"/>
    <s v="SANTACRUZ GERRERO CARLOS FELIPE"/>
    <n v="11"/>
    <n v="0"/>
    <n v="575169"/>
  </r>
  <r>
    <s v="Retail"/>
    <s v="Q057 - Pasto - Cc Unico"/>
    <x v="8"/>
    <s v="septiembre"/>
    <n v="23"/>
    <d v="2026-09-23T00:00:00"/>
    <n v="1030020471"/>
    <s v="FIERRO MORA SANTIAGO  ALEJANDRO"/>
    <n v="13"/>
    <n v="0"/>
    <n v="497228"/>
  </r>
  <r>
    <s v="Retail"/>
    <s v="Q057 - Pasto - Cc Unico"/>
    <x v="8"/>
    <s v="septiembre"/>
    <n v="23"/>
    <d v="2026-09-23T00:00:00"/>
    <n v="1085283938"/>
    <s v="SALAMANCA ESTRADA CLAUDIA ANDREA"/>
    <n v="80"/>
    <n v="0"/>
    <n v="3725088"/>
  </r>
  <r>
    <s v="Retail"/>
    <s v="Q057 - Pasto - Cc Unico"/>
    <x v="8"/>
    <s v="septiembre"/>
    <n v="23"/>
    <d v="2026-09-23T00:00:00"/>
    <n v="1085305292"/>
    <s v="OBANDO  MERA MARIA ALEJANDRA "/>
    <n v="68"/>
    <n v="0"/>
    <n v="3143783"/>
  </r>
  <r>
    <s v="Retail"/>
    <s v="Q057 - Pasto - Cc Unico"/>
    <x v="8"/>
    <s v="septiembre"/>
    <n v="23"/>
    <d v="2026-09-23T00:00:00"/>
    <n v="1110040388"/>
    <s v="BLANDON VIETERI MARIA JOSE"/>
    <n v="13"/>
    <n v="0"/>
    <n v="537059"/>
  </r>
  <r>
    <s v="Retail"/>
    <s v="Q057 - Pasto - Cc Unico"/>
    <x v="8"/>
    <s v="septiembre"/>
    <n v="24"/>
    <d v="2026-09-24T00:00:00"/>
    <m/>
    <m/>
    <n v="0"/>
    <n v="29406843"/>
    <n v="0"/>
  </r>
  <r>
    <s v="Retail"/>
    <s v="Q057 - Pasto - Cc Unico"/>
    <x v="8"/>
    <s v="septiembre"/>
    <n v="24"/>
    <d v="2026-09-24T00:00:00"/>
    <n v="1004135195"/>
    <s v="CEBALLOS ROSAS JENNY SOFIA"/>
    <n v="23"/>
    <n v="0"/>
    <n v="716934"/>
  </r>
  <r>
    <s v="Retail"/>
    <s v="Q057 - Pasto - Cc Unico"/>
    <x v="8"/>
    <s v="septiembre"/>
    <n v="24"/>
    <d v="2026-09-24T00:00:00"/>
    <n v="1004215413"/>
    <s v="CISNEROS DE LA CRUZ SANTIAGO"/>
    <n v="71"/>
    <n v="0"/>
    <n v="3071975"/>
  </r>
  <r>
    <s v="Retail"/>
    <s v="Q057 - Pasto - Cc Unico"/>
    <x v="8"/>
    <s v="septiembre"/>
    <n v="24"/>
    <d v="2026-09-24T00:00:00"/>
    <n v="1004235122"/>
    <s v="SANTACRUZ GERRERO CARLOS FELIPE"/>
    <n v="14"/>
    <n v="0"/>
    <n v="629496"/>
  </r>
  <r>
    <s v="Retail"/>
    <s v="Q057 - Pasto - Cc Unico"/>
    <x v="8"/>
    <s v="septiembre"/>
    <n v="24"/>
    <d v="2026-09-24T00:00:00"/>
    <n v="1030020471"/>
    <s v="FIERRO MORA SANTIAGO  ALEJANDRO"/>
    <n v="26"/>
    <n v="0"/>
    <n v="683193"/>
  </r>
  <r>
    <s v="Retail"/>
    <s v="Q057 - Pasto - Cc Unico"/>
    <x v="8"/>
    <s v="septiembre"/>
    <n v="24"/>
    <d v="2026-09-24T00:00:00"/>
    <n v="1085283938"/>
    <s v="SALAMANCA ESTRADA CLAUDIA ANDREA"/>
    <n v="144"/>
    <n v="0"/>
    <n v="6975636"/>
  </r>
  <r>
    <s v="Retail"/>
    <s v="Q057 - Pasto - Cc Unico"/>
    <x v="8"/>
    <s v="septiembre"/>
    <n v="24"/>
    <d v="2026-09-24T00:00:00"/>
    <n v="1085305292"/>
    <s v="OBANDO  MERA MARIA ALEJANDRA "/>
    <n v="156"/>
    <n v="0"/>
    <n v="6929504"/>
  </r>
  <r>
    <s v="Retail"/>
    <s v="Q057 - Pasto - Cc Unico"/>
    <x v="8"/>
    <s v="septiembre"/>
    <n v="24"/>
    <d v="2026-09-24T00:00:00"/>
    <n v="1110040388"/>
    <s v="BLANDON VIETERI MARIA JOSE"/>
    <n v="26"/>
    <n v="0"/>
    <n v="695884"/>
  </r>
  <r>
    <s v="Retail"/>
    <s v="Q057 - Pasto - Cc Unico"/>
    <x v="8"/>
    <s v="septiembre"/>
    <n v="25"/>
    <d v="2026-09-25T00:00:00"/>
    <m/>
    <m/>
    <n v="0"/>
    <n v="29341743"/>
    <n v="0"/>
  </r>
  <r>
    <s v="Retail"/>
    <s v="Q057 - Pasto - Cc Unico"/>
    <x v="8"/>
    <s v="septiembre"/>
    <n v="25"/>
    <d v="2026-09-25T00:00:00"/>
    <n v="1004135195"/>
    <s v="CEBALLOS ROSAS JENNY SOFIA"/>
    <n v="9"/>
    <n v="0"/>
    <n v="423824"/>
  </r>
  <r>
    <s v="Retail"/>
    <s v="Q057 - Pasto - Cc Unico"/>
    <x v="8"/>
    <s v="septiembre"/>
    <n v="25"/>
    <d v="2026-09-25T00:00:00"/>
    <n v="1004215413"/>
    <s v="CISNEROS DE LA CRUZ SANTIAGO"/>
    <n v="35"/>
    <n v="0"/>
    <n v="1830126"/>
  </r>
  <r>
    <s v="Retail"/>
    <s v="Q057 - Pasto - Cc Unico"/>
    <x v="8"/>
    <s v="septiembre"/>
    <n v="25"/>
    <d v="2026-09-25T00:00:00"/>
    <n v="1004235122"/>
    <s v="SANTACRUZ GERRERO CARLOS FELIPE"/>
    <n v="7"/>
    <n v="0"/>
    <n v="394623"/>
  </r>
  <r>
    <s v="Retail"/>
    <s v="Q057 - Pasto - Cc Unico"/>
    <x v="8"/>
    <s v="septiembre"/>
    <n v="25"/>
    <d v="2026-09-25T00:00:00"/>
    <n v="1030020471"/>
    <s v="FIERRO MORA SANTIAGO  ALEJANDRO"/>
    <n v="15"/>
    <n v="0"/>
    <n v="873111"/>
  </r>
  <r>
    <s v="Retail"/>
    <s v="Q057 - Pasto - Cc Unico"/>
    <x v="8"/>
    <s v="septiembre"/>
    <n v="25"/>
    <d v="2026-09-25T00:00:00"/>
    <n v="1085283938"/>
    <s v="SALAMANCA ESTRADA CLAUDIA ANDREA"/>
    <n v="125"/>
    <n v="0"/>
    <n v="7306772"/>
  </r>
  <r>
    <s v="Retail"/>
    <s v="Q057 - Pasto - Cc Unico"/>
    <x v="8"/>
    <s v="septiembre"/>
    <n v="25"/>
    <d v="2026-09-25T00:00:00"/>
    <n v="1085305292"/>
    <s v="OBANDO  MERA MARIA ALEJANDRA "/>
    <n v="125"/>
    <n v="0"/>
    <n v="6963918"/>
  </r>
  <r>
    <s v="Retail"/>
    <s v="Q057 - Pasto - Cc Unico"/>
    <x v="8"/>
    <s v="septiembre"/>
    <n v="25"/>
    <d v="2026-09-25T00:00:00"/>
    <n v="1110040388"/>
    <s v="BLANDON VIETERI MARIA JOSE"/>
    <n v="10"/>
    <n v="0"/>
    <n v="528068"/>
  </r>
  <r>
    <s v="Retail"/>
    <s v="Q057 - Pasto - Cc Unico"/>
    <x v="8"/>
    <s v="septiembre"/>
    <n v="26"/>
    <d v="2026-09-26T00:00:00"/>
    <m/>
    <m/>
    <n v="0"/>
    <n v="42168305"/>
    <n v="0"/>
  </r>
  <r>
    <s v="Retail"/>
    <s v="Q057 - Pasto - Cc Unico"/>
    <x v="8"/>
    <s v="septiembre"/>
    <n v="26"/>
    <d v="2026-09-26T00:00:00"/>
    <n v="1004135195"/>
    <s v="CEBALLOS ROSAS JENNY SOFIA"/>
    <n v="3"/>
    <n v="0"/>
    <n v="226722"/>
  </r>
  <r>
    <s v="Retail"/>
    <s v="Q057 - Pasto - Cc Unico"/>
    <x v="8"/>
    <s v="septiembre"/>
    <n v="26"/>
    <d v="2026-09-26T00:00:00"/>
    <n v="1004215413"/>
    <s v="CISNEROS DE LA CRUZ SANTIAGO"/>
    <n v="38"/>
    <n v="0"/>
    <n v="2400549"/>
  </r>
  <r>
    <s v="Retail"/>
    <s v="Q057 - Pasto - Cc Unico"/>
    <x v="8"/>
    <s v="septiembre"/>
    <n v="26"/>
    <d v="2026-09-26T00:00:00"/>
    <n v="1004235122"/>
    <s v="SANTACRUZ GERRERO CARLOS FELIPE"/>
    <n v="8"/>
    <n v="0"/>
    <n v="325253"/>
  </r>
  <r>
    <s v="Retail"/>
    <s v="Q057 - Pasto - Cc Unico"/>
    <x v="8"/>
    <s v="septiembre"/>
    <n v="26"/>
    <d v="2026-09-26T00:00:00"/>
    <n v="1030020471"/>
    <s v="FIERRO MORA SANTIAGO  ALEJANDRO"/>
    <n v="5"/>
    <n v="0"/>
    <n v="243446"/>
  </r>
  <r>
    <s v="Retail"/>
    <s v="Q057 - Pasto - Cc Unico"/>
    <x v="8"/>
    <s v="septiembre"/>
    <n v="26"/>
    <d v="2026-09-26T00:00:00"/>
    <n v="1085283938"/>
    <s v="SALAMANCA ESTRADA CLAUDIA ANDREA"/>
    <n v="261"/>
    <n v="0"/>
    <n v="14893590"/>
  </r>
  <r>
    <s v="Retail"/>
    <s v="Q057 - Pasto - Cc Unico"/>
    <x v="8"/>
    <s v="septiembre"/>
    <n v="26"/>
    <d v="2026-09-26T00:00:00"/>
    <n v="1085290212"/>
    <s v="CHILES BANDA LEIDY VANESA"/>
    <n v="-1"/>
    <n v="0"/>
    <n v="-113403"/>
  </r>
  <r>
    <s v="Retail"/>
    <s v="Q057 - Pasto - Cc Unico"/>
    <x v="8"/>
    <s v="septiembre"/>
    <n v="26"/>
    <d v="2026-09-26T00:00:00"/>
    <n v="1085305292"/>
    <s v="OBANDO  MERA MARIA ALEJANDRA "/>
    <n v="304"/>
    <n v="0"/>
    <n v="15114502"/>
  </r>
  <r>
    <s v="Retail"/>
    <s v="Q057 - Pasto - Cc Unico"/>
    <x v="8"/>
    <s v="septiembre"/>
    <n v="26"/>
    <d v="2026-09-26T00:00:00"/>
    <n v="1110040388"/>
    <s v="BLANDON VIETERI MARIA JOSE"/>
    <n v="13"/>
    <n v="0"/>
    <n v="482480"/>
  </r>
  <r>
    <s v="Retail"/>
    <s v="Q057 - Pasto - Cc Unico"/>
    <x v="8"/>
    <s v="septiembre"/>
    <n v="26"/>
    <d v="2026-09-26T00:00:00"/>
    <n v="1233193345"/>
    <s v="PILPUD ENRIQUEZ YULIETH CATHERINE"/>
    <n v="-1"/>
    <n v="0"/>
    <n v="-41933"/>
  </r>
  <r>
    <s v="Retail"/>
    <s v="Q057 - Pasto - Cc Unico"/>
    <x v="8"/>
    <s v="septiembre"/>
    <n v="27"/>
    <d v="2026-09-27T00:00:00"/>
    <m/>
    <m/>
    <n v="0"/>
    <n v="33405787"/>
    <n v="0"/>
  </r>
  <r>
    <s v="Retail"/>
    <s v="Q057 - Pasto - Cc Unico"/>
    <x v="8"/>
    <s v="septiembre"/>
    <n v="27"/>
    <d v="2026-09-27T00:00:00"/>
    <n v="1004135195"/>
    <s v="CEBALLOS ROSAS JENNY SOFIA"/>
    <n v="5"/>
    <n v="0"/>
    <n v="247605"/>
  </r>
  <r>
    <s v="Retail"/>
    <s v="Q057 - Pasto - Cc Unico"/>
    <x v="8"/>
    <s v="septiembre"/>
    <n v="27"/>
    <d v="2026-09-27T00:00:00"/>
    <n v="1004215413"/>
    <s v="CISNEROS DE LA CRUZ SANTIAGO"/>
    <n v="75"/>
    <n v="0"/>
    <n v="3933115"/>
  </r>
  <r>
    <s v="Retail"/>
    <s v="Q057 - Pasto - Cc Unico"/>
    <x v="8"/>
    <s v="septiembre"/>
    <n v="27"/>
    <d v="2026-09-27T00:00:00"/>
    <n v="1004235122"/>
    <s v="SANTACRUZ GERRERO CARLOS FELIPE"/>
    <n v="6"/>
    <n v="0"/>
    <n v="180379"/>
  </r>
  <r>
    <s v="Retail"/>
    <s v="Q057 - Pasto - Cc Unico"/>
    <x v="8"/>
    <s v="septiembre"/>
    <n v="27"/>
    <d v="2026-09-27T00:00:00"/>
    <n v="1030020471"/>
    <s v="FIERRO MORA SANTIAGO  ALEJANDRO"/>
    <n v="5"/>
    <n v="0"/>
    <n v="167815"/>
  </r>
  <r>
    <s v="Retail"/>
    <s v="Q057 - Pasto - Cc Unico"/>
    <x v="8"/>
    <s v="septiembre"/>
    <n v="27"/>
    <d v="2026-09-27T00:00:00"/>
    <n v="1085283938"/>
    <s v="SALAMANCA ESTRADA CLAUDIA ANDREA"/>
    <n v="273"/>
    <n v="0"/>
    <n v="15722662"/>
  </r>
  <r>
    <s v="Retail"/>
    <s v="Q057 - Pasto - Cc Unico"/>
    <x v="8"/>
    <s v="septiembre"/>
    <n v="27"/>
    <d v="2026-09-27T00:00:00"/>
    <n v="1085305292"/>
    <s v="OBANDO  MERA MARIA ALEJANDRA "/>
    <n v="302"/>
    <n v="0"/>
    <n v="17130897"/>
  </r>
  <r>
    <s v="Retail"/>
    <s v="Q057 - Pasto - Cc Unico"/>
    <x v="8"/>
    <s v="septiembre"/>
    <n v="27"/>
    <d v="2026-09-27T00:00:00"/>
    <n v="1110040388"/>
    <s v="BLANDON VIETERI MARIA JOSE"/>
    <n v="2"/>
    <n v="0"/>
    <n v="54495"/>
  </r>
  <r>
    <s v="Retail"/>
    <s v="Q057 - Pasto - Cc Unico"/>
    <x v="8"/>
    <s v="septiembre"/>
    <n v="28"/>
    <d v="2026-09-28T00:00:00"/>
    <m/>
    <m/>
    <n v="0"/>
    <n v="18385174"/>
    <n v="0"/>
  </r>
  <r>
    <s v="Retail"/>
    <s v="Q057 - Pasto - Cc Unico"/>
    <x v="8"/>
    <s v="septiembre"/>
    <n v="28"/>
    <d v="2026-09-28T00:00:00"/>
    <n v="1004135195"/>
    <s v="CEBALLOS ROSAS JENNY SOFIA"/>
    <n v="22"/>
    <n v="0"/>
    <n v="1044835"/>
  </r>
  <r>
    <s v="Retail"/>
    <s v="Q057 - Pasto - Cc Unico"/>
    <x v="8"/>
    <s v="septiembre"/>
    <n v="28"/>
    <d v="2026-09-28T00:00:00"/>
    <n v="1004215413"/>
    <s v="CISNEROS DE LA CRUZ SANTIAGO"/>
    <n v="61"/>
    <n v="0"/>
    <n v="2819203"/>
  </r>
  <r>
    <s v="Retail"/>
    <s v="Q057 - Pasto - Cc Unico"/>
    <x v="8"/>
    <s v="septiembre"/>
    <n v="28"/>
    <d v="2026-09-28T00:00:00"/>
    <n v="1004235122"/>
    <s v="SANTACRUZ GERRERO CARLOS FELIPE"/>
    <n v="17"/>
    <n v="0"/>
    <n v="1133574"/>
  </r>
  <r>
    <s v="Retail"/>
    <s v="Q057 - Pasto - Cc Unico"/>
    <x v="8"/>
    <s v="septiembre"/>
    <n v="28"/>
    <d v="2026-09-28T00:00:00"/>
    <n v="1030020471"/>
    <s v="FIERRO MORA SANTIAGO  ALEJANDRO"/>
    <n v="8"/>
    <n v="0"/>
    <n v="293613"/>
  </r>
  <r>
    <s v="Retail"/>
    <s v="Q057 - Pasto - Cc Unico"/>
    <x v="8"/>
    <s v="septiembre"/>
    <n v="28"/>
    <d v="2026-09-28T00:00:00"/>
    <n v="1085283938"/>
    <s v="SALAMANCA ESTRADA CLAUDIA ANDREA"/>
    <n v="72"/>
    <n v="0"/>
    <n v="4056812"/>
  </r>
  <r>
    <s v="Retail"/>
    <s v="Q057 - Pasto - Cc Unico"/>
    <x v="8"/>
    <s v="septiembre"/>
    <n v="28"/>
    <d v="2026-09-28T00:00:00"/>
    <n v="1085305292"/>
    <s v="OBANDO  MERA MARIA ALEJANDRA "/>
    <n v="80"/>
    <n v="0"/>
    <n v="4361428"/>
  </r>
  <r>
    <s v="Retail"/>
    <s v="Q057 - Pasto - Cc Unico"/>
    <x v="8"/>
    <s v="septiembre"/>
    <n v="28"/>
    <d v="2026-09-28T00:00:00"/>
    <n v="1110040388"/>
    <s v="BLANDON VIETERI MARIA JOSE"/>
    <n v="16"/>
    <n v="0"/>
    <n v="599916"/>
  </r>
  <r>
    <s v="Retail"/>
    <s v="Q057 - Pasto - Cc Unico"/>
    <x v="8"/>
    <s v="septiembre"/>
    <n v="29"/>
    <d v="2026-09-29T00:00:00"/>
    <m/>
    <m/>
    <n v="0"/>
    <n v="19638962"/>
    <n v="0"/>
  </r>
  <r>
    <s v="Retail"/>
    <s v="Q057 - Pasto - Cc Unico"/>
    <x v="8"/>
    <s v="septiembre"/>
    <n v="29"/>
    <d v="2026-09-29T00:00:00"/>
    <n v="1004135195"/>
    <s v="CEBALLOS ROSAS JENNY SOFIA"/>
    <n v="14"/>
    <n v="0"/>
    <n v="759709"/>
  </r>
  <r>
    <s v="Retail"/>
    <s v="Q057 - Pasto - Cc Unico"/>
    <x v="8"/>
    <s v="septiembre"/>
    <n v="29"/>
    <d v="2026-09-29T00:00:00"/>
    <n v="1004215413"/>
    <s v="CISNEROS DE LA CRUZ SANTIAGO"/>
    <n v="67"/>
    <n v="0"/>
    <n v="2962479"/>
  </r>
  <r>
    <s v="Retail"/>
    <s v="Q057 - Pasto - Cc Unico"/>
    <x v="8"/>
    <s v="septiembre"/>
    <n v="29"/>
    <d v="2026-09-29T00:00:00"/>
    <n v="1004235122"/>
    <s v="SANTACRUZ GERRERO CARLOS FELIPE"/>
    <n v="27"/>
    <n v="0"/>
    <n v="1191849"/>
  </r>
  <r>
    <s v="Retail"/>
    <s v="Q057 - Pasto - Cc Unico"/>
    <x v="8"/>
    <s v="septiembre"/>
    <n v="29"/>
    <d v="2026-09-29T00:00:00"/>
    <n v="1030020471"/>
    <s v="FIERRO MORA SANTIAGO  ALEJANDRO"/>
    <n v="16"/>
    <n v="0"/>
    <n v="755462"/>
  </r>
  <r>
    <s v="Retail"/>
    <s v="Q057 - Pasto - Cc Unico"/>
    <x v="8"/>
    <s v="septiembre"/>
    <n v="29"/>
    <d v="2026-09-29T00:00:00"/>
    <n v="1085283938"/>
    <s v="SALAMANCA ESTRADA CLAUDIA ANDREA"/>
    <n v="90"/>
    <n v="0"/>
    <n v="4675717"/>
  </r>
  <r>
    <s v="Retail"/>
    <s v="Q057 - Pasto - Cc Unico"/>
    <x v="8"/>
    <s v="septiembre"/>
    <n v="29"/>
    <d v="2026-09-29T00:00:00"/>
    <n v="1085305292"/>
    <s v="OBANDO  MERA MARIA ALEJANDRA "/>
    <n v="87"/>
    <n v="0"/>
    <n v="4403030"/>
  </r>
  <r>
    <s v="Retail"/>
    <s v="Q057 - Pasto - Cc Unico"/>
    <x v="8"/>
    <s v="septiembre"/>
    <n v="29"/>
    <d v="2026-09-29T00:00:00"/>
    <n v="1110040388"/>
    <s v="BLANDON VIETERI MARIA JOSE"/>
    <n v="19"/>
    <n v="0"/>
    <n v="918950"/>
  </r>
  <r>
    <s v="Retail"/>
    <s v="Q057 - Pasto - Cc Unico"/>
    <x v="8"/>
    <s v="septiembre"/>
    <n v="30"/>
    <d v="2026-09-30T00:00:00"/>
    <m/>
    <m/>
    <n v="0"/>
    <n v="20287401"/>
    <n v="0"/>
  </r>
  <r>
    <s v="Retail"/>
    <s v="Q057 - Pasto - Cc Unico"/>
    <x v="8"/>
    <s v="septiembre"/>
    <n v="30"/>
    <d v="2026-09-30T00:00:00"/>
    <n v="1004135195"/>
    <s v="CEBALLOS ROSAS JENNY SOFIA"/>
    <n v="26"/>
    <n v="0"/>
    <n v="1027564"/>
  </r>
  <r>
    <s v="Retail"/>
    <s v="Q057 - Pasto - Cc Unico"/>
    <x v="8"/>
    <s v="septiembre"/>
    <n v="30"/>
    <d v="2026-09-30T00:00:00"/>
    <n v="1004215413"/>
    <s v="CISNEROS DE LA CRUZ SANTIAGO"/>
    <n v="53"/>
    <n v="0"/>
    <n v="2265381"/>
  </r>
  <r>
    <s v="Retail"/>
    <s v="Q057 - Pasto - Cc Unico"/>
    <x v="8"/>
    <s v="septiembre"/>
    <n v="30"/>
    <d v="2026-09-30T00:00:00"/>
    <n v="1004235122"/>
    <s v="SANTACRUZ GERRERO CARLOS FELIPE"/>
    <n v="27"/>
    <n v="0"/>
    <n v="1237481"/>
  </r>
  <r>
    <s v="Retail"/>
    <s v="Q057 - Pasto - Cc Unico"/>
    <x v="8"/>
    <s v="septiembre"/>
    <n v="30"/>
    <d v="2026-09-30T00:00:00"/>
    <n v="1030020471"/>
    <s v="FIERRO MORA SANTIAGO  ALEJANDRO"/>
    <n v="26"/>
    <n v="0"/>
    <n v="1019076"/>
  </r>
  <r>
    <s v="Retail"/>
    <s v="Q057 - Pasto - Cc Unico"/>
    <x v="8"/>
    <s v="septiembre"/>
    <n v="30"/>
    <d v="2026-09-30T00:00:00"/>
    <n v="1085283938"/>
    <s v="SALAMANCA ESTRADA CLAUDIA ANDREA"/>
    <n v="139"/>
    <n v="0"/>
    <n v="7474795"/>
  </r>
  <r>
    <s v="Retail"/>
    <s v="Q057 - Pasto - Cc Unico"/>
    <x v="8"/>
    <s v="septiembre"/>
    <n v="30"/>
    <d v="2026-09-30T00:00:00"/>
    <n v="1085290212"/>
    <s v="CHILES BANDA LEIDY VANESA"/>
    <n v="-1"/>
    <n v="0"/>
    <n v="-37773"/>
  </r>
  <r>
    <s v="Retail"/>
    <s v="Q057 - Pasto - Cc Unico"/>
    <x v="8"/>
    <s v="septiembre"/>
    <n v="30"/>
    <d v="2026-09-30T00:00:00"/>
    <n v="1085305292"/>
    <s v="OBANDO  MERA MARIA ALEJANDRA "/>
    <n v="107"/>
    <n v="0"/>
    <n v="5167271"/>
  </r>
  <r>
    <s v="Retail"/>
    <s v="Q057 - Pasto - Cc Unico"/>
    <x v="8"/>
    <s v="septiembre"/>
    <n v="30"/>
    <d v="2026-09-30T00:00:00"/>
    <n v="1110040388"/>
    <s v="BLANDON VIETERI MARIA JOSE"/>
    <n v="28"/>
    <n v="0"/>
    <n v="1303027"/>
  </r>
  <r>
    <s v="Retail"/>
    <s v="Q057 - Pasto - Cc Unico"/>
    <x v="8"/>
    <s v="octubre"/>
    <n v="1"/>
    <d v="2026-10-01T00:00:00"/>
    <m/>
    <m/>
    <n v="0"/>
    <n v="20101486"/>
    <n v="0"/>
  </r>
  <r>
    <s v="Retail"/>
    <s v="Q057 - Pasto - Cc Unico"/>
    <x v="8"/>
    <s v="octubre"/>
    <n v="1"/>
    <d v="2026-10-01T00:00:00"/>
    <n v="1004135195"/>
    <s v="CEBALLOS ROSAS JENNY SOFIA"/>
    <n v="4"/>
    <n v="0"/>
    <n v="106849"/>
  </r>
  <r>
    <s v="Retail"/>
    <s v="Q057 - Pasto - Cc Unico"/>
    <x v="8"/>
    <s v="octubre"/>
    <n v="1"/>
    <d v="2026-10-01T00:00:00"/>
    <n v="1004215413"/>
    <s v="CISNEROS DE LA CRUZ SANTIAGO"/>
    <n v="19"/>
    <n v="0"/>
    <n v="717099"/>
  </r>
  <r>
    <s v="Retail"/>
    <s v="Q057 - Pasto - Cc Unico"/>
    <x v="8"/>
    <s v="octubre"/>
    <n v="1"/>
    <d v="2026-10-01T00:00:00"/>
    <n v="1004235122"/>
    <s v="SANTACRUZ GERRERO CARLOS FELIPE"/>
    <n v="8"/>
    <n v="0"/>
    <n v="516345"/>
  </r>
  <r>
    <s v="Retail"/>
    <s v="Q057 - Pasto - Cc Unico"/>
    <x v="8"/>
    <s v="octubre"/>
    <n v="1"/>
    <d v="2026-10-01T00:00:00"/>
    <n v="1030020471"/>
    <s v="FIERRO MORA SANTIAGO  ALEJANDRO"/>
    <n v="5"/>
    <n v="0"/>
    <n v="184538"/>
  </r>
  <r>
    <s v="Retail"/>
    <s v="Q057 - Pasto - Cc Unico"/>
    <x v="8"/>
    <s v="octubre"/>
    <n v="1"/>
    <d v="2026-10-01T00:00:00"/>
    <n v="1085283938"/>
    <s v="SALAMANCA ESTRADA CLAUDIA ANDREA"/>
    <n v="224"/>
    <n v="0"/>
    <n v="9458829"/>
  </r>
  <r>
    <s v="Retail"/>
    <s v="Q057 - Pasto - Cc Unico"/>
    <x v="8"/>
    <s v="octubre"/>
    <n v="1"/>
    <d v="2026-10-01T00:00:00"/>
    <n v="1085305292"/>
    <s v="OBANDO  MERA MARIA ALEJANDRA "/>
    <n v="176"/>
    <n v="0"/>
    <n v="9333576"/>
  </r>
  <r>
    <s v="Retail"/>
    <s v="Q057 - Pasto - Cc Unico"/>
    <x v="8"/>
    <s v="octubre"/>
    <n v="1"/>
    <d v="2026-10-01T00:00:00"/>
    <n v="1110040388"/>
    <s v="BLANDON VIETERI MARIA JOSE"/>
    <n v="5"/>
    <n v="0"/>
    <n v="276975"/>
  </r>
  <r>
    <s v="Retail"/>
    <s v="Q057 - Pasto - Cc Unico"/>
    <x v="8"/>
    <s v="octubre"/>
    <n v="2"/>
    <d v="2026-10-02T00:00:00"/>
    <m/>
    <m/>
    <n v="0"/>
    <n v="30545637"/>
    <n v="0"/>
  </r>
  <r>
    <s v="Retail"/>
    <s v="Q057 - Pasto - Cc Unico"/>
    <x v="8"/>
    <s v="octubre"/>
    <n v="2"/>
    <d v="2026-10-02T00:00:00"/>
    <n v="1004135195"/>
    <s v="CEBALLOS ROSAS JENNY SOFIA"/>
    <n v="30"/>
    <n v="0"/>
    <n v="1138907"/>
  </r>
  <r>
    <s v="Retail"/>
    <s v="Q057 - Pasto - Cc Unico"/>
    <x v="8"/>
    <s v="octubre"/>
    <n v="2"/>
    <d v="2026-10-02T00:00:00"/>
    <n v="1004215413"/>
    <s v="CISNEROS DE LA CRUZ SANTIAGO"/>
    <n v="60"/>
    <n v="0"/>
    <n v="2885213"/>
  </r>
  <r>
    <s v="Retail"/>
    <s v="Q057 - Pasto - Cc Unico"/>
    <x v="8"/>
    <s v="octubre"/>
    <n v="2"/>
    <d v="2026-10-02T00:00:00"/>
    <n v="1004235122"/>
    <s v="SANTACRUZ GERRERO CARLOS FELIPE"/>
    <n v="25"/>
    <n v="0"/>
    <n v="1176975"/>
  </r>
  <r>
    <s v="Retail"/>
    <s v="Q057 - Pasto - Cc Unico"/>
    <x v="8"/>
    <s v="octubre"/>
    <n v="2"/>
    <d v="2026-10-02T00:00:00"/>
    <n v="1030020471"/>
    <s v="FIERRO MORA SANTIAGO  ALEJANDRO"/>
    <n v="31"/>
    <n v="0"/>
    <n v="1206092"/>
  </r>
  <r>
    <s v="Retail"/>
    <s v="Q057 - Pasto - Cc Unico"/>
    <x v="8"/>
    <s v="octubre"/>
    <n v="2"/>
    <d v="2026-10-02T00:00:00"/>
    <n v="1085283938"/>
    <s v="SALAMANCA ESTRADA CLAUDIA ANDREA"/>
    <n v="109"/>
    <n v="0"/>
    <n v="5844161"/>
  </r>
  <r>
    <s v="Retail"/>
    <s v="Q057 - Pasto - Cc Unico"/>
    <x v="8"/>
    <s v="octubre"/>
    <n v="2"/>
    <d v="2026-10-02T00:00:00"/>
    <n v="1085290212"/>
    <s v="CHILES BANDA LEIDY VANESA"/>
    <n v="-1"/>
    <n v="0"/>
    <n v="-46177"/>
  </r>
  <r>
    <s v="Retail"/>
    <s v="Q057 - Pasto - Cc Unico"/>
    <x v="8"/>
    <s v="octubre"/>
    <n v="2"/>
    <d v="2026-10-02T00:00:00"/>
    <n v="1085305292"/>
    <s v="OBANDO  MERA MARIA ALEJANDRA "/>
    <n v="115"/>
    <n v="0"/>
    <n v="5474083"/>
  </r>
  <r>
    <s v="Retail"/>
    <s v="Q057 - Pasto - Cc Unico"/>
    <x v="8"/>
    <s v="octubre"/>
    <n v="2"/>
    <d v="2026-10-02T00:00:00"/>
    <n v="1110040388"/>
    <s v="BLANDON VIETERI MARIA JOSE"/>
    <n v="24"/>
    <n v="0"/>
    <n v="1086513"/>
  </r>
  <r>
    <s v="Retail"/>
    <s v="Q057 - Pasto - Cc Unico"/>
    <x v="8"/>
    <s v="octubre"/>
    <n v="3"/>
    <d v="2026-10-03T00:00:00"/>
    <m/>
    <m/>
    <n v="0"/>
    <n v="30302279"/>
    <n v="0"/>
  </r>
  <r>
    <s v="Retail"/>
    <s v="Q057 - Pasto - Cc Unico"/>
    <x v="8"/>
    <s v="octubre"/>
    <n v="3"/>
    <d v="2026-10-03T00:00:00"/>
    <n v="1004135195"/>
    <s v="CEBALLOS ROSAS JENNY SOFIA"/>
    <n v="31"/>
    <n v="0"/>
    <n v="1370252"/>
  </r>
  <r>
    <s v="Retail"/>
    <s v="Q057 - Pasto - Cc Unico"/>
    <x v="8"/>
    <s v="octubre"/>
    <n v="3"/>
    <d v="2026-10-03T00:00:00"/>
    <n v="1004215413"/>
    <s v="CISNEROS DE LA CRUZ SANTIAGO"/>
    <n v="122"/>
    <n v="0"/>
    <n v="5229978"/>
  </r>
  <r>
    <s v="Retail"/>
    <s v="Q057 - Pasto - Cc Unico"/>
    <x v="8"/>
    <s v="octubre"/>
    <n v="3"/>
    <d v="2026-10-03T00:00:00"/>
    <n v="1004235122"/>
    <s v="SANTACRUZ GERRERO CARLOS FELIPE"/>
    <n v="47"/>
    <n v="0"/>
    <n v="2121976"/>
  </r>
  <r>
    <s v="Retail"/>
    <s v="Q057 - Pasto - Cc Unico"/>
    <x v="8"/>
    <s v="octubre"/>
    <n v="3"/>
    <d v="2026-10-03T00:00:00"/>
    <n v="1030020471"/>
    <s v="FIERRO MORA SANTIAGO  ALEJANDRO"/>
    <n v="48"/>
    <n v="0"/>
    <n v="1690932"/>
  </r>
  <r>
    <s v="Retail"/>
    <s v="Q057 - Pasto - Cc Unico"/>
    <x v="8"/>
    <s v="octubre"/>
    <n v="3"/>
    <d v="2026-10-03T00:00:00"/>
    <n v="1085283938"/>
    <s v="SALAMANCA ESTRADA CLAUDIA ANDREA"/>
    <n v="268"/>
    <n v="0"/>
    <n v="14026922"/>
  </r>
  <r>
    <s v="Retail"/>
    <s v="Q057 - Pasto - Cc Unico"/>
    <x v="8"/>
    <s v="octubre"/>
    <n v="3"/>
    <d v="2026-10-03T00:00:00"/>
    <n v="1085305292"/>
    <s v="OBANDO  MERA MARIA ALEJANDRA "/>
    <n v="229"/>
    <n v="0"/>
    <n v="11862899"/>
  </r>
  <r>
    <s v="Retail"/>
    <s v="Q057 - Pasto - Cc Unico"/>
    <x v="8"/>
    <s v="octubre"/>
    <n v="3"/>
    <d v="2026-10-03T00:00:00"/>
    <n v="1107840490"/>
    <s v="LONDOÑO RODRIGUEZ NIKOL ANDREA"/>
    <n v="-1"/>
    <n v="0"/>
    <n v="-54580"/>
  </r>
  <r>
    <s v="Retail"/>
    <s v="Q057 - Pasto - Cc Unico"/>
    <x v="8"/>
    <s v="octubre"/>
    <n v="3"/>
    <d v="2026-10-03T00:00:00"/>
    <n v="1110040388"/>
    <s v="BLANDON VIETERI MARIA JOSE"/>
    <n v="69"/>
    <n v="0"/>
    <n v="2736472"/>
  </r>
  <r>
    <s v="Retail"/>
    <s v="Q057 - Pasto - Cc Unico"/>
    <x v="8"/>
    <s v="octubre"/>
    <n v="4"/>
    <d v="2026-10-04T00:00:00"/>
    <m/>
    <m/>
    <n v="0"/>
    <n v="32476215"/>
    <n v="0"/>
  </r>
  <r>
    <s v="Retail"/>
    <s v="Q057 - Pasto - Cc Unico"/>
    <x v="8"/>
    <s v="octubre"/>
    <n v="4"/>
    <d v="2026-10-04T00:00:00"/>
    <n v="1004135195"/>
    <s v="CEBALLOS ROSAS JENNY SOFIA"/>
    <n v="41"/>
    <n v="0"/>
    <n v="2140675"/>
  </r>
  <r>
    <s v="Retail"/>
    <s v="Q057 - Pasto - Cc Unico"/>
    <x v="8"/>
    <s v="octubre"/>
    <n v="4"/>
    <d v="2026-10-04T00:00:00"/>
    <n v="1004215413"/>
    <s v="CISNEROS DE LA CRUZ SANTIAGO"/>
    <n v="89"/>
    <n v="0"/>
    <n v="4616722"/>
  </r>
  <r>
    <s v="Retail"/>
    <s v="Q057 - Pasto - Cc Unico"/>
    <x v="8"/>
    <s v="octubre"/>
    <n v="4"/>
    <d v="2026-10-04T00:00:00"/>
    <n v="1004235122"/>
    <s v="SANTACRUZ GERRERO CARLOS FELIPE"/>
    <n v="54"/>
    <n v="0"/>
    <n v="2799455"/>
  </r>
  <r>
    <s v="Retail"/>
    <s v="Q057 - Pasto - Cc Unico"/>
    <x v="8"/>
    <s v="octubre"/>
    <n v="4"/>
    <d v="2026-10-04T00:00:00"/>
    <n v="1030020471"/>
    <s v="FIERRO MORA SANTIAGO  ALEJANDRO"/>
    <n v="54"/>
    <n v="0"/>
    <n v="2190126"/>
  </r>
  <r>
    <s v="Retail"/>
    <s v="Q057 - Pasto - Cc Unico"/>
    <x v="8"/>
    <s v="octubre"/>
    <n v="4"/>
    <d v="2026-10-04T00:00:00"/>
    <n v="1085283938"/>
    <s v="SALAMANCA ESTRADA CLAUDIA ANDREA"/>
    <n v="240"/>
    <n v="0"/>
    <n v="12897395"/>
  </r>
  <r>
    <s v="Retail"/>
    <s v="Q057 - Pasto - Cc Unico"/>
    <x v="8"/>
    <s v="octubre"/>
    <n v="4"/>
    <d v="2026-10-04T00:00:00"/>
    <n v="1085305292"/>
    <s v="OBANDO  MERA MARIA ALEJANDRA "/>
    <n v="253"/>
    <n v="0"/>
    <n v="12889045"/>
  </r>
  <r>
    <s v="Retail"/>
    <s v="Q057 - Pasto - Cc Unico"/>
    <x v="8"/>
    <s v="octubre"/>
    <n v="4"/>
    <d v="2026-10-04T00:00:00"/>
    <n v="1110040388"/>
    <s v="BLANDON VIETERI MARIA JOSE"/>
    <n v="50"/>
    <n v="0"/>
    <n v="2694624"/>
  </r>
  <r>
    <s v="Retail"/>
    <s v="Q057 - Pasto - Cc Unico"/>
    <x v="8"/>
    <s v="octubre"/>
    <n v="4"/>
    <d v="2026-10-04T00:00:00"/>
    <n v="1113689444"/>
    <s v="GONZALEZ QUIÑONES JUAN CAMILO"/>
    <n v="-1"/>
    <n v="0"/>
    <n v="-33529"/>
  </r>
  <r>
    <s v="Retail"/>
    <s v="Q057 - Pasto - Cc Unico"/>
    <x v="8"/>
    <s v="octubre"/>
    <n v="5"/>
    <d v="2026-10-05T00:00:00"/>
    <m/>
    <m/>
    <n v="0"/>
    <n v="16901322"/>
    <n v="0"/>
  </r>
  <r>
    <s v="Retail"/>
    <s v="Q057 - Pasto - Cc Unico"/>
    <x v="8"/>
    <s v="octubre"/>
    <n v="5"/>
    <d v="2026-10-05T00:00:00"/>
    <n v="1004135195"/>
    <s v="CEBALLOS ROSAS JENNY SOFIA"/>
    <n v="0"/>
    <n v="0"/>
    <n v="-50420"/>
  </r>
  <r>
    <s v="Retail"/>
    <s v="Q057 - Pasto - Cc Unico"/>
    <x v="8"/>
    <s v="octubre"/>
    <n v="5"/>
    <d v="2026-10-05T00:00:00"/>
    <n v="1004215413"/>
    <s v="CISNEROS DE LA CRUZ SANTIAGO"/>
    <n v="50"/>
    <n v="0"/>
    <n v="2116808"/>
  </r>
  <r>
    <s v="Retail"/>
    <s v="Q057 - Pasto - Cc Unico"/>
    <x v="8"/>
    <s v="octubre"/>
    <n v="5"/>
    <d v="2026-10-05T00:00:00"/>
    <n v="1004235122"/>
    <s v="SANTACRUZ GERRERO CARLOS FELIPE"/>
    <n v="8"/>
    <n v="0"/>
    <n v="470125"/>
  </r>
  <r>
    <s v="Retail"/>
    <s v="Q057 - Pasto - Cc Unico"/>
    <x v="8"/>
    <s v="octubre"/>
    <n v="5"/>
    <d v="2026-10-05T00:00:00"/>
    <n v="1030020471"/>
    <s v="FIERRO MORA SANTIAGO  ALEJANDRO"/>
    <n v="10"/>
    <n v="0"/>
    <n v="486764"/>
  </r>
  <r>
    <s v="Retail"/>
    <s v="Q057 - Pasto - Cc Unico"/>
    <x v="8"/>
    <s v="octubre"/>
    <n v="5"/>
    <d v="2026-10-05T00:00:00"/>
    <n v="1085283938"/>
    <s v="SALAMANCA ESTRADA CLAUDIA ANDREA"/>
    <n v="115"/>
    <n v="0"/>
    <n v="6342567"/>
  </r>
  <r>
    <s v="Retail"/>
    <s v="Q057 - Pasto - Cc Unico"/>
    <x v="8"/>
    <s v="octubre"/>
    <n v="5"/>
    <d v="2026-10-05T00:00:00"/>
    <n v="1085305292"/>
    <s v="OBANDO  MERA MARIA ALEJANDRA "/>
    <n v="111"/>
    <n v="0"/>
    <n v="6282019"/>
  </r>
  <r>
    <s v="Retail"/>
    <s v="Q057 - Pasto - Cc Unico"/>
    <x v="8"/>
    <s v="octubre"/>
    <n v="5"/>
    <d v="2026-10-05T00:00:00"/>
    <n v="1110040388"/>
    <s v="BLANDON VIETERI MARIA JOSE"/>
    <n v="18"/>
    <n v="0"/>
    <n v="401932"/>
  </r>
  <r>
    <s v="Retail"/>
    <s v="Q057 - Pasto - Cc Unico"/>
    <x v="8"/>
    <s v="octubre"/>
    <n v="6"/>
    <d v="2026-10-06T00:00:00"/>
    <m/>
    <m/>
    <n v="0"/>
    <n v="9906717"/>
    <n v="0"/>
  </r>
  <r>
    <s v="Retail"/>
    <s v="Q057 - Pasto - Cc Unico"/>
    <x v="8"/>
    <s v="octubre"/>
    <n v="6"/>
    <d v="2026-10-06T00:00:00"/>
    <n v="1004135195"/>
    <s v="CEBALLOS ROSAS JENNY SOFIA"/>
    <n v="-4"/>
    <n v="0"/>
    <n v="-235555"/>
  </r>
  <r>
    <s v="Retail"/>
    <s v="Q057 - Pasto - Cc Unico"/>
    <x v="8"/>
    <s v="octubre"/>
    <n v="6"/>
    <d v="2026-10-06T00:00:00"/>
    <n v="1004215413"/>
    <s v="CISNEROS DE LA CRUZ SANTIAGO"/>
    <n v="25"/>
    <n v="0"/>
    <n v="884873"/>
  </r>
  <r>
    <s v="Retail"/>
    <s v="Q057 - Pasto - Cc Unico"/>
    <x v="8"/>
    <s v="octubre"/>
    <n v="6"/>
    <d v="2026-10-06T00:00:00"/>
    <n v="1004235122"/>
    <s v="SANTACRUZ GERRERO CARLOS FELIPE"/>
    <n v="23"/>
    <n v="0"/>
    <n v="906221"/>
  </r>
  <r>
    <s v="Retail"/>
    <s v="Q057 - Pasto - Cc Unico"/>
    <x v="8"/>
    <s v="octubre"/>
    <n v="6"/>
    <d v="2026-10-06T00:00:00"/>
    <n v="1030020471"/>
    <s v="FIERRO MORA SANTIAGO  ALEJANDRO"/>
    <n v="20"/>
    <n v="0"/>
    <n v="721513"/>
  </r>
  <r>
    <s v="Retail"/>
    <s v="Q057 - Pasto - Cc Unico"/>
    <x v="8"/>
    <s v="octubre"/>
    <n v="6"/>
    <d v="2026-10-06T00:00:00"/>
    <n v="1085283938"/>
    <s v="SALAMANCA ESTRADA CLAUDIA ANDREA"/>
    <n v="93"/>
    <n v="0"/>
    <n v="5028339"/>
  </r>
  <r>
    <s v="Retail"/>
    <s v="Q057 - Pasto - Cc Unico"/>
    <x v="8"/>
    <s v="octubre"/>
    <n v="6"/>
    <d v="2026-10-06T00:00:00"/>
    <n v="1085305292"/>
    <s v="OBANDO  MERA MARIA ALEJANDRA "/>
    <n v="101"/>
    <n v="0"/>
    <n v="5030658"/>
  </r>
  <r>
    <s v="Retail"/>
    <s v="Q057 - Pasto - Cc Unico"/>
    <x v="8"/>
    <s v="octubre"/>
    <n v="6"/>
    <d v="2026-10-06T00:00:00"/>
    <n v="1110040388"/>
    <s v="BLANDON VIETERI MARIA JOSE"/>
    <n v="16"/>
    <n v="0"/>
    <n v="488500"/>
  </r>
  <r>
    <s v="Retail"/>
    <s v="Q057 - Pasto - Cc Unico"/>
    <x v="8"/>
    <s v="octubre"/>
    <n v="7"/>
    <d v="2026-10-07T00:00:00"/>
    <m/>
    <m/>
    <n v="0"/>
    <n v="9828883"/>
    <n v="0"/>
  </r>
  <r>
    <s v="Retail"/>
    <s v="Q057 - Pasto - Cc Unico"/>
    <x v="8"/>
    <s v="octubre"/>
    <n v="7"/>
    <d v="2026-10-07T00:00:00"/>
    <n v="1004135195"/>
    <s v="CEBALLOS ROSAS JENNY SOFIA"/>
    <n v="3"/>
    <n v="0"/>
    <n v="-59161"/>
  </r>
  <r>
    <s v="Retail"/>
    <s v="Q057 - Pasto - Cc Unico"/>
    <x v="8"/>
    <s v="octubre"/>
    <n v="7"/>
    <d v="2026-10-07T00:00:00"/>
    <n v="1004215413"/>
    <s v="CISNEROS DE LA CRUZ SANTIAGO"/>
    <n v="36"/>
    <n v="0"/>
    <n v="1933114"/>
  </r>
  <r>
    <s v="Retail"/>
    <s v="Q057 - Pasto - Cc Unico"/>
    <x v="8"/>
    <s v="octubre"/>
    <n v="7"/>
    <d v="2026-10-07T00:00:00"/>
    <n v="1004235122"/>
    <s v="SANTACRUZ GERRERO CARLOS FELIPE"/>
    <n v="36"/>
    <n v="0"/>
    <n v="1231684"/>
  </r>
  <r>
    <s v="Retail"/>
    <s v="Q057 - Pasto - Cc Unico"/>
    <x v="8"/>
    <s v="octubre"/>
    <n v="7"/>
    <d v="2026-10-07T00:00:00"/>
    <n v="1030020471"/>
    <s v="FIERRO MORA SANTIAGO  ALEJANDRO"/>
    <n v="34"/>
    <n v="0"/>
    <n v="1531724"/>
  </r>
  <r>
    <s v="Retail"/>
    <s v="Q057 - Pasto - Cc Unico"/>
    <x v="8"/>
    <s v="octubre"/>
    <n v="7"/>
    <d v="2026-10-07T00:00:00"/>
    <n v="1055047967"/>
    <s v="ARANGO LOPEZ DIANA PATRICIA"/>
    <n v="-1"/>
    <n v="0"/>
    <n v="-50378"/>
  </r>
  <r>
    <s v="Retail"/>
    <s v="Q057 - Pasto - Cc Unico"/>
    <x v="8"/>
    <s v="octubre"/>
    <n v="7"/>
    <d v="2026-10-07T00:00:00"/>
    <n v="1085283938"/>
    <s v="SALAMANCA ESTRADA CLAUDIA ANDREA"/>
    <n v="73"/>
    <n v="0"/>
    <n v="3737987"/>
  </r>
  <r>
    <s v="Retail"/>
    <s v="Q057 - Pasto - Cc Unico"/>
    <x v="8"/>
    <s v="octubre"/>
    <n v="7"/>
    <d v="2026-10-07T00:00:00"/>
    <n v="1085305292"/>
    <s v="OBANDO  MERA MARIA ALEJANDRA "/>
    <n v="70"/>
    <n v="0"/>
    <n v="3508155"/>
  </r>
  <r>
    <s v="Retail"/>
    <s v="Q057 - Pasto - Cc Unico"/>
    <x v="8"/>
    <s v="octubre"/>
    <n v="7"/>
    <d v="2026-10-07T00:00:00"/>
    <n v="1110040388"/>
    <s v="BLANDON VIETERI MARIA JOSE"/>
    <n v="37"/>
    <n v="0"/>
    <n v="1401262"/>
  </r>
  <r>
    <s v="Retail"/>
    <s v="Q090 - Ipiales - Cc Gran Plaza"/>
    <x v="8"/>
    <s v="septiembre"/>
    <n v="23"/>
    <d v="2026-09-23T00:00:00"/>
    <m/>
    <m/>
    <n v="0"/>
    <n v="12367820"/>
    <n v="0"/>
  </r>
  <r>
    <s v="Retail"/>
    <s v="Q090 - Ipiales - Cc Gran Plaza"/>
    <x v="8"/>
    <s v="septiembre"/>
    <n v="23"/>
    <d v="2026-09-23T00:00:00"/>
    <n v="1004673313"/>
    <s v="LAGOS QUENGUAN JOHANA ELIZABETH"/>
    <n v="147"/>
    <n v="0"/>
    <n v="8422313"/>
  </r>
  <r>
    <s v="Retail"/>
    <s v="Q090 - Ipiales - Cc Gran Plaza"/>
    <x v="8"/>
    <s v="septiembre"/>
    <n v="23"/>
    <d v="2026-09-23T00:00:00"/>
    <n v="1004726971"/>
    <s v="PANTOJA  ANNY GABRIELA"/>
    <n v="21"/>
    <n v="0"/>
    <n v="1398153"/>
  </r>
  <r>
    <s v="Retail"/>
    <s v="Q090 - Ipiales - Cc Gran Plaza"/>
    <x v="8"/>
    <s v="septiembre"/>
    <n v="23"/>
    <d v="2026-09-23T00:00:00"/>
    <n v="1085902274"/>
    <s v="CHACÓN  ANDREA LORENA"/>
    <n v="152"/>
    <n v="0"/>
    <n v="8306895"/>
  </r>
  <r>
    <s v="Retail"/>
    <s v="Q090 - Ipiales - Cc Gran Plaza"/>
    <x v="8"/>
    <s v="septiembre"/>
    <n v="23"/>
    <d v="2026-09-23T00:00:00"/>
    <n v="1085916984"/>
    <s v="DELGADO RECALDE MONICA ROCIO"/>
    <n v="33"/>
    <n v="0"/>
    <n v="2242102"/>
  </r>
  <r>
    <s v="Retail"/>
    <s v="Q090 - Ipiales - Cc Gran Plaza"/>
    <x v="8"/>
    <s v="septiembre"/>
    <n v="23"/>
    <d v="2026-09-23T00:00:00"/>
    <n v="1085950446"/>
    <s v="RECALDE TARAPUES JUAN DAVID"/>
    <n v="29"/>
    <n v="0"/>
    <n v="1811723"/>
  </r>
  <r>
    <s v="Retail"/>
    <s v="Q090 - Ipiales - Cc Gran Plaza"/>
    <x v="8"/>
    <s v="septiembre"/>
    <n v="24"/>
    <d v="2026-09-24T00:00:00"/>
    <m/>
    <m/>
    <n v="0"/>
    <n v="18893235"/>
    <n v="0"/>
  </r>
  <r>
    <s v="Retail"/>
    <s v="Q090 - Ipiales - Cc Gran Plaza"/>
    <x v="8"/>
    <s v="septiembre"/>
    <n v="24"/>
    <d v="2026-09-24T00:00:00"/>
    <n v="1004673313"/>
    <s v="LAGOS QUENGUAN JOHANA ELIZABETH"/>
    <n v="121"/>
    <n v="0"/>
    <n v="7340846"/>
  </r>
  <r>
    <s v="Retail"/>
    <s v="Q090 - Ipiales - Cc Gran Plaza"/>
    <x v="8"/>
    <s v="septiembre"/>
    <n v="24"/>
    <d v="2026-09-24T00:00:00"/>
    <n v="1004726971"/>
    <s v="PANTOJA  ANNY GABRIELA"/>
    <n v="25"/>
    <n v="0"/>
    <n v="1299372"/>
  </r>
  <r>
    <s v="Retail"/>
    <s v="Q090 - Ipiales - Cc Gran Plaza"/>
    <x v="8"/>
    <s v="septiembre"/>
    <n v="24"/>
    <d v="2026-09-24T00:00:00"/>
    <n v="1085902274"/>
    <s v="CHACÓN  ANDREA LORENA"/>
    <n v="99"/>
    <n v="0"/>
    <n v="5306307"/>
  </r>
  <r>
    <s v="Retail"/>
    <s v="Q090 - Ipiales - Cc Gran Plaza"/>
    <x v="8"/>
    <s v="septiembre"/>
    <n v="24"/>
    <d v="2026-09-24T00:00:00"/>
    <n v="1085916984"/>
    <s v="DELGADO RECALDE MONICA ROCIO"/>
    <n v="17"/>
    <n v="0"/>
    <n v="1087479"/>
  </r>
  <r>
    <s v="Retail"/>
    <s v="Q090 - Ipiales - Cc Gran Plaza"/>
    <x v="8"/>
    <s v="septiembre"/>
    <n v="24"/>
    <d v="2026-09-24T00:00:00"/>
    <n v="1085920020"/>
    <s v="GARAY MALTE YORLID PÁOLA"/>
    <n v="36"/>
    <n v="0"/>
    <n v="2095003"/>
  </r>
  <r>
    <s v="Retail"/>
    <s v="Q090 - Ipiales - Cc Gran Plaza"/>
    <x v="8"/>
    <s v="septiembre"/>
    <n v="24"/>
    <d v="2026-09-24T00:00:00"/>
    <n v="1085950446"/>
    <s v="RECALDE TARAPUES JUAN DAVID"/>
    <n v="27"/>
    <n v="0"/>
    <n v="1761432"/>
  </r>
  <r>
    <s v="Retail"/>
    <s v="Q090 - Ipiales - Cc Gran Plaza"/>
    <x v="8"/>
    <s v="septiembre"/>
    <n v="25"/>
    <d v="2026-09-25T00:00:00"/>
    <m/>
    <m/>
    <n v="0"/>
    <n v="18851411"/>
    <n v="0"/>
  </r>
  <r>
    <s v="Retail"/>
    <s v="Q090 - Ipiales - Cc Gran Plaza"/>
    <x v="8"/>
    <s v="septiembre"/>
    <n v="25"/>
    <d v="2026-09-25T00:00:00"/>
    <n v="1004673313"/>
    <s v="LAGOS QUENGUAN JOHANA ELIZABETH"/>
    <n v="75"/>
    <n v="0"/>
    <n v="4822483"/>
  </r>
  <r>
    <s v="Retail"/>
    <s v="Q090 - Ipiales - Cc Gran Plaza"/>
    <x v="8"/>
    <s v="septiembre"/>
    <n v="25"/>
    <d v="2026-09-25T00:00:00"/>
    <n v="1004726971"/>
    <s v="PANTOJA  ANNY GABRIELA"/>
    <n v="18"/>
    <n v="0"/>
    <n v="1280757"/>
  </r>
  <r>
    <s v="Retail"/>
    <s v="Q090 - Ipiales - Cc Gran Plaza"/>
    <x v="8"/>
    <s v="septiembre"/>
    <n v="25"/>
    <d v="2026-09-25T00:00:00"/>
    <n v="1085902274"/>
    <s v="CHACÓN  ANDREA LORENA"/>
    <n v="63"/>
    <n v="0"/>
    <n v="4005591"/>
  </r>
  <r>
    <s v="Retail"/>
    <s v="Q090 - Ipiales - Cc Gran Plaza"/>
    <x v="8"/>
    <s v="septiembre"/>
    <n v="25"/>
    <d v="2026-09-25T00:00:00"/>
    <n v="1085916984"/>
    <s v="DELGADO RECALDE MONICA ROCIO"/>
    <n v="36"/>
    <n v="0"/>
    <n v="1920336"/>
  </r>
  <r>
    <s v="Retail"/>
    <s v="Q090 - Ipiales - Cc Gran Plaza"/>
    <x v="8"/>
    <s v="septiembre"/>
    <n v="25"/>
    <d v="2026-09-25T00:00:00"/>
    <n v="1085920020"/>
    <s v="GARAY MALTE YORLID PÁOLA"/>
    <n v="33"/>
    <n v="0"/>
    <n v="2101388"/>
  </r>
  <r>
    <s v="Retail"/>
    <s v="Q090 - Ipiales - Cc Gran Plaza"/>
    <x v="8"/>
    <s v="septiembre"/>
    <n v="25"/>
    <d v="2026-09-25T00:00:00"/>
    <n v="1085950446"/>
    <s v="RECALDE TARAPUES JUAN DAVID"/>
    <n v="28"/>
    <n v="0"/>
    <n v="1839162"/>
  </r>
  <r>
    <s v="Retail"/>
    <s v="Q090 - Ipiales - Cc Gran Plaza"/>
    <x v="8"/>
    <s v="septiembre"/>
    <n v="26"/>
    <d v="2026-09-26T00:00:00"/>
    <m/>
    <m/>
    <n v="0"/>
    <n v="27092184"/>
    <n v="0"/>
  </r>
  <r>
    <s v="Retail"/>
    <s v="Q090 - Ipiales - Cc Gran Plaza"/>
    <x v="8"/>
    <s v="septiembre"/>
    <n v="26"/>
    <d v="2026-09-26T00:00:00"/>
    <n v="1004673313"/>
    <s v="LAGOS QUENGUAN JOHANA ELIZABETH"/>
    <n v="116"/>
    <n v="0"/>
    <n v="7921147"/>
  </r>
  <r>
    <s v="Retail"/>
    <s v="Q090 - Ipiales - Cc Gran Plaza"/>
    <x v="8"/>
    <s v="septiembre"/>
    <n v="26"/>
    <d v="2026-09-26T00:00:00"/>
    <n v="1004726971"/>
    <s v="PANTOJA  ANNY GABRIELA"/>
    <n v="28"/>
    <n v="0"/>
    <n v="2099540"/>
  </r>
  <r>
    <s v="Retail"/>
    <s v="Q090 - Ipiales - Cc Gran Plaza"/>
    <x v="8"/>
    <s v="septiembre"/>
    <n v="26"/>
    <d v="2026-09-26T00:00:00"/>
    <n v="1085902274"/>
    <s v="CHACÓN  ANDREA LORENA"/>
    <n v="99"/>
    <n v="0"/>
    <n v="6468366"/>
  </r>
  <r>
    <s v="Retail"/>
    <s v="Q090 - Ipiales - Cc Gran Plaza"/>
    <x v="8"/>
    <s v="septiembre"/>
    <n v="26"/>
    <d v="2026-09-26T00:00:00"/>
    <n v="1085916984"/>
    <s v="DELGADO RECALDE MONICA ROCIO"/>
    <n v="39"/>
    <n v="0"/>
    <n v="2519329"/>
  </r>
  <r>
    <s v="Retail"/>
    <s v="Q090 - Ipiales - Cc Gran Plaza"/>
    <x v="8"/>
    <s v="septiembre"/>
    <n v="26"/>
    <d v="2026-09-26T00:00:00"/>
    <n v="1085920020"/>
    <s v="GARAY MALTE YORLID PÁOLA"/>
    <n v="44"/>
    <n v="0"/>
    <n v="2657776"/>
  </r>
  <r>
    <s v="Retail"/>
    <s v="Q090 - Ipiales - Cc Gran Plaza"/>
    <x v="8"/>
    <s v="septiembre"/>
    <n v="26"/>
    <d v="2026-09-26T00:00:00"/>
    <n v="1085950446"/>
    <s v="RECALDE TARAPUES JUAN DAVID"/>
    <n v="57"/>
    <n v="0"/>
    <n v="4016306"/>
  </r>
  <r>
    <s v="Retail"/>
    <s v="Q090 - Ipiales - Cc Gran Plaza"/>
    <x v="8"/>
    <s v="septiembre"/>
    <n v="27"/>
    <d v="2026-09-27T00:00:00"/>
    <m/>
    <m/>
    <n v="0"/>
    <n v="21462462"/>
    <n v="0"/>
  </r>
  <r>
    <s v="Retail"/>
    <s v="Q090 - Ipiales - Cc Gran Plaza"/>
    <x v="8"/>
    <s v="septiembre"/>
    <n v="27"/>
    <d v="2026-09-27T00:00:00"/>
    <n v="1004673313"/>
    <s v="LAGOS QUENGUAN JOHANA ELIZABETH"/>
    <n v="83"/>
    <n v="0"/>
    <n v="5654038"/>
  </r>
  <r>
    <s v="Retail"/>
    <s v="Q090 - Ipiales - Cc Gran Plaza"/>
    <x v="8"/>
    <s v="septiembre"/>
    <n v="27"/>
    <d v="2026-09-27T00:00:00"/>
    <n v="1004726971"/>
    <s v="PANTOJA  ANNY GABRIELA"/>
    <n v="26"/>
    <n v="0"/>
    <n v="1585045"/>
  </r>
  <r>
    <s v="Retail"/>
    <s v="Q090 - Ipiales - Cc Gran Plaza"/>
    <x v="8"/>
    <s v="septiembre"/>
    <n v="27"/>
    <d v="2026-09-27T00:00:00"/>
    <n v="1085902274"/>
    <s v="CHACÓN  ANDREA LORENA"/>
    <n v="126"/>
    <n v="0"/>
    <n v="7374543"/>
  </r>
  <r>
    <s v="Retail"/>
    <s v="Q090 - Ipiales - Cc Gran Plaza"/>
    <x v="8"/>
    <s v="septiembre"/>
    <n v="27"/>
    <d v="2026-09-27T00:00:00"/>
    <n v="1085916984"/>
    <s v="DELGADO RECALDE MONICA ROCIO"/>
    <n v="36"/>
    <n v="0"/>
    <n v="2426767"/>
  </r>
  <r>
    <s v="Retail"/>
    <s v="Q090 - Ipiales - Cc Gran Plaza"/>
    <x v="8"/>
    <s v="septiembre"/>
    <n v="27"/>
    <d v="2026-09-27T00:00:00"/>
    <n v="1085920020"/>
    <s v="GARAY MALTE YORLID PÁOLA"/>
    <n v="49"/>
    <n v="0"/>
    <n v="3560715"/>
  </r>
  <r>
    <s v="Retail"/>
    <s v="Q090 - Ipiales - Cc Gran Plaza"/>
    <x v="8"/>
    <s v="septiembre"/>
    <n v="27"/>
    <d v="2026-09-27T00:00:00"/>
    <n v="1085950446"/>
    <s v="RECALDE TARAPUES JUAN DAVID"/>
    <n v="18"/>
    <n v="0"/>
    <n v="1272355"/>
  </r>
  <r>
    <s v="Retail"/>
    <s v="Q090 - Ipiales - Cc Gran Plaza"/>
    <x v="8"/>
    <s v="septiembre"/>
    <n v="28"/>
    <d v="2026-09-28T00:00:00"/>
    <m/>
    <m/>
    <n v="0"/>
    <n v="11812059"/>
    <n v="0"/>
  </r>
  <r>
    <s v="Retail"/>
    <s v="Q090 - Ipiales - Cc Gran Plaza"/>
    <x v="8"/>
    <s v="septiembre"/>
    <n v="28"/>
    <d v="2026-09-28T00:00:00"/>
    <n v="1004673313"/>
    <s v="LAGOS QUENGUAN JOHANA ELIZABETH"/>
    <n v="92"/>
    <n v="0"/>
    <n v="6220296"/>
  </r>
  <r>
    <s v="Retail"/>
    <s v="Q090 - Ipiales - Cc Gran Plaza"/>
    <x v="8"/>
    <s v="septiembre"/>
    <n v="28"/>
    <d v="2026-09-28T00:00:00"/>
    <n v="1004726971"/>
    <s v="PANTOJA  ANNY GABRIELA"/>
    <n v="28"/>
    <n v="0"/>
    <n v="1832774"/>
  </r>
  <r>
    <s v="Retail"/>
    <s v="Q090 - Ipiales - Cc Gran Plaza"/>
    <x v="8"/>
    <s v="septiembre"/>
    <n v="28"/>
    <d v="2026-09-28T00:00:00"/>
    <n v="1085902274"/>
    <s v="CHACÓN  ANDREA LORENA"/>
    <n v="67"/>
    <n v="0"/>
    <n v="3417145"/>
  </r>
  <r>
    <s v="Retail"/>
    <s v="Q090 - Ipiales - Cc Gran Plaza"/>
    <x v="8"/>
    <s v="septiembre"/>
    <n v="28"/>
    <d v="2026-09-28T00:00:00"/>
    <n v="1085920020"/>
    <s v="GARAY MALTE YORLID PÁOLA"/>
    <n v="1"/>
    <n v="0"/>
    <n v="29370"/>
  </r>
  <r>
    <s v="Retail"/>
    <s v="Q090 - Ipiales - Cc Gran Plaza"/>
    <x v="8"/>
    <s v="septiembre"/>
    <n v="29"/>
    <d v="2026-09-29T00:00:00"/>
    <m/>
    <m/>
    <n v="0"/>
    <n v="12617593"/>
    <n v="0"/>
  </r>
  <r>
    <s v="Retail"/>
    <s v="Q090 - Ipiales - Cc Gran Plaza"/>
    <x v="8"/>
    <s v="septiembre"/>
    <n v="29"/>
    <d v="2026-09-29T00:00:00"/>
    <n v="1004673313"/>
    <s v="LAGOS QUENGUAN JOHANA ELIZABETH"/>
    <n v="131"/>
    <n v="0"/>
    <n v="6475254"/>
  </r>
  <r>
    <s v="Retail"/>
    <s v="Q090 - Ipiales - Cc Gran Plaza"/>
    <x v="8"/>
    <s v="septiembre"/>
    <n v="29"/>
    <d v="2026-09-29T00:00:00"/>
    <n v="1004726971"/>
    <s v="PANTOJA  ANNY GABRIELA"/>
    <n v="10"/>
    <n v="0"/>
    <n v="949160"/>
  </r>
  <r>
    <s v="Retail"/>
    <s v="Q090 - Ipiales - Cc Gran Plaza"/>
    <x v="8"/>
    <s v="septiembre"/>
    <n v="29"/>
    <d v="2026-09-29T00:00:00"/>
    <n v="1085902274"/>
    <s v="CHACÓN  ANDREA LORENA"/>
    <n v="88"/>
    <n v="0"/>
    <n v="5393114"/>
  </r>
  <r>
    <s v="Retail"/>
    <s v="Q090 - Ipiales - Cc Gran Plaza"/>
    <x v="8"/>
    <s v="septiembre"/>
    <n v="29"/>
    <d v="2026-09-29T00:00:00"/>
    <n v="1085950446"/>
    <s v="RECALDE TARAPUES JUAN DAVID"/>
    <n v="0"/>
    <n v="0"/>
    <n v="54664"/>
  </r>
  <r>
    <s v="Retail"/>
    <s v="Q090 - Ipiales - Cc Gran Plaza"/>
    <x v="8"/>
    <s v="septiembre"/>
    <n v="30"/>
    <d v="2026-09-30T00:00:00"/>
    <m/>
    <m/>
    <n v="0"/>
    <n v="13034196"/>
    <n v="0"/>
  </r>
  <r>
    <s v="Retail"/>
    <s v="Q090 - Ipiales - Cc Gran Plaza"/>
    <x v="8"/>
    <s v="septiembre"/>
    <n v="30"/>
    <d v="2026-09-30T00:00:00"/>
    <n v="1004673313"/>
    <s v="LAGOS QUENGUAN JOHANA ELIZABETH"/>
    <n v="93"/>
    <n v="0"/>
    <n v="5844412"/>
  </r>
  <r>
    <s v="Retail"/>
    <s v="Q090 - Ipiales - Cc Gran Plaza"/>
    <x v="8"/>
    <s v="septiembre"/>
    <n v="30"/>
    <d v="2026-09-30T00:00:00"/>
    <n v="1085902274"/>
    <s v="CHACÓN  ANDREA LORENA"/>
    <n v="91"/>
    <n v="0"/>
    <n v="6151474"/>
  </r>
  <r>
    <s v="Retail"/>
    <s v="Q090 - Ipiales - Cc Gran Plaza"/>
    <x v="8"/>
    <s v="septiembre"/>
    <n v="30"/>
    <d v="2026-09-30T00:00:00"/>
    <n v="1085920020"/>
    <s v="GARAY MALTE YORLID PÁOLA"/>
    <n v="0"/>
    <n v="0"/>
    <n v="-4160"/>
  </r>
  <r>
    <s v="Retail"/>
    <s v="Q090 - Ipiales - Cc Gran Plaza"/>
    <x v="8"/>
    <s v="octubre"/>
    <n v="1"/>
    <d v="2026-10-01T00:00:00"/>
    <m/>
    <m/>
    <n v="0"/>
    <n v="6887451"/>
    <n v="0"/>
  </r>
  <r>
    <s v="Retail"/>
    <s v="Q090 - Ipiales - Cc Gran Plaza"/>
    <x v="8"/>
    <s v="octubre"/>
    <n v="1"/>
    <d v="2026-10-01T00:00:00"/>
    <n v="1004673313"/>
    <s v="LAGOS QUENGUAN JOHANA ELIZABETH"/>
    <n v="37"/>
    <n v="0"/>
    <n v="2878618"/>
  </r>
  <r>
    <s v="Retail"/>
    <s v="Q090 - Ipiales - Cc Gran Plaza"/>
    <x v="8"/>
    <s v="octubre"/>
    <n v="1"/>
    <d v="2026-10-01T00:00:00"/>
    <n v="1004726971"/>
    <s v="PANTOJA  ANNY GABRIELA"/>
    <n v="36"/>
    <n v="0"/>
    <n v="1811263"/>
  </r>
  <r>
    <s v="Retail"/>
    <s v="Q090 - Ipiales - Cc Gran Plaza"/>
    <x v="8"/>
    <s v="octubre"/>
    <n v="1"/>
    <d v="2026-10-01T00:00:00"/>
    <n v="1085902274"/>
    <s v="CHACÓN  ANDREA LORENA"/>
    <n v="48"/>
    <n v="0"/>
    <n v="3273153"/>
  </r>
  <r>
    <s v="Retail"/>
    <s v="Q090 - Ipiales - Cc Gran Plaza"/>
    <x v="8"/>
    <s v="octubre"/>
    <n v="1"/>
    <d v="2026-10-01T00:00:00"/>
    <n v="1085916984"/>
    <s v="DELGADO RECALDE MONICA ROCIO"/>
    <n v="19"/>
    <n v="0"/>
    <n v="957144"/>
  </r>
  <r>
    <s v="Retail"/>
    <s v="Q090 - Ipiales - Cc Gran Plaza"/>
    <x v="8"/>
    <s v="octubre"/>
    <n v="1"/>
    <d v="2026-10-01T00:00:00"/>
    <n v="1085920020"/>
    <s v="GARAY MALTE YORLID PÁOLA"/>
    <n v="21"/>
    <n v="0"/>
    <n v="1377228"/>
  </r>
  <r>
    <s v="Retail"/>
    <s v="Q090 - Ipiales - Cc Gran Plaza"/>
    <x v="8"/>
    <s v="octubre"/>
    <n v="1"/>
    <d v="2026-10-01T00:00:00"/>
    <n v="1085950446"/>
    <s v="RECALDE TARAPUES JUAN DAVID"/>
    <n v="31"/>
    <n v="0"/>
    <n v="2401891"/>
  </r>
  <r>
    <s v="Retail"/>
    <s v="Q090 - Ipiales - Cc Gran Plaza"/>
    <x v="8"/>
    <s v="octubre"/>
    <n v="2"/>
    <d v="2026-10-02T00:00:00"/>
    <m/>
    <m/>
    <n v="0"/>
    <n v="9844020"/>
    <n v="0"/>
  </r>
  <r>
    <s v="Retail"/>
    <s v="Q090 - Ipiales - Cc Gran Plaza"/>
    <x v="8"/>
    <s v="octubre"/>
    <n v="2"/>
    <d v="2026-10-02T00:00:00"/>
    <n v="1004673313"/>
    <s v="LAGOS QUENGUAN JOHANA ELIZABETH"/>
    <n v="30"/>
    <n v="0"/>
    <n v="2122649"/>
  </r>
  <r>
    <s v="Retail"/>
    <s v="Q090 - Ipiales - Cc Gran Plaza"/>
    <x v="8"/>
    <s v="octubre"/>
    <n v="2"/>
    <d v="2026-10-02T00:00:00"/>
    <n v="1004726971"/>
    <s v="PANTOJA  ANNY GABRIELA"/>
    <n v="32"/>
    <n v="0"/>
    <n v="2271723"/>
  </r>
  <r>
    <s v="Retail"/>
    <s v="Q090 - Ipiales - Cc Gran Plaza"/>
    <x v="8"/>
    <s v="octubre"/>
    <n v="2"/>
    <d v="2026-10-02T00:00:00"/>
    <n v="1085902274"/>
    <s v="CHACÓN  ANDREA LORENA"/>
    <n v="34"/>
    <n v="0"/>
    <n v="2469119"/>
  </r>
  <r>
    <s v="Retail"/>
    <s v="Q090 - Ipiales - Cc Gran Plaza"/>
    <x v="8"/>
    <s v="octubre"/>
    <n v="2"/>
    <d v="2026-10-02T00:00:00"/>
    <n v="1085916984"/>
    <s v="DELGADO RECALDE MONICA ROCIO"/>
    <n v="21"/>
    <n v="0"/>
    <n v="1389747"/>
  </r>
  <r>
    <s v="Retail"/>
    <s v="Q090 - Ipiales - Cc Gran Plaza"/>
    <x v="8"/>
    <s v="octubre"/>
    <n v="2"/>
    <d v="2026-10-02T00:00:00"/>
    <n v="1085920020"/>
    <s v="GARAY MALTE YORLID PÁOLA"/>
    <n v="14"/>
    <n v="0"/>
    <n v="930085"/>
  </r>
  <r>
    <s v="Retail"/>
    <s v="Q090 - Ipiales - Cc Gran Plaza"/>
    <x v="8"/>
    <s v="octubre"/>
    <n v="2"/>
    <d v="2026-10-02T00:00:00"/>
    <n v="1085950446"/>
    <s v="RECALDE TARAPUES JUAN DAVID"/>
    <n v="21"/>
    <n v="0"/>
    <n v="1423489"/>
  </r>
  <r>
    <s v="Retail"/>
    <s v="Q090 - Ipiales - Cc Gran Plaza"/>
    <x v="8"/>
    <s v="octubre"/>
    <n v="3"/>
    <d v="2026-10-03T00:00:00"/>
    <m/>
    <m/>
    <n v="0"/>
    <n v="23158122"/>
    <n v="0"/>
  </r>
  <r>
    <s v="Retail"/>
    <s v="Q090 - Ipiales - Cc Gran Plaza"/>
    <x v="8"/>
    <s v="octubre"/>
    <n v="3"/>
    <d v="2026-10-03T00:00:00"/>
    <n v="1004673313"/>
    <s v="LAGOS QUENGUAN JOHANA ELIZABETH"/>
    <n v="164"/>
    <n v="0"/>
    <n v="9829951"/>
  </r>
  <r>
    <s v="Retail"/>
    <s v="Q090 - Ipiales - Cc Gran Plaza"/>
    <x v="8"/>
    <s v="octubre"/>
    <n v="3"/>
    <d v="2026-10-03T00:00:00"/>
    <n v="1004726971"/>
    <s v="PANTOJA  ANNY GABRIELA"/>
    <n v="38"/>
    <n v="0"/>
    <n v="2474172"/>
  </r>
  <r>
    <s v="Retail"/>
    <s v="Q090 - Ipiales - Cc Gran Plaza"/>
    <x v="8"/>
    <s v="octubre"/>
    <n v="3"/>
    <d v="2026-10-03T00:00:00"/>
    <n v="1085902274"/>
    <s v="CHACÓN  ANDREA LORENA"/>
    <n v="108"/>
    <n v="0"/>
    <n v="6394013"/>
  </r>
  <r>
    <s v="Retail"/>
    <s v="Q090 - Ipiales - Cc Gran Plaza"/>
    <x v="8"/>
    <s v="octubre"/>
    <n v="3"/>
    <d v="2026-10-03T00:00:00"/>
    <n v="1085916984"/>
    <s v="DELGADO RECALDE MONICA ROCIO"/>
    <n v="27"/>
    <n v="0"/>
    <n v="1724936"/>
  </r>
  <r>
    <s v="Retail"/>
    <s v="Q090 - Ipiales - Cc Gran Plaza"/>
    <x v="8"/>
    <s v="octubre"/>
    <n v="3"/>
    <d v="2026-10-03T00:00:00"/>
    <n v="1085920020"/>
    <s v="GARAY MALTE YORLID PÁOLA"/>
    <n v="18"/>
    <n v="0"/>
    <n v="954624"/>
  </r>
  <r>
    <s v="Retail"/>
    <s v="Q090 - Ipiales - Cc Gran Plaza"/>
    <x v="8"/>
    <s v="octubre"/>
    <n v="3"/>
    <d v="2026-10-03T00:00:00"/>
    <n v="1085950446"/>
    <s v="RECALDE TARAPUES JUAN DAVID"/>
    <n v="39"/>
    <n v="0"/>
    <n v="2388439"/>
  </r>
  <r>
    <s v="Retail"/>
    <s v="Q090 - Ipiales - Cc Gran Plaza"/>
    <x v="8"/>
    <s v="octubre"/>
    <n v="4"/>
    <d v="2026-10-04T00:00:00"/>
    <m/>
    <m/>
    <n v="0"/>
    <n v="17845393"/>
    <n v="0"/>
  </r>
  <r>
    <s v="Retail"/>
    <s v="Q090 - Ipiales - Cc Gran Plaza"/>
    <x v="8"/>
    <s v="octubre"/>
    <n v="4"/>
    <d v="2026-10-04T00:00:00"/>
    <n v="1004673313"/>
    <s v="LAGOS QUENGUAN JOHANA ELIZABETH"/>
    <n v="3"/>
    <n v="0"/>
    <n v="298193"/>
  </r>
  <r>
    <s v="Retail"/>
    <s v="Q090 - Ipiales - Cc Gran Plaza"/>
    <x v="8"/>
    <s v="octubre"/>
    <n v="4"/>
    <d v="2026-10-04T00:00:00"/>
    <n v="1004726971"/>
    <s v="PANTOJA  ANNY GABRIELA"/>
    <n v="33"/>
    <n v="0"/>
    <n v="2320004"/>
  </r>
  <r>
    <s v="Retail"/>
    <s v="Q090 - Ipiales - Cc Gran Plaza"/>
    <x v="8"/>
    <s v="octubre"/>
    <n v="4"/>
    <d v="2026-10-04T00:00:00"/>
    <n v="1085902274"/>
    <s v="CHACÓN  ANDREA LORENA"/>
    <n v="109"/>
    <n v="0"/>
    <n v="8217734"/>
  </r>
  <r>
    <s v="Retail"/>
    <s v="Q090 - Ipiales - Cc Gran Plaza"/>
    <x v="8"/>
    <s v="octubre"/>
    <n v="4"/>
    <d v="2026-10-04T00:00:00"/>
    <n v="1085916984"/>
    <s v="DELGADO RECALDE MONICA ROCIO"/>
    <n v="29"/>
    <n v="0"/>
    <n v="2192019"/>
  </r>
  <r>
    <s v="Retail"/>
    <s v="Q090 - Ipiales - Cc Gran Plaza"/>
    <x v="8"/>
    <s v="octubre"/>
    <n v="4"/>
    <d v="2026-10-04T00:00:00"/>
    <n v="1085920020"/>
    <s v="GARAY MALTE YORLID PÁOLA"/>
    <n v="48"/>
    <n v="0"/>
    <n v="3384415"/>
  </r>
  <r>
    <s v="Retail"/>
    <s v="Q090 - Ipiales - Cc Gran Plaza"/>
    <x v="8"/>
    <s v="octubre"/>
    <n v="4"/>
    <d v="2026-10-04T00:00:00"/>
    <n v="1085950446"/>
    <s v="RECALDE TARAPUES JUAN DAVID"/>
    <n v="44"/>
    <n v="0"/>
    <n v="3216550"/>
  </r>
  <r>
    <s v="Retail"/>
    <s v="Q090 - Ipiales - Cc Gran Plaza"/>
    <x v="8"/>
    <s v="octubre"/>
    <n v="5"/>
    <d v="2026-10-05T00:00:00"/>
    <m/>
    <m/>
    <n v="0"/>
    <n v="11551503"/>
    <n v="0"/>
  </r>
  <r>
    <s v="Retail"/>
    <s v="Q090 - Ipiales - Cc Gran Plaza"/>
    <x v="8"/>
    <s v="octubre"/>
    <n v="5"/>
    <d v="2026-10-05T00:00:00"/>
    <n v="1004673313"/>
    <s v="LAGOS QUENGUAN JOHANA ELIZABETH"/>
    <n v="53"/>
    <n v="0"/>
    <n v="3602774"/>
  </r>
  <r>
    <s v="Retail"/>
    <s v="Q090 - Ipiales - Cc Gran Plaza"/>
    <x v="8"/>
    <s v="octubre"/>
    <n v="5"/>
    <d v="2026-10-05T00:00:00"/>
    <n v="1004726971"/>
    <s v="PANTOJA  ANNY GABRIELA"/>
    <n v="2"/>
    <n v="0"/>
    <n v="201597"/>
  </r>
  <r>
    <s v="Retail"/>
    <s v="Q090 - Ipiales - Cc Gran Plaza"/>
    <x v="8"/>
    <s v="octubre"/>
    <n v="5"/>
    <d v="2026-10-05T00:00:00"/>
    <n v="1085902274"/>
    <s v="CHACÓN  ANDREA LORENA"/>
    <n v="48"/>
    <n v="0"/>
    <n v="3254246"/>
  </r>
  <r>
    <s v="Retail"/>
    <s v="Q090 - Ipiales - Cc Gran Plaza"/>
    <x v="8"/>
    <s v="octubre"/>
    <n v="5"/>
    <d v="2026-10-05T00:00:00"/>
    <n v="1085916984"/>
    <s v="DELGADO RECALDE MONICA ROCIO"/>
    <n v="11"/>
    <n v="0"/>
    <n v="741094"/>
  </r>
  <r>
    <s v="Retail"/>
    <s v="Q090 - Ipiales - Cc Gran Plaza"/>
    <x v="8"/>
    <s v="octubre"/>
    <n v="5"/>
    <d v="2026-10-05T00:00:00"/>
    <n v="1085920020"/>
    <s v="GARAY MALTE YORLID PÁOLA"/>
    <n v="5"/>
    <n v="0"/>
    <n v="340126"/>
  </r>
  <r>
    <s v="Retail"/>
    <s v="Q090 - Ipiales - Cc Gran Plaza"/>
    <x v="8"/>
    <s v="octubre"/>
    <n v="6"/>
    <d v="2026-10-06T00:00:00"/>
    <m/>
    <m/>
    <n v="0"/>
    <n v="5532003"/>
    <n v="0"/>
  </r>
  <r>
    <s v="Retail"/>
    <s v="Q090 - Ipiales - Cc Gran Plaza"/>
    <x v="8"/>
    <s v="octubre"/>
    <n v="6"/>
    <d v="2026-10-06T00:00:00"/>
    <n v="1004673313"/>
    <s v="LAGOS QUENGUAN JOHANA ELIZABETH"/>
    <n v="63"/>
    <n v="0"/>
    <n v="4766137"/>
  </r>
  <r>
    <s v="Retail"/>
    <s v="Q090 - Ipiales - Cc Gran Plaza"/>
    <x v="8"/>
    <s v="octubre"/>
    <n v="6"/>
    <d v="2026-10-06T00:00:00"/>
    <n v="1085902274"/>
    <s v="CHACÓN  ANDREA LORENA"/>
    <n v="41"/>
    <n v="0"/>
    <n v="2630551"/>
  </r>
  <r>
    <s v="Retail"/>
    <s v="Q090 - Ipiales - Cc Gran Plaza"/>
    <x v="8"/>
    <s v="octubre"/>
    <n v="7"/>
    <d v="2026-10-07T00:00:00"/>
    <m/>
    <m/>
    <n v="0"/>
    <n v="5459212"/>
    <n v="0"/>
  </r>
  <r>
    <s v="Retail"/>
    <s v="Q090 - Ipiales - Cc Gran Plaza"/>
    <x v="8"/>
    <s v="octubre"/>
    <n v="7"/>
    <d v="2026-10-07T00:00:00"/>
    <n v="1004549931"/>
    <s v="ERAZO FIGUEROA JESSIKA KATHERINE"/>
    <n v="-1"/>
    <n v="0"/>
    <n v="-126008"/>
  </r>
  <r>
    <s v="Retail"/>
    <s v="Q090 - Ipiales - Cc Gran Plaza"/>
    <x v="8"/>
    <s v="octubre"/>
    <n v="7"/>
    <d v="2026-10-07T00:00:00"/>
    <n v="1004673313"/>
    <s v="LAGOS QUENGUAN JOHANA ELIZABETH"/>
    <n v="76"/>
    <n v="0"/>
    <n v="4983745"/>
  </r>
  <r>
    <s v="Retail"/>
    <s v="Q090 - Ipiales - Cc Gran Plaza"/>
    <x v="8"/>
    <s v="octubre"/>
    <n v="7"/>
    <d v="2026-10-07T00:00:00"/>
    <n v="1085902274"/>
    <s v="CHACÓN  ANDREA LORENA"/>
    <n v="48"/>
    <n v="0"/>
    <n v="3312860"/>
  </r>
  <r>
    <s v="Retail"/>
    <s v="Q090 - Ipiales - Cc Gran Plaza"/>
    <x v="8"/>
    <s v="octubre"/>
    <n v="7"/>
    <d v="2026-10-07T00:00:00"/>
    <n v="1085920020"/>
    <s v="GARAY MALTE YORLID PÁOLA"/>
    <n v="-2"/>
    <n v="0"/>
    <n v="-67059"/>
  </r>
  <r>
    <s v="Retail"/>
    <s v="Q126 - Ipiales - Centro"/>
    <x v="8"/>
    <s v="septiembre"/>
    <n v="23"/>
    <d v="2026-09-23T00:00:00"/>
    <m/>
    <m/>
    <n v="0"/>
    <n v="7443732"/>
    <n v="0"/>
  </r>
  <r>
    <s v="Retail"/>
    <s v="Q126 - Ipiales - Centro"/>
    <x v="8"/>
    <s v="septiembre"/>
    <n v="23"/>
    <d v="2026-09-23T00:00:00"/>
    <n v="1004549931"/>
    <s v="ERAZO FIGUEROA JESSIKA KATHERINE"/>
    <n v="121"/>
    <n v="0"/>
    <n v="7082354"/>
  </r>
  <r>
    <s v="Retail"/>
    <s v="Q126 - Ipiales - Centro"/>
    <x v="8"/>
    <s v="septiembre"/>
    <n v="23"/>
    <d v="2026-09-23T00:00:00"/>
    <n v="1085948134"/>
    <s v="QUENGUAN PUPIALES RICHARD WALTER"/>
    <n v="111"/>
    <n v="0"/>
    <n v="6234037"/>
  </r>
  <r>
    <s v="Retail"/>
    <s v="Q126 - Ipiales - Centro"/>
    <x v="8"/>
    <s v="septiembre"/>
    <n v="24"/>
    <d v="2026-09-24T00:00:00"/>
    <m/>
    <m/>
    <n v="0"/>
    <n v="11371135"/>
    <n v="0"/>
  </r>
  <r>
    <s v="Retail"/>
    <s v="Q126 - Ipiales - Centro"/>
    <x v="8"/>
    <s v="septiembre"/>
    <n v="24"/>
    <d v="2026-09-24T00:00:00"/>
    <n v="1004549931"/>
    <s v="ERAZO FIGUEROA JESSIKA KATHERINE"/>
    <n v="105"/>
    <n v="0"/>
    <n v="5658996"/>
  </r>
  <r>
    <s v="Retail"/>
    <s v="Q126 - Ipiales - Centro"/>
    <x v="8"/>
    <s v="septiembre"/>
    <n v="24"/>
    <d v="2026-09-24T00:00:00"/>
    <n v="1065204635"/>
    <s v="ARDILA SANDOVAL JOIMAR JOSE"/>
    <n v="35"/>
    <n v="0"/>
    <n v="2011010"/>
  </r>
  <r>
    <s v="Retail"/>
    <s v="Q126 - Ipiales - Centro"/>
    <x v="8"/>
    <s v="septiembre"/>
    <n v="24"/>
    <d v="2026-09-24T00:00:00"/>
    <n v="1085938010"/>
    <s v="GUAMANZAR CASTRO YESICA ESTEFANA"/>
    <n v="11"/>
    <n v="0"/>
    <n v="566639"/>
  </r>
  <r>
    <s v="Retail"/>
    <s v="Q126 - Ipiales - Centro"/>
    <x v="8"/>
    <s v="septiembre"/>
    <n v="24"/>
    <d v="2026-09-24T00:00:00"/>
    <n v="1085948134"/>
    <s v="QUENGUAN PUPIALES RICHARD WALTER"/>
    <n v="105"/>
    <n v="0"/>
    <n v="5111598"/>
  </r>
  <r>
    <s v="Retail"/>
    <s v="Q126 - Ipiales - Centro"/>
    <x v="8"/>
    <s v="septiembre"/>
    <n v="24"/>
    <d v="2026-09-24T00:00:00"/>
    <n v="1085950418"/>
    <s v="GUANCHA CHAPID IVAN DARIO"/>
    <n v="20"/>
    <n v="0"/>
    <n v="1085212"/>
  </r>
  <r>
    <s v="Retail"/>
    <s v="Q126 - Ipiales - Centro"/>
    <x v="8"/>
    <s v="septiembre"/>
    <n v="25"/>
    <d v="2026-09-25T00:00:00"/>
    <m/>
    <m/>
    <n v="0"/>
    <n v="11345963"/>
    <n v="0"/>
  </r>
  <r>
    <s v="Retail"/>
    <s v="Q126 - Ipiales - Centro"/>
    <x v="8"/>
    <s v="septiembre"/>
    <n v="25"/>
    <d v="2026-09-25T00:00:00"/>
    <n v="1004549931"/>
    <s v="ERAZO FIGUEROA JESSIKA KATHERINE"/>
    <n v="76"/>
    <n v="0"/>
    <n v="4441936"/>
  </r>
  <r>
    <s v="Retail"/>
    <s v="Q126 - Ipiales - Centro"/>
    <x v="8"/>
    <s v="septiembre"/>
    <n v="25"/>
    <d v="2026-09-25T00:00:00"/>
    <n v="1065204635"/>
    <s v="ARDILA SANDOVAL JOIMAR JOSE"/>
    <n v="45"/>
    <n v="0"/>
    <n v="2405632"/>
  </r>
  <r>
    <s v="Retail"/>
    <s v="Q126 - Ipiales - Centro"/>
    <x v="8"/>
    <s v="septiembre"/>
    <n v="25"/>
    <d v="2026-09-25T00:00:00"/>
    <n v="1085938010"/>
    <s v="GUAMANZAR CASTRO YESICA ESTEFANA"/>
    <n v="12"/>
    <n v="0"/>
    <n v="608698"/>
  </r>
  <r>
    <s v="Retail"/>
    <s v="Q126 - Ipiales - Centro"/>
    <x v="8"/>
    <s v="septiembre"/>
    <n v="25"/>
    <d v="2026-09-25T00:00:00"/>
    <n v="1085948134"/>
    <s v="QUENGUAN PUPIALES RICHARD WALTER"/>
    <n v="84"/>
    <n v="0"/>
    <n v="3886101"/>
  </r>
  <r>
    <s v="Retail"/>
    <s v="Q126 - Ipiales - Centro"/>
    <x v="8"/>
    <s v="septiembre"/>
    <n v="25"/>
    <d v="2026-09-25T00:00:00"/>
    <n v="1085950418"/>
    <s v="GUANCHA CHAPID IVAN DARIO"/>
    <n v="23"/>
    <n v="0"/>
    <n v="1763743"/>
  </r>
  <r>
    <s v="Retail"/>
    <s v="Q126 - Ipiales - Centro"/>
    <x v="8"/>
    <s v="septiembre"/>
    <n v="26"/>
    <d v="2026-09-26T00:00:00"/>
    <m/>
    <m/>
    <n v="0"/>
    <n v="16305780"/>
    <n v="0"/>
  </r>
  <r>
    <s v="Retail"/>
    <s v="Q126 - Ipiales - Centro"/>
    <x v="8"/>
    <s v="septiembre"/>
    <n v="26"/>
    <d v="2026-09-26T00:00:00"/>
    <n v="1004549931"/>
    <s v="ERAZO FIGUEROA JESSIKA KATHERINE"/>
    <n v="88"/>
    <n v="0"/>
    <n v="6126304"/>
  </r>
  <r>
    <s v="Retail"/>
    <s v="Q126 - Ipiales - Centro"/>
    <x v="8"/>
    <s v="septiembre"/>
    <n v="26"/>
    <d v="2026-09-26T00:00:00"/>
    <n v="1065204635"/>
    <s v="ARDILA SANDOVAL JOIMAR JOSE"/>
    <n v="22"/>
    <n v="0"/>
    <n v="1253237"/>
  </r>
  <r>
    <s v="Retail"/>
    <s v="Q126 - Ipiales - Centro"/>
    <x v="8"/>
    <s v="septiembre"/>
    <n v="26"/>
    <d v="2026-09-26T00:00:00"/>
    <n v="1085902274"/>
    <s v="CHACÓN  ANDREA LORENA"/>
    <n v="-1"/>
    <n v="0"/>
    <n v="-138614"/>
  </r>
  <r>
    <s v="Retail"/>
    <s v="Q126 - Ipiales - Centro"/>
    <x v="8"/>
    <s v="septiembre"/>
    <n v="26"/>
    <d v="2026-09-26T00:00:00"/>
    <n v="1085938010"/>
    <s v="GUAMANZAR CASTRO YESICA ESTEFANA"/>
    <n v="12"/>
    <n v="0"/>
    <n v="1001514"/>
  </r>
  <r>
    <s v="Retail"/>
    <s v="Q126 - Ipiales - Centro"/>
    <x v="8"/>
    <s v="septiembre"/>
    <n v="26"/>
    <d v="2026-09-26T00:00:00"/>
    <n v="1085948134"/>
    <s v="QUENGUAN PUPIALES RICHARD WALTER"/>
    <n v="98"/>
    <n v="0"/>
    <n v="6062739"/>
  </r>
  <r>
    <s v="Retail"/>
    <s v="Q126 - Ipiales - Centro"/>
    <x v="8"/>
    <s v="septiembre"/>
    <n v="26"/>
    <d v="2026-09-26T00:00:00"/>
    <n v="1085950418"/>
    <s v="GUANCHA CHAPID IVAN DARIO"/>
    <n v="18"/>
    <n v="0"/>
    <n v="1121052"/>
  </r>
  <r>
    <s v="Retail"/>
    <s v="Q126 - Ipiales - Centro"/>
    <x v="8"/>
    <s v="septiembre"/>
    <n v="27"/>
    <d v="2026-09-27T00:00:00"/>
    <m/>
    <m/>
    <n v="0"/>
    <n v="12917459"/>
    <n v="0"/>
  </r>
  <r>
    <s v="Retail"/>
    <s v="Q126 - Ipiales - Centro"/>
    <x v="8"/>
    <s v="septiembre"/>
    <n v="27"/>
    <d v="2026-09-27T00:00:00"/>
    <n v="1004549931"/>
    <s v="ERAZO FIGUEROA JESSIKA KATHERINE"/>
    <n v="31"/>
    <n v="0"/>
    <n v="2160338"/>
  </r>
  <r>
    <s v="Retail"/>
    <s v="Q126 - Ipiales - Centro"/>
    <x v="8"/>
    <s v="septiembre"/>
    <n v="27"/>
    <d v="2026-09-27T00:00:00"/>
    <n v="1004726971"/>
    <s v="PANTOJA  ANNY GABRIELA"/>
    <n v="-2"/>
    <n v="0"/>
    <n v="-188992"/>
  </r>
  <r>
    <s v="Retail"/>
    <s v="Q126 - Ipiales - Centro"/>
    <x v="8"/>
    <s v="septiembre"/>
    <n v="27"/>
    <d v="2026-09-27T00:00:00"/>
    <n v="1065204635"/>
    <s v="ARDILA SANDOVAL JOIMAR JOSE"/>
    <n v="29"/>
    <n v="0"/>
    <n v="2179331"/>
  </r>
  <r>
    <s v="Retail"/>
    <s v="Q126 - Ipiales - Centro"/>
    <x v="8"/>
    <s v="septiembre"/>
    <n v="27"/>
    <d v="2026-09-27T00:00:00"/>
    <n v="1085920020"/>
    <s v="GARAY MALTE YORLID PÁOLA"/>
    <n v="-1"/>
    <n v="0"/>
    <n v="-50378"/>
  </r>
  <r>
    <s v="Retail"/>
    <s v="Q126 - Ipiales - Centro"/>
    <x v="8"/>
    <s v="septiembre"/>
    <n v="27"/>
    <d v="2026-09-27T00:00:00"/>
    <n v="1085948134"/>
    <s v="QUENGUAN PUPIALES RICHARD WALTER"/>
    <n v="29"/>
    <n v="0"/>
    <n v="2210886"/>
  </r>
  <r>
    <s v="Retail"/>
    <s v="Q126 - Ipiales - Centro"/>
    <x v="8"/>
    <s v="septiembre"/>
    <n v="28"/>
    <d v="2026-09-28T00:00:00"/>
    <m/>
    <m/>
    <n v="0"/>
    <n v="7273104"/>
    <n v="0"/>
  </r>
  <r>
    <s v="Retail"/>
    <s v="Q126 - Ipiales - Centro"/>
    <x v="8"/>
    <s v="septiembre"/>
    <n v="28"/>
    <d v="2026-09-28T00:00:00"/>
    <n v="1004549931"/>
    <s v="ERAZO FIGUEROA JESSIKA KATHERINE"/>
    <n v="40"/>
    <n v="0"/>
    <n v="2882650"/>
  </r>
  <r>
    <s v="Retail"/>
    <s v="Q126 - Ipiales - Centro"/>
    <x v="8"/>
    <s v="septiembre"/>
    <n v="28"/>
    <d v="2026-09-28T00:00:00"/>
    <n v="1085938010"/>
    <s v="GUAMANZAR CASTRO YESICA ESTEFANA"/>
    <n v="8"/>
    <n v="0"/>
    <n v="537437"/>
  </r>
  <r>
    <s v="Retail"/>
    <s v="Q126 - Ipiales - Centro"/>
    <x v="8"/>
    <s v="septiembre"/>
    <n v="28"/>
    <d v="2026-09-28T00:00:00"/>
    <n v="1085948134"/>
    <s v="QUENGUAN PUPIALES RICHARD WALTER"/>
    <n v="52"/>
    <n v="0"/>
    <n v="3535421"/>
  </r>
  <r>
    <s v="Retail"/>
    <s v="Q126 - Ipiales - Centro"/>
    <x v="8"/>
    <s v="septiembre"/>
    <n v="28"/>
    <d v="2026-09-28T00:00:00"/>
    <n v="1085950418"/>
    <s v="GUANCHA CHAPID IVAN DARIO"/>
    <n v="15"/>
    <n v="0"/>
    <n v="1096009"/>
  </r>
  <r>
    <s v="Retail"/>
    <s v="Q126 - Ipiales - Centro"/>
    <x v="8"/>
    <s v="septiembre"/>
    <n v="29"/>
    <d v="2026-09-29T00:00:00"/>
    <m/>
    <m/>
    <n v="0"/>
    <n v="7430194"/>
    <n v="0"/>
  </r>
  <r>
    <s v="Retail"/>
    <s v="Q126 - Ipiales - Centro"/>
    <x v="8"/>
    <s v="septiembre"/>
    <n v="29"/>
    <d v="2026-09-29T00:00:00"/>
    <n v="1004549931"/>
    <s v="ERAZO FIGUEROA JESSIKA KATHERINE"/>
    <n v="39"/>
    <n v="0"/>
    <n v="2281640"/>
  </r>
  <r>
    <s v="Retail"/>
    <s v="Q126 - Ipiales - Centro"/>
    <x v="8"/>
    <s v="septiembre"/>
    <n v="29"/>
    <d v="2026-09-29T00:00:00"/>
    <n v="1065204635"/>
    <s v="ARDILA SANDOVAL JOIMAR JOSE"/>
    <n v="23"/>
    <n v="0"/>
    <n v="1475882"/>
  </r>
  <r>
    <s v="Retail"/>
    <s v="Q126 - Ipiales - Centro"/>
    <x v="8"/>
    <s v="septiembre"/>
    <n v="29"/>
    <d v="2026-09-29T00:00:00"/>
    <n v="1085938010"/>
    <s v="GUAMANZAR CASTRO YESICA ESTEFANA"/>
    <n v="13"/>
    <n v="0"/>
    <n v="759663"/>
  </r>
  <r>
    <s v="Retail"/>
    <s v="Q126 - Ipiales - Centro"/>
    <x v="8"/>
    <s v="septiembre"/>
    <n v="29"/>
    <d v="2026-09-29T00:00:00"/>
    <n v="1085948134"/>
    <s v="QUENGUAN PUPIALES RICHARD WALTER"/>
    <n v="31"/>
    <n v="0"/>
    <n v="1746473"/>
  </r>
  <r>
    <s v="Retail"/>
    <s v="Q126 - Ipiales - Centro"/>
    <x v="8"/>
    <s v="septiembre"/>
    <n v="29"/>
    <d v="2026-09-29T00:00:00"/>
    <n v="1085950418"/>
    <s v="GUANCHA CHAPID IVAN DARIO"/>
    <n v="22"/>
    <n v="0"/>
    <n v="1509498"/>
  </r>
  <r>
    <s v="Retail"/>
    <s v="Q126 - Ipiales - Centro"/>
    <x v="8"/>
    <s v="septiembre"/>
    <n v="30"/>
    <d v="2026-09-30T00:00:00"/>
    <m/>
    <m/>
    <n v="0"/>
    <n v="7844799"/>
    <n v="0"/>
  </r>
  <r>
    <s v="Retail"/>
    <s v="Q126 - Ipiales - Centro"/>
    <x v="8"/>
    <s v="septiembre"/>
    <n v="30"/>
    <d v="2026-09-30T00:00:00"/>
    <n v="1004549931"/>
    <s v="ERAZO FIGUEROA JESSIKA KATHERINE"/>
    <n v="35"/>
    <n v="0"/>
    <n v="2376430"/>
  </r>
  <r>
    <s v="Retail"/>
    <s v="Q126 - Ipiales - Centro"/>
    <x v="8"/>
    <s v="septiembre"/>
    <n v="30"/>
    <d v="2026-09-30T00:00:00"/>
    <n v="1065204635"/>
    <s v="ARDILA SANDOVAL JOIMAR JOSE"/>
    <n v="30"/>
    <n v="0"/>
    <n v="1851513"/>
  </r>
  <r>
    <s v="Retail"/>
    <s v="Q126 - Ipiales - Centro"/>
    <x v="8"/>
    <s v="septiembre"/>
    <n v="30"/>
    <d v="2026-09-30T00:00:00"/>
    <n v="1085938010"/>
    <s v="GUAMANZAR CASTRO YESICA ESTEFANA"/>
    <n v="16"/>
    <n v="0"/>
    <n v="1074919"/>
  </r>
  <r>
    <s v="Retail"/>
    <s v="Q126 - Ipiales - Centro"/>
    <x v="8"/>
    <s v="septiembre"/>
    <n v="30"/>
    <d v="2026-09-30T00:00:00"/>
    <n v="1085948134"/>
    <s v="QUENGUAN PUPIALES RICHARD WALTER"/>
    <n v="33"/>
    <n v="0"/>
    <n v="2590966"/>
  </r>
  <r>
    <s v="Retail"/>
    <s v="Q126 - Ipiales - Centro"/>
    <x v="8"/>
    <s v="septiembre"/>
    <n v="30"/>
    <d v="2026-09-30T00:00:00"/>
    <n v="1085950418"/>
    <s v="GUANCHA CHAPID IVAN DARIO"/>
    <n v="23"/>
    <n v="0"/>
    <n v="1570379"/>
  </r>
  <r>
    <s v="Retail"/>
    <s v="Q126 - Ipiales - Centro"/>
    <x v="8"/>
    <s v="octubre"/>
    <n v="1"/>
    <d v="2026-10-01T00:00:00"/>
    <m/>
    <m/>
    <n v="0"/>
    <n v="5908541"/>
    <n v="0"/>
  </r>
  <r>
    <s v="Retail"/>
    <s v="Q126 - Ipiales - Centro"/>
    <x v="8"/>
    <s v="octubre"/>
    <n v="1"/>
    <d v="2026-10-01T00:00:00"/>
    <n v="1004549931"/>
    <s v="ERAZO FIGUEROA JESSIKA KATHERINE"/>
    <n v="50"/>
    <n v="0"/>
    <n v="2903110"/>
  </r>
  <r>
    <s v="Retail"/>
    <s v="Q126 - Ipiales - Centro"/>
    <x v="8"/>
    <s v="octubre"/>
    <n v="1"/>
    <d v="2026-10-01T00:00:00"/>
    <n v="1065204635"/>
    <s v="ARDILA SANDOVAL JOIMAR JOSE"/>
    <n v="19"/>
    <n v="0"/>
    <n v="1169326"/>
  </r>
  <r>
    <s v="Retail"/>
    <s v="Q126 - Ipiales - Centro"/>
    <x v="8"/>
    <s v="octubre"/>
    <n v="1"/>
    <d v="2026-10-01T00:00:00"/>
    <n v="1085938010"/>
    <s v="GUAMANZAR CASTRO YESICA ESTEFANA"/>
    <n v="17"/>
    <n v="0"/>
    <n v="1087521"/>
  </r>
  <r>
    <s v="Retail"/>
    <s v="Q126 - Ipiales - Centro"/>
    <x v="8"/>
    <s v="octubre"/>
    <n v="1"/>
    <d v="2026-10-01T00:00:00"/>
    <n v="1085948134"/>
    <s v="QUENGUAN PUPIALES RICHARD WALTER"/>
    <n v="58"/>
    <n v="0"/>
    <n v="4043240"/>
  </r>
  <r>
    <s v="Retail"/>
    <s v="Q126 - Ipiales - Centro"/>
    <x v="8"/>
    <s v="octubre"/>
    <n v="1"/>
    <d v="2026-10-01T00:00:00"/>
    <n v="1085950418"/>
    <s v="GUANCHA CHAPID IVAN DARIO"/>
    <n v="10"/>
    <n v="0"/>
    <n v="684371"/>
  </r>
  <r>
    <s v="Retail"/>
    <s v="Q126 - Ipiales - Centro"/>
    <x v="8"/>
    <s v="octubre"/>
    <n v="2"/>
    <d v="2026-10-02T00:00:00"/>
    <m/>
    <m/>
    <n v="0"/>
    <n v="8075490"/>
    <n v="0"/>
  </r>
  <r>
    <s v="Retail"/>
    <s v="Q126 - Ipiales - Centro"/>
    <x v="8"/>
    <s v="octubre"/>
    <n v="2"/>
    <d v="2026-10-02T00:00:00"/>
    <n v="1004549931"/>
    <s v="ERAZO FIGUEROA JESSIKA KATHERINE"/>
    <n v="46"/>
    <n v="0"/>
    <n v="2960129"/>
  </r>
  <r>
    <s v="Retail"/>
    <s v="Q126 - Ipiales - Centro"/>
    <x v="8"/>
    <s v="octubre"/>
    <n v="2"/>
    <d v="2026-10-02T00:00:00"/>
    <n v="1065204635"/>
    <s v="ARDILA SANDOVAL JOIMAR JOSE"/>
    <n v="9"/>
    <n v="0"/>
    <n v="533194"/>
  </r>
  <r>
    <s v="Retail"/>
    <s v="Q126 - Ipiales - Centro"/>
    <x v="8"/>
    <s v="octubre"/>
    <n v="2"/>
    <d v="2026-10-02T00:00:00"/>
    <n v="1085938010"/>
    <s v="GUAMANZAR CASTRO YESICA ESTEFANA"/>
    <n v="12"/>
    <n v="0"/>
    <n v="738992"/>
  </r>
  <r>
    <s v="Retail"/>
    <s v="Q126 - Ipiales - Centro"/>
    <x v="8"/>
    <s v="octubre"/>
    <n v="2"/>
    <d v="2026-10-02T00:00:00"/>
    <n v="1085948134"/>
    <s v="QUENGUAN PUPIALES RICHARD WALTER"/>
    <n v="34"/>
    <n v="0"/>
    <n v="2334539"/>
  </r>
  <r>
    <s v="Retail"/>
    <s v="Q126 - Ipiales - Centro"/>
    <x v="8"/>
    <s v="octubre"/>
    <n v="2"/>
    <d v="2026-10-02T00:00:00"/>
    <n v="1085950418"/>
    <s v="GUANCHA CHAPID IVAN DARIO"/>
    <n v="17"/>
    <n v="0"/>
    <n v="1230337"/>
  </r>
  <r>
    <s v="Retail"/>
    <s v="Q126 - Ipiales - Centro"/>
    <x v="8"/>
    <s v="octubre"/>
    <n v="3"/>
    <d v="2026-10-03T00:00:00"/>
    <m/>
    <m/>
    <n v="0"/>
    <n v="10667817"/>
    <n v="0"/>
  </r>
  <r>
    <s v="Retail"/>
    <s v="Q126 - Ipiales - Centro"/>
    <x v="8"/>
    <s v="octubre"/>
    <n v="3"/>
    <d v="2026-10-03T00:00:00"/>
    <n v="1004549931"/>
    <s v="ERAZO FIGUEROA JESSIKA KATHERINE"/>
    <n v="79"/>
    <n v="0"/>
    <n v="5230860"/>
  </r>
  <r>
    <s v="Retail"/>
    <s v="Q126 - Ipiales - Centro"/>
    <x v="8"/>
    <s v="octubre"/>
    <n v="3"/>
    <d v="2026-10-03T00:00:00"/>
    <n v="1065204635"/>
    <s v="ARDILA SANDOVAL JOIMAR JOSE"/>
    <n v="61"/>
    <n v="0"/>
    <n v="3819759"/>
  </r>
  <r>
    <s v="Retail"/>
    <s v="Q126 - Ipiales - Centro"/>
    <x v="8"/>
    <s v="octubre"/>
    <n v="3"/>
    <d v="2026-10-03T00:00:00"/>
    <n v="1085948134"/>
    <s v="QUENGUAN PUPIALES RICHARD WALTER"/>
    <n v="75"/>
    <n v="0"/>
    <n v="4916055"/>
  </r>
  <r>
    <s v="Retail"/>
    <s v="Q126 - Ipiales - Centro"/>
    <x v="8"/>
    <s v="octubre"/>
    <n v="3"/>
    <d v="2026-10-03T00:00:00"/>
    <n v="1085950418"/>
    <s v="GUANCHA CHAPID IVAN DARIO"/>
    <n v="27"/>
    <n v="0"/>
    <n v="1876649"/>
  </r>
  <r>
    <s v="Retail"/>
    <s v="Q126 - Ipiales - Centro"/>
    <x v="8"/>
    <s v="octubre"/>
    <n v="4"/>
    <d v="2026-10-04T00:00:00"/>
    <m/>
    <m/>
    <n v="0"/>
    <n v="3164313"/>
    <n v="0"/>
  </r>
  <r>
    <s v="Retail"/>
    <s v="Q126 - Ipiales - Centro"/>
    <x v="8"/>
    <s v="octubre"/>
    <n v="4"/>
    <d v="2026-10-04T00:00:00"/>
    <n v="1004549931"/>
    <s v="ERAZO FIGUEROA JESSIKA KATHERINE"/>
    <n v="32"/>
    <n v="0"/>
    <n v="2267525"/>
  </r>
  <r>
    <s v="Retail"/>
    <s v="Q126 - Ipiales - Centro"/>
    <x v="8"/>
    <s v="octubre"/>
    <n v="4"/>
    <d v="2026-10-04T00:00:00"/>
    <n v="1065204635"/>
    <s v="ARDILA SANDOVAL JOIMAR JOSE"/>
    <n v="17"/>
    <n v="0"/>
    <n v="1129539"/>
  </r>
  <r>
    <s v="Retail"/>
    <s v="Q126 - Ipiales - Centro"/>
    <x v="8"/>
    <s v="octubre"/>
    <n v="4"/>
    <d v="2026-10-04T00:00:00"/>
    <n v="1085948134"/>
    <s v="QUENGUAN PUPIALES RICHARD WALTER"/>
    <n v="21"/>
    <n v="0"/>
    <n v="1314034"/>
  </r>
  <r>
    <s v="Retail"/>
    <s v="Q126 - Ipiales - Centro"/>
    <x v="8"/>
    <s v="octubre"/>
    <n v="5"/>
    <d v="2026-10-05T00:00:00"/>
    <m/>
    <m/>
    <n v="0"/>
    <n v="6079222"/>
    <n v="0"/>
  </r>
  <r>
    <s v="Retail"/>
    <s v="Q126 - Ipiales - Centro"/>
    <x v="8"/>
    <s v="octubre"/>
    <n v="5"/>
    <d v="2026-10-05T00:00:00"/>
    <n v="1004549931"/>
    <s v="ERAZO FIGUEROA JESSIKA KATHERINE"/>
    <n v="19"/>
    <n v="0"/>
    <n v="1322689"/>
  </r>
  <r>
    <s v="Retail"/>
    <s v="Q126 - Ipiales - Centro"/>
    <x v="8"/>
    <s v="octubre"/>
    <n v="5"/>
    <d v="2026-10-05T00:00:00"/>
    <n v="1065204635"/>
    <s v="ARDILA SANDOVAL JOIMAR JOSE"/>
    <n v="26"/>
    <n v="0"/>
    <n v="1889665"/>
  </r>
  <r>
    <s v="Retail"/>
    <s v="Q126 - Ipiales - Centro"/>
    <x v="8"/>
    <s v="octubre"/>
    <n v="5"/>
    <d v="2026-10-05T00:00:00"/>
    <n v="1085948134"/>
    <s v="QUENGUAN PUPIALES RICHARD WALTER"/>
    <n v="55"/>
    <n v="0"/>
    <n v="3882019"/>
  </r>
  <r>
    <s v="Retail"/>
    <s v="Q126 - Ipiales - Centro"/>
    <x v="8"/>
    <s v="octubre"/>
    <n v="6"/>
    <d v="2026-10-06T00:00:00"/>
    <m/>
    <m/>
    <n v="0"/>
    <n v="4609134"/>
    <n v="0"/>
  </r>
  <r>
    <s v="Retail"/>
    <s v="Q126 - Ipiales - Centro"/>
    <x v="8"/>
    <s v="octubre"/>
    <n v="6"/>
    <d v="2026-10-06T00:00:00"/>
    <n v="1004549931"/>
    <s v="ERAZO FIGUEROA JESSIKA KATHERINE"/>
    <n v="32"/>
    <n v="0"/>
    <n v="2254918"/>
  </r>
  <r>
    <s v="Retail"/>
    <s v="Q126 - Ipiales - Centro"/>
    <x v="8"/>
    <s v="octubre"/>
    <n v="6"/>
    <d v="2026-10-06T00:00:00"/>
    <n v="1065204635"/>
    <s v="ARDILA SANDOVAL JOIMAR JOSE"/>
    <n v="13"/>
    <n v="0"/>
    <n v="869078"/>
  </r>
  <r>
    <s v="Retail"/>
    <s v="Q126 - Ipiales - Centro"/>
    <x v="8"/>
    <s v="octubre"/>
    <n v="6"/>
    <d v="2026-10-06T00:00:00"/>
    <n v="1085948134"/>
    <s v="QUENGUAN PUPIALES RICHARD WALTER"/>
    <n v="11"/>
    <n v="0"/>
    <n v="684413"/>
  </r>
  <r>
    <s v="Retail"/>
    <s v="Q126 - Ipiales - Centro"/>
    <x v="8"/>
    <s v="octubre"/>
    <n v="7"/>
    <d v="2026-10-07T00:00:00"/>
    <m/>
    <m/>
    <n v="0"/>
    <n v="4548486"/>
    <n v="0"/>
  </r>
  <r>
    <s v="Retail"/>
    <s v="Q126 - Ipiales - Centro"/>
    <x v="8"/>
    <s v="octubre"/>
    <n v="7"/>
    <d v="2026-10-07T00:00:00"/>
    <n v="1004549931"/>
    <s v="ERAZO FIGUEROA JESSIKA KATHERINE"/>
    <n v="36"/>
    <n v="0"/>
    <n v="2592945"/>
  </r>
  <r>
    <s v="Retail"/>
    <s v="Q126 - Ipiales - Centro"/>
    <x v="8"/>
    <s v="octubre"/>
    <n v="7"/>
    <d v="2026-10-07T00:00:00"/>
    <n v="1065204635"/>
    <s v="ARDILA SANDOVAL JOIMAR JOSE"/>
    <n v="14"/>
    <n v="0"/>
    <n v="1142227"/>
  </r>
  <r>
    <s v="Retail"/>
    <s v="Q126 - Ipiales - Centro"/>
    <x v="8"/>
    <s v="octubre"/>
    <n v="7"/>
    <d v="2026-10-07T00:00:00"/>
    <n v="1085902274"/>
    <s v="CHACÓN  ANDREA LORENA"/>
    <n v="-1"/>
    <n v="0"/>
    <n v="-50378"/>
  </r>
  <r>
    <s v="Retail"/>
    <s v="Q126 - Ipiales - Centro"/>
    <x v="8"/>
    <s v="octubre"/>
    <n v="7"/>
    <d v="2026-10-07T00:00:00"/>
    <n v="1085948134"/>
    <s v="QUENGUAN PUPIALES RICHARD WALTER"/>
    <n v="33"/>
    <n v="0"/>
    <n v="2069917"/>
  </r>
  <r>
    <s v="Retail"/>
    <s v="Q135 - Pasto - Centro"/>
    <x v="8"/>
    <s v="septiembre"/>
    <n v="23"/>
    <d v="2026-09-23T00:00:00"/>
    <m/>
    <m/>
    <n v="0"/>
    <n v="7800004"/>
    <n v="0"/>
  </r>
  <r>
    <s v="Retail"/>
    <s v="Q135 - Pasto - Centro"/>
    <x v="8"/>
    <s v="septiembre"/>
    <n v="23"/>
    <d v="2026-09-23T00:00:00"/>
    <n v="1004236016"/>
    <s v="MONCAYO ERAZO CHELSIN NICOLE"/>
    <n v="8"/>
    <n v="0"/>
    <n v="485377"/>
  </r>
  <r>
    <s v="Retail"/>
    <s v="Q135 - Pasto - Centro"/>
    <x v="8"/>
    <s v="septiembre"/>
    <n v="23"/>
    <d v="2026-09-23T00:00:00"/>
    <n v="1055047967"/>
    <s v="ARANGO LOPEZ DIANA PATRICIA"/>
    <n v="30"/>
    <n v="0"/>
    <n v="1343278"/>
  </r>
  <r>
    <s v="Retail"/>
    <s v="Q135 - Pasto - Centro"/>
    <x v="8"/>
    <s v="septiembre"/>
    <n v="23"/>
    <d v="2026-09-23T00:00:00"/>
    <n v="1082749357"/>
    <s v="PORTILLA BARBOSA BRIGYTH YURANY"/>
    <n v="42"/>
    <n v="0"/>
    <n v="2443572"/>
  </r>
  <r>
    <s v="Retail"/>
    <s v="Q135 - Pasto - Centro"/>
    <x v="8"/>
    <s v="septiembre"/>
    <n v="23"/>
    <d v="2026-09-23T00:00:00"/>
    <n v="1085266049"/>
    <s v="MONCAYO  ANDRADE DIANA MARCELA "/>
    <n v="15"/>
    <n v="0"/>
    <n v="955211"/>
  </r>
  <r>
    <s v="Retail"/>
    <s v="Q135 - Pasto - Centro"/>
    <x v="8"/>
    <s v="septiembre"/>
    <n v="23"/>
    <d v="2026-09-23T00:00:00"/>
    <n v="1085290212"/>
    <s v="CHILES BANDA LEIDY VANESA"/>
    <n v="15"/>
    <n v="0"/>
    <n v="745170"/>
  </r>
  <r>
    <s v="Retail"/>
    <s v="Q135 - Pasto - Centro"/>
    <x v="8"/>
    <s v="septiembre"/>
    <n v="24"/>
    <d v="2026-09-24T00:00:00"/>
    <m/>
    <m/>
    <n v="0"/>
    <n v="11915383"/>
    <n v="0"/>
  </r>
  <r>
    <s v="Retail"/>
    <s v="Q135 - Pasto - Centro"/>
    <x v="8"/>
    <s v="septiembre"/>
    <n v="24"/>
    <d v="2026-09-24T00:00:00"/>
    <n v="1004236016"/>
    <s v="MONCAYO ERAZO CHELSIN NICOLE"/>
    <n v="38"/>
    <n v="0"/>
    <n v="2456263"/>
  </r>
  <r>
    <s v="Retail"/>
    <s v="Q135 - Pasto - Centro"/>
    <x v="8"/>
    <s v="septiembre"/>
    <n v="24"/>
    <d v="2026-09-24T00:00:00"/>
    <n v="1055047967"/>
    <s v="ARANGO LOPEZ DIANA PATRICIA"/>
    <n v="26"/>
    <n v="0"/>
    <n v="2064035"/>
  </r>
  <r>
    <s v="Retail"/>
    <s v="Q135 - Pasto - Centro"/>
    <x v="8"/>
    <s v="septiembre"/>
    <n v="24"/>
    <d v="2026-09-24T00:00:00"/>
    <n v="1082749357"/>
    <s v="PORTILLA BARBOSA BRIGYTH YURANY"/>
    <n v="72"/>
    <n v="0"/>
    <n v="4477818"/>
  </r>
  <r>
    <s v="Retail"/>
    <s v="Q135 - Pasto - Centro"/>
    <x v="8"/>
    <s v="septiembre"/>
    <n v="24"/>
    <d v="2026-09-24T00:00:00"/>
    <n v="1085266049"/>
    <s v="MONCAYO  ANDRADE DIANA MARCELA "/>
    <n v="45"/>
    <n v="0"/>
    <n v="2518995"/>
  </r>
  <r>
    <s v="Retail"/>
    <s v="Q135 - Pasto - Centro"/>
    <x v="8"/>
    <s v="septiembre"/>
    <n v="24"/>
    <d v="2026-09-24T00:00:00"/>
    <n v="1085290212"/>
    <s v="CHILES BANDA LEIDY VANESA"/>
    <n v="49"/>
    <n v="0"/>
    <n v="3527356"/>
  </r>
  <r>
    <s v="Retail"/>
    <s v="Q135 - Pasto - Centro"/>
    <x v="8"/>
    <s v="septiembre"/>
    <n v="25"/>
    <d v="2026-09-25T00:00:00"/>
    <m/>
    <m/>
    <n v="0"/>
    <n v="11889005"/>
    <n v="0"/>
  </r>
  <r>
    <s v="Retail"/>
    <s v="Q135 - Pasto - Centro"/>
    <x v="8"/>
    <s v="septiembre"/>
    <n v="25"/>
    <d v="2026-09-25T00:00:00"/>
    <n v="1004236016"/>
    <s v="MONCAYO ERAZO CHELSIN NICOLE"/>
    <n v="33"/>
    <n v="0"/>
    <n v="1643404"/>
  </r>
  <r>
    <s v="Retail"/>
    <s v="Q135 - Pasto - Centro"/>
    <x v="8"/>
    <s v="septiembre"/>
    <n v="25"/>
    <d v="2026-09-25T00:00:00"/>
    <n v="1055047967"/>
    <s v="ARANGO LOPEZ DIANA PATRICIA"/>
    <n v="32"/>
    <n v="0"/>
    <n v="1740257"/>
  </r>
  <r>
    <s v="Retail"/>
    <s v="Q135 - Pasto - Centro"/>
    <x v="8"/>
    <s v="septiembre"/>
    <n v="25"/>
    <d v="2026-09-25T00:00:00"/>
    <n v="1082749357"/>
    <s v="PORTILLA BARBOSA BRIGYTH YURANY"/>
    <n v="68"/>
    <n v="0"/>
    <n v="4282737"/>
  </r>
  <r>
    <s v="Retail"/>
    <s v="Q135 - Pasto - Centro"/>
    <x v="8"/>
    <s v="septiembre"/>
    <n v="25"/>
    <d v="2026-09-25T00:00:00"/>
    <n v="1085266049"/>
    <s v="MONCAYO  ANDRADE DIANA MARCELA "/>
    <n v="48"/>
    <n v="0"/>
    <n v="2531558"/>
  </r>
  <r>
    <s v="Retail"/>
    <s v="Q135 - Pasto - Centro"/>
    <x v="8"/>
    <s v="septiembre"/>
    <n v="25"/>
    <d v="2026-09-25T00:00:00"/>
    <n v="1085290212"/>
    <s v="CHILES BANDA LEIDY VANESA"/>
    <n v="59"/>
    <n v="0"/>
    <n v="3474376"/>
  </r>
  <r>
    <s v="Retail"/>
    <s v="Q135 - Pasto - Centro"/>
    <x v="8"/>
    <s v="septiembre"/>
    <n v="25"/>
    <d v="2026-09-25T00:00:00"/>
    <n v="1233193345"/>
    <s v="PILPUD ENRIQUEZ YULIETH CATHERINE"/>
    <n v="-1"/>
    <n v="0"/>
    <n v="-54580"/>
  </r>
  <r>
    <s v="Retail"/>
    <s v="Q135 - Pasto - Centro"/>
    <x v="8"/>
    <s v="septiembre"/>
    <n v="26"/>
    <d v="2026-09-26T00:00:00"/>
    <m/>
    <m/>
    <n v="0"/>
    <n v="17086208"/>
    <n v="0"/>
  </r>
  <r>
    <s v="Retail"/>
    <s v="Q135 - Pasto - Centro"/>
    <x v="8"/>
    <s v="septiembre"/>
    <n v="26"/>
    <d v="2026-09-26T00:00:00"/>
    <n v="1004236016"/>
    <s v="MONCAYO ERAZO CHELSIN NICOLE"/>
    <n v="50"/>
    <n v="0"/>
    <n v="3260424"/>
  </r>
  <r>
    <s v="Retail"/>
    <s v="Q135 - Pasto - Centro"/>
    <x v="8"/>
    <s v="septiembre"/>
    <n v="26"/>
    <d v="2026-09-26T00:00:00"/>
    <n v="1055047967"/>
    <s v="ARANGO LOPEZ DIANA PATRICIA"/>
    <n v="43"/>
    <n v="0"/>
    <n v="2666222"/>
  </r>
  <r>
    <s v="Retail"/>
    <s v="Q135 - Pasto - Centro"/>
    <x v="8"/>
    <s v="septiembre"/>
    <n v="26"/>
    <d v="2026-09-26T00:00:00"/>
    <n v="1082749357"/>
    <s v="PORTILLA BARBOSA BRIGYTH YURANY"/>
    <n v="93"/>
    <n v="0"/>
    <n v="5823703"/>
  </r>
  <r>
    <s v="Retail"/>
    <s v="Q135 - Pasto - Centro"/>
    <x v="8"/>
    <s v="septiembre"/>
    <n v="26"/>
    <d v="2026-09-26T00:00:00"/>
    <n v="1085266049"/>
    <s v="MONCAYO  ANDRADE DIANA MARCELA "/>
    <n v="49"/>
    <n v="0"/>
    <n v="3172271"/>
  </r>
  <r>
    <s v="Retail"/>
    <s v="Q135 - Pasto - Centro"/>
    <x v="8"/>
    <s v="septiembre"/>
    <n v="26"/>
    <d v="2026-09-26T00:00:00"/>
    <n v="1085290212"/>
    <s v="CHILES BANDA LEIDY VANESA"/>
    <n v="88"/>
    <n v="0"/>
    <n v="5987694"/>
  </r>
  <r>
    <s v="Retail"/>
    <s v="Q135 - Pasto - Centro"/>
    <x v="8"/>
    <s v="septiembre"/>
    <n v="27"/>
    <d v="2026-09-27T00:00:00"/>
    <m/>
    <m/>
    <n v="0"/>
    <n v="13535717"/>
    <n v="0"/>
  </r>
  <r>
    <s v="Retail"/>
    <s v="Q135 - Pasto - Centro"/>
    <x v="8"/>
    <s v="septiembre"/>
    <n v="27"/>
    <d v="2026-09-27T00:00:00"/>
    <n v="1055047967"/>
    <s v="ARANGO LOPEZ DIANA PATRICIA"/>
    <n v="-2"/>
    <n v="0"/>
    <n v="-125967"/>
  </r>
  <r>
    <s v="Retail"/>
    <s v="Q135 - Pasto - Centro"/>
    <x v="8"/>
    <s v="septiembre"/>
    <n v="27"/>
    <d v="2026-09-27T00:00:00"/>
    <n v="1082749357"/>
    <s v="PORTILLA BARBOSA BRIGYTH YURANY"/>
    <n v="37"/>
    <n v="0"/>
    <n v="2153826"/>
  </r>
  <r>
    <s v="Retail"/>
    <s v="Q135 - Pasto - Centro"/>
    <x v="8"/>
    <s v="septiembre"/>
    <n v="27"/>
    <d v="2026-09-27T00:00:00"/>
    <n v="1085290212"/>
    <s v="CHILES BANDA LEIDY VANESA"/>
    <n v="24"/>
    <n v="0"/>
    <n v="1272061"/>
  </r>
  <r>
    <s v="Retail"/>
    <s v="Q135 - Pasto - Centro"/>
    <x v="8"/>
    <s v="septiembre"/>
    <n v="28"/>
    <d v="2026-09-28T00:00:00"/>
    <m/>
    <m/>
    <n v="0"/>
    <n v="7621211"/>
    <n v="0"/>
  </r>
  <r>
    <s v="Retail"/>
    <s v="Q135 - Pasto - Centro"/>
    <x v="8"/>
    <s v="septiembre"/>
    <n v="28"/>
    <d v="2026-09-28T00:00:00"/>
    <n v="1004236016"/>
    <s v="MONCAYO ERAZO CHELSIN NICOLE"/>
    <n v="18"/>
    <n v="0"/>
    <n v="1104288"/>
  </r>
  <r>
    <s v="Retail"/>
    <s v="Q135 - Pasto - Centro"/>
    <x v="8"/>
    <s v="septiembre"/>
    <n v="28"/>
    <d v="2026-09-28T00:00:00"/>
    <n v="1055047967"/>
    <s v="ARANGO LOPEZ DIANA PATRICIA"/>
    <n v="15"/>
    <n v="0"/>
    <n v="854329"/>
  </r>
  <r>
    <s v="Retail"/>
    <s v="Q135 - Pasto - Centro"/>
    <x v="8"/>
    <s v="septiembre"/>
    <n v="28"/>
    <d v="2026-09-28T00:00:00"/>
    <n v="1082749357"/>
    <s v="PORTILLA BARBOSA BRIGYTH YURANY"/>
    <n v="13"/>
    <n v="0"/>
    <n v="1026767"/>
  </r>
  <r>
    <s v="Retail"/>
    <s v="Q135 - Pasto - Centro"/>
    <x v="8"/>
    <s v="septiembre"/>
    <n v="28"/>
    <d v="2026-09-28T00:00:00"/>
    <n v="1085266049"/>
    <s v="MONCAYO  ANDRADE DIANA MARCELA "/>
    <n v="28"/>
    <n v="0"/>
    <n v="2087018"/>
  </r>
  <r>
    <s v="Retail"/>
    <s v="Q135 - Pasto - Centro"/>
    <x v="8"/>
    <s v="septiembre"/>
    <n v="28"/>
    <d v="2026-09-28T00:00:00"/>
    <n v="1085290212"/>
    <s v="CHILES BANDA LEIDY VANESA"/>
    <n v="34"/>
    <n v="0"/>
    <n v="2057356"/>
  </r>
  <r>
    <s v="Retail"/>
    <s v="Q135 - Pasto - Centro"/>
    <x v="8"/>
    <s v="septiembre"/>
    <n v="29"/>
    <d v="2026-09-29T00:00:00"/>
    <m/>
    <m/>
    <n v="0"/>
    <n v="7785820"/>
    <n v="0"/>
  </r>
  <r>
    <s v="Retail"/>
    <s v="Q135 - Pasto - Centro"/>
    <x v="8"/>
    <s v="septiembre"/>
    <n v="29"/>
    <d v="2026-09-29T00:00:00"/>
    <n v="1004236016"/>
    <s v="MONCAYO ERAZO CHELSIN NICOLE"/>
    <n v="32"/>
    <n v="0"/>
    <n v="1769665"/>
  </r>
  <r>
    <s v="Retail"/>
    <s v="Q135 - Pasto - Centro"/>
    <x v="8"/>
    <s v="septiembre"/>
    <n v="29"/>
    <d v="2026-09-29T00:00:00"/>
    <n v="1055047967"/>
    <s v="ARANGO LOPEZ DIANA PATRICIA"/>
    <n v="25"/>
    <n v="0"/>
    <n v="1391808"/>
  </r>
  <r>
    <s v="Retail"/>
    <s v="Q135 - Pasto - Centro"/>
    <x v="8"/>
    <s v="septiembre"/>
    <n v="29"/>
    <d v="2026-09-29T00:00:00"/>
    <n v="1082749357"/>
    <s v="PORTILLA BARBOSA BRIGYTH YURANY"/>
    <n v="32"/>
    <n v="0"/>
    <n v="2023868"/>
  </r>
  <r>
    <s v="Retail"/>
    <s v="Q135 - Pasto - Centro"/>
    <x v="8"/>
    <s v="septiembre"/>
    <n v="29"/>
    <d v="2026-09-29T00:00:00"/>
    <n v="1085266049"/>
    <s v="MONCAYO  ANDRADE DIANA MARCELA "/>
    <n v="17"/>
    <n v="0"/>
    <n v="1074917"/>
  </r>
  <r>
    <s v="Retail"/>
    <s v="Q135 - Pasto - Centro"/>
    <x v="8"/>
    <s v="septiembre"/>
    <n v="29"/>
    <d v="2026-09-29T00:00:00"/>
    <n v="1085290212"/>
    <s v="CHILES BANDA LEIDY VANESA"/>
    <n v="37"/>
    <n v="0"/>
    <n v="1966894"/>
  </r>
  <r>
    <s v="Retail"/>
    <s v="Q135 - Pasto - Centro"/>
    <x v="8"/>
    <s v="septiembre"/>
    <n v="30"/>
    <d v="2026-09-30T00:00:00"/>
    <m/>
    <m/>
    <n v="0"/>
    <n v="8220265"/>
    <n v="0"/>
  </r>
  <r>
    <s v="Retail"/>
    <s v="Q135 - Pasto - Centro"/>
    <x v="8"/>
    <s v="septiembre"/>
    <n v="30"/>
    <d v="2026-09-30T00:00:00"/>
    <n v="1004236016"/>
    <s v="MONCAYO ERAZO CHELSIN NICOLE"/>
    <n v="30"/>
    <n v="0"/>
    <n v="1803279"/>
  </r>
  <r>
    <s v="Retail"/>
    <s v="Q135 - Pasto - Centro"/>
    <x v="8"/>
    <s v="septiembre"/>
    <n v="30"/>
    <d v="2026-09-30T00:00:00"/>
    <n v="1055047967"/>
    <s v="ARANGO LOPEZ DIANA PATRICIA"/>
    <n v="21"/>
    <n v="0"/>
    <n v="1204959"/>
  </r>
  <r>
    <s v="Retail"/>
    <s v="Q135 - Pasto - Centro"/>
    <x v="8"/>
    <s v="septiembre"/>
    <n v="30"/>
    <d v="2026-09-30T00:00:00"/>
    <n v="1082749357"/>
    <s v="PORTILLA BARBOSA BRIGYTH YURANY"/>
    <n v="22"/>
    <n v="0"/>
    <n v="1587312"/>
  </r>
  <r>
    <s v="Retail"/>
    <s v="Q135 - Pasto - Centro"/>
    <x v="8"/>
    <s v="septiembre"/>
    <n v="30"/>
    <d v="2026-09-30T00:00:00"/>
    <n v="1085266049"/>
    <s v="MONCAYO  ANDRADE DIANA MARCELA "/>
    <n v="27"/>
    <n v="0"/>
    <n v="1835000"/>
  </r>
  <r>
    <s v="Retail"/>
    <s v="Q135 - Pasto - Centro"/>
    <x v="8"/>
    <s v="septiembre"/>
    <n v="30"/>
    <d v="2026-09-30T00:00:00"/>
    <n v="1085290212"/>
    <s v="CHILES BANDA LEIDY VANESA"/>
    <n v="49"/>
    <n v="0"/>
    <n v="2764623"/>
  </r>
  <r>
    <s v="Retail"/>
    <s v="Q135 - Pasto - Centro"/>
    <x v="8"/>
    <s v="octubre"/>
    <n v="1"/>
    <d v="2026-10-01T00:00:00"/>
    <m/>
    <m/>
    <n v="0"/>
    <n v="8946461"/>
    <n v="0"/>
  </r>
  <r>
    <s v="Retail"/>
    <s v="Q135 - Pasto - Centro"/>
    <x v="8"/>
    <s v="octubre"/>
    <n v="1"/>
    <d v="2026-10-01T00:00:00"/>
    <n v="1004236016"/>
    <s v="MONCAYO ERAZO CHELSIN NICOLE"/>
    <n v="23"/>
    <n v="0"/>
    <n v="1440126"/>
  </r>
  <r>
    <s v="Retail"/>
    <s v="Q135 - Pasto - Centro"/>
    <x v="8"/>
    <s v="octubre"/>
    <n v="1"/>
    <d v="2026-10-01T00:00:00"/>
    <n v="1055047967"/>
    <s v="ARANGO LOPEZ DIANA PATRICIA"/>
    <n v="31"/>
    <n v="0"/>
    <n v="1635043"/>
  </r>
  <r>
    <s v="Retail"/>
    <s v="Q135 - Pasto - Centro"/>
    <x v="8"/>
    <s v="octubre"/>
    <n v="1"/>
    <d v="2026-10-01T00:00:00"/>
    <n v="1082749357"/>
    <s v="PORTILLA BARBOSA BRIGYTH YURANY"/>
    <n v="48"/>
    <n v="0"/>
    <n v="3117608"/>
  </r>
  <r>
    <s v="Retail"/>
    <s v="Q135 - Pasto - Centro"/>
    <x v="8"/>
    <s v="octubre"/>
    <n v="1"/>
    <d v="2026-10-01T00:00:00"/>
    <n v="1085266049"/>
    <s v="MONCAYO  ANDRADE DIANA MARCELA "/>
    <n v="27"/>
    <n v="0"/>
    <n v="1484077"/>
  </r>
  <r>
    <s v="Retail"/>
    <s v="Q135 - Pasto - Centro"/>
    <x v="8"/>
    <s v="octubre"/>
    <n v="1"/>
    <d v="2026-10-01T00:00:00"/>
    <n v="1085290212"/>
    <s v="CHILES BANDA LEIDY VANESA"/>
    <n v="68"/>
    <n v="0"/>
    <n v="3805844"/>
  </r>
  <r>
    <s v="Retail"/>
    <s v="Q135 - Pasto - Centro"/>
    <x v="8"/>
    <s v="octubre"/>
    <n v="2"/>
    <d v="2026-10-02T00:00:00"/>
    <m/>
    <m/>
    <n v="0"/>
    <n v="9545869"/>
    <n v="0"/>
  </r>
  <r>
    <s v="Retail"/>
    <s v="Q135 - Pasto - Centro"/>
    <x v="8"/>
    <s v="octubre"/>
    <n v="2"/>
    <d v="2026-10-02T00:00:00"/>
    <n v="1004236016"/>
    <s v="MONCAYO ERAZO CHELSIN NICOLE"/>
    <n v="23"/>
    <n v="0"/>
    <n v="1322481"/>
  </r>
  <r>
    <s v="Retail"/>
    <s v="Q135 - Pasto - Centro"/>
    <x v="8"/>
    <s v="octubre"/>
    <n v="2"/>
    <d v="2026-10-02T00:00:00"/>
    <n v="1055047967"/>
    <s v="ARANGO LOPEZ DIANA PATRICIA"/>
    <n v="21"/>
    <n v="0"/>
    <n v="1351934"/>
  </r>
  <r>
    <s v="Retail"/>
    <s v="Q135 - Pasto - Centro"/>
    <x v="8"/>
    <s v="octubre"/>
    <n v="2"/>
    <d v="2026-10-02T00:00:00"/>
    <n v="1082749357"/>
    <s v="PORTILLA BARBOSA BRIGYTH YURANY"/>
    <n v="22"/>
    <n v="0"/>
    <n v="1498992"/>
  </r>
  <r>
    <s v="Retail"/>
    <s v="Q135 - Pasto - Centro"/>
    <x v="8"/>
    <s v="octubre"/>
    <n v="2"/>
    <d v="2026-10-02T00:00:00"/>
    <n v="1085266049"/>
    <s v="MONCAYO  ANDRADE DIANA MARCELA "/>
    <n v="17"/>
    <n v="0"/>
    <n v="1226052"/>
  </r>
  <r>
    <s v="Retail"/>
    <s v="Q135 - Pasto - Centro"/>
    <x v="8"/>
    <s v="octubre"/>
    <n v="2"/>
    <d v="2026-10-02T00:00:00"/>
    <n v="1085290212"/>
    <s v="CHILES BANDA LEIDY VANESA"/>
    <n v="34"/>
    <n v="0"/>
    <n v="1825801"/>
  </r>
  <r>
    <s v="Retail"/>
    <s v="Q135 - Pasto - Centro"/>
    <x v="8"/>
    <s v="octubre"/>
    <n v="3"/>
    <d v="2026-10-03T00:00:00"/>
    <m/>
    <m/>
    <n v="0"/>
    <n v="10980053"/>
    <n v="0"/>
  </r>
  <r>
    <s v="Retail"/>
    <s v="Q135 - Pasto - Centro"/>
    <x v="8"/>
    <s v="octubre"/>
    <n v="3"/>
    <d v="2026-10-03T00:00:00"/>
    <n v="1004236016"/>
    <s v="MONCAYO ERAZO CHELSIN NICOLE"/>
    <n v="36"/>
    <n v="0"/>
    <n v="2024852"/>
  </r>
  <r>
    <s v="Retail"/>
    <s v="Q135 - Pasto - Centro"/>
    <x v="8"/>
    <s v="octubre"/>
    <n v="3"/>
    <d v="2026-10-03T00:00:00"/>
    <n v="1055047967"/>
    <s v="ARANGO LOPEZ DIANA PATRICIA"/>
    <n v="72"/>
    <n v="0"/>
    <n v="3296750"/>
  </r>
  <r>
    <s v="Retail"/>
    <s v="Q135 - Pasto - Centro"/>
    <x v="8"/>
    <s v="octubre"/>
    <n v="3"/>
    <d v="2026-10-03T00:00:00"/>
    <n v="1082749357"/>
    <s v="PORTILLA BARBOSA BRIGYTH YURANY"/>
    <n v="44"/>
    <n v="0"/>
    <n v="2599655"/>
  </r>
  <r>
    <s v="Retail"/>
    <s v="Q135 - Pasto - Centro"/>
    <x v="8"/>
    <s v="octubre"/>
    <n v="3"/>
    <d v="2026-10-03T00:00:00"/>
    <n v="1085266049"/>
    <s v="MONCAYO  ANDRADE DIANA MARCELA "/>
    <n v="33"/>
    <n v="0"/>
    <n v="2119454"/>
  </r>
  <r>
    <s v="Retail"/>
    <s v="Q135 - Pasto - Centro"/>
    <x v="8"/>
    <s v="octubre"/>
    <n v="3"/>
    <d v="2026-10-03T00:00:00"/>
    <n v="1085274203"/>
    <s v="VALENCIA  VIVIANA"/>
    <n v="-1"/>
    <n v="0"/>
    <n v="-58781"/>
  </r>
  <r>
    <s v="Retail"/>
    <s v="Q135 - Pasto - Centro"/>
    <x v="8"/>
    <s v="octubre"/>
    <n v="3"/>
    <d v="2026-10-03T00:00:00"/>
    <n v="1085290212"/>
    <s v="CHILES BANDA LEIDY VANESA"/>
    <n v="79"/>
    <n v="0"/>
    <n v="4209149"/>
  </r>
  <r>
    <s v="Retail"/>
    <s v="Q135 - Pasto - Centro"/>
    <x v="8"/>
    <s v="octubre"/>
    <n v="4"/>
    <d v="2026-10-04T00:00:00"/>
    <m/>
    <m/>
    <n v="0"/>
    <n v="6285310"/>
    <n v="0"/>
  </r>
  <r>
    <s v="Retail"/>
    <s v="Q135 - Pasto - Centro"/>
    <x v="8"/>
    <s v="octubre"/>
    <n v="4"/>
    <d v="2026-10-04T00:00:00"/>
    <n v="1004236016"/>
    <s v="MONCAYO ERAZO CHELSIN NICOLE"/>
    <n v="19"/>
    <n v="0"/>
    <n v="1022313"/>
  </r>
  <r>
    <s v="Retail"/>
    <s v="Q135 - Pasto - Centro"/>
    <x v="8"/>
    <s v="octubre"/>
    <n v="4"/>
    <d v="2026-10-04T00:00:00"/>
    <n v="1055047967"/>
    <s v="ARANGO LOPEZ DIANA PATRICIA"/>
    <n v="25"/>
    <n v="0"/>
    <n v="1564078"/>
  </r>
  <r>
    <s v="Retail"/>
    <s v="Q135 - Pasto - Centro"/>
    <x v="8"/>
    <s v="octubre"/>
    <n v="4"/>
    <d v="2026-10-04T00:00:00"/>
    <n v="1082749357"/>
    <s v="PORTILLA BARBOSA BRIGYTH YURANY"/>
    <n v="10"/>
    <n v="0"/>
    <n v="680253"/>
  </r>
  <r>
    <s v="Retail"/>
    <s v="Q135 - Pasto - Centro"/>
    <x v="8"/>
    <s v="octubre"/>
    <n v="4"/>
    <d v="2026-10-04T00:00:00"/>
    <n v="1085266049"/>
    <s v="MONCAYO  ANDRADE DIANA MARCELA "/>
    <n v="12"/>
    <n v="0"/>
    <n v="738951"/>
  </r>
  <r>
    <s v="Retail"/>
    <s v="Q135 - Pasto - Centro"/>
    <x v="8"/>
    <s v="octubre"/>
    <n v="5"/>
    <d v="2026-10-05T00:00:00"/>
    <m/>
    <m/>
    <n v="0"/>
    <n v="9998885"/>
    <n v="0"/>
  </r>
  <r>
    <s v="Retail"/>
    <s v="Q135 - Pasto - Centro"/>
    <x v="8"/>
    <s v="octubre"/>
    <n v="5"/>
    <d v="2026-10-05T00:00:00"/>
    <n v="1004236016"/>
    <s v="MONCAYO ERAZO CHELSIN NICOLE"/>
    <n v="18"/>
    <n v="0"/>
    <n v="1163109"/>
  </r>
  <r>
    <s v="Retail"/>
    <s v="Q135 - Pasto - Centro"/>
    <x v="8"/>
    <s v="octubre"/>
    <n v="5"/>
    <d v="2026-10-05T00:00:00"/>
    <n v="1055047967"/>
    <s v="ARANGO LOPEZ DIANA PATRICIA"/>
    <n v="21"/>
    <n v="0"/>
    <n v="1305842"/>
  </r>
  <r>
    <s v="Retail"/>
    <s v="Q135 - Pasto - Centro"/>
    <x v="8"/>
    <s v="octubre"/>
    <n v="5"/>
    <d v="2026-10-05T00:00:00"/>
    <n v="1082749357"/>
    <s v="PORTILLA BARBOSA BRIGYTH YURANY"/>
    <n v="11"/>
    <n v="0"/>
    <n v="661303"/>
  </r>
  <r>
    <s v="Retail"/>
    <s v="Q135 - Pasto - Centro"/>
    <x v="8"/>
    <s v="octubre"/>
    <n v="5"/>
    <d v="2026-10-05T00:00:00"/>
    <n v="1085266049"/>
    <s v="MONCAYO  ANDRADE DIANA MARCELA "/>
    <n v="15"/>
    <n v="0"/>
    <n v="797648"/>
  </r>
  <r>
    <s v="Retail"/>
    <s v="Q135 - Pasto - Centro"/>
    <x v="8"/>
    <s v="octubre"/>
    <n v="5"/>
    <d v="2026-10-05T00:00:00"/>
    <n v="1085290212"/>
    <s v="CHILES BANDA LEIDY VANESA"/>
    <n v="15"/>
    <n v="0"/>
    <n v="873277"/>
  </r>
  <r>
    <s v="Retail"/>
    <s v="Q135 - Pasto - Centro"/>
    <x v="8"/>
    <s v="octubre"/>
    <n v="6"/>
    <d v="2026-10-06T00:00:00"/>
    <m/>
    <m/>
    <n v="0"/>
    <n v="5773707"/>
    <n v="0"/>
  </r>
  <r>
    <s v="Retail"/>
    <s v="Q135 - Pasto - Centro"/>
    <x v="8"/>
    <s v="octubre"/>
    <n v="6"/>
    <d v="2026-10-06T00:00:00"/>
    <n v="1004236016"/>
    <s v="MONCAYO ERAZO CHELSIN NICOLE"/>
    <n v="16"/>
    <n v="0"/>
    <n v="1003445"/>
  </r>
  <r>
    <s v="Retail"/>
    <s v="Q135 - Pasto - Centro"/>
    <x v="8"/>
    <s v="octubre"/>
    <n v="6"/>
    <d v="2026-10-06T00:00:00"/>
    <n v="1055047967"/>
    <s v="ARANGO LOPEZ DIANA PATRICIA"/>
    <n v="23"/>
    <n v="0"/>
    <n v="1377145"/>
  </r>
  <r>
    <s v="Retail"/>
    <s v="Q135 - Pasto - Centro"/>
    <x v="8"/>
    <s v="octubre"/>
    <n v="6"/>
    <d v="2026-10-06T00:00:00"/>
    <n v="1082749357"/>
    <s v="PORTILLA BARBOSA BRIGYTH YURANY"/>
    <n v="19"/>
    <n v="0"/>
    <n v="1238657"/>
  </r>
  <r>
    <s v="Retail"/>
    <s v="Q135 - Pasto - Centro"/>
    <x v="8"/>
    <s v="octubre"/>
    <n v="6"/>
    <d v="2026-10-06T00:00:00"/>
    <n v="1085266049"/>
    <s v="MONCAYO  ANDRADE DIANA MARCELA "/>
    <n v="1"/>
    <n v="0"/>
    <n v="96597"/>
  </r>
  <r>
    <s v="Retail"/>
    <s v="Q135 - Pasto - Centro"/>
    <x v="8"/>
    <s v="octubre"/>
    <n v="6"/>
    <d v="2026-10-06T00:00:00"/>
    <n v="1085290212"/>
    <s v="CHILES BANDA LEIDY VANESA"/>
    <n v="38"/>
    <n v="0"/>
    <n v="2422649"/>
  </r>
  <r>
    <s v="Retail"/>
    <s v="Q135 - Pasto - Centro"/>
    <x v="8"/>
    <s v="octubre"/>
    <n v="7"/>
    <d v="2026-10-07T00:00:00"/>
    <m/>
    <m/>
    <n v="0"/>
    <n v="5697736"/>
    <n v="0"/>
  </r>
  <r>
    <s v="Retail"/>
    <s v="Q135 - Pasto - Centro"/>
    <x v="8"/>
    <s v="octubre"/>
    <n v="7"/>
    <d v="2026-10-07T00:00:00"/>
    <n v="1004236016"/>
    <s v="MONCAYO ERAZO CHELSIN NICOLE"/>
    <n v="27"/>
    <n v="0"/>
    <n v="1461008"/>
  </r>
  <r>
    <s v="Retail"/>
    <s v="Q135 - Pasto - Centro"/>
    <x v="8"/>
    <s v="octubre"/>
    <n v="7"/>
    <d v="2026-10-07T00:00:00"/>
    <n v="1055047967"/>
    <s v="ARANGO LOPEZ DIANA PATRICIA"/>
    <n v="21"/>
    <n v="0"/>
    <n v="1310044"/>
  </r>
  <r>
    <s v="Retail"/>
    <s v="Q135 - Pasto - Centro"/>
    <x v="8"/>
    <s v="octubre"/>
    <n v="7"/>
    <d v="2026-10-07T00:00:00"/>
    <n v="1082749357"/>
    <s v="PORTILLA BARBOSA BRIGYTH YURANY"/>
    <n v="34"/>
    <n v="0"/>
    <n v="2162356"/>
  </r>
  <r>
    <s v="Retail"/>
    <s v="Q135 - Pasto - Centro"/>
    <x v="8"/>
    <s v="octubre"/>
    <n v="7"/>
    <d v="2026-10-07T00:00:00"/>
    <n v="1085290212"/>
    <s v="CHILES BANDA LEIDY VANESA"/>
    <n v="38"/>
    <n v="0"/>
    <n v="2160087"/>
  </r>
  <r>
    <s v="Franquicias Sell Out QUEST"/>
    <s v="FQ008 - Cucuta - CC Unicentro"/>
    <x v="9"/>
    <s v="septiembre"/>
    <n v="23"/>
    <d v="2026-09-23T00:00:00"/>
    <m/>
    <m/>
    <n v="0"/>
    <n v="6801678"/>
    <n v="0"/>
  </r>
  <r>
    <s v="Franquicias Sell Out QUEST"/>
    <s v="FQ008 - Cucuta - CC Unicentro"/>
    <x v="9"/>
    <s v="septiembre"/>
    <n v="23"/>
    <d v="2026-09-23T00:00:00"/>
    <n v="5401602"/>
    <s v="BLANCO CARDENAS YOHAN FERNANDO"/>
    <n v="42"/>
    <n v="0"/>
    <n v="1943615"/>
  </r>
  <r>
    <s v="Franquicias Sell Out QUEST"/>
    <s v="FQ008 - Cucuta - CC Unicentro"/>
    <x v="9"/>
    <s v="septiembre"/>
    <n v="23"/>
    <d v="2026-09-23T00:00:00"/>
    <n v="1005030326"/>
    <s v="PIZA YURGENSEN  YEISON FABIAN"/>
    <n v="47"/>
    <n v="0"/>
    <n v="2416096"/>
  </r>
  <r>
    <s v="Franquicias Sell Out QUEST"/>
    <s v="FQ008 - Cucuta - CC Unicentro"/>
    <x v="9"/>
    <s v="septiembre"/>
    <n v="23"/>
    <d v="2026-09-23T00:00:00"/>
    <n v="1091966973"/>
    <s v="PITA BLANCO ANGELLY NATALIA"/>
    <n v="45"/>
    <n v="0"/>
    <n v="2767018"/>
  </r>
  <r>
    <s v="Franquicias Sell Out QUEST"/>
    <s v="FQ008 - Cucuta - CC Unicentro"/>
    <x v="9"/>
    <s v="septiembre"/>
    <n v="23"/>
    <d v="2026-09-23T00:00:00"/>
    <n v="1094051083"/>
    <s v="TRUJILLO SANCHEZ NICOLAS ANDRES"/>
    <n v="68"/>
    <n v="0"/>
    <n v="3383700"/>
  </r>
  <r>
    <s v="Franquicias Sell Out QUEST"/>
    <s v="FQ008 - Cucuta - CC Unicentro"/>
    <x v="9"/>
    <s v="septiembre"/>
    <n v="23"/>
    <d v="2026-09-23T00:00:00"/>
    <n v="1192751831"/>
    <s v="SANCHEZ TRUJILLO ANDRES FELIPE"/>
    <n v="69"/>
    <n v="0"/>
    <n v="3404670"/>
  </r>
  <r>
    <s v="Franquicias Sell Out QUEST"/>
    <s v="FQ008 - Cucuta - CC Unicentro"/>
    <x v="9"/>
    <s v="septiembre"/>
    <n v="24"/>
    <d v="2026-09-24T00:00:00"/>
    <m/>
    <m/>
    <n v="0"/>
    <n v="17590445"/>
    <n v="0"/>
  </r>
  <r>
    <s v="Franquicias Sell Out QUEST"/>
    <s v="FQ008 - Cucuta - CC Unicentro"/>
    <x v="9"/>
    <s v="septiembre"/>
    <n v="24"/>
    <d v="2026-09-24T00:00:00"/>
    <n v="5401602"/>
    <s v="BLANCO CARDENAS YOHAN FERNANDO"/>
    <n v="8"/>
    <n v="0"/>
    <n v="377816"/>
  </r>
  <r>
    <s v="Franquicias Sell Out QUEST"/>
    <s v="FQ008 - Cucuta - CC Unicentro"/>
    <x v="9"/>
    <s v="septiembre"/>
    <n v="24"/>
    <d v="2026-09-24T00:00:00"/>
    <n v="1005030326"/>
    <s v="PIZA YURGENSEN  YEISON FABIAN"/>
    <n v="50"/>
    <n v="0"/>
    <n v="2617651"/>
  </r>
  <r>
    <s v="Franquicias Sell Out QUEST"/>
    <s v="FQ008 - Cucuta - CC Unicentro"/>
    <x v="9"/>
    <s v="septiembre"/>
    <n v="24"/>
    <d v="2026-09-24T00:00:00"/>
    <n v="1091966973"/>
    <s v="PITA BLANCO ANGELLY NATALIA"/>
    <n v="68"/>
    <n v="0"/>
    <n v="3467738"/>
  </r>
  <r>
    <s v="Franquicias Sell Out QUEST"/>
    <s v="FQ008 - Cucuta - CC Unicentro"/>
    <x v="9"/>
    <s v="septiembre"/>
    <n v="24"/>
    <d v="2026-09-24T00:00:00"/>
    <n v="1094051083"/>
    <s v="TRUJILLO SANCHEZ NICOLAS ANDRES"/>
    <n v="47"/>
    <n v="0"/>
    <n v="2220715"/>
  </r>
  <r>
    <s v="Franquicias Sell Out QUEST"/>
    <s v="FQ008 - Cucuta - CC Unicentro"/>
    <x v="9"/>
    <s v="septiembre"/>
    <n v="24"/>
    <d v="2026-09-24T00:00:00"/>
    <n v="1192751831"/>
    <s v="SANCHEZ TRUJILLO ANDRES FELIPE"/>
    <n v="85"/>
    <n v="0"/>
    <n v="4282149"/>
  </r>
  <r>
    <s v="Franquicias Sell Out QUEST"/>
    <s v="FQ008 - Cucuta - CC Unicentro"/>
    <x v="9"/>
    <s v="septiembre"/>
    <n v="25"/>
    <d v="2026-09-25T00:00:00"/>
    <m/>
    <m/>
    <n v="0"/>
    <n v="18787553"/>
    <n v="0"/>
  </r>
  <r>
    <s v="Franquicias Sell Out QUEST"/>
    <s v="FQ008 - Cucuta - CC Unicentro"/>
    <x v="9"/>
    <s v="septiembre"/>
    <n v="25"/>
    <d v="2026-09-25T00:00:00"/>
    <n v="5401602"/>
    <s v="BLANCO CARDENAS YOHAN FERNANDO"/>
    <n v="39"/>
    <n v="0"/>
    <n v="2042479"/>
  </r>
  <r>
    <s v="Franquicias Sell Out QUEST"/>
    <s v="FQ008 - Cucuta - CC Unicentro"/>
    <x v="9"/>
    <s v="septiembre"/>
    <n v="25"/>
    <d v="2026-09-25T00:00:00"/>
    <n v="1005030326"/>
    <s v="PIZA YURGENSEN  YEISON FABIAN"/>
    <n v="44"/>
    <n v="0"/>
    <n v="2050675"/>
  </r>
  <r>
    <s v="Franquicias Sell Out QUEST"/>
    <s v="FQ008 - Cucuta - CC Unicentro"/>
    <x v="9"/>
    <s v="septiembre"/>
    <n v="25"/>
    <d v="2026-09-25T00:00:00"/>
    <n v="1091966973"/>
    <s v="PITA BLANCO ANGELLY NATALIA"/>
    <n v="74"/>
    <n v="0"/>
    <n v="4169166"/>
  </r>
  <r>
    <s v="Franquicias Sell Out QUEST"/>
    <s v="FQ008 - Cucuta - CC Unicentro"/>
    <x v="9"/>
    <s v="septiembre"/>
    <n v="25"/>
    <d v="2026-09-25T00:00:00"/>
    <n v="1094051083"/>
    <s v="TRUJILLO SANCHEZ NICOLAS ANDRES"/>
    <n v="91"/>
    <n v="0"/>
    <n v="4968914"/>
  </r>
  <r>
    <s v="Franquicias Sell Out QUEST"/>
    <s v="FQ008 - Cucuta - CC Unicentro"/>
    <x v="9"/>
    <s v="septiembre"/>
    <n v="25"/>
    <d v="2026-09-25T00:00:00"/>
    <n v="1192751831"/>
    <s v="SANCHEZ TRUJILLO ANDRES FELIPE"/>
    <n v="94"/>
    <n v="0"/>
    <n v="5012864"/>
  </r>
  <r>
    <s v="Franquicias Sell Out QUEST"/>
    <s v="FQ008 - Cucuta - CC Unicentro"/>
    <x v="9"/>
    <s v="septiembre"/>
    <n v="26"/>
    <d v="2026-09-26T00:00:00"/>
    <m/>
    <m/>
    <n v="0"/>
    <n v="23690633"/>
    <n v="0"/>
  </r>
  <r>
    <s v="Franquicias Sell Out QUEST"/>
    <s v="FQ008 - Cucuta - CC Unicentro"/>
    <x v="9"/>
    <s v="septiembre"/>
    <n v="26"/>
    <d v="2026-09-26T00:00:00"/>
    <n v="5401602"/>
    <s v="BLANCO CARDENAS YOHAN FERNANDO"/>
    <n v="77"/>
    <n v="0"/>
    <n v="4425089"/>
  </r>
  <r>
    <s v="Franquicias Sell Out QUEST"/>
    <s v="FQ008 - Cucuta - CC Unicentro"/>
    <x v="9"/>
    <s v="septiembre"/>
    <n v="26"/>
    <d v="2026-09-26T00:00:00"/>
    <n v="1005030326"/>
    <s v="PIZA YURGENSEN  YEISON FABIAN"/>
    <n v="77"/>
    <n v="0"/>
    <n v="3950427"/>
  </r>
  <r>
    <s v="Franquicias Sell Out QUEST"/>
    <s v="FQ008 - Cucuta - CC Unicentro"/>
    <x v="9"/>
    <s v="septiembre"/>
    <n v="26"/>
    <d v="2026-09-26T00:00:00"/>
    <n v="1091966973"/>
    <s v="PITA BLANCO ANGELLY NATALIA"/>
    <n v="84"/>
    <n v="0"/>
    <n v="4710722"/>
  </r>
  <r>
    <s v="Franquicias Sell Out QUEST"/>
    <s v="FQ008 - Cucuta - CC Unicentro"/>
    <x v="9"/>
    <s v="septiembre"/>
    <n v="26"/>
    <d v="2026-09-26T00:00:00"/>
    <n v="1094051083"/>
    <s v="TRUJILLO SANCHEZ NICOLAS ANDRES"/>
    <n v="81"/>
    <n v="0"/>
    <n v="4206563"/>
  </r>
  <r>
    <s v="Franquicias Sell Out QUEST"/>
    <s v="FQ008 - Cucuta - CC Unicentro"/>
    <x v="9"/>
    <s v="septiembre"/>
    <n v="26"/>
    <d v="2026-09-26T00:00:00"/>
    <n v="1192751831"/>
    <s v="SANCHEZ TRUJILLO ANDRES FELIPE"/>
    <n v="108"/>
    <n v="0"/>
    <n v="6132027"/>
  </r>
  <r>
    <s v="Franquicias Sell Out QUEST"/>
    <s v="FQ008 - Cucuta - CC Unicentro"/>
    <x v="9"/>
    <s v="septiembre"/>
    <n v="27"/>
    <d v="2026-09-27T00:00:00"/>
    <m/>
    <m/>
    <n v="0"/>
    <n v="12508427"/>
    <n v="0"/>
  </r>
  <r>
    <s v="Franquicias Sell Out QUEST"/>
    <s v="FQ008 - Cucuta - CC Unicentro"/>
    <x v="9"/>
    <s v="septiembre"/>
    <n v="27"/>
    <d v="2026-09-27T00:00:00"/>
    <n v="5401602"/>
    <s v="BLANCO CARDENAS YOHAN FERNANDO"/>
    <n v="34"/>
    <n v="0"/>
    <n v="1620424"/>
  </r>
  <r>
    <s v="Franquicias Sell Out QUEST"/>
    <s v="FQ008 - Cucuta - CC Unicentro"/>
    <x v="9"/>
    <s v="septiembre"/>
    <n v="27"/>
    <d v="2026-09-27T00:00:00"/>
    <n v="1005030326"/>
    <s v="PIZA YURGENSEN  YEISON FABIAN"/>
    <n v="125"/>
    <n v="0"/>
    <n v="7385466"/>
  </r>
  <r>
    <s v="Franquicias Sell Out QUEST"/>
    <s v="FQ008 - Cucuta - CC Unicentro"/>
    <x v="9"/>
    <s v="septiembre"/>
    <n v="27"/>
    <d v="2026-09-27T00:00:00"/>
    <n v="1091966973"/>
    <s v="PITA BLANCO ANGELLY NATALIA"/>
    <n v="124"/>
    <n v="0"/>
    <n v="7253114"/>
  </r>
  <r>
    <s v="Franquicias Sell Out QUEST"/>
    <s v="FQ008 - Cucuta - CC Unicentro"/>
    <x v="9"/>
    <s v="septiembre"/>
    <n v="27"/>
    <d v="2026-09-27T00:00:00"/>
    <n v="1094051083"/>
    <s v="TRUJILLO SANCHEZ NICOLAS ANDRES"/>
    <n v="111"/>
    <n v="0"/>
    <n v="5978532"/>
  </r>
  <r>
    <s v="Franquicias Sell Out QUEST"/>
    <s v="FQ008 - Cucuta - CC Unicentro"/>
    <x v="9"/>
    <s v="septiembre"/>
    <n v="27"/>
    <d v="2026-09-27T00:00:00"/>
    <n v="1192751831"/>
    <s v="SANCHEZ TRUJILLO ANDRES FELIPE"/>
    <n v="152"/>
    <n v="0"/>
    <n v="8361227"/>
  </r>
  <r>
    <s v="Franquicias Sell Out QUEST"/>
    <s v="FQ008 - Cucuta - CC Unicentro"/>
    <x v="9"/>
    <s v="septiembre"/>
    <n v="28"/>
    <d v="2026-09-28T00:00:00"/>
    <m/>
    <m/>
    <n v="0"/>
    <n v="10255549"/>
    <n v="0"/>
  </r>
  <r>
    <s v="Franquicias Sell Out QUEST"/>
    <s v="FQ008 - Cucuta - CC Unicentro"/>
    <x v="9"/>
    <s v="septiembre"/>
    <n v="28"/>
    <d v="2026-09-28T00:00:00"/>
    <n v="5401602"/>
    <s v="BLANCO CARDENAS YOHAN FERNANDO"/>
    <n v="0"/>
    <n v="0"/>
    <n v="0"/>
  </r>
  <r>
    <s v="Franquicias Sell Out QUEST"/>
    <s v="FQ008 - Cucuta - CC Unicentro"/>
    <x v="9"/>
    <s v="septiembre"/>
    <n v="28"/>
    <d v="2026-09-28T00:00:00"/>
    <n v="1005030326"/>
    <s v="PIZA YURGENSEN  YEISON FABIAN"/>
    <n v="38"/>
    <n v="0"/>
    <n v="2330339"/>
  </r>
  <r>
    <s v="Franquicias Sell Out QUEST"/>
    <s v="FQ008 - Cucuta - CC Unicentro"/>
    <x v="9"/>
    <s v="septiembre"/>
    <n v="28"/>
    <d v="2026-09-28T00:00:00"/>
    <n v="1091966973"/>
    <s v="PITA BLANCO ANGELLY NATALIA"/>
    <n v="48"/>
    <n v="0"/>
    <n v="2504292"/>
  </r>
  <r>
    <s v="Franquicias Sell Out QUEST"/>
    <s v="FQ008 - Cucuta - CC Unicentro"/>
    <x v="9"/>
    <s v="septiembre"/>
    <n v="28"/>
    <d v="2026-09-28T00:00:00"/>
    <n v="1094051083"/>
    <s v="TRUJILLO SANCHEZ NICOLAS ANDRES"/>
    <n v="37"/>
    <n v="0"/>
    <n v="1990046"/>
  </r>
  <r>
    <s v="Franquicias Sell Out QUEST"/>
    <s v="FQ008 - Cucuta - CC Unicentro"/>
    <x v="9"/>
    <s v="septiembre"/>
    <n v="28"/>
    <d v="2026-09-28T00:00:00"/>
    <n v="1192751831"/>
    <s v="SANCHEZ TRUJILLO ANDRES FELIPE"/>
    <n v="45"/>
    <n v="0"/>
    <n v="2378280"/>
  </r>
  <r>
    <s v="Franquicias Sell Out QUEST"/>
    <s v="FQ008 - Cucuta - CC Unicentro"/>
    <x v="9"/>
    <s v="septiembre"/>
    <n v="29"/>
    <d v="2026-09-29T00:00:00"/>
    <m/>
    <m/>
    <n v="0"/>
    <n v="11401140"/>
    <n v="0"/>
  </r>
  <r>
    <s v="Franquicias Sell Out QUEST"/>
    <s v="FQ008 - Cucuta - CC Unicentro"/>
    <x v="9"/>
    <s v="septiembre"/>
    <n v="29"/>
    <d v="2026-09-29T00:00:00"/>
    <n v="5401602"/>
    <s v="BLANCO CARDENAS YOHAN FERNANDO"/>
    <n v="30"/>
    <n v="0"/>
    <n v="1729706"/>
  </r>
  <r>
    <s v="Franquicias Sell Out QUEST"/>
    <s v="FQ008 - Cucuta - CC Unicentro"/>
    <x v="9"/>
    <s v="septiembre"/>
    <n v="29"/>
    <d v="2026-09-29T00:00:00"/>
    <n v="1005030326"/>
    <s v="PIZA YURGENSEN  YEISON FABIAN"/>
    <n v="-2"/>
    <n v="0"/>
    <n v="-134370"/>
  </r>
  <r>
    <s v="Franquicias Sell Out QUEST"/>
    <s v="FQ008 - Cucuta - CC Unicentro"/>
    <x v="9"/>
    <s v="septiembre"/>
    <n v="29"/>
    <d v="2026-09-29T00:00:00"/>
    <n v="1091966973"/>
    <s v="PITA BLANCO ANGELLY NATALIA"/>
    <n v="76"/>
    <n v="0"/>
    <n v="4049334"/>
  </r>
  <r>
    <s v="Franquicias Sell Out QUEST"/>
    <s v="FQ008 - Cucuta - CC Unicentro"/>
    <x v="9"/>
    <s v="septiembre"/>
    <n v="29"/>
    <d v="2026-09-29T00:00:00"/>
    <n v="1094051083"/>
    <s v="TRUJILLO SANCHEZ NICOLAS ANDRES"/>
    <n v="0"/>
    <n v="0"/>
    <n v="-21008"/>
  </r>
  <r>
    <s v="Franquicias Sell Out QUEST"/>
    <s v="FQ008 - Cucuta - CC Unicentro"/>
    <x v="9"/>
    <s v="septiembre"/>
    <n v="29"/>
    <d v="2026-09-29T00:00:00"/>
    <n v="1192751831"/>
    <s v="SANCHEZ TRUJILLO ANDRES FELIPE"/>
    <n v="89"/>
    <n v="0"/>
    <n v="4634925"/>
  </r>
  <r>
    <s v="Franquicias Sell Out QUEST"/>
    <s v="FQ008 - Cucuta - CC Unicentro"/>
    <x v="9"/>
    <s v="septiembre"/>
    <n v="30"/>
    <d v="2026-09-30T00:00:00"/>
    <m/>
    <m/>
    <n v="0"/>
    <n v="12074169"/>
    <n v="0"/>
  </r>
  <r>
    <s v="Franquicias Sell Out QUEST"/>
    <s v="FQ008 - Cucuta - CC Unicentro"/>
    <x v="9"/>
    <s v="septiembre"/>
    <n v="30"/>
    <d v="2026-09-30T00:00:00"/>
    <n v="5401602"/>
    <s v="BLANCO CARDENAS YOHAN FERNANDO"/>
    <n v="89"/>
    <n v="0"/>
    <n v="4378536"/>
  </r>
  <r>
    <s v="Franquicias Sell Out QUEST"/>
    <s v="FQ008 - Cucuta - CC Unicentro"/>
    <x v="9"/>
    <s v="septiembre"/>
    <n v="30"/>
    <d v="2026-09-30T00:00:00"/>
    <n v="1005030326"/>
    <s v="PIZA YURGENSEN  YEISON FABIAN"/>
    <n v="50"/>
    <n v="0"/>
    <n v="2728870"/>
  </r>
  <r>
    <s v="Franquicias Sell Out QUEST"/>
    <s v="FQ008 - Cucuta - CC Unicentro"/>
    <x v="9"/>
    <s v="septiembre"/>
    <n v="30"/>
    <d v="2026-09-30T00:00:00"/>
    <n v="1091966973"/>
    <s v="PITA BLANCO ANGELLY NATALIA"/>
    <n v="42"/>
    <n v="0"/>
    <n v="2475130"/>
  </r>
  <r>
    <s v="Franquicias Sell Out QUEST"/>
    <s v="FQ008 - Cucuta - CC Unicentro"/>
    <x v="9"/>
    <s v="septiembre"/>
    <n v="30"/>
    <d v="2026-09-30T00:00:00"/>
    <n v="1094051083"/>
    <s v="TRUJILLO SANCHEZ NICOLAS ANDRES"/>
    <n v="48"/>
    <n v="0"/>
    <n v="2924455"/>
  </r>
  <r>
    <s v="Franquicias Sell Out QUEST"/>
    <s v="FQ008 - Cucuta - CC Unicentro"/>
    <x v="9"/>
    <s v="octubre"/>
    <n v="1"/>
    <d v="2026-10-01T00:00:00"/>
    <m/>
    <m/>
    <n v="0"/>
    <n v="21188410"/>
    <n v="0"/>
  </r>
  <r>
    <s v="Franquicias Sell Out QUEST"/>
    <s v="FQ008 - Cucuta - CC Unicentro"/>
    <x v="9"/>
    <s v="octubre"/>
    <n v="1"/>
    <d v="2026-10-01T00:00:00"/>
    <n v="5401602"/>
    <s v="BLANCO CARDENAS YOHAN FERNANDO"/>
    <n v="31"/>
    <n v="0"/>
    <n v="1462861"/>
  </r>
  <r>
    <s v="Franquicias Sell Out QUEST"/>
    <s v="FQ008 - Cucuta - CC Unicentro"/>
    <x v="9"/>
    <s v="octubre"/>
    <n v="1"/>
    <d v="2026-10-01T00:00:00"/>
    <n v="1005030326"/>
    <s v="PIZA YURGENSEN  YEISON FABIAN"/>
    <n v="101"/>
    <n v="0"/>
    <n v="5266728"/>
  </r>
  <r>
    <s v="Franquicias Sell Out QUEST"/>
    <s v="FQ008 - Cucuta - CC Unicentro"/>
    <x v="9"/>
    <s v="octubre"/>
    <n v="1"/>
    <d v="2026-10-01T00:00:00"/>
    <n v="1091966973"/>
    <s v="PITA BLANCO ANGELLY NATALIA"/>
    <n v="-1"/>
    <n v="0"/>
    <n v="-67185"/>
  </r>
  <r>
    <s v="Franquicias Sell Out QUEST"/>
    <s v="FQ008 - Cucuta - CC Unicentro"/>
    <x v="9"/>
    <s v="octubre"/>
    <n v="1"/>
    <d v="2026-10-01T00:00:00"/>
    <n v="1094051083"/>
    <s v="TRUJILLO SANCHEZ NICOLAS ANDRES"/>
    <n v="105"/>
    <n v="0"/>
    <n v="4894676"/>
  </r>
  <r>
    <s v="Franquicias Sell Out QUEST"/>
    <s v="FQ008 - Cucuta - CC Unicentro"/>
    <x v="9"/>
    <s v="octubre"/>
    <n v="1"/>
    <d v="2026-10-01T00:00:00"/>
    <n v="1192751831"/>
    <s v="SANCHEZ TRUJILLO ANDRES FELIPE"/>
    <n v="67"/>
    <n v="0"/>
    <n v="3513995"/>
  </r>
  <r>
    <s v="Franquicias Sell Out QUEST"/>
    <s v="FQ008 - Cucuta - CC Unicentro"/>
    <x v="9"/>
    <s v="octubre"/>
    <n v="2"/>
    <d v="2026-10-02T00:00:00"/>
    <m/>
    <m/>
    <n v="0"/>
    <n v="20152731"/>
    <n v="0"/>
  </r>
  <r>
    <s v="Franquicias Sell Out QUEST"/>
    <s v="FQ008 - Cucuta - CC Unicentro"/>
    <x v="9"/>
    <s v="octubre"/>
    <n v="2"/>
    <d v="2026-10-02T00:00:00"/>
    <n v="5401602"/>
    <s v="BLANCO CARDENAS YOHAN FERNANDO"/>
    <n v="44"/>
    <n v="0"/>
    <n v="2508659"/>
  </r>
  <r>
    <s v="Franquicias Sell Out QUEST"/>
    <s v="FQ008 - Cucuta - CC Unicentro"/>
    <x v="9"/>
    <s v="octubre"/>
    <n v="2"/>
    <d v="2026-10-02T00:00:00"/>
    <n v="1005030326"/>
    <s v="PIZA YURGENSEN  YEISON FABIAN"/>
    <n v="16"/>
    <n v="0"/>
    <n v="1100170"/>
  </r>
  <r>
    <s v="Franquicias Sell Out QUEST"/>
    <s v="FQ008 - Cucuta - CC Unicentro"/>
    <x v="9"/>
    <s v="octubre"/>
    <n v="2"/>
    <d v="2026-10-02T00:00:00"/>
    <n v="1091966973"/>
    <s v="PITA BLANCO ANGELLY NATALIA"/>
    <n v="63"/>
    <n v="0"/>
    <n v="3324962"/>
  </r>
  <r>
    <s v="Franquicias Sell Out QUEST"/>
    <s v="FQ008 - Cucuta - CC Unicentro"/>
    <x v="9"/>
    <s v="octubre"/>
    <n v="2"/>
    <d v="2026-10-02T00:00:00"/>
    <n v="1094051083"/>
    <s v="TRUJILLO SANCHEZ NICOLAS ANDRES"/>
    <n v="35"/>
    <n v="0"/>
    <n v="2023659"/>
  </r>
  <r>
    <s v="Franquicias Sell Out QUEST"/>
    <s v="FQ008 - Cucuta - CC Unicentro"/>
    <x v="9"/>
    <s v="octubre"/>
    <n v="2"/>
    <d v="2026-10-02T00:00:00"/>
    <n v="1192751831"/>
    <s v="SANCHEZ TRUJILLO ANDRES FELIPE"/>
    <n v="96"/>
    <n v="0"/>
    <n v="5159797"/>
  </r>
  <r>
    <s v="Franquicias Sell Out QUEST"/>
    <s v="FQ008 - Cucuta - CC Unicentro"/>
    <x v="9"/>
    <s v="octubre"/>
    <n v="3"/>
    <d v="2026-10-03T00:00:00"/>
    <m/>
    <m/>
    <n v="0"/>
    <n v="23045981"/>
    <n v="0"/>
  </r>
  <r>
    <s v="Franquicias Sell Out QUEST"/>
    <s v="FQ008 - Cucuta - CC Unicentro"/>
    <x v="9"/>
    <s v="octubre"/>
    <n v="3"/>
    <d v="2026-10-03T00:00:00"/>
    <n v="5401602"/>
    <s v="BLANCO CARDENAS YOHAN FERNANDO"/>
    <n v="56"/>
    <n v="0"/>
    <n v="2615951"/>
  </r>
  <r>
    <s v="Franquicias Sell Out QUEST"/>
    <s v="FQ008 - Cucuta - CC Unicentro"/>
    <x v="9"/>
    <s v="octubre"/>
    <n v="3"/>
    <d v="2026-10-03T00:00:00"/>
    <n v="1005030326"/>
    <s v="PIZA YURGENSEN  YEISON FABIAN"/>
    <n v="96"/>
    <n v="0"/>
    <n v="5222732"/>
  </r>
  <r>
    <s v="Franquicias Sell Out QUEST"/>
    <s v="FQ008 - Cucuta - CC Unicentro"/>
    <x v="9"/>
    <s v="octubre"/>
    <n v="3"/>
    <d v="2026-10-03T00:00:00"/>
    <n v="1091966973"/>
    <s v="PITA BLANCO ANGELLY NATALIA"/>
    <n v="92"/>
    <n v="0"/>
    <n v="5382530"/>
  </r>
  <r>
    <s v="Franquicias Sell Out QUEST"/>
    <s v="FQ008 - Cucuta - CC Unicentro"/>
    <x v="9"/>
    <s v="octubre"/>
    <n v="3"/>
    <d v="2026-10-03T00:00:00"/>
    <n v="1094051083"/>
    <s v="TRUJILLO SANCHEZ NICOLAS ANDRES"/>
    <n v="48"/>
    <n v="0"/>
    <n v="2577415"/>
  </r>
  <r>
    <s v="Franquicias Sell Out QUEST"/>
    <s v="FQ008 - Cucuta - CC Unicentro"/>
    <x v="9"/>
    <s v="octubre"/>
    <n v="3"/>
    <d v="2026-10-03T00:00:00"/>
    <n v="1192751831"/>
    <s v="SANCHEZ TRUJILLO ANDRES FELIPE"/>
    <n v="97"/>
    <n v="0"/>
    <n v="5702156"/>
  </r>
  <r>
    <s v="Franquicias Sell Out QUEST"/>
    <s v="FQ008 - Cucuta - CC Unicentro"/>
    <x v="9"/>
    <s v="octubre"/>
    <n v="4"/>
    <d v="2026-10-04T00:00:00"/>
    <m/>
    <m/>
    <n v="0"/>
    <n v="29211126"/>
    <n v="0"/>
  </r>
  <r>
    <s v="Franquicias Sell Out QUEST"/>
    <s v="FQ008 - Cucuta - CC Unicentro"/>
    <x v="9"/>
    <s v="octubre"/>
    <n v="4"/>
    <d v="2026-10-04T00:00:00"/>
    <n v="5401602"/>
    <s v="BLANCO CARDENAS YOHAN FERNANDO"/>
    <n v="70"/>
    <n v="0"/>
    <n v="3686137"/>
  </r>
  <r>
    <s v="Franquicias Sell Out QUEST"/>
    <s v="FQ008 - Cucuta - CC Unicentro"/>
    <x v="9"/>
    <s v="octubre"/>
    <n v="4"/>
    <d v="2026-10-04T00:00:00"/>
    <n v="1005030326"/>
    <s v="PIZA YURGENSEN  YEISON FABIAN"/>
    <n v="101"/>
    <n v="0"/>
    <n v="6146983"/>
  </r>
  <r>
    <s v="Franquicias Sell Out QUEST"/>
    <s v="FQ008 - Cucuta - CC Unicentro"/>
    <x v="9"/>
    <s v="octubre"/>
    <n v="4"/>
    <d v="2026-10-04T00:00:00"/>
    <n v="1091966973"/>
    <s v="PITA BLANCO ANGELLY NATALIA"/>
    <n v="112"/>
    <n v="0"/>
    <n v="6728495"/>
  </r>
  <r>
    <s v="Franquicias Sell Out QUEST"/>
    <s v="FQ008 - Cucuta - CC Unicentro"/>
    <x v="9"/>
    <s v="octubre"/>
    <n v="4"/>
    <d v="2026-10-04T00:00:00"/>
    <n v="1094051083"/>
    <s v="TRUJILLO SANCHEZ NICOLAS ANDRES"/>
    <n v="-1"/>
    <n v="0"/>
    <n v="-46177"/>
  </r>
  <r>
    <s v="Franquicias Sell Out QUEST"/>
    <s v="FQ008 - Cucuta - CC Unicentro"/>
    <x v="9"/>
    <s v="octubre"/>
    <n v="4"/>
    <d v="2026-10-04T00:00:00"/>
    <n v="1192751831"/>
    <s v="SANCHEZ TRUJILLO ANDRES FELIPE"/>
    <n v="154"/>
    <n v="0"/>
    <n v="8018710"/>
  </r>
  <r>
    <s v="Franquicias Sell Out QUEST"/>
    <s v="FQ008 - Cucuta - CC Unicentro"/>
    <x v="9"/>
    <s v="octubre"/>
    <n v="5"/>
    <d v="2026-10-05T00:00:00"/>
    <m/>
    <m/>
    <n v="0"/>
    <n v="16941758"/>
    <n v="0"/>
  </r>
  <r>
    <s v="Franquicias Sell Out QUEST"/>
    <s v="FQ008 - Cucuta - CC Unicentro"/>
    <x v="9"/>
    <s v="octubre"/>
    <n v="5"/>
    <d v="2026-10-05T00:00:00"/>
    <n v="5401602"/>
    <s v="BLANCO CARDENAS YOHAN FERNANDO"/>
    <n v="27"/>
    <n v="0"/>
    <n v="1259371"/>
  </r>
  <r>
    <s v="Franquicias Sell Out QUEST"/>
    <s v="FQ008 - Cucuta - CC Unicentro"/>
    <x v="9"/>
    <s v="octubre"/>
    <n v="5"/>
    <d v="2026-10-05T00:00:00"/>
    <n v="1005030326"/>
    <s v="PIZA YURGENSEN  YEISON FABIAN"/>
    <n v="34"/>
    <n v="0"/>
    <n v="2006978"/>
  </r>
  <r>
    <s v="Franquicias Sell Out QUEST"/>
    <s v="FQ008 - Cucuta - CC Unicentro"/>
    <x v="9"/>
    <s v="octubre"/>
    <n v="5"/>
    <d v="2026-10-05T00:00:00"/>
    <n v="1091966973"/>
    <s v="PITA BLANCO ANGELLY NATALIA"/>
    <n v="64"/>
    <n v="0"/>
    <n v="3415383"/>
  </r>
  <r>
    <s v="Franquicias Sell Out QUEST"/>
    <s v="FQ008 - Cucuta - CC Unicentro"/>
    <x v="9"/>
    <s v="octubre"/>
    <n v="5"/>
    <d v="2026-10-05T00:00:00"/>
    <n v="1192751831"/>
    <s v="SANCHEZ TRUJILLO ANDRES FELIPE"/>
    <n v="89"/>
    <n v="0"/>
    <n v="5345006"/>
  </r>
  <r>
    <s v="Franquicias Sell Out QUEST"/>
    <s v="FQ008 - Cucuta - CC Unicentro"/>
    <x v="9"/>
    <s v="octubre"/>
    <n v="6"/>
    <d v="2026-10-06T00:00:00"/>
    <m/>
    <m/>
    <n v="0"/>
    <n v="11339926"/>
    <n v="0"/>
  </r>
  <r>
    <s v="Franquicias Sell Out QUEST"/>
    <s v="FQ008 - Cucuta - CC Unicentro"/>
    <x v="9"/>
    <s v="octubre"/>
    <n v="6"/>
    <d v="2026-10-06T00:00:00"/>
    <n v="5401602"/>
    <s v="BLANCO CARDENAS YOHAN FERNANDO"/>
    <n v="97"/>
    <n v="0"/>
    <n v="3790045"/>
  </r>
  <r>
    <s v="Franquicias Sell Out QUEST"/>
    <s v="FQ008 - Cucuta - CC Unicentro"/>
    <x v="9"/>
    <s v="octubre"/>
    <n v="6"/>
    <d v="2026-10-06T00:00:00"/>
    <n v="1005030326"/>
    <s v="PIZA YURGENSEN  YEISON FABIAN"/>
    <n v="-2"/>
    <n v="0"/>
    <n v="-151177"/>
  </r>
  <r>
    <s v="Franquicias Sell Out QUEST"/>
    <s v="FQ008 - Cucuta - CC Unicentro"/>
    <x v="9"/>
    <s v="octubre"/>
    <n v="6"/>
    <d v="2026-10-06T00:00:00"/>
    <n v="1091966973"/>
    <s v="PITA BLANCO ANGELLY NATALIA"/>
    <n v="-1"/>
    <n v="0"/>
    <n v="-37773"/>
  </r>
  <r>
    <s v="Franquicias Sell Out QUEST"/>
    <s v="FQ008 - Cucuta - CC Unicentro"/>
    <x v="9"/>
    <s v="octubre"/>
    <n v="6"/>
    <d v="2026-10-06T00:00:00"/>
    <n v="1192751831"/>
    <s v="SANCHEZ TRUJILLO ANDRES FELIPE"/>
    <n v="98"/>
    <n v="0"/>
    <n v="5300513"/>
  </r>
  <r>
    <s v="Franquicias Sell Out QUEST"/>
    <s v="FQ008 - Cucuta - CC Unicentro"/>
    <x v="9"/>
    <s v="octubre"/>
    <n v="7"/>
    <d v="2026-10-07T00:00:00"/>
    <m/>
    <m/>
    <n v="0"/>
    <n v="3926299"/>
    <n v="0"/>
  </r>
  <r>
    <s v="Franquicias Sell Out QUEST"/>
    <s v="FQ008 - Cucuta - CC Unicentro"/>
    <x v="9"/>
    <s v="octubre"/>
    <n v="7"/>
    <d v="2026-10-07T00:00:00"/>
    <n v="5401602"/>
    <s v="BLANCO CARDENAS YOHAN FERNANDO"/>
    <n v="36"/>
    <n v="0"/>
    <n v="2097187"/>
  </r>
  <r>
    <s v="Franquicias Sell Out QUEST"/>
    <s v="FQ008 - Cucuta - CC Unicentro"/>
    <x v="9"/>
    <s v="octubre"/>
    <n v="7"/>
    <d v="2026-10-07T00:00:00"/>
    <n v="1005030326"/>
    <s v="PIZA YURGENSEN  YEISON FABIAN"/>
    <n v="30"/>
    <n v="0"/>
    <n v="1742437"/>
  </r>
  <r>
    <s v="Franquicias Sell Out QUEST"/>
    <s v="FQ008 - Cucuta - CC Unicentro"/>
    <x v="9"/>
    <s v="octubre"/>
    <n v="7"/>
    <d v="2026-10-07T00:00:00"/>
    <n v="1091966973"/>
    <s v="PITA BLANCO ANGELLY NATALIA"/>
    <n v="16"/>
    <n v="0"/>
    <n v="1049749"/>
  </r>
  <r>
    <s v="Franquicias Sell Out QUEST"/>
    <s v="FQ008 - Cucuta - CC Unicentro"/>
    <x v="9"/>
    <s v="octubre"/>
    <n v="7"/>
    <d v="2026-10-07T00:00:00"/>
    <n v="1192751831"/>
    <s v="SANCHEZ TRUJILLO ANDRES FELIPE"/>
    <n v="48"/>
    <n v="0"/>
    <n v="2731180"/>
  </r>
  <r>
    <s v="Franquicias Sell Out QUEST"/>
    <s v="FQ034 - Ocaña - Norte de Santander"/>
    <x v="9"/>
    <s v="septiembre"/>
    <n v="23"/>
    <d v="2026-09-23T00:00:00"/>
    <m/>
    <m/>
    <n v="0"/>
    <n v="9861341"/>
    <n v="0"/>
  </r>
  <r>
    <s v="Franquicias Sell Out QUEST"/>
    <s v="FQ034 - Ocaña - Norte de Santander"/>
    <x v="9"/>
    <s v="septiembre"/>
    <n v="23"/>
    <d v="2026-09-23T00:00:00"/>
    <n v="37331941"/>
    <s v="PAREDES PACHECO LUDI MILENA"/>
    <n v="121"/>
    <n v="0"/>
    <n v="6799590"/>
  </r>
  <r>
    <s v="Franquicias Sell Out QUEST"/>
    <s v="FQ034 - Ocaña - Norte de Santander"/>
    <x v="9"/>
    <s v="septiembre"/>
    <n v="23"/>
    <d v="2026-09-23T00:00:00"/>
    <n v="1007391643"/>
    <s v="GUERRERO AVENDAÑO LINA MARCELA"/>
    <n v="137"/>
    <n v="0"/>
    <n v="7758111"/>
  </r>
  <r>
    <s v="Franquicias Sell Out QUEST"/>
    <s v="FQ034 - Ocaña - Norte de Santander"/>
    <x v="9"/>
    <s v="septiembre"/>
    <n v="23"/>
    <d v="2026-09-23T00:00:00"/>
    <n v="1091658144"/>
    <s v="PACHECO LAGO PAOLA ALEXANDRA"/>
    <n v="179"/>
    <n v="0"/>
    <n v="9215181"/>
  </r>
  <r>
    <s v="Franquicias Sell Out QUEST"/>
    <s v="FQ034 - Ocaña - Norte de Santander"/>
    <x v="9"/>
    <s v="septiembre"/>
    <n v="23"/>
    <d v="2026-09-23T00:00:00"/>
    <n v="1091670348"/>
    <s v="SANCHEZ LAZARO KAREN LORENA"/>
    <n v="129"/>
    <n v="0"/>
    <n v="7051352"/>
  </r>
  <r>
    <s v="Franquicias Sell Out QUEST"/>
    <s v="FQ034 - Ocaña - Norte de Santander"/>
    <x v="9"/>
    <s v="septiembre"/>
    <n v="23"/>
    <d v="2026-09-23T00:00:00"/>
    <n v="1092733374"/>
    <s v="PÉREZ QUINTERO MELANY"/>
    <n v="75"/>
    <n v="0"/>
    <n v="4246855"/>
  </r>
  <r>
    <s v="Franquicias Sell Out QUEST"/>
    <s v="FQ034 - Ocaña - Norte de Santander"/>
    <x v="9"/>
    <s v="septiembre"/>
    <n v="24"/>
    <d v="2026-09-24T00:00:00"/>
    <m/>
    <m/>
    <n v="0"/>
    <n v="25503316"/>
    <n v="0"/>
  </r>
  <r>
    <s v="Franquicias Sell Out QUEST"/>
    <s v="FQ034 - Ocaña - Norte de Santander"/>
    <x v="9"/>
    <s v="septiembre"/>
    <n v="24"/>
    <d v="2026-09-24T00:00:00"/>
    <n v="37331941"/>
    <s v="PAREDES PACHECO LUDI MILENA"/>
    <n v="63"/>
    <n v="0"/>
    <n v="3228452"/>
  </r>
  <r>
    <s v="Franquicias Sell Out QUEST"/>
    <s v="FQ034 - Ocaña - Norte de Santander"/>
    <x v="9"/>
    <s v="septiembre"/>
    <n v="24"/>
    <d v="2026-09-24T00:00:00"/>
    <n v="1007391643"/>
    <s v="GUERRERO AVENDAÑO LINA MARCELA"/>
    <n v="66"/>
    <n v="0"/>
    <n v="3808155"/>
  </r>
  <r>
    <s v="Franquicias Sell Out QUEST"/>
    <s v="FQ034 - Ocaña - Norte de Santander"/>
    <x v="9"/>
    <s v="septiembre"/>
    <n v="24"/>
    <d v="2026-09-24T00:00:00"/>
    <n v="1091658144"/>
    <s v="PACHECO LAGO PAOLA ALEXANDRA"/>
    <n v="186"/>
    <n v="0"/>
    <n v="9637204"/>
  </r>
  <r>
    <s v="Franquicias Sell Out QUEST"/>
    <s v="FQ034 - Ocaña - Norte de Santander"/>
    <x v="9"/>
    <s v="septiembre"/>
    <n v="24"/>
    <d v="2026-09-24T00:00:00"/>
    <n v="1091670348"/>
    <s v="SANCHEZ LAZARO KAREN LORENA"/>
    <n v="104"/>
    <n v="0"/>
    <n v="6001899"/>
  </r>
  <r>
    <s v="Franquicias Sell Out QUEST"/>
    <s v="FQ034 - Ocaña - Norte de Santander"/>
    <x v="9"/>
    <s v="septiembre"/>
    <n v="24"/>
    <d v="2026-09-24T00:00:00"/>
    <n v="1092733374"/>
    <s v="PÉREZ QUINTERO MELANY"/>
    <n v="99"/>
    <n v="0"/>
    <n v="4934921"/>
  </r>
  <r>
    <s v="Franquicias Sell Out QUEST"/>
    <s v="FQ034 - Ocaña - Norte de Santander"/>
    <x v="9"/>
    <s v="septiembre"/>
    <n v="25"/>
    <d v="2026-09-25T00:00:00"/>
    <m/>
    <m/>
    <n v="0"/>
    <n v="27238931"/>
    <n v="0"/>
  </r>
  <r>
    <s v="Franquicias Sell Out QUEST"/>
    <s v="FQ034 - Ocaña - Norte de Santander"/>
    <x v="9"/>
    <s v="septiembre"/>
    <n v="25"/>
    <d v="2026-09-25T00:00:00"/>
    <n v="37331941"/>
    <s v="PAREDES PACHECO LUDI MILENA"/>
    <n v="152"/>
    <n v="0"/>
    <n v="8569250"/>
  </r>
  <r>
    <s v="Franquicias Sell Out QUEST"/>
    <s v="FQ034 - Ocaña - Norte de Santander"/>
    <x v="9"/>
    <s v="septiembre"/>
    <n v="25"/>
    <d v="2026-09-25T00:00:00"/>
    <n v="1007391643"/>
    <s v="GUERRERO AVENDAÑO LINA MARCELA"/>
    <n v="87"/>
    <n v="0"/>
    <n v="5578281"/>
  </r>
  <r>
    <s v="Franquicias Sell Out QUEST"/>
    <s v="FQ034 - Ocaña - Norte de Santander"/>
    <x v="9"/>
    <s v="septiembre"/>
    <n v="25"/>
    <d v="2026-09-25T00:00:00"/>
    <n v="1091658144"/>
    <s v="PACHECO LAGO PAOLA ALEXANDRA"/>
    <n v="144"/>
    <n v="0"/>
    <n v="7561186"/>
  </r>
  <r>
    <s v="Franquicias Sell Out QUEST"/>
    <s v="FQ034 - Ocaña - Norte de Santander"/>
    <x v="9"/>
    <s v="septiembre"/>
    <n v="25"/>
    <d v="2026-09-25T00:00:00"/>
    <n v="1091670348"/>
    <s v="SANCHEZ LAZARO KAREN LORENA"/>
    <n v="84"/>
    <n v="0"/>
    <n v="4834669"/>
  </r>
  <r>
    <s v="Franquicias Sell Out QUEST"/>
    <s v="FQ034 - Ocaña - Norte de Santander"/>
    <x v="9"/>
    <s v="septiembre"/>
    <n v="25"/>
    <d v="2026-09-25T00:00:00"/>
    <n v="1092733374"/>
    <s v="PÉREZ QUINTERO MELANY"/>
    <n v="106"/>
    <n v="0"/>
    <n v="6190930"/>
  </r>
  <r>
    <s v="Franquicias Sell Out QUEST"/>
    <s v="FQ034 - Ocaña - Norte de Santander"/>
    <x v="9"/>
    <s v="septiembre"/>
    <n v="25"/>
    <d v="2026-09-25T00:00:00"/>
    <s v="Generico"/>
    <s v="GENÉRICO"/>
    <n v="134"/>
    <n v="0"/>
    <n v="9586797"/>
  </r>
  <r>
    <s v="Franquicias Sell Out QUEST"/>
    <s v="FQ034 - Ocaña - Norte de Santander"/>
    <x v="9"/>
    <s v="septiembre"/>
    <n v="26"/>
    <d v="2026-09-26T00:00:00"/>
    <m/>
    <m/>
    <n v="0"/>
    <n v="34347609"/>
    <n v="0"/>
  </r>
  <r>
    <s v="Franquicias Sell Out QUEST"/>
    <s v="FQ034 - Ocaña - Norte de Santander"/>
    <x v="9"/>
    <s v="septiembre"/>
    <n v="26"/>
    <d v="2026-09-26T00:00:00"/>
    <n v="37331941"/>
    <s v="PAREDES PACHECO LUDI MILENA"/>
    <n v="171"/>
    <n v="0"/>
    <n v="9244881"/>
  </r>
  <r>
    <s v="Franquicias Sell Out QUEST"/>
    <s v="FQ034 - Ocaña - Norte de Santander"/>
    <x v="9"/>
    <s v="septiembre"/>
    <n v="26"/>
    <d v="2026-09-26T00:00:00"/>
    <n v="1007391643"/>
    <s v="GUERRERO AVENDAÑO LINA MARCELA"/>
    <n v="111"/>
    <n v="0"/>
    <n v="6035150"/>
  </r>
  <r>
    <s v="Franquicias Sell Out QUEST"/>
    <s v="FQ034 - Ocaña - Norte de Santander"/>
    <x v="9"/>
    <s v="septiembre"/>
    <n v="26"/>
    <d v="2026-09-26T00:00:00"/>
    <n v="1091658144"/>
    <s v="PACHECO LAGO PAOLA ALEXANDRA"/>
    <n v="183"/>
    <n v="0"/>
    <n v="10256778"/>
  </r>
  <r>
    <s v="Franquicias Sell Out QUEST"/>
    <s v="FQ034 - Ocaña - Norte de Santander"/>
    <x v="9"/>
    <s v="septiembre"/>
    <n v="26"/>
    <d v="2026-09-26T00:00:00"/>
    <n v="1091670348"/>
    <s v="SANCHEZ LAZARO KAREN LORENA"/>
    <n v="99"/>
    <n v="0"/>
    <n v="5327740"/>
  </r>
  <r>
    <s v="Franquicias Sell Out QUEST"/>
    <s v="FQ034 - Ocaña - Norte de Santander"/>
    <x v="9"/>
    <s v="septiembre"/>
    <n v="26"/>
    <d v="2026-09-26T00:00:00"/>
    <n v="1092733374"/>
    <s v="PÉREZ QUINTERO MELANY"/>
    <n v="100"/>
    <n v="0"/>
    <n v="5228958"/>
  </r>
  <r>
    <s v="Franquicias Sell Out QUEST"/>
    <s v="FQ034 - Ocaña - Norte de Santander"/>
    <x v="9"/>
    <s v="septiembre"/>
    <n v="27"/>
    <d v="2026-09-27T00:00:00"/>
    <m/>
    <m/>
    <n v="0"/>
    <n v="18135210"/>
    <n v="0"/>
  </r>
  <r>
    <s v="Franquicias Sell Out QUEST"/>
    <s v="FQ034 - Ocaña - Norte de Santander"/>
    <x v="9"/>
    <s v="septiembre"/>
    <n v="27"/>
    <d v="2026-09-27T00:00:00"/>
    <n v="37331941"/>
    <s v="PAREDES PACHECO LUDI MILENA"/>
    <n v="67"/>
    <n v="0"/>
    <n v="3471893"/>
  </r>
  <r>
    <s v="Franquicias Sell Out QUEST"/>
    <s v="FQ034 - Ocaña - Norte de Santander"/>
    <x v="9"/>
    <s v="septiembre"/>
    <n v="27"/>
    <d v="2026-09-27T00:00:00"/>
    <n v="1007391643"/>
    <s v="GUERRERO AVENDAÑO LINA MARCELA"/>
    <n v="57"/>
    <n v="0"/>
    <n v="3039331"/>
  </r>
  <r>
    <s v="Franquicias Sell Out QUEST"/>
    <s v="FQ034 - Ocaña - Norte de Santander"/>
    <x v="9"/>
    <s v="septiembre"/>
    <n v="27"/>
    <d v="2026-09-27T00:00:00"/>
    <n v="1091658144"/>
    <s v="PACHECO LAGO PAOLA ALEXANDRA"/>
    <n v="112"/>
    <n v="0"/>
    <n v="5881727"/>
  </r>
  <r>
    <s v="Franquicias Sell Out QUEST"/>
    <s v="FQ034 - Ocaña - Norte de Santander"/>
    <x v="9"/>
    <s v="septiembre"/>
    <n v="27"/>
    <d v="2026-09-27T00:00:00"/>
    <n v="1091670348"/>
    <s v="SANCHEZ LAZARO KAREN LORENA"/>
    <n v="80"/>
    <n v="0"/>
    <n v="4355926"/>
  </r>
  <r>
    <s v="Franquicias Sell Out QUEST"/>
    <s v="FQ034 - Ocaña - Norte de Santander"/>
    <x v="9"/>
    <s v="septiembre"/>
    <n v="27"/>
    <d v="2026-09-27T00:00:00"/>
    <n v="1092733374"/>
    <s v="PÉREZ QUINTERO MELANY"/>
    <n v="44"/>
    <n v="0"/>
    <n v="2304876"/>
  </r>
  <r>
    <s v="Franquicias Sell Out QUEST"/>
    <s v="FQ034 - Ocaña - Norte de Santander"/>
    <x v="9"/>
    <s v="septiembre"/>
    <n v="28"/>
    <d v="2026-09-28T00:00:00"/>
    <m/>
    <m/>
    <n v="0"/>
    <n v="14868896"/>
    <n v="0"/>
  </r>
  <r>
    <s v="Franquicias Sell Out QUEST"/>
    <s v="FQ034 - Ocaña - Norte de Santander"/>
    <x v="9"/>
    <s v="septiembre"/>
    <n v="28"/>
    <d v="2026-09-28T00:00:00"/>
    <n v="37331941"/>
    <s v="PAREDES PACHECO LUDI MILENA"/>
    <n v="79"/>
    <n v="0"/>
    <n v="4252653"/>
  </r>
  <r>
    <s v="Franquicias Sell Out QUEST"/>
    <s v="FQ034 - Ocaña - Norte de Santander"/>
    <x v="9"/>
    <s v="septiembre"/>
    <n v="28"/>
    <d v="2026-09-28T00:00:00"/>
    <n v="1007391643"/>
    <s v="GUERRERO AVENDAÑO LINA MARCELA"/>
    <n v="92"/>
    <n v="0"/>
    <n v="3873024"/>
  </r>
  <r>
    <s v="Franquicias Sell Out QUEST"/>
    <s v="FQ034 - Ocaña - Norte de Santander"/>
    <x v="9"/>
    <s v="septiembre"/>
    <n v="28"/>
    <d v="2026-09-28T00:00:00"/>
    <n v="1091658144"/>
    <s v="PACHECO LAGO PAOLA ALEXANDRA"/>
    <n v="94"/>
    <n v="0"/>
    <n v="4694877"/>
  </r>
  <r>
    <s v="Franquicias Sell Out QUEST"/>
    <s v="FQ034 - Ocaña - Norte de Santander"/>
    <x v="9"/>
    <s v="septiembre"/>
    <n v="28"/>
    <d v="2026-09-28T00:00:00"/>
    <n v="1091670348"/>
    <s v="SANCHEZ LAZARO KAREN LORENA"/>
    <n v="87"/>
    <n v="0"/>
    <n v="4518658"/>
  </r>
  <r>
    <s v="Franquicias Sell Out QUEST"/>
    <s v="FQ034 - Ocaña - Norte de Santander"/>
    <x v="9"/>
    <s v="septiembre"/>
    <n v="28"/>
    <d v="2026-09-28T00:00:00"/>
    <n v="1092733374"/>
    <s v="PÉREZ QUINTERO MELANY"/>
    <n v="113"/>
    <n v="0"/>
    <n v="6063830"/>
  </r>
  <r>
    <s v="Franquicias Sell Out QUEST"/>
    <s v="FQ034 - Ocaña - Norte de Santander"/>
    <x v="9"/>
    <s v="septiembre"/>
    <n v="29"/>
    <d v="2026-09-29T00:00:00"/>
    <m/>
    <m/>
    <n v="0"/>
    <n v="16529820"/>
    <n v="0"/>
  </r>
  <r>
    <s v="Franquicias Sell Out QUEST"/>
    <s v="FQ034 - Ocaña - Norte de Santander"/>
    <x v="9"/>
    <s v="septiembre"/>
    <n v="29"/>
    <d v="2026-09-29T00:00:00"/>
    <n v="37331941"/>
    <s v="PAREDES PACHECO LUDI MILENA"/>
    <n v="115"/>
    <n v="0"/>
    <n v="6307610"/>
  </r>
  <r>
    <s v="Franquicias Sell Out QUEST"/>
    <s v="FQ034 - Ocaña - Norte de Santander"/>
    <x v="9"/>
    <s v="septiembre"/>
    <n v="29"/>
    <d v="2026-09-29T00:00:00"/>
    <n v="1007391643"/>
    <s v="GUERRERO AVENDAÑO LINA MARCELA"/>
    <n v="109"/>
    <n v="0"/>
    <n v="5225424"/>
  </r>
  <r>
    <s v="Franquicias Sell Out QUEST"/>
    <s v="FQ034 - Ocaña - Norte de Santander"/>
    <x v="9"/>
    <s v="septiembre"/>
    <n v="29"/>
    <d v="2026-09-29T00:00:00"/>
    <n v="1091658144"/>
    <s v="PACHECO LAGO PAOLA ALEXANDRA"/>
    <n v="53"/>
    <n v="0"/>
    <n v="3056348"/>
  </r>
  <r>
    <s v="Franquicias Sell Out QUEST"/>
    <s v="FQ034 - Ocaña - Norte de Santander"/>
    <x v="9"/>
    <s v="septiembre"/>
    <n v="29"/>
    <d v="2026-09-29T00:00:00"/>
    <n v="1091670348"/>
    <s v="SANCHEZ LAZARO KAREN LORENA"/>
    <n v="84"/>
    <n v="0"/>
    <n v="4417986"/>
  </r>
  <r>
    <s v="Franquicias Sell Out QUEST"/>
    <s v="FQ034 - Ocaña - Norte de Santander"/>
    <x v="9"/>
    <s v="septiembre"/>
    <n v="29"/>
    <d v="2026-09-29T00:00:00"/>
    <n v="1092733374"/>
    <s v="PÉREZ QUINTERO MELANY"/>
    <n v="95"/>
    <n v="0"/>
    <n v="4604037"/>
  </r>
  <r>
    <s v="Franquicias Sell Out QUEST"/>
    <s v="FQ034 - Ocaña - Norte de Santander"/>
    <x v="9"/>
    <s v="septiembre"/>
    <n v="30"/>
    <d v="2026-09-30T00:00:00"/>
    <m/>
    <m/>
    <n v="0"/>
    <n v="17505604"/>
    <n v="0"/>
  </r>
  <r>
    <s v="Franquicias Sell Out QUEST"/>
    <s v="FQ034 - Ocaña - Norte de Santander"/>
    <x v="9"/>
    <s v="septiembre"/>
    <n v="30"/>
    <d v="2026-09-30T00:00:00"/>
    <n v="37331941"/>
    <s v="PAREDES PACHECO LUDI MILENA"/>
    <n v="93"/>
    <n v="0"/>
    <n v="5264245"/>
  </r>
  <r>
    <s v="Franquicias Sell Out QUEST"/>
    <s v="FQ034 - Ocaña - Norte de Santander"/>
    <x v="9"/>
    <s v="septiembre"/>
    <n v="30"/>
    <d v="2026-09-30T00:00:00"/>
    <n v="1007391643"/>
    <s v="GUERRERO AVENDAÑO LINA MARCELA"/>
    <n v="71"/>
    <n v="0"/>
    <n v="3819751"/>
  </r>
  <r>
    <s v="Franquicias Sell Out QUEST"/>
    <s v="FQ034 - Ocaña - Norte de Santander"/>
    <x v="9"/>
    <s v="septiembre"/>
    <n v="30"/>
    <d v="2026-09-30T00:00:00"/>
    <n v="1091658144"/>
    <s v="PACHECO LAGO PAOLA ALEXANDRA"/>
    <n v="115"/>
    <n v="0"/>
    <n v="5737691"/>
  </r>
  <r>
    <s v="Franquicias Sell Out QUEST"/>
    <s v="FQ034 - Ocaña - Norte de Santander"/>
    <x v="9"/>
    <s v="septiembre"/>
    <n v="30"/>
    <d v="2026-09-30T00:00:00"/>
    <n v="1091670348"/>
    <s v="SANCHEZ LAZARO KAREN LORENA"/>
    <n v="46"/>
    <n v="0"/>
    <n v="2243574"/>
  </r>
  <r>
    <s v="Franquicias Sell Out QUEST"/>
    <s v="FQ034 - Ocaña - Norte de Santander"/>
    <x v="9"/>
    <s v="septiembre"/>
    <n v="30"/>
    <d v="2026-09-30T00:00:00"/>
    <n v="1092733374"/>
    <s v="PÉREZ QUINTERO MELANY"/>
    <n v="98"/>
    <n v="0"/>
    <n v="5192985"/>
  </r>
  <r>
    <s v="Franquicias Sell Out QUEST"/>
    <s v="FQ034 - Ocaña - Norte de Santander"/>
    <x v="9"/>
    <s v="octubre"/>
    <n v="1"/>
    <d v="2026-10-01T00:00:00"/>
    <m/>
    <m/>
    <n v="0"/>
    <n v="33441198"/>
    <n v="0"/>
  </r>
  <r>
    <s v="Franquicias Sell Out QUEST"/>
    <s v="FQ034 - Ocaña - Norte de Santander"/>
    <x v="9"/>
    <s v="octubre"/>
    <n v="1"/>
    <d v="2026-10-01T00:00:00"/>
    <n v="37331941"/>
    <s v="PAREDES PACHECO LUDI MILENA"/>
    <n v="51"/>
    <n v="0"/>
    <n v="2753952"/>
  </r>
  <r>
    <s v="Franquicias Sell Out QUEST"/>
    <s v="FQ034 - Ocaña - Norte de Santander"/>
    <x v="9"/>
    <s v="octubre"/>
    <n v="1"/>
    <d v="2026-10-01T00:00:00"/>
    <n v="1007391643"/>
    <s v="GUERRERO AVENDAÑO LINA MARCELA"/>
    <n v="95"/>
    <n v="0"/>
    <n v="4759917"/>
  </r>
  <r>
    <s v="Franquicias Sell Out QUEST"/>
    <s v="FQ034 - Ocaña - Norte de Santander"/>
    <x v="9"/>
    <s v="octubre"/>
    <n v="1"/>
    <d v="2026-10-01T00:00:00"/>
    <n v="1091658144"/>
    <s v="PACHECO LAGO PAOLA ALEXANDRA"/>
    <n v="64"/>
    <n v="0"/>
    <n v="3106096"/>
  </r>
  <r>
    <s v="Franquicias Sell Out QUEST"/>
    <s v="FQ034 - Ocaña - Norte de Santander"/>
    <x v="9"/>
    <s v="octubre"/>
    <n v="1"/>
    <d v="2026-10-01T00:00:00"/>
    <n v="1091670348"/>
    <s v="SANCHEZ LAZARO KAREN LORENA"/>
    <n v="26"/>
    <n v="0"/>
    <n v="1406136"/>
  </r>
  <r>
    <s v="Franquicias Sell Out QUEST"/>
    <s v="FQ034 - Ocaña - Norte de Santander"/>
    <x v="9"/>
    <s v="octubre"/>
    <n v="1"/>
    <d v="2026-10-01T00:00:00"/>
    <n v="1092733374"/>
    <s v="PÉREZ QUINTERO MELANY"/>
    <n v="70"/>
    <n v="0"/>
    <n v="3111639"/>
  </r>
  <r>
    <s v="Franquicias Sell Out QUEST"/>
    <s v="FQ034 - Ocaña - Norte de Santander"/>
    <x v="9"/>
    <s v="octubre"/>
    <n v="2"/>
    <d v="2026-10-02T00:00:00"/>
    <m/>
    <m/>
    <n v="0"/>
    <n v="20406474"/>
    <n v="0"/>
  </r>
  <r>
    <s v="Franquicias Sell Out QUEST"/>
    <s v="FQ034 - Ocaña - Norte de Santander"/>
    <x v="9"/>
    <s v="octubre"/>
    <n v="2"/>
    <d v="2026-10-02T00:00:00"/>
    <n v="37331941"/>
    <s v="PAREDES PACHECO LUDI MILENA"/>
    <n v="95"/>
    <n v="0"/>
    <n v="4707567"/>
  </r>
  <r>
    <s v="Franquicias Sell Out QUEST"/>
    <s v="FQ034 - Ocaña - Norte de Santander"/>
    <x v="9"/>
    <s v="octubre"/>
    <n v="2"/>
    <d v="2026-10-02T00:00:00"/>
    <n v="1007391643"/>
    <s v="GUERRERO AVENDAÑO LINA MARCELA"/>
    <n v="91"/>
    <n v="0"/>
    <n v="4195085"/>
  </r>
  <r>
    <s v="Franquicias Sell Out QUEST"/>
    <s v="FQ034 - Ocaña - Norte de Santander"/>
    <x v="9"/>
    <s v="octubre"/>
    <n v="2"/>
    <d v="2026-10-02T00:00:00"/>
    <n v="1091658144"/>
    <s v="PACHECO LAGO PAOLA ALEXANDRA"/>
    <n v="119"/>
    <n v="0"/>
    <n v="5414167"/>
  </r>
  <r>
    <s v="Franquicias Sell Out QUEST"/>
    <s v="FQ034 - Ocaña - Norte de Santander"/>
    <x v="9"/>
    <s v="octubre"/>
    <n v="2"/>
    <d v="2026-10-02T00:00:00"/>
    <n v="1091670348"/>
    <s v="SANCHEZ LAZARO KAREN LORENA"/>
    <n v="63"/>
    <n v="0"/>
    <n v="3701008"/>
  </r>
  <r>
    <s v="Franquicias Sell Out QUEST"/>
    <s v="FQ034 - Ocaña - Norte de Santander"/>
    <x v="9"/>
    <s v="octubre"/>
    <n v="2"/>
    <d v="2026-10-02T00:00:00"/>
    <n v="1092733374"/>
    <s v="PÉREZ QUINTERO MELANY"/>
    <n v="70"/>
    <n v="0"/>
    <n v="3227569"/>
  </r>
  <r>
    <s v="Franquicias Sell Out QUEST"/>
    <s v="FQ034 - Ocaña - Norte de Santander"/>
    <x v="9"/>
    <s v="octubre"/>
    <n v="3"/>
    <d v="2026-10-03T00:00:00"/>
    <m/>
    <m/>
    <n v="0"/>
    <n v="32184693"/>
    <n v="0"/>
  </r>
  <r>
    <s v="Franquicias Sell Out QUEST"/>
    <s v="FQ034 - Ocaña - Norte de Santander"/>
    <x v="9"/>
    <s v="octubre"/>
    <n v="3"/>
    <d v="2026-10-03T00:00:00"/>
    <n v="37331941"/>
    <s v="PAREDES PACHECO LUDI MILENA"/>
    <n v="166"/>
    <n v="0"/>
    <n v="9316668"/>
  </r>
  <r>
    <s v="Franquicias Sell Out QUEST"/>
    <s v="FQ034 - Ocaña - Norte de Santander"/>
    <x v="9"/>
    <s v="octubre"/>
    <n v="3"/>
    <d v="2026-10-03T00:00:00"/>
    <n v="1007391643"/>
    <s v="GUERRERO AVENDAÑO LINA MARCELA"/>
    <n v="127"/>
    <n v="0"/>
    <n v="5909063"/>
  </r>
  <r>
    <s v="Franquicias Sell Out QUEST"/>
    <s v="FQ034 - Ocaña - Norte de Santander"/>
    <x v="9"/>
    <s v="octubre"/>
    <n v="3"/>
    <d v="2026-10-03T00:00:00"/>
    <n v="1091658144"/>
    <s v="PACHECO LAGO PAOLA ALEXANDRA"/>
    <n v="125"/>
    <n v="0"/>
    <n v="6135036"/>
  </r>
  <r>
    <s v="Franquicias Sell Out QUEST"/>
    <s v="FQ034 - Ocaña - Norte de Santander"/>
    <x v="9"/>
    <s v="octubre"/>
    <n v="3"/>
    <d v="2026-10-03T00:00:00"/>
    <n v="1091670348"/>
    <s v="SANCHEZ LAZARO KAREN LORENA"/>
    <n v="118"/>
    <n v="0"/>
    <n v="5500769"/>
  </r>
  <r>
    <s v="Franquicias Sell Out QUEST"/>
    <s v="FQ034 - Ocaña - Norte de Santander"/>
    <x v="9"/>
    <s v="octubre"/>
    <n v="3"/>
    <d v="2026-10-03T00:00:00"/>
    <n v="1092733374"/>
    <s v="PÉREZ QUINTERO MELANY"/>
    <n v="123"/>
    <n v="0"/>
    <n v="5527477"/>
  </r>
  <r>
    <s v="Franquicias Sell Out QUEST"/>
    <s v="FQ034 - Ocaña - Norte de Santander"/>
    <x v="9"/>
    <s v="octubre"/>
    <n v="4"/>
    <d v="2026-10-04T00:00:00"/>
    <m/>
    <m/>
    <n v="0"/>
    <n v="12582987"/>
    <n v="0"/>
  </r>
  <r>
    <s v="Franquicias Sell Out QUEST"/>
    <s v="FQ034 - Ocaña - Norte de Santander"/>
    <x v="9"/>
    <s v="octubre"/>
    <n v="4"/>
    <d v="2026-10-04T00:00:00"/>
    <n v="37331941"/>
    <s v="PAREDES PACHECO LUDI MILENA"/>
    <n v="60"/>
    <n v="0"/>
    <n v="3320716"/>
  </r>
  <r>
    <s v="Franquicias Sell Out QUEST"/>
    <s v="FQ034 - Ocaña - Norte de Santander"/>
    <x v="9"/>
    <s v="octubre"/>
    <n v="4"/>
    <d v="2026-10-04T00:00:00"/>
    <n v="1007391643"/>
    <s v="GUERRERO AVENDAÑO LINA MARCELA"/>
    <n v="55"/>
    <n v="0"/>
    <n v="2757775"/>
  </r>
  <r>
    <s v="Franquicias Sell Out QUEST"/>
    <s v="FQ034 - Ocaña - Norte de Santander"/>
    <x v="9"/>
    <s v="octubre"/>
    <n v="4"/>
    <d v="2026-10-04T00:00:00"/>
    <n v="1091658144"/>
    <s v="PACHECO LAGO PAOLA ALEXANDRA"/>
    <n v="37"/>
    <n v="0"/>
    <n v="2179081"/>
  </r>
  <r>
    <s v="Franquicias Sell Out QUEST"/>
    <s v="FQ034 - Ocaña - Norte de Santander"/>
    <x v="9"/>
    <s v="octubre"/>
    <n v="4"/>
    <d v="2026-10-04T00:00:00"/>
    <n v="1091670348"/>
    <s v="SANCHEZ LAZARO KAREN LORENA"/>
    <n v="72"/>
    <n v="0"/>
    <n v="4051263"/>
  </r>
  <r>
    <s v="Franquicias Sell Out QUEST"/>
    <s v="FQ034 - Ocaña - Norte de Santander"/>
    <x v="9"/>
    <s v="octubre"/>
    <n v="4"/>
    <d v="2026-10-04T00:00:00"/>
    <n v="1092733374"/>
    <s v="PÉREZ QUINTERO MELANY"/>
    <n v="46"/>
    <n v="0"/>
    <n v="2724708"/>
  </r>
  <r>
    <s v="Franquicias Sell Out QUEST"/>
    <s v="FQ034 - Ocaña - Norte de Santander"/>
    <x v="9"/>
    <s v="octubre"/>
    <n v="5"/>
    <d v="2026-10-05T00:00:00"/>
    <m/>
    <m/>
    <n v="0"/>
    <n v="22261461"/>
    <n v="0"/>
  </r>
  <r>
    <s v="Franquicias Sell Out QUEST"/>
    <s v="FQ034 - Ocaña - Norte de Santander"/>
    <x v="9"/>
    <s v="octubre"/>
    <n v="5"/>
    <d v="2026-10-05T00:00:00"/>
    <n v="37331941"/>
    <s v="PAREDES PACHECO LUDI MILENA"/>
    <n v="86"/>
    <n v="0"/>
    <n v="5357355"/>
  </r>
  <r>
    <s v="Franquicias Sell Out QUEST"/>
    <s v="FQ034 - Ocaña - Norte de Santander"/>
    <x v="9"/>
    <s v="octubre"/>
    <n v="5"/>
    <d v="2026-10-05T00:00:00"/>
    <n v="1007391643"/>
    <s v="GUERRERO AVENDAÑO LINA MARCELA"/>
    <n v="54"/>
    <n v="0"/>
    <n v="3194919"/>
  </r>
  <r>
    <s v="Franquicias Sell Out QUEST"/>
    <s v="FQ034 - Ocaña - Norte de Santander"/>
    <x v="9"/>
    <s v="octubre"/>
    <n v="5"/>
    <d v="2026-10-05T00:00:00"/>
    <n v="1091658144"/>
    <s v="PACHECO LAGO PAOLA ALEXANDRA"/>
    <n v="33"/>
    <n v="0"/>
    <n v="1796631"/>
  </r>
  <r>
    <s v="Franquicias Sell Out QUEST"/>
    <s v="FQ034 - Ocaña - Norte de Santander"/>
    <x v="9"/>
    <s v="octubre"/>
    <n v="5"/>
    <d v="2026-10-05T00:00:00"/>
    <n v="1091670348"/>
    <s v="SANCHEZ LAZARO KAREN LORENA"/>
    <n v="57"/>
    <n v="0"/>
    <n v="2981967"/>
  </r>
  <r>
    <s v="Franquicias Sell Out QUEST"/>
    <s v="FQ034 - Ocaña - Norte de Santander"/>
    <x v="9"/>
    <s v="octubre"/>
    <n v="5"/>
    <d v="2026-10-05T00:00:00"/>
    <n v="1092733374"/>
    <s v="PÉREZ QUINTERO MELANY"/>
    <n v="71"/>
    <n v="0"/>
    <n v="4306000"/>
  </r>
  <r>
    <s v="Franquicias Sell Out QUEST"/>
    <s v="FQ034 - Ocaña - Norte de Santander"/>
    <x v="9"/>
    <s v="octubre"/>
    <n v="6"/>
    <d v="2026-10-06T00:00:00"/>
    <m/>
    <m/>
    <n v="0"/>
    <n v="13318952"/>
    <n v="0"/>
  </r>
  <r>
    <s v="Franquicias Sell Out QUEST"/>
    <s v="FQ034 - Ocaña - Norte de Santander"/>
    <x v="9"/>
    <s v="octubre"/>
    <n v="6"/>
    <d v="2026-10-06T00:00:00"/>
    <n v="37331941"/>
    <s v="PAREDES PACHECO LUDI MILENA"/>
    <n v="35"/>
    <n v="0"/>
    <n v="2124162"/>
  </r>
  <r>
    <s v="Franquicias Sell Out QUEST"/>
    <s v="FQ034 - Ocaña - Norte de Santander"/>
    <x v="9"/>
    <s v="octubre"/>
    <n v="6"/>
    <d v="2026-10-06T00:00:00"/>
    <n v="1007391643"/>
    <s v="GUERRERO AVENDAÑO LINA MARCELA"/>
    <n v="4"/>
    <n v="0"/>
    <n v="96472"/>
  </r>
  <r>
    <s v="Franquicias Sell Out QUEST"/>
    <s v="FQ034 - Ocaña - Norte de Santander"/>
    <x v="9"/>
    <s v="octubre"/>
    <n v="6"/>
    <d v="2026-10-06T00:00:00"/>
    <n v="1091658144"/>
    <s v="PACHECO LAGO PAOLA ALEXANDRA"/>
    <n v="54"/>
    <n v="0"/>
    <n v="2990925"/>
  </r>
  <r>
    <s v="Franquicias Sell Out QUEST"/>
    <s v="FQ034 - Ocaña - Norte de Santander"/>
    <x v="9"/>
    <s v="octubre"/>
    <n v="6"/>
    <d v="2026-10-06T00:00:00"/>
    <n v="1091670348"/>
    <s v="SANCHEZ LAZARO KAREN LORENA"/>
    <n v="0"/>
    <n v="0"/>
    <n v="25210"/>
  </r>
  <r>
    <s v="Franquicias Sell Out QUEST"/>
    <s v="FQ034 - Ocaña - Norte de Santander"/>
    <x v="9"/>
    <s v="octubre"/>
    <n v="6"/>
    <d v="2026-10-06T00:00:00"/>
    <n v="1092733374"/>
    <s v="PÉREZ QUINTERO MELANY"/>
    <n v="53"/>
    <n v="0"/>
    <n v="3287523"/>
  </r>
  <r>
    <s v="Franquicias Sell Out QUEST"/>
    <s v="FQ034 - Ocaña - Norte de Santander"/>
    <x v="9"/>
    <s v="octubre"/>
    <n v="7"/>
    <d v="2026-10-07T00:00:00"/>
    <m/>
    <m/>
    <n v="0"/>
    <n v="8016773"/>
    <n v="0"/>
  </r>
  <r>
    <s v="Franquicias Sell Out QUEST"/>
    <s v="FQ034 - Ocaña - Norte de Santander"/>
    <x v="9"/>
    <s v="octubre"/>
    <n v="7"/>
    <d v="2026-10-07T00:00:00"/>
    <n v="37331941"/>
    <s v="PAREDES PACHECO LUDI MILENA"/>
    <n v="82"/>
    <n v="0"/>
    <n v="4567484"/>
  </r>
  <r>
    <s v="Franquicias Sell Out QUEST"/>
    <s v="FQ034 - Ocaña - Norte de Santander"/>
    <x v="9"/>
    <s v="octubre"/>
    <n v="7"/>
    <d v="2026-10-07T00:00:00"/>
    <n v="1007391643"/>
    <s v="GUERRERO AVENDAÑO LINA MARCELA"/>
    <n v="3"/>
    <n v="0"/>
    <n v="127984"/>
  </r>
  <r>
    <s v="Franquicias Sell Out QUEST"/>
    <s v="FQ034 - Ocaña - Norte de Santander"/>
    <x v="9"/>
    <s v="octubre"/>
    <n v="7"/>
    <d v="2026-10-07T00:00:00"/>
    <n v="1091658144"/>
    <s v="PACHECO LAGO PAOLA ALEXANDRA"/>
    <n v="138"/>
    <n v="0"/>
    <n v="6493915"/>
  </r>
  <r>
    <s v="Franquicias Sell Out QUEST"/>
    <s v="FQ034 - Ocaña - Norte de Santander"/>
    <x v="9"/>
    <s v="octubre"/>
    <n v="7"/>
    <d v="2026-10-07T00:00:00"/>
    <n v="1091670348"/>
    <s v="SANCHEZ LAZARO KAREN LORENA"/>
    <n v="18"/>
    <n v="0"/>
    <n v="961430"/>
  </r>
  <r>
    <s v="Franquicias Sell Out QUEST"/>
    <s v="FQ034 - Ocaña - Norte de Santander"/>
    <x v="9"/>
    <s v="octubre"/>
    <n v="7"/>
    <d v="2026-10-07T00:00:00"/>
    <n v="1092733374"/>
    <s v="PÉREZ QUINTERO MELANY"/>
    <n v="2"/>
    <n v="0"/>
    <n v="125967"/>
  </r>
  <r>
    <s v="Franquicias Sell Out QUEST"/>
    <s v="FQ041- Aguachica - Cesar"/>
    <x v="9"/>
    <s v="septiembre"/>
    <n v="23"/>
    <d v="2026-09-23T00:00:00"/>
    <m/>
    <m/>
    <n v="0"/>
    <n v="7709638"/>
    <n v="0"/>
  </r>
  <r>
    <s v="Franquicias Sell Out QUEST"/>
    <s v="FQ041- Aguachica - Cesar"/>
    <x v="9"/>
    <s v="septiembre"/>
    <n v="23"/>
    <d v="2026-09-23T00:00:00"/>
    <n v="91492611"/>
    <s v="MENA ALVAREZ SAMUEL DAVID"/>
    <n v="186"/>
    <n v="0"/>
    <n v="9803251"/>
  </r>
  <r>
    <s v="Franquicias Sell Out QUEST"/>
    <s v="FQ041- Aguachica - Cesar"/>
    <x v="9"/>
    <s v="septiembre"/>
    <n v="23"/>
    <d v="2026-09-23T00:00:00"/>
    <n v="1005029713"/>
    <s v="GALLARDO MANZANO  KAREN DAYANA"/>
    <n v="229"/>
    <n v="0"/>
    <n v="12017702"/>
  </r>
  <r>
    <s v="Franquicias Sell Out QUEST"/>
    <s v="FQ041- Aguachica - Cesar"/>
    <x v="9"/>
    <s v="septiembre"/>
    <n v="24"/>
    <d v="2026-09-24T00:00:00"/>
    <m/>
    <m/>
    <n v="0"/>
    <n v="19938602"/>
    <n v="0"/>
  </r>
  <r>
    <s v="Franquicias Sell Out QUEST"/>
    <s v="FQ041- Aguachica - Cesar"/>
    <x v="9"/>
    <s v="septiembre"/>
    <n v="24"/>
    <d v="2026-09-24T00:00:00"/>
    <n v="91492611"/>
    <s v="MENA ALVAREZ SAMUEL DAVID"/>
    <n v="189"/>
    <n v="0"/>
    <n v="9349171"/>
  </r>
  <r>
    <s v="Franquicias Sell Out QUEST"/>
    <s v="FQ041- Aguachica - Cesar"/>
    <x v="9"/>
    <s v="septiembre"/>
    <n v="24"/>
    <d v="2026-09-24T00:00:00"/>
    <n v="1005029713"/>
    <s v="GALLARDO MANZANO  KAREN DAYANA"/>
    <n v="201"/>
    <n v="0"/>
    <n v="11184800"/>
  </r>
  <r>
    <s v="Franquicias Sell Out QUEST"/>
    <s v="FQ041- Aguachica - Cesar"/>
    <x v="9"/>
    <s v="septiembre"/>
    <n v="25"/>
    <d v="2026-09-25T00:00:00"/>
    <m/>
    <m/>
    <n v="0"/>
    <n v="21295517"/>
    <n v="0"/>
  </r>
  <r>
    <s v="Franquicias Sell Out QUEST"/>
    <s v="FQ041- Aguachica - Cesar"/>
    <x v="9"/>
    <s v="septiembre"/>
    <n v="25"/>
    <d v="2026-09-25T00:00:00"/>
    <n v="91492611"/>
    <s v="MENA ALVAREZ SAMUEL DAVID"/>
    <n v="185"/>
    <n v="0"/>
    <n v="10067696"/>
  </r>
  <r>
    <s v="Franquicias Sell Out QUEST"/>
    <s v="FQ041- Aguachica - Cesar"/>
    <x v="9"/>
    <s v="septiembre"/>
    <n v="25"/>
    <d v="2026-09-25T00:00:00"/>
    <n v="1005029713"/>
    <s v="GALLARDO MANZANO  KAREN DAYANA"/>
    <n v="148"/>
    <n v="0"/>
    <n v="7546314"/>
  </r>
  <r>
    <s v="Franquicias Sell Out QUEST"/>
    <s v="FQ041- Aguachica - Cesar"/>
    <x v="9"/>
    <s v="septiembre"/>
    <n v="26"/>
    <d v="2026-09-26T00:00:00"/>
    <m/>
    <m/>
    <n v="0"/>
    <n v="26853107"/>
    <n v="0"/>
  </r>
  <r>
    <s v="Franquicias Sell Out QUEST"/>
    <s v="FQ041- Aguachica - Cesar"/>
    <x v="9"/>
    <s v="septiembre"/>
    <n v="26"/>
    <d v="2026-09-26T00:00:00"/>
    <n v="91492611"/>
    <s v="MENA ALVAREZ SAMUEL DAVID"/>
    <n v="263"/>
    <n v="0"/>
    <n v="13820899"/>
  </r>
  <r>
    <s v="Franquicias Sell Out QUEST"/>
    <s v="FQ041- Aguachica - Cesar"/>
    <x v="9"/>
    <s v="septiembre"/>
    <n v="26"/>
    <d v="2026-09-26T00:00:00"/>
    <n v="1005029713"/>
    <s v="GALLARDO MANZANO  KAREN DAYANA"/>
    <n v="244"/>
    <n v="0"/>
    <n v="12445648"/>
  </r>
  <r>
    <s v="Franquicias Sell Out QUEST"/>
    <s v="FQ041- Aguachica - Cesar"/>
    <x v="9"/>
    <s v="septiembre"/>
    <n v="27"/>
    <d v="2026-09-27T00:00:00"/>
    <m/>
    <m/>
    <n v="0"/>
    <n v="14178184"/>
    <n v="0"/>
  </r>
  <r>
    <s v="Franquicias Sell Out QUEST"/>
    <s v="FQ041- Aguachica - Cesar"/>
    <x v="9"/>
    <s v="septiembre"/>
    <n v="27"/>
    <d v="2026-09-27T00:00:00"/>
    <n v="91492611"/>
    <s v="MENA ALVAREZ SAMUEL DAVID"/>
    <n v="48"/>
    <n v="0"/>
    <n v="2827777"/>
  </r>
  <r>
    <s v="Franquicias Sell Out QUEST"/>
    <s v="FQ041- Aguachica - Cesar"/>
    <x v="9"/>
    <s v="septiembre"/>
    <n v="27"/>
    <d v="2026-09-27T00:00:00"/>
    <n v="1005029713"/>
    <s v="GALLARDO MANZANO  KAREN DAYANA"/>
    <n v="135"/>
    <n v="0"/>
    <n v="7779589"/>
  </r>
  <r>
    <s v="Franquicias Sell Out QUEST"/>
    <s v="FQ041- Aguachica - Cesar"/>
    <x v="9"/>
    <s v="septiembre"/>
    <n v="28"/>
    <d v="2026-09-28T00:00:00"/>
    <m/>
    <m/>
    <n v="0"/>
    <n v="11624569"/>
    <n v="0"/>
  </r>
  <r>
    <s v="Franquicias Sell Out QUEST"/>
    <s v="FQ041- Aguachica - Cesar"/>
    <x v="9"/>
    <s v="septiembre"/>
    <n v="28"/>
    <d v="2026-09-28T00:00:00"/>
    <n v="91492611"/>
    <s v="MENA ALVAREZ SAMUEL DAVID"/>
    <n v="93"/>
    <n v="0"/>
    <n v="4621771"/>
  </r>
  <r>
    <s v="Franquicias Sell Out QUEST"/>
    <s v="FQ041- Aguachica - Cesar"/>
    <x v="9"/>
    <s v="septiembre"/>
    <n v="28"/>
    <d v="2026-09-28T00:00:00"/>
    <n v="1005029713"/>
    <s v="GALLARDO MANZANO  KAREN DAYANA"/>
    <n v="149"/>
    <n v="0"/>
    <n v="7531311"/>
  </r>
  <r>
    <s v="Franquicias Sell Out QUEST"/>
    <s v="FQ041- Aguachica - Cesar"/>
    <x v="9"/>
    <s v="septiembre"/>
    <n v="29"/>
    <d v="2026-09-29T00:00:00"/>
    <m/>
    <m/>
    <n v="0"/>
    <n v="12923086"/>
    <n v="0"/>
  </r>
  <r>
    <s v="Franquicias Sell Out QUEST"/>
    <s v="FQ041- Aguachica - Cesar"/>
    <x v="9"/>
    <s v="septiembre"/>
    <n v="29"/>
    <d v="2026-09-29T00:00:00"/>
    <n v="91492611"/>
    <s v="MENA ALVAREZ SAMUEL DAVID"/>
    <n v="112"/>
    <n v="0"/>
    <n v="5774630"/>
  </r>
  <r>
    <s v="Franquicias Sell Out QUEST"/>
    <s v="FQ041- Aguachica - Cesar"/>
    <x v="9"/>
    <s v="septiembre"/>
    <n v="29"/>
    <d v="2026-09-29T00:00:00"/>
    <n v="1005029713"/>
    <s v="GALLARDO MANZANO  KAREN DAYANA"/>
    <n v="126"/>
    <n v="0"/>
    <n v="6805093"/>
  </r>
  <r>
    <s v="Franquicias Sell Out QUEST"/>
    <s v="FQ041- Aguachica - Cesar"/>
    <x v="9"/>
    <s v="septiembre"/>
    <n v="30"/>
    <d v="2026-09-30T00:00:00"/>
    <m/>
    <m/>
    <n v="0"/>
    <n v="13685956"/>
    <n v="0"/>
  </r>
  <r>
    <s v="Franquicias Sell Out QUEST"/>
    <s v="FQ041- Aguachica - Cesar"/>
    <x v="9"/>
    <s v="septiembre"/>
    <n v="30"/>
    <d v="2026-09-30T00:00:00"/>
    <n v="91492611"/>
    <s v="MENA ALVAREZ SAMUEL DAVID"/>
    <n v="134"/>
    <n v="0"/>
    <n v="7248327"/>
  </r>
  <r>
    <s v="Franquicias Sell Out QUEST"/>
    <s v="FQ041- Aguachica - Cesar"/>
    <x v="9"/>
    <s v="septiembre"/>
    <n v="30"/>
    <d v="2026-09-30T00:00:00"/>
    <n v="1005029713"/>
    <s v="GALLARDO MANZANO  KAREN DAYANA"/>
    <n v="144"/>
    <n v="0"/>
    <n v="7775388"/>
  </r>
  <r>
    <s v="Franquicias Sell Out QUEST"/>
    <s v="FQ041- Aguachica - Cesar"/>
    <x v="9"/>
    <s v="octubre"/>
    <n v="1"/>
    <d v="2026-10-01T00:00:00"/>
    <m/>
    <m/>
    <n v="0"/>
    <n v="17765447"/>
    <n v="0"/>
  </r>
  <r>
    <s v="Franquicias Sell Out QUEST"/>
    <s v="FQ041- Aguachica - Cesar"/>
    <x v="9"/>
    <s v="octubre"/>
    <n v="1"/>
    <d v="2026-10-01T00:00:00"/>
    <n v="91492611"/>
    <s v="MENA ALVAREZ SAMUEL DAVID"/>
    <n v="146"/>
    <n v="0"/>
    <n v="7711979"/>
  </r>
  <r>
    <s v="Franquicias Sell Out QUEST"/>
    <s v="FQ041- Aguachica - Cesar"/>
    <x v="9"/>
    <s v="octubre"/>
    <n v="1"/>
    <d v="2026-10-01T00:00:00"/>
    <n v="1005029713"/>
    <s v="GALLARDO MANZANO  KAREN DAYANA"/>
    <n v="119"/>
    <n v="0"/>
    <n v="6188155"/>
  </r>
  <r>
    <s v="Franquicias Sell Out QUEST"/>
    <s v="FQ041- Aguachica - Cesar"/>
    <x v="9"/>
    <s v="octubre"/>
    <n v="1"/>
    <d v="2026-10-01T00:00:00"/>
    <n v="1091652812"/>
    <s v="SECAIRA CONTRERAS XIMENA ALEXANDRA"/>
    <n v="1"/>
    <n v="0"/>
    <n v="75588"/>
  </r>
  <r>
    <s v="Franquicias Sell Out QUEST"/>
    <s v="FQ041- Aguachica - Cesar"/>
    <x v="9"/>
    <s v="octubre"/>
    <n v="2"/>
    <d v="2026-10-02T00:00:00"/>
    <m/>
    <m/>
    <n v="0"/>
    <n v="17375957"/>
    <n v="0"/>
  </r>
  <r>
    <s v="Franquicias Sell Out QUEST"/>
    <s v="FQ041- Aguachica - Cesar"/>
    <x v="9"/>
    <s v="octubre"/>
    <n v="2"/>
    <d v="2026-10-02T00:00:00"/>
    <n v="91492611"/>
    <s v="MENA ALVAREZ SAMUEL DAVID"/>
    <n v="151"/>
    <n v="0"/>
    <n v="7463537"/>
  </r>
  <r>
    <s v="Franquicias Sell Out QUEST"/>
    <s v="FQ041- Aguachica - Cesar"/>
    <x v="9"/>
    <s v="octubre"/>
    <n v="2"/>
    <d v="2026-10-02T00:00:00"/>
    <n v="1005029713"/>
    <s v="GALLARDO MANZANO  KAREN DAYANA"/>
    <n v="134"/>
    <n v="0"/>
    <n v="6712400"/>
  </r>
  <r>
    <s v="Franquicias Sell Out QUEST"/>
    <s v="FQ041- Aguachica - Cesar"/>
    <x v="9"/>
    <s v="octubre"/>
    <n v="3"/>
    <d v="2026-10-03T00:00:00"/>
    <m/>
    <m/>
    <n v="0"/>
    <n v="23845062"/>
    <n v="0"/>
  </r>
  <r>
    <s v="Franquicias Sell Out QUEST"/>
    <s v="FQ041- Aguachica - Cesar"/>
    <x v="9"/>
    <s v="octubre"/>
    <n v="3"/>
    <d v="2026-10-03T00:00:00"/>
    <n v="91492611"/>
    <s v="MENA ALVAREZ SAMUEL DAVID"/>
    <n v="293"/>
    <n v="0"/>
    <n v="12807556"/>
  </r>
  <r>
    <s v="Franquicias Sell Out QUEST"/>
    <s v="FQ041- Aguachica - Cesar"/>
    <x v="9"/>
    <s v="octubre"/>
    <n v="3"/>
    <d v="2026-10-03T00:00:00"/>
    <n v="1005029713"/>
    <s v="GALLARDO MANZANO  KAREN DAYANA"/>
    <n v="292"/>
    <n v="0"/>
    <n v="13100247"/>
  </r>
  <r>
    <s v="Franquicias Sell Out QUEST"/>
    <s v="FQ041- Aguachica - Cesar"/>
    <x v="9"/>
    <s v="octubre"/>
    <n v="4"/>
    <d v="2026-10-04T00:00:00"/>
    <m/>
    <m/>
    <n v="0"/>
    <n v="9740658"/>
    <n v="0"/>
  </r>
  <r>
    <s v="Franquicias Sell Out QUEST"/>
    <s v="FQ041- Aguachica - Cesar"/>
    <x v="9"/>
    <s v="octubre"/>
    <n v="4"/>
    <d v="2026-10-04T00:00:00"/>
    <n v="91492611"/>
    <s v="MENA ALVAREZ SAMUEL DAVID"/>
    <n v="81"/>
    <n v="0"/>
    <n v="4038447"/>
  </r>
  <r>
    <s v="Franquicias Sell Out QUEST"/>
    <s v="FQ041- Aguachica - Cesar"/>
    <x v="9"/>
    <s v="octubre"/>
    <n v="4"/>
    <d v="2026-10-04T00:00:00"/>
    <n v="1005029713"/>
    <s v="GALLARDO MANZANO  KAREN DAYANA"/>
    <n v="99"/>
    <n v="0"/>
    <n v="5438615"/>
  </r>
  <r>
    <s v="Franquicias Sell Out QUEST"/>
    <s v="FQ041- Aguachica - Cesar"/>
    <x v="9"/>
    <s v="octubre"/>
    <n v="5"/>
    <d v="2026-10-05T00:00:00"/>
    <m/>
    <m/>
    <n v="0"/>
    <n v="10812962"/>
    <n v="0"/>
  </r>
  <r>
    <s v="Franquicias Sell Out QUEST"/>
    <s v="FQ041- Aguachica - Cesar"/>
    <x v="9"/>
    <s v="octubre"/>
    <n v="5"/>
    <d v="2026-10-05T00:00:00"/>
    <n v="91492611"/>
    <s v="MENA ALVAREZ SAMUEL DAVID"/>
    <n v="69"/>
    <n v="0"/>
    <n v="3185674"/>
  </r>
  <r>
    <s v="Franquicias Sell Out QUEST"/>
    <s v="FQ041- Aguachica - Cesar"/>
    <x v="9"/>
    <s v="octubre"/>
    <n v="5"/>
    <d v="2026-10-05T00:00:00"/>
    <n v="1005029713"/>
    <s v="GALLARDO MANZANO  KAREN DAYANA"/>
    <n v="89"/>
    <n v="0"/>
    <n v="4317600"/>
  </r>
  <r>
    <s v="Franquicias Sell Out QUEST"/>
    <s v="FQ041- Aguachica - Cesar"/>
    <x v="9"/>
    <s v="octubre"/>
    <n v="6"/>
    <d v="2026-10-06T00:00:00"/>
    <m/>
    <m/>
    <n v="0"/>
    <n v="4711103"/>
    <n v="0"/>
  </r>
  <r>
    <s v="Franquicias Sell Out QUEST"/>
    <s v="FQ041- Aguachica - Cesar"/>
    <x v="9"/>
    <s v="octubre"/>
    <n v="6"/>
    <d v="2026-10-06T00:00:00"/>
    <n v="91492611"/>
    <s v="MENA ALVAREZ SAMUEL DAVID"/>
    <n v="97"/>
    <n v="0"/>
    <n v="4784969"/>
  </r>
  <r>
    <s v="Franquicias Sell Out QUEST"/>
    <s v="FQ041- Aguachica - Cesar"/>
    <x v="9"/>
    <s v="octubre"/>
    <n v="6"/>
    <d v="2026-10-06T00:00:00"/>
    <n v="1005029713"/>
    <s v="GALLARDO MANZANO  KAREN DAYANA"/>
    <n v="9"/>
    <n v="0"/>
    <n v="281062"/>
  </r>
  <r>
    <s v="Franquicias Sell Out QUEST"/>
    <s v="FQ041- Aguachica - Cesar"/>
    <x v="9"/>
    <s v="octubre"/>
    <n v="6"/>
    <d v="2026-10-06T00:00:00"/>
    <n v="1091652812"/>
    <s v="SECAIRA CONTRERAS XIMENA ALEXANDRA"/>
    <n v="2"/>
    <n v="0"/>
    <n v="121765"/>
  </r>
  <r>
    <s v="Franquicias Sell Out QUEST"/>
    <s v="FQ041- Aguachica - Cesar"/>
    <x v="9"/>
    <s v="octubre"/>
    <n v="7"/>
    <d v="2026-10-07T00:00:00"/>
    <m/>
    <m/>
    <n v="0"/>
    <n v="4220053"/>
    <n v="0"/>
  </r>
  <r>
    <s v="Franquicias Sell Out QUEST"/>
    <s v="FQ041- Aguachica - Cesar"/>
    <x v="9"/>
    <s v="octubre"/>
    <n v="7"/>
    <d v="2026-10-07T00:00:00"/>
    <n v="91492611"/>
    <s v="MENA ALVAREZ SAMUEL DAVID"/>
    <n v="63"/>
    <n v="0"/>
    <n v="3009708"/>
  </r>
  <r>
    <s v="Franquicias Sell Out QUEST"/>
    <s v="FQ041- Aguachica - Cesar"/>
    <x v="9"/>
    <s v="octubre"/>
    <n v="7"/>
    <d v="2026-10-07T00:00:00"/>
    <n v="1005029713"/>
    <s v="GALLARDO MANZANO  KAREN DAYANA"/>
    <n v="62"/>
    <n v="0"/>
    <n v="3024078"/>
  </r>
  <r>
    <s v="Franquicias Sell Out QUEST"/>
    <s v="FQ042 - Pamplona - Norte de Santander"/>
    <x v="9"/>
    <s v="septiembre"/>
    <n v="23"/>
    <d v="2026-09-23T00:00:00"/>
    <m/>
    <m/>
    <n v="0"/>
    <n v="3735014"/>
    <n v="0"/>
  </r>
  <r>
    <s v="Franquicias Sell Out QUEST"/>
    <s v="FQ042 - Pamplona - Norte de Santander"/>
    <x v="9"/>
    <s v="septiembre"/>
    <n v="23"/>
    <d v="2026-09-23T00:00:00"/>
    <n v="1005060348"/>
    <s v="MEDINA JAIMES MARÍA FERNANDA"/>
    <n v="116"/>
    <n v="0"/>
    <n v="6236728"/>
  </r>
  <r>
    <s v="Franquicias Sell Out QUEST"/>
    <s v="FQ042 - Pamplona - Norte de Santander"/>
    <x v="9"/>
    <s v="septiembre"/>
    <n v="23"/>
    <d v="2026-09-23T00:00:00"/>
    <n v="1093433285"/>
    <s v="MONTAÑEZ MONTAÑEZ  SINDY NAYARITH"/>
    <n v="134"/>
    <n v="0"/>
    <n v="5744373"/>
  </r>
  <r>
    <s v="Franquicias Sell Out QUEST"/>
    <s v="FQ042 - Pamplona - Norte de Santander"/>
    <x v="9"/>
    <s v="septiembre"/>
    <n v="23"/>
    <d v="2026-09-23T00:00:00"/>
    <n v="1094277871"/>
    <s v="MONTAÑEZ RINCÓN  MARÍA NAZARETH"/>
    <n v="108"/>
    <n v="0"/>
    <n v="5927373"/>
  </r>
  <r>
    <s v="Franquicias Sell Out QUEST"/>
    <s v="FQ042 - Pamplona - Norte de Santander"/>
    <x v="9"/>
    <s v="septiembre"/>
    <n v="24"/>
    <d v="2026-09-24T00:00:00"/>
    <m/>
    <m/>
    <n v="0"/>
    <n v="9659460"/>
    <n v="0"/>
  </r>
  <r>
    <s v="Franquicias Sell Out QUEST"/>
    <s v="FQ042 - Pamplona - Norte de Santander"/>
    <x v="9"/>
    <s v="septiembre"/>
    <n v="24"/>
    <d v="2026-09-24T00:00:00"/>
    <n v="1005060348"/>
    <s v="MEDINA JAIMES MARÍA FERNANDA"/>
    <n v="43"/>
    <n v="0"/>
    <n v="2750297"/>
  </r>
  <r>
    <s v="Franquicias Sell Out QUEST"/>
    <s v="FQ042 - Pamplona - Norte de Santander"/>
    <x v="9"/>
    <s v="septiembre"/>
    <n v="24"/>
    <d v="2026-09-24T00:00:00"/>
    <n v="1093433285"/>
    <s v="MONTAÑEZ MONTAÑEZ  SINDY NAYARITH"/>
    <n v="44"/>
    <n v="0"/>
    <n v="2943532"/>
  </r>
  <r>
    <s v="Franquicias Sell Out QUEST"/>
    <s v="FQ042 - Pamplona - Norte de Santander"/>
    <x v="9"/>
    <s v="septiembre"/>
    <n v="24"/>
    <d v="2026-09-24T00:00:00"/>
    <n v="1094277871"/>
    <s v="MONTAÑEZ RINCÓN  MARÍA NAZARETH"/>
    <n v="65"/>
    <n v="0"/>
    <n v="3555266"/>
  </r>
  <r>
    <s v="Franquicias Sell Out QUEST"/>
    <s v="FQ042 - Pamplona - Norte de Santander"/>
    <x v="9"/>
    <s v="septiembre"/>
    <n v="25"/>
    <d v="2026-09-25T00:00:00"/>
    <m/>
    <m/>
    <n v="0"/>
    <n v="10316834"/>
    <n v="0"/>
  </r>
  <r>
    <s v="Franquicias Sell Out QUEST"/>
    <s v="FQ042 - Pamplona - Norte de Santander"/>
    <x v="9"/>
    <s v="septiembre"/>
    <n v="25"/>
    <d v="2026-09-25T00:00:00"/>
    <n v="1005060348"/>
    <s v="MEDINA JAIMES MARÍA FERNANDA"/>
    <n v="54"/>
    <n v="0"/>
    <n v="3106982"/>
  </r>
  <r>
    <s v="Franquicias Sell Out QUEST"/>
    <s v="FQ042 - Pamplona - Norte de Santander"/>
    <x v="9"/>
    <s v="septiembre"/>
    <n v="25"/>
    <d v="2026-09-25T00:00:00"/>
    <n v="1093433285"/>
    <s v="MONTAÑEZ MONTAÑEZ  SINDY NAYARITH"/>
    <n v="53"/>
    <n v="0"/>
    <n v="3406197"/>
  </r>
  <r>
    <s v="Franquicias Sell Out QUEST"/>
    <s v="FQ042 - Pamplona - Norte de Santander"/>
    <x v="9"/>
    <s v="septiembre"/>
    <n v="25"/>
    <d v="2026-09-25T00:00:00"/>
    <n v="1094277871"/>
    <s v="MONTAÑEZ RINCÓN  MARÍA NAZARETH"/>
    <n v="72"/>
    <n v="0"/>
    <n v="4181858"/>
  </r>
  <r>
    <s v="Franquicias Sell Out QUEST"/>
    <s v="FQ042 - Pamplona - Norte de Santander"/>
    <x v="9"/>
    <s v="septiembre"/>
    <n v="26"/>
    <d v="2026-09-26T00:00:00"/>
    <m/>
    <m/>
    <n v="0"/>
    <n v="13009266"/>
    <n v="0"/>
  </r>
  <r>
    <s v="Franquicias Sell Out QUEST"/>
    <s v="FQ042 - Pamplona - Norte de Santander"/>
    <x v="9"/>
    <s v="septiembre"/>
    <n v="26"/>
    <d v="2026-09-26T00:00:00"/>
    <n v="1005060348"/>
    <s v="MEDINA JAIMES MARÍA FERNANDA"/>
    <n v="74"/>
    <n v="0"/>
    <n v="3786811"/>
  </r>
  <r>
    <s v="Franquicias Sell Out QUEST"/>
    <s v="FQ042 - Pamplona - Norte de Santander"/>
    <x v="9"/>
    <s v="septiembre"/>
    <n v="26"/>
    <d v="2026-09-26T00:00:00"/>
    <n v="1093433285"/>
    <s v="MONTAÑEZ MONTAÑEZ  SINDY NAYARITH"/>
    <n v="76"/>
    <n v="0"/>
    <n v="4190049"/>
  </r>
  <r>
    <s v="Franquicias Sell Out QUEST"/>
    <s v="FQ042 - Pamplona - Norte de Santander"/>
    <x v="9"/>
    <s v="septiembre"/>
    <n v="26"/>
    <d v="2026-09-26T00:00:00"/>
    <n v="1094277871"/>
    <s v="MONTAÑEZ RINCÓN  MARÍA NAZARETH"/>
    <n v="119"/>
    <n v="0"/>
    <n v="7330888"/>
  </r>
  <r>
    <s v="Franquicias Sell Out QUEST"/>
    <s v="FQ042 - Pamplona - Norte de Santander"/>
    <x v="9"/>
    <s v="septiembre"/>
    <n v="27"/>
    <d v="2026-09-27T00:00:00"/>
    <m/>
    <m/>
    <n v="0"/>
    <n v="6868766"/>
    <n v="0"/>
  </r>
  <r>
    <s v="Franquicias Sell Out QUEST"/>
    <s v="FQ042 - Pamplona - Norte de Santander"/>
    <x v="9"/>
    <s v="septiembre"/>
    <n v="27"/>
    <d v="2026-09-27T00:00:00"/>
    <n v="1005060348"/>
    <s v="MEDINA JAIMES MARÍA FERNANDA"/>
    <n v="71"/>
    <n v="0"/>
    <n v="4221560"/>
  </r>
  <r>
    <s v="Franquicias Sell Out QUEST"/>
    <s v="FQ042 - Pamplona - Norte de Santander"/>
    <x v="9"/>
    <s v="septiembre"/>
    <n v="27"/>
    <d v="2026-09-27T00:00:00"/>
    <n v="1093433285"/>
    <s v="MONTAÑEZ MONTAÑEZ  SINDY NAYARITH"/>
    <n v="29"/>
    <n v="0"/>
    <n v="1449959"/>
  </r>
  <r>
    <s v="Franquicias Sell Out QUEST"/>
    <s v="FQ042 - Pamplona - Norte de Santander"/>
    <x v="9"/>
    <s v="septiembre"/>
    <n v="27"/>
    <d v="2026-09-27T00:00:00"/>
    <n v="1094277871"/>
    <s v="MONTAÑEZ RINCÓN  MARÍA NAZARETH"/>
    <n v="60"/>
    <n v="0"/>
    <n v="3366808"/>
  </r>
  <r>
    <s v="Franquicias Sell Out QUEST"/>
    <s v="FQ042 - Pamplona - Norte de Santander"/>
    <x v="9"/>
    <s v="septiembre"/>
    <n v="28"/>
    <d v="2026-09-28T00:00:00"/>
    <m/>
    <m/>
    <n v="0"/>
    <n v="5631642"/>
    <n v="0"/>
  </r>
  <r>
    <s v="Franquicias Sell Out QUEST"/>
    <s v="FQ042 - Pamplona - Norte de Santander"/>
    <x v="9"/>
    <s v="septiembre"/>
    <n v="28"/>
    <d v="2026-09-28T00:00:00"/>
    <n v="1005060348"/>
    <s v="MEDINA JAIMES MARÍA FERNANDA"/>
    <n v="27"/>
    <n v="0"/>
    <n v="1593364"/>
  </r>
  <r>
    <s v="Franquicias Sell Out QUEST"/>
    <s v="FQ042 - Pamplona - Norte de Santander"/>
    <x v="9"/>
    <s v="septiembre"/>
    <n v="28"/>
    <d v="2026-09-28T00:00:00"/>
    <n v="1093433285"/>
    <s v="MONTAÑEZ MONTAÑEZ  SINDY NAYARITH"/>
    <n v="29"/>
    <n v="0"/>
    <n v="1692063"/>
  </r>
  <r>
    <s v="Franquicias Sell Out QUEST"/>
    <s v="FQ042 - Pamplona - Norte de Santander"/>
    <x v="9"/>
    <s v="septiembre"/>
    <n v="28"/>
    <d v="2026-09-28T00:00:00"/>
    <n v="1094277871"/>
    <s v="MONTAÑEZ RINCÓN  MARÍA NAZARETH"/>
    <n v="20"/>
    <n v="0"/>
    <n v="1196599"/>
  </r>
  <r>
    <s v="Franquicias Sell Out QUEST"/>
    <s v="FQ042 - Pamplona - Norte de Santander"/>
    <x v="9"/>
    <s v="septiembre"/>
    <n v="29"/>
    <d v="2026-09-29T00:00:00"/>
    <m/>
    <m/>
    <n v="0"/>
    <n v="6260721"/>
    <n v="0"/>
  </r>
  <r>
    <s v="Franquicias Sell Out QUEST"/>
    <s v="FQ042 - Pamplona - Norte de Santander"/>
    <x v="9"/>
    <s v="septiembre"/>
    <n v="29"/>
    <d v="2026-09-29T00:00:00"/>
    <n v="1005060348"/>
    <s v="MEDINA JAIMES MARÍA FERNANDA"/>
    <n v="37"/>
    <n v="0"/>
    <n v="2233699"/>
  </r>
  <r>
    <s v="Franquicias Sell Out QUEST"/>
    <s v="FQ042 - Pamplona - Norte de Santander"/>
    <x v="9"/>
    <s v="septiembre"/>
    <n v="29"/>
    <d v="2026-09-29T00:00:00"/>
    <n v="1093433285"/>
    <s v="MONTAÑEZ MONTAÑEZ  SINDY NAYARITH"/>
    <n v="16"/>
    <n v="0"/>
    <n v="927902"/>
  </r>
  <r>
    <s v="Franquicias Sell Out QUEST"/>
    <s v="FQ042 - Pamplona - Norte de Santander"/>
    <x v="9"/>
    <s v="septiembre"/>
    <n v="29"/>
    <d v="2026-09-29T00:00:00"/>
    <n v="1094277871"/>
    <s v="MONTAÑEZ RINCÓN  MARÍA NAZARETH"/>
    <n v="157"/>
    <n v="0"/>
    <n v="8883191"/>
  </r>
  <r>
    <s v="Franquicias Sell Out QUEST"/>
    <s v="FQ042 - Pamplona - Norte de Santander"/>
    <x v="9"/>
    <s v="septiembre"/>
    <n v="30"/>
    <d v="2026-09-30T00:00:00"/>
    <m/>
    <m/>
    <n v="0"/>
    <n v="6630299"/>
    <n v="0"/>
  </r>
  <r>
    <s v="Franquicias Sell Out QUEST"/>
    <s v="FQ042 - Pamplona - Norte de Santander"/>
    <x v="9"/>
    <s v="septiembre"/>
    <n v="30"/>
    <d v="2026-09-30T00:00:00"/>
    <n v="1005060348"/>
    <s v="MEDINA JAIMES MARÍA FERNANDA"/>
    <n v="30"/>
    <n v="0"/>
    <n v="1616220"/>
  </r>
  <r>
    <s v="Franquicias Sell Out QUEST"/>
    <s v="FQ042 - Pamplona - Norte de Santander"/>
    <x v="9"/>
    <s v="septiembre"/>
    <n v="30"/>
    <d v="2026-09-30T00:00:00"/>
    <n v="1093433285"/>
    <s v="MONTAÑEZ MONTAÑEZ  SINDY NAYARITH"/>
    <n v="32"/>
    <n v="0"/>
    <n v="2028028"/>
  </r>
  <r>
    <s v="Franquicias Sell Out QUEST"/>
    <s v="FQ042 - Pamplona - Norte de Santander"/>
    <x v="9"/>
    <s v="septiembre"/>
    <n v="30"/>
    <d v="2026-09-30T00:00:00"/>
    <n v="1094277871"/>
    <s v="MONTAÑEZ RINCÓN  MARÍA NAZARETH"/>
    <n v="36"/>
    <n v="0"/>
    <n v="2406053"/>
  </r>
  <r>
    <s v="Franquicias Sell Out QUEST"/>
    <s v="FQ042 - Pamplona - Norte de Santander"/>
    <x v="9"/>
    <s v="octubre"/>
    <n v="1"/>
    <d v="2026-10-01T00:00:00"/>
    <m/>
    <m/>
    <n v="0"/>
    <n v="12837047"/>
    <n v="0"/>
  </r>
  <r>
    <s v="Franquicias Sell Out QUEST"/>
    <s v="FQ042 - Pamplona - Norte de Santander"/>
    <x v="9"/>
    <s v="octubre"/>
    <n v="1"/>
    <d v="2026-10-01T00:00:00"/>
    <n v="1005060348"/>
    <s v="MEDINA JAIMES MARÍA FERNANDA"/>
    <n v="28"/>
    <n v="0"/>
    <n v="1498742"/>
  </r>
  <r>
    <s v="Franquicias Sell Out QUEST"/>
    <s v="FQ042 - Pamplona - Norte de Santander"/>
    <x v="9"/>
    <s v="octubre"/>
    <n v="1"/>
    <d v="2026-10-01T00:00:00"/>
    <n v="1093433285"/>
    <s v="MONTAÑEZ MONTAÑEZ  SINDY NAYARITH"/>
    <n v="15"/>
    <n v="0"/>
    <n v="864876"/>
  </r>
  <r>
    <s v="Franquicias Sell Out QUEST"/>
    <s v="FQ042 - Pamplona - Norte de Santander"/>
    <x v="9"/>
    <s v="octubre"/>
    <n v="1"/>
    <d v="2026-10-01T00:00:00"/>
    <n v="1094277871"/>
    <s v="MONTAÑEZ RINCÓN  MARÍA NAZARETH"/>
    <n v="41"/>
    <n v="0"/>
    <n v="2674751"/>
  </r>
  <r>
    <s v="Franquicias Sell Out QUEST"/>
    <s v="FQ042 - Pamplona - Norte de Santander"/>
    <x v="9"/>
    <s v="octubre"/>
    <n v="2"/>
    <d v="2026-10-02T00:00:00"/>
    <m/>
    <m/>
    <n v="0"/>
    <n v="9196366"/>
    <n v="0"/>
  </r>
  <r>
    <s v="Franquicias Sell Out QUEST"/>
    <s v="FQ042 - Pamplona - Norte de Santander"/>
    <x v="9"/>
    <s v="octubre"/>
    <n v="2"/>
    <d v="2026-10-02T00:00:00"/>
    <n v="1005060348"/>
    <s v="MEDINA JAIMES MARÍA FERNANDA"/>
    <n v="32"/>
    <n v="0"/>
    <n v="1670844"/>
  </r>
  <r>
    <s v="Franquicias Sell Out QUEST"/>
    <s v="FQ042 - Pamplona - Norte de Santander"/>
    <x v="9"/>
    <s v="octubre"/>
    <n v="2"/>
    <d v="2026-10-02T00:00:00"/>
    <n v="1093433285"/>
    <s v="MONTAÑEZ MONTAÑEZ  SINDY NAYARITH"/>
    <n v="35"/>
    <n v="0"/>
    <n v="2414496"/>
  </r>
  <r>
    <s v="Franquicias Sell Out QUEST"/>
    <s v="FQ042 - Pamplona - Norte de Santander"/>
    <x v="9"/>
    <s v="octubre"/>
    <n v="2"/>
    <d v="2026-10-02T00:00:00"/>
    <n v="1094277871"/>
    <s v="MONTAÑEZ RINCÓN  MARÍA NAZARETH"/>
    <n v="48"/>
    <n v="0"/>
    <n v="3016814"/>
  </r>
  <r>
    <s v="Franquicias Sell Out QUEST"/>
    <s v="FQ042 - Pamplona - Norte de Santander"/>
    <x v="9"/>
    <s v="octubre"/>
    <n v="3"/>
    <d v="2026-10-03T00:00:00"/>
    <m/>
    <m/>
    <n v="0"/>
    <n v="15724476"/>
    <n v="0"/>
  </r>
  <r>
    <s v="Franquicias Sell Out QUEST"/>
    <s v="FQ042 - Pamplona - Norte de Santander"/>
    <x v="9"/>
    <s v="octubre"/>
    <n v="3"/>
    <d v="2026-10-03T00:00:00"/>
    <n v="1005060348"/>
    <s v="MEDINA JAIMES MARÍA FERNANDA"/>
    <n v="40"/>
    <n v="0"/>
    <n v="2233255"/>
  </r>
  <r>
    <s v="Franquicias Sell Out QUEST"/>
    <s v="FQ042 - Pamplona - Norte de Santander"/>
    <x v="9"/>
    <s v="octubre"/>
    <n v="3"/>
    <d v="2026-10-03T00:00:00"/>
    <n v="1093433285"/>
    <s v="MONTAÑEZ MONTAÑEZ  SINDY NAYARITH"/>
    <n v="55"/>
    <n v="0"/>
    <n v="2882784"/>
  </r>
  <r>
    <s v="Franquicias Sell Out QUEST"/>
    <s v="FQ042 - Pamplona - Norte de Santander"/>
    <x v="9"/>
    <s v="octubre"/>
    <n v="3"/>
    <d v="2026-10-03T00:00:00"/>
    <n v="1094277871"/>
    <s v="MONTAÑEZ RINCÓN  MARÍA NAZARETH"/>
    <n v="67"/>
    <n v="0"/>
    <n v="3988416"/>
  </r>
  <r>
    <s v="Franquicias Sell Out QUEST"/>
    <s v="FQ042 - Pamplona - Norte de Santander"/>
    <x v="9"/>
    <s v="octubre"/>
    <n v="4"/>
    <d v="2026-10-04T00:00:00"/>
    <m/>
    <m/>
    <n v="0"/>
    <n v="14026780"/>
    <n v="0"/>
  </r>
  <r>
    <s v="Franquicias Sell Out QUEST"/>
    <s v="FQ042 - Pamplona - Norte de Santander"/>
    <x v="9"/>
    <s v="octubre"/>
    <n v="4"/>
    <d v="2026-10-04T00:00:00"/>
    <n v="1005060348"/>
    <s v="MEDINA JAIMES MARÍA FERNANDA"/>
    <n v="51"/>
    <n v="0"/>
    <n v="2465786"/>
  </r>
  <r>
    <s v="Franquicias Sell Out QUEST"/>
    <s v="FQ042 - Pamplona - Norte de Santander"/>
    <x v="9"/>
    <s v="octubre"/>
    <n v="4"/>
    <d v="2026-10-04T00:00:00"/>
    <n v="1093433285"/>
    <s v="MONTAÑEZ MONTAÑEZ  SINDY NAYARITH"/>
    <n v="29"/>
    <n v="0"/>
    <n v="1781992"/>
  </r>
  <r>
    <s v="Franquicias Sell Out QUEST"/>
    <s v="FQ042 - Pamplona - Norte de Santander"/>
    <x v="9"/>
    <s v="octubre"/>
    <n v="4"/>
    <d v="2026-10-04T00:00:00"/>
    <n v="1094277871"/>
    <s v="MONTAÑEZ RINCÓN  MARÍA NAZARETH"/>
    <n v="40"/>
    <n v="0"/>
    <n v="2573984"/>
  </r>
  <r>
    <s v="Franquicias Sell Out QUEST"/>
    <s v="FQ042 - Pamplona - Norte de Santander"/>
    <x v="9"/>
    <s v="octubre"/>
    <n v="5"/>
    <d v="2026-10-05T00:00:00"/>
    <m/>
    <m/>
    <n v="0"/>
    <n v="10240433"/>
    <n v="0"/>
  </r>
  <r>
    <s v="Franquicias Sell Out QUEST"/>
    <s v="FQ042 - Pamplona - Norte de Santander"/>
    <x v="9"/>
    <s v="octubre"/>
    <n v="5"/>
    <d v="2026-10-05T00:00:00"/>
    <n v="1005060348"/>
    <s v="MEDINA JAIMES MARÍA FERNANDA"/>
    <n v="107"/>
    <n v="0"/>
    <n v="5101811"/>
  </r>
  <r>
    <s v="Franquicias Sell Out QUEST"/>
    <s v="FQ042 - Pamplona - Norte de Santander"/>
    <x v="9"/>
    <s v="octubre"/>
    <n v="5"/>
    <d v="2026-10-05T00:00:00"/>
    <n v="1093433285"/>
    <s v="MONTAÑEZ MONTAÑEZ  SINDY NAYARITH"/>
    <n v="22"/>
    <n v="0"/>
    <n v="1096639"/>
  </r>
  <r>
    <s v="Franquicias Sell Out QUEST"/>
    <s v="FQ042 - Pamplona - Norte de Santander"/>
    <x v="9"/>
    <s v="octubre"/>
    <n v="5"/>
    <d v="2026-10-05T00:00:00"/>
    <n v="1094277871"/>
    <s v="MONTAÑEZ RINCÓN  MARÍA NAZARETH"/>
    <n v="93"/>
    <n v="0"/>
    <n v="4498876"/>
  </r>
  <r>
    <s v="Franquicias Sell Out QUEST"/>
    <s v="FQ042 - Pamplona - Norte de Santander"/>
    <x v="9"/>
    <s v="octubre"/>
    <n v="6"/>
    <d v="2026-10-06T00:00:00"/>
    <m/>
    <m/>
    <n v="0"/>
    <n v="6705371"/>
    <n v="0"/>
  </r>
  <r>
    <s v="Franquicias Sell Out QUEST"/>
    <s v="FQ042 - Pamplona - Norte de Santander"/>
    <x v="9"/>
    <s v="octubre"/>
    <n v="6"/>
    <d v="2026-10-06T00:00:00"/>
    <n v="1005060348"/>
    <s v="MEDINA JAIMES MARÍA FERNANDA"/>
    <n v="53"/>
    <n v="0"/>
    <n v="3468540"/>
  </r>
  <r>
    <s v="Franquicias Sell Out QUEST"/>
    <s v="FQ042 - Pamplona - Norte de Santander"/>
    <x v="9"/>
    <s v="octubre"/>
    <n v="6"/>
    <d v="2026-10-06T00:00:00"/>
    <n v="1093433285"/>
    <s v="MONTAÑEZ MONTAÑEZ  SINDY NAYARITH"/>
    <n v="40"/>
    <n v="0"/>
    <n v="2031763"/>
  </r>
  <r>
    <s v="Franquicias Sell Out QUEST"/>
    <s v="FQ042 - Pamplona - Norte de Santander"/>
    <x v="9"/>
    <s v="octubre"/>
    <n v="6"/>
    <d v="2026-10-06T00:00:00"/>
    <n v="1094277871"/>
    <s v="MONTAÑEZ RINCÓN  MARÍA NAZARETH"/>
    <n v="47"/>
    <n v="0"/>
    <n v="2353752"/>
  </r>
  <r>
    <s v="Franquicias Sell Out QUEST"/>
    <s v="FQ042 - Pamplona - Norte de Santander"/>
    <x v="9"/>
    <s v="octubre"/>
    <n v="7"/>
    <d v="2026-10-07T00:00:00"/>
    <m/>
    <m/>
    <n v="0"/>
    <n v="1034338"/>
    <n v="0"/>
  </r>
  <r>
    <s v="Franquicias Sell Out QUEST"/>
    <s v="FQ042 - Pamplona - Norte de Santander"/>
    <x v="9"/>
    <s v="octubre"/>
    <n v="7"/>
    <d v="2026-10-07T00:00:00"/>
    <n v="1005060348"/>
    <s v="MEDINA JAIMES MARÍA FERNANDA"/>
    <n v="32"/>
    <n v="0"/>
    <n v="1586554"/>
  </r>
  <r>
    <s v="Franquicias Sell Out QUEST"/>
    <s v="FQ042 - Pamplona - Norte de Santander"/>
    <x v="9"/>
    <s v="octubre"/>
    <n v="7"/>
    <d v="2026-10-07T00:00:00"/>
    <n v="1093433285"/>
    <s v="MONTAÑEZ MONTAÑEZ  SINDY NAYARITH"/>
    <n v="23"/>
    <n v="0"/>
    <n v="1366556"/>
  </r>
  <r>
    <s v="Franquicias Sell Out QUEST"/>
    <s v="FQ042 - Pamplona - Norte de Santander"/>
    <x v="9"/>
    <s v="octubre"/>
    <n v="7"/>
    <d v="2026-10-07T00:00:00"/>
    <n v="1094277871"/>
    <s v="MONTAÑEZ RINCÓN  MARÍA NAZARETH"/>
    <n v="33"/>
    <n v="0"/>
    <n v="1462564"/>
  </r>
  <r>
    <s v="Franquicias Sell Out QUEST"/>
    <s v="FQ052 Barbosa - Santander"/>
    <x v="9"/>
    <s v="septiembre"/>
    <n v="23"/>
    <d v="2026-09-23T00:00:00"/>
    <m/>
    <m/>
    <n v="0"/>
    <n v="2183656"/>
    <n v="0"/>
  </r>
  <r>
    <s v="Franquicias Sell Out QUEST"/>
    <s v="FQ052 Barbosa - Santander"/>
    <x v="9"/>
    <s v="septiembre"/>
    <n v="23"/>
    <d v="2026-09-23T00:00:00"/>
    <n v="1099323107"/>
    <s v="LÓPEZ GUTIÉRREZ DUVELLY ALEJANDRA"/>
    <n v="47"/>
    <n v="0"/>
    <n v="2577857"/>
  </r>
  <r>
    <s v="Franquicias Sell Out QUEST"/>
    <s v="FQ052 Barbosa - Santander"/>
    <x v="9"/>
    <s v="septiembre"/>
    <n v="23"/>
    <d v="2026-09-23T00:00:00"/>
    <n v="1120558817"/>
    <s v="ESPITIA  PAULA"/>
    <n v="29"/>
    <n v="0"/>
    <n v="1689959"/>
  </r>
  <r>
    <s v="Franquicias Sell Out QUEST"/>
    <s v="FQ052 Barbosa - Santander"/>
    <x v="9"/>
    <s v="septiembre"/>
    <n v="24"/>
    <d v="2026-09-24T00:00:00"/>
    <m/>
    <m/>
    <n v="0"/>
    <n v="5647357"/>
    <n v="0"/>
  </r>
  <r>
    <s v="Franquicias Sell Out QUEST"/>
    <s v="FQ052 Barbosa - Santander"/>
    <x v="9"/>
    <s v="septiembre"/>
    <n v="24"/>
    <d v="2026-09-24T00:00:00"/>
    <n v="1099323107"/>
    <s v="LÓPEZ GUTIÉRREZ DUVELLY ALEJANDRA"/>
    <n v="47"/>
    <n v="0"/>
    <n v="2285841"/>
  </r>
  <r>
    <s v="Franquicias Sell Out QUEST"/>
    <s v="FQ052 Barbosa - Santander"/>
    <x v="9"/>
    <s v="septiembre"/>
    <n v="24"/>
    <d v="2026-09-24T00:00:00"/>
    <n v="1120558817"/>
    <s v="ESPITIA  PAULA"/>
    <n v="41"/>
    <n v="0"/>
    <n v="2141136"/>
  </r>
  <r>
    <s v="Franquicias Sell Out QUEST"/>
    <s v="FQ052 Barbosa - Santander"/>
    <x v="9"/>
    <s v="septiembre"/>
    <n v="25"/>
    <d v="2026-09-25T00:00:00"/>
    <m/>
    <m/>
    <n v="0"/>
    <n v="6031684"/>
    <n v="0"/>
  </r>
  <r>
    <s v="Franquicias Sell Out QUEST"/>
    <s v="FQ052 Barbosa - Santander"/>
    <x v="9"/>
    <s v="septiembre"/>
    <n v="25"/>
    <d v="2026-09-25T00:00:00"/>
    <n v="1099323107"/>
    <s v="LÓPEZ GUTIÉRREZ DUVELLY ALEJANDRA"/>
    <n v="29"/>
    <n v="0"/>
    <n v="1511389"/>
  </r>
  <r>
    <s v="Franquicias Sell Out QUEST"/>
    <s v="FQ052 Barbosa - Santander"/>
    <x v="9"/>
    <s v="septiembre"/>
    <n v="25"/>
    <d v="2026-09-25T00:00:00"/>
    <n v="1120558817"/>
    <s v="ESPITIA  PAULA"/>
    <n v="49"/>
    <n v="0"/>
    <n v="2922312"/>
  </r>
  <r>
    <s v="Franquicias Sell Out QUEST"/>
    <s v="FQ052 Barbosa - Santander"/>
    <x v="9"/>
    <s v="septiembre"/>
    <n v="26"/>
    <d v="2026-09-26T00:00:00"/>
    <m/>
    <m/>
    <n v="0"/>
    <n v="7605803"/>
    <n v="0"/>
  </r>
  <r>
    <s v="Franquicias Sell Out QUEST"/>
    <s v="FQ052 Barbosa - Santander"/>
    <x v="9"/>
    <s v="septiembre"/>
    <n v="26"/>
    <d v="2026-09-26T00:00:00"/>
    <n v="1099323107"/>
    <s v="LÓPEZ GUTIÉRREZ DUVELLY ALEJANDRA"/>
    <n v="42"/>
    <n v="0"/>
    <n v="2233330"/>
  </r>
  <r>
    <s v="Franquicias Sell Out QUEST"/>
    <s v="FQ052 Barbosa - Santander"/>
    <x v="9"/>
    <s v="septiembre"/>
    <n v="26"/>
    <d v="2026-09-26T00:00:00"/>
    <n v="1120558817"/>
    <s v="ESPITIA  PAULA"/>
    <n v="72"/>
    <n v="0"/>
    <n v="4020041"/>
  </r>
  <r>
    <s v="Franquicias Sell Out QUEST"/>
    <s v="FQ052 Barbosa - Santander"/>
    <x v="9"/>
    <s v="septiembre"/>
    <n v="27"/>
    <d v="2026-09-27T00:00:00"/>
    <m/>
    <m/>
    <n v="0"/>
    <n v="4015791"/>
    <n v="0"/>
  </r>
  <r>
    <s v="Franquicias Sell Out QUEST"/>
    <s v="FQ052 Barbosa - Santander"/>
    <x v="9"/>
    <s v="septiembre"/>
    <n v="27"/>
    <d v="2026-09-27T00:00:00"/>
    <n v="1099323107"/>
    <s v="LÓPEZ GUTIÉRREZ DUVELLY ALEJANDRA"/>
    <n v="60"/>
    <n v="0"/>
    <n v="3030966"/>
  </r>
  <r>
    <s v="Franquicias Sell Out QUEST"/>
    <s v="FQ052 Barbosa - Santander"/>
    <x v="9"/>
    <s v="septiembre"/>
    <n v="28"/>
    <d v="2026-09-28T00:00:00"/>
    <m/>
    <m/>
    <n v="0"/>
    <n v="3292511"/>
    <n v="0"/>
  </r>
  <r>
    <s v="Franquicias Sell Out QUEST"/>
    <s v="FQ052 Barbosa - Santander"/>
    <x v="9"/>
    <s v="septiembre"/>
    <n v="28"/>
    <d v="2026-09-28T00:00:00"/>
    <n v="1099323107"/>
    <s v="LÓPEZ GUTIÉRREZ DUVELLY ALEJANDRA"/>
    <n v="63"/>
    <n v="0"/>
    <n v="3297564"/>
  </r>
  <r>
    <s v="Franquicias Sell Out QUEST"/>
    <s v="FQ052 Barbosa - Santander"/>
    <x v="9"/>
    <s v="septiembre"/>
    <n v="29"/>
    <d v="2026-09-29T00:00:00"/>
    <m/>
    <m/>
    <n v="0"/>
    <n v="3660300"/>
    <n v="0"/>
  </r>
  <r>
    <s v="Franquicias Sell Out QUEST"/>
    <s v="FQ052 Barbosa - Santander"/>
    <x v="9"/>
    <s v="septiembre"/>
    <n v="29"/>
    <d v="2026-09-29T00:00:00"/>
    <n v="1099323107"/>
    <s v="LÓPEZ GUTIÉRREZ DUVELLY ALEJANDRA"/>
    <n v="58"/>
    <n v="0"/>
    <n v="3379625"/>
  </r>
  <r>
    <s v="Franquicias Sell Out QUEST"/>
    <s v="FQ052 Barbosa - Santander"/>
    <x v="9"/>
    <s v="septiembre"/>
    <n v="30"/>
    <d v="2026-09-30T00:00:00"/>
    <m/>
    <m/>
    <n v="0"/>
    <n v="3876376"/>
    <n v="0"/>
  </r>
  <r>
    <s v="Franquicias Sell Out QUEST"/>
    <s v="FQ052 Barbosa - Santander"/>
    <x v="9"/>
    <s v="septiembre"/>
    <n v="30"/>
    <d v="2026-09-30T00:00:00"/>
    <n v="1099323107"/>
    <s v="LÓPEZ GUTIÉRREZ DUVELLY ALEJANDRA"/>
    <n v="55"/>
    <n v="0"/>
    <n v="3045842"/>
  </r>
  <r>
    <s v="Franquicias Sell Out QUEST"/>
    <s v="FQ052 Barbosa - Santander"/>
    <x v="9"/>
    <s v="septiembre"/>
    <n v="30"/>
    <d v="2026-09-30T00:00:00"/>
    <n v="1120558817"/>
    <s v="ESPITIA  PAULA"/>
    <n v="-3"/>
    <n v="0"/>
    <n v="-184748"/>
  </r>
  <r>
    <s v="Franquicias Sell Out QUEST"/>
    <s v="FQ052 Barbosa - Santander"/>
    <x v="9"/>
    <s v="octubre"/>
    <n v="1"/>
    <d v="2026-10-01T00:00:00"/>
    <m/>
    <m/>
    <n v="0"/>
    <n v="4689301"/>
    <n v="0"/>
  </r>
  <r>
    <s v="Franquicias Sell Out QUEST"/>
    <s v="FQ052 Barbosa - Santander"/>
    <x v="9"/>
    <s v="octubre"/>
    <n v="1"/>
    <d v="2026-10-01T00:00:00"/>
    <n v="1099323107"/>
    <s v="LÓPEZ GUTIÉRREZ DUVELLY ALEJANDRA"/>
    <n v="75"/>
    <n v="0"/>
    <n v="4219158"/>
  </r>
  <r>
    <s v="Franquicias Sell Out QUEST"/>
    <s v="FQ052 Barbosa - Santander"/>
    <x v="9"/>
    <s v="octubre"/>
    <n v="2"/>
    <d v="2026-10-02T00:00:00"/>
    <m/>
    <m/>
    <n v="0"/>
    <n v="10220261"/>
    <n v="0"/>
  </r>
  <r>
    <s v="Franquicias Sell Out QUEST"/>
    <s v="FQ052 Barbosa - Santander"/>
    <x v="9"/>
    <s v="octubre"/>
    <n v="2"/>
    <d v="2026-10-02T00:00:00"/>
    <n v="1099323107"/>
    <s v="LÓPEZ GUTIÉRREZ DUVELLY ALEJANDRA"/>
    <n v="99"/>
    <n v="0"/>
    <n v="5714074"/>
  </r>
  <r>
    <s v="Franquicias Sell Out QUEST"/>
    <s v="FQ052 Barbosa - Santander"/>
    <x v="9"/>
    <s v="octubre"/>
    <n v="3"/>
    <d v="2026-10-03T00:00:00"/>
    <m/>
    <m/>
    <n v="0"/>
    <n v="9809349"/>
    <n v="0"/>
  </r>
  <r>
    <s v="Franquicias Sell Out QUEST"/>
    <s v="FQ052 Barbosa - Santander"/>
    <x v="9"/>
    <s v="octubre"/>
    <n v="3"/>
    <d v="2026-10-03T00:00:00"/>
    <n v="1099323107"/>
    <s v="LÓPEZ GUTIÉRREZ DUVELLY ALEJANDRA"/>
    <n v="114"/>
    <n v="0"/>
    <n v="5794752"/>
  </r>
  <r>
    <s v="Franquicias Sell Out QUEST"/>
    <s v="FQ052 Barbosa - Santander"/>
    <x v="9"/>
    <s v="octubre"/>
    <n v="4"/>
    <d v="2026-10-04T00:00:00"/>
    <m/>
    <m/>
    <n v="0"/>
    <n v="3554019"/>
    <n v="0"/>
  </r>
  <r>
    <s v="Franquicias Sell Out QUEST"/>
    <s v="FQ052 Barbosa - Santander"/>
    <x v="9"/>
    <s v="octubre"/>
    <n v="4"/>
    <d v="2026-10-04T00:00:00"/>
    <n v="1099323107"/>
    <s v="LÓPEZ GUTIÉRREZ DUVELLY ALEJANDRA"/>
    <n v="49"/>
    <n v="0"/>
    <n v="3240369"/>
  </r>
  <r>
    <s v="Franquicias Sell Out QUEST"/>
    <s v="FQ052 Barbosa - Santander"/>
    <x v="9"/>
    <s v="octubre"/>
    <n v="5"/>
    <d v="2026-10-05T00:00:00"/>
    <m/>
    <m/>
    <n v="0"/>
    <n v="6575720"/>
    <n v="0"/>
  </r>
  <r>
    <s v="Franquicias Sell Out QUEST"/>
    <s v="FQ052 Barbosa - Santander"/>
    <x v="9"/>
    <s v="octubre"/>
    <n v="5"/>
    <d v="2026-10-05T00:00:00"/>
    <n v="1099323107"/>
    <s v="LÓPEZ GUTIÉRREZ DUVELLY ALEJANDRA"/>
    <n v="52"/>
    <n v="0"/>
    <n v="3127943"/>
  </r>
  <r>
    <s v="Franquicias Sell Out QUEST"/>
    <s v="FQ052 Barbosa - Santander"/>
    <x v="9"/>
    <s v="octubre"/>
    <n v="6"/>
    <d v="2026-10-06T00:00:00"/>
    <m/>
    <m/>
    <n v="0"/>
    <n v="3616657"/>
    <n v="0"/>
  </r>
  <r>
    <s v="Franquicias Sell Out QUEST"/>
    <s v="FQ052 Barbosa - Santander"/>
    <x v="9"/>
    <s v="octubre"/>
    <n v="6"/>
    <d v="2026-10-06T00:00:00"/>
    <n v="1099323107"/>
    <s v="LÓPEZ GUTIÉRREZ DUVELLY ALEJANDRA"/>
    <n v="46"/>
    <n v="0"/>
    <n v="2500127"/>
  </r>
  <r>
    <s v="Franquicias Sell Out QUEST"/>
    <s v="FQ052 Barbosa - Santander"/>
    <x v="9"/>
    <s v="octubre"/>
    <n v="7"/>
    <d v="2026-10-07T00:00:00"/>
    <m/>
    <m/>
    <n v="0"/>
    <n v="1685795"/>
    <n v="0"/>
  </r>
  <r>
    <s v="Franquicias Sell Out QUEST"/>
    <s v="FQ052 Barbosa - Santander"/>
    <x v="9"/>
    <s v="octubre"/>
    <n v="7"/>
    <d v="2026-10-07T00:00:00"/>
    <n v="1099323107"/>
    <s v="LÓPEZ GUTIÉRREZ DUVELLY ALEJANDRA"/>
    <n v="72"/>
    <n v="0"/>
    <n v="4105800"/>
  </r>
  <r>
    <s v="Franquicias Sell Out QUEST"/>
    <s v="FQ070-Villa del Rosario - Nte Santander"/>
    <x v="9"/>
    <s v="septiembre"/>
    <n v="23"/>
    <d v="2026-09-23T00:00:00"/>
    <m/>
    <m/>
    <n v="0"/>
    <n v="3740964"/>
    <n v="0"/>
  </r>
  <r>
    <s v="Franquicias Sell Out QUEST"/>
    <s v="FQ070-Villa del Rosario - Nte Santander"/>
    <x v="9"/>
    <s v="septiembre"/>
    <n v="23"/>
    <d v="2026-09-23T00:00:00"/>
    <n v="37339994"/>
    <s v="CONTRERAS LEON LUZ DARY"/>
    <n v="92"/>
    <n v="0"/>
    <n v="4416307"/>
  </r>
  <r>
    <s v="Franquicias Sell Out QUEST"/>
    <s v="FQ070-Villa del Rosario - Nte Santander"/>
    <x v="9"/>
    <s v="septiembre"/>
    <n v="23"/>
    <d v="2026-09-23T00:00:00"/>
    <n v="1092342906"/>
    <s v="ZAMBRANO  SEBASTIAN"/>
    <n v="76"/>
    <n v="0"/>
    <n v="4137565"/>
  </r>
  <r>
    <s v="Franquicias Sell Out QUEST"/>
    <s v="FQ070-Villa del Rosario - Nte Santander"/>
    <x v="9"/>
    <s v="septiembre"/>
    <n v="24"/>
    <d v="2026-09-24T00:00:00"/>
    <m/>
    <m/>
    <n v="0"/>
    <n v="9674848"/>
    <n v="0"/>
  </r>
  <r>
    <s v="Franquicias Sell Out QUEST"/>
    <s v="FQ070-Villa del Rosario - Nte Santander"/>
    <x v="9"/>
    <s v="septiembre"/>
    <n v="24"/>
    <d v="2026-09-24T00:00:00"/>
    <n v="37339994"/>
    <s v="CONTRERAS LEON LUZ DARY"/>
    <n v="169"/>
    <n v="0"/>
    <n v="8826944"/>
  </r>
  <r>
    <s v="Franquicias Sell Out QUEST"/>
    <s v="FQ070-Villa del Rosario - Nte Santander"/>
    <x v="9"/>
    <s v="septiembre"/>
    <n v="25"/>
    <d v="2026-09-25T00:00:00"/>
    <m/>
    <m/>
    <n v="0"/>
    <n v="10333267"/>
    <n v="0"/>
  </r>
  <r>
    <s v="Franquicias Sell Out QUEST"/>
    <s v="FQ070-Villa del Rosario - Nte Santander"/>
    <x v="9"/>
    <s v="septiembre"/>
    <n v="25"/>
    <d v="2026-09-25T00:00:00"/>
    <n v="37339994"/>
    <s v="CONTRERAS LEON LUZ DARY"/>
    <n v="92"/>
    <n v="0"/>
    <n v="4815469"/>
  </r>
  <r>
    <s v="Franquicias Sell Out QUEST"/>
    <s v="FQ070-Villa del Rosario - Nte Santander"/>
    <x v="9"/>
    <s v="septiembre"/>
    <n v="25"/>
    <d v="2026-09-25T00:00:00"/>
    <n v="1092342906"/>
    <s v="ZAMBRANO  SEBASTIAN"/>
    <n v="76"/>
    <n v="0"/>
    <n v="4028329"/>
  </r>
  <r>
    <s v="Franquicias Sell Out QUEST"/>
    <s v="FQ070-Villa del Rosario - Nte Santander"/>
    <x v="9"/>
    <s v="septiembre"/>
    <n v="26"/>
    <d v="2026-09-26T00:00:00"/>
    <m/>
    <m/>
    <n v="0"/>
    <n v="13029988"/>
    <n v="0"/>
  </r>
  <r>
    <s v="Franquicias Sell Out QUEST"/>
    <s v="FQ070-Villa del Rosario - Nte Santander"/>
    <x v="9"/>
    <s v="septiembre"/>
    <n v="26"/>
    <d v="2026-09-26T00:00:00"/>
    <n v="37339994"/>
    <s v="CONTRERAS LEON LUZ DARY"/>
    <n v="140"/>
    <n v="0"/>
    <n v="7378585"/>
  </r>
  <r>
    <s v="Franquicias Sell Out QUEST"/>
    <s v="FQ070-Villa del Rosario - Nte Santander"/>
    <x v="9"/>
    <s v="septiembre"/>
    <n v="26"/>
    <d v="2026-09-26T00:00:00"/>
    <n v="1092342906"/>
    <s v="ZAMBRANO  SEBASTIAN"/>
    <n v="133"/>
    <n v="0"/>
    <n v="6803251"/>
  </r>
  <r>
    <s v="Franquicias Sell Out QUEST"/>
    <s v="FQ070-Villa del Rosario - Nte Santander"/>
    <x v="9"/>
    <s v="septiembre"/>
    <n v="27"/>
    <d v="2026-09-27T00:00:00"/>
    <m/>
    <m/>
    <n v="0"/>
    <n v="6879706"/>
    <n v="0"/>
  </r>
  <r>
    <s v="Franquicias Sell Out QUEST"/>
    <s v="FQ070-Villa del Rosario - Nte Santander"/>
    <x v="9"/>
    <s v="septiembre"/>
    <n v="27"/>
    <d v="2026-09-27T00:00:00"/>
    <n v="37339994"/>
    <s v="CONTRERAS LEON LUZ DARY"/>
    <n v="39"/>
    <n v="0"/>
    <n v="2170633"/>
  </r>
  <r>
    <s v="Franquicias Sell Out QUEST"/>
    <s v="FQ070-Villa del Rosario - Nte Santander"/>
    <x v="9"/>
    <s v="septiembre"/>
    <n v="27"/>
    <d v="2026-09-27T00:00:00"/>
    <n v="1092342906"/>
    <s v="ZAMBRANO  SEBASTIAN"/>
    <n v="53"/>
    <n v="0"/>
    <n v="2678449"/>
  </r>
  <r>
    <s v="Franquicias Sell Out QUEST"/>
    <s v="FQ070-Villa del Rosario - Nte Santander"/>
    <x v="9"/>
    <s v="septiembre"/>
    <n v="28"/>
    <d v="2026-09-28T00:00:00"/>
    <m/>
    <m/>
    <n v="0"/>
    <n v="5640614"/>
    <n v="0"/>
  </r>
  <r>
    <s v="Franquicias Sell Out QUEST"/>
    <s v="FQ070-Villa del Rosario - Nte Santander"/>
    <x v="9"/>
    <s v="septiembre"/>
    <n v="28"/>
    <d v="2026-09-28T00:00:00"/>
    <n v="37339994"/>
    <s v="CONTRERAS LEON LUZ DARY"/>
    <n v="85"/>
    <n v="0"/>
    <n v="4319836"/>
  </r>
  <r>
    <s v="Franquicias Sell Out QUEST"/>
    <s v="FQ070-Villa del Rosario - Nte Santander"/>
    <x v="9"/>
    <s v="septiembre"/>
    <n v="28"/>
    <d v="2026-09-28T00:00:00"/>
    <n v="1092342906"/>
    <s v="ZAMBRANO  SEBASTIAN"/>
    <n v="33"/>
    <n v="0"/>
    <n v="1641431"/>
  </r>
  <r>
    <s v="Franquicias Sell Out QUEST"/>
    <s v="FQ070-Villa del Rosario - Nte Santander"/>
    <x v="9"/>
    <s v="septiembre"/>
    <n v="29"/>
    <d v="2026-09-29T00:00:00"/>
    <m/>
    <m/>
    <n v="0"/>
    <n v="6270696"/>
    <n v="0"/>
  </r>
  <r>
    <s v="Franquicias Sell Out QUEST"/>
    <s v="FQ070-Villa del Rosario - Nte Santander"/>
    <x v="9"/>
    <s v="septiembre"/>
    <n v="29"/>
    <d v="2026-09-29T00:00:00"/>
    <n v="37339994"/>
    <s v="CONTRERAS LEON LUZ DARY"/>
    <n v="63"/>
    <n v="0"/>
    <n v="3013909"/>
  </r>
  <r>
    <s v="Franquicias Sell Out QUEST"/>
    <s v="FQ070-Villa del Rosario - Nte Santander"/>
    <x v="9"/>
    <s v="septiembre"/>
    <n v="29"/>
    <d v="2026-09-29T00:00:00"/>
    <n v="1092342906"/>
    <s v="ZAMBRANO  SEBASTIAN"/>
    <n v="56"/>
    <n v="0"/>
    <n v="2814671"/>
  </r>
  <r>
    <s v="Franquicias Sell Out QUEST"/>
    <s v="FQ070-Villa del Rosario - Nte Santander"/>
    <x v="9"/>
    <s v="septiembre"/>
    <n v="30"/>
    <d v="2026-09-30T00:00:00"/>
    <m/>
    <m/>
    <n v="0"/>
    <n v="6640864"/>
    <n v="0"/>
  </r>
  <r>
    <s v="Franquicias Sell Out QUEST"/>
    <s v="FQ070-Villa del Rosario - Nte Santander"/>
    <x v="9"/>
    <s v="septiembre"/>
    <n v="30"/>
    <d v="2026-09-30T00:00:00"/>
    <n v="37339994"/>
    <s v="CONTRERAS LEON LUZ DARY"/>
    <n v="55"/>
    <n v="0"/>
    <n v="2770761"/>
  </r>
  <r>
    <s v="Franquicias Sell Out QUEST"/>
    <s v="FQ070-Villa del Rosario - Nte Santander"/>
    <x v="9"/>
    <s v="septiembre"/>
    <n v="30"/>
    <d v="2026-09-30T00:00:00"/>
    <n v="1092342906"/>
    <s v="ZAMBRANO  SEBASTIAN"/>
    <n v="72"/>
    <n v="0"/>
    <n v="3574333"/>
  </r>
  <r>
    <s v="Franquicias Sell Out QUEST"/>
    <s v="FQ070-Villa del Rosario - Nte Santander"/>
    <x v="9"/>
    <s v="octubre"/>
    <n v="1"/>
    <d v="2026-10-01T00:00:00"/>
    <m/>
    <m/>
    <n v="0"/>
    <n v="9040619"/>
    <n v="0"/>
  </r>
  <r>
    <s v="Franquicias Sell Out QUEST"/>
    <s v="FQ070-Villa del Rosario - Nte Santander"/>
    <x v="9"/>
    <s v="octubre"/>
    <n v="1"/>
    <d v="2026-10-01T00:00:00"/>
    <n v="37339994"/>
    <s v="CONTRERAS LEON LUZ DARY"/>
    <n v="166"/>
    <n v="0"/>
    <n v="8630899"/>
  </r>
  <r>
    <s v="Franquicias Sell Out QUEST"/>
    <s v="FQ070-Villa del Rosario - Nte Santander"/>
    <x v="9"/>
    <s v="octubre"/>
    <n v="2"/>
    <d v="2026-10-02T00:00:00"/>
    <m/>
    <m/>
    <n v="0"/>
    <n v="10653915"/>
    <n v="0"/>
  </r>
  <r>
    <s v="Franquicias Sell Out QUEST"/>
    <s v="FQ070-Villa del Rosario - Nte Santander"/>
    <x v="9"/>
    <s v="octubre"/>
    <n v="2"/>
    <d v="2026-10-02T00:00:00"/>
    <n v="37339994"/>
    <s v="CONTRERAS LEON LUZ DARY"/>
    <n v="91"/>
    <n v="0"/>
    <n v="4762568"/>
  </r>
  <r>
    <s v="Franquicias Sell Out QUEST"/>
    <s v="FQ070-Villa del Rosario - Nte Santander"/>
    <x v="9"/>
    <s v="octubre"/>
    <n v="2"/>
    <d v="2026-10-02T00:00:00"/>
    <n v="1092342906"/>
    <s v="ZAMBRANO  SEBASTIAN"/>
    <n v="53"/>
    <n v="0"/>
    <n v="2581432"/>
  </r>
  <r>
    <s v="Franquicias Sell Out QUEST"/>
    <s v="FQ070-Villa del Rosario - Nte Santander"/>
    <x v="9"/>
    <s v="octubre"/>
    <n v="3"/>
    <d v="2026-10-03T00:00:00"/>
    <m/>
    <m/>
    <n v="0"/>
    <n v="17295991"/>
    <n v="0"/>
  </r>
  <r>
    <s v="Franquicias Sell Out QUEST"/>
    <s v="FQ070-Villa del Rosario - Nte Santander"/>
    <x v="9"/>
    <s v="octubre"/>
    <n v="3"/>
    <d v="2026-10-03T00:00:00"/>
    <n v="37339994"/>
    <s v="CONTRERAS LEON LUZ DARY"/>
    <n v="123"/>
    <n v="0"/>
    <n v="6428356"/>
  </r>
  <r>
    <s v="Franquicias Sell Out QUEST"/>
    <s v="FQ070-Villa del Rosario - Nte Santander"/>
    <x v="9"/>
    <s v="octubre"/>
    <n v="3"/>
    <d v="2026-10-03T00:00:00"/>
    <n v="1092342906"/>
    <s v="ZAMBRANO  SEBASTIAN"/>
    <n v="113"/>
    <n v="0"/>
    <n v="5471061"/>
  </r>
  <r>
    <s v="Franquicias Sell Out QUEST"/>
    <s v="FQ070-Villa del Rosario - Nte Santander"/>
    <x v="9"/>
    <s v="octubre"/>
    <n v="4"/>
    <d v="2026-10-04T00:00:00"/>
    <m/>
    <m/>
    <n v="0"/>
    <n v="8312637"/>
    <n v="0"/>
  </r>
  <r>
    <s v="Franquicias Sell Out QUEST"/>
    <s v="FQ070-Villa del Rosario - Nte Santander"/>
    <x v="9"/>
    <s v="octubre"/>
    <n v="4"/>
    <d v="2026-10-04T00:00:00"/>
    <n v="37339994"/>
    <s v="CONTRERAS LEON LUZ DARY"/>
    <n v="57"/>
    <n v="0"/>
    <n v="2703367"/>
  </r>
  <r>
    <s v="Franquicias Sell Out QUEST"/>
    <s v="FQ070-Villa del Rosario - Nte Santander"/>
    <x v="9"/>
    <s v="octubre"/>
    <n v="4"/>
    <d v="2026-10-04T00:00:00"/>
    <n v="1092342906"/>
    <s v="ZAMBRANO  SEBASTIAN"/>
    <n v="89"/>
    <n v="0"/>
    <n v="4853241"/>
  </r>
  <r>
    <s v="Franquicias Sell Out QUEST"/>
    <s v="FQ070-Villa del Rosario - Nte Santander"/>
    <x v="9"/>
    <s v="octubre"/>
    <n v="5"/>
    <d v="2026-10-05T00:00:00"/>
    <m/>
    <m/>
    <n v="0"/>
    <n v="10235883"/>
    <n v="0"/>
  </r>
  <r>
    <s v="Franquicias Sell Out QUEST"/>
    <s v="FQ070-Villa del Rosario - Nte Santander"/>
    <x v="9"/>
    <s v="octubre"/>
    <n v="5"/>
    <d v="2026-10-05T00:00:00"/>
    <n v="37339994"/>
    <s v="CONTRERAS LEON LUZ DARY"/>
    <n v="91"/>
    <n v="0"/>
    <n v="4945425"/>
  </r>
  <r>
    <s v="Franquicias Sell Out QUEST"/>
    <s v="FQ070-Villa del Rosario - Nte Santander"/>
    <x v="9"/>
    <s v="octubre"/>
    <n v="5"/>
    <d v="2026-10-05T00:00:00"/>
    <n v="1092342906"/>
    <s v="ZAMBRANO  SEBASTIAN"/>
    <n v="75"/>
    <n v="0"/>
    <n v="3903994"/>
  </r>
  <r>
    <s v="Franquicias Sell Out QUEST"/>
    <s v="FQ070-Villa del Rosario - Nte Santander"/>
    <x v="9"/>
    <s v="octubre"/>
    <n v="6"/>
    <d v="2026-10-06T00:00:00"/>
    <m/>
    <m/>
    <n v="0"/>
    <n v="7516752"/>
    <n v="0"/>
  </r>
  <r>
    <s v="Franquicias Sell Out QUEST"/>
    <s v="FQ070-Villa del Rosario - Nte Santander"/>
    <x v="9"/>
    <s v="octubre"/>
    <n v="6"/>
    <d v="2026-10-06T00:00:00"/>
    <n v="37339994"/>
    <s v="CONTRERAS LEON LUZ DARY"/>
    <n v="30"/>
    <n v="0"/>
    <n v="1670967"/>
  </r>
  <r>
    <s v="Franquicias Sell Out QUEST"/>
    <s v="FQ070-Villa del Rosario - Nte Santander"/>
    <x v="9"/>
    <s v="octubre"/>
    <n v="6"/>
    <d v="2026-10-06T00:00:00"/>
    <n v="1092342906"/>
    <s v="ZAMBRANO  SEBASTIAN"/>
    <n v="29"/>
    <n v="0"/>
    <n v="1826513"/>
  </r>
  <r>
    <s v="Franquicias Sell Out QUEST"/>
    <s v="FQ070-Villa del Rosario - Nte Santander"/>
    <x v="9"/>
    <s v="octubre"/>
    <n v="7"/>
    <d v="2026-10-07T00:00:00"/>
    <m/>
    <m/>
    <n v="0"/>
    <n v="1299771"/>
    <n v="0"/>
  </r>
  <r>
    <s v="Franquicias Sell Out QUEST"/>
    <s v="FQ070-Villa del Rosario - Nte Santander"/>
    <x v="9"/>
    <s v="octubre"/>
    <n v="7"/>
    <d v="2026-10-07T00:00:00"/>
    <n v="37339994"/>
    <s v="CONTRERAS LEON LUZ DARY"/>
    <n v="31"/>
    <n v="0"/>
    <n v="1786430"/>
  </r>
  <r>
    <s v="Franquicias Sell Out QUEST"/>
    <s v="FQ070-Villa del Rosario - Nte Santander"/>
    <x v="9"/>
    <s v="octubre"/>
    <n v="7"/>
    <d v="2026-10-07T00:00:00"/>
    <n v="1092342906"/>
    <s v="ZAMBRANO  SEBASTIAN"/>
    <n v="68"/>
    <n v="0"/>
    <n v="4089420"/>
  </r>
  <r>
    <s v="Franquicias Sell Out QUEST"/>
    <s v="FQ072-Los Patios - Nte de Santander"/>
    <x v="9"/>
    <s v="septiembre"/>
    <n v="23"/>
    <d v="2026-09-23T00:00:00"/>
    <m/>
    <m/>
    <n v="0"/>
    <n v="3543689"/>
    <n v="0"/>
  </r>
  <r>
    <s v="Franquicias Sell Out QUEST"/>
    <s v="FQ072-Los Patios - Nte de Santander"/>
    <x v="9"/>
    <s v="septiembre"/>
    <n v="23"/>
    <d v="2026-09-23T00:00:00"/>
    <n v="1093734423"/>
    <s v="CETINA LANDINEZ ALEXA"/>
    <n v="121"/>
    <n v="0"/>
    <n v="6263831"/>
  </r>
  <r>
    <s v="Franquicias Sell Out QUEST"/>
    <s v="FQ072-Los Patios - Nte de Santander"/>
    <x v="9"/>
    <s v="septiembre"/>
    <n v="24"/>
    <d v="2026-09-24T00:00:00"/>
    <m/>
    <m/>
    <n v="0"/>
    <n v="9164656"/>
    <n v="0"/>
  </r>
  <r>
    <s v="Franquicias Sell Out QUEST"/>
    <s v="FQ072-Los Patios - Nte de Santander"/>
    <x v="9"/>
    <s v="septiembre"/>
    <n v="24"/>
    <d v="2026-09-24T00:00:00"/>
    <n v="1093734423"/>
    <s v="CETINA LANDINEZ ALEXA"/>
    <n v="81"/>
    <n v="0"/>
    <n v="3925178"/>
  </r>
  <r>
    <s v="Franquicias Sell Out QUEST"/>
    <s v="FQ072-Los Patios - Nte de Santander"/>
    <x v="9"/>
    <s v="septiembre"/>
    <n v="25"/>
    <d v="2026-09-25T00:00:00"/>
    <m/>
    <m/>
    <n v="0"/>
    <n v="9788354"/>
    <n v="0"/>
  </r>
  <r>
    <s v="Franquicias Sell Out QUEST"/>
    <s v="FQ072-Los Patios - Nte de Santander"/>
    <x v="9"/>
    <s v="septiembre"/>
    <n v="25"/>
    <d v="2026-09-25T00:00:00"/>
    <n v="1093734423"/>
    <s v="CETINA LANDINEZ ALEXA"/>
    <n v="173"/>
    <n v="0"/>
    <n v="8562068"/>
  </r>
  <r>
    <s v="Franquicias Sell Out QUEST"/>
    <s v="FQ072-Los Patios - Nte de Santander"/>
    <x v="9"/>
    <s v="septiembre"/>
    <n v="26"/>
    <d v="2026-09-26T00:00:00"/>
    <m/>
    <m/>
    <n v="0"/>
    <n v="12342867"/>
    <n v="0"/>
  </r>
  <r>
    <s v="Franquicias Sell Out QUEST"/>
    <s v="FQ072-Los Patios - Nte de Santander"/>
    <x v="9"/>
    <s v="septiembre"/>
    <n v="26"/>
    <d v="2026-09-26T00:00:00"/>
    <n v="1093734423"/>
    <s v="CETINA LANDINEZ ALEXA"/>
    <n v="223"/>
    <n v="0"/>
    <n v="11408545"/>
  </r>
  <r>
    <s v="Franquicias Sell Out QUEST"/>
    <s v="FQ072-Los Patios - Nte de Santander"/>
    <x v="9"/>
    <s v="septiembre"/>
    <n v="27"/>
    <d v="2026-09-27T00:00:00"/>
    <m/>
    <m/>
    <n v="0"/>
    <n v="6516916"/>
    <n v="0"/>
  </r>
  <r>
    <s v="Franquicias Sell Out QUEST"/>
    <s v="FQ072-Los Patios - Nte de Santander"/>
    <x v="9"/>
    <s v="septiembre"/>
    <n v="27"/>
    <d v="2026-09-27T00:00:00"/>
    <n v="1093734423"/>
    <s v="CETINA LANDINEZ ALEXA"/>
    <n v="140"/>
    <n v="0"/>
    <n v="6825472"/>
  </r>
  <r>
    <s v="Franquicias Sell Out QUEST"/>
    <s v="FQ072-Los Patios - Nte de Santander"/>
    <x v="9"/>
    <s v="septiembre"/>
    <n v="27"/>
    <d v="2026-09-27T00:00:00"/>
    <n v="1093788027"/>
    <s v="MEAURI DIAZ YERLEY ALEJANDRA"/>
    <n v="4"/>
    <n v="0"/>
    <n v="260337"/>
  </r>
  <r>
    <s v="Franquicias Sell Out QUEST"/>
    <s v="FQ072-Los Patios - Nte de Santander"/>
    <x v="9"/>
    <s v="septiembre"/>
    <n v="28"/>
    <d v="2026-09-28T00:00:00"/>
    <m/>
    <m/>
    <n v="0"/>
    <n v="5343164"/>
    <n v="0"/>
  </r>
  <r>
    <s v="Franquicias Sell Out QUEST"/>
    <s v="FQ072-Los Patios - Nte de Santander"/>
    <x v="9"/>
    <s v="septiembre"/>
    <n v="28"/>
    <d v="2026-09-28T00:00:00"/>
    <n v="1092342906"/>
    <s v="ZAMBRANO  SEBASTIAN"/>
    <n v="-2"/>
    <n v="0"/>
    <n v="-83950"/>
  </r>
  <r>
    <s v="Franquicias Sell Out QUEST"/>
    <s v="FQ072-Los Patios - Nte de Santander"/>
    <x v="9"/>
    <s v="septiembre"/>
    <n v="28"/>
    <d v="2026-09-28T00:00:00"/>
    <n v="1093734423"/>
    <s v="CETINA LANDINEZ ALEXA"/>
    <n v="112"/>
    <n v="0"/>
    <n v="5221943"/>
  </r>
  <r>
    <s v="Franquicias Sell Out QUEST"/>
    <s v="FQ072-Los Patios - Nte de Santander"/>
    <x v="9"/>
    <s v="septiembre"/>
    <n v="29"/>
    <d v="2026-09-29T00:00:00"/>
    <m/>
    <m/>
    <n v="0"/>
    <n v="5940014"/>
    <n v="0"/>
  </r>
  <r>
    <s v="Franquicias Sell Out QUEST"/>
    <s v="FQ072-Los Patios - Nte de Santander"/>
    <x v="9"/>
    <s v="septiembre"/>
    <n v="29"/>
    <d v="2026-09-29T00:00:00"/>
    <n v="1093734423"/>
    <s v="CETINA LANDINEZ ALEXA"/>
    <n v="50"/>
    <n v="0"/>
    <n v="2262272"/>
  </r>
  <r>
    <s v="Franquicias Sell Out QUEST"/>
    <s v="FQ072-Los Patios - Nte de Santander"/>
    <x v="9"/>
    <s v="septiembre"/>
    <n v="30"/>
    <d v="2026-09-30T00:00:00"/>
    <m/>
    <m/>
    <n v="0"/>
    <n v="6290668"/>
    <n v="0"/>
  </r>
  <r>
    <s v="Franquicias Sell Out QUEST"/>
    <s v="FQ072-Los Patios - Nte de Santander"/>
    <x v="9"/>
    <s v="septiembre"/>
    <n v="30"/>
    <d v="2026-09-30T00:00:00"/>
    <n v="1093734423"/>
    <s v="CETINA LANDINEZ ALEXA"/>
    <n v="125"/>
    <n v="0"/>
    <n v="6698331"/>
  </r>
  <r>
    <s v="Franquicias Sell Out QUEST"/>
    <s v="FQ072-Los Patios - Nte de Santander"/>
    <x v="9"/>
    <s v="octubre"/>
    <n v="1"/>
    <d v="2026-10-01T00:00:00"/>
    <m/>
    <m/>
    <n v="0"/>
    <n v="7862895"/>
    <n v="0"/>
  </r>
  <r>
    <s v="Franquicias Sell Out QUEST"/>
    <s v="FQ072-Los Patios - Nte de Santander"/>
    <x v="9"/>
    <s v="octubre"/>
    <n v="1"/>
    <d v="2026-10-01T00:00:00"/>
    <n v="1093734423"/>
    <s v="CETINA LANDINEZ ALEXA"/>
    <n v="87"/>
    <n v="0"/>
    <n v="4162107"/>
  </r>
  <r>
    <s v="Franquicias Sell Out QUEST"/>
    <s v="FQ072-Los Patios - Nte de Santander"/>
    <x v="9"/>
    <s v="octubre"/>
    <n v="2"/>
    <d v="2026-10-02T00:00:00"/>
    <m/>
    <m/>
    <n v="0"/>
    <n v="17541263"/>
    <n v="0"/>
  </r>
  <r>
    <s v="Franquicias Sell Out QUEST"/>
    <s v="FQ072-Los Patios - Nte de Santander"/>
    <x v="9"/>
    <s v="octubre"/>
    <n v="2"/>
    <d v="2026-10-02T00:00:00"/>
    <n v="1093734423"/>
    <s v="CETINA LANDINEZ ALEXA"/>
    <n v="125"/>
    <n v="0"/>
    <n v="6336861"/>
  </r>
  <r>
    <s v="Franquicias Sell Out QUEST"/>
    <s v="FQ072-Los Patios - Nte de Santander"/>
    <x v="9"/>
    <s v="octubre"/>
    <n v="3"/>
    <d v="2026-10-03T00:00:00"/>
    <m/>
    <m/>
    <n v="0"/>
    <n v="15124914"/>
    <n v="0"/>
  </r>
  <r>
    <s v="Franquicias Sell Out QUEST"/>
    <s v="FQ072-Los Patios - Nte de Santander"/>
    <x v="9"/>
    <s v="octubre"/>
    <n v="3"/>
    <d v="2026-10-03T00:00:00"/>
    <n v="1093734423"/>
    <s v="CETINA LANDINEZ ALEXA"/>
    <n v="256"/>
    <n v="0"/>
    <n v="12650521"/>
  </r>
  <r>
    <s v="Franquicias Sell Out QUEST"/>
    <s v="FQ072-Los Patios - Nte de Santander"/>
    <x v="9"/>
    <s v="octubre"/>
    <n v="4"/>
    <d v="2026-10-04T00:00:00"/>
    <m/>
    <m/>
    <n v="0"/>
    <n v="8301043"/>
    <n v="0"/>
  </r>
  <r>
    <s v="Franquicias Sell Out QUEST"/>
    <s v="FQ072-Los Patios - Nte de Santander"/>
    <x v="9"/>
    <s v="octubre"/>
    <n v="4"/>
    <d v="2026-10-04T00:00:00"/>
    <n v="1093734423"/>
    <s v="CETINA LANDINEZ ALEXA"/>
    <n v="98"/>
    <n v="0"/>
    <n v="5155305"/>
  </r>
  <r>
    <s v="Franquicias Sell Out QUEST"/>
    <s v="FQ072-Los Patios - Nte de Santander"/>
    <x v="9"/>
    <s v="octubre"/>
    <n v="5"/>
    <d v="2026-10-05T00:00:00"/>
    <m/>
    <m/>
    <n v="0"/>
    <n v="9310957"/>
    <n v="0"/>
  </r>
  <r>
    <s v="Franquicias Sell Out QUEST"/>
    <s v="FQ072-Los Patios - Nte de Santander"/>
    <x v="9"/>
    <s v="octubre"/>
    <n v="5"/>
    <d v="2026-10-05T00:00:00"/>
    <n v="1093734423"/>
    <s v="CETINA LANDINEZ ALEXA"/>
    <n v="200"/>
    <n v="0"/>
    <n v="10866781"/>
  </r>
  <r>
    <s v="Franquicias Sell Out QUEST"/>
    <s v="FQ072-Los Patios - Nte de Santander"/>
    <x v="9"/>
    <s v="octubre"/>
    <n v="6"/>
    <d v="2026-10-06T00:00:00"/>
    <m/>
    <m/>
    <n v="0"/>
    <n v="3722649"/>
    <n v="0"/>
  </r>
  <r>
    <s v="Franquicias Sell Out QUEST"/>
    <s v="FQ072-Los Patios - Nte de Santander"/>
    <x v="9"/>
    <s v="octubre"/>
    <n v="6"/>
    <d v="2026-10-06T00:00:00"/>
    <n v="1093734423"/>
    <s v="CETINA LANDINEZ ALEXA"/>
    <n v="143"/>
    <n v="0"/>
    <n v="7041816"/>
  </r>
  <r>
    <s v="Franquicias Sell Out QUEST"/>
    <s v="FQ072-Los Patios - Nte de Santander"/>
    <x v="9"/>
    <s v="octubre"/>
    <n v="7"/>
    <d v="2026-10-07T00:00:00"/>
    <m/>
    <m/>
    <n v="0"/>
    <n v="1570031"/>
    <n v="0"/>
  </r>
  <r>
    <s v="Franquicias Sell Out QUEST"/>
    <s v="FQ072-Los Patios - Nte de Santander"/>
    <x v="9"/>
    <s v="octubre"/>
    <n v="7"/>
    <d v="2026-10-07T00:00:00"/>
    <n v="1093734423"/>
    <s v="CETINA LANDINEZ ALEXA"/>
    <n v="106"/>
    <n v="0"/>
    <n v="5762143"/>
  </r>
  <r>
    <s v="Franquicias Sell Out QUEST"/>
    <s v="FQ076 - Malaga - Santander"/>
    <x v="9"/>
    <s v="septiembre"/>
    <n v="23"/>
    <d v="2026-09-23T00:00:00"/>
    <m/>
    <m/>
    <n v="0"/>
    <n v="1630918"/>
    <n v="0"/>
  </r>
  <r>
    <s v="Franquicias Sell Out QUEST"/>
    <s v="FQ076 - Malaga - Santander"/>
    <x v="9"/>
    <s v="septiembre"/>
    <n v="23"/>
    <d v="2026-09-23T00:00:00"/>
    <n v="60264453"/>
    <s v="TORRES PEÑALOZA CAROLINA DEL MAR"/>
    <n v="29"/>
    <n v="0"/>
    <n v="1364372"/>
  </r>
  <r>
    <s v="Franquicias Sell Out QUEST"/>
    <s v="FQ076 - Malaga - Santander"/>
    <x v="9"/>
    <s v="septiembre"/>
    <n v="23"/>
    <d v="2026-09-23T00:00:00"/>
    <n v="1096946118"/>
    <s v="CASTELLANOS CARREÑO SERGIO ALEXANDER"/>
    <n v="37"/>
    <n v="0"/>
    <n v="2292566"/>
  </r>
  <r>
    <s v="Franquicias Sell Out QUEST"/>
    <s v="FQ076 - Malaga - Santander"/>
    <x v="9"/>
    <s v="septiembre"/>
    <n v="24"/>
    <d v="2026-09-24T00:00:00"/>
    <m/>
    <m/>
    <n v="0"/>
    <n v="4217862"/>
    <n v="0"/>
  </r>
  <r>
    <s v="Franquicias Sell Out QUEST"/>
    <s v="FQ076 - Malaga - Santander"/>
    <x v="9"/>
    <s v="septiembre"/>
    <n v="24"/>
    <d v="2026-09-24T00:00:00"/>
    <n v="60264453"/>
    <s v="TORRES PEÑALOZA CAROLINA DEL MAR"/>
    <n v="5"/>
    <n v="0"/>
    <n v="356933"/>
  </r>
  <r>
    <s v="Franquicias Sell Out QUEST"/>
    <s v="FQ076 - Malaga - Santander"/>
    <x v="9"/>
    <s v="septiembre"/>
    <n v="24"/>
    <d v="2026-09-24T00:00:00"/>
    <n v="1096946118"/>
    <s v="CASTELLANOS CARREÑO SERGIO ALEXANDER"/>
    <n v="42"/>
    <n v="0"/>
    <n v="2489834"/>
  </r>
  <r>
    <s v="Franquicias Sell Out QUEST"/>
    <s v="FQ076 - Malaga - Santander"/>
    <x v="9"/>
    <s v="septiembre"/>
    <n v="25"/>
    <d v="2026-09-25T00:00:00"/>
    <m/>
    <m/>
    <n v="0"/>
    <n v="4504909"/>
    <n v="0"/>
  </r>
  <r>
    <s v="Franquicias Sell Out QUEST"/>
    <s v="FQ076 - Malaga - Santander"/>
    <x v="9"/>
    <s v="septiembre"/>
    <n v="25"/>
    <d v="2026-09-25T00:00:00"/>
    <n v="60264453"/>
    <s v="TORRES PEÑALOZA CAROLINA DEL MAR"/>
    <n v="35"/>
    <n v="0"/>
    <n v="1985926"/>
  </r>
  <r>
    <s v="Franquicias Sell Out QUEST"/>
    <s v="FQ076 - Malaga - Santander"/>
    <x v="9"/>
    <s v="septiembre"/>
    <n v="25"/>
    <d v="2026-09-25T00:00:00"/>
    <n v="1096946118"/>
    <s v="CASTELLANOS CARREÑO SERGIO ALEXANDER"/>
    <n v="68"/>
    <n v="0"/>
    <n v="3921517"/>
  </r>
  <r>
    <s v="Franquicias Sell Out QUEST"/>
    <s v="FQ076 - Malaga - Santander"/>
    <x v="9"/>
    <s v="septiembre"/>
    <n v="26"/>
    <d v="2026-09-26T00:00:00"/>
    <m/>
    <m/>
    <n v="0"/>
    <n v="5680576"/>
    <n v="0"/>
  </r>
  <r>
    <s v="Franquicias Sell Out QUEST"/>
    <s v="FQ076 - Malaga - Santander"/>
    <x v="9"/>
    <s v="septiembre"/>
    <n v="26"/>
    <d v="2026-09-26T00:00:00"/>
    <n v="60264453"/>
    <s v="TORRES PEÑALOZA CAROLINA DEL MAR"/>
    <n v="51"/>
    <n v="0"/>
    <n v="3441138"/>
  </r>
  <r>
    <s v="Franquicias Sell Out QUEST"/>
    <s v="FQ076 - Malaga - Santander"/>
    <x v="9"/>
    <s v="septiembre"/>
    <n v="26"/>
    <d v="2026-09-26T00:00:00"/>
    <n v="1096946118"/>
    <s v="CASTELLANOS CARREÑO SERGIO ALEXANDER"/>
    <n v="72"/>
    <n v="0"/>
    <n v="4261640"/>
  </r>
  <r>
    <s v="Franquicias Sell Out QUEST"/>
    <s v="FQ076 - Malaga - Santander"/>
    <x v="9"/>
    <s v="septiembre"/>
    <n v="27"/>
    <d v="2026-09-27T00:00:00"/>
    <m/>
    <m/>
    <n v="0"/>
    <n v="2999291"/>
    <n v="0"/>
  </r>
  <r>
    <s v="Franquicias Sell Out QUEST"/>
    <s v="FQ076 - Malaga - Santander"/>
    <x v="9"/>
    <s v="septiembre"/>
    <n v="27"/>
    <d v="2026-09-27T00:00:00"/>
    <n v="60264453"/>
    <s v="TORRES PEÑALOZA CAROLINA DEL MAR"/>
    <n v="2"/>
    <n v="0"/>
    <n v="-126"/>
  </r>
  <r>
    <s v="Franquicias Sell Out QUEST"/>
    <s v="FQ076 - Malaga - Santander"/>
    <x v="9"/>
    <s v="septiembre"/>
    <n v="27"/>
    <d v="2026-09-27T00:00:00"/>
    <n v="1096946118"/>
    <s v="CASTELLANOS CARREÑO SERGIO ALEXANDER"/>
    <n v="18"/>
    <n v="0"/>
    <n v="999245"/>
  </r>
  <r>
    <s v="Franquicias Sell Out QUEST"/>
    <s v="FQ076 - Malaga - Santander"/>
    <x v="9"/>
    <s v="septiembre"/>
    <n v="28"/>
    <d v="2026-09-28T00:00:00"/>
    <m/>
    <m/>
    <n v="0"/>
    <n v="2459091"/>
    <n v="0"/>
  </r>
  <r>
    <s v="Franquicias Sell Out QUEST"/>
    <s v="FQ076 - Malaga - Santander"/>
    <x v="9"/>
    <s v="septiembre"/>
    <n v="28"/>
    <d v="2026-09-28T00:00:00"/>
    <n v="60264453"/>
    <s v="TORRES PEÑALOZA CAROLINA DEL MAR"/>
    <n v="16"/>
    <n v="0"/>
    <n v="944624"/>
  </r>
  <r>
    <s v="Franquicias Sell Out QUEST"/>
    <s v="FQ076 - Malaga - Santander"/>
    <x v="9"/>
    <s v="septiembre"/>
    <n v="28"/>
    <d v="2026-09-28T00:00:00"/>
    <n v="1096946118"/>
    <s v="CASTELLANOS CARREÑO SERGIO ALEXANDER"/>
    <n v="37"/>
    <n v="0"/>
    <n v="1756600"/>
  </r>
  <r>
    <s v="Franquicias Sell Out QUEST"/>
    <s v="FQ076 - Malaga - Santander"/>
    <x v="9"/>
    <s v="septiembre"/>
    <n v="29"/>
    <d v="2026-09-29T00:00:00"/>
    <m/>
    <m/>
    <n v="0"/>
    <n v="2733783"/>
    <n v="0"/>
  </r>
  <r>
    <s v="Franquicias Sell Out QUEST"/>
    <s v="FQ076 - Malaga - Santander"/>
    <x v="9"/>
    <s v="septiembre"/>
    <n v="29"/>
    <d v="2026-09-29T00:00:00"/>
    <n v="60264453"/>
    <s v="TORRES PEÑALOZA CAROLINA DEL MAR"/>
    <n v="6"/>
    <n v="0"/>
    <n v="327479"/>
  </r>
  <r>
    <s v="Franquicias Sell Out QUEST"/>
    <s v="FQ076 - Malaga - Santander"/>
    <x v="9"/>
    <s v="septiembre"/>
    <n v="29"/>
    <d v="2026-09-29T00:00:00"/>
    <n v="1096946118"/>
    <s v="CASTELLANOS CARREÑO SERGIO ALEXANDER"/>
    <n v="24"/>
    <n v="0"/>
    <n v="1292899"/>
  </r>
  <r>
    <s v="Franquicias Sell Out QUEST"/>
    <s v="FQ076 - Malaga - Santander"/>
    <x v="9"/>
    <s v="septiembre"/>
    <n v="30"/>
    <d v="2026-09-30T00:00:00"/>
    <m/>
    <m/>
    <n v="0"/>
    <n v="2895164"/>
    <n v="0"/>
  </r>
  <r>
    <s v="Franquicias Sell Out QUEST"/>
    <s v="FQ076 - Malaga - Santander"/>
    <x v="9"/>
    <s v="septiembre"/>
    <n v="30"/>
    <d v="2026-09-30T00:00:00"/>
    <n v="60264453"/>
    <s v="TORRES PEÑALOZA CAROLINA DEL MAR"/>
    <n v="14"/>
    <n v="0"/>
    <n v="898573"/>
  </r>
  <r>
    <s v="Franquicias Sell Out QUEST"/>
    <s v="FQ076 - Malaga - Santander"/>
    <x v="9"/>
    <s v="septiembre"/>
    <n v="30"/>
    <d v="2026-09-30T00:00:00"/>
    <n v="1096946118"/>
    <s v="CASTELLANOS CARREÑO SERGIO ALEXANDER"/>
    <n v="28"/>
    <n v="0"/>
    <n v="1532356"/>
  </r>
  <r>
    <s v="Franquicias Sell Out QUEST"/>
    <s v="FQ076 - Malaga - Santander"/>
    <x v="9"/>
    <s v="octubre"/>
    <n v="1"/>
    <d v="2026-10-01T00:00:00"/>
    <m/>
    <m/>
    <n v="0"/>
    <n v="6377407"/>
    <n v="0"/>
  </r>
  <r>
    <s v="Franquicias Sell Out QUEST"/>
    <s v="FQ076 - Malaga - Santander"/>
    <x v="9"/>
    <s v="octubre"/>
    <n v="1"/>
    <d v="2026-10-01T00:00:00"/>
    <n v="60264453"/>
    <s v="TORRES PEÑALOZA CAROLINA DEL MAR"/>
    <n v="43"/>
    <n v="0"/>
    <n v="2250213"/>
  </r>
  <r>
    <s v="Franquicias Sell Out QUEST"/>
    <s v="FQ076 - Malaga - Santander"/>
    <x v="9"/>
    <s v="octubre"/>
    <n v="1"/>
    <d v="2026-10-01T00:00:00"/>
    <n v="1096946118"/>
    <s v="CASTELLANOS CARREÑO SERGIO ALEXANDER"/>
    <n v="68"/>
    <n v="0"/>
    <n v="3971894"/>
  </r>
  <r>
    <s v="Franquicias Sell Out QUEST"/>
    <s v="FQ076 - Malaga - Santander"/>
    <x v="9"/>
    <s v="octubre"/>
    <n v="2"/>
    <d v="2026-10-02T00:00:00"/>
    <m/>
    <m/>
    <n v="0"/>
    <n v="5853564"/>
    <n v="0"/>
  </r>
  <r>
    <s v="Franquicias Sell Out QUEST"/>
    <s v="FQ076 - Malaga - Santander"/>
    <x v="9"/>
    <s v="octubre"/>
    <n v="2"/>
    <d v="2026-10-02T00:00:00"/>
    <n v="60264453"/>
    <s v="TORRES PEÑALOZA CAROLINA DEL MAR"/>
    <n v="15"/>
    <n v="0"/>
    <n v="1100126"/>
  </r>
  <r>
    <s v="Franquicias Sell Out QUEST"/>
    <s v="FQ076 - Malaga - Santander"/>
    <x v="9"/>
    <s v="octubre"/>
    <n v="2"/>
    <d v="2026-10-02T00:00:00"/>
    <n v="1096946118"/>
    <s v="CASTELLANOS CARREÑO SERGIO ALEXANDER"/>
    <n v="29"/>
    <n v="0"/>
    <n v="1765466"/>
  </r>
  <r>
    <s v="Franquicias Sell Out QUEST"/>
    <s v="FQ076 - Malaga - Santander"/>
    <x v="9"/>
    <s v="octubre"/>
    <n v="3"/>
    <d v="2026-10-03T00:00:00"/>
    <m/>
    <m/>
    <n v="0"/>
    <n v="8540702"/>
    <n v="0"/>
  </r>
  <r>
    <s v="Franquicias Sell Out QUEST"/>
    <s v="FQ076 - Malaga - Santander"/>
    <x v="9"/>
    <s v="octubre"/>
    <n v="3"/>
    <d v="2026-10-03T00:00:00"/>
    <n v="60264453"/>
    <s v="TORRES PEÑALOZA CAROLINA DEL MAR"/>
    <n v="58"/>
    <n v="0"/>
    <n v="2523759"/>
  </r>
  <r>
    <s v="Franquicias Sell Out QUEST"/>
    <s v="FQ076 - Malaga - Santander"/>
    <x v="9"/>
    <s v="octubre"/>
    <n v="3"/>
    <d v="2026-10-03T00:00:00"/>
    <n v="1096946118"/>
    <s v="CASTELLANOS CARREÑO SERGIO ALEXANDER"/>
    <n v="61"/>
    <n v="0"/>
    <n v="3605936"/>
  </r>
  <r>
    <s v="Franquicias Sell Out QUEST"/>
    <s v="FQ076 - Malaga - Santander"/>
    <x v="9"/>
    <s v="octubre"/>
    <n v="4"/>
    <d v="2026-10-04T00:00:00"/>
    <m/>
    <m/>
    <n v="0"/>
    <n v="4457745"/>
    <n v="0"/>
  </r>
  <r>
    <s v="Franquicias Sell Out QUEST"/>
    <s v="FQ076 - Malaga - Santander"/>
    <x v="9"/>
    <s v="octubre"/>
    <n v="4"/>
    <d v="2026-10-04T00:00:00"/>
    <n v="60264453"/>
    <s v="TORRES PEÑALOZA CAROLINA DEL MAR"/>
    <n v="29"/>
    <n v="0"/>
    <n v="1916767"/>
  </r>
  <r>
    <s v="Franquicias Sell Out QUEST"/>
    <s v="FQ076 - Malaga - Santander"/>
    <x v="9"/>
    <s v="octubre"/>
    <n v="5"/>
    <d v="2026-10-05T00:00:00"/>
    <m/>
    <m/>
    <n v="0"/>
    <n v="3625075"/>
    <n v="0"/>
  </r>
  <r>
    <s v="Franquicias Sell Out QUEST"/>
    <s v="FQ076 - Malaga - Santander"/>
    <x v="9"/>
    <s v="octubre"/>
    <n v="5"/>
    <d v="2026-10-05T00:00:00"/>
    <n v="60264453"/>
    <s v="TORRES PEÑALOZA CAROLINA DEL MAR"/>
    <n v="21"/>
    <n v="0"/>
    <n v="1217522"/>
  </r>
  <r>
    <s v="Franquicias Sell Out QUEST"/>
    <s v="FQ076 - Malaga - Santander"/>
    <x v="9"/>
    <s v="octubre"/>
    <n v="5"/>
    <d v="2026-10-05T00:00:00"/>
    <n v="1096946118"/>
    <s v="CASTELLANOS CARREÑO SERGIO ALEXANDER"/>
    <n v="36"/>
    <n v="0"/>
    <n v="2057061"/>
  </r>
  <r>
    <s v="Franquicias Sell Out QUEST"/>
    <s v="FQ076 - Malaga - Santander"/>
    <x v="9"/>
    <s v="octubre"/>
    <n v="6"/>
    <d v="2026-10-06T00:00:00"/>
    <m/>
    <m/>
    <n v="0"/>
    <n v="2987804"/>
    <n v="0"/>
  </r>
  <r>
    <s v="Franquicias Sell Out QUEST"/>
    <s v="FQ076 - Malaga - Santander"/>
    <x v="9"/>
    <s v="octubre"/>
    <n v="6"/>
    <d v="2026-10-06T00:00:00"/>
    <n v="60264453"/>
    <s v="TORRES PEÑALOZA CAROLINA DEL MAR"/>
    <n v="25"/>
    <n v="0"/>
    <n v="1440001"/>
  </r>
  <r>
    <s v="Franquicias Sell Out QUEST"/>
    <s v="FQ076 - Malaga - Santander"/>
    <x v="9"/>
    <s v="octubre"/>
    <n v="6"/>
    <d v="2026-10-06T00:00:00"/>
    <n v="1096946118"/>
    <s v="CASTELLANOS CARREÑO SERGIO ALEXANDER"/>
    <n v="31"/>
    <n v="0"/>
    <n v="1637187"/>
  </r>
  <r>
    <s v="Franquicias Sell Out QUEST"/>
    <s v="FQ076 - Malaga - Santander"/>
    <x v="9"/>
    <s v="octubre"/>
    <n v="7"/>
    <d v="2026-10-07T00:00:00"/>
    <m/>
    <m/>
    <n v="0"/>
    <n v="1488549"/>
    <n v="0"/>
  </r>
  <r>
    <s v="Franquicias Sell Out QUEST"/>
    <s v="FQ076 - Malaga - Santander"/>
    <x v="9"/>
    <s v="octubre"/>
    <n v="7"/>
    <d v="2026-10-07T00:00:00"/>
    <n v="60264453"/>
    <s v="TORRES PEÑALOZA CAROLINA DEL MAR"/>
    <n v="32"/>
    <n v="0"/>
    <n v="1736011"/>
  </r>
  <r>
    <s v="Franquicias Sell Out QUEST"/>
    <s v="FQ076 - Malaga - Santander"/>
    <x v="9"/>
    <s v="octubre"/>
    <n v="7"/>
    <d v="2026-10-07T00:00:00"/>
    <n v="1096946118"/>
    <s v="CASTELLANOS CARREÑO SERGIO ALEXANDER"/>
    <n v="25"/>
    <n v="0"/>
    <n v="1349666"/>
  </r>
  <r>
    <s v="Franquicias Sell Out QUEST"/>
    <s v="FQ078 - Codazzi - Cesar"/>
    <x v="9"/>
    <s v="septiembre"/>
    <n v="23"/>
    <d v="2026-09-23T00:00:00"/>
    <m/>
    <m/>
    <n v="0"/>
    <n v="2617191"/>
    <n v="0"/>
  </r>
  <r>
    <s v="Franquicias Sell Out QUEST"/>
    <s v="FQ078 - Codazzi - Cesar"/>
    <x v="9"/>
    <s v="septiembre"/>
    <n v="23"/>
    <d v="2026-09-23T00:00:00"/>
    <n v="1066868083"/>
    <s v="GARCÍA  YANELIS"/>
    <n v="71"/>
    <n v="0"/>
    <n v="3665088"/>
  </r>
  <r>
    <s v="Franquicias Sell Out QUEST"/>
    <s v="FQ078 - Codazzi - Cesar"/>
    <x v="9"/>
    <s v="septiembre"/>
    <n v="23"/>
    <d v="2026-09-23T00:00:00"/>
    <n v="1067728540"/>
    <s v="BONILLA ANAYA  MADELIN"/>
    <n v="25"/>
    <n v="0"/>
    <n v="1305672"/>
  </r>
  <r>
    <s v="Franquicias Sell Out QUEST"/>
    <s v="FQ078 - Codazzi - Cesar"/>
    <x v="9"/>
    <s v="septiembre"/>
    <n v="24"/>
    <d v="2026-09-24T00:00:00"/>
    <m/>
    <m/>
    <n v="0"/>
    <n v="6768561"/>
    <n v="0"/>
  </r>
  <r>
    <s v="Franquicias Sell Out QUEST"/>
    <s v="FQ078 - Codazzi - Cesar"/>
    <x v="9"/>
    <s v="septiembre"/>
    <n v="24"/>
    <d v="2026-09-24T00:00:00"/>
    <n v="1066868083"/>
    <s v="GARCÍA  YANELIS"/>
    <n v="111"/>
    <n v="0"/>
    <n v="5949119"/>
  </r>
  <r>
    <s v="Franquicias Sell Out QUEST"/>
    <s v="FQ078 - Codazzi - Cesar"/>
    <x v="9"/>
    <s v="septiembre"/>
    <n v="25"/>
    <d v="2026-09-25T00:00:00"/>
    <m/>
    <m/>
    <n v="0"/>
    <n v="7229192"/>
    <n v="0"/>
  </r>
  <r>
    <s v="Franquicias Sell Out QUEST"/>
    <s v="FQ078 - Codazzi - Cesar"/>
    <x v="9"/>
    <s v="septiembre"/>
    <n v="25"/>
    <d v="2026-09-25T00:00:00"/>
    <n v="1066868083"/>
    <s v="GARCÍA  YANELIS"/>
    <n v="91"/>
    <n v="0"/>
    <n v="4691561"/>
  </r>
  <r>
    <s v="Franquicias Sell Out QUEST"/>
    <s v="FQ078 - Codazzi - Cesar"/>
    <x v="9"/>
    <s v="septiembre"/>
    <n v="25"/>
    <d v="2026-09-25T00:00:00"/>
    <n v="1067728540"/>
    <s v="BONILLA ANAYA  MADELIN"/>
    <n v="27"/>
    <n v="0"/>
    <n v="1217354"/>
  </r>
  <r>
    <s v="Franquicias Sell Out QUEST"/>
    <s v="FQ078 - Codazzi - Cesar"/>
    <x v="9"/>
    <s v="septiembre"/>
    <n v="26"/>
    <d v="2026-09-26T00:00:00"/>
    <m/>
    <m/>
    <n v="0"/>
    <n v="9115826"/>
    <n v="0"/>
  </r>
  <r>
    <s v="Franquicias Sell Out QUEST"/>
    <s v="FQ078 - Codazzi - Cesar"/>
    <x v="9"/>
    <s v="septiembre"/>
    <n v="26"/>
    <d v="2026-09-26T00:00:00"/>
    <n v="1066868083"/>
    <s v="GARCÍA  YANELIS"/>
    <n v="198"/>
    <n v="0"/>
    <n v="8948619"/>
  </r>
  <r>
    <s v="Franquicias Sell Out QUEST"/>
    <s v="FQ078 - Codazzi - Cesar"/>
    <x v="9"/>
    <s v="septiembre"/>
    <n v="27"/>
    <d v="2026-09-27T00:00:00"/>
    <m/>
    <m/>
    <n v="0"/>
    <n v="4813070"/>
    <n v="0"/>
  </r>
  <r>
    <s v="Franquicias Sell Out QUEST"/>
    <s v="FQ078 - Codazzi - Cesar"/>
    <x v="9"/>
    <s v="septiembre"/>
    <n v="27"/>
    <d v="2026-09-27T00:00:00"/>
    <n v="1066868083"/>
    <s v="GARCÍA  YANELIS"/>
    <n v="89"/>
    <n v="0"/>
    <n v="4037525"/>
  </r>
  <r>
    <s v="Franquicias Sell Out QUEST"/>
    <s v="FQ078 - Codazzi - Cesar"/>
    <x v="9"/>
    <s v="septiembre"/>
    <n v="27"/>
    <d v="2026-09-27T00:00:00"/>
    <n v="1067728540"/>
    <s v="BONILLA ANAYA  MADELIN"/>
    <n v="5"/>
    <n v="0"/>
    <n v="281302"/>
  </r>
  <r>
    <s v="Franquicias Sell Out QUEST"/>
    <s v="FQ078 - Codazzi - Cesar"/>
    <x v="9"/>
    <s v="septiembre"/>
    <n v="28"/>
    <d v="2026-09-28T00:00:00"/>
    <m/>
    <m/>
    <n v="0"/>
    <n v="3946192"/>
    <n v="0"/>
  </r>
  <r>
    <s v="Franquicias Sell Out QUEST"/>
    <s v="FQ078 - Codazzi - Cesar"/>
    <x v="9"/>
    <s v="septiembre"/>
    <n v="28"/>
    <d v="2026-09-28T00:00:00"/>
    <n v="1066868083"/>
    <s v="GARCÍA  YANELIS"/>
    <n v="1"/>
    <n v="0"/>
    <n v="58782"/>
  </r>
  <r>
    <s v="Franquicias Sell Out QUEST"/>
    <s v="FQ078 - Codazzi - Cesar"/>
    <x v="9"/>
    <s v="septiembre"/>
    <n v="28"/>
    <d v="2026-09-28T00:00:00"/>
    <n v="1067728540"/>
    <s v="BONILLA ANAYA  MADELIN"/>
    <n v="91"/>
    <n v="0"/>
    <n v="4764751"/>
  </r>
  <r>
    <s v="Franquicias Sell Out QUEST"/>
    <s v="FQ078 - Codazzi - Cesar"/>
    <x v="9"/>
    <s v="septiembre"/>
    <n v="29"/>
    <d v="2026-09-29T00:00:00"/>
    <m/>
    <m/>
    <n v="0"/>
    <n v="4387001"/>
    <n v="0"/>
  </r>
  <r>
    <s v="Franquicias Sell Out QUEST"/>
    <s v="FQ078 - Codazzi - Cesar"/>
    <x v="9"/>
    <s v="septiembre"/>
    <n v="29"/>
    <d v="2026-09-29T00:00:00"/>
    <n v="1066868083"/>
    <s v="GARCÍA  YANELIS"/>
    <n v="56"/>
    <n v="0"/>
    <n v="2736853"/>
  </r>
  <r>
    <s v="Franquicias Sell Out QUEST"/>
    <s v="FQ078 - Codazzi - Cesar"/>
    <x v="9"/>
    <s v="septiembre"/>
    <n v="29"/>
    <d v="2026-09-29T00:00:00"/>
    <n v="1067728540"/>
    <s v="BONILLA ANAYA  MADELIN"/>
    <n v="5"/>
    <n v="0"/>
    <n v="382143"/>
  </r>
  <r>
    <s v="Franquicias Sell Out QUEST"/>
    <s v="FQ078 - Codazzi - Cesar"/>
    <x v="9"/>
    <s v="septiembre"/>
    <n v="30"/>
    <d v="2026-09-30T00:00:00"/>
    <m/>
    <m/>
    <n v="0"/>
    <n v="4645973"/>
    <n v="0"/>
  </r>
  <r>
    <s v="Franquicias Sell Out QUEST"/>
    <s v="FQ078 - Codazzi - Cesar"/>
    <x v="9"/>
    <s v="septiembre"/>
    <n v="30"/>
    <d v="2026-09-30T00:00:00"/>
    <n v="1066868083"/>
    <s v="GARCÍA  YANELIS"/>
    <n v="29"/>
    <n v="0"/>
    <n v="1460800"/>
  </r>
  <r>
    <s v="Franquicias Sell Out QUEST"/>
    <s v="FQ078 - Codazzi - Cesar"/>
    <x v="9"/>
    <s v="septiembre"/>
    <n v="30"/>
    <d v="2026-09-30T00:00:00"/>
    <n v="1067728540"/>
    <s v="BONILLA ANAYA  MADELIN"/>
    <n v="0"/>
    <n v="0"/>
    <n v="-29411"/>
  </r>
  <r>
    <s v="Franquicias Sell Out QUEST"/>
    <s v="FQ078 - Codazzi - Cesar"/>
    <x v="9"/>
    <s v="octubre"/>
    <n v="1"/>
    <d v="2026-10-01T00:00:00"/>
    <m/>
    <m/>
    <n v="0"/>
    <n v="5836885"/>
    <n v="0"/>
  </r>
  <r>
    <s v="Franquicias Sell Out QUEST"/>
    <s v="FQ078 - Codazzi - Cesar"/>
    <x v="9"/>
    <s v="octubre"/>
    <n v="1"/>
    <d v="2026-10-01T00:00:00"/>
    <n v="1066868083"/>
    <s v="GARCÍA  YANELIS"/>
    <n v="69"/>
    <n v="0"/>
    <n v="3608153"/>
  </r>
  <r>
    <s v="Franquicias Sell Out QUEST"/>
    <s v="FQ078 - Codazzi - Cesar"/>
    <x v="9"/>
    <s v="octubre"/>
    <n v="1"/>
    <d v="2026-10-01T00:00:00"/>
    <n v="1067728540"/>
    <s v="BONILLA ANAYA  MADELIN"/>
    <n v="3"/>
    <n v="0"/>
    <n v="201555"/>
  </r>
  <r>
    <s v="Franquicias Sell Out QUEST"/>
    <s v="FQ078 - Codazzi - Cesar"/>
    <x v="9"/>
    <s v="octubre"/>
    <n v="2"/>
    <d v="2026-10-02T00:00:00"/>
    <m/>
    <m/>
    <n v="0"/>
    <n v="6956878"/>
    <n v="0"/>
  </r>
  <r>
    <s v="Franquicias Sell Out QUEST"/>
    <s v="FQ078 - Codazzi - Cesar"/>
    <x v="9"/>
    <s v="octubre"/>
    <n v="2"/>
    <d v="2026-10-02T00:00:00"/>
    <n v="1066868083"/>
    <s v="GARCÍA  YANELIS"/>
    <n v="82"/>
    <n v="0"/>
    <n v="4027651"/>
  </r>
  <r>
    <s v="Franquicias Sell Out QUEST"/>
    <s v="FQ078 - Codazzi - Cesar"/>
    <x v="9"/>
    <s v="octubre"/>
    <n v="2"/>
    <d v="2026-10-02T00:00:00"/>
    <n v="1067728540"/>
    <s v="BONILLA ANAYA  MADELIN"/>
    <n v="9"/>
    <n v="0"/>
    <n v="432354"/>
  </r>
  <r>
    <s v="Franquicias Sell Out QUEST"/>
    <s v="FQ078 - Codazzi - Cesar"/>
    <x v="9"/>
    <s v="octubre"/>
    <n v="3"/>
    <d v="2026-10-03T00:00:00"/>
    <m/>
    <m/>
    <n v="0"/>
    <n v="6011871"/>
    <n v="0"/>
  </r>
  <r>
    <s v="Franquicias Sell Out QUEST"/>
    <s v="FQ078 - Codazzi - Cesar"/>
    <x v="9"/>
    <s v="octubre"/>
    <n v="3"/>
    <d v="2026-10-03T00:00:00"/>
    <n v="1066868083"/>
    <s v="GARCÍA  YANELIS"/>
    <n v="139"/>
    <n v="0"/>
    <n v="6210124"/>
  </r>
  <r>
    <s v="Franquicias Sell Out QUEST"/>
    <s v="FQ078 - Codazzi - Cesar"/>
    <x v="9"/>
    <s v="octubre"/>
    <n v="3"/>
    <d v="2026-10-03T00:00:00"/>
    <n v="1067728540"/>
    <s v="BONILLA ANAYA  MADELIN"/>
    <n v="20"/>
    <n v="0"/>
    <n v="857883"/>
  </r>
  <r>
    <s v="Franquicias Sell Out QUEST"/>
    <s v="FQ078 - Codazzi - Cesar"/>
    <x v="9"/>
    <s v="octubre"/>
    <n v="4"/>
    <d v="2026-10-04T00:00:00"/>
    <m/>
    <m/>
    <n v="0"/>
    <n v="2915924"/>
    <n v="0"/>
  </r>
  <r>
    <s v="Franquicias Sell Out QUEST"/>
    <s v="FQ078 - Codazzi - Cesar"/>
    <x v="9"/>
    <s v="octubre"/>
    <n v="4"/>
    <d v="2026-10-04T00:00:00"/>
    <n v="1066868083"/>
    <s v="GARCÍA  YANELIS"/>
    <n v="65"/>
    <n v="0"/>
    <n v="3488573"/>
  </r>
  <r>
    <s v="Franquicias Sell Out QUEST"/>
    <s v="FQ078 - Codazzi - Cesar"/>
    <x v="9"/>
    <s v="octubre"/>
    <n v="5"/>
    <d v="2026-10-05T00:00:00"/>
    <m/>
    <m/>
    <n v="0"/>
    <n v="9484922"/>
    <n v="0"/>
  </r>
  <r>
    <s v="Franquicias Sell Out QUEST"/>
    <s v="FQ078 - Codazzi - Cesar"/>
    <x v="9"/>
    <s v="octubre"/>
    <n v="5"/>
    <d v="2026-10-05T00:00:00"/>
    <n v="1066868083"/>
    <s v="GARCÍA  YANELIS"/>
    <n v="101"/>
    <n v="0"/>
    <n v="5131671"/>
  </r>
  <r>
    <s v="Franquicias Sell Out QUEST"/>
    <s v="FQ078 - Codazzi - Cesar"/>
    <x v="9"/>
    <s v="octubre"/>
    <n v="5"/>
    <d v="2026-10-05T00:00:00"/>
    <n v="1067728540"/>
    <s v="BONILLA ANAYA  MADELIN"/>
    <n v="13"/>
    <n v="0"/>
    <n v="814497"/>
  </r>
  <r>
    <s v="Franquicias Sell Out QUEST"/>
    <s v="FQ078 - Codazzi - Cesar"/>
    <x v="9"/>
    <s v="octubre"/>
    <n v="6"/>
    <d v="2026-10-06T00:00:00"/>
    <m/>
    <m/>
    <n v="0"/>
    <n v="4950074"/>
    <n v="0"/>
  </r>
  <r>
    <s v="Franquicias Sell Out QUEST"/>
    <s v="FQ078 - Codazzi - Cesar"/>
    <x v="9"/>
    <s v="octubre"/>
    <n v="6"/>
    <d v="2026-10-06T00:00:00"/>
    <n v="1066868083"/>
    <s v="GARCÍA  YANELIS"/>
    <n v="2"/>
    <n v="0"/>
    <n v="41848"/>
  </r>
  <r>
    <s v="Franquicias Sell Out QUEST"/>
    <s v="FQ078 - Codazzi - Cesar"/>
    <x v="9"/>
    <s v="octubre"/>
    <n v="6"/>
    <d v="2026-10-06T00:00:00"/>
    <n v="1067728540"/>
    <s v="BONILLA ANAYA  MADELIN"/>
    <n v="42"/>
    <n v="0"/>
    <n v="2262735"/>
  </r>
  <r>
    <s v="Franquicias Sell Out QUEST"/>
    <s v="FQ078 - Codazzi - Cesar"/>
    <x v="9"/>
    <s v="octubre"/>
    <n v="7"/>
    <d v="2026-10-07T00:00:00"/>
    <m/>
    <m/>
    <n v="0"/>
    <n v="1399823"/>
    <n v="0"/>
  </r>
  <r>
    <s v="Franquicias Sell Out QUEST"/>
    <s v="FQ078 - Codazzi - Cesar"/>
    <x v="9"/>
    <s v="octubre"/>
    <n v="7"/>
    <d v="2026-10-07T00:00:00"/>
    <n v="1066868083"/>
    <s v="GARCÍA  YANELIS"/>
    <n v="42"/>
    <n v="0"/>
    <n v="2306851"/>
  </r>
  <r>
    <s v="Franquicias Sell Out QUEST"/>
    <s v="FQ078 - Codazzi - Cesar"/>
    <x v="9"/>
    <s v="octubre"/>
    <n v="7"/>
    <d v="2026-10-07T00:00:00"/>
    <n v="1067728540"/>
    <s v="BONILLA ANAYA  MADELIN"/>
    <n v="11"/>
    <n v="0"/>
    <n v="621261"/>
  </r>
  <r>
    <s v="Franquicias Sell Out QUEST"/>
    <s v="FQ108 - San Alberto, Cesar"/>
    <x v="9"/>
    <s v="septiembre"/>
    <n v="23"/>
    <d v="2026-09-23T00:00:00"/>
    <m/>
    <m/>
    <n v="0"/>
    <n v="1356560"/>
    <n v="0"/>
  </r>
  <r>
    <s v="Franquicias Sell Out QUEST"/>
    <s v="FQ108 - San Alberto, Cesar"/>
    <x v="9"/>
    <s v="septiembre"/>
    <n v="23"/>
    <d v="2026-09-23T00:00:00"/>
    <n v="37328309"/>
    <s v="BATISTA  CLAUDIA SIOMARA"/>
    <n v="110"/>
    <n v="0"/>
    <n v="4758011"/>
  </r>
  <r>
    <s v="Franquicias Sell Out QUEST"/>
    <s v="FQ108 - San Alberto, Cesar"/>
    <x v="9"/>
    <s v="septiembre"/>
    <n v="23"/>
    <d v="2026-09-23T00:00:00"/>
    <n v="1098714134"/>
    <s v="JAIMES  ILDA"/>
    <n v="27"/>
    <n v="0"/>
    <n v="1278280"/>
  </r>
  <r>
    <s v="Franquicias Sell Out QUEST"/>
    <s v="FQ108 - San Alberto, Cesar"/>
    <x v="9"/>
    <s v="septiembre"/>
    <n v="24"/>
    <d v="2026-09-24T00:00:00"/>
    <m/>
    <m/>
    <n v="0"/>
    <n v="3508325"/>
    <n v="0"/>
  </r>
  <r>
    <s v="Franquicias Sell Out QUEST"/>
    <s v="FQ108 - San Alberto, Cesar"/>
    <x v="9"/>
    <s v="septiembre"/>
    <n v="24"/>
    <d v="2026-09-24T00:00:00"/>
    <n v="37328309"/>
    <s v="BATISTA  CLAUDIA SIOMARA"/>
    <n v="113"/>
    <n v="0"/>
    <n v="6089837"/>
  </r>
  <r>
    <s v="Franquicias Sell Out QUEST"/>
    <s v="FQ108 - San Alberto, Cesar"/>
    <x v="9"/>
    <s v="septiembre"/>
    <n v="24"/>
    <d v="2026-09-24T00:00:00"/>
    <n v="1098714134"/>
    <s v="JAIMES  ILDA"/>
    <n v="32"/>
    <n v="0"/>
    <n v="1452439"/>
  </r>
  <r>
    <s v="Franquicias Sell Out QUEST"/>
    <s v="FQ108 - San Alberto, Cesar"/>
    <x v="9"/>
    <s v="septiembre"/>
    <n v="25"/>
    <d v="2026-09-25T00:00:00"/>
    <m/>
    <m/>
    <n v="0"/>
    <n v="3747083"/>
    <n v="0"/>
  </r>
  <r>
    <s v="Franquicias Sell Out QUEST"/>
    <s v="FQ108 - San Alberto, Cesar"/>
    <x v="9"/>
    <s v="septiembre"/>
    <n v="25"/>
    <d v="2026-09-25T00:00:00"/>
    <n v="37328309"/>
    <s v="BATISTA  CLAUDIA SIOMARA"/>
    <n v="101"/>
    <n v="0"/>
    <n v="5189040"/>
  </r>
  <r>
    <s v="Franquicias Sell Out QUEST"/>
    <s v="FQ108 - San Alberto, Cesar"/>
    <x v="9"/>
    <s v="septiembre"/>
    <n v="26"/>
    <d v="2026-09-26T00:00:00"/>
    <m/>
    <m/>
    <n v="0"/>
    <n v="4724976"/>
    <n v="0"/>
  </r>
  <r>
    <s v="Franquicias Sell Out QUEST"/>
    <s v="FQ108 - San Alberto, Cesar"/>
    <x v="9"/>
    <s v="septiembre"/>
    <n v="26"/>
    <d v="2026-09-26T00:00:00"/>
    <n v="37328309"/>
    <s v="BATISTA  CLAUDIA SIOMARA"/>
    <n v="121"/>
    <n v="0"/>
    <n v="6278539"/>
  </r>
  <r>
    <s v="Franquicias Sell Out QUEST"/>
    <s v="FQ108 - San Alberto, Cesar"/>
    <x v="9"/>
    <s v="septiembre"/>
    <n v="26"/>
    <d v="2026-09-26T00:00:00"/>
    <n v="1065245877"/>
    <s v="JIMENEZ DUARTE DANIELA"/>
    <n v="3"/>
    <n v="0"/>
    <n v="96513"/>
  </r>
  <r>
    <s v="Franquicias Sell Out QUEST"/>
    <s v="FQ108 - San Alberto, Cesar"/>
    <x v="9"/>
    <s v="septiembre"/>
    <n v="26"/>
    <d v="2026-09-26T00:00:00"/>
    <n v="1098714134"/>
    <s v="JAIMES  ILDA"/>
    <n v="43"/>
    <n v="0"/>
    <n v="1922566"/>
  </r>
  <r>
    <s v="Franquicias Sell Out QUEST"/>
    <s v="FQ108 - San Alberto, Cesar"/>
    <x v="9"/>
    <s v="septiembre"/>
    <n v="27"/>
    <d v="2026-09-27T00:00:00"/>
    <m/>
    <m/>
    <n v="0"/>
    <n v="2494743"/>
    <n v="0"/>
  </r>
  <r>
    <s v="Franquicias Sell Out QUEST"/>
    <s v="FQ108 - San Alberto, Cesar"/>
    <x v="9"/>
    <s v="septiembre"/>
    <n v="27"/>
    <d v="2026-09-27T00:00:00"/>
    <n v="37328309"/>
    <s v="BATISTA  CLAUDIA SIOMARA"/>
    <n v="56"/>
    <n v="0"/>
    <n v="2852647"/>
  </r>
  <r>
    <s v="Franquicias Sell Out QUEST"/>
    <s v="FQ108 - San Alberto, Cesar"/>
    <x v="9"/>
    <s v="septiembre"/>
    <n v="27"/>
    <d v="2026-09-27T00:00:00"/>
    <n v="1065245877"/>
    <s v="JIMENEZ DUARTE DANIELA"/>
    <n v="2"/>
    <n v="0"/>
    <n v="146975"/>
  </r>
  <r>
    <s v="Franquicias Sell Out QUEST"/>
    <s v="FQ108 - San Alberto, Cesar"/>
    <x v="9"/>
    <s v="septiembre"/>
    <n v="27"/>
    <d v="2026-09-27T00:00:00"/>
    <n v="1098714134"/>
    <s v="JAIMES  ILDA"/>
    <n v="10"/>
    <n v="0"/>
    <n v="461766"/>
  </r>
  <r>
    <s v="Franquicias Sell Out QUEST"/>
    <s v="FQ108 - San Alberto, Cesar"/>
    <x v="9"/>
    <s v="septiembre"/>
    <n v="28"/>
    <d v="2026-09-28T00:00:00"/>
    <m/>
    <m/>
    <n v="0"/>
    <n v="2045417"/>
    <n v="0"/>
  </r>
  <r>
    <s v="Franquicias Sell Out QUEST"/>
    <s v="FQ108 - San Alberto, Cesar"/>
    <x v="9"/>
    <s v="septiembre"/>
    <n v="28"/>
    <d v="2026-09-28T00:00:00"/>
    <n v="37328309"/>
    <s v="BATISTA  CLAUDIA SIOMARA"/>
    <n v="64"/>
    <n v="0"/>
    <n v="3261432"/>
  </r>
  <r>
    <s v="Franquicias Sell Out QUEST"/>
    <s v="FQ108 - San Alberto, Cesar"/>
    <x v="9"/>
    <s v="septiembre"/>
    <n v="28"/>
    <d v="2026-09-28T00:00:00"/>
    <n v="1065245127"/>
    <s v="SANCHEZ BATISTA EUDER CAMILO"/>
    <n v="1"/>
    <n v="0"/>
    <n v="50378"/>
  </r>
  <r>
    <s v="Franquicias Sell Out QUEST"/>
    <s v="FQ108 - San Alberto, Cesar"/>
    <x v="9"/>
    <s v="septiembre"/>
    <n v="28"/>
    <d v="2026-09-28T00:00:00"/>
    <n v="1098714134"/>
    <s v="JAIMES  ILDA"/>
    <n v="8"/>
    <n v="0"/>
    <n v="369370"/>
  </r>
  <r>
    <s v="Franquicias Sell Out QUEST"/>
    <s v="FQ108 - San Alberto, Cesar"/>
    <x v="9"/>
    <s v="septiembre"/>
    <n v="29"/>
    <d v="2026-09-29T00:00:00"/>
    <m/>
    <m/>
    <n v="0"/>
    <n v="2273896"/>
    <n v="0"/>
  </r>
  <r>
    <s v="Franquicias Sell Out QUEST"/>
    <s v="FQ108 - San Alberto, Cesar"/>
    <x v="9"/>
    <s v="septiembre"/>
    <n v="29"/>
    <d v="2026-09-29T00:00:00"/>
    <n v="37328309"/>
    <s v="BATISTA  CLAUDIA SIOMARA"/>
    <n v="64"/>
    <n v="0"/>
    <n v="3190340"/>
  </r>
  <r>
    <s v="Franquicias Sell Out QUEST"/>
    <s v="FQ108 - San Alberto, Cesar"/>
    <x v="9"/>
    <s v="septiembre"/>
    <n v="29"/>
    <d v="2026-09-29T00:00:00"/>
    <n v="1065245877"/>
    <s v="JIMENEZ DUARTE DANIELA"/>
    <n v="8"/>
    <n v="0"/>
    <n v="403027"/>
  </r>
  <r>
    <s v="Franquicias Sell Out QUEST"/>
    <s v="FQ108 - San Alberto, Cesar"/>
    <x v="9"/>
    <s v="septiembre"/>
    <n v="29"/>
    <d v="2026-09-29T00:00:00"/>
    <n v="1098714134"/>
    <s v="JAIMES  ILDA"/>
    <n v="7"/>
    <n v="0"/>
    <n v="272732"/>
  </r>
  <r>
    <s v="Franquicias Sell Out QUEST"/>
    <s v="FQ108 - San Alberto, Cesar"/>
    <x v="9"/>
    <s v="septiembre"/>
    <n v="30"/>
    <d v="2026-09-30T00:00:00"/>
    <m/>
    <m/>
    <n v="0"/>
    <n v="2408131"/>
    <n v="0"/>
  </r>
  <r>
    <s v="Franquicias Sell Out QUEST"/>
    <s v="FQ108 - San Alberto, Cesar"/>
    <x v="9"/>
    <s v="septiembre"/>
    <n v="30"/>
    <d v="2026-09-30T00:00:00"/>
    <n v="37328309"/>
    <s v="BATISTA  CLAUDIA SIOMARA"/>
    <n v="82"/>
    <n v="0"/>
    <n v="4323744"/>
  </r>
  <r>
    <s v="Franquicias Sell Out QUEST"/>
    <s v="FQ108 - San Alberto, Cesar"/>
    <x v="9"/>
    <s v="septiembre"/>
    <n v="30"/>
    <d v="2026-09-30T00:00:00"/>
    <n v="1098714134"/>
    <s v="JAIMES  ILDA"/>
    <n v="-1"/>
    <n v="0"/>
    <n v="-75546"/>
  </r>
  <r>
    <s v="Franquicias Sell Out QUEST"/>
    <s v="FQ108 - San Alberto, Cesar"/>
    <x v="9"/>
    <s v="octubre"/>
    <n v="1"/>
    <d v="2026-10-01T00:00:00"/>
    <m/>
    <m/>
    <n v="0"/>
    <n v="6149268"/>
    <n v="0"/>
  </r>
  <r>
    <s v="Franquicias Sell Out QUEST"/>
    <s v="FQ108 - San Alberto, Cesar"/>
    <x v="9"/>
    <s v="octubre"/>
    <n v="1"/>
    <d v="2026-10-01T00:00:00"/>
    <n v="37328309"/>
    <s v="BATISTA  CLAUDIA SIOMARA"/>
    <n v="118"/>
    <n v="0"/>
    <n v="5986223"/>
  </r>
  <r>
    <s v="Franquicias Sell Out QUEST"/>
    <s v="FQ108 - San Alberto, Cesar"/>
    <x v="9"/>
    <s v="octubre"/>
    <n v="1"/>
    <d v="2026-10-01T00:00:00"/>
    <n v="1065245877"/>
    <s v="JIMENEZ DUARTE DANIELA"/>
    <n v="2"/>
    <n v="0"/>
    <n v="83950"/>
  </r>
  <r>
    <s v="Franquicias Sell Out QUEST"/>
    <s v="FQ108 - San Alberto, Cesar"/>
    <x v="9"/>
    <s v="octubre"/>
    <n v="2"/>
    <d v="2026-10-02T00:00:00"/>
    <m/>
    <m/>
    <n v="0"/>
    <n v="6014457"/>
    <n v="0"/>
  </r>
  <r>
    <s v="Franquicias Sell Out QUEST"/>
    <s v="FQ108 - San Alberto, Cesar"/>
    <x v="9"/>
    <s v="octubre"/>
    <n v="2"/>
    <d v="2026-10-02T00:00:00"/>
    <n v="37328309"/>
    <s v="BATISTA  CLAUDIA SIOMARA"/>
    <n v="83"/>
    <n v="0"/>
    <n v="4004794"/>
  </r>
  <r>
    <s v="Franquicias Sell Out QUEST"/>
    <s v="FQ108 - San Alberto, Cesar"/>
    <x v="9"/>
    <s v="octubre"/>
    <n v="2"/>
    <d v="2026-10-02T00:00:00"/>
    <n v="1065245877"/>
    <s v="JIMENEZ DUARTE DANIELA"/>
    <n v="5"/>
    <n v="0"/>
    <n v="298109"/>
  </r>
  <r>
    <s v="Franquicias Sell Out QUEST"/>
    <s v="FQ108 - San Alberto, Cesar"/>
    <x v="9"/>
    <s v="octubre"/>
    <n v="2"/>
    <d v="2026-10-02T00:00:00"/>
    <n v="1098714134"/>
    <s v="JAIMES  ILDA"/>
    <n v="32"/>
    <n v="0"/>
    <n v="1527857"/>
  </r>
  <r>
    <s v="Franquicias Sell Out QUEST"/>
    <s v="FQ108 - San Alberto, Cesar"/>
    <x v="9"/>
    <s v="octubre"/>
    <n v="3"/>
    <d v="2026-10-03T00:00:00"/>
    <m/>
    <m/>
    <n v="0"/>
    <n v="8253647"/>
    <n v="0"/>
  </r>
  <r>
    <s v="Franquicias Sell Out QUEST"/>
    <s v="FQ108 - San Alberto, Cesar"/>
    <x v="9"/>
    <s v="octubre"/>
    <n v="3"/>
    <d v="2026-10-03T00:00:00"/>
    <n v="37328309"/>
    <s v="BATISTA  CLAUDIA SIOMARA"/>
    <n v="167"/>
    <n v="0"/>
    <n v="8177867"/>
  </r>
  <r>
    <s v="Franquicias Sell Out QUEST"/>
    <s v="FQ108 - San Alberto, Cesar"/>
    <x v="9"/>
    <s v="octubre"/>
    <n v="3"/>
    <d v="2026-10-03T00:00:00"/>
    <n v="1065245877"/>
    <s v="JIMENEZ DUARTE DANIELA"/>
    <n v="7"/>
    <n v="0"/>
    <n v="293412"/>
  </r>
  <r>
    <s v="Franquicias Sell Out QUEST"/>
    <s v="FQ108 - San Alberto, Cesar"/>
    <x v="9"/>
    <s v="octubre"/>
    <n v="4"/>
    <d v="2026-10-04T00:00:00"/>
    <m/>
    <m/>
    <n v="0"/>
    <n v="3371601"/>
    <n v="0"/>
  </r>
  <r>
    <s v="Franquicias Sell Out QUEST"/>
    <s v="FQ108 - San Alberto, Cesar"/>
    <x v="9"/>
    <s v="octubre"/>
    <n v="4"/>
    <d v="2026-10-04T00:00:00"/>
    <n v="37328309"/>
    <s v="BATISTA  CLAUDIA SIOMARA"/>
    <n v="61"/>
    <n v="0"/>
    <n v="2965551"/>
  </r>
  <r>
    <s v="Franquicias Sell Out QUEST"/>
    <s v="FQ108 - San Alberto, Cesar"/>
    <x v="9"/>
    <s v="octubre"/>
    <n v="5"/>
    <d v="2026-10-05T00:00:00"/>
    <m/>
    <m/>
    <n v="0"/>
    <n v="3742762"/>
    <n v="0"/>
  </r>
  <r>
    <s v="Franquicias Sell Out QUEST"/>
    <s v="FQ108 - San Alberto, Cesar"/>
    <x v="9"/>
    <s v="octubre"/>
    <n v="5"/>
    <d v="2026-10-05T00:00:00"/>
    <n v="37328309"/>
    <s v="BATISTA  CLAUDIA SIOMARA"/>
    <n v="88"/>
    <n v="0"/>
    <n v="4489589"/>
  </r>
  <r>
    <s v="Franquicias Sell Out QUEST"/>
    <s v="FQ108 - San Alberto, Cesar"/>
    <x v="9"/>
    <s v="octubre"/>
    <n v="5"/>
    <d v="2026-10-05T00:00:00"/>
    <n v="1065245127"/>
    <s v="SANCHEZ BATISTA EUDER CAMILO"/>
    <n v="1"/>
    <n v="0"/>
    <n v="54580"/>
  </r>
  <r>
    <s v="Franquicias Sell Out QUEST"/>
    <s v="FQ108 - San Alberto, Cesar"/>
    <x v="9"/>
    <s v="octubre"/>
    <n v="5"/>
    <d v="2026-10-05T00:00:00"/>
    <n v="1065245877"/>
    <s v="JIMENEZ DUARTE DANIELA"/>
    <n v="1"/>
    <n v="0"/>
    <n v="37773"/>
  </r>
  <r>
    <s v="Franquicias Sell Out QUEST"/>
    <s v="FQ108 - San Alberto, Cesar"/>
    <x v="9"/>
    <s v="octubre"/>
    <n v="5"/>
    <d v="2026-10-05T00:00:00"/>
    <n v="1098714134"/>
    <s v="JAIMES  ILDA"/>
    <n v="-2"/>
    <n v="0"/>
    <n v="-83950"/>
  </r>
  <r>
    <s v="Franquicias Sell Out QUEST"/>
    <s v="FQ108 - San Alberto, Cesar"/>
    <x v="9"/>
    <s v="octubre"/>
    <n v="6"/>
    <d v="2026-10-06T00:00:00"/>
    <m/>
    <m/>
    <n v="0"/>
    <n v="627003"/>
    <n v="0"/>
  </r>
  <r>
    <s v="Franquicias Sell Out QUEST"/>
    <s v="FQ108 - San Alberto, Cesar"/>
    <x v="9"/>
    <s v="octubre"/>
    <n v="6"/>
    <d v="2026-10-06T00:00:00"/>
    <n v="37328309"/>
    <s v="BATISTA  CLAUDIA SIOMARA"/>
    <n v="58"/>
    <n v="0"/>
    <n v="3103263"/>
  </r>
  <r>
    <s v="Franquicias Sell Out QUEST"/>
    <s v="FQ108 - San Alberto, Cesar"/>
    <x v="9"/>
    <s v="octubre"/>
    <n v="6"/>
    <d v="2026-10-06T00:00:00"/>
    <n v="1065245877"/>
    <s v="JIMENEZ DUARTE DANIELA"/>
    <n v="2"/>
    <n v="0"/>
    <n v="46092"/>
  </r>
  <r>
    <s v="Franquicias Sell Out QUEST"/>
    <s v="FQ108 - San Alberto, Cesar"/>
    <x v="9"/>
    <s v="octubre"/>
    <n v="7"/>
    <d v="2026-10-07T00:00:00"/>
    <m/>
    <m/>
    <n v="0"/>
    <n v="550544"/>
    <n v="0"/>
  </r>
  <r>
    <s v="Franquicias Sell Out QUEST"/>
    <s v="FQ108 - San Alberto, Cesar"/>
    <x v="9"/>
    <s v="octubre"/>
    <n v="7"/>
    <d v="2026-10-07T00:00:00"/>
    <n v="37328309"/>
    <s v="BATISTA  CLAUDIA SIOMARA"/>
    <n v="70"/>
    <n v="0"/>
    <n v="3986053"/>
  </r>
  <r>
    <s v="Franquicias Sell Out QUEST"/>
    <s v="Fq113 - Barrancabermeja Centro"/>
    <x v="9"/>
    <s v="septiembre"/>
    <n v="23"/>
    <d v="2026-09-23T00:00:00"/>
    <m/>
    <m/>
    <n v="0"/>
    <n v="3254293"/>
    <n v="0"/>
  </r>
  <r>
    <s v="Franquicias Sell Out QUEST"/>
    <s v="Fq113 - Barrancabermeja Centro"/>
    <x v="9"/>
    <s v="septiembre"/>
    <n v="23"/>
    <d v="2026-09-23T00:00:00"/>
    <n v="1096230282"/>
    <s v="LÓPEZ GUERRA KASSANDRA"/>
    <n v="49"/>
    <n v="0"/>
    <n v="2376117"/>
  </r>
  <r>
    <s v="Franquicias Sell Out QUEST"/>
    <s v="Fq113 - Barrancabermeja Centro"/>
    <x v="9"/>
    <s v="septiembre"/>
    <n v="23"/>
    <d v="2026-09-23T00:00:00"/>
    <n v="1096246264"/>
    <s v="TORRES  TATIANA"/>
    <n v="82"/>
    <n v="0"/>
    <n v="4101600"/>
  </r>
  <r>
    <s v="Franquicias Sell Out QUEST"/>
    <s v="Fq113 - Barrancabermeja Centro"/>
    <x v="9"/>
    <s v="septiembre"/>
    <n v="24"/>
    <d v="2026-09-24T00:00:00"/>
    <m/>
    <m/>
    <n v="0"/>
    <n v="8416224"/>
    <n v="0"/>
  </r>
  <r>
    <s v="Franquicias Sell Out QUEST"/>
    <s v="Fq113 - Barrancabermeja Centro"/>
    <x v="9"/>
    <s v="septiembre"/>
    <n v="24"/>
    <d v="2026-09-24T00:00:00"/>
    <n v="1096230282"/>
    <s v="LÓPEZ GUERRA KASSANDRA"/>
    <n v="38"/>
    <n v="0"/>
    <n v="1716894"/>
  </r>
  <r>
    <s v="Franquicias Sell Out QUEST"/>
    <s v="Fq113 - Barrancabermeja Centro"/>
    <x v="9"/>
    <s v="septiembre"/>
    <n v="24"/>
    <d v="2026-09-24T00:00:00"/>
    <n v="1096246264"/>
    <s v="TORRES  TATIANA"/>
    <n v="112"/>
    <n v="0"/>
    <n v="5808323"/>
  </r>
  <r>
    <s v="Franquicias Sell Out QUEST"/>
    <s v="Fq113 - Barrancabermeja Centro"/>
    <x v="9"/>
    <s v="septiembre"/>
    <n v="25"/>
    <d v="2026-09-25T00:00:00"/>
    <m/>
    <m/>
    <n v="0"/>
    <n v="8988985"/>
    <n v="0"/>
  </r>
  <r>
    <s v="Franquicias Sell Out QUEST"/>
    <s v="Fq113 - Barrancabermeja Centro"/>
    <x v="9"/>
    <s v="septiembre"/>
    <n v="25"/>
    <d v="2026-09-25T00:00:00"/>
    <n v="1096205264"/>
    <s v="PEÑA AFANADOR YESICA PAOLA"/>
    <n v="77"/>
    <n v="0"/>
    <n v="4089160"/>
  </r>
  <r>
    <s v="Franquicias Sell Out QUEST"/>
    <s v="Fq113 - Barrancabermeja Centro"/>
    <x v="9"/>
    <s v="septiembre"/>
    <n v="25"/>
    <d v="2026-09-25T00:00:00"/>
    <n v="1096230282"/>
    <s v="LÓPEZ GUERRA KASSANDRA"/>
    <n v="54"/>
    <n v="0"/>
    <n v="2827567"/>
  </r>
  <r>
    <s v="Franquicias Sell Out QUEST"/>
    <s v="Fq113 - Barrancabermeja Centro"/>
    <x v="9"/>
    <s v="septiembre"/>
    <n v="25"/>
    <d v="2026-09-25T00:00:00"/>
    <n v="1096252142"/>
    <s v="PAVA VIRGUETT NATALIA YULIZA"/>
    <n v="47"/>
    <n v="0"/>
    <n v="2420298"/>
  </r>
  <r>
    <s v="Franquicias Sell Out QUEST"/>
    <s v="Fq113 - Barrancabermeja Centro"/>
    <x v="9"/>
    <s v="septiembre"/>
    <n v="26"/>
    <d v="2026-09-26T00:00:00"/>
    <m/>
    <m/>
    <n v="0"/>
    <n v="11334883"/>
    <n v="0"/>
  </r>
  <r>
    <s v="Franquicias Sell Out QUEST"/>
    <s v="Fq113 - Barrancabermeja Centro"/>
    <x v="9"/>
    <s v="septiembre"/>
    <n v="26"/>
    <d v="2026-09-26T00:00:00"/>
    <n v="1096205264"/>
    <s v="PEÑA AFANADOR YESICA PAOLA"/>
    <n v="147"/>
    <n v="0"/>
    <n v="6806704"/>
  </r>
  <r>
    <s v="Franquicias Sell Out QUEST"/>
    <s v="Fq113 - Barrancabermeja Centro"/>
    <x v="9"/>
    <s v="septiembre"/>
    <n v="26"/>
    <d v="2026-09-26T00:00:00"/>
    <n v="1096230282"/>
    <s v="LÓPEZ GUERRA KASSANDRA"/>
    <n v="97"/>
    <n v="0"/>
    <n v="3981391"/>
  </r>
  <r>
    <s v="Franquicias Sell Out QUEST"/>
    <s v="Fq113 - Barrancabermeja Centro"/>
    <x v="9"/>
    <s v="septiembre"/>
    <n v="26"/>
    <d v="2026-09-26T00:00:00"/>
    <n v="1096252142"/>
    <s v="PAVA VIRGUETT NATALIA YULIZA"/>
    <n v="82"/>
    <n v="0"/>
    <n v="4137190"/>
  </r>
  <r>
    <s v="Franquicias Sell Out QUEST"/>
    <s v="Fq113 - Barrancabermeja Centro"/>
    <x v="9"/>
    <s v="septiembre"/>
    <n v="27"/>
    <d v="2026-09-27T00:00:00"/>
    <m/>
    <m/>
    <n v="0"/>
    <n v="5984711"/>
    <n v="0"/>
  </r>
  <r>
    <s v="Franquicias Sell Out QUEST"/>
    <s v="Fq113 - Barrancabermeja Centro"/>
    <x v="9"/>
    <s v="septiembre"/>
    <n v="27"/>
    <d v="2026-09-27T00:00:00"/>
    <n v="1096205264"/>
    <s v="PEÑA AFANADOR YESICA PAOLA"/>
    <n v="51"/>
    <n v="0"/>
    <n v="2466138"/>
  </r>
  <r>
    <s v="Franquicias Sell Out QUEST"/>
    <s v="Fq113 - Barrancabermeja Centro"/>
    <x v="9"/>
    <s v="septiembre"/>
    <n v="27"/>
    <d v="2026-09-27T00:00:00"/>
    <n v="1096230282"/>
    <s v="LÓPEZ GUERRA KASSANDRA"/>
    <n v="58"/>
    <n v="0"/>
    <n v="2762104"/>
  </r>
  <r>
    <s v="Franquicias Sell Out QUEST"/>
    <s v="Fq113 - Barrancabermeja Centro"/>
    <x v="9"/>
    <s v="septiembre"/>
    <n v="27"/>
    <d v="2026-09-27T00:00:00"/>
    <n v="1096252142"/>
    <s v="PAVA VIRGUETT NATALIA YULIZA"/>
    <n v="0"/>
    <n v="0"/>
    <n v="8403"/>
  </r>
  <r>
    <s v="Franquicias Sell Out QUEST"/>
    <s v="Fq113 - Barrancabermeja Centro"/>
    <x v="9"/>
    <s v="septiembre"/>
    <n v="28"/>
    <d v="2026-09-28T00:00:00"/>
    <m/>
    <m/>
    <n v="0"/>
    <n v="4906809"/>
    <n v="0"/>
  </r>
  <r>
    <s v="Franquicias Sell Out QUEST"/>
    <s v="Fq113 - Barrancabermeja Centro"/>
    <x v="9"/>
    <s v="septiembre"/>
    <n v="28"/>
    <d v="2026-09-28T00:00:00"/>
    <n v="1096230282"/>
    <s v="LÓPEZ GUERRA KASSANDRA"/>
    <n v="41"/>
    <n v="0"/>
    <n v="2122229"/>
  </r>
  <r>
    <s v="Franquicias Sell Out QUEST"/>
    <s v="Fq113 - Barrancabermeja Centro"/>
    <x v="9"/>
    <s v="septiembre"/>
    <n v="28"/>
    <d v="2026-09-28T00:00:00"/>
    <n v="1096246264"/>
    <s v="TORRES  TATIANA"/>
    <n v="18"/>
    <n v="0"/>
    <n v="994958"/>
  </r>
  <r>
    <s v="Franquicias Sell Out QUEST"/>
    <s v="Fq113 - Barrancabermeja Centro"/>
    <x v="9"/>
    <s v="septiembre"/>
    <n v="28"/>
    <d v="2026-09-28T00:00:00"/>
    <n v="1096252142"/>
    <s v="PAVA VIRGUETT NATALIA YULIZA"/>
    <n v="49"/>
    <n v="0"/>
    <n v="2430672"/>
  </r>
  <r>
    <s v="Franquicias Sell Out QUEST"/>
    <s v="Fq113 - Barrancabermeja Centro"/>
    <x v="9"/>
    <s v="septiembre"/>
    <n v="29"/>
    <d v="2026-09-29T00:00:00"/>
    <m/>
    <m/>
    <n v="0"/>
    <n v="5454925"/>
    <n v="0"/>
  </r>
  <r>
    <s v="Franquicias Sell Out QUEST"/>
    <s v="Fq113 - Barrancabermeja Centro"/>
    <x v="9"/>
    <s v="septiembre"/>
    <n v="29"/>
    <d v="2026-09-29T00:00:00"/>
    <n v="1096230282"/>
    <s v="LÓPEZ GUERRA KASSANDRA"/>
    <n v="24"/>
    <n v="0"/>
    <n v="1118614"/>
  </r>
  <r>
    <s v="Franquicias Sell Out QUEST"/>
    <s v="Fq113 - Barrancabermeja Centro"/>
    <x v="9"/>
    <s v="septiembre"/>
    <n v="29"/>
    <d v="2026-09-29T00:00:00"/>
    <n v="1096252142"/>
    <s v="PAVA VIRGUETT NATALIA YULIZA"/>
    <n v="67"/>
    <n v="0"/>
    <n v="3389582"/>
  </r>
  <r>
    <s v="Franquicias Sell Out QUEST"/>
    <s v="Fq113 - Barrancabermeja Centro"/>
    <x v="9"/>
    <s v="septiembre"/>
    <n v="30"/>
    <d v="2026-09-30T00:00:00"/>
    <m/>
    <m/>
    <n v="0"/>
    <n v="5776935"/>
    <n v="0"/>
  </r>
  <r>
    <s v="Franquicias Sell Out QUEST"/>
    <s v="Fq113 - Barrancabermeja Centro"/>
    <x v="9"/>
    <s v="septiembre"/>
    <n v="30"/>
    <d v="2026-09-30T00:00:00"/>
    <n v="1096230282"/>
    <s v="LÓPEZ GUERRA KASSANDRA"/>
    <n v="57"/>
    <n v="0"/>
    <n v="2442692"/>
  </r>
  <r>
    <s v="Franquicias Sell Out QUEST"/>
    <s v="Fq113 - Barrancabermeja Centro"/>
    <x v="9"/>
    <s v="septiembre"/>
    <n v="30"/>
    <d v="2026-09-30T00:00:00"/>
    <n v="1096246264"/>
    <s v="TORRES  TATIANA"/>
    <n v="43"/>
    <n v="0"/>
    <n v="2153361"/>
  </r>
  <r>
    <s v="Franquicias Sell Out QUEST"/>
    <s v="Fq113 - Barrancabermeja Centro"/>
    <x v="9"/>
    <s v="octubre"/>
    <n v="1"/>
    <d v="2026-10-01T00:00:00"/>
    <m/>
    <m/>
    <n v="0"/>
    <n v="11728146"/>
    <n v="0"/>
  </r>
  <r>
    <s v="Franquicias Sell Out QUEST"/>
    <s v="Fq113 - Barrancabermeja Centro"/>
    <x v="9"/>
    <s v="octubre"/>
    <n v="1"/>
    <d v="2026-10-01T00:00:00"/>
    <n v="1096230282"/>
    <s v="LÓPEZ GUERRA KASSANDRA"/>
    <n v="80"/>
    <n v="0"/>
    <n v="3555003"/>
  </r>
  <r>
    <s v="Franquicias Sell Out QUEST"/>
    <s v="Fq113 - Barrancabermeja Centro"/>
    <x v="9"/>
    <s v="octubre"/>
    <n v="1"/>
    <d v="2026-10-01T00:00:00"/>
    <n v="1096246264"/>
    <s v="TORRES  TATIANA"/>
    <n v="88"/>
    <n v="0"/>
    <n v="3693446"/>
  </r>
  <r>
    <s v="Franquicias Sell Out QUEST"/>
    <s v="Fq113 - Barrancabermeja Centro"/>
    <x v="9"/>
    <s v="octubre"/>
    <n v="2"/>
    <d v="2026-10-02T00:00:00"/>
    <m/>
    <m/>
    <n v="0"/>
    <n v="14173814"/>
    <n v="0"/>
  </r>
  <r>
    <s v="Franquicias Sell Out QUEST"/>
    <s v="Fq113 - Barrancabermeja Centro"/>
    <x v="9"/>
    <s v="octubre"/>
    <n v="2"/>
    <d v="2026-10-02T00:00:00"/>
    <n v="1096205264"/>
    <s v="PEÑA AFANADOR YESICA PAOLA"/>
    <n v="66"/>
    <n v="0"/>
    <n v="2984247"/>
  </r>
  <r>
    <s v="Franquicias Sell Out QUEST"/>
    <s v="Fq113 - Barrancabermeja Centro"/>
    <x v="9"/>
    <s v="octubre"/>
    <n v="2"/>
    <d v="2026-10-02T00:00:00"/>
    <n v="1096230282"/>
    <s v="LÓPEZ GUERRA KASSANDRA"/>
    <n v="26"/>
    <n v="0"/>
    <n v="1065926"/>
  </r>
  <r>
    <s v="Franquicias Sell Out QUEST"/>
    <s v="Fq113 - Barrancabermeja Centro"/>
    <x v="9"/>
    <s v="octubre"/>
    <n v="2"/>
    <d v="2026-10-02T00:00:00"/>
    <n v="1096246264"/>
    <s v="TORRES  TATIANA"/>
    <n v="22"/>
    <n v="0"/>
    <n v="1103782"/>
  </r>
  <r>
    <s v="Franquicias Sell Out QUEST"/>
    <s v="Fq113 - Barrancabermeja Centro"/>
    <x v="9"/>
    <s v="octubre"/>
    <n v="2"/>
    <d v="2026-10-02T00:00:00"/>
    <n v="1096252142"/>
    <s v="PAVA VIRGUETT NATALIA YULIZA"/>
    <n v="40"/>
    <n v="0"/>
    <n v="2124203"/>
  </r>
  <r>
    <s v="Franquicias Sell Out QUEST"/>
    <s v="Fq113 - Barrancabermeja Centro"/>
    <x v="9"/>
    <s v="octubre"/>
    <n v="3"/>
    <d v="2026-10-03T00:00:00"/>
    <m/>
    <m/>
    <n v="0"/>
    <n v="21966522"/>
    <n v="0"/>
  </r>
  <r>
    <s v="Franquicias Sell Out QUEST"/>
    <s v="Fq113 - Barrancabermeja Centro"/>
    <x v="9"/>
    <s v="octubre"/>
    <n v="3"/>
    <d v="2026-10-03T00:00:00"/>
    <n v="1096205264"/>
    <s v="PEÑA AFANADOR YESICA PAOLA"/>
    <n v="89"/>
    <n v="0"/>
    <n v="3952451"/>
  </r>
  <r>
    <s v="Franquicias Sell Out QUEST"/>
    <s v="Fq113 - Barrancabermeja Centro"/>
    <x v="9"/>
    <s v="octubre"/>
    <n v="3"/>
    <d v="2026-10-03T00:00:00"/>
    <n v="1096230282"/>
    <s v="LÓPEZ GUERRA KASSANDRA"/>
    <n v="36"/>
    <n v="0"/>
    <n v="1589943"/>
  </r>
  <r>
    <s v="Franquicias Sell Out QUEST"/>
    <s v="Fq113 - Barrancabermeja Centro"/>
    <x v="9"/>
    <s v="octubre"/>
    <n v="3"/>
    <d v="2026-10-03T00:00:00"/>
    <n v="1096246264"/>
    <s v="TORRES  TATIANA"/>
    <n v="60"/>
    <n v="0"/>
    <n v="2922944"/>
  </r>
  <r>
    <s v="Franquicias Sell Out QUEST"/>
    <s v="Fq113 - Barrancabermeja Centro"/>
    <x v="9"/>
    <s v="octubre"/>
    <n v="3"/>
    <d v="2026-10-03T00:00:00"/>
    <n v="1096252142"/>
    <s v="PAVA VIRGUETT NATALIA YULIZA"/>
    <n v="39"/>
    <n v="0"/>
    <n v="1847758"/>
  </r>
  <r>
    <s v="Franquicias Sell Out QUEST"/>
    <s v="Fq113 - Barrancabermeja Centro"/>
    <x v="9"/>
    <s v="octubre"/>
    <n v="4"/>
    <d v="2026-10-04T00:00:00"/>
    <m/>
    <m/>
    <n v="0"/>
    <n v="9998840"/>
    <n v="0"/>
  </r>
  <r>
    <s v="Franquicias Sell Out QUEST"/>
    <s v="Fq113 - Barrancabermeja Centro"/>
    <x v="9"/>
    <s v="octubre"/>
    <n v="4"/>
    <d v="2026-10-04T00:00:00"/>
    <n v="1096230282"/>
    <s v="LÓPEZ GUERRA KASSANDRA"/>
    <n v="41"/>
    <n v="0"/>
    <n v="2161976"/>
  </r>
  <r>
    <s v="Franquicias Sell Out QUEST"/>
    <s v="Fq113 - Barrancabermeja Centro"/>
    <x v="9"/>
    <s v="octubre"/>
    <n v="4"/>
    <d v="2026-10-04T00:00:00"/>
    <n v="1096246264"/>
    <s v="TORRES  TATIANA"/>
    <n v="96"/>
    <n v="0"/>
    <n v="4530802"/>
  </r>
  <r>
    <s v="Franquicias Sell Out QUEST"/>
    <s v="Fq113 - Barrancabermeja Centro"/>
    <x v="9"/>
    <s v="octubre"/>
    <n v="5"/>
    <d v="2026-10-05T00:00:00"/>
    <m/>
    <m/>
    <n v="0"/>
    <n v="7147011"/>
    <n v="0"/>
  </r>
  <r>
    <s v="Franquicias Sell Out QUEST"/>
    <s v="Fq113 - Barrancabermeja Centro"/>
    <x v="9"/>
    <s v="octubre"/>
    <n v="5"/>
    <d v="2026-10-05T00:00:00"/>
    <n v="1096230282"/>
    <s v="LÓPEZ GUERRA KASSANDRA"/>
    <n v="55"/>
    <n v="0"/>
    <n v="2253445"/>
  </r>
  <r>
    <s v="Franquicias Sell Out QUEST"/>
    <s v="Fq113 - Barrancabermeja Centro"/>
    <x v="9"/>
    <s v="octubre"/>
    <n v="5"/>
    <d v="2026-10-05T00:00:00"/>
    <n v="1096246264"/>
    <s v="TORRES  TATIANA"/>
    <n v="72"/>
    <n v="0"/>
    <n v="3633151"/>
  </r>
  <r>
    <s v="Franquicias Sell Out QUEST"/>
    <s v="Fq113 - Barrancabermeja Centro"/>
    <x v="9"/>
    <s v="octubre"/>
    <n v="6"/>
    <d v="2026-10-06T00:00:00"/>
    <m/>
    <m/>
    <n v="0"/>
    <n v="1267776"/>
    <n v="0"/>
  </r>
  <r>
    <s v="Franquicias Sell Out QUEST"/>
    <s v="Fq113 - Barrancabermeja Centro"/>
    <x v="9"/>
    <s v="octubre"/>
    <n v="6"/>
    <d v="2026-10-06T00:00:00"/>
    <n v="1096230282"/>
    <s v="LÓPEZ GUERRA KASSANDRA"/>
    <n v="26"/>
    <n v="0"/>
    <n v="1103699"/>
  </r>
  <r>
    <s v="Franquicias Sell Out QUEST"/>
    <s v="Fq113 - Barrancabermeja Centro"/>
    <x v="9"/>
    <s v="octubre"/>
    <n v="6"/>
    <d v="2026-10-06T00:00:00"/>
    <n v="1096246264"/>
    <s v="TORRES  TATIANA"/>
    <n v="27"/>
    <n v="0"/>
    <n v="1198235"/>
  </r>
  <r>
    <s v="Franquicias Sell Out QUEST"/>
    <s v="Fq113 - Barrancabermeja Centro"/>
    <x v="9"/>
    <s v="octubre"/>
    <n v="7"/>
    <d v="2026-10-07T00:00:00"/>
    <m/>
    <m/>
    <n v="0"/>
    <n v="477728"/>
    <n v="0"/>
  </r>
  <r>
    <s v="Franquicias Sell Out QUEST"/>
    <s v="Fq113 - Barrancabermeja Centro"/>
    <x v="9"/>
    <s v="octubre"/>
    <n v="7"/>
    <d v="2026-10-07T00:00:00"/>
    <n v="1096230282"/>
    <s v="LÓPEZ GUERRA KASSANDRA"/>
    <n v="32"/>
    <n v="0"/>
    <n v="1634915"/>
  </r>
  <r>
    <s v="Franquicias Sell Out QUEST"/>
    <s v="Fq113 - Barrancabermeja Centro"/>
    <x v="9"/>
    <s v="octubre"/>
    <n v="7"/>
    <d v="2026-10-07T00:00:00"/>
    <n v="1096246264"/>
    <s v="TORRES  TATIANA"/>
    <n v="28"/>
    <n v="0"/>
    <n v="1157984"/>
  </r>
  <r>
    <s v="Franquicias Sell Out QUEST"/>
    <s v="Fq114 - Bucaramanga - Cc Cacique"/>
    <x v="9"/>
    <s v="septiembre"/>
    <n v="23"/>
    <d v="2026-09-23T00:00:00"/>
    <m/>
    <m/>
    <n v="0"/>
    <n v="4212935"/>
    <n v="0"/>
  </r>
  <r>
    <s v="Franquicias Sell Out QUEST"/>
    <s v="Fq114 - Bucaramanga - Cc Cacique"/>
    <x v="9"/>
    <s v="septiembre"/>
    <n v="23"/>
    <d v="2026-09-23T00:00:00"/>
    <n v="53068903"/>
    <s v="PARRA  NOHORA"/>
    <n v="6"/>
    <n v="0"/>
    <n v="331681"/>
  </r>
  <r>
    <s v="Franquicias Sell Out QUEST"/>
    <s v="Fq114 - Bucaramanga - Cc Cacique"/>
    <x v="9"/>
    <s v="septiembre"/>
    <n v="23"/>
    <d v="2026-09-23T00:00:00"/>
    <n v="1098785246"/>
    <s v="DÍAZ SANDOVAL VIVIANA ANDREA"/>
    <n v="91"/>
    <n v="0"/>
    <n v="4870170"/>
  </r>
  <r>
    <s v="Franquicias Sell Out QUEST"/>
    <s v="Fq114 - Bucaramanga - Cc Cacique"/>
    <x v="9"/>
    <s v="septiembre"/>
    <n v="24"/>
    <d v="2026-09-24T00:00:00"/>
    <m/>
    <m/>
    <n v="0"/>
    <n v="10895461"/>
    <n v="0"/>
  </r>
  <r>
    <s v="Franquicias Sell Out QUEST"/>
    <s v="Fq114 - Bucaramanga - Cc Cacique"/>
    <x v="9"/>
    <s v="septiembre"/>
    <n v="24"/>
    <d v="2026-09-24T00:00:00"/>
    <n v="53068903"/>
    <s v="PARRA  NOHORA"/>
    <n v="0"/>
    <n v="0"/>
    <n v="0"/>
  </r>
  <r>
    <s v="Franquicias Sell Out QUEST"/>
    <s v="Fq114 - Bucaramanga - Cc Cacique"/>
    <x v="9"/>
    <s v="septiembre"/>
    <n v="24"/>
    <d v="2026-09-24T00:00:00"/>
    <n v="1005199869"/>
    <s v="GÓMEZ VILLAMIL STEVEN ANDRÉS"/>
    <n v="7"/>
    <n v="0"/>
    <n v="352689"/>
  </r>
  <r>
    <s v="Franquicias Sell Out QUEST"/>
    <s v="Fq114 - Bucaramanga - Cc Cacique"/>
    <x v="9"/>
    <s v="septiembre"/>
    <n v="24"/>
    <d v="2026-09-24T00:00:00"/>
    <n v="1098785246"/>
    <s v="DÍAZ SANDOVAL VIVIANA ANDREA"/>
    <n v="97"/>
    <n v="0"/>
    <n v="5668194"/>
  </r>
  <r>
    <s v="Franquicias Sell Out QUEST"/>
    <s v="Fq114 - Bucaramanga - Cc Cacique"/>
    <x v="9"/>
    <s v="septiembre"/>
    <n v="25"/>
    <d v="2026-09-25T00:00:00"/>
    <m/>
    <m/>
    <n v="0"/>
    <n v="11636946"/>
    <n v="0"/>
  </r>
  <r>
    <s v="Franquicias Sell Out QUEST"/>
    <s v="Fq114 - Bucaramanga - Cc Cacique"/>
    <x v="9"/>
    <s v="septiembre"/>
    <n v="25"/>
    <d v="2026-09-25T00:00:00"/>
    <n v="53068903"/>
    <s v="PARRA  NOHORA"/>
    <n v="55"/>
    <n v="0"/>
    <n v="3117440"/>
  </r>
  <r>
    <s v="Franquicias Sell Out QUEST"/>
    <s v="Fq114 - Bucaramanga - Cc Cacique"/>
    <x v="9"/>
    <s v="septiembre"/>
    <n v="25"/>
    <d v="2026-09-25T00:00:00"/>
    <n v="1005199869"/>
    <s v="GÓMEZ VILLAMIL STEVEN ANDRÉS"/>
    <n v="12"/>
    <n v="0"/>
    <n v="633951"/>
  </r>
  <r>
    <s v="Franquicias Sell Out QUEST"/>
    <s v="Fq114 - Bucaramanga - Cc Cacique"/>
    <x v="9"/>
    <s v="septiembre"/>
    <n v="25"/>
    <d v="2026-09-25T00:00:00"/>
    <n v="1005372930"/>
    <s v="FLOREZ  JOHAN"/>
    <n v="-1"/>
    <n v="0"/>
    <n v="-50378"/>
  </r>
  <r>
    <s v="Franquicias Sell Out QUEST"/>
    <s v="Fq114 - Bucaramanga - Cc Cacique"/>
    <x v="9"/>
    <s v="septiembre"/>
    <n v="25"/>
    <d v="2026-09-25T00:00:00"/>
    <n v="1098785246"/>
    <s v="DÍAZ SANDOVAL VIVIANA ANDREA"/>
    <n v="82"/>
    <n v="0"/>
    <n v="4204542"/>
  </r>
  <r>
    <s v="Franquicias Sell Out QUEST"/>
    <s v="Fq114 - Bucaramanga - Cc Cacique"/>
    <x v="9"/>
    <s v="septiembre"/>
    <n v="26"/>
    <d v="2026-09-26T00:00:00"/>
    <m/>
    <m/>
    <n v="0"/>
    <n v="14673897"/>
    <n v="0"/>
  </r>
  <r>
    <s v="Franquicias Sell Out QUEST"/>
    <s v="Fq114 - Bucaramanga - Cc Cacique"/>
    <x v="9"/>
    <s v="septiembre"/>
    <n v="26"/>
    <d v="2026-09-26T00:00:00"/>
    <n v="53068903"/>
    <s v="PARRA  NOHORA"/>
    <n v="51"/>
    <n v="0"/>
    <n v="3270886"/>
  </r>
  <r>
    <s v="Franquicias Sell Out QUEST"/>
    <s v="Fq114 - Bucaramanga - Cc Cacique"/>
    <x v="9"/>
    <s v="septiembre"/>
    <n v="26"/>
    <d v="2026-09-26T00:00:00"/>
    <n v="1005029713"/>
    <s v="GALLARDO MANZANO  KAREN DAYANA"/>
    <n v="-1"/>
    <n v="0"/>
    <n v="-37773"/>
  </r>
  <r>
    <s v="Franquicias Sell Out QUEST"/>
    <s v="Fq114 - Bucaramanga - Cc Cacique"/>
    <x v="9"/>
    <s v="septiembre"/>
    <n v="26"/>
    <d v="2026-09-26T00:00:00"/>
    <n v="1005199869"/>
    <s v="GÓMEZ VILLAMIL STEVEN ANDRÉS"/>
    <n v="38"/>
    <n v="0"/>
    <n v="2002607"/>
  </r>
  <r>
    <s v="Franquicias Sell Out QUEST"/>
    <s v="Fq114 - Bucaramanga - Cc Cacique"/>
    <x v="9"/>
    <s v="septiembre"/>
    <n v="26"/>
    <d v="2026-09-26T00:00:00"/>
    <n v="1098785246"/>
    <s v="DÍAZ SANDOVAL VIVIANA ANDREA"/>
    <n v="239"/>
    <n v="0"/>
    <n v="9894733"/>
  </r>
  <r>
    <s v="Franquicias Sell Out QUEST"/>
    <s v="Fq114 - Bucaramanga - Cc Cacique"/>
    <x v="9"/>
    <s v="septiembre"/>
    <n v="27"/>
    <d v="2026-09-27T00:00:00"/>
    <m/>
    <m/>
    <n v="0"/>
    <n v="7747676"/>
    <n v="0"/>
  </r>
  <r>
    <s v="Franquicias Sell Out QUEST"/>
    <s v="Fq114 - Bucaramanga - Cc Cacique"/>
    <x v="9"/>
    <s v="septiembre"/>
    <n v="27"/>
    <d v="2026-09-27T00:00:00"/>
    <n v="53068903"/>
    <s v="PARRA  NOHORA"/>
    <n v="51"/>
    <n v="0"/>
    <n v="3136472"/>
  </r>
  <r>
    <s v="Franquicias Sell Out QUEST"/>
    <s v="Fq114 - Bucaramanga - Cc Cacique"/>
    <x v="9"/>
    <s v="septiembre"/>
    <n v="27"/>
    <d v="2026-09-27T00:00:00"/>
    <n v="1005199869"/>
    <s v="GÓMEZ VILLAMIL STEVEN ANDRÉS"/>
    <n v="24"/>
    <n v="0"/>
    <n v="1362438"/>
  </r>
  <r>
    <s v="Franquicias Sell Out QUEST"/>
    <s v="Fq114 - Bucaramanga - Cc Cacique"/>
    <x v="9"/>
    <s v="septiembre"/>
    <n v="27"/>
    <d v="2026-09-27T00:00:00"/>
    <n v="1098785246"/>
    <s v="DÍAZ SANDOVAL VIVIANA ANDREA"/>
    <n v="110"/>
    <n v="0"/>
    <n v="6247360"/>
  </r>
  <r>
    <s v="Franquicias Sell Out QUEST"/>
    <s v="Fq114 - Bucaramanga - Cc Cacique"/>
    <x v="9"/>
    <s v="septiembre"/>
    <n v="28"/>
    <d v="2026-09-28T00:00:00"/>
    <m/>
    <m/>
    <n v="0"/>
    <n v="6352254"/>
    <n v="0"/>
  </r>
  <r>
    <s v="Franquicias Sell Out QUEST"/>
    <s v="Fq114 - Bucaramanga - Cc Cacique"/>
    <x v="9"/>
    <s v="septiembre"/>
    <n v="28"/>
    <d v="2026-09-28T00:00:00"/>
    <n v="1005199869"/>
    <s v="GÓMEZ VILLAMIL STEVEN ANDRÉS"/>
    <n v="2"/>
    <n v="0"/>
    <n v="88151"/>
  </r>
  <r>
    <s v="Franquicias Sell Out QUEST"/>
    <s v="Fq114 - Bucaramanga - Cc Cacique"/>
    <x v="9"/>
    <s v="septiembre"/>
    <n v="28"/>
    <d v="2026-09-28T00:00:00"/>
    <n v="1098785246"/>
    <s v="DÍAZ SANDOVAL VIVIANA ANDREA"/>
    <n v="42"/>
    <n v="0"/>
    <n v="1655337"/>
  </r>
  <r>
    <s v="Franquicias Sell Out QUEST"/>
    <s v="Fq114 - Bucaramanga - Cc Cacique"/>
    <x v="9"/>
    <s v="septiembre"/>
    <n v="29"/>
    <d v="2026-09-29T00:00:00"/>
    <m/>
    <m/>
    <n v="0"/>
    <n v="7061827"/>
    <n v="0"/>
  </r>
  <r>
    <s v="Franquicias Sell Out QUEST"/>
    <s v="Fq114 - Bucaramanga - Cc Cacique"/>
    <x v="9"/>
    <s v="septiembre"/>
    <n v="29"/>
    <d v="2026-09-29T00:00:00"/>
    <n v="53068903"/>
    <s v="PARRA  NOHORA"/>
    <n v="1"/>
    <n v="0"/>
    <n v="37773"/>
  </r>
  <r>
    <s v="Franquicias Sell Out QUEST"/>
    <s v="Fq114 - Bucaramanga - Cc Cacique"/>
    <x v="9"/>
    <s v="septiembre"/>
    <n v="29"/>
    <d v="2026-09-29T00:00:00"/>
    <n v="1005199869"/>
    <s v="GÓMEZ VILLAMIL STEVEN ANDRÉS"/>
    <n v="19"/>
    <n v="0"/>
    <n v="616429"/>
  </r>
  <r>
    <s v="Franquicias Sell Out QUEST"/>
    <s v="Fq114 - Bucaramanga - Cc Cacique"/>
    <x v="9"/>
    <s v="septiembre"/>
    <n v="29"/>
    <d v="2026-09-29T00:00:00"/>
    <n v="1098785246"/>
    <s v="DÍAZ SANDOVAL VIVIANA ANDREA"/>
    <n v="55"/>
    <n v="0"/>
    <n v="3245214"/>
  </r>
  <r>
    <s v="Franquicias Sell Out QUEST"/>
    <s v="Fq114 - Bucaramanga - Cc Cacique"/>
    <x v="9"/>
    <s v="septiembre"/>
    <n v="30"/>
    <d v="2026-09-30T00:00:00"/>
    <m/>
    <m/>
    <n v="0"/>
    <n v="7478700"/>
    <n v="0"/>
  </r>
  <r>
    <s v="Franquicias Sell Out QUEST"/>
    <s v="Fq114 - Bucaramanga - Cc Cacique"/>
    <x v="9"/>
    <s v="septiembre"/>
    <n v="30"/>
    <d v="2026-09-30T00:00:00"/>
    <n v="1005199869"/>
    <s v="GÓMEZ VILLAMIL STEVEN ANDRÉS"/>
    <n v="33"/>
    <n v="0"/>
    <n v="1637142"/>
  </r>
  <r>
    <s v="Franquicias Sell Out QUEST"/>
    <s v="Fq114 - Bucaramanga - Cc Cacique"/>
    <x v="9"/>
    <s v="septiembre"/>
    <n v="30"/>
    <d v="2026-09-30T00:00:00"/>
    <n v="1098785246"/>
    <s v="DÍAZ SANDOVAL VIVIANA ANDREA"/>
    <n v="69"/>
    <n v="0"/>
    <n v="3883449"/>
  </r>
  <r>
    <s v="Franquicias Sell Out QUEST"/>
    <s v="Fq114 - Bucaramanga - Cc Cacique"/>
    <x v="9"/>
    <s v="octubre"/>
    <n v="1"/>
    <d v="2026-10-01T00:00:00"/>
    <m/>
    <m/>
    <n v="0"/>
    <n v="9103313"/>
    <n v="0"/>
  </r>
  <r>
    <s v="Franquicias Sell Out QUEST"/>
    <s v="Fq114 - Bucaramanga - Cc Cacique"/>
    <x v="9"/>
    <s v="octubre"/>
    <n v="1"/>
    <d v="2026-10-01T00:00:00"/>
    <n v="1005199869"/>
    <s v="GÓMEZ VILLAMIL STEVEN ANDRÉS"/>
    <n v="21"/>
    <n v="0"/>
    <n v="1040799"/>
  </r>
  <r>
    <s v="Franquicias Sell Out QUEST"/>
    <s v="Fq114 - Bucaramanga - Cc Cacique"/>
    <x v="9"/>
    <s v="octubre"/>
    <n v="1"/>
    <d v="2026-10-01T00:00:00"/>
    <n v="1098785246"/>
    <s v="DÍAZ SANDOVAL VIVIANA ANDREA"/>
    <n v="59"/>
    <n v="0"/>
    <n v="3816177"/>
  </r>
  <r>
    <s v="Franquicias Sell Out QUEST"/>
    <s v="Fq114 - Bucaramanga - Cc Cacique"/>
    <x v="9"/>
    <s v="octubre"/>
    <n v="2"/>
    <d v="2026-10-02T00:00:00"/>
    <m/>
    <m/>
    <n v="0"/>
    <n v="15316962"/>
    <n v="0"/>
  </r>
  <r>
    <s v="Franquicias Sell Out QUEST"/>
    <s v="Fq114 - Bucaramanga - Cc Cacique"/>
    <x v="9"/>
    <s v="octubre"/>
    <n v="2"/>
    <d v="2026-10-02T00:00:00"/>
    <n v="1005199869"/>
    <s v="GÓMEZ VILLAMIL STEVEN ANDRÉS"/>
    <n v="21"/>
    <n v="0"/>
    <n v="1026345"/>
  </r>
  <r>
    <s v="Franquicias Sell Out QUEST"/>
    <s v="Fq114 - Bucaramanga - Cc Cacique"/>
    <x v="9"/>
    <s v="octubre"/>
    <n v="2"/>
    <d v="2026-10-02T00:00:00"/>
    <n v="1098785246"/>
    <s v="DÍAZ SANDOVAL VIVIANA ANDREA"/>
    <n v="115"/>
    <n v="0"/>
    <n v="6559961"/>
  </r>
  <r>
    <s v="Franquicias Sell Out QUEST"/>
    <s v="Fq114 - Bucaramanga - Cc Cacique"/>
    <x v="9"/>
    <s v="octubre"/>
    <n v="3"/>
    <d v="2026-10-03T00:00:00"/>
    <m/>
    <m/>
    <n v="0"/>
    <n v="17055527"/>
    <n v="0"/>
  </r>
  <r>
    <s v="Franquicias Sell Out QUEST"/>
    <s v="Fq114 - Bucaramanga - Cc Cacique"/>
    <x v="9"/>
    <s v="octubre"/>
    <n v="3"/>
    <d v="2026-10-03T00:00:00"/>
    <n v="53068903"/>
    <s v="PARRA  NOHORA"/>
    <n v="2"/>
    <n v="0"/>
    <n v="88151"/>
  </r>
  <r>
    <s v="Franquicias Sell Out QUEST"/>
    <s v="Fq114 - Bucaramanga - Cc Cacique"/>
    <x v="9"/>
    <s v="octubre"/>
    <n v="3"/>
    <d v="2026-10-03T00:00:00"/>
    <n v="63365763"/>
    <s v="ALVARADO  GLORIA"/>
    <n v="-1"/>
    <n v="0"/>
    <n v="-54580"/>
  </r>
  <r>
    <s v="Franquicias Sell Out QUEST"/>
    <s v="Fq114 - Bucaramanga - Cc Cacique"/>
    <x v="9"/>
    <s v="octubre"/>
    <n v="3"/>
    <d v="2026-10-03T00:00:00"/>
    <n v="1005199869"/>
    <s v="GÓMEZ VILLAMIL STEVEN ANDRÉS"/>
    <n v="45"/>
    <n v="0"/>
    <n v="2622505"/>
  </r>
  <r>
    <s v="Franquicias Sell Out QUEST"/>
    <s v="Fq114 - Bucaramanga - Cc Cacique"/>
    <x v="9"/>
    <s v="octubre"/>
    <n v="3"/>
    <d v="2026-10-03T00:00:00"/>
    <n v="1098785246"/>
    <s v="DÍAZ SANDOVAL VIVIANA ANDREA"/>
    <n v="274"/>
    <n v="0"/>
    <n v="13456660"/>
  </r>
  <r>
    <s v="Franquicias Sell Out QUEST"/>
    <s v="Fq114 - Bucaramanga - Cc Cacique"/>
    <x v="9"/>
    <s v="octubre"/>
    <n v="4"/>
    <d v="2026-10-04T00:00:00"/>
    <m/>
    <m/>
    <n v="0"/>
    <n v="18178797"/>
    <n v="0"/>
  </r>
  <r>
    <s v="Franquicias Sell Out QUEST"/>
    <s v="Fq114 - Bucaramanga - Cc Cacique"/>
    <x v="9"/>
    <s v="octubre"/>
    <n v="4"/>
    <d v="2026-10-04T00:00:00"/>
    <n v="1005199869"/>
    <s v="GÓMEZ VILLAMIL STEVEN ANDRÉS"/>
    <n v="34"/>
    <n v="0"/>
    <n v="1767399"/>
  </r>
  <r>
    <s v="Franquicias Sell Out QUEST"/>
    <s v="Fq114 - Bucaramanga - Cc Cacique"/>
    <x v="9"/>
    <s v="octubre"/>
    <n v="4"/>
    <d v="2026-10-04T00:00:00"/>
    <n v="1005372930"/>
    <s v="FLOREZ  JOHAN"/>
    <n v="-1"/>
    <n v="0"/>
    <n v="-54580"/>
  </r>
  <r>
    <s v="Franquicias Sell Out QUEST"/>
    <s v="Fq114 - Bucaramanga - Cc Cacique"/>
    <x v="9"/>
    <s v="octubre"/>
    <n v="4"/>
    <d v="2026-10-04T00:00:00"/>
    <n v="1098785246"/>
    <s v="DÍAZ SANDOVAL VIVIANA ANDREA"/>
    <n v="226"/>
    <n v="0"/>
    <n v="12468752"/>
  </r>
  <r>
    <s v="Franquicias Sell Out QUEST"/>
    <s v="Fq114 - Bucaramanga - Cc Cacique"/>
    <x v="9"/>
    <s v="octubre"/>
    <n v="5"/>
    <d v="2026-10-05T00:00:00"/>
    <m/>
    <m/>
    <n v="0"/>
    <n v="7539402"/>
    <n v="0"/>
  </r>
  <r>
    <s v="Franquicias Sell Out QUEST"/>
    <s v="Fq114 - Bucaramanga - Cc Cacique"/>
    <x v="9"/>
    <s v="octubre"/>
    <n v="5"/>
    <d v="2026-10-05T00:00:00"/>
    <n v="1098785246"/>
    <s v="DÍAZ SANDOVAL VIVIANA ANDREA"/>
    <n v="109"/>
    <n v="0"/>
    <n v="6043453"/>
  </r>
  <r>
    <s v="Franquicias Sell Out QUEST"/>
    <s v="Fq114 - Bucaramanga - Cc Cacique"/>
    <x v="9"/>
    <s v="octubre"/>
    <n v="6"/>
    <d v="2026-10-06T00:00:00"/>
    <m/>
    <m/>
    <n v="0"/>
    <n v="1742237"/>
    <n v="0"/>
  </r>
  <r>
    <s v="Franquicias Sell Out QUEST"/>
    <s v="Fq114 - Bucaramanga - Cc Cacique"/>
    <x v="9"/>
    <s v="octubre"/>
    <n v="6"/>
    <d v="2026-10-06T00:00:00"/>
    <n v="53068903"/>
    <s v="PARRA  NOHORA"/>
    <n v="-1"/>
    <n v="0"/>
    <n v="-62983"/>
  </r>
  <r>
    <s v="Franquicias Sell Out QUEST"/>
    <s v="Fq114 - Bucaramanga - Cc Cacique"/>
    <x v="9"/>
    <s v="octubre"/>
    <n v="6"/>
    <d v="2026-10-06T00:00:00"/>
    <n v="1005199869"/>
    <s v="GÓMEZ VILLAMIL STEVEN ANDRÉS"/>
    <n v="76"/>
    <n v="0"/>
    <n v="4013239"/>
  </r>
  <r>
    <s v="Franquicias Sell Out QUEST"/>
    <s v="Fq114 - Bucaramanga - Cc Cacique"/>
    <x v="9"/>
    <s v="octubre"/>
    <n v="6"/>
    <d v="2026-10-06T00:00:00"/>
    <n v="1098785246"/>
    <s v="DÍAZ SANDOVAL VIVIANA ANDREA"/>
    <n v="-1"/>
    <n v="0"/>
    <n v="-50378"/>
  </r>
  <r>
    <s v="Franquicias Sell Out QUEST"/>
    <s v="Fq114 - Bucaramanga - Cc Cacique"/>
    <x v="9"/>
    <s v="octubre"/>
    <n v="7"/>
    <d v="2026-10-07T00:00:00"/>
    <m/>
    <m/>
    <n v="0"/>
    <n v="1551027"/>
    <n v="0"/>
  </r>
  <r>
    <s v="Franquicias Sell Out QUEST"/>
    <s v="Fq114 - Bucaramanga - Cc Cacique"/>
    <x v="9"/>
    <s v="octubre"/>
    <n v="7"/>
    <d v="2026-10-07T00:00:00"/>
    <n v="1098785246"/>
    <s v="DÍAZ SANDOVAL VIVIANA ANDREA"/>
    <n v="76"/>
    <n v="0"/>
    <n v="4202610"/>
  </r>
  <r>
    <s v="Franquicias Sell Out QUEST"/>
    <s v="Fq115 - Bucaramanga - Cc Unico"/>
    <x v="9"/>
    <s v="septiembre"/>
    <n v="23"/>
    <d v="2026-09-23T00:00:00"/>
    <m/>
    <m/>
    <n v="0"/>
    <n v="7149281"/>
    <n v="0"/>
  </r>
  <r>
    <s v="Franquicias Sell Out QUEST"/>
    <s v="Fq115 - Bucaramanga - Cc Unico"/>
    <x v="9"/>
    <s v="septiembre"/>
    <n v="23"/>
    <d v="2026-09-23T00:00:00"/>
    <n v="1005372930"/>
    <s v="FLOREZ  JOHAN"/>
    <n v="53"/>
    <n v="0"/>
    <n v="2365422"/>
  </r>
  <r>
    <s v="Franquicias Sell Out QUEST"/>
    <s v="Fq115 - Bucaramanga - Cc Unico"/>
    <x v="9"/>
    <s v="septiembre"/>
    <n v="23"/>
    <d v="2026-09-23T00:00:00"/>
    <n v="1095796180"/>
    <s v="CONTRERAS  ANGÉLICA"/>
    <n v="38"/>
    <n v="0"/>
    <n v="1508907"/>
  </r>
  <r>
    <s v="Franquicias Sell Out QUEST"/>
    <s v="Fq115 - Bucaramanga - Cc Unico"/>
    <x v="9"/>
    <s v="septiembre"/>
    <n v="23"/>
    <d v="2026-09-23T00:00:00"/>
    <n v="1098756916"/>
    <s v="CASTILLO TORO RAFAEL ANDRES"/>
    <n v="26"/>
    <n v="0"/>
    <n v="1145964"/>
  </r>
  <r>
    <s v="Franquicias Sell Out QUEST"/>
    <s v="Fq115 - Bucaramanga - Cc Unico"/>
    <x v="9"/>
    <s v="septiembre"/>
    <n v="23"/>
    <d v="2026-09-23T00:00:00"/>
    <n v="1098785246"/>
    <s v="DÍAZ SANDOVAL VIVIANA ANDREA"/>
    <n v="4"/>
    <n v="0"/>
    <n v="121681"/>
  </r>
  <r>
    <s v="Franquicias Sell Out QUEST"/>
    <s v="Fq115 - Bucaramanga - Cc Unico"/>
    <x v="9"/>
    <s v="septiembre"/>
    <n v="24"/>
    <d v="2026-09-24T00:00:00"/>
    <m/>
    <m/>
    <n v="0"/>
    <n v="18489415"/>
    <n v="0"/>
  </r>
  <r>
    <s v="Franquicias Sell Out QUEST"/>
    <s v="Fq115 - Bucaramanga - Cc Unico"/>
    <x v="9"/>
    <s v="septiembre"/>
    <n v="24"/>
    <d v="2026-09-24T00:00:00"/>
    <n v="1005372930"/>
    <s v="FLOREZ  JOHAN"/>
    <n v="56"/>
    <n v="0"/>
    <n v="2279163"/>
  </r>
  <r>
    <s v="Franquicias Sell Out QUEST"/>
    <s v="Fq115 - Bucaramanga - Cc Unico"/>
    <x v="9"/>
    <s v="septiembre"/>
    <n v="24"/>
    <d v="2026-09-24T00:00:00"/>
    <n v="1095796180"/>
    <s v="CONTRERAS  ANGÉLICA"/>
    <n v="56"/>
    <n v="0"/>
    <n v="2722438"/>
  </r>
  <r>
    <s v="Franquicias Sell Out QUEST"/>
    <s v="Fq115 - Bucaramanga - Cc Unico"/>
    <x v="9"/>
    <s v="septiembre"/>
    <n v="24"/>
    <d v="2026-09-24T00:00:00"/>
    <n v="1098756916"/>
    <s v="CASTILLO TORO RAFAEL ANDRES"/>
    <n v="16"/>
    <n v="0"/>
    <n v="696806"/>
  </r>
  <r>
    <s v="Franquicias Sell Out QUEST"/>
    <s v="Fq115 - Bucaramanga - Cc Unico"/>
    <x v="9"/>
    <s v="septiembre"/>
    <n v="25"/>
    <d v="2026-09-25T00:00:00"/>
    <m/>
    <m/>
    <n v="0"/>
    <n v="19747705"/>
    <n v="0"/>
  </r>
  <r>
    <s v="Franquicias Sell Out QUEST"/>
    <s v="Fq115 - Bucaramanga - Cc Unico"/>
    <x v="9"/>
    <s v="septiembre"/>
    <n v="25"/>
    <d v="2026-09-25T00:00:00"/>
    <n v="1005372930"/>
    <s v="FLOREZ  JOHAN"/>
    <n v="63"/>
    <n v="0"/>
    <n v="2539371"/>
  </r>
  <r>
    <s v="Franquicias Sell Out QUEST"/>
    <s v="Fq115 - Bucaramanga - Cc Unico"/>
    <x v="9"/>
    <s v="septiembre"/>
    <n v="25"/>
    <d v="2026-09-25T00:00:00"/>
    <n v="1095796180"/>
    <s v="CONTRERAS  ANGÉLICA"/>
    <n v="75"/>
    <n v="0"/>
    <n v="3677525"/>
  </r>
  <r>
    <s v="Franquicias Sell Out QUEST"/>
    <s v="Fq115 - Bucaramanga - Cc Unico"/>
    <x v="9"/>
    <s v="septiembre"/>
    <n v="25"/>
    <d v="2026-09-25T00:00:00"/>
    <n v="1098756916"/>
    <s v="CASTILLO TORO RAFAEL ANDRES"/>
    <n v="39"/>
    <n v="0"/>
    <n v="1889116"/>
  </r>
  <r>
    <s v="Franquicias Sell Out QUEST"/>
    <s v="Fq115 - Bucaramanga - Cc Unico"/>
    <x v="9"/>
    <s v="septiembre"/>
    <n v="26"/>
    <d v="2026-09-26T00:00:00"/>
    <m/>
    <m/>
    <n v="0"/>
    <n v="24901359"/>
    <n v="0"/>
  </r>
  <r>
    <s v="Franquicias Sell Out QUEST"/>
    <s v="Fq115 - Bucaramanga - Cc Unico"/>
    <x v="9"/>
    <s v="septiembre"/>
    <n v="26"/>
    <d v="2026-09-26T00:00:00"/>
    <n v="1005372930"/>
    <s v="FLOREZ  JOHAN"/>
    <n v="177"/>
    <n v="0"/>
    <n v="7413590"/>
  </r>
  <r>
    <s v="Franquicias Sell Out QUEST"/>
    <s v="Fq115 - Bucaramanga - Cc Unico"/>
    <x v="9"/>
    <s v="septiembre"/>
    <n v="26"/>
    <d v="2026-09-26T00:00:00"/>
    <n v="1095796180"/>
    <s v="CONTRERAS  ANGÉLICA"/>
    <n v="153"/>
    <n v="0"/>
    <n v="6433510"/>
  </r>
  <r>
    <s v="Franquicias Sell Out QUEST"/>
    <s v="Fq115 - Bucaramanga - Cc Unico"/>
    <x v="9"/>
    <s v="septiembre"/>
    <n v="26"/>
    <d v="2026-09-26T00:00:00"/>
    <n v="1098756916"/>
    <s v="CASTILLO TORO RAFAEL ANDRES"/>
    <n v="79"/>
    <n v="0"/>
    <n v="3227293"/>
  </r>
  <r>
    <s v="Franquicias Sell Out QUEST"/>
    <s v="Fq115 - Bucaramanga - Cc Unico"/>
    <x v="9"/>
    <s v="septiembre"/>
    <n v="26"/>
    <d v="2026-09-26T00:00:00"/>
    <n v="1116830047"/>
    <s v="HERNÁNDEZ GREY JOSÉ JHON WELL"/>
    <n v="11"/>
    <n v="0"/>
    <n v="608698"/>
  </r>
  <r>
    <s v="Franquicias Sell Out QUEST"/>
    <s v="Fq115 - Bucaramanga - Cc Unico"/>
    <x v="9"/>
    <s v="septiembre"/>
    <n v="27"/>
    <d v="2026-09-27T00:00:00"/>
    <m/>
    <m/>
    <n v="0"/>
    <n v="13147681"/>
    <n v="0"/>
  </r>
  <r>
    <s v="Franquicias Sell Out QUEST"/>
    <s v="Fq115 - Bucaramanga - Cc Unico"/>
    <x v="9"/>
    <s v="septiembre"/>
    <n v="27"/>
    <d v="2026-09-27T00:00:00"/>
    <n v="1005372930"/>
    <s v="FLOREZ  JOHAN"/>
    <n v="217"/>
    <n v="0"/>
    <n v="9905090"/>
  </r>
  <r>
    <s v="Franquicias Sell Out QUEST"/>
    <s v="Fq115 - Bucaramanga - Cc Unico"/>
    <x v="9"/>
    <s v="septiembre"/>
    <n v="27"/>
    <d v="2026-09-27T00:00:00"/>
    <n v="1095796180"/>
    <s v="CONTRERAS  ANGÉLICA"/>
    <n v="186"/>
    <n v="0"/>
    <n v="8626936"/>
  </r>
  <r>
    <s v="Franquicias Sell Out QUEST"/>
    <s v="Fq115 - Bucaramanga - Cc Unico"/>
    <x v="9"/>
    <s v="septiembre"/>
    <n v="27"/>
    <d v="2026-09-27T00:00:00"/>
    <n v="1098756916"/>
    <s v="CASTILLO TORO RAFAEL ANDRES"/>
    <n v="107"/>
    <n v="0"/>
    <n v="4820046"/>
  </r>
  <r>
    <s v="Franquicias Sell Out QUEST"/>
    <s v="Fq115 - Bucaramanga - Cc Unico"/>
    <x v="9"/>
    <s v="septiembre"/>
    <n v="28"/>
    <d v="2026-09-28T00:00:00"/>
    <m/>
    <m/>
    <n v="0"/>
    <n v="10779667"/>
    <n v="0"/>
  </r>
  <r>
    <s v="Franquicias Sell Out QUEST"/>
    <s v="Fq115 - Bucaramanga - Cc Unico"/>
    <x v="9"/>
    <s v="septiembre"/>
    <n v="28"/>
    <d v="2026-09-28T00:00:00"/>
    <n v="1005372930"/>
    <s v="FLOREZ  JOHAN"/>
    <n v="38"/>
    <n v="0"/>
    <n v="1598994"/>
  </r>
  <r>
    <s v="Franquicias Sell Out QUEST"/>
    <s v="Fq115 - Bucaramanga - Cc Unico"/>
    <x v="9"/>
    <s v="septiembre"/>
    <n v="28"/>
    <d v="2026-09-28T00:00:00"/>
    <n v="1095796180"/>
    <s v="CONTRERAS  ANGÉLICA"/>
    <n v="53"/>
    <n v="0"/>
    <n v="2686177"/>
  </r>
  <r>
    <s v="Franquicias Sell Out QUEST"/>
    <s v="Fq115 - Bucaramanga - Cc Unico"/>
    <x v="9"/>
    <s v="septiembre"/>
    <n v="28"/>
    <d v="2026-09-28T00:00:00"/>
    <n v="1098756916"/>
    <s v="CASTILLO TORO RAFAEL ANDRES"/>
    <n v="18"/>
    <n v="0"/>
    <n v="877227"/>
  </r>
  <r>
    <s v="Franquicias Sell Out QUEST"/>
    <s v="Fq115 - Bucaramanga - Cc Unico"/>
    <x v="9"/>
    <s v="septiembre"/>
    <n v="29"/>
    <d v="2026-09-29T00:00:00"/>
    <m/>
    <m/>
    <n v="0"/>
    <n v="11983801"/>
    <n v="0"/>
  </r>
  <r>
    <s v="Franquicias Sell Out QUEST"/>
    <s v="Fq115 - Bucaramanga - Cc Unico"/>
    <x v="9"/>
    <s v="septiembre"/>
    <n v="29"/>
    <d v="2026-09-29T00:00:00"/>
    <n v="1005372930"/>
    <s v="FLOREZ  JOHAN"/>
    <n v="97"/>
    <n v="0"/>
    <n v="3727017"/>
  </r>
  <r>
    <s v="Franquicias Sell Out QUEST"/>
    <s v="Fq115 - Bucaramanga - Cc Unico"/>
    <x v="9"/>
    <s v="septiembre"/>
    <n v="29"/>
    <d v="2026-09-29T00:00:00"/>
    <n v="1095796180"/>
    <s v="CONTRERAS  ANGÉLICA"/>
    <n v="116"/>
    <n v="0"/>
    <n v="4130924"/>
  </r>
  <r>
    <s v="Franquicias Sell Out QUEST"/>
    <s v="Fq115 - Bucaramanga - Cc Unico"/>
    <x v="9"/>
    <s v="septiembre"/>
    <n v="29"/>
    <d v="2026-09-29T00:00:00"/>
    <n v="1098756916"/>
    <s v="CASTILLO TORO RAFAEL ANDRES"/>
    <n v="11"/>
    <n v="0"/>
    <n v="356555"/>
  </r>
  <r>
    <s v="Franquicias Sell Out QUEST"/>
    <s v="Fq115 - Bucaramanga - Cc Unico"/>
    <x v="9"/>
    <s v="septiembre"/>
    <n v="30"/>
    <d v="2026-09-30T00:00:00"/>
    <m/>
    <m/>
    <n v="0"/>
    <n v="12691226"/>
    <n v="0"/>
  </r>
  <r>
    <s v="Franquicias Sell Out QUEST"/>
    <s v="Fq115 - Bucaramanga - Cc Unico"/>
    <x v="9"/>
    <s v="septiembre"/>
    <n v="30"/>
    <d v="2026-09-30T00:00:00"/>
    <n v="1005372930"/>
    <s v="FLOREZ  JOHAN"/>
    <n v="166"/>
    <n v="0"/>
    <n v="5841935"/>
  </r>
  <r>
    <s v="Franquicias Sell Out QUEST"/>
    <s v="Fq115 - Bucaramanga - Cc Unico"/>
    <x v="9"/>
    <s v="septiembre"/>
    <n v="30"/>
    <d v="2026-09-30T00:00:00"/>
    <n v="1095796180"/>
    <s v="CONTRERAS  ANGÉLICA"/>
    <n v="140"/>
    <n v="0"/>
    <n v="4940882"/>
  </r>
  <r>
    <s v="Franquicias Sell Out QUEST"/>
    <s v="Fq115 - Bucaramanga - Cc Unico"/>
    <x v="9"/>
    <s v="septiembre"/>
    <n v="30"/>
    <d v="2026-09-30T00:00:00"/>
    <n v="1098756916"/>
    <s v="CASTILLO TORO RAFAEL ANDRES"/>
    <n v="5"/>
    <n v="0"/>
    <n v="151008"/>
  </r>
  <r>
    <s v="Franquicias Sell Out QUEST"/>
    <s v="Fq115 - Bucaramanga - Cc Unico"/>
    <x v="9"/>
    <s v="octubre"/>
    <n v="1"/>
    <d v="2026-10-01T00:00:00"/>
    <m/>
    <m/>
    <n v="0"/>
    <n v="7174240"/>
    <n v="0"/>
  </r>
  <r>
    <s v="Franquicias Sell Out QUEST"/>
    <s v="Fq115 - Bucaramanga - Cc Unico"/>
    <x v="9"/>
    <s v="octubre"/>
    <n v="1"/>
    <d v="2026-10-01T00:00:00"/>
    <n v="1005372930"/>
    <s v="FLOREZ  JOHAN"/>
    <n v="119"/>
    <n v="0"/>
    <n v="4757481"/>
  </r>
  <r>
    <s v="Franquicias Sell Out QUEST"/>
    <s v="Fq115 - Bucaramanga - Cc Unico"/>
    <x v="9"/>
    <s v="octubre"/>
    <n v="1"/>
    <d v="2026-10-01T00:00:00"/>
    <n v="1095796180"/>
    <s v="CONTRERAS  ANGÉLICA"/>
    <n v="102"/>
    <n v="0"/>
    <n v="3690588"/>
  </r>
  <r>
    <s v="Franquicias Sell Out QUEST"/>
    <s v="Fq115 - Bucaramanga - Cc Unico"/>
    <x v="9"/>
    <s v="octubre"/>
    <n v="1"/>
    <d v="2026-10-01T00:00:00"/>
    <n v="1098756916"/>
    <s v="CASTILLO TORO RAFAEL ANDRES"/>
    <n v="7"/>
    <n v="0"/>
    <n v="201219"/>
  </r>
  <r>
    <s v="Franquicias Sell Out QUEST"/>
    <s v="Fq115 - Bucaramanga - Cc Unico"/>
    <x v="9"/>
    <s v="octubre"/>
    <n v="2"/>
    <d v="2026-10-02T00:00:00"/>
    <m/>
    <m/>
    <n v="0"/>
    <n v="12752770"/>
    <n v="0"/>
  </r>
  <r>
    <s v="Franquicias Sell Out QUEST"/>
    <s v="Fq115 - Bucaramanga - Cc Unico"/>
    <x v="9"/>
    <s v="octubre"/>
    <n v="2"/>
    <d v="2026-10-02T00:00:00"/>
    <n v="1005372930"/>
    <s v="FLOREZ  JOHAN"/>
    <n v="109"/>
    <n v="0"/>
    <n v="4613359"/>
  </r>
  <r>
    <s v="Franquicias Sell Out QUEST"/>
    <s v="Fq115 - Bucaramanga - Cc Unico"/>
    <x v="9"/>
    <s v="octubre"/>
    <n v="2"/>
    <d v="2026-10-02T00:00:00"/>
    <n v="1098756916"/>
    <s v="CASTILLO TORO RAFAEL ANDRES"/>
    <n v="69"/>
    <n v="0"/>
    <n v="2546260"/>
  </r>
  <r>
    <s v="Franquicias Sell Out QUEST"/>
    <s v="Fq115 - Bucaramanga - Cc Unico"/>
    <x v="9"/>
    <s v="octubre"/>
    <n v="3"/>
    <d v="2026-10-03T00:00:00"/>
    <m/>
    <m/>
    <n v="0"/>
    <n v="23457089"/>
    <n v="0"/>
  </r>
  <r>
    <s v="Franquicias Sell Out QUEST"/>
    <s v="Fq115 - Bucaramanga - Cc Unico"/>
    <x v="9"/>
    <s v="octubre"/>
    <n v="3"/>
    <d v="2026-10-03T00:00:00"/>
    <n v="1005372930"/>
    <s v="FLOREZ  JOHAN"/>
    <n v="192"/>
    <n v="0"/>
    <n v="8660247"/>
  </r>
  <r>
    <s v="Franquicias Sell Out QUEST"/>
    <s v="Fq115 - Bucaramanga - Cc Unico"/>
    <x v="9"/>
    <s v="octubre"/>
    <n v="3"/>
    <d v="2026-10-03T00:00:00"/>
    <n v="1095796180"/>
    <s v="CONTRERAS  ANGÉLICA"/>
    <n v="189"/>
    <n v="0"/>
    <n v="7949193"/>
  </r>
  <r>
    <s v="Franquicias Sell Out QUEST"/>
    <s v="Fq115 - Bucaramanga - Cc Unico"/>
    <x v="9"/>
    <s v="octubre"/>
    <n v="3"/>
    <d v="2026-10-03T00:00:00"/>
    <n v="1098756916"/>
    <s v="CASTILLO TORO RAFAEL ANDRES"/>
    <n v="155"/>
    <n v="0"/>
    <n v="5793918"/>
  </r>
  <r>
    <s v="Franquicias Sell Out QUEST"/>
    <s v="Fq115 - Bucaramanga - Cc Unico"/>
    <x v="9"/>
    <s v="octubre"/>
    <n v="4"/>
    <d v="2026-10-04T00:00:00"/>
    <m/>
    <m/>
    <n v="0"/>
    <n v="26472495"/>
    <n v="0"/>
  </r>
  <r>
    <s v="Franquicias Sell Out QUEST"/>
    <s v="Fq115 - Bucaramanga - Cc Unico"/>
    <x v="9"/>
    <s v="octubre"/>
    <n v="4"/>
    <d v="2026-10-04T00:00:00"/>
    <n v="1005372930"/>
    <s v="FLOREZ  JOHAN"/>
    <n v="202"/>
    <n v="0"/>
    <n v="9392697"/>
  </r>
  <r>
    <s v="Franquicias Sell Out QUEST"/>
    <s v="Fq115 - Bucaramanga - Cc Unico"/>
    <x v="9"/>
    <s v="octubre"/>
    <n v="4"/>
    <d v="2026-10-04T00:00:00"/>
    <n v="1095796180"/>
    <s v="CONTRERAS  ANGÉLICA"/>
    <n v="216"/>
    <n v="0"/>
    <n v="9505296"/>
  </r>
  <r>
    <s v="Franquicias Sell Out QUEST"/>
    <s v="Fq115 - Bucaramanga - Cc Unico"/>
    <x v="9"/>
    <s v="octubre"/>
    <n v="4"/>
    <d v="2026-10-04T00:00:00"/>
    <n v="1098756916"/>
    <s v="CASTILLO TORO RAFAEL ANDRES"/>
    <n v="103"/>
    <n v="0"/>
    <n v="3927060"/>
  </r>
  <r>
    <s v="Franquicias Sell Out QUEST"/>
    <s v="Fq115 - Bucaramanga - Cc Unico"/>
    <x v="9"/>
    <s v="octubre"/>
    <n v="5"/>
    <d v="2026-10-05T00:00:00"/>
    <m/>
    <m/>
    <n v="0"/>
    <n v="9514950"/>
    <n v="0"/>
  </r>
  <r>
    <s v="Franquicias Sell Out QUEST"/>
    <s v="Fq115 - Bucaramanga - Cc Unico"/>
    <x v="9"/>
    <s v="octubre"/>
    <n v="5"/>
    <d v="2026-10-05T00:00:00"/>
    <n v="1005372930"/>
    <s v="FLOREZ  JOHAN"/>
    <n v="35"/>
    <n v="0"/>
    <n v="1523238"/>
  </r>
  <r>
    <s v="Franquicias Sell Out QUEST"/>
    <s v="Fq115 - Bucaramanga - Cc Unico"/>
    <x v="9"/>
    <s v="octubre"/>
    <n v="5"/>
    <d v="2026-10-05T00:00:00"/>
    <n v="1095796180"/>
    <s v="CONTRERAS  ANGÉLICA"/>
    <n v="55"/>
    <n v="0"/>
    <n v="2539372"/>
  </r>
  <r>
    <s v="Franquicias Sell Out QUEST"/>
    <s v="Fq115 - Bucaramanga - Cc Unico"/>
    <x v="9"/>
    <s v="octubre"/>
    <n v="5"/>
    <d v="2026-10-05T00:00:00"/>
    <n v="1098756916"/>
    <s v="CASTILLO TORO RAFAEL ANDRES"/>
    <n v="2"/>
    <n v="0"/>
    <n v="75462"/>
  </r>
  <r>
    <s v="Franquicias Sell Out QUEST"/>
    <s v="Fq115 - Bucaramanga - Cc Unico"/>
    <x v="9"/>
    <s v="octubre"/>
    <n v="6"/>
    <d v="2026-10-06T00:00:00"/>
    <m/>
    <m/>
    <n v="0"/>
    <n v="2711039"/>
    <n v="0"/>
  </r>
  <r>
    <s v="Franquicias Sell Out QUEST"/>
    <s v="Fq115 - Bucaramanga - Cc Unico"/>
    <x v="9"/>
    <s v="octubre"/>
    <n v="6"/>
    <d v="2026-10-06T00:00:00"/>
    <n v="1005372930"/>
    <s v="FLOREZ  JOHAN"/>
    <n v="59"/>
    <n v="0"/>
    <n v="2632260"/>
  </r>
  <r>
    <s v="Franquicias Sell Out QUEST"/>
    <s v="Fq115 - Bucaramanga - Cc Unico"/>
    <x v="9"/>
    <s v="octubre"/>
    <n v="6"/>
    <d v="2026-10-06T00:00:00"/>
    <n v="1095796180"/>
    <s v="CONTRERAS  ANGÉLICA"/>
    <n v="61"/>
    <n v="0"/>
    <n v="2610421"/>
  </r>
  <r>
    <s v="Franquicias Sell Out QUEST"/>
    <s v="Fq115 - Bucaramanga - Cc Unico"/>
    <x v="9"/>
    <s v="octubre"/>
    <n v="7"/>
    <d v="2026-10-07T00:00:00"/>
    <m/>
    <m/>
    <n v="0"/>
    <n v="2333858"/>
    <n v="0"/>
  </r>
  <r>
    <s v="Franquicias Sell Out QUEST"/>
    <s v="Fq115 - Bucaramanga - Cc Unico"/>
    <x v="9"/>
    <s v="octubre"/>
    <n v="7"/>
    <d v="2026-10-07T00:00:00"/>
    <n v="1005372930"/>
    <s v="FLOREZ  JOHAN"/>
    <n v="72"/>
    <n v="0"/>
    <n v="3503397"/>
  </r>
  <r>
    <s v="Franquicias Sell Out QUEST"/>
    <s v="Fq115 - Bucaramanga - Cc Unico"/>
    <x v="9"/>
    <s v="octubre"/>
    <n v="7"/>
    <d v="2026-10-07T00:00:00"/>
    <n v="1095796180"/>
    <s v="CONTRERAS  ANGÉLICA"/>
    <n v="81"/>
    <n v="0"/>
    <n v="3676762"/>
  </r>
  <r>
    <s v="Franquicias Sell Out QUEST"/>
    <s v="FQ116 - Bucaramanga - Cc Megamall"/>
    <x v="9"/>
    <s v="septiembre"/>
    <n v="23"/>
    <d v="2026-09-23T00:00:00"/>
    <m/>
    <m/>
    <n v="0"/>
    <n v="2248928"/>
    <n v="0"/>
  </r>
  <r>
    <s v="Franquicias Sell Out QUEST"/>
    <s v="FQ116 - Bucaramanga - Cc Megamall"/>
    <x v="9"/>
    <s v="septiembre"/>
    <n v="23"/>
    <d v="2026-09-23T00:00:00"/>
    <n v="63365763"/>
    <s v="ALVARADO  GLORIA"/>
    <n v="24"/>
    <n v="0"/>
    <n v="1440127"/>
  </r>
  <r>
    <s v="Franquicias Sell Out QUEST"/>
    <s v="FQ116 - Bucaramanga - Cc Megamall"/>
    <x v="9"/>
    <s v="septiembre"/>
    <n v="23"/>
    <d v="2026-09-23T00:00:00"/>
    <n v="1064789363"/>
    <s v="RODRÍGUEZ  YOSELIN"/>
    <n v="9"/>
    <n v="0"/>
    <n v="432395"/>
  </r>
  <r>
    <s v="Franquicias Sell Out QUEST"/>
    <s v="FQ116 - Bucaramanga - Cc Megamall"/>
    <x v="9"/>
    <s v="septiembre"/>
    <n v="23"/>
    <d v="2026-09-23T00:00:00"/>
    <n v="1099369846"/>
    <s v="CORREA  ALEXANDER"/>
    <n v="10"/>
    <n v="0"/>
    <n v="524790"/>
  </r>
  <r>
    <s v="Franquicias Sell Out QUEST"/>
    <s v="FQ116 - Bucaramanga - Cc Megamall"/>
    <x v="9"/>
    <s v="septiembre"/>
    <n v="24"/>
    <d v="2026-09-24T00:00:00"/>
    <m/>
    <m/>
    <n v="0"/>
    <n v="5816158"/>
    <n v="0"/>
  </r>
  <r>
    <s v="Franquicias Sell Out QUEST"/>
    <s v="FQ116 - Bucaramanga - Cc Megamall"/>
    <x v="9"/>
    <s v="septiembre"/>
    <n v="24"/>
    <d v="2026-09-24T00:00:00"/>
    <n v="63365763"/>
    <s v="ALVARADO  GLORIA"/>
    <n v="43"/>
    <n v="0"/>
    <n v="2527607"/>
  </r>
  <r>
    <s v="Franquicias Sell Out QUEST"/>
    <s v="FQ116 - Bucaramanga - Cc Megamall"/>
    <x v="9"/>
    <s v="septiembre"/>
    <n v="24"/>
    <d v="2026-09-24T00:00:00"/>
    <n v="1099369846"/>
    <s v="CORREA  ALEXANDER"/>
    <n v="26"/>
    <n v="0"/>
    <n v="1490505"/>
  </r>
  <r>
    <s v="Franquicias Sell Out QUEST"/>
    <s v="FQ116 - Bucaramanga - Cc Megamall"/>
    <x v="9"/>
    <s v="septiembre"/>
    <n v="25"/>
    <d v="2026-09-25T00:00:00"/>
    <m/>
    <m/>
    <n v="0"/>
    <n v="6211972"/>
    <n v="0"/>
  </r>
  <r>
    <s v="Franquicias Sell Out QUEST"/>
    <s v="FQ116 - Bucaramanga - Cc Megamall"/>
    <x v="9"/>
    <s v="septiembre"/>
    <n v="25"/>
    <d v="2026-09-25T00:00:00"/>
    <n v="63365763"/>
    <s v="ALVARADO  GLORIA"/>
    <n v="39"/>
    <n v="0"/>
    <n v="1926934"/>
  </r>
  <r>
    <s v="Franquicias Sell Out QUEST"/>
    <s v="FQ116 - Bucaramanga - Cc Megamall"/>
    <x v="9"/>
    <s v="septiembre"/>
    <n v="25"/>
    <d v="2026-09-25T00:00:00"/>
    <n v="1099369846"/>
    <s v="CORREA  ALEXANDER"/>
    <n v="49"/>
    <n v="0"/>
    <n v="2369794"/>
  </r>
  <r>
    <s v="Franquicias Sell Out QUEST"/>
    <s v="FQ116 - Bucaramanga - Cc Megamall"/>
    <x v="9"/>
    <s v="septiembre"/>
    <n v="26"/>
    <d v="2026-09-26T00:00:00"/>
    <m/>
    <m/>
    <n v="0"/>
    <n v="7833143"/>
    <n v="0"/>
  </r>
  <r>
    <s v="Franquicias Sell Out QUEST"/>
    <s v="FQ116 - Bucaramanga - Cc Megamall"/>
    <x v="9"/>
    <s v="septiembre"/>
    <n v="26"/>
    <d v="2026-09-26T00:00:00"/>
    <n v="63365763"/>
    <s v="ALVARADO  GLORIA"/>
    <n v="34"/>
    <n v="0"/>
    <n v="1950256"/>
  </r>
  <r>
    <s v="Franquicias Sell Out QUEST"/>
    <s v="FQ116 - Bucaramanga - Cc Megamall"/>
    <x v="9"/>
    <s v="septiembre"/>
    <n v="26"/>
    <d v="2026-09-26T00:00:00"/>
    <n v="1064789363"/>
    <s v="RODRÍGUEZ  YOSELIN"/>
    <n v="9"/>
    <n v="0"/>
    <n v="499623"/>
  </r>
  <r>
    <s v="Franquicias Sell Out QUEST"/>
    <s v="FQ116 - Bucaramanga - Cc Megamall"/>
    <x v="9"/>
    <s v="septiembre"/>
    <n v="26"/>
    <d v="2026-09-26T00:00:00"/>
    <n v="1099369846"/>
    <s v="CORREA  ALEXANDER"/>
    <n v="22"/>
    <n v="0"/>
    <n v="1293195"/>
  </r>
  <r>
    <s v="Franquicias Sell Out QUEST"/>
    <s v="FQ116 - Bucaramanga - Cc Megamall"/>
    <x v="9"/>
    <s v="septiembre"/>
    <n v="27"/>
    <d v="2026-09-27T00:00:00"/>
    <m/>
    <m/>
    <n v="0"/>
    <n v="4135823"/>
    <n v="0"/>
  </r>
  <r>
    <s v="Franquicias Sell Out QUEST"/>
    <s v="FQ116 - Bucaramanga - Cc Megamall"/>
    <x v="9"/>
    <s v="septiembre"/>
    <n v="27"/>
    <d v="2026-09-27T00:00:00"/>
    <n v="63365763"/>
    <s v="ALVARADO  GLORIA"/>
    <n v="80"/>
    <n v="0"/>
    <n v="4299162"/>
  </r>
  <r>
    <s v="Franquicias Sell Out QUEST"/>
    <s v="FQ116 - Bucaramanga - Cc Megamall"/>
    <x v="9"/>
    <s v="septiembre"/>
    <n v="27"/>
    <d v="2026-09-27T00:00:00"/>
    <n v="1099369846"/>
    <s v="CORREA  ALEXANDER"/>
    <n v="66"/>
    <n v="0"/>
    <n v="3207272"/>
  </r>
  <r>
    <s v="Franquicias Sell Out QUEST"/>
    <s v="FQ116 - Bucaramanga - Cc Megamall"/>
    <x v="9"/>
    <s v="septiembre"/>
    <n v="28"/>
    <d v="2026-09-28T00:00:00"/>
    <m/>
    <m/>
    <n v="0"/>
    <n v="3390925"/>
    <n v="0"/>
  </r>
  <r>
    <s v="Franquicias Sell Out QUEST"/>
    <s v="FQ116 - Bucaramanga - Cc Megamall"/>
    <x v="9"/>
    <s v="septiembre"/>
    <n v="28"/>
    <d v="2026-09-28T00:00:00"/>
    <n v="63365763"/>
    <s v="ALVARADO  GLORIA"/>
    <n v="29"/>
    <n v="0"/>
    <n v="1406347"/>
  </r>
  <r>
    <s v="Franquicias Sell Out QUEST"/>
    <s v="FQ116 - Bucaramanga - Cc Megamall"/>
    <x v="9"/>
    <s v="septiembre"/>
    <n v="28"/>
    <d v="2026-09-28T00:00:00"/>
    <n v="1099369846"/>
    <s v="CORREA  ALEXANDER"/>
    <n v="12"/>
    <n v="0"/>
    <n v="772605"/>
  </r>
  <r>
    <s v="Franquicias Sell Out QUEST"/>
    <s v="FQ116 - Bucaramanga - Cc Megamall"/>
    <x v="9"/>
    <s v="septiembre"/>
    <n v="29"/>
    <d v="2026-09-29T00:00:00"/>
    <m/>
    <m/>
    <n v="0"/>
    <n v="3769705"/>
    <n v="0"/>
  </r>
  <r>
    <s v="Franquicias Sell Out QUEST"/>
    <s v="FQ116 - Bucaramanga - Cc Megamall"/>
    <x v="9"/>
    <s v="septiembre"/>
    <n v="29"/>
    <d v="2026-09-29T00:00:00"/>
    <n v="63365763"/>
    <s v="ALVARADO  GLORIA"/>
    <n v="27"/>
    <n v="0"/>
    <n v="1721555"/>
  </r>
  <r>
    <s v="Franquicias Sell Out QUEST"/>
    <s v="FQ116 - Bucaramanga - Cc Megamall"/>
    <x v="9"/>
    <s v="septiembre"/>
    <n v="29"/>
    <d v="2026-09-29T00:00:00"/>
    <n v="1099369846"/>
    <s v="CORREA  ALEXANDER"/>
    <n v="18"/>
    <n v="0"/>
    <n v="883699"/>
  </r>
  <r>
    <s v="Franquicias Sell Out QUEST"/>
    <s v="FQ116 - Bucaramanga - Cc Megamall"/>
    <x v="9"/>
    <s v="septiembre"/>
    <n v="30"/>
    <d v="2026-09-30T00:00:00"/>
    <m/>
    <m/>
    <n v="0"/>
    <n v="3992237"/>
    <n v="0"/>
  </r>
  <r>
    <s v="Franquicias Sell Out QUEST"/>
    <s v="FQ116 - Bucaramanga - Cc Megamall"/>
    <x v="9"/>
    <s v="septiembre"/>
    <n v="30"/>
    <d v="2026-09-30T00:00:00"/>
    <n v="63365763"/>
    <s v="ALVARADO  GLORIA"/>
    <n v="38"/>
    <n v="0"/>
    <n v="2588697"/>
  </r>
  <r>
    <s v="Franquicias Sell Out QUEST"/>
    <s v="FQ116 - Bucaramanga - Cc Megamall"/>
    <x v="9"/>
    <s v="septiembre"/>
    <n v="30"/>
    <d v="2026-09-30T00:00:00"/>
    <n v="1099369846"/>
    <s v="CORREA  ALEXANDER"/>
    <n v="38"/>
    <n v="0"/>
    <n v="1975254"/>
  </r>
  <r>
    <s v="Franquicias Sell Out QUEST"/>
    <s v="FQ116 - Bucaramanga - Cc Megamall"/>
    <x v="9"/>
    <s v="octubre"/>
    <n v="1"/>
    <d v="2026-10-01T00:00:00"/>
    <m/>
    <m/>
    <n v="0"/>
    <n v="3195028"/>
    <n v="0"/>
  </r>
  <r>
    <s v="Franquicias Sell Out QUEST"/>
    <s v="FQ116 - Bucaramanga - Cc Megamall"/>
    <x v="9"/>
    <s v="octubre"/>
    <n v="1"/>
    <d v="2026-10-01T00:00:00"/>
    <n v="63365763"/>
    <s v="ALVARADO  GLORIA"/>
    <n v="32"/>
    <n v="0"/>
    <n v="1624665"/>
  </r>
  <r>
    <s v="Franquicias Sell Out QUEST"/>
    <s v="FQ116 - Bucaramanga - Cc Megamall"/>
    <x v="9"/>
    <s v="octubre"/>
    <n v="1"/>
    <d v="2026-10-01T00:00:00"/>
    <n v="1099369846"/>
    <s v="CORREA  ALEXANDER"/>
    <n v="22"/>
    <n v="0"/>
    <n v="1276390"/>
  </r>
  <r>
    <s v="Franquicias Sell Out QUEST"/>
    <s v="FQ116 - Bucaramanga - Cc Megamall"/>
    <x v="9"/>
    <s v="octubre"/>
    <n v="2"/>
    <d v="2026-10-02T00:00:00"/>
    <m/>
    <m/>
    <n v="0"/>
    <n v="5679415"/>
    <n v="0"/>
  </r>
  <r>
    <s v="Franquicias Sell Out QUEST"/>
    <s v="FQ116 - Bucaramanga - Cc Megamall"/>
    <x v="9"/>
    <s v="octubre"/>
    <n v="2"/>
    <d v="2026-10-02T00:00:00"/>
    <n v="63365763"/>
    <s v="ALVARADO  GLORIA"/>
    <n v="47"/>
    <n v="0"/>
    <n v="2993825"/>
  </r>
  <r>
    <s v="Franquicias Sell Out QUEST"/>
    <s v="FQ116 - Bucaramanga - Cc Megamall"/>
    <x v="9"/>
    <s v="octubre"/>
    <n v="2"/>
    <d v="2026-10-02T00:00:00"/>
    <n v="1099369846"/>
    <s v="CORREA  ALEXANDER"/>
    <n v="32"/>
    <n v="0"/>
    <n v="1534371"/>
  </r>
  <r>
    <s v="Franquicias Sell Out QUEST"/>
    <s v="FQ116 - Bucaramanga - Cc Megamall"/>
    <x v="9"/>
    <s v="octubre"/>
    <n v="3"/>
    <d v="2026-10-03T00:00:00"/>
    <m/>
    <m/>
    <n v="0"/>
    <n v="10446552"/>
    <n v="0"/>
  </r>
  <r>
    <s v="Franquicias Sell Out QUEST"/>
    <s v="FQ116 - Bucaramanga - Cc Megamall"/>
    <x v="9"/>
    <s v="octubre"/>
    <n v="3"/>
    <d v="2026-10-03T00:00:00"/>
    <n v="63365763"/>
    <s v="ALVARADO  GLORIA"/>
    <n v="51"/>
    <n v="0"/>
    <n v="2777009"/>
  </r>
  <r>
    <s v="Franquicias Sell Out QUEST"/>
    <s v="FQ116 - Bucaramanga - Cc Megamall"/>
    <x v="9"/>
    <s v="octubre"/>
    <n v="3"/>
    <d v="2026-10-03T00:00:00"/>
    <n v="1064789363"/>
    <s v="RODRÍGUEZ  YOSELIN"/>
    <n v="20"/>
    <n v="0"/>
    <n v="979043"/>
  </r>
  <r>
    <s v="Franquicias Sell Out QUEST"/>
    <s v="FQ116 - Bucaramanga - Cc Megamall"/>
    <x v="9"/>
    <s v="octubre"/>
    <n v="3"/>
    <d v="2026-10-03T00:00:00"/>
    <n v="1099369846"/>
    <s v="CORREA  ALEXANDER"/>
    <n v="50"/>
    <n v="0"/>
    <n v="2592995"/>
  </r>
  <r>
    <s v="Franquicias Sell Out QUEST"/>
    <s v="FQ116 - Bucaramanga - Cc Megamall"/>
    <x v="9"/>
    <s v="octubre"/>
    <n v="4"/>
    <d v="2026-10-04T00:00:00"/>
    <m/>
    <m/>
    <n v="0"/>
    <n v="11789453"/>
    <n v="0"/>
  </r>
  <r>
    <s v="Franquicias Sell Out QUEST"/>
    <s v="FQ116 - Bucaramanga - Cc Megamall"/>
    <x v="9"/>
    <s v="octubre"/>
    <n v="4"/>
    <d v="2026-10-04T00:00:00"/>
    <n v="63365763"/>
    <s v="ALVARADO  GLORIA"/>
    <n v="73"/>
    <n v="0"/>
    <n v="4307857"/>
  </r>
  <r>
    <s v="Franquicias Sell Out QUEST"/>
    <s v="FQ116 - Bucaramanga - Cc Megamall"/>
    <x v="9"/>
    <s v="octubre"/>
    <n v="4"/>
    <d v="2026-10-04T00:00:00"/>
    <n v="1099369846"/>
    <s v="CORREA  ALEXANDER"/>
    <n v="50"/>
    <n v="0"/>
    <n v="2882270"/>
  </r>
  <r>
    <s v="Franquicias Sell Out QUEST"/>
    <s v="FQ116 - Bucaramanga - Cc Megamall"/>
    <x v="9"/>
    <s v="octubre"/>
    <n v="5"/>
    <d v="2026-10-05T00:00:00"/>
    <m/>
    <m/>
    <n v="0"/>
    <n v="4237457"/>
    <n v="0"/>
  </r>
  <r>
    <s v="Franquicias Sell Out QUEST"/>
    <s v="FQ116 - Bucaramanga - Cc Megamall"/>
    <x v="9"/>
    <s v="octubre"/>
    <n v="5"/>
    <d v="2026-10-05T00:00:00"/>
    <n v="63365763"/>
    <s v="ALVARADO  GLORIA"/>
    <n v="52"/>
    <n v="0"/>
    <n v="3048239"/>
  </r>
  <r>
    <s v="Franquicias Sell Out QUEST"/>
    <s v="FQ116 - Bucaramanga - Cc Megamall"/>
    <x v="9"/>
    <s v="octubre"/>
    <n v="5"/>
    <d v="2026-10-05T00:00:00"/>
    <n v="1099369846"/>
    <s v="CORREA  ALEXANDER"/>
    <n v="61"/>
    <n v="0"/>
    <n v="2667606"/>
  </r>
  <r>
    <s v="Franquicias Sell Out QUEST"/>
    <s v="FQ116 - Bucaramanga - Cc Megamall"/>
    <x v="9"/>
    <s v="octubre"/>
    <n v="6"/>
    <d v="2026-10-06T00:00:00"/>
    <m/>
    <m/>
    <n v="0"/>
    <n v="1207354"/>
    <n v="0"/>
  </r>
  <r>
    <s v="Franquicias Sell Out QUEST"/>
    <s v="FQ116 - Bucaramanga - Cc Megamall"/>
    <x v="9"/>
    <s v="octubre"/>
    <n v="6"/>
    <d v="2026-10-06T00:00:00"/>
    <n v="63365763"/>
    <s v="ALVARADO  GLORIA"/>
    <n v="33"/>
    <n v="0"/>
    <n v="1817942"/>
  </r>
  <r>
    <s v="Franquicias Sell Out QUEST"/>
    <s v="FQ116 - Bucaramanga - Cc Megamall"/>
    <x v="9"/>
    <s v="octubre"/>
    <n v="6"/>
    <d v="2026-10-06T00:00:00"/>
    <n v="1099369846"/>
    <s v="CORREA  ALEXANDER"/>
    <n v="22"/>
    <n v="0"/>
    <n v="1436050"/>
  </r>
  <r>
    <s v="Franquicias Sell Out QUEST"/>
    <s v="FQ116 - Bucaramanga - Cc Megamall"/>
    <x v="9"/>
    <s v="octubre"/>
    <n v="7"/>
    <d v="2026-10-07T00:00:00"/>
    <m/>
    <m/>
    <n v="0"/>
    <n v="1039376"/>
    <n v="0"/>
  </r>
  <r>
    <s v="Franquicias Sell Out QUEST"/>
    <s v="FQ116 - Bucaramanga - Cc Megamall"/>
    <x v="9"/>
    <s v="octubre"/>
    <n v="7"/>
    <d v="2026-10-07T00:00:00"/>
    <n v="63365763"/>
    <s v="ALVARADO  GLORIA"/>
    <n v="39"/>
    <n v="0"/>
    <n v="2258866"/>
  </r>
  <r>
    <s v="Franquicias Sell Out QUEST"/>
    <s v="FQ116 - Bucaramanga - Cc Megamall"/>
    <x v="9"/>
    <s v="octubre"/>
    <n v="7"/>
    <d v="2026-10-07T00:00:00"/>
    <n v="1099369846"/>
    <s v="CORREA  ALEXANDER"/>
    <n v="5"/>
    <n v="0"/>
    <n v="235084"/>
  </r>
  <r>
    <s v="Franquicias Sell Out QUEST"/>
    <s v="FQ97 - San Gil - Santander"/>
    <x v="9"/>
    <s v="septiembre"/>
    <n v="23"/>
    <d v="2026-09-23T00:00:00"/>
    <m/>
    <m/>
    <n v="0"/>
    <n v="1740604"/>
    <n v="0"/>
  </r>
  <r>
    <s v="Franquicias Sell Out QUEST"/>
    <s v="FQ97 - San Gil - Santander"/>
    <x v="9"/>
    <s v="septiembre"/>
    <n v="23"/>
    <d v="2026-09-23T00:00:00"/>
    <n v="1005205978"/>
    <s v="TIRADO ESTÉVEZ JEIDY VANESSA"/>
    <n v="86"/>
    <n v="0"/>
    <n v="4162421"/>
  </r>
  <r>
    <s v="Franquicias Sell Out QUEST"/>
    <s v="FQ97 - San Gil - Santander"/>
    <x v="9"/>
    <s v="septiembre"/>
    <n v="24"/>
    <d v="2026-09-24T00:00:00"/>
    <m/>
    <m/>
    <n v="0"/>
    <n v="4501531"/>
    <n v="0"/>
  </r>
  <r>
    <s v="Franquicias Sell Out QUEST"/>
    <s v="FQ97 - San Gil - Santander"/>
    <x v="9"/>
    <s v="septiembre"/>
    <n v="24"/>
    <d v="2026-09-24T00:00:00"/>
    <n v="1005205978"/>
    <s v="TIRADO ESTÉVEZ JEIDY VANESSA"/>
    <n v="63"/>
    <n v="0"/>
    <n v="3085593"/>
  </r>
  <r>
    <s v="Franquicias Sell Out QUEST"/>
    <s v="FQ97 - San Gil - Santander"/>
    <x v="9"/>
    <s v="septiembre"/>
    <n v="25"/>
    <d v="2026-09-25T00:00:00"/>
    <m/>
    <m/>
    <n v="0"/>
    <n v="4807883"/>
    <n v="0"/>
  </r>
  <r>
    <s v="Franquicias Sell Out QUEST"/>
    <s v="FQ97 - San Gil - Santander"/>
    <x v="9"/>
    <s v="septiembre"/>
    <n v="25"/>
    <d v="2026-09-25T00:00:00"/>
    <n v="1005205978"/>
    <s v="TIRADO ESTÉVEZ JEIDY VANESSA"/>
    <n v="74"/>
    <n v="0"/>
    <n v="3933874"/>
  </r>
  <r>
    <s v="Franquicias Sell Out QUEST"/>
    <s v="FQ97 - San Gil - Santander"/>
    <x v="9"/>
    <s v="septiembre"/>
    <n v="26"/>
    <d v="2026-09-26T00:00:00"/>
    <m/>
    <m/>
    <n v="0"/>
    <n v="6062618"/>
    <n v="0"/>
  </r>
  <r>
    <s v="Franquicias Sell Out QUEST"/>
    <s v="FQ97 - San Gil - Santander"/>
    <x v="9"/>
    <s v="septiembre"/>
    <n v="26"/>
    <d v="2026-09-26T00:00:00"/>
    <n v="1005205978"/>
    <s v="TIRADO ESTÉVEZ JEIDY VANESSA"/>
    <n v="128"/>
    <n v="0"/>
    <n v="5590172"/>
  </r>
  <r>
    <s v="Franquicias Sell Out QUEST"/>
    <s v="FQ97 - San Gil - Santander"/>
    <x v="9"/>
    <s v="septiembre"/>
    <n v="27"/>
    <d v="2026-09-27T00:00:00"/>
    <m/>
    <m/>
    <n v="0"/>
    <n v="3201005"/>
    <n v="0"/>
  </r>
  <r>
    <s v="Franquicias Sell Out QUEST"/>
    <s v="FQ97 - San Gil - Santander"/>
    <x v="9"/>
    <s v="septiembre"/>
    <n v="27"/>
    <d v="2026-09-27T00:00:00"/>
    <n v="1005205978"/>
    <s v="TIRADO ESTÉVEZ JEIDY VANESSA"/>
    <n v="90"/>
    <n v="0"/>
    <n v="4510511"/>
  </r>
  <r>
    <s v="Franquicias Sell Out QUEST"/>
    <s v="FQ97 - San Gil - Santander"/>
    <x v="9"/>
    <s v="septiembre"/>
    <n v="28"/>
    <d v="2026-09-28T00:00:00"/>
    <m/>
    <m/>
    <n v="0"/>
    <n v="2624477"/>
    <n v="0"/>
  </r>
  <r>
    <s v="Franquicias Sell Out QUEST"/>
    <s v="FQ97 - San Gil - Santander"/>
    <x v="9"/>
    <s v="septiembre"/>
    <n v="28"/>
    <d v="2026-09-28T00:00:00"/>
    <n v="1005205978"/>
    <s v="TIRADO ESTÉVEZ JEIDY VANESSA"/>
    <n v="75"/>
    <n v="0"/>
    <n v="3595132"/>
  </r>
  <r>
    <s v="Franquicias Sell Out QUEST"/>
    <s v="FQ97 - San Gil - Santander"/>
    <x v="9"/>
    <s v="septiembre"/>
    <n v="29"/>
    <d v="2026-09-29T00:00:00"/>
    <m/>
    <m/>
    <n v="0"/>
    <n v="2917641"/>
    <n v="0"/>
  </r>
  <r>
    <s v="Franquicias Sell Out QUEST"/>
    <s v="FQ97 - San Gil - Santander"/>
    <x v="9"/>
    <s v="septiembre"/>
    <n v="29"/>
    <d v="2026-09-29T00:00:00"/>
    <n v="1005205978"/>
    <s v="TIRADO ESTÉVEZ JEIDY VANESSA"/>
    <n v="58"/>
    <n v="0"/>
    <n v="2786934"/>
  </r>
  <r>
    <s v="Franquicias Sell Out QUEST"/>
    <s v="FQ97 - San Gil - Santander"/>
    <x v="9"/>
    <s v="septiembre"/>
    <n v="30"/>
    <d v="2026-09-30T00:00:00"/>
    <m/>
    <m/>
    <n v="0"/>
    <n v="3089876"/>
    <n v="0"/>
  </r>
  <r>
    <s v="Franquicias Sell Out QUEST"/>
    <s v="FQ97 - San Gil - Santander"/>
    <x v="9"/>
    <s v="septiembre"/>
    <n v="30"/>
    <d v="2026-09-30T00:00:00"/>
    <n v="1005205978"/>
    <s v="TIRADO ESTÉVEZ JEIDY VANESSA"/>
    <n v="59"/>
    <n v="0"/>
    <n v="3003656"/>
  </r>
  <r>
    <s v="Franquicias Sell Out QUEST"/>
    <s v="FQ97 - San Gil - Santander"/>
    <x v="9"/>
    <s v="octubre"/>
    <n v="1"/>
    <d v="2026-10-01T00:00:00"/>
    <m/>
    <m/>
    <n v="0"/>
    <n v="5244486"/>
    <n v="0"/>
  </r>
  <r>
    <s v="Franquicias Sell Out QUEST"/>
    <s v="FQ97 - San Gil - Santander"/>
    <x v="9"/>
    <s v="octubre"/>
    <n v="1"/>
    <d v="2026-10-01T00:00:00"/>
    <n v="1005105764"/>
    <s v="MOTTA  LAURA VANESSA"/>
    <n v="4"/>
    <n v="0"/>
    <n v="348572"/>
  </r>
  <r>
    <s v="Franquicias Sell Out QUEST"/>
    <s v="FQ97 - San Gil - Santander"/>
    <x v="9"/>
    <s v="octubre"/>
    <n v="1"/>
    <d v="2026-10-01T00:00:00"/>
    <n v="1005205978"/>
    <s v="TIRADO ESTÉVEZ JEIDY VANESSA"/>
    <n v="67"/>
    <n v="0"/>
    <n v="3360041"/>
  </r>
  <r>
    <s v="Franquicias Sell Out QUEST"/>
    <s v="FQ97 - San Gil - Santander"/>
    <x v="9"/>
    <s v="octubre"/>
    <n v="2"/>
    <d v="2026-10-02T00:00:00"/>
    <m/>
    <m/>
    <n v="0"/>
    <n v="4442854"/>
    <n v="0"/>
  </r>
  <r>
    <s v="Franquicias Sell Out QUEST"/>
    <s v="FQ97 - San Gil - Santander"/>
    <x v="9"/>
    <s v="octubre"/>
    <n v="2"/>
    <d v="2026-10-02T00:00:00"/>
    <n v="1005205978"/>
    <s v="TIRADO ESTÉVEZ JEIDY VANESSA"/>
    <n v="69"/>
    <n v="0"/>
    <n v="3288871"/>
  </r>
  <r>
    <s v="Franquicias Sell Out QUEST"/>
    <s v="FQ97 - San Gil - Santander"/>
    <x v="9"/>
    <s v="octubre"/>
    <n v="3"/>
    <d v="2026-10-03T00:00:00"/>
    <m/>
    <m/>
    <n v="0"/>
    <n v="9467487"/>
    <n v="0"/>
  </r>
  <r>
    <s v="Franquicias Sell Out QUEST"/>
    <s v="FQ97 - San Gil - Santander"/>
    <x v="9"/>
    <s v="octubre"/>
    <n v="3"/>
    <d v="2026-10-03T00:00:00"/>
    <n v="1005205978"/>
    <s v="TIRADO ESTÉVEZ JEIDY VANESSA"/>
    <n v="171"/>
    <n v="0"/>
    <n v="7887701"/>
  </r>
  <r>
    <s v="Franquicias Sell Out QUEST"/>
    <s v="FQ97 - San Gil - Santander"/>
    <x v="9"/>
    <s v="octubre"/>
    <n v="4"/>
    <d v="2026-10-04T00:00:00"/>
    <m/>
    <m/>
    <n v="0"/>
    <n v="5145177"/>
    <n v="0"/>
  </r>
  <r>
    <s v="Franquicias Sell Out QUEST"/>
    <s v="FQ97 - San Gil - Santander"/>
    <x v="9"/>
    <s v="octubre"/>
    <n v="4"/>
    <d v="2026-10-04T00:00:00"/>
    <n v="1005205978"/>
    <s v="TIRADO ESTÉVEZ JEIDY VANESSA"/>
    <n v="127"/>
    <n v="0"/>
    <n v="6464796"/>
  </r>
  <r>
    <s v="Franquicias Sell Out QUEST"/>
    <s v="FQ97 - San Gil - Santander"/>
    <x v="9"/>
    <s v="octubre"/>
    <n v="5"/>
    <d v="2026-10-05T00:00:00"/>
    <m/>
    <m/>
    <n v="0"/>
    <n v="3623121"/>
    <n v="0"/>
  </r>
  <r>
    <s v="Franquicias Sell Out QUEST"/>
    <s v="FQ97 - San Gil - Santander"/>
    <x v="9"/>
    <s v="octubre"/>
    <n v="5"/>
    <d v="2026-10-05T00:00:00"/>
    <n v="1005205978"/>
    <s v="TIRADO ESTÉVEZ JEIDY VANESSA"/>
    <n v="59"/>
    <n v="0"/>
    <n v="2976345"/>
  </r>
  <r>
    <s v="Franquicias Sell Out QUEST"/>
    <s v="FQ97 - San Gil - Santander"/>
    <x v="9"/>
    <s v="octubre"/>
    <n v="6"/>
    <d v="2026-10-06T00:00:00"/>
    <m/>
    <m/>
    <n v="0"/>
    <n v="2451909"/>
    <n v="0"/>
  </r>
  <r>
    <s v="Franquicias Sell Out QUEST"/>
    <s v="FQ97 - San Gil - Santander"/>
    <x v="9"/>
    <s v="octubre"/>
    <n v="6"/>
    <d v="2026-10-06T00:00:00"/>
    <n v="1005205978"/>
    <s v="TIRADO ESTÉVEZ JEIDY VANESSA"/>
    <n v="80"/>
    <n v="0"/>
    <n v="4288406"/>
  </r>
  <r>
    <s v="Franquicias Sell Out QUEST"/>
    <s v="FQ97 - San Gil - Santander"/>
    <x v="9"/>
    <s v="octubre"/>
    <n v="7"/>
    <d v="2026-10-07T00:00:00"/>
    <m/>
    <m/>
    <n v="0"/>
    <n v="273050"/>
    <n v="0"/>
  </r>
  <r>
    <s v="Franquicias Sell Out QUEST"/>
    <s v="FQ97 - San Gil - Santander"/>
    <x v="9"/>
    <s v="octubre"/>
    <n v="7"/>
    <d v="2026-10-07T00:00:00"/>
    <n v="1005205978"/>
    <s v="TIRADO ESTÉVEZ JEIDY VANESSA"/>
    <n v="77"/>
    <n v="0"/>
    <n v="4162187"/>
  </r>
  <r>
    <s v="Retail"/>
    <s v="Q027 - Cucuta - Cc Ventura Plaza"/>
    <x v="9"/>
    <s v="septiembre"/>
    <n v="23"/>
    <d v="2026-09-23T00:00:00"/>
    <m/>
    <m/>
    <n v="0"/>
    <n v="27958968"/>
    <n v="0"/>
  </r>
  <r>
    <s v="Retail"/>
    <s v="Q027 - Cucuta - Cc Ventura Plaza"/>
    <x v="9"/>
    <s v="septiembre"/>
    <n v="23"/>
    <d v="2026-09-23T00:00:00"/>
    <n v="1004879853"/>
    <s v="MUÑOZ ANGARITA ANGIE KATHERINE"/>
    <n v="116"/>
    <n v="0"/>
    <n v="7190514"/>
  </r>
  <r>
    <s v="Retail"/>
    <s v="Q027 - Cucuta - Cc Ventura Plaza"/>
    <x v="9"/>
    <s v="septiembre"/>
    <n v="23"/>
    <d v="2026-09-23T00:00:00"/>
    <n v="1004925792"/>
    <s v="SUÁREZ MUNEVAR DOMINICK DANIEL"/>
    <n v="150"/>
    <n v="0"/>
    <n v="9619631"/>
  </r>
  <r>
    <s v="Retail"/>
    <s v="Q027 - Cucuta - Cc Ventura Plaza"/>
    <x v="9"/>
    <s v="septiembre"/>
    <n v="23"/>
    <d v="2026-09-23T00:00:00"/>
    <n v="1091357320"/>
    <s v="MANRIQUE GONZALEZ ANYI LORENA"/>
    <n v="20"/>
    <n v="0"/>
    <n v="1051684"/>
  </r>
  <r>
    <s v="Retail"/>
    <s v="Q027 - Cucuta - Cc Ventura Plaza"/>
    <x v="9"/>
    <s v="septiembre"/>
    <n v="23"/>
    <d v="2026-09-23T00:00:00"/>
    <n v="1093294237"/>
    <s v="INFANTE ROJAS GISSEL  NATALIA"/>
    <n v="9"/>
    <n v="0"/>
    <n v="470211"/>
  </r>
  <r>
    <s v="Retail"/>
    <s v="Q027 - Cucuta - Cc Ventura Plaza"/>
    <x v="9"/>
    <s v="septiembre"/>
    <n v="23"/>
    <d v="2026-09-23T00:00:00"/>
    <n v="1094047894"/>
    <s v="VILLAMIZAR  CHINCHILLA JUAN SEBASTIAN "/>
    <n v="147"/>
    <n v="0"/>
    <n v="9313076"/>
  </r>
  <r>
    <s v="Retail"/>
    <s v="Q027 - Cucuta - Cc Ventura Plaza"/>
    <x v="9"/>
    <s v="septiembre"/>
    <n v="23"/>
    <d v="2026-09-23T00:00:00"/>
    <n v="1127047270"/>
    <s v="ARISTIZABAL BARRANGA MARLEIDY"/>
    <n v="23"/>
    <n v="0"/>
    <n v="1330926"/>
  </r>
  <r>
    <s v="Retail"/>
    <s v="Q027 - Cucuta - Cc Ventura Plaza"/>
    <x v="9"/>
    <s v="septiembre"/>
    <n v="24"/>
    <d v="2026-09-24T00:00:00"/>
    <m/>
    <m/>
    <n v="0"/>
    <n v="42710470"/>
    <n v="0"/>
  </r>
  <r>
    <s v="Retail"/>
    <s v="Q027 - Cucuta - Cc Ventura Plaza"/>
    <x v="9"/>
    <s v="septiembre"/>
    <n v="24"/>
    <d v="2026-09-24T00:00:00"/>
    <n v="1004879853"/>
    <s v="MUÑOZ ANGARITA ANGIE KATHERINE"/>
    <n v="150"/>
    <n v="0"/>
    <n v="8640764"/>
  </r>
  <r>
    <s v="Retail"/>
    <s v="Q027 - Cucuta - Cc Ventura Plaza"/>
    <x v="9"/>
    <s v="septiembre"/>
    <n v="24"/>
    <d v="2026-09-24T00:00:00"/>
    <n v="1004925792"/>
    <s v="SUÁREZ MUNEVAR DOMINICK DANIEL"/>
    <n v="126"/>
    <n v="0"/>
    <n v="7494546"/>
  </r>
  <r>
    <s v="Retail"/>
    <s v="Q027 - Cucuta - Cc Ventura Plaza"/>
    <x v="9"/>
    <s v="septiembre"/>
    <n v="24"/>
    <d v="2026-09-24T00:00:00"/>
    <n v="1091357320"/>
    <s v="MANRIQUE GONZALEZ ANYI LORENA"/>
    <n v="36"/>
    <n v="0"/>
    <n v="2143449"/>
  </r>
  <r>
    <s v="Retail"/>
    <s v="Q027 - Cucuta - Cc Ventura Plaza"/>
    <x v="9"/>
    <s v="septiembre"/>
    <n v="24"/>
    <d v="2026-09-24T00:00:00"/>
    <n v="1093294237"/>
    <s v="INFANTE ROJAS GISSEL  NATALIA"/>
    <n v="43"/>
    <n v="0"/>
    <n v="2519163"/>
  </r>
  <r>
    <s v="Retail"/>
    <s v="Q027 - Cucuta - Cc Ventura Plaza"/>
    <x v="9"/>
    <s v="septiembre"/>
    <n v="24"/>
    <d v="2026-09-24T00:00:00"/>
    <n v="1094047894"/>
    <s v="VILLAMIZAR  CHINCHILLA JUAN SEBASTIAN "/>
    <n v="190"/>
    <n v="0"/>
    <n v="10996189"/>
  </r>
  <r>
    <s v="Retail"/>
    <s v="Q027 - Cucuta - Cc Ventura Plaza"/>
    <x v="9"/>
    <s v="septiembre"/>
    <n v="24"/>
    <d v="2026-09-24T00:00:00"/>
    <n v="1127047270"/>
    <s v="ARISTIZABAL BARRANGA MARLEIDY"/>
    <n v="43"/>
    <n v="0"/>
    <n v="2422482"/>
  </r>
  <r>
    <s v="Retail"/>
    <s v="Q027 - Cucuta - Cc Ventura Plaza"/>
    <x v="9"/>
    <s v="septiembre"/>
    <n v="25"/>
    <d v="2026-09-25T00:00:00"/>
    <m/>
    <m/>
    <n v="0"/>
    <n v="42615919"/>
    <n v="0"/>
  </r>
  <r>
    <s v="Retail"/>
    <s v="Q027 - Cucuta - Cc Ventura Plaza"/>
    <x v="9"/>
    <s v="septiembre"/>
    <n v="25"/>
    <d v="2026-09-25T00:00:00"/>
    <n v="1004879853"/>
    <s v="MUÑOZ ANGARITA ANGIE KATHERINE"/>
    <n v="224"/>
    <n v="0"/>
    <n v="13828676"/>
  </r>
  <r>
    <s v="Retail"/>
    <s v="Q027 - Cucuta - Cc Ventura Plaza"/>
    <x v="9"/>
    <s v="septiembre"/>
    <n v="25"/>
    <d v="2026-09-25T00:00:00"/>
    <n v="1004925792"/>
    <s v="SUÁREZ MUNEVAR DOMINICK DANIEL"/>
    <n v="0"/>
    <n v="0"/>
    <n v="33655"/>
  </r>
  <r>
    <s v="Retail"/>
    <s v="Q027 - Cucuta - Cc Ventura Plaza"/>
    <x v="9"/>
    <s v="septiembre"/>
    <n v="25"/>
    <d v="2026-09-25T00:00:00"/>
    <n v="1091357320"/>
    <s v="MANRIQUE GONZALEZ ANYI LORENA"/>
    <n v="83"/>
    <n v="0"/>
    <n v="4891264"/>
  </r>
  <r>
    <s v="Retail"/>
    <s v="Q027 - Cucuta - Cc Ventura Plaza"/>
    <x v="9"/>
    <s v="septiembre"/>
    <n v="25"/>
    <d v="2026-09-25T00:00:00"/>
    <n v="1093294237"/>
    <s v="INFANTE ROJAS GISSEL  NATALIA"/>
    <n v="73"/>
    <n v="0"/>
    <n v="3723701"/>
  </r>
  <r>
    <s v="Retail"/>
    <s v="Q027 - Cucuta - Cc Ventura Plaza"/>
    <x v="9"/>
    <s v="septiembre"/>
    <n v="25"/>
    <d v="2026-09-25T00:00:00"/>
    <n v="1094047894"/>
    <s v="VILLAMIZAR  CHINCHILLA JUAN SEBASTIAN "/>
    <n v="181"/>
    <n v="0"/>
    <n v="10649846"/>
  </r>
  <r>
    <s v="Retail"/>
    <s v="Q027 - Cucuta - Cc Ventura Plaza"/>
    <x v="9"/>
    <s v="septiembre"/>
    <n v="25"/>
    <d v="2026-09-25T00:00:00"/>
    <n v="1127047270"/>
    <s v="ARISTIZABAL BARRANGA MARLEIDY"/>
    <n v="60"/>
    <n v="0"/>
    <n v="3562565"/>
  </r>
  <r>
    <s v="Retail"/>
    <s v="Q027 - Cucuta - Cc Ventura Plaza"/>
    <x v="9"/>
    <s v="septiembre"/>
    <n v="26"/>
    <d v="2026-09-26T00:00:00"/>
    <m/>
    <m/>
    <n v="0"/>
    <n v="61245198"/>
    <n v="0"/>
  </r>
  <r>
    <s v="Retail"/>
    <s v="Q027 - Cucuta - Cc Ventura Plaza"/>
    <x v="9"/>
    <s v="septiembre"/>
    <n v="26"/>
    <d v="2026-09-26T00:00:00"/>
    <n v="1004879853"/>
    <s v="MUÑOZ ANGARITA ANGIE KATHERINE"/>
    <n v="252"/>
    <n v="0"/>
    <n v="14461818"/>
  </r>
  <r>
    <s v="Retail"/>
    <s v="Q027 - Cucuta - Cc Ventura Plaza"/>
    <x v="9"/>
    <s v="septiembre"/>
    <n v="26"/>
    <d v="2026-09-26T00:00:00"/>
    <n v="1091357320"/>
    <s v="MANRIQUE GONZALEZ ANYI LORENA"/>
    <n v="92"/>
    <n v="0"/>
    <n v="5733326"/>
  </r>
  <r>
    <s v="Retail"/>
    <s v="Q027 - Cucuta - Cc Ventura Plaza"/>
    <x v="9"/>
    <s v="septiembre"/>
    <n v="26"/>
    <d v="2026-09-26T00:00:00"/>
    <n v="1092530235"/>
    <s v="PEREZ TEJADA YINETH VALENTINA"/>
    <n v="-1"/>
    <n v="0"/>
    <n v="-46177"/>
  </r>
  <r>
    <s v="Retail"/>
    <s v="Q027 - Cucuta - Cc Ventura Plaza"/>
    <x v="9"/>
    <s v="septiembre"/>
    <n v="26"/>
    <d v="2026-09-26T00:00:00"/>
    <n v="1093294237"/>
    <s v="INFANTE ROJAS GISSEL  NATALIA"/>
    <n v="34"/>
    <n v="0"/>
    <n v="2137144"/>
  </r>
  <r>
    <s v="Retail"/>
    <s v="Q027 - Cucuta - Cc Ventura Plaza"/>
    <x v="9"/>
    <s v="septiembre"/>
    <n v="26"/>
    <d v="2026-09-26T00:00:00"/>
    <n v="1094047894"/>
    <s v="VILLAMIZAR  CHINCHILLA JUAN SEBASTIAN "/>
    <n v="286"/>
    <n v="0"/>
    <n v="17166193"/>
  </r>
  <r>
    <s v="Retail"/>
    <s v="Q027 - Cucuta - Cc Ventura Plaza"/>
    <x v="9"/>
    <s v="septiembre"/>
    <n v="26"/>
    <d v="2026-09-26T00:00:00"/>
    <n v="1127047270"/>
    <s v="ARISTIZABAL BARRANGA MARLEIDY"/>
    <n v="89"/>
    <n v="0"/>
    <n v="5542233"/>
  </r>
  <r>
    <s v="Retail"/>
    <s v="Q027 - Cucuta - Cc Ventura Plaza"/>
    <x v="9"/>
    <s v="septiembre"/>
    <n v="27"/>
    <d v="2026-09-27T00:00:00"/>
    <m/>
    <m/>
    <n v="0"/>
    <n v="48518524"/>
    <n v="0"/>
  </r>
  <r>
    <s v="Retail"/>
    <s v="Q027 - Cucuta - Cc Ventura Plaza"/>
    <x v="9"/>
    <s v="septiembre"/>
    <n v="27"/>
    <d v="2026-09-27T00:00:00"/>
    <n v="1004879853"/>
    <s v="MUÑOZ ANGARITA ANGIE KATHERINE"/>
    <n v="263"/>
    <n v="0"/>
    <n v="15576742"/>
  </r>
  <r>
    <s v="Retail"/>
    <s v="Q027 - Cucuta - Cc Ventura Plaza"/>
    <x v="9"/>
    <s v="septiembre"/>
    <n v="27"/>
    <d v="2026-09-27T00:00:00"/>
    <n v="1030040455"/>
    <s v="NERCY ROJAS DIEGO ALBERTO"/>
    <n v="-1"/>
    <n v="0"/>
    <n v="-46177"/>
  </r>
  <r>
    <s v="Retail"/>
    <s v="Q027 - Cucuta - Cc Ventura Plaza"/>
    <x v="9"/>
    <s v="septiembre"/>
    <n v="27"/>
    <d v="2026-09-27T00:00:00"/>
    <n v="1091357320"/>
    <s v="MANRIQUE GONZALEZ ANYI LORENA"/>
    <n v="70"/>
    <n v="0"/>
    <n v="4097654"/>
  </r>
  <r>
    <s v="Retail"/>
    <s v="Q027 - Cucuta - Cc Ventura Plaza"/>
    <x v="9"/>
    <s v="septiembre"/>
    <n v="27"/>
    <d v="2026-09-27T00:00:00"/>
    <n v="1093294237"/>
    <s v="INFANTE ROJAS GISSEL  NATALIA"/>
    <n v="64"/>
    <n v="0"/>
    <n v="3900549"/>
  </r>
  <r>
    <s v="Retail"/>
    <s v="Q027 - Cucuta - Cc Ventura Plaza"/>
    <x v="9"/>
    <s v="septiembre"/>
    <n v="27"/>
    <d v="2026-09-27T00:00:00"/>
    <n v="1094047894"/>
    <s v="VILLAMIZAR  CHINCHILLA JUAN SEBASTIAN "/>
    <n v="219"/>
    <n v="0"/>
    <n v="13398077"/>
  </r>
  <r>
    <s v="Retail"/>
    <s v="Q027 - Cucuta - Cc Ventura Plaza"/>
    <x v="9"/>
    <s v="septiembre"/>
    <n v="27"/>
    <d v="2026-09-27T00:00:00"/>
    <n v="1127047270"/>
    <s v="ARISTIZABAL BARRANGA MARLEIDY"/>
    <n v="77"/>
    <n v="0"/>
    <n v="5672946"/>
  </r>
  <r>
    <s v="Retail"/>
    <s v="Q027 - Cucuta - Cc Ventura Plaza"/>
    <x v="9"/>
    <s v="septiembre"/>
    <n v="28"/>
    <d v="2026-09-28T00:00:00"/>
    <m/>
    <m/>
    <n v="0"/>
    <n v="26702606"/>
    <n v="0"/>
  </r>
  <r>
    <s v="Retail"/>
    <s v="Q027 - Cucuta - Cc Ventura Plaza"/>
    <x v="9"/>
    <s v="septiembre"/>
    <n v="28"/>
    <d v="2026-09-28T00:00:00"/>
    <n v="1004879853"/>
    <s v="MUÑOZ ANGARITA ANGIE KATHERINE"/>
    <n v="108"/>
    <n v="0"/>
    <n v="6272697"/>
  </r>
  <r>
    <s v="Retail"/>
    <s v="Q027 - Cucuta - Cc Ventura Plaza"/>
    <x v="9"/>
    <s v="septiembre"/>
    <n v="28"/>
    <d v="2026-09-28T00:00:00"/>
    <n v="1004925792"/>
    <s v="SUÁREZ MUNEVAR DOMINICK DANIEL"/>
    <n v="57"/>
    <n v="0"/>
    <n v="3387542"/>
  </r>
  <r>
    <s v="Retail"/>
    <s v="Q027 - Cucuta - Cc Ventura Plaza"/>
    <x v="9"/>
    <s v="septiembre"/>
    <n v="28"/>
    <d v="2026-09-28T00:00:00"/>
    <n v="1091357320"/>
    <s v="MANRIQUE GONZALEZ ANYI LORENA"/>
    <n v="14"/>
    <n v="0"/>
    <n v="991009"/>
  </r>
  <r>
    <s v="Retail"/>
    <s v="Q027 - Cucuta - Cc Ventura Plaza"/>
    <x v="9"/>
    <s v="septiembre"/>
    <n v="28"/>
    <d v="2026-09-28T00:00:00"/>
    <n v="1094047894"/>
    <s v="VILLAMIZAR  CHINCHILLA JUAN SEBASTIAN "/>
    <n v="103"/>
    <n v="0"/>
    <n v="6205681"/>
  </r>
  <r>
    <s v="Retail"/>
    <s v="Q027 - Cucuta - Cc Ventura Plaza"/>
    <x v="9"/>
    <s v="septiembre"/>
    <n v="29"/>
    <d v="2026-09-29T00:00:00"/>
    <m/>
    <m/>
    <n v="0"/>
    <n v="28523607"/>
    <n v="0"/>
  </r>
  <r>
    <s v="Retail"/>
    <s v="Q027 - Cucuta - Cc Ventura Plaza"/>
    <x v="9"/>
    <s v="septiembre"/>
    <n v="29"/>
    <d v="2026-09-29T00:00:00"/>
    <n v="1004879853"/>
    <s v="MUÑOZ ANGARITA ANGIE KATHERINE"/>
    <n v="126"/>
    <n v="0"/>
    <n v="7305469"/>
  </r>
  <r>
    <s v="Retail"/>
    <s v="Q027 - Cucuta - Cc Ventura Plaza"/>
    <x v="9"/>
    <s v="septiembre"/>
    <n v="29"/>
    <d v="2026-09-29T00:00:00"/>
    <n v="1004925792"/>
    <s v="SUÁREZ MUNEVAR DOMINICK DANIEL"/>
    <n v="48"/>
    <n v="0"/>
    <n v="2867691"/>
  </r>
  <r>
    <s v="Retail"/>
    <s v="Q027 - Cucuta - Cc Ventura Plaza"/>
    <x v="9"/>
    <s v="septiembre"/>
    <n v="29"/>
    <d v="2026-09-29T00:00:00"/>
    <n v="1091357320"/>
    <s v="MANRIQUE GONZALEZ ANYI LORENA"/>
    <n v="41"/>
    <n v="0"/>
    <n v="2267186"/>
  </r>
  <r>
    <s v="Retail"/>
    <s v="Q027 - Cucuta - Cc Ventura Plaza"/>
    <x v="9"/>
    <s v="septiembre"/>
    <n v="29"/>
    <d v="2026-09-29T00:00:00"/>
    <n v="1094047894"/>
    <s v="VILLAMIZAR  CHINCHILLA JUAN SEBASTIAN "/>
    <n v="146"/>
    <n v="0"/>
    <n v="9273203"/>
  </r>
  <r>
    <s v="Retail"/>
    <s v="Q027 - Cucuta - Cc Ventura Plaza"/>
    <x v="9"/>
    <s v="septiembre"/>
    <n v="29"/>
    <d v="2026-09-29T00:00:00"/>
    <n v="1127047270"/>
    <s v="ARISTIZABAL BARRANGA MARLEIDY"/>
    <n v="2"/>
    <n v="0"/>
    <n v="92311"/>
  </r>
  <r>
    <s v="Retail"/>
    <s v="Q027 - Cucuta - Cc Ventura Plaza"/>
    <x v="9"/>
    <s v="septiembre"/>
    <n v="30"/>
    <d v="2026-09-30T00:00:00"/>
    <m/>
    <m/>
    <n v="0"/>
    <n v="29465399"/>
    <n v="0"/>
  </r>
  <r>
    <s v="Retail"/>
    <s v="Q027 - Cucuta - Cc Ventura Plaza"/>
    <x v="9"/>
    <s v="septiembre"/>
    <n v="30"/>
    <d v="2026-09-30T00:00:00"/>
    <n v="1004879853"/>
    <s v="MUÑOZ ANGARITA ANGIE KATHERINE"/>
    <n v="188"/>
    <n v="0"/>
    <n v="10666268"/>
  </r>
  <r>
    <s v="Retail"/>
    <s v="Q027 - Cucuta - Cc Ventura Plaza"/>
    <x v="9"/>
    <s v="septiembre"/>
    <n v="30"/>
    <d v="2026-09-30T00:00:00"/>
    <n v="1004925792"/>
    <s v="SUÁREZ MUNEVAR DOMINICK DANIEL"/>
    <n v="60"/>
    <n v="0"/>
    <n v="3323070"/>
  </r>
  <r>
    <s v="Retail"/>
    <s v="Q027 - Cucuta - Cc Ventura Plaza"/>
    <x v="9"/>
    <s v="septiembre"/>
    <n v="30"/>
    <d v="2026-09-30T00:00:00"/>
    <n v="1091357320"/>
    <s v="MANRIQUE GONZALEZ ANYI LORENA"/>
    <n v="19"/>
    <n v="0"/>
    <n v="961347"/>
  </r>
  <r>
    <s v="Retail"/>
    <s v="Q027 - Cucuta - Cc Ventura Plaza"/>
    <x v="9"/>
    <s v="septiembre"/>
    <n v="30"/>
    <d v="2026-09-30T00:00:00"/>
    <n v="1094047894"/>
    <s v="VILLAMIZAR  CHINCHILLA JUAN SEBASTIAN "/>
    <n v="96"/>
    <n v="0"/>
    <n v="6071477"/>
  </r>
  <r>
    <s v="Retail"/>
    <s v="Q027 - Cucuta - Cc Ventura Plaza"/>
    <x v="9"/>
    <s v="septiembre"/>
    <n v="30"/>
    <d v="2026-09-30T00:00:00"/>
    <n v="1127047270"/>
    <s v="ARISTIZABAL BARRANGA MARLEIDY"/>
    <n v="4"/>
    <n v="0"/>
    <n v="205715"/>
  </r>
  <r>
    <s v="Retail"/>
    <s v="Q027 - Cucuta - Cc Ventura Plaza"/>
    <x v="9"/>
    <s v="octubre"/>
    <n v="1"/>
    <d v="2026-10-01T00:00:00"/>
    <m/>
    <m/>
    <n v="0"/>
    <n v="33275514"/>
    <n v="0"/>
  </r>
  <r>
    <s v="Retail"/>
    <s v="Q027 - Cucuta - Cc Ventura Plaza"/>
    <x v="9"/>
    <s v="octubre"/>
    <n v="1"/>
    <d v="2026-10-01T00:00:00"/>
    <n v="1004879853"/>
    <s v="MUÑOZ ANGARITA ANGIE KATHERINE"/>
    <n v="112"/>
    <n v="0"/>
    <n v="6734670"/>
  </r>
  <r>
    <s v="Retail"/>
    <s v="Q027 - Cucuta - Cc Ventura Plaza"/>
    <x v="9"/>
    <s v="octubre"/>
    <n v="1"/>
    <d v="2026-10-01T00:00:00"/>
    <n v="1004925792"/>
    <s v="SUÁREZ MUNEVAR DOMINICK DANIEL"/>
    <n v="120"/>
    <n v="0"/>
    <n v="7309759"/>
  </r>
  <r>
    <s v="Retail"/>
    <s v="Q027 - Cucuta - Cc Ventura Plaza"/>
    <x v="9"/>
    <s v="octubre"/>
    <n v="1"/>
    <d v="2026-10-01T00:00:00"/>
    <n v="1091357320"/>
    <s v="MANRIQUE GONZALEZ ANYI LORENA"/>
    <n v="24"/>
    <n v="0"/>
    <n v="1377144"/>
  </r>
  <r>
    <s v="Retail"/>
    <s v="Q027 - Cucuta - Cc Ventura Plaza"/>
    <x v="9"/>
    <s v="octubre"/>
    <n v="1"/>
    <d v="2026-10-01T00:00:00"/>
    <n v="1094047894"/>
    <s v="VILLAMIZAR  CHINCHILLA JUAN SEBASTIAN "/>
    <n v="115"/>
    <n v="0"/>
    <n v="6663033"/>
  </r>
  <r>
    <s v="Retail"/>
    <s v="Q027 - Cucuta - Cc Ventura Plaza"/>
    <x v="9"/>
    <s v="octubre"/>
    <n v="1"/>
    <d v="2026-10-01T00:00:00"/>
    <n v="1127047270"/>
    <s v="ARISTIZABAL BARRANGA MARLEIDY"/>
    <n v="7"/>
    <n v="0"/>
    <n v="264412"/>
  </r>
  <r>
    <s v="Retail"/>
    <s v="Q027 - Cucuta - Cc Ventura Plaza"/>
    <x v="9"/>
    <s v="octubre"/>
    <n v="2"/>
    <d v="2026-10-02T00:00:00"/>
    <m/>
    <m/>
    <n v="0"/>
    <n v="30861803"/>
    <n v="0"/>
  </r>
  <r>
    <s v="Retail"/>
    <s v="Q027 - Cucuta - Cc Ventura Plaza"/>
    <x v="9"/>
    <s v="octubre"/>
    <n v="2"/>
    <d v="2026-10-02T00:00:00"/>
    <n v="1004879853"/>
    <s v="MUÑOZ ANGARITA ANGIE KATHERINE"/>
    <n v="102"/>
    <n v="0"/>
    <n v="5638533"/>
  </r>
  <r>
    <s v="Retail"/>
    <s v="Q027 - Cucuta - Cc Ventura Plaza"/>
    <x v="9"/>
    <s v="octubre"/>
    <n v="2"/>
    <d v="2026-10-02T00:00:00"/>
    <n v="1004925792"/>
    <s v="SUÁREZ MUNEVAR DOMINICK DANIEL"/>
    <n v="112"/>
    <n v="0"/>
    <n v="6356477"/>
  </r>
  <r>
    <s v="Retail"/>
    <s v="Q027 - Cucuta - Cc Ventura Plaza"/>
    <x v="9"/>
    <s v="octubre"/>
    <n v="2"/>
    <d v="2026-10-02T00:00:00"/>
    <n v="1091357320"/>
    <s v="MANRIQUE GONZALEZ ANYI LORENA"/>
    <n v="37"/>
    <n v="0"/>
    <n v="1973156"/>
  </r>
  <r>
    <s v="Retail"/>
    <s v="Q027 - Cucuta - Cc Ventura Plaza"/>
    <x v="9"/>
    <s v="octubre"/>
    <n v="2"/>
    <d v="2026-10-02T00:00:00"/>
    <n v="1094047894"/>
    <s v="VILLAMIZAR  CHINCHILLA JUAN SEBASTIAN "/>
    <n v="165"/>
    <n v="0"/>
    <n v="10175426"/>
  </r>
  <r>
    <s v="Retail"/>
    <s v="Q027 - Cucuta - Cc Ventura Plaza"/>
    <x v="9"/>
    <s v="octubre"/>
    <n v="2"/>
    <d v="2026-10-02T00:00:00"/>
    <n v="1127047270"/>
    <s v="ARISTIZABAL BARRANGA MARLEIDY"/>
    <n v="24"/>
    <n v="0"/>
    <n v="1230042"/>
  </r>
  <r>
    <s v="Retail"/>
    <s v="Q027 - Cucuta - Cc Ventura Plaza"/>
    <x v="9"/>
    <s v="octubre"/>
    <n v="3"/>
    <d v="2026-10-03T00:00:00"/>
    <m/>
    <m/>
    <n v="0"/>
    <n v="45496765"/>
    <n v="0"/>
  </r>
  <r>
    <s v="Retail"/>
    <s v="Q027 - Cucuta - Cc Ventura Plaza"/>
    <x v="9"/>
    <s v="octubre"/>
    <n v="3"/>
    <d v="2026-10-03T00:00:00"/>
    <n v="1004879853"/>
    <s v="MUÑOZ ANGARITA ANGIE KATHERINE"/>
    <n v="153"/>
    <n v="0"/>
    <n v="8115961"/>
  </r>
  <r>
    <s v="Retail"/>
    <s v="Q027 - Cucuta - Cc Ventura Plaza"/>
    <x v="9"/>
    <s v="octubre"/>
    <n v="3"/>
    <d v="2026-10-03T00:00:00"/>
    <n v="1004925792"/>
    <s v="SUÁREZ MUNEVAR DOMINICK DANIEL"/>
    <n v="164"/>
    <n v="0"/>
    <n v="8642050"/>
  </r>
  <r>
    <s v="Retail"/>
    <s v="Q027 - Cucuta - Cc Ventura Plaza"/>
    <x v="9"/>
    <s v="octubre"/>
    <n v="3"/>
    <d v="2026-10-03T00:00:00"/>
    <n v="1091357320"/>
    <s v="MANRIQUE GONZALEZ ANYI LORENA"/>
    <n v="73"/>
    <n v="0"/>
    <n v="4018071"/>
  </r>
  <r>
    <s v="Retail"/>
    <s v="Q027 - Cucuta - Cc Ventura Plaza"/>
    <x v="9"/>
    <s v="octubre"/>
    <n v="3"/>
    <d v="2026-10-03T00:00:00"/>
    <n v="1094047894"/>
    <s v="VILLAMIZAR  CHINCHILLA JUAN SEBASTIAN "/>
    <n v="196"/>
    <n v="0"/>
    <n v="10131415"/>
  </r>
  <r>
    <s v="Retail"/>
    <s v="Q027 - Cucuta - Cc Ventura Plaza"/>
    <x v="9"/>
    <s v="octubre"/>
    <n v="3"/>
    <d v="2026-10-03T00:00:00"/>
    <n v="1127047270"/>
    <s v="ARISTIZABAL BARRANGA MARLEIDY"/>
    <n v="27"/>
    <n v="0"/>
    <n v="1426689"/>
  </r>
  <r>
    <s v="Retail"/>
    <s v="Q027 - Cucuta - Cc Ventura Plaza"/>
    <x v="9"/>
    <s v="octubre"/>
    <n v="4"/>
    <d v="2026-10-04T00:00:00"/>
    <m/>
    <m/>
    <n v="0"/>
    <n v="38608334"/>
    <n v="0"/>
  </r>
  <r>
    <s v="Retail"/>
    <s v="Q027 - Cucuta - Cc Ventura Plaza"/>
    <x v="9"/>
    <s v="octubre"/>
    <n v="4"/>
    <d v="2026-10-04T00:00:00"/>
    <n v="1004879853"/>
    <s v="MUÑOZ ANGARITA ANGIE KATHERINE"/>
    <n v="148"/>
    <n v="0"/>
    <n v="8907192"/>
  </r>
  <r>
    <s v="Retail"/>
    <s v="Q027 - Cucuta - Cc Ventura Plaza"/>
    <x v="9"/>
    <s v="octubre"/>
    <n v="4"/>
    <d v="2026-10-04T00:00:00"/>
    <n v="1004925792"/>
    <s v="SUÁREZ MUNEVAR DOMINICK DANIEL"/>
    <n v="180"/>
    <n v="0"/>
    <n v="10666478"/>
  </r>
  <r>
    <s v="Retail"/>
    <s v="Q027 - Cucuta - Cc Ventura Plaza"/>
    <x v="9"/>
    <s v="octubre"/>
    <n v="4"/>
    <d v="2026-10-04T00:00:00"/>
    <n v="1091357320"/>
    <s v="MANRIQUE GONZALEZ ANYI LORENA"/>
    <n v="82"/>
    <n v="0"/>
    <n v="5309293"/>
  </r>
  <r>
    <s v="Retail"/>
    <s v="Q027 - Cucuta - Cc Ventura Plaza"/>
    <x v="9"/>
    <s v="octubre"/>
    <n v="4"/>
    <d v="2026-10-04T00:00:00"/>
    <n v="1094047894"/>
    <s v="VILLAMIZAR  CHINCHILLA JUAN SEBASTIAN "/>
    <n v="125"/>
    <n v="0"/>
    <n v="7322194"/>
  </r>
  <r>
    <s v="Retail"/>
    <s v="Q027 - Cucuta - Cc Ventura Plaza"/>
    <x v="9"/>
    <s v="octubre"/>
    <n v="4"/>
    <d v="2026-10-04T00:00:00"/>
    <n v="1127047270"/>
    <s v="ARISTIZABAL BARRANGA MARLEIDY"/>
    <n v="34"/>
    <n v="0"/>
    <n v="1987984"/>
  </r>
  <r>
    <s v="Retail"/>
    <s v="Q027 - Cucuta - Cc Ventura Plaza"/>
    <x v="9"/>
    <s v="octubre"/>
    <n v="5"/>
    <d v="2026-10-05T00:00:00"/>
    <m/>
    <m/>
    <n v="0"/>
    <n v="21197584"/>
    <n v="0"/>
  </r>
  <r>
    <s v="Retail"/>
    <s v="Q027 - Cucuta - Cc Ventura Plaza"/>
    <x v="9"/>
    <s v="octubre"/>
    <n v="5"/>
    <d v="2026-10-05T00:00:00"/>
    <n v="1004879853"/>
    <s v="MUÑOZ ANGARITA ANGIE KATHERINE"/>
    <n v="117"/>
    <n v="0"/>
    <n v="6687903"/>
  </r>
  <r>
    <s v="Retail"/>
    <s v="Q027 - Cucuta - Cc Ventura Plaza"/>
    <x v="9"/>
    <s v="octubre"/>
    <n v="5"/>
    <d v="2026-10-05T00:00:00"/>
    <n v="1004925792"/>
    <s v="SUÁREZ MUNEVAR DOMINICK DANIEL"/>
    <n v="145"/>
    <n v="0"/>
    <n v="8551942"/>
  </r>
  <r>
    <s v="Retail"/>
    <s v="Q027 - Cucuta - Cc Ventura Plaza"/>
    <x v="9"/>
    <s v="octubre"/>
    <n v="5"/>
    <d v="2026-10-05T00:00:00"/>
    <n v="1091357320"/>
    <s v="MANRIQUE GONZALEZ ANYI LORENA"/>
    <n v="12"/>
    <n v="0"/>
    <n v="617144"/>
  </r>
  <r>
    <s v="Retail"/>
    <s v="Q027 - Cucuta - Cc Ventura Plaza"/>
    <x v="9"/>
    <s v="octubre"/>
    <n v="5"/>
    <d v="2026-10-05T00:00:00"/>
    <n v="1094047894"/>
    <s v="VILLAMIZAR  CHINCHILLA JUAN SEBASTIAN "/>
    <n v="129"/>
    <n v="0"/>
    <n v="7351437"/>
  </r>
  <r>
    <s v="Retail"/>
    <s v="Q027 - Cucuta - Cc Ventura Plaza"/>
    <x v="9"/>
    <s v="octubre"/>
    <n v="5"/>
    <d v="2026-10-05T00:00:00"/>
    <n v="1127047270"/>
    <s v="ARISTIZABAL BARRANGA MARLEIDY"/>
    <n v="7"/>
    <n v="0"/>
    <n v="373614"/>
  </r>
  <r>
    <s v="Retail"/>
    <s v="Q027 - Cucuta - Cc Ventura Plaza"/>
    <x v="9"/>
    <s v="octubre"/>
    <n v="6"/>
    <d v="2026-10-06T00:00:00"/>
    <m/>
    <m/>
    <n v="0"/>
    <n v="16559492"/>
    <n v="0"/>
  </r>
  <r>
    <s v="Retail"/>
    <s v="Q027 - Cucuta - Cc Ventura Plaza"/>
    <x v="9"/>
    <s v="octubre"/>
    <n v="6"/>
    <d v="2026-10-06T00:00:00"/>
    <n v="1004879853"/>
    <s v="MUÑOZ ANGARITA ANGIE KATHERINE"/>
    <n v="88"/>
    <n v="0"/>
    <n v="4979121"/>
  </r>
  <r>
    <s v="Retail"/>
    <s v="Q027 - Cucuta - Cc Ventura Plaza"/>
    <x v="9"/>
    <s v="octubre"/>
    <n v="6"/>
    <d v="2026-10-06T00:00:00"/>
    <n v="1004925792"/>
    <s v="SUÁREZ MUNEVAR DOMINICK DANIEL"/>
    <n v="81"/>
    <n v="0"/>
    <n v="4399712"/>
  </r>
  <r>
    <s v="Retail"/>
    <s v="Q027 - Cucuta - Cc Ventura Plaza"/>
    <x v="9"/>
    <s v="octubre"/>
    <n v="6"/>
    <d v="2026-10-06T00:00:00"/>
    <n v="1094047894"/>
    <s v="VILLAMIZAR  CHINCHILLA JUAN SEBASTIAN "/>
    <n v="74"/>
    <n v="0"/>
    <n v="4452527"/>
  </r>
  <r>
    <s v="Retail"/>
    <s v="Q027 - Cucuta - Cc Ventura Plaza"/>
    <x v="9"/>
    <s v="octubre"/>
    <n v="7"/>
    <d v="2026-10-07T00:00:00"/>
    <m/>
    <m/>
    <n v="0"/>
    <n v="16341604"/>
    <n v="0"/>
  </r>
  <r>
    <s v="Retail"/>
    <s v="Q027 - Cucuta - Cc Ventura Plaza"/>
    <x v="9"/>
    <s v="octubre"/>
    <n v="7"/>
    <d v="2026-10-07T00:00:00"/>
    <n v="1004879853"/>
    <s v="MUÑOZ ANGARITA ANGIE KATHERINE"/>
    <n v="85"/>
    <n v="0"/>
    <n v="4928916"/>
  </r>
  <r>
    <s v="Retail"/>
    <s v="Q027 - Cucuta - Cc Ventura Plaza"/>
    <x v="9"/>
    <s v="octubre"/>
    <n v="7"/>
    <d v="2026-10-07T00:00:00"/>
    <n v="1004925792"/>
    <s v="SUÁREZ MUNEVAR DOMINICK DANIEL"/>
    <n v="84"/>
    <n v="0"/>
    <n v="5273451"/>
  </r>
  <r>
    <s v="Retail"/>
    <s v="Q027 - Cucuta - Cc Ventura Plaza"/>
    <x v="9"/>
    <s v="octubre"/>
    <n v="7"/>
    <d v="2026-10-07T00:00:00"/>
    <n v="1091357320"/>
    <s v="MANRIQUE GONZALEZ ANYI LORENA"/>
    <n v="7"/>
    <n v="0"/>
    <n v="512311"/>
  </r>
  <r>
    <s v="Retail"/>
    <s v="Q027 - Cucuta - Cc Ventura Plaza"/>
    <x v="9"/>
    <s v="octubre"/>
    <n v="7"/>
    <d v="2026-10-07T00:00:00"/>
    <n v="1094047894"/>
    <s v="VILLAMIZAR  CHINCHILLA JUAN SEBASTIAN "/>
    <n v="113"/>
    <n v="0"/>
    <n v="6759333"/>
  </r>
  <r>
    <s v="Retail"/>
    <s v="Q027 - Cucuta - Cc Ventura Plaza"/>
    <x v="9"/>
    <s v="octubre"/>
    <n v="7"/>
    <d v="2026-10-07T00:00:00"/>
    <n v="1127047270"/>
    <s v="ARISTIZABAL BARRANGA MARLEIDY"/>
    <n v="-1"/>
    <n v="0"/>
    <n v="-41975"/>
  </r>
  <r>
    <s v="Retail"/>
    <s v="Q046 - Cucuta - Centro 2"/>
    <x v="9"/>
    <s v="septiembre"/>
    <n v="23"/>
    <d v="2026-09-23T00:00:00"/>
    <m/>
    <m/>
    <n v="0"/>
    <n v="12774614"/>
    <n v="0"/>
  </r>
  <r>
    <s v="Retail"/>
    <s v="Q046 - Cucuta - Centro 2"/>
    <x v="9"/>
    <s v="septiembre"/>
    <n v="23"/>
    <d v="2026-09-23T00:00:00"/>
    <n v="37506130"/>
    <s v="CARRASCAL RIOS DEISY TORCOROMA"/>
    <n v="115"/>
    <n v="0"/>
    <n v="6549791"/>
  </r>
  <r>
    <s v="Retail"/>
    <s v="Q046 - Cucuta - Centro 2"/>
    <x v="9"/>
    <s v="septiembre"/>
    <n v="23"/>
    <d v="2026-09-23T00:00:00"/>
    <n v="1090393438"/>
    <s v="RIVERA  BOTELLO VIANEY "/>
    <n v="62"/>
    <n v="0"/>
    <n v="3537313"/>
  </r>
  <r>
    <s v="Retail"/>
    <s v="Q046 - Cucuta - Centro 2"/>
    <x v="9"/>
    <s v="septiembre"/>
    <n v="23"/>
    <d v="2026-09-23T00:00:00"/>
    <n v="1090472880"/>
    <s v="GARCIA MEDINA LUIS  ANTONIO"/>
    <n v="27"/>
    <n v="0"/>
    <n v="1534583"/>
  </r>
  <r>
    <s v="Retail"/>
    <s v="Q046 - Cucuta - Centro 2"/>
    <x v="9"/>
    <s v="septiembre"/>
    <n v="23"/>
    <d v="2026-09-23T00:00:00"/>
    <n v="1090498655"/>
    <s v="CASTILLO OBANDO JOHAN EBED"/>
    <n v="84"/>
    <n v="0"/>
    <n v="4309501"/>
  </r>
  <r>
    <s v="Retail"/>
    <s v="Q046 - Cucuta - Centro 2"/>
    <x v="9"/>
    <s v="septiembre"/>
    <n v="23"/>
    <d v="2026-09-23T00:00:00"/>
    <n v="1092530235"/>
    <s v="PEREZ TEJADA YINETH VALENTINA"/>
    <n v="19"/>
    <n v="0"/>
    <n v="873109"/>
  </r>
  <r>
    <s v="Retail"/>
    <s v="Q046 - Cucuta - Centro 2"/>
    <x v="9"/>
    <s v="septiembre"/>
    <n v="24"/>
    <d v="2026-09-24T00:00:00"/>
    <m/>
    <m/>
    <n v="0"/>
    <n v="19514664"/>
    <n v="0"/>
  </r>
  <r>
    <s v="Retail"/>
    <s v="Q046 - Cucuta - Centro 2"/>
    <x v="9"/>
    <s v="septiembre"/>
    <n v="24"/>
    <d v="2026-09-24T00:00:00"/>
    <n v="37506130"/>
    <s v="CARRASCAL RIOS DEISY TORCOROMA"/>
    <n v="105"/>
    <n v="0"/>
    <n v="5772776"/>
  </r>
  <r>
    <s v="Retail"/>
    <s v="Q046 - Cucuta - Centro 2"/>
    <x v="9"/>
    <s v="septiembre"/>
    <n v="24"/>
    <d v="2026-09-24T00:00:00"/>
    <n v="63510426"/>
    <s v="RAVELO CARDENAS OSMANY"/>
    <n v="-1"/>
    <n v="0"/>
    <n v="-142773"/>
  </r>
  <r>
    <s v="Retail"/>
    <s v="Q046 - Cucuta - Centro 2"/>
    <x v="9"/>
    <s v="septiembre"/>
    <n v="24"/>
    <d v="2026-09-24T00:00:00"/>
    <n v="1090393438"/>
    <s v="RIVERA  BOTELLO VIANEY "/>
    <n v="79"/>
    <n v="0"/>
    <n v="3891644"/>
  </r>
  <r>
    <s v="Retail"/>
    <s v="Q046 - Cucuta - Centro 2"/>
    <x v="9"/>
    <s v="septiembre"/>
    <n v="24"/>
    <d v="2026-09-24T00:00:00"/>
    <n v="1090472880"/>
    <s v="GARCIA MEDINA LUIS  ANTONIO"/>
    <n v="35"/>
    <n v="0"/>
    <n v="2023742"/>
  </r>
  <r>
    <s v="Retail"/>
    <s v="Q046 - Cucuta - Centro 2"/>
    <x v="9"/>
    <s v="septiembre"/>
    <n v="24"/>
    <d v="2026-09-24T00:00:00"/>
    <n v="1090498655"/>
    <s v="CASTILLO OBANDO JOHAN EBED"/>
    <n v="85"/>
    <n v="0"/>
    <n v="4868200"/>
  </r>
  <r>
    <s v="Retail"/>
    <s v="Q046 - Cucuta - Centro 2"/>
    <x v="9"/>
    <s v="septiembre"/>
    <n v="24"/>
    <d v="2026-09-24T00:00:00"/>
    <n v="1092530235"/>
    <s v="PEREZ TEJADA YINETH VALENTINA"/>
    <n v="50"/>
    <n v="0"/>
    <n v="2707944"/>
  </r>
  <r>
    <s v="Retail"/>
    <s v="Q046 - Cucuta - Centro 2"/>
    <x v="9"/>
    <s v="septiembre"/>
    <n v="25"/>
    <d v="2026-09-25T00:00:00"/>
    <m/>
    <m/>
    <n v="0"/>
    <n v="19471462"/>
    <n v="0"/>
  </r>
  <r>
    <s v="Retail"/>
    <s v="Q046 - Cucuta - Centro 2"/>
    <x v="9"/>
    <s v="septiembre"/>
    <n v="25"/>
    <d v="2026-09-25T00:00:00"/>
    <n v="37506130"/>
    <s v="CARRASCAL RIOS DEISY TORCOROMA"/>
    <n v="102"/>
    <n v="0"/>
    <n v="5735173"/>
  </r>
  <r>
    <s v="Retail"/>
    <s v="Q046 - Cucuta - Centro 2"/>
    <x v="9"/>
    <s v="septiembre"/>
    <n v="25"/>
    <d v="2026-09-25T00:00:00"/>
    <n v="1090393438"/>
    <s v="RIVERA  BOTELLO VIANEY "/>
    <n v="86"/>
    <n v="0"/>
    <n v="4674796"/>
  </r>
  <r>
    <s v="Retail"/>
    <s v="Q046 - Cucuta - Centro 2"/>
    <x v="9"/>
    <s v="septiembre"/>
    <n v="25"/>
    <d v="2026-09-25T00:00:00"/>
    <n v="1090472880"/>
    <s v="GARCIA MEDINA LUIS  ANTONIO"/>
    <n v="71"/>
    <n v="0"/>
    <n v="4089414"/>
  </r>
  <r>
    <s v="Retail"/>
    <s v="Q046 - Cucuta - Centro 2"/>
    <x v="9"/>
    <s v="septiembre"/>
    <n v="25"/>
    <d v="2026-09-25T00:00:00"/>
    <n v="1090498655"/>
    <s v="CASTILLO OBANDO JOHAN EBED"/>
    <n v="88"/>
    <n v="0"/>
    <n v="5454163"/>
  </r>
  <r>
    <s v="Retail"/>
    <s v="Q046 - Cucuta - Centro 2"/>
    <x v="9"/>
    <s v="septiembre"/>
    <n v="25"/>
    <d v="2026-09-25T00:00:00"/>
    <n v="1092530235"/>
    <s v="PEREZ TEJADA YINETH VALENTINA"/>
    <n v="50"/>
    <n v="0"/>
    <n v="2577734"/>
  </r>
  <r>
    <s v="Retail"/>
    <s v="Q046 - Cucuta - Centro 2"/>
    <x v="9"/>
    <s v="septiembre"/>
    <n v="26"/>
    <d v="2026-09-26T00:00:00"/>
    <m/>
    <m/>
    <n v="0"/>
    <n v="27983287"/>
    <n v="0"/>
  </r>
  <r>
    <s v="Retail"/>
    <s v="Q046 - Cucuta - Centro 2"/>
    <x v="9"/>
    <s v="septiembre"/>
    <n v="26"/>
    <d v="2026-09-26T00:00:00"/>
    <n v="37506130"/>
    <s v="CARRASCAL RIOS DEISY TORCOROMA"/>
    <n v="137"/>
    <n v="0"/>
    <n v="7935261"/>
  </r>
  <r>
    <s v="Retail"/>
    <s v="Q046 - Cucuta - Centro 2"/>
    <x v="9"/>
    <s v="septiembre"/>
    <n v="26"/>
    <d v="2026-09-26T00:00:00"/>
    <n v="1090393438"/>
    <s v="RIVERA  BOTELLO VIANEY "/>
    <n v="106"/>
    <n v="0"/>
    <n v="6190887"/>
  </r>
  <r>
    <s v="Retail"/>
    <s v="Q046 - Cucuta - Centro 2"/>
    <x v="9"/>
    <s v="septiembre"/>
    <n v="26"/>
    <d v="2026-09-26T00:00:00"/>
    <n v="1090472880"/>
    <s v="GARCIA MEDINA LUIS  ANTONIO"/>
    <n v="66"/>
    <n v="0"/>
    <n v="3520258"/>
  </r>
  <r>
    <s v="Retail"/>
    <s v="Q046 - Cucuta - Centro 2"/>
    <x v="9"/>
    <s v="septiembre"/>
    <n v="26"/>
    <d v="2026-09-26T00:00:00"/>
    <n v="1090498655"/>
    <s v="CASTILLO OBANDO JOHAN EBED"/>
    <n v="95"/>
    <n v="0"/>
    <n v="5588411"/>
  </r>
  <r>
    <s v="Retail"/>
    <s v="Q046 - Cucuta - Centro 2"/>
    <x v="9"/>
    <s v="septiembre"/>
    <n v="26"/>
    <d v="2026-09-26T00:00:00"/>
    <n v="1092530235"/>
    <s v="PEREZ TEJADA YINETH VALENTINA"/>
    <n v="46"/>
    <n v="0"/>
    <n v="2670338"/>
  </r>
  <r>
    <s v="Retail"/>
    <s v="Q046 - Cucuta - Centro 2"/>
    <x v="9"/>
    <s v="septiembre"/>
    <n v="27"/>
    <d v="2026-09-27T00:00:00"/>
    <m/>
    <m/>
    <n v="0"/>
    <n v="22168398"/>
    <n v="0"/>
  </r>
  <r>
    <s v="Retail"/>
    <s v="Q046 - Cucuta - Centro 2"/>
    <x v="9"/>
    <s v="septiembre"/>
    <n v="27"/>
    <d v="2026-09-27T00:00:00"/>
    <n v="37506130"/>
    <s v="CARRASCAL RIOS DEISY TORCOROMA"/>
    <n v="77"/>
    <n v="0"/>
    <n v="4578660"/>
  </r>
  <r>
    <s v="Retail"/>
    <s v="Q046 - Cucuta - Centro 2"/>
    <x v="9"/>
    <s v="septiembre"/>
    <n v="27"/>
    <d v="2026-09-27T00:00:00"/>
    <n v="1090393438"/>
    <s v="RIVERA  BOTELLO VIANEY "/>
    <n v="37"/>
    <n v="0"/>
    <n v="2212733"/>
  </r>
  <r>
    <s v="Retail"/>
    <s v="Q046 - Cucuta - Centro 2"/>
    <x v="9"/>
    <s v="septiembre"/>
    <n v="27"/>
    <d v="2026-09-27T00:00:00"/>
    <n v="1090472880"/>
    <s v="GARCIA MEDINA LUIS  ANTONIO"/>
    <n v="17"/>
    <n v="0"/>
    <n v="1003489"/>
  </r>
  <r>
    <s v="Retail"/>
    <s v="Q046 - Cucuta - Centro 2"/>
    <x v="9"/>
    <s v="septiembre"/>
    <n v="27"/>
    <d v="2026-09-27T00:00:00"/>
    <n v="1090498655"/>
    <s v="CASTILLO OBANDO JOHAN EBED"/>
    <n v="70"/>
    <n v="0"/>
    <n v="4476053"/>
  </r>
  <r>
    <s v="Retail"/>
    <s v="Q046 - Cucuta - Centro 2"/>
    <x v="9"/>
    <s v="septiembre"/>
    <n v="27"/>
    <d v="2026-09-27T00:00:00"/>
    <n v="1092530235"/>
    <s v="PEREZ TEJADA YINETH VALENTINA"/>
    <n v="36"/>
    <n v="0"/>
    <n v="2101349"/>
  </r>
  <r>
    <s v="Retail"/>
    <s v="Q046 - Cucuta - Centro 2"/>
    <x v="9"/>
    <s v="septiembre"/>
    <n v="28"/>
    <d v="2026-09-28T00:00:00"/>
    <m/>
    <m/>
    <n v="0"/>
    <n v="12481792"/>
    <n v="0"/>
  </r>
  <r>
    <s v="Retail"/>
    <s v="Q046 - Cucuta - Centro 2"/>
    <x v="9"/>
    <s v="septiembre"/>
    <n v="28"/>
    <d v="2026-09-28T00:00:00"/>
    <n v="37506130"/>
    <s v="CARRASCAL RIOS DEISY TORCOROMA"/>
    <n v="41"/>
    <n v="0"/>
    <n v="2481386"/>
  </r>
  <r>
    <s v="Retail"/>
    <s v="Q046 - Cucuta - Centro 2"/>
    <x v="9"/>
    <s v="septiembre"/>
    <n v="28"/>
    <d v="2026-09-28T00:00:00"/>
    <n v="1090393438"/>
    <s v="RIVERA  BOTELLO VIANEY "/>
    <n v="53"/>
    <n v="0"/>
    <n v="3308661"/>
  </r>
  <r>
    <s v="Retail"/>
    <s v="Q046 - Cucuta - Centro 2"/>
    <x v="9"/>
    <s v="septiembre"/>
    <n v="28"/>
    <d v="2026-09-28T00:00:00"/>
    <n v="1090472880"/>
    <s v="GARCIA MEDINA LUIS  ANTONIO"/>
    <n v="23"/>
    <n v="0"/>
    <n v="1620927"/>
  </r>
  <r>
    <s v="Retail"/>
    <s v="Q046 - Cucuta - Centro 2"/>
    <x v="9"/>
    <s v="septiembre"/>
    <n v="28"/>
    <d v="2026-09-28T00:00:00"/>
    <n v="1090498655"/>
    <s v="CASTILLO OBANDO JOHAN EBED"/>
    <n v="73"/>
    <n v="0"/>
    <n v="4219586"/>
  </r>
  <r>
    <s v="Retail"/>
    <s v="Q046 - Cucuta - Centro 2"/>
    <x v="9"/>
    <s v="septiembre"/>
    <n v="28"/>
    <d v="2026-09-28T00:00:00"/>
    <n v="1092530235"/>
    <s v="PEREZ TEJADA YINETH VALENTINA"/>
    <n v="13"/>
    <n v="0"/>
    <n v="692733"/>
  </r>
  <r>
    <s v="Retail"/>
    <s v="Q046 - Cucuta - Centro 2"/>
    <x v="9"/>
    <s v="septiembre"/>
    <n v="29"/>
    <d v="2026-09-29T00:00:00"/>
    <m/>
    <m/>
    <n v="0"/>
    <n v="12751385"/>
    <n v="0"/>
  </r>
  <r>
    <s v="Retail"/>
    <s v="Q046 - Cucuta - Centro 2"/>
    <x v="9"/>
    <s v="septiembre"/>
    <n v="29"/>
    <d v="2026-09-29T00:00:00"/>
    <n v="37506130"/>
    <s v="CARRASCAL RIOS DEISY TORCOROMA"/>
    <n v="54"/>
    <n v="0"/>
    <n v="2884206"/>
  </r>
  <r>
    <s v="Retail"/>
    <s v="Q046 - Cucuta - Centro 2"/>
    <x v="9"/>
    <s v="septiembre"/>
    <n v="29"/>
    <d v="2026-09-29T00:00:00"/>
    <n v="1090393438"/>
    <s v="RIVERA  BOTELLO VIANEY "/>
    <n v="46"/>
    <n v="0"/>
    <n v="2792105"/>
  </r>
  <r>
    <s v="Retail"/>
    <s v="Q046 - Cucuta - Centro 2"/>
    <x v="9"/>
    <s v="septiembre"/>
    <n v="29"/>
    <d v="2026-09-29T00:00:00"/>
    <n v="1090472880"/>
    <s v="GARCIA MEDINA LUIS  ANTONIO"/>
    <n v="11"/>
    <n v="0"/>
    <n v="755799"/>
  </r>
  <r>
    <s v="Retail"/>
    <s v="Q046 - Cucuta - Centro 2"/>
    <x v="9"/>
    <s v="septiembre"/>
    <n v="29"/>
    <d v="2026-09-29T00:00:00"/>
    <n v="1090498655"/>
    <s v="CASTILLO OBANDO JOHAN EBED"/>
    <n v="42"/>
    <n v="0"/>
    <n v="2355380"/>
  </r>
  <r>
    <s v="Retail"/>
    <s v="Q046 - Cucuta - Centro 2"/>
    <x v="9"/>
    <s v="septiembre"/>
    <n v="29"/>
    <d v="2026-09-29T00:00:00"/>
    <n v="1092530235"/>
    <s v="PEREZ TEJADA YINETH VALENTINA"/>
    <n v="1"/>
    <n v="0"/>
    <n v="33572"/>
  </r>
  <r>
    <s v="Retail"/>
    <s v="Q046 - Cucuta - Centro 2"/>
    <x v="9"/>
    <s v="septiembre"/>
    <n v="30"/>
    <d v="2026-09-30T00:00:00"/>
    <m/>
    <m/>
    <n v="0"/>
    <n v="13462912"/>
    <n v="0"/>
  </r>
  <r>
    <s v="Retail"/>
    <s v="Q046 - Cucuta - Centro 2"/>
    <x v="9"/>
    <s v="septiembre"/>
    <n v="30"/>
    <d v="2026-09-30T00:00:00"/>
    <n v="37506130"/>
    <s v="CARRASCAL RIOS DEISY TORCOROMA"/>
    <n v="10"/>
    <n v="0"/>
    <n v="562606"/>
  </r>
  <r>
    <s v="Retail"/>
    <s v="Q046 - Cucuta - Centro 2"/>
    <x v="9"/>
    <s v="septiembre"/>
    <n v="30"/>
    <d v="2026-09-30T00:00:00"/>
    <n v="1090393438"/>
    <s v="RIVERA  BOTELLO VIANEY "/>
    <n v="50"/>
    <n v="0"/>
    <n v="3174333"/>
  </r>
  <r>
    <s v="Retail"/>
    <s v="Q046 - Cucuta - Centro 2"/>
    <x v="9"/>
    <s v="septiembre"/>
    <n v="30"/>
    <d v="2026-09-30T00:00:00"/>
    <n v="1090472880"/>
    <s v="GARCIA MEDINA LUIS  ANTONIO"/>
    <n v="15"/>
    <n v="0"/>
    <n v="860715"/>
  </r>
  <r>
    <s v="Retail"/>
    <s v="Q046 - Cucuta - Centro 2"/>
    <x v="9"/>
    <s v="septiembre"/>
    <n v="30"/>
    <d v="2026-09-30T00:00:00"/>
    <n v="1090498655"/>
    <s v="CASTILLO OBANDO JOHAN EBED"/>
    <n v="101"/>
    <n v="0"/>
    <n v="5714250"/>
  </r>
  <r>
    <s v="Retail"/>
    <s v="Q046 - Cucuta - Centro 2"/>
    <x v="9"/>
    <s v="septiembre"/>
    <n v="30"/>
    <d v="2026-09-30T00:00:00"/>
    <n v="1092530235"/>
    <s v="PEREZ TEJADA YINETH VALENTINA"/>
    <n v="7"/>
    <n v="0"/>
    <n v="239202"/>
  </r>
  <r>
    <s v="Retail"/>
    <s v="Q046 - Cucuta - Centro 2"/>
    <x v="9"/>
    <s v="octubre"/>
    <n v="1"/>
    <d v="2026-10-01T00:00:00"/>
    <m/>
    <m/>
    <n v="0"/>
    <n v="15097833"/>
    <n v="0"/>
  </r>
  <r>
    <s v="Retail"/>
    <s v="Q046 - Cucuta - Centro 2"/>
    <x v="9"/>
    <s v="octubre"/>
    <n v="1"/>
    <d v="2026-10-01T00:00:00"/>
    <n v="37506130"/>
    <s v="CARRASCAL RIOS DEISY TORCOROMA"/>
    <n v="70"/>
    <n v="0"/>
    <n v="4169333"/>
  </r>
  <r>
    <s v="Retail"/>
    <s v="Q046 - Cucuta - Centro 2"/>
    <x v="9"/>
    <s v="octubre"/>
    <n v="1"/>
    <d v="2026-10-01T00:00:00"/>
    <n v="1090393438"/>
    <s v="RIVERA  BOTELLO VIANEY "/>
    <n v="33"/>
    <n v="0"/>
    <n v="1965002"/>
  </r>
  <r>
    <s v="Retail"/>
    <s v="Q046 - Cucuta - Centro 2"/>
    <x v="9"/>
    <s v="octubre"/>
    <n v="1"/>
    <d v="2026-10-01T00:00:00"/>
    <n v="1090472880"/>
    <s v="GARCIA MEDINA LUIS  ANTONIO"/>
    <n v="30"/>
    <n v="0"/>
    <n v="1603782"/>
  </r>
  <r>
    <s v="Retail"/>
    <s v="Q046 - Cucuta - Centro 2"/>
    <x v="9"/>
    <s v="octubre"/>
    <n v="1"/>
    <d v="2026-10-01T00:00:00"/>
    <n v="1090498655"/>
    <s v="CASTILLO OBANDO JOHAN EBED"/>
    <n v="73"/>
    <n v="0"/>
    <n v="4106053"/>
  </r>
  <r>
    <s v="Retail"/>
    <s v="Q046 - Cucuta - Centro 2"/>
    <x v="9"/>
    <s v="octubre"/>
    <n v="1"/>
    <d v="2026-10-01T00:00:00"/>
    <n v="1092530235"/>
    <s v="PEREZ TEJADA YINETH VALENTINA"/>
    <n v="16"/>
    <n v="0"/>
    <n v="990883"/>
  </r>
  <r>
    <s v="Retail"/>
    <s v="Q046 - Cucuta - Centro 2"/>
    <x v="9"/>
    <s v="octubre"/>
    <n v="2"/>
    <d v="2026-10-02T00:00:00"/>
    <m/>
    <m/>
    <n v="0"/>
    <n v="16055539"/>
    <n v="0"/>
  </r>
  <r>
    <s v="Retail"/>
    <s v="Q046 - Cucuta - Centro 2"/>
    <x v="9"/>
    <s v="octubre"/>
    <n v="2"/>
    <d v="2026-10-02T00:00:00"/>
    <n v="37506130"/>
    <s v="CARRASCAL RIOS DEISY TORCOROMA"/>
    <n v="60"/>
    <n v="0"/>
    <n v="3545761"/>
  </r>
  <r>
    <s v="Retail"/>
    <s v="Q046 - Cucuta - Centro 2"/>
    <x v="9"/>
    <s v="octubre"/>
    <n v="2"/>
    <d v="2026-10-02T00:00:00"/>
    <n v="1090393438"/>
    <s v="RIVERA  BOTELLO VIANEY "/>
    <n v="64"/>
    <n v="0"/>
    <n v="3734666"/>
  </r>
  <r>
    <s v="Retail"/>
    <s v="Q046 - Cucuta - Centro 2"/>
    <x v="9"/>
    <s v="octubre"/>
    <n v="2"/>
    <d v="2026-10-02T00:00:00"/>
    <n v="1090472880"/>
    <s v="GARCIA MEDINA LUIS  ANTONIO"/>
    <n v="22"/>
    <n v="0"/>
    <n v="1196513"/>
  </r>
  <r>
    <s v="Retail"/>
    <s v="Q046 - Cucuta - Centro 2"/>
    <x v="9"/>
    <s v="octubre"/>
    <n v="2"/>
    <d v="2026-10-02T00:00:00"/>
    <n v="1090498655"/>
    <s v="CASTILLO OBANDO JOHAN EBED"/>
    <n v="55"/>
    <n v="0"/>
    <n v="3346435"/>
  </r>
  <r>
    <s v="Retail"/>
    <s v="Q046 - Cucuta - Centro 2"/>
    <x v="9"/>
    <s v="octubre"/>
    <n v="2"/>
    <d v="2026-10-02T00:00:00"/>
    <n v="1092530235"/>
    <s v="PEREZ TEJADA YINETH VALENTINA"/>
    <n v="20"/>
    <n v="0"/>
    <n v="971850"/>
  </r>
  <r>
    <s v="Retail"/>
    <s v="Q046 - Cucuta - Centro 2"/>
    <x v="9"/>
    <s v="octubre"/>
    <n v="3"/>
    <d v="2026-10-03T00:00:00"/>
    <m/>
    <m/>
    <n v="0"/>
    <n v="25943837"/>
    <n v="0"/>
  </r>
  <r>
    <s v="Retail"/>
    <s v="Q046 - Cucuta - Centro 2"/>
    <x v="9"/>
    <s v="octubre"/>
    <n v="3"/>
    <d v="2026-10-03T00:00:00"/>
    <n v="37506130"/>
    <s v="CARRASCAL RIOS DEISY TORCOROMA"/>
    <n v="115"/>
    <n v="0"/>
    <n v="6083254"/>
  </r>
  <r>
    <s v="Retail"/>
    <s v="Q046 - Cucuta - Centro 2"/>
    <x v="9"/>
    <s v="octubre"/>
    <n v="3"/>
    <d v="2026-10-03T00:00:00"/>
    <n v="1090393438"/>
    <s v="RIVERA  BOTELLO VIANEY "/>
    <n v="80"/>
    <n v="0"/>
    <n v="4441354"/>
  </r>
  <r>
    <s v="Retail"/>
    <s v="Q046 - Cucuta - Centro 2"/>
    <x v="9"/>
    <s v="octubre"/>
    <n v="3"/>
    <d v="2026-10-03T00:00:00"/>
    <n v="1090472880"/>
    <s v="GARCIA MEDINA LUIS  ANTONIO"/>
    <n v="77"/>
    <n v="0"/>
    <n v="3738523"/>
  </r>
  <r>
    <s v="Retail"/>
    <s v="Q046 - Cucuta - Centro 2"/>
    <x v="9"/>
    <s v="octubre"/>
    <n v="3"/>
    <d v="2026-10-03T00:00:00"/>
    <n v="1090498655"/>
    <s v="CASTILLO OBANDO JOHAN EBED"/>
    <n v="108"/>
    <n v="0"/>
    <n v="5838669"/>
  </r>
  <r>
    <s v="Retail"/>
    <s v="Q046 - Cucuta - Centro 2"/>
    <x v="9"/>
    <s v="octubre"/>
    <n v="3"/>
    <d v="2026-10-03T00:00:00"/>
    <n v="1092530235"/>
    <s v="PEREZ TEJADA YINETH VALENTINA"/>
    <n v="29"/>
    <n v="0"/>
    <n v="1307121"/>
  </r>
  <r>
    <s v="Retail"/>
    <s v="Q046 - Cucuta - Centro 2"/>
    <x v="9"/>
    <s v="octubre"/>
    <n v="4"/>
    <d v="2026-10-04T00:00:00"/>
    <m/>
    <m/>
    <n v="0"/>
    <n v="12328594"/>
    <n v="0"/>
  </r>
  <r>
    <s v="Retail"/>
    <s v="Q046 - Cucuta - Centro 2"/>
    <x v="9"/>
    <s v="octubre"/>
    <n v="4"/>
    <d v="2026-10-04T00:00:00"/>
    <n v="37506130"/>
    <s v="CARRASCAL RIOS DEISY TORCOROMA"/>
    <n v="50"/>
    <n v="0"/>
    <n v="3441180"/>
  </r>
  <r>
    <s v="Retail"/>
    <s v="Q046 - Cucuta - Centro 2"/>
    <x v="9"/>
    <s v="octubre"/>
    <n v="4"/>
    <d v="2026-10-04T00:00:00"/>
    <n v="1090393438"/>
    <s v="RIVERA  BOTELLO VIANEY "/>
    <n v="46"/>
    <n v="0"/>
    <n v="2621853"/>
  </r>
  <r>
    <s v="Retail"/>
    <s v="Q046 - Cucuta - Centro 2"/>
    <x v="9"/>
    <s v="octubre"/>
    <n v="4"/>
    <d v="2026-10-04T00:00:00"/>
    <n v="1090472880"/>
    <s v="GARCIA MEDINA LUIS  ANTONIO"/>
    <n v="13"/>
    <n v="0"/>
    <n v="755757"/>
  </r>
  <r>
    <s v="Retail"/>
    <s v="Q046 - Cucuta - Centro 2"/>
    <x v="9"/>
    <s v="octubre"/>
    <n v="4"/>
    <d v="2026-10-04T00:00:00"/>
    <n v="1090498655"/>
    <s v="CASTILLO OBANDO JOHAN EBED"/>
    <n v="48"/>
    <n v="0"/>
    <n v="2712229"/>
  </r>
  <r>
    <s v="Retail"/>
    <s v="Q046 - Cucuta - Centro 2"/>
    <x v="9"/>
    <s v="octubre"/>
    <n v="4"/>
    <d v="2026-10-04T00:00:00"/>
    <n v="1092530235"/>
    <s v="PEREZ TEJADA YINETH VALENTINA"/>
    <n v="31"/>
    <n v="0"/>
    <n v="1654036"/>
  </r>
  <r>
    <s v="Retail"/>
    <s v="Q046 - Cucuta - Centro 2"/>
    <x v="9"/>
    <s v="octubre"/>
    <n v="5"/>
    <d v="2026-10-05T00:00:00"/>
    <m/>
    <m/>
    <n v="0"/>
    <n v="11036991"/>
    <n v="0"/>
  </r>
  <r>
    <s v="Retail"/>
    <s v="Q046 - Cucuta - Centro 2"/>
    <x v="9"/>
    <s v="octubre"/>
    <n v="5"/>
    <d v="2026-10-05T00:00:00"/>
    <n v="37506130"/>
    <s v="CARRASCAL RIOS DEISY TORCOROMA"/>
    <n v="97"/>
    <n v="0"/>
    <n v="5247906"/>
  </r>
  <r>
    <s v="Retail"/>
    <s v="Q046 - Cucuta - Centro 2"/>
    <x v="9"/>
    <s v="octubre"/>
    <n v="5"/>
    <d v="2026-10-05T00:00:00"/>
    <n v="1004879853"/>
    <s v="MUÑOZ ANGARITA ANGIE KATHERINE"/>
    <n v="-1"/>
    <n v="0"/>
    <n v="-71386"/>
  </r>
  <r>
    <s v="Retail"/>
    <s v="Q046 - Cucuta - Centro 2"/>
    <x v="9"/>
    <s v="octubre"/>
    <n v="5"/>
    <d v="2026-10-05T00:00:00"/>
    <n v="1033486789"/>
    <s v="RINCON  CARDONA ESNEIDER "/>
    <n v="-1"/>
    <n v="0"/>
    <n v="-54580"/>
  </r>
  <r>
    <s v="Retail"/>
    <s v="Q046 - Cucuta - Centro 2"/>
    <x v="9"/>
    <s v="octubre"/>
    <n v="5"/>
    <d v="2026-10-05T00:00:00"/>
    <n v="1090393438"/>
    <s v="RIVERA  BOTELLO VIANEY "/>
    <n v="80"/>
    <n v="0"/>
    <n v="4861717"/>
  </r>
  <r>
    <s v="Retail"/>
    <s v="Q046 - Cucuta - Centro 2"/>
    <x v="9"/>
    <s v="octubre"/>
    <n v="5"/>
    <d v="2026-10-05T00:00:00"/>
    <n v="1090472880"/>
    <s v="GARCIA MEDINA LUIS  ANTONIO"/>
    <n v="10"/>
    <n v="0"/>
    <n v="419748"/>
  </r>
  <r>
    <s v="Retail"/>
    <s v="Q046 - Cucuta - Centro 2"/>
    <x v="9"/>
    <s v="octubre"/>
    <n v="5"/>
    <d v="2026-10-05T00:00:00"/>
    <n v="1090498655"/>
    <s v="CASTILLO OBANDO JOHAN EBED"/>
    <n v="69"/>
    <n v="0"/>
    <n v="3980174"/>
  </r>
  <r>
    <s v="Retail"/>
    <s v="Q046 - Cucuta - Centro 2"/>
    <x v="9"/>
    <s v="octubre"/>
    <n v="5"/>
    <d v="2026-10-05T00:00:00"/>
    <n v="1092530235"/>
    <s v="PEREZ TEJADA YINETH VALENTINA"/>
    <n v="7"/>
    <n v="0"/>
    <n v="382059"/>
  </r>
  <r>
    <s v="Retail"/>
    <s v="Q046 - Cucuta - Centro 2"/>
    <x v="9"/>
    <s v="octubre"/>
    <n v="5"/>
    <d v="2026-10-05T00:00:00"/>
    <n v="1148965693"/>
    <s v="CAMARGO DELGADO JHONAIDER JOSUE"/>
    <n v="-2"/>
    <n v="0"/>
    <n v="-67059"/>
  </r>
  <r>
    <s v="Retail"/>
    <s v="Q046 - Cucuta - Centro 2"/>
    <x v="9"/>
    <s v="octubre"/>
    <n v="6"/>
    <d v="2026-10-06T00:00:00"/>
    <m/>
    <m/>
    <n v="0"/>
    <n v="7288492"/>
    <n v="0"/>
  </r>
  <r>
    <s v="Retail"/>
    <s v="Q046 - Cucuta - Centro 2"/>
    <x v="9"/>
    <s v="octubre"/>
    <n v="6"/>
    <d v="2026-10-06T00:00:00"/>
    <n v="37506130"/>
    <s v="CARRASCAL RIOS DEISY TORCOROMA"/>
    <n v="58"/>
    <n v="0"/>
    <n v="2913407"/>
  </r>
  <r>
    <s v="Retail"/>
    <s v="Q046 - Cucuta - Centro 2"/>
    <x v="9"/>
    <s v="octubre"/>
    <n v="6"/>
    <d v="2026-10-06T00:00:00"/>
    <n v="1090393438"/>
    <s v="RIVERA  BOTELLO VIANEY "/>
    <n v="46"/>
    <n v="0"/>
    <n v="2458028"/>
  </r>
  <r>
    <s v="Retail"/>
    <s v="Q046 - Cucuta - Centro 2"/>
    <x v="9"/>
    <s v="octubre"/>
    <n v="6"/>
    <d v="2026-10-06T00:00:00"/>
    <n v="1090498655"/>
    <s v="CASTILLO OBANDO JOHAN EBED"/>
    <n v="43"/>
    <n v="0"/>
    <n v="2048574"/>
  </r>
  <r>
    <s v="Retail"/>
    <s v="Q046 - Cucuta - Centro 2"/>
    <x v="9"/>
    <s v="octubre"/>
    <n v="6"/>
    <d v="2026-10-06T00:00:00"/>
    <n v="1092530235"/>
    <s v="PEREZ TEJADA YINETH VALENTINA"/>
    <n v="6"/>
    <n v="0"/>
    <n v="277018"/>
  </r>
  <r>
    <s v="Retail"/>
    <s v="Q046 - Cucuta - Centro 2"/>
    <x v="9"/>
    <s v="octubre"/>
    <n v="6"/>
    <d v="2026-10-06T00:00:00"/>
    <n v="1127048399"/>
    <s v="HENRIQUEZ GUALDRON WILSON LEONEL"/>
    <n v="-1"/>
    <n v="0"/>
    <n v="-83992"/>
  </r>
  <r>
    <s v="Retail"/>
    <s v="Q046 - Cucuta - Centro 2"/>
    <x v="9"/>
    <s v="octubre"/>
    <n v="7"/>
    <d v="2026-10-07T00:00:00"/>
    <m/>
    <m/>
    <n v="0"/>
    <n v="7192588"/>
    <n v="0"/>
  </r>
  <r>
    <s v="Retail"/>
    <s v="Q046 - Cucuta - Centro 2"/>
    <x v="9"/>
    <s v="octubre"/>
    <n v="7"/>
    <d v="2026-10-07T00:00:00"/>
    <n v="37506130"/>
    <s v="CARRASCAL RIOS DEISY TORCOROMA"/>
    <n v="40"/>
    <n v="0"/>
    <n v="2273492"/>
  </r>
  <r>
    <s v="Retail"/>
    <s v="Q046 - Cucuta - Centro 2"/>
    <x v="9"/>
    <s v="octubre"/>
    <n v="7"/>
    <d v="2026-10-07T00:00:00"/>
    <n v="1004925792"/>
    <s v="SUÁREZ MUNEVAR DOMINICK DANIEL"/>
    <n v="-2"/>
    <n v="0"/>
    <n v="-71345"/>
  </r>
  <r>
    <s v="Retail"/>
    <s v="Q046 - Cucuta - Centro 2"/>
    <x v="9"/>
    <s v="octubre"/>
    <n v="7"/>
    <d v="2026-10-07T00:00:00"/>
    <n v="1090393438"/>
    <s v="RIVERA  BOTELLO VIANEY "/>
    <n v="43"/>
    <n v="0"/>
    <n v="2569541"/>
  </r>
  <r>
    <s v="Retail"/>
    <s v="Q046 - Cucuta - Centro 2"/>
    <x v="9"/>
    <s v="octubre"/>
    <n v="7"/>
    <d v="2026-10-07T00:00:00"/>
    <n v="1090498655"/>
    <s v="CASTILLO OBANDO JOHAN EBED"/>
    <n v="29"/>
    <n v="0"/>
    <n v="1561769"/>
  </r>
  <r>
    <s v="Retail"/>
    <s v="Q046 - Cucuta - Centro 2"/>
    <x v="9"/>
    <s v="octubre"/>
    <n v="7"/>
    <d v="2026-10-07T00:00:00"/>
    <n v="1092530235"/>
    <s v="PEREZ TEJADA YINETH VALENTINA"/>
    <n v="10"/>
    <n v="0"/>
    <n v="520589"/>
  </r>
  <r>
    <s v="Retail"/>
    <s v="Q080 - Valledupar - Cc Mayales"/>
    <x v="9"/>
    <s v="septiembre"/>
    <n v="23"/>
    <d v="2026-09-23T00:00:00"/>
    <m/>
    <m/>
    <n v="0"/>
    <n v="13731531"/>
    <n v="0"/>
  </r>
  <r>
    <s v="Retail"/>
    <s v="Q080 - Valledupar - Cc Mayales"/>
    <x v="9"/>
    <s v="septiembre"/>
    <n v="23"/>
    <d v="2026-09-23T00:00:00"/>
    <n v="1003231065"/>
    <s v="QUINTERO MENDEZ NAYIBE SOFIA"/>
    <n v="116"/>
    <n v="0"/>
    <n v="5925633"/>
  </r>
  <r>
    <s v="Retail"/>
    <s v="Q080 - Valledupar - Cc Mayales"/>
    <x v="9"/>
    <s v="septiembre"/>
    <n v="23"/>
    <d v="2026-09-23T00:00:00"/>
    <n v="1065614711"/>
    <s v="CASTRO DAZA CARLOS ANDRES"/>
    <n v="107"/>
    <n v="0"/>
    <n v="6047905"/>
  </r>
  <r>
    <s v="Retail"/>
    <s v="Q080 - Valledupar - Cc Mayales"/>
    <x v="9"/>
    <s v="septiembre"/>
    <n v="23"/>
    <d v="2026-09-23T00:00:00"/>
    <n v="1067594141"/>
    <s v="MUNIBE SOLIS DANIEL EDUARDO"/>
    <n v="28"/>
    <n v="0"/>
    <n v="1694204"/>
  </r>
  <r>
    <s v="Retail"/>
    <s v="Q080 - Valledupar - Cc Mayales"/>
    <x v="9"/>
    <s v="septiembre"/>
    <n v="23"/>
    <d v="2026-09-23T00:00:00"/>
    <n v="1082841571"/>
    <s v="VALENCIA SCOOP EDWIN  JOEL"/>
    <n v="37"/>
    <n v="0"/>
    <n v="2368194"/>
  </r>
  <r>
    <s v="Retail"/>
    <s v="Q080 - Valledupar - Cc Mayales"/>
    <x v="9"/>
    <s v="septiembre"/>
    <n v="23"/>
    <d v="2026-09-23T00:00:00"/>
    <n v="1098794789"/>
    <s v="ARDILA OVIEDO EVER SAMIR"/>
    <n v="59"/>
    <n v="0"/>
    <n v="3318873"/>
  </r>
  <r>
    <s v="Retail"/>
    <s v="Q080 - Valledupar - Cc Mayales"/>
    <x v="9"/>
    <s v="septiembre"/>
    <n v="24"/>
    <d v="2026-09-24T00:00:00"/>
    <m/>
    <m/>
    <n v="0"/>
    <n v="20976458"/>
    <n v="0"/>
  </r>
  <r>
    <s v="Retail"/>
    <s v="Q080 - Valledupar - Cc Mayales"/>
    <x v="9"/>
    <s v="septiembre"/>
    <n v="24"/>
    <d v="2026-09-24T00:00:00"/>
    <n v="1003231065"/>
    <s v="QUINTERO MENDEZ NAYIBE SOFIA"/>
    <n v="95"/>
    <n v="0"/>
    <n v="4899205"/>
  </r>
  <r>
    <s v="Retail"/>
    <s v="Q080 - Valledupar - Cc Mayales"/>
    <x v="9"/>
    <s v="septiembre"/>
    <n v="24"/>
    <d v="2026-09-24T00:00:00"/>
    <n v="1065614711"/>
    <s v="CASTRO DAZA CARLOS ANDRES"/>
    <n v="143"/>
    <n v="0"/>
    <n v="7430549"/>
  </r>
  <r>
    <s v="Retail"/>
    <s v="Q080 - Valledupar - Cc Mayales"/>
    <x v="9"/>
    <s v="septiembre"/>
    <n v="24"/>
    <d v="2026-09-24T00:00:00"/>
    <n v="1065667405"/>
    <s v="ESPINOZA MARTINEZ ARON MOISE"/>
    <n v="50"/>
    <n v="0"/>
    <n v="2628115"/>
  </r>
  <r>
    <s v="Retail"/>
    <s v="Q080 - Valledupar - Cc Mayales"/>
    <x v="9"/>
    <s v="septiembre"/>
    <n v="24"/>
    <d v="2026-09-24T00:00:00"/>
    <n v="1067594141"/>
    <s v="MUNIBE SOLIS DANIEL EDUARDO"/>
    <n v="60"/>
    <n v="0"/>
    <n v="3266304"/>
  </r>
  <r>
    <s v="Retail"/>
    <s v="Q080 - Valledupar - Cc Mayales"/>
    <x v="9"/>
    <s v="septiembre"/>
    <n v="24"/>
    <d v="2026-09-24T00:00:00"/>
    <n v="1082841571"/>
    <s v="VALENCIA SCOOP EDWIN  JOEL"/>
    <n v="39"/>
    <n v="0"/>
    <n v="1853364"/>
  </r>
  <r>
    <s v="Retail"/>
    <s v="Q080 - Valledupar - Cc Mayales"/>
    <x v="9"/>
    <s v="septiembre"/>
    <n v="24"/>
    <d v="2026-09-24T00:00:00"/>
    <n v="1098794789"/>
    <s v="ARDILA OVIEDO EVER SAMIR"/>
    <n v="93"/>
    <n v="0"/>
    <n v="5813203"/>
  </r>
  <r>
    <s v="Retail"/>
    <s v="Q080 - Valledupar - Cc Mayales"/>
    <x v="9"/>
    <s v="septiembre"/>
    <n v="25"/>
    <d v="2026-09-25T00:00:00"/>
    <m/>
    <m/>
    <n v="0"/>
    <n v="20930024"/>
    <n v="0"/>
  </r>
  <r>
    <s v="Retail"/>
    <s v="Q080 - Valledupar - Cc Mayales"/>
    <x v="9"/>
    <s v="septiembre"/>
    <n v="25"/>
    <d v="2026-09-25T00:00:00"/>
    <n v="1003231065"/>
    <s v="QUINTERO MENDEZ NAYIBE SOFIA"/>
    <n v="78"/>
    <n v="0"/>
    <n v="4734079"/>
  </r>
  <r>
    <s v="Retail"/>
    <s v="Q080 - Valledupar - Cc Mayales"/>
    <x v="9"/>
    <s v="septiembre"/>
    <n v="25"/>
    <d v="2026-09-25T00:00:00"/>
    <n v="1065614711"/>
    <s v="CASTRO DAZA CARLOS ANDRES"/>
    <n v="70"/>
    <n v="0"/>
    <n v="4272187"/>
  </r>
  <r>
    <s v="Retail"/>
    <s v="Q080 - Valledupar - Cc Mayales"/>
    <x v="9"/>
    <s v="septiembre"/>
    <n v="25"/>
    <d v="2026-09-25T00:00:00"/>
    <n v="1065667405"/>
    <s v="ESPINOZA MARTINEZ ARON MOISE"/>
    <n v="46"/>
    <n v="0"/>
    <n v="2609374"/>
  </r>
  <r>
    <s v="Retail"/>
    <s v="Q080 - Valledupar - Cc Mayales"/>
    <x v="9"/>
    <s v="septiembre"/>
    <n v="25"/>
    <d v="2026-09-25T00:00:00"/>
    <n v="1067594141"/>
    <s v="MUNIBE SOLIS DANIEL EDUARDO"/>
    <n v="28"/>
    <n v="0"/>
    <n v="1435800"/>
  </r>
  <r>
    <s v="Retail"/>
    <s v="Q080 - Valledupar - Cc Mayales"/>
    <x v="9"/>
    <s v="septiembre"/>
    <n v="25"/>
    <d v="2026-09-25T00:00:00"/>
    <n v="1082841571"/>
    <s v="VALENCIA SCOOP EDWIN  JOEL"/>
    <n v="34"/>
    <n v="0"/>
    <n v="1887228"/>
  </r>
  <r>
    <s v="Retail"/>
    <s v="Q080 - Valledupar - Cc Mayales"/>
    <x v="9"/>
    <s v="septiembre"/>
    <n v="25"/>
    <d v="2026-09-25T00:00:00"/>
    <n v="1098794789"/>
    <s v="ARDILA OVIEDO EVER SAMIR"/>
    <n v="45"/>
    <n v="0"/>
    <n v="2611559"/>
  </r>
  <r>
    <s v="Retail"/>
    <s v="Q080 - Valledupar - Cc Mayales"/>
    <x v="9"/>
    <s v="septiembre"/>
    <n v="26"/>
    <d v="2026-09-26T00:00:00"/>
    <m/>
    <m/>
    <n v="0"/>
    <n v="30079451"/>
    <n v="0"/>
  </r>
  <r>
    <s v="Retail"/>
    <s v="Q080 - Valledupar - Cc Mayales"/>
    <x v="9"/>
    <s v="septiembre"/>
    <n v="26"/>
    <d v="2026-09-26T00:00:00"/>
    <n v="1003231065"/>
    <s v="QUINTERO MENDEZ NAYIBE SOFIA"/>
    <n v="112"/>
    <n v="0"/>
    <n v="5709336"/>
  </r>
  <r>
    <s v="Retail"/>
    <s v="Q080 - Valledupar - Cc Mayales"/>
    <x v="9"/>
    <s v="septiembre"/>
    <n v="26"/>
    <d v="2026-09-26T00:00:00"/>
    <n v="1065614711"/>
    <s v="CASTRO DAZA CARLOS ANDRES"/>
    <n v="96"/>
    <n v="0"/>
    <n v="5575677"/>
  </r>
  <r>
    <s v="Retail"/>
    <s v="Q080 - Valledupar - Cc Mayales"/>
    <x v="9"/>
    <s v="septiembre"/>
    <n v="26"/>
    <d v="2026-09-26T00:00:00"/>
    <n v="1065667405"/>
    <s v="ESPINOZA MARTINEZ ARON MOISE"/>
    <n v="51"/>
    <n v="0"/>
    <n v="2846561"/>
  </r>
  <r>
    <s v="Retail"/>
    <s v="Q080 - Valledupar - Cc Mayales"/>
    <x v="9"/>
    <s v="septiembre"/>
    <n v="26"/>
    <d v="2026-09-26T00:00:00"/>
    <n v="1067594141"/>
    <s v="MUNIBE SOLIS DANIEL EDUARDO"/>
    <n v="54"/>
    <n v="0"/>
    <n v="3140592"/>
  </r>
  <r>
    <s v="Retail"/>
    <s v="Q080 - Valledupar - Cc Mayales"/>
    <x v="9"/>
    <s v="septiembre"/>
    <n v="26"/>
    <d v="2026-09-26T00:00:00"/>
    <n v="1082841571"/>
    <s v="VALENCIA SCOOP EDWIN  JOEL"/>
    <n v="47"/>
    <n v="0"/>
    <n v="2718616"/>
  </r>
  <r>
    <s v="Retail"/>
    <s v="Q080 - Valledupar - Cc Mayales"/>
    <x v="9"/>
    <s v="septiembre"/>
    <n v="26"/>
    <d v="2026-09-26T00:00:00"/>
    <n v="1098794789"/>
    <s v="ARDILA OVIEDO EVER SAMIR"/>
    <n v="93"/>
    <n v="0"/>
    <n v="5370047"/>
  </r>
  <r>
    <s v="Retail"/>
    <s v="Q080 - Valledupar - Cc Mayales"/>
    <x v="9"/>
    <s v="septiembre"/>
    <n v="27"/>
    <d v="2026-09-27T00:00:00"/>
    <m/>
    <m/>
    <n v="0"/>
    <n v="23828978"/>
    <n v="0"/>
  </r>
  <r>
    <s v="Retail"/>
    <s v="Q080 - Valledupar - Cc Mayales"/>
    <x v="9"/>
    <s v="septiembre"/>
    <n v="27"/>
    <d v="2026-09-27T00:00:00"/>
    <n v="1003231065"/>
    <s v="QUINTERO MENDEZ NAYIBE SOFIA"/>
    <n v="103"/>
    <n v="0"/>
    <n v="5503540"/>
  </r>
  <r>
    <s v="Retail"/>
    <s v="Q080 - Valledupar - Cc Mayales"/>
    <x v="9"/>
    <s v="septiembre"/>
    <n v="27"/>
    <d v="2026-09-27T00:00:00"/>
    <n v="1065614711"/>
    <s v="CASTRO DAZA CARLOS ANDRES"/>
    <n v="95"/>
    <n v="0"/>
    <n v="5916057"/>
  </r>
  <r>
    <s v="Retail"/>
    <s v="Q080 - Valledupar - Cc Mayales"/>
    <x v="9"/>
    <s v="septiembre"/>
    <n v="27"/>
    <d v="2026-09-27T00:00:00"/>
    <n v="1065667405"/>
    <s v="ESPINOZA MARTINEZ ARON MOISE"/>
    <n v="50"/>
    <n v="0"/>
    <n v="2785466"/>
  </r>
  <r>
    <s v="Retail"/>
    <s v="Q080 - Valledupar - Cc Mayales"/>
    <x v="9"/>
    <s v="septiembre"/>
    <n v="27"/>
    <d v="2026-09-27T00:00:00"/>
    <n v="1067594141"/>
    <s v="MUNIBE SOLIS DANIEL EDUARDO"/>
    <n v="49"/>
    <n v="0"/>
    <n v="2487274"/>
  </r>
  <r>
    <s v="Retail"/>
    <s v="Q080 - Valledupar - Cc Mayales"/>
    <x v="9"/>
    <s v="septiembre"/>
    <n v="27"/>
    <d v="2026-09-27T00:00:00"/>
    <n v="1082841571"/>
    <s v="VALENCIA SCOOP EDWIN  JOEL"/>
    <n v="50"/>
    <n v="0"/>
    <n v="3052442"/>
  </r>
  <r>
    <s v="Retail"/>
    <s v="Q080 - Valledupar - Cc Mayales"/>
    <x v="9"/>
    <s v="septiembre"/>
    <n v="27"/>
    <d v="2026-09-27T00:00:00"/>
    <n v="1098794789"/>
    <s v="ARDILA OVIEDO EVER SAMIR"/>
    <n v="95"/>
    <n v="0"/>
    <n v="5375724"/>
  </r>
  <r>
    <s v="Retail"/>
    <s v="Q080 - Valledupar - Cc Mayales"/>
    <x v="9"/>
    <s v="septiembre"/>
    <n v="28"/>
    <d v="2026-09-28T00:00:00"/>
    <m/>
    <m/>
    <n v="0"/>
    <n v="13114492"/>
    <n v="0"/>
  </r>
  <r>
    <s v="Retail"/>
    <s v="Q080 - Valledupar - Cc Mayales"/>
    <x v="9"/>
    <s v="septiembre"/>
    <n v="28"/>
    <d v="2026-09-28T00:00:00"/>
    <n v="1003231065"/>
    <s v="QUINTERO MENDEZ NAYIBE SOFIA"/>
    <n v="32"/>
    <n v="0"/>
    <n v="1494077"/>
  </r>
  <r>
    <s v="Retail"/>
    <s v="Q080 - Valledupar - Cc Mayales"/>
    <x v="9"/>
    <s v="septiembre"/>
    <n v="28"/>
    <d v="2026-09-28T00:00:00"/>
    <n v="1065614711"/>
    <s v="CASTRO DAZA CARLOS ANDRES"/>
    <n v="48"/>
    <n v="0"/>
    <n v="2665883"/>
  </r>
  <r>
    <s v="Retail"/>
    <s v="Q080 - Valledupar - Cc Mayales"/>
    <x v="9"/>
    <s v="septiembre"/>
    <n v="28"/>
    <d v="2026-09-28T00:00:00"/>
    <n v="1067594141"/>
    <s v="MUNIBE SOLIS DANIEL EDUARDO"/>
    <n v="22"/>
    <n v="0"/>
    <n v="1070338"/>
  </r>
  <r>
    <s v="Retail"/>
    <s v="Q080 - Valledupar - Cc Mayales"/>
    <x v="9"/>
    <s v="septiembre"/>
    <n v="28"/>
    <d v="2026-09-28T00:00:00"/>
    <n v="1082841571"/>
    <s v="VALENCIA SCOOP EDWIN  JOEL"/>
    <n v="23"/>
    <n v="0"/>
    <n v="1994749"/>
  </r>
  <r>
    <s v="Retail"/>
    <s v="Q080 - Valledupar - Cc Mayales"/>
    <x v="9"/>
    <s v="septiembre"/>
    <n v="28"/>
    <d v="2026-09-28T00:00:00"/>
    <n v="1098794789"/>
    <s v="ARDILA OVIEDO EVER SAMIR"/>
    <n v="44"/>
    <n v="0"/>
    <n v="2258363"/>
  </r>
  <r>
    <s v="Retail"/>
    <s v="Q080 - Valledupar - Cc Mayales"/>
    <x v="9"/>
    <s v="septiembre"/>
    <n v="29"/>
    <d v="2026-09-29T00:00:00"/>
    <m/>
    <m/>
    <n v="0"/>
    <n v="14008845"/>
    <n v="0"/>
  </r>
  <r>
    <s v="Retail"/>
    <s v="Q080 - Valledupar - Cc Mayales"/>
    <x v="9"/>
    <s v="septiembre"/>
    <n v="29"/>
    <d v="2026-09-29T00:00:00"/>
    <n v="1003231065"/>
    <s v="QUINTERO MENDEZ NAYIBE SOFIA"/>
    <n v="45"/>
    <n v="0"/>
    <n v="2628153"/>
  </r>
  <r>
    <s v="Retail"/>
    <s v="Q080 - Valledupar - Cc Mayales"/>
    <x v="9"/>
    <s v="septiembre"/>
    <n v="29"/>
    <d v="2026-09-29T00:00:00"/>
    <n v="1065614711"/>
    <s v="CASTRO DAZA CARLOS ANDRES"/>
    <n v="44"/>
    <n v="0"/>
    <n v="2233407"/>
  </r>
  <r>
    <s v="Retail"/>
    <s v="Q080 - Valledupar - Cc Mayales"/>
    <x v="9"/>
    <s v="septiembre"/>
    <n v="29"/>
    <d v="2026-09-29T00:00:00"/>
    <n v="1067594141"/>
    <s v="MUNIBE SOLIS DANIEL EDUARDO"/>
    <n v="26"/>
    <n v="0"/>
    <n v="1389625"/>
  </r>
  <r>
    <s v="Retail"/>
    <s v="Q080 - Valledupar - Cc Mayales"/>
    <x v="9"/>
    <s v="septiembre"/>
    <n v="29"/>
    <d v="2026-09-29T00:00:00"/>
    <n v="1082841571"/>
    <s v="VALENCIA SCOOP EDWIN  JOEL"/>
    <n v="11"/>
    <n v="0"/>
    <n v="522565"/>
  </r>
  <r>
    <s v="Retail"/>
    <s v="Q080 - Valledupar - Cc Mayales"/>
    <x v="9"/>
    <s v="septiembre"/>
    <n v="29"/>
    <d v="2026-09-29T00:00:00"/>
    <n v="1098794789"/>
    <s v="ARDILA OVIEDO EVER SAMIR"/>
    <n v="11"/>
    <n v="0"/>
    <n v="726430"/>
  </r>
  <r>
    <s v="Retail"/>
    <s v="Q080 - Valledupar - Cc Mayales"/>
    <x v="9"/>
    <s v="septiembre"/>
    <n v="30"/>
    <d v="2026-09-30T00:00:00"/>
    <m/>
    <m/>
    <n v="0"/>
    <n v="14471387"/>
    <n v="0"/>
  </r>
  <r>
    <s v="Retail"/>
    <s v="Q080 - Valledupar - Cc Mayales"/>
    <x v="9"/>
    <s v="septiembre"/>
    <n v="30"/>
    <d v="2026-09-30T00:00:00"/>
    <n v="1003231065"/>
    <s v="QUINTERO MENDEZ NAYIBE SOFIA"/>
    <n v="51"/>
    <n v="0"/>
    <n v="3199496"/>
  </r>
  <r>
    <s v="Retail"/>
    <s v="Q080 - Valledupar - Cc Mayales"/>
    <x v="9"/>
    <s v="septiembre"/>
    <n v="30"/>
    <d v="2026-09-30T00:00:00"/>
    <n v="1065614711"/>
    <s v="CASTRO DAZA CARLOS ANDRES"/>
    <n v="54"/>
    <n v="0"/>
    <n v="3115255"/>
  </r>
  <r>
    <s v="Retail"/>
    <s v="Q080 - Valledupar - Cc Mayales"/>
    <x v="9"/>
    <s v="septiembre"/>
    <n v="30"/>
    <d v="2026-09-30T00:00:00"/>
    <n v="1067594141"/>
    <s v="MUNIBE SOLIS DANIEL EDUARDO"/>
    <n v="24"/>
    <n v="0"/>
    <n v="1190126"/>
  </r>
  <r>
    <s v="Retail"/>
    <s v="Q080 - Valledupar - Cc Mayales"/>
    <x v="9"/>
    <s v="septiembre"/>
    <n v="30"/>
    <d v="2026-09-30T00:00:00"/>
    <n v="1082841571"/>
    <s v="VALENCIA SCOOP EDWIN  JOEL"/>
    <n v="17"/>
    <n v="0"/>
    <n v="1053825"/>
  </r>
  <r>
    <s v="Retail"/>
    <s v="Q080 - Valledupar - Cc Mayales"/>
    <x v="9"/>
    <s v="septiembre"/>
    <n v="30"/>
    <d v="2026-09-30T00:00:00"/>
    <n v="1098794789"/>
    <s v="ARDILA OVIEDO EVER SAMIR"/>
    <n v="25"/>
    <n v="0"/>
    <n v="1221597"/>
  </r>
  <r>
    <s v="Retail"/>
    <s v="Q080 - Valledupar - Cc Mayales"/>
    <x v="9"/>
    <s v="octubre"/>
    <n v="1"/>
    <d v="2026-10-01T00:00:00"/>
    <m/>
    <m/>
    <n v="0"/>
    <n v="14423024"/>
    <n v="0"/>
  </r>
  <r>
    <s v="Retail"/>
    <s v="Q080 - Valledupar - Cc Mayales"/>
    <x v="9"/>
    <s v="octubre"/>
    <n v="1"/>
    <d v="2026-10-01T00:00:00"/>
    <n v="1003231065"/>
    <s v="QUINTERO MENDEZ NAYIBE SOFIA"/>
    <n v="46"/>
    <n v="0"/>
    <n v="2657645"/>
  </r>
  <r>
    <s v="Retail"/>
    <s v="Q080 - Valledupar - Cc Mayales"/>
    <x v="9"/>
    <s v="octubre"/>
    <n v="1"/>
    <d v="2026-10-01T00:00:00"/>
    <n v="1065614711"/>
    <s v="CASTRO DAZA CARLOS ANDRES"/>
    <n v="48"/>
    <n v="0"/>
    <n v="2510548"/>
  </r>
  <r>
    <s v="Retail"/>
    <s v="Q080 - Valledupar - Cc Mayales"/>
    <x v="9"/>
    <s v="octubre"/>
    <n v="1"/>
    <d v="2026-10-01T00:00:00"/>
    <n v="1065667405"/>
    <s v="ESPINOZA MARTINEZ ARON MOISE"/>
    <n v="32"/>
    <n v="0"/>
    <n v="1637314"/>
  </r>
  <r>
    <s v="Retail"/>
    <s v="Q080 - Valledupar - Cc Mayales"/>
    <x v="9"/>
    <s v="octubre"/>
    <n v="1"/>
    <d v="2026-10-01T00:00:00"/>
    <n v="1067594141"/>
    <s v="MUNIBE SOLIS DANIEL EDUARDO"/>
    <n v="22"/>
    <n v="0"/>
    <n v="1288992"/>
  </r>
  <r>
    <s v="Retail"/>
    <s v="Q080 - Valledupar - Cc Mayales"/>
    <x v="9"/>
    <s v="octubre"/>
    <n v="1"/>
    <d v="2026-10-01T00:00:00"/>
    <n v="1082841571"/>
    <s v="VALENCIA SCOOP EDWIN  JOEL"/>
    <n v="15"/>
    <n v="0"/>
    <n v="827101"/>
  </r>
  <r>
    <s v="Retail"/>
    <s v="Q080 - Valledupar - Cc Mayales"/>
    <x v="9"/>
    <s v="octubre"/>
    <n v="1"/>
    <d v="2026-10-01T00:00:00"/>
    <n v="1098794789"/>
    <s v="ARDILA OVIEDO EVER SAMIR"/>
    <n v="59"/>
    <n v="0"/>
    <n v="3341976"/>
  </r>
  <r>
    <s v="Retail"/>
    <s v="Q080 - Valledupar - Cc Mayales"/>
    <x v="9"/>
    <s v="octubre"/>
    <n v="2"/>
    <d v="2026-10-02T00:00:00"/>
    <m/>
    <m/>
    <n v="0"/>
    <n v="8235810"/>
    <n v="0"/>
  </r>
  <r>
    <s v="Retail"/>
    <s v="Q080 - Valledupar - Cc Mayales"/>
    <x v="9"/>
    <s v="octubre"/>
    <n v="2"/>
    <d v="2026-10-02T00:00:00"/>
    <n v="1003231065"/>
    <s v="QUINTERO MENDEZ NAYIBE SOFIA"/>
    <n v="45"/>
    <n v="0"/>
    <n v="2130335"/>
  </r>
  <r>
    <s v="Retail"/>
    <s v="Q080 - Valledupar - Cc Mayales"/>
    <x v="9"/>
    <s v="octubre"/>
    <n v="2"/>
    <d v="2026-10-02T00:00:00"/>
    <n v="1065614711"/>
    <s v="CASTRO DAZA CARLOS ANDRES"/>
    <n v="58"/>
    <n v="0"/>
    <n v="2963869"/>
  </r>
  <r>
    <s v="Retail"/>
    <s v="Q080 - Valledupar - Cc Mayales"/>
    <x v="9"/>
    <s v="octubre"/>
    <n v="2"/>
    <d v="2026-10-02T00:00:00"/>
    <n v="1065667405"/>
    <s v="ESPINOZA MARTINEZ ARON MOISE"/>
    <n v="42"/>
    <n v="0"/>
    <n v="2384790"/>
  </r>
  <r>
    <s v="Retail"/>
    <s v="Q080 - Valledupar - Cc Mayales"/>
    <x v="9"/>
    <s v="octubre"/>
    <n v="2"/>
    <d v="2026-10-02T00:00:00"/>
    <n v="1067594141"/>
    <s v="MUNIBE SOLIS DANIEL EDUARDO"/>
    <n v="20"/>
    <n v="0"/>
    <n v="1116807"/>
  </r>
  <r>
    <s v="Retail"/>
    <s v="Q080 - Valledupar - Cc Mayales"/>
    <x v="9"/>
    <s v="octubre"/>
    <n v="2"/>
    <d v="2026-10-02T00:00:00"/>
    <n v="1082841571"/>
    <s v="VALENCIA SCOOP EDWIN  JOEL"/>
    <n v="32"/>
    <n v="0"/>
    <n v="1859833"/>
  </r>
  <r>
    <s v="Retail"/>
    <s v="Q080 - Valledupar - Cc Mayales"/>
    <x v="9"/>
    <s v="octubre"/>
    <n v="2"/>
    <d v="2026-10-02T00:00:00"/>
    <n v="1098794789"/>
    <s v="ARDILA OVIEDO EVER SAMIR"/>
    <n v="44"/>
    <n v="0"/>
    <n v="2237650"/>
  </r>
  <r>
    <s v="Retail"/>
    <s v="Q080 - Valledupar - Cc Mayales"/>
    <x v="9"/>
    <s v="octubre"/>
    <n v="3"/>
    <d v="2026-10-03T00:00:00"/>
    <m/>
    <m/>
    <n v="0"/>
    <n v="11818067"/>
    <n v="0"/>
  </r>
  <r>
    <s v="Retail"/>
    <s v="Q080 - Valledupar - Cc Mayales"/>
    <x v="9"/>
    <s v="octubre"/>
    <n v="3"/>
    <d v="2026-10-03T00:00:00"/>
    <n v="1003231065"/>
    <s v="QUINTERO MENDEZ NAYIBE SOFIA"/>
    <n v="67"/>
    <n v="0"/>
    <n v="3481296"/>
  </r>
  <r>
    <s v="Retail"/>
    <s v="Q080 - Valledupar - Cc Mayales"/>
    <x v="9"/>
    <s v="octubre"/>
    <n v="3"/>
    <d v="2026-10-03T00:00:00"/>
    <n v="1065614711"/>
    <s v="CASTRO DAZA CARLOS ANDRES"/>
    <n v="50"/>
    <n v="0"/>
    <n v="2497651"/>
  </r>
  <r>
    <s v="Retail"/>
    <s v="Q080 - Valledupar - Cc Mayales"/>
    <x v="9"/>
    <s v="octubre"/>
    <n v="3"/>
    <d v="2026-10-03T00:00:00"/>
    <n v="1065667405"/>
    <s v="ESPINOZA MARTINEZ ARON MOISE"/>
    <n v="46"/>
    <n v="0"/>
    <n v="2355347"/>
  </r>
  <r>
    <s v="Retail"/>
    <s v="Q080 - Valledupar - Cc Mayales"/>
    <x v="9"/>
    <s v="octubre"/>
    <n v="3"/>
    <d v="2026-10-03T00:00:00"/>
    <n v="1067594141"/>
    <s v="MUNIBE SOLIS DANIEL EDUARDO"/>
    <n v="30"/>
    <n v="0"/>
    <n v="1537522"/>
  </r>
  <r>
    <s v="Retail"/>
    <s v="Q080 - Valledupar - Cc Mayales"/>
    <x v="9"/>
    <s v="octubre"/>
    <n v="3"/>
    <d v="2026-10-03T00:00:00"/>
    <n v="1082841571"/>
    <s v="VALENCIA SCOOP EDWIN  JOEL"/>
    <n v="36"/>
    <n v="0"/>
    <n v="1760777"/>
  </r>
  <r>
    <s v="Retail"/>
    <s v="Q080 - Valledupar - Cc Mayales"/>
    <x v="9"/>
    <s v="octubre"/>
    <n v="3"/>
    <d v="2026-10-03T00:00:00"/>
    <n v="1098794789"/>
    <s v="ARDILA OVIEDO EVER SAMIR"/>
    <n v="30"/>
    <n v="0"/>
    <n v="1524817"/>
  </r>
  <r>
    <s v="Retail"/>
    <s v="Q080 - Valledupar - Cc Mayales"/>
    <x v="9"/>
    <s v="octubre"/>
    <n v="4"/>
    <d v="2026-10-04T00:00:00"/>
    <m/>
    <m/>
    <n v="0"/>
    <n v="9391187"/>
    <n v="0"/>
  </r>
  <r>
    <s v="Retail"/>
    <s v="Q080 - Valledupar - Cc Mayales"/>
    <x v="9"/>
    <s v="octubre"/>
    <n v="4"/>
    <d v="2026-10-04T00:00:00"/>
    <n v="1003231065"/>
    <s v="QUINTERO MENDEZ NAYIBE SOFIA"/>
    <n v="40"/>
    <n v="0"/>
    <n v="1995248"/>
  </r>
  <r>
    <s v="Retail"/>
    <s v="Q080 - Valledupar - Cc Mayales"/>
    <x v="9"/>
    <s v="octubre"/>
    <n v="4"/>
    <d v="2026-10-04T00:00:00"/>
    <n v="1065614711"/>
    <s v="CASTRO DAZA CARLOS ANDRES"/>
    <n v="39"/>
    <n v="0"/>
    <n v="2346640"/>
  </r>
  <r>
    <s v="Retail"/>
    <s v="Q080 - Valledupar - Cc Mayales"/>
    <x v="9"/>
    <s v="octubre"/>
    <n v="4"/>
    <d v="2026-10-04T00:00:00"/>
    <n v="1065667405"/>
    <s v="ESPINOZA MARTINEZ ARON MOISE"/>
    <n v="54"/>
    <n v="0"/>
    <n v="2707817"/>
  </r>
  <r>
    <s v="Retail"/>
    <s v="Q080 - Valledupar - Cc Mayales"/>
    <x v="9"/>
    <s v="octubre"/>
    <n v="4"/>
    <d v="2026-10-04T00:00:00"/>
    <n v="1067594141"/>
    <s v="MUNIBE SOLIS DANIEL EDUARDO"/>
    <n v="43"/>
    <n v="0"/>
    <n v="2170299"/>
  </r>
  <r>
    <s v="Retail"/>
    <s v="Q080 - Valledupar - Cc Mayales"/>
    <x v="9"/>
    <s v="octubre"/>
    <n v="4"/>
    <d v="2026-10-04T00:00:00"/>
    <n v="1082841571"/>
    <s v="VALENCIA SCOOP EDWIN  JOEL"/>
    <n v="33"/>
    <n v="0"/>
    <n v="1771684"/>
  </r>
  <r>
    <s v="Retail"/>
    <s v="Q080 - Valledupar - Cc Mayales"/>
    <x v="9"/>
    <s v="octubre"/>
    <n v="4"/>
    <d v="2026-10-04T00:00:00"/>
    <n v="1098794789"/>
    <s v="ARDILA OVIEDO EVER SAMIR"/>
    <n v="37"/>
    <n v="0"/>
    <n v="2148860"/>
  </r>
  <r>
    <s v="Retail"/>
    <s v="Q080 - Valledupar - Cc Mayales"/>
    <x v="9"/>
    <s v="octubre"/>
    <n v="5"/>
    <d v="2026-10-05T00:00:00"/>
    <m/>
    <m/>
    <n v="0"/>
    <n v="5946227"/>
    <n v="0"/>
  </r>
  <r>
    <s v="Retail"/>
    <s v="Q080 - Valledupar - Cc Mayales"/>
    <x v="9"/>
    <s v="octubre"/>
    <n v="5"/>
    <d v="2026-10-05T00:00:00"/>
    <n v="1003231065"/>
    <s v="QUINTERO MENDEZ NAYIBE SOFIA"/>
    <n v="48"/>
    <n v="0"/>
    <n v="2762230"/>
  </r>
  <r>
    <s v="Retail"/>
    <s v="Q080 - Valledupar - Cc Mayales"/>
    <x v="9"/>
    <s v="octubre"/>
    <n v="5"/>
    <d v="2026-10-05T00:00:00"/>
    <n v="1065614711"/>
    <s v="CASTRO DAZA CARLOS ANDRES"/>
    <n v="39"/>
    <n v="0"/>
    <n v="2157569"/>
  </r>
  <r>
    <s v="Retail"/>
    <s v="Q080 - Valledupar - Cc Mayales"/>
    <x v="9"/>
    <s v="octubre"/>
    <n v="5"/>
    <d v="2026-10-05T00:00:00"/>
    <n v="1067594141"/>
    <s v="MUNIBE SOLIS DANIEL EDUARDO"/>
    <n v="10"/>
    <n v="0"/>
    <n v="583613"/>
  </r>
  <r>
    <s v="Retail"/>
    <s v="Q080 - Valledupar - Cc Mayales"/>
    <x v="9"/>
    <s v="octubre"/>
    <n v="5"/>
    <d v="2026-10-05T00:00:00"/>
    <n v="1082841571"/>
    <s v="VALENCIA SCOOP EDWIN  JOEL"/>
    <n v="11"/>
    <n v="0"/>
    <n v="612984"/>
  </r>
  <r>
    <s v="Retail"/>
    <s v="Q080 - Valledupar - Cc Mayales"/>
    <x v="9"/>
    <s v="octubre"/>
    <n v="5"/>
    <d v="2026-10-05T00:00:00"/>
    <n v="1098794789"/>
    <s v="ARDILA OVIEDO EVER SAMIR"/>
    <n v="29"/>
    <n v="0"/>
    <n v="1809540"/>
  </r>
  <r>
    <s v="Retail"/>
    <s v="Q080 - Valledupar - Cc Mayales"/>
    <x v="9"/>
    <s v="octubre"/>
    <n v="6"/>
    <d v="2026-10-06T00:00:00"/>
    <m/>
    <m/>
    <n v="0"/>
    <n v="2539640"/>
    <n v="0"/>
  </r>
  <r>
    <s v="Retail"/>
    <s v="Q080 - Valledupar - Cc Mayales"/>
    <x v="9"/>
    <s v="octubre"/>
    <n v="6"/>
    <d v="2026-10-06T00:00:00"/>
    <n v="1003231065"/>
    <s v="QUINTERO MENDEZ NAYIBE SOFIA"/>
    <n v="20"/>
    <n v="0"/>
    <n v="1217650"/>
  </r>
  <r>
    <s v="Retail"/>
    <s v="Q080 - Valledupar - Cc Mayales"/>
    <x v="9"/>
    <s v="octubre"/>
    <n v="6"/>
    <d v="2026-10-06T00:00:00"/>
    <n v="1065614711"/>
    <s v="CASTRO DAZA CARLOS ANDRES"/>
    <n v="7"/>
    <n v="0"/>
    <n v="318991"/>
  </r>
  <r>
    <s v="Retail"/>
    <s v="Q080 - Valledupar - Cc Mayales"/>
    <x v="9"/>
    <s v="octubre"/>
    <n v="6"/>
    <d v="2026-10-06T00:00:00"/>
    <n v="1067594141"/>
    <s v="MUNIBE SOLIS DANIEL EDUARDO"/>
    <n v="10"/>
    <n v="0"/>
    <n v="554203"/>
  </r>
  <r>
    <s v="Retail"/>
    <s v="Q080 - Valledupar - Cc Mayales"/>
    <x v="9"/>
    <s v="octubre"/>
    <n v="6"/>
    <d v="2026-10-06T00:00:00"/>
    <n v="1082841571"/>
    <s v="VALENCIA SCOOP EDWIN  JOEL"/>
    <n v="7"/>
    <n v="0"/>
    <n v="415630"/>
  </r>
  <r>
    <s v="Retail"/>
    <s v="Q080 - Valledupar - Cc Mayales"/>
    <x v="9"/>
    <s v="octubre"/>
    <n v="6"/>
    <d v="2026-10-06T00:00:00"/>
    <n v="1098794789"/>
    <s v="ARDILA OVIEDO EVER SAMIR"/>
    <n v="15"/>
    <n v="0"/>
    <n v="915338"/>
  </r>
  <r>
    <s v="Retail"/>
    <s v="Q080 - Valledupar - Cc Mayales"/>
    <x v="9"/>
    <s v="octubre"/>
    <n v="7"/>
    <d v="2026-10-07T00:00:00"/>
    <m/>
    <m/>
    <n v="0"/>
    <n v="2506225"/>
    <n v="0"/>
  </r>
  <r>
    <s v="Retail"/>
    <s v="Q080 - Valledupar - Cc Mayales"/>
    <x v="9"/>
    <s v="octubre"/>
    <n v="7"/>
    <d v="2026-10-07T00:00:00"/>
    <n v="1003231065"/>
    <s v="QUINTERO MENDEZ NAYIBE SOFIA"/>
    <n v="20"/>
    <n v="0"/>
    <n v="1074750"/>
  </r>
  <r>
    <s v="Retail"/>
    <s v="Q080 - Valledupar - Cc Mayales"/>
    <x v="9"/>
    <s v="octubre"/>
    <n v="7"/>
    <d v="2026-10-07T00:00:00"/>
    <n v="1065614711"/>
    <s v="CASTRO DAZA CARLOS ANDRES"/>
    <n v="15"/>
    <n v="0"/>
    <n v="801893"/>
  </r>
  <r>
    <s v="Retail"/>
    <s v="Q080 - Valledupar - Cc Mayales"/>
    <x v="9"/>
    <s v="octubre"/>
    <n v="7"/>
    <d v="2026-10-07T00:00:00"/>
    <n v="1067594141"/>
    <s v="MUNIBE SOLIS DANIEL EDUARDO"/>
    <n v="5"/>
    <n v="0"/>
    <n v="293907"/>
  </r>
  <r>
    <s v="Retail"/>
    <s v="Q080 - Valledupar - Cc Mayales"/>
    <x v="9"/>
    <s v="octubre"/>
    <n v="7"/>
    <d v="2026-10-07T00:00:00"/>
    <n v="1082841571"/>
    <s v="VALENCIA SCOOP EDWIN  JOEL"/>
    <n v="10"/>
    <n v="0"/>
    <n v="537396"/>
  </r>
  <r>
    <s v="Retail"/>
    <s v="Q080 - Valledupar - Cc Mayales"/>
    <x v="9"/>
    <s v="octubre"/>
    <n v="7"/>
    <d v="2026-10-07T00:00:00"/>
    <n v="1098794789"/>
    <s v="ARDILA OVIEDO EVER SAMIR"/>
    <n v="16"/>
    <n v="0"/>
    <n v="776598"/>
  </r>
  <r>
    <s v="Retail"/>
    <s v="Q102 - Valledupar - Cc Guatapuri"/>
    <x v="9"/>
    <s v="septiembre"/>
    <n v="23"/>
    <d v="2026-09-23T00:00:00"/>
    <m/>
    <m/>
    <n v="0"/>
    <n v="14526974"/>
    <n v="0"/>
  </r>
  <r>
    <s v="Retail"/>
    <s v="Q102 - Valledupar - Cc Guatapuri"/>
    <x v="9"/>
    <s v="septiembre"/>
    <n v="23"/>
    <d v="2026-09-23T00:00:00"/>
    <n v="1003535194"/>
    <s v="CABARCAS SUAREZ ANDREA VANESSA "/>
    <n v="21"/>
    <n v="0"/>
    <n v="1112565"/>
  </r>
  <r>
    <s v="Retail"/>
    <s v="Q102 - Valledupar - Cc Guatapuri"/>
    <x v="9"/>
    <s v="septiembre"/>
    <n v="23"/>
    <d v="2026-09-23T00:00:00"/>
    <n v="1004306662"/>
    <s v="ROMERO CUELLO CESAR DANIEL"/>
    <n v="89"/>
    <n v="0"/>
    <n v="4752525"/>
  </r>
  <r>
    <s v="Retail"/>
    <s v="Q102 - Valledupar - Cc Guatapuri"/>
    <x v="9"/>
    <s v="septiembre"/>
    <n v="23"/>
    <d v="2026-09-23T00:00:00"/>
    <n v="1065667405"/>
    <s v="ESPINOZA MARTINEZ ARON MOISE"/>
    <n v="51"/>
    <n v="0"/>
    <n v="3050297"/>
  </r>
  <r>
    <s v="Retail"/>
    <s v="Q102 - Valledupar - Cc Guatapuri"/>
    <x v="9"/>
    <s v="septiembre"/>
    <n v="23"/>
    <d v="2026-09-23T00:00:00"/>
    <n v="1065851754"/>
    <s v="VALBUENA GONZALES LINA MAYRETH"/>
    <n v="10"/>
    <n v="0"/>
    <n v="554117"/>
  </r>
  <r>
    <s v="Retail"/>
    <s v="Q102 - Valledupar - Cc Guatapuri"/>
    <x v="9"/>
    <s v="septiembre"/>
    <n v="23"/>
    <d v="2026-09-23T00:00:00"/>
    <n v="1066270050"/>
    <s v="DIAZ RHENALS CAMILO ANDRES"/>
    <n v="53"/>
    <n v="0"/>
    <n v="2959920"/>
  </r>
  <r>
    <s v="Retail"/>
    <s v="Q102 - Valledupar - Cc Guatapuri"/>
    <x v="9"/>
    <s v="septiembre"/>
    <n v="24"/>
    <d v="2026-09-24T00:00:00"/>
    <m/>
    <m/>
    <n v="0"/>
    <n v="22191588"/>
    <n v="0"/>
  </r>
  <r>
    <s v="Retail"/>
    <s v="Q102 - Valledupar - Cc Guatapuri"/>
    <x v="9"/>
    <s v="septiembre"/>
    <n v="24"/>
    <d v="2026-09-24T00:00:00"/>
    <n v="1003535194"/>
    <s v="CABARCAS SUAREZ ANDREA VANESSA "/>
    <n v="49"/>
    <n v="0"/>
    <n v="2775213"/>
  </r>
  <r>
    <s v="Retail"/>
    <s v="Q102 - Valledupar - Cc Guatapuri"/>
    <x v="9"/>
    <s v="septiembre"/>
    <n v="24"/>
    <d v="2026-09-24T00:00:00"/>
    <n v="1004306662"/>
    <s v="ROMERO CUELLO CESAR DANIEL"/>
    <n v="140"/>
    <n v="0"/>
    <n v="7933115"/>
  </r>
  <r>
    <s v="Retail"/>
    <s v="Q102 - Valledupar - Cc Guatapuri"/>
    <x v="9"/>
    <s v="septiembre"/>
    <n v="24"/>
    <d v="2026-09-24T00:00:00"/>
    <n v="1065667405"/>
    <s v="ESPINOZA MARTINEZ ARON MOISE"/>
    <n v="2"/>
    <n v="0"/>
    <n v="159580"/>
  </r>
  <r>
    <s v="Retail"/>
    <s v="Q102 - Valledupar - Cc Guatapuri"/>
    <x v="9"/>
    <s v="septiembre"/>
    <n v="24"/>
    <d v="2026-09-24T00:00:00"/>
    <n v="1065851754"/>
    <s v="VALBUENA GONZALES LINA MAYRETH"/>
    <n v="15"/>
    <n v="0"/>
    <n v="988868"/>
  </r>
  <r>
    <s v="Retail"/>
    <s v="Q102 - Valledupar - Cc Guatapuri"/>
    <x v="9"/>
    <s v="septiembre"/>
    <n v="24"/>
    <d v="2026-09-24T00:00:00"/>
    <n v="1066270050"/>
    <s v="DIAZ RHENALS CAMILO ANDRES"/>
    <n v="113"/>
    <n v="0"/>
    <n v="6156980"/>
  </r>
  <r>
    <s v="Retail"/>
    <s v="Q102 - Valledupar - Cc Guatapuri"/>
    <x v="9"/>
    <s v="septiembre"/>
    <n v="25"/>
    <d v="2026-09-25T00:00:00"/>
    <m/>
    <m/>
    <n v="0"/>
    <n v="8971985"/>
    <n v="0"/>
  </r>
  <r>
    <s v="Retail"/>
    <s v="Q102 - Valledupar - Cc Guatapuri"/>
    <x v="9"/>
    <s v="septiembre"/>
    <n v="25"/>
    <d v="2026-09-25T00:00:00"/>
    <n v="1003535194"/>
    <s v="CABARCAS SUAREZ ANDREA VANESSA "/>
    <n v="32"/>
    <n v="0"/>
    <n v="1757017"/>
  </r>
  <r>
    <s v="Retail"/>
    <s v="Q102 - Valledupar - Cc Guatapuri"/>
    <x v="9"/>
    <s v="septiembre"/>
    <n v="25"/>
    <d v="2026-09-25T00:00:00"/>
    <n v="1004306662"/>
    <s v="ROMERO CUELLO CESAR DANIEL"/>
    <n v="69"/>
    <n v="0"/>
    <n v="3724039"/>
  </r>
  <r>
    <s v="Retail"/>
    <s v="Q102 - Valledupar - Cc Guatapuri"/>
    <x v="9"/>
    <s v="septiembre"/>
    <n v="25"/>
    <d v="2026-09-25T00:00:00"/>
    <n v="1065574990"/>
    <s v="ESCOBAR MORENO YILMAR JOSE"/>
    <n v="6"/>
    <n v="0"/>
    <n v="394706"/>
  </r>
  <r>
    <s v="Retail"/>
    <s v="Q102 - Valledupar - Cc Guatapuri"/>
    <x v="9"/>
    <s v="septiembre"/>
    <n v="25"/>
    <d v="2026-09-25T00:00:00"/>
    <n v="1065851754"/>
    <s v="VALBUENA GONZALES LINA MAYRETH"/>
    <n v="8"/>
    <n v="0"/>
    <n v="430338"/>
  </r>
  <r>
    <s v="Retail"/>
    <s v="Q102 - Valledupar - Cc Guatapuri"/>
    <x v="9"/>
    <s v="septiembre"/>
    <n v="25"/>
    <d v="2026-09-25T00:00:00"/>
    <n v="1066270050"/>
    <s v="DIAZ RHENALS CAMILO ANDRES"/>
    <n v="51"/>
    <n v="0"/>
    <n v="2665886"/>
  </r>
  <r>
    <s v="Retail"/>
    <s v="Q102 - Valledupar - Cc Guatapuri"/>
    <x v="9"/>
    <s v="septiembre"/>
    <n v="26"/>
    <d v="2026-09-26T00:00:00"/>
    <m/>
    <m/>
    <n v="0"/>
    <n v="31821900"/>
    <n v="0"/>
  </r>
  <r>
    <s v="Retail"/>
    <s v="Q102 - Valledupar - Cc Guatapuri"/>
    <x v="9"/>
    <s v="septiembre"/>
    <n v="26"/>
    <d v="2026-09-26T00:00:00"/>
    <n v="1003535194"/>
    <s v="CABARCAS SUAREZ ANDREA VANESSA "/>
    <n v="53"/>
    <n v="0"/>
    <n v="2913702"/>
  </r>
  <r>
    <s v="Retail"/>
    <s v="Q102 - Valledupar - Cc Guatapuri"/>
    <x v="9"/>
    <s v="septiembre"/>
    <n v="26"/>
    <d v="2026-09-26T00:00:00"/>
    <n v="1004306662"/>
    <s v="ROMERO CUELLO CESAR DANIEL"/>
    <n v="163"/>
    <n v="0"/>
    <n v="8936447"/>
  </r>
  <r>
    <s v="Retail"/>
    <s v="Q102 - Valledupar - Cc Guatapuri"/>
    <x v="9"/>
    <s v="septiembre"/>
    <n v="26"/>
    <d v="2026-09-26T00:00:00"/>
    <n v="1065574990"/>
    <s v="ESCOBAR MORENO YILMAR JOSE"/>
    <n v="46"/>
    <n v="0"/>
    <n v="2483365"/>
  </r>
  <r>
    <s v="Retail"/>
    <s v="Q102 - Valledupar - Cc Guatapuri"/>
    <x v="9"/>
    <s v="septiembre"/>
    <n v="26"/>
    <d v="2026-09-26T00:00:00"/>
    <n v="1065851754"/>
    <s v="VALBUENA GONZALES LINA MAYRETH"/>
    <n v="-1"/>
    <n v="0"/>
    <n v="-46177"/>
  </r>
  <r>
    <s v="Retail"/>
    <s v="Q102 - Valledupar - Cc Guatapuri"/>
    <x v="9"/>
    <s v="septiembre"/>
    <n v="26"/>
    <d v="2026-09-26T00:00:00"/>
    <n v="1066270050"/>
    <s v="DIAZ RHENALS CAMILO ANDRES"/>
    <n v="132"/>
    <n v="0"/>
    <n v="7633073"/>
  </r>
  <r>
    <s v="Retail"/>
    <s v="Q102 - Valledupar - Cc Guatapuri"/>
    <x v="9"/>
    <s v="septiembre"/>
    <n v="27"/>
    <d v="2026-09-27T00:00:00"/>
    <m/>
    <m/>
    <n v="0"/>
    <n v="25209351"/>
    <n v="0"/>
  </r>
  <r>
    <s v="Retail"/>
    <s v="Q102 - Valledupar - Cc Guatapuri"/>
    <x v="9"/>
    <s v="septiembre"/>
    <n v="27"/>
    <d v="2026-09-27T00:00:00"/>
    <n v="1003535194"/>
    <s v="CABARCAS SUAREZ ANDREA VANESSA "/>
    <n v="58"/>
    <n v="0"/>
    <n v="3152901"/>
  </r>
  <r>
    <s v="Retail"/>
    <s v="Q102 - Valledupar - Cc Guatapuri"/>
    <x v="9"/>
    <s v="septiembre"/>
    <n v="27"/>
    <d v="2026-09-27T00:00:00"/>
    <n v="1004306662"/>
    <s v="ROMERO CUELLO CESAR DANIEL"/>
    <n v="158"/>
    <n v="0"/>
    <n v="8987026"/>
  </r>
  <r>
    <s v="Retail"/>
    <s v="Q102 - Valledupar - Cc Guatapuri"/>
    <x v="9"/>
    <s v="septiembre"/>
    <n v="27"/>
    <d v="2026-09-27T00:00:00"/>
    <n v="1065574990"/>
    <s v="ESCOBAR MORENO YILMAR JOSE"/>
    <n v="28"/>
    <n v="0"/>
    <n v="1887439"/>
  </r>
  <r>
    <s v="Retail"/>
    <s v="Q102 - Valledupar - Cc Guatapuri"/>
    <x v="9"/>
    <s v="septiembre"/>
    <n v="27"/>
    <d v="2026-09-27T00:00:00"/>
    <n v="1066270050"/>
    <s v="DIAZ RHENALS CAMILO ANDRES"/>
    <n v="112"/>
    <n v="0"/>
    <n v="6297572"/>
  </r>
  <r>
    <s v="Retail"/>
    <s v="Q102 - Valledupar - Cc Guatapuri"/>
    <x v="9"/>
    <s v="septiembre"/>
    <n v="28"/>
    <d v="2026-09-28T00:00:00"/>
    <m/>
    <m/>
    <n v="0"/>
    <n v="13874192"/>
    <n v="0"/>
  </r>
  <r>
    <s v="Retail"/>
    <s v="Q102 - Valledupar - Cc Guatapuri"/>
    <x v="9"/>
    <s v="septiembre"/>
    <n v="28"/>
    <d v="2026-09-28T00:00:00"/>
    <n v="1003535194"/>
    <s v="CABARCAS SUAREZ ANDREA VANESSA "/>
    <n v="12"/>
    <n v="0"/>
    <n v="806220"/>
  </r>
  <r>
    <s v="Retail"/>
    <s v="Q102 - Valledupar - Cc Guatapuri"/>
    <x v="9"/>
    <s v="septiembre"/>
    <n v="28"/>
    <d v="2026-09-28T00:00:00"/>
    <n v="1004306662"/>
    <s v="ROMERO CUELLO CESAR DANIEL"/>
    <n v="29"/>
    <n v="0"/>
    <n v="1767606"/>
  </r>
  <r>
    <s v="Retail"/>
    <s v="Q102 - Valledupar - Cc Guatapuri"/>
    <x v="9"/>
    <s v="septiembre"/>
    <n v="28"/>
    <d v="2026-09-28T00:00:00"/>
    <n v="1065574990"/>
    <s v="ESCOBAR MORENO YILMAR JOSE"/>
    <n v="2"/>
    <n v="0"/>
    <n v="83950"/>
  </r>
  <r>
    <s v="Retail"/>
    <s v="Q102 - Valledupar - Cc Guatapuri"/>
    <x v="9"/>
    <s v="septiembre"/>
    <n v="28"/>
    <d v="2026-09-28T00:00:00"/>
    <n v="1065667405"/>
    <s v="ESPINOZA MARTINEZ ARON MOISE"/>
    <n v="27"/>
    <n v="0"/>
    <n v="1708951"/>
  </r>
  <r>
    <s v="Retail"/>
    <s v="Q102 - Valledupar - Cc Guatapuri"/>
    <x v="9"/>
    <s v="septiembre"/>
    <n v="28"/>
    <d v="2026-09-28T00:00:00"/>
    <n v="1065827981"/>
    <s v="VIZCAINO GOMEZ SHIRLY"/>
    <n v="26"/>
    <n v="0"/>
    <n v="1192144"/>
  </r>
  <r>
    <s v="Retail"/>
    <s v="Q102 - Valledupar - Cc Guatapuri"/>
    <x v="9"/>
    <s v="septiembre"/>
    <n v="28"/>
    <d v="2026-09-28T00:00:00"/>
    <n v="1066270050"/>
    <s v="DIAZ RHENALS CAMILO ANDRES"/>
    <n v="41"/>
    <n v="0"/>
    <n v="2422521"/>
  </r>
  <r>
    <s v="Retail"/>
    <s v="Q102 - Valledupar - Cc Guatapuri"/>
    <x v="9"/>
    <s v="septiembre"/>
    <n v="29"/>
    <d v="2026-09-29T00:00:00"/>
    <m/>
    <m/>
    <n v="0"/>
    <n v="14820357"/>
    <n v="0"/>
  </r>
  <r>
    <s v="Retail"/>
    <s v="Q102 - Valledupar - Cc Guatapuri"/>
    <x v="9"/>
    <s v="septiembre"/>
    <n v="29"/>
    <d v="2026-09-29T00:00:00"/>
    <n v="1003535194"/>
    <s v="CABARCAS SUAREZ ANDREA VANESSA "/>
    <n v="10"/>
    <n v="0"/>
    <n v="640338"/>
  </r>
  <r>
    <s v="Retail"/>
    <s v="Q102 - Valledupar - Cc Guatapuri"/>
    <x v="9"/>
    <s v="septiembre"/>
    <n v="29"/>
    <d v="2026-09-29T00:00:00"/>
    <n v="1004306662"/>
    <s v="ROMERO CUELLO CESAR DANIEL"/>
    <n v="43"/>
    <n v="0"/>
    <n v="2598995"/>
  </r>
  <r>
    <s v="Retail"/>
    <s v="Q102 - Valledupar - Cc Guatapuri"/>
    <x v="9"/>
    <s v="septiembre"/>
    <n v="29"/>
    <d v="2026-09-29T00:00:00"/>
    <n v="1065574990"/>
    <s v="ESCOBAR MORENO YILMAR JOSE"/>
    <n v="5"/>
    <n v="0"/>
    <n v="239286"/>
  </r>
  <r>
    <s v="Retail"/>
    <s v="Q102 - Valledupar - Cc Guatapuri"/>
    <x v="9"/>
    <s v="septiembre"/>
    <n v="29"/>
    <d v="2026-09-29T00:00:00"/>
    <n v="1065667405"/>
    <s v="ESPINOZA MARTINEZ ARON MOISE"/>
    <n v="44"/>
    <n v="0"/>
    <n v="2069581"/>
  </r>
  <r>
    <s v="Retail"/>
    <s v="Q102 - Valledupar - Cc Guatapuri"/>
    <x v="9"/>
    <s v="septiembre"/>
    <n v="29"/>
    <d v="2026-09-29T00:00:00"/>
    <n v="1065827981"/>
    <s v="VIZCAINO GOMEZ SHIRLY"/>
    <n v="1"/>
    <n v="0"/>
    <n v="50378"/>
  </r>
  <r>
    <s v="Retail"/>
    <s v="Q102 - Valledupar - Cc Guatapuri"/>
    <x v="9"/>
    <s v="septiembre"/>
    <n v="29"/>
    <d v="2026-09-29T00:00:00"/>
    <n v="1066270050"/>
    <s v="DIAZ RHENALS CAMILO ANDRES"/>
    <n v="49"/>
    <n v="0"/>
    <n v="2754289"/>
  </r>
  <r>
    <s v="Retail"/>
    <s v="Q102 - Valledupar - Cc Guatapuri"/>
    <x v="9"/>
    <s v="septiembre"/>
    <n v="30"/>
    <d v="2026-09-30T00:00:00"/>
    <m/>
    <m/>
    <n v="0"/>
    <n v="15309689"/>
    <n v="0"/>
  </r>
  <r>
    <s v="Retail"/>
    <s v="Q102 - Valledupar - Cc Guatapuri"/>
    <x v="9"/>
    <s v="septiembre"/>
    <n v="30"/>
    <d v="2026-09-30T00:00:00"/>
    <n v="1003535194"/>
    <s v="CABARCAS SUAREZ ANDREA VANESSA "/>
    <n v="14"/>
    <n v="0"/>
    <n v="917437"/>
  </r>
  <r>
    <s v="Retail"/>
    <s v="Q102 - Valledupar - Cc Guatapuri"/>
    <x v="9"/>
    <s v="septiembre"/>
    <n v="30"/>
    <d v="2026-09-30T00:00:00"/>
    <n v="1004306662"/>
    <s v="ROMERO CUELLO CESAR DANIEL"/>
    <n v="31"/>
    <n v="0"/>
    <n v="1923026"/>
  </r>
  <r>
    <s v="Retail"/>
    <s v="Q102 - Valledupar - Cc Guatapuri"/>
    <x v="9"/>
    <s v="septiembre"/>
    <n v="30"/>
    <d v="2026-09-30T00:00:00"/>
    <n v="1065574990"/>
    <s v="ESCOBAR MORENO YILMAR JOSE"/>
    <n v="15"/>
    <n v="0"/>
    <n v="732522"/>
  </r>
  <r>
    <s v="Retail"/>
    <s v="Q102 - Valledupar - Cc Guatapuri"/>
    <x v="9"/>
    <s v="septiembre"/>
    <n v="30"/>
    <d v="2026-09-30T00:00:00"/>
    <n v="1065667405"/>
    <s v="ESPINOZA MARTINEZ ARON MOISE"/>
    <n v="18"/>
    <n v="0"/>
    <n v="1217733"/>
  </r>
  <r>
    <s v="Retail"/>
    <s v="Q102 - Valledupar - Cc Guatapuri"/>
    <x v="9"/>
    <s v="septiembre"/>
    <n v="30"/>
    <d v="2026-09-30T00:00:00"/>
    <n v="1065827981"/>
    <s v="VIZCAINO GOMEZ SHIRLY"/>
    <n v="25"/>
    <n v="0"/>
    <n v="1427480"/>
  </r>
  <r>
    <s v="Retail"/>
    <s v="Q102 - Valledupar - Cc Guatapuri"/>
    <x v="9"/>
    <s v="septiembre"/>
    <n v="30"/>
    <d v="2026-09-30T00:00:00"/>
    <n v="1066270050"/>
    <s v="DIAZ RHENALS CAMILO ANDRES"/>
    <n v="26"/>
    <n v="0"/>
    <n v="1440086"/>
  </r>
  <r>
    <s v="Retail"/>
    <s v="Q102 - Valledupar - Cc Guatapuri"/>
    <x v="9"/>
    <s v="octubre"/>
    <n v="1"/>
    <d v="2026-10-01T00:00:00"/>
    <m/>
    <m/>
    <n v="0"/>
    <n v="10124781"/>
    <n v="0"/>
  </r>
  <r>
    <s v="Retail"/>
    <s v="Q102 - Valledupar - Cc Guatapuri"/>
    <x v="9"/>
    <s v="octubre"/>
    <n v="1"/>
    <d v="2026-10-01T00:00:00"/>
    <n v="1003535194"/>
    <s v="CABARCAS SUAREZ ANDREA VANESSA "/>
    <n v="9"/>
    <n v="0"/>
    <n v="583656"/>
  </r>
  <r>
    <s v="Retail"/>
    <s v="Q102 - Valledupar - Cc Guatapuri"/>
    <x v="9"/>
    <s v="octubre"/>
    <n v="1"/>
    <d v="2026-10-01T00:00:00"/>
    <n v="1004306662"/>
    <s v="ROMERO CUELLO CESAR DANIEL"/>
    <n v="67"/>
    <n v="0"/>
    <n v="4230300"/>
  </r>
  <r>
    <s v="Retail"/>
    <s v="Q102 - Valledupar - Cc Guatapuri"/>
    <x v="9"/>
    <s v="octubre"/>
    <n v="1"/>
    <d v="2026-10-01T00:00:00"/>
    <n v="1065574990"/>
    <s v="ESCOBAR MORENO YILMAR JOSE"/>
    <n v="11"/>
    <n v="0"/>
    <n v="650799"/>
  </r>
  <r>
    <s v="Retail"/>
    <s v="Q102 - Valledupar - Cc Guatapuri"/>
    <x v="9"/>
    <s v="octubre"/>
    <n v="1"/>
    <d v="2026-10-01T00:00:00"/>
    <n v="1065827981"/>
    <s v="VIZCAINO GOMEZ SHIRLY"/>
    <n v="19"/>
    <n v="0"/>
    <n v="1093740"/>
  </r>
  <r>
    <s v="Retail"/>
    <s v="Q102 - Valledupar - Cc Guatapuri"/>
    <x v="9"/>
    <s v="octubre"/>
    <n v="1"/>
    <d v="2026-10-01T00:00:00"/>
    <n v="1066270050"/>
    <s v="DIAZ RHENALS CAMILO ANDRES"/>
    <n v="49"/>
    <n v="0"/>
    <n v="2911810"/>
  </r>
  <r>
    <s v="Retail"/>
    <s v="Q102 - Valledupar - Cc Guatapuri"/>
    <x v="9"/>
    <s v="octubre"/>
    <n v="2"/>
    <d v="2026-10-02T00:00:00"/>
    <m/>
    <m/>
    <n v="0"/>
    <n v="7708035"/>
    <n v="0"/>
  </r>
  <r>
    <s v="Retail"/>
    <s v="Q102 - Valledupar - Cc Guatapuri"/>
    <x v="9"/>
    <s v="octubre"/>
    <n v="2"/>
    <d v="2026-10-02T00:00:00"/>
    <n v="1003535194"/>
    <s v="CABARCAS SUAREZ ANDREA VANESSA "/>
    <n v="16"/>
    <n v="0"/>
    <n v="860673"/>
  </r>
  <r>
    <s v="Retail"/>
    <s v="Q102 - Valledupar - Cc Guatapuri"/>
    <x v="9"/>
    <s v="octubre"/>
    <n v="2"/>
    <d v="2026-10-02T00:00:00"/>
    <n v="1004306662"/>
    <s v="ROMERO CUELLO CESAR DANIEL"/>
    <n v="59"/>
    <n v="0"/>
    <n v="3360927"/>
  </r>
  <r>
    <s v="Retail"/>
    <s v="Q102 - Valledupar - Cc Guatapuri"/>
    <x v="9"/>
    <s v="octubre"/>
    <n v="2"/>
    <d v="2026-10-02T00:00:00"/>
    <n v="1007222843"/>
    <s v="HERNANDEZ AGUDELO YESENIA"/>
    <n v="-1"/>
    <n v="0"/>
    <n v="-113403"/>
  </r>
  <r>
    <s v="Retail"/>
    <s v="Q102 - Valledupar - Cc Guatapuri"/>
    <x v="9"/>
    <s v="octubre"/>
    <n v="2"/>
    <d v="2026-10-02T00:00:00"/>
    <n v="1065574990"/>
    <s v="ESCOBAR MORENO YILMAR JOSE"/>
    <n v="6"/>
    <n v="0"/>
    <n v="331639"/>
  </r>
  <r>
    <s v="Retail"/>
    <s v="Q102 - Valledupar - Cc Guatapuri"/>
    <x v="9"/>
    <s v="octubre"/>
    <n v="2"/>
    <d v="2026-10-02T00:00:00"/>
    <n v="1065827981"/>
    <s v="VIZCAINO GOMEZ SHIRLY"/>
    <n v="22"/>
    <n v="0"/>
    <n v="1284791"/>
  </r>
  <r>
    <s v="Retail"/>
    <s v="Q102 - Valledupar - Cc Guatapuri"/>
    <x v="9"/>
    <s v="octubre"/>
    <n v="2"/>
    <d v="2026-10-02T00:00:00"/>
    <n v="1066270050"/>
    <s v="DIAZ RHENALS CAMILO ANDRES"/>
    <n v="61"/>
    <n v="0"/>
    <n v="3408952"/>
  </r>
  <r>
    <s v="Retail"/>
    <s v="Q102 - Valledupar - Cc Guatapuri"/>
    <x v="9"/>
    <s v="octubre"/>
    <n v="3"/>
    <d v="2026-10-03T00:00:00"/>
    <m/>
    <m/>
    <n v="0"/>
    <n v="13385787"/>
    <n v="0"/>
  </r>
  <r>
    <s v="Retail"/>
    <s v="Q102 - Valledupar - Cc Guatapuri"/>
    <x v="9"/>
    <s v="octubre"/>
    <n v="3"/>
    <d v="2026-10-03T00:00:00"/>
    <n v="1003231065"/>
    <s v="QUINTERO MENDEZ NAYIBE SOFIA"/>
    <n v="-1"/>
    <n v="0"/>
    <n v="-54580"/>
  </r>
  <r>
    <s v="Retail"/>
    <s v="Q102 - Valledupar - Cc Guatapuri"/>
    <x v="9"/>
    <s v="octubre"/>
    <n v="3"/>
    <d v="2026-10-03T00:00:00"/>
    <n v="1003535194"/>
    <s v="CABARCAS SUAREZ ANDREA VANESSA "/>
    <n v="42"/>
    <n v="0"/>
    <n v="2437448"/>
  </r>
  <r>
    <s v="Retail"/>
    <s v="Q102 - Valledupar - Cc Guatapuri"/>
    <x v="9"/>
    <s v="octubre"/>
    <n v="3"/>
    <d v="2026-10-03T00:00:00"/>
    <n v="1004306662"/>
    <s v="ROMERO CUELLO CESAR DANIEL"/>
    <n v="114"/>
    <n v="0"/>
    <n v="5982583"/>
  </r>
  <r>
    <s v="Retail"/>
    <s v="Q102 - Valledupar - Cc Guatapuri"/>
    <x v="9"/>
    <s v="octubre"/>
    <n v="3"/>
    <d v="2026-10-03T00:00:00"/>
    <n v="1065574990"/>
    <s v="ESCOBAR MORENO YILMAR JOSE"/>
    <n v="18"/>
    <n v="0"/>
    <n v="924464"/>
  </r>
  <r>
    <s v="Retail"/>
    <s v="Q102 - Valledupar - Cc Guatapuri"/>
    <x v="9"/>
    <s v="octubre"/>
    <n v="3"/>
    <d v="2026-10-03T00:00:00"/>
    <n v="1065827981"/>
    <s v="VIZCAINO GOMEZ SHIRLY"/>
    <n v="46"/>
    <n v="0"/>
    <n v="2528809"/>
  </r>
  <r>
    <s v="Retail"/>
    <s v="Q102 - Valledupar - Cc Guatapuri"/>
    <x v="9"/>
    <s v="octubre"/>
    <n v="3"/>
    <d v="2026-10-03T00:00:00"/>
    <n v="1066270050"/>
    <s v="DIAZ RHENALS CAMILO ANDRES"/>
    <n v="67"/>
    <n v="0"/>
    <n v="3864842"/>
  </r>
  <r>
    <s v="Retail"/>
    <s v="Q102 - Valledupar - Cc Guatapuri"/>
    <x v="9"/>
    <s v="octubre"/>
    <n v="4"/>
    <d v="2026-10-04T00:00:00"/>
    <m/>
    <m/>
    <n v="0"/>
    <n v="9858796"/>
    <n v="0"/>
  </r>
  <r>
    <s v="Retail"/>
    <s v="Q102 - Valledupar - Cc Guatapuri"/>
    <x v="9"/>
    <s v="octubre"/>
    <n v="4"/>
    <d v="2026-10-04T00:00:00"/>
    <n v="1003535194"/>
    <s v="CABARCAS SUAREZ ANDREA VANESSA "/>
    <n v="27"/>
    <n v="0"/>
    <n v="1488321"/>
  </r>
  <r>
    <s v="Retail"/>
    <s v="Q102 - Valledupar - Cc Guatapuri"/>
    <x v="9"/>
    <s v="octubre"/>
    <n v="4"/>
    <d v="2026-10-04T00:00:00"/>
    <n v="1004306662"/>
    <s v="ROMERO CUELLO CESAR DANIEL"/>
    <n v="78"/>
    <n v="0"/>
    <n v="4813825"/>
  </r>
  <r>
    <s v="Retail"/>
    <s v="Q102 - Valledupar - Cc Guatapuri"/>
    <x v="9"/>
    <s v="octubre"/>
    <n v="4"/>
    <d v="2026-10-04T00:00:00"/>
    <n v="1065574990"/>
    <s v="ESCOBAR MORENO YILMAR JOSE"/>
    <n v="36"/>
    <n v="0"/>
    <n v="2330338"/>
  </r>
  <r>
    <s v="Retail"/>
    <s v="Q102 - Valledupar - Cc Guatapuri"/>
    <x v="9"/>
    <s v="octubre"/>
    <n v="4"/>
    <d v="2026-10-04T00:00:00"/>
    <n v="1065827981"/>
    <s v="VIZCAINO GOMEZ SHIRLY"/>
    <n v="33"/>
    <n v="0"/>
    <n v="2048994"/>
  </r>
  <r>
    <s v="Retail"/>
    <s v="Q102 - Valledupar - Cc Guatapuri"/>
    <x v="9"/>
    <s v="octubre"/>
    <n v="4"/>
    <d v="2026-10-04T00:00:00"/>
    <n v="1066270050"/>
    <s v="DIAZ RHENALS CAMILO ANDRES"/>
    <n v="68"/>
    <n v="0"/>
    <n v="3978198"/>
  </r>
  <r>
    <s v="Retail"/>
    <s v="Q102 - Valledupar - Cc Guatapuri"/>
    <x v="9"/>
    <s v="octubre"/>
    <n v="5"/>
    <d v="2026-10-05T00:00:00"/>
    <m/>
    <m/>
    <n v="0"/>
    <n v="6563440"/>
    <n v="0"/>
  </r>
  <r>
    <s v="Retail"/>
    <s v="Q102 - Valledupar - Cc Guatapuri"/>
    <x v="9"/>
    <s v="octubre"/>
    <n v="5"/>
    <d v="2026-10-05T00:00:00"/>
    <n v="1003535194"/>
    <s v="CABARCAS SUAREZ ANDREA VANESSA "/>
    <n v="17"/>
    <n v="0"/>
    <n v="1020294"/>
  </r>
  <r>
    <s v="Retail"/>
    <s v="Q102 - Valledupar - Cc Guatapuri"/>
    <x v="9"/>
    <s v="octubre"/>
    <n v="5"/>
    <d v="2026-10-05T00:00:00"/>
    <n v="1004306662"/>
    <s v="ROMERO CUELLO CESAR DANIEL"/>
    <n v="40"/>
    <n v="0"/>
    <n v="2183070"/>
  </r>
  <r>
    <s v="Retail"/>
    <s v="Q102 - Valledupar - Cc Guatapuri"/>
    <x v="9"/>
    <s v="octubre"/>
    <n v="5"/>
    <d v="2026-10-05T00:00:00"/>
    <n v="1065574990"/>
    <s v="ESCOBAR MORENO YILMAR JOSE"/>
    <n v="13"/>
    <n v="0"/>
    <n v="768363"/>
  </r>
  <r>
    <s v="Retail"/>
    <s v="Q102 - Valledupar - Cc Guatapuri"/>
    <x v="9"/>
    <s v="octubre"/>
    <n v="5"/>
    <d v="2026-10-05T00:00:00"/>
    <n v="1065667405"/>
    <s v="ESPINOZA MARTINEZ ARON MOISE"/>
    <n v="47"/>
    <n v="0"/>
    <n v="3102860"/>
  </r>
  <r>
    <s v="Retail"/>
    <s v="Q102 - Valledupar - Cc Guatapuri"/>
    <x v="9"/>
    <s v="octubre"/>
    <n v="5"/>
    <d v="2026-10-05T00:00:00"/>
    <n v="1065827981"/>
    <s v="VIZCAINO GOMEZ SHIRLY"/>
    <n v="12"/>
    <n v="0"/>
    <n v="940631"/>
  </r>
  <r>
    <s v="Retail"/>
    <s v="Q102 - Valledupar - Cc Guatapuri"/>
    <x v="9"/>
    <s v="octubre"/>
    <n v="5"/>
    <d v="2026-10-05T00:00:00"/>
    <n v="1066270050"/>
    <s v="DIAZ RHENALS CAMILO ANDRES"/>
    <n v="50"/>
    <n v="0"/>
    <n v="3073449"/>
  </r>
  <r>
    <s v="Retail"/>
    <s v="Q102 - Valledupar - Cc Guatapuri"/>
    <x v="9"/>
    <s v="octubre"/>
    <n v="6"/>
    <d v="2026-10-06T00:00:00"/>
    <m/>
    <m/>
    <n v="0"/>
    <n v="3755015"/>
    <n v="0"/>
  </r>
  <r>
    <s v="Retail"/>
    <s v="Q102 - Valledupar - Cc Guatapuri"/>
    <x v="9"/>
    <s v="octubre"/>
    <n v="6"/>
    <d v="2026-10-06T00:00:00"/>
    <n v="1003535194"/>
    <s v="CABARCAS SUAREZ ANDREA VANESSA "/>
    <n v="3"/>
    <n v="0"/>
    <n v="243571"/>
  </r>
  <r>
    <s v="Retail"/>
    <s v="Q102 - Valledupar - Cc Guatapuri"/>
    <x v="9"/>
    <s v="octubre"/>
    <n v="6"/>
    <d v="2026-10-06T00:00:00"/>
    <n v="1004306662"/>
    <s v="ROMERO CUELLO CESAR DANIEL"/>
    <n v="19"/>
    <n v="0"/>
    <n v="1192355"/>
  </r>
  <r>
    <s v="Retail"/>
    <s v="Q102 - Valledupar - Cc Guatapuri"/>
    <x v="9"/>
    <s v="octubre"/>
    <n v="6"/>
    <d v="2026-10-06T00:00:00"/>
    <n v="1065574990"/>
    <s v="ESCOBAR MORENO YILMAR JOSE"/>
    <n v="7"/>
    <n v="0"/>
    <n v="331639"/>
  </r>
  <r>
    <s v="Retail"/>
    <s v="Q102 - Valledupar - Cc Guatapuri"/>
    <x v="9"/>
    <s v="octubre"/>
    <n v="6"/>
    <d v="2026-10-06T00:00:00"/>
    <n v="1065667405"/>
    <s v="ESPINOZA MARTINEZ ARON MOISE"/>
    <n v="36"/>
    <n v="0"/>
    <n v="1647483"/>
  </r>
  <r>
    <s v="Retail"/>
    <s v="Q102 - Valledupar - Cc Guatapuri"/>
    <x v="9"/>
    <s v="octubre"/>
    <n v="6"/>
    <d v="2026-10-06T00:00:00"/>
    <n v="1065827981"/>
    <s v="VIZCAINO GOMEZ SHIRLY"/>
    <n v="6"/>
    <n v="0"/>
    <n v="424118"/>
  </r>
  <r>
    <s v="Retail"/>
    <s v="Q102 - Valledupar - Cc Guatapuri"/>
    <x v="9"/>
    <s v="octubre"/>
    <n v="6"/>
    <d v="2026-10-06T00:00:00"/>
    <n v="1066270050"/>
    <s v="DIAZ RHENALS CAMILO ANDRES"/>
    <n v="27"/>
    <n v="0"/>
    <n v="1471432"/>
  </r>
  <r>
    <s v="Retail"/>
    <s v="Q102 - Valledupar - Cc Guatapuri"/>
    <x v="9"/>
    <s v="octubre"/>
    <n v="7"/>
    <d v="2026-10-07T00:00:00"/>
    <m/>
    <m/>
    <n v="0"/>
    <n v="3705606"/>
    <n v="0"/>
  </r>
  <r>
    <s v="Retail"/>
    <s v="Q102 - Valledupar - Cc Guatapuri"/>
    <x v="9"/>
    <s v="octubre"/>
    <n v="7"/>
    <d v="2026-10-07T00:00:00"/>
    <n v="1003535194"/>
    <s v="CABARCAS SUAREZ ANDREA VANESSA "/>
    <n v="1"/>
    <n v="0"/>
    <n v="79790"/>
  </r>
  <r>
    <s v="Retail"/>
    <s v="Q102 - Valledupar - Cc Guatapuri"/>
    <x v="9"/>
    <s v="octubre"/>
    <n v="7"/>
    <d v="2026-10-07T00:00:00"/>
    <n v="1004306662"/>
    <s v="ROMERO CUELLO CESAR DANIEL"/>
    <n v="24"/>
    <n v="0"/>
    <n v="1234245"/>
  </r>
  <r>
    <s v="Retail"/>
    <s v="Q102 - Valledupar - Cc Guatapuri"/>
    <x v="9"/>
    <s v="octubre"/>
    <n v="7"/>
    <d v="2026-10-07T00:00:00"/>
    <n v="1065574990"/>
    <s v="ESCOBAR MORENO YILMAR JOSE"/>
    <n v="3"/>
    <n v="0"/>
    <n v="176345"/>
  </r>
  <r>
    <s v="Retail"/>
    <s v="Q102 - Valledupar - Cc Guatapuri"/>
    <x v="9"/>
    <s v="octubre"/>
    <n v="7"/>
    <d v="2026-10-07T00:00:00"/>
    <n v="1065667405"/>
    <s v="ESPINOZA MARTINEZ ARON MOISE"/>
    <n v="31"/>
    <n v="0"/>
    <n v="1294455"/>
  </r>
  <r>
    <s v="Retail"/>
    <s v="Q102 - Valledupar - Cc Guatapuri"/>
    <x v="9"/>
    <s v="octubre"/>
    <n v="7"/>
    <d v="2026-10-07T00:00:00"/>
    <n v="1065827981"/>
    <s v="VIZCAINO GOMEZ SHIRLY"/>
    <n v="3"/>
    <n v="0"/>
    <n v="125925"/>
  </r>
  <r>
    <s v="Retail"/>
    <s v="Q102 - Valledupar - Cc Guatapuri"/>
    <x v="9"/>
    <s v="octubre"/>
    <n v="7"/>
    <d v="2026-10-07T00:00:00"/>
    <n v="1066270050"/>
    <s v="DIAZ RHENALS CAMILO ANDRES"/>
    <n v="21"/>
    <n v="0"/>
    <n v="1230172"/>
  </r>
  <r>
    <s v="Retail"/>
    <s v="Q115 - Cucuta - Centro"/>
    <x v="9"/>
    <s v="septiembre"/>
    <n v="23"/>
    <d v="2026-09-23T00:00:00"/>
    <m/>
    <m/>
    <n v="0"/>
    <n v="12523922"/>
    <n v="0"/>
  </r>
  <r>
    <s v="Retail"/>
    <s v="Q115 - Cucuta - Centro"/>
    <x v="9"/>
    <s v="septiembre"/>
    <n v="23"/>
    <d v="2026-09-23T00:00:00"/>
    <n v="63510426"/>
    <s v="RAVELO CARDENAS OSMANY"/>
    <n v="150"/>
    <n v="0"/>
    <n v="8111223"/>
  </r>
  <r>
    <s v="Retail"/>
    <s v="Q115 - Cucuta - Centro"/>
    <x v="9"/>
    <s v="septiembre"/>
    <n v="23"/>
    <d v="2026-09-23T00:00:00"/>
    <n v="1004810740"/>
    <s v="PEÑALOZA FLOREZ BLEIMAR "/>
    <n v="82"/>
    <n v="0"/>
    <n v="4899795"/>
  </r>
  <r>
    <s v="Retail"/>
    <s v="Q115 - Cucuta - Centro"/>
    <x v="9"/>
    <s v="septiembre"/>
    <n v="23"/>
    <d v="2026-09-23T00:00:00"/>
    <n v="1005053897"/>
    <s v="MONSALVE  RODRIGUEZ JOHANNA GABRIELA "/>
    <n v="89"/>
    <n v="0"/>
    <n v="5069581"/>
  </r>
  <r>
    <s v="Retail"/>
    <s v="Q115 - Cucuta - Centro"/>
    <x v="9"/>
    <s v="septiembre"/>
    <n v="23"/>
    <d v="2026-09-23T00:00:00"/>
    <n v="1093735711"/>
    <s v="VESGA MORA LUZ  ANGELICA"/>
    <n v="21"/>
    <n v="0"/>
    <n v="1049455"/>
  </r>
  <r>
    <s v="Retail"/>
    <s v="Q115 - Cucuta - Centro"/>
    <x v="9"/>
    <s v="septiembre"/>
    <n v="23"/>
    <d v="2026-09-23T00:00:00"/>
    <n v="1115725913"/>
    <s v="NARIÑO GUTIEREZ STEFANY MISHEL"/>
    <n v="8"/>
    <n v="0"/>
    <n v="621514"/>
  </r>
  <r>
    <s v="Retail"/>
    <s v="Q115 - Cucuta - Centro"/>
    <x v="9"/>
    <s v="septiembre"/>
    <n v="24"/>
    <d v="2026-09-24T00:00:00"/>
    <m/>
    <m/>
    <n v="0"/>
    <n v="19131699"/>
    <n v="0"/>
  </r>
  <r>
    <s v="Retail"/>
    <s v="Q115 - Cucuta - Centro"/>
    <x v="9"/>
    <s v="septiembre"/>
    <n v="24"/>
    <d v="2026-09-24T00:00:00"/>
    <n v="63510426"/>
    <s v="RAVELO CARDENAS OSMANY"/>
    <n v="85"/>
    <n v="0"/>
    <n v="4532023"/>
  </r>
  <r>
    <s v="Retail"/>
    <s v="Q115 - Cucuta - Centro"/>
    <x v="9"/>
    <s v="septiembre"/>
    <n v="24"/>
    <d v="2026-09-24T00:00:00"/>
    <n v="1004810740"/>
    <s v="PEÑALOZA FLOREZ BLEIMAR "/>
    <n v="74"/>
    <n v="0"/>
    <n v="4429416"/>
  </r>
  <r>
    <s v="Retail"/>
    <s v="Q115 - Cucuta - Centro"/>
    <x v="9"/>
    <s v="septiembre"/>
    <n v="24"/>
    <d v="2026-09-24T00:00:00"/>
    <n v="1005053897"/>
    <s v="MONSALVE  RODRIGUEZ JOHANNA GABRIELA "/>
    <n v="94"/>
    <n v="0"/>
    <n v="4907609"/>
  </r>
  <r>
    <s v="Retail"/>
    <s v="Q115 - Cucuta - Centro"/>
    <x v="9"/>
    <s v="septiembre"/>
    <n v="24"/>
    <d v="2026-09-24T00:00:00"/>
    <n v="1093735711"/>
    <s v="VESGA MORA LUZ  ANGELICA"/>
    <n v="24"/>
    <n v="0"/>
    <n v="1255211"/>
  </r>
  <r>
    <s v="Retail"/>
    <s v="Q115 - Cucuta - Centro"/>
    <x v="9"/>
    <s v="septiembre"/>
    <n v="24"/>
    <d v="2026-09-24T00:00:00"/>
    <n v="1115725913"/>
    <s v="NARIÑO GUTIEREZ STEFANY MISHEL"/>
    <n v="5"/>
    <n v="0"/>
    <n v="243488"/>
  </r>
  <r>
    <s v="Retail"/>
    <s v="Q115 - Cucuta - Centro"/>
    <x v="9"/>
    <s v="septiembre"/>
    <n v="25"/>
    <d v="2026-09-25T00:00:00"/>
    <m/>
    <m/>
    <n v="0"/>
    <n v="19089348"/>
    <n v="0"/>
  </r>
  <r>
    <s v="Retail"/>
    <s v="Q115 - Cucuta - Centro"/>
    <x v="9"/>
    <s v="septiembre"/>
    <n v="25"/>
    <d v="2026-09-25T00:00:00"/>
    <n v="63510426"/>
    <s v="RAVELO CARDENAS OSMANY"/>
    <n v="121"/>
    <n v="0"/>
    <n v="6209124"/>
  </r>
  <r>
    <s v="Retail"/>
    <s v="Q115 - Cucuta - Centro"/>
    <x v="9"/>
    <s v="septiembre"/>
    <n v="25"/>
    <d v="2026-09-25T00:00:00"/>
    <n v="1004810740"/>
    <s v="PEÑALOZA FLOREZ BLEIMAR "/>
    <n v="123"/>
    <n v="0"/>
    <n v="7196350"/>
  </r>
  <r>
    <s v="Retail"/>
    <s v="Q115 - Cucuta - Centro"/>
    <x v="9"/>
    <s v="septiembre"/>
    <n v="25"/>
    <d v="2026-09-25T00:00:00"/>
    <n v="1005053897"/>
    <s v="MONSALVE  RODRIGUEZ JOHANNA GABRIELA "/>
    <n v="91"/>
    <n v="0"/>
    <n v="4254545"/>
  </r>
  <r>
    <s v="Retail"/>
    <s v="Q115 - Cucuta - Centro"/>
    <x v="9"/>
    <s v="septiembre"/>
    <n v="25"/>
    <d v="2026-09-25T00:00:00"/>
    <n v="1093735711"/>
    <s v="VESGA MORA LUZ  ANGELICA"/>
    <n v="19"/>
    <n v="0"/>
    <n v="921474"/>
  </r>
  <r>
    <s v="Retail"/>
    <s v="Q115 - Cucuta - Centro"/>
    <x v="9"/>
    <s v="septiembre"/>
    <n v="25"/>
    <d v="2026-09-25T00:00:00"/>
    <n v="1115725913"/>
    <s v="NARIÑO GUTIEREZ STEFANY MISHEL"/>
    <n v="14"/>
    <n v="0"/>
    <n v="646430"/>
  </r>
  <r>
    <s v="Retail"/>
    <s v="Q115 - Cucuta - Centro"/>
    <x v="9"/>
    <s v="septiembre"/>
    <n v="26"/>
    <d v="2026-09-26T00:00:00"/>
    <m/>
    <m/>
    <n v="0"/>
    <n v="27434137"/>
    <n v="0"/>
  </r>
  <r>
    <s v="Retail"/>
    <s v="Q115 - Cucuta - Centro"/>
    <x v="9"/>
    <s v="septiembre"/>
    <n v="26"/>
    <d v="2026-09-26T00:00:00"/>
    <n v="63510426"/>
    <s v="RAVELO CARDENAS OSMANY"/>
    <n v="153"/>
    <n v="0"/>
    <n v="8449300"/>
  </r>
  <r>
    <s v="Retail"/>
    <s v="Q115 - Cucuta - Centro"/>
    <x v="9"/>
    <s v="septiembre"/>
    <n v="26"/>
    <d v="2026-09-26T00:00:00"/>
    <n v="1004810740"/>
    <s v="PEÑALOZA FLOREZ BLEIMAR "/>
    <n v="139"/>
    <n v="0"/>
    <n v="8332318"/>
  </r>
  <r>
    <s v="Retail"/>
    <s v="Q115 - Cucuta - Centro"/>
    <x v="9"/>
    <s v="septiembre"/>
    <n v="26"/>
    <d v="2026-09-26T00:00:00"/>
    <n v="1005053897"/>
    <s v="MONSALVE  RODRIGUEZ JOHANNA GABRIELA "/>
    <n v="116"/>
    <n v="0"/>
    <n v="6192450"/>
  </r>
  <r>
    <s v="Retail"/>
    <s v="Q115 - Cucuta - Centro"/>
    <x v="9"/>
    <s v="septiembre"/>
    <n v="26"/>
    <d v="2026-09-26T00:00:00"/>
    <n v="1093735711"/>
    <s v="VESGA MORA LUZ  ANGELICA"/>
    <n v="25"/>
    <n v="0"/>
    <n v="1425422"/>
  </r>
  <r>
    <s v="Retail"/>
    <s v="Q115 - Cucuta - Centro"/>
    <x v="9"/>
    <s v="septiembre"/>
    <n v="26"/>
    <d v="2026-09-26T00:00:00"/>
    <n v="1115725913"/>
    <s v="NARIÑO GUTIEREZ STEFANY MISHEL"/>
    <n v="17"/>
    <n v="0"/>
    <n v="801724"/>
  </r>
  <r>
    <s v="Retail"/>
    <s v="Q115 - Cucuta - Centro"/>
    <x v="9"/>
    <s v="septiembre"/>
    <n v="27"/>
    <d v="2026-09-27T00:00:00"/>
    <m/>
    <m/>
    <n v="0"/>
    <n v="21733359"/>
    <n v="0"/>
  </r>
  <r>
    <s v="Retail"/>
    <s v="Q115 - Cucuta - Centro"/>
    <x v="9"/>
    <s v="septiembre"/>
    <n v="27"/>
    <d v="2026-09-27T00:00:00"/>
    <n v="63510426"/>
    <s v="RAVELO CARDENAS OSMANY"/>
    <n v="55"/>
    <n v="0"/>
    <n v="3703489"/>
  </r>
  <r>
    <s v="Retail"/>
    <s v="Q115 - Cucuta - Centro"/>
    <x v="9"/>
    <s v="septiembre"/>
    <n v="27"/>
    <d v="2026-09-27T00:00:00"/>
    <n v="1004810740"/>
    <s v="PEÑALOZA FLOREZ BLEIMAR "/>
    <n v="57"/>
    <n v="0"/>
    <n v="3522650"/>
  </r>
  <r>
    <s v="Retail"/>
    <s v="Q115 - Cucuta - Centro"/>
    <x v="9"/>
    <s v="septiembre"/>
    <n v="27"/>
    <d v="2026-09-27T00:00:00"/>
    <n v="1005053897"/>
    <s v="MONSALVE  RODRIGUEZ JOHANNA GABRIELA "/>
    <n v="55"/>
    <n v="0"/>
    <n v="3424124"/>
  </r>
  <r>
    <s v="Retail"/>
    <s v="Q115 - Cucuta - Centro"/>
    <x v="9"/>
    <s v="septiembre"/>
    <n v="27"/>
    <d v="2026-09-27T00:00:00"/>
    <n v="1090471227"/>
    <s v="SANCHEZ ORTEGA FABIAN ISNARDO"/>
    <n v="0"/>
    <n v="0"/>
    <n v="0"/>
  </r>
  <r>
    <s v="Retail"/>
    <s v="Q115 - Cucuta - Centro"/>
    <x v="9"/>
    <s v="septiembre"/>
    <n v="27"/>
    <d v="2026-09-27T00:00:00"/>
    <n v="1093735711"/>
    <s v="VESGA MORA LUZ  ANGELICA"/>
    <n v="6"/>
    <n v="0"/>
    <n v="306471"/>
  </r>
  <r>
    <s v="Retail"/>
    <s v="Q115 - Cucuta - Centro"/>
    <x v="9"/>
    <s v="septiembre"/>
    <n v="27"/>
    <d v="2026-09-27T00:00:00"/>
    <n v="1115725913"/>
    <s v="NARIÑO GUTIEREZ STEFANY MISHEL"/>
    <n v="7"/>
    <n v="0"/>
    <n v="340044"/>
  </r>
  <r>
    <s v="Retail"/>
    <s v="Q115 - Cucuta - Centro"/>
    <x v="9"/>
    <s v="septiembre"/>
    <n v="28"/>
    <d v="2026-09-28T00:00:00"/>
    <m/>
    <m/>
    <n v="0"/>
    <n v="12236847"/>
    <n v="0"/>
  </r>
  <r>
    <s v="Retail"/>
    <s v="Q115 - Cucuta - Centro"/>
    <x v="9"/>
    <s v="septiembre"/>
    <n v="28"/>
    <d v="2026-09-28T00:00:00"/>
    <n v="63510426"/>
    <s v="RAVELO CARDENAS OSMANY"/>
    <n v="54"/>
    <n v="0"/>
    <n v="3405127"/>
  </r>
  <r>
    <s v="Retail"/>
    <s v="Q115 - Cucuta - Centro"/>
    <x v="9"/>
    <s v="septiembre"/>
    <n v="28"/>
    <d v="2026-09-28T00:00:00"/>
    <n v="1004810740"/>
    <s v="PEÑALOZA FLOREZ BLEIMAR "/>
    <n v="51"/>
    <n v="0"/>
    <n v="2993491"/>
  </r>
  <r>
    <s v="Retail"/>
    <s v="Q115 - Cucuta - Centro"/>
    <x v="9"/>
    <s v="septiembre"/>
    <n v="28"/>
    <d v="2026-09-28T00:00:00"/>
    <n v="1005053897"/>
    <s v="MONSALVE  RODRIGUEZ JOHANNA GABRIELA "/>
    <n v="83"/>
    <n v="0"/>
    <n v="4740046"/>
  </r>
  <r>
    <s v="Retail"/>
    <s v="Q115 - Cucuta - Centro"/>
    <x v="9"/>
    <s v="septiembre"/>
    <n v="28"/>
    <d v="2026-09-28T00:00:00"/>
    <n v="1093735711"/>
    <s v="VESGA MORA LUZ  ANGELICA"/>
    <n v="11"/>
    <n v="0"/>
    <n v="598321"/>
  </r>
  <r>
    <s v="Retail"/>
    <s v="Q115 - Cucuta - Centro"/>
    <x v="9"/>
    <s v="septiembre"/>
    <n v="28"/>
    <d v="2026-09-28T00:00:00"/>
    <n v="1115725913"/>
    <s v="NARIÑO GUTIEREZ STEFANY MISHEL"/>
    <n v="9"/>
    <n v="0"/>
    <n v="566850"/>
  </r>
  <r>
    <s v="Retail"/>
    <s v="Q115 - Cucuta - Centro"/>
    <x v="9"/>
    <s v="septiembre"/>
    <n v="29"/>
    <d v="2026-09-29T00:00:00"/>
    <m/>
    <m/>
    <n v="0"/>
    <n v="12501149"/>
    <n v="0"/>
  </r>
  <r>
    <s v="Retail"/>
    <s v="Q115 - Cucuta - Centro"/>
    <x v="9"/>
    <s v="septiembre"/>
    <n v="29"/>
    <d v="2026-09-29T00:00:00"/>
    <n v="63510426"/>
    <s v="RAVELO CARDENAS OSMANY"/>
    <n v="36"/>
    <n v="0"/>
    <n v="2120212"/>
  </r>
  <r>
    <s v="Retail"/>
    <s v="Q115 - Cucuta - Centro"/>
    <x v="9"/>
    <s v="septiembre"/>
    <n v="29"/>
    <d v="2026-09-29T00:00:00"/>
    <n v="1004810740"/>
    <s v="PEÑALOZA FLOREZ BLEIMAR "/>
    <n v="40"/>
    <n v="0"/>
    <n v="2185175"/>
  </r>
  <r>
    <s v="Retail"/>
    <s v="Q115 - Cucuta - Centro"/>
    <x v="9"/>
    <s v="septiembre"/>
    <n v="29"/>
    <d v="2026-09-29T00:00:00"/>
    <n v="1005053897"/>
    <s v="MONSALVE  RODRIGUEZ JOHANNA GABRIELA "/>
    <n v="62"/>
    <n v="0"/>
    <n v="3417442"/>
  </r>
  <r>
    <s v="Retail"/>
    <s v="Q115 - Cucuta - Centro"/>
    <x v="9"/>
    <s v="septiembre"/>
    <n v="29"/>
    <d v="2026-09-29T00:00:00"/>
    <n v="1093735711"/>
    <s v="VESGA MORA LUZ  ANGELICA"/>
    <n v="4"/>
    <n v="0"/>
    <n v="302312"/>
  </r>
  <r>
    <s v="Retail"/>
    <s v="Q115 - Cucuta - Centro"/>
    <x v="9"/>
    <s v="septiembre"/>
    <n v="30"/>
    <d v="2026-09-30T00:00:00"/>
    <m/>
    <m/>
    <n v="0"/>
    <n v="13198713"/>
    <n v="0"/>
  </r>
  <r>
    <s v="Retail"/>
    <s v="Q115 - Cucuta - Centro"/>
    <x v="9"/>
    <s v="septiembre"/>
    <n v="30"/>
    <d v="2026-09-30T00:00:00"/>
    <n v="63510426"/>
    <s v="RAVELO CARDENAS OSMANY"/>
    <n v="56"/>
    <n v="0"/>
    <n v="3346306"/>
  </r>
  <r>
    <s v="Retail"/>
    <s v="Q115 - Cucuta - Centro"/>
    <x v="9"/>
    <s v="septiembre"/>
    <n v="30"/>
    <d v="2026-09-30T00:00:00"/>
    <n v="1004810740"/>
    <s v="PEÑALOZA FLOREZ BLEIMAR "/>
    <n v="107"/>
    <n v="0"/>
    <n v="6554125"/>
  </r>
  <r>
    <s v="Retail"/>
    <s v="Q115 - Cucuta - Centro"/>
    <x v="9"/>
    <s v="septiembre"/>
    <n v="30"/>
    <d v="2026-09-30T00:00:00"/>
    <n v="1005053897"/>
    <s v="MONSALVE  RODRIGUEZ JOHANNA GABRIELA "/>
    <n v="69"/>
    <n v="0"/>
    <n v="4066393"/>
  </r>
  <r>
    <s v="Retail"/>
    <s v="Q115 - Cucuta - Centro"/>
    <x v="9"/>
    <s v="septiembre"/>
    <n v="30"/>
    <d v="2026-09-30T00:00:00"/>
    <n v="1093735711"/>
    <s v="VESGA MORA LUZ  ANGELICA"/>
    <n v="14"/>
    <n v="0"/>
    <n v="911177"/>
  </r>
  <r>
    <s v="Retail"/>
    <s v="Q115 - Cucuta - Centro"/>
    <x v="9"/>
    <s v="septiembre"/>
    <n v="30"/>
    <d v="2026-09-30T00:00:00"/>
    <n v="1115725913"/>
    <s v="NARIÑO GUTIEREZ STEFANY MISHEL"/>
    <n v="10"/>
    <n v="0"/>
    <n v="646598"/>
  </r>
  <r>
    <s v="Retail"/>
    <s v="Q115 - Cucuta - Centro"/>
    <x v="9"/>
    <s v="septiembre"/>
    <n v="30"/>
    <d v="2026-09-30T00:00:00"/>
    <n v="1148965693"/>
    <s v="CAMARGO DELGADO JHONAIDER JOSUE"/>
    <n v="-1"/>
    <n v="0"/>
    <n v="-83992"/>
  </r>
  <r>
    <s v="Retail"/>
    <s v="Q115 - Cucuta - Centro"/>
    <x v="9"/>
    <s v="octubre"/>
    <n v="1"/>
    <d v="2026-10-01T00:00:00"/>
    <m/>
    <m/>
    <n v="0"/>
    <n v="18264197"/>
    <n v="0"/>
  </r>
  <r>
    <s v="Retail"/>
    <s v="Q115 - Cucuta - Centro"/>
    <x v="9"/>
    <s v="octubre"/>
    <n v="1"/>
    <d v="2026-10-01T00:00:00"/>
    <n v="63510426"/>
    <s v="RAVELO CARDENAS OSMANY"/>
    <n v="93"/>
    <n v="0"/>
    <n v="5331942"/>
  </r>
  <r>
    <s v="Retail"/>
    <s v="Q115 - Cucuta - Centro"/>
    <x v="9"/>
    <s v="octubre"/>
    <n v="1"/>
    <d v="2026-10-01T00:00:00"/>
    <n v="1004810740"/>
    <s v="PEÑALOZA FLOREZ BLEIMAR "/>
    <n v="83"/>
    <n v="0"/>
    <n v="5273619"/>
  </r>
  <r>
    <s v="Retail"/>
    <s v="Q115 - Cucuta - Centro"/>
    <x v="9"/>
    <s v="octubre"/>
    <n v="1"/>
    <d v="2026-10-01T00:00:00"/>
    <n v="1005053897"/>
    <s v="MONSALVE  RODRIGUEZ JOHANNA GABRIELA "/>
    <n v="-3"/>
    <n v="0"/>
    <n v="-205714"/>
  </r>
  <r>
    <s v="Retail"/>
    <s v="Q115 - Cucuta - Centro"/>
    <x v="9"/>
    <s v="octubre"/>
    <n v="1"/>
    <d v="2026-10-01T00:00:00"/>
    <n v="1093735711"/>
    <s v="VESGA MORA LUZ  ANGELICA"/>
    <n v="17"/>
    <n v="0"/>
    <n v="860506"/>
  </r>
  <r>
    <s v="Retail"/>
    <s v="Q115 - Cucuta - Centro"/>
    <x v="9"/>
    <s v="octubre"/>
    <n v="1"/>
    <d v="2026-10-01T00:00:00"/>
    <n v="1115725913"/>
    <s v="NARIÑO GUTIEREZ STEFANY MISHEL"/>
    <n v="16"/>
    <n v="0"/>
    <n v="806009"/>
  </r>
  <r>
    <s v="Retail"/>
    <s v="Q115 - Cucuta - Centro"/>
    <x v="9"/>
    <s v="octubre"/>
    <n v="2"/>
    <d v="2026-10-02T00:00:00"/>
    <m/>
    <m/>
    <n v="0"/>
    <n v="15916285"/>
    <n v="0"/>
  </r>
  <r>
    <s v="Retail"/>
    <s v="Q115 - Cucuta - Centro"/>
    <x v="9"/>
    <s v="octubre"/>
    <n v="2"/>
    <d v="2026-10-02T00:00:00"/>
    <n v="63510426"/>
    <s v="RAVELO CARDENAS OSMANY"/>
    <n v="92"/>
    <n v="0"/>
    <n v="5313283"/>
  </r>
  <r>
    <s v="Retail"/>
    <s v="Q115 - Cucuta - Centro"/>
    <x v="9"/>
    <s v="octubre"/>
    <n v="2"/>
    <d v="2026-10-02T00:00:00"/>
    <n v="1004810740"/>
    <s v="PEÑALOZA FLOREZ BLEIMAR "/>
    <n v="94"/>
    <n v="0"/>
    <n v="5218413"/>
  </r>
  <r>
    <s v="Retail"/>
    <s v="Q115 - Cucuta - Centro"/>
    <x v="9"/>
    <s v="octubre"/>
    <n v="2"/>
    <d v="2026-10-02T00:00:00"/>
    <n v="1093735711"/>
    <s v="VESGA MORA LUZ  ANGELICA"/>
    <n v="11"/>
    <n v="0"/>
    <n v="579371"/>
  </r>
  <r>
    <s v="Retail"/>
    <s v="Q115 - Cucuta - Centro"/>
    <x v="9"/>
    <s v="octubre"/>
    <n v="2"/>
    <d v="2026-10-02T00:00:00"/>
    <n v="1115725913"/>
    <s v="NARIÑO GUTIEREZ STEFANY MISHEL"/>
    <n v="13"/>
    <n v="0"/>
    <n v="652774"/>
  </r>
  <r>
    <s v="Retail"/>
    <s v="Q115 - Cucuta - Centro"/>
    <x v="9"/>
    <s v="octubre"/>
    <n v="3"/>
    <d v="2026-10-03T00:00:00"/>
    <m/>
    <m/>
    <n v="0"/>
    <n v="24973055"/>
    <n v="0"/>
  </r>
  <r>
    <s v="Retail"/>
    <s v="Q115 - Cucuta - Centro"/>
    <x v="9"/>
    <s v="octubre"/>
    <n v="3"/>
    <d v="2026-10-03T00:00:00"/>
    <n v="63510426"/>
    <s v="RAVELO CARDENAS OSMANY"/>
    <n v="126"/>
    <n v="0"/>
    <n v="6932318"/>
  </r>
  <r>
    <s v="Retail"/>
    <s v="Q115 - Cucuta - Centro"/>
    <x v="9"/>
    <s v="octubre"/>
    <n v="3"/>
    <d v="2026-10-03T00:00:00"/>
    <n v="1004810740"/>
    <s v="PEÑALOZA FLOREZ BLEIMAR "/>
    <n v="132"/>
    <n v="0"/>
    <n v="6713320"/>
  </r>
  <r>
    <s v="Retail"/>
    <s v="Q115 - Cucuta - Centro"/>
    <x v="9"/>
    <s v="octubre"/>
    <n v="3"/>
    <d v="2026-10-03T00:00:00"/>
    <n v="1093735711"/>
    <s v="VESGA MORA LUZ  ANGELICA"/>
    <n v="27"/>
    <n v="0"/>
    <n v="1238362"/>
  </r>
  <r>
    <s v="Retail"/>
    <s v="Q115 - Cucuta - Centro"/>
    <x v="9"/>
    <s v="octubre"/>
    <n v="3"/>
    <d v="2026-10-03T00:00:00"/>
    <n v="1115725913"/>
    <s v="NARIÑO GUTIEREZ STEFANY MISHEL"/>
    <n v="26"/>
    <n v="0"/>
    <n v="1463607"/>
  </r>
  <r>
    <s v="Retail"/>
    <s v="Q115 - Cucuta - Centro"/>
    <x v="9"/>
    <s v="octubre"/>
    <n v="4"/>
    <d v="2026-10-04T00:00:00"/>
    <m/>
    <m/>
    <n v="0"/>
    <n v="10559212"/>
    <n v="0"/>
  </r>
  <r>
    <s v="Retail"/>
    <s v="Q115 - Cucuta - Centro"/>
    <x v="9"/>
    <s v="octubre"/>
    <n v="4"/>
    <d v="2026-10-04T00:00:00"/>
    <n v="63510426"/>
    <s v="RAVELO CARDENAS OSMANY"/>
    <n v="60"/>
    <n v="0"/>
    <n v="4003784"/>
  </r>
  <r>
    <s v="Retail"/>
    <s v="Q115 - Cucuta - Centro"/>
    <x v="9"/>
    <s v="octubre"/>
    <n v="4"/>
    <d v="2026-10-04T00:00:00"/>
    <n v="1004810740"/>
    <s v="PEÑALOZA FLOREZ BLEIMAR "/>
    <n v="71"/>
    <n v="0"/>
    <n v="4093406"/>
  </r>
  <r>
    <s v="Retail"/>
    <s v="Q115 - Cucuta - Centro"/>
    <x v="9"/>
    <s v="octubre"/>
    <n v="4"/>
    <d v="2026-10-04T00:00:00"/>
    <n v="1093735711"/>
    <s v="VESGA MORA LUZ  ANGELICA"/>
    <n v="7"/>
    <n v="0"/>
    <n v="466093"/>
  </r>
  <r>
    <s v="Retail"/>
    <s v="Q115 - Cucuta - Centro"/>
    <x v="9"/>
    <s v="octubre"/>
    <n v="4"/>
    <d v="2026-10-04T00:00:00"/>
    <n v="1115725913"/>
    <s v="NARIÑO GUTIEREZ STEFANY MISHEL"/>
    <n v="12"/>
    <n v="0"/>
    <n v="583490"/>
  </r>
  <r>
    <s v="Retail"/>
    <s v="Q115 - Cucuta - Centro"/>
    <x v="9"/>
    <s v="octubre"/>
    <n v="5"/>
    <d v="2026-10-05T00:00:00"/>
    <m/>
    <m/>
    <n v="0"/>
    <n v="17148383"/>
    <n v="0"/>
  </r>
  <r>
    <s v="Retail"/>
    <s v="Q115 - Cucuta - Centro"/>
    <x v="9"/>
    <s v="octubre"/>
    <n v="5"/>
    <d v="2026-10-05T00:00:00"/>
    <n v="63510426"/>
    <s v="RAVELO CARDENAS OSMANY"/>
    <n v="67"/>
    <n v="0"/>
    <n v="4123074"/>
  </r>
  <r>
    <s v="Retail"/>
    <s v="Q115 - Cucuta - Centro"/>
    <x v="9"/>
    <s v="octubre"/>
    <n v="5"/>
    <d v="2026-10-05T00:00:00"/>
    <n v="1004810740"/>
    <s v="PEÑALOZA FLOREZ BLEIMAR "/>
    <n v="62"/>
    <n v="0"/>
    <n v="3674620"/>
  </r>
  <r>
    <s v="Retail"/>
    <s v="Q115 - Cucuta - Centro"/>
    <x v="9"/>
    <s v="octubre"/>
    <n v="5"/>
    <d v="2026-10-05T00:00:00"/>
    <n v="1093735711"/>
    <s v="VESGA MORA LUZ  ANGELICA"/>
    <n v="1"/>
    <n v="0"/>
    <n v="37773"/>
  </r>
  <r>
    <s v="Retail"/>
    <s v="Q115 - Cucuta - Centro"/>
    <x v="9"/>
    <s v="octubre"/>
    <n v="5"/>
    <d v="2026-10-05T00:00:00"/>
    <n v="1115725913"/>
    <s v="NARIÑO GUTIEREZ STEFANY MISHEL"/>
    <n v="1"/>
    <n v="0"/>
    <n v="25168"/>
  </r>
  <r>
    <s v="Retail"/>
    <s v="Q115 - Cucuta - Centro"/>
    <x v="9"/>
    <s v="octubre"/>
    <n v="6"/>
    <d v="2026-10-06T00:00:00"/>
    <m/>
    <m/>
    <n v="0"/>
    <n v="11513412"/>
    <n v="0"/>
  </r>
  <r>
    <s v="Retail"/>
    <s v="Q115 - Cucuta - Centro"/>
    <x v="9"/>
    <s v="octubre"/>
    <n v="6"/>
    <d v="2026-10-06T00:00:00"/>
    <n v="63510426"/>
    <s v="RAVELO CARDENAS OSMANY"/>
    <n v="43"/>
    <n v="0"/>
    <n v="2498028"/>
  </r>
  <r>
    <s v="Retail"/>
    <s v="Q115 - Cucuta - Centro"/>
    <x v="9"/>
    <s v="octubre"/>
    <n v="6"/>
    <d v="2026-10-06T00:00:00"/>
    <n v="1004810740"/>
    <s v="PEÑALOZA FLOREZ BLEIMAR "/>
    <n v="43"/>
    <n v="0"/>
    <n v="2435131"/>
  </r>
  <r>
    <s v="Retail"/>
    <s v="Q115 - Cucuta - Centro"/>
    <x v="9"/>
    <s v="octubre"/>
    <n v="6"/>
    <d v="2026-10-06T00:00:00"/>
    <n v="1093735711"/>
    <s v="VESGA MORA LUZ  ANGELICA"/>
    <n v="3"/>
    <n v="0"/>
    <n v="151135"/>
  </r>
  <r>
    <s v="Retail"/>
    <s v="Q115 - Cucuta - Centro"/>
    <x v="9"/>
    <s v="octubre"/>
    <n v="6"/>
    <d v="2026-10-06T00:00:00"/>
    <n v="1094047894"/>
    <s v="VILLAMIZAR  CHINCHILLA JUAN SEBASTIAN "/>
    <n v="-1"/>
    <n v="0"/>
    <n v="-46177"/>
  </r>
  <r>
    <s v="Retail"/>
    <s v="Q115 - Cucuta - Centro"/>
    <x v="9"/>
    <s v="octubre"/>
    <n v="6"/>
    <d v="2026-10-06T00:00:00"/>
    <n v="1115725913"/>
    <s v="NARIÑO GUTIEREZ STEFANY MISHEL"/>
    <n v="2"/>
    <n v="0"/>
    <n v="113361"/>
  </r>
  <r>
    <s v="Retail"/>
    <s v="Q115 - Cucuta - Centro"/>
    <x v="9"/>
    <s v="octubre"/>
    <n v="7"/>
    <d v="2026-10-07T00:00:00"/>
    <m/>
    <m/>
    <n v="0"/>
    <n v="11361924"/>
    <n v="0"/>
  </r>
  <r>
    <s v="Retail"/>
    <s v="Q115 - Cucuta - Centro"/>
    <x v="9"/>
    <s v="octubre"/>
    <n v="7"/>
    <d v="2026-10-07T00:00:00"/>
    <n v="37506130"/>
    <s v="CARRASCAL RIOS DEISY TORCOROMA"/>
    <n v="-1"/>
    <n v="0"/>
    <n v="-105000"/>
  </r>
  <r>
    <s v="Retail"/>
    <s v="Q115 - Cucuta - Centro"/>
    <x v="9"/>
    <s v="octubre"/>
    <n v="7"/>
    <d v="2026-10-07T00:00:00"/>
    <n v="63510426"/>
    <s v="RAVELO CARDENAS OSMANY"/>
    <n v="62"/>
    <n v="0"/>
    <n v="3387987"/>
  </r>
  <r>
    <s v="Retail"/>
    <s v="Q115 - Cucuta - Centro"/>
    <x v="9"/>
    <s v="octubre"/>
    <n v="7"/>
    <d v="2026-10-07T00:00:00"/>
    <n v="1004810740"/>
    <s v="PEÑALOZA FLOREZ BLEIMAR "/>
    <n v="55"/>
    <n v="0"/>
    <n v="3463913"/>
  </r>
  <r>
    <s v="Retail"/>
    <s v="Q115 - Cucuta - Centro"/>
    <x v="9"/>
    <s v="octubre"/>
    <n v="7"/>
    <d v="2026-10-07T00:00:00"/>
    <n v="1093735711"/>
    <s v="VESGA MORA LUZ  ANGELICA"/>
    <n v="2"/>
    <n v="0"/>
    <n v="104958"/>
  </r>
  <r>
    <s v="Retail"/>
    <s v="Q115 - Cucuta - Centro"/>
    <x v="9"/>
    <s v="octubre"/>
    <n v="7"/>
    <d v="2026-10-07T00:00:00"/>
    <n v="1115725913"/>
    <s v="NARIÑO GUTIEREZ STEFANY MISHEL"/>
    <n v="2"/>
    <n v="0"/>
    <n v="67143"/>
  </r>
  <r>
    <s v="Retail"/>
    <s v="Q131-Cucuta-CC Jardin Plaza"/>
    <x v="9"/>
    <s v="septiembre"/>
    <n v="23"/>
    <d v="2026-09-23T00:00:00"/>
    <m/>
    <m/>
    <n v="0"/>
    <n v="15063509"/>
    <n v="0"/>
  </r>
  <r>
    <s v="Retail"/>
    <s v="Q131-Cucuta-CC Jardin Plaza"/>
    <x v="9"/>
    <s v="septiembre"/>
    <n v="23"/>
    <d v="2026-09-23T00:00:00"/>
    <n v="1004846203"/>
    <s v="ALVAREZ AFANADOR SHARICK ELIZABETH"/>
    <n v="16"/>
    <n v="0"/>
    <n v="764035"/>
  </r>
  <r>
    <s v="Retail"/>
    <s v="Q131-Cucuta-CC Jardin Plaza"/>
    <x v="9"/>
    <s v="septiembre"/>
    <n v="23"/>
    <d v="2026-09-23T00:00:00"/>
    <n v="1030040455"/>
    <s v="NERCY ROJAS DIEGO ALBERTO"/>
    <n v="132"/>
    <n v="0"/>
    <n v="6280174"/>
  </r>
  <r>
    <s v="Retail"/>
    <s v="Q131-Cucuta-CC Jardin Plaza"/>
    <x v="9"/>
    <s v="septiembre"/>
    <n v="23"/>
    <d v="2026-09-23T00:00:00"/>
    <n v="1127048399"/>
    <s v="HENRIQUEZ GUALDRON WILSON LEONEL"/>
    <n v="27"/>
    <n v="0"/>
    <n v="1780377"/>
  </r>
  <r>
    <s v="Retail"/>
    <s v="Q131-Cucuta-CC Jardin Plaza"/>
    <x v="9"/>
    <s v="septiembre"/>
    <n v="23"/>
    <d v="2026-09-23T00:00:00"/>
    <n v="1148965693"/>
    <s v="CAMARGO DELGADO JHONAIDER JOSUE"/>
    <n v="90"/>
    <n v="0"/>
    <n v="5359625"/>
  </r>
  <r>
    <s v="Retail"/>
    <s v="Q131-Cucuta-CC Jardin Plaza"/>
    <x v="9"/>
    <s v="septiembre"/>
    <n v="23"/>
    <d v="2026-09-23T00:00:00"/>
    <n v="1193438645"/>
    <s v="CORREA BARBOSA KEVIN JORSEPTH"/>
    <n v="108"/>
    <n v="0"/>
    <n v="5993319"/>
  </r>
  <r>
    <s v="Retail"/>
    <s v="Q131-Cucuta-CC Jardin Plaza"/>
    <x v="9"/>
    <s v="septiembre"/>
    <n v="24"/>
    <d v="2026-09-24T00:00:00"/>
    <m/>
    <m/>
    <n v="0"/>
    <n v="23011207"/>
    <n v="0"/>
  </r>
  <r>
    <s v="Retail"/>
    <s v="Q131-Cucuta-CC Jardin Plaza"/>
    <x v="9"/>
    <s v="septiembre"/>
    <n v="24"/>
    <d v="2026-09-24T00:00:00"/>
    <n v="63510426"/>
    <s v="RAVELO CARDENAS OSMANY"/>
    <n v="-1"/>
    <n v="0"/>
    <n v="-75546"/>
  </r>
  <r>
    <s v="Retail"/>
    <s v="Q131-Cucuta-CC Jardin Plaza"/>
    <x v="9"/>
    <s v="septiembre"/>
    <n v="24"/>
    <d v="2026-09-24T00:00:00"/>
    <n v="1004846203"/>
    <s v="ALVAREZ AFANADOR SHARICK ELIZABETH"/>
    <n v="39"/>
    <n v="0"/>
    <n v="2002565"/>
  </r>
  <r>
    <s v="Retail"/>
    <s v="Q131-Cucuta-CC Jardin Plaza"/>
    <x v="9"/>
    <s v="septiembre"/>
    <n v="24"/>
    <d v="2026-09-24T00:00:00"/>
    <n v="1030040455"/>
    <s v="NERCY ROJAS DIEGO ALBERTO"/>
    <n v="101"/>
    <n v="0"/>
    <n v="6088240"/>
  </r>
  <r>
    <s v="Retail"/>
    <s v="Q131-Cucuta-CC Jardin Plaza"/>
    <x v="9"/>
    <s v="septiembre"/>
    <n v="24"/>
    <d v="2026-09-24T00:00:00"/>
    <n v="1127048399"/>
    <s v="HENRIQUEZ GUALDRON WILSON LEONEL"/>
    <n v="24"/>
    <n v="0"/>
    <n v="1622942"/>
  </r>
  <r>
    <s v="Retail"/>
    <s v="Q131-Cucuta-CC Jardin Plaza"/>
    <x v="9"/>
    <s v="septiembre"/>
    <n v="24"/>
    <d v="2026-09-24T00:00:00"/>
    <n v="1148965693"/>
    <s v="CAMARGO DELGADO JHONAIDER JOSUE"/>
    <n v="79"/>
    <n v="0"/>
    <n v="4488238"/>
  </r>
  <r>
    <s v="Retail"/>
    <s v="Q131-Cucuta-CC Jardin Plaza"/>
    <x v="9"/>
    <s v="septiembre"/>
    <n v="24"/>
    <d v="2026-09-24T00:00:00"/>
    <n v="1193438645"/>
    <s v="CORREA BARBOSA KEVIN JORSEPTH"/>
    <n v="62"/>
    <n v="0"/>
    <n v="3575708"/>
  </r>
  <r>
    <s v="Retail"/>
    <s v="Q131-Cucuta-CC Jardin Plaza"/>
    <x v="9"/>
    <s v="septiembre"/>
    <n v="25"/>
    <d v="2026-09-25T00:00:00"/>
    <m/>
    <m/>
    <n v="0"/>
    <n v="22960263"/>
    <n v="0"/>
  </r>
  <r>
    <s v="Retail"/>
    <s v="Q131-Cucuta-CC Jardin Plaza"/>
    <x v="9"/>
    <s v="septiembre"/>
    <n v="25"/>
    <d v="2026-09-25T00:00:00"/>
    <n v="1004846203"/>
    <s v="ALVAREZ AFANADOR SHARICK ELIZABETH"/>
    <n v="31"/>
    <n v="0"/>
    <n v="1729790"/>
  </r>
  <r>
    <s v="Retail"/>
    <s v="Q131-Cucuta-CC Jardin Plaza"/>
    <x v="9"/>
    <s v="septiembre"/>
    <n v="25"/>
    <d v="2026-09-25T00:00:00"/>
    <n v="1030040455"/>
    <s v="NERCY ROJAS DIEGO ALBERTO"/>
    <n v="104"/>
    <n v="0"/>
    <n v="6445045"/>
  </r>
  <r>
    <s v="Retail"/>
    <s v="Q131-Cucuta-CC Jardin Plaza"/>
    <x v="9"/>
    <s v="septiembre"/>
    <n v="25"/>
    <d v="2026-09-25T00:00:00"/>
    <n v="1127048399"/>
    <s v="HENRIQUEZ GUALDRON WILSON LEONEL"/>
    <n v="33"/>
    <n v="0"/>
    <n v="1950254"/>
  </r>
  <r>
    <s v="Retail"/>
    <s v="Q131-Cucuta-CC Jardin Plaza"/>
    <x v="9"/>
    <s v="septiembre"/>
    <n v="25"/>
    <d v="2026-09-25T00:00:00"/>
    <n v="1148965693"/>
    <s v="CAMARGO DELGADO JHONAIDER JOSUE"/>
    <n v="104"/>
    <n v="0"/>
    <n v="5350674"/>
  </r>
  <r>
    <s v="Retail"/>
    <s v="Q131-Cucuta-CC Jardin Plaza"/>
    <x v="9"/>
    <s v="septiembre"/>
    <n v="25"/>
    <d v="2026-09-25T00:00:00"/>
    <n v="1193438645"/>
    <s v="CORREA BARBOSA KEVIN JORSEPTH"/>
    <n v="75"/>
    <n v="0"/>
    <n v="4129205"/>
  </r>
  <r>
    <s v="Retail"/>
    <s v="Q131-Cucuta-CC Jardin Plaza"/>
    <x v="9"/>
    <s v="septiembre"/>
    <n v="26"/>
    <d v="2026-09-26T00:00:00"/>
    <m/>
    <m/>
    <n v="0"/>
    <n v="32997201"/>
    <n v="0"/>
  </r>
  <r>
    <s v="Retail"/>
    <s v="Q131-Cucuta-CC Jardin Plaza"/>
    <x v="9"/>
    <s v="septiembre"/>
    <n v="26"/>
    <d v="2026-09-26T00:00:00"/>
    <n v="1004846203"/>
    <s v="ALVAREZ AFANADOR SHARICK ELIZABETH"/>
    <n v="47"/>
    <n v="0"/>
    <n v="2790046"/>
  </r>
  <r>
    <s v="Retail"/>
    <s v="Q131-Cucuta-CC Jardin Plaza"/>
    <x v="9"/>
    <s v="septiembre"/>
    <n v="26"/>
    <d v="2026-09-26T00:00:00"/>
    <n v="1030040455"/>
    <s v="NERCY ROJAS DIEGO ALBERTO"/>
    <n v="114"/>
    <n v="0"/>
    <n v="7091687"/>
  </r>
  <r>
    <s v="Retail"/>
    <s v="Q131-Cucuta-CC Jardin Plaza"/>
    <x v="9"/>
    <s v="septiembre"/>
    <n v="26"/>
    <d v="2026-09-26T00:00:00"/>
    <n v="1127048399"/>
    <s v="HENRIQUEZ GUALDRON WILSON LEONEL"/>
    <n v="42"/>
    <n v="0"/>
    <n v="2426810"/>
  </r>
  <r>
    <s v="Retail"/>
    <s v="Q131-Cucuta-CC Jardin Plaza"/>
    <x v="9"/>
    <s v="septiembre"/>
    <n v="26"/>
    <d v="2026-09-26T00:00:00"/>
    <n v="1148965693"/>
    <s v="CAMARGO DELGADO JHONAIDER JOSUE"/>
    <n v="102"/>
    <n v="0"/>
    <n v="6052317"/>
  </r>
  <r>
    <s v="Retail"/>
    <s v="Q131-Cucuta-CC Jardin Plaza"/>
    <x v="9"/>
    <s v="septiembre"/>
    <n v="26"/>
    <d v="2026-09-26T00:00:00"/>
    <n v="1193438645"/>
    <s v="CORREA BARBOSA KEVIN JORSEPTH"/>
    <n v="91"/>
    <n v="0"/>
    <n v="5617943"/>
  </r>
  <r>
    <s v="Retail"/>
    <s v="Q131-Cucuta-CC Jardin Plaza"/>
    <x v="9"/>
    <s v="septiembre"/>
    <n v="27"/>
    <d v="2026-09-27T00:00:00"/>
    <m/>
    <m/>
    <n v="0"/>
    <n v="26140426"/>
    <n v="0"/>
  </r>
  <r>
    <s v="Retail"/>
    <s v="Q131-Cucuta-CC Jardin Plaza"/>
    <x v="9"/>
    <s v="septiembre"/>
    <n v="27"/>
    <d v="2026-09-27T00:00:00"/>
    <n v="1004846203"/>
    <s v="ALVAREZ AFANADOR SHARICK ELIZABETH"/>
    <n v="64"/>
    <n v="0"/>
    <n v="3661096"/>
  </r>
  <r>
    <s v="Retail"/>
    <s v="Q131-Cucuta-CC Jardin Plaza"/>
    <x v="9"/>
    <s v="septiembre"/>
    <n v="27"/>
    <d v="2026-09-27T00:00:00"/>
    <n v="1030040455"/>
    <s v="NERCY ROJAS DIEGO ALBERTO"/>
    <n v="150"/>
    <n v="0"/>
    <n v="9357110"/>
  </r>
  <r>
    <s v="Retail"/>
    <s v="Q131-Cucuta-CC Jardin Plaza"/>
    <x v="9"/>
    <s v="septiembre"/>
    <n v="27"/>
    <d v="2026-09-27T00:00:00"/>
    <n v="1127048399"/>
    <s v="HENRIQUEZ GUALDRON WILSON LEONEL"/>
    <n v="78"/>
    <n v="0"/>
    <n v="4358031"/>
  </r>
  <r>
    <s v="Retail"/>
    <s v="Q131-Cucuta-CC Jardin Plaza"/>
    <x v="9"/>
    <s v="septiembre"/>
    <n v="27"/>
    <d v="2026-09-27T00:00:00"/>
    <n v="1148965693"/>
    <s v="CAMARGO DELGADO JHONAIDER JOSUE"/>
    <n v="191"/>
    <n v="0"/>
    <n v="10920394"/>
  </r>
  <r>
    <s v="Retail"/>
    <s v="Q131-Cucuta-CC Jardin Plaza"/>
    <x v="9"/>
    <s v="septiembre"/>
    <n v="27"/>
    <d v="2026-09-27T00:00:00"/>
    <n v="1193438645"/>
    <s v="CORREA BARBOSA KEVIN JORSEPTH"/>
    <n v="128"/>
    <n v="0"/>
    <n v="7769798"/>
  </r>
  <r>
    <s v="Retail"/>
    <s v="Q131-Cucuta-CC Jardin Plaza"/>
    <x v="9"/>
    <s v="septiembre"/>
    <n v="28"/>
    <d v="2026-09-28T00:00:00"/>
    <m/>
    <m/>
    <n v="0"/>
    <n v="14386617"/>
    <n v="0"/>
  </r>
  <r>
    <s v="Retail"/>
    <s v="Q131-Cucuta-CC Jardin Plaza"/>
    <x v="9"/>
    <s v="septiembre"/>
    <n v="28"/>
    <d v="2026-09-28T00:00:00"/>
    <n v="1004846203"/>
    <s v="ALVAREZ AFANADOR SHARICK ELIZABETH"/>
    <n v="11"/>
    <n v="0"/>
    <n v="726431"/>
  </r>
  <r>
    <s v="Retail"/>
    <s v="Q131-Cucuta-CC Jardin Plaza"/>
    <x v="9"/>
    <s v="septiembre"/>
    <n v="28"/>
    <d v="2026-09-28T00:00:00"/>
    <n v="1030040455"/>
    <s v="NERCY ROJAS DIEGO ALBERTO"/>
    <n v="42"/>
    <n v="0"/>
    <n v="2834287"/>
  </r>
  <r>
    <s v="Retail"/>
    <s v="Q131-Cucuta-CC Jardin Plaza"/>
    <x v="9"/>
    <s v="septiembre"/>
    <n v="28"/>
    <d v="2026-09-28T00:00:00"/>
    <n v="1148965693"/>
    <s v="CAMARGO DELGADO JHONAIDER JOSUE"/>
    <n v="35"/>
    <n v="0"/>
    <n v="2153994"/>
  </r>
  <r>
    <s v="Retail"/>
    <s v="Q131-Cucuta-CC Jardin Plaza"/>
    <x v="9"/>
    <s v="septiembre"/>
    <n v="28"/>
    <d v="2026-09-28T00:00:00"/>
    <n v="1193438645"/>
    <s v="CORREA BARBOSA KEVIN JORSEPTH"/>
    <n v="35"/>
    <n v="0"/>
    <n v="2200215"/>
  </r>
  <r>
    <s v="Retail"/>
    <s v="Q131-Cucuta-CC Jardin Plaza"/>
    <x v="9"/>
    <s v="septiembre"/>
    <n v="29"/>
    <d v="2026-09-29T00:00:00"/>
    <m/>
    <m/>
    <n v="0"/>
    <n v="15367724"/>
    <n v="0"/>
  </r>
  <r>
    <s v="Retail"/>
    <s v="Q131-Cucuta-CC Jardin Plaza"/>
    <x v="9"/>
    <s v="septiembre"/>
    <n v="29"/>
    <d v="2026-09-29T00:00:00"/>
    <n v="1030040455"/>
    <s v="NERCY ROJAS DIEGO ALBERTO"/>
    <n v="10"/>
    <n v="0"/>
    <n v="554244"/>
  </r>
  <r>
    <s v="Retail"/>
    <s v="Q131-Cucuta-CC Jardin Plaza"/>
    <x v="9"/>
    <s v="septiembre"/>
    <n v="29"/>
    <d v="2026-09-29T00:00:00"/>
    <n v="1127048399"/>
    <s v="HENRIQUEZ GUALDRON WILSON LEONEL"/>
    <n v="3"/>
    <n v="0"/>
    <n v="134328"/>
  </r>
  <r>
    <s v="Retail"/>
    <s v="Q131-Cucuta-CC Jardin Plaza"/>
    <x v="9"/>
    <s v="septiembre"/>
    <n v="29"/>
    <d v="2026-09-29T00:00:00"/>
    <n v="1148965693"/>
    <s v="CAMARGO DELGADO JHONAIDER JOSUE"/>
    <n v="32"/>
    <n v="0"/>
    <n v="1969246"/>
  </r>
  <r>
    <s v="Retail"/>
    <s v="Q131-Cucuta-CC Jardin Plaza"/>
    <x v="9"/>
    <s v="septiembre"/>
    <n v="29"/>
    <d v="2026-09-29T00:00:00"/>
    <n v="1193438645"/>
    <s v="CORREA BARBOSA KEVIN JORSEPTH"/>
    <n v="57"/>
    <n v="0"/>
    <n v="3220254"/>
  </r>
  <r>
    <s v="Retail"/>
    <s v="Q131-Cucuta-CC Jardin Plaza"/>
    <x v="9"/>
    <s v="septiembre"/>
    <n v="30"/>
    <d v="2026-09-30T00:00:00"/>
    <m/>
    <m/>
    <n v="0"/>
    <n v="15875132"/>
    <n v="0"/>
  </r>
  <r>
    <s v="Retail"/>
    <s v="Q131-Cucuta-CC Jardin Plaza"/>
    <x v="9"/>
    <s v="septiembre"/>
    <n v="30"/>
    <d v="2026-09-30T00:00:00"/>
    <n v="1004846203"/>
    <s v="ALVAREZ AFANADOR SHARICK ELIZABETH"/>
    <n v="12"/>
    <n v="0"/>
    <n v="776807"/>
  </r>
  <r>
    <s v="Retail"/>
    <s v="Q131-Cucuta-CC Jardin Plaza"/>
    <x v="9"/>
    <s v="septiembre"/>
    <n v="30"/>
    <d v="2026-09-30T00:00:00"/>
    <n v="1030040455"/>
    <s v="NERCY ROJAS DIEGO ALBERTO"/>
    <n v="16"/>
    <n v="0"/>
    <n v="782986"/>
  </r>
  <r>
    <s v="Retail"/>
    <s v="Q131-Cucuta-CC Jardin Plaza"/>
    <x v="9"/>
    <s v="septiembre"/>
    <n v="30"/>
    <d v="2026-09-30T00:00:00"/>
    <n v="1127048399"/>
    <s v="HENRIQUEZ GUALDRON WILSON LEONEL"/>
    <n v="8"/>
    <n v="0"/>
    <n v="306387"/>
  </r>
  <r>
    <s v="Retail"/>
    <s v="Q131-Cucuta-CC Jardin Plaza"/>
    <x v="9"/>
    <s v="septiembre"/>
    <n v="30"/>
    <d v="2026-09-30T00:00:00"/>
    <n v="1148965693"/>
    <s v="CAMARGO DELGADO JHONAIDER JOSUE"/>
    <n v="44"/>
    <n v="0"/>
    <n v="2330045"/>
  </r>
  <r>
    <s v="Retail"/>
    <s v="Q131-Cucuta-CC Jardin Plaza"/>
    <x v="9"/>
    <s v="septiembre"/>
    <n v="30"/>
    <d v="2026-09-30T00:00:00"/>
    <n v="1193438645"/>
    <s v="CORREA BARBOSA KEVIN JORSEPTH"/>
    <n v="62"/>
    <n v="0"/>
    <n v="4062487"/>
  </r>
  <r>
    <s v="Retail"/>
    <s v="Q131-Cucuta-CC Jardin Plaza"/>
    <x v="9"/>
    <s v="octubre"/>
    <n v="1"/>
    <d v="2026-10-01T00:00:00"/>
    <m/>
    <m/>
    <n v="0"/>
    <n v="14531468"/>
    <n v="0"/>
  </r>
  <r>
    <s v="Retail"/>
    <s v="Q131-Cucuta-CC Jardin Plaza"/>
    <x v="9"/>
    <s v="octubre"/>
    <n v="1"/>
    <d v="2026-10-01T00:00:00"/>
    <n v="1004846203"/>
    <s v="ALVAREZ AFANADOR SHARICK ELIZABETH"/>
    <n v="6"/>
    <n v="0"/>
    <n v="428320"/>
  </r>
  <r>
    <s v="Retail"/>
    <s v="Q131-Cucuta-CC Jardin Plaza"/>
    <x v="9"/>
    <s v="octubre"/>
    <n v="1"/>
    <d v="2026-10-01T00:00:00"/>
    <n v="1030040455"/>
    <s v="NERCY ROJAS DIEGO ALBERTO"/>
    <n v="47"/>
    <n v="0"/>
    <n v="3153493"/>
  </r>
  <r>
    <s v="Retail"/>
    <s v="Q131-Cucuta-CC Jardin Plaza"/>
    <x v="9"/>
    <s v="octubre"/>
    <n v="1"/>
    <d v="2026-10-01T00:00:00"/>
    <n v="1127048399"/>
    <s v="HENRIQUEZ GUALDRON WILSON LEONEL"/>
    <n v="21"/>
    <n v="0"/>
    <n v="1377228"/>
  </r>
  <r>
    <s v="Retail"/>
    <s v="Q131-Cucuta-CC Jardin Plaza"/>
    <x v="9"/>
    <s v="octubre"/>
    <n v="1"/>
    <d v="2026-10-01T00:00:00"/>
    <n v="1148965693"/>
    <s v="CAMARGO DELGADO JHONAIDER JOSUE"/>
    <n v="37"/>
    <n v="0"/>
    <n v="2172776"/>
  </r>
  <r>
    <s v="Retail"/>
    <s v="Q131-Cucuta-CC Jardin Plaza"/>
    <x v="9"/>
    <s v="octubre"/>
    <n v="1"/>
    <d v="2026-10-01T00:00:00"/>
    <n v="1193438645"/>
    <s v="CORREA BARBOSA KEVIN JORSEPTH"/>
    <n v="32"/>
    <n v="0"/>
    <n v="1738113"/>
  </r>
  <r>
    <s v="Retail"/>
    <s v="Q131-Cucuta-CC Jardin Plaza"/>
    <x v="9"/>
    <s v="octubre"/>
    <n v="2"/>
    <d v="2026-10-02T00:00:00"/>
    <m/>
    <m/>
    <n v="0"/>
    <n v="14313290"/>
    <n v="0"/>
  </r>
  <r>
    <s v="Retail"/>
    <s v="Q131-Cucuta-CC Jardin Plaza"/>
    <x v="9"/>
    <s v="octubre"/>
    <n v="2"/>
    <d v="2026-10-02T00:00:00"/>
    <n v="1004846203"/>
    <s v="ALVAREZ AFANADOR SHARICK ELIZABETH"/>
    <n v="11"/>
    <n v="0"/>
    <n v="516345"/>
  </r>
  <r>
    <s v="Retail"/>
    <s v="Q131-Cucuta-CC Jardin Plaza"/>
    <x v="9"/>
    <s v="octubre"/>
    <n v="2"/>
    <d v="2026-10-02T00:00:00"/>
    <n v="1030040455"/>
    <s v="NERCY ROJAS DIEGO ALBERTO"/>
    <n v="59"/>
    <n v="0"/>
    <n v="3568872"/>
  </r>
  <r>
    <s v="Retail"/>
    <s v="Q131-Cucuta-CC Jardin Plaza"/>
    <x v="9"/>
    <s v="octubre"/>
    <n v="2"/>
    <d v="2026-10-02T00:00:00"/>
    <n v="1127048399"/>
    <s v="HENRIQUEZ GUALDRON WILSON LEONEL"/>
    <n v="17"/>
    <n v="0"/>
    <n v="1032900"/>
  </r>
  <r>
    <s v="Retail"/>
    <s v="Q131-Cucuta-CC Jardin Plaza"/>
    <x v="9"/>
    <s v="octubre"/>
    <n v="2"/>
    <d v="2026-10-02T00:00:00"/>
    <n v="1148965693"/>
    <s v="CAMARGO DELGADO JHONAIDER JOSUE"/>
    <n v="53"/>
    <n v="0"/>
    <n v="3081642"/>
  </r>
  <r>
    <s v="Retail"/>
    <s v="Q131-Cucuta-CC Jardin Plaza"/>
    <x v="9"/>
    <s v="octubre"/>
    <n v="2"/>
    <d v="2026-10-02T00:00:00"/>
    <n v="1193438645"/>
    <s v="CORREA BARBOSA KEVIN JORSEPTH"/>
    <n v="31"/>
    <n v="0"/>
    <n v="1992398"/>
  </r>
  <r>
    <s v="Retail"/>
    <s v="Q131-Cucuta-CC Jardin Plaza"/>
    <x v="9"/>
    <s v="octubre"/>
    <n v="3"/>
    <d v="2026-10-03T00:00:00"/>
    <m/>
    <m/>
    <n v="0"/>
    <n v="21328225"/>
    <n v="0"/>
  </r>
  <r>
    <s v="Retail"/>
    <s v="Q131-Cucuta-CC Jardin Plaza"/>
    <x v="9"/>
    <s v="octubre"/>
    <n v="3"/>
    <d v="2026-10-03T00:00:00"/>
    <n v="1004846203"/>
    <s v="ALVAREZ AFANADOR SHARICK ELIZABETH"/>
    <n v="50"/>
    <n v="0"/>
    <n v="2687113"/>
  </r>
  <r>
    <s v="Retail"/>
    <s v="Q131-Cucuta-CC Jardin Plaza"/>
    <x v="9"/>
    <s v="octubre"/>
    <n v="3"/>
    <d v="2026-10-03T00:00:00"/>
    <n v="1030040455"/>
    <s v="NERCY ROJAS DIEGO ALBERTO"/>
    <n v="137"/>
    <n v="0"/>
    <n v="8282116"/>
  </r>
  <r>
    <s v="Retail"/>
    <s v="Q131-Cucuta-CC Jardin Plaza"/>
    <x v="9"/>
    <s v="octubre"/>
    <n v="3"/>
    <d v="2026-10-03T00:00:00"/>
    <n v="1127048399"/>
    <s v="HENRIQUEZ GUALDRON WILSON LEONEL"/>
    <n v="35"/>
    <n v="0"/>
    <n v="1722209"/>
  </r>
  <r>
    <s v="Retail"/>
    <s v="Q131-Cucuta-CC Jardin Plaza"/>
    <x v="9"/>
    <s v="octubre"/>
    <n v="3"/>
    <d v="2026-10-03T00:00:00"/>
    <n v="1148965693"/>
    <s v="CAMARGO DELGADO JHONAIDER JOSUE"/>
    <n v="102"/>
    <n v="0"/>
    <n v="6072881"/>
  </r>
  <r>
    <s v="Retail"/>
    <s v="Q131-Cucuta-CC Jardin Plaza"/>
    <x v="9"/>
    <s v="octubre"/>
    <n v="3"/>
    <d v="2026-10-03T00:00:00"/>
    <n v="1193438645"/>
    <s v="CORREA BARBOSA KEVIN JORSEPTH"/>
    <n v="90"/>
    <n v="0"/>
    <n v="4924491"/>
  </r>
  <r>
    <s v="Retail"/>
    <s v="Q131-Cucuta-CC Jardin Plaza"/>
    <x v="9"/>
    <s v="octubre"/>
    <n v="4"/>
    <d v="2026-10-04T00:00:00"/>
    <m/>
    <m/>
    <n v="0"/>
    <n v="21165409"/>
    <n v="0"/>
  </r>
  <r>
    <s v="Retail"/>
    <s v="Q131-Cucuta-CC Jardin Plaza"/>
    <x v="9"/>
    <s v="octubre"/>
    <n v="4"/>
    <d v="2026-10-04T00:00:00"/>
    <n v="1004846203"/>
    <s v="ALVAREZ AFANADOR SHARICK ELIZABETH"/>
    <n v="60"/>
    <n v="0"/>
    <n v="3541560"/>
  </r>
  <r>
    <s v="Retail"/>
    <s v="Q131-Cucuta-CC Jardin Plaza"/>
    <x v="9"/>
    <s v="octubre"/>
    <n v="4"/>
    <d v="2026-10-04T00:00:00"/>
    <n v="1030040455"/>
    <s v="NERCY ROJAS DIEGO ALBERTO"/>
    <n v="127"/>
    <n v="0"/>
    <n v="8082868"/>
  </r>
  <r>
    <s v="Retail"/>
    <s v="Q131-Cucuta-CC Jardin Plaza"/>
    <x v="9"/>
    <s v="octubre"/>
    <n v="4"/>
    <d v="2026-10-04T00:00:00"/>
    <n v="1127048399"/>
    <s v="HENRIQUEZ GUALDRON WILSON LEONEL"/>
    <n v="62"/>
    <n v="0"/>
    <n v="4196937"/>
  </r>
  <r>
    <s v="Retail"/>
    <s v="Q131-Cucuta-CC Jardin Plaza"/>
    <x v="9"/>
    <s v="octubre"/>
    <n v="4"/>
    <d v="2026-10-04T00:00:00"/>
    <n v="1148965693"/>
    <s v="CAMARGO DELGADO JHONAIDER JOSUE"/>
    <n v="110"/>
    <n v="0"/>
    <n v="6747490"/>
  </r>
  <r>
    <s v="Retail"/>
    <s v="Q131-Cucuta-CC Jardin Plaza"/>
    <x v="9"/>
    <s v="octubre"/>
    <n v="4"/>
    <d v="2026-10-04T00:00:00"/>
    <n v="1193438645"/>
    <s v="CORREA BARBOSA KEVIN JORSEPTH"/>
    <n v="89"/>
    <n v="0"/>
    <n v="5674837"/>
  </r>
  <r>
    <s v="Retail"/>
    <s v="Q131-Cucuta-CC Jardin Plaza"/>
    <x v="9"/>
    <s v="octubre"/>
    <n v="5"/>
    <d v="2026-10-05T00:00:00"/>
    <m/>
    <m/>
    <n v="0"/>
    <n v="4335906"/>
    <n v="0"/>
  </r>
  <r>
    <s v="Retail"/>
    <s v="Q131-Cucuta-CC Jardin Plaza"/>
    <x v="9"/>
    <s v="octubre"/>
    <n v="5"/>
    <d v="2026-10-05T00:00:00"/>
    <n v="1004846203"/>
    <s v="ALVAREZ AFANADOR SHARICK ELIZABETH"/>
    <n v="11"/>
    <n v="0"/>
    <n v="621388"/>
  </r>
  <r>
    <s v="Retail"/>
    <s v="Q131-Cucuta-CC Jardin Plaza"/>
    <x v="9"/>
    <s v="octubre"/>
    <n v="5"/>
    <d v="2026-10-05T00:00:00"/>
    <n v="1004879853"/>
    <s v="MUÑOZ ANGARITA ANGIE KATHERINE"/>
    <n v="-1"/>
    <n v="0"/>
    <n v="-58781"/>
  </r>
  <r>
    <s v="Retail"/>
    <s v="Q131-Cucuta-CC Jardin Plaza"/>
    <x v="9"/>
    <s v="octubre"/>
    <n v="5"/>
    <d v="2026-10-05T00:00:00"/>
    <n v="1030040455"/>
    <s v="NERCY ROJAS DIEGO ALBERTO"/>
    <n v="29"/>
    <n v="0"/>
    <n v="1723530"/>
  </r>
  <r>
    <s v="Retail"/>
    <s v="Q131-Cucuta-CC Jardin Plaza"/>
    <x v="9"/>
    <s v="octubre"/>
    <n v="5"/>
    <d v="2026-10-05T00:00:00"/>
    <n v="1127048399"/>
    <s v="HENRIQUEZ GUALDRON WILSON LEONEL"/>
    <n v="9"/>
    <n v="0"/>
    <n v="627774"/>
  </r>
  <r>
    <s v="Retail"/>
    <s v="Q131-Cucuta-CC Jardin Plaza"/>
    <x v="9"/>
    <s v="octubre"/>
    <n v="5"/>
    <d v="2026-10-05T00:00:00"/>
    <n v="1148965693"/>
    <s v="CAMARGO DELGADO JHONAIDER JOSUE"/>
    <n v="24"/>
    <n v="0"/>
    <n v="1513642"/>
  </r>
  <r>
    <s v="Retail"/>
    <s v="Q131-Cucuta-CC Jardin Plaza"/>
    <x v="9"/>
    <s v="octubre"/>
    <n v="5"/>
    <d v="2026-10-05T00:00:00"/>
    <n v="1193438645"/>
    <s v="CORREA BARBOSA KEVIN JORSEPTH"/>
    <n v="35"/>
    <n v="0"/>
    <n v="1962821"/>
  </r>
  <r>
    <s v="Retail"/>
    <s v="Q131-Cucuta-CC Jardin Plaza"/>
    <x v="9"/>
    <s v="octubre"/>
    <n v="6"/>
    <d v="2026-10-06T00:00:00"/>
    <m/>
    <m/>
    <n v="0"/>
    <n v="3779943"/>
    <n v="0"/>
  </r>
  <r>
    <s v="Retail"/>
    <s v="Q131-Cucuta-CC Jardin Plaza"/>
    <x v="9"/>
    <s v="octubre"/>
    <n v="6"/>
    <d v="2026-10-06T00:00:00"/>
    <n v="1004846203"/>
    <s v="ALVAREZ AFANADOR SHARICK ELIZABETH"/>
    <n v="3"/>
    <n v="0"/>
    <n v="172143"/>
  </r>
  <r>
    <s v="Retail"/>
    <s v="Q131-Cucuta-CC Jardin Plaza"/>
    <x v="9"/>
    <s v="octubre"/>
    <n v="6"/>
    <d v="2026-10-06T00:00:00"/>
    <n v="1030040455"/>
    <s v="NERCY ROJAS DIEGO ALBERTO"/>
    <n v="34"/>
    <n v="0"/>
    <n v="1885086"/>
  </r>
  <r>
    <s v="Retail"/>
    <s v="Q131-Cucuta-CC Jardin Plaza"/>
    <x v="9"/>
    <s v="octubre"/>
    <n v="6"/>
    <d v="2026-10-06T00:00:00"/>
    <n v="1127048399"/>
    <s v="HENRIQUEZ GUALDRON WILSON LEONEL"/>
    <n v="-1"/>
    <n v="0"/>
    <n v="-37773"/>
  </r>
  <r>
    <s v="Retail"/>
    <s v="Q131-Cucuta-CC Jardin Plaza"/>
    <x v="9"/>
    <s v="octubre"/>
    <n v="6"/>
    <d v="2026-10-06T00:00:00"/>
    <n v="1148965693"/>
    <s v="CAMARGO DELGADO JHONAIDER JOSUE"/>
    <n v="31"/>
    <n v="0"/>
    <n v="1521767"/>
  </r>
  <r>
    <s v="Retail"/>
    <s v="Q131-Cucuta-CC Jardin Plaza"/>
    <x v="9"/>
    <s v="octubre"/>
    <n v="6"/>
    <d v="2026-10-06T00:00:00"/>
    <n v="1193438645"/>
    <s v="CORREA BARBOSA KEVIN JORSEPTH"/>
    <n v="24"/>
    <n v="0"/>
    <n v="1280508"/>
  </r>
  <r>
    <s v="Retail"/>
    <s v="Q131-Cucuta-CC Jardin Plaza"/>
    <x v="9"/>
    <s v="octubre"/>
    <n v="7"/>
    <d v="2026-10-07T00:00:00"/>
    <m/>
    <m/>
    <n v="0"/>
    <n v="3730207"/>
    <n v="0"/>
  </r>
  <r>
    <s v="Retail"/>
    <s v="Q131-Cucuta-CC Jardin Plaza"/>
    <x v="9"/>
    <s v="octubre"/>
    <n v="7"/>
    <d v="2026-10-07T00:00:00"/>
    <n v="1004846203"/>
    <s v="ALVAREZ AFANADOR SHARICK ELIZABETH"/>
    <n v="30"/>
    <n v="0"/>
    <n v="1994456"/>
  </r>
  <r>
    <s v="Retail"/>
    <s v="Q131-Cucuta-CC Jardin Plaza"/>
    <x v="9"/>
    <s v="octubre"/>
    <n v="7"/>
    <d v="2026-10-07T00:00:00"/>
    <n v="1030040455"/>
    <s v="NERCY ROJAS DIEGO ALBERTO"/>
    <n v="50"/>
    <n v="0"/>
    <n v="3052315"/>
  </r>
  <r>
    <s v="Retail"/>
    <s v="Q131-Cucuta-CC Jardin Plaza"/>
    <x v="9"/>
    <s v="octubre"/>
    <n v="7"/>
    <d v="2026-10-07T00:00:00"/>
    <n v="1127048399"/>
    <s v="HENRIQUEZ GUALDRON WILSON LEONEL"/>
    <n v="3"/>
    <n v="0"/>
    <n v="104916"/>
  </r>
  <r>
    <s v="Retail"/>
    <s v="Q131-Cucuta-CC Jardin Plaza"/>
    <x v="9"/>
    <s v="octubre"/>
    <n v="7"/>
    <d v="2026-10-07T00:00:00"/>
    <n v="1148965693"/>
    <s v="CAMARGO DELGADO JHONAIDER JOSUE"/>
    <n v="35"/>
    <n v="0"/>
    <n v="1836474"/>
  </r>
  <r>
    <s v="Retail"/>
    <s v="Q131-Cucuta-CC Jardin Plaza"/>
    <x v="9"/>
    <s v="octubre"/>
    <n v="7"/>
    <d v="2026-10-07T00:00:00"/>
    <n v="1193438645"/>
    <s v="CORREA BARBOSA KEVIN JORSEPTH"/>
    <n v="58"/>
    <n v="0"/>
    <n v="2929963"/>
  </r>
  <r>
    <s v="Retail"/>
    <s v="Q157 - Riohacha - CC Viva Wajira"/>
    <x v="9"/>
    <s v="septiembre"/>
    <n v="23"/>
    <d v="2026-09-23T00:00:00"/>
    <m/>
    <m/>
    <n v="0"/>
    <n v="5168746"/>
    <n v="0"/>
  </r>
  <r>
    <s v="Retail"/>
    <s v="Q157 - Riohacha - CC Viva Wajira"/>
    <x v="9"/>
    <s v="septiembre"/>
    <n v="23"/>
    <d v="2026-09-23T00:00:00"/>
    <n v="1006572292"/>
    <s v="BRAVO OROZCO DAYANA PAOLA"/>
    <n v="53"/>
    <n v="0"/>
    <n v="1336724"/>
  </r>
  <r>
    <s v="Retail"/>
    <s v="Q157 - Riohacha - CC Viva Wajira"/>
    <x v="9"/>
    <s v="septiembre"/>
    <n v="23"/>
    <d v="2026-09-23T00:00:00"/>
    <n v="1118816729"/>
    <s v="QUINTERO OBREDOR RORAIMA "/>
    <n v="59"/>
    <n v="0"/>
    <n v="1691851"/>
  </r>
  <r>
    <s v="Retail"/>
    <s v="Q157 - Riohacha - CC Viva Wajira"/>
    <x v="9"/>
    <s v="septiembre"/>
    <n v="23"/>
    <d v="2026-09-23T00:00:00"/>
    <n v="1118836017"/>
    <s v="PELAEZ BOHORQUEZ LUZ STELLA"/>
    <n v="101"/>
    <n v="0"/>
    <n v="2140171"/>
  </r>
  <r>
    <s v="Retail"/>
    <s v="Q157 - Riohacha - CC Viva Wajira"/>
    <x v="9"/>
    <s v="septiembre"/>
    <n v="24"/>
    <d v="2026-09-24T00:00:00"/>
    <m/>
    <m/>
    <n v="0"/>
    <n v="7725008"/>
    <n v="0"/>
  </r>
  <r>
    <s v="Retail"/>
    <s v="Q157 - Riohacha - CC Viva Wajira"/>
    <x v="9"/>
    <s v="septiembre"/>
    <n v="24"/>
    <d v="2026-09-24T00:00:00"/>
    <n v="1006572292"/>
    <s v="BRAVO OROZCO DAYANA PAOLA"/>
    <n v="24"/>
    <n v="0"/>
    <n v="1221555"/>
  </r>
  <r>
    <s v="Retail"/>
    <s v="Q157 - Riohacha - CC Viva Wajira"/>
    <x v="9"/>
    <s v="septiembre"/>
    <n v="24"/>
    <d v="2026-09-24T00:00:00"/>
    <n v="1118816729"/>
    <s v="QUINTERO OBREDOR RORAIMA "/>
    <n v="71"/>
    <n v="0"/>
    <n v="3158283"/>
  </r>
  <r>
    <s v="Retail"/>
    <s v="Q157 - Riohacha - CC Viva Wajira"/>
    <x v="9"/>
    <s v="septiembre"/>
    <n v="24"/>
    <d v="2026-09-24T00:00:00"/>
    <n v="1118836017"/>
    <s v="PELAEZ BOHORQUEZ LUZ STELLA"/>
    <n v="69"/>
    <n v="0"/>
    <n v="3345170"/>
  </r>
  <r>
    <s v="Retail"/>
    <s v="Q157 - Riohacha - CC Viva Wajira"/>
    <x v="9"/>
    <s v="septiembre"/>
    <n v="25"/>
    <d v="2026-09-25T00:00:00"/>
    <m/>
    <m/>
    <n v="0"/>
    <n v="8094629"/>
    <n v="0"/>
  </r>
  <r>
    <s v="Retail"/>
    <s v="Q157 - Riohacha - CC Viva Wajira"/>
    <x v="9"/>
    <s v="septiembre"/>
    <n v="25"/>
    <d v="2026-09-25T00:00:00"/>
    <n v="1006572292"/>
    <s v="BRAVO OROZCO DAYANA PAOLA"/>
    <n v="41"/>
    <n v="0"/>
    <n v="1867985"/>
  </r>
  <r>
    <s v="Retail"/>
    <s v="Q157 - Riohacha - CC Viva Wajira"/>
    <x v="9"/>
    <s v="septiembre"/>
    <n v="25"/>
    <d v="2026-09-25T00:00:00"/>
    <n v="1118816729"/>
    <s v="QUINTERO OBREDOR RORAIMA "/>
    <n v="38"/>
    <n v="0"/>
    <n v="2162271"/>
  </r>
  <r>
    <s v="Retail"/>
    <s v="Q157 - Riohacha - CC Viva Wajira"/>
    <x v="9"/>
    <s v="septiembre"/>
    <n v="25"/>
    <d v="2026-09-25T00:00:00"/>
    <n v="1118836017"/>
    <s v="PELAEZ BOHORQUEZ LUZ STELLA"/>
    <n v="50"/>
    <n v="0"/>
    <n v="2825548"/>
  </r>
  <r>
    <s v="Retail"/>
    <s v="Q157 - Riohacha - CC Viva Wajira"/>
    <x v="9"/>
    <s v="septiembre"/>
    <n v="25"/>
    <d v="2026-09-25T00:00:00"/>
    <n v="1123410212"/>
    <m/>
    <n v="16"/>
    <n v="0"/>
    <n v="1238824"/>
  </r>
  <r>
    <s v="Retail"/>
    <s v="Q157 - Riohacha - CC Viva Wajira"/>
    <x v="9"/>
    <s v="septiembre"/>
    <n v="26"/>
    <d v="2026-09-26T00:00:00"/>
    <m/>
    <m/>
    <n v="0"/>
    <n v="13954285"/>
    <n v="0"/>
  </r>
  <r>
    <s v="Retail"/>
    <s v="Q157 - Riohacha - CC Viva Wajira"/>
    <x v="9"/>
    <s v="septiembre"/>
    <n v="26"/>
    <d v="2026-09-26T00:00:00"/>
    <n v="1006572292"/>
    <s v="BRAVO OROZCO DAYANA PAOLA"/>
    <n v="24"/>
    <n v="0"/>
    <n v="1167019"/>
  </r>
  <r>
    <s v="Retail"/>
    <s v="Q157 - Riohacha - CC Viva Wajira"/>
    <x v="9"/>
    <s v="septiembre"/>
    <n v="26"/>
    <d v="2026-09-26T00:00:00"/>
    <n v="1118816729"/>
    <s v="QUINTERO OBREDOR RORAIMA "/>
    <n v="59"/>
    <n v="0"/>
    <n v="3289459"/>
  </r>
  <r>
    <s v="Retail"/>
    <s v="Q157 - Riohacha - CC Viva Wajira"/>
    <x v="9"/>
    <s v="septiembre"/>
    <n v="26"/>
    <d v="2026-09-26T00:00:00"/>
    <n v="1118836017"/>
    <s v="PELAEZ BOHORQUEZ LUZ STELLA"/>
    <n v="48"/>
    <n v="0"/>
    <n v="2522987"/>
  </r>
  <r>
    <s v="Retail"/>
    <s v="Q157 - Riohacha - CC Viva Wajira"/>
    <x v="9"/>
    <s v="septiembre"/>
    <n v="26"/>
    <d v="2026-09-26T00:00:00"/>
    <n v="1123410212"/>
    <m/>
    <n v="45"/>
    <n v="0"/>
    <n v="2300466"/>
  </r>
  <r>
    <s v="Retail"/>
    <s v="Q157 - Riohacha - CC Viva Wajira"/>
    <x v="9"/>
    <s v="septiembre"/>
    <n v="27"/>
    <d v="2026-09-27T00:00:00"/>
    <m/>
    <m/>
    <n v="0"/>
    <n v="11054603"/>
    <n v="0"/>
  </r>
  <r>
    <s v="Retail"/>
    <s v="Q157 - Riohacha - CC Viva Wajira"/>
    <x v="9"/>
    <s v="septiembre"/>
    <n v="27"/>
    <d v="2026-09-27T00:00:00"/>
    <n v="1006572292"/>
    <s v="BRAVO OROZCO DAYANA PAOLA"/>
    <n v="24"/>
    <n v="0"/>
    <n v="1351936"/>
  </r>
  <r>
    <s v="Retail"/>
    <s v="Q157 - Riohacha - CC Viva Wajira"/>
    <x v="9"/>
    <s v="septiembre"/>
    <n v="27"/>
    <d v="2026-09-27T00:00:00"/>
    <n v="1118816729"/>
    <s v="QUINTERO OBREDOR RORAIMA "/>
    <n v="17"/>
    <n v="0"/>
    <n v="902649"/>
  </r>
  <r>
    <s v="Retail"/>
    <s v="Q157 - Riohacha - CC Viva Wajira"/>
    <x v="9"/>
    <s v="septiembre"/>
    <n v="27"/>
    <d v="2026-09-27T00:00:00"/>
    <n v="1118836017"/>
    <s v="PELAEZ BOHORQUEZ LUZ STELLA"/>
    <n v="28"/>
    <n v="0"/>
    <n v="1456725"/>
  </r>
  <r>
    <s v="Retail"/>
    <s v="Q157 - Riohacha - CC Viva Wajira"/>
    <x v="9"/>
    <s v="septiembre"/>
    <n v="27"/>
    <d v="2026-09-27T00:00:00"/>
    <n v="1123410212"/>
    <m/>
    <n v="27"/>
    <n v="0"/>
    <n v="1376853"/>
  </r>
  <r>
    <s v="Retail"/>
    <s v="Q157 - Riohacha - CC Viva Wajira"/>
    <x v="9"/>
    <s v="septiembre"/>
    <n v="28"/>
    <d v="2026-09-28T00:00:00"/>
    <m/>
    <m/>
    <n v="0"/>
    <n v="6083997"/>
    <n v="0"/>
  </r>
  <r>
    <s v="Retail"/>
    <s v="Q157 - Riohacha - CC Viva Wajira"/>
    <x v="9"/>
    <s v="septiembre"/>
    <n v="28"/>
    <d v="2026-09-28T00:00:00"/>
    <n v="1006572292"/>
    <s v="BRAVO OROZCO DAYANA PAOLA"/>
    <n v="20"/>
    <n v="0"/>
    <n v="1196599"/>
  </r>
  <r>
    <s v="Retail"/>
    <s v="Q157 - Riohacha - CC Viva Wajira"/>
    <x v="9"/>
    <s v="septiembre"/>
    <n v="28"/>
    <d v="2026-09-28T00:00:00"/>
    <n v="1118816729"/>
    <s v="QUINTERO OBREDOR RORAIMA "/>
    <n v="45"/>
    <n v="0"/>
    <n v="2443492"/>
  </r>
  <r>
    <s v="Retail"/>
    <s v="Q157 - Riohacha - CC Viva Wajira"/>
    <x v="9"/>
    <s v="septiembre"/>
    <n v="28"/>
    <d v="2026-09-28T00:00:00"/>
    <n v="1118836017"/>
    <s v="PELAEZ BOHORQUEZ LUZ STELLA"/>
    <n v="35"/>
    <n v="0"/>
    <n v="1208067"/>
  </r>
  <r>
    <s v="Retail"/>
    <s v="Q157 - Riohacha - CC Viva Wajira"/>
    <x v="9"/>
    <s v="septiembre"/>
    <n v="28"/>
    <d v="2026-09-28T00:00:00"/>
    <n v="1123410212"/>
    <m/>
    <n v="14"/>
    <n v="0"/>
    <n v="726263"/>
  </r>
  <r>
    <s v="Retail"/>
    <s v="Q157 - Riohacha - CC Viva Wajira"/>
    <x v="9"/>
    <s v="septiembre"/>
    <n v="29"/>
    <d v="2026-09-29T00:00:00"/>
    <m/>
    <m/>
    <n v="0"/>
    <n v="6498901"/>
    <n v="0"/>
  </r>
  <r>
    <s v="Retail"/>
    <s v="Q157 - Riohacha - CC Viva Wajira"/>
    <x v="9"/>
    <s v="septiembre"/>
    <n v="29"/>
    <d v="2026-09-29T00:00:00"/>
    <n v="1006572292"/>
    <s v="BRAVO OROZCO DAYANA PAOLA"/>
    <n v="32"/>
    <n v="0"/>
    <n v="1257019"/>
  </r>
  <r>
    <s v="Retail"/>
    <s v="Q157 - Riohacha - CC Viva Wajira"/>
    <x v="9"/>
    <s v="septiembre"/>
    <n v="29"/>
    <d v="2026-09-29T00:00:00"/>
    <n v="1118816729"/>
    <s v="QUINTERO OBREDOR RORAIMA "/>
    <n v="23"/>
    <n v="0"/>
    <n v="1186011"/>
  </r>
  <r>
    <s v="Retail"/>
    <s v="Q157 - Riohacha - CC Viva Wajira"/>
    <x v="9"/>
    <s v="septiembre"/>
    <n v="29"/>
    <d v="2026-09-29T00:00:00"/>
    <n v="1118836017"/>
    <s v="PELAEZ BOHORQUEZ LUZ STELLA"/>
    <n v="28"/>
    <n v="0"/>
    <n v="1448278"/>
  </r>
  <r>
    <s v="Retail"/>
    <s v="Q157 - Riohacha - CC Viva Wajira"/>
    <x v="9"/>
    <s v="septiembre"/>
    <n v="29"/>
    <d v="2026-09-29T00:00:00"/>
    <n v="1123410212"/>
    <m/>
    <n v="13"/>
    <n v="0"/>
    <n v="827187"/>
  </r>
  <r>
    <s v="Retail"/>
    <s v="Q157 - Riohacha - CC Viva Wajira"/>
    <x v="9"/>
    <s v="septiembre"/>
    <n v="30"/>
    <d v="2026-09-30T00:00:00"/>
    <m/>
    <m/>
    <n v="0"/>
    <n v="6713484"/>
    <n v="0"/>
  </r>
  <r>
    <s v="Retail"/>
    <s v="Q157 - Riohacha - CC Viva Wajira"/>
    <x v="9"/>
    <s v="septiembre"/>
    <n v="30"/>
    <d v="2026-09-30T00:00:00"/>
    <n v="1006572292"/>
    <s v="BRAVO OROZCO DAYANA PAOLA"/>
    <n v="14"/>
    <n v="0"/>
    <n v="734709"/>
  </r>
  <r>
    <s v="Retail"/>
    <s v="Q157 - Riohacha - CC Viva Wajira"/>
    <x v="9"/>
    <s v="septiembre"/>
    <n v="30"/>
    <d v="2026-09-30T00:00:00"/>
    <n v="1118816729"/>
    <s v="QUINTERO OBREDOR RORAIMA "/>
    <n v="27"/>
    <n v="0"/>
    <n v="1570213"/>
  </r>
  <r>
    <s v="Retail"/>
    <s v="Q157 - Riohacha - CC Viva Wajira"/>
    <x v="9"/>
    <s v="septiembre"/>
    <n v="30"/>
    <d v="2026-09-30T00:00:00"/>
    <n v="1118836017"/>
    <s v="PELAEZ BOHORQUEZ LUZ STELLA"/>
    <n v="37"/>
    <n v="0"/>
    <n v="2002651"/>
  </r>
  <r>
    <s v="Retail"/>
    <s v="Q157 - Riohacha - CC Viva Wajira"/>
    <x v="9"/>
    <s v="septiembre"/>
    <n v="30"/>
    <d v="2026-09-30T00:00:00"/>
    <n v="1123410212"/>
    <m/>
    <n v="21"/>
    <n v="0"/>
    <n v="1141936"/>
  </r>
  <r>
    <s v="Retail"/>
    <s v="Q157 - Riohacha - CC Viva Wajira"/>
    <x v="9"/>
    <s v="octubre"/>
    <n v="1"/>
    <d v="2026-10-01T00:00:00"/>
    <m/>
    <m/>
    <n v="0"/>
    <n v="6392356"/>
    <n v="0"/>
  </r>
  <r>
    <s v="Retail"/>
    <s v="Q157 - Riohacha - CC Viva Wajira"/>
    <x v="9"/>
    <s v="octubre"/>
    <n v="1"/>
    <d v="2026-10-01T00:00:00"/>
    <n v="1006572292"/>
    <s v="BRAVO OROZCO DAYANA PAOLA"/>
    <n v="28"/>
    <n v="0"/>
    <n v="1547104"/>
  </r>
  <r>
    <s v="Retail"/>
    <s v="Q157 - Riohacha - CC Viva Wajira"/>
    <x v="9"/>
    <s v="octubre"/>
    <n v="1"/>
    <d v="2026-10-01T00:00:00"/>
    <n v="1118816729"/>
    <s v="QUINTERO OBREDOR RORAIMA "/>
    <n v="37"/>
    <n v="0"/>
    <n v="2006768"/>
  </r>
  <r>
    <s v="Retail"/>
    <s v="Q157 - Riohacha - CC Viva Wajira"/>
    <x v="9"/>
    <s v="octubre"/>
    <n v="1"/>
    <d v="2026-10-01T00:00:00"/>
    <n v="1118836017"/>
    <s v="PELAEZ BOHORQUEZ LUZ STELLA"/>
    <n v="40"/>
    <n v="0"/>
    <n v="2294500"/>
  </r>
  <r>
    <s v="Retail"/>
    <s v="Q157 - Riohacha - CC Viva Wajira"/>
    <x v="9"/>
    <s v="octubre"/>
    <n v="1"/>
    <d v="2026-10-01T00:00:00"/>
    <n v="1123410212"/>
    <m/>
    <n v="20"/>
    <n v="0"/>
    <n v="1167230"/>
  </r>
  <r>
    <s v="Retail"/>
    <s v="Q157 - Riohacha - CC Viva Wajira"/>
    <x v="9"/>
    <s v="octubre"/>
    <n v="2"/>
    <d v="2026-10-02T00:00:00"/>
    <m/>
    <m/>
    <n v="0"/>
    <n v="6053713"/>
    <n v="0"/>
  </r>
  <r>
    <s v="Retail"/>
    <s v="Q157 - Riohacha - CC Viva Wajira"/>
    <x v="9"/>
    <s v="octubre"/>
    <n v="2"/>
    <d v="2026-10-02T00:00:00"/>
    <n v="1006572292"/>
    <s v="BRAVO OROZCO DAYANA PAOLA"/>
    <n v="21"/>
    <n v="0"/>
    <n v="1129286"/>
  </r>
  <r>
    <s v="Retail"/>
    <s v="Q157 - Riohacha - CC Viva Wajira"/>
    <x v="9"/>
    <s v="octubre"/>
    <n v="2"/>
    <d v="2026-10-02T00:00:00"/>
    <n v="1118816729"/>
    <s v="QUINTERO OBREDOR RORAIMA "/>
    <n v="46"/>
    <n v="0"/>
    <n v="2964415"/>
  </r>
  <r>
    <s v="Retail"/>
    <s v="Q157 - Riohacha - CC Viva Wajira"/>
    <x v="9"/>
    <s v="octubre"/>
    <n v="2"/>
    <d v="2026-10-02T00:00:00"/>
    <n v="1118836017"/>
    <s v="PELAEZ BOHORQUEZ LUZ STELLA"/>
    <n v="29"/>
    <n v="0"/>
    <n v="1473531"/>
  </r>
  <r>
    <s v="Retail"/>
    <s v="Q157 - Riohacha - CC Viva Wajira"/>
    <x v="9"/>
    <s v="octubre"/>
    <n v="2"/>
    <d v="2026-10-02T00:00:00"/>
    <n v="1123410212"/>
    <m/>
    <n v="26"/>
    <n v="0"/>
    <n v="1271978"/>
  </r>
  <r>
    <s v="Retail"/>
    <s v="Q157 - Riohacha - CC Viva Wajira"/>
    <x v="9"/>
    <s v="octubre"/>
    <n v="3"/>
    <d v="2026-10-03T00:00:00"/>
    <m/>
    <m/>
    <n v="0"/>
    <n v="9756749"/>
    <n v="0"/>
  </r>
  <r>
    <s v="Retail"/>
    <s v="Q157 - Riohacha - CC Viva Wajira"/>
    <x v="9"/>
    <s v="octubre"/>
    <n v="3"/>
    <d v="2026-10-03T00:00:00"/>
    <n v="1006572292"/>
    <s v="BRAVO OROZCO DAYANA PAOLA"/>
    <n v="37"/>
    <n v="0"/>
    <n v="2021296"/>
  </r>
  <r>
    <s v="Retail"/>
    <s v="Q157 - Riohacha - CC Viva Wajira"/>
    <x v="9"/>
    <s v="octubre"/>
    <n v="3"/>
    <d v="2026-10-03T00:00:00"/>
    <n v="1118816729"/>
    <s v="QUINTERO OBREDOR RORAIMA "/>
    <n v="39"/>
    <n v="0"/>
    <n v="2111826"/>
  </r>
  <r>
    <s v="Retail"/>
    <s v="Q157 - Riohacha - CC Viva Wajira"/>
    <x v="9"/>
    <s v="octubre"/>
    <n v="3"/>
    <d v="2026-10-03T00:00:00"/>
    <n v="1118836017"/>
    <s v="PELAEZ BOHORQUEZ LUZ STELLA"/>
    <n v="51"/>
    <n v="0"/>
    <n v="2679281"/>
  </r>
  <r>
    <s v="Retail"/>
    <s v="Q157 - Riohacha - CC Viva Wajira"/>
    <x v="9"/>
    <s v="octubre"/>
    <n v="3"/>
    <d v="2026-10-03T00:00:00"/>
    <n v="1123410212"/>
    <m/>
    <n v="34"/>
    <n v="0"/>
    <n v="1784297"/>
  </r>
  <r>
    <s v="Retail"/>
    <s v="Q157 - Riohacha - CC Viva Wajira"/>
    <x v="9"/>
    <s v="octubre"/>
    <n v="4"/>
    <d v="2026-10-04T00:00:00"/>
    <m/>
    <m/>
    <n v="0"/>
    <n v="8205292"/>
    <n v="0"/>
  </r>
  <r>
    <s v="Retail"/>
    <s v="Q157 - Riohacha - CC Viva Wajira"/>
    <x v="9"/>
    <s v="octubre"/>
    <n v="4"/>
    <d v="2026-10-04T00:00:00"/>
    <n v="1006572292"/>
    <s v="BRAVO OROZCO DAYANA PAOLA"/>
    <n v="27"/>
    <n v="0"/>
    <n v="1419037"/>
  </r>
  <r>
    <s v="Retail"/>
    <s v="Q157 - Riohacha - CC Viva Wajira"/>
    <x v="9"/>
    <s v="octubre"/>
    <n v="4"/>
    <d v="2026-10-04T00:00:00"/>
    <n v="1118816729"/>
    <s v="QUINTERO OBREDOR RORAIMA "/>
    <n v="30"/>
    <n v="0"/>
    <n v="1897776"/>
  </r>
  <r>
    <s v="Retail"/>
    <s v="Q157 - Riohacha - CC Viva Wajira"/>
    <x v="9"/>
    <s v="octubre"/>
    <n v="4"/>
    <d v="2026-10-04T00:00:00"/>
    <n v="1118836017"/>
    <s v="PELAEZ BOHORQUEZ LUZ STELLA"/>
    <n v="58"/>
    <n v="0"/>
    <n v="2762105"/>
  </r>
  <r>
    <s v="Retail"/>
    <s v="Q157 - Riohacha - CC Viva Wajira"/>
    <x v="9"/>
    <s v="octubre"/>
    <n v="4"/>
    <d v="2026-10-04T00:00:00"/>
    <n v="1123410212"/>
    <m/>
    <n v="21"/>
    <n v="0"/>
    <n v="1213363"/>
  </r>
  <r>
    <s v="Retail"/>
    <s v="Q157 - Riohacha - CC Viva Wajira"/>
    <x v="9"/>
    <s v="octubre"/>
    <n v="5"/>
    <d v="2026-10-05T00:00:00"/>
    <m/>
    <m/>
    <n v="0"/>
    <n v="4650448"/>
    <n v="0"/>
  </r>
  <r>
    <s v="Retail"/>
    <s v="Q157 - Riohacha - CC Viva Wajira"/>
    <x v="9"/>
    <s v="octubre"/>
    <n v="5"/>
    <d v="2026-10-05T00:00:00"/>
    <n v="1006572292"/>
    <s v="BRAVO OROZCO DAYANA PAOLA"/>
    <n v="20"/>
    <n v="0"/>
    <n v="641556"/>
  </r>
  <r>
    <s v="Retail"/>
    <s v="Q157 - Riohacha - CC Viva Wajira"/>
    <x v="9"/>
    <s v="octubre"/>
    <n v="5"/>
    <d v="2026-10-05T00:00:00"/>
    <n v="1118816729"/>
    <s v="QUINTERO OBREDOR RORAIMA "/>
    <n v="36"/>
    <n v="0"/>
    <n v="1845090"/>
  </r>
  <r>
    <s v="Retail"/>
    <s v="Q157 - Riohacha - CC Viva Wajira"/>
    <x v="9"/>
    <s v="octubre"/>
    <n v="5"/>
    <d v="2026-10-05T00:00:00"/>
    <n v="1118836017"/>
    <s v="PELAEZ BOHORQUEZ LUZ STELLA"/>
    <n v="35"/>
    <n v="0"/>
    <n v="1901724"/>
  </r>
  <r>
    <s v="Retail"/>
    <s v="Q157 - Riohacha - CC Viva Wajira"/>
    <x v="9"/>
    <s v="octubre"/>
    <n v="5"/>
    <d v="2026-10-05T00:00:00"/>
    <n v="1123410212"/>
    <m/>
    <n v="13"/>
    <n v="0"/>
    <n v="722101"/>
  </r>
  <r>
    <s v="Retail"/>
    <s v="Q157 - Riohacha - CC Viva Wajira"/>
    <x v="9"/>
    <s v="octubre"/>
    <n v="6"/>
    <d v="2026-10-06T00:00:00"/>
    <m/>
    <m/>
    <n v="0"/>
    <n v="2970023"/>
    <n v="0"/>
  </r>
  <r>
    <s v="Retail"/>
    <s v="Q157 - Riohacha - CC Viva Wajira"/>
    <x v="9"/>
    <s v="octubre"/>
    <n v="6"/>
    <d v="2026-10-06T00:00:00"/>
    <n v="1006572292"/>
    <s v="BRAVO OROZCO DAYANA PAOLA"/>
    <n v="8"/>
    <n v="0"/>
    <n v="423993"/>
  </r>
  <r>
    <s v="Retail"/>
    <s v="Q157 - Riohacha - CC Viva Wajira"/>
    <x v="9"/>
    <s v="octubre"/>
    <n v="6"/>
    <d v="2026-10-06T00:00:00"/>
    <n v="1118816729"/>
    <s v="QUINTERO OBREDOR RORAIMA "/>
    <n v="26"/>
    <n v="0"/>
    <n v="1599710"/>
  </r>
  <r>
    <s v="Retail"/>
    <s v="Q157 - Riohacha - CC Viva Wajira"/>
    <x v="9"/>
    <s v="octubre"/>
    <n v="6"/>
    <d v="2026-10-06T00:00:00"/>
    <n v="1118836017"/>
    <s v="PELAEZ BOHORQUEZ LUZ STELLA"/>
    <n v="30"/>
    <n v="0"/>
    <n v="1973448"/>
  </r>
  <r>
    <s v="Retail"/>
    <s v="Q157 - Riohacha - CC Viva Wajira"/>
    <x v="9"/>
    <s v="octubre"/>
    <n v="6"/>
    <d v="2026-10-06T00:00:00"/>
    <n v="1123410212"/>
    <m/>
    <n v="7"/>
    <n v="0"/>
    <n v="426176"/>
  </r>
  <r>
    <s v="Retail"/>
    <s v="Q157 - Riohacha - CC Viva Wajira"/>
    <x v="9"/>
    <s v="octubre"/>
    <n v="7"/>
    <d v="2026-10-07T00:00:00"/>
    <m/>
    <m/>
    <n v="0"/>
    <n v="2930946"/>
    <n v="0"/>
  </r>
  <r>
    <s v="Retail"/>
    <s v="Q157 - Riohacha - CC Viva Wajira"/>
    <x v="9"/>
    <s v="octubre"/>
    <n v="7"/>
    <d v="2026-10-07T00:00:00"/>
    <n v="1006572292"/>
    <s v="BRAVO OROZCO DAYANA PAOLA"/>
    <n v="4"/>
    <n v="0"/>
    <n v="226723"/>
  </r>
  <r>
    <s v="Retail"/>
    <s v="Q157 - Riohacha - CC Viva Wajira"/>
    <x v="9"/>
    <s v="octubre"/>
    <n v="7"/>
    <d v="2026-10-07T00:00:00"/>
    <n v="1118816729"/>
    <s v="QUINTERO OBREDOR RORAIMA "/>
    <n v="38"/>
    <n v="0"/>
    <n v="1719740"/>
  </r>
  <r>
    <s v="Retail"/>
    <s v="Q157 - Riohacha - CC Viva Wajira"/>
    <x v="9"/>
    <s v="octubre"/>
    <n v="7"/>
    <d v="2026-10-07T00:00:00"/>
    <n v="1118836017"/>
    <s v="PELAEZ BOHORQUEZ LUZ STELLA"/>
    <n v="30"/>
    <n v="0"/>
    <n v="1742359"/>
  </r>
  <r>
    <s v="Retail"/>
    <s v="Q157 - Riohacha - CC Viva Wajira"/>
    <x v="9"/>
    <s v="octubre"/>
    <n v="7"/>
    <d v="2026-10-07T00:00:00"/>
    <n v="1123410212"/>
    <m/>
    <n v="2"/>
    <n v="0"/>
    <n v="71345"/>
  </r>
  <r>
    <s v="Franquicias Sell Out QUEST"/>
    <s v="FQ048 Garzon - Huila"/>
    <x v="10"/>
    <s v="septiembre"/>
    <n v="23"/>
    <d v="2026-09-23T00:00:00"/>
    <m/>
    <m/>
    <n v="0"/>
    <n v="4074179"/>
    <n v="0"/>
  </r>
  <r>
    <s v="Franquicias Sell Out QUEST"/>
    <s v="FQ048 Garzon - Huila"/>
    <x v="10"/>
    <s v="septiembre"/>
    <n v="23"/>
    <d v="2026-09-23T00:00:00"/>
    <n v="55066633"/>
    <s v="CALDERON  SHIRLEY"/>
    <n v="20"/>
    <n v="0"/>
    <n v="1051640"/>
  </r>
  <r>
    <s v="Franquicias Sell Out QUEST"/>
    <s v="FQ048 Garzon - Huila"/>
    <x v="10"/>
    <s v="septiembre"/>
    <n v="23"/>
    <d v="2026-09-23T00:00:00"/>
    <n v="1077874164"/>
    <s v="POLO  SANDY"/>
    <n v="92"/>
    <n v="0"/>
    <n v="4863373"/>
  </r>
  <r>
    <s v="Franquicias Sell Out QUEST"/>
    <s v="FQ048 Garzon - Huila"/>
    <x v="10"/>
    <s v="septiembre"/>
    <n v="24"/>
    <d v="2026-09-24T00:00:00"/>
    <m/>
    <m/>
    <n v="0"/>
    <n v="10536611"/>
    <n v="0"/>
  </r>
  <r>
    <s v="Franquicias Sell Out QUEST"/>
    <s v="FQ048 Garzon - Huila"/>
    <x v="10"/>
    <s v="septiembre"/>
    <n v="24"/>
    <d v="2026-09-24T00:00:00"/>
    <n v="55066633"/>
    <s v="CALDERON  SHIRLEY"/>
    <n v="45"/>
    <n v="0"/>
    <n v="2441387"/>
  </r>
  <r>
    <s v="Franquicias Sell Out QUEST"/>
    <s v="FQ048 Garzon - Huila"/>
    <x v="10"/>
    <s v="septiembre"/>
    <n v="24"/>
    <d v="2026-09-24T00:00:00"/>
    <n v="1077874164"/>
    <s v="POLO  SANDY"/>
    <n v="95"/>
    <n v="0"/>
    <n v="5447572"/>
  </r>
  <r>
    <s v="Franquicias Sell Out QUEST"/>
    <s v="FQ048 Garzon - Huila"/>
    <x v="10"/>
    <s v="septiembre"/>
    <n v="25"/>
    <d v="2026-09-25T00:00:00"/>
    <m/>
    <m/>
    <n v="0"/>
    <n v="11253675"/>
    <n v="0"/>
  </r>
  <r>
    <s v="Franquicias Sell Out QUEST"/>
    <s v="FQ048 Garzon - Huila"/>
    <x v="10"/>
    <s v="septiembre"/>
    <n v="25"/>
    <d v="2026-09-25T00:00:00"/>
    <n v="55066633"/>
    <s v="CALDERON  SHIRLEY"/>
    <n v="5"/>
    <n v="0"/>
    <n v="249706"/>
  </r>
  <r>
    <s v="Franquicias Sell Out QUEST"/>
    <s v="FQ048 Garzon - Huila"/>
    <x v="10"/>
    <s v="septiembre"/>
    <n v="25"/>
    <d v="2026-09-25T00:00:00"/>
    <n v="1077874164"/>
    <s v="POLO  SANDY"/>
    <n v="255"/>
    <n v="0"/>
    <n v="14320521"/>
  </r>
  <r>
    <s v="Franquicias Sell Out QUEST"/>
    <s v="FQ048 Garzon - Huila"/>
    <x v="10"/>
    <s v="septiembre"/>
    <n v="26"/>
    <d v="2026-09-26T00:00:00"/>
    <m/>
    <m/>
    <n v="0"/>
    <n v="14190597"/>
    <n v="0"/>
  </r>
  <r>
    <s v="Franquicias Sell Out QUEST"/>
    <s v="FQ048 Garzon - Huila"/>
    <x v="10"/>
    <s v="septiembre"/>
    <n v="26"/>
    <d v="2026-09-26T00:00:00"/>
    <n v="55066633"/>
    <s v="CALDERON  SHIRLEY"/>
    <n v="40"/>
    <n v="0"/>
    <n v="2195756"/>
  </r>
  <r>
    <s v="Franquicias Sell Out QUEST"/>
    <s v="FQ048 Garzon - Huila"/>
    <x v="10"/>
    <s v="septiembre"/>
    <n v="26"/>
    <d v="2026-09-26T00:00:00"/>
    <n v="1077874164"/>
    <s v="POLO  SANDY"/>
    <n v="338"/>
    <n v="0"/>
    <n v="17795305"/>
  </r>
  <r>
    <s v="Franquicias Sell Out QUEST"/>
    <s v="FQ048 Garzon - Huila"/>
    <x v="10"/>
    <s v="septiembre"/>
    <n v="27"/>
    <d v="2026-09-27T00:00:00"/>
    <m/>
    <m/>
    <n v="0"/>
    <n v="7492503"/>
    <n v="0"/>
  </r>
  <r>
    <s v="Franquicias Sell Out QUEST"/>
    <s v="FQ048 Garzon - Huila"/>
    <x v="10"/>
    <s v="septiembre"/>
    <n v="27"/>
    <d v="2026-09-27T00:00:00"/>
    <n v="55066633"/>
    <s v="CALDERON  SHIRLEY"/>
    <n v="77"/>
    <n v="0"/>
    <n v="3818701"/>
  </r>
  <r>
    <s v="Franquicias Sell Out QUEST"/>
    <s v="FQ048 Garzon - Huila"/>
    <x v="10"/>
    <s v="septiembre"/>
    <n v="27"/>
    <d v="2026-09-27T00:00:00"/>
    <n v="1077874164"/>
    <s v="POLO  SANDY"/>
    <n v="106"/>
    <n v="0"/>
    <n v="5864963"/>
  </r>
  <r>
    <s v="Franquicias Sell Out QUEST"/>
    <s v="FQ048 Garzon - Huila"/>
    <x v="10"/>
    <s v="septiembre"/>
    <n v="28"/>
    <d v="2026-09-28T00:00:00"/>
    <m/>
    <m/>
    <n v="0"/>
    <n v="6143035"/>
    <n v="0"/>
  </r>
  <r>
    <s v="Franquicias Sell Out QUEST"/>
    <s v="FQ048 Garzon - Huila"/>
    <x v="10"/>
    <s v="septiembre"/>
    <n v="28"/>
    <d v="2026-09-28T00:00:00"/>
    <n v="55066633"/>
    <s v="CALDERON  SHIRLEY"/>
    <n v="65"/>
    <n v="0"/>
    <n v="2866807"/>
  </r>
  <r>
    <s v="Franquicias Sell Out QUEST"/>
    <s v="FQ048 Garzon - Huila"/>
    <x v="10"/>
    <s v="septiembre"/>
    <n v="28"/>
    <d v="2026-09-28T00:00:00"/>
    <n v="1077874164"/>
    <s v="POLO  SANDY"/>
    <n v="65"/>
    <n v="0"/>
    <n v="3291307"/>
  </r>
  <r>
    <s v="Franquicias Sell Out QUEST"/>
    <s v="FQ048 Garzon - Huila"/>
    <x v="10"/>
    <s v="septiembre"/>
    <n v="29"/>
    <d v="2026-09-29T00:00:00"/>
    <m/>
    <m/>
    <n v="0"/>
    <n v="6829240"/>
    <n v="0"/>
  </r>
  <r>
    <s v="Franquicias Sell Out QUEST"/>
    <s v="FQ048 Garzon - Huila"/>
    <x v="10"/>
    <s v="septiembre"/>
    <n v="29"/>
    <d v="2026-09-29T00:00:00"/>
    <n v="55066633"/>
    <s v="CALDERON  SHIRLEY"/>
    <n v="57"/>
    <n v="0"/>
    <n v="2320547"/>
  </r>
  <r>
    <s v="Franquicias Sell Out QUEST"/>
    <s v="FQ048 Garzon - Huila"/>
    <x v="10"/>
    <s v="septiembre"/>
    <n v="29"/>
    <d v="2026-09-29T00:00:00"/>
    <n v="1077874164"/>
    <s v="POLO  SANDY"/>
    <n v="70"/>
    <n v="0"/>
    <n v="2882148"/>
  </r>
  <r>
    <s v="Franquicias Sell Out QUEST"/>
    <s v="FQ048 Garzon - Huila"/>
    <x v="10"/>
    <s v="septiembre"/>
    <n v="30"/>
    <d v="2026-09-30T00:00:00"/>
    <m/>
    <m/>
    <n v="0"/>
    <n v="7232381"/>
    <n v="0"/>
  </r>
  <r>
    <s v="Franquicias Sell Out QUEST"/>
    <s v="FQ048 Garzon - Huila"/>
    <x v="10"/>
    <s v="septiembre"/>
    <n v="30"/>
    <d v="2026-09-30T00:00:00"/>
    <n v="55066633"/>
    <s v="CALDERON  SHIRLEY"/>
    <n v="134"/>
    <n v="0"/>
    <n v="7067522"/>
  </r>
  <r>
    <s v="Franquicias Sell Out QUEST"/>
    <s v="FQ048 Garzon - Huila"/>
    <x v="10"/>
    <s v="septiembre"/>
    <n v="30"/>
    <d v="2026-09-30T00:00:00"/>
    <n v="1077874164"/>
    <s v="POLO  SANDY"/>
    <n v="18"/>
    <n v="0"/>
    <n v="1026514"/>
  </r>
  <r>
    <s v="Franquicias Sell Out QUEST"/>
    <s v="FQ048 Garzon - Huila"/>
    <x v="10"/>
    <s v="octubre"/>
    <n v="1"/>
    <d v="2026-10-01T00:00:00"/>
    <m/>
    <m/>
    <n v="0"/>
    <n v="6901442"/>
    <n v="0"/>
  </r>
  <r>
    <s v="Franquicias Sell Out QUEST"/>
    <s v="FQ048 Garzon - Huila"/>
    <x v="10"/>
    <s v="octubre"/>
    <n v="1"/>
    <d v="2026-10-01T00:00:00"/>
    <n v="55066633"/>
    <s v="CALDERON  SHIRLEY"/>
    <n v="76"/>
    <n v="0"/>
    <n v="3807527"/>
  </r>
  <r>
    <s v="Franquicias Sell Out QUEST"/>
    <s v="FQ048 Garzon - Huila"/>
    <x v="10"/>
    <s v="octubre"/>
    <n v="1"/>
    <d v="2026-10-01T00:00:00"/>
    <n v="1077874164"/>
    <s v="POLO  SANDY"/>
    <n v="47"/>
    <n v="0"/>
    <n v="2325553"/>
  </r>
  <r>
    <s v="Franquicias Sell Out QUEST"/>
    <s v="FQ048 Garzon - Huila"/>
    <x v="10"/>
    <s v="octubre"/>
    <n v="2"/>
    <d v="2026-10-02T00:00:00"/>
    <m/>
    <m/>
    <n v="0"/>
    <n v="10538119"/>
    <n v="0"/>
  </r>
  <r>
    <s v="Franquicias Sell Out QUEST"/>
    <s v="FQ048 Garzon - Huila"/>
    <x v="10"/>
    <s v="octubre"/>
    <n v="2"/>
    <d v="2026-10-02T00:00:00"/>
    <n v="55066633"/>
    <s v="CALDERON  SHIRLEY"/>
    <n v="65"/>
    <n v="0"/>
    <n v="3591516"/>
  </r>
  <r>
    <s v="Franquicias Sell Out QUEST"/>
    <s v="FQ048 Garzon - Huila"/>
    <x v="10"/>
    <s v="octubre"/>
    <n v="2"/>
    <d v="2026-10-02T00:00:00"/>
    <n v="1077874164"/>
    <s v="POLO  SANDY"/>
    <n v="83"/>
    <n v="0"/>
    <n v="4294875"/>
  </r>
  <r>
    <s v="Franquicias Sell Out QUEST"/>
    <s v="FQ048 Garzon - Huila"/>
    <x v="10"/>
    <s v="octubre"/>
    <n v="3"/>
    <d v="2026-10-03T00:00:00"/>
    <m/>
    <m/>
    <n v="0"/>
    <n v="10318937"/>
    <n v="0"/>
  </r>
  <r>
    <s v="Franquicias Sell Out QUEST"/>
    <s v="FQ048 Garzon - Huila"/>
    <x v="10"/>
    <s v="octubre"/>
    <n v="3"/>
    <d v="2026-10-03T00:00:00"/>
    <n v="55066633"/>
    <s v="CALDERON  SHIRLEY"/>
    <n v="0"/>
    <n v="0"/>
    <n v="4202"/>
  </r>
  <r>
    <s v="Franquicias Sell Out QUEST"/>
    <s v="FQ048 Garzon - Huila"/>
    <x v="10"/>
    <s v="octubre"/>
    <n v="3"/>
    <d v="2026-10-03T00:00:00"/>
    <n v="1077874164"/>
    <s v="POLO  SANDY"/>
    <n v="201"/>
    <n v="0"/>
    <n v="10277592"/>
  </r>
  <r>
    <s v="Franquicias Sell Out QUEST"/>
    <s v="FQ048 Garzon - Huila"/>
    <x v="10"/>
    <s v="octubre"/>
    <n v="4"/>
    <d v="2026-10-04T00:00:00"/>
    <m/>
    <m/>
    <n v="0"/>
    <n v="4721870"/>
    <n v="0"/>
  </r>
  <r>
    <s v="Franquicias Sell Out QUEST"/>
    <s v="FQ048 Garzon - Huila"/>
    <x v="10"/>
    <s v="octubre"/>
    <n v="4"/>
    <d v="2026-10-04T00:00:00"/>
    <n v="55066633"/>
    <s v="CALDERON  SHIRLEY"/>
    <n v="52"/>
    <n v="0"/>
    <n v="2245296"/>
  </r>
  <r>
    <s v="Franquicias Sell Out QUEST"/>
    <s v="FQ048 Garzon - Huila"/>
    <x v="10"/>
    <s v="octubre"/>
    <n v="4"/>
    <d v="2026-10-04T00:00:00"/>
    <n v="1077874164"/>
    <s v="POLO  SANDY"/>
    <n v="16"/>
    <n v="0"/>
    <n v="758900"/>
  </r>
  <r>
    <s v="Franquicias Sell Out QUEST"/>
    <s v="FQ048 Garzon - Huila"/>
    <x v="10"/>
    <s v="octubre"/>
    <n v="5"/>
    <d v="2026-10-05T00:00:00"/>
    <m/>
    <m/>
    <n v="0"/>
    <n v="6337129"/>
    <n v="0"/>
  </r>
  <r>
    <s v="Franquicias Sell Out QUEST"/>
    <s v="FQ048 Garzon - Huila"/>
    <x v="10"/>
    <s v="octubre"/>
    <n v="5"/>
    <d v="2026-10-05T00:00:00"/>
    <n v="55066633"/>
    <s v="CALDERON  SHIRLEY"/>
    <n v="76"/>
    <n v="0"/>
    <n v="3870465"/>
  </r>
  <r>
    <s v="Franquicias Sell Out QUEST"/>
    <s v="FQ048 Garzon - Huila"/>
    <x v="10"/>
    <s v="octubre"/>
    <n v="5"/>
    <d v="2026-10-05T00:00:00"/>
    <n v="1077874164"/>
    <s v="POLO  SANDY"/>
    <n v="16"/>
    <n v="0"/>
    <n v="1056338"/>
  </r>
  <r>
    <s v="Franquicias Sell Out QUEST"/>
    <s v="FQ048 Garzon - Huila"/>
    <x v="10"/>
    <s v="octubre"/>
    <n v="6"/>
    <d v="2026-10-06T00:00:00"/>
    <m/>
    <m/>
    <n v="0"/>
    <n v="1971162"/>
    <n v="0"/>
  </r>
  <r>
    <s v="Franquicias Sell Out QUEST"/>
    <s v="FQ048 Garzon - Huila"/>
    <x v="10"/>
    <s v="octubre"/>
    <n v="6"/>
    <d v="2026-10-06T00:00:00"/>
    <n v="55066633"/>
    <s v="CALDERON  SHIRLEY"/>
    <n v="8"/>
    <n v="0"/>
    <n v="562647"/>
  </r>
  <r>
    <s v="Franquicias Sell Out QUEST"/>
    <s v="FQ048 Garzon - Huila"/>
    <x v="10"/>
    <s v="octubre"/>
    <n v="6"/>
    <d v="2026-10-06T00:00:00"/>
    <n v="1077874164"/>
    <s v="POLO  SANDY"/>
    <n v="38"/>
    <n v="0"/>
    <n v="2103029"/>
  </r>
  <r>
    <s v="Franquicias Sell Out QUEST"/>
    <s v="FQ048 Garzon - Huila"/>
    <x v="10"/>
    <s v="octubre"/>
    <n v="7"/>
    <d v="2026-10-07T00:00:00"/>
    <m/>
    <m/>
    <n v="0"/>
    <n v="4538675"/>
    <n v="0"/>
  </r>
  <r>
    <s v="Franquicias Sell Out QUEST"/>
    <s v="FQ048 Garzon - Huila"/>
    <x v="10"/>
    <s v="octubre"/>
    <n v="7"/>
    <d v="2026-10-07T00:00:00"/>
    <n v="55066633"/>
    <s v="CALDERON  SHIRLEY"/>
    <n v="1"/>
    <n v="0"/>
    <n v="50336"/>
  </r>
  <r>
    <s v="Franquicias Sell Out QUEST"/>
    <s v="FQ048 Garzon - Huila"/>
    <x v="10"/>
    <s v="octubre"/>
    <n v="7"/>
    <d v="2026-10-07T00:00:00"/>
    <n v="1077874164"/>
    <s v="POLO  SANDY"/>
    <n v="39"/>
    <n v="0"/>
    <n v="2344515"/>
  </r>
  <r>
    <s v="Franquicias Sell Out QUEST"/>
    <s v="FQ073-Florencia - Caquetá"/>
    <x v="10"/>
    <s v="septiembre"/>
    <n v="23"/>
    <d v="2026-09-23T00:00:00"/>
    <m/>
    <m/>
    <n v="0"/>
    <n v="3285216"/>
    <n v="0"/>
  </r>
  <r>
    <s v="Franquicias Sell Out QUEST"/>
    <s v="FQ073-Florencia - Caquetá"/>
    <x v="10"/>
    <s v="septiembre"/>
    <n v="23"/>
    <d v="2026-09-23T00:00:00"/>
    <n v="1006410301"/>
    <s v="SANCHEZ TOLEDO ADRIANA"/>
    <n v="65"/>
    <n v="0"/>
    <n v="3497278"/>
  </r>
  <r>
    <s v="Franquicias Sell Out QUEST"/>
    <s v="FQ073-Florencia - Caquetá"/>
    <x v="10"/>
    <s v="septiembre"/>
    <n v="24"/>
    <d v="2026-09-24T00:00:00"/>
    <m/>
    <m/>
    <n v="0"/>
    <n v="8496200"/>
    <n v="0"/>
  </r>
  <r>
    <s v="Franquicias Sell Out QUEST"/>
    <s v="FQ073-Florencia - Caquetá"/>
    <x v="10"/>
    <s v="septiembre"/>
    <n v="24"/>
    <d v="2026-09-24T00:00:00"/>
    <n v="1006410301"/>
    <s v="SANCHEZ TOLEDO ADRIANA"/>
    <n v="130"/>
    <n v="0"/>
    <n v="6910510"/>
  </r>
  <r>
    <s v="Franquicias Sell Out QUEST"/>
    <s v="FQ073-Florencia - Caquetá"/>
    <x v="10"/>
    <s v="septiembre"/>
    <n v="25"/>
    <d v="2026-09-25T00:00:00"/>
    <m/>
    <m/>
    <n v="0"/>
    <n v="9074405"/>
    <n v="0"/>
  </r>
  <r>
    <s v="Franquicias Sell Out QUEST"/>
    <s v="FQ073-Florencia - Caquetá"/>
    <x v="10"/>
    <s v="septiembre"/>
    <n v="25"/>
    <d v="2026-09-25T00:00:00"/>
    <n v="1006410301"/>
    <s v="SANCHEZ TOLEDO ADRIANA"/>
    <n v="62"/>
    <n v="0"/>
    <n v="3489000"/>
  </r>
  <r>
    <s v="Franquicias Sell Out QUEST"/>
    <s v="FQ073-Florencia - Caquetá"/>
    <x v="10"/>
    <s v="septiembre"/>
    <n v="25"/>
    <d v="2026-09-25T00:00:00"/>
    <n v="1081733616"/>
    <s v="GUARNIZO MUÑOZ INGRID YULIANA"/>
    <n v="107"/>
    <n v="0"/>
    <n v="5819042"/>
  </r>
  <r>
    <s v="Franquicias Sell Out QUEST"/>
    <s v="FQ073-Florencia - Caquetá"/>
    <x v="10"/>
    <s v="septiembre"/>
    <n v="26"/>
    <d v="2026-09-26T00:00:00"/>
    <m/>
    <m/>
    <n v="0"/>
    <n v="11442596"/>
    <n v="0"/>
  </r>
  <r>
    <s v="Franquicias Sell Out QUEST"/>
    <s v="FQ073-Florencia - Caquetá"/>
    <x v="10"/>
    <s v="septiembre"/>
    <n v="26"/>
    <d v="2026-09-26T00:00:00"/>
    <n v="1006410301"/>
    <s v="SANCHEZ TOLEDO ADRIANA"/>
    <n v="135"/>
    <n v="0"/>
    <n v="7050560"/>
  </r>
  <r>
    <s v="Franquicias Sell Out QUEST"/>
    <s v="FQ073-Florencia - Caquetá"/>
    <x v="10"/>
    <s v="septiembre"/>
    <n v="26"/>
    <d v="2026-09-26T00:00:00"/>
    <n v="1081733616"/>
    <s v="GUARNIZO MUÑOZ INGRID YULIANA"/>
    <n v="108"/>
    <n v="0"/>
    <n v="6045638"/>
  </r>
  <r>
    <s v="Franquicias Sell Out QUEST"/>
    <s v="FQ073-Florencia - Caquetá"/>
    <x v="10"/>
    <s v="septiembre"/>
    <n v="27"/>
    <d v="2026-09-27T00:00:00"/>
    <m/>
    <m/>
    <n v="0"/>
    <n v="6041580"/>
    <n v="0"/>
  </r>
  <r>
    <s v="Franquicias Sell Out QUEST"/>
    <s v="FQ073-Florencia - Caquetá"/>
    <x v="10"/>
    <s v="septiembre"/>
    <n v="27"/>
    <d v="2026-09-27T00:00:00"/>
    <n v="1006410301"/>
    <s v="SANCHEZ TOLEDO ADRIANA"/>
    <n v="76"/>
    <n v="0"/>
    <n v="3756810"/>
  </r>
  <r>
    <s v="Franquicias Sell Out QUEST"/>
    <s v="FQ073-Florencia - Caquetá"/>
    <x v="10"/>
    <s v="septiembre"/>
    <n v="27"/>
    <d v="2026-09-27T00:00:00"/>
    <n v="1081733616"/>
    <s v="GUARNIZO MUÑOZ INGRID YULIANA"/>
    <n v="77"/>
    <n v="0"/>
    <n v="4284291"/>
  </r>
  <r>
    <s v="Franquicias Sell Out QUEST"/>
    <s v="FQ073-Florencia - Caquetá"/>
    <x v="10"/>
    <s v="septiembre"/>
    <n v="28"/>
    <d v="2026-09-28T00:00:00"/>
    <m/>
    <m/>
    <n v="0"/>
    <n v="4953438"/>
    <n v="0"/>
  </r>
  <r>
    <s v="Franquicias Sell Out QUEST"/>
    <s v="FQ073-Florencia - Caquetá"/>
    <x v="10"/>
    <s v="septiembre"/>
    <n v="28"/>
    <d v="2026-09-28T00:00:00"/>
    <n v="1006410301"/>
    <s v="SANCHEZ TOLEDO ADRIANA"/>
    <n v="90"/>
    <n v="0"/>
    <n v="5166182"/>
  </r>
  <r>
    <s v="Franquicias Sell Out QUEST"/>
    <s v="FQ073-Florencia - Caquetá"/>
    <x v="10"/>
    <s v="septiembre"/>
    <n v="28"/>
    <d v="2026-09-28T00:00:00"/>
    <n v="1081733616"/>
    <s v="GUARNIZO MUÑOZ INGRID YULIANA"/>
    <n v="16"/>
    <n v="0"/>
    <n v="772354"/>
  </r>
  <r>
    <s v="Franquicias Sell Out QUEST"/>
    <s v="FQ073-Florencia - Caquetá"/>
    <x v="10"/>
    <s v="septiembre"/>
    <n v="29"/>
    <d v="2026-09-29T00:00:00"/>
    <m/>
    <m/>
    <n v="0"/>
    <n v="5506759"/>
    <n v="0"/>
  </r>
  <r>
    <s v="Franquicias Sell Out QUEST"/>
    <s v="FQ073-Florencia - Caquetá"/>
    <x v="10"/>
    <s v="septiembre"/>
    <n v="29"/>
    <d v="2026-09-29T00:00:00"/>
    <n v="1006410301"/>
    <s v="SANCHEZ TOLEDO ADRIANA"/>
    <n v="134"/>
    <n v="0"/>
    <n v="7052610"/>
  </r>
  <r>
    <s v="Franquicias Sell Out QUEST"/>
    <s v="FQ073-Florencia - Caquetá"/>
    <x v="10"/>
    <s v="septiembre"/>
    <n v="29"/>
    <d v="2026-09-29T00:00:00"/>
    <n v="1081733616"/>
    <s v="GUARNIZO MUÑOZ INGRID YULIANA"/>
    <n v="26"/>
    <n v="0"/>
    <n v="1196261"/>
  </r>
  <r>
    <s v="Franquicias Sell Out QUEST"/>
    <s v="FQ073-Florencia - Caquetá"/>
    <x v="10"/>
    <s v="septiembre"/>
    <n v="30"/>
    <d v="2026-09-30T00:00:00"/>
    <m/>
    <m/>
    <n v="0"/>
    <n v="5831834"/>
    <n v="0"/>
  </r>
  <r>
    <s v="Franquicias Sell Out QUEST"/>
    <s v="FQ073-Florencia - Caquetá"/>
    <x v="10"/>
    <s v="septiembre"/>
    <n v="30"/>
    <d v="2026-09-30T00:00:00"/>
    <n v="1006410301"/>
    <s v="SANCHEZ TOLEDO ADRIANA"/>
    <n v="35"/>
    <n v="0"/>
    <n v="1712733"/>
  </r>
  <r>
    <s v="Franquicias Sell Out QUEST"/>
    <s v="FQ073-Florencia - Caquetá"/>
    <x v="10"/>
    <s v="septiembre"/>
    <n v="30"/>
    <d v="2026-09-30T00:00:00"/>
    <n v="1081733616"/>
    <s v="GUARNIZO MUÑOZ INGRID YULIANA"/>
    <n v="108"/>
    <n v="0"/>
    <n v="5789037"/>
  </r>
  <r>
    <s v="Franquicias Sell Out QUEST"/>
    <s v="FQ073-Florencia - Caquetá"/>
    <x v="10"/>
    <s v="octubre"/>
    <n v="1"/>
    <d v="2026-10-01T00:00:00"/>
    <m/>
    <m/>
    <n v="0"/>
    <n v="13502782"/>
    <n v="0"/>
  </r>
  <r>
    <s v="Franquicias Sell Out QUEST"/>
    <s v="FQ073-Florencia - Caquetá"/>
    <x v="10"/>
    <s v="octubre"/>
    <n v="1"/>
    <d v="2026-10-01T00:00:00"/>
    <n v="1006410301"/>
    <s v="SANCHEZ TOLEDO ADRIANA"/>
    <n v="120"/>
    <n v="0"/>
    <n v="6679590"/>
  </r>
  <r>
    <s v="Franquicias Sell Out QUEST"/>
    <s v="FQ073-Florencia - Caquetá"/>
    <x v="10"/>
    <s v="octubre"/>
    <n v="1"/>
    <d v="2026-10-01T00:00:00"/>
    <n v="1081733616"/>
    <s v="GUARNIZO MUÑOZ INGRID YULIANA"/>
    <n v="6"/>
    <n v="0"/>
    <n v="260253"/>
  </r>
  <r>
    <s v="Franquicias Sell Out QUEST"/>
    <s v="FQ073-Florencia - Caquetá"/>
    <x v="10"/>
    <s v="octubre"/>
    <n v="2"/>
    <d v="2026-10-02T00:00:00"/>
    <m/>
    <m/>
    <n v="0"/>
    <n v="13159507"/>
    <n v="0"/>
  </r>
  <r>
    <s v="Franquicias Sell Out QUEST"/>
    <s v="FQ073-Florencia - Caquetá"/>
    <x v="10"/>
    <s v="octubre"/>
    <n v="2"/>
    <d v="2026-10-02T00:00:00"/>
    <n v="1006410301"/>
    <s v="SANCHEZ TOLEDO ADRIANA"/>
    <n v="53"/>
    <n v="0"/>
    <n v="2541729"/>
  </r>
  <r>
    <s v="Franquicias Sell Out QUEST"/>
    <s v="FQ073-Florencia - Caquetá"/>
    <x v="10"/>
    <s v="octubre"/>
    <n v="2"/>
    <d v="2026-10-02T00:00:00"/>
    <n v="1081733616"/>
    <s v="GUARNIZO MUÑOZ INGRID YULIANA"/>
    <n v="24"/>
    <n v="0"/>
    <n v="1213279"/>
  </r>
  <r>
    <s v="Franquicias Sell Out QUEST"/>
    <s v="FQ073-Florencia - Caquetá"/>
    <x v="10"/>
    <s v="octubre"/>
    <n v="3"/>
    <d v="2026-10-03T00:00:00"/>
    <m/>
    <m/>
    <n v="0"/>
    <n v="11885135"/>
    <n v="0"/>
  </r>
  <r>
    <s v="Franquicias Sell Out QUEST"/>
    <s v="FQ073-Florencia - Caquetá"/>
    <x v="10"/>
    <s v="octubre"/>
    <n v="3"/>
    <d v="2026-10-03T00:00:00"/>
    <n v="1006410301"/>
    <s v="SANCHEZ TOLEDO ADRIANA"/>
    <n v="110"/>
    <n v="0"/>
    <n v="5531061"/>
  </r>
  <r>
    <s v="Franquicias Sell Out QUEST"/>
    <s v="FQ073-Florencia - Caquetá"/>
    <x v="10"/>
    <s v="octubre"/>
    <n v="3"/>
    <d v="2026-10-03T00:00:00"/>
    <n v="1081733616"/>
    <s v="GUARNIZO MUÑOZ INGRID YULIANA"/>
    <n v="85"/>
    <n v="0"/>
    <n v="4521117"/>
  </r>
  <r>
    <s v="Franquicias Sell Out QUEST"/>
    <s v="FQ073-Florencia - Caquetá"/>
    <x v="10"/>
    <s v="octubre"/>
    <n v="4"/>
    <d v="2026-10-04T00:00:00"/>
    <m/>
    <m/>
    <n v="0"/>
    <n v="4887316"/>
    <n v="0"/>
  </r>
  <r>
    <s v="Franquicias Sell Out QUEST"/>
    <s v="FQ073-Florencia - Caquetá"/>
    <x v="10"/>
    <s v="octubre"/>
    <n v="4"/>
    <d v="2026-10-04T00:00:00"/>
    <n v="1006410301"/>
    <s v="SANCHEZ TOLEDO ADRIANA"/>
    <n v="59"/>
    <n v="0"/>
    <n v="3276381"/>
  </r>
  <r>
    <s v="Franquicias Sell Out QUEST"/>
    <s v="FQ073-Florencia - Caquetá"/>
    <x v="10"/>
    <s v="octubre"/>
    <n v="4"/>
    <d v="2026-10-04T00:00:00"/>
    <n v="1081733616"/>
    <s v="GUARNIZO MUÑOZ INGRID YULIANA"/>
    <n v="0"/>
    <n v="0"/>
    <n v="12605"/>
  </r>
  <r>
    <s v="Franquicias Sell Out QUEST"/>
    <s v="FQ073-Florencia - Caquetá"/>
    <x v="10"/>
    <s v="octubre"/>
    <n v="5"/>
    <d v="2026-10-05T00:00:00"/>
    <m/>
    <m/>
    <n v="0"/>
    <n v="9365665"/>
    <n v="0"/>
  </r>
  <r>
    <s v="Franquicias Sell Out QUEST"/>
    <s v="FQ073-Florencia - Caquetá"/>
    <x v="10"/>
    <s v="octubre"/>
    <n v="5"/>
    <d v="2026-10-05T00:00:00"/>
    <n v="1006410301"/>
    <s v="SANCHEZ TOLEDO ADRIANA"/>
    <n v="111"/>
    <n v="0"/>
    <n v="6581720"/>
  </r>
  <r>
    <s v="Franquicias Sell Out QUEST"/>
    <s v="FQ073-Florencia - Caquetá"/>
    <x v="10"/>
    <s v="octubre"/>
    <n v="5"/>
    <d v="2026-10-05T00:00:00"/>
    <n v="1081733616"/>
    <s v="GUARNIZO MUÑOZ INGRID YULIANA"/>
    <n v="-1"/>
    <n v="0"/>
    <n v="-43664"/>
  </r>
  <r>
    <s v="Franquicias Sell Out QUEST"/>
    <s v="FQ073-Florencia - Caquetá"/>
    <x v="10"/>
    <s v="octubre"/>
    <n v="6"/>
    <d v="2026-10-06T00:00:00"/>
    <m/>
    <m/>
    <n v="0"/>
    <n v="5717178"/>
    <n v="0"/>
  </r>
  <r>
    <s v="Franquicias Sell Out QUEST"/>
    <s v="FQ073-Florencia - Caquetá"/>
    <x v="10"/>
    <s v="octubre"/>
    <n v="6"/>
    <d v="2026-10-06T00:00:00"/>
    <n v="1006410301"/>
    <s v="SANCHEZ TOLEDO ADRIANA"/>
    <n v="65"/>
    <n v="0"/>
    <n v="3465029"/>
  </r>
  <r>
    <s v="Franquicias Sell Out QUEST"/>
    <s v="FQ073-Florencia - Caquetá"/>
    <x v="10"/>
    <s v="octubre"/>
    <n v="6"/>
    <d v="2026-10-06T00:00:00"/>
    <n v="1081733616"/>
    <s v="GUARNIZO MUÑOZ INGRID YULIANA"/>
    <n v="-1"/>
    <n v="0"/>
    <n v="-31941"/>
  </r>
  <r>
    <s v="Franquicias Sell Out QUEST"/>
    <s v="FQ073-Florencia - Caquetá"/>
    <x v="10"/>
    <s v="octubre"/>
    <n v="7"/>
    <d v="2026-10-07T00:00:00"/>
    <m/>
    <m/>
    <n v="0"/>
    <n v="3030122"/>
    <n v="0"/>
  </r>
  <r>
    <s v="Franquicias Sell Out QUEST"/>
    <s v="FQ073-Florencia - Caquetá"/>
    <x v="10"/>
    <s v="octubre"/>
    <n v="7"/>
    <d v="2026-10-07T00:00:00"/>
    <n v="1006410301"/>
    <s v="SANCHEZ TOLEDO ADRIANA"/>
    <n v="70"/>
    <n v="0"/>
    <n v="4103955"/>
  </r>
  <r>
    <s v="Franquicias Sell Out QUEST"/>
    <s v="FQ073-Florencia - Caquetá"/>
    <x v="10"/>
    <s v="octubre"/>
    <n v="7"/>
    <d v="2026-10-07T00:00:00"/>
    <n v="1081733616"/>
    <s v="GUARNIZO MUÑOZ INGRID YULIANA"/>
    <n v="-1"/>
    <n v="0"/>
    <n v="-46177"/>
  </r>
  <r>
    <s v="Franquicias Sell Out QUEST"/>
    <s v="FQ074-Neiva - CC Santa Lucia"/>
    <x v="10"/>
    <s v="septiembre"/>
    <n v="23"/>
    <d v="2026-09-23T00:00:00"/>
    <m/>
    <m/>
    <n v="0"/>
    <n v="1778172"/>
    <n v="0"/>
  </r>
  <r>
    <s v="Franquicias Sell Out QUEST"/>
    <s v="FQ074-Neiva - CC Santa Lucia"/>
    <x v="10"/>
    <s v="septiembre"/>
    <n v="23"/>
    <d v="2026-09-23T00:00:00"/>
    <n v="1075212086"/>
    <s v="CONDE RAMIREZ  GLORIA ANDREA"/>
    <n v="40"/>
    <n v="0"/>
    <n v="2162186"/>
  </r>
  <r>
    <s v="Franquicias Sell Out QUEST"/>
    <s v="FQ074-Neiva - CC Santa Lucia"/>
    <x v="10"/>
    <s v="septiembre"/>
    <n v="24"/>
    <d v="2026-09-24T00:00:00"/>
    <m/>
    <m/>
    <n v="0"/>
    <n v="4598701"/>
    <n v="0"/>
  </r>
  <r>
    <s v="Franquicias Sell Out QUEST"/>
    <s v="FQ074-Neiva - CC Santa Lucia"/>
    <x v="10"/>
    <s v="septiembre"/>
    <n v="24"/>
    <d v="2026-09-24T00:00:00"/>
    <n v="1075218460"/>
    <s v="CHILA BUSTOS ANDRES MAURICIO"/>
    <n v="52"/>
    <n v="0"/>
    <n v="2968407"/>
  </r>
  <r>
    <s v="Franquicias Sell Out QUEST"/>
    <s v="FQ074-Neiva - CC Santa Lucia"/>
    <x v="10"/>
    <s v="septiembre"/>
    <n v="25"/>
    <d v="2026-09-25T00:00:00"/>
    <m/>
    <m/>
    <n v="0"/>
    <n v="4911662"/>
    <n v="0"/>
  </r>
  <r>
    <s v="Franquicias Sell Out QUEST"/>
    <s v="FQ074-Neiva - CC Santa Lucia"/>
    <x v="10"/>
    <s v="septiembre"/>
    <n v="25"/>
    <d v="2026-09-25T00:00:00"/>
    <n v="1075218460"/>
    <s v="CHILA BUSTOS ANDRES MAURICIO"/>
    <n v="56"/>
    <n v="0"/>
    <n v="3369497"/>
  </r>
  <r>
    <s v="Franquicias Sell Out QUEST"/>
    <s v="FQ074-Neiva - CC Santa Lucia"/>
    <x v="10"/>
    <s v="septiembre"/>
    <n v="26"/>
    <d v="2026-09-26T00:00:00"/>
    <m/>
    <m/>
    <n v="0"/>
    <n v="6193485"/>
    <n v="0"/>
  </r>
  <r>
    <s v="Franquicias Sell Out QUEST"/>
    <s v="FQ074-Neiva - CC Santa Lucia"/>
    <x v="10"/>
    <s v="septiembre"/>
    <n v="26"/>
    <d v="2026-09-26T00:00:00"/>
    <n v="1075212086"/>
    <s v="CONDE RAMIREZ  GLORIA ANDREA"/>
    <n v="43"/>
    <n v="0"/>
    <n v="1905380"/>
  </r>
  <r>
    <s v="Franquicias Sell Out QUEST"/>
    <s v="FQ074-Neiva - CC Santa Lucia"/>
    <x v="10"/>
    <s v="septiembre"/>
    <n v="26"/>
    <d v="2026-09-26T00:00:00"/>
    <n v="1075218460"/>
    <s v="CHILA BUSTOS ANDRES MAURICIO"/>
    <n v="1"/>
    <n v="0"/>
    <n v="25126"/>
  </r>
  <r>
    <s v="Franquicias Sell Out QUEST"/>
    <s v="FQ074-Neiva - CC Santa Lucia"/>
    <x v="10"/>
    <s v="septiembre"/>
    <n v="27"/>
    <d v="2026-09-27T00:00:00"/>
    <m/>
    <m/>
    <n v="0"/>
    <n v="3270102"/>
    <n v="0"/>
  </r>
  <r>
    <s v="Franquicias Sell Out QUEST"/>
    <s v="FQ074-Neiva - CC Santa Lucia"/>
    <x v="10"/>
    <s v="septiembre"/>
    <n v="27"/>
    <d v="2026-09-27T00:00:00"/>
    <n v="1007681582"/>
    <s v="CONDE RAMIREZ KATHERIN DEL PILAR"/>
    <n v="-1"/>
    <n v="0"/>
    <n v="-41975"/>
  </r>
  <r>
    <s v="Franquicias Sell Out QUEST"/>
    <s v="FQ074-Neiva - CC Santa Lucia"/>
    <x v="10"/>
    <s v="septiembre"/>
    <n v="27"/>
    <d v="2026-09-27T00:00:00"/>
    <n v="1075212086"/>
    <s v="CONDE RAMIREZ  GLORIA ANDREA"/>
    <n v="90"/>
    <n v="0"/>
    <n v="4642816"/>
  </r>
  <r>
    <s v="Franquicias Sell Out QUEST"/>
    <s v="FQ074-Neiva - CC Santa Lucia"/>
    <x v="10"/>
    <s v="septiembre"/>
    <n v="27"/>
    <d v="2026-09-27T00:00:00"/>
    <n v="1075218460"/>
    <s v="CHILA BUSTOS ANDRES MAURICIO"/>
    <n v="4"/>
    <n v="0"/>
    <n v="193109"/>
  </r>
  <r>
    <s v="Franquicias Sell Out QUEST"/>
    <s v="FQ074-Neiva - CC Santa Lucia"/>
    <x v="10"/>
    <s v="septiembre"/>
    <n v="28"/>
    <d v="2026-09-28T00:00:00"/>
    <m/>
    <m/>
    <n v="0"/>
    <n v="2681128"/>
    <n v="0"/>
  </r>
  <r>
    <s v="Franquicias Sell Out QUEST"/>
    <s v="FQ074-Neiva - CC Santa Lucia"/>
    <x v="10"/>
    <s v="septiembre"/>
    <n v="28"/>
    <d v="2026-09-28T00:00:00"/>
    <n v="1075218460"/>
    <s v="CHILA BUSTOS ANDRES MAURICIO"/>
    <n v="20"/>
    <n v="0"/>
    <n v="963449"/>
  </r>
  <r>
    <s v="Franquicias Sell Out QUEST"/>
    <s v="FQ074-Neiva - CC Santa Lucia"/>
    <x v="10"/>
    <s v="septiembre"/>
    <n v="29"/>
    <d v="2026-09-29T00:00:00"/>
    <m/>
    <m/>
    <n v="0"/>
    <n v="2980621"/>
    <n v="0"/>
  </r>
  <r>
    <s v="Franquicias Sell Out QUEST"/>
    <s v="FQ074-Neiva - CC Santa Lucia"/>
    <x v="10"/>
    <s v="septiembre"/>
    <n v="29"/>
    <d v="2026-09-29T00:00:00"/>
    <n v="1075212086"/>
    <s v="CONDE RAMIREZ  GLORIA ANDREA"/>
    <n v="0"/>
    <n v="0"/>
    <n v="0"/>
  </r>
  <r>
    <s v="Franquicias Sell Out QUEST"/>
    <s v="FQ074-Neiva - CC Santa Lucia"/>
    <x v="10"/>
    <s v="septiembre"/>
    <n v="29"/>
    <d v="2026-09-29T00:00:00"/>
    <n v="1075218460"/>
    <s v="CHILA BUSTOS ANDRES MAURICIO"/>
    <n v="69"/>
    <n v="0"/>
    <n v="3040760"/>
  </r>
  <r>
    <s v="Franquicias Sell Out QUEST"/>
    <s v="FQ074-Neiva - CC Santa Lucia"/>
    <x v="10"/>
    <s v="septiembre"/>
    <n v="30"/>
    <d v="2026-09-30T00:00:00"/>
    <m/>
    <m/>
    <n v="0"/>
    <n v="3156570"/>
    <n v="0"/>
  </r>
  <r>
    <s v="Franquicias Sell Out QUEST"/>
    <s v="FQ074-Neiva - CC Santa Lucia"/>
    <x v="10"/>
    <s v="septiembre"/>
    <n v="30"/>
    <d v="2026-09-30T00:00:00"/>
    <n v="1075212086"/>
    <s v="CONDE RAMIREZ  GLORIA ANDREA"/>
    <n v="44"/>
    <n v="0"/>
    <n v="2006346"/>
  </r>
  <r>
    <s v="Franquicias Sell Out QUEST"/>
    <s v="FQ074-Neiva - CC Santa Lucia"/>
    <x v="10"/>
    <s v="septiembre"/>
    <n v="30"/>
    <d v="2026-09-30T00:00:00"/>
    <n v="1075218460"/>
    <s v="CHILA BUSTOS ANDRES MAURICIO"/>
    <n v="0"/>
    <n v="0"/>
    <n v="16807"/>
  </r>
  <r>
    <s v="Franquicias Sell Out QUEST"/>
    <s v="FQ074-Neiva - CC Santa Lucia"/>
    <x v="10"/>
    <s v="octubre"/>
    <n v="1"/>
    <d v="2026-10-01T00:00:00"/>
    <m/>
    <m/>
    <n v="0"/>
    <n v="3615122"/>
    <n v="0"/>
  </r>
  <r>
    <s v="Franquicias Sell Out QUEST"/>
    <s v="FQ074-Neiva - CC Santa Lucia"/>
    <x v="10"/>
    <s v="octubre"/>
    <n v="1"/>
    <d v="2026-10-01T00:00:00"/>
    <n v="1075212086"/>
    <s v="CONDE RAMIREZ  GLORIA ANDREA"/>
    <n v="0"/>
    <n v="0"/>
    <n v="-1"/>
  </r>
  <r>
    <s v="Franquicias Sell Out QUEST"/>
    <s v="FQ074-Neiva - CC Santa Lucia"/>
    <x v="10"/>
    <s v="octubre"/>
    <n v="1"/>
    <d v="2026-10-01T00:00:00"/>
    <n v="1075218460"/>
    <s v="CHILA BUSTOS ANDRES MAURICIO"/>
    <n v="50"/>
    <n v="0"/>
    <n v="2375883"/>
  </r>
  <r>
    <s v="Franquicias Sell Out QUEST"/>
    <s v="FQ074-Neiva - CC Santa Lucia"/>
    <x v="10"/>
    <s v="octubre"/>
    <n v="2"/>
    <d v="2026-10-02T00:00:00"/>
    <m/>
    <m/>
    <n v="0"/>
    <n v="3553782"/>
    <n v="0"/>
  </r>
  <r>
    <s v="Franquicias Sell Out QUEST"/>
    <s v="FQ074-Neiva - CC Santa Lucia"/>
    <x v="10"/>
    <s v="octubre"/>
    <n v="2"/>
    <d v="2026-10-02T00:00:00"/>
    <n v="1007681582"/>
    <s v="CONDE RAMIREZ KATHERIN DEL PILAR"/>
    <n v="52"/>
    <n v="0"/>
    <n v="2377481"/>
  </r>
  <r>
    <s v="Franquicias Sell Out QUEST"/>
    <s v="FQ074-Neiva - CC Santa Lucia"/>
    <x v="10"/>
    <s v="octubre"/>
    <n v="3"/>
    <d v="2026-10-03T00:00:00"/>
    <m/>
    <m/>
    <n v="0"/>
    <n v="8656096"/>
    <n v="0"/>
  </r>
  <r>
    <s v="Franquicias Sell Out QUEST"/>
    <s v="FQ074-Neiva - CC Santa Lucia"/>
    <x v="10"/>
    <s v="octubre"/>
    <n v="3"/>
    <d v="2026-10-03T00:00:00"/>
    <n v="1007681582"/>
    <s v="CONDE RAMIREZ KATHERIN DEL PILAR"/>
    <n v="101"/>
    <n v="0"/>
    <n v="4725737"/>
  </r>
  <r>
    <s v="Franquicias Sell Out QUEST"/>
    <s v="FQ074-Neiva - CC Santa Lucia"/>
    <x v="10"/>
    <s v="octubre"/>
    <n v="3"/>
    <d v="2026-10-03T00:00:00"/>
    <n v="1075218460"/>
    <s v="CHILA BUSTOS ANDRES MAURICIO"/>
    <n v="1"/>
    <n v="0"/>
    <n v="52479"/>
  </r>
  <r>
    <s v="Franquicias Sell Out QUEST"/>
    <s v="FQ074-Neiva - CC Santa Lucia"/>
    <x v="10"/>
    <s v="octubre"/>
    <n v="4"/>
    <d v="2026-10-04T00:00:00"/>
    <m/>
    <m/>
    <n v="0"/>
    <n v="7205315"/>
    <n v="0"/>
  </r>
  <r>
    <s v="Franquicias Sell Out QUEST"/>
    <s v="FQ074-Neiva - CC Santa Lucia"/>
    <x v="10"/>
    <s v="octubre"/>
    <n v="4"/>
    <d v="2026-10-04T00:00:00"/>
    <n v="1007681582"/>
    <s v="CONDE RAMIREZ KATHERIN DEL PILAR"/>
    <n v="67"/>
    <n v="0"/>
    <n v="3282820"/>
  </r>
  <r>
    <s v="Franquicias Sell Out QUEST"/>
    <s v="FQ074-Neiva - CC Santa Lucia"/>
    <x v="10"/>
    <s v="octubre"/>
    <n v="4"/>
    <d v="2026-10-04T00:00:00"/>
    <n v="1075212086"/>
    <s v="CONDE RAMIREZ  GLORIA ANDREA"/>
    <n v="50"/>
    <n v="0"/>
    <n v="2411557"/>
  </r>
  <r>
    <s v="Franquicias Sell Out QUEST"/>
    <s v="FQ074-Neiva - CC Santa Lucia"/>
    <x v="10"/>
    <s v="octubre"/>
    <n v="4"/>
    <d v="2026-10-04T00:00:00"/>
    <n v="1075218460"/>
    <s v="CHILA BUSTOS ANDRES MAURICIO"/>
    <n v="-1"/>
    <n v="0"/>
    <n v="-41975"/>
  </r>
  <r>
    <s v="Franquicias Sell Out QUEST"/>
    <s v="FQ074-Neiva - CC Santa Lucia"/>
    <x v="10"/>
    <s v="octubre"/>
    <n v="5"/>
    <d v="2026-10-05T00:00:00"/>
    <m/>
    <m/>
    <n v="0"/>
    <n v="4432332"/>
    <n v="0"/>
  </r>
  <r>
    <s v="Franquicias Sell Out QUEST"/>
    <s v="FQ074-Neiva - CC Santa Lucia"/>
    <x v="10"/>
    <s v="octubre"/>
    <n v="5"/>
    <d v="2026-10-05T00:00:00"/>
    <n v="1007681582"/>
    <s v="CONDE RAMIREZ KATHERIN DEL PILAR"/>
    <n v="21"/>
    <n v="0"/>
    <n v="1020086"/>
  </r>
  <r>
    <s v="Franquicias Sell Out QUEST"/>
    <s v="FQ074-Neiva - CC Santa Lucia"/>
    <x v="10"/>
    <s v="octubre"/>
    <n v="5"/>
    <d v="2026-10-05T00:00:00"/>
    <n v="1075212086"/>
    <s v="CONDE RAMIREZ  GLORIA ANDREA"/>
    <n v="21"/>
    <n v="0"/>
    <n v="1007440"/>
  </r>
  <r>
    <s v="Franquicias Sell Out QUEST"/>
    <s v="FQ074-Neiva - CC Santa Lucia"/>
    <x v="10"/>
    <s v="octubre"/>
    <n v="6"/>
    <d v="2026-10-06T00:00:00"/>
    <m/>
    <m/>
    <n v="0"/>
    <n v="2794218"/>
    <n v="0"/>
  </r>
  <r>
    <s v="Franquicias Sell Out QUEST"/>
    <s v="FQ074-Neiva - CC Santa Lucia"/>
    <x v="10"/>
    <s v="octubre"/>
    <n v="6"/>
    <d v="2026-10-06T00:00:00"/>
    <n v="1007681582"/>
    <s v="CONDE RAMIREZ KATHERIN DEL PILAR"/>
    <n v="62"/>
    <n v="0"/>
    <n v="3240798"/>
  </r>
  <r>
    <s v="Franquicias Sell Out QUEST"/>
    <s v="FQ074-Neiva - CC Santa Lucia"/>
    <x v="10"/>
    <s v="octubre"/>
    <n v="7"/>
    <d v="2026-10-07T00:00:00"/>
    <m/>
    <m/>
    <n v="0"/>
    <n v="2594603"/>
    <n v="0"/>
  </r>
  <r>
    <s v="Franquicias Sell Out QUEST"/>
    <s v="FQ074-Neiva - CC Santa Lucia"/>
    <x v="10"/>
    <s v="octubre"/>
    <n v="7"/>
    <d v="2026-10-07T00:00:00"/>
    <n v="1007681582"/>
    <s v="CONDE RAMIREZ KATHERIN DEL PILAR"/>
    <n v="49"/>
    <n v="0"/>
    <n v="2253910"/>
  </r>
  <r>
    <s v="Franquicias Sell Out QUEST"/>
    <s v="FQ080 - Pitalito - Huila"/>
    <x v="10"/>
    <s v="septiembre"/>
    <n v="23"/>
    <d v="2026-09-23T00:00:00"/>
    <m/>
    <m/>
    <n v="0"/>
    <n v="5311740"/>
    <n v="0"/>
  </r>
  <r>
    <s v="Franquicias Sell Out QUEST"/>
    <s v="FQ080 - Pitalito - Huila"/>
    <x v="10"/>
    <s v="septiembre"/>
    <n v="23"/>
    <d v="2026-09-23T00:00:00"/>
    <n v="36296690"/>
    <s v="LOPEZ MENESES YUBELY"/>
    <n v="15"/>
    <n v="0"/>
    <n v="1011975"/>
  </r>
  <r>
    <s v="Franquicias Sell Out QUEST"/>
    <s v="FQ080 - Pitalito - Huila"/>
    <x v="10"/>
    <s v="septiembre"/>
    <n v="23"/>
    <d v="2026-09-23T00:00:00"/>
    <n v="103884474"/>
    <s v="FLOREZ CANO DAYANA VALENTINA"/>
    <n v="27"/>
    <n v="0"/>
    <n v="1377061"/>
  </r>
  <r>
    <s v="Franquicias Sell Out QUEST"/>
    <s v="FQ080 - Pitalito - Huila"/>
    <x v="10"/>
    <s v="septiembre"/>
    <n v="23"/>
    <d v="2026-09-23T00:00:00"/>
    <n v="1007600493"/>
    <s v="ANACONA SILVA LICETH JHERALDINE"/>
    <n v="26"/>
    <n v="0"/>
    <n v="1608151"/>
  </r>
  <r>
    <s v="Franquicias Sell Out QUEST"/>
    <s v="FQ080 - Pitalito - Huila"/>
    <x v="10"/>
    <s v="septiembre"/>
    <n v="23"/>
    <d v="2026-09-23T00:00:00"/>
    <n v="1080190058"/>
    <s v="BARRERO GABONA  YUNEIDY"/>
    <n v="53"/>
    <n v="0"/>
    <n v="2871770"/>
  </r>
  <r>
    <s v="Franquicias Sell Out QUEST"/>
    <s v="FQ080 - Pitalito - Huila"/>
    <x v="10"/>
    <s v="septiembre"/>
    <n v="24"/>
    <d v="2026-09-24T00:00:00"/>
    <m/>
    <m/>
    <n v="0"/>
    <n v="13737174"/>
    <n v="0"/>
  </r>
  <r>
    <s v="Franquicias Sell Out QUEST"/>
    <s v="FQ080 - Pitalito - Huila"/>
    <x v="10"/>
    <s v="septiembre"/>
    <n v="24"/>
    <d v="2026-09-24T00:00:00"/>
    <n v="36296690"/>
    <s v="LOPEZ MENESES YUBELY"/>
    <n v="11"/>
    <n v="0"/>
    <n v="713825"/>
  </r>
  <r>
    <s v="Franquicias Sell Out QUEST"/>
    <s v="FQ080 - Pitalito - Huila"/>
    <x v="10"/>
    <s v="septiembre"/>
    <n v="24"/>
    <d v="2026-09-24T00:00:00"/>
    <n v="103884474"/>
    <s v="FLOREZ CANO DAYANA VALENTINA"/>
    <n v="16"/>
    <n v="0"/>
    <n v="839666"/>
  </r>
  <r>
    <s v="Franquicias Sell Out QUEST"/>
    <s v="FQ080 - Pitalito - Huila"/>
    <x v="10"/>
    <s v="septiembre"/>
    <n v="24"/>
    <d v="2026-09-24T00:00:00"/>
    <n v="1007600493"/>
    <s v="ANACONA SILVA LICETH JHERALDINE"/>
    <n v="34"/>
    <n v="0"/>
    <n v="2091009"/>
  </r>
  <r>
    <s v="Franquicias Sell Out QUEST"/>
    <s v="FQ080 - Pitalito - Huila"/>
    <x v="10"/>
    <s v="septiembre"/>
    <n v="24"/>
    <d v="2026-09-24T00:00:00"/>
    <n v="1080190058"/>
    <s v="BARRERO GABONA  YUNEIDY"/>
    <n v="92"/>
    <n v="0"/>
    <n v="4901603"/>
  </r>
  <r>
    <s v="Franquicias Sell Out QUEST"/>
    <s v="FQ080 - Pitalito - Huila"/>
    <x v="10"/>
    <s v="septiembre"/>
    <n v="25"/>
    <d v="2026-09-25T00:00:00"/>
    <m/>
    <m/>
    <n v="0"/>
    <n v="14672054"/>
    <n v="0"/>
  </r>
  <r>
    <s v="Franquicias Sell Out QUEST"/>
    <s v="FQ080 - Pitalito - Huila"/>
    <x v="10"/>
    <s v="septiembre"/>
    <n v="25"/>
    <d v="2026-09-25T00:00:00"/>
    <n v="36296690"/>
    <s v="LOPEZ MENESES YUBELY"/>
    <n v="62"/>
    <n v="0"/>
    <n v="3583532"/>
  </r>
  <r>
    <s v="Franquicias Sell Out QUEST"/>
    <s v="FQ080 - Pitalito - Huila"/>
    <x v="10"/>
    <s v="septiembre"/>
    <n v="25"/>
    <d v="2026-09-25T00:00:00"/>
    <n v="103884474"/>
    <s v="FLOREZ CANO DAYANA VALENTINA"/>
    <n v="44"/>
    <n v="0"/>
    <n v="2573825"/>
  </r>
  <r>
    <s v="Franquicias Sell Out QUEST"/>
    <s v="FQ080 - Pitalito - Huila"/>
    <x v="10"/>
    <s v="septiembre"/>
    <n v="25"/>
    <d v="2026-09-25T00:00:00"/>
    <n v="1080190058"/>
    <s v="BARRERO GABONA  YUNEIDY"/>
    <n v="48"/>
    <n v="0"/>
    <n v="3006345"/>
  </r>
  <r>
    <s v="Franquicias Sell Out QUEST"/>
    <s v="FQ080 - Pitalito - Huila"/>
    <x v="10"/>
    <s v="septiembre"/>
    <n v="26"/>
    <d v="2026-09-26T00:00:00"/>
    <m/>
    <m/>
    <n v="0"/>
    <n v="18501086"/>
    <n v="0"/>
  </r>
  <r>
    <s v="Franquicias Sell Out QUEST"/>
    <s v="FQ080 - Pitalito - Huila"/>
    <x v="10"/>
    <s v="septiembre"/>
    <n v="26"/>
    <d v="2026-09-26T00:00:00"/>
    <n v="36296690"/>
    <s v="LOPEZ MENESES YUBELY"/>
    <n v="81"/>
    <n v="0"/>
    <n v="4397823"/>
  </r>
  <r>
    <s v="Franquicias Sell Out QUEST"/>
    <s v="FQ080 - Pitalito - Huila"/>
    <x v="10"/>
    <s v="septiembre"/>
    <n v="26"/>
    <d v="2026-09-26T00:00:00"/>
    <n v="103884474"/>
    <s v="FLOREZ CANO DAYANA VALENTINA"/>
    <n v="94"/>
    <n v="0"/>
    <n v="5174629"/>
  </r>
  <r>
    <s v="Franquicias Sell Out QUEST"/>
    <s v="FQ080 - Pitalito - Huila"/>
    <x v="10"/>
    <s v="septiembre"/>
    <n v="26"/>
    <d v="2026-09-26T00:00:00"/>
    <n v="1007600493"/>
    <s v="ANACONA SILVA LICETH JHERALDINE"/>
    <n v="59"/>
    <n v="0"/>
    <n v="3806348"/>
  </r>
  <r>
    <s v="Franquicias Sell Out QUEST"/>
    <s v="FQ080 - Pitalito - Huila"/>
    <x v="10"/>
    <s v="septiembre"/>
    <n v="26"/>
    <d v="2026-09-26T00:00:00"/>
    <n v="1080190058"/>
    <s v="BARRERO GABONA  YUNEIDY"/>
    <n v="122"/>
    <n v="0"/>
    <n v="6936139"/>
  </r>
  <r>
    <s v="Franquicias Sell Out QUEST"/>
    <s v="FQ080 - Pitalito - Huila"/>
    <x v="10"/>
    <s v="septiembre"/>
    <n v="27"/>
    <d v="2026-09-27T00:00:00"/>
    <m/>
    <m/>
    <n v="0"/>
    <n v="9768399"/>
    <n v="0"/>
  </r>
  <r>
    <s v="Franquicias Sell Out QUEST"/>
    <s v="FQ080 - Pitalito - Huila"/>
    <x v="10"/>
    <s v="septiembre"/>
    <n v="27"/>
    <d v="2026-09-27T00:00:00"/>
    <n v="36296690"/>
    <s v="LOPEZ MENESES YUBELY"/>
    <n v="2"/>
    <n v="0"/>
    <n v="134370"/>
  </r>
  <r>
    <s v="Franquicias Sell Out QUEST"/>
    <s v="FQ080 - Pitalito - Huila"/>
    <x v="10"/>
    <s v="septiembre"/>
    <n v="27"/>
    <d v="2026-09-27T00:00:00"/>
    <n v="103884474"/>
    <s v="FLOREZ CANO DAYANA VALENTINA"/>
    <n v="37"/>
    <n v="0"/>
    <n v="2582437"/>
  </r>
  <r>
    <s v="Franquicias Sell Out QUEST"/>
    <s v="FQ080 - Pitalito - Huila"/>
    <x v="10"/>
    <s v="septiembre"/>
    <n v="27"/>
    <d v="2026-09-27T00:00:00"/>
    <n v="1007600493"/>
    <s v="ANACONA SILVA LICETH JHERALDINE"/>
    <n v="27"/>
    <n v="0"/>
    <n v="1813993"/>
  </r>
  <r>
    <s v="Franquicias Sell Out QUEST"/>
    <s v="FQ080 - Pitalito - Huila"/>
    <x v="10"/>
    <s v="septiembre"/>
    <n v="27"/>
    <d v="2026-09-27T00:00:00"/>
    <n v="1080190058"/>
    <s v="BARRERO GABONA  YUNEIDY"/>
    <n v="73"/>
    <n v="0"/>
    <n v="4072567"/>
  </r>
  <r>
    <s v="Franquicias Sell Out QUEST"/>
    <s v="FQ080 - Pitalito - Huila"/>
    <x v="10"/>
    <s v="septiembre"/>
    <n v="28"/>
    <d v="2026-09-28T00:00:00"/>
    <m/>
    <m/>
    <n v="0"/>
    <n v="8009024"/>
    <n v="0"/>
  </r>
  <r>
    <s v="Franquicias Sell Out QUEST"/>
    <s v="FQ080 - Pitalito - Huila"/>
    <x v="10"/>
    <s v="septiembre"/>
    <n v="28"/>
    <d v="2026-09-28T00:00:00"/>
    <n v="36296690"/>
    <s v="LOPEZ MENESES YUBELY"/>
    <n v="28"/>
    <n v="0"/>
    <n v="1469416"/>
  </r>
  <r>
    <s v="Franquicias Sell Out QUEST"/>
    <s v="FQ080 - Pitalito - Huila"/>
    <x v="10"/>
    <s v="septiembre"/>
    <n v="28"/>
    <d v="2026-09-28T00:00:00"/>
    <n v="103884474"/>
    <s v="FLOREZ CANO DAYANA VALENTINA"/>
    <n v="8"/>
    <n v="0"/>
    <n v="403026"/>
  </r>
  <r>
    <s v="Franquicias Sell Out QUEST"/>
    <s v="FQ080 - Pitalito - Huila"/>
    <x v="10"/>
    <s v="septiembre"/>
    <n v="28"/>
    <d v="2026-09-28T00:00:00"/>
    <n v="1007600493"/>
    <s v="ANACONA SILVA LICETH JHERALDINE"/>
    <n v="70"/>
    <n v="0"/>
    <n v="4072648"/>
  </r>
  <r>
    <s v="Franquicias Sell Out QUEST"/>
    <s v="FQ080 - Pitalito - Huila"/>
    <x v="10"/>
    <s v="septiembre"/>
    <n v="28"/>
    <d v="2026-09-28T00:00:00"/>
    <n v="1080190058"/>
    <s v="BARRERO GABONA  YUNEIDY"/>
    <n v="49"/>
    <n v="0"/>
    <n v="2783531"/>
  </r>
  <r>
    <s v="Franquicias Sell Out QUEST"/>
    <s v="FQ080 - Pitalito - Huila"/>
    <x v="10"/>
    <s v="septiembre"/>
    <n v="28"/>
    <d v="2026-09-28T00:00:00"/>
    <n v="1083875947"/>
    <s v="MURCIA  KAROL MICHELLE"/>
    <n v="-1"/>
    <n v="0"/>
    <n v="-100756"/>
  </r>
  <r>
    <s v="Franquicias Sell Out QUEST"/>
    <s v="FQ080 - Pitalito - Huila"/>
    <x v="10"/>
    <s v="septiembre"/>
    <n v="29"/>
    <d v="2026-09-29T00:00:00"/>
    <m/>
    <m/>
    <n v="0"/>
    <n v="8903666"/>
    <n v="0"/>
  </r>
  <r>
    <s v="Franquicias Sell Out QUEST"/>
    <s v="FQ080 - Pitalito - Huila"/>
    <x v="10"/>
    <s v="septiembre"/>
    <n v="29"/>
    <d v="2026-09-29T00:00:00"/>
    <n v="36296690"/>
    <s v="LOPEZ MENESES YUBELY"/>
    <n v="32"/>
    <n v="0"/>
    <n v="1588994"/>
  </r>
  <r>
    <s v="Franquicias Sell Out QUEST"/>
    <s v="FQ080 - Pitalito - Huila"/>
    <x v="10"/>
    <s v="septiembre"/>
    <n v="29"/>
    <d v="2026-09-29T00:00:00"/>
    <n v="103884474"/>
    <s v="FLOREZ CANO DAYANA VALENTINA"/>
    <n v="31"/>
    <n v="0"/>
    <n v="1860043"/>
  </r>
  <r>
    <s v="Franquicias Sell Out QUEST"/>
    <s v="FQ080 - Pitalito - Huila"/>
    <x v="10"/>
    <s v="septiembre"/>
    <n v="29"/>
    <d v="2026-09-29T00:00:00"/>
    <n v="1080190058"/>
    <s v="BARRERO GABONA  YUNEIDY"/>
    <n v="58"/>
    <n v="0"/>
    <n v="3300085"/>
  </r>
  <r>
    <s v="Franquicias Sell Out QUEST"/>
    <s v="FQ080 - Pitalito - Huila"/>
    <x v="10"/>
    <s v="septiembre"/>
    <n v="30"/>
    <d v="2026-09-30T00:00:00"/>
    <m/>
    <m/>
    <n v="0"/>
    <n v="9429265"/>
    <n v="0"/>
  </r>
  <r>
    <s v="Franquicias Sell Out QUEST"/>
    <s v="FQ080 - Pitalito - Huila"/>
    <x v="10"/>
    <s v="septiembre"/>
    <n v="30"/>
    <d v="2026-09-30T00:00:00"/>
    <n v="36296690"/>
    <s v="LOPEZ MENESES YUBELY"/>
    <n v="14"/>
    <n v="0"/>
    <n v="686389"/>
  </r>
  <r>
    <s v="Franquicias Sell Out QUEST"/>
    <s v="FQ080 - Pitalito - Huila"/>
    <x v="10"/>
    <s v="septiembre"/>
    <n v="30"/>
    <d v="2026-09-30T00:00:00"/>
    <n v="103884474"/>
    <s v="FLOREZ CANO DAYANA VALENTINA"/>
    <n v="38"/>
    <n v="0"/>
    <n v="2265129"/>
  </r>
  <r>
    <s v="Franquicias Sell Out QUEST"/>
    <s v="FQ080 - Pitalito - Huila"/>
    <x v="10"/>
    <s v="septiembre"/>
    <n v="30"/>
    <d v="2026-09-30T00:00:00"/>
    <n v="1007600493"/>
    <s v="ANACONA SILVA LICETH JHERALDINE"/>
    <n v="64"/>
    <n v="0"/>
    <n v="3337565"/>
  </r>
  <r>
    <s v="Franquicias Sell Out QUEST"/>
    <s v="FQ080 - Pitalito - Huila"/>
    <x v="10"/>
    <s v="septiembre"/>
    <n v="30"/>
    <d v="2026-09-30T00:00:00"/>
    <n v="1080190058"/>
    <s v="BARRERO GABONA  YUNEIDY"/>
    <n v="40"/>
    <n v="0"/>
    <n v="2410085"/>
  </r>
  <r>
    <s v="Franquicias Sell Out QUEST"/>
    <s v="FQ080 - Pitalito - Huila"/>
    <x v="10"/>
    <s v="octubre"/>
    <n v="1"/>
    <d v="2026-10-01T00:00:00"/>
    <m/>
    <m/>
    <n v="0"/>
    <n v="12584989"/>
    <n v="0"/>
  </r>
  <r>
    <s v="Franquicias Sell Out QUEST"/>
    <s v="FQ080 - Pitalito - Huila"/>
    <x v="10"/>
    <s v="octubre"/>
    <n v="1"/>
    <d v="2026-10-01T00:00:00"/>
    <n v="36296690"/>
    <s v="LOPEZ MENESES YUBELY"/>
    <n v="23"/>
    <n v="0"/>
    <n v="1213322"/>
  </r>
  <r>
    <s v="Franquicias Sell Out QUEST"/>
    <s v="FQ080 - Pitalito - Huila"/>
    <x v="10"/>
    <s v="octubre"/>
    <n v="1"/>
    <d v="2026-10-01T00:00:00"/>
    <n v="103884474"/>
    <s v="FLOREZ CANO DAYANA VALENTINA"/>
    <n v="40"/>
    <n v="0"/>
    <n v="2246220"/>
  </r>
  <r>
    <s v="Franquicias Sell Out QUEST"/>
    <s v="FQ080 - Pitalito - Huila"/>
    <x v="10"/>
    <s v="octubre"/>
    <n v="1"/>
    <d v="2026-10-01T00:00:00"/>
    <n v="1007600493"/>
    <s v="ANACONA SILVA LICETH JHERALDINE"/>
    <n v="13"/>
    <n v="0"/>
    <n v="638110"/>
  </r>
  <r>
    <s v="Franquicias Sell Out QUEST"/>
    <s v="FQ080 - Pitalito - Huila"/>
    <x v="10"/>
    <s v="octubre"/>
    <n v="1"/>
    <d v="2026-10-01T00:00:00"/>
    <n v="1080190058"/>
    <s v="BARRERO GABONA  YUNEIDY"/>
    <n v="51"/>
    <n v="0"/>
    <n v="3323446"/>
  </r>
  <r>
    <s v="Franquicias Sell Out QUEST"/>
    <s v="FQ080 - Pitalito - Huila"/>
    <x v="10"/>
    <s v="octubre"/>
    <n v="2"/>
    <d v="2026-10-02T00:00:00"/>
    <m/>
    <m/>
    <n v="0"/>
    <n v="12684843"/>
    <n v="0"/>
  </r>
  <r>
    <s v="Franquicias Sell Out QUEST"/>
    <s v="FQ080 - Pitalito - Huila"/>
    <x v="10"/>
    <s v="octubre"/>
    <n v="2"/>
    <d v="2026-10-02T00:00:00"/>
    <n v="36296690"/>
    <s v="LOPEZ MENESES YUBELY"/>
    <n v="38"/>
    <n v="0"/>
    <n v="2158067"/>
  </r>
  <r>
    <s v="Franquicias Sell Out QUEST"/>
    <s v="FQ080 - Pitalito - Huila"/>
    <x v="10"/>
    <s v="octubre"/>
    <n v="2"/>
    <d v="2026-10-02T00:00:00"/>
    <n v="103884474"/>
    <s v="FLOREZ CANO DAYANA VALENTINA"/>
    <n v="33"/>
    <n v="0"/>
    <n v="1763362"/>
  </r>
  <r>
    <s v="Franquicias Sell Out QUEST"/>
    <s v="FQ080 - Pitalito - Huila"/>
    <x v="10"/>
    <s v="octubre"/>
    <n v="2"/>
    <d v="2026-10-02T00:00:00"/>
    <n v="1007600493"/>
    <s v="ANACONA SILVA LICETH JHERALDINE"/>
    <n v="32"/>
    <n v="0"/>
    <n v="2114206"/>
  </r>
  <r>
    <s v="Franquicias Sell Out QUEST"/>
    <s v="FQ080 - Pitalito - Huila"/>
    <x v="10"/>
    <s v="octubre"/>
    <n v="2"/>
    <d v="2026-10-02T00:00:00"/>
    <n v="1080190058"/>
    <s v="BARRERO GABONA  YUNEIDY"/>
    <n v="63"/>
    <n v="0"/>
    <n v="3751515"/>
  </r>
  <r>
    <s v="Franquicias Sell Out QUEST"/>
    <s v="FQ080 - Pitalito - Huila"/>
    <x v="10"/>
    <s v="octubre"/>
    <n v="3"/>
    <d v="2026-10-03T00:00:00"/>
    <m/>
    <m/>
    <n v="0"/>
    <n v="28051395"/>
    <n v="0"/>
  </r>
  <r>
    <s v="Franquicias Sell Out QUEST"/>
    <s v="FQ080 - Pitalito - Huila"/>
    <x v="10"/>
    <s v="octubre"/>
    <n v="3"/>
    <d v="2026-10-03T00:00:00"/>
    <n v="36296690"/>
    <s v="LOPEZ MENESES YUBELY"/>
    <n v="100"/>
    <n v="0"/>
    <n v="4950744"/>
  </r>
  <r>
    <s v="Franquicias Sell Out QUEST"/>
    <s v="FQ080 - Pitalito - Huila"/>
    <x v="10"/>
    <s v="octubre"/>
    <n v="3"/>
    <d v="2026-10-03T00:00:00"/>
    <n v="103884474"/>
    <s v="FLOREZ CANO DAYANA VALENTINA"/>
    <n v="71"/>
    <n v="0"/>
    <n v="3723384"/>
  </r>
  <r>
    <s v="Franquicias Sell Out QUEST"/>
    <s v="FQ080 - Pitalito - Huila"/>
    <x v="10"/>
    <s v="octubre"/>
    <n v="3"/>
    <d v="2026-10-03T00:00:00"/>
    <n v="1007600493"/>
    <s v="ANACONA SILVA LICETH JHERALDINE"/>
    <n v="64"/>
    <n v="0"/>
    <n v="3400810"/>
  </r>
  <r>
    <s v="Franquicias Sell Out QUEST"/>
    <s v="FQ080 - Pitalito - Huila"/>
    <x v="10"/>
    <s v="octubre"/>
    <n v="3"/>
    <d v="2026-10-03T00:00:00"/>
    <n v="1080190058"/>
    <s v="BARRERO GABONA  YUNEIDY"/>
    <n v="58"/>
    <n v="0"/>
    <n v="3176770"/>
  </r>
  <r>
    <s v="Franquicias Sell Out QUEST"/>
    <s v="FQ080 - Pitalito - Huila"/>
    <x v="10"/>
    <s v="octubre"/>
    <n v="4"/>
    <d v="2026-10-04T00:00:00"/>
    <m/>
    <m/>
    <n v="0"/>
    <n v="9475430"/>
    <n v="0"/>
  </r>
  <r>
    <s v="Franquicias Sell Out QUEST"/>
    <s v="FQ080 - Pitalito - Huila"/>
    <x v="10"/>
    <s v="octubre"/>
    <n v="4"/>
    <d v="2026-10-04T00:00:00"/>
    <n v="36296690"/>
    <s v="LOPEZ MENESES YUBELY"/>
    <n v="62"/>
    <n v="0"/>
    <n v="3449077"/>
  </r>
  <r>
    <s v="Franquicias Sell Out QUEST"/>
    <s v="FQ080 - Pitalito - Huila"/>
    <x v="10"/>
    <s v="octubre"/>
    <n v="4"/>
    <d v="2026-10-04T00:00:00"/>
    <n v="103884474"/>
    <s v="FLOREZ CANO DAYANA VALENTINA"/>
    <n v="1"/>
    <n v="0"/>
    <n v="44488"/>
  </r>
  <r>
    <s v="Franquicias Sell Out QUEST"/>
    <s v="FQ080 - Pitalito - Huila"/>
    <x v="10"/>
    <s v="octubre"/>
    <n v="4"/>
    <d v="2026-10-04T00:00:00"/>
    <n v="1080190058"/>
    <s v="BARRERO GABONA  YUNEIDY"/>
    <n v="57"/>
    <n v="0"/>
    <n v="3400445"/>
  </r>
  <r>
    <s v="Franquicias Sell Out QUEST"/>
    <s v="FQ080 - Pitalito - Huila"/>
    <x v="10"/>
    <s v="octubre"/>
    <n v="5"/>
    <d v="2026-10-05T00:00:00"/>
    <m/>
    <m/>
    <n v="0"/>
    <n v="13644430"/>
    <n v="0"/>
  </r>
  <r>
    <s v="Franquicias Sell Out QUEST"/>
    <s v="FQ080 - Pitalito - Huila"/>
    <x v="10"/>
    <s v="octubre"/>
    <n v="5"/>
    <d v="2026-10-05T00:00:00"/>
    <n v="36296690"/>
    <s v="LOPEZ MENESES YUBELY"/>
    <n v="34"/>
    <n v="0"/>
    <n v="2309458"/>
  </r>
  <r>
    <s v="Franquicias Sell Out QUEST"/>
    <s v="FQ080 - Pitalito - Huila"/>
    <x v="10"/>
    <s v="octubre"/>
    <n v="5"/>
    <d v="2026-10-05T00:00:00"/>
    <n v="103884474"/>
    <s v="FLOREZ CANO DAYANA VALENTINA"/>
    <n v="50"/>
    <n v="0"/>
    <n v="2761719"/>
  </r>
  <r>
    <s v="Franquicias Sell Out QUEST"/>
    <s v="FQ080 - Pitalito - Huila"/>
    <x v="10"/>
    <s v="octubre"/>
    <n v="5"/>
    <d v="2026-10-05T00:00:00"/>
    <n v="1007600493"/>
    <s v="ANACONA SILVA LICETH JHERALDINE"/>
    <n v="12"/>
    <n v="0"/>
    <n v="510001"/>
  </r>
  <r>
    <s v="Franquicias Sell Out QUEST"/>
    <s v="FQ080 - Pitalito - Huila"/>
    <x v="10"/>
    <s v="octubre"/>
    <n v="5"/>
    <d v="2026-10-05T00:00:00"/>
    <n v="1080190058"/>
    <s v="BARRERO GABONA  YUNEIDY"/>
    <n v="81"/>
    <n v="0"/>
    <n v="4586855"/>
  </r>
  <r>
    <s v="Franquicias Sell Out QUEST"/>
    <s v="FQ080 - Pitalito - Huila"/>
    <x v="10"/>
    <s v="octubre"/>
    <n v="6"/>
    <d v="2026-10-06T00:00:00"/>
    <m/>
    <m/>
    <n v="0"/>
    <n v="5522787"/>
    <n v="0"/>
  </r>
  <r>
    <s v="Franquicias Sell Out QUEST"/>
    <s v="FQ080 - Pitalito - Huila"/>
    <x v="10"/>
    <s v="octubre"/>
    <n v="6"/>
    <d v="2026-10-06T00:00:00"/>
    <n v="36296690"/>
    <s v="LOPEZ MENESES YUBELY"/>
    <n v="26"/>
    <n v="0"/>
    <n v="1494707"/>
  </r>
  <r>
    <s v="Franquicias Sell Out QUEST"/>
    <s v="FQ080 - Pitalito - Huila"/>
    <x v="10"/>
    <s v="octubre"/>
    <n v="6"/>
    <d v="2026-10-06T00:00:00"/>
    <n v="103884474"/>
    <s v="FLOREZ CANO DAYANA VALENTINA"/>
    <n v="13"/>
    <n v="0"/>
    <n v="797773"/>
  </r>
  <r>
    <s v="Franquicias Sell Out QUEST"/>
    <s v="FQ080 - Pitalito - Huila"/>
    <x v="10"/>
    <s v="octubre"/>
    <n v="6"/>
    <d v="2026-10-06T00:00:00"/>
    <n v="1007600493"/>
    <s v="ANACONA SILVA LICETH JHERALDINE"/>
    <n v="-1"/>
    <n v="0"/>
    <n v="-40302"/>
  </r>
  <r>
    <s v="Franquicias Sell Out QUEST"/>
    <s v="FQ080 - Pitalito - Huila"/>
    <x v="10"/>
    <s v="octubre"/>
    <n v="6"/>
    <d v="2026-10-06T00:00:00"/>
    <n v="1080190058"/>
    <s v="BARRERO GABONA  YUNEIDY"/>
    <n v="40"/>
    <n v="0"/>
    <n v="2371421"/>
  </r>
  <r>
    <s v="Franquicias Sell Out QUEST"/>
    <s v="FQ080 - Pitalito - Huila"/>
    <x v="10"/>
    <s v="octubre"/>
    <n v="7"/>
    <d v="2026-10-07T00:00:00"/>
    <m/>
    <m/>
    <n v="0"/>
    <n v="2254806"/>
    <n v="0"/>
  </r>
  <r>
    <s v="Franquicias Sell Out QUEST"/>
    <s v="FQ080 - Pitalito - Huila"/>
    <x v="10"/>
    <s v="octubre"/>
    <n v="7"/>
    <d v="2026-10-07T00:00:00"/>
    <n v="36296690"/>
    <s v="LOPEZ MENESES YUBELY"/>
    <n v="13"/>
    <n v="0"/>
    <n v="715841"/>
  </r>
  <r>
    <s v="Franquicias Sell Out QUEST"/>
    <s v="FQ080 - Pitalito - Huila"/>
    <x v="10"/>
    <s v="octubre"/>
    <n v="7"/>
    <d v="2026-10-07T00:00:00"/>
    <n v="1007600493"/>
    <s v="ANACONA SILVA LICETH JHERALDINE"/>
    <n v="40"/>
    <n v="0"/>
    <n v="2344874"/>
  </r>
  <r>
    <s v="Franquicias Sell Out QUEST"/>
    <s v="FQ080 - Pitalito - Huila"/>
    <x v="10"/>
    <s v="octubre"/>
    <n v="7"/>
    <d v="2026-10-07T00:00:00"/>
    <n v="1080190058"/>
    <s v="BARRERO GABONA  YUNEIDY"/>
    <n v="61"/>
    <n v="0"/>
    <n v="3673870"/>
  </r>
  <r>
    <s v="Franquicias Sell Out QUEST"/>
    <s v="FQ089 - El Espinal - Tolima"/>
    <x v="10"/>
    <s v="septiembre"/>
    <n v="23"/>
    <d v="2026-09-23T00:00:00"/>
    <m/>
    <m/>
    <n v="0"/>
    <n v="2398471"/>
    <n v="0"/>
  </r>
  <r>
    <s v="Franquicias Sell Out QUEST"/>
    <s v="FQ089 - El Espinal - Tolima"/>
    <x v="10"/>
    <s v="septiembre"/>
    <n v="23"/>
    <d v="2026-09-23T00:00:00"/>
    <n v="1016592940"/>
    <s v="PEÑA  CAMILA"/>
    <n v="25"/>
    <n v="0"/>
    <n v="1120800"/>
  </r>
  <r>
    <s v="Franquicias Sell Out QUEST"/>
    <s v="FQ089 - El Espinal - Tolima"/>
    <x v="10"/>
    <s v="septiembre"/>
    <n v="23"/>
    <d v="2026-09-23T00:00:00"/>
    <n v="1105687595"/>
    <s v="CARDOSO  TATIANA"/>
    <n v="29"/>
    <n v="0"/>
    <n v="1536600"/>
  </r>
  <r>
    <s v="Franquicias Sell Out QUEST"/>
    <s v="FQ089 - El Espinal - Tolima"/>
    <x v="10"/>
    <s v="septiembre"/>
    <n v="24"/>
    <d v="2026-09-24T00:00:00"/>
    <m/>
    <m/>
    <n v="0"/>
    <n v="6202904"/>
    <n v="0"/>
  </r>
  <r>
    <s v="Franquicias Sell Out QUEST"/>
    <s v="FQ089 - El Espinal - Tolima"/>
    <x v="10"/>
    <s v="septiembre"/>
    <n v="24"/>
    <d v="2026-09-24T00:00:00"/>
    <n v="1016592940"/>
    <s v="PEÑA  CAMILA"/>
    <n v="32"/>
    <n v="0"/>
    <n v="1467146"/>
  </r>
  <r>
    <s v="Franquicias Sell Out QUEST"/>
    <s v="FQ089 - El Espinal - Tolima"/>
    <x v="10"/>
    <s v="septiembre"/>
    <n v="24"/>
    <d v="2026-09-24T00:00:00"/>
    <n v="1105687595"/>
    <s v="CARDOSO  TATIANA"/>
    <n v="28"/>
    <n v="0"/>
    <n v="1456849"/>
  </r>
  <r>
    <s v="Franquicias Sell Out QUEST"/>
    <s v="FQ089 - El Espinal - Tolima"/>
    <x v="10"/>
    <s v="septiembre"/>
    <n v="25"/>
    <d v="2026-09-25T00:00:00"/>
    <m/>
    <m/>
    <n v="0"/>
    <n v="6625041"/>
    <n v="0"/>
  </r>
  <r>
    <s v="Franquicias Sell Out QUEST"/>
    <s v="FQ089 - El Espinal - Tolima"/>
    <x v="10"/>
    <s v="septiembre"/>
    <n v="25"/>
    <d v="2026-09-25T00:00:00"/>
    <n v="1016592940"/>
    <s v="PEÑA  CAMILA"/>
    <n v="53"/>
    <n v="0"/>
    <n v="2920044"/>
  </r>
  <r>
    <s v="Franquicias Sell Out QUEST"/>
    <s v="FQ089 - El Espinal - Tolima"/>
    <x v="10"/>
    <s v="septiembre"/>
    <n v="25"/>
    <d v="2026-09-25T00:00:00"/>
    <n v="1105687595"/>
    <s v="CARDOSO  TATIANA"/>
    <n v="51"/>
    <n v="0"/>
    <n v="2394922"/>
  </r>
  <r>
    <s v="Franquicias Sell Out QUEST"/>
    <s v="FQ089 - El Espinal - Tolima"/>
    <x v="10"/>
    <s v="septiembre"/>
    <n v="26"/>
    <d v="2026-09-26T00:00:00"/>
    <m/>
    <m/>
    <n v="0"/>
    <n v="8354006"/>
    <n v="0"/>
  </r>
  <r>
    <s v="Franquicias Sell Out QUEST"/>
    <s v="FQ089 - El Espinal - Tolima"/>
    <x v="10"/>
    <s v="septiembre"/>
    <n v="26"/>
    <d v="2026-09-26T00:00:00"/>
    <n v="1016592940"/>
    <s v="PEÑA  CAMILA"/>
    <n v="221"/>
    <n v="0"/>
    <n v="6544455"/>
  </r>
  <r>
    <s v="Franquicias Sell Out QUEST"/>
    <s v="FQ089 - El Espinal - Tolima"/>
    <x v="10"/>
    <s v="septiembre"/>
    <n v="26"/>
    <d v="2026-09-26T00:00:00"/>
    <n v="1105687595"/>
    <s v="CARDOSO  TATIANA"/>
    <n v="317"/>
    <n v="0"/>
    <n v="9027964"/>
  </r>
  <r>
    <s v="Franquicias Sell Out QUEST"/>
    <s v="FQ089 - El Espinal - Tolima"/>
    <x v="10"/>
    <s v="septiembre"/>
    <n v="27"/>
    <d v="2026-09-27T00:00:00"/>
    <m/>
    <m/>
    <n v="0"/>
    <n v="4410835"/>
    <n v="0"/>
  </r>
  <r>
    <s v="Franquicias Sell Out QUEST"/>
    <s v="FQ089 - El Espinal - Tolima"/>
    <x v="10"/>
    <s v="septiembre"/>
    <n v="27"/>
    <d v="2026-09-27T00:00:00"/>
    <n v="1016592940"/>
    <s v="PEÑA  CAMILA"/>
    <n v="49"/>
    <n v="0"/>
    <n v="2905506"/>
  </r>
  <r>
    <s v="Franquicias Sell Out QUEST"/>
    <s v="FQ089 - El Espinal - Tolima"/>
    <x v="10"/>
    <s v="septiembre"/>
    <n v="27"/>
    <d v="2026-09-27T00:00:00"/>
    <n v="1105687595"/>
    <s v="CARDOSO  TATIANA"/>
    <n v="35"/>
    <n v="0"/>
    <n v="1925002"/>
  </r>
  <r>
    <s v="Franquicias Sell Out QUEST"/>
    <s v="FQ089 - El Espinal - Tolima"/>
    <x v="10"/>
    <s v="septiembre"/>
    <n v="28"/>
    <d v="2026-09-28T00:00:00"/>
    <m/>
    <m/>
    <n v="0"/>
    <n v="3616405"/>
    <n v="0"/>
  </r>
  <r>
    <s v="Franquicias Sell Out QUEST"/>
    <s v="FQ089 - El Espinal - Tolima"/>
    <x v="10"/>
    <s v="septiembre"/>
    <n v="28"/>
    <d v="2026-09-28T00:00:00"/>
    <n v="1016592940"/>
    <s v="PEÑA  CAMILA"/>
    <n v="31"/>
    <n v="0"/>
    <n v="1473489"/>
  </r>
  <r>
    <s v="Franquicias Sell Out QUEST"/>
    <s v="FQ089 - El Espinal - Tolima"/>
    <x v="10"/>
    <s v="septiembre"/>
    <n v="28"/>
    <d v="2026-09-28T00:00:00"/>
    <n v="1105687595"/>
    <s v="CARDOSO  TATIANA"/>
    <n v="14"/>
    <n v="0"/>
    <n v="642186"/>
  </r>
  <r>
    <s v="Franquicias Sell Out QUEST"/>
    <s v="FQ089 - El Espinal - Tolima"/>
    <x v="10"/>
    <s v="septiembre"/>
    <n v="29"/>
    <d v="2026-09-29T00:00:00"/>
    <m/>
    <m/>
    <n v="0"/>
    <n v="4020374"/>
    <n v="0"/>
  </r>
  <r>
    <s v="Franquicias Sell Out QUEST"/>
    <s v="FQ089 - El Espinal - Tolima"/>
    <x v="10"/>
    <s v="septiembre"/>
    <n v="29"/>
    <d v="2026-09-29T00:00:00"/>
    <n v="1016592940"/>
    <s v="PEÑA  CAMILA"/>
    <n v="9"/>
    <n v="0"/>
    <n v="390295"/>
  </r>
  <r>
    <s v="Franquicias Sell Out QUEST"/>
    <s v="FQ089 - El Espinal - Tolima"/>
    <x v="10"/>
    <s v="septiembre"/>
    <n v="29"/>
    <d v="2026-09-29T00:00:00"/>
    <n v="1105687595"/>
    <s v="CARDOSO  TATIANA"/>
    <n v="48"/>
    <n v="0"/>
    <n v="2615506"/>
  </r>
  <r>
    <s v="Franquicias Sell Out QUEST"/>
    <s v="FQ089 - El Espinal - Tolima"/>
    <x v="10"/>
    <s v="septiembre"/>
    <n v="30"/>
    <d v="2026-09-30T00:00:00"/>
    <m/>
    <m/>
    <n v="0"/>
    <n v="4257704"/>
    <n v="0"/>
  </r>
  <r>
    <s v="Franquicias Sell Out QUEST"/>
    <s v="FQ089 - El Espinal - Tolima"/>
    <x v="10"/>
    <s v="septiembre"/>
    <n v="30"/>
    <d v="2026-09-30T00:00:00"/>
    <n v="1016592940"/>
    <s v="PEÑA  CAMILA"/>
    <n v="41"/>
    <n v="0"/>
    <n v="1882648"/>
  </r>
  <r>
    <s v="Franquicias Sell Out QUEST"/>
    <s v="FQ089 - El Espinal - Tolima"/>
    <x v="10"/>
    <s v="septiembre"/>
    <n v="30"/>
    <d v="2026-09-30T00:00:00"/>
    <n v="1105687595"/>
    <s v="CARDOSO  TATIANA"/>
    <n v="28"/>
    <n v="0"/>
    <n v="1435633"/>
  </r>
  <r>
    <s v="Franquicias Sell Out QUEST"/>
    <s v="FQ089 - El Espinal - Tolima"/>
    <x v="10"/>
    <s v="octubre"/>
    <n v="1"/>
    <d v="2026-10-01T00:00:00"/>
    <m/>
    <m/>
    <n v="0"/>
    <n v="5470848"/>
    <n v="0"/>
  </r>
  <r>
    <s v="Franquicias Sell Out QUEST"/>
    <s v="FQ089 - El Espinal - Tolima"/>
    <x v="10"/>
    <s v="octubre"/>
    <n v="1"/>
    <d v="2026-10-01T00:00:00"/>
    <n v="1016592940"/>
    <s v="PEÑA  CAMILA"/>
    <n v="34"/>
    <n v="0"/>
    <n v="1550841"/>
  </r>
  <r>
    <s v="Franquicias Sell Out QUEST"/>
    <s v="FQ089 - El Espinal - Tolima"/>
    <x v="10"/>
    <s v="octubre"/>
    <n v="1"/>
    <d v="2026-10-01T00:00:00"/>
    <n v="1105687595"/>
    <s v="CARDOSO  TATIANA"/>
    <n v="33"/>
    <n v="0"/>
    <n v="1563405"/>
  </r>
  <r>
    <s v="Franquicias Sell Out QUEST"/>
    <s v="FQ089 - El Espinal - Tolima"/>
    <x v="10"/>
    <s v="octubre"/>
    <n v="2"/>
    <d v="2026-10-02T00:00:00"/>
    <m/>
    <m/>
    <n v="0"/>
    <n v="4719071"/>
    <n v="0"/>
  </r>
  <r>
    <s v="Franquicias Sell Out QUEST"/>
    <s v="FQ089 - El Espinal - Tolima"/>
    <x v="10"/>
    <s v="octubre"/>
    <n v="2"/>
    <d v="2026-10-02T00:00:00"/>
    <n v="1016592940"/>
    <s v="PEÑA  CAMILA"/>
    <n v="38"/>
    <n v="0"/>
    <n v="1636766"/>
  </r>
  <r>
    <s v="Franquicias Sell Out QUEST"/>
    <s v="FQ089 - El Espinal - Tolima"/>
    <x v="10"/>
    <s v="octubre"/>
    <n v="2"/>
    <d v="2026-10-02T00:00:00"/>
    <n v="1105687595"/>
    <s v="CARDOSO  TATIANA"/>
    <n v="36"/>
    <n v="0"/>
    <n v="1677019"/>
  </r>
  <r>
    <s v="Franquicias Sell Out QUEST"/>
    <s v="FQ089 - El Espinal - Tolima"/>
    <x v="10"/>
    <s v="octubre"/>
    <n v="3"/>
    <d v="2026-10-03T00:00:00"/>
    <m/>
    <m/>
    <n v="0"/>
    <n v="7936909"/>
    <n v="0"/>
  </r>
  <r>
    <s v="Franquicias Sell Out QUEST"/>
    <s v="FQ089 - El Espinal - Tolima"/>
    <x v="10"/>
    <s v="octubre"/>
    <n v="3"/>
    <d v="2026-10-03T00:00:00"/>
    <n v="1016592940"/>
    <s v="PEÑA  CAMILA"/>
    <n v="70"/>
    <n v="0"/>
    <n v="3542224"/>
  </r>
  <r>
    <s v="Franquicias Sell Out QUEST"/>
    <s v="FQ089 - El Espinal - Tolima"/>
    <x v="10"/>
    <s v="octubre"/>
    <n v="3"/>
    <d v="2026-10-03T00:00:00"/>
    <n v="1093588059"/>
    <s v="PABON URIBE YULEINER DIVIANA"/>
    <n v="-2"/>
    <n v="0"/>
    <n v="-61689"/>
  </r>
  <r>
    <s v="Franquicias Sell Out QUEST"/>
    <s v="FQ089 - El Espinal - Tolima"/>
    <x v="10"/>
    <s v="octubre"/>
    <n v="3"/>
    <d v="2026-10-03T00:00:00"/>
    <n v="1105687595"/>
    <s v="CARDOSO  TATIANA"/>
    <n v="63"/>
    <n v="0"/>
    <n v="3161616"/>
  </r>
  <r>
    <s v="Franquicias Sell Out QUEST"/>
    <s v="FQ089 - El Espinal - Tolima"/>
    <x v="10"/>
    <s v="octubre"/>
    <n v="4"/>
    <d v="2026-10-04T00:00:00"/>
    <m/>
    <m/>
    <n v="0"/>
    <n v="2309290"/>
    <n v="0"/>
  </r>
  <r>
    <s v="Franquicias Sell Out QUEST"/>
    <s v="FQ089 - El Espinal - Tolima"/>
    <x v="10"/>
    <s v="octubre"/>
    <n v="4"/>
    <d v="2026-10-04T00:00:00"/>
    <n v="1016592940"/>
    <s v="PEÑA  CAMILA"/>
    <n v="45"/>
    <n v="0"/>
    <n v="2077566"/>
  </r>
  <r>
    <s v="Franquicias Sell Out QUEST"/>
    <s v="FQ089 - El Espinal - Tolima"/>
    <x v="10"/>
    <s v="octubre"/>
    <n v="5"/>
    <d v="2026-10-05T00:00:00"/>
    <m/>
    <m/>
    <n v="0"/>
    <n v="5125670"/>
    <n v="0"/>
  </r>
  <r>
    <s v="Franquicias Sell Out QUEST"/>
    <s v="FQ089 - El Espinal - Tolima"/>
    <x v="10"/>
    <s v="octubre"/>
    <n v="5"/>
    <d v="2026-10-05T00:00:00"/>
    <n v="1016592940"/>
    <s v="PEÑA  CAMILA"/>
    <n v="24"/>
    <n v="0"/>
    <n v="1238405"/>
  </r>
  <r>
    <s v="Franquicias Sell Out QUEST"/>
    <s v="FQ089 - El Espinal - Tolima"/>
    <x v="10"/>
    <s v="octubre"/>
    <n v="5"/>
    <d v="2026-10-05T00:00:00"/>
    <n v="1105687595"/>
    <s v="CARDOSO  TATIANA"/>
    <n v="20"/>
    <n v="0"/>
    <n v="914959"/>
  </r>
  <r>
    <s v="Franquicias Sell Out QUEST"/>
    <s v="FQ089 - El Espinal - Tolima"/>
    <x v="10"/>
    <s v="octubre"/>
    <n v="6"/>
    <d v="2026-10-06T00:00:00"/>
    <m/>
    <m/>
    <n v="0"/>
    <n v="3154695"/>
    <n v="0"/>
  </r>
  <r>
    <s v="Franquicias Sell Out QUEST"/>
    <s v="FQ089 - El Espinal - Tolima"/>
    <x v="10"/>
    <s v="octubre"/>
    <n v="6"/>
    <d v="2026-10-06T00:00:00"/>
    <n v="1016592940"/>
    <s v="PEÑA  CAMILA"/>
    <n v="25"/>
    <n v="0"/>
    <n v="1034497"/>
  </r>
  <r>
    <s v="Franquicias Sell Out QUEST"/>
    <s v="FQ089 - El Espinal - Tolima"/>
    <x v="10"/>
    <s v="octubre"/>
    <n v="6"/>
    <d v="2026-10-06T00:00:00"/>
    <n v="1105687595"/>
    <s v="CARDOSO  TATIANA"/>
    <n v="9"/>
    <n v="0"/>
    <n v="641189"/>
  </r>
  <r>
    <s v="Franquicias Sell Out QUEST"/>
    <s v="FQ089 - El Espinal - Tolima"/>
    <x v="10"/>
    <s v="octubre"/>
    <n v="7"/>
    <d v="2026-10-07T00:00:00"/>
    <m/>
    <m/>
    <n v="0"/>
    <n v="1216212"/>
    <n v="0"/>
  </r>
  <r>
    <s v="Franquicias Sell Out QUEST"/>
    <s v="FQ089 - El Espinal - Tolima"/>
    <x v="10"/>
    <s v="octubre"/>
    <n v="7"/>
    <d v="2026-10-07T00:00:00"/>
    <n v="1016592940"/>
    <s v="PEÑA  CAMILA"/>
    <n v="21"/>
    <n v="0"/>
    <n v="1389706"/>
  </r>
  <r>
    <s v="Franquicias Sell Out QUEST"/>
    <s v="FQ089 - El Espinal - Tolima"/>
    <x v="10"/>
    <s v="octubre"/>
    <n v="7"/>
    <d v="2026-10-07T00:00:00"/>
    <n v="1105687595"/>
    <s v="CARDOSO  TATIANA"/>
    <n v="60"/>
    <n v="0"/>
    <n v="3425590"/>
  </r>
  <r>
    <s v="Franquicias Sell Out QUEST"/>
    <s v="FQ103 - La Plata - Huila"/>
    <x v="10"/>
    <s v="septiembre"/>
    <n v="23"/>
    <d v="2026-09-23T00:00:00"/>
    <m/>
    <m/>
    <n v="0"/>
    <n v="2378696"/>
    <n v="0"/>
  </r>
  <r>
    <s v="Franquicias Sell Out QUEST"/>
    <s v="FQ103 - La Plata - Huila"/>
    <x v="10"/>
    <s v="septiembre"/>
    <n v="23"/>
    <d v="2026-09-23T00:00:00"/>
    <n v="1081397733"/>
    <s v="CHAPID GOMEZ ANDREA LORENA"/>
    <n v="-1"/>
    <n v="0"/>
    <n v="-58740"/>
  </r>
  <r>
    <s v="Franquicias Sell Out QUEST"/>
    <s v="FQ103 - La Plata - Huila"/>
    <x v="10"/>
    <s v="septiembre"/>
    <n v="23"/>
    <d v="2026-09-23T00:00:00"/>
    <n v="1081414164"/>
    <s v="TORRES ROJAS AYDA NURY"/>
    <n v="165"/>
    <n v="0"/>
    <n v="8990951"/>
  </r>
  <r>
    <s v="Franquicias Sell Out QUEST"/>
    <s v="FQ103 - La Plata - Huila"/>
    <x v="10"/>
    <s v="septiembre"/>
    <n v="24"/>
    <d v="2026-09-24T00:00:00"/>
    <m/>
    <m/>
    <n v="0"/>
    <n v="6151766"/>
    <n v="0"/>
  </r>
  <r>
    <s v="Franquicias Sell Out QUEST"/>
    <s v="FQ103 - La Plata - Huila"/>
    <x v="10"/>
    <s v="septiembre"/>
    <n v="24"/>
    <d v="2026-09-24T00:00:00"/>
    <n v="1081414164"/>
    <s v="TORRES ROJAS AYDA NURY"/>
    <n v="114"/>
    <n v="0"/>
    <n v="6087656"/>
  </r>
  <r>
    <s v="Franquicias Sell Out QUEST"/>
    <s v="FQ103 - La Plata - Huila"/>
    <x v="10"/>
    <s v="septiembre"/>
    <n v="25"/>
    <d v="2026-09-25T00:00:00"/>
    <m/>
    <m/>
    <n v="0"/>
    <n v="6570423"/>
    <n v="0"/>
  </r>
  <r>
    <s v="Franquicias Sell Out QUEST"/>
    <s v="FQ103 - La Plata - Huila"/>
    <x v="10"/>
    <s v="septiembre"/>
    <n v="25"/>
    <d v="2026-09-25T00:00:00"/>
    <n v="1081414164"/>
    <s v="TORRES ROJAS AYDA NURY"/>
    <n v="98"/>
    <n v="0"/>
    <n v="5069415"/>
  </r>
  <r>
    <s v="Franquicias Sell Out QUEST"/>
    <s v="FQ103 - La Plata - Huila"/>
    <x v="10"/>
    <s v="septiembre"/>
    <n v="26"/>
    <d v="2026-09-26T00:00:00"/>
    <m/>
    <m/>
    <n v="0"/>
    <n v="8285138"/>
    <n v="0"/>
  </r>
  <r>
    <s v="Franquicias Sell Out QUEST"/>
    <s v="FQ103 - La Plata - Huila"/>
    <x v="10"/>
    <s v="septiembre"/>
    <n v="26"/>
    <d v="2026-09-26T00:00:00"/>
    <n v="1081414164"/>
    <s v="TORRES ROJAS AYDA NURY"/>
    <n v="152"/>
    <n v="0"/>
    <n v="7955808"/>
  </r>
  <r>
    <s v="Franquicias Sell Out QUEST"/>
    <s v="FQ103 - La Plata - Huila"/>
    <x v="10"/>
    <s v="septiembre"/>
    <n v="27"/>
    <d v="2026-09-27T00:00:00"/>
    <m/>
    <m/>
    <n v="0"/>
    <n v="4374476"/>
    <n v="0"/>
  </r>
  <r>
    <s v="Franquicias Sell Out QUEST"/>
    <s v="FQ103 - La Plata - Huila"/>
    <x v="10"/>
    <s v="septiembre"/>
    <n v="27"/>
    <d v="2026-09-27T00:00:00"/>
    <n v="1081414164"/>
    <s v="TORRES ROJAS AYDA NURY"/>
    <n v="94"/>
    <n v="0"/>
    <n v="4752232"/>
  </r>
  <r>
    <s v="Franquicias Sell Out QUEST"/>
    <s v="FQ103 - La Plata - Huila"/>
    <x v="10"/>
    <s v="septiembre"/>
    <n v="28"/>
    <d v="2026-09-28T00:00:00"/>
    <m/>
    <m/>
    <n v="0"/>
    <n v="3586591"/>
    <n v="0"/>
  </r>
  <r>
    <s v="Franquicias Sell Out QUEST"/>
    <s v="FQ103 - La Plata - Huila"/>
    <x v="10"/>
    <s v="septiembre"/>
    <n v="28"/>
    <d v="2026-09-28T00:00:00"/>
    <n v="1081414164"/>
    <s v="TORRES ROJAS AYDA NURY"/>
    <n v="83"/>
    <n v="0"/>
    <n v="4143239"/>
  </r>
  <r>
    <s v="Franquicias Sell Out QUEST"/>
    <s v="FQ103 - La Plata - Huila"/>
    <x v="10"/>
    <s v="septiembre"/>
    <n v="29"/>
    <d v="2026-09-29T00:00:00"/>
    <m/>
    <m/>
    <n v="0"/>
    <n v="3987230"/>
    <n v="0"/>
  </r>
  <r>
    <s v="Franquicias Sell Out QUEST"/>
    <s v="FQ103 - La Plata - Huila"/>
    <x v="10"/>
    <s v="septiembre"/>
    <n v="29"/>
    <d v="2026-09-29T00:00:00"/>
    <n v="1081414164"/>
    <s v="TORRES ROJAS AYDA NURY"/>
    <n v="63"/>
    <n v="0"/>
    <n v="3490842"/>
  </r>
  <r>
    <s v="Franquicias Sell Out QUEST"/>
    <s v="FQ103 - La Plata - Huila"/>
    <x v="10"/>
    <s v="septiembre"/>
    <n v="30"/>
    <d v="2026-09-30T00:00:00"/>
    <m/>
    <m/>
    <n v="0"/>
    <n v="4222605"/>
    <n v="0"/>
  </r>
  <r>
    <s v="Franquicias Sell Out QUEST"/>
    <s v="FQ103 - La Plata - Huila"/>
    <x v="10"/>
    <s v="septiembre"/>
    <n v="30"/>
    <d v="2026-09-30T00:00:00"/>
    <n v="1081414164"/>
    <s v="TORRES ROJAS AYDA NURY"/>
    <n v="65"/>
    <n v="0"/>
    <n v="2751096"/>
  </r>
  <r>
    <s v="Franquicias Sell Out QUEST"/>
    <s v="FQ103 - La Plata - Huila"/>
    <x v="10"/>
    <s v="octubre"/>
    <n v="1"/>
    <d v="2026-10-01T00:00:00"/>
    <m/>
    <m/>
    <n v="0"/>
    <n v="3679391"/>
    <n v="0"/>
  </r>
  <r>
    <s v="Franquicias Sell Out QUEST"/>
    <s v="FQ103 - La Plata - Huila"/>
    <x v="10"/>
    <s v="octubre"/>
    <n v="1"/>
    <d v="2026-10-01T00:00:00"/>
    <n v="1081414164"/>
    <s v="TORRES ROJAS AYDA NURY"/>
    <n v="79"/>
    <n v="0"/>
    <n v="3596894"/>
  </r>
  <r>
    <s v="Franquicias Sell Out QUEST"/>
    <s v="FQ103 - La Plata - Huila"/>
    <x v="10"/>
    <s v="octubre"/>
    <n v="2"/>
    <d v="2026-10-02T00:00:00"/>
    <m/>
    <m/>
    <n v="0"/>
    <n v="5618225"/>
    <n v="0"/>
  </r>
  <r>
    <s v="Franquicias Sell Out QUEST"/>
    <s v="FQ103 - La Plata - Huila"/>
    <x v="10"/>
    <s v="octubre"/>
    <n v="2"/>
    <d v="2026-10-02T00:00:00"/>
    <n v="1081414164"/>
    <s v="TORRES ROJAS AYDA NURY"/>
    <n v="108"/>
    <n v="0"/>
    <n v="5144251"/>
  </r>
  <r>
    <s v="Franquicias Sell Out QUEST"/>
    <s v="FQ103 - La Plata - Huila"/>
    <x v="10"/>
    <s v="octubre"/>
    <n v="3"/>
    <d v="2026-10-03T00:00:00"/>
    <m/>
    <m/>
    <n v="0"/>
    <n v="5501369"/>
    <n v="0"/>
  </r>
  <r>
    <s v="Franquicias Sell Out QUEST"/>
    <s v="FQ103 - La Plata - Huila"/>
    <x v="10"/>
    <s v="octubre"/>
    <n v="3"/>
    <d v="2026-10-03T00:00:00"/>
    <n v="1081414164"/>
    <s v="TORRES ROJAS AYDA NURY"/>
    <n v="173"/>
    <n v="0"/>
    <n v="8533978"/>
  </r>
  <r>
    <s v="Franquicias Sell Out QUEST"/>
    <s v="FQ103 - La Plata - Huila"/>
    <x v="10"/>
    <s v="octubre"/>
    <n v="4"/>
    <d v="2026-10-04T00:00:00"/>
    <m/>
    <m/>
    <n v="0"/>
    <n v="2517386"/>
    <n v="0"/>
  </r>
  <r>
    <s v="Franquicias Sell Out QUEST"/>
    <s v="FQ103 - La Plata - Huila"/>
    <x v="10"/>
    <s v="octubre"/>
    <n v="4"/>
    <d v="2026-10-04T00:00:00"/>
    <n v="1081414164"/>
    <s v="TORRES ROJAS AYDA NURY"/>
    <n v="76"/>
    <n v="0"/>
    <n v="3868654"/>
  </r>
  <r>
    <s v="Franquicias Sell Out QUEST"/>
    <s v="FQ103 - La Plata - Huila"/>
    <x v="10"/>
    <s v="octubre"/>
    <n v="5"/>
    <d v="2026-10-05T00:00:00"/>
    <m/>
    <m/>
    <n v="0"/>
    <n v="3378537"/>
    <n v="0"/>
  </r>
  <r>
    <s v="Franquicias Sell Out QUEST"/>
    <s v="FQ103 - La Plata - Huila"/>
    <x v="10"/>
    <s v="octubre"/>
    <n v="5"/>
    <d v="2026-10-05T00:00:00"/>
    <n v="1081414164"/>
    <s v="TORRES ROJAS AYDA NURY"/>
    <n v="80"/>
    <n v="0"/>
    <n v="4263885"/>
  </r>
  <r>
    <s v="Franquicias Sell Out QUEST"/>
    <s v="FQ103 - La Plata - Huila"/>
    <x v="10"/>
    <s v="octubre"/>
    <n v="6"/>
    <d v="2026-10-06T00:00:00"/>
    <m/>
    <m/>
    <n v="0"/>
    <n v="871287"/>
    <n v="0"/>
  </r>
  <r>
    <s v="Franquicias Sell Out QUEST"/>
    <s v="FQ103 - La Plata - Huila"/>
    <x v="10"/>
    <s v="octubre"/>
    <n v="6"/>
    <d v="2026-10-06T00:00:00"/>
    <n v="1081397733"/>
    <s v="CHAPID GOMEZ ANDREA LORENA"/>
    <n v="-1"/>
    <n v="0"/>
    <n v="-218403"/>
  </r>
  <r>
    <s v="Franquicias Sell Out QUEST"/>
    <s v="FQ103 - La Plata - Huila"/>
    <x v="10"/>
    <s v="octubre"/>
    <n v="6"/>
    <d v="2026-10-06T00:00:00"/>
    <n v="1081414164"/>
    <s v="TORRES ROJAS AYDA NURY"/>
    <n v="71"/>
    <n v="0"/>
    <n v="3725676"/>
  </r>
  <r>
    <s v="Franquicias Sell Out QUEST"/>
    <s v="FQ103 - La Plata - Huila"/>
    <x v="10"/>
    <s v="octubre"/>
    <n v="7"/>
    <d v="2026-10-07T00:00:00"/>
    <m/>
    <m/>
    <n v="0"/>
    <n v="949985"/>
    <n v="0"/>
  </r>
  <r>
    <s v="Franquicias Sell Out QUEST"/>
    <s v="FQ103 - La Plata - Huila"/>
    <x v="10"/>
    <s v="octubre"/>
    <n v="7"/>
    <d v="2026-10-07T00:00:00"/>
    <n v="1081414164"/>
    <s v="TORRES ROJAS AYDA NURY"/>
    <n v="55"/>
    <n v="0"/>
    <n v="2997439"/>
  </r>
  <r>
    <s v="Franquicias Sell Out QUEST"/>
    <s v="FQ110 San Vicente del Caguan - Caqueta"/>
    <x v="10"/>
    <s v="septiembre"/>
    <n v="23"/>
    <d v="2026-09-23T00:00:00"/>
    <m/>
    <m/>
    <n v="0"/>
    <n v="2636155"/>
    <n v="0"/>
  </r>
  <r>
    <s v="Franquicias Sell Out QUEST"/>
    <s v="FQ110 San Vicente del Caguan - Caqueta"/>
    <x v="10"/>
    <s v="septiembre"/>
    <n v="23"/>
    <d v="2026-09-23T00:00:00"/>
    <n v="1003951543"/>
    <s v="DIAZ YAFI ERIKA FERNANDA"/>
    <n v="14"/>
    <n v="0"/>
    <n v="554076"/>
  </r>
  <r>
    <s v="Franquicias Sell Out QUEST"/>
    <s v="FQ110 San Vicente del Caguan - Caqueta"/>
    <x v="10"/>
    <s v="septiembre"/>
    <n v="23"/>
    <d v="2026-09-23T00:00:00"/>
    <n v="1075300516"/>
    <s v="QUINTERO PRIETO JESSICA PAOLA"/>
    <n v="115"/>
    <n v="0"/>
    <n v="6201143"/>
  </r>
  <r>
    <s v="Franquicias Sell Out QUEST"/>
    <s v="FQ110 San Vicente del Caguan - Caqueta"/>
    <x v="10"/>
    <s v="septiembre"/>
    <n v="24"/>
    <d v="2026-09-24T00:00:00"/>
    <m/>
    <m/>
    <n v="0"/>
    <n v="6817599"/>
    <n v="0"/>
  </r>
  <r>
    <s v="Franquicias Sell Out QUEST"/>
    <s v="FQ110 San Vicente del Caguan - Caqueta"/>
    <x v="10"/>
    <s v="septiembre"/>
    <n v="24"/>
    <d v="2026-09-24T00:00:00"/>
    <n v="1003951543"/>
    <s v="DIAZ YAFI ERIKA FERNANDA"/>
    <n v="1"/>
    <n v="0"/>
    <n v="109202"/>
  </r>
  <r>
    <s v="Franquicias Sell Out QUEST"/>
    <s v="FQ110 San Vicente del Caguan - Caqueta"/>
    <x v="10"/>
    <s v="septiembre"/>
    <n v="24"/>
    <d v="2026-09-24T00:00:00"/>
    <n v="1075300516"/>
    <s v="QUINTERO PRIETO JESSICA PAOLA"/>
    <n v="91"/>
    <n v="0"/>
    <n v="4365931"/>
  </r>
  <r>
    <s v="Franquicias Sell Out QUEST"/>
    <s v="FQ110 San Vicente del Caguan - Caqueta"/>
    <x v="10"/>
    <s v="septiembre"/>
    <n v="25"/>
    <d v="2026-09-25T00:00:00"/>
    <m/>
    <m/>
    <n v="0"/>
    <n v="7281572"/>
    <n v="0"/>
  </r>
  <r>
    <s v="Franquicias Sell Out QUEST"/>
    <s v="FQ110 San Vicente del Caguan - Caqueta"/>
    <x v="10"/>
    <s v="septiembre"/>
    <n v="25"/>
    <d v="2026-09-25T00:00:00"/>
    <n v="1075300516"/>
    <s v="QUINTERO PRIETO JESSICA PAOLA"/>
    <n v="194"/>
    <n v="0"/>
    <n v="10084297"/>
  </r>
  <r>
    <s v="Franquicias Sell Out QUEST"/>
    <s v="FQ110 San Vicente del Caguan - Caqueta"/>
    <x v="10"/>
    <s v="septiembre"/>
    <n v="26"/>
    <d v="2026-09-26T00:00:00"/>
    <m/>
    <m/>
    <n v="0"/>
    <n v="9181878"/>
    <n v="0"/>
  </r>
  <r>
    <s v="Franquicias Sell Out QUEST"/>
    <s v="FQ110 San Vicente del Caguan - Caqueta"/>
    <x v="10"/>
    <s v="septiembre"/>
    <n v="26"/>
    <d v="2026-09-26T00:00:00"/>
    <n v="1003951543"/>
    <s v="DIAZ YAFI ERIKA FERNANDA"/>
    <n v="29"/>
    <n v="0"/>
    <n v="1471347"/>
  </r>
  <r>
    <s v="Franquicias Sell Out QUEST"/>
    <s v="FQ110 San Vicente del Caguan - Caqueta"/>
    <x v="10"/>
    <s v="septiembre"/>
    <n v="26"/>
    <d v="2026-09-26T00:00:00"/>
    <n v="1075300516"/>
    <s v="QUINTERO PRIETO JESSICA PAOLA"/>
    <n v="53"/>
    <n v="0"/>
    <n v="2711564"/>
  </r>
  <r>
    <s v="Franquicias Sell Out QUEST"/>
    <s v="FQ110 San Vicente del Caguan - Caqueta"/>
    <x v="10"/>
    <s v="septiembre"/>
    <n v="26"/>
    <d v="2026-09-26T00:00:00"/>
    <n v="1117812502"/>
    <s v="FLOREZ  ISABELLA"/>
    <n v="24"/>
    <n v="0"/>
    <n v="1431725"/>
  </r>
  <r>
    <s v="Franquicias Sell Out QUEST"/>
    <s v="FQ110 San Vicente del Caguan - Caqueta"/>
    <x v="10"/>
    <s v="septiembre"/>
    <n v="26"/>
    <d v="2026-09-26T00:00:00"/>
    <n v="1117813657"/>
    <s v="VALLEJO  KAROL"/>
    <n v="58"/>
    <n v="0"/>
    <n v="3140384"/>
  </r>
  <r>
    <s v="Franquicias Sell Out QUEST"/>
    <s v="FQ110 San Vicente del Caguan - Caqueta"/>
    <x v="10"/>
    <s v="septiembre"/>
    <n v="26"/>
    <d v="2026-09-26T00:00:00"/>
    <n v="1117816461"/>
    <s v="VASQUEZ  VALENTINA"/>
    <n v="76"/>
    <n v="0"/>
    <n v="3662571"/>
  </r>
  <r>
    <s v="Franquicias Sell Out QUEST"/>
    <s v="FQ110 San Vicente del Caguan - Caqueta"/>
    <x v="10"/>
    <s v="septiembre"/>
    <n v="27"/>
    <d v="2026-09-27T00:00:00"/>
    <m/>
    <m/>
    <n v="0"/>
    <n v="4847946"/>
    <n v="0"/>
  </r>
  <r>
    <s v="Franquicias Sell Out QUEST"/>
    <s v="FQ110 San Vicente del Caguan - Caqueta"/>
    <x v="10"/>
    <s v="septiembre"/>
    <n v="27"/>
    <d v="2026-09-27T00:00:00"/>
    <n v="1003951543"/>
    <s v="DIAZ YAFI ERIKA FERNANDA"/>
    <n v="4"/>
    <n v="0"/>
    <n v="184665"/>
  </r>
  <r>
    <s v="Franquicias Sell Out QUEST"/>
    <s v="FQ110 San Vicente del Caguan - Caqueta"/>
    <x v="10"/>
    <s v="septiembre"/>
    <n v="27"/>
    <d v="2026-09-27T00:00:00"/>
    <n v="1075300516"/>
    <s v="QUINTERO PRIETO JESSICA PAOLA"/>
    <n v="7"/>
    <n v="0"/>
    <n v="289537"/>
  </r>
  <r>
    <s v="Franquicias Sell Out QUEST"/>
    <s v="FQ110 San Vicente del Caguan - Caqueta"/>
    <x v="10"/>
    <s v="septiembre"/>
    <n v="27"/>
    <d v="2026-09-27T00:00:00"/>
    <n v="1117812502"/>
    <s v="FLOREZ  ISABELLA"/>
    <n v="1"/>
    <n v="0"/>
    <n v="14664"/>
  </r>
  <r>
    <s v="Franquicias Sell Out QUEST"/>
    <s v="FQ110 San Vicente del Caguan - Caqueta"/>
    <x v="10"/>
    <s v="septiembre"/>
    <n v="27"/>
    <d v="2026-09-27T00:00:00"/>
    <n v="1117813657"/>
    <s v="VALLEJO  KAROL"/>
    <n v="38"/>
    <n v="0"/>
    <n v="2004667"/>
  </r>
  <r>
    <s v="Franquicias Sell Out QUEST"/>
    <s v="FQ110 San Vicente del Caguan - Caqueta"/>
    <x v="10"/>
    <s v="septiembre"/>
    <n v="27"/>
    <d v="2026-09-27T00:00:00"/>
    <n v="1117816461"/>
    <s v="VASQUEZ  VALENTINA"/>
    <n v="34"/>
    <n v="0"/>
    <n v="1677019"/>
  </r>
  <r>
    <s v="Franquicias Sell Out QUEST"/>
    <s v="FQ110 San Vicente del Caguan - Caqueta"/>
    <x v="10"/>
    <s v="septiembre"/>
    <n v="28"/>
    <d v="2026-09-28T00:00:00"/>
    <m/>
    <m/>
    <n v="0"/>
    <n v="3974785"/>
    <n v="0"/>
  </r>
  <r>
    <s v="Franquicias Sell Out QUEST"/>
    <s v="FQ110 San Vicente del Caguan - Caqueta"/>
    <x v="10"/>
    <s v="septiembre"/>
    <n v="28"/>
    <d v="2026-09-28T00:00:00"/>
    <n v="1003951543"/>
    <s v="DIAZ YAFI ERIKA FERNANDA"/>
    <n v="15"/>
    <n v="0"/>
    <n v="579161"/>
  </r>
  <r>
    <s v="Franquicias Sell Out QUEST"/>
    <s v="FQ110 San Vicente del Caguan - Caqueta"/>
    <x v="10"/>
    <s v="septiembre"/>
    <n v="28"/>
    <d v="2026-09-28T00:00:00"/>
    <n v="1075300516"/>
    <s v="QUINTERO PRIETO JESSICA PAOLA"/>
    <n v="4"/>
    <n v="0"/>
    <n v="230923"/>
  </r>
  <r>
    <s v="Franquicias Sell Out QUEST"/>
    <s v="FQ110 San Vicente del Caguan - Caqueta"/>
    <x v="10"/>
    <s v="septiembre"/>
    <n v="28"/>
    <d v="2026-09-28T00:00:00"/>
    <n v="1117813657"/>
    <s v="VALLEJO  KAROL"/>
    <n v="44"/>
    <n v="0"/>
    <n v="2304748"/>
  </r>
  <r>
    <s v="Franquicias Sell Out QUEST"/>
    <s v="FQ110 San Vicente del Caguan - Caqueta"/>
    <x v="10"/>
    <s v="septiembre"/>
    <n v="28"/>
    <d v="2026-09-28T00:00:00"/>
    <n v="1117816461"/>
    <s v="VASQUEZ  VALENTINA"/>
    <n v="63"/>
    <n v="0"/>
    <n v="3036935"/>
  </r>
  <r>
    <s v="Franquicias Sell Out QUEST"/>
    <s v="FQ110 San Vicente del Caguan - Caqueta"/>
    <x v="10"/>
    <s v="septiembre"/>
    <n v="29"/>
    <d v="2026-09-29T00:00:00"/>
    <m/>
    <m/>
    <n v="0"/>
    <n v="4418787"/>
    <n v="0"/>
  </r>
  <r>
    <s v="Franquicias Sell Out QUEST"/>
    <s v="FQ110 San Vicente del Caguan - Caqueta"/>
    <x v="10"/>
    <s v="septiembre"/>
    <n v="29"/>
    <d v="2026-09-29T00:00:00"/>
    <n v="1003951543"/>
    <s v="DIAZ YAFI ERIKA FERNANDA"/>
    <n v="10"/>
    <n v="0"/>
    <n v="438573"/>
  </r>
  <r>
    <s v="Franquicias Sell Out QUEST"/>
    <s v="FQ110 San Vicente del Caguan - Caqueta"/>
    <x v="10"/>
    <s v="septiembre"/>
    <n v="29"/>
    <d v="2026-09-29T00:00:00"/>
    <n v="1075300516"/>
    <s v="QUINTERO PRIETO JESSICA PAOLA"/>
    <n v="10"/>
    <n v="0"/>
    <n v="377691"/>
  </r>
  <r>
    <s v="Franquicias Sell Out QUEST"/>
    <s v="FQ110 San Vicente del Caguan - Caqueta"/>
    <x v="10"/>
    <s v="septiembre"/>
    <n v="29"/>
    <d v="2026-09-29T00:00:00"/>
    <n v="1117813657"/>
    <s v="VALLEJO  KAROL"/>
    <n v="28"/>
    <n v="0"/>
    <n v="1454707"/>
  </r>
  <r>
    <s v="Franquicias Sell Out QUEST"/>
    <s v="FQ110 San Vicente del Caguan - Caqueta"/>
    <x v="10"/>
    <s v="septiembre"/>
    <n v="29"/>
    <d v="2026-09-29T00:00:00"/>
    <n v="1117816461"/>
    <s v="VASQUEZ  VALENTINA"/>
    <n v="84"/>
    <n v="0"/>
    <n v="4512649"/>
  </r>
  <r>
    <s v="Franquicias Sell Out QUEST"/>
    <s v="FQ110 San Vicente del Caguan - Caqueta"/>
    <x v="10"/>
    <s v="septiembre"/>
    <n v="30"/>
    <d v="2026-09-30T00:00:00"/>
    <m/>
    <m/>
    <n v="0"/>
    <n v="4679634"/>
    <n v="0"/>
  </r>
  <r>
    <s v="Franquicias Sell Out QUEST"/>
    <s v="FQ110 San Vicente del Caguan - Caqueta"/>
    <x v="10"/>
    <s v="septiembre"/>
    <n v="30"/>
    <d v="2026-09-30T00:00:00"/>
    <n v="1003951543"/>
    <s v="DIAZ YAFI ERIKA FERNANDA"/>
    <n v="23"/>
    <n v="0"/>
    <n v="1305633"/>
  </r>
  <r>
    <s v="Franquicias Sell Out QUEST"/>
    <s v="FQ110 San Vicente del Caguan - Caqueta"/>
    <x v="10"/>
    <s v="septiembre"/>
    <n v="30"/>
    <d v="2026-09-30T00:00:00"/>
    <n v="1117813657"/>
    <s v="VALLEJO  KAROL"/>
    <n v="18"/>
    <n v="0"/>
    <n v="965591"/>
  </r>
  <r>
    <s v="Franquicias Sell Out QUEST"/>
    <s v="FQ110 San Vicente del Caguan - Caqueta"/>
    <x v="10"/>
    <s v="septiembre"/>
    <n v="30"/>
    <d v="2026-09-30T00:00:00"/>
    <n v="1117816461"/>
    <s v="VASQUEZ  VALENTINA"/>
    <n v="41"/>
    <n v="0"/>
    <n v="2021305"/>
  </r>
  <r>
    <s v="Franquicias Sell Out QUEST"/>
    <s v="FQ110 San Vicente del Caguan - Caqueta"/>
    <x v="10"/>
    <s v="octubre"/>
    <n v="1"/>
    <d v="2026-10-01T00:00:00"/>
    <m/>
    <m/>
    <n v="0"/>
    <n v="16758382"/>
    <n v="0"/>
  </r>
  <r>
    <s v="Franquicias Sell Out QUEST"/>
    <s v="FQ110 San Vicente del Caguan - Caqueta"/>
    <x v="10"/>
    <s v="octubre"/>
    <n v="1"/>
    <d v="2026-10-01T00:00:00"/>
    <n v="1003951543"/>
    <s v="DIAZ YAFI ERIKA FERNANDA"/>
    <n v="25"/>
    <n v="0"/>
    <n v="1250885"/>
  </r>
  <r>
    <s v="Franquicias Sell Out QUEST"/>
    <s v="FQ110 San Vicente del Caguan - Caqueta"/>
    <x v="10"/>
    <s v="octubre"/>
    <n v="1"/>
    <d v="2026-10-01T00:00:00"/>
    <n v="1075300516"/>
    <s v="QUINTERO PRIETO JESSICA PAOLA"/>
    <n v="0"/>
    <n v="0"/>
    <n v="25211"/>
  </r>
  <r>
    <s v="Franquicias Sell Out QUEST"/>
    <s v="FQ110 San Vicente del Caguan - Caqueta"/>
    <x v="10"/>
    <s v="octubre"/>
    <n v="1"/>
    <d v="2026-10-01T00:00:00"/>
    <n v="1117813657"/>
    <s v="VALLEJO  KAROL"/>
    <n v="26"/>
    <n v="0"/>
    <n v="1328658"/>
  </r>
  <r>
    <s v="Franquicias Sell Out QUEST"/>
    <s v="FQ110 San Vicente del Caguan - Caqueta"/>
    <x v="10"/>
    <s v="octubre"/>
    <n v="1"/>
    <d v="2026-10-01T00:00:00"/>
    <n v="1117816461"/>
    <s v="VASQUEZ  VALENTINA"/>
    <n v="65"/>
    <n v="0"/>
    <n v="3347905"/>
  </r>
  <r>
    <s v="Franquicias Sell Out QUEST"/>
    <s v="FQ110 San Vicente del Caguan - Caqueta"/>
    <x v="10"/>
    <s v="octubre"/>
    <n v="2"/>
    <d v="2026-10-02T00:00:00"/>
    <m/>
    <m/>
    <n v="0"/>
    <n v="16332339"/>
    <n v="0"/>
  </r>
  <r>
    <s v="Franquicias Sell Out QUEST"/>
    <s v="FQ110 San Vicente del Caguan - Caqueta"/>
    <x v="10"/>
    <s v="octubre"/>
    <n v="2"/>
    <d v="2026-10-02T00:00:00"/>
    <n v="1003951543"/>
    <s v="DIAZ YAFI ERIKA FERNANDA"/>
    <n v="22"/>
    <n v="0"/>
    <n v="1137564"/>
  </r>
  <r>
    <s v="Franquicias Sell Out QUEST"/>
    <s v="FQ110 San Vicente del Caguan - Caqueta"/>
    <x v="10"/>
    <s v="octubre"/>
    <n v="2"/>
    <d v="2026-10-02T00:00:00"/>
    <n v="1075300516"/>
    <s v="QUINTERO PRIETO JESSICA PAOLA"/>
    <n v="3"/>
    <n v="0"/>
    <n v="167941"/>
  </r>
  <r>
    <s v="Franquicias Sell Out QUEST"/>
    <s v="FQ110 San Vicente del Caguan - Caqueta"/>
    <x v="10"/>
    <s v="octubre"/>
    <n v="2"/>
    <d v="2026-10-02T00:00:00"/>
    <n v="1117813657"/>
    <s v="VALLEJO  KAROL"/>
    <n v="19"/>
    <n v="0"/>
    <n v="755338"/>
  </r>
  <r>
    <s v="Franquicias Sell Out QUEST"/>
    <s v="FQ110 San Vicente del Caguan - Caqueta"/>
    <x v="10"/>
    <s v="octubre"/>
    <n v="2"/>
    <d v="2026-10-02T00:00:00"/>
    <n v="1117816461"/>
    <s v="VASQUEZ  VALENTINA"/>
    <n v="42"/>
    <n v="0"/>
    <n v="2136810"/>
  </r>
  <r>
    <s v="Franquicias Sell Out QUEST"/>
    <s v="FQ110 San Vicente del Caguan - Caqueta"/>
    <x v="10"/>
    <s v="octubre"/>
    <n v="3"/>
    <d v="2026-10-03T00:00:00"/>
    <m/>
    <m/>
    <n v="0"/>
    <n v="14750708"/>
    <n v="0"/>
  </r>
  <r>
    <s v="Franquicias Sell Out QUEST"/>
    <s v="FQ110 San Vicente del Caguan - Caqueta"/>
    <x v="10"/>
    <s v="octubre"/>
    <n v="3"/>
    <d v="2026-10-03T00:00:00"/>
    <n v="1003951543"/>
    <s v="DIAZ YAFI ERIKA FERNANDA"/>
    <n v="33"/>
    <n v="0"/>
    <n v="1790103"/>
  </r>
  <r>
    <s v="Franquicias Sell Out QUEST"/>
    <s v="FQ110 San Vicente del Caguan - Caqueta"/>
    <x v="10"/>
    <s v="octubre"/>
    <n v="3"/>
    <d v="2026-10-03T00:00:00"/>
    <n v="1075300516"/>
    <s v="QUINTERO PRIETO JESSICA PAOLA"/>
    <n v="5"/>
    <n v="0"/>
    <n v="164421"/>
  </r>
  <r>
    <s v="Franquicias Sell Out QUEST"/>
    <s v="FQ110 San Vicente del Caguan - Caqueta"/>
    <x v="10"/>
    <s v="octubre"/>
    <n v="3"/>
    <d v="2026-10-03T00:00:00"/>
    <n v="1117813657"/>
    <s v="VALLEJO  KAROL"/>
    <n v="24"/>
    <n v="0"/>
    <n v="1124605"/>
  </r>
  <r>
    <s v="Franquicias Sell Out QUEST"/>
    <s v="FQ110 San Vicente del Caguan - Caqueta"/>
    <x v="10"/>
    <s v="octubre"/>
    <n v="3"/>
    <d v="2026-10-03T00:00:00"/>
    <n v="1117816461"/>
    <s v="VASQUEZ  VALENTINA"/>
    <n v="79"/>
    <n v="0"/>
    <n v="3468596"/>
  </r>
  <r>
    <s v="Franquicias Sell Out QUEST"/>
    <s v="FQ110 San Vicente del Caguan - Caqueta"/>
    <x v="10"/>
    <s v="octubre"/>
    <n v="4"/>
    <d v="2026-10-04T00:00:00"/>
    <m/>
    <m/>
    <n v="0"/>
    <n v="6065678"/>
    <n v="0"/>
  </r>
  <r>
    <s v="Franquicias Sell Out QUEST"/>
    <s v="FQ110 San Vicente del Caguan - Caqueta"/>
    <x v="10"/>
    <s v="octubre"/>
    <n v="4"/>
    <d v="2026-10-04T00:00:00"/>
    <n v="1003951543"/>
    <s v="DIAZ YAFI ERIKA FERNANDA"/>
    <n v="33"/>
    <n v="0"/>
    <n v="1960632"/>
  </r>
  <r>
    <s v="Franquicias Sell Out QUEST"/>
    <s v="FQ110 San Vicente del Caguan - Caqueta"/>
    <x v="10"/>
    <s v="octubre"/>
    <n v="4"/>
    <d v="2026-10-04T00:00:00"/>
    <n v="1075300516"/>
    <s v="QUINTERO PRIETO JESSICA PAOLA"/>
    <n v="5"/>
    <n v="0"/>
    <n v="184538"/>
  </r>
  <r>
    <s v="Franquicias Sell Out QUEST"/>
    <s v="FQ110 San Vicente del Caguan - Caqueta"/>
    <x v="10"/>
    <s v="octubre"/>
    <n v="4"/>
    <d v="2026-10-04T00:00:00"/>
    <n v="1117813657"/>
    <s v="VALLEJO  KAROL"/>
    <n v="2"/>
    <n v="0"/>
    <n v="92352"/>
  </r>
  <r>
    <s v="Franquicias Sell Out QUEST"/>
    <s v="FQ110 San Vicente del Caguan - Caqueta"/>
    <x v="10"/>
    <s v="octubre"/>
    <n v="4"/>
    <d v="2026-10-04T00:00:00"/>
    <n v="1117816461"/>
    <s v="VASQUEZ  VALENTINA"/>
    <n v="56"/>
    <n v="0"/>
    <n v="2883191"/>
  </r>
  <r>
    <s v="Franquicias Sell Out QUEST"/>
    <s v="FQ110 San Vicente del Caguan - Caqueta"/>
    <x v="10"/>
    <s v="octubre"/>
    <n v="5"/>
    <d v="2026-10-05T00:00:00"/>
    <m/>
    <m/>
    <n v="0"/>
    <n v="11623783"/>
    <n v="0"/>
  </r>
  <r>
    <s v="Franquicias Sell Out QUEST"/>
    <s v="FQ110 San Vicente del Caguan - Caqueta"/>
    <x v="10"/>
    <s v="octubre"/>
    <n v="5"/>
    <d v="2026-10-05T00:00:00"/>
    <n v="1003951543"/>
    <s v="DIAZ YAFI ERIKA FERNANDA"/>
    <n v="17"/>
    <n v="0"/>
    <n v="1045423"/>
  </r>
  <r>
    <s v="Franquicias Sell Out QUEST"/>
    <s v="FQ110 San Vicente del Caguan - Caqueta"/>
    <x v="10"/>
    <s v="octubre"/>
    <n v="5"/>
    <d v="2026-10-05T00:00:00"/>
    <n v="1075300516"/>
    <s v="QUINTERO PRIETO JESSICA PAOLA"/>
    <n v="0"/>
    <n v="0"/>
    <n v="0"/>
  </r>
  <r>
    <s v="Franquicias Sell Out QUEST"/>
    <s v="FQ110 San Vicente del Caguan - Caqueta"/>
    <x v="10"/>
    <s v="octubre"/>
    <n v="5"/>
    <d v="2026-10-05T00:00:00"/>
    <n v="1117813657"/>
    <s v="VALLEJO  KAROL"/>
    <n v="0"/>
    <n v="0"/>
    <n v="35714"/>
  </r>
  <r>
    <s v="Franquicias Sell Out QUEST"/>
    <s v="FQ110 San Vicente del Caguan - Caqueta"/>
    <x v="10"/>
    <s v="octubre"/>
    <n v="5"/>
    <d v="2026-10-05T00:00:00"/>
    <n v="1117816461"/>
    <s v="VASQUEZ  VALENTINA"/>
    <n v="97"/>
    <n v="0"/>
    <n v="4424990"/>
  </r>
  <r>
    <s v="Franquicias Sell Out QUEST"/>
    <s v="FQ110 San Vicente del Caguan - Caqueta"/>
    <x v="10"/>
    <s v="octubre"/>
    <n v="6"/>
    <d v="2026-10-06T00:00:00"/>
    <m/>
    <m/>
    <n v="0"/>
    <n v="1791055"/>
    <n v="0"/>
  </r>
  <r>
    <s v="Franquicias Sell Out QUEST"/>
    <s v="FQ110 San Vicente del Caguan - Caqueta"/>
    <x v="10"/>
    <s v="octubre"/>
    <n v="6"/>
    <d v="2026-10-06T00:00:00"/>
    <n v="1003951543"/>
    <s v="DIAZ YAFI ERIKA FERNANDA"/>
    <n v="31"/>
    <n v="0"/>
    <n v="1392428"/>
  </r>
  <r>
    <s v="Franquicias Sell Out QUEST"/>
    <s v="FQ110 San Vicente del Caguan - Caqueta"/>
    <x v="10"/>
    <s v="octubre"/>
    <n v="6"/>
    <d v="2026-10-06T00:00:00"/>
    <n v="1117816461"/>
    <s v="VASQUEZ  VALENTINA"/>
    <n v="34"/>
    <n v="0"/>
    <n v="1687273"/>
  </r>
  <r>
    <s v="Franquicias Sell Out QUEST"/>
    <s v="FQ110 San Vicente del Caguan - Caqueta"/>
    <x v="10"/>
    <s v="octubre"/>
    <n v="7"/>
    <d v="2026-10-07T00:00:00"/>
    <m/>
    <m/>
    <n v="0"/>
    <n v="2192289"/>
    <n v="0"/>
  </r>
  <r>
    <s v="Franquicias Sell Out QUEST"/>
    <s v="FQ110 San Vicente del Caguan - Caqueta"/>
    <x v="10"/>
    <s v="octubre"/>
    <n v="7"/>
    <d v="2026-10-07T00:00:00"/>
    <n v="83044704"/>
    <s v="MURCIA ROJAS WALTER ANDRES"/>
    <n v="2"/>
    <n v="0"/>
    <n v="172185"/>
  </r>
  <r>
    <s v="Franquicias Sell Out QUEST"/>
    <s v="FQ110 San Vicente del Caguan - Caqueta"/>
    <x v="10"/>
    <s v="octubre"/>
    <n v="7"/>
    <d v="2026-10-07T00:00:00"/>
    <n v="1003951543"/>
    <s v="DIAZ YAFI ERIKA FERNANDA"/>
    <n v="23"/>
    <n v="0"/>
    <n v="984244"/>
  </r>
  <r>
    <s v="Franquicias Sell Out QUEST"/>
    <s v="FQ110 San Vicente del Caguan - Caqueta"/>
    <x v="10"/>
    <s v="octubre"/>
    <n v="7"/>
    <d v="2026-10-07T00:00:00"/>
    <n v="1117816461"/>
    <s v="VASQUEZ  VALENTINA"/>
    <n v="35"/>
    <n v="0"/>
    <n v="1813280"/>
  </r>
  <r>
    <s v="Franquicias Sell Out QUEST"/>
    <s v="FQ95 - Melgar - Tolima"/>
    <x v="10"/>
    <s v="septiembre"/>
    <n v="23"/>
    <d v="2026-09-23T00:00:00"/>
    <m/>
    <m/>
    <n v="0"/>
    <n v="2021322"/>
    <n v="0"/>
  </r>
  <r>
    <s v="Franquicias Sell Out QUEST"/>
    <s v="FQ95 - Melgar - Tolima"/>
    <x v="10"/>
    <s v="septiembre"/>
    <n v="23"/>
    <d v="2026-09-23T00:00:00"/>
    <n v="1106894527"/>
    <s v="SALCEDO  ANGELA"/>
    <n v="10"/>
    <n v="0"/>
    <n v="524791"/>
  </r>
  <r>
    <s v="Franquicias Sell Out QUEST"/>
    <s v="FQ95 - Melgar - Tolima"/>
    <x v="10"/>
    <s v="septiembre"/>
    <n v="23"/>
    <d v="2026-09-23T00:00:00"/>
    <n v="1106898701"/>
    <s v="MARTÍNEZ RODRÍGUEZ JAZ"/>
    <n v="17"/>
    <n v="0"/>
    <n v="906849"/>
  </r>
  <r>
    <s v="Franquicias Sell Out QUEST"/>
    <s v="FQ95 - Melgar - Tolima"/>
    <x v="10"/>
    <s v="septiembre"/>
    <n v="23"/>
    <d v="2026-09-23T00:00:00"/>
    <n v="1106899440"/>
    <s v="MARTINEZ  LUZ YANETH"/>
    <n v="9"/>
    <n v="0"/>
    <n v="617270"/>
  </r>
  <r>
    <s v="Franquicias Sell Out QUEST"/>
    <s v="FQ95 - Melgar - Tolima"/>
    <x v="10"/>
    <s v="septiembre"/>
    <n v="24"/>
    <d v="2026-09-24T00:00:00"/>
    <m/>
    <m/>
    <n v="0"/>
    <n v="5227528"/>
    <n v="0"/>
  </r>
  <r>
    <s v="Franquicias Sell Out QUEST"/>
    <s v="FQ95 - Melgar - Tolima"/>
    <x v="10"/>
    <s v="septiembre"/>
    <n v="24"/>
    <d v="2026-09-24T00:00:00"/>
    <n v="1106894527"/>
    <s v="SALCEDO  ANGELA"/>
    <n v="29"/>
    <n v="0"/>
    <n v="1332817"/>
  </r>
  <r>
    <s v="Franquicias Sell Out QUEST"/>
    <s v="FQ95 - Melgar - Tolima"/>
    <x v="10"/>
    <s v="septiembre"/>
    <n v="24"/>
    <d v="2026-09-24T00:00:00"/>
    <n v="1106898701"/>
    <s v="MARTÍNEZ RODRÍGUEZ JAZ"/>
    <n v="16"/>
    <n v="0"/>
    <n v="747226"/>
  </r>
  <r>
    <s v="Franquicias Sell Out QUEST"/>
    <s v="FQ95 - Melgar - Tolima"/>
    <x v="10"/>
    <s v="septiembre"/>
    <n v="24"/>
    <d v="2026-09-24T00:00:00"/>
    <n v="1106899440"/>
    <s v="MARTINEZ  LUZ YANETH"/>
    <n v="2"/>
    <n v="0"/>
    <n v="125966"/>
  </r>
  <r>
    <s v="Franquicias Sell Out QUEST"/>
    <s v="FQ95 - Melgar - Tolima"/>
    <x v="10"/>
    <s v="septiembre"/>
    <n v="25"/>
    <d v="2026-09-25T00:00:00"/>
    <m/>
    <m/>
    <n v="0"/>
    <n v="5583287"/>
    <n v="0"/>
  </r>
  <r>
    <s v="Franquicias Sell Out QUEST"/>
    <s v="FQ95 - Melgar - Tolima"/>
    <x v="10"/>
    <s v="septiembre"/>
    <n v="25"/>
    <d v="2026-09-25T00:00:00"/>
    <n v="1106894527"/>
    <s v="SALCEDO  ANGELA"/>
    <n v="36"/>
    <n v="0"/>
    <n v="2002691"/>
  </r>
  <r>
    <s v="Franquicias Sell Out QUEST"/>
    <s v="FQ95 - Melgar - Tolima"/>
    <x v="10"/>
    <s v="septiembre"/>
    <n v="25"/>
    <d v="2026-09-25T00:00:00"/>
    <n v="1106898701"/>
    <s v="MARTÍNEZ RODRÍGUEZ JAZ"/>
    <n v="27"/>
    <n v="0"/>
    <n v="1416935"/>
  </r>
  <r>
    <s v="Franquicias Sell Out QUEST"/>
    <s v="FQ95 - Melgar - Tolima"/>
    <x v="10"/>
    <s v="septiembre"/>
    <n v="25"/>
    <d v="2026-09-25T00:00:00"/>
    <n v="1106899440"/>
    <s v="MARTINEZ  LUZ YANETH"/>
    <n v="19"/>
    <n v="0"/>
    <n v="879455"/>
  </r>
  <r>
    <s v="Franquicias Sell Out QUEST"/>
    <s v="FQ95 - Melgar - Tolima"/>
    <x v="10"/>
    <s v="septiembre"/>
    <n v="26"/>
    <d v="2026-09-26T00:00:00"/>
    <m/>
    <m/>
    <n v="0"/>
    <n v="7040378"/>
    <n v="0"/>
  </r>
  <r>
    <s v="Franquicias Sell Out QUEST"/>
    <s v="FQ95 - Melgar - Tolima"/>
    <x v="10"/>
    <s v="septiembre"/>
    <n v="26"/>
    <d v="2026-09-26T00:00:00"/>
    <n v="1005855606"/>
    <s v="MARTINEZ  MARBEL EDITH"/>
    <n v="20"/>
    <n v="0"/>
    <n v="1009664"/>
  </r>
  <r>
    <s v="Franquicias Sell Out QUEST"/>
    <s v="FQ95 - Melgar - Tolima"/>
    <x v="10"/>
    <s v="septiembre"/>
    <n v="26"/>
    <d v="2026-09-26T00:00:00"/>
    <n v="1106894527"/>
    <s v="SALCEDO  ANGELA"/>
    <n v="44"/>
    <n v="0"/>
    <n v="2538027"/>
  </r>
  <r>
    <s v="Franquicias Sell Out QUEST"/>
    <s v="FQ95 - Melgar - Tolima"/>
    <x v="10"/>
    <s v="septiembre"/>
    <n v="26"/>
    <d v="2026-09-26T00:00:00"/>
    <n v="1106898701"/>
    <s v="MARTÍNEZ RODRÍGUEZ JAZ"/>
    <n v="54"/>
    <n v="0"/>
    <n v="2722437"/>
  </r>
  <r>
    <s v="Franquicias Sell Out QUEST"/>
    <s v="FQ95 - Melgar - Tolima"/>
    <x v="10"/>
    <s v="septiembre"/>
    <n v="26"/>
    <d v="2026-09-26T00:00:00"/>
    <n v="1106899440"/>
    <s v="MARTINEZ  LUZ YANETH"/>
    <n v="1"/>
    <n v="0"/>
    <n v="33572"/>
  </r>
  <r>
    <s v="Franquicias Sell Out QUEST"/>
    <s v="FQ95 - Melgar - Tolima"/>
    <x v="10"/>
    <s v="septiembre"/>
    <n v="27"/>
    <d v="2026-09-27T00:00:00"/>
    <m/>
    <m/>
    <n v="0"/>
    <n v="3717254"/>
    <n v="0"/>
  </r>
  <r>
    <s v="Franquicias Sell Out QUEST"/>
    <s v="FQ95 - Melgar - Tolima"/>
    <x v="10"/>
    <s v="septiembre"/>
    <n v="27"/>
    <d v="2026-09-27T00:00:00"/>
    <n v="1106894527"/>
    <s v="SALCEDO  ANGELA"/>
    <n v="26"/>
    <n v="0"/>
    <n v="1360253"/>
  </r>
  <r>
    <s v="Franquicias Sell Out QUEST"/>
    <s v="FQ95 - Melgar - Tolima"/>
    <x v="10"/>
    <s v="septiembre"/>
    <n v="27"/>
    <d v="2026-09-27T00:00:00"/>
    <n v="1106898701"/>
    <s v="MARTÍNEZ RODRÍGUEZ JAZ"/>
    <n v="4"/>
    <n v="0"/>
    <n v="256135"/>
  </r>
  <r>
    <s v="Franquicias Sell Out QUEST"/>
    <s v="FQ95 - Melgar - Tolima"/>
    <x v="10"/>
    <s v="septiembre"/>
    <n v="27"/>
    <d v="2026-09-27T00:00:00"/>
    <n v="1106899440"/>
    <s v="MARTINEZ  LUZ YANETH"/>
    <n v="6"/>
    <n v="0"/>
    <n v="251807"/>
  </r>
  <r>
    <s v="Franquicias Sell Out QUEST"/>
    <s v="FQ95 - Melgar - Tolima"/>
    <x v="10"/>
    <s v="septiembre"/>
    <n v="28"/>
    <d v="2026-09-28T00:00:00"/>
    <m/>
    <m/>
    <n v="0"/>
    <n v="3047744"/>
    <n v="0"/>
  </r>
  <r>
    <s v="Franquicias Sell Out QUEST"/>
    <s v="FQ95 - Melgar - Tolima"/>
    <x v="10"/>
    <s v="septiembre"/>
    <n v="28"/>
    <d v="2026-09-28T00:00:00"/>
    <n v="1106894527"/>
    <s v="SALCEDO  ANGELA"/>
    <n v="27"/>
    <n v="0"/>
    <n v="1135169"/>
  </r>
  <r>
    <s v="Franquicias Sell Out QUEST"/>
    <s v="FQ95 - Melgar - Tolima"/>
    <x v="10"/>
    <s v="septiembre"/>
    <n v="28"/>
    <d v="2026-09-28T00:00:00"/>
    <n v="1106898701"/>
    <s v="MARTÍNEZ RODRÍGUEZ JAZ"/>
    <n v="-1"/>
    <n v="0"/>
    <n v="-75588"/>
  </r>
  <r>
    <s v="Franquicias Sell Out QUEST"/>
    <s v="FQ95 - Melgar - Tolima"/>
    <x v="10"/>
    <s v="septiembre"/>
    <n v="28"/>
    <d v="2026-09-28T00:00:00"/>
    <n v="1106899440"/>
    <s v="MARTINEZ  LUZ YANETH"/>
    <n v="11"/>
    <n v="0"/>
    <n v="447017"/>
  </r>
  <r>
    <s v="Franquicias Sell Out QUEST"/>
    <s v="FQ95 - Melgar - Tolima"/>
    <x v="10"/>
    <s v="septiembre"/>
    <n v="29"/>
    <d v="2026-09-29T00:00:00"/>
    <m/>
    <m/>
    <n v="0"/>
    <n v="3388189"/>
    <n v="0"/>
  </r>
  <r>
    <s v="Franquicias Sell Out QUEST"/>
    <s v="FQ95 - Melgar - Tolima"/>
    <x v="10"/>
    <s v="septiembre"/>
    <n v="29"/>
    <d v="2026-09-29T00:00:00"/>
    <n v="1106894527"/>
    <s v="SALCEDO  ANGELA"/>
    <n v="27"/>
    <n v="0"/>
    <n v="1534538"/>
  </r>
  <r>
    <s v="Franquicias Sell Out QUEST"/>
    <s v="FQ95 - Melgar - Tolima"/>
    <x v="10"/>
    <s v="septiembre"/>
    <n v="29"/>
    <d v="2026-09-29T00:00:00"/>
    <n v="1106899440"/>
    <s v="MARTINEZ  LUZ YANETH"/>
    <n v="26"/>
    <n v="0"/>
    <n v="1414790"/>
  </r>
  <r>
    <s v="Franquicias Sell Out QUEST"/>
    <s v="FQ95 - Melgar - Tolima"/>
    <x v="10"/>
    <s v="septiembre"/>
    <n v="30"/>
    <d v="2026-09-30T00:00:00"/>
    <m/>
    <m/>
    <n v="0"/>
    <n v="3588197"/>
    <n v="0"/>
  </r>
  <r>
    <s v="Franquicias Sell Out QUEST"/>
    <s v="FQ95 - Melgar - Tolima"/>
    <x v="10"/>
    <s v="septiembre"/>
    <n v="30"/>
    <d v="2026-09-30T00:00:00"/>
    <n v="1106894527"/>
    <s v="SALCEDO  ANGELA"/>
    <n v="30"/>
    <n v="0"/>
    <n v="1616306"/>
  </r>
  <r>
    <s v="Franquicias Sell Out QUEST"/>
    <s v="FQ95 - Melgar - Tolima"/>
    <x v="10"/>
    <s v="septiembre"/>
    <n v="30"/>
    <d v="2026-09-30T00:00:00"/>
    <n v="1106898701"/>
    <s v="MARTÍNEZ RODRÍGUEZ JAZ"/>
    <n v="17"/>
    <n v="0"/>
    <n v="797439"/>
  </r>
  <r>
    <s v="Franquicias Sell Out QUEST"/>
    <s v="FQ95 - Melgar - Tolima"/>
    <x v="10"/>
    <s v="septiembre"/>
    <n v="30"/>
    <d v="2026-09-30T00:00:00"/>
    <n v="1106899440"/>
    <s v="MARTINEZ  LUZ YANETH"/>
    <n v="26"/>
    <n v="0"/>
    <n v="1263533"/>
  </r>
  <r>
    <s v="Franquicias Sell Out QUEST"/>
    <s v="FQ95 - Melgar - Tolima"/>
    <x v="10"/>
    <s v="octubre"/>
    <n v="1"/>
    <d v="2026-10-01T00:00:00"/>
    <m/>
    <m/>
    <n v="0"/>
    <n v="6055491"/>
    <n v="0"/>
  </r>
  <r>
    <s v="Franquicias Sell Out QUEST"/>
    <s v="FQ95 - Melgar - Tolima"/>
    <x v="10"/>
    <s v="octubre"/>
    <n v="1"/>
    <d v="2026-10-01T00:00:00"/>
    <n v="1106894527"/>
    <s v="SALCEDO  ANGELA"/>
    <n v="47"/>
    <n v="0"/>
    <n v="2581893"/>
  </r>
  <r>
    <s v="Franquicias Sell Out QUEST"/>
    <s v="FQ95 - Melgar - Tolima"/>
    <x v="10"/>
    <s v="octubre"/>
    <n v="1"/>
    <d v="2026-10-01T00:00:00"/>
    <n v="1106898701"/>
    <s v="MARTÍNEZ RODRÍGUEZ JAZ"/>
    <n v="33"/>
    <n v="0"/>
    <n v="1601475"/>
  </r>
  <r>
    <s v="Franquicias Sell Out QUEST"/>
    <s v="FQ95 - Melgar - Tolima"/>
    <x v="10"/>
    <s v="octubre"/>
    <n v="1"/>
    <d v="2026-10-01T00:00:00"/>
    <n v="1106899440"/>
    <s v="MARTINEZ  LUZ YANETH"/>
    <n v="6"/>
    <n v="0"/>
    <n v="239286"/>
  </r>
  <r>
    <s v="Franquicias Sell Out QUEST"/>
    <s v="FQ95 - Melgar - Tolima"/>
    <x v="10"/>
    <s v="octubre"/>
    <n v="2"/>
    <d v="2026-10-02T00:00:00"/>
    <m/>
    <m/>
    <n v="0"/>
    <n v="5788735"/>
    <n v="0"/>
  </r>
  <r>
    <s v="Franquicias Sell Out QUEST"/>
    <s v="FQ95 - Melgar - Tolima"/>
    <x v="10"/>
    <s v="octubre"/>
    <n v="2"/>
    <d v="2026-10-02T00:00:00"/>
    <n v="1005855606"/>
    <s v="MARTINEZ  MARBEL EDITH"/>
    <n v="18"/>
    <n v="0"/>
    <n v="759751"/>
  </r>
  <r>
    <s v="Franquicias Sell Out QUEST"/>
    <s v="FQ95 - Melgar - Tolima"/>
    <x v="10"/>
    <s v="octubre"/>
    <n v="2"/>
    <d v="2026-10-02T00:00:00"/>
    <n v="1106894527"/>
    <s v="SALCEDO  ANGELA"/>
    <n v="23"/>
    <n v="0"/>
    <n v="1442187"/>
  </r>
  <r>
    <s v="Franquicias Sell Out QUEST"/>
    <s v="FQ95 - Melgar - Tolima"/>
    <x v="10"/>
    <s v="octubre"/>
    <n v="2"/>
    <d v="2026-10-02T00:00:00"/>
    <n v="1106898701"/>
    <s v="MARTÍNEZ RODRÍGUEZ JAZ"/>
    <n v="30"/>
    <n v="0"/>
    <n v="1757103"/>
  </r>
  <r>
    <s v="Franquicias Sell Out QUEST"/>
    <s v="FQ95 - Melgar - Tolima"/>
    <x v="10"/>
    <s v="octubre"/>
    <n v="2"/>
    <d v="2026-10-02T00:00:00"/>
    <n v="1106899440"/>
    <s v="MARTINEZ  LUZ YANETH"/>
    <n v="15"/>
    <n v="0"/>
    <n v="705210"/>
  </r>
  <r>
    <s v="Franquicias Sell Out QUEST"/>
    <s v="FQ95 - Melgar - Tolima"/>
    <x v="10"/>
    <s v="octubre"/>
    <n v="3"/>
    <d v="2026-10-03T00:00:00"/>
    <m/>
    <m/>
    <n v="0"/>
    <n v="8585938"/>
    <n v="0"/>
  </r>
  <r>
    <s v="Franquicias Sell Out QUEST"/>
    <s v="FQ95 - Melgar - Tolima"/>
    <x v="10"/>
    <s v="octubre"/>
    <n v="3"/>
    <d v="2026-10-03T00:00:00"/>
    <n v="1005855606"/>
    <s v="MARTINEZ  MARBEL EDITH"/>
    <n v="31"/>
    <n v="0"/>
    <n v="1676396"/>
  </r>
  <r>
    <s v="Franquicias Sell Out QUEST"/>
    <s v="FQ95 - Melgar - Tolima"/>
    <x v="10"/>
    <s v="octubre"/>
    <n v="3"/>
    <d v="2026-10-03T00:00:00"/>
    <n v="1106894527"/>
    <s v="SALCEDO  ANGELA"/>
    <n v="34"/>
    <n v="0"/>
    <n v="1837490"/>
  </r>
  <r>
    <s v="Franquicias Sell Out QUEST"/>
    <s v="FQ95 - Melgar - Tolima"/>
    <x v="10"/>
    <s v="octubre"/>
    <n v="3"/>
    <d v="2026-10-03T00:00:00"/>
    <n v="1106898701"/>
    <s v="MARTÍNEZ RODRÍGUEZ JAZ"/>
    <n v="20"/>
    <n v="0"/>
    <n v="1048255"/>
  </r>
  <r>
    <s v="Franquicias Sell Out QUEST"/>
    <s v="FQ95 - Melgar - Tolima"/>
    <x v="10"/>
    <s v="octubre"/>
    <n v="4"/>
    <d v="2026-10-04T00:00:00"/>
    <m/>
    <m/>
    <n v="0"/>
    <n v="3865568"/>
    <n v="0"/>
  </r>
  <r>
    <s v="Franquicias Sell Out QUEST"/>
    <s v="FQ95 - Melgar - Tolima"/>
    <x v="10"/>
    <s v="octubre"/>
    <n v="4"/>
    <d v="2026-10-04T00:00:00"/>
    <n v="1106898701"/>
    <s v="MARTÍNEZ RODRÍGUEZ JAZ"/>
    <n v="40"/>
    <n v="0"/>
    <n v="2235590"/>
  </r>
  <r>
    <s v="Franquicias Sell Out QUEST"/>
    <s v="FQ95 - Melgar - Tolima"/>
    <x v="10"/>
    <s v="octubre"/>
    <n v="4"/>
    <d v="2026-10-04T00:00:00"/>
    <n v="1106899440"/>
    <s v="MARTINEZ  LUZ YANETH"/>
    <n v="14"/>
    <n v="0"/>
    <n v="663194"/>
  </r>
  <r>
    <s v="Franquicias Sell Out QUEST"/>
    <s v="FQ95 - Melgar - Tolima"/>
    <x v="10"/>
    <s v="octubre"/>
    <n v="5"/>
    <d v="2026-10-05T00:00:00"/>
    <m/>
    <m/>
    <n v="0"/>
    <n v="4017766"/>
    <n v="0"/>
  </r>
  <r>
    <s v="Franquicias Sell Out QUEST"/>
    <s v="FQ95 - Melgar - Tolima"/>
    <x v="10"/>
    <s v="octubre"/>
    <n v="5"/>
    <d v="2026-10-05T00:00:00"/>
    <n v="1106894527"/>
    <s v="SALCEDO  ANGELA"/>
    <n v="2"/>
    <n v="0"/>
    <n v="-168"/>
  </r>
  <r>
    <s v="Franquicias Sell Out QUEST"/>
    <s v="FQ95 - Melgar - Tolima"/>
    <x v="10"/>
    <s v="octubre"/>
    <n v="5"/>
    <d v="2026-10-05T00:00:00"/>
    <n v="1106898701"/>
    <s v="MARTÍNEZ RODRÍGUEZ JAZ"/>
    <n v="28"/>
    <n v="0"/>
    <n v="1111935"/>
  </r>
  <r>
    <s v="Franquicias Sell Out QUEST"/>
    <s v="FQ95 - Melgar - Tolima"/>
    <x v="10"/>
    <s v="octubre"/>
    <n v="5"/>
    <d v="2026-10-05T00:00:00"/>
    <n v="1106899440"/>
    <s v="MARTINEZ  LUZ YANETH"/>
    <n v="16"/>
    <n v="0"/>
    <n v="774496"/>
  </r>
  <r>
    <s v="Franquicias Sell Out QUEST"/>
    <s v="FQ95 - Melgar - Tolima"/>
    <x v="10"/>
    <s v="octubre"/>
    <n v="6"/>
    <d v="2026-10-06T00:00:00"/>
    <m/>
    <m/>
    <n v="0"/>
    <n v="4288310"/>
    <n v="0"/>
  </r>
  <r>
    <s v="Franquicias Sell Out QUEST"/>
    <s v="FQ95 - Melgar - Tolima"/>
    <x v="10"/>
    <s v="octubre"/>
    <n v="6"/>
    <d v="2026-10-06T00:00:00"/>
    <n v="1106894527"/>
    <s v="SALCEDO  ANGELA"/>
    <n v="27"/>
    <n v="0"/>
    <n v="1387353"/>
  </r>
  <r>
    <s v="Franquicias Sell Out QUEST"/>
    <s v="FQ95 - Melgar - Tolima"/>
    <x v="10"/>
    <s v="octubre"/>
    <n v="6"/>
    <d v="2026-10-06T00:00:00"/>
    <n v="1106899440"/>
    <s v="MARTINEZ  LUZ YANETH"/>
    <n v="16"/>
    <n v="0"/>
    <n v="919371"/>
  </r>
  <r>
    <s v="Franquicias Sell Out QUEST"/>
    <s v="FQ95 - Melgar - Tolima"/>
    <x v="10"/>
    <s v="octubre"/>
    <n v="7"/>
    <d v="2026-10-07T00:00:00"/>
    <m/>
    <m/>
    <n v="0"/>
    <n v="2275022"/>
    <n v="0"/>
  </r>
  <r>
    <s v="Franquicias Sell Out QUEST"/>
    <s v="FQ95 - Melgar - Tolima"/>
    <x v="10"/>
    <s v="octubre"/>
    <n v="7"/>
    <d v="2026-10-07T00:00:00"/>
    <n v="1106894527"/>
    <s v="SALCEDO  ANGELA"/>
    <n v="22"/>
    <n v="0"/>
    <n v="856180"/>
  </r>
  <r>
    <s v="Franquicias Sell Out QUEST"/>
    <s v="FQ95 - Melgar - Tolima"/>
    <x v="10"/>
    <s v="octubre"/>
    <n v="7"/>
    <d v="2026-10-07T00:00:00"/>
    <n v="1106898701"/>
    <s v="MARTÍNEZ RODRÍGUEZ JAZ"/>
    <n v="1"/>
    <n v="0"/>
    <n v="20966"/>
  </r>
  <r>
    <s v="Franquicias Sell Out QUEST"/>
    <s v="FQ95 - Melgar - Tolima"/>
    <x v="10"/>
    <s v="octubre"/>
    <n v="7"/>
    <d v="2026-10-07T00:00:00"/>
    <n v="1106899440"/>
    <s v="MARTINEZ  LUZ YANETH"/>
    <n v="18"/>
    <n v="0"/>
    <n v="864665"/>
  </r>
  <r>
    <s v="Retail"/>
    <s v="Q053 - Neiva - Cc San Pedro Plaza"/>
    <x v="10"/>
    <s v="septiembre"/>
    <n v="23"/>
    <d v="2026-09-23T00:00:00"/>
    <m/>
    <m/>
    <n v="0"/>
    <n v="11979767"/>
    <n v="0"/>
  </r>
  <r>
    <s v="Retail"/>
    <s v="Q053 - Neiva - Cc San Pedro Plaza"/>
    <x v="10"/>
    <s v="septiembre"/>
    <n v="23"/>
    <d v="2026-09-23T00:00:00"/>
    <n v="1004248452"/>
    <s v="SIERRA TRUJILLO MIGUEL  ANGEL"/>
    <n v="11"/>
    <n v="0"/>
    <n v="701219"/>
  </r>
  <r>
    <s v="Retail"/>
    <s v="Q053 - Neiva - Cc San Pedro Plaza"/>
    <x v="10"/>
    <s v="septiembre"/>
    <n v="23"/>
    <d v="2026-09-23T00:00:00"/>
    <n v="1010087804"/>
    <s v="SIERRA  NOVOA ORIHANA GABRIELA "/>
    <n v="53"/>
    <n v="0"/>
    <n v="2999792"/>
  </r>
  <r>
    <s v="Retail"/>
    <s v="Q053 - Neiva - Cc San Pedro Plaza"/>
    <x v="10"/>
    <s v="septiembre"/>
    <n v="23"/>
    <d v="2026-09-23T00:00:00"/>
    <n v="1075270226"/>
    <s v="CHARRY RODRIGUEZ AIDA INES"/>
    <n v="81"/>
    <n v="0"/>
    <n v="4372524"/>
  </r>
  <r>
    <s v="Retail"/>
    <s v="Q053 - Neiva - Cc San Pedro Plaza"/>
    <x v="10"/>
    <s v="septiembre"/>
    <n v="23"/>
    <d v="2026-09-23T00:00:00"/>
    <n v="1075284277"/>
    <s v="CASTILLO BOCANEGRA JUAN DAVID"/>
    <n v="21"/>
    <n v="0"/>
    <n v="990714"/>
  </r>
  <r>
    <s v="Retail"/>
    <s v="Q053 - Neiva - Cc San Pedro Plaza"/>
    <x v="10"/>
    <s v="septiembre"/>
    <n v="24"/>
    <d v="2026-09-24T00:00:00"/>
    <m/>
    <m/>
    <n v="0"/>
    <n v="18300441"/>
    <n v="0"/>
  </r>
  <r>
    <s v="Retail"/>
    <s v="Q053 - Neiva - Cc San Pedro Plaza"/>
    <x v="10"/>
    <s v="septiembre"/>
    <n v="24"/>
    <d v="2026-09-24T00:00:00"/>
    <n v="1004248452"/>
    <s v="SIERRA TRUJILLO MIGUEL  ANGEL"/>
    <n v="26"/>
    <n v="0"/>
    <n v="1236137"/>
  </r>
  <r>
    <s v="Retail"/>
    <s v="Q053 - Neiva - Cc San Pedro Plaza"/>
    <x v="10"/>
    <s v="septiembre"/>
    <n v="24"/>
    <d v="2026-09-24T00:00:00"/>
    <n v="1010087804"/>
    <s v="SIERRA  NOVOA ORIHANA GABRIELA "/>
    <n v="67"/>
    <n v="0"/>
    <n v="3482359"/>
  </r>
  <r>
    <s v="Retail"/>
    <s v="Q053 - Neiva - Cc San Pedro Plaza"/>
    <x v="10"/>
    <s v="septiembre"/>
    <n v="24"/>
    <d v="2026-09-24T00:00:00"/>
    <n v="1075270226"/>
    <s v="CHARRY RODRIGUEZ AIDA INES"/>
    <n v="93"/>
    <n v="0"/>
    <n v="4682943"/>
  </r>
  <r>
    <s v="Retail"/>
    <s v="Q053 - Neiva - Cc San Pedro Plaza"/>
    <x v="10"/>
    <s v="septiembre"/>
    <n v="24"/>
    <d v="2026-09-24T00:00:00"/>
    <n v="1075284277"/>
    <s v="CASTILLO BOCANEGRA JUAN DAVID"/>
    <n v="16"/>
    <n v="0"/>
    <n v="816556"/>
  </r>
  <r>
    <s v="Retail"/>
    <s v="Q053 - Neiva - Cc San Pedro Plaza"/>
    <x v="10"/>
    <s v="septiembre"/>
    <n v="25"/>
    <d v="2026-09-25T00:00:00"/>
    <m/>
    <m/>
    <n v="0"/>
    <n v="18259928"/>
    <n v="0"/>
  </r>
  <r>
    <s v="Retail"/>
    <s v="Q053 - Neiva - Cc San Pedro Plaza"/>
    <x v="10"/>
    <s v="septiembre"/>
    <n v="25"/>
    <d v="2026-09-25T00:00:00"/>
    <n v="1004248452"/>
    <s v="SIERRA TRUJILLO MIGUEL  ANGEL"/>
    <n v="29"/>
    <n v="0"/>
    <n v="1536558"/>
  </r>
  <r>
    <s v="Retail"/>
    <s v="Q053 - Neiva - Cc San Pedro Plaza"/>
    <x v="10"/>
    <s v="septiembre"/>
    <n v="25"/>
    <d v="2026-09-25T00:00:00"/>
    <n v="1010087804"/>
    <s v="SIERRA  NOVOA ORIHANA GABRIELA "/>
    <n v="80"/>
    <n v="0"/>
    <n v="4143618"/>
  </r>
  <r>
    <s v="Retail"/>
    <s v="Q053 - Neiva - Cc San Pedro Plaza"/>
    <x v="10"/>
    <s v="septiembre"/>
    <n v="25"/>
    <d v="2026-09-25T00:00:00"/>
    <n v="1075270226"/>
    <s v="CHARRY RODRIGUEZ AIDA INES"/>
    <n v="80"/>
    <n v="0"/>
    <n v="4729790"/>
  </r>
  <r>
    <s v="Retail"/>
    <s v="Q053 - Neiva - Cc San Pedro Plaza"/>
    <x v="10"/>
    <s v="septiembre"/>
    <n v="25"/>
    <d v="2026-09-25T00:00:00"/>
    <n v="1075284277"/>
    <s v="CASTILLO BOCANEGRA JUAN DAVID"/>
    <n v="27"/>
    <n v="0"/>
    <n v="1599666"/>
  </r>
  <r>
    <s v="Retail"/>
    <s v="Q053 - Neiva - Cc San Pedro Plaza"/>
    <x v="10"/>
    <s v="septiembre"/>
    <n v="26"/>
    <d v="2026-09-26T00:00:00"/>
    <m/>
    <m/>
    <n v="0"/>
    <n v="26242143"/>
    <n v="0"/>
  </r>
  <r>
    <s v="Retail"/>
    <s v="Q053 - Neiva - Cc San Pedro Plaza"/>
    <x v="10"/>
    <s v="septiembre"/>
    <n v="26"/>
    <d v="2026-09-26T00:00:00"/>
    <n v="1004248452"/>
    <s v="SIERRA TRUJILLO MIGUEL  ANGEL"/>
    <n v="78"/>
    <n v="0"/>
    <n v="4383200"/>
  </r>
  <r>
    <s v="Retail"/>
    <s v="Q053 - Neiva - Cc San Pedro Plaza"/>
    <x v="10"/>
    <s v="septiembre"/>
    <n v="26"/>
    <d v="2026-09-26T00:00:00"/>
    <n v="1010087804"/>
    <s v="SIERRA  NOVOA ORIHANA GABRIELA "/>
    <n v="112"/>
    <n v="0"/>
    <n v="6587566"/>
  </r>
  <r>
    <s v="Retail"/>
    <s v="Q053 - Neiva - Cc San Pedro Plaza"/>
    <x v="10"/>
    <s v="septiembre"/>
    <n v="26"/>
    <d v="2026-09-26T00:00:00"/>
    <n v="1075270226"/>
    <s v="CHARRY RODRIGUEZ AIDA INES"/>
    <n v="130"/>
    <n v="0"/>
    <n v="6645516"/>
  </r>
  <r>
    <s v="Retail"/>
    <s v="Q053 - Neiva - Cc San Pedro Plaza"/>
    <x v="10"/>
    <s v="septiembre"/>
    <n v="26"/>
    <d v="2026-09-26T00:00:00"/>
    <n v="1075284277"/>
    <s v="CASTILLO BOCANEGRA JUAN DAVID"/>
    <n v="61"/>
    <n v="0"/>
    <n v="3728532"/>
  </r>
  <r>
    <s v="Retail"/>
    <s v="Q053 - Neiva - Cc San Pedro Plaza"/>
    <x v="10"/>
    <s v="septiembre"/>
    <n v="27"/>
    <d v="2026-09-27T00:00:00"/>
    <m/>
    <m/>
    <n v="0"/>
    <n v="20789060"/>
    <n v="0"/>
  </r>
  <r>
    <s v="Retail"/>
    <s v="Q053 - Neiva - Cc San Pedro Plaza"/>
    <x v="10"/>
    <s v="septiembre"/>
    <n v="27"/>
    <d v="2026-09-27T00:00:00"/>
    <n v="1004248452"/>
    <s v="SIERRA TRUJILLO MIGUEL  ANGEL"/>
    <n v="56"/>
    <n v="0"/>
    <n v="2854667"/>
  </r>
  <r>
    <s v="Retail"/>
    <s v="Q053 - Neiva - Cc San Pedro Plaza"/>
    <x v="10"/>
    <s v="septiembre"/>
    <n v="27"/>
    <d v="2026-09-27T00:00:00"/>
    <n v="1010087804"/>
    <s v="SIERRA  NOVOA ORIHANA GABRIELA "/>
    <n v="106"/>
    <n v="0"/>
    <n v="5745552"/>
  </r>
  <r>
    <s v="Retail"/>
    <s v="Q053 - Neiva - Cc San Pedro Plaza"/>
    <x v="10"/>
    <s v="septiembre"/>
    <n v="27"/>
    <d v="2026-09-27T00:00:00"/>
    <n v="1075270226"/>
    <s v="CHARRY RODRIGUEZ AIDA INES"/>
    <n v="116"/>
    <n v="0"/>
    <n v="7041051"/>
  </r>
  <r>
    <s v="Retail"/>
    <s v="Q053 - Neiva - Cc San Pedro Plaza"/>
    <x v="10"/>
    <s v="septiembre"/>
    <n v="27"/>
    <d v="2026-09-27T00:00:00"/>
    <n v="1075284277"/>
    <s v="CASTILLO BOCANEGRA JUAN DAVID"/>
    <n v="41"/>
    <n v="0"/>
    <n v="2321768"/>
  </r>
  <r>
    <s v="Retail"/>
    <s v="Q053 - Neiva - Cc San Pedro Plaza"/>
    <x v="10"/>
    <s v="septiembre"/>
    <n v="27"/>
    <d v="2026-09-27T00:00:00"/>
    <n v="1075295484"/>
    <s v="ALDANA VARGAS LEYDY ADRIANA"/>
    <n v="-1"/>
    <n v="0"/>
    <n v="-41975"/>
  </r>
  <r>
    <s v="Retail"/>
    <s v="Q053 - Neiva - Cc San Pedro Plaza"/>
    <x v="10"/>
    <s v="septiembre"/>
    <n v="28"/>
    <d v="2026-09-28T00:00:00"/>
    <m/>
    <m/>
    <n v="0"/>
    <n v="11441444"/>
    <n v="0"/>
  </r>
  <r>
    <s v="Retail"/>
    <s v="Q053 - Neiva - Cc San Pedro Plaza"/>
    <x v="10"/>
    <s v="septiembre"/>
    <n v="28"/>
    <d v="2026-09-28T00:00:00"/>
    <n v="1004248452"/>
    <s v="SIERRA TRUJILLO MIGUEL  ANGEL"/>
    <n v="25"/>
    <n v="0"/>
    <n v="1450630"/>
  </r>
  <r>
    <s v="Retail"/>
    <s v="Q053 - Neiva - Cc San Pedro Plaza"/>
    <x v="10"/>
    <s v="septiembre"/>
    <n v="28"/>
    <d v="2026-09-28T00:00:00"/>
    <n v="1010087804"/>
    <s v="SIERRA  NOVOA ORIHANA GABRIELA "/>
    <n v="36"/>
    <n v="0"/>
    <n v="1985717"/>
  </r>
  <r>
    <s v="Retail"/>
    <s v="Q053 - Neiva - Cc San Pedro Plaza"/>
    <x v="10"/>
    <s v="septiembre"/>
    <n v="28"/>
    <d v="2026-09-28T00:00:00"/>
    <n v="1075270226"/>
    <s v="CHARRY RODRIGUEZ AIDA INES"/>
    <n v="71"/>
    <n v="0"/>
    <n v="3101893"/>
  </r>
  <r>
    <s v="Retail"/>
    <s v="Q053 - Neiva - Cc San Pedro Plaza"/>
    <x v="10"/>
    <s v="septiembre"/>
    <n v="28"/>
    <d v="2026-09-28T00:00:00"/>
    <n v="1075284277"/>
    <s v="CASTILLO BOCANEGRA JUAN DAVID"/>
    <n v="15"/>
    <n v="0"/>
    <n v="646262"/>
  </r>
  <r>
    <s v="Retail"/>
    <s v="Q053 - Neiva - Cc San Pedro Plaza"/>
    <x v="10"/>
    <s v="septiembre"/>
    <n v="29"/>
    <d v="2026-09-29T00:00:00"/>
    <m/>
    <m/>
    <n v="0"/>
    <n v="12221701"/>
    <n v="0"/>
  </r>
  <r>
    <s v="Retail"/>
    <s v="Q053 - Neiva - Cc San Pedro Plaza"/>
    <x v="10"/>
    <s v="septiembre"/>
    <n v="29"/>
    <d v="2026-09-29T00:00:00"/>
    <n v="1004248452"/>
    <s v="SIERRA TRUJILLO MIGUEL  ANGEL"/>
    <n v="5"/>
    <n v="0"/>
    <n v="352689"/>
  </r>
  <r>
    <s v="Retail"/>
    <s v="Q053 - Neiva - Cc San Pedro Plaza"/>
    <x v="10"/>
    <s v="septiembre"/>
    <n v="29"/>
    <d v="2026-09-29T00:00:00"/>
    <n v="1010087804"/>
    <s v="SIERRA  NOVOA ORIHANA GABRIELA "/>
    <n v="30"/>
    <n v="0"/>
    <n v="1559865"/>
  </r>
  <r>
    <s v="Retail"/>
    <s v="Q053 - Neiva - Cc San Pedro Plaza"/>
    <x v="10"/>
    <s v="septiembre"/>
    <n v="29"/>
    <d v="2026-09-29T00:00:00"/>
    <n v="1075240964"/>
    <s v="CASTAÑEDA PAVÓN DIANA CRISTINA"/>
    <n v="-1"/>
    <n v="0"/>
    <n v="-46177"/>
  </r>
  <r>
    <s v="Retail"/>
    <s v="Q053 - Neiva - Cc San Pedro Plaza"/>
    <x v="10"/>
    <s v="septiembre"/>
    <n v="29"/>
    <d v="2026-09-29T00:00:00"/>
    <n v="1075270226"/>
    <s v="CHARRY RODRIGUEZ AIDA INES"/>
    <n v="36"/>
    <n v="0"/>
    <n v="2120339"/>
  </r>
  <r>
    <s v="Retail"/>
    <s v="Q053 - Neiva - Cc San Pedro Plaza"/>
    <x v="10"/>
    <s v="septiembre"/>
    <n v="29"/>
    <d v="2026-09-29T00:00:00"/>
    <n v="1075284277"/>
    <s v="CASTILLO BOCANEGRA JUAN DAVID"/>
    <n v="36"/>
    <n v="0"/>
    <n v="1885001"/>
  </r>
  <r>
    <s v="Retail"/>
    <s v="Q053 - Neiva - Cc San Pedro Plaza"/>
    <x v="10"/>
    <s v="septiembre"/>
    <n v="30"/>
    <d v="2026-09-30T00:00:00"/>
    <m/>
    <m/>
    <n v="0"/>
    <n v="12625236"/>
    <n v="0"/>
  </r>
  <r>
    <s v="Retail"/>
    <s v="Q053 - Neiva - Cc San Pedro Plaza"/>
    <x v="10"/>
    <s v="septiembre"/>
    <n v="30"/>
    <d v="2026-09-30T00:00:00"/>
    <n v="1004248452"/>
    <s v="SIERRA TRUJILLO MIGUEL  ANGEL"/>
    <n v="51"/>
    <n v="0"/>
    <n v="2758196"/>
  </r>
  <r>
    <s v="Retail"/>
    <s v="Q053 - Neiva - Cc San Pedro Plaza"/>
    <x v="10"/>
    <s v="septiembre"/>
    <n v="30"/>
    <d v="2026-09-30T00:00:00"/>
    <n v="1010087804"/>
    <s v="SIERRA  NOVOA ORIHANA GABRIELA "/>
    <n v="43"/>
    <n v="0"/>
    <n v="2262818"/>
  </r>
  <r>
    <s v="Retail"/>
    <s v="Q053 - Neiva - Cc San Pedro Plaza"/>
    <x v="10"/>
    <s v="septiembre"/>
    <n v="30"/>
    <d v="2026-09-30T00:00:00"/>
    <n v="1075270226"/>
    <s v="CHARRY RODRIGUEZ AIDA INES"/>
    <n v="57"/>
    <n v="0"/>
    <n v="3211688"/>
  </r>
  <r>
    <s v="Retail"/>
    <s v="Q053 - Neiva - Cc San Pedro Plaza"/>
    <x v="10"/>
    <s v="septiembre"/>
    <n v="30"/>
    <d v="2026-09-30T00:00:00"/>
    <n v="1075284277"/>
    <s v="CASTILLO BOCANEGRA JUAN DAVID"/>
    <n v="19"/>
    <n v="0"/>
    <n v="1167270"/>
  </r>
  <r>
    <s v="Retail"/>
    <s v="Q053 - Neiva - Cc San Pedro Plaza"/>
    <x v="10"/>
    <s v="octubre"/>
    <n v="1"/>
    <d v="2026-10-01T00:00:00"/>
    <m/>
    <m/>
    <n v="0"/>
    <n v="11087004"/>
    <n v="0"/>
  </r>
  <r>
    <s v="Retail"/>
    <s v="Q053 - Neiva - Cc San Pedro Plaza"/>
    <x v="10"/>
    <s v="octubre"/>
    <n v="1"/>
    <d v="2026-10-01T00:00:00"/>
    <n v="1004248452"/>
    <s v="SIERRA TRUJILLO MIGUEL  ANGEL"/>
    <n v="21"/>
    <n v="0"/>
    <n v="1039035"/>
  </r>
  <r>
    <s v="Retail"/>
    <s v="Q053 - Neiva - Cc San Pedro Plaza"/>
    <x v="10"/>
    <s v="octubre"/>
    <n v="1"/>
    <d v="2026-10-01T00:00:00"/>
    <n v="1010087804"/>
    <s v="SIERRA  NOVOA ORIHANA GABRIELA "/>
    <n v="47"/>
    <n v="0"/>
    <n v="2934960"/>
  </r>
  <r>
    <s v="Retail"/>
    <s v="Q053 - Neiva - Cc San Pedro Plaza"/>
    <x v="10"/>
    <s v="octubre"/>
    <n v="1"/>
    <d v="2026-10-01T00:00:00"/>
    <n v="1075270226"/>
    <s v="CHARRY RODRIGUEZ AIDA INES"/>
    <n v="64"/>
    <n v="0"/>
    <n v="3856225"/>
  </r>
  <r>
    <s v="Retail"/>
    <s v="Q053 - Neiva - Cc San Pedro Plaza"/>
    <x v="10"/>
    <s v="octubre"/>
    <n v="1"/>
    <d v="2026-10-01T00:00:00"/>
    <n v="1075284277"/>
    <s v="CASTILLO BOCANEGRA JUAN DAVID"/>
    <n v="27"/>
    <n v="0"/>
    <n v="1196305"/>
  </r>
  <r>
    <s v="Retail"/>
    <s v="Q053 - Neiva - Cc San Pedro Plaza"/>
    <x v="10"/>
    <s v="octubre"/>
    <n v="2"/>
    <d v="2026-10-02T00:00:00"/>
    <m/>
    <m/>
    <n v="0"/>
    <n v="10447092"/>
    <n v="0"/>
  </r>
  <r>
    <s v="Retail"/>
    <s v="Q053 - Neiva - Cc San Pedro Plaza"/>
    <x v="10"/>
    <s v="octubre"/>
    <n v="2"/>
    <d v="2026-10-02T00:00:00"/>
    <n v="1004248452"/>
    <s v="SIERRA TRUJILLO MIGUEL  ANGEL"/>
    <n v="24"/>
    <n v="0"/>
    <n v="1164960"/>
  </r>
  <r>
    <s v="Retail"/>
    <s v="Q053 - Neiva - Cc San Pedro Plaza"/>
    <x v="10"/>
    <s v="octubre"/>
    <n v="2"/>
    <d v="2026-10-02T00:00:00"/>
    <n v="1010087804"/>
    <s v="SIERRA  NOVOA ORIHANA GABRIELA "/>
    <n v="53"/>
    <n v="0"/>
    <n v="2941014"/>
  </r>
  <r>
    <s v="Retail"/>
    <s v="Q053 - Neiva - Cc San Pedro Plaza"/>
    <x v="10"/>
    <s v="octubre"/>
    <n v="2"/>
    <d v="2026-10-02T00:00:00"/>
    <n v="1075270226"/>
    <s v="CHARRY RODRIGUEZ AIDA INES"/>
    <n v="68"/>
    <n v="0"/>
    <n v="3517988"/>
  </r>
  <r>
    <s v="Retail"/>
    <s v="Q053 - Neiva - Cc San Pedro Plaza"/>
    <x v="10"/>
    <s v="octubre"/>
    <n v="2"/>
    <d v="2026-10-02T00:00:00"/>
    <n v="1075284277"/>
    <s v="CASTILLO BOCANEGRA JUAN DAVID"/>
    <n v="19"/>
    <n v="0"/>
    <n v="1079035"/>
  </r>
  <r>
    <s v="Retail"/>
    <s v="Q053 - Neiva - Cc San Pedro Plaza"/>
    <x v="10"/>
    <s v="octubre"/>
    <n v="3"/>
    <d v="2026-10-03T00:00:00"/>
    <m/>
    <m/>
    <n v="0"/>
    <n v="13503584"/>
    <n v="0"/>
  </r>
  <r>
    <s v="Retail"/>
    <s v="Q053 - Neiva - Cc San Pedro Plaza"/>
    <x v="10"/>
    <s v="octubre"/>
    <n v="3"/>
    <d v="2026-10-03T00:00:00"/>
    <n v="1004248452"/>
    <s v="SIERRA TRUJILLO MIGUEL  ANGEL"/>
    <n v="58"/>
    <n v="0"/>
    <n v="3173348"/>
  </r>
  <r>
    <s v="Retail"/>
    <s v="Q053 - Neiva - Cc San Pedro Plaza"/>
    <x v="10"/>
    <s v="octubre"/>
    <n v="3"/>
    <d v="2026-10-03T00:00:00"/>
    <n v="1010087804"/>
    <s v="SIERRA  NOVOA ORIHANA GABRIELA "/>
    <n v="103"/>
    <n v="0"/>
    <n v="5378748"/>
  </r>
  <r>
    <s v="Retail"/>
    <s v="Q053 - Neiva - Cc San Pedro Plaza"/>
    <x v="10"/>
    <s v="octubre"/>
    <n v="3"/>
    <d v="2026-10-03T00:00:00"/>
    <n v="1075243559"/>
    <s v="PINO  ORDOÑEZ KATHERINE ANDREA "/>
    <n v="-1"/>
    <n v="0"/>
    <n v="-54580"/>
  </r>
  <r>
    <s v="Retail"/>
    <s v="Q053 - Neiva - Cc San Pedro Plaza"/>
    <x v="10"/>
    <s v="octubre"/>
    <n v="3"/>
    <d v="2026-10-03T00:00:00"/>
    <n v="1075270226"/>
    <s v="CHARRY RODRIGUEZ AIDA INES"/>
    <n v="125"/>
    <n v="0"/>
    <n v="6236970"/>
  </r>
  <r>
    <s v="Retail"/>
    <s v="Q053 - Neiva - Cc San Pedro Plaza"/>
    <x v="10"/>
    <s v="octubre"/>
    <n v="3"/>
    <d v="2026-10-03T00:00:00"/>
    <n v="1075284277"/>
    <s v="CASTILLO BOCANEGRA JUAN DAVID"/>
    <n v="64"/>
    <n v="0"/>
    <n v="3157981"/>
  </r>
  <r>
    <s v="Retail"/>
    <s v="Q053 - Neiva - Cc San Pedro Plaza"/>
    <x v="10"/>
    <s v="octubre"/>
    <n v="4"/>
    <d v="2026-10-04T00:00:00"/>
    <m/>
    <m/>
    <n v="0"/>
    <n v="11808888"/>
    <n v="0"/>
  </r>
  <r>
    <s v="Retail"/>
    <s v="Q053 - Neiva - Cc San Pedro Plaza"/>
    <x v="10"/>
    <s v="octubre"/>
    <n v="4"/>
    <d v="2026-10-04T00:00:00"/>
    <n v="1004248452"/>
    <s v="SIERRA TRUJILLO MIGUEL  ANGEL"/>
    <n v="53"/>
    <n v="0"/>
    <n v="3084240"/>
  </r>
  <r>
    <s v="Retail"/>
    <s v="Q053 - Neiva - Cc San Pedro Plaza"/>
    <x v="10"/>
    <s v="octubre"/>
    <n v="4"/>
    <d v="2026-10-04T00:00:00"/>
    <n v="1010087804"/>
    <s v="SIERRA  NOVOA ORIHANA GABRIELA "/>
    <n v="86"/>
    <n v="0"/>
    <n v="4615847"/>
  </r>
  <r>
    <s v="Retail"/>
    <s v="Q053 - Neiva - Cc San Pedro Plaza"/>
    <x v="10"/>
    <s v="octubre"/>
    <n v="4"/>
    <d v="2026-10-04T00:00:00"/>
    <n v="1075218260"/>
    <s v="MOSQUERA SANCHEZ CATALINA"/>
    <n v="-1"/>
    <n v="0"/>
    <n v="-67185"/>
  </r>
  <r>
    <s v="Retail"/>
    <s v="Q053 - Neiva - Cc San Pedro Plaza"/>
    <x v="10"/>
    <s v="octubre"/>
    <n v="4"/>
    <d v="2026-10-04T00:00:00"/>
    <n v="1075270226"/>
    <s v="CHARRY RODRIGUEZ AIDA INES"/>
    <n v="98"/>
    <n v="0"/>
    <n v="6293957"/>
  </r>
  <r>
    <s v="Retail"/>
    <s v="Q053 - Neiva - Cc San Pedro Plaza"/>
    <x v="10"/>
    <s v="octubre"/>
    <n v="4"/>
    <d v="2026-10-04T00:00:00"/>
    <n v="1075284277"/>
    <s v="CASTILLO BOCANEGRA JUAN DAVID"/>
    <n v="51"/>
    <n v="0"/>
    <n v="2821349"/>
  </r>
  <r>
    <s v="Retail"/>
    <s v="Q053 - Neiva - Cc San Pedro Plaza"/>
    <x v="10"/>
    <s v="octubre"/>
    <n v="5"/>
    <d v="2026-10-05T00:00:00"/>
    <m/>
    <m/>
    <n v="0"/>
    <n v="8566189"/>
    <n v="0"/>
  </r>
  <r>
    <s v="Retail"/>
    <s v="Q053 - Neiva - Cc San Pedro Plaza"/>
    <x v="10"/>
    <s v="octubre"/>
    <n v="5"/>
    <d v="2026-10-05T00:00:00"/>
    <n v="1004248452"/>
    <s v="SIERRA TRUJILLO MIGUEL  ANGEL"/>
    <n v="40"/>
    <n v="0"/>
    <n v="1979288"/>
  </r>
  <r>
    <s v="Retail"/>
    <s v="Q053 - Neiva - Cc San Pedro Plaza"/>
    <x v="10"/>
    <s v="octubre"/>
    <n v="5"/>
    <d v="2026-10-05T00:00:00"/>
    <n v="1010087804"/>
    <s v="SIERRA  NOVOA ORIHANA GABRIELA "/>
    <n v="17"/>
    <n v="0"/>
    <n v="869034"/>
  </r>
  <r>
    <s v="Retail"/>
    <s v="Q053 - Neiva - Cc San Pedro Plaza"/>
    <x v="10"/>
    <s v="octubre"/>
    <n v="5"/>
    <d v="2026-10-05T00:00:00"/>
    <n v="1075243559"/>
    <s v="PINO  ORDOÑEZ KATHERINE ANDREA "/>
    <n v="-2"/>
    <n v="0"/>
    <n v="-87319"/>
  </r>
  <r>
    <s v="Retail"/>
    <s v="Q053 - Neiva - Cc San Pedro Plaza"/>
    <x v="10"/>
    <s v="octubre"/>
    <n v="5"/>
    <d v="2026-10-05T00:00:00"/>
    <n v="1075270226"/>
    <s v="CHARRY RODRIGUEZ AIDA INES"/>
    <n v="34"/>
    <n v="0"/>
    <n v="2059913"/>
  </r>
  <r>
    <s v="Retail"/>
    <s v="Q053 - Neiva - Cc San Pedro Plaza"/>
    <x v="10"/>
    <s v="octubre"/>
    <n v="5"/>
    <d v="2026-10-05T00:00:00"/>
    <n v="1075284277"/>
    <s v="CASTILLO BOCANEGRA JUAN DAVID"/>
    <n v="42"/>
    <n v="0"/>
    <n v="2678868"/>
  </r>
  <r>
    <s v="Retail"/>
    <s v="Q053 - Neiva - Cc San Pedro Plaza"/>
    <x v="10"/>
    <s v="octubre"/>
    <n v="5"/>
    <d v="2026-10-05T00:00:00"/>
    <n v="1075306881"/>
    <s v="PASTRANA GONZALEZ JUAN CAMILO"/>
    <n v="-1"/>
    <n v="0"/>
    <n v="-29353"/>
  </r>
  <r>
    <s v="Retail"/>
    <s v="Q053 - Neiva - Cc San Pedro Plaza"/>
    <x v="10"/>
    <s v="octubre"/>
    <n v="6"/>
    <d v="2026-10-06T00:00:00"/>
    <m/>
    <m/>
    <n v="0"/>
    <n v="7478022"/>
    <n v="0"/>
  </r>
  <r>
    <s v="Retail"/>
    <s v="Q053 - Neiva - Cc San Pedro Plaza"/>
    <x v="10"/>
    <s v="octubre"/>
    <n v="6"/>
    <d v="2026-10-06T00:00:00"/>
    <n v="1004248452"/>
    <s v="SIERRA TRUJILLO MIGUEL  ANGEL"/>
    <n v="15"/>
    <n v="0"/>
    <n v="1226262"/>
  </r>
  <r>
    <s v="Retail"/>
    <s v="Q053 - Neiva - Cc San Pedro Plaza"/>
    <x v="10"/>
    <s v="octubre"/>
    <n v="6"/>
    <d v="2026-10-06T00:00:00"/>
    <n v="1010087804"/>
    <s v="SIERRA  NOVOA ORIHANA GABRIELA "/>
    <n v="21"/>
    <n v="0"/>
    <n v="1396178"/>
  </r>
  <r>
    <s v="Retail"/>
    <s v="Q053 - Neiva - Cc San Pedro Plaza"/>
    <x v="10"/>
    <s v="octubre"/>
    <n v="6"/>
    <d v="2026-10-06T00:00:00"/>
    <n v="1075270226"/>
    <s v="CHARRY RODRIGUEZ AIDA INES"/>
    <n v="25"/>
    <n v="0"/>
    <n v="1738447"/>
  </r>
  <r>
    <s v="Retail"/>
    <s v="Q053 - Neiva - Cc San Pedro Plaza"/>
    <x v="10"/>
    <s v="octubre"/>
    <n v="6"/>
    <d v="2026-10-06T00:00:00"/>
    <n v="1075284277"/>
    <s v="CASTILLO BOCANEGRA JUAN DAVID"/>
    <n v="18"/>
    <n v="0"/>
    <n v="995042"/>
  </r>
  <r>
    <s v="Retail"/>
    <s v="Q053 - Neiva - Cc San Pedro Plaza"/>
    <x v="10"/>
    <s v="octubre"/>
    <n v="6"/>
    <d v="2026-10-06T00:00:00"/>
    <n v="1083984650"/>
    <s v="BENAVIDEZ BOLAÑOS LAURA SOFIA"/>
    <n v="-1"/>
    <n v="0"/>
    <n v="-54580"/>
  </r>
  <r>
    <s v="Retail"/>
    <s v="Q053 - Neiva - Cc San Pedro Plaza"/>
    <x v="10"/>
    <s v="octubre"/>
    <n v="7"/>
    <d v="2026-10-07T00:00:00"/>
    <m/>
    <m/>
    <n v="0"/>
    <n v="7379628"/>
    <n v="0"/>
  </r>
  <r>
    <s v="Retail"/>
    <s v="Q053 - Neiva - Cc San Pedro Plaza"/>
    <x v="10"/>
    <s v="octubre"/>
    <n v="7"/>
    <d v="2026-10-07T00:00:00"/>
    <n v="1004248452"/>
    <s v="SIERRA TRUJILLO MIGUEL  ANGEL"/>
    <n v="24"/>
    <n v="0"/>
    <n v="1162774"/>
  </r>
  <r>
    <s v="Retail"/>
    <s v="Q053 - Neiva - Cc San Pedro Plaza"/>
    <x v="10"/>
    <s v="octubre"/>
    <n v="7"/>
    <d v="2026-10-07T00:00:00"/>
    <n v="1010087804"/>
    <s v="SIERRA  NOVOA ORIHANA GABRIELA "/>
    <n v="29"/>
    <n v="0"/>
    <n v="1828573"/>
  </r>
  <r>
    <s v="Retail"/>
    <s v="Q053 - Neiva - Cc San Pedro Plaza"/>
    <x v="10"/>
    <s v="octubre"/>
    <n v="7"/>
    <d v="2026-10-07T00:00:00"/>
    <n v="1075243559"/>
    <s v="PINO  ORDOÑEZ KATHERINE ANDREA "/>
    <n v="-1"/>
    <n v="0"/>
    <n v="-58781"/>
  </r>
  <r>
    <s v="Retail"/>
    <s v="Q053 - Neiva - Cc San Pedro Plaza"/>
    <x v="10"/>
    <s v="octubre"/>
    <n v="7"/>
    <d v="2026-10-07T00:00:00"/>
    <n v="1075270226"/>
    <s v="CHARRY RODRIGUEZ AIDA INES"/>
    <n v="33"/>
    <n v="0"/>
    <n v="1758993"/>
  </r>
  <r>
    <s v="Retail"/>
    <s v="Q053 - Neiva - Cc San Pedro Plaza"/>
    <x v="10"/>
    <s v="octubre"/>
    <n v="7"/>
    <d v="2026-10-07T00:00:00"/>
    <n v="1075284277"/>
    <s v="CASTILLO BOCANEGRA JUAN DAVID"/>
    <n v="22"/>
    <n v="0"/>
    <n v="1120841"/>
  </r>
  <r>
    <s v="Retail"/>
    <s v="Q056 - Pitalito - Cc San Antonio"/>
    <x v="10"/>
    <s v="septiembre"/>
    <n v="23"/>
    <d v="2026-09-23T00:00:00"/>
    <m/>
    <m/>
    <n v="0"/>
    <n v="14935802"/>
    <n v="0"/>
  </r>
  <r>
    <s v="Retail"/>
    <s v="Q056 - Pitalito - Cc San Antonio"/>
    <x v="10"/>
    <s v="septiembre"/>
    <n v="23"/>
    <d v="2026-09-23T00:00:00"/>
    <n v="1007284908"/>
    <s v="CARRILLO  ANDRES FELIPE"/>
    <n v="30"/>
    <n v="0"/>
    <n v="1628951"/>
  </r>
  <r>
    <s v="Retail"/>
    <s v="Q056 - Pitalito - Cc San Antonio"/>
    <x v="10"/>
    <s v="septiembre"/>
    <n v="23"/>
    <d v="2026-09-23T00:00:00"/>
    <n v="1007475255"/>
    <s v="BENAVIDES CLAROS KAREN SOFIA"/>
    <n v="38"/>
    <n v="0"/>
    <n v="2178993"/>
  </r>
  <r>
    <s v="Retail"/>
    <s v="Q056 - Pitalito - Cc San Antonio"/>
    <x v="10"/>
    <s v="septiembre"/>
    <n v="23"/>
    <d v="2026-09-23T00:00:00"/>
    <n v="1075288352"/>
    <s v="CARRERA VARGAS SONIA VALERIA"/>
    <n v="36"/>
    <n v="0"/>
    <n v="1725255"/>
  </r>
  <r>
    <s v="Retail"/>
    <s v="Q056 - Pitalito - Cc San Antonio"/>
    <x v="10"/>
    <s v="septiembre"/>
    <n v="23"/>
    <d v="2026-09-23T00:00:00"/>
    <n v="1079534051"/>
    <s v="ARIAS SALAMANCA LUISA FERNANDA"/>
    <n v="38"/>
    <n v="0"/>
    <n v="2174837"/>
  </r>
  <r>
    <s v="Retail"/>
    <s v="Q056 - Pitalito - Cc San Antonio"/>
    <x v="10"/>
    <s v="septiembre"/>
    <n v="23"/>
    <d v="2026-09-23T00:00:00"/>
    <n v="1083897961"/>
    <s v="GARCIA  MEDINA PAULA STELLA "/>
    <n v="111"/>
    <n v="0"/>
    <n v="5736766"/>
  </r>
  <r>
    <s v="Retail"/>
    <s v="Q056 - Pitalito - Cc San Antonio"/>
    <x v="10"/>
    <s v="septiembre"/>
    <n v="24"/>
    <d v="2026-09-24T00:00:00"/>
    <m/>
    <m/>
    <n v="0"/>
    <n v="22816117"/>
    <n v="0"/>
  </r>
  <r>
    <s v="Retail"/>
    <s v="Q056 - Pitalito - Cc San Antonio"/>
    <x v="10"/>
    <s v="septiembre"/>
    <n v="24"/>
    <d v="2026-09-24T00:00:00"/>
    <n v="1007284908"/>
    <s v="CARRILLO  ANDRES FELIPE"/>
    <n v="54"/>
    <n v="0"/>
    <n v="3371639"/>
  </r>
  <r>
    <s v="Retail"/>
    <s v="Q056 - Pitalito - Cc San Antonio"/>
    <x v="10"/>
    <s v="septiembre"/>
    <n v="24"/>
    <d v="2026-09-24T00:00:00"/>
    <n v="1007475255"/>
    <s v="BENAVIDES CLAROS KAREN SOFIA"/>
    <n v="47"/>
    <n v="0"/>
    <n v="2439079"/>
  </r>
  <r>
    <s v="Retail"/>
    <s v="Q056 - Pitalito - Cc San Antonio"/>
    <x v="10"/>
    <s v="septiembre"/>
    <n v="24"/>
    <d v="2026-09-24T00:00:00"/>
    <n v="1075288352"/>
    <s v="CARRERA VARGAS SONIA VALERIA"/>
    <n v="45"/>
    <n v="0"/>
    <n v="2689247"/>
  </r>
  <r>
    <s v="Retail"/>
    <s v="Q056 - Pitalito - Cc San Antonio"/>
    <x v="10"/>
    <s v="septiembre"/>
    <n v="24"/>
    <d v="2026-09-24T00:00:00"/>
    <n v="1075306881"/>
    <s v="PASTRANA GONZALEZ JUAN CAMILO"/>
    <n v="-2"/>
    <n v="0"/>
    <n v="-79748"/>
  </r>
  <r>
    <s v="Retail"/>
    <s v="Q056 - Pitalito - Cc San Antonio"/>
    <x v="10"/>
    <s v="septiembre"/>
    <n v="24"/>
    <d v="2026-09-24T00:00:00"/>
    <n v="1079534051"/>
    <s v="ARIAS SALAMANCA LUISA FERNANDA"/>
    <n v="114"/>
    <n v="0"/>
    <n v="6215638"/>
  </r>
  <r>
    <s v="Retail"/>
    <s v="Q056 - Pitalito - Cc San Antonio"/>
    <x v="10"/>
    <s v="septiembre"/>
    <n v="24"/>
    <d v="2026-09-24T00:00:00"/>
    <n v="1083897961"/>
    <s v="GARCIA  MEDINA PAULA STELLA "/>
    <n v="114"/>
    <n v="0"/>
    <n v="7171603"/>
  </r>
  <r>
    <s v="Retail"/>
    <s v="Q056 - Pitalito - Cc San Antonio"/>
    <x v="10"/>
    <s v="septiembre"/>
    <n v="25"/>
    <d v="2026-09-25T00:00:00"/>
    <m/>
    <m/>
    <n v="0"/>
    <n v="22765611"/>
    <n v="0"/>
  </r>
  <r>
    <s v="Retail"/>
    <s v="Q056 - Pitalito - Cc San Antonio"/>
    <x v="10"/>
    <s v="septiembre"/>
    <n v="25"/>
    <d v="2026-09-25T00:00:00"/>
    <n v="1007284908"/>
    <s v="CARRILLO  ANDRES FELIPE"/>
    <n v="38"/>
    <n v="0"/>
    <n v="2212481"/>
  </r>
  <r>
    <s v="Retail"/>
    <s v="Q056 - Pitalito - Cc San Antonio"/>
    <x v="10"/>
    <s v="septiembre"/>
    <n v="25"/>
    <d v="2026-09-25T00:00:00"/>
    <n v="1007475255"/>
    <s v="BENAVIDES CLAROS KAREN SOFIA"/>
    <n v="26"/>
    <n v="0"/>
    <n v="1452691"/>
  </r>
  <r>
    <s v="Retail"/>
    <s v="Q056 - Pitalito - Cc San Antonio"/>
    <x v="10"/>
    <s v="septiembre"/>
    <n v="25"/>
    <d v="2026-09-25T00:00:00"/>
    <n v="1075288352"/>
    <s v="CARRERA VARGAS SONIA VALERIA"/>
    <n v="32"/>
    <n v="0"/>
    <n v="1784289"/>
  </r>
  <r>
    <s v="Retail"/>
    <s v="Q056 - Pitalito - Cc San Antonio"/>
    <x v="10"/>
    <s v="septiembre"/>
    <n v="25"/>
    <d v="2026-09-25T00:00:00"/>
    <n v="1079534051"/>
    <s v="ARIAS SALAMANCA LUISA FERNANDA"/>
    <n v="49"/>
    <n v="0"/>
    <n v="2720507"/>
  </r>
  <r>
    <s v="Retail"/>
    <s v="Q056 - Pitalito - Cc San Antonio"/>
    <x v="10"/>
    <s v="septiembre"/>
    <n v="25"/>
    <d v="2026-09-25T00:00:00"/>
    <n v="1083897961"/>
    <s v="GARCIA  MEDINA PAULA STELLA "/>
    <n v="80"/>
    <n v="0"/>
    <n v="4883030"/>
  </r>
  <r>
    <s v="Retail"/>
    <s v="Q056 - Pitalito - Cc San Antonio"/>
    <x v="10"/>
    <s v="septiembre"/>
    <n v="26"/>
    <d v="2026-09-26T00:00:00"/>
    <m/>
    <m/>
    <n v="0"/>
    <n v="32717454"/>
    <n v="0"/>
  </r>
  <r>
    <s v="Retail"/>
    <s v="Q056 - Pitalito - Cc San Antonio"/>
    <x v="10"/>
    <s v="septiembre"/>
    <n v="26"/>
    <d v="2026-09-26T00:00:00"/>
    <n v="1007284908"/>
    <s v="CARRILLO  ANDRES FELIPE"/>
    <n v="55"/>
    <n v="0"/>
    <n v="3424040"/>
  </r>
  <r>
    <s v="Retail"/>
    <s v="Q056 - Pitalito - Cc San Antonio"/>
    <x v="10"/>
    <s v="septiembre"/>
    <n v="26"/>
    <d v="2026-09-26T00:00:00"/>
    <n v="1007475255"/>
    <s v="BENAVIDES CLAROS KAREN SOFIA"/>
    <n v="86"/>
    <n v="0"/>
    <n v="3627524"/>
  </r>
  <r>
    <s v="Retail"/>
    <s v="Q056 - Pitalito - Cc San Antonio"/>
    <x v="10"/>
    <s v="septiembre"/>
    <n v="26"/>
    <d v="2026-09-26T00:00:00"/>
    <n v="1075288352"/>
    <s v="CARRERA VARGAS SONIA VALERIA"/>
    <n v="49"/>
    <n v="0"/>
    <n v="2762401"/>
  </r>
  <r>
    <s v="Retail"/>
    <s v="Q056 - Pitalito - Cc San Antonio"/>
    <x v="10"/>
    <s v="septiembre"/>
    <n v="26"/>
    <d v="2026-09-26T00:00:00"/>
    <n v="1079534051"/>
    <s v="ARIAS SALAMANCA LUISA FERNANDA"/>
    <n v="101"/>
    <n v="0"/>
    <n v="5190807"/>
  </r>
  <r>
    <s v="Retail"/>
    <s v="Q056 - Pitalito - Cc San Antonio"/>
    <x v="10"/>
    <s v="septiembre"/>
    <n v="26"/>
    <d v="2026-09-26T00:00:00"/>
    <n v="1083897961"/>
    <s v="GARCIA  MEDINA PAULA STELLA "/>
    <n v="149"/>
    <n v="0"/>
    <n v="9130010"/>
  </r>
  <r>
    <s v="Retail"/>
    <s v="Q056 - Pitalito - Cc San Antonio"/>
    <x v="10"/>
    <s v="septiembre"/>
    <n v="27"/>
    <d v="2026-09-27T00:00:00"/>
    <m/>
    <m/>
    <n v="0"/>
    <n v="25918808"/>
    <n v="0"/>
  </r>
  <r>
    <s v="Retail"/>
    <s v="Q056 - Pitalito - Cc San Antonio"/>
    <x v="10"/>
    <s v="septiembre"/>
    <n v="27"/>
    <d v="2026-09-27T00:00:00"/>
    <n v="1007284908"/>
    <s v="CARRILLO  ANDRES FELIPE"/>
    <n v="67"/>
    <n v="0"/>
    <n v="4080972"/>
  </r>
  <r>
    <s v="Retail"/>
    <s v="Q056 - Pitalito - Cc San Antonio"/>
    <x v="10"/>
    <s v="septiembre"/>
    <n v="27"/>
    <d v="2026-09-27T00:00:00"/>
    <n v="1007475255"/>
    <s v="BENAVIDES CLAROS KAREN SOFIA"/>
    <n v="74"/>
    <n v="0"/>
    <n v="4750890"/>
  </r>
  <r>
    <s v="Retail"/>
    <s v="Q056 - Pitalito - Cc San Antonio"/>
    <x v="10"/>
    <s v="septiembre"/>
    <n v="27"/>
    <d v="2026-09-27T00:00:00"/>
    <n v="1075288352"/>
    <s v="CARRERA VARGAS SONIA VALERIA"/>
    <n v="61"/>
    <n v="0"/>
    <n v="3579205"/>
  </r>
  <r>
    <s v="Retail"/>
    <s v="Q056 - Pitalito - Cc San Antonio"/>
    <x v="10"/>
    <s v="septiembre"/>
    <n v="27"/>
    <d v="2026-09-27T00:00:00"/>
    <n v="1079534051"/>
    <s v="ARIAS SALAMANCA LUISA FERNANDA"/>
    <n v="63"/>
    <n v="0"/>
    <n v="3986773"/>
  </r>
  <r>
    <s v="Retail"/>
    <s v="Q056 - Pitalito - Cc San Antonio"/>
    <x v="10"/>
    <s v="septiembre"/>
    <n v="27"/>
    <d v="2026-09-27T00:00:00"/>
    <n v="1083897961"/>
    <s v="GARCIA  MEDINA PAULA STELLA "/>
    <n v="111"/>
    <n v="0"/>
    <n v="7121228"/>
  </r>
  <r>
    <s v="Retail"/>
    <s v="Q056 - Pitalito - Cc San Antonio"/>
    <x v="10"/>
    <s v="septiembre"/>
    <n v="28"/>
    <d v="2026-09-28T00:00:00"/>
    <m/>
    <m/>
    <n v="0"/>
    <n v="14264647"/>
    <n v="0"/>
  </r>
  <r>
    <s v="Retail"/>
    <s v="Q056 - Pitalito - Cc San Antonio"/>
    <x v="10"/>
    <s v="septiembre"/>
    <n v="28"/>
    <d v="2026-09-28T00:00:00"/>
    <n v="1007284908"/>
    <s v="CARRILLO  ANDRES FELIPE"/>
    <n v="24"/>
    <n v="0"/>
    <n v="1036597"/>
  </r>
  <r>
    <s v="Retail"/>
    <s v="Q056 - Pitalito - Cc San Antonio"/>
    <x v="10"/>
    <s v="septiembre"/>
    <n v="28"/>
    <d v="2026-09-28T00:00:00"/>
    <n v="1007475255"/>
    <s v="BENAVIDES CLAROS KAREN SOFIA"/>
    <n v="18"/>
    <n v="0"/>
    <n v="1016010"/>
  </r>
  <r>
    <s v="Retail"/>
    <s v="Q056 - Pitalito - Cc San Antonio"/>
    <x v="10"/>
    <s v="septiembre"/>
    <n v="28"/>
    <d v="2026-09-28T00:00:00"/>
    <n v="1075288352"/>
    <s v="CARRERA VARGAS SONIA VALERIA"/>
    <n v="33"/>
    <n v="0"/>
    <n v="1838869"/>
  </r>
  <r>
    <s v="Retail"/>
    <s v="Q056 - Pitalito - Cc San Antonio"/>
    <x v="10"/>
    <s v="septiembre"/>
    <n v="28"/>
    <d v="2026-09-28T00:00:00"/>
    <n v="1079534051"/>
    <s v="ARIAS SALAMANCA LUISA FERNANDA"/>
    <n v="35"/>
    <n v="0"/>
    <n v="1655759"/>
  </r>
  <r>
    <s v="Retail"/>
    <s v="Q056 - Pitalito - Cc San Antonio"/>
    <x v="10"/>
    <s v="septiembre"/>
    <n v="28"/>
    <d v="2026-09-28T00:00:00"/>
    <n v="1083897961"/>
    <s v="GARCIA  MEDINA PAULA STELLA "/>
    <n v="50"/>
    <n v="0"/>
    <n v="2756348"/>
  </r>
  <r>
    <s v="Retail"/>
    <s v="Q056 - Pitalito - Cc San Antonio"/>
    <x v="10"/>
    <s v="septiembre"/>
    <n v="29"/>
    <d v="2026-09-29T00:00:00"/>
    <m/>
    <m/>
    <n v="0"/>
    <n v="15237435"/>
    <n v="0"/>
  </r>
  <r>
    <s v="Retail"/>
    <s v="Q056 - Pitalito - Cc San Antonio"/>
    <x v="10"/>
    <s v="septiembre"/>
    <n v="29"/>
    <d v="2026-09-29T00:00:00"/>
    <n v="1007475255"/>
    <s v="BENAVIDES CLAROS KAREN SOFIA"/>
    <n v="29"/>
    <n v="0"/>
    <n v="1801219"/>
  </r>
  <r>
    <s v="Retail"/>
    <s v="Q056 - Pitalito - Cc San Antonio"/>
    <x v="10"/>
    <s v="septiembre"/>
    <n v="29"/>
    <d v="2026-09-29T00:00:00"/>
    <n v="1075288352"/>
    <s v="CARRERA VARGAS SONIA VALERIA"/>
    <n v="35"/>
    <n v="0"/>
    <n v="2011052"/>
  </r>
  <r>
    <s v="Retail"/>
    <s v="Q056 - Pitalito - Cc San Antonio"/>
    <x v="10"/>
    <s v="septiembre"/>
    <n v="29"/>
    <d v="2026-09-29T00:00:00"/>
    <n v="1079534051"/>
    <s v="ARIAS SALAMANCA LUISA FERNANDA"/>
    <n v="24"/>
    <n v="0"/>
    <n v="1534708"/>
  </r>
  <r>
    <s v="Retail"/>
    <s v="Q056 - Pitalito - Cc San Antonio"/>
    <x v="10"/>
    <s v="septiembre"/>
    <n v="29"/>
    <d v="2026-09-29T00:00:00"/>
    <n v="1083897961"/>
    <s v="GARCIA  MEDINA PAULA STELLA "/>
    <n v="50"/>
    <n v="0"/>
    <n v="3233071"/>
  </r>
  <r>
    <s v="Retail"/>
    <s v="Q056 - Pitalito - Cc San Antonio"/>
    <x v="10"/>
    <s v="septiembre"/>
    <n v="30"/>
    <d v="2026-09-30T00:00:00"/>
    <m/>
    <m/>
    <n v="0"/>
    <n v="15740543"/>
    <n v="0"/>
  </r>
  <r>
    <s v="Retail"/>
    <s v="Q056 - Pitalito - Cc San Antonio"/>
    <x v="10"/>
    <s v="septiembre"/>
    <n v="30"/>
    <d v="2026-09-30T00:00:00"/>
    <n v="1007284908"/>
    <s v="CARRILLO  ANDRES FELIPE"/>
    <n v="34"/>
    <n v="0"/>
    <n v="1725169"/>
  </r>
  <r>
    <s v="Retail"/>
    <s v="Q056 - Pitalito - Cc San Antonio"/>
    <x v="10"/>
    <s v="septiembre"/>
    <n v="30"/>
    <d v="2026-09-30T00:00:00"/>
    <n v="1079534051"/>
    <s v="ARIAS SALAMANCA LUISA FERNANDA"/>
    <n v="28"/>
    <n v="0"/>
    <n v="1359920"/>
  </r>
  <r>
    <s v="Retail"/>
    <s v="Q056 - Pitalito - Cc San Antonio"/>
    <x v="10"/>
    <s v="septiembre"/>
    <n v="30"/>
    <d v="2026-09-30T00:00:00"/>
    <n v="1083897961"/>
    <s v="GARCIA  MEDINA PAULA STELLA "/>
    <n v="55"/>
    <n v="0"/>
    <n v="3762275"/>
  </r>
  <r>
    <s v="Retail"/>
    <s v="Q056 - Pitalito - Cc San Antonio"/>
    <x v="10"/>
    <s v="octubre"/>
    <n v="1"/>
    <d v="2026-10-01T00:00:00"/>
    <m/>
    <m/>
    <n v="0"/>
    <n v="11014527"/>
    <n v="0"/>
  </r>
  <r>
    <s v="Retail"/>
    <s v="Q056 - Pitalito - Cc San Antonio"/>
    <x v="10"/>
    <s v="octubre"/>
    <n v="1"/>
    <d v="2026-10-01T00:00:00"/>
    <n v="1007284908"/>
    <s v="CARRILLO  ANDRES FELIPE"/>
    <n v="25"/>
    <n v="0"/>
    <n v="1490423"/>
  </r>
  <r>
    <s v="Retail"/>
    <s v="Q056 - Pitalito - Cc San Antonio"/>
    <x v="10"/>
    <s v="octubre"/>
    <n v="1"/>
    <d v="2026-10-01T00:00:00"/>
    <n v="1007475255"/>
    <s v="BENAVIDES CLAROS KAREN SOFIA"/>
    <n v="24"/>
    <n v="0"/>
    <n v="1402355"/>
  </r>
  <r>
    <s v="Retail"/>
    <s v="Q056 - Pitalito - Cc San Antonio"/>
    <x v="10"/>
    <s v="octubre"/>
    <n v="1"/>
    <d v="2026-10-01T00:00:00"/>
    <n v="1075288352"/>
    <s v="CARRERA VARGAS SONIA VALERIA"/>
    <n v="29"/>
    <n v="0"/>
    <n v="1765464"/>
  </r>
  <r>
    <s v="Retail"/>
    <s v="Q056 - Pitalito - Cc San Antonio"/>
    <x v="10"/>
    <s v="octubre"/>
    <n v="1"/>
    <d v="2026-10-01T00:00:00"/>
    <n v="1079534051"/>
    <s v="ARIAS SALAMANCA LUISA FERNANDA"/>
    <n v="21"/>
    <n v="0"/>
    <n v="1049414"/>
  </r>
  <r>
    <s v="Retail"/>
    <s v="Q056 - Pitalito - Cc San Antonio"/>
    <x v="10"/>
    <s v="octubre"/>
    <n v="1"/>
    <d v="2026-10-01T00:00:00"/>
    <n v="1083897961"/>
    <s v="GARCIA  MEDINA PAULA STELLA "/>
    <n v="33"/>
    <n v="0"/>
    <n v="1958615"/>
  </r>
  <r>
    <s v="Retail"/>
    <s v="Q056 - Pitalito - Cc San Antonio"/>
    <x v="10"/>
    <s v="octubre"/>
    <n v="2"/>
    <d v="2026-10-02T00:00:00"/>
    <m/>
    <m/>
    <n v="0"/>
    <n v="12436127"/>
    <n v="0"/>
  </r>
  <r>
    <s v="Retail"/>
    <s v="Q056 - Pitalito - Cc San Antonio"/>
    <x v="10"/>
    <s v="octubre"/>
    <n v="2"/>
    <d v="2026-10-02T00:00:00"/>
    <n v="1007284908"/>
    <s v="CARRILLO  ANDRES FELIPE"/>
    <n v="15"/>
    <n v="0"/>
    <n v="806053"/>
  </r>
  <r>
    <s v="Retail"/>
    <s v="Q056 - Pitalito - Cc San Antonio"/>
    <x v="10"/>
    <s v="octubre"/>
    <n v="2"/>
    <d v="2026-10-02T00:00:00"/>
    <n v="1007475255"/>
    <s v="BENAVIDES CLAROS KAREN SOFIA"/>
    <n v="34"/>
    <n v="0"/>
    <n v="1569622"/>
  </r>
  <r>
    <s v="Retail"/>
    <s v="Q056 - Pitalito - Cc San Antonio"/>
    <x v="10"/>
    <s v="octubre"/>
    <n v="2"/>
    <d v="2026-10-02T00:00:00"/>
    <n v="1075288352"/>
    <s v="CARRERA VARGAS SONIA VALERIA"/>
    <n v="23"/>
    <n v="0"/>
    <n v="1314078"/>
  </r>
  <r>
    <s v="Retail"/>
    <s v="Q056 - Pitalito - Cc San Antonio"/>
    <x v="10"/>
    <s v="octubre"/>
    <n v="2"/>
    <d v="2026-10-02T00:00:00"/>
    <n v="1079534051"/>
    <s v="ARIAS SALAMANCA LUISA FERNANDA"/>
    <n v="70"/>
    <n v="0"/>
    <n v="4312061"/>
  </r>
  <r>
    <s v="Retail"/>
    <s v="Q056 - Pitalito - Cc San Antonio"/>
    <x v="10"/>
    <s v="octubre"/>
    <n v="2"/>
    <d v="2026-10-02T00:00:00"/>
    <n v="1083897961"/>
    <s v="GARCIA  MEDINA PAULA STELLA "/>
    <n v="85"/>
    <n v="0"/>
    <n v="4067313"/>
  </r>
  <r>
    <s v="Retail"/>
    <s v="Q056 - Pitalito - Cc San Antonio"/>
    <x v="10"/>
    <s v="octubre"/>
    <n v="3"/>
    <d v="2026-10-03T00:00:00"/>
    <m/>
    <m/>
    <n v="0"/>
    <n v="14584933"/>
    <n v="0"/>
  </r>
  <r>
    <s v="Retail"/>
    <s v="Q056 - Pitalito - Cc San Antonio"/>
    <x v="10"/>
    <s v="octubre"/>
    <n v="3"/>
    <d v="2026-10-03T00:00:00"/>
    <n v="1007284908"/>
    <s v="CARRILLO  ANDRES FELIPE"/>
    <n v="21"/>
    <n v="0"/>
    <n v="998472"/>
  </r>
  <r>
    <s v="Retail"/>
    <s v="Q056 - Pitalito - Cc San Antonio"/>
    <x v="10"/>
    <s v="octubre"/>
    <n v="3"/>
    <d v="2026-10-03T00:00:00"/>
    <n v="1007475255"/>
    <s v="BENAVIDES CLAROS KAREN SOFIA"/>
    <n v="59"/>
    <n v="0"/>
    <n v="3052448"/>
  </r>
  <r>
    <s v="Retail"/>
    <s v="Q056 - Pitalito - Cc San Antonio"/>
    <x v="10"/>
    <s v="octubre"/>
    <n v="3"/>
    <d v="2026-10-03T00:00:00"/>
    <n v="1075288352"/>
    <s v="CARRERA VARGAS SONIA VALERIA"/>
    <n v="54"/>
    <n v="0"/>
    <n v="2971406"/>
  </r>
  <r>
    <s v="Retail"/>
    <s v="Q056 - Pitalito - Cc San Antonio"/>
    <x v="10"/>
    <s v="octubre"/>
    <n v="3"/>
    <d v="2026-10-03T00:00:00"/>
    <n v="1079534051"/>
    <s v="ARIAS SALAMANCA LUISA FERNANDA"/>
    <n v="85"/>
    <n v="0"/>
    <n v="4745565"/>
  </r>
  <r>
    <s v="Retail"/>
    <s v="Q056 - Pitalito - Cc San Antonio"/>
    <x v="10"/>
    <s v="octubre"/>
    <n v="3"/>
    <d v="2026-10-03T00:00:00"/>
    <n v="1083897961"/>
    <s v="GARCIA  MEDINA PAULA STELLA "/>
    <n v="126"/>
    <n v="0"/>
    <n v="6316734"/>
  </r>
  <r>
    <s v="Retail"/>
    <s v="Q056 - Pitalito - Cc San Antonio"/>
    <x v="10"/>
    <s v="octubre"/>
    <n v="4"/>
    <d v="2026-10-04T00:00:00"/>
    <m/>
    <m/>
    <n v="0"/>
    <n v="13756490"/>
    <n v="0"/>
  </r>
  <r>
    <s v="Retail"/>
    <s v="Q056 - Pitalito - Cc San Antonio"/>
    <x v="10"/>
    <s v="octubre"/>
    <n v="4"/>
    <d v="2026-10-04T00:00:00"/>
    <n v="1007284908"/>
    <s v="CARRILLO  ANDRES FELIPE"/>
    <n v="23"/>
    <n v="0"/>
    <n v="1366642"/>
  </r>
  <r>
    <s v="Retail"/>
    <s v="Q056 - Pitalito - Cc San Antonio"/>
    <x v="10"/>
    <s v="octubre"/>
    <n v="4"/>
    <d v="2026-10-04T00:00:00"/>
    <n v="1007475255"/>
    <s v="BENAVIDES CLAROS KAREN SOFIA"/>
    <n v="40"/>
    <n v="0"/>
    <n v="2189246"/>
  </r>
  <r>
    <s v="Retail"/>
    <s v="Q056 - Pitalito - Cc San Antonio"/>
    <x v="10"/>
    <s v="octubre"/>
    <n v="4"/>
    <d v="2026-10-04T00:00:00"/>
    <n v="1075288352"/>
    <s v="CARRERA VARGAS SONIA VALERIA"/>
    <n v="59"/>
    <n v="0"/>
    <n v="2772107"/>
  </r>
  <r>
    <s v="Retail"/>
    <s v="Q056 - Pitalito - Cc San Antonio"/>
    <x v="10"/>
    <s v="octubre"/>
    <n v="4"/>
    <d v="2026-10-04T00:00:00"/>
    <n v="1079534051"/>
    <s v="ARIAS SALAMANCA LUISA FERNANDA"/>
    <n v="41"/>
    <n v="0"/>
    <n v="2046513"/>
  </r>
  <r>
    <s v="Retail"/>
    <s v="Q056 - Pitalito - Cc San Antonio"/>
    <x v="10"/>
    <s v="octubre"/>
    <n v="4"/>
    <d v="2026-10-04T00:00:00"/>
    <n v="1083897961"/>
    <s v="GARCIA  MEDINA PAULA STELLA "/>
    <n v="70"/>
    <n v="0"/>
    <n v="3491003"/>
  </r>
  <r>
    <s v="Retail"/>
    <s v="Q056 - Pitalito - Cc San Antonio"/>
    <x v="10"/>
    <s v="octubre"/>
    <n v="5"/>
    <d v="2026-10-05T00:00:00"/>
    <m/>
    <m/>
    <n v="0"/>
    <n v="5368678"/>
    <n v="0"/>
  </r>
  <r>
    <s v="Retail"/>
    <s v="Q056 - Pitalito - Cc San Antonio"/>
    <x v="10"/>
    <s v="octubre"/>
    <n v="5"/>
    <d v="2026-10-05T00:00:00"/>
    <n v="1075288352"/>
    <s v="CARRERA VARGAS SONIA VALERIA"/>
    <n v="3"/>
    <n v="0"/>
    <n v="159538"/>
  </r>
  <r>
    <s v="Retail"/>
    <s v="Q056 - Pitalito - Cc San Antonio"/>
    <x v="10"/>
    <s v="octubre"/>
    <n v="5"/>
    <d v="2026-10-05T00:00:00"/>
    <n v="1079534051"/>
    <s v="ARIAS SALAMANCA LUISA FERNANDA"/>
    <n v="45"/>
    <n v="0"/>
    <n v="2178279"/>
  </r>
  <r>
    <s v="Retail"/>
    <s v="Q056 - Pitalito - Cc San Antonio"/>
    <x v="10"/>
    <s v="octubre"/>
    <n v="5"/>
    <d v="2026-10-05T00:00:00"/>
    <n v="1083897961"/>
    <s v="GARCIA  MEDINA PAULA STELLA "/>
    <n v="97"/>
    <n v="0"/>
    <n v="4975735"/>
  </r>
  <r>
    <s v="Retail"/>
    <s v="Q056 - Pitalito - Cc San Antonio"/>
    <x v="10"/>
    <s v="octubre"/>
    <n v="6"/>
    <d v="2026-10-06T00:00:00"/>
    <m/>
    <m/>
    <n v="0"/>
    <n v="4984398"/>
    <n v="0"/>
  </r>
  <r>
    <s v="Retail"/>
    <s v="Q056 - Pitalito - Cc San Antonio"/>
    <x v="10"/>
    <s v="octubre"/>
    <n v="6"/>
    <d v="2026-10-06T00:00:00"/>
    <n v="1007475255"/>
    <s v="BENAVIDES CLAROS KAREN SOFIA"/>
    <n v="1"/>
    <n v="0"/>
    <n v="12521"/>
  </r>
  <r>
    <s v="Retail"/>
    <s v="Q056 - Pitalito - Cc San Antonio"/>
    <x v="10"/>
    <s v="octubre"/>
    <n v="6"/>
    <d v="2026-10-06T00:00:00"/>
    <n v="1075288352"/>
    <s v="CARRERA VARGAS SONIA VALERIA"/>
    <n v="1"/>
    <n v="0"/>
    <n v="46966"/>
  </r>
  <r>
    <s v="Retail"/>
    <s v="Q056 - Pitalito - Cc San Antonio"/>
    <x v="10"/>
    <s v="octubre"/>
    <n v="6"/>
    <d v="2026-10-06T00:00:00"/>
    <n v="1079534051"/>
    <s v="ARIAS SALAMANCA LUISA FERNANDA"/>
    <n v="28"/>
    <n v="0"/>
    <n v="1524557"/>
  </r>
  <r>
    <s v="Retail"/>
    <s v="Q056 - Pitalito - Cc San Antonio"/>
    <x v="10"/>
    <s v="octubre"/>
    <n v="6"/>
    <d v="2026-10-06T00:00:00"/>
    <n v="1083897961"/>
    <s v="GARCIA  MEDINA PAULA STELLA "/>
    <n v="29"/>
    <n v="0"/>
    <n v="1568817"/>
  </r>
  <r>
    <s v="Retail"/>
    <s v="Q056 - Pitalito - Cc San Antonio"/>
    <x v="10"/>
    <s v="octubre"/>
    <n v="7"/>
    <d v="2026-10-07T00:00:00"/>
    <m/>
    <m/>
    <n v="0"/>
    <n v="4932056"/>
    <n v="0"/>
  </r>
  <r>
    <s v="Retail"/>
    <s v="Q056 - Pitalito - Cc San Antonio"/>
    <x v="10"/>
    <s v="octubre"/>
    <n v="7"/>
    <d v="2026-10-07T00:00:00"/>
    <n v="1075288352"/>
    <s v="CARRERA VARGAS SONIA VALERIA"/>
    <n v="0"/>
    <n v="0"/>
    <n v="8404"/>
  </r>
  <r>
    <s v="Retail"/>
    <s v="Q056 - Pitalito - Cc San Antonio"/>
    <x v="10"/>
    <s v="octubre"/>
    <n v="7"/>
    <d v="2026-10-07T00:00:00"/>
    <n v="1079534051"/>
    <s v="ARIAS SALAMANCA LUISA FERNANDA"/>
    <n v="26"/>
    <n v="0"/>
    <n v="1221554"/>
  </r>
  <r>
    <s v="Retail"/>
    <s v="Q056 - Pitalito - Cc San Antonio"/>
    <x v="10"/>
    <s v="octubre"/>
    <n v="7"/>
    <d v="2026-10-07T00:00:00"/>
    <n v="1083897961"/>
    <s v="GARCIA  MEDINA PAULA STELLA "/>
    <n v="50"/>
    <n v="0"/>
    <n v="2165718"/>
  </r>
  <r>
    <s v="Retail"/>
    <s v="Q069 - Ibague - Centro"/>
    <x v="10"/>
    <s v="septiembre"/>
    <n v="23"/>
    <d v="2026-09-23T00:00:00"/>
    <m/>
    <m/>
    <n v="0"/>
    <n v="12391792"/>
    <n v="0"/>
  </r>
  <r>
    <s v="Retail"/>
    <s v="Q069 - Ibague - Centro"/>
    <x v="10"/>
    <s v="septiembre"/>
    <n v="23"/>
    <d v="2026-09-23T00:00:00"/>
    <n v="1005692463"/>
    <s v="CRISTANCHO VARON DANIELA"/>
    <n v="14"/>
    <n v="0"/>
    <n v="696893"/>
  </r>
  <r>
    <s v="Retail"/>
    <s v="Q069 - Ibague - Centro"/>
    <x v="10"/>
    <s v="septiembre"/>
    <n v="23"/>
    <d v="2026-09-23T00:00:00"/>
    <n v="1006027144"/>
    <s v="DIMAS LOPEZ ERIK  ADRIAN"/>
    <n v="13"/>
    <n v="0"/>
    <n v="640126"/>
  </r>
  <r>
    <s v="Retail"/>
    <s v="Q069 - Ibague - Centro"/>
    <x v="10"/>
    <s v="septiembre"/>
    <n v="23"/>
    <d v="2026-09-23T00:00:00"/>
    <n v="1007371954"/>
    <s v="REINOSO  ROJAS DANNA VALENTINA "/>
    <n v="48"/>
    <n v="0"/>
    <n v="2401221"/>
  </r>
  <r>
    <s v="Retail"/>
    <s v="Q069 - Ibague - Centro"/>
    <x v="10"/>
    <s v="septiembre"/>
    <n v="23"/>
    <d v="2026-09-23T00:00:00"/>
    <n v="1107977576"/>
    <s v="DIAZ CIFUENTES  DANA GABRIELA"/>
    <n v="27"/>
    <n v="0"/>
    <n v="1519833"/>
  </r>
  <r>
    <s v="Retail"/>
    <s v="Q069 - Ibague - Centro"/>
    <x v="10"/>
    <s v="septiembre"/>
    <n v="23"/>
    <d v="2026-09-23T00:00:00"/>
    <n v="1110485736"/>
    <s v="MORERA GONZALEZ JHON WILMAR"/>
    <n v="103"/>
    <n v="0"/>
    <n v="5682607"/>
  </r>
  <r>
    <s v="Retail"/>
    <s v="Q069 - Ibague - Centro"/>
    <x v="10"/>
    <s v="septiembre"/>
    <n v="23"/>
    <d v="2026-09-23T00:00:00"/>
    <n v="1110570386"/>
    <s v="CASTRO QUINA LINDA YAZMIN"/>
    <n v="68"/>
    <n v="0"/>
    <n v="3198573"/>
  </r>
  <r>
    <s v="Retail"/>
    <s v="Q069 - Ibague - Centro"/>
    <x v="10"/>
    <s v="septiembre"/>
    <n v="24"/>
    <d v="2026-09-24T00:00:00"/>
    <m/>
    <m/>
    <n v="0"/>
    <n v="18929859"/>
    <n v="0"/>
  </r>
  <r>
    <s v="Retail"/>
    <s v="Q069 - Ibague - Centro"/>
    <x v="10"/>
    <s v="septiembre"/>
    <n v="24"/>
    <d v="2026-09-24T00:00:00"/>
    <n v="1005692463"/>
    <s v="CRISTANCHO VARON DANIELA"/>
    <n v="34"/>
    <n v="0"/>
    <n v="1943909"/>
  </r>
  <r>
    <s v="Retail"/>
    <s v="Q069 - Ibague - Centro"/>
    <x v="10"/>
    <s v="septiembre"/>
    <n v="24"/>
    <d v="2026-09-24T00:00:00"/>
    <n v="1006027144"/>
    <s v="DIMAS LOPEZ ERIK  ADRIAN"/>
    <n v="24"/>
    <n v="0"/>
    <n v="1162692"/>
  </r>
  <r>
    <s v="Retail"/>
    <s v="Q069 - Ibague - Centro"/>
    <x v="10"/>
    <s v="septiembre"/>
    <n v="24"/>
    <d v="2026-09-24T00:00:00"/>
    <n v="1007371954"/>
    <s v="REINOSO  ROJAS DANNA VALENTINA "/>
    <n v="19"/>
    <n v="0"/>
    <n v="822648"/>
  </r>
  <r>
    <s v="Retail"/>
    <s v="Q069 - Ibague - Centro"/>
    <x v="10"/>
    <s v="septiembre"/>
    <n v="24"/>
    <d v="2026-09-24T00:00:00"/>
    <n v="1107977576"/>
    <s v="DIAZ CIFUENTES  DANA GABRIELA"/>
    <n v="29"/>
    <n v="0"/>
    <n v="1511346"/>
  </r>
  <r>
    <s v="Retail"/>
    <s v="Q069 - Ibague - Centro"/>
    <x v="10"/>
    <s v="septiembre"/>
    <n v="24"/>
    <d v="2026-09-24T00:00:00"/>
    <n v="1110485736"/>
    <s v="MORERA GONZALEZ JHON WILMAR"/>
    <n v="34"/>
    <n v="0"/>
    <n v="1767395"/>
  </r>
  <r>
    <s v="Retail"/>
    <s v="Q069 - Ibague - Centro"/>
    <x v="10"/>
    <s v="septiembre"/>
    <n v="24"/>
    <d v="2026-09-24T00:00:00"/>
    <n v="1110570386"/>
    <s v="CASTRO QUINA LINDA YAZMIN"/>
    <n v="30"/>
    <n v="0"/>
    <n v="1473154"/>
  </r>
  <r>
    <s v="Retail"/>
    <s v="Q069 - Ibague - Centro"/>
    <x v="10"/>
    <s v="septiembre"/>
    <n v="25"/>
    <d v="2026-09-25T00:00:00"/>
    <m/>
    <m/>
    <n v="0"/>
    <n v="18887951"/>
    <n v="0"/>
  </r>
  <r>
    <s v="Retail"/>
    <s v="Q069 - Ibague - Centro"/>
    <x v="10"/>
    <s v="septiembre"/>
    <n v="25"/>
    <d v="2026-09-25T00:00:00"/>
    <n v="1005692463"/>
    <s v="CRISTANCHO VARON DANIELA"/>
    <n v="26"/>
    <n v="0"/>
    <n v="1416852"/>
  </r>
  <r>
    <s v="Retail"/>
    <s v="Q069 - Ibague - Centro"/>
    <x v="10"/>
    <s v="septiembre"/>
    <n v="25"/>
    <d v="2026-09-25T00:00:00"/>
    <n v="1006027144"/>
    <s v="DIMAS LOPEZ ERIK  ADRIAN"/>
    <n v="43"/>
    <n v="0"/>
    <n v="2258576"/>
  </r>
  <r>
    <s v="Retail"/>
    <s v="Q069 - Ibague - Centro"/>
    <x v="10"/>
    <s v="septiembre"/>
    <n v="25"/>
    <d v="2026-09-25T00:00:00"/>
    <n v="1007371954"/>
    <s v="REINOSO  ROJAS DANNA VALENTINA "/>
    <n v="31"/>
    <n v="0"/>
    <n v="1662396"/>
  </r>
  <r>
    <s v="Retail"/>
    <s v="Q069 - Ibague - Centro"/>
    <x v="10"/>
    <s v="septiembre"/>
    <n v="25"/>
    <d v="2026-09-25T00:00:00"/>
    <n v="1107977576"/>
    <s v="DIAZ CIFUENTES  DANA GABRIELA"/>
    <n v="19"/>
    <n v="0"/>
    <n v="1055884"/>
  </r>
  <r>
    <s v="Retail"/>
    <s v="Q069 - Ibague - Centro"/>
    <x v="10"/>
    <s v="septiembre"/>
    <n v="25"/>
    <d v="2026-09-25T00:00:00"/>
    <n v="1110485736"/>
    <s v="MORERA GONZALEZ JHON WILMAR"/>
    <n v="79"/>
    <n v="0"/>
    <n v="3724881"/>
  </r>
  <r>
    <s v="Retail"/>
    <s v="Q069 - Ibague - Centro"/>
    <x v="10"/>
    <s v="septiembre"/>
    <n v="25"/>
    <d v="2026-09-25T00:00:00"/>
    <n v="1110570386"/>
    <s v="CASTRO QUINA LINDA YAZMIN"/>
    <n v="50"/>
    <n v="0"/>
    <n v="2363028"/>
  </r>
  <r>
    <s v="Retail"/>
    <s v="Q069 - Ibague - Centro"/>
    <x v="10"/>
    <s v="septiembre"/>
    <n v="26"/>
    <d v="2026-09-26T00:00:00"/>
    <m/>
    <m/>
    <n v="0"/>
    <n v="27144700"/>
    <n v="0"/>
  </r>
  <r>
    <s v="Retail"/>
    <s v="Q069 - Ibague - Centro"/>
    <x v="10"/>
    <s v="septiembre"/>
    <n v="26"/>
    <d v="2026-09-26T00:00:00"/>
    <n v="1005692463"/>
    <s v="CRISTANCHO VARON DANIELA"/>
    <n v="5"/>
    <n v="0"/>
    <n v="352647"/>
  </r>
  <r>
    <s v="Retail"/>
    <s v="Q069 - Ibague - Centro"/>
    <x v="10"/>
    <s v="septiembre"/>
    <n v="26"/>
    <d v="2026-09-26T00:00:00"/>
    <n v="1006027144"/>
    <s v="DIMAS LOPEZ ERIK  ADRIAN"/>
    <n v="50"/>
    <n v="0"/>
    <n v="2331600"/>
  </r>
  <r>
    <s v="Retail"/>
    <s v="Q069 - Ibague - Centro"/>
    <x v="10"/>
    <s v="septiembre"/>
    <n v="26"/>
    <d v="2026-09-26T00:00:00"/>
    <n v="1007371954"/>
    <s v="REINOSO  ROJAS DANNA VALENTINA "/>
    <n v="50"/>
    <n v="0"/>
    <n v="2816935"/>
  </r>
  <r>
    <s v="Retail"/>
    <s v="Q069 - Ibague - Centro"/>
    <x v="10"/>
    <s v="septiembre"/>
    <n v="26"/>
    <d v="2026-09-26T00:00:00"/>
    <n v="1107977576"/>
    <s v="DIAZ CIFUENTES  DANA GABRIELA"/>
    <n v="48"/>
    <n v="0"/>
    <n v="2550380"/>
  </r>
  <r>
    <s v="Retail"/>
    <s v="Q069 - Ibague - Centro"/>
    <x v="10"/>
    <s v="septiembre"/>
    <n v="26"/>
    <d v="2026-09-26T00:00:00"/>
    <n v="1110485736"/>
    <s v="MORERA GONZALEZ JHON WILMAR"/>
    <n v="87"/>
    <n v="0"/>
    <n v="4846730"/>
  </r>
  <r>
    <s v="Retail"/>
    <s v="Q069 - Ibague - Centro"/>
    <x v="10"/>
    <s v="septiembre"/>
    <n v="26"/>
    <d v="2026-09-26T00:00:00"/>
    <n v="1110506146"/>
    <s v="GUZMAN LOZANO JHON EDISSON"/>
    <n v="-2"/>
    <n v="0"/>
    <n v="-193109"/>
  </r>
  <r>
    <s v="Retail"/>
    <s v="Q069 - Ibague - Centro"/>
    <x v="10"/>
    <s v="septiembre"/>
    <n v="26"/>
    <d v="2026-09-26T00:00:00"/>
    <n v="1110570386"/>
    <s v="CASTRO QUINA LINDA YAZMIN"/>
    <n v="71"/>
    <n v="0"/>
    <n v="3223617"/>
  </r>
  <r>
    <s v="Retail"/>
    <s v="Q069 - Ibague - Centro"/>
    <x v="10"/>
    <s v="septiembre"/>
    <n v="27"/>
    <d v="2026-09-27T00:00:00"/>
    <m/>
    <m/>
    <n v="0"/>
    <n v="21504067"/>
    <n v="0"/>
  </r>
  <r>
    <s v="Retail"/>
    <s v="Q069 - Ibague - Centro"/>
    <x v="10"/>
    <s v="septiembre"/>
    <n v="27"/>
    <d v="2026-09-27T00:00:00"/>
    <n v="1005692463"/>
    <s v="CRISTANCHO VARON DANIELA"/>
    <n v="11"/>
    <n v="0"/>
    <n v="751598"/>
  </r>
  <r>
    <s v="Retail"/>
    <s v="Q069 - Ibague - Centro"/>
    <x v="10"/>
    <s v="septiembre"/>
    <n v="27"/>
    <d v="2026-09-27T00:00:00"/>
    <n v="1006027144"/>
    <s v="DIMAS LOPEZ ERIK  ADRIAN"/>
    <n v="9"/>
    <n v="0"/>
    <n v="596177"/>
  </r>
  <r>
    <s v="Retail"/>
    <s v="Q069 - Ibague - Centro"/>
    <x v="10"/>
    <s v="septiembre"/>
    <n v="27"/>
    <d v="2026-09-27T00:00:00"/>
    <n v="1007371954"/>
    <s v="REINOSO  ROJAS DANNA VALENTINA "/>
    <n v="16"/>
    <n v="0"/>
    <n v="1022354"/>
  </r>
  <r>
    <s v="Retail"/>
    <s v="Q069 - Ibague - Centro"/>
    <x v="10"/>
    <s v="septiembre"/>
    <n v="27"/>
    <d v="2026-09-27T00:00:00"/>
    <n v="1107977576"/>
    <s v="DIAZ CIFUENTES  DANA GABRIELA"/>
    <n v="17"/>
    <n v="0"/>
    <n v="992983"/>
  </r>
  <r>
    <s v="Retail"/>
    <s v="Q069 - Ibague - Centro"/>
    <x v="10"/>
    <s v="septiembre"/>
    <n v="27"/>
    <d v="2026-09-27T00:00:00"/>
    <n v="1110485736"/>
    <s v="MORERA GONZALEZ JHON WILMAR"/>
    <n v="34"/>
    <n v="0"/>
    <n v="2044708"/>
  </r>
  <r>
    <s v="Retail"/>
    <s v="Q069 - Ibague - Centro"/>
    <x v="10"/>
    <s v="septiembre"/>
    <n v="27"/>
    <d v="2026-09-27T00:00:00"/>
    <n v="1110570386"/>
    <s v="CASTRO QUINA LINDA YAZMIN"/>
    <n v="31"/>
    <n v="0"/>
    <n v="1603572"/>
  </r>
  <r>
    <s v="Retail"/>
    <s v="Q069 - Ibague - Centro"/>
    <x v="10"/>
    <s v="septiembre"/>
    <n v="28"/>
    <d v="2026-09-28T00:00:00"/>
    <m/>
    <m/>
    <n v="0"/>
    <n v="12107747"/>
    <n v="0"/>
  </r>
  <r>
    <s v="Retail"/>
    <s v="Q069 - Ibague - Centro"/>
    <x v="10"/>
    <s v="septiembre"/>
    <n v="28"/>
    <d v="2026-09-28T00:00:00"/>
    <n v="1005692463"/>
    <s v="CRISTANCHO VARON DANIELA"/>
    <n v="22"/>
    <n v="0"/>
    <n v="1156515"/>
  </r>
  <r>
    <s v="Retail"/>
    <s v="Q069 - Ibague - Centro"/>
    <x v="10"/>
    <s v="septiembre"/>
    <n v="28"/>
    <d v="2026-09-28T00:00:00"/>
    <n v="1006027144"/>
    <s v="DIMAS LOPEZ ERIK  ADRIAN"/>
    <n v="30"/>
    <n v="0"/>
    <n v="1633154"/>
  </r>
  <r>
    <s v="Retail"/>
    <s v="Q069 - Ibague - Centro"/>
    <x v="10"/>
    <s v="septiembre"/>
    <n v="28"/>
    <d v="2026-09-28T00:00:00"/>
    <n v="1007371954"/>
    <s v="REINOSO  ROJAS DANNA VALENTINA "/>
    <n v="30"/>
    <n v="0"/>
    <n v="1702565"/>
  </r>
  <r>
    <s v="Retail"/>
    <s v="Q069 - Ibague - Centro"/>
    <x v="10"/>
    <s v="septiembre"/>
    <n v="28"/>
    <d v="2026-09-28T00:00:00"/>
    <n v="1107977576"/>
    <s v="DIAZ CIFUENTES  DANA GABRIELA"/>
    <n v="13"/>
    <n v="0"/>
    <n v="835548"/>
  </r>
  <r>
    <s v="Retail"/>
    <s v="Q069 - Ibague - Centro"/>
    <x v="10"/>
    <s v="septiembre"/>
    <n v="28"/>
    <d v="2026-09-28T00:00:00"/>
    <n v="1110485736"/>
    <s v="MORERA GONZALEZ JHON WILMAR"/>
    <n v="32"/>
    <n v="0"/>
    <n v="1817817"/>
  </r>
  <r>
    <s v="Retail"/>
    <s v="Q069 - Ibague - Centro"/>
    <x v="10"/>
    <s v="septiembre"/>
    <n v="28"/>
    <d v="2026-09-28T00:00:00"/>
    <n v="1110570386"/>
    <s v="CASTRO QUINA LINDA YAZMIN"/>
    <n v="22"/>
    <n v="0"/>
    <n v="1135589"/>
  </r>
  <r>
    <s v="Retail"/>
    <s v="Q069 - Ibague - Centro"/>
    <x v="10"/>
    <s v="septiembre"/>
    <n v="29"/>
    <d v="2026-09-29T00:00:00"/>
    <m/>
    <m/>
    <n v="0"/>
    <n v="12369259"/>
    <n v="0"/>
  </r>
  <r>
    <s v="Retail"/>
    <s v="Q069 - Ibague - Centro"/>
    <x v="10"/>
    <s v="septiembre"/>
    <n v="29"/>
    <d v="2026-09-29T00:00:00"/>
    <n v="1005692463"/>
    <s v="CRISTANCHO VARON DANIELA"/>
    <n v="30"/>
    <n v="0"/>
    <n v="1729582"/>
  </r>
  <r>
    <s v="Retail"/>
    <s v="Q069 - Ibague - Centro"/>
    <x v="10"/>
    <s v="septiembre"/>
    <n v="29"/>
    <d v="2026-09-29T00:00:00"/>
    <n v="1006027144"/>
    <s v="DIMAS LOPEZ ERIK  ADRIAN"/>
    <n v="15"/>
    <n v="0"/>
    <n v="759750"/>
  </r>
  <r>
    <s v="Retail"/>
    <s v="Q069 - Ibague - Centro"/>
    <x v="10"/>
    <s v="septiembre"/>
    <n v="29"/>
    <d v="2026-09-29T00:00:00"/>
    <n v="1007371954"/>
    <s v="REINOSO  ROJAS DANNA VALENTINA "/>
    <n v="9"/>
    <n v="0"/>
    <n v="514369"/>
  </r>
  <r>
    <s v="Retail"/>
    <s v="Q069 - Ibague - Centro"/>
    <x v="10"/>
    <s v="septiembre"/>
    <n v="29"/>
    <d v="2026-09-29T00:00:00"/>
    <n v="1107977576"/>
    <s v="DIAZ CIFUENTES  DANA GABRIELA"/>
    <n v="19"/>
    <n v="0"/>
    <n v="965462"/>
  </r>
  <r>
    <s v="Retail"/>
    <s v="Q069 - Ibague - Centro"/>
    <x v="10"/>
    <s v="septiembre"/>
    <n v="29"/>
    <d v="2026-09-29T00:00:00"/>
    <n v="1110485736"/>
    <s v="MORERA GONZALEZ JHON WILMAR"/>
    <n v="61"/>
    <n v="0"/>
    <n v="3514160"/>
  </r>
  <r>
    <s v="Retail"/>
    <s v="Q069 - Ibague - Centro"/>
    <x v="10"/>
    <s v="septiembre"/>
    <n v="29"/>
    <d v="2026-09-29T00:00:00"/>
    <n v="1110570386"/>
    <s v="CASTRO QUINA LINDA YAZMIN"/>
    <n v="9"/>
    <n v="0"/>
    <n v="335758"/>
  </r>
  <r>
    <s v="Retail"/>
    <s v="Q069 - Ibague - Centro"/>
    <x v="10"/>
    <s v="septiembre"/>
    <n v="30"/>
    <d v="2026-09-30T00:00:00"/>
    <m/>
    <m/>
    <n v="0"/>
    <n v="13059461"/>
    <n v="0"/>
  </r>
  <r>
    <s v="Retail"/>
    <s v="Q069 - Ibague - Centro"/>
    <x v="10"/>
    <s v="septiembre"/>
    <n v="30"/>
    <d v="2026-09-30T00:00:00"/>
    <n v="1005692463"/>
    <s v="CRISTANCHO VARON DANIELA"/>
    <n v="30"/>
    <n v="0"/>
    <n v="1679329"/>
  </r>
  <r>
    <s v="Retail"/>
    <s v="Q069 - Ibague - Centro"/>
    <x v="10"/>
    <s v="septiembre"/>
    <n v="30"/>
    <d v="2026-09-30T00:00:00"/>
    <n v="1006027144"/>
    <s v="DIMAS LOPEZ ERIK  ADRIAN"/>
    <n v="28"/>
    <n v="0"/>
    <n v="1439834"/>
  </r>
  <r>
    <s v="Retail"/>
    <s v="Q069 - Ibague - Centro"/>
    <x v="10"/>
    <s v="septiembre"/>
    <n v="30"/>
    <d v="2026-09-30T00:00:00"/>
    <n v="1007371954"/>
    <s v="REINOSO  ROJAS DANNA VALENTINA "/>
    <n v="34"/>
    <n v="0"/>
    <n v="2002523"/>
  </r>
  <r>
    <s v="Retail"/>
    <s v="Q069 - Ibague - Centro"/>
    <x v="10"/>
    <s v="septiembre"/>
    <n v="30"/>
    <d v="2026-09-30T00:00:00"/>
    <n v="1107977576"/>
    <s v="DIAZ CIFUENTES  DANA GABRIELA"/>
    <n v="22"/>
    <n v="0"/>
    <n v="1066263"/>
  </r>
  <r>
    <s v="Retail"/>
    <s v="Q069 - Ibague - Centro"/>
    <x v="10"/>
    <s v="septiembre"/>
    <n v="30"/>
    <d v="2026-09-30T00:00:00"/>
    <n v="1110485736"/>
    <s v="MORERA GONZALEZ JHON WILMAR"/>
    <n v="53"/>
    <n v="0"/>
    <n v="3020802"/>
  </r>
  <r>
    <s v="Retail"/>
    <s v="Q069 - Ibague - Centro"/>
    <x v="10"/>
    <s v="septiembre"/>
    <n v="30"/>
    <d v="2026-09-30T00:00:00"/>
    <n v="1110570386"/>
    <s v="CASTRO QUINA LINDA YAZMIN"/>
    <n v="31"/>
    <n v="0"/>
    <n v="1590759"/>
  </r>
  <r>
    <s v="Retail"/>
    <s v="Q069 - Ibague - Centro"/>
    <x v="10"/>
    <s v="octubre"/>
    <n v="1"/>
    <d v="2026-10-01T00:00:00"/>
    <m/>
    <m/>
    <n v="0"/>
    <n v="10606780"/>
    <n v="0"/>
  </r>
  <r>
    <s v="Retail"/>
    <s v="Q069 - Ibague - Centro"/>
    <x v="10"/>
    <s v="octubre"/>
    <n v="1"/>
    <d v="2026-10-01T00:00:00"/>
    <n v="1005692463"/>
    <s v="CRISTANCHO VARON DANIELA"/>
    <n v="24"/>
    <n v="0"/>
    <n v="1297185"/>
  </r>
  <r>
    <s v="Retail"/>
    <s v="Q069 - Ibague - Centro"/>
    <x v="10"/>
    <s v="octubre"/>
    <n v="1"/>
    <d v="2026-10-01T00:00:00"/>
    <n v="1006027144"/>
    <s v="DIMAS LOPEZ ERIK  ADRIAN"/>
    <n v="33"/>
    <n v="0"/>
    <n v="1645590"/>
  </r>
  <r>
    <s v="Retail"/>
    <s v="Q069 - Ibague - Centro"/>
    <x v="10"/>
    <s v="octubre"/>
    <n v="1"/>
    <d v="2026-10-01T00:00:00"/>
    <n v="1007371954"/>
    <s v="REINOSO  ROJAS DANNA VALENTINA "/>
    <n v="26"/>
    <n v="0"/>
    <n v="1528197"/>
  </r>
  <r>
    <s v="Retail"/>
    <s v="Q069 - Ibague - Centro"/>
    <x v="10"/>
    <s v="octubre"/>
    <n v="1"/>
    <d v="2026-10-01T00:00:00"/>
    <n v="1107977576"/>
    <s v="DIAZ CIFUENTES  DANA GABRIELA"/>
    <n v="48"/>
    <n v="0"/>
    <n v="2319244"/>
  </r>
  <r>
    <s v="Retail"/>
    <s v="Q069 - Ibague - Centro"/>
    <x v="10"/>
    <s v="octubre"/>
    <n v="1"/>
    <d v="2026-10-01T00:00:00"/>
    <n v="1110485736"/>
    <s v="MORERA GONZALEZ JHON WILMAR"/>
    <n v="64"/>
    <n v="0"/>
    <n v="3337525"/>
  </r>
  <r>
    <s v="Retail"/>
    <s v="Q069 - Ibague - Centro"/>
    <x v="10"/>
    <s v="octubre"/>
    <n v="1"/>
    <d v="2026-10-01T00:00:00"/>
    <n v="1110570386"/>
    <s v="CASTRO QUINA LINDA YAZMIN"/>
    <n v="31"/>
    <n v="0"/>
    <n v="1523744"/>
  </r>
  <r>
    <s v="Retail"/>
    <s v="Q069 - Ibague - Centro"/>
    <x v="10"/>
    <s v="octubre"/>
    <n v="2"/>
    <d v="2026-10-02T00:00:00"/>
    <m/>
    <m/>
    <n v="0"/>
    <n v="10436112"/>
    <n v="0"/>
  </r>
  <r>
    <s v="Retail"/>
    <s v="Q069 - Ibague - Centro"/>
    <x v="10"/>
    <s v="octubre"/>
    <n v="2"/>
    <d v="2026-10-02T00:00:00"/>
    <n v="1005692463"/>
    <s v="CRISTANCHO VARON DANIELA"/>
    <n v="22"/>
    <n v="0"/>
    <n v="1236470"/>
  </r>
  <r>
    <s v="Retail"/>
    <s v="Q069 - Ibague - Centro"/>
    <x v="10"/>
    <s v="octubre"/>
    <n v="2"/>
    <d v="2026-10-02T00:00:00"/>
    <n v="1006027144"/>
    <s v="DIMAS LOPEZ ERIK  ADRIAN"/>
    <n v="22"/>
    <n v="0"/>
    <n v="965381"/>
  </r>
  <r>
    <s v="Retail"/>
    <s v="Q069 - Ibague - Centro"/>
    <x v="10"/>
    <s v="octubre"/>
    <n v="2"/>
    <d v="2026-10-02T00:00:00"/>
    <n v="1007371954"/>
    <s v="REINOSO  ROJAS DANNA VALENTINA "/>
    <n v="19"/>
    <n v="0"/>
    <n v="1120840"/>
  </r>
  <r>
    <s v="Retail"/>
    <s v="Q069 - Ibague - Centro"/>
    <x v="10"/>
    <s v="octubre"/>
    <n v="2"/>
    <d v="2026-10-02T00:00:00"/>
    <n v="1007463963"/>
    <s v="ARTUNDUAGA PARGA MARIA  ALEJANDRA"/>
    <n v="-1"/>
    <n v="0"/>
    <n v="-29370"/>
  </r>
  <r>
    <s v="Retail"/>
    <s v="Q069 - Ibague - Centro"/>
    <x v="10"/>
    <s v="octubre"/>
    <n v="2"/>
    <d v="2026-10-02T00:00:00"/>
    <n v="1107977576"/>
    <s v="DIAZ CIFUENTES  DANA GABRIELA"/>
    <n v="21"/>
    <n v="0"/>
    <n v="1129243"/>
  </r>
  <r>
    <s v="Retail"/>
    <s v="Q069 - Ibague - Centro"/>
    <x v="10"/>
    <s v="octubre"/>
    <n v="2"/>
    <d v="2026-10-02T00:00:00"/>
    <n v="1110485736"/>
    <s v="MORERA GONZALEZ JHON WILMAR"/>
    <n v="46"/>
    <n v="0"/>
    <n v="2390717"/>
  </r>
  <r>
    <s v="Retail"/>
    <s v="Q069 - Ibague - Centro"/>
    <x v="10"/>
    <s v="octubre"/>
    <n v="2"/>
    <d v="2026-10-02T00:00:00"/>
    <n v="1110570386"/>
    <s v="CASTRO QUINA LINDA YAZMIN"/>
    <n v="34"/>
    <n v="0"/>
    <n v="1460590"/>
  </r>
  <r>
    <s v="Retail"/>
    <s v="Q069 - Ibague - Centro"/>
    <x v="10"/>
    <s v="octubre"/>
    <n v="3"/>
    <d v="2026-10-03T00:00:00"/>
    <m/>
    <m/>
    <n v="0"/>
    <n v="22186512"/>
    <n v="0"/>
  </r>
  <r>
    <s v="Retail"/>
    <s v="Q069 - Ibague - Centro"/>
    <x v="10"/>
    <s v="octubre"/>
    <n v="3"/>
    <d v="2026-10-03T00:00:00"/>
    <n v="1005692463"/>
    <s v="CRISTANCHO VARON DANIELA"/>
    <n v="40"/>
    <n v="0"/>
    <n v="2289471"/>
  </r>
  <r>
    <s v="Retail"/>
    <s v="Q069 - Ibague - Centro"/>
    <x v="10"/>
    <s v="octubre"/>
    <n v="3"/>
    <d v="2026-10-03T00:00:00"/>
    <n v="1006027144"/>
    <s v="DIMAS LOPEZ ERIK  ADRIAN"/>
    <n v="65"/>
    <n v="0"/>
    <n v="3024744"/>
  </r>
  <r>
    <s v="Retail"/>
    <s v="Q069 - Ibague - Centro"/>
    <x v="10"/>
    <s v="octubre"/>
    <n v="3"/>
    <d v="2026-10-03T00:00:00"/>
    <n v="1107977576"/>
    <s v="DIAZ CIFUENTES  DANA GABRIELA"/>
    <n v="64"/>
    <n v="0"/>
    <n v="3074649"/>
  </r>
  <r>
    <s v="Retail"/>
    <s v="Q069 - Ibague - Centro"/>
    <x v="10"/>
    <s v="octubre"/>
    <n v="3"/>
    <d v="2026-10-03T00:00:00"/>
    <n v="1110485736"/>
    <s v="MORERA GONZALEZ JHON WILMAR"/>
    <n v="141"/>
    <n v="0"/>
    <n v="6793433"/>
  </r>
  <r>
    <s v="Retail"/>
    <s v="Q069 - Ibague - Centro"/>
    <x v="10"/>
    <s v="octubre"/>
    <n v="3"/>
    <d v="2026-10-03T00:00:00"/>
    <n v="1110506146"/>
    <s v="GUZMAN LOZANO JHON EDISSON"/>
    <n v="-1"/>
    <n v="0"/>
    <n v="-83949"/>
  </r>
  <r>
    <s v="Retail"/>
    <s v="Q069 - Ibague - Centro"/>
    <x v="10"/>
    <s v="octubre"/>
    <n v="3"/>
    <d v="2026-10-03T00:00:00"/>
    <n v="1110570386"/>
    <s v="CASTRO QUINA LINDA YAZMIN"/>
    <n v="128"/>
    <n v="0"/>
    <n v="6155692"/>
  </r>
  <r>
    <s v="Retail"/>
    <s v="Q069 - Ibague - Centro"/>
    <x v="10"/>
    <s v="octubre"/>
    <n v="4"/>
    <d v="2026-10-04T00:00:00"/>
    <m/>
    <m/>
    <n v="0"/>
    <n v="4613468"/>
    <n v="0"/>
  </r>
  <r>
    <s v="Retail"/>
    <s v="Q069 - Ibague - Centro"/>
    <x v="10"/>
    <s v="octubre"/>
    <n v="4"/>
    <d v="2026-10-04T00:00:00"/>
    <n v="1005692463"/>
    <s v="CRISTANCHO VARON DANIELA"/>
    <n v="3"/>
    <n v="0"/>
    <n v="222563"/>
  </r>
  <r>
    <s v="Retail"/>
    <s v="Q069 - Ibague - Centro"/>
    <x v="10"/>
    <s v="octubre"/>
    <n v="4"/>
    <d v="2026-10-04T00:00:00"/>
    <n v="1006027144"/>
    <s v="DIMAS LOPEZ ERIK  ADRIAN"/>
    <n v="23"/>
    <n v="0"/>
    <n v="1335044"/>
  </r>
  <r>
    <s v="Retail"/>
    <s v="Q069 - Ibague - Centro"/>
    <x v="10"/>
    <s v="octubre"/>
    <n v="4"/>
    <d v="2026-10-04T00:00:00"/>
    <n v="1107977576"/>
    <s v="DIAZ CIFUENTES  DANA GABRIELA"/>
    <n v="18"/>
    <n v="0"/>
    <n v="847772"/>
  </r>
  <r>
    <s v="Retail"/>
    <s v="Q069 - Ibague - Centro"/>
    <x v="10"/>
    <s v="octubre"/>
    <n v="4"/>
    <d v="2026-10-04T00:00:00"/>
    <n v="1110485736"/>
    <s v="MORERA GONZALEZ JHON WILMAR"/>
    <n v="53"/>
    <n v="0"/>
    <n v="2879415"/>
  </r>
  <r>
    <s v="Retail"/>
    <s v="Q069 - Ibague - Centro"/>
    <x v="10"/>
    <s v="octubre"/>
    <n v="4"/>
    <d v="2026-10-04T00:00:00"/>
    <n v="1110570386"/>
    <s v="CASTRO QUINA LINDA YAZMIN"/>
    <n v="24"/>
    <n v="0"/>
    <n v="1259412"/>
  </r>
  <r>
    <s v="Retail"/>
    <s v="Q069 - Ibague - Centro"/>
    <x v="10"/>
    <s v="octubre"/>
    <n v="5"/>
    <d v="2026-10-05T00:00:00"/>
    <m/>
    <m/>
    <n v="0"/>
    <n v="8168690"/>
    <n v="0"/>
  </r>
  <r>
    <s v="Retail"/>
    <s v="Q069 - Ibague - Centro"/>
    <x v="10"/>
    <s v="octubre"/>
    <n v="5"/>
    <d v="2026-10-05T00:00:00"/>
    <n v="1005692463"/>
    <s v="CRISTANCHO VARON DANIELA"/>
    <n v="34"/>
    <n v="0"/>
    <n v="1403867"/>
  </r>
  <r>
    <s v="Retail"/>
    <s v="Q069 - Ibague - Centro"/>
    <x v="10"/>
    <s v="octubre"/>
    <n v="5"/>
    <d v="2026-10-05T00:00:00"/>
    <n v="1006027144"/>
    <s v="DIMAS LOPEZ ERIK  ADRIAN"/>
    <n v="34"/>
    <n v="0"/>
    <n v="1660128"/>
  </r>
  <r>
    <s v="Retail"/>
    <s v="Q069 - Ibague - Centro"/>
    <x v="10"/>
    <s v="octubre"/>
    <n v="5"/>
    <d v="2026-10-05T00:00:00"/>
    <n v="1107977576"/>
    <s v="DIAZ CIFUENTES  DANA GABRIELA"/>
    <n v="26"/>
    <n v="0"/>
    <n v="1452437"/>
  </r>
  <r>
    <s v="Retail"/>
    <s v="Q069 - Ibague - Centro"/>
    <x v="10"/>
    <s v="octubre"/>
    <n v="5"/>
    <d v="2026-10-05T00:00:00"/>
    <n v="1110485736"/>
    <s v="MORERA GONZALEZ JHON WILMAR"/>
    <n v="67"/>
    <n v="0"/>
    <n v="3410593"/>
  </r>
  <r>
    <s v="Retail"/>
    <s v="Q069 - Ibague - Centro"/>
    <x v="10"/>
    <s v="octubre"/>
    <n v="5"/>
    <d v="2026-10-05T00:00:00"/>
    <n v="1110570386"/>
    <s v="CASTRO QUINA LINDA YAZMIN"/>
    <n v="50"/>
    <n v="0"/>
    <n v="2592270"/>
  </r>
  <r>
    <s v="Retail"/>
    <s v="Q069 - Ibague - Centro"/>
    <x v="10"/>
    <s v="octubre"/>
    <n v="6"/>
    <d v="2026-10-06T00:00:00"/>
    <m/>
    <m/>
    <n v="0"/>
    <n v="4750498"/>
    <n v="0"/>
  </r>
  <r>
    <s v="Retail"/>
    <s v="Q069 - Ibague - Centro"/>
    <x v="10"/>
    <s v="octubre"/>
    <n v="6"/>
    <d v="2026-10-06T00:00:00"/>
    <n v="1005692463"/>
    <s v="CRISTANCHO VARON DANIELA"/>
    <n v="17"/>
    <n v="0"/>
    <n v="1022271"/>
  </r>
  <r>
    <s v="Retail"/>
    <s v="Q069 - Ibague - Centro"/>
    <x v="10"/>
    <s v="octubre"/>
    <n v="6"/>
    <d v="2026-10-06T00:00:00"/>
    <n v="1005716262"/>
    <s v="QUINTANA MONTAÑA  JUAN  SEBASTIAN"/>
    <n v="-1"/>
    <n v="0"/>
    <n v="-50378"/>
  </r>
  <r>
    <s v="Retail"/>
    <s v="Q069 - Ibague - Centro"/>
    <x v="10"/>
    <s v="octubre"/>
    <n v="6"/>
    <d v="2026-10-06T00:00:00"/>
    <n v="1006027144"/>
    <s v="DIMAS LOPEZ ERIK  ADRIAN"/>
    <n v="14"/>
    <n v="0"/>
    <n v="789200"/>
  </r>
  <r>
    <s v="Retail"/>
    <s v="Q069 - Ibague - Centro"/>
    <x v="10"/>
    <s v="octubre"/>
    <n v="6"/>
    <d v="2026-10-06T00:00:00"/>
    <n v="1107977576"/>
    <s v="DIAZ CIFUENTES  DANA GABRIELA"/>
    <n v="15"/>
    <n v="0"/>
    <n v="749245"/>
  </r>
  <r>
    <s v="Retail"/>
    <s v="Q069 - Ibague - Centro"/>
    <x v="10"/>
    <s v="octubre"/>
    <n v="6"/>
    <d v="2026-10-06T00:00:00"/>
    <n v="1110485736"/>
    <s v="MORERA GONZALEZ JHON WILMAR"/>
    <n v="18"/>
    <n v="0"/>
    <n v="906681"/>
  </r>
  <r>
    <s v="Retail"/>
    <s v="Q069 - Ibague - Centro"/>
    <x v="10"/>
    <s v="octubre"/>
    <n v="6"/>
    <d v="2026-10-06T00:00:00"/>
    <n v="1110570386"/>
    <s v="CASTRO QUINA LINDA YAZMIN"/>
    <n v="25"/>
    <n v="0"/>
    <n v="1137986"/>
  </r>
  <r>
    <s v="Retail"/>
    <s v="Q069 - Ibague - Centro"/>
    <x v="10"/>
    <s v="octubre"/>
    <n v="7"/>
    <d v="2026-10-07T00:00:00"/>
    <m/>
    <m/>
    <n v="0"/>
    <n v="4687992"/>
    <n v="0"/>
  </r>
  <r>
    <s v="Retail"/>
    <s v="Q069 - Ibague - Centro"/>
    <x v="10"/>
    <s v="octubre"/>
    <n v="7"/>
    <d v="2026-10-07T00:00:00"/>
    <n v="1005692463"/>
    <s v="CRISTANCHO VARON DANIELA"/>
    <n v="14"/>
    <n v="0"/>
    <n v="490882"/>
  </r>
  <r>
    <s v="Retail"/>
    <s v="Q069 - Ibague - Centro"/>
    <x v="10"/>
    <s v="octubre"/>
    <n v="7"/>
    <d v="2026-10-07T00:00:00"/>
    <n v="1006027144"/>
    <s v="DIMAS LOPEZ ERIK  ADRIAN"/>
    <n v="17"/>
    <n v="0"/>
    <n v="898277"/>
  </r>
  <r>
    <s v="Retail"/>
    <s v="Q069 - Ibague - Centro"/>
    <x v="10"/>
    <s v="octubre"/>
    <n v="7"/>
    <d v="2026-10-07T00:00:00"/>
    <n v="1007371954"/>
    <s v="REINOSO  ROJAS DANNA VALENTINA "/>
    <n v="15"/>
    <n v="0"/>
    <n v="709329"/>
  </r>
  <r>
    <s v="Retail"/>
    <s v="Q069 - Ibague - Centro"/>
    <x v="10"/>
    <s v="octubre"/>
    <n v="7"/>
    <d v="2026-10-07T00:00:00"/>
    <n v="1107977576"/>
    <s v="DIAZ CIFUENTES  DANA GABRIELA"/>
    <n v="22"/>
    <n v="0"/>
    <n v="1099667"/>
  </r>
  <r>
    <s v="Retail"/>
    <s v="Q069 - Ibague - Centro"/>
    <x v="10"/>
    <s v="octubre"/>
    <n v="7"/>
    <d v="2026-10-07T00:00:00"/>
    <n v="1110485736"/>
    <s v="MORERA GONZALEZ JHON WILMAR"/>
    <n v="34"/>
    <n v="0"/>
    <n v="1756768"/>
  </r>
  <r>
    <s v="Retail"/>
    <s v="Q069 - Ibague - Centro"/>
    <x v="10"/>
    <s v="octubre"/>
    <n v="7"/>
    <d v="2026-10-07T00:00:00"/>
    <n v="1110570386"/>
    <s v="CASTRO QUINA LINDA YAZMIN"/>
    <n v="13"/>
    <n v="0"/>
    <n v="554076"/>
  </r>
  <r>
    <s v="Retail"/>
    <s v="Q071 - Neiva - Centro"/>
    <x v="10"/>
    <s v="septiembre"/>
    <n v="23"/>
    <d v="2026-09-23T00:00:00"/>
    <m/>
    <m/>
    <n v="0"/>
    <n v="7325360"/>
    <n v="0"/>
  </r>
  <r>
    <s v="Retail"/>
    <s v="Q071 - Neiva - Centro"/>
    <x v="10"/>
    <s v="septiembre"/>
    <n v="23"/>
    <d v="2026-09-23T00:00:00"/>
    <n v="1075240964"/>
    <s v="CASTAÑEDA PAVÓN DIANA CRISTINA"/>
    <n v="48"/>
    <n v="0"/>
    <n v="2680719"/>
  </r>
  <r>
    <s v="Retail"/>
    <s v="Q071 - Neiva - Centro"/>
    <x v="10"/>
    <s v="septiembre"/>
    <n v="23"/>
    <d v="2026-09-23T00:00:00"/>
    <n v="1075295484"/>
    <s v="ALDANA VARGAS LEYDY ADRIANA"/>
    <n v="33"/>
    <n v="0"/>
    <n v="1591053"/>
  </r>
  <r>
    <s v="Retail"/>
    <s v="Q071 - Neiva - Centro"/>
    <x v="10"/>
    <s v="septiembre"/>
    <n v="23"/>
    <d v="2026-09-23T00:00:00"/>
    <n v="1075303153"/>
    <s v="ROMERO CRUZ MARIA PAULA"/>
    <n v="9"/>
    <n v="0"/>
    <n v="402984"/>
  </r>
  <r>
    <s v="Retail"/>
    <s v="Q071 - Neiva - Centro"/>
    <x v="10"/>
    <s v="septiembre"/>
    <n v="23"/>
    <d v="2026-09-23T00:00:00"/>
    <n v="1079409046"/>
    <s v="PERDOMO SAENZ CLAUDIA LILIANA"/>
    <n v="2"/>
    <n v="0"/>
    <n v="88152"/>
  </r>
  <r>
    <s v="Retail"/>
    <s v="Q071 - Neiva - Centro"/>
    <x v="10"/>
    <s v="septiembre"/>
    <n v="24"/>
    <d v="2026-09-24T00:00:00"/>
    <m/>
    <m/>
    <n v="0"/>
    <n v="11190312"/>
    <n v="0"/>
  </r>
  <r>
    <s v="Retail"/>
    <s v="Q071 - Neiva - Centro"/>
    <x v="10"/>
    <s v="septiembre"/>
    <n v="24"/>
    <d v="2026-09-24T00:00:00"/>
    <n v="1075240964"/>
    <s v="CASTAÑEDA PAVÓN DIANA CRISTINA"/>
    <n v="48"/>
    <n v="0"/>
    <n v="2661809"/>
  </r>
  <r>
    <s v="Retail"/>
    <s v="Q071 - Neiva - Centro"/>
    <x v="10"/>
    <s v="septiembre"/>
    <n v="24"/>
    <d v="2026-09-24T00:00:00"/>
    <n v="1075295484"/>
    <s v="ALDANA VARGAS LEYDY ADRIANA"/>
    <n v="45"/>
    <n v="0"/>
    <n v="2830003"/>
  </r>
  <r>
    <s v="Retail"/>
    <s v="Q071 - Neiva - Centro"/>
    <x v="10"/>
    <s v="septiembre"/>
    <n v="24"/>
    <d v="2026-09-24T00:00:00"/>
    <n v="1075303153"/>
    <s v="ROMERO CRUZ MARIA PAULA"/>
    <n v="28"/>
    <n v="0"/>
    <n v="1456807"/>
  </r>
  <r>
    <s v="Retail"/>
    <s v="Q071 - Neiva - Centro"/>
    <x v="10"/>
    <s v="septiembre"/>
    <n v="24"/>
    <d v="2026-09-24T00:00:00"/>
    <n v="1079409046"/>
    <s v="PERDOMO SAENZ CLAUDIA LILIANA"/>
    <n v="12"/>
    <n v="0"/>
    <n v="612901"/>
  </r>
  <r>
    <s v="Retail"/>
    <s v="Q071 - Neiva - Centro"/>
    <x v="10"/>
    <s v="septiembre"/>
    <n v="25"/>
    <d v="2026-09-25T00:00:00"/>
    <m/>
    <m/>
    <n v="0"/>
    <n v="5928323"/>
    <n v="0"/>
  </r>
  <r>
    <s v="Retail"/>
    <s v="Q071 - Neiva - Centro"/>
    <x v="10"/>
    <s v="septiembre"/>
    <n v="25"/>
    <d v="2026-09-25T00:00:00"/>
    <n v="1075240964"/>
    <s v="CASTAÑEDA PAVÓN DIANA CRISTINA"/>
    <n v="27"/>
    <n v="0"/>
    <n v="1461050"/>
  </r>
  <r>
    <s v="Retail"/>
    <s v="Q071 - Neiva - Centro"/>
    <x v="10"/>
    <s v="septiembre"/>
    <n v="25"/>
    <d v="2026-09-25T00:00:00"/>
    <n v="1075295484"/>
    <s v="ALDANA VARGAS LEYDY ADRIANA"/>
    <n v="46"/>
    <n v="0"/>
    <n v="2779539"/>
  </r>
  <r>
    <s v="Retail"/>
    <s v="Q071 - Neiva - Centro"/>
    <x v="10"/>
    <s v="septiembre"/>
    <n v="25"/>
    <d v="2026-09-25T00:00:00"/>
    <n v="1075303153"/>
    <s v="ROMERO CRUZ MARIA PAULA"/>
    <n v="21"/>
    <n v="0"/>
    <n v="923491"/>
  </r>
  <r>
    <s v="Retail"/>
    <s v="Q071 - Neiva - Centro"/>
    <x v="10"/>
    <s v="septiembre"/>
    <n v="25"/>
    <d v="2026-09-25T00:00:00"/>
    <n v="1079409046"/>
    <s v="PERDOMO SAENZ CLAUDIA LILIANA"/>
    <n v="11"/>
    <n v="0"/>
    <n v="764244"/>
  </r>
  <r>
    <s v="Retail"/>
    <s v="Q071 - Neiva - Centro"/>
    <x v="10"/>
    <s v="septiembre"/>
    <n v="26"/>
    <d v="2026-09-26T00:00:00"/>
    <m/>
    <m/>
    <n v="0"/>
    <n v="16046492"/>
    <n v="0"/>
  </r>
  <r>
    <s v="Retail"/>
    <s v="Q071 - Neiva - Centro"/>
    <x v="10"/>
    <s v="septiembre"/>
    <n v="26"/>
    <d v="2026-09-26T00:00:00"/>
    <n v="1075240964"/>
    <s v="CASTAÑEDA PAVÓN DIANA CRISTINA"/>
    <n v="96"/>
    <n v="0"/>
    <n v="5081985"/>
  </r>
  <r>
    <s v="Retail"/>
    <s v="Q071 - Neiva - Centro"/>
    <x v="10"/>
    <s v="septiembre"/>
    <n v="26"/>
    <d v="2026-09-26T00:00:00"/>
    <n v="1075295484"/>
    <s v="ALDANA VARGAS LEYDY ADRIANA"/>
    <n v="95"/>
    <n v="0"/>
    <n v="5025176"/>
  </r>
  <r>
    <s v="Retail"/>
    <s v="Q071 - Neiva - Centro"/>
    <x v="10"/>
    <s v="septiembre"/>
    <n v="26"/>
    <d v="2026-09-26T00:00:00"/>
    <n v="1075303153"/>
    <s v="ROMERO CRUZ MARIA PAULA"/>
    <n v="9"/>
    <n v="0"/>
    <n v="455505"/>
  </r>
  <r>
    <s v="Retail"/>
    <s v="Q071 - Neiva - Centro"/>
    <x v="10"/>
    <s v="septiembre"/>
    <n v="26"/>
    <d v="2026-09-26T00:00:00"/>
    <n v="1079409046"/>
    <s v="PERDOMO SAENZ CLAUDIA LILIANA"/>
    <n v="19"/>
    <n v="0"/>
    <n v="1125255"/>
  </r>
  <r>
    <s v="Retail"/>
    <s v="Q071 - Neiva - Centro"/>
    <x v="10"/>
    <s v="septiembre"/>
    <n v="27"/>
    <d v="2026-09-27T00:00:00"/>
    <m/>
    <m/>
    <n v="0"/>
    <n v="12712048"/>
    <n v="0"/>
  </r>
  <r>
    <s v="Retail"/>
    <s v="Q071 - Neiva - Centro"/>
    <x v="10"/>
    <s v="septiembre"/>
    <n v="27"/>
    <d v="2026-09-27T00:00:00"/>
    <n v="1075240964"/>
    <s v="CASTAÑEDA PAVÓN DIANA CRISTINA"/>
    <n v="12"/>
    <n v="0"/>
    <n v="516261"/>
  </r>
  <r>
    <s v="Retail"/>
    <s v="Q071 - Neiva - Centro"/>
    <x v="10"/>
    <s v="septiembre"/>
    <n v="27"/>
    <d v="2026-09-27T00:00:00"/>
    <n v="1075295484"/>
    <s v="ALDANA VARGAS LEYDY ADRIANA"/>
    <n v="9"/>
    <n v="0"/>
    <n v="375632"/>
  </r>
  <r>
    <s v="Retail"/>
    <s v="Q071 - Neiva - Centro"/>
    <x v="10"/>
    <s v="septiembre"/>
    <n v="28"/>
    <d v="2026-09-28T00:00:00"/>
    <m/>
    <m/>
    <n v="0"/>
    <n v="7157449"/>
    <n v="0"/>
  </r>
  <r>
    <s v="Retail"/>
    <s v="Q071 - Neiva - Centro"/>
    <x v="10"/>
    <s v="septiembre"/>
    <n v="28"/>
    <d v="2026-09-28T00:00:00"/>
    <n v="1075240964"/>
    <s v="CASTAÑEDA PAVÓN DIANA CRISTINA"/>
    <n v="48"/>
    <n v="0"/>
    <n v="2668071"/>
  </r>
  <r>
    <s v="Retail"/>
    <s v="Q071 - Neiva - Centro"/>
    <x v="10"/>
    <s v="septiembre"/>
    <n v="28"/>
    <d v="2026-09-28T00:00:00"/>
    <n v="1075295484"/>
    <s v="ALDANA VARGAS LEYDY ADRIANA"/>
    <n v="65"/>
    <n v="0"/>
    <n v="3524415"/>
  </r>
  <r>
    <s v="Retail"/>
    <s v="Q071 - Neiva - Centro"/>
    <x v="10"/>
    <s v="septiembre"/>
    <n v="28"/>
    <d v="2026-09-28T00:00:00"/>
    <n v="1075303153"/>
    <s v="ROMERO CRUZ MARIA PAULA"/>
    <n v="2"/>
    <n v="0"/>
    <n v="142774"/>
  </r>
  <r>
    <s v="Retail"/>
    <s v="Q071 - Neiva - Centro"/>
    <x v="10"/>
    <s v="septiembre"/>
    <n v="28"/>
    <d v="2026-09-28T00:00:00"/>
    <n v="1079409046"/>
    <s v="PERDOMO SAENZ CLAUDIA LILIANA"/>
    <n v="1"/>
    <n v="0"/>
    <n v="41975"/>
  </r>
  <r>
    <s v="Retail"/>
    <s v="Q071 - Neiva - Centro"/>
    <x v="10"/>
    <s v="septiembre"/>
    <n v="29"/>
    <d v="2026-09-29T00:00:00"/>
    <m/>
    <m/>
    <n v="0"/>
    <n v="7312043"/>
    <n v="0"/>
  </r>
  <r>
    <s v="Retail"/>
    <s v="Q071 - Neiva - Centro"/>
    <x v="10"/>
    <s v="septiembre"/>
    <n v="29"/>
    <d v="2026-09-29T00:00:00"/>
    <n v="1075240964"/>
    <s v="CASTAÑEDA PAVÓN DIANA CRISTINA"/>
    <n v="44"/>
    <n v="0"/>
    <n v="2388869"/>
  </r>
  <r>
    <s v="Retail"/>
    <s v="Q071 - Neiva - Centro"/>
    <x v="10"/>
    <s v="septiembre"/>
    <n v="29"/>
    <d v="2026-09-29T00:00:00"/>
    <n v="1075295484"/>
    <s v="ALDANA VARGAS LEYDY ADRIANA"/>
    <n v="52"/>
    <n v="0"/>
    <n v="3106978"/>
  </r>
  <r>
    <s v="Retail"/>
    <s v="Q071 - Neiva - Centro"/>
    <x v="10"/>
    <s v="septiembre"/>
    <n v="29"/>
    <d v="2026-09-29T00:00:00"/>
    <n v="1075303153"/>
    <s v="ROMERO CRUZ MARIA PAULA"/>
    <n v="3"/>
    <n v="0"/>
    <n v="167941"/>
  </r>
  <r>
    <s v="Retail"/>
    <s v="Q071 - Neiva - Centro"/>
    <x v="10"/>
    <s v="septiembre"/>
    <n v="29"/>
    <d v="2026-09-29T00:00:00"/>
    <n v="1079409046"/>
    <s v="PERDOMO SAENZ CLAUDIA LILIANA"/>
    <n v="4"/>
    <n v="0"/>
    <n v="218319"/>
  </r>
  <r>
    <s v="Retail"/>
    <s v="Q071 - Neiva - Centro"/>
    <x v="10"/>
    <s v="septiembre"/>
    <n v="30"/>
    <d v="2026-09-30T00:00:00"/>
    <m/>
    <m/>
    <n v="0"/>
    <n v="7720050"/>
    <n v="0"/>
  </r>
  <r>
    <s v="Retail"/>
    <s v="Q071 - Neiva - Centro"/>
    <x v="10"/>
    <s v="septiembre"/>
    <n v="30"/>
    <d v="2026-09-30T00:00:00"/>
    <n v="1075240964"/>
    <s v="CASTAÑEDA PAVÓN DIANA CRISTINA"/>
    <n v="52"/>
    <n v="0"/>
    <n v="2730968"/>
  </r>
  <r>
    <s v="Retail"/>
    <s v="Q071 - Neiva - Centro"/>
    <x v="10"/>
    <s v="septiembre"/>
    <n v="30"/>
    <d v="2026-09-30T00:00:00"/>
    <n v="1075295484"/>
    <s v="ALDANA VARGAS LEYDY ADRIANA"/>
    <n v="108"/>
    <n v="0"/>
    <n v="5856773"/>
  </r>
  <r>
    <s v="Retail"/>
    <s v="Q071 - Neiva - Centro"/>
    <x v="10"/>
    <s v="septiembre"/>
    <n v="30"/>
    <d v="2026-09-30T00:00:00"/>
    <n v="1075303153"/>
    <s v="ROMERO CRUZ MARIA PAULA"/>
    <n v="14"/>
    <n v="0"/>
    <n v="717858"/>
  </r>
  <r>
    <s v="Retail"/>
    <s v="Q071 - Neiva - Centro"/>
    <x v="10"/>
    <s v="septiembre"/>
    <n v="30"/>
    <d v="2026-09-30T00:00:00"/>
    <n v="1079409046"/>
    <s v="PERDOMO SAENZ CLAUDIA LILIANA"/>
    <n v="13"/>
    <n v="0"/>
    <n v="663320"/>
  </r>
  <r>
    <s v="Retail"/>
    <s v="Q071 - Neiva - Centro"/>
    <x v="10"/>
    <s v="octubre"/>
    <n v="1"/>
    <d v="2026-10-01T00:00:00"/>
    <m/>
    <m/>
    <n v="0"/>
    <n v="11987352"/>
    <n v="0"/>
  </r>
  <r>
    <s v="Retail"/>
    <s v="Q071 - Neiva - Centro"/>
    <x v="10"/>
    <s v="octubre"/>
    <n v="1"/>
    <d v="2026-10-01T00:00:00"/>
    <n v="1075240964"/>
    <s v="CASTAÑEDA PAVÓN DIANA CRISTINA"/>
    <n v="39"/>
    <n v="0"/>
    <n v="1865929"/>
  </r>
  <r>
    <s v="Retail"/>
    <s v="Q071 - Neiva - Centro"/>
    <x v="10"/>
    <s v="octubre"/>
    <n v="1"/>
    <d v="2026-10-01T00:00:00"/>
    <n v="1075295484"/>
    <s v="ALDANA VARGAS LEYDY ADRIANA"/>
    <n v="51"/>
    <n v="0"/>
    <n v="2369711"/>
  </r>
  <r>
    <s v="Retail"/>
    <s v="Q071 - Neiva - Centro"/>
    <x v="10"/>
    <s v="octubre"/>
    <n v="1"/>
    <d v="2026-10-01T00:00:00"/>
    <n v="1075303153"/>
    <s v="ROMERO CRUZ MARIA PAULA"/>
    <n v="7"/>
    <n v="0"/>
    <n v="440885"/>
  </r>
  <r>
    <s v="Retail"/>
    <s v="Q071 - Neiva - Centro"/>
    <x v="10"/>
    <s v="octubre"/>
    <n v="1"/>
    <d v="2026-10-01T00:00:00"/>
    <n v="1079409046"/>
    <s v="PERDOMO SAENZ CLAUDIA LILIANA"/>
    <n v="10"/>
    <n v="0"/>
    <n v="528993"/>
  </r>
  <r>
    <s v="Retail"/>
    <s v="Q071 - Neiva - Centro"/>
    <x v="10"/>
    <s v="octubre"/>
    <n v="2"/>
    <d v="2026-10-02T00:00:00"/>
    <m/>
    <m/>
    <n v="0"/>
    <n v="8953433"/>
    <n v="0"/>
  </r>
  <r>
    <s v="Retail"/>
    <s v="Q071 - Neiva - Centro"/>
    <x v="10"/>
    <s v="octubre"/>
    <n v="2"/>
    <d v="2026-10-02T00:00:00"/>
    <n v="1075240964"/>
    <s v="CASTAÑEDA PAVÓN DIANA CRISTINA"/>
    <n v="71"/>
    <n v="0"/>
    <n v="4114160"/>
  </r>
  <r>
    <s v="Retail"/>
    <s v="Q071 - Neiva - Centro"/>
    <x v="10"/>
    <s v="octubre"/>
    <n v="2"/>
    <d v="2026-10-02T00:00:00"/>
    <n v="1075295484"/>
    <s v="ALDANA VARGAS LEYDY ADRIANA"/>
    <n v="54"/>
    <n v="0"/>
    <n v="2768620"/>
  </r>
  <r>
    <s v="Retail"/>
    <s v="Q071 - Neiva - Centro"/>
    <x v="10"/>
    <s v="octubre"/>
    <n v="2"/>
    <d v="2026-10-02T00:00:00"/>
    <n v="1075303153"/>
    <s v="ROMERO CRUZ MARIA PAULA"/>
    <n v="13"/>
    <n v="0"/>
    <n v="671682"/>
  </r>
  <r>
    <s v="Retail"/>
    <s v="Q071 - Neiva - Centro"/>
    <x v="10"/>
    <s v="octubre"/>
    <n v="2"/>
    <d v="2026-10-02T00:00:00"/>
    <n v="1079409046"/>
    <s v="PERDOMO SAENZ CLAUDIA LILIANA"/>
    <n v="15"/>
    <n v="0"/>
    <n v="774580"/>
  </r>
  <r>
    <s v="Retail"/>
    <s v="Q071 - Neiva - Centro"/>
    <x v="10"/>
    <s v="octubre"/>
    <n v="3"/>
    <d v="2026-10-03T00:00:00"/>
    <m/>
    <m/>
    <n v="0"/>
    <n v="10795839"/>
    <n v="0"/>
  </r>
  <r>
    <s v="Retail"/>
    <s v="Q071 - Neiva - Centro"/>
    <x v="10"/>
    <s v="octubre"/>
    <n v="3"/>
    <d v="2026-10-03T00:00:00"/>
    <n v="1075240964"/>
    <s v="CASTAÑEDA PAVÓN DIANA CRISTINA"/>
    <n v="74"/>
    <n v="0"/>
    <n v="3615485"/>
  </r>
  <r>
    <s v="Retail"/>
    <s v="Q071 - Neiva - Centro"/>
    <x v="10"/>
    <s v="octubre"/>
    <n v="3"/>
    <d v="2026-10-03T00:00:00"/>
    <n v="1075295484"/>
    <s v="ALDANA VARGAS LEYDY ADRIANA"/>
    <n v="81"/>
    <n v="0"/>
    <n v="3971937"/>
  </r>
  <r>
    <s v="Retail"/>
    <s v="Q071 - Neiva - Centro"/>
    <x v="10"/>
    <s v="octubre"/>
    <n v="3"/>
    <d v="2026-10-03T00:00:00"/>
    <n v="1075303153"/>
    <s v="ROMERO CRUZ MARIA PAULA"/>
    <n v="33"/>
    <n v="0"/>
    <n v="1859910"/>
  </r>
  <r>
    <s v="Retail"/>
    <s v="Q071 - Neiva - Centro"/>
    <x v="10"/>
    <s v="octubre"/>
    <n v="3"/>
    <d v="2026-10-03T00:00:00"/>
    <n v="1079409046"/>
    <s v="PERDOMO SAENZ CLAUDIA LILIANA"/>
    <n v="16"/>
    <n v="0"/>
    <n v="891833"/>
  </r>
  <r>
    <s v="Retail"/>
    <s v="Q071 - Neiva - Centro"/>
    <x v="10"/>
    <s v="octubre"/>
    <n v="4"/>
    <d v="2026-10-04T00:00:00"/>
    <m/>
    <m/>
    <n v="0"/>
    <n v="1045283"/>
    <n v="0"/>
  </r>
  <r>
    <s v="Retail"/>
    <s v="Q071 - Neiva - Centro"/>
    <x v="10"/>
    <s v="octubre"/>
    <n v="4"/>
    <d v="2026-10-04T00:00:00"/>
    <n v="1075240964"/>
    <s v="CASTAÑEDA PAVÓN DIANA CRISTINA"/>
    <n v="34"/>
    <n v="0"/>
    <n v="2006977"/>
  </r>
  <r>
    <s v="Retail"/>
    <s v="Q071 - Neiva - Centro"/>
    <x v="10"/>
    <s v="octubre"/>
    <n v="4"/>
    <d v="2026-10-04T00:00:00"/>
    <n v="1075295484"/>
    <s v="ALDANA VARGAS LEYDY ADRIANA"/>
    <n v="20"/>
    <n v="0"/>
    <n v="1360463"/>
  </r>
  <r>
    <s v="Retail"/>
    <s v="Q071 - Neiva - Centro"/>
    <x v="10"/>
    <s v="octubre"/>
    <n v="4"/>
    <d v="2026-10-04T00:00:00"/>
    <n v="1075303153"/>
    <s v="ROMERO CRUZ MARIA PAULA"/>
    <n v="14"/>
    <n v="0"/>
    <n v="827058"/>
  </r>
  <r>
    <s v="Retail"/>
    <s v="Q071 - Neiva - Centro"/>
    <x v="10"/>
    <s v="octubre"/>
    <n v="4"/>
    <d v="2026-10-04T00:00:00"/>
    <n v="1079409046"/>
    <s v="PERDOMO SAENZ CLAUDIA LILIANA"/>
    <n v="6"/>
    <n v="0"/>
    <n v="365252"/>
  </r>
  <r>
    <s v="Retail"/>
    <s v="Q071 - Neiva - Centro"/>
    <x v="10"/>
    <s v="octubre"/>
    <n v="5"/>
    <d v="2026-10-05T00:00:00"/>
    <m/>
    <m/>
    <n v="0"/>
    <n v="4476854"/>
    <n v="0"/>
  </r>
  <r>
    <s v="Retail"/>
    <s v="Q071 - Neiva - Centro"/>
    <x v="10"/>
    <s v="octubre"/>
    <n v="5"/>
    <d v="2026-10-05T00:00:00"/>
    <n v="1075240964"/>
    <s v="CASTAÑEDA PAVÓN DIANA CRISTINA"/>
    <n v="14"/>
    <n v="0"/>
    <n v="845967"/>
  </r>
  <r>
    <s v="Retail"/>
    <s v="Q071 - Neiva - Centro"/>
    <x v="10"/>
    <s v="octubre"/>
    <n v="5"/>
    <d v="2026-10-05T00:00:00"/>
    <n v="1075295484"/>
    <s v="ALDANA VARGAS LEYDY ADRIANA"/>
    <n v="29"/>
    <n v="0"/>
    <n v="1639500"/>
  </r>
  <r>
    <s v="Retail"/>
    <s v="Q071 - Neiva - Centro"/>
    <x v="10"/>
    <s v="octubre"/>
    <n v="5"/>
    <d v="2026-10-05T00:00:00"/>
    <n v="1075303153"/>
    <s v="ROMERO CRUZ MARIA PAULA"/>
    <n v="8"/>
    <n v="0"/>
    <n v="499622"/>
  </r>
  <r>
    <s v="Retail"/>
    <s v="Q071 - Neiva - Centro"/>
    <x v="10"/>
    <s v="octubre"/>
    <n v="5"/>
    <d v="2026-10-05T00:00:00"/>
    <n v="1079409046"/>
    <s v="PERDOMO SAENZ CLAUDIA LILIANA"/>
    <n v="12"/>
    <n v="0"/>
    <n v="596136"/>
  </r>
  <r>
    <s v="Retail"/>
    <s v="Q071 - Neiva - Centro"/>
    <x v="10"/>
    <s v="octubre"/>
    <n v="6"/>
    <d v="2026-10-06T00:00:00"/>
    <m/>
    <m/>
    <n v="0"/>
    <n v="4439732"/>
    <n v="0"/>
  </r>
  <r>
    <s v="Retail"/>
    <s v="Q071 - Neiva - Centro"/>
    <x v="10"/>
    <s v="octubre"/>
    <n v="6"/>
    <d v="2026-10-06T00:00:00"/>
    <n v="1075240964"/>
    <s v="CASTAÑEDA PAVÓN DIANA CRISTINA"/>
    <n v="13"/>
    <n v="0"/>
    <n v="755801"/>
  </r>
  <r>
    <s v="Retail"/>
    <s v="Q071 - Neiva - Centro"/>
    <x v="10"/>
    <s v="octubre"/>
    <n v="6"/>
    <d v="2026-10-06T00:00:00"/>
    <n v="1075295484"/>
    <s v="ALDANA VARGAS LEYDY ADRIANA"/>
    <n v="16"/>
    <n v="0"/>
    <n v="767983"/>
  </r>
  <r>
    <s v="Retail"/>
    <s v="Q071 - Neiva - Centro"/>
    <x v="10"/>
    <s v="octubre"/>
    <n v="6"/>
    <d v="2026-10-06T00:00:00"/>
    <n v="1075303153"/>
    <s v="ROMERO CRUZ MARIA PAULA"/>
    <n v="4"/>
    <n v="0"/>
    <n v="184707"/>
  </r>
  <r>
    <s v="Retail"/>
    <s v="Q071 - Neiva - Centro"/>
    <x v="10"/>
    <s v="octubre"/>
    <n v="6"/>
    <d v="2026-10-06T00:00:00"/>
    <n v="1079409046"/>
    <s v="PERDOMO SAENZ CLAUDIA LILIANA"/>
    <n v="8"/>
    <n v="0"/>
    <n v="398825"/>
  </r>
  <r>
    <s v="Retail"/>
    <s v="Q071 - Neiva - Centro"/>
    <x v="10"/>
    <s v="octubre"/>
    <n v="7"/>
    <d v="2026-10-07T00:00:00"/>
    <m/>
    <m/>
    <n v="0"/>
    <n v="4381314"/>
    <n v="0"/>
  </r>
  <r>
    <s v="Retail"/>
    <s v="Q071 - Neiva - Centro"/>
    <x v="10"/>
    <s v="octubre"/>
    <n v="7"/>
    <d v="2026-10-07T00:00:00"/>
    <n v="1075240964"/>
    <s v="CASTAÑEDA PAVÓN DIANA CRISTINA"/>
    <n v="16"/>
    <n v="0"/>
    <n v="881641"/>
  </r>
  <r>
    <s v="Retail"/>
    <s v="Q071 - Neiva - Centro"/>
    <x v="10"/>
    <s v="octubre"/>
    <n v="7"/>
    <d v="2026-10-07T00:00:00"/>
    <n v="1075284277"/>
    <s v="CASTILLO BOCANEGRA JUAN DAVID"/>
    <n v="-1"/>
    <n v="0"/>
    <n v="-37773"/>
  </r>
  <r>
    <s v="Retail"/>
    <s v="Q071 - Neiva - Centro"/>
    <x v="10"/>
    <s v="octubre"/>
    <n v="7"/>
    <d v="2026-10-07T00:00:00"/>
    <n v="1075295484"/>
    <s v="ALDANA VARGAS LEYDY ADRIANA"/>
    <n v="25"/>
    <n v="0"/>
    <n v="1332943"/>
  </r>
  <r>
    <s v="Retail"/>
    <s v="Q071 - Neiva - Centro"/>
    <x v="10"/>
    <s v="octubre"/>
    <n v="7"/>
    <d v="2026-10-07T00:00:00"/>
    <n v="1075303153"/>
    <s v="ROMERO CRUZ MARIA PAULA"/>
    <n v="1"/>
    <n v="0"/>
    <n v="79790"/>
  </r>
  <r>
    <s v="Retail"/>
    <s v="Q071 - Neiva - Centro"/>
    <x v="10"/>
    <s v="octubre"/>
    <n v="7"/>
    <d v="2026-10-07T00:00:00"/>
    <n v="1079409046"/>
    <s v="PERDOMO SAENZ CLAUDIA LILIANA"/>
    <n v="5"/>
    <n v="0"/>
    <n v="302311"/>
  </r>
  <r>
    <s v="Retail"/>
    <s v="Q077 - Florencia - Cc Gran Plaza"/>
    <x v="10"/>
    <s v="septiembre"/>
    <n v="23"/>
    <d v="2026-09-23T00:00:00"/>
    <m/>
    <m/>
    <n v="0"/>
    <n v="16069344"/>
    <n v="0"/>
  </r>
  <r>
    <s v="Retail"/>
    <s v="Q077 - Florencia - Cc Gran Plaza"/>
    <x v="10"/>
    <s v="septiembre"/>
    <n v="23"/>
    <d v="2026-09-23T00:00:00"/>
    <n v="1006507172"/>
    <s v="MOTTA SIERRA DAYANA"/>
    <n v="64"/>
    <n v="0"/>
    <n v="3596009"/>
  </r>
  <r>
    <s v="Retail"/>
    <s v="Q077 - Florencia - Cc Gran Plaza"/>
    <x v="10"/>
    <s v="septiembre"/>
    <n v="23"/>
    <d v="2026-09-23T00:00:00"/>
    <n v="1073701531"/>
    <s v="LOZADA SICERY DUBERNEY"/>
    <n v="69"/>
    <n v="0"/>
    <n v="4032734"/>
  </r>
  <r>
    <s v="Retail"/>
    <s v="Q077 - Florencia - Cc Gran Plaza"/>
    <x v="10"/>
    <s v="septiembre"/>
    <n v="23"/>
    <d v="2026-09-23T00:00:00"/>
    <n v="1117489558"/>
    <s v="MURCIA  VALENTINA"/>
    <n v="30"/>
    <n v="0"/>
    <n v="1689919"/>
  </r>
  <r>
    <s v="Retail"/>
    <s v="Q077 - Florencia - Cc Gran Plaza"/>
    <x v="10"/>
    <s v="septiembre"/>
    <n v="23"/>
    <d v="2026-09-23T00:00:00"/>
    <n v="1117497460"/>
    <s v="GONZALEZ SANCHEZ VIVIANA"/>
    <n v="38"/>
    <n v="0"/>
    <n v="2118113"/>
  </r>
  <r>
    <s v="Retail"/>
    <s v="Q077 - Florencia - Cc Gran Plaza"/>
    <x v="10"/>
    <s v="septiembre"/>
    <n v="24"/>
    <d v="2026-09-24T00:00:00"/>
    <m/>
    <m/>
    <n v="0"/>
    <n v="24547726"/>
    <n v="0"/>
  </r>
  <r>
    <s v="Retail"/>
    <s v="Q077 - Florencia - Cc Gran Plaza"/>
    <x v="10"/>
    <s v="septiembre"/>
    <n v="24"/>
    <d v="2026-09-24T00:00:00"/>
    <n v="1006507172"/>
    <s v="MOTTA SIERRA DAYANA"/>
    <n v="136"/>
    <n v="0"/>
    <n v="7924878"/>
  </r>
  <r>
    <s v="Retail"/>
    <s v="Q077 - Florencia - Cc Gran Plaza"/>
    <x v="10"/>
    <s v="septiembre"/>
    <n v="24"/>
    <d v="2026-09-24T00:00:00"/>
    <n v="1073701531"/>
    <s v="LOZADA SICERY DUBERNEY"/>
    <n v="133"/>
    <n v="0"/>
    <n v="7653958"/>
  </r>
  <r>
    <s v="Retail"/>
    <s v="Q077 - Florencia - Cc Gran Plaza"/>
    <x v="10"/>
    <s v="septiembre"/>
    <n v="24"/>
    <d v="2026-09-24T00:00:00"/>
    <n v="1117489558"/>
    <s v="MURCIA  VALENTINA"/>
    <n v="20"/>
    <n v="0"/>
    <n v="1053782"/>
  </r>
  <r>
    <s v="Retail"/>
    <s v="Q077 - Florencia - Cc Gran Plaza"/>
    <x v="10"/>
    <s v="septiembre"/>
    <n v="24"/>
    <d v="2026-09-24T00:00:00"/>
    <n v="1117497460"/>
    <s v="GONZALEZ SANCHEZ VIVIANA"/>
    <n v="23"/>
    <n v="0"/>
    <n v="1154499"/>
  </r>
  <r>
    <s v="Retail"/>
    <s v="Q077 - Florencia - Cc Gran Plaza"/>
    <x v="10"/>
    <s v="septiembre"/>
    <n v="25"/>
    <d v="2026-09-25T00:00:00"/>
    <m/>
    <m/>
    <n v="0"/>
    <n v="24493384"/>
    <n v="0"/>
  </r>
  <r>
    <s v="Retail"/>
    <s v="Q077 - Florencia - Cc Gran Plaza"/>
    <x v="10"/>
    <s v="septiembre"/>
    <n v="25"/>
    <d v="2026-09-25T00:00:00"/>
    <n v="1006507172"/>
    <s v="MOTTA SIERRA DAYANA"/>
    <n v="150"/>
    <n v="0"/>
    <n v="8044000"/>
  </r>
  <r>
    <s v="Retail"/>
    <s v="Q077 - Florencia - Cc Gran Plaza"/>
    <x v="10"/>
    <s v="septiembre"/>
    <n v="25"/>
    <d v="2026-09-25T00:00:00"/>
    <n v="1073701531"/>
    <s v="LOZADA SICERY DUBERNEY"/>
    <n v="139"/>
    <n v="0"/>
    <n v="8042489"/>
  </r>
  <r>
    <s v="Retail"/>
    <s v="Q077 - Florencia - Cc Gran Plaza"/>
    <x v="10"/>
    <s v="septiembre"/>
    <n v="25"/>
    <d v="2026-09-25T00:00:00"/>
    <n v="1117489558"/>
    <s v="MURCIA  VALENTINA"/>
    <n v="15"/>
    <n v="0"/>
    <n v="730421"/>
  </r>
  <r>
    <s v="Retail"/>
    <s v="Q077 - Florencia - Cc Gran Plaza"/>
    <x v="10"/>
    <s v="septiembre"/>
    <n v="25"/>
    <d v="2026-09-25T00:00:00"/>
    <n v="1117497460"/>
    <s v="GONZALEZ SANCHEZ VIVIANA"/>
    <n v="20"/>
    <n v="0"/>
    <n v="1007524"/>
  </r>
  <r>
    <s v="Retail"/>
    <s v="Q077 - Florencia - Cc Gran Plaza"/>
    <x v="10"/>
    <s v="septiembre"/>
    <n v="26"/>
    <d v="2026-09-26T00:00:00"/>
    <m/>
    <m/>
    <n v="0"/>
    <n v="35200512"/>
    <n v="0"/>
  </r>
  <r>
    <s v="Retail"/>
    <s v="Q077 - Florencia - Cc Gran Plaza"/>
    <x v="10"/>
    <s v="septiembre"/>
    <n v="26"/>
    <d v="2026-09-26T00:00:00"/>
    <n v="1006507172"/>
    <s v="MOTTA SIERRA DAYANA"/>
    <n v="239"/>
    <n v="0"/>
    <n v="13783879"/>
  </r>
  <r>
    <s v="Retail"/>
    <s v="Q077 - Florencia - Cc Gran Plaza"/>
    <x v="10"/>
    <s v="septiembre"/>
    <n v="26"/>
    <d v="2026-09-26T00:00:00"/>
    <n v="1073701531"/>
    <s v="LOZADA SICERY DUBERNEY"/>
    <n v="233"/>
    <n v="0"/>
    <n v="13525853"/>
  </r>
  <r>
    <s v="Retail"/>
    <s v="Q077 - Florencia - Cc Gran Plaza"/>
    <x v="10"/>
    <s v="septiembre"/>
    <n v="26"/>
    <d v="2026-09-26T00:00:00"/>
    <n v="1117489558"/>
    <s v="MURCIA  VALENTINA"/>
    <n v="31"/>
    <n v="0"/>
    <n v="1998702"/>
  </r>
  <r>
    <s v="Retail"/>
    <s v="Q077 - Florencia - Cc Gran Plaza"/>
    <x v="10"/>
    <s v="septiembre"/>
    <n v="26"/>
    <d v="2026-09-26T00:00:00"/>
    <n v="1117497460"/>
    <s v="GONZALEZ SANCHEZ VIVIANA"/>
    <n v="37"/>
    <n v="0"/>
    <n v="2099287"/>
  </r>
  <r>
    <s v="Retail"/>
    <s v="Q077 - Florencia - Cc Gran Plaza"/>
    <x v="10"/>
    <s v="septiembre"/>
    <n v="27"/>
    <d v="2026-09-27T00:00:00"/>
    <m/>
    <m/>
    <n v="0"/>
    <n v="27885889"/>
    <n v="0"/>
  </r>
  <r>
    <s v="Retail"/>
    <s v="Q077 - Florencia - Cc Gran Plaza"/>
    <x v="10"/>
    <s v="septiembre"/>
    <n v="27"/>
    <d v="2026-09-27T00:00:00"/>
    <n v="1006507172"/>
    <s v="MOTTA SIERRA DAYANA"/>
    <n v="180"/>
    <n v="0"/>
    <n v="10088917"/>
  </r>
  <r>
    <s v="Retail"/>
    <s v="Q077 - Florencia - Cc Gran Plaza"/>
    <x v="10"/>
    <s v="septiembre"/>
    <n v="27"/>
    <d v="2026-09-27T00:00:00"/>
    <n v="1073701531"/>
    <s v="LOZADA SICERY DUBERNEY"/>
    <n v="178"/>
    <n v="0"/>
    <n v="10187783"/>
  </r>
  <r>
    <s v="Retail"/>
    <s v="Q077 - Florencia - Cc Gran Plaza"/>
    <x v="10"/>
    <s v="septiembre"/>
    <n v="27"/>
    <d v="2026-09-27T00:00:00"/>
    <n v="1117489558"/>
    <s v="MURCIA  VALENTINA"/>
    <n v="23"/>
    <n v="0"/>
    <n v="1030424"/>
  </r>
  <r>
    <s v="Retail"/>
    <s v="Q077 - Florencia - Cc Gran Plaza"/>
    <x v="10"/>
    <s v="septiembre"/>
    <n v="27"/>
    <d v="2026-09-27T00:00:00"/>
    <n v="1117497460"/>
    <s v="GONZALEZ SANCHEZ VIVIANA"/>
    <n v="23"/>
    <n v="0"/>
    <n v="1108279"/>
  </r>
  <r>
    <s v="Retail"/>
    <s v="Q077 - Florencia - Cc Gran Plaza"/>
    <x v="10"/>
    <s v="septiembre"/>
    <n v="28"/>
    <d v="2026-09-28T00:00:00"/>
    <m/>
    <m/>
    <n v="0"/>
    <n v="15347250"/>
    <n v="0"/>
  </r>
  <r>
    <s v="Retail"/>
    <s v="Q077 - Florencia - Cc Gran Plaza"/>
    <x v="10"/>
    <s v="septiembre"/>
    <n v="28"/>
    <d v="2026-09-28T00:00:00"/>
    <n v="1006507172"/>
    <s v="MOTTA SIERRA DAYANA"/>
    <n v="105"/>
    <n v="0"/>
    <n v="5554374"/>
  </r>
  <r>
    <s v="Retail"/>
    <s v="Q077 - Florencia - Cc Gran Plaza"/>
    <x v="10"/>
    <s v="septiembre"/>
    <n v="28"/>
    <d v="2026-09-28T00:00:00"/>
    <n v="1006529235"/>
    <s v="VALENCIA ALZATE MARLI  YISETH"/>
    <n v="3"/>
    <n v="0"/>
    <n v="159539"/>
  </r>
  <r>
    <s v="Retail"/>
    <s v="Q077 - Florencia - Cc Gran Plaza"/>
    <x v="10"/>
    <s v="septiembre"/>
    <n v="28"/>
    <d v="2026-09-28T00:00:00"/>
    <n v="1073701531"/>
    <s v="LOZADA SICERY DUBERNEY"/>
    <n v="64"/>
    <n v="0"/>
    <n v="3577146"/>
  </r>
  <r>
    <s v="Retail"/>
    <s v="Q077 - Florencia - Cc Gran Plaza"/>
    <x v="10"/>
    <s v="septiembre"/>
    <n v="28"/>
    <d v="2026-09-28T00:00:00"/>
    <n v="1117489558"/>
    <s v="MURCIA  VALENTINA"/>
    <n v="1"/>
    <n v="0"/>
    <n v="29370"/>
  </r>
  <r>
    <s v="Retail"/>
    <s v="Q077 - Florencia - Cc Gran Plaza"/>
    <x v="10"/>
    <s v="septiembre"/>
    <n v="28"/>
    <d v="2026-09-28T00:00:00"/>
    <n v="1117497460"/>
    <s v="GONZALEZ SANCHEZ VIVIANA"/>
    <n v="4"/>
    <n v="0"/>
    <n v="172101"/>
  </r>
  <r>
    <s v="Retail"/>
    <s v="Q077 - Florencia - Cc Gran Plaza"/>
    <x v="10"/>
    <s v="septiembre"/>
    <n v="29"/>
    <d v="2026-09-29T00:00:00"/>
    <m/>
    <m/>
    <n v="0"/>
    <n v="16393864"/>
    <n v="0"/>
  </r>
  <r>
    <s v="Retail"/>
    <s v="Q077 - Florencia - Cc Gran Plaza"/>
    <x v="10"/>
    <s v="septiembre"/>
    <n v="29"/>
    <d v="2026-09-29T00:00:00"/>
    <n v="1006507172"/>
    <s v="MOTTA SIERRA DAYANA"/>
    <n v="112"/>
    <n v="0"/>
    <n v="6436479"/>
  </r>
  <r>
    <s v="Retail"/>
    <s v="Q077 - Florencia - Cc Gran Plaza"/>
    <x v="10"/>
    <s v="septiembre"/>
    <n v="29"/>
    <d v="2026-09-29T00:00:00"/>
    <n v="1073701531"/>
    <s v="LOZADA SICERY DUBERNEY"/>
    <n v="109"/>
    <n v="0"/>
    <n v="6110897"/>
  </r>
  <r>
    <s v="Retail"/>
    <s v="Q077 - Florencia - Cc Gran Plaza"/>
    <x v="10"/>
    <s v="septiembre"/>
    <n v="30"/>
    <d v="2026-09-30T00:00:00"/>
    <m/>
    <m/>
    <n v="0"/>
    <n v="16935158"/>
    <n v="0"/>
  </r>
  <r>
    <s v="Retail"/>
    <s v="Q077 - Florencia - Cc Gran Plaza"/>
    <x v="10"/>
    <s v="septiembre"/>
    <n v="30"/>
    <d v="2026-09-30T00:00:00"/>
    <n v="1006507172"/>
    <s v="MOTTA SIERRA DAYANA"/>
    <n v="143"/>
    <n v="0"/>
    <n v="8212195"/>
  </r>
  <r>
    <s v="Retail"/>
    <s v="Q077 - Florencia - Cc Gran Plaza"/>
    <x v="10"/>
    <s v="septiembre"/>
    <n v="30"/>
    <d v="2026-09-30T00:00:00"/>
    <n v="1006529235"/>
    <s v="VALENCIA ALZATE MARLI  YISETH"/>
    <n v="19"/>
    <n v="0"/>
    <n v="969792"/>
  </r>
  <r>
    <s v="Retail"/>
    <s v="Q077 - Florencia - Cc Gran Plaza"/>
    <x v="10"/>
    <s v="septiembre"/>
    <n v="30"/>
    <d v="2026-09-30T00:00:00"/>
    <n v="1073701531"/>
    <s v="LOZADA SICERY DUBERNEY"/>
    <n v="67"/>
    <n v="0"/>
    <n v="3236473"/>
  </r>
  <r>
    <s v="Retail"/>
    <s v="Q077 - Florencia - Cc Gran Plaza"/>
    <x v="10"/>
    <s v="septiembre"/>
    <n v="30"/>
    <d v="2026-09-30T00:00:00"/>
    <n v="1117489558"/>
    <s v="MURCIA  VALENTINA"/>
    <n v="7"/>
    <n v="0"/>
    <n v="377858"/>
  </r>
  <r>
    <s v="Retail"/>
    <s v="Q077 - Florencia - Cc Gran Plaza"/>
    <x v="10"/>
    <s v="octubre"/>
    <n v="1"/>
    <d v="2026-10-01T00:00:00"/>
    <m/>
    <m/>
    <n v="0"/>
    <n v="21735170"/>
    <n v="0"/>
  </r>
  <r>
    <s v="Retail"/>
    <s v="Q077 - Florencia - Cc Gran Plaza"/>
    <x v="10"/>
    <s v="octubre"/>
    <n v="1"/>
    <d v="2026-10-01T00:00:00"/>
    <n v="1006507172"/>
    <s v="MOTTA SIERRA DAYANA"/>
    <n v="119"/>
    <n v="0"/>
    <n v="7230475"/>
  </r>
  <r>
    <s v="Retail"/>
    <s v="Q077 - Florencia - Cc Gran Plaza"/>
    <x v="10"/>
    <s v="octubre"/>
    <n v="1"/>
    <d v="2026-10-01T00:00:00"/>
    <n v="1073701531"/>
    <s v="LOZADA SICERY DUBERNEY"/>
    <n v="117"/>
    <n v="0"/>
    <n v="6839583"/>
  </r>
  <r>
    <s v="Retail"/>
    <s v="Q077 - Florencia - Cc Gran Plaza"/>
    <x v="10"/>
    <s v="octubre"/>
    <n v="1"/>
    <d v="2026-10-01T00:00:00"/>
    <n v="1117489558"/>
    <s v="MURCIA  VALENTINA"/>
    <n v="8"/>
    <n v="0"/>
    <n v="436598"/>
  </r>
  <r>
    <s v="Retail"/>
    <s v="Q077 - Florencia - Cc Gran Plaza"/>
    <x v="10"/>
    <s v="octubre"/>
    <n v="1"/>
    <d v="2026-10-01T00:00:00"/>
    <n v="1117497460"/>
    <s v="GONZALEZ SANCHEZ VIVIANA"/>
    <n v="7"/>
    <n v="0"/>
    <n v="344245"/>
  </r>
  <r>
    <s v="Retail"/>
    <s v="Q077 - Florencia - Cc Gran Plaza"/>
    <x v="10"/>
    <s v="octubre"/>
    <n v="2"/>
    <d v="2026-10-02T00:00:00"/>
    <m/>
    <m/>
    <n v="0"/>
    <n v="15932028"/>
    <n v="0"/>
  </r>
  <r>
    <s v="Retail"/>
    <s v="Q077 - Florencia - Cc Gran Plaza"/>
    <x v="10"/>
    <s v="octubre"/>
    <n v="2"/>
    <d v="2026-10-02T00:00:00"/>
    <n v="1006507172"/>
    <s v="MOTTA SIERRA DAYANA"/>
    <n v="145"/>
    <n v="0"/>
    <n v="8586185"/>
  </r>
  <r>
    <s v="Retail"/>
    <s v="Q077 - Florencia - Cc Gran Plaza"/>
    <x v="10"/>
    <s v="octubre"/>
    <n v="2"/>
    <d v="2026-10-02T00:00:00"/>
    <n v="1006529235"/>
    <s v="VALENCIA ALZATE MARLI  YISETH"/>
    <n v="2"/>
    <n v="0"/>
    <n v="62899"/>
  </r>
  <r>
    <s v="Retail"/>
    <s v="Q077 - Florencia - Cc Gran Plaza"/>
    <x v="10"/>
    <s v="octubre"/>
    <n v="2"/>
    <d v="2026-10-02T00:00:00"/>
    <n v="1073701531"/>
    <s v="LOZADA SICERY DUBERNEY"/>
    <n v="149"/>
    <n v="0"/>
    <n v="8737148"/>
  </r>
  <r>
    <s v="Retail"/>
    <s v="Q077 - Florencia - Cc Gran Plaza"/>
    <x v="10"/>
    <s v="octubre"/>
    <n v="2"/>
    <d v="2026-10-02T00:00:00"/>
    <n v="1117489558"/>
    <s v="MURCIA  VALENTINA"/>
    <n v="2"/>
    <n v="0"/>
    <n v="210000"/>
  </r>
  <r>
    <s v="Retail"/>
    <s v="Q077 - Florencia - Cc Gran Plaza"/>
    <x v="10"/>
    <s v="octubre"/>
    <n v="2"/>
    <d v="2026-10-02T00:00:00"/>
    <n v="1117497460"/>
    <s v="GONZALEZ SANCHEZ VIVIANA"/>
    <n v="3"/>
    <n v="0"/>
    <n v="104916"/>
  </r>
  <r>
    <s v="Retail"/>
    <s v="Q077 - Florencia - Cc Gran Plaza"/>
    <x v="10"/>
    <s v="octubre"/>
    <n v="3"/>
    <d v="2026-10-03T00:00:00"/>
    <m/>
    <m/>
    <n v="0"/>
    <n v="12992814"/>
    <n v="0"/>
  </r>
  <r>
    <s v="Retail"/>
    <s v="Q077 - Florencia - Cc Gran Plaza"/>
    <x v="10"/>
    <s v="octubre"/>
    <n v="3"/>
    <d v="2026-10-03T00:00:00"/>
    <n v="1006507172"/>
    <s v="MOTTA SIERRA DAYANA"/>
    <n v="166"/>
    <n v="0"/>
    <n v="8673050"/>
  </r>
  <r>
    <s v="Retail"/>
    <s v="Q077 - Florencia - Cc Gran Plaza"/>
    <x v="10"/>
    <s v="octubre"/>
    <n v="3"/>
    <d v="2026-10-03T00:00:00"/>
    <n v="1006529235"/>
    <s v="VALENCIA ALZATE MARLI  YISETH"/>
    <n v="5"/>
    <n v="0"/>
    <n v="350219"/>
  </r>
  <r>
    <s v="Retail"/>
    <s v="Q077 - Florencia - Cc Gran Plaza"/>
    <x v="10"/>
    <s v="octubre"/>
    <n v="3"/>
    <d v="2026-10-03T00:00:00"/>
    <n v="1073701531"/>
    <s v="LOZADA SICERY DUBERNEY"/>
    <n v="166"/>
    <n v="0"/>
    <n v="8789954"/>
  </r>
  <r>
    <s v="Retail"/>
    <s v="Q077 - Florencia - Cc Gran Plaza"/>
    <x v="10"/>
    <s v="octubre"/>
    <n v="3"/>
    <d v="2026-10-03T00:00:00"/>
    <n v="1117489558"/>
    <s v="MURCIA  VALENTINA"/>
    <n v="9"/>
    <n v="0"/>
    <n v="434950"/>
  </r>
  <r>
    <s v="Retail"/>
    <s v="Q077 - Florencia - Cc Gran Plaza"/>
    <x v="10"/>
    <s v="octubre"/>
    <n v="3"/>
    <d v="2026-10-03T00:00:00"/>
    <n v="1117497460"/>
    <s v="GONZALEZ SANCHEZ VIVIANA"/>
    <n v="6"/>
    <n v="0"/>
    <n v="390538"/>
  </r>
  <r>
    <s v="Retail"/>
    <s v="Q077 - Florencia - Cc Gran Plaza"/>
    <x v="10"/>
    <s v="octubre"/>
    <n v="4"/>
    <d v="2026-10-04T00:00:00"/>
    <m/>
    <m/>
    <n v="0"/>
    <n v="8534468"/>
    <n v="0"/>
  </r>
  <r>
    <s v="Retail"/>
    <s v="Q077 - Florencia - Cc Gran Plaza"/>
    <x v="10"/>
    <s v="octubre"/>
    <n v="4"/>
    <d v="2026-10-04T00:00:00"/>
    <n v="1006507172"/>
    <s v="MOTTA SIERRA DAYANA"/>
    <n v="137"/>
    <n v="0"/>
    <n v="7548376"/>
  </r>
  <r>
    <s v="Retail"/>
    <s v="Q077 - Florencia - Cc Gran Plaza"/>
    <x v="10"/>
    <s v="octubre"/>
    <n v="4"/>
    <d v="2026-10-04T00:00:00"/>
    <n v="1006529235"/>
    <s v="VALENCIA ALZATE MARLI  YISETH"/>
    <n v="3"/>
    <n v="0"/>
    <n v="155336"/>
  </r>
  <r>
    <s v="Retail"/>
    <s v="Q077 - Florencia - Cc Gran Plaza"/>
    <x v="10"/>
    <s v="octubre"/>
    <n v="4"/>
    <d v="2026-10-04T00:00:00"/>
    <n v="1073701531"/>
    <s v="LOZADA SICERY DUBERNEY"/>
    <n v="129"/>
    <n v="0"/>
    <n v="7432517"/>
  </r>
  <r>
    <s v="Retail"/>
    <s v="Q077 - Florencia - Cc Gran Plaza"/>
    <x v="10"/>
    <s v="octubre"/>
    <n v="4"/>
    <d v="2026-10-04T00:00:00"/>
    <n v="1117489558"/>
    <s v="MURCIA  VALENTINA"/>
    <n v="11"/>
    <n v="0"/>
    <n v="625589"/>
  </r>
  <r>
    <s v="Retail"/>
    <s v="Q077 - Florencia - Cc Gran Plaza"/>
    <x v="10"/>
    <s v="octubre"/>
    <n v="4"/>
    <d v="2026-10-04T00:00:00"/>
    <n v="1117497460"/>
    <s v="GONZALEZ SANCHEZ VIVIANA"/>
    <n v="8"/>
    <n v="0"/>
    <n v="344203"/>
  </r>
  <r>
    <s v="Retail"/>
    <s v="Q077 - Florencia - Cc Gran Plaza"/>
    <x v="10"/>
    <s v="octubre"/>
    <n v="5"/>
    <d v="2026-10-05T00:00:00"/>
    <m/>
    <m/>
    <n v="0"/>
    <n v="3028855"/>
    <n v="0"/>
  </r>
  <r>
    <s v="Retail"/>
    <s v="Q077 - Florencia - Cc Gran Plaza"/>
    <x v="10"/>
    <s v="octubre"/>
    <n v="5"/>
    <d v="2026-10-05T00:00:00"/>
    <n v="1006507172"/>
    <s v="MOTTA SIERRA DAYANA"/>
    <n v="65"/>
    <n v="0"/>
    <n v="3505383"/>
  </r>
  <r>
    <s v="Retail"/>
    <s v="Q077 - Florencia - Cc Gran Plaza"/>
    <x v="10"/>
    <s v="octubre"/>
    <n v="5"/>
    <d v="2026-10-05T00:00:00"/>
    <n v="1006529235"/>
    <s v="VALENCIA ALZATE MARLI  YISETH"/>
    <n v="9"/>
    <n v="0"/>
    <n v="524832"/>
  </r>
  <r>
    <s v="Retail"/>
    <s v="Q077 - Florencia - Cc Gran Plaza"/>
    <x v="10"/>
    <s v="octubre"/>
    <n v="5"/>
    <d v="2026-10-05T00:00:00"/>
    <n v="1073701531"/>
    <s v="LOZADA SICERY DUBERNEY"/>
    <n v="57"/>
    <n v="0"/>
    <n v="3271884"/>
  </r>
  <r>
    <s v="Retail"/>
    <s v="Q077 - Florencia - Cc Gran Plaza"/>
    <x v="10"/>
    <s v="octubre"/>
    <n v="5"/>
    <d v="2026-10-05T00:00:00"/>
    <n v="1117489558"/>
    <s v="MURCIA  VALENTINA"/>
    <n v="13"/>
    <n v="0"/>
    <n v="751513"/>
  </r>
  <r>
    <s v="Retail"/>
    <s v="Q077 - Florencia - Cc Gran Plaza"/>
    <x v="10"/>
    <s v="octubre"/>
    <n v="5"/>
    <d v="2026-10-05T00:00:00"/>
    <n v="1117497460"/>
    <s v="GONZALEZ SANCHEZ VIVIANA"/>
    <n v="9"/>
    <n v="0"/>
    <n v="474413"/>
  </r>
  <r>
    <s v="Retail"/>
    <s v="Q077 - Florencia - Cc Gran Plaza"/>
    <x v="10"/>
    <s v="octubre"/>
    <n v="6"/>
    <d v="2026-10-06T00:00:00"/>
    <m/>
    <m/>
    <n v="0"/>
    <n v="6147741"/>
    <n v="0"/>
  </r>
  <r>
    <s v="Retail"/>
    <s v="Q077 - Florencia - Cc Gran Plaza"/>
    <x v="10"/>
    <s v="octubre"/>
    <n v="6"/>
    <d v="2026-10-06T00:00:00"/>
    <n v="1006507172"/>
    <s v="MOTTA SIERRA DAYANA"/>
    <n v="53"/>
    <n v="0"/>
    <n v="2898953"/>
  </r>
  <r>
    <s v="Retail"/>
    <s v="Q077 - Florencia - Cc Gran Plaza"/>
    <x v="10"/>
    <s v="octubre"/>
    <n v="6"/>
    <d v="2026-10-06T00:00:00"/>
    <n v="1073701531"/>
    <s v="LOZADA SICERY DUBERNEY"/>
    <n v="49"/>
    <n v="0"/>
    <n v="2897022"/>
  </r>
  <r>
    <s v="Retail"/>
    <s v="Q077 - Florencia - Cc Gran Plaza"/>
    <x v="10"/>
    <s v="octubre"/>
    <n v="6"/>
    <d v="2026-10-06T00:00:00"/>
    <n v="1117489558"/>
    <s v="MURCIA  VALENTINA"/>
    <n v="4"/>
    <n v="0"/>
    <n v="155336"/>
  </r>
  <r>
    <s v="Retail"/>
    <s v="Q077 - Florencia - Cc Gran Plaza"/>
    <x v="10"/>
    <s v="octubre"/>
    <n v="6"/>
    <d v="2026-10-06T00:00:00"/>
    <n v="1117497460"/>
    <s v="GONZALEZ SANCHEZ VIVIANA"/>
    <n v="1"/>
    <n v="0"/>
    <n v="67185"/>
  </r>
  <r>
    <s v="Retail"/>
    <s v="Q077 - Florencia - Cc Gran Plaza"/>
    <x v="10"/>
    <s v="octubre"/>
    <n v="7"/>
    <d v="2026-10-07T00:00:00"/>
    <m/>
    <m/>
    <n v="0"/>
    <n v="6066851"/>
    <n v="0"/>
  </r>
  <r>
    <s v="Retail"/>
    <s v="Q077 - Florencia - Cc Gran Plaza"/>
    <x v="10"/>
    <s v="octubre"/>
    <n v="7"/>
    <d v="2026-10-07T00:00:00"/>
    <n v="1006507172"/>
    <s v="MOTTA SIERRA DAYANA"/>
    <n v="46"/>
    <n v="0"/>
    <n v="2579962"/>
  </r>
  <r>
    <s v="Retail"/>
    <s v="Q077 - Florencia - Cc Gran Plaza"/>
    <x v="10"/>
    <s v="octubre"/>
    <n v="7"/>
    <d v="2026-10-07T00:00:00"/>
    <n v="1006529235"/>
    <s v="VALENCIA ALZATE MARLI  YISETH"/>
    <n v="2"/>
    <n v="0"/>
    <n v="92353"/>
  </r>
  <r>
    <s v="Retail"/>
    <s v="Q077 - Florencia - Cc Gran Plaza"/>
    <x v="10"/>
    <s v="octubre"/>
    <n v="7"/>
    <d v="2026-10-07T00:00:00"/>
    <n v="1073701531"/>
    <s v="LOZADA SICERY DUBERNEY"/>
    <n v="59"/>
    <n v="0"/>
    <n v="3442691"/>
  </r>
  <r>
    <s v="Retail"/>
    <s v="Q077 - Florencia - Cc Gran Plaza"/>
    <x v="10"/>
    <s v="octubre"/>
    <n v="7"/>
    <d v="2026-10-07T00:00:00"/>
    <n v="1117489558"/>
    <s v="MURCIA  VALENTINA"/>
    <n v="4"/>
    <n v="0"/>
    <n v="184707"/>
  </r>
  <r>
    <s v="Retail"/>
    <s v="Q077 - Florencia - Cc Gran Plaza"/>
    <x v="10"/>
    <s v="octubre"/>
    <n v="7"/>
    <d v="2026-10-07T00:00:00"/>
    <n v="1117497460"/>
    <s v="GONZALEZ SANCHEZ VIVIANA"/>
    <n v="5"/>
    <n v="0"/>
    <n v="277101"/>
  </r>
  <r>
    <s v="Retail"/>
    <s v="Q085 - Ibague - Cc La Estacion"/>
    <x v="10"/>
    <s v="septiembre"/>
    <n v="23"/>
    <d v="2026-09-23T00:00:00"/>
    <m/>
    <m/>
    <n v="0"/>
    <n v="11672319"/>
    <n v="0"/>
  </r>
  <r>
    <s v="Retail"/>
    <s v="Q085 - Ibague - Cc La Estacion"/>
    <x v="10"/>
    <s v="septiembre"/>
    <n v="23"/>
    <d v="2026-09-23T00:00:00"/>
    <n v="1005716262"/>
    <s v="QUINTANA MONTAÑA  JUAN  SEBASTIAN"/>
    <n v="12"/>
    <n v="0"/>
    <n v="621346"/>
  </r>
  <r>
    <s v="Retail"/>
    <s v="Q085 - Ibague - Cc La Estacion"/>
    <x v="10"/>
    <s v="septiembre"/>
    <n v="23"/>
    <d v="2026-09-23T00:00:00"/>
    <n v="1007371954"/>
    <s v="REINOSO  ROJAS DANNA VALENTINA "/>
    <n v="-3"/>
    <n v="0"/>
    <n v="-125965"/>
  </r>
  <r>
    <s v="Retail"/>
    <s v="Q085 - Ibague - Cc La Estacion"/>
    <x v="10"/>
    <s v="septiembre"/>
    <n v="23"/>
    <d v="2026-09-23T00:00:00"/>
    <n v="1007463963"/>
    <s v="ARTUNDUAGA PARGA MARIA  ALEJANDRA"/>
    <n v="6"/>
    <n v="0"/>
    <n v="369496"/>
  </r>
  <r>
    <s v="Retail"/>
    <s v="Q085 - Ibague - Cc La Estacion"/>
    <x v="10"/>
    <s v="septiembre"/>
    <n v="23"/>
    <d v="2026-09-23T00:00:00"/>
    <n v="1110506146"/>
    <s v="GUZMAN LOZANO JHON EDISSON"/>
    <n v="60"/>
    <n v="0"/>
    <n v="2993196"/>
  </r>
  <r>
    <s v="Retail"/>
    <s v="Q085 - Ibague - Cc La Estacion"/>
    <x v="10"/>
    <s v="septiembre"/>
    <n v="23"/>
    <d v="2026-09-23T00:00:00"/>
    <n v="1110519557"/>
    <s v="CESPEDES TINJACA MARIA JOSE"/>
    <n v="4"/>
    <n v="0"/>
    <n v="306556"/>
  </r>
  <r>
    <s v="Retail"/>
    <s v="Q085 - Ibague - Cc La Estacion"/>
    <x v="10"/>
    <s v="septiembre"/>
    <n v="23"/>
    <d v="2026-09-23T00:00:00"/>
    <n v="1110548386"/>
    <s v="OSORIO ROJAS LINA JOHANA"/>
    <n v="45"/>
    <n v="0"/>
    <n v="2674583"/>
  </r>
  <r>
    <s v="Retail"/>
    <s v="Q085 - Ibague - Cc La Estacion"/>
    <x v="10"/>
    <s v="septiembre"/>
    <n v="24"/>
    <d v="2026-09-24T00:00:00"/>
    <m/>
    <m/>
    <n v="0"/>
    <n v="17830779"/>
    <n v="0"/>
  </r>
  <r>
    <s v="Retail"/>
    <s v="Q085 - Ibague - Cc La Estacion"/>
    <x v="10"/>
    <s v="septiembre"/>
    <n v="24"/>
    <d v="2026-09-24T00:00:00"/>
    <n v="1005716262"/>
    <s v="QUINTANA MONTAÑA  JUAN  SEBASTIAN"/>
    <n v="12"/>
    <n v="0"/>
    <n v="638152"/>
  </r>
  <r>
    <s v="Retail"/>
    <s v="Q085 - Ibague - Cc La Estacion"/>
    <x v="10"/>
    <s v="septiembre"/>
    <n v="24"/>
    <d v="2026-09-24T00:00:00"/>
    <n v="1007371954"/>
    <s v="REINOSO  ROJAS DANNA VALENTINA "/>
    <n v="-2"/>
    <n v="0"/>
    <n v="-277143"/>
  </r>
  <r>
    <s v="Retail"/>
    <s v="Q085 - Ibague - Cc La Estacion"/>
    <x v="10"/>
    <s v="septiembre"/>
    <n v="24"/>
    <d v="2026-09-24T00:00:00"/>
    <n v="1007463963"/>
    <s v="ARTUNDUAGA PARGA MARIA  ALEJANDRA"/>
    <n v="11"/>
    <n v="0"/>
    <n v="688614"/>
  </r>
  <r>
    <s v="Retail"/>
    <s v="Q085 - Ibague - Cc La Estacion"/>
    <x v="10"/>
    <s v="septiembre"/>
    <n v="24"/>
    <d v="2026-09-24T00:00:00"/>
    <n v="1110506146"/>
    <s v="GUZMAN LOZANO JHON EDISSON"/>
    <n v="38"/>
    <n v="0"/>
    <n v="2330296"/>
  </r>
  <r>
    <s v="Retail"/>
    <s v="Q085 - Ibague - Cc La Estacion"/>
    <x v="10"/>
    <s v="septiembre"/>
    <n v="24"/>
    <d v="2026-09-24T00:00:00"/>
    <n v="1110519557"/>
    <s v="CESPEDES TINJACA MARIA JOSE"/>
    <n v="16"/>
    <n v="0"/>
    <n v="696808"/>
  </r>
  <r>
    <s v="Retail"/>
    <s v="Q085 - Ibague - Cc La Estacion"/>
    <x v="10"/>
    <s v="septiembre"/>
    <n v="24"/>
    <d v="2026-09-24T00:00:00"/>
    <n v="1110548386"/>
    <s v="OSORIO ROJAS LINA JOHANA"/>
    <n v="54"/>
    <n v="0"/>
    <n v="3010340"/>
  </r>
  <r>
    <s v="Retail"/>
    <s v="Q085 - Ibague - Cc La Estacion"/>
    <x v="10"/>
    <s v="septiembre"/>
    <n v="25"/>
    <d v="2026-09-25T00:00:00"/>
    <m/>
    <m/>
    <n v="0"/>
    <n v="17791306"/>
    <n v="0"/>
  </r>
  <r>
    <s v="Retail"/>
    <s v="Q085 - Ibague - Cc La Estacion"/>
    <x v="10"/>
    <s v="septiembre"/>
    <n v="25"/>
    <d v="2026-09-25T00:00:00"/>
    <n v="1005716262"/>
    <s v="QUINTANA MONTAÑA  JUAN  SEBASTIAN"/>
    <n v="42"/>
    <n v="0"/>
    <n v="2313365"/>
  </r>
  <r>
    <s v="Retail"/>
    <s v="Q085 - Ibague - Cc La Estacion"/>
    <x v="10"/>
    <s v="septiembre"/>
    <n v="25"/>
    <d v="2026-09-25T00:00:00"/>
    <n v="1007463963"/>
    <s v="ARTUNDUAGA PARGA MARIA  ALEJANDRA"/>
    <n v="31"/>
    <n v="0"/>
    <n v="1582733"/>
  </r>
  <r>
    <s v="Retail"/>
    <s v="Q085 - Ibague - Cc La Estacion"/>
    <x v="10"/>
    <s v="septiembre"/>
    <n v="25"/>
    <d v="2026-09-25T00:00:00"/>
    <n v="1110506146"/>
    <s v="GUZMAN LOZANO JHON EDISSON"/>
    <n v="75"/>
    <n v="0"/>
    <n v="4524165"/>
  </r>
  <r>
    <s v="Retail"/>
    <s v="Q085 - Ibague - Cc La Estacion"/>
    <x v="10"/>
    <s v="septiembre"/>
    <n v="25"/>
    <d v="2026-09-25T00:00:00"/>
    <n v="1110519557"/>
    <s v="CESPEDES TINJACA MARIA JOSE"/>
    <n v="35"/>
    <n v="0"/>
    <n v="1754750"/>
  </r>
  <r>
    <s v="Retail"/>
    <s v="Q085 - Ibague - Cc La Estacion"/>
    <x v="10"/>
    <s v="septiembre"/>
    <n v="25"/>
    <d v="2026-09-25T00:00:00"/>
    <n v="1110548386"/>
    <s v="OSORIO ROJAS LINA JOHANA"/>
    <n v="75"/>
    <n v="0"/>
    <n v="4480047"/>
  </r>
  <r>
    <s v="Retail"/>
    <s v="Q085 - Ibague - Cc La Estacion"/>
    <x v="10"/>
    <s v="septiembre"/>
    <n v="26"/>
    <d v="2026-09-26T00:00:00"/>
    <m/>
    <m/>
    <n v="0"/>
    <n v="25568666"/>
    <n v="0"/>
  </r>
  <r>
    <s v="Retail"/>
    <s v="Q085 - Ibague - Cc La Estacion"/>
    <x v="10"/>
    <s v="septiembre"/>
    <n v="26"/>
    <d v="2026-09-26T00:00:00"/>
    <n v="1005716262"/>
    <s v="QUINTANA MONTAÑA  JUAN  SEBASTIAN"/>
    <n v="64"/>
    <n v="0"/>
    <n v="3675885"/>
  </r>
  <r>
    <s v="Retail"/>
    <s v="Q085 - Ibague - Cc La Estacion"/>
    <x v="10"/>
    <s v="septiembre"/>
    <n v="26"/>
    <d v="2026-09-26T00:00:00"/>
    <n v="1007463963"/>
    <s v="ARTUNDUAGA PARGA MARIA  ALEJANDRA"/>
    <n v="37"/>
    <n v="0"/>
    <n v="2113996"/>
  </r>
  <r>
    <s v="Retail"/>
    <s v="Q085 - Ibague - Cc La Estacion"/>
    <x v="10"/>
    <s v="septiembre"/>
    <n v="26"/>
    <d v="2026-09-26T00:00:00"/>
    <n v="1110506146"/>
    <s v="GUZMAN LOZANO JHON EDISSON"/>
    <n v="114"/>
    <n v="0"/>
    <n v="7089671"/>
  </r>
  <r>
    <s v="Retail"/>
    <s v="Q085 - Ibague - Cc La Estacion"/>
    <x v="10"/>
    <s v="septiembre"/>
    <n v="26"/>
    <d v="2026-09-26T00:00:00"/>
    <n v="1110519557"/>
    <s v="CESPEDES TINJACA MARIA JOSE"/>
    <n v="44"/>
    <n v="0"/>
    <n v="1996051"/>
  </r>
  <r>
    <s v="Retail"/>
    <s v="Q085 - Ibague - Cc La Estacion"/>
    <x v="10"/>
    <s v="septiembre"/>
    <n v="26"/>
    <d v="2026-09-26T00:00:00"/>
    <n v="1110548386"/>
    <s v="OSORIO ROJAS LINA JOHANA"/>
    <n v="139"/>
    <n v="0"/>
    <n v="7620222"/>
  </r>
  <r>
    <s v="Retail"/>
    <s v="Q085 - Ibague - Cc La Estacion"/>
    <x v="10"/>
    <s v="septiembre"/>
    <n v="27"/>
    <d v="2026-09-27T00:00:00"/>
    <m/>
    <m/>
    <n v="0"/>
    <n v="20255529"/>
    <n v="0"/>
  </r>
  <r>
    <s v="Retail"/>
    <s v="Q085 - Ibague - Cc La Estacion"/>
    <x v="10"/>
    <s v="septiembre"/>
    <n v="27"/>
    <d v="2026-09-27T00:00:00"/>
    <n v="1005716262"/>
    <s v="QUINTANA MONTAÑA  JUAN  SEBASTIAN"/>
    <n v="50"/>
    <n v="0"/>
    <n v="2857061"/>
  </r>
  <r>
    <s v="Retail"/>
    <s v="Q085 - Ibague - Cc La Estacion"/>
    <x v="10"/>
    <s v="septiembre"/>
    <n v="27"/>
    <d v="2026-09-27T00:00:00"/>
    <n v="1007463963"/>
    <s v="ARTUNDUAGA PARGA MARIA  ALEJANDRA"/>
    <n v="49"/>
    <n v="0"/>
    <n v="2901134"/>
  </r>
  <r>
    <s v="Retail"/>
    <s v="Q085 - Ibague - Cc La Estacion"/>
    <x v="10"/>
    <s v="septiembre"/>
    <n v="27"/>
    <d v="2026-09-27T00:00:00"/>
    <n v="1110506146"/>
    <s v="GUZMAN LOZANO JHON EDISSON"/>
    <n v="118"/>
    <n v="0"/>
    <n v="6826979"/>
  </r>
  <r>
    <s v="Retail"/>
    <s v="Q085 - Ibague - Cc La Estacion"/>
    <x v="10"/>
    <s v="septiembre"/>
    <n v="27"/>
    <d v="2026-09-27T00:00:00"/>
    <n v="1110519557"/>
    <s v="CESPEDES TINJACA MARIA JOSE"/>
    <n v="41"/>
    <n v="0"/>
    <n v="2416307"/>
  </r>
  <r>
    <s v="Retail"/>
    <s v="Q085 - Ibague - Cc La Estacion"/>
    <x v="10"/>
    <s v="septiembre"/>
    <n v="27"/>
    <d v="2026-09-27T00:00:00"/>
    <n v="1110548386"/>
    <s v="OSORIO ROJAS LINA JOHANA"/>
    <n v="131"/>
    <n v="0"/>
    <n v="7493544"/>
  </r>
  <r>
    <s v="Retail"/>
    <s v="Q085 - Ibague - Cc La Estacion"/>
    <x v="10"/>
    <s v="septiembre"/>
    <n v="28"/>
    <d v="2026-09-28T00:00:00"/>
    <m/>
    <m/>
    <n v="0"/>
    <n v="11147814"/>
    <n v="0"/>
  </r>
  <r>
    <s v="Retail"/>
    <s v="Q085 - Ibague - Cc La Estacion"/>
    <x v="10"/>
    <s v="septiembre"/>
    <n v="28"/>
    <d v="2026-09-28T00:00:00"/>
    <n v="1005716262"/>
    <s v="QUINTANA MONTAÑA  JUAN  SEBASTIAN"/>
    <n v="8"/>
    <n v="0"/>
    <n v="558487"/>
  </r>
  <r>
    <s v="Retail"/>
    <s v="Q085 - Ibague - Cc La Estacion"/>
    <x v="10"/>
    <s v="septiembre"/>
    <n v="28"/>
    <d v="2026-09-28T00:00:00"/>
    <n v="1007463963"/>
    <s v="ARTUNDUAGA PARGA MARIA  ALEJANDRA"/>
    <n v="19"/>
    <n v="0"/>
    <n v="1230296"/>
  </r>
  <r>
    <s v="Retail"/>
    <s v="Q085 - Ibague - Cc La Estacion"/>
    <x v="10"/>
    <s v="septiembre"/>
    <n v="28"/>
    <d v="2026-09-28T00:00:00"/>
    <n v="1110506146"/>
    <s v="GUZMAN LOZANO JHON EDISSON"/>
    <n v="65"/>
    <n v="0"/>
    <n v="3116510"/>
  </r>
  <r>
    <s v="Retail"/>
    <s v="Q085 - Ibague - Cc La Estacion"/>
    <x v="10"/>
    <s v="septiembre"/>
    <n v="28"/>
    <d v="2026-09-28T00:00:00"/>
    <n v="1110519557"/>
    <s v="CESPEDES TINJACA MARIA JOSE"/>
    <n v="14"/>
    <n v="0"/>
    <n v="852354"/>
  </r>
  <r>
    <s v="Retail"/>
    <s v="Q085 - Ibague - Cc La Estacion"/>
    <x v="10"/>
    <s v="septiembre"/>
    <n v="28"/>
    <d v="2026-09-28T00:00:00"/>
    <n v="1110548386"/>
    <s v="OSORIO ROJAS LINA JOHANA"/>
    <n v="62"/>
    <n v="0"/>
    <n v="3434412"/>
  </r>
  <r>
    <s v="Retail"/>
    <s v="Q085 - Ibague - Cc La Estacion"/>
    <x v="10"/>
    <s v="septiembre"/>
    <n v="29"/>
    <d v="2026-09-29T00:00:00"/>
    <m/>
    <m/>
    <n v="0"/>
    <n v="11908044"/>
    <n v="0"/>
  </r>
  <r>
    <s v="Retail"/>
    <s v="Q085 - Ibague - Cc La Estacion"/>
    <x v="10"/>
    <s v="septiembre"/>
    <n v="29"/>
    <d v="2026-09-29T00:00:00"/>
    <n v="1005716262"/>
    <s v="QUINTANA MONTAÑA  JUAN  SEBASTIAN"/>
    <n v="32"/>
    <n v="0"/>
    <n v="1685507"/>
  </r>
  <r>
    <s v="Retail"/>
    <s v="Q085 - Ibague - Cc La Estacion"/>
    <x v="10"/>
    <s v="septiembre"/>
    <n v="29"/>
    <d v="2026-09-29T00:00:00"/>
    <n v="1007463963"/>
    <s v="ARTUNDUAGA PARGA MARIA  ALEJANDRA"/>
    <n v="17"/>
    <n v="0"/>
    <n v="904750"/>
  </r>
  <r>
    <s v="Retail"/>
    <s v="Q085 - Ibague - Cc La Estacion"/>
    <x v="10"/>
    <s v="septiembre"/>
    <n v="29"/>
    <d v="2026-09-29T00:00:00"/>
    <n v="1110506146"/>
    <s v="GUZMAN LOZANO JHON EDISSON"/>
    <n v="36"/>
    <n v="0"/>
    <n v="2225298"/>
  </r>
  <r>
    <s v="Retail"/>
    <s v="Q085 - Ibague - Cc La Estacion"/>
    <x v="10"/>
    <s v="septiembre"/>
    <n v="29"/>
    <d v="2026-09-29T00:00:00"/>
    <n v="1110519557"/>
    <s v="CESPEDES TINJACA MARIA JOSE"/>
    <n v="11"/>
    <n v="0"/>
    <n v="575127"/>
  </r>
  <r>
    <s v="Retail"/>
    <s v="Q085 - Ibague - Cc La Estacion"/>
    <x v="10"/>
    <s v="septiembre"/>
    <n v="29"/>
    <d v="2026-09-29T00:00:00"/>
    <n v="1110548386"/>
    <s v="OSORIO ROJAS LINA JOHANA"/>
    <n v="31"/>
    <n v="0"/>
    <n v="1679288"/>
  </r>
  <r>
    <s v="Retail"/>
    <s v="Q085 - Ibague - Cc La Estacion"/>
    <x v="10"/>
    <s v="septiembre"/>
    <n v="30"/>
    <d v="2026-09-30T00:00:00"/>
    <m/>
    <m/>
    <n v="0"/>
    <n v="12301224"/>
    <n v="0"/>
  </r>
  <r>
    <s v="Retail"/>
    <s v="Q085 - Ibague - Cc La Estacion"/>
    <x v="10"/>
    <s v="septiembre"/>
    <n v="30"/>
    <d v="2026-09-30T00:00:00"/>
    <n v="1005716262"/>
    <s v="QUINTANA MONTAÑA  JUAN  SEBASTIAN"/>
    <n v="58"/>
    <n v="0"/>
    <n v="3171641"/>
  </r>
  <r>
    <s v="Retail"/>
    <s v="Q085 - Ibague - Cc La Estacion"/>
    <x v="10"/>
    <s v="septiembre"/>
    <n v="30"/>
    <d v="2026-09-30T00:00:00"/>
    <n v="1007463963"/>
    <s v="ARTUNDUAGA PARGA MARIA  ALEJANDRA"/>
    <n v="26"/>
    <n v="0"/>
    <n v="1502984"/>
  </r>
  <r>
    <s v="Retail"/>
    <s v="Q085 - Ibague - Cc La Estacion"/>
    <x v="10"/>
    <s v="septiembre"/>
    <n v="30"/>
    <d v="2026-09-30T00:00:00"/>
    <n v="1110506146"/>
    <s v="GUZMAN LOZANO JHON EDISSON"/>
    <n v="64"/>
    <n v="0"/>
    <n v="3459333"/>
  </r>
  <r>
    <s v="Retail"/>
    <s v="Q085 - Ibague - Cc La Estacion"/>
    <x v="10"/>
    <s v="septiembre"/>
    <n v="30"/>
    <d v="2026-09-30T00:00:00"/>
    <n v="1110519557"/>
    <s v="CESPEDES TINJACA MARIA JOSE"/>
    <n v="22"/>
    <n v="0"/>
    <n v="1549457"/>
  </r>
  <r>
    <s v="Retail"/>
    <s v="Q085 - Ibague - Cc La Estacion"/>
    <x v="10"/>
    <s v="septiembre"/>
    <n v="30"/>
    <d v="2026-09-30T00:00:00"/>
    <n v="1110548386"/>
    <s v="OSORIO ROJAS LINA JOHANA"/>
    <n v="-2"/>
    <n v="0"/>
    <n v="-125967"/>
  </r>
  <r>
    <s v="Retail"/>
    <s v="Q085 - Ibague - Cc La Estacion"/>
    <x v="10"/>
    <s v="octubre"/>
    <n v="1"/>
    <d v="2026-10-01T00:00:00"/>
    <m/>
    <m/>
    <n v="0"/>
    <n v="10055304"/>
    <n v="0"/>
  </r>
  <r>
    <s v="Retail"/>
    <s v="Q085 - Ibague - Cc La Estacion"/>
    <x v="10"/>
    <s v="octubre"/>
    <n v="1"/>
    <d v="2026-10-01T00:00:00"/>
    <n v="1005716262"/>
    <s v="QUINTANA MONTAÑA  JUAN  SEBASTIAN"/>
    <n v="37"/>
    <n v="0"/>
    <n v="1899494"/>
  </r>
  <r>
    <s v="Retail"/>
    <s v="Q085 - Ibague - Cc La Estacion"/>
    <x v="10"/>
    <s v="octubre"/>
    <n v="1"/>
    <d v="2026-10-01T00:00:00"/>
    <n v="1007463963"/>
    <s v="ARTUNDUAGA PARGA MARIA  ALEJANDRA"/>
    <n v="25"/>
    <n v="0"/>
    <n v="1713109"/>
  </r>
  <r>
    <s v="Retail"/>
    <s v="Q085 - Ibague - Cc La Estacion"/>
    <x v="10"/>
    <s v="octubre"/>
    <n v="1"/>
    <d v="2026-10-01T00:00:00"/>
    <n v="1110506146"/>
    <s v="GUZMAN LOZANO JHON EDISSON"/>
    <n v="63"/>
    <n v="0"/>
    <n v="3705171"/>
  </r>
  <r>
    <s v="Retail"/>
    <s v="Q085 - Ibague - Cc La Estacion"/>
    <x v="10"/>
    <s v="octubre"/>
    <n v="1"/>
    <d v="2026-10-01T00:00:00"/>
    <n v="1110519557"/>
    <s v="CESPEDES TINJACA MARIA JOSE"/>
    <n v="14"/>
    <n v="0"/>
    <n v="768278"/>
  </r>
  <r>
    <s v="Retail"/>
    <s v="Q085 - Ibague - Cc La Estacion"/>
    <x v="10"/>
    <s v="octubre"/>
    <n v="1"/>
    <d v="2026-10-01T00:00:00"/>
    <n v="1110548386"/>
    <s v="OSORIO ROJAS LINA JOHANA"/>
    <n v="-1"/>
    <n v="0"/>
    <n v="-71386"/>
  </r>
  <r>
    <s v="Retail"/>
    <s v="Q085 - Ibague - Cc La Estacion"/>
    <x v="10"/>
    <s v="octubre"/>
    <n v="2"/>
    <d v="2026-10-02T00:00:00"/>
    <m/>
    <m/>
    <n v="0"/>
    <n v="9940743"/>
    <n v="0"/>
  </r>
  <r>
    <s v="Retail"/>
    <s v="Q085 - Ibague - Cc La Estacion"/>
    <x v="10"/>
    <s v="octubre"/>
    <n v="2"/>
    <d v="2026-10-02T00:00:00"/>
    <n v="1005716262"/>
    <s v="QUINTANA MONTAÑA  JUAN  SEBASTIAN"/>
    <n v="49"/>
    <n v="0"/>
    <n v="2558785"/>
  </r>
  <r>
    <s v="Retail"/>
    <s v="Q085 - Ibague - Cc La Estacion"/>
    <x v="10"/>
    <s v="octubre"/>
    <n v="2"/>
    <d v="2026-10-02T00:00:00"/>
    <n v="1007463963"/>
    <s v="ARTUNDUAGA PARGA MARIA  ALEJANDRA"/>
    <n v="23"/>
    <n v="0"/>
    <n v="1186010"/>
  </r>
  <r>
    <s v="Retail"/>
    <s v="Q085 - Ibague - Cc La Estacion"/>
    <x v="10"/>
    <s v="octubre"/>
    <n v="2"/>
    <d v="2026-10-02T00:00:00"/>
    <n v="1110506146"/>
    <s v="GUZMAN LOZANO JHON EDISSON"/>
    <n v="35"/>
    <n v="0"/>
    <n v="1908154"/>
  </r>
  <r>
    <s v="Retail"/>
    <s v="Q085 - Ibague - Cc La Estacion"/>
    <x v="10"/>
    <s v="octubre"/>
    <n v="2"/>
    <d v="2026-10-02T00:00:00"/>
    <n v="1110519557"/>
    <s v="CESPEDES TINJACA MARIA JOSE"/>
    <n v="27"/>
    <n v="0"/>
    <n v="1313910"/>
  </r>
  <r>
    <s v="Retail"/>
    <s v="Q085 - Ibague - Cc La Estacion"/>
    <x v="10"/>
    <s v="octubre"/>
    <n v="3"/>
    <d v="2026-10-03T00:00:00"/>
    <m/>
    <m/>
    <n v="0"/>
    <n v="15220811"/>
    <n v="0"/>
  </r>
  <r>
    <s v="Retail"/>
    <s v="Q085 - Ibague - Cc La Estacion"/>
    <x v="10"/>
    <s v="octubre"/>
    <n v="3"/>
    <d v="2026-10-03T00:00:00"/>
    <n v="1005716262"/>
    <s v="QUINTANA MONTAÑA  JUAN  SEBASTIAN"/>
    <n v="90"/>
    <n v="0"/>
    <n v="4222764"/>
  </r>
  <r>
    <s v="Retail"/>
    <s v="Q085 - Ibague - Cc La Estacion"/>
    <x v="10"/>
    <s v="octubre"/>
    <n v="3"/>
    <d v="2026-10-03T00:00:00"/>
    <n v="1007463963"/>
    <s v="ARTUNDUAGA PARGA MARIA  ALEJANDRA"/>
    <n v="44"/>
    <n v="0"/>
    <n v="1962963"/>
  </r>
  <r>
    <s v="Retail"/>
    <s v="Q085 - Ibague - Cc La Estacion"/>
    <x v="10"/>
    <s v="octubre"/>
    <n v="3"/>
    <d v="2026-10-03T00:00:00"/>
    <n v="1110506146"/>
    <s v="GUZMAN LOZANO JHON EDISSON"/>
    <n v="163"/>
    <n v="0"/>
    <n v="8424030"/>
  </r>
  <r>
    <s v="Retail"/>
    <s v="Q085 - Ibague - Cc La Estacion"/>
    <x v="10"/>
    <s v="octubre"/>
    <n v="3"/>
    <d v="2026-10-03T00:00:00"/>
    <n v="1110519557"/>
    <s v="CESPEDES TINJACA MARIA JOSE"/>
    <n v="53"/>
    <n v="0"/>
    <n v="2626381"/>
  </r>
  <r>
    <s v="Retail"/>
    <s v="Q085 - Ibague - Cc La Estacion"/>
    <x v="10"/>
    <s v="octubre"/>
    <n v="3"/>
    <d v="2026-10-03T00:00:00"/>
    <n v="1110548386"/>
    <s v="OSORIO ROJAS LINA JOHANA"/>
    <n v="-2"/>
    <n v="0"/>
    <n v="-79748"/>
  </r>
  <r>
    <s v="Retail"/>
    <s v="Q085 - Ibague - Cc La Estacion"/>
    <x v="10"/>
    <s v="octubre"/>
    <n v="4"/>
    <d v="2026-10-04T00:00:00"/>
    <m/>
    <m/>
    <n v="0"/>
    <n v="16683323"/>
    <n v="0"/>
  </r>
  <r>
    <s v="Retail"/>
    <s v="Q085 - Ibague - Cc La Estacion"/>
    <x v="10"/>
    <s v="octubre"/>
    <n v="4"/>
    <d v="2026-10-04T00:00:00"/>
    <n v="1005716262"/>
    <s v="QUINTANA MONTAÑA  JUAN  SEBASTIAN"/>
    <n v="91"/>
    <n v="0"/>
    <n v="5420510"/>
  </r>
  <r>
    <s v="Retail"/>
    <s v="Q085 - Ibague - Cc La Estacion"/>
    <x v="10"/>
    <s v="octubre"/>
    <n v="4"/>
    <d v="2026-10-04T00:00:00"/>
    <n v="1007463963"/>
    <s v="ARTUNDUAGA PARGA MARIA  ALEJANDRA"/>
    <n v="76"/>
    <n v="0"/>
    <n v="4643704"/>
  </r>
  <r>
    <s v="Retail"/>
    <s v="Q085 - Ibague - Cc La Estacion"/>
    <x v="10"/>
    <s v="octubre"/>
    <n v="4"/>
    <d v="2026-10-04T00:00:00"/>
    <n v="1110506146"/>
    <s v="GUZMAN LOZANO JHON EDISSON"/>
    <n v="155"/>
    <n v="0"/>
    <n v="8572986"/>
  </r>
  <r>
    <s v="Retail"/>
    <s v="Q085 - Ibague - Cc La Estacion"/>
    <x v="10"/>
    <s v="octubre"/>
    <n v="4"/>
    <d v="2026-10-04T00:00:00"/>
    <n v="1110519557"/>
    <s v="CESPEDES TINJACA MARIA JOSE"/>
    <n v="28"/>
    <n v="0"/>
    <n v="1278238"/>
  </r>
  <r>
    <s v="Retail"/>
    <s v="Q085 - Ibague - Cc La Estacion"/>
    <x v="10"/>
    <s v="octubre"/>
    <n v="4"/>
    <d v="2026-10-04T00:00:00"/>
    <n v="1110548386"/>
    <s v="OSORIO ROJAS LINA JOHANA"/>
    <n v="-2"/>
    <n v="0"/>
    <n v="-125967"/>
  </r>
  <r>
    <s v="Retail"/>
    <s v="Q085 - Ibague - Cc La Estacion"/>
    <x v="10"/>
    <s v="octubre"/>
    <n v="5"/>
    <d v="2026-10-05T00:00:00"/>
    <m/>
    <m/>
    <n v="0"/>
    <n v="8741250"/>
    <n v="0"/>
  </r>
  <r>
    <s v="Retail"/>
    <s v="Q085 - Ibague - Cc La Estacion"/>
    <x v="10"/>
    <s v="octubre"/>
    <n v="5"/>
    <d v="2026-10-05T00:00:00"/>
    <n v="1005716262"/>
    <s v="QUINTANA MONTAÑA  JUAN  SEBASTIAN"/>
    <n v="51"/>
    <n v="0"/>
    <n v="2943153"/>
  </r>
  <r>
    <s v="Retail"/>
    <s v="Q085 - Ibague - Cc La Estacion"/>
    <x v="10"/>
    <s v="octubre"/>
    <n v="5"/>
    <d v="2026-10-05T00:00:00"/>
    <n v="1007463963"/>
    <s v="ARTUNDUAGA PARGA MARIA  ALEJANDRA"/>
    <n v="1"/>
    <n v="0"/>
    <n v="67143"/>
  </r>
  <r>
    <s v="Retail"/>
    <s v="Q085 - Ibague - Cc La Estacion"/>
    <x v="10"/>
    <s v="octubre"/>
    <n v="5"/>
    <d v="2026-10-05T00:00:00"/>
    <n v="1110485736"/>
    <s v="MORERA GONZALEZ JHON WILMAR"/>
    <n v="-1"/>
    <n v="0"/>
    <n v="-83949"/>
  </r>
  <r>
    <s v="Retail"/>
    <s v="Q085 - Ibague - Cc La Estacion"/>
    <x v="10"/>
    <s v="octubre"/>
    <n v="5"/>
    <d v="2026-10-05T00:00:00"/>
    <n v="1110506146"/>
    <s v="GUZMAN LOZANO JHON EDISSON"/>
    <n v="48"/>
    <n v="0"/>
    <n v="2575591"/>
  </r>
  <r>
    <s v="Retail"/>
    <s v="Q085 - Ibague - Cc La Estacion"/>
    <x v="10"/>
    <s v="octubre"/>
    <n v="5"/>
    <d v="2026-10-05T00:00:00"/>
    <n v="1110519557"/>
    <s v="CESPEDES TINJACA MARIA JOSE"/>
    <n v="9"/>
    <n v="0"/>
    <n v="386051"/>
  </r>
  <r>
    <s v="Retail"/>
    <s v="Q085 - Ibague - Cc La Estacion"/>
    <x v="10"/>
    <s v="octubre"/>
    <n v="5"/>
    <d v="2026-10-05T00:00:00"/>
    <n v="1110548386"/>
    <s v="OSORIO ROJAS LINA JOHANA"/>
    <n v="-1"/>
    <n v="0"/>
    <n v="-41975"/>
  </r>
  <r>
    <s v="Retail"/>
    <s v="Q085 - Ibague - Cc La Estacion"/>
    <x v="10"/>
    <s v="octubre"/>
    <n v="6"/>
    <d v="2026-10-06T00:00:00"/>
    <m/>
    <m/>
    <n v="0"/>
    <n v="4880816"/>
    <n v="0"/>
  </r>
  <r>
    <s v="Retail"/>
    <s v="Q085 - Ibague - Cc La Estacion"/>
    <x v="10"/>
    <s v="octubre"/>
    <n v="6"/>
    <d v="2026-10-06T00:00:00"/>
    <n v="1005716262"/>
    <s v="QUINTANA MONTAÑA  JUAN  SEBASTIAN"/>
    <n v="82"/>
    <n v="0"/>
    <n v="5244253"/>
  </r>
  <r>
    <s v="Retail"/>
    <s v="Q085 - Ibague - Cc La Estacion"/>
    <x v="10"/>
    <s v="octubre"/>
    <n v="6"/>
    <d v="2026-10-06T00:00:00"/>
    <n v="1007463963"/>
    <s v="ARTUNDUAGA PARGA MARIA  ALEJANDRA"/>
    <n v="-2"/>
    <n v="0"/>
    <n v="-130168"/>
  </r>
  <r>
    <s v="Retail"/>
    <s v="Q085 - Ibague - Cc La Estacion"/>
    <x v="10"/>
    <s v="octubre"/>
    <n v="6"/>
    <d v="2026-10-06T00:00:00"/>
    <n v="1110506146"/>
    <s v="GUZMAN LOZANO JHON EDISSON"/>
    <n v="42"/>
    <n v="0"/>
    <n v="2441392"/>
  </r>
  <r>
    <s v="Retail"/>
    <s v="Q085 - Ibague - Cc La Estacion"/>
    <x v="10"/>
    <s v="octubre"/>
    <n v="6"/>
    <d v="2026-10-06T00:00:00"/>
    <n v="1110519557"/>
    <s v="CESPEDES TINJACA MARIA JOSE"/>
    <n v="1"/>
    <n v="0"/>
    <n v="109202"/>
  </r>
  <r>
    <s v="Retail"/>
    <s v="Q085 - Ibague - Cc La Estacion"/>
    <x v="10"/>
    <s v="octubre"/>
    <n v="7"/>
    <d v="2026-10-07T00:00:00"/>
    <m/>
    <m/>
    <n v="0"/>
    <n v="4816596"/>
    <n v="0"/>
  </r>
  <r>
    <s v="Retail"/>
    <s v="Q085 - Ibague - Cc La Estacion"/>
    <x v="10"/>
    <s v="octubre"/>
    <n v="7"/>
    <d v="2026-10-07T00:00:00"/>
    <n v="1005716262"/>
    <s v="QUINTANA MONTAÑA  JUAN  SEBASTIAN"/>
    <n v="47"/>
    <n v="0"/>
    <n v="2691178"/>
  </r>
  <r>
    <s v="Retail"/>
    <s v="Q085 - Ibague - Cc La Estacion"/>
    <x v="10"/>
    <s v="octubre"/>
    <n v="7"/>
    <d v="2026-10-07T00:00:00"/>
    <n v="1110506146"/>
    <s v="GUZMAN LOZANO JHON EDISSON"/>
    <n v="69"/>
    <n v="0"/>
    <n v="3696515"/>
  </r>
  <r>
    <s v="Retail"/>
    <s v="Q117 - Neiva - Cc Unico"/>
    <x v="10"/>
    <s v="septiembre"/>
    <n v="23"/>
    <d v="2026-09-23T00:00:00"/>
    <m/>
    <m/>
    <n v="0"/>
    <n v="11053342"/>
    <n v="0"/>
  </r>
  <r>
    <s v="Retail"/>
    <s v="Q117 - Neiva - Cc Unico"/>
    <x v="10"/>
    <s v="septiembre"/>
    <n v="23"/>
    <d v="2026-09-23T00:00:00"/>
    <n v="1003813404"/>
    <s v="GAHONA ESPAÑA LEIDY  DAYANA"/>
    <n v="15"/>
    <n v="0"/>
    <n v="967817"/>
  </r>
  <r>
    <s v="Retail"/>
    <s v="Q117 - Neiva - Cc Unico"/>
    <x v="10"/>
    <s v="septiembre"/>
    <n v="23"/>
    <d v="2026-09-23T00:00:00"/>
    <n v="1004155911"/>
    <s v="CASTRO CURACA DUVIER DANILO"/>
    <n v="27"/>
    <n v="0"/>
    <n v="1507058"/>
  </r>
  <r>
    <s v="Retail"/>
    <s v="Q117 - Neiva - Cc Unico"/>
    <x v="10"/>
    <s v="septiembre"/>
    <n v="23"/>
    <d v="2026-09-23T00:00:00"/>
    <n v="1075243559"/>
    <s v="PINO  ORDOÑEZ KATHERINE ANDREA "/>
    <n v="50"/>
    <n v="0"/>
    <n v="2436681"/>
  </r>
  <r>
    <s v="Retail"/>
    <s v="Q117 - Neiva - Cc Unico"/>
    <x v="10"/>
    <s v="septiembre"/>
    <n v="23"/>
    <d v="2026-09-23T00:00:00"/>
    <n v="1075306881"/>
    <s v="PASTRANA GONZALEZ JUAN CAMILO"/>
    <n v="93"/>
    <n v="0"/>
    <n v="4167988"/>
  </r>
  <r>
    <s v="Retail"/>
    <s v="Q117 - Neiva - Cc Unico"/>
    <x v="10"/>
    <s v="septiembre"/>
    <n v="23"/>
    <d v="2026-09-23T00:00:00"/>
    <n v="1128626377"/>
    <s v="SANCHEZ LONDOÑO LUZ  ANGELA"/>
    <n v="14"/>
    <n v="0"/>
    <n v="675841"/>
  </r>
  <r>
    <s v="Retail"/>
    <s v="Q117 - Neiva - Cc Unico"/>
    <x v="10"/>
    <s v="septiembre"/>
    <n v="24"/>
    <d v="2026-09-24T00:00:00"/>
    <m/>
    <m/>
    <n v="0"/>
    <n v="16885226"/>
    <n v="0"/>
  </r>
  <r>
    <s v="Retail"/>
    <s v="Q117 - Neiva - Cc Unico"/>
    <x v="10"/>
    <s v="septiembre"/>
    <n v="24"/>
    <d v="2026-09-24T00:00:00"/>
    <n v="1003813404"/>
    <s v="GAHONA ESPAÑA LEIDY  DAYANA"/>
    <n v="20"/>
    <n v="0"/>
    <n v="881304"/>
  </r>
  <r>
    <s v="Retail"/>
    <s v="Q117 - Neiva - Cc Unico"/>
    <x v="10"/>
    <s v="septiembre"/>
    <n v="24"/>
    <d v="2026-09-24T00:00:00"/>
    <n v="1004155911"/>
    <s v="CASTRO CURACA DUVIER DANILO"/>
    <n v="17"/>
    <n v="0"/>
    <n v="885672"/>
  </r>
  <r>
    <s v="Retail"/>
    <s v="Q117 - Neiva - Cc Unico"/>
    <x v="10"/>
    <s v="septiembre"/>
    <n v="24"/>
    <d v="2026-09-24T00:00:00"/>
    <n v="1075243559"/>
    <s v="PINO  ORDOÑEZ KATHERINE ANDREA "/>
    <n v="66"/>
    <n v="0"/>
    <n v="2894078"/>
  </r>
  <r>
    <s v="Retail"/>
    <s v="Q117 - Neiva - Cc Unico"/>
    <x v="10"/>
    <s v="septiembre"/>
    <n v="24"/>
    <d v="2026-09-24T00:00:00"/>
    <n v="1075306881"/>
    <s v="PASTRANA GONZALEZ JUAN CAMILO"/>
    <n v="91"/>
    <n v="0"/>
    <n v="3926652"/>
  </r>
  <r>
    <s v="Retail"/>
    <s v="Q117 - Neiva - Cc Unico"/>
    <x v="10"/>
    <s v="septiembre"/>
    <n v="24"/>
    <d v="2026-09-24T00:00:00"/>
    <n v="1128626377"/>
    <s v="SANCHEZ LONDOÑO LUZ  ANGELA"/>
    <n v="20"/>
    <n v="0"/>
    <n v="852102"/>
  </r>
  <r>
    <s v="Retail"/>
    <s v="Q117 - Neiva - Cc Unico"/>
    <x v="10"/>
    <s v="septiembre"/>
    <n v="25"/>
    <d v="2026-09-25T00:00:00"/>
    <m/>
    <m/>
    <n v="0"/>
    <n v="16847849"/>
    <n v="0"/>
  </r>
  <r>
    <s v="Retail"/>
    <s v="Q117 - Neiva - Cc Unico"/>
    <x v="10"/>
    <s v="septiembre"/>
    <n v="25"/>
    <d v="2026-09-25T00:00:00"/>
    <n v="1003813404"/>
    <s v="GAHONA ESPAÑA LEIDY  DAYANA"/>
    <n v="12"/>
    <n v="0"/>
    <n v="726304"/>
  </r>
  <r>
    <s v="Retail"/>
    <s v="Q117 - Neiva - Cc Unico"/>
    <x v="10"/>
    <s v="septiembre"/>
    <n v="25"/>
    <d v="2026-09-25T00:00:00"/>
    <n v="1004155911"/>
    <s v="CASTRO CURACA DUVIER DANILO"/>
    <n v="37"/>
    <n v="0"/>
    <n v="1731345"/>
  </r>
  <r>
    <s v="Retail"/>
    <s v="Q117 - Neiva - Cc Unico"/>
    <x v="10"/>
    <s v="septiembre"/>
    <n v="25"/>
    <d v="2026-09-25T00:00:00"/>
    <n v="1075243559"/>
    <s v="PINO  ORDOÑEZ KATHERINE ANDREA "/>
    <n v="83"/>
    <n v="0"/>
    <n v="3634371"/>
  </r>
  <r>
    <s v="Retail"/>
    <s v="Q117 - Neiva - Cc Unico"/>
    <x v="10"/>
    <s v="septiembre"/>
    <n v="25"/>
    <d v="2026-09-25T00:00:00"/>
    <n v="1075306881"/>
    <s v="PASTRANA GONZALEZ JUAN CAMILO"/>
    <n v="86"/>
    <n v="0"/>
    <n v="4295802"/>
  </r>
  <r>
    <s v="Retail"/>
    <s v="Q117 - Neiva - Cc Unico"/>
    <x v="10"/>
    <s v="septiembre"/>
    <n v="25"/>
    <d v="2026-09-25T00:00:00"/>
    <n v="1128626377"/>
    <s v="SANCHEZ LONDOÑO LUZ  ANGELA"/>
    <n v="22"/>
    <n v="0"/>
    <n v="1435842"/>
  </r>
  <r>
    <s v="Retail"/>
    <s v="Q117 - Neiva - Cc Unico"/>
    <x v="10"/>
    <s v="septiembre"/>
    <n v="26"/>
    <d v="2026-09-26T00:00:00"/>
    <m/>
    <m/>
    <n v="0"/>
    <n v="24212777"/>
    <n v="0"/>
  </r>
  <r>
    <s v="Retail"/>
    <s v="Q117 - Neiva - Cc Unico"/>
    <x v="10"/>
    <s v="septiembre"/>
    <n v="26"/>
    <d v="2026-09-26T00:00:00"/>
    <n v="1003813404"/>
    <s v="GAHONA ESPAÑA LEIDY  DAYANA"/>
    <n v="22"/>
    <n v="0"/>
    <n v="1120883"/>
  </r>
  <r>
    <s v="Retail"/>
    <s v="Q117 - Neiva - Cc Unico"/>
    <x v="10"/>
    <s v="septiembre"/>
    <n v="26"/>
    <d v="2026-09-26T00:00:00"/>
    <n v="1004155911"/>
    <s v="CASTRO CURACA DUVIER DANILO"/>
    <n v="44"/>
    <n v="0"/>
    <n v="1985297"/>
  </r>
  <r>
    <s v="Retail"/>
    <s v="Q117 - Neiva - Cc Unico"/>
    <x v="10"/>
    <s v="septiembre"/>
    <n v="26"/>
    <d v="2026-09-26T00:00:00"/>
    <n v="1075243559"/>
    <s v="PINO  ORDOÑEZ KATHERINE ANDREA "/>
    <n v="144"/>
    <n v="0"/>
    <n v="6757270"/>
  </r>
  <r>
    <s v="Retail"/>
    <s v="Q117 - Neiva - Cc Unico"/>
    <x v="10"/>
    <s v="septiembre"/>
    <n v="26"/>
    <d v="2026-09-26T00:00:00"/>
    <n v="1075306881"/>
    <s v="PASTRANA GONZALEZ JUAN CAMILO"/>
    <n v="220"/>
    <n v="0"/>
    <n v="10775008"/>
  </r>
  <r>
    <s v="Retail"/>
    <s v="Q117 - Neiva - Cc Unico"/>
    <x v="10"/>
    <s v="septiembre"/>
    <n v="26"/>
    <d v="2026-09-26T00:00:00"/>
    <n v="1128626377"/>
    <s v="SANCHEZ LONDOÑO LUZ  ANGELA"/>
    <n v="46"/>
    <n v="0"/>
    <n v="2254121"/>
  </r>
  <r>
    <s v="Retail"/>
    <s v="Q117 - Neiva - Cc Unico"/>
    <x v="10"/>
    <s v="septiembre"/>
    <n v="27"/>
    <d v="2026-09-27T00:00:00"/>
    <m/>
    <m/>
    <n v="0"/>
    <n v="19181395"/>
    <n v="0"/>
  </r>
  <r>
    <s v="Retail"/>
    <s v="Q117 - Neiva - Cc Unico"/>
    <x v="10"/>
    <s v="septiembre"/>
    <n v="27"/>
    <d v="2026-09-27T00:00:00"/>
    <n v="1003813404"/>
    <s v="GAHONA ESPAÑA LEIDY  DAYANA"/>
    <n v="28"/>
    <n v="0"/>
    <n v="1553363"/>
  </r>
  <r>
    <s v="Retail"/>
    <s v="Q117 - Neiva - Cc Unico"/>
    <x v="10"/>
    <s v="septiembre"/>
    <n v="27"/>
    <d v="2026-09-27T00:00:00"/>
    <n v="1004155911"/>
    <s v="CASTRO CURACA DUVIER DANILO"/>
    <n v="37"/>
    <n v="0"/>
    <n v="2040339"/>
  </r>
  <r>
    <s v="Retail"/>
    <s v="Q117 - Neiva - Cc Unico"/>
    <x v="10"/>
    <s v="septiembre"/>
    <n v="27"/>
    <d v="2026-09-27T00:00:00"/>
    <n v="1075243559"/>
    <s v="PINO  ORDOÑEZ KATHERINE ANDREA "/>
    <n v="125"/>
    <n v="0"/>
    <n v="6950006"/>
  </r>
  <r>
    <s v="Retail"/>
    <s v="Q117 - Neiva - Cc Unico"/>
    <x v="10"/>
    <s v="septiembre"/>
    <n v="27"/>
    <d v="2026-09-27T00:00:00"/>
    <n v="1075306881"/>
    <s v="PASTRANA GONZALEZ JUAN CAMILO"/>
    <n v="148"/>
    <n v="0"/>
    <n v="7509542"/>
  </r>
  <r>
    <s v="Retail"/>
    <s v="Q117 - Neiva - Cc Unico"/>
    <x v="10"/>
    <s v="septiembre"/>
    <n v="27"/>
    <d v="2026-09-27T00:00:00"/>
    <n v="1128626377"/>
    <s v="SANCHEZ LONDOÑO LUZ  ANGELA"/>
    <n v="67"/>
    <n v="0"/>
    <n v="3490425"/>
  </r>
  <r>
    <s v="Retail"/>
    <s v="Q117 - Neiva - Cc Unico"/>
    <x v="10"/>
    <s v="septiembre"/>
    <n v="28"/>
    <d v="2026-09-28T00:00:00"/>
    <m/>
    <m/>
    <n v="0"/>
    <n v="10556652"/>
    <n v="0"/>
  </r>
  <r>
    <s v="Retail"/>
    <s v="Q117 - Neiva - Cc Unico"/>
    <x v="10"/>
    <s v="septiembre"/>
    <n v="28"/>
    <d v="2026-09-28T00:00:00"/>
    <n v="1003813404"/>
    <s v="GAHONA ESPAÑA LEIDY  DAYANA"/>
    <n v="12"/>
    <n v="0"/>
    <n v="400421"/>
  </r>
  <r>
    <s v="Retail"/>
    <s v="Q117 - Neiva - Cc Unico"/>
    <x v="10"/>
    <s v="septiembre"/>
    <n v="28"/>
    <d v="2026-09-28T00:00:00"/>
    <n v="1075243559"/>
    <s v="PINO  ORDOÑEZ KATHERINE ANDREA "/>
    <n v="60"/>
    <n v="0"/>
    <n v="2441849"/>
  </r>
  <r>
    <s v="Retail"/>
    <s v="Q117 - Neiva - Cc Unico"/>
    <x v="10"/>
    <s v="septiembre"/>
    <n v="28"/>
    <d v="2026-09-28T00:00:00"/>
    <n v="1075306881"/>
    <s v="PASTRANA GONZALEZ JUAN CAMILO"/>
    <n v="122"/>
    <n v="0"/>
    <n v="3957985"/>
  </r>
  <r>
    <s v="Retail"/>
    <s v="Q117 - Neiva - Cc Unico"/>
    <x v="10"/>
    <s v="septiembre"/>
    <n v="28"/>
    <d v="2026-09-28T00:00:00"/>
    <n v="1128626377"/>
    <s v="SANCHEZ LONDOÑO LUZ  ANGELA"/>
    <n v="35"/>
    <n v="0"/>
    <n v="1710419"/>
  </r>
  <r>
    <s v="Retail"/>
    <s v="Q117 - Neiva - Cc Unico"/>
    <x v="10"/>
    <s v="septiembre"/>
    <n v="29"/>
    <d v="2026-09-29T00:00:00"/>
    <m/>
    <m/>
    <n v="0"/>
    <n v="11276570"/>
    <n v="0"/>
  </r>
  <r>
    <s v="Retail"/>
    <s v="Q117 - Neiva - Cc Unico"/>
    <x v="10"/>
    <s v="septiembre"/>
    <n v="29"/>
    <d v="2026-09-29T00:00:00"/>
    <n v="1003813404"/>
    <s v="GAHONA ESPAÑA LEIDY  DAYANA"/>
    <n v="38"/>
    <n v="0"/>
    <n v="1190421"/>
  </r>
  <r>
    <s v="Retail"/>
    <s v="Q117 - Neiva - Cc Unico"/>
    <x v="10"/>
    <s v="septiembre"/>
    <n v="29"/>
    <d v="2026-09-29T00:00:00"/>
    <n v="1004155911"/>
    <s v="CASTRO CURACA DUVIER DANILO"/>
    <n v="50"/>
    <n v="0"/>
    <n v="1958783"/>
  </r>
  <r>
    <s v="Retail"/>
    <s v="Q117 - Neiva - Cc Unico"/>
    <x v="10"/>
    <s v="septiembre"/>
    <n v="29"/>
    <d v="2026-09-29T00:00:00"/>
    <n v="1075243559"/>
    <s v="PINO  ORDOÑEZ KATHERINE ANDREA "/>
    <n v="77"/>
    <n v="0"/>
    <n v="3241264"/>
  </r>
  <r>
    <s v="Retail"/>
    <s v="Q117 - Neiva - Cc Unico"/>
    <x v="10"/>
    <s v="septiembre"/>
    <n v="29"/>
    <d v="2026-09-29T00:00:00"/>
    <n v="1075306881"/>
    <s v="PASTRANA GONZALEZ JUAN CAMILO"/>
    <n v="40"/>
    <n v="0"/>
    <n v="1661428"/>
  </r>
  <r>
    <s v="Retail"/>
    <s v="Q117 - Neiva - Cc Unico"/>
    <x v="10"/>
    <s v="septiembre"/>
    <n v="30"/>
    <d v="2026-09-30T00:00:00"/>
    <m/>
    <m/>
    <n v="0"/>
    <n v="11648899"/>
    <n v="0"/>
  </r>
  <r>
    <s v="Retail"/>
    <s v="Q117 - Neiva - Cc Unico"/>
    <x v="10"/>
    <s v="septiembre"/>
    <n v="30"/>
    <d v="2026-09-30T00:00:00"/>
    <n v="1004155911"/>
    <s v="CASTRO CURACA DUVIER DANILO"/>
    <n v="62"/>
    <n v="0"/>
    <n v="2091891"/>
  </r>
  <r>
    <s v="Retail"/>
    <s v="Q117 - Neiva - Cc Unico"/>
    <x v="10"/>
    <s v="septiembre"/>
    <n v="30"/>
    <d v="2026-09-30T00:00:00"/>
    <n v="1075243559"/>
    <s v="PINO  ORDOÑEZ KATHERINE ANDREA "/>
    <n v="96"/>
    <n v="0"/>
    <n v="3872539"/>
  </r>
  <r>
    <s v="Retail"/>
    <s v="Q117 - Neiva - Cc Unico"/>
    <x v="10"/>
    <s v="septiembre"/>
    <n v="30"/>
    <d v="2026-09-30T00:00:00"/>
    <n v="1075306881"/>
    <s v="PASTRANA GONZALEZ JUAN CAMILO"/>
    <n v="126"/>
    <n v="0"/>
    <n v="5453027"/>
  </r>
  <r>
    <s v="Retail"/>
    <s v="Q117 - Neiva - Cc Unico"/>
    <x v="10"/>
    <s v="septiembre"/>
    <n v="30"/>
    <d v="2026-09-30T00:00:00"/>
    <n v="1128626377"/>
    <s v="SANCHEZ LONDOÑO LUZ  ANGELA"/>
    <n v="24"/>
    <n v="0"/>
    <n v="956556"/>
  </r>
  <r>
    <s v="Retail"/>
    <s v="Q117 - Neiva - Cc Unico"/>
    <x v="10"/>
    <s v="octubre"/>
    <n v="1"/>
    <d v="2026-10-01T00:00:00"/>
    <m/>
    <m/>
    <n v="0"/>
    <n v="13654863"/>
    <n v="0"/>
  </r>
  <r>
    <s v="Retail"/>
    <s v="Q117 - Neiva - Cc Unico"/>
    <x v="10"/>
    <s v="octubre"/>
    <n v="1"/>
    <d v="2026-10-01T00:00:00"/>
    <n v="1003813404"/>
    <s v="GAHONA ESPAÑA LEIDY  DAYANA"/>
    <n v="28"/>
    <n v="0"/>
    <n v="1153953"/>
  </r>
  <r>
    <s v="Retail"/>
    <s v="Q117 - Neiva - Cc Unico"/>
    <x v="10"/>
    <s v="octubre"/>
    <n v="1"/>
    <d v="2026-10-01T00:00:00"/>
    <n v="1004155911"/>
    <s v="CASTRO CURACA DUVIER DANILO"/>
    <n v="47"/>
    <n v="0"/>
    <n v="1419076"/>
  </r>
  <r>
    <s v="Retail"/>
    <s v="Q117 - Neiva - Cc Unico"/>
    <x v="10"/>
    <s v="octubre"/>
    <n v="1"/>
    <d v="2026-10-01T00:00:00"/>
    <n v="1075243559"/>
    <s v="PINO  ORDOÑEZ KATHERINE ANDREA "/>
    <n v="78"/>
    <n v="0"/>
    <n v="3311114"/>
  </r>
  <r>
    <s v="Retail"/>
    <s v="Q117 - Neiva - Cc Unico"/>
    <x v="10"/>
    <s v="octubre"/>
    <n v="1"/>
    <d v="2026-10-01T00:00:00"/>
    <n v="1075306881"/>
    <s v="PASTRANA GONZALEZ JUAN CAMILO"/>
    <n v="97"/>
    <n v="0"/>
    <n v="4347523"/>
  </r>
  <r>
    <s v="Retail"/>
    <s v="Q117 - Neiva - Cc Unico"/>
    <x v="10"/>
    <s v="octubre"/>
    <n v="1"/>
    <d v="2026-10-01T00:00:00"/>
    <n v="1128626377"/>
    <s v="SANCHEZ LONDOÑO LUZ  ANGELA"/>
    <n v="38"/>
    <n v="0"/>
    <n v="1659411"/>
  </r>
  <r>
    <s v="Retail"/>
    <s v="Q117 - Neiva - Cc Unico"/>
    <x v="10"/>
    <s v="octubre"/>
    <n v="2"/>
    <d v="2026-10-02T00:00:00"/>
    <m/>
    <m/>
    <n v="0"/>
    <n v="14872234"/>
    <n v="0"/>
  </r>
  <r>
    <s v="Retail"/>
    <s v="Q117 - Neiva - Cc Unico"/>
    <x v="10"/>
    <s v="octubre"/>
    <n v="2"/>
    <d v="2026-10-02T00:00:00"/>
    <n v="1003813404"/>
    <s v="GAHONA ESPAÑA LEIDY  DAYANA"/>
    <n v="23"/>
    <n v="0"/>
    <n v="734034"/>
  </r>
  <r>
    <s v="Retail"/>
    <s v="Q117 - Neiva - Cc Unico"/>
    <x v="10"/>
    <s v="octubre"/>
    <n v="2"/>
    <d v="2026-10-02T00:00:00"/>
    <n v="1004155911"/>
    <s v="CASTRO CURACA DUVIER DANILO"/>
    <n v="28"/>
    <n v="0"/>
    <n v="1090714"/>
  </r>
  <r>
    <s v="Retail"/>
    <s v="Q117 - Neiva - Cc Unico"/>
    <x v="10"/>
    <s v="octubre"/>
    <n v="2"/>
    <d v="2026-10-02T00:00:00"/>
    <n v="1075243559"/>
    <s v="PINO  ORDOÑEZ KATHERINE ANDREA "/>
    <n v="121"/>
    <n v="0"/>
    <n v="5094163"/>
  </r>
  <r>
    <s v="Retail"/>
    <s v="Q117 - Neiva - Cc Unico"/>
    <x v="10"/>
    <s v="octubre"/>
    <n v="2"/>
    <d v="2026-10-02T00:00:00"/>
    <n v="1075306881"/>
    <s v="PASTRANA GONZALEZ JUAN CAMILO"/>
    <n v="136"/>
    <n v="0"/>
    <n v="5508448"/>
  </r>
  <r>
    <s v="Retail"/>
    <s v="Q117 - Neiva - Cc Unico"/>
    <x v="10"/>
    <s v="octubre"/>
    <n v="2"/>
    <d v="2026-10-02T00:00:00"/>
    <n v="1128626377"/>
    <s v="SANCHEZ LONDOÑO LUZ  ANGELA"/>
    <n v="36"/>
    <n v="0"/>
    <n v="1480981"/>
  </r>
  <r>
    <s v="Retail"/>
    <s v="Q117 - Neiva - Cc Unico"/>
    <x v="10"/>
    <s v="octubre"/>
    <n v="3"/>
    <d v="2026-10-03T00:00:00"/>
    <m/>
    <m/>
    <n v="0"/>
    <n v="19465046"/>
    <n v="0"/>
  </r>
  <r>
    <s v="Retail"/>
    <s v="Q117 - Neiva - Cc Unico"/>
    <x v="10"/>
    <s v="octubre"/>
    <n v="3"/>
    <d v="2026-10-03T00:00:00"/>
    <n v="1003813404"/>
    <s v="GAHONA ESPAÑA LEIDY  DAYANA"/>
    <n v="33"/>
    <n v="0"/>
    <n v="1247044"/>
  </r>
  <r>
    <s v="Retail"/>
    <s v="Q117 - Neiva - Cc Unico"/>
    <x v="10"/>
    <s v="octubre"/>
    <n v="3"/>
    <d v="2026-10-03T00:00:00"/>
    <n v="1004155911"/>
    <s v="CASTRO CURACA DUVIER DANILO"/>
    <n v="68"/>
    <n v="0"/>
    <n v="2198562"/>
  </r>
  <r>
    <s v="Retail"/>
    <s v="Q117 - Neiva - Cc Unico"/>
    <x v="10"/>
    <s v="octubre"/>
    <n v="3"/>
    <d v="2026-10-03T00:00:00"/>
    <n v="1075243559"/>
    <s v="PINO  ORDOÑEZ KATHERINE ANDREA "/>
    <n v="142"/>
    <n v="0"/>
    <n v="5882750"/>
  </r>
  <r>
    <s v="Retail"/>
    <s v="Q117 - Neiva - Cc Unico"/>
    <x v="10"/>
    <s v="octubre"/>
    <n v="3"/>
    <d v="2026-10-03T00:00:00"/>
    <n v="1075306881"/>
    <s v="PASTRANA GONZALEZ JUAN CAMILO"/>
    <n v="180"/>
    <n v="0"/>
    <n v="7885584"/>
  </r>
  <r>
    <s v="Retail"/>
    <s v="Q117 - Neiva - Cc Unico"/>
    <x v="10"/>
    <s v="octubre"/>
    <n v="3"/>
    <d v="2026-10-03T00:00:00"/>
    <n v="1128626377"/>
    <s v="SANCHEZ LONDOÑO LUZ  ANGELA"/>
    <n v="57"/>
    <n v="0"/>
    <n v="2595296"/>
  </r>
  <r>
    <s v="Retail"/>
    <s v="Q117 - Neiva - Cc Unico"/>
    <x v="10"/>
    <s v="octubre"/>
    <n v="4"/>
    <d v="2026-10-04T00:00:00"/>
    <m/>
    <m/>
    <n v="0"/>
    <n v="14957245"/>
    <n v="0"/>
  </r>
  <r>
    <s v="Retail"/>
    <s v="Q117 - Neiva - Cc Unico"/>
    <x v="10"/>
    <s v="octubre"/>
    <n v="4"/>
    <d v="2026-10-04T00:00:00"/>
    <n v="1003813404"/>
    <s v="GAHONA ESPAÑA LEIDY  DAYANA"/>
    <n v="17"/>
    <n v="0"/>
    <n v="713236"/>
  </r>
  <r>
    <s v="Retail"/>
    <s v="Q117 - Neiva - Cc Unico"/>
    <x v="10"/>
    <s v="octubre"/>
    <n v="4"/>
    <d v="2026-10-04T00:00:00"/>
    <n v="1004155911"/>
    <s v="CASTRO CURACA DUVIER DANILO"/>
    <n v="58"/>
    <n v="0"/>
    <n v="2698151"/>
  </r>
  <r>
    <s v="Retail"/>
    <s v="Q117 - Neiva - Cc Unico"/>
    <x v="10"/>
    <s v="octubre"/>
    <n v="4"/>
    <d v="2026-10-04T00:00:00"/>
    <n v="1075243559"/>
    <s v="PINO  ORDOÑEZ KATHERINE ANDREA "/>
    <n v="120"/>
    <n v="0"/>
    <n v="6012455"/>
  </r>
  <r>
    <s v="Retail"/>
    <s v="Q117 - Neiva - Cc Unico"/>
    <x v="10"/>
    <s v="octubre"/>
    <n v="4"/>
    <d v="2026-10-04T00:00:00"/>
    <n v="1075306881"/>
    <s v="PASTRANA GONZALEZ JUAN CAMILO"/>
    <n v="123"/>
    <n v="0"/>
    <n v="5950802"/>
  </r>
  <r>
    <s v="Retail"/>
    <s v="Q117 - Neiva - Cc Unico"/>
    <x v="10"/>
    <s v="octubre"/>
    <n v="4"/>
    <d v="2026-10-04T00:00:00"/>
    <n v="1128626377"/>
    <s v="SANCHEZ LONDOÑO LUZ  ANGELA"/>
    <n v="63"/>
    <n v="0"/>
    <n v="2712691"/>
  </r>
  <r>
    <s v="Retail"/>
    <s v="Q117 - Neiva - Cc Unico"/>
    <x v="10"/>
    <s v="octubre"/>
    <n v="5"/>
    <d v="2026-10-05T00:00:00"/>
    <m/>
    <m/>
    <n v="0"/>
    <n v="7015224"/>
    <n v="0"/>
  </r>
  <r>
    <s v="Retail"/>
    <s v="Q117 - Neiva - Cc Unico"/>
    <x v="10"/>
    <s v="octubre"/>
    <n v="5"/>
    <d v="2026-10-05T00:00:00"/>
    <n v="1004155911"/>
    <s v="CASTRO CURACA DUVIER DANILO"/>
    <n v="3"/>
    <n v="0"/>
    <n v="123823"/>
  </r>
  <r>
    <s v="Retail"/>
    <s v="Q117 - Neiva - Cc Unico"/>
    <x v="10"/>
    <s v="octubre"/>
    <n v="5"/>
    <d v="2026-10-05T00:00:00"/>
    <n v="1075243559"/>
    <s v="PINO  ORDOÑEZ KATHERINE ANDREA "/>
    <n v="101"/>
    <n v="0"/>
    <n v="4355505"/>
  </r>
  <r>
    <s v="Retail"/>
    <s v="Q117 - Neiva - Cc Unico"/>
    <x v="10"/>
    <s v="octubre"/>
    <n v="5"/>
    <d v="2026-10-05T00:00:00"/>
    <n v="1075306881"/>
    <s v="PASTRANA GONZALEZ JUAN CAMILO"/>
    <n v="73"/>
    <n v="0"/>
    <n v="2829539"/>
  </r>
  <r>
    <s v="Retail"/>
    <s v="Q117 - Neiva - Cc Unico"/>
    <x v="10"/>
    <s v="octubre"/>
    <n v="6"/>
    <d v="2026-10-06T00:00:00"/>
    <m/>
    <m/>
    <n v="0"/>
    <n v="4021302"/>
    <n v="0"/>
  </r>
  <r>
    <s v="Retail"/>
    <s v="Q117 - Neiva - Cc Unico"/>
    <x v="10"/>
    <s v="octubre"/>
    <n v="6"/>
    <d v="2026-10-06T00:00:00"/>
    <n v="1003813404"/>
    <s v="GAHONA ESPAÑA LEIDY  DAYANA"/>
    <n v="13"/>
    <n v="0"/>
    <n v="511638"/>
  </r>
  <r>
    <s v="Retail"/>
    <s v="Q117 - Neiva - Cc Unico"/>
    <x v="10"/>
    <s v="octubre"/>
    <n v="6"/>
    <d v="2026-10-06T00:00:00"/>
    <n v="1004155911"/>
    <s v="CASTRO CURACA DUVIER DANILO"/>
    <n v="26"/>
    <n v="0"/>
    <n v="1055295"/>
  </r>
  <r>
    <s v="Retail"/>
    <s v="Q117 - Neiva - Cc Unico"/>
    <x v="10"/>
    <s v="octubre"/>
    <n v="6"/>
    <d v="2026-10-06T00:00:00"/>
    <n v="1075243559"/>
    <s v="PINO  ORDOÑEZ KATHERINE ANDREA "/>
    <n v="0"/>
    <n v="0"/>
    <n v="16891"/>
  </r>
  <r>
    <s v="Retail"/>
    <s v="Q117 - Neiva - Cc Unico"/>
    <x v="10"/>
    <s v="octubre"/>
    <n v="6"/>
    <d v="2026-10-06T00:00:00"/>
    <n v="1075306881"/>
    <s v="PASTRANA GONZALEZ JUAN CAMILO"/>
    <n v="86"/>
    <n v="0"/>
    <n v="3293405"/>
  </r>
  <r>
    <s v="Retail"/>
    <s v="Q117 - Neiva - Cc Unico"/>
    <x v="10"/>
    <s v="octubre"/>
    <n v="7"/>
    <d v="2026-10-07T00:00:00"/>
    <m/>
    <m/>
    <n v="0"/>
    <n v="3989708"/>
    <n v="0"/>
  </r>
  <r>
    <s v="Retail"/>
    <s v="Q117 - Neiva - Cc Unico"/>
    <x v="10"/>
    <s v="octubre"/>
    <n v="7"/>
    <d v="2026-10-07T00:00:00"/>
    <n v="1003813404"/>
    <s v="GAHONA ESPAÑA LEIDY  DAYANA"/>
    <n v="8"/>
    <n v="0"/>
    <n v="222311"/>
  </r>
  <r>
    <s v="Retail"/>
    <s v="Q117 - Neiva - Cc Unico"/>
    <x v="10"/>
    <s v="octubre"/>
    <n v="7"/>
    <d v="2026-10-07T00:00:00"/>
    <n v="1075243559"/>
    <s v="PINO  ORDOÑEZ KATHERINE ANDREA "/>
    <n v="48"/>
    <n v="0"/>
    <n v="1938321"/>
  </r>
  <r>
    <s v="Retail"/>
    <s v="Q117 - Neiva - Cc Unico"/>
    <x v="10"/>
    <s v="octubre"/>
    <n v="7"/>
    <d v="2026-10-07T00:00:00"/>
    <n v="1075306881"/>
    <s v="PASTRANA GONZALEZ JUAN CAMILO"/>
    <n v="53"/>
    <n v="0"/>
    <n v="2094639"/>
  </r>
  <r>
    <s v="Retail"/>
    <s v="Q117 - Neiva - Cc Unico"/>
    <x v="10"/>
    <s v="octubre"/>
    <n v="7"/>
    <d v="2026-10-07T00:00:00"/>
    <n v="1128626377"/>
    <s v="SANCHEZ LONDOÑO LUZ  ANGELA"/>
    <n v="9"/>
    <n v="0"/>
    <n v="428110"/>
  </r>
  <r>
    <s v="Retail"/>
    <s v="Q145 Neiva - CC Unicentro"/>
    <x v="10"/>
    <s v="septiembre"/>
    <n v="23"/>
    <d v="2026-09-23T00:00:00"/>
    <m/>
    <m/>
    <n v="0"/>
    <n v="4670874"/>
    <n v="0"/>
  </r>
  <r>
    <s v="Retail"/>
    <s v="Q145 Neiva - CC Unicentro"/>
    <x v="10"/>
    <s v="septiembre"/>
    <n v="23"/>
    <d v="2026-09-23T00:00:00"/>
    <n v="1075218260"/>
    <s v="MOSQUERA SANCHEZ CATALINA"/>
    <n v="25"/>
    <n v="0"/>
    <n v="1404330"/>
  </r>
  <r>
    <s v="Retail"/>
    <s v="Q145 Neiva - CC Unicentro"/>
    <x v="10"/>
    <s v="septiembre"/>
    <n v="23"/>
    <d v="2026-09-23T00:00:00"/>
    <n v="1075307490"/>
    <s v="VARGAS MONTEALEGRE CRISTIAN  FELIPE"/>
    <n v="8"/>
    <n v="0"/>
    <n v="356808"/>
  </r>
  <r>
    <s v="Retail"/>
    <s v="Q145 Neiva - CC Unicentro"/>
    <x v="10"/>
    <s v="septiembre"/>
    <n v="23"/>
    <d v="2026-09-23T00:00:00"/>
    <n v="1075790352"/>
    <s v="NINCO COLLAZOS NATHALIA"/>
    <n v="3"/>
    <n v="0"/>
    <n v="113320"/>
  </r>
  <r>
    <s v="Retail"/>
    <s v="Q145 Neiva - CC Unicentro"/>
    <x v="10"/>
    <s v="septiembre"/>
    <n v="23"/>
    <d v="2026-09-23T00:00:00"/>
    <n v="1083984650"/>
    <s v="BENAVIDEZ BOLAÑOS LAURA SOFIA"/>
    <n v="28"/>
    <n v="0"/>
    <n v="1463067"/>
  </r>
  <r>
    <s v="Retail"/>
    <s v="Q145 Neiva - CC Unicentro"/>
    <x v="10"/>
    <s v="septiembre"/>
    <n v="24"/>
    <d v="2026-09-24T00:00:00"/>
    <m/>
    <m/>
    <n v="0"/>
    <n v="7135284"/>
    <n v="0"/>
  </r>
  <r>
    <s v="Retail"/>
    <s v="Q145 Neiva - CC Unicentro"/>
    <x v="10"/>
    <s v="septiembre"/>
    <n v="24"/>
    <d v="2026-09-24T00:00:00"/>
    <n v="1075218260"/>
    <s v="MOSQUERA SANCHEZ CATALINA"/>
    <n v="25"/>
    <n v="0"/>
    <n v="1620717"/>
  </r>
  <r>
    <s v="Retail"/>
    <s v="Q145 Neiva - CC Unicentro"/>
    <x v="10"/>
    <s v="septiembre"/>
    <n v="24"/>
    <d v="2026-09-24T00:00:00"/>
    <n v="1075307490"/>
    <s v="VARGAS MONTEALEGRE CRISTIAN  FELIPE"/>
    <n v="8"/>
    <n v="0"/>
    <n v="386219"/>
  </r>
  <r>
    <s v="Retail"/>
    <s v="Q145 Neiva - CC Unicentro"/>
    <x v="10"/>
    <s v="septiembre"/>
    <n v="24"/>
    <d v="2026-09-24T00:00:00"/>
    <n v="1075790352"/>
    <s v="NINCO COLLAZOS NATHALIA"/>
    <n v="7"/>
    <n v="0"/>
    <n v="340043"/>
  </r>
  <r>
    <s v="Retail"/>
    <s v="Q145 Neiva - CC Unicentro"/>
    <x v="10"/>
    <s v="septiembre"/>
    <n v="24"/>
    <d v="2026-09-24T00:00:00"/>
    <n v="1083984650"/>
    <s v="BENAVIDEZ BOLAÑOS LAURA SOFIA"/>
    <n v="23"/>
    <n v="0"/>
    <n v="1091430"/>
  </r>
  <r>
    <s v="Retail"/>
    <s v="Q145 Neiva - CC Unicentro"/>
    <x v="10"/>
    <s v="septiembre"/>
    <n v="25"/>
    <d v="2026-09-25T00:00:00"/>
    <m/>
    <m/>
    <n v="0"/>
    <n v="7119485"/>
    <n v="0"/>
  </r>
  <r>
    <s v="Retail"/>
    <s v="Q145 Neiva - CC Unicentro"/>
    <x v="10"/>
    <s v="septiembre"/>
    <n v="25"/>
    <d v="2026-09-25T00:00:00"/>
    <n v="1075218260"/>
    <s v="MOSQUERA SANCHEZ CATALINA"/>
    <n v="32"/>
    <n v="0"/>
    <n v="1643573"/>
  </r>
  <r>
    <s v="Retail"/>
    <s v="Q145 Neiva - CC Unicentro"/>
    <x v="10"/>
    <s v="septiembre"/>
    <n v="25"/>
    <d v="2026-09-25T00:00:00"/>
    <n v="1075307490"/>
    <s v="VARGAS MONTEALEGRE CRISTIAN  FELIPE"/>
    <n v="7"/>
    <n v="0"/>
    <n v="344244"/>
  </r>
  <r>
    <s v="Retail"/>
    <s v="Q145 Neiva - CC Unicentro"/>
    <x v="10"/>
    <s v="septiembre"/>
    <n v="25"/>
    <d v="2026-09-25T00:00:00"/>
    <n v="1075790352"/>
    <s v="NINCO COLLAZOS NATHALIA"/>
    <n v="5"/>
    <n v="0"/>
    <n v="226682"/>
  </r>
  <r>
    <s v="Retail"/>
    <s v="Q145 Neiva - CC Unicentro"/>
    <x v="10"/>
    <s v="septiembre"/>
    <n v="25"/>
    <d v="2026-09-25T00:00:00"/>
    <n v="1083984650"/>
    <s v="BENAVIDEZ BOLAÑOS LAURA SOFIA"/>
    <n v="29"/>
    <n v="0"/>
    <n v="1662651"/>
  </r>
  <r>
    <s v="Retail"/>
    <s v="Q145 Neiva - CC Unicentro"/>
    <x v="10"/>
    <s v="septiembre"/>
    <n v="26"/>
    <d v="2026-09-26T00:00:00"/>
    <m/>
    <m/>
    <n v="0"/>
    <n v="10231724"/>
    <n v="0"/>
  </r>
  <r>
    <s v="Retail"/>
    <s v="Q145 Neiva - CC Unicentro"/>
    <x v="10"/>
    <s v="septiembre"/>
    <n v="26"/>
    <d v="2026-09-26T00:00:00"/>
    <n v="1075218260"/>
    <s v="MOSQUERA SANCHEZ CATALINA"/>
    <n v="61"/>
    <n v="0"/>
    <n v="3749456"/>
  </r>
  <r>
    <s v="Retail"/>
    <s v="Q145 Neiva - CC Unicentro"/>
    <x v="10"/>
    <s v="septiembre"/>
    <n v="26"/>
    <d v="2026-09-26T00:00:00"/>
    <n v="1075307490"/>
    <s v="VARGAS MONTEALEGRE CRISTIAN  FELIPE"/>
    <n v="7"/>
    <n v="0"/>
    <n v="371555"/>
  </r>
  <r>
    <s v="Retail"/>
    <s v="Q145 Neiva - CC Unicentro"/>
    <x v="10"/>
    <s v="septiembre"/>
    <n v="26"/>
    <d v="2026-09-26T00:00:00"/>
    <n v="1075790352"/>
    <s v="NINCO COLLAZOS NATHALIA"/>
    <n v="9"/>
    <n v="0"/>
    <n v="453405"/>
  </r>
  <r>
    <s v="Retail"/>
    <s v="Q145 Neiva - CC Unicentro"/>
    <x v="10"/>
    <s v="septiembre"/>
    <n v="26"/>
    <d v="2026-09-26T00:00:00"/>
    <n v="1083984650"/>
    <s v="BENAVIDEZ BOLAÑOS LAURA SOFIA"/>
    <n v="51"/>
    <n v="0"/>
    <n v="2850760"/>
  </r>
  <r>
    <s v="Retail"/>
    <s v="Q145 Neiva - CC Unicentro"/>
    <x v="10"/>
    <s v="septiembre"/>
    <n v="27"/>
    <d v="2026-09-27T00:00:00"/>
    <m/>
    <m/>
    <n v="0"/>
    <n v="8105587"/>
    <n v="0"/>
  </r>
  <r>
    <s v="Retail"/>
    <s v="Q145 Neiva - CC Unicentro"/>
    <x v="10"/>
    <s v="septiembre"/>
    <n v="27"/>
    <d v="2026-09-27T00:00:00"/>
    <n v="1075218260"/>
    <s v="MOSQUERA SANCHEZ CATALINA"/>
    <n v="40"/>
    <n v="0"/>
    <n v="2170548"/>
  </r>
  <r>
    <s v="Retail"/>
    <s v="Q145 Neiva - CC Unicentro"/>
    <x v="10"/>
    <s v="septiembre"/>
    <n v="27"/>
    <d v="2026-09-27T00:00:00"/>
    <n v="1075307490"/>
    <s v="VARGAS MONTEALEGRE CRISTIAN  FELIPE"/>
    <n v="9"/>
    <n v="0"/>
    <n v="541597"/>
  </r>
  <r>
    <s v="Retail"/>
    <s v="Q145 Neiva - CC Unicentro"/>
    <x v="10"/>
    <s v="septiembre"/>
    <n v="27"/>
    <d v="2026-09-27T00:00:00"/>
    <n v="1075790352"/>
    <s v="NINCO COLLAZOS NATHALIA"/>
    <n v="10"/>
    <n v="0"/>
    <n v="528993"/>
  </r>
  <r>
    <s v="Retail"/>
    <s v="Q145 Neiva - CC Unicentro"/>
    <x v="10"/>
    <s v="septiembre"/>
    <n v="27"/>
    <d v="2026-09-27T00:00:00"/>
    <n v="1083984650"/>
    <s v="BENAVIDEZ BOLAÑOS LAURA SOFIA"/>
    <n v="43"/>
    <n v="0"/>
    <n v="2598952"/>
  </r>
  <r>
    <s v="Retail"/>
    <s v="Q145 Neiva - CC Unicentro"/>
    <x v="10"/>
    <s v="septiembre"/>
    <n v="28"/>
    <d v="2026-09-28T00:00:00"/>
    <m/>
    <m/>
    <n v="0"/>
    <n v="4460982"/>
    <n v="0"/>
  </r>
  <r>
    <s v="Retail"/>
    <s v="Q145 Neiva - CC Unicentro"/>
    <x v="10"/>
    <s v="septiembre"/>
    <n v="28"/>
    <d v="2026-09-28T00:00:00"/>
    <n v="1075218260"/>
    <s v="MOSQUERA SANCHEZ CATALINA"/>
    <n v="19"/>
    <n v="0"/>
    <n v="1196639"/>
  </r>
  <r>
    <s v="Retail"/>
    <s v="Q145 Neiva - CC Unicentro"/>
    <x v="10"/>
    <s v="septiembre"/>
    <n v="28"/>
    <d v="2026-09-28T00:00:00"/>
    <n v="1075307490"/>
    <s v="VARGAS MONTEALEGRE CRISTIAN  FELIPE"/>
    <n v="5"/>
    <n v="0"/>
    <n v="314916"/>
  </r>
  <r>
    <s v="Retail"/>
    <s v="Q145 Neiva - CC Unicentro"/>
    <x v="10"/>
    <s v="septiembre"/>
    <n v="28"/>
    <d v="2026-09-28T00:00:00"/>
    <n v="1075790352"/>
    <s v="NINCO COLLAZOS NATHALIA"/>
    <n v="10"/>
    <n v="0"/>
    <n v="423949"/>
  </r>
  <r>
    <s v="Retail"/>
    <s v="Q145 Neiva - CC Unicentro"/>
    <x v="10"/>
    <s v="septiembre"/>
    <n v="28"/>
    <d v="2026-09-28T00:00:00"/>
    <n v="1083984650"/>
    <s v="BENAVIDEZ BOLAÑOS LAURA SOFIA"/>
    <n v="30"/>
    <n v="0"/>
    <n v="1872606"/>
  </r>
  <r>
    <s v="Retail"/>
    <s v="Q145 Neiva - CC Unicentro"/>
    <x v="10"/>
    <s v="septiembre"/>
    <n v="29"/>
    <d v="2026-09-29T00:00:00"/>
    <m/>
    <m/>
    <n v="0"/>
    <n v="4765203"/>
    <n v="0"/>
  </r>
  <r>
    <s v="Retail"/>
    <s v="Q145 Neiva - CC Unicentro"/>
    <x v="10"/>
    <s v="septiembre"/>
    <n v="29"/>
    <d v="2026-09-29T00:00:00"/>
    <n v="1075218260"/>
    <s v="MOSQUERA SANCHEZ CATALINA"/>
    <n v="24"/>
    <n v="0"/>
    <n v="1545085"/>
  </r>
  <r>
    <s v="Retail"/>
    <s v="Q145 Neiva - CC Unicentro"/>
    <x v="10"/>
    <s v="septiembre"/>
    <n v="29"/>
    <d v="2026-09-29T00:00:00"/>
    <n v="1075307490"/>
    <s v="VARGAS MONTEALEGRE CRISTIAN  FELIPE"/>
    <n v="7"/>
    <n v="0"/>
    <n v="352605"/>
  </r>
  <r>
    <s v="Retail"/>
    <s v="Q145 Neiva - CC Unicentro"/>
    <x v="10"/>
    <s v="septiembre"/>
    <n v="29"/>
    <d v="2026-09-29T00:00:00"/>
    <n v="1075790352"/>
    <s v="NINCO COLLAZOS NATHALIA"/>
    <n v="14"/>
    <n v="0"/>
    <n v="663151"/>
  </r>
  <r>
    <s v="Retail"/>
    <s v="Q145 Neiva - CC Unicentro"/>
    <x v="10"/>
    <s v="septiembre"/>
    <n v="29"/>
    <d v="2026-09-29T00:00:00"/>
    <n v="1083984650"/>
    <s v="BENAVIDEZ BOLAÑOS LAURA SOFIA"/>
    <n v="34"/>
    <n v="0"/>
    <n v="1828280"/>
  </r>
  <r>
    <s v="Retail"/>
    <s v="Q145 Neiva - CC Unicentro"/>
    <x v="10"/>
    <s v="septiembre"/>
    <n v="30"/>
    <d v="2026-09-30T00:00:00"/>
    <m/>
    <m/>
    <n v="0"/>
    <n v="4922538"/>
    <n v="0"/>
  </r>
  <r>
    <s v="Retail"/>
    <s v="Q145 Neiva - CC Unicentro"/>
    <x v="10"/>
    <s v="septiembre"/>
    <n v="30"/>
    <d v="2026-09-30T00:00:00"/>
    <n v="1004155911"/>
    <s v="CASTRO CURACA DUVIER DANILO"/>
    <n v="-1"/>
    <n v="0"/>
    <n v="-50336"/>
  </r>
  <r>
    <s v="Retail"/>
    <s v="Q145 Neiva - CC Unicentro"/>
    <x v="10"/>
    <s v="septiembre"/>
    <n v="30"/>
    <d v="2026-09-30T00:00:00"/>
    <n v="1075218260"/>
    <s v="MOSQUERA SANCHEZ CATALINA"/>
    <n v="23"/>
    <n v="0"/>
    <n v="1103597"/>
  </r>
  <r>
    <s v="Retail"/>
    <s v="Q145 Neiva - CC Unicentro"/>
    <x v="10"/>
    <s v="septiembre"/>
    <n v="30"/>
    <d v="2026-09-30T00:00:00"/>
    <n v="1075307490"/>
    <s v="VARGAS MONTEALEGRE CRISTIAN  FELIPE"/>
    <n v="6"/>
    <n v="0"/>
    <n v="319076"/>
  </r>
  <r>
    <s v="Retail"/>
    <s v="Q145 Neiva - CC Unicentro"/>
    <x v="10"/>
    <s v="septiembre"/>
    <n v="30"/>
    <d v="2026-09-30T00:00:00"/>
    <n v="1075790352"/>
    <s v="NINCO COLLAZOS NATHALIA"/>
    <n v="13"/>
    <n v="0"/>
    <n v="806178"/>
  </r>
  <r>
    <s v="Retail"/>
    <s v="Q145 Neiva - CC Unicentro"/>
    <x v="10"/>
    <s v="septiembre"/>
    <n v="30"/>
    <d v="2026-09-30T00:00:00"/>
    <n v="1083984650"/>
    <s v="BENAVIDEZ BOLAÑOS LAURA SOFIA"/>
    <n v="18"/>
    <n v="0"/>
    <n v="854287"/>
  </r>
  <r>
    <s v="Retail"/>
    <s v="Q145 Neiva - CC Unicentro"/>
    <x v="10"/>
    <s v="octubre"/>
    <n v="1"/>
    <d v="2026-10-01T00:00:00"/>
    <m/>
    <m/>
    <n v="0"/>
    <n v="4711291"/>
    <n v="0"/>
  </r>
  <r>
    <s v="Retail"/>
    <s v="Q145 Neiva - CC Unicentro"/>
    <x v="10"/>
    <s v="octubre"/>
    <n v="1"/>
    <d v="2026-10-01T00:00:00"/>
    <n v="1075218260"/>
    <s v="MOSQUERA SANCHEZ CATALINA"/>
    <n v="23"/>
    <n v="0"/>
    <n v="1541010"/>
  </r>
  <r>
    <s v="Retail"/>
    <s v="Q145 Neiva - CC Unicentro"/>
    <x v="10"/>
    <s v="octubre"/>
    <n v="1"/>
    <d v="2026-10-01T00:00:00"/>
    <n v="1075307490"/>
    <s v="VARGAS MONTEALEGRE CRISTIAN  FELIPE"/>
    <n v="9"/>
    <n v="0"/>
    <n v="461808"/>
  </r>
  <r>
    <s v="Retail"/>
    <s v="Q145 Neiva - CC Unicentro"/>
    <x v="10"/>
    <s v="octubre"/>
    <n v="1"/>
    <d v="2026-10-01T00:00:00"/>
    <n v="1075790352"/>
    <s v="NINCO COLLAZOS NATHALIA"/>
    <n v="17"/>
    <n v="0"/>
    <n v="1230338"/>
  </r>
  <r>
    <s v="Retail"/>
    <s v="Q145 Neiva - CC Unicentro"/>
    <x v="10"/>
    <s v="octubre"/>
    <n v="1"/>
    <d v="2026-10-01T00:00:00"/>
    <n v="1083984650"/>
    <s v="BENAVIDEZ BOLAÑOS LAURA SOFIA"/>
    <n v="11"/>
    <n v="0"/>
    <n v="621387"/>
  </r>
  <r>
    <s v="Retail"/>
    <s v="Q145 Neiva - CC Unicentro"/>
    <x v="10"/>
    <s v="octubre"/>
    <n v="2"/>
    <d v="2026-10-02T00:00:00"/>
    <m/>
    <m/>
    <n v="0"/>
    <n v="6364544"/>
    <n v="0"/>
  </r>
  <r>
    <s v="Retail"/>
    <s v="Q145 Neiva - CC Unicentro"/>
    <x v="10"/>
    <s v="octubre"/>
    <n v="2"/>
    <d v="2026-10-02T00:00:00"/>
    <n v="1075218260"/>
    <s v="MOSQUERA SANCHEZ CATALINA"/>
    <n v="60"/>
    <n v="0"/>
    <n v="3358488"/>
  </r>
  <r>
    <s v="Retail"/>
    <s v="Q145 Neiva - CC Unicentro"/>
    <x v="10"/>
    <s v="octubre"/>
    <n v="2"/>
    <d v="2026-10-02T00:00:00"/>
    <n v="1075307490"/>
    <s v="VARGAS MONTEALEGRE CRISTIAN  FELIPE"/>
    <n v="23"/>
    <n v="0"/>
    <n v="1511513"/>
  </r>
  <r>
    <s v="Retail"/>
    <s v="Q145 Neiva - CC Unicentro"/>
    <x v="10"/>
    <s v="octubre"/>
    <n v="2"/>
    <d v="2026-10-02T00:00:00"/>
    <n v="1075790352"/>
    <s v="NINCO COLLAZOS NATHALIA"/>
    <n v="11"/>
    <n v="0"/>
    <n v="415463"/>
  </r>
  <r>
    <s v="Retail"/>
    <s v="Q145 Neiva - CC Unicentro"/>
    <x v="10"/>
    <s v="octubre"/>
    <n v="2"/>
    <d v="2026-10-02T00:00:00"/>
    <n v="1083984650"/>
    <s v="BENAVIDEZ BOLAÑOS LAURA SOFIA"/>
    <n v="25"/>
    <n v="0"/>
    <n v="1141721"/>
  </r>
  <r>
    <s v="Retail"/>
    <s v="Q145 Neiva - CC Unicentro"/>
    <x v="10"/>
    <s v="octubre"/>
    <n v="3"/>
    <d v="2026-10-03T00:00:00"/>
    <m/>
    <m/>
    <n v="0"/>
    <n v="7270809"/>
    <n v="0"/>
  </r>
  <r>
    <s v="Retail"/>
    <s v="Q145 Neiva - CC Unicentro"/>
    <x v="10"/>
    <s v="octubre"/>
    <n v="3"/>
    <d v="2026-10-03T00:00:00"/>
    <n v="1075218260"/>
    <s v="MOSQUERA SANCHEZ CATALINA"/>
    <n v="51"/>
    <n v="0"/>
    <n v="2533237"/>
  </r>
  <r>
    <s v="Retail"/>
    <s v="Q145 Neiva - CC Unicentro"/>
    <x v="10"/>
    <s v="octubre"/>
    <n v="3"/>
    <d v="2026-10-03T00:00:00"/>
    <n v="1075307490"/>
    <s v="VARGAS MONTEALEGRE CRISTIAN  FELIPE"/>
    <n v="8"/>
    <n v="0"/>
    <n v="338295"/>
  </r>
  <r>
    <s v="Retail"/>
    <s v="Q145 Neiva - CC Unicentro"/>
    <x v="10"/>
    <s v="octubre"/>
    <n v="3"/>
    <d v="2026-10-03T00:00:00"/>
    <n v="1075790352"/>
    <s v="NINCO COLLAZOS NATHALIA"/>
    <n v="14"/>
    <n v="0"/>
    <n v="576344"/>
  </r>
  <r>
    <s v="Retail"/>
    <s v="Q145 Neiva - CC Unicentro"/>
    <x v="10"/>
    <s v="octubre"/>
    <n v="3"/>
    <d v="2026-10-03T00:00:00"/>
    <n v="1083984650"/>
    <s v="BENAVIDEZ BOLAÑOS LAURA SOFIA"/>
    <n v="74"/>
    <n v="0"/>
    <n v="3478979"/>
  </r>
  <r>
    <s v="Retail"/>
    <s v="Q145 Neiva - CC Unicentro"/>
    <x v="10"/>
    <s v="octubre"/>
    <n v="4"/>
    <d v="2026-10-04T00:00:00"/>
    <m/>
    <m/>
    <n v="0"/>
    <n v="6893988"/>
    <n v="0"/>
  </r>
  <r>
    <s v="Retail"/>
    <s v="Q145 Neiva - CC Unicentro"/>
    <x v="10"/>
    <s v="octubre"/>
    <n v="4"/>
    <d v="2026-10-04T00:00:00"/>
    <n v="1075218260"/>
    <s v="MOSQUERA SANCHEZ CATALINA"/>
    <n v="41"/>
    <n v="0"/>
    <n v="2538111"/>
  </r>
  <r>
    <s v="Retail"/>
    <s v="Q145 Neiva - CC Unicentro"/>
    <x v="10"/>
    <s v="octubre"/>
    <n v="4"/>
    <d v="2026-10-04T00:00:00"/>
    <n v="1075307490"/>
    <s v="VARGAS MONTEALEGRE CRISTIAN  FELIPE"/>
    <n v="11"/>
    <n v="0"/>
    <n v="480588"/>
  </r>
  <r>
    <s v="Retail"/>
    <s v="Q145 Neiva - CC Unicentro"/>
    <x v="10"/>
    <s v="octubre"/>
    <n v="4"/>
    <d v="2026-10-04T00:00:00"/>
    <n v="1075790352"/>
    <s v="NINCO COLLAZOS NATHALIA"/>
    <n v="9"/>
    <n v="0"/>
    <n v="423991"/>
  </r>
  <r>
    <s v="Retail"/>
    <s v="Q145 Neiva - CC Unicentro"/>
    <x v="10"/>
    <s v="octubre"/>
    <n v="4"/>
    <d v="2026-10-04T00:00:00"/>
    <n v="1083984650"/>
    <s v="BENAVIDEZ BOLAÑOS LAURA SOFIA"/>
    <n v="49"/>
    <n v="0"/>
    <n v="2255926"/>
  </r>
  <r>
    <s v="Retail"/>
    <s v="Q145 Neiva - CC Unicentro"/>
    <x v="10"/>
    <s v="octubre"/>
    <n v="5"/>
    <d v="2026-10-05T00:00:00"/>
    <m/>
    <m/>
    <n v="0"/>
    <n v="3017305"/>
    <n v="0"/>
  </r>
  <r>
    <s v="Retail"/>
    <s v="Q145 Neiva - CC Unicentro"/>
    <x v="10"/>
    <s v="octubre"/>
    <n v="5"/>
    <d v="2026-10-05T00:00:00"/>
    <n v="1075218260"/>
    <s v="MOSQUERA SANCHEZ CATALINA"/>
    <n v="30"/>
    <n v="0"/>
    <n v="1755001"/>
  </r>
  <r>
    <s v="Retail"/>
    <s v="Q145 Neiva - CC Unicentro"/>
    <x v="10"/>
    <s v="octubre"/>
    <n v="5"/>
    <d v="2026-10-05T00:00:00"/>
    <n v="1075307490"/>
    <s v="VARGAS MONTEALEGRE CRISTIAN  FELIPE"/>
    <n v="1"/>
    <n v="0"/>
    <n v="67185"/>
  </r>
  <r>
    <s v="Retail"/>
    <s v="Q145 Neiva - CC Unicentro"/>
    <x v="10"/>
    <s v="octubre"/>
    <n v="5"/>
    <d v="2026-10-05T00:00:00"/>
    <n v="1075790352"/>
    <s v="NINCO COLLAZOS NATHALIA"/>
    <n v="1"/>
    <n v="0"/>
    <n v="109202"/>
  </r>
  <r>
    <s v="Retail"/>
    <s v="Q145 Neiva - CC Unicentro"/>
    <x v="10"/>
    <s v="octubre"/>
    <n v="5"/>
    <d v="2026-10-05T00:00:00"/>
    <n v="1083984650"/>
    <s v="BENAVIDEZ BOLAÑOS LAURA SOFIA"/>
    <n v="16"/>
    <n v="0"/>
    <n v="879498"/>
  </r>
  <r>
    <s v="Retail"/>
    <s v="Q145 Neiva - CC Unicentro"/>
    <x v="10"/>
    <s v="octubre"/>
    <n v="6"/>
    <d v="2026-10-06T00:00:00"/>
    <m/>
    <m/>
    <n v="0"/>
    <n v="2789204"/>
    <n v="0"/>
  </r>
  <r>
    <s v="Retail"/>
    <s v="Q145 Neiva - CC Unicentro"/>
    <x v="10"/>
    <s v="octubre"/>
    <n v="6"/>
    <d v="2026-10-06T00:00:00"/>
    <n v="1075218260"/>
    <s v="MOSQUERA SANCHEZ CATALINA"/>
    <n v="15"/>
    <n v="0"/>
    <n v="677900"/>
  </r>
  <r>
    <s v="Retail"/>
    <s v="Q145 Neiva - CC Unicentro"/>
    <x v="10"/>
    <s v="octubre"/>
    <n v="6"/>
    <d v="2026-10-06T00:00:00"/>
    <n v="1075306881"/>
    <s v="PASTRANA GONZALEZ JUAN CAMILO"/>
    <n v="-1"/>
    <n v="0"/>
    <n v="-41975"/>
  </r>
  <r>
    <s v="Retail"/>
    <s v="Q145 Neiva - CC Unicentro"/>
    <x v="10"/>
    <s v="octubre"/>
    <n v="6"/>
    <d v="2026-10-06T00:00:00"/>
    <n v="1075307490"/>
    <s v="VARGAS MONTEALEGRE CRISTIAN  FELIPE"/>
    <n v="9"/>
    <n v="0"/>
    <n v="541639"/>
  </r>
  <r>
    <s v="Retail"/>
    <s v="Q145 Neiva - CC Unicentro"/>
    <x v="10"/>
    <s v="octubre"/>
    <n v="6"/>
    <d v="2026-10-06T00:00:00"/>
    <n v="1075790352"/>
    <s v="NINCO COLLAZOS NATHALIA"/>
    <n v="3"/>
    <n v="0"/>
    <n v="151135"/>
  </r>
  <r>
    <s v="Retail"/>
    <s v="Q145 Neiva - CC Unicentro"/>
    <x v="10"/>
    <s v="octubre"/>
    <n v="6"/>
    <d v="2026-10-06T00:00:00"/>
    <n v="1083984650"/>
    <s v="BENAVIDEZ BOLAÑOS LAURA SOFIA"/>
    <n v="14"/>
    <n v="0"/>
    <n v="982523"/>
  </r>
  <r>
    <s v="Retail"/>
    <s v="Q145 Neiva - CC Unicentro"/>
    <x v="10"/>
    <s v="octubre"/>
    <n v="7"/>
    <d v="2026-10-07T00:00:00"/>
    <m/>
    <m/>
    <n v="0"/>
    <n v="2752504"/>
    <n v="0"/>
  </r>
  <r>
    <s v="Retail"/>
    <s v="Q145 Neiva - CC Unicentro"/>
    <x v="10"/>
    <s v="octubre"/>
    <n v="7"/>
    <d v="2026-10-07T00:00:00"/>
    <n v="1075218260"/>
    <s v="MOSQUERA SANCHEZ CATALINA"/>
    <n v="26"/>
    <n v="0"/>
    <n v="1337842"/>
  </r>
  <r>
    <s v="Retail"/>
    <s v="Q145 Neiva - CC Unicentro"/>
    <x v="10"/>
    <s v="octubre"/>
    <n v="7"/>
    <d v="2026-10-07T00:00:00"/>
    <n v="1075307490"/>
    <s v="VARGAS MONTEALEGRE CRISTIAN  FELIPE"/>
    <n v="7"/>
    <n v="0"/>
    <n v="398823"/>
  </r>
  <r>
    <s v="Retail"/>
    <s v="Q145 Neiva - CC Unicentro"/>
    <x v="10"/>
    <s v="octubre"/>
    <n v="7"/>
    <d v="2026-10-07T00:00:00"/>
    <n v="1075790352"/>
    <s v="NINCO COLLAZOS NATHALIA"/>
    <n v="2"/>
    <n v="0"/>
    <n v="99067"/>
  </r>
  <r>
    <s v="Retail"/>
    <s v="Q145 Neiva - CC Unicentro"/>
    <x v="10"/>
    <s v="octubre"/>
    <n v="7"/>
    <d v="2026-10-07T00:00:00"/>
    <n v="1083984650"/>
    <s v="BENAVIDEZ BOLAÑOS LAURA SOFIA"/>
    <n v="24"/>
    <n v="0"/>
    <n v="12825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365E6-F84E-4F98-B60D-8D8670C24574}" name="TablaDinámica2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5" firstHeaderRow="0" firstDataRow="1" firstDataCol="1"/>
  <pivotFields count="11"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pto Valor subtotal" fld="9" baseField="2" baseItem="0" numFmtId="42"/>
    <dataField name="Suma de Valor subtotal" fld="10" baseField="2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9E7F6-214A-494C-8C8F-B562FF141F03}" name="Tabla1" displayName="Tabla1" ref="A1:K11571" totalsRowShown="0">
  <autoFilter ref="A1:K11571" xr:uid="{1E79E7F6-214A-494C-8C8F-B562FF141F03}"/>
  <sortState xmlns:xlrd2="http://schemas.microsoft.com/office/spreadsheetml/2017/richdata2" ref="A2:K11571">
    <sortCondition ref="C1:C11571"/>
  </sortState>
  <tableColumns count="11">
    <tableColumn id="1" xr3:uid="{203A9873-7FBD-41EA-99D9-3C772CE0A8DB}" name="Desc. U.N."/>
    <tableColumn id="2" xr3:uid="{A74B58A4-3050-49CD-AF89-7F0F6C56A776}" name="Desc. C.O."/>
    <tableColumn id="12" xr3:uid="{37D856DD-438D-4277-8BB9-0C0D3645EA43}" name="Zona" dataDxfId="2"/>
    <tableColumn id="3" xr3:uid="{9FF6C1C3-D0F9-40AB-8FA0-62B22F0BC1EB}" name="Mes de Fecha"/>
    <tableColumn id="4" xr3:uid="{77E9B011-0C5A-4FBA-A6A2-A3E9823B1B47}" name="Día de Fecha"/>
    <tableColumn id="10" xr3:uid="{16AA8715-7747-44D2-ACD3-3E386DB3DA68}" name="fecha" dataDxfId="1">
      <calculatedColumnFormula>DATE(2026,IF(Tabla1[[#This Row],[Mes de Fecha]]="Septiembre",9,10),Tabla1[[#This Row],[Día de Fecha]])</calculatedColumnFormula>
    </tableColumn>
    <tableColumn id="5" xr3:uid="{7317B49D-991B-4AC6-9DE5-CC3D1D866F5A}" name="Vendedor"/>
    <tableColumn id="6" xr3:uid="{8F3814B5-4060-4B64-BC7E-D9E0131933A5}" name="Nombre vendedor"/>
    <tableColumn id="7" xr3:uid="{9E215C29-5020-4DD9-98D1-22EBDAC33CBA}" name="Cantidad inv."/>
    <tableColumn id="8" xr3:uid="{78A767BC-ECE9-40B8-BD41-1EA6E1C6F124}" name="Ppto Valor subtotal" dataDxfId="0"/>
    <tableColumn id="9" xr3:uid="{C6A27250-FD57-4E19-A1D3-57E3824C77B9}" name="Valor sub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CC2C-11ED-41CE-B71C-40F535BCDF36}">
  <dimension ref="A3:E15"/>
  <sheetViews>
    <sheetView workbookViewId="0">
      <selection activeCell="B12" sqref="B12"/>
    </sheetView>
  </sheetViews>
  <sheetFormatPr baseColWidth="10" defaultRowHeight="15" x14ac:dyDescent="0.25"/>
  <cols>
    <col min="1" max="1" width="25" bestFit="1" customWidth="1"/>
    <col min="2" max="2" width="26.42578125" bestFit="1" customWidth="1"/>
    <col min="3" max="3" width="21.7109375" bestFit="1" customWidth="1"/>
    <col min="5" max="5" width="15.5703125" bestFit="1" customWidth="1"/>
  </cols>
  <sheetData>
    <row r="3" spans="1:5" x14ac:dyDescent="0.25">
      <c r="A3" s="3" t="s">
        <v>861</v>
      </c>
      <c r="B3" t="s">
        <v>863</v>
      </c>
      <c r="C3" t="s">
        <v>864</v>
      </c>
    </row>
    <row r="4" spans="1:5" x14ac:dyDescent="0.25">
      <c r="A4" s="4" t="s">
        <v>866</v>
      </c>
      <c r="B4" s="5">
        <v>4383699044</v>
      </c>
      <c r="C4" s="5">
        <v>3625099437</v>
      </c>
      <c r="D4" s="6">
        <f t="shared" ref="D4:D14" si="0">C4/B4</f>
        <v>0.82694988880719345</v>
      </c>
      <c r="E4" s="5"/>
    </row>
    <row r="5" spans="1:5" x14ac:dyDescent="0.25">
      <c r="A5" s="4" t="s">
        <v>867</v>
      </c>
      <c r="B5" s="5">
        <v>3094847288</v>
      </c>
      <c r="C5" s="5">
        <v>2691282844</v>
      </c>
      <c r="D5" s="6">
        <f t="shared" si="0"/>
        <v>0.86960117690950833</v>
      </c>
      <c r="E5" s="5"/>
    </row>
    <row r="6" spans="1:5" x14ac:dyDescent="0.25">
      <c r="A6" s="4" t="s">
        <v>868</v>
      </c>
      <c r="B6" s="5">
        <v>3390482839</v>
      </c>
      <c r="C6" s="5">
        <v>3218866461</v>
      </c>
      <c r="D6" s="6">
        <f t="shared" si="0"/>
        <v>0.94938290911668</v>
      </c>
      <c r="E6" s="5"/>
    </row>
    <row r="7" spans="1:5" x14ac:dyDescent="0.25">
      <c r="A7" s="4" t="s">
        <v>869</v>
      </c>
      <c r="B7" s="5">
        <v>1015193832</v>
      </c>
      <c r="C7" s="5">
        <v>872740814</v>
      </c>
      <c r="D7" s="6">
        <f t="shared" si="0"/>
        <v>0.85967899576442663</v>
      </c>
      <c r="E7" s="5"/>
    </row>
    <row r="8" spans="1:5" x14ac:dyDescent="0.25">
      <c r="A8" s="4" t="s">
        <v>870</v>
      </c>
      <c r="B8" s="5">
        <v>1490862020</v>
      </c>
      <c r="C8" s="5">
        <v>1287696032</v>
      </c>
      <c r="D8" s="6">
        <f t="shared" si="0"/>
        <v>0.86372582755847516</v>
      </c>
      <c r="E8" s="5"/>
    </row>
    <row r="9" spans="1:5" x14ac:dyDescent="0.25">
      <c r="A9" s="4" t="s">
        <v>871</v>
      </c>
      <c r="B9" s="5">
        <v>1698653777</v>
      </c>
      <c r="C9" s="5">
        <v>1534415171</v>
      </c>
      <c r="D9" s="6">
        <f t="shared" si="0"/>
        <v>0.90331248885216475</v>
      </c>
      <c r="E9" s="5"/>
    </row>
    <row r="10" spans="1:5" x14ac:dyDescent="0.25">
      <c r="A10" s="4" t="s">
        <v>872</v>
      </c>
      <c r="B10" s="5">
        <v>2020968274</v>
      </c>
      <c r="C10" s="5">
        <v>1704273597</v>
      </c>
      <c r="D10" s="6">
        <f t="shared" si="0"/>
        <v>0.84329557218967011</v>
      </c>
      <c r="E10" s="5"/>
    </row>
    <row r="11" spans="1:5" x14ac:dyDescent="0.25">
      <c r="A11" s="4" t="s">
        <v>873</v>
      </c>
      <c r="B11" s="5">
        <v>2184750259</v>
      </c>
      <c r="C11" s="5">
        <v>2091037991</v>
      </c>
      <c r="D11" s="6">
        <f t="shared" si="0"/>
        <v>0.95710618748575238</v>
      </c>
      <c r="E11" s="5"/>
    </row>
    <row r="12" spans="1:5" x14ac:dyDescent="0.25">
      <c r="A12" s="4" t="s">
        <v>874</v>
      </c>
      <c r="B12" s="5">
        <v>1849862169</v>
      </c>
      <c r="C12" s="5">
        <v>1885386397</v>
      </c>
      <c r="D12" s="6">
        <f t="shared" si="0"/>
        <v>1.0192037161445404</v>
      </c>
      <c r="E12" s="5"/>
    </row>
    <row r="13" spans="1:5" x14ac:dyDescent="0.25">
      <c r="A13" s="4" t="s">
        <v>875</v>
      </c>
      <c r="B13" s="5">
        <v>3767477965</v>
      </c>
      <c r="C13" s="5">
        <v>3463511532</v>
      </c>
      <c r="D13" s="6">
        <f t="shared" si="0"/>
        <v>0.91931832493146382</v>
      </c>
      <c r="E13" s="5"/>
    </row>
    <row r="14" spans="1:5" x14ac:dyDescent="0.25">
      <c r="A14" s="4" t="s">
        <v>876</v>
      </c>
      <c r="B14" s="5">
        <v>2269862901</v>
      </c>
      <c r="C14" s="5">
        <v>1909283086</v>
      </c>
      <c r="D14" s="6">
        <f t="shared" si="0"/>
        <v>0.84114467228785283</v>
      </c>
      <c r="E14" s="5"/>
    </row>
    <row r="15" spans="1:5" x14ac:dyDescent="0.25">
      <c r="A15" s="4" t="s">
        <v>862</v>
      </c>
      <c r="B15" s="5">
        <v>27166660368</v>
      </c>
      <c r="C15" s="5">
        <v>24283593362</v>
      </c>
      <c r="E1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71"/>
  <sheetViews>
    <sheetView tabSelected="1" topLeftCell="B1" workbookViewId="0">
      <selection activeCell="D8" sqref="D8"/>
    </sheetView>
  </sheetViews>
  <sheetFormatPr baseColWidth="10" defaultColWidth="8.7109375" defaultRowHeight="15" x14ac:dyDescent="0.25"/>
  <cols>
    <col min="1" max="1" width="23.28515625" bestFit="1" customWidth="1"/>
    <col min="2" max="2" width="39.28515625" bestFit="1" customWidth="1"/>
    <col min="3" max="3" width="12.28515625" customWidth="1"/>
    <col min="4" max="4" width="14.140625" customWidth="1"/>
    <col min="5" max="6" width="13.42578125" customWidth="1"/>
    <col min="7" max="7" width="11.85546875" bestFit="1" customWidth="1"/>
    <col min="8" max="8" width="53.85546875" bestFit="1" customWidth="1"/>
    <col min="9" max="9" width="13.85546875" customWidth="1"/>
    <col min="10" max="10" width="19.140625" customWidth="1"/>
    <col min="11" max="11" width="14.7109375" customWidth="1"/>
  </cols>
  <sheetData>
    <row r="1" spans="1:11" x14ac:dyDescent="0.25">
      <c r="A1" t="s">
        <v>0</v>
      </c>
      <c r="B1" t="s">
        <v>1</v>
      </c>
      <c r="C1" t="s">
        <v>865</v>
      </c>
      <c r="D1" t="s">
        <v>2</v>
      </c>
      <c r="E1" t="s">
        <v>3</v>
      </c>
      <c r="F1" t="s">
        <v>860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t="s">
        <v>233</v>
      </c>
      <c r="C2" t="s">
        <v>866</v>
      </c>
      <c r="D2" t="s">
        <v>11</v>
      </c>
      <c r="E2">
        <v>23</v>
      </c>
      <c r="F2" s="2">
        <f>DATE(2026,IF(Tabla1[[#This Row],[Mes de Fecha]]="Septiembre",9,10),Tabla1[[#This Row],[Día de Fecha]])</f>
        <v>46288</v>
      </c>
      <c r="I2">
        <v>0</v>
      </c>
      <c r="J2" s="1">
        <v>1862320</v>
      </c>
      <c r="K2">
        <v>0</v>
      </c>
    </row>
    <row r="3" spans="1:11" x14ac:dyDescent="0.25">
      <c r="A3" t="s">
        <v>9</v>
      </c>
      <c r="B3" t="s">
        <v>233</v>
      </c>
      <c r="C3" t="s">
        <v>866</v>
      </c>
      <c r="D3" t="s">
        <v>11</v>
      </c>
      <c r="E3">
        <v>23</v>
      </c>
      <c r="F3" s="2">
        <f>DATE(2026,IF(Tabla1[[#This Row],[Mes de Fecha]]="Septiembre",9,10),Tabla1[[#This Row],[Día de Fecha]])</f>
        <v>46288</v>
      </c>
      <c r="G3">
        <v>1065000247</v>
      </c>
      <c r="H3" t="s">
        <v>235</v>
      </c>
      <c r="I3">
        <v>23</v>
      </c>
      <c r="J3">
        <v>0</v>
      </c>
      <c r="K3" s="1">
        <v>1280547</v>
      </c>
    </row>
    <row r="4" spans="1:11" x14ac:dyDescent="0.25">
      <c r="A4" t="s">
        <v>9</v>
      </c>
      <c r="B4" t="s">
        <v>233</v>
      </c>
      <c r="C4" t="s">
        <v>866</v>
      </c>
      <c r="D4" t="s">
        <v>11</v>
      </c>
      <c r="E4">
        <v>23</v>
      </c>
      <c r="F4" s="2">
        <f>DATE(2026,IF(Tabla1[[#This Row],[Mes de Fecha]]="Septiembre",9,10),Tabla1[[#This Row],[Día de Fecha]])</f>
        <v>46288</v>
      </c>
      <c r="G4">
        <v>1193105936</v>
      </c>
      <c r="H4" t="s">
        <v>236</v>
      </c>
      <c r="I4">
        <v>10</v>
      </c>
      <c r="J4">
        <v>0</v>
      </c>
      <c r="K4" s="1">
        <v>482776</v>
      </c>
    </row>
    <row r="5" spans="1:11" x14ac:dyDescent="0.25">
      <c r="A5" t="s">
        <v>9</v>
      </c>
      <c r="B5" t="s">
        <v>233</v>
      </c>
      <c r="C5" t="s">
        <v>866</v>
      </c>
      <c r="D5" t="s">
        <v>11</v>
      </c>
      <c r="E5">
        <v>24</v>
      </c>
      <c r="F5" s="2">
        <f>DATE(2026,IF(Tabla1[[#This Row],[Mes de Fecha]]="Septiembre",9,10),Tabla1[[#This Row],[Día de Fecha]])</f>
        <v>46289</v>
      </c>
      <c r="I5">
        <v>0</v>
      </c>
      <c r="J5" s="1">
        <v>4816322</v>
      </c>
      <c r="K5">
        <v>0</v>
      </c>
    </row>
    <row r="6" spans="1:11" x14ac:dyDescent="0.25">
      <c r="A6" t="s">
        <v>9</v>
      </c>
      <c r="B6" t="s">
        <v>233</v>
      </c>
      <c r="C6" t="s">
        <v>866</v>
      </c>
      <c r="D6" t="s">
        <v>11</v>
      </c>
      <c r="E6">
        <v>24</v>
      </c>
      <c r="F6" s="2">
        <f>DATE(2026,IF(Tabla1[[#This Row],[Mes de Fecha]]="Septiembre",9,10),Tabla1[[#This Row],[Día de Fecha]])</f>
        <v>46289</v>
      </c>
      <c r="G6">
        <v>1062955457</v>
      </c>
      <c r="H6" t="s">
        <v>234</v>
      </c>
      <c r="I6">
        <v>39</v>
      </c>
      <c r="J6">
        <v>0</v>
      </c>
      <c r="K6" s="1">
        <v>2132817</v>
      </c>
    </row>
    <row r="7" spans="1:11" x14ac:dyDescent="0.25">
      <c r="A7" t="s">
        <v>9</v>
      </c>
      <c r="B7" t="s">
        <v>233</v>
      </c>
      <c r="C7" t="s">
        <v>866</v>
      </c>
      <c r="D7" t="s">
        <v>11</v>
      </c>
      <c r="E7">
        <v>24</v>
      </c>
      <c r="F7" s="2">
        <f>DATE(2026,IF(Tabla1[[#This Row],[Mes de Fecha]]="Septiembre",9,10),Tabla1[[#This Row],[Día de Fecha]])</f>
        <v>46289</v>
      </c>
      <c r="G7">
        <v>1065000247</v>
      </c>
      <c r="H7" t="s">
        <v>235</v>
      </c>
      <c r="I7">
        <v>0</v>
      </c>
      <c r="J7">
        <v>0</v>
      </c>
      <c r="K7">
        <v>0</v>
      </c>
    </row>
    <row r="8" spans="1:11" x14ac:dyDescent="0.25">
      <c r="A8" t="s">
        <v>9</v>
      </c>
      <c r="B8" t="s">
        <v>233</v>
      </c>
      <c r="C8" t="s">
        <v>866</v>
      </c>
      <c r="D8" t="s">
        <v>11</v>
      </c>
      <c r="E8">
        <v>24</v>
      </c>
      <c r="F8" s="2">
        <f>DATE(2026,IF(Tabla1[[#This Row],[Mes de Fecha]]="Septiembre",9,10),Tabla1[[#This Row],[Día de Fecha]])</f>
        <v>46289</v>
      </c>
      <c r="G8">
        <v>1193105936</v>
      </c>
      <c r="H8" t="s">
        <v>236</v>
      </c>
      <c r="I8">
        <v>28</v>
      </c>
      <c r="J8">
        <v>0</v>
      </c>
      <c r="K8" s="1">
        <v>1339162</v>
      </c>
    </row>
    <row r="9" spans="1:11" x14ac:dyDescent="0.25">
      <c r="A9" t="s">
        <v>9</v>
      </c>
      <c r="B9" t="s">
        <v>233</v>
      </c>
      <c r="C9" t="s">
        <v>866</v>
      </c>
      <c r="D9" t="s">
        <v>11</v>
      </c>
      <c r="E9">
        <v>25</v>
      </c>
      <c r="F9" s="2">
        <f>DATE(2026,IF(Tabla1[[#This Row],[Mes de Fecha]]="Septiembre",9,10),Tabla1[[#This Row],[Día de Fecha]])</f>
        <v>46290</v>
      </c>
      <c r="I9">
        <v>0</v>
      </c>
      <c r="J9" s="1">
        <v>5144094</v>
      </c>
      <c r="K9">
        <v>0</v>
      </c>
    </row>
    <row r="10" spans="1:11" x14ac:dyDescent="0.25">
      <c r="A10" t="s">
        <v>9</v>
      </c>
      <c r="B10" t="s">
        <v>233</v>
      </c>
      <c r="C10" t="s">
        <v>866</v>
      </c>
      <c r="D10" t="s">
        <v>11</v>
      </c>
      <c r="E10">
        <v>25</v>
      </c>
      <c r="F10" s="2">
        <f>DATE(2026,IF(Tabla1[[#This Row],[Mes de Fecha]]="Septiembre",9,10),Tabla1[[#This Row],[Día de Fecha]])</f>
        <v>46290</v>
      </c>
      <c r="G10">
        <v>1062955457</v>
      </c>
      <c r="H10" t="s">
        <v>234</v>
      </c>
      <c r="I10">
        <v>33</v>
      </c>
      <c r="J10">
        <v>0</v>
      </c>
      <c r="K10" s="1">
        <v>1809541</v>
      </c>
    </row>
    <row r="11" spans="1:11" x14ac:dyDescent="0.25">
      <c r="A11" t="s">
        <v>9</v>
      </c>
      <c r="B11" t="s">
        <v>233</v>
      </c>
      <c r="C11" t="s">
        <v>866</v>
      </c>
      <c r="D11" t="s">
        <v>11</v>
      </c>
      <c r="E11">
        <v>25</v>
      </c>
      <c r="F11" s="2">
        <f>DATE(2026,IF(Tabla1[[#This Row],[Mes de Fecha]]="Septiembre",9,10),Tabla1[[#This Row],[Día de Fecha]])</f>
        <v>46290</v>
      </c>
      <c r="G11">
        <v>1065000247</v>
      </c>
      <c r="H11" t="s">
        <v>235</v>
      </c>
      <c r="I11">
        <v>43</v>
      </c>
      <c r="J11">
        <v>0</v>
      </c>
      <c r="K11" s="1">
        <v>2309118</v>
      </c>
    </row>
    <row r="12" spans="1:11" x14ac:dyDescent="0.25">
      <c r="A12" t="s">
        <v>9</v>
      </c>
      <c r="B12" t="s">
        <v>233</v>
      </c>
      <c r="C12" t="s">
        <v>866</v>
      </c>
      <c r="D12" t="s">
        <v>11</v>
      </c>
      <c r="E12">
        <v>25</v>
      </c>
      <c r="F12" s="2">
        <f>DATE(2026,IF(Tabla1[[#This Row],[Mes de Fecha]]="Septiembre",9,10),Tabla1[[#This Row],[Día de Fecha]])</f>
        <v>46290</v>
      </c>
      <c r="G12">
        <v>1193105936</v>
      </c>
      <c r="H12" t="s">
        <v>236</v>
      </c>
      <c r="I12">
        <v>29</v>
      </c>
      <c r="J12">
        <v>0</v>
      </c>
      <c r="K12" s="1">
        <v>1519794</v>
      </c>
    </row>
    <row r="13" spans="1:11" x14ac:dyDescent="0.25">
      <c r="A13" t="s">
        <v>9</v>
      </c>
      <c r="B13" t="s">
        <v>233</v>
      </c>
      <c r="C13" t="s">
        <v>866</v>
      </c>
      <c r="D13" t="s">
        <v>11</v>
      </c>
      <c r="E13">
        <v>26</v>
      </c>
      <c r="F13" s="2">
        <f>DATE(2026,IF(Tabla1[[#This Row],[Mes de Fecha]]="Septiembre",9,10),Tabla1[[#This Row],[Día de Fecha]])</f>
        <v>46291</v>
      </c>
      <c r="I13">
        <v>0</v>
      </c>
      <c r="J13" s="1">
        <v>6486571</v>
      </c>
      <c r="K13">
        <v>0</v>
      </c>
    </row>
    <row r="14" spans="1:11" x14ac:dyDescent="0.25">
      <c r="A14" t="s">
        <v>9</v>
      </c>
      <c r="B14" t="s">
        <v>233</v>
      </c>
      <c r="C14" t="s">
        <v>866</v>
      </c>
      <c r="D14" t="s">
        <v>11</v>
      </c>
      <c r="E14">
        <v>26</v>
      </c>
      <c r="F14" s="2">
        <f>DATE(2026,IF(Tabla1[[#This Row],[Mes de Fecha]]="Septiembre",9,10),Tabla1[[#This Row],[Día de Fecha]])</f>
        <v>46291</v>
      </c>
      <c r="G14">
        <v>68295017</v>
      </c>
      <c r="H14" t="s">
        <v>237</v>
      </c>
      <c r="I14">
        <v>36</v>
      </c>
      <c r="J14">
        <v>0</v>
      </c>
      <c r="K14" s="1">
        <v>1922861</v>
      </c>
    </row>
    <row r="15" spans="1:11" x14ac:dyDescent="0.25">
      <c r="A15" t="s">
        <v>9</v>
      </c>
      <c r="B15" t="s">
        <v>233</v>
      </c>
      <c r="C15" t="s">
        <v>866</v>
      </c>
      <c r="D15" t="s">
        <v>11</v>
      </c>
      <c r="E15">
        <v>26</v>
      </c>
      <c r="F15" s="2">
        <f>DATE(2026,IF(Tabla1[[#This Row],[Mes de Fecha]]="Septiembre",9,10),Tabla1[[#This Row],[Día de Fecha]])</f>
        <v>46291</v>
      </c>
      <c r="G15">
        <v>1062955457</v>
      </c>
      <c r="H15" t="s">
        <v>234</v>
      </c>
      <c r="I15">
        <v>2</v>
      </c>
      <c r="J15">
        <v>0</v>
      </c>
      <c r="K15" s="1">
        <v>109160</v>
      </c>
    </row>
    <row r="16" spans="1:11" x14ac:dyDescent="0.25">
      <c r="A16" t="s">
        <v>9</v>
      </c>
      <c r="B16" t="s">
        <v>233</v>
      </c>
      <c r="C16" t="s">
        <v>866</v>
      </c>
      <c r="D16" t="s">
        <v>11</v>
      </c>
      <c r="E16">
        <v>26</v>
      </c>
      <c r="F16" s="2">
        <f>DATE(2026,IF(Tabla1[[#This Row],[Mes de Fecha]]="Septiembre",9,10),Tabla1[[#This Row],[Día de Fecha]])</f>
        <v>46291</v>
      </c>
      <c r="G16">
        <v>1065000247</v>
      </c>
      <c r="H16" t="s">
        <v>235</v>
      </c>
      <c r="I16">
        <v>46</v>
      </c>
      <c r="J16">
        <v>0</v>
      </c>
      <c r="K16" s="1">
        <v>2403493</v>
      </c>
    </row>
    <row r="17" spans="1:11" x14ac:dyDescent="0.25">
      <c r="A17" t="s">
        <v>9</v>
      </c>
      <c r="B17" t="s">
        <v>233</v>
      </c>
      <c r="C17" t="s">
        <v>866</v>
      </c>
      <c r="D17" t="s">
        <v>11</v>
      </c>
      <c r="E17">
        <v>26</v>
      </c>
      <c r="F17" s="2">
        <f>DATE(2026,IF(Tabla1[[#This Row],[Mes de Fecha]]="Septiembre",9,10),Tabla1[[#This Row],[Día de Fecha]])</f>
        <v>46291</v>
      </c>
      <c r="G17">
        <v>1193105936</v>
      </c>
      <c r="H17" t="s">
        <v>236</v>
      </c>
      <c r="I17">
        <v>22</v>
      </c>
      <c r="J17">
        <v>0</v>
      </c>
      <c r="K17" s="1">
        <v>1301602</v>
      </c>
    </row>
    <row r="18" spans="1:11" x14ac:dyDescent="0.25">
      <c r="A18" t="s">
        <v>9</v>
      </c>
      <c r="B18" t="s">
        <v>233</v>
      </c>
      <c r="C18" t="s">
        <v>866</v>
      </c>
      <c r="D18" t="s">
        <v>11</v>
      </c>
      <c r="E18">
        <v>27</v>
      </c>
      <c r="F18" s="2">
        <f>DATE(2026,IF(Tabla1[[#This Row],[Mes de Fecha]]="Septiembre",9,10),Tabla1[[#This Row],[Día de Fecha]])</f>
        <v>46292</v>
      </c>
      <c r="I18">
        <v>0</v>
      </c>
      <c r="J18" s="1">
        <v>3424847</v>
      </c>
      <c r="K18">
        <v>0</v>
      </c>
    </row>
    <row r="19" spans="1:11" x14ac:dyDescent="0.25">
      <c r="A19" t="s">
        <v>9</v>
      </c>
      <c r="B19" t="s">
        <v>233</v>
      </c>
      <c r="C19" t="s">
        <v>866</v>
      </c>
      <c r="D19" t="s">
        <v>11</v>
      </c>
      <c r="E19">
        <v>27</v>
      </c>
      <c r="F19" s="2">
        <f>DATE(2026,IF(Tabla1[[#This Row],[Mes de Fecha]]="Septiembre",9,10),Tabla1[[#This Row],[Día de Fecha]])</f>
        <v>46292</v>
      </c>
      <c r="G19">
        <v>1062955457</v>
      </c>
      <c r="H19" t="s">
        <v>234</v>
      </c>
      <c r="I19">
        <v>1</v>
      </c>
      <c r="J19">
        <v>0</v>
      </c>
      <c r="K19" s="1">
        <v>75588</v>
      </c>
    </row>
    <row r="20" spans="1:11" x14ac:dyDescent="0.25">
      <c r="A20" t="s">
        <v>9</v>
      </c>
      <c r="B20" t="s">
        <v>233</v>
      </c>
      <c r="C20" t="s">
        <v>866</v>
      </c>
      <c r="D20" t="s">
        <v>11</v>
      </c>
      <c r="E20">
        <v>27</v>
      </c>
      <c r="F20" s="2">
        <f>DATE(2026,IF(Tabla1[[#This Row],[Mes de Fecha]]="Septiembre",9,10),Tabla1[[#This Row],[Día de Fecha]])</f>
        <v>46292</v>
      </c>
      <c r="G20">
        <v>1065000247</v>
      </c>
      <c r="H20" t="s">
        <v>235</v>
      </c>
      <c r="I20">
        <v>8</v>
      </c>
      <c r="J20">
        <v>0</v>
      </c>
      <c r="K20" s="1">
        <v>457647</v>
      </c>
    </row>
    <row r="21" spans="1:11" x14ac:dyDescent="0.25">
      <c r="A21" t="s">
        <v>9</v>
      </c>
      <c r="B21" t="s">
        <v>233</v>
      </c>
      <c r="C21" t="s">
        <v>866</v>
      </c>
      <c r="D21" t="s">
        <v>11</v>
      </c>
      <c r="E21">
        <v>27</v>
      </c>
      <c r="F21" s="2">
        <f>DATE(2026,IF(Tabla1[[#This Row],[Mes de Fecha]]="Septiembre",9,10),Tabla1[[#This Row],[Día de Fecha]])</f>
        <v>46292</v>
      </c>
      <c r="G21">
        <v>1193105936</v>
      </c>
      <c r="H21" t="s">
        <v>236</v>
      </c>
      <c r="I21">
        <v>11</v>
      </c>
      <c r="J21">
        <v>0</v>
      </c>
      <c r="K21" s="1">
        <v>659202</v>
      </c>
    </row>
    <row r="22" spans="1:11" x14ac:dyDescent="0.25">
      <c r="A22" t="s">
        <v>9</v>
      </c>
      <c r="B22" t="s">
        <v>233</v>
      </c>
      <c r="C22" t="s">
        <v>866</v>
      </c>
      <c r="D22" t="s">
        <v>11</v>
      </c>
      <c r="E22">
        <v>28</v>
      </c>
      <c r="F22" s="2">
        <f>DATE(2026,IF(Tabla1[[#This Row],[Mes de Fecha]]="Septiembre",9,10),Tabla1[[#This Row],[Día de Fecha]])</f>
        <v>46293</v>
      </c>
      <c r="I22">
        <v>0</v>
      </c>
      <c r="J22" s="1">
        <v>2808004</v>
      </c>
      <c r="K22">
        <v>0</v>
      </c>
    </row>
    <row r="23" spans="1:11" x14ac:dyDescent="0.25">
      <c r="A23" t="s">
        <v>9</v>
      </c>
      <c r="B23" t="s">
        <v>233</v>
      </c>
      <c r="C23" t="s">
        <v>866</v>
      </c>
      <c r="D23" t="s">
        <v>11</v>
      </c>
      <c r="E23">
        <v>28</v>
      </c>
      <c r="F23" s="2">
        <f>DATE(2026,IF(Tabla1[[#This Row],[Mes de Fecha]]="Septiembre",9,10),Tabla1[[#This Row],[Día de Fecha]])</f>
        <v>46293</v>
      </c>
      <c r="G23">
        <v>68295017</v>
      </c>
      <c r="H23" t="s">
        <v>237</v>
      </c>
      <c r="I23">
        <v>14</v>
      </c>
      <c r="J23">
        <v>0</v>
      </c>
      <c r="K23" s="1">
        <v>692650</v>
      </c>
    </row>
    <row r="24" spans="1:11" x14ac:dyDescent="0.25">
      <c r="A24" t="s">
        <v>9</v>
      </c>
      <c r="B24" t="s">
        <v>233</v>
      </c>
      <c r="C24" t="s">
        <v>866</v>
      </c>
      <c r="D24" t="s">
        <v>11</v>
      </c>
      <c r="E24">
        <v>28</v>
      </c>
      <c r="F24" s="2">
        <f>DATE(2026,IF(Tabla1[[#This Row],[Mes de Fecha]]="Septiembre",9,10),Tabla1[[#This Row],[Día de Fecha]])</f>
        <v>46293</v>
      </c>
      <c r="G24">
        <v>1062955457</v>
      </c>
      <c r="H24" t="s">
        <v>234</v>
      </c>
      <c r="I24">
        <v>0</v>
      </c>
      <c r="J24">
        <v>0</v>
      </c>
      <c r="K24">
        <v>0</v>
      </c>
    </row>
    <row r="25" spans="1:11" x14ac:dyDescent="0.25">
      <c r="A25" t="s">
        <v>9</v>
      </c>
      <c r="B25" t="s">
        <v>233</v>
      </c>
      <c r="C25" t="s">
        <v>866</v>
      </c>
      <c r="D25" t="s">
        <v>11</v>
      </c>
      <c r="E25">
        <v>28</v>
      </c>
      <c r="F25" s="2">
        <f>DATE(2026,IF(Tabla1[[#This Row],[Mes de Fecha]]="Septiembre",9,10),Tabla1[[#This Row],[Día de Fecha]])</f>
        <v>46293</v>
      </c>
      <c r="G25">
        <v>1065000247</v>
      </c>
      <c r="H25" t="s">
        <v>235</v>
      </c>
      <c r="I25">
        <v>24</v>
      </c>
      <c r="J25">
        <v>0</v>
      </c>
      <c r="K25" s="1">
        <v>1171261</v>
      </c>
    </row>
    <row r="26" spans="1:11" x14ac:dyDescent="0.25">
      <c r="A26" t="s">
        <v>9</v>
      </c>
      <c r="B26" t="s">
        <v>233</v>
      </c>
      <c r="C26" t="s">
        <v>866</v>
      </c>
      <c r="D26" t="s">
        <v>11</v>
      </c>
      <c r="E26">
        <v>28</v>
      </c>
      <c r="F26" s="2">
        <f>DATE(2026,IF(Tabla1[[#This Row],[Mes de Fecha]]="Septiembre",9,10),Tabla1[[#This Row],[Día de Fecha]])</f>
        <v>46293</v>
      </c>
      <c r="G26">
        <v>1193105936</v>
      </c>
      <c r="H26" t="s">
        <v>236</v>
      </c>
      <c r="I26">
        <v>10</v>
      </c>
      <c r="J26">
        <v>0</v>
      </c>
      <c r="K26" s="1">
        <v>436557</v>
      </c>
    </row>
    <row r="27" spans="1:11" x14ac:dyDescent="0.25">
      <c r="A27" t="s">
        <v>9</v>
      </c>
      <c r="B27" t="s">
        <v>233</v>
      </c>
      <c r="C27" t="s">
        <v>866</v>
      </c>
      <c r="D27" t="s">
        <v>11</v>
      </c>
      <c r="E27">
        <v>29</v>
      </c>
      <c r="F27" s="2">
        <f>DATE(2026,IF(Tabla1[[#This Row],[Mes de Fecha]]="Septiembre",9,10),Tabla1[[#This Row],[Día de Fecha]])</f>
        <v>46294</v>
      </c>
      <c r="I27">
        <v>0</v>
      </c>
      <c r="J27" s="1">
        <v>3121668</v>
      </c>
      <c r="K27">
        <v>0</v>
      </c>
    </row>
    <row r="28" spans="1:11" x14ac:dyDescent="0.25">
      <c r="A28" t="s">
        <v>9</v>
      </c>
      <c r="B28" t="s">
        <v>233</v>
      </c>
      <c r="C28" t="s">
        <v>866</v>
      </c>
      <c r="D28" t="s">
        <v>11</v>
      </c>
      <c r="E28">
        <v>29</v>
      </c>
      <c r="F28" s="2">
        <f>DATE(2026,IF(Tabla1[[#This Row],[Mes de Fecha]]="Septiembre",9,10),Tabla1[[#This Row],[Día de Fecha]])</f>
        <v>46294</v>
      </c>
      <c r="G28">
        <v>68295017</v>
      </c>
      <c r="H28" t="s">
        <v>237</v>
      </c>
      <c r="I28">
        <v>18</v>
      </c>
      <c r="J28">
        <v>0</v>
      </c>
      <c r="K28" s="1">
        <v>894077</v>
      </c>
    </row>
    <row r="29" spans="1:11" x14ac:dyDescent="0.25">
      <c r="A29" t="s">
        <v>9</v>
      </c>
      <c r="B29" t="s">
        <v>233</v>
      </c>
      <c r="C29" t="s">
        <v>866</v>
      </c>
      <c r="D29" t="s">
        <v>11</v>
      </c>
      <c r="E29">
        <v>29</v>
      </c>
      <c r="F29" s="2">
        <f>DATE(2026,IF(Tabla1[[#This Row],[Mes de Fecha]]="Septiembre",9,10),Tabla1[[#This Row],[Día de Fecha]])</f>
        <v>46294</v>
      </c>
      <c r="G29">
        <v>1062955457</v>
      </c>
      <c r="H29" t="s">
        <v>234</v>
      </c>
      <c r="I29">
        <v>0</v>
      </c>
      <c r="J29">
        <v>0</v>
      </c>
      <c r="K29">
        <v>0</v>
      </c>
    </row>
    <row r="30" spans="1:11" x14ac:dyDescent="0.25">
      <c r="A30" t="s">
        <v>9</v>
      </c>
      <c r="B30" t="s">
        <v>233</v>
      </c>
      <c r="C30" t="s">
        <v>866</v>
      </c>
      <c r="D30" t="s">
        <v>11</v>
      </c>
      <c r="E30">
        <v>29</v>
      </c>
      <c r="F30" s="2">
        <f>DATE(2026,IF(Tabla1[[#This Row],[Mes de Fecha]]="Septiembre",9,10),Tabla1[[#This Row],[Día de Fecha]])</f>
        <v>46294</v>
      </c>
      <c r="G30">
        <v>1065000247</v>
      </c>
      <c r="H30" t="s">
        <v>235</v>
      </c>
      <c r="I30">
        <v>1</v>
      </c>
      <c r="J30">
        <v>0</v>
      </c>
      <c r="K30" s="1">
        <v>113403</v>
      </c>
    </row>
    <row r="31" spans="1:11" x14ac:dyDescent="0.25">
      <c r="A31" t="s">
        <v>9</v>
      </c>
      <c r="B31" t="s">
        <v>233</v>
      </c>
      <c r="C31" t="s">
        <v>866</v>
      </c>
      <c r="D31" t="s">
        <v>11</v>
      </c>
      <c r="E31">
        <v>29</v>
      </c>
      <c r="F31" s="2">
        <f>DATE(2026,IF(Tabla1[[#This Row],[Mes de Fecha]]="Septiembre",9,10),Tabla1[[#This Row],[Día de Fecha]])</f>
        <v>46294</v>
      </c>
      <c r="G31">
        <v>1193105936</v>
      </c>
      <c r="H31" t="s">
        <v>236</v>
      </c>
      <c r="I31">
        <v>11</v>
      </c>
      <c r="J31">
        <v>0</v>
      </c>
      <c r="K31" s="1">
        <v>509959</v>
      </c>
    </row>
    <row r="32" spans="1:11" x14ac:dyDescent="0.25">
      <c r="A32" t="s">
        <v>9</v>
      </c>
      <c r="B32" t="s">
        <v>233</v>
      </c>
      <c r="C32" t="s">
        <v>866</v>
      </c>
      <c r="D32" t="s">
        <v>11</v>
      </c>
      <c r="E32">
        <v>30</v>
      </c>
      <c r="F32" s="2">
        <f>DATE(2026,IF(Tabla1[[#This Row],[Mes de Fecha]]="Septiembre",9,10),Tabla1[[#This Row],[Día de Fecha]])</f>
        <v>46295</v>
      </c>
      <c r="I32">
        <v>0</v>
      </c>
      <c r="J32" s="1">
        <v>3305946</v>
      </c>
      <c r="K32">
        <v>0</v>
      </c>
    </row>
    <row r="33" spans="1:11" x14ac:dyDescent="0.25">
      <c r="A33" t="s">
        <v>9</v>
      </c>
      <c r="B33" t="s">
        <v>233</v>
      </c>
      <c r="C33" t="s">
        <v>866</v>
      </c>
      <c r="D33" t="s">
        <v>11</v>
      </c>
      <c r="E33">
        <v>30</v>
      </c>
      <c r="F33" s="2">
        <f>DATE(2026,IF(Tabla1[[#This Row],[Mes de Fecha]]="Septiembre",9,10),Tabla1[[#This Row],[Día de Fecha]])</f>
        <v>46295</v>
      </c>
      <c r="G33">
        <v>68295017</v>
      </c>
      <c r="H33" t="s">
        <v>237</v>
      </c>
      <c r="I33">
        <v>29</v>
      </c>
      <c r="J33">
        <v>0</v>
      </c>
      <c r="K33" s="1">
        <v>1578489</v>
      </c>
    </row>
    <row r="34" spans="1:11" x14ac:dyDescent="0.25">
      <c r="A34" t="s">
        <v>9</v>
      </c>
      <c r="B34" t="s">
        <v>233</v>
      </c>
      <c r="C34" t="s">
        <v>866</v>
      </c>
      <c r="D34" t="s">
        <v>11</v>
      </c>
      <c r="E34">
        <v>30</v>
      </c>
      <c r="F34" s="2">
        <f>DATE(2026,IF(Tabla1[[#This Row],[Mes de Fecha]]="Septiembre",9,10),Tabla1[[#This Row],[Día de Fecha]])</f>
        <v>46295</v>
      </c>
      <c r="G34">
        <v>1065000247</v>
      </c>
      <c r="H34" t="s">
        <v>235</v>
      </c>
      <c r="I34">
        <v>29</v>
      </c>
      <c r="J34">
        <v>0</v>
      </c>
      <c r="K34" s="1">
        <v>1578615</v>
      </c>
    </row>
    <row r="35" spans="1:11" x14ac:dyDescent="0.25">
      <c r="A35" t="s">
        <v>9</v>
      </c>
      <c r="B35" t="s">
        <v>233</v>
      </c>
      <c r="C35" t="s">
        <v>866</v>
      </c>
      <c r="D35" t="s">
        <v>11</v>
      </c>
      <c r="E35">
        <v>30</v>
      </c>
      <c r="F35" s="2">
        <f>DATE(2026,IF(Tabla1[[#This Row],[Mes de Fecha]]="Septiembre",9,10),Tabla1[[#This Row],[Día de Fecha]])</f>
        <v>46295</v>
      </c>
      <c r="G35">
        <v>1193105936</v>
      </c>
      <c r="H35" t="s">
        <v>236</v>
      </c>
      <c r="I35">
        <v>24</v>
      </c>
      <c r="J35">
        <v>0</v>
      </c>
      <c r="K35" s="1">
        <v>1322481</v>
      </c>
    </row>
    <row r="36" spans="1:11" x14ac:dyDescent="0.25">
      <c r="A36" t="s">
        <v>9</v>
      </c>
      <c r="B36" t="s">
        <v>233</v>
      </c>
      <c r="C36" t="s">
        <v>866</v>
      </c>
      <c r="D36" t="s">
        <v>14</v>
      </c>
      <c r="E36">
        <v>1</v>
      </c>
      <c r="F36" s="2">
        <f>DATE(2026,IF(Tabla1[[#This Row],[Mes de Fecha]]="Septiembre",9,10),Tabla1[[#This Row],[Día de Fecha]])</f>
        <v>46296</v>
      </c>
      <c r="I36">
        <v>0</v>
      </c>
      <c r="J36" s="1">
        <v>4702340</v>
      </c>
      <c r="K36">
        <v>0</v>
      </c>
    </row>
    <row r="37" spans="1:11" x14ac:dyDescent="0.25">
      <c r="A37" t="s">
        <v>9</v>
      </c>
      <c r="B37" t="s">
        <v>233</v>
      </c>
      <c r="C37" t="s">
        <v>866</v>
      </c>
      <c r="D37" t="s">
        <v>14</v>
      </c>
      <c r="E37">
        <v>1</v>
      </c>
      <c r="F37" s="2">
        <f>DATE(2026,IF(Tabla1[[#This Row],[Mes de Fecha]]="Septiembre",9,10),Tabla1[[#This Row],[Día de Fecha]])</f>
        <v>46296</v>
      </c>
      <c r="G37">
        <v>68295017</v>
      </c>
      <c r="H37" t="s">
        <v>237</v>
      </c>
      <c r="I37">
        <v>37</v>
      </c>
      <c r="J37">
        <v>0</v>
      </c>
      <c r="K37" s="1">
        <v>2122271</v>
      </c>
    </row>
    <row r="38" spans="1:11" x14ac:dyDescent="0.25">
      <c r="A38" t="s">
        <v>9</v>
      </c>
      <c r="B38" t="s">
        <v>233</v>
      </c>
      <c r="C38" t="s">
        <v>866</v>
      </c>
      <c r="D38" t="s">
        <v>14</v>
      </c>
      <c r="E38">
        <v>1</v>
      </c>
      <c r="F38" s="2">
        <f>DATE(2026,IF(Tabla1[[#This Row],[Mes de Fecha]]="Septiembre",9,10),Tabla1[[#This Row],[Día de Fecha]])</f>
        <v>46296</v>
      </c>
      <c r="G38">
        <v>1065000247</v>
      </c>
      <c r="H38" t="s">
        <v>235</v>
      </c>
      <c r="I38">
        <v>1</v>
      </c>
      <c r="J38">
        <v>0</v>
      </c>
      <c r="K38" s="1">
        <v>41975</v>
      </c>
    </row>
    <row r="39" spans="1:11" x14ac:dyDescent="0.25">
      <c r="A39" t="s">
        <v>9</v>
      </c>
      <c r="B39" t="s">
        <v>233</v>
      </c>
      <c r="C39" t="s">
        <v>866</v>
      </c>
      <c r="D39" t="s">
        <v>14</v>
      </c>
      <c r="E39">
        <v>1</v>
      </c>
      <c r="F39" s="2">
        <f>DATE(2026,IF(Tabla1[[#This Row],[Mes de Fecha]]="Septiembre",9,10),Tabla1[[#This Row],[Día de Fecha]])</f>
        <v>46296</v>
      </c>
      <c r="G39">
        <v>1193105936</v>
      </c>
      <c r="H39" t="s">
        <v>236</v>
      </c>
      <c r="I39">
        <v>22</v>
      </c>
      <c r="J39">
        <v>0</v>
      </c>
      <c r="K39" s="1">
        <v>1318363</v>
      </c>
    </row>
    <row r="40" spans="1:11" x14ac:dyDescent="0.25">
      <c r="A40" t="s">
        <v>9</v>
      </c>
      <c r="B40" t="s">
        <v>233</v>
      </c>
      <c r="C40" t="s">
        <v>866</v>
      </c>
      <c r="D40" t="s">
        <v>14</v>
      </c>
      <c r="E40">
        <v>2</v>
      </c>
      <c r="F40" s="2">
        <f>DATE(2026,IF(Tabla1[[#This Row],[Mes de Fecha]]="Septiembre",9,10),Tabla1[[#This Row],[Día de Fecha]])</f>
        <v>46297</v>
      </c>
      <c r="I40">
        <v>0</v>
      </c>
      <c r="J40" s="1">
        <v>8214804</v>
      </c>
      <c r="K40">
        <v>0</v>
      </c>
    </row>
    <row r="41" spans="1:11" x14ac:dyDescent="0.25">
      <c r="A41" t="s">
        <v>9</v>
      </c>
      <c r="B41" t="s">
        <v>233</v>
      </c>
      <c r="C41" t="s">
        <v>866</v>
      </c>
      <c r="D41" t="s">
        <v>14</v>
      </c>
      <c r="E41">
        <v>2</v>
      </c>
      <c r="F41" s="2">
        <f>DATE(2026,IF(Tabla1[[#This Row],[Mes de Fecha]]="Septiembre",9,10),Tabla1[[#This Row],[Día de Fecha]])</f>
        <v>46297</v>
      </c>
      <c r="G41">
        <v>68295017</v>
      </c>
      <c r="H41" t="s">
        <v>237</v>
      </c>
      <c r="I41">
        <v>21</v>
      </c>
      <c r="J41">
        <v>0</v>
      </c>
      <c r="K41" s="1">
        <v>1087313</v>
      </c>
    </row>
    <row r="42" spans="1:11" x14ac:dyDescent="0.25">
      <c r="A42" t="s">
        <v>9</v>
      </c>
      <c r="B42" t="s">
        <v>233</v>
      </c>
      <c r="C42" t="s">
        <v>866</v>
      </c>
      <c r="D42" t="s">
        <v>14</v>
      </c>
      <c r="E42">
        <v>2</v>
      </c>
      <c r="F42" s="2">
        <f>DATE(2026,IF(Tabla1[[#This Row],[Mes de Fecha]]="Septiembre",9,10),Tabla1[[#This Row],[Día de Fecha]])</f>
        <v>46297</v>
      </c>
      <c r="G42">
        <v>1065000247</v>
      </c>
      <c r="H42" t="s">
        <v>235</v>
      </c>
      <c r="I42">
        <v>28</v>
      </c>
      <c r="J42">
        <v>0</v>
      </c>
      <c r="K42" s="1">
        <v>1498782</v>
      </c>
    </row>
    <row r="43" spans="1:11" x14ac:dyDescent="0.25">
      <c r="A43" t="s">
        <v>9</v>
      </c>
      <c r="B43" t="s">
        <v>233</v>
      </c>
      <c r="C43" t="s">
        <v>866</v>
      </c>
      <c r="D43" t="s">
        <v>14</v>
      </c>
      <c r="E43">
        <v>2</v>
      </c>
      <c r="F43" s="2">
        <f>DATE(2026,IF(Tabla1[[#This Row],[Mes de Fecha]]="Septiembre",9,10),Tabla1[[#This Row],[Día de Fecha]])</f>
        <v>46297</v>
      </c>
      <c r="G43">
        <v>1193105936</v>
      </c>
      <c r="H43" t="s">
        <v>236</v>
      </c>
      <c r="I43">
        <v>18</v>
      </c>
      <c r="J43">
        <v>0</v>
      </c>
      <c r="K43" s="1">
        <v>1011852</v>
      </c>
    </row>
    <row r="44" spans="1:11" x14ac:dyDescent="0.25">
      <c r="A44" t="s">
        <v>9</v>
      </c>
      <c r="B44" t="s">
        <v>233</v>
      </c>
      <c r="C44" t="s">
        <v>866</v>
      </c>
      <c r="D44" t="s">
        <v>14</v>
      </c>
      <c r="E44">
        <v>3</v>
      </c>
      <c r="F44" s="2">
        <f>DATE(2026,IF(Tabla1[[#This Row],[Mes de Fecha]]="Septiembre",9,10),Tabla1[[#This Row],[Día de Fecha]])</f>
        <v>46298</v>
      </c>
      <c r="I44">
        <v>0</v>
      </c>
      <c r="J44" s="1">
        <v>6485203</v>
      </c>
      <c r="K44">
        <v>0</v>
      </c>
    </row>
    <row r="45" spans="1:11" x14ac:dyDescent="0.25">
      <c r="A45" t="s">
        <v>9</v>
      </c>
      <c r="B45" t="s">
        <v>233</v>
      </c>
      <c r="C45" t="s">
        <v>866</v>
      </c>
      <c r="D45" t="s">
        <v>14</v>
      </c>
      <c r="E45">
        <v>3</v>
      </c>
      <c r="F45" s="2">
        <f>DATE(2026,IF(Tabla1[[#This Row],[Mes de Fecha]]="Septiembre",9,10),Tabla1[[#This Row],[Día de Fecha]])</f>
        <v>46298</v>
      </c>
      <c r="G45">
        <v>68295017</v>
      </c>
      <c r="H45" t="s">
        <v>237</v>
      </c>
      <c r="I45">
        <v>20</v>
      </c>
      <c r="J45">
        <v>0</v>
      </c>
      <c r="K45" s="1">
        <v>978178</v>
      </c>
    </row>
    <row r="46" spans="1:11" x14ac:dyDescent="0.25">
      <c r="A46" t="s">
        <v>9</v>
      </c>
      <c r="B46" t="s">
        <v>233</v>
      </c>
      <c r="C46" t="s">
        <v>866</v>
      </c>
      <c r="D46" t="s">
        <v>14</v>
      </c>
      <c r="E46">
        <v>3</v>
      </c>
      <c r="F46" s="2">
        <f>DATE(2026,IF(Tabla1[[#This Row],[Mes de Fecha]]="Septiembre",9,10),Tabla1[[#This Row],[Día de Fecha]])</f>
        <v>46298</v>
      </c>
      <c r="G46">
        <v>1065000247</v>
      </c>
      <c r="H46" t="s">
        <v>235</v>
      </c>
      <c r="I46">
        <v>47</v>
      </c>
      <c r="J46">
        <v>0</v>
      </c>
      <c r="K46" s="1">
        <v>2446861</v>
      </c>
    </row>
    <row r="47" spans="1:11" x14ac:dyDescent="0.25">
      <c r="A47" t="s">
        <v>9</v>
      </c>
      <c r="B47" t="s">
        <v>233</v>
      </c>
      <c r="C47" t="s">
        <v>866</v>
      </c>
      <c r="D47" t="s">
        <v>14</v>
      </c>
      <c r="E47">
        <v>3</v>
      </c>
      <c r="F47" s="2">
        <f>DATE(2026,IF(Tabla1[[#This Row],[Mes de Fecha]]="Septiembre",9,10),Tabla1[[#This Row],[Día de Fecha]])</f>
        <v>46298</v>
      </c>
      <c r="G47">
        <v>1193105936</v>
      </c>
      <c r="H47" t="s">
        <v>236</v>
      </c>
      <c r="I47">
        <v>15</v>
      </c>
      <c r="J47">
        <v>0</v>
      </c>
      <c r="K47" s="1">
        <v>806130</v>
      </c>
    </row>
    <row r="48" spans="1:11" x14ac:dyDescent="0.25">
      <c r="A48" t="s">
        <v>9</v>
      </c>
      <c r="B48" t="s">
        <v>233</v>
      </c>
      <c r="C48" t="s">
        <v>866</v>
      </c>
      <c r="D48" t="s">
        <v>14</v>
      </c>
      <c r="E48">
        <v>4</v>
      </c>
      <c r="F48" s="2">
        <f>DATE(2026,IF(Tabla1[[#This Row],[Mes de Fecha]]="Septiembre",9,10),Tabla1[[#This Row],[Día de Fecha]])</f>
        <v>46299</v>
      </c>
      <c r="I48">
        <v>0</v>
      </c>
      <c r="J48" s="1">
        <v>1992147</v>
      </c>
      <c r="K48">
        <v>0</v>
      </c>
    </row>
    <row r="49" spans="1:11" x14ac:dyDescent="0.25">
      <c r="A49" t="s">
        <v>9</v>
      </c>
      <c r="B49" t="s">
        <v>233</v>
      </c>
      <c r="C49" t="s">
        <v>866</v>
      </c>
      <c r="D49" t="s">
        <v>14</v>
      </c>
      <c r="E49">
        <v>4</v>
      </c>
      <c r="F49" s="2">
        <f>DATE(2026,IF(Tabla1[[#This Row],[Mes de Fecha]]="Septiembre",9,10),Tabla1[[#This Row],[Día de Fecha]])</f>
        <v>46299</v>
      </c>
      <c r="G49">
        <v>68295017</v>
      </c>
      <c r="H49" t="s">
        <v>237</v>
      </c>
      <c r="I49">
        <v>25</v>
      </c>
      <c r="J49">
        <v>0</v>
      </c>
      <c r="K49" s="1">
        <v>1717438</v>
      </c>
    </row>
    <row r="50" spans="1:11" x14ac:dyDescent="0.25">
      <c r="A50" t="s">
        <v>9</v>
      </c>
      <c r="B50" t="s">
        <v>233</v>
      </c>
      <c r="C50" t="s">
        <v>866</v>
      </c>
      <c r="D50" t="s">
        <v>14</v>
      </c>
      <c r="E50">
        <v>4</v>
      </c>
      <c r="F50" s="2">
        <f>DATE(2026,IF(Tabla1[[#This Row],[Mes de Fecha]]="Septiembre",9,10),Tabla1[[#This Row],[Día de Fecha]])</f>
        <v>46299</v>
      </c>
      <c r="G50">
        <v>1065000247</v>
      </c>
      <c r="H50" t="s">
        <v>235</v>
      </c>
      <c r="I50">
        <v>26</v>
      </c>
      <c r="J50">
        <v>0</v>
      </c>
      <c r="K50" s="1">
        <v>1536725</v>
      </c>
    </row>
    <row r="51" spans="1:11" x14ac:dyDescent="0.25">
      <c r="A51" t="s">
        <v>9</v>
      </c>
      <c r="B51" t="s">
        <v>233</v>
      </c>
      <c r="C51" t="s">
        <v>866</v>
      </c>
      <c r="D51" t="s">
        <v>14</v>
      </c>
      <c r="E51">
        <v>5</v>
      </c>
      <c r="F51" s="2">
        <f>DATE(2026,IF(Tabla1[[#This Row],[Mes de Fecha]]="Septiembre",9,10),Tabla1[[#This Row],[Día de Fecha]])</f>
        <v>46300</v>
      </c>
      <c r="I51">
        <v>0</v>
      </c>
      <c r="J51" s="1">
        <v>8791604</v>
      </c>
      <c r="K51">
        <v>0</v>
      </c>
    </row>
    <row r="52" spans="1:11" x14ac:dyDescent="0.25">
      <c r="A52" t="s">
        <v>9</v>
      </c>
      <c r="B52" t="s">
        <v>233</v>
      </c>
      <c r="C52" t="s">
        <v>866</v>
      </c>
      <c r="D52" t="s">
        <v>14</v>
      </c>
      <c r="E52">
        <v>5</v>
      </c>
      <c r="F52" s="2">
        <f>DATE(2026,IF(Tabla1[[#This Row],[Mes de Fecha]]="Septiembre",9,10),Tabla1[[#This Row],[Día de Fecha]])</f>
        <v>46300</v>
      </c>
      <c r="G52">
        <v>68295017</v>
      </c>
      <c r="H52" t="s">
        <v>237</v>
      </c>
      <c r="I52">
        <v>18</v>
      </c>
      <c r="J52">
        <v>0</v>
      </c>
      <c r="K52" s="1">
        <v>984540</v>
      </c>
    </row>
    <row r="53" spans="1:11" x14ac:dyDescent="0.25">
      <c r="A53" t="s">
        <v>9</v>
      </c>
      <c r="B53" t="s">
        <v>233</v>
      </c>
      <c r="C53" t="s">
        <v>866</v>
      </c>
      <c r="D53" t="s">
        <v>14</v>
      </c>
      <c r="E53">
        <v>5</v>
      </c>
      <c r="F53" s="2">
        <f>DATE(2026,IF(Tabla1[[#This Row],[Mes de Fecha]]="Septiembre",9,10),Tabla1[[#This Row],[Día de Fecha]])</f>
        <v>46300</v>
      </c>
      <c r="G53">
        <v>1065000247</v>
      </c>
      <c r="H53" t="s">
        <v>235</v>
      </c>
      <c r="I53">
        <v>30</v>
      </c>
      <c r="J53">
        <v>0</v>
      </c>
      <c r="K53" s="1">
        <v>1818027</v>
      </c>
    </row>
    <row r="54" spans="1:11" x14ac:dyDescent="0.25">
      <c r="A54" t="s">
        <v>9</v>
      </c>
      <c r="B54" t="s">
        <v>233</v>
      </c>
      <c r="C54" t="s">
        <v>866</v>
      </c>
      <c r="D54" t="s">
        <v>14</v>
      </c>
      <c r="E54">
        <v>5</v>
      </c>
      <c r="F54" s="2">
        <f>DATE(2026,IF(Tabla1[[#This Row],[Mes de Fecha]]="Septiembre",9,10),Tabla1[[#This Row],[Día de Fecha]])</f>
        <v>46300</v>
      </c>
      <c r="G54">
        <v>1193105936</v>
      </c>
      <c r="H54" t="s">
        <v>236</v>
      </c>
      <c r="I54">
        <v>12</v>
      </c>
      <c r="J54">
        <v>0</v>
      </c>
      <c r="K54" s="1">
        <v>535129</v>
      </c>
    </row>
    <row r="55" spans="1:11" x14ac:dyDescent="0.25">
      <c r="A55" t="s">
        <v>9</v>
      </c>
      <c r="B55" t="s">
        <v>233</v>
      </c>
      <c r="C55" t="s">
        <v>866</v>
      </c>
      <c r="D55" t="s">
        <v>14</v>
      </c>
      <c r="E55">
        <v>6</v>
      </c>
      <c r="F55" s="2">
        <f>DATE(2026,IF(Tabla1[[#This Row],[Mes de Fecha]]="Septiembre",9,10),Tabla1[[#This Row],[Día de Fecha]])</f>
        <v>46301</v>
      </c>
      <c r="I55">
        <v>0</v>
      </c>
      <c r="J55" s="1">
        <v>1950529</v>
      </c>
      <c r="K55">
        <v>0</v>
      </c>
    </row>
    <row r="56" spans="1:11" x14ac:dyDescent="0.25">
      <c r="A56" t="s">
        <v>9</v>
      </c>
      <c r="B56" t="s">
        <v>233</v>
      </c>
      <c r="C56" t="s">
        <v>866</v>
      </c>
      <c r="D56" t="s">
        <v>14</v>
      </c>
      <c r="E56">
        <v>6</v>
      </c>
      <c r="F56" s="2">
        <f>DATE(2026,IF(Tabla1[[#This Row],[Mes de Fecha]]="Septiembre",9,10),Tabla1[[#This Row],[Día de Fecha]])</f>
        <v>46301</v>
      </c>
      <c r="G56">
        <v>68295017</v>
      </c>
      <c r="H56" t="s">
        <v>237</v>
      </c>
      <c r="I56">
        <v>38</v>
      </c>
      <c r="J56">
        <v>0</v>
      </c>
      <c r="K56" s="1">
        <v>2137017</v>
      </c>
    </row>
    <row r="57" spans="1:11" x14ac:dyDescent="0.25">
      <c r="A57" t="s">
        <v>9</v>
      </c>
      <c r="B57" t="s">
        <v>233</v>
      </c>
      <c r="C57" t="s">
        <v>866</v>
      </c>
      <c r="D57" t="s">
        <v>14</v>
      </c>
      <c r="E57">
        <v>6</v>
      </c>
      <c r="F57" s="2">
        <f>DATE(2026,IF(Tabla1[[#This Row],[Mes de Fecha]]="Septiembre",9,10),Tabla1[[#This Row],[Día de Fecha]])</f>
        <v>46301</v>
      </c>
      <c r="G57">
        <v>1065000247</v>
      </c>
      <c r="H57" t="s">
        <v>235</v>
      </c>
      <c r="I57">
        <v>0</v>
      </c>
      <c r="J57">
        <v>0</v>
      </c>
      <c r="K57" s="1">
        <v>4201</v>
      </c>
    </row>
    <row r="58" spans="1:11" x14ac:dyDescent="0.25">
      <c r="A58" t="s">
        <v>9</v>
      </c>
      <c r="B58" t="s">
        <v>233</v>
      </c>
      <c r="C58" t="s">
        <v>866</v>
      </c>
      <c r="D58" t="s">
        <v>14</v>
      </c>
      <c r="E58">
        <v>6</v>
      </c>
      <c r="F58" s="2">
        <f>DATE(2026,IF(Tabla1[[#This Row],[Mes de Fecha]]="Septiembre",9,10),Tabla1[[#This Row],[Día de Fecha]])</f>
        <v>46301</v>
      </c>
      <c r="G58">
        <v>1193105936</v>
      </c>
      <c r="H58" t="s">
        <v>236</v>
      </c>
      <c r="I58">
        <v>36</v>
      </c>
      <c r="J58">
        <v>0</v>
      </c>
      <c r="K58" s="1">
        <v>1857691</v>
      </c>
    </row>
    <row r="59" spans="1:11" x14ac:dyDescent="0.25">
      <c r="A59" t="s">
        <v>9</v>
      </c>
      <c r="B59" t="s">
        <v>233</v>
      </c>
      <c r="C59" t="s">
        <v>866</v>
      </c>
      <c r="D59" t="s">
        <v>14</v>
      </c>
      <c r="E59">
        <v>7</v>
      </c>
      <c r="F59" s="2">
        <f>DATE(2026,IF(Tabla1[[#This Row],[Mes de Fecha]]="Septiembre",9,10),Tabla1[[#This Row],[Día de Fecha]])</f>
        <v>46302</v>
      </c>
      <c r="I59">
        <v>0</v>
      </c>
      <c r="J59" s="1">
        <v>699915</v>
      </c>
      <c r="K59">
        <v>0</v>
      </c>
    </row>
    <row r="60" spans="1:11" x14ac:dyDescent="0.25">
      <c r="A60" t="s">
        <v>9</v>
      </c>
      <c r="B60" t="s">
        <v>233</v>
      </c>
      <c r="C60" t="s">
        <v>866</v>
      </c>
      <c r="D60" t="s">
        <v>14</v>
      </c>
      <c r="E60">
        <v>7</v>
      </c>
      <c r="F60" s="2">
        <f>DATE(2026,IF(Tabla1[[#This Row],[Mes de Fecha]]="Septiembre",9,10),Tabla1[[#This Row],[Día de Fecha]])</f>
        <v>46302</v>
      </c>
      <c r="G60">
        <v>68295017</v>
      </c>
      <c r="H60" t="s">
        <v>237</v>
      </c>
      <c r="I60">
        <v>22</v>
      </c>
      <c r="J60">
        <v>0</v>
      </c>
      <c r="K60" s="1">
        <v>1309874</v>
      </c>
    </row>
    <row r="61" spans="1:11" x14ac:dyDescent="0.25">
      <c r="A61" t="s">
        <v>9</v>
      </c>
      <c r="B61" t="s">
        <v>233</v>
      </c>
      <c r="C61" t="s">
        <v>866</v>
      </c>
      <c r="D61" t="s">
        <v>14</v>
      </c>
      <c r="E61">
        <v>7</v>
      </c>
      <c r="F61" s="2">
        <f>DATE(2026,IF(Tabla1[[#This Row],[Mes de Fecha]]="Septiembre",9,10),Tabla1[[#This Row],[Día de Fecha]])</f>
        <v>46302</v>
      </c>
      <c r="G61">
        <v>1065000247</v>
      </c>
      <c r="H61" t="s">
        <v>235</v>
      </c>
      <c r="I61">
        <v>17</v>
      </c>
      <c r="J61">
        <v>0</v>
      </c>
      <c r="K61" s="1">
        <v>719874</v>
      </c>
    </row>
    <row r="62" spans="1:11" x14ac:dyDescent="0.25">
      <c r="A62" t="s">
        <v>9</v>
      </c>
      <c r="B62" t="s">
        <v>233</v>
      </c>
      <c r="C62" t="s">
        <v>866</v>
      </c>
      <c r="D62" t="s">
        <v>14</v>
      </c>
      <c r="E62">
        <v>7</v>
      </c>
      <c r="F62" s="2">
        <f>DATE(2026,IF(Tabla1[[#This Row],[Mes de Fecha]]="Septiembre",9,10),Tabla1[[#This Row],[Día de Fecha]])</f>
        <v>46302</v>
      </c>
      <c r="G62">
        <v>1193105936</v>
      </c>
      <c r="H62" t="s">
        <v>236</v>
      </c>
      <c r="I62">
        <v>21</v>
      </c>
      <c r="J62">
        <v>0</v>
      </c>
      <c r="K62" s="1">
        <v>912984</v>
      </c>
    </row>
    <row r="63" spans="1:11" x14ac:dyDescent="0.25">
      <c r="A63" t="s">
        <v>9</v>
      </c>
      <c r="B63" t="s">
        <v>247</v>
      </c>
      <c r="C63" t="s">
        <v>866</v>
      </c>
      <c r="D63" t="s">
        <v>11</v>
      </c>
      <c r="E63">
        <v>23</v>
      </c>
      <c r="F63" s="2">
        <f>DATE(2026,IF(Tabla1[[#This Row],[Mes de Fecha]]="Septiembre",9,10),Tabla1[[#This Row],[Día de Fecha]])</f>
        <v>46288</v>
      </c>
      <c r="I63">
        <v>0</v>
      </c>
      <c r="J63" s="1">
        <v>2615363</v>
      </c>
      <c r="K63">
        <v>0</v>
      </c>
    </row>
    <row r="64" spans="1:11" x14ac:dyDescent="0.25">
      <c r="A64" t="s">
        <v>9</v>
      </c>
      <c r="B64" t="s">
        <v>247</v>
      </c>
      <c r="C64" t="s">
        <v>866</v>
      </c>
      <c r="D64" t="s">
        <v>11</v>
      </c>
      <c r="E64">
        <v>23</v>
      </c>
      <c r="F64" s="2">
        <f>DATE(2026,IF(Tabla1[[#This Row],[Mes de Fecha]]="Septiembre",9,10),Tabla1[[#This Row],[Día de Fecha]])</f>
        <v>46288</v>
      </c>
      <c r="G64">
        <v>1007133770</v>
      </c>
      <c r="H64" t="s">
        <v>249</v>
      </c>
      <c r="I64">
        <v>16</v>
      </c>
      <c r="J64">
        <v>0</v>
      </c>
      <c r="K64" s="1">
        <v>1112773</v>
      </c>
    </row>
    <row r="65" spans="1:11" x14ac:dyDescent="0.25">
      <c r="A65" t="s">
        <v>9</v>
      </c>
      <c r="B65" t="s">
        <v>247</v>
      </c>
      <c r="C65" t="s">
        <v>866</v>
      </c>
      <c r="D65" t="s">
        <v>11</v>
      </c>
      <c r="E65">
        <v>23</v>
      </c>
      <c r="F65" s="2">
        <f>DATE(2026,IF(Tabla1[[#This Row],[Mes de Fecha]]="Septiembre",9,10),Tabla1[[#This Row],[Día de Fecha]])</f>
        <v>46288</v>
      </c>
      <c r="G65">
        <v>1047360979</v>
      </c>
      <c r="H65" t="s">
        <v>248</v>
      </c>
      <c r="I65">
        <v>31</v>
      </c>
      <c r="J65">
        <v>0</v>
      </c>
      <c r="K65" s="1">
        <v>1696178</v>
      </c>
    </row>
    <row r="66" spans="1:11" x14ac:dyDescent="0.25">
      <c r="A66" t="s">
        <v>9</v>
      </c>
      <c r="B66" t="s">
        <v>247</v>
      </c>
      <c r="C66" t="s">
        <v>866</v>
      </c>
      <c r="D66" t="s">
        <v>11</v>
      </c>
      <c r="E66">
        <v>24</v>
      </c>
      <c r="F66" s="2">
        <f>DATE(2026,IF(Tabla1[[#This Row],[Mes de Fecha]]="Septiembre",9,10),Tabla1[[#This Row],[Día de Fecha]])</f>
        <v>46289</v>
      </c>
      <c r="I66">
        <v>0</v>
      </c>
      <c r="J66" s="1">
        <v>6763837</v>
      </c>
      <c r="K66">
        <v>0</v>
      </c>
    </row>
    <row r="67" spans="1:11" x14ac:dyDescent="0.25">
      <c r="A67" t="s">
        <v>9</v>
      </c>
      <c r="B67" t="s">
        <v>247</v>
      </c>
      <c r="C67" t="s">
        <v>866</v>
      </c>
      <c r="D67" t="s">
        <v>11</v>
      </c>
      <c r="E67">
        <v>24</v>
      </c>
      <c r="F67" s="2">
        <f>DATE(2026,IF(Tabla1[[#This Row],[Mes de Fecha]]="Septiembre",9,10),Tabla1[[#This Row],[Día de Fecha]])</f>
        <v>46289</v>
      </c>
      <c r="G67">
        <v>1007133770</v>
      </c>
      <c r="H67" t="s">
        <v>249</v>
      </c>
      <c r="I67">
        <v>11</v>
      </c>
      <c r="J67">
        <v>0</v>
      </c>
      <c r="K67" s="1">
        <v>461724</v>
      </c>
    </row>
    <row r="68" spans="1:11" x14ac:dyDescent="0.25">
      <c r="A68" t="s">
        <v>9</v>
      </c>
      <c r="B68" t="s">
        <v>247</v>
      </c>
      <c r="C68" t="s">
        <v>866</v>
      </c>
      <c r="D68" t="s">
        <v>11</v>
      </c>
      <c r="E68">
        <v>24</v>
      </c>
      <c r="F68" s="2">
        <f>DATE(2026,IF(Tabla1[[#This Row],[Mes de Fecha]]="Septiembre",9,10),Tabla1[[#This Row],[Día de Fecha]])</f>
        <v>46289</v>
      </c>
      <c r="G68">
        <v>1047360979</v>
      </c>
      <c r="H68" t="s">
        <v>248</v>
      </c>
      <c r="I68">
        <v>115</v>
      </c>
      <c r="J68">
        <v>0</v>
      </c>
      <c r="K68" s="1">
        <v>6245175</v>
      </c>
    </row>
    <row r="69" spans="1:11" x14ac:dyDescent="0.25">
      <c r="A69" t="s">
        <v>9</v>
      </c>
      <c r="B69" t="s">
        <v>247</v>
      </c>
      <c r="C69" t="s">
        <v>866</v>
      </c>
      <c r="D69" t="s">
        <v>11</v>
      </c>
      <c r="E69">
        <v>25</v>
      </c>
      <c r="F69" s="2">
        <f>DATE(2026,IF(Tabla1[[#This Row],[Mes de Fecha]]="Septiembre",9,10),Tabla1[[#This Row],[Día de Fecha]])</f>
        <v>46290</v>
      </c>
      <c r="I69">
        <v>0</v>
      </c>
      <c r="J69" s="1">
        <v>7224147</v>
      </c>
      <c r="K69">
        <v>0</v>
      </c>
    </row>
    <row r="70" spans="1:11" x14ac:dyDescent="0.25">
      <c r="A70" t="s">
        <v>9</v>
      </c>
      <c r="B70" t="s">
        <v>247</v>
      </c>
      <c r="C70" t="s">
        <v>866</v>
      </c>
      <c r="D70" t="s">
        <v>11</v>
      </c>
      <c r="E70">
        <v>25</v>
      </c>
      <c r="F70" s="2">
        <f>DATE(2026,IF(Tabla1[[#This Row],[Mes de Fecha]]="Septiembre",9,10),Tabla1[[#This Row],[Día de Fecha]])</f>
        <v>46290</v>
      </c>
      <c r="G70">
        <v>1047360979</v>
      </c>
      <c r="H70" t="s">
        <v>248</v>
      </c>
      <c r="I70">
        <v>126</v>
      </c>
      <c r="J70">
        <v>0</v>
      </c>
      <c r="K70" s="1">
        <v>6408581</v>
      </c>
    </row>
    <row r="71" spans="1:11" x14ac:dyDescent="0.25">
      <c r="A71" t="s">
        <v>9</v>
      </c>
      <c r="B71" t="s">
        <v>247</v>
      </c>
      <c r="C71" t="s">
        <v>866</v>
      </c>
      <c r="D71" t="s">
        <v>11</v>
      </c>
      <c r="E71">
        <v>26</v>
      </c>
      <c r="F71" s="2">
        <f>DATE(2026,IF(Tabla1[[#This Row],[Mes de Fecha]]="Septiembre",9,10),Tabla1[[#This Row],[Día de Fecha]])</f>
        <v>46291</v>
      </c>
      <c r="I71">
        <v>0</v>
      </c>
      <c r="J71" s="1">
        <v>9109467</v>
      </c>
      <c r="K71">
        <v>0</v>
      </c>
    </row>
    <row r="72" spans="1:11" x14ac:dyDescent="0.25">
      <c r="A72" t="s">
        <v>9</v>
      </c>
      <c r="B72" t="s">
        <v>247</v>
      </c>
      <c r="C72" t="s">
        <v>866</v>
      </c>
      <c r="D72" t="s">
        <v>11</v>
      </c>
      <c r="E72">
        <v>26</v>
      </c>
      <c r="F72" s="2">
        <f>DATE(2026,IF(Tabla1[[#This Row],[Mes de Fecha]]="Septiembre",9,10),Tabla1[[#This Row],[Día de Fecha]])</f>
        <v>46291</v>
      </c>
      <c r="G72">
        <v>1007133770</v>
      </c>
      <c r="H72" t="s">
        <v>249</v>
      </c>
      <c r="I72">
        <v>28</v>
      </c>
      <c r="J72">
        <v>0</v>
      </c>
      <c r="K72" s="1">
        <v>843824</v>
      </c>
    </row>
    <row r="73" spans="1:11" x14ac:dyDescent="0.25">
      <c r="A73" t="s">
        <v>9</v>
      </c>
      <c r="B73" t="s">
        <v>247</v>
      </c>
      <c r="C73" t="s">
        <v>866</v>
      </c>
      <c r="D73" t="s">
        <v>11</v>
      </c>
      <c r="E73">
        <v>26</v>
      </c>
      <c r="F73" s="2">
        <f>DATE(2026,IF(Tabla1[[#This Row],[Mes de Fecha]]="Septiembre",9,10),Tabla1[[#This Row],[Día de Fecha]])</f>
        <v>46291</v>
      </c>
      <c r="G73">
        <v>1047360979</v>
      </c>
      <c r="H73" t="s">
        <v>248</v>
      </c>
      <c r="I73">
        <v>64</v>
      </c>
      <c r="J73">
        <v>0</v>
      </c>
      <c r="K73" s="1">
        <v>3066436</v>
      </c>
    </row>
    <row r="74" spans="1:11" x14ac:dyDescent="0.25">
      <c r="A74" t="s">
        <v>9</v>
      </c>
      <c r="B74" t="s">
        <v>247</v>
      </c>
      <c r="C74" t="s">
        <v>866</v>
      </c>
      <c r="D74" t="s">
        <v>11</v>
      </c>
      <c r="E74">
        <v>27</v>
      </c>
      <c r="F74" s="2">
        <f>DATE(2026,IF(Tabla1[[#This Row],[Mes de Fecha]]="Septiembre",9,10),Tabla1[[#This Row],[Día de Fecha]])</f>
        <v>46292</v>
      </c>
      <c r="I74">
        <v>0</v>
      </c>
      <c r="J74" s="1">
        <v>4809713</v>
      </c>
      <c r="K74">
        <v>0</v>
      </c>
    </row>
    <row r="75" spans="1:11" x14ac:dyDescent="0.25">
      <c r="A75" t="s">
        <v>9</v>
      </c>
      <c r="B75" t="s">
        <v>247</v>
      </c>
      <c r="C75" t="s">
        <v>866</v>
      </c>
      <c r="D75" t="s">
        <v>11</v>
      </c>
      <c r="E75">
        <v>27</v>
      </c>
      <c r="F75" s="2">
        <f>DATE(2026,IF(Tabla1[[#This Row],[Mes de Fecha]]="Septiembre",9,10),Tabla1[[#This Row],[Día de Fecha]])</f>
        <v>46292</v>
      </c>
      <c r="G75">
        <v>1047360979</v>
      </c>
      <c r="H75" t="s">
        <v>248</v>
      </c>
      <c r="I75">
        <v>116</v>
      </c>
      <c r="J75">
        <v>0</v>
      </c>
      <c r="K75" s="1">
        <v>6230221</v>
      </c>
    </row>
    <row r="76" spans="1:11" x14ac:dyDescent="0.25">
      <c r="A76" t="s">
        <v>9</v>
      </c>
      <c r="B76" t="s">
        <v>247</v>
      </c>
      <c r="C76" t="s">
        <v>866</v>
      </c>
      <c r="D76" t="s">
        <v>11</v>
      </c>
      <c r="E76">
        <v>28</v>
      </c>
      <c r="F76" s="2">
        <f>DATE(2026,IF(Tabla1[[#This Row],[Mes de Fecha]]="Septiembre",9,10),Tabla1[[#This Row],[Día de Fecha]])</f>
        <v>46293</v>
      </c>
      <c r="I76">
        <v>0</v>
      </c>
      <c r="J76" s="1">
        <v>3943442</v>
      </c>
      <c r="K76">
        <v>0</v>
      </c>
    </row>
    <row r="77" spans="1:11" x14ac:dyDescent="0.25">
      <c r="A77" t="s">
        <v>9</v>
      </c>
      <c r="B77" t="s">
        <v>247</v>
      </c>
      <c r="C77" t="s">
        <v>866</v>
      </c>
      <c r="D77" t="s">
        <v>11</v>
      </c>
      <c r="E77">
        <v>28</v>
      </c>
      <c r="F77" s="2">
        <f>DATE(2026,IF(Tabla1[[#This Row],[Mes de Fecha]]="Septiembre",9,10),Tabla1[[#This Row],[Día de Fecha]])</f>
        <v>46293</v>
      </c>
      <c r="G77">
        <v>1047360979</v>
      </c>
      <c r="H77" t="s">
        <v>248</v>
      </c>
      <c r="I77">
        <v>52</v>
      </c>
      <c r="J77">
        <v>0</v>
      </c>
      <c r="K77" s="1">
        <v>2680383</v>
      </c>
    </row>
    <row r="78" spans="1:11" x14ac:dyDescent="0.25">
      <c r="A78" t="s">
        <v>9</v>
      </c>
      <c r="B78" t="s">
        <v>247</v>
      </c>
      <c r="C78" t="s">
        <v>866</v>
      </c>
      <c r="D78" t="s">
        <v>11</v>
      </c>
      <c r="E78">
        <v>29</v>
      </c>
      <c r="F78" s="2">
        <f>DATE(2026,IF(Tabla1[[#This Row],[Mes de Fecha]]="Septiembre",9,10),Tabla1[[#This Row],[Día de Fecha]])</f>
        <v>46294</v>
      </c>
      <c r="I78">
        <v>0</v>
      </c>
      <c r="J78" s="1">
        <v>4383941</v>
      </c>
      <c r="K78">
        <v>0</v>
      </c>
    </row>
    <row r="79" spans="1:11" x14ac:dyDescent="0.25">
      <c r="A79" t="s">
        <v>9</v>
      </c>
      <c r="B79" t="s">
        <v>247</v>
      </c>
      <c r="C79" t="s">
        <v>866</v>
      </c>
      <c r="D79" t="s">
        <v>11</v>
      </c>
      <c r="E79">
        <v>29</v>
      </c>
      <c r="F79" s="2">
        <f>DATE(2026,IF(Tabla1[[#This Row],[Mes de Fecha]]="Septiembre",9,10),Tabla1[[#This Row],[Día de Fecha]])</f>
        <v>46294</v>
      </c>
      <c r="G79">
        <v>1007133770</v>
      </c>
      <c r="H79" t="s">
        <v>249</v>
      </c>
      <c r="I79">
        <v>8</v>
      </c>
      <c r="J79">
        <v>0</v>
      </c>
      <c r="K79" s="1">
        <v>440841</v>
      </c>
    </row>
    <row r="80" spans="1:11" x14ac:dyDescent="0.25">
      <c r="A80" t="s">
        <v>9</v>
      </c>
      <c r="B80" t="s">
        <v>247</v>
      </c>
      <c r="C80" t="s">
        <v>866</v>
      </c>
      <c r="D80" t="s">
        <v>11</v>
      </c>
      <c r="E80">
        <v>29</v>
      </c>
      <c r="F80" s="2">
        <f>DATE(2026,IF(Tabla1[[#This Row],[Mes de Fecha]]="Septiembre",9,10),Tabla1[[#This Row],[Día de Fecha]])</f>
        <v>46294</v>
      </c>
      <c r="G80">
        <v>1047360979</v>
      </c>
      <c r="H80" t="s">
        <v>248</v>
      </c>
      <c r="I80">
        <v>60</v>
      </c>
      <c r="J80">
        <v>0</v>
      </c>
      <c r="K80" s="1">
        <v>3673740</v>
      </c>
    </row>
    <row r="81" spans="1:11" x14ac:dyDescent="0.25">
      <c r="A81" t="s">
        <v>9</v>
      </c>
      <c r="B81" t="s">
        <v>247</v>
      </c>
      <c r="C81" t="s">
        <v>866</v>
      </c>
      <c r="D81" t="s">
        <v>11</v>
      </c>
      <c r="E81">
        <v>30</v>
      </c>
      <c r="F81" s="2">
        <f>DATE(2026,IF(Tabla1[[#This Row],[Mes de Fecha]]="Septiembre",9,10),Tabla1[[#This Row],[Día de Fecha]])</f>
        <v>46295</v>
      </c>
      <c r="I81">
        <v>0</v>
      </c>
      <c r="J81" s="1">
        <v>4642733</v>
      </c>
      <c r="K81">
        <v>0</v>
      </c>
    </row>
    <row r="82" spans="1:11" x14ac:dyDescent="0.25">
      <c r="A82" t="s">
        <v>9</v>
      </c>
      <c r="B82" t="s">
        <v>247</v>
      </c>
      <c r="C82" t="s">
        <v>866</v>
      </c>
      <c r="D82" t="s">
        <v>11</v>
      </c>
      <c r="E82">
        <v>30</v>
      </c>
      <c r="F82" s="2">
        <f>DATE(2026,IF(Tabla1[[#This Row],[Mes de Fecha]]="Septiembre",9,10),Tabla1[[#This Row],[Día de Fecha]])</f>
        <v>46295</v>
      </c>
      <c r="G82">
        <v>1047360979</v>
      </c>
      <c r="H82" t="s">
        <v>248</v>
      </c>
      <c r="I82">
        <v>53</v>
      </c>
      <c r="J82">
        <v>0</v>
      </c>
      <c r="K82" s="1">
        <v>2930258</v>
      </c>
    </row>
    <row r="83" spans="1:11" x14ac:dyDescent="0.25">
      <c r="A83" t="s">
        <v>9</v>
      </c>
      <c r="B83" t="s">
        <v>247</v>
      </c>
      <c r="C83" t="s">
        <v>866</v>
      </c>
      <c r="D83" t="s">
        <v>14</v>
      </c>
      <c r="E83">
        <v>1</v>
      </c>
      <c r="F83" s="2">
        <f>DATE(2026,IF(Tabla1[[#This Row],[Mes de Fecha]]="Septiembre",9,10),Tabla1[[#This Row],[Día de Fecha]])</f>
        <v>46296</v>
      </c>
      <c r="I83">
        <v>0</v>
      </c>
      <c r="J83" s="1">
        <v>6985108</v>
      </c>
      <c r="K83">
        <v>0</v>
      </c>
    </row>
    <row r="84" spans="1:11" x14ac:dyDescent="0.25">
      <c r="A84" t="s">
        <v>9</v>
      </c>
      <c r="B84" t="s">
        <v>247</v>
      </c>
      <c r="C84" t="s">
        <v>866</v>
      </c>
      <c r="D84" t="s">
        <v>14</v>
      </c>
      <c r="E84">
        <v>1</v>
      </c>
      <c r="F84" s="2">
        <f>DATE(2026,IF(Tabla1[[#This Row],[Mes de Fecha]]="Septiembre",9,10),Tabla1[[#This Row],[Día de Fecha]])</f>
        <v>46296</v>
      </c>
      <c r="G84">
        <v>1047360979</v>
      </c>
      <c r="H84" t="s">
        <v>248</v>
      </c>
      <c r="I84">
        <v>84</v>
      </c>
      <c r="J84">
        <v>0</v>
      </c>
      <c r="K84" s="1">
        <v>4416564</v>
      </c>
    </row>
    <row r="85" spans="1:11" x14ac:dyDescent="0.25">
      <c r="A85" t="s">
        <v>9</v>
      </c>
      <c r="B85" t="s">
        <v>247</v>
      </c>
      <c r="C85" t="s">
        <v>866</v>
      </c>
      <c r="D85" t="s">
        <v>14</v>
      </c>
      <c r="E85">
        <v>2</v>
      </c>
      <c r="F85" s="2">
        <f>DATE(2026,IF(Tabla1[[#This Row],[Mes de Fecha]]="Septiembre",9,10),Tabla1[[#This Row],[Día de Fecha]])</f>
        <v>46297</v>
      </c>
      <c r="I85">
        <v>0</v>
      </c>
      <c r="J85" s="1">
        <v>6423268</v>
      </c>
      <c r="K85">
        <v>0</v>
      </c>
    </row>
    <row r="86" spans="1:11" x14ac:dyDescent="0.25">
      <c r="A86" t="s">
        <v>9</v>
      </c>
      <c r="B86" t="s">
        <v>247</v>
      </c>
      <c r="C86" t="s">
        <v>866</v>
      </c>
      <c r="D86" t="s">
        <v>14</v>
      </c>
      <c r="E86">
        <v>2</v>
      </c>
      <c r="F86" s="2">
        <f>DATE(2026,IF(Tabla1[[#This Row],[Mes de Fecha]]="Septiembre",9,10),Tabla1[[#This Row],[Día de Fecha]])</f>
        <v>46297</v>
      </c>
      <c r="G86">
        <v>1047360979</v>
      </c>
      <c r="H86" t="s">
        <v>248</v>
      </c>
      <c r="I86">
        <v>99</v>
      </c>
      <c r="J86">
        <v>0</v>
      </c>
      <c r="K86" s="1">
        <v>5577694</v>
      </c>
    </row>
    <row r="87" spans="1:11" x14ac:dyDescent="0.25">
      <c r="A87" t="s">
        <v>9</v>
      </c>
      <c r="B87" t="s">
        <v>247</v>
      </c>
      <c r="C87" t="s">
        <v>866</v>
      </c>
      <c r="D87" t="s">
        <v>14</v>
      </c>
      <c r="E87">
        <v>3</v>
      </c>
      <c r="F87" s="2">
        <f>DATE(2026,IF(Tabla1[[#This Row],[Mes de Fecha]]="Septiembre",9,10),Tabla1[[#This Row],[Día de Fecha]])</f>
        <v>46298</v>
      </c>
      <c r="I87">
        <v>0</v>
      </c>
      <c r="J87" s="1">
        <v>7154217</v>
      </c>
      <c r="K87">
        <v>0</v>
      </c>
    </row>
    <row r="88" spans="1:11" x14ac:dyDescent="0.25">
      <c r="A88" t="s">
        <v>9</v>
      </c>
      <c r="B88" t="s">
        <v>247</v>
      </c>
      <c r="C88" t="s">
        <v>866</v>
      </c>
      <c r="D88" t="s">
        <v>14</v>
      </c>
      <c r="E88">
        <v>3</v>
      </c>
      <c r="F88" s="2">
        <f>DATE(2026,IF(Tabla1[[#This Row],[Mes de Fecha]]="Septiembre",9,10),Tabla1[[#This Row],[Día de Fecha]])</f>
        <v>46298</v>
      </c>
      <c r="G88">
        <v>1047360979</v>
      </c>
      <c r="H88" t="s">
        <v>248</v>
      </c>
      <c r="I88">
        <v>110</v>
      </c>
      <c r="J88">
        <v>0</v>
      </c>
      <c r="K88" s="1">
        <v>6136068</v>
      </c>
    </row>
    <row r="89" spans="1:11" x14ac:dyDescent="0.25">
      <c r="A89" t="s">
        <v>9</v>
      </c>
      <c r="B89" t="s">
        <v>247</v>
      </c>
      <c r="C89" t="s">
        <v>866</v>
      </c>
      <c r="D89" t="s">
        <v>14</v>
      </c>
      <c r="E89">
        <v>4</v>
      </c>
      <c r="F89" s="2">
        <f>DATE(2026,IF(Tabla1[[#This Row],[Mes de Fecha]]="Septiembre",9,10),Tabla1[[#This Row],[Día de Fecha]])</f>
        <v>46299</v>
      </c>
      <c r="I89">
        <v>0</v>
      </c>
      <c r="J89" s="1">
        <v>8130935</v>
      </c>
      <c r="K89">
        <v>0</v>
      </c>
    </row>
    <row r="90" spans="1:11" x14ac:dyDescent="0.25">
      <c r="A90" t="s">
        <v>9</v>
      </c>
      <c r="B90" t="s">
        <v>247</v>
      </c>
      <c r="C90" t="s">
        <v>866</v>
      </c>
      <c r="D90" t="s">
        <v>14</v>
      </c>
      <c r="E90">
        <v>4</v>
      </c>
      <c r="F90" s="2">
        <f>DATE(2026,IF(Tabla1[[#This Row],[Mes de Fecha]]="Septiembre",9,10),Tabla1[[#This Row],[Día de Fecha]])</f>
        <v>46299</v>
      </c>
      <c r="G90">
        <v>1047360979</v>
      </c>
      <c r="H90" t="s">
        <v>248</v>
      </c>
      <c r="I90">
        <v>96</v>
      </c>
      <c r="J90">
        <v>0</v>
      </c>
      <c r="K90" s="1">
        <v>5426312</v>
      </c>
    </row>
    <row r="91" spans="1:11" x14ac:dyDescent="0.25">
      <c r="A91" t="s">
        <v>9</v>
      </c>
      <c r="B91" t="s">
        <v>247</v>
      </c>
      <c r="C91" t="s">
        <v>866</v>
      </c>
      <c r="D91" t="s">
        <v>14</v>
      </c>
      <c r="E91">
        <v>5</v>
      </c>
      <c r="F91" s="2">
        <f>DATE(2026,IF(Tabla1[[#This Row],[Mes de Fecha]]="Septiembre",9,10),Tabla1[[#This Row],[Día de Fecha]])</f>
        <v>46300</v>
      </c>
      <c r="I91">
        <v>0</v>
      </c>
      <c r="J91" s="1">
        <v>4015544</v>
      </c>
      <c r="K91">
        <v>0</v>
      </c>
    </row>
    <row r="92" spans="1:11" x14ac:dyDescent="0.25">
      <c r="A92" t="s">
        <v>9</v>
      </c>
      <c r="B92" t="s">
        <v>247</v>
      </c>
      <c r="C92" t="s">
        <v>866</v>
      </c>
      <c r="D92" t="s">
        <v>14</v>
      </c>
      <c r="E92">
        <v>5</v>
      </c>
      <c r="F92" s="2">
        <f>DATE(2026,IF(Tabla1[[#This Row],[Mes de Fecha]]="Septiembre",9,10),Tabla1[[#This Row],[Día de Fecha]])</f>
        <v>46300</v>
      </c>
      <c r="G92">
        <v>1047360979</v>
      </c>
      <c r="H92" t="s">
        <v>248</v>
      </c>
      <c r="I92">
        <v>91</v>
      </c>
      <c r="J92">
        <v>0</v>
      </c>
      <c r="K92" s="1">
        <v>5004294</v>
      </c>
    </row>
    <row r="93" spans="1:11" x14ac:dyDescent="0.25">
      <c r="A93" t="s">
        <v>9</v>
      </c>
      <c r="B93" t="s">
        <v>247</v>
      </c>
      <c r="C93" t="s">
        <v>866</v>
      </c>
      <c r="D93" t="s">
        <v>14</v>
      </c>
      <c r="E93">
        <v>6</v>
      </c>
      <c r="F93" s="2">
        <f>DATE(2026,IF(Tabla1[[#This Row],[Mes de Fecha]]="Septiembre",9,10),Tabla1[[#This Row],[Día de Fecha]])</f>
        <v>46301</v>
      </c>
      <c r="I93">
        <v>0</v>
      </c>
      <c r="J93" s="1">
        <v>2973888</v>
      </c>
      <c r="K93">
        <v>0</v>
      </c>
    </row>
    <row r="94" spans="1:11" x14ac:dyDescent="0.25">
      <c r="A94" t="s">
        <v>9</v>
      </c>
      <c r="B94" t="s">
        <v>247</v>
      </c>
      <c r="C94" t="s">
        <v>866</v>
      </c>
      <c r="D94" t="s">
        <v>14</v>
      </c>
      <c r="E94">
        <v>6</v>
      </c>
      <c r="F94" s="2">
        <f>DATE(2026,IF(Tabla1[[#This Row],[Mes de Fecha]]="Septiembre",9,10),Tabla1[[#This Row],[Día de Fecha]])</f>
        <v>46301</v>
      </c>
      <c r="G94">
        <v>1047360979</v>
      </c>
      <c r="H94" t="s">
        <v>248</v>
      </c>
      <c r="I94">
        <v>52</v>
      </c>
      <c r="J94">
        <v>0</v>
      </c>
      <c r="K94" s="1">
        <v>2903155</v>
      </c>
    </row>
    <row r="95" spans="1:11" x14ac:dyDescent="0.25">
      <c r="A95" t="s">
        <v>9</v>
      </c>
      <c r="B95" t="s">
        <v>247</v>
      </c>
      <c r="C95" t="s">
        <v>866</v>
      </c>
      <c r="D95" t="s">
        <v>14</v>
      </c>
      <c r="E95">
        <v>7</v>
      </c>
      <c r="F95" s="2">
        <f>DATE(2026,IF(Tabla1[[#This Row],[Mes de Fecha]]="Septiembre",9,10),Tabla1[[#This Row],[Día de Fecha]])</f>
        <v>46302</v>
      </c>
      <c r="I95">
        <v>0</v>
      </c>
      <c r="J95" s="1">
        <v>2076447</v>
      </c>
      <c r="K95">
        <v>0</v>
      </c>
    </row>
    <row r="96" spans="1:11" x14ac:dyDescent="0.25">
      <c r="A96" t="s">
        <v>9</v>
      </c>
      <c r="B96" t="s">
        <v>247</v>
      </c>
      <c r="C96" t="s">
        <v>866</v>
      </c>
      <c r="D96" t="s">
        <v>14</v>
      </c>
      <c r="E96">
        <v>7</v>
      </c>
      <c r="F96" s="2">
        <f>DATE(2026,IF(Tabla1[[#This Row],[Mes de Fecha]]="Septiembre",9,10),Tabla1[[#This Row],[Día de Fecha]])</f>
        <v>46302</v>
      </c>
      <c r="G96">
        <v>1047360979</v>
      </c>
      <c r="H96" t="s">
        <v>248</v>
      </c>
      <c r="I96">
        <v>24</v>
      </c>
      <c r="J96">
        <v>0</v>
      </c>
      <c r="K96" s="1">
        <v>1461095</v>
      </c>
    </row>
    <row r="97" spans="1:11" x14ac:dyDescent="0.25">
      <c r="A97" t="s">
        <v>9</v>
      </c>
      <c r="B97" t="s">
        <v>257</v>
      </c>
      <c r="C97" t="s">
        <v>866</v>
      </c>
      <c r="D97" t="s">
        <v>11</v>
      </c>
      <c r="E97">
        <v>23</v>
      </c>
      <c r="F97" s="2">
        <f>DATE(2026,IF(Tabla1[[#This Row],[Mes de Fecha]]="Septiembre",9,10),Tabla1[[#This Row],[Día de Fecha]])</f>
        <v>46288</v>
      </c>
      <c r="I97">
        <v>0</v>
      </c>
      <c r="J97" s="1">
        <v>3123687</v>
      </c>
      <c r="K97">
        <v>0</v>
      </c>
    </row>
    <row r="98" spans="1:11" x14ac:dyDescent="0.25">
      <c r="A98" t="s">
        <v>9</v>
      </c>
      <c r="B98" t="s">
        <v>257</v>
      </c>
      <c r="C98" t="s">
        <v>866</v>
      </c>
      <c r="D98" t="s">
        <v>11</v>
      </c>
      <c r="E98">
        <v>23</v>
      </c>
      <c r="F98" s="2">
        <f>DATE(2026,IF(Tabla1[[#This Row],[Mes de Fecha]]="Septiembre",9,10),Tabla1[[#This Row],[Día de Fecha]])</f>
        <v>46288</v>
      </c>
      <c r="G98">
        <v>33310810</v>
      </c>
      <c r="H98" t="s">
        <v>259</v>
      </c>
      <c r="I98">
        <v>14</v>
      </c>
      <c r="J98">
        <v>0</v>
      </c>
      <c r="K98" s="1">
        <v>656976</v>
      </c>
    </row>
    <row r="99" spans="1:11" x14ac:dyDescent="0.25">
      <c r="A99" t="s">
        <v>9</v>
      </c>
      <c r="B99" t="s">
        <v>257</v>
      </c>
      <c r="C99" t="s">
        <v>866</v>
      </c>
      <c r="D99" t="s">
        <v>11</v>
      </c>
      <c r="E99">
        <v>23</v>
      </c>
      <c r="F99" s="2">
        <f>DATE(2026,IF(Tabla1[[#This Row],[Mes de Fecha]]="Septiembre",9,10),Tabla1[[#This Row],[Día de Fecha]])</f>
        <v>46288</v>
      </c>
      <c r="G99">
        <v>1002487706</v>
      </c>
      <c r="H99" t="s">
        <v>260</v>
      </c>
      <c r="I99">
        <v>44</v>
      </c>
      <c r="J99">
        <v>0</v>
      </c>
      <c r="K99" s="1">
        <v>2407816</v>
      </c>
    </row>
    <row r="100" spans="1:11" x14ac:dyDescent="0.25">
      <c r="A100" t="s">
        <v>9</v>
      </c>
      <c r="B100" t="s">
        <v>257</v>
      </c>
      <c r="C100" t="s">
        <v>866</v>
      </c>
      <c r="D100" t="s">
        <v>11</v>
      </c>
      <c r="E100">
        <v>23</v>
      </c>
      <c r="F100" s="2">
        <f>DATE(2026,IF(Tabla1[[#This Row],[Mes de Fecha]]="Septiembre",9,10),Tabla1[[#This Row],[Día de Fecha]])</f>
        <v>46288</v>
      </c>
      <c r="G100">
        <v>1002491035</v>
      </c>
      <c r="H100" t="s">
        <v>261</v>
      </c>
      <c r="I100">
        <v>33</v>
      </c>
      <c r="J100">
        <v>0</v>
      </c>
      <c r="K100" s="1">
        <v>1591052</v>
      </c>
    </row>
    <row r="101" spans="1:11" x14ac:dyDescent="0.25">
      <c r="A101" t="s">
        <v>9</v>
      </c>
      <c r="B101" t="s">
        <v>257</v>
      </c>
      <c r="C101" t="s">
        <v>866</v>
      </c>
      <c r="D101" t="s">
        <v>11</v>
      </c>
      <c r="E101">
        <v>23</v>
      </c>
      <c r="F101" s="2">
        <f>DATE(2026,IF(Tabla1[[#This Row],[Mes de Fecha]]="Septiembre",9,10),Tabla1[[#This Row],[Día de Fecha]])</f>
        <v>46288</v>
      </c>
      <c r="G101">
        <v>1093141855</v>
      </c>
      <c r="H101" t="s">
        <v>258</v>
      </c>
      <c r="I101">
        <v>5</v>
      </c>
      <c r="J101">
        <v>0</v>
      </c>
      <c r="K101" s="1">
        <v>403109</v>
      </c>
    </row>
    <row r="102" spans="1:11" x14ac:dyDescent="0.25">
      <c r="A102" t="s">
        <v>9</v>
      </c>
      <c r="B102" t="s">
        <v>257</v>
      </c>
      <c r="C102" t="s">
        <v>866</v>
      </c>
      <c r="D102" t="s">
        <v>11</v>
      </c>
      <c r="E102">
        <v>24</v>
      </c>
      <c r="F102" s="2">
        <f>DATE(2026,IF(Tabla1[[#This Row],[Mes de Fecha]]="Septiembre",9,10),Tabla1[[#This Row],[Día de Fecha]])</f>
        <v>46289</v>
      </c>
      <c r="I102">
        <v>0</v>
      </c>
      <c r="J102" s="1">
        <v>8078449</v>
      </c>
      <c r="K102">
        <v>0</v>
      </c>
    </row>
    <row r="103" spans="1:11" x14ac:dyDescent="0.25">
      <c r="A103" t="s">
        <v>9</v>
      </c>
      <c r="B103" t="s">
        <v>257</v>
      </c>
      <c r="C103" t="s">
        <v>866</v>
      </c>
      <c r="D103" t="s">
        <v>11</v>
      </c>
      <c r="E103">
        <v>24</v>
      </c>
      <c r="F103" s="2">
        <f>DATE(2026,IF(Tabla1[[#This Row],[Mes de Fecha]]="Septiembre",9,10),Tabla1[[#This Row],[Día de Fecha]])</f>
        <v>46289</v>
      </c>
      <c r="G103">
        <v>33310810</v>
      </c>
      <c r="H103" t="s">
        <v>259</v>
      </c>
      <c r="I103">
        <v>59</v>
      </c>
      <c r="J103">
        <v>0</v>
      </c>
      <c r="K103" s="1">
        <v>2673993</v>
      </c>
    </row>
    <row r="104" spans="1:11" x14ac:dyDescent="0.25">
      <c r="A104" t="s">
        <v>9</v>
      </c>
      <c r="B104" t="s">
        <v>257</v>
      </c>
      <c r="C104" t="s">
        <v>866</v>
      </c>
      <c r="D104" t="s">
        <v>11</v>
      </c>
      <c r="E104">
        <v>24</v>
      </c>
      <c r="F104" s="2">
        <f>DATE(2026,IF(Tabla1[[#This Row],[Mes de Fecha]]="Septiembre",9,10),Tabla1[[#This Row],[Día de Fecha]])</f>
        <v>46289</v>
      </c>
      <c r="G104">
        <v>1002487706</v>
      </c>
      <c r="H104" t="s">
        <v>260</v>
      </c>
      <c r="I104">
        <v>45</v>
      </c>
      <c r="J104">
        <v>0</v>
      </c>
      <c r="K104" s="1">
        <v>2615758</v>
      </c>
    </row>
    <row r="105" spans="1:11" x14ac:dyDescent="0.25">
      <c r="A105" t="s">
        <v>9</v>
      </c>
      <c r="B105" t="s">
        <v>257</v>
      </c>
      <c r="C105" t="s">
        <v>866</v>
      </c>
      <c r="D105" t="s">
        <v>11</v>
      </c>
      <c r="E105">
        <v>24</v>
      </c>
      <c r="F105" s="2">
        <f>DATE(2026,IF(Tabla1[[#This Row],[Mes de Fecha]]="Septiembre",9,10),Tabla1[[#This Row],[Día de Fecha]])</f>
        <v>46289</v>
      </c>
      <c r="G105">
        <v>1002491035</v>
      </c>
      <c r="H105" t="s">
        <v>261</v>
      </c>
      <c r="I105">
        <v>35</v>
      </c>
      <c r="J105">
        <v>0</v>
      </c>
      <c r="K105" s="1">
        <v>1876682</v>
      </c>
    </row>
    <row r="106" spans="1:11" x14ac:dyDescent="0.25">
      <c r="A106" t="s">
        <v>9</v>
      </c>
      <c r="B106" t="s">
        <v>257</v>
      </c>
      <c r="C106" t="s">
        <v>866</v>
      </c>
      <c r="D106" t="s">
        <v>11</v>
      </c>
      <c r="E106">
        <v>24</v>
      </c>
      <c r="F106" s="2">
        <f>DATE(2026,IF(Tabla1[[#This Row],[Mes de Fecha]]="Septiembre",9,10),Tabla1[[#This Row],[Día de Fecha]])</f>
        <v>46289</v>
      </c>
      <c r="G106">
        <v>1093141855</v>
      </c>
      <c r="H106" t="s">
        <v>258</v>
      </c>
      <c r="I106">
        <v>18</v>
      </c>
      <c r="J106">
        <v>0</v>
      </c>
      <c r="K106" s="1">
        <v>938319</v>
      </c>
    </row>
    <row r="107" spans="1:11" x14ac:dyDescent="0.25">
      <c r="A107" t="s">
        <v>9</v>
      </c>
      <c r="B107" t="s">
        <v>257</v>
      </c>
      <c r="C107" t="s">
        <v>866</v>
      </c>
      <c r="D107" t="s">
        <v>11</v>
      </c>
      <c r="E107">
        <v>25</v>
      </c>
      <c r="F107" s="2">
        <f>DATE(2026,IF(Tabla1[[#This Row],[Mes de Fecha]]="Septiembre",9,10),Tabla1[[#This Row],[Día de Fecha]])</f>
        <v>46290</v>
      </c>
      <c r="I107">
        <v>0</v>
      </c>
      <c r="J107" s="1">
        <v>8628227</v>
      </c>
      <c r="K107">
        <v>0</v>
      </c>
    </row>
    <row r="108" spans="1:11" x14ac:dyDescent="0.25">
      <c r="A108" t="s">
        <v>9</v>
      </c>
      <c r="B108" t="s">
        <v>257</v>
      </c>
      <c r="C108" t="s">
        <v>866</v>
      </c>
      <c r="D108" t="s">
        <v>11</v>
      </c>
      <c r="E108">
        <v>25</v>
      </c>
      <c r="F108" s="2">
        <f>DATE(2026,IF(Tabla1[[#This Row],[Mes de Fecha]]="Septiembre",9,10),Tabla1[[#This Row],[Día de Fecha]])</f>
        <v>46290</v>
      </c>
      <c r="G108">
        <v>33310810</v>
      </c>
      <c r="H108" t="s">
        <v>259</v>
      </c>
      <c r="I108">
        <v>43</v>
      </c>
      <c r="J108">
        <v>0</v>
      </c>
      <c r="K108" s="1">
        <v>2323827</v>
      </c>
    </row>
    <row r="109" spans="1:11" x14ac:dyDescent="0.25">
      <c r="A109" t="s">
        <v>9</v>
      </c>
      <c r="B109" t="s">
        <v>257</v>
      </c>
      <c r="C109" t="s">
        <v>866</v>
      </c>
      <c r="D109" t="s">
        <v>11</v>
      </c>
      <c r="E109">
        <v>25</v>
      </c>
      <c r="F109" s="2">
        <f>DATE(2026,IF(Tabla1[[#This Row],[Mes de Fecha]]="Septiembre",9,10),Tabla1[[#This Row],[Día de Fecha]])</f>
        <v>46290</v>
      </c>
      <c r="G109">
        <v>1002487706</v>
      </c>
      <c r="H109" t="s">
        <v>260</v>
      </c>
      <c r="I109">
        <v>35</v>
      </c>
      <c r="J109">
        <v>0</v>
      </c>
      <c r="K109" s="1">
        <v>1948108</v>
      </c>
    </row>
    <row r="110" spans="1:11" x14ac:dyDescent="0.25">
      <c r="A110" t="s">
        <v>9</v>
      </c>
      <c r="B110" t="s">
        <v>257</v>
      </c>
      <c r="C110" t="s">
        <v>866</v>
      </c>
      <c r="D110" t="s">
        <v>11</v>
      </c>
      <c r="E110">
        <v>25</v>
      </c>
      <c r="F110" s="2">
        <f>DATE(2026,IF(Tabla1[[#This Row],[Mes de Fecha]]="Septiembre",9,10),Tabla1[[#This Row],[Día de Fecha]])</f>
        <v>46290</v>
      </c>
      <c r="G110">
        <v>1002491035</v>
      </c>
      <c r="H110" t="s">
        <v>261</v>
      </c>
      <c r="I110">
        <v>52</v>
      </c>
      <c r="J110">
        <v>0</v>
      </c>
      <c r="K110" s="1">
        <v>2688995</v>
      </c>
    </row>
    <row r="111" spans="1:11" x14ac:dyDescent="0.25">
      <c r="A111" t="s">
        <v>9</v>
      </c>
      <c r="B111" t="s">
        <v>257</v>
      </c>
      <c r="C111" t="s">
        <v>866</v>
      </c>
      <c r="D111" t="s">
        <v>11</v>
      </c>
      <c r="E111">
        <v>25</v>
      </c>
      <c r="F111" s="2">
        <f>DATE(2026,IF(Tabla1[[#This Row],[Mes de Fecha]]="Septiembre",9,10),Tabla1[[#This Row],[Día de Fecha]])</f>
        <v>46290</v>
      </c>
      <c r="G111">
        <v>1093141855</v>
      </c>
      <c r="H111" t="s">
        <v>258</v>
      </c>
      <c r="I111">
        <v>13</v>
      </c>
      <c r="J111">
        <v>0</v>
      </c>
      <c r="K111" s="1">
        <v>671725</v>
      </c>
    </row>
    <row r="112" spans="1:11" x14ac:dyDescent="0.25">
      <c r="A112" t="s">
        <v>9</v>
      </c>
      <c r="B112" t="s">
        <v>257</v>
      </c>
      <c r="C112" t="s">
        <v>866</v>
      </c>
      <c r="D112" t="s">
        <v>11</v>
      </c>
      <c r="E112">
        <v>26</v>
      </c>
      <c r="F112" s="2">
        <f>DATE(2026,IF(Tabla1[[#This Row],[Mes de Fecha]]="Septiembre",9,10),Tabla1[[#This Row],[Día de Fecha]])</f>
        <v>46291</v>
      </c>
      <c r="I112">
        <v>0</v>
      </c>
      <c r="J112" s="1">
        <v>10879980</v>
      </c>
      <c r="K112">
        <v>0</v>
      </c>
    </row>
    <row r="113" spans="1:11" x14ac:dyDescent="0.25">
      <c r="A113" t="s">
        <v>9</v>
      </c>
      <c r="B113" t="s">
        <v>257</v>
      </c>
      <c r="C113" t="s">
        <v>866</v>
      </c>
      <c r="D113" t="s">
        <v>11</v>
      </c>
      <c r="E113">
        <v>26</v>
      </c>
      <c r="F113" s="2">
        <f>DATE(2026,IF(Tabla1[[#This Row],[Mes de Fecha]]="Septiembre",9,10),Tabla1[[#This Row],[Día de Fecha]])</f>
        <v>46291</v>
      </c>
      <c r="G113">
        <v>33310810</v>
      </c>
      <c r="H113" t="s">
        <v>259</v>
      </c>
      <c r="I113">
        <v>36</v>
      </c>
      <c r="J113">
        <v>0</v>
      </c>
      <c r="K113" s="1">
        <v>2191768</v>
      </c>
    </row>
    <row r="114" spans="1:11" x14ac:dyDescent="0.25">
      <c r="A114" t="s">
        <v>9</v>
      </c>
      <c r="B114" t="s">
        <v>257</v>
      </c>
      <c r="C114" t="s">
        <v>866</v>
      </c>
      <c r="D114" t="s">
        <v>11</v>
      </c>
      <c r="E114">
        <v>26</v>
      </c>
      <c r="F114" s="2">
        <f>DATE(2026,IF(Tabla1[[#This Row],[Mes de Fecha]]="Septiembre",9,10),Tabla1[[#This Row],[Día de Fecha]])</f>
        <v>46291</v>
      </c>
      <c r="G114">
        <v>1002487706</v>
      </c>
      <c r="H114" t="s">
        <v>260</v>
      </c>
      <c r="I114">
        <v>24</v>
      </c>
      <c r="J114">
        <v>0</v>
      </c>
      <c r="K114" s="1">
        <v>1314117</v>
      </c>
    </row>
    <row r="115" spans="1:11" x14ac:dyDescent="0.25">
      <c r="A115" t="s">
        <v>9</v>
      </c>
      <c r="B115" t="s">
        <v>257</v>
      </c>
      <c r="C115" t="s">
        <v>866</v>
      </c>
      <c r="D115" t="s">
        <v>11</v>
      </c>
      <c r="E115">
        <v>26</v>
      </c>
      <c r="F115" s="2">
        <f>DATE(2026,IF(Tabla1[[#This Row],[Mes de Fecha]]="Septiembre",9,10),Tabla1[[#This Row],[Día de Fecha]])</f>
        <v>46291</v>
      </c>
      <c r="G115">
        <v>1002491035</v>
      </c>
      <c r="H115" t="s">
        <v>261</v>
      </c>
      <c r="I115">
        <v>32</v>
      </c>
      <c r="J115">
        <v>0</v>
      </c>
      <c r="K115" s="1">
        <v>1467146</v>
      </c>
    </row>
    <row r="116" spans="1:11" x14ac:dyDescent="0.25">
      <c r="A116" t="s">
        <v>9</v>
      </c>
      <c r="B116" t="s">
        <v>257</v>
      </c>
      <c r="C116" t="s">
        <v>866</v>
      </c>
      <c r="D116" t="s">
        <v>11</v>
      </c>
      <c r="E116">
        <v>26</v>
      </c>
      <c r="F116" s="2">
        <f>DATE(2026,IF(Tabla1[[#This Row],[Mes de Fecha]]="Septiembre",9,10),Tabla1[[#This Row],[Día de Fecha]])</f>
        <v>46291</v>
      </c>
      <c r="G116">
        <v>1093141855</v>
      </c>
      <c r="H116" t="s">
        <v>258</v>
      </c>
      <c r="I116">
        <v>15</v>
      </c>
      <c r="J116">
        <v>0</v>
      </c>
      <c r="K116" s="1">
        <v>761934</v>
      </c>
    </row>
    <row r="117" spans="1:11" x14ac:dyDescent="0.25">
      <c r="A117" t="s">
        <v>9</v>
      </c>
      <c r="B117" t="s">
        <v>257</v>
      </c>
      <c r="C117" t="s">
        <v>866</v>
      </c>
      <c r="D117" t="s">
        <v>11</v>
      </c>
      <c r="E117">
        <v>27</v>
      </c>
      <c r="F117" s="2">
        <f>DATE(2026,IF(Tabla1[[#This Row],[Mes de Fecha]]="Septiembre",9,10),Tabla1[[#This Row],[Día de Fecha]])</f>
        <v>46292</v>
      </c>
      <c r="I117">
        <v>0</v>
      </c>
      <c r="J117" s="1">
        <v>5744523</v>
      </c>
      <c r="K117">
        <v>0</v>
      </c>
    </row>
    <row r="118" spans="1:11" x14ac:dyDescent="0.25">
      <c r="A118" t="s">
        <v>9</v>
      </c>
      <c r="B118" t="s">
        <v>257</v>
      </c>
      <c r="C118" t="s">
        <v>866</v>
      </c>
      <c r="D118" t="s">
        <v>11</v>
      </c>
      <c r="E118">
        <v>27</v>
      </c>
      <c r="F118" s="2">
        <f>DATE(2026,IF(Tabla1[[#This Row],[Mes de Fecha]]="Septiembre",9,10),Tabla1[[#This Row],[Día de Fecha]])</f>
        <v>46292</v>
      </c>
      <c r="G118">
        <v>33310810</v>
      </c>
      <c r="H118" t="s">
        <v>259</v>
      </c>
      <c r="I118">
        <v>32</v>
      </c>
      <c r="J118">
        <v>0</v>
      </c>
      <c r="K118" s="1">
        <v>1876762</v>
      </c>
    </row>
    <row r="119" spans="1:11" x14ac:dyDescent="0.25">
      <c r="A119" t="s">
        <v>9</v>
      </c>
      <c r="B119" t="s">
        <v>257</v>
      </c>
      <c r="C119" t="s">
        <v>866</v>
      </c>
      <c r="D119" t="s">
        <v>11</v>
      </c>
      <c r="E119">
        <v>27</v>
      </c>
      <c r="F119" s="2">
        <f>DATE(2026,IF(Tabla1[[#This Row],[Mes de Fecha]]="Septiembre",9,10),Tabla1[[#This Row],[Día de Fecha]])</f>
        <v>46292</v>
      </c>
      <c r="G119">
        <v>1002487706</v>
      </c>
      <c r="H119" t="s">
        <v>260</v>
      </c>
      <c r="I119">
        <v>32</v>
      </c>
      <c r="J119">
        <v>0</v>
      </c>
      <c r="K119" s="1">
        <v>1860003</v>
      </c>
    </row>
    <row r="120" spans="1:11" x14ac:dyDescent="0.25">
      <c r="A120" t="s">
        <v>9</v>
      </c>
      <c r="B120" t="s">
        <v>257</v>
      </c>
      <c r="C120" t="s">
        <v>866</v>
      </c>
      <c r="D120" t="s">
        <v>11</v>
      </c>
      <c r="E120">
        <v>27</v>
      </c>
      <c r="F120" s="2">
        <f>DATE(2026,IF(Tabla1[[#This Row],[Mes de Fecha]]="Septiembre",9,10),Tabla1[[#This Row],[Día de Fecha]])</f>
        <v>46292</v>
      </c>
      <c r="G120">
        <v>1002491035</v>
      </c>
      <c r="H120" t="s">
        <v>261</v>
      </c>
      <c r="I120">
        <v>23</v>
      </c>
      <c r="J120">
        <v>0</v>
      </c>
      <c r="K120" s="1">
        <v>1049415</v>
      </c>
    </row>
    <row r="121" spans="1:11" x14ac:dyDescent="0.25">
      <c r="A121" t="s">
        <v>9</v>
      </c>
      <c r="B121" t="s">
        <v>257</v>
      </c>
      <c r="C121" t="s">
        <v>866</v>
      </c>
      <c r="D121" t="s">
        <v>11</v>
      </c>
      <c r="E121">
        <v>27</v>
      </c>
      <c r="F121" s="2">
        <f>DATE(2026,IF(Tabla1[[#This Row],[Mes de Fecha]]="Septiembre",9,10),Tabla1[[#This Row],[Día de Fecha]])</f>
        <v>46292</v>
      </c>
      <c r="G121">
        <v>1093141855</v>
      </c>
      <c r="H121" t="s">
        <v>258</v>
      </c>
      <c r="I121">
        <v>23</v>
      </c>
      <c r="J121">
        <v>0</v>
      </c>
      <c r="K121" s="1">
        <v>1299370</v>
      </c>
    </row>
    <row r="122" spans="1:11" x14ac:dyDescent="0.25">
      <c r="A122" t="s">
        <v>9</v>
      </c>
      <c r="B122" t="s">
        <v>257</v>
      </c>
      <c r="C122" t="s">
        <v>866</v>
      </c>
      <c r="D122" t="s">
        <v>11</v>
      </c>
      <c r="E122">
        <v>28</v>
      </c>
      <c r="F122" s="2">
        <f>DATE(2026,IF(Tabla1[[#This Row],[Mes de Fecha]]="Septiembre",9,10),Tabla1[[#This Row],[Día de Fecha]])</f>
        <v>46293</v>
      </c>
      <c r="I122">
        <v>0</v>
      </c>
      <c r="J122" s="1">
        <v>4709885</v>
      </c>
      <c r="K122">
        <v>0</v>
      </c>
    </row>
    <row r="123" spans="1:11" x14ac:dyDescent="0.25">
      <c r="A123" t="s">
        <v>9</v>
      </c>
      <c r="B123" t="s">
        <v>257</v>
      </c>
      <c r="C123" t="s">
        <v>866</v>
      </c>
      <c r="D123" t="s">
        <v>11</v>
      </c>
      <c r="E123">
        <v>28</v>
      </c>
      <c r="F123" s="2">
        <f>DATE(2026,IF(Tabla1[[#This Row],[Mes de Fecha]]="Septiembre",9,10),Tabla1[[#This Row],[Día de Fecha]])</f>
        <v>46293</v>
      </c>
      <c r="G123">
        <v>33310810</v>
      </c>
      <c r="H123" t="s">
        <v>259</v>
      </c>
      <c r="I123">
        <v>25</v>
      </c>
      <c r="J123">
        <v>0</v>
      </c>
      <c r="K123" s="1">
        <v>1450632</v>
      </c>
    </row>
    <row r="124" spans="1:11" x14ac:dyDescent="0.25">
      <c r="A124" t="s">
        <v>9</v>
      </c>
      <c r="B124" t="s">
        <v>257</v>
      </c>
      <c r="C124" t="s">
        <v>866</v>
      </c>
      <c r="D124" t="s">
        <v>11</v>
      </c>
      <c r="E124">
        <v>28</v>
      </c>
      <c r="F124" s="2">
        <f>DATE(2026,IF(Tabla1[[#This Row],[Mes de Fecha]]="Septiembre",9,10),Tabla1[[#This Row],[Día de Fecha]])</f>
        <v>46293</v>
      </c>
      <c r="G124">
        <v>1002487706</v>
      </c>
      <c r="H124" t="s">
        <v>260</v>
      </c>
      <c r="I124">
        <v>9</v>
      </c>
      <c r="J124">
        <v>0</v>
      </c>
      <c r="K124" s="1">
        <v>562648</v>
      </c>
    </row>
    <row r="125" spans="1:11" x14ac:dyDescent="0.25">
      <c r="A125" t="s">
        <v>9</v>
      </c>
      <c r="B125" t="s">
        <v>257</v>
      </c>
      <c r="C125" t="s">
        <v>866</v>
      </c>
      <c r="D125" t="s">
        <v>11</v>
      </c>
      <c r="E125">
        <v>28</v>
      </c>
      <c r="F125" s="2">
        <f>DATE(2026,IF(Tabla1[[#This Row],[Mes de Fecha]]="Septiembre",9,10),Tabla1[[#This Row],[Día de Fecha]])</f>
        <v>46293</v>
      </c>
      <c r="G125">
        <v>1002491035</v>
      </c>
      <c r="H125" t="s">
        <v>261</v>
      </c>
      <c r="I125">
        <v>16</v>
      </c>
      <c r="J125">
        <v>0</v>
      </c>
      <c r="K125" s="1">
        <v>747230</v>
      </c>
    </row>
    <row r="126" spans="1:11" x14ac:dyDescent="0.25">
      <c r="A126" t="s">
        <v>9</v>
      </c>
      <c r="B126" t="s">
        <v>257</v>
      </c>
      <c r="C126" t="s">
        <v>866</v>
      </c>
      <c r="D126" t="s">
        <v>11</v>
      </c>
      <c r="E126">
        <v>28</v>
      </c>
      <c r="F126" s="2">
        <f>DATE(2026,IF(Tabla1[[#This Row],[Mes de Fecha]]="Septiembre",9,10),Tabla1[[#This Row],[Día de Fecha]])</f>
        <v>46293</v>
      </c>
      <c r="G126">
        <v>1093141855</v>
      </c>
      <c r="H126" t="s">
        <v>258</v>
      </c>
      <c r="I126">
        <v>7</v>
      </c>
      <c r="J126">
        <v>0</v>
      </c>
      <c r="K126" s="1">
        <v>398866</v>
      </c>
    </row>
    <row r="127" spans="1:11" x14ac:dyDescent="0.25">
      <c r="A127" t="s">
        <v>9</v>
      </c>
      <c r="B127" t="s">
        <v>257</v>
      </c>
      <c r="C127" t="s">
        <v>866</v>
      </c>
      <c r="D127" t="s">
        <v>11</v>
      </c>
      <c r="E127">
        <v>29</v>
      </c>
      <c r="F127" s="2">
        <f>DATE(2026,IF(Tabla1[[#This Row],[Mes de Fecha]]="Septiembre",9,10),Tabla1[[#This Row],[Día de Fecha]])</f>
        <v>46294</v>
      </c>
      <c r="I127">
        <v>0</v>
      </c>
      <c r="J127" s="1">
        <v>5236001</v>
      </c>
      <c r="K127">
        <v>0</v>
      </c>
    </row>
    <row r="128" spans="1:11" x14ac:dyDescent="0.25">
      <c r="A128" t="s">
        <v>9</v>
      </c>
      <c r="B128" t="s">
        <v>257</v>
      </c>
      <c r="C128" t="s">
        <v>866</v>
      </c>
      <c r="D128" t="s">
        <v>11</v>
      </c>
      <c r="E128">
        <v>29</v>
      </c>
      <c r="F128" s="2">
        <f>DATE(2026,IF(Tabla1[[#This Row],[Mes de Fecha]]="Septiembre",9,10),Tabla1[[#This Row],[Día de Fecha]])</f>
        <v>46294</v>
      </c>
      <c r="G128">
        <v>33310810</v>
      </c>
      <c r="H128" t="s">
        <v>259</v>
      </c>
      <c r="I128">
        <v>27</v>
      </c>
      <c r="J128">
        <v>0</v>
      </c>
      <c r="K128" s="1">
        <v>1381094</v>
      </c>
    </row>
    <row r="129" spans="1:11" x14ac:dyDescent="0.25">
      <c r="A129" t="s">
        <v>9</v>
      </c>
      <c r="B129" t="s">
        <v>257</v>
      </c>
      <c r="C129" t="s">
        <v>866</v>
      </c>
      <c r="D129" t="s">
        <v>11</v>
      </c>
      <c r="E129">
        <v>29</v>
      </c>
      <c r="F129" s="2">
        <f>DATE(2026,IF(Tabla1[[#This Row],[Mes de Fecha]]="Septiembre",9,10),Tabla1[[#This Row],[Día de Fecha]])</f>
        <v>46294</v>
      </c>
      <c r="G129">
        <v>1002487706</v>
      </c>
      <c r="H129" t="s">
        <v>260</v>
      </c>
      <c r="I129">
        <v>13</v>
      </c>
      <c r="J129">
        <v>0</v>
      </c>
      <c r="K129" s="1">
        <v>671724</v>
      </c>
    </row>
    <row r="130" spans="1:11" x14ac:dyDescent="0.25">
      <c r="A130" t="s">
        <v>9</v>
      </c>
      <c r="B130" t="s">
        <v>257</v>
      </c>
      <c r="C130" t="s">
        <v>866</v>
      </c>
      <c r="D130" t="s">
        <v>11</v>
      </c>
      <c r="E130">
        <v>29</v>
      </c>
      <c r="F130" s="2">
        <f>DATE(2026,IF(Tabla1[[#This Row],[Mes de Fecha]]="Septiembre",9,10),Tabla1[[#This Row],[Día de Fecha]])</f>
        <v>46294</v>
      </c>
      <c r="G130">
        <v>1002491035</v>
      </c>
      <c r="H130" t="s">
        <v>261</v>
      </c>
      <c r="I130">
        <v>19</v>
      </c>
      <c r="J130">
        <v>0</v>
      </c>
      <c r="K130" s="1">
        <v>1020086</v>
      </c>
    </row>
    <row r="131" spans="1:11" x14ac:dyDescent="0.25">
      <c r="A131" t="s">
        <v>9</v>
      </c>
      <c r="B131" t="s">
        <v>257</v>
      </c>
      <c r="C131" t="s">
        <v>866</v>
      </c>
      <c r="D131" t="s">
        <v>11</v>
      </c>
      <c r="E131">
        <v>29</v>
      </c>
      <c r="F131" s="2">
        <f>DATE(2026,IF(Tabla1[[#This Row],[Mes de Fecha]]="Septiembre",9,10),Tabla1[[#This Row],[Día de Fecha]])</f>
        <v>46294</v>
      </c>
      <c r="G131">
        <v>1093141855</v>
      </c>
      <c r="H131" t="s">
        <v>258</v>
      </c>
      <c r="I131">
        <v>10</v>
      </c>
      <c r="J131">
        <v>0</v>
      </c>
      <c r="K131" s="1">
        <v>617227</v>
      </c>
    </row>
    <row r="132" spans="1:11" x14ac:dyDescent="0.25">
      <c r="A132" t="s">
        <v>9</v>
      </c>
      <c r="B132" t="s">
        <v>257</v>
      </c>
      <c r="C132" t="s">
        <v>866</v>
      </c>
      <c r="D132" t="s">
        <v>11</v>
      </c>
      <c r="E132">
        <v>30</v>
      </c>
      <c r="F132" s="2">
        <f>DATE(2026,IF(Tabla1[[#This Row],[Mes de Fecha]]="Septiembre",9,10),Tabla1[[#This Row],[Día de Fecha]])</f>
        <v>46295</v>
      </c>
      <c r="I132">
        <v>0</v>
      </c>
      <c r="J132" s="1">
        <v>5545093</v>
      </c>
      <c r="K132">
        <v>0</v>
      </c>
    </row>
    <row r="133" spans="1:11" x14ac:dyDescent="0.25">
      <c r="A133" t="s">
        <v>9</v>
      </c>
      <c r="B133" t="s">
        <v>257</v>
      </c>
      <c r="C133" t="s">
        <v>866</v>
      </c>
      <c r="D133" t="s">
        <v>11</v>
      </c>
      <c r="E133">
        <v>30</v>
      </c>
      <c r="F133" s="2">
        <f>DATE(2026,IF(Tabla1[[#This Row],[Mes de Fecha]]="Septiembre",9,10),Tabla1[[#This Row],[Día de Fecha]])</f>
        <v>46295</v>
      </c>
      <c r="G133">
        <v>33310810</v>
      </c>
      <c r="H133" t="s">
        <v>259</v>
      </c>
      <c r="I133">
        <v>35</v>
      </c>
      <c r="J133">
        <v>0</v>
      </c>
      <c r="K133" s="1">
        <v>1605590</v>
      </c>
    </row>
    <row r="134" spans="1:11" x14ac:dyDescent="0.25">
      <c r="A134" t="s">
        <v>9</v>
      </c>
      <c r="B134" t="s">
        <v>257</v>
      </c>
      <c r="C134" t="s">
        <v>866</v>
      </c>
      <c r="D134" t="s">
        <v>11</v>
      </c>
      <c r="E134">
        <v>30</v>
      </c>
      <c r="F134" s="2">
        <f>DATE(2026,IF(Tabla1[[#This Row],[Mes de Fecha]]="Septiembre",9,10),Tabla1[[#This Row],[Día de Fecha]])</f>
        <v>46295</v>
      </c>
      <c r="G134">
        <v>1002487706</v>
      </c>
      <c r="H134" t="s">
        <v>260</v>
      </c>
      <c r="I134">
        <v>51</v>
      </c>
      <c r="J134">
        <v>0</v>
      </c>
      <c r="K134" s="1">
        <v>2753994</v>
      </c>
    </row>
    <row r="135" spans="1:11" x14ac:dyDescent="0.25">
      <c r="A135" t="s">
        <v>9</v>
      </c>
      <c r="B135" t="s">
        <v>257</v>
      </c>
      <c r="C135" t="s">
        <v>866</v>
      </c>
      <c r="D135" t="s">
        <v>11</v>
      </c>
      <c r="E135">
        <v>30</v>
      </c>
      <c r="F135" s="2">
        <f>DATE(2026,IF(Tabla1[[#This Row],[Mes de Fecha]]="Septiembre",9,10),Tabla1[[#This Row],[Día de Fecha]])</f>
        <v>46295</v>
      </c>
      <c r="G135">
        <v>1002491035</v>
      </c>
      <c r="H135" t="s">
        <v>261</v>
      </c>
      <c r="I135">
        <v>34</v>
      </c>
      <c r="J135">
        <v>0</v>
      </c>
      <c r="K135" s="1">
        <v>1843113</v>
      </c>
    </row>
    <row r="136" spans="1:11" x14ac:dyDescent="0.25">
      <c r="A136" t="s">
        <v>9</v>
      </c>
      <c r="B136" t="s">
        <v>257</v>
      </c>
      <c r="C136" t="s">
        <v>866</v>
      </c>
      <c r="D136" t="s">
        <v>11</v>
      </c>
      <c r="E136">
        <v>30</v>
      </c>
      <c r="F136" s="2">
        <f>DATE(2026,IF(Tabla1[[#This Row],[Mes de Fecha]]="Septiembre",9,10),Tabla1[[#This Row],[Día de Fecha]])</f>
        <v>46295</v>
      </c>
      <c r="G136">
        <v>1093141855</v>
      </c>
      <c r="H136" t="s">
        <v>258</v>
      </c>
      <c r="I136">
        <v>25</v>
      </c>
      <c r="J136">
        <v>0</v>
      </c>
      <c r="K136" s="1">
        <v>1322481</v>
      </c>
    </row>
    <row r="137" spans="1:11" x14ac:dyDescent="0.25">
      <c r="A137" t="s">
        <v>9</v>
      </c>
      <c r="B137" t="s">
        <v>257</v>
      </c>
      <c r="C137" t="s">
        <v>866</v>
      </c>
      <c r="D137" t="s">
        <v>14</v>
      </c>
      <c r="E137">
        <v>1</v>
      </c>
      <c r="F137" s="2">
        <f>DATE(2026,IF(Tabla1[[#This Row],[Mes de Fecha]]="Septiembre",9,10),Tabla1[[#This Row],[Día de Fecha]])</f>
        <v>46296</v>
      </c>
      <c r="I137">
        <v>0</v>
      </c>
      <c r="J137" s="1">
        <v>7718489</v>
      </c>
      <c r="K137">
        <v>0</v>
      </c>
    </row>
    <row r="138" spans="1:11" x14ac:dyDescent="0.25">
      <c r="A138" t="s">
        <v>9</v>
      </c>
      <c r="B138" t="s">
        <v>257</v>
      </c>
      <c r="C138" t="s">
        <v>866</v>
      </c>
      <c r="D138" t="s">
        <v>14</v>
      </c>
      <c r="E138">
        <v>1</v>
      </c>
      <c r="F138" s="2">
        <f>DATE(2026,IF(Tabla1[[#This Row],[Mes de Fecha]]="Septiembre",9,10),Tabla1[[#This Row],[Día de Fecha]])</f>
        <v>46296</v>
      </c>
      <c r="G138">
        <v>33310810</v>
      </c>
      <c r="H138" t="s">
        <v>259</v>
      </c>
      <c r="I138">
        <v>34</v>
      </c>
      <c r="J138">
        <v>0</v>
      </c>
      <c r="K138" s="1">
        <v>2175000</v>
      </c>
    </row>
    <row r="139" spans="1:11" x14ac:dyDescent="0.25">
      <c r="A139" t="s">
        <v>9</v>
      </c>
      <c r="B139" t="s">
        <v>257</v>
      </c>
      <c r="C139" t="s">
        <v>866</v>
      </c>
      <c r="D139" t="s">
        <v>14</v>
      </c>
      <c r="E139">
        <v>1</v>
      </c>
      <c r="F139" s="2">
        <f>DATE(2026,IF(Tabla1[[#This Row],[Mes de Fecha]]="Septiembre",9,10),Tabla1[[#This Row],[Día de Fecha]])</f>
        <v>46296</v>
      </c>
      <c r="G139">
        <v>1002487706</v>
      </c>
      <c r="H139" t="s">
        <v>260</v>
      </c>
      <c r="I139">
        <v>16</v>
      </c>
      <c r="J139">
        <v>0</v>
      </c>
      <c r="K139" s="1">
        <v>864872</v>
      </c>
    </row>
    <row r="140" spans="1:11" x14ac:dyDescent="0.25">
      <c r="A140" t="s">
        <v>9</v>
      </c>
      <c r="B140" t="s">
        <v>257</v>
      </c>
      <c r="C140" t="s">
        <v>866</v>
      </c>
      <c r="D140" t="s">
        <v>14</v>
      </c>
      <c r="E140">
        <v>1</v>
      </c>
      <c r="F140" s="2">
        <f>DATE(2026,IF(Tabla1[[#This Row],[Mes de Fecha]]="Septiembre",9,10),Tabla1[[#This Row],[Día de Fecha]])</f>
        <v>46296</v>
      </c>
      <c r="G140">
        <v>1002491035</v>
      </c>
      <c r="H140" t="s">
        <v>261</v>
      </c>
      <c r="I140">
        <v>31</v>
      </c>
      <c r="J140">
        <v>0</v>
      </c>
      <c r="K140" s="1">
        <v>1614203</v>
      </c>
    </row>
    <row r="141" spans="1:11" x14ac:dyDescent="0.25">
      <c r="A141" t="s">
        <v>9</v>
      </c>
      <c r="B141" t="s">
        <v>257</v>
      </c>
      <c r="C141" t="s">
        <v>866</v>
      </c>
      <c r="D141" t="s">
        <v>14</v>
      </c>
      <c r="E141">
        <v>1</v>
      </c>
      <c r="F141" s="2">
        <f>DATE(2026,IF(Tabla1[[#This Row],[Mes de Fecha]]="Septiembre",9,10),Tabla1[[#This Row],[Día de Fecha]])</f>
        <v>46296</v>
      </c>
      <c r="G141">
        <v>1093141855</v>
      </c>
      <c r="H141" t="s">
        <v>258</v>
      </c>
      <c r="I141">
        <v>11</v>
      </c>
      <c r="J141">
        <v>0</v>
      </c>
      <c r="K141" s="1">
        <v>684412</v>
      </c>
    </row>
    <row r="142" spans="1:11" x14ac:dyDescent="0.25">
      <c r="A142" t="s">
        <v>9</v>
      </c>
      <c r="B142" t="s">
        <v>257</v>
      </c>
      <c r="C142" t="s">
        <v>866</v>
      </c>
      <c r="D142" t="s">
        <v>14</v>
      </c>
      <c r="E142">
        <v>2</v>
      </c>
      <c r="F142" s="2">
        <f>DATE(2026,IF(Tabla1[[#This Row],[Mes de Fecha]]="Septiembre",9,10),Tabla1[[#This Row],[Día de Fecha]])</f>
        <v>46297</v>
      </c>
      <c r="I142">
        <v>0</v>
      </c>
      <c r="J142" s="1">
        <v>9844082</v>
      </c>
      <c r="K142">
        <v>0</v>
      </c>
    </row>
    <row r="143" spans="1:11" x14ac:dyDescent="0.25">
      <c r="A143" t="s">
        <v>9</v>
      </c>
      <c r="B143" t="s">
        <v>257</v>
      </c>
      <c r="C143" t="s">
        <v>866</v>
      </c>
      <c r="D143" t="s">
        <v>14</v>
      </c>
      <c r="E143">
        <v>2</v>
      </c>
      <c r="F143" s="2">
        <f>DATE(2026,IF(Tabla1[[#This Row],[Mes de Fecha]]="Septiembre",9,10),Tabla1[[#This Row],[Día de Fecha]])</f>
        <v>46297</v>
      </c>
      <c r="G143">
        <v>33310810</v>
      </c>
      <c r="H143" t="s">
        <v>259</v>
      </c>
      <c r="I143">
        <v>21</v>
      </c>
      <c r="J143">
        <v>0</v>
      </c>
      <c r="K143" s="1">
        <v>1181891</v>
      </c>
    </row>
    <row r="144" spans="1:11" x14ac:dyDescent="0.25">
      <c r="A144" t="s">
        <v>9</v>
      </c>
      <c r="B144" t="s">
        <v>257</v>
      </c>
      <c r="C144" t="s">
        <v>866</v>
      </c>
      <c r="D144" t="s">
        <v>14</v>
      </c>
      <c r="E144">
        <v>2</v>
      </c>
      <c r="F144" s="2">
        <f>DATE(2026,IF(Tabla1[[#This Row],[Mes de Fecha]]="Septiembre",9,10),Tabla1[[#This Row],[Día de Fecha]])</f>
        <v>46297</v>
      </c>
      <c r="G144">
        <v>1002487706</v>
      </c>
      <c r="H144" t="s">
        <v>260</v>
      </c>
      <c r="I144">
        <v>36</v>
      </c>
      <c r="J144">
        <v>0</v>
      </c>
      <c r="K144" s="1">
        <v>1853485</v>
      </c>
    </row>
    <row r="145" spans="1:11" x14ac:dyDescent="0.25">
      <c r="A145" t="s">
        <v>9</v>
      </c>
      <c r="B145" t="s">
        <v>257</v>
      </c>
      <c r="C145" t="s">
        <v>866</v>
      </c>
      <c r="D145" t="s">
        <v>14</v>
      </c>
      <c r="E145">
        <v>2</v>
      </c>
      <c r="F145" s="2">
        <f>DATE(2026,IF(Tabla1[[#This Row],[Mes de Fecha]]="Septiembre",9,10),Tabla1[[#This Row],[Día de Fecha]])</f>
        <v>46297</v>
      </c>
      <c r="G145">
        <v>1002491035</v>
      </c>
      <c r="H145" t="s">
        <v>261</v>
      </c>
      <c r="I145">
        <v>26</v>
      </c>
      <c r="J145">
        <v>0</v>
      </c>
      <c r="K145" s="1">
        <v>1385299</v>
      </c>
    </row>
    <row r="146" spans="1:11" x14ac:dyDescent="0.25">
      <c r="A146" t="s">
        <v>9</v>
      </c>
      <c r="B146" t="s">
        <v>257</v>
      </c>
      <c r="C146" t="s">
        <v>866</v>
      </c>
      <c r="D146" t="s">
        <v>14</v>
      </c>
      <c r="E146">
        <v>2</v>
      </c>
      <c r="F146" s="2">
        <f>DATE(2026,IF(Tabla1[[#This Row],[Mes de Fecha]]="Septiembre",9,10),Tabla1[[#This Row],[Día de Fecha]])</f>
        <v>46297</v>
      </c>
      <c r="G146">
        <v>1093141855</v>
      </c>
      <c r="H146" t="s">
        <v>258</v>
      </c>
      <c r="I146">
        <v>22</v>
      </c>
      <c r="J146">
        <v>0</v>
      </c>
      <c r="K146" s="1">
        <v>1255339</v>
      </c>
    </row>
    <row r="147" spans="1:11" x14ac:dyDescent="0.25">
      <c r="A147" t="s">
        <v>9</v>
      </c>
      <c r="B147" t="s">
        <v>257</v>
      </c>
      <c r="C147" t="s">
        <v>866</v>
      </c>
      <c r="D147" t="s">
        <v>14</v>
      </c>
      <c r="E147">
        <v>3</v>
      </c>
      <c r="F147" s="2">
        <f>DATE(2026,IF(Tabla1[[#This Row],[Mes de Fecha]]="Septiembre",9,10),Tabla1[[#This Row],[Día de Fecha]])</f>
        <v>46298</v>
      </c>
      <c r="I147">
        <v>0</v>
      </c>
      <c r="J147" s="1">
        <v>13964155</v>
      </c>
      <c r="K147">
        <v>0</v>
      </c>
    </row>
    <row r="148" spans="1:11" x14ac:dyDescent="0.25">
      <c r="A148" t="s">
        <v>9</v>
      </c>
      <c r="B148" t="s">
        <v>257</v>
      </c>
      <c r="C148" t="s">
        <v>866</v>
      </c>
      <c r="D148" t="s">
        <v>14</v>
      </c>
      <c r="E148">
        <v>3</v>
      </c>
      <c r="F148" s="2">
        <f>DATE(2026,IF(Tabla1[[#This Row],[Mes de Fecha]]="Septiembre",9,10),Tabla1[[#This Row],[Día de Fecha]])</f>
        <v>46298</v>
      </c>
      <c r="G148">
        <v>33310810</v>
      </c>
      <c r="H148" t="s">
        <v>259</v>
      </c>
      <c r="I148">
        <v>45</v>
      </c>
      <c r="J148">
        <v>0</v>
      </c>
      <c r="K148" s="1">
        <v>2466164</v>
      </c>
    </row>
    <row r="149" spans="1:11" x14ac:dyDescent="0.25">
      <c r="A149" t="s">
        <v>9</v>
      </c>
      <c r="B149" t="s">
        <v>257</v>
      </c>
      <c r="C149" t="s">
        <v>866</v>
      </c>
      <c r="D149" t="s">
        <v>14</v>
      </c>
      <c r="E149">
        <v>3</v>
      </c>
      <c r="F149" s="2">
        <f>DATE(2026,IF(Tabla1[[#This Row],[Mes de Fecha]]="Septiembre",9,10),Tabla1[[#This Row],[Día de Fecha]])</f>
        <v>46298</v>
      </c>
      <c r="G149">
        <v>1002487706</v>
      </c>
      <c r="H149" t="s">
        <v>260</v>
      </c>
      <c r="I149">
        <v>29</v>
      </c>
      <c r="J149">
        <v>0</v>
      </c>
      <c r="K149" s="1">
        <v>1370236</v>
      </c>
    </row>
    <row r="150" spans="1:11" x14ac:dyDescent="0.25">
      <c r="A150" t="s">
        <v>9</v>
      </c>
      <c r="B150" t="s">
        <v>257</v>
      </c>
      <c r="C150" t="s">
        <v>866</v>
      </c>
      <c r="D150" t="s">
        <v>14</v>
      </c>
      <c r="E150">
        <v>3</v>
      </c>
      <c r="F150" s="2">
        <f>DATE(2026,IF(Tabla1[[#This Row],[Mes de Fecha]]="Septiembre",9,10),Tabla1[[#This Row],[Día de Fecha]])</f>
        <v>46298</v>
      </c>
      <c r="G150">
        <v>1002491035</v>
      </c>
      <c r="H150" t="s">
        <v>261</v>
      </c>
      <c r="I150">
        <v>39</v>
      </c>
      <c r="J150">
        <v>0</v>
      </c>
      <c r="K150" s="1">
        <v>1951312</v>
      </c>
    </row>
    <row r="151" spans="1:11" x14ac:dyDescent="0.25">
      <c r="A151" t="s">
        <v>9</v>
      </c>
      <c r="B151" t="s">
        <v>257</v>
      </c>
      <c r="C151" t="s">
        <v>866</v>
      </c>
      <c r="D151" t="s">
        <v>14</v>
      </c>
      <c r="E151">
        <v>3</v>
      </c>
      <c r="F151" s="2">
        <f>DATE(2026,IF(Tabla1[[#This Row],[Mes de Fecha]]="Septiembre",9,10),Tabla1[[#This Row],[Día de Fecha]])</f>
        <v>46298</v>
      </c>
      <c r="G151">
        <v>1093141855</v>
      </c>
      <c r="H151" t="s">
        <v>258</v>
      </c>
      <c r="I151">
        <v>35</v>
      </c>
      <c r="J151">
        <v>0</v>
      </c>
      <c r="K151" s="1">
        <v>1456608</v>
      </c>
    </row>
    <row r="152" spans="1:11" x14ac:dyDescent="0.25">
      <c r="A152" t="s">
        <v>9</v>
      </c>
      <c r="B152" t="s">
        <v>257</v>
      </c>
      <c r="C152" t="s">
        <v>866</v>
      </c>
      <c r="D152" t="s">
        <v>14</v>
      </c>
      <c r="E152">
        <v>4</v>
      </c>
      <c r="F152" s="2">
        <f>DATE(2026,IF(Tabla1[[#This Row],[Mes de Fecha]]="Septiembre",9,10),Tabla1[[#This Row],[Día de Fecha]])</f>
        <v>46299</v>
      </c>
      <c r="I152">
        <v>0</v>
      </c>
      <c r="J152" s="1">
        <v>9729667</v>
      </c>
      <c r="K152">
        <v>0</v>
      </c>
    </row>
    <row r="153" spans="1:11" x14ac:dyDescent="0.25">
      <c r="A153" t="s">
        <v>9</v>
      </c>
      <c r="B153" t="s">
        <v>257</v>
      </c>
      <c r="C153" t="s">
        <v>866</v>
      </c>
      <c r="D153" t="s">
        <v>14</v>
      </c>
      <c r="E153">
        <v>4</v>
      </c>
      <c r="F153" s="2">
        <f>DATE(2026,IF(Tabla1[[#This Row],[Mes de Fecha]]="Septiembre",9,10),Tabla1[[#This Row],[Día de Fecha]])</f>
        <v>46299</v>
      </c>
      <c r="G153">
        <v>33310810</v>
      </c>
      <c r="H153" t="s">
        <v>259</v>
      </c>
      <c r="I153">
        <v>13</v>
      </c>
      <c r="J153">
        <v>0</v>
      </c>
      <c r="K153" s="1">
        <v>696932</v>
      </c>
    </row>
    <row r="154" spans="1:11" x14ac:dyDescent="0.25">
      <c r="A154" t="s">
        <v>9</v>
      </c>
      <c r="B154" t="s">
        <v>257</v>
      </c>
      <c r="C154" t="s">
        <v>866</v>
      </c>
      <c r="D154" t="s">
        <v>14</v>
      </c>
      <c r="E154">
        <v>4</v>
      </c>
      <c r="F154" s="2">
        <f>DATE(2026,IF(Tabla1[[#This Row],[Mes de Fecha]]="Septiembre",9,10),Tabla1[[#This Row],[Día de Fecha]])</f>
        <v>46299</v>
      </c>
      <c r="G154">
        <v>1002487706</v>
      </c>
      <c r="H154" t="s">
        <v>260</v>
      </c>
      <c r="I154">
        <v>15</v>
      </c>
      <c r="J154">
        <v>0</v>
      </c>
      <c r="K154" s="1">
        <v>722019</v>
      </c>
    </row>
    <row r="155" spans="1:11" x14ac:dyDescent="0.25">
      <c r="A155" t="s">
        <v>9</v>
      </c>
      <c r="B155" t="s">
        <v>257</v>
      </c>
      <c r="C155" t="s">
        <v>866</v>
      </c>
      <c r="D155" t="s">
        <v>14</v>
      </c>
      <c r="E155">
        <v>4</v>
      </c>
      <c r="F155" s="2">
        <f>DATE(2026,IF(Tabla1[[#This Row],[Mes de Fecha]]="Septiembre",9,10),Tabla1[[#This Row],[Día de Fecha]])</f>
        <v>46299</v>
      </c>
      <c r="G155">
        <v>1002491035</v>
      </c>
      <c r="H155" t="s">
        <v>261</v>
      </c>
      <c r="I155">
        <v>21</v>
      </c>
      <c r="J155">
        <v>0</v>
      </c>
      <c r="K155" s="1">
        <v>1221724</v>
      </c>
    </row>
    <row r="156" spans="1:11" x14ac:dyDescent="0.25">
      <c r="A156" t="s">
        <v>9</v>
      </c>
      <c r="B156" t="s">
        <v>257</v>
      </c>
      <c r="C156" t="s">
        <v>866</v>
      </c>
      <c r="D156" t="s">
        <v>14</v>
      </c>
      <c r="E156">
        <v>4</v>
      </c>
      <c r="F156" s="2">
        <f>DATE(2026,IF(Tabla1[[#This Row],[Mes de Fecha]]="Septiembre",9,10),Tabla1[[#This Row],[Día de Fecha]])</f>
        <v>46299</v>
      </c>
      <c r="G156">
        <v>1093141855</v>
      </c>
      <c r="H156" t="s">
        <v>258</v>
      </c>
      <c r="I156">
        <v>8</v>
      </c>
      <c r="J156">
        <v>0</v>
      </c>
      <c r="K156" s="1">
        <v>482858</v>
      </c>
    </row>
    <row r="157" spans="1:11" x14ac:dyDescent="0.25">
      <c r="A157" t="s">
        <v>9</v>
      </c>
      <c r="B157" t="s">
        <v>257</v>
      </c>
      <c r="C157" t="s">
        <v>866</v>
      </c>
      <c r="D157" t="s">
        <v>14</v>
      </c>
      <c r="E157">
        <v>5</v>
      </c>
      <c r="F157" s="2">
        <f>DATE(2026,IF(Tabla1[[#This Row],[Mes de Fecha]]="Septiembre",9,10),Tabla1[[#This Row],[Día de Fecha]])</f>
        <v>46300</v>
      </c>
      <c r="I157">
        <v>0</v>
      </c>
      <c r="J157" s="1">
        <v>7183461</v>
      </c>
      <c r="K157">
        <v>0</v>
      </c>
    </row>
    <row r="158" spans="1:11" x14ac:dyDescent="0.25">
      <c r="A158" t="s">
        <v>9</v>
      </c>
      <c r="B158" t="s">
        <v>257</v>
      </c>
      <c r="C158" t="s">
        <v>866</v>
      </c>
      <c r="D158" t="s">
        <v>14</v>
      </c>
      <c r="E158">
        <v>5</v>
      </c>
      <c r="F158" s="2">
        <f>DATE(2026,IF(Tabla1[[#This Row],[Mes de Fecha]]="Septiembre",9,10),Tabla1[[#This Row],[Día de Fecha]])</f>
        <v>46300</v>
      </c>
      <c r="G158">
        <v>33310810</v>
      </c>
      <c r="H158" t="s">
        <v>259</v>
      </c>
      <c r="I158">
        <v>31</v>
      </c>
      <c r="J158">
        <v>0</v>
      </c>
      <c r="K158" s="1">
        <v>1605839</v>
      </c>
    </row>
    <row r="159" spans="1:11" x14ac:dyDescent="0.25">
      <c r="A159" t="s">
        <v>9</v>
      </c>
      <c r="B159" t="s">
        <v>257</v>
      </c>
      <c r="C159" t="s">
        <v>866</v>
      </c>
      <c r="D159" t="s">
        <v>14</v>
      </c>
      <c r="E159">
        <v>5</v>
      </c>
      <c r="F159" s="2">
        <f>DATE(2026,IF(Tabla1[[#This Row],[Mes de Fecha]]="Septiembre",9,10),Tabla1[[#This Row],[Día de Fecha]])</f>
        <v>46300</v>
      </c>
      <c r="G159">
        <v>1002491035</v>
      </c>
      <c r="H159" t="s">
        <v>261</v>
      </c>
      <c r="I159">
        <v>18</v>
      </c>
      <c r="J159">
        <v>0</v>
      </c>
      <c r="K159" s="1">
        <v>839413</v>
      </c>
    </row>
    <row r="160" spans="1:11" x14ac:dyDescent="0.25">
      <c r="A160" t="s">
        <v>9</v>
      </c>
      <c r="B160" t="s">
        <v>257</v>
      </c>
      <c r="C160" t="s">
        <v>866</v>
      </c>
      <c r="D160" t="s">
        <v>14</v>
      </c>
      <c r="E160">
        <v>5</v>
      </c>
      <c r="F160" s="2">
        <f>DATE(2026,IF(Tabla1[[#This Row],[Mes de Fecha]]="Septiembre",9,10),Tabla1[[#This Row],[Día de Fecha]])</f>
        <v>46300</v>
      </c>
      <c r="G160">
        <v>1093141855</v>
      </c>
      <c r="H160" t="s">
        <v>258</v>
      </c>
      <c r="I160">
        <v>17</v>
      </c>
      <c r="J160">
        <v>0</v>
      </c>
      <c r="K160" s="1">
        <v>852228</v>
      </c>
    </row>
    <row r="161" spans="1:11" x14ac:dyDescent="0.25">
      <c r="A161" t="s">
        <v>9</v>
      </c>
      <c r="B161" t="s">
        <v>257</v>
      </c>
      <c r="C161" t="s">
        <v>866</v>
      </c>
      <c r="D161" t="s">
        <v>14</v>
      </c>
      <c r="E161">
        <v>6</v>
      </c>
      <c r="F161" s="2">
        <f>DATE(2026,IF(Tabla1[[#This Row],[Mes de Fecha]]="Septiembre",9,10),Tabla1[[#This Row],[Día de Fecha]])</f>
        <v>46301</v>
      </c>
      <c r="I161">
        <v>0</v>
      </c>
      <c r="J161" s="1">
        <v>5460909</v>
      </c>
      <c r="K161">
        <v>0</v>
      </c>
    </row>
    <row r="162" spans="1:11" x14ac:dyDescent="0.25">
      <c r="A162" t="s">
        <v>9</v>
      </c>
      <c r="B162" t="s">
        <v>257</v>
      </c>
      <c r="C162" t="s">
        <v>866</v>
      </c>
      <c r="D162" t="s">
        <v>14</v>
      </c>
      <c r="E162">
        <v>6</v>
      </c>
      <c r="F162" s="2">
        <f>DATE(2026,IF(Tabla1[[#This Row],[Mes de Fecha]]="Septiembre",9,10),Tabla1[[#This Row],[Día de Fecha]])</f>
        <v>46301</v>
      </c>
      <c r="G162">
        <v>1002487706</v>
      </c>
      <c r="H162" t="s">
        <v>260</v>
      </c>
      <c r="I162">
        <v>21</v>
      </c>
      <c r="J162">
        <v>0</v>
      </c>
      <c r="K162" s="1">
        <v>1133573</v>
      </c>
    </row>
    <row r="163" spans="1:11" x14ac:dyDescent="0.25">
      <c r="A163" t="s">
        <v>9</v>
      </c>
      <c r="B163" t="s">
        <v>257</v>
      </c>
      <c r="C163" t="s">
        <v>866</v>
      </c>
      <c r="D163" t="s">
        <v>14</v>
      </c>
      <c r="E163">
        <v>6</v>
      </c>
      <c r="F163" s="2">
        <f>DATE(2026,IF(Tabla1[[#This Row],[Mes de Fecha]]="Septiembre",9,10),Tabla1[[#This Row],[Día de Fecha]])</f>
        <v>46301</v>
      </c>
      <c r="G163">
        <v>1002491035</v>
      </c>
      <c r="H163" t="s">
        <v>261</v>
      </c>
      <c r="I163">
        <v>10</v>
      </c>
      <c r="J163">
        <v>0</v>
      </c>
      <c r="K163" s="1">
        <v>394538</v>
      </c>
    </row>
    <row r="164" spans="1:11" x14ac:dyDescent="0.25">
      <c r="A164" t="s">
        <v>9</v>
      </c>
      <c r="B164" t="s">
        <v>257</v>
      </c>
      <c r="C164" t="s">
        <v>866</v>
      </c>
      <c r="D164" t="s">
        <v>14</v>
      </c>
      <c r="E164">
        <v>6</v>
      </c>
      <c r="F164" s="2">
        <f>DATE(2026,IF(Tabla1[[#This Row],[Mes de Fecha]]="Septiembre",9,10),Tabla1[[#This Row],[Día de Fecha]])</f>
        <v>46301</v>
      </c>
      <c r="G164">
        <v>1093141855</v>
      </c>
      <c r="H164" t="s">
        <v>258</v>
      </c>
      <c r="I164">
        <v>8</v>
      </c>
      <c r="J164">
        <v>0</v>
      </c>
      <c r="K164" s="1">
        <v>455547</v>
      </c>
    </row>
    <row r="165" spans="1:11" x14ac:dyDescent="0.25">
      <c r="A165" t="s">
        <v>9</v>
      </c>
      <c r="B165" t="s">
        <v>257</v>
      </c>
      <c r="C165" t="s">
        <v>866</v>
      </c>
      <c r="D165" t="s">
        <v>14</v>
      </c>
      <c r="E165">
        <v>7</v>
      </c>
      <c r="F165" s="2">
        <f>DATE(2026,IF(Tabla1[[#This Row],[Mes de Fecha]]="Septiembre",9,10),Tabla1[[#This Row],[Día de Fecha]])</f>
        <v>46302</v>
      </c>
      <c r="I165">
        <v>0</v>
      </c>
      <c r="J165" s="1">
        <v>640306</v>
      </c>
      <c r="K165">
        <v>0</v>
      </c>
    </row>
    <row r="166" spans="1:11" x14ac:dyDescent="0.25">
      <c r="A166" t="s">
        <v>9</v>
      </c>
      <c r="B166" t="s">
        <v>257</v>
      </c>
      <c r="C166" t="s">
        <v>866</v>
      </c>
      <c r="D166" t="s">
        <v>14</v>
      </c>
      <c r="E166">
        <v>7</v>
      </c>
      <c r="F166" s="2">
        <f>DATE(2026,IF(Tabla1[[#This Row],[Mes de Fecha]]="Septiembre",9,10),Tabla1[[#This Row],[Día de Fecha]])</f>
        <v>46302</v>
      </c>
      <c r="G166">
        <v>33310810</v>
      </c>
      <c r="H166" t="s">
        <v>259</v>
      </c>
      <c r="I166">
        <v>47</v>
      </c>
      <c r="J166">
        <v>0</v>
      </c>
      <c r="K166" s="1">
        <v>2456012</v>
      </c>
    </row>
    <row r="167" spans="1:11" x14ac:dyDescent="0.25">
      <c r="A167" t="s">
        <v>9</v>
      </c>
      <c r="B167" t="s">
        <v>257</v>
      </c>
      <c r="C167" t="s">
        <v>866</v>
      </c>
      <c r="D167" t="s">
        <v>14</v>
      </c>
      <c r="E167">
        <v>7</v>
      </c>
      <c r="F167" s="2">
        <f>DATE(2026,IF(Tabla1[[#This Row],[Mes de Fecha]]="Septiembre",9,10),Tabla1[[#This Row],[Día de Fecha]])</f>
        <v>46302</v>
      </c>
      <c r="G167">
        <v>1002487706</v>
      </c>
      <c r="H167" t="s">
        <v>260</v>
      </c>
      <c r="I167">
        <v>17</v>
      </c>
      <c r="J167">
        <v>0</v>
      </c>
      <c r="K167" s="1">
        <v>751388</v>
      </c>
    </row>
    <row r="168" spans="1:11" x14ac:dyDescent="0.25">
      <c r="A168" t="s">
        <v>9</v>
      </c>
      <c r="B168" t="s">
        <v>257</v>
      </c>
      <c r="C168" t="s">
        <v>866</v>
      </c>
      <c r="D168" t="s">
        <v>14</v>
      </c>
      <c r="E168">
        <v>7</v>
      </c>
      <c r="F168" s="2">
        <f>DATE(2026,IF(Tabla1[[#This Row],[Mes de Fecha]]="Septiembre",9,10),Tabla1[[#This Row],[Día de Fecha]])</f>
        <v>46302</v>
      </c>
      <c r="G168">
        <v>1093141855</v>
      </c>
      <c r="H168" t="s">
        <v>258</v>
      </c>
      <c r="I168">
        <v>26</v>
      </c>
      <c r="J168">
        <v>0</v>
      </c>
      <c r="K168" s="1">
        <v>1313911</v>
      </c>
    </row>
    <row r="169" spans="1:11" x14ac:dyDescent="0.25">
      <c r="A169" t="s">
        <v>9</v>
      </c>
      <c r="B169" t="s">
        <v>262</v>
      </c>
      <c r="C169" t="s">
        <v>866</v>
      </c>
      <c r="D169" t="s">
        <v>11</v>
      </c>
      <c r="E169">
        <v>23</v>
      </c>
      <c r="F169" s="2">
        <f>DATE(2026,IF(Tabla1[[#This Row],[Mes de Fecha]]="Septiembre",9,10),Tabla1[[#This Row],[Día de Fecha]])</f>
        <v>46288</v>
      </c>
      <c r="I169">
        <v>0</v>
      </c>
      <c r="J169" s="1">
        <v>3779263</v>
      </c>
      <c r="K169">
        <v>0</v>
      </c>
    </row>
    <row r="170" spans="1:11" x14ac:dyDescent="0.25">
      <c r="A170" t="s">
        <v>9</v>
      </c>
      <c r="B170" t="s">
        <v>262</v>
      </c>
      <c r="C170" t="s">
        <v>866</v>
      </c>
      <c r="D170" t="s">
        <v>11</v>
      </c>
      <c r="E170">
        <v>23</v>
      </c>
      <c r="F170" s="2">
        <f>DATE(2026,IF(Tabla1[[#This Row],[Mes de Fecha]]="Septiembre",9,10),Tabla1[[#This Row],[Día de Fecha]])</f>
        <v>46288</v>
      </c>
      <c r="G170">
        <v>30873217</v>
      </c>
      <c r="H170" t="s">
        <v>263</v>
      </c>
      <c r="I170">
        <v>54</v>
      </c>
      <c r="J170">
        <v>0</v>
      </c>
      <c r="K170" s="1">
        <v>2951558</v>
      </c>
    </row>
    <row r="171" spans="1:11" x14ac:dyDescent="0.25">
      <c r="A171" t="s">
        <v>9</v>
      </c>
      <c r="B171" t="s">
        <v>262</v>
      </c>
      <c r="C171" t="s">
        <v>866</v>
      </c>
      <c r="D171" t="s">
        <v>11</v>
      </c>
      <c r="E171">
        <v>23</v>
      </c>
      <c r="F171" s="2">
        <f>DATE(2026,IF(Tabla1[[#This Row],[Mes de Fecha]]="Septiembre",9,10),Tabla1[[#This Row],[Día de Fecha]])</f>
        <v>46288</v>
      </c>
      <c r="G171">
        <v>1143388884</v>
      </c>
      <c r="H171" t="s">
        <v>265</v>
      </c>
      <c r="I171">
        <v>55</v>
      </c>
      <c r="J171">
        <v>0</v>
      </c>
      <c r="K171" s="1">
        <v>2827527</v>
      </c>
    </row>
    <row r="172" spans="1:11" x14ac:dyDescent="0.25">
      <c r="A172" t="s">
        <v>9</v>
      </c>
      <c r="B172" t="s">
        <v>262</v>
      </c>
      <c r="C172" t="s">
        <v>866</v>
      </c>
      <c r="D172" t="s">
        <v>11</v>
      </c>
      <c r="E172">
        <v>24</v>
      </c>
      <c r="F172" s="2">
        <f>DATE(2026,IF(Tabla1[[#This Row],[Mes de Fecha]]="Septiembre",9,10),Tabla1[[#This Row],[Día de Fecha]])</f>
        <v>46289</v>
      </c>
      <c r="I172">
        <v>0</v>
      </c>
      <c r="J172" s="1">
        <v>9773899</v>
      </c>
      <c r="K172">
        <v>0</v>
      </c>
    </row>
    <row r="173" spans="1:11" x14ac:dyDescent="0.25">
      <c r="A173" t="s">
        <v>9</v>
      </c>
      <c r="B173" t="s">
        <v>262</v>
      </c>
      <c r="C173" t="s">
        <v>866</v>
      </c>
      <c r="D173" t="s">
        <v>11</v>
      </c>
      <c r="E173">
        <v>24</v>
      </c>
      <c r="F173" s="2">
        <f>DATE(2026,IF(Tabla1[[#This Row],[Mes de Fecha]]="Septiembre",9,10),Tabla1[[#This Row],[Día de Fecha]])</f>
        <v>46289</v>
      </c>
      <c r="G173">
        <v>30873217</v>
      </c>
      <c r="H173" t="s">
        <v>263</v>
      </c>
      <c r="I173">
        <v>81</v>
      </c>
      <c r="J173">
        <v>0</v>
      </c>
      <c r="K173" s="1">
        <v>3954629</v>
      </c>
    </row>
    <row r="174" spans="1:11" x14ac:dyDescent="0.25">
      <c r="A174" t="s">
        <v>9</v>
      </c>
      <c r="B174" t="s">
        <v>262</v>
      </c>
      <c r="C174" t="s">
        <v>866</v>
      </c>
      <c r="D174" t="s">
        <v>11</v>
      </c>
      <c r="E174">
        <v>24</v>
      </c>
      <c r="F174" s="2">
        <f>DATE(2026,IF(Tabla1[[#This Row],[Mes de Fecha]]="Septiembre",9,10),Tabla1[[#This Row],[Día de Fecha]])</f>
        <v>46289</v>
      </c>
      <c r="G174">
        <v>1050949022</v>
      </c>
      <c r="H174" t="s">
        <v>264</v>
      </c>
      <c r="I174">
        <v>9</v>
      </c>
      <c r="J174">
        <v>0</v>
      </c>
      <c r="K174" s="1">
        <v>524789</v>
      </c>
    </row>
    <row r="175" spans="1:11" x14ac:dyDescent="0.25">
      <c r="A175" t="s">
        <v>9</v>
      </c>
      <c r="B175" t="s">
        <v>262</v>
      </c>
      <c r="C175" t="s">
        <v>866</v>
      </c>
      <c r="D175" t="s">
        <v>11</v>
      </c>
      <c r="E175">
        <v>24</v>
      </c>
      <c r="F175" s="2">
        <f>DATE(2026,IF(Tabla1[[#This Row],[Mes de Fecha]]="Septiembre",9,10),Tabla1[[#This Row],[Día de Fecha]])</f>
        <v>46289</v>
      </c>
      <c r="G175">
        <v>1143388884</v>
      </c>
      <c r="H175" t="s">
        <v>265</v>
      </c>
      <c r="I175">
        <v>98</v>
      </c>
      <c r="J175">
        <v>0</v>
      </c>
      <c r="K175" s="1">
        <v>4953873</v>
      </c>
    </row>
    <row r="176" spans="1:11" x14ac:dyDescent="0.25">
      <c r="A176" t="s">
        <v>9</v>
      </c>
      <c r="B176" t="s">
        <v>262</v>
      </c>
      <c r="C176" t="s">
        <v>866</v>
      </c>
      <c r="D176" t="s">
        <v>11</v>
      </c>
      <c r="E176">
        <v>25</v>
      </c>
      <c r="F176" s="2">
        <f>DATE(2026,IF(Tabla1[[#This Row],[Mes de Fecha]]="Septiembre",9,10),Tabla1[[#This Row],[Día de Fecha]])</f>
        <v>46290</v>
      </c>
      <c r="I176">
        <v>0</v>
      </c>
      <c r="J176" s="1">
        <v>10439061</v>
      </c>
      <c r="K176">
        <v>0</v>
      </c>
    </row>
    <row r="177" spans="1:11" x14ac:dyDescent="0.25">
      <c r="A177" t="s">
        <v>9</v>
      </c>
      <c r="B177" t="s">
        <v>262</v>
      </c>
      <c r="C177" t="s">
        <v>866</v>
      </c>
      <c r="D177" t="s">
        <v>11</v>
      </c>
      <c r="E177">
        <v>25</v>
      </c>
      <c r="F177" s="2">
        <f>DATE(2026,IF(Tabla1[[#This Row],[Mes de Fecha]]="Septiembre",9,10),Tabla1[[#This Row],[Día de Fecha]])</f>
        <v>46290</v>
      </c>
      <c r="G177">
        <v>30873217</v>
      </c>
      <c r="H177" t="s">
        <v>263</v>
      </c>
      <c r="I177">
        <v>52</v>
      </c>
      <c r="J177">
        <v>0</v>
      </c>
      <c r="K177" s="1">
        <v>2623869</v>
      </c>
    </row>
    <row r="178" spans="1:11" x14ac:dyDescent="0.25">
      <c r="A178" t="s">
        <v>9</v>
      </c>
      <c r="B178" t="s">
        <v>262</v>
      </c>
      <c r="C178" t="s">
        <v>866</v>
      </c>
      <c r="D178" t="s">
        <v>11</v>
      </c>
      <c r="E178">
        <v>25</v>
      </c>
      <c r="F178" s="2">
        <f>DATE(2026,IF(Tabla1[[#This Row],[Mes de Fecha]]="Septiembre",9,10),Tabla1[[#This Row],[Día de Fecha]])</f>
        <v>46290</v>
      </c>
      <c r="G178">
        <v>1143388884</v>
      </c>
      <c r="H178" t="s">
        <v>265</v>
      </c>
      <c r="I178">
        <v>71</v>
      </c>
      <c r="J178">
        <v>0</v>
      </c>
      <c r="K178" s="1">
        <v>4408784</v>
      </c>
    </row>
    <row r="179" spans="1:11" x14ac:dyDescent="0.25">
      <c r="A179" t="s">
        <v>9</v>
      </c>
      <c r="B179" t="s">
        <v>262</v>
      </c>
      <c r="C179" t="s">
        <v>866</v>
      </c>
      <c r="D179" t="s">
        <v>11</v>
      </c>
      <c r="E179">
        <v>26</v>
      </c>
      <c r="F179" s="2">
        <f>DATE(2026,IF(Tabla1[[#This Row],[Mes de Fecha]]="Septiembre",9,10),Tabla1[[#This Row],[Día de Fecha]])</f>
        <v>46291</v>
      </c>
      <c r="I179">
        <v>0</v>
      </c>
      <c r="J179" s="1">
        <v>13163393</v>
      </c>
      <c r="K179">
        <v>0</v>
      </c>
    </row>
    <row r="180" spans="1:11" x14ac:dyDescent="0.25">
      <c r="A180" t="s">
        <v>9</v>
      </c>
      <c r="B180" t="s">
        <v>262</v>
      </c>
      <c r="C180" t="s">
        <v>866</v>
      </c>
      <c r="D180" t="s">
        <v>11</v>
      </c>
      <c r="E180">
        <v>26</v>
      </c>
      <c r="F180" s="2">
        <f>DATE(2026,IF(Tabla1[[#This Row],[Mes de Fecha]]="Septiembre",9,10),Tabla1[[#This Row],[Día de Fecha]])</f>
        <v>46291</v>
      </c>
      <c r="G180">
        <v>30873217</v>
      </c>
      <c r="H180" t="s">
        <v>263</v>
      </c>
      <c r="I180">
        <v>106</v>
      </c>
      <c r="J180">
        <v>0</v>
      </c>
      <c r="K180" s="1">
        <v>5419751</v>
      </c>
    </row>
    <row r="181" spans="1:11" x14ac:dyDescent="0.25">
      <c r="A181" t="s">
        <v>9</v>
      </c>
      <c r="B181" t="s">
        <v>262</v>
      </c>
      <c r="C181" t="s">
        <v>866</v>
      </c>
      <c r="D181" t="s">
        <v>11</v>
      </c>
      <c r="E181">
        <v>26</v>
      </c>
      <c r="F181" s="2">
        <f>DATE(2026,IF(Tabla1[[#This Row],[Mes de Fecha]]="Septiembre",9,10),Tabla1[[#This Row],[Día de Fecha]])</f>
        <v>46291</v>
      </c>
      <c r="G181">
        <v>1143388884</v>
      </c>
      <c r="H181" t="s">
        <v>265</v>
      </c>
      <c r="I181">
        <v>108</v>
      </c>
      <c r="J181">
        <v>0</v>
      </c>
      <c r="K181" s="1">
        <v>6197060</v>
      </c>
    </row>
    <row r="182" spans="1:11" x14ac:dyDescent="0.25">
      <c r="A182" t="s">
        <v>9</v>
      </c>
      <c r="B182" t="s">
        <v>262</v>
      </c>
      <c r="C182" t="s">
        <v>866</v>
      </c>
      <c r="D182" t="s">
        <v>11</v>
      </c>
      <c r="E182">
        <v>27</v>
      </c>
      <c r="F182" s="2">
        <f>DATE(2026,IF(Tabla1[[#This Row],[Mes de Fecha]]="Septiembre",9,10),Tabla1[[#This Row],[Día de Fecha]])</f>
        <v>46292</v>
      </c>
      <c r="I182">
        <v>0</v>
      </c>
      <c r="J182" s="1">
        <v>6950146</v>
      </c>
      <c r="K182">
        <v>0</v>
      </c>
    </row>
    <row r="183" spans="1:11" x14ac:dyDescent="0.25">
      <c r="A183" t="s">
        <v>9</v>
      </c>
      <c r="B183" t="s">
        <v>262</v>
      </c>
      <c r="C183" t="s">
        <v>866</v>
      </c>
      <c r="D183" t="s">
        <v>11</v>
      </c>
      <c r="E183">
        <v>27</v>
      </c>
      <c r="F183" s="2">
        <f>DATE(2026,IF(Tabla1[[#This Row],[Mes de Fecha]]="Septiembre",9,10),Tabla1[[#This Row],[Día de Fecha]])</f>
        <v>46292</v>
      </c>
      <c r="G183">
        <v>30873217</v>
      </c>
      <c r="H183" t="s">
        <v>263</v>
      </c>
      <c r="I183">
        <v>78</v>
      </c>
      <c r="J183">
        <v>0</v>
      </c>
      <c r="K183" s="1">
        <v>3895509</v>
      </c>
    </row>
    <row r="184" spans="1:11" x14ac:dyDescent="0.25">
      <c r="A184" t="s">
        <v>9</v>
      </c>
      <c r="B184" t="s">
        <v>262</v>
      </c>
      <c r="C184" t="s">
        <v>866</v>
      </c>
      <c r="D184" t="s">
        <v>11</v>
      </c>
      <c r="E184">
        <v>27</v>
      </c>
      <c r="F184" s="2">
        <f>DATE(2026,IF(Tabla1[[#This Row],[Mes de Fecha]]="Septiembre",9,10),Tabla1[[#This Row],[Día de Fecha]])</f>
        <v>46292</v>
      </c>
      <c r="G184">
        <v>1143388884</v>
      </c>
      <c r="H184" t="s">
        <v>265</v>
      </c>
      <c r="I184">
        <v>89</v>
      </c>
      <c r="J184">
        <v>0</v>
      </c>
      <c r="K184" s="1">
        <v>4363325</v>
      </c>
    </row>
    <row r="185" spans="1:11" x14ac:dyDescent="0.25">
      <c r="A185" t="s">
        <v>9</v>
      </c>
      <c r="B185" t="s">
        <v>262</v>
      </c>
      <c r="C185" t="s">
        <v>866</v>
      </c>
      <c r="D185" t="s">
        <v>11</v>
      </c>
      <c r="E185">
        <v>28</v>
      </c>
      <c r="F185" s="2">
        <f>DATE(2026,IF(Tabla1[[#This Row],[Mes de Fecha]]="Septiembre",9,10),Tabla1[[#This Row],[Día de Fecha]])</f>
        <v>46293</v>
      </c>
      <c r="I185">
        <v>0</v>
      </c>
      <c r="J185" s="1">
        <v>5698361</v>
      </c>
      <c r="K185">
        <v>0</v>
      </c>
    </row>
    <row r="186" spans="1:11" x14ac:dyDescent="0.25">
      <c r="A186" t="s">
        <v>9</v>
      </c>
      <c r="B186" t="s">
        <v>262</v>
      </c>
      <c r="C186" t="s">
        <v>866</v>
      </c>
      <c r="D186" t="s">
        <v>11</v>
      </c>
      <c r="E186">
        <v>28</v>
      </c>
      <c r="F186" s="2">
        <f>DATE(2026,IF(Tabla1[[#This Row],[Mes de Fecha]]="Septiembre",9,10),Tabla1[[#This Row],[Día de Fecha]])</f>
        <v>46293</v>
      </c>
      <c r="G186">
        <v>30873217</v>
      </c>
      <c r="H186" t="s">
        <v>263</v>
      </c>
      <c r="I186">
        <v>23</v>
      </c>
      <c r="J186">
        <v>0</v>
      </c>
      <c r="K186" s="1">
        <v>1190128</v>
      </c>
    </row>
    <row r="187" spans="1:11" x14ac:dyDescent="0.25">
      <c r="A187" t="s">
        <v>9</v>
      </c>
      <c r="B187" t="s">
        <v>262</v>
      </c>
      <c r="C187" t="s">
        <v>866</v>
      </c>
      <c r="D187" t="s">
        <v>11</v>
      </c>
      <c r="E187">
        <v>28</v>
      </c>
      <c r="F187" s="2">
        <f>DATE(2026,IF(Tabla1[[#This Row],[Mes de Fecha]]="Septiembre",9,10),Tabla1[[#This Row],[Día de Fecha]])</f>
        <v>46293</v>
      </c>
      <c r="G187">
        <v>1143388884</v>
      </c>
      <c r="H187" t="s">
        <v>265</v>
      </c>
      <c r="I187">
        <v>50</v>
      </c>
      <c r="J187">
        <v>0</v>
      </c>
      <c r="K187" s="1">
        <v>2413786</v>
      </c>
    </row>
    <row r="188" spans="1:11" x14ac:dyDescent="0.25">
      <c r="A188" t="s">
        <v>9</v>
      </c>
      <c r="B188" t="s">
        <v>262</v>
      </c>
      <c r="C188" t="s">
        <v>866</v>
      </c>
      <c r="D188" t="s">
        <v>11</v>
      </c>
      <c r="E188">
        <v>29</v>
      </c>
      <c r="F188" s="2">
        <f>DATE(2026,IF(Tabla1[[#This Row],[Mes de Fecha]]="Septiembre",9,10),Tabla1[[#This Row],[Día de Fecha]])</f>
        <v>46294</v>
      </c>
      <c r="I188">
        <v>0</v>
      </c>
      <c r="J188" s="1">
        <v>6334896</v>
      </c>
      <c r="K188">
        <v>0</v>
      </c>
    </row>
    <row r="189" spans="1:11" x14ac:dyDescent="0.25">
      <c r="A189" t="s">
        <v>9</v>
      </c>
      <c r="B189" t="s">
        <v>262</v>
      </c>
      <c r="C189" t="s">
        <v>866</v>
      </c>
      <c r="D189" t="s">
        <v>11</v>
      </c>
      <c r="E189">
        <v>29</v>
      </c>
      <c r="F189" s="2">
        <f>DATE(2026,IF(Tabla1[[#This Row],[Mes de Fecha]]="Septiembre",9,10),Tabla1[[#This Row],[Día de Fecha]])</f>
        <v>46294</v>
      </c>
      <c r="G189">
        <v>30873217</v>
      </c>
      <c r="H189" t="s">
        <v>263</v>
      </c>
      <c r="I189">
        <v>29</v>
      </c>
      <c r="J189">
        <v>0</v>
      </c>
      <c r="K189" s="1">
        <v>1248574</v>
      </c>
    </row>
    <row r="190" spans="1:11" x14ac:dyDescent="0.25">
      <c r="A190" t="s">
        <v>9</v>
      </c>
      <c r="B190" t="s">
        <v>262</v>
      </c>
      <c r="C190" t="s">
        <v>866</v>
      </c>
      <c r="D190" t="s">
        <v>11</v>
      </c>
      <c r="E190">
        <v>29</v>
      </c>
      <c r="F190" s="2">
        <f>DATE(2026,IF(Tabla1[[#This Row],[Mes de Fecha]]="Septiembre",9,10),Tabla1[[#This Row],[Día de Fecha]])</f>
        <v>46294</v>
      </c>
      <c r="G190">
        <v>1143388884</v>
      </c>
      <c r="H190" t="s">
        <v>265</v>
      </c>
      <c r="I190">
        <v>49</v>
      </c>
      <c r="J190">
        <v>0</v>
      </c>
      <c r="K190" s="1">
        <v>2638615</v>
      </c>
    </row>
    <row r="191" spans="1:11" x14ac:dyDescent="0.25">
      <c r="A191" t="s">
        <v>9</v>
      </c>
      <c r="B191" t="s">
        <v>262</v>
      </c>
      <c r="C191" t="s">
        <v>866</v>
      </c>
      <c r="D191" t="s">
        <v>11</v>
      </c>
      <c r="E191">
        <v>30</v>
      </c>
      <c r="F191" s="2">
        <f>DATE(2026,IF(Tabla1[[#This Row],[Mes de Fecha]]="Septiembre",9,10),Tabla1[[#This Row],[Día de Fecha]])</f>
        <v>46295</v>
      </c>
      <c r="I191">
        <v>0</v>
      </c>
      <c r="J191" s="1">
        <v>6708854</v>
      </c>
      <c r="K191">
        <v>0</v>
      </c>
    </row>
    <row r="192" spans="1:11" x14ac:dyDescent="0.25">
      <c r="A192" t="s">
        <v>9</v>
      </c>
      <c r="B192" t="s">
        <v>262</v>
      </c>
      <c r="C192" t="s">
        <v>866</v>
      </c>
      <c r="D192" t="s">
        <v>11</v>
      </c>
      <c r="E192">
        <v>30</v>
      </c>
      <c r="F192" s="2">
        <f>DATE(2026,IF(Tabla1[[#This Row],[Mes de Fecha]]="Septiembre",9,10),Tabla1[[#This Row],[Día de Fecha]])</f>
        <v>46295</v>
      </c>
      <c r="G192">
        <v>30873217</v>
      </c>
      <c r="H192" t="s">
        <v>263</v>
      </c>
      <c r="I192">
        <v>90</v>
      </c>
      <c r="J192">
        <v>0</v>
      </c>
      <c r="K192" s="1">
        <v>4645172</v>
      </c>
    </row>
    <row r="193" spans="1:11" x14ac:dyDescent="0.25">
      <c r="A193" t="s">
        <v>9</v>
      </c>
      <c r="B193" t="s">
        <v>262</v>
      </c>
      <c r="C193" t="s">
        <v>866</v>
      </c>
      <c r="D193" t="s">
        <v>11</v>
      </c>
      <c r="E193">
        <v>30</v>
      </c>
      <c r="F193" s="2">
        <f>DATE(2026,IF(Tabla1[[#This Row],[Mes de Fecha]]="Septiembre",9,10),Tabla1[[#This Row],[Día de Fecha]])</f>
        <v>46295</v>
      </c>
      <c r="G193">
        <v>1143388884</v>
      </c>
      <c r="H193" t="s">
        <v>265</v>
      </c>
      <c r="I193">
        <v>4</v>
      </c>
      <c r="J193">
        <v>0</v>
      </c>
      <c r="K193" s="1">
        <v>235126</v>
      </c>
    </row>
    <row r="194" spans="1:11" x14ac:dyDescent="0.25">
      <c r="A194" t="s">
        <v>9</v>
      </c>
      <c r="B194" t="s">
        <v>262</v>
      </c>
      <c r="C194" t="s">
        <v>866</v>
      </c>
      <c r="D194" t="s">
        <v>14</v>
      </c>
      <c r="E194">
        <v>1</v>
      </c>
      <c r="F194" s="2">
        <f>DATE(2026,IF(Tabla1[[#This Row],[Mes de Fecha]]="Septiembre",9,10),Tabla1[[#This Row],[Día de Fecha]])</f>
        <v>46296</v>
      </c>
      <c r="I194">
        <v>0</v>
      </c>
      <c r="J194" s="1">
        <v>6740974</v>
      </c>
      <c r="K194">
        <v>0</v>
      </c>
    </row>
    <row r="195" spans="1:11" x14ac:dyDescent="0.25">
      <c r="A195" t="s">
        <v>9</v>
      </c>
      <c r="B195" t="s">
        <v>262</v>
      </c>
      <c r="C195" t="s">
        <v>866</v>
      </c>
      <c r="D195" t="s">
        <v>14</v>
      </c>
      <c r="E195">
        <v>1</v>
      </c>
      <c r="F195" s="2">
        <f>DATE(2026,IF(Tabla1[[#This Row],[Mes de Fecha]]="Septiembre",9,10),Tabla1[[#This Row],[Día de Fecha]])</f>
        <v>46296</v>
      </c>
      <c r="G195">
        <v>30873217</v>
      </c>
      <c r="H195" t="s">
        <v>263</v>
      </c>
      <c r="I195">
        <v>82</v>
      </c>
      <c r="J195">
        <v>0</v>
      </c>
      <c r="K195" s="1">
        <v>3861940</v>
      </c>
    </row>
    <row r="196" spans="1:11" x14ac:dyDescent="0.25">
      <c r="A196" t="s">
        <v>9</v>
      </c>
      <c r="B196" t="s">
        <v>262</v>
      </c>
      <c r="C196" t="s">
        <v>866</v>
      </c>
      <c r="D196" t="s">
        <v>14</v>
      </c>
      <c r="E196">
        <v>1</v>
      </c>
      <c r="F196" s="2">
        <f>DATE(2026,IF(Tabla1[[#This Row],[Mes de Fecha]]="Septiembre",9,10),Tabla1[[#This Row],[Día de Fecha]])</f>
        <v>46296</v>
      </c>
      <c r="G196">
        <v>1050949022</v>
      </c>
      <c r="H196" t="s">
        <v>264</v>
      </c>
      <c r="I196">
        <v>55</v>
      </c>
      <c r="J196">
        <v>0</v>
      </c>
      <c r="K196" s="1">
        <v>2575046</v>
      </c>
    </row>
    <row r="197" spans="1:11" x14ac:dyDescent="0.25">
      <c r="A197" t="s">
        <v>9</v>
      </c>
      <c r="B197" t="s">
        <v>262</v>
      </c>
      <c r="C197" t="s">
        <v>866</v>
      </c>
      <c r="D197" t="s">
        <v>14</v>
      </c>
      <c r="E197">
        <v>2</v>
      </c>
      <c r="F197" s="2">
        <f>DATE(2026,IF(Tabla1[[#This Row],[Mes de Fecha]]="Septiembre",9,10),Tabla1[[#This Row],[Día de Fecha]])</f>
        <v>46297</v>
      </c>
      <c r="I197">
        <v>0</v>
      </c>
      <c r="J197" s="1">
        <v>8159591</v>
      </c>
      <c r="K197">
        <v>0</v>
      </c>
    </row>
    <row r="198" spans="1:11" x14ac:dyDescent="0.25">
      <c r="A198" t="s">
        <v>9</v>
      </c>
      <c r="B198" t="s">
        <v>262</v>
      </c>
      <c r="C198" t="s">
        <v>866</v>
      </c>
      <c r="D198" t="s">
        <v>14</v>
      </c>
      <c r="E198">
        <v>2</v>
      </c>
      <c r="F198" s="2">
        <f>DATE(2026,IF(Tabla1[[#This Row],[Mes de Fecha]]="Septiembre",9,10),Tabla1[[#This Row],[Día de Fecha]])</f>
        <v>46297</v>
      </c>
      <c r="G198">
        <v>30873217</v>
      </c>
      <c r="H198" t="s">
        <v>263</v>
      </c>
      <c r="I198">
        <v>42</v>
      </c>
      <c r="J198">
        <v>0</v>
      </c>
      <c r="K198" s="1">
        <v>2254331</v>
      </c>
    </row>
    <row r="199" spans="1:11" x14ac:dyDescent="0.25">
      <c r="A199" t="s">
        <v>9</v>
      </c>
      <c r="B199" t="s">
        <v>262</v>
      </c>
      <c r="C199" t="s">
        <v>866</v>
      </c>
      <c r="D199" t="s">
        <v>14</v>
      </c>
      <c r="E199">
        <v>2</v>
      </c>
      <c r="F199" s="2">
        <f>DATE(2026,IF(Tabla1[[#This Row],[Mes de Fecha]]="Septiembre",9,10),Tabla1[[#This Row],[Día de Fecha]])</f>
        <v>46297</v>
      </c>
      <c r="G199">
        <v>1050949022</v>
      </c>
      <c r="H199" t="s">
        <v>264</v>
      </c>
      <c r="I199">
        <v>27</v>
      </c>
      <c r="J199">
        <v>0</v>
      </c>
      <c r="K199" s="1">
        <v>1299245</v>
      </c>
    </row>
    <row r="200" spans="1:11" x14ac:dyDescent="0.25">
      <c r="A200" t="s">
        <v>9</v>
      </c>
      <c r="B200" t="s">
        <v>262</v>
      </c>
      <c r="C200" t="s">
        <v>866</v>
      </c>
      <c r="D200" t="s">
        <v>14</v>
      </c>
      <c r="E200">
        <v>3</v>
      </c>
      <c r="F200" s="2">
        <f>DATE(2026,IF(Tabla1[[#This Row],[Mes de Fecha]]="Septiembre",9,10),Tabla1[[#This Row],[Día de Fecha]])</f>
        <v>46298</v>
      </c>
      <c r="I200">
        <v>0</v>
      </c>
      <c r="J200" s="1">
        <v>15978900</v>
      </c>
      <c r="K200">
        <v>0</v>
      </c>
    </row>
    <row r="201" spans="1:11" x14ac:dyDescent="0.25">
      <c r="A201" t="s">
        <v>9</v>
      </c>
      <c r="B201" t="s">
        <v>262</v>
      </c>
      <c r="C201" t="s">
        <v>866</v>
      </c>
      <c r="D201" t="s">
        <v>14</v>
      </c>
      <c r="E201">
        <v>3</v>
      </c>
      <c r="F201" s="2">
        <f>DATE(2026,IF(Tabla1[[#This Row],[Mes de Fecha]]="Septiembre",9,10),Tabla1[[#This Row],[Día de Fecha]])</f>
        <v>46298</v>
      </c>
      <c r="G201">
        <v>30873217</v>
      </c>
      <c r="H201" t="s">
        <v>263</v>
      </c>
      <c r="I201">
        <v>119</v>
      </c>
      <c r="J201">
        <v>0</v>
      </c>
      <c r="K201" s="1">
        <v>5642813</v>
      </c>
    </row>
    <row r="202" spans="1:11" x14ac:dyDescent="0.25">
      <c r="A202" t="s">
        <v>9</v>
      </c>
      <c r="B202" t="s">
        <v>262</v>
      </c>
      <c r="C202" t="s">
        <v>866</v>
      </c>
      <c r="D202" t="s">
        <v>14</v>
      </c>
      <c r="E202">
        <v>3</v>
      </c>
      <c r="F202" s="2">
        <f>DATE(2026,IF(Tabla1[[#This Row],[Mes de Fecha]]="Septiembre",9,10),Tabla1[[#This Row],[Día de Fecha]])</f>
        <v>46298</v>
      </c>
      <c r="G202">
        <v>1050949022</v>
      </c>
      <c r="H202" t="s">
        <v>264</v>
      </c>
      <c r="I202">
        <v>35</v>
      </c>
      <c r="J202">
        <v>0</v>
      </c>
      <c r="K202" s="1">
        <v>1534903</v>
      </c>
    </row>
    <row r="203" spans="1:11" x14ac:dyDescent="0.25">
      <c r="A203" t="s">
        <v>9</v>
      </c>
      <c r="B203" t="s">
        <v>262</v>
      </c>
      <c r="C203" t="s">
        <v>866</v>
      </c>
      <c r="D203" t="s">
        <v>14</v>
      </c>
      <c r="E203">
        <v>4</v>
      </c>
      <c r="F203" s="2">
        <f>DATE(2026,IF(Tabla1[[#This Row],[Mes de Fecha]]="Septiembre",9,10),Tabla1[[#This Row],[Día de Fecha]])</f>
        <v>46299</v>
      </c>
      <c r="I203">
        <v>0</v>
      </c>
      <c r="J203" s="1">
        <v>8961417</v>
      </c>
      <c r="K203">
        <v>0</v>
      </c>
    </row>
    <row r="204" spans="1:11" x14ac:dyDescent="0.25">
      <c r="A204" t="s">
        <v>9</v>
      </c>
      <c r="B204" t="s">
        <v>262</v>
      </c>
      <c r="C204" t="s">
        <v>866</v>
      </c>
      <c r="D204" t="s">
        <v>14</v>
      </c>
      <c r="E204">
        <v>4</v>
      </c>
      <c r="F204" s="2">
        <f>DATE(2026,IF(Tabla1[[#This Row],[Mes de Fecha]]="Septiembre",9,10),Tabla1[[#This Row],[Día de Fecha]])</f>
        <v>46299</v>
      </c>
      <c r="G204">
        <v>30873217</v>
      </c>
      <c r="H204" t="s">
        <v>263</v>
      </c>
      <c r="I204">
        <v>101</v>
      </c>
      <c r="J204">
        <v>0</v>
      </c>
      <c r="K204" s="1">
        <v>5522949</v>
      </c>
    </row>
    <row r="205" spans="1:11" x14ac:dyDescent="0.25">
      <c r="A205" t="s">
        <v>9</v>
      </c>
      <c r="B205" t="s">
        <v>262</v>
      </c>
      <c r="C205" t="s">
        <v>866</v>
      </c>
      <c r="D205" t="s">
        <v>14</v>
      </c>
      <c r="E205">
        <v>4</v>
      </c>
      <c r="F205" s="2">
        <f>DATE(2026,IF(Tabla1[[#This Row],[Mes de Fecha]]="Septiembre",9,10),Tabla1[[#This Row],[Día de Fecha]])</f>
        <v>46299</v>
      </c>
      <c r="G205">
        <v>1050949022</v>
      </c>
      <c r="H205" t="s">
        <v>264</v>
      </c>
      <c r="I205">
        <v>13</v>
      </c>
      <c r="J205">
        <v>0</v>
      </c>
      <c r="K205" s="1">
        <v>474204</v>
      </c>
    </row>
    <row r="206" spans="1:11" x14ac:dyDescent="0.25">
      <c r="A206" t="s">
        <v>9</v>
      </c>
      <c r="B206" t="s">
        <v>262</v>
      </c>
      <c r="C206" t="s">
        <v>866</v>
      </c>
      <c r="D206" t="s">
        <v>14</v>
      </c>
      <c r="E206">
        <v>5</v>
      </c>
      <c r="F206" s="2">
        <f>DATE(2026,IF(Tabla1[[#This Row],[Mes de Fecha]]="Septiembre",9,10),Tabla1[[#This Row],[Día de Fecha]])</f>
        <v>46300</v>
      </c>
      <c r="I206">
        <v>0</v>
      </c>
      <c r="J206" s="1">
        <v>5870593</v>
      </c>
      <c r="K206">
        <v>0</v>
      </c>
    </row>
    <row r="207" spans="1:11" x14ac:dyDescent="0.25">
      <c r="A207" t="s">
        <v>9</v>
      </c>
      <c r="B207" t="s">
        <v>262</v>
      </c>
      <c r="C207" t="s">
        <v>866</v>
      </c>
      <c r="D207" t="s">
        <v>14</v>
      </c>
      <c r="E207">
        <v>5</v>
      </c>
      <c r="F207" s="2">
        <f>DATE(2026,IF(Tabla1[[#This Row],[Mes de Fecha]]="Septiembre",9,10),Tabla1[[#This Row],[Día de Fecha]])</f>
        <v>46300</v>
      </c>
      <c r="G207">
        <v>30873217</v>
      </c>
      <c r="H207" t="s">
        <v>263</v>
      </c>
      <c r="I207">
        <v>68</v>
      </c>
      <c r="J207">
        <v>0</v>
      </c>
      <c r="K207" s="1">
        <v>3736223</v>
      </c>
    </row>
    <row r="208" spans="1:11" x14ac:dyDescent="0.25">
      <c r="A208" t="s">
        <v>9</v>
      </c>
      <c r="B208" t="s">
        <v>262</v>
      </c>
      <c r="C208" t="s">
        <v>866</v>
      </c>
      <c r="D208" t="s">
        <v>14</v>
      </c>
      <c r="E208">
        <v>5</v>
      </c>
      <c r="F208" s="2">
        <f>DATE(2026,IF(Tabla1[[#This Row],[Mes de Fecha]]="Septiembre",9,10),Tabla1[[#This Row],[Día de Fecha]])</f>
        <v>46300</v>
      </c>
      <c r="G208">
        <v>1050949022</v>
      </c>
      <c r="H208" t="s">
        <v>264</v>
      </c>
      <c r="I208">
        <v>3</v>
      </c>
      <c r="J208">
        <v>0</v>
      </c>
      <c r="K208" s="1">
        <v>197353</v>
      </c>
    </row>
    <row r="209" spans="1:11" x14ac:dyDescent="0.25">
      <c r="A209" t="s">
        <v>9</v>
      </c>
      <c r="B209" t="s">
        <v>262</v>
      </c>
      <c r="C209" t="s">
        <v>866</v>
      </c>
      <c r="D209" t="s">
        <v>14</v>
      </c>
      <c r="E209">
        <v>6</v>
      </c>
      <c r="F209" s="2">
        <f>DATE(2026,IF(Tabla1[[#This Row],[Mes de Fecha]]="Septiembre",9,10),Tabla1[[#This Row],[Día de Fecha]])</f>
        <v>46301</v>
      </c>
      <c r="I209">
        <v>0</v>
      </c>
      <c r="J209" s="1">
        <v>2841500</v>
      </c>
      <c r="K209">
        <v>0</v>
      </c>
    </row>
    <row r="210" spans="1:11" x14ac:dyDescent="0.25">
      <c r="A210" t="s">
        <v>9</v>
      </c>
      <c r="B210" t="s">
        <v>262</v>
      </c>
      <c r="C210" t="s">
        <v>866</v>
      </c>
      <c r="D210" t="s">
        <v>14</v>
      </c>
      <c r="E210">
        <v>6</v>
      </c>
      <c r="F210" s="2">
        <f>DATE(2026,IF(Tabla1[[#This Row],[Mes de Fecha]]="Septiembre",9,10),Tabla1[[#This Row],[Día de Fecha]])</f>
        <v>46301</v>
      </c>
      <c r="G210">
        <v>30873217</v>
      </c>
      <c r="H210" t="s">
        <v>263</v>
      </c>
      <c r="I210">
        <v>107</v>
      </c>
      <c r="J210">
        <v>0</v>
      </c>
      <c r="K210" s="1">
        <v>5141685</v>
      </c>
    </row>
    <row r="211" spans="1:11" x14ac:dyDescent="0.25">
      <c r="A211" t="s">
        <v>9</v>
      </c>
      <c r="B211" t="s">
        <v>262</v>
      </c>
      <c r="C211" t="s">
        <v>866</v>
      </c>
      <c r="D211" t="s">
        <v>14</v>
      </c>
      <c r="E211">
        <v>7</v>
      </c>
      <c r="F211" s="2">
        <f>DATE(2026,IF(Tabla1[[#This Row],[Mes de Fecha]]="Septiembre",9,10),Tabla1[[#This Row],[Día de Fecha]])</f>
        <v>46302</v>
      </c>
      <c r="I211">
        <v>0</v>
      </c>
      <c r="J211" s="1">
        <v>2512703</v>
      </c>
      <c r="K211">
        <v>0</v>
      </c>
    </row>
    <row r="212" spans="1:11" x14ac:dyDescent="0.25">
      <c r="A212" t="s">
        <v>9</v>
      </c>
      <c r="B212" t="s">
        <v>262</v>
      </c>
      <c r="C212" t="s">
        <v>866</v>
      </c>
      <c r="D212" t="s">
        <v>14</v>
      </c>
      <c r="E212">
        <v>7</v>
      </c>
      <c r="F212" s="2">
        <f>DATE(2026,IF(Tabla1[[#This Row],[Mes de Fecha]]="Septiembre",9,10),Tabla1[[#This Row],[Día de Fecha]])</f>
        <v>46302</v>
      </c>
      <c r="G212">
        <v>30873217</v>
      </c>
      <c r="H212" t="s">
        <v>263</v>
      </c>
      <c r="I212">
        <v>37</v>
      </c>
      <c r="J212">
        <v>0</v>
      </c>
      <c r="K212" s="1">
        <v>1666134</v>
      </c>
    </row>
    <row r="213" spans="1:11" x14ac:dyDescent="0.25">
      <c r="A213" t="s">
        <v>9</v>
      </c>
      <c r="B213" t="s">
        <v>272</v>
      </c>
      <c r="C213" t="s">
        <v>866</v>
      </c>
      <c r="D213" t="s">
        <v>11</v>
      </c>
      <c r="E213">
        <v>23</v>
      </c>
      <c r="F213" s="2">
        <f>DATE(2026,IF(Tabla1[[#This Row],[Mes de Fecha]]="Septiembre",9,10),Tabla1[[#This Row],[Día de Fecha]])</f>
        <v>46288</v>
      </c>
      <c r="I213">
        <v>0</v>
      </c>
      <c r="J213" s="1">
        <v>4154586</v>
      </c>
      <c r="K213">
        <v>0</v>
      </c>
    </row>
    <row r="214" spans="1:11" x14ac:dyDescent="0.25">
      <c r="A214" t="s">
        <v>9</v>
      </c>
      <c r="B214" t="s">
        <v>272</v>
      </c>
      <c r="C214" t="s">
        <v>866</v>
      </c>
      <c r="D214" t="s">
        <v>11</v>
      </c>
      <c r="E214">
        <v>23</v>
      </c>
      <c r="F214" s="2">
        <f>DATE(2026,IF(Tabla1[[#This Row],[Mes de Fecha]]="Septiembre",9,10),Tabla1[[#This Row],[Día de Fecha]])</f>
        <v>46288</v>
      </c>
      <c r="G214">
        <v>1047472890</v>
      </c>
      <c r="H214" t="s">
        <v>273</v>
      </c>
      <c r="I214">
        <v>76</v>
      </c>
      <c r="J214">
        <v>0</v>
      </c>
      <c r="K214" s="1">
        <v>3864458</v>
      </c>
    </row>
    <row r="215" spans="1:11" x14ac:dyDescent="0.25">
      <c r="A215" t="s">
        <v>9</v>
      </c>
      <c r="B215" t="s">
        <v>272</v>
      </c>
      <c r="C215" t="s">
        <v>866</v>
      </c>
      <c r="D215" t="s">
        <v>11</v>
      </c>
      <c r="E215">
        <v>23</v>
      </c>
      <c r="F215" s="2">
        <f>DATE(2026,IF(Tabla1[[#This Row],[Mes de Fecha]]="Septiembre",9,10),Tabla1[[#This Row],[Día de Fecha]])</f>
        <v>46288</v>
      </c>
      <c r="G215">
        <v>1128050513</v>
      </c>
      <c r="H215" t="s">
        <v>274</v>
      </c>
      <c r="I215">
        <v>90</v>
      </c>
      <c r="J215">
        <v>0</v>
      </c>
      <c r="K215" s="1">
        <v>4510927</v>
      </c>
    </row>
    <row r="216" spans="1:11" x14ac:dyDescent="0.25">
      <c r="A216" t="s">
        <v>9</v>
      </c>
      <c r="B216" t="s">
        <v>272</v>
      </c>
      <c r="C216" t="s">
        <v>866</v>
      </c>
      <c r="D216" t="s">
        <v>11</v>
      </c>
      <c r="E216">
        <v>24</v>
      </c>
      <c r="F216" s="2">
        <f>DATE(2026,IF(Tabla1[[#This Row],[Mes de Fecha]]="Septiembre",9,10),Tabla1[[#This Row],[Día de Fecha]])</f>
        <v>46289</v>
      </c>
      <c r="I216">
        <v>0</v>
      </c>
      <c r="J216" s="1">
        <v>10744559</v>
      </c>
      <c r="K216">
        <v>0</v>
      </c>
    </row>
    <row r="217" spans="1:11" x14ac:dyDescent="0.25">
      <c r="A217" t="s">
        <v>9</v>
      </c>
      <c r="B217" t="s">
        <v>272</v>
      </c>
      <c r="C217" t="s">
        <v>866</v>
      </c>
      <c r="D217" t="s">
        <v>11</v>
      </c>
      <c r="E217">
        <v>24</v>
      </c>
      <c r="F217" s="2">
        <f>DATE(2026,IF(Tabla1[[#This Row],[Mes de Fecha]]="Septiembre",9,10),Tabla1[[#This Row],[Día de Fecha]])</f>
        <v>46289</v>
      </c>
      <c r="G217">
        <v>1047472890</v>
      </c>
      <c r="H217" t="s">
        <v>273</v>
      </c>
      <c r="I217">
        <v>84</v>
      </c>
      <c r="J217">
        <v>0</v>
      </c>
      <c r="K217" s="1">
        <v>4469165</v>
      </c>
    </row>
    <row r="218" spans="1:11" x14ac:dyDescent="0.25">
      <c r="A218" t="s">
        <v>9</v>
      </c>
      <c r="B218" t="s">
        <v>272</v>
      </c>
      <c r="C218" t="s">
        <v>866</v>
      </c>
      <c r="D218" t="s">
        <v>11</v>
      </c>
      <c r="E218">
        <v>24</v>
      </c>
      <c r="F218" s="2">
        <f>DATE(2026,IF(Tabla1[[#This Row],[Mes de Fecha]]="Septiembre",9,10),Tabla1[[#This Row],[Día de Fecha]])</f>
        <v>46289</v>
      </c>
      <c r="G218">
        <v>1128050513</v>
      </c>
      <c r="H218" t="s">
        <v>274</v>
      </c>
      <c r="I218">
        <v>85</v>
      </c>
      <c r="J218">
        <v>0</v>
      </c>
      <c r="K218" s="1">
        <v>4626687</v>
      </c>
    </row>
    <row r="219" spans="1:11" x14ac:dyDescent="0.25">
      <c r="A219" t="s">
        <v>9</v>
      </c>
      <c r="B219" t="s">
        <v>272</v>
      </c>
      <c r="C219" t="s">
        <v>866</v>
      </c>
      <c r="D219" t="s">
        <v>11</v>
      </c>
      <c r="E219">
        <v>25</v>
      </c>
      <c r="F219" s="2">
        <f>DATE(2026,IF(Tabla1[[#This Row],[Mes de Fecha]]="Septiembre",9,10),Tabla1[[#This Row],[Día de Fecha]])</f>
        <v>46290</v>
      </c>
      <c r="I219">
        <v>0</v>
      </c>
      <c r="J219" s="1">
        <v>11475774</v>
      </c>
      <c r="K219">
        <v>0</v>
      </c>
    </row>
    <row r="220" spans="1:11" x14ac:dyDescent="0.25">
      <c r="A220" t="s">
        <v>9</v>
      </c>
      <c r="B220" t="s">
        <v>272</v>
      </c>
      <c r="C220" t="s">
        <v>866</v>
      </c>
      <c r="D220" t="s">
        <v>11</v>
      </c>
      <c r="E220">
        <v>25</v>
      </c>
      <c r="F220" s="2">
        <f>DATE(2026,IF(Tabla1[[#This Row],[Mes de Fecha]]="Septiembre",9,10),Tabla1[[#This Row],[Día de Fecha]])</f>
        <v>46290</v>
      </c>
      <c r="G220">
        <v>1047472890</v>
      </c>
      <c r="H220" t="s">
        <v>273</v>
      </c>
      <c r="I220">
        <v>96</v>
      </c>
      <c r="J220">
        <v>0</v>
      </c>
      <c r="K220" s="1">
        <v>4804802</v>
      </c>
    </row>
    <row r="221" spans="1:11" x14ac:dyDescent="0.25">
      <c r="A221" t="s">
        <v>9</v>
      </c>
      <c r="B221" t="s">
        <v>272</v>
      </c>
      <c r="C221" t="s">
        <v>866</v>
      </c>
      <c r="D221" t="s">
        <v>11</v>
      </c>
      <c r="E221">
        <v>25</v>
      </c>
      <c r="F221" s="2">
        <f>DATE(2026,IF(Tabla1[[#This Row],[Mes de Fecha]]="Septiembre",9,10),Tabla1[[#This Row],[Día de Fecha]])</f>
        <v>46290</v>
      </c>
      <c r="G221">
        <v>1128050513</v>
      </c>
      <c r="H221" t="s">
        <v>274</v>
      </c>
      <c r="I221">
        <v>99</v>
      </c>
      <c r="J221">
        <v>0</v>
      </c>
      <c r="K221" s="1">
        <v>5533662</v>
      </c>
    </row>
    <row r="222" spans="1:11" x14ac:dyDescent="0.25">
      <c r="A222" t="s">
        <v>9</v>
      </c>
      <c r="B222" t="s">
        <v>272</v>
      </c>
      <c r="C222" t="s">
        <v>866</v>
      </c>
      <c r="D222" t="s">
        <v>11</v>
      </c>
      <c r="E222">
        <v>26</v>
      </c>
      <c r="F222" s="2">
        <f>DATE(2026,IF(Tabla1[[#This Row],[Mes de Fecha]]="Septiembre",9,10),Tabla1[[#This Row],[Día de Fecha]])</f>
        <v>46291</v>
      </c>
      <c r="I222">
        <v>0</v>
      </c>
      <c r="J222" s="1">
        <v>14470662</v>
      </c>
      <c r="K222">
        <v>0</v>
      </c>
    </row>
    <row r="223" spans="1:11" x14ac:dyDescent="0.25">
      <c r="A223" t="s">
        <v>9</v>
      </c>
      <c r="B223" t="s">
        <v>272</v>
      </c>
      <c r="C223" t="s">
        <v>866</v>
      </c>
      <c r="D223" t="s">
        <v>11</v>
      </c>
      <c r="E223">
        <v>26</v>
      </c>
      <c r="F223" s="2">
        <f>DATE(2026,IF(Tabla1[[#This Row],[Mes de Fecha]]="Septiembre",9,10),Tabla1[[#This Row],[Día de Fecha]])</f>
        <v>46291</v>
      </c>
      <c r="G223">
        <v>1047472890</v>
      </c>
      <c r="H223" t="s">
        <v>273</v>
      </c>
      <c r="I223">
        <v>173</v>
      </c>
      <c r="J223">
        <v>0</v>
      </c>
      <c r="K223" s="1">
        <v>9067873</v>
      </c>
    </row>
    <row r="224" spans="1:11" x14ac:dyDescent="0.25">
      <c r="A224" t="s">
        <v>9</v>
      </c>
      <c r="B224" t="s">
        <v>272</v>
      </c>
      <c r="C224" t="s">
        <v>866</v>
      </c>
      <c r="D224" t="s">
        <v>11</v>
      </c>
      <c r="E224">
        <v>26</v>
      </c>
      <c r="F224" s="2">
        <f>DATE(2026,IF(Tabla1[[#This Row],[Mes de Fecha]]="Septiembre",9,10),Tabla1[[#This Row],[Día de Fecha]])</f>
        <v>46291</v>
      </c>
      <c r="G224">
        <v>1128050513</v>
      </c>
      <c r="H224" t="s">
        <v>274</v>
      </c>
      <c r="I224">
        <v>179</v>
      </c>
      <c r="J224">
        <v>0</v>
      </c>
      <c r="K224" s="1">
        <v>7665073</v>
      </c>
    </row>
    <row r="225" spans="1:11" x14ac:dyDescent="0.25">
      <c r="A225" t="s">
        <v>9</v>
      </c>
      <c r="B225" t="s">
        <v>272</v>
      </c>
      <c r="C225" t="s">
        <v>866</v>
      </c>
      <c r="D225" t="s">
        <v>11</v>
      </c>
      <c r="E225">
        <v>27</v>
      </c>
      <c r="F225" s="2">
        <f>DATE(2026,IF(Tabla1[[#This Row],[Mes de Fecha]]="Septiembre",9,10),Tabla1[[#This Row],[Día de Fecha]])</f>
        <v>46292</v>
      </c>
      <c r="I225">
        <v>0</v>
      </c>
      <c r="J225" s="1">
        <v>7640370</v>
      </c>
      <c r="K225">
        <v>0</v>
      </c>
    </row>
    <row r="226" spans="1:11" x14ac:dyDescent="0.25">
      <c r="A226" t="s">
        <v>9</v>
      </c>
      <c r="B226" t="s">
        <v>272</v>
      </c>
      <c r="C226" t="s">
        <v>866</v>
      </c>
      <c r="D226" t="s">
        <v>11</v>
      </c>
      <c r="E226">
        <v>27</v>
      </c>
      <c r="F226" s="2">
        <f>DATE(2026,IF(Tabla1[[#This Row],[Mes de Fecha]]="Septiembre",9,10),Tabla1[[#This Row],[Día de Fecha]])</f>
        <v>46292</v>
      </c>
      <c r="G226">
        <v>1047472890</v>
      </c>
      <c r="H226" t="s">
        <v>273</v>
      </c>
      <c r="I226">
        <v>115</v>
      </c>
      <c r="J226">
        <v>0</v>
      </c>
      <c r="K226" s="1">
        <v>6343667</v>
      </c>
    </row>
    <row r="227" spans="1:11" x14ac:dyDescent="0.25">
      <c r="A227" t="s">
        <v>9</v>
      </c>
      <c r="B227" t="s">
        <v>272</v>
      </c>
      <c r="C227" t="s">
        <v>866</v>
      </c>
      <c r="D227" t="s">
        <v>11</v>
      </c>
      <c r="E227">
        <v>27</v>
      </c>
      <c r="F227" s="2">
        <f>DATE(2026,IF(Tabla1[[#This Row],[Mes de Fecha]]="Septiembre",9,10),Tabla1[[#This Row],[Día de Fecha]])</f>
        <v>46292</v>
      </c>
      <c r="G227">
        <v>1128050513</v>
      </c>
      <c r="H227" t="s">
        <v>274</v>
      </c>
      <c r="I227">
        <v>129</v>
      </c>
      <c r="J227">
        <v>0</v>
      </c>
      <c r="K227" s="1">
        <v>6586856</v>
      </c>
    </row>
    <row r="228" spans="1:11" x14ac:dyDescent="0.25">
      <c r="A228" t="s">
        <v>9</v>
      </c>
      <c r="B228" t="s">
        <v>272</v>
      </c>
      <c r="C228" t="s">
        <v>866</v>
      </c>
      <c r="D228" t="s">
        <v>11</v>
      </c>
      <c r="E228">
        <v>28</v>
      </c>
      <c r="F228" s="2">
        <f>DATE(2026,IF(Tabla1[[#This Row],[Mes de Fecha]]="Septiembre",9,10),Tabla1[[#This Row],[Día de Fecha]])</f>
        <v>46293</v>
      </c>
      <c r="I228">
        <v>0</v>
      </c>
      <c r="J228" s="1">
        <v>6264273</v>
      </c>
      <c r="K228">
        <v>0</v>
      </c>
    </row>
    <row r="229" spans="1:11" x14ac:dyDescent="0.25">
      <c r="A229" t="s">
        <v>9</v>
      </c>
      <c r="B229" t="s">
        <v>272</v>
      </c>
      <c r="C229" t="s">
        <v>866</v>
      </c>
      <c r="D229" t="s">
        <v>11</v>
      </c>
      <c r="E229">
        <v>28</v>
      </c>
      <c r="F229" s="2">
        <f>DATE(2026,IF(Tabla1[[#This Row],[Mes de Fecha]]="Septiembre",9,10),Tabla1[[#This Row],[Día de Fecha]])</f>
        <v>46293</v>
      </c>
      <c r="G229">
        <v>1047472890</v>
      </c>
      <c r="H229" t="s">
        <v>273</v>
      </c>
      <c r="I229">
        <v>43</v>
      </c>
      <c r="J229">
        <v>0</v>
      </c>
      <c r="K229" s="1">
        <v>2327817</v>
      </c>
    </row>
    <row r="230" spans="1:11" x14ac:dyDescent="0.25">
      <c r="A230" t="s">
        <v>9</v>
      </c>
      <c r="B230" t="s">
        <v>272</v>
      </c>
      <c r="C230" t="s">
        <v>866</v>
      </c>
      <c r="D230" t="s">
        <v>11</v>
      </c>
      <c r="E230">
        <v>28</v>
      </c>
      <c r="F230" s="2">
        <f>DATE(2026,IF(Tabla1[[#This Row],[Mes de Fecha]]="Septiembre",9,10),Tabla1[[#This Row],[Día de Fecha]])</f>
        <v>46293</v>
      </c>
      <c r="G230">
        <v>1128050513</v>
      </c>
      <c r="H230" t="s">
        <v>274</v>
      </c>
      <c r="I230">
        <v>67</v>
      </c>
      <c r="J230">
        <v>0</v>
      </c>
      <c r="K230" s="1">
        <v>3442147</v>
      </c>
    </row>
    <row r="231" spans="1:11" x14ac:dyDescent="0.25">
      <c r="A231" t="s">
        <v>9</v>
      </c>
      <c r="B231" t="s">
        <v>272</v>
      </c>
      <c r="C231" t="s">
        <v>866</v>
      </c>
      <c r="D231" t="s">
        <v>11</v>
      </c>
      <c r="E231">
        <v>29</v>
      </c>
      <c r="F231" s="2">
        <f>DATE(2026,IF(Tabla1[[#This Row],[Mes de Fecha]]="Septiembre",9,10),Tabla1[[#This Row],[Día de Fecha]])</f>
        <v>46294</v>
      </c>
      <c r="I231">
        <v>0</v>
      </c>
      <c r="J231" s="1">
        <v>6964020</v>
      </c>
      <c r="K231">
        <v>0</v>
      </c>
    </row>
    <row r="232" spans="1:11" x14ac:dyDescent="0.25">
      <c r="A232" t="s">
        <v>9</v>
      </c>
      <c r="B232" t="s">
        <v>272</v>
      </c>
      <c r="C232" t="s">
        <v>866</v>
      </c>
      <c r="D232" t="s">
        <v>11</v>
      </c>
      <c r="E232">
        <v>29</v>
      </c>
      <c r="F232" s="2">
        <f>DATE(2026,IF(Tabla1[[#This Row],[Mes de Fecha]]="Septiembre",9,10),Tabla1[[#This Row],[Día de Fecha]])</f>
        <v>46294</v>
      </c>
      <c r="G232">
        <v>1047472890</v>
      </c>
      <c r="H232" t="s">
        <v>273</v>
      </c>
      <c r="I232">
        <v>74</v>
      </c>
      <c r="J232">
        <v>0</v>
      </c>
      <c r="K232" s="1">
        <v>3967359</v>
      </c>
    </row>
    <row r="233" spans="1:11" x14ac:dyDescent="0.25">
      <c r="A233" t="s">
        <v>9</v>
      </c>
      <c r="B233" t="s">
        <v>272</v>
      </c>
      <c r="C233" t="s">
        <v>866</v>
      </c>
      <c r="D233" t="s">
        <v>11</v>
      </c>
      <c r="E233">
        <v>29</v>
      </c>
      <c r="F233" s="2">
        <f>DATE(2026,IF(Tabla1[[#This Row],[Mes de Fecha]]="Septiembre",9,10),Tabla1[[#This Row],[Día de Fecha]])</f>
        <v>46294</v>
      </c>
      <c r="G233">
        <v>1128050513</v>
      </c>
      <c r="H233" t="s">
        <v>274</v>
      </c>
      <c r="I233">
        <v>64</v>
      </c>
      <c r="J233">
        <v>0</v>
      </c>
      <c r="K233" s="1">
        <v>3328949</v>
      </c>
    </row>
    <row r="234" spans="1:11" x14ac:dyDescent="0.25">
      <c r="A234" t="s">
        <v>9</v>
      </c>
      <c r="B234" t="s">
        <v>272</v>
      </c>
      <c r="C234" t="s">
        <v>866</v>
      </c>
      <c r="D234" t="s">
        <v>11</v>
      </c>
      <c r="E234">
        <v>30</v>
      </c>
      <c r="F234" s="2">
        <f>DATE(2026,IF(Tabla1[[#This Row],[Mes de Fecha]]="Septiembre",9,10),Tabla1[[#This Row],[Día de Fecha]])</f>
        <v>46295</v>
      </c>
      <c r="I234">
        <v>0</v>
      </c>
      <c r="J234" s="1">
        <v>7375117</v>
      </c>
      <c r="K234">
        <v>0</v>
      </c>
    </row>
    <row r="235" spans="1:11" x14ac:dyDescent="0.25">
      <c r="A235" t="s">
        <v>9</v>
      </c>
      <c r="B235" t="s">
        <v>272</v>
      </c>
      <c r="C235" t="s">
        <v>866</v>
      </c>
      <c r="D235" t="s">
        <v>11</v>
      </c>
      <c r="E235">
        <v>30</v>
      </c>
      <c r="F235" s="2">
        <f>DATE(2026,IF(Tabla1[[#This Row],[Mes de Fecha]]="Septiembre",9,10),Tabla1[[#This Row],[Día de Fecha]])</f>
        <v>46295</v>
      </c>
      <c r="G235">
        <v>1047472890</v>
      </c>
      <c r="H235" t="s">
        <v>273</v>
      </c>
      <c r="I235">
        <v>66</v>
      </c>
      <c r="J235">
        <v>0</v>
      </c>
      <c r="K235" s="1">
        <v>3497064</v>
      </c>
    </row>
    <row r="236" spans="1:11" x14ac:dyDescent="0.25">
      <c r="A236" t="s">
        <v>9</v>
      </c>
      <c r="B236" t="s">
        <v>272</v>
      </c>
      <c r="C236" t="s">
        <v>866</v>
      </c>
      <c r="D236" t="s">
        <v>11</v>
      </c>
      <c r="E236">
        <v>30</v>
      </c>
      <c r="F236" s="2">
        <f>DATE(2026,IF(Tabla1[[#This Row],[Mes de Fecha]]="Septiembre",9,10),Tabla1[[#This Row],[Día de Fecha]])</f>
        <v>46295</v>
      </c>
      <c r="G236">
        <v>1128050513</v>
      </c>
      <c r="H236" t="s">
        <v>274</v>
      </c>
      <c r="I236">
        <v>73</v>
      </c>
      <c r="J236">
        <v>0</v>
      </c>
      <c r="K236" s="1">
        <v>3746600</v>
      </c>
    </row>
    <row r="237" spans="1:11" x14ac:dyDescent="0.25">
      <c r="A237" t="s">
        <v>9</v>
      </c>
      <c r="B237" t="s">
        <v>272</v>
      </c>
      <c r="C237" t="s">
        <v>866</v>
      </c>
      <c r="D237" t="s">
        <v>14</v>
      </c>
      <c r="E237">
        <v>1</v>
      </c>
      <c r="F237" s="2">
        <f>DATE(2026,IF(Tabla1[[#This Row],[Mes de Fecha]]="Septiembre",9,10),Tabla1[[#This Row],[Día de Fecha]])</f>
        <v>46296</v>
      </c>
      <c r="I237">
        <v>0</v>
      </c>
      <c r="J237" s="1">
        <v>11334044</v>
      </c>
      <c r="K237">
        <v>0</v>
      </c>
    </row>
    <row r="238" spans="1:11" x14ac:dyDescent="0.25">
      <c r="A238" t="s">
        <v>9</v>
      </c>
      <c r="B238" t="s">
        <v>272</v>
      </c>
      <c r="C238" t="s">
        <v>866</v>
      </c>
      <c r="D238" t="s">
        <v>14</v>
      </c>
      <c r="E238">
        <v>1</v>
      </c>
      <c r="F238" s="2">
        <f>DATE(2026,IF(Tabla1[[#This Row],[Mes de Fecha]]="Septiembre",9,10),Tabla1[[#This Row],[Día de Fecha]])</f>
        <v>46296</v>
      </c>
      <c r="G238">
        <v>1047472890</v>
      </c>
      <c r="H238" t="s">
        <v>273</v>
      </c>
      <c r="I238">
        <v>59</v>
      </c>
      <c r="J238">
        <v>0</v>
      </c>
      <c r="K238" s="1">
        <v>3266307</v>
      </c>
    </row>
    <row r="239" spans="1:11" x14ac:dyDescent="0.25">
      <c r="A239" t="s">
        <v>9</v>
      </c>
      <c r="B239" t="s">
        <v>272</v>
      </c>
      <c r="C239" t="s">
        <v>866</v>
      </c>
      <c r="D239" t="s">
        <v>14</v>
      </c>
      <c r="E239">
        <v>1</v>
      </c>
      <c r="F239" s="2">
        <f>DATE(2026,IF(Tabla1[[#This Row],[Mes de Fecha]]="Septiembre",9,10),Tabla1[[#This Row],[Día de Fecha]])</f>
        <v>46296</v>
      </c>
      <c r="G239">
        <v>1128050513</v>
      </c>
      <c r="H239" t="s">
        <v>274</v>
      </c>
      <c r="I239">
        <v>85</v>
      </c>
      <c r="J239">
        <v>0</v>
      </c>
      <c r="K239" s="1">
        <v>4742023</v>
      </c>
    </row>
    <row r="240" spans="1:11" x14ac:dyDescent="0.25">
      <c r="A240" t="s">
        <v>9</v>
      </c>
      <c r="B240" t="s">
        <v>272</v>
      </c>
      <c r="C240" t="s">
        <v>866</v>
      </c>
      <c r="D240" t="s">
        <v>14</v>
      </c>
      <c r="E240">
        <v>1</v>
      </c>
      <c r="F240" s="2">
        <f>DATE(2026,IF(Tabla1[[#This Row],[Mes de Fecha]]="Septiembre",9,10),Tabla1[[#This Row],[Día de Fecha]])</f>
        <v>46296</v>
      </c>
      <c r="G240">
        <v>1143388884</v>
      </c>
      <c r="H240" t="s">
        <v>265</v>
      </c>
      <c r="I240">
        <v>-1</v>
      </c>
      <c r="J240">
        <v>0</v>
      </c>
      <c r="K240" s="1">
        <v>-117605</v>
      </c>
    </row>
    <row r="241" spans="1:11" x14ac:dyDescent="0.25">
      <c r="A241" t="s">
        <v>9</v>
      </c>
      <c r="B241" t="s">
        <v>272</v>
      </c>
      <c r="C241" t="s">
        <v>866</v>
      </c>
      <c r="D241" t="s">
        <v>14</v>
      </c>
      <c r="E241">
        <v>2</v>
      </c>
      <c r="F241" s="2">
        <f>DATE(2026,IF(Tabla1[[#This Row],[Mes de Fecha]]="Septiembre",9,10),Tabla1[[#This Row],[Día de Fecha]])</f>
        <v>46297</v>
      </c>
      <c r="I241">
        <v>0</v>
      </c>
      <c r="J241" s="1">
        <v>16753683</v>
      </c>
      <c r="K241">
        <v>0</v>
      </c>
    </row>
    <row r="242" spans="1:11" x14ac:dyDescent="0.25">
      <c r="A242" t="s">
        <v>9</v>
      </c>
      <c r="B242" t="s">
        <v>272</v>
      </c>
      <c r="C242" t="s">
        <v>866</v>
      </c>
      <c r="D242" t="s">
        <v>14</v>
      </c>
      <c r="E242">
        <v>2</v>
      </c>
      <c r="F242" s="2">
        <f>DATE(2026,IF(Tabla1[[#This Row],[Mes de Fecha]]="Septiembre",9,10),Tabla1[[#This Row],[Día de Fecha]])</f>
        <v>46297</v>
      </c>
      <c r="G242">
        <v>1047472890</v>
      </c>
      <c r="H242" t="s">
        <v>273</v>
      </c>
      <c r="I242">
        <v>115</v>
      </c>
      <c r="J242">
        <v>0</v>
      </c>
      <c r="K242" s="1">
        <v>6419209</v>
      </c>
    </row>
    <row r="243" spans="1:11" x14ac:dyDescent="0.25">
      <c r="A243" t="s">
        <v>9</v>
      </c>
      <c r="B243" t="s">
        <v>272</v>
      </c>
      <c r="C243" t="s">
        <v>866</v>
      </c>
      <c r="D243" t="s">
        <v>14</v>
      </c>
      <c r="E243">
        <v>2</v>
      </c>
      <c r="F243" s="2">
        <f>DATE(2026,IF(Tabla1[[#This Row],[Mes de Fecha]]="Septiembre",9,10),Tabla1[[#This Row],[Día de Fecha]])</f>
        <v>46297</v>
      </c>
      <c r="G243">
        <v>1128050513</v>
      </c>
      <c r="H243" t="s">
        <v>274</v>
      </c>
      <c r="I243">
        <v>91</v>
      </c>
      <c r="J243">
        <v>0</v>
      </c>
      <c r="K243" s="1">
        <v>5332185</v>
      </c>
    </row>
    <row r="244" spans="1:11" x14ac:dyDescent="0.25">
      <c r="A244" t="s">
        <v>9</v>
      </c>
      <c r="B244" t="s">
        <v>272</v>
      </c>
      <c r="C244" t="s">
        <v>866</v>
      </c>
      <c r="D244" t="s">
        <v>14</v>
      </c>
      <c r="E244">
        <v>3</v>
      </c>
      <c r="F244" s="2">
        <f>DATE(2026,IF(Tabla1[[#This Row],[Mes de Fecha]]="Septiembre",9,10),Tabla1[[#This Row],[Día de Fecha]])</f>
        <v>46298</v>
      </c>
      <c r="I244">
        <v>0</v>
      </c>
      <c r="J244" s="1">
        <v>24721406</v>
      </c>
      <c r="K244">
        <v>0</v>
      </c>
    </row>
    <row r="245" spans="1:11" x14ac:dyDescent="0.25">
      <c r="A245" t="s">
        <v>9</v>
      </c>
      <c r="B245" t="s">
        <v>272</v>
      </c>
      <c r="C245" t="s">
        <v>866</v>
      </c>
      <c r="D245" t="s">
        <v>14</v>
      </c>
      <c r="E245">
        <v>3</v>
      </c>
      <c r="F245" s="2">
        <f>DATE(2026,IF(Tabla1[[#This Row],[Mes de Fecha]]="Septiembre",9,10),Tabla1[[#This Row],[Día de Fecha]])</f>
        <v>46298</v>
      </c>
      <c r="G245">
        <v>1047472890</v>
      </c>
      <c r="H245" t="s">
        <v>273</v>
      </c>
      <c r="I245">
        <v>144</v>
      </c>
      <c r="J245">
        <v>0</v>
      </c>
      <c r="K245" s="1">
        <v>6427083</v>
      </c>
    </row>
    <row r="246" spans="1:11" x14ac:dyDescent="0.25">
      <c r="A246" t="s">
        <v>9</v>
      </c>
      <c r="B246" t="s">
        <v>272</v>
      </c>
      <c r="C246" t="s">
        <v>866</v>
      </c>
      <c r="D246" t="s">
        <v>14</v>
      </c>
      <c r="E246">
        <v>3</v>
      </c>
      <c r="F246" s="2">
        <f>DATE(2026,IF(Tabla1[[#This Row],[Mes de Fecha]]="Septiembre",9,10),Tabla1[[#This Row],[Día de Fecha]])</f>
        <v>46298</v>
      </c>
      <c r="G246">
        <v>1128050513</v>
      </c>
      <c r="H246" t="s">
        <v>274</v>
      </c>
      <c r="I246">
        <v>124</v>
      </c>
      <c r="J246">
        <v>0</v>
      </c>
      <c r="K246" s="1">
        <v>5896911</v>
      </c>
    </row>
    <row r="247" spans="1:11" x14ac:dyDescent="0.25">
      <c r="A247" t="s">
        <v>9</v>
      </c>
      <c r="B247" t="s">
        <v>272</v>
      </c>
      <c r="C247" t="s">
        <v>866</v>
      </c>
      <c r="D247" t="s">
        <v>14</v>
      </c>
      <c r="E247">
        <v>4</v>
      </c>
      <c r="F247" s="2">
        <f>DATE(2026,IF(Tabla1[[#This Row],[Mes de Fecha]]="Septiembre",9,10),Tabla1[[#This Row],[Día de Fecha]])</f>
        <v>46299</v>
      </c>
      <c r="I247">
        <v>0</v>
      </c>
      <c r="J247" s="1">
        <v>12481040</v>
      </c>
      <c r="K247">
        <v>0</v>
      </c>
    </row>
    <row r="248" spans="1:11" x14ac:dyDescent="0.25">
      <c r="A248" t="s">
        <v>9</v>
      </c>
      <c r="B248" t="s">
        <v>272</v>
      </c>
      <c r="C248" t="s">
        <v>866</v>
      </c>
      <c r="D248" t="s">
        <v>14</v>
      </c>
      <c r="E248">
        <v>4</v>
      </c>
      <c r="F248" s="2">
        <f>DATE(2026,IF(Tabla1[[#This Row],[Mes de Fecha]]="Septiembre",9,10),Tabla1[[#This Row],[Día de Fecha]])</f>
        <v>46299</v>
      </c>
      <c r="G248">
        <v>1047472890</v>
      </c>
      <c r="H248" t="s">
        <v>273</v>
      </c>
      <c r="I248">
        <v>98</v>
      </c>
      <c r="J248">
        <v>0</v>
      </c>
      <c r="K248" s="1">
        <v>5379796</v>
      </c>
    </row>
    <row r="249" spans="1:11" x14ac:dyDescent="0.25">
      <c r="A249" t="s">
        <v>9</v>
      </c>
      <c r="B249" t="s">
        <v>272</v>
      </c>
      <c r="C249" t="s">
        <v>866</v>
      </c>
      <c r="D249" t="s">
        <v>14</v>
      </c>
      <c r="E249">
        <v>4</v>
      </c>
      <c r="F249" s="2">
        <f>DATE(2026,IF(Tabla1[[#This Row],[Mes de Fecha]]="Septiembre",9,10),Tabla1[[#This Row],[Día de Fecha]])</f>
        <v>46299</v>
      </c>
      <c r="G249">
        <v>1128050513</v>
      </c>
      <c r="H249" t="s">
        <v>274</v>
      </c>
      <c r="I249">
        <v>94</v>
      </c>
      <c r="J249">
        <v>0</v>
      </c>
      <c r="K249" s="1">
        <v>4804120</v>
      </c>
    </row>
    <row r="250" spans="1:11" x14ac:dyDescent="0.25">
      <c r="A250" t="s">
        <v>9</v>
      </c>
      <c r="B250" t="s">
        <v>272</v>
      </c>
      <c r="C250" t="s">
        <v>866</v>
      </c>
      <c r="D250" t="s">
        <v>14</v>
      </c>
      <c r="E250">
        <v>5</v>
      </c>
      <c r="F250" s="2">
        <f>DATE(2026,IF(Tabla1[[#This Row],[Mes de Fecha]]="Septiembre",9,10),Tabla1[[#This Row],[Día de Fecha]])</f>
        <v>46300</v>
      </c>
      <c r="I250">
        <v>0</v>
      </c>
      <c r="J250" s="1">
        <v>5755099</v>
      </c>
      <c r="K250">
        <v>0</v>
      </c>
    </row>
    <row r="251" spans="1:11" x14ac:dyDescent="0.25">
      <c r="A251" t="s">
        <v>9</v>
      </c>
      <c r="B251" t="s">
        <v>272</v>
      </c>
      <c r="C251" t="s">
        <v>866</v>
      </c>
      <c r="D251" t="s">
        <v>14</v>
      </c>
      <c r="E251">
        <v>5</v>
      </c>
      <c r="F251" s="2">
        <f>DATE(2026,IF(Tabla1[[#This Row],[Mes de Fecha]]="Septiembre",9,10),Tabla1[[#This Row],[Día de Fecha]])</f>
        <v>46300</v>
      </c>
      <c r="G251">
        <v>1047472890</v>
      </c>
      <c r="H251" t="s">
        <v>273</v>
      </c>
      <c r="I251">
        <v>42</v>
      </c>
      <c r="J251">
        <v>0</v>
      </c>
      <c r="K251" s="1">
        <v>2481262</v>
      </c>
    </row>
    <row r="252" spans="1:11" x14ac:dyDescent="0.25">
      <c r="A252" t="s">
        <v>9</v>
      </c>
      <c r="B252" t="s">
        <v>272</v>
      </c>
      <c r="C252" t="s">
        <v>866</v>
      </c>
      <c r="D252" t="s">
        <v>14</v>
      </c>
      <c r="E252">
        <v>5</v>
      </c>
      <c r="F252" s="2">
        <f>DATE(2026,IF(Tabla1[[#This Row],[Mes de Fecha]]="Septiembre",9,10),Tabla1[[#This Row],[Día de Fecha]])</f>
        <v>46300</v>
      </c>
      <c r="G252">
        <v>1128050513</v>
      </c>
      <c r="H252" t="s">
        <v>274</v>
      </c>
      <c r="I252">
        <v>47</v>
      </c>
      <c r="J252">
        <v>0</v>
      </c>
      <c r="K252" s="1">
        <v>2691179</v>
      </c>
    </row>
    <row r="253" spans="1:11" x14ac:dyDescent="0.25">
      <c r="A253" t="s">
        <v>9</v>
      </c>
      <c r="B253" t="s">
        <v>272</v>
      </c>
      <c r="C253" t="s">
        <v>866</v>
      </c>
      <c r="D253" t="s">
        <v>14</v>
      </c>
      <c r="E253">
        <v>6</v>
      </c>
      <c r="F253" s="2">
        <f>DATE(2026,IF(Tabla1[[#This Row],[Mes de Fecha]]="Septiembre",9,10),Tabla1[[#This Row],[Día de Fecha]])</f>
        <v>46301</v>
      </c>
      <c r="I253">
        <v>0</v>
      </c>
      <c r="J253" s="1">
        <v>5891905</v>
      </c>
      <c r="K253">
        <v>0</v>
      </c>
    </row>
    <row r="254" spans="1:11" x14ac:dyDescent="0.25">
      <c r="A254" t="s">
        <v>9</v>
      </c>
      <c r="B254" t="s">
        <v>272</v>
      </c>
      <c r="C254" t="s">
        <v>866</v>
      </c>
      <c r="D254" t="s">
        <v>14</v>
      </c>
      <c r="E254">
        <v>6</v>
      </c>
      <c r="F254" s="2">
        <f>DATE(2026,IF(Tabla1[[#This Row],[Mes de Fecha]]="Septiembre",9,10),Tabla1[[#This Row],[Día de Fecha]])</f>
        <v>46301</v>
      </c>
      <c r="G254">
        <v>1047472890</v>
      </c>
      <c r="H254" t="s">
        <v>273</v>
      </c>
      <c r="I254">
        <v>28</v>
      </c>
      <c r="J254">
        <v>0</v>
      </c>
      <c r="K254" s="1">
        <v>1341011</v>
      </c>
    </row>
    <row r="255" spans="1:11" x14ac:dyDescent="0.25">
      <c r="A255" t="s">
        <v>9</v>
      </c>
      <c r="B255" t="s">
        <v>272</v>
      </c>
      <c r="C255" t="s">
        <v>866</v>
      </c>
      <c r="D255" t="s">
        <v>14</v>
      </c>
      <c r="E255">
        <v>6</v>
      </c>
      <c r="F255" s="2">
        <f>DATE(2026,IF(Tabla1[[#This Row],[Mes de Fecha]]="Septiembre",9,10),Tabla1[[#This Row],[Día de Fecha]])</f>
        <v>46301</v>
      </c>
      <c r="G255">
        <v>1128050513</v>
      </c>
      <c r="H255" t="s">
        <v>274</v>
      </c>
      <c r="I255">
        <v>39</v>
      </c>
      <c r="J255">
        <v>0</v>
      </c>
      <c r="K255" s="1">
        <v>1485000</v>
      </c>
    </row>
    <row r="256" spans="1:11" x14ac:dyDescent="0.25">
      <c r="A256" t="s">
        <v>9</v>
      </c>
      <c r="B256" t="s">
        <v>272</v>
      </c>
      <c r="C256" t="s">
        <v>866</v>
      </c>
      <c r="D256" t="s">
        <v>14</v>
      </c>
      <c r="E256">
        <v>7</v>
      </c>
      <c r="F256" s="2">
        <f>DATE(2026,IF(Tabla1[[#This Row],[Mes de Fecha]]="Septiembre",9,10),Tabla1[[#This Row],[Día de Fecha]])</f>
        <v>46302</v>
      </c>
      <c r="I256">
        <v>0</v>
      </c>
      <c r="J256" s="1">
        <v>3997571</v>
      </c>
      <c r="K256">
        <v>0</v>
      </c>
    </row>
    <row r="257" spans="1:11" x14ac:dyDescent="0.25">
      <c r="A257" t="s">
        <v>9</v>
      </c>
      <c r="B257" t="s">
        <v>272</v>
      </c>
      <c r="C257" t="s">
        <v>866</v>
      </c>
      <c r="D257" t="s">
        <v>14</v>
      </c>
      <c r="E257">
        <v>7</v>
      </c>
      <c r="F257" s="2">
        <f>DATE(2026,IF(Tabla1[[#This Row],[Mes de Fecha]]="Septiembre",9,10),Tabla1[[#This Row],[Día de Fecha]])</f>
        <v>46302</v>
      </c>
      <c r="G257">
        <v>1047472890</v>
      </c>
      <c r="H257" t="s">
        <v>273</v>
      </c>
      <c r="I257">
        <v>25</v>
      </c>
      <c r="J257">
        <v>0</v>
      </c>
      <c r="K257" s="1">
        <v>1200254</v>
      </c>
    </row>
    <row r="258" spans="1:11" x14ac:dyDescent="0.25">
      <c r="A258" t="s">
        <v>9</v>
      </c>
      <c r="B258" t="s">
        <v>272</v>
      </c>
      <c r="C258" t="s">
        <v>866</v>
      </c>
      <c r="D258" t="s">
        <v>14</v>
      </c>
      <c r="E258">
        <v>7</v>
      </c>
      <c r="F258" s="2">
        <f>DATE(2026,IF(Tabla1[[#This Row],[Mes de Fecha]]="Septiembre",9,10),Tabla1[[#This Row],[Día de Fecha]])</f>
        <v>46302</v>
      </c>
      <c r="G258">
        <v>1128050513</v>
      </c>
      <c r="H258" t="s">
        <v>274</v>
      </c>
      <c r="I258">
        <v>27</v>
      </c>
      <c r="J258">
        <v>0</v>
      </c>
      <c r="K258" s="1">
        <v>1254836</v>
      </c>
    </row>
    <row r="259" spans="1:11" x14ac:dyDescent="0.25">
      <c r="A259" t="s">
        <v>9</v>
      </c>
      <c r="B259" t="s">
        <v>283</v>
      </c>
      <c r="C259" t="s">
        <v>866</v>
      </c>
      <c r="D259" t="s">
        <v>11</v>
      </c>
      <c r="E259">
        <v>23</v>
      </c>
      <c r="F259" s="2">
        <f>DATE(2026,IF(Tabla1[[#This Row],[Mes de Fecha]]="Septiembre",9,10),Tabla1[[#This Row],[Día de Fecha]])</f>
        <v>46288</v>
      </c>
      <c r="I259">
        <v>0</v>
      </c>
      <c r="J259" s="1">
        <v>1254447</v>
      </c>
      <c r="K259">
        <v>0</v>
      </c>
    </row>
    <row r="260" spans="1:11" x14ac:dyDescent="0.25">
      <c r="A260" t="s">
        <v>9</v>
      </c>
      <c r="B260" t="s">
        <v>283</v>
      </c>
      <c r="C260" t="s">
        <v>866</v>
      </c>
      <c r="D260" t="s">
        <v>11</v>
      </c>
      <c r="E260">
        <v>23</v>
      </c>
      <c r="F260" s="2">
        <f>DATE(2026,IF(Tabla1[[#This Row],[Mes de Fecha]]="Septiembre",9,10),Tabla1[[#This Row],[Día de Fecha]])</f>
        <v>46288</v>
      </c>
      <c r="G260">
        <v>68291425</v>
      </c>
      <c r="H260" t="s">
        <v>284</v>
      </c>
      <c r="I260">
        <v>31</v>
      </c>
      <c r="J260">
        <v>0</v>
      </c>
      <c r="K260" s="1">
        <v>1607901</v>
      </c>
    </row>
    <row r="261" spans="1:11" x14ac:dyDescent="0.25">
      <c r="A261" t="s">
        <v>9</v>
      </c>
      <c r="B261" t="s">
        <v>283</v>
      </c>
      <c r="C261" t="s">
        <v>866</v>
      </c>
      <c r="D261" t="s">
        <v>11</v>
      </c>
      <c r="E261">
        <v>23</v>
      </c>
      <c r="F261" s="2">
        <f>DATE(2026,IF(Tabla1[[#This Row],[Mes de Fecha]]="Septiembre",9,10),Tabla1[[#This Row],[Día de Fecha]])</f>
        <v>46288</v>
      </c>
      <c r="G261">
        <v>1065009482</v>
      </c>
      <c r="H261" t="s">
        <v>285</v>
      </c>
      <c r="I261">
        <v>17</v>
      </c>
      <c r="J261">
        <v>0</v>
      </c>
      <c r="K261" s="1">
        <v>971891</v>
      </c>
    </row>
    <row r="262" spans="1:11" x14ac:dyDescent="0.25">
      <c r="A262" t="s">
        <v>9</v>
      </c>
      <c r="B262" t="s">
        <v>283</v>
      </c>
      <c r="C262" t="s">
        <v>866</v>
      </c>
      <c r="D262" t="s">
        <v>11</v>
      </c>
      <c r="E262">
        <v>23</v>
      </c>
      <c r="F262" s="2">
        <f>DATE(2026,IF(Tabla1[[#This Row],[Mes de Fecha]]="Septiembre",9,10),Tabla1[[#This Row],[Día de Fecha]])</f>
        <v>46288</v>
      </c>
      <c r="G262">
        <v>1193105936</v>
      </c>
      <c r="H262" t="s">
        <v>236</v>
      </c>
      <c r="I262">
        <v>12</v>
      </c>
      <c r="J262">
        <v>0</v>
      </c>
      <c r="K262" s="1">
        <v>688570</v>
      </c>
    </row>
    <row r="263" spans="1:11" x14ac:dyDescent="0.25">
      <c r="A263" t="s">
        <v>9</v>
      </c>
      <c r="B263" t="s">
        <v>283</v>
      </c>
      <c r="C263" t="s">
        <v>866</v>
      </c>
      <c r="D263" t="s">
        <v>11</v>
      </c>
      <c r="E263">
        <v>24</v>
      </c>
      <c r="F263" s="2">
        <f>DATE(2026,IF(Tabla1[[#This Row],[Mes de Fecha]]="Septiembre",9,10),Tabla1[[#This Row],[Día de Fecha]])</f>
        <v>46289</v>
      </c>
      <c r="I263">
        <v>0</v>
      </c>
      <c r="J263" s="1">
        <v>3244243</v>
      </c>
      <c r="K263">
        <v>0</v>
      </c>
    </row>
    <row r="264" spans="1:11" x14ac:dyDescent="0.25">
      <c r="A264" t="s">
        <v>9</v>
      </c>
      <c r="B264" t="s">
        <v>283</v>
      </c>
      <c r="C264" t="s">
        <v>866</v>
      </c>
      <c r="D264" t="s">
        <v>11</v>
      </c>
      <c r="E264">
        <v>24</v>
      </c>
      <c r="F264" s="2">
        <f>DATE(2026,IF(Tabla1[[#This Row],[Mes de Fecha]]="Septiembre",9,10),Tabla1[[#This Row],[Día de Fecha]])</f>
        <v>46289</v>
      </c>
      <c r="G264">
        <v>68291425</v>
      </c>
      <c r="H264" t="s">
        <v>284</v>
      </c>
      <c r="I264">
        <v>52</v>
      </c>
      <c r="J264">
        <v>0</v>
      </c>
      <c r="K264" s="1">
        <v>2733075</v>
      </c>
    </row>
    <row r="265" spans="1:11" x14ac:dyDescent="0.25">
      <c r="A265" t="s">
        <v>9</v>
      </c>
      <c r="B265" t="s">
        <v>283</v>
      </c>
      <c r="C265" t="s">
        <v>866</v>
      </c>
      <c r="D265" t="s">
        <v>11</v>
      </c>
      <c r="E265">
        <v>24</v>
      </c>
      <c r="F265" s="2">
        <f>DATE(2026,IF(Tabla1[[#This Row],[Mes de Fecha]]="Septiembre",9,10),Tabla1[[#This Row],[Día de Fecha]])</f>
        <v>46289</v>
      </c>
      <c r="G265">
        <v>1065009482</v>
      </c>
      <c r="H265" t="s">
        <v>285</v>
      </c>
      <c r="I265">
        <v>15</v>
      </c>
      <c r="J265">
        <v>0</v>
      </c>
      <c r="K265" s="1">
        <v>953154</v>
      </c>
    </row>
    <row r="266" spans="1:11" x14ac:dyDescent="0.25">
      <c r="A266" t="s">
        <v>9</v>
      </c>
      <c r="B266" t="s">
        <v>283</v>
      </c>
      <c r="C266" t="s">
        <v>866</v>
      </c>
      <c r="D266" t="s">
        <v>11</v>
      </c>
      <c r="E266">
        <v>24</v>
      </c>
      <c r="F266" s="2">
        <f>DATE(2026,IF(Tabla1[[#This Row],[Mes de Fecha]]="Septiembre",9,10),Tabla1[[#This Row],[Día de Fecha]])</f>
        <v>46289</v>
      </c>
      <c r="G266">
        <v>1193105936</v>
      </c>
      <c r="H266" t="s">
        <v>236</v>
      </c>
      <c r="I266">
        <v>23</v>
      </c>
      <c r="J266">
        <v>0</v>
      </c>
      <c r="K266" s="1">
        <v>1337270</v>
      </c>
    </row>
    <row r="267" spans="1:11" x14ac:dyDescent="0.25">
      <c r="A267" t="s">
        <v>9</v>
      </c>
      <c r="B267" t="s">
        <v>283</v>
      </c>
      <c r="C267" t="s">
        <v>866</v>
      </c>
      <c r="D267" t="s">
        <v>11</v>
      </c>
      <c r="E267">
        <v>25</v>
      </c>
      <c r="F267" s="2">
        <f>DATE(2026,IF(Tabla1[[#This Row],[Mes de Fecha]]="Septiembre",9,10),Tabla1[[#This Row],[Día de Fecha]])</f>
        <v>46290</v>
      </c>
      <c r="I267">
        <v>0</v>
      </c>
      <c r="J267" s="1">
        <v>3465029</v>
      </c>
      <c r="K267">
        <v>0</v>
      </c>
    </row>
    <row r="268" spans="1:11" x14ac:dyDescent="0.25">
      <c r="A268" t="s">
        <v>9</v>
      </c>
      <c r="B268" t="s">
        <v>283</v>
      </c>
      <c r="C268" t="s">
        <v>866</v>
      </c>
      <c r="D268" t="s">
        <v>11</v>
      </c>
      <c r="E268">
        <v>25</v>
      </c>
      <c r="F268" s="2">
        <f>DATE(2026,IF(Tabla1[[#This Row],[Mes de Fecha]]="Septiembre",9,10),Tabla1[[#This Row],[Día de Fecha]])</f>
        <v>46290</v>
      </c>
      <c r="G268">
        <v>68291425</v>
      </c>
      <c r="H268" t="s">
        <v>284</v>
      </c>
      <c r="I268">
        <v>27</v>
      </c>
      <c r="J268">
        <v>0</v>
      </c>
      <c r="K268" s="1">
        <v>1227860</v>
      </c>
    </row>
    <row r="269" spans="1:11" x14ac:dyDescent="0.25">
      <c r="A269" t="s">
        <v>9</v>
      </c>
      <c r="B269" t="s">
        <v>283</v>
      </c>
      <c r="C269" t="s">
        <v>866</v>
      </c>
      <c r="D269" t="s">
        <v>11</v>
      </c>
      <c r="E269">
        <v>25</v>
      </c>
      <c r="F269" s="2">
        <f>DATE(2026,IF(Tabla1[[#This Row],[Mes de Fecha]]="Septiembre",9,10),Tabla1[[#This Row],[Día de Fecha]])</f>
        <v>46290</v>
      </c>
      <c r="G269">
        <v>1065009482</v>
      </c>
      <c r="H269" t="s">
        <v>285</v>
      </c>
      <c r="I269">
        <v>12</v>
      </c>
      <c r="J269">
        <v>0</v>
      </c>
      <c r="K269" s="1">
        <v>621346</v>
      </c>
    </row>
    <row r="270" spans="1:11" x14ac:dyDescent="0.25">
      <c r="A270" t="s">
        <v>9</v>
      </c>
      <c r="B270" t="s">
        <v>283</v>
      </c>
      <c r="C270" t="s">
        <v>866</v>
      </c>
      <c r="D270" t="s">
        <v>11</v>
      </c>
      <c r="E270">
        <v>25</v>
      </c>
      <c r="F270" s="2">
        <f>DATE(2026,IF(Tabla1[[#This Row],[Mes de Fecha]]="Septiembre",9,10),Tabla1[[#This Row],[Día de Fecha]])</f>
        <v>46290</v>
      </c>
      <c r="G270">
        <v>1193105936</v>
      </c>
      <c r="H270" t="s">
        <v>236</v>
      </c>
      <c r="I270">
        <v>14</v>
      </c>
      <c r="J270">
        <v>0</v>
      </c>
      <c r="K270" s="1">
        <v>881767</v>
      </c>
    </row>
    <row r="271" spans="1:11" x14ac:dyDescent="0.25">
      <c r="A271" t="s">
        <v>9</v>
      </c>
      <c r="B271" t="s">
        <v>283</v>
      </c>
      <c r="C271" t="s">
        <v>866</v>
      </c>
      <c r="D271" t="s">
        <v>11</v>
      </c>
      <c r="E271">
        <v>26</v>
      </c>
      <c r="F271" s="2">
        <f>DATE(2026,IF(Tabla1[[#This Row],[Mes de Fecha]]="Septiembre",9,10),Tabla1[[#This Row],[Día de Fecha]])</f>
        <v>46291</v>
      </c>
      <c r="I271">
        <v>0</v>
      </c>
      <c r="J271" s="1">
        <v>4369317</v>
      </c>
      <c r="K271">
        <v>0</v>
      </c>
    </row>
    <row r="272" spans="1:11" x14ac:dyDescent="0.25">
      <c r="A272" t="s">
        <v>9</v>
      </c>
      <c r="B272" t="s">
        <v>283</v>
      </c>
      <c r="C272" t="s">
        <v>866</v>
      </c>
      <c r="D272" t="s">
        <v>11</v>
      </c>
      <c r="E272">
        <v>26</v>
      </c>
      <c r="F272" s="2">
        <f>DATE(2026,IF(Tabla1[[#This Row],[Mes de Fecha]]="Septiembre",9,10),Tabla1[[#This Row],[Día de Fecha]])</f>
        <v>46291</v>
      </c>
      <c r="G272">
        <v>68291425</v>
      </c>
      <c r="H272" t="s">
        <v>284</v>
      </c>
      <c r="I272">
        <v>62</v>
      </c>
      <c r="J272">
        <v>0</v>
      </c>
      <c r="K272" s="1">
        <v>3173868</v>
      </c>
    </row>
    <row r="273" spans="1:11" x14ac:dyDescent="0.25">
      <c r="A273" t="s">
        <v>9</v>
      </c>
      <c r="B273" t="s">
        <v>283</v>
      </c>
      <c r="C273" t="s">
        <v>866</v>
      </c>
      <c r="D273" t="s">
        <v>11</v>
      </c>
      <c r="E273">
        <v>26</v>
      </c>
      <c r="F273" s="2">
        <f>DATE(2026,IF(Tabla1[[#This Row],[Mes de Fecha]]="Septiembre",9,10),Tabla1[[#This Row],[Día de Fecha]])</f>
        <v>46291</v>
      </c>
      <c r="G273">
        <v>1065009482</v>
      </c>
      <c r="H273" t="s">
        <v>285</v>
      </c>
      <c r="I273">
        <v>36</v>
      </c>
      <c r="J273">
        <v>0</v>
      </c>
      <c r="K273" s="1">
        <v>1895549</v>
      </c>
    </row>
    <row r="274" spans="1:11" x14ac:dyDescent="0.25">
      <c r="A274" t="s">
        <v>9</v>
      </c>
      <c r="B274" t="s">
        <v>283</v>
      </c>
      <c r="C274" t="s">
        <v>866</v>
      </c>
      <c r="D274" t="s">
        <v>11</v>
      </c>
      <c r="E274">
        <v>26</v>
      </c>
      <c r="F274" s="2">
        <f>DATE(2026,IF(Tabla1[[#This Row],[Mes de Fecha]]="Septiembre",9,10),Tabla1[[#This Row],[Día de Fecha]])</f>
        <v>46291</v>
      </c>
      <c r="G274">
        <v>1193105936</v>
      </c>
      <c r="H274" t="s">
        <v>236</v>
      </c>
      <c r="I274">
        <v>38</v>
      </c>
      <c r="J274">
        <v>0</v>
      </c>
      <c r="K274" s="1">
        <v>1994206</v>
      </c>
    </row>
    <row r="275" spans="1:11" x14ac:dyDescent="0.25">
      <c r="A275" t="s">
        <v>9</v>
      </c>
      <c r="B275" t="s">
        <v>283</v>
      </c>
      <c r="C275" t="s">
        <v>866</v>
      </c>
      <c r="D275" t="s">
        <v>11</v>
      </c>
      <c r="E275">
        <v>27</v>
      </c>
      <c r="F275" s="2">
        <f>DATE(2026,IF(Tabla1[[#This Row],[Mes de Fecha]]="Septiembre",9,10),Tabla1[[#This Row],[Día de Fecha]])</f>
        <v>46292</v>
      </c>
      <c r="I275">
        <v>0</v>
      </c>
      <c r="J275" s="1">
        <v>2306957</v>
      </c>
      <c r="K275">
        <v>0</v>
      </c>
    </row>
    <row r="276" spans="1:11" x14ac:dyDescent="0.25">
      <c r="A276" t="s">
        <v>9</v>
      </c>
      <c r="B276" t="s">
        <v>283</v>
      </c>
      <c r="C276" t="s">
        <v>866</v>
      </c>
      <c r="D276" t="s">
        <v>11</v>
      </c>
      <c r="E276">
        <v>27</v>
      </c>
      <c r="F276" s="2">
        <f>DATE(2026,IF(Tabla1[[#This Row],[Mes de Fecha]]="Septiembre",9,10),Tabla1[[#This Row],[Día de Fecha]])</f>
        <v>46292</v>
      </c>
      <c r="G276">
        <v>68291425</v>
      </c>
      <c r="H276" t="s">
        <v>284</v>
      </c>
      <c r="I276">
        <v>3</v>
      </c>
      <c r="J276">
        <v>0</v>
      </c>
      <c r="K276" s="1">
        <v>104916</v>
      </c>
    </row>
    <row r="277" spans="1:11" x14ac:dyDescent="0.25">
      <c r="A277" t="s">
        <v>9</v>
      </c>
      <c r="B277" t="s">
        <v>283</v>
      </c>
      <c r="C277" t="s">
        <v>866</v>
      </c>
      <c r="D277" t="s">
        <v>11</v>
      </c>
      <c r="E277">
        <v>27</v>
      </c>
      <c r="F277" s="2">
        <f>DATE(2026,IF(Tabla1[[#This Row],[Mes de Fecha]]="Septiembre",9,10),Tabla1[[#This Row],[Día de Fecha]])</f>
        <v>46292</v>
      </c>
      <c r="G277">
        <v>1065009482</v>
      </c>
      <c r="H277" t="s">
        <v>285</v>
      </c>
      <c r="I277">
        <v>2</v>
      </c>
      <c r="J277">
        <v>0</v>
      </c>
      <c r="K277" s="1">
        <v>121765</v>
      </c>
    </row>
    <row r="278" spans="1:11" x14ac:dyDescent="0.25">
      <c r="A278" t="s">
        <v>9</v>
      </c>
      <c r="B278" t="s">
        <v>283</v>
      </c>
      <c r="C278" t="s">
        <v>866</v>
      </c>
      <c r="D278" t="s">
        <v>11</v>
      </c>
      <c r="E278">
        <v>27</v>
      </c>
      <c r="F278" s="2">
        <f>DATE(2026,IF(Tabla1[[#This Row],[Mes de Fecha]]="Septiembre",9,10),Tabla1[[#This Row],[Día de Fecha]])</f>
        <v>46292</v>
      </c>
      <c r="G278">
        <v>1193105936</v>
      </c>
      <c r="H278" t="s">
        <v>236</v>
      </c>
      <c r="I278">
        <v>1</v>
      </c>
      <c r="J278">
        <v>0</v>
      </c>
      <c r="K278" s="1">
        <v>46177</v>
      </c>
    </row>
    <row r="279" spans="1:11" x14ac:dyDescent="0.25">
      <c r="A279" t="s">
        <v>9</v>
      </c>
      <c r="B279" t="s">
        <v>283</v>
      </c>
      <c r="C279" t="s">
        <v>866</v>
      </c>
      <c r="D279" t="s">
        <v>11</v>
      </c>
      <c r="E279">
        <v>28</v>
      </c>
      <c r="F279" s="2">
        <f>DATE(2026,IF(Tabla1[[#This Row],[Mes de Fecha]]="Septiembre",9,10),Tabla1[[#This Row],[Día de Fecha]])</f>
        <v>46293</v>
      </c>
      <c r="I279">
        <v>0</v>
      </c>
      <c r="J279" s="1">
        <v>1891452</v>
      </c>
      <c r="K279">
        <v>0</v>
      </c>
    </row>
    <row r="280" spans="1:11" x14ac:dyDescent="0.25">
      <c r="A280" t="s">
        <v>9</v>
      </c>
      <c r="B280" t="s">
        <v>283</v>
      </c>
      <c r="C280" t="s">
        <v>866</v>
      </c>
      <c r="D280" t="s">
        <v>11</v>
      </c>
      <c r="E280">
        <v>28</v>
      </c>
      <c r="F280" s="2">
        <f>DATE(2026,IF(Tabla1[[#This Row],[Mes de Fecha]]="Septiembre",9,10),Tabla1[[#This Row],[Día de Fecha]])</f>
        <v>46293</v>
      </c>
      <c r="G280">
        <v>1065009482</v>
      </c>
      <c r="H280" t="s">
        <v>285</v>
      </c>
      <c r="I280">
        <v>22</v>
      </c>
      <c r="J280">
        <v>0</v>
      </c>
      <c r="K280" s="1">
        <v>1028277</v>
      </c>
    </row>
    <row r="281" spans="1:11" x14ac:dyDescent="0.25">
      <c r="A281" t="s">
        <v>9</v>
      </c>
      <c r="B281" t="s">
        <v>283</v>
      </c>
      <c r="C281" t="s">
        <v>866</v>
      </c>
      <c r="D281" t="s">
        <v>11</v>
      </c>
      <c r="E281">
        <v>28</v>
      </c>
      <c r="F281" s="2">
        <f>DATE(2026,IF(Tabla1[[#This Row],[Mes de Fecha]]="Septiembre",9,10),Tabla1[[#This Row],[Día de Fecha]])</f>
        <v>46293</v>
      </c>
      <c r="G281">
        <v>1193105936</v>
      </c>
      <c r="H281" t="s">
        <v>236</v>
      </c>
      <c r="I281">
        <v>23</v>
      </c>
      <c r="J281">
        <v>0</v>
      </c>
      <c r="K281" s="1">
        <v>1377189</v>
      </c>
    </row>
    <row r="282" spans="1:11" x14ac:dyDescent="0.25">
      <c r="A282" t="s">
        <v>9</v>
      </c>
      <c r="B282" t="s">
        <v>283</v>
      </c>
      <c r="C282" t="s">
        <v>866</v>
      </c>
      <c r="D282" t="s">
        <v>11</v>
      </c>
      <c r="E282">
        <v>29</v>
      </c>
      <c r="F282" s="2">
        <f>DATE(2026,IF(Tabla1[[#This Row],[Mes de Fecha]]="Septiembre",9,10),Tabla1[[#This Row],[Día de Fecha]])</f>
        <v>46294</v>
      </c>
      <c r="I282">
        <v>0</v>
      </c>
      <c r="J282" s="1">
        <v>2102737</v>
      </c>
      <c r="K282">
        <v>0</v>
      </c>
    </row>
    <row r="283" spans="1:11" x14ac:dyDescent="0.25">
      <c r="A283" t="s">
        <v>9</v>
      </c>
      <c r="B283" t="s">
        <v>283</v>
      </c>
      <c r="C283" t="s">
        <v>866</v>
      </c>
      <c r="D283" t="s">
        <v>11</v>
      </c>
      <c r="E283">
        <v>29</v>
      </c>
      <c r="F283" s="2">
        <f>DATE(2026,IF(Tabla1[[#This Row],[Mes de Fecha]]="Septiembre",9,10),Tabla1[[#This Row],[Día de Fecha]])</f>
        <v>46294</v>
      </c>
      <c r="G283">
        <v>68291425</v>
      </c>
      <c r="H283" t="s">
        <v>284</v>
      </c>
      <c r="I283">
        <v>38</v>
      </c>
      <c r="J283">
        <v>0</v>
      </c>
      <c r="K283" s="1">
        <v>2120086</v>
      </c>
    </row>
    <row r="284" spans="1:11" x14ac:dyDescent="0.25">
      <c r="A284" t="s">
        <v>9</v>
      </c>
      <c r="B284" t="s">
        <v>283</v>
      </c>
      <c r="C284" t="s">
        <v>866</v>
      </c>
      <c r="D284" t="s">
        <v>11</v>
      </c>
      <c r="E284">
        <v>29</v>
      </c>
      <c r="F284" s="2">
        <f>DATE(2026,IF(Tabla1[[#This Row],[Mes de Fecha]]="Septiembre",9,10),Tabla1[[#This Row],[Día de Fecha]])</f>
        <v>46294</v>
      </c>
      <c r="G284">
        <v>1193105936</v>
      </c>
      <c r="H284" t="s">
        <v>236</v>
      </c>
      <c r="I284">
        <v>39</v>
      </c>
      <c r="J284">
        <v>0</v>
      </c>
      <c r="K284" s="1">
        <v>1598952</v>
      </c>
    </row>
    <row r="285" spans="1:11" x14ac:dyDescent="0.25">
      <c r="A285" t="s">
        <v>9</v>
      </c>
      <c r="B285" t="s">
        <v>283</v>
      </c>
      <c r="C285" t="s">
        <v>866</v>
      </c>
      <c r="D285" t="s">
        <v>11</v>
      </c>
      <c r="E285">
        <v>30</v>
      </c>
      <c r="F285" s="2">
        <f>DATE(2026,IF(Tabla1[[#This Row],[Mes de Fecha]]="Septiembre",9,10),Tabla1[[#This Row],[Día de Fecha]])</f>
        <v>46295</v>
      </c>
      <c r="I285">
        <v>0</v>
      </c>
      <c r="J285" s="1">
        <v>2226867</v>
      </c>
      <c r="K285">
        <v>0</v>
      </c>
    </row>
    <row r="286" spans="1:11" x14ac:dyDescent="0.25">
      <c r="A286" t="s">
        <v>9</v>
      </c>
      <c r="B286" t="s">
        <v>283</v>
      </c>
      <c r="C286" t="s">
        <v>866</v>
      </c>
      <c r="D286" t="s">
        <v>11</v>
      </c>
      <c r="E286">
        <v>30</v>
      </c>
      <c r="F286" s="2">
        <f>DATE(2026,IF(Tabla1[[#This Row],[Mes de Fecha]]="Septiembre",9,10),Tabla1[[#This Row],[Día de Fecha]])</f>
        <v>46295</v>
      </c>
      <c r="G286">
        <v>68291425</v>
      </c>
      <c r="H286" t="s">
        <v>284</v>
      </c>
      <c r="I286">
        <v>40</v>
      </c>
      <c r="J286">
        <v>0</v>
      </c>
      <c r="K286" s="1">
        <v>1935085</v>
      </c>
    </row>
    <row r="287" spans="1:11" x14ac:dyDescent="0.25">
      <c r="A287" t="s">
        <v>9</v>
      </c>
      <c r="B287" t="s">
        <v>283</v>
      </c>
      <c r="C287" t="s">
        <v>866</v>
      </c>
      <c r="D287" t="s">
        <v>11</v>
      </c>
      <c r="E287">
        <v>30</v>
      </c>
      <c r="F287" s="2">
        <f>DATE(2026,IF(Tabla1[[#This Row],[Mes de Fecha]]="Septiembre",9,10),Tabla1[[#This Row],[Día de Fecha]])</f>
        <v>46295</v>
      </c>
      <c r="G287">
        <v>1065009482</v>
      </c>
      <c r="H287" t="s">
        <v>285</v>
      </c>
      <c r="I287">
        <v>24</v>
      </c>
      <c r="J287">
        <v>0</v>
      </c>
      <c r="K287" s="1">
        <v>1259414</v>
      </c>
    </row>
    <row r="288" spans="1:11" x14ac:dyDescent="0.25">
      <c r="A288" t="s">
        <v>9</v>
      </c>
      <c r="B288" t="s">
        <v>283</v>
      </c>
      <c r="C288" t="s">
        <v>866</v>
      </c>
      <c r="D288" t="s">
        <v>11</v>
      </c>
      <c r="E288">
        <v>30</v>
      </c>
      <c r="F288" s="2">
        <f>DATE(2026,IF(Tabla1[[#This Row],[Mes de Fecha]]="Septiembre",9,10),Tabla1[[#This Row],[Día de Fecha]])</f>
        <v>46295</v>
      </c>
      <c r="G288">
        <v>1193105936</v>
      </c>
      <c r="H288" t="s">
        <v>236</v>
      </c>
      <c r="I288">
        <v>28</v>
      </c>
      <c r="J288">
        <v>0</v>
      </c>
      <c r="K288" s="1">
        <v>1162566</v>
      </c>
    </row>
    <row r="289" spans="1:11" x14ac:dyDescent="0.25">
      <c r="A289" t="s">
        <v>9</v>
      </c>
      <c r="B289" t="s">
        <v>283</v>
      </c>
      <c r="C289" t="s">
        <v>866</v>
      </c>
      <c r="D289" t="s">
        <v>14</v>
      </c>
      <c r="E289">
        <v>1</v>
      </c>
      <c r="F289" s="2">
        <f>DATE(2026,IF(Tabla1[[#This Row],[Mes de Fecha]]="Septiembre",9,10),Tabla1[[#This Row],[Día de Fecha]])</f>
        <v>46296</v>
      </c>
      <c r="I289">
        <v>0</v>
      </c>
      <c r="J289" s="1">
        <v>4366234</v>
      </c>
      <c r="K289">
        <v>0</v>
      </c>
    </row>
    <row r="290" spans="1:11" x14ac:dyDescent="0.25">
      <c r="A290" t="s">
        <v>9</v>
      </c>
      <c r="B290" t="s">
        <v>283</v>
      </c>
      <c r="C290" t="s">
        <v>866</v>
      </c>
      <c r="D290" t="s">
        <v>14</v>
      </c>
      <c r="E290">
        <v>1</v>
      </c>
      <c r="F290" s="2">
        <f>DATE(2026,IF(Tabla1[[#This Row],[Mes de Fecha]]="Septiembre",9,10),Tabla1[[#This Row],[Día de Fecha]])</f>
        <v>46296</v>
      </c>
      <c r="G290">
        <v>68291425</v>
      </c>
      <c r="H290" t="s">
        <v>284</v>
      </c>
      <c r="I290">
        <v>27</v>
      </c>
      <c r="J290">
        <v>0</v>
      </c>
      <c r="K290" s="1">
        <v>1440002</v>
      </c>
    </row>
    <row r="291" spans="1:11" x14ac:dyDescent="0.25">
      <c r="A291" t="s">
        <v>9</v>
      </c>
      <c r="B291" t="s">
        <v>283</v>
      </c>
      <c r="C291" t="s">
        <v>866</v>
      </c>
      <c r="D291" t="s">
        <v>14</v>
      </c>
      <c r="E291">
        <v>1</v>
      </c>
      <c r="F291" s="2">
        <f>DATE(2026,IF(Tabla1[[#This Row],[Mes de Fecha]]="Septiembre",9,10),Tabla1[[#This Row],[Día de Fecha]])</f>
        <v>46296</v>
      </c>
      <c r="G291">
        <v>1065009482</v>
      </c>
      <c r="H291" t="s">
        <v>285</v>
      </c>
      <c r="I291">
        <v>18</v>
      </c>
      <c r="J291">
        <v>0</v>
      </c>
      <c r="K291" s="1">
        <v>772227</v>
      </c>
    </row>
    <row r="292" spans="1:11" x14ac:dyDescent="0.25">
      <c r="A292" t="s">
        <v>9</v>
      </c>
      <c r="B292" t="s">
        <v>283</v>
      </c>
      <c r="C292" t="s">
        <v>866</v>
      </c>
      <c r="D292" t="s">
        <v>14</v>
      </c>
      <c r="E292">
        <v>1</v>
      </c>
      <c r="F292" s="2">
        <f>DATE(2026,IF(Tabla1[[#This Row],[Mes de Fecha]]="Septiembre",9,10),Tabla1[[#This Row],[Día de Fecha]])</f>
        <v>46296</v>
      </c>
      <c r="G292">
        <v>1193105936</v>
      </c>
      <c r="H292" t="s">
        <v>236</v>
      </c>
      <c r="I292">
        <v>22</v>
      </c>
      <c r="J292">
        <v>0</v>
      </c>
      <c r="K292" s="1">
        <v>1053617</v>
      </c>
    </row>
    <row r="293" spans="1:11" x14ac:dyDescent="0.25">
      <c r="A293" t="s">
        <v>9</v>
      </c>
      <c r="B293" t="s">
        <v>283</v>
      </c>
      <c r="C293" t="s">
        <v>866</v>
      </c>
      <c r="D293" t="s">
        <v>14</v>
      </c>
      <c r="E293">
        <v>2</v>
      </c>
      <c r="F293" s="2">
        <f>DATE(2026,IF(Tabla1[[#This Row],[Mes de Fecha]]="Septiembre",9,10),Tabla1[[#This Row],[Día de Fecha]])</f>
        <v>46297</v>
      </c>
      <c r="I293">
        <v>0</v>
      </c>
      <c r="J293" s="1">
        <v>7627634</v>
      </c>
      <c r="K293">
        <v>0</v>
      </c>
    </row>
    <row r="294" spans="1:11" x14ac:dyDescent="0.25">
      <c r="A294" t="s">
        <v>9</v>
      </c>
      <c r="B294" t="s">
        <v>283</v>
      </c>
      <c r="C294" t="s">
        <v>866</v>
      </c>
      <c r="D294" t="s">
        <v>14</v>
      </c>
      <c r="E294">
        <v>2</v>
      </c>
      <c r="F294" s="2">
        <f>DATE(2026,IF(Tabla1[[#This Row],[Mes de Fecha]]="Septiembre",9,10),Tabla1[[#This Row],[Día de Fecha]])</f>
        <v>46297</v>
      </c>
      <c r="G294">
        <v>68291425</v>
      </c>
      <c r="H294" t="s">
        <v>284</v>
      </c>
      <c r="I294">
        <v>34</v>
      </c>
      <c r="J294">
        <v>0</v>
      </c>
      <c r="K294" s="1">
        <v>1641222</v>
      </c>
    </row>
    <row r="295" spans="1:11" x14ac:dyDescent="0.25">
      <c r="A295" t="s">
        <v>9</v>
      </c>
      <c r="B295" t="s">
        <v>283</v>
      </c>
      <c r="C295" t="s">
        <v>866</v>
      </c>
      <c r="D295" t="s">
        <v>14</v>
      </c>
      <c r="E295">
        <v>2</v>
      </c>
      <c r="F295" s="2">
        <f>DATE(2026,IF(Tabla1[[#This Row],[Mes de Fecha]]="Septiembre",9,10),Tabla1[[#This Row],[Día de Fecha]])</f>
        <v>46297</v>
      </c>
      <c r="G295">
        <v>1065009482</v>
      </c>
      <c r="H295" t="s">
        <v>285</v>
      </c>
      <c r="I295">
        <v>20</v>
      </c>
      <c r="J295">
        <v>0</v>
      </c>
      <c r="K295" s="1">
        <v>1070504</v>
      </c>
    </row>
    <row r="296" spans="1:11" x14ac:dyDescent="0.25">
      <c r="A296" t="s">
        <v>9</v>
      </c>
      <c r="B296" t="s">
        <v>283</v>
      </c>
      <c r="C296" t="s">
        <v>866</v>
      </c>
      <c r="D296" t="s">
        <v>14</v>
      </c>
      <c r="E296">
        <v>2</v>
      </c>
      <c r="F296" s="2">
        <f>DATE(2026,IF(Tabla1[[#This Row],[Mes de Fecha]]="Septiembre",9,10),Tabla1[[#This Row],[Día de Fecha]])</f>
        <v>46297</v>
      </c>
      <c r="G296">
        <v>1193105936</v>
      </c>
      <c r="H296" t="s">
        <v>236</v>
      </c>
      <c r="I296">
        <v>22</v>
      </c>
      <c r="J296">
        <v>0</v>
      </c>
      <c r="K296" s="1">
        <v>1015800</v>
      </c>
    </row>
    <row r="297" spans="1:11" x14ac:dyDescent="0.25">
      <c r="A297" t="s">
        <v>9</v>
      </c>
      <c r="B297" t="s">
        <v>283</v>
      </c>
      <c r="C297" t="s">
        <v>866</v>
      </c>
      <c r="D297" t="s">
        <v>14</v>
      </c>
      <c r="E297">
        <v>3</v>
      </c>
      <c r="F297" s="2">
        <f>DATE(2026,IF(Tabla1[[#This Row],[Mes de Fecha]]="Septiembre",9,10),Tabla1[[#This Row],[Día de Fecha]])</f>
        <v>46298</v>
      </c>
      <c r="I297">
        <v>0</v>
      </c>
      <c r="J297" s="1">
        <v>6021662</v>
      </c>
      <c r="K297">
        <v>0</v>
      </c>
    </row>
    <row r="298" spans="1:11" x14ac:dyDescent="0.25">
      <c r="A298" t="s">
        <v>9</v>
      </c>
      <c r="B298" t="s">
        <v>283</v>
      </c>
      <c r="C298" t="s">
        <v>866</v>
      </c>
      <c r="D298" t="s">
        <v>14</v>
      </c>
      <c r="E298">
        <v>3</v>
      </c>
      <c r="F298" s="2">
        <f>DATE(2026,IF(Tabla1[[#This Row],[Mes de Fecha]]="Septiembre",9,10),Tabla1[[#This Row],[Día de Fecha]])</f>
        <v>46298</v>
      </c>
      <c r="G298">
        <v>68291425</v>
      </c>
      <c r="H298" t="s">
        <v>284</v>
      </c>
      <c r="I298">
        <v>25</v>
      </c>
      <c r="J298">
        <v>0</v>
      </c>
      <c r="K298" s="1">
        <v>1179988</v>
      </c>
    </row>
    <row r="299" spans="1:11" x14ac:dyDescent="0.25">
      <c r="A299" t="s">
        <v>9</v>
      </c>
      <c r="B299" t="s">
        <v>283</v>
      </c>
      <c r="C299" t="s">
        <v>866</v>
      </c>
      <c r="D299" t="s">
        <v>14</v>
      </c>
      <c r="E299">
        <v>3</v>
      </c>
      <c r="F299" s="2">
        <f>DATE(2026,IF(Tabla1[[#This Row],[Mes de Fecha]]="Septiembre",9,10),Tabla1[[#This Row],[Día de Fecha]])</f>
        <v>46298</v>
      </c>
      <c r="G299">
        <v>1065009482</v>
      </c>
      <c r="H299" t="s">
        <v>285</v>
      </c>
      <c r="I299">
        <v>22</v>
      </c>
      <c r="J299">
        <v>0</v>
      </c>
      <c r="K299" s="1">
        <v>1026573</v>
      </c>
    </row>
    <row r="300" spans="1:11" x14ac:dyDescent="0.25">
      <c r="A300" t="s">
        <v>9</v>
      </c>
      <c r="B300" t="s">
        <v>283</v>
      </c>
      <c r="C300" t="s">
        <v>866</v>
      </c>
      <c r="D300" t="s">
        <v>14</v>
      </c>
      <c r="E300">
        <v>3</v>
      </c>
      <c r="F300" s="2">
        <f>DATE(2026,IF(Tabla1[[#This Row],[Mes de Fecha]]="Septiembre",9,10),Tabla1[[#This Row],[Día de Fecha]])</f>
        <v>46298</v>
      </c>
      <c r="G300">
        <v>1193105936</v>
      </c>
      <c r="H300" t="s">
        <v>236</v>
      </c>
      <c r="I300">
        <v>31</v>
      </c>
      <c r="J300">
        <v>0</v>
      </c>
      <c r="K300" s="1">
        <v>1421404</v>
      </c>
    </row>
    <row r="301" spans="1:11" x14ac:dyDescent="0.25">
      <c r="A301" t="s">
        <v>9</v>
      </c>
      <c r="B301" t="s">
        <v>283</v>
      </c>
      <c r="C301" t="s">
        <v>866</v>
      </c>
      <c r="D301" t="s">
        <v>14</v>
      </c>
      <c r="E301">
        <v>4</v>
      </c>
      <c r="F301" s="2">
        <f>DATE(2026,IF(Tabla1[[#This Row],[Mes de Fecha]]="Septiembre",9,10),Tabla1[[#This Row],[Día de Fecha]])</f>
        <v>46299</v>
      </c>
      <c r="I301">
        <v>0</v>
      </c>
      <c r="J301" s="1">
        <v>1849752</v>
      </c>
      <c r="K301">
        <v>0</v>
      </c>
    </row>
    <row r="302" spans="1:11" x14ac:dyDescent="0.25">
      <c r="A302" t="s">
        <v>9</v>
      </c>
      <c r="B302" t="s">
        <v>283</v>
      </c>
      <c r="C302" t="s">
        <v>866</v>
      </c>
      <c r="D302" t="s">
        <v>14</v>
      </c>
      <c r="E302">
        <v>5</v>
      </c>
      <c r="F302" s="2">
        <f>DATE(2026,IF(Tabla1[[#This Row],[Mes de Fecha]]="Septiembre",9,10),Tabla1[[#This Row],[Día de Fecha]])</f>
        <v>46300</v>
      </c>
      <c r="I302">
        <v>0</v>
      </c>
      <c r="J302" s="1">
        <v>8163207</v>
      </c>
      <c r="K302">
        <v>0</v>
      </c>
    </row>
    <row r="303" spans="1:11" x14ac:dyDescent="0.25">
      <c r="A303" t="s">
        <v>9</v>
      </c>
      <c r="B303" t="s">
        <v>283</v>
      </c>
      <c r="C303" t="s">
        <v>866</v>
      </c>
      <c r="D303" t="s">
        <v>14</v>
      </c>
      <c r="E303">
        <v>5</v>
      </c>
      <c r="F303" s="2">
        <f>DATE(2026,IF(Tabla1[[#This Row],[Mes de Fecha]]="Septiembre",9,10),Tabla1[[#This Row],[Día de Fecha]])</f>
        <v>46300</v>
      </c>
      <c r="G303">
        <v>68291425</v>
      </c>
      <c r="H303" t="s">
        <v>284</v>
      </c>
      <c r="I303">
        <v>3</v>
      </c>
      <c r="J303">
        <v>0</v>
      </c>
      <c r="K303" s="1">
        <v>159453</v>
      </c>
    </row>
    <row r="304" spans="1:11" x14ac:dyDescent="0.25">
      <c r="A304" t="s">
        <v>9</v>
      </c>
      <c r="B304" t="s">
        <v>283</v>
      </c>
      <c r="C304" t="s">
        <v>866</v>
      </c>
      <c r="D304" t="s">
        <v>14</v>
      </c>
      <c r="E304">
        <v>5</v>
      </c>
      <c r="F304" s="2">
        <f>DATE(2026,IF(Tabla1[[#This Row],[Mes de Fecha]]="Septiembre",9,10),Tabla1[[#This Row],[Día de Fecha]])</f>
        <v>46300</v>
      </c>
      <c r="G304">
        <v>1065009482</v>
      </c>
      <c r="H304" t="s">
        <v>285</v>
      </c>
      <c r="I304">
        <v>40</v>
      </c>
      <c r="J304">
        <v>0</v>
      </c>
      <c r="K304" s="1">
        <v>1888998</v>
      </c>
    </row>
    <row r="305" spans="1:11" x14ac:dyDescent="0.25">
      <c r="A305" t="s">
        <v>9</v>
      </c>
      <c r="B305" t="s">
        <v>283</v>
      </c>
      <c r="C305" t="s">
        <v>866</v>
      </c>
      <c r="D305" t="s">
        <v>14</v>
      </c>
      <c r="E305">
        <v>5</v>
      </c>
      <c r="F305" s="2">
        <f>DATE(2026,IF(Tabla1[[#This Row],[Mes de Fecha]]="Septiembre",9,10),Tabla1[[#This Row],[Día de Fecha]])</f>
        <v>46300</v>
      </c>
      <c r="G305">
        <v>1193105936</v>
      </c>
      <c r="H305" t="s">
        <v>236</v>
      </c>
      <c r="I305">
        <v>26</v>
      </c>
      <c r="J305">
        <v>0</v>
      </c>
      <c r="K305" s="1">
        <v>1347482</v>
      </c>
    </row>
    <row r="306" spans="1:11" x14ac:dyDescent="0.25">
      <c r="A306" t="s">
        <v>9</v>
      </c>
      <c r="B306" t="s">
        <v>283</v>
      </c>
      <c r="C306" t="s">
        <v>866</v>
      </c>
      <c r="D306" t="s">
        <v>14</v>
      </c>
      <c r="E306">
        <v>6</v>
      </c>
      <c r="F306" s="2">
        <f>DATE(2026,IF(Tabla1[[#This Row],[Mes de Fecha]]="Septiembre",9,10),Tabla1[[#This Row],[Día de Fecha]])</f>
        <v>46301</v>
      </c>
      <c r="I306">
        <v>0</v>
      </c>
      <c r="J306" s="1">
        <v>749981</v>
      </c>
      <c r="K306">
        <v>0</v>
      </c>
    </row>
    <row r="307" spans="1:11" x14ac:dyDescent="0.25">
      <c r="A307" t="s">
        <v>9</v>
      </c>
      <c r="B307" t="s">
        <v>283</v>
      </c>
      <c r="C307" t="s">
        <v>866</v>
      </c>
      <c r="D307" t="s">
        <v>14</v>
      </c>
      <c r="E307">
        <v>6</v>
      </c>
      <c r="F307" s="2">
        <f>DATE(2026,IF(Tabla1[[#This Row],[Mes de Fecha]]="Septiembre",9,10),Tabla1[[#This Row],[Día de Fecha]])</f>
        <v>46301</v>
      </c>
      <c r="G307">
        <v>68291425</v>
      </c>
      <c r="H307" t="s">
        <v>284</v>
      </c>
      <c r="I307">
        <v>32</v>
      </c>
      <c r="J307">
        <v>0</v>
      </c>
      <c r="K307" s="1">
        <v>1699775</v>
      </c>
    </row>
    <row r="308" spans="1:11" x14ac:dyDescent="0.25">
      <c r="A308" t="s">
        <v>9</v>
      </c>
      <c r="B308" t="s">
        <v>283</v>
      </c>
      <c r="C308" t="s">
        <v>866</v>
      </c>
      <c r="D308" t="s">
        <v>14</v>
      </c>
      <c r="E308">
        <v>6</v>
      </c>
      <c r="F308" s="2">
        <f>DATE(2026,IF(Tabla1[[#This Row],[Mes de Fecha]]="Septiembre",9,10),Tabla1[[#This Row],[Día de Fecha]])</f>
        <v>46301</v>
      </c>
      <c r="G308">
        <v>1065009482</v>
      </c>
      <c r="H308" t="s">
        <v>285</v>
      </c>
      <c r="I308">
        <v>1</v>
      </c>
      <c r="J308">
        <v>0</v>
      </c>
      <c r="K308" s="1">
        <v>50378</v>
      </c>
    </row>
    <row r="309" spans="1:11" x14ac:dyDescent="0.25">
      <c r="A309" t="s">
        <v>9</v>
      </c>
      <c r="B309" t="s">
        <v>283</v>
      </c>
      <c r="C309" t="s">
        <v>866</v>
      </c>
      <c r="D309" t="s">
        <v>14</v>
      </c>
      <c r="E309">
        <v>6</v>
      </c>
      <c r="F309" s="2">
        <f>DATE(2026,IF(Tabla1[[#This Row],[Mes de Fecha]]="Septiembre",9,10),Tabla1[[#This Row],[Día de Fecha]])</f>
        <v>46301</v>
      </c>
      <c r="G309">
        <v>1193105936</v>
      </c>
      <c r="H309" t="s">
        <v>236</v>
      </c>
      <c r="I309">
        <v>31</v>
      </c>
      <c r="J309">
        <v>0</v>
      </c>
      <c r="K309" s="1">
        <v>1646820</v>
      </c>
    </row>
    <row r="310" spans="1:11" x14ac:dyDescent="0.25">
      <c r="A310" t="s">
        <v>9</v>
      </c>
      <c r="B310" t="s">
        <v>283</v>
      </c>
      <c r="C310" t="s">
        <v>866</v>
      </c>
      <c r="D310" t="s">
        <v>14</v>
      </c>
      <c r="E310">
        <v>7</v>
      </c>
      <c r="F310" s="2">
        <f>DATE(2026,IF(Tabla1[[#This Row],[Mes de Fecha]]="Septiembre",9,10),Tabla1[[#This Row],[Día de Fecha]])</f>
        <v>46302</v>
      </c>
      <c r="I310">
        <v>0</v>
      </c>
      <c r="J310" s="1">
        <v>462322</v>
      </c>
      <c r="K310">
        <v>0</v>
      </c>
    </row>
    <row r="311" spans="1:11" x14ac:dyDescent="0.25">
      <c r="A311" t="s">
        <v>9</v>
      </c>
      <c r="B311" t="s">
        <v>283</v>
      </c>
      <c r="C311" t="s">
        <v>866</v>
      </c>
      <c r="D311" t="s">
        <v>14</v>
      </c>
      <c r="E311">
        <v>7</v>
      </c>
      <c r="F311" s="2">
        <f>DATE(2026,IF(Tabla1[[#This Row],[Mes de Fecha]]="Septiembre",9,10),Tabla1[[#This Row],[Día de Fecha]])</f>
        <v>46302</v>
      </c>
      <c r="G311">
        <v>68291425</v>
      </c>
      <c r="H311" t="s">
        <v>284</v>
      </c>
      <c r="I311">
        <v>10</v>
      </c>
      <c r="J311">
        <v>0</v>
      </c>
      <c r="K311" s="1">
        <v>461766</v>
      </c>
    </row>
    <row r="312" spans="1:11" x14ac:dyDescent="0.25">
      <c r="A312" t="s">
        <v>9</v>
      </c>
      <c r="B312" t="s">
        <v>283</v>
      </c>
      <c r="C312" t="s">
        <v>866</v>
      </c>
      <c r="D312" t="s">
        <v>14</v>
      </c>
      <c r="E312">
        <v>7</v>
      </c>
      <c r="F312" s="2">
        <f>DATE(2026,IF(Tabla1[[#This Row],[Mes de Fecha]]="Septiembre",9,10),Tabla1[[#This Row],[Día de Fecha]])</f>
        <v>46302</v>
      </c>
      <c r="G312">
        <v>1065009482</v>
      </c>
      <c r="H312" t="s">
        <v>285</v>
      </c>
      <c r="I312">
        <v>6</v>
      </c>
      <c r="J312">
        <v>0</v>
      </c>
      <c r="K312" s="1">
        <v>214035</v>
      </c>
    </row>
    <row r="313" spans="1:11" x14ac:dyDescent="0.25">
      <c r="A313" t="s">
        <v>9</v>
      </c>
      <c r="B313" t="s">
        <v>283</v>
      </c>
      <c r="C313" t="s">
        <v>866</v>
      </c>
      <c r="D313" t="s">
        <v>14</v>
      </c>
      <c r="E313">
        <v>7</v>
      </c>
      <c r="F313" s="2">
        <f>DATE(2026,IF(Tabla1[[#This Row],[Mes de Fecha]]="Septiembre",9,10),Tabla1[[#This Row],[Día de Fecha]])</f>
        <v>46302</v>
      </c>
      <c r="G313">
        <v>1193105936</v>
      </c>
      <c r="H313" t="s">
        <v>236</v>
      </c>
      <c r="I313">
        <v>4</v>
      </c>
      <c r="J313">
        <v>0</v>
      </c>
      <c r="K313" s="1">
        <v>176219</v>
      </c>
    </row>
    <row r="314" spans="1:11" x14ac:dyDescent="0.25">
      <c r="A314" t="s">
        <v>326</v>
      </c>
      <c r="B314" t="s">
        <v>405</v>
      </c>
      <c r="C314" t="s">
        <v>866</v>
      </c>
      <c r="D314" t="s">
        <v>11</v>
      </c>
      <c r="E314">
        <v>23</v>
      </c>
      <c r="F314" s="2">
        <f>DATE(2026,IF(Tabla1[[#This Row],[Mes de Fecha]]="Septiembre",9,10),Tabla1[[#This Row],[Día de Fecha]])</f>
        <v>46288</v>
      </c>
      <c r="I314">
        <v>0</v>
      </c>
      <c r="J314" s="1">
        <v>15965689</v>
      </c>
      <c r="K314">
        <v>0</v>
      </c>
    </row>
    <row r="315" spans="1:11" x14ac:dyDescent="0.25">
      <c r="A315" t="s">
        <v>326</v>
      </c>
      <c r="B315" t="s">
        <v>405</v>
      </c>
      <c r="C315" t="s">
        <v>866</v>
      </c>
      <c r="D315" t="s">
        <v>11</v>
      </c>
      <c r="E315">
        <v>23</v>
      </c>
      <c r="F315" s="2">
        <f>DATE(2026,IF(Tabla1[[#This Row],[Mes de Fecha]]="Septiembre",9,10),Tabla1[[#This Row],[Día de Fecha]])</f>
        <v>46288</v>
      </c>
      <c r="G315">
        <v>6849990</v>
      </c>
      <c r="H315" t="s">
        <v>408</v>
      </c>
      <c r="I315">
        <v>109</v>
      </c>
      <c r="J315">
        <v>0</v>
      </c>
      <c r="K315" s="1">
        <v>5671769</v>
      </c>
    </row>
    <row r="316" spans="1:11" x14ac:dyDescent="0.25">
      <c r="A316" t="s">
        <v>326</v>
      </c>
      <c r="B316" t="s">
        <v>405</v>
      </c>
      <c r="C316" t="s">
        <v>866</v>
      </c>
      <c r="D316" t="s">
        <v>11</v>
      </c>
      <c r="E316">
        <v>23</v>
      </c>
      <c r="F316" s="2">
        <f>DATE(2026,IF(Tabla1[[#This Row],[Mes de Fecha]]="Septiembre",9,10),Tabla1[[#This Row],[Día de Fecha]])</f>
        <v>46288</v>
      </c>
      <c r="G316">
        <v>55300073</v>
      </c>
      <c r="H316" t="s">
        <v>406</v>
      </c>
      <c r="I316">
        <v>138</v>
      </c>
      <c r="J316">
        <v>0</v>
      </c>
      <c r="K316" s="1">
        <v>7451938</v>
      </c>
    </row>
    <row r="317" spans="1:11" x14ac:dyDescent="0.25">
      <c r="A317" t="s">
        <v>326</v>
      </c>
      <c r="B317" t="s">
        <v>405</v>
      </c>
      <c r="C317" t="s">
        <v>866</v>
      </c>
      <c r="D317" t="s">
        <v>11</v>
      </c>
      <c r="E317">
        <v>23</v>
      </c>
      <c r="F317" s="2">
        <f>DATE(2026,IF(Tabla1[[#This Row],[Mes de Fecha]]="Septiembre",9,10),Tabla1[[#This Row],[Día de Fecha]])</f>
        <v>46288</v>
      </c>
      <c r="G317">
        <v>1045752106</v>
      </c>
      <c r="H317" t="s">
        <v>409</v>
      </c>
      <c r="I317">
        <v>20</v>
      </c>
      <c r="J317">
        <v>0</v>
      </c>
      <c r="K317" s="1">
        <v>967649</v>
      </c>
    </row>
    <row r="318" spans="1:11" x14ac:dyDescent="0.25">
      <c r="A318" t="s">
        <v>326</v>
      </c>
      <c r="B318" t="s">
        <v>405</v>
      </c>
      <c r="C318" t="s">
        <v>866</v>
      </c>
      <c r="D318" t="s">
        <v>11</v>
      </c>
      <c r="E318">
        <v>23</v>
      </c>
      <c r="F318" s="2">
        <f>DATE(2026,IF(Tabla1[[#This Row],[Mes de Fecha]]="Septiembre",9,10),Tabla1[[#This Row],[Día de Fecha]])</f>
        <v>46288</v>
      </c>
      <c r="G318">
        <v>1193581193</v>
      </c>
      <c r="H318" t="s">
        <v>410</v>
      </c>
      <c r="I318">
        <v>19</v>
      </c>
      <c r="J318">
        <v>0</v>
      </c>
      <c r="K318" s="1">
        <v>940338</v>
      </c>
    </row>
    <row r="319" spans="1:11" x14ac:dyDescent="0.25">
      <c r="A319" t="s">
        <v>326</v>
      </c>
      <c r="B319" t="s">
        <v>405</v>
      </c>
      <c r="C319" t="s">
        <v>866</v>
      </c>
      <c r="D319" t="s">
        <v>11</v>
      </c>
      <c r="E319">
        <v>24</v>
      </c>
      <c r="F319" s="2">
        <f>DATE(2026,IF(Tabla1[[#This Row],[Mes de Fecha]]="Septiembre",9,10),Tabla1[[#This Row],[Día de Fecha]])</f>
        <v>46289</v>
      </c>
      <c r="I319">
        <v>0</v>
      </c>
      <c r="J319" s="1">
        <v>24389388</v>
      </c>
      <c r="K319">
        <v>0</v>
      </c>
    </row>
    <row r="320" spans="1:11" x14ac:dyDescent="0.25">
      <c r="A320" t="s">
        <v>326</v>
      </c>
      <c r="B320" t="s">
        <v>405</v>
      </c>
      <c r="C320" t="s">
        <v>866</v>
      </c>
      <c r="D320" t="s">
        <v>11</v>
      </c>
      <c r="E320">
        <v>24</v>
      </c>
      <c r="F320" s="2">
        <f>DATE(2026,IF(Tabla1[[#This Row],[Mes de Fecha]]="Septiembre",9,10),Tabla1[[#This Row],[Día de Fecha]])</f>
        <v>46289</v>
      </c>
      <c r="G320">
        <v>6849990</v>
      </c>
      <c r="H320" t="s">
        <v>408</v>
      </c>
      <c r="I320">
        <v>87</v>
      </c>
      <c r="J320">
        <v>0</v>
      </c>
      <c r="K320" s="1">
        <v>4836559</v>
      </c>
    </row>
    <row r="321" spans="1:11" x14ac:dyDescent="0.25">
      <c r="A321" t="s">
        <v>326</v>
      </c>
      <c r="B321" t="s">
        <v>405</v>
      </c>
      <c r="C321" t="s">
        <v>866</v>
      </c>
      <c r="D321" t="s">
        <v>11</v>
      </c>
      <c r="E321">
        <v>24</v>
      </c>
      <c r="F321" s="2">
        <f>DATE(2026,IF(Tabla1[[#This Row],[Mes de Fecha]]="Septiembre",9,10),Tabla1[[#This Row],[Día de Fecha]])</f>
        <v>46289</v>
      </c>
      <c r="G321">
        <v>55300073</v>
      </c>
      <c r="H321" t="s">
        <v>406</v>
      </c>
      <c r="I321">
        <v>120</v>
      </c>
      <c r="J321">
        <v>0</v>
      </c>
      <c r="K321" s="1">
        <v>6442364</v>
      </c>
    </row>
    <row r="322" spans="1:11" x14ac:dyDescent="0.25">
      <c r="A322" t="s">
        <v>326</v>
      </c>
      <c r="B322" t="s">
        <v>405</v>
      </c>
      <c r="C322" t="s">
        <v>866</v>
      </c>
      <c r="D322" t="s">
        <v>11</v>
      </c>
      <c r="E322">
        <v>24</v>
      </c>
      <c r="F322" s="2">
        <f>DATE(2026,IF(Tabla1[[#This Row],[Mes de Fecha]]="Septiembre",9,10),Tabla1[[#This Row],[Día de Fecha]])</f>
        <v>46289</v>
      </c>
      <c r="G322">
        <v>1045752106</v>
      </c>
      <c r="H322" t="s">
        <v>409</v>
      </c>
      <c r="I322">
        <v>22</v>
      </c>
      <c r="J322">
        <v>0</v>
      </c>
      <c r="K322" s="1">
        <v>1179707</v>
      </c>
    </row>
    <row r="323" spans="1:11" x14ac:dyDescent="0.25">
      <c r="A323" t="s">
        <v>326</v>
      </c>
      <c r="B323" t="s">
        <v>405</v>
      </c>
      <c r="C323" t="s">
        <v>866</v>
      </c>
      <c r="D323" t="s">
        <v>11</v>
      </c>
      <c r="E323">
        <v>24</v>
      </c>
      <c r="F323" s="2">
        <f>DATE(2026,IF(Tabla1[[#This Row],[Mes de Fecha]]="Septiembre",9,10),Tabla1[[#This Row],[Día de Fecha]])</f>
        <v>46289</v>
      </c>
      <c r="G323">
        <v>1193581193</v>
      </c>
      <c r="H323" t="s">
        <v>410</v>
      </c>
      <c r="I323">
        <v>32</v>
      </c>
      <c r="J323">
        <v>0</v>
      </c>
      <c r="K323" s="1">
        <v>1830591</v>
      </c>
    </row>
    <row r="324" spans="1:11" x14ac:dyDescent="0.25">
      <c r="A324" t="s">
        <v>326</v>
      </c>
      <c r="B324" t="s">
        <v>405</v>
      </c>
      <c r="C324" t="s">
        <v>866</v>
      </c>
      <c r="D324" t="s">
        <v>11</v>
      </c>
      <c r="E324">
        <v>25</v>
      </c>
      <c r="F324" s="2">
        <f>DATE(2026,IF(Tabla1[[#This Row],[Mes de Fecha]]="Septiembre",9,10),Tabla1[[#This Row],[Día de Fecha]])</f>
        <v>46290</v>
      </c>
      <c r="I324">
        <v>0</v>
      </c>
      <c r="J324" s="1">
        <v>24335393</v>
      </c>
      <c r="K324">
        <v>0</v>
      </c>
    </row>
    <row r="325" spans="1:11" x14ac:dyDescent="0.25">
      <c r="A325" t="s">
        <v>326</v>
      </c>
      <c r="B325" t="s">
        <v>405</v>
      </c>
      <c r="C325" t="s">
        <v>866</v>
      </c>
      <c r="D325" t="s">
        <v>11</v>
      </c>
      <c r="E325">
        <v>25</v>
      </c>
      <c r="F325" s="2">
        <f>DATE(2026,IF(Tabla1[[#This Row],[Mes de Fecha]]="Septiembre",9,10),Tabla1[[#This Row],[Día de Fecha]])</f>
        <v>46290</v>
      </c>
      <c r="G325">
        <v>6849990</v>
      </c>
      <c r="H325" t="s">
        <v>408</v>
      </c>
      <c r="I325">
        <v>88</v>
      </c>
      <c r="J325">
        <v>0</v>
      </c>
      <c r="K325" s="1">
        <v>5050680</v>
      </c>
    </row>
    <row r="326" spans="1:11" x14ac:dyDescent="0.25">
      <c r="A326" t="s">
        <v>326</v>
      </c>
      <c r="B326" t="s">
        <v>405</v>
      </c>
      <c r="C326" t="s">
        <v>866</v>
      </c>
      <c r="D326" t="s">
        <v>11</v>
      </c>
      <c r="E326">
        <v>25</v>
      </c>
      <c r="F326" s="2">
        <f>DATE(2026,IF(Tabla1[[#This Row],[Mes de Fecha]]="Septiembre",9,10),Tabla1[[#This Row],[Día de Fecha]])</f>
        <v>46290</v>
      </c>
      <c r="G326">
        <v>55300073</v>
      </c>
      <c r="H326" t="s">
        <v>406</v>
      </c>
      <c r="I326">
        <v>87</v>
      </c>
      <c r="J326">
        <v>0</v>
      </c>
      <c r="K326" s="1">
        <v>5145424</v>
      </c>
    </row>
    <row r="327" spans="1:11" x14ac:dyDescent="0.25">
      <c r="A327" t="s">
        <v>326</v>
      </c>
      <c r="B327" t="s">
        <v>405</v>
      </c>
      <c r="C327" t="s">
        <v>866</v>
      </c>
      <c r="D327" t="s">
        <v>11</v>
      </c>
      <c r="E327">
        <v>25</v>
      </c>
      <c r="F327" s="2">
        <f>DATE(2026,IF(Tabla1[[#This Row],[Mes de Fecha]]="Septiembre",9,10),Tabla1[[#This Row],[Día de Fecha]])</f>
        <v>46290</v>
      </c>
      <c r="G327">
        <v>1045752106</v>
      </c>
      <c r="H327" t="s">
        <v>409</v>
      </c>
      <c r="I327">
        <v>15</v>
      </c>
      <c r="J327">
        <v>0</v>
      </c>
      <c r="K327" s="1">
        <v>776684</v>
      </c>
    </row>
    <row r="328" spans="1:11" x14ac:dyDescent="0.25">
      <c r="A328" t="s">
        <v>326</v>
      </c>
      <c r="B328" t="s">
        <v>405</v>
      </c>
      <c r="C328" t="s">
        <v>866</v>
      </c>
      <c r="D328" t="s">
        <v>11</v>
      </c>
      <c r="E328">
        <v>25</v>
      </c>
      <c r="F328" s="2">
        <f>DATE(2026,IF(Tabla1[[#This Row],[Mes de Fecha]]="Septiembre",9,10),Tabla1[[#This Row],[Día de Fecha]])</f>
        <v>46290</v>
      </c>
      <c r="G328">
        <v>1193581193</v>
      </c>
      <c r="H328" t="s">
        <v>410</v>
      </c>
      <c r="I328">
        <v>24</v>
      </c>
      <c r="J328">
        <v>0</v>
      </c>
      <c r="K328" s="1">
        <v>1494790</v>
      </c>
    </row>
    <row r="329" spans="1:11" x14ac:dyDescent="0.25">
      <c r="A329" t="s">
        <v>326</v>
      </c>
      <c r="B329" t="s">
        <v>405</v>
      </c>
      <c r="C329" t="s">
        <v>866</v>
      </c>
      <c r="D329" t="s">
        <v>11</v>
      </c>
      <c r="E329">
        <v>26</v>
      </c>
      <c r="F329" s="2">
        <f>DATE(2026,IF(Tabla1[[#This Row],[Mes de Fecha]]="Septiembre",9,10),Tabla1[[#This Row],[Día de Fecha]])</f>
        <v>46291</v>
      </c>
      <c r="I329">
        <v>0</v>
      </c>
      <c r="J329" s="1">
        <v>34973459</v>
      </c>
      <c r="K329">
        <v>0</v>
      </c>
    </row>
    <row r="330" spans="1:11" x14ac:dyDescent="0.25">
      <c r="A330" t="s">
        <v>326</v>
      </c>
      <c r="B330" t="s">
        <v>405</v>
      </c>
      <c r="C330" t="s">
        <v>866</v>
      </c>
      <c r="D330" t="s">
        <v>11</v>
      </c>
      <c r="E330">
        <v>26</v>
      </c>
      <c r="F330" s="2">
        <f>DATE(2026,IF(Tabla1[[#This Row],[Mes de Fecha]]="Septiembre",9,10),Tabla1[[#This Row],[Día de Fecha]])</f>
        <v>46291</v>
      </c>
      <c r="G330">
        <v>6849990</v>
      </c>
      <c r="H330" t="s">
        <v>408</v>
      </c>
      <c r="I330">
        <v>136</v>
      </c>
      <c r="J330">
        <v>0</v>
      </c>
      <c r="K330" s="1">
        <v>7378663</v>
      </c>
    </row>
    <row r="331" spans="1:11" x14ac:dyDescent="0.25">
      <c r="A331" t="s">
        <v>326</v>
      </c>
      <c r="B331" t="s">
        <v>405</v>
      </c>
      <c r="C331" t="s">
        <v>866</v>
      </c>
      <c r="D331" t="s">
        <v>11</v>
      </c>
      <c r="E331">
        <v>26</v>
      </c>
      <c r="F331" s="2">
        <f>DATE(2026,IF(Tabla1[[#This Row],[Mes de Fecha]]="Septiembre",9,10),Tabla1[[#This Row],[Día de Fecha]])</f>
        <v>46291</v>
      </c>
      <c r="G331">
        <v>55300073</v>
      </c>
      <c r="H331" t="s">
        <v>406</v>
      </c>
      <c r="I331">
        <v>147</v>
      </c>
      <c r="J331">
        <v>0</v>
      </c>
      <c r="K331" s="1">
        <v>8405423</v>
      </c>
    </row>
    <row r="332" spans="1:11" x14ac:dyDescent="0.25">
      <c r="A332" t="s">
        <v>326</v>
      </c>
      <c r="B332" t="s">
        <v>405</v>
      </c>
      <c r="C332" t="s">
        <v>866</v>
      </c>
      <c r="D332" t="s">
        <v>11</v>
      </c>
      <c r="E332">
        <v>26</v>
      </c>
      <c r="F332" s="2">
        <f>DATE(2026,IF(Tabla1[[#This Row],[Mes de Fecha]]="Septiembre",9,10),Tabla1[[#This Row],[Día de Fecha]])</f>
        <v>46291</v>
      </c>
      <c r="G332">
        <v>1045752106</v>
      </c>
      <c r="H332" t="s">
        <v>409</v>
      </c>
      <c r="I332">
        <v>28</v>
      </c>
      <c r="J332">
        <v>0</v>
      </c>
      <c r="K332" s="1">
        <v>1456724</v>
      </c>
    </row>
    <row r="333" spans="1:11" x14ac:dyDescent="0.25">
      <c r="A333" t="s">
        <v>326</v>
      </c>
      <c r="B333" t="s">
        <v>405</v>
      </c>
      <c r="C333" t="s">
        <v>866</v>
      </c>
      <c r="D333" t="s">
        <v>11</v>
      </c>
      <c r="E333">
        <v>26</v>
      </c>
      <c r="F333" s="2">
        <f>DATE(2026,IF(Tabla1[[#This Row],[Mes de Fecha]]="Septiembre",9,10),Tabla1[[#This Row],[Día de Fecha]])</f>
        <v>46291</v>
      </c>
      <c r="G333">
        <v>1193581193</v>
      </c>
      <c r="H333" t="s">
        <v>410</v>
      </c>
      <c r="I333">
        <v>20</v>
      </c>
      <c r="J333">
        <v>0</v>
      </c>
      <c r="K333" s="1">
        <v>1018069</v>
      </c>
    </row>
    <row r="334" spans="1:11" x14ac:dyDescent="0.25">
      <c r="A334" t="s">
        <v>326</v>
      </c>
      <c r="B334" t="s">
        <v>405</v>
      </c>
      <c r="C334" t="s">
        <v>866</v>
      </c>
      <c r="D334" t="s">
        <v>11</v>
      </c>
      <c r="E334">
        <v>27</v>
      </c>
      <c r="F334" s="2">
        <f>DATE(2026,IF(Tabla1[[#This Row],[Mes de Fecha]]="Septiembre",9,10),Tabla1[[#This Row],[Día de Fecha]])</f>
        <v>46292</v>
      </c>
      <c r="I334">
        <v>0</v>
      </c>
      <c r="J334" s="1">
        <v>27706019</v>
      </c>
      <c r="K334">
        <v>0</v>
      </c>
    </row>
    <row r="335" spans="1:11" x14ac:dyDescent="0.25">
      <c r="A335" t="s">
        <v>326</v>
      </c>
      <c r="B335" t="s">
        <v>405</v>
      </c>
      <c r="C335" t="s">
        <v>866</v>
      </c>
      <c r="D335" t="s">
        <v>11</v>
      </c>
      <c r="E335">
        <v>27</v>
      </c>
      <c r="F335" s="2">
        <f>DATE(2026,IF(Tabla1[[#This Row],[Mes de Fecha]]="Septiembre",9,10),Tabla1[[#This Row],[Día de Fecha]])</f>
        <v>46292</v>
      </c>
      <c r="G335">
        <v>6849990</v>
      </c>
      <c r="H335" t="s">
        <v>408</v>
      </c>
      <c r="I335">
        <v>61</v>
      </c>
      <c r="J335">
        <v>0</v>
      </c>
      <c r="K335" s="1">
        <v>3894336</v>
      </c>
    </row>
    <row r="336" spans="1:11" x14ac:dyDescent="0.25">
      <c r="A336" t="s">
        <v>326</v>
      </c>
      <c r="B336" t="s">
        <v>405</v>
      </c>
      <c r="C336" t="s">
        <v>866</v>
      </c>
      <c r="D336" t="s">
        <v>11</v>
      </c>
      <c r="E336">
        <v>27</v>
      </c>
      <c r="F336" s="2">
        <f>DATE(2026,IF(Tabla1[[#This Row],[Mes de Fecha]]="Septiembre",9,10),Tabla1[[#This Row],[Día de Fecha]])</f>
        <v>46292</v>
      </c>
      <c r="G336">
        <v>55300073</v>
      </c>
      <c r="H336" t="s">
        <v>406</v>
      </c>
      <c r="I336">
        <v>102</v>
      </c>
      <c r="J336">
        <v>0</v>
      </c>
      <c r="K336" s="1">
        <v>4896600</v>
      </c>
    </row>
    <row r="337" spans="1:11" x14ac:dyDescent="0.25">
      <c r="A337" t="s">
        <v>326</v>
      </c>
      <c r="B337" t="s">
        <v>405</v>
      </c>
      <c r="C337" t="s">
        <v>866</v>
      </c>
      <c r="D337" t="s">
        <v>11</v>
      </c>
      <c r="E337">
        <v>27</v>
      </c>
      <c r="F337" s="2">
        <f>DATE(2026,IF(Tabla1[[#This Row],[Mes de Fecha]]="Septiembre",9,10),Tabla1[[#This Row],[Día de Fecha]])</f>
        <v>46292</v>
      </c>
      <c r="G337">
        <v>1045752106</v>
      </c>
      <c r="H337" t="s">
        <v>409</v>
      </c>
      <c r="I337">
        <v>7</v>
      </c>
      <c r="J337">
        <v>0</v>
      </c>
      <c r="K337" s="1">
        <v>449287</v>
      </c>
    </row>
    <row r="338" spans="1:11" x14ac:dyDescent="0.25">
      <c r="A338" t="s">
        <v>326</v>
      </c>
      <c r="B338" t="s">
        <v>405</v>
      </c>
      <c r="C338" t="s">
        <v>866</v>
      </c>
      <c r="D338" t="s">
        <v>11</v>
      </c>
      <c r="E338">
        <v>27</v>
      </c>
      <c r="F338" s="2">
        <f>DATE(2026,IF(Tabla1[[#This Row],[Mes de Fecha]]="Septiembre",9,10),Tabla1[[#This Row],[Día de Fecha]])</f>
        <v>46292</v>
      </c>
      <c r="G338">
        <v>1193581193</v>
      </c>
      <c r="H338" t="s">
        <v>410</v>
      </c>
      <c r="I338">
        <v>9</v>
      </c>
      <c r="J338">
        <v>0</v>
      </c>
      <c r="K338" s="1">
        <v>465966</v>
      </c>
    </row>
    <row r="339" spans="1:11" x14ac:dyDescent="0.25">
      <c r="A339" t="s">
        <v>326</v>
      </c>
      <c r="B339" t="s">
        <v>405</v>
      </c>
      <c r="C339" t="s">
        <v>866</v>
      </c>
      <c r="D339" t="s">
        <v>11</v>
      </c>
      <c r="E339">
        <v>28</v>
      </c>
      <c r="F339" s="2">
        <f>DATE(2026,IF(Tabla1[[#This Row],[Mes de Fecha]]="Septiembre",9,10),Tabla1[[#This Row],[Día de Fecha]])</f>
        <v>46293</v>
      </c>
      <c r="I339">
        <v>0</v>
      </c>
      <c r="J339" s="1">
        <v>15248256</v>
      </c>
      <c r="K339">
        <v>0</v>
      </c>
    </row>
    <row r="340" spans="1:11" x14ac:dyDescent="0.25">
      <c r="A340" t="s">
        <v>326</v>
      </c>
      <c r="B340" t="s">
        <v>405</v>
      </c>
      <c r="C340" t="s">
        <v>866</v>
      </c>
      <c r="D340" t="s">
        <v>11</v>
      </c>
      <c r="E340">
        <v>28</v>
      </c>
      <c r="F340" s="2">
        <f>DATE(2026,IF(Tabla1[[#This Row],[Mes de Fecha]]="Septiembre",9,10),Tabla1[[#This Row],[Día de Fecha]])</f>
        <v>46293</v>
      </c>
      <c r="G340">
        <v>6849990</v>
      </c>
      <c r="H340" t="s">
        <v>408</v>
      </c>
      <c r="I340">
        <v>48</v>
      </c>
      <c r="J340">
        <v>0</v>
      </c>
      <c r="K340" s="1">
        <v>2535759</v>
      </c>
    </row>
    <row r="341" spans="1:11" x14ac:dyDescent="0.25">
      <c r="A341" t="s">
        <v>326</v>
      </c>
      <c r="B341" t="s">
        <v>405</v>
      </c>
      <c r="C341" t="s">
        <v>866</v>
      </c>
      <c r="D341" t="s">
        <v>11</v>
      </c>
      <c r="E341">
        <v>28</v>
      </c>
      <c r="F341" s="2">
        <f>DATE(2026,IF(Tabla1[[#This Row],[Mes de Fecha]]="Septiembre",9,10),Tabla1[[#This Row],[Día de Fecha]])</f>
        <v>46293</v>
      </c>
      <c r="G341">
        <v>55300073</v>
      </c>
      <c r="H341" t="s">
        <v>406</v>
      </c>
      <c r="I341">
        <v>71</v>
      </c>
      <c r="J341">
        <v>0</v>
      </c>
      <c r="K341" s="1">
        <v>3874962</v>
      </c>
    </row>
    <row r="342" spans="1:11" x14ac:dyDescent="0.25">
      <c r="A342" t="s">
        <v>326</v>
      </c>
      <c r="B342" t="s">
        <v>405</v>
      </c>
      <c r="C342" t="s">
        <v>866</v>
      </c>
      <c r="D342" t="s">
        <v>11</v>
      </c>
      <c r="E342">
        <v>28</v>
      </c>
      <c r="F342" s="2">
        <f>DATE(2026,IF(Tabla1[[#This Row],[Mes de Fecha]]="Septiembre",9,10),Tabla1[[#This Row],[Día de Fecha]])</f>
        <v>46293</v>
      </c>
      <c r="G342">
        <v>1045752106</v>
      </c>
      <c r="H342" t="s">
        <v>409</v>
      </c>
      <c r="I342">
        <v>12</v>
      </c>
      <c r="J342">
        <v>0</v>
      </c>
      <c r="K342" s="1">
        <v>747395</v>
      </c>
    </row>
    <row r="343" spans="1:11" x14ac:dyDescent="0.25">
      <c r="A343" t="s">
        <v>326</v>
      </c>
      <c r="B343" t="s">
        <v>405</v>
      </c>
      <c r="C343" t="s">
        <v>866</v>
      </c>
      <c r="D343" t="s">
        <v>11</v>
      </c>
      <c r="E343">
        <v>28</v>
      </c>
      <c r="F343" s="2">
        <f>DATE(2026,IF(Tabla1[[#This Row],[Mes de Fecha]]="Septiembre",9,10),Tabla1[[#This Row],[Día de Fecha]])</f>
        <v>46293</v>
      </c>
      <c r="G343">
        <v>1193581193</v>
      </c>
      <c r="H343" t="s">
        <v>410</v>
      </c>
      <c r="I343">
        <v>7</v>
      </c>
      <c r="J343">
        <v>0</v>
      </c>
      <c r="K343" s="1">
        <v>428278</v>
      </c>
    </row>
    <row r="344" spans="1:11" x14ac:dyDescent="0.25">
      <c r="A344" t="s">
        <v>326</v>
      </c>
      <c r="B344" t="s">
        <v>405</v>
      </c>
      <c r="C344" t="s">
        <v>866</v>
      </c>
      <c r="D344" t="s">
        <v>11</v>
      </c>
      <c r="E344">
        <v>29</v>
      </c>
      <c r="F344" s="2">
        <f>DATE(2026,IF(Tabla1[[#This Row],[Mes de Fecha]]="Septiembre",9,10),Tabla1[[#This Row],[Día de Fecha]])</f>
        <v>46294</v>
      </c>
      <c r="I344">
        <v>0</v>
      </c>
      <c r="J344" s="1">
        <v>16288122</v>
      </c>
      <c r="K344">
        <v>0</v>
      </c>
    </row>
    <row r="345" spans="1:11" x14ac:dyDescent="0.25">
      <c r="A345" t="s">
        <v>326</v>
      </c>
      <c r="B345" t="s">
        <v>405</v>
      </c>
      <c r="C345" t="s">
        <v>866</v>
      </c>
      <c r="D345" t="s">
        <v>11</v>
      </c>
      <c r="E345">
        <v>29</v>
      </c>
      <c r="F345" s="2">
        <f>DATE(2026,IF(Tabla1[[#This Row],[Mes de Fecha]]="Septiembre",9,10),Tabla1[[#This Row],[Día de Fecha]])</f>
        <v>46294</v>
      </c>
      <c r="G345">
        <v>6849990</v>
      </c>
      <c r="H345" t="s">
        <v>408</v>
      </c>
      <c r="I345">
        <v>51</v>
      </c>
      <c r="J345">
        <v>0</v>
      </c>
      <c r="K345" s="1">
        <v>2762566</v>
      </c>
    </row>
    <row r="346" spans="1:11" x14ac:dyDescent="0.25">
      <c r="A346" t="s">
        <v>326</v>
      </c>
      <c r="B346" t="s">
        <v>405</v>
      </c>
      <c r="C346" t="s">
        <v>866</v>
      </c>
      <c r="D346" t="s">
        <v>11</v>
      </c>
      <c r="E346">
        <v>29</v>
      </c>
      <c r="F346" s="2">
        <f>DATE(2026,IF(Tabla1[[#This Row],[Mes de Fecha]]="Septiembre",9,10),Tabla1[[#This Row],[Día de Fecha]])</f>
        <v>46294</v>
      </c>
      <c r="G346">
        <v>55300073</v>
      </c>
      <c r="H346" t="s">
        <v>406</v>
      </c>
      <c r="I346">
        <v>84</v>
      </c>
      <c r="J346">
        <v>0</v>
      </c>
      <c r="K346" s="1">
        <v>4553028</v>
      </c>
    </row>
    <row r="347" spans="1:11" x14ac:dyDescent="0.25">
      <c r="A347" t="s">
        <v>326</v>
      </c>
      <c r="B347" t="s">
        <v>405</v>
      </c>
      <c r="C347" t="s">
        <v>866</v>
      </c>
      <c r="D347" t="s">
        <v>11</v>
      </c>
      <c r="E347">
        <v>29</v>
      </c>
      <c r="F347" s="2">
        <f>DATE(2026,IF(Tabla1[[#This Row],[Mes de Fecha]]="Septiembre",9,10),Tabla1[[#This Row],[Día de Fecha]])</f>
        <v>46294</v>
      </c>
      <c r="G347">
        <v>1045752106</v>
      </c>
      <c r="H347" t="s">
        <v>409</v>
      </c>
      <c r="I347">
        <v>4</v>
      </c>
      <c r="J347">
        <v>0</v>
      </c>
      <c r="K347" s="1">
        <v>272942</v>
      </c>
    </row>
    <row r="348" spans="1:11" x14ac:dyDescent="0.25">
      <c r="A348" t="s">
        <v>326</v>
      </c>
      <c r="B348" t="s">
        <v>405</v>
      </c>
      <c r="C348" t="s">
        <v>866</v>
      </c>
      <c r="D348" t="s">
        <v>11</v>
      </c>
      <c r="E348">
        <v>29</v>
      </c>
      <c r="F348" s="2">
        <f>DATE(2026,IF(Tabla1[[#This Row],[Mes de Fecha]]="Septiembre",9,10),Tabla1[[#This Row],[Día de Fecha]])</f>
        <v>46294</v>
      </c>
      <c r="G348">
        <v>1193581193</v>
      </c>
      <c r="H348" t="s">
        <v>410</v>
      </c>
      <c r="I348">
        <v>-1</v>
      </c>
      <c r="J348">
        <v>0</v>
      </c>
      <c r="K348" s="1">
        <v>-35244</v>
      </c>
    </row>
    <row r="349" spans="1:11" x14ac:dyDescent="0.25">
      <c r="A349" t="s">
        <v>326</v>
      </c>
      <c r="B349" t="s">
        <v>405</v>
      </c>
      <c r="C349" t="s">
        <v>866</v>
      </c>
      <c r="D349" t="s">
        <v>11</v>
      </c>
      <c r="E349">
        <v>30</v>
      </c>
      <c r="F349" s="2">
        <f>DATE(2026,IF(Tabla1[[#This Row],[Mes de Fecha]]="Septiembre",9,10),Tabla1[[#This Row],[Día de Fecha]])</f>
        <v>46295</v>
      </c>
      <c r="I349">
        <v>0</v>
      </c>
      <c r="J349" s="1">
        <v>16825920</v>
      </c>
      <c r="K349">
        <v>0</v>
      </c>
    </row>
    <row r="350" spans="1:11" x14ac:dyDescent="0.25">
      <c r="A350" t="s">
        <v>326</v>
      </c>
      <c r="B350" t="s">
        <v>405</v>
      </c>
      <c r="C350" t="s">
        <v>866</v>
      </c>
      <c r="D350" t="s">
        <v>11</v>
      </c>
      <c r="E350">
        <v>30</v>
      </c>
      <c r="F350" s="2">
        <f>DATE(2026,IF(Tabla1[[#This Row],[Mes de Fecha]]="Septiembre",9,10),Tabla1[[#This Row],[Día de Fecha]])</f>
        <v>46295</v>
      </c>
      <c r="G350">
        <v>6849990</v>
      </c>
      <c r="H350" t="s">
        <v>408</v>
      </c>
      <c r="I350">
        <v>88</v>
      </c>
      <c r="J350">
        <v>0</v>
      </c>
      <c r="K350" s="1">
        <v>5010932</v>
      </c>
    </row>
    <row r="351" spans="1:11" x14ac:dyDescent="0.25">
      <c r="A351" t="s">
        <v>326</v>
      </c>
      <c r="B351" t="s">
        <v>405</v>
      </c>
      <c r="C351" t="s">
        <v>866</v>
      </c>
      <c r="D351" t="s">
        <v>11</v>
      </c>
      <c r="E351">
        <v>30</v>
      </c>
      <c r="F351" s="2">
        <f>DATE(2026,IF(Tabla1[[#This Row],[Mes de Fecha]]="Septiembre",9,10),Tabla1[[#This Row],[Día de Fecha]])</f>
        <v>46295</v>
      </c>
      <c r="G351">
        <v>55300073</v>
      </c>
      <c r="H351" t="s">
        <v>406</v>
      </c>
      <c r="I351">
        <v>62</v>
      </c>
      <c r="J351">
        <v>0</v>
      </c>
      <c r="K351" s="1">
        <v>3041519</v>
      </c>
    </row>
    <row r="352" spans="1:11" x14ac:dyDescent="0.25">
      <c r="A352" t="s">
        <v>326</v>
      </c>
      <c r="B352" t="s">
        <v>405</v>
      </c>
      <c r="C352" t="s">
        <v>866</v>
      </c>
      <c r="D352" t="s">
        <v>11</v>
      </c>
      <c r="E352">
        <v>30</v>
      </c>
      <c r="F352" s="2">
        <f>DATE(2026,IF(Tabla1[[#This Row],[Mes de Fecha]]="Septiembre",9,10),Tabla1[[#This Row],[Día de Fecha]])</f>
        <v>46295</v>
      </c>
      <c r="G352">
        <v>1045752106</v>
      </c>
      <c r="H352" t="s">
        <v>409</v>
      </c>
      <c r="I352">
        <v>16</v>
      </c>
      <c r="J352">
        <v>0</v>
      </c>
      <c r="K352" s="1">
        <v>927901</v>
      </c>
    </row>
    <row r="353" spans="1:11" x14ac:dyDescent="0.25">
      <c r="A353" t="s">
        <v>326</v>
      </c>
      <c r="B353" t="s">
        <v>405</v>
      </c>
      <c r="C353" t="s">
        <v>866</v>
      </c>
      <c r="D353" t="s">
        <v>11</v>
      </c>
      <c r="E353">
        <v>30</v>
      </c>
      <c r="F353" s="2">
        <f>DATE(2026,IF(Tabla1[[#This Row],[Mes de Fecha]]="Septiembre",9,10),Tabla1[[#This Row],[Día de Fecha]])</f>
        <v>46295</v>
      </c>
      <c r="G353">
        <v>1193581193</v>
      </c>
      <c r="H353" t="s">
        <v>410</v>
      </c>
      <c r="I353">
        <v>13</v>
      </c>
      <c r="J353">
        <v>0</v>
      </c>
      <c r="K353" s="1">
        <v>533068</v>
      </c>
    </row>
    <row r="354" spans="1:11" x14ac:dyDescent="0.25">
      <c r="A354" t="s">
        <v>326</v>
      </c>
      <c r="B354" t="s">
        <v>405</v>
      </c>
      <c r="C354" t="s">
        <v>866</v>
      </c>
      <c r="D354" t="s">
        <v>14</v>
      </c>
      <c r="E354">
        <v>1</v>
      </c>
      <c r="F354" s="2">
        <f>DATE(2026,IF(Tabla1[[#This Row],[Mes de Fecha]]="Septiembre",9,10),Tabla1[[#This Row],[Día de Fecha]])</f>
        <v>46296</v>
      </c>
      <c r="I354">
        <v>0</v>
      </c>
      <c r="J354" s="1">
        <v>18246071</v>
      </c>
      <c r="K354">
        <v>0</v>
      </c>
    </row>
    <row r="355" spans="1:11" x14ac:dyDescent="0.25">
      <c r="A355" t="s">
        <v>326</v>
      </c>
      <c r="B355" t="s">
        <v>405</v>
      </c>
      <c r="C355" t="s">
        <v>866</v>
      </c>
      <c r="D355" t="s">
        <v>14</v>
      </c>
      <c r="E355">
        <v>1</v>
      </c>
      <c r="F355" s="2">
        <f>DATE(2026,IF(Tabla1[[#This Row],[Mes de Fecha]]="Septiembre",9,10),Tabla1[[#This Row],[Día de Fecha]])</f>
        <v>46296</v>
      </c>
      <c r="G355">
        <v>6849990</v>
      </c>
      <c r="H355" t="s">
        <v>408</v>
      </c>
      <c r="I355">
        <v>106</v>
      </c>
      <c r="J355">
        <v>0</v>
      </c>
      <c r="K355" s="1">
        <v>6108872</v>
      </c>
    </row>
    <row r="356" spans="1:11" x14ac:dyDescent="0.25">
      <c r="A356" t="s">
        <v>326</v>
      </c>
      <c r="B356" t="s">
        <v>405</v>
      </c>
      <c r="C356" t="s">
        <v>866</v>
      </c>
      <c r="D356" t="s">
        <v>14</v>
      </c>
      <c r="E356">
        <v>1</v>
      </c>
      <c r="F356" s="2">
        <f>DATE(2026,IF(Tabla1[[#This Row],[Mes de Fecha]]="Septiembre",9,10),Tabla1[[#This Row],[Día de Fecha]])</f>
        <v>46296</v>
      </c>
      <c r="G356">
        <v>55300073</v>
      </c>
      <c r="H356" t="s">
        <v>406</v>
      </c>
      <c r="I356">
        <v>157</v>
      </c>
      <c r="J356">
        <v>0</v>
      </c>
      <c r="K356" s="1">
        <v>8396360</v>
      </c>
    </row>
    <row r="357" spans="1:11" x14ac:dyDescent="0.25">
      <c r="A357" t="s">
        <v>326</v>
      </c>
      <c r="B357" t="s">
        <v>405</v>
      </c>
      <c r="C357" t="s">
        <v>866</v>
      </c>
      <c r="D357" t="s">
        <v>14</v>
      </c>
      <c r="E357">
        <v>1</v>
      </c>
      <c r="F357" s="2">
        <f>DATE(2026,IF(Tabla1[[#This Row],[Mes de Fecha]]="Septiembre",9,10),Tabla1[[#This Row],[Día de Fecha]])</f>
        <v>46296</v>
      </c>
      <c r="G357">
        <v>1045752106</v>
      </c>
      <c r="H357" t="s">
        <v>409</v>
      </c>
      <c r="I357">
        <v>22</v>
      </c>
      <c r="J357">
        <v>0</v>
      </c>
      <c r="K357" s="1">
        <v>1314202</v>
      </c>
    </row>
    <row r="358" spans="1:11" x14ac:dyDescent="0.25">
      <c r="A358" t="s">
        <v>326</v>
      </c>
      <c r="B358" t="s">
        <v>405</v>
      </c>
      <c r="C358" t="s">
        <v>866</v>
      </c>
      <c r="D358" t="s">
        <v>14</v>
      </c>
      <c r="E358">
        <v>1</v>
      </c>
      <c r="F358" s="2">
        <f>DATE(2026,IF(Tabla1[[#This Row],[Mes de Fecha]]="Septiembre",9,10),Tabla1[[#This Row],[Día de Fecha]])</f>
        <v>46296</v>
      </c>
      <c r="G358">
        <v>1193581193</v>
      </c>
      <c r="H358" t="s">
        <v>410</v>
      </c>
      <c r="I358">
        <v>24</v>
      </c>
      <c r="J358">
        <v>0</v>
      </c>
      <c r="K358" s="1">
        <v>1263700</v>
      </c>
    </row>
    <row r="359" spans="1:11" x14ac:dyDescent="0.25">
      <c r="A359" t="s">
        <v>326</v>
      </c>
      <c r="B359" t="s">
        <v>405</v>
      </c>
      <c r="C359" t="s">
        <v>866</v>
      </c>
      <c r="D359" t="s">
        <v>14</v>
      </c>
      <c r="E359">
        <v>2</v>
      </c>
      <c r="F359" s="2">
        <f>DATE(2026,IF(Tabla1[[#This Row],[Mes de Fecha]]="Septiembre",9,10),Tabla1[[#This Row],[Día de Fecha]])</f>
        <v>46297</v>
      </c>
      <c r="I359">
        <v>0</v>
      </c>
      <c r="J359" s="1">
        <v>14032361</v>
      </c>
      <c r="K359">
        <v>0</v>
      </c>
    </row>
    <row r="360" spans="1:11" x14ac:dyDescent="0.25">
      <c r="A360" t="s">
        <v>326</v>
      </c>
      <c r="B360" t="s">
        <v>405</v>
      </c>
      <c r="C360" t="s">
        <v>866</v>
      </c>
      <c r="D360" t="s">
        <v>14</v>
      </c>
      <c r="E360">
        <v>2</v>
      </c>
      <c r="F360" s="2">
        <f>DATE(2026,IF(Tabla1[[#This Row],[Mes de Fecha]]="Septiembre",9,10),Tabla1[[#This Row],[Día de Fecha]])</f>
        <v>46297</v>
      </c>
      <c r="G360">
        <v>6849990</v>
      </c>
      <c r="H360" t="s">
        <v>408</v>
      </c>
      <c r="I360">
        <v>125</v>
      </c>
      <c r="J360">
        <v>0</v>
      </c>
      <c r="K360" s="1">
        <v>6668875</v>
      </c>
    </row>
    <row r="361" spans="1:11" x14ac:dyDescent="0.25">
      <c r="A361" t="s">
        <v>326</v>
      </c>
      <c r="B361" t="s">
        <v>405</v>
      </c>
      <c r="C361" t="s">
        <v>866</v>
      </c>
      <c r="D361" t="s">
        <v>14</v>
      </c>
      <c r="E361">
        <v>2</v>
      </c>
      <c r="F361" s="2">
        <f>DATE(2026,IF(Tabla1[[#This Row],[Mes de Fecha]]="Septiembre",9,10),Tabla1[[#This Row],[Día de Fecha]])</f>
        <v>46297</v>
      </c>
      <c r="G361">
        <v>55300073</v>
      </c>
      <c r="H361" t="s">
        <v>406</v>
      </c>
      <c r="I361">
        <v>151</v>
      </c>
      <c r="J361">
        <v>0</v>
      </c>
      <c r="K361" s="1">
        <v>8514165</v>
      </c>
    </row>
    <row r="362" spans="1:11" x14ac:dyDescent="0.25">
      <c r="A362" t="s">
        <v>326</v>
      </c>
      <c r="B362" t="s">
        <v>405</v>
      </c>
      <c r="C362" t="s">
        <v>866</v>
      </c>
      <c r="D362" t="s">
        <v>14</v>
      </c>
      <c r="E362">
        <v>2</v>
      </c>
      <c r="F362" s="2">
        <f>DATE(2026,IF(Tabla1[[#This Row],[Mes de Fecha]]="Septiembre",9,10),Tabla1[[#This Row],[Día de Fecha]])</f>
        <v>46297</v>
      </c>
      <c r="G362">
        <v>1045752106</v>
      </c>
      <c r="H362" t="s">
        <v>409</v>
      </c>
      <c r="I362">
        <v>9</v>
      </c>
      <c r="J362">
        <v>0</v>
      </c>
      <c r="K362" s="1">
        <v>466009</v>
      </c>
    </row>
    <row r="363" spans="1:11" x14ac:dyDescent="0.25">
      <c r="A363" t="s">
        <v>326</v>
      </c>
      <c r="B363" t="s">
        <v>405</v>
      </c>
      <c r="C363" t="s">
        <v>866</v>
      </c>
      <c r="D363" t="s">
        <v>14</v>
      </c>
      <c r="E363">
        <v>2</v>
      </c>
      <c r="F363" s="2">
        <f>DATE(2026,IF(Tabla1[[#This Row],[Mes de Fecha]]="Septiembre",9,10),Tabla1[[#This Row],[Día de Fecha]])</f>
        <v>46297</v>
      </c>
      <c r="G363">
        <v>1143142715</v>
      </c>
      <c r="H363" t="s">
        <v>407</v>
      </c>
      <c r="I363">
        <v>-1</v>
      </c>
      <c r="J363">
        <v>0</v>
      </c>
      <c r="K363" s="1">
        <v>-210000</v>
      </c>
    </row>
    <row r="364" spans="1:11" x14ac:dyDescent="0.25">
      <c r="A364" t="s">
        <v>326</v>
      </c>
      <c r="B364" t="s">
        <v>405</v>
      </c>
      <c r="C364" t="s">
        <v>866</v>
      </c>
      <c r="D364" t="s">
        <v>14</v>
      </c>
      <c r="E364">
        <v>2</v>
      </c>
      <c r="F364" s="2">
        <f>DATE(2026,IF(Tabla1[[#This Row],[Mes de Fecha]]="Septiembre",9,10),Tabla1[[#This Row],[Día de Fecha]])</f>
        <v>46297</v>
      </c>
      <c r="G364">
        <v>1193581193</v>
      </c>
      <c r="H364" t="s">
        <v>410</v>
      </c>
      <c r="I364">
        <v>26</v>
      </c>
      <c r="J364">
        <v>0</v>
      </c>
      <c r="K364" s="1">
        <v>1360211</v>
      </c>
    </row>
    <row r="365" spans="1:11" x14ac:dyDescent="0.25">
      <c r="A365" t="s">
        <v>326</v>
      </c>
      <c r="B365" t="s">
        <v>405</v>
      </c>
      <c r="C365" t="s">
        <v>866</v>
      </c>
      <c r="D365" t="s">
        <v>14</v>
      </c>
      <c r="E365">
        <v>3</v>
      </c>
      <c r="F365" s="2">
        <f>DATE(2026,IF(Tabla1[[#This Row],[Mes de Fecha]]="Septiembre",9,10),Tabla1[[#This Row],[Día de Fecha]])</f>
        <v>46298</v>
      </c>
      <c r="I365">
        <v>0</v>
      </c>
      <c r="J365" s="1">
        <v>16854986</v>
      </c>
      <c r="K365">
        <v>0</v>
      </c>
    </row>
    <row r="366" spans="1:11" x14ac:dyDescent="0.25">
      <c r="A366" t="s">
        <v>326</v>
      </c>
      <c r="B366" t="s">
        <v>405</v>
      </c>
      <c r="C366" t="s">
        <v>866</v>
      </c>
      <c r="D366" t="s">
        <v>14</v>
      </c>
      <c r="E366">
        <v>3</v>
      </c>
      <c r="F366" s="2">
        <f>DATE(2026,IF(Tabla1[[#This Row],[Mes de Fecha]]="Septiembre",9,10),Tabla1[[#This Row],[Día de Fecha]])</f>
        <v>46298</v>
      </c>
      <c r="G366">
        <v>6849990</v>
      </c>
      <c r="H366" t="s">
        <v>408</v>
      </c>
      <c r="I366">
        <v>173</v>
      </c>
      <c r="J366">
        <v>0</v>
      </c>
      <c r="K366" s="1">
        <v>8909423</v>
      </c>
    </row>
    <row r="367" spans="1:11" x14ac:dyDescent="0.25">
      <c r="A367" t="s">
        <v>326</v>
      </c>
      <c r="B367" t="s">
        <v>405</v>
      </c>
      <c r="C367" t="s">
        <v>866</v>
      </c>
      <c r="D367" t="s">
        <v>14</v>
      </c>
      <c r="E367">
        <v>3</v>
      </c>
      <c r="F367" s="2">
        <f>DATE(2026,IF(Tabla1[[#This Row],[Mes de Fecha]]="Septiembre",9,10),Tabla1[[#This Row],[Día de Fecha]])</f>
        <v>46298</v>
      </c>
      <c r="G367">
        <v>55300073</v>
      </c>
      <c r="H367" t="s">
        <v>406</v>
      </c>
      <c r="I367">
        <v>218</v>
      </c>
      <c r="J367">
        <v>0</v>
      </c>
      <c r="K367" s="1">
        <v>10963365</v>
      </c>
    </row>
    <row r="368" spans="1:11" x14ac:dyDescent="0.25">
      <c r="A368" t="s">
        <v>326</v>
      </c>
      <c r="B368" t="s">
        <v>405</v>
      </c>
      <c r="C368" t="s">
        <v>866</v>
      </c>
      <c r="D368" t="s">
        <v>14</v>
      </c>
      <c r="E368">
        <v>3</v>
      </c>
      <c r="F368" s="2">
        <f>DATE(2026,IF(Tabla1[[#This Row],[Mes de Fecha]]="Septiembre",9,10),Tabla1[[#This Row],[Día de Fecha]])</f>
        <v>46298</v>
      </c>
      <c r="G368">
        <v>1045752106</v>
      </c>
      <c r="H368" t="s">
        <v>409</v>
      </c>
      <c r="I368">
        <v>18</v>
      </c>
      <c r="J368">
        <v>0</v>
      </c>
      <c r="K368" s="1">
        <v>1226513</v>
      </c>
    </row>
    <row r="369" spans="1:11" x14ac:dyDescent="0.25">
      <c r="A369" t="s">
        <v>326</v>
      </c>
      <c r="B369" t="s">
        <v>405</v>
      </c>
      <c r="C369" t="s">
        <v>866</v>
      </c>
      <c r="D369" t="s">
        <v>14</v>
      </c>
      <c r="E369">
        <v>3</v>
      </c>
      <c r="F369" s="2">
        <f>DATE(2026,IF(Tabla1[[#This Row],[Mes de Fecha]]="Septiembre",9,10),Tabla1[[#This Row],[Día de Fecha]])</f>
        <v>46298</v>
      </c>
      <c r="G369">
        <v>1193581193</v>
      </c>
      <c r="H369" t="s">
        <v>410</v>
      </c>
      <c r="I369">
        <v>32</v>
      </c>
      <c r="J369">
        <v>0</v>
      </c>
      <c r="K369" s="1">
        <v>1446616</v>
      </c>
    </row>
    <row r="370" spans="1:11" x14ac:dyDescent="0.25">
      <c r="A370" t="s">
        <v>326</v>
      </c>
      <c r="B370" t="s">
        <v>405</v>
      </c>
      <c r="C370" t="s">
        <v>866</v>
      </c>
      <c r="D370" t="s">
        <v>14</v>
      </c>
      <c r="E370">
        <v>4</v>
      </c>
      <c r="F370" s="2">
        <f>DATE(2026,IF(Tabla1[[#This Row],[Mes de Fecha]]="Septiembre",9,10),Tabla1[[#This Row],[Día de Fecha]])</f>
        <v>46299</v>
      </c>
      <c r="I370">
        <v>0</v>
      </c>
      <c r="J370" s="1">
        <v>9811671</v>
      </c>
      <c r="K370">
        <v>0</v>
      </c>
    </row>
    <row r="371" spans="1:11" x14ac:dyDescent="0.25">
      <c r="A371" t="s">
        <v>326</v>
      </c>
      <c r="B371" t="s">
        <v>405</v>
      </c>
      <c r="C371" t="s">
        <v>866</v>
      </c>
      <c r="D371" t="s">
        <v>14</v>
      </c>
      <c r="E371">
        <v>4</v>
      </c>
      <c r="F371" s="2">
        <f>DATE(2026,IF(Tabla1[[#This Row],[Mes de Fecha]]="Septiembre",9,10),Tabla1[[#This Row],[Día de Fecha]])</f>
        <v>46299</v>
      </c>
      <c r="G371">
        <v>6849990</v>
      </c>
      <c r="H371" t="s">
        <v>408</v>
      </c>
      <c r="I371">
        <v>89</v>
      </c>
      <c r="J371">
        <v>0</v>
      </c>
      <c r="K371" s="1">
        <v>4985256</v>
      </c>
    </row>
    <row r="372" spans="1:11" x14ac:dyDescent="0.25">
      <c r="A372" t="s">
        <v>326</v>
      </c>
      <c r="B372" t="s">
        <v>405</v>
      </c>
      <c r="C372" t="s">
        <v>866</v>
      </c>
      <c r="D372" t="s">
        <v>14</v>
      </c>
      <c r="E372">
        <v>4</v>
      </c>
      <c r="F372" s="2">
        <f>DATE(2026,IF(Tabla1[[#This Row],[Mes de Fecha]]="Septiembre",9,10),Tabla1[[#This Row],[Día de Fecha]])</f>
        <v>46299</v>
      </c>
      <c r="G372">
        <v>55300073</v>
      </c>
      <c r="H372" t="s">
        <v>406</v>
      </c>
      <c r="I372">
        <v>84</v>
      </c>
      <c r="J372">
        <v>0</v>
      </c>
      <c r="K372" s="1">
        <v>4439587</v>
      </c>
    </row>
    <row r="373" spans="1:11" x14ac:dyDescent="0.25">
      <c r="A373" t="s">
        <v>326</v>
      </c>
      <c r="B373" t="s">
        <v>405</v>
      </c>
      <c r="C373" t="s">
        <v>866</v>
      </c>
      <c r="D373" t="s">
        <v>14</v>
      </c>
      <c r="E373">
        <v>4</v>
      </c>
      <c r="F373" s="2">
        <f>DATE(2026,IF(Tabla1[[#This Row],[Mes de Fecha]]="Septiembre",9,10),Tabla1[[#This Row],[Día de Fecha]])</f>
        <v>46299</v>
      </c>
      <c r="G373">
        <v>1045752106</v>
      </c>
      <c r="H373" t="s">
        <v>409</v>
      </c>
      <c r="I373">
        <v>8</v>
      </c>
      <c r="J373">
        <v>0</v>
      </c>
      <c r="K373" s="1">
        <v>314792</v>
      </c>
    </row>
    <row r="374" spans="1:11" x14ac:dyDescent="0.25">
      <c r="A374" t="s">
        <v>326</v>
      </c>
      <c r="B374" t="s">
        <v>405</v>
      </c>
      <c r="C374" t="s">
        <v>866</v>
      </c>
      <c r="D374" t="s">
        <v>14</v>
      </c>
      <c r="E374">
        <v>4</v>
      </c>
      <c r="F374" s="2">
        <f>DATE(2026,IF(Tabla1[[#This Row],[Mes de Fecha]]="Septiembre",9,10),Tabla1[[#This Row],[Día de Fecha]])</f>
        <v>46299</v>
      </c>
      <c r="G374">
        <v>1193581193</v>
      </c>
      <c r="H374" t="s">
        <v>410</v>
      </c>
      <c r="I374">
        <v>23</v>
      </c>
      <c r="J374">
        <v>0</v>
      </c>
      <c r="K374" s="1">
        <v>1249404</v>
      </c>
    </row>
    <row r="375" spans="1:11" x14ac:dyDescent="0.25">
      <c r="A375" t="s">
        <v>326</v>
      </c>
      <c r="B375" t="s">
        <v>405</v>
      </c>
      <c r="C375" t="s">
        <v>866</v>
      </c>
      <c r="D375" t="s">
        <v>14</v>
      </c>
      <c r="E375">
        <v>5</v>
      </c>
      <c r="F375" s="2">
        <f>DATE(2026,IF(Tabla1[[#This Row],[Mes de Fecha]]="Septiembre",9,10),Tabla1[[#This Row],[Día de Fecha]])</f>
        <v>46300</v>
      </c>
      <c r="I375">
        <v>0</v>
      </c>
      <c r="J375" s="1">
        <v>13003693</v>
      </c>
      <c r="K375">
        <v>0</v>
      </c>
    </row>
    <row r="376" spans="1:11" x14ac:dyDescent="0.25">
      <c r="A376" t="s">
        <v>326</v>
      </c>
      <c r="B376" t="s">
        <v>405</v>
      </c>
      <c r="C376" t="s">
        <v>866</v>
      </c>
      <c r="D376" t="s">
        <v>14</v>
      </c>
      <c r="E376">
        <v>5</v>
      </c>
      <c r="F376" s="2">
        <f>DATE(2026,IF(Tabla1[[#This Row],[Mes de Fecha]]="Septiembre",9,10),Tabla1[[#This Row],[Día de Fecha]])</f>
        <v>46300</v>
      </c>
      <c r="G376">
        <v>6849990</v>
      </c>
      <c r="H376" t="s">
        <v>408</v>
      </c>
      <c r="I376">
        <v>84</v>
      </c>
      <c r="J376">
        <v>0</v>
      </c>
      <c r="K376" s="1">
        <v>4492516</v>
      </c>
    </row>
    <row r="377" spans="1:11" x14ac:dyDescent="0.25">
      <c r="A377" t="s">
        <v>326</v>
      </c>
      <c r="B377" t="s">
        <v>405</v>
      </c>
      <c r="C377" t="s">
        <v>866</v>
      </c>
      <c r="D377" t="s">
        <v>14</v>
      </c>
      <c r="E377">
        <v>5</v>
      </c>
      <c r="F377" s="2">
        <f>DATE(2026,IF(Tabla1[[#This Row],[Mes de Fecha]]="Septiembre",9,10),Tabla1[[#This Row],[Día de Fecha]])</f>
        <v>46300</v>
      </c>
      <c r="G377">
        <v>55300073</v>
      </c>
      <c r="H377" t="s">
        <v>406</v>
      </c>
      <c r="I377">
        <v>102</v>
      </c>
      <c r="J377">
        <v>0</v>
      </c>
      <c r="K377" s="1">
        <v>5608786</v>
      </c>
    </row>
    <row r="378" spans="1:11" x14ac:dyDescent="0.25">
      <c r="A378" t="s">
        <v>326</v>
      </c>
      <c r="B378" t="s">
        <v>405</v>
      </c>
      <c r="C378" t="s">
        <v>866</v>
      </c>
      <c r="D378" t="s">
        <v>14</v>
      </c>
      <c r="E378">
        <v>5</v>
      </c>
      <c r="F378" s="2">
        <f>DATE(2026,IF(Tabla1[[#This Row],[Mes de Fecha]]="Septiembre",9,10),Tabla1[[#This Row],[Día de Fecha]])</f>
        <v>46300</v>
      </c>
      <c r="G378">
        <v>1045752106</v>
      </c>
      <c r="H378" t="s">
        <v>409</v>
      </c>
      <c r="I378">
        <v>3</v>
      </c>
      <c r="J378">
        <v>0</v>
      </c>
      <c r="K378" s="1">
        <v>119623</v>
      </c>
    </row>
    <row r="379" spans="1:11" x14ac:dyDescent="0.25">
      <c r="A379" t="s">
        <v>326</v>
      </c>
      <c r="B379" t="s">
        <v>405</v>
      </c>
      <c r="C379" t="s">
        <v>866</v>
      </c>
      <c r="D379" t="s">
        <v>14</v>
      </c>
      <c r="E379">
        <v>5</v>
      </c>
      <c r="F379" s="2">
        <f>DATE(2026,IF(Tabla1[[#This Row],[Mes de Fecha]]="Septiembre",9,10),Tabla1[[#This Row],[Día de Fecha]])</f>
        <v>46300</v>
      </c>
      <c r="G379">
        <v>1193581193</v>
      </c>
      <c r="H379" t="s">
        <v>410</v>
      </c>
      <c r="I379">
        <v>4</v>
      </c>
      <c r="J379">
        <v>0</v>
      </c>
      <c r="K379" s="1">
        <v>230926</v>
      </c>
    </row>
    <row r="380" spans="1:11" x14ac:dyDescent="0.25">
      <c r="A380" t="s">
        <v>326</v>
      </c>
      <c r="B380" t="s">
        <v>405</v>
      </c>
      <c r="C380" t="s">
        <v>866</v>
      </c>
      <c r="D380" t="s">
        <v>14</v>
      </c>
      <c r="E380">
        <v>6</v>
      </c>
      <c r="F380" s="2">
        <f>DATE(2026,IF(Tabla1[[#This Row],[Mes de Fecha]]="Septiembre",9,10),Tabla1[[#This Row],[Día de Fecha]])</f>
        <v>46301</v>
      </c>
      <c r="I380">
        <v>0</v>
      </c>
      <c r="J380" s="1">
        <v>7411770</v>
      </c>
      <c r="K380">
        <v>0</v>
      </c>
    </row>
    <row r="381" spans="1:11" x14ac:dyDescent="0.25">
      <c r="A381" t="s">
        <v>326</v>
      </c>
      <c r="B381" t="s">
        <v>405</v>
      </c>
      <c r="C381" t="s">
        <v>866</v>
      </c>
      <c r="D381" t="s">
        <v>14</v>
      </c>
      <c r="E381">
        <v>6</v>
      </c>
      <c r="F381" s="2">
        <f>DATE(2026,IF(Tabla1[[#This Row],[Mes de Fecha]]="Septiembre",9,10),Tabla1[[#This Row],[Día de Fecha]])</f>
        <v>46301</v>
      </c>
      <c r="G381">
        <v>6849990</v>
      </c>
      <c r="H381" t="s">
        <v>408</v>
      </c>
      <c r="I381">
        <v>43</v>
      </c>
      <c r="J381">
        <v>0</v>
      </c>
      <c r="K381" s="1">
        <v>2491598</v>
      </c>
    </row>
    <row r="382" spans="1:11" x14ac:dyDescent="0.25">
      <c r="A382" t="s">
        <v>326</v>
      </c>
      <c r="B382" t="s">
        <v>405</v>
      </c>
      <c r="C382" t="s">
        <v>866</v>
      </c>
      <c r="D382" t="s">
        <v>14</v>
      </c>
      <c r="E382">
        <v>6</v>
      </c>
      <c r="F382" s="2">
        <f>DATE(2026,IF(Tabla1[[#This Row],[Mes de Fecha]]="Septiembre",9,10),Tabla1[[#This Row],[Día de Fecha]])</f>
        <v>46301</v>
      </c>
      <c r="G382">
        <v>55300073</v>
      </c>
      <c r="H382" t="s">
        <v>406</v>
      </c>
      <c r="I382">
        <v>48</v>
      </c>
      <c r="J382">
        <v>0</v>
      </c>
      <c r="K382" s="1">
        <v>2447400</v>
      </c>
    </row>
    <row r="383" spans="1:11" x14ac:dyDescent="0.25">
      <c r="A383" t="s">
        <v>326</v>
      </c>
      <c r="B383" t="s">
        <v>405</v>
      </c>
      <c r="C383" t="s">
        <v>866</v>
      </c>
      <c r="D383" t="s">
        <v>14</v>
      </c>
      <c r="E383">
        <v>7</v>
      </c>
      <c r="F383" s="2">
        <f>DATE(2026,IF(Tabla1[[#This Row],[Mes de Fecha]]="Septiembre",9,10),Tabla1[[#This Row],[Día de Fecha]])</f>
        <v>46302</v>
      </c>
      <c r="I383">
        <v>0</v>
      </c>
      <c r="J383" s="1">
        <v>7314245</v>
      </c>
      <c r="K383">
        <v>0</v>
      </c>
    </row>
    <row r="384" spans="1:11" x14ac:dyDescent="0.25">
      <c r="A384" t="s">
        <v>326</v>
      </c>
      <c r="B384" t="s">
        <v>405</v>
      </c>
      <c r="C384" t="s">
        <v>866</v>
      </c>
      <c r="D384" t="s">
        <v>14</v>
      </c>
      <c r="E384">
        <v>7</v>
      </c>
      <c r="F384" s="2">
        <f>DATE(2026,IF(Tabla1[[#This Row],[Mes de Fecha]]="Septiembre",9,10),Tabla1[[#This Row],[Día de Fecha]])</f>
        <v>46302</v>
      </c>
      <c r="G384">
        <v>6849990</v>
      </c>
      <c r="H384" t="s">
        <v>408</v>
      </c>
      <c r="I384">
        <v>56</v>
      </c>
      <c r="J384">
        <v>0</v>
      </c>
      <c r="K384" s="1">
        <v>3052272</v>
      </c>
    </row>
    <row r="385" spans="1:11" x14ac:dyDescent="0.25">
      <c r="A385" t="s">
        <v>326</v>
      </c>
      <c r="B385" t="s">
        <v>405</v>
      </c>
      <c r="C385" t="s">
        <v>866</v>
      </c>
      <c r="D385" t="s">
        <v>14</v>
      </c>
      <c r="E385">
        <v>7</v>
      </c>
      <c r="F385" s="2">
        <f>DATE(2026,IF(Tabla1[[#This Row],[Mes de Fecha]]="Septiembre",9,10),Tabla1[[#This Row],[Día de Fecha]])</f>
        <v>46302</v>
      </c>
      <c r="G385">
        <v>55300073</v>
      </c>
      <c r="H385" t="s">
        <v>406</v>
      </c>
      <c r="I385">
        <v>58</v>
      </c>
      <c r="J385">
        <v>0</v>
      </c>
      <c r="K385" s="1">
        <v>3066685</v>
      </c>
    </row>
    <row r="386" spans="1:11" x14ac:dyDescent="0.25">
      <c r="A386" t="s">
        <v>326</v>
      </c>
      <c r="B386" t="s">
        <v>465</v>
      </c>
      <c r="C386" t="s">
        <v>866</v>
      </c>
      <c r="D386" t="s">
        <v>11</v>
      </c>
      <c r="E386">
        <v>23</v>
      </c>
      <c r="F386" s="2">
        <f>DATE(2026,IF(Tabla1[[#This Row],[Mes de Fecha]]="Septiembre",9,10),Tabla1[[#This Row],[Día de Fecha]])</f>
        <v>46288</v>
      </c>
      <c r="I386">
        <v>0</v>
      </c>
      <c r="J386" s="1">
        <v>31174878</v>
      </c>
      <c r="K386">
        <v>0</v>
      </c>
    </row>
    <row r="387" spans="1:11" x14ac:dyDescent="0.25">
      <c r="A387" t="s">
        <v>326</v>
      </c>
      <c r="B387" t="s">
        <v>465</v>
      </c>
      <c r="C387" t="s">
        <v>866</v>
      </c>
      <c r="D387" t="s">
        <v>11</v>
      </c>
      <c r="E387">
        <v>23</v>
      </c>
      <c r="F387" s="2">
        <f>DATE(2026,IF(Tabla1[[#This Row],[Mes de Fecha]]="Septiembre",9,10),Tabla1[[#This Row],[Día de Fecha]])</f>
        <v>46288</v>
      </c>
      <c r="G387">
        <v>3811650</v>
      </c>
      <c r="H387" t="s">
        <v>466</v>
      </c>
      <c r="I387">
        <v>176</v>
      </c>
      <c r="J387">
        <v>0</v>
      </c>
      <c r="K387" s="1">
        <v>8943493</v>
      </c>
    </row>
    <row r="388" spans="1:11" x14ac:dyDescent="0.25">
      <c r="A388" t="s">
        <v>326</v>
      </c>
      <c r="B388" t="s">
        <v>465</v>
      </c>
      <c r="C388" t="s">
        <v>866</v>
      </c>
      <c r="D388" t="s">
        <v>11</v>
      </c>
      <c r="E388">
        <v>23</v>
      </c>
      <c r="F388" s="2">
        <f>DATE(2026,IF(Tabla1[[#This Row],[Mes de Fecha]]="Septiembre",9,10),Tabla1[[#This Row],[Día de Fecha]])</f>
        <v>46288</v>
      </c>
      <c r="G388">
        <v>45691762</v>
      </c>
      <c r="H388" t="s">
        <v>467</v>
      </c>
      <c r="I388">
        <v>175</v>
      </c>
      <c r="J388">
        <v>0</v>
      </c>
      <c r="K388" s="1">
        <v>8149208</v>
      </c>
    </row>
    <row r="389" spans="1:11" x14ac:dyDescent="0.25">
      <c r="A389" t="s">
        <v>326</v>
      </c>
      <c r="B389" t="s">
        <v>465</v>
      </c>
      <c r="C389" t="s">
        <v>866</v>
      </c>
      <c r="D389" t="s">
        <v>11</v>
      </c>
      <c r="E389">
        <v>23</v>
      </c>
      <c r="F389" s="2">
        <f>DATE(2026,IF(Tabla1[[#This Row],[Mes de Fecha]]="Septiembre",9,10),Tabla1[[#This Row],[Día de Fecha]])</f>
        <v>46288</v>
      </c>
      <c r="G389">
        <v>1047425678</v>
      </c>
      <c r="H389" t="s">
        <v>468</v>
      </c>
      <c r="I389">
        <v>119</v>
      </c>
      <c r="J389">
        <v>0</v>
      </c>
      <c r="K389" s="1">
        <v>6650263</v>
      </c>
    </row>
    <row r="390" spans="1:11" x14ac:dyDescent="0.25">
      <c r="A390" t="s">
        <v>326</v>
      </c>
      <c r="B390" t="s">
        <v>465</v>
      </c>
      <c r="C390" t="s">
        <v>866</v>
      </c>
      <c r="D390" t="s">
        <v>11</v>
      </c>
      <c r="E390">
        <v>23</v>
      </c>
      <c r="F390" s="2">
        <f>DATE(2026,IF(Tabla1[[#This Row],[Mes de Fecha]]="Septiembre",9,10),Tabla1[[#This Row],[Día de Fecha]])</f>
        <v>46288</v>
      </c>
      <c r="G390">
        <v>1047465660</v>
      </c>
      <c r="H390" t="s">
        <v>469</v>
      </c>
      <c r="I390">
        <v>59</v>
      </c>
      <c r="J390">
        <v>0</v>
      </c>
      <c r="K390" s="1">
        <v>2747315</v>
      </c>
    </row>
    <row r="391" spans="1:11" x14ac:dyDescent="0.25">
      <c r="A391" t="s">
        <v>326</v>
      </c>
      <c r="B391" t="s">
        <v>465</v>
      </c>
      <c r="C391" t="s">
        <v>866</v>
      </c>
      <c r="D391" t="s">
        <v>11</v>
      </c>
      <c r="E391">
        <v>23</v>
      </c>
      <c r="F391" s="2">
        <f>DATE(2026,IF(Tabla1[[#This Row],[Mes de Fecha]]="Septiembre",9,10),Tabla1[[#This Row],[Día de Fecha]])</f>
        <v>46288</v>
      </c>
      <c r="G391">
        <v>1047485937</v>
      </c>
      <c r="H391" t="s">
        <v>470</v>
      </c>
      <c r="I391">
        <v>34</v>
      </c>
      <c r="J391">
        <v>0</v>
      </c>
      <c r="K391" s="1">
        <v>1853575</v>
      </c>
    </row>
    <row r="392" spans="1:11" x14ac:dyDescent="0.25">
      <c r="A392" t="s">
        <v>326</v>
      </c>
      <c r="B392" t="s">
        <v>465</v>
      </c>
      <c r="C392" t="s">
        <v>866</v>
      </c>
      <c r="D392" t="s">
        <v>11</v>
      </c>
      <c r="E392">
        <v>24</v>
      </c>
      <c r="F392" s="2">
        <f>DATE(2026,IF(Tabla1[[#This Row],[Mes de Fecha]]="Septiembre",9,10),Tabla1[[#This Row],[Día de Fecha]])</f>
        <v>46289</v>
      </c>
      <c r="I392">
        <v>0</v>
      </c>
      <c r="J392" s="1">
        <v>47623133</v>
      </c>
      <c r="K392">
        <v>0</v>
      </c>
    </row>
    <row r="393" spans="1:11" x14ac:dyDescent="0.25">
      <c r="A393" t="s">
        <v>326</v>
      </c>
      <c r="B393" t="s">
        <v>465</v>
      </c>
      <c r="C393" t="s">
        <v>866</v>
      </c>
      <c r="D393" t="s">
        <v>11</v>
      </c>
      <c r="E393">
        <v>24</v>
      </c>
      <c r="F393" s="2">
        <f>DATE(2026,IF(Tabla1[[#This Row],[Mes de Fecha]]="Septiembre",9,10),Tabla1[[#This Row],[Día de Fecha]])</f>
        <v>46289</v>
      </c>
      <c r="G393">
        <v>3811650</v>
      </c>
      <c r="H393" t="s">
        <v>466</v>
      </c>
      <c r="I393">
        <v>222</v>
      </c>
      <c r="J393">
        <v>0</v>
      </c>
      <c r="K393" s="1">
        <v>10985517</v>
      </c>
    </row>
    <row r="394" spans="1:11" x14ac:dyDescent="0.25">
      <c r="A394" t="s">
        <v>326</v>
      </c>
      <c r="B394" t="s">
        <v>465</v>
      </c>
      <c r="C394" t="s">
        <v>866</v>
      </c>
      <c r="D394" t="s">
        <v>11</v>
      </c>
      <c r="E394">
        <v>24</v>
      </c>
      <c r="F394" s="2">
        <f>DATE(2026,IF(Tabla1[[#This Row],[Mes de Fecha]]="Septiembre",9,10),Tabla1[[#This Row],[Día de Fecha]])</f>
        <v>46289</v>
      </c>
      <c r="G394">
        <v>45691762</v>
      </c>
      <c r="H394" t="s">
        <v>467</v>
      </c>
      <c r="I394">
        <v>163</v>
      </c>
      <c r="J394">
        <v>0</v>
      </c>
      <c r="K394" s="1">
        <v>8745008</v>
      </c>
    </row>
    <row r="395" spans="1:11" x14ac:dyDescent="0.25">
      <c r="A395" t="s">
        <v>326</v>
      </c>
      <c r="B395" t="s">
        <v>465</v>
      </c>
      <c r="C395" t="s">
        <v>866</v>
      </c>
      <c r="D395" t="s">
        <v>11</v>
      </c>
      <c r="E395">
        <v>24</v>
      </c>
      <c r="F395" s="2">
        <f>DATE(2026,IF(Tabla1[[#This Row],[Mes de Fecha]]="Septiembre",9,10),Tabla1[[#This Row],[Día de Fecha]])</f>
        <v>46289</v>
      </c>
      <c r="G395">
        <v>1047425678</v>
      </c>
      <c r="H395" t="s">
        <v>468</v>
      </c>
      <c r="I395">
        <v>122</v>
      </c>
      <c r="J395">
        <v>0</v>
      </c>
      <c r="K395" s="1">
        <v>6221476</v>
      </c>
    </row>
    <row r="396" spans="1:11" x14ac:dyDescent="0.25">
      <c r="A396" t="s">
        <v>326</v>
      </c>
      <c r="B396" t="s">
        <v>465</v>
      </c>
      <c r="C396" t="s">
        <v>866</v>
      </c>
      <c r="D396" t="s">
        <v>11</v>
      </c>
      <c r="E396">
        <v>24</v>
      </c>
      <c r="F396" s="2">
        <f>DATE(2026,IF(Tabla1[[#This Row],[Mes de Fecha]]="Septiembre",9,10),Tabla1[[#This Row],[Día de Fecha]])</f>
        <v>46289</v>
      </c>
      <c r="G396">
        <v>1047465660</v>
      </c>
      <c r="H396" t="s">
        <v>469</v>
      </c>
      <c r="I396">
        <v>78</v>
      </c>
      <c r="J396">
        <v>0</v>
      </c>
      <c r="K396" s="1">
        <v>3943955</v>
      </c>
    </row>
    <row r="397" spans="1:11" x14ac:dyDescent="0.25">
      <c r="A397" t="s">
        <v>326</v>
      </c>
      <c r="B397" t="s">
        <v>465</v>
      </c>
      <c r="C397" t="s">
        <v>866</v>
      </c>
      <c r="D397" t="s">
        <v>11</v>
      </c>
      <c r="E397">
        <v>24</v>
      </c>
      <c r="F397" s="2">
        <f>DATE(2026,IF(Tabla1[[#This Row],[Mes de Fecha]]="Septiembre",9,10),Tabla1[[#This Row],[Día de Fecha]])</f>
        <v>46289</v>
      </c>
      <c r="G397">
        <v>1047485937</v>
      </c>
      <c r="H397" t="s">
        <v>470</v>
      </c>
      <c r="I397">
        <v>34</v>
      </c>
      <c r="J397">
        <v>0</v>
      </c>
      <c r="K397" s="1">
        <v>1670757</v>
      </c>
    </row>
    <row r="398" spans="1:11" x14ac:dyDescent="0.25">
      <c r="A398" t="s">
        <v>326</v>
      </c>
      <c r="B398" t="s">
        <v>465</v>
      </c>
      <c r="C398" t="s">
        <v>866</v>
      </c>
      <c r="D398" t="s">
        <v>11</v>
      </c>
      <c r="E398">
        <v>25</v>
      </c>
      <c r="F398" s="2">
        <f>DATE(2026,IF(Tabla1[[#This Row],[Mes de Fecha]]="Septiembre",9,10),Tabla1[[#This Row],[Día de Fecha]])</f>
        <v>46290</v>
      </c>
      <c r="I398">
        <v>0</v>
      </c>
      <c r="J398" s="1">
        <v>47517704</v>
      </c>
      <c r="K398">
        <v>0</v>
      </c>
    </row>
    <row r="399" spans="1:11" x14ac:dyDescent="0.25">
      <c r="A399" t="s">
        <v>326</v>
      </c>
      <c r="B399" t="s">
        <v>465</v>
      </c>
      <c r="C399" t="s">
        <v>866</v>
      </c>
      <c r="D399" t="s">
        <v>11</v>
      </c>
      <c r="E399">
        <v>25</v>
      </c>
      <c r="F399" s="2">
        <f>DATE(2026,IF(Tabla1[[#This Row],[Mes de Fecha]]="Septiembre",9,10),Tabla1[[#This Row],[Día de Fecha]])</f>
        <v>46290</v>
      </c>
      <c r="G399">
        <v>3739915</v>
      </c>
      <c r="H399" t="s">
        <v>471</v>
      </c>
      <c r="I399">
        <v>51</v>
      </c>
      <c r="J399">
        <v>0</v>
      </c>
      <c r="K399" s="1">
        <v>3035634</v>
      </c>
    </row>
    <row r="400" spans="1:11" x14ac:dyDescent="0.25">
      <c r="A400" t="s">
        <v>326</v>
      </c>
      <c r="B400" t="s">
        <v>465</v>
      </c>
      <c r="C400" t="s">
        <v>866</v>
      </c>
      <c r="D400" t="s">
        <v>11</v>
      </c>
      <c r="E400">
        <v>25</v>
      </c>
      <c r="F400" s="2">
        <f>DATE(2026,IF(Tabla1[[#This Row],[Mes de Fecha]]="Septiembre",9,10),Tabla1[[#This Row],[Día de Fecha]])</f>
        <v>46290</v>
      </c>
      <c r="G400">
        <v>3811650</v>
      </c>
      <c r="H400" t="s">
        <v>466</v>
      </c>
      <c r="I400">
        <v>208</v>
      </c>
      <c r="J400">
        <v>0</v>
      </c>
      <c r="K400" s="1">
        <v>10675392</v>
      </c>
    </row>
    <row r="401" spans="1:11" x14ac:dyDescent="0.25">
      <c r="A401" t="s">
        <v>326</v>
      </c>
      <c r="B401" t="s">
        <v>465</v>
      </c>
      <c r="C401" t="s">
        <v>866</v>
      </c>
      <c r="D401" t="s">
        <v>11</v>
      </c>
      <c r="E401">
        <v>25</v>
      </c>
      <c r="F401" s="2">
        <f>DATE(2026,IF(Tabla1[[#This Row],[Mes de Fecha]]="Septiembre",9,10),Tabla1[[#This Row],[Día de Fecha]])</f>
        <v>46290</v>
      </c>
      <c r="G401">
        <v>45691762</v>
      </c>
      <c r="H401" t="s">
        <v>467</v>
      </c>
      <c r="I401">
        <v>185</v>
      </c>
      <c r="J401">
        <v>0</v>
      </c>
      <c r="K401" s="1">
        <v>9789930</v>
      </c>
    </row>
    <row r="402" spans="1:11" x14ac:dyDescent="0.25">
      <c r="A402" t="s">
        <v>326</v>
      </c>
      <c r="B402" t="s">
        <v>465</v>
      </c>
      <c r="C402" t="s">
        <v>866</v>
      </c>
      <c r="D402" t="s">
        <v>11</v>
      </c>
      <c r="E402">
        <v>25</v>
      </c>
      <c r="F402" s="2">
        <f>DATE(2026,IF(Tabla1[[#This Row],[Mes de Fecha]]="Septiembre",9,10),Tabla1[[#This Row],[Día de Fecha]])</f>
        <v>46290</v>
      </c>
      <c r="G402">
        <v>1047425678</v>
      </c>
      <c r="H402" t="s">
        <v>468</v>
      </c>
      <c r="I402">
        <v>167</v>
      </c>
      <c r="J402">
        <v>0</v>
      </c>
      <c r="K402" s="1">
        <v>8770012</v>
      </c>
    </row>
    <row r="403" spans="1:11" x14ac:dyDescent="0.25">
      <c r="A403" t="s">
        <v>326</v>
      </c>
      <c r="B403" t="s">
        <v>465</v>
      </c>
      <c r="C403" t="s">
        <v>866</v>
      </c>
      <c r="D403" t="s">
        <v>11</v>
      </c>
      <c r="E403">
        <v>25</v>
      </c>
      <c r="F403" s="2">
        <f>DATE(2026,IF(Tabla1[[#This Row],[Mes de Fecha]]="Septiembre",9,10),Tabla1[[#This Row],[Día de Fecha]])</f>
        <v>46290</v>
      </c>
      <c r="G403">
        <v>1047465660</v>
      </c>
      <c r="H403" t="s">
        <v>469</v>
      </c>
      <c r="I403">
        <v>84</v>
      </c>
      <c r="J403">
        <v>0</v>
      </c>
      <c r="K403" s="1">
        <v>4343069</v>
      </c>
    </row>
    <row r="404" spans="1:11" x14ac:dyDescent="0.25">
      <c r="A404" t="s">
        <v>326</v>
      </c>
      <c r="B404" t="s">
        <v>465</v>
      </c>
      <c r="C404" t="s">
        <v>866</v>
      </c>
      <c r="D404" t="s">
        <v>11</v>
      </c>
      <c r="E404">
        <v>26</v>
      </c>
      <c r="F404" s="2">
        <f>DATE(2026,IF(Tabla1[[#This Row],[Mes de Fecha]]="Septiembre",9,10),Tabla1[[#This Row],[Día de Fecha]])</f>
        <v>46291</v>
      </c>
      <c r="I404">
        <v>0</v>
      </c>
      <c r="J404" s="1">
        <v>68289772</v>
      </c>
      <c r="K404">
        <v>0</v>
      </c>
    </row>
    <row r="405" spans="1:11" x14ac:dyDescent="0.25">
      <c r="A405" t="s">
        <v>326</v>
      </c>
      <c r="B405" t="s">
        <v>465</v>
      </c>
      <c r="C405" t="s">
        <v>866</v>
      </c>
      <c r="D405" t="s">
        <v>11</v>
      </c>
      <c r="E405">
        <v>26</v>
      </c>
      <c r="F405" s="2">
        <f>DATE(2026,IF(Tabla1[[#This Row],[Mes de Fecha]]="Septiembre",9,10),Tabla1[[#This Row],[Día de Fecha]])</f>
        <v>46291</v>
      </c>
      <c r="G405">
        <v>3739915</v>
      </c>
      <c r="H405" t="s">
        <v>471</v>
      </c>
      <c r="I405">
        <v>77</v>
      </c>
      <c r="J405">
        <v>0</v>
      </c>
      <c r="K405" s="1">
        <v>4509292</v>
      </c>
    </row>
    <row r="406" spans="1:11" x14ac:dyDescent="0.25">
      <c r="A406" t="s">
        <v>326</v>
      </c>
      <c r="B406" t="s">
        <v>465</v>
      </c>
      <c r="C406" t="s">
        <v>866</v>
      </c>
      <c r="D406" t="s">
        <v>11</v>
      </c>
      <c r="E406">
        <v>26</v>
      </c>
      <c r="F406" s="2">
        <f>DATE(2026,IF(Tabla1[[#This Row],[Mes de Fecha]]="Septiembre",9,10),Tabla1[[#This Row],[Día de Fecha]])</f>
        <v>46291</v>
      </c>
      <c r="G406">
        <v>3811650</v>
      </c>
      <c r="H406" t="s">
        <v>466</v>
      </c>
      <c r="I406">
        <v>297</v>
      </c>
      <c r="J406">
        <v>0</v>
      </c>
      <c r="K406" s="1">
        <v>16381907</v>
      </c>
    </row>
    <row r="407" spans="1:11" x14ac:dyDescent="0.25">
      <c r="A407" t="s">
        <v>326</v>
      </c>
      <c r="B407" t="s">
        <v>465</v>
      </c>
      <c r="C407" t="s">
        <v>866</v>
      </c>
      <c r="D407" t="s">
        <v>11</v>
      </c>
      <c r="E407">
        <v>26</v>
      </c>
      <c r="F407" s="2">
        <f>DATE(2026,IF(Tabla1[[#This Row],[Mes de Fecha]]="Septiembre",9,10),Tabla1[[#This Row],[Día de Fecha]])</f>
        <v>46291</v>
      </c>
      <c r="G407">
        <v>45691762</v>
      </c>
      <c r="H407" t="s">
        <v>467</v>
      </c>
      <c r="I407">
        <v>280</v>
      </c>
      <c r="J407">
        <v>0</v>
      </c>
      <c r="K407" s="1">
        <v>15550897</v>
      </c>
    </row>
    <row r="408" spans="1:11" x14ac:dyDescent="0.25">
      <c r="A408" t="s">
        <v>326</v>
      </c>
      <c r="B408" t="s">
        <v>465</v>
      </c>
      <c r="C408" t="s">
        <v>866</v>
      </c>
      <c r="D408" t="s">
        <v>11</v>
      </c>
      <c r="E408">
        <v>26</v>
      </c>
      <c r="F408" s="2">
        <f>DATE(2026,IF(Tabla1[[#This Row],[Mes de Fecha]]="Septiembre",9,10),Tabla1[[#This Row],[Día de Fecha]])</f>
        <v>46291</v>
      </c>
      <c r="G408">
        <v>73578286</v>
      </c>
      <c r="H408" t="s">
        <v>472</v>
      </c>
      <c r="I408">
        <v>-1</v>
      </c>
      <c r="J408">
        <v>0</v>
      </c>
      <c r="K408" s="1">
        <v>-50378</v>
      </c>
    </row>
    <row r="409" spans="1:11" x14ac:dyDescent="0.25">
      <c r="A409" t="s">
        <v>326</v>
      </c>
      <c r="B409" t="s">
        <v>465</v>
      </c>
      <c r="C409" t="s">
        <v>866</v>
      </c>
      <c r="D409" t="s">
        <v>11</v>
      </c>
      <c r="E409">
        <v>26</v>
      </c>
      <c r="F409" s="2">
        <f>DATE(2026,IF(Tabla1[[#This Row],[Mes de Fecha]]="Septiembre",9,10),Tabla1[[#This Row],[Día de Fecha]])</f>
        <v>46291</v>
      </c>
      <c r="G409">
        <v>1002249169</v>
      </c>
      <c r="H409" t="s">
        <v>473</v>
      </c>
      <c r="I409">
        <v>-2</v>
      </c>
      <c r="J409">
        <v>0</v>
      </c>
      <c r="K409" s="1">
        <v>-121723</v>
      </c>
    </row>
    <row r="410" spans="1:11" x14ac:dyDescent="0.25">
      <c r="A410" t="s">
        <v>326</v>
      </c>
      <c r="B410" t="s">
        <v>465</v>
      </c>
      <c r="C410" t="s">
        <v>866</v>
      </c>
      <c r="D410" t="s">
        <v>11</v>
      </c>
      <c r="E410">
        <v>26</v>
      </c>
      <c r="F410" s="2">
        <f>DATE(2026,IF(Tabla1[[#This Row],[Mes de Fecha]]="Septiembre",9,10),Tabla1[[#This Row],[Día de Fecha]])</f>
        <v>46291</v>
      </c>
      <c r="G410">
        <v>1047425678</v>
      </c>
      <c r="H410" t="s">
        <v>468</v>
      </c>
      <c r="I410">
        <v>194</v>
      </c>
      <c r="J410">
        <v>0</v>
      </c>
      <c r="K410" s="1">
        <v>10691228</v>
      </c>
    </row>
    <row r="411" spans="1:11" x14ac:dyDescent="0.25">
      <c r="A411" t="s">
        <v>326</v>
      </c>
      <c r="B411" t="s">
        <v>465</v>
      </c>
      <c r="C411" t="s">
        <v>866</v>
      </c>
      <c r="D411" t="s">
        <v>11</v>
      </c>
      <c r="E411">
        <v>26</v>
      </c>
      <c r="F411" s="2">
        <f>DATE(2026,IF(Tabla1[[#This Row],[Mes de Fecha]]="Septiembre",9,10),Tabla1[[#This Row],[Día de Fecha]])</f>
        <v>46291</v>
      </c>
      <c r="G411">
        <v>1047465660</v>
      </c>
      <c r="H411" t="s">
        <v>469</v>
      </c>
      <c r="I411">
        <v>150</v>
      </c>
      <c r="J411">
        <v>0</v>
      </c>
      <c r="K411" s="1">
        <v>8029255</v>
      </c>
    </row>
    <row r="412" spans="1:11" x14ac:dyDescent="0.25">
      <c r="A412" t="s">
        <v>326</v>
      </c>
      <c r="B412" t="s">
        <v>465</v>
      </c>
      <c r="C412" t="s">
        <v>866</v>
      </c>
      <c r="D412" t="s">
        <v>11</v>
      </c>
      <c r="E412">
        <v>27</v>
      </c>
      <c r="F412" s="2">
        <f>DATE(2026,IF(Tabla1[[#This Row],[Mes de Fecha]]="Septiembre",9,10),Tabla1[[#This Row],[Día de Fecha]])</f>
        <v>46292</v>
      </c>
      <c r="I412">
        <v>0</v>
      </c>
      <c r="J412" s="1">
        <v>54099248</v>
      </c>
      <c r="K412">
        <v>0</v>
      </c>
    </row>
    <row r="413" spans="1:11" x14ac:dyDescent="0.25">
      <c r="A413" t="s">
        <v>326</v>
      </c>
      <c r="B413" t="s">
        <v>465</v>
      </c>
      <c r="C413" t="s">
        <v>866</v>
      </c>
      <c r="D413" t="s">
        <v>11</v>
      </c>
      <c r="E413">
        <v>27</v>
      </c>
      <c r="F413" s="2">
        <f>DATE(2026,IF(Tabla1[[#This Row],[Mes de Fecha]]="Septiembre",9,10),Tabla1[[#This Row],[Día de Fecha]])</f>
        <v>46292</v>
      </c>
      <c r="G413">
        <v>3739915</v>
      </c>
      <c r="H413" t="s">
        <v>471</v>
      </c>
      <c r="I413">
        <v>76</v>
      </c>
      <c r="J413">
        <v>0</v>
      </c>
      <c r="K413" s="1">
        <v>4540885</v>
      </c>
    </row>
    <row r="414" spans="1:11" x14ac:dyDescent="0.25">
      <c r="A414" t="s">
        <v>326</v>
      </c>
      <c r="B414" t="s">
        <v>465</v>
      </c>
      <c r="C414" t="s">
        <v>866</v>
      </c>
      <c r="D414" t="s">
        <v>11</v>
      </c>
      <c r="E414">
        <v>27</v>
      </c>
      <c r="F414" s="2">
        <f>DATE(2026,IF(Tabla1[[#This Row],[Mes de Fecha]]="Septiembre",9,10),Tabla1[[#This Row],[Día de Fecha]])</f>
        <v>46292</v>
      </c>
      <c r="G414">
        <v>3811650</v>
      </c>
      <c r="H414" t="s">
        <v>466</v>
      </c>
      <c r="I414">
        <v>252</v>
      </c>
      <c r="J414">
        <v>0</v>
      </c>
      <c r="K414" s="1">
        <v>13368712</v>
      </c>
    </row>
    <row r="415" spans="1:11" x14ac:dyDescent="0.25">
      <c r="A415" t="s">
        <v>326</v>
      </c>
      <c r="B415" t="s">
        <v>465</v>
      </c>
      <c r="C415" t="s">
        <v>866</v>
      </c>
      <c r="D415" t="s">
        <v>11</v>
      </c>
      <c r="E415">
        <v>27</v>
      </c>
      <c r="F415" s="2">
        <f>DATE(2026,IF(Tabla1[[#This Row],[Mes de Fecha]]="Septiembre",9,10),Tabla1[[#This Row],[Día de Fecha]])</f>
        <v>46292</v>
      </c>
      <c r="G415">
        <v>45691762</v>
      </c>
      <c r="H415" t="s">
        <v>467</v>
      </c>
      <c r="I415">
        <v>231</v>
      </c>
      <c r="J415">
        <v>0</v>
      </c>
      <c r="K415" s="1">
        <v>13219001</v>
      </c>
    </row>
    <row r="416" spans="1:11" x14ac:dyDescent="0.25">
      <c r="A416" t="s">
        <v>326</v>
      </c>
      <c r="B416" t="s">
        <v>465</v>
      </c>
      <c r="C416" t="s">
        <v>866</v>
      </c>
      <c r="D416" t="s">
        <v>11</v>
      </c>
      <c r="E416">
        <v>27</v>
      </c>
      <c r="F416" s="2">
        <f>DATE(2026,IF(Tabla1[[#This Row],[Mes de Fecha]]="Septiembre",9,10),Tabla1[[#This Row],[Día de Fecha]])</f>
        <v>46292</v>
      </c>
      <c r="G416">
        <v>1047425678</v>
      </c>
      <c r="H416" t="s">
        <v>468</v>
      </c>
      <c r="I416">
        <v>210</v>
      </c>
      <c r="J416">
        <v>0</v>
      </c>
      <c r="K416" s="1">
        <v>12343796</v>
      </c>
    </row>
    <row r="417" spans="1:11" x14ac:dyDescent="0.25">
      <c r="A417" t="s">
        <v>326</v>
      </c>
      <c r="B417" t="s">
        <v>465</v>
      </c>
      <c r="C417" t="s">
        <v>866</v>
      </c>
      <c r="D417" t="s">
        <v>11</v>
      </c>
      <c r="E417">
        <v>27</v>
      </c>
      <c r="F417" s="2">
        <f>DATE(2026,IF(Tabla1[[#This Row],[Mes de Fecha]]="Septiembre",9,10),Tabla1[[#This Row],[Día de Fecha]])</f>
        <v>46292</v>
      </c>
      <c r="G417">
        <v>1047439766</v>
      </c>
      <c r="H417" t="s">
        <v>474</v>
      </c>
      <c r="I417">
        <v>-1</v>
      </c>
      <c r="J417">
        <v>0</v>
      </c>
      <c r="K417" s="1">
        <v>-58765</v>
      </c>
    </row>
    <row r="418" spans="1:11" x14ac:dyDescent="0.25">
      <c r="A418" t="s">
        <v>326</v>
      </c>
      <c r="B418" t="s">
        <v>465</v>
      </c>
      <c r="C418" t="s">
        <v>866</v>
      </c>
      <c r="D418" t="s">
        <v>11</v>
      </c>
      <c r="E418">
        <v>27</v>
      </c>
      <c r="F418" s="2">
        <f>DATE(2026,IF(Tabla1[[#This Row],[Mes de Fecha]]="Septiembre",9,10),Tabla1[[#This Row],[Día de Fecha]])</f>
        <v>46292</v>
      </c>
      <c r="G418">
        <v>1047465660</v>
      </c>
      <c r="H418" t="s">
        <v>469</v>
      </c>
      <c r="I418">
        <v>98</v>
      </c>
      <c r="J418">
        <v>0</v>
      </c>
      <c r="K418" s="1">
        <v>5806600</v>
      </c>
    </row>
    <row r="419" spans="1:11" x14ac:dyDescent="0.25">
      <c r="A419" t="s">
        <v>326</v>
      </c>
      <c r="B419" t="s">
        <v>465</v>
      </c>
      <c r="C419" t="s">
        <v>866</v>
      </c>
      <c r="D419" t="s">
        <v>11</v>
      </c>
      <c r="E419">
        <v>27</v>
      </c>
      <c r="F419" s="2">
        <f>DATE(2026,IF(Tabla1[[#This Row],[Mes de Fecha]]="Septiembre",9,10),Tabla1[[#This Row],[Día de Fecha]])</f>
        <v>46292</v>
      </c>
      <c r="G419">
        <v>1047485937</v>
      </c>
      <c r="H419" t="s">
        <v>470</v>
      </c>
      <c r="I419">
        <v>-1</v>
      </c>
      <c r="J419">
        <v>0</v>
      </c>
      <c r="K419" s="1">
        <v>-58781</v>
      </c>
    </row>
    <row r="420" spans="1:11" x14ac:dyDescent="0.25">
      <c r="A420" t="s">
        <v>326</v>
      </c>
      <c r="B420" t="s">
        <v>465</v>
      </c>
      <c r="C420" t="s">
        <v>866</v>
      </c>
      <c r="D420" t="s">
        <v>11</v>
      </c>
      <c r="E420">
        <v>28</v>
      </c>
      <c r="F420" s="2">
        <f>DATE(2026,IF(Tabla1[[#This Row],[Mes de Fecha]]="Septiembre",9,10),Tabla1[[#This Row],[Día de Fecha]])</f>
        <v>46293</v>
      </c>
      <c r="I420">
        <v>0</v>
      </c>
      <c r="J420" s="1">
        <v>29774005</v>
      </c>
      <c r="K420">
        <v>0</v>
      </c>
    </row>
    <row r="421" spans="1:11" x14ac:dyDescent="0.25">
      <c r="A421" t="s">
        <v>326</v>
      </c>
      <c r="B421" t="s">
        <v>465</v>
      </c>
      <c r="C421" t="s">
        <v>866</v>
      </c>
      <c r="D421" t="s">
        <v>11</v>
      </c>
      <c r="E421">
        <v>28</v>
      </c>
      <c r="F421" s="2">
        <f>DATE(2026,IF(Tabla1[[#This Row],[Mes de Fecha]]="Septiembre",9,10),Tabla1[[#This Row],[Día de Fecha]])</f>
        <v>46293</v>
      </c>
      <c r="G421">
        <v>3739915</v>
      </c>
      <c r="H421" t="s">
        <v>471</v>
      </c>
      <c r="I421">
        <v>32</v>
      </c>
      <c r="J421">
        <v>0</v>
      </c>
      <c r="K421" s="1">
        <v>1901978</v>
      </c>
    </row>
    <row r="422" spans="1:11" x14ac:dyDescent="0.25">
      <c r="A422" t="s">
        <v>326</v>
      </c>
      <c r="B422" t="s">
        <v>465</v>
      </c>
      <c r="C422" t="s">
        <v>866</v>
      </c>
      <c r="D422" t="s">
        <v>11</v>
      </c>
      <c r="E422">
        <v>28</v>
      </c>
      <c r="F422" s="2">
        <f>DATE(2026,IF(Tabla1[[#This Row],[Mes de Fecha]]="Septiembre",9,10),Tabla1[[#This Row],[Día de Fecha]])</f>
        <v>46293</v>
      </c>
      <c r="G422">
        <v>3811650</v>
      </c>
      <c r="H422" t="s">
        <v>466</v>
      </c>
      <c r="I422">
        <v>128</v>
      </c>
      <c r="J422">
        <v>0</v>
      </c>
      <c r="K422" s="1">
        <v>6594879</v>
      </c>
    </row>
    <row r="423" spans="1:11" x14ac:dyDescent="0.25">
      <c r="A423" t="s">
        <v>326</v>
      </c>
      <c r="B423" t="s">
        <v>465</v>
      </c>
      <c r="C423" t="s">
        <v>866</v>
      </c>
      <c r="D423" t="s">
        <v>11</v>
      </c>
      <c r="E423">
        <v>28</v>
      </c>
      <c r="F423" s="2">
        <f>DATE(2026,IF(Tabla1[[#This Row],[Mes de Fecha]]="Septiembre",9,10),Tabla1[[#This Row],[Día de Fecha]])</f>
        <v>46293</v>
      </c>
      <c r="G423">
        <v>45691762</v>
      </c>
      <c r="H423" t="s">
        <v>467</v>
      </c>
      <c r="I423">
        <v>129</v>
      </c>
      <c r="J423">
        <v>0</v>
      </c>
      <c r="K423" s="1">
        <v>7048699</v>
      </c>
    </row>
    <row r="424" spans="1:11" x14ac:dyDescent="0.25">
      <c r="A424" t="s">
        <v>326</v>
      </c>
      <c r="B424" t="s">
        <v>465</v>
      </c>
      <c r="C424" t="s">
        <v>866</v>
      </c>
      <c r="D424" t="s">
        <v>11</v>
      </c>
      <c r="E424">
        <v>28</v>
      </c>
      <c r="F424" s="2">
        <f>DATE(2026,IF(Tabla1[[#This Row],[Mes de Fecha]]="Septiembre",9,10),Tabla1[[#This Row],[Día de Fecha]])</f>
        <v>46293</v>
      </c>
      <c r="G424">
        <v>1047425678</v>
      </c>
      <c r="H424" t="s">
        <v>468</v>
      </c>
      <c r="I424">
        <v>100</v>
      </c>
      <c r="J424">
        <v>0</v>
      </c>
      <c r="K424" s="1">
        <v>6256136</v>
      </c>
    </row>
    <row r="425" spans="1:11" x14ac:dyDescent="0.25">
      <c r="A425" t="s">
        <v>326</v>
      </c>
      <c r="B425" t="s">
        <v>465</v>
      </c>
      <c r="C425" t="s">
        <v>866</v>
      </c>
      <c r="D425" t="s">
        <v>11</v>
      </c>
      <c r="E425">
        <v>28</v>
      </c>
      <c r="F425" s="2">
        <f>DATE(2026,IF(Tabla1[[#This Row],[Mes de Fecha]]="Septiembre",9,10),Tabla1[[#This Row],[Día de Fecha]])</f>
        <v>46293</v>
      </c>
      <c r="G425">
        <v>1047465660</v>
      </c>
      <c r="H425" t="s">
        <v>469</v>
      </c>
      <c r="I425">
        <v>2</v>
      </c>
      <c r="J425">
        <v>0</v>
      </c>
      <c r="K425" s="1">
        <v>155378</v>
      </c>
    </row>
    <row r="426" spans="1:11" x14ac:dyDescent="0.25">
      <c r="A426" t="s">
        <v>326</v>
      </c>
      <c r="B426" t="s">
        <v>465</v>
      </c>
      <c r="C426" t="s">
        <v>866</v>
      </c>
      <c r="D426" t="s">
        <v>11</v>
      </c>
      <c r="E426">
        <v>29</v>
      </c>
      <c r="F426" s="2">
        <f>DATE(2026,IF(Tabla1[[#This Row],[Mes de Fecha]]="Septiembre",9,10),Tabla1[[#This Row],[Día de Fecha]])</f>
        <v>46294</v>
      </c>
      <c r="I426">
        <v>0</v>
      </c>
      <c r="J426" s="1">
        <v>31804466</v>
      </c>
      <c r="K426">
        <v>0</v>
      </c>
    </row>
    <row r="427" spans="1:11" x14ac:dyDescent="0.25">
      <c r="A427" t="s">
        <v>326</v>
      </c>
      <c r="B427" t="s">
        <v>465</v>
      </c>
      <c r="C427" t="s">
        <v>866</v>
      </c>
      <c r="D427" t="s">
        <v>11</v>
      </c>
      <c r="E427">
        <v>29</v>
      </c>
      <c r="F427" s="2">
        <f>DATE(2026,IF(Tabla1[[#This Row],[Mes de Fecha]]="Septiembre",9,10),Tabla1[[#This Row],[Día de Fecha]])</f>
        <v>46294</v>
      </c>
      <c r="G427">
        <v>3739915</v>
      </c>
      <c r="H427" t="s">
        <v>471</v>
      </c>
      <c r="I427">
        <v>37</v>
      </c>
      <c r="J427">
        <v>0</v>
      </c>
      <c r="K427" s="1">
        <v>2076221</v>
      </c>
    </row>
    <row r="428" spans="1:11" x14ac:dyDescent="0.25">
      <c r="A428" t="s">
        <v>326</v>
      </c>
      <c r="B428" t="s">
        <v>465</v>
      </c>
      <c r="C428" t="s">
        <v>866</v>
      </c>
      <c r="D428" t="s">
        <v>11</v>
      </c>
      <c r="E428">
        <v>29</v>
      </c>
      <c r="F428" s="2">
        <f>DATE(2026,IF(Tabla1[[#This Row],[Mes de Fecha]]="Septiembre",9,10),Tabla1[[#This Row],[Día de Fecha]])</f>
        <v>46294</v>
      </c>
      <c r="G428">
        <v>3811650</v>
      </c>
      <c r="H428" t="s">
        <v>466</v>
      </c>
      <c r="I428">
        <v>94</v>
      </c>
      <c r="J428">
        <v>0</v>
      </c>
      <c r="K428" s="1">
        <v>5888827</v>
      </c>
    </row>
    <row r="429" spans="1:11" x14ac:dyDescent="0.25">
      <c r="A429" t="s">
        <v>326</v>
      </c>
      <c r="B429" t="s">
        <v>465</v>
      </c>
      <c r="C429" t="s">
        <v>866</v>
      </c>
      <c r="D429" t="s">
        <v>11</v>
      </c>
      <c r="E429">
        <v>29</v>
      </c>
      <c r="F429" s="2">
        <f>DATE(2026,IF(Tabla1[[#This Row],[Mes de Fecha]]="Septiembre",9,10),Tabla1[[#This Row],[Día de Fecha]])</f>
        <v>46294</v>
      </c>
      <c r="G429">
        <v>45691762</v>
      </c>
      <c r="H429" t="s">
        <v>467</v>
      </c>
      <c r="I429">
        <v>116</v>
      </c>
      <c r="J429">
        <v>0</v>
      </c>
      <c r="K429" s="1">
        <v>6778409</v>
      </c>
    </row>
    <row r="430" spans="1:11" x14ac:dyDescent="0.25">
      <c r="A430" t="s">
        <v>326</v>
      </c>
      <c r="B430" t="s">
        <v>465</v>
      </c>
      <c r="C430" t="s">
        <v>866</v>
      </c>
      <c r="D430" t="s">
        <v>11</v>
      </c>
      <c r="E430">
        <v>29</v>
      </c>
      <c r="F430" s="2">
        <f>DATE(2026,IF(Tabla1[[#This Row],[Mes de Fecha]]="Septiembre",9,10),Tabla1[[#This Row],[Día de Fecha]])</f>
        <v>46294</v>
      </c>
      <c r="G430">
        <v>1047425678</v>
      </c>
      <c r="H430" t="s">
        <v>468</v>
      </c>
      <c r="I430">
        <v>135</v>
      </c>
      <c r="J430">
        <v>0</v>
      </c>
      <c r="K430" s="1">
        <v>7582280</v>
      </c>
    </row>
    <row r="431" spans="1:11" x14ac:dyDescent="0.25">
      <c r="A431" t="s">
        <v>326</v>
      </c>
      <c r="B431" t="s">
        <v>465</v>
      </c>
      <c r="C431" t="s">
        <v>866</v>
      </c>
      <c r="D431" t="s">
        <v>11</v>
      </c>
      <c r="E431">
        <v>29</v>
      </c>
      <c r="F431" s="2">
        <f>DATE(2026,IF(Tabla1[[#This Row],[Mes de Fecha]]="Septiembre",9,10),Tabla1[[#This Row],[Día de Fecha]])</f>
        <v>46294</v>
      </c>
      <c r="G431">
        <v>1047465660</v>
      </c>
      <c r="H431" t="s">
        <v>469</v>
      </c>
      <c r="I431">
        <v>54</v>
      </c>
      <c r="J431">
        <v>0</v>
      </c>
      <c r="K431" s="1">
        <v>3373746</v>
      </c>
    </row>
    <row r="432" spans="1:11" x14ac:dyDescent="0.25">
      <c r="A432" t="s">
        <v>326</v>
      </c>
      <c r="B432" t="s">
        <v>465</v>
      </c>
      <c r="C432" t="s">
        <v>866</v>
      </c>
      <c r="D432" t="s">
        <v>11</v>
      </c>
      <c r="E432">
        <v>30</v>
      </c>
      <c r="F432" s="2">
        <f>DATE(2026,IF(Tabla1[[#This Row],[Mes de Fecha]]="Septiembre",9,10),Tabla1[[#This Row],[Día de Fecha]])</f>
        <v>46295</v>
      </c>
      <c r="I432">
        <v>0</v>
      </c>
      <c r="J432" s="1">
        <v>32854581</v>
      </c>
      <c r="K432">
        <v>0</v>
      </c>
    </row>
    <row r="433" spans="1:11" x14ac:dyDescent="0.25">
      <c r="A433" t="s">
        <v>326</v>
      </c>
      <c r="B433" t="s">
        <v>465</v>
      </c>
      <c r="C433" t="s">
        <v>866</v>
      </c>
      <c r="D433" t="s">
        <v>11</v>
      </c>
      <c r="E433">
        <v>30</v>
      </c>
      <c r="F433" s="2">
        <f>DATE(2026,IF(Tabla1[[#This Row],[Mes de Fecha]]="Septiembre",9,10),Tabla1[[#This Row],[Día de Fecha]])</f>
        <v>46295</v>
      </c>
      <c r="G433">
        <v>3739915</v>
      </c>
      <c r="H433" t="s">
        <v>471</v>
      </c>
      <c r="I433">
        <v>36</v>
      </c>
      <c r="J433">
        <v>0</v>
      </c>
      <c r="K433" s="1">
        <v>1975338</v>
      </c>
    </row>
    <row r="434" spans="1:11" x14ac:dyDescent="0.25">
      <c r="A434" t="s">
        <v>326</v>
      </c>
      <c r="B434" t="s">
        <v>465</v>
      </c>
      <c r="C434" t="s">
        <v>866</v>
      </c>
      <c r="D434" t="s">
        <v>11</v>
      </c>
      <c r="E434">
        <v>30</v>
      </c>
      <c r="F434" s="2">
        <f>DATE(2026,IF(Tabla1[[#This Row],[Mes de Fecha]]="Septiembre",9,10),Tabla1[[#This Row],[Día de Fecha]])</f>
        <v>46295</v>
      </c>
      <c r="G434">
        <v>3811650</v>
      </c>
      <c r="H434" t="s">
        <v>466</v>
      </c>
      <c r="I434">
        <v>174</v>
      </c>
      <c r="J434">
        <v>0</v>
      </c>
      <c r="K434" s="1">
        <v>9260649</v>
      </c>
    </row>
    <row r="435" spans="1:11" x14ac:dyDescent="0.25">
      <c r="A435" t="s">
        <v>326</v>
      </c>
      <c r="B435" t="s">
        <v>465</v>
      </c>
      <c r="C435" t="s">
        <v>866</v>
      </c>
      <c r="D435" t="s">
        <v>11</v>
      </c>
      <c r="E435">
        <v>30</v>
      </c>
      <c r="F435" s="2">
        <f>DATE(2026,IF(Tabla1[[#This Row],[Mes de Fecha]]="Septiembre",9,10),Tabla1[[#This Row],[Día de Fecha]])</f>
        <v>46295</v>
      </c>
      <c r="G435">
        <v>45691762</v>
      </c>
      <c r="H435" t="s">
        <v>467</v>
      </c>
      <c r="I435">
        <v>128</v>
      </c>
      <c r="J435">
        <v>0</v>
      </c>
      <c r="K435" s="1">
        <v>7437781</v>
      </c>
    </row>
    <row r="436" spans="1:11" x14ac:dyDescent="0.25">
      <c r="A436" t="s">
        <v>326</v>
      </c>
      <c r="B436" t="s">
        <v>465</v>
      </c>
      <c r="C436" t="s">
        <v>866</v>
      </c>
      <c r="D436" t="s">
        <v>11</v>
      </c>
      <c r="E436">
        <v>30</v>
      </c>
      <c r="F436" s="2">
        <f>DATE(2026,IF(Tabla1[[#This Row],[Mes de Fecha]]="Septiembre",9,10),Tabla1[[#This Row],[Día de Fecha]])</f>
        <v>46295</v>
      </c>
      <c r="G436">
        <v>1007371954</v>
      </c>
      <c r="H436" t="s">
        <v>475</v>
      </c>
      <c r="I436">
        <v>-3</v>
      </c>
      <c r="J436">
        <v>0</v>
      </c>
      <c r="K436" s="1">
        <v>-369496</v>
      </c>
    </row>
    <row r="437" spans="1:11" x14ac:dyDescent="0.25">
      <c r="A437" t="s">
        <v>326</v>
      </c>
      <c r="B437" t="s">
        <v>465</v>
      </c>
      <c r="C437" t="s">
        <v>866</v>
      </c>
      <c r="D437" t="s">
        <v>11</v>
      </c>
      <c r="E437">
        <v>30</v>
      </c>
      <c r="F437" s="2">
        <f>DATE(2026,IF(Tabla1[[#This Row],[Mes de Fecha]]="Septiembre",9,10),Tabla1[[#This Row],[Día de Fecha]])</f>
        <v>46295</v>
      </c>
      <c r="G437">
        <v>1047425678</v>
      </c>
      <c r="H437" t="s">
        <v>468</v>
      </c>
      <c r="I437">
        <v>135</v>
      </c>
      <c r="J437">
        <v>0</v>
      </c>
      <c r="K437" s="1">
        <v>7726771</v>
      </c>
    </row>
    <row r="438" spans="1:11" x14ac:dyDescent="0.25">
      <c r="A438" t="s">
        <v>326</v>
      </c>
      <c r="B438" t="s">
        <v>465</v>
      </c>
      <c r="C438" t="s">
        <v>866</v>
      </c>
      <c r="D438" t="s">
        <v>11</v>
      </c>
      <c r="E438">
        <v>30</v>
      </c>
      <c r="F438" s="2">
        <f>DATE(2026,IF(Tabla1[[#This Row],[Mes de Fecha]]="Septiembre",9,10),Tabla1[[#This Row],[Día de Fecha]])</f>
        <v>46295</v>
      </c>
      <c r="G438">
        <v>1047465660</v>
      </c>
      <c r="H438" t="s">
        <v>469</v>
      </c>
      <c r="I438">
        <v>58</v>
      </c>
      <c r="J438">
        <v>0</v>
      </c>
      <c r="K438" s="1">
        <v>3392405</v>
      </c>
    </row>
    <row r="439" spans="1:11" x14ac:dyDescent="0.25">
      <c r="A439" t="s">
        <v>326</v>
      </c>
      <c r="B439" t="s">
        <v>465</v>
      </c>
      <c r="C439" t="s">
        <v>866</v>
      </c>
      <c r="D439" t="s">
        <v>11</v>
      </c>
      <c r="E439">
        <v>30</v>
      </c>
      <c r="F439" s="2">
        <f>DATE(2026,IF(Tabla1[[#This Row],[Mes de Fecha]]="Septiembre",9,10),Tabla1[[#This Row],[Día de Fecha]])</f>
        <v>46295</v>
      </c>
      <c r="G439">
        <v>1067882225</v>
      </c>
      <c r="H439" t="s">
        <v>476</v>
      </c>
      <c r="I439">
        <v>-1</v>
      </c>
      <c r="J439">
        <v>0</v>
      </c>
      <c r="K439" s="1">
        <v>-46177</v>
      </c>
    </row>
    <row r="440" spans="1:11" x14ac:dyDescent="0.25">
      <c r="A440" t="s">
        <v>326</v>
      </c>
      <c r="B440" t="s">
        <v>465</v>
      </c>
      <c r="C440" t="s">
        <v>866</v>
      </c>
      <c r="D440" t="s">
        <v>14</v>
      </c>
      <c r="E440">
        <v>1</v>
      </c>
      <c r="F440" s="2">
        <f>DATE(2026,IF(Tabla1[[#This Row],[Mes de Fecha]]="Septiembre",9,10),Tabla1[[#This Row],[Día de Fecha]])</f>
        <v>46296</v>
      </c>
      <c r="I440">
        <v>0</v>
      </c>
      <c r="J440" s="1">
        <v>37681149</v>
      </c>
      <c r="K440">
        <v>0</v>
      </c>
    </row>
    <row r="441" spans="1:11" x14ac:dyDescent="0.25">
      <c r="A441" t="s">
        <v>326</v>
      </c>
      <c r="B441" t="s">
        <v>465</v>
      </c>
      <c r="C441" t="s">
        <v>866</v>
      </c>
      <c r="D441" t="s">
        <v>14</v>
      </c>
      <c r="E441">
        <v>1</v>
      </c>
      <c r="F441" s="2">
        <f>DATE(2026,IF(Tabla1[[#This Row],[Mes de Fecha]]="Septiembre",9,10),Tabla1[[#This Row],[Día de Fecha]])</f>
        <v>46296</v>
      </c>
      <c r="G441">
        <v>3739915</v>
      </c>
      <c r="H441" t="s">
        <v>471</v>
      </c>
      <c r="I441">
        <v>45</v>
      </c>
      <c r="J441">
        <v>0</v>
      </c>
      <c r="K441" s="1">
        <v>2636725</v>
      </c>
    </row>
    <row r="442" spans="1:11" x14ac:dyDescent="0.25">
      <c r="A442" t="s">
        <v>326</v>
      </c>
      <c r="B442" t="s">
        <v>465</v>
      </c>
      <c r="C442" t="s">
        <v>866</v>
      </c>
      <c r="D442" t="s">
        <v>14</v>
      </c>
      <c r="E442">
        <v>1</v>
      </c>
      <c r="F442" s="2">
        <f>DATE(2026,IF(Tabla1[[#This Row],[Mes de Fecha]]="Septiembre",9,10),Tabla1[[#This Row],[Día de Fecha]])</f>
        <v>46296</v>
      </c>
      <c r="G442">
        <v>3811650</v>
      </c>
      <c r="H442" t="s">
        <v>466</v>
      </c>
      <c r="I442">
        <v>0</v>
      </c>
      <c r="J442">
        <v>0</v>
      </c>
      <c r="K442">
        <v>0</v>
      </c>
    </row>
    <row r="443" spans="1:11" x14ac:dyDescent="0.25">
      <c r="A443" t="s">
        <v>326</v>
      </c>
      <c r="B443" t="s">
        <v>465</v>
      </c>
      <c r="C443" t="s">
        <v>866</v>
      </c>
      <c r="D443" t="s">
        <v>14</v>
      </c>
      <c r="E443">
        <v>1</v>
      </c>
      <c r="F443" s="2">
        <f>DATE(2026,IF(Tabla1[[#This Row],[Mes de Fecha]]="Septiembre",9,10),Tabla1[[#This Row],[Día de Fecha]])</f>
        <v>46296</v>
      </c>
      <c r="G443">
        <v>45548590</v>
      </c>
      <c r="H443" t="s">
        <v>477</v>
      </c>
      <c r="I443">
        <v>-1</v>
      </c>
      <c r="J443">
        <v>0</v>
      </c>
      <c r="K443" s="1">
        <v>-155420</v>
      </c>
    </row>
    <row r="444" spans="1:11" x14ac:dyDescent="0.25">
      <c r="A444" t="s">
        <v>326</v>
      </c>
      <c r="B444" t="s">
        <v>465</v>
      </c>
      <c r="C444" t="s">
        <v>866</v>
      </c>
      <c r="D444" t="s">
        <v>14</v>
      </c>
      <c r="E444">
        <v>1</v>
      </c>
      <c r="F444" s="2">
        <f>DATE(2026,IF(Tabla1[[#This Row],[Mes de Fecha]]="Septiembre",9,10),Tabla1[[#This Row],[Día de Fecha]])</f>
        <v>46296</v>
      </c>
      <c r="G444">
        <v>45691762</v>
      </c>
      <c r="H444" t="s">
        <v>467</v>
      </c>
      <c r="I444">
        <v>197</v>
      </c>
      <c r="J444">
        <v>0</v>
      </c>
      <c r="K444" s="1">
        <v>11310848</v>
      </c>
    </row>
    <row r="445" spans="1:11" x14ac:dyDescent="0.25">
      <c r="A445" t="s">
        <v>326</v>
      </c>
      <c r="B445" t="s">
        <v>465</v>
      </c>
      <c r="C445" t="s">
        <v>866</v>
      </c>
      <c r="D445" t="s">
        <v>14</v>
      </c>
      <c r="E445">
        <v>1</v>
      </c>
      <c r="F445" s="2">
        <f>DATE(2026,IF(Tabla1[[#This Row],[Mes de Fecha]]="Septiembre",9,10),Tabla1[[#This Row],[Día de Fecha]])</f>
        <v>46296</v>
      </c>
      <c r="G445">
        <v>1000130937</v>
      </c>
      <c r="H445" t="s">
        <v>478</v>
      </c>
      <c r="I445">
        <v>-1</v>
      </c>
      <c r="J445">
        <v>0</v>
      </c>
      <c r="K445" s="1">
        <v>-46177</v>
      </c>
    </row>
    <row r="446" spans="1:11" x14ac:dyDescent="0.25">
      <c r="A446" t="s">
        <v>326</v>
      </c>
      <c r="B446" t="s">
        <v>465</v>
      </c>
      <c r="C446" t="s">
        <v>866</v>
      </c>
      <c r="D446" t="s">
        <v>14</v>
      </c>
      <c r="E446">
        <v>1</v>
      </c>
      <c r="F446" s="2">
        <f>DATE(2026,IF(Tabla1[[#This Row],[Mes de Fecha]]="Septiembre",9,10),Tabla1[[#This Row],[Día de Fecha]])</f>
        <v>46296</v>
      </c>
      <c r="G446">
        <v>1047425678</v>
      </c>
      <c r="H446" t="s">
        <v>468</v>
      </c>
      <c r="I446">
        <v>192</v>
      </c>
      <c r="J446">
        <v>0</v>
      </c>
      <c r="K446" s="1">
        <v>10159802</v>
      </c>
    </row>
    <row r="447" spans="1:11" x14ac:dyDescent="0.25">
      <c r="A447" t="s">
        <v>326</v>
      </c>
      <c r="B447" t="s">
        <v>465</v>
      </c>
      <c r="C447" t="s">
        <v>866</v>
      </c>
      <c r="D447" t="s">
        <v>14</v>
      </c>
      <c r="E447">
        <v>1</v>
      </c>
      <c r="F447" s="2">
        <f>DATE(2026,IF(Tabla1[[#This Row],[Mes de Fecha]]="Septiembre",9,10),Tabla1[[#This Row],[Día de Fecha]])</f>
        <v>46296</v>
      </c>
      <c r="G447">
        <v>1047439766</v>
      </c>
      <c r="H447" t="s">
        <v>474</v>
      </c>
      <c r="I447">
        <v>-1</v>
      </c>
      <c r="J447">
        <v>0</v>
      </c>
      <c r="K447" s="1">
        <v>-33529</v>
      </c>
    </row>
    <row r="448" spans="1:11" x14ac:dyDescent="0.25">
      <c r="A448" t="s">
        <v>326</v>
      </c>
      <c r="B448" t="s">
        <v>465</v>
      </c>
      <c r="C448" t="s">
        <v>866</v>
      </c>
      <c r="D448" t="s">
        <v>14</v>
      </c>
      <c r="E448">
        <v>1</v>
      </c>
      <c r="F448" s="2">
        <f>DATE(2026,IF(Tabla1[[#This Row],[Mes de Fecha]]="Septiembre",9,10),Tabla1[[#This Row],[Día de Fecha]])</f>
        <v>46296</v>
      </c>
      <c r="G448">
        <v>1047465660</v>
      </c>
      <c r="H448" t="s">
        <v>469</v>
      </c>
      <c r="I448">
        <v>74</v>
      </c>
      <c r="J448">
        <v>0</v>
      </c>
      <c r="K448" s="1">
        <v>3750807</v>
      </c>
    </row>
    <row r="449" spans="1:11" x14ac:dyDescent="0.25">
      <c r="A449" t="s">
        <v>326</v>
      </c>
      <c r="B449" t="s">
        <v>465</v>
      </c>
      <c r="C449" t="s">
        <v>866</v>
      </c>
      <c r="D449" t="s">
        <v>14</v>
      </c>
      <c r="E449">
        <v>2</v>
      </c>
      <c r="F449" s="2">
        <f>DATE(2026,IF(Tabla1[[#This Row],[Mes de Fecha]]="Septiembre",9,10),Tabla1[[#This Row],[Día de Fecha]])</f>
        <v>46297</v>
      </c>
      <c r="I449">
        <v>0</v>
      </c>
      <c r="J449" s="1">
        <v>29187303</v>
      </c>
      <c r="K449">
        <v>0</v>
      </c>
    </row>
    <row r="450" spans="1:11" x14ac:dyDescent="0.25">
      <c r="A450" t="s">
        <v>326</v>
      </c>
      <c r="B450" t="s">
        <v>465</v>
      </c>
      <c r="C450" t="s">
        <v>866</v>
      </c>
      <c r="D450" t="s">
        <v>14</v>
      </c>
      <c r="E450">
        <v>2</v>
      </c>
      <c r="F450" s="2">
        <f>DATE(2026,IF(Tabla1[[#This Row],[Mes de Fecha]]="Septiembre",9,10),Tabla1[[#This Row],[Día de Fecha]])</f>
        <v>46297</v>
      </c>
      <c r="G450">
        <v>3739915</v>
      </c>
      <c r="H450" t="s">
        <v>471</v>
      </c>
      <c r="I450">
        <v>24</v>
      </c>
      <c r="J450">
        <v>0</v>
      </c>
      <c r="K450" s="1">
        <v>1669162</v>
      </c>
    </row>
    <row r="451" spans="1:11" x14ac:dyDescent="0.25">
      <c r="A451" t="s">
        <v>326</v>
      </c>
      <c r="B451" t="s">
        <v>465</v>
      </c>
      <c r="C451" t="s">
        <v>866</v>
      </c>
      <c r="D451" t="s">
        <v>14</v>
      </c>
      <c r="E451">
        <v>2</v>
      </c>
      <c r="F451" s="2">
        <f>DATE(2026,IF(Tabla1[[#This Row],[Mes de Fecha]]="Septiembre",9,10),Tabla1[[#This Row],[Día de Fecha]])</f>
        <v>46297</v>
      </c>
      <c r="G451">
        <v>3811650</v>
      </c>
      <c r="H451" t="s">
        <v>466</v>
      </c>
      <c r="I451">
        <v>139</v>
      </c>
      <c r="J451">
        <v>0</v>
      </c>
      <c r="K451" s="1">
        <v>7954124</v>
      </c>
    </row>
    <row r="452" spans="1:11" x14ac:dyDescent="0.25">
      <c r="A452" t="s">
        <v>326</v>
      </c>
      <c r="B452" t="s">
        <v>465</v>
      </c>
      <c r="C452" t="s">
        <v>866</v>
      </c>
      <c r="D452" t="s">
        <v>14</v>
      </c>
      <c r="E452">
        <v>2</v>
      </c>
      <c r="F452" s="2">
        <f>DATE(2026,IF(Tabla1[[#This Row],[Mes de Fecha]]="Septiembre",9,10),Tabla1[[#This Row],[Día de Fecha]])</f>
        <v>46297</v>
      </c>
      <c r="G452">
        <v>45691762</v>
      </c>
      <c r="H452" t="s">
        <v>467</v>
      </c>
      <c r="I452">
        <v>118</v>
      </c>
      <c r="J452">
        <v>0</v>
      </c>
      <c r="K452" s="1">
        <v>7272192</v>
      </c>
    </row>
    <row r="453" spans="1:11" x14ac:dyDescent="0.25">
      <c r="A453" t="s">
        <v>326</v>
      </c>
      <c r="B453" t="s">
        <v>465</v>
      </c>
      <c r="C453" t="s">
        <v>866</v>
      </c>
      <c r="D453" t="s">
        <v>14</v>
      </c>
      <c r="E453">
        <v>2</v>
      </c>
      <c r="F453" s="2">
        <f>DATE(2026,IF(Tabla1[[#This Row],[Mes de Fecha]]="Septiembre",9,10),Tabla1[[#This Row],[Día de Fecha]])</f>
        <v>46297</v>
      </c>
      <c r="G453">
        <v>1047425678</v>
      </c>
      <c r="H453" t="s">
        <v>468</v>
      </c>
      <c r="I453">
        <v>118</v>
      </c>
      <c r="J453">
        <v>0</v>
      </c>
      <c r="K453" s="1">
        <v>6375174</v>
      </c>
    </row>
    <row r="454" spans="1:11" x14ac:dyDescent="0.25">
      <c r="A454" t="s">
        <v>326</v>
      </c>
      <c r="B454" t="s">
        <v>465</v>
      </c>
      <c r="C454" t="s">
        <v>866</v>
      </c>
      <c r="D454" t="s">
        <v>14</v>
      </c>
      <c r="E454">
        <v>2</v>
      </c>
      <c r="F454" s="2">
        <f>DATE(2026,IF(Tabla1[[#This Row],[Mes de Fecha]]="Septiembre",9,10),Tabla1[[#This Row],[Día de Fecha]])</f>
        <v>46297</v>
      </c>
      <c r="G454">
        <v>1047465660</v>
      </c>
      <c r="H454" t="s">
        <v>469</v>
      </c>
      <c r="I454">
        <v>52</v>
      </c>
      <c r="J454">
        <v>0</v>
      </c>
      <c r="K454" s="1">
        <v>3172103</v>
      </c>
    </row>
    <row r="455" spans="1:11" x14ac:dyDescent="0.25">
      <c r="A455" t="s">
        <v>326</v>
      </c>
      <c r="B455" t="s">
        <v>465</v>
      </c>
      <c r="C455" t="s">
        <v>866</v>
      </c>
      <c r="D455" t="s">
        <v>14</v>
      </c>
      <c r="E455">
        <v>3</v>
      </c>
      <c r="F455" s="2">
        <f>DATE(2026,IF(Tabla1[[#This Row],[Mes de Fecha]]="Septiembre",9,10),Tabla1[[#This Row],[Día de Fecha]])</f>
        <v>46298</v>
      </c>
      <c r="I455">
        <v>0</v>
      </c>
      <c r="J455" s="1">
        <v>50316300</v>
      </c>
      <c r="K455">
        <v>0</v>
      </c>
    </row>
    <row r="456" spans="1:11" x14ac:dyDescent="0.25">
      <c r="A456" t="s">
        <v>326</v>
      </c>
      <c r="B456" t="s">
        <v>465</v>
      </c>
      <c r="C456" t="s">
        <v>866</v>
      </c>
      <c r="D456" t="s">
        <v>14</v>
      </c>
      <c r="E456">
        <v>3</v>
      </c>
      <c r="F456" s="2">
        <f>DATE(2026,IF(Tabla1[[#This Row],[Mes de Fecha]]="Septiembre",9,10),Tabla1[[#This Row],[Día de Fecha]])</f>
        <v>46298</v>
      </c>
      <c r="G456">
        <v>3739915</v>
      </c>
      <c r="H456" t="s">
        <v>471</v>
      </c>
      <c r="I456">
        <v>52</v>
      </c>
      <c r="J456">
        <v>0</v>
      </c>
      <c r="K456" s="1">
        <v>2882044</v>
      </c>
    </row>
    <row r="457" spans="1:11" x14ac:dyDescent="0.25">
      <c r="A457" t="s">
        <v>326</v>
      </c>
      <c r="B457" t="s">
        <v>465</v>
      </c>
      <c r="C457" t="s">
        <v>866</v>
      </c>
      <c r="D457" t="s">
        <v>14</v>
      </c>
      <c r="E457">
        <v>3</v>
      </c>
      <c r="F457" s="2">
        <f>DATE(2026,IF(Tabla1[[#This Row],[Mes de Fecha]]="Septiembre",9,10),Tabla1[[#This Row],[Día de Fecha]])</f>
        <v>46298</v>
      </c>
      <c r="G457">
        <v>3811650</v>
      </c>
      <c r="H457" t="s">
        <v>466</v>
      </c>
      <c r="I457">
        <v>291</v>
      </c>
      <c r="J457">
        <v>0</v>
      </c>
      <c r="K457" s="1">
        <v>15330400</v>
      </c>
    </row>
    <row r="458" spans="1:11" x14ac:dyDescent="0.25">
      <c r="A458" t="s">
        <v>326</v>
      </c>
      <c r="B458" t="s">
        <v>465</v>
      </c>
      <c r="C458" t="s">
        <v>866</v>
      </c>
      <c r="D458" t="s">
        <v>14</v>
      </c>
      <c r="E458">
        <v>3</v>
      </c>
      <c r="F458" s="2">
        <f>DATE(2026,IF(Tabla1[[#This Row],[Mes de Fecha]]="Septiembre",9,10),Tabla1[[#This Row],[Día de Fecha]])</f>
        <v>46298</v>
      </c>
      <c r="G458">
        <v>45548590</v>
      </c>
      <c r="H458" t="s">
        <v>477</v>
      </c>
      <c r="I458">
        <v>-1</v>
      </c>
      <c r="J458">
        <v>0</v>
      </c>
      <c r="K458" s="1">
        <v>-83992</v>
      </c>
    </row>
    <row r="459" spans="1:11" x14ac:dyDescent="0.25">
      <c r="A459" t="s">
        <v>326</v>
      </c>
      <c r="B459" t="s">
        <v>465</v>
      </c>
      <c r="C459" t="s">
        <v>866</v>
      </c>
      <c r="D459" t="s">
        <v>14</v>
      </c>
      <c r="E459">
        <v>3</v>
      </c>
      <c r="F459" s="2">
        <f>DATE(2026,IF(Tabla1[[#This Row],[Mes de Fecha]]="Septiembre",9,10),Tabla1[[#This Row],[Día de Fecha]])</f>
        <v>46298</v>
      </c>
      <c r="G459">
        <v>45691762</v>
      </c>
      <c r="H459" t="s">
        <v>467</v>
      </c>
      <c r="I459">
        <v>272</v>
      </c>
      <c r="J459">
        <v>0</v>
      </c>
      <c r="K459" s="1">
        <v>14194174</v>
      </c>
    </row>
    <row r="460" spans="1:11" x14ac:dyDescent="0.25">
      <c r="A460" t="s">
        <v>326</v>
      </c>
      <c r="B460" t="s">
        <v>465</v>
      </c>
      <c r="C460" t="s">
        <v>866</v>
      </c>
      <c r="D460" t="s">
        <v>14</v>
      </c>
      <c r="E460">
        <v>3</v>
      </c>
      <c r="F460" s="2">
        <f>DATE(2026,IF(Tabla1[[#This Row],[Mes de Fecha]]="Septiembre",9,10),Tabla1[[#This Row],[Día de Fecha]])</f>
        <v>46298</v>
      </c>
      <c r="G460">
        <v>1047425678</v>
      </c>
      <c r="H460" t="s">
        <v>468</v>
      </c>
      <c r="I460">
        <v>209</v>
      </c>
      <c r="J460">
        <v>0</v>
      </c>
      <c r="K460" s="1">
        <v>11152674</v>
      </c>
    </row>
    <row r="461" spans="1:11" x14ac:dyDescent="0.25">
      <c r="A461" t="s">
        <v>326</v>
      </c>
      <c r="B461" t="s">
        <v>465</v>
      </c>
      <c r="C461" t="s">
        <v>866</v>
      </c>
      <c r="D461" t="s">
        <v>14</v>
      </c>
      <c r="E461">
        <v>3</v>
      </c>
      <c r="F461" s="2">
        <f>DATE(2026,IF(Tabla1[[#This Row],[Mes de Fecha]]="Septiembre",9,10),Tabla1[[#This Row],[Día de Fecha]])</f>
        <v>46298</v>
      </c>
      <c r="G461">
        <v>1047465660</v>
      </c>
      <c r="H461" t="s">
        <v>469</v>
      </c>
      <c r="I461">
        <v>119</v>
      </c>
      <c r="J461">
        <v>0</v>
      </c>
      <c r="K461" s="1">
        <v>6113951</v>
      </c>
    </row>
    <row r="462" spans="1:11" x14ac:dyDescent="0.25">
      <c r="A462" t="s">
        <v>326</v>
      </c>
      <c r="B462" t="s">
        <v>465</v>
      </c>
      <c r="C462" t="s">
        <v>866</v>
      </c>
      <c r="D462" t="s">
        <v>14</v>
      </c>
      <c r="E462">
        <v>4</v>
      </c>
      <c r="F462" s="2">
        <f>DATE(2026,IF(Tabla1[[#This Row],[Mes de Fecha]]="Septiembre",9,10),Tabla1[[#This Row],[Día de Fecha]])</f>
        <v>46299</v>
      </c>
      <c r="I462">
        <v>0</v>
      </c>
      <c r="J462" s="1">
        <v>36135200</v>
      </c>
      <c r="K462">
        <v>0</v>
      </c>
    </row>
    <row r="463" spans="1:11" x14ac:dyDescent="0.25">
      <c r="A463" t="s">
        <v>326</v>
      </c>
      <c r="B463" t="s">
        <v>465</v>
      </c>
      <c r="C463" t="s">
        <v>866</v>
      </c>
      <c r="D463" t="s">
        <v>14</v>
      </c>
      <c r="E463">
        <v>4</v>
      </c>
      <c r="F463" s="2">
        <f>DATE(2026,IF(Tabla1[[#This Row],[Mes de Fecha]]="Septiembre",9,10),Tabla1[[#This Row],[Día de Fecha]])</f>
        <v>46299</v>
      </c>
      <c r="G463">
        <v>3739915</v>
      </c>
      <c r="H463" t="s">
        <v>471</v>
      </c>
      <c r="I463">
        <v>51</v>
      </c>
      <c r="J463">
        <v>0</v>
      </c>
      <c r="K463" s="1">
        <v>2842316</v>
      </c>
    </row>
    <row r="464" spans="1:11" x14ac:dyDescent="0.25">
      <c r="A464" t="s">
        <v>326</v>
      </c>
      <c r="B464" t="s">
        <v>465</v>
      </c>
      <c r="C464" t="s">
        <v>866</v>
      </c>
      <c r="D464" t="s">
        <v>14</v>
      </c>
      <c r="E464">
        <v>4</v>
      </c>
      <c r="F464" s="2">
        <f>DATE(2026,IF(Tabla1[[#This Row],[Mes de Fecha]]="Septiembre",9,10),Tabla1[[#This Row],[Día de Fecha]])</f>
        <v>46299</v>
      </c>
      <c r="G464">
        <v>3811650</v>
      </c>
      <c r="H464" t="s">
        <v>466</v>
      </c>
      <c r="I464">
        <v>209</v>
      </c>
      <c r="J464">
        <v>0</v>
      </c>
      <c r="K464" s="1">
        <v>12354588</v>
      </c>
    </row>
    <row r="465" spans="1:11" x14ac:dyDescent="0.25">
      <c r="A465" t="s">
        <v>326</v>
      </c>
      <c r="B465" t="s">
        <v>465</v>
      </c>
      <c r="C465" t="s">
        <v>866</v>
      </c>
      <c r="D465" t="s">
        <v>14</v>
      </c>
      <c r="E465">
        <v>4</v>
      </c>
      <c r="F465" s="2">
        <f>DATE(2026,IF(Tabla1[[#This Row],[Mes de Fecha]]="Septiembre",9,10),Tabla1[[#This Row],[Día de Fecha]])</f>
        <v>46299</v>
      </c>
      <c r="G465">
        <v>45691762</v>
      </c>
      <c r="H465" t="s">
        <v>467</v>
      </c>
      <c r="I465">
        <v>204</v>
      </c>
      <c r="J465">
        <v>0</v>
      </c>
      <c r="K465" s="1">
        <v>11394548</v>
      </c>
    </row>
    <row r="466" spans="1:11" x14ac:dyDescent="0.25">
      <c r="A466" t="s">
        <v>326</v>
      </c>
      <c r="B466" t="s">
        <v>465</v>
      </c>
      <c r="C466" t="s">
        <v>866</v>
      </c>
      <c r="D466" t="s">
        <v>14</v>
      </c>
      <c r="E466">
        <v>4</v>
      </c>
      <c r="F466" s="2">
        <f>DATE(2026,IF(Tabla1[[#This Row],[Mes de Fecha]]="Septiembre",9,10),Tabla1[[#This Row],[Día de Fecha]])</f>
        <v>46299</v>
      </c>
      <c r="G466">
        <v>1047425678</v>
      </c>
      <c r="H466" t="s">
        <v>468</v>
      </c>
      <c r="I466">
        <v>216</v>
      </c>
      <c r="J466">
        <v>0</v>
      </c>
      <c r="K466" s="1">
        <v>13177862</v>
      </c>
    </row>
    <row r="467" spans="1:11" x14ac:dyDescent="0.25">
      <c r="A467" t="s">
        <v>326</v>
      </c>
      <c r="B467" t="s">
        <v>465</v>
      </c>
      <c r="C467" t="s">
        <v>866</v>
      </c>
      <c r="D467" t="s">
        <v>14</v>
      </c>
      <c r="E467">
        <v>4</v>
      </c>
      <c r="F467" s="2">
        <f>DATE(2026,IF(Tabla1[[#This Row],[Mes de Fecha]]="Septiembre",9,10),Tabla1[[#This Row],[Día de Fecha]])</f>
        <v>46299</v>
      </c>
      <c r="G467">
        <v>1047439766</v>
      </c>
      <c r="H467" t="s">
        <v>474</v>
      </c>
      <c r="I467">
        <v>-1</v>
      </c>
      <c r="J467">
        <v>0</v>
      </c>
      <c r="K467" s="1">
        <v>-58765</v>
      </c>
    </row>
    <row r="468" spans="1:11" x14ac:dyDescent="0.25">
      <c r="A468" t="s">
        <v>326</v>
      </c>
      <c r="B468" t="s">
        <v>465</v>
      </c>
      <c r="C468" t="s">
        <v>866</v>
      </c>
      <c r="D468" t="s">
        <v>14</v>
      </c>
      <c r="E468">
        <v>4</v>
      </c>
      <c r="F468" s="2">
        <f>DATE(2026,IF(Tabla1[[#This Row],[Mes de Fecha]]="Septiembre",9,10),Tabla1[[#This Row],[Día de Fecha]])</f>
        <v>46299</v>
      </c>
      <c r="G468">
        <v>1047465660</v>
      </c>
      <c r="H468" t="s">
        <v>469</v>
      </c>
      <c r="I468">
        <v>56</v>
      </c>
      <c r="J468">
        <v>0</v>
      </c>
      <c r="K468" s="1">
        <v>3300090</v>
      </c>
    </row>
    <row r="469" spans="1:11" x14ac:dyDescent="0.25">
      <c r="A469" t="s">
        <v>326</v>
      </c>
      <c r="B469" t="s">
        <v>465</v>
      </c>
      <c r="C469" t="s">
        <v>866</v>
      </c>
      <c r="D469" t="s">
        <v>14</v>
      </c>
      <c r="E469">
        <v>5</v>
      </c>
      <c r="F469" s="2">
        <f>DATE(2026,IF(Tabla1[[#This Row],[Mes de Fecha]]="Septiembre",9,10),Tabla1[[#This Row],[Día de Fecha]])</f>
        <v>46300</v>
      </c>
      <c r="I469">
        <v>0</v>
      </c>
      <c r="J469" s="1">
        <v>23106048</v>
      </c>
      <c r="K469">
        <v>0</v>
      </c>
    </row>
    <row r="470" spans="1:11" x14ac:dyDescent="0.25">
      <c r="A470" t="s">
        <v>326</v>
      </c>
      <c r="B470" t="s">
        <v>465</v>
      </c>
      <c r="C470" t="s">
        <v>866</v>
      </c>
      <c r="D470" t="s">
        <v>14</v>
      </c>
      <c r="E470">
        <v>5</v>
      </c>
      <c r="F470" s="2">
        <f>DATE(2026,IF(Tabla1[[#This Row],[Mes de Fecha]]="Septiembre",9,10),Tabla1[[#This Row],[Día de Fecha]])</f>
        <v>46300</v>
      </c>
      <c r="G470">
        <v>3739915</v>
      </c>
      <c r="H470" t="s">
        <v>471</v>
      </c>
      <c r="I470">
        <v>38</v>
      </c>
      <c r="J470">
        <v>0</v>
      </c>
      <c r="K470" s="1">
        <v>2166474</v>
      </c>
    </row>
    <row r="471" spans="1:11" x14ac:dyDescent="0.25">
      <c r="A471" t="s">
        <v>326</v>
      </c>
      <c r="B471" t="s">
        <v>465</v>
      </c>
      <c r="C471" t="s">
        <v>866</v>
      </c>
      <c r="D471" t="s">
        <v>14</v>
      </c>
      <c r="E471">
        <v>5</v>
      </c>
      <c r="F471" s="2">
        <f>DATE(2026,IF(Tabla1[[#This Row],[Mes de Fecha]]="Septiembre",9,10),Tabla1[[#This Row],[Día de Fecha]])</f>
        <v>46300</v>
      </c>
      <c r="G471">
        <v>3811650</v>
      </c>
      <c r="H471" t="s">
        <v>466</v>
      </c>
      <c r="I471">
        <v>0</v>
      </c>
      <c r="J471">
        <v>0</v>
      </c>
      <c r="K471" s="1">
        <v>-2101</v>
      </c>
    </row>
    <row r="472" spans="1:11" x14ac:dyDescent="0.25">
      <c r="A472" t="s">
        <v>326</v>
      </c>
      <c r="B472" t="s">
        <v>465</v>
      </c>
      <c r="C472" t="s">
        <v>866</v>
      </c>
      <c r="D472" t="s">
        <v>14</v>
      </c>
      <c r="E472">
        <v>5</v>
      </c>
      <c r="F472" s="2">
        <f>DATE(2026,IF(Tabla1[[#This Row],[Mes de Fecha]]="Septiembre",9,10),Tabla1[[#This Row],[Día de Fecha]])</f>
        <v>46300</v>
      </c>
      <c r="G472">
        <v>45548590</v>
      </c>
      <c r="H472" t="s">
        <v>477</v>
      </c>
      <c r="I472">
        <v>-1</v>
      </c>
      <c r="J472">
        <v>0</v>
      </c>
      <c r="K472" s="1">
        <v>-37773</v>
      </c>
    </row>
    <row r="473" spans="1:11" x14ac:dyDescent="0.25">
      <c r="A473" t="s">
        <v>326</v>
      </c>
      <c r="B473" t="s">
        <v>465</v>
      </c>
      <c r="C473" t="s">
        <v>866</v>
      </c>
      <c r="D473" t="s">
        <v>14</v>
      </c>
      <c r="E473">
        <v>5</v>
      </c>
      <c r="F473" s="2">
        <f>DATE(2026,IF(Tabla1[[#This Row],[Mes de Fecha]]="Septiembre",9,10),Tabla1[[#This Row],[Día de Fecha]])</f>
        <v>46300</v>
      </c>
      <c r="G473">
        <v>45691762</v>
      </c>
      <c r="H473" t="s">
        <v>467</v>
      </c>
      <c r="I473">
        <v>152</v>
      </c>
      <c r="J473">
        <v>0</v>
      </c>
      <c r="K473" s="1">
        <v>7835977</v>
      </c>
    </row>
    <row r="474" spans="1:11" x14ac:dyDescent="0.25">
      <c r="A474" t="s">
        <v>326</v>
      </c>
      <c r="B474" t="s">
        <v>465</v>
      </c>
      <c r="C474" t="s">
        <v>866</v>
      </c>
      <c r="D474" t="s">
        <v>14</v>
      </c>
      <c r="E474">
        <v>5</v>
      </c>
      <c r="F474" s="2">
        <f>DATE(2026,IF(Tabla1[[#This Row],[Mes de Fecha]]="Septiembre",9,10),Tabla1[[#This Row],[Día de Fecha]])</f>
        <v>46300</v>
      </c>
      <c r="G474">
        <v>1047425678</v>
      </c>
      <c r="H474" t="s">
        <v>468</v>
      </c>
      <c r="I474">
        <v>98</v>
      </c>
      <c r="J474">
        <v>0</v>
      </c>
      <c r="K474" s="1">
        <v>6046676</v>
      </c>
    </row>
    <row r="475" spans="1:11" x14ac:dyDescent="0.25">
      <c r="A475" t="s">
        <v>326</v>
      </c>
      <c r="B475" t="s">
        <v>465</v>
      </c>
      <c r="C475" t="s">
        <v>866</v>
      </c>
      <c r="D475" t="s">
        <v>14</v>
      </c>
      <c r="E475">
        <v>5</v>
      </c>
      <c r="F475" s="2">
        <f>DATE(2026,IF(Tabla1[[#This Row],[Mes de Fecha]]="Septiembre",9,10),Tabla1[[#This Row],[Día de Fecha]])</f>
        <v>46300</v>
      </c>
      <c r="G475">
        <v>1047465660</v>
      </c>
      <c r="H475" t="s">
        <v>469</v>
      </c>
      <c r="I475">
        <v>68</v>
      </c>
      <c r="J475">
        <v>0</v>
      </c>
      <c r="K475" s="1">
        <v>3511809</v>
      </c>
    </row>
    <row r="476" spans="1:11" x14ac:dyDescent="0.25">
      <c r="A476" t="s">
        <v>326</v>
      </c>
      <c r="B476" t="s">
        <v>465</v>
      </c>
      <c r="C476" t="s">
        <v>866</v>
      </c>
      <c r="D476" t="s">
        <v>14</v>
      </c>
      <c r="E476">
        <v>6</v>
      </c>
      <c r="F476" s="2">
        <f>DATE(2026,IF(Tabla1[[#This Row],[Mes de Fecha]]="Septiembre",9,10),Tabla1[[#This Row],[Día de Fecha]])</f>
        <v>46301</v>
      </c>
      <c r="I476">
        <v>0</v>
      </c>
      <c r="J476" s="1">
        <v>15429985</v>
      </c>
      <c r="K476">
        <v>0</v>
      </c>
    </row>
    <row r="477" spans="1:11" x14ac:dyDescent="0.25">
      <c r="A477" t="s">
        <v>326</v>
      </c>
      <c r="B477" t="s">
        <v>465</v>
      </c>
      <c r="C477" t="s">
        <v>866</v>
      </c>
      <c r="D477" t="s">
        <v>14</v>
      </c>
      <c r="E477">
        <v>6</v>
      </c>
      <c r="F477" s="2">
        <f>DATE(2026,IF(Tabla1[[#This Row],[Mes de Fecha]]="Septiembre",9,10),Tabla1[[#This Row],[Día de Fecha]])</f>
        <v>46301</v>
      </c>
      <c r="G477">
        <v>3739915</v>
      </c>
      <c r="H477" t="s">
        <v>471</v>
      </c>
      <c r="I477">
        <v>29</v>
      </c>
      <c r="J477">
        <v>0</v>
      </c>
      <c r="K477" s="1">
        <v>1855926</v>
      </c>
    </row>
    <row r="478" spans="1:11" x14ac:dyDescent="0.25">
      <c r="A478" t="s">
        <v>326</v>
      </c>
      <c r="B478" t="s">
        <v>465</v>
      </c>
      <c r="C478" t="s">
        <v>866</v>
      </c>
      <c r="D478" t="s">
        <v>14</v>
      </c>
      <c r="E478">
        <v>6</v>
      </c>
      <c r="F478" s="2">
        <f>DATE(2026,IF(Tabla1[[#This Row],[Mes de Fecha]]="Septiembre",9,10),Tabla1[[#This Row],[Día de Fecha]])</f>
        <v>46301</v>
      </c>
      <c r="G478">
        <v>3811650</v>
      </c>
      <c r="H478" t="s">
        <v>466</v>
      </c>
      <c r="I478">
        <v>-1</v>
      </c>
      <c r="J478">
        <v>0</v>
      </c>
      <c r="K478" s="1">
        <v>-62983</v>
      </c>
    </row>
    <row r="479" spans="1:11" x14ac:dyDescent="0.25">
      <c r="A479" t="s">
        <v>326</v>
      </c>
      <c r="B479" t="s">
        <v>465</v>
      </c>
      <c r="C479" t="s">
        <v>866</v>
      </c>
      <c r="D479" t="s">
        <v>14</v>
      </c>
      <c r="E479">
        <v>6</v>
      </c>
      <c r="F479" s="2">
        <f>DATE(2026,IF(Tabla1[[#This Row],[Mes de Fecha]]="Septiembre",9,10),Tabla1[[#This Row],[Día de Fecha]])</f>
        <v>46301</v>
      </c>
      <c r="G479">
        <v>45691762</v>
      </c>
      <c r="H479" t="s">
        <v>467</v>
      </c>
      <c r="I479">
        <v>108</v>
      </c>
      <c r="J479">
        <v>0</v>
      </c>
      <c r="K479" s="1">
        <v>5413369</v>
      </c>
    </row>
    <row r="480" spans="1:11" x14ac:dyDescent="0.25">
      <c r="A480" t="s">
        <v>326</v>
      </c>
      <c r="B480" t="s">
        <v>465</v>
      </c>
      <c r="C480" t="s">
        <v>866</v>
      </c>
      <c r="D480" t="s">
        <v>14</v>
      </c>
      <c r="E480">
        <v>6</v>
      </c>
      <c r="F480" s="2">
        <f>DATE(2026,IF(Tabla1[[#This Row],[Mes de Fecha]]="Septiembre",9,10),Tabla1[[#This Row],[Día de Fecha]])</f>
        <v>46301</v>
      </c>
      <c r="G480">
        <v>1047425678</v>
      </c>
      <c r="H480" t="s">
        <v>468</v>
      </c>
      <c r="I480">
        <v>88</v>
      </c>
      <c r="J480">
        <v>0</v>
      </c>
      <c r="K480" s="1">
        <v>4866016</v>
      </c>
    </row>
    <row r="481" spans="1:11" x14ac:dyDescent="0.25">
      <c r="A481" t="s">
        <v>326</v>
      </c>
      <c r="B481" t="s">
        <v>465</v>
      </c>
      <c r="C481" t="s">
        <v>866</v>
      </c>
      <c r="D481" t="s">
        <v>14</v>
      </c>
      <c r="E481">
        <v>6</v>
      </c>
      <c r="F481" s="2">
        <f>DATE(2026,IF(Tabla1[[#This Row],[Mes de Fecha]]="Septiembre",9,10),Tabla1[[#This Row],[Día de Fecha]])</f>
        <v>46301</v>
      </c>
      <c r="G481">
        <v>1047465660</v>
      </c>
      <c r="H481" t="s">
        <v>469</v>
      </c>
      <c r="I481">
        <v>35</v>
      </c>
      <c r="J481">
        <v>0</v>
      </c>
      <c r="K481" s="1">
        <v>1828321</v>
      </c>
    </row>
    <row r="482" spans="1:11" x14ac:dyDescent="0.25">
      <c r="A482" t="s">
        <v>326</v>
      </c>
      <c r="B482" t="s">
        <v>465</v>
      </c>
      <c r="C482" t="s">
        <v>866</v>
      </c>
      <c r="D482" t="s">
        <v>14</v>
      </c>
      <c r="E482">
        <v>7</v>
      </c>
      <c r="F482" s="2">
        <f>DATE(2026,IF(Tabla1[[#This Row],[Mes de Fecha]]="Septiembre",9,10),Tabla1[[#This Row],[Día de Fecha]])</f>
        <v>46302</v>
      </c>
      <c r="I482">
        <v>0</v>
      </c>
      <c r="J482" s="1">
        <v>15226957</v>
      </c>
      <c r="K482">
        <v>0</v>
      </c>
    </row>
    <row r="483" spans="1:11" x14ac:dyDescent="0.25">
      <c r="A483" t="s">
        <v>326</v>
      </c>
      <c r="B483" t="s">
        <v>465</v>
      </c>
      <c r="C483" t="s">
        <v>866</v>
      </c>
      <c r="D483" t="s">
        <v>14</v>
      </c>
      <c r="E483">
        <v>7</v>
      </c>
      <c r="F483" s="2">
        <f>DATE(2026,IF(Tabla1[[#This Row],[Mes de Fecha]]="Septiembre",9,10),Tabla1[[#This Row],[Día de Fecha]])</f>
        <v>46302</v>
      </c>
      <c r="G483">
        <v>3739915</v>
      </c>
      <c r="H483" t="s">
        <v>471</v>
      </c>
      <c r="I483">
        <v>37</v>
      </c>
      <c r="J483">
        <v>0</v>
      </c>
      <c r="K483" s="1">
        <v>2349288</v>
      </c>
    </row>
    <row r="484" spans="1:11" x14ac:dyDescent="0.25">
      <c r="A484" t="s">
        <v>326</v>
      </c>
      <c r="B484" t="s">
        <v>465</v>
      </c>
      <c r="C484" t="s">
        <v>866</v>
      </c>
      <c r="D484" t="s">
        <v>14</v>
      </c>
      <c r="E484">
        <v>7</v>
      </c>
      <c r="F484" s="2">
        <f>DATE(2026,IF(Tabla1[[#This Row],[Mes de Fecha]]="Septiembre",9,10),Tabla1[[#This Row],[Día de Fecha]])</f>
        <v>46302</v>
      </c>
      <c r="G484">
        <v>45691762</v>
      </c>
      <c r="H484" t="s">
        <v>467</v>
      </c>
      <c r="I484">
        <v>164</v>
      </c>
      <c r="J484">
        <v>0</v>
      </c>
      <c r="K484" s="1">
        <v>9060259</v>
      </c>
    </row>
    <row r="485" spans="1:11" x14ac:dyDescent="0.25">
      <c r="A485" t="s">
        <v>326</v>
      </c>
      <c r="B485" t="s">
        <v>465</v>
      </c>
      <c r="C485" t="s">
        <v>866</v>
      </c>
      <c r="D485" t="s">
        <v>14</v>
      </c>
      <c r="E485">
        <v>7</v>
      </c>
      <c r="F485" s="2">
        <f>DATE(2026,IF(Tabla1[[#This Row],[Mes de Fecha]]="Septiembre",9,10),Tabla1[[#This Row],[Día de Fecha]])</f>
        <v>46302</v>
      </c>
      <c r="G485">
        <v>1047425678</v>
      </c>
      <c r="H485" t="s">
        <v>468</v>
      </c>
      <c r="I485">
        <v>87</v>
      </c>
      <c r="J485">
        <v>0</v>
      </c>
      <c r="K485" s="1">
        <v>5176975</v>
      </c>
    </row>
    <row r="486" spans="1:11" x14ac:dyDescent="0.25">
      <c r="A486" t="s">
        <v>326</v>
      </c>
      <c r="B486" t="s">
        <v>465</v>
      </c>
      <c r="C486" t="s">
        <v>866</v>
      </c>
      <c r="D486" t="s">
        <v>14</v>
      </c>
      <c r="E486">
        <v>7</v>
      </c>
      <c r="F486" s="2">
        <f>DATE(2026,IF(Tabla1[[#This Row],[Mes de Fecha]]="Septiembre",9,10),Tabla1[[#This Row],[Día de Fecha]])</f>
        <v>46302</v>
      </c>
      <c r="G486">
        <v>1104254048</v>
      </c>
      <c r="H486" t="s">
        <v>479</v>
      </c>
      <c r="I486">
        <v>-1</v>
      </c>
      <c r="J486">
        <v>0</v>
      </c>
      <c r="K486" s="1">
        <v>-41975</v>
      </c>
    </row>
    <row r="487" spans="1:11" x14ac:dyDescent="0.25">
      <c r="A487" t="s">
        <v>326</v>
      </c>
      <c r="B487" t="s">
        <v>481</v>
      </c>
      <c r="C487" t="s">
        <v>866</v>
      </c>
      <c r="D487" t="s">
        <v>11</v>
      </c>
      <c r="E487">
        <v>23</v>
      </c>
      <c r="F487" s="2">
        <f>DATE(2026,IF(Tabla1[[#This Row],[Mes de Fecha]]="Septiembre",9,10),Tabla1[[#This Row],[Día de Fecha]])</f>
        <v>46288</v>
      </c>
      <c r="I487">
        <v>0</v>
      </c>
      <c r="J487" s="1">
        <v>14848229</v>
      </c>
      <c r="K487">
        <v>0</v>
      </c>
    </row>
    <row r="488" spans="1:11" x14ac:dyDescent="0.25">
      <c r="A488" t="s">
        <v>326</v>
      </c>
      <c r="B488" t="s">
        <v>481</v>
      </c>
      <c r="C488" t="s">
        <v>866</v>
      </c>
      <c r="D488" t="s">
        <v>11</v>
      </c>
      <c r="E488">
        <v>23</v>
      </c>
      <c r="F488" s="2">
        <f>DATE(2026,IF(Tabla1[[#This Row],[Mes de Fecha]]="Septiembre",9,10),Tabla1[[#This Row],[Día de Fecha]])</f>
        <v>46288</v>
      </c>
      <c r="G488">
        <v>1001878009</v>
      </c>
      <c r="H488" t="s">
        <v>482</v>
      </c>
      <c r="I488">
        <v>49</v>
      </c>
      <c r="J488">
        <v>0</v>
      </c>
      <c r="K488" s="1">
        <v>2520003</v>
      </c>
    </row>
    <row r="489" spans="1:11" x14ac:dyDescent="0.25">
      <c r="A489" t="s">
        <v>326</v>
      </c>
      <c r="B489" t="s">
        <v>481</v>
      </c>
      <c r="C489" t="s">
        <v>866</v>
      </c>
      <c r="D489" t="s">
        <v>11</v>
      </c>
      <c r="E489">
        <v>23</v>
      </c>
      <c r="F489" s="2">
        <f>DATE(2026,IF(Tabla1[[#This Row],[Mes de Fecha]]="Septiembre",9,10),Tabla1[[#This Row],[Día de Fecha]])</f>
        <v>46288</v>
      </c>
      <c r="G489">
        <v>1048292768</v>
      </c>
      <c r="H489" t="s">
        <v>483</v>
      </c>
      <c r="I489">
        <v>84</v>
      </c>
      <c r="J489">
        <v>0</v>
      </c>
      <c r="K489" s="1">
        <v>4472315</v>
      </c>
    </row>
    <row r="490" spans="1:11" x14ac:dyDescent="0.25">
      <c r="A490" t="s">
        <v>326</v>
      </c>
      <c r="B490" t="s">
        <v>481</v>
      </c>
      <c r="C490" t="s">
        <v>866</v>
      </c>
      <c r="D490" t="s">
        <v>11</v>
      </c>
      <c r="E490">
        <v>23</v>
      </c>
      <c r="F490" s="2">
        <f>DATE(2026,IF(Tabla1[[#This Row],[Mes de Fecha]]="Septiembre",9,10),Tabla1[[#This Row],[Día de Fecha]])</f>
        <v>46288</v>
      </c>
      <c r="G490">
        <v>1127584684</v>
      </c>
      <c r="H490" t="s">
        <v>487</v>
      </c>
      <c r="I490">
        <v>14</v>
      </c>
      <c r="J490">
        <v>0</v>
      </c>
      <c r="K490" s="1">
        <v>654832</v>
      </c>
    </row>
    <row r="491" spans="1:11" x14ac:dyDescent="0.25">
      <c r="A491" t="s">
        <v>326</v>
      </c>
      <c r="B491" t="s">
        <v>481</v>
      </c>
      <c r="C491" t="s">
        <v>866</v>
      </c>
      <c r="D491" t="s">
        <v>11</v>
      </c>
      <c r="E491">
        <v>23</v>
      </c>
      <c r="F491" s="2">
        <f>DATE(2026,IF(Tabla1[[#This Row],[Mes de Fecha]]="Septiembre",9,10),Tabla1[[#This Row],[Día de Fecha]])</f>
        <v>46288</v>
      </c>
      <c r="G491">
        <v>1143148766</v>
      </c>
      <c r="H491" t="s">
        <v>484</v>
      </c>
      <c r="I491">
        <v>54</v>
      </c>
      <c r="J491">
        <v>0</v>
      </c>
      <c r="K491" s="1">
        <v>2955633</v>
      </c>
    </row>
    <row r="492" spans="1:11" x14ac:dyDescent="0.25">
      <c r="A492" t="s">
        <v>326</v>
      </c>
      <c r="B492" t="s">
        <v>481</v>
      </c>
      <c r="C492" t="s">
        <v>866</v>
      </c>
      <c r="D492" t="s">
        <v>11</v>
      </c>
      <c r="E492">
        <v>24</v>
      </c>
      <c r="F492" s="2">
        <f>DATE(2026,IF(Tabla1[[#This Row],[Mes de Fecha]]="Septiembre",9,10),Tabla1[[#This Row],[Día de Fecha]])</f>
        <v>46289</v>
      </c>
      <c r="I492">
        <v>0</v>
      </c>
      <c r="J492" s="1">
        <v>22682339</v>
      </c>
      <c r="K492">
        <v>0</v>
      </c>
    </row>
    <row r="493" spans="1:11" x14ac:dyDescent="0.25">
      <c r="A493" t="s">
        <v>326</v>
      </c>
      <c r="B493" t="s">
        <v>481</v>
      </c>
      <c r="C493" t="s">
        <v>866</v>
      </c>
      <c r="D493" t="s">
        <v>11</v>
      </c>
      <c r="E493">
        <v>24</v>
      </c>
      <c r="F493" s="2">
        <f>DATE(2026,IF(Tabla1[[#This Row],[Mes de Fecha]]="Septiembre",9,10),Tabla1[[#This Row],[Día de Fecha]])</f>
        <v>46289</v>
      </c>
      <c r="G493">
        <v>1001878009</v>
      </c>
      <c r="H493" t="s">
        <v>482</v>
      </c>
      <c r="I493">
        <v>90</v>
      </c>
      <c r="J493">
        <v>0</v>
      </c>
      <c r="K493" s="1">
        <v>4559079</v>
      </c>
    </row>
    <row r="494" spans="1:11" x14ac:dyDescent="0.25">
      <c r="A494" t="s">
        <v>326</v>
      </c>
      <c r="B494" t="s">
        <v>481</v>
      </c>
      <c r="C494" t="s">
        <v>866</v>
      </c>
      <c r="D494" t="s">
        <v>11</v>
      </c>
      <c r="E494">
        <v>24</v>
      </c>
      <c r="F494" s="2">
        <f>DATE(2026,IF(Tabla1[[#This Row],[Mes de Fecha]]="Septiembre",9,10),Tabla1[[#This Row],[Día de Fecha]])</f>
        <v>46289</v>
      </c>
      <c r="G494">
        <v>1045739667</v>
      </c>
      <c r="H494" t="s">
        <v>488</v>
      </c>
      <c r="I494">
        <v>20</v>
      </c>
      <c r="J494">
        <v>0</v>
      </c>
      <c r="K494" s="1">
        <v>969579</v>
      </c>
    </row>
    <row r="495" spans="1:11" x14ac:dyDescent="0.25">
      <c r="A495" t="s">
        <v>326</v>
      </c>
      <c r="B495" t="s">
        <v>481</v>
      </c>
      <c r="C495" t="s">
        <v>866</v>
      </c>
      <c r="D495" t="s">
        <v>11</v>
      </c>
      <c r="E495">
        <v>24</v>
      </c>
      <c r="F495" s="2">
        <f>DATE(2026,IF(Tabla1[[#This Row],[Mes de Fecha]]="Septiembre",9,10),Tabla1[[#This Row],[Día de Fecha]])</f>
        <v>46289</v>
      </c>
      <c r="G495">
        <v>1048292768</v>
      </c>
      <c r="H495" t="s">
        <v>483</v>
      </c>
      <c r="I495">
        <v>109</v>
      </c>
      <c r="J495">
        <v>0</v>
      </c>
      <c r="K495" s="1">
        <v>5740847</v>
      </c>
    </row>
    <row r="496" spans="1:11" x14ac:dyDescent="0.25">
      <c r="A496" t="s">
        <v>326</v>
      </c>
      <c r="B496" t="s">
        <v>481</v>
      </c>
      <c r="C496" t="s">
        <v>866</v>
      </c>
      <c r="D496" t="s">
        <v>11</v>
      </c>
      <c r="E496">
        <v>24</v>
      </c>
      <c r="F496" s="2">
        <f>DATE(2026,IF(Tabla1[[#This Row],[Mes de Fecha]]="Septiembre",9,10),Tabla1[[#This Row],[Día de Fecha]])</f>
        <v>46289</v>
      </c>
      <c r="G496">
        <v>1127584684</v>
      </c>
      <c r="H496" t="s">
        <v>487</v>
      </c>
      <c r="I496">
        <v>2</v>
      </c>
      <c r="J496">
        <v>0</v>
      </c>
      <c r="K496" s="1">
        <v>71345</v>
      </c>
    </row>
    <row r="497" spans="1:11" x14ac:dyDescent="0.25">
      <c r="A497" t="s">
        <v>326</v>
      </c>
      <c r="B497" t="s">
        <v>481</v>
      </c>
      <c r="C497" t="s">
        <v>866</v>
      </c>
      <c r="D497" t="s">
        <v>11</v>
      </c>
      <c r="E497">
        <v>24</v>
      </c>
      <c r="F497" s="2">
        <f>DATE(2026,IF(Tabla1[[#This Row],[Mes de Fecha]]="Septiembre",9,10),Tabla1[[#This Row],[Día de Fecha]])</f>
        <v>46289</v>
      </c>
      <c r="G497">
        <v>1143148766</v>
      </c>
      <c r="H497" t="s">
        <v>484</v>
      </c>
      <c r="I497">
        <v>87</v>
      </c>
      <c r="J497">
        <v>0</v>
      </c>
      <c r="K497" s="1">
        <v>4548703</v>
      </c>
    </row>
    <row r="498" spans="1:11" x14ac:dyDescent="0.25">
      <c r="A498" t="s">
        <v>326</v>
      </c>
      <c r="B498" t="s">
        <v>481</v>
      </c>
      <c r="C498" t="s">
        <v>866</v>
      </c>
      <c r="D498" t="s">
        <v>11</v>
      </c>
      <c r="E498">
        <v>25</v>
      </c>
      <c r="F498" s="2">
        <f>DATE(2026,IF(Tabla1[[#This Row],[Mes de Fecha]]="Septiembre",9,10),Tabla1[[#This Row],[Día de Fecha]])</f>
        <v>46290</v>
      </c>
      <c r="I498">
        <v>0</v>
      </c>
      <c r="J498" s="1">
        <v>22632125</v>
      </c>
      <c r="K498">
        <v>0</v>
      </c>
    </row>
    <row r="499" spans="1:11" x14ac:dyDescent="0.25">
      <c r="A499" t="s">
        <v>326</v>
      </c>
      <c r="B499" t="s">
        <v>481</v>
      </c>
      <c r="C499" t="s">
        <v>866</v>
      </c>
      <c r="D499" t="s">
        <v>11</v>
      </c>
      <c r="E499">
        <v>25</v>
      </c>
      <c r="F499" s="2">
        <f>DATE(2026,IF(Tabla1[[#This Row],[Mes de Fecha]]="Septiembre",9,10),Tabla1[[#This Row],[Día de Fecha]])</f>
        <v>46290</v>
      </c>
      <c r="G499">
        <v>1001878009</v>
      </c>
      <c r="H499" t="s">
        <v>482</v>
      </c>
      <c r="I499">
        <v>83</v>
      </c>
      <c r="J499">
        <v>0</v>
      </c>
      <c r="K499" s="1">
        <v>3809374</v>
      </c>
    </row>
    <row r="500" spans="1:11" x14ac:dyDescent="0.25">
      <c r="A500" t="s">
        <v>326</v>
      </c>
      <c r="B500" t="s">
        <v>481</v>
      </c>
      <c r="C500" t="s">
        <v>866</v>
      </c>
      <c r="D500" t="s">
        <v>11</v>
      </c>
      <c r="E500">
        <v>25</v>
      </c>
      <c r="F500" s="2">
        <f>DATE(2026,IF(Tabla1[[#This Row],[Mes de Fecha]]="Septiembre",9,10),Tabla1[[#This Row],[Día de Fecha]])</f>
        <v>46290</v>
      </c>
      <c r="G500">
        <v>1045739667</v>
      </c>
      <c r="H500" t="s">
        <v>488</v>
      </c>
      <c r="I500">
        <v>38</v>
      </c>
      <c r="J500">
        <v>0</v>
      </c>
      <c r="K500" s="1">
        <v>1731348</v>
      </c>
    </row>
    <row r="501" spans="1:11" x14ac:dyDescent="0.25">
      <c r="A501" t="s">
        <v>326</v>
      </c>
      <c r="B501" t="s">
        <v>481</v>
      </c>
      <c r="C501" t="s">
        <v>866</v>
      </c>
      <c r="D501" t="s">
        <v>11</v>
      </c>
      <c r="E501">
        <v>25</v>
      </c>
      <c r="F501" s="2">
        <f>DATE(2026,IF(Tabla1[[#This Row],[Mes de Fecha]]="Septiembre",9,10),Tabla1[[#This Row],[Día de Fecha]])</f>
        <v>46290</v>
      </c>
      <c r="G501">
        <v>1048292768</v>
      </c>
      <c r="H501" t="s">
        <v>483</v>
      </c>
      <c r="I501">
        <v>129</v>
      </c>
      <c r="J501">
        <v>0</v>
      </c>
      <c r="K501" s="1">
        <v>5962725</v>
      </c>
    </row>
    <row r="502" spans="1:11" x14ac:dyDescent="0.25">
      <c r="A502" t="s">
        <v>326</v>
      </c>
      <c r="B502" t="s">
        <v>481</v>
      </c>
      <c r="C502" t="s">
        <v>866</v>
      </c>
      <c r="D502" t="s">
        <v>11</v>
      </c>
      <c r="E502">
        <v>25</v>
      </c>
      <c r="F502" s="2">
        <f>DATE(2026,IF(Tabla1[[#This Row],[Mes de Fecha]]="Septiembre",9,10),Tabla1[[#This Row],[Día de Fecha]])</f>
        <v>46290</v>
      </c>
      <c r="G502">
        <v>1127584684</v>
      </c>
      <c r="H502" t="s">
        <v>487</v>
      </c>
      <c r="I502">
        <v>34</v>
      </c>
      <c r="J502">
        <v>0</v>
      </c>
      <c r="K502" s="1">
        <v>1746432</v>
      </c>
    </row>
    <row r="503" spans="1:11" x14ac:dyDescent="0.25">
      <c r="A503" t="s">
        <v>326</v>
      </c>
      <c r="B503" t="s">
        <v>481</v>
      </c>
      <c r="C503" t="s">
        <v>866</v>
      </c>
      <c r="D503" t="s">
        <v>11</v>
      </c>
      <c r="E503">
        <v>25</v>
      </c>
      <c r="F503" s="2">
        <f>DATE(2026,IF(Tabla1[[#This Row],[Mes de Fecha]]="Septiembre",9,10),Tabla1[[#This Row],[Día de Fecha]])</f>
        <v>46290</v>
      </c>
      <c r="G503">
        <v>1143148766</v>
      </c>
      <c r="H503" t="s">
        <v>484</v>
      </c>
      <c r="I503">
        <v>78</v>
      </c>
      <c r="J503">
        <v>0</v>
      </c>
      <c r="K503" s="1">
        <v>4042815</v>
      </c>
    </row>
    <row r="504" spans="1:11" x14ac:dyDescent="0.25">
      <c r="A504" t="s">
        <v>326</v>
      </c>
      <c r="B504" t="s">
        <v>481</v>
      </c>
      <c r="C504" t="s">
        <v>866</v>
      </c>
      <c r="D504" t="s">
        <v>11</v>
      </c>
      <c r="E504">
        <v>26</v>
      </c>
      <c r="F504" s="2">
        <f>DATE(2026,IF(Tabla1[[#This Row],[Mes de Fecha]]="Septiembre",9,10),Tabla1[[#This Row],[Día de Fecha]])</f>
        <v>46291</v>
      </c>
      <c r="I504">
        <v>0</v>
      </c>
      <c r="J504" s="1">
        <v>32525618</v>
      </c>
      <c r="K504">
        <v>0</v>
      </c>
    </row>
    <row r="505" spans="1:11" x14ac:dyDescent="0.25">
      <c r="A505" t="s">
        <v>326</v>
      </c>
      <c r="B505" t="s">
        <v>481</v>
      </c>
      <c r="C505" t="s">
        <v>866</v>
      </c>
      <c r="D505" t="s">
        <v>11</v>
      </c>
      <c r="E505">
        <v>26</v>
      </c>
      <c r="F505" s="2">
        <f>DATE(2026,IF(Tabla1[[#This Row],[Mes de Fecha]]="Septiembre",9,10),Tabla1[[#This Row],[Día de Fecha]])</f>
        <v>46291</v>
      </c>
      <c r="G505">
        <v>1001820021</v>
      </c>
      <c r="H505" t="s">
        <v>489</v>
      </c>
      <c r="I505">
        <v>-1</v>
      </c>
      <c r="J505">
        <v>0</v>
      </c>
      <c r="K505" s="1">
        <v>-41975</v>
      </c>
    </row>
    <row r="506" spans="1:11" x14ac:dyDescent="0.25">
      <c r="A506" t="s">
        <v>326</v>
      </c>
      <c r="B506" t="s">
        <v>481</v>
      </c>
      <c r="C506" t="s">
        <v>866</v>
      </c>
      <c r="D506" t="s">
        <v>11</v>
      </c>
      <c r="E506">
        <v>26</v>
      </c>
      <c r="F506" s="2">
        <f>DATE(2026,IF(Tabla1[[#This Row],[Mes de Fecha]]="Septiembre",9,10),Tabla1[[#This Row],[Día de Fecha]])</f>
        <v>46291</v>
      </c>
      <c r="G506">
        <v>1001878009</v>
      </c>
      <c r="H506" t="s">
        <v>482</v>
      </c>
      <c r="I506">
        <v>129</v>
      </c>
      <c r="J506">
        <v>0</v>
      </c>
      <c r="K506" s="1">
        <v>6248535</v>
      </c>
    </row>
    <row r="507" spans="1:11" x14ac:dyDescent="0.25">
      <c r="A507" t="s">
        <v>326</v>
      </c>
      <c r="B507" t="s">
        <v>481</v>
      </c>
      <c r="C507" t="s">
        <v>866</v>
      </c>
      <c r="D507" t="s">
        <v>11</v>
      </c>
      <c r="E507">
        <v>26</v>
      </c>
      <c r="F507" s="2">
        <f>DATE(2026,IF(Tabla1[[#This Row],[Mes de Fecha]]="Septiembre",9,10),Tabla1[[#This Row],[Día de Fecha]])</f>
        <v>46291</v>
      </c>
      <c r="G507">
        <v>1003173576</v>
      </c>
      <c r="H507" t="s">
        <v>490</v>
      </c>
      <c r="I507">
        <v>-1</v>
      </c>
      <c r="J507">
        <v>0</v>
      </c>
      <c r="K507" s="1">
        <v>-37773</v>
      </c>
    </row>
    <row r="508" spans="1:11" x14ac:dyDescent="0.25">
      <c r="A508" t="s">
        <v>326</v>
      </c>
      <c r="B508" t="s">
        <v>481</v>
      </c>
      <c r="C508" t="s">
        <v>866</v>
      </c>
      <c r="D508" t="s">
        <v>11</v>
      </c>
      <c r="E508">
        <v>26</v>
      </c>
      <c r="F508" s="2">
        <f>DATE(2026,IF(Tabla1[[#This Row],[Mes de Fecha]]="Septiembre",9,10),Tabla1[[#This Row],[Día de Fecha]])</f>
        <v>46291</v>
      </c>
      <c r="G508">
        <v>1045739667</v>
      </c>
      <c r="H508" t="s">
        <v>488</v>
      </c>
      <c r="I508">
        <v>62</v>
      </c>
      <c r="J508">
        <v>0</v>
      </c>
      <c r="K508" s="1">
        <v>2900636</v>
      </c>
    </row>
    <row r="509" spans="1:11" x14ac:dyDescent="0.25">
      <c r="A509" t="s">
        <v>326</v>
      </c>
      <c r="B509" t="s">
        <v>481</v>
      </c>
      <c r="C509" t="s">
        <v>866</v>
      </c>
      <c r="D509" t="s">
        <v>11</v>
      </c>
      <c r="E509">
        <v>26</v>
      </c>
      <c r="F509" s="2">
        <f>DATE(2026,IF(Tabla1[[#This Row],[Mes de Fecha]]="Septiembre",9,10),Tabla1[[#This Row],[Día de Fecha]])</f>
        <v>46291</v>
      </c>
      <c r="G509">
        <v>1048292768</v>
      </c>
      <c r="H509" t="s">
        <v>483</v>
      </c>
      <c r="I509">
        <v>178</v>
      </c>
      <c r="J509">
        <v>0</v>
      </c>
      <c r="K509" s="1">
        <v>8655639</v>
      </c>
    </row>
    <row r="510" spans="1:11" x14ac:dyDescent="0.25">
      <c r="A510" t="s">
        <v>326</v>
      </c>
      <c r="B510" t="s">
        <v>481</v>
      </c>
      <c r="C510" t="s">
        <v>866</v>
      </c>
      <c r="D510" t="s">
        <v>11</v>
      </c>
      <c r="E510">
        <v>26</v>
      </c>
      <c r="F510" s="2">
        <f>DATE(2026,IF(Tabla1[[#This Row],[Mes de Fecha]]="Septiembre",9,10),Tabla1[[#This Row],[Día de Fecha]])</f>
        <v>46291</v>
      </c>
      <c r="G510">
        <v>1127584684</v>
      </c>
      <c r="H510" t="s">
        <v>487</v>
      </c>
      <c r="I510">
        <v>65</v>
      </c>
      <c r="J510">
        <v>0</v>
      </c>
      <c r="K510" s="1">
        <v>2848660</v>
      </c>
    </row>
    <row r="511" spans="1:11" x14ac:dyDescent="0.25">
      <c r="A511" t="s">
        <v>326</v>
      </c>
      <c r="B511" t="s">
        <v>481</v>
      </c>
      <c r="C511" t="s">
        <v>866</v>
      </c>
      <c r="D511" t="s">
        <v>11</v>
      </c>
      <c r="E511">
        <v>26</v>
      </c>
      <c r="F511" s="2">
        <f>DATE(2026,IF(Tabla1[[#This Row],[Mes de Fecha]]="Septiembre",9,10),Tabla1[[#This Row],[Día de Fecha]])</f>
        <v>46291</v>
      </c>
      <c r="G511">
        <v>1143148766</v>
      </c>
      <c r="H511" t="s">
        <v>484</v>
      </c>
      <c r="I511">
        <v>124</v>
      </c>
      <c r="J511">
        <v>0</v>
      </c>
      <c r="K511" s="1">
        <v>5920848</v>
      </c>
    </row>
    <row r="512" spans="1:11" x14ac:dyDescent="0.25">
      <c r="A512" t="s">
        <v>326</v>
      </c>
      <c r="B512" t="s">
        <v>481</v>
      </c>
      <c r="C512" t="s">
        <v>866</v>
      </c>
      <c r="D512" t="s">
        <v>11</v>
      </c>
      <c r="E512">
        <v>27</v>
      </c>
      <c r="F512" s="2">
        <f>DATE(2026,IF(Tabla1[[#This Row],[Mes de Fecha]]="Septiembre",9,10),Tabla1[[#This Row],[Día de Fecha]])</f>
        <v>46292</v>
      </c>
      <c r="I512">
        <v>0</v>
      </c>
      <c r="J512" s="1">
        <v>25766838</v>
      </c>
      <c r="K512">
        <v>0</v>
      </c>
    </row>
    <row r="513" spans="1:11" x14ac:dyDescent="0.25">
      <c r="A513" t="s">
        <v>326</v>
      </c>
      <c r="B513" t="s">
        <v>481</v>
      </c>
      <c r="C513" t="s">
        <v>866</v>
      </c>
      <c r="D513" t="s">
        <v>11</v>
      </c>
      <c r="E513">
        <v>27</v>
      </c>
      <c r="F513" s="2">
        <f>DATE(2026,IF(Tabla1[[#This Row],[Mes de Fecha]]="Septiembre",9,10),Tabla1[[#This Row],[Día de Fecha]])</f>
        <v>46292</v>
      </c>
      <c r="G513">
        <v>1001878009</v>
      </c>
      <c r="H513" t="s">
        <v>482</v>
      </c>
      <c r="I513">
        <v>99</v>
      </c>
      <c r="J513">
        <v>0</v>
      </c>
      <c r="K513" s="1">
        <v>5205380</v>
      </c>
    </row>
    <row r="514" spans="1:11" x14ac:dyDescent="0.25">
      <c r="A514" t="s">
        <v>326</v>
      </c>
      <c r="B514" t="s">
        <v>481</v>
      </c>
      <c r="C514" t="s">
        <v>866</v>
      </c>
      <c r="D514" t="s">
        <v>11</v>
      </c>
      <c r="E514">
        <v>27</v>
      </c>
      <c r="F514" s="2">
        <f>DATE(2026,IF(Tabla1[[#This Row],[Mes de Fecha]]="Septiembre",9,10),Tabla1[[#This Row],[Día de Fecha]])</f>
        <v>46292</v>
      </c>
      <c r="G514">
        <v>1045739667</v>
      </c>
      <c r="H514" t="s">
        <v>488</v>
      </c>
      <c r="I514">
        <v>40</v>
      </c>
      <c r="J514">
        <v>0</v>
      </c>
      <c r="K514" s="1">
        <v>2359417</v>
      </c>
    </row>
    <row r="515" spans="1:11" x14ac:dyDescent="0.25">
      <c r="A515" t="s">
        <v>326</v>
      </c>
      <c r="B515" t="s">
        <v>481</v>
      </c>
      <c r="C515" t="s">
        <v>866</v>
      </c>
      <c r="D515" t="s">
        <v>11</v>
      </c>
      <c r="E515">
        <v>27</v>
      </c>
      <c r="F515" s="2">
        <f>DATE(2026,IF(Tabla1[[#This Row],[Mes de Fecha]]="Septiembre",9,10),Tabla1[[#This Row],[Día de Fecha]])</f>
        <v>46292</v>
      </c>
      <c r="G515">
        <v>1048292768</v>
      </c>
      <c r="H515" t="s">
        <v>483</v>
      </c>
      <c r="I515">
        <v>135</v>
      </c>
      <c r="J515">
        <v>0</v>
      </c>
      <c r="K515" s="1">
        <v>7506436</v>
      </c>
    </row>
    <row r="516" spans="1:11" x14ac:dyDescent="0.25">
      <c r="A516" t="s">
        <v>326</v>
      </c>
      <c r="B516" t="s">
        <v>481</v>
      </c>
      <c r="C516" t="s">
        <v>866</v>
      </c>
      <c r="D516" t="s">
        <v>11</v>
      </c>
      <c r="E516">
        <v>27</v>
      </c>
      <c r="F516" s="2">
        <f>DATE(2026,IF(Tabla1[[#This Row],[Mes de Fecha]]="Septiembre",9,10),Tabla1[[#This Row],[Día de Fecha]])</f>
        <v>46292</v>
      </c>
      <c r="G516">
        <v>1127584684</v>
      </c>
      <c r="H516" t="s">
        <v>487</v>
      </c>
      <c r="I516">
        <v>49</v>
      </c>
      <c r="J516">
        <v>0</v>
      </c>
      <c r="K516" s="1">
        <v>2485045</v>
      </c>
    </row>
    <row r="517" spans="1:11" x14ac:dyDescent="0.25">
      <c r="A517" t="s">
        <v>326</v>
      </c>
      <c r="B517" t="s">
        <v>481</v>
      </c>
      <c r="C517" t="s">
        <v>866</v>
      </c>
      <c r="D517" t="s">
        <v>11</v>
      </c>
      <c r="E517">
        <v>27</v>
      </c>
      <c r="F517" s="2">
        <f>DATE(2026,IF(Tabla1[[#This Row],[Mes de Fecha]]="Septiembre",9,10),Tabla1[[#This Row],[Día de Fecha]])</f>
        <v>46292</v>
      </c>
      <c r="G517">
        <v>1143148766</v>
      </c>
      <c r="H517" t="s">
        <v>484</v>
      </c>
      <c r="I517">
        <v>83</v>
      </c>
      <c r="J517">
        <v>0</v>
      </c>
      <c r="K517" s="1">
        <v>4300804</v>
      </c>
    </row>
    <row r="518" spans="1:11" x14ac:dyDescent="0.25">
      <c r="A518" t="s">
        <v>326</v>
      </c>
      <c r="B518" t="s">
        <v>481</v>
      </c>
      <c r="C518" t="s">
        <v>866</v>
      </c>
      <c r="D518" t="s">
        <v>11</v>
      </c>
      <c r="E518">
        <v>28</v>
      </c>
      <c r="F518" s="2">
        <f>DATE(2026,IF(Tabla1[[#This Row],[Mes de Fecha]]="Septiembre",9,10),Tabla1[[#This Row],[Día de Fecha]])</f>
        <v>46293</v>
      </c>
      <c r="I518">
        <v>0</v>
      </c>
      <c r="J518" s="1">
        <v>14181009</v>
      </c>
      <c r="K518">
        <v>0</v>
      </c>
    </row>
    <row r="519" spans="1:11" x14ac:dyDescent="0.25">
      <c r="A519" t="s">
        <v>326</v>
      </c>
      <c r="B519" t="s">
        <v>481</v>
      </c>
      <c r="C519" t="s">
        <v>866</v>
      </c>
      <c r="D519" t="s">
        <v>11</v>
      </c>
      <c r="E519">
        <v>28</v>
      </c>
      <c r="F519" s="2">
        <f>DATE(2026,IF(Tabla1[[#This Row],[Mes de Fecha]]="Septiembre",9,10),Tabla1[[#This Row],[Día de Fecha]])</f>
        <v>46293</v>
      </c>
      <c r="G519">
        <v>1001878009</v>
      </c>
      <c r="H519" t="s">
        <v>482</v>
      </c>
      <c r="I519">
        <v>31</v>
      </c>
      <c r="J519">
        <v>0</v>
      </c>
      <c r="K519" s="1">
        <v>1273698</v>
      </c>
    </row>
    <row r="520" spans="1:11" x14ac:dyDescent="0.25">
      <c r="A520" t="s">
        <v>326</v>
      </c>
      <c r="B520" t="s">
        <v>481</v>
      </c>
      <c r="C520" t="s">
        <v>866</v>
      </c>
      <c r="D520" t="s">
        <v>11</v>
      </c>
      <c r="E520">
        <v>28</v>
      </c>
      <c r="F520" s="2">
        <f>DATE(2026,IF(Tabla1[[#This Row],[Mes de Fecha]]="Septiembre",9,10),Tabla1[[#This Row],[Día de Fecha]])</f>
        <v>46293</v>
      </c>
      <c r="G520">
        <v>1045739667</v>
      </c>
      <c r="H520" t="s">
        <v>488</v>
      </c>
      <c r="I520">
        <v>12</v>
      </c>
      <c r="J520">
        <v>0</v>
      </c>
      <c r="K520" s="1">
        <v>596010</v>
      </c>
    </row>
    <row r="521" spans="1:11" x14ac:dyDescent="0.25">
      <c r="A521" t="s">
        <v>326</v>
      </c>
      <c r="B521" t="s">
        <v>481</v>
      </c>
      <c r="C521" t="s">
        <v>866</v>
      </c>
      <c r="D521" t="s">
        <v>11</v>
      </c>
      <c r="E521">
        <v>28</v>
      </c>
      <c r="F521" s="2">
        <f>DATE(2026,IF(Tabla1[[#This Row],[Mes de Fecha]]="Septiembre",9,10),Tabla1[[#This Row],[Día de Fecha]])</f>
        <v>46293</v>
      </c>
      <c r="G521">
        <v>1048292768</v>
      </c>
      <c r="H521" t="s">
        <v>483</v>
      </c>
      <c r="I521">
        <v>64</v>
      </c>
      <c r="J521">
        <v>0</v>
      </c>
      <c r="K521" s="1">
        <v>3238068</v>
      </c>
    </row>
    <row r="522" spans="1:11" x14ac:dyDescent="0.25">
      <c r="A522" t="s">
        <v>326</v>
      </c>
      <c r="B522" t="s">
        <v>481</v>
      </c>
      <c r="C522" t="s">
        <v>866</v>
      </c>
      <c r="D522" t="s">
        <v>11</v>
      </c>
      <c r="E522">
        <v>28</v>
      </c>
      <c r="F522" s="2">
        <f>DATE(2026,IF(Tabla1[[#This Row],[Mes de Fecha]]="Septiembre",9,10),Tabla1[[#This Row],[Día de Fecha]])</f>
        <v>46293</v>
      </c>
      <c r="G522">
        <v>1127584684</v>
      </c>
      <c r="H522" t="s">
        <v>487</v>
      </c>
      <c r="I522">
        <v>10</v>
      </c>
      <c r="J522">
        <v>0</v>
      </c>
      <c r="K522" s="1">
        <v>444915</v>
      </c>
    </row>
    <row r="523" spans="1:11" x14ac:dyDescent="0.25">
      <c r="A523" t="s">
        <v>326</v>
      </c>
      <c r="B523" t="s">
        <v>481</v>
      </c>
      <c r="C523" t="s">
        <v>866</v>
      </c>
      <c r="D523" t="s">
        <v>11</v>
      </c>
      <c r="E523">
        <v>28</v>
      </c>
      <c r="F523" s="2">
        <f>DATE(2026,IF(Tabla1[[#This Row],[Mes de Fecha]]="Septiembre",9,10),Tabla1[[#This Row],[Día de Fecha]])</f>
        <v>46293</v>
      </c>
      <c r="G523">
        <v>1143148766</v>
      </c>
      <c r="H523" t="s">
        <v>484</v>
      </c>
      <c r="I523">
        <v>58</v>
      </c>
      <c r="J523">
        <v>0</v>
      </c>
      <c r="K523" s="1">
        <v>2404874</v>
      </c>
    </row>
    <row r="524" spans="1:11" x14ac:dyDescent="0.25">
      <c r="A524" t="s">
        <v>326</v>
      </c>
      <c r="B524" t="s">
        <v>481</v>
      </c>
      <c r="C524" t="s">
        <v>866</v>
      </c>
      <c r="D524" t="s">
        <v>11</v>
      </c>
      <c r="E524">
        <v>29</v>
      </c>
      <c r="F524" s="2">
        <f>DATE(2026,IF(Tabla1[[#This Row],[Mes de Fecha]]="Septiembre",9,10),Tabla1[[#This Row],[Día de Fecha]])</f>
        <v>46294</v>
      </c>
      <c r="I524">
        <v>0</v>
      </c>
      <c r="J524" s="1">
        <v>15148094</v>
      </c>
      <c r="K524">
        <v>0</v>
      </c>
    </row>
    <row r="525" spans="1:11" x14ac:dyDescent="0.25">
      <c r="A525" t="s">
        <v>326</v>
      </c>
      <c r="B525" t="s">
        <v>481</v>
      </c>
      <c r="C525" t="s">
        <v>866</v>
      </c>
      <c r="D525" t="s">
        <v>11</v>
      </c>
      <c r="E525">
        <v>29</v>
      </c>
      <c r="F525" s="2">
        <f>DATE(2026,IF(Tabla1[[#This Row],[Mes de Fecha]]="Septiembre",9,10),Tabla1[[#This Row],[Día de Fecha]])</f>
        <v>46294</v>
      </c>
      <c r="G525">
        <v>1001878009</v>
      </c>
      <c r="H525" t="s">
        <v>482</v>
      </c>
      <c r="I525">
        <v>59</v>
      </c>
      <c r="J525">
        <v>0</v>
      </c>
      <c r="K525" s="1">
        <v>2559666</v>
      </c>
    </row>
    <row r="526" spans="1:11" x14ac:dyDescent="0.25">
      <c r="A526" t="s">
        <v>326</v>
      </c>
      <c r="B526" t="s">
        <v>481</v>
      </c>
      <c r="C526" t="s">
        <v>866</v>
      </c>
      <c r="D526" t="s">
        <v>11</v>
      </c>
      <c r="E526">
        <v>29</v>
      </c>
      <c r="F526" s="2">
        <f>DATE(2026,IF(Tabla1[[#This Row],[Mes de Fecha]]="Septiembre",9,10),Tabla1[[#This Row],[Día de Fecha]])</f>
        <v>46294</v>
      </c>
      <c r="G526">
        <v>1045739667</v>
      </c>
      <c r="H526" t="s">
        <v>488</v>
      </c>
      <c r="I526">
        <v>29</v>
      </c>
      <c r="J526">
        <v>0</v>
      </c>
      <c r="K526" s="1">
        <v>1116092</v>
      </c>
    </row>
    <row r="527" spans="1:11" x14ac:dyDescent="0.25">
      <c r="A527" t="s">
        <v>326</v>
      </c>
      <c r="B527" t="s">
        <v>481</v>
      </c>
      <c r="C527" t="s">
        <v>866</v>
      </c>
      <c r="D527" t="s">
        <v>11</v>
      </c>
      <c r="E527">
        <v>29</v>
      </c>
      <c r="F527" s="2">
        <f>DATE(2026,IF(Tabla1[[#This Row],[Mes de Fecha]]="Septiembre",9,10),Tabla1[[#This Row],[Día de Fecha]])</f>
        <v>46294</v>
      </c>
      <c r="G527">
        <v>1048292768</v>
      </c>
      <c r="H527" t="s">
        <v>483</v>
      </c>
      <c r="I527">
        <v>140</v>
      </c>
      <c r="J527">
        <v>0</v>
      </c>
      <c r="K527" s="1">
        <v>5560884</v>
      </c>
    </row>
    <row r="528" spans="1:11" x14ac:dyDescent="0.25">
      <c r="A528" t="s">
        <v>326</v>
      </c>
      <c r="B528" t="s">
        <v>481</v>
      </c>
      <c r="C528" t="s">
        <v>866</v>
      </c>
      <c r="D528" t="s">
        <v>11</v>
      </c>
      <c r="E528">
        <v>29</v>
      </c>
      <c r="F528" s="2">
        <f>DATE(2026,IF(Tabla1[[#This Row],[Mes de Fecha]]="Septiembre",9,10),Tabla1[[#This Row],[Día de Fecha]])</f>
        <v>46294</v>
      </c>
      <c r="G528">
        <v>1127584684</v>
      </c>
      <c r="H528" t="s">
        <v>487</v>
      </c>
      <c r="I528">
        <v>27</v>
      </c>
      <c r="J528">
        <v>0</v>
      </c>
      <c r="K528" s="1">
        <v>1443909</v>
      </c>
    </row>
    <row r="529" spans="1:11" x14ac:dyDescent="0.25">
      <c r="A529" t="s">
        <v>326</v>
      </c>
      <c r="B529" t="s">
        <v>481</v>
      </c>
      <c r="C529" t="s">
        <v>866</v>
      </c>
      <c r="D529" t="s">
        <v>11</v>
      </c>
      <c r="E529">
        <v>29</v>
      </c>
      <c r="F529" s="2">
        <f>DATE(2026,IF(Tabla1[[#This Row],[Mes de Fecha]]="Septiembre",9,10),Tabla1[[#This Row],[Día de Fecha]])</f>
        <v>46294</v>
      </c>
      <c r="G529">
        <v>1143148766</v>
      </c>
      <c r="H529" t="s">
        <v>484</v>
      </c>
      <c r="I529">
        <v>49</v>
      </c>
      <c r="J529">
        <v>0</v>
      </c>
      <c r="K529" s="1">
        <v>2423570</v>
      </c>
    </row>
    <row r="530" spans="1:11" x14ac:dyDescent="0.25">
      <c r="A530" t="s">
        <v>326</v>
      </c>
      <c r="B530" t="s">
        <v>481</v>
      </c>
      <c r="C530" t="s">
        <v>866</v>
      </c>
      <c r="D530" t="s">
        <v>11</v>
      </c>
      <c r="E530">
        <v>30</v>
      </c>
      <c r="F530" s="2">
        <f>DATE(2026,IF(Tabla1[[#This Row],[Mes de Fecha]]="Septiembre",9,10),Tabla1[[#This Row],[Día de Fecha]])</f>
        <v>46295</v>
      </c>
      <c r="I530">
        <v>0</v>
      </c>
      <c r="J530" s="1">
        <v>15648252</v>
      </c>
      <c r="K530">
        <v>0</v>
      </c>
    </row>
    <row r="531" spans="1:11" x14ac:dyDescent="0.25">
      <c r="A531" t="s">
        <v>326</v>
      </c>
      <c r="B531" t="s">
        <v>481</v>
      </c>
      <c r="C531" t="s">
        <v>866</v>
      </c>
      <c r="D531" t="s">
        <v>11</v>
      </c>
      <c r="E531">
        <v>30</v>
      </c>
      <c r="F531" s="2">
        <f>DATE(2026,IF(Tabla1[[#This Row],[Mes de Fecha]]="Septiembre",9,10),Tabla1[[#This Row],[Día de Fecha]])</f>
        <v>46295</v>
      </c>
      <c r="G531">
        <v>1001878009</v>
      </c>
      <c r="H531" t="s">
        <v>482</v>
      </c>
      <c r="I531">
        <v>42</v>
      </c>
      <c r="J531">
        <v>0</v>
      </c>
      <c r="K531" s="1">
        <v>1804497</v>
      </c>
    </row>
    <row r="532" spans="1:11" x14ac:dyDescent="0.25">
      <c r="A532" t="s">
        <v>326</v>
      </c>
      <c r="B532" t="s">
        <v>481</v>
      </c>
      <c r="C532" t="s">
        <v>866</v>
      </c>
      <c r="D532" t="s">
        <v>11</v>
      </c>
      <c r="E532">
        <v>30</v>
      </c>
      <c r="F532" s="2">
        <f>DATE(2026,IF(Tabla1[[#This Row],[Mes de Fecha]]="Septiembre",9,10),Tabla1[[#This Row],[Día de Fecha]])</f>
        <v>46295</v>
      </c>
      <c r="G532">
        <v>1045739667</v>
      </c>
      <c r="H532" t="s">
        <v>488</v>
      </c>
      <c r="I532">
        <v>28</v>
      </c>
      <c r="J532">
        <v>0</v>
      </c>
      <c r="K532" s="1">
        <v>860043</v>
      </c>
    </row>
    <row r="533" spans="1:11" x14ac:dyDescent="0.25">
      <c r="A533" t="s">
        <v>326</v>
      </c>
      <c r="B533" t="s">
        <v>481</v>
      </c>
      <c r="C533" t="s">
        <v>866</v>
      </c>
      <c r="D533" t="s">
        <v>11</v>
      </c>
      <c r="E533">
        <v>30</v>
      </c>
      <c r="F533" s="2">
        <f>DATE(2026,IF(Tabla1[[#This Row],[Mes de Fecha]]="Septiembre",9,10),Tabla1[[#This Row],[Día de Fecha]])</f>
        <v>46295</v>
      </c>
      <c r="G533">
        <v>1048292768</v>
      </c>
      <c r="H533" t="s">
        <v>483</v>
      </c>
      <c r="I533">
        <v>149</v>
      </c>
      <c r="J533">
        <v>0</v>
      </c>
      <c r="K533" s="1">
        <v>6763534</v>
      </c>
    </row>
    <row r="534" spans="1:11" x14ac:dyDescent="0.25">
      <c r="A534" t="s">
        <v>326</v>
      </c>
      <c r="B534" t="s">
        <v>481</v>
      </c>
      <c r="C534" t="s">
        <v>866</v>
      </c>
      <c r="D534" t="s">
        <v>11</v>
      </c>
      <c r="E534">
        <v>30</v>
      </c>
      <c r="F534" s="2">
        <f>DATE(2026,IF(Tabla1[[#This Row],[Mes de Fecha]]="Septiembre",9,10),Tabla1[[#This Row],[Día de Fecha]])</f>
        <v>46295</v>
      </c>
      <c r="G534">
        <v>1127584684</v>
      </c>
      <c r="H534" t="s">
        <v>487</v>
      </c>
      <c r="I534">
        <v>38</v>
      </c>
      <c r="J534">
        <v>0</v>
      </c>
      <c r="K534" s="1">
        <v>2090715</v>
      </c>
    </row>
    <row r="535" spans="1:11" x14ac:dyDescent="0.25">
      <c r="A535" t="s">
        <v>326</v>
      </c>
      <c r="B535" t="s">
        <v>481</v>
      </c>
      <c r="C535" t="s">
        <v>866</v>
      </c>
      <c r="D535" t="s">
        <v>11</v>
      </c>
      <c r="E535">
        <v>30</v>
      </c>
      <c r="F535" s="2">
        <f>DATE(2026,IF(Tabla1[[#This Row],[Mes de Fecha]]="Septiembre",9,10),Tabla1[[#This Row],[Día de Fecha]])</f>
        <v>46295</v>
      </c>
      <c r="G535">
        <v>1143148766</v>
      </c>
      <c r="H535" t="s">
        <v>484</v>
      </c>
      <c r="I535">
        <v>66</v>
      </c>
      <c r="J535">
        <v>0</v>
      </c>
      <c r="K535" s="1">
        <v>2652226</v>
      </c>
    </row>
    <row r="536" spans="1:11" x14ac:dyDescent="0.25">
      <c r="A536" t="s">
        <v>326</v>
      </c>
      <c r="B536" t="s">
        <v>481</v>
      </c>
      <c r="C536" t="s">
        <v>866</v>
      </c>
      <c r="D536" t="s">
        <v>14</v>
      </c>
      <c r="E536">
        <v>1</v>
      </c>
      <c r="F536" s="2">
        <f>DATE(2026,IF(Tabla1[[#This Row],[Mes de Fecha]]="Septiembre",9,10),Tabla1[[#This Row],[Día de Fecha]])</f>
        <v>46296</v>
      </c>
      <c r="I536">
        <v>0</v>
      </c>
      <c r="J536" s="1">
        <v>17074483</v>
      </c>
      <c r="K536">
        <v>0</v>
      </c>
    </row>
    <row r="537" spans="1:11" x14ac:dyDescent="0.25">
      <c r="A537" t="s">
        <v>326</v>
      </c>
      <c r="B537" t="s">
        <v>481</v>
      </c>
      <c r="C537" t="s">
        <v>866</v>
      </c>
      <c r="D537" t="s">
        <v>14</v>
      </c>
      <c r="E537">
        <v>1</v>
      </c>
      <c r="F537" s="2">
        <f>DATE(2026,IF(Tabla1[[#This Row],[Mes de Fecha]]="Septiembre",9,10),Tabla1[[#This Row],[Día de Fecha]])</f>
        <v>46296</v>
      </c>
      <c r="G537">
        <v>1001878009</v>
      </c>
      <c r="H537" t="s">
        <v>482</v>
      </c>
      <c r="I537">
        <v>84</v>
      </c>
      <c r="J537">
        <v>0</v>
      </c>
      <c r="K537" s="1">
        <v>3610970</v>
      </c>
    </row>
    <row r="538" spans="1:11" x14ac:dyDescent="0.25">
      <c r="A538" t="s">
        <v>326</v>
      </c>
      <c r="B538" t="s">
        <v>481</v>
      </c>
      <c r="C538" t="s">
        <v>866</v>
      </c>
      <c r="D538" t="s">
        <v>14</v>
      </c>
      <c r="E538">
        <v>1</v>
      </c>
      <c r="F538" s="2">
        <f>DATE(2026,IF(Tabla1[[#This Row],[Mes de Fecha]]="Septiembre",9,10),Tabla1[[#This Row],[Día de Fecha]])</f>
        <v>46296</v>
      </c>
      <c r="G538">
        <v>1045739667</v>
      </c>
      <c r="H538" t="s">
        <v>488</v>
      </c>
      <c r="I538">
        <v>16</v>
      </c>
      <c r="J538">
        <v>0</v>
      </c>
      <c r="K538" s="1">
        <v>803825</v>
      </c>
    </row>
    <row r="539" spans="1:11" x14ac:dyDescent="0.25">
      <c r="A539" t="s">
        <v>326</v>
      </c>
      <c r="B539" t="s">
        <v>481</v>
      </c>
      <c r="C539" t="s">
        <v>866</v>
      </c>
      <c r="D539" t="s">
        <v>14</v>
      </c>
      <c r="E539">
        <v>1</v>
      </c>
      <c r="F539" s="2">
        <f>DATE(2026,IF(Tabla1[[#This Row],[Mes de Fecha]]="Septiembre",9,10),Tabla1[[#This Row],[Día de Fecha]])</f>
        <v>46296</v>
      </c>
      <c r="G539">
        <v>1048292768</v>
      </c>
      <c r="H539" t="s">
        <v>483</v>
      </c>
      <c r="I539">
        <v>160</v>
      </c>
      <c r="J539">
        <v>0</v>
      </c>
      <c r="K539" s="1">
        <v>6074580</v>
      </c>
    </row>
    <row r="540" spans="1:11" x14ac:dyDescent="0.25">
      <c r="A540" t="s">
        <v>326</v>
      </c>
      <c r="B540" t="s">
        <v>481</v>
      </c>
      <c r="C540" t="s">
        <v>866</v>
      </c>
      <c r="D540" t="s">
        <v>14</v>
      </c>
      <c r="E540">
        <v>1</v>
      </c>
      <c r="F540" s="2">
        <f>DATE(2026,IF(Tabla1[[#This Row],[Mes de Fecha]]="Septiembre",9,10),Tabla1[[#This Row],[Día de Fecha]])</f>
        <v>46296</v>
      </c>
      <c r="G540">
        <v>1127584684</v>
      </c>
      <c r="H540" t="s">
        <v>487</v>
      </c>
      <c r="I540">
        <v>43</v>
      </c>
      <c r="J540">
        <v>0</v>
      </c>
      <c r="K540" s="1">
        <v>1835757</v>
      </c>
    </row>
    <row r="541" spans="1:11" x14ac:dyDescent="0.25">
      <c r="A541" t="s">
        <v>326</v>
      </c>
      <c r="B541" t="s">
        <v>481</v>
      </c>
      <c r="C541" t="s">
        <v>866</v>
      </c>
      <c r="D541" t="s">
        <v>14</v>
      </c>
      <c r="E541">
        <v>1</v>
      </c>
      <c r="F541" s="2">
        <f>DATE(2026,IF(Tabla1[[#This Row],[Mes de Fecha]]="Septiembre",9,10),Tabla1[[#This Row],[Día de Fecha]])</f>
        <v>46296</v>
      </c>
      <c r="G541">
        <v>1143148766</v>
      </c>
      <c r="H541" t="s">
        <v>484</v>
      </c>
      <c r="I541">
        <v>84</v>
      </c>
      <c r="J541">
        <v>0</v>
      </c>
      <c r="K541" s="1">
        <v>3798450</v>
      </c>
    </row>
    <row r="542" spans="1:11" x14ac:dyDescent="0.25">
      <c r="A542" t="s">
        <v>326</v>
      </c>
      <c r="B542" t="s">
        <v>481</v>
      </c>
      <c r="C542" t="s">
        <v>866</v>
      </c>
      <c r="D542" t="s">
        <v>14</v>
      </c>
      <c r="E542">
        <v>2</v>
      </c>
      <c r="F542" s="2">
        <f>DATE(2026,IF(Tabla1[[#This Row],[Mes de Fecha]]="Septiembre",9,10),Tabla1[[#This Row],[Día de Fecha]])</f>
        <v>46297</v>
      </c>
      <c r="I542">
        <v>0</v>
      </c>
      <c r="J542" s="1">
        <v>15983799</v>
      </c>
      <c r="K542">
        <v>0</v>
      </c>
    </row>
    <row r="543" spans="1:11" x14ac:dyDescent="0.25">
      <c r="A543" t="s">
        <v>326</v>
      </c>
      <c r="B543" t="s">
        <v>481</v>
      </c>
      <c r="C543" t="s">
        <v>866</v>
      </c>
      <c r="D543" t="s">
        <v>14</v>
      </c>
      <c r="E543">
        <v>2</v>
      </c>
      <c r="F543" s="2">
        <f>DATE(2026,IF(Tabla1[[#This Row],[Mes de Fecha]]="Septiembre",9,10),Tabla1[[#This Row],[Día de Fecha]])</f>
        <v>46297</v>
      </c>
      <c r="G543">
        <v>1001878009</v>
      </c>
      <c r="H543" t="s">
        <v>482</v>
      </c>
      <c r="I543">
        <v>0</v>
      </c>
      <c r="J543">
        <v>0</v>
      </c>
      <c r="K543" s="1">
        <v>8403</v>
      </c>
    </row>
    <row r="544" spans="1:11" x14ac:dyDescent="0.25">
      <c r="A544" t="s">
        <v>326</v>
      </c>
      <c r="B544" t="s">
        <v>481</v>
      </c>
      <c r="C544" t="s">
        <v>866</v>
      </c>
      <c r="D544" t="s">
        <v>14</v>
      </c>
      <c r="E544">
        <v>2</v>
      </c>
      <c r="F544" s="2">
        <f>DATE(2026,IF(Tabla1[[#This Row],[Mes de Fecha]]="Septiembre",9,10),Tabla1[[#This Row],[Día de Fecha]])</f>
        <v>46297</v>
      </c>
      <c r="G544">
        <v>1045739667</v>
      </c>
      <c r="H544" t="s">
        <v>488</v>
      </c>
      <c r="I544">
        <v>13</v>
      </c>
      <c r="J544">
        <v>0</v>
      </c>
      <c r="K544" s="1">
        <v>629539</v>
      </c>
    </row>
    <row r="545" spans="1:11" x14ac:dyDescent="0.25">
      <c r="A545" t="s">
        <v>326</v>
      </c>
      <c r="B545" t="s">
        <v>481</v>
      </c>
      <c r="C545" t="s">
        <v>866</v>
      </c>
      <c r="D545" t="s">
        <v>14</v>
      </c>
      <c r="E545">
        <v>2</v>
      </c>
      <c r="F545" s="2">
        <f>DATE(2026,IF(Tabla1[[#This Row],[Mes de Fecha]]="Septiembre",9,10),Tabla1[[#This Row],[Día de Fecha]])</f>
        <v>46297</v>
      </c>
      <c r="G545">
        <v>1048292768</v>
      </c>
      <c r="H545" t="s">
        <v>483</v>
      </c>
      <c r="I545">
        <v>122</v>
      </c>
      <c r="J545">
        <v>0</v>
      </c>
      <c r="K545" s="1">
        <v>5498028</v>
      </c>
    </row>
    <row r="546" spans="1:11" x14ac:dyDescent="0.25">
      <c r="A546" t="s">
        <v>326</v>
      </c>
      <c r="B546" t="s">
        <v>481</v>
      </c>
      <c r="C546" t="s">
        <v>866</v>
      </c>
      <c r="D546" t="s">
        <v>14</v>
      </c>
      <c r="E546">
        <v>2</v>
      </c>
      <c r="F546" s="2">
        <f>DATE(2026,IF(Tabla1[[#This Row],[Mes de Fecha]]="Septiembre",9,10),Tabla1[[#This Row],[Día de Fecha]])</f>
        <v>46297</v>
      </c>
      <c r="G546">
        <v>1127584684</v>
      </c>
      <c r="H546" t="s">
        <v>487</v>
      </c>
      <c r="I546">
        <v>36</v>
      </c>
      <c r="J546">
        <v>0</v>
      </c>
      <c r="K546" s="1">
        <v>1290339</v>
      </c>
    </row>
    <row r="547" spans="1:11" x14ac:dyDescent="0.25">
      <c r="A547" t="s">
        <v>326</v>
      </c>
      <c r="B547" t="s">
        <v>481</v>
      </c>
      <c r="C547" t="s">
        <v>866</v>
      </c>
      <c r="D547" t="s">
        <v>14</v>
      </c>
      <c r="E547">
        <v>2</v>
      </c>
      <c r="F547" s="2">
        <f>DATE(2026,IF(Tabla1[[#This Row],[Mes de Fecha]]="Septiembre",9,10),Tabla1[[#This Row],[Día de Fecha]])</f>
        <v>46297</v>
      </c>
      <c r="G547">
        <v>1143148766</v>
      </c>
      <c r="H547" t="s">
        <v>484</v>
      </c>
      <c r="I547">
        <v>78</v>
      </c>
      <c r="J547">
        <v>0</v>
      </c>
      <c r="K547" s="1">
        <v>3975088</v>
      </c>
    </row>
    <row r="548" spans="1:11" x14ac:dyDescent="0.25">
      <c r="A548" t="s">
        <v>326</v>
      </c>
      <c r="B548" t="s">
        <v>481</v>
      </c>
      <c r="C548" t="s">
        <v>866</v>
      </c>
      <c r="D548" t="s">
        <v>14</v>
      </c>
      <c r="E548">
        <v>3</v>
      </c>
      <c r="F548" s="2">
        <f>DATE(2026,IF(Tabla1[[#This Row],[Mes de Fecha]]="Septiembre",9,10),Tabla1[[#This Row],[Día de Fecha]])</f>
        <v>46298</v>
      </c>
      <c r="I548">
        <v>0</v>
      </c>
      <c r="J548" s="1">
        <v>26742000</v>
      </c>
      <c r="K548">
        <v>0</v>
      </c>
    </row>
    <row r="549" spans="1:11" x14ac:dyDescent="0.25">
      <c r="A549" t="s">
        <v>326</v>
      </c>
      <c r="B549" t="s">
        <v>481</v>
      </c>
      <c r="C549" t="s">
        <v>866</v>
      </c>
      <c r="D549" t="s">
        <v>14</v>
      </c>
      <c r="E549">
        <v>3</v>
      </c>
      <c r="F549" s="2">
        <f>DATE(2026,IF(Tabla1[[#This Row],[Mes de Fecha]]="Septiembre",9,10),Tabla1[[#This Row],[Día de Fecha]])</f>
        <v>46298</v>
      </c>
      <c r="G549">
        <v>1001878009</v>
      </c>
      <c r="H549" t="s">
        <v>482</v>
      </c>
      <c r="I549">
        <v>154</v>
      </c>
      <c r="J549">
        <v>0</v>
      </c>
      <c r="K549" s="1">
        <v>8600334</v>
      </c>
    </row>
    <row r="550" spans="1:11" x14ac:dyDescent="0.25">
      <c r="A550" t="s">
        <v>326</v>
      </c>
      <c r="B550" t="s">
        <v>481</v>
      </c>
      <c r="C550" t="s">
        <v>866</v>
      </c>
      <c r="D550" t="s">
        <v>14</v>
      </c>
      <c r="E550">
        <v>3</v>
      </c>
      <c r="F550" s="2">
        <f>DATE(2026,IF(Tabla1[[#This Row],[Mes de Fecha]]="Septiembre",9,10),Tabla1[[#This Row],[Día de Fecha]])</f>
        <v>46298</v>
      </c>
      <c r="G550">
        <v>1045739667</v>
      </c>
      <c r="H550" t="s">
        <v>488</v>
      </c>
      <c r="I550">
        <v>54</v>
      </c>
      <c r="J550">
        <v>0</v>
      </c>
      <c r="K550" s="1">
        <v>2112588</v>
      </c>
    </row>
    <row r="551" spans="1:11" x14ac:dyDescent="0.25">
      <c r="A551" t="s">
        <v>326</v>
      </c>
      <c r="B551" t="s">
        <v>481</v>
      </c>
      <c r="C551" t="s">
        <v>866</v>
      </c>
      <c r="D551" t="s">
        <v>14</v>
      </c>
      <c r="E551">
        <v>3</v>
      </c>
      <c r="F551" s="2">
        <f>DATE(2026,IF(Tabla1[[#This Row],[Mes de Fecha]]="Septiembre",9,10),Tabla1[[#This Row],[Día de Fecha]])</f>
        <v>46298</v>
      </c>
      <c r="G551">
        <v>1048292768</v>
      </c>
      <c r="H551" t="s">
        <v>483</v>
      </c>
      <c r="I551">
        <v>74</v>
      </c>
      <c r="J551">
        <v>0</v>
      </c>
      <c r="K551" s="1">
        <v>3110263</v>
      </c>
    </row>
    <row r="552" spans="1:11" x14ac:dyDescent="0.25">
      <c r="A552" t="s">
        <v>326</v>
      </c>
      <c r="B552" t="s">
        <v>481</v>
      </c>
      <c r="C552" t="s">
        <v>866</v>
      </c>
      <c r="D552" t="s">
        <v>14</v>
      </c>
      <c r="E552">
        <v>3</v>
      </c>
      <c r="F552" s="2">
        <f>DATE(2026,IF(Tabla1[[#This Row],[Mes de Fecha]]="Septiembre",9,10),Tabla1[[#This Row],[Día de Fecha]])</f>
        <v>46298</v>
      </c>
      <c r="G552">
        <v>1127584684</v>
      </c>
      <c r="H552" t="s">
        <v>487</v>
      </c>
      <c r="I552">
        <v>68</v>
      </c>
      <c r="J552">
        <v>0</v>
      </c>
      <c r="K552" s="1">
        <v>3201842</v>
      </c>
    </row>
    <row r="553" spans="1:11" x14ac:dyDescent="0.25">
      <c r="A553" t="s">
        <v>326</v>
      </c>
      <c r="B553" t="s">
        <v>481</v>
      </c>
      <c r="C553" t="s">
        <v>866</v>
      </c>
      <c r="D553" t="s">
        <v>14</v>
      </c>
      <c r="E553">
        <v>3</v>
      </c>
      <c r="F553" s="2">
        <f>DATE(2026,IF(Tabla1[[#This Row],[Mes de Fecha]]="Septiembre",9,10),Tabla1[[#This Row],[Día de Fecha]])</f>
        <v>46298</v>
      </c>
      <c r="G553">
        <v>1143148766</v>
      </c>
      <c r="H553" t="s">
        <v>484</v>
      </c>
      <c r="I553">
        <v>208</v>
      </c>
      <c r="J553">
        <v>0</v>
      </c>
      <c r="K553" s="1">
        <v>8692112</v>
      </c>
    </row>
    <row r="554" spans="1:11" x14ac:dyDescent="0.25">
      <c r="A554" t="s">
        <v>326</v>
      </c>
      <c r="B554" t="s">
        <v>481</v>
      </c>
      <c r="C554" t="s">
        <v>866</v>
      </c>
      <c r="D554" t="s">
        <v>14</v>
      </c>
      <c r="E554">
        <v>4</v>
      </c>
      <c r="F554" s="2">
        <f>DATE(2026,IF(Tabla1[[#This Row],[Mes de Fecha]]="Septiembre",9,10),Tabla1[[#This Row],[Día de Fecha]])</f>
        <v>46299</v>
      </c>
      <c r="I554">
        <v>0</v>
      </c>
      <c r="J554" s="1">
        <v>23326262</v>
      </c>
      <c r="K554">
        <v>0</v>
      </c>
    </row>
    <row r="555" spans="1:11" x14ac:dyDescent="0.25">
      <c r="A555" t="s">
        <v>326</v>
      </c>
      <c r="B555" t="s">
        <v>481</v>
      </c>
      <c r="C555" t="s">
        <v>866</v>
      </c>
      <c r="D555" t="s">
        <v>14</v>
      </c>
      <c r="E555">
        <v>4</v>
      </c>
      <c r="F555" s="2">
        <f>DATE(2026,IF(Tabla1[[#This Row],[Mes de Fecha]]="Septiembre",9,10),Tabla1[[#This Row],[Día de Fecha]])</f>
        <v>46299</v>
      </c>
      <c r="G555">
        <v>1001878009</v>
      </c>
      <c r="H555" t="s">
        <v>482</v>
      </c>
      <c r="I555">
        <v>108</v>
      </c>
      <c r="J555">
        <v>0</v>
      </c>
      <c r="K555" s="1">
        <v>5179417</v>
      </c>
    </row>
    <row r="556" spans="1:11" x14ac:dyDescent="0.25">
      <c r="A556" t="s">
        <v>326</v>
      </c>
      <c r="B556" t="s">
        <v>481</v>
      </c>
      <c r="C556" t="s">
        <v>866</v>
      </c>
      <c r="D556" t="s">
        <v>14</v>
      </c>
      <c r="E556">
        <v>4</v>
      </c>
      <c r="F556" s="2">
        <f>DATE(2026,IF(Tabla1[[#This Row],[Mes de Fecha]]="Septiembre",9,10),Tabla1[[#This Row],[Día de Fecha]])</f>
        <v>46299</v>
      </c>
      <c r="G556">
        <v>1045739667</v>
      </c>
      <c r="H556" t="s">
        <v>488</v>
      </c>
      <c r="I556">
        <v>39</v>
      </c>
      <c r="J556">
        <v>0</v>
      </c>
      <c r="K556" s="1">
        <v>1817311</v>
      </c>
    </row>
    <row r="557" spans="1:11" x14ac:dyDescent="0.25">
      <c r="A557" t="s">
        <v>326</v>
      </c>
      <c r="B557" t="s">
        <v>481</v>
      </c>
      <c r="C557" t="s">
        <v>866</v>
      </c>
      <c r="D557" t="s">
        <v>14</v>
      </c>
      <c r="E557">
        <v>4</v>
      </c>
      <c r="F557" s="2">
        <f>DATE(2026,IF(Tabla1[[#This Row],[Mes de Fecha]]="Septiembre",9,10),Tabla1[[#This Row],[Día de Fecha]])</f>
        <v>46299</v>
      </c>
      <c r="G557">
        <v>1048292768</v>
      </c>
      <c r="H557" t="s">
        <v>483</v>
      </c>
      <c r="I557">
        <v>144</v>
      </c>
      <c r="J557">
        <v>0</v>
      </c>
      <c r="K557" s="1">
        <v>7539333</v>
      </c>
    </row>
    <row r="558" spans="1:11" x14ac:dyDescent="0.25">
      <c r="A558" t="s">
        <v>326</v>
      </c>
      <c r="B558" t="s">
        <v>481</v>
      </c>
      <c r="C558" t="s">
        <v>866</v>
      </c>
      <c r="D558" t="s">
        <v>14</v>
      </c>
      <c r="E558">
        <v>4</v>
      </c>
      <c r="F558" s="2">
        <f>DATE(2026,IF(Tabla1[[#This Row],[Mes de Fecha]]="Septiembre",9,10),Tabla1[[#This Row],[Día de Fecha]])</f>
        <v>46299</v>
      </c>
      <c r="G558">
        <v>1127584684</v>
      </c>
      <c r="H558" t="s">
        <v>487</v>
      </c>
      <c r="I558">
        <v>29</v>
      </c>
      <c r="J558">
        <v>0</v>
      </c>
      <c r="K558" s="1">
        <v>1628865</v>
      </c>
    </row>
    <row r="559" spans="1:11" x14ac:dyDescent="0.25">
      <c r="A559" t="s">
        <v>326</v>
      </c>
      <c r="B559" t="s">
        <v>481</v>
      </c>
      <c r="C559" t="s">
        <v>866</v>
      </c>
      <c r="D559" t="s">
        <v>14</v>
      </c>
      <c r="E559">
        <v>4</v>
      </c>
      <c r="F559" s="2">
        <f>DATE(2026,IF(Tabla1[[#This Row],[Mes de Fecha]]="Septiembre",9,10),Tabla1[[#This Row],[Día de Fecha]])</f>
        <v>46299</v>
      </c>
      <c r="G559">
        <v>1143142715</v>
      </c>
      <c r="H559" t="s">
        <v>407</v>
      </c>
      <c r="I559">
        <v>-1</v>
      </c>
      <c r="J559">
        <v>0</v>
      </c>
      <c r="K559" s="1">
        <v>-54580</v>
      </c>
    </row>
    <row r="560" spans="1:11" x14ac:dyDescent="0.25">
      <c r="A560" t="s">
        <v>326</v>
      </c>
      <c r="B560" t="s">
        <v>481</v>
      </c>
      <c r="C560" t="s">
        <v>866</v>
      </c>
      <c r="D560" t="s">
        <v>14</v>
      </c>
      <c r="E560">
        <v>4</v>
      </c>
      <c r="F560" s="2">
        <f>DATE(2026,IF(Tabla1[[#This Row],[Mes de Fecha]]="Septiembre",9,10),Tabla1[[#This Row],[Día de Fecha]])</f>
        <v>46299</v>
      </c>
      <c r="G560">
        <v>1143148766</v>
      </c>
      <c r="H560" t="s">
        <v>484</v>
      </c>
      <c r="I560">
        <v>81</v>
      </c>
      <c r="J560">
        <v>0</v>
      </c>
      <c r="K560" s="1">
        <v>4353240</v>
      </c>
    </row>
    <row r="561" spans="1:11" x14ac:dyDescent="0.25">
      <c r="A561" t="s">
        <v>326</v>
      </c>
      <c r="B561" t="s">
        <v>481</v>
      </c>
      <c r="C561" t="s">
        <v>866</v>
      </c>
      <c r="D561" t="s">
        <v>14</v>
      </c>
      <c r="E561">
        <v>5</v>
      </c>
      <c r="F561" s="2">
        <f>DATE(2026,IF(Tabla1[[#This Row],[Mes de Fecha]]="Septiembre",9,10),Tabla1[[#This Row],[Día de Fecha]])</f>
        <v>46300</v>
      </c>
      <c r="I561">
        <v>0</v>
      </c>
      <c r="J561" s="1">
        <v>10488200</v>
      </c>
      <c r="K561">
        <v>0</v>
      </c>
    </row>
    <row r="562" spans="1:11" x14ac:dyDescent="0.25">
      <c r="A562" t="s">
        <v>326</v>
      </c>
      <c r="B562" t="s">
        <v>481</v>
      </c>
      <c r="C562" t="s">
        <v>866</v>
      </c>
      <c r="D562" t="s">
        <v>14</v>
      </c>
      <c r="E562">
        <v>5</v>
      </c>
      <c r="F562" s="2">
        <f>DATE(2026,IF(Tabla1[[#This Row],[Mes de Fecha]]="Septiembre",9,10),Tabla1[[#This Row],[Día de Fecha]])</f>
        <v>46300</v>
      </c>
      <c r="G562">
        <v>1001878009</v>
      </c>
      <c r="H562" t="s">
        <v>482</v>
      </c>
      <c r="I562">
        <v>54</v>
      </c>
      <c r="J562">
        <v>0</v>
      </c>
      <c r="K562" s="1">
        <v>2639876</v>
      </c>
    </row>
    <row r="563" spans="1:11" x14ac:dyDescent="0.25">
      <c r="A563" t="s">
        <v>326</v>
      </c>
      <c r="B563" t="s">
        <v>481</v>
      </c>
      <c r="C563" t="s">
        <v>866</v>
      </c>
      <c r="D563" t="s">
        <v>14</v>
      </c>
      <c r="E563">
        <v>5</v>
      </c>
      <c r="F563" s="2">
        <f>DATE(2026,IF(Tabla1[[#This Row],[Mes de Fecha]]="Septiembre",9,10),Tabla1[[#This Row],[Día de Fecha]])</f>
        <v>46300</v>
      </c>
      <c r="G563">
        <v>1045739667</v>
      </c>
      <c r="H563" t="s">
        <v>488</v>
      </c>
      <c r="I563">
        <v>6</v>
      </c>
      <c r="J563">
        <v>0</v>
      </c>
      <c r="K563" s="1">
        <v>474538</v>
      </c>
    </row>
    <row r="564" spans="1:11" x14ac:dyDescent="0.25">
      <c r="A564" t="s">
        <v>326</v>
      </c>
      <c r="B564" t="s">
        <v>481</v>
      </c>
      <c r="C564" t="s">
        <v>866</v>
      </c>
      <c r="D564" t="s">
        <v>14</v>
      </c>
      <c r="E564">
        <v>5</v>
      </c>
      <c r="F564" s="2">
        <f>DATE(2026,IF(Tabla1[[#This Row],[Mes de Fecha]]="Septiembre",9,10),Tabla1[[#This Row],[Día de Fecha]])</f>
        <v>46300</v>
      </c>
      <c r="G564">
        <v>1048292768</v>
      </c>
      <c r="H564" t="s">
        <v>483</v>
      </c>
      <c r="I564">
        <v>73</v>
      </c>
      <c r="J564">
        <v>0</v>
      </c>
      <c r="K564" s="1">
        <v>3249917</v>
      </c>
    </row>
    <row r="565" spans="1:11" x14ac:dyDescent="0.25">
      <c r="A565" t="s">
        <v>326</v>
      </c>
      <c r="B565" t="s">
        <v>481</v>
      </c>
      <c r="C565" t="s">
        <v>866</v>
      </c>
      <c r="D565" t="s">
        <v>14</v>
      </c>
      <c r="E565">
        <v>5</v>
      </c>
      <c r="F565" s="2">
        <f>DATE(2026,IF(Tabla1[[#This Row],[Mes de Fecha]]="Septiembre",9,10),Tabla1[[#This Row],[Día de Fecha]])</f>
        <v>46300</v>
      </c>
      <c r="G565">
        <v>1127584684</v>
      </c>
      <c r="H565" t="s">
        <v>487</v>
      </c>
      <c r="I565">
        <v>6</v>
      </c>
      <c r="J565">
        <v>0</v>
      </c>
      <c r="K565" s="1">
        <v>269462</v>
      </c>
    </row>
    <row r="566" spans="1:11" x14ac:dyDescent="0.25">
      <c r="A566" t="s">
        <v>326</v>
      </c>
      <c r="B566" t="s">
        <v>481</v>
      </c>
      <c r="C566" t="s">
        <v>866</v>
      </c>
      <c r="D566" t="s">
        <v>14</v>
      </c>
      <c r="E566">
        <v>5</v>
      </c>
      <c r="F566" s="2">
        <f>DATE(2026,IF(Tabla1[[#This Row],[Mes de Fecha]]="Septiembre",9,10),Tabla1[[#This Row],[Día de Fecha]])</f>
        <v>46300</v>
      </c>
      <c r="G566">
        <v>1143148766</v>
      </c>
      <c r="H566" t="s">
        <v>484</v>
      </c>
      <c r="I566">
        <v>41</v>
      </c>
      <c r="J566">
        <v>0</v>
      </c>
      <c r="K566" s="1">
        <v>2052605</v>
      </c>
    </row>
    <row r="567" spans="1:11" x14ac:dyDescent="0.25">
      <c r="A567" t="s">
        <v>326</v>
      </c>
      <c r="B567" t="s">
        <v>481</v>
      </c>
      <c r="C567" t="s">
        <v>866</v>
      </c>
      <c r="D567" t="s">
        <v>14</v>
      </c>
      <c r="E567">
        <v>6</v>
      </c>
      <c r="F567" s="2">
        <f>DATE(2026,IF(Tabla1[[#This Row],[Mes de Fecha]]="Septiembre",9,10),Tabla1[[#This Row],[Día de Fecha]])</f>
        <v>46301</v>
      </c>
      <c r="I567">
        <v>0</v>
      </c>
      <c r="J567" s="1">
        <v>9244597</v>
      </c>
      <c r="K567">
        <v>0</v>
      </c>
    </row>
    <row r="568" spans="1:11" x14ac:dyDescent="0.25">
      <c r="A568" t="s">
        <v>326</v>
      </c>
      <c r="B568" t="s">
        <v>481</v>
      </c>
      <c r="C568" t="s">
        <v>866</v>
      </c>
      <c r="D568" t="s">
        <v>14</v>
      </c>
      <c r="E568">
        <v>6</v>
      </c>
      <c r="F568" s="2">
        <f>DATE(2026,IF(Tabla1[[#This Row],[Mes de Fecha]]="Septiembre",9,10),Tabla1[[#This Row],[Día de Fecha]])</f>
        <v>46301</v>
      </c>
      <c r="G568">
        <v>1001878009</v>
      </c>
      <c r="H568" t="s">
        <v>482</v>
      </c>
      <c r="I568">
        <v>27</v>
      </c>
      <c r="J568">
        <v>0</v>
      </c>
      <c r="K568" s="1">
        <v>1330630</v>
      </c>
    </row>
    <row r="569" spans="1:11" x14ac:dyDescent="0.25">
      <c r="A569" t="s">
        <v>326</v>
      </c>
      <c r="B569" t="s">
        <v>481</v>
      </c>
      <c r="C569" t="s">
        <v>866</v>
      </c>
      <c r="D569" t="s">
        <v>14</v>
      </c>
      <c r="E569">
        <v>6</v>
      </c>
      <c r="F569" s="2">
        <f>DATE(2026,IF(Tabla1[[#This Row],[Mes de Fecha]]="Septiembre",9,10),Tabla1[[#This Row],[Día de Fecha]])</f>
        <v>46301</v>
      </c>
      <c r="G569">
        <v>1045739667</v>
      </c>
      <c r="H569" t="s">
        <v>488</v>
      </c>
      <c r="I569">
        <v>10</v>
      </c>
      <c r="J569">
        <v>0</v>
      </c>
      <c r="K569" s="1">
        <v>415505</v>
      </c>
    </row>
    <row r="570" spans="1:11" x14ac:dyDescent="0.25">
      <c r="A570" t="s">
        <v>326</v>
      </c>
      <c r="B570" t="s">
        <v>481</v>
      </c>
      <c r="C570" t="s">
        <v>866</v>
      </c>
      <c r="D570" t="s">
        <v>14</v>
      </c>
      <c r="E570">
        <v>6</v>
      </c>
      <c r="F570" s="2">
        <f>DATE(2026,IF(Tabla1[[#This Row],[Mes de Fecha]]="Septiembre",9,10),Tabla1[[#This Row],[Día de Fecha]])</f>
        <v>46301</v>
      </c>
      <c r="G570">
        <v>1048292768</v>
      </c>
      <c r="H570" t="s">
        <v>483</v>
      </c>
      <c r="I570">
        <v>37</v>
      </c>
      <c r="J570">
        <v>0</v>
      </c>
      <c r="K570" s="1">
        <v>1884876</v>
      </c>
    </row>
    <row r="571" spans="1:11" x14ac:dyDescent="0.25">
      <c r="A571" t="s">
        <v>326</v>
      </c>
      <c r="B571" t="s">
        <v>481</v>
      </c>
      <c r="C571" t="s">
        <v>866</v>
      </c>
      <c r="D571" t="s">
        <v>14</v>
      </c>
      <c r="E571">
        <v>6</v>
      </c>
      <c r="F571" s="2">
        <f>DATE(2026,IF(Tabla1[[#This Row],[Mes de Fecha]]="Septiembre",9,10),Tabla1[[#This Row],[Día de Fecha]])</f>
        <v>46301</v>
      </c>
      <c r="G571">
        <v>1127584684</v>
      </c>
      <c r="H571" t="s">
        <v>487</v>
      </c>
      <c r="I571">
        <v>10</v>
      </c>
      <c r="J571">
        <v>0</v>
      </c>
      <c r="K571" s="1">
        <v>365043</v>
      </c>
    </row>
    <row r="572" spans="1:11" x14ac:dyDescent="0.25">
      <c r="A572" t="s">
        <v>326</v>
      </c>
      <c r="B572" t="s">
        <v>481</v>
      </c>
      <c r="C572" t="s">
        <v>866</v>
      </c>
      <c r="D572" t="s">
        <v>14</v>
      </c>
      <c r="E572">
        <v>6</v>
      </c>
      <c r="F572" s="2">
        <f>DATE(2026,IF(Tabla1[[#This Row],[Mes de Fecha]]="Septiembre",9,10),Tabla1[[#This Row],[Día de Fecha]])</f>
        <v>46301</v>
      </c>
      <c r="G572">
        <v>1143148766</v>
      </c>
      <c r="H572" t="s">
        <v>484</v>
      </c>
      <c r="I572">
        <v>71</v>
      </c>
      <c r="J572">
        <v>0</v>
      </c>
      <c r="K572" s="1">
        <v>1629205</v>
      </c>
    </row>
    <row r="573" spans="1:11" x14ac:dyDescent="0.25">
      <c r="A573" t="s">
        <v>326</v>
      </c>
      <c r="B573" t="s">
        <v>481</v>
      </c>
      <c r="C573" t="s">
        <v>866</v>
      </c>
      <c r="D573" t="s">
        <v>14</v>
      </c>
      <c r="E573">
        <v>7</v>
      </c>
      <c r="F573" s="2">
        <f>DATE(2026,IF(Tabla1[[#This Row],[Mes de Fecha]]="Septiembre",9,10),Tabla1[[#This Row],[Día de Fecha]])</f>
        <v>46302</v>
      </c>
      <c r="I573">
        <v>0</v>
      </c>
      <c r="J573" s="1">
        <v>9171963</v>
      </c>
      <c r="K573">
        <v>0</v>
      </c>
    </row>
    <row r="574" spans="1:11" x14ac:dyDescent="0.25">
      <c r="A574" t="s">
        <v>326</v>
      </c>
      <c r="B574" t="s">
        <v>481</v>
      </c>
      <c r="C574" t="s">
        <v>866</v>
      </c>
      <c r="D574" t="s">
        <v>14</v>
      </c>
      <c r="E574">
        <v>7</v>
      </c>
      <c r="F574" s="2">
        <f>DATE(2026,IF(Tabla1[[#This Row],[Mes de Fecha]]="Septiembre",9,10),Tabla1[[#This Row],[Día de Fecha]])</f>
        <v>46302</v>
      </c>
      <c r="G574">
        <v>1001878009</v>
      </c>
      <c r="H574" t="s">
        <v>482</v>
      </c>
      <c r="I574">
        <v>30</v>
      </c>
      <c r="J574">
        <v>0</v>
      </c>
      <c r="K574" s="1">
        <v>1641429</v>
      </c>
    </row>
    <row r="575" spans="1:11" x14ac:dyDescent="0.25">
      <c r="A575" t="s">
        <v>326</v>
      </c>
      <c r="B575" t="s">
        <v>481</v>
      </c>
      <c r="C575" t="s">
        <v>866</v>
      </c>
      <c r="D575" t="s">
        <v>14</v>
      </c>
      <c r="E575">
        <v>7</v>
      </c>
      <c r="F575" s="2">
        <f>DATE(2026,IF(Tabla1[[#This Row],[Mes de Fecha]]="Septiembre",9,10),Tabla1[[#This Row],[Día de Fecha]])</f>
        <v>46302</v>
      </c>
      <c r="G575">
        <v>1045739667</v>
      </c>
      <c r="H575" t="s">
        <v>488</v>
      </c>
      <c r="I575">
        <v>5</v>
      </c>
      <c r="J575">
        <v>0</v>
      </c>
      <c r="K575" s="1">
        <v>232983</v>
      </c>
    </row>
    <row r="576" spans="1:11" x14ac:dyDescent="0.25">
      <c r="A576" t="s">
        <v>326</v>
      </c>
      <c r="B576" t="s">
        <v>481</v>
      </c>
      <c r="C576" t="s">
        <v>866</v>
      </c>
      <c r="D576" t="s">
        <v>14</v>
      </c>
      <c r="E576">
        <v>7</v>
      </c>
      <c r="F576" s="2">
        <f>DATE(2026,IF(Tabla1[[#This Row],[Mes de Fecha]]="Septiembre",9,10),Tabla1[[#This Row],[Día de Fecha]])</f>
        <v>46302</v>
      </c>
      <c r="G576">
        <v>1048292768</v>
      </c>
      <c r="H576" t="s">
        <v>483</v>
      </c>
      <c r="I576">
        <v>42</v>
      </c>
      <c r="J576">
        <v>0</v>
      </c>
      <c r="K576" s="1">
        <v>2031556</v>
      </c>
    </row>
    <row r="577" spans="1:11" x14ac:dyDescent="0.25">
      <c r="A577" t="s">
        <v>326</v>
      </c>
      <c r="B577" t="s">
        <v>481</v>
      </c>
      <c r="C577" t="s">
        <v>866</v>
      </c>
      <c r="D577" t="s">
        <v>14</v>
      </c>
      <c r="E577">
        <v>7</v>
      </c>
      <c r="F577" s="2">
        <f>DATE(2026,IF(Tabla1[[#This Row],[Mes de Fecha]]="Septiembre",9,10),Tabla1[[#This Row],[Día de Fecha]])</f>
        <v>46302</v>
      </c>
      <c r="G577">
        <v>1098200569</v>
      </c>
      <c r="H577" t="s">
        <v>491</v>
      </c>
      <c r="I577">
        <v>-1</v>
      </c>
      <c r="J577">
        <v>0</v>
      </c>
      <c r="K577" s="1">
        <v>-67185</v>
      </c>
    </row>
    <row r="578" spans="1:11" x14ac:dyDescent="0.25">
      <c r="A578" t="s">
        <v>326</v>
      </c>
      <c r="B578" t="s">
        <v>481</v>
      </c>
      <c r="C578" t="s">
        <v>866</v>
      </c>
      <c r="D578" t="s">
        <v>14</v>
      </c>
      <c r="E578">
        <v>7</v>
      </c>
      <c r="F578" s="2">
        <f>DATE(2026,IF(Tabla1[[#This Row],[Mes de Fecha]]="Septiembre",9,10),Tabla1[[#This Row],[Día de Fecha]])</f>
        <v>46302</v>
      </c>
      <c r="G578">
        <v>1127584684</v>
      </c>
      <c r="H578" t="s">
        <v>487</v>
      </c>
      <c r="I578">
        <v>4</v>
      </c>
      <c r="J578">
        <v>0</v>
      </c>
      <c r="K578" s="1">
        <v>272941</v>
      </c>
    </row>
    <row r="579" spans="1:11" x14ac:dyDescent="0.25">
      <c r="A579" t="s">
        <v>326</v>
      </c>
      <c r="B579" t="s">
        <v>481</v>
      </c>
      <c r="C579" t="s">
        <v>866</v>
      </c>
      <c r="D579" t="s">
        <v>14</v>
      </c>
      <c r="E579">
        <v>7</v>
      </c>
      <c r="F579" s="2">
        <f>DATE(2026,IF(Tabla1[[#This Row],[Mes de Fecha]]="Septiembre",9,10),Tabla1[[#This Row],[Día de Fecha]])</f>
        <v>46302</v>
      </c>
      <c r="G579">
        <v>1143148766</v>
      </c>
      <c r="H579" t="s">
        <v>484</v>
      </c>
      <c r="I579">
        <v>22</v>
      </c>
      <c r="J579">
        <v>0</v>
      </c>
      <c r="K579" s="1">
        <v>1251051</v>
      </c>
    </row>
    <row r="580" spans="1:11" x14ac:dyDescent="0.25">
      <c r="A580" t="s">
        <v>326</v>
      </c>
      <c r="B580" t="s">
        <v>565</v>
      </c>
      <c r="C580" t="s">
        <v>866</v>
      </c>
      <c r="D580" t="s">
        <v>11</v>
      </c>
      <c r="E580">
        <v>23</v>
      </c>
      <c r="F580" s="2">
        <f>DATE(2026,IF(Tabla1[[#This Row],[Mes de Fecha]]="Septiembre",9,10),Tabla1[[#This Row],[Día de Fecha]])</f>
        <v>46288</v>
      </c>
      <c r="I580">
        <v>0</v>
      </c>
      <c r="J580" s="1">
        <v>14397969</v>
      </c>
      <c r="K580">
        <v>0</v>
      </c>
    </row>
    <row r="581" spans="1:11" x14ac:dyDescent="0.25">
      <c r="A581" t="s">
        <v>326</v>
      </c>
      <c r="B581" t="s">
        <v>565</v>
      </c>
      <c r="C581" t="s">
        <v>866</v>
      </c>
      <c r="D581" t="s">
        <v>11</v>
      </c>
      <c r="E581">
        <v>23</v>
      </c>
      <c r="F581" s="2">
        <f>DATE(2026,IF(Tabla1[[#This Row],[Mes de Fecha]]="Septiembre",9,10),Tabla1[[#This Row],[Día de Fecha]])</f>
        <v>46288</v>
      </c>
      <c r="G581">
        <v>1045700677</v>
      </c>
      <c r="H581" t="s">
        <v>567</v>
      </c>
      <c r="I581">
        <v>20</v>
      </c>
      <c r="J581">
        <v>0</v>
      </c>
      <c r="K581" s="1">
        <v>931010</v>
      </c>
    </row>
    <row r="582" spans="1:11" x14ac:dyDescent="0.25">
      <c r="A582" t="s">
        <v>326</v>
      </c>
      <c r="B582" t="s">
        <v>565</v>
      </c>
      <c r="C582" t="s">
        <v>866</v>
      </c>
      <c r="D582" t="s">
        <v>11</v>
      </c>
      <c r="E582">
        <v>23</v>
      </c>
      <c r="F582" s="2">
        <f>DATE(2026,IF(Tabla1[[#This Row],[Mes de Fecha]]="Septiembre",9,10),Tabla1[[#This Row],[Día de Fecha]])</f>
        <v>46288</v>
      </c>
      <c r="G582">
        <v>1102809500</v>
      </c>
      <c r="H582" t="s">
        <v>486</v>
      </c>
      <c r="I582">
        <v>219</v>
      </c>
      <c r="J582">
        <v>0</v>
      </c>
      <c r="K582" s="1">
        <v>13252780</v>
      </c>
    </row>
    <row r="583" spans="1:11" x14ac:dyDescent="0.25">
      <c r="A583" t="s">
        <v>326</v>
      </c>
      <c r="B583" t="s">
        <v>565</v>
      </c>
      <c r="C583" t="s">
        <v>866</v>
      </c>
      <c r="D583" t="s">
        <v>11</v>
      </c>
      <c r="E583">
        <v>23</v>
      </c>
      <c r="F583" s="2">
        <f>DATE(2026,IF(Tabla1[[#This Row],[Mes de Fecha]]="Septiembre",9,10),Tabla1[[#This Row],[Día de Fecha]])</f>
        <v>46288</v>
      </c>
      <c r="G583">
        <v>1102826282</v>
      </c>
      <c r="H583" t="s">
        <v>568</v>
      </c>
      <c r="I583">
        <v>14</v>
      </c>
      <c r="J583">
        <v>0</v>
      </c>
      <c r="K583" s="1">
        <v>709497</v>
      </c>
    </row>
    <row r="584" spans="1:11" x14ac:dyDescent="0.25">
      <c r="A584" t="s">
        <v>326</v>
      </c>
      <c r="B584" t="s">
        <v>565</v>
      </c>
      <c r="C584" t="s">
        <v>866</v>
      </c>
      <c r="D584" t="s">
        <v>11</v>
      </c>
      <c r="E584">
        <v>23</v>
      </c>
      <c r="F584" s="2">
        <f>DATE(2026,IF(Tabla1[[#This Row],[Mes de Fecha]]="Septiembre",9,10),Tabla1[[#This Row],[Día de Fecha]])</f>
        <v>46288</v>
      </c>
      <c r="G584">
        <v>1103109383</v>
      </c>
      <c r="H584" t="s">
        <v>566</v>
      </c>
      <c r="I584">
        <v>130</v>
      </c>
      <c r="J584">
        <v>0</v>
      </c>
      <c r="K584" s="1">
        <v>7082315</v>
      </c>
    </row>
    <row r="585" spans="1:11" x14ac:dyDescent="0.25">
      <c r="A585" t="s">
        <v>326</v>
      </c>
      <c r="B585" t="s">
        <v>565</v>
      </c>
      <c r="C585" t="s">
        <v>866</v>
      </c>
      <c r="D585" t="s">
        <v>11</v>
      </c>
      <c r="E585">
        <v>24</v>
      </c>
      <c r="F585" s="2">
        <f>DATE(2026,IF(Tabla1[[#This Row],[Mes de Fecha]]="Septiembre",9,10),Tabla1[[#This Row],[Día de Fecha]])</f>
        <v>46289</v>
      </c>
      <c r="I585">
        <v>0</v>
      </c>
      <c r="J585" s="1">
        <v>21994518</v>
      </c>
      <c r="K585">
        <v>0</v>
      </c>
    </row>
    <row r="586" spans="1:11" x14ac:dyDescent="0.25">
      <c r="A586" t="s">
        <v>326</v>
      </c>
      <c r="B586" t="s">
        <v>565</v>
      </c>
      <c r="C586" t="s">
        <v>866</v>
      </c>
      <c r="D586" t="s">
        <v>11</v>
      </c>
      <c r="E586">
        <v>24</v>
      </c>
      <c r="F586" s="2">
        <f>DATE(2026,IF(Tabla1[[#This Row],[Mes de Fecha]]="Septiembre",9,10),Tabla1[[#This Row],[Día de Fecha]])</f>
        <v>46289</v>
      </c>
      <c r="G586">
        <v>1045700677</v>
      </c>
      <c r="H586" t="s">
        <v>567</v>
      </c>
      <c r="I586">
        <v>30</v>
      </c>
      <c r="J586">
        <v>0</v>
      </c>
      <c r="K586" s="1">
        <v>1369706</v>
      </c>
    </row>
    <row r="587" spans="1:11" x14ac:dyDescent="0.25">
      <c r="A587" t="s">
        <v>326</v>
      </c>
      <c r="B587" t="s">
        <v>565</v>
      </c>
      <c r="C587" t="s">
        <v>866</v>
      </c>
      <c r="D587" t="s">
        <v>11</v>
      </c>
      <c r="E587">
        <v>24</v>
      </c>
      <c r="F587" s="2">
        <f>DATE(2026,IF(Tabla1[[#This Row],[Mes de Fecha]]="Septiembre",9,10),Tabla1[[#This Row],[Día de Fecha]])</f>
        <v>46289</v>
      </c>
      <c r="G587">
        <v>1102809500</v>
      </c>
      <c r="H587" t="s">
        <v>486</v>
      </c>
      <c r="I587">
        <v>136</v>
      </c>
      <c r="J587">
        <v>0</v>
      </c>
      <c r="K587" s="1">
        <v>7142947</v>
      </c>
    </row>
    <row r="588" spans="1:11" x14ac:dyDescent="0.25">
      <c r="A588" t="s">
        <v>326</v>
      </c>
      <c r="B588" t="s">
        <v>565</v>
      </c>
      <c r="C588" t="s">
        <v>866</v>
      </c>
      <c r="D588" t="s">
        <v>11</v>
      </c>
      <c r="E588">
        <v>24</v>
      </c>
      <c r="F588" s="2">
        <f>DATE(2026,IF(Tabla1[[#This Row],[Mes de Fecha]]="Septiembre",9,10),Tabla1[[#This Row],[Día de Fecha]])</f>
        <v>46289</v>
      </c>
      <c r="G588">
        <v>1102826282</v>
      </c>
      <c r="H588" t="s">
        <v>568</v>
      </c>
      <c r="I588">
        <v>17</v>
      </c>
      <c r="J588">
        <v>0</v>
      </c>
      <c r="K588" s="1">
        <v>831178</v>
      </c>
    </row>
    <row r="589" spans="1:11" x14ac:dyDescent="0.25">
      <c r="A589" t="s">
        <v>326</v>
      </c>
      <c r="B589" t="s">
        <v>565</v>
      </c>
      <c r="C589" t="s">
        <v>866</v>
      </c>
      <c r="D589" t="s">
        <v>11</v>
      </c>
      <c r="E589">
        <v>24</v>
      </c>
      <c r="F589" s="2">
        <f>DATE(2026,IF(Tabla1[[#This Row],[Mes de Fecha]]="Septiembre",9,10),Tabla1[[#This Row],[Día de Fecha]])</f>
        <v>46289</v>
      </c>
      <c r="G589">
        <v>1103109383</v>
      </c>
      <c r="H589" t="s">
        <v>566</v>
      </c>
      <c r="I589">
        <v>65</v>
      </c>
      <c r="J589">
        <v>0</v>
      </c>
      <c r="K589" s="1">
        <v>3545381</v>
      </c>
    </row>
    <row r="590" spans="1:11" x14ac:dyDescent="0.25">
      <c r="A590" t="s">
        <v>326</v>
      </c>
      <c r="B590" t="s">
        <v>565</v>
      </c>
      <c r="C590" t="s">
        <v>866</v>
      </c>
      <c r="D590" t="s">
        <v>11</v>
      </c>
      <c r="E590">
        <v>25</v>
      </c>
      <c r="F590" s="2">
        <f>DATE(2026,IF(Tabla1[[#This Row],[Mes de Fecha]]="Septiembre",9,10),Tabla1[[#This Row],[Día de Fecha]])</f>
        <v>46290</v>
      </c>
      <c r="I590">
        <v>0</v>
      </c>
      <c r="J590" s="1">
        <v>21945831</v>
      </c>
      <c r="K590">
        <v>0</v>
      </c>
    </row>
    <row r="591" spans="1:11" x14ac:dyDescent="0.25">
      <c r="A591" t="s">
        <v>326</v>
      </c>
      <c r="B591" t="s">
        <v>565</v>
      </c>
      <c r="C591" t="s">
        <v>866</v>
      </c>
      <c r="D591" t="s">
        <v>11</v>
      </c>
      <c r="E591">
        <v>25</v>
      </c>
      <c r="F591" s="2">
        <f>DATE(2026,IF(Tabla1[[#This Row],[Mes de Fecha]]="Septiembre",9,10),Tabla1[[#This Row],[Día de Fecha]])</f>
        <v>46290</v>
      </c>
      <c r="G591">
        <v>1045700677</v>
      </c>
      <c r="H591" t="s">
        <v>567</v>
      </c>
      <c r="I591">
        <v>26</v>
      </c>
      <c r="J591">
        <v>0</v>
      </c>
      <c r="K591" s="1">
        <v>1215255</v>
      </c>
    </row>
    <row r="592" spans="1:11" x14ac:dyDescent="0.25">
      <c r="A592" t="s">
        <v>326</v>
      </c>
      <c r="B592" t="s">
        <v>565</v>
      </c>
      <c r="C592" t="s">
        <v>866</v>
      </c>
      <c r="D592" t="s">
        <v>11</v>
      </c>
      <c r="E592">
        <v>25</v>
      </c>
      <c r="F592" s="2">
        <f>DATE(2026,IF(Tabla1[[#This Row],[Mes de Fecha]]="Septiembre",9,10),Tabla1[[#This Row],[Día de Fecha]])</f>
        <v>46290</v>
      </c>
      <c r="G592">
        <v>1102809500</v>
      </c>
      <c r="H592" t="s">
        <v>486</v>
      </c>
      <c r="I592">
        <v>191</v>
      </c>
      <c r="J592">
        <v>0</v>
      </c>
      <c r="K592" s="1">
        <v>10677859</v>
      </c>
    </row>
    <row r="593" spans="1:11" x14ac:dyDescent="0.25">
      <c r="A593" t="s">
        <v>326</v>
      </c>
      <c r="B593" t="s">
        <v>565</v>
      </c>
      <c r="C593" t="s">
        <v>866</v>
      </c>
      <c r="D593" t="s">
        <v>11</v>
      </c>
      <c r="E593">
        <v>25</v>
      </c>
      <c r="F593" s="2">
        <f>DATE(2026,IF(Tabla1[[#This Row],[Mes de Fecha]]="Septiembre",9,10),Tabla1[[#This Row],[Día de Fecha]])</f>
        <v>46290</v>
      </c>
      <c r="G593">
        <v>1102826282</v>
      </c>
      <c r="H593" t="s">
        <v>568</v>
      </c>
      <c r="I593">
        <v>27</v>
      </c>
      <c r="J593">
        <v>0</v>
      </c>
      <c r="K593" s="1">
        <v>1305591</v>
      </c>
    </row>
    <row r="594" spans="1:11" x14ac:dyDescent="0.25">
      <c r="A594" t="s">
        <v>326</v>
      </c>
      <c r="B594" t="s">
        <v>565</v>
      </c>
      <c r="C594" t="s">
        <v>866</v>
      </c>
      <c r="D594" t="s">
        <v>11</v>
      </c>
      <c r="E594">
        <v>25</v>
      </c>
      <c r="F594" s="2">
        <f>DATE(2026,IF(Tabla1[[#This Row],[Mes de Fecha]]="Septiembre",9,10),Tabla1[[#This Row],[Día de Fecha]])</f>
        <v>46290</v>
      </c>
      <c r="G594">
        <v>1103109383</v>
      </c>
      <c r="H594" t="s">
        <v>566</v>
      </c>
      <c r="I594">
        <v>143</v>
      </c>
      <c r="J594">
        <v>0</v>
      </c>
      <c r="K594" s="1">
        <v>7819331</v>
      </c>
    </row>
    <row r="595" spans="1:11" x14ac:dyDescent="0.25">
      <c r="A595" t="s">
        <v>326</v>
      </c>
      <c r="B595" t="s">
        <v>565</v>
      </c>
      <c r="C595" t="s">
        <v>866</v>
      </c>
      <c r="D595" t="s">
        <v>11</v>
      </c>
      <c r="E595">
        <v>26</v>
      </c>
      <c r="F595" s="2">
        <f>DATE(2026,IF(Tabla1[[#This Row],[Mes de Fecha]]="Septiembre",9,10),Tabla1[[#This Row],[Día de Fecha]])</f>
        <v>46291</v>
      </c>
      <c r="I595">
        <v>0</v>
      </c>
      <c r="J595" s="1">
        <v>31539310</v>
      </c>
      <c r="K595">
        <v>0</v>
      </c>
    </row>
    <row r="596" spans="1:11" x14ac:dyDescent="0.25">
      <c r="A596" t="s">
        <v>326</v>
      </c>
      <c r="B596" t="s">
        <v>565</v>
      </c>
      <c r="C596" t="s">
        <v>866</v>
      </c>
      <c r="D596" t="s">
        <v>11</v>
      </c>
      <c r="E596">
        <v>26</v>
      </c>
      <c r="F596" s="2">
        <f>DATE(2026,IF(Tabla1[[#This Row],[Mes de Fecha]]="Septiembre",9,10),Tabla1[[#This Row],[Día de Fecha]])</f>
        <v>46291</v>
      </c>
      <c r="G596">
        <v>1045700677</v>
      </c>
      <c r="H596" t="s">
        <v>567</v>
      </c>
      <c r="I596">
        <v>27</v>
      </c>
      <c r="J596">
        <v>0</v>
      </c>
      <c r="K596" s="1">
        <v>1063868</v>
      </c>
    </row>
    <row r="597" spans="1:11" x14ac:dyDescent="0.25">
      <c r="A597" t="s">
        <v>326</v>
      </c>
      <c r="B597" t="s">
        <v>565</v>
      </c>
      <c r="C597" t="s">
        <v>866</v>
      </c>
      <c r="D597" t="s">
        <v>11</v>
      </c>
      <c r="E597">
        <v>26</v>
      </c>
      <c r="F597" s="2">
        <f>DATE(2026,IF(Tabla1[[#This Row],[Mes de Fecha]]="Septiembre",9,10),Tabla1[[#This Row],[Día de Fecha]])</f>
        <v>46291</v>
      </c>
      <c r="G597">
        <v>1102809500</v>
      </c>
      <c r="H597" t="s">
        <v>486</v>
      </c>
      <c r="I597">
        <v>157</v>
      </c>
      <c r="J597">
        <v>0</v>
      </c>
      <c r="K597" s="1">
        <v>7912569</v>
      </c>
    </row>
    <row r="598" spans="1:11" x14ac:dyDescent="0.25">
      <c r="A598" t="s">
        <v>326</v>
      </c>
      <c r="B598" t="s">
        <v>565</v>
      </c>
      <c r="C598" t="s">
        <v>866</v>
      </c>
      <c r="D598" t="s">
        <v>11</v>
      </c>
      <c r="E598">
        <v>26</v>
      </c>
      <c r="F598" s="2">
        <f>DATE(2026,IF(Tabla1[[#This Row],[Mes de Fecha]]="Septiembre",9,10),Tabla1[[#This Row],[Día de Fecha]])</f>
        <v>46291</v>
      </c>
      <c r="G598">
        <v>1102826282</v>
      </c>
      <c r="H598" t="s">
        <v>568</v>
      </c>
      <c r="I598">
        <v>50</v>
      </c>
      <c r="J598">
        <v>0</v>
      </c>
      <c r="K598" s="1">
        <v>2367189</v>
      </c>
    </row>
    <row r="599" spans="1:11" x14ac:dyDescent="0.25">
      <c r="A599" t="s">
        <v>326</v>
      </c>
      <c r="B599" t="s">
        <v>565</v>
      </c>
      <c r="C599" t="s">
        <v>866</v>
      </c>
      <c r="D599" t="s">
        <v>11</v>
      </c>
      <c r="E599">
        <v>26</v>
      </c>
      <c r="F599" s="2">
        <f>DATE(2026,IF(Tabla1[[#This Row],[Mes de Fecha]]="Septiembre",9,10),Tabla1[[#This Row],[Día de Fecha]])</f>
        <v>46291</v>
      </c>
      <c r="G599">
        <v>1103109383</v>
      </c>
      <c r="H599" t="s">
        <v>566</v>
      </c>
      <c r="I599">
        <v>142</v>
      </c>
      <c r="J599">
        <v>0</v>
      </c>
      <c r="K599" s="1">
        <v>8159287</v>
      </c>
    </row>
    <row r="600" spans="1:11" x14ac:dyDescent="0.25">
      <c r="A600" t="s">
        <v>326</v>
      </c>
      <c r="B600" t="s">
        <v>565</v>
      </c>
      <c r="C600" t="s">
        <v>866</v>
      </c>
      <c r="D600" t="s">
        <v>11</v>
      </c>
      <c r="E600">
        <v>27</v>
      </c>
      <c r="F600" s="2">
        <f>DATE(2026,IF(Tabla1[[#This Row],[Mes de Fecha]]="Septiembre",9,10),Tabla1[[#This Row],[Día de Fecha]])</f>
        <v>46292</v>
      </c>
      <c r="I600">
        <v>0</v>
      </c>
      <c r="J600" s="1">
        <v>24985483</v>
      </c>
      <c r="K600">
        <v>0</v>
      </c>
    </row>
    <row r="601" spans="1:11" x14ac:dyDescent="0.25">
      <c r="A601" t="s">
        <v>326</v>
      </c>
      <c r="B601" t="s">
        <v>565</v>
      </c>
      <c r="C601" t="s">
        <v>866</v>
      </c>
      <c r="D601" t="s">
        <v>11</v>
      </c>
      <c r="E601">
        <v>27</v>
      </c>
      <c r="F601" s="2">
        <f>DATE(2026,IF(Tabla1[[#This Row],[Mes de Fecha]]="Septiembre",9,10),Tabla1[[#This Row],[Día de Fecha]])</f>
        <v>46292</v>
      </c>
      <c r="G601">
        <v>1045700677</v>
      </c>
      <c r="H601" t="s">
        <v>567</v>
      </c>
      <c r="I601">
        <v>16</v>
      </c>
      <c r="J601">
        <v>0</v>
      </c>
      <c r="K601" s="1">
        <v>827018</v>
      </c>
    </row>
    <row r="602" spans="1:11" x14ac:dyDescent="0.25">
      <c r="A602" t="s">
        <v>326</v>
      </c>
      <c r="B602" t="s">
        <v>565</v>
      </c>
      <c r="C602" t="s">
        <v>866</v>
      </c>
      <c r="D602" t="s">
        <v>11</v>
      </c>
      <c r="E602">
        <v>27</v>
      </c>
      <c r="F602" s="2">
        <f>DATE(2026,IF(Tabla1[[#This Row],[Mes de Fecha]]="Septiembre",9,10),Tabla1[[#This Row],[Día de Fecha]])</f>
        <v>46292</v>
      </c>
      <c r="G602">
        <v>1102809500</v>
      </c>
      <c r="H602" t="s">
        <v>486</v>
      </c>
      <c r="I602">
        <v>103</v>
      </c>
      <c r="J602">
        <v>0</v>
      </c>
      <c r="K602" s="1">
        <v>5303991</v>
      </c>
    </row>
    <row r="603" spans="1:11" x14ac:dyDescent="0.25">
      <c r="A603" t="s">
        <v>326</v>
      </c>
      <c r="B603" t="s">
        <v>565</v>
      </c>
      <c r="C603" t="s">
        <v>866</v>
      </c>
      <c r="D603" t="s">
        <v>11</v>
      </c>
      <c r="E603">
        <v>27</v>
      </c>
      <c r="F603" s="2">
        <f>DATE(2026,IF(Tabla1[[#This Row],[Mes de Fecha]]="Septiembre",9,10),Tabla1[[#This Row],[Día de Fecha]])</f>
        <v>46292</v>
      </c>
      <c r="G603">
        <v>1102826282</v>
      </c>
      <c r="H603" t="s">
        <v>568</v>
      </c>
      <c r="I603">
        <v>24</v>
      </c>
      <c r="J603">
        <v>0</v>
      </c>
      <c r="K603" s="1">
        <v>931388</v>
      </c>
    </row>
    <row r="604" spans="1:11" x14ac:dyDescent="0.25">
      <c r="A604" t="s">
        <v>326</v>
      </c>
      <c r="B604" t="s">
        <v>565</v>
      </c>
      <c r="C604" t="s">
        <v>866</v>
      </c>
      <c r="D604" t="s">
        <v>11</v>
      </c>
      <c r="E604">
        <v>27</v>
      </c>
      <c r="F604" s="2">
        <f>DATE(2026,IF(Tabla1[[#This Row],[Mes de Fecha]]="Septiembre",9,10),Tabla1[[#This Row],[Día de Fecha]])</f>
        <v>46292</v>
      </c>
      <c r="G604">
        <v>1103109383</v>
      </c>
      <c r="H604" t="s">
        <v>566</v>
      </c>
      <c r="I604">
        <v>68</v>
      </c>
      <c r="J604">
        <v>0</v>
      </c>
      <c r="K604" s="1">
        <v>3723573</v>
      </c>
    </row>
    <row r="605" spans="1:11" x14ac:dyDescent="0.25">
      <c r="A605" t="s">
        <v>326</v>
      </c>
      <c r="B605" t="s">
        <v>565</v>
      </c>
      <c r="C605" t="s">
        <v>866</v>
      </c>
      <c r="D605" t="s">
        <v>11</v>
      </c>
      <c r="E605">
        <v>28</v>
      </c>
      <c r="F605" s="2">
        <f>DATE(2026,IF(Tabla1[[#This Row],[Mes de Fecha]]="Septiembre",9,10),Tabla1[[#This Row],[Día de Fecha]])</f>
        <v>46293</v>
      </c>
      <c r="I605">
        <v>0</v>
      </c>
      <c r="J605" s="1">
        <v>14067936</v>
      </c>
      <c r="K605">
        <v>0</v>
      </c>
    </row>
    <row r="606" spans="1:11" x14ac:dyDescent="0.25">
      <c r="A606" t="s">
        <v>326</v>
      </c>
      <c r="B606" t="s">
        <v>565</v>
      </c>
      <c r="C606" t="s">
        <v>866</v>
      </c>
      <c r="D606" t="s">
        <v>11</v>
      </c>
      <c r="E606">
        <v>28</v>
      </c>
      <c r="F606" s="2">
        <f>DATE(2026,IF(Tabla1[[#This Row],[Mes de Fecha]]="Septiembre",9,10),Tabla1[[#This Row],[Día de Fecha]])</f>
        <v>46293</v>
      </c>
      <c r="G606">
        <v>1045700677</v>
      </c>
      <c r="H606" t="s">
        <v>567</v>
      </c>
      <c r="I606">
        <v>9</v>
      </c>
      <c r="J606">
        <v>0</v>
      </c>
      <c r="K606" s="1">
        <v>318866</v>
      </c>
    </row>
    <row r="607" spans="1:11" x14ac:dyDescent="0.25">
      <c r="A607" t="s">
        <v>326</v>
      </c>
      <c r="B607" t="s">
        <v>565</v>
      </c>
      <c r="C607" t="s">
        <v>866</v>
      </c>
      <c r="D607" t="s">
        <v>11</v>
      </c>
      <c r="E607">
        <v>28</v>
      </c>
      <c r="F607" s="2">
        <f>DATE(2026,IF(Tabla1[[#This Row],[Mes de Fecha]]="Septiembre",9,10),Tabla1[[#This Row],[Día de Fecha]])</f>
        <v>46293</v>
      </c>
      <c r="G607">
        <v>1102809500</v>
      </c>
      <c r="H607" t="s">
        <v>486</v>
      </c>
      <c r="I607">
        <v>62</v>
      </c>
      <c r="J607">
        <v>0</v>
      </c>
      <c r="K607" s="1">
        <v>2788364</v>
      </c>
    </row>
    <row r="608" spans="1:11" x14ac:dyDescent="0.25">
      <c r="A608" t="s">
        <v>326</v>
      </c>
      <c r="B608" t="s">
        <v>565</v>
      </c>
      <c r="C608" t="s">
        <v>866</v>
      </c>
      <c r="D608" t="s">
        <v>11</v>
      </c>
      <c r="E608">
        <v>28</v>
      </c>
      <c r="F608" s="2">
        <f>DATE(2026,IF(Tabla1[[#This Row],[Mes de Fecha]]="Septiembre",9,10),Tabla1[[#This Row],[Día de Fecha]])</f>
        <v>46293</v>
      </c>
      <c r="G608">
        <v>1102826282</v>
      </c>
      <c r="H608" t="s">
        <v>568</v>
      </c>
      <c r="I608">
        <v>14</v>
      </c>
      <c r="J608">
        <v>0</v>
      </c>
      <c r="K608" s="1">
        <v>448698</v>
      </c>
    </row>
    <row r="609" spans="1:11" x14ac:dyDescent="0.25">
      <c r="A609" t="s">
        <v>326</v>
      </c>
      <c r="B609" t="s">
        <v>565</v>
      </c>
      <c r="C609" t="s">
        <v>866</v>
      </c>
      <c r="D609" t="s">
        <v>11</v>
      </c>
      <c r="E609">
        <v>28</v>
      </c>
      <c r="F609" s="2">
        <f>DATE(2026,IF(Tabla1[[#This Row],[Mes de Fecha]]="Septiembre",9,10),Tabla1[[#This Row],[Día de Fecha]])</f>
        <v>46293</v>
      </c>
      <c r="G609">
        <v>1103109383</v>
      </c>
      <c r="H609" t="s">
        <v>566</v>
      </c>
      <c r="I609">
        <v>83</v>
      </c>
      <c r="J609">
        <v>0</v>
      </c>
      <c r="K609" s="1">
        <v>4149037</v>
      </c>
    </row>
    <row r="610" spans="1:11" x14ac:dyDescent="0.25">
      <c r="A610" t="s">
        <v>326</v>
      </c>
      <c r="B610" t="s">
        <v>565</v>
      </c>
      <c r="C610" t="s">
        <v>866</v>
      </c>
      <c r="D610" t="s">
        <v>11</v>
      </c>
      <c r="E610">
        <v>29</v>
      </c>
      <c r="F610" s="2">
        <f>DATE(2026,IF(Tabla1[[#This Row],[Mes de Fecha]]="Septiembre",9,10),Tabla1[[#This Row],[Día de Fecha]])</f>
        <v>46294</v>
      </c>
      <c r="I610">
        <v>0</v>
      </c>
      <c r="J610" s="1">
        <v>14371789</v>
      </c>
      <c r="K610">
        <v>0</v>
      </c>
    </row>
    <row r="611" spans="1:11" x14ac:dyDescent="0.25">
      <c r="A611" t="s">
        <v>326</v>
      </c>
      <c r="B611" t="s">
        <v>565</v>
      </c>
      <c r="C611" t="s">
        <v>866</v>
      </c>
      <c r="D611" t="s">
        <v>11</v>
      </c>
      <c r="E611">
        <v>29</v>
      </c>
      <c r="F611" s="2">
        <f>DATE(2026,IF(Tabla1[[#This Row],[Mes de Fecha]]="Septiembre",9,10),Tabla1[[#This Row],[Día de Fecha]])</f>
        <v>46294</v>
      </c>
      <c r="G611">
        <v>1045700677</v>
      </c>
      <c r="H611" t="s">
        <v>567</v>
      </c>
      <c r="I611">
        <v>11</v>
      </c>
      <c r="J611">
        <v>0</v>
      </c>
      <c r="K611" s="1">
        <v>381766</v>
      </c>
    </row>
    <row r="612" spans="1:11" x14ac:dyDescent="0.25">
      <c r="A612" t="s">
        <v>326</v>
      </c>
      <c r="B612" t="s">
        <v>565</v>
      </c>
      <c r="C612" t="s">
        <v>866</v>
      </c>
      <c r="D612" t="s">
        <v>11</v>
      </c>
      <c r="E612">
        <v>29</v>
      </c>
      <c r="F612" s="2">
        <f>DATE(2026,IF(Tabla1[[#This Row],[Mes de Fecha]]="Septiembre",9,10),Tabla1[[#This Row],[Día de Fecha]])</f>
        <v>46294</v>
      </c>
      <c r="G612">
        <v>1102809500</v>
      </c>
      <c r="H612" t="s">
        <v>486</v>
      </c>
      <c r="I612">
        <v>143</v>
      </c>
      <c r="J612">
        <v>0</v>
      </c>
      <c r="K612" s="1">
        <v>6618617</v>
      </c>
    </row>
    <row r="613" spans="1:11" x14ac:dyDescent="0.25">
      <c r="A613" t="s">
        <v>326</v>
      </c>
      <c r="B613" t="s">
        <v>565</v>
      </c>
      <c r="C613" t="s">
        <v>866</v>
      </c>
      <c r="D613" t="s">
        <v>11</v>
      </c>
      <c r="E613">
        <v>29</v>
      </c>
      <c r="F613" s="2">
        <f>DATE(2026,IF(Tabla1[[#This Row],[Mes de Fecha]]="Septiembre",9,10),Tabla1[[#This Row],[Día de Fecha]])</f>
        <v>46294</v>
      </c>
      <c r="G613">
        <v>1102826282</v>
      </c>
      <c r="H613" t="s">
        <v>568</v>
      </c>
      <c r="I613">
        <v>14</v>
      </c>
      <c r="J613">
        <v>0</v>
      </c>
      <c r="K613" s="1">
        <v>553951</v>
      </c>
    </row>
    <row r="614" spans="1:11" x14ac:dyDescent="0.25">
      <c r="A614" t="s">
        <v>326</v>
      </c>
      <c r="B614" t="s">
        <v>565</v>
      </c>
      <c r="C614" t="s">
        <v>866</v>
      </c>
      <c r="D614" t="s">
        <v>11</v>
      </c>
      <c r="E614">
        <v>29</v>
      </c>
      <c r="F614" s="2">
        <f>DATE(2026,IF(Tabla1[[#This Row],[Mes de Fecha]]="Septiembre",9,10),Tabla1[[#This Row],[Día de Fecha]])</f>
        <v>46294</v>
      </c>
      <c r="G614">
        <v>1103109383</v>
      </c>
      <c r="H614" t="s">
        <v>566</v>
      </c>
      <c r="I614">
        <v>98</v>
      </c>
      <c r="J614">
        <v>0</v>
      </c>
      <c r="K614" s="1">
        <v>5621179</v>
      </c>
    </row>
    <row r="615" spans="1:11" x14ac:dyDescent="0.25">
      <c r="A615" t="s">
        <v>326</v>
      </c>
      <c r="B615" t="s">
        <v>565</v>
      </c>
      <c r="C615" t="s">
        <v>866</v>
      </c>
      <c r="D615" t="s">
        <v>11</v>
      </c>
      <c r="E615">
        <v>30</v>
      </c>
      <c r="F615" s="2">
        <f>DATE(2026,IF(Tabla1[[#This Row],[Mes de Fecha]]="Septiembre",9,10),Tabla1[[#This Row],[Día de Fecha]])</f>
        <v>46295</v>
      </c>
      <c r="I615">
        <v>0</v>
      </c>
      <c r="J615" s="1">
        <v>15173734</v>
      </c>
      <c r="K615">
        <v>0</v>
      </c>
    </row>
    <row r="616" spans="1:11" x14ac:dyDescent="0.25">
      <c r="A616" t="s">
        <v>326</v>
      </c>
      <c r="B616" t="s">
        <v>565</v>
      </c>
      <c r="C616" t="s">
        <v>866</v>
      </c>
      <c r="D616" t="s">
        <v>11</v>
      </c>
      <c r="E616">
        <v>30</v>
      </c>
      <c r="F616" s="2">
        <f>DATE(2026,IF(Tabla1[[#This Row],[Mes de Fecha]]="Septiembre",9,10),Tabla1[[#This Row],[Día de Fecha]])</f>
        <v>46295</v>
      </c>
      <c r="G616">
        <v>1045700677</v>
      </c>
      <c r="H616" t="s">
        <v>567</v>
      </c>
      <c r="I616">
        <v>11</v>
      </c>
      <c r="J616">
        <v>0</v>
      </c>
      <c r="K616" s="1">
        <v>491092</v>
      </c>
    </row>
    <row r="617" spans="1:11" x14ac:dyDescent="0.25">
      <c r="A617" t="s">
        <v>326</v>
      </c>
      <c r="B617" t="s">
        <v>565</v>
      </c>
      <c r="C617" t="s">
        <v>866</v>
      </c>
      <c r="D617" t="s">
        <v>11</v>
      </c>
      <c r="E617">
        <v>30</v>
      </c>
      <c r="F617" s="2">
        <f>DATE(2026,IF(Tabla1[[#This Row],[Mes de Fecha]]="Septiembre",9,10),Tabla1[[#This Row],[Día de Fecha]])</f>
        <v>46295</v>
      </c>
      <c r="G617">
        <v>1102809500</v>
      </c>
      <c r="H617" t="s">
        <v>486</v>
      </c>
      <c r="I617">
        <v>31</v>
      </c>
      <c r="J617">
        <v>0</v>
      </c>
      <c r="K617" s="1">
        <v>1517397</v>
      </c>
    </row>
    <row r="618" spans="1:11" x14ac:dyDescent="0.25">
      <c r="A618" t="s">
        <v>326</v>
      </c>
      <c r="B618" t="s">
        <v>565</v>
      </c>
      <c r="C618" t="s">
        <v>866</v>
      </c>
      <c r="D618" t="s">
        <v>11</v>
      </c>
      <c r="E618">
        <v>30</v>
      </c>
      <c r="F618" s="2">
        <f>DATE(2026,IF(Tabla1[[#This Row],[Mes de Fecha]]="Septiembre",9,10),Tabla1[[#This Row],[Día de Fecha]])</f>
        <v>46295</v>
      </c>
      <c r="G618">
        <v>1102826282</v>
      </c>
      <c r="H618" t="s">
        <v>568</v>
      </c>
      <c r="I618">
        <v>24</v>
      </c>
      <c r="J618">
        <v>0</v>
      </c>
      <c r="K618" s="1">
        <v>1406512</v>
      </c>
    </row>
    <row r="619" spans="1:11" x14ac:dyDescent="0.25">
      <c r="A619" t="s">
        <v>326</v>
      </c>
      <c r="B619" t="s">
        <v>565</v>
      </c>
      <c r="C619" t="s">
        <v>866</v>
      </c>
      <c r="D619" t="s">
        <v>11</v>
      </c>
      <c r="E619">
        <v>30</v>
      </c>
      <c r="F619" s="2">
        <f>DATE(2026,IF(Tabla1[[#This Row],[Mes de Fecha]]="Septiembre",9,10),Tabla1[[#This Row],[Día de Fecha]])</f>
        <v>46295</v>
      </c>
      <c r="G619">
        <v>1103109383</v>
      </c>
      <c r="H619" t="s">
        <v>566</v>
      </c>
      <c r="I619">
        <v>109</v>
      </c>
      <c r="J619">
        <v>0</v>
      </c>
      <c r="K619" s="1">
        <v>5244712</v>
      </c>
    </row>
    <row r="620" spans="1:11" x14ac:dyDescent="0.25">
      <c r="A620" t="s">
        <v>326</v>
      </c>
      <c r="B620" t="s">
        <v>565</v>
      </c>
      <c r="C620" t="s">
        <v>866</v>
      </c>
      <c r="D620" t="s">
        <v>14</v>
      </c>
      <c r="E620">
        <v>1</v>
      </c>
      <c r="F620" s="2">
        <f>DATE(2026,IF(Tabla1[[#This Row],[Mes de Fecha]]="Septiembre",9,10),Tabla1[[#This Row],[Día de Fecha]])</f>
        <v>46296</v>
      </c>
      <c r="I620">
        <v>0</v>
      </c>
      <c r="J620" s="1">
        <v>18354614</v>
      </c>
      <c r="K620">
        <v>0</v>
      </c>
    </row>
    <row r="621" spans="1:11" x14ac:dyDescent="0.25">
      <c r="A621" t="s">
        <v>326</v>
      </c>
      <c r="B621" t="s">
        <v>565</v>
      </c>
      <c r="C621" t="s">
        <v>866</v>
      </c>
      <c r="D621" t="s">
        <v>14</v>
      </c>
      <c r="E621">
        <v>1</v>
      </c>
      <c r="F621" s="2">
        <f>DATE(2026,IF(Tabla1[[#This Row],[Mes de Fecha]]="Septiembre",9,10),Tabla1[[#This Row],[Día de Fecha]])</f>
        <v>46296</v>
      </c>
      <c r="G621">
        <v>1045700677</v>
      </c>
      <c r="H621" t="s">
        <v>567</v>
      </c>
      <c r="I621">
        <v>16</v>
      </c>
      <c r="J621">
        <v>0</v>
      </c>
      <c r="K621" s="1">
        <v>747187</v>
      </c>
    </row>
    <row r="622" spans="1:11" x14ac:dyDescent="0.25">
      <c r="A622" t="s">
        <v>326</v>
      </c>
      <c r="B622" t="s">
        <v>565</v>
      </c>
      <c r="C622" t="s">
        <v>866</v>
      </c>
      <c r="D622" t="s">
        <v>14</v>
      </c>
      <c r="E622">
        <v>1</v>
      </c>
      <c r="F622" s="2">
        <f>DATE(2026,IF(Tabla1[[#This Row],[Mes de Fecha]]="Septiembre",9,10),Tabla1[[#This Row],[Día de Fecha]])</f>
        <v>46296</v>
      </c>
      <c r="G622">
        <v>1102809500</v>
      </c>
      <c r="H622" t="s">
        <v>486</v>
      </c>
      <c r="I622">
        <v>145</v>
      </c>
      <c r="J622">
        <v>0</v>
      </c>
      <c r="K622" s="1">
        <v>6025632</v>
      </c>
    </row>
    <row r="623" spans="1:11" x14ac:dyDescent="0.25">
      <c r="A623" t="s">
        <v>326</v>
      </c>
      <c r="B623" t="s">
        <v>565</v>
      </c>
      <c r="C623" t="s">
        <v>866</v>
      </c>
      <c r="D623" t="s">
        <v>14</v>
      </c>
      <c r="E623">
        <v>1</v>
      </c>
      <c r="F623" s="2">
        <f>DATE(2026,IF(Tabla1[[#This Row],[Mes de Fecha]]="Septiembre",9,10),Tabla1[[#This Row],[Día de Fecha]])</f>
        <v>46296</v>
      </c>
      <c r="G623">
        <v>1102826282</v>
      </c>
      <c r="H623" t="s">
        <v>568</v>
      </c>
      <c r="I623">
        <v>78</v>
      </c>
      <c r="J623">
        <v>0</v>
      </c>
      <c r="K623" s="1">
        <v>2208908</v>
      </c>
    </row>
    <row r="624" spans="1:11" x14ac:dyDescent="0.25">
      <c r="A624" t="s">
        <v>326</v>
      </c>
      <c r="B624" t="s">
        <v>565</v>
      </c>
      <c r="C624" t="s">
        <v>866</v>
      </c>
      <c r="D624" t="s">
        <v>14</v>
      </c>
      <c r="E624">
        <v>1</v>
      </c>
      <c r="F624" s="2">
        <f>DATE(2026,IF(Tabla1[[#This Row],[Mes de Fecha]]="Septiembre",9,10),Tabla1[[#This Row],[Día de Fecha]])</f>
        <v>46296</v>
      </c>
      <c r="G624">
        <v>1103109383</v>
      </c>
      <c r="H624" t="s">
        <v>566</v>
      </c>
      <c r="I624">
        <v>85</v>
      </c>
      <c r="J624">
        <v>0</v>
      </c>
      <c r="K624" s="1">
        <v>4302611</v>
      </c>
    </row>
    <row r="625" spans="1:11" x14ac:dyDescent="0.25">
      <c r="A625" t="s">
        <v>326</v>
      </c>
      <c r="B625" t="s">
        <v>565</v>
      </c>
      <c r="C625" t="s">
        <v>866</v>
      </c>
      <c r="D625" t="s">
        <v>14</v>
      </c>
      <c r="E625">
        <v>2</v>
      </c>
      <c r="F625" s="2">
        <f>DATE(2026,IF(Tabla1[[#This Row],[Mes de Fecha]]="Septiembre",9,10),Tabla1[[#This Row],[Día de Fecha]])</f>
        <v>46297</v>
      </c>
      <c r="I625">
        <v>0</v>
      </c>
      <c r="J625" s="1">
        <v>17042957</v>
      </c>
      <c r="K625">
        <v>0</v>
      </c>
    </row>
    <row r="626" spans="1:11" x14ac:dyDescent="0.25">
      <c r="A626" t="s">
        <v>326</v>
      </c>
      <c r="B626" t="s">
        <v>565</v>
      </c>
      <c r="C626" t="s">
        <v>866</v>
      </c>
      <c r="D626" t="s">
        <v>14</v>
      </c>
      <c r="E626">
        <v>2</v>
      </c>
      <c r="F626" s="2">
        <f>DATE(2026,IF(Tabla1[[#This Row],[Mes de Fecha]]="Septiembre",9,10),Tabla1[[#This Row],[Día de Fecha]])</f>
        <v>46297</v>
      </c>
      <c r="G626">
        <v>1045700677</v>
      </c>
      <c r="H626" t="s">
        <v>567</v>
      </c>
      <c r="I626">
        <v>35</v>
      </c>
      <c r="J626">
        <v>0</v>
      </c>
      <c r="K626" s="1">
        <v>1500504</v>
      </c>
    </row>
    <row r="627" spans="1:11" x14ac:dyDescent="0.25">
      <c r="A627" t="s">
        <v>326</v>
      </c>
      <c r="B627" t="s">
        <v>565</v>
      </c>
      <c r="C627" t="s">
        <v>866</v>
      </c>
      <c r="D627" t="s">
        <v>14</v>
      </c>
      <c r="E627">
        <v>2</v>
      </c>
      <c r="F627" s="2">
        <f>DATE(2026,IF(Tabla1[[#This Row],[Mes de Fecha]]="Septiembre",9,10),Tabla1[[#This Row],[Día de Fecha]])</f>
        <v>46297</v>
      </c>
      <c r="G627">
        <v>1102809500</v>
      </c>
      <c r="H627" t="s">
        <v>486</v>
      </c>
      <c r="I627">
        <v>123</v>
      </c>
      <c r="J627">
        <v>0</v>
      </c>
      <c r="K627" s="1">
        <v>5693367</v>
      </c>
    </row>
    <row r="628" spans="1:11" x14ac:dyDescent="0.25">
      <c r="A628" t="s">
        <v>326</v>
      </c>
      <c r="B628" t="s">
        <v>565</v>
      </c>
      <c r="C628" t="s">
        <v>866</v>
      </c>
      <c r="D628" t="s">
        <v>14</v>
      </c>
      <c r="E628">
        <v>2</v>
      </c>
      <c r="F628" s="2">
        <f>DATE(2026,IF(Tabla1[[#This Row],[Mes de Fecha]]="Septiembre",9,10),Tabla1[[#This Row],[Día de Fecha]])</f>
        <v>46297</v>
      </c>
      <c r="G628">
        <v>1102826282</v>
      </c>
      <c r="H628" t="s">
        <v>568</v>
      </c>
      <c r="I628">
        <v>29</v>
      </c>
      <c r="J628">
        <v>0</v>
      </c>
      <c r="K628" s="1">
        <v>1368322</v>
      </c>
    </row>
    <row r="629" spans="1:11" x14ac:dyDescent="0.25">
      <c r="A629" t="s">
        <v>326</v>
      </c>
      <c r="B629" t="s">
        <v>565</v>
      </c>
      <c r="C629" t="s">
        <v>866</v>
      </c>
      <c r="D629" t="s">
        <v>14</v>
      </c>
      <c r="E629">
        <v>2</v>
      </c>
      <c r="F629" s="2">
        <f>DATE(2026,IF(Tabla1[[#This Row],[Mes de Fecha]]="Septiembre",9,10),Tabla1[[#This Row],[Día de Fecha]])</f>
        <v>46297</v>
      </c>
      <c r="G629">
        <v>1103109383</v>
      </c>
      <c r="H629" t="s">
        <v>566</v>
      </c>
      <c r="I629">
        <v>77</v>
      </c>
      <c r="J629">
        <v>0</v>
      </c>
      <c r="K629" s="1">
        <v>4143363</v>
      </c>
    </row>
    <row r="630" spans="1:11" x14ac:dyDescent="0.25">
      <c r="A630" t="s">
        <v>326</v>
      </c>
      <c r="B630" t="s">
        <v>565</v>
      </c>
      <c r="C630" t="s">
        <v>866</v>
      </c>
      <c r="D630" t="s">
        <v>14</v>
      </c>
      <c r="E630">
        <v>3</v>
      </c>
      <c r="F630" s="2">
        <f>DATE(2026,IF(Tabla1[[#This Row],[Mes de Fecha]]="Septiembre",9,10),Tabla1[[#This Row],[Día de Fecha]])</f>
        <v>46298</v>
      </c>
      <c r="I630">
        <v>0</v>
      </c>
      <c r="J630" s="1">
        <v>20925620</v>
      </c>
      <c r="K630">
        <v>0</v>
      </c>
    </row>
    <row r="631" spans="1:11" x14ac:dyDescent="0.25">
      <c r="A631" t="s">
        <v>326</v>
      </c>
      <c r="B631" t="s">
        <v>565</v>
      </c>
      <c r="C631" t="s">
        <v>866</v>
      </c>
      <c r="D631" t="s">
        <v>14</v>
      </c>
      <c r="E631">
        <v>3</v>
      </c>
      <c r="F631" s="2">
        <f>DATE(2026,IF(Tabla1[[#This Row],[Mes de Fecha]]="Septiembre",9,10),Tabla1[[#This Row],[Día de Fecha]])</f>
        <v>46298</v>
      </c>
      <c r="G631">
        <v>1045700677</v>
      </c>
      <c r="H631" t="s">
        <v>567</v>
      </c>
      <c r="I631">
        <v>38</v>
      </c>
      <c r="J631">
        <v>0</v>
      </c>
      <c r="K631" s="1">
        <v>1632850</v>
      </c>
    </row>
    <row r="632" spans="1:11" x14ac:dyDescent="0.25">
      <c r="A632" t="s">
        <v>326</v>
      </c>
      <c r="B632" t="s">
        <v>565</v>
      </c>
      <c r="C632" t="s">
        <v>866</v>
      </c>
      <c r="D632" t="s">
        <v>14</v>
      </c>
      <c r="E632">
        <v>3</v>
      </c>
      <c r="F632" s="2">
        <f>DATE(2026,IF(Tabla1[[#This Row],[Mes de Fecha]]="Septiembre",9,10),Tabla1[[#This Row],[Día de Fecha]])</f>
        <v>46298</v>
      </c>
      <c r="G632">
        <v>1102809500</v>
      </c>
      <c r="H632" t="s">
        <v>486</v>
      </c>
      <c r="I632">
        <v>169</v>
      </c>
      <c r="J632">
        <v>0</v>
      </c>
      <c r="K632" s="1">
        <v>8426686</v>
      </c>
    </row>
    <row r="633" spans="1:11" x14ac:dyDescent="0.25">
      <c r="A633" t="s">
        <v>326</v>
      </c>
      <c r="B633" t="s">
        <v>565</v>
      </c>
      <c r="C633" t="s">
        <v>866</v>
      </c>
      <c r="D633" t="s">
        <v>14</v>
      </c>
      <c r="E633">
        <v>3</v>
      </c>
      <c r="F633" s="2">
        <f>DATE(2026,IF(Tabla1[[#This Row],[Mes de Fecha]]="Septiembre",9,10),Tabla1[[#This Row],[Día de Fecha]])</f>
        <v>46298</v>
      </c>
      <c r="G633">
        <v>1102826282</v>
      </c>
      <c r="H633" t="s">
        <v>568</v>
      </c>
      <c r="I633">
        <v>38</v>
      </c>
      <c r="J633">
        <v>0</v>
      </c>
      <c r="K633" s="1">
        <v>1637660</v>
      </c>
    </row>
    <row r="634" spans="1:11" x14ac:dyDescent="0.25">
      <c r="A634" t="s">
        <v>326</v>
      </c>
      <c r="B634" t="s">
        <v>565</v>
      </c>
      <c r="C634" t="s">
        <v>866</v>
      </c>
      <c r="D634" t="s">
        <v>14</v>
      </c>
      <c r="E634">
        <v>3</v>
      </c>
      <c r="F634" s="2">
        <f>DATE(2026,IF(Tabla1[[#This Row],[Mes de Fecha]]="Septiembre",9,10),Tabla1[[#This Row],[Día de Fecha]])</f>
        <v>46298</v>
      </c>
      <c r="G634">
        <v>1103109383</v>
      </c>
      <c r="H634" t="s">
        <v>566</v>
      </c>
      <c r="I634">
        <v>122</v>
      </c>
      <c r="J634">
        <v>0</v>
      </c>
      <c r="K634" s="1">
        <v>5859732</v>
      </c>
    </row>
    <row r="635" spans="1:11" x14ac:dyDescent="0.25">
      <c r="A635" t="s">
        <v>326</v>
      </c>
      <c r="B635" t="s">
        <v>565</v>
      </c>
      <c r="C635" t="s">
        <v>866</v>
      </c>
      <c r="D635" t="s">
        <v>14</v>
      </c>
      <c r="E635">
        <v>4</v>
      </c>
      <c r="F635" s="2">
        <f>DATE(2026,IF(Tabla1[[#This Row],[Mes de Fecha]]="Septiembre",9,10),Tabla1[[#This Row],[Día de Fecha]])</f>
        <v>46299</v>
      </c>
      <c r="I635">
        <v>0</v>
      </c>
      <c r="J635" s="1">
        <v>7881606</v>
      </c>
      <c r="K635">
        <v>0</v>
      </c>
    </row>
    <row r="636" spans="1:11" x14ac:dyDescent="0.25">
      <c r="A636" t="s">
        <v>326</v>
      </c>
      <c r="B636" t="s">
        <v>565</v>
      </c>
      <c r="C636" t="s">
        <v>866</v>
      </c>
      <c r="D636" t="s">
        <v>14</v>
      </c>
      <c r="E636">
        <v>4</v>
      </c>
      <c r="F636" s="2">
        <f>DATE(2026,IF(Tabla1[[#This Row],[Mes de Fecha]]="Septiembre",9,10),Tabla1[[#This Row],[Día de Fecha]])</f>
        <v>46299</v>
      </c>
      <c r="G636">
        <v>1045700677</v>
      </c>
      <c r="H636" t="s">
        <v>567</v>
      </c>
      <c r="I636">
        <v>3</v>
      </c>
      <c r="J636">
        <v>0</v>
      </c>
      <c r="K636" s="1">
        <v>178445</v>
      </c>
    </row>
    <row r="637" spans="1:11" x14ac:dyDescent="0.25">
      <c r="A637" t="s">
        <v>326</v>
      </c>
      <c r="B637" t="s">
        <v>565</v>
      </c>
      <c r="C637" t="s">
        <v>866</v>
      </c>
      <c r="D637" t="s">
        <v>14</v>
      </c>
      <c r="E637">
        <v>4</v>
      </c>
      <c r="F637" s="2">
        <f>DATE(2026,IF(Tabla1[[#This Row],[Mes de Fecha]]="Septiembre",9,10),Tabla1[[#This Row],[Día de Fecha]])</f>
        <v>46299</v>
      </c>
      <c r="G637">
        <v>1102809500</v>
      </c>
      <c r="H637" t="s">
        <v>486</v>
      </c>
      <c r="I637">
        <v>71</v>
      </c>
      <c r="J637">
        <v>0</v>
      </c>
      <c r="K637" s="1">
        <v>2881094</v>
      </c>
    </row>
    <row r="638" spans="1:11" x14ac:dyDescent="0.25">
      <c r="A638" t="s">
        <v>326</v>
      </c>
      <c r="B638" t="s">
        <v>565</v>
      </c>
      <c r="C638" t="s">
        <v>866</v>
      </c>
      <c r="D638" t="s">
        <v>14</v>
      </c>
      <c r="E638">
        <v>4</v>
      </c>
      <c r="F638" s="2">
        <f>DATE(2026,IF(Tabla1[[#This Row],[Mes de Fecha]]="Septiembre",9,10),Tabla1[[#This Row],[Día de Fecha]])</f>
        <v>46299</v>
      </c>
      <c r="G638">
        <v>1102826282</v>
      </c>
      <c r="H638" t="s">
        <v>568</v>
      </c>
      <c r="I638">
        <v>36</v>
      </c>
      <c r="J638">
        <v>0</v>
      </c>
      <c r="K638" s="1">
        <v>989033</v>
      </c>
    </row>
    <row r="639" spans="1:11" x14ac:dyDescent="0.25">
      <c r="A639" t="s">
        <v>326</v>
      </c>
      <c r="B639" t="s">
        <v>565</v>
      </c>
      <c r="C639" t="s">
        <v>866</v>
      </c>
      <c r="D639" t="s">
        <v>14</v>
      </c>
      <c r="E639">
        <v>4</v>
      </c>
      <c r="F639" s="2">
        <f>DATE(2026,IF(Tabla1[[#This Row],[Mes de Fecha]]="Septiembre",9,10),Tabla1[[#This Row],[Día de Fecha]])</f>
        <v>46299</v>
      </c>
      <c r="G639">
        <v>1103109383</v>
      </c>
      <c r="H639" t="s">
        <v>566</v>
      </c>
      <c r="I639">
        <v>55</v>
      </c>
      <c r="J639">
        <v>0</v>
      </c>
      <c r="K639" s="1">
        <v>2541136</v>
      </c>
    </row>
    <row r="640" spans="1:11" x14ac:dyDescent="0.25">
      <c r="A640" t="s">
        <v>326</v>
      </c>
      <c r="B640" t="s">
        <v>565</v>
      </c>
      <c r="C640" t="s">
        <v>866</v>
      </c>
      <c r="D640" t="s">
        <v>14</v>
      </c>
      <c r="E640">
        <v>5</v>
      </c>
      <c r="F640" s="2">
        <f>DATE(2026,IF(Tabla1[[#This Row],[Mes de Fecha]]="Septiembre",9,10),Tabla1[[#This Row],[Día de Fecha]])</f>
        <v>46300</v>
      </c>
      <c r="I640">
        <v>0</v>
      </c>
      <c r="J640" s="1">
        <v>12990451</v>
      </c>
      <c r="K640">
        <v>0</v>
      </c>
    </row>
    <row r="641" spans="1:11" x14ac:dyDescent="0.25">
      <c r="A641" t="s">
        <v>326</v>
      </c>
      <c r="B641" t="s">
        <v>565</v>
      </c>
      <c r="C641" t="s">
        <v>866</v>
      </c>
      <c r="D641" t="s">
        <v>14</v>
      </c>
      <c r="E641">
        <v>5</v>
      </c>
      <c r="F641" s="2">
        <f>DATE(2026,IF(Tabla1[[#This Row],[Mes de Fecha]]="Septiembre",9,10),Tabla1[[#This Row],[Día de Fecha]])</f>
        <v>46300</v>
      </c>
      <c r="G641">
        <v>1045700677</v>
      </c>
      <c r="H641" t="s">
        <v>567</v>
      </c>
      <c r="I641">
        <v>1</v>
      </c>
      <c r="J641">
        <v>0</v>
      </c>
      <c r="K641" s="1">
        <v>8319</v>
      </c>
    </row>
    <row r="642" spans="1:11" x14ac:dyDescent="0.25">
      <c r="A642" t="s">
        <v>326</v>
      </c>
      <c r="B642" t="s">
        <v>565</v>
      </c>
      <c r="C642" t="s">
        <v>866</v>
      </c>
      <c r="D642" t="s">
        <v>14</v>
      </c>
      <c r="E642">
        <v>5</v>
      </c>
      <c r="F642" s="2">
        <f>DATE(2026,IF(Tabla1[[#This Row],[Mes de Fecha]]="Septiembre",9,10),Tabla1[[#This Row],[Día de Fecha]])</f>
        <v>46300</v>
      </c>
      <c r="G642">
        <v>1102809500</v>
      </c>
      <c r="H642" t="s">
        <v>486</v>
      </c>
      <c r="I642">
        <v>100</v>
      </c>
      <c r="J642">
        <v>0</v>
      </c>
      <c r="K642" s="1">
        <v>4875253</v>
      </c>
    </row>
    <row r="643" spans="1:11" x14ac:dyDescent="0.25">
      <c r="A643" t="s">
        <v>326</v>
      </c>
      <c r="B643" t="s">
        <v>565</v>
      </c>
      <c r="C643" t="s">
        <v>866</v>
      </c>
      <c r="D643" t="s">
        <v>14</v>
      </c>
      <c r="E643">
        <v>5</v>
      </c>
      <c r="F643" s="2">
        <f>DATE(2026,IF(Tabla1[[#This Row],[Mes de Fecha]]="Septiembre",9,10),Tabla1[[#This Row],[Día de Fecha]])</f>
        <v>46300</v>
      </c>
      <c r="G643">
        <v>1102826282</v>
      </c>
      <c r="H643" t="s">
        <v>568</v>
      </c>
      <c r="I643">
        <v>5</v>
      </c>
      <c r="J643">
        <v>0</v>
      </c>
      <c r="K643" s="1">
        <v>226554</v>
      </c>
    </row>
    <row r="644" spans="1:11" x14ac:dyDescent="0.25">
      <c r="A644" t="s">
        <v>326</v>
      </c>
      <c r="B644" t="s">
        <v>565</v>
      </c>
      <c r="C644" t="s">
        <v>866</v>
      </c>
      <c r="D644" t="s">
        <v>14</v>
      </c>
      <c r="E644">
        <v>5</v>
      </c>
      <c r="F644" s="2">
        <f>DATE(2026,IF(Tabla1[[#This Row],[Mes de Fecha]]="Septiembre",9,10),Tabla1[[#This Row],[Día de Fecha]])</f>
        <v>46300</v>
      </c>
      <c r="G644">
        <v>1103109383</v>
      </c>
      <c r="H644" t="s">
        <v>566</v>
      </c>
      <c r="I644">
        <v>131</v>
      </c>
      <c r="J644">
        <v>0</v>
      </c>
      <c r="K644" s="1">
        <v>6439628</v>
      </c>
    </row>
    <row r="645" spans="1:11" x14ac:dyDescent="0.25">
      <c r="A645" t="s">
        <v>326</v>
      </c>
      <c r="B645" t="s">
        <v>565</v>
      </c>
      <c r="C645" t="s">
        <v>866</v>
      </c>
      <c r="D645" t="s">
        <v>14</v>
      </c>
      <c r="E645">
        <v>6</v>
      </c>
      <c r="F645" s="2">
        <f>DATE(2026,IF(Tabla1[[#This Row],[Mes de Fecha]]="Septiembre",9,10),Tabla1[[#This Row],[Día de Fecha]])</f>
        <v>46301</v>
      </c>
      <c r="I645">
        <v>0</v>
      </c>
      <c r="J645" s="1">
        <v>8648601</v>
      </c>
      <c r="K645">
        <v>0</v>
      </c>
    </row>
    <row r="646" spans="1:11" x14ac:dyDescent="0.25">
      <c r="A646" t="s">
        <v>326</v>
      </c>
      <c r="B646" t="s">
        <v>565</v>
      </c>
      <c r="C646" t="s">
        <v>866</v>
      </c>
      <c r="D646" t="s">
        <v>14</v>
      </c>
      <c r="E646">
        <v>6</v>
      </c>
      <c r="F646" s="2">
        <f>DATE(2026,IF(Tabla1[[#This Row],[Mes de Fecha]]="Septiembre",9,10),Tabla1[[#This Row],[Día de Fecha]])</f>
        <v>46301</v>
      </c>
      <c r="G646">
        <v>1045700677</v>
      </c>
      <c r="H646" t="s">
        <v>567</v>
      </c>
      <c r="I646">
        <v>8</v>
      </c>
      <c r="J646">
        <v>0</v>
      </c>
      <c r="K646" s="1">
        <v>611009</v>
      </c>
    </row>
    <row r="647" spans="1:11" x14ac:dyDescent="0.25">
      <c r="A647" t="s">
        <v>326</v>
      </c>
      <c r="B647" t="s">
        <v>565</v>
      </c>
      <c r="C647" t="s">
        <v>866</v>
      </c>
      <c r="D647" t="s">
        <v>14</v>
      </c>
      <c r="E647">
        <v>6</v>
      </c>
      <c r="F647" s="2">
        <f>DATE(2026,IF(Tabla1[[#This Row],[Mes de Fecha]]="Septiembre",9,10),Tabla1[[#This Row],[Día de Fecha]])</f>
        <v>46301</v>
      </c>
      <c r="G647">
        <v>1102809500</v>
      </c>
      <c r="H647" t="s">
        <v>486</v>
      </c>
      <c r="I647">
        <v>54</v>
      </c>
      <c r="J647">
        <v>0</v>
      </c>
      <c r="K647" s="1">
        <v>2472364</v>
      </c>
    </row>
    <row r="648" spans="1:11" x14ac:dyDescent="0.25">
      <c r="A648" t="s">
        <v>326</v>
      </c>
      <c r="B648" t="s">
        <v>565</v>
      </c>
      <c r="C648" t="s">
        <v>866</v>
      </c>
      <c r="D648" t="s">
        <v>14</v>
      </c>
      <c r="E648">
        <v>6</v>
      </c>
      <c r="F648" s="2">
        <f>DATE(2026,IF(Tabla1[[#This Row],[Mes de Fecha]]="Septiembre",9,10),Tabla1[[#This Row],[Día de Fecha]])</f>
        <v>46301</v>
      </c>
      <c r="G648">
        <v>1102826282</v>
      </c>
      <c r="H648" t="s">
        <v>568</v>
      </c>
      <c r="I648">
        <v>10</v>
      </c>
      <c r="J648">
        <v>0</v>
      </c>
      <c r="K648" s="1">
        <v>364873</v>
      </c>
    </row>
    <row r="649" spans="1:11" x14ac:dyDescent="0.25">
      <c r="A649" t="s">
        <v>326</v>
      </c>
      <c r="B649" t="s">
        <v>565</v>
      </c>
      <c r="C649" t="s">
        <v>866</v>
      </c>
      <c r="D649" t="s">
        <v>14</v>
      </c>
      <c r="E649">
        <v>6</v>
      </c>
      <c r="F649" s="2">
        <f>DATE(2026,IF(Tabla1[[#This Row],[Mes de Fecha]]="Septiembre",9,10),Tabla1[[#This Row],[Día de Fecha]])</f>
        <v>46301</v>
      </c>
      <c r="G649">
        <v>1103109383</v>
      </c>
      <c r="H649" t="s">
        <v>566</v>
      </c>
      <c r="I649">
        <v>67</v>
      </c>
      <c r="J649">
        <v>0</v>
      </c>
      <c r="K649" s="1">
        <v>3252395</v>
      </c>
    </row>
    <row r="650" spans="1:11" x14ac:dyDescent="0.25">
      <c r="A650" t="s">
        <v>326</v>
      </c>
      <c r="B650" t="s">
        <v>565</v>
      </c>
      <c r="C650" t="s">
        <v>866</v>
      </c>
      <c r="D650" t="s">
        <v>14</v>
      </c>
      <c r="E650">
        <v>7</v>
      </c>
      <c r="F650" s="2">
        <f>DATE(2026,IF(Tabla1[[#This Row],[Mes de Fecha]]="Septiembre",9,10),Tabla1[[#This Row],[Día de Fecha]])</f>
        <v>46302</v>
      </c>
      <c r="I650">
        <v>0</v>
      </c>
      <c r="J650" s="1">
        <v>8557787</v>
      </c>
      <c r="K650">
        <v>0</v>
      </c>
    </row>
    <row r="651" spans="1:11" x14ac:dyDescent="0.25">
      <c r="A651" t="s">
        <v>326</v>
      </c>
      <c r="B651" t="s">
        <v>565</v>
      </c>
      <c r="C651" t="s">
        <v>866</v>
      </c>
      <c r="D651" t="s">
        <v>14</v>
      </c>
      <c r="E651">
        <v>7</v>
      </c>
      <c r="F651" s="2">
        <f>DATE(2026,IF(Tabla1[[#This Row],[Mes de Fecha]]="Septiembre",9,10),Tabla1[[#This Row],[Día de Fecha]])</f>
        <v>46302</v>
      </c>
      <c r="G651">
        <v>1045700677</v>
      </c>
      <c r="H651" t="s">
        <v>567</v>
      </c>
      <c r="I651">
        <v>4</v>
      </c>
      <c r="J651">
        <v>0</v>
      </c>
      <c r="K651" s="1">
        <v>121638</v>
      </c>
    </row>
    <row r="652" spans="1:11" x14ac:dyDescent="0.25">
      <c r="A652" t="s">
        <v>326</v>
      </c>
      <c r="B652" t="s">
        <v>565</v>
      </c>
      <c r="C652" t="s">
        <v>866</v>
      </c>
      <c r="D652" t="s">
        <v>14</v>
      </c>
      <c r="E652">
        <v>7</v>
      </c>
      <c r="F652" s="2">
        <f>DATE(2026,IF(Tabla1[[#This Row],[Mes de Fecha]]="Septiembre",9,10),Tabla1[[#This Row],[Día de Fecha]])</f>
        <v>46302</v>
      </c>
      <c r="G652">
        <v>1102809500</v>
      </c>
      <c r="H652" t="s">
        <v>486</v>
      </c>
      <c r="I652">
        <v>82</v>
      </c>
      <c r="J652">
        <v>0</v>
      </c>
      <c r="K652" s="1">
        <v>3640589</v>
      </c>
    </row>
    <row r="653" spans="1:11" x14ac:dyDescent="0.25">
      <c r="A653" t="s">
        <v>326</v>
      </c>
      <c r="B653" t="s">
        <v>565</v>
      </c>
      <c r="C653" t="s">
        <v>866</v>
      </c>
      <c r="D653" t="s">
        <v>14</v>
      </c>
      <c r="E653">
        <v>7</v>
      </c>
      <c r="F653" s="2">
        <f>DATE(2026,IF(Tabla1[[#This Row],[Mes de Fecha]]="Septiembre",9,10),Tabla1[[#This Row],[Día de Fecha]])</f>
        <v>46302</v>
      </c>
      <c r="G653">
        <v>1102826282</v>
      </c>
      <c r="H653" t="s">
        <v>568</v>
      </c>
      <c r="I653">
        <v>9</v>
      </c>
      <c r="J653">
        <v>0</v>
      </c>
      <c r="K653" s="1">
        <v>369370</v>
      </c>
    </row>
    <row r="654" spans="1:11" x14ac:dyDescent="0.25">
      <c r="A654" t="s">
        <v>326</v>
      </c>
      <c r="B654" t="s">
        <v>565</v>
      </c>
      <c r="C654" t="s">
        <v>866</v>
      </c>
      <c r="D654" t="s">
        <v>14</v>
      </c>
      <c r="E654">
        <v>7</v>
      </c>
      <c r="F654" s="2">
        <f>DATE(2026,IF(Tabla1[[#This Row],[Mes de Fecha]]="Septiembre",9,10),Tabla1[[#This Row],[Día de Fecha]])</f>
        <v>46302</v>
      </c>
      <c r="G654">
        <v>1103109383</v>
      </c>
      <c r="H654" t="s">
        <v>566</v>
      </c>
      <c r="I654">
        <v>39</v>
      </c>
      <c r="J654">
        <v>0</v>
      </c>
      <c r="K654" s="1">
        <v>1998030</v>
      </c>
    </row>
    <row r="655" spans="1:11" x14ac:dyDescent="0.25">
      <c r="A655" t="s">
        <v>326</v>
      </c>
      <c r="B655" t="s">
        <v>602</v>
      </c>
      <c r="C655" t="s">
        <v>866</v>
      </c>
      <c r="D655" t="s">
        <v>11</v>
      </c>
      <c r="E655">
        <v>23</v>
      </c>
      <c r="F655" s="2">
        <f>DATE(2026,IF(Tabla1[[#This Row],[Mes de Fecha]]="Septiembre",9,10),Tabla1[[#This Row],[Día de Fecha]])</f>
        <v>46288</v>
      </c>
      <c r="I655">
        <v>0</v>
      </c>
      <c r="J655" s="1">
        <v>8906569</v>
      </c>
      <c r="K655">
        <v>0</v>
      </c>
    </row>
    <row r="656" spans="1:11" x14ac:dyDescent="0.25">
      <c r="A656" t="s">
        <v>326</v>
      </c>
      <c r="B656" t="s">
        <v>602</v>
      </c>
      <c r="C656" t="s">
        <v>866</v>
      </c>
      <c r="D656" t="s">
        <v>11</v>
      </c>
      <c r="E656">
        <v>23</v>
      </c>
      <c r="F656" s="2">
        <f>DATE(2026,IF(Tabla1[[#This Row],[Mes de Fecha]]="Septiembre",9,10),Tabla1[[#This Row],[Día de Fecha]])</f>
        <v>46288</v>
      </c>
      <c r="G656">
        <v>1065006748</v>
      </c>
      <c r="H656" t="s">
        <v>603</v>
      </c>
      <c r="I656">
        <v>84</v>
      </c>
      <c r="J656">
        <v>0</v>
      </c>
      <c r="K656" s="1">
        <v>4815759</v>
      </c>
    </row>
    <row r="657" spans="1:11" x14ac:dyDescent="0.25">
      <c r="A657" t="s">
        <v>326</v>
      </c>
      <c r="B657" t="s">
        <v>602</v>
      </c>
      <c r="C657" t="s">
        <v>866</v>
      </c>
      <c r="D657" t="s">
        <v>11</v>
      </c>
      <c r="E657">
        <v>23</v>
      </c>
      <c r="F657" s="2">
        <f>DATE(2026,IF(Tabla1[[#This Row],[Mes de Fecha]]="Septiembre",9,10),Tabla1[[#This Row],[Día de Fecha]])</f>
        <v>46288</v>
      </c>
      <c r="G657">
        <v>1067899060</v>
      </c>
      <c r="H657" t="s">
        <v>606</v>
      </c>
      <c r="I657">
        <v>32</v>
      </c>
      <c r="J657">
        <v>0</v>
      </c>
      <c r="K657" s="1">
        <v>2076387</v>
      </c>
    </row>
    <row r="658" spans="1:11" x14ac:dyDescent="0.25">
      <c r="A658" t="s">
        <v>326</v>
      </c>
      <c r="B658" t="s">
        <v>602</v>
      </c>
      <c r="C658" t="s">
        <v>866</v>
      </c>
      <c r="D658" t="s">
        <v>11</v>
      </c>
      <c r="E658">
        <v>23</v>
      </c>
      <c r="F658" s="2">
        <f>DATE(2026,IF(Tabla1[[#This Row],[Mes de Fecha]]="Septiembre",9,10),Tabla1[[#This Row],[Día de Fecha]])</f>
        <v>46288</v>
      </c>
      <c r="G658">
        <v>1067921548</v>
      </c>
      <c r="H658" t="s">
        <v>604</v>
      </c>
      <c r="I658">
        <v>129</v>
      </c>
      <c r="J658">
        <v>0</v>
      </c>
      <c r="K658" s="1">
        <v>7006940</v>
      </c>
    </row>
    <row r="659" spans="1:11" x14ac:dyDescent="0.25">
      <c r="A659" t="s">
        <v>326</v>
      </c>
      <c r="B659" t="s">
        <v>602</v>
      </c>
      <c r="C659" t="s">
        <v>866</v>
      </c>
      <c r="D659" t="s">
        <v>11</v>
      </c>
      <c r="E659">
        <v>24</v>
      </c>
      <c r="F659" s="2">
        <f>DATE(2026,IF(Tabla1[[#This Row],[Mes de Fecha]]="Septiembre",9,10),Tabla1[[#This Row],[Día de Fecha]])</f>
        <v>46289</v>
      </c>
      <c r="I659">
        <v>0</v>
      </c>
      <c r="J659" s="1">
        <v>13605786</v>
      </c>
      <c r="K659">
        <v>0</v>
      </c>
    </row>
    <row r="660" spans="1:11" x14ac:dyDescent="0.25">
      <c r="A660" t="s">
        <v>326</v>
      </c>
      <c r="B660" t="s">
        <v>602</v>
      </c>
      <c r="C660" t="s">
        <v>866</v>
      </c>
      <c r="D660" t="s">
        <v>11</v>
      </c>
      <c r="E660">
        <v>24</v>
      </c>
      <c r="F660" s="2">
        <f>DATE(2026,IF(Tabla1[[#This Row],[Mes de Fecha]]="Septiembre",9,10),Tabla1[[#This Row],[Día de Fecha]])</f>
        <v>46289</v>
      </c>
      <c r="G660">
        <v>1065006748</v>
      </c>
      <c r="H660" t="s">
        <v>603</v>
      </c>
      <c r="I660">
        <v>116</v>
      </c>
      <c r="J660">
        <v>0</v>
      </c>
      <c r="K660" s="1">
        <v>6413076</v>
      </c>
    </row>
    <row r="661" spans="1:11" x14ac:dyDescent="0.25">
      <c r="A661" t="s">
        <v>326</v>
      </c>
      <c r="B661" t="s">
        <v>602</v>
      </c>
      <c r="C661" t="s">
        <v>866</v>
      </c>
      <c r="D661" t="s">
        <v>11</v>
      </c>
      <c r="E661">
        <v>24</v>
      </c>
      <c r="F661" s="2">
        <f>DATE(2026,IF(Tabla1[[#This Row],[Mes de Fecha]]="Septiembre",9,10),Tabla1[[#This Row],[Día de Fecha]])</f>
        <v>46289</v>
      </c>
      <c r="G661">
        <v>1067899060</v>
      </c>
      <c r="H661" t="s">
        <v>606</v>
      </c>
      <c r="I661">
        <v>24</v>
      </c>
      <c r="J661">
        <v>0</v>
      </c>
      <c r="K661" s="1">
        <v>1429580</v>
      </c>
    </row>
    <row r="662" spans="1:11" x14ac:dyDescent="0.25">
      <c r="A662" t="s">
        <v>326</v>
      </c>
      <c r="B662" t="s">
        <v>602</v>
      </c>
      <c r="C662" t="s">
        <v>866</v>
      </c>
      <c r="D662" t="s">
        <v>11</v>
      </c>
      <c r="E662">
        <v>24</v>
      </c>
      <c r="F662" s="2">
        <f>DATE(2026,IF(Tabla1[[#This Row],[Mes de Fecha]]="Septiembre",9,10),Tabla1[[#This Row],[Día de Fecha]])</f>
        <v>46289</v>
      </c>
      <c r="G662">
        <v>1067921548</v>
      </c>
      <c r="H662" t="s">
        <v>604</v>
      </c>
      <c r="I662">
        <v>189</v>
      </c>
      <c r="J662">
        <v>0</v>
      </c>
      <c r="K662" s="1">
        <v>10275262</v>
      </c>
    </row>
    <row r="663" spans="1:11" x14ac:dyDescent="0.25">
      <c r="A663" t="s">
        <v>326</v>
      </c>
      <c r="B663" t="s">
        <v>602</v>
      </c>
      <c r="C663" t="s">
        <v>866</v>
      </c>
      <c r="D663" t="s">
        <v>11</v>
      </c>
      <c r="E663">
        <v>25</v>
      </c>
      <c r="F663" s="2">
        <f>DATE(2026,IF(Tabla1[[#This Row],[Mes de Fecha]]="Septiembre",9,10),Tabla1[[#This Row],[Día de Fecha]])</f>
        <v>46290</v>
      </c>
      <c r="I663">
        <v>0</v>
      </c>
      <c r="J663" s="1">
        <v>13575666</v>
      </c>
      <c r="K663">
        <v>0</v>
      </c>
    </row>
    <row r="664" spans="1:11" x14ac:dyDescent="0.25">
      <c r="A664" t="s">
        <v>326</v>
      </c>
      <c r="B664" t="s">
        <v>602</v>
      </c>
      <c r="C664" t="s">
        <v>866</v>
      </c>
      <c r="D664" t="s">
        <v>11</v>
      </c>
      <c r="E664">
        <v>25</v>
      </c>
      <c r="F664" s="2">
        <f>DATE(2026,IF(Tabla1[[#This Row],[Mes de Fecha]]="Septiembre",9,10),Tabla1[[#This Row],[Día de Fecha]])</f>
        <v>46290</v>
      </c>
      <c r="G664">
        <v>1065006748</v>
      </c>
      <c r="H664" t="s">
        <v>603</v>
      </c>
      <c r="I664">
        <v>98</v>
      </c>
      <c r="J664">
        <v>0</v>
      </c>
      <c r="K664" s="1">
        <v>5661689</v>
      </c>
    </row>
    <row r="665" spans="1:11" x14ac:dyDescent="0.25">
      <c r="A665" t="s">
        <v>326</v>
      </c>
      <c r="B665" t="s">
        <v>602</v>
      </c>
      <c r="C665" t="s">
        <v>866</v>
      </c>
      <c r="D665" t="s">
        <v>11</v>
      </c>
      <c r="E665">
        <v>25</v>
      </c>
      <c r="F665" s="2">
        <f>DATE(2026,IF(Tabla1[[#This Row],[Mes de Fecha]]="Septiembre",9,10),Tabla1[[#This Row],[Día de Fecha]])</f>
        <v>46290</v>
      </c>
      <c r="G665">
        <v>1067899060</v>
      </c>
      <c r="H665" t="s">
        <v>606</v>
      </c>
      <c r="I665">
        <v>25</v>
      </c>
      <c r="J665">
        <v>0</v>
      </c>
      <c r="K665" s="1">
        <v>1372859</v>
      </c>
    </row>
    <row r="666" spans="1:11" x14ac:dyDescent="0.25">
      <c r="A666" t="s">
        <v>326</v>
      </c>
      <c r="B666" t="s">
        <v>602</v>
      </c>
      <c r="C666" t="s">
        <v>866</v>
      </c>
      <c r="D666" t="s">
        <v>11</v>
      </c>
      <c r="E666">
        <v>25</v>
      </c>
      <c r="F666" s="2">
        <f>DATE(2026,IF(Tabla1[[#This Row],[Mes de Fecha]]="Septiembre",9,10),Tabla1[[#This Row],[Día de Fecha]])</f>
        <v>46290</v>
      </c>
      <c r="G666">
        <v>1067921548</v>
      </c>
      <c r="H666" t="s">
        <v>604</v>
      </c>
      <c r="I666">
        <v>124</v>
      </c>
      <c r="J666">
        <v>0</v>
      </c>
      <c r="K666" s="1">
        <v>6826612</v>
      </c>
    </row>
    <row r="667" spans="1:11" x14ac:dyDescent="0.25">
      <c r="A667" t="s">
        <v>326</v>
      </c>
      <c r="B667" t="s">
        <v>602</v>
      </c>
      <c r="C667" t="s">
        <v>866</v>
      </c>
      <c r="D667" t="s">
        <v>11</v>
      </c>
      <c r="E667">
        <v>26</v>
      </c>
      <c r="F667" s="2">
        <f>DATE(2026,IF(Tabla1[[#This Row],[Mes de Fecha]]="Septiembre",9,10),Tabla1[[#This Row],[Día de Fecha]])</f>
        <v>46291</v>
      </c>
      <c r="I667">
        <v>0</v>
      </c>
      <c r="J667" s="1">
        <v>19510185</v>
      </c>
      <c r="K667">
        <v>0</v>
      </c>
    </row>
    <row r="668" spans="1:11" x14ac:dyDescent="0.25">
      <c r="A668" t="s">
        <v>326</v>
      </c>
      <c r="B668" t="s">
        <v>602</v>
      </c>
      <c r="C668" t="s">
        <v>866</v>
      </c>
      <c r="D668" t="s">
        <v>11</v>
      </c>
      <c r="E668">
        <v>26</v>
      </c>
      <c r="F668" s="2">
        <f>DATE(2026,IF(Tabla1[[#This Row],[Mes de Fecha]]="Septiembre",9,10),Tabla1[[#This Row],[Día de Fecha]])</f>
        <v>46291</v>
      </c>
      <c r="G668">
        <v>1065006748</v>
      </c>
      <c r="H668" t="s">
        <v>603</v>
      </c>
      <c r="I668">
        <v>129</v>
      </c>
      <c r="J668">
        <v>0</v>
      </c>
      <c r="K668" s="1">
        <v>7301064</v>
      </c>
    </row>
    <row r="669" spans="1:11" x14ac:dyDescent="0.25">
      <c r="A669" t="s">
        <v>326</v>
      </c>
      <c r="B669" t="s">
        <v>602</v>
      </c>
      <c r="C669" t="s">
        <v>866</v>
      </c>
      <c r="D669" t="s">
        <v>11</v>
      </c>
      <c r="E669">
        <v>26</v>
      </c>
      <c r="F669" s="2">
        <f>DATE(2026,IF(Tabla1[[#This Row],[Mes de Fecha]]="Septiembre",9,10),Tabla1[[#This Row],[Día de Fecha]])</f>
        <v>46291</v>
      </c>
      <c r="G669">
        <v>1067899060</v>
      </c>
      <c r="H669" t="s">
        <v>606</v>
      </c>
      <c r="I669">
        <v>16</v>
      </c>
      <c r="J669">
        <v>0</v>
      </c>
      <c r="K669" s="1">
        <v>1066558</v>
      </c>
    </row>
    <row r="670" spans="1:11" x14ac:dyDescent="0.25">
      <c r="A670" t="s">
        <v>326</v>
      </c>
      <c r="B670" t="s">
        <v>602</v>
      </c>
      <c r="C670" t="s">
        <v>866</v>
      </c>
      <c r="D670" t="s">
        <v>11</v>
      </c>
      <c r="E670">
        <v>26</v>
      </c>
      <c r="F670" s="2">
        <f>DATE(2026,IF(Tabla1[[#This Row],[Mes de Fecha]]="Septiembre",9,10),Tabla1[[#This Row],[Día de Fecha]])</f>
        <v>46291</v>
      </c>
      <c r="G670">
        <v>1067921548</v>
      </c>
      <c r="H670" t="s">
        <v>604</v>
      </c>
      <c r="I670">
        <v>155</v>
      </c>
      <c r="J670">
        <v>0</v>
      </c>
      <c r="K670" s="1">
        <v>8430223</v>
      </c>
    </row>
    <row r="671" spans="1:11" x14ac:dyDescent="0.25">
      <c r="A671" t="s">
        <v>326</v>
      </c>
      <c r="B671" t="s">
        <v>602</v>
      </c>
      <c r="C671" t="s">
        <v>866</v>
      </c>
      <c r="D671" t="s">
        <v>11</v>
      </c>
      <c r="E671">
        <v>27</v>
      </c>
      <c r="F671" s="2">
        <f>DATE(2026,IF(Tabla1[[#This Row],[Mes de Fecha]]="Septiembre",9,10),Tabla1[[#This Row],[Día de Fecha]])</f>
        <v>46292</v>
      </c>
      <c r="I671">
        <v>0</v>
      </c>
      <c r="J671" s="1">
        <v>15455995</v>
      </c>
      <c r="K671">
        <v>0</v>
      </c>
    </row>
    <row r="672" spans="1:11" x14ac:dyDescent="0.25">
      <c r="A672" t="s">
        <v>326</v>
      </c>
      <c r="B672" t="s">
        <v>602</v>
      </c>
      <c r="C672" t="s">
        <v>866</v>
      </c>
      <c r="D672" t="s">
        <v>11</v>
      </c>
      <c r="E672">
        <v>27</v>
      </c>
      <c r="F672" s="2">
        <f>DATE(2026,IF(Tabla1[[#This Row],[Mes de Fecha]]="Septiembre",9,10),Tabla1[[#This Row],[Día de Fecha]])</f>
        <v>46292</v>
      </c>
      <c r="G672">
        <v>1065006748</v>
      </c>
      <c r="H672" t="s">
        <v>603</v>
      </c>
      <c r="I672">
        <v>67</v>
      </c>
      <c r="J672">
        <v>0</v>
      </c>
      <c r="K672" s="1">
        <v>3568492</v>
      </c>
    </row>
    <row r="673" spans="1:11" x14ac:dyDescent="0.25">
      <c r="A673" t="s">
        <v>326</v>
      </c>
      <c r="B673" t="s">
        <v>602</v>
      </c>
      <c r="C673" t="s">
        <v>866</v>
      </c>
      <c r="D673" t="s">
        <v>11</v>
      </c>
      <c r="E673">
        <v>27</v>
      </c>
      <c r="F673" s="2">
        <f>DATE(2026,IF(Tabla1[[#This Row],[Mes de Fecha]]="Septiembre",9,10),Tabla1[[#This Row],[Día de Fecha]])</f>
        <v>46292</v>
      </c>
      <c r="G673">
        <v>1067899060</v>
      </c>
      <c r="H673" t="s">
        <v>606</v>
      </c>
      <c r="I673">
        <v>13</v>
      </c>
      <c r="J673">
        <v>0</v>
      </c>
      <c r="K673" s="1">
        <v>936429</v>
      </c>
    </row>
    <row r="674" spans="1:11" x14ac:dyDescent="0.25">
      <c r="A674" t="s">
        <v>326</v>
      </c>
      <c r="B674" t="s">
        <v>602</v>
      </c>
      <c r="C674" t="s">
        <v>866</v>
      </c>
      <c r="D674" t="s">
        <v>11</v>
      </c>
      <c r="E674">
        <v>27</v>
      </c>
      <c r="F674" s="2">
        <f>DATE(2026,IF(Tabla1[[#This Row],[Mes de Fecha]]="Septiembre",9,10),Tabla1[[#This Row],[Día de Fecha]])</f>
        <v>46292</v>
      </c>
      <c r="G674">
        <v>1067921548</v>
      </c>
      <c r="H674" t="s">
        <v>604</v>
      </c>
      <c r="I674">
        <v>83</v>
      </c>
      <c r="J674">
        <v>0</v>
      </c>
      <c r="K674" s="1">
        <v>4519585</v>
      </c>
    </row>
    <row r="675" spans="1:11" x14ac:dyDescent="0.25">
      <c r="A675" t="s">
        <v>326</v>
      </c>
      <c r="B675" t="s">
        <v>602</v>
      </c>
      <c r="C675" t="s">
        <v>866</v>
      </c>
      <c r="D675" t="s">
        <v>11</v>
      </c>
      <c r="E675">
        <v>28</v>
      </c>
      <c r="F675" s="2">
        <f>DATE(2026,IF(Tabla1[[#This Row],[Mes de Fecha]]="Septiembre",9,10),Tabla1[[#This Row],[Día de Fecha]])</f>
        <v>46293</v>
      </c>
      <c r="I675">
        <v>0</v>
      </c>
      <c r="J675" s="1">
        <v>8506344</v>
      </c>
      <c r="K675">
        <v>0</v>
      </c>
    </row>
    <row r="676" spans="1:11" x14ac:dyDescent="0.25">
      <c r="A676" t="s">
        <v>326</v>
      </c>
      <c r="B676" t="s">
        <v>602</v>
      </c>
      <c r="C676" t="s">
        <v>866</v>
      </c>
      <c r="D676" t="s">
        <v>11</v>
      </c>
      <c r="E676">
        <v>28</v>
      </c>
      <c r="F676" s="2">
        <f>DATE(2026,IF(Tabla1[[#This Row],[Mes de Fecha]]="Septiembre",9,10),Tabla1[[#This Row],[Día de Fecha]])</f>
        <v>46293</v>
      </c>
      <c r="G676">
        <v>1065006748</v>
      </c>
      <c r="H676" t="s">
        <v>603</v>
      </c>
      <c r="I676">
        <v>41</v>
      </c>
      <c r="J676">
        <v>0</v>
      </c>
      <c r="K676" s="1">
        <v>2599039</v>
      </c>
    </row>
    <row r="677" spans="1:11" x14ac:dyDescent="0.25">
      <c r="A677" t="s">
        <v>326</v>
      </c>
      <c r="B677" t="s">
        <v>602</v>
      </c>
      <c r="C677" t="s">
        <v>866</v>
      </c>
      <c r="D677" t="s">
        <v>11</v>
      </c>
      <c r="E677">
        <v>28</v>
      </c>
      <c r="F677" s="2">
        <f>DATE(2026,IF(Tabla1[[#This Row],[Mes de Fecha]]="Septiembre",9,10),Tabla1[[#This Row],[Día de Fecha]])</f>
        <v>46293</v>
      </c>
      <c r="G677">
        <v>1067899060</v>
      </c>
      <c r="H677" t="s">
        <v>606</v>
      </c>
      <c r="I677">
        <v>20</v>
      </c>
      <c r="J677">
        <v>0</v>
      </c>
      <c r="K677" s="1">
        <v>1028572</v>
      </c>
    </row>
    <row r="678" spans="1:11" x14ac:dyDescent="0.25">
      <c r="A678" t="s">
        <v>326</v>
      </c>
      <c r="B678" t="s">
        <v>602</v>
      </c>
      <c r="C678" t="s">
        <v>866</v>
      </c>
      <c r="D678" t="s">
        <v>11</v>
      </c>
      <c r="E678">
        <v>28</v>
      </c>
      <c r="F678" s="2">
        <f>DATE(2026,IF(Tabla1[[#This Row],[Mes de Fecha]]="Septiembre",9,10),Tabla1[[#This Row],[Día de Fecha]])</f>
        <v>46293</v>
      </c>
      <c r="G678">
        <v>1067921548</v>
      </c>
      <c r="H678" t="s">
        <v>604</v>
      </c>
      <c r="I678">
        <v>66</v>
      </c>
      <c r="J678">
        <v>0</v>
      </c>
      <c r="K678" s="1">
        <v>3608369</v>
      </c>
    </row>
    <row r="679" spans="1:11" x14ac:dyDescent="0.25">
      <c r="A679" t="s">
        <v>326</v>
      </c>
      <c r="B679" t="s">
        <v>602</v>
      </c>
      <c r="C679" t="s">
        <v>866</v>
      </c>
      <c r="D679" t="s">
        <v>11</v>
      </c>
      <c r="E679">
        <v>29</v>
      </c>
      <c r="F679" s="2">
        <f>DATE(2026,IF(Tabla1[[#This Row],[Mes de Fecha]]="Septiembre",9,10),Tabla1[[#This Row],[Día de Fecha]])</f>
        <v>46294</v>
      </c>
      <c r="I679">
        <v>0</v>
      </c>
      <c r="J679" s="1">
        <v>9086443</v>
      </c>
      <c r="K679">
        <v>0</v>
      </c>
    </row>
    <row r="680" spans="1:11" x14ac:dyDescent="0.25">
      <c r="A680" t="s">
        <v>326</v>
      </c>
      <c r="B680" t="s">
        <v>602</v>
      </c>
      <c r="C680" t="s">
        <v>866</v>
      </c>
      <c r="D680" t="s">
        <v>11</v>
      </c>
      <c r="E680">
        <v>29</v>
      </c>
      <c r="F680" s="2">
        <f>DATE(2026,IF(Tabla1[[#This Row],[Mes de Fecha]]="Septiembre",9,10),Tabla1[[#This Row],[Día de Fecha]])</f>
        <v>46294</v>
      </c>
      <c r="G680">
        <v>1065006748</v>
      </c>
      <c r="H680" t="s">
        <v>603</v>
      </c>
      <c r="I680">
        <v>71</v>
      </c>
      <c r="J680">
        <v>0</v>
      </c>
      <c r="K680" s="1">
        <v>3532607</v>
      </c>
    </row>
    <row r="681" spans="1:11" x14ac:dyDescent="0.25">
      <c r="A681" t="s">
        <v>326</v>
      </c>
      <c r="B681" t="s">
        <v>602</v>
      </c>
      <c r="C681" t="s">
        <v>866</v>
      </c>
      <c r="D681" t="s">
        <v>11</v>
      </c>
      <c r="E681">
        <v>29</v>
      </c>
      <c r="F681" s="2">
        <f>DATE(2026,IF(Tabla1[[#This Row],[Mes de Fecha]]="Septiembre",9,10),Tabla1[[#This Row],[Día de Fecha]])</f>
        <v>46294</v>
      </c>
      <c r="G681">
        <v>1067899060</v>
      </c>
      <c r="H681" t="s">
        <v>606</v>
      </c>
      <c r="I681">
        <v>16</v>
      </c>
      <c r="J681">
        <v>0</v>
      </c>
      <c r="K681" s="1">
        <v>848026</v>
      </c>
    </row>
    <row r="682" spans="1:11" x14ac:dyDescent="0.25">
      <c r="A682" t="s">
        <v>326</v>
      </c>
      <c r="B682" t="s">
        <v>602</v>
      </c>
      <c r="C682" t="s">
        <v>866</v>
      </c>
      <c r="D682" t="s">
        <v>11</v>
      </c>
      <c r="E682">
        <v>29</v>
      </c>
      <c r="F682" s="2">
        <f>DATE(2026,IF(Tabla1[[#This Row],[Mes de Fecha]]="Septiembre",9,10),Tabla1[[#This Row],[Día de Fecha]])</f>
        <v>46294</v>
      </c>
      <c r="G682">
        <v>1067921548</v>
      </c>
      <c r="H682" t="s">
        <v>604</v>
      </c>
      <c r="I682">
        <v>80</v>
      </c>
      <c r="J682">
        <v>0</v>
      </c>
      <c r="K682" s="1">
        <v>4458662</v>
      </c>
    </row>
    <row r="683" spans="1:11" x14ac:dyDescent="0.25">
      <c r="A683" t="s">
        <v>326</v>
      </c>
      <c r="B683" t="s">
        <v>602</v>
      </c>
      <c r="C683" t="s">
        <v>866</v>
      </c>
      <c r="D683" t="s">
        <v>11</v>
      </c>
      <c r="E683">
        <v>30</v>
      </c>
      <c r="F683" s="2">
        <f>DATE(2026,IF(Tabla1[[#This Row],[Mes de Fecha]]="Septiembre",9,10),Tabla1[[#This Row],[Día de Fecha]])</f>
        <v>46295</v>
      </c>
      <c r="I683">
        <v>0</v>
      </c>
      <c r="J683" s="1">
        <v>9386452</v>
      </c>
      <c r="K683">
        <v>0</v>
      </c>
    </row>
    <row r="684" spans="1:11" x14ac:dyDescent="0.25">
      <c r="A684" t="s">
        <v>326</v>
      </c>
      <c r="B684" t="s">
        <v>602</v>
      </c>
      <c r="C684" t="s">
        <v>866</v>
      </c>
      <c r="D684" t="s">
        <v>11</v>
      </c>
      <c r="E684">
        <v>30</v>
      </c>
      <c r="F684" s="2">
        <f>DATE(2026,IF(Tabla1[[#This Row],[Mes de Fecha]]="Septiembre",9,10),Tabla1[[#This Row],[Día de Fecha]])</f>
        <v>46295</v>
      </c>
      <c r="G684">
        <v>1065006748</v>
      </c>
      <c r="H684" t="s">
        <v>603</v>
      </c>
      <c r="I684">
        <v>132</v>
      </c>
      <c r="J684">
        <v>0</v>
      </c>
      <c r="K684" s="1">
        <v>7233457</v>
      </c>
    </row>
    <row r="685" spans="1:11" x14ac:dyDescent="0.25">
      <c r="A685" t="s">
        <v>326</v>
      </c>
      <c r="B685" t="s">
        <v>602</v>
      </c>
      <c r="C685" t="s">
        <v>866</v>
      </c>
      <c r="D685" t="s">
        <v>11</v>
      </c>
      <c r="E685">
        <v>30</v>
      </c>
      <c r="F685" s="2">
        <f>DATE(2026,IF(Tabla1[[#This Row],[Mes de Fecha]]="Septiembre",9,10),Tabla1[[#This Row],[Día de Fecha]])</f>
        <v>46295</v>
      </c>
      <c r="G685">
        <v>1067899060</v>
      </c>
      <c r="H685" t="s">
        <v>606</v>
      </c>
      <c r="I685">
        <v>12</v>
      </c>
      <c r="J685">
        <v>0</v>
      </c>
      <c r="K685" s="1">
        <v>570884</v>
      </c>
    </row>
    <row r="686" spans="1:11" x14ac:dyDescent="0.25">
      <c r="A686" t="s">
        <v>326</v>
      </c>
      <c r="B686" t="s">
        <v>602</v>
      </c>
      <c r="C686" t="s">
        <v>866</v>
      </c>
      <c r="D686" t="s">
        <v>11</v>
      </c>
      <c r="E686">
        <v>30</v>
      </c>
      <c r="F686" s="2">
        <f>DATE(2026,IF(Tabla1[[#This Row],[Mes de Fecha]]="Septiembre",9,10),Tabla1[[#This Row],[Día de Fecha]])</f>
        <v>46295</v>
      </c>
      <c r="G686">
        <v>1067921548</v>
      </c>
      <c r="H686" t="s">
        <v>604</v>
      </c>
      <c r="I686">
        <v>42</v>
      </c>
      <c r="J686">
        <v>0</v>
      </c>
      <c r="K686" s="1">
        <v>2657820</v>
      </c>
    </row>
    <row r="687" spans="1:11" x14ac:dyDescent="0.25">
      <c r="A687" t="s">
        <v>326</v>
      </c>
      <c r="B687" t="s">
        <v>602</v>
      </c>
      <c r="C687" t="s">
        <v>866</v>
      </c>
      <c r="D687" t="s">
        <v>14</v>
      </c>
      <c r="E687">
        <v>1</v>
      </c>
      <c r="F687" s="2">
        <f>DATE(2026,IF(Tabla1[[#This Row],[Mes de Fecha]]="Septiembre",9,10),Tabla1[[#This Row],[Día de Fecha]])</f>
        <v>46296</v>
      </c>
      <c r="I687">
        <v>0</v>
      </c>
      <c r="J687" s="1">
        <v>11454025</v>
      </c>
      <c r="K687">
        <v>0</v>
      </c>
    </row>
    <row r="688" spans="1:11" x14ac:dyDescent="0.25">
      <c r="A688" t="s">
        <v>326</v>
      </c>
      <c r="B688" t="s">
        <v>602</v>
      </c>
      <c r="C688" t="s">
        <v>866</v>
      </c>
      <c r="D688" t="s">
        <v>14</v>
      </c>
      <c r="E688">
        <v>1</v>
      </c>
      <c r="F688" s="2">
        <f>DATE(2026,IF(Tabla1[[#This Row],[Mes de Fecha]]="Septiembre",9,10),Tabla1[[#This Row],[Día de Fecha]])</f>
        <v>46296</v>
      </c>
      <c r="G688">
        <v>1065006748</v>
      </c>
      <c r="H688" t="s">
        <v>603</v>
      </c>
      <c r="I688">
        <v>66</v>
      </c>
      <c r="J688">
        <v>0</v>
      </c>
      <c r="K688" s="1">
        <v>4030807</v>
      </c>
    </row>
    <row r="689" spans="1:11" x14ac:dyDescent="0.25">
      <c r="A689" t="s">
        <v>326</v>
      </c>
      <c r="B689" t="s">
        <v>602</v>
      </c>
      <c r="C689" t="s">
        <v>866</v>
      </c>
      <c r="D689" t="s">
        <v>14</v>
      </c>
      <c r="E689">
        <v>1</v>
      </c>
      <c r="F689" s="2">
        <f>DATE(2026,IF(Tabla1[[#This Row],[Mes de Fecha]]="Septiembre",9,10),Tabla1[[#This Row],[Día de Fecha]])</f>
        <v>46296</v>
      </c>
      <c r="G689">
        <v>1067899060</v>
      </c>
      <c r="H689" t="s">
        <v>606</v>
      </c>
      <c r="I689">
        <v>17</v>
      </c>
      <c r="J689">
        <v>0</v>
      </c>
      <c r="K689" s="1">
        <v>1127437</v>
      </c>
    </row>
    <row r="690" spans="1:11" x14ac:dyDescent="0.25">
      <c r="A690" t="s">
        <v>326</v>
      </c>
      <c r="B690" t="s">
        <v>602</v>
      </c>
      <c r="C690" t="s">
        <v>866</v>
      </c>
      <c r="D690" t="s">
        <v>14</v>
      </c>
      <c r="E690">
        <v>1</v>
      </c>
      <c r="F690" s="2">
        <f>DATE(2026,IF(Tabla1[[#This Row],[Mes de Fecha]]="Septiembre",9,10),Tabla1[[#This Row],[Día de Fecha]])</f>
        <v>46296</v>
      </c>
      <c r="G690">
        <v>1067921548</v>
      </c>
      <c r="H690" t="s">
        <v>604</v>
      </c>
      <c r="I690">
        <v>122</v>
      </c>
      <c r="J690">
        <v>0</v>
      </c>
      <c r="K690" s="1">
        <v>6717455</v>
      </c>
    </row>
    <row r="691" spans="1:11" x14ac:dyDescent="0.25">
      <c r="A691" t="s">
        <v>326</v>
      </c>
      <c r="B691" t="s">
        <v>602</v>
      </c>
      <c r="C691" t="s">
        <v>866</v>
      </c>
      <c r="D691" t="s">
        <v>14</v>
      </c>
      <c r="E691">
        <v>2</v>
      </c>
      <c r="F691" s="2">
        <f>DATE(2026,IF(Tabla1[[#This Row],[Mes de Fecha]]="Septiembre",9,10),Tabla1[[#This Row],[Día de Fecha]])</f>
        <v>46297</v>
      </c>
      <c r="I691">
        <v>0</v>
      </c>
      <c r="J691" s="1">
        <v>14482849</v>
      </c>
      <c r="K691">
        <v>0</v>
      </c>
    </row>
    <row r="692" spans="1:11" x14ac:dyDescent="0.25">
      <c r="A692" t="s">
        <v>326</v>
      </c>
      <c r="B692" t="s">
        <v>602</v>
      </c>
      <c r="C692" t="s">
        <v>866</v>
      </c>
      <c r="D692" t="s">
        <v>14</v>
      </c>
      <c r="E692">
        <v>2</v>
      </c>
      <c r="F692" s="2">
        <f>DATE(2026,IF(Tabla1[[#This Row],[Mes de Fecha]]="Septiembre",9,10),Tabla1[[#This Row],[Día de Fecha]])</f>
        <v>46297</v>
      </c>
      <c r="G692">
        <v>1065006748</v>
      </c>
      <c r="H692" t="s">
        <v>603</v>
      </c>
      <c r="I692">
        <v>92</v>
      </c>
      <c r="J692">
        <v>0</v>
      </c>
      <c r="K692" s="1">
        <v>4523285</v>
      </c>
    </row>
    <row r="693" spans="1:11" x14ac:dyDescent="0.25">
      <c r="A693" t="s">
        <v>326</v>
      </c>
      <c r="B693" t="s">
        <v>602</v>
      </c>
      <c r="C693" t="s">
        <v>866</v>
      </c>
      <c r="D693" t="s">
        <v>14</v>
      </c>
      <c r="E693">
        <v>2</v>
      </c>
      <c r="F693" s="2">
        <f>DATE(2026,IF(Tabla1[[#This Row],[Mes de Fecha]]="Septiembre",9,10),Tabla1[[#This Row],[Día de Fecha]])</f>
        <v>46297</v>
      </c>
      <c r="G693">
        <v>1067899060</v>
      </c>
      <c r="H693" t="s">
        <v>606</v>
      </c>
      <c r="I693">
        <v>19</v>
      </c>
      <c r="J693">
        <v>0</v>
      </c>
      <c r="K693" s="1">
        <v>1196683</v>
      </c>
    </row>
    <row r="694" spans="1:11" x14ac:dyDescent="0.25">
      <c r="A694" t="s">
        <v>326</v>
      </c>
      <c r="B694" t="s">
        <v>602</v>
      </c>
      <c r="C694" t="s">
        <v>866</v>
      </c>
      <c r="D694" t="s">
        <v>14</v>
      </c>
      <c r="E694">
        <v>2</v>
      </c>
      <c r="F694" s="2">
        <f>DATE(2026,IF(Tabla1[[#This Row],[Mes de Fecha]]="Septiembre",9,10),Tabla1[[#This Row],[Día de Fecha]])</f>
        <v>46297</v>
      </c>
      <c r="G694">
        <v>1067921548</v>
      </c>
      <c r="H694" t="s">
        <v>604</v>
      </c>
      <c r="I694">
        <v>117</v>
      </c>
      <c r="J694">
        <v>0</v>
      </c>
      <c r="K694" s="1">
        <v>6809801</v>
      </c>
    </row>
    <row r="695" spans="1:11" x14ac:dyDescent="0.25">
      <c r="A695" t="s">
        <v>326</v>
      </c>
      <c r="B695" t="s">
        <v>602</v>
      </c>
      <c r="C695" t="s">
        <v>866</v>
      </c>
      <c r="D695" t="s">
        <v>14</v>
      </c>
      <c r="E695">
        <v>3</v>
      </c>
      <c r="F695" s="2">
        <f>DATE(2026,IF(Tabla1[[#This Row],[Mes de Fecha]]="Septiembre",9,10),Tabla1[[#This Row],[Día de Fecha]])</f>
        <v>46298</v>
      </c>
      <c r="I695">
        <v>0</v>
      </c>
      <c r="J695" s="1">
        <v>13369113</v>
      </c>
      <c r="K695">
        <v>0</v>
      </c>
    </row>
    <row r="696" spans="1:11" x14ac:dyDescent="0.25">
      <c r="A696" t="s">
        <v>326</v>
      </c>
      <c r="B696" t="s">
        <v>602</v>
      </c>
      <c r="C696" t="s">
        <v>866</v>
      </c>
      <c r="D696" t="s">
        <v>14</v>
      </c>
      <c r="E696">
        <v>3</v>
      </c>
      <c r="F696" s="2">
        <f>DATE(2026,IF(Tabla1[[#This Row],[Mes de Fecha]]="Septiembre",9,10),Tabla1[[#This Row],[Día de Fecha]])</f>
        <v>46298</v>
      </c>
      <c r="G696">
        <v>1065006748</v>
      </c>
      <c r="H696" t="s">
        <v>603</v>
      </c>
      <c r="I696">
        <v>84</v>
      </c>
      <c r="J696">
        <v>0</v>
      </c>
      <c r="K696" s="1">
        <v>4485700</v>
      </c>
    </row>
    <row r="697" spans="1:11" x14ac:dyDescent="0.25">
      <c r="A697" t="s">
        <v>326</v>
      </c>
      <c r="B697" t="s">
        <v>602</v>
      </c>
      <c r="C697" t="s">
        <v>866</v>
      </c>
      <c r="D697" t="s">
        <v>14</v>
      </c>
      <c r="E697">
        <v>3</v>
      </c>
      <c r="F697" s="2">
        <f>DATE(2026,IF(Tabla1[[#This Row],[Mes de Fecha]]="Septiembre",9,10),Tabla1[[#This Row],[Día de Fecha]])</f>
        <v>46298</v>
      </c>
      <c r="G697">
        <v>1067899060</v>
      </c>
      <c r="H697" t="s">
        <v>606</v>
      </c>
      <c r="I697">
        <v>19</v>
      </c>
      <c r="J697">
        <v>0</v>
      </c>
      <c r="K697" s="1">
        <v>1029448</v>
      </c>
    </row>
    <row r="698" spans="1:11" x14ac:dyDescent="0.25">
      <c r="A698" t="s">
        <v>326</v>
      </c>
      <c r="B698" t="s">
        <v>602</v>
      </c>
      <c r="C698" t="s">
        <v>866</v>
      </c>
      <c r="D698" t="s">
        <v>14</v>
      </c>
      <c r="E698">
        <v>3</v>
      </c>
      <c r="F698" s="2">
        <f>DATE(2026,IF(Tabla1[[#This Row],[Mes de Fecha]]="Septiembre",9,10),Tabla1[[#This Row],[Día de Fecha]])</f>
        <v>46298</v>
      </c>
      <c r="G698">
        <v>1067921548</v>
      </c>
      <c r="H698" t="s">
        <v>604</v>
      </c>
      <c r="I698">
        <v>132</v>
      </c>
      <c r="J698">
        <v>0</v>
      </c>
      <c r="K698" s="1">
        <v>7041522</v>
      </c>
    </row>
    <row r="699" spans="1:11" x14ac:dyDescent="0.25">
      <c r="A699" t="s">
        <v>326</v>
      </c>
      <c r="B699" t="s">
        <v>602</v>
      </c>
      <c r="C699" t="s">
        <v>866</v>
      </c>
      <c r="D699" t="s">
        <v>14</v>
      </c>
      <c r="E699">
        <v>4</v>
      </c>
      <c r="F699" s="2">
        <f>DATE(2026,IF(Tabla1[[#This Row],[Mes de Fecha]]="Septiembre",9,10),Tabla1[[#This Row],[Día de Fecha]])</f>
        <v>46299</v>
      </c>
      <c r="I699">
        <v>0</v>
      </c>
      <c r="J699" s="1">
        <v>8376983</v>
      </c>
      <c r="K699">
        <v>0</v>
      </c>
    </row>
    <row r="700" spans="1:11" x14ac:dyDescent="0.25">
      <c r="A700" t="s">
        <v>326</v>
      </c>
      <c r="B700" t="s">
        <v>602</v>
      </c>
      <c r="C700" t="s">
        <v>866</v>
      </c>
      <c r="D700" t="s">
        <v>14</v>
      </c>
      <c r="E700">
        <v>4</v>
      </c>
      <c r="F700" s="2">
        <f>DATE(2026,IF(Tabla1[[#This Row],[Mes de Fecha]]="Septiembre",9,10),Tabla1[[#This Row],[Día de Fecha]])</f>
        <v>46299</v>
      </c>
      <c r="G700">
        <v>1043013098</v>
      </c>
      <c r="H700" t="s">
        <v>607</v>
      </c>
      <c r="I700">
        <v>-1</v>
      </c>
      <c r="J700">
        <v>0</v>
      </c>
      <c r="K700" s="1">
        <v>-75588</v>
      </c>
    </row>
    <row r="701" spans="1:11" x14ac:dyDescent="0.25">
      <c r="A701" t="s">
        <v>326</v>
      </c>
      <c r="B701" t="s">
        <v>602</v>
      </c>
      <c r="C701" t="s">
        <v>866</v>
      </c>
      <c r="D701" t="s">
        <v>14</v>
      </c>
      <c r="E701">
        <v>4</v>
      </c>
      <c r="F701" s="2">
        <f>DATE(2026,IF(Tabla1[[#This Row],[Mes de Fecha]]="Septiembre",9,10),Tabla1[[#This Row],[Día de Fecha]])</f>
        <v>46299</v>
      </c>
      <c r="G701">
        <v>1065006748</v>
      </c>
      <c r="H701" t="s">
        <v>603</v>
      </c>
      <c r="I701">
        <v>59</v>
      </c>
      <c r="J701">
        <v>0</v>
      </c>
      <c r="K701" s="1">
        <v>3232609</v>
      </c>
    </row>
    <row r="702" spans="1:11" x14ac:dyDescent="0.25">
      <c r="A702" t="s">
        <v>326</v>
      </c>
      <c r="B702" t="s">
        <v>602</v>
      </c>
      <c r="C702" t="s">
        <v>866</v>
      </c>
      <c r="D702" t="s">
        <v>14</v>
      </c>
      <c r="E702">
        <v>4</v>
      </c>
      <c r="F702" s="2">
        <f>DATE(2026,IF(Tabla1[[#This Row],[Mes de Fecha]]="Septiembre",9,10),Tabla1[[#This Row],[Día de Fecha]])</f>
        <v>46299</v>
      </c>
      <c r="G702">
        <v>1067899060</v>
      </c>
      <c r="H702" t="s">
        <v>606</v>
      </c>
      <c r="I702">
        <v>9</v>
      </c>
      <c r="J702">
        <v>0</v>
      </c>
      <c r="K702" s="1">
        <v>634034</v>
      </c>
    </row>
    <row r="703" spans="1:11" x14ac:dyDescent="0.25">
      <c r="A703" t="s">
        <v>326</v>
      </c>
      <c r="B703" t="s">
        <v>602</v>
      </c>
      <c r="C703" t="s">
        <v>866</v>
      </c>
      <c r="D703" t="s">
        <v>14</v>
      </c>
      <c r="E703">
        <v>4</v>
      </c>
      <c r="F703" s="2">
        <f>DATE(2026,IF(Tabla1[[#This Row],[Mes de Fecha]]="Septiembre",9,10),Tabla1[[#This Row],[Día de Fecha]])</f>
        <v>46299</v>
      </c>
      <c r="G703">
        <v>1067921548</v>
      </c>
      <c r="H703" t="s">
        <v>604</v>
      </c>
      <c r="I703">
        <v>72</v>
      </c>
      <c r="J703">
        <v>0</v>
      </c>
      <c r="K703" s="1">
        <v>4210883</v>
      </c>
    </row>
    <row r="704" spans="1:11" x14ac:dyDescent="0.25">
      <c r="A704" t="s">
        <v>326</v>
      </c>
      <c r="B704" t="s">
        <v>602</v>
      </c>
      <c r="C704" t="s">
        <v>866</v>
      </c>
      <c r="D704" t="s">
        <v>14</v>
      </c>
      <c r="E704">
        <v>5</v>
      </c>
      <c r="F704" s="2">
        <f>DATE(2026,IF(Tabla1[[#This Row],[Mes de Fecha]]="Septiembre",9,10),Tabla1[[#This Row],[Día de Fecha]])</f>
        <v>46300</v>
      </c>
      <c r="I704">
        <v>0</v>
      </c>
      <c r="J704" s="1">
        <v>9660912</v>
      </c>
      <c r="K704">
        <v>0</v>
      </c>
    </row>
    <row r="705" spans="1:11" x14ac:dyDescent="0.25">
      <c r="A705" t="s">
        <v>326</v>
      </c>
      <c r="B705" t="s">
        <v>602</v>
      </c>
      <c r="C705" t="s">
        <v>866</v>
      </c>
      <c r="D705" t="s">
        <v>14</v>
      </c>
      <c r="E705">
        <v>5</v>
      </c>
      <c r="F705" s="2">
        <f>DATE(2026,IF(Tabla1[[#This Row],[Mes de Fecha]]="Septiembre",9,10),Tabla1[[#This Row],[Día de Fecha]])</f>
        <v>46300</v>
      </c>
      <c r="G705">
        <v>1065002298</v>
      </c>
      <c r="H705" t="s">
        <v>608</v>
      </c>
      <c r="I705">
        <v>-1</v>
      </c>
      <c r="J705">
        <v>0</v>
      </c>
      <c r="K705" s="1">
        <v>-37773</v>
      </c>
    </row>
    <row r="706" spans="1:11" x14ac:dyDescent="0.25">
      <c r="A706" t="s">
        <v>326</v>
      </c>
      <c r="B706" t="s">
        <v>602</v>
      </c>
      <c r="C706" t="s">
        <v>866</v>
      </c>
      <c r="D706" t="s">
        <v>14</v>
      </c>
      <c r="E706">
        <v>5</v>
      </c>
      <c r="F706" s="2">
        <f>DATE(2026,IF(Tabla1[[#This Row],[Mes de Fecha]]="Septiembre",9,10),Tabla1[[#This Row],[Día de Fecha]])</f>
        <v>46300</v>
      </c>
      <c r="G706">
        <v>1065006748</v>
      </c>
      <c r="H706" t="s">
        <v>603</v>
      </c>
      <c r="I706">
        <v>69</v>
      </c>
      <c r="J706">
        <v>0</v>
      </c>
      <c r="K706" s="1">
        <v>3723826</v>
      </c>
    </row>
    <row r="707" spans="1:11" x14ac:dyDescent="0.25">
      <c r="A707" t="s">
        <v>326</v>
      </c>
      <c r="B707" t="s">
        <v>602</v>
      </c>
      <c r="C707" t="s">
        <v>866</v>
      </c>
      <c r="D707" t="s">
        <v>14</v>
      </c>
      <c r="E707">
        <v>5</v>
      </c>
      <c r="F707" s="2">
        <f>DATE(2026,IF(Tabla1[[#This Row],[Mes de Fecha]]="Septiembre",9,10),Tabla1[[#This Row],[Día de Fecha]])</f>
        <v>46300</v>
      </c>
      <c r="G707">
        <v>1067899060</v>
      </c>
      <c r="H707" t="s">
        <v>606</v>
      </c>
      <c r="I707">
        <v>12</v>
      </c>
      <c r="J707">
        <v>0</v>
      </c>
      <c r="K707" s="1">
        <v>587732</v>
      </c>
    </row>
    <row r="708" spans="1:11" x14ac:dyDescent="0.25">
      <c r="A708" t="s">
        <v>326</v>
      </c>
      <c r="B708" t="s">
        <v>602</v>
      </c>
      <c r="C708" t="s">
        <v>866</v>
      </c>
      <c r="D708" t="s">
        <v>14</v>
      </c>
      <c r="E708">
        <v>5</v>
      </c>
      <c r="F708" s="2">
        <f>DATE(2026,IF(Tabla1[[#This Row],[Mes de Fecha]]="Septiembre",9,10),Tabla1[[#This Row],[Día de Fecha]])</f>
        <v>46300</v>
      </c>
      <c r="G708">
        <v>1067921548</v>
      </c>
      <c r="H708" t="s">
        <v>604</v>
      </c>
      <c r="I708">
        <v>75</v>
      </c>
      <c r="J708">
        <v>0</v>
      </c>
      <c r="K708" s="1">
        <v>4448154</v>
      </c>
    </row>
    <row r="709" spans="1:11" x14ac:dyDescent="0.25">
      <c r="A709" t="s">
        <v>326</v>
      </c>
      <c r="B709" t="s">
        <v>602</v>
      </c>
      <c r="C709" t="s">
        <v>866</v>
      </c>
      <c r="D709" t="s">
        <v>14</v>
      </c>
      <c r="E709">
        <v>6</v>
      </c>
      <c r="F709" s="2">
        <f>DATE(2026,IF(Tabla1[[#This Row],[Mes de Fecha]]="Septiembre",9,10),Tabla1[[#This Row],[Día de Fecha]])</f>
        <v>46301</v>
      </c>
      <c r="I709">
        <v>0</v>
      </c>
      <c r="J709" s="1">
        <v>3520506</v>
      </c>
      <c r="K709">
        <v>0</v>
      </c>
    </row>
    <row r="710" spans="1:11" x14ac:dyDescent="0.25">
      <c r="A710" t="s">
        <v>326</v>
      </c>
      <c r="B710" t="s">
        <v>602</v>
      </c>
      <c r="C710" t="s">
        <v>866</v>
      </c>
      <c r="D710" t="s">
        <v>14</v>
      </c>
      <c r="E710">
        <v>6</v>
      </c>
      <c r="F710" s="2">
        <f>DATE(2026,IF(Tabla1[[#This Row],[Mes de Fecha]]="Septiembre",9,10),Tabla1[[#This Row],[Día de Fecha]])</f>
        <v>46301</v>
      </c>
      <c r="G710">
        <v>1065006748</v>
      </c>
      <c r="H710" t="s">
        <v>603</v>
      </c>
      <c r="I710">
        <v>50</v>
      </c>
      <c r="J710">
        <v>0</v>
      </c>
      <c r="K710" s="1">
        <v>2651053</v>
      </c>
    </row>
    <row r="711" spans="1:11" x14ac:dyDescent="0.25">
      <c r="A711" t="s">
        <v>326</v>
      </c>
      <c r="B711" t="s">
        <v>602</v>
      </c>
      <c r="C711" t="s">
        <v>866</v>
      </c>
      <c r="D711" t="s">
        <v>14</v>
      </c>
      <c r="E711">
        <v>6</v>
      </c>
      <c r="F711" s="2">
        <f>DATE(2026,IF(Tabla1[[#This Row],[Mes de Fecha]]="Septiembre",9,10),Tabla1[[#This Row],[Día de Fecha]])</f>
        <v>46301</v>
      </c>
      <c r="G711">
        <v>1067899060</v>
      </c>
      <c r="H711" t="s">
        <v>606</v>
      </c>
      <c r="I711">
        <v>5</v>
      </c>
      <c r="J711">
        <v>0</v>
      </c>
      <c r="K711" s="1">
        <v>403153</v>
      </c>
    </row>
    <row r="712" spans="1:11" x14ac:dyDescent="0.25">
      <c r="A712" t="s">
        <v>326</v>
      </c>
      <c r="B712" t="s">
        <v>602</v>
      </c>
      <c r="C712" t="s">
        <v>866</v>
      </c>
      <c r="D712" t="s">
        <v>14</v>
      </c>
      <c r="E712">
        <v>6</v>
      </c>
      <c r="F712" s="2">
        <f>DATE(2026,IF(Tabla1[[#This Row],[Mes de Fecha]]="Septiembre",9,10),Tabla1[[#This Row],[Día de Fecha]])</f>
        <v>46301</v>
      </c>
      <c r="G712">
        <v>1067921548</v>
      </c>
      <c r="H712" t="s">
        <v>604</v>
      </c>
      <c r="I712">
        <v>40</v>
      </c>
      <c r="J712">
        <v>0</v>
      </c>
      <c r="K712" s="1">
        <v>2019122</v>
      </c>
    </row>
    <row r="713" spans="1:11" x14ac:dyDescent="0.25">
      <c r="A713" t="s">
        <v>326</v>
      </c>
      <c r="B713" t="s">
        <v>602</v>
      </c>
      <c r="C713" t="s">
        <v>866</v>
      </c>
      <c r="D713" t="s">
        <v>14</v>
      </c>
      <c r="E713">
        <v>7</v>
      </c>
      <c r="F713" s="2">
        <f>DATE(2026,IF(Tabla1[[#This Row],[Mes de Fecha]]="Septiembre",9,10),Tabla1[[#This Row],[Día de Fecha]])</f>
        <v>46302</v>
      </c>
      <c r="I713">
        <v>0</v>
      </c>
      <c r="J713" s="1">
        <v>3474182</v>
      </c>
      <c r="K713">
        <v>0</v>
      </c>
    </row>
    <row r="714" spans="1:11" x14ac:dyDescent="0.25">
      <c r="A714" t="s">
        <v>326</v>
      </c>
      <c r="B714" t="s">
        <v>602</v>
      </c>
      <c r="C714" t="s">
        <v>866</v>
      </c>
      <c r="D714" t="s">
        <v>14</v>
      </c>
      <c r="E714">
        <v>7</v>
      </c>
      <c r="F714" s="2">
        <f>DATE(2026,IF(Tabla1[[#This Row],[Mes de Fecha]]="Septiembre",9,10),Tabla1[[#This Row],[Día de Fecha]])</f>
        <v>46302</v>
      </c>
      <c r="G714">
        <v>1065006748</v>
      </c>
      <c r="H714" t="s">
        <v>603</v>
      </c>
      <c r="I714">
        <v>36</v>
      </c>
      <c r="J714">
        <v>0</v>
      </c>
      <c r="K714" s="1">
        <v>1628659</v>
      </c>
    </row>
    <row r="715" spans="1:11" x14ac:dyDescent="0.25">
      <c r="A715" t="s">
        <v>326</v>
      </c>
      <c r="B715" t="s">
        <v>602</v>
      </c>
      <c r="C715" t="s">
        <v>866</v>
      </c>
      <c r="D715" t="s">
        <v>14</v>
      </c>
      <c r="E715">
        <v>7</v>
      </c>
      <c r="F715" s="2">
        <f>DATE(2026,IF(Tabla1[[#This Row],[Mes de Fecha]]="Septiembre",9,10),Tabla1[[#This Row],[Día de Fecha]])</f>
        <v>46302</v>
      </c>
      <c r="G715">
        <v>1067899060</v>
      </c>
      <c r="H715" t="s">
        <v>606</v>
      </c>
      <c r="I715">
        <v>3</v>
      </c>
      <c r="J715">
        <v>0</v>
      </c>
      <c r="K715" s="1">
        <v>119622</v>
      </c>
    </row>
    <row r="716" spans="1:11" x14ac:dyDescent="0.25">
      <c r="A716" t="s">
        <v>326</v>
      </c>
      <c r="B716" t="s">
        <v>602</v>
      </c>
      <c r="C716" t="s">
        <v>866</v>
      </c>
      <c r="D716" t="s">
        <v>14</v>
      </c>
      <c r="E716">
        <v>7</v>
      </c>
      <c r="F716" s="2">
        <f>DATE(2026,IF(Tabla1[[#This Row],[Mes de Fecha]]="Septiembre",9,10),Tabla1[[#This Row],[Día de Fecha]])</f>
        <v>46302</v>
      </c>
      <c r="G716">
        <v>1067921548</v>
      </c>
      <c r="H716" t="s">
        <v>604</v>
      </c>
      <c r="I716">
        <v>29</v>
      </c>
      <c r="J716">
        <v>0</v>
      </c>
      <c r="K716" s="1">
        <v>1603783</v>
      </c>
    </row>
    <row r="717" spans="1:11" x14ac:dyDescent="0.25">
      <c r="A717" t="s">
        <v>326</v>
      </c>
      <c r="B717" t="s">
        <v>609</v>
      </c>
      <c r="C717" t="s">
        <v>866</v>
      </c>
      <c r="D717" t="s">
        <v>11</v>
      </c>
      <c r="E717">
        <v>23</v>
      </c>
      <c r="F717" s="2">
        <f>DATE(2026,IF(Tabla1[[#This Row],[Mes de Fecha]]="Septiembre",9,10),Tabla1[[#This Row],[Día de Fecha]])</f>
        <v>46288</v>
      </c>
      <c r="I717">
        <v>0</v>
      </c>
      <c r="J717" s="1">
        <v>9621259</v>
      </c>
      <c r="K717">
        <v>0</v>
      </c>
    </row>
    <row r="718" spans="1:11" x14ac:dyDescent="0.25">
      <c r="A718" t="s">
        <v>326</v>
      </c>
      <c r="B718" t="s">
        <v>609</v>
      </c>
      <c r="C718" t="s">
        <v>866</v>
      </c>
      <c r="D718" t="s">
        <v>11</v>
      </c>
      <c r="E718">
        <v>23</v>
      </c>
      <c r="F718" s="2">
        <f>DATE(2026,IF(Tabla1[[#This Row],[Mes de Fecha]]="Septiembre",9,10),Tabla1[[#This Row],[Día de Fecha]])</f>
        <v>46288</v>
      </c>
      <c r="G718">
        <v>55300073</v>
      </c>
      <c r="H718" t="s">
        <v>406</v>
      </c>
      <c r="I718">
        <v>-1</v>
      </c>
      <c r="J718">
        <v>0</v>
      </c>
      <c r="K718" s="1">
        <v>-67143</v>
      </c>
    </row>
    <row r="719" spans="1:11" x14ac:dyDescent="0.25">
      <c r="A719" t="s">
        <v>326</v>
      </c>
      <c r="B719" t="s">
        <v>609</v>
      </c>
      <c r="C719" t="s">
        <v>866</v>
      </c>
      <c r="D719" t="s">
        <v>11</v>
      </c>
      <c r="E719">
        <v>23</v>
      </c>
      <c r="F719" s="2">
        <f>DATE(2026,IF(Tabla1[[#This Row],[Mes de Fecha]]="Septiembre",9,10),Tabla1[[#This Row],[Día de Fecha]])</f>
        <v>46288</v>
      </c>
      <c r="G719">
        <v>1000130937</v>
      </c>
      <c r="H719" t="s">
        <v>478</v>
      </c>
      <c r="I719">
        <v>45</v>
      </c>
      <c r="J719">
        <v>0</v>
      </c>
      <c r="K719" s="1">
        <v>1905506</v>
      </c>
    </row>
    <row r="720" spans="1:11" x14ac:dyDescent="0.25">
      <c r="A720" t="s">
        <v>326</v>
      </c>
      <c r="B720" t="s">
        <v>609</v>
      </c>
      <c r="C720" t="s">
        <v>866</v>
      </c>
      <c r="D720" t="s">
        <v>11</v>
      </c>
      <c r="E720">
        <v>23</v>
      </c>
      <c r="F720" s="2">
        <f>DATE(2026,IF(Tabla1[[#This Row],[Mes de Fecha]]="Septiembre",9,10),Tabla1[[#This Row],[Día de Fecha]])</f>
        <v>46288</v>
      </c>
      <c r="G720">
        <v>1047439766</v>
      </c>
      <c r="H720" t="s">
        <v>474</v>
      </c>
      <c r="I720">
        <v>70</v>
      </c>
      <c r="J720">
        <v>0</v>
      </c>
      <c r="K720" s="1">
        <v>3618408</v>
      </c>
    </row>
    <row r="721" spans="1:11" x14ac:dyDescent="0.25">
      <c r="A721" t="s">
        <v>326</v>
      </c>
      <c r="B721" t="s">
        <v>609</v>
      </c>
      <c r="C721" t="s">
        <v>866</v>
      </c>
      <c r="D721" t="s">
        <v>11</v>
      </c>
      <c r="E721">
        <v>23</v>
      </c>
      <c r="F721" s="2">
        <f>DATE(2026,IF(Tabla1[[#This Row],[Mes de Fecha]]="Septiembre",9,10),Tabla1[[#This Row],[Día de Fecha]])</f>
        <v>46288</v>
      </c>
      <c r="G721">
        <v>1124030949</v>
      </c>
      <c r="H721" t="s">
        <v>610</v>
      </c>
      <c r="I721">
        <v>80</v>
      </c>
      <c r="J721">
        <v>0</v>
      </c>
      <c r="K721" s="1">
        <v>3891180</v>
      </c>
    </row>
    <row r="722" spans="1:11" x14ac:dyDescent="0.25">
      <c r="A722" t="s">
        <v>326</v>
      </c>
      <c r="B722" t="s">
        <v>609</v>
      </c>
      <c r="C722" t="s">
        <v>866</v>
      </c>
      <c r="D722" t="s">
        <v>11</v>
      </c>
      <c r="E722">
        <v>24</v>
      </c>
      <c r="F722" s="2">
        <f>DATE(2026,IF(Tabla1[[#This Row],[Mes de Fecha]]="Septiembre",9,10),Tabla1[[#This Row],[Día de Fecha]])</f>
        <v>46289</v>
      </c>
      <c r="I722">
        <v>0</v>
      </c>
      <c r="J722" s="1">
        <v>14697558</v>
      </c>
      <c r="K722">
        <v>0</v>
      </c>
    </row>
    <row r="723" spans="1:11" x14ac:dyDescent="0.25">
      <c r="A723" t="s">
        <v>326</v>
      </c>
      <c r="B723" t="s">
        <v>609</v>
      </c>
      <c r="C723" t="s">
        <v>866</v>
      </c>
      <c r="D723" t="s">
        <v>11</v>
      </c>
      <c r="E723">
        <v>24</v>
      </c>
      <c r="F723" s="2">
        <f>DATE(2026,IF(Tabla1[[#This Row],[Mes de Fecha]]="Septiembre",9,10),Tabla1[[#This Row],[Día de Fecha]])</f>
        <v>46289</v>
      </c>
      <c r="G723">
        <v>1000130937</v>
      </c>
      <c r="H723" t="s">
        <v>478</v>
      </c>
      <c r="I723">
        <v>57</v>
      </c>
      <c r="J723">
        <v>0</v>
      </c>
      <c r="K723" s="1">
        <v>2181681</v>
      </c>
    </row>
    <row r="724" spans="1:11" x14ac:dyDescent="0.25">
      <c r="A724" t="s">
        <v>326</v>
      </c>
      <c r="B724" t="s">
        <v>609</v>
      </c>
      <c r="C724" t="s">
        <v>866</v>
      </c>
      <c r="D724" t="s">
        <v>11</v>
      </c>
      <c r="E724">
        <v>24</v>
      </c>
      <c r="F724" s="2">
        <f>DATE(2026,IF(Tabla1[[#This Row],[Mes de Fecha]]="Septiembre",9,10),Tabla1[[#This Row],[Día de Fecha]])</f>
        <v>46289</v>
      </c>
      <c r="G724">
        <v>1047439766</v>
      </c>
      <c r="H724" t="s">
        <v>474</v>
      </c>
      <c r="I724">
        <v>78</v>
      </c>
      <c r="J724">
        <v>0</v>
      </c>
      <c r="K724" s="1">
        <v>4021617</v>
      </c>
    </row>
    <row r="725" spans="1:11" x14ac:dyDescent="0.25">
      <c r="A725" t="s">
        <v>326</v>
      </c>
      <c r="B725" t="s">
        <v>609</v>
      </c>
      <c r="C725" t="s">
        <v>866</v>
      </c>
      <c r="D725" t="s">
        <v>11</v>
      </c>
      <c r="E725">
        <v>24</v>
      </c>
      <c r="F725" s="2">
        <f>DATE(2026,IF(Tabla1[[#This Row],[Mes de Fecha]]="Septiembre",9,10),Tabla1[[#This Row],[Día de Fecha]])</f>
        <v>46289</v>
      </c>
      <c r="G725">
        <v>1124030949</v>
      </c>
      <c r="H725" t="s">
        <v>610</v>
      </c>
      <c r="I725">
        <v>83</v>
      </c>
      <c r="J725">
        <v>0</v>
      </c>
      <c r="K725" s="1">
        <v>4105424</v>
      </c>
    </row>
    <row r="726" spans="1:11" x14ac:dyDescent="0.25">
      <c r="A726" t="s">
        <v>326</v>
      </c>
      <c r="B726" t="s">
        <v>609</v>
      </c>
      <c r="C726" t="s">
        <v>866</v>
      </c>
      <c r="D726" t="s">
        <v>11</v>
      </c>
      <c r="E726">
        <v>25</v>
      </c>
      <c r="F726" s="2">
        <f>DATE(2026,IF(Tabla1[[#This Row],[Mes de Fecha]]="Septiembre",9,10),Tabla1[[#This Row],[Día de Fecha]])</f>
        <v>46290</v>
      </c>
      <c r="I726">
        <v>0</v>
      </c>
      <c r="J726" s="1">
        <v>14665018</v>
      </c>
      <c r="K726">
        <v>0</v>
      </c>
    </row>
    <row r="727" spans="1:11" x14ac:dyDescent="0.25">
      <c r="A727" t="s">
        <v>326</v>
      </c>
      <c r="B727" t="s">
        <v>609</v>
      </c>
      <c r="C727" t="s">
        <v>866</v>
      </c>
      <c r="D727" t="s">
        <v>11</v>
      </c>
      <c r="E727">
        <v>25</v>
      </c>
      <c r="F727" s="2">
        <f>DATE(2026,IF(Tabla1[[#This Row],[Mes de Fecha]]="Septiembre",9,10),Tabla1[[#This Row],[Día de Fecha]])</f>
        <v>46290</v>
      </c>
      <c r="G727">
        <v>1000130937</v>
      </c>
      <c r="H727" t="s">
        <v>478</v>
      </c>
      <c r="I727">
        <v>32</v>
      </c>
      <c r="J727">
        <v>0</v>
      </c>
      <c r="K727" s="1">
        <v>1439834</v>
      </c>
    </row>
    <row r="728" spans="1:11" x14ac:dyDescent="0.25">
      <c r="A728" t="s">
        <v>326</v>
      </c>
      <c r="B728" t="s">
        <v>609</v>
      </c>
      <c r="C728" t="s">
        <v>866</v>
      </c>
      <c r="D728" t="s">
        <v>11</v>
      </c>
      <c r="E728">
        <v>25</v>
      </c>
      <c r="F728" s="2">
        <f>DATE(2026,IF(Tabla1[[#This Row],[Mes de Fecha]]="Septiembre",9,10),Tabla1[[#This Row],[Día de Fecha]])</f>
        <v>46290</v>
      </c>
      <c r="G728">
        <v>1047439766</v>
      </c>
      <c r="H728" t="s">
        <v>474</v>
      </c>
      <c r="I728">
        <v>95</v>
      </c>
      <c r="J728">
        <v>0</v>
      </c>
      <c r="K728" s="1">
        <v>4973533</v>
      </c>
    </row>
    <row r="729" spans="1:11" x14ac:dyDescent="0.25">
      <c r="A729" t="s">
        <v>326</v>
      </c>
      <c r="B729" t="s">
        <v>609</v>
      </c>
      <c r="C729" t="s">
        <v>866</v>
      </c>
      <c r="D729" t="s">
        <v>11</v>
      </c>
      <c r="E729">
        <v>25</v>
      </c>
      <c r="F729" s="2">
        <f>DATE(2026,IF(Tabla1[[#This Row],[Mes de Fecha]]="Septiembre",9,10),Tabla1[[#This Row],[Día de Fecha]])</f>
        <v>46290</v>
      </c>
      <c r="G729">
        <v>1124030949</v>
      </c>
      <c r="H729" t="s">
        <v>610</v>
      </c>
      <c r="I729">
        <v>103</v>
      </c>
      <c r="J729">
        <v>0</v>
      </c>
      <c r="K729" s="1">
        <v>5161853</v>
      </c>
    </row>
    <row r="730" spans="1:11" x14ac:dyDescent="0.25">
      <c r="A730" t="s">
        <v>326</v>
      </c>
      <c r="B730" t="s">
        <v>609</v>
      </c>
      <c r="C730" t="s">
        <v>866</v>
      </c>
      <c r="D730" t="s">
        <v>11</v>
      </c>
      <c r="E730">
        <v>26</v>
      </c>
      <c r="F730" s="2">
        <f>DATE(2026,IF(Tabla1[[#This Row],[Mes de Fecha]]="Septiembre",9,10),Tabla1[[#This Row],[Día de Fecha]])</f>
        <v>46291</v>
      </c>
      <c r="I730">
        <v>0</v>
      </c>
      <c r="J730" s="1">
        <v>21075741</v>
      </c>
      <c r="K730">
        <v>0</v>
      </c>
    </row>
    <row r="731" spans="1:11" x14ac:dyDescent="0.25">
      <c r="A731" t="s">
        <v>326</v>
      </c>
      <c r="B731" t="s">
        <v>609</v>
      </c>
      <c r="C731" t="s">
        <v>866</v>
      </c>
      <c r="D731" t="s">
        <v>11</v>
      </c>
      <c r="E731">
        <v>26</v>
      </c>
      <c r="F731" s="2">
        <f>DATE(2026,IF(Tabla1[[#This Row],[Mes de Fecha]]="Septiembre",9,10),Tabla1[[#This Row],[Día de Fecha]])</f>
        <v>46291</v>
      </c>
      <c r="G731">
        <v>1000130937</v>
      </c>
      <c r="H731" t="s">
        <v>478</v>
      </c>
      <c r="I731">
        <v>47</v>
      </c>
      <c r="J731">
        <v>0</v>
      </c>
      <c r="K731" s="1">
        <v>2317187</v>
      </c>
    </row>
    <row r="732" spans="1:11" x14ac:dyDescent="0.25">
      <c r="A732" t="s">
        <v>326</v>
      </c>
      <c r="B732" t="s">
        <v>609</v>
      </c>
      <c r="C732" t="s">
        <v>866</v>
      </c>
      <c r="D732" t="s">
        <v>11</v>
      </c>
      <c r="E732">
        <v>26</v>
      </c>
      <c r="F732" s="2">
        <f>DATE(2026,IF(Tabla1[[#This Row],[Mes de Fecha]]="Septiembre",9,10),Tabla1[[#This Row],[Día de Fecha]])</f>
        <v>46291</v>
      </c>
      <c r="G732">
        <v>1047439766</v>
      </c>
      <c r="H732" t="s">
        <v>474</v>
      </c>
      <c r="I732">
        <v>76</v>
      </c>
      <c r="J732">
        <v>0</v>
      </c>
      <c r="K732" s="1">
        <v>3836561</v>
      </c>
    </row>
    <row r="733" spans="1:11" x14ac:dyDescent="0.25">
      <c r="A733" t="s">
        <v>326</v>
      </c>
      <c r="B733" t="s">
        <v>609</v>
      </c>
      <c r="C733" t="s">
        <v>866</v>
      </c>
      <c r="D733" t="s">
        <v>11</v>
      </c>
      <c r="E733">
        <v>26</v>
      </c>
      <c r="F733" s="2">
        <f>DATE(2026,IF(Tabla1[[#This Row],[Mes de Fecha]]="Septiembre",9,10),Tabla1[[#This Row],[Día de Fecha]])</f>
        <v>46291</v>
      </c>
      <c r="G733">
        <v>1124030949</v>
      </c>
      <c r="H733" t="s">
        <v>610</v>
      </c>
      <c r="I733">
        <v>76</v>
      </c>
      <c r="J733">
        <v>0</v>
      </c>
      <c r="K733" s="1">
        <v>3652023</v>
      </c>
    </row>
    <row r="734" spans="1:11" x14ac:dyDescent="0.25">
      <c r="A734" t="s">
        <v>326</v>
      </c>
      <c r="B734" t="s">
        <v>609</v>
      </c>
      <c r="C734" t="s">
        <v>866</v>
      </c>
      <c r="D734" t="s">
        <v>11</v>
      </c>
      <c r="E734">
        <v>27</v>
      </c>
      <c r="F734" s="2">
        <f>DATE(2026,IF(Tabla1[[#This Row],[Mes de Fecha]]="Septiembre",9,10),Tabla1[[#This Row],[Día de Fecha]])</f>
        <v>46292</v>
      </c>
      <c r="I734">
        <v>0</v>
      </c>
      <c r="J734" s="1">
        <v>16696230</v>
      </c>
      <c r="K734">
        <v>0</v>
      </c>
    </row>
    <row r="735" spans="1:11" x14ac:dyDescent="0.25">
      <c r="A735" t="s">
        <v>326</v>
      </c>
      <c r="B735" t="s">
        <v>609</v>
      </c>
      <c r="C735" t="s">
        <v>866</v>
      </c>
      <c r="D735" t="s">
        <v>11</v>
      </c>
      <c r="E735">
        <v>27</v>
      </c>
      <c r="F735" s="2">
        <f>DATE(2026,IF(Tabla1[[#This Row],[Mes de Fecha]]="Septiembre",9,10),Tabla1[[#This Row],[Día de Fecha]])</f>
        <v>46292</v>
      </c>
      <c r="G735">
        <v>1000130937</v>
      </c>
      <c r="H735" t="s">
        <v>478</v>
      </c>
      <c r="I735">
        <v>33</v>
      </c>
      <c r="J735">
        <v>0</v>
      </c>
      <c r="K735" s="1">
        <v>1580423</v>
      </c>
    </row>
    <row r="736" spans="1:11" x14ac:dyDescent="0.25">
      <c r="A736" t="s">
        <v>326</v>
      </c>
      <c r="B736" t="s">
        <v>609</v>
      </c>
      <c r="C736" t="s">
        <v>866</v>
      </c>
      <c r="D736" t="s">
        <v>11</v>
      </c>
      <c r="E736">
        <v>27</v>
      </c>
      <c r="F736" s="2">
        <f>DATE(2026,IF(Tabla1[[#This Row],[Mes de Fecha]]="Septiembre",9,10),Tabla1[[#This Row],[Día de Fecha]])</f>
        <v>46292</v>
      </c>
      <c r="G736">
        <v>1047439766</v>
      </c>
      <c r="H736" t="s">
        <v>474</v>
      </c>
      <c r="I736">
        <v>57</v>
      </c>
      <c r="J736">
        <v>0</v>
      </c>
      <c r="K736" s="1">
        <v>3024793</v>
      </c>
    </row>
    <row r="737" spans="1:11" x14ac:dyDescent="0.25">
      <c r="A737" t="s">
        <v>326</v>
      </c>
      <c r="B737" t="s">
        <v>609</v>
      </c>
      <c r="C737" t="s">
        <v>866</v>
      </c>
      <c r="D737" t="s">
        <v>11</v>
      </c>
      <c r="E737">
        <v>27</v>
      </c>
      <c r="F737" s="2">
        <f>DATE(2026,IF(Tabla1[[#This Row],[Mes de Fecha]]="Septiembre",9,10),Tabla1[[#This Row],[Día de Fecha]])</f>
        <v>46292</v>
      </c>
      <c r="G737">
        <v>1124030949</v>
      </c>
      <c r="H737" t="s">
        <v>610</v>
      </c>
      <c r="I737">
        <v>46</v>
      </c>
      <c r="J737">
        <v>0</v>
      </c>
      <c r="K737" s="1">
        <v>2612945</v>
      </c>
    </row>
    <row r="738" spans="1:11" x14ac:dyDescent="0.25">
      <c r="A738" t="s">
        <v>326</v>
      </c>
      <c r="B738" t="s">
        <v>609</v>
      </c>
      <c r="C738" t="s">
        <v>866</v>
      </c>
      <c r="D738" t="s">
        <v>11</v>
      </c>
      <c r="E738">
        <v>28</v>
      </c>
      <c r="F738" s="2">
        <f>DATE(2026,IF(Tabla1[[#This Row],[Mes de Fecha]]="Septiembre",9,10),Tabla1[[#This Row],[Día de Fecha]])</f>
        <v>46293</v>
      </c>
      <c r="I738">
        <v>0</v>
      </c>
      <c r="J738" s="1">
        <v>9400719</v>
      </c>
      <c r="K738">
        <v>0</v>
      </c>
    </row>
    <row r="739" spans="1:11" x14ac:dyDescent="0.25">
      <c r="A739" t="s">
        <v>326</v>
      </c>
      <c r="B739" t="s">
        <v>609</v>
      </c>
      <c r="C739" t="s">
        <v>866</v>
      </c>
      <c r="D739" t="s">
        <v>11</v>
      </c>
      <c r="E739">
        <v>28</v>
      </c>
      <c r="F739" s="2">
        <f>DATE(2026,IF(Tabla1[[#This Row],[Mes de Fecha]]="Septiembre",9,10),Tabla1[[#This Row],[Día de Fecha]])</f>
        <v>46293</v>
      </c>
      <c r="G739">
        <v>1000130937</v>
      </c>
      <c r="H739" t="s">
        <v>478</v>
      </c>
      <c r="I739">
        <v>13</v>
      </c>
      <c r="J739">
        <v>0</v>
      </c>
      <c r="K739" s="1">
        <v>465714</v>
      </c>
    </row>
    <row r="740" spans="1:11" x14ac:dyDescent="0.25">
      <c r="A740" t="s">
        <v>326</v>
      </c>
      <c r="B740" t="s">
        <v>609</v>
      </c>
      <c r="C740" t="s">
        <v>866</v>
      </c>
      <c r="D740" t="s">
        <v>11</v>
      </c>
      <c r="E740">
        <v>28</v>
      </c>
      <c r="F740" s="2">
        <f>DATE(2026,IF(Tabla1[[#This Row],[Mes de Fecha]]="Septiembre",9,10),Tabla1[[#This Row],[Día de Fecha]])</f>
        <v>46293</v>
      </c>
      <c r="G740">
        <v>1047439766</v>
      </c>
      <c r="H740" t="s">
        <v>474</v>
      </c>
      <c r="I740">
        <v>48</v>
      </c>
      <c r="J740">
        <v>0</v>
      </c>
      <c r="K740" s="1">
        <v>2430546</v>
      </c>
    </row>
    <row r="741" spans="1:11" x14ac:dyDescent="0.25">
      <c r="A741" t="s">
        <v>326</v>
      </c>
      <c r="B741" t="s">
        <v>609</v>
      </c>
      <c r="C741" t="s">
        <v>866</v>
      </c>
      <c r="D741" t="s">
        <v>11</v>
      </c>
      <c r="E741">
        <v>28</v>
      </c>
      <c r="F741" s="2">
        <f>DATE(2026,IF(Tabla1[[#This Row],[Mes de Fecha]]="Septiembre",9,10),Tabla1[[#This Row],[Día de Fecha]])</f>
        <v>46293</v>
      </c>
      <c r="G741">
        <v>1124030949</v>
      </c>
      <c r="H741" t="s">
        <v>610</v>
      </c>
      <c r="I741">
        <v>50</v>
      </c>
      <c r="J741">
        <v>0</v>
      </c>
      <c r="K741" s="1">
        <v>2304457</v>
      </c>
    </row>
    <row r="742" spans="1:11" x14ac:dyDescent="0.25">
      <c r="A742" t="s">
        <v>326</v>
      </c>
      <c r="B742" t="s">
        <v>609</v>
      </c>
      <c r="C742" t="s">
        <v>866</v>
      </c>
      <c r="D742" t="s">
        <v>11</v>
      </c>
      <c r="E742">
        <v>29</v>
      </c>
      <c r="F742" s="2">
        <f>DATE(2026,IF(Tabla1[[#This Row],[Mes de Fecha]]="Septiembre",9,10),Tabla1[[#This Row],[Día de Fecha]])</f>
        <v>46294</v>
      </c>
      <c r="I742">
        <v>0</v>
      </c>
      <c r="J742" s="1">
        <v>9603767</v>
      </c>
      <c r="K742">
        <v>0</v>
      </c>
    </row>
    <row r="743" spans="1:11" x14ac:dyDescent="0.25">
      <c r="A743" t="s">
        <v>326</v>
      </c>
      <c r="B743" t="s">
        <v>609</v>
      </c>
      <c r="C743" t="s">
        <v>866</v>
      </c>
      <c r="D743" t="s">
        <v>11</v>
      </c>
      <c r="E743">
        <v>29</v>
      </c>
      <c r="F743" s="2">
        <f>DATE(2026,IF(Tabla1[[#This Row],[Mes de Fecha]]="Septiembre",9,10),Tabla1[[#This Row],[Día de Fecha]])</f>
        <v>46294</v>
      </c>
      <c r="G743">
        <v>73578286</v>
      </c>
      <c r="H743" t="s">
        <v>472</v>
      </c>
      <c r="I743">
        <v>-1</v>
      </c>
      <c r="J743">
        <v>0</v>
      </c>
      <c r="K743" s="1">
        <v>-54580</v>
      </c>
    </row>
    <row r="744" spans="1:11" x14ac:dyDescent="0.25">
      <c r="A744" t="s">
        <v>326</v>
      </c>
      <c r="B744" t="s">
        <v>609</v>
      </c>
      <c r="C744" t="s">
        <v>866</v>
      </c>
      <c r="D744" t="s">
        <v>11</v>
      </c>
      <c r="E744">
        <v>29</v>
      </c>
      <c r="F744" s="2">
        <f>DATE(2026,IF(Tabla1[[#This Row],[Mes de Fecha]]="Septiembre",9,10),Tabla1[[#This Row],[Día de Fecha]])</f>
        <v>46294</v>
      </c>
      <c r="G744">
        <v>1000130937</v>
      </c>
      <c r="H744" t="s">
        <v>478</v>
      </c>
      <c r="I744">
        <v>16</v>
      </c>
      <c r="J744">
        <v>0</v>
      </c>
      <c r="K744" s="1">
        <v>654665</v>
      </c>
    </row>
    <row r="745" spans="1:11" x14ac:dyDescent="0.25">
      <c r="A745" t="s">
        <v>326</v>
      </c>
      <c r="B745" t="s">
        <v>609</v>
      </c>
      <c r="C745" t="s">
        <v>866</v>
      </c>
      <c r="D745" t="s">
        <v>11</v>
      </c>
      <c r="E745">
        <v>29</v>
      </c>
      <c r="F745" s="2">
        <f>DATE(2026,IF(Tabla1[[#This Row],[Mes de Fecha]]="Septiembre",9,10),Tabla1[[#This Row],[Día de Fecha]])</f>
        <v>46294</v>
      </c>
      <c r="G745">
        <v>1047439766</v>
      </c>
      <c r="H745" t="s">
        <v>474</v>
      </c>
      <c r="I745">
        <v>77</v>
      </c>
      <c r="J745">
        <v>0</v>
      </c>
      <c r="K745" s="1">
        <v>3752105</v>
      </c>
    </row>
    <row r="746" spans="1:11" x14ac:dyDescent="0.25">
      <c r="A746" t="s">
        <v>326</v>
      </c>
      <c r="B746" t="s">
        <v>609</v>
      </c>
      <c r="C746" t="s">
        <v>866</v>
      </c>
      <c r="D746" t="s">
        <v>11</v>
      </c>
      <c r="E746">
        <v>29</v>
      </c>
      <c r="F746" s="2">
        <f>DATE(2026,IF(Tabla1[[#This Row],[Mes de Fecha]]="Septiembre",9,10),Tabla1[[#This Row],[Día de Fecha]])</f>
        <v>46294</v>
      </c>
      <c r="G746">
        <v>1124030949</v>
      </c>
      <c r="H746" t="s">
        <v>610</v>
      </c>
      <c r="I746">
        <v>67</v>
      </c>
      <c r="J746">
        <v>0</v>
      </c>
      <c r="K746" s="1">
        <v>3429499</v>
      </c>
    </row>
    <row r="747" spans="1:11" x14ac:dyDescent="0.25">
      <c r="A747" t="s">
        <v>326</v>
      </c>
      <c r="B747" t="s">
        <v>609</v>
      </c>
      <c r="C747" t="s">
        <v>866</v>
      </c>
      <c r="D747" t="s">
        <v>11</v>
      </c>
      <c r="E747">
        <v>30</v>
      </c>
      <c r="F747" s="2">
        <f>DATE(2026,IF(Tabla1[[#This Row],[Mes de Fecha]]="Septiembre",9,10),Tabla1[[#This Row],[Día de Fecha]])</f>
        <v>46295</v>
      </c>
      <c r="I747">
        <v>0</v>
      </c>
      <c r="J747" s="1">
        <v>10139653</v>
      </c>
      <c r="K747">
        <v>0</v>
      </c>
    </row>
    <row r="748" spans="1:11" x14ac:dyDescent="0.25">
      <c r="A748" t="s">
        <v>326</v>
      </c>
      <c r="B748" t="s">
        <v>609</v>
      </c>
      <c r="C748" t="s">
        <v>866</v>
      </c>
      <c r="D748" t="s">
        <v>11</v>
      </c>
      <c r="E748">
        <v>30</v>
      </c>
      <c r="F748" s="2">
        <f>DATE(2026,IF(Tabla1[[#This Row],[Mes de Fecha]]="Septiembre",9,10),Tabla1[[#This Row],[Día de Fecha]])</f>
        <v>46295</v>
      </c>
      <c r="G748">
        <v>1000130937</v>
      </c>
      <c r="H748" t="s">
        <v>478</v>
      </c>
      <c r="I748">
        <v>-1</v>
      </c>
      <c r="J748">
        <v>0</v>
      </c>
      <c r="K748" s="1">
        <v>-46177</v>
      </c>
    </row>
    <row r="749" spans="1:11" x14ac:dyDescent="0.25">
      <c r="A749" t="s">
        <v>326</v>
      </c>
      <c r="B749" t="s">
        <v>609</v>
      </c>
      <c r="C749" t="s">
        <v>866</v>
      </c>
      <c r="D749" t="s">
        <v>11</v>
      </c>
      <c r="E749">
        <v>30</v>
      </c>
      <c r="F749" s="2">
        <f>DATE(2026,IF(Tabla1[[#This Row],[Mes de Fecha]]="Septiembre",9,10),Tabla1[[#This Row],[Día de Fecha]])</f>
        <v>46295</v>
      </c>
      <c r="G749">
        <v>1047439766</v>
      </c>
      <c r="H749" t="s">
        <v>474</v>
      </c>
      <c r="I749">
        <v>113</v>
      </c>
      <c r="J749">
        <v>0</v>
      </c>
      <c r="K749" s="1">
        <v>6101348</v>
      </c>
    </row>
    <row r="750" spans="1:11" x14ac:dyDescent="0.25">
      <c r="A750" t="s">
        <v>326</v>
      </c>
      <c r="B750" t="s">
        <v>609</v>
      </c>
      <c r="C750" t="s">
        <v>866</v>
      </c>
      <c r="D750" t="s">
        <v>11</v>
      </c>
      <c r="E750">
        <v>30</v>
      </c>
      <c r="F750" s="2">
        <f>DATE(2026,IF(Tabla1[[#This Row],[Mes de Fecha]]="Septiembre",9,10),Tabla1[[#This Row],[Día de Fecha]])</f>
        <v>46295</v>
      </c>
      <c r="G750">
        <v>1124030949</v>
      </c>
      <c r="H750" t="s">
        <v>610</v>
      </c>
      <c r="I750">
        <v>78</v>
      </c>
      <c r="J750">
        <v>0</v>
      </c>
      <c r="K750" s="1">
        <v>4084543</v>
      </c>
    </row>
    <row r="751" spans="1:11" x14ac:dyDescent="0.25">
      <c r="A751" t="s">
        <v>326</v>
      </c>
      <c r="B751" t="s">
        <v>609</v>
      </c>
      <c r="C751" t="s">
        <v>866</v>
      </c>
      <c r="D751" t="s">
        <v>14</v>
      </c>
      <c r="E751">
        <v>1</v>
      </c>
      <c r="F751" s="2">
        <f>DATE(2026,IF(Tabla1[[#This Row],[Mes de Fecha]]="Septiembre",9,10),Tabla1[[#This Row],[Día de Fecha]])</f>
        <v>46296</v>
      </c>
      <c r="I751">
        <v>0</v>
      </c>
      <c r="J751" s="1">
        <v>15705019</v>
      </c>
      <c r="K751">
        <v>0</v>
      </c>
    </row>
    <row r="752" spans="1:11" x14ac:dyDescent="0.25">
      <c r="A752" t="s">
        <v>326</v>
      </c>
      <c r="B752" t="s">
        <v>609</v>
      </c>
      <c r="C752" t="s">
        <v>866</v>
      </c>
      <c r="D752" t="s">
        <v>14</v>
      </c>
      <c r="E752">
        <v>1</v>
      </c>
      <c r="F752" s="2">
        <f>DATE(2026,IF(Tabla1[[#This Row],[Mes de Fecha]]="Septiembre",9,10),Tabla1[[#This Row],[Día de Fecha]])</f>
        <v>46296</v>
      </c>
      <c r="G752">
        <v>1000130937</v>
      </c>
      <c r="H752" t="s">
        <v>478</v>
      </c>
      <c r="I752">
        <v>-1</v>
      </c>
      <c r="J752">
        <v>0</v>
      </c>
      <c r="K752" s="1">
        <v>-41975</v>
      </c>
    </row>
    <row r="753" spans="1:11" x14ac:dyDescent="0.25">
      <c r="A753" t="s">
        <v>326</v>
      </c>
      <c r="B753" t="s">
        <v>609</v>
      </c>
      <c r="C753" t="s">
        <v>866</v>
      </c>
      <c r="D753" t="s">
        <v>14</v>
      </c>
      <c r="E753">
        <v>1</v>
      </c>
      <c r="F753" s="2">
        <f>DATE(2026,IF(Tabla1[[#This Row],[Mes de Fecha]]="Septiembre",9,10),Tabla1[[#This Row],[Día de Fecha]])</f>
        <v>46296</v>
      </c>
      <c r="G753">
        <v>1047439766</v>
      </c>
      <c r="H753" t="s">
        <v>474</v>
      </c>
      <c r="I753">
        <v>73</v>
      </c>
      <c r="J753">
        <v>0</v>
      </c>
      <c r="K753" s="1">
        <v>3483322</v>
      </c>
    </row>
    <row r="754" spans="1:11" x14ac:dyDescent="0.25">
      <c r="A754" t="s">
        <v>326</v>
      </c>
      <c r="B754" t="s">
        <v>609</v>
      </c>
      <c r="C754" t="s">
        <v>866</v>
      </c>
      <c r="D754" t="s">
        <v>14</v>
      </c>
      <c r="E754">
        <v>1</v>
      </c>
      <c r="F754" s="2">
        <f>DATE(2026,IF(Tabla1[[#This Row],[Mes de Fecha]]="Septiembre",9,10),Tabla1[[#This Row],[Día de Fecha]])</f>
        <v>46296</v>
      </c>
      <c r="G754">
        <v>1124030949</v>
      </c>
      <c r="H754" t="s">
        <v>610</v>
      </c>
      <c r="I754">
        <v>103</v>
      </c>
      <c r="J754">
        <v>0</v>
      </c>
      <c r="K754" s="1">
        <v>5328323</v>
      </c>
    </row>
    <row r="755" spans="1:11" x14ac:dyDescent="0.25">
      <c r="A755" t="s">
        <v>326</v>
      </c>
      <c r="B755" t="s">
        <v>609</v>
      </c>
      <c r="C755" t="s">
        <v>866</v>
      </c>
      <c r="D755" t="s">
        <v>14</v>
      </c>
      <c r="E755">
        <v>2</v>
      </c>
      <c r="F755" s="2">
        <f>DATE(2026,IF(Tabla1[[#This Row],[Mes de Fecha]]="Septiembre",9,10),Tabla1[[#This Row],[Día de Fecha]])</f>
        <v>46297</v>
      </c>
      <c r="I755">
        <v>0</v>
      </c>
      <c r="J755" s="1">
        <v>19399387</v>
      </c>
      <c r="K755">
        <v>0</v>
      </c>
    </row>
    <row r="756" spans="1:11" x14ac:dyDescent="0.25">
      <c r="A756" t="s">
        <v>326</v>
      </c>
      <c r="B756" t="s">
        <v>609</v>
      </c>
      <c r="C756" t="s">
        <v>866</v>
      </c>
      <c r="D756" t="s">
        <v>14</v>
      </c>
      <c r="E756">
        <v>2</v>
      </c>
      <c r="F756" s="2">
        <f>DATE(2026,IF(Tabla1[[#This Row],[Mes de Fecha]]="Septiembre",9,10),Tabla1[[#This Row],[Día de Fecha]])</f>
        <v>46297</v>
      </c>
      <c r="G756">
        <v>1047439766</v>
      </c>
      <c r="H756" t="s">
        <v>474</v>
      </c>
      <c r="I756">
        <v>70</v>
      </c>
      <c r="J756">
        <v>0</v>
      </c>
      <c r="K756" s="1">
        <v>3353198</v>
      </c>
    </row>
    <row r="757" spans="1:11" x14ac:dyDescent="0.25">
      <c r="A757" t="s">
        <v>326</v>
      </c>
      <c r="B757" t="s">
        <v>609</v>
      </c>
      <c r="C757" t="s">
        <v>866</v>
      </c>
      <c r="D757" t="s">
        <v>14</v>
      </c>
      <c r="E757">
        <v>2</v>
      </c>
      <c r="F757" s="2">
        <f>DATE(2026,IF(Tabla1[[#This Row],[Mes de Fecha]]="Septiembre",9,10),Tabla1[[#This Row],[Día de Fecha]])</f>
        <v>46297</v>
      </c>
      <c r="G757">
        <v>1124030949</v>
      </c>
      <c r="H757" t="s">
        <v>610</v>
      </c>
      <c r="I757">
        <v>74</v>
      </c>
      <c r="J757">
        <v>0</v>
      </c>
      <c r="K757" s="1">
        <v>3436812</v>
      </c>
    </row>
    <row r="758" spans="1:11" x14ac:dyDescent="0.25">
      <c r="A758" t="s">
        <v>326</v>
      </c>
      <c r="B758" t="s">
        <v>609</v>
      </c>
      <c r="C758" t="s">
        <v>866</v>
      </c>
      <c r="D758" t="s">
        <v>14</v>
      </c>
      <c r="E758">
        <v>2</v>
      </c>
      <c r="F758" s="2">
        <f>DATE(2026,IF(Tabla1[[#This Row],[Mes de Fecha]]="Septiembre",9,10),Tabla1[[#This Row],[Día de Fecha]])</f>
        <v>46297</v>
      </c>
      <c r="G758">
        <v>1143370244</v>
      </c>
      <c r="H758" t="s">
        <v>612</v>
      </c>
      <c r="I758">
        <v>56</v>
      </c>
      <c r="J758">
        <v>0</v>
      </c>
      <c r="K758" s="1">
        <v>2534703</v>
      </c>
    </row>
    <row r="759" spans="1:11" x14ac:dyDescent="0.25">
      <c r="A759" t="s">
        <v>326</v>
      </c>
      <c r="B759" t="s">
        <v>609</v>
      </c>
      <c r="C759" t="s">
        <v>866</v>
      </c>
      <c r="D759" t="s">
        <v>14</v>
      </c>
      <c r="E759">
        <v>3</v>
      </c>
      <c r="F759" s="2">
        <f>DATE(2026,IF(Tabla1[[#This Row],[Mes de Fecha]]="Septiembre",9,10),Tabla1[[#This Row],[Día de Fecha]])</f>
        <v>46298</v>
      </c>
      <c r="I759">
        <v>0</v>
      </c>
      <c r="J759" s="1">
        <v>16807305</v>
      </c>
      <c r="K759">
        <v>0</v>
      </c>
    </row>
    <row r="760" spans="1:11" x14ac:dyDescent="0.25">
      <c r="A760" t="s">
        <v>326</v>
      </c>
      <c r="B760" t="s">
        <v>609</v>
      </c>
      <c r="C760" t="s">
        <v>866</v>
      </c>
      <c r="D760" t="s">
        <v>14</v>
      </c>
      <c r="E760">
        <v>3</v>
      </c>
      <c r="F760" s="2">
        <f>DATE(2026,IF(Tabla1[[#This Row],[Mes de Fecha]]="Septiembre",9,10),Tabla1[[#This Row],[Día de Fecha]])</f>
        <v>46298</v>
      </c>
      <c r="G760">
        <v>1047439766</v>
      </c>
      <c r="H760" t="s">
        <v>474</v>
      </c>
      <c r="I760">
        <v>135</v>
      </c>
      <c r="J760">
        <v>0</v>
      </c>
      <c r="K760" s="1">
        <v>6758027</v>
      </c>
    </row>
    <row r="761" spans="1:11" x14ac:dyDescent="0.25">
      <c r="A761" t="s">
        <v>326</v>
      </c>
      <c r="B761" t="s">
        <v>609</v>
      </c>
      <c r="C761" t="s">
        <v>866</v>
      </c>
      <c r="D761" t="s">
        <v>14</v>
      </c>
      <c r="E761">
        <v>3</v>
      </c>
      <c r="F761" s="2">
        <f>DATE(2026,IF(Tabla1[[#This Row],[Mes de Fecha]]="Septiembre",9,10),Tabla1[[#This Row],[Día de Fecha]])</f>
        <v>46298</v>
      </c>
      <c r="G761">
        <v>1124030949</v>
      </c>
      <c r="H761" t="s">
        <v>610</v>
      </c>
      <c r="I761">
        <v>121</v>
      </c>
      <c r="J761">
        <v>0</v>
      </c>
      <c r="K761" s="1">
        <v>5726876</v>
      </c>
    </row>
    <row r="762" spans="1:11" x14ac:dyDescent="0.25">
      <c r="A762" t="s">
        <v>326</v>
      </c>
      <c r="B762" t="s">
        <v>609</v>
      </c>
      <c r="C762" t="s">
        <v>866</v>
      </c>
      <c r="D762" t="s">
        <v>14</v>
      </c>
      <c r="E762">
        <v>3</v>
      </c>
      <c r="F762" s="2">
        <f>DATE(2026,IF(Tabla1[[#This Row],[Mes de Fecha]]="Septiembre",9,10),Tabla1[[#This Row],[Día de Fecha]])</f>
        <v>46298</v>
      </c>
      <c r="G762">
        <v>1143370244</v>
      </c>
      <c r="H762" t="s">
        <v>612</v>
      </c>
      <c r="I762">
        <v>108</v>
      </c>
      <c r="J762">
        <v>0</v>
      </c>
      <c r="K762" s="1">
        <v>4872540</v>
      </c>
    </row>
    <row r="763" spans="1:11" x14ac:dyDescent="0.25">
      <c r="A763" t="s">
        <v>326</v>
      </c>
      <c r="B763" t="s">
        <v>609</v>
      </c>
      <c r="C763" t="s">
        <v>866</v>
      </c>
      <c r="D763" t="s">
        <v>14</v>
      </c>
      <c r="E763">
        <v>4</v>
      </c>
      <c r="F763" s="2">
        <f>DATE(2026,IF(Tabla1[[#This Row],[Mes de Fecha]]="Septiembre",9,10),Tabla1[[#This Row],[Día de Fecha]])</f>
        <v>46299</v>
      </c>
      <c r="I763">
        <v>0</v>
      </c>
      <c r="J763" s="1">
        <v>10724756</v>
      </c>
      <c r="K763">
        <v>0</v>
      </c>
    </row>
    <row r="764" spans="1:11" x14ac:dyDescent="0.25">
      <c r="A764" t="s">
        <v>326</v>
      </c>
      <c r="B764" t="s">
        <v>609</v>
      </c>
      <c r="C764" t="s">
        <v>866</v>
      </c>
      <c r="D764" t="s">
        <v>14</v>
      </c>
      <c r="E764">
        <v>4</v>
      </c>
      <c r="F764" s="2">
        <f>DATE(2026,IF(Tabla1[[#This Row],[Mes de Fecha]]="Septiembre",9,10),Tabla1[[#This Row],[Día de Fecha]])</f>
        <v>46299</v>
      </c>
      <c r="G764">
        <v>1047439766</v>
      </c>
      <c r="H764" t="s">
        <v>474</v>
      </c>
      <c r="I764">
        <v>65</v>
      </c>
      <c r="J764">
        <v>0</v>
      </c>
      <c r="K764" s="1">
        <v>3105883</v>
      </c>
    </row>
    <row r="765" spans="1:11" x14ac:dyDescent="0.25">
      <c r="A765" t="s">
        <v>326</v>
      </c>
      <c r="B765" t="s">
        <v>609</v>
      </c>
      <c r="C765" t="s">
        <v>866</v>
      </c>
      <c r="D765" t="s">
        <v>14</v>
      </c>
      <c r="E765">
        <v>4</v>
      </c>
      <c r="F765" s="2">
        <f>DATE(2026,IF(Tabla1[[#This Row],[Mes de Fecha]]="Septiembre",9,10),Tabla1[[#This Row],[Día de Fecha]])</f>
        <v>46299</v>
      </c>
      <c r="G765">
        <v>1124030949</v>
      </c>
      <c r="H765" t="s">
        <v>610</v>
      </c>
      <c r="I765">
        <v>48</v>
      </c>
      <c r="J765">
        <v>0</v>
      </c>
      <c r="K765" s="1">
        <v>2510170</v>
      </c>
    </row>
    <row r="766" spans="1:11" x14ac:dyDescent="0.25">
      <c r="A766" t="s">
        <v>326</v>
      </c>
      <c r="B766" t="s">
        <v>609</v>
      </c>
      <c r="C766" t="s">
        <v>866</v>
      </c>
      <c r="D766" t="s">
        <v>14</v>
      </c>
      <c r="E766">
        <v>4</v>
      </c>
      <c r="F766" s="2">
        <f>DATE(2026,IF(Tabla1[[#This Row],[Mes de Fecha]]="Septiembre",9,10),Tabla1[[#This Row],[Día de Fecha]])</f>
        <v>46299</v>
      </c>
      <c r="G766">
        <v>1143370244</v>
      </c>
      <c r="H766" t="s">
        <v>612</v>
      </c>
      <c r="I766">
        <v>64</v>
      </c>
      <c r="J766">
        <v>0</v>
      </c>
      <c r="K766" s="1">
        <v>3416976</v>
      </c>
    </row>
    <row r="767" spans="1:11" x14ac:dyDescent="0.25">
      <c r="A767" t="s">
        <v>326</v>
      </c>
      <c r="B767" t="s">
        <v>609</v>
      </c>
      <c r="C767" t="s">
        <v>866</v>
      </c>
      <c r="D767" t="s">
        <v>14</v>
      </c>
      <c r="E767">
        <v>5</v>
      </c>
      <c r="F767" s="2">
        <f>DATE(2026,IF(Tabla1[[#This Row],[Mes de Fecha]]="Septiembre",9,10),Tabla1[[#This Row],[Día de Fecha]])</f>
        <v>46300</v>
      </c>
      <c r="I767">
        <v>0</v>
      </c>
      <c r="J767" s="1">
        <v>13651322</v>
      </c>
      <c r="K767">
        <v>0</v>
      </c>
    </row>
    <row r="768" spans="1:11" x14ac:dyDescent="0.25">
      <c r="A768" t="s">
        <v>326</v>
      </c>
      <c r="B768" t="s">
        <v>609</v>
      </c>
      <c r="C768" t="s">
        <v>866</v>
      </c>
      <c r="D768" t="s">
        <v>14</v>
      </c>
      <c r="E768">
        <v>5</v>
      </c>
      <c r="F768" s="2">
        <f>DATE(2026,IF(Tabla1[[#This Row],[Mes de Fecha]]="Septiembre",9,10),Tabla1[[#This Row],[Día de Fecha]])</f>
        <v>46300</v>
      </c>
      <c r="G768">
        <v>45691762</v>
      </c>
      <c r="H768" t="s">
        <v>467</v>
      </c>
      <c r="I768">
        <v>-1</v>
      </c>
      <c r="J768">
        <v>0</v>
      </c>
      <c r="K768" s="1">
        <v>-46177</v>
      </c>
    </row>
    <row r="769" spans="1:11" x14ac:dyDescent="0.25">
      <c r="A769" t="s">
        <v>326</v>
      </c>
      <c r="B769" t="s">
        <v>609</v>
      </c>
      <c r="C769" t="s">
        <v>866</v>
      </c>
      <c r="D769" t="s">
        <v>14</v>
      </c>
      <c r="E769">
        <v>5</v>
      </c>
      <c r="F769" s="2">
        <f>DATE(2026,IF(Tabla1[[#This Row],[Mes de Fecha]]="Septiembre",9,10),Tabla1[[#This Row],[Día de Fecha]])</f>
        <v>46300</v>
      </c>
      <c r="G769">
        <v>1047439766</v>
      </c>
      <c r="H769" t="s">
        <v>474</v>
      </c>
      <c r="I769">
        <v>56</v>
      </c>
      <c r="J769">
        <v>0</v>
      </c>
      <c r="K769" s="1">
        <v>2778146</v>
      </c>
    </row>
    <row r="770" spans="1:11" x14ac:dyDescent="0.25">
      <c r="A770" t="s">
        <v>326</v>
      </c>
      <c r="B770" t="s">
        <v>609</v>
      </c>
      <c r="C770" t="s">
        <v>866</v>
      </c>
      <c r="D770" t="s">
        <v>14</v>
      </c>
      <c r="E770">
        <v>5</v>
      </c>
      <c r="F770" s="2">
        <f>DATE(2026,IF(Tabla1[[#This Row],[Mes de Fecha]]="Septiembre",9,10),Tabla1[[#This Row],[Día de Fecha]])</f>
        <v>46300</v>
      </c>
      <c r="G770">
        <v>1124030949</v>
      </c>
      <c r="H770" t="s">
        <v>610</v>
      </c>
      <c r="I770">
        <v>58</v>
      </c>
      <c r="J770">
        <v>0</v>
      </c>
      <c r="K770" s="1">
        <v>2679959</v>
      </c>
    </row>
    <row r="771" spans="1:11" x14ac:dyDescent="0.25">
      <c r="A771" t="s">
        <v>326</v>
      </c>
      <c r="B771" t="s">
        <v>609</v>
      </c>
      <c r="C771" t="s">
        <v>866</v>
      </c>
      <c r="D771" t="s">
        <v>14</v>
      </c>
      <c r="E771">
        <v>5</v>
      </c>
      <c r="F771" s="2">
        <f>DATE(2026,IF(Tabla1[[#This Row],[Mes de Fecha]]="Septiembre",9,10),Tabla1[[#This Row],[Día de Fecha]])</f>
        <v>46300</v>
      </c>
      <c r="G771">
        <v>1143370244</v>
      </c>
      <c r="H771" t="s">
        <v>612</v>
      </c>
      <c r="I771">
        <v>72</v>
      </c>
      <c r="J771">
        <v>0</v>
      </c>
      <c r="K771" s="1">
        <v>3882775</v>
      </c>
    </row>
    <row r="772" spans="1:11" x14ac:dyDescent="0.25">
      <c r="A772" t="s">
        <v>326</v>
      </c>
      <c r="B772" t="s">
        <v>609</v>
      </c>
      <c r="C772" t="s">
        <v>866</v>
      </c>
      <c r="D772" t="s">
        <v>14</v>
      </c>
      <c r="E772">
        <v>6</v>
      </c>
      <c r="F772" s="2">
        <f>DATE(2026,IF(Tabla1[[#This Row],[Mes de Fecha]]="Septiembre",9,10),Tabla1[[#This Row],[Día de Fecha]])</f>
        <v>46301</v>
      </c>
      <c r="I772">
        <v>0</v>
      </c>
      <c r="J772" s="1">
        <v>6710088</v>
      </c>
      <c r="K772">
        <v>0</v>
      </c>
    </row>
    <row r="773" spans="1:11" x14ac:dyDescent="0.25">
      <c r="A773" t="s">
        <v>326</v>
      </c>
      <c r="B773" t="s">
        <v>609</v>
      </c>
      <c r="C773" t="s">
        <v>866</v>
      </c>
      <c r="D773" t="s">
        <v>14</v>
      </c>
      <c r="E773">
        <v>6</v>
      </c>
      <c r="F773" s="2">
        <f>DATE(2026,IF(Tabla1[[#This Row],[Mes de Fecha]]="Septiembre",9,10),Tabla1[[#This Row],[Día de Fecha]])</f>
        <v>46301</v>
      </c>
      <c r="G773">
        <v>1047439766</v>
      </c>
      <c r="H773" t="s">
        <v>474</v>
      </c>
      <c r="I773">
        <v>19</v>
      </c>
      <c r="J773">
        <v>0</v>
      </c>
      <c r="K773" s="1">
        <v>852059</v>
      </c>
    </row>
    <row r="774" spans="1:11" x14ac:dyDescent="0.25">
      <c r="A774" t="s">
        <v>326</v>
      </c>
      <c r="B774" t="s">
        <v>609</v>
      </c>
      <c r="C774" t="s">
        <v>866</v>
      </c>
      <c r="D774" t="s">
        <v>14</v>
      </c>
      <c r="E774">
        <v>6</v>
      </c>
      <c r="F774" s="2">
        <f>DATE(2026,IF(Tabla1[[#This Row],[Mes de Fecha]]="Septiembre",9,10),Tabla1[[#This Row],[Día de Fecha]])</f>
        <v>46301</v>
      </c>
      <c r="G774">
        <v>1124030949</v>
      </c>
      <c r="H774" t="s">
        <v>610</v>
      </c>
      <c r="I774">
        <v>11</v>
      </c>
      <c r="J774">
        <v>0</v>
      </c>
      <c r="K774" s="1">
        <v>629791</v>
      </c>
    </row>
    <row r="775" spans="1:11" x14ac:dyDescent="0.25">
      <c r="A775" t="s">
        <v>326</v>
      </c>
      <c r="B775" t="s">
        <v>609</v>
      </c>
      <c r="C775" t="s">
        <v>866</v>
      </c>
      <c r="D775" t="s">
        <v>14</v>
      </c>
      <c r="E775">
        <v>6</v>
      </c>
      <c r="F775" s="2">
        <f>DATE(2026,IF(Tabla1[[#This Row],[Mes de Fecha]]="Septiembre",9,10),Tabla1[[#This Row],[Día de Fecha]])</f>
        <v>46301</v>
      </c>
      <c r="G775">
        <v>1143370244</v>
      </c>
      <c r="H775" t="s">
        <v>612</v>
      </c>
      <c r="I775">
        <v>35</v>
      </c>
      <c r="J775">
        <v>0</v>
      </c>
      <c r="K775" s="1">
        <v>1376050</v>
      </c>
    </row>
    <row r="776" spans="1:11" x14ac:dyDescent="0.25">
      <c r="A776" t="s">
        <v>326</v>
      </c>
      <c r="B776" t="s">
        <v>609</v>
      </c>
      <c r="C776" t="s">
        <v>866</v>
      </c>
      <c r="D776" t="s">
        <v>14</v>
      </c>
      <c r="E776">
        <v>7</v>
      </c>
      <c r="F776" s="2">
        <f>DATE(2026,IF(Tabla1[[#This Row],[Mes de Fecha]]="Septiembre",9,10),Tabla1[[#This Row],[Día de Fecha]])</f>
        <v>46302</v>
      </c>
      <c r="I776">
        <v>0</v>
      </c>
      <c r="J776" s="1">
        <v>6657369</v>
      </c>
      <c r="K776">
        <v>0</v>
      </c>
    </row>
    <row r="777" spans="1:11" x14ac:dyDescent="0.25">
      <c r="A777" t="s">
        <v>326</v>
      </c>
      <c r="B777" t="s">
        <v>609</v>
      </c>
      <c r="C777" t="s">
        <v>866</v>
      </c>
      <c r="D777" t="s">
        <v>14</v>
      </c>
      <c r="E777">
        <v>7</v>
      </c>
      <c r="F777" s="2">
        <f>DATE(2026,IF(Tabla1[[#This Row],[Mes de Fecha]]="Septiembre",9,10),Tabla1[[#This Row],[Día de Fecha]])</f>
        <v>46302</v>
      </c>
      <c r="G777">
        <v>3811650</v>
      </c>
      <c r="H777" t="s">
        <v>466</v>
      </c>
      <c r="I777">
        <v>-2</v>
      </c>
      <c r="J777">
        <v>0</v>
      </c>
      <c r="K777" s="1">
        <v>-50252</v>
      </c>
    </row>
    <row r="778" spans="1:11" x14ac:dyDescent="0.25">
      <c r="A778" t="s">
        <v>326</v>
      </c>
      <c r="B778" t="s">
        <v>609</v>
      </c>
      <c r="C778" t="s">
        <v>866</v>
      </c>
      <c r="D778" t="s">
        <v>14</v>
      </c>
      <c r="E778">
        <v>7</v>
      </c>
      <c r="F778" s="2">
        <f>DATE(2026,IF(Tabla1[[#This Row],[Mes de Fecha]]="Septiembre",9,10),Tabla1[[#This Row],[Día de Fecha]])</f>
        <v>46302</v>
      </c>
      <c r="G778">
        <v>1047439766</v>
      </c>
      <c r="H778" t="s">
        <v>474</v>
      </c>
      <c r="I778">
        <v>22</v>
      </c>
      <c r="J778">
        <v>0</v>
      </c>
      <c r="K778" s="1">
        <v>855799</v>
      </c>
    </row>
    <row r="779" spans="1:11" x14ac:dyDescent="0.25">
      <c r="A779" t="s">
        <v>326</v>
      </c>
      <c r="B779" t="s">
        <v>609</v>
      </c>
      <c r="C779" t="s">
        <v>866</v>
      </c>
      <c r="D779" t="s">
        <v>14</v>
      </c>
      <c r="E779">
        <v>7</v>
      </c>
      <c r="F779" s="2">
        <f>DATE(2026,IF(Tabla1[[#This Row],[Mes de Fecha]]="Septiembre",9,10),Tabla1[[#This Row],[Día de Fecha]])</f>
        <v>46302</v>
      </c>
      <c r="G779">
        <v>1124030949</v>
      </c>
      <c r="H779" t="s">
        <v>610</v>
      </c>
      <c r="I779">
        <v>30</v>
      </c>
      <c r="J779">
        <v>0</v>
      </c>
      <c r="K779" s="1">
        <v>1389412</v>
      </c>
    </row>
    <row r="780" spans="1:11" x14ac:dyDescent="0.25">
      <c r="A780" t="s">
        <v>326</v>
      </c>
      <c r="B780" t="s">
        <v>609</v>
      </c>
      <c r="C780" t="s">
        <v>866</v>
      </c>
      <c r="D780" t="s">
        <v>14</v>
      </c>
      <c r="E780">
        <v>7</v>
      </c>
      <c r="F780" s="2">
        <f>DATE(2026,IF(Tabla1[[#This Row],[Mes de Fecha]]="Septiembre",9,10),Tabla1[[#This Row],[Día de Fecha]])</f>
        <v>46302</v>
      </c>
      <c r="G780">
        <v>1143370244</v>
      </c>
      <c r="H780" t="s">
        <v>612</v>
      </c>
      <c r="I780">
        <v>51</v>
      </c>
      <c r="J780">
        <v>0</v>
      </c>
      <c r="K780" s="1">
        <v>2232440</v>
      </c>
    </row>
    <row r="781" spans="1:11" x14ac:dyDescent="0.25">
      <c r="A781" t="s">
        <v>326</v>
      </c>
      <c r="B781" t="s">
        <v>654</v>
      </c>
      <c r="C781" t="s">
        <v>866</v>
      </c>
      <c r="D781" t="s">
        <v>11</v>
      </c>
      <c r="E781">
        <v>23</v>
      </c>
      <c r="F781" s="2">
        <f>DATE(2026,IF(Tabla1[[#This Row],[Mes de Fecha]]="Septiembre",9,10),Tabla1[[#This Row],[Día de Fecha]])</f>
        <v>46288</v>
      </c>
      <c r="I781">
        <v>0</v>
      </c>
      <c r="J781" s="1">
        <v>11200136</v>
      </c>
      <c r="K781">
        <v>0</v>
      </c>
    </row>
    <row r="782" spans="1:11" x14ac:dyDescent="0.25">
      <c r="A782" t="s">
        <v>326</v>
      </c>
      <c r="B782" t="s">
        <v>654</v>
      </c>
      <c r="C782" t="s">
        <v>866</v>
      </c>
      <c r="D782" t="s">
        <v>11</v>
      </c>
      <c r="E782">
        <v>23</v>
      </c>
      <c r="F782" s="2">
        <f>DATE(2026,IF(Tabla1[[#This Row],[Mes de Fecha]]="Septiembre",9,10),Tabla1[[#This Row],[Día de Fecha]])</f>
        <v>46288</v>
      </c>
      <c r="G782">
        <v>1003173576</v>
      </c>
      <c r="H782" t="s">
        <v>490</v>
      </c>
      <c r="I782">
        <v>120</v>
      </c>
      <c r="J782">
        <v>0</v>
      </c>
      <c r="K782" s="1">
        <v>6372990</v>
      </c>
    </row>
    <row r="783" spans="1:11" x14ac:dyDescent="0.25">
      <c r="A783" t="s">
        <v>326</v>
      </c>
      <c r="B783" t="s">
        <v>654</v>
      </c>
      <c r="C783" t="s">
        <v>866</v>
      </c>
      <c r="D783" t="s">
        <v>11</v>
      </c>
      <c r="E783">
        <v>23</v>
      </c>
      <c r="F783" s="2">
        <f>DATE(2026,IF(Tabla1[[#This Row],[Mes de Fecha]]="Septiembre",9,10),Tabla1[[#This Row],[Día de Fecha]])</f>
        <v>46288</v>
      </c>
      <c r="G783">
        <v>1007173439</v>
      </c>
      <c r="H783" t="s">
        <v>485</v>
      </c>
      <c r="I783">
        <v>79</v>
      </c>
      <c r="J783">
        <v>0</v>
      </c>
      <c r="K783" s="1">
        <v>4454458</v>
      </c>
    </row>
    <row r="784" spans="1:11" x14ac:dyDescent="0.25">
      <c r="A784" t="s">
        <v>326</v>
      </c>
      <c r="B784" t="s">
        <v>654</v>
      </c>
      <c r="C784" t="s">
        <v>866</v>
      </c>
      <c r="D784" t="s">
        <v>11</v>
      </c>
      <c r="E784">
        <v>23</v>
      </c>
      <c r="F784" s="2">
        <f>DATE(2026,IF(Tabla1[[#This Row],[Mes de Fecha]]="Septiembre",9,10),Tabla1[[#This Row],[Día de Fecha]])</f>
        <v>46288</v>
      </c>
      <c r="G784">
        <v>1044611604</v>
      </c>
      <c r="H784" t="s">
        <v>655</v>
      </c>
      <c r="I784">
        <v>16</v>
      </c>
      <c r="J784">
        <v>0</v>
      </c>
      <c r="K784" s="1">
        <v>894286</v>
      </c>
    </row>
    <row r="785" spans="1:11" x14ac:dyDescent="0.25">
      <c r="A785" t="s">
        <v>326</v>
      </c>
      <c r="B785" t="s">
        <v>654</v>
      </c>
      <c r="C785" t="s">
        <v>866</v>
      </c>
      <c r="D785" t="s">
        <v>11</v>
      </c>
      <c r="E785">
        <v>23</v>
      </c>
      <c r="F785" s="2">
        <f>DATE(2026,IF(Tabla1[[#This Row],[Mes de Fecha]]="Septiembre",9,10),Tabla1[[#This Row],[Día de Fecha]])</f>
        <v>46288</v>
      </c>
      <c r="G785">
        <v>1045753937</v>
      </c>
      <c r="H785" t="s">
        <v>656</v>
      </c>
      <c r="I785">
        <v>40</v>
      </c>
      <c r="J785">
        <v>0</v>
      </c>
      <c r="K785" s="1">
        <v>1981471</v>
      </c>
    </row>
    <row r="786" spans="1:11" x14ac:dyDescent="0.25">
      <c r="A786" t="s">
        <v>326</v>
      </c>
      <c r="B786" t="s">
        <v>654</v>
      </c>
      <c r="C786" t="s">
        <v>866</v>
      </c>
      <c r="D786" t="s">
        <v>11</v>
      </c>
      <c r="E786">
        <v>23</v>
      </c>
      <c r="F786" s="2">
        <f>DATE(2026,IF(Tabla1[[#This Row],[Mes de Fecha]]="Septiembre",9,10),Tabla1[[#This Row],[Día de Fecha]])</f>
        <v>46288</v>
      </c>
      <c r="G786">
        <v>1098200569</v>
      </c>
      <c r="H786" t="s">
        <v>491</v>
      </c>
      <c r="I786">
        <v>-1</v>
      </c>
      <c r="J786">
        <v>0</v>
      </c>
      <c r="K786" s="1">
        <v>-125966</v>
      </c>
    </row>
    <row r="787" spans="1:11" x14ac:dyDescent="0.25">
      <c r="A787" t="s">
        <v>326</v>
      </c>
      <c r="B787" t="s">
        <v>654</v>
      </c>
      <c r="C787" t="s">
        <v>866</v>
      </c>
      <c r="D787" t="s">
        <v>11</v>
      </c>
      <c r="E787">
        <v>24</v>
      </c>
      <c r="F787" s="2">
        <f>DATE(2026,IF(Tabla1[[#This Row],[Mes de Fecha]]="Septiembre",9,10),Tabla1[[#This Row],[Día de Fecha]])</f>
        <v>46289</v>
      </c>
      <c r="I787">
        <v>0</v>
      </c>
      <c r="J787" s="1">
        <v>17109465</v>
      </c>
      <c r="K787">
        <v>0</v>
      </c>
    </row>
    <row r="788" spans="1:11" x14ac:dyDescent="0.25">
      <c r="A788" t="s">
        <v>326</v>
      </c>
      <c r="B788" t="s">
        <v>654</v>
      </c>
      <c r="C788" t="s">
        <v>866</v>
      </c>
      <c r="D788" t="s">
        <v>11</v>
      </c>
      <c r="E788">
        <v>24</v>
      </c>
      <c r="F788" s="2">
        <f>DATE(2026,IF(Tabla1[[#This Row],[Mes de Fecha]]="Septiembre",9,10),Tabla1[[#This Row],[Día de Fecha]])</f>
        <v>46289</v>
      </c>
      <c r="G788">
        <v>1003173576</v>
      </c>
      <c r="H788" t="s">
        <v>490</v>
      </c>
      <c r="I788">
        <v>96</v>
      </c>
      <c r="J788">
        <v>0</v>
      </c>
      <c r="K788" s="1">
        <v>5262443</v>
      </c>
    </row>
    <row r="789" spans="1:11" x14ac:dyDescent="0.25">
      <c r="A789" t="s">
        <v>326</v>
      </c>
      <c r="B789" t="s">
        <v>654</v>
      </c>
      <c r="C789" t="s">
        <v>866</v>
      </c>
      <c r="D789" t="s">
        <v>11</v>
      </c>
      <c r="E789">
        <v>24</v>
      </c>
      <c r="F789" s="2">
        <f>DATE(2026,IF(Tabla1[[#This Row],[Mes de Fecha]]="Septiembre",9,10),Tabla1[[#This Row],[Día de Fecha]])</f>
        <v>46289</v>
      </c>
      <c r="G789">
        <v>1007173439</v>
      </c>
      <c r="H789" t="s">
        <v>485</v>
      </c>
      <c r="I789">
        <v>66</v>
      </c>
      <c r="J789">
        <v>0</v>
      </c>
      <c r="K789" s="1">
        <v>3734503</v>
      </c>
    </row>
    <row r="790" spans="1:11" x14ac:dyDescent="0.25">
      <c r="A790" t="s">
        <v>326</v>
      </c>
      <c r="B790" t="s">
        <v>654</v>
      </c>
      <c r="C790" t="s">
        <v>866</v>
      </c>
      <c r="D790" t="s">
        <v>11</v>
      </c>
      <c r="E790">
        <v>24</v>
      </c>
      <c r="F790" s="2">
        <f>DATE(2026,IF(Tabla1[[#This Row],[Mes de Fecha]]="Septiembre",9,10),Tabla1[[#This Row],[Día de Fecha]])</f>
        <v>46289</v>
      </c>
      <c r="G790">
        <v>1044611604</v>
      </c>
      <c r="H790" t="s">
        <v>655</v>
      </c>
      <c r="I790">
        <v>45</v>
      </c>
      <c r="J790">
        <v>0</v>
      </c>
      <c r="K790" s="1">
        <v>2206096</v>
      </c>
    </row>
    <row r="791" spans="1:11" x14ac:dyDescent="0.25">
      <c r="A791" t="s">
        <v>326</v>
      </c>
      <c r="B791" t="s">
        <v>654</v>
      </c>
      <c r="C791" t="s">
        <v>866</v>
      </c>
      <c r="D791" t="s">
        <v>11</v>
      </c>
      <c r="E791">
        <v>24</v>
      </c>
      <c r="F791" s="2">
        <f>DATE(2026,IF(Tabla1[[#This Row],[Mes de Fecha]]="Septiembre",9,10),Tabla1[[#This Row],[Día de Fecha]])</f>
        <v>46289</v>
      </c>
      <c r="G791">
        <v>1045753937</v>
      </c>
      <c r="H791" t="s">
        <v>656</v>
      </c>
      <c r="I791">
        <v>48</v>
      </c>
      <c r="J791">
        <v>0</v>
      </c>
      <c r="K791" s="1">
        <v>2493617</v>
      </c>
    </row>
    <row r="792" spans="1:11" x14ac:dyDescent="0.25">
      <c r="A792" t="s">
        <v>326</v>
      </c>
      <c r="B792" t="s">
        <v>654</v>
      </c>
      <c r="C792" t="s">
        <v>866</v>
      </c>
      <c r="D792" t="s">
        <v>11</v>
      </c>
      <c r="E792">
        <v>25</v>
      </c>
      <c r="F792" s="2">
        <f>DATE(2026,IF(Tabla1[[#This Row],[Mes de Fecha]]="Septiembre",9,10),Tabla1[[#This Row],[Día de Fecha]])</f>
        <v>46290</v>
      </c>
      <c r="I792">
        <v>0</v>
      </c>
      <c r="J792" s="1">
        <v>17071588</v>
      </c>
      <c r="K792">
        <v>0</v>
      </c>
    </row>
    <row r="793" spans="1:11" x14ac:dyDescent="0.25">
      <c r="A793" t="s">
        <v>326</v>
      </c>
      <c r="B793" t="s">
        <v>654</v>
      </c>
      <c r="C793" t="s">
        <v>866</v>
      </c>
      <c r="D793" t="s">
        <v>11</v>
      </c>
      <c r="E793">
        <v>25</v>
      </c>
      <c r="F793" s="2">
        <f>DATE(2026,IF(Tabla1[[#This Row],[Mes de Fecha]]="Septiembre",9,10),Tabla1[[#This Row],[Día de Fecha]])</f>
        <v>46290</v>
      </c>
      <c r="G793">
        <v>1003173576</v>
      </c>
      <c r="H793" t="s">
        <v>490</v>
      </c>
      <c r="I793">
        <v>90</v>
      </c>
      <c r="J793">
        <v>0</v>
      </c>
      <c r="K793" s="1">
        <v>4176766</v>
      </c>
    </row>
    <row r="794" spans="1:11" x14ac:dyDescent="0.25">
      <c r="A794" t="s">
        <v>326</v>
      </c>
      <c r="B794" t="s">
        <v>654</v>
      </c>
      <c r="C794" t="s">
        <v>866</v>
      </c>
      <c r="D794" t="s">
        <v>11</v>
      </c>
      <c r="E794">
        <v>25</v>
      </c>
      <c r="F794" s="2">
        <f>DATE(2026,IF(Tabla1[[#This Row],[Mes de Fecha]]="Septiembre",9,10),Tabla1[[#This Row],[Día de Fecha]])</f>
        <v>46290</v>
      </c>
      <c r="G794">
        <v>1007173439</v>
      </c>
      <c r="H794" t="s">
        <v>485</v>
      </c>
      <c r="I794">
        <v>71</v>
      </c>
      <c r="J794">
        <v>0</v>
      </c>
      <c r="K794" s="1">
        <v>3784498</v>
      </c>
    </row>
    <row r="795" spans="1:11" x14ac:dyDescent="0.25">
      <c r="A795" t="s">
        <v>326</v>
      </c>
      <c r="B795" t="s">
        <v>654</v>
      </c>
      <c r="C795" t="s">
        <v>866</v>
      </c>
      <c r="D795" t="s">
        <v>11</v>
      </c>
      <c r="E795">
        <v>25</v>
      </c>
      <c r="F795" s="2">
        <f>DATE(2026,IF(Tabla1[[#This Row],[Mes de Fecha]]="Septiembre",9,10),Tabla1[[#This Row],[Día de Fecha]])</f>
        <v>46290</v>
      </c>
      <c r="G795">
        <v>1044611604</v>
      </c>
      <c r="H795" t="s">
        <v>655</v>
      </c>
      <c r="I795">
        <v>70</v>
      </c>
      <c r="J795">
        <v>0</v>
      </c>
      <c r="K795" s="1">
        <v>4072648</v>
      </c>
    </row>
    <row r="796" spans="1:11" x14ac:dyDescent="0.25">
      <c r="A796" t="s">
        <v>326</v>
      </c>
      <c r="B796" t="s">
        <v>654</v>
      </c>
      <c r="C796" t="s">
        <v>866</v>
      </c>
      <c r="D796" t="s">
        <v>11</v>
      </c>
      <c r="E796">
        <v>25</v>
      </c>
      <c r="F796" s="2">
        <f>DATE(2026,IF(Tabla1[[#This Row],[Mes de Fecha]]="Septiembre",9,10),Tabla1[[#This Row],[Día de Fecha]])</f>
        <v>46290</v>
      </c>
      <c r="G796">
        <v>1045753937</v>
      </c>
      <c r="H796" t="s">
        <v>656</v>
      </c>
      <c r="I796">
        <v>48</v>
      </c>
      <c r="J796">
        <v>0</v>
      </c>
      <c r="K796" s="1">
        <v>2594544</v>
      </c>
    </row>
    <row r="797" spans="1:11" x14ac:dyDescent="0.25">
      <c r="A797" t="s">
        <v>326</v>
      </c>
      <c r="B797" t="s">
        <v>654</v>
      </c>
      <c r="C797" t="s">
        <v>866</v>
      </c>
      <c r="D797" t="s">
        <v>11</v>
      </c>
      <c r="E797">
        <v>26</v>
      </c>
      <c r="F797" s="2">
        <f>DATE(2026,IF(Tabla1[[#This Row],[Mes de Fecha]]="Septiembre",9,10),Tabla1[[#This Row],[Día de Fecha]])</f>
        <v>46291</v>
      </c>
      <c r="I797">
        <v>0</v>
      </c>
      <c r="J797" s="1">
        <v>24534327</v>
      </c>
      <c r="K797">
        <v>0</v>
      </c>
    </row>
    <row r="798" spans="1:11" x14ac:dyDescent="0.25">
      <c r="A798" t="s">
        <v>326</v>
      </c>
      <c r="B798" t="s">
        <v>654</v>
      </c>
      <c r="C798" t="s">
        <v>866</v>
      </c>
      <c r="D798" t="s">
        <v>11</v>
      </c>
      <c r="E798">
        <v>26</v>
      </c>
      <c r="F798" s="2">
        <f>DATE(2026,IF(Tabla1[[#This Row],[Mes de Fecha]]="Septiembre",9,10),Tabla1[[#This Row],[Día de Fecha]])</f>
        <v>46291</v>
      </c>
      <c r="G798">
        <v>1003173576</v>
      </c>
      <c r="H798" t="s">
        <v>490</v>
      </c>
      <c r="I798">
        <v>117</v>
      </c>
      <c r="J798">
        <v>0</v>
      </c>
      <c r="K798" s="1">
        <v>6715512</v>
      </c>
    </row>
    <row r="799" spans="1:11" x14ac:dyDescent="0.25">
      <c r="A799" t="s">
        <v>326</v>
      </c>
      <c r="B799" t="s">
        <v>654</v>
      </c>
      <c r="C799" t="s">
        <v>866</v>
      </c>
      <c r="D799" t="s">
        <v>11</v>
      </c>
      <c r="E799">
        <v>26</v>
      </c>
      <c r="F799" s="2">
        <f>DATE(2026,IF(Tabla1[[#This Row],[Mes de Fecha]]="Septiembre",9,10),Tabla1[[#This Row],[Día de Fecha]])</f>
        <v>46291</v>
      </c>
      <c r="G799">
        <v>1007173439</v>
      </c>
      <c r="H799" t="s">
        <v>485</v>
      </c>
      <c r="I799">
        <v>119</v>
      </c>
      <c r="J799">
        <v>0</v>
      </c>
      <c r="K799" s="1">
        <v>6421142</v>
      </c>
    </row>
    <row r="800" spans="1:11" x14ac:dyDescent="0.25">
      <c r="A800" t="s">
        <v>326</v>
      </c>
      <c r="B800" t="s">
        <v>654</v>
      </c>
      <c r="C800" t="s">
        <v>866</v>
      </c>
      <c r="D800" t="s">
        <v>11</v>
      </c>
      <c r="E800">
        <v>26</v>
      </c>
      <c r="F800" s="2">
        <f>DATE(2026,IF(Tabla1[[#This Row],[Mes de Fecha]]="Septiembre",9,10),Tabla1[[#This Row],[Día de Fecha]])</f>
        <v>46291</v>
      </c>
      <c r="G800">
        <v>1044611604</v>
      </c>
      <c r="H800" t="s">
        <v>655</v>
      </c>
      <c r="I800">
        <v>56</v>
      </c>
      <c r="J800">
        <v>0</v>
      </c>
      <c r="K800" s="1">
        <v>3518578</v>
      </c>
    </row>
    <row r="801" spans="1:11" x14ac:dyDescent="0.25">
      <c r="A801" t="s">
        <v>326</v>
      </c>
      <c r="B801" t="s">
        <v>654</v>
      </c>
      <c r="C801" t="s">
        <v>866</v>
      </c>
      <c r="D801" t="s">
        <v>11</v>
      </c>
      <c r="E801">
        <v>26</v>
      </c>
      <c r="F801" s="2">
        <f>DATE(2026,IF(Tabla1[[#This Row],[Mes de Fecha]]="Septiembre",9,10),Tabla1[[#This Row],[Día de Fecha]])</f>
        <v>46291</v>
      </c>
      <c r="G801">
        <v>1045753937</v>
      </c>
      <c r="H801" t="s">
        <v>656</v>
      </c>
      <c r="I801">
        <v>75</v>
      </c>
      <c r="J801">
        <v>0</v>
      </c>
      <c r="K801" s="1">
        <v>3723701</v>
      </c>
    </row>
    <row r="802" spans="1:11" x14ac:dyDescent="0.25">
      <c r="A802" t="s">
        <v>326</v>
      </c>
      <c r="B802" t="s">
        <v>654</v>
      </c>
      <c r="C802" t="s">
        <v>866</v>
      </c>
      <c r="D802" t="s">
        <v>11</v>
      </c>
      <c r="E802">
        <v>27</v>
      </c>
      <c r="F802" s="2">
        <f>DATE(2026,IF(Tabla1[[#This Row],[Mes de Fecha]]="Septiembre",9,10),Tabla1[[#This Row],[Día de Fecha]])</f>
        <v>46292</v>
      </c>
      <c r="I802">
        <v>0</v>
      </c>
      <c r="J802" s="1">
        <v>19436126</v>
      </c>
      <c r="K802">
        <v>0</v>
      </c>
    </row>
    <row r="803" spans="1:11" x14ac:dyDescent="0.25">
      <c r="A803" t="s">
        <v>326</v>
      </c>
      <c r="B803" t="s">
        <v>654</v>
      </c>
      <c r="C803" t="s">
        <v>866</v>
      </c>
      <c r="D803" t="s">
        <v>11</v>
      </c>
      <c r="E803">
        <v>27</v>
      </c>
      <c r="F803" s="2">
        <f>DATE(2026,IF(Tabla1[[#This Row],[Mes de Fecha]]="Septiembre",9,10),Tabla1[[#This Row],[Día de Fecha]])</f>
        <v>46292</v>
      </c>
      <c r="G803">
        <v>1003173576</v>
      </c>
      <c r="H803" t="s">
        <v>490</v>
      </c>
      <c r="I803">
        <v>76</v>
      </c>
      <c r="J803">
        <v>0</v>
      </c>
      <c r="K803" s="1">
        <v>4171098</v>
      </c>
    </row>
    <row r="804" spans="1:11" x14ac:dyDescent="0.25">
      <c r="A804" t="s">
        <v>326</v>
      </c>
      <c r="B804" t="s">
        <v>654</v>
      </c>
      <c r="C804" t="s">
        <v>866</v>
      </c>
      <c r="D804" t="s">
        <v>11</v>
      </c>
      <c r="E804">
        <v>27</v>
      </c>
      <c r="F804" s="2">
        <f>DATE(2026,IF(Tabla1[[#This Row],[Mes de Fecha]]="Septiembre",9,10),Tabla1[[#This Row],[Día de Fecha]])</f>
        <v>46292</v>
      </c>
      <c r="G804">
        <v>1007173439</v>
      </c>
      <c r="H804" t="s">
        <v>485</v>
      </c>
      <c r="I804">
        <v>64</v>
      </c>
      <c r="J804">
        <v>0</v>
      </c>
      <c r="K804" s="1">
        <v>3728327</v>
      </c>
    </row>
    <row r="805" spans="1:11" x14ac:dyDescent="0.25">
      <c r="A805" t="s">
        <v>326</v>
      </c>
      <c r="B805" t="s">
        <v>654</v>
      </c>
      <c r="C805" t="s">
        <v>866</v>
      </c>
      <c r="D805" t="s">
        <v>11</v>
      </c>
      <c r="E805">
        <v>27</v>
      </c>
      <c r="F805" s="2">
        <f>DATE(2026,IF(Tabla1[[#This Row],[Mes de Fecha]]="Septiembre",9,10),Tabla1[[#This Row],[Día de Fecha]])</f>
        <v>46292</v>
      </c>
      <c r="G805">
        <v>1044611604</v>
      </c>
      <c r="H805" t="s">
        <v>655</v>
      </c>
      <c r="I805">
        <v>39</v>
      </c>
      <c r="J805">
        <v>0</v>
      </c>
      <c r="K805" s="1">
        <v>2183235</v>
      </c>
    </row>
    <row r="806" spans="1:11" x14ac:dyDescent="0.25">
      <c r="A806" t="s">
        <v>326</v>
      </c>
      <c r="B806" t="s">
        <v>654</v>
      </c>
      <c r="C806" t="s">
        <v>866</v>
      </c>
      <c r="D806" t="s">
        <v>11</v>
      </c>
      <c r="E806">
        <v>27</v>
      </c>
      <c r="F806" s="2">
        <f>DATE(2026,IF(Tabla1[[#This Row],[Mes de Fecha]]="Septiembre",9,10),Tabla1[[#This Row],[Día de Fecha]])</f>
        <v>46292</v>
      </c>
      <c r="G806">
        <v>1045753937</v>
      </c>
      <c r="H806" t="s">
        <v>656</v>
      </c>
      <c r="I806">
        <v>35</v>
      </c>
      <c r="J806">
        <v>0</v>
      </c>
      <c r="K806" s="1">
        <v>1826263</v>
      </c>
    </row>
    <row r="807" spans="1:11" x14ac:dyDescent="0.25">
      <c r="A807" t="s">
        <v>326</v>
      </c>
      <c r="B807" t="s">
        <v>654</v>
      </c>
      <c r="C807" t="s">
        <v>866</v>
      </c>
      <c r="D807" t="s">
        <v>11</v>
      </c>
      <c r="E807">
        <v>27</v>
      </c>
      <c r="F807" s="2">
        <f>DATE(2026,IF(Tabla1[[#This Row],[Mes de Fecha]]="Septiembre",9,10),Tabla1[[#This Row],[Día de Fecha]])</f>
        <v>46292</v>
      </c>
      <c r="G807">
        <v>1143148766</v>
      </c>
      <c r="H807" t="s">
        <v>484</v>
      </c>
      <c r="I807">
        <v>-1</v>
      </c>
      <c r="J807">
        <v>0</v>
      </c>
      <c r="K807" s="1">
        <v>-46177</v>
      </c>
    </row>
    <row r="808" spans="1:11" x14ac:dyDescent="0.25">
      <c r="A808" t="s">
        <v>326</v>
      </c>
      <c r="B808" t="s">
        <v>654</v>
      </c>
      <c r="C808" t="s">
        <v>866</v>
      </c>
      <c r="D808" t="s">
        <v>11</v>
      </c>
      <c r="E808">
        <v>28</v>
      </c>
      <c r="F808" s="2">
        <f>DATE(2026,IF(Tabla1[[#This Row],[Mes de Fecha]]="Septiembre",9,10),Tabla1[[#This Row],[Día de Fecha]])</f>
        <v>46293</v>
      </c>
      <c r="I808">
        <v>0</v>
      </c>
      <c r="J808" s="1">
        <v>10696845</v>
      </c>
      <c r="K808">
        <v>0</v>
      </c>
    </row>
    <row r="809" spans="1:11" x14ac:dyDescent="0.25">
      <c r="A809" t="s">
        <v>326</v>
      </c>
      <c r="B809" t="s">
        <v>654</v>
      </c>
      <c r="C809" t="s">
        <v>866</v>
      </c>
      <c r="D809" t="s">
        <v>11</v>
      </c>
      <c r="E809">
        <v>28</v>
      </c>
      <c r="F809" s="2">
        <f>DATE(2026,IF(Tabla1[[#This Row],[Mes de Fecha]]="Septiembre",9,10),Tabla1[[#This Row],[Día de Fecha]])</f>
        <v>46293</v>
      </c>
      <c r="G809">
        <v>1003173576</v>
      </c>
      <c r="H809" t="s">
        <v>490</v>
      </c>
      <c r="I809">
        <v>41</v>
      </c>
      <c r="J809">
        <v>0</v>
      </c>
      <c r="K809" s="1">
        <v>2012986</v>
      </c>
    </row>
    <row r="810" spans="1:11" x14ac:dyDescent="0.25">
      <c r="A810" t="s">
        <v>326</v>
      </c>
      <c r="B810" t="s">
        <v>654</v>
      </c>
      <c r="C810" t="s">
        <v>866</v>
      </c>
      <c r="D810" t="s">
        <v>11</v>
      </c>
      <c r="E810">
        <v>28</v>
      </c>
      <c r="F810" s="2">
        <f>DATE(2026,IF(Tabla1[[#This Row],[Mes de Fecha]]="Septiembre",9,10),Tabla1[[#This Row],[Día de Fecha]])</f>
        <v>46293</v>
      </c>
      <c r="G810">
        <v>1007173439</v>
      </c>
      <c r="H810" t="s">
        <v>485</v>
      </c>
      <c r="I810">
        <v>46</v>
      </c>
      <c r="J810">
        <v>0</v>
      </c>
      <c r="K810" s="1">
        <v>2058995</v>
      </c>
    </row>
    <row r="811" spans="1:11" x14ac:dyDescent="0.25">
      <c r="A811" t="s">
        <v>326</v>
      </c>
      <c r="B811" t="s">
        <v>654</v>
      </c>
      <c r="C811" t="s">
        <v>866</v>
      </c>
      <c r="D811" t="s">
        <v>11</v>
      </c>
      <c r="E811">
        <v>28</v>
      </c>
      <c r="F811" s="2">
        <f>DATE(2026,IF(Tabla1[[#This Row],[Mes de Fecha]]="Septiembre",9,10),Tabla1[[#This Row],[Día de Fecha]])</f>
        <v>46293</v>
      </c>
      <c r="G811">
        <v>1044611604</v>
      </c>
      <c r="H811" t="s">
        <v>655</v>
      </c>
      <c r="I811">
        <v>9</v>
      </c>
      <c r="J811">
        <v>0</v>
      </c>
      <c r="K811" s="1">
        <v>638279</v>
      </c>
    </row>
    <row r="812" spans="1:11" x14ac:dyDescent="0.25">
      <c r="A812" t="s">
        <v>326</v>
      </c>
      <c r="B812" t="s">
        <v>654</v>
      </c>
      <c r="C812" t="s">
        <v>866</v>
      </c>
      <c r="D812" t="s">
        <v>11</v>
      </c>
      <c r="E812">
        <v>28</v>
      </c>
      <c r="F812" s="2">
        <f>DATE(2026,IF(Tabla1[[#This Row],[Mes de Fecha]]="Septiembre",9,10),Tabla1[[#This Row],[Día de Fecha]])</f>
        <v>46293</v>
      </c>
      <c r="G812">
        <v>1045753937</v>
      </c>
      <c r="H812" t="s">
        <v>656</v>
      </c>
      <c r="I812">
        <v>15</v>
      </c>
      <c r="J812">
        <v>0</v>
      </c>
      <c r="K812" s="1">
        <v>734664</v>
      </c>
    </row>
    <row r="813" spans="1:11" x14ac:dyDescent="0.25">
      <c r="A813" t="s">
        <v>326</v>
      </c>
      <c r="B813" t="s">
        <v>654</v>
      </c>
      <c r="C813" t="s">
        <v>866</v>
      </c>
      <c r="D813" t="s">
        <v>11</v>
      </c>
      <c r="E813">
        <v>29</v>
      </c>
      <c r="F813" s="2">
        <f>DATE(2026,IF(Tabla1[[#This Row],[Mes de Fecha]]="Septiembre",9,10),Tabla1[[#This Row],[Día de Fecha]])</f>
        <v>46294</v>
      </c>
      <c r="I813">
        <v>0</v>
      </c>
      <c r="J813" s="1">
        <v>11426324</v>
      </c>
      <c r="K813">
        <v>0</v>
      </c>
    </row>
    <row r="814" spans="1:11" x14ac:dyDescent="0.25">
      <c r="A814" t="s">
        <v>326</v>
      </c>
      <c r="B814" t="s">
        <v>654</v>
      </c>
      <c r="C814" t="s">
        <v>866</v>
      </c>
      <c r="D814" t="s">
        <v>11</v>
      </c>
      <c r="E814">
        <v>29</v>
      </c>
      <c r="F814" s="2">
        <f>DATE(2026,IF(Tabla1[[#This Row],[Mes de Fecha]]="Septiembre",9,10),Tabla1[[#This Row],[Día de Fecha]])</f>
        <v>46294</v>
      </c>
      <c r="G814">
        <v>1003173576</v>
      </c>
      <c r="H814" t="s">
        <v>490</v>
      </c>
      <c r="I814">
        <v>63</v>
      </c>
      <c r="J814">
        <v>0</v>
      </c>
      <c r="K814" s="1">
        <v>3451099</v>
      </c>
    </row>
    <row r="815" spans="1:11" x14ac:dyDescent="0.25">
      <c r="A815" t="s">
        <v>326</v>
      </c>
      <c r="B815" t="s">
        <v>654</v>
      </c>
      <c r="C815" t="s">
        <v>866</v>
      </c>
      <c r="D815" t="s">
        <v>11</v>
      </c>
      <c r="E815">
        <v>29</v>
      </c>
      <c r="F815" s="2">
        <f>DATE(2026,IF(Tabla1[[#This Row],[Mes de Fecha]]="Septiembre",9,10),Tabla1[[#This Row],[Día de Fecha]])</f>
        <v>46294</v>
      </c>
      <c r="G815">
        <v>1007173439</v>
      </c>
      <c r="H815" t="s">
        <v>485</v>
      </c>
      <c r="I815">
        <v>71</v>
      </c>
      <c r="J815">
        <v>0</v>
      </c>
      <c r="K815" s="1">
        <v>3837275</v>
      </c>
    </row>
    <row r="816" spans="1:11" x14ac:dyDescent="0.25">
      <c r="A816" t="s">
        <v>326</v>
      </c>
      <c r="B816" t="s">
        <v>654</v>
      </c>
      <c r="C816" t="s">
        <v>866</v>
      </c>
      <c r="D816" t="s">
        <v>11</v>
      </c>
      <c r="E816">
        <v>29</v>
      </c>
      <c r="F816" s="2">
        <f>DATE(2026,IF(Tabla1[[#This Row],[Mes de Fecha]]="Septiembre",9,10),Tabla1[[#This Row],[Día de Fecha]])</f>
        <v>46294</v>
      </c>
      <c r="G816">
        <v>1044611604</v>
      </c>
      <c r="H816" t="s">
        <v>655</v>
      </c>
      <c r="I816">
        <v>14</v>
      </c>
      <c r="J816">
        <v>0</v>
      </c>
      <c r="K816" s="1">
        <v>650589</v>
      </c>
    </row>
    <row r="817" spans="1:11" x14ac:dyDescent="0.25">
      <c r="A817" t="s">
        <v>326</v>
      </c>
      <c r="B817" t="s">
        <v>654</v>
      </c>
      <c r="C817" t="s">
        <v>866</v>
      </c>
      <c r="D817" t="s">
        <v>11</v>
      </c>
      <c r="E817">
        <v>29</v>
      </c>
      <c r="F817" s="2">
        <f>DATE(2026,IF(Tabla1[[#This Row],[Mes de Fecha]]="Septiembre",9,10),Tabla1[[#This Row],[Día de Fecha]])</f>
        <v>46294</v>
      </c>
      <c r="G817">
        <v>1045753937</v>
      </c>
      <c r="H817" t="s">
        <v>656</v>
      </c>
      <c r="I817">
        <v>9</v>
      </c>
      <c r="J817">
        <v>0</v>
      </c>
      <c r="K817" s="1">
        <v>453406</v>
      </c>
    </row>
    <row r="818" spans="1:11" x14ac:dyDescent="0.25">
      <c r="A818" t="s">
        <v>326</v>
      </c>
      <c r="B818" t="s">
        <v>654</v>
      </c>
      <c r="C818" t="s">
        <v>866</v>
      </c>
      <c r="D818" t="s">
        <v>11</v>
      </c>
      <c r="E818">
        <v>30</v>
      </c>
      <c r="F818" s="2">
        <f>DATE(2026,IF(Tabla1[[#This Row],[Mes de Fecha]]="Septiembre",9,10),Tabla1[[#This Row],[Día de Fecha]])</f>
        <v>46295</v>
      </c>
      <c r="I818">
        <v>0</v>
      </c>
      <c r="J818" s="1">
        <v>11803598</v>
      </c>
      <c r="K818">
        <v>0</v>
      </c>
    </row>
    <row r="819" spans="1:11" x14ac:dyDescent="0.25">
      <c r="A819" t="s">
        <v>326</v>
      </c>
      <c r="B819" t="s">
        <v>654</v>
      </c>
      <c r="C819" t="s">
        <v>866</v>
      </c>
      <c r="D819" t="s">
        <v>11</v>
      </c>
      <c r="E819">
        <v>30</v>
      </c>
      <c r="F819" s="2">
        <f>DATE(2026,IF(Tabla1[[#This Row],[Mes de Fecha]]="Septiembre",9,10),Tabla1[[#This Row],[Día de Fecha]])</f>
        <v>46295</v>
      </c>
      <c r="G819">
        <v>1003173576</v>
      </c>
      <c r="H819" t="s">
        <v>490</v>
      </c>
      <c r="I819">
        <v>134</v>
      </c>
      <c r="J819">
        <v>0</v>
      </c>
      <c r="K819" s="1">
        <v>7145093</v>
      </c>
    </row>
    <row r="820" spans="1:11" x14ac:dyDescent="0.25">
      <c r="A820" t="s">
        <v>326</v>
      </c>
      <c r="B820" t="s">
        <v>654</v>
      </c>
      <c r="C820" t="s">
        <v>866</v>
      </c>
      <c r="D820" t="s">
        <v>11</v>
      </c>
      <c r="E820">
        <v>30</v>
      </c>
      <c r="F820" s="2">
        <f>DATE(2026,IF(Tabla1[[#This Row],[Mes de Fecha]]="Septiembre",9,10),Tabla1[[#This Row],[Día de Fecha]])</f>
        <v>46295</v>
      </c>
      <c r="G820">
        <v>1007173439</v>
      </c>
      <c r="H820" t="s">
        <v>485</v>
      </c>
      <c r="I820">
        <v>20</v>
      </c>
      <c r="J820">
        <v>0</v>
      </c>
      <c r="K820" s="1">
        <v>1154623</v>
      </c>
    </row>
    <row r="821" spans="1:11" x14ac:dyDescent="0.25">
      <c r="A821" t="s">
        <v>326</v>
      </c>
      <c r="B821" t="s">
        <v>654</v>
      </c>
      <c r="C821" t="s">
        <v>866</v>
      </c>
      <c r="D821" t="s">
        <v>11</v>
      </c>
      <c r="E821">
        <v>30</v>
      </c>
      <c r="F821" s="2">
        <f>DATE(2026,IF(Tabla1[[#This Row],[Mes de Fecha]]="Septiembre",9,10),Tabla1[[#This Row],[Día de Fecha]])</f>
        <v>46295</v>
      </c>
      <c r="G821">
        <v>1044611604</v>
      </c>
      <c r="H821" t="s">
        <v>655</v>
      </c>
      <c r="I821">
        <v>54</v>
      </c>
      <c r="J821">
        <v>0</v>
      </c>
      <c r="K821" s="1">
        <v>2926094</v>
      </c>
    </row>
    <row r="822" spans="1:11" x14ac:dyDescent="0.25">
      <c r="A822" t="s">
        <v>326</v>
      </c>
      <c r="B822" t="s">
        <v>654</v>
      </c>
      <c r="C822" t="s">
        <v>866</v>
      </c>
      <c r="D822" t="s">
        <v>11</v>
      </c>
      <c r="E822">
        <v>30</v>
      </c>
      <c r="F822" s="2">
        <f>DATE(2026,IF(Tabla1[[#This Row],[Mes de Fecha]]="Septiembre",9,10),Tabla1[[#This Row],[Día de Fecha]])</f>
        <v>46295</v>
      </c>
      <c r="G822">
        <v>1045753937</v>
      </c>
      <c r="H822" t="s">
        <v>656</v>
      </c>
      <c r="I822">
        <v>9</v>
      </c>
      <c r="J822">
        <v>0</v>
      </c>
      <c r="K822" s="1">
        <v>339790</v>
      </c>
    </row>
    <row r="823" spans="1:11" x14ac:dyDescent="0.25">
      <c r="A823" t="s">
        <v>326</v>
      </c>
      <c r="B823" t="s">
        <v>654</v>
      </c>
      <c r="C823" t="s">
        <v>866</v>
      </c>
      <c r="D823" t="s">
        <v>14</v>
      </c>
      <c r="E823">
        <v>1</v>
      </c>
      <c r="F823" s="2">
        <f>DATE(2026,IF(Tabla1[[#This Row],[Mes de Fecha]]="Septiembre",9,10),Tabla1[[#This Row],[Día de Fecha]])</f>
        <v>46296</v>
      </c>
      <c r="I823">
        <v>0</v>
      </c>
      <c r="J823" s="1">
        <v>15565367</v>
      </c>
      <c r="K823">
        <v>0</v>
      </c>
    </row>
    <row r="824" spans="1:11" x14ac:dyDescent="0.25">
      <c r="A824" t="s">
        <v>326</v>
      </c>
      <c r="B824" t="s">
        <v>654</v>
      </c>
      <c r="C824" t="s">
        <v>866</v>
      </c>
      <c r="D824" t="s">
        <v>14</v>
      </c>
      <c r="E824">
        <v>1</v>
      </c>
      <c r="F824" s="2">
        <f>DATE(2026,IF(Tabla1[[#This Row],[Mes de Fecha]]="Septiembre",9,10),Tabla1[[#This Row],[Día de Fecha]])</f>
        <v>46296</v>
      </c>
      <c r="G824">
        <v>1003173576</v>
      </c>
      <c r="H824" t="s">
        <v>490</v>
      </c>
      <c r="I824">
        <v>60</v>
      </c>
      <c r="J824">
        <v>0</v>
      </c>
      <c r="K824" s="1">
        <v>2877570</v>
      </c>
    </row>
    <row r="825" spans="1:11" x14ac:dyDescent="0.25">
      <c r="A825" t="s">
        <v>326</v>
      </c>
      <c r="B825" t="s">
        <v>654</v>
      </c>
      <c r="C825" t="s">
        <v>866</v>
      </c>
      <c r="D825" t="s">
        <v>14</v>
      </c>
      <c r="E825">
        <v>1</v>
      </c>
      <c r="F825" s="2">
        <f>DATE(2026,IF(Tabla1[[#This Row],[Mes de Fecha]]="Septiembre",9,10),Tabla1[[#This Row],[Día de Fecha]])</f>
        <v>46296</v>
      </c>
      <c r="G825">
        <v>1007173439</v>
      </c>
      <c r="H825" t="s">
        <v>485</v>
      </c>
      <c r="I825">
        <v>78</v>
      </c>
      <c r="J825">
        <v>0</v>
      </c>
      <c r="K825" s="1">
        <v>3861852</v>
      </c>
    </row>
    <row r="826" spans="1:11" x14ac:dyDescent="0.25">
      <c r="A826" t="s">
        <v>326</v>
      </c>
      <c r="B826" t="s">
        <v>654</v>
      </c>
      <c r="C826" t="s">
        <v>866</v>
      </c>
      <c r="D826" t="s">
        <v>14</v>
      </c>
      <c r="E826">
        <v>1</v>
      </c>
      <c r="F826" s="2">
        <f>DATE(2026,IF(Tabla1[[#This Row],[Mes de Fecha]]="Septiembre",9,10),Tabla1[[#This Row],[Día de Fecha]])</f>
        <v>46296</v>
      </c>
      <c r="G826">
        <v>1044611604</v>
      </c>
      <c r="H826" t="s">
        <v>655</v>
      </c>
      <c r="I826">
        <v>28</v>
      </c>
      <c r="J826">
        <v>0</v>
      </c>
      <c r="K826" s="1">
        <v>1297019</v>
      </c>
    </row>
    <row r="827" spans="1:11" x14ac:dyDescent="0.25">
      <c r="A827" t="s">
        <v>326</v>
      </c>
      <c r="B827" t="s">
        <v>654</v>
      </c>
      <c r="C827" t="s">
        <v>866</v>
      </c>
      <c r="D827" t="s">
        <v>14</v>
      </c>
      <c r="E827">
        <v>1</v>
      </c>
      <c r="F827" s="2">
        <f>DATE(2026,IF(Tabla1[[#This Row],[Mes de Fecha]]="Septiembre",9,10),Tabla1[[#This Row],[Día de Fecha]])</f>
        <v>46296</v>
      </c>
      <c r="G827">
        <v>1045753937</v>
      </c>
      <c r="H827" t="s">
        <v>656</v>
      </c>
      <c r="I827">
        <v>20</v>
      </c>
      <c r="J827">
        <v>0</v>
      </c>
      <c r="K827" s="1">
        <v>942355</v>
      </c>
    </row>
    <row r="828" spans="1:11" x14ac:dyDescent="0.25">
      <c r="A828" t="s">
        <v>326</v>
      </c>
      <c r="B828" t="s">
        <v>654</v>
      </c>
      <c r="C828" t="s">
        <v>866</v>
      </c>
      <c r="D828" t="s">
        <v>14</v>
      </c>
      <c r="E828">
        <v>2</v>
      </c>
      <c r="F828" s="2">
        <f>DATE(2026,IF(Tabla1[[#This Row],[Mes de Fecha]]="Septiembre",9,10),Tabla1[[#This Row],[Día de Fecha]])</f>
        <v>46297</v>
      </c>
      <c r="I828">
        <v>0</v>
      </c>
      <c r="J828" s="1">
        <v>15177550</v>
      </c>
      <c r="K828">
        <v>0</v>
      </c>
    </row>
    <row r="829" spans="1:11" x14ac:dyDescent="0.25">
      <c r="A829" t="s">
        <v>326</v>
      </c>
      <c r="B829" t="s">
        <v>654</v>
      </c>
      <c r="C829" t="s">
        <v>866</v>
      </c>
      <c r="D829" t="s">
        <v>14</v>
      </c>
      <c r="E829">
        <v>2</v>
      </c>
      <c r="F829" s="2">
        <f>DATE(2026,IF(Tabla1[[#This Row],[Mes de Fecha]]="Septiembre",9,10),Tabla1[[#This Row],[Día de Fecha]])</f>
        <v>46297</v>
      </c>
      <c r="G829">
        <v>1003173576</v>
      </c>
      <c r="H829" t="s">
        <v>490</v>
      </c>
      <c r="I829">
        <v>114</v>
      </c>
      <c r="J829">
        <v>0</v>
      </c>
      <c r="K829" s="1">
        <v>5690467</v>
      </c>
    </row>
    <row r="830" spans="1:11" x14ac:dyDescent="0.25">
      <c r="A830" t="s">
        <v>326</v>
      </c>
      <c r="B830" t="s">
        <v>654</v>
      </c>
      <c r="C830" t="s">
        <v>866</v>
      </c>
      <c r="D830" t="s">
        <v>14</v>
      </c>
      <c r="E830">
        <v>2</v>
      </c>
      <c r="F830" s="2">
        <f>DATE(2026,IF(Tabla1[[#This Row],[Mes de Fecha]]="Septiembre",9,10),Tabla1[[#This Row],[Día de Fecha]])</f>
        <v>46297</v>
      </c>
      <c r="G830">
        <v>1007173439</v>
      </c>
      <c r="H830" t="s">
        <v>485</v>
      </c>
      <c r="I830">
        <v>104</v>
      </c>
      <c r="J830">
        <v>0</v>
      </c>
      <c r="K830" s="1">
        <v>5375718</v>
      </c>
    </row>
    <row r="831" spans="1:11" x14ac:dyDescent="0.25">
      <c r="A831" t="s">
        <v>326</v>
      </c>
      <c r="B831" t="s">
        <v>654</v>
      </c>
      <c r="C831" t="s">
        <v>866</v>
      </c>
      <c r="D831" t="s">
        <v>14</v>
      </c>
      <c r="E831">
        <v>2</v>
      </c>
      <c r="F831" s="2">
        <f>DATE(2026,IF(Tabla1[[#This Row],[Mes de Fecha]]="Septiembre",9,10),Tabla1[[#This Row],[Día de Fecha]])</f>
        <v>46297</v>
      </c>
      <c r="G831">
        <v>1044611604</v>
      </c>
      <c r="H831" t="s">
        <v>655</v>
      </c>
      <c r="I831">
        <v>85</v>
      </c>
      <c r="J831">
        <v>0</v>
      </c>
      <c r="K831" s="1">
        <v>4901391</v>
      </c>
    </row>
    <row r="832" spans="1:11" x14ac:dyDescent="0.25">
      <c r="A832" t="s">
        <v>326</v>
      </c>
      <c r="B832" t="s">
        <v>654</v>
      </c>
      <c r="C832" t="s">
        <v>866</v>
      </c>
      <c r="D832" t="s">
        <v>14</v>
      </c>
      <c r="E832">
        <v>2</v>
      </c>
      <c r="F832" s="2">
        <f>DATE(2026,IF(Tabla1[[#This Row],[Mes de Fecha]]="Septiembre",9,10),Tabla1[[#This Row],[Día de Fecha]])</f>
        <v>46297</v>
      </c>
      <c r="G832">
        <v>1045753937</v>
      </c>
      <c r="H832" t="s">
        <v>656</v>
      </c>
      <c r="I832">
        <v>63</v>
      </c>
      <c r="J832">
        <v>0</v>
      </c>
      <c r="K832" s="1">
        <v>3032948</v>
      </c>
    </row>
    <row r="833" spans="1:11" x14ac:dyDescent="0.25">
      <c r="A833" t="s">
        <v>326</v>
      </c>
      <c r="B833" t="s">
        <v>654</v>
      </c>
      <c r="C833" t="s">
        <v>866</v>
      </c>
      <c r="D833" t="s">
        <v>14</v>
      </c>
      <c r="E833">
        <v>3</v>
      </c>
      <c r="F833" s="2">
        <f>DATE(2026,IF(Tabla1[[#This Row],[Mes de Fecha]]="Septiembre",9,10),Tabla1[[#This Row],[Día de Fecha]])</f>
        <v>46298</v>
      </c>
      <c r="I833">
        <v>0</v>
      </c>
      <c r="J833" s="1">
        <v>24761057</v>
      </c>
      <c r="K833">
        <v>0</v>
      </c>
    </row>
    <row r="834" spans="1:11" x14ac:dyDescent="0.25">
      <c r="A834" t="s">
        <v>326</v>
      </c>
      <c r="B834" t="s">
        <v>654</v>
      </c>
      <c r="C834" t="s">
        <v>866</v>
      </c>
      <c r="D834" t="s">
        <v>14</v>
      </c>
      <c r="E834">
        <v>3</v>
      </c>
      <c r="F834" s="2">
        <f>DATE(2026,IF(Tabla1[[#This Row],[Mes de Fecha]]="Septiembre",9,10),Tabla1[[#This Row],[Día de Fecha]])</f>
        <v>46298</v>
      </c>
      <c r="G834">
        <v>1003173576</v>
      </c>
      <c r="H834" t="s">
        <v>490</v>
      </c>
      <c r="I834">
        <v>97</v>
      </c>
      <c r="J834">
        <v>0</v>
      </c>
      <c r="K834" s="1">
        <v>4781688</v>
      </c>
    </row>
    <row r="835" spans="1:11" x14ac:dyDescent="0.25">
      <c r="A835" t="s">
        <v>326</v>
      </c>
      <c r="B835" t="s">
        <v>654</v>
      </c>
      <c r="C835" t="s">
        <v>866</v>
      </c>
      <c r="D835" t="s">
        <v>14</v>
      </c>
      <c r="E835">
        <v>3</v>
      </c>
      <c r="F835" s="2">
        <f>DATE(2026,IF(Tabla1[[#This Row],[Mes de Fecha]]="Septiembre",9,10),Tabla1[[#This Row],[Día de Fecha]])</f>
        <v>46298</v>
      </c>
      <c r="G835">
        <v>1007173439</v>
      </c>
      <c r="H835" t="s">
        <v>485</v>
      </c>
      <c r="I835">
        <v>107</v>
      </c>
      <c r="J835">
        <v>0</v>
      </c>
      <c r="K835" s="1">
        <v>5325749</v>
      </c>
    </row>
    <row r="836" spans="1:11" x14ac:dyDescent="0.25">
      <c r="A836" t="s">
        <v>326</v>
      </c>
      <c r="B836" t="s">
        <v>654</v>
      </c>
      <c r="C836" t="s">
        <v>866</v>
      </c>
      <c r="D836" t="s">
        <v>14</v>
      </c>
      <c r="E836">
        <v>3</v>
      </c>
      <c r="F836" s="2">
        <f>DATE(2026,IF(Tabla1[[#This Row],[Mes de Fecha]]="Septiembre",9,10),Tabla1[[#This Row],[Día de Fecha]])</f>
        <v>46298</v>
      </c>
      <c r="G836">
        <v>1044611604</v>
      </c>
      <c r="H836" t="s">
        <v>655</v>
      </c>
      <c r="I836">
        <v>52</v>
      </c>
      <c r="J836">
        <v>0</v>
      </c>
      <c r="K836" s="1">
        <v>2493116</v>
      </c>
    </row>
    <row r="837" spans="1:11" x14ac:dyDescent="0.25">
      <c r="A837" t="s">
        <v>326</v>
      </c>
      <c r="B837" t="s">
        <v>654</v>
      </c>
      <c r="C837" t="s">
        <v>866</v>
      </c>
      <c r="D837" t="s">
        <v>14</v>
      </c>
      <c r="E837">
        <v>3</v>
      </c>
      <c r="F837" s="2">
        <f>DATE(2026,IF(Tabla1[[#This Row],[Mes de Fecha]]="Septiembre",9,10),Tabla1[[#This Row],[Día de Fecha]])</f>
        <v>46298</v>
      </c>
      <c r="G837">
        <v>1045753937</v>
      </c>
      <c r="H837" t="s">
        <v>656</v>
      </c>
      <c r="I837">
        <v>45</v>
      </c>
      <c r="J837">
        <v>0</v>
      </c>
      <c r="K837" s="1">
        <v>1900818</v>
      </c>
    </row>
    <row r="838" spans="1:11" x14ac:dyDescent="0.25">
      <c r="A838" t="s">
        <v>326</v>
      </c>
      <c r="B838" t="s">
        <v>654</v>
      </c>
      <c r="C838" t="s">
        <v>866</v>
      </c>
      <c r="D838" t="s">
        <v>14</v>
      </c>
      <c r="E838">
        <v>3</v>
      </c>
      <c r="F838" s="2">
        <f>DATE(2026,IF(Tabla1[[#This Row],[Mes de Fecha]]="Septiembre",9,10),Tabla1[[#This Row],[Día de Fecha]])</f>
        <v>46298</v>
      </c>
      <c r="G838">
        <v>1098200569</v>
      </c>
      <c r="H838" t="s">
        <v>491</v>
      </c>
      <c r="I838">
        <v>-1</v>
      </c>
      <c r="J838">
        <v>0</v>
      </c>
      <c r="K838" s="1">
        <v>-41975</v>
      </c>
    </row>
    <row r="839" spans="1:11" x14ac:dyDescent="0.25">
      <c r="A839" t="s">
        <v>326</v>
      </c>
      <c r="B839" t="s">
        <v>654</v>
      </c>
      <c r="C839" t="s">
        <v>866</v>
      </c>
      <c r="D839" t="s">
        <v>14</v>
      </c>
      <c r="E839">
        <v>4</v>
      </c>
      <c r="F839" s="2">
        <f>DATE(2026,IF(Tabla1[[#This Row],[Mes de Fecha]]="Septiembre",9,10),Tabla1[[#This Row],[Día de Fecha]])</f>
        <v>46299</v>
      </c>
      <c r="I839">
        <v>0</v>
      </c>
      <c r="J839" s="1">
        <v>15719394</v>
      </c>
      <c r="K839">
        <v>0</v>
      </c>
    </row>
    <row r="840" spans="1:11" x14ac:dyDescent="0.25">
      <c r="A840" t="s">
        <v>326</v>
      </c>
      <c r="B840" t="s">
        <v>654</v>
      </c>
      <c r="C840" t="s">
        <v>866</v>
      </c>
      <c r="D840" t="s">
        <v>14</v>
      </c>
      <c r="E840">
        <v>4</v>
      </c>
      <c r="F840" s="2">
        <f>DATE(2026,IF(Tabla1[[#This Row],[Mes de Fecha]]="Septiembre",9,10),Tabla1[[#This Row],[Día de Fecha]])</f>
        <v>46299</v>
      </c>
      <c r="G840">
        <v>1003173576</v>
      </c>
      <c r="H840" t="s">
        <v>490</v>
      </c>
      <c r="I840">
        <v>80</v>
      </c>
      <c r="J840">
        <v>0</v>
      </c>
      <c r="K840" s="1">
        <v>4328947</v>
      </c>
    </row>
    <row r="841" spans="1:11" x14ac:dyDescent="0.25">
      <c r="A841" t="s">
        <v>326</v>
      </c>
      <c r="B841" t="s">
        <v>654</v>
      </c>
      <c r="C841" t="s">
        <v>866</v>
      </c>
      <c r="D841" t="s">
        <v>14</v>
      </c>
      <c r="E841">
        <v>4</v>
      </c>
      <c r="F841" s="2">
        <f>DATE(2026,IF(Tabla1[[#This Row],[Mes de Fecha]]="Septiembre",9,10),Tabla1[[#This Row],[Día de Fecha]])</f>
        <v>46299</v>
      </c>
      <c r="G841">
        <v>1007173439</v>
      </c>
      <c r="H841" t="s">
        <v>485</v>
      </c>
      <c r="I841">
        <v>66</v>
      </c>
      <c r="J841">
        <v>0</v>
      </c>
      <c r="K841" s="1">
        <v>3988788</v>
      </c>
    </row>
    <row r="842" spans="1:11" x14ac:dyDescent="0.25">
      <c r="A842" t="s">
        <v>326</v>
      </c>
      <c r="B842" t="s">
        <v>654</v>
      </c>
      <c r="C842" t="s">
        <v>866</v>
      </c>
      <c r="D842" t="s">
        <v>14</v>
      </c>
      <c r="E842">
        <v>4</v>
      </c>
      <c r="F842" s="2">
        <f>DATE(2026,IF(Tabla1[[#This Row],[Mes de Fecha]]="Septiembre",9,10),Tabla1[[#This Row],[Día de Fecha]])</f>
        <v>46299</v>
      </c>
      <c r="G842">
        <v>1044611604</v>
      </c>
      <c r="H842" t="s">
        <v>655</v>
      </c>
      <c r="I842">
        <v>39</v>
      </c>
      <c r="J842">
        <v>0</v>
      </c>
      <c r="K842" s="1">
        <v>2380634</v>
      </c>
    </row>
    <row r="843" spans="1:11" x14ac:dyDescent="0.25">
      <c r="A843" t="s">
        <v>326</v>
      </c>
      <c r="B843" t="s">
        <v>654</v>
      </c>
      <c r="C843" t="s">
        <v>866</v>
      </c>
      <c r="D843" t="s">
        <v>14</v>
      </c>
      <c r="E843">
        <v>4</v>
      </c>
      <c r="F843" s="2">
        <f>DATE(2026,IF(Tabla1[[#This Row],[Mes de Fecha]]="Septiembre",9,10),Tabla1[[#This Row],[Día de Fecha]])</f>
        <v>46299</v>
      </c>
      <c r="G843">
        <v>1045753937</v>
      </c>
      <c r="H843" t="s">
        <v>656</v>
      </c>
      <c r="I843">
        <v>55</v>
      </c>
      <c r="J843">
        <v>0</v>
      </c>
      <c r="K843" s="1">
        <v>3306801</v>
      </c>
    </row>
    <row r="844" spans="1:11" x14ac:dyDescent="0.25">
      <c r="A844" t="s">
        <v>326</v>
      </c>
      <c r="B844" t="s">
        <v>654</v>
      </c>
      <c r="C844" t="s">
        <v>866</v>
      </c>
      <c r="D844" t="s">
        <v>14</v>
      </c>
      <c r="E844">
        <v>5</v>
      </c>
      <c r="F844" s="2">
        <f>DATE(2026,IF(Tabla1[[#This Row],[Mes de Fecha]]="Septiembre",9,10),Tabla1[[#This Row],[Día de Fecha]])</f>
        <v>46300</v>
      </c>
      <c r="I844">
        <v>0</v>
      </c>
      <c r="J844" s="1">
        <v>10787163</v>
      </c>
      <c r="K844">
        <v>0</v>
      </c>
    </row>
    <row r="845" spans="1:11" x14ac:dyDescent="0.25">
      <c r="A845" t="s">
        <v>326</v>
      </c>
      <c r="B845" t="s">
        <v>654</v>
      </c>
      <c r="C845" t="s">
        <v>866</v>
      </c>
      <c r="D845" t="s">
        <v>14</v>
      </c>
      <c r="E845">
        <v>5</v>
      </c>
      <c r="F845" s="2">
        <f>DATE(2026,IF(Tabla1[[#This Row],[Mes de Fecha]]="Septiembre",9,10),Tabla1[[#This Row],[Día de Fecha]])</f>
        <v>46300</v>
      </c>
      <c r="G845">
        <v>1003173576</v>
      </c>
      <c r="H845" t="s">
        <v>490</v>
      </c>
      <c r="I845">
        <v>51</v>
      </c>
      <c r="J845">
        <v>0</v>
      </c>
      <c r="K845" s="1">
        <v>2605335</v>
      </c>
    </row>
    <row r="846" spans="1:11" x14ac:dyDescent="0.25">
      <c r="A846" t="s">
        <v>326</v>
      </c>
      <c r="B846" t="s">
        <v>654</v>
      </c>
      <c r="C846" t="s">
        <v>866</v>
      </c>
      <c r="D846" t="s">
        <v>14</v>
      </c>
      <c r="E846">
        <v>5</v>
      </c>
      <c r="F846" s="2">
        <f>DATE(2026,IF(Tabla1[[#This Row],[Mes de Fecha]]="Septiembre",9,10),Tabla1[[#This Row],[Día de Fecha]])</f>
        <v>46300</v>
      </c>
      <c r="G846">
        <v>1007173439</v>
      </c>
      <c r="H846" t="s">
        <v>485</v>
      </c>
      <c r="I846">
        <v>68</v>
      </c>
      <c r="J846">
        <v>0</v>
      </c>
      <c r="K846" s="1">
        <v>3843571</v>
      </c>
    </row>
    <row r="847" spans="1:11" x14ac:dyDescent="0.25">
      <c r="A847" t="s">
        <v>326</v>
      </c>
      <c r="B847" t="s">
        <v>654</v>
      </c>
      <c r="C847" t="s">
        <v>866</v>
      </c>
      <c r="D847" t="s">
        <v>14</v>
      </c>
      <c r="E847">
        <v>5</v>
      </c>
      <c r="F847" s="2">
        <f>DATE(2026,IF(Tabla1[[#This Row],[Mes de Fecha]]="Septiembre",9,10),Tabla1[[#This Row],[Día de Fecha]])</f>
        <v>46300</v>
      </c>
      <c r="G847">
        <v>1044611604</v>
      </c>
      <c r="H847" t="s">
        <v>655</v>
      </c>
      <c r="I847">
        <v>36</v>
      </c>
      <c r="J847">
        <v>0</v>
      </c>
      <c r="K847" s="1">
        <v>1624372</v>
      </c>
    </row>
    <row r="848" spans="1:11" x14ac:dyDescent="0.25">
      <c r="A848" t="s">
        <v>326</v>
      </c>
      <c r="B848" t="s">
        <v>654</v>
      </c>
      <c r="C848" t="s">
        <v>866</v>
      </c>
      <c r="D848" t="s">
        <v>14</v>
      </c>
      <c r="E848">
        <v>5</v>
      </c>
      <c r="F848" s="2">
        <f>DATE(2026,IF(Tabla1[[#This Row],[Mes de Fecha]]="Septiembre",9,10),Tabla1[[#This Row],[Día de Fecha]])</f>
        <v>46300</v>
      </c>
      <c r="G848">
        <v>1045753937</v>
      </c>
      <c r="H848" t="s">
        <v>656</v>
      </c>
      <c r="I848">
        <v>37</v>
      </c>
      <c r="J848">
        <v>0</v>
      </c>
      <c r="K848" s="1">
        <v>1956347</v>
      </c>
    </row>
    <row r="849" spans="1:11" x14ac:dyDescent="0.25">
      <c r="A849" t="s">
        <v>326</v>
      </c>
      <c r="B849" t="s">
        <v>654</v>
      </c>
      <c r="C849" t="s">
        <v>866</v>
      </c>
      <c r="D849" t="s">
        <v>14</v>
      </c>
      <c r="E849">
        <v>6</v>
      </c>
      <c r="F849" s="2">
        <f>DATE(2026,IF(Tabla1[[#This Row],[Mes de Fecha]]="Septiembre",9,10),Tabla1[[#This Row],[Día de Fecha]])</f>
        <v>46301</v>
      </c>
      <c r="I849">
        <v>0</v>
      </c>
      <c r="J849" s="1">
        <v>6044471</v>
      </c>
      <c r="K849">
        <v>0</v>
      </c>
    </row>
    <row r="850" spans="1:11" x14ac:dyDescent="0.25">
      <c r="A850" t="s">
        <v>326</v>
      </c>
      <c r="B850" t="s">
        <v>654</v>
      </c>
      <c r="C850" t="s">
        <v>866</v>
      </c>
      <c r="D850" t="s">
        <v>14</v>
      </c>
      <c r="E850">
        <v>6</v>
      </c>
      <c r="F850" s="2">
        <f>DATE(2026,IF(Tabla1[[#This Row],[Mes de Fecha]]="Septiembre",9,10),Tabla1[[#This Row],[Día de Fecha]])</f>
        <v>46301</v>
      </c>
      <c r="G850">
        <v>1003173576</v>
      </c>
      <c r="H850" t="s">
        <v>490</v>
      </c>
      <c r="I850">
        <v>33</v>
      </c>
      <c r="J850">
        <v>0</v>
      </c>
      <c r="K850" s="1">
        <v>1654078</v>
      </c>
    </row>
    <row r="851" spans="1:11" x14ac:dyDescent="0.25">
      <c r="A851" t="s">
        <v>326</v>
      </c>
      <c r="B851" t="s">
        <v>654</v>
      </c>
      <c r="C851" t="s">
        <v>866</v>
      </c>
      <c r="D851" t="s">
        <v>14</v>
      </c>
      <c r="E851">
        <v>6</v>
      </c>
      <c r="F851" s="2">
        <f>DATE(2026,IF(Tabla1[[#This Row],[Mes de Fecha]]="Septiembre",9,10),Tabla1[[#This Row],[Día de Fecha]])</f>
        <v>46301</v>
      </c>
      <c r="G851">
        <v>1007173439</v>
      </c>
      <c r="H851" t="s">
        <v>485</v>
      </c>
      <c r="I851">
        <v>23</v>
      </c>
      <c r="J851">
        <v>0</v>
      </c>
      <c r="K851" s="1">
        <v>1368742</v>
      </c>
    </row>
    <row r="852" spans="1:11" x14ac:dyDescent="0.25">
      <c r="A852" t="s">
        <v>326</v>
      </c>
      <c r="B852" t="s">
        <v>654</v>
      </c>
      <c r="C852" t="s">
        <v>866</v>
      </c>
      <c r="D852" t="s">
        <v>14</v>
      </c>
      <c r="E852">
        <v>6</v>
      </c>
      <c r="F852" s="2">
        <f>DATE(2026,IF(Tabla1[[#This Row],[Mes de Fecha]]="Septiembre",9,10),Tabla1[[#This Row],[Día de Fecha]])</f>
        <v>46301</v>
      </c>
      <c r="G852">
        <v>1044611604</v>
      </c>
      <c r="H852" t="s">
        <v>655</v>
      </c>
      <c r="I852">
        <v>16</v>
      </c>
      <c r="J852">
        <v>0</v>
      </c>
      <c r="K852" s="1">
        <v>831261</v>
      </c>
    </row>
    <row r="853" spans="1:11" x14ac:dyDescent="0.25">
      <c r="A853" t="s">
        <v>326</v>
      </c>
      <c r="B853" t="s">
        <v>654</v>
      </c>
      <c r="C853" t="s">
        <v>866</v>
      </c>
      <c r="D853" t="s">
        <v>14</v>
      </c>
      <c r="E853">
        <v>6</v>
      </c>
      <c r="F853" s="2">
        <f>DATE(2026,IF(Tabla1[[#This Row],[Mes de Fecha]]="Septiembre",9,10),Tabla1[[#This Row],[Día de Fecha]])</f>
        <v>46301</v>
      </c>
      <c r="G853">
        <v>1045753937</v>
      </c>
      <c r="H853" t="s">
        <v>656</v>
      </c>
      <c r="I853">
        <v>13</v>
      </c>
      <c r="J853">
        <v>0</v>
      </c>
      <c r="K853" s="1">
        <v>690631</v>
      </c>
    </row>
    <row r="854" spans="1:11" x14ac:dyDescent="0.25">
      <c r="A854" t="s">
        <v>326</v>
      </c>
      <c r="B854" t="s">
        <v>654</v>
      </c>
      <c r="C854" t="s">
        <v>866</v>
      </c>
      <c r="D854" t="s">
        <v>14</v>
      </c>
      <c r="E854">
        <v>6</v>
      </c>
      <c r="F854" s="2">
        <f>DATE(2026,IF(Tabla1[[#This Row],[Mes de Fecha]]="Septiembre",9,10),Tabla1[[#This Row],[Día de Fecha]])</f>
        <v>46301</v>
      </c>
      <c r="G854">
        <v>1045756535</v>
      </c>
      <c r="H854" t="s">
        <v>657</v>
      </c>
      <c r="I854">
        <v>-1</v>
      </c>
      <c r="J854">
        <v>0</v>
      </c>
      <c r="K854" s="1">
        <v>-71386</v>
      </c>
    </row>
    <row r="855" spans="1:11" x14ac:dyDescent="0.25">
      <c r="A855" t="s">
        <v>326</v>
      </c>
      <c r="B855" t="s">
        <v>654</v>
      </c>
      <c r="C855" t="s">
        <v>866</v>
      </c>
      <c r="D855" t="s">
        <v>14</v>
      </c>
      <c r="E855">
        <v>7</v>
      </c>
      <c r="F855" s="2">
        <f>DATE(2026,IF(Tabla1[[#This Row],[Mes de Fecha]]="Septiembre",9,10),Tabla1[[#This Row],[Día de Fecha]])</f>
        <v>46302</v>
      </c>
      <c r="I855">
        <v>0</v>
      </c>
      <c r="J855" s="1">
        <v>5964940</v>
      </c>
      <c r="K855">
        <v>0</v>
      </c>
    </row>
    <row r="856" spans="1:11" x14ac:dyDescent="0.25">
      <c r="A856" t="s">
        <v>326</v>
      </c>
      <c r="B856" t="s">
        <v>654</v>
      </c>
      <c r="C856" t="s">
        <v>866</v>
      </c>
      <c r="D856" t="s">
        <v>14</v>
      </c>
      <c r="E856">
        <v>7</v>
      </c>
      <c r="F856" s="2">
        <f>DATE(2026,IF(Tabla1[[#This Row],[Mes de Fecha]]="Septiembre",9,10),Tabla1[[#This Row],[Día de Fecha]])</f>
        <v>46302</v>
      </c>
      <c r="G856">
        <v>1003173576</v>
      </c>
      <c r="H856" t="s">
        <v>490</v>
      </c>
      <c r="I856">
        <v>37</v>
      </c>
      <c r="J856">
        <v>0</v>
      </c>
      <c r="K856" s="1">
        <v>2023576</v>
      </c>
    </row>
    <row r="857" spans="1:11" x14ac:dyDescent="0.25">
      <c r="A857" t="s">
        <v>326</v>
      </c>
      <c r="B857" t="s">
        <v>654</v>
      </c>
      <c r="C857" t="s">
        <v>866</v>
      </c>
      <c r="D857" t="s">
        <v>14</v>
      </c>
      <c r="E857">
        <v>7</v>
      </c>
      <c r="F857" s="2">
        <f>DATE(2026,IF(Tabla1[[#This Row],[Mes de Fecha]]="Septiembre",9,10),Tabla1[[#This Row],[Día de Fecha]])</f>
        <v>46302</v>
      </c>
      <c r="G857">
        <v>1007173439</v>
      </c>
      <c r="H857" t="s">
        <v>485</v>
      </c>
      <c r="I857">
        <v>45</v>
      </c>
      <c r="J857">
        <v>0</v>
      </c>
      <c r="K857" s="1">
        <v>2325801</v>
      </c>
    </row>
    <row r="858" spans="1:11" x14ac:dyDescent="0.25">
      <c r="A858" t="s">
        <v>326</v>
      </c>
      <c r="B858" t="s">
        <v>654</v>
      </c>
      <c r="C858" t="s">
        <v>866</v>
      </c>
      <c r="D858" t="s">
        <v>14</v>
      </c>
      <c r="E858">
        <v>7</v>
      </c>
      <c r="F858" s="2">
        <f>DATE(2026,IF(Tabla1[[#This Row],[Mes de Fecha]]="Septiembre",9,10),Tabla1[[#This Row],[Día de Fecha]])</f>
        <v>46302</v>
      </c>
      <c r="G858">
        <v>1044611604</v>
      </c>
      <c r="H858" t="s">
        <v>655</v>
      </c>
      <c r="I858">
        <v>29</v>
      </c>
      <c r="J858">
        <v>0</v>
      </c>
      <c r="K858" s="1">
        <v>1406346</v>
      </c>
    </row>
    <row r="859" spans="1:11" x14ac:dyDescent="0.25">
      <c r="A859" t="s">
        <v>326</v>
      </c>
      <c r="B859" t="s">
        <v>654</v>
      </c>
      <c r="C859" t="s">
        <v>866</v>
      </c>
      <c r="D859" t="s">
        <v>14</v>
      </c>
      <c r="E859">
        <v>7</v>
      </c>
      <c r="F859" s="2">
        <f>DATE(2026,IF(Tabla1[[#This Row],[Mes de Fecha]]="Septiembre",9,10),Tabla1[[#This Row],[Día de Fecha]])</f>
        <v>46302</v>
      </c>
      <c r="G859">
        <v>1045753937</v>
      </c>
      <c r="H859" t="s">
        <v>656</v>
      </c>
      <c r="I859">
        <v>27</v>
      </c>
      <c r="J859">
        <v>0</v>
      </c>
      <c r="K859" s="1">
        <v>1683742</v>
      </c>
    </row>
    <row r="860" spans="1:11" x14ac:dyDescent="0.25">
      <c r="A860" t="s">
        <v>326</v>
      </c>
      <c r="B860" t="s">
        <v>654</v>
      </c>
      <c r="C860" t="s">
        <v>866</v>
      </c>
      <c r="D860" t="s">
        <v>14</v>
      </c>
      <c r="E860">
        <v>7</v>
      </c>
      <c r="F860" s="2">
        <f>DATE(2026,IF(Tabla1[[#This Row],[Mes de Fecha]]="Septiembre",9,10),Tabla1[[#This Row],[Día de Fecha]])</f>
        <v>46302</v>
      </c>
      <c r="G860">
        <v>1143142715</v>
      </c>
      <c r="H860" t="s">
        <v>407</v>
      </c>
      <c r="I860">
        <v>-1</v>
      </c>
      <c r="J860">
        <v>0</v>
      </c>
      <c r="K860" s="1">
        <v>-71386</v>
      </c>
    </row>
    <row r="861" spans="1:11" x14ac:dyDescent="0.25">
      <c r="A861" t="s">
        <v>326</v>
      </c>
      <c r="B861" t="s">
        <v>677</v>
      </c>
      <c r="C861" t="s">
        <v>866</v>
      </c>
      <c r="D861" t="s">
        <v>11</v>
      </c>
      <c r="E861">
        <v>23</v>
      </c>
      <c r="F861" s="2">
        <f>DATE(2026,IF(Tabla1[[#This Row],[Mes de Fecha]]="Septiembre",9,10),Tabla1[[#This Row],[Día de Fecha]])</f>
        <v>46288</v>
      </c>
      <c r="I861">
        <v>0</v>
      </c>
      <c r="J861">
        <v>0</v>
      </c>
      <c r="K861">
        <v>0</v>
      </c>
    </row>
    <row r="862" spans="1:11" x14ac:dyDescent="0.25">
      <c r="A862" t="s">
        <v>326</v>
      </c>
      <c r="B862" t="s">
        <v>677</v>
      </c>
      <c r="C862" t="s">
        <v>866</v>
      </c>
      <c r="D862" t="s">
        <v>11</v>
      </c>
      <c r="E862">
        <v>24</v>
      </c>
      <c r="F862" s="2">
        <f>DATE(2026,IF(Tabla1[[#This Row],[Mes de Fecha]]="Septiembre",9,10),Tabla1[[#This Row],[Día de Fecha]])</f>
        <v>46289</v>
      </c>
      <c r="I862">
        <v>0</v>
      </c>
      <c r="J862" s="1">
        <v>1101935</v>
      </c>
      <c r="K862">
        <v>0</v>
      </c>
    </row>
    <row r="863" spans="1:11" x14ac:dyDescent="0.25">
      <c r="A863" t="s">
        <v>326</v>
      </c>
      <c r="B863" t="s">
        <v>677</v>
      </c>
      <c r="C863" t="s">
        <v>866</v>
      </c>
      <c r="D863" t="s">
        <v>11</v>
      </c>
      <c r="E863">
        <v>24</v>
      </c>
      <c r="F863" s="2">
        <f>DATE(2026,IF(Tabla1[[#This Row],[Mes de Fecha]]="Septiembre",9,10),Tabla1[[#This Row],[Día de Fecha]])</f>
        <v>46289</v>
      </c>
      <c r="G863">
        <v>1004274455</v>
      </c>
      <c r="H863" t="s">
        <v>678</v>
      </c>
      <c r="I863">
        <v>8</v>
      </c>
      <c r="J863">
        <v>0</v>
      </c>
      <c r="K863" s="1">
        <v>388320</v>
      </c>
    </row>
    <row r="864" spans="1:11" x14ac:dyDescent="0.25">
      <c r="A864" t="s">
        <v>326</v>
      </c>
      <c r="B864" t="s">
        <v>677</v>
      </c>
      <c r="C864" t="s">
        <v>866</v>
      </c>
      <c r="D864" t="s">
        <v>11</v>
      </c>
      <c r="E864">
        <v>24</v>
      </c>
      <c r="F864" s="2">
        <f>DATE(2026,IF(Tabla1[[#This Row],[Mes de Fecha]]="Septiembre",9,10),Tabla1[[#This Row],[Día de Fecha]])</f>
        <v>46289</v>
      </c>
      <c r="G864">
        <v>1083011955</v>
      </c>
      <c r="H864" t="s">
        <v>679</v>
      </c>
      <c r="I864">
        <v>5</v>
      </c>
      <c r="J864">
        <v>0</v>
      </c>
      <c r="K864" s="1">
        <v>256092</v>
      </c>
    </row>
    <row r="865" spans="1:11" x14ac:dyDescent="0.25">
      <c r="A865" t="s">
        <v>326</v>
      </c>
      <c r="B865" t="s">
        <v>677</v>
      </c>
      <c r="C865" t="s">
        <v>866</v>
      </c>
      <c r="D865" t="s">
        <v>11</v>
      </c>
      <c r="E865">
        <v>24</v>
      </c>
      <c r="F865" s="2">
        <f>DATE(2026,IF(Tabla1[[#This Row],[Mes de Fecha]]="Septiembre",9,10),Tabla1[[#This Row],[Día de Fecha]])</f>
        <v>46289</v>
      </c>
      <c r="G865">
        <v>1083017921</v>
      </c>
      <c r="H865" t="s">
        <v>680</v>
      </c>
      <c r="I865">
        <v>1</v>
      </c>
      <c r="J865">
        <v>0</v>
      </c>
      <c r="K865" s="1">
        <v>54580</v>
      </c>
    </row>
    <row r="866" spans="1:11" x14ac:dyDescent="0.25">
      <c r="A866" t="s">
        <v>326</v>
      </c>
      <c r="B866" t="s">
        <v>677</v>
      </c>
      <c r="C866" t="s">
        <v>866</v>
      </c>
      <c r="D866" t="s">
        <v>11</v>
      </c>
      <c r="E866">
        <v>24</v>
      </c>
      <c r="F866" s="2">
        <f>DATE(2026,IF(Tabla1[[#This Row],[Mes de Fecha]]="Septiembre",9,10),Tabla1[[#This Row],[Día de Fecha]])</f>
        <v>46289</v>
      </c>
      <c r="G866">
        <v>1113858490</v>
      </c>
      <c r="H866" t="s">
        <v>681</v>
      </c>
      <c r="I866">
        <v>3</v>
      </c>
      <c r="J866">
        <v>0</v>
      </c>
      <c r="K866" s="1">
        <v>121723</v>
      </c>
    </row>
    <row r="867" spans="1:11" x14ac:dyDescent="0.25">
      <c r="A867" t="s">
        <v>326</v>
      </c>
      <c r="B867" t="s">
        <v>677</v>
      </c>
      <c r="C867" t="s">
        <v>866</v>
      </c>
      <c r="D867" t="s">
        <v>11</v>
      </c>
      <c r="E867">
        <v>24</v>
      </c>
      <c r="F867" s="2">
        <f>DATE(2026,IF(Tabla1[[#This Row],[Mes de Fecha]]="Septiembre",9,10),Tabla1[[#This Row],[Día de Fecha]])</f>
        <v>46289</v>
      </c>
      <c r="G867">
        <v>1193566789</v>
      </c>
      <c r="H867" t="s">
        <v>682</v>
      </c>
      <c r="I867">
        <v>6</v>
      </c>
      <c r="J867">
        <v>0</v>
      </c>
      <c r="K867" s="1">
        <v>281219</v>
      </c>
    </row>
    <row r="868" spans="1:11" x14ac:dyDescent="0.25">
      <c r="A868" t="s">
        <v>326</v>
      </c>
      <c r="B868" t="s">
        <v>677</v>
      </c>
      <c r="C868" t="s">
        <v>866</v>
      </c>
      <c r="D868" t="s">
        <v>11</v>
      </c>
      <c r="E868">
        <v>25</v>
      </c>
      <c r="F868" s="2">
        <f>DATE(2026,IF(Tabla1[[#This Row],[Mes de Fecha]]="Septiembre",9,10),Tabla1[[#This Row],[Día de Fecha]])</f>
        <v>46290</v>
      </c>
      <c r="I868">
        <v>0</v>
      </c>
      <c r="J868" s="1">
        <v>14039615</v>
      </c>
      <c r="K868">
        <v>0</v>
      </c>
    </row>
    <row r="869" spans="1:11" x14ac:dyDescent="0.25">
      <c r="A869" t="s">
        <v>326</v>
      </c>
      <c r="B869" t="s">
        <v>677</v>
      </c>
      <c r="C869" t="s">
        <v>866</v>
      </c>
      <c r="D869" t="s">
        <v>11</v>
      </c>
      <c r="E869">
        <v>25</v>
      </c>
      <c r="F869" s="2">
        <f>DATE(2026,IF(Tabla1[[#This Row],[Mes de Fecha]]="Septiembre",9,10),Tabla1[[#This Row],[Día de Fecha]])</f>
        <v>46290</v>
      </c>
      <c r="G869">
        <v>1004274455</v>
      </c>
      <c r="H869" t="s">
        <v>678</v>
      </c>
      <c r="I869">
        <v>47</v>
      </c>
      <c r="J869">
        <v>0</v>
      </c>
      <c r="K869" s="1">
        <v>2321387</v>
      </c>
    </row>
    <row r="870" spans="1:11" x14ac:dyDescent="0.25">
      <c r="A870" t="s">
        <v>326</v>
      </c>
      <c r="B870" t="s">
        <v>677</v>
      </c>
      <c r="C870" t="s">
        <v>866</v>
      </c>
      <c r="D870" t="s">
        <v>11</v>
      </c>
      <c r="E870">
        <v>25</v>
      </c>
      <c r="F870" s="2">
        <f>DATE(2026,IF(Tabla1[[#This Row],[Mes de Fecha]]="Septiembre",9,10),Tabla1[[#This Row],[Día de Fecha]])</f>
        <v>46290</v>
      </c>
      <c r="G870">
        <v>1083011955</v>
      </c>
      <c r="H870" t="s">
        <v>679</v>
      </c>
      <c r="I870">
        <v>45</v>
      </c>
      <c r="J870">
        <v>0</v>
      </c>
      <c r="K870" s="1">
        <v>2378195</v>
      </c>
    </row>
    <row r="871" spans="1:11" x14ac:dyDescent="0.25">
      <c r="A871" t="s">
        <v>326</v>
      </c>
      <c r="B871" t="s">
        <v>677</v>
      </c>
      <c r="C871" t="s">
        <v>866</v>
      </c>
      <c r="D871" t="s">
        <v>11</v>
      </c>
      <c r="E871">
        <v>25</v>
      </c>
      <c r="F871" s="2">
        <f>DATE(2026,IF(Tabla1[[#This Row],[Mes de Fecha]]="Septiembre",9,10),Tabla1[[#This Row],[Día de Fecha]])</f>
        <v>46290</v>
      </c>
      <c r="G871">
        <v>1083017921</v>
      </c>
      <c r="H871" t="s">
        <v>680</v>
      </c>
      <c r="I871">
        <v>108</v>
      </c>
      <c r="J871">
        <v>0</v>
      </c>
      <c r="K871" s="1">
        <v>3706473</v>
      </c>
    </row>
    <row r="872" spans="1:11" x14ac:dyDescent="0.25">
      <c r="A872" t="s">
        <v>326</v>
      </c>
      <c r="B872" t="s">
        <v>677</v>
      </c>
      <c r="C872" t="s">
        <v>866</v>
      </c>
      <c r="D872" t="s">
        <v>11</v>
      </c>
      <c r="E872">
        <v>25</v>
      </c>
      <c r="F872" s="2">
        <f>DATE(2026,IF(Tabla1[[#This Row],[Mes de Fecha]]="Septiembre",9,10),Tabla1[[#This Row],[Día de Fecha]])</f>
        <v>46290</v>
      </c>
      <c r="G872">
        <v>1113858490</v>
      </c>
      <c r="H872" t="s">
        <v>681</v>
      </c>
      <c r="I872">
        <v>39</v>
      </c>
      <c r="J872">
        <v>0</v>
      </c>
      <c r="K872" s="1">
        <v>1994040</v>
      </c>
    </row>
    <row r="873" spans="1:11" x14ac:dyDescent="0.25">
      <c r="A873" t="s">
        <v>326</v>
      </c>
      <c r="B873" t="s">
        <v>677</v>
      </c>
      <c r="C873" t="s">
        <v>866</v>
      </c>
      <c r="D873" t="s">
        <v>11</v>
      </c>
      <c r="E873">
        <v>25</v>
      </c>
      <c r="F873" s="2">
        <f>DATE(2026,IF(Tabla1[[#This Row],[Mes de Fecha]]="Septiembre",9,10),Tabla1[[#This Row],[Día de Fecha]])</f>
        <v>46290</v>
      </c>
      <c r="G873">
        <v>1193566789</v>
      </c>
      <c r="H873" t="s">
        <v>682</v>
      </c>
      <c r="I873">
        <v>65</v>
      </c>
      <c r="J873">
        <v>0</v>
      </c>
      <c r="K873" s="1">
        <v>3242860</v>
      </c>
    </row>
    <row r="874" spans="1:11" x14ac:dyDescent="0.25">
      <c r="A874" t="s">
        <v>326</v>
      </c>
      <c r="B874" t="s">
        <v>677</v>
      </c>
      <c r="C874" t="s">
        <v>866</v>
      </c>
      <c r="D874" t="s">
        <v>11</v>
      </c>
      <c r="E874">
        <v>26</v>
      </c>
      <c r="F874" s="2">
        <f>DATE(2026,IF(Tabla1[[#This Row],[Mes de Fecha]]="Septiembre",9,10),Tabla1[[#This Row],[Día de Fecha]])</f>
        <v>46291</v>
      </c>
      <c r="I874">
        <v>0</v>
      </c>
      <c r="J874" s="1">
        <v>20176942</v>
      </c>
      <c r="K874">
        <v>0</v>
      </c>
    </row>
    <row r="875" spans="1:11" x14ac:dyDescent="0.25">
      <c r="A875" t="s">
        <v>326</v>
      </c>
      <c r="B875" t="s">
        <v>677</v>
      </c>
      <c r="C875" t="s">
        <v>866</v>
      </c>
      <c r="D875" t="s">
        <v>11</v>
      </c>
      <c r="E875">
        <v>26</v>
      </c>
      <c r="F875" s="2">
        <f>DATE(2026,IF(Tabla1[[#This Row],[Mes de Fecha]]="Septiembre",9,10),Tabla1[[#This Row],[Día de Fecha]])</f>
        <v>46291</v>
      </c>
      <c r="G875">
        <v>1004274455</v>
      </c>
      <c r="H875" t="s">
        <v>678</v>
      </c>
      <c r="I875">
        <v>39</v>
      </c>
      <c r="J875">
        <v>0</v>
      </c>
      <c r="K875" s="1">
        <v>2040382</v>
      </c>
    </row>
    <row r="876" spans="1:11" x14ac:dyDescent="0.25">
      <c r="A876" t="s">
        <v>326</v>
      </c>
      <c r="B876" t="s">
        <v>677</v>
      </c>
      <c r="C876" t="s">
        <v>866</v>
      </c>
      <c r="D876" t="s">
        <v>11</v>
      </c>
      <c r="E876">
        <v>26</v>
      </c>
      <c r="F876" s="2">
        <f>DATE(2026,IF(Tabla1[[#This Row],[Mes de Fecha]]="Septiembre",9,10),Tabla1[[#This Row],[Día de Fecha]])</f>
        <v>46291</v>
      </c>
      <c r="G876">
        <v>1083011955</v>
      </c>
      <c r="H876" t="s">
        <v>679</v>
      </c>
      <c r="I876">
        <v>45</v>
      </c>
      <c r="J876">
        <v>0</v>
      </c>
      <c r="K876" s="1">
        <v>2086222</v>
      </c>
    </row>
    <row r="877" spans="1:11" x14ac:dyDescent="0.25">
      <c r="A877" t="s">
        <v>326</v>
      </c>
      <c r="B877" t="s">
        <v>677</v>
      </c>
      <c r="C877" t="s">
        <v>866</v>
      </c>
      <c r="D877" t="s">
        <v>11</v>
      </c>
      <c r="E877">
        <v>26</v>
      </c>
      <c r="F877" s="2">
        <f>DATE(2026,IF(Tabla1[[#This Row],[Mes de Fecha]]="Septiembre",9,10),Tabla1[[#This Row],[Día de Fecha]])</f>
        <v>46291</v>
      </c>
      <c r="G877">
        <v>1083017921</v>
      </c>
      <c r="H877" t="s">
        <v>680</v>
      </c>
      <c r="I877">
        <v>45</v>
      </c>
      <c r="J877">
        <v>0</v>
      </c>
      <c r="K877" s="1">
        <v>2231138</v>
      </c>
    </row>
    <row r="878" spans="1:11" x14ac:dyDescent="0.25">
      <c r="A878" t="s">
        <v>326</v>
      </c>
      <c r="B878" t="s">
        <v>677</v>
      </c>
      <c r="C878" t="s">
        <v>866</v>
      </c>
      <c r="D878" t="s">
        <v>11</v>
      </c>
      <c r="E878">
        <v>26</v>
      </c>
      <c r="F878" s="2">
        <f>DATE(2026,IF(Tabla1[[#This Row],[Mes de Fecha]]="Septiembre",9,10),Tabla1[[#This Row],[Día de Fecha]])</f>
        <v>46291</v>
      </c>
      <c r="G878">
        <v>1113858490</v>
      </c>
      <c r="H878" t="s">
        <v>681</v>
      </c>
      <c r="I878">
        <v>33</v>
      </c>
      <c r="J878">
        <v>0</v>
      </c>
      <c r="K878" s="1">
        <v>1868278</v>
      </c>
    </row>
    <row r="879" spans="1:11" x14ac:dyDescent="0.25">
      <c r="A879" t="s">
        <v>326</v>
      </c>
      <c r="B879" t="s">
        <v>677</v>
      </c>
      <c r="C879" t="s">
        <v>866</v>
      </c>
      <c r="D879" t="s">
        <v>11</v>
      </c>
      <c r="E879">
        <v>26</v>
      </c>
      <c r="F879" s="2">
        <f>DATE(2026,IF(Tabla1[[#This Row],[Mes de Fecha]]="Septiembre",9,10),Tabla1[[#This Row],[Día de Fecha]])</f>
        <v>46291</v>
      </c>
      <c r="G879">
        <v>1193566789</v>
      </c>
      <c r="H879" t="s">
        <v>682</v>
      </c>
      <c r="I879">
        <v>33</v>
      </c>
      <c r="J879">
        <v>0</v>
      </c>
      <c r="K879" s="1">
        <v>1523826</v>
      </c>
    </row>
    <row r="880" spans="1:11" x14ac:dyDescent="0.25">
      <c r="A880" t="s">
        <v>326</v>
      </c>
      <c r="B880" t="s">
        <v>677</v>
      </c>
      <c r="C880" t="s">
        <v>866</v>
      </c>
      <c r="D880" t="s">
        <v>11</v>
      </c>
      <c r="E880">
        <v>27</v>
      </c>
      <c r="F880" s="2">
        <f>DATE(2026,IF(Tabla1[[#This Row],[Mes de Fecha]]="Septiembre",9,10),Tabla1[[#This Row],[Día de Fecha]])</f>
        <v>46292</v>
      </c>
      <c r="I880">
        <v>0</v>
      </c>
      <c r="J880" s="1">
        <v>15984202</v>
      </c>
      <c r="K880">
        <v>0</v>
      </c>
    </row>
    <row r="881" spans="1:11" x14ac:dyDescent="0.25">
      <c r="A881" t="s">
        <v>326</v>
      </c>
      <c r="B881" t="s">
        <v>677</v>
      </c>
      <c r="C881" t="s">
        <v>866</v>
      </c>
      <c r="D881" t="s">
        <v>11</v>
      </c>
      <c r="E881">
        <v>27</v>
      </c>
      <c r="F881" s="2">
        <f>DATE(2026,IF(Tabla1[[#This Row],[Mes de Fecha]]="Septiembre",9,10),Tabla1[[#This Row],[Día de Fecha]])</f>
        <v>46292</v>
      </c>
      <c r="G881">
        <v>1004274455</v>
      </c>
      <c r="H881" t="s">
        <v>678</v>
      </c>
      <c r="I881">
        <v>21</v>
      </c>
      <c r="J881">
        <v>0</v>
      </c>
      <c r="K881" s="1">
        <v>1030590</v>
      </c>
    </row>
    <row r="882" spans="1:11" x14ac:dyDescent="0.25">
      <c r="A882" t="s">
        <v>326</v>
      </c>
      <c r="B882" t="s">
        <v>677</v>
      </c>
      <c r="C882" t="s">
        <v>866</v>
      </c>
      <c r="D882" t="s">
        <v>11</v>
      </c>
      <c r="E882">
        <v>27</v>
      </c>
      <c r="F882" s="2">
        <f>DATE(2026,IF(Tabla1[[#This Row],[Mes de Fecha]]="Septiembre",9,10),Tabla1[[#This Row],[Día de Fecha]])</f>
        <v>46292</v>
      </c>
      <c r="G882">
        <v>1083011955</v>
      </c>
      <c r="H882" t="s">
        <v>679</v>
      </c>
      <c r="I882">
        <v>23</v>
      </c>
      <c r="J882">
        <v>0</v>
      </c>
      <c r="K882" s="1">
        <v>1038784</v>
      </c>
    </row>
    <row r="883" spans="1:11" x14ac:dyDescent="0.25">
      <c r="A883" t="s">
        <v>326</v>
      </c>
      <c r="B883" t="s">
        <v>677</v>
      </c>
      <c r="C883" t="s">
        <v>866</v>
      </c>
      <c r="D883" t="s">
        <v>11</v>
      </c>
      <c r="E883">
        <v>27</v>
      </c>
      <c r="F883" s="2">
        <f>DATE(2026,IF(Tabla1[[#This Row],[Mes de Fecha]]="Septiembre",9,10),Tabla1[[#This Row],[Día de Fecha]])</f>
        <v>46292</v>
      </c>
      <c r="G883">
        <v>1083017921</v>
      </c>
      <c r="H883" t="s">
        <v>680</v>
      </c>
      <c r="I883">
        <v>55</v>
      </c>
      <c r="J883">
        <v>0</v>
      </c>
      <c r="K883" s="1">
        <v>3159160</v>
      </c>
    </row>
    <row r="884" spans="1:11" x14ac:dyDescent="0.25">
      <c r="A884" t="s">
        <v>326</v>
      </c>
      <c r="B884" t="s">
        <v>677</v>
      </c>
      <c r="C884" t="s">
        <v>866</v>
      </c>
      <c r="D884" t="s">
        <v>11</v>
      </c>
      <c r="E884">
        <v>27</v>
      </c>
      <c r="F884" s="2">
        <f>DATE(2026,IF(Tabla1[[#This Row],[Mes de Fecha]]="Septiembre",9,10),Tabla1[[#This Row],[Día de Fecha]])</f>
        <v>46292</v>
      </c>
      <c r="G884">
        <v>1113858490</v>
      </c>
      <c r="H884" t="s">
        <v>681</v>
      </c>
      <c r="I884">
        <v>42</v>
      </c>
      <c r="J884">
        <v>0</v>
      </c>
      <c r="K884" s="1">
        <v>2071640</v>
      </c>
    </row>
    <row r="885" spans="1:11" x14ac:dyDescent="0.25">
      <c r="A885" t="s">
        <v>326</v>
      </c>
      <c r="B885" t="s">
        <v>677</v>
      </c>
      <c r="C885" t="s">
        <v>866</v>
      </c>
      <c r="D885" t="s">
        <v>11</v>
      </c>
      <c r="E885">
        <v>27</v>
      </c>
      <c r="F885" s="2">
        <f>DATE(2026,IF(Tabla1[[#This Row],[Mes de Fecha]]="Septiembre",9,10),Tabla1[[#This Row],[Día de Fecha]])</f>
        <v>46292</v>
      </c>
      <c r="G885">
        <v>1193566789</v>
      </c>
      <c r="H885" t="s">
        <v>682</v>
      </c>
      <c r="I885">
        <v>32</v>
      </c>
      <c r="J885">
        <v>0</v>
      </c>
      <c r="K885" s="1">
        <v>1792690</v>
      </c>
    </row>
    <row r="886" spans="1:11" x14ac:dyDescent="0.25">
      <c r="A886" t="s">
        <v>326</v>
      </c>
      <c r="B886" t="s">
        <v>677</v>
      </c>
      <c r="C886" t="s">
        <v>866</v>
      </c>
      <c r="D886" t="s">
        <v>11</v>
      </c>
      <c r="E886">
        <v>28</v>
      </c>
      <c r="F886" s="2">
        <f>DATE(2026,IF(Tabla1[[#This Row],[Mes de Fecha]]="Septiembre",9,10),Tabla1[[#This Row],[Día de Fecha]])</f>
        <v>46293</v>
      </c>
      <c r="I886">
        <v>0</v>
      </c>
      <c r="J886" s="1">
        <v>8999813</v>
      </c>
      <c r="K886">
        <v>0</v>
      </c>
    </row>
    <row r="887" spans="1:11" x14ac:dyDescent="0.25">
      <c r="A887" t="s">
        <v>326</v>
      </c>
      <c r="B887" t="s">
        <v>677</v>
      </c>
      <c r="C887" t="s">
        <v>866</v>
      </c>
      <c r="D887" t="s">
        <v>11</v>
      </c>
      <c r="E887">
        <v>28</v>
      </c>
      <c r="F887" s="2">
        <f>DATE(2026,IF(Tabla1[[#This Row],[Mes de Fecha]]="Septiembre",9,10),Tabla1[[#This Row],[Día de Fecha]])</f>
        <v>46293</v>
      </c>
      <c r="G887">
        <v>1004274455</v>
      </c>
      <c r="H887" t="s">
        <v>678</v>
      </c>
      <c r="I887">
        <v>25</v>
      </c>
      <c r="J887">
        <v>0</v>
      </c>
      <c r="K887" s="1">
        <v>1335044</v>
      </c>
    </row>
    <row r="888" spans="1:11" x14ac:dyDescent="0.25">
      <c r="A888" t="s">
        <v>326</v>
      </c>
      <c r="B888" t="s">
        <v>677</v>
      </c>
      <c r="C888" t="s">
        <v>866</v>
      </c>
      <c r="D888" t="s">
        <v>11</v>
      </c>
      <c r="E888">
        <v>28</v>
      </c>
      <c r="F888" s="2">
        <f>DATE(2026,IF(Tabla1[[#This Row],[Mes de Fecha]]="Septiembre",9,10),Tabla1[[#This Row],[Día de Fecha]])</f>
        <v>46293</v>
      </c>
      <c r="G888">
        <v>1083011955</v>
      </c>
      <c r="H888" t="s">
        <v>679</v>
      </c>
      <c r="I888">
        <v>15</v>
      </c>
      <c r="J888">
        <v>0</v>
      </c>
      <c r="K888" s="1">
        <v>814456</v>
      </c>
    </row>
    <row r="889" spans="1:11" x14ac:dyDescent="0.25">
      <c r="A889" t="s">
        <v>326</v>
      </c>
      <c r="B889" t="s">
        <v>677</v>
      </c>
      <c r="C889" t="s">
        <v>866</v>
      </c>
      <c r="D889" t="s">
        <v>11</v>
      </c>
      <c r="E889">
        <v>28</v>
      </c>
      <c r="F889" s="2">
        <f>DATE(2026,IF(Tabla1[[#This Row],[Mes de Fecha]]="Septiembre",9,10),Tabla1[[#This Row],[Día de Fecha]])</f>
        <v>46293</v>
      </c>
      <c r="G889">
        <v>1083017921</v>
      </c>
      <c r="H889" t="s">
        <v>680</v>
      </c>
      <c r="I889">
        <v>10</v>
      </c>
      <c r="J889">
        <v>0</v>
      </c>
      <c r="K889" s="1">
        <v>499454</v>
      </c>
    </row>
    <row r="890" spans="1:11" x14ac:dyDescent="0.25">
      <c r="A890" t="s">
        <v>326</v>
      </c>
      <c r="B890" t="s">
        <v>677</v>
      </c>
      <c r="C890" t="s">
        <v>866</v>
      </c>
      <c r="D890" t="s">
        <v>11</v>
      </c>
      <c r="E890">
        <v>28</v>
      </c>
      <c r="F890" s="2">
        <f>DATE(2026,IF(Tabla1[[#This Row],[Mes de Fecha]]="Septiembre",9,10),Tabla1[[#This Row],[Día de Fecha]])</f>
        <v>46293</v>
      </c>
      <c r="G890">
        <v>1113858490</v>
      </c>
      <c r="H890" t="s">
        <v>681</v>
      </c>
      <c r="I890">
        <v>34</v>
      </c>
      <c r="J890">
        <v>0</v>
      </c>
      <c r="K890" s="1">
        <v>1931220</v>
      </c>
    </row>
    <row r="891" spans="1:11" x14ac:dyDescent="0.25">
      <c r="A891" t="s">
        <v>326</v>
      </c>
      <c r="B891" t="s">
        <v>677</v>
      </c>
      <c r="C891" t="s">
        <v>866</v>
      </c>
      <c r="D891" t="s">
        <v>11</v>
      </c>
      <c r="E891">
        <v>28</v>
      </c>
      <c r="F891" s="2">
        <f>DATE(2026,IF(Tabla1[[#This Row],[Mes de Fecha]]="Septiembre",9,10),Tabla1[[#This Row],[Día de Fecha]])</f>
        <v>46293</v>
      </c>
      <c r="G891">
        <v>1193566789</v>
      </c>
      <c r="H891" t="s">
        <v>682</v>
      </c>
      <c r="I891">
        <v>31</v>
      </c>
      <c r="J891">
        <v>0</v>
      </c>
      <c r="K891" s="1">
        <v>1469160</v>
      </c>
    </row>
    <row r="892" spans="1:11" x14ac:dyDescent="0.25">
      <c r="A892" t="s">
        <v>326</v>
      </c>
      <c r="B892" t="s">
        <v>677</v>
      </c>
      <c r="C892" t="s">
        <v>866</v>
      </c>
      <c r="D892" t="s">
        <v>11</v>
      </c>
      <c r="E892">
        <v>29</v>
      </c>
      <c r="F892" s="2">
        <f>DATE(2026,IF(Tabla1[[#This Row],[Mes de Fecha]]="Septiembre",9,10),Tabla1[[#This Row],[Día de Fecha]])</f>
        <v>46294</v>
      </c>
      <c r="I892">
        <v>0</v>
      </c>
      <c r="J892" s="1">
        <v>9194202</v>
      </c>
      <c r="K892">
        <v>0</v>
      </c>
    </row>
    <row r="893" spans="1:11" x14ac:dyDescent="0.25">
      <c r="A893" t="s">
        <v>326</v>
      </c>
      <c r="B893" t="s">
        <v>677</v>
      </c>
      <c r="C893" t="s">
        <v>866</v>
      </c>
      <c r="D893" t="s">
        <v>11</v>
      </c>
      <c r="E893">
        <v>29</v>
      </c>
      <c r="F893" s="2">
        <f>DATE(2026,IF(Tabla1[[#This Row],[Mes de Fecha]]="Septiembre",9,10),Tabla1[[#This Row],[Día de Fecha]])</f>
        <v>46294</v>
      </c>
      <c r="G893">
        <v>1004274455</v>
      </c>
      <c r="H893" t="s">
        <v>678</v>
      </c>
      <c r="I893">
        <v>52</v>
      </c>
      <c r="J893">
        <v>0</v>
      </c>
      <c r="K893" s="1">
        <v>2371642</v>
      </c>
    </row>
    <row r="894" spans="1:11" x14ac:dyDescent="0.25">
      <c r="A894" t="s">
        <v>326</v>
      </c>
      <c r="B894" t="s">
        <v>677</v>
      </c>
      <c r="C894" t="s">
        <v>866</v>
      </c>
      <c r="D894" t="s">
        <v>11</v>
      </c>
      <c r="E894">
        <v>29</v>
      </c>
      <c r="F894" s="2">
        <f>DATE(2026,IF(Tabla1[[#This Row],[Mes de Fecha]]="Septiembre",9,10),Tabla1[[#This Row],[Día de Fecha]])</f>
        <v>46294</v>
      </c>
      <c r="G894">
        <v>1083011955</v>
      </c>
      <c r="H894" t="s">
        <v>679</v>
      </c>
      <c r="I894">
        <v>25</v>
      </c>
      <c r="J894">
        <v>0</v>
      </c>
      <c r="K894" s="1">
        <v>1120762</v>
      </c>
    </row>
    <row r="895" spans="1:11" x14ac:dyDescent="0.25">
      <c r="A895" t="s">
        <v>326</v>
      </c>
      <c r="B895" t="s">
        <v>677</v>
      </c>
      <c r="C895" t="s">
        <v>866</v>
      </c>
      <c r="D895" t="s">
        <v>11</v>
      </c>
      <c r="E895">
        <v>29</v>
      </c>
      <c r="F895" s="2">
        <f>DATE(2026,IF(Tabla1[[#This Row],[Mes de Fecha]]="Septiembre",9,10),Tabla1[[#This Row],[Día de Fecha]])</f>
        <v>46294</v>
      </c>
      <c r="G895">
        <v>1083017921</v>
      </c>
      <c r="H895" t="s">
        <v>680</v>
      </c>
      <c r="I895">
        <v>34</v>
      </c>
      <c r="J895">
        <v>0</v>
      </c>
      <c r="K895" s="1">
        <v>1590799</v>
      </c>
    </row>
    <row r="896" spans="1:11" x14ac:dyDescent="0.25">
      <c r="A896" t="s">
        <v>326</v>
      </c>
      <c r="B896" t="s">
        <v>677</v>
      </c>
      <c r="C896" t="s">
        <v>866</v>
      </c>
      <c r="D896" t="s">
        <v>11</v>
      </c>
      <c r="E896">
        <v>29</v>
      </c>
      <c r="F896" s="2">
        <f>DATE(2026,IF(Tabla1[[#This Row],[Mes de Fecha]]="Septiembre",9,10),Tabla1[[#This Row],[Día de Fecha]])</f>
        <v>46294</v>
      </c>
      <c r="G896">
        <v>1113858490</v>
      </c>
      <c r="H896" t="s">
        <v>681</v>
      </c>
      <c r="I896">
        <v>28</v>
      </c>
      <c r="J896">
        <v>0</v>
      </c>
      <c r="K896" s="1">
        <v>1332735</v>
      </c>
    </row>
    <row r="897" spans="1:11" x14ac:dyDescent="0.25">
      <c r="A897" t="s">
        <v>326</v>
      </c>
      <c r="B897" t="s">
        <v>677</v>
      </c>
      <c r="C897" t="s">
        <v>866</v>
      </c>
      <c r="D897" t="s">
        <v>11</v>
      </c>
      <c r="E897">
        <v>29</v>
      </c>
      <c r="F897" s="2">
        <f>DATE(2026,IF(Tabla1[[#This Row],[Mes de Fecha]]="Septiembre",9,10),Tabla1[[#This Row],[Día de Fecha]])</f>
        <v>46294</v>
      </c>
      <c r="G897">
        <v>1193566789</v>
      </c>
      <c r="H897" t="s">
        <v>682</v>
      </c>
      <c r="I897">
        <v>45</v>
      </c>
      <c r="J897">
        <v>0</v>
      </c>
      <c r="K897" s="1">
        <v>2443532</v>
      </c>
    </row>
    <row r="898" spans="1:11" x14ac:dyDescent="0.25">
      <c r="A898" t="s">
        <v>326</v>
      </c>
      <c r="B898" t="s">
        <v>677</v>
      </c>
      <c r="C898" t="s">
        <v>866</v>
      </c>
      <c r="D898" t="s">
        <v>11</v>
      </c>
      <c r="E898">
        <v>30</v>
      </c>
      <c r="F898" s="2">
        <f>DATE(2026,IF(Tabla1[[#This Row],[Mes de Fecha]]="Septiembre",9,10),Tabla1[[#This Row],[Día de Fecha]])</f>
        <v>46295</v>
      </c>
      <c r="I898">
        <v>0</v>
      </c>
      <c r="J898" s="1">
        <v>7354634</v>
      </c>
      <c r="K898">
        <v>0</v>
      </c>
    </row>
    <row r="899" spans="1:11" x14ac:dyDescent="0.25">
      <c r="A899" t="s">
        <v>326</v>
      </c>
      <c r="B899" t="s">
        <v>677</v>
      </c>
      <c r="C899" t="s">
        <v>866</v>
      </c>
      <c r="D899" t="s">
        <v>11</v>
      </c>
      <c r="E899">
        <v>30</v>
      </c>
      <c r="F899" s="2">
        <f>DATE(2026,IF(Tabla1[[#This Row],[Mes de Fecha]]="Septiembre",9,10),Tabla1[[#This Row],[Día de Fecha]])</f>
        <v>46295</v>
      </c>
      <c r="G899">
        <v>1004274455</v>
      </c>
      <c r="H899" t="s">
        <v>678</v>
      </c>
      <c r="I899">
        <v>31</v>
      </c>
      <c r="J899">
        <v>0</v>
      </c>
      <c r="K899" s="1">
        <v>1431429</v>
      </c>
    </row>
    <row r="900" spans="1:11" x14ac:dyDescent="0.25">
      <c r="A900" t="s">
        <v>326</v>
      </c>
      <c r="B900" t="s">
        <v>677</v>
      </c>
      <c r="C900" t="s">
        <v>866</v>
      </c>
      <c r="D900" t="s">
        <v>11</v>
      </c>
      <c r="E900">
        <v>30</v>
      </c>
      <c r="F900" s="2">
        <f>DATE(2026,IF(Tabla1[[#This Row],[Mes de Fecha]]="Septiembre",9,10),Tabla1[[#This Row],[Día de Fecha]])</f>
        <v>46295</v>
      </c>
      <c r="G900">
        <v>1083011955</v>
      </c>
      <c r="H900" t="s">
        <v>679</v>
      </c>
      <c r="I900">
        <v>18</v>
      </c>
      <c r="J900">
        <v>0</v>
      </c>
      <c r="K900" s="1">
        <v>944623</v>
      </c>
    </row>
    <row r="901" spans="1:11" x14ac:dyDescent="0.25">
      <c r="A901" t="s">
        <v>326</v>
      </c>
      <c r="B901" t="s">
        <v>677</v>
      </c>
      <c r="C901" t="s">
        <v>866</v>
      </c>
      <c r="D901" t="s">
        <v>11</v>
      </c>
      <c r="E901">
        <v>30</v>
      </c>
      <c r="F901" s="2">
        <f>DATE(2026,IF(Tabla1[[#This Row],[Mes de Fecha]]="Septiembre",9,10),Tabla1[[#This Row],[Día de Fecha]])</f>
        <v>46295</v>
      </c>
      <c r="G901">
        <v>1083017921</v>
      </c>
      <c r="H901" t="s">
        <v>680</v>
      </c>
      <c r="I901">
        <v>31</v>
      </c>
      <c r="J901">
        <v>0</v>
      </c>
      <c r="K901" s="1">
        <v>1502647</v>
      </c>
    </row>
    <row r="902" spans="1:11" x14ac:dyDescent="0.25">
      <c r="A902" t="s">
        <v>326</v>
      </c>
      <c r="B902" t="s">
        <v>677</v>
      </c>
      <c r="C902" t="s">
        <v>866</v>
      </c>
      <c r="D902" t="s">
        <v>11</v>
      </c>
      <c r="E902">
        <v>30</v>
      </c>
      <c r="F902" s="2">
        <f>DATE(2026,IF(Tabla1[[#This Row],[Mes de Fecha]]="Septiembre",9,10),Tabla1[[#This Row],[Día de Fecha]])</f>
        <v>46295</v>
      </c>
      <c r="G902">
        <v>1113858490</v>
      </c>
      <c r="H902" t="s">
        <v>681</v>
      </c>
      <c r="I902">
        <v>43</v>
      </c>
      <c r="J902">
        <v>0</v>
      </c>
      <c r="K902" s="1">
        <v>2124164</v>
      </c>
    </row>
    <row r="903" spans="1:11" x14ac:dyDescent="0.25">
      <c r="A903" t="s">
        <v>326</v>
      </c>
      <c r="B903" t="s">
        <v>677</v>
      </c>
      <c r="C903" t="s">
        <v>866</v>
      </c>
      <c r="D903" t="s">
        <v>11</v>
      </c>
      <c r="E903">
        <v>30</v>
      </c>
      <c r="F903" s="2">
        <f>DATE(2026,IF(Tabla1[[#This Row],[Mes de Fecha]]="Septiembre",9,10),Tabla1[[#This Row],[Día de Fecha]])</f>
        <v>46295</v>
      </c>
      <c r="G903">
        <v>1193566789</v>
      </c>
      <c r="H903" t="s">
        <v>682</v>
      </c>
      <c r="I903">
        <v>26</v>
      </c>
      <c r="J903">
        <v>0</v>
      </c>
      <c r="K903" s="1">
        <v>1351770</v>
      </c>
    </row>
    <row r="904" spans="1:11" x14ac:dyDescent="0.25">
      <c r="A904" t="s">
        <v>326</v>
      </c>
      <c r="B904" t="s">
        <v>677</v>
      </c>
      <c r="C904" t="s">
        <v>866</v>
      </c>
      <c r="D904" t="s">
        <v>14</v>
      </c>
      <c r="E904">
        <v>1</v>
      </c>
      <c r="F904" s="2">
        <f>DATE(2026,IF(Tabla1[[#This Row],[Mes de Fecha]]="Septiembre",9,10),Tabla1[[#This Row],[Día de Fecha]])</f>
        <v>46296</v>
      </c>
      <c r="I904">
        <v>0</v>
      </c>
      <c r="J904" s="1">
        <v>14063703</v>
      </c>
      <c r="K904">
        <v>0</v>
      </c>
    </row>
    <row r="905" spans="1:11" x14ac:dyDescent="0.25">
      <c r="A905" t="s">
        <v>326</v>
      </c>
      <c r="B905" t="s">
        <v>677</v>
      </c>
      <c r="C905" t="s">
        <v>866</v>
      </c>
      <c r="D905" t="s">
        <v>14</v>
      </c>
      <c r="E905">
        <v>1</v>
      </c>
      <c r="F905" s="2">
        <f>DATE(2026,IF(Tabla1[[#This Row],[Mes de Fecha]]="Septiembre",9,10),Tabla1[[#This Row],[Día de Fecha]])</f>
        <v>46296</v>
      </c>
      <c r="G905">
        <v>1004274455</v>
      </c>
      <c r="H905" t="s">
        <v>678</v>
      </c>
      <c r="I905">
        <v>44</v>
      </c>
      <c r="J905">
        <v>0</v>
      </c>
      <c r="K905" s="1">
        <v>2636809</v>
      </c>
    </row>
    <row r="906" spans="1:11" x14ac:dyDescent="0.25">
      <c r="A906" t="s">
        <v>326</v>
      </c>
      <c r="B906" t="s">
        <v>677</v>
      </c>
      <c r="C906" t="s">
        <v>866</v>
      </c>
      <c r="D906" t="s">
        <v>14</v>
      </c>
      <c r="E906">
        <v>1</v>
      </c>
      <c r="F906" s="2">
        <f>DATE(2026,IF(Tabla1[[#This Row],[Mes de Fecha]]="Septiembre",9,10),Tabla1[[#This Row],[Día de Fecha]])</f>
        <v>46296</v>
      </c>
      <c r="G906">
        <v>1082922050</v>
      </c>
      <c r="H906" t="s">
        <v>683</v>
      </c>
      <c r="I906">
        <v>-1</v>
      </c>
      <c r="J906">
        <v>0</v>
      </c>
      <c r="K906" s="1">
        <v>-105000</v>
      </c>
    </row>
    <row r="907" spans="1:11" x14ac:dyDescent="0.25">
      <c r="A907" t="s">
        <v>326</v>
      </c>
      <c r="B907" t="s">
        <v>677</v>
      </c>
      <c r="C907" t="s">
        <v>866</v>
      </c>
      <c r="D907" t="s">
        <v>14</v>
      </c>
      <c r="E907">
        <v>1</v>
      </c>
      <c r="F907" s="2">
        <f>DATE(2026,IF(Tabla1[[#This Row],[Mes de Fecha]]="Septiembre",9,10),Tabla1[[#This Row],[Día de Fecha]])</f>
        <v>46296</v>
      </c>
      <c r="G907">
        <v>1083011955</v>
      </c>
      <c r="H907" t="s">
        <v>679</v>
      </c>
      <c r="I907">
        <v>63</v>
      </c>
      <c r="J907">
        <v>0</v>
      </c>
      <c r="K907" s="1">
        <v>3390174</v>
      </c>
    </row>
    <row r="908" spans="1:11" x14ac:dyDescent="0.25">
      <c r="A908" t="s">
        <v>326</v>
      </c>
      <c r="B908" t="s">
        <v>677</v>
      </c>
      <c r="C908" t="s">
        <v>866</v>
      </c>
      <c r="D908" t="s">
        <v>14</v>
      </c>
      <c r="E908">
        <v>1</v>
      </c>
      <c r="F908" s="2">
        <f>DATE(2026,IF(Tabla1[[#This Row],[Mes de Fecha]]="Septiembre",9,10),Tabla1[[#This Row],[Día de Fecha]])</f>
        <v>46296</v>
      </c>
      <c r="G908">
        <v>1083017921</v>
      </c>
      <c r="H908" t="s">
        <v>680</v>
      </c>
      <c r="I908">
        <v>64</v>
      </c>
      <c r="J908">
        <v>0</v>
      </c>
      <c r="K908" s="1">
        <v>3440421</v>
      </c>
    </row>
    <row r="909" spans="1:11" x14ac:dyDescent="0.25">
      <c r="A909" t="s">
        <v>326</v>
      </c>
      <c r="B909" t="s">
        <v>677</v>
      </c>
      <c r="C909" t="s">
        <v>866</v>
      </c>
      <c r="D909" t="s">
        <v>14</v>
      </c>
      <c r="E909">
        <v>1</v>
      </c>
      <c r="F909" s="2">
        <f>DATE(2026,IF(Tabla1[[#This Row],[Mes de Fecha]]="Septiembre",9,10),Tabla1[[#This Row],[Día de Fecha]])</f>
        <v>46296</v>
      </c>
      <c r="G909">
        <v>1113858490</v>
      </c>
      <c r="H909" t="s">
        <v>681</v>
      </c>
      <c r="I909">
        <v>55</v>
      </c>
      <c r="J909">
        <v>0</v>
      </c>
      <c r="K909" s="1">
        <v>2533198</v>
      </c>
    </row>
    <row r="910" spans="1:11" x14ac:dyDescent="0.25">
      <c r="A910" t="s">
        <v>326</v>
      </c>
      <c r="B910" t="s">
        <v>677</v>
      </c>
      <c r="C910" t="s">
        <v>866</v>
      </c>
      <c r="D910" t="s">
        <v>14</v>
      </c>
      <c r="E910">
        <v>1</v>
      </c>
      <c r="F910" s="2">
        <f>DATE(2026,IF(Tabla1[[#This Row],[Mes de Fecha]]="Septiembre",9,10),Tabla1[[#This Row],[Día de Fecha]])</f>
        <v>46296</v>
      </c>
      <c r="G910">
        <v>1193566789</v>
      </c>
      <c r="H910" t="s">
        <v>682</v>
      </c>
      <c r="I910">
        <v>49</v>
      </c>
      <c r="J910">
        <v>0</v>
      </c>
      <c r="K910" s="1">
        <v>2384458</v>
      </c>
    </row>
    <row r="911" spans="1:11" x14ac:dyDescent="0.25">
      <c r="A911" t="s">
        <v>326</v>
      </c>
      <c r="B911" t="s">
        <v>677</v>
      </c>
      <c r="C911" t="s">
        <v>866</v>
      </c>
      <c r="D911" t="s">
        <v>14</v>
      </c>
      <c r="E911">
        <v>2</v>
      </c>
      <c r="F911" s="2">
        <f>DATE(2026,IF(Tabla1[[#This Row],[Mes de Fecha]]="Septiembre",9,10),Tabla1[[#This Row],[Día de Fecha]])</f>
        <v>46297</v>
      </c>
      <c r="I911">
        <v>0</v>
      </c>
      <c r="J911" s="1">
        <v>15842194</v>
      </c>
      <c r="K911">
        <v>0</v>
      </c>
    </row>
    <row r="912" spans="1:11" x14ac:dyDescent="0.25">
      <c r="A912" t="s">
        <v>326</v>
      </c>
      <c r="B912" t="s">
        <v>677</v>
      </c>
      <c r="C912" t="s">
        <v>866</v>
      </c>
      <c r="D912" t="s">
        <v>14</v>
      </c>
      <c r="E912">
        <v>2</v>
      </c>
      <c r="F912" s="2">
        <f>DATE(2026,IF(Tabla1[[#This Row],[Mes de Fecha]]="Septiembre",9,10),Tabla1[[#This Row],[Día de Fecha]])</f>
        <v>46297</v>
      </c>
      <c r="G912">
        <v>1004274455</v>
      </c>
      <c r="H912" t="s">
        <v>678</v>
      </c>
      <c r="I912">
        <v>57</v>
      </c>
      <c r="J912">
        <v>0</v>
      </c>
      <c r="K912" s="1">
        <v>2993281</v>
      </c>
    </row>
    <row r="913" spans="1:11" x14ac:dyDescent="0.25">
      <c r="A913" t="s">
        <v>326</v>
      </c>
      <c r="B913" t="s">
        <v>677</v>
      </c>
      <c r="C913" t="s">
        <v>866</v>
      </c>
      <c r="D913" t="s">
        <v>14</v>
      </c>
      <c r="E913">
        <v>2</v>
      </c>
      <c r="F913" s="2">
        <f>DATE(2026,IF(Tabla1[[#This Row],[Mes de Fecha]]="Septiembre",9,10),Tabla1[[#This Row],[Día de Fecha]])</f>
        <v>46297</v>
      </c>
      <c r="G913">
        <v>1083011955</v>
      </c>
      <c r="H913" t="s">
        <v>679</v>
      </c>
      <c r="I913">
        <v>61</v>
      </c>
      <c r="J913">
        <v>0</v>
      </c>
      <c r="K913" s="1">
        <v>2955254</v>
      </c>
    </row>
    <row r="914" spans="1:11" x14ac:dyDescent="0.25">
      <c r="A914" t="s">
        <v>326</v>
      </c>
      <c r="B914" t="s">
        <v>677</v>
      </c>
      <c r="C914" t="s">
        <v>866</v>
      </c>
      <c r="D914" t="s">
        <v>14</v>
      </c>
      <c r="E914">
        <v>2</v>
      </c>
      <c r="F914" s="2">
        <f>DATE(2026,IF(Tabla1[[#This Row],[Mes de Fecha]]="Septiembre",9,10),Tabla1[[#This Row],[Día de Fecha]])</f>
        <v>46297</v>
      </c>
      <c r="G914">
        <v>1083017921</v>
      </c>
      <c r="H914" t="s">
        <v>680</v>
      </c>
      <c r="I914">
        <v>73</v>
      </c>
      <c r="J914">
        <v>0</v>
      </c>
      <c r="K914" s="1">
        <v>3721304</v>
      </c>
    </row>
    <row r="915" spans="1:11" x14ac:dyDescent="0.25">
      <c r="A915" t="s">
        <v>326</v>
      </c>
      <c r="B915" t="s">
        <v>677</v>
      </c>
      <c r="C915" t="s">
        <v>866</v>
      </c>
      <c r="D915" t="s">
        <v>14</v>
      </c>
      <c r="E915">
        <v>2</v>
      </c>
      <c r="F915" s="2">
        <f>DATE(2026,IF(Tabla1[[#This Row],[Mes de Fecha]]="Septiembre",9,10),Tabla1[[#This Row],[Día de Fecha]])</f>
        <v>46297</v>
      </c>
      <c r="G915">
        <v>1113858490</v>
      </c>
      <c r="H915" t="s">
        <v>681</v>
      </c>
      <c r="I915">
        <v>37</v>
      </c>
      <c r="J915">
        <v>0</v>
      </c>
      <c r="K915" s="1">
        <v>1653830</v>
      </c>
    </row>
    <row r="916" spans="1:11" x14ac:dyDescent="0.25">
      <c r="A916" t="s">
        <v>326</v>
      </c>
      <c r="B916" t="s">
        <v>677</v>
      </c>
      <c r="C916" t="s">
        <v>866</v>
      </c>
      <c r="D916" t="s">
        <v>14</v>
      </c>
      <c r="E916">
        <v>2</v>
      </c>
      <c r="F916" s="2">
        <f>DATE(2026,IF(Tabla1[[#This Row],[Mes de Fecha]]="Septiembre",9,10),Tabla1[[#This Row],[Día de Fecha]])</f>
        <v>46297</v>
      </c>
      <c r="G916">
        <v>1193566789</v>
      </c>
      <c r="H916" t="s">
        <v>682</v>
      </c>
      <c r="I916">
        <v>49</v>
      </c>
      <c r="J916">
        <v>0</v>
      </c>
      <c r="K916" s="1">
        <v>2327668</v>
      </c>
    </row>
    <row r="917" spans="1:11" x14ac:dyDescent="0.25">
      <c r="A917" t="s">
        <v>326</v>
      </c>
      <c r="B917" t="s">
        <v>677</v>
      </c>
      <c r="C917" t="s">
        <v>866</v>
      </c>
      <c r="D917" t="s">
        <v>14</v>
      </c>
      <c r="E917">
        <v>3</v>
      </c>
      <c r="F917" s="2">
        <f>DATE(2026,IF(Tabla1[[#This Row],[Mes de Fecha]]="Septiembre",9,10),Tabla1[[#This Row],[Día de Fecha]])</f>
        <v>46298</v>
      </c>
      <c r="I917">
        <v>0</v>
      </c>
      <c r="J917" s="1">
        <v>17222975</v>
      </c>
      <c r="K917">
        <v>0</v>
      </c>
    </row>
    <row r="918" spans="1:11" x14ac:dyDescent="0.25">
      <c r="A918" t="s">
        <v>326</v>
      </c>
      <c r="B918" t="s">
        <v>677</v>
      </c>
      <c r="C918" t="s">
        <v>866</v>
      </c>
      <c r="D918" t="s">
        <v>14</v>
      </c>
      <c r="E918">
        <v>3</v>
      </c>
      <c r="F918" s="2">
        <f>DATE(2026,IF(Tabla1[[#This Row],[Mes de Fecha]]="Septiembre",9,10),Tabla1[[#This Row],[Día de Fecha]])</f>
        <v>46298</v>
      </c>
      <c r="G918">
        <v>1004274455</v>
      </c>
      <c r="H918" t="s">
        <v>678</v>
      </c>
      <c r="I918">
        <v>47</v>
      </c>
      <c r="J918">
        <v>0</v>
      </c>
      <c r="K918" s="1">
        <v>2243017</v>
      </c>
    </row>
    <row r="919" spans="1:11" x14ac:dyDescent="0.25">
      <c r="A919" t="s">
        <v>326</v>
      </c>
      <c r="B919" t="s">
        <v>677</v>
      </c>
      <c r="C919" t="s">
        <v>866</v>
      </c>
      <c r="D919" t="s">
        <v>14</v>
      </c>
      <c r="E919">
        <v>3</v>
      </c>
      <c r="F919" s="2">
        <f>DATE(2026,IF(Tabla1[[#This Row],[Mes de Fecha]]="Septiembre",9,10),Tabla1[[#This Row],[Día de Fecha]])</f>
        <v>46298</v>
      </c>
      <c r="G919">
        <v>1083011955</v>
      </c>
      <c r="H919" t="s">
        <v>679</v>
      </c>
      <c r="I919">
        <v>43</v>
      </c>
      <c r="J919">
        <v>0</v>
      </c>
      <c r="K919" s="1">
        <v>2115476</v>
      </c>
    </row>
    <row r="920" spans="1:11" x14ac:dyDescent="0.25">
      <c r="A920" t="s">
        <v>326</v>
      </c>
      <c r="B920" t="s">
        <v>677</v>
      </c>
      <c r="C920" t="s">
        <v>866</v>
      </c>
      <c r="D920" t="s">
        <v>14</v>
      </c>
      <c r="E920">
        <v>3</v>
      </c>
      <c r="F920" s="2">
        <f>DATE(2026,IF(Tabla1[[#This Row],[Mes de Fecha]]="Septiembre",9,10),Tabla1[[#This Row],[Día de Fecha]])</f>
        <v>46298</v>
      </c>
      <c r="G920">
        <v>1083017921</v>
      </c>
      <c r="H920" t="s">
        <v>680</v>
      </c>
      <c r="I920">
        <v>55</v>
      </c>
      <c r="J920">
        <v>0</v>
      </c>
      <c r="K920" s="1">
        <v>3011240</v>
      </c>
    </row>
    <row r="921" spans="1:11" x14ac:dyDescent="0.25">
      <c r="A921" t="s">
        <v>326</v>
      </c>
      <c r="B921" t="s">
        <v>677</v>
      </c>
      <c r="C921" t="s">
        <v>866</v>
      </c>
      <c r="D921" t="s">
        <v>14</v>
      </c>
      <c r="E921">
        <v>3</v>
      </c>
      <c r="F921" s="2">
        <f>DATE(2026,IF(Tabla1[[#This Row],[Mes de Fecha]]="Septiembre",9,10),Tabla1[[#This Row],[Día de Fecha]])</f>
        <v>46298</v>
      </c>
      <c r="G921">
        <v>1113858490</v>
      </c>
      <c r="H921" t="s">
        <v>681</v>
      </c>
      <c r="I921">
        <v>49</v>
      </c>
      <c r="J921">
        <v>0</v>
      </c>
      <c r="K921" s="1">
        <v>2379046</v>
      </c>
    </row>
    <row r="922" spans="1:11" x14ac:dyDescent="0.25">
      <c r="A922" t="s">
        <v>326</v>
      </c>
      <c r="B922" t="s">
        <v>677</v>
      </c>
      <c r="C922" t="s">
        <v>866</v>
      </c>
      <c r="D922" t="s">
        <v>14</v>
      </c>
      <c r="E922">
        <v>4</v>
      </c>
      <c r="F922" s="2">
        <f>DATE(2026,IF(Tabla1[[#This Row],[Mes de Fecha]]="Septiembre",9,10),Tabla1[[#This Row],[Día de Fecha]])</f>
        <v>46299</v>
      </c>
      <c r="I922">
        <v>0</v>
      </c>
      <c r="J922" s="1">
        <v>8464543</v>
      </c>
      <c r="K922">
        <v>0</v>
      </c>
    </row>
    <row r="923" spans="1:11" x14ac:dyDescent="0.25">
      <c r="A923" t="s">
        <v>326</v>
      </c>
      <c r="B923" t="s">
        <v>677</v>
      </c>
      <c r="C923" t="s">
        <v>866</v>
      </c>
      <c r="D923" t="s">
        <v>14</v>
      </c>
      <c r="E923">
        <v>4</v>
      </c>
      <c r="F923" s="2">
        <f>DATE(2026,IF(Tabla1[[#This Row],[Mes de Fecha]]="Septiembre",9,10),Tabla1[[#This Row],[Día de Fecha]])</f>
        <v>46299</v>
      </c>
      <c r="G923">
        <v>1004274455</v>
      </c>
      <c r="H923" t="s">
        <v>678</v>
      </c>
      <c r="I923">
        <v>32</v>
      </c>
      <c r="J923">
        <v>0</v>
      </c>
      <c r="K923" s="1">
        <v>1410380</v>
      </c>
    </row>
    <row r="924" spans="1:11" x14ac:dyDescent="0.25">
      <c r="A924" t="s">
        <v>326</v>
      </c>
      <c r="B924" t="s">
        <v>677</v>
      </c>
      <c r="C924" t="s">
        <v>866</v>
      </c>
      <c r="D924" t="s">
        <v>14</v>
      </c>
      <c r="E924">
        <v>4</v>
      </c>
      <c r="F924" s="2">
        <f>DATE(2026,IF(Tabla1[[#This Row],[Mes de Fecha]]="Septiembre",9,10),Tabla1[[#This Row],[Día de Fecha]])</f>
        <v>46299</v>
      </c>
      <c r="G924">
        <v>1083011955</v>
      </c>
      <c r="H924" t="s">
        <v>679</v>
      </c>
      <c r="I924">
        <v>18</v>
      </c>
      <c r="J924">
        <v>0</v>
      </c>
      <c r="K924" s="1">
        <v>1003362</v>
      </c>
    </row>
    <row r="925" spans="1:11" x14ac:dyDescent="0.25">
      <c r="A925" t="s">
        <v>326</v>
      </c>
      <c r="B925" t="s">
        <v>677</v>
      </c>
      <c r="C925" t="s">
        <v>866</v>
      </c>
      <c r="D925" t="s">
        <v>14</v>
      </c>
      <c r="E925">
        <v>4</v>
      </c>
      <c r="F925" s="2">
        <f>DATE(2026,IF(Tabla1[[#This Row],[Mes de Fecha]]="Septiembre",9,10),Tabla1[[#This Row],[Día de Fecha]])</f>
        <v>46299</v>
      </c>
      <c r="G925">
        <v>1083017921</v>
      </c>
      <c r="H925" t="s">
        <v>680</v>
      </c>
      <c r="I925">
        <v>5</v>
      </c>
      <c r="J925">
        <v>0</v>
      </c>
      <c r="K925" s="1">
        <v>176219</v>
      </c>
    </row>
    <row r="926" spans="1:11" x14ac:dyDescent="0.25">
      <c r="A926" t="s">
        <v>326</v>
      </c>
      <c r="B926" t="s">
        <v>677</v>
      </c>
      <c r="C926" t="s">
        <v>866</v>
      </c>
      <c r="D926" t="s">
        <v>14</v>
      </c>
      <c r="E926">
        <v>4</v>
      </c>
      <c r="F926" s="2">
        <f>DATE(2026,IF(Tabla1[[#This Row],[Mes de Fecha]]="Septiembre",9,10),Tabla1[[#This Row],[Día de Fecha]])</f>
        <v>46299</v>
      </c>
      <c r="G926">
        <v>1113858490</v>
      </c>
      <c r="H926" t="s">
        <v>681</v>
      </c>
      <c r="I926">
        <v>28</v>
      </c>
      <c r="J926">
        <v>0</v>
      </c>
      <c r="K926" s="1">
        <v>1641597</v>
      </c>
    </row>
    <row r="927" spans="1:11" x14ac:dyDescent="0.25">
      <c r="A927" t="s">
        <v>326</v>
      </c>
      <c r="B927" t="s">
        <v>677</v>
      </c>
      <c r="C927" t="s">
        <v>866</v>
      </c>
      <c r="D927" t="s">
        <v>14</v>
      </c>
      <c r="E927">
        <v>5</v>
      </c>
      <c r="F927" s="2">
        <f>DATE(2026,IF(Tabla1[[#This Row],[Mes de Fecha]]="Septiembre",9,10),Tabla1[[#This Row],[Día de Fecha]])</f>
        <v>46300</v>
      </c>
      <c r="I927">
        <v>0</v>
      </c>
      <c r="J927" s="1">
        <v>8544657</v>
      </c>
      <c r="K927">
        <v>0</v>
      </c>
    </row>
    <row r="928" spans="1:11" x14ac:dyDescent="0.25">
      <c r="A928" t="s">
        <v>326</v>
      </c>
      <c r="B928" t="s">
        <v>677</v>
      </c>
      <c r="C928" t="s">
        <v>866</v>
      </c>
      <c r="D928" t="s">
        <v>14</v>
      </c>
      <c r="E928">
        <v>5</v>
      </c>
      <c r="F928" s="2">
        <f>DATE(2026,IF(Tabla1[[#This Row],[Mes de Fecha]]="Septiembre",9,10),Tabla1[[#This Row],[Día de Fecha]])</f>
        <v>46300</v>
      </c>
      <c r="G928">
        <v>1004274455</v>
      </c>
      <c r="H928" t="s">
        <v>678</v>
      </c>
      <c r="I928">
        <v>58</v>
      </c>
      <c r="J928">
        <v>0</v>
      </c>
      <c r="K928" s="1">
        <v>2831557</v>
      </c>
    </row>
    <row r="929" spans="1:11" x14ac:dyDescent="0.25">
      <c r="A929" t="s">
        <v>326</v>
      </c>
      <c r="B929" t="s">
        <v>677</v>
      </c>
      <c r="C929" t="s">
        <v>866</v>
      </c>
      <c r="D929" t="s">
        <v>14</v>
      </c>
      <c r="E929">
        <v>5</v>
      </c>
      <c r="F929" s="2">
        <f>DATE(2026,IF(Tabla1[[#This Row],[Mes de Fecha]]="Septiembre",9,10),Tabla1[[#This Row],[Día de Fecha]])</f>
        <v>46300</v>
      </c>
      <c r="G929">
        <v>1083011955</v>
      </c>
      <c r="H929" t="s">
        <v>679</v>
      </c>
      <c r="I929">
        <v>63</v>
      </c>
      <c r="J929">
        <v>0</v>
      </c>
      <c r="K929" s="1">
        <v>3385634</v>
      </c>
    </row>
    <row r="930" spans="1:11" x14ac:dyDescent="0.25">
      <c r="A930" t="s">
        <v>326</v>
      </c>
      <c r="B930" t="s">
        <v>677</v>
      </c>
      <c r="C930" t="s">
        <v>866</v>
      </c>
      <c r="D930" t="s">
        <v>14</v>
      </c>
      <c r="E930">
        <v>5</v>
      </c>
      <c r="F930" s="2">
        <f>DATE(2026,IF(Tabla1[[#This Row],[Mes de Fecha]]="Septiembre",9,10),Tabla1[[#This Row],[Día de Fecha]])</f>
        <v>46300</v>
      </c>
      <c r="G930">
        <v>1083017921</v>
      </c>
      <c r="H930" t="s">
        <v>680</v>
      </c>
      <c r="I930">
        <v>36</v>
      </c>
      <c r="J930">
        <v>0</v>
      </c>
      <c r="K930" s="1">
        <v>1945759</v>
      </c>
    </row>
    <row r="931" spans="1:11" x14ac:dyDescent="0.25">
      <c r="A931" t="s">
        <v>326</v>
      </c>
      <c r="B931" t="s">
        <v>677</v>
      </c>
      <c r="C931" t="s">
        <v>866</v>
      </c>
      <c r="D931" t="s">
        <v>14</v>
      </c>
      <c r="E931">
        <v>5</v>
      </c>
      <c r="F931" s="2">
        <f>DATE(2026,IF(Tabla1[[#This Row],[Mes de Fecha]]="Septiembre",9,10),Tabla1[[#This Row],[Día de Fecha]])</f>
        <v>46300</v>
      </c>
      <c r="G931">
        <v>1113858490</v>
      </c>
      <c r="H931" t="s">
        <v>681</v>
      </c>
      <c r="I931">
        <v>44</v>
      </c>
      <c r="J931">
        <v>0</v>
      </c>
      <c r="K931" s="1">
        <v>2540046</v>
      </c>
    </row>
    <row r="932" spans="1:11" x14ac:dyDescent="0.25">
      <c r="A932" t="s">
        <v>326</v>
      </c>
      <c r="B932" t="s">
        <v>677</v>
      </c>
      <c r="C932" t="s">
        <v>866</v>
      </c>
      <c r="D932" t="s">
        <v>14</v>
      </c>
      <c r="E932">
        <v>6</v>
      </c>
      <c r="F932" s="2">
        <f>DATE(2026,IF(Tabla1[[#This Row],[Mes de Fecha]]="Septiembre",9,10),Tabla1[[#This Row],[Día de Fecha]])</f>
        <v>46301</v>
      </c>
      <c r="I932">
        <v>0</v>
      </c>
      <c r="J932" s="1">
        <v>5358743</v>
      </c>
      <c r="K932">
        <v>0</v>
      </c>
    </row>
    <row r="933" spans="1:11" x14ac:dyDescent="0.25">
      <c r="A933" t="s">
        <v>326</v>
      </c>
      <c r="B933" t="s">
        <v>677</v>
      </c>
      <c r="C933" t="s">
        <v>866</v>
      </c>
      <c r="D933" t="s">
        <v>14</v>
      </c>
      <c r="E933">
        <v>6</v>
      </c>
      <c r="F933" s="2">
        <f>DATE(2026,IF(Tabla1[[#This Row],[Mes de Fecha]]="Septiembre",9,10),Tabla1[[#This Row],[Día de Fecha]])</f>
        <v>46301</v>
      </c>
      <c r="G933">
        <v>1004274455</v>
      </c>
      <c r="H933" t="s">
        <v>678</v>
      </c>
      <c r="I933">
        <v>30</v>
      </c>
      <c r="J933">
        <v>0</v>
      </c>
      <c r="K933" s="1">
        <v>1599499</v>
      </c>
    </row>
    <row r="934" spans="1:11" x14ac:dyDescent="0.25">
      <c r="A934" t="s">
        <v>326</v>
      </c>
      <c r="B934" t="s">
        <v>677</v>
      </c>
      <c r="C934" t="s">
        <v>866</v>
      </c>
      <c r="D934" t="s">
        <v>14</v>
      </c>
      <c r="E934">
        <v>6</v>
      </c>
      <c r="F934" s="2">
        <f>DATE(2026,IF(Tabla1[[#This Row],[Mes de Fecha]]="Septiembre",9,10),Tabla1[[#This Row],[Día de Fecha]])</f>
        <v>46301</v>
      </c>
      <c r="G934">
        <v>1004347266</v>
      </c>
      <c r="H934" t="s">
        <v>492</v>
      </c>
      <c r="I934">
        <v>-2</v>
      </c>
      <c r="J934">
        <v>0</v>
      </c>
      <c r="K934" s="1">
        <v>-134328</v>
      </c>
    </row>
    <row r="935" spans="1:11" x14ac:dyDescent="0.25">
      <c r="A935" t="s">
        <v>326</v>
      </c>
      <c r="B935" t="s">
        <v>677</v>
      </c>
      <c r="C935" t="s">
        <v>866</v>
      </c>
      <c r="D935" t="s">
        <v>14</v>
      </c>
      <c r="E935">
        <v>6</v>
      </c>
      <c r="F935" s="2">
        <f>DATE(2026,IF(Tabla1[[#This Row],[Mes de Fecha]]="Septiembre",9,10),Tabla1[[#This Row],[Día de Fecha]])</f>
        <v>46301</v>
      </c>
      <c r="G935">
        <v>1083011955</v>
      </c>
      <c r="H935" t="s">
        <v>679</v>
      </c>
      <c r="I935">
        <v>26</v>
      </c>
      <c r="J935">
        <v>0</v>
      </c>
      <c r="K935" s="1">
        <v>1498491</v>
      </c>
    </row>
    <row r="936" spans="1:11" x14ac:dyDescent="0.25">
      <c r="A936" t="s">
        <v>326</v>
      </c>
      <c r="B936" t="s">
        <v>677</v>
      </c>
      <c r="C936" t="s">
        <v>866</v>
      </c>
      <c r="D936" t="s">
        <v>14</v>
      </c>
      <c r="E936">
        <v>6</v>
      </c>
      <c r="F936" s="2">
        <f>DATE(2026,IF(Tabla1[[#This Row],[Mes de Fecha]]="Septiembre",9,10),Tabla1[[#This Row],[Día de Fecha]])</f>
        <v>46301</v>
      </c>
      <c r="G936">
        <v>1083017921</v>
      </c>
      <c r="H936" t="s">
        <v>680</v>
      </c>
      <c r="I936">
        <v>15</v>
      </c>
      <c r="J936">
        <v>0</v>
      </c>
      <c r="K936" s="1">
        <v>745084</v>
      </c>
    </row>
    <row r="937" spans="1:11" x14ac:dyDescent="0.25">
      <c r="A937" t="s">
        <v>326</v>
      </c>
      <c r="B937" t="s">
        <v>677</v>
      </c>
      <c r="C937" t="s">
        <v>866</v>
      </c>
      <c r="D937" t="s">
        <v>14</v>
      </c>
      <c r="E937">
        <v>6</v>
      </c>
      <c r="F937" s="2">
        <f>DATE(2026,IF(Tabla1[[#This Row],[Mes de Fecha]]="Septiembre",9,10),Tabla1[[#This Row],[Día de Fecha]])</f>
        <v>46301</v>
      </c>
      <c r="G937">
        <v>1113858490</v>
      </c>
      <c r="H937" t="s">
        <v>681</v>
      </c>
      <c r="I937">
        <v>46</v>
      </c>
      <c r="J937">
        <v>0</v>
      </c>
      <c r="K937" s="1">
        <v>2593807</v>
      </c>
    </row>
    <row r="938" spans="1:11" x14ac:dyDescent="0.25">
      <c r="A938" t="s">
        <v>326</v>
      </c>
      <c r="B938" t="s">
        <v>677</v>
      </c>
      <c r="C938" t="s">
        <v>866</v>
      </c>
      <c r="D938" t="s">
        <v>14</v>
      </c>
      <c r="E938">
        <v>7</v>
      </c>
      <c r="F938" s="2">
        <f>DATE(2026,IF(Tabla1[[#This Row],[Mes de Fecha]]="Septiembre",9,10),Tabla1[[#This Row],[Día de Fecha]])</f>
        <v>46302</v>
      </c>
      <c r="I938">
        <v>0</v>
      </c>
      <c r="J938" s="1">
        <v>5302469</v>
      </c>
      <c r="K938">
        <v>0</v>
      </c>
    </row>
    <row r="939" spans="1:11" x14ac:dyDescent="0.25">
      <c r="A939" t="s">
        <v>326</v>
      </c>
      <c r="B939" t="s">
        <v>677</v>
      </c>
      <c r="C939" t="s">
        <v>866</v>
      </c>
      <c r="D939" t="s">
        <v>14</v>
      </c>
      <c r="E939">
        <v>7</v>
      </c>
      <c r="F939" s="2">
        <f>DATE(2026,IF(Tabla1[[#This Row],[Mes de Fecha]]="Septiembre",9,10),Tabla1[[#This Row],[Día de Fecha]])</f>
        <v>46302</v>
      </c>
      <c r="G939">
        <v>1004274455</v>
      </c>
      <c r="H939" t="s">
        <v>678</v>
      </c>
      <c r="I939">
        <v>23</v>
      </c>
      <c r="J939">
        <v>0</v>
      </c>
      <c r="K939" s="1">
        <v>1257226</v>
      </c>
    </row>
    <row r="940" spans="1:11" x14ac:dyDescent="0.25">
      <c r="A940" t="s">
        <v>326</v>
      </c>
      <c r="B940" t="s">
        <v>677</v>
      </c>
      <c r="C940" t="s">
        <v>866</v>
      </c>
      <c r="D940" t="s">
        <v>14</v>
      </c>
      <c r="E940">
        <v>7</v>
      </c>
      <c r="F940" s="2">
        <f>DATE(2026,IF(Tabla1[[#This Row],[Mes de Fecha]]="Septiembre",9,10),Tabla1[[#This Row],[Día de Fecha]])</f>
        <v>46302</v>
      </c>
      <c r="G940">
        <v>1083011955</v>
      </c>
      <c r="H940" t="s">
        <v>679</v>
      </c>
      <c r="I940">
        <v>23</v>
      </c>
      <c r="J940">
        <v>0</v>
      </c>
      <c r="K940" s="1">
        <v>994539</v>
      </c>
    </row>
    <row r="941" spans="1:11" x14ac:dyDescent="0.25">
      <c r="A941" t="s">
        <v>326</v>
      </c>
      <c r="B941" t="s">
        <v>677</v>
      </c>
      <c r="C941" t="s">
        <v>866</v>
      </c>
      <c r="D941" t="s">
        <v>14</v>
      </c>
      <c r="E941">
        <v>7</v>
      </c>
      <c r="F941" s="2">
        <f>DATE(2026,IF(Tabla1[[#This Row],[Mes de Fecha]]="Septiembre",9,10),Tabla1[[#This Row],[Día de Fecha]])</f>
        <v>46302</v>
      </c>
      <c r="G941">
        <v>1083017921</v>
      </c>
      <c r="H941" t="s">
        <v>680</v>
      </c>
      <c r="I941">
        <v>28</v>
      </c>
      <c r="J941">
        <v>0</v>
      </c>
      <c r="K941" s="1">
        <v>1427144</v>
      </c>
    </row>
    <row r="942" spans="1:11" x14ac:dyDescent="0.25">
      <c r="A942" t="s">
        <v>326</v>
      </c>
      <c r="B942" t="s">
        <v>677</v>
      </c>
      <c r="C942" t="s">
        <v>866</v>
      </c>
      <c r="D942" t="s">
        <v>14</v>
      </c>
      <c r="E942">
        <v>7</v>
      </c>
      <c r="F942" s="2">
        <f>DATE(2026,IF(Tabla1[[#This Row],[Mes de Fecha]]="Septiembre",9,10),Tabla1[[#This Row],[Día de Fecha]])</f>
        <v>46302</v>
      </c>
      <c r="G942">
        <v>1113858490</v>
      </c>
      <c r="H942" t="s">
        <v>681</v>
      </c>
      <c r="I942">
        <v>32</v>
      </c>
      <c r="J942">
        <v>0</v>
      </c>
      <c r="K942" s="1">
        <v>1565715</v>
      </c>
    </row>
    <row r="943" spans="1:11" x14ac:dyDescent="0.25">
      <c r="A943" t="s">
        <v>326</v>
      </c>
      <c r="B943" t="s">
        <v>712</v>
      </c>
      <c r="C943" t="s">
        <v>866</v>
      </c>
      <c r="D943" t="s">
        <v>11</v>
      </c>
      <c r="E943">
        <v>23</v>
      </c>
      <c r="F943" s="2">
        <f>DATE(2026,IF(Tabla1[[#This Row],[Mes de Fecha]]="Septiembre",9,10),Tabla1[[#This Row],[Día de Fecha]])</f>
        <v>46288</v>
      </c>
      <c r="I943">
        <v>0</v>
      </c>
      <c r="J943" s="1">
        <v>8564110</v>
      </c>
      <c r="K943">
        <v>0</v>
      </c>
    </row>
    <row r="944" spans="1:11" x14ac:dyDescent="0.25">
      <c r="A944" t="s">
        <v>326</v>
      </c>
      <c r="B944" t="s">
        <v>712</v>
      </c>
      <c r="C944" t="s">
        <v>866</v>
      </c>
      <c r="D944" t="s">
        <v>11</v>
      </c>
      <c r="E944">
        <v>23</v>
      </c>
      <c r="F944" s="2">
        <f>DATE(2026,IF(Tabla1[[#This Row],[Mes de Fecha]]="Septiembre",9,10),Tabla1[[#This Row],[Día de Fecha]])</f>
        <v>46288</v>
      </c>
      <c r="G944">
        <v>73578286</v>
      </c>
      <c r="H944" t="s">
        <v>472</v>
      </c>
      <c r="I944">
        <v>82</v>
      </c>
      <c r="J944">
        <v>0</v>
      </c>
      <c r="K944" s="1">
        <v>4406179</v>
      </c>
    </row>
    <row r="945" spans="1:11" x14ac:dyDescent="0.25">
      <c r="A945" t="s">
        <v>326</v>
      </c>
      <c r="B945" t="s">
        <v>712</v>
      </c>
      <c r="C945" t="s">
        <v>866</v>
      </c>
      <c r="D945" t="s">
        <v>11</v>
      </c>
      <c r="E945">
        <v>23</v>
      </c>
      <c r="F945" s="2">
        <f>DATE(2026,IF(Tabla1[[#This Row],[Mes de Fecha]]="Septiembre",9,10),Tabla1[[#This Row],[Día de Fecha]])</f>
        <v>46288</v>
      </c>
      <c r="G945">
        <v>1128057310</v>
      </c>
      <c r="H945" t="s">
        <v>713</v>
      </c>
      <c r="I945">
        <v>27</v>
      </c>
      <c r="J945">
        <v>0</v>
      </c>
      <c r="K945" s="1">
        <v>1572312</v>
      </c>
    </row>
    <row r="946" spans="1:11" x14ac:dyDescent="0.25">
      <c r="A946" t="s">
        <v>326</v>
      </c>
      <c r="B946" t="s">
        <v>712</v>
      </c>
      <c r="C946" t="s">
        <v>866</v>
      </c>
      <c r="D946" t="s">
        <v>11</v>
      </c>
      <c r="E946">
        <v>23</v>
      </c>
      <c r="F946" s="2">
        <f>DATE(2026,IF(Tabla1[[#This Row],[Mes de Fecha]]="Septiembre",9,10),Tabla1[[#This Row],[Día de Fecha]])</f>
        <v>46288</v>
      </c>
      <c r="G946">
        <v>1148693394</v>
      </c>
      <c r="H946" t="s">
        <v>611</v>
      </c>
      <c r="I946">
        <v>79</v>
      </c>
      <c r="J946">
        <v>0</v>
      </c>
      <c r="K946" s="1">
        <v>3786349</v>
      </c>
    </row>
    <row r="947" spans="1:11" x14ac:dyDescent="0.25">
      <c r="A947" t="s">
        <v>326</v>
      </c>
      <c r="B947" t="s">
        <v>712</v>
      </c>
      <c r="C947" t="s">
        <v>866</v>
      </c>
      <c r="D947" t="s">
        <v>11</v>
      </c>
      <c r="E947">
        <v>24</v>
      </c>
      <c r="F947" s="2">
        <f>DATE(2026,IF(Tabla1[[#This Row],[Mes de Fecha]]="Septiembre",9,10),Tabla1[[#This Row],[Día de Fecha]])</f>
        <v>46289</v>
      </c>
      <c r="I947">
        <v>0</v>
      </c>
      <c r="J947" s="1">
        <v>13082642</v>
      </c>
      <c r="K947">
        <v>0</v>
      </c>
    </row>
    <row r="948" spans="1:11" x14ac:dyDescent="0.25">
      <c r="A948" t="s">
        <v>326</v>
      </c>
      <c r="B948" t="s">
        <v>712</v>
      </c>
      <c r="C948" t="s">
        <v>866</v>
      </c>
      <c r="D948" t="s">
        <v>11</v>
      </c>
      <c r="E948">
        <v>24</v>
      </c>
      <c r="F948" s="2">
        <f>DATE(2026,IF(Tabla1[[#This Row],[Mes de Fecha]]="Septiembre",9,10),Tabla1[[#This Row],[Día de Fecha]])</f>
        <v>46289</v>
      </c>
      <c r="G948">
        <v>73578286</v>
      </c>
      <c r="H948" t="s">
        <v>472</v>
      </c>
      <c r="I948">
        <v>129</v>
      </c>
      <c r="J948">
        <v>0</v>
      </c>
      <c r="K948" s="1">
        <v>6660380</v>
      </c>
    </row>
    <row r="949" spans="1:11" x14ac:dyDescent="0.25">
      <c r="A949" t="s">
        <v>326</v>
      </c>
      <c r="B949" t="s">
        <v>712</v>
      </c>
      <c r="C949" t="s">
        <v>866</v>
      </c>
      <c r="D949" t="s">
        <v>11</v>
      </c>
      <c r="E949">
        <v>24</v>
      </c>
      <c r="F949" s="2">
        <f>DATE(2026,IF(Tabla1[[#This Row],[Mes de Fecha]]="Septiembre",9,10),Tabla1[[#This Row],[Día de Fecha]])</f>
        <v>46289</v>
      </c>
      <c r="G949">
        <v>1128057310</v>
      </c>
      <c r="H949" t="s">
        <v>713</v>
      </c>
      <c r="I949">
        <v>42</v>
      </c>
      <c r="J949">
        <v>0</v>
      </c>
      <c r="K949" s="1">
        <v>1951975</v>
      </c>
    </row>
    <row r="950" spans="1:11" x14ac:dyDescent="0.25">
      <c r="A950" t="s">
        <v>326</v>
      </c>
      <c r="B950" t="s">
        <v>712</v>
      </c>
      <c r="C950" t="s">
        <v>866</v>
      </c>
      <c r="D950" t="s">
        <v>11</v>
      </c>
      <c r="E950">
        <v>24</v>
      </c>
      <c r="F950" s="2">
        <f>DATE(2026,IF(Tabla1[[#This Row],[Mes de Fecha]]="Septiembre",9,10),Tabla1[[#This Row],[Día de Fecha]])</f>
        <v>46289</v>
      </c>
      <c r="G950">
        <v>1148693394</v>
      </c>
      <c r="H950" t="s">
        <v>611</v>
      </c>
      <c r="I950">
        <v>62</v>
      </c>
      <c r="J950">
        <v>0</v>
      </c>
      <c r="K950" s="1">
        <v>3465394</v>
      </c>
    </row>
    <row r="951" spans="1:11" x14ac:dyDescent="0.25">
      <c r="A951" t="s">
        <v>326</v>
      </c>
      <c r="B951" t="s">
        <v>712</v>
      </c>
      <c r="C951" t="s">
        <v>866</v>
      </c>
      <c r="D951" t="s">
        <v>11</v>
      </c>
      <c r="E951">
        <v>25</v>
      </c>
      <c r="F951" s="2">
        <f>DATE(2026,IF(Tabla1[[#This Row],[Mes de Fecha]]="Septiembre",9,10),Tabla1[[#This Row],[Día de Fecha]])</f>
        <v>46290</v>
      </c>
      <c r="I951">
        <v>0</v>
      </c>
      <c r="J951" s="1">
        <v>13053683</v>
      </c>
      <c r="K951">
        <v>0</v>
      </c>
    </row>
    <row r="952" spans="1:11" x14ac:dyDescent="0.25">
      <c r="A952" t="s">
        <v>326</v>
      </c>
      <c r="B952" t="s">
        <v>712</v>
      </c>
      <c r="C952" t="s">
        <v>866</v>
      </c>
      <c r="D952" t="s">
        <v>11</v>
      </c>
      <c r="E952">
        <v>25</v>
      </c>
      <c r="F952" s="2">
        <f>DATE(2026,IF(Tabla1[[#This Row],[Mes de Fecha]]="Septiembre",9,10),Tabla1[[#This Row],[Día de Fecha]])</f>
        <v>46290</v>
      </c>
      <c r="G952">
        <v>73578286</v>
      </c>
      <c r="H952" t="s">
        <v>472</v>
      </c>
      <c r="I952">
        <v>87</v>
      </c>
      <c r="J952">
        <v>0</v>
      </c>
      <c r="K952" s="1">
        <v>4162314</v>
      </c>
    </row>
    <row r="953" spans="1:11" x14ac:dyDescent="0.25">
      <c r="A953" t="s">
        <v>326</v>
      </c>
      <c r="B953" t="s">
        <v>712</v>
      </c>
      <c r="C953" t="s">
        <v>866</v>
      </c>
      <c r="D953" t="s">
        <v>11</v>
      </c>
      <c r="E953">
        <v>25</v>
      </c>
      <c r="F953" s="2">
        <f>DATE(2026,IF(Tabla1[[#This Row],[Mes de Fecha]]="Septiembre",9,10),Tabla1[[#This Row],[Día de Fecha]])</f>
        <v>46290</v>
      </c>
      <c r="G953">
        <v>1128057310</v>
      </c>
      <c r="H953" t="s">
        <v>713</v>
      </c>
      <c r="I953">
        <v>41</v>
      </c>
      <c r="J953">
        <v>0</v>
      </c>
      <c r="K953" s="1">
        <v>2199919</v>
      </c>
    </row>
    <row r="954" spans="1:11" x14ac:dyDescent="0.25">
      <c r="A954" t="s">
        <v>326</v>
      </c>
      <c r="B954" t="s">
        <v>712</v>
      </c>
      <c r="C954" t="s">
        <v>866</v>
      </c>
      <c r="D954" t="s">
        <v>11</v>
      </c>
      <c r="E954">
        <v>25</v>
      </c>
      <c r="F954" s="2">
        <f>DATE(2026,IF(Tabla1[[#This Row],[Mes de Fecha]]="Septiembre",9,10),Tabla1[[#This Row],[Día de Fecha]])</f>
        <v>46290</v>
      </c>
      <c r="G954">
        <v>1148693394</v>
      </c>
      <c r="H954" t="s">
        <v>611</v>
      </c>
      <c r="I954">
        <v>72</v>
      </c>
      <c r="J954">
        <v>0</v>
      </c>
      <c r="K954" s="1">
        <v>3818241</v>
      </c>
    </row>
    <row r="955" spans="1:11" x14ac:dyDescent="0.25">
      <c r="A955" t="s">
        <v>326</v>
      </c>
      <c r="B955" t="s">
        <v>712</v>
      </c>
      <c r="C955" t="s">
        <v>866</v>
      </c>
      <c r="D955" t="s">
        <v>11</v>
      </c>
      <c r="E955">
        <v>26</v>
      </c>
      <c r="F955" s="2">
        <f>DATE(2026,IF(Tabla1[[#This Row],[Mes de Fecha]]="Septiembre",9,10),Tabla1[[#This Row],[Día de Fecha]])</f>
        <v>46291</v>
      </c>
      <c r="I955">
        <v>0</v>
      </c>
      <c r="J955" s="1">
        <v>18760014</v>
      </c>
      <c r="K955">
        <v>0</v>
      </c>
    </row>
    <row r="956" spans="1:11" x14ac:dyDescent="0.25">
      <c r="A956" t="s">
        <v>326</v>
      </c>
      <c r="B956" t="s">
        <v>712</v>
      </c>
      <c r="C956" t="s">
        <v>866</v>
      </c>
      <c r="D956" t="s">
        <v>11</v>
      </c>
      <c r="E956">
        <v>26</v>
      </c>
      <c r="F956" s="2">
        <f>DATE(2026,IF(Tabla1[[#This Row],[Mes de Fecha]]="Septiembre",9,10),Tabla1[[#This Row],[Día de Fecha]])</f>
        <v>46291</v>
      </c>
      <c r="G956">
        <v>73578286</v>
      </c>
      <c r="H956" t="s">
        <v>472</v>
      </c>
      <c r="I956">
        <v>76</v>
      </c>
      <c r="J956">
        <v>0</v>
      </c>
      <c r="K956" s="1">
        <v>4274035</v>
      </c>
    </row>
    <row r="957" spans="1:11" x14ac:dyDescent="0.25">
      <c r="A957" t="s">
        <v>326</v>
      </c>
      <c r="B957" t="s">
        <v>712</v>
      </c>
      <c r="C957" t="s">
        <v>866</v>
      </c>
      <c r="D957" t="s">
        <v>11</v>
      </c>
      <c r="E957">
        <v>26</v>
      </c>
      <c r="F957" s="2">
        <f>DATE(2026,IF(Tabla1[[#This Row],[Mes de Fecha]]="Septiembre",9,10),Tabla1[[#This Row],[Día de Fecha]])</f>
        <v>46291</v>
      </c>
      <c r="G957">
        <v>1128057310</v>
      </c>
      <c r="H957" t="s">
        <v>713</v>
      </c>
      <c r="I957">
        <v>40</v>
      </c>
      <c r="J957">
        <v>0</v>
      </c>
      <c r="K957" s="1">
        <v>2221011</v>
      </c>
    </row>
    <row r="958" spans="1:11" x14ac:dyDescent="0.25">
      <c r="A958" t="s">
        <v>326</v>
      </c>
      <c r="B958" t="s">
        <v>712</v>
      </c>
      <c r="C958" t="s">
        <v>866</v>
      </c>
      <c r="D958" t="s">
        <v>11</v>
      </c>
      <c r="E958">
        <v>26</v>
      </c>
      <c r="F958" s="2">
        <f>DATE(2026,IF(Tabla1[[#This Row],[Mes de Fecha]]="Septiembre",9,10),Tabla1[[#This Row],[Día de Fecha]])</f>
        <v>46291</v>
      </c>
      <c r="G958">
        <v>1148693394</v>
      </c>
      <c r="H958" t="s">
        <v>611</v>
      </c>
      <c r="I958">
        <v>76</v>
      </c>
      <c r="J958">
        <v>0</v>
      </c>
      <c r="K958" s="1">
        <v>3795089</v>
      </c>
    </row>
    <row r="959" spans="1:11" x14ac:dyDescent="0.25">
      <c r="A959" t="s">
        <v>326</v>
      </c>
      <c r="B959" t="s">
        <v>712</v>
      </c>
      <c r="C959" t="s">
        <v>866</v>
      </c>
      <c r="D959" t="s">
        <v>11</v>
      </c>
      <c r="E959">
        <v>27</v>
      </c>
      <c r="F959" s="2">
        <f>DATE(2026,IF(Tabla1[[#This Row],[Mes de Fecha]]="Septiembre",9,10),Tabla1[[#This Row],[Día de Fecha]])</f>
        <v>46292</v>
      </c>
      <c r="I959">
        <v>0</v>
      </c>
      <c r="J959" s="1">
        <v>14861710</v>
      </c>
      <c r="K959">
        <v>0</v>
      </c>
    </row>
    <row r="960" spans="1:11" x14ac:dyDescent="0.25">
      <c r="A960" t="s">
        <v>326</v>
      </c>
      <c r="B960" t="s">
        <v>712</v>
      </c>
      <c r="C960" t="s">
        <v>866</v>
      </c>
      <c r="D960" t="s">
        <v>11</v>
      </c>
      <c r="E960">
        <v>27</v>
      </c>
      <c r="F960" s="2">
        <f>DATE(2026,IF(Tabla1[[#This Row],[Mes de Fecha]]="Septiembre",9,10),Tabla1[[#This Row],[Día de Fecha]])</f>
        <v>46292</v>
      </c>
      <c r="G960">
        <v>73578286</v>
      </c>
      <c r="H960" t="s">
        <v>472</v>
      </c>
      <c r="I960">
        <v>88</v>
      </c>
      <c r="J960">
        <v>0</v>
      </c>
      <c r="K960" s="1">
        <v>4567524</v>
      </c>
    </row>
    <row r="961" spans="1:11" x14ac:dyDescent="0.25">
      <c r="A961" t="s">
        <v>326</v>
      </c>
      <c r="B961" t="s">
        <v>712</v>
      </c>
      <c r="C961" t="s">
        <v>866</v>
      </c>
      <c r="D961" t="s">
        <v>11</v>
      </c>
      <c r="E961">
        <v>27</v>
      </c>
      <c r="F961" s="2">
        <f>DATE(2026,IF(Tabla1[[#This Row],[Mes de Fecha]]="Septiembre",9,10),Tabla1[[#This Row],[Día de Fecha]])</f>
        <v>46292</v>
      </c>
      <c r="G961">
        <v>1128057310</v>
      </c>
      <c r="H961" t="s">
        <v>713</v>
      </c>
      <c r="I961">
        <v>66</v>
      </c>
      <c r="J961">
        <v>0</v>
      </c>
      <c r="K961" s="1">
        <v>3064459</v>
      </c>
    </row>
    <row r="962" spans="1:11" x14ac:dyDescent="0.25">
      <c r="A962" t="s">
        <v>326</v>
      </c>
      <c r="B962" t="s">
        <v>712</v>
      </c>
      <c r="C962" t="s">
        <v>866</v>
      </c>
      <c r="D962" t="s">
        <v>11</v>
      </c>
      <c r="E962">
        <v>27</v>
      </c>
      <c r="F962" s="2">
        <f>DATE(2026,IF(Tabla1[[#This Row],[Mes de Fecha]]="Septiembre",9,10),Tabla1[[#This Row],[Día de Fecha]])</f>
        <v>46292</v>
      </c>
      <c r="G962">
        <v>1148693394</v>
      </c>
      <c r="H962" t="s">
        <v>611</v>
      </c>
      <c r="I962">
        <v>75</v>
      </c>
      <c r="J962">
        <v>0</v>
      </c>
      <c r="K962" s="1">
        <v>3990506</v>
      </c>
    </row>
    <row r="963" spans="1:11" x14ac:dyDescent="0.25">
      <c r="A963" t="s">
        <v>326</v>
      </c>
      <c r="B963" t="s">
        <v>712</v>
      </c>
      <c r="C963" t="s">
        <v>866</v>
      </c>
      <c r="D963" t="s">
        <v>11</v>
      </c>
      <c r="E963">
        <v>28</v>
      </c>
      <c r="F963" s="2">
        <f>DATE(2026,IF(Tabla1[[#This Row],[Mes de Fecha]]="Septiembre",9,10),Tabla1[[#This Row],[Día de Fecha]])</f>
        <v>46293</v>
      </c>
      <c r="I963">
        <v>0</v>
      </c>
      <c r="J963" s="1">
        <v>8179274</v>
      </c>
      <c r="K963">
        <v>0</v>
      </c>
    </row>
    <row r="964" spans="1:11" x14ac:dyDescent="0.25">
      <c r="A964" t="s">
        <v>326</v>
      </c>
      <c r="B964" t="s">
        <v>712</v>
      </c>
      <c r="C964" t="s">
        <v>866</v>
      </c>
      <c r="D964" t="s">
        <v>11</v>
      </c>
      <c r="E964">
        <v>28</v>
      </c>
      <c r="F964" s="2">
        <f>DATE(2026,IF(Tabla1[[#This Row],[Mes de Fecha]]="Septiembre",9,10),Tabla1[[#This Row],[Día de Fecha]])</f>
        <v>46293</v>
      </c>
      <c r="G964">
        <v>73578286</v>
      </c>
      <c r="H964" t="s">
        <v>472</v>
      </c>
      <c r="I964">
        <v>70</v>
      </c>
      <c r="J964">
        <v>0</v>
      </c>
      <c r="K964" s="1">
        <v>4005427</v>
      </c>
    </row>
    <row r="965" spans="1:11" x14ac:dyDescent="0.25">
      <c r="A965" t="s">
        <v>326</v>
      </c>
      <c r="B965" t="s">
        <v>712</v>
      </c>
      <c r="C965" t="s">
        <v>866</v>
      </c>
      <c r="D965" t="s">
        <v>11</v>
      </c>
      <c r="E965">
        <v>28</v>
      </c>
      <c r="F965" s="2">
        <f>DATE(2026,IF(Tabla1[[#This Row],[Mes de Fecha]]="Septiembre",9,10),Tabla1[[#This Row],[Día de Fecha]])</f>
        <v>46293</v>
      </c>
      <c r="G965">
        <v>1007740486</v>
      </c>
      <c r="H965" t="s">
        <v>714</v>
      </c>
      <c r="I965">
        <v>-1</v>
      </c>
      <c r="J965">
        <v>0</v>
      </c>
      <c r="K965" s="1">
        <v>-46177</v>
      </c>
    </row>
    <row r="966" spans="1:11" x14ac:dyDescent="0.25">
      <c r="A966" t="s">
        <v>326</v>
      </c>
      <c r="B966" t="s">
        <v>712</v>
      </c>
      <c r="C966" t="s">
        <v>866</v>
      </c>
      <c r="D966" t="s">
        <v>11</v>
      </c>
      <c r="E966">
        <v>28</v>
      </c>
      <c r="F966" s="2">
        <f>DATE(2026,IF(Tabla1[[#This Row],[Mes de Fecha]]="Septiembre",9,10),Tabla1[[#This Row],[Día de Fecha]])</f>
        <v>46293</v>
      </c>
      <c r="G966">
        <v>1128057310</v>
      </c>
      <c r="H966" t="s">
        <v>713</v>
      </c>
      <c r="I966">
        <v>47</v>
      </c>
      <c r="J966">
        <v>0</v>
      </c>
      <c r="K966" s="1">
        <v>2346724</v>
      </c>
    </row>
    <row r="967" spans="1:11" x14ac:dyDescent="0.25">
      <c r="A967" t="s">
        <v>326</v>
      </c>
      <c r="B967" t="s">
        <v>712</v>
      </c>
      <c r="C967" t="s">
        <v>866</v>
      </c>
      <c r="D967" t="s">
        <v>11</v>
      </c>
      <c r="E967">
        <v>28</v>
      </c>
      <c r="F967" s="2">
        <f>DATE(2026,IF(Tabla1[[#This Row],[Mes de Fecha]]="Septiembre",9,10),Tabla1[[#This Row],[Día de Fecha]])</f>
        <v>46293</v>
      </c>
      <c r="G967">
        <v>1148693394</v>
      </c>
      <c r="H967" t="s">
        <v>611</v>
      </c>
      <c r="I967">
        <v>40</v>
      </c>
      <c r="J967">
        <v>0</v>
      </c>
      <c r="K967" s="1">
        <v>2111683</v>
      </c>
    </row>
    <row r="968" spans="1:11" x14ac:dyDescent="0.25">
      <c r="A968" t="s">
        <v>326</v>
      </c>
      <c r="B968" t="s">
        <v>712</v>
      </c>
      <c r="C968" t="s">
        <v>866</v>
      </c>
      <c r="D968" t="s">
        <v>11</v>
      </c>
      <c r="E968">
        <v>29</v>
      </c>
      <c r="F968" s="2">
        <f>DATE(2026,IF(Tabla1[[#This Row],[Mes de Fecha]]="Septiembre",9,10),Tabla1[[#This Row],[Día de Fecha]])</f>
        <v>46294</v>
      </c>
      <c r="I968">
        <v>0</v>
      </c>
      <c r="J968" s="1">
        <v>8737069</v>
      </c>
      <c r="K968">
        <v>0</v>
      </c>
    </row>
    <row r="969" spans="1:11" x14ac:dyDescent="0.25">
      <c r="A969" t="s">
        <v>326</v>
      </c>
      <c r="B969" t="s">
        <v>712</v>
      </c>
      <c r="C969" t="s">
        <v>866</v>
      </c>
      <c r="D969" t="s">
        <v>11</v>
      </c>
      <c r="E969">
        <v>29</v>
      </c>
      <c r="F969" s="2">
        <f>DATE(2026,IF(Tabla1[[#This Row],[Mes de Fecha]]="Septiembre",9,10),Tabla1[[#This Row],[Día de Fecha]])</f>
        <v>46294</v>
      </c>
      <c r="G969">
        <v>73578286</v>
      </c>
      <c r="H969" t="s">
        <v>472</v>
      </c>
      <c r="I969">
        <v>57</v>
      </c>
      <c r="J969">
        <v>0</v>
      </c>
      <c r="K969" s="1">
        <v>2913534</v>
      </c>
    </row>
    <row r="970" spans="1:11" x14ac:dyDescent="0.25">
      <c r="A970" t="s">
        <v>326</v>
      </c>
      <c r="B970" t="s">
        <v>712</v>
      </c>
      <c r="C970" t="s">
        <v>866</v>
      </c>
      <c r="D970" t="s">
        <v>11</v>
      </c>
      <c r="E970">
        <v>29</v>
      </c>
      <c r="F970" s="2">
        <f>DATE(2026,IF(Tabla1[[#This Row],[Mes de Fecha]]="Septiembre",9,10),Tabla1[[#This Row],[Día de Fecha]])</f>
        <v>46294</v>
      </c>
      <c r="G970">
        <v>1128057310</v>
      </c>
      <c r="H970" t="s">
        <v>713</v>
      </c>
      <c r="I970">
        <v>24</v>
      </c>
      <c r="J970">
        <v>0</v>
      </c>
      <c r="K970" s="1">
        <v>1314037</v>
      </c>
    </row>
    <row r="971" spans="1:11" x14ac:dyDescent="0.25">
      <c r="A971" t="s">
        <v>326</v>
      </c>
      <c r="B971" t="s">
        <v>712</v>
      </c>
      <c r="C971" t="s">
        <v>866</v>
      </c>
      <c r="D971" t="s">
        <v>11</v>
      </c>
      <c r="E971">
        <v>29</v>
      </c>
      <c r="F971" s="2">
        <f>DATE(2026,IF(Tabla1[[#This Row],[Mes de Fecha]]="Septiembre",9,10),Tabla1[[#This Row],[Día de Fecha]])</f>
        <v>46294</v>
      </c>
      <c r="G971">
        <v>1148693394</v>
      </c>
      <c r="H971" t="s">
        <v>611</v>
      </c>
      <c r="I971">
        <v>32</v>
      </c>
      <c r="J971">
        <v>0</v>
      </c>
      <c r="K971" s="1">
        <v>1790548</v>
      </c>
    </row>
    <row r="972" spans="1:11" x14ac:dyDescent="0.25">
      <c r="A972" t="s">
        <v>326</v>
      </c>
      <c r="B972" t="s">
        <v>712</v>
      </c>
      <c r="C972" t="s">
        <v>866</v>
      </c>
      <c r="D972" t="s">
        <v>11</v>
      </c>
      <c r="E972">
        <v>30</v>
      </c>
      <c r="F972" s="2">
        <f>DATE(2026,IF(Tabla1[[#This Row],[Mes de Fecha]]="Septiembre",9,10),Tabla1[[#This Row],[Día de Fecha]])</f>
        <v>46295</v>
      </c>
      <c r="I972">
        <v>0</v>
      </c>
      <c r="J972" s="1">
        <v>9025544</v>
      </c>
      <c r="K972">
        <v>0</v>
      </c>
    </row>
    <row r="973" spans="1:11" x14ac:dyDescent="0.25">
      <c r="A973" t="s">
        <v>326</v>
      </c>
      <c r="B973" t="s">
        <v>712</v>
      </c>
      <c r="C973" t="s">
        <v>866</v>
      </c>
      <c r="D973" t="s">
        <v>11</v>
      </c>
      <c r="E973">
        <v>30</v>
      </c>
      <c r="F973" s="2">
        <f>DATE(2026,IF(Tabla1[[#This Row],[Mes de Fecha]]="Septiembre",9,10),Tabla1[[#This Row],[Día de Fecha]])</f>
        <v>46295</v>
      </c>
      <c r="G973">
        <v>73578286</v>
      </c>
      <c r="H973" t="s">
        <v>472</v>
      </c>
      <c r="I973">
        <v>65</v>
      </c>
      <c r="J973">
        <v>0</v>
      </c>
      <c r="K973" s="1">
        <v>3503579</v>
      </c>
    </row>
    <row r="974" spans="1:11" x14ac:dyDescent="0.25">
      <c r="A974" t="s">
        <v>326</v>
      </c>
      <c r="B974" t="s">
        <v>712</v>
      </c>
      <c r="C974" t="s">
        <v>866</v>
      </c>
      <c r="D974" t="s">
        <v>11</v>
      </c>
      <c r="E974">
        <v>30</v>
      </c>
      <c r="F974" s="2">
        <f>DATE(2026,IF(Tabla1[[#This Row],[Mes de Fecha]]="Septiembre",9,10),Tabla1[[#This Row],[Día de Fecha]])</f>
        <v>46295</v>
      </c>
      <c r="G974">
        <v>1128057310</v>
      </c>
      <c r="H974" t="s">
        <v>713</v>
      </c>
      <c r="I974">
        <v>28</v>
      </c>
      <c r="J974">
        <v>0</v>
      </c>
      <c r="K974" s="1">
        <v>1460971</v>
      </c>
    </row>
    <row r="975" spans="1:11" x14ac:dyDescent="0.25">
      <c r="A975" t="s">
        <v>326</v>
      </c>
      <c r="B975" t="s">
        <v>712</v>
      </c>
      <c r="C975" t="s">
        <v>866</v>
      </c>
      <c r="D975" t="s">
        <v>11</v>
      </c>
      <c r="E975">
        <v>30</v>
      </c>
      <c r="F975" s="2">
        <f>DATE(2026,IF(Tabla1[[#This Row],[Mes de Fecha]]="Septiembre",9,10),Tabla1[[#This Row],[Día de Fecha]])</f>
        <v>46295</v>
      </c>
      <c r="G975">
        <v>1148693394</v>
      </c>
      <c r="H975" t="s">
        <v>611</v>
      </c>
      <c r="I975">
        <v>1</v>
      </c>
      <c r="J975">
        <v>0</v>
      </c>
      <c r="K975" s="1">
        <v>33572</v>
      </c>
    </row>
    <row r="976" spans="1:11" x14ac:dyDescent="0.25">
      <c r="A976" t="s">
        <v>326</v>
      </c>
      <c r="B976" t="s">
        <v>712</v>
      </c>
      <c r="C976" t="s">
        <v>866</v>
      </c>
      <c r="D976" t="s">
        <v>14</v>
      </c>
      <c r="E976">
        <v>1</v>
      </c>
      <c r="F976" s="2">
        <f>DATE(2026,IF(Tabla1[[#This Row],[Mes de Fecha]]="Septiembre",9,10),Tabla1[[#This Row],[Día de Fecha]])</f>
        <v>46296</v>
      </c>
      <c r="I976">
        <v>0</v>
      </c>
      <c r="J976" s="1">
        <v>9791164</v>
      </c>
      <c r="K976">
        <v>0</v>
      </c>
    </row>
    <row r="977" spans="1:11" x14ac:dyDescent="0.25">
      <c r="A977" t="s">
        <v>326</v>
      </c>
      <c r="B977" t="s">
        <v>712</v>
      </c>
      <c r="C977" t="s">
        <v>866</v>
      </c>
      <c r="D977" t="s">
        <v>14</v>
      </c>
      <c r="E977">
        <v>1</v>
      </c>
      <c r="F977" s="2">
        <f>DATE(2026,IF(Tabla1[[#This Row],[Mes de Fecha]]="Septiembre",9,10),Tabla1[[#This Row],[Día de Fecha]])</f>
        <v>46296</v>
      </c>
      <c r="G977">
        <v>73578286</v>
      </c>
      <c r="H977" t="s">
        <v>472</v>
      </c>
      <c r="I977">
        <v>70</v>
      </c>
      <c r="J977">
        <v>0</v>
      </c>
      <c r="K977" s="1">
        <v>4110128</v>
      </c>
    </row>
    <row r="978" spans="1:11" x14ac:dyDescent="0.25">
      <c r="A978" t="s">
        <v>326</v>
      </c>
      <c r="B978" t="s">
        <v>712</v>
      </c>
      <c r="C978" t="s">
        <v>866</v>
      </c>
      <c r="D978" t="s">
        <v>14</v>
      </c>
      <c r="E978">
        <v>1</v>
      </c>
      <c r="F978" s="2">
        <f>DATE(2026,IF(Tabla1[[#This Row],[Mes de Fecha]]="Septiembre",9,10),Tabla1[[#This Row],[Día de Fecha]])</f>
        <v>46296</v>
      </c>
      <c r="G978">
        <v>1047439766</v>
      </c>
      <c r="H978" t="s">
        <v>474</v>
      </c>
      <c r="I978">
        <v>-1</v>
      </c>
      <c r="J978">
        <v>0</v>
      </c>
      <c r="K978" s="1">
        <v>-62983</v>
      </c>
    </row>
    <row r="979" spans="1:11" x14ac:dyDescent="0.25">
      <c r="A979" t="s">
        <v>326</v>
      </c>
      <c r="B979" t="s">
        <v>712</v>
      </c>
      <c r="C979" t="s">
        <v>866</v>
      </c>
      <c r="D979" t="s">
        <v>14</v>
      </c>
      <c r="E979">
        <v>1</v>
      </c>
      <c r="F979" s="2">
        <f>DATE(2026,IF(Tabla1[[#This Row],[Mes de Fecha]]="Septiembre",9,10),Tabla1[[#This Row],[Día de Fecha]])</f>
        <v>46296</v>
      </c>
      <c r="G979">
        <v>1128057310</v>
      </c>
      <c r="H979" t="s">
        <v>713</v>
      </c>
      <c r="I979">
        <v>47</v>
      </c>
      <c r="J979">
        <v>0</v>
      </c>
      <c r="K979" s="1">
        <v>2519039</v>
      </c>
    </row>
    <row r="980" spans="1:11" x14ac:dyDescent="0.25">
      <c r="A980" t="s">
        <v>326</v>
      </c>
      <c r="B980" t="s">
        <v>712</v>
      </c>
      <c r="C980" t="s">
        <v>866</v>
      </c>
      <c r="D980" t="s">
        <v>14</v>
      </c>
      <c r="E980">
        <v>1</v>
      </c>
      <c r="F980" s="2">
        <f>DATE(2026,IF(Tabla1[[#This Row],[Mes de Fecha]]="Septiembre",9,10),Tabla1[[#This Row],[Día de Fecha]])</f>
        <v>46296</v>
      </c>
      <c r="G980">
        <v>1148693394</v>
      </c>
      <c r="H980" t="s">
        <v>611</v>
      </c>
      <c r="I980">
        <v>71</v>
      </c>
      <c r="J980">
        <v>0</v>
      </c>
      <c r="K980" s="1">
        <v>3728028</v>
      </c>
    </row>
    <row r="981" spans="1:11" x14ac:dyDescent="0.25">
      <c r="A981" t="s">
        <v>326</v>
      </c>
      <c r="B981" t="s">
        <v>712</v>
      </c>
      <c r="C981" t="s">
        <v>866</v>
      </c>
      <c r="D981" t="s">
        <v>14</v>
      </c>
      <c r="E981">
        <v>2</v>
      </c>
      <c r="F981" s="2">
        <f>DATE(2026,IF(Tabla1[[#This Row],[Mes de Fecha]]="Septiembre",9,10),Tabla1[[#This Row],[Día de Fecha]])</f>
        <v>46297</v>
      </c>
      <c r="I981">
        <v>0</v>
      </c>
      <c r="J981" s="1">
        <v>11841238</v>
      </c>
      <c r="K981">
        <v>0</v>
      </c>
    </row>
    <row r="982" spans="1:11" x14ac:dyDescent="0.25">
      <c r="A982" t="s">
        <v>326</v>
      </c>
      <c r="B982" t="s">
        <v>712</v>
      </c>
      <c r="C982" t="s">
        <v>866</v>
      </c>
      <c r="D982" t="s">
        <v>14</v>
      </c>
      <c r="E982">
        <v>2</v>
      </c>
      <c r="F982" s="2">
        <f>DATE(2026,IF(Tabla1[[#This Row],[Mes de Fecha]]="Septiembre",9,10),Tabla1[[#This Row],[Día de Fecha]])</f>
        <v>46297</v>
      </c>
      <c r="G982">
        <v>73578286</v>
      </c>
      <c r="H982" t="s">
        <v>472</v>
      </c>
      <c r="I982">
        <v>66</v>
      </c>
      <c r="J982">
        <v>0</v>
      </c>
      <c r="K982" s="1">
        <v>3688281</v>
      </c>
    </row>
    <row r="983" spans="1:11" x14ac:dyDescent="0.25">
      <c r="A983" t="s">
        <v>326</v>
      </c>
      <c r="B983" t="s">
        <v>712</v>
      </c>
      <c r="C983" t="s">
        <v>866</v>
      </c>
      <c r="D983" t="s">
        <v>14</v>
      </c>
      <c r="E983">
        <v>2</v>
      </c>
      <c r="F983" s="2">
        <f>DATE(2026,IF(Tabla1[[#This Row],[Mes de Fecha]]="Septiembre",9,10),Tabla1[[#This Row],[Día de Fecha]])</f>
        <v>46297</v>
      </c>
      <c r="G983">
        <v>1002249169</v>
      </c>
      <c r="H983" t="s">
        <v>473</v>
      </c>
      <c r="I983">
        <v>-1</v>
      </c>
      <c r="J983">
        <v>0</v>
      </c>
      <c r="K983" s="1">
        <v>-75588</v>
      </c>
    </row>
    <row r="984" spans="1:11" x14ac:dyDescent="0.25">
      <c r="A984" t="s">
        <v>326</v>
      </c>
      <c r="B984" t="s">
        <v>712</v>
      </c>
      <c r="C984" t="s">
        <v>866</v>
      </c>
      <c r="D984" t="s">
        <v>14</v>
      </c>
      <c r="E984">
        <v>2</v>
      </c>
      <c r="F984" s="2">
        <f>DATE(2026,IF(Tabla1[[#This Row],[Mes de Fecha]]="Septiembre",9,10),Tabla1[[#This Row],[Día de Fecha]])</f>
        <v>46297</v>
      </c>
      <c r="G984">
        <v>1128057310</v>
      </c>
      <c r="H984" t="s">
        <v>713</v>
      </c>
      <c r="I984">
        <v>38</v>
      </c>
      <c r="J984">
        <v>0</v>
      </c>
      <c r="K984" s="1">
        <v>1876431</v>
      </c>
    </row>
    <row r="985" spans="1:11" x14ac:dyDescent="0.25">
      <c r="A985" t="s">
        <v>326</v>
      </c>
      <c r="B985" t="s">
        <v>712</v>
      </c>
      <c r="C985" t="s">
        <v>866</v>
      </c>
      <c r="D985" t="s">
        <v>14</v>
      </c>
      <c r="E985">
        <v>2</v>
      </c>
      <c r="F985" s="2">
        <f>DATE(2026,IF(Tabla1[[#This Row],[Mes de Fecha]]="Septiembre",9,10),Tabla1[[#This Row],[Día de Fecha]])</f>
        <v>46297</v>
      </c>
      <c r="G985">
        <v>1148693394</v>
      </c>
      <c r="H985" t="s">
        <v>611</v>
      </c>
      <c r="I985">
        <v>58</v>
      </c>
      <c r="J985">
        <v>0</v>
      </c>
      <c r="K985" s="1">
        <v>3636138</v>
      </c>
    </row>
    <row r="986" spans="1:11" x14ac:dyDescent="0.25">
      <c r="A986" t="s">
        <v>326</v>
      </c>
      <c r="B986" t="s">
        <v>712</v>
      </c>
      <c r="C986" t="s">
        <v>866</v>
      </c>
      <c r="D986" t="s">
        <v>14</v>
      </c>
      <c r="E986">
        <v>3</v>
      </c>
      <c r="F986" s="2">
        <f>DATE(2026,IF(Tabla1[[#This Row],[Mes de Fecha]]="Septiembre",9,10),Tabla1[[#This Row],[Día de Fecha]])</f>
        <v>46298</v>
      </c>
      <c r="I986">
        <v>0</v>
      </c>
      <c r="J986" s="1">
        <v>13755777</v>
      </c>
      <c r="K986">
        <v>0</v>
      </c>
    </row>
    <row r="987" spans="1:11" x14ac:dyDescent="0.25">
      <c r="A987" t="s">
        <v>326</v>
      </c>
      <c r="B987" t="s">
        <v>712</v>
      </c>
      <c r="C987" t="s">
        <v>866</v>
      </c>
      <c r="D987" t="s">
        <v>14</v>
      </c>
      <c r="E987">
        <v>3</v>
      </c>
      <c r="F987" s="2">
        <f>DATE(2026,IF(Tabla1[[#This Row],[Mes de Fecha]]="Septiembre",9,10),Tabla1[[#This Row],[Día de Fecha]])</f>
        <v>46298</v>
      </c>
      <c r="G987">
        <v>45691762</v>
      </c>
      <c r="H987" t="s">
        <v>467</v>
      </c>
      <c r="I987">
        <v>-1</v>
      </c>
      <c r="J987">
        <v>0</v>
      </c>
      <c r="K987" s="1">
        <v>-50336</v>
      </c>
    </row>
    <row r="988" spans="1:11" x14ac:dyDescent="0.25">
      <c r="A988" t="s">
        <v>326</v>
      </c>
      <c r="B988" t="s">
        <v>712</v>
      </c>
      <c r="C988" t="s">
        <v>866</v>
      </c>
      <c r="D988" t="s">
        <v>14</v>
      </c>
      <c r="E988">
        <v>3</v>
      </c>
      <c r="F988" s="2">
        <f>DATE(2026,IF(Tabla1[[#This Row],[Mes de Fecha]]="Septiembre",9,10),Tabla1[[#This Row],[Día de Fecha]])</f>
        <v>46298</v>
      </c>
      <c r="G988">
        <v>73578286</v>
      </c>
      <c r="H988" t="s">
        <v>472</v>
      </c>
      <c r="I988">
        <v>56</v>
      </c>
      <c r="J988">
        <v>0</v>
      </c>
      <c r="K988" s="1">
        <v>2986089</v>
      </c>
    </row>
    <row r="989" spans="1:11" x14ac:dyDescent="0.25">
      <c r="A989" t="s">
        <v>326</v>
      </c>
      <c r="B989" t="s">
        <v>712</v>
      </c>
      <c r="C989" t="s">
        <v>866</v>
      </c>
      <c r="D989" t="s">
        <v>14</v>
      </c>
      <c r="E989">
        <v>3</v>
      </c>
      <c r="F989" s="2">
        <f>DATE(2026,IF(Tabla1[[#This Row],[Mes de Fecha]]="Septiembre",9,10),Tabla1[[#This Row],[Día de Fecha]])</f>
        <v>46298</v>
      </c>
      <c r="G989">
        <v>1047465660</v>
      </c>
      <c r="H989" t="s">
        <v>469</v>
      </c>
      <c r="I989">
        <v>-2</v>
      </c>
      <c r="J989">
        <v>0</v>
      </c>
      <c r="K989" s="1">
        <v>-100672</v>
      </c>
    </row>
    <row r="990" spans="1:11" x14ac:dyDescent="0.25">
      <c r="A990" t="s">
        <v>326</v>
      </c>
      <c r="B990" t="s">
        <v>712</v>
      </c>
      <c r="C990" t="s">
        <v>866</v>
      </c>
      <c r="D990" t="s">
        <v>14</v>
      </c>
      <c r="E990">
        <v>3</v>
      </c>
      <c r="F990" s="2">
        <f>DATE(2026,IF(Tabla1[[#This Row],[Mes de Fecha]]="Septiembre",9,10),Tabla1[[#This Row],[Día de Fecha]])</f>
        <v>46298</v>
      </c>
      <c r="G990">
        <v>1128057310</v>
      </c>
      <c r="H990" t="s">
        <v>713</v>
      </c>
      <c r="I990">
        <v>54</v>
      </c>
      <c r="J990">
        <v>0</v>
      </c>
      <c r="K990" s="1">
        <v>2770726</v>
      </c>
    </row>
    <row r="991" spans="1:11" x14ac:dyDescent="0.25">
      <c r="A991" t="s">
        <v>326</v>
      </c>
      <c r="B991" t="s">
        <v>712</v>
      </c>
      <c r="C991" t="s">
        <v>866</v>
      </c>
      <c r="D991" t="s">
        <v>14</v>
      </c>
      <c r="E991">
        <v>3</v>
      </c>
      <c r="F991" s="2">
        <f>DATE(2026,IF(Tabla1[[#This Row],[Mes de Fecha]]="Septiembre",9,10),Tabla1[[#This Row],[Día de Fecha]])</f>
        <v>46298</v>
      </c>
      <c r="G991">
        <v>1148693394</v>
      </c>
      <c r="H991" t="s">
        <v>611</v>
      </c>
      <c r="I991">
        <v>66</v>
      </c>
      <c r="J991">
        <v>0</v>
      </c>
      <c r="K991" s="1">
        <v>3350910</v>
      </c>
    </row>
    <row r="992" spans="1:11" x14ac:dyDescent="0.25">
      <c r="A992" t="s">
        <v>326</v>
      </c>
      <c r="B992" t="s">
        <v>712</v>
      </c>
      <c r="C992" t="s">
        <v>866</v>
      </c>
      <c r="D992" t="s">
        <v>14</v>
      </c>
      <c r="E992">
        <v>4</v>
      </c>
      <c r="F992" s="2">
        <f>DATE(2026,IF(Tabla1[[#This Row],[Mes de Fecha]]="Septiembre",9,10),Tabla1[[#This Row],[Día de Fecha]])</f>
        <v>46299</v>
      </c>
      <c r="I992">
        <v>0</v>
      </c>
      <c r="J992" s="1">
        <v>10042743</v>
      </c>
      <c r="K992">
        <v>0</v>
      </c>
    </row>
    <row r="993" spans="1:11" x14ac:dyDescent="0.25">
      <c r="A993" t="s">
        <v>326</v>
      </c>
      <c r="B993" t="s">
        <v>712</v>
      </c>
      <c r="C993" t="s">
        <v>866</v>
      </c>
      <c r="D993" t="s">
        <v>14</v>
      </c>
      <c r="E993">
        <v>4</v>
      </c>
      <c r="F993" s="2">
        <f>DATE(2026,IF(Tabla1[[#This Row],[Mes de Fecha]]="Septiembre",9,10),Tabla1[[#This Row],[Día de Fecha]])</f>
        <v>46299</v>
      </c>
      <c r="G993">
        <v>73578286</v>
      </c>
      <c r="H993" t="s">
        <v>472</v>
      </c>
      <c r="I993">
        <v>42</v>
      </c>
      <c r="J993">
        <v>0</v>
      </c>
      <c r="K993" s="1">
        <v>2342650</v>
      </c>
    </row>
    <row r="994" spans="1:11" x14ac:dyDescent="0.25">
      <c r="A994" t="s">
        <v>326</v>
      </c>
      <c r="B994" t="s">
        <v>712</v>
      </c>
      <c r="C994" t="s">
        <v>866</v>
      </c>
      <c r="D994" t="s">
        <v>14</v>
      </c>
      <c r="E994">
        <v>4</v>
      </c>
      <c r="F994" s="2">
        <f>DATE(2026,IF(Tabla1[[#This Row],[Mes de Fecha]]="Septiembre",9,10),Tabla1[[#This Row],[Día de Fecha]])</f>
        <v>46299</v>
      </c>
      <c r="G994">
        <v>1128057310</v>
      </c>
      <c r="H994" t="s">
        <v>713</v>
      </c>
      <c r="I994">
        <v>27</v>
      </c>
      <c r="J994">
        <v>0</v>
      </c>
      <c r="K994" s="1">
        <v>1465210</v>
      </c>
    </row>
    <row r="995" spans="1:11" x14ac:dyDescent="0.25">
      <c r="A995" t="s">
        <v>326</v>
      </c>
      <c r="B995" t="s">
        <v>712</v>
      </c>
      <c r="C995" t="s">
        <v>866</v>
      </c>
      <c r="D995" t="s">
        <v>14</v>
      </c>
      <c r="E995">
        <v>4</v>
      </c>
      <c r="F995" s="2">
        <f>DATE(2026,IF(Tabla1[[#This Row],[Mes de Fecha]]="Septiembre",9,10),Tabla1[[#This Row],[Día de Fecha]])</f>
        <v>46299</v>
      </c>
      <c r="G995">
        <v>1148693394</v>
      </c>
      <c r="H995" t="s">
        <v>611</v>
      </c>
      <c r="I995">
        <v>45</v>
      </c>
      <c r="J995">
        <v>0</v>
      </c>
      <c r="K995" s="1">
        <v>2401348</v>
      </c>
    </row>
    <row r="996" spans="1:11" x14ac:dyDescent="0.25">
      <c r="A996" t="s">
        <v>326</v>
      </c>
      <c r="B996" t="s">
        <v>712</v>
      </c>
      <c r="C996" t="s">
        <v>866</v>
      </c>
      <c r="D996" t="s">
        <v>14</v>
      </c>
      <c r="E996">
        <v>5</v>
      </c>
      <c r="F996" s="2">
        <f>DATE(2026,IF(Tabla1[[#This Row],[Mes de Fecha]]="Septiembre",9,10),Tabla1[[#This Row],[Día de Fecha]])</f>
        <v>46300</v>
      </c>
      <c r="I996">
        <v>0</v>
      </c>
      <c r="J996" s="1">
        <v>11355041</v>
      </c>
      <c r="K996">
        <v>0</v>
      </c>
    </row>
    <row r="997" spans="1:11" x14ac:dyDescent="0.25">
      <c r="A997" t="s">
        <v>326</v>
      </c>
      <c r="B997" t="s">
        <v>712</v>
      </c>
      <c r="C997" t="s">
        <v>866</v>
      </c>
      <c r="D997" t="s">
        <v>14</v>
      </c>
      <c r="E997">
        <v>5</v>
      </c>
      <c r="F997" s="2">
        <f>DATE(2026,IF(Tabla1[[#This Row],[Mes de Fecha]]="Septiembre",9,10),Tabla1[[#This Row],[Día de Fecha]])</f>
        <v>46300</v>
      </c>
      <c r="G997">
        <v>73578286</v>
      </c>
      <c r="H997" t="s">
        <v>472</v>
      </c>
      <c r="I997">
        <v>55</v>
      </c>
      <c r="J997">
        <v>0</v>
      </c>
      <c r="K997" s="1">
        <v>3005666</v>
      </c>
    </row>
    <row r="998" spans="1:11" x14ac:dyDescent="0.25">
      <c r="A998" t="s">
        <v>326</v>
      </c>
      <c r="B998" t="s">
        <v>712</v>
      </c>
      <c r="C998" t="s">
        <v>866</v>
      </c>
      <c r="D998" t="s">
        <v>14</v>
      </c>
      <c r="E998">
        <v>5</v>
      </c>
      <c r="F998" s="2">
        <f>DATE(2026,IF(Tabla1[[#This Row],[Mes de Fecha]]="Septiembre",9,10),Tabla1[[#This Row],[Día de Fecha]])</f>
        <v>46300</v>
      </c>
      <c r="G998">
        <v>1128057310</v>
      </c>
      <c r="H998" t="s">
        <v>713</v>
      </c>
      <c r="I998">
        <v>31</v>
      </c>
      <c r="J998">
        <v>0</v>
      </c>
      <c r="K998" s="1">
        <v>2002902</v>
      </c>
    </row>
    <row r="999" spans="1:11" x14ac:dyDescent="0.25">
      <c r="A999" t="s">
        <v>326</v>
      </c>
      <c r="B999" t="s">
        <v>712</v>
      </c>
      <c r="C999" t="s">
        <v>866</v>
      </c>
      <c r="D999" t="s">
        <v>14</v>
      </c>
      <c r="E999">
        <v>5</v>
      </c>
      <c r="F999" s="2">
        <f>DATE(2026,IF(Tabla1[[#This Row],[Mes de Fecha]]="Septiembre",9,10),Tabla1[[#This Row],[Día de Fecha]])</f>
        <v>46300</v>
      </c>
      <c r="G999">
        <v>1148693394</v>
      </c>
      <c r="H999" t="s">
        <v>611</v>
      </c>
      <c r="I999">
        <v>63</v>
      </c>
      <c r="J999">
        <v>0</v>
      </c>
      <c r="K999" s="1">
        <v>3417445</v>
      </c>
    </row>
    <row r="1000" spans="1:11" x14ac:dyDescent="0.25">
      <c r="A1000" t="s">
        <v>326</v>
      </c>
      <c r="B1000" t="s">
        <v>712</v>
      </c>
      <c r="C1000" t="s">
        <v>866</v>
      </c>
      <c r="D1000" t="s">
        <v>14</v>
      </c>
      <c r="E1000">
        <v>6</v>
      </c>
      <c r="F1000" s="2">
        <f>DATE(2026,IF(Tabla1[[#This Row],[Mes de Fecha]]="Septiembre",9,10),Tabla1[[#This Row],[Día de Fecha]])</f>
        <v>46301</v>
      </c>
      <c r="I1000">
        <v>0</v>
      </c>
      <c r="J1000" s="1">
        <v>5602986</v>
      </c>
      <c r="K1000">
        <v>0</v>
      </c>
    </row>
    <row r="1001" spans="1:11" x14ac:dyDescent="0.25">
      <c r="A1001" t="s">
        <v>326</v>
      </c>
      <c r="B1001" t="s">
        <v>712</v>
      </c>
      <c r="C1001" t="s">
        <v>866</v>
      </c>
      <c r="D1001" t="s">
        <v>14</v>
      </c>
      <c r="E1001">
        <v>6</v>
      </c>
      <c r="F1001" s="2">
        <f>DATE(2026,IF(Tabla1[[#This Row],[Mes de Fecha]]="Septiembre",9,10),Tabla1[[#This Row],[Día de Fecha]])</f>
        <v>46301</v>
      </c>
      <c r="G1001">
        <v>73578286</v>
      </c>
      <c r="H1001" t="s">
        <v>472</v>
      </c>
      <c r="I1001">
        <v>35</v>
      </c>
      <c r="J1001">
        <v>0</v>
      </c>
      <c r="K1001" s="1">
        <v>1908153</v>
      </c>
    </row>
    <row r="1002" spans="1:11" x14ac:dyDescent="0.25">
      <c r="A1002" t="s">
        <v>326</v>
      </c>
      <c r="B1002" t="s">
        <v>712</v>
      </c>
      <c r="C1002" t="s">
        <v>866</v>
      </c>
      <c r="D1002" t="s">
        <v>14</v>
      </c>
      <c r="E1002">
        <v>6</v>
      </c>
      <c r="F1002" s="2">
        <f>DATE(2026,IF(Tabla1[[#This Row],[Mes de Fecha]]="Septiembre",9,10),Tabla1[[#This Row],[Día de Fecha]])</f>
        <v>46301</v>
      </c>
      <c r="G1002">
        <v>1047480286</v>
      </c>
      <c r="H1002" t="s">
        <v>480</v>
      </c>
      <c r="I1002">
        <v>-1</v>
      </c>
      <c r="J1002">
        <v>0</v>
      </c>
      <c r="K1002" s="1">
        <v>-109202</v>
      </c>
    </row>
    <row r="1003" spans="1:11" x14ac:dyDescent="0.25">
      <c r="A1003" t="s">
        <v>326</v>
      </c>
      <c r="B1003" t="s">
        <v>712</v>
      </c>
      <c r="C1003" t="s">
        <v>866</v>
      </c>
      <c r="D1003" t="s">
        <v>14</v>
      </c>
      <c r="E1003">
        <v>6</v>
      </c>
      <c r="F1003" s="2">
        <f>DATE(2026,IF(Tabla1[[#This Row],[Mes de Fecha]]="Septiembre",9,10),Tabla1[[#This Row],[Día de Fecha]])</f>
        <v>46301</v>
      </c>
      <c r="G1003">
        <v>1128057310</v>
      </c>
      <c r="H1003" t="s">
        <v>713</v>
      </c>
      <c r="I1003">
        <v>10</v>
      </c>
      <c r="J1003">
        <v>0</v>
      </c>
      <c r="K1003" s="1">
        <v>619329</v>
      </c>
    </row>
    <row r="1004" spans="1:11" x14ac:dyDescent="0.25">
      <c r="A1004" t="s">
        <v>326</v>
      </c>
      <c r="B1004" t="s">
        <v>712</v>
      </c>
      <c r="C1004" t="s">
        <v>866</v>
      </c>
      <c r="D1004" t="s">
        <v>14</v>
      </c>
      <c r="E1004">
        <v>6</v>
      </c>
      <c r="F1004" s="2">
        <f>DATE(2026,IF(Tabla1[[#This Row],[Mes de Fecha]]="Septiembre",9,10),Tabla1[[#This Row],[Día de Fecha]])</f>
        <v>46301</v>
      </c>
      <c r="G1004">
        <v>1148693394</v>
      </c>
      <c r="H1004" t="s">
        <v>611</v>
      </c>
      <c r="I1004">
        <v>18</v>
      </c>
      <c r="J1004">
        <v>0</v>
      </c>
      <c r="K1004" s="1">
        <v>1028614</v>
      </c>
    </row>
    <row r="1005" spans="1:11" x14ac:dyDescent="0.25">
      <c r="A1005" t="s">
        <v>326</v>
      </c>
      <c r="B1005" t="s">
        <v>712</v>
      </c>
      <c r="C1005" t="s">
        <v>866</v>
      </c>
      <c r="D1005" t="s">
        <v>14</v>
      </c>
      <c r="E1005">
        <v>7</v>
      </c>
      <c r="F1005" s="2">
        <f>DATE(2026,IF(Tabla1[[#This Row],[Mes de Fecha]]="Septiembre",9,10),Tabla1[[#This Row],[Día de Fecha]])</f>
        <v>46302</v>
      </c>
      <c r="I1005">
        <v>0</v>
      </c>
      <c r="J1005" s="1">
        <v>5544150</v>
      </c>
      <c r="K1005">
        <v>0</v>
      </c>
    </row>
    <row r="1006" spans="1:11" x14ac:dyDescent="0.25">
      <c r="A1006" t="s">
        <v>326</v>
      </c>
      <c r="B1006" t="s">
        <v>712</v>
      </c>
      <c r="C1006" t="s">
        <v>866</v>
      </c>
      <c r="D1006" t="s">
        <v>14</v>
      </c>
      <c r="E1006">
        <v>7</v>
      </c>
      <c r="F1006" s="2">
        <f>DATE(2026,IF(Tabla1[[#This Row],[Mes de Fecha]]="Septiembre",9,10),Tabla1[[#This Row],[Día de Fecha]])</f>
        <v>46302</v>
      </c>
      <c r="G1006">
        <v>73578286</v>
      </c>
      <c r="H1006" t="s">
        <v>472</v>
      </c>
      <c r="I1006">
        <v>27</v>
      </c>
      <c r="J1006">
        <v>0</v>
      </c>
      <c r="K1006" s="1">
        <v>1666848</v>
      </c>
    </row>
    <row r="1007" spans="1:11" x14ac:dyDescent="0.25">
      <c r="A1007" t="s">
        <v>326</v>
      </c>
      <c r="B1007" t="s">
        <v>712</v>
      </c>
      <c r="C1007" t="s">
        <v>866</v>
      </c>
      <c r="D1007" t="s">
        <v>14</v>
      </c>
      <c r="E1007">
        <v>7</v>
      </c>
      <c r="F1007" s="2">
        <f>DATE(2026,IF(Tabla1[[#This Row],[Mes de Fecha]]="Septiembre",9,10),Tabla1[[#This Row],[Día de Fecha]])</f>
        <v>46302</v>
      </c>
      <c r="G1007">
        <v>1067882225</v>
      </c>
      <c r="H1007" t="s">
        <v>476</v>
      </c>
      <c r="I1007">
        <v>-1</v>
      </c>
      <c r="J1007">
        <v>0</v>
      </c>
      <c r="K1007" s="1">
        <v>-71386</v>
      </c>
    </row>
    <row r="1008" spans="1:11" x14ac:dyDescent="0.25">
      <c r="A1008" t="s">
        <v>326</v>
      </c>
      <c r="B1008" t="s">
        <v>712</v>
      </c>
      <c r="C1008" t="s">
        <v>866</v>
      </c>
      <c r="D1008" t="s">
        <v>14</v>
      </c>
      <c r="E1008">
        <v>7</v>
      </c>
      <c r="F1008" s="2">
        <f>DATE(2026,IF(Tabla1[[#This Row],[Mes de Fecha]]="Septiembre",9,10),Tabla1[[#This Row],[Día de Fecha]])</f>
        <v>46302</v>
      </c>
      <c r="G1008">
        <v>1128057310</v>
      </c>
      <c r="H1008" t="s">
        <v>713</v>
      </c>
      <c r="I1008">
        <v>21</v>
      </c>
      <c r="J1008">
        <v>0</v>
      </c>
      <c r="K1008" s="1">
        <v>961304</v>
      </c>
    </row>
    <row r="1009" spans="1:11" x14ac:dyDescent="0.25">
      <c r="A1009" t="s">
        <v>326</v>
      </c>
      <c r="B1009" t="s">
        <v>712</v>
      </c>
      <c r="C1009" t="s">
        <v>866</v>
      </c>
      <c r="D1009" t="s">
        <v>14</v>
      </c>
      <c r="E1009">
        <v>7</v>
      </c>
      <c r="F1009" s="2">
        <f>DATE(2026,IF(Tabla1[[#This Row],[Mes de Fecha]]="Septiembre",9,10),Tabla1[[#This Row],[Día de Fecha]])</f>
        <v>46302</v>
      </c>
      <c r="G1009">
        <v>1148693394</v>
      </c>
      <c r="H1009" t="s">
        <v>611</v>
      </c>
      <c r="I1009">
        <v>32</v>
      </c>
      <c r="J1009">
        <v>0</v>
      </c>
      <c r="K1009" s="1">
        <v>1679247</v>
      </c>
    </row>
    <row r="1010" spans="1:11" x14ac:dyDescent="0.25">
      <c r="A1010" t="s">
        <v>326</v>
      </c>
      <c r="B1010" t="s">
        <v>734</v>
      </c>
      <c r="C1010" t="s">
        <v>866</v>
      </c>
      <c r="D1010" t="s">
        <v>11</v>
      </c>
      <c r="E1010">
        <v>23</v>
      </c>
      <c r="F1010" s="2">
        <f>DATE(2026,IF(Tabla1[[#This Row],[Mes de Fecha]]="Septiembre",9,10),Tabla1[[#This Row],[Día de Fecha]])</f>
        <v>46288</v>
      </c>
      <c r="I1010">
        <v>0</v>
      </c>
      <c r="J1010" s="1">
        <v>12964302</v>
      </c>
      <c r="K1010">
        <v>0</v>
      </c>
    </row>
    <row r="1011" spans="1:11" x14ac:dyDescent="0.25">
      <c r="A1011" t="s">
        <v>326</v>
      </c>
      <c r="B1011" t="s">
        <v>734</v>
      </c>
      <c r="C1011" t="s">
        <v>866</v>
      </c>
      <c r="D1011" t="s">
        <v>11</v>
      </c>
      <c r="E1011">
        <v>23</v>
      </c>
      <c r="F1011" s="2">
        <f>DATE(2026,IF(Tabla1[[#This Row],[Mes de Fecha]]="Septiembre",9,10),Tabla1[[#This Row],[Día de Fecha]])</f>
        <v>46288</v>
      </c>
      <c r="G1011">
        <v>1001820021</v>
      </c>
      <c r="H1011" t="s">
        <v>489</v>
      </c>
      <c r="I1011">
        <v>41</v>
      </c>
      <c r="J1011">
        <v>0</v>
      </c>
      <c r="K1011" s="1">
        <v>2391052</v>
      </c>
    </row>
    <row r="1012" spans="1:11" x14ac:dyDescent="0.25">
      <c r="A1012" t="s">
        <v>326</v>
      </c>
      <c r="B1012" t="s">
        <v>734</v>
      </c>
      <c r="C1012" t="s">
        <v>866</v>
      </c>
      <c r="D1012" t="s">
        <v>11</v>
      </c>
      <c r="E1012">
        <v>23</v>
      </c>
      <c r="F1012" s="2">
        <f>DATE(2026,IF(Tabla1[[#This Row],[Mes de Fecha]]="Septiembre",9,10),Tabla1[[#This Row],[Día de Fecha]])</f>
        <v>46288</v>
      </c>
      <c r="G1012">
        <v>1045756535</v>
      </c>
      <c r="H1012" t="s">
        <v>657</v>
      </c>
      <c r="I1012">
        <v>71</v>
      </c>
      <c r="J1012">
        <v>0</v>
      </c>
      <c r="K1012" s="1">
        <v>3667189</v>
      </c>
    </row>
    <row r="1013" spans="1:11" x14ac:dyDescent="0.25">
      <c r="A1013" t="s">
        <v>326</v>
      </c>
      <c r="B1013" t="s">
        <v>734</v>
      </c>
      <c r="C1013" t="s">
        <v>866</v>
      </c>
      <c r="D1013" t="s">
        <v>11</v>
      </c>
      <c r="E1013">
        <v>23</v>
      </c>
      <c r="F1013" s="2">
        <f>DATE(2026,IF(Tabla1[[#This Row],[Mes de Fecha]]="Septiembre",9,10),Tabla1[[#This Row],[Día de Fecha]])</f>
        <v>46288</v>
      </c>
      <c r="G1013">
        <v>1234093311</v>
      </c>
      <c r="H1013" t="s">
        <v>735</v>
      </c>
      <c r="I1013">
        <v>90</v>
      </c>
      <c r="J1013">
        <v>0</v>
      </c>
      <c r="K1013" s="1">
        <v>4996137</v>
      </c>
    </row>
    <row r="1014" spans="1:11" x14ac:dyDescent="0.25">
      <c r="A1014" t="s">
        <v>326</v>
      </c>
      <c r="B1014" t="s">
        <v>734</v>
      </c>
      <c r="C1014" t="s">
        <v>866</v>
      </c>
      <c r="D1014" t="s">
        <v>11</v>
      </c>
      <c r="E1014">
        <v>24</v>
      </c>
      <c r="F1014" s="2">
        <f>DATE(2026,IF(Tabla1[[#This Row],[Mes de Fecha]]="Septiembre",9,10),Tabla1[[#This Row],[Día de Fecha]])</f>
        <v>46289</v>
      </c>
      <c r="I1014">
        <v>0</v>
      </c>
      <c r="J1014" s="1">
        <v>19804427</v>
      </c>
      <c r="K1014">
        <v>0</v>
      </c>
    </row>
    <row r="1015" spans="1:11" x14ac:dyDescent="0.25">
      <c r="A1015" t="s">
        <v>326</v>
      </c>
      <c r="B1015" t="s">
        <v>734</v>
      </c>
      <c r="C1015" t="s">
        <v>866</v>
      </c>
      <c r="D1015" t="s">
        <v>11</v>
      </c>
      <c r="E1015">
        <v>24</v>
      </c>
      <c r="F1015" s="2">
        <f>DATE(2026,IF(Tabla1[[#This Row],[Mes de Fecha]]="Septiembre",9,10),Tabla1[[#This Row],[Día de Fecha]])</f>
        <v>46289</v>
      </c>
      <c r="G1015">
        <v>1001820021</v>
      </c>
      <c r="H1015" t="s">
        <v>489</v>
      </c>
      <c r="I1015">
        <v>64</v>
      </c>
      <c r="J1015">
        <v>0</v>
      </c>
      <c r="K1015" s="1">
        <v>3263829</v>
      </c>
    </row>
    <row r="1016" spans="1:11" x14ac:dyDescent="0.25">
      <c r="A1016" t="s">
        <v>326</v>
      </c>
      <c r="B1016" t="s">
        <v>734</v>
      </c>
      <c r="C1016" t="s">
        <v>866</v>
      </c>
      <c r="D1016" t="s">
        <v>11</v>
      </c>
      <c r="E1016">
        <v>24</v>
      </c>
      <c r="F1016" s="2">
        <f>DATE(2026,IF(Tabla1[[#This Row],[Mes de Fecha]]="Septiembre",9,10),Tabla1[[#This Row],[Día de Fecha]])</f>
        <v>46289</v>
      </c>
      <c r="G1016">
        <v>1045756535</v>
      </c>
      <c r="H1016" t="s">
        <v>657</v>
      </c>
      <c r="I1016">
        <v>121</v>
      </c>
      <c r="J1016">
        <v>0</v>
      </c>
      <c r="K1016" s="1">
        <v>6288833</v>
      </c>
    </row>
    <row r="1017" spans="1:11" x14ac:dyDescent="0.25">
      <c r="A1017" t="s">
        <v>326</v>
      </c>
      <c r="B1017" t="s">
        <v>734</v>
      </c>
      <c r="C1017" t="s">
        <v>866</v>
      </c>
      <c r="D1017" t="s">
        <v>11</v>
      </c>
      <c r="E1017">
        <v>24</v>
      </c>
      <c r="F1017" s="2">
        <f>DATE(2026,IF(Tabla1[[#This Row],[Mes de Fecha]]="Septiembre",9,10),Tabla1[[#This Row],[Día de Fecha]])</f>
        <v>46289</v>
      </c>
      <c r="G1017">
        <v>1234093311</v>
      </c>
      <c r="H1017" t="s">
        <v>735</v>
      </c>
      <c r="I1017">
        <v>74</v>
      </c>
      <c r="J1017">
        <v>0</v>
      </c>
      <c r="K1017" s="1">
        <v>4009417</v>
      </c>
    </row>
    <row r="1018" spans="1:11" x14ac:dyDescent="0.25">
      <c r="A1018" t="s">
        <v>326</v>
      </c>
      <c r="B1018" t="s">
        <v>734</v>
      </c>
      <c r="C1018" t="s">
        <v>866</v>
      </c>
      <c r="D1018" t="s">
        <v>11</v>
      </c>
      <c r="E1018">
        <v>25</v>
      </c>
      <c r="F1018" s="2">
        <f>DATE(2026,IF(Tabla1[[#This Row],[Mes de Fecha]]="Septiembre",9,10),Tabla1[[#This Row],[Día de Fecha]])</f>
        <v>46290</v>
      </c>
      <c r="I1018">
        <v>0</v>
      </c>
      <c r="J1018" s="1">
        <v>19760587</v>
      </c>
      <c r="K1018">
        <v>0</v>
      </c>
    </row>
    <row r="1019" spans="1:11" x14ac:dyDescent="0.25">
      <c r="A1019" t="s">
        <v>326</v>
      </c>
      <c r="B1019" t="s">
        <v>734</v>
      </c>
      <c r="C1019" t="s">
        <v>866</v>
      </c>
      <c r="D1019" t="s">
        <v>11</v>
      </c>
      <c r="E1019">
        <v>25</v>
      </c>
      <c r="F1019" s="2">
        <f>DATE(2026,IF(Tabla1[[#This Row],[Mes de Fecha]]="Septiembre",9,10),Tabla1[[#This Row],[Día de Fecha]])</f>
        <v>46290</v>
      </c>
      <c r="G1019">
        <v>1001820021</v>
      </c>
      <c r="H1019" t="s">
        <v>489</v>
      </c>
      <c r="I1019">
        <v>87</v>
      </c>
      <c r="J1019">
        <v>0</v>
      </c>
      <c r="K1019" s="1">
        <v>4340593</v>
      </c>
    </row>
    <row r="1020" spans="1:11" x14ac:dyDescent="0.25">
      <c r="A1020" t="s">
        <v>326</v>
      </c>
      <c r="B1020" t="s">
        <v>734</v>
      </c>
      <c r="C1020" t="s">
        <v>866</v>
      </c>
      <c r="D1020" t="s">
        <v>11</v>
      </c>
      <c r="E1020">
        <v>25</v>
      </c>
      <c r="F1020" s="2">
        <f>DATE(2026,IF(Tabla1[[#This Row],[Mes de Fecha]]="Septiembre",9,10),Tabla1[[#This Row],[Día de Fecha]])</f>
        <v>46290</v>
      </c>
      <c r="G1020">
        <v>1045756535</v>
      </c>
      <c r="H1020" t="s">
        <v>657</v>
      </c>
      <c r="I1020">
        <v>67</v>
      </c>
      <c r="J1020">
        <v>0</v>
      </c>
      <c r="K1020" s="1">
        <v>3694541</v>
      </c>
    </row>
    <row r="1021" spans="1:11" x14ac:dyDescent="0.25">
      <c r="A1021" t="s">
        <v>326</v>
      </c>
      <c r="B1021" t="s">
        <v>734</v>
      </c>
      <c r="C1021" t="s">
        <v>866</v>
      </c>
      <c r="D1021" t="s">
        <v>11</v>
      </c>
      <c r="E1021">
        <v>25</v>
      </c>
      <c r="F1021" s="2">
        <f>DATE(2026,IF(Tabla1[[#This Row],[Mes de Fecha]]="Septiembre",9,10),Tabla1[[#This Row],[Día de Fecha]])</f>
        <v>46290</v>
      </c>
      <c r="G1021">
        <v>1234093311</v>
      </c>
      <c r="H1021" t="s">
        <v>735</v>
      </c>
      <c r="I1021">
        <v>108</v>
      </c>
      <c r="J1021">
        <v>0</v>
      </c>
      <c r="K1021" s="1">
        <v>5871350</v>
      </c>
    </row>
    <row r="1022" spans="1:11" x14ac:dyDescent="0.25">
      <c r="A1022" t="s">
        <v>326</v>
      </c>
      <c r="B1022" t="s">
        <v>734</v>
      </c>
      <c r="C1022" t="s">
        <v>866</v>
      </c>
      <c r="D1022" t="s">
        <v>11</v>
      </c>
      <c r="E1022">
        <v>26</v>
      </c>
      <c r="F1022" s="2">
        <f>DATE(2026,IF(Tabla1[[#This Row],[Mes de Fecha]]="Septiembre",9,10),Tabla1[[#This Row],[Día de Fecha]])</f>
        <v>46291</v>
      </c>
      <c r="I1022">
        <v>0</v>
      </c>
      <c r="J1022" s="1">
        <v>28398802</v>
      </c>
      <c r="K1022">
        <v>0</v>
      </c>
    </row>
    <row r="1023" spans="1:11" x14ac:dyDescent="0.25">
      <c r="A1023" t="s">
        <v>326</v>
      </c>
      <c r="B1023" t="s">
        <v>734</v>
      </c>
      <c r="C1023" t="s">
        <v>866</v>
      </c>
      <c r="D1023" t="s">
        <v>11</v>
      </c>
      <c r="E1023">
        <v>26</v>
      </c>
      <c r="F1023" s="2">
        <f>DATE(2026,IF(Tabla1[[#This Row],[Mes de Fecha]]="Septiembre",9,10),Tabla1[[#This Row],[Día de Fecha]])</f>
        <v>46291</v>
      </c>
      <c r="G1023">
        <v>1001820021</v>
      </c>
      <c r="H1023" t="s">
        <v>489</v>
      </c>
      <c r="I1023">
        <v>99</v>
      </c>
      <c r="J1023">
        <v>0</v>
      </c>
      <c r="K1023" s="1">
        <v>5230806</v>
      </c>
    </row>
    <row r="1024" spans="1:11" x14ac:dyDescent="0.25">
      <c r="A1024" t="s">
        <v>326</v>
      </c>
      <c r="B1024" t="s">
        <v>734</v>
      </c>
      <c r="C1024" t="s">
        <v>866</v>
      </c>
      <c r="D1024" t="s">
        <v>11</v>
      </c>
      <c r="E1024">
        <v>26</v>
      </c>
      <c r="F1024" s="2">
        <f>DATE(2026,IF(Tabla1[[#This Row],[Mes de Fecha]]="Septiembre",9,10),Tabla1[[#This Row],[Día de Fecha]])</f>
        <v>46291</v>
      </c>
      <c r="G1024">
        <v>1045756535</v>
      </c>
      <c r="H1024" t="s">
        <v>657</v>
      </c>
      <c r="I1024">
        <v>203</v>
      </c>
      <c r="J1024">
        <v>0</v>
      </c>
      <c r="K1024" s="1">
        <v>10354168</v>
      </c>
    </row>
    <row r="1025" spans="1:11" x14ac:dyDescent="0.25">
      <c r="A1025" t="s">
        <v>326</v>
      </c>
      <c r="B1025" t="s">
        <v>734</v>
      </c>
      <c r="C1025" t="s">
        <v>866</v>
      </c>
      <c r="D1025" t="s">
        <v>11</v>
      </c>
      <c r="E1025">
        <v>26</v>
      </c>
      <c r="F1025" s="2">
        <f>DATE(2026,IF(Tabla1[[#This Row],[Mes de Fecha]]="Septiembre",9,10),Tabla1[[#This Row],[Día de Fecha]])</f>
        <v>46291</v>
      </c>
      <c r="G1025">
        <v>1234093311</v>
      </c>
      <c r="H1025" t="s">
        <v>735</v>
      </c>
      <c r="I1025">
        <v>158</v>
      </c>
      <c r="J1025">
        <v>0</v>
      </c>
      <c r="K1025" s="1">
        <v>8634834</v>
      </c>
    </row>
    <row r="1026" spans="1:11" x14ac:dyDescent="0.25">
      <c r="A1026" t="s">
        <v>326</v>
      </c>
      <c r="B1026" t="s">
        <v>734</v>
      </c>
      <c r="C1026" t="s">
        <v>866</v>
      </c>
      <c r="D1026" t="s">
        <v>11</v>
      </c>
      <c r="E1026">
        <v>27</v>
      </c>
      <c r="F1026" s="2">
        <f>DATE(2026,IF(Tabla1[[#This Row],[Mes de Fecha]]="Septiembre",9,10),Tabla1[[#This Row],[Día de Fecha]])</f>
        <v>46292</v>
      </c>
      <c r="I1026">
        <v>0</v>
      </c>
      <c r="J1026" s="1">
        <v>22497569</v>
      </c>
      <c r="K1026">
        <v>0</v>
      </c>
    </row>
    <row r="1027" spans="1:11" x14ac:dyDescent="0.25">
      <c r="A1027" t="s">
        <v>326</v>
      </c>
      <c r="B1027" t="s">
        <v>734</v>
      </c>
      <c r="C1027" t="s">
        <v>866</v>
      </c>
      <c r="D1027" t="s">
        <v>11</v>
      </c>
      <c r="E1027">
        <v>27</v>
      </c>
      <c r="F1027" s="2">
        <f>DATE(2026,IF(Tabla1[[#This Row],[Mes de Fecha]]="Septiembre",9,10),Tabla1[[#This Row],[Día de Fecha]])</f>
        <v>46292</v>
      </c>
      <c r="G1027">
        <v>1001820021</v>
      </c>
      <c r="H1027" t="s">
        <v>489</v>
      </c>
      <c r="I1027">
        <v>62</v>
      </c>
      <c r="J1027">
        <v>0</v>
      </c>
      <c r="K1027" s="1">
        <v>2818156</v>
      </c>
    </row>
    <row r="1028" spans="1:11" x14ac:dyDescent="0.25">
      <c r="A1028" t="s">
        <v>326</v>
      </c>
      <c r="B1028" t="s">
        <v>734</v>
      </c>
      <c r="C1028" t="s">
        <v>866</v>
      </c>
      <c r="D1028" t="s">
        <v>11</v>
      </c>
      <c r="E1028">
        <v>27</v>
      </c>
      <c r="F1028" s="2">
        <f>DATE(2026,IF(Tabla1[[#This Row],[Mes de Fecha]]="Septiembre",9,10),Tabla1[[#This Row],[Día de Fecha]])</f>
        <v>46292</v>
      </c>
      <c r="G1028">
        <v>1045756535</v>
      </c>
      <c r="H1028" t="s">
        <v>657</v>
      </c>
      <c r="I1028">
        <v>87</v>
      </c>
      <c r="J1028">
        <v>0</v>
      </c>
      <c r="K1028" s="1">
        <v>4619876</v>
      </c>
    </row>
    <row r="1029" spans="1:11" x14ac:dyDescent="0.25">
      <c r="A1029" t="s">
        <v>326</v>
      </c>
      <c r="B1029" t="s">
        <v>734</v>
      </c>
      <c r="C1029" t="s">
        <v>866</v>
      </c>
      <c r="D1029" t="s">
        <v>11</v>
      </c>
      <c r="E1029">
        <v>27</v>
      </c>
      <c r="F1029" s="2">
        <f>DATE(2026,IF(Tabla1[[#This Row],[Mes de Fecha]]="Septiembre",9,10),Tabla1[[#This Row],[Día de Fecha]])</f>
        <v>46292</v>
      </c>
      <c r="G1029">
        <v>1234093311</v>
      </c>
      <c r="H1029" t="s">
        <v>735</v>
      </c>
      <c r="I1029">
        <v>85</v>
      </c>
      <c r="J1029">
        <v>0</v>
      </c>
      <c r="K1029" s="1">
        <v>4550679</v>
      </c>
    </row>
    <row r="1030" spans="1:11" x14ac:dyDescent="0.25">
      <c r="A1030" t="s">
        <v>326</v>
      </c>
      <c r="B1030" t="s">
        <v>734</v>
      </c>
      <c r="C1030" t="s">
        <v>866</v>
      </c>
      <c r="D1030" t="s">
        <v>11</v>
      </c>
      <c r="E1030">
        <v>28</v>
      </c>
      <c r="F1030" s="2">
        <f>DATE(2026,IF(Tabla1[[#This Row],[Mes de Fecha]]="Septiembre",9,10),Tabla1[[#This Row],[Día de Fecha]])</f>
        <v>46293</v>
      </c>
      <c r="I1030">
        <v>0</v>
      </c>
      <c r="J1030" s="1">
        <v>12381737</v>
      </c>
      <c r="K1030">
        <v>0</v>
      </c>
    </row>
    <row r="1031" spans="1:11" x14ac:dyDescent="0.25">
      <c r="A1031" t="s">
        <v>326</v>
      </c>
      <c r="B1031" t="s">
        <v>734</v>
      </c>
      <c r="C1031" t="s">
        <v>866</v>
      </c>
      <c r="D1031" t="s">
        <v>11</v>
      </c>
      <c r="E1031">
        <v>28</v>
      </c>
      <c r="F1031" s="2">
        <f>DATE(2026,IF(Tabla1[[#This Row],[Mes de Fecha]]="Septiembre",9,10),Tabla1[[#This Row],[Día de Fecha]])</f>
        <v>46293</v>
      </c>
      <c r="G1031">
        <v>1001820021</v>
      </c>
      <c r="H1031" t="s">
        <v>489</v>
      </c>
      <c r="I1031">
        <v>17</v>
      </c>
      <c r="J1031">
        <v>0</v>
      </c>
      <c r="K1031" s="1">
        <v>616683</v>
      </c>
    </row>
    <row r="1032" spans="1:11" x14ac:dyDescent="0.25">
      <c r="A1032" t="s">
        <v>326</v>
      </c>
      <c r="B1032" t="s">
        <v>734</v>
      </c>
      <c r="C1032" t="s">
        <v>866</v>
      </c>
      <c r="D1032" t="s">
        <v>11</v>
      </c>
      <c r="E1032">
        <v>28</v>
      </c>
      <c r="F1032" s="2">
        <f>DATE(2026,IF(Tabla1[[#This Row],[Mes de Fecha]]="Septiembre",9,10),Tabla1[[#This Row],[Día de Fecha]])</f>
        <v>46293</v>
      </c>
      <c r="G1032">
        <v>1045756535</v>
      </c>
      <c r="H1032" t="s">
        <v>657</v>
      </c>
      <c r="I1032">
        <v>79</v>
      </c>
      <c r="J1032">
        <v>0</v>
      </c>
      <c r="K1032" s="1">
        <v>3065174</v>
      </c>
    </row>
    <row r="1033" spans="1:11" x14ac:dyDescent="0.25">
      <c r="A1033" t="s">
        <v>326</v>
      </c>
      <c r="B1033" t="s">
        <v>734</v>
      </c>
      <c r="C1033" t="s">
        <v>866</v>
      </c>
      <c r="D1033" t="s">
        <v>11</v>
      </c>
      <c r="E1033">
        <v>28</v>
      </c>
      <c r="F1033" s="2">
        <f>DATE(2026,IF(Tabla1[[#This Row],[Mes de Fecha]]="Septiembre",9,10),Tabla1[[#This Row],[Día de Fecha]])</f>
        <v>46293</v>
      </c>
      <c r="G1033">
        <v>1234093311</v>
      </c>
      <c r="H1033" t="s">
        <v>735</v>
      </c>
      <c r="I1033">
        <v>39</v>
      </c>
      <c r="J1033">
        <v>0</v>
      </c>
      <c r="K1033" s="1">
        <v>1931094</v>
      </c>
    </row>
    <row r="1034" spans="1:11" x14ac:dyDescent="0.25">
      <c r="A1034" t="s">
        <v>326</v>
      </c>
      <c r="B1034" t="s">
        <v>734</v>
      </c>
      <c r="C1034" t="s">
        <v>866</v>
      </c>
      <c r="D1034" t="s">
        <v>11</v>
      </c>
      <c r="E1034">
        <v>29</v>
      </c>
      <c r="F1034" s="2">
        <f>DATE(2026,IF(Tabla1[[#This Row],[Mes de Fecha]]="Septiembre",9,10),Tabla1[[#This Row],[Día de Fecha]])</f>
        <v>46294</v>
      </c>
      <c r="I1034">
        <v>0</v>
      </c>
      <c r="J1034" s="1">
        <v>13226119</v>
      </c>
      <c r="K1034">
        <v>0</v>
      </c>
    </row>
    <row r="1035" spans="1:11" x14ac:dyDescent="0.25">
      <c r="A1035" t="s">
        <v>326</v>
      </c>
      <c r="B1035" t="s">
        <v>734</v>
      </c>
      <c r="C1035" t="s">
        <v>866</v>
      </c>
      <c r="D1035" t="s">
        <v>11</v>
      </c>
      <c r="E1035">
        <v>29</v>
      </c>
      <c r="F1035" s="2">
        <f>DATE(2026,IF(Tabla1[[#This Row],[Mes de Fecha]]="Septiembre",9,10),Tabla1[[#This Row],[Día de Fecha]])</f>
        <v>46294</v>
      </c>
      <c r="G1035">
        <v>1001820021</v>
      </c>
      <c r="H1035" t="s">
        <v>489</v>
      </c>
      <c r="I1035">
        <v>27</v>
      </c>
      <c r="J1035">
        <v>0</v>
      </c>
      <c r="K1035" s="1">
        <v>1351809</v>
      </c>
    </row>
    <row r="1036" spans="1:11" x14ac:dyDescent="0.25">
      <c r="A1036" t="s">
        <v>326</v>
      </c>
      <c r="B1036" t="s">
        <v>734</v>
      </c>
      <c r="C1036" t="s">
        <v>866</v>
      </c>
      <c r="D1036" t="s">
        <v>11</v>
      </c>
      <c r="E1036">
        <v>29</v>
      </c>
      <c r="F1036" s="2">
        <f>DATE(2026,IF(Tabla1[[#This Row],[Mes de Fecha]]="Septiembre",9,10),Tabla1[[#This Row],[Día de Fecha]])</f>
        <v>46294</v>
      </c>
      <c r="G1036">
        <v>1045756535</v>
      </c>
      <c r="H1036" t="s">
        <v>657</v>
      </c>
      <c r="I1036">
        <v>78</v>
      </c>
      <c r="J1036">
        <v>0</v>
      </c>
      <c r="K1036" s="1">
        <v>3699917</v>
      </c>
    </row>
    <row r="1037" spans="1:11" x14ac:dyDescent="0.25">
      <c r="A1037" t="s">
        <v>326</v>
      </c>
      <c r="B1037" t="s">
        <v>734</v>
      </c>
      <c r="C1037" t="s">
        <v>866</v>
      </c>
      <c r="D1037" t="s">
        <v>11</v>
      </c>
      <c r="E1037">
        <v>29</v>
      </c>
      <c r="F1037" s="2">
        <f>DATE(2026,IF(Tabla1[[#This Row],[Mes de Fecha]]="Septiembre",9,10),Tabla1[[#This Row],[Día de Fecha]])</f>
        <v>46294</v>
      </c>
      <c r="G1037">
        <v>1234093311</v>
      </c>
      <c r="H1037" t="s">
        <v>735</v>
      </c>
      <c r="I1037">
        <v>51</v>
      </c>
      <c r="J1037">
        <v>0</v>
      </c>
      <c r="K1037" s="1">
        <v>2459708</v>
      </c>
    </row>
    <row r="1038" spans="1:11" x14ac:dyDescent="0.25">
      <c r="A1038" t="s">
        <v>326</v>
      </c>
      <c r="B1038" t="s">
        <v>734</v>
      </c>
      <c r="C1038" t="s">
        <v>866</v>
      </c>
      <c r="D1038" t="s">
        <v>11</v>
      </c>
      <c r="E1038">
        <v>30</v>
      </c>
      <c r="F1038" s="2">
        <f>DATE(2026,IF(Tabla1[[#This Row],[Mes de Fecha]]="Septiembre",9,10),Tabla1[[#This Row],[Día de Fecha]])</f>
        <v>46295</v>
      </c>
      <c r="I1038">
        <v>0</v>
      </c>
      <c r="J1038" s="1">
        <v>13662818</v>
      </c>
      <c r="K1038">
        <v>0</v>
      </c>
    </row>
    <row r="1039" spans="1:11" x14ac:dyDescent="0.25">
      <c r="A1039" t="s">
        <v>326</v>
      </c>
      <c r="B1039" t="s">
        <v>734</v>
      </c>
      <c r="C1039" t="s">
        <v>866</v>
      </c>
      <c r="D1039" t="s">
        <v>11</v>
      </c>
      <c r="E1039">
        <v>30</v>
      </c>
      <c r="F1039" s="2">
        <f>DATE(2026,IF(Tabla1[[#This Row],[Mes de Fecha]]="Septiembre",9,10),Tabla1[[#This Row],[Día de Fecha]])</f>
        <v>46295</v>
      </c>
      <c r="G1039">
        <v>1001820021</v>
      </c>
      <c r="H1039" t="s">
        <v>489</v>
      </c>
      <c r="I1039">
        <v>52</v>
      </c>
      <c r="J1039">
        <v>0</v>
      </c>
      <c r="K1039" s="1">
        <v>2394585</v>
      </c>
    </row>
    <row r="1040" spans="1:11" x14ac:dyDescent="0.25">
      <c r="A1040" t="s">
        <v>326</v>
      </c>
      <c r="B1040" t="s">
        <v>734</v>
      </c>
      <c r="C1040" t="s">
        <v>866</v>
      </c>
      <c r="D1040" t="s">
        <v>11</v>
      </c>
      <c r="E1040">
        <v>30</v>
      </c>
      <c r="F1040" s="2">
        <f>DATE(2026,IF(Tabla1[[#This Row],[Mes de Fecha]]="Septiembre",9,10),Tabla1[[#This Row],[Día de Fecha]])</f>
        <v>46295</v>
      </c>
      <c r="G1040">
        <v>1045756535</v>
      </c>
      <c r="H1040" t="s">
        <v>657</v>
      </c>
      <c r="I1040">
        <v>39</v>
      </c>
      <c r="J1040">
        <v>0</v>
      </c>
      <c r="K1040" s="1">
        <v>1998320</v>
      </c>
    </row>
    <row r="1041" spans="1:11" x14ac:dyDescent="0.25">
      <c r="A1041" t="s">
        <v>326</v>
      </c>
      <c r="B1041" t="s">
        <v>734</v>
      </c>
      <c r="C1041" t="s">
        <v>866</v>
      </c>
      <c r="D1041" t="s">
        <v>11</v>
      </c>
      <c r="E1041">
        <v>30</v>
      </c>
      <c r="F1041" s="2">
        <f>DATE(2026,IF(Tabla1[[#This Row],[Mes de Fecha]]="Septiembre",9,10),Tabla1[[#This Row],[Día de Fecha]])</f>
        <v>46295</v>
      </c>
      <c r="G1041">
        <v>1234093311</v>
      </c>
      <c r="H1041" t="s">
        <v>735</v>
      </c>
      <c r="I1041">
        <v>77</v>
      </c>
      <c r="J1041">
        <v>0</v>
      </c>
      <c r="K1041" s="1">
        <v>3790635</v>
      </c>
    </row>
    <row r="1042" spans="1:11" x14ac:dyDescent="0.25">
      <c r="A1042" t="s">
        <v>326</v>
      </c>
      <c r="B1042" t="s">
        <v>734</v>
      </c>
      <c r="C1042" t="s">
        <v>866</v>
      </c>
      <c r="D1042" t="s">
        <v>14</v>
      </c>
      <c r="E1042">
        <v>1</v>
      </c>
      <c r="F1042" s="2">
        <f>DATE(2026,IF(Tabla1[[#This Row],[Mes de Fecha]]="Septiembre",9,10),Tabla1[[#This Row],[Día de Fecha]])</f>
        <v>46296</v>
      </c>
      <c r="I1042">
        <v>0</v>
      </c>
      <c r="J1042" s="1">
        <v>14170073</v>
      </c>
      <c r="K1042">
        <v>0</v>
      </c>
    </row>
    <row r="1043" spans="1:11" x14ac:dyDescent="0.25">
      <c r="A1043" t="s">
        <v>326</v>
      </c>
      <c r="B1043" t="s">
        <v>734</v>
      </c>
      <c r="C1043" t="s">
        <v>866</v>
      </c>
      <c r="D1043" t="s">
        <v>14</v>
      </c>
      <c r="E1043">
        <v>1</v>
      </c>
      <c r="F1043" s="2">
        <f>DATE(2026,IF(Tabla1[[#This Row],[Mes de Fecha]]="Septiembre",9,10),Tabla1[[#This Row],[Día de Fecha]])</f>
        <v>46296</v>
      </c>
      <c r="G1043">
        <v>1001820021</v>
      </c>
      <c r="H1043" t="s">
        <v>489</v>
      </c>
      <c r="I1043">
        <v>31</v>
      </c>
      <c r="J1043">
        <v>0</v>
      </c>
      <c r="K1043" s="1">
        <v>1244039</v>
      </c>
    </row>
    <row r="1044" spans="1:11" x14ac:dyDescent="0.25">
      <c r="A1044" t="s">
        <v>326</v>
      </c>
      <c r="B1044" t="s">
        <v>734</v>
      </c>
      <c r="C1044" t="s">
        <v>866</v>
      </c>
      <c r="D1044" t="s">
        <v>14</v>
      </c>
      <c r="E1044">
        <v>1</v>
      </c>
      <c r="F1044" s="2">
        <f>DATE(2026,IF(Tabla1[[#This Row],[Mes de Fecha]]="Septiembre",9,10),Tabla1[[#This Row],[Día de Fecha]])</f>
        <v>46296</v>
      </c>
      <c r="G1044">
        <v>1045756535</v>
      </c>
      <c r="H1044" t="s">
        <v>657</v>
      </c>
      <c r="I1044">
        <v>104</v>
      </c>
      <c r="J1044">
        <v>0</v>
      </c>
      <c r="K1044" s="1">
        <v>5035092</v>
      </c>
    </row>
    <row r="1045" spans="1:11" x14ac:dyDescent="0.25">
      <c r="A1045" t="s">
        <v>326</v>
      </c>
      <c r="B1045" t="s">
        <v>734</v>
      </c>
      <c r="C1045" t="s">
        <v>866</v>
      </c>
      <c r="D1045" t="s">
        <v>14</v>
      </c>
      <c r="E1045">
        <v>1</v>
      </c>
      <c r="F1045" s="2">
        <f>DATE(2026,IF(Tabla1[[#This Row],[Mes de Fecha]]="Septiembre",9,10),Tabla1[[#This Row],[Día de Fecha]])</f>
        <v>46296</v>
      </c>
      <c r="G1045">
        <v>1234093311</v>
      </c>
      <c r="H1045" t="s">
        <v>735</v>
      </c>
      <c r="I1045">
        <v>105</v>
      </c>
      <c r="J1045">
        <v>0</v>
      </c>
      <c r="K1045" s="1">
        <v>5076857</v>
      </c>
    </row>
    <row r="1046" spans="1:11" x14ac:dyDescent="0.25">
      <c r="A1046" t="s">
        <v>326</v>
      </c>
      <c r="B1046" t="s">
        <v>734</v>
      </c>
      <c r="C1046" t="s">
        <v>866</v>
      </c>
      <c r="D1046" t="s">
        <v>14</v>
      </c>
      <c r="E1046">
        <v>2</v>
      </c>
      <c r="F1046" s="2">
        <f>DATE(2026,IF(Tabla1[[#This Row],[Mes de Fecha]]="Septiembre",9,10),Tabla1[[#This Row],[Día de Fecha]])</f>
        <v>46297</v>
      </c>
      <c r="I1046">
        <v>0</v>
      </c>
      <c r="J1046" s="1">
        <v>9478624</v>
      </c>
      <c r="K1046">
        <v>0</v>
      </c>
    </row>
    <row r="1047" spans="1:11" x14ac:dyDescent="0.25">
      <c r="A1047" t="s">
        <v>326</v>
      </c>
      <c r="B1047" t="s">
        <v>734</v>
      </c>
      <c r="C1047" t="s">
        <v>866</v>
      </c>
      <c r="D1047" t="s">
        <v>14</v>
      </c>
      <c r="E1047">
        <v>2</v>
      </c>
      <c r="F1047" s="2">
        <f>DATE(2026,IF(Tabla1[[#This Row],[Mes de Fecha]]="Septiembre",9,10),Tabla1[[#This Row],[Día de Fecha]])</f>
        <v>46297</v>
      </c>
      <c r="G1047">
        <v>1001820021</v>
      </c>
      <c r="H1047" t="s">
        <v>489</v>
      </c>
      <c r="I1047">
        <v>41</v>
      </c>
      <c r="J1047">
        <v>0</v>
      </c>
      <c r="K1047" s="1">
        <v>2140927</v>
      </c>
    </row>
    <row r="1048" spans="1:11" x14ac:dyDescent="0.25">
      <c r="A1048" t="s">
        <v>326</v>
      </c>
      <c r="B1048" t="s">
        <v>734</v>
      </c>
      <c r="C1048" t="s">
        <v>866</v>
      </c>
      <c r="D1048" t="s">
        <v>14</v>
      </c>
      <c r="E1048">
        <v>2</v>
      </c>
      <c r="F1048" s="2">
        <f>DATE(2026,IF(Tabla1[[#This Row],[Mes de Fecha]]="Septiembre",9,10),Tabla1[[#This Row],[Día de Fecha]])</f>
        <v>46297</v>
      </c>
      <c r="G1048">
        <v>1045756535</v>
      </c>
      <c r="H1048" t="s">
        <v>657</v>
      </c>
      <c r="I1048">
        <v>72</v>
      </c>
      <c r="J1048">
        <v>0</v>
      </c>
      <c r="K1048" s="1">
        <v>3624754</v>
      </c>
    </row>
    <row r="1049" spans="1:11" x14ac:dyDescent="0.25">
      <c r="A1049" t="s">
        <v>326</v>
      </c>
      <c r="B1049" t="s">
        <v>734</v>
      </c>
      <c r="C1049" t="s">
        <v>866</v>
      </c>
      <c r="D1049" t="s">
        <v>14</v>
      </c>
      <c r="E1049">
        <v>2</v>
      </c>
      <c r="F1049" s="2">
        <f>DATE(2026,IF(Tabla1[[#This Row],[Mes de Fecha]]="Septiembre",9,10),Tabla1[[#This Row],[Día de Fecha]])</f>
        <v>46297</v>
      </c>
      <c r="G1049">
        <v>1234093311</v>
      </c>
      <c r="H1049" t="s">
        <v>735</v>
      </c>
      <c r="I1049">
        <v>79</v>
      </c>
      <c r="J1049">
        <v>0</v>
      </c>
      <c r="K1049" s="1">
        <v>3878326</v>
      </c>
    </row>
    <row r="1050" spans="1:11" x14ac:dyDescent="0.25">
      <c r="A1050" t="s">
        <v>326</v>
      </c>
      <c r="B1050" t="s">
        <v>734</v>
      </c>
      <c r="C1050" t="s">
        <v>866</v>
      </c>
      <c r="D1050" t="s">
        <v>14</v>
      </c>
      <c r="E1050">
        <v>3</v>
      </c>
      <c r="F1050" s="2">
        <f>DATE(2026,IF(Tabla1[[#This Row],[Mes de Fecha]]="Septiembre",9,10),Tabla1[[#This Row],[Día de Fecha]])</f>
        <v>46298</v>
      </c>
      <c r="I1050">
        <v>0</v>
      </c>
      <c r="J1050" s="1">
        <v>18688800</v>
      </c>
      <c r="K1050">
        <v>0</v>
      </c>
    </row>
    <row r="1051" spans="1:11" x14ac:dyDescent="0.25">
      <c r="A1051" t="s">
        <v>326</v>
      </c>
      <c r="B1051" t="s">
        <v>734</v>
      </c>
      <c r="C1051" t="s">
        <v>866</v>
      </c>
      <c r="D1051" t="s">
        <v>14</v>
      </c>
      <c r="E1051">
        <v>3</v>
      </c>
      <c r="F1051" s="2">
        <f>DATE(2026,IF(Tabla1[[#This Row],[Mes de Fecha]]="Septiembre",9,10),Tabla1[[#This Row],[Día de Fecha]])</f>
        <v>46298</v>
      </c>
      <c r="G1051">
        <v>1001820021</v>
      </c>
      <c r="H1051" t="s">
        <v>489</v>
      </c>
      <c r="I1051">
        <v>55</v>
      </c>
      <c r="J1051">
        <v>0</v>
      </c>
      <c r="K1051" s="1">
        <v>2296759</v>
      </c>
    </row>
    <row r="1052" spans="1:11" x14ac:dyDescent="0.25">
      <c r="A1052" t="s">
        <v>326</v>
      </c>
      <c r="B1052" t="s">
        <v>734</v>
      </c>
      <c r="C1052" t="s">
        <v>866</v>
      </c>
      <c r="D1052" t="s">
        <v>14</v>
      </c>
      <c r="E1052">
        <v>3</v>
      </c>
      <c r="F1052" s="2">
        <f>DATE(2026,IF(Tabla1[[#This Row],[Mes de Fecha]]="Septiembre",9,10),Tabla1[[#This Row],[Día de Fecha]])</f>
        <v>46298</v>
      </c>
      <c r="G1052">
        <v>1045756535</v>
      </c>
      <c r="H1052" t="s">
        <v>657</v>
      </c>
      <c r="I1052">
        <v>115</v>
      </c>
      <c r="J1052">
        <v>0</v>
      </c>
      <c r="K1052" s="1">
        <v>5611476</v>
      </c>
    </row>
    <row r="1053" spans="1:11" x14ac:dyDescent="0.25">
      <c r="A1053" t="s">
        <v>326</v>
      </c>
      <c r="B1053" t="s">
        <v>734</v>
      </c>
      <c r="C1053" t="s">
        <v>866</v>
      </c>
      <c r="D1053" t="s">
        <v>14</v>
      </c>
      <c r="E1053">
        <v>3</v>
      </c>
      <c r="F1053" s="2">
        <f>DATE(2026,IF(Tabla1[[#This Row],[Mes de Fecha]]="Septiembre",9,10),Tabla1[[#This Row],[Día de Fecha]])</f>
        <v>46298</v>
      </c>
      <c r="G1053">
        <v>1234093311</v>
      </c>
      <c r="H1053" t="s">
        <v>735</v>
      </c>
      <c r="I1053">
        <v>124</v>
      </c>
      <c r="J1053">
        <v>0</v>
      </c>
      <c r="K1053" s="1">
        <v>5544898</v>
      </c>
    </row>
    <row r="1054" spans="1:11" x14ac:dyDescent="0.25">
      <c r="A1054" t="s">
        <v>326</v>
      </c>
      <c r="B1054" t="s">
        <v>734</v>
      </c>
      <c r="C1054" t="s">
        <v>866</v>
      </c>
      <c r="D1054" t="s">
        <v>14</v>
      </c>
      <c r="E1054">
        <v>4</v>
      </c>
      <c r="F1054" s="2">
        <f>DATE(2026,IF(Tabla1[[#This Row],[Mes de Fecha]]="Septiembre",9,10),Tabla1[[#This Row],[Día de Fecha]])</f>
        <v>46299</v>
      </c>
      <c r="I1054">
        <v>0</v>
      </c>
      <c r="J1054" s="1">
        <v>16067066</v>
      </c>
      <c r="K1054">
        <v>0</v>
      </c>
    </row>
    <row r="1055" spans="1:11" x14ac:dyDescent="0.25">
      <c r="A1055" t="s">
        <v>326</v>
      </c>
      <c r="B1055" t="s">
        <v>734</v>
      </c>
      <c r="C1055" t="s">
        <v>866</v>
      </c>
      <c r="D1055" t="s">
        <v>14</v>
      </c>
      <c r="E1055">
        <v>4</v>
      </c>
      <c r="F1055" s="2">
        <f>DATE(2026,IF(Tabla1[[#This Row],[Mes de Fecha]]="Septiembre",9,10),Tabla1[[#This Row],[Día de Fecha]])</f>
        <v>46299</v>
      </c>
      <c r="G1055">
        <v>1001820021</v>
      </c>
      <c r="H1055" t="s">
        <v>489</v>
      </c>
      <c r="I1055">
        <v>69</v>
      </c>
      <c r="J1055">
        <v>0</v>
      </c>
      <c r="K1055" s="1">
        <v>3803448</v>
      </c>
    </row>
    <row r="1056" spans="1:11" x14ac:dyDescent="0.25">
      <c r="A1056" t="s">
        <v>326</v>
      </c>
      <c r="B1056" t="s">
        <v>734</v>
      </c>
      <c r="C1056" t="s">
        <v>866</v>
      </c>
      <c r="D1056" t="s">
        <v>14</v>
      </c>
      <c r="E1056">
        <v>4</v>
      </c>
      <c r="F1056" s="2">
        <f>DATE(2026,IF(Tabla1[[#This Row],[Mes de Fecha]]="Septiembre",9,10),Tabla1[[#This Row],[Día de Fecha]])</f>
        <v>46299</v>
      </c>
      <c r="G1056">
        <v>1045756535</v>
      </c>
      <c r="H1056" t="s">
        <v>657</v>
      </c>
      <c r="I1056">
        <v>74</v>
      </c>
      <c r="J1056">
        <v>0</v>
      </c>
      <c r="K1056" s="1">
        <v>3403953</v>
      </c>
    </row>
    <row r="1057" spans="1:11" x14ac:dyDescent="0.25">
      <c r="A1057" t="s">
        <v>326</v>
      </c>
      <c r="B1057" t="s">
        <v>734</v>
      </c>
      <c r="C1057" t="s">
        <v>866</v>
      </c>
      <c r="D1057" t="s">
        <v>14</v>
      </c>
      <c r="E1057">
        <v>4</v>
      </c>
      <c r="F1057" s="2">
        <f>DATE(2026,IF(Tabla1[[#This Row],[Mes de Fecha]]="Septiembre",9,10),Tabla1[[#This Row],[Día de Fecha]])</f>
        <v>46299</v>
      </c>
      <c r="G1057">
        <v>1234093311</v>
      </c>
      <c r="H1057" t="s">
        <v>735</v>
      </c>
      <c r="I1057">
        <v>72</v>
      </c>
      <c r="J1057">
        <v>0</v>
      </c>
      <c r="K1057" s="1">
        <v>3803365</v>
      </c>
    </row>
    <row r="1058" spans="1:11" x14ac:dyDescent="0.25">
      <c r="A1058" t="s">
        <v>326</v>
      </c>
      <c r="B1058" t="s">
        <v>734</v>
      </c>
      <c r="C1058" t="s">
        <v>866</v>
      </c>
      <c r="D1058" t="s">
        <v>14</v>
      </c>
      <c r="E1058">
        <v>5</v>
      </c>
      <c r="F1058" s="2">
        <f>DATE(2026,IF(Tabla1[[#This Row],[Mes de Fecha]]="Septiembre",9,10),Tabla1[[#This Row],[Día de Fecha]])</f>
        <v>46300</v>
      </c>
      <c r="I1058">
        <v>0</v>
      </c>
      <c r="J1058" s="1">
        <v>12190490</v>
      </c>
      <c r="K1058">
        <v>0</v>
      </c>
    </row>
    <row r="1059" spans="1:11" x14ac:dyDescent="0.25">
      <c r="A1059" t="s">
        <v>326</v>
      </c>
      <c r="B1059" t="s">
        <v>734</v>
      </c>
      <c r="C1059" t="s">
        <v>866</v>
      </c>
      <c r="D1059" t="s">
        <v>14</v>
      </c>
      <c r="E1059">
        <v>5</v>
      </c>
      <c r="F1059" s="2">
        <f>DATE(2026,IF(Tabla1[[#This Row],[Mes de Fecha]]="Septiembre",9,10),Tabla1[[#This Row],[Día de Fecha]])</f>
        <v>46300</v>
      </c>
      <c r="G1059">
        <v>1001820021</v>
      </c>
      <c r="H1059" t="s">
        <v>489</v>
      </c>
      <c r="I1059">
        <v>51</v>
      </c>
      <c r="J1059">
        <v>0</v>
      </c>
      <c r="K1059" s="1">
        <v>2762355</v>
      </c>
    </row>
    <row r="1060" spans="1:11" x14ac:dyDescent="0.25">
      <c r="A1060" t="s">
        <v>326</v>
      </c>
      <c r="B1060" t="s">
        <v>734</v>
      </c>
      <c r="C1060" t="s">
        <v>866</v>
      </c>
      <c r="D1060" t="s">
        <v>14</v>
      </c>
      <c r="E1060">
        <v>5</v>
      </c>
      <c r="F1060" s="2">
        <f>DATE(2026,IF(Tabla1[[#This Row],[Mes de Fecha]]="Septiembre",9,10),Tabla1[[#This Row],[Día de Fecha]])</f>
        <v>46300</v>
      </c>
      <c r="G1060">
        <v>1045756535</v>
      </c>
      <c r="H1060" t="s">
        <v>657</v>
      </c>
      <c r="I1060">
        <v>89</v>
      </c>
      <c r="J1060">
        <v>0</v>
      </c>
      <c r="K1060" s="1">
        <v>4441308</v>
      </c>
    </row>
    <row r="1061" spans="1:11" x14ac:dyDescent="0.25">
      <c r="A1061" t="s">
        <v>326</v>
      </c>
      <c r="B1061" t="s">
        <v>734</v>
      </c>
      <c r="C1061" t="s">
        <v>866</v>
      </c>
      <c r="D1061" t="s">
        <v>14</v>
      </c>
      <c r="E1061">
        <v>5</v>
      </c>
      <c r="F1061" s="2">
        <f>DATE(2026,IF(Tabla1[[#This Row],[Mes de Fecha]]="Septiembre",9,10),Tabla1[[#This Row],[Día de Fecha]])</f>
        <v>46300</v>
      </c>
      <c r="G1061">
        <v>1234093311</v>
      </c>
      <c r="H1061" t="s">
        <v>735</v>
      </c>
      <c r="I1061">
        <v>94</v>
      </c>
      <c r="J1061">
        <v>0</v>
      </c>
      <c r="K1061" s="1">
        <v>5115594</v>
      </c>
    </row>
    <row r="1062" spans="1:11" x14ac:dyDescent="0.25">
      <c r="A1062" t="s">
        <v>326</v>
      </c>
      <c r="B1062" t="s">
        <v>734</v>
      </c>
      <c r="C1062" t="s">
        <v>866</v>
      </c>
      <c r="D1062" t="s">
        <v>14</v>
      </c>
      <c r="E1062">
        <v>6</v>
      </c>
      <c r="F1062" s="2">
        <f>DATE(2026,IF(Tabla1[[#This Row],[Mes de Fecha]]="Septiembre",9,10),Tabla1[[#This Row],[Día de Fecha]])</f>
        <v>46301</v>
      </c>
      <c r="I1062">
        <v>0</v>
      </c>
      <c r="J1062" s="1">
        <v>5302231</v>
      </c>
      <c r="K1062">
        <v>0</v>
      </c>
    </row>
    <row r="1063" spans="1:11" x14ac:dyDescent="0.25">
      <c r="A1063" t="s">
        <v>326</v>
      </c>
      <c r="B1063" t="s">
        <v>734</v>
      </c>
      <c r="C1063" t="s">
        <v>866</v>
      </c>
      <c r="D1063" t="s">
        <v>14</v>
      </c>
      <c r="E1063">
        <v>6</v>
      </c>
      <c r="F1063" s="2">
        <f>DATE(2026,IF(Tabla1[[#This Row],[Mes de Fecha]]="Septiembre",9,10),Tabla1[[#This Row],[Día de Fecha]])</f>
        <v>46301</v>
      </c>
      <c r="G1063">
        <v>1001820021</v>
      </c>
      <c r="H1063" t="s">
        <v>489</v>
      </c>
      <c r="I1063">
        <v>15</v>
      </c>
      <c r="J1063">
        <v>0</v>
      </c>
      <c r="K1063" s="1">
        <v>738699</v>
      </c>
    </row>
    <row r="1064" spans="1:11" x14ac:dyDescent="0.25">
      <c r="A1064" t="s">
        <v>326</v>
      </c>
      <c r="B1064" t="s">
        <v>734</v>
      </c>
      <c r="C1064" t="s">
        <v>866</v>
      </c>
      <c r="D1064" t="s">
        <v>14</v>
      </c>
      <c r="E1064">
        <v>6</v>
      </c>
      <c r="F1064" s="2">
        <f>DATE(2026,IF(Tabla1[[#This Row],[Mes de Fecha]]="Septiembre",9,10),Tabla1[[#This Row],[Día de Fecha]])</f>
        <v>46301</v>
      </c>
      <c r="G1064">
        <v>1045756535</v>
      </c>
      <c r="H1064" t="s">
        <v>657</v>
      </c>
      <c r="I1064">
        <v>40</v>
      </c>
      <c r="J1064">
        <v>0</v>
      </c>
      <c r="K1064" s="1">
        <v>1951976</v>
      </c>
    </row>
    <row r="1065" spans="1:11" x14ac:dyDescent="0.25">
      <c r="A1065" t="s">
        <v>326</v>
      </c>
      <c r="B1065" t="s">
        <v>734</v>
      </c>
      <c r="C1065" t="s">
        <v>866</v>
      </c>
      <c r="D1065" t="s">
        <v>14</v>
      </c>
      <c r="E1065">
        <v>6</v>
      </c>
      <c r="F1065" s="2">
        <f>DATE(2026,IF(Tabla1[[#This Row],[Mes de Fecha]]="Septiembre",9,10),Tabla1[[#This Row],[Día de Fecha]])</f>
        <v>46301</v>
      </c>
      <c r="G1065">
        <v>1234093311</v>
      </c>
      <c r="H1065" t="s">
        <v>735</v>
      </c>
      <c r="I1065">
        <v>37</v>
      </c>
      <c r="J1065">
        <v>0</v>
      </c>
      <c r="K1065" s="1">
        <v>2263012</v>
      </c>
    </row>
    <row r="1066" spans="1:11" x14ac:dyDescent="0.25">
      <c r="A1066" t="s">
        <v>326</v>
      </c>
      <c r="B1066" t="s">
        <v>734</v>
      </c>
      <c r="C1066" t="s">
        <v>866</v>
      </c>
      <c r="D1066" t="s">
        <v>14</v>
      </c>
      <c r="E1066">
        <v>7</v>
      </c>
      <c r="F1066" s="2">
        <f>DATE(2026,IF(Tabla1[[#This Row],[Mes de Fecha]]="Septiembre",9,10),Tabla1[[#This Row],[Día de Fecha]])</f>
        <v>46302</v>
      </c>
      <c r="I1066">
        <v>0</v>
      </c>
      <c r="J1066" s="1">
        <v>5246556</v>
      </c>
      <c r="K1066">
        <v>0</v>
      </c>
    </row>
    <row r="1067" spans="1:11" x14ac:dyDescent="0.25">
      <c r="A1067" t="s">
        <v>326</v>
      </c>
      <c r="B1067" t="s">
        <v>734</v>
      </c>
      <c r="C1067" t="s">
        <v>866</v>
      </c>
      <c r="D1067" t="s">
        <v>14</v>
      </c>
      <c r="E1067">
        <v>7</v>
      </c>
      <c r="F1067" s="2">
        <f>DATE(2026,IF(Tabla1[[#This Row],[Mes de Fecha]]="Septiembre",9,10),Tabla1[[#This Row],[Día de Fecha]])</f>
        <v>46302</v>
      </c>
      <c r="G1067">
        <v>1001820021</v>
      </c>
      <c r="H1067" t="s">
        <v>489</v>
      </c>
      <c r="I1067">
        <v>7</v>
      </c>
      <c r="J1067">
        <v>0</v>
      </c>
      <c r="K1067" s="1">
        <v>449286</v>
      </c>
    </row>
    <row r="1068" spans="1:11" x14ac:dyDescent="0.25">
      <c r="A1068" t="s">
        <v>326</v>
      </c>
      <c r="B1068" t="s">
        <v>734</v>
      </c>
      <c r="C1068" t="s">
        <v>866</v>
      </c>
      <c r="D1068" t="s">
        <v>14</v>
      </c>
      <c r="E1068">
        <v>7</v>
      </c>
      <c r="F1068" s="2">
        <f>DATE(2026,IF(Tabla1[[#This Row],[Mes de Fecha]]="Septiembre",9,10),Tabla1[[#This Row],[Día de Fecha]])</f>
        <v>46302</v>
      </c>
      <c r="G1068">
        <v>1045756535</v>
      </c>
      <c r="H1068" t="s">
        <v>657</v>
      </c>
      <c r="I1068">
        <v>7</v>
      </c>
      <c r="J1068">
        <v>0</v>
      </c>
      <c r="K1068" s="1">
        <v>293781</v>
      </c>
    </row>
    <row r="1069" spans="1:11" x14ac:dyDescent="0.25">
      <c r="A1069" t="s">
        <v>326</v>
      </c>
      <c r="B1069" t="s">
        <v>734</v>
      </c>
      <c r="C1069" t="s">
        <v>866</v>
      </c>
      <c r="D1069" t="s">
        <v>14</v>
      </c>
      <c r="E1069">
        <v>7</v>
      </c>
      <c r="F1069" s="2">
        <f>DATE(2026,IF(Tabla1[[#This Row],[Mes de Fecha]]="Septiembre",9,10),Tabla1[[#This Row],[Día de Fecha]])</f>
        <v>46302</v>
      </c>
      <c r="G1069">
        <v>1234093311</v>
      </c>
      <c r="H1069" t="s">
        <v>735</v>
      </c>
      <c r="I1069">
        <v>32</v>
      </c>
      <c r="J1069">
        <v>0</v>
      </c>
      <c r="K1069" s="1">
        <v>1577530</v>
      </c>
    </row>
    <row r="1070" spans="1:11" x14ac:dyDescent="0.25">
      <c r="A1070" t="s">
        <v>326</v>
      </c>
      <c r="B1070" t="s">
        <v>736</v>
      </c>
      <c r="C1070" t="s">
        <v>866</v>
      </c>
      <c r="D1070" t="s">
        <v>11</v>
      </c>
      <c r="E1070">
        <v>23</v>
      </c>
      <c r="F1070" s="2">
        <f>DATE(2026,IF(Tabla1[[#This Row],[Mes de Fecha]]="Septiembre",9,10),Tabla1[[#This Row],[Día de Fecha]])</f>
        <v>46288</v>
      </c>
      <c r="I1070">
        <v>0</v>
      </c>
      <c r="J1070" s="1">
        <v>14739707</v>
      </c>
      <c r="K1070">
        <v>0</v>
      </c>
    </row>
    <row r="1071" spans="1:11" x14ac:dyDescent="0.25">
      <c r="A1071" t="s">
        <v>326</v>
      </c>
      <c r="B1071" t="s">
        <v>736</v>
      </c>
      <c r="C1071" t="s">
        <v>866</v>
      </c>
      <c r="D1071" t="s">
        <v>11</v>
      </c>
      <c r="E1071">
        <v>23</v>
      </c>
      <c r="F1071" s="2">
        <f>DATE(2026,IF(Tabla1[[#This Row],[Mes de Fecha]]="Septiembre",9,10),Tabla1[[#This Row],[Día de Fecha]])</f>
        <v>46288</v>
      </c>
      <c r="G1071">
        <v>1005676304</v>
      </c>
      <c r="H1071" t="s">
        <v>605</v>
      </c>
      <c r="I1071">
        <v>135</v>
      </c>
      <c r="J1071">
        <v>0</v>
      </c>
      <c r="K1071" s="1">
        <v>7442198</v>
      </c>
    </row>
    <row r="1072" spans="1:11" x14ac:dyDescent="0.25">
      <c r="A1072" t="s">
        <v>326</v>
      </c>
      <c r="B1072" t="s">
        <v>736</v>
      </c>
      <c r="C1072" t="s">
        <v>866</v>
      </c>
      <c r="D1072" t="s">
        <v>11</v>
      </c>
      <c r="E1072">
        <v>23</v>
      </c>
      <c r="F1072" s="2">
        <f>DATE(2026,IF(Tabla1[[#This Row],[Mes de Fecha]]="Septiembre",9,10),Tabla1[[#This Row],[Día de Fecha]])</f>
        <v>46288</v>
      </c>
      <c r="G1072">
        <v>1043013098</v>
      </c>
      <c r="H1072" t="s">
        <v>607</v>
      </c>
      <c r="I1072">
        <v>40</v>
      </c>
      <c r="J1072">
        <v>0</v>
      </c>
      <c r="K1072" s="1">
        <v>2233487</v>
      </c>
    </row>
    <row r="1073" spans="1:11" x14ac:dyDescent="0.25">
      <c r="A1073" t="s">
        <v>326</v>
      </c>
      <c r="B1073" t="s">
        <v>736</v>
      </c>
      <c r="C1073" t="s">
        <v>866</v>
      </c>
      <c r="D1073" t="s">
        <v>11</v>
      </c>
      <c r="E1073">
        <v>23</v>
      </c>
      <c r="F1073" s="2">
        <f>DATE(2026,IF(Tabla1[[#This Row],[Mes de Fecha]]="Septiembre",9,10),Tabla1[[#This Row],[Día de Fecha]])</f>
        <v>46288</v>
      </c>
      <c r="G1073">
        <v>1065002298</v>
      </c>
      <c r="H1073" t="s">
        <v>608</v>
      </c>
      <c r="I1073">
        <v>98</v>
      </c>
      <c r="J1073">
        <v>0</v>
      </c>
      <c r="K1073" s="1">
        <v>6346685</v>
      </c>
    </row>
    <row r="1074" spans="1:11" x14ac:dyDescent="0.25">
      <c r="A1074" t="s">
        <v>326</v>
      </c>
      <c r="B1074" t="s">
        <v>736</v>
      </c>
      <c r="C1074" t="s">
        <v>866</v>
      </c>
      <c r="D1074" t="s">
        <v>11</v>
      </c>
      <c r="E1074">
        <v>24</v>
      </c>
      <c r="F1074" s="2">
        <f>DATE(2026,IF(Tabla1[[#This Row],[Mes de Fecha]]="Septiembre",9,10),Tabla1[[#This Row],[Día de Fecha]])</f>
        <v>46289</v>
      </c>
      <c r="I1074">
        <v>0</v>
      </c>
      <c r="J1074" s="1">
        <v>22516564</v>
      </c>
      <c r="K1074">
        <v>0</v>
      </c>
    </row>
    <row r="1075" spans="1:11" x14ac:dyDescent="0.25">
      <c r="A1075" t="s">
        <v>326</v>
      </c>
      <c r="B1075" t="s">
        <v>736</v>
      </c>
      <c r="C1075" t="s">
        <v>866</v>
      </c>
      <c r="D1075" t="s">
        <v>11</v>
      </c>
      <c r="E1075">
        <v>24</v>
      </c>
      <c r="F1075" s="2">
        <f>DATE(2026,IF(Tabla1[[#This Row],[Mes de Fecha]]="Septiembre",9,10),Tabla1[[#This Row],[Día de Fecha]])</f>
        <v>46289</v>
      </c>
      <c r="G1075">
        <v>1005676304</v>
      </c>
      <c r="H1075" t="s">
        <v>605</v>
      </c>
      <c r="I1075">
        <v>109</v>
      </c>
      <c r="J1075">
        <v>0</v>
      </c>
      <c r="K1075" s="1">
        <v>5963661</v>
      </c>
    </row>
    <row r="1076" spans="1:11" x14ac:dyDescent="0.25">
      <c r="A1076" t="s">
        <v>326</v>
      </c>
      <c r="B1076" t="s">
        <v>736</v>
      </c>
      <c r="C1076" t="s">
        <v>866</v>
      </c>
      <c r="D1076" t="s">
        <v>11</v>
      </c>
      <c r="E1076">
        <v>24</v>
      </c>
      <c r="F1076" s="2">
        <f>DATE(2026,IF(Tabla1[[#This Row],[Mes de Fecha]]="Septiembre",9,10),Tabla1[[#This Row],[Día de Fecha]])</f>
        <v>46289</v>
      </c>
      <c r="G1076">
        <v>1043013098</v>
      </c>
      <c r="H1076" t="s">
        <v>607</v>
      </c>
      <c r="I1076">
        <v>40</v>
      </c>
      <c r="J1076">
        <v>0</v>
      </c>
      <c r="K1076" s="1">
        <v>2036053</v>
      </c>
    </row>
    <row r="1077" spans="1:11" x14ac:dyDescent="0.25">
      <c r="A1077" t="s">
        <v>326</v>
      </c>
      <c r="B1077" t="s">
        <v>736</v>
      </c>
      <c r="C1077" t="s">
        <v>866</v>
      </c>
      <c r="D1077" t="s">
        <v>11</v>
      </c>
      <c r="E1077">
        <v>24</v>
      </c>
      <c r="F1077" s="2">
        <f>DATE(2026,IF(Tabla1[[#This Row],[Mes de Fecha]]="Septiembre",9,10),Tabla1[[#This Row],[Día de Fecha]])</f>
        <v>46289</v>
      </c>
      <c r="G1077">
        <v>1065002298</v>
      </c>
      <c r="H1077" t="s">
        <v>608</v>
      </c>
      <c r="I1077">
        <v>89</v>
      </c>
      <c r="J1077">
        <v>0</v>
      </c>
      <c r="K1077" s="1">
        <v>4546562</v>
      </c>
    </row>
    <row r="1078" spans="1:11" x14ac:dyDescent="0.25">
      <c r="A1078" t="s">
        <v>326</v>
      </c>
      <c r="B1078" t="s">
        <v>736</v>
      </c>
      <c r="C1078" t="s">
        <v>866</v>
      </c>
      <c r="D1078" t="s">
        <v>11</v>
      </c>
      <c r="E1078">
        <v>25</v>
      </c>
      <c r="F1078" s="2">
        <f>DATE(2026,IF(Tabla1[[#This Row],[Mes de Fecha]]="Septiembre",9,10),Tabla1[[#This Row],[Día de Fecha]])</f>
        <v>46290</v>
      </c>
      <c r="I1078">
        <v>0</v>
      </c>
      <c r="J1078" s="1">
        <v>22466717</v>
      </c>
      <c r="K1078">
        <v>0</v>
      </c>
    </row>
    <row r="1079" spans="1:11" x14ac:dyDescent="0.25">
      <c r="A1079" t="s">
        <v>326</v>
      </c>
      <c r="B1079" t="s">
        <v>736</v>
      </c>
      <c r="C1079" t="s">
        <v>866</v>
      </c>
      <c r="D1079" t="s">
        <v>11</v>
      </c>
      <c r="E1079">
        <v>25</v>
      </c>
      <c r="F1079" s="2">
        <f>DATE(2026,IF(Tabla1[[#This Row],[Mes de Fecha]]="Septiembre",9,10),Tabla1[[#This Row],[Día de Fecha]])</f>
        <v>46290</v>
      </c>
      <c r="G1079">
        <v>1005676304</v>
      </c>
      <c r="H1079" t="s">
        <v>605</v>
      </c>
      <c r="I1079">
        <v>121</v>
      </c>
      <c r="J1079">
        <v>0</v>
      </c>
      <c r="K1079" s="1">
        <v>6587275</v>
      </c>
    </row>
    <row r="1080" spans="1:11" x14ac:dyDescent="0.25">
      <c r="A1080" t="s">
        <v>326</v>
      </c>
      <c r="B1080" t="s">
        <v>736</v>
      </c>
      <c r="C1080" t="s">
        <v>866</v>
      </c>
      <c r="D1080" t="s">
        <v>11</v>
      </c>
      <c r="E1080">
        <v>25</v>
      </c>
      <c r="F1080" s="2">
        <f>DATE(2026,IF(Tabla1[[#This Row],[Mes de Fecha]]="Septiembre",9,10),Tabla1[[#This Row],[Día de Fecha]])</f>
        <v>46290</v>
      </c>
      <c r="G1080">
        <v>1043013098</v>
      </c>
      <c r="H1080" t="s">
        <v>607</v>
      </c>
      <c r="I1080">
        <v>61</v>
      </c>
      <c r="J1080">
        <v>0</v>
      </c>
      <c r="K1080" s="1">
        <v>3236768</v>
      </c>
    </row>
    <row r="1081" spans="1:11" x14ac:dyDescent="0.25">
      <c r="A1081" t="s">
        <v>326</v>
      </c>
      <c r="B1081" t="s">
        <v>736</v>
      </c>
      <c r="C1081" t="s">
        <v>866</v>
      </c>
      <c r="D1081" t="s">
        <v>11</v>
      </c>
      <c r="E1081">
        <v>25</v>
      </c>
      <c r="F1081" s="2">
        <f>DATE(2026,IF(Tabla1[[#This Row],[Mes de Fecha]]="Septiembre",9,10),Tabla1[[#This Row],[Día de Fecha]])</f>
        <v>46290</v>
      </c>
      <c r="G1081">
        <v>1065002298</v>
      </c>
      <c r="H1081" t="s">
        <v>608</v>
      </c>
      <c r="I1081">
        <v>124</v>
      </c>
      <c r="J1081">
        <v>0</v>
      </c>
      <c r="K1081" s="1">
        <v>7217445</v>
      </c>
    </row>
    <row r="1082" spans="1:11" x14ac:dyDescent="0.25">
      <c r="A1082" t="s">
        <v>326</v>
      </c>
      <c r="B1082" t="s">
        <v>736</v>
      </c>
      <c r="C1082" t="s">
        <v>866</v>
      </c>
      <c r="D1082" t="s">
        <v>11</v>
      </c>
      <c r="E1082">
        <v>26</v>
      </c>
      <c r="F1082" s="2">
        <f>DATE(2026,IF(Tabla1[[#This Row],[Mes de Fecha]]="Septiembre",9,10),Tabla1[[#This Row],[Día de Fecha]])</f>
        <v>46291</v>
      </c>
      <c r="I1082">
        <v>0</v>
      </c>
      <c r="J1082" s="1">
        <v>32287901</v>
      </c>
      <c r="K1082">
        <v>0</v>
      </c>
    </row>
    <row r="1083" spans="1:11" x14ac:dyDescent="0.25">
      <c r="A1083" t="s">
        <v>326</v>
      </c>
      <c r="B1083" t="s">
        <v>736</v>
      </c>
      <c r="C1083" t="s">
        <v>866</v>
      </c>
      <c r="D1083" t="s">
        <v>11</v>
      </c>
      <c r="E1083">
        <v>26</v>
      </c>
      <c r="F1083" s="2">
        <f>DATE(2026,IF(Tabla1[[#This Row],[Mes de Fecha]]="Septiembre",9,10),Tabla1[[#This Row],[Día de Fecha]])</f>
        <v>46291</v>
      </c>
      <c r="G1083">
        <v>1005676304</v>
      </c>
      <c r="H1083" t="s">
        <v>605</v>
      </c>
      <c r="I1083">
        <v>190</v>
      </c>
      <c r="J1083">
        <v>0</v>
      </c>
      <c r="K1083" s="1">
        <v>11218710</v>
      </c>
    </row>
    <row r="1084" spans="1:11" x14ac:dyDescent="0.25">
      <c r="A1084" t="s">
        <v>326</v>
      </c>
      <c r="B1084" t="s">
        <v>736</v>
      </c>
      <c r="C1084" t="s">
        <v>866</v>
      </c>
      <c r="D1084" t="s">
        <v>11</v>
      </c>
      <c r="E1084">
        <v>26</v>
      </c>
      <c r="F1084" s="2">
        <f>DATE(2026,IF(Tabla1[[#This Row],[Mes de Fecha]]="Septiembre",9,10),Tabla1[[#This Row],[Día de Fecha]])</f>
        <v>46291</v>
      </c>
      <c r="G1084">
        <v>1043013098</v>
      </c>
      <c r="H1084" t="s">
        <v>607</v>
      </c>
      <c r="I1084">
        <v>68</v>
      </c>
      <c r="J1084">
        <v>0</v>
      </c>
      <c r="K1084" s="1">
        <v>3650385</v>
      </c>
    </row>
    <row r="1085" spans="1:11" x14ac:dyDescent="0.25">
      <c r="A1085" t="s">
        <v>326</v>
      </c>
      <c r="B1085" t="s">
        <v>736</v>
      </c>
      <c r="C1085" t="s">
        <v>866</v>
      </c>
      <c r="D1085" t="s">
        <v>11</v>
      </c>
      <c r="E1085">
        <v>26</v>
      </c>
      <c r="F1085" s="2">
        <f>DATE(2026,IF(Tabla1[[#This Row],[Mes de Fecha]]="Septiembre",9,10),Tabla1[[#This Row],[Día de Fecha]])</f>
        <v>46291</v>
      </c>
      <c r="G1085">
        <v>1065002298</v>
      </c>
      <c r="H1085" t="s">
        <v>608</v>
      </c>
      <c r="I1085">
        <v>189</v>
      </c>
      <c r="J1085">
        <v>0</v>
      </c>
      <c r="K1085" s="1">
        <v>9989635</v>
      </c>
    </row>
    <row r="1086" spans="1:11" x14ac:dyDescent="0.25">
      <c r="A1086" t="s">
        <v>326</v>
      </c>
      <c r="B1086" t="s">
        <v>736</v>
      </c>
      <c r="C1086" t="s">
        <v>866</v>
      </c>
      <c r="D1086" t="s">
        <v>11</v>
      </c>
      <c r="E1086">
        <v>27</v>
      </c>
      <c r="F1086" s="2">
        <f>DATE(2026,IF(Tabla1[[#This Row],[Mes de Fecha]]="Septiembre",9,10),Tabla1[[#This Row],[Día de Fecha]])</f>
        <v>46292</v>
      </c>
      <c r="I1086">
        <v>0</v>
      </c>
      <c r="J1086" s="1">
        <v>25578518</v>
      </c>
      <c r="K1086">
        <v>0</v>
      </c>
    </row>
    <row r="1087" spans="1:11" x14ac:dyDescent="0.25">
      <c r="A1087" t="s">
        <v>326</v>
      </c>
      <c r="B1087" t="s">
        <v>736</v>
      </c>
      <c r="C1087" t="s">
        <v>866</v>
      </c>
      <c r="D1087" t="s">
        <v>11</v>
      </c>
      <c r="E1087">
        <v>27</v>
      </c>
      <c r="F1087" s="2">
        <f>DATE(2026,IF(Tabla1[[#This Row],[Mes de Fecha]]="Septiembre",9,10),Tabla1[[#This Row],[Día de Fecha]])</f>
        <v>46292</v>
      </c>
      <c r="G1087">
        <v>1005676304</v>
      </c>
      <c r="H1087" t="s">
        <v>605</v>
      </c>
      <c r="I1087">
        <v>139</v>
      </c>
      <c r="J1087">
        <v>0</v>
      </c>
      <c r="K1087" s="1">
        <v>7958206</v>
      </c>
    </row>
    <row r="1088" spans="1:11" x14ac:dyDescent="0.25">
      <c r="A1088" t="s">
        <v>326</v>
      </c>
      <c r="B1088" t="s">
        <v>736</v>
      </c>
      <c r="C1088" t="s">
        <v>866</v>
      </c>
      <c r="D1088" t="s">
        <v>11</v>
      </c>
      <c r="E1088">
        <v>27</v>
      </c>
      <c r="F1088" s="2">
        <f>DATE(2026,IF(Tabla1[[#This Row],[Mes de Fecha]]="Septiembre",9,10),Tabla1[[#This Row],[Día de Fecha]])</f>
        <v>46292</v>
      </c>
      <c r="G1088">
        <v>1043013098</v>
      </c>
      <c r="H1088" t="s">
        <v>607</v>
      </c>
      <c r="I1088">
        <v>44</v>
      </c>
      <c r="J1088">
        <v>0</v>
      </c>
      <c r="K1088" s="1">
        <v>2941304</v>
      </c>
    </row>
    <row r="1089" spans="1:11" x14ac:dyDescent="0.25">
      <c r="A1089" t="s">
        <v>326</v>
      </c>
      <c r="B1089" t="s">
        <v>736</v>
      </c>
      <c r="C1089" t="s">
        <v>866</v>
      </c>
      <c r="D1089" t="s">
        <v>11</v>
      </c>
      <c r="E1089">
        <v>27</v>
      </c>
      <c r="F1089" s="2">
        <f>DATE(2026,IF(Tabla1[[#This Row],[Mes de Fecha]]="Septiembre",9,10),Tabla1[[#This Row],[Día de Fecha]])</f>
        <v>46292</v>
      </c>
      <c r="G1089">
        <v>1065002298</v>
      </c>
      <c r="H1089" t="s">
        <v>608</v>
      </c>
      <c r="I1089">
        <v>89</v>
      </c>
      <c r="J1089">
        <v>0</v>
      </c>
      <c r="K1089" s="1">
        <v>5178874</v>
      </c>
    </row>
    <row r="1090" spans="1:11" x14ac:dyDescent="0.25">
      <c r="A1090" t="s">
        <v>326</v>
      </c>
      <c r="B1090" t="s">
        <v>736</v>
      </c>
      <c r="C1090" t="s">
        <v>866</v>
      </c>
      <c r="D1090" t="s">
        <v>11</v>
      </c>
      <c r="E1090">
        <v>28</v>
      </c>
      <c r="F1090" s="2">
        <f>DATE(2026,IF(Tabla1[[#This Row],[Mes de Fecha]]="Septiembre",9,10),Tabla1[[#This Row],[Día de Fecha]])</f>
        <v>46293</v>
      </c>
      <c r="I1090">
        <v>0</v>
      </c>
      <c r="J1090" s="1">
        <v>14077367</v>
      </c>
      <c r="K1090">
        <v>0</v>
      </c>
    </row>
    <row r="1091" spans="1:11" x14ac:dyDescent="0.25">
      <c r="A1091" t="s">
        <v>326</v>
      </c>
      <c r="B1091" t="s">
        <v>736</v>
      </c>
      <c r="C1091" t="s">
        <v>866</v>
      </c>
      <c r="D1091" t="s">
        <v>11</v>
      </c>
      <c r="E1091">
        <v>28</v>
      </c>
      <c r="F1091" s="2">
        <f>DATE(2026,IF(Tabla1[[#This Row],[Mes de Fecha]]="Septiembre",9,10),Tabla1[[#This Row],[Día de Fecha]])</f>
        <v>46293</v>
      </c>
      <c r="G1091">
        <v>1005676304</v>
      </c>
      <c r="H1091" t="s">
        <v>605</v>
      </c>
      <c r="I1091">
        <v>78</v>
      </c>
      <c r="J1091">
        <v>0</v>
      </c>
      <c r="K1091" s="1">
        <v>4683659</v>
      </c>
    </row>
    <row r="1092" spans="1:11" x14ac:dyDescent="0.25">
      <c r="A1092" t="s">
        <v>326</v>
      </c>
      <c r="B1092" t="s">
        <v>736</v>
      </c>
      <c r="C1092" t="s">
        <v>866</v>
      </c>
      <c r="D1092" t="s">
        <v>11</v>
      </c>
      <c r="E1092">
        <v>28</v>
      </c>
      <c r="F1092" s="2">
        <f>DATE(2026,IF(Tabla1[[#This Row],[Mes de Fecha]]="Septiembre",9,10),Tabla1[[#This Row],[Día de Fecha]])</f>
        <v>46293</v>
      </c>
      <c r="G1092">
        <v>1043013098</v>
      </c>
      <c r="H1092" t="s">
        <v>607</v>
      </c>
      <c r="I1092">
        <v>17</v>
      </c>
      <c r="J1092">
        <v>0</v>
      </c>
      <c r="K1092" s="1">
        <v>986641</v>
      </c>
    </row>
    <row r="1093" spans="1:11" x14ac:dyDescent="0.25">
      <c r="A1093" t="s">
        <v>326</v>
      </c>
      <c r="B1093" t="s">
        <v>736</v>
      </c>
      <c r="C1093" t="s">
        <v>866</v>
      </c>
      <c r="D1093" t="s">
        <v>11</v>
      </c>
      <c r="E1093">
        <v>28</v>
      </c>
      <c r="F1093" s="2">
        <f>DATE(2026,IF(Tabla1[[#This Row],[Mes de Fecha]]="Septiembre",9,10),Tabla1[[#This Row],[Día de Fecha]])</f>
        <v>46293</v>
      </c>
      <c r="G1093">
        <v>1065002298</v>
      </c>
      <c r="H1093" t="s">
        <v>608</v>
      </c>
      <c r="I1093">
        <v>37</v>
      </c>
      <c r="J1093">
        <v>0</v>
      </c>
      <c r="K1093" s="1">
        <v>1880759</v>
      </c>
    </row>
    <row r="1094" spans="1:11" x14ac:dyDescent="0.25">
      <c r="A1094" t="s">
        <v>326</v>
      </c>
      <c r="B1094" t="s">
        <v>736</v>
      </c>
      <c r="C1094" t="s">
        <v>866</v>
      </c>
      <c r="D1094" t="s">
        <v>11</v>
      </c>
      <c r="E1094">
        <v>29</v>
      </c>
      <c r="F1094" s="2">
        <f>DATE(2026,IF(Tabla1[[#This Row],[Mes de Fecha]]="Septiembre",9,10),Tabla1[[#This Row],[Día de Fecha]])</f>
        <v>46294</v>
      </c>
      <c r="I1094">
        <v>0</v>
      </c>
      <c r="J1094" s="1">
        <v>15037381</v>
      </c>
      <c r="K1094">
        <v>0</v>
      </c>
    </row>
    <row r="1095" spans="1:11" x14ac:dyDescent="0.25">
      <c r="A1095" t="s">
        <v>326</v>
      </c>
      <c r="B1095" t="s">
        <v>736</v>
      </c>
      <c r="C1095" t="s">
        <v>866</v>
      </c>
      <c r="D1095" t="s">
        <v>11</v>
      </c>
      <c r="E1095">
        <v>29</v>
      </c>
      <c r="F1095" s="2">
        <f>DATE(2026,IF(Tabla1[[#This Row],[Mes de Fecha]]="Septiembre",9,10),Tabla1[[#This Row],[Día de Fecha]])</f>
        <v>46294</v>
      </c>
      <c r="G1095">
        <v>1005676304</v>
      </c>
      <c r="H1095" t="s">
        <v>605</v>
      </c>
      <c r="I1095">
        <v>90</v>
      </c>
      <c r="J1095">
        <v>0</v>
      </c>
      <c r="K1095" s="1">
        <v>4987654</v>
      </c>
    </row>
    <row r="1096" spans="1:11" x14ac:dyDescent="0.25">
      <c r="A1096" t="s">
        <v>326</v>
      </c>
      <c r="B1096" t="s">
        <v>736</v>
      </c>
      <c r="C1096" t="s">
        <v>866</v>
      </c>
      <c r="D1096" t="s">
        <v>11</v>
      </c>
      <c r="E1096">
        <v>29</v>
      </c>
      <c r="F1096" s="2">
        <f>DATE(2026,IF(Tabla1[[#This Row],[Mes de Fecha]]="Septiembre",9,10),Tabla1[[#This Row],[Día de Fecha]])</f>
        <v>46294</v>
      </c>
      <c r="G1096">
        <v>1043013098</v>
      </c>
      <c r="H1096" t="s">
        <v>607</v>
      </c>
      <c r="I1096">
        <v>35</v>
      </c>
      <c r="J1096">
        <v>0</v>
      </c>
      <c r="K1096" s="1">
        <v>1973278</v>
      </c>
    </row>
    <row r="1097" spans="1:11" x14ac:dyDescent="0.25">
      <c r="A1097" t="s">
        <v>326</v>
      </c>
      <c r="B1097" t="s">
        <v>736</v>
      </c>
      <c r="C1097" t="s">
        <v>866</v>
      </c>
      <c r="D1097" t="s">
        <v>11</v>
      </c>
      <c r="E1097">
        <v>29</v>
      </c>
      <c r="F1097" s="2">
        <f>DATE(2026,IF(Tabla1[[#This Row],[Mes de Fecha]]="Septiembre",9,10),Tabla1[[#This Row],[Día de Fecha]])</f>
        <v>46294</v>
      </c>
      <c r="G1097">
        <v>1065002298</v>
      </c>
      <c r="H1097" t="s">
        <v>608</v>
      </c>
      <c r="I1097">
        <v>66</v>
      </c>
      <c r="J1097">
        <v>0</v>
      </c>
      <c r="K1097" s="1">
        <v>3276226</v>
      </c>
    </row>
    <row r="1098" spans="1:11" x14ac:dyDescent="0.25">
      <c r="A1098" t="s">
        <v>326</v>
      </c>
      <c r="B1098" t="s">
        <v>736</v>
      </c>
      <c r="C1098" t="s">
        <v>866</v>
      </c>
      <c r="D1098" t="s">
        <v>11</v>
      </c>
      <c r="E1098">
        <v>30</v>
      </c>
      <c r="F1098" s="2">
        <f>DATE(2026,IF(Tabla1[[#This Row],[Mes de Fecha]]="Septiembre",9,10),Tabla1[[#This Row],[Día de Fecha]])</f>
        <v>46295</v>
      </c>
      <c r="I1098">
        <v>0</v>
      </c>
      <c r="J1098" s="1">
        <v>15533885</v>
      </c>
      <c r="K1098">
        <v>0</v>
      </c>
    </row>
    <row r="1099" spans="1:11" x14ac:dyDescent="0.25">
      <c r="A1099" t="s">
        <v>326</v>
      </c>
      <c r="B1099" t="s">
        <v>736</v>
      </c>
      <c r="C1099" t="s">
        <v>866</v>
      </c>
      <c r="D1099" t="s">
        <v>11</v>
      </c>
      <c r="E1099">
        <v>30</v>
      </c>
      <c r="F1099" s="2">
        <f>DATE(2026,IF(Tabla1[[#This Row],[Mes de Fecha]]="Septiembre",9,10),Tabla1[[#This Row],[Día de Fecha]])</f>
        <v>46295</v>
      </c>
      <c r="G1099">
        <v>1005676304</v>
      </c>
      <c r="H1099" t="s">
        <v>605</v>
      </c>
      <c r="I1099">
        <v>116</v>
      </c>
      <c r="J1099">
        <v>0</v>
      </c>
      <c r="K1099" s="1">
        <v>6219588</v>
      </c>
    </row>
    <row r="1100" spans="1:11" x14ac:dyDescent="0.25">
      <c r="A1100" t="s">
        <v>326</v>
      </c>
      <c r="B1100" t="s">
        <v>736</v>
      </c>
      <c r="C1100" t="s">
        <v>866</v>
      </c>
      <c r="D1100" t="s">
        <v>11</v>
      </c>
      <c r="E1100">
        <v>30</v>
      </c>
      <c r="F1100" s="2">
        <f>DATE(2026,IF(Tabla1[[#This Row],[Mes de Fecha]]="Septiembre",9,10),Tabla1[[#This Row],[Día de Fecha]])</f>
        <v>46295</v>
      </c>
      <c r="G1100">
        <v>1043013098</v>
      </c>
      <c r="H1100" t="s">
        <v>607</v>
      </c>
      <c r="I1100">
        <v>45</v>
      </c>
      <c r="J1100">
        <v>0</v>
      </c>
      <c r="K1100" s="1">
        <v>2228783</v>
      </c>
    </row>
    <row r="1101" spans="1:11" x14ac:dyDescent="0.25">
      <c r="A1101" t="s">
        <v>326</v>
      </c>
      <c r="B1101" t="s">
        <v>736</v>
      </c>
      <c r="C1101" t="s">
        <v>866</v>
      </c>
      <c r="D1101" t="s">
        <v>11</v>
      </c>
      <c r="E1101">
        <v>30</v>
      </c>
      <c r="F1101" s="2">
        <f>DATE(2026,IF(Tabla1[[#This Row],[Mes de Fecha]]="Septiembre",9,10),Tabla1[[#This Row],[Día de Fecha]])</f>
        <v>46295</v>
      </c>
      <c r="G1101">
        <v>1065002298</v>
      </c>
      <c r="H1101" t="s">
        <v>608</v>
      </c>
      <c r="I1101">
        <v>80</v>
      </c>
      <c r="J1101">
        <v>0</v>
      </c>
      <c r="K1101" s="1">
        <v>4303032</v>
      </c>
    </row>
    <row r="1102" spans="1:11" x14ac:dyDescent="0.25">
      <c r="A1102" t="s">
        <v>326</v>
      </c>
      <c r="B1102" t="s">
        <v>736</v>
      </c>
      <c r="C1102" t="s">
        <v>866</v>
      </c>
      <c r="D1102" t="s">
        <v>14</v>
      </c>
      <c r="E1102">
        <v>1</v>
      </c>
      <c r="F1102" s="2">
        <f>DATE(2026,IF(Tabla1[[#This Row],[Mes de Fecha]]="Septiembre",9,10),Tabla1[[#This Row],[Día de Fecha]])</f>
        <v>46296</v>
      </c>
      <c r="I1102">
        <v>0</v>
      </c>
      <c r="J1102" s="1">
        <v>19947388</v>
      </c>
      <c r="K1102">
        <v>0</v>
      </c>
    </row>
    <row r="1103" spans="1:11" x14ac:dyDescent="0.25">
      <c r="A1103" t="s">
        <v>326</v>
      </c>
      <c r="B1103" t="s">
        <v>736</v>
      </c>
      <c r="C1103" t="s">
        <v>866</v>
      </c>
      <c r="D1103" t="s">
        <v>14</v>
      </c>
      <c r="E1103">
        <v>1</v>
      </c>
      <c r="F1103" s="2">
        <f>DATE(2026,IF(Tabla1[[#This Row],[Mes de Fecha]]="Septiembre",9,10),Tabla1[[#This Row],[Día de Fecha]])</f>
        <v>46296</v>
      </c>
      <c r="G1103">
        <v>1005676304</v>
      </c>
      <c r="H1103" t="s">
        <v>605</v>
      </c>
      <c r="I1103">
        <v>109</v>
      </c>
      <c r="J1103">
        <v>0</v>
      </c>
      <c r="K1103" s="1">
        <v>5593621</v>
      </c>
    </row>
    <row r="1104" spans="1:11" x14ac:dyDescent="0.25">
      <c r="A1104" t="s">
        <v>326</v>
      </c>
      <c r="B1104" t="s">
        <v>736</v>
      </c>
      <c r="C1104" t="s">
        <v>866</v>
      </c>
      <c r="D1104" t="s">
        <v>14</v>
      </c>
      <c r="E1104">
        <v>1</v>
      </c>
      <c r="F1104" s="2">
        <f>DATE(2026,IF(Tabla1[[#This Row],[Mes de Fecha]]="Septiembre",9,10),Tabla1[[#This Row],[Día de Fecha]])</f>
        <v>46296</v>
      </c>
      <c r="G1104">
        <v>1043013098</v>
      </c>
      <c r="H1104" t="s">
        <v>607</v>
      </c>
      <c r="I1104">
        <v>54</v>
      </c>
      <c r="J1104">
        <v>0</v>
      </c>
      <c r="K1104" s="1">
        <v>2694754</v>
      </c>
    </row>
    <row r="1105" spans="1:11" x14ac:dyDescent="0.25">
      <c r="A1105" t="s">
        <v>326</v>
      </c>
      <c r="B1105" t="s">
        <v>736</v>
      </c>
      <c r="C1105" t="s">
        <v>866</v>
      </c>
      <c r="D1105" t="s">
        <v>14</v>
      </c>
      <c r="E1105">
        <v>1</v>
      </c>
      <c r="F1105" s="2">
        <f>DATE(2026,IF(Tabla1[[#This Row],[Mes de Fecha]]="Septiembre",9,10),Tabla1[[#This Row],[Día de Fecha]])</f>
        <v>46296</v>
      </c>
      <c r="G1105">
        <v>1065002298</v>
      </c>
      <c r="H1105" t="s">
        <v>608</v>
      </c>
      <c r="I1105">
        <v>111</v>
      </c>
      <c r="J1105">
        <v>0</v>
      </c>
      <c r="K1105" s="1">
        <v>6133747</v>
      </c>
    </row>
    <row r="1106" spans="1:11" x14ac:dyDescent="0.25">
      <c r="A1106" t="s">
        <v>326</v>
      </c>
      <c r="B1106" t="s">
        <v>736</v>
      </c>
      <c r="C1106" t="s">
        <v>866</v>
      </c>
      <c r="D1106" t="s">
        <v>14</v>
      </c>
      <c r="E1106">
        <v>2</v>
      </c>
      <c r="F1106" s="2">
        <f>DATE(2026,IF(Tabla1[[#This Row],[Mes de Fecha]]="Septiembre",9,10),Tabla1[[#This Row],[Día de Fecha]])</f>
        <v>46297</v>
      </c>
      <c r="I1106">
        <v>0</v>
      </c>
      <c r="J1106" s="1">
        <v>20796464</v>
      </c>
      <c r="K1106">
        <v>0</v>
      </c>
    </row>
    <row r="1107" spans="1:11" x14ac:dyDescent="0.25">
      <c r="A1107" t="s">
        <v>326</v>
      </c>
      <c r="B1107" t="s">
        <v>736</v>
      </c>
      <c r="C1107" t="s">
        <v>866</v>
      </c>
      <c r="D1107" t="s">
        <v>14</v>
      </c>
      <c r="E1107">
        <v>2</v>
      </c>
      <c r="F1107" s="2">
        <f>DATE(2026,IF(Tabla1[[#This Row],[Mes de Fecha]]="Septiembre",9,10),Tabla1[[#This Row],[Día de Fecha]])</f>
        <v>46297</v>
      </c>
      <c r="G1107">
        <v>1005676304</v>
      </c>
      <c r="H1107" t="s">
        <v>605</v>
      </c>
      <c r="I1107">
        <v>143</v>
      </c>
      <c r="J1107">
        <v>0</v>
      </c>
      <c r="K1107" s="1">
        <v>7703538</v>
      </c>
    </row>
    <row r="1108" spans="1:11" x14ac:dyDescent="0.25">
      <c r="A1108" t="s">
        <v>326</v>
      </c>
      <c r="B1108" t="s">
        <v>736</v>
      </c>
      <c r="C1108" t="s">
        <v>866</v>
      </c>
      <c r="D1108" t="s">
        <v>14</v>
      </c>
      <c r="E1108">
        <v>2</v>
      </c>
      <c r="F1108" s="2">
        <f>DATE(2026,IF(Tabla1[[#This Row],[Mes de Fecha]]="Septiembre",9,10),Tabla1[[#This Row],[Día de Fecha]])</f>
        <v>46297</v>
      </c>
      <c r="G1108">
        <v>1043013098</v>
      </c>
      <c r="H1108" t="s">
        <v>607</v>
      </c>
      <c r="I1108">
        <v>48</v>
      </c>
      <c r="J1108">
        <v>0</v>
      </c>
      <c r="K1108" s="1">
        <v>2443030</v>
      </c>
    </row>
    <row r="1109" spans="1:11" x14ac:dyDescent="0.25">
      <c r="A1109" t="s">
        <v>326</v>
      </c>
      <c r="B1109" t="s">
        <v>736</v>
      </c>
      <c r="C1109" t="s">
        <v>866</v>
      </c>
      <c r="D1109" t="s">
        <v>14</v>
      </c>
      <c r="E1109">
        <v>2</v>
      </c>
      <c r="F1109" s="2">
        <f>DATE(2026,IF(Tabla1[[#This Row],[Mes de Fecha]]="Septiembre",9,10),Tabla1[[#This Row],[Día de Fecha]])</f>
        <v>46297</v>
      </c>
      <c r="G1109">
        <v>1065002298</v>
      </c>
      <c r="H1109" t="s">
        <v>608</v>
      </c>
      <c r="I1109">
        <v>121</v>
      </c>
      <c r="J1109">
        <v>0</v>
      </c>
      <c r="K1109" s="1">
        <v>6377192</v>
      </c>
    </row>
    <row r="1110" spans="1:11" x14ac:dyDescent="0.25">
      <c r="A1110" t="s">
        <v>326</v>
      </c>
      <c r="B1110" t="s">
        <v>736</v>
      </c>
      <c r="C1110" t="s">
        <v>866</v>
      </c>
      <c r="D1110" t="s">
        <v>14</v>
      </c>
      <c r="E1110">
        <v>3</v>
      </c>
      <c r="F1110" s="2">
        <f>DATE(2026,IF(Tabla1[[#This Row],[Mes de Fecha]]="Septiembre",9,10),Tabla1[[#This Row],[Día de Fecha]])</f>
        <v>46298</v>
      </c>
      <c r="I1110">
        <v>0</v>
      </c>
      <c r="J1110" s="1">
        <v>24214547</v>
      </c>
      <c r="K1110">
        <v>0</v>
      </c>
    </row>
    <row r="1111" spans="1:11" x14ac:dyDescent="0.25">
      <c r="A1111" t="s">
        <v>326</v>
      </c>
      <c r="B1111" t="s">
        <v>736</v>
      </c>
      <c r="C1111" t="s">
        <v>866</v>
      </c>
      <c r="D1111" t="s">
        <v>14</v>
      </c>
      <c r="E1111">
        <v>3</v>
      </c>
      <c r="F1111" s="2">
        <f>DATE(2026,IF(Tabla1[[#This Row],[Mes de Fecha]]="Septiembre",9,10),Tabla1[[#This Row],[Día de Fecha]])</f>
        <v>46298</v>
      </c>
      <c r="G1111">
        <v>1005676304</v>
      </c>
      <c r="H1111" t="s">
        <v>605</v>
      </c>
      <c r="I1111">
        <v>203</v>
      </c>
      <c r="J1111">
        <v>0</v>
      </c>
      <c r="K1111" s="1">
        <v>10591778</v>
      </c>
    </row>
    <row r="1112" spans="1:11" x14ac:dyDescent="0.25">
      <c r="A1112" t="s">
        <v>326</v>
      </c>
      <c r="B1112" t="s">
        <v>736</v>
      </c>
      <c r="C1112" t="s">
        <v>866</v>
      </c>
      <c r="D1112" t="s">
        <v>14</v>
      </c>
      <c r="E1112">
        <v>3</v>
      </c>
      <c r="F1112" s="2">
        <f>DATE(2026,IF(Tabla1[[#This Row],[Mes de Fecha]]="Septiembre",9,10),Tabla1[[#This Row],[Día de Fecha]])</f>
        <v>46298</v>
      </c>
      <c r="G1112">
        <v>1043013098</v>
      </c>
      <c r="H1112" t="s">
        <v>607</v>
      </c>
      <c r="I1112">
        <v>95</v>
      </c>
      <c r="J1112">
        <v>0</v>
      </c>
      <c r="K1112" s="1">
        <v>4788586</v>
      </c>
    </row>
    <row r="1113" spans="1:11" x14ac:dyDescent="0.25">
      <c r="A1113" t="s">
        <v>326</v>
      </c>
      <c r="B1113" t="s">
        <v>736</v>
      </c>
      <c r="C1113" t="s">
        <v>866</v>
      </c>
      <c r="D1113" t="s">
        <v>14</v>
      </c>
      <c r="E1113">
        <v>3</v>
      </c>
      <c r="F1113" s="2">
        <f>DATE(2026,IF(Tabla1[[#This Row],[Mes de Fecha]]="Septiembre",9,10),Tabla1[[#This Row],[Día de Fecha]])</f>
        <v>46298</v>
      </c>
      <c r="G1113">
        <v>1065002298</v>
      </c>
      <c r="H1113" t="s">
        <v>608</v>
      </c>
      <c r="I1113">
        <v>190</v>
      </c>
      <c r="J1113">
        <v>0</v>
      </c>
      <c r="K1113" s="1">
        <v>10073657</v>
      </c>
    </row>
    <row r="1114" spans="1:11" x14ac:dyDescent="0.25">
      <c r="A1114" t="s">
        <v>326</v>
      </c>
      <c r="B1114" t="s">
        <v>736</v>
      </c>
      <c r="C1114" t="s">
        <v>866</v>
      </c>
      <c r="D1114" t="s">
        <v>14</v>
      </c>
      <c r="E1114">
        <v>4</v>
      </c>
      <c r="F1114" s="2">
        <f>DATE(2026,IF(Tabla1[[#This Row],[Mes de Fecha]]="Septiembre",9,10),Tabla1[[#This Row],[Día de Fecha]])</f>
        <v>46299</v>
      </c>
      <c r="I1114">
        <v>0</v>
      </c>
      <c r="J1114" s="1">
        <v>23880788</v>
      </c>
      <c r="K1114">
        <v>0</v>
      </c>
    </row>
    <row r="1115" spans="1:11" x14ac:dyDescent="0.25">
      <c r="A1115" t="s">
        <v>326</v>
      </c>
      <c r="B1115" t="s">
        <v>736</v>
      </c>
      <c r="C1115" t="s">
        <v>866</v>
      </c>
      <c r="D1115" t="s">
        <v>14</v>
      </c>
      <c r="E1115">
        <v>4</v>
      </c>
      <c r="F1115" s="2">
        <f>DATE(2026,IF(Tabla1[[#This Row],[Mes de Fecha]]="Septiembre",9,10),Tabla1[[#This Row],[Día de Fecha]])</f>
        <v>46299</v>
      </c>
      <c r="G1115">
        <v>1005676304</v>
      </c>
      <c r="H1115" t="s">
        <v>605</v>
      </c>
      <c r="I1115">
        <v>164</v>
      </c>
      <c r="J1115">
        <v>0</v>
      </c>
      <c r="K1115" s="1">
        <v>8782825</v>
      </c>
    </row>
    <row r="1116" spans="1:11" x14ac:dyDescent="0.25">
      <c r="A1116" t="s">
        <v>326</v>
      </c>
      <c r="B1116" t="s">
        <v>736</v>
      </c>
      <c r="C1116" t="s">
        <v>866</v>
      </c>
      <c r="D1116" t="s">
        <v>14</v>
      </c>
      <c r="E1116">
        <v>4</v>
      </c>
      <c r="F1116" s="2">
        <f>DATE(2026,IF(Tabla1[[#This Row],[Mes de Fecha]]="Septiembre",9,10),Tabla1[[#This Row],[Día de Fecha]])</f>
        <v>46299</v>
      </c>
      <c r="G1116">
        <v>1043013098</v>
      </c>
      <c r="H1116" t="s">
        <v>607</v>
      </c>
      <c r="I1116">
        <v>82</v>
      </c>
      <c r="J1116">
        <v>0</v>
      </c>
      <c r="K1116" s="1">
        <v>4063575</v>
      </c>
    </row>
    <row r="1117" spans="1:11" x14ac:dyDescent="0.25">
      <c r="A1117" t="s">
        <v>326</v>
      </c>
      <c r="B1117" t="s">
        <v>736</v>
      </c>
      <c r="C1117" t="s">
        <v>866</v>
      </c>
      <c r="D1117" t="s">
        <v>14</v>
      </c>
      <c r="E1117">
        <v>4</v>
      </c>
      <c r="F1117" s="2">
        <f>DATE(2026,IF(Tabla1[[#This Row],[Mes de Fecha]]="Septiembre",9,10),Tabla1[[#This Row],[Día de Fecha]])</f>
        <v>46299</v>
      </c>
      <c r="G1117">
        <v>1065002298</v>
      </c>
      <c r="H1117" t="s">
        <v>608</v>
      </c>
      <c r="I1117">
        <v>115</v>
      </c>
      <c r="J1117">
        <v>0</v>
      </c>
      <c r="K1117" s="1">
        <v>6692615</v>
      </c>
    </row>
    <row r="1118" spans="1:11" x14ac:dyDescent="0.25">
      <c r="A1118" t="s">
        <v>326</v>
      </c>
      <c r="B1118" t="s">
        <v>736</v>
      </c>
      <c r="C1118" t="s">
        <v>866</v>
      </c>
      <c r="D1118" t="s">
        <v>14</v>
      </c>
      <c r="E1118">
        <v>5</v>
      </c>
      <c r="F1118" s="2">
        <f>DATE(2026,IF(Tabla1[[#This Row],[Mes de Fecha]]="Septiembre",9,10),Tabla1[[#This Row],[Día de Fecha]])</f>
        <v>46300</v>
      </c>
      <c r="I1118">
        <v>0</v>
      </c>
      <c r="J1118" s="1">
        <v>8623695</v>
      </c>
      <c r="K1118">
        <v>0</v>
      </c>
    </row>
    <row r="1119" spans="1:11" x14ac:dyDescent="0.25">
      <c r="A1119" t="s">
        <v>326</v>
      </c>
      <c r="B1119" t="s">
        <v>736</v>
      </c>
      <c r="C1119" t="s">
        <v>866</v>
      </c>
      <c r="D1119" t="s">
        <v>14</v>
      </c>
      <c r="E1119">
        <v>5</v>
      </c>
      <c r="F1119" s="2">
        <f>DATE(2026,IF(Tabla1[[#This Row],[Mes de Fecha]]="Septiembre",9,10),Tabla1[[#This Row],[Día de Fecha]])</f>
        <v>46300</v>
      </c>
      <c r="G1119">
        <v>1005676304</v>
      </c>
      <c r="H1119" t="s">
        <v>605</v>
      </c>
      <c r="I1119">
        <v>86</v>
      </c>
      <c r="J1119">
        <v>0</v>
      </c>
      <c r="K1119" s="1">
        <v>4949710</v>
      </c>
    </row>
    <row r="1120" spans="1:11" x14ac:dyDescent="0.25">
      <c r="A1120" t="s">
        <v>326</v>
      </c>
      <c r="B1120" t="s">
        <v>736</v>
      </c>
      <c r="C1120" t="s">
        <v>866</v>
      </c>
      <c r="D1120" t="s">
        <v>14</v>
      </c>
      <c r="E1120">
        <v>5</v>
      </c>
      <c r="F1120" s="2">
        <f>DATE(2026,IF(Tabla1[[#This Row],[Mes de Fecha]]="Septiembre",9,10),Tabla1[[#This Row],[Día de Fecha]])</f>
        <v>46300</v>
      </c>
      <c r="G1120">
        <v>1043013098</v>
      </c>
      <c r="H1120" t="s">
        <v>607</v>
      </c>
      <c r="I1120">
        <v>35</v>
      </c>
      <c r="J1120">
        <v>0</v>
      </c>
      <c r="K1120" s="1">
        <v>2026970</v>
      </c>
    </row>
    <row r="1121" spans="1:11" x14ac:dyDescent="0.25">
      <c r="A1121" t="s">
        <v>326</v>
      </c>
      <c r="B1121" t="s">
        <v>736</v>
      </c>
      <c r="C1121" t="s">
        <v>866</v>
      </c>
      <c r="D1121" t="s">
        <v>14</v>
      </c>
      <c r="E1121">
        <v>5</v>
      </c>
      <c r="F1121" s="2">
        <f>DATE(2026,IF(Tabla1[[#This Row],[Mes de Fecha]]="Septiembre",9,10),Tabla1[[#This Row],[Día de Fecha]])</f>
        <v>46300</v>
      </c>
      <c r="G1121">
        <v>1065002298</v>
      </c>
      <c r="H1121" t="s">
        <v>608</v>
      </c>
      <c r="I1121">
        <v>71</v>
      </c>
      <c r="J1121">
        <v>0</v>
      </c>
      <c r="K1121" s="1">
        <v>4341354</v>
      </c>
    </row>
    <row r="1122" spans="1:11" x14ac:dyDescent="0.25">
      <c r="A1122" t="s">
        <v>326</v>
      </c>
      <c r="B1122" t="s">
        <v>736</v>
      </c>
      <c r="C1122" t="s">
        <v>866</v>
      </c>
      <c r="D1122" t="s">
        <v>14</v>
      </c>
      <c r="E1122">
        <v>5</v>
      </c>
      <c r="F1122" s="2">
        <f>DATE(2026,IF(Tabla1[[#This Row],[Mes de Fecha]]="Septiembre",9,10),Tabla1[[#This Row],[Día de Fecha]])</f>
        <v>46300</v>
      </c>
      <c r="G1122">
        <v>1065006748</v>
      </c>
      <c r="H1122" t="s">
        <v>603</v>
      </c>
      <c r="I1122">
        <v>-1</v>
      </c>
      <c r="J1122">
        <v>0</v>
      </c>
      <c r="K1122" s="1">
        <v>-83992</v>
      </c>
    </row>
    <row r="1123" spans="1:11" x14ac:dyDescent="0.25">
      <c r="A1123" t="s">
        <v>326</v>
      </c>
      <c r="B1123" t="s">
        <v>736</v>
      </c>
      <c r="C1123" t="s">
        <v>866</v>
      </c>
      <c r="D1123" t="s">
        <v>14</v>
      </c>
      <c r="E1123">
        <v>6</v>
      </c>
      <c r="F1123" s="2">
        <f>DATE(2026,IF(Tabla1[[#This Row],[Mes de Fecha]]="Septiembre",9,10),Tabla1[[#This Row],[Día de Fecha]])</f>
        <v>46301</v>
      </c>
      <c r="I1123">
        <v>0</v>
      </c>
      <c r="J1123" s="1">
        <v>6444464</v>
      </c>
      <c r="K1123">
        <v>0</v>
      </c>
    </row>
    <row r="1124" spans="1:11" x14ac:dyDescent="0.25">
      <c r="A1124" t="s">
        <v>326</v>
      </c>
      <c r="B1124" t="s">
        <v>736</v>
      </c>
      <c r="C1124" t="s">
        <v>866</v>
      </c>
      <c r="D1124" t="s">
        <v>14</v>
      </c>
      <c r="E1124">
        <v>6</v>
      </c>
      <c r="F1124" s="2">
        <f>DATE(2026,IF(Tabla1[[#This Row],[Mes de Fecha]]="Septiembre",9,10),Tabla1[[#This Row],[Día de Fecha]])</f>
        <v>46301</v>
      </c>
      <c r="G1124">
        <v>1005676304</v>
      </c>
      <c r="H1124" t="s">
        <v>605</v>
      </c>
      <c r="I1124">
        <v>48</v>
      </c>
      <c r="J1124">
        <v>0</v>
      </c>
      <c r="K1124" s="1">
        <v>2712104</v>
      </c>
    </row>
    <row r="1125" spans="1:11" x14ac:dyDescent="0.25">
      <c r="A1125" t="s">
        <v>326</v>
      </c>
      <c r="B1125" t="s">
        <v>736</v>
      </c>
      <c r="C1125" t="s">
        <v>866</v>
      </c>
      <c r="D1125" t="s">
        <v>14</v>
      </c>
      <c r="E1125">
        <v>6</v>
      </c>
      <c r="F1125" s="2">
        <f>DATE(2026,IF(Tabla1[[#This Row],[Mes de Fecha]]="Septiembre",9,10),Tabla1[[#This Row],[Día de Fecha]])</f>
        <v>46301</v>
      </c>
      <c r="G1125">
        <v>1043013098</v>
      </c>
      <c r="H1125" t="s">
        <v>607</v>
      </c>
      <c r="I1125">
        <v>33</v>
      </c>
      <c r="J1125">
        <v>0</v>
      </c>
      <c r="K1125" s="1">
        <v>1876642</v>
      </c>
    </row>
    <row r="1126" spans="1:11" x14ac:dyDescent="0.25">
      <c r="A1126" t="s">
        <v>326</v>
      </c>
      <c r="B1126" t="s">
        <v>736</v>
      </c>
      <c r="C1126" t="s">
        <v>866</v>
      </c>
      <c r="D1126" t="s">
        <v>14</v>
      </c>
      <c r="E1126">
        <v>6</v>
      </c>
      <c r="F1126" s="2">
        <f>DATE(2026,IF(Tabla1[[#This Row],[Mes de Fecha]]="Septiembre",9,10),Tabla1[[#This Row],[Día de Fecha]])</f>
        <v>46301</v>
      </c>
      <c r="G1126">
        <v>1065002298</v>
      </c>
      <c r="H1126" t="s">
        <v>608</v>
      </c>
      <c r="I1126">
        <v>39</v>
      </c>
      <c r="J1126">
        <v>0</v>
      </c>
      <c r="K1126" s="1">
        <v>2132694</v>
      </c>
    </row>
    <row r="1127" spans="1:11" x14ac:dyDescent="0.25">
      <c r="A1127" t="s">
        <v>326</v>
      </c>
      <c r="B1127" t="s">
        <v>736</v>
      </c>
      <c r="C1127" t="s">
        <v>866</v>
      </c>
      <c r="D1127" t="s">
        <v>14</v>
      </c>
      <c r="E1127">
        <v>7</v>
      </c>
      <c r="F1127" s="2">
        <f>DATE(2026,IF(Tabla1[[#This Row],[Mes de Fecha]]="Septiembre",9,10),Tabla1[[#This Row],[Día de Fecha]])</f>
        <v>46302</v>
      </c>
      <c r="I1127">
        <v>0</v>
      </c>
      <c r="J1127" s="1">
        <v>6359667</v>
      </c>
      <c r="K1127">
        <v>0</v>
      </c>
    </row>
    <row r="1128" spans="1:11" x14ac:dyDescent="0.25">
      <c r="A1128" t="s">
        <v>326</v>
      </c>
      <c r="B1128" t="s">
        <v>736</v>
      </c>
      <c r="C1128" t="s">
        <v>866</v>
      </c>
      <c r="D1128" t="s">
        <v>14</v>
      </c>
      <c r="E1128">
        <v>7</v>
      </c>
      <c r="F1128" s="2">
        <f>DATE(2026,IF(Tabla1[[#This Row],[Mes de Fecha]]="Septiembre",9,10),Tabla1[[#This Row],[Día de Fecha]])</f>
        <v>46302</v>
      </c>
      <c r="G1128">
        <v>1005676304</v>
      </c>
      <c r="H1128" t="s">
        <v>605</v>
      </c>
      <c r="I1128">
        <v>39</v>
      </c>
      <c r="J1128">
        <v>0</v>
      </c>
      <c r="K1128" s="1">
        <v>2166265</v>
      </c>
    </row>
    <row r="1129" spans="1:11" x14ac:dyDescent="0.25">
      <c r="A1129" t="s">
        <v>326</v>
      </c>
      <c r="B1129" t="s">
        <v>736</v>
      </c>
      <c r="C1129" t="s">
        <v>866</v>
      </c>
      <c r="D1129" t="s">
        <v>14</v>
      </c>
      <c r="E1129">
        <v>7</v>
      </c>
      <c r="F1129" s="2">
        <f>DATE(2026,IF(Tabla1[[#This Row],[Mes de Fecha]]="Septiembre",9,10),Tabla1[[#This Row],[Día de Fecha]])</f>
        <v>46302</v>
      </c>
      <c r="G1129">
        <v>1043013098</v>
      </c>
      <c r="H1129" t="s">
        <v>607</v>
      </c>
      <c r="I1129">
        <v>18</v>
      </c>
      <c r="J1129">
        <v>0</v>
      </c>
      <c r="K1129" s="1">
        <v>877353</v>
      </c>
    </row>
    <row r="1130" spans="1:11" x14ac:dyDescent="0.25">
      <c r="A1130" t="s">
        <v>326</v>
      </c>
      <c r="B1130" t="s">
        <v>736</v>
      </c>
      <c r="C1130" t="s">
        <v>866</v>
      </c>
      <c r="D1130" t="s">
        <v>14</v>
      </c>
      <c r="E1130">
        <v>7</v>
      </c>
      <c r="F1130" s="2">
        <f>DATE(2026,IF(Tabla1[[#This Row],[Mes de Fecha]]="Septiembre",9,10),Tabla1[[#This Row],[Día de Fecha]])</f>
        <v>46302</v>
      </c>
      <c r="G1130">
        <v>1065002298</v>
      </c>
      <c r="H1130" t="s">
        <v>608</v>
      </c>
      <c r="I1130">
        <v>23</v>
      </c>
      <c r="J1130">
        <v>0</v>
      </c>
      <c r="K1130" s="1">
        <v>1503281</v>
      </c>
    </row>
    <row r="1131" spans="1:11" x14ac:dyDescent="0.25">
      <c r="A1131" t="s">
        <v>326</v>
      </c>
      <c r="B1131" t="s">
        <v>736</v>
      </c>
      <c r="C1131" t="s">
        <v>866</v>
      </c>
      <c r="D1131" t="s">
        <v>14</v>
      </c>
      <c r="E1131">
        <v>7</v>
      </c>
      <c r="F1131" s="2">
        <f>DATE(2026,IF(Tabla1[[#This Row],[Mes de Fecha]]="Septiembre",9,10),Tabla1[[#This Row],[Día de Fecha]])</f>
        <v>46302</v>
      </c>
      <c r="G1131">
        <v>1065006748</v>
      </c>
      <c r="H1131" t="s">
        <v>603</v>
      </c>
      <c r="I1131">
        <v>-1</v>
      </c>
      <c r="J1131">
        <v>0</v>
      </c>
      <c r="K1131" s="1">
        <v>-126008</v>
      </c>
    </row>
    <row r="1132" spans="1:11" x14ac:dyDescent="0.25">
      <c r="A1132" t="s">
        <v>326</v>
      </c>
      <c r="B1132" t="s">
        <v>737</v>
      </c>
      <c r="C1132" t="s">
        <v>866</v>
      </c>
      <c r="D1132" t="s">
        <v>11</v>
      </c>
      <c r="E1132">
        <v>23</v>
      </c>
      <c r="F1132" s="2">
        <f>DATE(2026,IF(Tabla1[[#This Row],[Mes de Fecha]]="Septiembre",9,10),Tabla1[[#This Row],[Día de Fecha]])</f>
        <v>46288</v>
      </c>
      <c r="I1132">
        <v>0</v>
      </c>
      <c r="J1132" s="1">
        <v>17205224</v>
      </c>
      <c r="K1132">
        <v>0</v>
      </c>
    </row>
    <row r="1133" spans="1:11" x14ac:dyDescent="0.25">
      <c r="A1133" t="s">
        <v>326</v>
      </c>
      <c r="B1133" t="s">
        <v>737</v>
      </c>
      <c r="C1133" t="s">
        <v>866</v>
      </c>
      <c r="D1133" t="s">
        <v>11</v>
      </c>
      <c r="E1133">
        <v>23</v>
      </c>
      <c r="F1133" s="2">
        <f>DATE(2026,IF(Tabla1[[#This Row],[Mes de Fecha]]="Septiembre",9,10),Tabla1[[#This Row],[Día de Fecha]])</f>
        <v>46288</v>
      </c>
      <c r="G1133">
        <v>1007740486</v>
      </c>
      <c r="H1133" t="s">
        <v>714</v>
      </c>
      <c r="I1133">
        <v>25</v>
      </c>
      <c r="J1133">
        <v>0</v>
      </c>
      <c r="K1133" s="1">
        <v>1461136</v>
      </c>
    </row>
    <row r="1134" spans="1:11" x14ac:dyDescent="0.25">
      <c r="A1134" t="s">
        <v>326</v>
      </c>
      <c r="B1134" t="s">
        <v>737</v>
      </c>
      <c r="C1134" t="s">
        <v>866</v>
      </c>
      <c r="D1134" t="s">
        <v>11</v>
      </c>
      <c r="E1134">
        <v>23</v>
      </c>
      <c r="F1134" s="2">
        <f>DATE(2026,IF(Tabla1[[#This Row],[Mes de Fecha]]="Septiembre",9,10),Tabla1[[#This Row],[Día de Fecha]])</f>
        <v>46288</v>
      </c>
      <c r="G1134">
        <v>1047480286</v>
      </c>
      <c r="H1134" t="s">
        <v>480</v>
      </c>
      <c r="I1134">
        <v>83</v>
      </c>
      <c r="J1134">
        <v>0</v>
      </c>
      <c r="K1134" s="1">
        <v>4341058</v>
      </c>
    </row>
    <row r="1135" spans="1:11" x14ac:dyDescent="0.25">
      <c r="A1135" t="s">
        <v>326</v>
      </c>
      <c r="B1135" t="s">
        <v>737</v>
      </c>
      <c r="C1135" t="s">
        <v>866</v>
      </c>
      <c r="D1135" t="s">
        <v>11</v>
      </c>
      <c r="E1135">
        <v>23</v>
      </c>
      <c r="F1135" s="2">
        <f>DATE(2026,IF(Tabla1[[#This Row],[Mes de Fecha]]="Septiembre",9,10),Tabla1[[#This Row],[Día de Fecha]])</f>
        <v>46288</v>
      </c>
      <c r="G1135">
        <v>1067882225</v>
      </c>
      <c r="H1135" t="s">
        <v>476</v>
      </c>
      <c r="I1135">
        <v>92</v>
      </c>
      <c r="J1135">
        <v>0</v>
      </c>
      <c r="K1135" s="1">
        <v>4813323</v>
      </c>
    </row>
    <row r="1136" spans="1:11" x14ac:dyDescent="0.25">
      <c r="A1136" t="s">
        <v>326</v>
      </c>
      <c r="B1136" t="s">
        <v>737</v>
      </c>
      <c r="C1136" t="s">
        <v>866</v>
      </c>
      <c r="D1136" t="s">
        <v>11</v>
      </c>
      <c r="E1136">
        <v>23</v>
      </c>
      <c r="F1136" s="2">
        <f>DATE(2026,IF(Tabla1[[#This Row],[Mes de Fecha]]="Septiembre",9,10),Tabla1[[#This Row],[Día de Fecha]])</f>
        <v>46288</v>
      </c>
      <c r="G1136">
        <v>1104254048</v>
      </c>
      <c r="H1136" t="s">
        <v>479</v>
      </c>
      <c r="I1136">
        <v>41</v>
      </c>
      <c r="J1136">
        <v>0</v>
      </c>
      <c r="K1136" s="1">
        <v>2025549</v>
      </c>
    </row>
    <row r="1137" spans="1:11" x14ac:dyDescent="0.25">
      <c r="A1137" t="s">
        <v>326</v>
      </c>
      <c r="B1137" t="s">
        <v>737</v>
      </c>
      <c r="C1137" t="s">
        <v>866</v>
      </c>
      <c r="D1137" t="s">
        <v>11</v>
      </c>
      <c r="E1137">
        <v>24</v>
      </c>
      <c r="F1137" s="2">
        <f>DATE(2026,IF(Tabla1[[#This Row],[Mes de Fecha]]="Septiembre",9,10),Tabla1[[#This Row],[Día de Fecha]])</f>
        <v>46289</v>
      </c>
      <c r="I1137">
        <v>0</v>
      </c>
      <c r="J1137" s="1">
        <v>26282918</v>
      </c>
      <c r="K1137">
        <v>0</v>
      </c>
    </row>
    <row r="1138" spans="1:11" x14ac:dyDescent="0.25">
      <c r="A1138" t="s">
        <v>326</v>
      </c>
      <c r="B1138" t="s">
        <v>737</v>
      </c>
      <c r="C1138" t="s">
        <v>866</v>
      </c>
      <c r="D1138" t="s">
        <v>11</v>
      </c>
      <c r="E1138">
        <v>24</v>
      </c>
      <c r="F1138" s="2">
        <f>DATE(2026,IF(Tabla1[[#This Row],[Mes de Fecha]]="Septiembre",9,10),Tabla1[[#This Row],[Día de Fecha]])</f>
        <v>46289</v>
      </c>
      <c r="G1138">
        <v>1007740486</v>
      </c>
      <c r="H1138" t="s">
        <v>714</v>
      </c>
      <c r="I1138">
        <v>54</v>
      </c>
      <c r="J1138">
        <v>0</v>
      </c>
      <c r="K1138" s="1">
        <v>2953615</v>
      </c>
    </row>
    <row r="1139" spans="1:11" x14ac:dyDescent="0.25">
      <c r="A1139" t="s">
        <v>326</v>
      </c>
      <c r="B1139" t="s">
        <v>737</v>
      </c>
      <c r="C1139" t="s">
        <v>866</v>
      </c>
      <c r="D1139" t="s">
        <v>11</v>
      </c>
      <c r="E1139">
        <v>24</v>
      </c>
      <c r="F1139" s="2">
        <f>DATE(2026,IF(Tabla1[[#This Row],[Mes de Fecha]]="Septiembre",9,10),Tabla1[[#This Row],[Día de Fecha]])</f>
        <v>46289</v>
      </c>
      <c r="G1139">
        <v>1047480286</v>
      </c>
      <c r="H1139" t="s">
        <v>480</v>
      </c>
      <c r="I1139">
        <v>140</v>
      </c>
      <c r="J1139">
        <v>0</v>
      </c>
      <c r="K1139" s="1">
        <v>7414277</v>
      </c>
    </row>
    <row r="1140" spans="1:11" x14ac:dyDescent="0.25">
      <c r="A1140" t="s">
        <v>326</v>
      </c>
      <c r="B1140" t="s">
        <v>737</v>
      </c>
      <c r="C1140" t="s">
        <v>866</v>
      </c>
      <c r="D1140" t="s">
        <v>11</v>
      </c>
      <c r="E1140">
        <v>24</v>
      </c>
      <c r="F1140" s="2">
        <f>DATE(2026,IF(Tabla1[[#This Row],[Mes de Fecha]]="Septiembre",9,10),Tabla1[[#This Row],[Día de Fecha]])</f>
        <v>46289</v>
      </c>
      <c r="G1140">
        <v>1067882225</v>
      </c>
      <c r="H1140" t="s">
        <v>476</v>
      </c>
      <c r="I1140">
        <v>138</v>
      </c>
      <c r="J1140">
        <v>0</v>
      </c>
      <c r="K1140" s="1">
        <v>8052994</v>
      </c>
    </row>
    <row r="1141" spans="1:11" x14ac:dyDescent="0.25">
      <c r="A1141" t="s">
        <v>326</v>
      </c>
      <c r="B1141" t="s">
        <v>737</v>
      </c>
      <c r="C1141" t="s">
        <v>866</v>
      </c>
      <c r="D1141" t="s">
        <v>11</v>
      </c>
      <c r="E1141">
        <v>24</v>
      </c>
      <c r="F1141" s="2">
        <f>DATE(2026,IF(Tabla1[[#This Row],[Mes de Fecha]]="Septiembre",9,10),Tabla1[[#This Row],[Día de Fecha]])</f>
        <v>46289</v>
      </c>
      <c r="G1141">
        <v>1104254048</v>
      </c>
      <c r="H1141" t="s">
        <v>479</v>
      </c>
      <c r="I1141">
        <v>65</v>
      </c>
      <c r="J1141">
        <v>0</v>
      </c>
      <c r="K1141" s="1">
        <v>3425804</v>
      </c>
    </row>
    <row r="1142" spans="1:11" x14ac:dyDescent="0.25">
      <c r="A1142" t="s">
        <v>326</v>
      </c>
      <c r="B1142" t="s">
        <v>737</v>
      </c>
      <c r="C1142" t="s">
        <v>866</v>
      </c>
      <c r="D1142" t="s">
        <v>11</v>
      </c>
      <c r="E1142">
        <v>25</v>
      </c>
      <c r="F1142" s="2">
        <f>DATE(2026,IF(Tabla1[[#This Row],[Mes de Fecha]]="Septiembre",9,10),Tabla1[[#This Row],[Día de Fecha]])</f>
        <v>46290</v>
      </c>
      <c r="I1142">
        <v>0</v>
      </c>
      <c r="J1142" s="1">
        <v>26224731</v>
      </c>
      <c r="K1142">
        <v>0</v>
      </c>
    </row>
    <row r="1143" spans="1:11" x14ac:dyDescent="0.25">
      <c r="A1143" t="s">
        <v>326</v>
      </c>
      <c r="B1143" t="s">
        <v>737</v>
      </c>
      <c r="C1143" t="s">
        <v>866</v>
      </c>
      <c r="D1143" t="s">
        <v>11</v>
      </c>
      <c r="E1143">
        <v>25</v>
      </c>
      <c r="F1143" s="2">
        <f>DATE(2026,IF(Tabla1[[#This Row],[Mes de Fecha]]="Septiembre",9,10),Tabla1[[#This Row],[Día de Fecha]])</f>
        <v>46290</v>
      </c>
      <c r="G1143">
        <v>45691762</v>
      </c>
      <c r="H1143" t="s">
        <v>467</v>
      </c>
      <c r="I1143">
        <v>-1</v>
      </c>
      <c r="J1143">
        <v>0</v>
      </c>
      <c r="K1143" s="1">
        <v>-54580</v>
      </c>
    </row>
    <row r="1144" spans="1:11" x14ac:dyDescent="0.25">
      <c r="A1144" t="s">
        <v>326</v>
      </c>
      <c r="B1144" t="s">
        <v>737</v>
      </c>
      <c r="C1144" t="s">
        <v>866</v>
      </c>
      <c r="D1144" t="s">
        <v>11</v>
      </c>
      <c r="E1144">
        <v>25</v>
      </c>
      <c r="F1144" s="2">
        <f>DATE(2026,IF(Tabla1[[#This Row],[Mes de Fecha]]="Septiembre",9,10),Tabla1[[#This Row],[Día de Fecha]])</f>
        <v>46290</v>
      </c>
      <c r="G1144">
        <v>1007740486</v>
      </c>
      <c r="H1144" t="s">
        <v>714</v>
      </c>
      <c r="I1144">
        <v>71</v>
      </c>
      <c r="J1144">
        <v>0</v>
      </c>
      <c r="K1144" s="1">
        <v>3759584</v>
      </c>
    </row>
    <row r="1145" spans="1:11" x14ac:dyDescent="0.25">
      <c r="A1145" t="s">
        <v>326</v>
      </c>
      <c r="B1145" t="s">
        <v>737</v>
      </c>
      <c r="C1145" t="s">
        <v>866</v>
      </c>
      <c r="D1145" t="s">
        <v>11</v>
      </c>
      <c r="E1145">
        <v>25</v>
      </c>
      <c r="F1145" s="2">
        <f>DATE(2026,IF(Tabla1[[#This Row],[Mes de Fecha]]="Septiembre",9,10),Tabla1[[#This Row],[Día de Fecha]])</f>
        <v>46290</v>
      </c>
      <c r="G1145">
        <v>1047439766</v>
      </c>
      <c r="H1145" t="s">
        <v>474</v>
      </c>
      <c r="I1145">
        <v>-1</v>
      </c>
      <c r="J1145">
        <v>0</v>
      </c>
      <c r="K1145" s="1">
        <v>-96597</v>
      </c>
    </row>
    <row r="1146" spans="1:11" x14ac:dyDescent="0.25">
      <c r="A1146" t="s">
        <v>326</v>
      </c>
      <c r="B1146" t="s">
        <v>737</v>
      </c>
      <c r="C1146" t="s">
        <v>866</v>
      </c>
      <c r="D1146" t="s">
        <v>11</v>
      </c>
      <c r="E1146">
        <v>25</v>
      </c>
      <c r="F1146" s="2">
        <f>DATE(2026,IF(Tabla1[[#This Row],[Mes de Fecha]]="Septiembre",9,10),Tabla1[[#This Row],[Día de Fecha]])</f>
        <v>46290</v>
      </c>
      <c r="G1146">
        <v>1047465660</v>
      </c>
      <c r="H1146" t="s">
        <v>469</v>
      </c>
      <c r="I1146">
        <v>-1</v>
      </c>
      <c r="J1146">
        <v>0</v>
      </c>
      <c r="K1146" s="1">
        <v>-46177</v>
      </c>
    </row>
    <row r="1147" spans="1:11" x14ac:dyDescent="0.25">
      <c r="A1147" t="s">
        <v>326</v>
      </c>
      <c r="B1147" t="s">
        <v>737</v>
      </c>
      <c r="C1147" t="s">
        <v>866</v>
      </c>
      <c r="D1147" t="s">
        <v>11</v>
      </c>
      <c r="E1147">
        <v>25</v>
      </c>
      <c r="F1147" s="2">
        <f>DATE(2026,IF(Tabla1[[#This Row],[Mes de Fecha]]="Septiembre",9,10),Tabla1[[#This Row],[Día de Fecha]])</f>
        <v>46290</v>
      </c>
      <c r="G1147">
        <v>1047480286</v>
      </c>
      <c r="H1147" t="s">
        <v>480</v>
      </c>
      <c r="I1147">
        <v>140</v>
      </c>
      <c r="J1147">
        <v>0</v>
      </c>
      <c r="K1147" s="1">
        <v>6905724</v>
      </c>
    </row>
    <row r="1148" spans="1:11" x14ac:dyDescent="0.25">
      <c r="A1148" t="s">
        <v>326</v>
      </c>
      <c r="B1148" t="s">
        <v>737</v>
      </c>
      <c r="C1148" t="s">
        <v>866</v>
      </c>
      <c r="D1148" t="s">
        <v>11</v>
      </c>
      <c r="E1148">
        <v>25</v>
      </c>
      <c r="F1148" s="2">
        <f>DATE(2026,IF(Tabla1[[#This Row],[Mes de Fecha]]="Septiembre",9,10),Tabla1[[#This Row],[Día de Fecha]])</f>
        <v>46290</v>
      </c>
      <c r="G1148">
        <v>1067882225</v>
      </c>
      <c r="H1148" t="s">
        <v>476</v>
      </c>
      <c r="I1148">
        <v>147</v>
      </c>
      <c r="J1148">
        <v>0</v>
      </c>
      <c r="K1148" s="1">
        <v>8390803</v>
      </c>
    </row>
    <row r="1149" spans="1:11" x14ac:dyDescent="0.25">
      <c r="A1149" t="s">
        <v>326</v>
      </c>
      <c r="B1149" t="s">
        <v>737</v>
      </c>
      <c r="C1149" t="s">
        <v>866</v>
      </c>
      <c r="D1149" t="s">
        <v>11</v>
      </c>
      <c r="E1149">
        <v>25</v>
      </c>
      <c r="F1149" s="2">
        <f>DATE(2026,IF(Tabla1[[#This Row],[Mes de Fecha]]="Septiembre",9,10),Tabla1[[#This Row],[Día de Fecha]])</f>
        <v>46290</v>
      </c>
      <c r="G1149">
        <v>1104254048</v>
      </c>
      <c r="H1149" t="s">
        <v>479</v>
      </c>
      <c r="I1149">
        <v>63</v>
      </c>
      <c r="J1149">
        <v>0</v>
      </c>
      <c r="K1149" s="1">
        <v>3854501</v>
      </c>
    </row>
    <row r="1150" spans="1:11" x14ac:dyDescent="0.25">
      <c r="A1150" t="s">
        <v>326</v>
      </c>
      <c r="B1150" t="s">
        <v>737</v>
      </c>
      <c r="C1150" t="s">
        <v>866</v>
      </c>
      <c r="D1150" t="s">
        <v>11</v>
      </c>
      <c r="E1150">
        <v>26</v>
      </c>
      <c r="F1150" s="2">
        <f>DATE(2026,IF(Tabla1[[#This Row],[Mes de Fecha]]="Septiembre",9,10),Tabla1[[#This Row],[Día de Fecha]])</f>
        <v>46291</v>
      </c>
      <c r="I1150">
        <v>0</v>
      </c>
      <c r="J1150" s="1">
        <v>37688707</v>
      </c>
      <c r="K1150">
        <v>0</v>
      </c>
    </row>
    <row r="1151" spans="1:11" x14ac:dyDescent="0.25">
      <c r="A1151" t="s">
        <v>326</v>
      </c>
      <c r="B1151" t="s">
        <v>737</v>
      </c>
      <c r="C1151" t="s">
        <v>866</v>
      </c>
      <c r="D1151" t="s">
        <v>11</v>
      </c>
      <c r="E1151">
        <v>26</v>
      </c>
      <c r="F1151" s="2">
        <f>DATE(2026,IF(Tabla1[[#This Row],[Mes de Fecha]]="Septiembre",9,10),Tabla1[[#This Row],[Día de Fecha]])</f>
        <v>46291</v>
      </c>
      <c r="G1151">
        <v>1007740486</v>
      </c>
      <c r="H1151" t="s">
        <v>714</v>
      </c>
      <c r="I1151">
        <v>66</v>
      </c>
      <c r="J1151">
        <v>0</v>
      </c>
      <c r="K1151" s="1">
        <v>3938362</v>
      </c>
    </row>
    <row r="1152" spans="1:11" x14ac:dyDescent="0.25">
      <c r="A1152" t="s">
        <v>326</v>
      </c>
      <c r="B1152" t="s">
        <v>737</v>
      </c>
      <c r="C1152" t="s">
        <v>866</v>
      </c>
      <c r="D1152" t="s">
        <v>11</v>
      </c>
      <c r="E1152">
        <v>26</v>
      </c>
      <c r="F1152" s="2">
        <f>DATE(2026,IF(Tabla1[[#This Row],[Mes de Fecha]]="Septiembre",9,10),Tabla1[[#This Row],[Día de Fecha]])</f>
        <v>46291</v>
      </c>
      <c r="G1152">
        <v>1047425678</v>
      </c>
      <c r="H1152" t="s">
        <v>468</v>
      </c>
      <c r="I1152">
        <v>-1</v>
      </c>
      <c r="J1152">
        <v>0</v>
      </c>
      <c r="K1152" s="1">
        <v>-46177</v>
      </c>
    </row>
    <row r="1153" spans="1:11" x14ac:dyDescent="0.25">
      <c r="A1153" t="s">
        <v>326</v>
      </c>
      <c r="B1153" t="s">
        <v>737</v>
      </c>
      <c r="C1153" t="s">
        <v>866</v>
      </c>
      <c r="D1153" t="s">
        <v>11</v>
      </c>
      <c r="E1153">
        <v>26</v>
      </c>
      <c r="F1153" s="2">
        <f>DATE(2026,IF(Tabla1[[#This Row],[Mes de Fecha]]="Septiembre",9,10),Tabla1[[#This Row],[Día de Fecha]])</f>
        <v>46291</v>
      </c>
      <c r="G1153">
        <v>1047480286</v>
      </c>
      <c r="H1153" t="s">
        <v>480</v>
      </c>
      <c r="I1153">
        <v>198</v>
      </c>
      <c r="J1153">
        <v>0</v>
      </c>
      <c r="K1153" s="1">
        <v>10800481</v>
      </c>
    </row>
    <row r="1154" spans="1:11" x14ac:dyDescent="0.25">
      <c r="A1154" t="s">
        <v>326</v>
      </c>
      <c r="B1154" t="s">
        <v>737</v>
      </c>
      <c r="C1154" t="s">
        <v>866</v>
      </c>
      <c r="D1154" t="s">
        <v>11</v>
      </c>
      <c r="E1154">
        <v>26</v>
      </c>
      <c r="F1154" s="2">
        <f>DATE(2026,IF(Tabla1[[#This Row],[Mes de Fecha]]="Septiembre",9,10),Tabla1[[#This Row],[Día de Fecha]])</f>
        <v>46291</v>
      </c>
      <c r="G1154">
        <v>1067882225</v>
      </c>
      <c r="H1154" t="s">
        <v>476</v>
      </c>
      <c r="I1154">
        <v>194</v>
      </c>
      <c r="J1154">
        <v>0</v>
      </c>
      <c r="K1154" s="1">
        <v>11325766</v>
      </c>
    </row>
    <row r="1155" spans="1:11" x14ac:dyDescent="0.25">
      <c r="A1155" t="s">
        <v>326</v>
      </c>
      <c r="B1155" t="s">
        <v>737</v>
      </c>
      <c r="C1155" t="s">
        <v>866</v>
      </c>
      <c r="D1155" t="s">
        <v>11</v>
      </c>
      <c r="E1155">
        <v>26</v>
      </c>
      <c r="F1155" s="2">
        <f>DATE(2026,IF(Tabla1[[#This Row],[Mes de Fecha]]="Septiembre",9,10),Tabla1[[#This Row],[Día de Fecha]])</f>
        <v>46291</v>
      </c>
      <c r="G1155">
        <v>1104254048</v>
      </c>
      <c r="H1155" t="s">
        <v>479</v>
      </c>
      <c r="I1155">
        <v>69</v>
      </c>
      <c r="J1155">
        <v>0</v>
      </c>
      <c r="K1155" s="1">
        <v>3950804</v>
      </c>
    </row>
    <row r="1156" spans="1:11" x14ac:dyDescent="0.25">
      <c r="A1156" t="s">
        <v>326</v>
      </c>
      <c r="B1156" t="s">
        <v>737</v>
      </c>
      <c r="C1156" t="s">
        <v>866</v>
      </c>
      <c r="D1156" t="s">
        <v>11</v>
      </c>
      <c r="E1156">
        <v>27</v>
      </c>
      <c r="F1156" s="2">
        <f>DATE(2026,IF(Tabla1[[#This Row],[Mes de Fecha]]="Septiembre",9,10),Tabla1[[#This Row],[Día de Fecha]])</f>
        <v>46292</v>
      </c>
      <c r="I1156">
        <v>0</v>
      </c>
      <c r="J1156" s="1">
        <v>29857043</v>
      </c>
      <c r="K1156">
        <v>0</v>
      </c>
    </row>
    <row r="1157" spans="1:11" x14ac:dyDescent="0.25">
      <c r="A1157" t="s">
        <v>326</v>
      </c>
      <c r="B1157" t="s">
        <v>737</v>
      </c>
      <c r="C1157" t="s">
        <v>866</v>
      </c>
      <c r="D1157" t="s">
        <v>11</v>
      </c>
      <c r="E1157">
        <v>27</v>
      </c>
      <c r="F1157" s="2">
        <f>DATE(2026,IF(Tabla1[[#This Row],[Mes de Fecha]]="Septiembre",9,10),Tabla1[[#This Row],[Día de Fecha]])</f>
        <v>46292</v>
      </c>
      <c r="G1157">
        <v>1007740486</v>
      </c>
      <c r="H1157" t="s">
        <v>714</v>
      </c>
      <c r="I1157">
        <v>32</v>
      </c>
      <c r="J1157">
        <v>0</v>
      </c>
      <c r="K1157" s="1">
        <v>1870461</v>
      </c>
    </row>
    <row r="1158" spans="1:11" x14ac:dyDescent="0.25">
      <c r="A1158" t="s">
        <v>326</v>
      </c>
      <c r="B1158" t="s">
        <v>737</v>
      </c>
      <c r="C1158" t="s">
        <v>866</v>
      </c>
      <c r="D1158" t="s">
        <v>11</v>
      </c>
      <c r="E1158">
        <v>27</v>
      </c>
      <c r="F1158" s="2">
        <f>DATE(2026,IF(Tabla1[[#This Row],[Mes de Fecha]]="Septiembre",9,10),Tabla1[[#This Row],[Día de Fecha]])</f>
        <v>46292</v>
      </c>
      <c r="G1158">
        <v>1047480286</v>
      </c>
      <c r="H1158" t="s">
        <v>480</v>
      </c>
      <c r="I1158">
        <v>97</v>
      </c>
      <c r="J1158">
        <v>0</v>
      </c>
      <c r="K1158" s="1">
        <v>5674501</v>
      </c>
    </row>
    <row r="1159" spans="1:11" x14ac:dyDescent="0.25">
      <c r="A1159" t="s">
        <v>326</v>
      </c>
      <c r="B1159" t="s">
        <v>737</v>
      </c>
      <c r="C1159" t="s">
        <v>866</v>
      </c>
      <c r="D1159" t="s">
        <v>11</v>
      </c>
      <c r="E1159">
        <v>27</v>
      </c>
      <c r="F1159" s="2">
        <f>DATE(2026,IF(Tabla1[[#This Row],[Mes de Fecha]]="Septiembre",9,10),Tabla1[[#This Row],[Día de Fecha]])</f>
        <v>46292</v>
      </c>
      <c r="G1159">
        <v>1067882225</v>
      </c>
      <c r="H1159" t="s">
        <v>476</v>
      </c>
      <c r="I1159">
        <v>92</v>
      </c>
      <c r="J1159">
        <v>0</v>
      </c>
      <c r="K1159" s="1">
        <v>4800721</v>
      </c>
    </row>
    <row r="1160" spans="1:11" x14ac:dyDescent="0.25">
      <c r="A1160" t="s">
        <v>326</v>
      </c>
      <c r="B1160" t="s">
        <v>737</v>
      </c>
      <c r="C1160" t="s">
        <v>866</v>
      </c>
      <c r="D1160" t="s">
        <v>11</v>
      </c>
      <c r="E1160">
        <v>27</v>
      </c>
      <c r="F1160" s="2">
        <f>DATE(2026,IF(Tabla1[[#This Row],[Mes de Fecha]]="Septiembre",9,10),Tabla1[[#This Row],[Día de Fecha]])</f>
        <v>46292</v>
      </c>
      <c r="G1160">
        <v>1104254048</v>
      </c>
      <c r="H1160" t="s">
        <v>479</v>
      </c>
      <c r="I1160">
        <v>55</v>
      </c>
      <c r="J1160">
        <v>0</v>
      </c>
      <c r="K1160" s="1">
        <v>3003954</v>
      </c>
    </row>
    <row r="1161" spans="1:11" x14ac:dyDescent="0.25">
      <c r="A1161" t="s">
        <v>326</v>
      </c>
      <c r="B1161" t="s">
        <v>737</v>
      </c>
      <c r="C1161" t="s">
        <v>866</v>
      </c>
      <c r="D1161" t="s">
        <v>11</v>
      </c>
      <c r="E1161">
        <v>28</v>
      </c>
      <c r="F1161" s="2">
        <f>DATE(2026,IF(Tabla1[[#This Row],[Mes de Fecha]]="Septiembre",9,10),Tabla1[[#This Row],[Día de Fecha]])</f>
        <v>46293</v>
      </c>
      <c r="I1161">
        <v>0</v>
      </c>
      <c r="J1161" s="1">
        <v>16432091</v>
      </c>
      <c r="K1161">
        <v>0</v>
      </c>
    </row>
    <row r="1162" spans="1:11" x14ac:dyDescent="0.25">
      <c r="A1162" t="s">
        <v>326</v>
      </c>
      <c r="B1162" t="s">
        <v>737</v>
      </c>
      <c r="C1162" t="s">
        <v>866</v>
      </c>
      <c r="D1162" t="s">
        <v>11</v>
      </c>
      <c r="E1162">
        <v>28</v>
      </c>
      <c r="F1162" s="2">
        <f>DATE(2026,IF(Tabla1[[#This Row],[Mes de Fecha]]="Septiembre",9,10),Tabla1[[#This Row],[Día de Fecha]])</f>
        <v>46293</v>
      </c>
      <c r="G1162">
        <v>1007740486</v>
      </c>
      <c r="H1162" t="s">
        <v>714</v>
      </c>
      <c r="I1162">
        <v>11</v>
      </c>
      <c r="J1162">
        <v>0</v>
      </c>
      <c r="K1162" s="1">
        <v>570968</v>
      </c>
    </row>
    <row r="1163" spans="1:11" x14ac:dyDescent="0.25">
      <c r="A1163" t="s">
        <v>326</v>
      </c>
      <c r="B1163" t="s">
        <v>737</v>
      </c>
      <c r="C1163" t="s">
        <v>866</v>
      </c>
      <c r="D1163" t="s">
        <v>11</v>
      </c>
      <c r="E1163">
        <v>28</v>
      </c>
      <c r="F1163" s="2">
        <f>DATE(2026,IF(Tabla1[[#This Row],[Mes de Fecha]]="Septiembre",9,10),Tabla1[[#This Row],[Día de Fecha]])</f>
        <v>46293</v>
      </c>
      <c r="G1163">
        <v>1047425678</v>
      </c>
      <c r="H1163" t="s">
        <v>468</v>
      </c>
      <c r="I1163">
        <v>-1</v>
      </c>
      <c r="J1163">
        <v>0</v>
      </c>
      <c r="K1163" s="1">
        <v>-67185</v>
      </c>
    </row>
    <row r="1164" spans="1:11" x14ac:dyDescent="0.25">
      <c r="A1164" t="s">
        <v>326</v>
      </c>
      <c r="B1164" t="s">
        <v>737</v>
      </c>
      <c r="C1164" t="s">
        <v>866</v>
      </c>
      <c r="D1164" t="s">
        <v>11</v>
      </c>
      <c r="E1164">
        <v>28</v>
      </c>
      <c r="F1164" s="2">
        <f>DATE(2026,IF(Tabla1[[#This Row],[Mes de Fecha]]="Septiembre",9,10),Tabla1[[#This Row],[Día de Fecha]])</f>
        <v>46293</v>
      </c>
      <c r="G1164">
        <v>1047480286</v>
      </c>
      <c r="H1164" t="s">
        <v>480</v>
      </c>
      <c r="I1164">
        <v>71</v>
      </c>
      <c r="J1164">
        <v>0</v>
      </c>
      <c r="K1164" s="1">
        <v>4060048</v>
      </c>
    </row>
    <row r="1165" spans="1:11" x14ac:dyDescent="0.25">
      <c r="A1165" t="s">
        <v>326</v>
      </c>
      <c r="B1165" t="s">
        <v>737</v>
      </c>
      <c r="C1165" t="s">
        <v>866</v>
      </c>
      <c r="D1165" t="s">
        <v>11</v>
      </c>
      <c r="E1165">
        <v>28</v>
      </c>
      <c r="F1165" s="2">
        <f>DATE(2026,IF(Tabla1[[#This Row],[Mes de Fecha]]="Septiembre",9,10),Tabla1[[#This Row],[Día de Fecha]])</f>
        <v>46293</v>
      </c>
      <c r="G1165">
        <v>1067882225</v>
      </c>
      <c r="H1165" t="s">
        <v>476</v>
      </c>
      <c r="I1165">
        <v>64</v>
      </c>
      <c r="J1165">
        <v>0</v>
      </c>
      <c r="K1165" s="1">
        <v>3505595</v>
      </c>
    </row>
    <row r="1166" spans="1:11" x14ac:dyDescent="0.25">
      <c r="A1166" t="s">
        <v>326</v>
      </c>
      <c r="B1166" t="s">
        <v>737</v>
      </c>
      <c r="C1166" t="s">
        <v>866</v>
      </c>
      <c r="D1166" t="s">
        <v>11</v>
      </c>
      <c r="E1166">
        <v>28</v>
      </c>
      <c r="F1166" s="2">
        <f>DATE(2026,IF(Tabla1[[#This Row],[Mes de Fecha]]="Septiembre",9,10),Tabla1[[#This Row],[Día de Fecha]])</f>
        <v>46293</v>
      </c>
      <c r="G1166">
        <v>1104254048</v>
      </c>
      <c r="H1166" t="s">
        <v>479</v>
      </c>
      <c r="I1166">
        <v>15</v>
      </c>
      <c r="J1166">
        <v>0</v>
      </c>
      <c r="K1166" s="1">
        <v>755673</v>
      </c>
    </row>
    <row r="1167" spans="1:11" x14ac:dyDescent="0.25">
      <c r="A1167" t="s">
        <v>326</v>
      </c>
      <c r="B1167" t="s">
        <v>737</v>
      </c>
      <c r="C1167" t="s">
        <v>866</v>
      </c>
      <c r="D1167" t="s">
        <v>11</v>
      </c>
      <c r="E1167">
        <v>29</v>
      </c>
      <c r="F1167" s="2">
        <f>DATE(2026,IF(Tabla1[[#This Row],[Mes de Fecha]]="Septiembre",9,10),Tabla1[[#This Row],[Día de Fecha]])</f>
        <v>46294</v>
      </c>
      <c r="I1167">
        <v>0</v>
      </c>
      <c r="J1167" s="1">
        <v>17552688</v>
      </c>
      <c r="K1167">
        <v>0</v>
      </c>
    </row>
    <row r="1168" spans="1:11" x14ac:dyDescent="0.25">
      <c r="A1168" t="s">
        <v>326</v>
      </c>
      <c r="B1168" t="s">
        <v>737</v>
      </c>
      <c r="C1168" t="s">
        <v>866</v>
      </c>
      <c r="D1168" t="s">
        <v>11</v>
      </c>
      <c r="E1168">
        <v>29</v>
      </c>
      <c r="F1168" s="2">
        <f>DATE(2026,IF(Tabla1[[#This Row],[Mes de Fecha]]="Septiembre",9,10),Tabla1[[#This Row],[Día de Fecha]])</f>
        <v>46294</v>
      </c>
      <c r="G1168">
        <v>1007740486</v>
      </c>
      <c r="H1168" t="s">
        <v>714</v>
      </c>
      <c r="I1168">
        <v>17</v>
      </c>
      <c r="J1168">
        <v>0</v>
      </c>
      <c r="K1168" s="1">
        <v>948866</v>
      </c>
    </row>
    <row r="1169" spans="1:11" x14ac:dyDescent="0.25">
      <c r="A1169" t="s">
        <v>326</v>
      </c>
      <c r="B1169" t="s">
        <v>737</v>
      </c>
      <c r="C1169" t="s">
        <v>866</v>
      </c>
      <c r="D1169" t="s">
        <v>11</v>
      </c>
      <c r="E1169">
        <v>29</v>
      </c>
      <c r="F1169" s="2">
        <f>DATE(2026,IF(Tabla1[[#This Row],[Mes de Fecha]]="Septiembre",9,10),Tabla1[[#This Row],[Día de Fecha]])</f>
        <v>46294</v>
      </c>
      <c r="G1169">
        <v>1047480286</v>
      </c>
      <c r="H1169" t="s">
        <v>480</v>
      </c>
      <c r="I1169">
        <v>68</v>
      </c>
      <c r="J1169">
        <v>0</v>
      </c>
      <c r="K1169" s="1">
        <v>3658955</v>
      </c>
    </row>
    <row r="1170" spans="1:11" x14ac:dyDescent="0.25">
      <c r="A1170" t="s">
        <v>326</v>
      </c>
      <c r="B1170" t="s">
        <v>737</v>
      </c>
      <c r="C1170" t="s">
        <v>866</v>
      </c>
      <c r="D1170" t="s">
        <v>11</v>
      </c>
      <c r="E1170">
        <v>29</v>
      </c>
      <c r="F1170" s="2">
        <f>DATE(2026,IF(Tabla1[[#This Row],[Mes de Fecha]]="Septiembre",9,10),Tabla1[[#This Row],[Día de Fecha]])</f>
        <v>46294</v>
      </c>
      <c r="G1170">
        <v>1067882225</v>
      </c>
      <c r="H1170" t="s">
        <v>476</v>
      </c>
      <c r="I1170">
        <v>72</v>
      </c>
      <c r="J1170">
        <v>0</v>
      </c>
      <c r="K1170" s="1">
        <v>3929713</v>
      </c>
    </row>
    <row r="1171" spans="1:11" x14ac:dyDescent="0.25">
      <c r="A1171" t="s">
        <v>326</v>
      </c>
      <c r="B1171" t="s">
        <v>737</v>
      </c>
      <c r="C1171" t="s">
        <v>866</v>
      </c>
      <c r="D1171" t="s">
        <v>11</v>
      </c>
      <c r="E1171">
        <v>29</v>
      </c>
      <c r="F1171" s="2">
        <f>DATE(2026,IF(Tabla1[[#This Row],[Mes de Fecha]]="Septiembre",9,10),Tabla1[[#This Row],[Día de Fecha]])</f>
        <v>46294</v>
      </c>
      <c r="G1171">
        <v>1104254048</v>
      </c>
      <c r="H1171" t="s">
        <v>479</v>
      </c>
      <c r="I1171">
        <v>28</v>
      </c>
      <c r="J1171">
        <v>0</v>
      </c>
      <c r="K1171" s="1">
        <v>1246725</v>
      </c>
    </row>
    <row r="1172" spans="1:11" x14ac:dyDescent="0.25">
      <c r="A1172" t="s">
        <v>326</v>
      </c>
      <c r="B1172" t="s">
        <v>737</v>
      </c>
      <c r="C1172" t="s">
        <v>866</v>
      </c>
      <c r="D1172" t="s">
        <v>11</v>
      </c>
      <c r="E1172">
        <v>30</v>
      </c>
      <c r="F1172" s="2">
        <f>DATE(2026,IF(Tabla1[[#This Row],[Mes de Fecha]]="Septiembre",9,10),Tabla1[[#This Row],[Día de Fecha]])</f>
        <v>46295</v>
      </c>
      <c r="I1172">
        <v>0</v>
      </c>
      <c r="J1172" s="1">
        <v>18132242</v>
      </c>
      <c r="K1172">
        <v>0</v>
      </c>
    </row>
    <row r="1173" spans="1:11" x14ac:dyDescent="0.25">
      <c r="A1173" t="s">
        <v>326</v>
      </c>
      <c r="B1173" t="s">
        <v>737</v>
      </c>
      <c r="C1173" t="s">
        <v>866</v>
      </c>
      <c r="D1173" t="s">
        <v>11</v>
      </c>
      <c r="E1173">
        <v>30</v>
      </c>
      <c r="F1173" s="2">
        <f>DATE(2026,IF(Tabla1[[#This Row],[Mes de Fecha]]="Septiembre",9,10),Tabla1[[#This Row],[Día de Fecha]])</f>
        <v>46295</v>
      </c>
      <c r="G1173">
        <v>1007740486</v>
      </c>
      <c r="H1173" t="s">
        <v>714</v>
      </c>
      <c r="I1173">
        <v>28</v>
      </c>
      <c r="J1173">
        <v>0</v>
      </c>
      <c r="K1173" s="1">
        <v>1339163</v>
      </c>
    </row>
    <row r="1174" spans="1:11" x14ac:dyDescent="0.25">
      <c r="A1174" t="s">
        <v>326</v>
      </c>
      <c r="B1174" t="s">
        <v>737</v>
      </c>
      <c r="C1174" t="s">
        <v>866</v>
      </c>
      <c r="D1174" t="s">
        <v>11</v>
      </c>
      <c r="E1174">
        <v>30</v>
      </c>
      <c r="F1174" s="2">
        <f>DATE(2026,IF(Tabla1[[#This Row],[Mes de Fecha]]="Septiembre",9,10),Tabla1[[#This Row],[Día de Fecha]])</f>
        <v>46295</v>
      </c>
      <c r="G1174">
        <v>1047480286</v>
      </c>
      <c r="H1174" t="s">
        <v>480</v>
      </c>
      <c r="I1174">
        <v>109</v>
      </c>
      <c r="J1174">
        <v>0</v>
      </c>
      <c r="K1174" s="1">
        <v>5749626</v>
      </c>
    </row>
    <row r="1175" spans="1:11" x14ac:dyDescent="0.25">
      <c r="A1175" t="s">
        <v>326</v>
      </c>
      <c r="B1175" t="s">
        <v>737</v>
      </c>
      <c r="C1175" t="s">
        <v>866</v>
      </c>
      <c r="D1175" t="s">
        <v>11</v>
      </c>
      <c r="E1175">
        <v>30</v>
      </c>
      <c r="F1175" s="2">
        <f>DATE(2026,IF(Tabla1[[#This Row],[Mes de Fecha]]="Septiembre",9,10),Tabla1[[#This Row],[Día de Fecha]])</f>
        <v>46295</v>
      </c>
      <c r="G1175">
        <v>1067882225</v>
      </c>
      <c r="H1175" t="s">
        <v>476</v>
      </c>
      <c r="I1175">
        <v>98</v>
      </c>
      <c r="J1175">
        <v>0</v>
      </c>
      <c r="K1175" s="1">
        <v>5388746</v>
      </c>
    </row>
    <row r="1176" spans="1:11" x14ac:dyDescent="0.25">
      <c r="A1176" t="s">
        <v>326</v>
      </c>
      <c r="B1176" t="s">
        <v>737</v>
      </c>
      <c r="C1176" t="s">
        <v>866</v>
      </c>
      <c r="D1176" t="s">
        <v>11</v>
      </c>
      <c r="E1176">
        <v>30</v>
      </c>
      <c r="F1176" s="2">
        <f>DATE(2026,IF(Tabla1[[#This Row],[Mes de Fecha]]="Septiembre",9,10),Tabla1[[#This Row],[Día de Fecha]])</f>
        <v>46295</v>
      </c>
      <c r="G1176">
        <v>1104254048</v>
      </c>
      <c r="H1176" t="s">
        <v>479</v>
      </c>
      <c r="I1176">
        <v>31</v>
      </c>
      <c r="J1176">
        <v>0</v>
      </c>
      <c r="K1176" s="1">
        <v>1612144</v>
      </c>
    </row>
    <row r="1177" spans="1:11" x14ac:dyDescent="0.25">
      <c r="A1177" t="s">
        <v>326</v>
      </c>
      <c r="B1177" t="s">
        <v>737</v>
      </c>
      <c r="C1177" t="s">
        <v>866</v>
      </c>
      <c r="D1177" t="s">
        <v>14</v>
      </c>
      <c r="E1177">
        <v>1</v>
      </c>
      <c r="F1177" s="2">
        <f>DATE(2026,IF(Tabla1[[#This Row],[Mes de Fecha]]="Septiembre",9,10),Tabla1[[#This Row],[Día de Fecha]])</f>
        <v>46296</v>
      </c>
      <c r="I1177">
        <v>0</v>
      </c>
      <c r="J1177" s="1">
        <v>22912240</v>
      </c>
      <c r="K1177">
        <v>0</v>
      </c>
    </row>
    <row r="1178" spans="1:11" x14ac:dyDescent="0.25">
      <c r="A1178" t="s">
        <v>326</v>
      </c>
      <c r="B1178" t="s">
        <v>737</v>
      </c>
      <c r="C1178" t="s">
        <v>866</v>
      </c>
      <c r="D1178" t="s">
        <v>14</v>
      </c>
      <c r="E1178">
        <v>1</v>
      </c>
      <c r="F1178" s="2">
        <f>DATE(2026,IF(Tabla1[[#This Row],[Mes de Fecha]]="Septiembre",9,10),Tabla1[[#This Row],[Día de Fecha]])</f>
        <v>46296</v>
      </c>
      <c r="G1178">
        <v>1007740486</v>
      </c>
      <c r="H1178" t="s">
        <v>714</v>
      </c>
      <c r="I1178">
        <v>63</v>
      </c>
      <c r="J1178">
        <v>0</v>
      </c>
      <c r="K1178" s="1">
        <v>3383910</v>
      </c>
    </row>
    <row r="1179" spans="1:11" x14ac:dyDescent="0.25">
      <c r="A1179" t="s">
        <v>326</v>
      </c>
      <c r="B1179" t="s">
        <v>737</v>
      </c>
      <c r="C1179" t="s">
        <v>866</v>
      </c>
      <c r="D1179" t="s">
        <v>14</v>
      </c>
      <c r="E1179">
        <v>1</v>
      </c>
      <c r="F1179" s="2">
        <f>DATE(2026,IF(Tabla1[[#This Row],[Mes de Fecha]]="Septiembre",9,10),Tabla1[[#This Row],[Día de Fecha]])</f>
        <v>46296</v>
      </c>
      <c r="G1179">
        <v>1047480286</v>
      </c>
      <c r="H1179" t="s">
        <v>480</v>
      </c>
      <c r="I1179">
        <v>164</v>
      </c>
      <c r="J1179">
        <v>0</v>
      </c>
      <c r="K1179" s="1">
        <v>8658918</v>
      </c>
    </row>
    <row r="1180" spans="1:11" x14ac:dyDescent="0.25">
      <c r="A1180" t="s">
        <v>326</v>
      </c>
      <c r="B1180" t="s">
        <v>737</v>
      </c>
      <c r="C1180" t="s">
        <v>866</v>
      </c>
      <c r="D1180" t="s">
        <v>14</v>
      </c>
      <c r="E1180">
        <v>1</v>
      </c>
      <c r="F1180" s="2">
        <f>DATE(2026,IF(Tabla1[[#This Row],[Mes de Fecha]]="Septiembre",9,10),Tabla1[[#This Row],[Día de Fecha]])</f>
        <v>46296</v>
      </c>
      <c r="G1180">
        <v>1067882225</v>
      </c>
      <c r="H1180" t="s">
        <v>476</v>
      </c>
      <c r="I1180">
        <v>150</v>
      </c>
      <c r="J1180">
        <v>0</v>
      </c>
      <c r="K1180" s="1">
        <v>9130256</v>
      </c>
    </row>
    <row r="1181" spans="1:11" x14ac:dyDescent="0.25">
      <c r="A1181" t="s">
        <v>326</v>
      </c>
      <c r="B1181" t="s">
        <v>737</v>
      </c>
      <c r="C1181" t="s">
        <v>866</v>
      </c>
      <c r="D1181" t="s">
        <v>14</v>
      </c>
      <c r="E1181">
        <v>1</v>
      </c>
      <c r="F1181" s="2">
        <f>DATE(2026,IF(Tabla1[[#This Row],[Mes de Fecha]]="Septiembre",9,10),Tabla1[[#This Row],[Día de Fecha]])</f>
        <v>46296</v>
      </c>
      <c r="G1181">
        <v>1104254048</v>
      </c>
      <c r="H1181" t="s">
        <v>479</v>
      </c>
      <c r="I1181">
        <v>65</v>
      </c>
      <c r="J1181">
        <v>0</v>
      </c>
      <c r="K1181" s="1">
        <v>3587607</v>
      </c>
    </row>
    <row r="1182" spans="1:11" x14ac:dyDescent="0.25">
      <c r="A1182" t="s">
        <v>326</v>
      </c>
      <c r="B1182" t="s">
        <v>737</v>
      </c>
      <c r="C1182" t="s">
        <v>866</v>
      </c>
      <c r="D1182" t="s">
        <v>14</v>
      </c>
      <c r="E1182">
        <v>2</v>
      </c>
      <c r="F1182" s="2">
        <f>DATE(2026,IF(Tabla1[[#This Row],[Mes de Fecha]]="Septiembre",9,10),Tabla1[[#This Row],[Día de Fecha]])</f>
        <v>46297</v>
      </c>
      <c r="I1182">
        <v>0</v>
      </c>
      <c r="J1182" s="1">
        <v>16349277</v>
      </c>
      <c r="K1182">
        <v>0</v>
      </c>
    </row>
    <row r="1183" spans="1:11" x14ac:dyDescent="0.25">
      <c r="A1183" t="s">
        <v>326</v>
      </c>
      <c r="B1183" t="s">
        <v>737</v>
      </c>
      <c r="C1183" t="s">
        <v>866</v>
      </c>
      <c r="D1183" t="s">
        <v>14</v>
      </c>
      <c r="E1183">
        <v>2</v>
      </c>
      <c r="F1183" s="2">
        <f>DATE(2026,IF(Tabla1[[#This Row],[Mes de Fecha]]="Septiembre",9,10),Tabla1[[#This Row],[Día de Fecha]])</f>
        <v>46297</v>
      </c>
      <c r="G1183">
        <v>1007740486</v>
      </c>
      <c r="H1183" t="s">
        <v>714</v>
      </c>
      <c r="I1183">
        <v>44</v>
      </c>
      <c r="J1183">
        <v>0</v>
      </c>
      <c r="K1183" s="1">
        <v>2752357</v>
      </c>
    </row>
    <row r="1184" spans="1:11" x14ac:dyDescent="0.25">
      <c r="A1184" t="s">
        <v>326</v>
      </c>
      <c r="B1184" t="s">
        <v>737</v>
      </c>
      <c r="C1184" t="s">
        <v>866</v>
      </c>
      <c r="D1184" t="s">
        <v>14</v>
      </c>
      <c r="E1184">
        <v>2</v>
      </c>
      <c r="F1184" s="2">
        <f>DATE(2026,IF(Tabla1[[#This Row],[Mes de Fecha]]="Septiembre",9,10),Tabla1[[#This Row],[Día de Fecha]])</f>
        <v>46297</v>
      </c>
      <c r="G1184">
        <v>1047480286</v>
      </c>
      <c r="H1184" t="s">
        <v>480</v>
      </c>
      <c r="I1184">
        <v>175</v>
      </c>
      <c r="J1184">
        <v>0</v>
      </c>
      <c r="K1184" s="1">
        <v>8664799</v>
      </c>
    </row>
    <row r="1185" spans="1:11" x14ac:dyDescent="0.25">
      <c r="A1185" t="s">
        <v>326</v>
      </c>
      <c r="B1185" t="s">
        <v>737</v>
      </c>
      <c r="C1185" t="s">
        <v>866</v>
      </c>
      <c r="D1185" t="s">
        <v>14</v>
      </c>
      <c r="E1185">
        <v>2</v>
      </c>
      <c r="F1185" s="2">
        <f>DATE(2026,IF(Tabla1[[#This Row],[Mes de Fecha]]="Septiembre",9,10),Tabla1[[#This Row],[Día de Fecha]])</f>
        <v>46297</v>
      </c>
      <c r="G1185">
        <v>1067882225</v>
      </c>
      <c r="H1185" t="s">
        <v>476</v>
      </c>
      <c r="I1185">
        <v>152</v>
      </c>
      <c r="J1185">
        <v>0</v>
      </c>
      <c r="K1185" s="1">
        <v>8955763</v>
      </c>
    </row>
    <row r="1186" spans="1:11" x14ac:dyDescent="0.25">
      <c r="A1186" t="s">
        <v>326</v>
      </c>
      <c r="B1186" t="s">
        <v>737</v>
      </c>
      <c r="C1186" t="s">
        <v>866</v>
      </c>
      <c r="D1186" t="s">
        <v>14</v>
      </c>
      <c r="E1186">
        <v>2</v>
      </c>
      <c r="F1186" s="2">
        <f>DATE(2026,IF(Tabla1[[#This Row],[Mes de Fecha]]="Septiembre",9,10),Tabla1[[#This Row],[Día de Fecha]])</f>
        <v>46297</v>
      </c>
      <c r="G1186">
        <v>1104254048</v>
      </c>
      <c r="H1186" t="s">
        <v>479</v>
      </c>
      <c r="I1186">
        <v>49</v>
      </c>
      <c r="J1186">
        <v>0</v>
      </c>
      <c r="K1186" s="1">
        <v>2567187</v>
      </c>
    </row>
    <row r="1187" spans="1:11" x14ac:dyDescent="0.25">
      <c r="A1187" t="s">
        <v>326</v>
      </c>
      <c r="B1187" t="s">
        <v>737</v>
      </c>
      <c r="C1187" t="s">
        <v>866</v>
      </c>
      <c r="D1187" t="s">
        <v>14</v>
      </c>
      <c r="E1187">
        <v>3</v>
      </c>
      <c r="F1187" s="2">
        <f>DATE(2026,IF(Tabla1[[#This Row],[Mes de Fecha]]="Septiembre",9,10),Tabla1[[#This Row],[Día de Fecha]])</f>
        <v>46298</v>
      </c>
      <c r="I1187">
        <v>0</v>
      </c>
      <c r="J1187" s="1">
        <v>30292805</v>
      </c>
      <c r="K1187">
        <v>0</v>
      </c>
    </row>
    <row r="1188" spans="1:11" x14ac:dyDescent="0.25">
      <c r="A1188" t="s">
        <v>326</v>
      </c>
      <c r="B1188" t="s">
        <v>737</v>
      </c>
      <c r="C1188" t="s">
        <v>866</v>
      </c>
      <c r="D1188" t="s">
        <v>14</v>
      </c>
      <c r="E1188">
        <v>3</v>
      </c>
      <c r="F1188" s="2">
        <f>DATE(2026,IF(Tabla1[[#This Row],[Mes de Fecha]]="Septiembre",9,10),Tabla1[[#This Row],[Día de Fecha]])</f>
        <v>46298</v>
      </c>
      <c r="G1188">
        <v>1007740486</v>
      </c>
      <c r="H1188" t="s">
        <v>714</v>
      </c>
      <c r="I1188">
        <v>62</v>
      </c>
      <c r="J1188">
        <v>0</v>
      </c>
      <c r="K1188" s="1">
        <v>3191658</v>
      </c>
    </row>
    <row r="1189" spans="1:11" x14ac:dyDescent="0.25">
      <c r="A1189" t="s">
        <v>326</v>
      </c>
      <c r="B1189" t="s">
        <v>737</v>
      </c>
      <c r="C1189" t="s">
        <v>866</v>
      </c>
      <c r="D1189" t="s">
        <v>14</v>
      </c>
      <c r="E1189">
        <v>3</v>
      </c>
      <c r="F1189" s="2">
        <f>DATE(2026,IF(Tabla1[[#This Row],[Mes de Fecha]]="Septiembre",9,10),Tabla1[[#This Row],[Día de Fecha]])</f>
        <v>46298</v>
      </c>
      <c r="G1189">
        <v>1047425678</v>
      </c>
      <c r="H1189" t="s">
        <v>468</v>
      </c>
      <c r="I1189">
        <v>-1</v>
      </c>
      <c r="J1189">
        <v>0</v>
      </c>
      <c r="K1189" s="1">
        <v>-138614</v>
      </c>
    </row>
    <row r="1190" spans="1:11" x14ac:dyDescent="0.25">
      <c r="A1190" t="s">
        <v>326</v>
      </c>
      <c r="B1190" t="s">
        <v>737</v>
      </c>
      <c r="C1190" t="s">
        <v>866</v>
      </c>
      <c r="D1190" t="s">
        <v>14</v>
      </c>
      <c r="E1190">
        <v>3</v>
      </c>
      <c r="F1190" s="2">
        <f>DATE(2026,IF(Tabla1[[#This Row],[Mes de Fecha]]="Septiembre",9,10),Tabla1[[#This Row],[Día de Fecha]])</f>
        <v>46298</v>
      </c>
      <c r="G1190">
        <v>1047480286</v>
      </c>
      <c r="H1190" t="s">
        <v>480</v>
      </c>
      <c r="I1190">
        <v>193</v>
      </c>
      <c r="J1190">
        <v>0</v>
      </c>
      <c r="K1190" s="1">
        <v>10788028</v>
      </c>
    </row>
    <row r="1191" spans="1:11" x14ac:dyDescent="0.25">
      <c r="A1191" t="s">
        <v>326</v>
      </c>
      <c r="B1191" t="s">
        <v>737</v>
      </c>
      <c r="C1191" t="s">
        <v>866</v>
      </c>
      <c r="D1191" t="s">
        <v>14</v>
      </c>
      <c r="E1191">
        <v>3</v>
      </c>
      <c r="F1191" s="2">
        <f>DATE(2026,IF(Tabla1[[#This Row],[Mes de Fecha]]="Septiembre",9,10),Tabla1[[#This Row],[Día de Fecha]])</f>
        <v>46298</v>
      </c>
      <c r="G1191">
        <v>1067882225</v>
      </c>
      <c r="H1191" t="s">
        <v>476</v>
      </c>
      <c r="I1191">
        <v>241</v>
      </c>
      <c r="J1191">
        <v>0</v>
      </c>
      <c r="K1191" s="1">
        <v>12698934</v>
      </c>
    </row>
    <row r="1192" spans="1:11" x14ac:dyDescent="0.25">
      <c r="A1192" t="s">
        <v>326</v>
      </c>
      <c r="B1192" t="s">
        <v>737</v>
      </c>
      <c r="C1192" t="s">
        <v>866</v>
      </c>
      <c r="D1192" t="s">
        <v>14</v>
      </c>
      <c r="E1192">
        <v>3</v>
      </c>
      <c r="F1192" s="2">
        <f>DATE(2026,IF(Tabla1[[#This Row],[Mes de Fecha]]="Septiembre",9,10),Tabla1[[#This Row],[Día de Fecha]])</f>
        <v>46298</v>
      </c>
      <c r="G1192">
        <v>1104254048</v>
      </c>
      <c r="H1192" t="s">
        <v>479</v>
      </c>
      <c r="I1192">
        <v>76</v>
      </c>
      <c r="J1192">
        <v>0</v>
      </c>
      <c r="K1192" s="1">
        <v>3867583</v>
      </c>
    </row>
    <row r="1193" spans="1:11" x14ac:dyDescent="0.25">
      <c r="A1193" t="s">
        <v>326</v>
      </c>
      <c r="B1193" t="s">
        <v>737</v>
      </c>
      <c r="C1193" t="s">
        <v>866</v>
      </c>
      <c r="D1193" t="s">
        <v>14</v>
      </c>
      <c r="E1193">
        <v>4</v>
      </c>
      <c r="F1193" s="2">
        <f>DATE(2026,IF(Tabla1[[#This Row],[Mes de Fecha]]="Septiembre",9,10),Tabla1[[#This Row],[Día de Fecha]])</f>
        <v>46299</v>
      </c>
      <c r="I1193">
        <v>0</v>
      </c>
      <c r="J1193" s="1">
        <v>14009018</v>
      </c>
      <c r="K1193">
        <v>0</v>
      </c>
    </row>
    <row r="1194" spans="1:11" x14ac:dyDescent="0.25">
      <c r="A1194" t="s">
        <v>326</v>
      </c>
      <c r="B1194" t="s">
        <v>737</v>
      </c>
      <c r="C1194" t="s">
        <v>866</v>
      </c>
      <c r="D1194" t="s">
        <v>14</v>
      </c>
      <c r="E1194">
        <v>4</v>
      </c>
      <c r="F1194" s="2">
        <f>DATE(2026,IF(Tabla1[[#This Row],[Mes de Fecha]]="Septiembre",9,10),Tabla1[[#This Row],[Día de Fecha]])</f>
        <v>46299</v>
      </c>
      <c r="G1194">
        <v>1007740486</v>
      </c>
      <c r="H1194" t="s">
        <v>714</v>
      </c>
      <c r="I1194">
        <v>57</v>
      </c>
      <c r="J1194">
        <v>0</v>
      </c>
      <c r="K1194" s="1">
        <v>3287356</v>
      </c>
    </row>
    <row r="1195" spans="1:11" x14ac:dyDescent="0.25">
      <c r="A1195" t="s">
        <v>326</v>
      </c>
      <c r="B1195" t="s">
        <v>737</v>
      </c>
      <c r="C1195" t="s">
        <v>866</v>
      </c>
      <c r="D1195" t="s">
        <v>14</v>
      </c>
      <c r="E1195">
        <v>4</v>
      </c>
      <c r="F1195" s="2">
        <f>DATE(2026,IF(Tabla1[[#This Row],[Mes de Fecha]]="Septiembre",9,10),Tabla1[[#This Row],[Día de Fecha]])</f>
        <v>46299</v>
      </c>
      <c r="G1195">
        <v>1047480286</v>
      </c>
      <c r="H1195" t="s">
        <v>480</v>
      </c>
      <c r="I1195">
        <v>157</v>
      </c>
      <c r="J1195">
        <v>0</v>
      </c>
      <c r="K1195" s="1">
        <v>9390386</v>
      </c>
    </row>
    <row r="1196" spans="1:11" x14ac:dyDescent="0.25">
      <c r="A1196" t="s">
        <v>326</v>
      </c>
      <c r="B1196" t="s">
        <v>737</v>
      </c>
      <c r="C1196" t="s">
        <v>866</v>
      </c>
      <c r="D1196" t="s">
        <v>14</v>
      </c>
      <c r="E1196">
        <v>4</v>
      </c>
      <c r="F1196" s="2">
        <f>DATE(2026,IF(Tabla1[[#This Row],[Mes de Fecha]]="Septiembre",9,10),Tabla1[[#This Row],[Día de Fecha]])</f>
        <v>46299</v>
      </c>
      <c r="G1196">
        <v>1067882225</v>
      </c>
      <c r="H1196" t="s">
        <v>476</v>
      </c>
      <c r="I1196">
        <v>107</v>
      </c>
      <c r="J1196">
        <v>0</v>
      </c>
      <c r="K1196" s="1">
        <v>6802019</v>
      </c>
    </row>
    <row r="1197" spans="1:11" x14ac:dyDescent="0.25">
      <c r="A1197" t="s">
        <v>326</v>
      </c>
      <c r="B1197" t="s">
        <v>737</v>
      </c>
      <c r="C1197" t="s">
        <v>866</v>
      </c>
      <c r="D1197" t="s">
        <v>14</v>
      </c>
      <c r="E1197">
        <v>4</v>
      </c>
      <c r="F1197" s="2">
        <f>DATE(2026,IF(Tabla1[[#This Row],[Mes de Fecha]]="Septiembre",9,10),Tabla1[[#This Row],[Día de Fecha]])</f>
        <v>46299</v>
      </c>
      <c r="G1197">
        <v>1104254048</v>
      </c>
      <c r="H1197" t="s">
        <v>479</v>
      </c>
      <c r="I1197">
        <v>40</v>
      </c>
      <c r="J1197">
        <v>0</v>
      </c>
      <c r="K1197" s="1">
        <v>2678950</v>
      </c>
    </row>
    <row r="1198" spans="1:11" x14ac:dyDescent="0.25">
      <c r="A1198" t="s">
        <v>326</v>
      </c>
      <c r="B1198" t="s">
        <v>737</v>
      </c>
      <c r="C1198" t="s">
        <v>866</v>
      </c>
      <c r="D1198" t="s">
        <v>14</v>
      </c>
      <c r="E1198">
        <v>5</v>
      </c>
      <c r="F1198" s="2">
        <f>DATE(2026,IF(Tabla1[[#This Row],[Mes de Fecha]]="Septiembre",9,10),Tabla1[[#This Row],[Día de Fecha]])</f>
        <v>46300</v>
      </c>
      <c r="I1198">
        <v>0</v>
      </c>
      <c r="J1198" s="1">
        <v>8637963</v>
      </c>
      <c r="K1198">
        <v>0</v>
      </c>
    </row>
    <row r="1199" spans="1:11" x14ac:dyDescent="0.25">
      <c r="A1199" t="s">
        <v>326</v>
      </c>
      <c r="B1199" t="s">
        <v>737</v>
      </c>
      <c r="C1199" t="s">
        <v>866</v>
      </c>
      <c r="D1199" t="s">
        <v>14</v>
      </c>
      <c r="E1199">
        <v>5</v>
      </c>
      <c r="F1199" s="2">
        <f>DATE(2026,IF(Tabla1[[#This Row],[Mes de Fecha]]="Septiembre",9,10),Tabla1[[#This Row],[Día de Fecha]])</f>
        <v>46300</v>
      </c>
      <c r="G1199">
        <v>1007740486</v>
      </c>
      <c r="H1199" t="s">
        <v>714</v>
      </c>
      <c r="I1199">
        <v>32</v>
      </c>
      <c r="J1199">
        <v>0</v>
      </c>
      <c r="K1199" s="1">
        <v>1780085</v>
      </c>
    </row>
    <row r="1200" spans="1:11" x14ac:dyDescent="0.25">
      <c r="A1200" t="s">
        <v>326</v>
      </c>
      <c r="B1200" t="s">
        <v>737</v>
      </c>
      <c r="C1200" t="s">
        <v>866</v>
      </c>
      <c r="D1200" t="s">
        <v>14</v>
      </c>
      <c r="E1200">
        <v>5</v>
      </c>
      <c r="F1200" s="2">
        <f>DATE(2026,IF(Tabla1[[#This Row],[Mes de Fecha]]="Septiembre",9,10),Tabla1[[#This Row],[Día de Fecha]])</f>
        <v>46300</v>
      </c>
      <c r="G1200">
        <v>1047480286</v>
      </c>
      <c r="H1200" t="s">
        <v>480</v>
      </c>
      <c r="I1200">
        <v>106</v>
      </c>
      <c r="J1200">
        <v>0</v>
      </c>
      <c r="K1200" s="1">
        <v>5911474</v>
      </c>
    </row>
    <row r="1201" spans="1:11" x14ac:dyDescent="0.25">
      <c r="A1201" t="s">
        <v>326</v>
      </c>
      <c r="B1201" t="s">
        <v>737</v>
      </c>
      <c r="C1201" t="s">
        <v>866</v>
      </c>
      <c r="D1201" t="s">
        <v>14</v>
      </c>
      <c r="E1201">
        <v>5</v>
      </c>
      <c r="F1201" s="2">
        <f>DATE(2026,IF(Tabla1[[#This Row],[Mes de Fecha]]="Septiembre",9,10),Tabla1[[#This Row],[Día de Fecha]])</f>
        <v>46300</v>
      </c>
      <c r="G1201">
        <v>1067882225</v>
      </c>
      <c r="H1201" t="s">
        <v>476</v>
      </c>
      <c r="I1201">
        <v>110</v>
      </c>
      <c r="J1201">
        <v>0</v>
      </c>
      <c r="K1201" s="1">
        <v>6814417</v>
      </c>
    </row>
    <row r="1202" spans="1:11" x14ac:dyDescent="0.25">
      <c r="A1202" t="s">
        <v>326</v>
      </c>
      <c r="B1202" t="s">
        <v>737</v>
      </c>
      <c r="C1202" t="s">
        <v>866</v>
      </c>
      <c r="D1202" t="s">
        <v>14</v>
      </c>
      <c r="E1202">
        <v>5</v>
      </c>
      <c r="F1202" s="2">
        <f>DATE(2026,IF(Tabla1[[#This Row],[Mes de Fecha]]="Septiembre",9,10),Tabla1[[#This Row],[Día de Fecha]])</f>
        <v>46300</v>
      </c>
      <c r="G1202">
        <v>1104254048</v>
      </c>
      <c r="H1202" t="s">
        <v>479</v>
      </c>
      <c r="I1202">
        <v>43</v>
      </c>
      <c r="J1202">
        <v>0</v>
      </c>
      <c r="K1202" s="1">
        <v>2372107</v>
      </c>
    </row>
    <row r="1203" spans="1:11" x14ac:dyDescent="0.25">
      <c r="A1203" t="s">
        <v>326</v>
      </c>
      <c r="B1203" t="s">
        <v>737</v>
      </c>
      <c r="C1203" t="s">
        <v>866</v>
      </c>
      <c r="D1203" t="s">
        <v>14</v>
      </c>
      <c r="E1203">
        <v>6</v>
      </c>
      <c r="F1203" s="2">
        <f>DATE(2026,IF(Tabla1[[#This Row],[Mes de Fecha]]="Septiembre",9,10),Tabla1[[#This Row],[Día de Fecha]])</f>
        <v>46301</v>
      </c>
      <c r="I1203">
        <v>0</v>
      </c>
      <c r="J1203" s="1">
        <v>6732960</v>
      </c>
      <c r="K1203">
        <v>0</v>
      </c>
    </row>
    <row r="1204" spans="1:11" x14ac:dyDescent="0.25">
      <c r="A1204" t="s">
        <v>326</v>
      </c>
      <c r="B1204" t="s">
        <v>737</v>
      </c>
      <c r="C1204" t="s">
        <v>866</v>
      </c>
      <c r="D1204" t="s">
        <v>14</v>
      </c>
      <c r="E1204">
        <v>6</v>
      </c>
      <c r="F1204" s="2">
        <f>DATE(2026,IF(Tabla1[[#This Row],[Mes de Fecha]]="Septiembre",9,10),Tabla1[[#This Row],[Día de Fecha]])</f>
        <v>46301</v>
      </c>
      <c r="G1204">
        <v>1007740486</v>
      </c>
      <c r="H1204" t="s">
        <v>714</v>
      </c>
      <c r="I1204">
        <v>22</v>
      </c>
      <c r="J1204">
        <v>0</v>
      </c>
      <c r="K1204" s="1">
        <v>1484374</v>
      </c>
    </row>
    <row r="1205" spans="1:11" x14ac:dyDescent="0.25">
      <c r="A1205" t="s">
        <v>326</v>
      </c>
      <c r="B1205" t="s">
        <v>737</v>
      </c>
      <c r="C1205" t="s">
        <v>866</v>
      </c>
      <c r="D1205" t="s">
        <v>14</v>
      </c>
      <c r="E1205">
        <v>6</v>
      </c>
      <c r="F1205" s="2">
        <f>DATE(2026,IF(Tabla1[[#This Row],[Mes de Fecha]]="Septiembre",9,10),Tabla1[[#This Row],[Día de Fecha]])</f>
        <v>46301</v>
      </c>
      <c r="G1205">
        <v>1047480286</v>
      </c>
      <c r="H1205" t="s">
        <v>480</v>
      </c>
      <c r="I1205">
        <v>58</v>
      </c>
      <c r="J1205">
        <v>0</v>
      </c>
      <c r="K1205" s="1">
        <v>3503785</v>
      </c>
    </row>
    <row r="1206" spans="1:11" x14ac:dyDescent="0.25">
      <c r="A1206" t="s">
        <v>326</v>
      </c>
      <c r="B1206" t="s">
        <v>737</v>
      </c>
      <c r="C1206" t="s">
        <v>866</v>
      </c>
      <c r="D1206" t="s">
        <v>14</v>
      </c>
      <c r="E1206">
        <v>6</v>
      </c>
      <c r="F1206" s="2">
        <f>DATE(2026,IF(Tabla1[[#This Row],[Mes de Fecha]]="Septiembre",9,10),Tabla1[[#This Row],[Día de Fecha]])</f>
        <v>46301</v>
      </c>
      <c r="G1206">
        <v>1067882225</v>
      </c>
      <c r="H1206" t="s">
        <v>476</v>
      </c>
      <c r="I1206">
        <v>51</v>
      </c>
      <c r="J1206">
        <v>0</v>
      </c>
      <c r="K1206" s="1">
        <v>2903197</v>
      </c>
    </row>
    <row r="1207" spans="1:11" x14ac:dyDescent="0.25">
      <c r="A1207" t="s">
        <v>326</v>
      </c>
      <c r="B1207" t="s">
        <v>737</v>
      </c>
      <c r="C1207" t="s">
        <v>866</v>
      </c>
      <c r="D1207" t="s">
        <v>14</v>
      </c>
      <c r="E1207">
        <v>6</v>
      </c>
      <c r="F1207" s="2">
        <f>DATE(2026,IF(Tabla1[[#This Row],[Mes de Fecha]]="Septiembre",9,10),Tabla1[[#This Row],[Día de Fecha]])</f>
        <v>46301</v>
      </c>
      <c r="G1207">
        <v>1104254048</v>
      </c>
      <c r="H1207" t="s">
        <v>479</v>
      </c>
      <c r="I1207">
        <v>26</v>
      </c>
      <c r="J1207">
        <v>0</v>
      </c>
      <c r="K1207" s="1">
        <v>1360211</v>
      </c>
    </row>
    <row r="1208" spans="1:11" x14ac:dyDescent="0.25">
      <c r="A1208" t="s">
        <v>326</v>
      </c>
      <c r="B1208" t="s">
        <v>737</v>
      </c>
      <c r="C1208" t="s">
        <v>866</v>
      </c>
      <c r="D1208" t="s">
        <v>14</v>
      </c>
      <c r="E1208">
        <v>7</v>
      </c>
      <c r="F1208" s="2">
        <f>DATE(2026,IF(Tabla1[[#This Row],[Mes de Fecha]]="Septiembre",9,10),Tabla1[[#This Row],[Día de Fecha]])</f>
        <v>46302</v>
      </c>
      <c r="I1208">
        <v>0</v>
      </c>
      <c r="J1208" s="1">
        <v>6644367</v>
      </c>
      <c r="K1208">
        <v>0</v>
      </c>
    </row>
    <row r="1209" spans="1:11" x14ac:dyDescent="0.25">
      <c r="A1209" t="s">
        <v>326</v>
      </c>
      <c r="B1209" t="s">
        <v>737</v>
      </c>
      <c r="C1209" t="s">
        <v>866</v>
      </c>
      <c r="D1209" t="s">
        <v>14</v>
      </c>
      <c r="E1209">
        <v>7</v>
      </c>
      <c r="F1209" s="2">
        <f>DATE(2026,IF(Tabla1[[#This Row],[Mes de Fecha]]="Septiembre",9,10),Tabla1[[#This Row],[Día de Fecha]])</f>
        <v>46302</v>
      </c>
      <c r="G1209">
        <v>1007740486</v>
      </c>
      <c r="H1209" t="s">
        <v>714</v>
      </c>
      <c r="I1209">
        <v>2</v>
      </c>
      <c r="J1209">
        <v>0</v>
      </c>
      <c r="K1209" s="1">
        <v>197395</v>
      </c>
    </row>
    <row r="1210" spans="1:11" x14ac:dyDescent="0.25">
      <c r="A1210" t="s">
        <v>326</v>
      </c>
      <c r="B1210" t="s">
        <v>737</v>
      </c>
      <c r="C1210" t="s">
        <v>866</v>
      </c>
      <c r="D1210" t="s">
        <v>14</v>
      </c>
      <c r="E1210">
        <v>7</v>
      </c>
      <c r="F1210" s="2">
        <f>DATE(2026,IF(Tabla1[[#This Row],[Mes de Fecha]]="Septiembre",9,10),Tabla1[[#This Row],[Día de Fecha]])</f>
        <v>46302</v>
      </c>
      <c r="G1210">
        <v>1047480286</v>
      </c>
      <c r="H1210" t="s">
        <v>480</v>
      </c>
      <c r="I1210">
        <v>84</v>
      </c>
      <c r="J1210">
        <v>0</v>
      </c>
      <c r="K1210" s="1">
        <v>4975258</v>
      </c>
    </row>
    <row r="1211" spans="1:11" x14ac:dyDescent="0.25">
      <c r="A1211" t="s">
        <v>326</v>
      </c>
      <c r="B1211" t="s">
        <v>737</v>
      </c>
      <c r="C1211" t="s">
        <v>866</v>
      </c>
      <c r="D1211" t="s">
        <v>14</v>
      </c>
      <c r="E1211">
        <v>7</v>
      </c>
      <c r="F1211" s="2">
        <f>DATE(2026,IF(Tabla1[[#This Row],[Mes de Fecha]]="Septiembre",9,10),Tabla1[[#This Row],[Día de Fecha]])</f>
        <v>46302</v>
      </c>
      <c r="G1211">
        <v>1067882225</v>
      </c>
      <c r="H1211" t="s">
        <v>476</v>
      </c>
      <c r="I1211">
        <v>94</v>
      </c>
      <c r="J1211">
        <v>0</v>
      </c>
      <c r="K1211" s="1">
        <v>5386764</v>
      </c>
    </row>
    <row r="1212" spans="1:11" x14ac:dyDescent="0.25">
      <c r="A1212" t="s">
        <v>326</v>
      </c>
      <c r="B1212" t="s">
        <v>737</v>
      </c>
      <c r="C1212" t="s">
        <v>866</v>
      </c>
      <c r="D1212" t="s">
        <v>14</v>
      </c>
      <c r="E1212">
        <v>7</v>
      </c>
      <c r="F1212" s="2">
        <f>DATE(2026,IF(Tabla1[[#This Row],[Mes de Fecha]]="Septiembre",9,10),Tabla1[[#This Row],[Día de Fecha]])</f>
        <v>46302</v>
      </c>
      <c r="G1212">
        <v>1104254048</v>
      </c>
      <c r="H1212" t="s">
        <v>479</v>
      </c>
      <c r="I1212">
        <v>0</v>
      </c>
      <c r="J1212">
        <v>0</v>
      </c>
      <c r="K1212">
        <v>0</v>
      </c>
    </row>
    <row r="1213" spans="1:11" x14ac:dyDescent="0.25">
      <c r="A1213" t="s">
        <v>326</v>
      </c>
      <c r="B1213" t="s">
        <v>770</v>
      </c>
      <c r="C1213" t="s">
        <v>866</v>
      </c>
      <c r="D1213" t="s">
        <v>11</v>
      </c>
      <c r="E1213">
        <v>23</v>
      </c>
      <c r="F1213" s="2">
        <f>DATE(2026,IF(Tabla1[[#This Row],[Mes de Fecha]]="Septiembre",9,10),Tabla1[[#This Row],[Día de Fecha]])</f>
        <v>46288</v>
      </c>
      <c r="I1213">
        <v>0</v>
      </c>
      <c r="J1213" s="1">
        <v>11609796</v>
      </c>
      <c r="K1213">
        <v>0</v>
      </c>
    </row>
    <row r="1214" spans="1:11" x14ac:dyDescent="0.25">
      <c r="A1214" t="s">
        <v>326</v>
      </c>
      <c r="B1214" t="s">
        <v>770</v>
      </c>
      <c r="C1214" t="s">
        <v>866</v>
      </c>
      <c r="D1214" t="s">
        <v>11</v>
      </c>
      <c r="E1214">
        <v>23</v>
      </c>
      <c r="F1214" s="2">
        <f>DATE(2026,IF(Tabla1[[#This Row],[Mes de Fecha]]="Septiembre",9,10),Tabla1[[#This Row],[Día de Fecha]])</f>
        <v>46288</v>
      </c>
      <c r="G1214">
        <v>23178785</v>
      </c>
      <c r="H1214" t="s">
        <v>771</v>
      </c>
      <c r="I1214">
        <v>109</v>
      </c>
      <c r="J1214">
        <v>0</v>
      </c>
      <c r="K1214" s="1">
        <v>5885851</v>
      </c>
    </row>
    <row r="1215" spans="1:11" x14ac:dyDescent="0.25">
      <c r="A1215" t="s">
        <v>326</v>
      </c>
      <c r="B1215" t="s">
        <v>770</v>
      </c>
      <c r="C1215" t="s">
        <v>866</v>
      </c>
      <c r="D1215" t="s">
        <v>11</v>
      </c>
      <c r="E1215">
        <v>23</v>
      </c>
      <c r="F1215" s="2">
        <f>DATE(2026,IF(Tabla1[[#This Row],[Mes de Fecha]]="Septiembre",9,10),Tabla1[[#This Row],[Día de Fecha]])</f>
        <v>46288</v>
      </c>
      <c r="G1215">
        <v>1148946437</v>
      </c>
      <c r="H1215" t="s">
        <v>569</v>
      </c>
      <c r="I1215">
        <v>139</v>
      </c>
      <c r="J1215">
        <v>0</v>
      </c>
      <c r="K1215" s="1">
        <v>7752444</v>
      </c>
    </row>
    <row r="1216" spans="1:11" x14ac:dyDescent="0.25">
      <c r="A1216" t="s">
        <v>326</v>
      </c>
      <c r="B1216" t="s">
        <v>770</v>
      </c>
      <c r="C1216" t="s">
        <v>866</v>
      </c>
      <c r="D1216" t="s">
        <v>11</v>
      </c>
      <c r="E1216">
        <v>24</v>
      </c>
      <c r="F1216" s="2">
        <f>DATE(2026,IF(Tabla1[[#This Row],[Mes de Fecha]]="Septiembre",9,10),Tabla1[[#This Row],[Día de Fecha]])</f>
        <v>46289</v>
      </c>
      <c r="I1216">
        <v>0</v>
      </c>
      <c r="J1216" s="1">
        <v>17735271</v>
      </c>
      <c r="K1216">
        <v>0</v>
      </c>
    </row>
    <row r="1217" spans="1:11" x14ac:dyDescent="0.25">
      <c r="A1217" t="s">
        <v>326</v>
      </c>
      <c r="B1217" t="s">
        <v>770</v>
      </c>
      <c r="C1217" t="s">
        <v>866</v>
      </c>
      <c r="D1217" t="s">
        <v>11</v>
      </c>
      <c r="E1217">
        <v>24</v>
      </c>
      <c r="F1217" s="2">
        <f>DATE(2026,IF(Tabla1[[#This Row],[Mes de Fecha]]="Septiembre",9,10),Tabla1[[#This Row],[Día de Fecha]])</f>
        <v>46289</v>
      </c>
      <c r="G1217">
        <v>23178785</v>
      </c>
      <c r="H1217" t="s">
        <v>771</v>
      </c>
      <c r="I1217">
        <v>97</v>
      </c>
      <c r="J1217">
        <v>0</v>
      </c>
      <c r="K1217" s="1">
        <v>4603033</v>
      </c>
    </row>
    <row r="1218" spans="1:11" x14ac:dyDescent="0.25">
      <c r="A1218" t="s">
        <v>326</v>
      </c>
      <c r="B1218" t="s">
        <v>770</v>
      </c>
      <c r="C1218" t="s">
        <v>866</v>
      </c>
      <c r="D1218" t="s">
        <v>11</v>
      </c>
      <c r="E1218">
        <v>24</v>
      </c>
      <c r="F1218" s="2">
        <f>DATE(2026,IF(Tabla1[[#This Row],[Mes de Fecha]]="Septiembre",9,10),Tabla1[[#This Row],[Día de Fecha]])</f>
        <v>46289</v>
      </c>
      <c r="G1218">
        <v>1102813946</v>
      </c>
      <c r="H1218" t="s">
        <v>772</v>
      </c>
      <c r="I1218">
        <v>31</v>
      </c>
      <c r="J1218">
        <v>0</v>
      </c>
      <c r="K1218" s="1">
        <v>1610002</v>
      </c>
    </row>
    <row r="1219" spans="1:11" x14ac:dyDescent="0.25">
      <c r="A1219" t="s">
        <v>326</v>
      </c>
      <c r="B1219" t="s">
        <v>770</v>
      </c>
      <c r="C1219" t="s">
        <v>866</v>
      </c>
      <c r="D1219" t="s">
        <v>11</v>
      </c>
      <c r="E1219">
        <v>24</v>
      </c>
      <c r="F1219" s="2">
        <f>DATE(2026,IF(Tabla1[[#This Row],[Mes de Fecha]]="Septiembre",9,10),Tabla1[[#This Row],[Día de Fecha]])</f>
        <v>46289</v>
      </c>
      <c r="G1219">
        <v>1148946437</v>
      </c>
      <c r="H1219" t="s">
        <v>569</v>
      </c>
      <c r="I1219">
        <v>127</v>
      </c>
      <c r="J1219">
        <v>0</v>
      </c>
      <c r="K1219" s="1">
        <v>6145850</v>
      </c>
    </row>
    <row r="1220" spans="1:11" x14ac:dyDescent="0.25">
      <c r="A1220" t="s">
        <v>326</v>
      </c>
      <c r="B1220" t="s">
        <v>770</v>
      </c>
      <c r="C1220" t="s">
        <v>866</v>
      </c>
      <c r="D1220" t="s">
        <v>11</v>
      </c>
      <c r="E1220">
        <v>25</v>
      </c>
      <c r="F1220" s="2">
        <f>DATE(2026,IF(Tabla1[[#This Row],[Mes de Fecha]]="Septiembre",9,10),Tabla1[[#This Row],[Día de Fecha]])</f>
        <v>46290</v>
      </c>
      <c r="I1220">
        <v>0</v>
      </c>
      <c r="J1220" s="1">
        <v>17696009</v>
      </c>
      <c r="K1220">
        <v>0</v>
      </c>
    </row>
    <row r="1221" spans="1:11" x14ac:dyDescent="0.25">
      <c r="A1221" t="s">
        <v>326</v>
      </c>
      <c r="B1221" t="s">
        <v>770</v>
      </c>
      <c r="C1221" t="s">
        <v>866</v>
      </c>
      <c r="D1221" t="s">
        <v>11</v>
      </c>
      <c r="E1221">
        <v>25</v>
      </c>
      <c r="F1221" s="2">
        <f>DATE(2026,IF(Tabla1[[#This Row],[Mes de Fecha]]="Septiembre",9,10),Tabla1[[#This Row],[Día de Fecha]])</f>
        <v>46290</v>
      </c>
      <c r="G1221">
        <v>23178785</v>
      </c>
      <c r="H1221" t="s">
        <v>771</v>
      </c>
      <c r="I1221">
        <v>105</v>
      </c>
      <c r="J1221">
        <v>0</v>
      </c>
      <c r="K1221" s="1">
        <v>5709758</v>
      </c>
    </row>
    <row r="1222" spans="1:11" x14ac:dyDescent="0.25">
      <c r="A1222" t="s">
        <v>326</v>
      </c>
      <c r="B1222" t="s">
        <v>770</v>
      </c>
      <c r="C1222" t="s">
        <v>866</v>
      </c>
      <c r="D1222" t="s">
        <v>11</v>
      </c>
      <c r="E1222">
        <v>25</v>
      </c>
      <c r="F1222" s="2">
        <f>DATE(2026,IF(Tabla1[[#This Row],[Mes de Fecha]]="Septiembre",9,10),Tabla1[[#This Row],[Día de Fecha]])</f>
        <v>46290</v>
      </c>
      <c r="G1222">
        <v>1102813946</v>
      </c>
      <c r="H1222" t="s">
        <v>772</v>
      </c>
      <c r="I1222">
        <v>51</v>
      </c>
      <c r="J1222">
        <v>0</v>
      </c>
      <c r="K1222" s="1">
        <v>2512445</v>
      </c>
    </row>
    <row r="1223" spans="1:11" x14ac:dyDescent="0.25">
      <c r="A1223" t="s">
        <v>326</v>
      </c>
      <c r="B1223" t="s">
        <v>770</v>
      </c>
      <c r="C1223" t="s">
        <v>866</v>
      </c>
      <c r="D1223" t="s">
        <v>11</v>
      </c>
      <c r="E1223">
        <v>25</v>
      </c>
      <c r="F1223" s="2">
        <f>DATE(2026,IF(Tabla1[[#This Row],[Mes de Fecha]]="Septiembre",9,10),Tabla1[[#This Row],[Día de Fecha]])</f>
        <v>46290</v>
      </c>
      <c r="G1223">
        <v>1148946437</v>
      </c>
      <c r="H1223" t="s">
        <v>569</v>
      </c>
      <c r="I1223">
        <v>90</v>
      </c>
      <c r="J1223">
        <v>0</v>
      </c>
      <c r="K1223" s="1">
        <v>5615887</v>
      </c>
    </row>
    <row r="1224" spans="1:11" x14ac:dyDescent="0.25">
      <c r="A1224" t="s">
        <v>326</v>
      </c>
      <c r="B1224" t="s">
        <v>770</v>
      </c>
      <c r="C1224" t="s">
        <v>866</v>
      </c>
      <c r="D1224" t="s">
        <v>11</v>
      </c>
      <c r="E1224">
        <v>26</v>
      </c>
      <c r="F1224" s="2">
        <f>DATE(2026,IF(Tabla1[[#This Row],[Mes de Fecha]]="Septiembre",9,10),Tabla1[[#This Row],[Día de Fecha]])</f>
        <v>46291</v>
      </c>
      <c r="I1224">
        <v>0</v>
      </c>
      <c r="J1224" s="1">
        <v>25431705</v>
      </c>
      <c r="K1224">
        <v>0</v>
      </c>
    </row>
    <row r="1225" spans="1:11" x14ac:dyDescent="0.25">
      <c r="A1225" t="s">
        <v>326</v>
      </c>
      <c r="B1225" t="s">
        <v>770</v>
      </c>
      <c r="C1225" t="s">
        <v>866</v>
      </c>
      <c r="D1225" t="s">
        <v>11</v>
      </c>
      <c r="E1225">
        <v>26</v>
      </c>
      <c r="F1225" s="2">
        <f>DATE(2026,IF(Tabla1[[#This Row],[Mes de Fecha]]="Septiembre",9,10),Tabla1[[#This Row],[Día de Fecha]])</f>
        <v>46291</v>
      </c>
      <c r="G1225">
        <v>23178785</v>
      </c>
      <c r="H1225" t="s">
        <v>771</v>
      </c>
      <c r="I1225">
        <v>123</v>
      </c>
      <c r="J1225">
        <v>0</v>
      </c>
      <c r="K1225" s="1">
        <v>6876858</v>
      </c>
    </row>
    <row r="1226" spans="1:11" x14ac:dyDescent="0.25">
      <c r="A1226" t="s">
        <v>326</v>
      </c>
      <c r="B1226" t="s">
        <v>770</v>
      </c>
      <c r="C1226" t="s">
        <v>866</v>
      </c>
      <c r="D1226" t="s">
        <v>11</v>
      </c>
      <c r="E1226">
        <v>26</v>
      </c>
      <c r="F1226" s="2">
        <f>DATE(2026,IF(Tabla1[[#This Row],[Mes de Fecha]]="Septiembre",9,10),Tabla1[[#This Row],[Día de Fecha]])</f>
        <v>46291</v>
      </c>
      <c r="G1226">
        <v>1102813946</v>
      </c>
      <c r="H1226" t="s">
        <v>772</v>
      </c>
      <c r="I1226">
        <v>57</v>
      </c>
      <c r="J1226">
        <v>0</v>
      </c>
      <c r="K1226" s="1">
        <v>3306391</v>
      </c>
    </row>
    <row r="1227" spans="1:11" x14ac:dyDescent="0.25">
      <c r="A1227" t="s">
        <v>326</v>
      </c>
      <c r="B1227" t="s">
        <v>770</v>
      </c>
      <c r="C1227" t="s">
        <v>866</v>
      </c>
      <c r="D1227" t="s">
        <v>11</v>
      </c>
      <c r="E1227">
        <v>26</v>
      </c>
      <c r="F1227" s="2">
        <f>DATE(2026,IF(Tabla1[[#This Row],[Mes de Fecha]]="Septiembre",9,10),Tabla1[[#This Row],[Día de Fecha]])</f>
        <v>46291</v>
      </c>
      <c r="G1227">
        <v>1148946437</v>
      </c>
      <c r="H1227" t="s">
        <v>569</v>
      </c>
      <c r="I1227">
        <v>145</v>
      </c>
      <c r="J1227">
        <v>0</v>
      </c>
      <c r="K1227" s="1">
        <v>8077782</v>
      </c>
    </row>
    <row r="1228" spans="1:11" x14ac:dyDescent="0.25">
      <c r="A1228" t="s">
        <v>326</v>
      </c>
      <c r="B1228" t="s">
        <v>770</v>
      </c>
      <c r="C1228" t="s">
        <v>866</v>
      </c>
      <c r="D1228" t="s">
        <v>11</v>
      </c>
      <c r="E1228">
        <v>27</v>
      </c>
      <c r="F1228" s="2">
        <f>DATE(2026,IF(Tabla1[[#This Row],[Mes de Fecha]]="Septiembre",9,10),Tabla1[[#This Row],[Día de Fecha]])</f>
        <v>46292</v>
      </c>
      <c r="I1228">
        <v>0</v>
      </c>
      <c r="J1228" s="1">
        <v>20147031</v>
      </c>
      <c r="K1228">
        <v>0</v>
      </c>
    </row>
    <row r="1229" spans="1:11" x14ac:dyDescent="0.25">
      <c r="A1229" t="s">
        <v>326</v>
      </c>
      <c r="B1229" t="s">
        <v>770</v>
      </c>
      <c r="C1229" t="s">
        <v>866</v>
      </c>
      <c r="D1229" t="s">
        <v>11</v>
      </c>
      <c r="E1229">
        <v>27</v>
      </c>
      <c r="F1229" s="2">
        <f>DATE(2026,IF(Tabla1[[#This Row],[Mes de Fecha]]="Septiembre",9,10),Tabla1[[#This Row],[Día de Fecha]])</f>
        <v>46292</v>
      </c>
      <c r="G1229">
        <v>23178785</v>
      </c>
      <c r="H1229" t="s">
        <v>771</v>
      </c>
      <c r="I1229">
        <v>74</v>
      </c>
      <c r="J1229">
        <v>0</v>
      </c>
      <c r="K1229" s="1">
        <v>4024168</v>
      </c>
    </row>
    <row r="1230" spans="1:11" x14ac:dyDescent="0.25">
      <c r="A1230" t="s">
        <v>326</v>
      </c>
      <c r="B1230" t="s">
        <v>770</v>
      </c>
      <c r="C1230" t="s">
        <v>866</v>
      </c>
      <c r="D1230" t="s">
        <v>11</v>
      </c>
      <c r="E1230">
        <v>27</v>
      </c>
      <c r="F1230" s="2">
        <f>DATE(2026,IF(Tabla1[[#This Row],[Mes de Fecha]]="Septiembre",9,10),Tabla1[[#This Row],[Día de Fecha]])</f>
        <v>46292</v>
      </c>
      <c r="G1230">
        <v>1102813946</v>
      </c>
      <c r="H1230" t="s">
        <v>772</v>
      </c>
      <c r="I1230">
        <v>28</v>
      </c>
      <c r="J1230">
        <v>0</v>
      </c>
      <c r="K1230" s="1">
        <v>1860127</v>
      </c>
    </row>
    <row r="1231" spans="1:11" x14ac:dyDescent="0.25">
      <c r="A1231" t="s">
        <v>326</v>
      </c>
      <c r="B1231" t="s">
        <v>770</v>
      </c>
      <c r="C1231" t="s">
        <v>866</v>
      </c>
      <c r="D1231" t="s">
        <v>11</v>
      </c>
      <c r="E1231">
        <v>27</v>
      </c>
      <c r="F1231" s="2">
        <f>DATE(2026,IF(Tabla1[[#This Row],[Mes de Fecha]]="Septiembre",9,10),Tabla1[[#This Row],[Día de Fecha]])</f>
        <v>46292</v>
      </c>
      <c r="G1231">
        <v>1103109383</v>
      </c>
      <c r="H1231" t="s">
        <v>566</v>
      </c>
      <c r="I1231">
        <v>-1</v>
      </c>
      <c r="J1231">
        <v>0</v>
      </c>
      <c r="K1231" s="1">
        <v>-50336</v>
      </c>
    </row>
    <row r="1232" spans="1:11" x14ac:dyDescent="0.25">
      <c r="A1232" t="s">
        <v>326</v>
      </c>
      <c r="B1232" t="s">
        <v>770</v>
      </c>
      <c r="C1232" t="s">
        <v>866</v>
      </c>
      <c r="D1232" t="s">
        <v>11</v>
      </c>
      <c r="E1232">
        <v>27</v>
      </c>
      <c r="F1232" s="2">
        <f>DATE(2026,IF(Tabla1[[#This Row],[Mes de Fecha]]="Septiembre",9,10),Tabla1[[#This Row],[Día de Fecha]])</f>
        <v>46292</v>
      </c>
      <c r="G1232">
        <v>1148946437</v>
      </c>
      <c r="H1232" t="s">
        <v>569</v>
      </c>
      <c r="I1232">
        <v>86</v>
      </c>
      <c r="J1232">
        <v>0</v>
      </c>
      <c r="K1232" s="1">
        <v>5002611</v>
      </c>
    </row>
    <row r="1233" spans="1:11" x14ac:dyDescent="0.25">
      <c r="A1233" t="s">
        <v>326</v>
      </c>
      <c r="B1233" t="s">
        <v>770</v>
      </c>
      <c r="C1233" t="s">
        <v>866</v>
      </c>
      <c r="D1233" t="s">
        <v>11</v>
      </c>
      <c r="E1233">
        <v>28</v>
      </c>
      <c r="F1233" s="2">
        <f>DATE(2026,IF(Tabla1[[#This Row],[Mes de Fecha]]="Septiembre",9,10),Tabla1[[#This Row],[Día de Fecha]])</f>
        <v>46293</v>
      </c>
      <c r="I1233">
        <v>0</v>
      </c>
      <c r="J1233" s="1">
        <v>11088098</v>
      </c>
      <c r="K1233">
        <v>0</v>
      </c>
    </row>
    <row r="1234" spans="1:11" x14ac:dyDescent="0.25">
      <c r="A1234" t="s">
        <v>326</v>
      </c>
      <c r="B1234" t="s">
        <v>770</v>
      </c>
      <c r="C1234" t="s">
        <v>866</v>
      </c>
      <c r="D1234" t="s">
        <v>11</v>
      </c>
      <c r="E1234">
        <v>28</v>
      </c>
      <c r="F1234" s="2">
        <f>DATE(2026,IF(Tabla1[[#This Row],[Mes de Fecha]]="Septiembre",9,10),Tabla1[[#This Row],[Día de Fecha]])</f>
        <v>46293</v>
      </c>
      <c r="G1234">
        <v>23178785</v>
      </c>
      <c r="H1234" t="s">
        <v>771</v>
      </c>
      <c r="I1234">
        <v>34</v>
      </c>
      <c r="J1234">
        <v>0</v>
      </c>
      <c r="K1234" s="1">
        <v>1624497</v>
      </c>
    </row>
    <row r="1235" spans="1:11" x14ac:dyDescent="0.25">
      <c r="A1235" t="s">
        <v>326</v>
      </c>
      <c r="B1235" t="s">
        <v>770</v>
      </c>
      <c r="C1235" t="s">
        <v>866</v>
      </c>
      <c r="D1235" t="s">
        <v>11</v>
      </c>
      <c r="E1235">
        <v>28</v>
      </c>
      <c r="F1235" s="2">
        <f>DATE(2026,IF(Tabla1[[#This Row],[Mes de Fecha]]="Septiembre",9,10),Tabla1[[#This Row],[Día de Fecha]])</f>
        <v>46293</v>
      </c>
      <c r="G1235">
        <v>1102813946</v>
      </c>
      <c r="H1235" t="s">
        <v>772</v>
      </c>
      <c r="I1235">
        <v>8</v>
      </c>
      <c r="J1235">
        <v>0</v>
      </c>
      <c r="K1235" s="1">
        <v>617312</v>
      </c>
    </row>
    <row r="1236" spans="1:11" x14ac:dyDescent="0.25">
      <c r="A1236" t="s">
        <v>326</v>
      </c>
      <c r="B1236" t="s">
        <v>770</v>
      </c>
      <c r="C1236" t="s">
        <v>866</v>
      </c>
      <c r="D1236" t="s">
        <v>11</v>
      </c>
      <c r="E1236">
        <v>28</v>
      </c>
      <c r="F1236" s="2">
        <f>DATE(2026,IF(Tabla1[[#This Row],[Mes de Fecha]]="Septiembre",9,10),Tabla1[[#This Row],[Día de Fecha]])</f>
        <v>46293</v>
      </c>
      <c r="G1236">
        <v>1148946437</v>
      </c>
      <c r="H1236" t="s">
        <v>569</v>
      </c>
      <c r="I1236">
        <v>52</v>
      </c>
      <c r="J1236">
        <v>0</v>
      </c>
      <c r="K1236" s="1">
        <v>3123784</v>
      </c>
    </row>
    <row r="1237" spans="1:11" x14ac:dyDescent="0.25">
      <c r="A1237" t="s">
        <v>326</v>
      </c>
      <c r="B1237" t="s">
        <v>770</v>
      </c>
      <c r="C1237" t="s">
        <v>866</v>
      </c>
      <c r="D1237" t="s">
        <v>11</v>
      </c>
      <c r="E1237">
        <v>29</v>
      </c>
      <c r="F1237" s="2">
        <f>DATE(2026,IF(Tabla1[[#This Row],[Mes de Fecha]]="Septiembre",9,10),Tabla1[[#This Row],[Día de Fecha]])</f>
        <v>46294</v>
      </c>
      <c r="I1237">
        <v>0</v>
      </c>
      <c r="J1237" s="1">
        <v>11844261</v>
      </c>
      <c r="K1237">
        <v>0</v>
      </c>
    </row>
    <row r="1238" spans="1:11" x14ac:dyDescent="0.25">
      <c r="A1238" t="s">
        <v>326</v>
      </c>
      <c r="B1238" t="s">
        <v>770</v>
      </c>
      <c r="C1238" t="s">
        <v>866</v>
      </c>
      <c r="D1238" t="s">
        <v>11</v>
      </c>
      <c r="E1238">
        <v>29</v>
      </c>
      <c r="F1238" s="2">
        <f>DATE(2026,IF(Tabla1[[#This Row],[Mes de Fecha]]="Septiembre",9,10),Tabla1[[#This Row],[Día de Fecha]])</f>
        <v>46294</v>
      </c>
      <c r="G1238">
        <v>23178785</v>
      </c>
      <c r="H1238" t="s">
        <v>771</v>
      </c>
      <c r="I1238">
        <v>64</v>
      </c>
      <c r="J1238">
        <v>0</v>
      </c>
      <c r="K1238" s="1">
        <v>3736682</v>
      </c>
    </row>
    <row r="1239" spans="1:11" x14ac:dyDescent="0.25">
      <c r="A1239" t="s">
        <v>326</v>
      </c>
      <c r="B1239" t="s">
        <v>770</v>
      </c>
      <c r="C1239" t="s">
        <v>866</v>
      </c>
      <c r="D1239" t="s">
        <v>11</v>
      </c>
      <c r="E1239">
        <v>29</v>
      </c>
      <c r="F1239" s="2">
        <f>DATE(2026,IF(Tabla1[[#This Row],[Mes de Fecha]]="Septiembre",9,10),Tabla1[[#This Row],[Día de Fecha]])</f>
        <v>46294</v>
      </c>
      <c r="G1239">
        <v>1102813946</v>
      </c>
      <c r="H1239" t="s">
        <v>772</v>
      </c>
      <c r="I1239">
        <v>9</v>
      </c>
      <c r="J1239">
        <v>0</v>
      </c>
      <c r="K1239" s="1">
        <v>487018</v>
      </c>
    </row>
    <row r="1240" spans="1:11" x14ac:dyDescent="0.25">
      <c r="A1240" t="s">
        <v>326</v>
      </c>
      <c r="B1240" t="s">
        <v>770</v>
      </c>
      <c r="C1240" t="s">
        <v>866</v>
      </c>
      <c r="D1240" t="s">
        <v>11</v>
      </c>
      <c r="E1240">
        <v>29</v>
      </c>
      <c r="F1240" s="2">
        <f>DATE(2026,IF(Tabla1[[#This Row],[Mes de Fecha]]="Septiembre",9,10),Tabla1[[#This Row],[Día de Fecha]])</f>
        <v>46294</v>
      </c>
      <c r="G1240">
        <v>1148946437</v>
      </c>
      <c r="H1240" t="s">
        <v>569</v>
      </c>
      <c r="I1240">
        <v>60</v>
      </c>
      <c r="J1240">
        <v>0</v>
      </c>
      <c r="K1240" s="1">
        <v>2896434</v>
      </c>
    </row>
    <row r="1241" spans="1:11" x14ac:dyDescent="0.25">
      <c r="A1241" t="s">
        <v>326</v>
      </c>
      <c r="B1241" t="s">
        <v>770</v>
      </c>
      <c r="C1241" t="s">
        <v>866</v>
      </c>
      <c r="D1241" t="s">
        <v>11</v>
      </c>
      <c r="E1241">
        <v>30</v>
      </c>
      <c r="F1241" s="2">
        <f>DATE(2026,IF(Tabla1[[#This Row],[Mes de Fecha]]="Septiembre",9,10),Tabla1[[#This Row],[Día de Fecha]])</f>
        <v>46295</v>
      </c>
      <c r="I1241">
        <v>0</v>
      </c>
      <c r="J1241" s="1">
        <v>12235331</v>
      </c>
      <c r="K1241">
        <v>0</v>
      </c>
    </row>
    <row r="1242" spans="1:11" x14ac:dyDescent="0.25">
      <c r="A1242" t="s">
        <v>326</v>
      </c>
      <c r="B1242" t="s">
        <v>770</v>
      </c>
      <c r="C1242" t="s">
        <v>866</v>
      </c>
      <c r="D1242" t="s">
        <v>11</v>
      </c>
      <c r="E1242">
        <v>30</v>
      </c>
      <c r="F1242" s="2">
        <f>DATE(2026,IF(Tabla1[[#This Row],[Mes de Fecha]]="Septiembre",9,10),Tabla1[[#This Row],[Día de Fecha]])</f>
        <v>46295</v>
      </c>
      <c r="G1242">
        <v>23178785</v>
      </c>
      <c r="H1242" t="s">
        <v>771</v>
      </c>
      <c r="I1242">
        <v>85</v>
      </c>
      <c r="J1242">
        <v>0</v>
      </c>
      <c r="K1242" s="1">
        <v>4378281</v>
      </c>
    </row>
    <row r="1243" spans="1:11" x14ac:dyDescent="0.25">
      <c r="A1243" t="s">
        <v>326</v>
      </c>
      <c r="B1243" t="s">
        <v>770</v>
      </c>
      <c r="C1243" t="s">
        <v>866</v>
      </c>
      <c r="D1243" t="s">
        <v>11</v>
      </c>
      <c r="E1243">
        <v>30</v>
      </c>
      <c r="F1243" s="2">
        <f>DATE(2026,IF(Tabla1[[#This Row],[Mes de Fecha]]="Septiembre",9,10),Tabla1[[#This Row],[Día de Fecha]])</f>
        <v>46295</v>
      </c>
      <c r="G1243">
        <v>1102813946</v>
      </c>
      <c r="H1243" t="s">
        <v>772</v>
      </c>
      <c r="I1243">
        <v>16</v>
      </c>
      <c r="J1243">
        <v>0</v>
      </c>
      <c r="K1243" s="1">
        <v>835463</v>
      </c>
    </row>
    <row r="1244" spans="1:11" x14ac:dyDescent="0.25">
      <c r="A1244" t="s">
        <v>326</v>
      </c>
      <c r="B1244" t="s">
        <v>770</v>
      </c>
      <c r="C1244" t="s">
        <v>866</v>
      </c>
      <c r="D1244" t="s">
        <v>11</v>
      </c>
      <c r="E1244">
        <v>30</v>
      </c>
      <c r="F1244" s="2">
        <f>DATE(2026,IF(Tabla1[[#This Row],[Mes de Fecha]]="Septiembre",9,10),Tabla1[[#This Row],[Día de Fecha]])</f>
        <v>46295</v>
      </c>
      <c r="G1244">
        <v>1148946437</v>
      </c>
      <c r="H1244" t="s">
        <v>569</v>
      </c>
      <c r="I1244">
        <v>24</v>
      </c>
      <c r="J1244">
        <v>0</v>
      </c>
      <c r="K1244" s="1">
        <v>1192018</v>
      </c>
    </row>
    <row r="1245" spans="1:11" x14ac:dyDescent="0.25">
      <c r="A1245" t="s">
        <v>326</v>
      </c>
      <c r="B1245" t="s">
        <v>770</v>
      </c>
      <c r="C1245" t="s">
        <v>866</v>
      </c>
      <c r="D1245" t="s">
        <v>14</v>
      </c>
      <c r="E1245">
        <v>1</v>
      </c>
      <c r="F1245" s="2">
        <f>DATE(2026,IF(Tabla1[[#This Row],[Mes de Fecha]]="Septiembre",9,10),Tabla1[[#This Row],[Día de Fecha]])</f>
        <v>46296</v>
      </c>
      <c r="I1245">
        <v>0</v>
      </c>
      <c r="J1245" s="1">
        <v>11971964</v>
      </c>
      <c r="K1245">
        <v>0</v>
      </c>
    </row>
    <row r="1246" spans="1:11" x14ac:dyDescent="0.25">
      <c r="A1246" t="s">
        <v>326</v>
      </c>
      <c r="B1246" t="s">
        <v>770</v>
      </c>
      <c r="C1246" t="s">
        <v>866</v>
      </c>
      <c r="D1246" t="s">
        <v>14</v>
      </c>
      <c r="E1246">
        <v>1</v>
      </c>
      <c r="F1246" s="2">
        <f>DATE(2026,IF(Tabla1[[#This Row],[Mes de Fecha]]="Septiembre",9,10),Tabla1[[#This Row],[Día de Fecha]])</f>
        <v>46296</v>
      </c>
      <c r="G1246">
        <v>23178785</v>
      </c>
      <c r="H1246" t="s">
        <v>771</v>
      </c>
      <c r="I1246">
        <v>74</v>
      </c>
      <c r="J1246">
        <v>0</v>
      </c>
      <c r="K1246" s="1">
        <v>4017697</v>
      </c>
    </row>
    <row r="1247" spans="1:11" x14ac:dyDescent="0.25">
      <c r="A1247" t="s">
        <v>326</v>
      </c>
      <c r="B1247" t="s">
        <v>770</v>
      </c>
      <c r="C1247" t="s">
        <v>866</v>
      </c>
      <c r="D1247" t="s">
        <v>14</v>
      </c>
      <c r="E1247">
        <v>1</v>
      </c>
      <c r="F1247" s="2">
        <f>DATE(2026,IF(Tabla1[[#This Row],[Mes de Fecha]]="Septiembre",9,10),Tabla1[[#This Row],[Día de Fecha]])</f>
        <v>46296</v>
      </c>
      <c r="G1247">
        <v>1102813946</v>
      </c>
      <c r="H1247" t="s">
        <v>772</v>
      </c>
      <c r="I1247">
        <v>22</v>
      </c>
      <c r="J1247">
        <v>0</v>
      </c>
      <c r="K1247" s="1">
        <v>1230085</v>
      </c>
    </row>
    <row r="1248" spans="1:11" x14ac:dyDescent="0.25">
      <c r="A1248" t="s">
        <v>326</v>
      </c>
      <c r="B1248" t="s">
        <v>770</v>
      </c>
      <c r="C1248" t="s">
        <v>866</v>
      </c>
      <c r="D1248" t="s">
        <v>14</v>
      </c>
      <c r="E1248">
        <v>1</v>
      </c>
      <c r="F1248" s="2">
        <f>DATE(2026,IF(Tabla1[[#This Row],[Mes de Fecha]]="Septiembre",9,10),Tabla1[[#This Row],[Día de Fecha]])</f>
        <v>46296</v>
      </c>
      <c r="G1248">
        <v>1103109383</v>
      </c>
      <c r="H1248" t="s">
        <v>566</v>
      </c>
      <c r="I1248">
        <v>-1</v>
      </c>
      <c r="J1248">
        <v>0</v>
      </c>
      <c r="K1248" s="1">
        <v>-105000</v>
      </c>
    </row>
    <row r="1249" spans="1:11" x14ac:dyDescent="0.25">
      <c r="A1249" t="s">
        <v>326</v>
      </c>
      <c r="B1249" t="s">
        <v>770</v>
      </c>
      <c r="C1249" t="s">
        <v>866</v>
      </c>
      <c r="D1249" t="s">
        <v>14</v>
      </c>
      <c r="E1249">
        <v>1</v>
      </c>
      <c r="F1249" s="2">
        <f>DATE(2026,IF(Tabla1[[#This Row],[Mes de Fecha]]="Septiembre",9,10),Tabla1[[#This Row],[Día de Fecha]])</f>
        <v>46296</v>
      </c>
      <c r="G1249">
        <v>1148946437</v>
      </c>
      <c r="H1249" t="s">
        <v>569</v>
      </c>
      <c r="I1249">
        <v>57</v>
      </c>
      <c r="J1249">
        <v>0</v>
      </c>
      <c r="K1249" s="1">
        <v>3201184</v>
      </c>
    </row>
    <row r="1250" spans="1:11" x14ac:dyDescent="0.25">
      <c r="A1250" t="s">
        <v>326</v>
      </c>
      <c r="B1250" t="s">
        <v>770</v>
      </c>
      <c r="C1250" t="s">
        <v>866</v>
      </c>
      <c r="D1250" t="s">
        <v>14</v>
      </c>
      <c r="E1250">
        <v>2</v>
      </c>
      <c r="F1250" s="2">
        <f>DATE(2026,IF(Tabla1[[#This Row],[Mes de Fecha]]="Septiembre",9,10),Tabla1[[#This Row],[Día de Fecha]])</f>
        <v>46297</v>
      </c>
      <c r="I1250">
        <v>0</v>
      </c>
      <c r="J1250" s="1">
        <v>9725400</v>
      </c>
      <c r="K1250">
        <v>0</v>
      </c>
    </row>
    <row r="1251" spans="1:11" x14ac:dyDescent="0.25">
      <c r="A1251" t="s">
        <v>326</v>
      </c>
      <c r="B1251" t="s">
        <v>770</v>
      </c>
      <c r="C1251" t="s">
        <v>866</v>
      </c>
      <c r="D1251" t="s">
        <v>14</v>
      </c>
      <c r="E1251">
        <v>2</v>
      </c>
      <c r="F1251" s="2">
        <f>DATE(2026,IF(Tabla1[[#This Row],[Mes de Fecha]]="Septiembre",9,10),Tabla1[[#This Row],[Día de Fecha]])</f>
        <v>46297</v>
      </c>
      <c r="G1251">
        <v>23178785</v>
      </c>
      <c r="H1251" t="s">
        <v>771</v>
      </c>
      <c r="I1251">
        <v>88</v>
      </c>
      <c r="J1251">
        <v>0</v>
      </c>
      <c r="K1251" s="1">
        <v>5250258</v>
      </c>
    </row>
    <row r="1252" spans="1:11" x14ac:dyDescent="0.25">
      <c r="A1252" t="s">
        <v>326</v>
      </c>
      <c r="B1252" t="s">
        <v>770</v>
      </c>
      <c r="C1252" t="s">
        <v>866</v>
      </c>
      <c r="D1252" t="s">
        <v>14</v>
      </c>
      <c r="E1252">
        <v>2</v>
      </c>
      <c r="F1252" s="2">
        <f>DATE(2026,IF(Tabla1[[#This Row],[Mes de Fecha]]="Septiembre",9,10),Tabla1[[#This Row],[Día de Fecha]])</f>
        <v>46297</v>
      </c>
      <c r="G1252">
        <v>1102813946</v>
      </c>
      <c r="H1252" t="s">
        <v>772</v>
      </c>
      <c r="I1252">
        <v>21</v>
      </c>
      <c r="J1252">
        <v>0</v>
      </c>
      <c r="K1252" s="1">
        <v>1108195</v>
      </c>
    </row>
    <row r="1253" spans="1:11" x14ac:dyDescent="0.25">
      <c r="A1253" t="s">
        <v>326</v>
      </c>
      <c r="B1253" t="s">
        <v>770</v>
      </c>
      <c r="C1253" t="s">
        <v>866</v>
      </c>
      <c r="D1253" t="s">
        <v>14</v>
      </c>
      <c r="E1253">
        <v>2</v>
      </c>
      <c r="F1253" s="2">
        <f>DATE(2026,IF(Tabla1[[#This Row],[Mes de Fecha]]="Septiembre",9,10),Tabla1[[#This Row],[Día de Fecha]])</f>
        <v>46297</v>
      </c>
      <c r="G1253">
        <v>1148946437</v>
      </c>
      <c r="H1253" t="s">
        <v>569</v>
      </c>
      <c r="I1253">
        <v>111</v>
      </c>
      <c r="J1253">
        <v>0</v>
      </c>
      <c r="K1253" s="1">
        <v>6003582</v>
      </c>
    </row>
    <row r="1254" spans="1:11" x14ac:dyDescent="0.25">
      <c r="A1254" t="s">
        <v>326</v>
      </c>
      <c r="B1254" t="s">
        <v>770</v>
      </c>
      <c r="C1254" t="s">
        <v>866</v>
      </c>
      <c r="D1254" t="s">
        <v>14</v>
      </c>
      <c r="E1254">
        <v>3</v>
      </c>
      <c r="F1254" s="2">
        <f>DATE(2026,IF(Tabla1[[#This Row],[Mes de Fecha]]="Septiembre",9,10),Tabla1[[#This Row],[Día de Fecha]])</f>
        <v>46298</v>
      </c>
      <c r="I1254">
        <v>0</v>
      </c>
      <c r="J1254" s="1">
        <v>20589732</v>
      </c>
      <c r="K1254">
        <v>0</v>
      </c>
    </row>
    <row r="1255" spans="1:11" x14ac:dyDescent="0.25">
      <c r="A1255" t="s">
        <v>326</v>
      </c>
      <c r="B1255" t="s">
        <v>770</v>
      </c>
      <c r="C1255" t="s">
        <v>866</v>
      </c>
      <c r="D1255" t="s">
        <v>14</v>
      </c>
      <c r="E1255">
        <v>3</v>
      </c>
      <c r="F1255" s="2">
        <f>DATE(2026,IF(Tabla1[[#This Row],[Mes de Fecha]]="Septiembre",9,10),Tabla1[[#This Row],[Día de Fecha]])</f>
        <v>46298</v>
      </c>
      <c r="G1255">
        <v>23178785</v>
      </c>
      <c r="H1255" t="s">
        <v>771</v>
      </c>
      <c r="I1255">
        <v>152</v>
      </c>
      <c r="J1255">
        <v>0</v>
      </c>
      <c r="K1255" s="1">
        <v>7984132</v>
      </c>
    </row>
    <row r="1256" spans="1:11" x14ac:dyDescent="0.25">
      <c r="A1256" t="s">
        <v>326</v>
      </c>
      <c r="B1256" t="s">
        <v>770</v>
      </c>
      <c r="C1256" t="s">
        <v>866</v>
      </c>
      <c r="D1256" t="s">
        <v>14</v>
      </c>
      <c r="E1256">
        <v>3</v>
      </c>
      <c r="F1256" s="2">
        <f>DATE(2026,IF(Tabla1[[#This Row],[Mes de Fecha]]="Septiembre",9,10),Tabla1[[#This Row],[Día de Fecha]])</f>
        <v>46298</v>
      </c>
      <c r="G1256">
        <v>1102813946</v>
      </c>
      <c r="H1256" t="s">
        <v>772</v>
      </c>
      <c r="I1256">
        <v>28</v>
      </c>
      <c r="J1256">
        <v>0</v>
      </c>
      <c r="K1256" s="1">
        <v>1452573</v>
      </c>
    </row>
    <row r="1257" spans="1:11" x14ac:dyDescent="0.25">
      <c r="A1257" t="s">
        <v>326</v>
      </c>
      <c r="B1257" t="s">
        <v>770</v>
      </c>
      <c r="C1257" t="s">
        <v>866</v>
      </c>
      <c r="D1257" t="s">
        <v>14</v>
      </c>
      <c r="E1257">
        <v>3</v>
      </c>
      <c r="F1257" s="2">
        <f>DATE(2026,IF(Tabla1[[#This Row],[Mes de Fecha]]="Septiembre",9,10),Tabla1[[#This Row],[Día de Fecha]])</f>
        <v>46298</v>
      </c>
      <c r="G1257">
        <v>1148946437</v>
      </c>
      <c r="H1257" t="s">
        <v>569</v>
      </c>
      <c r="I1257">
        <v>142</v>
      </c>
      <c r="J1257">
        <v>0</v>
      </c>
      <c r="K1257" s="1">
        <v>7404443</v>
      </c>
    </row>
    <row r="1258" spans="1:11" x14ac:dyDescent="0.25">
      <c r="A1258" t="s">
        <v>326</v>
      </c>
      <c r="B1258" t="s">
        <v>770</v>
      </c>
      <c r="C1258" t="s">
        <v>866</v>
      </c>
      <c r="D1258" t="s">
        <v>14</v>
      </c>
      <c r="E1258">
        <v>4</v>
      </c>
      <c r="F1258" s="2">
        <f>DATE(2026,IF(Tabla1[[#This Row],[Mes de Fecha]]="Septiembre",9,10),Tabla1[[#This Row],[Día de Fecha]])</f>
        <v>46299</v>
      </c>
      <c r="I1258">
        <v>0</v>
      </c>
      <c r="J1258" s="1">
        <v>13962212</v>
      </c>
      <c r="K1258">
        <v>0</v>
      </c>
    </row>
    <row r="1259" spans="1:11" x14ac:dyDescent="0.25">
      <c r="A1259" t="s">
        <v>326</v>
      </c>
      <c r="B1259" t="s">
        <v>770</v>
      </c>
      <c r="C1259" t="s">
        <v>866</v>
      </c>
      <c r="D1259" t="s">
        <v>14</v>
      </c>
      <c r="E1259">
        <v>4</v>
      </c>
      <c r="F1259" s="2">
        <f>DATE(2026,IF(Tabla1[[#This Row],[Mes de Fecha]]="Septiembre",9,10),Tabla1[[#This Row],[Día de Fecha]])</f>
        <v>46299</v>
      </c>
      <c r="G1259">
        <v>23178785</v>
      </c>
      <c r="H1259" t="s">
        <v>771</v>
      </c>
      <c r="I1259">
        <v>88</v>
      </c>
      <c r="J1259">
        <v>0</v>
      </c>
      <c r="K1259" s="1">
        <v>5218620</v>
      </c>
    </row>
    <row r="1260" spans="1:11" x14ac:dyDescent="0.25">
      <c r="A1260" t="s">
        <v>326</v>
      </c>
      <c r="B1260" t="s">
        <v>770</v>
      </c>
      <c r="C1260" t="s">
        <v>866</v>
      </c>
      <c r="D1260" t="s">
        <v>14</v>
      </c>
      <c r="E1260">
        <v>4</v>
      </c>
      <c r="F1260" s="2">
        <f>DATE(2026,IF(Tabla1[[#This Row],[Mes de Fecha]]="Septiembre",9,10),Tabla1[[#This Row],[Día de Fecha]])</f>
        <v>46299</v>
      </c>
      <c r="G1260">
        <v>1102813946</v>
      </c>
      <c r="H1260" t="s">
        <v>772</v>
      </c>
      <c r="I1260">
        <v>49</v>
      </c>
      <c r="J1260">
        <v>0</v>
      </c>
      <c r="K1260" s="1">
        <v>2865508</v>
      </c>
    </row>
    <row r="1261" spans="1:11" x14ac:dyDescent="0.25">
      <c r="A1261" t="s">
        <v>326</v>
      </c>
      <c r="B1261" t="s">
        <v>770</v>
      </c>
      <c r="C1261" t="s">
        <v>866</v>
      </c>
      <c r="D1261" t="s">
        <v>14</v>
      </c>
      <c r="E1261">
        <v>4</v>
      </c>
      <c r="F1261" s="2">
        <f>DATE(2026,IF(Tabla1[[#This Row],[Mes de Fecha]]="Septiembre",9,10),Tabla1[[#This Row],[Día de Fecha]])</f>
        <v>46299</v>
      </c>
      <c r="G1261">
        <v>1148946437</v>
      </c>
      <c r="H1261" t="s">
        <v>569</v>
      </c>
      <c r="I1261">
        <v>114</v>
      </c>
      <c r="J1261">
        <v>0</v>
      </c>
      <c r="K1261" s="1">
        <v>6097827</v>
      </c>
    </row>
    <row r="1262" spans="1:11" x14ac:dyDescent="0.25">
      <c r="A1262" t="s">
        <v>326</v>
      </c>
      <c r="B1262" t="s">
        <v>770</v>
      </c>
      <c r="C1262" t="s">
        <v>866</v>
      </c>
      <c r="D1262" t="s">
        <v>14</v>
      </c>
      <c r="E1262">
        <v>5</v>
      </c>
      <c r="F1262" s="2">
        <f>DATE(2026,IF(Tabla1[[#This Row],[Mes de Fecha]]="Septiembre",9,10),Tabla1[[#This Row],[Día de Fecha]])</f>
        <v>46300</v>
      </c>
      <c r="I1262">
        <v>0</v>
      </c>
      <c r="J1262" s="1">
        <v>7910220</v>
      </c>
      <c r="K1262">
        <v>0</v>
      </c>
    </row>
    <row r="1263" spans="1:11" x14ac:dyDescent="0.25">
      <c r="A1263" t="s">
        <v>326</v>
      </c>
      <c r="B1263" t="s">
        <v>770</v>
      </c>
      <c r="C1263" t="s">
        <v>866</v>
      </c>
      <c r="D1263" t="s">
        <v>14</v>
      </c>
      <c r="E1263">
        <v>5</v>
      </c>
      <c r="F1263" s="2">
        <f>DATE(2026,IF(Tabla1[[#This Row],[Mes de Fecha]]="Septiembre",9,10),Tabla1[[#This Row],[Día de Fecha]])</f>
        <v>46300</v>
      </c>
      <c r="G1263">
        <v>23178785</v>
      </c>
      <c r="H1263" t="s">
        <v>771</v>
      </c>
      <c r="I1263">
        <v>61</v>
      </c>
      <c r="J1263">
        <v>0</v>
      </c>
      <c r="K1263" s="1">
        <v>3007610</v>
      </c>
    </row>
    <row r="1264" spans="1:11" x14ac:dyDescent="0.25">
      <c r="A1264" t="s">
        <v>326</v>
      </c>
      <c r="B1264" t="s">
        <v>770</v>
      </c>
      <c r="C1264" t="s">
        <v>866</v>
      </c>
      <c r="D1264" t="s">
        <v>14</v>
      </c>
      <c r="E1264">
        <v>5</v>
      </c>
      <c r="F1264" s="2">
        <f>DATE(2026,IF(Tabla1[[#This Row],[Mes de Fecha]]="Septiembre",9,10),Tabla1[[#This Row],[Día de Fecha]])</f>
        <v>46300</v>
      </c>
      <c r="G1264">
        <v>1102813946</v>
      </c>
      <c r="H1264" t="s">
        <v>772</v>
      </c>
      <c r="I1264">
        <v>19</v>
      </c>
      <c r="J1264">
        <v>0</v>
      </c>
      <c r="K1264" s="1">
        <v>1032775</v>
      </c>
    </row>
    <row r="1265" spans="1:11" x14ac:dyDescent="0.25">
      <c r="A1265" t="s">
        <v>326</v>
      </c>
      <c r="B1265" t="s">
        <v>770</v>
      </c>
      <c r="C1265" t="s">
        <v>866</v>
      </c>
      <c r="D1265" t="s">
        <v>14</v>
      </c>
      <c r="E1265">
        <v>5</v>
      </c>
      <c r="F1265" s="2">
        <f>DATE(2026,IF(Tabla1[[#This Row],[Mes de Fecha]]="Septiembre",9,10),Tabla1[[#This Row],[Día de Fecha]])</f>
        <v>46300</v>
      </c>
      <c r="G1265">
        <v>1148946437</v>
      </c>
      <c r="H1265" t="s">
        <v>569</v>
      </c>
      <c r="I1265">
        <v>49</v>
      </c>
      <c r="J1265">
        <v>0</v>
      </c>
      <c r="K1265" s="1">
        <v>2624348</v>
      </c>
    </row>
    <row r="1266" spans="1:11" x14ac:dyDescent="0.25">
      <c r="A1266" t="s">
        <v>326</v>
      </c>
      <c r="B1266" t="s">
        <v>770</v>
      </c>
      <c r="C1266" t="s">
        <v>866</v>
      </c>
      <c r="D1266" t="s">
        <v>14</v>
      </c>
      <c r="E1266">
        <v>6</v>
      </c>
      <c r="F1266" s="2">
        <f>DATE(2026,IF(Tabla1[[#This Row],[Mes de Fecha]]="Septiembre",9,10),Tabla1[[#This Row],[Día de Fecha]])</f>
        <v>46301</v>
      </c>
      <c r="I1266">
        <v>0</v>
      </c>
      <c r="J1266" s="1">
        <v>7716952</v>
      </c>
      <c r="K1266">
        <v>0</v>
      </c>
    </row>
    <row r="1267" spans="1:11" x14ac:dyDescent="0.25">
      <c r="A1267" t="s">
        <v>326</v>
      </c>
      <c r="B1267" t="s">
        <v>770</v>
      </c>
      <c r="C1267" t="s">
        <v>866</v>
      </c>
      <c r="D1267" t="s">
        <v>14</v>
      </c>
      <c r="E1267">
        <v>6</v>
      </c>
      <c r="F1267" s="2">
        <f>DATE(2026,IF(Tabla1[[#This Row],[Mes de Fecha]]="Septiembre",9,10),Tabla1[[#This Row],[Día de Fecha]])</f>
        <v>46301</v>
      </c>
      <c r="G1267">
        <v>23178785</v>
      </c>
      <c r="H1267" t="s">
        <v>771</v>
      </c>
      <c r="I1267">
        <v>21</v>
      </c>
      <c r="J1267">
        <v>0</v>
      </c>
      <c r="K1267" s="1">
        <v>1167186</v>
      </c>
    </row>
    <row r="1268" spans="1:11" x14ac:dyDescent="0.25">
      <c r="A1268" t="s">
        <v>326</v>
      </c>
      <c r="B1268" t="s">
        <v>770</v>
      </c>
      <c r="C1268" t="s">
        <v>866</v>
      </c>
      <c r="D1268" t="s">
        <v>14</v>
      </c>
      <c r="E1268">
        <v>6</v>
      </c>
      <c r="F1268" s="2">
        <f>DATE(2026,IF(Tabla1[[#This Row],[Mes de Fecha]]="Septiembre",9,10),Tabla1[[#This Row],[Día de Fecha]])</f>
        <v>46301</v>
      </c>
      <c r="G1268">
        <v>1102813946</v>
      </c>
      <c r="H1268" t="s">
        <v>772</v>
      </c>
      <c r="I1268">
        <v>4</v>
      </c>
      <c r="J1268">
        <v>0</v>
      </c>
      <c r="K1268" s="1">
        <v>251933</v>
      </c>
    </row>
    <row r="1269" spans="1:11" x14ac:dyDescent="0.25">
      <c r="A1269" t="s">
        <v>326</v>
      </c>
      <c r="B1269" t="s">
        <v>770</v>
      </c>
      <c r="C1269" t="s">
        <v>866</v>
      </c>
      <c r="D1269" t="s">
        <v>14</v>
      </c>
      <c r="E1269">
        <v>6</v>
      </c>
      <c r="F1269" s="2">
        <f>DATE(2026,IF(Tabla1[[#This Row],[Mes de Fecha]]="Septiembre",9,10),Tabla1[[#This Row],[Día de Fecha]])</f>
        <v>46301</v>
      </c>
      <c r="G1269">
        <v>1148946437</v>
      </c>
      <c r="H1269" t="s">
        <v>569</v>
      </c>
      <c r="I1269">
        <v>22</v>
      </c>
      <c r="J1269">
        <v>0</v>
      </c>
      <c r="K1269" s="1">
        <v>1469580</v>
      </c>
    </row>
    <row r="1270" spans="1:11" x14ac:dyDescent="0.25">
      <c r="A1270" t="s">
        <v>326</v>
      </c>
      <c r="B1270" t="s">
        <v>770</v>
      </c>
      <c r="C1270" t="s">
        <v>866</v>
      </c>
      <c r="D1270" t="s">
        <v>14</v>
      </c>
      <c r="E1270">
        <v>7</v>
      </c>
      <c r="F1270" s="2">
        <f>DATE(2026,IF(Tabla1[[#This Row],[Mes de Fecha]]="Septiembre",9,10),Tabla1[[#This Row],[Día de Fecha]])</f>
        <v>46302</v>
      </c>
      <c r="I1270">
        <v>0</v>
      </c>
      <c r="J1270" s="1">
        <v>7615416</v>
      </c>
      <c r="K1270">
        <v>0</v>
      </c>
    </row>
    <row r="1271" spans="1:11" x14ac:dyDescent="0.25">
      <c r="A1271" t="s">
        <v>326</v>
      </c>
      <c r="B1271" t="s">
        <v>770</v>
      </c>
      <c r="C1271" t="s">
        <v>866</v>
      </c>
      <c r="D1271" t="s">
        <v>14</v>
      </c>
      <c r="E1271">
        <v>7</v>
      </c>
      <c r="F1271" s="2">
        <f>DATE(2026,IF(Tabla1[[#This Row],[Mes de Fecha]]="Septiembre",9,10),Tabla1[[#This Row],[Día de Fecha]])</f>
        <v>46302</v>
      </c>
      <c r="G1271">
        <v>23178785</v>
      </c>
      <c r="H1271" t="s">
        <v>771</v>
      </c>
      <c r="I1271">
        <v>26</v>
      </c>
      <c r="J1271">
        <v>0</v>
      </c>
      <c r="K1271" s="1">
        <v>1414751</v>
      </c>
    </row>
    <row r="1272" spans="1:11" x14ac:dyDescent="0.25">
      <c r="A1272" t="s">
        <v>326</v>
      </c>
      <c r="B1272" t="s">
        <v>770</v>
      </c>
      <c r="C1272" t="s">
        <v>866</v>
      </c>
      <c r="D1272" t="s">
        <v>14</v>
      </c>
      <c r="E1272">
        <v>7</v>
      </c>
      <c r="F1272" s="2">
        <f>DATE(2026,IF(Tabla1[[#This Row],[Mes de Fecha]]="Septiembre",9,10),Tabla1[[#This Row],[Día de Fecha]])</f>
        <v>46302</v>
      </c>
      <c r="G1272">
        <v>1102813946</v>
      </c>
      <c r="H1272" t="s">
        <v>772</v>
      </c>
      <c r="I1272">
        <v>7</v>
      </c>
      <c r="J1272">
        <v>0</v>
      </c>
      <c r="K1272" s="1">
        <v>344202</v>
      </c>
    </row>
    <row r="1273" spans="1:11" x14ac:dyDescent="0.25">
      <c r="A1273" t="s">
        <v>326</v>
      </c>
      <c r="B1273" t="s">
        <v>770</v>
      </c>
      <c r="C1273" t="s">
        <v>866</v>
      </c>
      <c r="D1273" t="s">
        <v>14</v>
      </c>
      <c r="E1273">
        <v>7</v>
      </c>
      <c r="F1273" s="2">
        <f>DATE(2026,IF(Tabla1[[#This Row],[Mes de Fecha]]="Septiembre",9,10),Tabla1[[#This Row],[Día de Fecha]])</f>
        <v>46302</v>
      </c>
      <c r="G1273">
        <v>1148946437</v>
      </c>
      <c r="H1273" t="s">
        <v>569</v>
      </c>
      <c r="I1273">
        <v>32</v>
      </c>
      <c r="J1273">
        <v>0</v>
      </c>
      <c r="K1273" s="1">
        <v>1998490</v>
      </c>
    </row>
    <row r="1274" spans="1:11" x14ac:dyDescent="0.25">
      <c r="A1274" t="s">
        <v>326</v>
      </c>
      <c r="B1274" t="s">
        <v>797</v>
      </c>
      <c r="C1274" t="s">
        <v>866</v>
      </c>
      <c r="D1274" t="s">
        <v>11</v>
      </c>
      <c r="E1274">
        <v>23</v>
      </c>
      <c r="F1274" s="2">
        <f>DATE(2026,IF(Tabla1[[#This Row],[Mes de Fecha]]="Septiembre",9,10),Tabla1[[#This Row],[Día de Fecha]])</f>
        <v>46288</v>
      </c>
      <c r="I1274">
        <v>0</v>
      </c>
      <c r="J1274" s="1">
        <v>17189555</v>
      </c>
      <c r="K1274">
        <v>0</v>
      </c>
    </row>
    <row r="1275" spans="1:11" x14ac:dyDescent="0.25">
      <c r="A1275" t="s">
        <v>326</v>
      </c>
      <c r="B1275" t="s">
        <v>797</v>
      </c>
      <c r="C1275" t="s">
        <v>866</v>
      </c>
      <c r="D1275" t="s">
        <v>11</v>
      </c>
      <c r="E1275">
        <v>23</v>
      </c>
      <c r="F1275" s="2">
        <f>DATE(2026,IF(Tabla1[[#This Row],[Mes de Fecha]]="Septiembre",9,10),Tabla1[[#This Row],[Día de Fecha]])</f>
        <v>46288</v>
      </c>
      <c r="G1275">
        <v>22533177</v>
      </c>
      <c r="H1275" t="s">
        <v>411</v>
      </c>
      <c r="I1275">
        <v>101</v>
      </c>
      <c r="J1275">
        <v>0</v>
      </c>
      <c r="K1275" s="1">
        <v>5315092</v>
      </c>
    </row>
    <row r="1276" spans="1:11" x14ac:dyDescent="0.25">
      <c r="A1276" t="s">
        <v>326</v>
      </c>
      <c r="B1276" t="s">
        <v>797</v>
      </c>
      <c r="C1276" t="s">
        <v>866</v>
      </c>
      <c r="D1276" t="s">
        <v>11</v>
      </c>
      <c r="E1276">
        <v>23</v>
      </c>
      <c r="F1276" s="2">
        <f>DATE(2026,IF(Tabla1[[#This Row],[Mes de Fecha]]="Septiembre",9,10),Tabla1[[#This Row],[Día de Fecha]])</f>
        <v>46288</v>
      </c>
      <c r="G1276">
        <v>1044434618</v>
      </c>
      <c r="H1276" t="s">
        <v>798</v>
      </c>
      <c r="I1276">
        <v>27</v>
      </c>
      <c r="J1276">
        <v>0</v>
      </c>
      <c r="K1276" s="1">
        <v>1356011</v>
      </c>
    </row>
    <row r="1277" spans="1:11" x14ac:dyDescent="0.25">
      <c r="A1277" t="s">
        <v>326</v>
      </c>
      <c r="B1277" t="s">
        <v>797</v>
      </c>
      <c r="C1277" t="s">
        <v>866</v>
      </c>
      <c r="D1277" t="s">
        <v>11</v>
      </c>
      <c r="E1277">
        <v>23</v>
      </c>
      <c r="F1277" s="2">
        <f>DATE(2026,IF(Tabla1[[#This Row],[Mes de Fecha]]="Septiembre",9,10),Tabla1[[#This Row],[Día de Fecha]])</f>
        <v>46288</v>
      </c>
      <c r="G1277">
        <v>1098200569</v>
      </c>
      <c r="H1277" t="s">
        <v>491</v>
      </c>
      <c r="I1277">
        <v>126</v>
      </c>
      <c r="J1277">
        <v>0</v>
      </c>
      <c r="K1277" s="1">
        <v>7007315</v>
      </c>
    </row>
    <row r="1278" spans="1:11" x14ac:dyDescent="0.25">
      <c r="A1278" t="s">
        <v>326</v>
      </c>
      <c r="B1278" t="s">
        <v>797</v>
      </c>
      <c r="C1278" t="s">
        <v>866</v>
      </c>
      <c r="D1278" t="s">
        <v>11</v>
      </c>
      <c r="E1278">
        <v>23</v>
      </c>
      <c r="F1278" s="2">
        <f>DATE(2026,IF(Tabla1[[#This Row],[Mes de Fecha]]="Septiembre",9,10),Tabla1[[#This Row],[Día de Fecha]])</f>
        <v>46288</v>
      </c>
      <c r="G1278">
        <v>1143142715</v>
      </c>
      <c r="H1278" t="s">
        <v>407</v>
      </c>
      <c r="I1278">
        <v>99</v>
      </c>
      <c r="J1278">
        <v>0</v>
      </c>
      <c r="K1278" s="1">
        <v>4945424</v>
      </c>
    </row>
    <row r="1279" spans="1:11" x14ac:dyDescent="0.25">
      <c r="A1279" t="s">
        <v>326</v>
      </c>
      <c r="B1279" t="s">
        <v>797</v>
      </c>
      <c r="C1279" t="s">
        <v>866</v>
      </c>
      <c r="D1279" t="s">
        <v>11</v>
      </c>
      <c r="E1279">
        <v>24</v>
      </c>
      <c r="F1279" s="2">
        <f>DATE(2026,IF(Tabla1[[#This Row],[Mes de Fecha]]="Septiembre",9,10),Tabla1[[#This Row],[Día de Fecha]])</f>
        <v>46289</v>
      </c>
      <c r="I1279">
        <v>0</v>
      </c>
      <c r="J1279" s="1">
        <v>26258981</v>
      </c>
      <c r="K1279">
        <v>0</v>
      </c>
    </row>
    <row r="1280" spans="1:11" x14ac:dyDescent="0.25">
      <c r="A1280" t="s">
        <v>326</v>
      </c>
      <c r="B1280" t="s">
        <v>797</v>
      </c>
      <c r="C1280" t="s">
        <v>866</v>
      </c>
      <c r="D1280" t="s">
        <v>11</v>
      </c>
      <c r="E1280">
        <v>24</v>
      </c>
      <c r="F1280" s="2">
        <f>DATE(2026,IF(Tabla1[[#This Row],[Mes de Fecha]]="Septiembre",9,10),Tabla1[[#This Row],[Día de Fecha]])</f>
        <v>46289</v>
      </c>
      <c r="G1280">
        <v>22533177</v>
      </c>
      <c r="H1280" t="s">
        <v>411</v>
      </c>
      <c r="I1280">
        <v>103</v>
      </c>
      <c r="J1280">
        <v>0</v>
      </c>
      <c r="K1280" s="1">
        <v>6029244</v>
      </c>
    </row>
    <row r="1281" spans="1:11" x14ac:dyDescent="0.25">
      <c r="A1281" t="s">
        <v>326</v>
      </c>
      <c r="B1281" t="s">
        <v>797</v>
      </c>
      <c r="C1281" t="s">
        <v>866</v>
      </c>
      <c r="D1281" t="s">
        <v>11</v>
      </c>
      <c r="E1281">
        <v>24</v>
      </c>
      <c r="F1281" s="2">
        <f>DATE(2026,IF(Tabla1[[#This Row],[Mes de Fecha]]="Septiembre",9,10),Tabla1[[#This Row],[Día de Fecha]])</f>
        <v>46289</v>
      </c>
      <c r="G1281">
        <v>1044434618</v>
      </c>
      <c r="H1281" t="s">
        <v>798</v>
      </c>
      <c r="I1281">
        <v>38</v>
      </c>
      <c r="J1281">
        <v>0</v>
      </c>
      <c r="K1281" s="1">
        <v>1994160</v>
      </c>
    </row>
    <row r="1282" spans="1:11" x14ac:dyDescent="0.25">
      <c r="A1282" t="s">
        <v>326</v>
      </c>
      <c r="B1282" t="s">
        <v>797</v>
      </c>
      <c r="C1282" t="s">
        <v>866</v>
      </c>
      <c r="D1282" t="s">
        <v>11</v>
      </c>
      <c r="E1282">
        <v>24</v>
      </c>
      <c r="F1282" s="2">
        <f>DATE(2026,IF(Tabla1[[#This Row],[Mes de Fecha]]="Septiembre",9,10),Tabla1[[#This Row],[Día de Fecha]])</f>
        <v>46289</v>
      </c>
      <c r="G1282">
        <v>1098200569</v>
      </c>
      <c r="H1282" t="s">
        <v>491</v>
      </c>
      <c r="I1282">
        <v>97</v>
      </c>
      <c r="J1282">
        <v>0</v>
      </c>
      <c r="K1282" s="1">
        <v>5285845</v>
      </c>
    </row>
    <row r="1283" spans="1:11" x14ac:dyDescent="0.25">
      <c r="A1283" t="s">
        <v>326</v>
      </c>
      <c r="B1283" t="s">
        <v>797</v>
      </c>
      <c r="C1283" t="s">
        <v>866</v>
      </c>
      <c r="D1283" t="s">
        <v>11</v>
      </c>
      <c r="E1283">
        <v>24</v>
      </c>
      <c r="F1283" s="2">
        <f>DATE(2026,IF(Tabla1[[#This Row],[Mes de Fecha]]="Septiembre",9,10),Tabla1[[#This Row],[Día de Fecha]])</f>
        <v>46289</v>
      </c>
      <c r="G1283">
        <v>1143142715</v>
      </c>
      <c r="H1283" t="s">
        <v>407</v>
      </c>
      <c r="I1283">
        <v>96</v>
      </c>
      <c r="J1283">
        <v>0</v>
      </c>
      <c r="K1283" s="1">
        <v>5340510</v>
      </c>
    </row>
    <row r="1284" spans="1:11" x14ac:dyDescent="0.25">
      <c r="A1284" t="s">
        <v>326</v>
      </c>
      <c r="B1284" t="s">
        <v>797</v>
      </c>
      <c r="C1284" t="s">
        <v>866</v>
      </c>
      <c r="D1284" t="s">
        <v>11</v>
      </c>
      <c r="E1284">
        <v>25</v>
      </c>
      <c r="F1284" s="2">
        <f>DATE(2026,IF(Tabla1[[#This Row],[Mes de Fecha]]="Septiembre",9,10),Tabla1[[#This Row],[Día de Fecha]])</f>
        <v>46290</v>
      </c>
      <c r="I1284">
        <v>0</v>
      </c>
      <c r="J1284" s="1">
        <v>26200849</v>
      </c>
      <c r="K1284">
        <v>0</v>
      </c>
    </row>
    <row r="1285" spans="1:11" x14ac:dyDescent="0.25">
      <c r="A1285" t="s">
        <v>326</v>
      </c>
      <c r="B1285" t="s">
        <v>797</v>
      </c>
      <c r="C1285" t="s">
        <v>866</v>
      </c>
      <c r="D1285" t="s">
        <v>11</v>
      </c>
      <c r="E1285">
        <v>25</v>
      </c>
      <c r="F1285" s="2">
        <f>DATE(2026,IF(Tabla1[[#This Row],[Mes de Fecha]]="Septiembre",9,10),Tabla1[[#This Row],[Día de Fecha]])</f>
        <v>46290</v>
      </c>
      <c r="G1285">
        <v>22533177</v>
      </c>
      <c r="H1285" t="s">
        <v>411</v>
      </c>
      <c r="I1285">
        <v>131</v>
      </c>
      <c r="J1285">
        <v>0</v>
      </c>
      <c r="K1285" s="1">
        <v>7044796</v>
      </c>
    </row>
    <row r="1286" spans="1:11" x14ac:dyDescent="0.25">
      <c r="A1286" t="s">
        <v>326</v>
      </c>
      <c r="B1286" t="s">
        <v>797</v>
      </c>
      <c r="C1286" t="s">
        <v>866</v>
      </c>
      <c r="D1286" t="s">
        <v>11</v>
      </c>
      <c r="E1286">
        <v>25</v>
      </c>
      <c r="F1286" s="2">
        <f>DATE(2026,IF(Tabla1[[#This Row],[Mes de Fecha]]="Septiembre",9,10),Tabla1[[#This Row],[Día de Fecha]])</f>
        <v>46290</v>
      </c>
      <c r="G1286">
        <v>1044434618</v>
      </c>
      <c r="H1286" t="s">
        <v>798</v>
      </c>
      <c r="I1286">
        <v>43</v>
      </c>
      <c r="J1286">
        <v>0</v>
      </c>
      <c r="K1286" s="1">
        <v>2006556</v>
      </c>
    </row>
    <row r="1287" spans="1:11" x14ac:dyDescent="0.25">
      <c r="A1287" t="s">
        <v>326</v>
      </c>
      <c r="B1287" t="s">
        <v>797</v>
      </c>
      <c r="C1287" t="s">
        <v>866</v>
      </c>
      <c r="D1287" t="s">
        <v>11</v>
      </c>
      <c r="E1287">
        <v>25</v>
      </c>
      <c r="F1287" s="2">
        <f>DATE(2026,IF(Tabla1[[#This Row],[Mes de Fecha]]="Septiembre",9,10),Tabla1[[#This Row],[Día de Fecha]])</f>
        <v>46290</v>
      </c>
      <c r="G1287">
        <v>1098200569</v>
      </c>
      <c r="H1287" t="s">
        <v>491</v>
      </c>
      <c r="I1287">
        <v>125</v>
      </c>
      <c r="J1287">
        <v>0</v>
      </c>
      <c r="K1287" s="1">
        <v>6636742</v>
      </c>
    </row>
    <row r="1288" spans="1:11" x14ac:dyDescent="0.25">
      <c r="A1288" t="s">
        <v>326</v>
      </c>
      <c r="B1288" t="s">
        <v>797</v>
      </c>
      <c r="C1288" t="s">
        <v>866</v>
      </c>
      <c r="D1288" t="s">
        <v>11</v>
      </c>
      <c r="E1288">
        <v>25</v>
      </c>
      <c r="F1288" s="2">
        <f>DATE(2026,IF(Tabla1[[#This Row],[Mes de Fecha]]="Septiembre",9,10),Tabla1[[#This Row],[Día de Fecha]])</f>
        <v>46290</v>
      </c>
      <c r="G1288">
        <v>1143142715</v>
      </c>
      <c r="H1288" t="s">
        <v>407</v>
      </c>
      <c r="I1288">
        <v>93</v>
      </c>
      <c r="J1288">
        <v>0</v>
      </c>
      <c r="K1288" s="1">
        <v>4252271</v>
      </c>
    </row>
    <row r="1289" spans="1:11" x14ac:dyDescent="0.25">
      <c r="A1289" t="s">
        <v>326</v>
      </c>
      <c r="B1289" t="s">
        <v>797</v>
      </c>
      <c r="C1289" t="s">
        <v>866</v>
      </c>
      <c r="D1289" t="s">
        <v>11</v>
      </c>
      <c r="E1289">
        <v>26</v>
      </c>
      <c r="F1289" s="2">
        <f>DATE(2026,IF(Tabla1[[#This Row],[Mes de Fecha]]="Septiembre",9,10),Tabla1[[#This Row],[Día de Fecha]])</f>
        <v>46291</v>
      </c>
      <c r="I1289">
        <v>0</v>
      </c>
      <c r="J1289" s="1">
        <v>37654388</v>
      </c>
      <c r="K1289">
        <v>0</v>
      </c>
    </row>
    <row r="1290" spans="1:11" x14ac:dyDescent="0.25">
      <c r="A1290" t="s">
        <v>326</v>
      </c>
      <c r="B1290" t="s">
        <v>797</v>
      </c>
      <c r="C1290" t="s">
        <v>866</v>
      </c>
      <c r="D1290" t="s">
        <v>11</v>
      </c>
      <c r="E1290">
        <v>26</v>
      </c>
      <c r="F1290" s="2">
        <f>DATE(2026,IF(Tabla1[[#This Row],[Mes de Fecha]]="Septiembre",9,10),Tabla1[[#This Row],[Día de Fecha]])</f>
        <v>46291</v>
      </c>
      <c r="G1290">
        <v>22533177</v>
      </c>
      <c r="H1290" t="s">
        <v>411</v>
      </c>
      <c r="I1290">
        <v>182</v>
      </c>
      <c r="J1290">
        <v>0</v>
      </c>
      <c r="K1290" s="1">
        <v>10290512</v>
      </c>
    </row>
    <row r="1291" spans="1:11" x14ac:dyDescent="0.25">
      <c r="A1291" t="s">
        <v>326</v>
      </c>
      <c r="B1291" t="s">
        <v>797</v>
      </c>
      <c r="C1291" t="s">
        <v>866</v>
      </c>
      <c r="D1291" t="s">
        <v>11</v>
      </c>
      <c r="E1291">
        <v>26</v>
      </c>
      <c r="F1291" s="2">
        <f>DATE(2026,IF(Tabla1[[#This Row],[Mes de Fecha]]="Septiembre",9,10),Tabla1[[#This Row],[Día de Fecha]])</f>
        <v>46291</v>
      </c>
      <c r="G1291">
        <v>1044434618</v>
      </c>
      <c r="H1291" t="s">
        <v>798</v>
      </c>
      <c r="I1291">
        <v>52</v>
      </c>
      <c r="J1291">
        <v>0</v>
      </c>
      <c r="K1291" s="1">
        <v>2695296</v>
      </c>
    </row>
    <row r="1292" spans="1:11" x14ac:dyDescent="0.25">
      <c r="A1292" t="s">
        <v>326</v>
      </c>
      <c r="B1292" t="s">
        <v>797</v>
      </c>
      <c r="C1292" t="s">
        <v>866</v>
      </c>
      <c r="D1292" t="s">
        <v>11</v>
      </c>
      <c r="E1292">
        <v>26</v>
      </c>
      <c r="F1292" s="2">
        <f>DATE(2026,IF(Tabla1[[#This Row],[Mes de Fecha]]="Septiembre",9,10),Tabla1[[#This Row],[Día de Fecha]])</f>
        <v>46291</v>
      </c>
      <c r="G1292">
        <v>1098200569</v>
      </c>
      <c r="H1292" t="s">
        <v>491</v>
      </c>
      <c r="I1292">
        <v>218</v>
      </c>
      <c r="J1292">
        <v>0</v>
      </c>
      <c r="K1292" s="1">
        <v>12123079</v>
      </c>
    </row>
    <row r="1293" spans="1:11" x14ac:dyDescent="0.25">
      <c r="A1293" t="s">
        <v>326</v>
      </c>
      <c r="B1293" t="s">
        <v>797</v>
      </c>
      <c r="C1293" t="s">
        <v>866</v>
      </c>
      <c r="D1293" t="s">
        <v>11</v>
      </c>
      <c r="E1293">
        <v>26</v>
      </c>
      <c r="F1293" s="2">
        <f>DATE(2026,IF(Tabla1[[#This Row],[Mes de Fecha]]="Septiembre",9,10),Tabla1[[#This Row],[Día de Fecha]])</f>
        <v>46291</v>
      </c>
      <c r="G1293">
        <v>1143142715</v>
      </c>
      <c r="H1293" t="s">
        <v>407</v>
      </c>
      <c r="I1293">
        <v>113</v>
      </c>
      <c r="J1293">
        <v>0</v>
      </c>
      <c r="K1293" s="1">
        <v>6243033</v>
      </c>
    </row>
    <row r="1294" spans="1:11" x14ac:dyDescent="0.25">
      <c r="A1294" t="s">
        <v>326</v>
      </c>
      <c r="B1294" t="s">
        <v>797</v>
      </c>
      <c r="C1294" t="s">
        <v>866</v>
      </c>
      <c r="D1294" t="s">
        <v>11</v>
      </c>
      <c r="E1294">
        <v>27</v>
      </c>
      <c r="F1294" s="2">
        <f>DATE(2026,IF(Tabla1[[#This Row],[Mes de Fecha]]="Septiembre",9,10),Tabla1[[#This Row],[Día de Fecha]])</f>
        <v>46292</v>
      </c>
      <c r="I1294">
        <v>0</v>
      </c>
      <c r="J1294" s="1">
        <v>29829855</v>
      </c>
      <c r="K1294">
        <v>0</v>
      </c>
    </row>
    <row r="1295" spans="1:11" x14ac:dyDescent="0.25">
      <c r="A1295" t="s">
        <v>326</v>
      </c>
      <c r="B1295" t="s">
        <v>797</v>
      </c>
      <c r="C1295" t="s">
        <v>866</v>
      </c>
      <c r="D1295" t="s">
        <v>11</v>
      </c>
      <c r="E1295">
        <v>27</v>
      </c>
      <c r="F1295" s="2">
        <f>DATE(2026,IF(Tabla1[[#This Row],[Mes de Fecha]]="Septiembre",9,10),Tabla1[[#This Row],[Día de Fecha]])</f>
        <v>46292</v>
      </c>
      <c r="G1295">
        <v>22533177</v>
      </c>
      <c r="H1295" t="s">
        <v>411</v>
      </c>
      <c r="I1295">
        <v>146</v>
      </c>
      <c r="J1295">
        <v>0</v>
      </c>
      <c r="K1295" s="1">
        <v>8191354</v>
      </c>
    </row>
    <row r="1296" spans="1:11" x14ac:dyDescent="0.25">
      <c r="A1296" t="s">
        <v>326</v>
      </c>
      <c r="B1296" t="s">
        <v>797</v>
      </c>
      <c r="C1296" t="s">
        <v>866</v>
      </c>
      <c r="D1296" t="s">
        <v>11</v>
      </c>
      <c r="E1296">
        <v>27</v>
      </c>
      <c r="F1296" s="2">
        <f>DATE(2026,IF(Tabla1[[#This Row],[Mes de Fecha]]="Septiembre",9,10),Tabla1[[#This Row],[Día de Fecha]])</f>
        <v>46292</v>
      </c>
      <c r="G1296">
        <v>1044434618</v>
      </c>
      <c r="H1296" t="s">
        <v>798</v>
      </c>
      <c r="I1296">
        <v>52</v>
      </c>
      <c r="J1296">
        <v>0</v>
      </c>
      <c r="K1296" s="1">
        <v>2833911</v>
      </c>
    </row>
    <row r="1297" spans="1:11" x14ac:dyDescent="0.25">
      <c r="A1297" t="s">
        <v>326</v>
      </c>
      <c r="B1297" t="s">
        <v>797</v>
      </c>
      <c r="C1297" t="s">
        <v>866</v>
      </c>
      <c r="D1297" t="s">
        <v>11</v>
      </c>
      <c r="E1297">
        <v>27</v>
      </c>
      <c r="F1297" s="2">
        <f>DATE(2026,IF(Tabla1[[#This Row],[Mes de Fecha]]="Septiembre",9,10),Tabla1[[#This Row],[Día de Fecha]])</f>
        <v>46292</v>
      </c>
      <c r="G1297">
        <v>1098200569</v>
      </c>
      <c r="H1297" t="s">
        <v>491</v>
      </c>
      <c r="I1297">
        <v>159</v>
      </c>
      <c r="J1297">
        <v>0</v>
      </c>
      <c r="K1297" s="1">
        <v>8879841</v>
      </c>
    </row>
    <row r="1298" spans="1:11" x14ac:dyDescent="0.25">
      <c r="A1298" t="s">
        <v>326</v>
      </c>
      <c r="B1298" t="s">
        <v>797</v>
      </c>
      <c r="C1298" t="s">
        <v>866</v>
      </c>
      <c r="D1298" t="s">
        <v>11</v>
      </c>
      <c r="E1298">
        <v>27</v>
      </c>
      <c r="F1298" s="2">
        <f>DATE(2026,IF(Tabla1[[#This Row],[Mes de Fecha]]="Septiembre",9,10),Tabla1[[#This Row],[Día de Fecha]])</f>
        <v>46292</v>
      </c>
      <c r="G1298">
        <v>1143142715</v>
      </c>
      <c r="H1298" t="s">
        <v>407</v>
      </c>
      <c r="I1298">
        <v>150</v>
      </c>
      <c r="J1298">
        <v>0</v>
      </c>
      <c r="K1298" s="1">
        <v>7779417</v>
      </c>
    </row>
    <row r="1299" spans="1:11" x14ac:dyDescent="0.25">
      <c r="A1299" t="s">
        <v>326</v>
      </c>
      <c r="B1299" t="s">
        <v>797</v>
      </c>
      <c r="C1299" t="s">
        <v>866</v>
      </c>
      <c r="D1299" t="s">
        <v>11</v>
      </c>
      <c r="E1299">
        <v>28</v>
      </c>
      <c r="F1299" s="2">
        <f>DATE(2026,IF(Tabla1[[#This Row],[Mes de Fecha]]="Septiembre",9,10),Tabla1[[#This Row],[Día de Fecha]])</f>
        <v>46293</v>
      </c>
      <c r="I1299">
        <v>0</v>
      </c>
      <c r="J1299" s="1">
        <v>16417128</v>
      </c>
      <c r="K1299">
        <v>0</v>
      </c>
    </row>
    <row r="1300" spans="1:11" x14ac:dyDescent="0.25">
      <c r="A1300" t="s">
        <v>326</v>
      </c>
      <c r="B1300" t="s">
        <v>797</v>
      </c>
      <c r="C1300" t="s">
        <v>866</v>
      </c>
      <c r="D1300" t="s">
        <v>11</v>
      </c>
      <c r="E1300">
        <v>28</v>
      </c>
      <c r="F1300" s="2">
        <f>DATE(2026,IF(Tabla1[[#This Row],[Mes de Fecha]]="Septiembre",9,10),Tabla1[[#This Row],[Día de Fecha]])</f>
        <v>46293</v>
      </c>
      <c r="G1300">
        <v>22533177</v>
      </c>
      <c r="H1300" t="s">
        <v>411</v>
      </c>
      <c r="I1300">
        <v>65</v>
      </c>
      <c r="J1300">
        <v>0</v>
      </c>
      <c r="K1300" s="1">
        <v>3566386</v>
      </c>
    </row>
    <row r="1301" spans="1:11" x14ac:dyDescent="0.25">
      <c r="A1301" t="s">
        <v>326</v>
      </c>
      <c r="B1301" t="s">
        <v>797</v>
      </c>
      <c r="C1301" t="s">
        <v>866</v>
      </c>
      <c r="D1301" t="s">
        <v>11</v>
      </c>
      <c r="E1301">
        <v>28</v>
      </c>
      <c r="F1301" s="2">
        <f>DATE(2026,IF(Tabla1[[#This Row],[Mes de Fecha]]="Septiembre",9,10),Tabla1[[#This Row],[Día de Fecha]])</f>
        <v>46293</v>
      </c>
      <c r="G1301">
        <v>1044434618</v>
      </c>
      <c r="H1301" t="s">
        <v>798</v>
      </c>
      <c r="I1301">
        <v>19</v>
      </c>
      <c r="J1301">
        <v>0</v>
      </c>
      <c r="K1301" s="1">
        <v>1053741</v>
      </c>
    </row>
    <row r="1302" spans="1:11" x14ac:dyDescent="0.25">
      <c r="A1302" t="s">
        <v>326</v>
      </c>
      <c r="B1302" t="s">
        <v>797</v>
      </c>
      <c r="C1302" t="s">
        <v>866</v>
      </c>
      <c r="D1302" t="s">
        <v>11</v>
      </c>
      <c r="E1302">
        <v>28</v>
      </c>
      <c r="F1302" s="2">
        <f>DATE(2026,IF(Tabla1[[#This Row],[Mes de Fecha]]="Septiembre",9,10),Tabla1[[#This Row],[Día de Fecha]])</f>
        <v>46293</v>
      </c>
      <c r="G1302">
        <v>1098200569</v>
      </c>
      <c r="H1302" t="s">
        <v>491</v>
      </c>
      <c r="I1302">
        <v>65</v>
      </c>
      <c r="J1302">
        <v>0</v>
      </c>
      <c r="K1302" s="1">
        <v>3345842</v>
      </c>
    </row>
    <row r="1303" spans="1:11" x14ac:dyDescent="0.25">
      <c r="A1303" t="s">
        <v>326</v>
      </c>
      <c r="B1303" t="s">
        <v>797</v>
      </c>
      <c r="C1303" t="s">
        <v>866</v>
      </c>
      <c r="D1303" t="s">
        <v>11</v>
      </c>
      <c r="E1303">
        <v>28</v>
      </c>
      <c r="F1303" s="2">
        <f>DATE(2026,IF(Tabla1[[#This Row],[Mes de Fecha]]="Septiembre",9,10),Tabla1[[#This Row],[Día de Fecha]])</f>
        <v>46293</v>
      </c>
      <c r="G1303">
        <v>1143142715</v>
      </c>
      <c r="H1303" t="s">
        <v>407</v>
      </c>
      <c r="I1303">
        <v>34</v>
      </c>
      <c r="J1303">
        <v>0</v>
      </c>
      <c r="K1303" s="1">
        <v>1775885</v>
      </c>
    </row>
    <row r="1304" spans="1:11" x14ac:dyDescent="0.25">
      <c r="A1304" t="s">
        <v>326</v>
      </c>
      <c r="B1304" t="s">
        <v>797</v>
      </c>
      <c r="C1304" t="s">
        <v>866</v>
      </c>
      <c r="D1304" t="s">
        <v>11</v>
      </c>
      <c r="E1304">
        <v>29</v>
      </c>
      <c r="F1304" s="2">
        <f>DATE(2026,IF(Tabla1[[#This Row],[Mes de Fecha]]="Septiembre",9,10),Tabla1[[#This Row],[Día de Fecha]])</f>
        <v>46294</v>
      </c>
      <c r="I1304">
        <v>0</v>
      </c>
      <c r="J1304" s="1">
        <v>17536705</v>
      </c>
      <c r="K1304">
        <v>0</v>
      </c>
    </row>
    <row r="1305" spans="1:11" x14ac:dyDescent="0.25">
      <c r="A1305" t="s">
        <v>326</v>
      </c>
      <c r="B1305" t="s">
        <v>797</v>
      </c>
      <c r="C1305" t="s">
        <v>866</v>
      </c>
      <c r="D1305" t="s">
        <v>11</v>
      </c>
      <c r="E1305">
        <v>29</v>
      </c>
      <c r="F1305" s="2">
        <f>DATE(2026,IF(Tabla1[[#This Row],[Mes de Fecha]]="Septiembre",9,10),Tabla1[[#This Row],[Día de Fecha]])</f>
        <v>46294</v>
      </c>
      <c r="G1305">
        <v>22533177</v>
      </c>
      <c r="H1305" t="s">
        <v>411</v>
      </c>
      <c r="I1305">
        <v>78</v>
      </c>
      <c r="J1305">
        <v>0</v>
      </c>
      <c r="K1305" s="1">
        <v>4000553</v>
      </c>
    </row>
    <row r="1306" spans="1:11" x14ac:dyDescent="0.25">
      <c r="A1306" t="s">
        <v>326</v>
      </c>
      <c r="B1306" t="s">
        <v>797</v>
      </c>
      <c r="C1306" t="s">
        <v>866</v>
      </c>
      <c r="D1306" t="s">
        <v>11</v>
      </c>
      <c r="E1306">
        <v>29</v>
      </c>
      <c r="F1306" s="2">
        <f>DATE(2026,IF(Tabla1[[#This Row],[Mes de Fecha]]="Septiembre",9,10),Tabla1[[#This Row],[Día de Fecha]])</f>
        <v>46294</v>
      </c>
      <c r="G1306">
        <v>1098200569</v>
      </c>
      <c r="H1306" t="s">
        <v>491</v>
      </c>
      <c r="I1306">
        <v>99</v>
      </c>
      <c r="J1306">
        <v>0</v>
      </c>
      <c r="K1306" s="1">
        <v>4497061</v>
      </c>
    </row>
    <row r="1307" spans="1:11" x14ac:dyDescent="0.25">
      <c r="A1307" t="s">
        <v>326</v>
      </c>
      <c r="B1307" t="s">
        <v>797</v>
      </c>
      <c r="C1307" t="s">
        <v>866</v>
      </c>
      <c r="D1307" t="s">
        <v>11</v>
      </c>
      <c r="E1307">
        <v>29</v>
      </c>
      <c r="F1307" s="2">
        <f>DATE(2026,IF(Tabla1[[#This Row],[Mes de Fecha]]="Septiembre",9,10),Tabla1[[#This Row],[Día de Fecha]])</f>
        <v>46294</v>
      </c>
      <c r="G1307">
        <v>1143142715</v>
      </c>
      <c r="H1307" t="s">
        <v>407</v>
      </c>
      <c r="I1307">
        <v>75</v>
      </c>
      <c r="J1307">
        <v>0</v>
      </c>
      <c r="K1307" s="1">
        <v>3605845</v>
      </c>
    </row>
    <row r="1308" spans="1:11" x14ac:dyDescent="0.25">
      <c r="A1308" t="s">
        <v>326</v>
      </c>
      <c r="B1308" t="s">
        <v>797</v>
      </c>
      <c r="C1308" t="s">
        <v>866</v>
      </c>
      <c r="D1308" t="s">
        <v>11</v>
      </c>
      <c r="E1308">
        <v>30</v>
      </c>
      <c r="F1308" s="2">
        <f>DATE(2026,IF(Tabla1[[#This Row],[Mes de Fecha]]="Septiembre",9,10),Tabla1[[#This Row],[Día de Fecha]])</f>
        <v>46295</v>
      </c>
      <c r="I1308">
        <v>0</v>
      </c>
      <c r="J1308" s="1">
        <v>18115728</v>
      </c>
      <c r="K1308">
        <v>0</v>
      </c>
    </row>
    <row r="1309" spans="1:11" x14ac:dyDescent="0.25">
      <c r="A1309" t="s">
        <v>326</v>
      </c>
      <c r="B1309" t="s">
        <v>797</v>
      </c>
      <c r="C1309" t="s">
        <v>866</v>
      </c>
      <c r="D1309" t="s">
        <v>11</v>
      </c>
      <c r="E1309">
        <v>30</v>
      </c>
      <c r="F1309" s="2">
        <f>DATE(2026,IF(Tabla1[[#This Row],[Mes de Fecha]]="Septiembre",9,10),Tabla1[[#This Row],[Día de Fecha]])</f>
        <v>46295</v>
      </c>
      <c r="G1309">
        <v>22533177</v>
      </c>
      <c r="H1309" t="s">
        <v>411</v>
      </c>
      <c r="I1309">
        <v>77</v>
      </c>
      <c r="J1309">
        <v>0</v>
      </c>
      <c r="K1309" s="1">
        <v>4114038</v>
      </c>
    </row>
    <row r="1310" spans="1:11" x14ac:dyDescent="0.25">
      <c r="A1310" t="s">
        <v>326</v>
      </c>
      <c r="B1310" t="s">
        <v>797</v>
      </c>
      <c r="C1310" t="s">
        <v>866</v>
      </c>
      <c r="D1310" t="s">
        <v>11</v>
      </c>
      <c r="E1310">
        <v>30</v>
      </c>
      <c r="F1310" s="2">
        <f>DATE(2026,IF(Tabla1[[#This Row],[Mes de Fecha]]="Septiembre",9,10),Tabla1[[#This Row],[Día de Fecha]])</f>
        <v>46295</v>
      </c>
      <c r="G1310">
        <v>1098200569</v>
      </c>
      <c r="H1310" t="s">
        <v>491</v>
      </c>
      <c r="I1310">
        <v>76</v>
      </c>
      <c r="J1310">
        <v>0</v>
      </c>
      <c r="K1310" s="1">
        <v>3689329</v>
      </c>
    </row>
    <row r="1311" spans="1:11" x14ac:dyDescent="0.25">
      <c r="A1311" t="s">
        <v>326</v>
      </c>
      <c r="B1311" t="s">
        <v>797</v>
      </c>
      <c r="C1311" t="s">
        <v>866</v>
      </c>
      <c r="D1311" t="s">
        <v>11</v>
      </c>
      <c r="E1311">
        <v>30</v>
      </c>
      <c r="F1311" s="2">
        <f>DATE(2026,IF(Tabla1[[#This Row],[Mes de Fecha]]="Septiembre",9,10),Tabla1[[#This Row],[Día de Fecha]])</f>
        <v>46295</v>
      </c>
      <c r="G1311">
        <v>1143142715</v>
      </c>
      <c r="H1311" t="s">
        <v>407</v>
      </c>
      <c r="I1311">
        <v>154</v>
      </c>
      <c r="J1311">
        <v>0</v>
      </c>
      <c r="K1311" s="1">
        <v>6923161</v>
      </c>
    </row>
    <row r="1312" spans="1:11" x14ac:dyDescent="0.25">
      <c r="A1312" t="s">
        <v>326</v>
      </c>
      <c r="B1312" t="s">
        <v>797</v>
      </c>
      <c r="C1312" t="s">
        <v>866</v>
      </c>
      <c r="D1312" t="s">
        <v>14</v>
      </c>
      <c r="E1312">
        <v>1</v>
      </c>
      <c r="F1312" s="2">
        <f>DATE(2026,IF(Tabla1[[#This Row],[Mes de Fecha]]="Septiembre",9,10),Tabla1[[#This Row],[Día de Fecha]])</f>
        <v>46296</v>
      </c>
      <c r="I1312">
        <v>0</v>
      </c>
      <c r="J1312" s="1">
        <v>18433236</v>
      </c>
      <c r="K1312">
        <v>0</v>
      </c>
    </row>
    <row r="1313" spans="1:11" x14ac:dyDescent="0.25">
      <c r="A1313" t="s">
        <v>326</v>
      </c>
      <c r="B1313" t="s">
        <v>797</v>
      </c>
      <c r="C1313" t="s">
        <v>866</v>
      </c>
      <c r="D1313" t="s">
        <v>14</v>
      </c>
      <c r="E1313">
        <v>1</v>
      </c>
      <c r="F1313" s="2">
        <f>DATE(2026,IF(Tabla1[[#This Row],[Mes de Fecha]]="Septiembre",9,10),Tabla1[[#This Row],[Día de Fecha]])</f>
        <v>46296</v>
      </c>
      <c r="G1313">
        <v>22533177</v>
      </c>
      <c r="H1313" t="s">
        <v>411</v>
      </c>
      <c r="I1313">
        <v>112</v>
      </c>
      <c r="J1313">
        <v>0</v>
      </c>
      <c r="K1313" s="1">
        <v>6011978</v>
      </c>
    </row>
    <row r="1314" spans="1:11" x14ac:dyDescent="0.25">
      <c r="A1314" t="s">
        <v>326</v>
      </c>
      <c r="B1314" t="s">
        <v>797</v>
      </c>
      <c r="C1314" t="s">
        <v>866</v>
      </c>
      <c r="D1314" t="s">
        <v>14</v>
      </c>
      <c r="E1314">
        <v>1</v>
      </c>
      <c r="F1314" s="2">
        <f>DATE(2026,IF(Tabla1[[#This Row],[Mes de Fecha]]="Septiembre",9,10),Tabla1[[#This Row],[Día de Fecha]])</f>
        <v>46296</v>
      </c>
      <c r="G1314">
        <v>1098200569</v>
      </c>
      <c r="H1314" t="s">
        <v>491</v>
      </c>
      <c r="I1314">
        <v>95</v>
      </c>
      <c r="J1314">
        <v>0</v>
      </c>
      <c r="K1314" s="1">
        <v>4939208</v>
      </c>
    </row>
    <row r="1315" spans="1:11" x14ac:dyDescent="0.25">
      <c r="A1315" t="s">
        <v>326</v>
      </c>
      <c r="B1315" t="s">
        <v>797</v>
      </c>
      <c r="C1315" t="s">
        <v>866</v>
      </c>
      <c r="D1315" t="s">
        <v>14</v>
      </c>
      <c r="E1315">
        <v>1</v>
      </c>
      <c r="F1315" s="2">
        <f>DATE(2026,IF(Tabla1[[#This Row],[Mes de Fecha]]="Septiembre",9,10),Tabla1[[#This Row],[Día de Fecha]])</f>
        <v>46296</v>
      </c>
      <c r="G1315">
        <v>1143142715</v>
      </c>
      <c r="H1315" t="s">
        <v>407</v>
      </c>
      <c r="I1315">
        <v>116</v>
      </c>
      <c r="J1315">
        <v>0</v>
      </c>
      <c r="K1315" s="1">
        <v>5335133</v>
      </c>
    </row>
    <row r="1316" spans="1:11" x14ac:dyDescent="0.25">
      <c r="A1316" t="s">
        <v>326</v>
      </c>
      <c r="B1316" t="s">
        <v>797</v>
      </c>
      <c r="C1316" t="s">
        <v>866</v>
      </c>
      <c r="D1316" t="s">
        <v>14</v>
      </c>
      <c r="E1316">
        <v>2</v>
      </c>
      <c r="F1316" s="2">
        <f>DATE(2026,IF(Tabla1[[#This Row],[Mes de Fecha]]="Septiembre",9,10),Tabla1[[#This Row],[Día de Fecha]])</f>
        <v>46297</v>
      </c>
      <c r="I1316">
        <v>0</v>
      </c>
      <c r="J1316" s="1">
        <v>15905593</v>
      </c>
      <c r="K1316">
        <v>0</v>
      </c>
    </row>
    <row r="1317" spans="1:11" x14ac:dyDescent="0.25">
      <c r="A1317" t="s">
        <v>326</v>
      </c>
      <c r="B1317" t="s">
        <v>797</v>
      </c>
      <c r="C1317" t="s">
        <v>866</v>
      </c>
      <c r="D1317" t="s">
        <v>14</v>
      </c>
      <c r="E1317">
        <v>2</v>
      </c>
      <c r="F1317" s="2">
        <f>DATE(2026,IF(Tabla1[[#This Row],[Mes de Fecha]]="Septiembre",9,10),Tabla1[[#This Row],[Día de Fecha]])</f>
        <v>46297</v>
      </c>
      <c r="G1317">
        <v>22533177</v>
      </c>
      <c r="H1317" t="s">
        <v>411</v>
      </c>
      <c r="I1317">
        <v>131</v>
      </c>
      <c r="J1317">
        <v>0</v>
      </c>
      <c r="K1317" s="1">
        <v>7574045</v>
      </c>
    </row>
    <row r="1318" spans="1:11" x14ac:dyDescent="0.25">
      <c r="A1318" t="s">
        <v>326</v>
      </c>
      <c r="B1318" t="s">
        <v>797</v>
      </c>
      <c r="C1318" t="s">
        <v>866</v>
      </c>
      <c r="D1318" t="s">
        <v>14</v>
      </c>
      <c r="E1318">
        <v>2</v>
      </c>
      <c r="F1318" s="2">
        <f>DATE(2026,IF(Tabla1[[#This Row],[Mes de Fecha]]="Septiembre",9,10),Tabla1[[#This Row],[Día de Fecha]])</f>
        <v>46297</v>
      </c>
      <c r="G1318">
        <v>1098200569</v>
      </c>
      <c r="H1318" t="s">
        <v>491</v>
      </c>
      <c r="I1318">
        <v>145</v>
      </c>
      <c r="J1318">
        <v>0</v>
      </c>
      <c r="K1318" s="1">
        <v>7701607</v>
      </c>
    </row>
    <row r="1319" spans="1:11" x14ac:dyDescent="0.25">
      <c r="A1319" t="s">
        <v>326</v>
      </c>
      <c r="B1319" t="s">
        <v>797</v>
      </c>
      <c r="C1319" t="s">
        <v>866</v>
      </c>
      <c r="D1319" t="s">
        <v>14</v>
      </c>
      <c r="E1319">
        <v>2</v>
      </c>
      <c r="F1319" s="2">
        <f>DATE(2026,IF(Tabla1[[#This Row],[Mes de Fecha]]="Septiembre",9,10),Tabla1[[#This Row],[Día de Fecha]])</f>
        <v>46297</v>
      </c>
      <c r="G1319">
        <v>1143142715</v>
      </c>
      <c r="H1319" t="s">
        <v>407</v>
      </c>
      <c r="I1319">
        <v>124</v>
      </c>
      <c r="J1319">
        <v>0</v>
      </c>
      <c r="K1319" s="1">
        <v>6849711</v>
      </c>
    </row>
    <row r="1320" spans="1:11" x14ac:dyDescent="0.25">
      <c r="A1320" t="s">
        <v>326</v>
      </c>
      <c r="B1320" t="s">
        <v>797</v>
      </c>
      <c r="C1320" t="s">
        <v>866</v>
      </c>
      <c r="D1320" t="s">
        <v>14</v>
      </c>
      <c r="E1320">
        <v>3</v>
      </c>
      <c r="F1320" s="2">
        <f>DATE(2026,IF(Tabla1[[#This Row],[Mes de Fecha]]="Septiembre",9,10),Tabla1[[#This Row],[Día de Fecha]])</f>
        <v>46298</v>
      </c>
      <c r="I1320">
        <v>0</v>
      </c>
      <c r="J1320" s="1">
        <v>25242476</v>
      </c>
      <c r="K1320">
        <v>0</v>
      </c>
    </row>
    <row r="1321" spans="1:11" x14ac:dyDescent="0.25">
      <c r="A1321" t="s">
        <v>326</v>
      </c>
      <c r="B1321" t="s">
        <v>797</v>
      </c>
      <c r="C1321" t="s">
        <v>866</v>
      </c>
      <c r="D1321" t="s">
        <v>14</v>
      </c>
      <c r="E1321">
        <v>3</v>
      </c>
      <c r="F1321" s="2">
        <f>DATE(2026,IF(Tabla1[[#This Row],[Mes de Fecha]]="Septiembre",9,10),Tabla1[[#This Row],[Día de Fecha]])</f>
        <v>46298</v>
      </c>
      <c r="G1321">
        <v>22533177</v>
      </c>
      <c r="H1321" t="s">
        <v>411</v>
      </c>
      <c r="I1321">
        <v>151</v>
      </c>
      <c r="J1321">
        <v>0</v>
      </c>
      <c r="K1321" s="1">
        <v>7812982</v>
      </c>
    </row>
    <row r="1322" spans="1:11" x14ac:dyDescent="0.25">
      <c r="A1322" t="s">
        <v>326</v>
      </c>
      <c r="B1322" t="s">
        <v>797</v>
      </c>
      <c r="C1322" t="s">
        <v>866</v>
      </c>
      <c r="D1322" t="s">
        <v>14</v>
      </c>
      <c r="E1322">
        <v>3</v>
      </c>
      <c r="F1322" s="2">
        <f>DATE(2026,IF(Tabla1[[#This Row],[Mes de Fecha]]="Septiembre",9,10),Tabla1[[#This Row],[Día de Fecha]])</f>
        <v>46298</v>
      </c>
      <c r="G1322">
        <v>1041771498</v>
      </c>
      <c r="H1322" t="s">
        <v>799</v>
      </c>
      <c r="I1322">
        <v>69</v>
      </c>
      <c r="J1322">
        <v>0</v>
      </c>
      <c r="K1322" s="1">
        <v>3546868</v>
      </c>
    </row>
    <row r="1323" spans="1:11" x14ac:dyDescent="0.25">
      <c r="A1323" t="s">
        <v>326</v>
      </c>
      <c r="B1323" t="s">
        <v>797</v>
      </c>
      <c r="C1323" t="s">
        <v>866</v>
      </c>
      <c r="D1323" t="s">
        <v>14</v>
      </c>
      <c r="E1323">
        <v>3</v>
      </c>
      <c r="F1323" s="2">
        <f>DATE(2026,IF(Tabla1[[#This Row],[Mes de Fecha]]="Septiembre",9,10),Tabla1[[#This Row],[Día de Fecha]])</f>
        <v>46298</v>
      </c>
      <c r="G1323">
        <v>1098200569</v>
      </c>
      <c r="H1323" t="s">
        <v>491</v>
      </c>
      <c r="I1323">
        <v>215</v>
      </c>
      <c r="J1323">
        <v>0</v>
      </c>
      <c r="K1323" s="1">
        <v>10238232</v>
      </c>
    </row>
    <row r="1324" spans="1:11" x14ac:dyDescent="0.25">
      <c r="A1324" t="s">
        <v>326</v>
      </c>
      <c r="B1324" t="s">
        <v>797</v>
      </c>
      <c r="C1324" t="s">
        <v>866</v>
      </c>
      <c r="D1324" t="s">
        <v>14</v>
      </c>
      <c r="E1324">
        <v>3</v>
      </c>
      <c r="F1324" s="2">
        <f>DATE(2026,IF(Tabla1[[#This Row],[Mes de Fecha]]="Septiembre",9,10),Tabla1[[#This Row],[Día de Fecha]])</f>
        <v>46298</v>
      </c>
      <c r="G1324">
        <v>1143142715</v>
      </c>
      <c r="H1324" t="s">
        <v>407</v>
      </c>
      <c r="I1324">
        <v>128</v>
      </c>
      <c r="J1324">
        <v>0</v>
      </c>
      <c r="K1324" s="1">
        <v>5727586</v>
      </c>
    </row>
    <row r="1325" spans="1:11" x14ac:dyDescent="0.25">
      <c r="A1325" t="s">
        <v>326</v>
      </c>
      <c r="B1325" t="s">
        <v>797</v>
      </c>
      <c r="C1325" t="s">
        <v>866</v>
      </c>
      <c r="D1325" t="s">
        <v>14</v>
      </c>
      <c r="E1325">
        <v>4</v>
      </c>
      <c r="F1325" s="2">
        <f>DATE(2026,IF(Tabla1[[#This Row],[Mes de Fecha]]="Septiembre",9,10),Tabla1[[#This Row],[Día de Fecha]])</f>
        <v>46299</v>
      </c>
      <c r="I1325">
        <v>0</v>
      </c>
      <c r="J1325" s="1">
        <v>16936918</v>
      </c>
      <c r="K1325">
        <v>0</v>
      </c>
    </row>
    <row r="1326" spans="1:11" x14ac:dyDescent="0.25">
      <c r="A1326" t="s">
        <v>326</v>
      </c>
      <c r="B1326" t="s">
        <v>797</v>
      </c>
      <c r="C1326" t="s">
        <v>866</v>
      </c>
      <c r="D1326" t="s">
        <v>14</v>
      </c>
      <c r="E1326">
        <v>4</v>
      </c>
      <c r="F1326" s="2">
        <f>DATE(2026,IF(Tabla1[[#This Row],[Mes de Fecha]]="Septiembre",9,10),Tabla1[[#This Row],[Día de Fecha]])</f>
        <v>46299</v>
      </c>
      <c r="G1326">
        <v>22533177</v>
      </c>
      <c r="H1326" t="s">
        <v>411</v>
      </c>
      <c r="I1326">
        <v>194</v>
      </c>
      <c r="J1326">
        <v>0</v>
      </c>
      <c r="K1326" s="1">
        <v>10041398</v>
      </c>
    </row>
    <row r="1327" spans="1:11" x14ac:dyDescent="0.25">
      <c r="A1327" t="s">
        <v>326</v>
      </c>
      <c r="B1327" t="s">
        <v>797</v>
      </c>
      <c r="C1327" t="s">
        <v>866</v>
      </c>
      <c r="D1327" t="s">
        <v>14</v>
      </c>
      <c r="E1327">
        <v>4</v>
      </c>
      <c r="F1327" s="2">
        <f>DATE(2026,IF(Tabla1[[#This Row],[Mes de Fecha]]="Septiembre",9,10),Tabla1[[#This Row],[Día de Fecha]])</f>
        <v>46299</v>
      </c>
      <c r="G1327">
        <v>1041771498</v>
      </c>
      <c r="H1327" t="s">
        <v>799</v>
      </c>
      <c r="I1327">
        <v>48</v>
      </c>
      <c r="J1327">
        <v>0</v>
      </c>
      <c r="K1327" s="1">
        <v>2737484</v>
      </c>
    </row>
    <row r="1328" spans="1:11" x14ac:dyDescent="0.25">
      <c r="A1328" t="s">
        <v>326</v>
      </c>
      <c r="B1328" t="s">
        <v>797</v>
      </c>
      <c r="C1328" t="s">
        <v>866</v>
      </c>
      <c r="D1328" t="s">
        <v>14</v>
      </c>
      <c r="E1328">
        <v>4</v>
      </c>
      <c r="F1328" s="2">
        <f>DATE(2026,IF(Tabla1[[#This Row],[Mes de Fecha]]="Septiembre",9,10),Tabla1[[#This Row],[Día de Fecha]])</f>
        <v>46299</v>
      </c>
      <c r="G1328">
        <v>1098200569</v>
      </c>
      <c r="H1328" t="s">
        <v>491</v>
      </c>
      <c r="I1328">
        <v>166</v>
      </c>
      <c r="J1328">
        <v>0</v>
      </c>
      <c r="K1328" s="1">
        <v>9324506</v>
      </c>
    </row>
    <row r="1329" spans="1:11" x14ac:dyDescent="0.25">
      <c r="A1329" t="s">
        <v>326</v>
      </c>
      <c r="B1329" t="s">
        <v>797</v>
      </c>
      <c r="C1329" t="s">
        <v>866</v>
      </c>
      <c r="D1329" t="s">
        <v>14</v>
      </c>
      <c r="E1329">
        <v>4</v>
      </c>
      <c r="F1329" s="2">
        <f>DATE(2026,IF(Tabla1[[#This Row],[Mes de Fecha]]="Septiembre",9,10),Tabla1[[#This Row],[Día de Fecha]])</f>
        <v>46299</v>
      </c>
      <c r="G1329">
        <v>1143142715</v>
      </c>
      <c r="H1329" t="s">
        <v>407</v>
      </c>
      <c r="I1329">
        <v>175</v>
      </c>
      <c r="J1329">
        <v>0</v>
      </c>
      <c r="K1329" s="1">
        <v>8781396</v>
      </c>
    </row>
    <row r="1330" spans="1:11" x14ac:dyDescent="0.25">
      <c r="A1330" t="s">
        <v>326</v>
      </c>
      <c r="B1330" t="s">
        <v>797</v>
      </c>
      <c r="C1330" t="s">
        <v>866</v>
      </c>
      <c r="D1330" t="s">
        <v>14</v>
      </c>
      <c r="E1330">
        <v>4</v>
      </c>
      <c r="F1330" s="2">
        <f>DATE(2026,IF(Tabla1[[#This Row],[Mes de Fecha]]="Septiembre",9,10),Tabla1[[#This Row],[Día de Fecha]])</f>
        <v>46299</v>
      </c>
      <c r="G1330">
        <v>1143148766</v>
      </c>
      <c r="H1330" t="s">
        <v>484</v>
      </c>
      <c r="I1330">
        <v>-1</v>
      </c>
      <c r="J1330">
        <v>0</v>
      </c>
      <c r="K1330" s="1">
        <v>-79790</v>
      </c>
    </row>
    <row r="1331" spans="1:11" x14ac:dyDescent="0.25">
      <c r="A1331" t="s">
        <v>326</v>
      </c>
      <c r="B1331" t="s">
        <v>797</v>
      </c>
      <c r="C1331" t="s">
        <v>866</v>
      </c>
      <c r="D1331" t="s">
        <v>14</v>
      </c>
      <c r="E1331">
        <v>5</v>
      </c>
      <c r="F1331" s="2">
        <f>DATE(2026,IF(Tabla1[[#This Row],[Mes de Fecha]]="Septiembre",9,10),Tabla1[[#This Row],[Día de Fecha]])</f>
        <v>46300</v>
      </c>
      <c r="I1331">
        <v>0</v>
      </c>
      <c r="J1331" s="1">
        <v>13751689</v>
      </c>
      <c r="K1331">
        <v>0</v>
      </c>
    </row>
    <row r="1332" spans="1:11" x14ac:dyDescent="0.25">
      <c r="A1332" t="s">
        <v>326</v>
      </c>
      <c r="B1332" t="s">
        <v>797</v>
      </c>
      <c r="C1332" t="s">
        <v>866</v>
      </c>
      <c r="D1332" t="s">
        <v>14</v>
      </c>
      <c r="E1332">
        <v>5</v>
      </c>
      <c r="F1332" s="2">
        <f>DATE(2026,IF(Tabla1[[#This Row],[Mes de Fecha]]="Septiembre",9,10),Tabla1[[#This Row],[Día de Fecha]])</f>
        <v>46300</v>
      </c>
      <c r="G1332">
        <v>22533177</v>
      </c>
      <c r="H1332" t="s">
        <v>411</v>
      </c>
      <c r="I1332">
        <v>81</v>
      </c>
      <c r="J1332">
        <v>0</v>
      </c>
      <c r="K1332" s="1">
        <v>4139123</v>
      </c>
    </row>
    <row r="1333" spans="1:11" x14ac:dyDescent="0.25">
      <c r="A1333" t="s">
        <v>326</v>
      </c>
      <c r="B1333" t="s">
        <v>797</v>
      </c>
      <c r="C1333" t="s">
        <v>866</v>
      </c>
      <c r="D1333" t="s">
        <v>14</v>
      </c>
      <c r="E1333">
        <v>5</v>
      </c>
      <c r="F1333" s="2">
        <f>DATE(2026,IF(Tabla1[[#This Row],[Mes de Fecha]]="Septiembre",9,10),Tabla1[[#This Row],[Día de Fecha]])</f>
        <v>46300</v>
      </c>
      <c r="G1333">
        <v>1041771498</v>
      </c>
      <c r="H1333" t="s">
        <v>799</v>
      </c>
      <c r="I1333">
        <v>50</v>
      </c>
      <c r="J1333">
        <v>0</v>
      </c>
      <c r="K1333" s="1">
        <v>2947481</v>
      </c>
    </row>
    <row r="1334" spans="1:11" x14ac:dyDescent="0.25">
      <c r="A1334" t="s">
        <v>326</v>
      </c>
      <c r="B1334" t="s">
        <v>797</v>
      </c>
      <c r="C1334" t="s">
        <v>866</v>
      </c>
      <c r="D1334" t="s">
        <v>14</v>
      </c>
      <c r="E1334">
        <v>5</v>
      </c>
      <c r="F1334" s="2">
        <f>DATE(2026,IF(Tabla1[[#This Row],[Mes de Fecha]]="Septiembre",9,10),Tabla1[[#This Row],[Día de Fecha]])</f>
        <v>46300</v>
      </c>
      <c r="G1334">
        <v>1098200569</v>
      </c>
      <c r="H1334" t="s">
        <v>491</v>
      </c>
      <c r="I1334">
        <v>92</v>
      </c>
      <c r="J1334">
        <v>0</v>
      </c>
      <c r="K1334" s="1">
        <v>4541214</v>
      </c>
    </row>
    <row r="1335" spans="1:11" x14ac:dyDescent="0.25">
      <c r="A1335" t="s">
        <v>326</v>
      </c>
      <c r="B1335" t="s">
        <v>797</v>
      </c>
      <c r="C1335" t="s">
        <v>866</v>
      </c>
      <c r="D1335" t="s">
        <v>14</v>
      </c>
      <c r="E1335">
        <v>5</v>
      </c>
      <c r="F1335" s="2">
        <f>DATE(2026,IF(Tabla1[[#This Row],[Mes de Fecha]]="Septiembre",9,10),Tabla1[[#This Row],[Día de Fecha]])</f>
        <v>46300</v>
      </c>
      <c r="G1335">
        <v>1143142715</v>
      </c>
      <c r="H1335" t="s">
        <v>407</v>
      </c>
      <c r="I1335">
        <v>59</v>
      </c>
      <c r="J1335">
        <v>0</v>
      </c>
      <c r="K1335" s="1">
        <v>2829248</v>
      </c>
    </row>
    <row r="1336" spans="1:11" x14ac:dyDescent="0.25">
      <c r="A1336" t="s">
        <v>326</v>
      </c>
      <c r="B1336" t="s">
        <v>797</v>
      </c>
      <c r="C1336" t="s">
        <v>866</v>
      </c>
      <c r="D1336" t="s">
        <v>14</v>
      </c>
      <c r="E1336">
        <v>6</v>
      </c>
      <c r="F1336" s="2">
        <f>DATE(2026,IF(Tabla1[[#This Row],[Mes de Fecha]]="Septiembre",9,10),Tabla1[[#This Row],[Día de Fecha]])</f>
        <v>46301</v>
      </c>
      <c r="I1336">
        <v>0</v>
      </c>
      <c r="J1336" s="1">
        <v>5298248</v>
      </c>
      <c r="K1336">
        <v>0</v>
      </c>
    </row>
    <row r="1337" spans="1:11" x14ac:dyDescent="0.25">
      <c r="A1337" t="s">
        <v>326</v>
      </c>
      <c r="B1337" t="s">
        <v>797</v>
      </c>
      <c r="C1337" t="s">
        <v>866</v>
      </c>
      <c r="D1337" t="s">
        <v>14</v>
      </c>
      <c r="E1337">
        <v>6</v>
      </c>
      <c r="F1337" s="2">
        <f>DATE(2026,IF(Tabla1[[#This Row],[Mes de Fecha]]="Septiembre",9,10),Tabla1[[#This Row],[Día de Fecha]])</f>
        <v>46301</v>
      </c>
      <c r="G1337">
        <v>22533177</v>
      </c>
      <c r="H1337" t="s">
        <v>411</v>
      </c>
      <c r="I1337">
        <v>58</v>
      </c>
      <c r="J1337">
        <v>0</v>
      </c>
      <c r="K1337" s="1">
        <v>3022189</v>
      </c>
    </row>
    <row r="1338" spans="1:11" x14ac:dyDescent="0.25">
      <c r="A1338" t="s">
        <v>326</v>
      </c>
      <c r="B1338" t="s">
        <v>797</v>
      </c>
      <c r="C1338" t="s">
        <v>866</v>
      </c>
      <c r="D1338" t="s">
        <v>14</v>
      </c>
      <c r="E1338">
        <v>6</v>
      </c>
      <c r="F1338" s="2">
        <f>DATE(2026,IF(Tabla1[[#This Row],[Mes de Fecha]]="Septiembre",9,10),Tabla1[[#This Row],[Día de Fecha]])</f>
        <v>46301</v>
      </c>
      <c r="G1338">
        <v>1041771498</v>
      </c>
      <c r="H1338" t="s">
        <v>799</v>
      </c>
      <c r="I1338">
        <v>29</v>
      </c>
      <c r="J1338">
        <v>0</v>
      </c>
      <c r="K1338" s="1">
        <v>1637439</v>
      </c>
    </row>
    <row r="1339" spans="1:11" x14ac:dyDescent="0.25">
      <c r="A1339" t="s">
        <v>326</v>
      </c>
      <c r="B1339" t="s">
        <v>797</v>
      </c>
      <c r="C1339" t="s">
        <v>866</v>
      </c>
      <c r="D1339" t="s">
        <v>14</v>
      </c>
      <c r="E1339">
        <v>6</v>
      </c>
      <c r="F1339" s="2">
        <f>DATE(2026,IF(Tabla1[[#This Row],[Mes de Fecha]]="Septiembre",9,10),Tabla1[[#This Row],[Día de Fecha]])</f>
        <v>46301</v>
      </c>
      <c r="G1339">
        <v>1098200569</v>
      </c>
      <c r="H1339" t="s">
        <v>491</v>
      </c>
      <c r="I1339">
        <v>42</v>
      </c>
      <c r="J1339">
        <v>0</v>
      </c>
      <c r="K1339" s="1">
        <v>2330134</v>
      </c>
    </row>
    <row r="1340" spans="1:11" x14ac:dyDescent="0.25">
      <c r="A1340" t="s">
        <v>326</v>
      </c>
      <c r="B1340" t="s">
        <v>797</v>
      </c>
      <c r="C1340" t="s">
        <v>866</v>
      </c>
      <c r="D1340" t="s">
        <v>14</v>
      </c>
      <c r="E1340">
        <v>6</v>
      </c>
      <c r="F1340" s="2">
        <f>DATE(2026,IF(Tabla1[[#This Row],[Mes de Fecha]]="Septiembre",9,10),Tabla1[[#This Row],[Día de Fecha]])</f>
        <v>46301</v>
      </c>
      <c r="G1340">
        <v>1143142715</v>
      </c>
      <c r="H1340" t="s">
        <v>407</v>
      </c>
      <c r="I1340">
        <v>42</v>
      </c>
      <c r="J1340">
        <v>0</v>
      </c>
      <c r="K1340" s="1">
        <v>2548533</v>
      </c>
    </row>
    <row r="1341" spans="1:11" x14ac:dyDescent="0.25">
      <c r="A1341" t="s">
        <v>326</v>
      </c>
      <c r="B1341" t="s">
        <v>797</v>
      </c>
      <c r="C1341" t="s">
        <v>866</v>
      </c>
      <c r="D1341" t="s">
        <v>14</v>
      </c>
      <c r="E1341">
        <v>7</v>
      </c>
      <c r="F1341" s="2">
        <f>DATE(2026,IF(Tabla1[[#This Row],[Mes de Fecha]]="Septiembre",9,10),Tabla1[[#This Row],[Día de Fecha]])</f>
        <v>46302</v>
      </c>
      <c r="I1341">
        <v>0</v>
      </c>
      <c r="J1341" s="1">
        <v>5228532</v>
      </c>
      <c r="K1341">
        <v>0</v>
      </c>
    </row>
    <row r="1342" spans="1:11" x14ac:dyDescent="0.25">
      <c r="A1342" t="s">
        <v>326</v>
      </c>
      <c r="B1342" t="s">
        <v>797</v>
      </c>
      <c r="C1342" t="s">
        <v>866</v>
      </c>
      <c r="D1342" t="s">
        <v>14</v>
      </c>
      <c r="E1342">
        <v>7</v>
      </c>
      <c r="F1342" s="2">
        <f>DATE(2026,IF(Tabla1[[#This Row],[Mes de Fecha]]="Septiembre",9,10),Tabla1[[#This Row],[Día de Fecha]])</f>
        <v>46302</v>
      </c>
      <c r="G1342">
        <v>22533177</v>
      </c>
      <c r="H1342" t="s">
        <v>411</v>
      </c>
      <c r="I1342">
        <v>51</v>
      </c>
      <c r="J1342">
        <v>0</v>
      </c>
      <c r="K1342" s="1">
        <v>2741386</v>
      </c>
    </row>
    <row r="1343" spans="1:11" x14ac:dyDescent="0.25">
      <c r="A1343" t="s">
        <v>326</v>
      </c>
      <c r="B1343" t="s">
        <v>797</v>
      </c>
      <c r="C1343" t="s">
        <v>866</v>
      </c>
      <c r="D1343" t="s">
        <v>14</v>
      </c>
      <c r="E1343">
        <v>7</v>
      </c>
      <c r="F1343" s="2">
        <f>DATE(2026,IF(Tabla1[[#This Row],[Mes de Fecha]]="Septiembre",9,10),Tabla1[[#This Row],[Día de Fecha]])</f>
        <v>46302</v>
      </c>
      <c r="G1343">
        <v>1041771498</v>
      </c>
      <c r="H1343" t="s">
        <v>799</v>
      </c>
      <c r="I1343">
        <v>16</v>
      </c>
      <c r="J1343">
        <v>0</v>
      </c>
      <c r="K1343" s="1">
        <v>1020337</v>
      </c>
    </row>
    <row r="1344" spans="1:11" x14ac:dyDescent="0.25">
      <c r="A1344" t="s">
        <v>326</v>
      </c>
      <c r="B1344" t="s">
        <v>797</v>
      </c>
      <c r="C1344" t="s">
        <v>866</v>
      </c>
      <c r="D1344" t="s">
        <v>14</v>
      </c>
      <c r="E1344">
        <v>7</v>
      </c>
      <c r="F1344" s="2">
        <f>DATE(2026,IF(Tabla1[[#This Row],[Mes de Fecha]]="Septiembre",9,10),Tabla1[[#This Row],[Día de Fecha]])</f>
        <v>46302</v>
      </c>
      <c r="G1344">
        <v>1098200569</v>
      </c>
      <c r="H1344" t="s">
        <v>491</v>
      </c>
      <c r="I1344">
        <v>42</v>
      </c>
      <c r="J1344">
        <v>0</v>
      </c>
      <c r="K1344" s="1">
        <v>2624204</v>
      </c>
    </row>
    <row r="1345" spans="1:11" x14ac:dyDescent="0.25">
      <c r="A1345" t="s">
        <v>326</v>
      </c>
      <c r="B1345" t="s">
        <v>797</v>
      </c>
      <c r="C1345" t="s">
        <v>866</v>
      </c>
      <c r="D1345" t="s">
        <v>14</v>
      </c>
      <c r="E1345">
        <v>7</v>
      </c>
      <c r="F1345" s="2">
        <f>DATE(2026,IF(Tabla1[[#This Row],[Mes de Fecha]]="Septiembre",9,10),Tabla1[[#This Row],[Día de Fecha]])</f>
        <v>46302</v>
      </c>
      <c r="G1345">
        <v>1143142715</v>
      </c>
      <c r="H1345" t="s">
        <v>407</v>
      </c>
      <c r="I1345">
        <v>47</v>
      </c>
      <c r="J1345">
        <v>0</v>
      </c>
      <c r="K1345" s="1">
        <v>2678658</v>
      </c>
    </row>
    <row r="1346" spans="1:11" x14ac:dyDescent="0.25">
      <c r="A1346" t="s">
        <v>326</v>
      </c>
      <c r="B1346" t="s">
        <v>819</v>
      </c>
      <c r="C1346" t="s">
        <v>866</v>
      </c>
      <c r="D1346" t="s">
        <v>11</v>
      </c>
      <c r="E1346">
        <v>23</v>
      </c>
      <c r="F1346" s="2">
        <f>DATE(2026,IF(Tabla1[[#This Row],[Mes de Fecha]]="Septiembre",9,10),Tabla1[[#This Row],[Día de Fecha]])</f>
        <v>46288</v>
      </c>
      <c r="I1346">
        <v>0</v>
      </c>
      <c r="J1346" s="1">
        <v>9858635</v>
      </c>
      <c r="K1346">
        <v>0</v>
      </c>
    </row>
    <row r="1347" spans="1:11" x14ac:dyDescent="0.25">
      <c r="A1347" t="s">
        <v>326</v>
      </c>
      <c r="B1347" t="s">
        <v>819</v>
      </c>
      <c r="C1347" t="s">
        <v>866</v>
      </c>
      <c r="D1347" t="s">
        <v>11</v>
      </c>
      <c r="E1347">
        <v>23</v>
      </c>
      <c r="F1347" s="2">
        <f>DATE(2026,IF(Tabla1[[#This Row],[Mes de Fecha]]="Septiembre",9,10),Tabla1[[#This Row],[Día de Fecha]])</f>
        <v>46288</v>
      </c>
      <c r="G1347">
        <v>45548590</v>
      </c>
      <c r="H1347" t="s">
        <v>477</v>
      </c>
      <c r="I1347">
        <v>77</v>
      </c>
      <c r="J1347">
        <v>0</v>
      </c>
      <c r="K1347" s="1">
        <v>3479206</v>
      </c>
    </row>
    <row r="1348" spans="1:11" x14ac:dyDescent="0.25">
      <c r="A1348" t="s">
        <v>326</v>
      </c>
      <c r="B1348" t="s">
        <v>819</v>
      </c>
      <c r="C1348" t="s">
        <v>866</v>
      </c>
      <c r="D1348" t="s">
        <v>11</v>
      </c>
      <c r="E1348">
        <v>23</v>
      </c>
      <c r="F1348" s="2">
        <f>DATE(2026,IF(Tabla1[[#This Row],[Mes de Fecha]]="Septiembre",9,10),Tabla1[[#This Row],[Día de Fecha]])</f>
        <v>46288</v>
      </c>
      <c r="G1348">
        <v>1002249169</v>
      </c>
      <c r="H1348" t="s">
        <v>473</v>
      </c>
      <c r="I1348">
        <v>116</v>
      </c>
      <c r="J1348">
        <v>0</v>
      </c>
      <c r="K1348" s="1">
        <v>6021979</v>
      </c>
    </row>
    <row r="1349" spans="1:11" x14ac:dyDescent="0.25">
      <c r="A1349" t="s">
        <v>326</v>
      </c>
      <c r="B1349" t="s">
        <v>819</v>
      </c>
      <c r="C1349" t="s">
        <v>866</v>
      </c>
      <c r="D1349" t="s">
        <v>11</v>
      </c>
      <c r="E1349">
        <v>23</v>
      </c>
      <c r="F1349" s="2">
        <f>DATE(2026,IF(Tabla1[[#This Row],[Mes de Fecha]]="Septiembre",9,10),Tabla1[[#This Row],[Día de Fecha]])</f>
        <v>46288</v>
      </c>
      <c r="G1349">
        <v>1087806783</v>
      </c>
      <c r="H1349" t="s">
        <v>820</v>
      </c>
      <c r="I1349">
        <v>43</v>
      </c>
      <c r="J1349">
        <v>0</v>
      </c>
      <c r="K1349" s="1">
        <v>1911893</v>
      </c>
    </row>
    <row r="1350" spans="1:11" x14ac:dyDescent="0.25">
      <c r="A1350" t="s">
        <v>326</v>
      </c>
      <c r="B1350" t="s">
        <v>819</v>
      </c>
      <c r="C1350" t="s">
        <v>866</v>
      </c>
      <c r="D1350" t="s">
        <v>11</v>
      </c>
      <c r="E1350">
        <v>23</v>
      </c>
      <c r="F1350" s="2">
        <f>DATE(2026,IF(Tabla1[[#This Row],[Mes de Fecha]]="Septiembre",9,10),Tabla1[[#This Row],[Día de Fecha]])</f>
        <v>46288</v>
      </c>
      <c r="G1350">
        <v>1124030949</v>
      </c>
      <c r="H1350" t="s">
        <v>610</v>
      </c>
      <c r="I1350">
        <v>-1</v>
      </c>
      <c r="J1350">
        <v>0</v>
      </c>
      <c r="K1350" s="1">
        <v>-41933</v>
      </c>
    </row>
    <row r="1351" spans="1:11" x14ac:dyDescent="0.25">
      <c r="A1351" t="s">
        <v>326</v>
      </c>
      <c r="B1351" t="s">
        <v>819</v>
      </c>
      <c r="C1351" t="s">
        <v>866</v>
      </c>
      <c r="D1351" t="s">
        <v>11</v>
      </c>
      <c r="E1351">
        <v>24</v>
      </c>
      <c r="F1351" s="2">
        <f>DATE(2026,IF(Tabla1[[#This Row],[Mes de Fecha]]="Septiembre",9,10),Tabla1[[#This Row],[Día de Fecha]])</f>
        <v>46289</v>
      </c>
      <c r="I1351">
        <v>0</v>
      </c>
      <c r="J1351" s="1">
        <v>15060177</v>
      </c>
      <c r="K1351">
        <v>0</v>
      </c>
    </row>
    <row r="1352" spans="1:11" x14ac:dyDescent="0.25">
      <c r="A1352" t="s">
        <v>326</v>
      </c>
      <c r="B1352" t="s">
        <v>819</v>
      </c>
      <c r="C1352" t="s">
        <v>866</v>
      </c>
      <c r="D1352" t="s">
        <v>11</v>
      </c>
      <c r="E1352">
        <v>24</v>
      </c>
      <c r="F1352" s="2">
        <f>DATE(2026,IF(Tabla1[[#This Row],[Mes de Fecha]]="Septiembre",9,10),Tabla1[[#This Row],[Día de Fecha]])</f>
        <v>46289</v>
      </c>
      <c r="G1352">
        <v>45548590</v>
      </c>
      <c r="H1352" t="s">
        <v>477</v>
      </c>
      <c r="I1352">
        <v>67</v>
      </c>
      <c r="J1352">
        <v>0</v>
      </c>
      <c r="K1352" s="1">
        <v>3454924</v>
      </c>
    </row>
    <row r="1353" spans="1:11" x14ac:dyDescent="0.25">
      <c r="A1353" t="s">
        <v>326</v>
      </c>
      <c r="B1353" t="s">
        <v>819</v>
      </c>
      <c r="C1353" t="s">
        <v>866</v>
      </c>
      <c r="D1353" t="s">
        <v>11</v>
      </c>
      <c r="E1353">
        <v>24</v>
      </c>
      <c r="F1353" s="2">
        <f>DATE(2026,IF(Tabla1[[#This Row],[Mes de Fecha]]="Septiembre",9,10),Tabla1[[#This Row],[Día de Fecha]])</f>
        <v>46289</v>
      </c>
      <c r="G1353">
        <v>1002249169</v>
      </c>
      <c r="H1353" t="s">
        <v>473</v>
      </c>
      <c r="I1353">
        <v>98</v>
      </c>
      <c r="J1353">
        <v>0</v>
      </c>
      <c r="K1353" s="1">
        <v>4475972</v>
      </c>
    </row>
    <row r="1354" spans="1:11" x14ac:dyDescent="0.25">
      <c r="A1354" t="s">
        <v>326</v>
      </c>
      <c r="B1354" t="s">
        <v>819</v>
      </c>
      <c r="C1354" t="s">
        <v>866</v>
      </c>
      <c r="D1354" t="s">
        <v>11</v>
      </c>
      <c r="E1354">
        <v>24</v>
      </c>
      <c r="F1354" s="2">
        <f>DATE(2026,IF(Tabla1[[#This Row],[Mes de Fecha]]="Septiembre",9,10),Tabla1[[#This Row],[Día de Fecha]])</f>
        <v>46289</v>
      </c>
      <c r="G1354">
        <v>1087806783</v>
      </c>
      <c r="H1354" t="s">
        <v>820</v>
      </c>
      <c r="I1354">
        <v>42</v>
      </c>
      <c r="J1354">
        <v>0</v>
      </c>
      <c r="K1354" s="1">
        <v>2370045</v>
      </c>
    </row>
    <row r="1355" spans="1:11" x14ac:dyDescent="0.25">
      <c r="A1355" t="s">
        <v>326</v>
      </c>
      <c r="B1355" t="s">
        <v>819</v>
      </c>
      <c r="C1355" t="s">
        <v>866</v>
      </c>
      <c r="D1355" t="s">
        <v>11</v>
      </c>
      <c r="E1355">
        <v>25</v>
      </c>
      <c r="F1355" s="2">
        <f>DATE(2026,IF(Tabla1[[#This Row],[Mes de Fecha]]="Septiembre",9,10),Tabla1[[#This Row],[Día de Fecha]])</f>
        <v>46290</v>
      </c>
      <c r="I1355">
        <v>0</v>
      </c>
      <c r="J1355" s="1">
        <v>15026835</v>
      </c>
      <c r="K1355">
        <v>0</v>
      </c>
    </row>
    <row r="1356" spans="1:11" x14ac:dyDescent="0.25">
      <c r="A1356" t="s">
        <v>326</v>
      </c>
      <c r="B1356" t="s">
        <v>819</v>
      </c>
      <c r="C1356" t="s">
        <v>866</v>
      </c>
      <c r="D1356" t="s">
        <v>11</v>
      </c>
      <c r="E1356">
        <v>25</v>
      </c>
      <c r="F1356" s="2">
        <f>DATE(2026,IF(Tabla1[[#This Row],[Mes de Fecha]]="Septiembre",9,10),Tabla1[[#This Row],[Día de Fecha]])</f>
        <v>46290</v>
      </c>
      <c r="G1356">
        <v>45548590</v>
      </c>
      <c r="H1356" t="s">
        <v>477</v>
      </c>
      <c r="I1356">
        <v>79</v>
      </c>
      <c r="J1356">
        <v>0</v>
      </c>
      <c r="K1356" s="1">
        <v>4969160</v>
      </c>
    </row>
    <row r="1357" spans="1:11" x14ac:dyDescent="0.25">
      <c r="A1357" t="s">
        <v>326</v>
      </c>
      <c r="B1357" t="s">
        <v>819</v>
      </c>
      <c r="C1357" t="s">
        <v>866</v>
      </c>
      <c r="D1357" t="s">
        <v>11</v>
      </c>
      <c r="E1357">
        <v>25</v>
      </c>
      <c r="F1357" s="2">
        <f>DATE(2026,IF(Tabla1[[#This Row],[Mes de Fecha]]="Septiembre",9,10),Tabla1[[#This Row],[Día de Fecha]])</f>
        <v>46290</v>
      </c>
      <c r="G1357">
        <v>1002249169</v>
      </c>
      <c r="H1357" t="s">
        <v>473</v>
      </c>
      <c r="I1357">
        <v>101</v>
      </c>
      <c r="J1357">
        <v>0</v>
      </c>
      <c r="K1357" s="1">
        <v>5735006</v>
      </c>
    </row>
    <row r="1358" spans="1:11" x14ac:dyDescent="0.25">
      <c r="A1358" t="s">
        <v>326</v>
      </c>
      <c r="B1358" t="s">
        <v>819</v>
      </c>
      <c r="C1358" t="s">
        <v>866</v>
      </c>
      <c r="D1358" t="s">
        <v>11</v>
      </c>
      <c r="E1358">
        <v>25</v>
      </c>
      <c r="F1358" s="2">
        <f>DATE(2026,IF(Tabla1[[#This Row],[Mes de Fecha]]="Septiembre",9,10),Tabla1[[#This Row],[Día de Fecha]])</f>
        <v>46290</v>
      </c>
      <c r="G1358">
        <v>1087806783</v>
      </c>
      <c r="H1358" t="s">
        <v>820</v>
      </c>
      <c r="I1358">
        <v>38</v>
      </c>
      <c r="J1358">
        <v>0</v>
      </c>
      <c r="K1358" s="1">
        <v>1981513</v>
      </c>
    </row>
    <row r="1359" spans="1:11" x14ac:dyDescent="0.25">
      <c r="A1359" t="s">
        <v>326</v>
      </c>
      <c r="B1359" t="s">
        <v>819</v>
      </c>
      <c r="C1359" t="s">
        <v>866</v>
      </c>
      <c r="D1359" t="s">
        <v>11</v>
      </c>
      <c r="E1359">
        <v>26</v>
      </c>
      <c r="F1359" s="2">
        <f>DATE(2026,IF(Tabla1[[#This Row],[Mes de Fecha]]="Septiembre",9,10),Tabla1[[#This Row],[Día de Fecha]])</f>
        <v>46291</v>
      </c>
      <c r="I1359">
        <v>0</v>
      </c>
      <c r="J1359" s="1">
        <v>21595723</v>
      </c>
      <c r="K1359">
        <v>0</v>
      </c>
    </row>
    <row r="1360" spans="1:11" x14ac:dyDescent="0.25">
      <c r="A1360" t="s">
        <v>326</v>
      </c>
      <c r="B1360" t="s">
        <v>819</v>
      </c>
      <c r="C1360" t="s">
        <v>866</v>
      </c>
      <c r="D1360" t="s">
        <v>11</v>
      </c>
      <c r="E1360">
        <v>26</v>
      </c>
      <c r="F1360" s="2">
        <f>DATE(2026,IF(Tabla1[[#This Row],[Mes de Fecha]]="Septiembre",9,10),Tabla1[[#This Row],[Día de Fecha]])</f>
        <v>46291</v>
      </c>
      <c r="G1360">
        <v>45548590</v>
      </c>
      <c r="H1360" t="s">
        <v>477</v>
      </c>
      <c r="I1360">
        <v>114</v>
      </c>
      <c r="J1360">
        <v>0</v>
      </c>
      <c r="K1360" s="1">
        <v>6423621</v>
      </c>
    </row>
    <row r="1361" spans="1:11" x14ac:dyDescent="0.25">
      <c r="A1361" t="s">
        <v>326</v>
      </c>
      <c r="B1361" t="s">
        <v>819</v>
      </c>
      <c r="C1361" t="s">
        <v>866</v>
      </c>
      <c r="D1361" t="s">
        <v>11</v>
      </c>
      <c r="E1361">
        <v>26</v>
      </c>
      <c r="F1361" s="2">
        <f>DATE(2026,IF(Tabla1[[#This Row],[Mes de Fecha]]="Septiembre",9,10),Tabla1[[#This Row],[Día de Fecha]])</f>
        <v>46291</v>
      </c>
      <c r="G1361">
        <v>1002249169</v>
      </c>
      <c r="H1361" t="s">
        <v>473</v>
      </c>
      <c r="I1361">
        <v>164</v>
      </c>
      <c r="J1361">
        <v>0</v>
      </c>
      <c r="K1361" s="1">
        <v>9820592</v>
      </c>
    </row>
    <row r="1362" spans="1:11" x14ac:dyDescent="0.25">
      <c r="A1362" t="s">
        <v>326</v>
      </c>
      <c r="B1362" t="s">
        <v>819</v>
      </c>
      <c r="C1362" t="s">
        <v>866</v>
      </c>
      <c r="D1362" t="s">
        <v>11</v>
      </c>
      <c r="E1362">
        <v>26</v>
      </c>
      <c r="F1362" s="2">
        <f>DATE(2026,IF(Tabla1[[#This Row],[Mes de Fecha]]="Septiembre",9,10),Tabla1[[#This Row],[Día de Fecha]])</f>
        <v>46291</v>
      </c>
      <c r="G1362">
        <v>1087806783</v>
      </c>
      <c r="H1362" t="s">
        <v>820</v>
      </c>
      <c r="I1362">
        <v>63</v>
      </c>
      <c r="J1362">
        <v>0</v>
      </c>
      <c r="K1362" s="1">
        <v>3707272</v>
      </c>
    </row>
    <row r="1363" spans="1:11" x14ac:dyDescent="0.25">
      <c r="A1363" t="s">
        <v>326</v>
      </c>
      <c r="B1363" t="s">
        <v>819</v>
      </c>
      <c r="C1363" t="s">
        <v>866</v>
      </c>
      <c r="D1363" t="s">
        <v>11</v>
      </c>
      <c r="E1363">
        <v>27</v>
      </c>
      <c r="F1363" s="2">
        <f>DATE(2026,IF(Tabla1[[#This Row],[Mes de Fecha]]="Septiembre",9,10),Tabla1[[#This Row],[Día de Fecha]])</f>
        <v>46292</v>
      </c>
      <c r="I1363">
        <v>0</v>
      </c>
      <c r="J1363" s="1">
        <v>17108160</v>
      </c>
      <c r="K1363">
        <v>0</v>
      </c>
    </row>
    <row r="1364" spans="1:11" x14ac:dyDescent="0.25">
      <c r="A1364" t="s">
        <v>326</v>
      </c>
      <c r="B1364" t="s">
        <v>819</v>
      </c>
      <c r="C1364" t="s">
        <v>866</v>
      </c>
      <c r="D1364" t="s">
        <v>11</v>
      </c>
      <c r="E1364">
        <v>27</v>
      </c>
      <c r="F1364" s="2">
        <f>DATE(2026,IF(Tabla1[[#This Row],[Mes de Fecha]]="Septiembre",9,10),Tabla1[[#This Row],[Día de Fecha]])</f>
        <v>46292</v>
      </c>
      <c r="G1364">
        <v>45548590</v>
      </c>
      <c r="H1364" t="s">
        <v>477</v>
      </c>
      <c r="I1364">
        <v>117</v>
      </c>
      <c r="J1364">
        <v>0</v>
      </c>
      <c r="K1364" s="1">
        <v>6628951</v>
      </c>
    </row>
    <row r="1365" spans="1:11" x14ac:dyDescent="0.25">
      <c r="A1365" t="s">
        <v>326</v>
      </c>
      <c r="B1365" t="s">
        <v>819</v>
      </c>
      <c r="C1365" t="s">
        <v>866</v>
      </c>
      <c r="D1365" t="s">
        <v>11</v>
      </c>
      <c r="E1365">
        <v>27</v>
      </c>
      <c r="F1365" s="2">
        <f>DATE(2026,IF(Tabla1[[#This Row],[Mes de Fecha]]="Septiembre",9,10),Tabla1[[#This Row],[Día de Fecha]])</f>
        <v>46292</v>
      </c>
      <c r="G1365">
        <v>1002249169</v>
      </c>
      <c r="H1365" t="s">
        <v>473</v>
      </c>
      <c r="I1365">
        <v>127</v>
      </c>
      <c r="J1365">
        <v>0</v>
      </c>
      <c r="K1365" s="1">
        <v>6443621</v>
      </c>
    </row>
    <row r="1366" spans="1:11" x14ac:dyDescent="0.25">
      <c r="A1366" t="s">
        <v>326</v>
      </c>
      <c r="B1366" t="s">
        <v>819</v>
      </c>
      <c r="C1366" t="s">
        <v>866</v>
      </c>
      <c r="D1366" t="s">
        <v>11</v>
      </c>
      <c r="E1366">
        <v>27</v>
      </c>
      <c r="F1366" s="2">
        <f>DATE(2026,IF(Tabla1[[#This Row],[Mes de Fecha]]="Septiembre",9,10),Tabla1[[#This Row],[Día de Fecha]])</f>
        <v>46292</v>
      </c>
      <c r="G1366">
        <v>1087806783</v>
      </c>
      <c r="H1366" t="s">
        <v>820</v>
      </c>
      <c r="I1366">
        <v>68</v>
      </c>
      <c r="J1366">
        <v>0</v>
      </c>
      <c r="K1366" s="1">
        <v>3515676</v>
      </c>
    </row>
    <row r="1367" spans="1:11" x14ac:dyDescent="0.25">
      <c r="A1367" t="s">
        <v>326</v>
      </c>
      <c r="B1367" t="s">
        <v>819</v>
      </c>
      <c r="C1367" t="s">
        <v>866</v>
      </c>
      <c r="D1367" t="s">
        <v>11</v>
      </c>
      <c r="E1367">
        <v>28</v>
      </c>
      <c r="F1367" s="2">
        <f>DATE(2026,IF(Tabla1[[#This Row],[Mes de Fecha]]="Septiembre",9,10),Tabla1[[#This Row],[Día de Fecha]])</f>
        <v>46293</v>
      </c>
      <c r="I1367">
        <v>0</v>
      </c>
      <c r="J1367" s="1">
        <v>9415627</v>
      </c>
      <c r="K1367">
        <v>0</v>
      </c>
    </row>
    <row r="1368" spans="1:11" x14ac:dyDescent="0.25">
      <c r="A1368" t="s">
        <v>326</v>
      </c>
      <c r="B1368" t="s">
        <v>819</v>
      </c>
      <c r="C1368" t="s">
        <v>866</v>
      </c>
      <c r="D1368" t="s">
        <v>11</v>
      </c>
      <c r="E1368">
        <v>28</v>
      </c>
      <c r="F1368" s="2">
        <f>DATE(2026,IF(Tabla1[[#This Row],[Mes de Fecha]]="Septiembre",9,10),Tabla1[[#This Row],[Día de Fecha]])</f>
        <v>46293</v>
      </c>
      <c r="G1368">
        <v>45548590</v>
      </c>
      <c r="H1368" t="s">
        <v>477</v>
      </c>
      <c r="I1368">
        <v>61</v>
      </c>
      <c r="J1368">
        <v>0</v>
      </c>
      <c r="K1368" s="1">
        <v>3778702</v>
      </c>
    </row>
    <row r="1369" spans="1:11" x14ac:dyDescent="0.25">
      <c r="A1369" t="s">
        <v>326</v>
      </c>
      <c r="B1369" t="s">
        <v>819</v>
      </c>
      <c r="C1369" t="s">
        <v>866</v>
      </c>
      <c r="D1369" t="s">
        <v>11</v>
      </c>
      <c r="E1369">
        <v>28</v>
      </c>
      <c r="F1369" s="2">
        <f>DATE(2026,IF(Tabla1[[#This Row],[Mes de Fecha]]="Septiembre",9,10),Tabla1[[#This Row],[Día de Fecha]])</f>
        <v>46293</v>
      </c>
      <c r="G1369">
        <v>1002249169</v>
      </c>
      <c r="H1369" t="s">
        <v>473</v>
      </c>
      <c r="I1369">
        <v>59</v>
      </c>
      <c r="J1369">
        <v>0</v>
      </c>
      <c r="K1369" s="1">
        <v>2763828</v>
      </c>
    </row>
    <row r="1370" spans="1:11" x14ac:dyDescent="0.25">
      <c r="A1370" t="s">
        <v>326</v>
      </c>
      <c r="B1370" t="s">
        <v>819</v>
      </c>
      <c r="C1370" t="s">
        <v>866</v>
      </c>
      <c r="D1370" t="s">
        <v>11</v>
      </c>
      <c r="E1370">
        <v>28</v>
      </c>
      <c r="F1370" s="2">
        <f>DATE(2026,IF(Tabla1[[#This Row],[Mes de Fecha]]="Septiembre",9,10),Tabla1[[#This Row],[Día de Fecha]])</f>
        <v>46293</v>
      </c>
      <c r="G1370">
        <v>1067882225</v>
      </c>
      <c r="H1370" t="s">
        <v>476</v>
      </c>
      <c r="I1370">
        <v>-1</v>
      </c>
      <c r="J1370">
        <v>0</v>
      </c>
      <c r="K1370" s="1">
        <v>-46177</v>
      </c>
    </row>
    <row r="1371" spans="1:11" x14ac:dyDescent="0.25">
      <c r="A1371" t="s">
        <v>326</v>
      </c>
      <c r="B1371" t="s">
        <v>819</v>
      </c>
      <c r="C1371" t="s">
        <v>866</v>
      </c>
      <c r="D1371" t="s">
        <v>11</v>
      </c>
      <c r="E1371">
        <v>28</v>
      </c>
      <c r="F1371" s="2">
        <f>DATE(2026,IF(Tabla1[[#This Row],[Mes de Fecha]]="Septiembre",9,10),Tabla1[[#This Row],[Día de Fecha]])</f>
        <v>46293</v>
      </c>
      <c r="G1371">
        <v>1087806783</v>
      </c>
      <c r="H1371" t="s">
        <v>820</v>
      </c>
      <c r="I1371">
        <v>23</v>
      </c>
      <c r="J1371">
        <v>0</v>
      </c>
      <c r="K1371" s="1">
        <v>1187899</v>
      </c>
    </row>
    <row r="1372" spans="1:11" x14ac:dyDescent="0.25">
      <c r="A1372" t="s">
        <v>326</v>
      </c>
      <c r="B1372" t="s">
        <v>819</v>
      </c>
      <c r="C1372" t="s">
        <v>866</v>
      </c>
      <c r="D1372" t="s">
        <v>11</v>
      </c>
      <c r="E1372">
        <v>29</v>
      </c>
      <c r="F1372" s="2">
        <f>DATE(2026,IF(Tabla1[[#This Row],[Mes de Fecha]]="Septiembre",9,10),Tabla1[[#This Row],[Día de Fecha]])</f>
        <v>46294</v>
      </c>
      <c r="I1372">
        <v>0</v>
      </c>
      <c r="J1372" s="1">
        <v>10057733</v>
      </c>
      <c r="K1372">
        <v>0</v>
      </c>
    </row>
    <row r="1373" spans="1:11" x14ac:dyDescent="0.25">
      <c r="A1373" t="s">
        <v>326</v>
      </c>
      <c r="B1373" t="s">
        <v>819</v>
      </c>
      <c r="C1373" t="s">
        <v>866</v>
      </c>
      <c r="D1373" t="s">
        <v>11</v>
      </c>
      <c r="E1373">
        <v>29</v>
      </c>
      <c r="F1373" s="2">
        <f>DATE(2026,IF(Tabla1[[#This Row],[Mes de Fecha]]="Septiembre",9,10),Tabla1[[#This Row],[Día de Fecha]])</f>
        <v>46294</v>
      </c>
      <c r="G1373">
        <v>45548590</v>
      </c>
      <c r="H1373" t="s">
        <v>477</v>
      </c>
      <c r="I1373">
        <v>59</v>
      </c>
      <c r="J1373">
        <v>0</v>
      </c>
      <c r="K1373" s="1">
        <v>3404665</v>
      </c>
    </row>
    <row r="1374" spans="1:11" x14ac:dyDescent="0.25">
      <c r="A1374" t="s">
        <v>326</v>
      </c>
      <c r="B1374" t="s">
        <v>819</v>
      </c>
      <c r="C1374" t="s">
        <v>866</v>
      </c>
      <c r="D1374" t="s">
        <v>11</v>
      </c>
      <c r="E1374">
        <v>29</v>
      </c>
      <c r="F1374" s="2">
        <f>DATE(2026,IF(Tabla1[[#This Row],[Mes de Fecha]]="Septiembre",9,10),Tabla1[[#This Row],[Día de Fecha]])</f>
        <v>46294</v>
      </c>
      <c r="G1374">
        <v>1002249169</v>
      </c>
      <c r="H1374" t="s">
        <v>473</v>
      </c>
      <c r="I1374">
        <v>75</v>
      </c>
      <c r="J1374">
        <v>0</v>
      </c>
      <c r="K1374" s="1">
        <v>3965129</v>
      </c>
    </row>
    <row r="1375" spans="1:11" x14ac:dyDescent="0.25">
      <c r="A1375" t="s">
        <v>326</v>
      </c>
      <c r="B1375" t="s">
        <v>819</v>
      </c>
      <c r="C1375" t="s">
        <v>866</v>
      </c>
      <c r="D1375" t="s">
        <v>11</v>
      </c>
      <c r="E1375">
        <v>29</v>
      </c>
      <c r="F1375" s="2">
        <f>DATE(2026,IF(Tabla1[[#This Row],[Mes de Fecha]]="Septiembre",9,10),Tabla1[[#This Row],[Día de Fecha]])</f>
        <v>46294</v>
      </c>
      <c r="G1375">
        <v>1087806783</v>
      </c>
      <c r="H1375" t="s">
        <v>820</v>
      </c>
      <c r="I1375">
        <v>29</v>
      </c>
      <c r="J1375">
        <v>0</v>
      </c>
      <c r="K1375" s="1">
        <v>1649835</v>
      </c>
    </row>
    <row r="1376" spans="1:11" x14ac:dyDescent="0.25">
      <c r="A1376" t="s">
        <v>326</v>
      </c>
      <c r="B1376" t="s">
        <v>819</v>
      </c>
      <c r="C1376" t="s">
        <v>866</v>
      </c>
      <c r="D1376" t="s">
        <v>11</v>
      </c>
      <c r="E1376">
        <v>30</v>
      </c>
      <c r="F1376" s="2">
        <f>DATE(2026,IF(Tabla1[[#This Row],[Mes de Fecha]]="Septiembre",9,10),Tabla1[[#This Row],[Día de Fecha]])</f>
        <v>46295</v>
      </c>
      <c r="I1376">
        <v>0</v>
      </c>
      <c r="J1376" s="1">
        <v>10389821</v>
      </c>
      <c r="K1376">
        <v>0</v>
      </c>
    </row>
    <row r="1377" spans="1:11" x14ac:dyDescent="0.25">
      <c r="A1377" t="s">
        <v>326</v>
      </c>
      <c r="B1377" t="s">
        <v>819</v>
      </c>
      <c r="C1377" t="s">
        <v>866</v>
      </c>
      <c r="D1377" t="s">
        <v>11</v>
      </c>
      <c r="E1377">
        <v>30</v>
      </c>
      <c r="F1377" s="2">
        <f>DATE(2026,IF(Tabla1[[#This Row],[Mes de Fecha]]="Septiembre",9,10),Tabla1[[#This Row],[Día de Fecha]])</f>
        <v>46295</v>
      </c>
      <c r="G1377">
        <v>45548590</v>
      </c>
      <c r="H1377" t="s">
        <v>477</v>
      </c>
      <c r="I1377">
        <v>55</v>
      </c>
      <c r="J1377">
        <v>0</v>
      </c>
      <c r="K1377" s="1">
        <v>3026767</v>
      </c>
    </row>
    <row r="1378" spans="1:11" x14ac:dyDescent="0.25">
      <c r="A1378" t="s">
        <v>326</v>
      </c>
      <c r="B1378" t="s">
        <v>819</v>
      </c>
      <c r="C1378" t="s">
        <v>866</v>
      </c>
      <c r="D1378" t="s">
        <v>11</v>
      </c>
      <c r="E1378">
        <v>30</v>
      </c>
      <c r="F1378" s="2">
        <f>DATE(2026,IF(Tabla1[[#This Row],[Mes de Fecha]]="Septiembre",9,10),Tabla1[[#This Row],[Día de Fecha]])</f>
        <v>46295</v>
      </c>
      <c r="G1378">
        <v>1002249169</v>
      </c>
      <c r="H1378" t="s">
        <v>473</v>
      </c>
      <c r="I1378">
        <v>102</v>
      </c>
      <c r="J1378">
        <v>0</v>
      </c>
      <c r="K1378" s="1">
        <v>4725596</v>
      </c>
    </row>
    <row r="1379" spans="1:11" x14ac:dyDescent="0.25">
      <c r="A1379" t="s">
        <v>326</v>
      </c>
      <c r="B1379" t="s">
        <v>819</v>
      </c>
      <c r="C1379" t="s">
        <v>866</v>
      </c>
      <c r="D1379" t="s">
        <v>11</v>
      </c>
      <c r="E1379">
        <v>30</v>
      </c>
      <c r="F1379" s="2">
        <f>DATE(2026,IF(Tabla1[[#This Row],[Mes de Fecha]]="Septiembre",9,10),Tabla1[[#This Row],[Día de Fecha]])</f>
        <v>46295</v>
      </c>
      <c r="G1379">
        <v>1087806783</v>
      </c>
      <c r="H1379" t="s">
        <v>820</v>
      </c>
      <c r="I1379">
        <v>35</v>
      </c>
      <c r="J1379">
        <v>0</v>
      </c>
      <c r="K1379" s="1">
        <v>1624411</v>
      </c>
    </row>
    <row r="1380" spans="1:11" x14ac:dyDescent="0.25">
      <c r="A1380" t="s">
        <v>326</v>
      </c>
      <c r="B1380" t="s">
        <v>819</v>
      </c>
      <c r="C1380" t="s">
        <v>866</v>
      </c>
      <c r="D1380" t="s">
        <v>14</v>
      </c>
      <c r="E1380">
        <v>1</v>
      </c>
      <c r="F1380" s="2">
        <f>DATE(2026,IF(Tabla1[[#This Row],[Mes de Fecha]]="Septiembre",9,10),Tabla1[[#This Row],[Día de Fecha]])</f>
        <v>46296</v>
      </c>
      <c r="I1380">
        <v>0</v>
      </c>
      <c r="J1380" s="1">
        <v>7616498</v>
      </c>
      <c r="K1380">
        <v>0</v>
      </c>
    </row>
    <row r="1381" spans="1:11" x14ac:dyDescent="0.25">
      <c r="A1381" t="s">
        <v>326</v>
      </c>
      <c r="B1381" t="s">
        <v>819</v>
      </c>
      <c r="C1381" t="s">
        <v>866</v>
      </c>
      <c r="D1381" t="s">
        <v>14</v>
      </c>
      <c r="E1381">
        <v>1</v>
      </c>
      <c r="F1381" s="2">
        <f>DATE(2026,IF(Tabla1[[#This Row],[Mes de Fecha]]="Septiembre",9,10),Tabla1[[#This Row],[Día de Fecha]])</f>
        <v>46296</v>
      </c>
      <c r="G1381">
        <v>45548590</v>
      </c>
      <c r="H1381" t="s">
        <v>477</v>
      </c>
      <c r="I1381">
        <v>100</v>
      </c>
      <c r="J1381">
        <v>0</v>
      </c>
      <c r="K1381" s="1">
        <v>5932398</v>
      </c>
    </row>
    <row r="1382" spans="1:11" x14ac:dyDescent="0.25">
      <c r="A1382" t="s">
        <v>326</v>
      </c>
      <c r="B1382" t="s">
        <v>819</v>
      </c>
      <c r="C1382" t="s">
        <v>866</v>
      </c>
      <c r="D1382" t="s">
        <v>14</v>
      </c>
      <c r="E1382">
        <v>1</v>
      </c>
      <c r="F1382" s="2">
        <f>DATE(2026,IF(Tabla1[[#This Row],[Mes de Fecha]]="Septiembre",9,10),Tabla1[[#This Row],[Día de Fecha]])</f>
        <v>46296</v>
      </c>
      <c r="G1382">
        <v>1002249169</v>
      </c>
      <c r="H1382" t="s">
        <v>473</v>
      </c>
      <c r="I1382">
        <v>103</v>
      </c>
      <c r="J1382">
        <v>0</v>
      </c>
      <c r="K1382" s="1">
        <v>5242737</v>
      </c>
    </row>
    <row r="1383" spans="1:11" x14ac:dyDescent="0.25">
      <c r="A1383" t="s">
        <v>326</v>
      </c>
      <c r="B1383" t="s">
        <v>819</v>
      </c>
      <c r="C1383" t="s">
        <v>866</v>
      </c>
      <c r="D1383" t="s">
        <v>14</v>
      </c>
      <c r="E1383">
        <v>1</v>
      </c>
      <c r="F1383" s="2">
        <f>DATE(2026,IF(Tabla1[[#This Row],[Mes de Fecha]]="Septiembre",9,10),Tabla1[[#This Row],[Día de Fecha]])</f>
        <v>46296</v>
      </c>
      <c r="G1383">
        <v>1087806783</v>
      </c>
      <c r="H1383" t="s">
        <v>820</v>
      </c>
      <c r="I1383">
        <v>33</v>
      </c>
      <c r="J1383">
        <v>0</v>
      </c>
      <c r="K1383" s="1">
        <v>1708530</v>
      </c>
    </row>
    <row r="1384" spans="1:11" x14ac:dyDescent="0.25">
      <c r="A1384" t="s">
        <v>326</v>
      </c>
      <c r="B1384" t="s">
        <v>819</v>
      </c>
      <c r="C1384" t="s">
        <v>866</v>
      </c>
      <c r="D1384" t="s">
        <v>14</v>
      </c>
      <c r="E1384">
        <v>2</v>
      </c>
      <c r="F1384" s="2">
        <f>DATE(2026,IF(Tabla1[[#This Row],[Mes de Fecha]]="Septiembre",9,10),Tabla1[[#This Row],[Día de Fecha]])</f>
        <v>46297</v>
      </c>
      <c r="I1384">
        <v>0</v>
      </c>
      <c r="J1384" s="1">
        <v>11043629</v>
      </c>
      <c r="K1384">
        <v>0</v>
      </c>
    </row>
    <row r="1385" spans="1:11" x14ac:dyDescent="0.25">
      <c r="A1385" t="s">
        <v>326</v>
      </c>
      <c r="B1385" t="s">
        <v>819</v>
      </c>
      <c r="C1385" t="s">
        <v>866</v>
      </c>
      <c r="D1385" t="s">
        <v>14</v>
      </c>
      <c r="E1385">
        <v>2</v>
      </c>
      <c r="F1385" s="2">
        <f>DATE(2026,IF(Tabla1[[#This Row],[Mes de Fecha]]="Septiembre",9,10),Tabla1[[#This Row],[Día de Fecha]])</f>
        <v>46297</v>
      </c>
      <c r="G1385">
        <v>3811650</v>
      </c>
      <c r="H1385" t="s">
        <v>466</v>
      </c>
      <c r="I1385">
        <v>-1</v>
      </c>
      <c r="J1385">
        <v>0</v>
      </c>
      <c r="K1385" s="1">
        <v>-117605</v>
      </c>
    </row>
    <row r="1386" spans="1:11" x14ac:dyDescent="0.25">
      <c r="A1386" t="s">
        <v>326</v>
      </c>
      <c r="B1386" t="s">
        <v>819</v>
      </c>
      <c r="C1386" t="s">
        <v>866</v>
      </c>
      <c r="D1386" t="s">
        <v>14</v>
      </c>
      <c r="E1386">
        <v>2</v>
      </c>
      <c r="F1386" s="2">
        <f>DATE(2026,IF(Tabla1[[#This Row],[Mes de Fecha]]="Septiembre",9,10),Tabla1[[#This Row],[Día de Fecha]])</f>
        <v>46297</v>
      </c>
      <c r="G1386">
        <v>45548590</v>
      </c>
      <c r="H1386" t="s">
        <v>477</v>
      </c>
      <c r="I1386">
        <v>96</v>
      </c>
      <c r="J1386">
        <v>0</v>
      </c>
      <c r="K1386" s="1">
        <v>5619463</v>
      </c>
    </row>
    <row r="1387" spans="1:11" x14ac:dyDescent="0.25">
      <c r="A1387" t="s">
        <v>326</v>
      </c>
      <c r="B1387" t="s">
        <v>819</v>
      </c>
      <c r="C1387" t="s">
        <v>866</v>
      </c>
      <c r="D1387" t="s">
        <v>14</v>
      </c>
      <c r="E1387">
        <v>2</v>
      </c>
      <c r="F1387" s="2">
        <f>DATE(2026,IF(Tabla1[[#This Row],[Mes de Fecha]]="Septiembre",9,10),Tabla1[[#This Row],[Día de Fecha]])</f>
        <v>46297</v>
      </c>
      <c r="G1387">
        <v>1002249169</v>
      </c>
      <c r="H1387" t="s">
        <v>473</v>
      </c>
      <c r="I1387">
        <v>87</v>
      </c>
      <c r="J1387">
        <v>0</v>
      </c>
      <c r="K1387" s="1">
        <v>4365594</v>
      </c>
    </row>
    <row r="1388" spans="1:11" x14ac:dyDescent="0.25">
      <c r="A1388" t="s">
        <v>326</v>
      </c>
      <c r="B1388" t="s">
        <v>819</v>
      </c>
      <c r="C1388" t="s">
        <v>866</v>
      </c>
      <c r="D1388" t="s">
        <v>14</v>
      </c>
      <c r="E1388">
        <v>2</v>
      </c>
      <c r="F1388" s="2">
        <f>DATE(2026,IF(Tabla1[[#This Row],[Mes de Fecha]]="Septiembre",9,10),Tabla1[[#This Row],[Día de Fecha]])</f>
        <v>46297</v>
      </c>
      <c r="G1388">
        <v>1087806783</v>
      </c>
      <c r="H1388" t="s">
        <v>820</v>
      </c>
      <c r="I1388">
        <v>56</v>
      </c>
      <c r="J1388">
        <v>0</v>
      </c>
      <c r="K1388" s="1">
        <v>3043572</v>
      </c>
    </row>
    <row r="1389" spans="1:11" x14ac:dyDescent="0.25">
      <c r="A1389" t="s">
        <v>326</v>
      </c>
      <c r="B1389" t="s">
        <v>819</v>
      </c>
      <c r="C1389" t="s">
        <v>866</v>
      </c>
      <c r="D1389" t="s">
        <v>14</v>
      </c>
      <c r="E1389">
        <v>2</v>
      </c>
      <c r="F1389" s="2">
        <f>DATE(2026,IF(Tabla1[[#This Row],[Mes de Fecha]]="Septiembre",9,10),Tabla1[[#This Row],[Día de Fecha]])</f>
        <v>46297</v>
      </c>
      <c r="G1389">
        <v>1113038720</v>
      </c>
      <c r="H1389" t="s">
        <v>349</v>
      </c>
      <c r="I1389">
        <v>-1</v>
      </c>
      <c r="J1389">
        <v>0</v>
      </c>
      <c r="K1389" s="1">
        <v>-67185</v>
      </c>
    </row>
    <row r="1390" spans="1:11" x14ac:dyDescent="0.25">
      <c r="A1390" t="s">
        <v>326</v>
      </c>
      <c r="B1390" t="s">
        <v>819</v>
      </c>
      <c r="C1390" t="s">
        <v>866</v>
      </c>
      <c r="D1390" t="s">
        <v>14</v>
      </c>
      <c r="E1390">
        <v>3</v>
      </c>
      <c r="F1390" s="2">
        <f>DATE(2026,IF(Tabla1[[#This Row],[Mes de Fecha]]="Septiembre",9,10),Tabla1[[#This Row],[Día de Fecha]])</f>
        <v>46298</v>
      </c>
      <c r="I1390">
        <v>0</v>
      </c>
      <c r="J1390" s="1">
        <v>14865197</v>
      </c>
      <c r="K1390">
        <v>0</v>
      </c>
    </row>
    <row r="1391" spans="1:11" x14ac:dyDescent="0.25">
      <c r="A1391" t="s">
        <v>326</v>
      </c>
      <c r="B1391" t="s">
        <v>819</v>
      </c>
      <c r="C1391" t="s">
        <v>866</v>
      </c>
      <c r="D1391" t="s">
        <v>14</v>
      </c>
      <c r="E1391">
        <v>3</v>
      </c>
      <c r="F1391" s="2">
        <f>DATE(2026,IF(Tabla1[[#This Row],[Mes de Fecha]]="Septiembre",9,10),Tabla1[[#This Row],[Día de Fecha]])</f>
        <v>46298</v>
      </c>
      <c r="G1391">
        <v>45548590</v>
      </c>
      <c r="H1391" t="s">
        <v>477</v>
      </c>
      <c r="I1391">
        <v>107</v>
      </c>
      <c r="J1391">
        <v>0</v>
      </c>
      <c r="K1391" s="1">
        <v>5507952</v>
      </c>
    </row>
    <row r="1392" spans="1:11" x14ac:dyDescent="0.25">
      <c r="A1392" t="s">
        <v>326</v>
      </c>
      <c r="B1392" t="s">
        <v>819</v>
      </c>
      <c r="C1392" t="s">
        <v>866</v>
      </c>
      <c r="D1392" t="s">
        <v>14</v>
      </c>
      <c r="E1392">
        <v>3</v>
      </c>
      <c r="F1392" s="2">
        <f>DATE(2026,IF(Tabla1[[#This Row],[Mes de Fecha]]="Septiembre",9,10),Tabla1[[#This Row],[Día de Fecha]])</f>
        <v>46298</v>
      </c>
      <c r="G1392">
        <v>1002249169</v>
      </c>
      <c r="H1392" t="s">
        <v>473</v>
      </c>
      <c r="I1392">
        <v>103</v>
      </c>
      <c r="J1392">
        <v>0</v>
      </c>
      <c r="K1392" s="1">
        <v>5345742</v>
      </c>
    </row>
    <row r="1393" spans="1:11" x14ac:dyDescent="0.25">
      <c r="A1393" t="s">
        <v>326</v>
      </c>
      <c r="B1393" t="s">
        <v>819</v>
      </c>
      <c r="C1393" t="s">
        <v>866</v>
      </c>
      <c r="D1393" t="s">
        <v>14</v>
      </c>
      <c r="E1393">
        <v>3</v>
      </c>
      <c r="F1393" s="2">
        <f>DATE(2026,IF(Tabla1[[#This Row],[Mes de Fecha]]="Septiembre",9,10),Tabla1[[#This Row],[Día de Fecha]])</f>
        <v>46298</v>
      </c>
      <c r="G1393">
        <v>1047480286</v>
      </c>
      <c r="H1393" t="s">
        <v>480</v>
      </c>
      <c r="I1393">
        <v>-1</v>
      </c>
      <c r="J1393">
        <v>0</v>
      </c>
      <c r="K1393" s="1">
        <v>-46177</v>
      </c>
    </row>
    <row r="1394" spans="1:11" x14ac:dyDescent="0.25">
      <c r="A1394" t="s">
        <v>326</v>
      </c>
      <c r="B1394" t="s">
        <v>819</v>
      </c>
      <c r="C1394" t="s">
        <v>866</v>
      </c>
      <c r="D1394" t="s">
        <v>14</v>
      </c>
      <c r="E1394">
        <v>3</v>
      </c>
      <c r="F1394" s="2">
        <f>DATE(2026,IF(Tabla1[[#This Row],[Mes de Fecha]]="Septiembre",9,10),Tabla1[[#This Row],[Día de Fecha]])</f>
        <v>46298</v>
      </c>
      <c r="G1394">
        <v>1047485937</v>
      </c>
      <c r="H1394" t="s">
        <v>470</v>
      </c>
      <c r="I1394">
        <v>-1</v>
      </c>
      <c r="J1394">
        <v>0</v>
      </c>
      <c r="K1394" s="1">
        <v>-71386</v>
      </c>
    </row>
    <row r="1395" spans="1:11" x14ac:dyDescent="0.25">
      <c r="A1395" t="s">
        <v>326</v>
      </c>
      <c r="B1395" t="s">
        <v>819</v>
      </c>
      <c r="C1395" t="s">
        <v>866</v>
      </c>
      <c r="D1395" t="s">
        <v>14</v>
      </c>
      <c r="E1395">
        <v>3</v>
      </c>
      <c r="F1395" s="2">
        <f>DATE(2026,IF(Tabla1[[#This Row],[Mes de Fecha]]="Septiembre",9,10),Tabla1[[#This Row],[Día de Fecha]])</f>
        <v>46298</v>
      </c>
      <c r="G1395">
        <v>1087806783</v>
      </c>
      <c r="H1395" t="s">
        <v>820</v>
      </c>
      <c r="I1395">
        <v>51</v>
      </c>
      <c r="J1395">
        <v>0</v>
      </c>
      <c r="K1395" s="1">
        <v>2426919</v>
      </c>
    </row>
    <row r="1396" spans="1:11" x14ac:dyDescent="0.25">
      <c r="A1396" t="s">
        <v>326</v>
      </c>
      <c r="B1396" t="s">
        <v>819</v>
      </c>
      <c r="C1396" t="s">
        <v>866</v>
      </c>
      <c r="D1396" t="s">
        <v>14</v>
      </c>
      <c r="E1396">
        <v>3</v>
      </c>
      <c r="F1396" s="2">
        <f>DATE(2026,IF(Tabla1[[#This Row],[Mes de Fecha]]="Septiembre",9,10),Tabla1[[#This Row],[Día de Fecha]])</f>
        <v>46298</v>
      </c>
      <c r="G1396">
        <v>1124030949</v>
      </c>
      <c r="H1396" t="s">
        <v>610</v>
      </c>
      <c r="I1396">
        <v>-1</v>
      </c>
      <c r="J1396">
        <v>0</v>
      </c>
      <c r="K1396" s="1">
        <v>-54580</v>
      </c>
    </row>
    <row r="1397" spans="1:11" x14ac:dyDescent="0.25">
      <c r="A1397" t="s">
        <v>326</v>
      </c>
      <c r="B1397" t="s">
        <v>819</v>
      </c>
      <c r="C1397" t="s">
        <v>866</v>
      </c>
      <c r="D1397" t="s">
        <v>14</v>
      </c>
      <c r="E1397">
        <v>4</v>
      </c>
      <c r="F1397" s="2">
        <f>DATE(2026,IF(Tabla1[[#This Row],[Mes de Fecha]]="Septiembre",9,10),Tabla1[[#This Row],[Día de Fecha]])</f>
        <v>46299</v>
      </c>
      <c r="I1397">
        <v>0</v>
      </c>
      <c r="J1397" s="1">
        <v>11593347</v>
      </c>
      <c r="K1397">
        <v>0</v>
      </c>
    </row>
    <row r="1398" spans="1:11" x14ac:dyDescent="0.25">
      <c r="A1398" t="s">
        <v>326</v>
      </c>
      <c r="B1398" t="s">
        <v>819</v>
      </c>
      <c r="C1398" t="s">
        <v>866</v>
      </c>
      <c r="D1398" t="s">
        <v>14</v>
      </c>
      <c r="E1398">
        <v>4</v>
      </c>
      <c r="F1398" s="2">
        <f>DATE(2026,IF(Tabla1[[#This Row],[Mes de Fecha]]="Septiembre",9,10),Tabla1[[#This Row],[Día de Fecha]])</f>
        <v>46299</v>
      </c>
      <c r="G1398">
        <v>45548590</v>
      </c>
      <c r="H1398" t="s">
        <v>477</v>
      </c>
      <c r="I1398">
        <v>101</v>
      </c>
      <c r="J1398">
        <v>0</v>
      </c>
      <c r="K1398" s="1">
        <v>5756013</v>
      </c>
    </row>
    <row r="1399" spans="1:11" x14ac:dyDescent="0.25">
      <c r="A1399" t="s">
        <v>326</v>
      </c>
      <c r="B1399" t="s">
        <v>819</v>
      </c>
      <c r="C1399" t="s">
        <v>866</v>
      </c>
      <c r="D1399" t="s">
        <v>14</v>
      </c>
      <c r="E1399">
        <v>4</v>
      </c>
      <c r="F1399" s="2">
        <f>DATE(2026,IF(Tabla1[[#This Row],[Mes de Fecha]]="Septiembre",9,10),Tabla1[[#This Row],[Día de Fecha]])</f>
        <v>46299</v>
      </c>
      <c r="G1399">
        <v>1002249169</v>
      </c>
      <c r="H1399" t="s">
        <v>473</v>
      </c>
      <c r="I1399">
        <v>81</v>
      </c>
      <c r="J1399">
        <v>0</v>
      </c>
      <c r="K1399" s="1">
        <v>4935165</v>
      </c>
    </row>
    <row r="1400" spans="1:11" x14ac:dyDescent="0.25">
      <c r="A1400" t="s">
        <v>326</v>
      </c>
      <c r="B1400" t="s">
        <v>819</v>
      </c>
      <c r="C1400" t="s">
        <v>866</v>
      </c>
      <c r="D1400" t="s">
        <v>14</v>
      </c>
      <c r="E1400">
        <v>4</v>
      </c>
      <c r="F1400" s="2">
        <f>DATE(2026,IF(Tabla1[[#This Row],[Mes de Fecha]]="Septiembre",9,10),Tabla1[[#This Row],[Día de Fecha]])</f>
        <v>46299</v>
      </c>
      <c r="G1400">
        <v>1087806783</v>
      </c>
      <c r="H1400" t="s">
        <v>820</v>
      </c>
      <c r="I1400">
        <v>37</v>
      </c>
      <c r="J1400">
        <v>0</v>
      </c>
      <c r="K1400" s="1">
        <v>1905843</v>
      </c>
    </row>
    <row r="1401" spans="1:11" x14ac:dyDescent="0.25">
      <c r="A1401" t="s">
        <v>326</v>
      </c>
      <c r="B1401" t="s">
        <v>819</v>
      </c>
      <c r="C1401" t="s">
        <v>866</v>
      </c>
      <c r="D1401" t="s">
        <v>14</v>
      </c>
      <c r="E1401">
        <v>5</v>
      </c>
      <c r="F1401" s="2">
        <f>DATE(2026,IF(Tabla1[[#This Row],[Mes de Fecha]]="Septiembre",9,10),Tabla1[[#This Row],[Día de Fecha]])</f>
        <v>46300</v>
      </c>
      <c r="I1401">
        <v>0</v>
      </c>
      <c r="J1401" s="1">
        <v>8697849</v>
      </c>
      <c r="K1401">
        <v>0</v>
      </c>
    </row>
    <row r="1402" spans="1:11" x14ac:dyDescent="0.25">
      <c r="A1402" t="s">
        <v>326</v>
      </c>
      <c r="B1402" t="s">
        <v>819</v>
      </c>
      <c r="C1402" t="s">
        <v>866</v>
      </c>
      <c r="D1402" t="s">
        <v>14</v>
      </c>
      <c r="E1402">
        <v>5</v>
      </c>
      <c r="F1402" s="2">
        <f>DATE(2026,IF(Tabla1[[#This Row],[Mes de Fecha]]="Septiembre",9,10),Tabla1[[#This Row],[Día de Fecha]])</f>
        <v>46300</v>
      </c>
      <c r="G1402">
        <v>45548590</v>
      </c>
      <c r="H1402" t="s">
        <v>477</v>
      </c>
      <c r="I1402">
        <v>58</v>
      </c>
      <c r="J1402">
        <v>0</v>
      </c>
      <c r="K1402" s="1">
        <v>3428030</v>
      </c>
    </row>
    <row r="1403" spans="1:11" x14ac:dyDescent="0.25">
      <c r="A1403" t="s">
        <v>326</v>
      </c>
      <c r="B1403" t="s">
        <v>819</v>
      </c>
      <c r="C1403" t="s">
        <v>866</v>
      </c>
      <c r="D1403" t="s">
        <v>14</v>
      </c>
      <c r="E1403">
        <v>5</v>
      </c>
      <c r="F1403" s="2">
        <f>DATE(2026,IF(Tabla1[[#This Row],[Mes de Fecha]]="Septiembre",9,10),Tabla1[[#This Row],[Día de Fecha]])</f>
        <v>46300</v>
      </c>
      <c r="G1403">
        <v>1002249169</v>
      </c>
      <c r="H1403" t="s">
        <v>473</v>
      </c>
      <c r="I1403">
        <v>67</v>
      </c>
      <c r="J1403">
        <v>0</v>
      </c>
      <c r="K1403" s="1">
        <v>3543236</v>
      </c>
    </row>
    <row r="1404" spans="1:11" x14ac:dyDescent="0.25">
      <c r="A1404" t="s">
        <v>326</v>
      </c>
      <c r="B1404" t="s">
        <v>819</v>
      </c>
      <c r="C1404" t="s">
        <v>866</v>
      </c>
      <c r="D1404" t="s">
        <v>14</v>
      </c>
      <c r="E1404">
        <v>5</v>
      </c>
      <c r="F1404" s="2">
        <f>DATE(2026,IF(Tabla1[[#This Row],[Mes de Fecha]]="Septiembre",9,10),Tabla1[[#This Row],[Día de Fecha]])</f>
        <v>46300</v>
      </c>
      <c r="G1404">
        <v>1087806783</v>
      </c>
      <c r="H1404" t="s">
        <v>820</v>
      </c>
      <c r="I1404">
        <v>24</v>
      </c>
      <c r="J1404">
        <v>0</v>
      </c>
      <c r="K1404" s="1">
        <v>1469580</v>
      </c>
    </row>
    <row r="1405" spans="1:11" x14ac:dyDescent="0.25">
      <c r="A1405" t="s">
        <v>326</v>
      </c>
      <c r="B1405" t="s">
        <v>819</v>
      </c>
      <c r="C1405" t="s">
        <v>866</v>
      </c>
      <c r="D1405" t="s">
        <v>14</v>
      </c>
      <c r="E1405">
        <v>6</v>
      </c>
      <c r="F1405" s="2">
        <f>DATE(2026,IF(Tabla1[[#This Row],[Mes de Fecha]]="Septiembre",9,10),Tabla1[[#This Row],[Día de Fecha]])</f>
        <v>46301</v>
      </c>
      <c r="I1405">
        <v>0</v>
      </c>
      <c r="J1405" s="1">
        <v>5315778</v>
      </c>
      <c r="K1405">
        <v>0</v>
      </c>
    </row>
    <row r="1406" spans="1:11" x14ac:dyDescent="0.25">
      <c r="A1406" t="s">
        <v>326</v>
      </c>
      <c r="B1406" t="s">
        <v>819</v>
      </c>
      <c r="C1406" t="s">
        <v>866</v>
      </c>
      <c r="D1406" t="s">
        <v>14</v>
      </c>
      <c r="E1406">
        <v>6</v>
      </c>
      <c r="F1406" s="2">
        <f>DATE(2026,IF(Tabla1[[#This Row],[Mes de Fecha]]="Septiembre",9,10),Tabla1[[#This Row],[Día de Fecha]])</f>
        <v>46301</v>
      </c>
      <c r="G1406">
        <v>45548590</v>
      </c>
      <c r="H1406" t="s">
        <v>477</v>
      </c>
      <c r="I1406">
        <v>51</v>
      </c>
      <c r="J1406">
        <v>0</v>
      </c>
      <c r="K1406" s="1">
        <v>2812901</v>
      </c>
    </row>
    <row r="1407" spans="1:11" x14ac:dyDescent="0.25">
      <c r="A1407" t="s">
        <v>326</v>
      </c>
      <c r="B1407" t="s">
        <v>819</v>
      </c>
      <c r="C1407" t="s">
        <v>866</v>
      </c>
      <c r="D1407" t="s">
        <v>14</v>
      </c>
      <c r="E1407">
        <v>6</v>
      </c>
      <c r="F1407" s="2">
        <f>DATE(2026,IF(Tabla1[[#This Row],[Mes de Fecha]]="Septiembre",9,10),Tabla1[[#This Row],[Día de Fecha]])</f>
        <v>46301</v>
      </c>
      <c r="G1407">
        <v>1002249169</v>
      </c>
      <c r="H1407" t="s">
        <v>473</v>
      </c>
      <c r="I1407">
        <v>41</v>
      </c>
      <c r="J1407">
        <v>0</v>
      </c>
      <c r="K1407" s="1">
        <v>2631086</v>
      </c>
    </row>
    <row r="1408" spans="1:11" x14ac:dyDescent="0.25">
      <c r="A1408" t="s">
        <v>326</v>
      </c>
      <c r="B1408" t="s">
        <v>819</v>
      </c>
      <c r="C1408" t="s">
        <v>866</v>
      </c>
      <c r="D1408" t="s">
        <v>14</v>
      </c>
      <c r="E1408">
        <v>6</v>
      </c>
      <c r="F1408" s="2">
        <f>DATE(2026,IF(Tabla1[[#This Row],[Mes de Fecha]]="Septiembre",9,10),Tabla1[[#This Row],[Día de Fecha]])</f>
        <v>46301</v>
      </c>
      <c r="G1408">
        <v>1087806783</v>
      </c>
      <c r="H1408" t="s">
        <v>820</v>
      </c>
      <c r="I1408">
        <v>32</v>
      </c>
      <c r="J1408">
        <v>0</v>
      </c>
      <c r="K1408" s="1">
        <v>1935508</v>
      </c>
    </row>
    <row r="1409" spans="1:11" x14ac:dyDescent="0.25">
      <c r="A1409" t="s">
        <v>326</v>
      </c>
      <c r="B1409" t="s">
        <v>819</v>
      </c>
      <c r="C1409" t="s">
        <v>866</v>
      </c>
      <c r="D1409" t="s">
        <v>14</v>
      </c>
      <c r="E1409">
        <v>7</v>
      </c>
      <c r="F1409" s="2">
        <f>DATE(2026,IF(Tabla1[[#This Row],[Mes de Fecha]]="Septiembre",9,10),Tabla1[[#This Row],[Día de Fecha]])</f>
        <v>46302</v>
      </c>
      <c r="I1409">
        <v>0</v>
      </c>
      <c r="J1409" s="1">
        <v>5245833</v>
      </c>
      <c r="K1409">
        <v>0</v>
      </c>
    </row>
    <row r="1410" spans="1:11" x14ac:dyDescent="0.25">
      <c r="A1410" t="s">
        <v>326</v>
      </c>
      <c r="B1410" t="s">
        <v>819</v>
      </c>
      <c r="C1410" t="s">
        <v>866</v>
      </c>
      <c r="D1410" t="s">
        <v>14</v>
      </c>
      <c r="E1410">
        <v>7</v>
      </c>
      <c r="F1410" s="2">
        <f>DATE(2026,IF(Tabla1[[#This Row],[Mes de Fecha]]="Septiembre",9,10),Tabla1[[#This Row],[Día de Fecha]])</f>
        <v>46302</v>
      </c>
      <c r="G1410">
        <v>45548590</v>
      </c>
      <c r="H1410" t="s">
        <v>477</v>
      </c>
      <c r="I1410">
        <v>45</v>
      </c>
      <c r="J1410">
        <v>0</v>
      </c>
      <c r="K1410" s="1">
        <v>2712397</v>
      </c>
    </row>
    <row r="1411" spans="1:11" x14ac:dyDescent="0.25">
      <c r="A1411" t="s">
        <v>326</v>
      </c>
      <c r="B1411" t="s">
        <v>819</v>
      </c>
      <c r="C1411" t="s">
        <v>866</v>
      </c>
      <c r="D1411" t="s">
        <v>14</v>
      </c>
      <c r="E1411">
        <v>7</v>
      </c>
      <c r="F1411" s="2">
        <f>DATE(2026,IF(Tabla1[[#This Row],[Mes de Fecha]]="Septiembre",9,10),Tabla1[[#This Row],[Día de Fecha]])</f>
        <v>46302</v>
      </c>
      <c r="G1411">
        <v>1002249169</v>
      </c>
      <c r="H1411" t="s">
        <v>473</v>
      </c>
      <c r="I1411">
        <v>43</v>
      </c>
      <c r="J1411">
        <v>0</v>
      </c>
      <c r="K1411" s="1">
        <v>2069541</v>
      </c>
    </row>
    <row r="1412" spans="1:11" x14ac:dyDescent="0.25">
      <c r="A1412" t="s">
        <v>326</v>
      </c>
      <c r="B1412" t="s">
        <v>819</v>
      </c>
      <c r="C1412" t="s">
        <v>866</v>
      </c>
      <c r="D1412" t="s">
        <v>14</v>
      </c>
      <c r="E1412">
        <v>7</v>
      </c>
      <c r="F1412" s="2">
        <f>DATE(2026,IF(Tabla1[[#This Row],[Mes de Fecha]]="Septiembre",9,10),Tabla1[[#This Row],[Día de Fecha]])</f>
        <v>46302</v>
      </c>
      <c r="G1412">
        <v>1087806783</v>
      </c>
      <c r="H1412" t="s">
        <v>820</v>
      </c>
      <c r="I1412">
        <v>11</v>
      </c>
      <c r="J1412">
        <v>0</v>
      </c>
      <c r="K1412" s="1">
        <v>507816</v>
      </c>
    </row>
    <row r="1413" spans="1:11" x14ac:dyDescent="0.25">
      <c r="A1413" t="s">
        <v>326</v>
      </c>
      <c r="B1413" t="s">
        <v>846</v>
      </c>
      <c r="C1413" t="s">
        <v>866</v>
      </c>
      <c r="D1413" t="s">
        <v>11</v>
      </c>
      <c r="E1413">
        <v>23</v>
      </c>
      <c r="F1413" s="2">
        <f>DATE(2026,IF(Tabla1[[#This Row],[Mes de Fecha]]="Septiembre",9,10),Tabla1[[#This Row],[Día de Fecha]])</f>
        <v>46288</v>
      </c>
      <c r="I1413">
        <v>0</v>
      </c>
      <c r="J1413">
        <v>0</v>
      </c>
      <c r="K1413">
        <v>0</v>
      </c>
    </row>
    <row r="1414" spans="1:11" x14ac:dyDescent="0.25">
      <c r="A1414" t="s">
        <v>326</v>
      </c>
      <c r="B1414" t="s">
        <v>846</v>
      </c>
      <c r="C1414" t="s">
        <v>866</v>
      </c>
      <c r="D1414" t="s">
        <v>11</v>
      </c>
      <c r="E1414">
        <v>24</v>
      </c>
      <c r="F1414" s="2">
        <f>DATE(2026,IF(Tabla1[[#This Row],[Mes de Fecha]]="Septiembre",9,10),Tabla1[[#This Row],[Día de Fecha]])</f>
        <v>46289</v>
      </c>
      <c r="I1414">
        <v>0</v>
      </c>
      <c r="J1414" s="1">
        <v>4983830</v>
      </c>
      <c r="K1414">
        <v>0</v>
      </c>
    </row>
    <row r="1415" spans="1:11" x14ac:dyDescent="0.25">
      <c r="A1415" t="s">
        <v>326</v>
      </c>
      <c r="B1415" t="s">
        <v>846</v>
      </c>
      <c r="C1415" t="s">
        <v>866</v>
      </c>
      <c r="D1415" t="s">
        <v>11</v>
      </c>
      <c r="E1415">
        <v>24</v>
      </c>
      <c r="F1415" s="2">
        <f>DATE(2026,IF(Tabla1[[#This Row],[Mes de Fecha]]="Septiembre",9,10),Tabla1[[#This Row],[Día de Fecha]])</f>
        <v>46289</v>
      </c>
      <c r="G1415">
        <v>1004347266</v>
      </c>
      <c r="H1415" t="s">
        <v>492</v>
      </c>
      <c r="I1415">
        <v>29</v>
      </c>
      <c r="J1415">
        <v>0</v>
      </c>
      <c r="K1415" s="1">
        <v>1561811</v>
      </c>
    </row>
    <row r="1416" spans="1:11" x14ac:dyDescent="0.25">
      <c r="A1416" t="s">
        <v>326</v>
      </c>
      <c r="B1416" t="s">
        <v>846</v>
      </c>
      <c r="C1416" t="s">
        <v>866</v>
      </c>
      <c r="D1416" t="s">
        <v>11</v>
      </c>
      <c r="E1416">
        <v>24</v>
      </c>
      <c r="F1416" s="2">
        <f>DATE(2026,IF(Tabla1[[#This Row],[Mes de Fecha]]="Septiembre",9,10),Tabla1[[#This Row],[Día de Fecha]])</f>
        <v>46289</v>
      </c>
      <c r="G1416">
        <v>1082922050</v>
      </c>
      <c r="H1416" t="s">
        <v>683</v>
      </c>
      <c r="I1416">
        <v>27</v>
      </c>
      <c r="J1416">
        <v>0</v>
      </c>
      <c r="K1416" s="1">
        <v>1650129</v>
      </c>
    </row>
    <row r="1417" spans="1:11" x14ac:dyDescent="0.25">
      <c r="A1417" t="s">
        <v>326</v>
      </c>
      <c r="B1417" t="s">
        <v>846</v>
      </c>
      <c r="C1417" t="s">
        <v>866</v>
      </c>
      <c r="D1417" t="s">
        <v>11</v>
      </c>
      <c r="E1417">
        <v>24</v>
      </c>
      <c r="F1417" s="2">
        <f>DATE(2026,IF(Tabla1[[#This Row],[Mes de Fecha]]="Septiembre",9,10),Tabla1[[#This Row],[Día de Fecha]])</f>
        <v>46289</v>
      </c>
      <c r="G1417">
        <v>1143452487</v>
      </c>
      <c r="H1417" t="s">
        <v>847</v>
      </c>
      <c r="I1417">
        <v>29</v>
      </c>
      <c r="J1417">
        <v>0</v>
      </c>
      <c r="K1417" s="1">
        <v>1771891</v>
      </c>
    </row>
    <row r="1418" spans="1:11" x14ac:dyDescent="0.25">
      <c r="A1418" t="s">
        <v>326</v>
      </c>
      <c r="B1418" t="s">
        <v>846</v>
      </c>
      <c r="C1418" t="s">
        <v>866</v>
      </c>
      <c r="D1418" t="s">
        <v>11</v>
      </c>
      <c r="E1418">
        <v>25</v>
      </c>
      <c r="F1418" s="2">
        <f>DATE(2026,IF(Tabla1[[#This Row],[Mes de Fecha]]="Septiembre",9,10),Tabla1[[#This Row],[Día de Fecha]])</f>
        <v>46290</v>
      </c>
      <c r="I1418">
        <v>0</v>
      </c>
      <c r="J1418" s="1">
        <v>12629396</v>
      </c>
      <c r="K1418">
        <v>0</v>
      </c>
    </row>
    <row r="1419" spans="1:11" x14ac:dyDescent="0.25">
      <c r="A1419" t="s">
        <v>326</v>
      </c>
      <c r="B1419" t="s">
        <v>846</v>
      </c>
      <c r="C1419" t="s">
        <v>866</v>
      </c>
      <c r="D1419" t="s">
        <v>11</v>
      </c>
      <c r="E1419">
        <v>25</v>
      </c>
      <c r="F1419" s="2">
        <f>DATE(2026,IF(Tabla1[[#This Row],[Mes de Fecha]]="Septiembre",9,10),Tabla1[[#This Row],[Día de Fecha]])</f>
        <v>46290</v>
      </c>
      <c r="G1419">
        <v>1004347266</v>
      </c>
      <c r="H1419" t="s">
        <v>492</v>
      </c>
      <c r="I1419">
        <v>75</v>
      </c>
      <c r="J1419">
        <v>0</v>
      </c>
      <c r="K1419" s="1">
        <v>4610213</v>
      </c>
    </row>
    <row r="1420" spans="1:11" x14ac:dyDescent="0.25">
      <c r="A1420" t="s">
        <v>326</v>
      </c>
      <c r="B1420" t="s">
        <v>846</v>
      </c>
      <c r="C1420" t="s">
        <v>866</v>
      </c>
      <c r="D1420" t="s">
        <v>11</v>
      </c>
      <c r="E1420">
        <v>25</v>
      </c>
      <c r="F1420" s="2">
        <f>DATE(2026,IF(Tabla1[[#This Row],[Mes de Fecha]]="Septiembre",9,10),Tabla1[[#This Row],[Día de Fecha]])</f>
        <v>46290</v>
      </c>
      <c r="G1420">
        <v>1082922050</v>
      </c>
      <c r="H1420" t="s">
        <v>683</v>
      </c>
      <c r="I1420">
        <v>78</v>
      </c>
      <c r="J1420">
        <v>0</v>
      </c>
      <c r="K1420" s="1">
        <v>4805545</v>
      </c>
    </row>
    <row r="1421" spans="1:11" x14ac:dyDescent="0.25">
      <c r="A1421" t="s">
        <v>326</v>
      </c>
      <c r="B1421" t="s">
        <v>846</v>
      </c>
      <c r="C1421" t="s">
        <v>866</v>
      </c>
      <c r="D1421" t="s">
        <v>11</v>
      </c>
      <c r="E1421">
        <v>25</v>
      </c>
      <c r="F1421" s="2">
        <f>DATE(2026,IF(Tabla1[[#This Row],[Mes de Fecha]]="Septiembre",9,10),Tabla1[[#This Row],[Día de Fecha]])</f>
        <v>46290</v>
      </c>
      <c r="G1421">
        <v>1143452487</v>
      </c>
      <c r="H1421" t="s">
        <v>847</v>
      </c>
      <c r="I1421">
        <v>69</v>
      </c>
      <c r="J1421">
        <v>0</v>
      </c>
      <c r="K1421" s="1">
        <v>3648240</v>
      </c>
    </row>
    <row r="1422" spans="1:11" x14ac:dyDescent="0.25">
      <c r="A1422" t="s">
        <v>326</v>
      </c>
      <c r="B1422" t="s">
        <v>846</v>
      </c>
      <c r="C1422" t="s">
        <v>866</v>
      </c>
      <c r="D1422" t="s">
        <v>11</v>
      </c>
      <c r="E1422">
        <v>26</v>
      </c>
      <c r="F1422" s="2">
        <f>DATE(2026,IF(Tabla1[[#This Row],[Mes de Fecha]]="Septiembre",9,10),Tabla1[[#This Row],[Día de Fecha]])</f>
        <v>46291</v>
      </c>
      <c r="I1422">
        <v>0</v>
      </c>
      <c r="J1422" s="1">
        <v>18150262</v>
      </c>
      <c r="K1422">
        <v>0</v>
      </c>
    </row>
    <row r="1423" spans="1:11" x14ac:dyDescent="0.25">
      <c r="A1423" t="s">
        <v>326</v>
      </c>
      <c r="B1423" t="s">
        <v>846</v>
      </c>
      <c r="C1423" t="s">
        <v>866</v>
      </c>
      <c r="D1423" t="s">
        <v>11</v>
      </c>
      <c r="E1423">
        <v>26</v>
      </c>
      <c r="F1423" s="2">
        <f>DATE(2026,IF(Tabla1[[#This Row],[Mes de Fecha]]="Septiembre",9,10),Tabla1[[#This Row],[Día de Fecha]])</f>
        <v>46291</v>
      </c>
      <c r="G1423">
        <v>1004347266</v>
      </c>
      <c r="H1423" t="s">
        <v>492</v>
      </c>
      <c r="I1423">
        <v>67</v>
      </c>
      <c r="J1423">
        <v>0</v>
      </c>
      <c r="K1423" s="1">
        <v>3516096</v>
      </c>
    </row>
    <row r="1424" spans="1:11" x14ac:dyDescent="0.25">
      <c r="A1424" t="s">
        <v>326</v>
      </c>
      <c r="B1424" t="s">
        <v>846</v>
      </c>
      <c r="C1424" t="s">
        <v>866</v>
      </c>
      <c r="D1424" t="s">
        <v>11</v>
      </c>
      <c r="E1424">
        <v>26</v>
      </c>
      <c r="F1424" s="2">
        <f>DATE(2026,IF(Tabla1[[#This Row],[Mes de Fecha]]="Septiembre",9,10),Tabla1[[#This Row],[Día de Fecha]])</f>
        <v>46291</v>
      </c>
      <c r="G1424">
        <v>1082922050</v>
      </c>
      <c r="H1424" t="s">
        <v>683</v>
      </c>
      <c r="I1424">
        <v>43</v>
      </c>
      <c r="J1424">
        <v>0</v>
      </c>
      <c r="K1424" s="1">
        <v>2275464</v>
      </c>
    </row>
    <row r="1425" spans="1:11" x14ac:dyDescent="0.25">
      <c r="A1425" t="s">
        <v>326</v>
      </c>
      <c r="B1425" t="s">
        <v>846</v>
      </c>
      <c r="C1425" t="s">
        <v>866</v>
      </c>
      <c r="D1425" t="s">
        <v>11</v>
      </c>
      <c r="E1425">
        <v>26</v>
      </c>
      <c r="F1425" s="2">
        <f>DATE(2026,IF(Tabla1[[#This Row],[Mes de Fecha]]="Septiembre",9,10),Tabla1[[#This Row],[Día de Fecha]])</f>
        <v>46291</v>
      </c>
      <c r="G1425">
        <v>1143452487</v>
      </c>
      <c r="H1425" t="s">
        <v>847</v>
      </c>
      <c r="I1425">
        <v>64</v>
      </c>
      <c r="J1425">
        <v>0</v>
      </c>
      <c r="K1425" s="1">
        <v>3560383</v>
      </c>
    </row>
    <row r="1426" spans="1:11" x14ac:dyDescent="0.25">
      <c r="A1426" t="s">
        <v>326</v>
      </c>
      <c r="B1426" t="s">
        <v>846</v>
      </c>
      <c r="C1426" t="s">
        <v>866</v>
      </c>
      <c r="D1426" t="s">
        <v>11</v>
      </c>
      <c r="E1426">
        <v>27</v>
      </c>
      <c r="F1426" s="2">
        <f>DATE(2026,IF(Tabla1[[#This Row],[Mes de Fecha]]="Septiembre",9,10),Tabla1[[#This Row],[Día de Fecha]])</f>
        <v>46292</v>
      </c>
      <c r="I1426">
        <v>0</v>
      </c>
      <c r="J1426" s="1">
        <v>14378661</v>
      </c>
      <c r="K1426">
        <v>0</v>
      </c>
    </row>
    <row r="1427" spans="1:11" x14ac:dyDescent="0.25">
      <c r="A1427" t="s">
        <v>326</v>
      </c>
      <c r="B1427" t="s">
        <v>846</v>
      </c>
      <c r="C1427" t="s">
        <v>866</v>
      </c>
      <c r="D1427" t="s">
        <v>11</v>
      </c>
      <c r="E1427">
        <v>27</v>
      </c>
      <c r="F1427" s="2">
        <f>DATE(2026,IF(Tabla1[[#This Row],[Mes de Fecha]]="Septiembre",9,10),Tabla1[[#This Row],[Día de Fecha]])</f>
        <v>46292</v>
      </c>
      <c r="G1427">
        <v>1004347266</v>
      </c>
      <c r="H1427" t="s">
        <v>492</v>
      </c>
      <c r="I1427">
        <v>100</v>
      </c>
      <c r="J1427">
        <v>0</v>
      </c>
      <c r="K1427" s="1">
        <v>6224628</v>
      </c>
    </row>
    <row r="1428" spans="1:11" x14ac:dyDescent="0.25">
      <c r="A1428" t="s">
        <v>326</v>
      </c>
      <c r="B1428" t="s">
        <v>846</v>
      </c>
      <c r="C1428" t="s">
        <v>866</v>
      </c>
      <c r="D1428" t="s">
        <v>11</v>
      </c>
      <c r="E1428">
        <v>27</v>
      </c>
      <c r="F1428" s="2">
        <f>DATE(2026,IF(Tabla1[[#This Row],[Mes de Fecha]]="Septiembre",9,10),Tabla1[[#This Row],[Día de Fecha]])</f>
        <v>46292</v>
      </c>
      <c r="G1428">
        <v>1082922050</v>
      </c>
      <c r="H1428" t="s">
        <v>683</v>
      </c>
      <c r="I1428">
        <v>44</v>
      </c>
      <c r="J1428">
        <v>0</v>
      </c>
      <c r="K1428" s="1">
        <v>3208236</v>
      </c>
    </row>
    <row r="1429" spans="1:11" x14ac:dyDescent="0.25">
      <c r="A1429" t="s">
        <v>326</v>
      </c>
      <c r="B1429" t="s">
        <v>846</v>
      </c>
      <c r="C1429" t="s">
        <v>866</v>
      </c>
      <c r="D1429" t="s">
        <v>11</v>
      </c>
      <c r="E1429">
        <v>27</v>
      </c>
      <c r="F1429" s="2">
        <f>DATE(2026,IF(Tabla1[[#This Row],[Mes de Fecha]]="Septiembre",9,10),Tabla1[[#This Row],[Día de Fecha]])</f>
        <v>46292</v>
      </c>
      <c r="G1429">
        <v>1143452487</v>
      </c>
      <c r="H1429" t="s">
        <v>847</v>
      </c>
      <c r="I1429">
        <v>85</v>
      </c>
      <c r="J1429">
        <v>0</v>
      </c>
      <c r="K1429" s="1">
        <v>5065677</v>
      </c>
    </row>
    <row r="1430" spans="1:11" x14ac:dyDescent="0.25">
      <c r="A1430" t="s">
        <v>326</v>
      </c>
      <c r="B1430" t="s">
        <v>846</v>
      </c>
      <c r="C1430" t="s">
        <v>866</v>
      </c>
      <c r="D1430" t="s">
        <v>11</v>
      </c>
      <c r="E1430">
        <v>28</v>
      </c>
      <c r="F1430" s="2">
        <f>DATE(2026,IF(Tabla1[[#This Row],[Mes de Fecha]]="Septiembre",9,10),Tabla1[[#This Row],[Día de Fecha]])</f>
        <v>46293</v>
      </c>
      <c r="I1430">
        <v>0</v>
      </c>
      <c r="J1430" s="1">
        <v>7913423</v>
      </c>
      <c r="K1430">
        <v>0</v>
      </c>
    </row>
    <row r="1431" spans="1:11" x14ac:dyDescent="0.25">
      <c r="A1431" t="s">
        <v>326</v>
      </c>
      <c r="B1431" t="s">
        <v>846</v>
      </c>
      <c r="C1431" t="s">
        <v>866</v>
      </c>
      <c r="D1431" t="s">
        <v>11</v>
      </c>
      <c r="E1431">
        <v>28</v>
      </c>
      <c r="F1431" s="2">
        <f>DATE(2026,IF(Tabla1[[#This Row],[Mes de Fecha]]="Septiembre",9,10),Tabla1[[#This Row],[Día de Fecha]])</f>
        <v>46293</v>
      </c>
      <c r="G1431">
        <v>1004347266</v>
      </c>
      <c r="H1431" t="s">
        <v>492</v>
      </c>
      <c r="I1431">
        <v>26</v>
      </c>
      <c r="J1431">
        <v>0</v>
      </c>
      <c r="K1431" s="1">
        <v>1557692</v>
      </c>
    </row>
    <row r="1432" spans="1:11" x14ac:dyDescent="0.25">
      <c r="A1432" t="s">
        <v>326</v>
      </c>
      <c r="B1432" t="s">
        <v>846</v>
      </c>
      <c r="C1432" t="s">
        <v>866</v>
      </c>
      <c r="D1432" t="s">
        <v>11</v>
      </c>
      <c r="E1432">
        <v>28</v>
      </c>
      <c r="F1432" s="2">
        <f>DATE(2026,IF(Tabla1[[#This Row],[Mes de Fecha]]="Septiembre",9,10),Tabla1[[#This Row],[Día de Fecha]])</f>
        <v>46293</v>
      </c>
      <c r="G1432">
        <v>1082922050</v>
      </c>
      <c r="H1432" t="s">
        <v>683</v>
      </c>
      <c r="I1432">
        <v>31</v>
      </c>
      <c r="J1432">
        <v>0</v>
      </c>
      <c r="K1432" s="1">
        <v>1532272</v>
      </c>
    </row>
    <row r="1433" spans="1:11" x14ac:dyDescent="0.25">
      <c r="A1433" t="s">
        <v>326</v>
      </c>
      <c r="B1433" t="s">
        <v>846</v>
      </c>
      <c r="C1433" t="s">
        <v>866</v>
      </c>
      <c r="D1433" t="s">
        <v>11</v>
      </c>
      <c r="E1433">
        <v>28</v>
      </c>
      <c r="F1433" s="2">
        <f>DATE(2026,IF(Tabla1[[#This Row],[Mes de Fecha]]="Septiembre",9,10),Tabla1[[#This Row],[Día de Fecha]])</f>
        <v>46293</v>
      </c>
      <c r="G1433">
        <v>1143452487</v>
      </c>
      <c r="H1433" t="s">
        <v>847</v>
      </c>
      <c r="I1433">
        <v>45</v>
      </c>
      <c r="J1433">
        <v>0</v>
      </c>
      <c r="K1433" s="1">
        <v>2520971</v>
      </c>
    </row>
    <row r="1434" spans="1:11" x14ac:dyDescent="0.25">
      <c r="A1434" t="s">
        <v>326</v>
      </c>
      <c r="B1434" t="s">
        <v>846</v>
      </c>
      <c r="C1434" t="s">
        <v>866</v>
      </c>
      <c r="D1434" t="s">
        <v>11</v>
      </c>
      <c r="E1434">
        <v>29</v>
      </c>
      <c r="F1434" s="2">
        <f>DATE(2026,IF(Tabla1[[#This Row],[Mes de Fecha]]="Septiembre",9,10),Tabla1[[#This Row],[Día de Fecha]])</f>
        <v>46294</v>
      </c>
      <c r="I1434">
        <v>0</v>
      </c>
      <c r="J1434" s="1">
        <v>8453086</v>
      </c>
      <c r="K1434">
        <v>0</v>
      </c>
    </row>
    <row r="1435" spans="1:11" x14ac:dyDescent="0.25">
      <c r="A1435" t="s">
        <v>326</v>
      </c>
      <c r="B1435" t="s">
        <v>846</v>
      </c>
      <c r="C1435" t="s">
        <v>866</v>
      </c>
      <c r="D1435" t="s">
        <v>11</v>
      </c>
      <c r="E1435">
        <v>29</v>
      </c>
      <c r="F1435" s="2">
        <f>DATE(2026,IF(Tabla1[[#This Row],[Mes de Fecha]]="Septiembre",9,10),Tabla1[[#This Row],[Día de Fecha]])</f>
        <v>46294</v>
      </c>
      <c r="G1435">
        <v>1004347266</v>
      </c>
      <c r="H1435" t="s">
        <v>492</v>
      </c>
      <c r="I1435">
        <v>56</v>
      </c>
      <c r="J1435">
        <v>0</v>
      </c>
      <c r="K1435" s="1">
        <v>3346304</v>
      </c>
    </row>
    <row r="1436" spans="1:11" x14ac:dyDescent="0.25">
      <c r="A1436" t="s">
        <v>326</v>
      </c>
      <c r="B1436" t="s">
        <v>846</v>
      </c>
      <c r="C1436" t="s">
        <v>866</v>
      </c>
      <c r="D1436" t="s">
        <v>11</v>
      </c>
      <c r="E1436">
        <v>29</v>
      </c>
      <c r="F1436" s="2">
        <f>DATE(2026,IF(Tabla1[[#This Row],[Mes de Fecha]]="Septiembre",9,10),Tabla1[[#This Row],[Día de Fecha]])</f>
        <v>46294</v>
      </c>
      <c r="G1436">
        <v>1082922050</v>
      </c>
      <c r="H1436" t="s">
        <v>683</v>
      </c>
      <c r="I1436">
        <v>36</v>
      </c>
      <c r="J1436">
        <v>0</v>
      </c>
      <c r="K1436" s="1">
        <v>2286138</v>
      </c>
    </row>
    <row r="1437" spans="1:11" x14ac:dyDescent="0.25">
      <c r="A1437" t="s">
        <v>326</v>
      </c>
      <c r="B1437" t="s">
        <v>846</v>
      </c>
      <c r="C1437" t="s">
        <v>866</v>
      </c>
      <c r="D1437" t="s">
        <v>11</v>
      </c>
      <c r="E1437">
        <v>29</v>
      </c>
      <c r="F1437" s="2">
        <f>DATE(2026,IF(Tabla1[[#This Row],[Mes de Fecha]]="Septiembre",9,10),Tabla1[[#This Row],[Día de Fecha]])</f>
        <v>46294</v>
      </c>
      <c r="G1437">
        <v>1143452487</v>
      </c>
      <c r="H1437" t="s">
        <v>847</v>
      </c>
      <c r="I1437">
        <v>80</v>
      </c>
      <c r="J1437">
        <v>0</v>
      </c>
      <c r="K1437" s="1">
        <v>4483910</v>
      </c>
    </row>
    <row r="1438" spans="1:11" x14ac:dyDescent="0.25">
      <c r="A1438" t="s">
        <v>326</v>
      </c>
      <c r="B1438" t="s">
        <v>846</v>
      </c>
      <c r="C1438" t="s">
        <v>866</v>
      </c>
      <c r="D1438" t="s">
        <v>11</v>
      </c>
      <c r="E1438">
        <v>30</v>
      </c>
      <c r="F1438" s="2">
        <f>DATE(2026,IF(Tabla1[[#This Row],[Mes de Fecha]]="Septiembre",9,10),Tabla1[[#This Row],[Día de Fecha]])</f>
        <v>46295</v>
      </c>
      <c r="I1438">
        <v>0</v>
      </c>
      <c r="J1438" s="1">
        <v>8732189</v>
      </c>
      <c r="K1438">
        <v>0</v>
      </c>
    </row>
    <row r="1439" spans="1:11" x14ac:dyDescent="0.25">
      <c r="A1439" t="s">
        <v>326</v>
      </c>
      <c r="B1439" t="s">
        <v>846</v>
      </c>
      <c r="C1439" t="s">
        <v>866</v>
      </c>
      <c r="D1439" t="s">
        <v>11</v>
      </c>
      <c r="E1439">
        <v>30</v>
      </c>
      <c r="F1439" s="2">
        <f>DATE(2026,IF(Tabla1[[#This Row],[Mes de Fecha]]="Septiembre",9,10),Tabla1[[#This Row],[Día de Fecha]])</f>
        <v>46295</v>
      </c>
      <c r="G1439">
        <v>1004347266</v>
      </c>
      <c r="H1439" t="s">
        <v>492</v>
      </c>
      <c r="I1439">
        <v>65</v>
      </c>
      <c r="J1439">
        <v>0</v>
      </c>
      <c r="K1439" s="1">
        <v>3738870</v>
      </c>
    </row>
    <row r="1440" spans="1:11" x14ac:dyDescent="0.25">
      <c r="A1440" t="s">
        <v>326</v>
      </c>
      <c r="B1440" t="s">
        <v>846</v>
      </c>
      <c r="C1440" t="s">
        <v>866</v>
      </c>
      <c r="D1440" t="s">
        <v>11</v>
      </c>
      <c r="E1440">
        <v>30</v>
      </c>
      <c r="F1440" s="2">
        <f>DATE(2026,IF(Tabla1[[#This Row],[Mes de Fecha]]="Septiembre",9,10),Tabla1[[#This Row],[Día de Fecha]])</f>
        <v>46295</v>
      </c>
      <c r="G1440">
        <v>1143452487</v>
      </c>
      <c r="H1440" t="s">
        <v>847</v>
      </c>
      <c r="I1440">
        <v>62</v>
      </c>
      <c r="J1440">
        <v>0</v>
      </c>
      <c r="K1440" s="1">
        <v>3482654</v>
      </c>
    </row>
    <row r="1441" spans="1:11" x14ac:dyDescent="0.25">
      <c r="A1441" t="s">
        <v>326</v>
      </c>
      <c r="B1441" t="s">
        <v>846</v>
      </c>
      <c r="C1441" t="s">
        <v>866</v>
      </c>
      <c r="D1441" t="s">
        <v>14</v>
      </c>
      <c r="E1441">
        <v>1</v>
      </c>
      <c r="F1441" s="2">
        <f>DATE(2026,IF(Tabla1[[#This Row],[Mes de Fecha]]="Septiembre",9,10),Tabla1[[#This Row],[Día de Fecha]])</f>
        <v>46296</v>
      </c>
      <c r="I1441">
        <v>0</v>
      </c>
      <c r="J1441" s="1">
        <v>14367725</v>
      </c>
      <c r="K1441">
        <v>0</v>
      </c>
    </row>
    <row r="1442" spans="1:11" x14ac:dyDescent="0.25">
      <c r="A1442" t="s">
        <v>326</v>
      </c>
      <c r="B1442" t="s">
        <v>846</v>
      </c>
      <c r="C1442" t="s">
        <v>866</v>
      </c>
      <c r="D1442" t="s">
        <v>14</v>
      </c>
      <c r="E1442">
        <v>1</v>
      </c>
      <c r="F1442" s="2">
        <f>DATE(2026,IF(Tabla1[[#This Row],[Mes de Fecha]]="Septiembre",9,10),Tabla1[[#This Row],[Día de Fecha]])</f>
        <v>46296</v>
      </c>
      <c r="G1442">
        <v>1004347266</v>
      </c>
      <c r="H1442" t="s">
        <v>492</v>
      </c>
      <c r="I1442">
        <v>48</v>
      </c>
      <c r="J1442">
        <v>0</v>
      </c>
      <c r="K1442" s="1">
        <v>2867566</v>
      </c>
    </row>
    <row r="1443" spans="1:11" x14ac:dyDescent="0.25">
      <c r="A1443" t="s">
        <v>326</v>
      </c>
      <c r="B1443" t="s">
        <v>846</v>
      </c>
      <c r="C1443" t="s">
        <v>866</v>
      </c>
      <c r="D1443" t="s">
        <v>14</v>
      </c>
      <c r="E1443">
        <v>1</v>
      </c>
      <c r="F1443" s="2">
        <f>DATE(2026,IF(Tabla1[[#This Row],[Mes de Fecha]]="Septiembre",9,10),Tabla1[[#This Row],[Día de Fecha]])</f>
        <v>46296</v>
      </c>
      <c r="G1443">
        <v>1082922050</v>
      </c>
      <c r="H1443" t="s">
        <v>683</v>
      </c>
      <c r="I1443">
        <v>60</v>
      </c>
      <c r="J1443">
        <v>0</v>
      </c>
      <c r="K1443" s="1">
        <v>2951056</v>
      </c>
    </row>
    <row r="1444" spans="1:11" x14ac:dyDescent="0.25">
      <c r="A1444" t="s">
        <v>326</v>
      </c>
      <c r="B1444" t="s">
        <v>846</v>
      </c>
      <c r="C1444" t="s">
        <v>866</v>
      </c>
      <c r="D1444" t="s">
        <v>14</v>
      </c>
      <c r="E1444">
        <v>1</v>
      </c>
      <c r="F1444" s="2">
        <f>DATE(2026,IF(Tabla1[[#This Row],[Mes de Fecha]]="Septiembre",9,10),Tabla1[[#This Row],[Día de Fecha]])</f>
        <v>46296</v>
      </c>
      <c r="G1444">
        <v>1143452487</v>
      </c>
      <c r="H1444" t="s">
        <v>847</v>
      </c>
      <c r="I1444">
        <v>52</v>
      </c>
      <c r="J1444">
        <v>0</v>
      </c>
      <c r="K1444" s="1">
        <v>2867483</v>
      </c>
    </row>
    <row r="1445" spans="1:11" x14ac:dyDescent="0.25">
      <c r="A1445" t="s">
        <v>326</v>
      </c>
      <c r="B1445" t="s">
        <v>846</v>
      </c>
      <c r="C1445" t="s">
        <v>866</v>
      </c>
      <c r="D1445" t="s">
        <v>14</v>
      </c>
      <c r="E1445">
        <v>2</v>
      </c>
      <c r="F1445" s="2">
        <f>DATE(2026,IF(Tabla1[[#This Row],[Mes de Fecha]]="Septiembre",9,10),Tabla1[[#This Row],[Día de Fecha]])</f>
        <v>46297</v>
      </c>
      <c r="I1445">
        <v>0</v>
      </c>
      <c r="J1445" s="1">
        <v>6502660</v>
      </c>
      <c r="K1445">
        <v>0</v>
      </c>
    </row>
    <row r="1446" spans="1:11" x14ac:dyDescent="0.25">
      <c r="A1446" t="s">
        <v>326</v>
      </c>
      <c r="B1446" t="s">
        <v>846</v>
      </c>
      <c r="C1446" t="s">
        <v>866</v>
      </c>
      <c r="D1446" t="s">
        <v>14</v>
      </c>
      <c r="E1446">
        <v>2</v>
      </c>
      <c r="F1446" s="2">
        <f>DATE(2026,IF(Tabla1[[#This Row],[Mes de Fecha]]="Septiembre",9,10),Tabla1[[#This Row],[Día de Fecha]])</f>
        <v>46297</v>
      </c>
      <c r="G1446">
        <v>1004347266</v>
      </c>
      <c r="H1446" t="s">
        <v>492</v>
      </c>
      <c r="I1446">
        <v>79</v>
      </c>
      <c r="J1446">
        <v>0</v>
      </c>
      <c r="K1446" s="1">
        <v>4521810</v>
      </c>
    </row>
    <row r="1447" spans="1:11" x14ac:dyDescent="0.25">
      <c r="A1447" t="s">
        <v>326</v>
      </c>
      <c r="B1447" t="s">
        <v>846</v>
      </c>
      <c r="C1447" t="s">
        <v>866</v>
      </c>
      <c r="D1447" t="s">
        <v>14</v>
      </c>
      <c r="E1447">
        <v>2</v>
      </c>
      <c r="F1447" s="2">
        <f>DATE(2026,IF(Tabla1[[#This Row],[Mes de Fecha]]="Septiembre",9,10),Tabla1[[#This Row],[Día de Fecha]])</f>
        <v>46297</v>
      </c>
      <c r="G1447">
        <v>1082922050</v>
      </c>
      <c r="H1447" t="s">
        <v>683</v>
      </c>
      <c r="I1447">
        <v>47</v>
      </c>
      <c r="J1447">
        <v>0</v>
      </c>
      <c r="K1447" s="1">
        <v>2565130</v>
      </c>
    </row>
    <row r="1448" spans="1:11" x14ac:dyDescent="0.25">
      <c r="A1448" t="s">
        <v>326</v>
      </c>
      <c r="B1448" t="s">
        <v>846</v>
      </c>
      <c r="C1448" t="s">
        <v>866</v>
      </c>
      <c r="D1448" t="s">
        <v>14</v>
      </c>
      <c r="E1448">
        <v>2</v>
      </c>
      <c r="F1448" s="2">
        <f>DATE(2026,IF(Tabla1[[#This Row],[Mes de Fecha]]="Septiembre",9,10),Tabla1[[#This Row],[Día de Fecha]])</f>
        <v>46297</v>
      </c>
      <c r="G1448">
        <v>1143452487</v>
      </c>
      <c r="H1448" t="s">
        <v>847</v>
      </c>
      <c r="I1448">
        <v>102</v>
      </c>
      <c r="J1448">
        <v>0</v>
      </c>
      <c r="K1448" s="1">
        <v>5838113</v>
      </c>
    </row>
    <row r="1449" spans="1:11" x14ac:dyDescent="0.25">
      <c r="A1449" t="s">
        <v>326</v>
      </c>
      <c r="B1449" t="s">
        <v>846</v>
      </c>
      <c r="C1449" t="s">
        <v>866</v>
      </c>
      <c r="D1449" t="s">
        <v>14</v>
      </c>
      <c r="E1449">
        <v>3</v>
      </c>
      <c r="F1449" s="2">
        <f>DATE(2026,IF(Tabla1[[#This Row],[Mes de Fecha]]="Septiembre",9,10),Tabla1[[#This Row],[Día de Fecha]])</f>
        <v>46298</v>
      </c>
      <c r="I1449">
        <v>0</v>
      </c>
      <c r="J1449" s="1">
        <v>10667483</v>
      </c>
      <c r="K1449">
        <v>0</v>
      </c>
    </row>
    <row r="1450" spans="1:11" x14ac:dyDescent="0.25">
      <c r="A1450" t="s">
        <v>326</v>
      </c>
      <c r="B1450" t="s">
        <v>846</v>
      </c>
      <c r="C1450" t="s">
        <v>866</v>
      </c>
      <c r="D1450" t="s">
        <v>14</v>
      </c>
      <c r="E1450">
        <v>3</v>
      </c>
      <c r="F1450" s="2">
        <f>DATE(2026,IF(Tabla1[[#This Row],[Mes de Fecha]]="Septiembre",9,10),Tabla1[[#This Row],[Día de Fecha]])</f>
        <v>46298</v>
      </c>
      <c r="G1450">
        <v>1004347266</v>
      </c>
      <c r="H1450" t="s">
        <v>492</v>
      </c>
      <c r="I1450">
        <v>72</v>
      </c>
      <c r="J1450">
        <v>0</v>
      </c>
      <c r="K1450" s="1">
        <v>3599535</v>
      </c>
    </row>
    <row r="1451" spans="1:11" x14ac:dyDescent="0.25">
      <c r="A1451" t="s">
        <v>326</v>
      </c>
      <c r="B1451" t="s">
        <v>846</v>
      </c>
      <c r="C1451" t="s">
        <v>866</v>
      </c>
      <c r="D1451" t="s">
        <v>14</v>
      </c>
      <c r="E1451">
        <v>3</v>
      </c>
      <c r="F1451" s="2">
        <f>DATE(2026,IF(Tabla1[[#This Row],[Mes de Fecha]]="Septiembre",9,10),Tabla1[[#This Row],[Día de Fecha]])</f>
        <v>46298</v>
      </c>
      <c r="G1451">
        <v>1082922050</v>
      </c>
      <c r="H1451" t="s">
        <v>683</v>
      </c>
      <c r="I1451">
        <v>50</v>
      </c>
      <c r="J1451">
        <v>0</v>
      </c>
      <c r="K1451" s="1">
        <v>2523681</v>
      </c>
    </row>
    <row r="1452" spans="1:11" x14ac:dyDescent="0.25">
      <c r="A1452" t="s">
        <v>326</v>
      </c>
      <c r="B1452" t="s">
        <v>846</v>
      </c>
      <c r="C1452" t="s">
        <v>866</v>
      </c>
      <c r="D1452" t="s">
        <v>14</v>
      </c>
      <c r="E1452">
        <v>3</v>
      </c>
      <c r="F1452" s="2">
        <f>DATE(2026,IF(Tabla1[[#This Row],[Mes de Fecha]]="Septiembre",9,10),Tabla1[[#This Row],[Día de Fecha]])</f>
        <v>46298</v>
      </c>
      <c r="G1452">
        <v>1143452487</v>
      </c>
      <c r="H1452" t="s">
        <v>847</v>
      </c>
      <c r="I1452">
        <v>95</v>
      </c>
      <c r="J1452">
        <v>0</v>
      </c>
      <c r="K1452" s="1">
        <v>4804195</v>
      </c>
    </row>
    <row r="1453" spans="1:11" x14ac:dyDescent="0.25">
      <c r="A1453" t="s">
        <v>326</v>
      </c>
      <c r="B1453" t="s">
        <v>846</v>
      </c>
      <c r="C1453" t="s">
        <v>866</v>
      </c>
      <c r="D1453" t="s">
        <v>14</v>
      </c>
      <c r="E1453">
        <v>4</v>
      </c>
      <c r="F1453" s="2">
        <f>DATE(2026,IF(Tabla1[[#This Row],[Mes de Fecha]]="Septiembre",9,10),Tabla1[[#This Row],[Día de Fecha]])</f>
        <v>46299</v>
      </c>
      <c r="I1453">
        <v>0</v>
      </c>
      <c r="J1453" s="1">
        <v>8237198</v>
      </c>
      <c r="K1453">
        <v>0</v>
      </c>
    </row>
    <row r="1454" spans="1:11" x14ac:dyDescent="0.25">
      <c r="A1454" t="s">
        <v>326</v>
      </c>
      <c r="B1454" t="s">
        <v>846</v>
      </c>
      <c r="C1454" t="s">
        <v>866</v>
      </c>
      <c r="D1454" t="s">
        <v>14</v>
      </c>
      <c r="E1454">
        <v>4</v>
      </c>
      <c r="F1454" s="2">
        <f>DATE(2026,IF(Tabla1[[#This Row],[Mes de Fecha]]="Septiembre",9,10),Tabla1[[#This Row],[Día de Fecha]])</f>
        <v>46299</v>
      </c>
      <c r="G1454">
        <v>1004347266</v>
      </c>
      <c r="H1454" t="s">
        <v>492</v>
      </c>
      <c r="I1454">
        <v>91</v>
      </c>
      <c r="J1454">
        <v>0</v>
      </c>
      <c r="K1454" s="1">
        <v>5634794</v>
      </c>
    </row>
    <row r="1455" spans="1:11" x14ac:dyDescent="0.25">
      <c r="A1455" t="s">
        <v>326</v>
      </c>
      <c r="B1455" t="s">
        <v>846</v>
      </c>
      <c r="C1455" t="s">
        <v>866</v>
      </c>
      <c r="D1455" t="s">
        <v>14</v>
      </c>
      <c r="E1455">
        <v>4</v>
      </c>
      <c r="F1455" s="2">
        <f>DATE(2026,IF(Tabla1[[#This Row],[Mes de Fecha]]="Septiembre",9,10),Tabla1[[#This Row],[Día de Fecha]])</f>
        <v>46299</v>
      </c>
      <c r="G1455">
        <v>1082922050</v>
      </c>
      <c r="H1455" t="s">
        <v>683</v>
      </c>
      <c r="I1455">
        <v>39</v>
      </c>
      <c r="J1455">
        <v>0</v>
      </c>
      <c r="K1455" s="1">
        <v>2506766</v>
      </c>
    </row>
    <row r="1456" spans="1:11" x14ac:dyDescent="0.25">
      <c r="A1456" t="s">
        <v>326</v>
      </c>
      <c r="B1456" t="s">
        <v>846</v>
      </c>
      <c r="C1456" t="s">
        <v>866</v>
      </c>
      <c r="D1456" t="s">
        <v>14</v>
      </c>
      <c r="E1456">
        <v>4</v>
      </c>
      <c r="F1456" s="2">
        <f>DATE(2026,IF(Tabla1[[#This Row],[Mes de Fecha]]="Septiembre",9,10),Tabla1[[#This Row],[Día de Fecha]])</f>
        <v>46299</v>
      </c>
      <c r="G1456">
        <v>1143452487</v>
      </c>
      <c r="H1456" t="s">
        <v>847</v>
      </c>
      <c r="I1456">
        <v>80</v>
      </c>
      <c r="J1456">
        <v>0</v>
      </c>
      <c r="K1456" s="1">
        <v>4794965</v>
      </c>
    </row>
    <row r="1457" spans="1:11" x14ac:dyDescent="0.25">
      <c r="A1457" t="s">
        <v>326</v>
      </c>
      <c r="B1457" t="s">
        <v>846</v>
      </c>
      <c r="C1457" t="s">
        <v>866</v>
      </c>
      <c r="D1457" t="s">
        <v>14</v>
      </c>
      <c r="E1457">
        <v>4</v>
      </c>
      <c r="F1457" s="2">
        <f>DATE(2026,IF(Tabla1[[#This Row],[Mes de Fecha]]="Septiembre",9,10),Tabla1[[#This Row],[Día de Fecha]])</f>
        <v>46299</v>
      </c>
      <c r="G1457">
        <v>1193566789</v>
      </c>
      <c r="H1457" t="s">
        <v>682</v>
      </c>
      <c r="I1457">
        <v>47</v>
      </c>
      <c r="J1457">
        <v>0</v>
      </c>
      <c r="K1457" s="1">
        <v>2926599</v>
      </c>
    </row>
    <row r="1458" spans="1:11" x14ac:dyDescent="0.25">
      <c r="A1458" t="s">
        <v>326</v>
      </c>
      <c r="B1458" t="s">
        <v>846</v>
      </c>
      <c r="C1458" t="s">
        <v>866</v>
      </c>
      <c r="D1458" t="s">
        <v>14</v>
      </c>
      <c r="E1458">
        <v>5</v>
      </c>
      <c r="F1458" s="2">
        <f>DATE(2026,IF(Tabla1[[#This Row],[Mes de Fecha]]="Septiembre",9,10),Tabla1[[#This Row],[Día de Fecha]])</f>
        <v>46300</v>
      </c>
      <c r="I1458">
        <v>0</v>
      </c>
      <c r="J1458" s="1">
        <v>4276030</v>
      </c>
      <c r="K1458">
        <v>0</v>
      </c>
    </row>
    <row r="1459" spans="1:11" x14ac:dyDescent="0.25">
      <c r="A1459" t="s">
        <v>326</v>
      </c>
      <c r="B1459" t="s">
        <v>846</v>
      </c>
      <c r="C1459" t="s">
        <v>866</v>
      </c>
      <c r="D1459" t="s">
        <v>14</v>
      </c>
      <c r="E1459">
        <v>5</v>
      </c>
      <c r="F1459" s="2">
        <f>DATE(2026,IF(Tabla1[[#This Row],[Mes de Fecha]]="Septiembre",9,10),Tabla1[[#This Row],[Día de Fecha]])</f>
        <v>46300</v>
      </c>
      <c r="G1459">
        <v>1004347266</v>
      </c>
      <c r="H1459" t="s">
        <v>492</v>
      </c>
      <c r="I1459">
        <v>62</v>
      </c>
      <c r="J1459">
        <v>0</v>
      </c>
      <c r="K1459" s="1">
        <v>3169543</v>
      </c>
    </row>
    <row r="1460" spans="1:11" x14ac:dyDescent="0.25">
      <c r="A1460" t="s">
        <v>326</v>
      </c>
      <c r="B1460" t="s">
        <v>846</v>
      </c>
      <c r="C1460" t="s">
        <v>866</v>
      </c>
      <c r="D1460" t="s">
        <v>14</v>
      </c>
      <c r="E1460">
        <v>5</v>
      </c>
      <c r="F1460" s="2">
        <f>DATE(2026,IF(Tabla1[[#This Row],[Mes de Fecha]]="Septiembre",9,10),Tabla1[[#This Row],[Día de Fecha]])</f>
        <v>46300</v>
      </c>
      <c r="G1460">
        <v>1082922050</v>
      </c>
      <c r="H1460" t="s">
        <v>683</v>
      </c>
      <c r="I1460">
        <v>2</v>
      </c>
      <c r="J1460">
        <v>0</v>
      </c>
      <c r="K1460" s="1">
        <v>83950</v>
      </c>
    </row>
    <row r="1461" spans="1:11" x14ac:dyDescent="0.25">
      <c r="A1461" t="s">
        <v>326</v>
      </c>
      <c r="B1461" t="s">
        <v>846</v>
      </c>
      <c r="C1461" t="s">
        <v>866</v>
      </c>
      <c r="D1461" t="s">
        <v>14</v>
      </c>
      <c r="E1461">
        <v>5</v>
      </c>
      <c r="F1461" s="2">
        <f>DATE(2026,IF(Tabla1[[#This Row],[Mes de Fecha]]="Septiembre",9,10),Tabla1[[#This Row],[Día de Fecha]])</f>
        <v>46300</v>
      </c>
      <c r="G1461">
        <v>1143452487</v>
      </c>
      <c r="H1461" t="s">
        <v>847</v>
      </c>
      <c r="I1461">
        <v>48</v>
      </c>
      <c r="J1461">
        <v>0</v>
      </c>
      <c r="K1461" s="1">
        <v>3027394</v>
      </c>
    </row>
    <row r="1462" spans="1:11" x14ac:dyDescent="0.25">
      <c r="A1462" t="s">
        <v>326</v>
      </c>
      <c r="B1462" t="s">
        <v>846</v>
      </c>
      <c r="C1462" t="s">
        <v>866</v>
      </c>
      <c r="D1462" t="s">
        <v>14</v>
      </c>
      <c r="E1462">
        <v>5</v>
      </c>
      <c r="F1462" s="2">
        <f>DATE(2026,IF(Tabla1[[#This Row],[Mes de Fecha]]="Septiembre",9,10),Tabla1[[#This Row],[Día de Fecha]])</f>
        <v>46300</v>
      </c>
      <c r="G1462">
        <v>1193566789</v>
      </c>
      <c r="H1462" t="s">
        <v>682</v>
      </c>
      <c r="I1462">
        <v>4</v>
      </c>
      <c r="J1462">
        <v>0</v>
      </c>
      <c r="K1462" s="1">
        <v>382185</v>
      </c>
    </row>
    <row r="1463" spans="1:11" x14ac:dyDescent="0.25">
      <c r="A1463" t="s">
        <v>326</v>
      </c>
      <c r="B1463" t="s">
        <v>846</v>
      </c>
      <c r="C1463" t="s">
        <v>866</v>
      </c>
      <c r="D1463" t="s">
        <v>14</v>
      </c>
      <c r="E1463">
        <v>6</v>
      </c>
      <c r="F1463" s="2">
        <f>DATE(2026,IF(Tabla1[[#This Row],[Mes de Fecha]]="Septiembre",9,10),Tabla1[[#This Row],[Día de Fecha]])</f>
        <v>46301</v>
      </c>
      <c r="I1463">
        <v>0</v>
      </c>
      <c r="J1463" s="1">
        <v>3678986</v>
      </c>
      <c r="K1463">
        <v>0</v>
      </c>
    </row>
    <row r="1464" spans="1:11" x14ac:dyDescent="0.25">
      <c r="A1464" t="s">
        <v>326</v>
      </c>
      <c r="B1464" t="s">
        <v>846</v>
      </c>
      <c r="C1464" t="s">
        <v>866</v>
      </c>
      <c r="D1464" t="s">
        <v>14</v>
      </c>
      <c r="E1464">
        <v>6</v>
      </c>
      <c r="F1464" s="2">
        <f>DATE(2026,IF(Tabla1[[#This Row],[Mes de Fecha]]="Septiembre",9,10),Tabla1[[#This Row],[Día de Fecha]])</f>
        <v>46301</v>
      </c>
      <c r="G1464">
        <v>1004347266</v>
      </c>
      <c r="H1464" t="s">
        <v>492</v>
      </c>
      <c r="I1464">
        <v>26</v>
      </c>
      <c r="J1464">
        <v>0</v>
      </c>
      <c r="K1464" s="1">
        <v>1587101</v>
      </c>
    </row>
    <row r="1465" spans="1:11" x14ac:dyDescent="0.25">
      <c r="A1465" t="s">
        <v>326</v>
      </c>
      <c r="B1465" t="s">
        <v>846</v>
      </c>
      <c r="C1465" t="s">
        <v>866</v>
      </c>
      <c r="D1465" t="s">
        <v>14</v>
      </c>
      <c r="E1465">
        <v>6</v>
      </c>
      <c r="F1465" s="2">
        <f>DATE(2026,IF(Tabla1[[#This Row],[Mes de Fecha]]="Septiembre",9,10),Tabla1[[#This Row],[Día de Fecha]])</f>
        <v>46301</v>
      </c>
      <c r="G1465">
        <v>1143452487</v>
      </c>
      <c r="H1465" t="s">
        <v>847</v>
      </c>
      <c r="I1465">
        <v>23</v>
      </c>
      <c r="J1465">
        <v>0</v>
      </c>
      <c r="K1465" s="1">
        <v>1314161</v>
      </c>
    </row>
    <row r="1466" spans="1:11" x14ac:dyDescent="0.25">
      <c r="A1466" t="s">
        <v>326</v>
      </c>
      <c r="B1466" t="s">
        <v>846</v>
      </c>
      <c r="C1466" t="s">
        <v>866</v>
      </c>
      <c r="D1466" t="s">
        <v>14</v>
      </c>
      <c r="E1466">
        <v>6</v>
      </c>
      <c r="F1466" s="2">
        <f>DATE(2026,IF(Tabla1[[#This Row],[Mes de Fecha]]="Septiembre",9,10),Tabla1[[#This Row],[Día de Fecha]])</f>
        <v>46301</v>
      </c>
      <c r="G1466">
        <v>1193566789</v>
      </c>
      <c r="H1466" t="s">
        <v>682</v>
      </c>
      <c r="I1466">
        <v>8</v>
      </c>
      <c r="J1466">
        <v>0</v>
      </c>
      <c r="K1466" s="1">
        <v>558489</v>
      </c>
    </row>
    <row r="1467" spans="1:11" x14ac:dyDescent="0.25">
      <c r="A1467" t="s">
        <v>326</v>
      </c>
      <c r="B1467" t="s">
        <v>846</v>
      </c>
      <c r="C1467" t="s">
        <v>866</v>
      </c>
      <c r="D1467" t="s">
        <v>14</v>
      </c>
      <c r="E1467">
        <v>7</v>
      </c>
      <c r="F1467" s="2">
        <f>DATE(2026,IF(Tabla1[[#This Row],[Mes de Fecha]]="Septiembre",9,10),Tabla1[[#This Row],[Día de Fecha]])</f>
        <v>46302</v>
      </c>
      <c r="I1467">
        <v>0</v>
      </c>
      <c r="J1467" s="1">
        <v>3630577</v>
      </c>
      <c r="K1467">
        <v>0</v>
      </c>
    </row>
    <row r="1468" spans="1:11" x14ac:dyDescent="0.25">
      <c r="A1468" t="s">
        <v>326</v>
      </c>
      <c r="B1468" t="s">
        <v>846</v>
      </c>
      <c r="C1468" t="s">
        <v>866</v>
      </c>
      <c r="D1468" t="s">
        <v>14</v>
      </c>
      <c r="E1468">
        <v>7</v>
      </c>
      <c r="F1468" s="2">
        <f>DATE(2026,IF(Tabla1[[#This Row],[Mes de Fecha]]="Septiembre",9,10),Tabla1[[#This Row],[Día de Fecha]])</f>
        <v>46302</v>
      </c>
      <c r="G1468">
        <v>1004347266</v>
      </c>
      <c r="H1468" t="s">
        <v>492</v>
      </c>
      <c r="I1468">
        <v>17</v>
      </c>
      <c r="J1468">
        <v>0</v>
      </c>
      <c r="K1468" s="1">
        <v>1255589</v>
      </c>
    </row>
    <row r="1469" spans="1:11" x14ac:dyDescent="0.25">
      <c r="A1469" t="s">
        <v>326</v>
      </c>
      <c r="B1469" t="s">
        <v>846</v>
      </c>
      <c r="C1469" t="s">
        <v>866</v>
      </c>
      <c r="D1469" t="s">
        <v>14</v>
      </c>
      <c r="E1469">
        <v>7</v>
      </c>
      <c r="F1469" s="2">
        <f>DATE(2026,IF(Tabla1[[#This Row],[Mes de Fecha]]="Septiembre",9,10),Tabla1[[#This Row],[Día de Fecha]])</f>
        <v>46302</v>
      </c>
      <c r="G1469">
        <v>1143452487</v>
      </c>
      <c r="H1469" t="s">
        <v>847</v>
      </c>
      <c r="I1469">
        <v>25</v>
      </c>
      <c r="J1469">
        <v>0</v>
      </c>
      <c r="K1469" s="1">
        <v>1486306</v>
      </c>
    </row>
    <row r="1470" spans="1:11" x14ac:dyDescent="0.25">
      <c r="A1470" t="s">
        <v>326</v>
      </c>
      <c r="B1470" t="s">
        <v>846</v>
      </c>
      <c r="C1470" t="s">
        <v>866</v>
      </c>
      <c r="D1470" t="s">
        <v>14</v>
      </c>
      <c r="E1470">
        <v>7</v>
      </c>
      <c r="F1470" s="2">
        <f>DATE(2026,IF(Tabla1[[#This Row],[Mes de Fecha]]="Septiembre",9,10),Tabla1[[#This Row],[Día de Fecha]])</f>
        <v>46302</v>
      </c>
      <c r="G1470">
        <v>1193566789</v>
      </c>
      <c r="H1470" t="s">
        <v>682</v>
      </c>
      <c r="I1470">
        <v>6</v>
      </c>
      <c r="J1470">
        <v>0</v>
      </c>
      <c r="K1470" s="1">
        <v>386304</v>
      </c>
    </row>
    <row r="1471" spans="1:11" x14ac:dyDescent="0.25">
      <c r="A1471" t="s">
        <v>9</v>
      </c>
      <c r="B1471" t="s">
        <v>10</v>
      </c>
      <c r="C1471" t="s">
        <v>867</v>
      </c>
      <c r="D1471" t="s">
        <v>11</v>
      </c>
      <c r="E1471">
        <v>23</v>
      </c>
      <c r="F1471" s="2">
        <f>DATE(2026,IF(Tabla1[[#This Row],[Mes de Fecha]]="Septiembre",9,10),Tabla1[[#This Row],[Día de Fecha]])</f>
        <v>46288</v>
      </c>
      <c r="I1471">
        <v>0</v>
      </c>
      <c r="J1471" s="1">
        <v>2248928</v>
      </c>
      <c r="K1471">
        <v>0</v>
      </c>
    </row>
    <row r="1472" spans="1:11" x14ac:dyDescent="0.25">
      <c r="A1472" t="s">
        <v>9</v>
      </c>
      <c r="B1472" t="s">
        <v>10</v>
      </c>
      <c r="C1472" t="s">
        <v>867</v>
      </c>
      <c r="D1472" t="s">
        <v>11</v>
      </c>
      <c r="E1472">
        <v>23</v>
      </c>
      <c r="F1472" s="2">
        <f>DATE(2026,IF(Tabla1[[#This Row],[Mes de Fecha]]="Septiembre",9,10),Tabla1[[#This Row],[Día de Fecha]])</f>
        <v>46288</v>
      </c>
      <c r="G1472">
        <v>1112497492</v>
      </c>
      <c r="H1472" t="s">
        <v>12</v>
      </c>
      <c r="I1472">
        <v>13</v>
      </c>
      <c r="J1472">
        <v>0</v>
      </c>
      <c r="K1472" s="1">
        <v>753655</v>
      </c>
    </row>
    <row r="1473" spans="1:11" x14ac:dyDescent="0.25">
      <c r="A1473" t="s">
        <v>9</v>
      </c>
      <c r="B1473" t="s">
        <v>10</v>
      </c>
      <c r="C1473" t="s">
        <v>867</v>
      </c>
      <c r="D1473" t="s">
        <v>11</v>
      </c>
      <c r="E1473">
        <v>23</v>
      </c>
      <c r="F1473" s="2">
        <f>DATE(2026,IF(Tabla1[[#This Row],[Mes de Fecha]]="Septiembre",9,10),Tabla1[[#This Row],[Día de Fecha]])</f>
        <v>46288</v>
      </c>
      <c r="G1473">
        <v>1118301691</v>
      </c>
      <c r="H1473" t="s">
        <v>13</v>
      </c>
      <c r="I1473">
        <v>4</v>
      </c>
      <c r="J1473">
        <v>0</v>
      </c>
      <c r="K1473" s="1">
        <v>205715</v>
      </c>
    </row>
    <row r="1474" spans="1:11" x14ac:dyDescent="0.25">
      <c r="A1474" t="s">
        <v>9</v>
      </c>
      <c r="B1474" t="s">
        <v>10</v>
      </c>
      <c r="C1474" t="s">
        <v>867</v>
      </c>
      <c r="D1474" t="s">
        <v>11</v>
      </c>
      <c r="E1474">
        <v>24</v>
      </c>
      <c r="F1474" s="2">
        <f>DATE(2026,IF(Tabla1[[#This Row],[Mes de Fecha]]="Septiembre",9,10),Tabla1[[#This Row],[Día de Fecha]])</f>
        <v>46289</v>
      </c>
      <c r="I1474">
        <v>0</v>
      </c>
      <c r="J1474" s="1">
        <v>5816158</v>
      </c>
      <c r="K1474">
        <v>0</v>
      </c>
    </row>
    <row r="1475" spans="1:11" x14ac:dyDescent="0.25">
      <c r="A1475" t="s">
        <v>9</v>
      </c>
      <c r="B1475" t="s">
        <v>10</v>
      </c>
      <c r="C1475" t="s">
        <v>867</v>
      </c>
      <c r="D1475" t="s">
        <v>11</v>
      </c>
      <c r="E1475">
        <v>24</v>
      </c>
      <c r="F1475" s="2">
        <f>DATE(2026,IF(Tabla1[[#This Row],[Mes de Fecha]]="Septiembre",9,10),Tabla1[[#This Row],[Día de Fecha]])</f>
        <v>46289</v>
      </c>
      <c r="G1475">
        <v>1112497492</v>
      </c>
      <c r="H1475" t="s">
        <v>12</v>
      </c>
      <c r="I1475">
        <v>21</v>
      </c>
      <c r="J1475">
        <v>0</v>
      </c>
      <c r="K1475" s="1">
        <v>1036935</v>
      </c>
    </row>
    <row r="1476" spans="1:11" x14ac:dyDescent="0.25">
      <c r="A1476" t="s">
        <v>9</v>
      </c>
      <c r="B1476" t="s">
        <v>10</v>
      </c>
      <c r="C1476" t="s">
        <v>867</v>
      </c>
      <c r="D1476" t="s">
        <v>11</v>
      </c>
      <c r="E1476">
        <v>24</v>
      </c>
      <c r="F1476" s="2">
        <f>DATE(2026,IF(Tabla1[[#This Row],[Mes de Fecha]]="Septiembre",9,10),Tabla1[[#This Row],[Día de Fecha]])</f>
        <v>46289</v>
      </c>
      <c r="G1476">
        <v>1118301691</v>
      </c>
      <c r="H1476" t="s">
        <v>13</v>
      </c>
      <c r="I1476">
        <v>32</v>
      </c>
      <c r="J1476">
        <v>0</v>
      </c>
      <c r="K1476" s="1">
        <v>1637314</v>
      </c>
    </row>
    <row r="1477" spans="1:11" x14ac:dyDescent="0.25">
      <c r="A1477" t="s">
        <v>9</v>
      </c>
      <c r="B1477" t="s">
        <v>10</v>
      </c>
      <c r="C1477" t="s">
        <v>867</v>
      </c>
      <c r="D1477" t="s">
        <v>11</v>
      </c>
      <c r="E1477">
        <v>25</v>
      </c>
      <c r="F1477" s="2">
        <f>DATE(2026,IF(Tabla1[[#This Row],[Mes de Fecha]]="Septiembre",9,10),Tabla1[[#This Row],[Día de Fecha]])</f>
        <v>46290</v>
      </c>
      <c r="I1477">
        <v>0</v>
      </c>
      <c r="J1477" s="1">
        <v>6211972</v>
      </c>
      <c r="K1477">
        <v>0</v>
      </c>
    </row>
    <row r="1478" spans="1:11" x14ac:dyDescent="0.25">
      <c r="A1478" t="s">
        <v>9</v>
      </c>
      <c r="B1478" t="s">
        <v>10</v>
      </c>
      <c r="C1478" t="s">
        <v>867</v>
      </c>
      <c r="D1478" t="s">
        <v>11</v>
      </c>
      <c r="E1478">
        <v>25</v>
      </c>
      <c r="F1478" s="2">
        <f>DATE(2026,IF(Tabla1[[#This Row],[Mes de Fecha]]="Septiembre",9,10),Tabla1[[#This Row],[Día de Fecha]])</f>
        <v>46290</v>
      </c>
      <c r="G1478">
        <v>1112497492</v>
      </c>
      <c r="H1478" t="s">
        <v>12</v>
      </c>
      <c r="I1478">
        <v>15</v>
      </c>
      <c r="J1478">
        <v>0</v>
      </c>
      <c r="K1478" s="1">
        <v>747271</v>
      </c>
    </row>
    <row r="1479" spans="1:11" x14ac:dyDescent="0.25">
      <c r="A1479" t="s">
        <v>9</v>
      </c>
      <c r="B1479" t="s">
        <v>10</v>
      </c>
      <c r="C1479" t="s">
        <v>867</v>
      </c>
      <c r="D1479" t="s">
        <v>11</v>
      </c>
      <c r="E1479">
        <v>25</v>
      </c>
      <c r="F1479" s="2">
        <f>DATE(2026,IF(Tabla1[[#This Row],[Mes de Fecha]]="Septiembre",9,10),Tabla1[[#This Row],[Día de Fecha]])</f>
        <v>46290</v>
      </c>
      <c r="G1479">
        <v>1118301691</v>
      </c>
      <c r="H1479" t="s">
        <v>13</v>
      </c>
      <c r="I1479">
        <v>27</v>
      </c>
      <c r="J1479">
        <v>0</v>
      </c>
      <c r="K1479" s="1">
        <v>1542985</v>
      </c>
    </row>
    <row r="1480" spans="1:11" x14ac:dyDescent="0.25">
      <c r="A1480" t="s">
        <v>9</v>
      </c>
      <c r="B1480" t="s">
        <v>10</v>
      </c>
      <c r="C1480" t="s">
        <v>867</v>
      </c>
      <c r="D1480" t="s">
        <v>11</v>
      </c>
      <c r="E1480">
        <v>26</v>
      </c>
      <c r="F1480" s="2">
        <f>DATE(2026,IF(Tabla1[[#This Row],[Mes de Fecha]]="Septiembre",9,10),Tabla1[[#This Row],[Día de Fecha]])</f>
        <v>46291</v>
      </c>
      <c r="I1480">
        <v>0</v>
      </c>
      <c r="J1480" s="1">
        <v>7833143</v>
      </c>
      <c r="K1480">
        <v>0</v>
      </c>
    </row>
    <row r="1481" spans="1:11" x14ac:dyDescent="0.25">
      <c r="A1481" t="s">
        <v>9</v>
      </c>
      <c r="B1481" t="s">
        <v>10</v>
      </c>
      <c r="C1481" t="s">
        <v>867</v>
      </c>
      <c r="D1481" t="s">
        <v>11</v>
      </c>
      <c r="E1481">
        <v>26</v>
      </c>
      <c r="F1481" s="2">
        <f>DATE(2026,IF(Tabla1[[#This Row],[Mes de Fecha]]="Septiembre",9,10),Tabla1[[#This Row],[Día de Fecha]])</f>
        <v>46291</v>
      </c>
      <c r="G1481">
        <v>1112497492</v>
      </c>
      <c r="H1481" t="s">
        <v>12</v>
      </c>
      <c r="I1481">
        <v>71</v>
      </c>
      <c r="J1481">
        <v>0</v>
      </c>
      <c r="K1481" s="1">
        <v>3219416</v>
      </c>
    </row>
    <row r="1482" spans="1:11" x14ac:dyDescent="0.25">
      <c r="A1482" t="s">
        <v>9</v>
      </c>
      <c r="B1482" t="s">
        <v>10</v>
      </c>
      <c r="C1482" t="s">
        <v>867</v>
      </c>
      <c r="D1482" t="s">
        <v>11</v>
      </c>
      <c r="E1482">
        <v>26</v>
      </c>
      <c r="F1482" s="2">
        <f>DATE(2026,IF(Tabla1[[#This Row],[Mes de Fecha]]="Septiembre",9,10),Tabla1[[#This Row],[Día de Fecha]])</f>
        <v>46291</v>
      </c>
      <c r="G1482">
        <v>1118301691</v>
      </c>
      <c r="H1482" t="s">
        <v>13</v>
      </c>
      <c r="I1482">
        <v>65</v>
      </c>
      <c r="J1482">
        <v>0</v>
      </c>
      <c r="K1482" s="1">
        <v>3311895</v>
      </c>
    </row>
    <row r="1483" spans="1:11" x14ac:dyDescent="0.25">
      <c r="A1483" t="s">
        <v>9</v>
      </c>
      <c r="B1483" t="s">
        <v>10</v>
      </c>
      <c r="C1483" t="s">
        <v>867</v>
      </c>
      <c r="D1483" t="s">
        <v>11</v>
      </c>
      <c r="E1483">
        <v>27</v>
      </c>
      <c r="F1483" s="2">
        <f>DATE(2026,IF(Tabla1[[#This Row],[Mes de Fecha]]="Septiembre",9,10),Tabla1[[#This Row],[Día de Fecha]])</f>
        <v>46292</v>
      </c>
      <c r="I1483">
        <v>0</v>
      </c>
      <c r="J1483" s="1">
        <v>4135823</v>
      </c>
      <c r="K1483">
        <v>0</v>
      </c>
    </row>
    <row r="1484" spans="1:11" x14ac:dyDescent="0.25">
      <c r="A1484" t="s">
        <v>9</v>
      </c>
      <c r="B1484" t="s">
        <v>10</v>
      </c>
      <c r="C1484" t="s">
        <v>867</v>
      </c>
      <c r="D1484" t="s">
        <v>11</v>
      </c>
      <c r="E1484">
        <v>27</v>
      </c>
      <c r="F1484" s="2">
        <f>DATE(2026,IF(Tabla1[[#This Row],[Mes de Fecha]]="Septiembre",9,10),Tabla1[[#This Row],[Día de Fecha]])</f>
        <v>46292</v>
      </c>
      <c r="G1484">
        <v>1112497492</v>
      </c>
      <c r="H1484" t="s">
        <v>12</v>
      </c>
      <c r="I1484">
        <v>43</v>
      </c>
      <c r="J1484">
        <v>0</v>
      </c>
      <c r="K1484" s="1">
        <v>2397059</v>
      </c>
    </row>
    <row r="1485" spans="1:11" x14ac:dyDescent="0.25">
      <c r="A1485" t="s">
        <v>9</v>
      </c>
      <c r="B1485" t="s">
        <v>10</v>
      </c>
      <c r="C1485" t="s">
        <v>867</v>
      </c>
      <c r="D1485" t="s">
        <v>11</v>
      </c>
      <c r="E1485">
        <v>28</v>
      </c>
      <c r="F1485" s="2">
        <f>DATE(2026,IF(Tabla1[[#This Row],[Mes de Fecha]]="Septiembre",9,10),Tabla1[[#This Row],[Día de Fecha]])</f>
        <v>46293</v>
      </c>
      <c r="I1485">
        <v>0</v>
      </c>
      <c r="J1485" s="1">
        <v>3390925</v>
      </c>
      <c r="K1485">
        <v>0</v>
      </c>
    </row>
    <row r="1486" spans="1:11" x14ac:dyDescent="0.25">
      <c r="A1486" t="s">
        <v>9</v>
      </c>
      <c r="B1486" t="s">
        <v>10</v>
      </c>
      <c r="C1486" t="s">
        <v>867</v>
      </c>
      <c r="D1486" t="s">
        <v>11</v>
      </c>
      <c r="E1486">
        <v>28</v>
      </c>
      <c r="F1486" s="2">
        <f>DATE(2026,IF(Tabla1[[#This Row],[Mes de Fecha]]="Septiembre",9,10),Tabla1[[#This Row],[Día de Fecha]])</f>
        <v>46293</v>
      </c>
      <c r="G1486">
        <v>1112497492</v>
      </c>
      <c r="H1486" t="s">
        <v>12</v>
      </c>
      <c r="I1486">
        <v>3</v>
      </c>
      <c r="J1486">
        <v>0</v>
      </c>
      <c r="K1486" s="1">
        <v>163698</v>
      </c>
    </row>
    <row r="1487" spans="1:11" x14ac:dyDescent="0.25">
      <c r="A1487" t="s">
        <v>9</v>
      </c>
      <c r="B1487" t="s">
        <v>10</v>
      </c>
      <c r="C1487" t="s">
        <v>867</v>
      </c>
      <c r="D1487" t="s">
        <v>11</v>
      </c>
      <c r="E1487">
        <v>28</v>
      </c>
      <c r="F1487" s="2">
        <f>DATE(2026,IF(Tabla1[[#This Row],[Mes de Fecha]]="Septiembre",9,10),Tabla1[[#This Row],[Día de Fecha]])</f>
        <v>46293</v>
      </c>
      <c r="G1487">
        <v>1118301691</v>
      </c>
      <c r="H1487" t="s">
        <v>13</v>
      </c>
      <c r="I1487">
        <v>90</v>
      </c>
      <c r="J1487">
        <v>0</v>
      </c>
      <c r="K1487" s="1">
        <v>4949128</v>
      </c>
    </row>
    <row r="1488" spans="1:11" x14ac:dyDescent="0.25">
      <c r="A1488" t="s">
        <v>9</v>
      </c>
      <c r="B1488" t="s">
        <v>10</v>
      </c>
      <c r="C1488" t="s">
        <v>867</v>
      </c>
      <c r="D1488" t="s">
        <v>11</v>
      </c>
      <c r="E1488">
        <v>29</v>
      </c>
      <c r="F1488" s="2">
        <f>DATE(2026,IF(Tabla1[[#This Row],[Mes de Fecha]]="Septiembre",9,10),Tabla1[[#This Row],[Día de Fecha]])</f>
        <v>46294</v>
      </c>
      <c r="I1488">
        <v>0</v>
      </c>
      <c r="J1488" s="1">
        <v>3769705</v>
      </c>
      <c r="K1488">
        <v>0</v>
      </c>
    </row>
    <row r="1489" spans="1:11" x14ac:dyDescent="0.25">
      <c r="A1489" t="s">
        <v>9</v>
      </c>
      <c r="B1489" t="s">
        <v>10</v>
      </c>
      <c r="C1489" t="s">
        <v>867</v>
      </c>
      <c r="D1489" t="s">
        <v>11</v>
      </c>
      <c r="E1489">
        <v>29</v>
      </c>
      <c r="F1489" s="2">
        <f>DATE(2026,IF(Tabla1[[#This Row],[Mes de Fecha]]="Septiembre",9,10),Tabla1[[#This Row],[Día de Fecha]])</f>
        <v>46294</v>
      </c>
      <c r="G1489">
        <v>1112497492</v>
      </c>
      <c r="H1489" t="s">
        <v>12</v>
      </c>
      <c r="I1489">
        <v>15</v>
      </c>
      <c r="J1489">
        <v>0</v>
      </c>
      <c r="K1489" s="1">
        <v>742983</v>
      </c>
    </row>
    <row r="1490" spans="1:11" x14ac:dyDescent="0.25">
      <c r="A1490" t="s">
        <v>9</v>
      </c>
      <c r="B1490" t="s">
        <v>10</v>
      </c>
      <c r="C1490" t="s">
        <v>867</v>
      </c>
      <c r="D1490" t="s">
        <v>11</v>
      </c>
      <c r="E1490">
        <v>29</v>
      </c>
      <c r="F1490" s="2">
        <f>DATE(2026,IF(Tabla1[[#This Row],[Mes de Fecha]]="Septiembre",9,10),Tabla1[[#This Row],[Día de Fecha]])</f>
        <v>46294</v>
      </c>
      <c r="G1490">
        <v>1118301691</v>
      </c>
      <c r="H1490" t="s">
        <v>13</v>
      </c>
      <c r="I1490">
        <v>32</v>
      </c>
      <c r="J1490">
        <v>0</v>
      </c>
      <c r="K1490" s="1">
        <v>1897733</v>
      </c>
    </row>
    <row r="1491" spans="1:11" x14ac:dyDescent="0.25">
      <c r="A1491" t="s">
        <v>9</v>
      </c>
      <c r="B1491" t="s">
        <v>10</v>
      </c>
      <c r="C1491" t="s">
        <v>867</v>
      </c>
      <c r="D1491" t="s">
        <v>11</v>
      </c>
      <c r="E1491">
        <v>30</v>
      </c>
      <c r="F1491" s="2">
        <f>DATE(2026,IF(Tabla1[[#This Row],[Mes de Fecha]]="Septiembre",9,10),Tabla1[[#This Row],[Día de Fecha]])</f>
        <v>46295</v>
      </c>
      <c r="I1491">
        <v>0</v>
      </c>
      <c r="J1491" s="1">
        <v>3992237</v>
      </c>
      <c r="K1491">
        <v>0</v>
      </c>
    </row>
    <row r="1492" spans="1:11" x14ac:dyDescent="0.25">
      <c r="A1492" t="s">
        <v>9</v>
      </c>
      <c r="B1492" t="s">
        <v>10</v>
      </c>
      <c r="C1492" t="s">
        <v>867</v>
      </c>
      <c r="D1492" t="s">
        <v>11</v>
      </c>
      <c r="E1492">
        <v>30</v>
      </c>
      <c r="F1492" s="2">
        <f>DATE(2026,IF(Tabla1[[#This Row],[Mes de Fecha]]="Septiembre",9,10),Tabla1[[#This Row],[Día de Fecha]])</f>
        <v>46295</v>
      </c>
      <c r="G1492">
        <v>1112497492</v>
      </c>
      <c r="H1492" t="s">
        <v>12</v>
      </c>
      <c r="I1492">
        <v>52</v>
      </c>
      <c r="J1492">
        <v>0</v>
      </c>
      <c r="K1492" s="1">
        <v>2211600</v>
      </c>
    </row>
    <row r="1493" spans="1:11" x14ac:dyDescent="0.25">
      <c r="A1493" t="s">
        <v>9</v>
      </c>
      <c r="B1493" t="s">
        <v>10</v>
      </c>
      <c r="C1493" t="s">
        <v>867</v>
      </c>
      <c r="D1493" t="s">
        <v>11</v>
      </c>
      <c r="E1493">
        <v>30</v>
      </c>
      <c r="F1493" s="2">
        <f>DATE(2026,IF(Tabla1[[#This Row],[Mes de Fecha]]="Septiembre",9,10),Tabla1[[#This Row],[Día de Fecha]])</f>
        <v>46295</v>
      </c>
      <c r="G1493">
        <v>1118301691</v>
      </c>
      <c r="H1493" t="s">
        <v>13</v>
      </c>
      <c r="I1493">
        <v>33</v>
      </c>
      <c r="J1493">
        <v>0</v>
      </c>
      <c r="K1493" s="1">
        <v>1559244</v>
      </c>
    </row>
    <row r="1494" spans="1:11" x14ac:dyDescent="0.25">
      <c r="A1494" t="s">
        <v>9</v>
      </c>
      <c r="B1494" t="s">
        <v>10</v>
      </c>
      <c r="C1494" t="s">
        <v>867</v>
      </c>
      <c r="D1494" t="s">
        <v>14</v>
      </c>
      <c r="E1494">
        <v>1</v>
      </c>
      <c r="F1494" s="2">
        <f>DATE(2026,IF(Tabla1[[#This Row],[Mes de Fecha]]="Septiembre",9,10),Tabla1[[#This Row],[Día de Fecha]])</f>
        <v>46296</v>
      </c>
      <c r="I1494">
        <v>0</v>
      </c>
      <c r="J1494" s="1">
        <v>7410874</v>
      </c>
      <c r="K1494">
        <v>0</v>
      </c>
    </row>
    <row r="1495" spans="1:11" x14ac:dyDescent="0.25">
      <c r="A1495" t="s">
        <v>9</v>
      </c>
      <c r="B1495" t="s">
        <v>10</v>
      </c>
      <c r="C1495" t="s">
        <v>867</v>
      </c>
      <c r="D1495" t="s">
        <v>14</v>
      </c>
      <c r="E1495">
        <v>1</v>
      </c>
      <c r="F1495" s="2">
        <f>DATE(2026,IF(Tabla1[[#This Row],[Mes de Fecha]]="Septiembre",9,10),Tabla1[[#This Row],[Día de Fecha]])</f>
        <v>46296</v>
      </c>
      <c r="G1495">
        <v>1112497492</v>
      </c>
      <c r="H1495" t="s">
        <v>12</v>
      </c>
      <c r="I1495">
        <v>51</v>
      </c>
      <c r="J1495">
        <v>0</v>
      </c>
      <c r="K1495" s="1">
        <v>2324877</v>
      </c>
    </row>
    <row r="1496" spans="1:11" x14ac:dyDescent="0.25">
      <c r="A1496" t="s">
        <v>9</v>
      </c>
      <c r="B1496" t="s">
        <v>10</v>
      </c>
      <c r="C1496" t="s">
        <v>867</v>
      </c>
      <c r="D1496" t="s">
        <v>14</v>
      </c>
      <c r="E1496">
        <v>1</v>
      </c>
      <c r="F1496" s="2">
        <f>DATE(2026,IF(Tabla1[[#This Row],[Mes de Fecha]]="Septiembre",9,10),Tabla1[[#This Row],[Día de Fecha]])</f>
        <v>46296</v>
      </c>
      <c r="G1496">
        <v>1118301691</v>
      </c>
      <c r="H1496" t="s">
        <v>13</v>
      </c>
      <c r="I1496">
        <v>48</v>
      </c>
      <c r="J1496">
        <v>0</v>
      </c>
      <c r="K1496" s="1">
        <v>2191135</v>
      </c>
    </row>
    <row r="1497" spans="1:11" x14ac:dyDescent="0.25">
      <c r="A1497" t="s">
        <v>9</v>
      </c>
      <c r="B1497" t="s">
        <v>10</v>
      </c>
      <c r="C1497" t="s">
        <v>867</v>
      </c>
      <c r="D1497" t="s">
        <v>14</v>
      </c>
      <c r="E1497">
        <v>2</v>
      </c>
      <c r="F1497" s="2">
        <f>DATE(2026,IF(Tabla1[[#This Row],[Mes de Fecha]]="Septiembre",9,10),Tabla1[[#This Row],[Día de Fecha]])</f>
        <v>46297</v>
      </c>
      <c r="I1497">
        <v>0</v>
      </c>
      <c r="J1497" s="1">
        <v>7651968</v>
      </c>
      <c r="K1497">
        <v>0</v>
      </c>
    </row>
    <row r="1498" spans="1:11" x14ac:dyDescent="0.25">
      <c r="A1498" t="s">
        <v>9</v>
      </c>
      <c r="B1498" t="s">
        <v>10</v>
      </c>
      <c r="C1498" t="s">
        <v>867</v>
      </c>
      <c r="D1498" t="s">
        <v>14</v>
      </c>
      <c r="E1498">
        <v>2</v>
      </c>
      <c r="F1498" s="2">
        <f>DATE(2026,IF(Tabla1[[#This Row],[Mes de Fecha]]="Septiembre",9,10),Tabla1[[#This Row],[Día de Fecha]])</f>
        <v>46297</v>
      </c>
      <c r="G1498">
        <v>1112497492</v>
      </c>
      <c r="H1498" t="s">
        <v>12</v>
      </c>
      <c r="I1498">
        <v>30</v>
      </c>
      <c r="J1498">
        <v>0</v>
      </c>
      <c r="K1498" s="1">
        <v>1368320</v>
      </c>
    </row>
    <row r="1499" spans="1:11" x14ac:dyDescent="0.25">
      <c r="A1499" t="s">
        <v>9</v>
      </c>
      <c r="B1499" t="s">
        <v>10</v>
      </c>
      <c r="C1499" t="s">
        <v>867</v>
      </c>
      <c r="D1499" t="s">
        <v>14</v>
      </c>
      <c r="E1499">
        <v>2</v>
      </c>
      <c r="F1499" s="2">
        <f>DATE(2026,IF(Tabla1[[#This Row],[Mes de Fecha]]="Septiembre",9,10),Tabla1[[#This Row],[Día de Fecha]])</f>
        <v>46297</v>
      </c>
      <c r="G1499">
        <v>1118301691</v>
      </c>
      <c r="H1499" t="s">
        <v>13</v>
      </c>
      <c r="I1499">
        <v>31</v>
      </c>
      <c r="J1499">
        <v>0</v>
      </c>
      <c r="K1499" s="1">
        <v>1630968</v>
      </c>
    </row>
    <row r="1500" spans="1:11" x14ac:dyDescent="0.25">
      <c r="A1500" t="s">
        <v>9</v>
      </c>
      <c r="B1500" t="s">
        <v>10</v>
      </c>
      <c r="C1500" t="s">
        <v>867</v>
      </c>
      <c r="D1500" t="s">
        <v>14</v>
      </c>
      <c r="E1500">
        <v>3</v>
      </c>
      <c r="F1500" s="2">
        <f>DATE(2026,IF(Tabla1[[#This Row],[Mes de Fecha]]="Septiembre",9,10),Tabla1[[#This Row],[Día de Fecha]])</f>
        <v>46298</v>
      </c>
      <c r="I1500">
        <v>0</v>
      </c>
      <c r="J1500" s="1">
        <v>14272444</v>
      </c>
      <c r="K1500">
        <v>0</v>
      </c>
    </row>
    <row r="1501" spans="1:11" x14ac:dyDescent="0.25">
      <c r="A1501" t="s">
        <v>9</v>
      </c>
      <c r="B1501" t="s">
        <v>10</v>
      </c>
      <c r="C1501" t="s">
        <v>867</v>
      </c>
      <c r="D1501" t="s">
        <v>14</v>
      </c>
      <c r="E1501">
        <v>3</v>
      </c>
      <c r="F1501" s="2">
        <f>DATE(2026,IF(Tabla1[[#This Row],[Mes de Fecha]]="Septiembre",9,10),Tabla1[[#This Row],[Día de Fecha]])</f>
        <v>46298</v>
      </c>
      <c r="G1501">
        <v>1112497492</v>
      </c>
      <c r="H1501" t="s">
        <v>12</v>
      </c>
      <c r="I1501">
        <v>97</v>
      </c>
      <c r="J1501">
        <v>0</v>
      </c>
      <c r="K1501" s="1">
        <v>4550393</v>
      </c>
    </row>
    <row r="1502" spans="1:11" x14ac:dyDescent="0.25">
      <c r="A1502" t="s">
        <v>9</v>
      </c>
      <c r="B1502" t="s">
        <v>10</v>
      </c>
      <c r="C1502" t="s">
        <v>867</v>
      </c>
      <c r="D1502" t="s">
        <v>14</v>
      </c>
      <c r="E1502">
        <v>3</v>
      </c>
      <c r="F1502" s="2">
        <f>DATE(2026,IF(Tabla1[[#This Row],[Mes de Fecha]]="Septiembre",9,10),Tabla1[[#This Row],[Día de Fecha]])</f>
        <v>46298</v>
      </c>
      <c r="G1502">
        <v>1118301691</v>
      </c>
      <c r="H1502" t="s">
        <v>13</v>
      </c>
      <c r="I1502">
        <v>98</v>
      </c>
      <c r="J1502">
        <v>0</v>
      </c>
      <c r="K1502" s="1">
        <v>4895934</v>
      </c>
    </row>
    <row r="1503" spans="1:11" x14ac:dyDescent="0.25">
      <c r="A1503" t="s">
        <v>9</v>
      </c>
      <c r="B1503" t="s">
        <v>10</v>
      </c>
      <c r="C1503" t="s">
        <v>867</v>
      </c>
      <c r="D1503" t="s">
        <v>14</v>
      </c>
      <c r="E1503">
        <v>4</v>
      </c>
      <c r="F1503" s="2">
        <f>DATE(2026,IF(Tabla1[[#This Row],[Mes de Fecha]]="Septiembre",9,10),Tabla1[[#This Row],[Día de Fecha]])</f>
        <v>46299</v>
      </c>
      <c r="I1503">
        <v>0</v>
      </c>
      <c r="J1503" s="1">
        <v>6779969</v>
      </c>
      <c r="K1503">
        <v>0</v>
      </c>
    </row>
    <row r="1504" spans="1:11" x14ac:dyDescent="0.25">
      <c r="A1504" t="s">
        <v>9</v>
      </c>
      <c r="B1504" t="s">
        <v>10</v>
      </c>
      <c r="C1504" t="s">
        <v>867</v>
      </c>
      <c r="D1504" t="s">
        <v>14</v>
      </c>
      <c r="E1504">
        <v>4</v>
      </c>
      <c r="F1504" s="2">
        <f>DATE(2026,IF(Tabla1[[#This Row],[Mes de Fecha]]="Septiembre",9,10),Tabla1[[#This Row],[Día de Fecha]])</f>
        <v>46299</v>
      </c>
      <c r="G1504">
        <v>1112497492</v>
      </c>
      <c r="H1504" t="s">
        <v>12</v>
      </c>
      <c r="I1504">
        <v>43</v>
      </c>
      <c r="J1504">
        <v>0</v>
      </c>
      <c r="K1504" s="1">
        <v>2531514</v>
      </c>
    </row>
    <row r="1505" spans="1:11" x14ac:dyDescent="0.25">
      <c r="A1505" t="s">
        <v>9</v>
      </c>
      <c r="B1505" t="s">
        <v>10</v>
      </c>
      <c r="C1505" t="s">
        <v>867</v>
      </c>
      <c r="D1505" t="s">
        <v>14</v>
      </c>
      <c r="E1505">
        <v>4</v>
      </c>
      <c r="F1505" s="2">
        <f>DATE(2026,IF(Tabla1[[#This Row],[Mes de Fecha]]="Septiembre",9,10),Tabla1[[#This Row],[Día de Fecha]])</f>
        <v>46299</v>
      </c>
      <c r="G1505">
        <v>1118301691</v>
      </c>
      <c r="H1505" t="s">
        <v>13</v>
      </c>
      <c r="I1505">
        <v>49</v>
      </c>
      <c r="J1505">
        <v>0</v>
      </c>
      <c r="K1505" s="1">
        <v>2485298</v>
      </c>
    </row>
    <row r="1506" spans="1:11" x14ac:dyDescent="0.25">
      <c r="A1506" t="s">
        <v>9</v>
      </c>
      <c r="B1506" t="s">
        <v>10</v>
      </c>
      <c r="C1506" t="s">
        <v>867</v>
      </c>
      <c r="D1506" t="s">
        <v>14</v>
      </c>
      <c r="E1506">
        <v>5</v>
      </c>
      <c r="F1506" s="2">
        <f>DATE(2026,IF(Tabla1[[#This Row],[Mes de Fecha]]="Septiembre",9,10),Tabla1[[#This Row],[Día de Fecha]])</f>
        <v>46300</v>
      </c>
      <c r="I1506">
        <v>0</v>
      </c>
      <c r="J1506" s="1">
        <v>6678262</v>
      </c>
      <c r="K1506">
        <v>0</v>
      </c>
    </row>
    <row r="1507" spans="1:11" x14ac:dyDescent="0.25">
      <c r="A1507" t="s">
        <v>9</v>
      </c>
      <c r="B1507" t="s">
        <v>10</v>
      </c>
      <c r="C1507" t="s">
        <v>867</v>
      </c>
      <c r="D1507" t="s">
        <v>14</v>
      </c>
      <c r="E1507">
        <v>5</v>
      </c>
      <c r="F1507" s="2">
        <f>DATE(2026,IF(Tabla1[[#This Row],[Mes de Fecha]]="Septiembre",9,10),Tabla1[[#This Row],[Día de Fecha]])</f>
        <v>46300</v>
      </c>
      <c r="G1507">
        <v>1112497492</v>
      </c>
      <c r="H1507" t="s">
        <v>12</v>
      </c>
      <c r="I1507">
        <v>52</v>
      </c>
      <c r="J1507">
        <v>0</v>
      </c>
      <c r="K1507" s="1">
        <v>2493197</v>
      </c>
    </row>
    <row r="1508" spans="1:11" x14ac:dyDescent="0.25">
      <c r="A1508" t="s">
        <v>9</v>
      </c>
      <c r="B1508" t="s">
        <v>10</v>
      </c>
      <c r="C1508" t="s">
        <v>867</v>
      </c>
      <c r="D1508" t="s">
        <v>14</v>
      </c>
      <c r="E1508">
        <v>5</v>
      </c>
      <c r="F1508" s="2">
        <f>DATE(2026,IF(Tabla1[[#This Row],[Mes de Fecha]]="Septiembre",9,10),Tabla1[[#This Row],[Día de Fecha]])</f>
        <v>46300</v>
      </c>
      <c r="G1508">
        <v>1118301691</v>
      </c>
      <c r="H1508" t="s">
        <v>13</v>
      </c>
      <c r="I1508">
        <v>26</v>
      </c>
      <c r="J1508">
        <v>0</v>
      </c>
      <c r="K1508" s="1">
        <v>1700465</v>
      </c>
    </row>
    <row r="1509" spans="1:11" x14ac:dyDescent="0.25">
      <c r="A1509" t="s">
        <v>9</v>
      </c>
      <c r="B1509" t="s">
        <v>10</v>
      </c>
      <c r="C1509" t="s">
        <v>867</v>
      </c>
      <c r="D1509" t="s">
        <v>14</v>
      </c>
      <c r="E1509">
        <v>6</v>
      </c>
      <c r="F1509" s="2">
        <f>DATE(2026,IF(Tabla1[[#This Row],[Mes de Fecha]]="Septiembre",9,10),Tabla1[[#This Row],[Día de Fecha]])</f>
        <v>46301</v>
      </c>
      <c r="I1509">
        <v>0</v>
      </c>
      <c r="J1509" s="1">
        <v>2108639</v>
      </c>
      <c r="K1509">
        <v>0</v>
      </c>
    </row>
    <row r="1510" spans="1:11" x14ac:dyDescent="0.25">
      <c r="A1510" t="s">
        <v>9</v>
      </c>
      <c r="B1510" t="s">
        <v>10</v>
      </c>
      <c r="C1510" t="s">
        <v>867</v>
      </c>
      <c r="D1510" t="s">
        <v>14</v>
      </c>
      <c r="E1510">
        <v>6</v>
      </c>
      <c r="F1510" s="2">
        <f>DATE(2026,IF(Tabla1[[#This Row],[Mes de Fecha]]="Septiembre",9,10),Tabla1[[#This Row],[Día de Fecha]])</f>
        <v>46301</v>
      </c>
      <c r="G1510">
        <v>1112497492</v>
      </c>
      <c r="H1510" t="s">
        <v>12</v>
      </c>
      <c r="I1510">
        <v>75</v>
      </c>
      <c r="J1510">
        <v>0</v>
      </c>
      <c r="K1510" s="1">
        <v>3958228</v>
      </c>
    </row>
    <row r="1511" spans="1:11" x14ac:dyDescent="0.25">
      <c r="A1511" t="s">
        <v>9</v>
      </c>
      <c r="B1511" t="s">
        <v>10</v>
      </c>
      <c r="C1511" t="s">
        <v>867</v>
      </c>
      <c r="D1511" t="s">
        <v>14</v>
      </c>
      <c r="E1511">
        <v>6</v>
      </c>
      <c r="F1511" s="2">
        <f>DATE(2026,IF(Tabla1[[#This Row],[Mes de Fecha]]="Septiembre",9,10),Tabla1[[#This Row],[Día de Fecha]])</f>
        <v>46301</v>
      </c>
      <c r="G1511">
        <v>1118301691</v>
      </c>
      <c r="H1511" t="s">
        <v>13</v>
      </c>
      <c r="I1511">
        <v>0</v>
      </c>
      <c r="J1511">
        <v>0</v>
      </c>
      <c r="K1511" s="1">
        <v>25210</v>
      </c>
    </row>
    <row r="1512" spans="1:11" x14ac:dyDescent="0.25">
      <c r="A1512" t="s">
        <v>9</v>
      </c>
      <c r="B1512" t="s">
        <v>10</v>
      </c>
      <c r="C1512" t="s">
        <v>867</v>
      </c>
      <c r="D1512" t="s">
        <v>14</v>
      </c>
      <c r="E1512">
        <v>7</v>
      </c>
      <c r="F1512" s="2">
        <f>DATE(2026,IF(Tabla1[[#This Row],[Mes de Fecha]]="Septiembre",9,10),Tabla1[[#This Row],[Día de Fecha]])</f>
        <v>46302</v>
      </c>
      <c r="I1512">
        <v>0</v>
      </c>
      <c r="J1512" s="1">
        <v>1919948</v>
      </c>
      <c r="K1512">
        <v>0</v>
      </c>
    </row>
    <row r="1513" spans="1:11" x14ac:dyDescent="0.25">
      <c r="A1513" t="s">
        <v>9</v>
      </c>
      <c r="B1513" t="s">
        <v>10</v>
      </c>
      <c r="C1513" t="s">
        <v>867</v>
      </c>
      <c r="D1513" t="s">
        <v>14</v>
      </c>
      <c r="E1513">
        <v>7</v>
      </c>
      <c r="F1513" s="2">
        <f>DATE(2026,IF(Tabla1[[#This Row],[Mes de Fecha]]="Septiembre",9,10),Tabla1[[#This Row],[Día de Fecha]])</f>
        <v>46302</v>
      </c>
      <c r="G1513">
        <v>1112497492</v>
      </c>
      <c r="H1513" t="s">
        <v>12</v>
      </c>
      <c r="I1513">
        <v>16</v>
      </c>
      <c r="J1513">
        <v>0</v>
      </c>
      <c r="K1513" s="1">
        <v>1112648</v>
      </c>
    </row>
    <row r="1514" spans="1:11" x14ac:dyDescent="0.25">
      <c r="A1514" t="s">
        <v>9</v>
      </c>
      <c r="B1514" t="s">
        <v>10</v>
      </c>
      <c r="C1514" t="s">
        <v>867</v>
      </c>
      <c r="D1514" t="s">
        <v>14</v>
      </c>
      <c r="E1514">
        <v>7</v>
      </c>
      <c r="F1514" s="2">
        <f>DATE(2026,IF(Tabla1[[#This Row],[Mes de Fecha]]="Septiembre",9,10),Tabla1[[#This Row],[Día de Fecha]])</f>
        <v>46302</v>
      </c>
      <c r="G1514">
        <v>1118301691</v>
      </c>
      <c r="H1514" t="s">
        <v>13</v>
      </c>
      <c r="I1514">
        <v>25</v>
      </c>
      <c r="J1514">
        <v>0</v>
      </c>
      <c r="K1514" s="1">
        <v>1650170</v>
      </c>
    </row>
    <row r="1515" spans="1:11" x14ac:dyDescent="0.25">
      <c r="A1515" t="s">
        <v>9</v>
      </c>
      <c r="B1515" t="s">
        <v>56</v>
      </c>
      <c r="C1515" t="s">
        <v>867</v>
      </c>
      <c r="D1515" t="s">
        <v>11</v>
      </c>
      <c r="E1515">
        <v>23</v>
      </c>
      <c r="F1515" s="2">
        <f>DATE(2026,IF(Tabla1[[#This Row],[Mes de Fecha]]="Septiembre",9,10),Tabla1[[#This Row],[Día de Fecha]])</f>
        <v>46288</v>
      </c>
      <c r="I1515">
        <v>0</v>
      </c>
      <c r="J1515" s="1">
        <v>3973081</v>
      </c>
      <c r="K1515">
        <v>0</v>
      </c>
    </row>
    <row r="1516" spans="1:11" x14ac:dyDescent="0.25">
      <c r="A1516" t="s">
        <v>9</v>
      </c>
      <c r="B1516" t="s">
        <v>56</v>
      </c>
      <c r="C1516" t="s">
        <v>867</v>
      </c>
      <c r="D1516" t="s">
        <v>11</v>
      </c>
      <c r="E1516">
        <v>23</v>
      </c>
      <c r="F1516" s="2">
        <f>DATE(2026,IF(Tabla1[[#This Row],[Mes de Fecha]]="Septiembre",9,10),Tabla1[[#This Row],[Día de Fecha]])</f>
        <v>46288</v>
      </c>
      <c r="G1516">
        <v>1115076540</v>
      </c>
      <c r="H1516" t="s">
        <v>58</v>
      </c>
      <c r="I1516">
        <v>54</v>
      </c>
      <c r="J1516">
        <v>0</v>
      </c>
      <c r="K1516" s="1">
        <v>3153196</v>
      </c>
    </row>
    <row r="1517" spans="1:11" x14ac:dyDescent="0.25">
      <c r="A1517" t="s">
        <v>9</v>
      </c>
      <c r="B1517" t="s">
        <v>56</v>
      </c>
      <c r="C1517" t="s">
        <v>867</v>
      </c>
      <c r="D1517" t="s">
        <v>11</v>
      </c>
      <c r="E1517">
        <v>23</v>
      </c>
      <c r="F1517" s="2">
        <f>DATE(2026,IF(Tabla1[[#This Row],[Mes de Fecha]]="Septiembre",9,10),Tabla1[[#This Row],[Día de Fecha]])</f>
        <v>46288</v>
      </c>
      <c r="G1517">
        <v>1115076961</v>
      </c>
      <c r="H1517" t="s">
        <v>60</v>
      </c>
      <c r="I1517">
        <v>26</v>
      </c>
      <c r="J1517">
        <v>0</v>
      </c>
      <c r="K1517" s="1">
        <v>1448491</v>
      </c>
    </row>
    <row r="1518" spans="1:11" x14ac:dyDescent="0.25">
      <c r="A1518" t="s">
        <v>9</v>
      </c>
      <c r="B1518" t="s">
        <v>56</v>
      </c>
      <c r="C1518" t="s">
        <v>867</v>
      </c>
      <c r="D1518" t="s">
        <v>11</v>
      </c>
      <c r="E1518">
        <v>23</v>
      </c>
      <c r="F1518" s="2">
        <f>DATE(2026,IF(Tabla1[[#This Row],[Mes de Fecha]]="Septiembre",9,10),Tabla1[[#This Row],[Día de Fecha]])</f>
        <v>46288</v>
      </c>
      <c r="G1518">
        <v>1115087772</v>
      </c>
      <c r="H1518" t="s">
        <v>57</v>
      </c>
      <c r="I1518">
        <v>64</v>
      </c>
      <c r="J1518">
        <v>0</v>
      </c>
      <c r="K1518" s="1">
        <v>3352355</v>
      </c>
    </row>
    <row r="1519" spans="1:11" x14ac:dyDescent="0.25">
      <c r="A1519" t="s">
        <v>9</v>
      </c>
      <c r="B1519" t="s">
        <v>56</v>
      </c>
      <c r="C1519" t="s">
        <v>867</v>
      </c>
      <c r="D1519" t="s">
        <v>11</v>
      </c>
      <c r="E1519">
        <v>24</v>
      </c>
      <c r="F1519" s="2">
        <f>DATE(2026,IF(Tabla1[[#This Row],[Mes de Fecha]]="Septiembre",9,10),Tabla1[[#This Row],[Día de Fecha]])</f>
        <v>46289</v>
      </c>
      <c r="I1519">
        <v>0</v>
      </c>
      <c r="J1519" s="1">
        <v>10275155</v>
      </c>
      <c r="K1519">
        <v>0</v>
      </c>
    </row>
    <row r="1520" spans="1:11" x14ac:dyDescent="0.25">
      <c r="A1520" t="s">
        <v>9</v>
      </c>
      <c r="B1520" t="s">
        <v>56</v>
      </c>
      <c r="C1520" t="s">
        <v>867</v>
      </c>
      <c r="D1520" t="s">
        <v>11</v>
      </c>
      <c r="E1520">
        <v>24</v>
      </c>
      <c r="F1520" s="2">
        <f>DATE(2026,IF(Tabla1[[#This Row],[Mes de Fecha]]="Septiembre",9,10),Tabla1[[#This Row],[Día de Fecha]])</f>
        <v>46289</v>
      </c>
      <c r="G1520">
        <v>1112389670</v>
      </c>
      <c r="H1520" t="s">
        <v>59</v>
      </c>
      <c r="I1520">
        <v>31</v>
      </c>
      <c r="J1520">
        <v>0</v>
      </c>
      <c r="K1520" s="1">
        <v>1813825</v>
      </c>
    </row>
    <row r="1521" spans="1:11" x14ac:dyDescent="0.25">
      <c r="A1521" t="s">
        <v>9</v>
      </c>
      <c r="B1521" t="s">
        <v>56</v>
      </c>
      <c r="C1521" t="s">
        <v>867</v>
      </c>
      <c r="D1521" t="s">
        <v>11</v>
      </c>
      <c r="E1521">
        <v>24</v>
      </c>
      <c r="F1521" s="2">
        <f>DATE(2026,IF(Tabla1[[#This Row],[Mes de Fecha]]="Septiembre",9,10),Tabla1[[#This Row],[Día de Fecha]])</f>
        <v>46289</v>
      </c>
      <c r="G1521">
        <v>1115076540</v>
      </c>
      <c r="H1521" t="s">
        <v>58</v>
      </c>
      <c r="I1521">
        <v>40</v>
      </c>
      <c r="J1521">
        <v>0</v>
      </c>
      <c r="K1521" s="1">
        <v>2229414</v>
      </c>
    </row>
    <row r="1522" spans="1:11" x14ac:dyDescent="0.25">
      <c r="A1522" t="s">
        <v>9</v>
      </c>
      <c r="B1522" t="s">
        <v>56</v>
      </c>
      <c r="C1522" t="s">
        <v>867</v>
      </c>
      <c r="D1522" t="s">
        <v>11</v>
      </c>
      <c r="E1522">
        <v>24</v>
      </c>
      <c r="F1522" s="2">
        <f>DATE(2026,IF(Tabla1[[#This Row],[Mes de Fecha]]="Septiembre",9,10),Tabla1[[#This Row],[Día de Fecha]])</f>
        <v>46289</v>
      </c>
      <c r="G1522">
        <v>1115076961</v>
      </c>
      <c r="H1522" t="s">
        <v>60</v>
      </c>
      <c r="I1522">
        <v>32</v>
      </c>
      <c r="J1522">
        <v>0</v>
      </c>
      <c r="K1522" s="1">
        <v>1687774</v>
      </c>
    </row>
    <row r="1523" spans="1:11" x14ac:dyDescent="0.25">
      <c r="A1523" t="s">
        <v>9</v>
      </c>
      <c r="B1523" t="s">
        <v>56</v>
      </c>
      <c r="C1523" t="s">
        <v>867</v>
      </c>
      <c r="D1523" t="s">
        <v>11</v>
      </c>
      <c r="E1523">
        <v>24</v>
      </c>
      <c r="F1523" s="2">
        <f>DATE(2026,IF(Tabla1[[#This Row],[Mes de Fecha]]="Septiembre",9,10),Tabla1[[#This Row],[Día de Fecha]])</f>
        <v>46289</v>
      </c>
      <c r="G1523">
        <v>1115087772</v>
      </c>
      <c r="H1523" t="s">
        <v>57</v>
      </c>
      <c r="I1523">
        <v>42</v>
      </c>
      <c r="J1523">
        <v>0</v>
      </c>
      <c r="K1523" s="1">
        <v>2414201</v>
      </c>
    </row>
    <row r="1524" spans="1:11" x14ac:dyDescent="0.25">
      <c r="A1524" t="s">
        <v>9</v>
      </c>
      <c r="B1524" t="s">
        <v>56</v>
      </c>
      <c r="C1524" t="s">
        <v>867</v>
      </c>
      <c r="D1524" t="s">
        <v>11</v>
      </c>
      <c r="E1524">
        <v>25</v>
      </c>
      <c r="F1524" s="2">
        <f>DATE(2026,IF(Tabla1[[#This Row],[Mes de Fecha]]="Septiembre",9,10),Tabla1[[#This Row],[Día de Fecha]])</f>
        <v>46290</v>
      </c>
      <c r="I1524">
        <v>0</v>
      </c>
      <c r="J1524" s="1">
        <v>10974427</v>
      </c>
      <c r="K1524">
        <v>0</v>
      </c>
    </row>
    <row r="1525" spans="1:11" x14ac:dyDescent="0.25">
      <c r="A1525" t="s">
        <v>9</v>
      </c>
      <c r="B1525" t="s">
        <v>56</v>
      </c>
      <c r="C1525" t="s">
        <v>867</v>
      </c>
      <c r="D1525" t="s">
        <v>11</v>
      </c>
      <c r="E1525">
        <v>25</v>
      </c>
      <c r="F1525" s="2">
        <f>DATE(2026,IF(Tabla1[[#This Row],[Mes de Fecha]]="Septiembre",9,10),Tabla1[[#This Row],[Día de Fecha]])</f>
        <v>46290</v>
      </c>
      <c r="G1525">
        <v>1105371696</v>
      </c>
      <c r="H1525" t="s">
        <v>63</v>
      </c>
      <c r="I1525">
        <v>54</v>
      </c>
      <c r="J1525">
        <v>0</v>
      </c>
      <c r="K1525" s="1">
        <v>2648994</v>
      </c>
    </row>
    <row r="1526" spans="1:11" x14ac:dyDescent="0.25">
      <c r="A1526" t="s">
        <v>9</v>
      </c>
      <c r="B1526" t="s">
        <v>56</v>
      </c>
      <c r="C1526" t="s">
        <v>867</v>
      </c>
      <c r="D1526" t="s">
        <v>11</v>
      </c>
      <c r="E1526">
        <v>25</v>
      </c>
      <c r="F1526" s="2">
        <f>DATE(2026,IF(Tabla1[[#This Row],[Mes de Fecha]]="Septiembre",9,10),Tabla1[[#This Row],[Día de Fecha]])</f>
        <v>46290</v>
      </c>
      <c r="G1526">
        <v>1105371697</v>
      </c>
      <c r="H1526" t="s">
        <v>61</v>
      </c>
      <c r="I1526">
        <v>51</v>
      </c>
      <c r="J1526">
        <v>0</v>
      </c>
      <c r="K1526" s="1">
        <v>2495757</v>
      </c>
    </row>
    <row r="1527" spans="1:11" x14ac:dyDescent="0.25">
      <c r="A1527" t="s">
        <v>9</v>
      </c>
      <c r="B1527" t="s">
        <v>56</v>
      </c>
      <c r="C1527" t="s">
        <v>867</v>
      </c>
      <c r="D1527" t="s">
        <v>11</v>
      </c>
      <c r="E1527">
        <v>25</v>
      </c>
      <c r="F1527" s="2">
        <f>DATE(2026,IF(Tabla1[[#This Row],[Mes de Fecha]]="Septiembre",9,10),Tabla1[[#This Row],[Día de Fecha]])</f>
        <v>46290</v>
      </c>
      <c r="G1527">
        <v>1115076540</v>
      </c>
      <c r="H1527" t="s">
        <v>58</v>
      </c>
      <c r="I1527">
        <v>27</v>
      </c>
      <c r="J1527">
        <v>0</v>
      </c>
      <c r="K1527" s="1">
        <v>1549287</v>
      </c>
    </row>
    <row r="1528" spans="1:11" x14ac:dyDescent="0.25">
      <c r="A1528" t="s">
        <v>9</v>
      </c>
      <c r="B1528" t="s">
        <v>56</v>
      </c>
      <c r="C1528" t="s">
        <v>867</v>
      </c>
      <c r="D1528" t="s">
        <v>11</v>
      </c>
      <c r="E1528">
        <v>25</v>
      </c>
      <c r="F1528" s="2">
        <f>DATE(2026,IF(Tabla1[[#This Row],[Mes de Fecha]]="Septiembre",9,10),Tabla1[[#This Row],[Día de Fecha]])</f>
        <v>46290</v>
      </c>
      <c r="G1528">
        <v>1115076961</v>
      </c>
      <c r="H1528" t="s">
        <v>60</v>
      </c>
      <c r="I1528">
        <v>19</v>
      </c>
      <c r="J1528">
        <v>0</v>
      </c>
      <c r="K1528" s="1">
        <v>1192480</v>
      </c>
    </row>
    <row r="1529" spans="1:11" x14ac:dyDescent="0.25">
      <c r="A1529" t="s">
        <v>9</v>
      </c>
      <c r="B1529" t="s">
        <v>56</v>
      </c>
      <c r="C1529" t="s">
        <v>867</v>
      </c>
      <c r="D1529" t="s">
        <v>11</v>
      </c>
      <c r="E1529">
        <v>25</v>
      </c>
      <c r="F1529" s="2">
        <f>DATE(2026,IF(Tabla1[[#This Row],[Mes de Fecha]]="Septiembre",9,10),Tabla1[[#This Row],[Día de Fecha]])</f>
        <v>46290</v>
      </c>
      <c r="G1529">
        <v>1115087772</v>
      </c>
      <c r="H1529" t="s">
        <v>57</v>
      </c>
      <c r="I1529">
        <v>14</v>
      </c>
      <c r="J1529">
        <v>0</v>
      </c>
      <c r="K1529" s="1">
        <v>726303</v>
      </c>
    </row>
    <row r="1530" spans="1:11" x14ac:dyDescent="0.25">
      <c r="A1530" t="s">
        <v>9</v>
      </c>
      <c r="B1530" t="s">
        <v>56</v>
      </c>
      <c r="C1530" t="s">
        <v>867</v>
      </c>
      <c r="D1530" t="s">
        <v>11</v>
      </c>
      <c r="E1530">
        <v>26</v>
      </c>
      <c r="F1530" s="2">
        <f>DATE(2026,IF(Tabla1[[#This Row],[Mes de Fecha]]="Septiembre",9,10),Tabla1[[#This Row],[Día de Fecha]])</f>
        <v>46291</v>
      </c>
      <c r="I1530">
        <v>0</v>
      </c>
      <c r="J1530" s="1">
        <v>13838472</v>
      </c>
      <c r="K1530">
        <v>0</v>
      </c>
    </row>
    <row r="1531" spans="1:11" x14ac:dyDescent="0.25">
      <c r="A1531" t="s">
        <v>9</v>
      </c>
      <c r="B1531" t="s">
        <v>56</v>
      </c>
      <c r="C1531" t="s">
        <v>867</v>
      </c>
      <c r="D1531" t="s">
        <v>11</v>
      </c>
      <c r="E1531">
        <v>26</v>
      </c>
      <c r="F1531" s="2">
        <f>DATE(2026,IF(Tabla1[[#This Row],[Mes de Fecha]]="Septiembre",9,10),Tabla1[[#This Row],[Día de Fecha]])</f>
        <v>46291</v>
      </c>
      <c r="G1531">
        <v>1105371696</v>
      </c>
      <c r="H1531" t="s">
        <v>63</v>
      </c>
      <c r="I1531">
        <v>91</v>
      </c>
      <c r="J1531">
        <v>0</v>
      </c>
      <c r="K1531" s="1">
        <v>5313282</v>
      </c>
    </row>
    <row r="1532" spans="1:11" x14ac:dyDescent="0.25">
      <c r="A1532" t="s">
        <v>9</v>
      </c>
      <c r="B1532" t="s">
        <v>56</v>
      </c>
      <c r="C1532" t="s">
        <v>867</v>
      </c>
      <c r="D1532" t="s">
        <v>11</v>
      </c>
      <c r="E1532">
        <v>26</v>
      </c>
      <c r="F1532" s="2">
        <f>DATE(2026,IF(Tabla1[[#This Row],[Mes de Fecha]]="Septiembre",9,10),Tabla1[[#This Row],[Día de Fecha]])</f>
        <v>46291</v>
      </c>
      <c r="G1532">
        <v>1105371697</v>
      </c>
      <c r="H1532" t="s">
        <v>61</v>
      </c>
      <c r="I1532">
        <v>54</v>
      </c>
      <c r="J1532">
        <v>0</v>
      </c>
      <c r="K1532" s="1">
        <v>2665591</v>
      </c>
    </row>
    <row r="1533" spans="1:11" x14ac:dyDescent="0.25">
      <c r="A1533" t="s">
        <v>9</v>
      </c>
      <c r="B1533" t="s">
        <v>56</v>
      </c>
      <c r="C1533" t="s">
        <v>867</v>
      </c>
      <c r="D1533" t="s">
        <v>11</v>
      </c>
      <c r="E1533">
        <v>26</v>
      </c>
      <c r="F1533" s="2">
        <f>DATE(2026,IF(Tabla1[[#This Row],[Mes de Fecha]]="Septiembre",9,10),Tabla1[[#This Row],[Día de Fecha]])</f>
        <v>46291</v>
      </c>
      <c r="G1533">
        <v>1115076540</v>
      </c>
      <c r="H1533" t="s">
        <v>58</v>
      </c>
      <c r="I1533">
        <v>31</v>
      </c>
      <c r="J1533">
        <v>0</v>
      </c>
      <c r="K1533" s="1">
        <v>2259204</v>
      </c>
    </row>
    <row r="1534" spans="1:11" x14ac:dyDescent="0.25">
      <c r="A1534" t="s">
        <v>9</v>
      </c>
      <c r="B1534" t="s">
        <v>56</v>
      </c>
      <c r="C1534" t="s">
        <v>867</v>
      </c>
      <c r="D1534" t="s">
        <v>11</v>
      </c>
      <c r="E1534">
        <v>26</v>
      </c>
      <c r="F1534" s="2">
        <f>DATE(2026,IF(Tabla1[[#This Row],[Mes de Fecha]]="Septiembre",9,10),Tabla1[[#This Row],[Día de Fecha]])</f>
        <v>46291</v>
      </c>
      <c r="G1534">
        <v>1115076961</v>
      </c>
      <c r="H1534" t="s">
        <v>60</v>
      </c>
      <c r="I1534">
        <v>37</v>
      </c>
      <c r="J1534">
        <v>0</v>
      </c>
      <c r="K1534" s="1">
        <v>1836684</v>
      </c>
    </row>
    <row r="1535" spans="1:11" x14ac:dyDescent="0.25">
      <c r="A1535" t="s">
        <v>9</v>
      </c>
      <c r="B1535" t="s">
        <v>56</v>
      </c>
      <c r="C1535" t="s">
        <v>867</v>
      </c>
      <c r="D1535" t="s">
        <v>11</v>
      </c>
      <c r="E1535">
        <v>26</v>
      </c>
      <c r="F1535" s="2">
        <f>DATE(2026,IF(Tabla1[[#This Row],[Mes de Fecha]]="Septiembre",9,10),Tabla1[[#This Row],[Día de Fecha]])</f>
        <v>46291</v>
      </c>
      <c r="G1535">
        <v>1115087772</v>
      </c>
      <c r="H1535" t="s">
        <v>57</v>
      </c>
      <c r="I1535">
        <v>77</v>
      </c>
      <c r="J1535">
        <v>0</v>
      </c>
      <c r="K1535" s="1">
        <v>4734313</v>
      </c>
    </row>
    <row r="1536" spans="1:11" x14ac:dyDescent="0.25">
      <c r="A1536" t="s">
        <v>9</v>
      </c>
      <c r="B1536" t="s">
        <v>56</v>
      </c>
      <c r="C1536" t="s">
        <v>867</v>
      </c>
      <c r="D1536" t="s">
        <v>11</v>
      </c>
      <c r="E1536">
        <v>27</v>
      </c>
      <c r="F1536" s="2">
        <f>DATE(2026,IF(Tabla1[[#This Row],[Mes de Fecha]]="Septiembre",9,10),Tabla1[[#This Row],[Día de Fecha]])</f>
        <v>46292</v>
      </c>
      <c r="I1536">
        <v>0</v>
      </c>
      <c r="J1536" s="1">
        <v>7306582</v>
      </c>
      <c r="K1536">
        <v>0</v>
      </c>
    </row>
    <row r="1537" spans="1:11" x14ac:dyDescent="0.25">
      <c r="A1537" t="s">
        <v>9</v>
      </c>
      <c r="B1537" t="s">
        <v>56</v>
      </c>
      <c r="C1537" t="s">
        <v>867</v>
      </c>
      <c r="D1537" t="s">
        <v>11</v>
      </c>
      <c r="E1537">
        <v>27</v>
      </c>
      <c r="F1537" s="2">
        <f>DATE(2026,IF(Tabla1[[#This Row],[Mes de Fecha]]="Septiembre",9,10),Tabla1[[#This Row],[Día de Fecha]])</f>
        <v>46292</v>
      </c>
      <c r="G1537">
        <v>1006016558</v>
      </c>
      <c r="H1537" t="s">
        <v>64</v>
      </c>
      <c r="I1537">
        <v>55</v>
      </c>
      <c r="J1537">
        <v>0</v>
      </c>
      <c r="K1537" s="1">
        <v>3027020</v>
      </c>
    </row>
    <row r="1538" spans="1:11" x14ac:dyDescent="0.25">
      <c r="A1538" t="s">
        <v>9</v>
      </c>
      <c r="B1538" t="s">
        <v>56</v>
      </c>
      <c r="C1538" t="s">
        <v>867</v>
      </c>
      <c r="D1538" t="s">
        <v>11</v>
      </c>
      <c r="E1538">
        <v>27</v>
      </c>
      <c r="F1538" s="2">
        <f>DATE(2026,IF(Tabla1[[#This Row],[Mes de Fecha]]="Septiembre",9,10),Tabla1[[#This Row],[Día de Fecha]])</f>
        <v>46292</v>
      </c>
      <c r="G1538">
        <v>1105371696</v>
      </c>
      <c r="H1538" t="s">
        <v>63</v>
      </c>
      <c r="I1538">
        <v>38</v>
      </c>
      <c r="J1538">
        <v>0</v>
      </c>
      <c r="K1538" s="1">
        <v>2023573</v>
      </c>
    </row>
    <row r="1539" spans="1:11" x14ac:dyDescent="0.25">
      <c r="A1539" t="s">
        <v>9</v>
      </c>
      <c r="B1539" t="s">
        <v>56</v>
      </c>
      <c r="C1539" t="s">
        <v>867</v>
      </c>
      <c r="D1539" t="s">
        <v>11</v>
      </c>
      <c r="E1539">
        <v>27</v>
      </c>
      <c r="F1539" s="2">
        <f>DATE(2026,IF(Tabla1[[#This Row],[Mes de Fecha]]="Septiembre",9,10),Tabla1[[#This Row],[Día de Fecha]])</f>
        <v>46292</v>
      </c>
      <c r="G1539">
        <v>1105371697</v>
      </c>
      <c r="H1539" t="s">
        <v>61</v>
      </c>
      <c r="I1539">
        <v>26</v>
      </c>
      <c r="J1539">
        <v>0</v>
      </c>
      <c r="K1539" s="1">
        <v>1419077</v>
      </c>
    </row>
    <row r="1540" spans="1:11" x14ac:dyDescent="0.25">
      <c r="A1540" t="s">
        <v>9</v>
      </c>
      <c r="B1540" t="s">
        <v>56</v>
      </c>
      <c r="C1540" t="s">
        <v>867</v>
      </c>
      <c r="D1540" t="s">
        <v>11</v>
      </c>
      <c r="E1540">
        <v>27</v>
      </c>
      <c r="F1540" s="2">
        <f>DATE(2026,IF(Tabla1[[#This Row],[Mes de Fecha]]="Septiembre",9,10),Tabla1[[#This Row],[Día de Fecha]])</f>
        <v>46292</v>
      </c>
      <c r="G1540">
        <v>1115076540</v>
      </c>
      <c r="H1540" t="s">
        <v>58</v>
      </c>
      <c r="I1540">
        <v>17</v>
      </c>
      <c r="J1540">
        <v>0</v>
      </c>
      <c r="K1540" s="1">
        <v>940464</v>
      </c>
    </row>
    <row r="1541" spans="1:11" x14ac:dyDescent="0.25">
      <c r="A1541" t="s">
        <v>9</v>
      </c>
      <c r="B1541" t="s">
        <v>56</v>
      </c>
      <c r="C1541" t="s">
        <v>867</v>
      </c>
      <c r="D1541" t="s">
        <v>11</v>
      </c>
      <c r="E1541">
        <v>27</v>
      </c>
      <c r="F1541" s="2">
        <f>DATE(2026,IF(Tabla1[[#This Row],[Mes de Fecha]]="Septiembre",9,10),Tabla1[[#This Row],[Día de Fecha]])</f>
        <v>46292</v>
      </c>
      <c r="G1541">
        <v>1115076961</v>
      </c>
      <c r="H1541" t="s">
        <v>60</v>
      </c>
      <c r="I1541">
        <v>41</v>
      </c>
      <c r="J1541">
        <v>0</v>
      </c>
      <c r="K1541" s="1">
        <v>1636513</v>
      </c>
    </row>
    <row r="1542" spans="1:11" x14ac:dyDescent="0.25">
      <c r="A1542" t="s">
        <v>9</v>
      </c>
      <c r="B1542" t="s">
        <v>56</v>
      </c>
      <c r="C1542" t="s">
        <v>867</v>
      </c>
      <c r="D1542" t="s">
        <v>11</v>
      </c>
      <c r="E1542">
        <v>28</v>
      </c>
      <c r="F1542" s="2">
        <f>DATE(2026,IF(Tabla1[[#This Row],[Mes de Fecha]]="Septiembre",9,10),Tabla1[[#This Row],[Día de Fecha]])</f>
        <v>46293</v>
      </c>
      <c r="I1542">
        <v>0</v>
      </c>
      <c r="J1542" s="1">
        <v>5990600</v>
      </c>
      <c r="K1542">
        <v>0</v>
      </c>
    </row>
    <row r="1543" spans="1:11" x14ac:dyDescent="0.25">
      <c r="A1543" t="s">
        <v>9</v>
      </c>
      <c r="B1543" t="s">
        <v>56</v>
      </c>
      <c r="C1543" t="s">
        <v>867</v>
      </c>
      <c r="D1543" t="s">
        <v>11</v>
      </c>
      <c r="E1543">
        <v>28</v>
      </c>
      <c r="F1543" s="2">
        <f>DATE(2026,IF(Tabla1[[#This Row],[Mes de Fecha]]="Septiembre",9,10),Tabla1[[#This Row],[Día de Fecha]])</f>
        <v>46293</v>
      </c>
      <c r="G1543">
        <v>1105371696</v>
      </c>
      <c r="H1543" t="s">
        <v>63</v>
      </c>
      <c r="I1543">
        <v>35</v>
      </c>
      <c r="J1543">
        <v>0</v>
      </c>
      <c r="K1543" s="1">
        <v>1906094</v>
      </c>
    </row>
    <row r="1544" spans="1:11" x14ac:dyDescent="0.25">
      <c r="A1544" t="s">
        <v>9</v>
      </c>
      <c r="B1544" t="s">
        <v>56</v>
      </c>
      <c r="C1544" t="s">
        <v>867</v>
      </c>
      <c r="D1544" t="s">
        <v>11</v>
      </c>
      <c r="E1544">
        <v>28</v>
      </c>
      <c r="F1544" s="2">
        <f>DATE(2026,IF(Tabla1[[#This Row],[Mes de Fecha]]="Septiembre",9,10),Tabla1[[#This Row],[Día de Fecha]])</f>
        <v>46293</v>
      </c>
      <c r="G1544">
        <v>1115076540</v>
      </c>
      <c r="H1544" t="s">
        <v>58</v>
      </c>
      <c r="I1544">
        <v>28</v>
      </c>
      <c r="J1544">
        <v>0</v>
      </c>
      <c r="K1544" s="1">
        <v>1717102</v>
      </c>
    </row>
    <row r="1545" spans="1:11" x14ac:dyDescent="0.25">
      <c r="A1545" t="s">
        <v>9</v>
      </c>
      <c r="B1545" t="s">
        <v>56</v>
      </c>
      <c r="C1545" t="s">
        <v>867</v>
      </c>
      <c r="D1545" t="s">
        <v>11</v>
      </c>
      <c r="E1545">
        <v>28</v>
      </c>
      <c r="F1545" s="2">
        <f>DATE(2026,IF(Tabla1[[#This Row],[Mes de Fecha]]="Septiembre",9,10),Tabla1[[#This Row],[Día de Fecha]])</f>
        <v>46293</v>
      </c>
      <c r="G1545">
        <v>1115076961</v>
      </c>
      <c r="H1545" t="s">
        <v>60</v>
      </c>
      <c r="I1545">
        <v>27</v>
      </c>
      <c r="J1545">
        <v>0</v>
      </c>
      <c r="K1545" s="1">
        <v>1507187</v>
      </c>
    </row>
    <row r="1546" spans="1:11" x14ac:dyDescent="0.25">
      <c r="A1546" t="s">
        <v>9</v>
      </c>
      <c r="B1546" t="s">
        <v>56</v>
      </c>
      <c r="C1546" t="s">
        <v>867</v>
      </c>
      <c r="D1546" t="s">
        <v>11</v>
      </c>
      <c r="E1546">
        <v>28</v>
      </c>
      <c r="F1546" s="2">
        <f>DATE(2026,IF(Tabla1[[#This Row],[Mes de Fecha]]="Septiembre",9,10),Tabla1[[#This Row],[Día de Fecha]])</f>
        <v>46293</v>
      </c>
      <c r="G1546">
        <v>1115087772</v>
      </c>
      <c r="H1546" t="s">
        <v>57</v>
      </c>
      <c r="I1546">
        <v>40</v>
      </c>
      <c r="J1546">
        <v>0</v>
      </c>
      <c r="K1546" s="1">
        <v>2401599</v>
      </c>
    </row>
    <row r="1547" spans="1:11" x14ac:dyDescent="0.25">
      <c r="A1547" t="s">
        <v>9</v>
      </c>
      <c r="B1547" t="s">
        <v>56</v>
      </c>
      <c r="C1547" t="s">
        <v>867</v>
      </c>
      <c r="D1547" t="s">
        <v>11</v>
      </c>
      <c r="E1547">
        <v>29</v>
      </c>
      <c r="F1547" s="2">
        <f>DATE(2026,IF(Tabla1[[#This Row],[Mes de Fecha]]="Septiembre",9,10),Tabla1[[#This Row],[Día de Fecha]])</f>
        <v>46294</v>
      </c>
      <c r="I1547">
        <v>0</v>
      </c>
      <c r="J1547" s="1">
        <v>6659776</v>
      </c>
      <c r="K1547">
        <v>0</v>
      </c>
    </row>
    <row r="1548" spans="1:11" x14ac:dyDescent="0.25">
      <c r="A1548" t="s">
        <v>9</v>
      </c>
      <c r="B1548" t="s">
        <v>56</v>
      </c>
      <c r="C1548" t="s">
        <v>867</v>
      </c>
      <c r="D1548" t="s">
        <v>11</v>
      </c>
      <c r="E1548">
        <v>29</v>
      </c>
      <c r="F1548" s="2">
        <f>DATE(2026,IF(Tabla1[[#This Row],[Mes de Fecha]]="Septiembre",9,10),Tabla1[[#This Row],[Día de Fecha]])</f>
        <v>46294</v>
      </c>
      <c r="G1548">
        <v>1115076540</v>
      </c>
      <c r="H1548" t="s">
        <v>58</v>
      </c>
      <c r="I1548">
        <v>46</v>
      </c>
      <c r="J1548">
        <v>0</v>
      </c>
      <c r="K1548" s="1">
        <v>2523110</v>
      </c>
    </row>
    <row r="1549" spans="1:11" x14ac:dyDescent="0.25">
      <c r="A1549" t="s">
        <v>9</v>
      </c>
      <c r="B1549" t="s">
        <v>56</v>
      </c>
      <c r="C1549" t="s">
        <v>867</v>
      </c>
      <c r="D1549" t="s">
        <v>11</v>
      </c>
      <c r="E1549">
        <v>29</v>
      </c>
      <c r="F1549" s="2">
        <f>DATE(2026,IF(Tabla1[[#This Row],[Mes de Fecha]]="Septiembre",9,10),Tabla1[[#This Row],[Día de Fecha]])</f>
        <v>46294</v>
      </c>
      <c r="G1549">
        <v>1115076961</v>
      </c>
      <c r="H1549" t="s">
        <v>60</v>
      </c>
      <c r="I1549">
        <v>23</v>
      </c>
      <c r="J1549">
        <v>0</v>
      </c>
      <c r="K1549" s="1">
        <v>1318406</v>
      </c>
    </row>
    <row r="1550" spans="1:11" x14ac:dyDescent="0.25">
      <c r="A1550" t="s">
        <v>9</v>
      </c>
      <c r="B1550" t="s">
        <v>56</v>
      </c>
      <c r="C1550" t="s">
        <v>867</v>
      </c>
      <c r="D1550" t="s">
        <v>11</v>
      </c>
      <c r="E1550">
        <v>29</v>
      </c>
      <c r="F1550" s="2">
        <f>DATE(2026,IF(Tabla1[[#This Row],[Mes de Fecha]]="Septiembre",9,10),Tabla1[[#This Row],[Día de Fecha]])</f>
        <v>46294</v>
      </c>
      <c r="G1550">
        <v>1115087772</v>
      </c>
      <c r="H1550" t="s">
        <v>57</v>
      </c>
      <c r="I1550">
        <v>47</v>
      </c>
      <c r="J1550">
        <v>0</v>
      </c>
      <c r="K1550" s="1">
        <v>2745762</v>
      </c>
    </row>
    <row r="1551" spans="1:11" x14ac:dyDescent="0.25">
      <c r="A1551" t="s">
        <v>9</v>
      </c>
      <c r="B1551" t="s">
        <v>56</v>
      </c>
      <c r="C1551" t="s">
        <v>867</v>
      </c>
      <c r="D1551" t="s">
        <v>11</v>
      </c>
      <c r="E1551">
        <v>30</v>
      </c>
      <c r="F1551" s="2">
        <f>DATE(2026,IF(Tabla1[[#This Row],[Mes de Fecha]]="Septiembre",9,10),Tabla1[[#This Row],[Día de Fecha]])</f>
        <v>46295</v>
      </c>
      <c r="I1551">
        <v>0</v>
      </c>
      <c r="J1551" s="1">
        <v>7052917</v>
      </c>
      <c r="K1551">
        <v>0</v>
      </c>
    </row>
    <row r="1552" spans="1:11" x14ac:dyDescent="0.25">
      <c r="A1552" t="s">
        <v>9</v>
      </c>
      <c r="B1552" t="s">
        <v>56</v>
      </c>
      <c r="C1552" t="s">
        <v>867</v>
      </c>
      <c r="D1552" t="s">
        <v>11</v>
      </c>
      <c r="E1552">
        <v>30</v>
      </c>
      <c r="F1552" s="2">
        <f>DATE(2026,IF(Tabla1[[#This Row],[Mes de Fecha]]="Septiembre",9,10),Tabla1[[#This Row],[Día de Fecha]])</f>
        <v>46295</v>
      </c>
      <c r="G1552">
        <v>1112389670</v>
      </c>
      <c r="H1552" t="s">
        <v>59</v>
      </c>
      <c r="I1552">
        <v>42</v>
      </c>
      <c r="J1552">
        <v>0</v>
      </c>
      <c r="K1552" s="1">
        <v>2023322</v>
      </c>
    </row>
    <row r="1553" spans="1:11" x14ac:dyDescent="0.25">
      <c r="A1553" t="s">
        <v>9</v>
      </c>
      <c r="B1553" t="s">
        <v>56</v>
      </c>
      <c r="C1553" t="s">
        <v>867</v>
      </c>
      <c r="D1553" t="s">
        <v>11</v>
      </c>
      <c r="E1553">
        <v>30</v>
      </c>
      <c r="F1553" s="2">
        <f>DATE(2026,IF(Tabla1[[#This Row],[Mes de Fecha]]="Septiembre",9,10),Tabla1[[#This Row],[Día de Fecha]])</f>
        <v>46295</v>
      </c>
      <c r="G1553">
        <v>1115076540</v>
      </c>
      <c r="H1553" t="s">
        <v>58</v>
      </c>
      <c r="I1553">
        <v>21</v>
      </c>
      <c r="J1553">
        <v>0</v>
      </c>
      <c r="K1553" s="1">
        <v>1183993</v>
      </c>
    </row>
    <row r="1554" spans="1:11" x14ac:dyDescent="0.25">
      <c r="A1554" t="s">
        <v>9</v>
      </c>
      <c r="B1554" t="s">
        <v>56</v>
      </c>
      <c r="C1554" t="s">
        <v>867</v>
      </c>
      <c r="D1554" t="s">
        <v>11</v>
      </c>
      <c r="E1554">
        <v>30</v>
      </c>
      <c r="F1554" s="2">
        <f>DATE(2026,IF(Tabla1[[#This Row],[Mes de Fecha]]="Septiembre",9,10),Tabla1[[#This Row],[Día de Fecha]])</f>
        <v>46295</v>
      </c>
      <c r="G1554">
        <v>1115076961</v>
      </c>
      <c r="H1554" t="s">
        <v>60</v>
      </c>
      <c r="I1554">
        <v>17</v>
      </c>
      <c r="J1554">
        <v>0</v>
      </c>
      <c r="K1554" s="1">
        <v>902607</v>
      </c>
    </row>
    <row r="1555" spans="1:11" x14ac:dyDescent="0.25">
      <c r="A1555" t="s">
        <v>9</v>
      </c>
      <c r="B1555" t="s">
        <v>56</v>
      </c>
      <c r="C1555" t="s">
        <v>867</v>
      </c>
      <c r="D1555" t="s">
        <v>11</v>
      </c>
      <c r="E1555">
        <v>30</v>
      </c>
      <c r="F1555" s="2">
        <f>DATE(2026,IF(Tabla1[[#This Row],[Mes de Fecha]]="Septiembre",9,10),Tabla1[[#This Row],[Día de Fecha]])</f>
        <v>46295</v>
      </c>
      <c r="G1555">
        <v>1115087772</v>
      </c>
      <c r="H1555" t="s">
        <v>57</v>
      </c>
      <c r="I1555">
        <v>39</v>
      </c>
      <c r="J1555">
        <v>0</v>
      </c>
      <c r="K1555" s="1">
        <v>2338571</v>
      </c>
    </row>
    <row r="1556" spans="1:11" x14ac:dyDescent="0.25">
      <c r="A1556" t="s">
        <v>9</v>
      </c>
      <c r="B1556" t="s">
        <v>56</v>
      </c>
      <c r="C1556" t="s">
        <v>867</v>
      </c>
      <c r="D1556" t="s">
        <v>14</v>
      </c>
      <c r="E1556">
        <v>1</v>
      </c>
      <c r="F1556" s="2">
        <f>DATE(2026,IF(Tabla1[[#This Row],[Mes de Fecha]]="Septiembre",9,10),Tabla1[[#This Row],[Día de Fecha]])</f>
        <v>46296</v>
      </c>
      <c r="I1556">
        <v>0</v>
      </c>
      <c r="J1556" s="1">
        <v>6579791</v>
      </c>
      <c r="K1556">
        <v>0</v>
      </c>
    </row>
    <row r="1557" spans="1:11" x14ac:dyDescent="0.25">
      <c r="A1557" t="s">
        <v>9</v>
      </c>
      <c r="B1557" t="s">
        <v>56</v>
      </c>
      <c r="C1557" t="s">
        <v>867</v>
      </c>
      <c r="D1557" t="s">
        <v>14</v>
      </c>
      <c r="E1557">
        <v>1</v>
      </c>
      <c r="F1557" s="2">
        <f>DATE(2026,IF(Tabla1[[#This Row],[Mes de Fecha]]="Septiembre",9,10),Tabla1[[#This Row],[Día de Fecha]])</f>
        <v>46296</v>
      </c>
      <c r="G1557">
        <v>1112389670</v>
      </c>
      <c r="H1557" t="s">
        <v>59</v>
      </c>
      <c r="I1557">
        <v>38</v>
      </c>
      <c r="J1557">
        <v>0</v>
      </c>
      <c r="K1557" s="1">
        <v>1868028</v>
      </c>
    </row>
    <row r="1558" spans="1:11" x14ac:dyDescent="0.25">
      <c r="A1558" t="s">
        <v>9</v>
      </c>
      <c r="B1558" t="s">
        <v>56</v>
      </c>
      <c r="C1558" t="s">
        <v>867</v>
      </c>
      <c r="D1558" t="s">
        <v>14</v>
      </c>
      <c r="E1558">
        <v>1</v>
      </c>
      <c r="F1558" s="2">
        <f>DATE(2026,IF(Tabla1[[#This Row],[Mes de Fecha]]="Septiembre",9,10),Tabla1[[#This Row],[Día de Fecha]])</f>
        <v>46296</v>
      </c>
      <c r="G1558">
        <v>1115076540</v>
      </c>
      <c r="H1558" t="s">
        <v>58</v>
      </c>
      <c r="I1558">
        <v>23</v>
      </c>
      <c r="J1558">
        <v>0</v>
      </c>
      <c r="K1558" s="1">
        <v>1246891</v>
      </c>
    </row>
    <row r="1559" spans="1:11" x14ac:dyDescent="0.25">
      <c r="A1559" t="s">
        <v>9</v>
      </c>
      <c r="B1559" t="s">
        <v>56</v>
      </c>
      <c r="C1559" t="s">
        <v>867</v>
      </c>
      <c r="D1559" t="s">
        <v>14</v>
      </c>
      <c r="E1559">
        <v>1</v>
      </c>
      <c r="F1559" s="2">
        <f>DATE(2026,IF(Tabla1[[#This Row],[Mes de Fecha]]="Septiembre",9,10),Tabla1[[#This Row],[Día de Fecha]])</f>
        <v>46296</v>
      </c>
      <c r="G1559">
        <v>1115076961</v>
      </c>
      <c r="H1559" t="s">
        <v>60</v>
      </c>
      <c r="I1559">
        <v>17</v>
      </c>
      <c r="J1559">
        <v>0</v>
      </c>
      <c r="K1559" s="1">
        <v>847941</v>
      </c>
    </row>
    <row r="1560" spans="1:11" x14ac:dyDescent="0.25">
      <c r="A1560" t="s">
        <v>9</v>
      </c>
      <c r="B1560" t="s">
        <v>56</v>
      </c>
      <c r="C1560" t="s">
        <v>867</v>
      </c>
      <c r="D1560" t="s">
        <v>14</v>
      </c>
      <c r="E1560">
        <v>1</v>
      </c>
      <c r="F1560" s="2">
        <f>DATE(2026,IF(Tabla1[[#This Row],[Mes de Fecha]]="Septiembre",9,10),Tabla1[[#This Row],[Día de Fecha]])</f>
        <v>46296</v>
      </c>
      <c r="G1560">
        <v>1115087772</v>
      </c>
      <c r="H1560" t="s">
        <v>57</v>
      </c>
      <c r="I1560">
        <v>38</v>
      </c>
      <c r="J1560">
        <v>0</v>
      </c>
      <c r="K1560" s="1">
        <v>2347063</v>
      </c>
    </row>
    <row r="1561" spans="1:11" x14ac:dyDescent="0.25">
      <c r="A1561" t="s">
        <v>9</v>
      </c>
      <c r="B1561" t="s">
        <v>56</v>
      </c>
      <c r="C1561" t="s">
        <v>867</v>
      </c>
      <c r="D1561" t="s">
        <v>14</v>
      </c>
      <c r="E1561">
        <v>2</v>
      </c>
      <c r="F1561" s="2">
        <f>DATE(2026,IF(Tabla1[[#This Row],[Mes de Fecha]]="Septiembre",9,10),Tabla1[[#This Row],[Día de Fecha]])</f>
        <v>46297</v>
      </c>
      <c r="I1561">
        <v>0</v>
      </c>
      <c r="J1561" s="1">
        <v>7305337</v>
      </c>
      <c r="K1561">
        <v>0</v>
      </c>
    </row>
    <row r="1562" spans="1:11" x14ac:dyDescent="0.25">
      <c r="A1562" t="s">
        <v>9</v>
      </c>
      <c r="B1562" t="s">
        <v>56</v>
      </c>
      <c r="C1562" t="s">
        <v>867</v>
      </c>
      <c r="D1562" t="s">
        <v>14</v>
      </c>
      <c r="E1562">
        <v>2</v>
      </c>
      <c r="F1562" s="2">
        <f>DATE(2026,IF(Tabla1[[#This Row],[Mes de Fecha]]="Septiembre",9,10),Tabla1[[#This Row],[Día de Fecha]])</f>
        <v>46297</v>
      </c>
      <c r="G1562">
        <v>1105371696</v>
      </c>
      <c r="H1562" t="s">
        <v>63</v>
      </c>
      <c r="I1562">
        <v>25</v>
      </c>
      <c r="J1562">
        <v>0</v>
      </c>
      <c r="K1562" s="1">
        <v>1469497</v>
      </c>
    </row>
    <row r="1563" spans="1:11" x14ac:dyDescent="0.25">
      <c r="A1563" t="s">
        <v>9</v>
      </c>
      <c r="B1563" t="s">
        <v>56</v>
      </c>
      <c r="C1563" t="s">
        <v>867</v>
      </c>
      <c r="D1563" t="s">
        <v>14</v>
      </c>
      <c r="E1563">
        <v>2</v>
      </c>
      <c r="F1563" s="2">
        <f>DATE(2026,IF(Tabla1[[#This Row],[Mes de Fecha]]="Septiembre",9,10),Tabla1[[#This Row],[Día de Fecha]])</f>
        <v>46297</v>
      </c>
      <c r="G1563">
        <v>1105371697</v>
      </c>
      <c r="H1563" t="s">
        <v>61</v>
      </c>
      <c r="I1563">
        <v>16</v>
      </c>
      <c r="J1563">
        <v>0</v>
      </c>
      <c r="K1563" s="1">
        <v>990926</v>
      </c>
    </row>
    <row r="1564" spans="1:11" x14ac:dyDescent="0.25">
      <c r="A1564" t="s">
        <v>9</v>
      </c>
      <c r="B1564" t="s">
        <v>56</v>
      </c>
      <c r="C1564" t="s">
        <v>867</v>
      </c>
      <c r="D1564" t="s">
        <v>14</v>
      </c>
      <c r="E1564">
        <v>2</v>
      </c>
      <c r="F1564" s="2">
        <f>DATE(2026,IF(Tabla1[[#This Row],[Mes de Fecha]]="Septiembre",9,10),Tabla1[[#This Row],[Día de Fecha]])</f>
        <v>46297</v>
      </c>
      <c r="G1564">
        <v>1115076540</v>
      </c>
      <c r="H1564" t="s">
        <v>58</v>
      </c>
      <c r="I1564">
        <v>13</v>
      </c>
      <c r="J1564">
        <v>0</v>
      </c>
      <c r="K1564" s="1">
        <v>692732</v>
      </c>
    </row>
    <row r="1565" spans="1:11" x14ac:dyDescent="0.25">
      <c r="A1565" t="s">
        <v>9</v>
      </c>
      <c r="B1565" t="s">
        <v>56</v>
      </c>
      <c r="C1565" t="s">
        <v>867</v>
      </c>
      <c r="D1565" t="s">
        <v>14</v>
      </c>
      <c r="E1565">
        <v>2</v>
      </c>
      <c r="F1565" s="2">
        <f>DATE(2026,IF(Tabla1[[#This Row],[Mes de Fecha]]="Septiembre",9,10),Tabla1[[#This Row],[Día de Fecha]])</f>
        <v>46297</v>
      </c>
      <c r="G1565">
        <v>1115076961</v>
      </c>
      <c r="H1565" t="s">
        <v>60</v>
      </c>
      <c r="I1565">
        <v>9</v>
      </c>
      <c r="J1565">
        <v>0</v>
      </c>
      <c r="K1565" s="1">
        <v>402857</v>
      </c>
    </row>
    <row r="1566" spans="1:11" x14ac:dyDescent="0.25">
      <c r="A1566" t="s">
        <v>9</v>
      </c>
      <c r="B1566" t="s">
        <v>56</v>
      </c>
      <c r="C1566" t="s">
        <v>867</v>
      </c>
      <c r="D1566" t="s">
        <v>14</v>
      </c>
      <c r="E1566">
        <v>3</v>
      </c>
      <c r="F1566" s="2">
        <f>DATE(2026,IF(Tabla1[[#This Row],[Mes de Fecha]]="Septiembre",9,10),Tabla1[[#This Row],[Día de Fecha]])</f>
        <v>46298</v>
      </c>
      <c r="I1566">
        <v>0</v>
      </c>
      <c r="J1566" s="1">
        <v>13771428</v>
      </c>
      <c r="K1566">
        <v>0</v>
      </c>
    </row>
    <row r="1567" spans="1:11" x14ac:dyDescent="0.25">
      <c r="A1567" t="s">
        <v>9</v>
      </c>
      <c r="B1567" t="s">
        <v>56</v>
      </c>
      <c r="C1567" t="s">
        <v>867</v>
      </c>
      <c r="D1567" t="s">
        <v>14</v>
      </c>
      <c r="E1567">
        <v>3</v>
      </c>
      <c r="F1567" s="2">
        <f>DATE(2026,IF(Tabla1[[#This Row],[Mes de Fecha]]="Septiembre",9,10),Tabla1[[#This Row],[Día de Fecha]])</f>
        <v>46298</v>
      </c>
      <c r="G1567">
        <v>1105371696</v>
      </c>
      <c r="H1567" t="s">
        <v>63</v>
      </c>
      <c r="I1567">
        <v>11</v>
      </c>
      <c r="J1567">
        <v>0</v>
      </c>
      <c r="K1567" s="1">
        <v>442438</v>
      </c>
    </row>
    <row r="1568" spans="1:11" x14ac:dyDescent="0.25">
      <c r="A1568" t="s">
        <v>9</v>
      </c>
      <c r="B1568" t="s">
        <v>56</v>
      </c>
      <c r="C1568" t="s">
        <v>867</v>
      </c>
      <c r="D1568" t="s">
        <v>14</v>
      </c>
      <c r="E1568">
        <v>3</v>
      </c>
      <c r="F1568" s="2">
        <f>DATE(2026,IF(Tabla1[[#This Row],[Mes de Fecha]]="Septiembre",9,10),Tabla1[[#This Row],[Día de Fecha]])</f>
        <v>46298</v>
      </c>
      <c r="G1568">
        <v>1105371697</v>
      </c>
      <c r="H1568" t="s">
        <v>61</v>
      </c>
      <c r="I1568">
        <v>64</v>
      </c>
      <c r="J1568">
        <v>0</v>
      </c>
      <c r="K1568" s="1">
        <v>3204038</v>
      </c>
    </row>
    <row r="1569" spans="1:11" x14ac:dyDescent="0.25">
      <c r="A1569" t="s">
        <v>9</v>
      </c>
      <c r="B1569" t="s">
        <v>56</v>
      </c>
      <c r="C1569" t="s">
        <v>867</v>
      </c>
      <c r="D1569" t="s">
        <v>14</v>
      </c>
      <c r="E1569">
        <v>3</v>
      </c>
      <c r="F1569" s="2">
        <f>DATE(2026,IF(Tabla1[[#This Row],[Mes de Fecha]]="Septiembre",9,10),Tabla1[[#This Row],[Día de Fecha]])</f>
        <v>46298</v>
      </c>
      <c r="G1569">
        <v>1115076540</v>
      </c>
      <c r="H1569" t="s">
        <v>58</v>
      </c>
      <c r="I1569">
        <v>45</v>
      </c>
      <c r="J1569">
        <v>0</v>
      </c>
      <c r="K1569" s="1">
        <v>2588103</v>
      </c>
    </row>
    <row r="1570" spans="1:11" x14ac:dyDescent="0.25">
      <c r="A1570" t="s">
        <v>9</v>
      </c>
      <c r="B1570" t="s">
        <v>56</v>
      </c>
      <c r="C1570" t="s">
        <v>867</v>
      </c>
      <c r="D1570" t="s">
        <v>14</v>
      </c>
      <c r="E1570">
        <v>3</v>
      </c>
      <c r="F1570" s="2">
        <f>DATE(2026,IF(Tabla1[[#This Row],[Mes de Fecha]]="Septiembre",9,10),Tabla1[[#This Row],[Día de Fecha]])</f>
        <v>46298</v>
      </c>
      <c r="G1570">
        <v>1115076961</v>
      </c>
      <c r="H1570" t="s">
        <v>60</v>
      </c>
      <c r="I1570">
        <v>30</v>
      </c>
      <c r="J1570">
        <v>0</v>
      </c>
      <c r="K1570" s="1">
        <v>1491574</v>
      </c>
    </row>
    <row r="1571" spans="1:11" x14ac:dyDescent="0.25">
      <c r="A1571" t="s">
        <v>9</v>
      </c>
      <c r="B1571" t="s">
        <v>56</v>
      </c>
      <c r="C1571" t="s">
        <v>867</v>
      </c>
      <c r="D1571" t="s">
        <v>14</v>
      </c>
      <c r="E1571">
        <v>3</v>
      </c>
      <c r="F1571" s="2">
        <f>DATE(2026,IF(Tabla1[[#This Row],[Mes de Fecha]]="Septiembre",9,10),Tabla1[[#This Row],[Día de Fecha]])</f>
        <v>46298</v>
      </c>
      <c r="G1571">
        <v>1115087772</v>
      </c>
      <c r="H1571" t="s">
        <v>57</v>
      </c>
      <c r="I1571">
        <v>79</v>
      </c>
      <c r="J1571">
        <v>0</v>
      </c>
      <c r="K1571" s="1">
        <v>3969146</v>
      </c>
    </row>
    <row r="1572" spans="1:11" x14ac:dyDescent="0.25">
      <c r="A1572" t="s">
        <v>9</v>
      </c>
      <c r="B1572" t="s">
        <v>56</v>
      </c>
      <c r="C1572" t="s">
        <v>867</v>
      </c>
      <c r="D1572" t="s">
        <v>14</v>
      </c>
      <c r="E1572">
        <v>4</v>
      </c>
      <c r="F1572" s="2">
        <f>DATE(2026,IF(Tabla1[[#This Row],[Mes de Fecha]]="Septiembre",9,10),Tabla1[[#This Row],[Día de Fecha]])</f>
        <v>46299</v>
      </c>
      <c r="I1572">
        <v>0</v>
      </c>
      <c r="J1572" s="1">
        <v>4453884</v>
      </c>
      <c r="K1572">
        <v>0</v>
      </c>
    </row>
    <row r="1573" spans="1:11" x14ac:dyDescent="0.25">
      <c r="A1573" t="s">
        <v>9</v>
      </c>
      <c r="B1573" t="s">
        <v>56</v>
      </c>
      <c r="C1573" t="s">
        <v>867</v>
      </c>
      <c r="D1573" t="s">
        <v>14</v>
      </c>
      <c r="E1573">
        <v>4</v>
      </c>
      <c r="F1573" s="2">
        <f>DATE(2026,IF(Tabla1[[#This Row],[Mes de Fecha]]="Septiembre",9,10),Tabla1[[#This Row],[Día de Fecha]])</f>
        <v>46299</v>
      </c>
      <c r="G1573">
        <v>1105371697</v>
      </c>
      <c r="H1573" t="s">
        <v>61</v>
      </c>
      <c r="I1573">
        <v>17</v>
      </c>
      <c r="J1573">
        <v>0</v>
      </c>
      <c r="K1573" s="1">
        <v>1175673</v>
      </c>
    </row>
    <row r="1574" spans="1:11" x14ac:dyDescent="0.25">
      <c r="A1574" t="s">
        <v>9</v>
      </c>
      <c r="B1574" t="s">
        <v>56</v>
      </c>
      <c r="C1574" t="s">
        <v>867</v>
      </c>
      <c r="D1574" t="s">
        <v>14</v>
      </c>
      <c r="E1574">
        <v>4</v>
      </c>
      <c r="F1574" s="2">
        <f>DATE(2026,IF(Tabla1[[#This Row],[Mes de Fecha]]="Septiembre",9,10),Tabla1[[#This Row],[Día de Fecha]])</f>
        <v>46299</v>
      </c>
      <c r="G1574">
        <v>1112389670</v>
      </c>
      <c r="H1574" t="s">
        <v>59</v>
      </c>
      <c r="I1574">
        <v>24</v>
      </c>
      <c r="J1574">
        <v>0</v>
      </c>
      <c r="K1574" s="1">
        <v>1309876</v>
      </c>
    </row>
    <row r="1575" spans="1:11" x14ac:dyDescent="0.25">
      <c r="A1575" t="s">
        <v>9</v>
      </c>
      <c r="B1575" t="s">
        <v>56</v>
      </c>
      <c r="C1575" t="s">
        <v>867</v>
      </c>
      <c r="D1575" t="s">
        <v>14</v>
      </c>
      <c r="E1575">
        <v>4</v>
      </c>
      <c r="F1575" s="2">
        <f>DATE(2026,IF(Tabla1[[#This Row],[Mes de Fecha]]="Septiembre",9,10),Tabla1[[#This Row],[Día de Fecha]])</f>
        <v>46299</v>
      </c>
      <c r="G1575">
        <v>1115076540</v>
      </c>
      <c r="H1575" t="s">
        <v>58</v>
      </c>
      <c r="I1575">
        <v>29</v>
      </c>
      <c r="J1575">
        <v>0</v>
      </c>
      <c r="K1575" s="1">
        <v>1675131</v>
      </c>
    </row>
    <row r="1576" spans="1:11" x14ac:dyDescent="0.25">
      <c r="A1576" t="s">
        <v>9</v>
      </c>
      <c r="B1576" t="s">
        <v>56</v>
      </c>
      <c r="C1576" t="s">
        <v>867</v>
      </c>
      <c r="D1576" t="s">
        <v>14</v>
      </c>
      <c r="E1576">
        <v>4</v>
      </c>
      <c r="F1576" s="2">
        <f>DATE(2026,IF(Tabla1[[#This Row],[Mes de Fecha]]="Septiembre",9,10),Tabla1[[#This Row],[Día de Fecha]])</f>
        <v>46299</v>
      </c>
      <c r="G1576">
        <v>1115076961</v>
      </c>
      <c r="H1576" t="s">
        <v>60</v>
      </c>
      <c r="I1576">
        <v>17</v>
      </c>
      <c r="J1576">
        <v>0</v>
      </c>
      <c r="K1576" s="1">
        <v>1003488</v>
      </c>
    </row>
    <row r="1577" spans="1:11" x14ac:dyDescent="0.25">
      <c r="A1577" t="s">
        <v>9</v>
      </c>
      <c r="B1577" t="s">
        <v>56</v>
      </c>
      <c r="C1577" t="s">
        <v>867</v>
      </c>
      <c r="D1577" t="s">
        <v>14</v>
      </c>
      <c r="E1577">
        <v>4</v>
      </c>
      <c r="F1577" s="2">
        <f>DATE(2026,IF(Tabla1[[#This Row],[Mes de Fecha]]="Septiembre",9,10),Tabla1[[#This Row],[Día de Fecha]])</f>
        <v>46299</v>
      </c>
      <c r="G1577">
        <v>1115087772</v>
      </c>
      <c r="H1577" t="s">
        <v>57</v>
      </c>
      <c r="I1577">
        <v>-1</v>
      </c>
      <c r="J1577">
        <v>0</v>
      </c>
      <c r="K1577" s="1">
        <v>-67143</v>
      </c>
    </row>
    <row r="1578" spans="1:11" x14ac:dyDescent="0.25">
      <c r="A1578" t="s">
        <v>9</v>
      </c>
      <c r="B1578" t="s">
        <v>56</v>
      </c>
      <c r="C1578" t="s">
        <v>867</v>
      </c>
      <c r="D1578" t="s">
        <v>14</v>
      </c>
      <c r="E1578">
        <v>5</v>
      </c>
      <c r="F1578" s="2">
        <f>DATE(2026,IF(Tabla1[[#This Row],[Mes de Fecha]]="Septiembre",9,10),Tabla1[[#This Row],[Día de Fecha]])</f>
        <v>46300</v>
      </c>
      <c r="I1578">
        <v>0</v>
      </c>
      <c r="J1578" s="1">
        <v>6031384</v>
      </c>
      <c r="K1578">
        <v>0</v>
      </c>
    </row>
    <row r="1579" spans="1:11" x14ac:dyDescent="0.25">
      <c r="A1579" t="s">
        <v>9</v>
      </c>
      <c r="B1579" t="s">
        <v>56</v>
      </c>
      <c r="C1579" t="s">
        <v>867</v>
      </c>
      <c r="D1579" t="s">
        <v>14</v>
      </c>
      <c r="E1579">
        <v>5</v>
      </c>
      <c r="F1579" s="2">
        <f>DATE(2026,IF(Tabla1[[#This Row],[Mes de Fecha]]="Septiembre",9,10),Tabla1[[#This Row],[Día de Fecha]])</f>
        <v>46300</v>
      </c>
      <c r="G1579">
        <v>1105371697</v>
      </c>
      <c r="H1579" t="s">
        <v>61</v>
      </c>
      <c r="I1579">
        <v>-2</v>
      </c>
      <c r="J1579">
        <v>0</v>
      </c>
      <c r="K1579" s="1">
        <v>-83950</v>
      </c>
    </row>
    <row r="1580" spans="1:11" x14ac:dyDescent="0.25">
      <c r="A1580" t="s">
        <v>9</v>
      </c>
      <c r="B1580" t="s">
        <v>56</v>
      </c>
      <c r="C1580" t="s">
        <v>867</v>
      </c>
      <c r="D1580" t="s">
        <v>14</v>
      </c>
      <c r="E1580">
        <v>5</v>
      </c>
      <c r="F1580" s="2">
        <f>DATE(2026,IF(Tabla1[[#This Row],[Mes de Fecha]]="Septiembre",9,10),Tabla1[[#This Row],[Día de Fecha]])</f>
        <v>46300</v>
      </c>
      <c r="G1580">
        <v>1112389670</v>
      </c>
      <c r="H1580" t="s">
        <v>59</v>
      </c>
      <c r="I1580">
        <v>54</v>
      </c>
      <c r="J1580">
        <v>0</v>
      </c>
      <c r="K1580" s="1">
        <v>2951389</v>
      </c>
    </row>
    <row r="1581" spans="1:11" x14ac:dyDescent="0.25">
      <c r="A1581" t="s">
        <v>9</v>
      </c>
      <c r="B1581" t="s">
        <v>56</v>
      </c>
      <c r="C1581" t="s">
        <v>867</v>
      </c>
      <c r="D1581" t="s">
        <v>14</v>
      </c>
      <c r="E1581">
        <v>5</v>
      </c>
      <c r="F1581" s="2">
        <f>DATE(2026,IF(Tabla1[[#This Row],[Mes de Fecha]]="Septiembre",9,10),Tabla1[[#This Row],[Día de Fecha]])</f>
        <v>46300</v>
      </c>
      <c r="G1581">
        <v>1115076540</v>
      </c>
      <c r="H1581" t="s">
        <v>58</v>
      </c>
      <c r="I1581">
        <v>-1</v>
      </c>
      <c r="J1581">
        <v>0</v>
      </c>
      <c r="K1581" s="1">
        <v>-134370</v>
      </c>
    </row>
    <row r="1582" spans="1:11" x14ac:dyDescent="0.25">
      <c r="A1582" t="s">
        <v>9</v>
      </c>
      <c r="B1582" t="s">
        <v>56</v>
      </c>
      <c r="C1582" t="s">
        <v>867</v>
      </c>
      <c r="D1582" t="s">
        <v>14</v>
      </c>
      <c r="E1582">
        <v>5</v>
      </c>
      <c r="F1582" s="2">
        <f>DATE(2026,IF(Tabla1[[#This Row],[Mes de Fecha]]="Septiembre",9,10),Tabla1[[#This Row],[Día de Fecha]])</f>
        <v>46300</v>
      </c>
      <c r="G1582">
        <v>1115076961</v>
      </c>
      <c r="H1582" t="s">
        <v>60</v>
      </c>
      <c r="I1582">
        <v>60</v>
      </c>
      <c r="J1582">
        <v>0</v>
      </c>
      <c r="K1582" s="1">
        <v>3095885</v>
      </c>
    </row>
    <row r="1583" spans="1:11" x14ac:dyDescent="0.25">
      <c r="A1583" t="s">
        <v>9</v>
      </c>
      <c r="B1583" t="s">
        <v>56</v>
      </c>
      <c r="C1583" t="s">
        <v>867</v>
      </c>
      <c r="D1583" t="s">
        <v>14</v>
      </c>
      <c r="E1583">
        <v>5</v>
      </c>
      <c r="F1583" s="2">
        <f>DATE(2026,IF(Tabla1[[#This Row],[Mes de Fecha]]="Septiembre",9,10),Tabla1[[#This Row],[Día de Fecha]])</f>
        <v>46300</v>
      </c>
      <c r="G1583">
        <v>1115087772</v>
      </c>
      <c r="H1583" t="s">
        <v>57</v>
      </c>
      <c r="I1583">
        <v>46</v>
      </c>
      <c r="J1583">
        <v>0</v>
      </c>
      <c r="K1583" s="1">
        <v>3000045</v>
      </c>
    </row>
    <row r="1584" spans="1:11" x14ac:dyDescent="0.25">
      <c r="A1584" t="s">
        <v>9</v>
      </c>
      <c r="B1584" t="s">
        <v>56</v>
      </c>
      <c r="C1584" t="s">
        <v>867</v>
      </c>
      <c r="D1584" t="s">
        <v>14</v>
      </c>
      <c r="E1584">
        <v>6</v>
      </c>
      <c r="F1584" s="2">
        <f>DATE(2026,IF(Tabla1[[#This Row],[Mes de Fecha]]="Septiembre",9,10),Tabla1[[#This Row],[Día de Fecha]])</f>
        <v>46301</v>
      </c>
      <c r="I1584">
        <v>0</v>
      </c>
      <c r="J1584" s="1">
        <v>4389423</v>
      </c>
      <c r="K1584">
        <v>0</v>
      </c>
    </row>
    <row r="1585" spans="1:11" x14ac:dyDescent="0.25">
      <c r="A1585" t="s">
        <v>9</v>
      </c>
      <c r="B1585" t="s">
        <v>56</v>
      </c>
      <c r="C1585" t="s">
        <v>867</v>
      </c>
      <c r="D1585" t="s">
        <v>14</v>
      </c>
      <c r="E1585">
        <v>6</v>
      </c>
      <c r="F1585" s="2">
        <f>DATE(2026,IF(Tabla1[[#This Row],[Mes de Fecha]]="Septiembre",9,10),Tabla1[[#This Row],[Día de Fecha]])</f>
        <v>46301</v>
      </c>
      <c r="G1585">
        <v>113096249</v>
      </c>
      <c r="H1585" t="s">
        <v>65</v>
      </c>
      <c r="I1585">
        <v>26</v>
      </c>
      <c r="J1585">
        <v>0</v>
      </c>
      <c r="K1585" s="1">
        <v>1183741</v>
      </c>
    </row>
    <row r="1586" spans="1:11" x14ac:dyDescent="0.25">
      <c r="A1586" t="s">
        <v>9</v>
      </c>
      <c r="B1586" t="s">
        <v>56</v>
      </c>
      <c r="C1586" t="s">
        <v>867</v>
      </c>
      <c r="D1586" t="s">
        <v>14</v>
      </c>
      <c r="E1586">
        <v>6</v>
      </c>
      <c r="F1586" s="2">
        <f>DATE(2026,IF(Tabla1[[#This Row],[Mes de Fecha]]="Septiembre",9,10),Tabla1[[#This Row],[Día de Fecha]])</f>
        <v>46301</v>
      </c>
      <c r="G1586">
        <v>1115076540</v>
      </c>
      <c r="H1586" t="s">
        <v>58</v>
      </c>
      <c r="I1586">
        <v>8</v>
      </c>
      <c r="J1586">
        <v>0</v>
      </c>
      <c r="K1586" s="1">
        <v>474454</v>
      </c>
    </row>
    <row r="1587" spans="1:11" x14ac:dyDescent="0.25">
      <c r="A1587" t="s">
        <v>9</v>
      </c>
      <c r="B1587" t="s">
        <v>56</v>
      </c>
      <c r="C1587" t="s">
        <v>867</v>
      </c>
      <c r="D1587" t="s">
        <v>14</v>
      </c>
      <c r="E1587">
        <v>6</v>
      </c>
      <c r="F1587" s="2">
        <f>DATE(2026,IF(Tabla1[[#This Row],[Mes de Fecha]]="Septiembre",9,10),Tabla1[[#This Row],[Día de Fecha]])</f>
        <v>46301</v>
      </c>
      <c r="G1587">
        <v>1115076961</v>
      </c>
      <c r="H1587" t="s">
        <v>60</v>
      </c>
      <c r="I1587">
        <v>4</v>
      </c>
      <c r="J1587">
        <v>0</v>
      </c>
      <c r="K1587" s="1">
        <v>188866</v>
      </c>
    </row>
    <row r="1588" spans="1:11" x14ac:dyDescent="0.25">
      <c r="A1588" t="s">
        <v>9</v>
      </c>
      <c r="B1588" t="s">
        <v>56</v>
      </c>
      <c r="C1588" t="s">
        <v>867</v>
      </c>
      <c r="D1588" t="s">
        <v>14</v>
      </c>
      <c r="E1588">
        <v>6</v>
      </c>
      <c r="F1588" s="2">
        <f>DATE(2026,IF(Tabla1[[#This Row],[Mes de Fecha]]="Septiembre",9,10),Tabla1[[#This Row],[Día de Fecha]])</f>
        <v>46301</v>
      </c>
      <c r="G1588">
        <v>1115087772</v>
      </c>
      <c r="H1588" t="s">
        <v>57</v>
      </c>
      <c r="I1588">
        <v>15</v>
      </c>
      <c r="J1588">
        <v>0</v>
      </c>
      <c r="K1588" s="1">
        <v>579077</v>
      </c>
    </row>
    <row r="1589" spans="1:11" x14ac:dyDescent="0.25">
      <c r="A1589" t="s">
        <v>9</v>
      </c>
      <c r="B1589" t="s">
        <v>56</v>
      </c>
      <c r="C1589" t="s">
        <v>867</v>
      </c>
      <c r="D1589" t="s">
        <v>14</v>
      </c>
      <c r="E1589">
        <v>7</v>
      </c>
      <c r="F1589" s="2">
        <f>DATE(2026,IF(Tabla1[[#This Row],[Mes de Fecha]]="Septiembre",9,10),Tabla1[[#This Row],[Día de Fecha]])</f>
        <v>46302</v>
      </c>
      <c r="I1589">
        <v>0</v>
      </c>
      <c r="J1589" s="1">
        <v>3094648</v>
      </c>
      <c r="K1589">
        <v>0</v>
      </c>
    </row>
    <row r="1590" spans="1:11" x14ac:dyDescent="0.25">
      <c r="A1590" t="s">
        <v>9</v>
      </c>
      <c r="B1590" t="s">
        <v>56</v>
      </c>
      <c r="C1590" t="s">
        <v>867</v>
      </c>
      <c r="D1590" t="s">
        <v>14</v>
      </c>
      <c r="E1590">
        <v>7</v>
      </c>
      <c r="F1590" s="2">
        <f>DATE(2026,IF(Tabla1[[#This Row],[Mes de Fecha]]="Septiembre",9,10),Tabla1[[#This Row],[Día de Fecha]])</f>
        <v>46302</v>
      </c>
      <c r="G1590">
        <v>1115076540</v>
      </c>
      <c r="H1590" t="s">
        <v>58</v>
      </c>
      <c r="I1590">
        <v>21</v>
      </c>
      <c r="J1590">
        <v>0</v>
      </c>
      <c r="K1590" s="1">
        <v>1133572</v>
      </c>
    </row>
    <row r="1591" spans="1:11" x14ac:dyDescent="0.25">
      <c r="A1591" t="s">
        <v>9</v>
      </c>
      <c r="B1591" t="s">
        <v>56</v>
      </c>
      <c r="C1591" t="s">
        <v>867</v>
      </c>
      <c r="D1591" t="s">
        <v>14</v>
      </c>
      <c r="E1591">
        <v>7</v>
      </c>
      <c r="F1591" s="2">
        <f>DATE(2026,IF(Tabla1[[#This Row],[Mes de Fecha]]="Septiembre",9,10),Tabla1[[#This Row],[Día de Fecha]])</f>
        <v>46302</v>
      </c>
      <c r="G1591">
        <v>1115076961</v>
      </c>
      <c r="H1591" t="s">
        <v>60</v>
      </c>
      <c r="I1591">
        <v>34</v>
      </c>
      <c r="J1591">
        <v>0</v>
      </c>
      <c r="K1591" s="1">
        <v>1634664</v>
      </c>
    </row>
    <row r="1592" spans="1:11" x14ac:dyDescent="0.25">
      <c r="A1592" t="s">
        <v>9</v>
      </c>
      <c r="B1592" t="s">
        <v>56</v>
      </c>
      <c r="C1592" t="s">
        <v>867</v>
      </c>
      <c r="D1592" t="s">
        <v>14</v>
      </c>
      <c r="E1592">
        <v>7</v>
      </c>
      <c r="F1592" s="2">
        <f>DATE(2026,IF(Tabla1[[#This Row],[Mes de Fecha]]="Septiembre",9,10),Tabla1[[#This Row],[Día de Fecha]])</f>
        <v>46302</v>
      </c>
      <c r="G1592">
        <v>1115087772</v>
      </c>
      <c r="H1592" t="s">
        <v>57</v>
      </c>
      <c r="I1592">
        <v>12</v>
      </c>
      <c r="J1592">
        <v>0</v>
      </c>
      <c r="K1592" s="1">
        <v>570840</v>
      </c>
    </row>
    <row r="1593" spans="1:11" x14ac:dyDescent="0.25">
      <c r="A1593" t="s">
        <v>9</v>
      </c>
      <c r="B1593" t="s">
        <v>70</v>
      </c>
      <c r="C1593" t="s">
        <v>867</v>
      </c>
      <c r="D1593" t="s">
        <v>11</v>
      </c>
      <c r="E1593">
        <v>23</v>
      </c>
      <c r="F1593" s="2">
        <f>DATE(2026,IF(Tabla1[[#This Row],[Mes de Fecha]]="Septiembre",9,10),Tabla1[[#This Row],[Día de Fecha]])</f>
        <v>46288</v>
      </c>
      <c r="I1593">
        <v>0</v>
      </c>
      <c r="J1593" s="1">
        <v>2984367</v>
      </c>
      <c r="K1593">
        <v>0</v>
      </c>
    </row>
    <row r="1594" spans="1:11" x14ac:dyDescent="0.25">
      <c r="A1594" t="s">
        <v>9</v>
      </c>
      <c r="B1594" t="s">
        <v>70</v>
      </c>
      <c r="C1594" t="s">
        <v>867</v>
      </c>
      <c r="D1594" t="s">
        <v>11</v>
      </c>
      <c r="E1594">
        <v>23</v>
      </c>
      <c r="F1594" s="2">
        <f>DATE(2026,IF(Tabla1[[#This Row],[Mes de Fecha]]="Septiembre",9,10),Tabla1[[#This Row],[Día de Fecha]])</f>
        <v>46288</v>
      </c>
      <c r="G1594">
        <v>1006209867</v>
      </c>
      <c r="H1594" t="s">
        <v>62</v>
      </c>
      <c r="I1594">
        <v>21</v>
      </c>
      <c r="J1594">
        <v>0</v>
      </c>
      <c r="K1594" s="1">
        <v>1217606</v>
      </c>
    </row>
    <row r="1595" spans="1:11" x14ac:dyDescent="0.25">
      <c r="A1595" t="s">
        <v>9</v>
      </c>
      <c r="B1595" t="s">
        <v>70</v>
      </c>
      <c r="C1595" t="s">
        <v>867</v>
      </c>
      <c r="D1595" t="s">
        <v>11</v>
      </c>
      <c r="E1595">
        <v>23</v>
      </c>
      <c r="F1595" s="2">
        <f>DATE(2026,IF(Tabla1[[#This Row],[Mes de Fecha]]="Septiembre",9,10),Tabla1[[#This Row],[Día de Fecha]])</f>
        <v>46288</v>
      </c>
      <c r="G1595">
        <v>1115083881</v>
      </c>
      <c r="I1595">
        <v>41</v>
      </c>
      <c r="J1595">
        <v>0</v>
      </c>
      <c r="K1595" s="1">
        <v>2294518</v>
      </c>
    </row>
    <row r="1596" spans="1:11" x14ac:dyDescent="0.25">
      <c r="A1596" t="s">
        <v>9</v>
      </c>
      <c r="B1596" t="s">
        <v>70</v>
      </c>
      <c r="C1596" t="s">
        <v>867</v>
      </c>
      <c r="D1596" t="s">
        <v>11</v>
      </c>
      <c r="E1596">
        <v>24</v>
      </c>
      <c r="F1596" s="2">
        <f>DATE(2026,IF(Tabla1[[#This Row],[Mes de Fecha]]="Septiembre",9,10),Tabla1[[#This Row],[Día de Fecha]])</f>
        <v>46289</v>
      </c>
      <c r="I1596">
        <v>0</v>
      </c>
      <c r="J1596" s="1">
        <v>7718142</v>
      </c>
      <c r="K1596">
        <v>0</v>
      </c>
    </row>
    <row r="1597" spans="1:11" x14ac:dyDescent="0.25">
      <c r="A1597" t="s">
        <v>9</v>
      </c>
      <c r="B1597" t="s">
        <v>70</v>
      </c>
      <c r="C1597" t="s">
        <v>867</v>
      </c>
      <c r="D1597" t="s">
        <v>11</v>
      </c>
      <c r="E1597">
        <v>24</v>
      </c>
      <c r="F1597" s="2">
        <f>DATE(2026,IF(Tabla1[[#This Row],[Mes de Fecha]]="Septiembre",9,10),Tabla1[[#This Row],[Día de Fecha]])</f>
        <v>46289</v>
      </c>
      <c r="G1597">
        <v>1006209867</v>
      </c>
      <c r="H1597" t="s">
        <v>62</v>
      </c>
      <c r="I1597">
        <v>44</v>
      </c>
      <c r="J1597">
        <v>0</v>
      </c>
      <c r="K1597" s="1">
        <v>2512447</v>
      </c>
    </row>
    <row r="1598" spans="1:11" x14ac:dyDescent="0.25">
      <c r="A1598" t="s">
        <v>9</v>
      </c>
      <c r="B1598" t="s">
        <v>70</v>
      </c>
      <c r="C1598" t="s">
        <v>867</v>
      </c>
      <c r="D1598" t="s">
        <v>11</v>
      </c>
      <c r="E1598">
        <v>24</v>
      </c>
      <c r="F1598" s="2">
        <f>DATE(2026,IF(Tabla1[[#This Row],[Mes de Fecha]]="Septiembre",9,10),Tabla1[[#This Row],[Día de Fecha]])</f>
        <v>46289</v>
      </c>
      <c r="G1598">
        <v>1115083881</v>
      </c>
      <c r="I1598">
        <v>68</v>
      </c>
      <c r="J1598">
        <v>0</v>
      </c>
      <c r="K1598" s="1">
        <v>4623153</v>
      </c>
    </row>
    <row r="1599" spans="1:11" x14ac:dyDescent="0.25">
      <c r="A1599" t="s">
        <v>9</v>
      </c>
      <c r="B1599" t="s">
        <v>70</v>
      </c>
      <c r="C1599" t="s">
        <v>867</v>
      </c>
      <c r="D1599" t="s">
        <v>11</v>
      </c>
      <c r="E1599">
        <v>25</v>
      </c>
      <c r="F1599" s="2">
        <f>DATE(2026,IF(Tabla1[[#This Row],[Mes de Fecha]]="Septiembre",9,10),Tabla1[[#This Row],[Día de Fecha]])</f>
        <v>46290</v>
      </c>
      <c r="I1599">
        <v>0</v>
      </c>
      <c r="J1599" s="1">
        <v>8243393</v>
      </c>
      <c r="K1599">
        <v>0</v>
      </c>
    </row>
    <row r="1600" spans="1:11" x14ac:dyDescent="0.25">
      <c r="A1600" t="s">
        <v>9</v>
      </c>
      <c r="B1600" t="s">
        <v>70</v>
      </c>
      <c r="C1600" t="s">
        <v>867</v>
      </c>
      <c r="D1600" t="s">
        <v>11</v>
      </c>
      <c r="E1600">
        <v>25</v>
      </c>
      <c r="F1600" s="2">
        <f>DATE(2026,IF(Tabla1[[#This Row],[Mes de Fecha]]="Septiembre",9,10),Tabla1[[#This Row],[Día de Fecha]])</f>
        <v>46290</v>
      </c>
      <c r="G1600">
        <v>1006209867</v>
      </c>
      <c r="H1600" t="s">
        <v>62</v>
      </c>
      <c r="I1600">
        <v>40</v>
      </c>
      <c r="J1600">
        <v>0</v>
      </c>
      <c r="K1600" s="1">
        <v>2221009</v>
      </c>
    </row>
    <row r="1601" spans="1:11" x14ac:dyDescent="0.25">
      <c r="A1601" t="s">
        <v>9</v>
      </c>
      <c r="B1601" t="s">
        <v>70</v>
      </c>
      <c r="C1601" t="s">
        <v>867</v>
      </c>
      <c r="D1601" t="s">
        <v>11</v>
      </c>
      <c r="E1601">
        <v>25</v>
      </c>
      <c r="F1601" s="2">
        <f>DATE(2026,IF(Tabla1[[#This Row],[Mes de Fecha]]="Septiembre",9,10),Tabla1[[#This Row],[Día de Fecha]])</f>
        <v>46290</v>
      </c>
      <c r="G1601">
        <v>1115083881</v>
      </c>
      <c r="I1601">
        <v>31</v>
      </c>
      <c r="J1601">
        <v>0</v>
      </c>
      <c r="K1601" s="1">
        <v>1771810</v>
      </c>
    </row>
    <row r="1602" spans="1:11" x14ac:dyDescent="0.25">
      <c r="A1602" t="s">
        <v>9</v>
      </c>
      <c r="B1602" t="s">
        <v>70</v>
      </c>
      <c r="C1602" t="s">
        <v>867</v>
      </c>
      <c r="D1602" t="s">
        <v>11</v>
      </c>
      <c r="E1602">
        <v>26</v>
      </c>
      <c r="F1602" s="2">
        <f>DATE(2026,IF(Tabla1[[#This Row],[Mes de Fecha]]="Septiembre",9,10),Tabla1[[#This Row],[Día de Fecha]])</f>
        <v>46291</v>
      </c>
      <c r="I1602">
        <v>0</v>
      </c>
      <c r="J1602" s="1">
        <v>10394714</v>
      </c>
      <c r="K1602">
        <v>0</v>
      </c>
    </row>
    <row r="1603" spans="1:11" x14ac:dyDescent="0.25">
      <c r="A1603" t="s">
        <v>9</v>
      </c>
      <c r="B1603" t="s">
        <v>70</v>
      </c>
      <c r="C1603" t="s">
        <v>867</v>
      </c>
      <c r="D1603" t="s">
        <v>11</v>
      </c>
      <c r="E1603">
        <v>26</v>
      </c>
      <c r="F1603" s="2">
        <f>DATE(2026,IF(Tabla1[[#This Row],[Mes de Fecha]]="Septiembre",9,10),Tabla1[[#This Row],[Día de Fecha]])</f>
        <v>46291</v>
      </c>
      <c r="G1603">
        <v>1006209867</v>
      </c>
      <c r="H1603" t="s">
        <v>62</v>
      </c>
      <c r="I1603">
        <v>92</v>
      </c>
      <c r="J1603">
        <v>0</v>
      </c>
      <c r="K1603" s="1">
        <v>4445215</v>
      </c>
    </row>
    <row r="1604" spans="1:11" x14ac:dyDescent="0.25">
      <c r="A1604" t="s">
        <v>9</v>
      </c>
      <c r="B1604" t="s">
        <v>70</v>
      </c>
      <c r="C1604" t="s">
        <v>867</v>
      </c>
      <c r="D1604" t="s">
        <v>11</v>
      </c>
      <c r="E1604">
        <v>26</v>
      </c>
      <c r="F1604" s="2">
        <f>DATE(2026,IF(Tabla1[[#This Row],[Mes de Fecha]]="Septiembre",9,10),Tabla1[[#This Row],[Día de Fecha]])</f>
        <v>46291</v>
      </c>
      <c r="G1604">
        <v>1115083881</v>
      </c>
      <c r="I1604">
        <v>85</v>
      </c>
      <c r="J1604">
        <v>0</v>
      </c>
      <c r="K1604" s="1">
        <v>4600511</v>
      </c>
    </row>
    <row r="1605" spans="1:11" x14ac:dyDescent="0.25">
      <c r="A1605" t="s">
        <v>9</v>
      </c>
      <c r="B1605" t="s">
        <v>70</v>
      </c>
      <c r="C1605" t="s">
        <v>867</v>
      </c>
      <c r="D1605" t="s">
        <v>11</v>
      </c>
      <c r="E1605">
        <v>27</v>
      </c>
      <c r="F1605" s="2">
        <f>DATE(2026,IF(Tabla1[[#This Row],[Mes de Fecha]]="Septiembre",9,10),Tabla1[[#This Row],[Día de Fecha]])</f>
        <v>46292</v>
      </c>
      <c r="I1605">
        <v>0</v>
      </c>
      <c r="J1605" s="1">
        <v>5488310</v>
      </c>
      <c r="K1605">
        <v>0</v>
      </c>
    </row>
    <row r="1606" spans="1:11" x14ac:dyDescent="0.25">
      <c r="A1606" t="s">
        <v>9</v>
      </c>
      <c r="B1606" t="s">
        <v>70</v>
      </c>
      <c r="C1606" t="s">
        <v>867</v>
      </c>
      <c r="D1606" t="s">
        <v>11</v>
      </c>
      <c r="E1606">
        <v>27</v>
      </c>
      <c r="F1606" s="2">
        <f>DATE(2026,IF(Tabla1[[#This Row],[Mes de Fecha]]="Septiembre",9,10),Tabla1[[#This Row],[Día de Fecha]])</f>
        <v>46292</v>
      </c>
      <c r="G1606">
        <v>1006209867</v>
      </c>
      <c r="H1606" t="s">
        <v>62</v>
      </c>
      <c r="I1606">
        <v>85</v>
      </c>
      <c r="J1606">
        <v>0</v>
      </c>
      <c r="K1606" s="1">
        <v>5029625</v>
      </c>
    </row>
    <row r="1607" spans="1:11" x14ac:dyDescent="0.25">
      <c r="A1607" t="s">
        <v>9</v>
      </c>
      <c r="B1607" t="s">
        <v>70</v>
      </c>
      <c r="C1607" t="s">
        <v>867</v>
      </c>
      <c r="D1607" t="s">
        <v>11</v>
      </c>
      <c r="E1607">
        <v>27</v>
      </c>
      <c r="F1607" s="2">
        <f>DATE(2026,IF(Tabla1[[#This Row],[Mes de Fecha]]="Septiembre",9,10),Tabla1[[#This Row],[Día de Fecha]])</f>
        <v>46292</v>
      </c>
      <c r="G1607">
        <v>1115083881</v>
      </c>
      <c r="I1607">
        <v>114</v>
      </c>
      <c r="J1607">
        <v>0</v>
      </c>
      <c r="K1607" s="1">
        <v>6517945</v>
      </c>
    </row>
    <row r="1608" spans="1:11" x14ac:dyDescent="0.25">
      <c r="A1608" t="s">
        <v>9</v>
      </c>
      <c r="B1608" t="s">
        <v>70</v>
      </c>
      <c r="C1608" t="s">
        <v>867</v>
      </c>
      <c r="D1608" t="s">
        <v>11</v>
      </c>
      <c r="E1608">
        <v>27</v>
      </c>
      <c r="F1608" s="2">
        <f>DATE(2026,IF(Tabla1[[#This Row],[Mes de Fecha]]="Septiembre",9,10),Tabla1[[#This Row],[Día de Fecha]])</f>
        <v>46292</v>
      </c>
      <c r="G1608">
        <v>1115087772</v>
      </c>
      <c r="H1608" t="s">
        <v>57</v>
      </c>
      <c r="I1608">
        <v>-1</v>
      </c>
      <c r="J1608">
        <v>0</v>
      </c>
      <c r="K1608" s="1">
        <v>-92353</v>
      </c>
    </row>
    <row r="1609" spans="1:11" x14ac:dyDescent="0.25">
      <c r="A1609" t="s">
        <v>9</v>
      </c>
      <c r="B1609" t="s">
        <v>70</v>
      </c>
      <c r="C1609" t="s">
        <v>867</v>
      </c>
      <c r="D1609" t="s">
        <v>11</v>
      </c>
      <c r="E1609">
        <v>28</v>
      </c>
      <c r="F1609" s="2">
        <f>DATE(2026,IF(Tabla1[[#This Row],[Mes de Fecha]]="Septiembre",9,10),Tabla1[[#This Row],[Día de Fecha]])</f>
        <v>46293</v>
      </c>
      <c r="I1609">
        <v>0</v>
      </c>
      <c r="J1609" s="1">
        <v>4499818</v>
      </c>
      <c r="K1609">
        <v>0</v>
      </c>
    </row>
    <row r="1610" spans="1:11" x14ac:dyDescent="0.25">
      <c r="A1610" t="s">
        <v>9</v>
      </c>
      <c r="B1610" t="s">
        <v>70</v>
      </c>
      <c r="C1610" t="s">
        <v>867</v>
      </c>
      <c r="D1610" t="s">
        <v>11</v>
      </c>
      <c r="E1610">
        <v>28</v>
      </c>
      <c r="F1610" s="2">
        <f>DATE(2026,IF(Tabla1[[#This Row],[Mes de Fecha]]="Septiembre",9,10),Tabla1[[#This Row],[Día de Fecha]])</f>
        <v>46293</v>
      </c>
      <c r="G1610">
        <v>1006209867</v>
      </c>
      <c r="H1610" t="s">
        <v>62</v>
      </c>
      <c r="I1610">
        <v>15</v>
      </c>
      <c r="J1610">
        <v>0</v>
      </c>
      <c r="K1610" s="1">
        <v>665296</v>
      </c>
    </row>
    <row r="1611" spans="1:11" x14ac:dyDescent="0.25">
      <c r="A1611" t="s">
        <v>9</v>
      </c>
      <c r="B1611" t="s">
        <v>70</v>
      </c>
      <c r="C1611" t="s">
        <v>867</v>
      </c>
      <c r="D1611" t="s">
        <v>11</v>
      </c>
      <c r="E1611">
        <v>28</v>
      </c>
      <c r="F1611" s="2">
        <f>DATE(2026,IF(Tabla1[[#This Row],[Mes de Fecha]]="Septiembre",9,10),Tabla1[[#This Row],[Día de Fecha]])</f>
        <v>46293</v>
      </c>
      <c r="G1611">
        <v>1115083881</v>
      </c>
      <c r="I1611">
        <v>20</v>
      </c>
      <c r="J1611">
        <v>0</v>
      </c>
      <c r="K1611" s="1">
        <v>1059959</v>
      </c>
    </row>
    <row r="1612" spans="1:11" x14ac:dyDescent="0.25">
      <c r="A1612" t="s">
        <v>9</v>
      </c>
      <c r="B1612" t="s">
        <v>70</v>
      </c>
      <c r="C1612" t="s">
        <v>867</v>
      </c>
      <c r="D1612" t="s">
        <v>11</v>
      </c>
      <c r="E1612">
        <v>29</v>
      </c>
      <c r="F1612" s="2">
        <f>DATE(2026,IF(Tabla1[[#This Row],[Mes de Fecha]]="Septiembre",9,10),Tabla1[[#This Row],[Día de Fecha]])</f>
        <v>46294</v>
      </c>
      <c r="I1612">
        <v>0</v>
      </c>
      <c r="J1612" s="1">
        <v>5002466</v>
      </c>
      <c r="K1612">
        <v>0</v>
      </c>
    </row>
    <row r="1613" spans="1:11" x14ac:dyDescent="0.25">
      <c r="A1613" t="s">
        <v>9</v>
      </c>
      <c r="B1613" t="s">
        <v>70</v>
      </c>
      <c r="C1613" t="s">
        <v>867</v>
      </c>
      <c r="D1613" t="s">
        <v>11</v>
      </c>
      <c r="E1613">
        <v>29</v>
      </c>
      <c r="F1613" s="2">
        <f>DATE(2026,IF(Tabla1[[#This Row],[Mes de Fecha]]="Septiembre",9,10),Tabla1[[#This Row],[Día de Fecha]])</f>
        <v>46294</v>
      </c>
      <c r="G1613">
        <v>1006209867</v>
      </c>
      <c r="H1613" t="s">
        <v>62</v>
      </c>
      <c r="I1613">
        <v>22</v>
      </c>
      <c r="J1613">
        <v>0</v>
      </c>
      <c r="K1613" s="1">
        <v>1223824</v>
      </c>
    </row>
    <row r="1614" spans="1:11" x14ac:dyDescent="0.25">
      <c r="A1614" t="s">
        <v>9</v>
      </c>
      <c r="B1614" t="s">
        <v>70</v>
      </c>
      <c r="C1614" t="s">
        <v>867</v>
      </c>
      <c r="D1614" t="s">
        <v>11</v>
      </c>
      <c r="E1614">
        <v>29</v>
      </c>
      <c r="F1614" s="2">
        <f>DATE(2026,IF(Tabla1[[#This Row],[Mes de Fecha]]="Septiembre",9,10),Tabla1[[#This Row],[Día de Fecha]])</f>
        <v>46294</v>
      </c>
      <c r="G1614">
        <v>1115083881</v>
      </c>
      <c r="I1614">
        <v>37</v>
      </c>
      <c r="J1614">
        <v>0</v>
      </c>
      <c r="K1614" s="1">
        <v>2519369</v>
      </c>
    </row>
    <row r="1615" spans="1:11" x14ac:dyDescent="0.25">
      <c r="A1615" t="s">
        <v>9</v>
      </c>
      <c r="B1615" t="s">
        <v>70</v>
      </c>
      <c r="C1615" t="s">
        <v>867</v>
      </c>
      <c r="D1615" t="s">
        <v>11</v>
      </c>
      <c r="E1615">
        <v>30</v>
      </c>
      <c r="F1615" s="2">
        <f>DATE(2026,IF(Tabla1[[#This Row],[Mes de Fecha]]="Septiembre",9,10),Tabla1[[#This Row],[Día de Fecha]])</f>
        <v>46295</v>
      </c>
      <c r="I1615">
        <v>0</v>
      </c>
      <c r="J1615" s="1">
        <v>5297770</v>
      </c>
      <c r="K1615">
        <v>0</v>
      </c>
    </row>
    <row r="1616" spans="1:11" x14ac:dyDescent="0.25">
      <c r="A1616" t="s">
        <v>9</v>
      </c>
      <c r="B1616" t="s">
        <v>70</v>
      </c>
      <c r="C1616" t="s">
        <v>867</v>
      </c>
      <c r="D1616" t="s">
        <v>11</v>
      </c>
      <c r="E1616">
        <v>30</v>
      </c>
      <c r="F1616" s="2">
        <f>DATE(2026,IF(Tabla1[[#This Row],[Mes de Fecha]]="Septiembre",9,10),Tabla1[[#This Row],[Día de Fecha]])</f>
        <v>46295</v>
      </c>
      <c r="G1616">
        <v>1006209867</v>
      </c>
      <c r="H1616" t="s">
        <v>62</v>
      </c>
      <c r="I1616">
        <v>27</v>
      </c>
      <c r="J1616">
        <v>0</v>
      </c>
      <c r="K1616" s="1">
        <v>1414874</v>
      </c>
    </row>
    <row r="1617" spans="1:11" x14ac:dyDescent="0.25">
      <c r="A1617" t="s">
        <v>9</v>
      </c>
      <c r="B1617" t="s">
        <v>70</v>
      </c>
      <c r="C1617" t="s">
        <v>867</v>
      </c>
      <c r="D1617" t="s">
        <v>11</v>
      </c>
      <c r="E1617">
        <v>30</v>
      </c>
      <c r="F1617" s="2">
        <f>DATE(2026,IF(Tabla1[[#This Row],[Mes de Fecha]]="Septiembre",9,10),Tabla1[[#This Row],[Día de Fecha]])</f>
        <v>46295</v>
      </c>
      <c r="G1617">
        <v>1115083881</v>
      </c>
      <c r="I1617">
        <v>46</v>
      </c>
      <c r="J1617">
        <v>0</v>
      </c>
      <c r="K1617" s="1">
        <v>2151181</v>
      </c>
    </row>
    <row r="1618" spans="1:11" x14ac:dyDescent="0.25">
      <c r="A1618" t="s">
        <v>9</v>
      </c>
      <c r="B1618" t="s">
        <v>70</v>
      </c>
      <c r="C1618" t="s">
        <v>867</v>
      </c>
      <c r="D1618" t="s">
        <v>14</v>
      </c>
      <c r="E1618">
        <v>1</v>
      </c>
      <c r="F1618" s="2">
        <f>DATE(2026,IF(Tabla1[[#This Row],[Mes de Fecha]]="Septiembre",9,10),Tabla1[[#This Row],[Día de Fecha]])</f>
        <v>46296</v>
      </c>
      <c r="I1618">
        <v>0</v>
      </c>
      <c r="J1618" s="1">
        <v>6025325</v>
      </c>
      <c r="K1618">
        <v>0</v>
      </c>
    </row>
    <row r="1619" spans="1:11" x14ac:dyDescent="0.25">
      <c r="A1619" t="s">
        <v>9</v>
      </c>
      <c r="B1619" t="s">
        <v>70</v>
      </c>
      <c r="C1619" t="s">
        <v>867</v>
      </c>
      <c r="D1619" t="s">
        <v>14</v>
      </c>
      <c r="E1619">
        <v>1</v>
      </c>
      <c r="F1619" s="2">
        <f>DATE(2026,IF(Tabla1[[#This Row],[Mes de Fecha]]="Septiembre",9,10),Tabla1[[#This Row],[Día de Fecha]])</f>
        <v>46296</v>
      </c>
      <c r="G1619">
        <v>1006209867</v>
      </c>
      <c r="H1619" t="s">
        <v>62</v>
      </c>
      <c r="I1619">
        <v>17</v>
      </c>
      <c r="J1619">
        <v>0</v>
      </c>
      <c r="K1619" s="1">
        <v>669329</v>
      </c>
    </row>
    <row r="1620" spans="1:11" x14ac:dyDescent="0.25">
      <c r="A1620" t="s">
        <v>9</v>
      </c>
      <c r="B1620" t="s">
        <v>70</v>
      </c>
      <c r="C1620" t="s">
        <v>867</v>
      </c>
      <c r="D1620" t="s">
        <v>14</v>
      </c>
      <c r="E1620">
        <v>1</v>
      </c>
      <c r="F1620" s="2">
        <f>DATE(2026,IF(Tabla1[[#This Row],[Mes de Fecha]]="Septiembre",9,10),Tabla1[[#This Row],[Día de Fecha]])</f>
        <v>46296</v>
      </c>
      <c r="G1620">
        <v>1115083881</v>
      </c>
      <c r="I1620">
        <v>28</v>
      </c>
      <c r="J1620">
        <v>0</v>
      </c>
      <c r="K1620" s="1">
        <v>1343277</v>
      </c>
    </row>
    <row r="1621" spans="1:11" x14ac:dyDescent="0.25">
      <c r="A1621" t="s">
        <v>9</v>
      </c>
      <c r="B1621" t="s">
        <v>70</v>
      </c>
      <c r="C1621" t="s">
        <v>867</v>
      </c>
      <c r="D1621" t="s">
        <v>14</v>
      </c>
      <c r="E1621">
        <v>1</v>
      </c>
      <c r="F1621" s="2">
        <f>DATE(2026,IF(Tabla1[[#This Row],[Mes de Fecha]]="Septiembre",9,10),Tabla1[[#This Row],[Día de Fecha]])</f>
        <v>46296</v>
      </c>
      <c r="G1621">
        <v>1115087772</v>
      </c>
      <c r="H1621" t="s">
        <v>57</v>
      </c>
      <c r="I1621">
        <v>-1</v>
      </c>
      <c r="J1621">
        <v>0</v>
      </c>
      <c r="K1621" s="1">
        <v>-117563</v>
      </c>
    </row>
    <row r="1622" spans="1:11" x14ac:dyDescent="0.25">
      <c r="A1622" t="s">
        <v>9</v>
      </c>
      <c r="B1622" t="s">
        <v>70</v>
      </c>
      <c r="C1622" t="s">
        <v>867</v>
      </c>
      <c r="D1622" t="s">
        <v>14</v>
      </c>
      <c r="E1622">
        <v>2</v>
      </c>
      <c r="F1622" s="2">
        <f>DATE(2026,IF(Tabla1[[#This Row],[Mes de Fecha]]="Septiembre",9,10),Tabla1[[#This Row],[Día de Fecha]])</f>
        <v>46297</v>
      </c>
      <c r="I1622">
        <v>0</v>
      </c>
      <c r="J1622" s="1">
        <v>6426076</v>
      </c>
      <c r="K1622">
        <v>0</v>
      </c>
    </row>
    <row r="1623" spans="1:11" x14ac:dyDescent="0.25">
      <c r="A1623" t="s">
        <v>9</v>
      </c>
      <c r="B1623" t="s">
        <v>70</v>
      </c>
      <c r="C1623" t="s">
        <v>867</v>
      </c>
      <c r="D1623" t="s">
        <v>14</v>
      </c>
      <c r="E1623">
        <v>2</v>
      </c>
      <c r="F1623" s="2">
        <f>DATE(2026,IF(Tabla1[[#This Row],[Mes de Fecha]]="Septiembre",9,10),Tabla1[[#This Row],[Día de Fecha]])</f>
        <v>46297</v>
      </c>
      <c r="G1623">
        <v>1006209867</v>
      </c>
      <c r="H1623" t="s">
        <v>62</v>
      </c>
      <c r="I1623">
        <v>28</v>
      </c>
      <c r="J1623">
        <v>0</v>
      </c>
      <c r="K1623" s="1">
        <v>1559336</v>
      </c>
    </row>
    <row r="1624" spans="1:11" x14ac:dyDescent="0.25">
      <c r="A1624" t="s">
        <v>9</v>
      </c>
      <c r="B1624" t="s">
        <v>70</v>
      </c>
      <c r="C1624" t="s">
        <v>867</v>
      </c>
      <c r="D1624" t="s">
        <v>14</v>
      </c>
      <c r="E1624">
        <v>2</v>
      </c>
      <c r="F1624" s="2">
        <f>DATE(2026,IF(Tabla1[[#This Row],[Mes de Fecha]]="Septiembre",9,10),Tabla1[[#This Row],[Día de Fecha]])</f>
        <v>46297</v>
      </c>
      <c r="G1624">
        <v>1115083881</v>
      </c>
      <c r="I1624">
        <v>37</v>
      </c>
      <c r="J1624">
        <v>0</v>
      </c>
      <c r="K1624" s="1">
        <v>2330336</v>
      </c>
    </row>
    <row r="1625" spans="1:11" x14ac:dyDescent="0.25">
      <c r="A1625" t="s">
        <v>9</v>
      </c>
      <c r="B1625" t="s">
        <v>70</v>
      </c>
      <c r="C1625" t="s">
        <v>867</v>
      </c>
      <c r="D1625" t="s">
        <v>14</v>
      </c>
      <c r="E1625">
        <v>3</v>
      </c>
      <c r="F1625" s="2">
        <f>DATE(2026,IF(Tabla1[[#This Row],[Mes de Fecha]]="Septiembre",9,10),Tabla1[[#This Row],[Día de Fecha]])</f>
        <v>46298</v>
      </c>
      <c r="I1625">
        <v>0</v>
      </c>
      <c r="J1625" s="1">
        <v>12375254</v>
      </c>
      <c r="K1625">
        <v>0</v>
      </c>
    </row>
    <row r="1626" spans="1:11" x14ac:dyDescent="0.25">
      <c r="A1626" t="s">
        <v>9</v>
      </c>
      <c r="B1626" t="s">
        <v>70</v>
      </c>
      <c r="C1626" t="s">
        <v>867</v>
      </c>
      <c r="D1626" t="s">
        <v>14</v>
      </c>
      <c r="E1626">
        <v>3</v>
      </c>
      <c r="F1626" s="2">
        <f>DATE(2026,IF(Tabla1[[#This Row],[Mes de Fecha]]="Septiembre",9,10),Tabla1[[#This Row],[Día de Fecha]])</f>
        <v>46298</v>
      </c>
      <c r="G1626">
        <v>1006209867</v>
      </c>
      <c r="H1626" t="s">
        <v>62</v>
      </c>
      <c r="I1626">
        <v>73</v>
      </c>
      <c r="J1626">
        <v>0</v>
      </c>
      <c r="K1626" s="1">
        <v>3911876</v>
      </c>
    </row>
    <row r="1627" spans="1:11" x14ac:dyDescent="0.25">
      <c r="A1627" t="s">
        <v>9</v>
      </c>
      <c r="B1627" t="s">
        <v>70</v>
      </c>
      <c r="C1627" t="s">
        <v>867</v>
      </c>
      <c r="D1627" t="s">
        <v>14</v>
      </c>
      <c r="E1627">
        <v>3</v>
      </c>
      <c r="F1627" s="2">
        <f>DATE(2026,IF(Tabla1[[#This Row],[Mes de Fecha]]="Septiembre",9,10),Tabla1[[#This Row],[Día de Fecha]])</f>
        <v>46298</v>
      </c>
      <c r="G1627">
        <v>1115076540</v>
      </c>
      <c r="H1627" t="s">
        <v>58</v>
      </c>
      <c r="I1627">
        <v>-1</v>
      </c>
      <c r="J1627">
        <v>0</v>
      </c>
      <c r="K1627" s="1">
        <v>-54580</v>
      </c>
    </row>
    <row r="1628" spans="1:11" x14ac:dyDescent="0.25">
      <c r="A1628" t="s">
        <v>9</v>
      </c>
      <c r="B1628" t="s">
        <v>70</v>
      </c>
      <c r="C1628" t="s">
        <v>867</v>
      </c>
      <c r="D1628" t="s">
        <v>14</v>
      </c>
      <c r="E1628">
        <v>3</v>
      </c>
      <c r="F1628" s="2">
        <f>DATE(2026,IF(Tabla1[[#This Row],[Mes de Fecha]]="Septiembre",9,10),Tabla1[[#This Row],[Día de Fecha]])</f>
        <v>46298</v>
      </c>
      <c r="G1628">
        <v>1115083881</v>
      </c>
      <c r="I1628">
        <v>78</v>
      </c>
      <c r="J1628">
        <v>0</v>
      </c>
      <c r="K1628" s="1">
        <v>3658700</v>
      </c>
    </row>
    <row r="1629" spans="1:11" x14ac:dyDescent="0.25">
      <c r="A1629" t="s">
        <v>9</v>
      </c>
      <c r="B1629" t="s">
        <v>70</v>
      </c>
      <c r="C1629" t="s">
        <v>867</v>
      </c>
      <c r="D1629" t="s">
        <v>14</v>
      </c>
      <c r="E1629">
        <v>4</v>
      </c>
      <c r="F1629" s="2">
        <f>DATE(2026,IF(Tabla1[[#This Row],[Mes de Fecha]]="Septiembre",9,10),Tabla1[[#This Row],[Día de Fecha]])</f>
        <v>46299</v>
      </c>
      <c r="I1629">
        <v>0</v>
      </c>
      <c r="J1629" s="1">
        <v>11184044</v>
      </c>
      <c r="K1629">
        <v>0</v>
      </c>
    </row>
    <row r="1630" spans="1:11" x14ac:dyDescent="0.25">
      <c r="A1630" t="s">
        <v>9</v>
      </c>
      <c r="B1630" t="s">
        <v>70</v>
      </c>
      <c r="C1630" t="s">
        <v>867</v>
      </c>
      <c r="D1630" t="s">
        <v>14</v>
      </c>
      <c r="E1630">
        <v>4</v>
      </c>
      <c r="F1630" s="2">
        <f>DATE(2026,IF(Tabla1[[#This Row],[Mes de Fecha]]="Septiembre",9,10),Tabla1[[#This Row],[Día de Fecha]])</f>
        <v>46299</v>
      </c>
      <c r="G1630">
        <v>1006209867</v>
      </c>
      <c r="H1630" t="s">
        <v>62</v>
      </c>
      <c r="I1630">
        <v>73</v>
      </c>
      <c r="J1630">
        <v>0</v>
      </c>
      <c r="K1630" s="1">
        <v>4118405</v>
      </c>
    </row>
    <row r="1631" spans="1:11" x14ac:dyDescent="0.25">
      <c r="A1631" t="s">
        <v>9</v>
      </c>
      <c r="B1631" t="s">
        <v>70</v>
      </c>
      <c r="C1631" t="s">
        <v>867</v>
      </c>
      <c r="D1631" t="s">
        <v>14</v>
      </c>
      <c r="E1631">
        <v>4</v>
      </c>
      <c r="F1631" s="2">
        <f>DATE(2026,IF(Tabla1[[#This Row],[Mes de Fecha]]="Septiembre",9,10),Tabla1[[#This Row],[Día de Fecha]])</f>
        <v>46299</v>
      </c>
      <c r="G1631">
        <v>1115083881</v>
      </c>
      <c r="I1631">
        <v>38</v>
      </c>
      <c r="J1631">
        <v>0</v>
      </c>
      <c r="K1631" s="1">
        <v>2489027</v>
      </c>
    </row>
    <row r="1632" spans="1:11" x14ac:dyDescent="0.25">
      <c r="A1632" t="s">
        <v>9</v>
      </c>
      <c r="B1632" t="s">
        <v>70</v>
      </c>
      <c r="C1632" t="s">
        <v>867</v>
      </c>
      <c r="D1632" t="s">
        <v>14</v>
      </c>
      <c r="E1632">
        <v>5</v>
      </c>
      <c r="F1632" s="2">
        <f>DATE(2026,IF(Tabla1[[#This Row],[Mes de Fecha]]="Septiembre",9,10),Tabla1[[#This Row],[Día de Fecha]])</f>
        <v>46300</v>
      </c>
      <c r="I1632">
        <v>0</v>
      </c>
      <c r="J1632" s="1">
        <v>3480886</v>
      </c>
      <c r="K1632">
        <v>0</v>
      </c>
    </row>
    <row r="1633" spans="1:11" x14ac:dyDescent="0.25">
      <c r="A1633" t="s">
        <v>9</v>
      </c>
      <c r="B1633" t="s">
        <v>70</v>
      </c>
      <c r="C1633" t="s">
        <v>867</v>
      </c>
      <c r="D1633" t="s">
        <v>14</v>
      </c>
      <c r="E1633">
        <v>5</v>
      </c>
      <c r="F1633" s="2">
        <f>DATE(2026,IF(Tabla1[[#This Row],[Mes de Fecha]]="Septiembre",9,10),Tabla1[[#This Row],[Día de Fecha]])</f>
        <v>46300</v>
      </c>
      <c r="G1633">
        <v>1006209867</v>
      </c>
      <c r="H1633" t="s">
        <v>62</v>
      </c>
      <c r="I1633">
        <v>35</v>
      </c>
      <c r="J1633">
        <v>0</v>
      </c>
      <c r="K1633" s="1">
        <v>2444238</v>
      </c>
    </row>
    <row r="1634" spans="1:11" x14ac:dyDescent="0.25">
      <c r="A1634" t="s">
        <v>9</v>
      </c>
      <c r="B1634" t="s">
        <v>70</v>
      </c>
      <c r="C1634" t="s">
        <v>867</v>
      </c>
      <c r="D1634" t="s">
        <v>14</v>
      </c>
      <c r="E1634">
        <v>5</v>
      </c>
      <c r="F1634" s="2">
        <f>DATE(2026,IF(Tabla1[[#This Row],[Mes de Fecha]]="Septiembre",9,10),Tabla1[[#This Row],[Día de Fecha]])</f>
        <v>46300</v>
      </c>
      <c r="G1634">
        <v>1115083881</v>
      </c>
      <c r="I1634">
        <v>81</v>
      </c>
      <c r="J1634">
        <v>0</v>
      </c>
      <c r="K1634" s="1">
        <v>4584376</v>
      </c>
    </row>
    <row r="1635" spans="1:11" x14ac:dyDescent="0.25">
      <c r="A1635" t="s">
        <v>9</v>
      </c>
      <c r="B1635" t="s">
        <v>70</v>
      </c>
      <c r="C1635" t="s">
        <v>867</v>
      </c>
      <c r="D1635" t="s">
        <v>14</v>
      </c>
      <c r="E1635">
        <v>5</v>
      </c>
      <c r="F1635" s="2">
        <f>DATE(2026,IF(Tabla1[[#This Row],[Mes de Fecha]]="Septiembre",9,10),Tabla1[[#This Row],[Día de Fecha]])</f>
        <v>46300</v>
      </c>
      <c r="G1635">
        <v>1115087772</v>
      </c>
      <c r="H1635" t="s">
        <v>57</v>
      </c>
      <c r="I1635">
        <v>-1</v>
      </c>
      <c r="J1635">
        <v>0</v>
      </c>
      <c r="K1635" s="1">
        <v>-92353</v>
      </c>
    </row>
    <row r="1636" spans="1:11" x14ac:dyDescent="0.25">
      <c r="A1636" t="s">
        <v>9</v>
      </c>
      <c r="B1636" t="s">
        <v>70</v>
      </c>
      <c r="C1636" t="s">
        <v>867</v>
      </c>
      <c r="D1636" t="s">
        <v>14</v>
      </c>
      <c r="E1636">
        <v>6</v>
      </c>
      <c r="F1636" s="2">
        <f>DATE(2026,IF(Tabla1[[#This Row],[Mes de Fecha]]="Septiembre",9,10),Tabla1[[#This Row],[Día de Fecha]])</f>
        <v>46301</v>
      </c>
      <c r="I1636">
        <v>0</v>
      </c>
      <c r="J1636" s="1">
        <v>2112607</v>
      </c>
      <c r="K1636">
        <v>0</v>
      </c>
    </row>
    <row r="1637" spans="1:11" x14ac:dyDescent="0.25">
      <c r="A1637" t="s">
        <v>9</v>
      </c>
      <c r="B1637" t="s">
        <v>70</v>
      </c>
      <c r="C1637" t="s">
        <v>867</v>
      </c>
      <c r="D1637" t="s">
        <v>14</v>
      </c>
      <c r="E1637">
        <v>6</v>
      </c>
      <c r="F1637" s="2">
        <f>DATE(2026,IF(Tabla1[[#This Row],[Mes de Fecha]]="Septiembre",9,10),Tabla1[[#This Row],[Día de Fecha]])</f>
        <v>46301</v>
      </c>
      <c r="G1637">
        <v>1006209867</v>
      </c>
      <c r="H1637" t="s">
        <v>62</v>
      </c>
      <c r="I1637">
        <v>25</v>
      </c>
      <c r="J1637">
        <v>0</v>
      </c>
      <c r="K1637" s="1">
        <v>1364369</v>
      </c>
    </row>
    <row r="1638" spans="1:11" x14ac:dyDescent="0.25">
      <c r="A1638" t="s">
        <v>9</v>
      </c>
      <c r="B1638" t="s">
        <v>70</v>
      </c>
      <c r="C1638" t="s">
        <v>867</v>
      </c>
      <c r="D1638" t="s">
        <v>14</v>
      </c>
      <c r="E1638">
        <v>6</v>
      </c>
      <c r="F1638" s="2">
        <f>DATE(2026,IF(Tabla1[[#This Row],[Mes de Fecha]]="Septiembre",9,10),Tabla1[[#This Row],[Día de Fecha]])</f>
        <v>46301</v>
      </c>
      <c r="G1638">
        <v>1105371697</v>
      </c>
      <c r="H1638" t="s">
        <v>61</v>
      </c>
      <c r="I1638">
        <v>-1</v>
      </c>
      <c r="J1638">
        <v>0</v>
      </c>
      <c r="K1638" s="1">
        <v>-79790</v>
      </c>
    </row>
    <row r="1639" spans="1:11" x14ac:dyDescent="0.25">
      <c r="A1639" t="s">
        <v>9</v>
      </c>
      <c r="B1639" t="s">
        <v>70</v>
      </c>
      <c r="C1639" t="s">
        <v>867</v>
      </c>
      <c r="D1639" t="s">
        <v>14</v>
      </c>
      <c r="E1639">
        <v>6</v>
      </c>
      <c r="F1639" s="2">
        <f>DATE(2026,IF(Tabla1[[#This Row],[Mes de Fecha]]="Septiembre",9,10),Tabla1[[#This Row],[Día de Fecha]])</f>
        <v>46301</v>
      </c>
      <c r="G1639">
        <v>1115083881</v>
      </c>
      <c r="I1639">
        <v>33</v>
      </c>
      <c r="J1639">
        <v>0</v>
      </c>
      <c r="K1639" s="1">
        <v>1466807</v>
      </c>
    </row>
    <row r="1640" spans="1:11" x14ac:dyDescent="0.25">
      <c r="A1640" t="s">
        <v>9</v>
      </c>
      <c r="B1640" t="s">
        <v>70</v>
      </c>
      <c r="C1640" t="s">
        <v>867</v>
      </c>
      <c r="D1640" t="s">
        <v>14</v>
      </c>
      <c r="E1640">
        <v>7</v>
      </c>
      <c r="F1640" s="2">
        <f>DATE(2026,IF(Tabla1[[#This Row],[Mes de Fecha]]="Septiembre",9,10),Tabla1[[#This Row],[Día de Fecha]])</f>
        <v>46302</v>
      </c>
      <c r="I1640">
        <v>0</v>
      </c>
      <c r="J1640" s="1">
        <v>1129537</v>
      </c>
      <c r="K1640">
        <v>0</v>
      </c>
    </row>
    <row r="1641" spans="1:11" x14ac:dyDescent="0.25">
      <c r="A1641" t="s">
        <v>9</v>
      </c>
      <c r="B1641" t="s">
        <v>70</v>
      </c>
      <c r="C1641" t="s">
        <v>867</v>
      </c>
      <c r="D1641" t="s">
        <v>14</v>
      </c>
      <c r="E1641">
        <v>7</v>
      </c>
      <c r="F1641" s="2">
        <f>DATE(2026,IF(Tabla1[[#This Row],[Mes de Fecha]]="Septiembre",9,10),Tabla1[[#This Row],[Día de Fecha]])</f>
        <v>46302</v>
      </c>
      <c r="G1641">
        <v>1006209867</v>
      </c>
      <c r="H1641" t="s">
        <v>62</v>
      </c>
      <c r="I1641">
        <v>58</v>
      </c>
      <c r="J1641">
        <v>0</v>
      </c>
      <c r="K1641" s="1">
        <v>2648235</v>
      </c>
    </row>
    <row r="1642" spans="1:11" x14ac:dyDescent="0.25">
      <c r="A1642" t="s">
        <v>9</v>
      </c>
      <c r="B1642" t="s">
        <v>70</v>
      </c>
      <c r="C1642" t="s">
        <v>867</v>
      </c>
      <c r="D1642" t="s">
        <v>14</v>
      </c>
      <c r="E1642">
        <v>7</v>
      </c>
      <c r="F1642" s="2">
        <f>DATE(2026,IF(Tabla1[[#This Row],[Mes de Fecha]]="Septiembre",9,10),Tabla1[[#This Row],[Día de Fecha]])</f>
        <v>46302</v>
      </c>
      <c r="G1642">
        <v>1115083881</v>
      </c>
      <c r="I1642">
        <v>37</v>
      </c>
      <c r="J1642">
        <v>0</v>
      </c>
      <c r="K1642" s="1">
        <v>2292354</v>
      </c>
    </row>
    <row r="1643" spans="1:11" x14ac:dyDescent="0.25">
      <c r="A1643" t="s">
        <v>9</v>
      </c>
      <c r="B1643" t="s">
        <v>74</v>
      </c>
      <c r="C1643" t="s">
        <v>867</v>
      </c>
      <c r="D1643" t="s">
        <v>11</v>
      </c>
      <c r="E1643">
        <v>23</v>
      </c>
      <c r="F1643" s="2">
        <f>DATE(2026,IF(Tabla1[[#This Row],[Mes de Fecha]]="Septiembre",9,10),Tabla1[[#This Row],[Día de Fecha]])</f>
        <v>46288</v>
      </c>
      <c r="I1643">
        <v>0</v>
      </c>
      <c r="J1643" s="1">
        <v>7155672</v>
      </c>
      <c r="K1643">
        <v>0</v>
      </c>
    </row>
    <row r="1644" spans="1:11" x14ac:dyDescent="0.25">
      <c r="A1644" t="s">
        <v>9</v>
      </c>
      <c r="B1644" t="s">
        <v>74</v>
      </c>
      <c r="C1644" t="s">
        <v>867</v>
      </c>
      <c r="D1644" t="s">
        <v>11</v>
      </c>
      <c r="E1644">
        <v>23</v>
      </c>
      <c r="F1644" s="2">
        <f>DATE(2026,IF(Tabla1[[#This Row],[Mes de Fecha]]="Septiembre",9,10),Tabla1[[#This Row],[Día de Fecha]])</f>
        <v>46288</v>
      </c>
      <c r="G1644">
        <v>1007882360</v>
      </c>
      <c r="H1644" t="s">
        <v>78</v>
      </c>
      <c r="I1644">
        <v>23</v>
      </c>
      <c r="J1644">
        <v>0</v>
      </c>
      <c r="K1644" s="1">
        <v>1305757</v>
      </c>
    </row>
    <row r="1645" spans="1:11" x14ac:dyDescent="0.25">
      <c r="A1645" t="s">
        <v>9</v>
      </c>
      <c r="B1645" t="s">
        <v>74</v>
      </c>
      <c r="C1645" t="s">
        <v>867</v>
      </c>
      <c r="D1645" t="s">
        <v>11</v>
      </c>
      <c r="E1645">
        <v>23</v>
      </c>
      <c r="F1645" s="2">
        <f>DATE(2026,IF(Tabla1[[#This Row],[Mes de Fecha]]="Septiembre",9,10),Tabla1[[#This Row],[Día de Fecha]])</f>
        <v>46288</v>
      </c>
      <c r="G1645">
        <v>1111756000</v>
      </c>
      <c r="H1645" t="s">
        <v>75</v>
      </c>
      <c r="I1645">
        <v>108</v>
      </c>
      <c r="J1645">
        <v>0</v>
      </c>
      <c r="K1645" s="1">
        <v>6174040</v>
      </c>
    </row>
    <row r="1646" spans="1:11" x14ac:dyDescent="0.25">
      <c r="A1646" t="s">
        <v>9</v>
      </c>
      <c r="B1646" t="s">
        <v>74</v>
      </c>
      <c r="C1646" t="s">
        <v>867</v>
      </c>
      <c r="D1646" t="s">
        <v>11</v>
      </c>
      <c r="E1646">
        <v>23</v>
      </c>
      <c r="F1646" s="2">
        <f>DATE(2026,IF(Tabla1[[#This Row],[Mes de Fecha]]="Septiembre",9,10),Tabla1[[#This Row],[Día de Fecha]])</f>
        <v>46288</v>
      </c>
      <c r="G1646">
        <v>1111796592</v>
      </c>
      <c r="H1646" t="s">
        <v>76</v>
      </c>
      <c r="I1646">
        <v>107</v>
      </c>
      <c r="J1646">
        <v>0</v>
      </c>
      <c r="K1646" s="1">
        <v>5869457</v>
      </c>
    </row>
    <row r="1647" spans="1:11" x14ac:dyDescent="0.25">
      <c r="A1647" t="s">
        <v>9</v>
      </c>
      <c r="B1647" t="s">
        <v>74</v>
      </c>
      <c r="C1647" t="s">
        <v>867</v>
      </c>
      <c r="D1647" t="s">
        <v>11</v>
      </c>
      <c r="E1647">
        <v>23</v>
      </c>
      <c r="F1647" s="2">
        <f>DATE(2026,IF(Tabla1[[#This Row],[Mes de Fecha]]="Septiembre",9,10),Tabla1[[#This Row],[Día de Fecha]])</f>
        <v>46288</v>
      </c>
      <c r="G1647">
        <v>1144086068</v>
      </c>
      <c r="H1647" t="s">
        <v>77</v>
      </c>
      <c r="I1647">
        <v>25</v>
      </c>
      <c r="J1647">
        <v>0</v>
      </c>
      <c r="K1647" s="1">
        <v>1242649</v>
      </c>
    </row>
    <row r="1648" spans="1:11" x14ac:dyDescent="0.25">
      <c r="A1648" t="s">
        <v>9</v>
      </c>
      <c r="B1648" t="s">
        <v>74</v>
      </c>
      <c r="C1648" t="s">
        <v>867</v>
      </c>
      <c r="D1648" t="s">
        <v>11</v>
      </c>
      <c r="E1648">
        <v>24</v>
      </c>
      <c r="F1648" s="2">
        <f>DATE(2026,IF(Tabla1[[#This Row],[Mes de Fecha]]="Septiembre",9,10),Tabla1[[#This Row],[Día de Fecha]])</f>
        <v>46289</v>
      </c>
      <c r="I1648">
        <v>0</v>
      </c>
      <c r="J1648" s="1">
        <v>18505950</v>
      </c>
      <c r="K1648">
        <v>0</v>
      </c>
    </row>
    <row r="1649" spans="1:11" x14ac:dyDescent="0.25">
      <c r="A1649" t="s">
        <v>9</v>
      </c>
      <c r="B1649" t="s">
        <v>74</v>
      </c>
      <c r="C1649" t="s">
        <v>867</v>
      </c>
      <c r="D1649" t="s">
        <v>11</v>
      </c>
      <c r="E1649">
        <v>24</v>
      </c>
      <c r="F1649" s="2">
        <f>DATE(2026,IF(Tabla1[[#This Row],[Mes de Fecha]]="Septiembre",9,10),Tabla1[[#This Row],[Día de Fecha]])</f>
        <v>46289</v>
      </c>
      <c r="G1649">
        <v>1007882360</v>
      </c>
      <c r="H1649" t="s">
        <v>78</v>
      </c>
      <c r="I1649">
        <v>75</v>
      </c>
      <c r="J1649">
        <v>0</v>
      </c>
      <c r="K1649" s="1">
        <v>4391813</v>
      </c>
    </row>
    <row r="1650" spans="1:11" x14ac:dyDescent="0.25">
      <c r="A1650" t="s">
        <v>9</v>
      </c>
      <c r="B1650" t="s">
        <v>74</v>
      </c>
      <c r="C1650" t="s">
        <v>867</v>
      </c>
      <c r="D1650" t="s">
        <v>11</v>
      </c>
      <c r="E1650">
        <v>24</v>
      </c>
      <c r="F1650" s="2">
        <f>DATE(2026,IF(Tabla1[[#This Row],[Mes de Fecha]]="Septiembre",9,10),Tabla1[[#This Row],[Día de Fecha]])</f>
        <v>46289</v>
      </c>
      <c r="G1650">
        <v>1111756000</v>
      </c>
      <c r="H1650" t="s">
        <v>75</v>
      </c>
      <c r="I1650">
        <v>84</v>
      </c>
      <c r="J1650">
        <v>0</v>
      </c>
      <c r="K1650" s="1">
        <v>5135131</v>
      </c>
    </row>
    <row r="1651" spans="1:11" x14ac:dyDescent="0.25">
      <c r="A1651" t="s">
        <v>9</v>
      </c>
      <c r="B1651" t="s">
        <v>74</v>
      </c>
      <c r="C1651" t="s">
        <v>867</v>
      </c>
      <c r="D1651" t="s">
        <v>11</v>
      </c>
      <c r="E1651">
        <v>24</v>
      </c>
      <c r="F1651" s="2">
        <f>DATE(2026,IF(Tabla1[[#This Row],[Mes de Fecha]]="Septiembre",9,10),Tabla1[[#This Row],[Día de Fecha]])</f>
        <v>46289</v>
      </c>
      <c r="G1651">
        <v>1111796592</v>
      </c>
      <c r="H1651" t="s">
        <v>76</v>
      </c>
      <c r="I1651">
        <v>82</v>
      </c>
      <c r="J1651">
        <v>0</v>
      </c>
      <c r="K1651" s="1">
        <v>4910422</v>
      </c>
    </row>
    <row r="1652" spans="1:11" x14ac:dyDescent="0.25">
      <c r="A1652" t="s">
        <v>9</v>
      </c>
      <c r="B1652" t="s">
        <v>74</v>
      </c>
      <c r="C1652" t="s">
        <v>867</v>
      </c>
      <c r="D1652" t="s">
        <v>11</v>
      </c>
      <c r="E1652">
        <v>24</v>
      </c>
      <c r="F1652" s="2">
        <f>DATE(2026,IF(Tabla1[[#This Row],[Mes de Fecha]]="Septiembre",9,10),Tabla1[[#This Row],[Día de Fecha]])</f>
        <v>46289</v>
      </c>
      <c r="G1652">
        <v>1144086068</v>
      </c>
      <c r="H1652" t="s">
        <v>77</v>
      </c>
      <c r="I1652">
        <v>31</v>
      </c>
      <c r="J1652">
        <v>0</v>
      </c>
      <c r="K1652" s="1">
        <v>1656263</v>
      </c>
    </row>
    <row r="1653" spans="1:11" x14ac:dyDescent="0.25">
      <c r="A1653" t="s">
        <v>9</v>
      </c>
      <c r="B1653" t="s">
        <v>74</v>
      </c>
      <c r="C1653" t="s">
        <v>867</v>
      </c>
      <c r="D1653" t="s">
        <v>11</v>
      </c>
      <c r="E1653">
        <v>25</v>
      </c>
      <c r="F1653" s="2">
        <f>DATE(2026,IF(Tabla1[[#This Row],[Mes de Fecha]]="Septiembre",9,10),Tabla1[[#This Row],[Día de Fecha]])</f>
        <v>46290</v>
      </c>
      <c r="I1653">
        <v>0</v>
      </c>
      <c r="J1653" s="1">
        <v>19765365</v>
      </c>
      <c r="K1653">
        <v>0</v>
      </c>
    </row>
    <row r="1654" spans="1:11" x14ac:dyDescent="0.25">
      <c r="A1654" t="s">
        <v>9</v>
      </c>
      <c r="B1654" t="s">
        <v>74</v>
      </c>
      <c r="C1654" t="s">
        <v>867</v>
      </c>
      <c r="D1654" t="s">
        <v>11</v>
      </c>
      <c r="E1654">
        <v>25</v>
      </c>
      <c r="F1654" s="2">
        <f>DATE(2026,IF(Tabla1[[#This Row],[Mes de Fecha]]="Septiembre",9,10),Tabla1[[#This Row],[Día de Fecha]])</f>
        <v>46290</v>
      </c>
      <c r="G1654">
        <v>1007882360</v>
      </c>
      <c r="H1654" t="s">
        <v>78</v>
      </c>
      <c r="I1654">
        <v>54</v>
      </c>
      <c r="J1654">
        <v>0</v>
      </c>
      <c r="K1654" s="1">
        <v>2980928</v>
      </c>
    </row>
    <row r="1655" spans="1:11" x14ac:dyDescent="0.25">
      <c r="A1655" t="s">
        <v>9</v>
      </c>
      <c r="B1655" t="s">
        <v>74</v>
      </c>
      <c r="C1655" t="s">
        <v>867</v>
      </c>
      <c r="D1655" t="s">
        <v>11</v>
      </c>
      <c r="E1655">
        <v>25</v>
      </c>
      <c r="F1655" s="2">
        <f>DATE(2026,IF(Tabla1[[#This Row],[Mes de Fecha]]="Septiembre",9,10),Tabla1[[#This Row],[Día de Fecha]])</f>
        <v>46290</v>
      </c>
      <c r="G1655">
        <v>1111756000</v>
      </c>
      <c r="H1655" t="s">
        <v>75</v>
      </c>
      <c r="I1655">
        <v>151</v>
      </c>
      <c r="J1655">
        <v>0</v>
      </c>
      <c r="K1655" s="1">
        <v>8663744</v>
      </c>
    </row>
    <row r="1656" spans="1:11" x14ac:dyDescent="0.25">
      <c r="A1656" t="s">
        <v>9</v>
      </c>
      <c r="B1656" t="s">
        <v>74</v>
      </c>
      <c r="C1656" t="s">
        <v>867</v>
      </c>
      <c r="D1656" t="s">
        <v>11</v>
      </c>
      <c r="E1656">
        <v>25</v>
      </c>
      <c r="F1656" s="2">
        <f>DATE(2026,IF(Tabla1[[#This Row],[Mes de Fecha]]="Septiembre",9,10),Tabla1[[#This Row],[Día de Fecha]])</f>
        <v>46290</v>
      </c>
      <c r="G1656">
        <v>1111796592</v>
      </c>
      <c r="H1656" t="s">
        <v>76</v>
      </c>
      <c r="I1656">
        <v>120</v>
      </c>
      <c r="J1656">
        <v>0</v>
      </c>
      <c r="K1656" s="1">
        <v>7715553</v>
      </c>
    </row>
    <row r="1657" spans="1:11" x14ac:dyDescent="0.25">
      <c r="A1657" t="s">
        <v>9</v>
      </c>
      <c r="B1657" t="s">
        <v>74</v>
      </c>
      <c r="C1657" t="s">
        <v>867</v>
      </c>
      <c r="D1657" t="s">
        <v>11</v>
      </c>
      <c r="E1657">
        <v>25</v>
      </c>
      <c r="F1657" s="2">
        <f>DATE(2026,IF(Tabla1[[#This Row],[Mes de Fecha]]="Septiembre",9,10),Tabla1[[#This Row],[Día de Fecha]])</f>
        <v>46290</v>
      </c>
      <c r="G1657">
        <v>1144086068</v>
      </c>
      <c r="H1657" t="s">
        <v>77</v>
      </c>
      <c r="I1657">
        <v>30</v>
      </c>
      <c r="J1657">
        <v>0</v>
      </c>
      <c r="K1657" s="1">
        <v>1654203</v>
      </c>
    </row>
    <row r="1658" spans="1:11" x14ac:dyDescent="0.25">
      <c r="A1658" t="s">
        <v>9</v>
      </c>
      <c r="B1658" t="s">
        <v>74</v>
      </c>
      <c r="C1658" t="s">
        <v>867</v>
      </c>
      <c r="D1658" t="s">
        <v>11</v>
      </c>
      <c r="E1658">
        <v>26</v>
      </c>
      <c r="F1658" s="2">
        <f>DATE(2026,IF(Tabla1[[#This Row],[Mes de Fecha]]="Septiembre",9,10),Tabla1[[#This Row],[Día de Fecha]])</f>
        <v>46291</v>
      </c>
      <c r="I1658">
        <v>0</v>
      </c>
      <c r="J1658" s="1">
        <v>24923625</v>
      </c>
      <c r="K1658">
        <v>0</v>
      </c>
    </row>
    <row r="1659" spans="1:11" x14ac:dyDescent="0.25">
      <c r="A1659" t="s">
        <v>9</v>
      </c>
      <c r="B1659" t="s">
        <v>74</v>
      </c>
      <c r="C1659" t="s">
        <v>867</v>
      </c>
      <c r="D1659" t="s">
        <v>11</v>
      </c>
      <c r="E1659">
        <v>26</v>
      </c>
      <c r="F1659" s="2">
        <f>DATE(2026,IF(Tabla1[[#This Row],[Mes de Fecha]]="Septiembre",9,10),Tabla1[[#This Row],[Día de Fecha]])</f>
        <v>46291</v>
      </c>
      <c r="G1659">
        <v>1007882360</v>
      </c>
      <c r="H1659" t="s">
        <v>78</v>
      </c>
      <c r="I1659">
        <v>66</v>
      </c>
      <c r="J1659">
        <v>0</v>
      </c>
      <c r="K1659" s="1">
        <v>3301601</v>
      </c>
    </row>
    <row r="1660" spans="1:11" x14ac:dyDescent="0.25">
      <c r="A1660" t="s">
        <v>9</v>
      </c>
      <c r="B1660" t="s">
        <v>74</v>
      </c>
      <c r="C1660" t="s">
        <v>867</v>
      </c>
      <c r="D1660" t="s">
        <v>11</v>
      </c>
      <c r="E1660">
        <v>26</v>
      </c>
      <c r="F1660" s="2">
        <f>DATE(2026,IF(Tabla1[[#This Row],[Mes de Fecha]]="Septiembre",9,10),Tabla1[[#This Row],[Día de Fecha]])</f>
        <v>46291</v>
      </c>
      <c r="G1660">
        <v>1111756000</v>
      </c>
      <c r="H1660" t="s">
        <v>75</v>
      </c>
      <c r="I1660">
        <v>181</v>
      </c>
      <c r="J1660">
        <v>0</v>
      </c>
      <c r="K1660" s="1">
        <v>10601100</v>
      </c>
    </row>
    <row r="1661" spans="1:11" x14ac:dyDescent="0.25">
      <c r="A1661" t="s">
        <v>9</v>
      </c>
      <c r="B1661" t="s">
        <v>74</v>
      </c>
      <c r="C1661" t="s">
        <v>867</v>
      </c>
      <c r="D1661" t="s">
        <v>11</v>
      </c>
      <c r="E1661">
        <v>26</v>
      </c>
      <c r="F1661" s="2">
        <f>DATE(2026,IF(Tabla1[[#This Row],[Mes de Fecha]]="Septiembre",9,10),Tabla1[[#This Row],[Día de Fecha]])</f>
        <v>46291</v>
      </c>
      <c r="G1661">
        <v>1111796592</v>
      </c>
      <c r="H1661" t="s">
        <v>76</v>
      </c>
      <c r="I1661">
        <v>97</v>
      </c>
      <c r="J1661">
        <v>0</v>
      </c>
      <c r="K1661" s="1">
        <v>5999962</v>
      </c>
    </row>
    <row r="1662" spans="1:11" x14ac:dyDescent="0.25">
      <c r="A1662" t="s">
        <v>9</v>
      </c>
      <c r="B1662" t="s">
        <v>74</v>
      </c>
      <c r="C1662" t="s">
        <v>867</v>
      </c>
      <c r="D1662" t="s">
        <v>11</v>
      </c>
      <c r="E1662">
        <v>26</v>
      </c>
      <c r="F1662" s="2">
        <f>DATE(2026,IF(Tabla1[[#This Row],[Mes de Fecha]]="Septiembre",9,10),Tabla1[[#This Row],[Día de Fecha]])</f>
        <v>46291</v>
      </c>
      <c r="G1662">
        <v>1111819991</v>
      </c>
      <c r="H1662" t="s">
        <v>79</v>
      </c>
      <c r="I1662">
        <v>45</v>
      </c>
      <c r="J1662">
        <v>0</v>
      </c>
      <c r="K1662" s="1">
        <v>2569330</v>
      </c>
    </row>
    <row r="1663" spans="1:11" x14ac:dyDescent="0.25">
      <c r="A1663" t="s">
        <v>9</v>
      </c>
      <c r="B1663" t="s">
        <v>74</v>
      </c>
      <c r="C1663" t="s">
        <v>867</v>
      </c>
      <c r="D1663" t="s">
        <v>11</v>
      </c>
      <c r="E1663">
        <v>26</v>
      </c>
      <c r="F1663" s="2">
        <f>DATE(2026,IF(Tabla1[[#This Row],[Mes de Fecha]]="Septiembre",9,10),Tabla1[[#This Row],[Día de Fecha]])</f>
        <v>46291</v>
      </c>
      <c r="G1663">
        <v>1144086068</v>
      </c>
      <c r="H1663" t="s">
        <v>77</v>
      </c>
      <c r="I1663">
        <v>15</v>
      </c>
      <c r="J1663">
        <v>0</v>
      </c>
      <c r="K1663" s="1">
        <v>759665</v>
      </c>
    </row>
    <row r="1664" spans="1:11" x14ac:dyDescent="0.25">
      <c r="A1664" t="s">
        <v>9</v>
      </c>
      <c r="B1664" t="s">
        <v>74</v>
      </c>
      <c r="C1664" t="s">
        <v>867</v>
      </c>
      <c r="D1664" t="s">
        <v>11</v>
      </c>
      <c r="E1664">
        <v>27</v>
      </c>
      <c r="F1664" s="2">
        <f>DATE(2026,IF(Tabla1[[#This Row],[Mes de Fecha]]="Septiembre",9,10),Tabla1[[#This Row],[Día de Fecha]])</f>
        <v>46292</v>
      </c>
      <c r="I1664">
        <v>0</v>
      </c>
      <c r="J1664" s="1">
        <v>13159434</v>
      </c>
      <c r="K1664">
        <v>0</v>
      </c>
    </row>
    <row r="1665" spans="1:11" x14ac:dyDescent="0.25">
      <c r="A1665" t="s">
        <v>9</v>
      </c>
      <c r="B1665" t="s">
        <v>74</v>
      </c>
      <c r="C1665" t="s">
        <v>867</v>
      </c>
      <c r="D1665" t="s">
        <v>11</v>
      </c>
      <c r="E1665">
        <v>27</v>
      </c>
      <c r="F1665" s="2">
        <f>DATE(2026,IF(Tabla1[[#This Row],[Mes de Fecha]]="Septiembre",9,10),Tabla1[[#This Row],[Día de Fecha]])</f>
        <v>46292</v>
      </c>
      <c r="G1665">
        <v>1007882360</v>
      </c>
      <c r="H1665" t="s">
        <v>78</v>
      </c>
      <c r="I1665">
        <v>9</v>
      </c>
      <c r="J1665">
        <v>0</v>
      </c>
      <c r="K1665" s="1">
        <v>497480</v>
      </c>
    </row>
    <row r="1666" spans="1:11" x14ac:dyDescent="0.25">
      <c r="A1666" t="s">
        <v>9</v>
      </c>
      <c r="B1666" t="s">
        <v>74</v>
      </c>
      <c r="C1666" t="s">
        <v>867</v>
      </c>
      <c r="D1666" t="s">
        <v>11</v>
      </c>
      <c r="E1666">
        <v>27</v>
      </c>
      <c r="F1666" s="2">
        <f>DATE(2026,IF(Tabla1[[#This Row],[Mes de Fecha]]="Septiembre",9,10),Tabla1[[#This Row],[Día de Fecha]])</f>
        <v>46292</v>
      </c>
      <c r="G1666">
        <v>1111756000</v>
      </c>
      <c r="H1666" t="s">
        <v>75</v>
      </c>
      <c r="I1666">
        <v>53</v>
      </c>
      <c r="J1666">
        <v>0</v>
      </c>
      <c r="K1666" s="1">
        <v>3152990</v>
      </c>
    </row>
    <row r="1667" spans="1:11" x14ac:dyDescent="0.25">
      <c r="A1667" t="s">
        <v>9</v>
      </c>
      <c r="B1667" t="s">
        <v>74</v>
      </c>
      <c r="C1667" t="s">
        <v>867</v>
      </c>
      <c r="D1667" t="s">
        <v>11</v>
      </c>
      <c r="E1667">
        <v>27</v>
      </c>
      <c r="F1667" s="2">
        <f>DATE(2026,IF(Tabla1[[#This Row],[Mes de Fecha]]="Septiembre",9,10),Tabla1[[#This Row],[Día de Fecha]])</f>
        <v>46292</v>
      </c>
      <c r="G1667">
        <v>1111796592</v>
      </c>
      <c r="H1667" t="s">
        <v>76</v>
      </c>
      <c r="I1667">
        <v>107</v>
      </c>
      <c r="J1667">
        <v>0</v>
      </c>
      <c r="K1667" s="1">
        <v>6083409</v>
      </c>
    </row>
    <row r="1668" spans="1:11" x14ac:dyDescent="0.25">
      <c r="A1668" t="s">
        <v>9</v>
      </c>
      <c r="B1668" t="s">
        <v>74</v>
      </c>
      <c r="C1668" t="s">
        <v>867</v>
      </c>
      <c r="D1668" t="s">
        <v>11</v>
      </c>
      <c r="E1668">
        <v>27</v>
      </c>
      <c r="F1668" s="2">
        <f>DATE(2026,IF(Tabla1[[#This Row],[Mes de Fecha]]="Septiembre",9,10),Tabla1[[#This Row],[Día de Fecha]])</f>
        <v>46292</v>
      </c>
      <c r="G1668">
        <v>1111819991</v>
      </c>
      <c r="H1668" t="s">
        <v>79</v>
      </c>
      <c r="I1668">
        <v>29</v>
      </c>
      <c r="J1668">
        <v>0</v>
      </c>
      <c r="K1668" s="1">
        <v>1765505</v>
      </c>
    </row>
    <row r="1669" spans="1:11" x14ac:dyDescent="0.25">
      <c r="A1669" t="s">
        <v>9</v>
      </c>
      <c r="B1669" t="s">
        <v>74</v>
      </c>
      <c r="C1669" t="s">
        <v>867</v>
      </c>
      <c r="D1669" t="s">
        <v>11</v>
      </c>
      <c r="E1669">
        <v>28</v>
      </c>
      <c r="F1669" s="2">
        <f>DATE(2026,IF(Tabla1[[#This Row],[Mes de Fecha]]="Septiembre",9,10),Tabla1[[#This Row],[Día de Fecha]])</f>
        <v>46293</v>
      </c>
      <c r="I1669">
        <v>0</v>
      </c>
      <c r="J1669" s="1">
        <v>10789305</v>
      </c>
      <c r="K1669">
        <v>0</v>
      </c>
    </row>
    <row r="1670" spans="1:11" x14ac:dyDescent="0.25">
      <c r="A1670" t="s">
        <v>9</v>
      </c>
      <c r="B1670" t="s">
        <v>74</v>
      </c>
      <c r="C1670" t="s">
        <v>867</v>
      </c>
      <c r="D1670" t="s">
        <v>11</v>
      </c>
      <c r="E1670">
        <v>28</v>
      </c>
      <c r="F1670" s="2">
        <f>DATE(2026,IF(Tabla1[[#This Row],[Mes de Fecha]]="Septiembre",9,10),Tabla1[[#This Row],[Día de Fecha]])</f>
        <v>46293</v>
      </c>
      <c r="G1670">
        <v>1007882360</v>
      </c>
      <c r="H1670" t="s">
        <v>78</v>
      </c>
      <c r="I1670">
        <v>28</v>
      </c>
      <c r="J1670">
        <v>0</v>
      </c>
      <c r="K1670" s="1">
        <v>1311681</v>
      </c>
    </row>
    <row r="1671" spans="1:11" x14ac:dyDescent="0.25">
      <c r="A1671" t="s">
        <v>9</v>
      </c>
      <c r="B1671" t="s">
        <v>74</v>
      </c>
      <c r="C1671" t="s">
        <v>867</v>
      </c>
      <c r="D1671" t="s">
        <v>11</v>
      </c>
      <c r="E1671">
        <v>28</v>
      </c>
      <c r="F1671" s="2">
        <f>DATE(2026,IF(Tabla1[[#This Row],[Mes de Fecha]]="Septiembre",9,10),Tabla1[[#This Row],[Día de Fecha]])</f>
        <v>46293</v>
      </c>
      <c r="G1671">
        <v>1111756000</v>
      </c>
      <c r="H1671" t="s">
        <v>75</v>
      </c>
      <c r="I1671">
        <v>58</v>
      </c>
      <c r="J1671">
        <v>0</v>
      </c>
      <c r="K1671" s="1">
        <v>3374415</v>
      </c>
    </row>
    <row r="1672" spans="1:11" x14ac:dyDescent="0.25">
      <c r="A1672" t="s">
        <v>9</v>
      </c>
      <c r="B1672" t="s">
        <v>74</v>
      </c>
      <c r="C1672" t="s">
        <v>867</v>
      </c>
      <c r="D1672" t="s">
        <v>11</v>
      </c>
      <c r="E1672">
        <v>28</v>
      </c>
      <c r="F1672" s="2">
        <f>DATE(2026,IF(Tabla1[[#This Row],[Mes de Fecha]]="Septiembre",9,10),Tabla1[[#This Row],[Día de Fecha]])</f>
        <v>46293</v>
      </c>
      <c r="G1672">
        <v>1111796592</v>
      </c>
      <c r="H1672" t="s">
        <v>76</v>
      </c>
      <c r="I1672">
        <v>49</v>
      </c>
      <c r="J1672">
        <v>0</v>
      </c>
      <c r="K1672" s="1">
        <v>3073320</v>
      </c>
    </row>
    <row r="1673" spans="1:11" x14ac:dyDescent="0.25">
      <c r="A1673" t="s">
        <v>9</v>
      </c>
      <c r="B1673" t="s">
        <v>74</v>
      </c>
      <c r="C1673" t="s">
        <v>867</v>
      </c>
      <c r="D1673" t="s">
        <v>11</v>
      </c>
      <c r="E1673">
        <v>28</v>
      </c>
      <c r="F1673" s="2">
        <f>DATE(2026,IF(Tabla1[[#This Row],[Mes de Fecha]]="Septiembre",9,10),Tabla1[[#This Row],[Día de Fecha]])</f>
        <v>46293</v>
      </c>
      <c r="G1673">
        <v>1111819991</v>
      </c>
      <c r="H1673" t="s">
        <v>79</v>
      </c>
      <c r="I1673">
        <v>16</v>
      </c>
      <c r="J1673">
        <v>0</v>
      </c>
      <c r="K1673" s="1">
        <v>911052</v>
      </c>
    </row>
    <row r="1674" spans="1:11" x14ac:dyDescent="0.25">
      <c r="A1674" t="s">
        <v>9</v>
      </c>
      <c r="B1674" t="s">
        <v>74</v>
      </c>
      <c r="C1674" t="s">
        <v>867</v>
      </c>
      <c r="D1674" t="s">
        <v>11</v>
      </c>
      <c r="E1674">
        <v>28</v>
      </c>
      <c r="F1674" s="2">
        <f>DATE(2026,IF(Tabla1[[#This Row],[Mes de Fecha]]="Septiembre",9,10),Tabla1[[#This Row],[Día de Fecha]])</f>
        <v>46293</v>
      </c>
      <c r="G1674">
        <v>1144086068</v>
      </c>
      <c r="H1674" t="s">
        <v>77</v>
      </c>
      <c r="I1674">
        <v>2</v>
      </c>
      <c r="J1674">
        <v>0</v>
      </c>
      <c r="K1674" s="1">
        <v>88110</v>
      </c>
    </row>
    <row r="1675" spans="1:11" x14ac:dyDescent="0.25">
      <c r="A1675" t="s">
        <v>9</v>
      </c>
      <c r="B1675" t="s">
        <v>74</v>
      </c>
      <c r="C1675" t="s">
        <v>867</v>
      </c>
      <c r="D1675" t="s">
        <v>11</v>
      </c>
      <c r="E1675">
        <v>29</v>
      </c>
      <c r="F1675" s="2">
        <f>DATE(2026,IF(Tabla1[[#This Row],[Mes de Fecha]]="Septiembre",9,10),Tabla1[[#This Row],[Día de Fecha]])</f>
        <v>46294</v>
      </c>
      <c r="I1675">
        <v>0</v>
      </c>
      <c r="J1675" s="1">
        <v>11994517</v>
      </c>
      <c r="K1675">
        <v>0</v>
      </c>
    </row>
    <row r="1676" spans="1:11" x14ac:dyDescent="0.25">
      <c r="A1676" t="s">
        <v>9</v>
      </c>
      <c r="B1676" t="s">
        <v>74</v>
      </c>
      <c r="C1676" t="s">
        <v>867</v>
      </c>
      <c r="D1676" t="s">
        <v>11</v>
      </c>
      <c r="E1676">
        <v>29</v>
      </c>
      <c r="F1676" s="2">
        <f>DATE(2026,IF(Tabla1[[#This Row],[Mes de Fecha]]="Septiembre",9,10),Tabla1[[#This Row],[Día de Fecha]])</f>
        <v>46294</v>
      </c>
      <c r="G1676">
        <v>1007882360</v>
      </c>
      <c r="H1676" t="s">
        <v>78</v>
      </c>
      <c r="I1676">
        <v>21</v>
      </c>
      <c r="J1676">
        <v>0</v>
      </c>
      <c r="K1676" s="1">
        <v>1022414</v>
      </c>
    </row>
    <row r="1677" spans="1:11" x14ac:dyDescent="0.25">
      <c r="A1677" t="s">
        <v>9</v>
      </c>
      <c r="B1677" t="s">
        <v>74</v>
      </c>
      <c r="C1677" t="s">
        <v>867</v>
      </c>
      <c r="D1677" t="s">
        <v>11</v>
      </c>
      <c r="E1677">
        <v>29</v>
      </c>
      <c r="F1677" s="2">
        <f>DATE(2026,IF(Tabla1[[#This Row],[Mes de Fecha]]="Septiembre",9,10),Tabla1[[#This Row],[Día de Fecha]])</f>
        <v>46294</v>
      </c>
      <c r="G1677">
        <v>1111756000</v>
      </c>
      <c r="H1677" t="s">
        <v>75</v>
      </c>
      <c r="I1677">
        <v>48</v>
      </c>
      <c r="J1677">
        <v>0</v>
      </c>
      <c r="K1677" s="1">
        <v>2428153</v>
      </c>
    </row>
    <row r="1678" spans="1:11" x14ac:dyDescent="0.25">
      <c r="A1678" t="s">
        <v>9</v>
      </c>
      <c r="B1678" t="s">
        <v>74</v>
      </c>
      <c r="C1678" t="s">
        <v>867</v>
      </c>
      <c r="D1678" t="s">
        <v>11</v>
      </c>
      <c r="E1678">
        <v>29</v>
      </c>
      <c r="F1678" s="2">
        <f>DATE(2026,IF(Tabla1[[#This Row],[Mes de Fecha]]="Septiembre",9,10),Tabla1[[#This Row],[Día de Fecha]])</f>
        <v>46294</v>
      </c>
      <c r="G1678">
        <v>1111796592</v>
      </c>
      <c r="H1678" t="s">
        <v>76</v>
      </c>
      <c r="I1678">
        <v>56</v>
      </c>
      <c r="J1678">
        <v>0</v>
      </c>
      <c r="K1678" s="1">
        <v>3403029</v>
      </c>
    </row>
    <row r="1679" spans="1:11" x14ac:dyDescent="0.25">
      <c r="A1679" t="s">
        <v>9</v>
      </c>
      <c r="B1679" t="s">
        <v>74</v>
      </c>
      <c r="C1679" t="s">
        <v>867</v>
      </c>
      <c r="D1679" t="s">
        <v>11</v>
      </c>
      <c r="E1679">
        <v>29</v>
      </c>
      <c r="F1679" s="2">
        <f>DATE(2026,IF(Tabla1[[#This Row],[Mes de Fecha]]="Septiembre",9,10),Tabla1[[#This Row],[Día de Fecha]])</f>
        <v>46294</v>
      </c>
      <c r="G1679">
        <v>1111819991</v>
      </c>
      <c r="H1679" t="s">
        <v>79</v>
      </c>
      <c r="I1679">
        <v>24</v>
      </c>
      <c r="J1679">
        <v>0</v>
      </c>
      <c r="K1679" s="1">
        <v>1654455</v>
      </c>
    </row>
    <row r="1680" spans="1:11" x14ac:dyDescent="0.25">
      <c r="A1680" t="s">
        <v>9</v>
      </c>
      <c r="B1680" t="s">
        <v>74</v>
      </c>
      <c r="C1680" t="s">
        <v>867</v>
      </c>
      <c r="D1680" t="s">
        <v>11</v>
      </c>
      <c r="E1680">
        <v>29</v>
      </c>
      <c r="F1680" s="2">
        <f>DATE(2026,IF(Tabla1[[#This Row],[Mes de Fecha]]="Septiembre",9,10),Tabla1[[#This Row],[Día de Fecha]])</f>
        <v>46294</v>
      </c>
      <c r="G1680">
        <v>1144086068</v>
      </c>
      <c r="H1680" t="s">
        <v>77</v>
      </c>
      <c r="I1680">
        <v>20</v>
      </c>
      <c r="J1680">
        <v>0</v>
      </c>
      <c r="K1680" s="1">
        <v>1200547</v>
      </c>
    </row>
    <row r="1681" spans="1:11" x14ac:dyDescent="0.25">
      <c r="A1681" t="s">
        <v>9</v>
      </c>
      <c r="B1681" t="s">
        <v>74</v>
      </c>
      <c r="C1681" t="s">
        <v>867</v>
      </c>
      <c r="D1681" t="s">
        <v>11</v>
      </c>
      <c r="E1681">
        <v>30</v>
      </c>
      <c r="F1681" s="2">
        <f>DATE(2026,IF(Tabla1[[#This Row],[Mes de Fecha]]="Septiembre",9,10),Tabla1[[#This Row],[Día de Fecha]])</f>
        <v>46295</v>
      </c>
      <c r="I1681">
        <v>0</v>
      </c>
      <c r="J1681" s="1">
        <v>12702575</v>
      </c>
      <c r="K1681">
        <v>0</v>
      </c>
    </row>
    <row r="1682" spans="1:11" x14ac:dyDescent="0.25">
      <c r="A1682" t="s">
        <v>9</v>
      </c>
      <c r="B1682" t="s">
        <v>74</v>
      </c>
      <c r="C1682" t="s">
        <v>867</v>
      </c>
      <c r="D1682" t="s">
        <v>11</v>
      </c>
      <c r="E1682">
        <v>30</v>
      </c>
      <c r="F1682" s="2">
        <f>DATE(2026,IF(Tabla1[[#This Row],[Mes de Fecha]]="Septiembre",9,10),Tabla1[[#This Row],[Día de Fecha]])</f>
        <v>46295</v>
      </c>
      <c r="G1682">
        <v>1007882360</v>
      </c>
      <c r="H1682" t="s">
        <v>78</v>
      </c>
      <c r="I1682">
        <v>26</v>
      </c>
      <c r="J1682">
        <v>0</v>
      </c>
      <c r="K1682" s="1">
        <v>1612143</v>
      </c>
    </row>
    <row r="1683" spans="1:11" x14ac:dyDescent="0.25">
      <c r="A1683" t="s">
        <v>9</v>
      </c>
      <c r="B1683" t="s">
        <v>74</v>
      </c>
      <c r="C1683" t="s">
        <v>867</v>
      </c>
      <c r="D1683" t="s">
        <v>11</v>
      </c>
      <c r="E1683">
        <v>30</v>
      </c>
      <c r="F1683" s="2">
        <f>DATE(2026,IF(Tabla1[[#This Row],[Mes de Fecha]]="Septiembre",9,10),Tabla1[[#This Row],[Día de Fecha]])</f>
        <v>46295</v>
      </c>
      <c r="G1683">
        <v>1111756000</v>
      </c>
      <c r="H1683" t="s">
        <v>75</v>
      </c>
      <c r="I1683">
        <v>89</v>
      </c>
      <c r="J1683">
        <v>0</v>
      </c>
      <c r="K1683" s="1">
        <v>5214753</v>
      </c>
    </row>
    <row r="1684" spans="1:11" x14ac:dyDescent="0.25">
      <c r="A1684" t="s">
        <v>9</v>
      </c>
      <c r="B1684" t="s">
        <v>74</v>
      </c>
      <c r="C1684" t="s">
        <v>867</v>
      </c>
      <c r="D1684" t="s">
        <v>11</v>
      </c>
      <c r="E1684">
        <v>30</v>
      </c>
      <c r="F1684" s="2">
        <f>DATE(2026,IF(Tabla1[[#This Row],[Mes de Fecha]]="Septiembre",9,10),Tabla1[[#This Row],[Día de Fecha]])</f>
        <v>46295</v>
      </c>
      <c r="G1684">
        <v>1111796592</v>
      </c>
      <c r="H1684" t="s">
        <v>76</v>
      </c>
      <c r="I1684">
        <v>160</v>
      </c>
      <c r="J1684">
        <v>0</v>
      </c>
      <c r="K1684" s="1">
        <v>9746814</v>
      </c>
    </row>
    <row r="1685" spans="1:11" x14ac:dyDescent="0.25">
      <c r="A1685" t="s">
        <v>9</v>
      </c>
      <c r="B1685" t="s">
        <v>74</v>
      </c>
      <c r="C1685" t="s">
        <v>867</v>
      </c>
      <c r="D1685" t="s">
        <v>11</v>
      </c>
      <c r="E1685">
        <v>30</v>
      </c>
      <c r="F1685" s="2">
        <f>DATE(2026,IF(Tabla1[[#This Row],[Mes de Fecha]]="Septiembre",9,10),Tabla1[[#This Row],[Día de Fecha]])</f>
        <v>46295</v>
      </c>
      <c r="G1685">
        <v>1111819991</v>
      </c>
      <c r="H1685" t="s">
        <v>79</v>
      </c>
      <c r="I1685">
        <v>75</v>
      </c>
      <c r="J1685">
        <v>0</v>
      </c>
      <c r="K1685" s="1">
        <v>3897819</v>
      </c>
    </row>
    <row r="1686" spans="1:11" x14ac:dyDescent="0.25">
      <c r="A1686" t="s">
        <v>9</v>
      </c>
      <c r="B1686" t="s">
        <v>74</v>
      </c>
      <c r="C1686" t="s">
        <v>867</v>
      </c>
      <c r="D1686" t="s">
        <v>11</v>
      </c>
      <c r="E1686">
        <v>30</v>
      </c>
      <c r="F1686" s="2">
        <f>DATE(2026,IF(Tabla1[[#This Row],[Mes de Fecha]]="Septiembre",9,10),Tabla1[[#This Row],[Día de Fecha]])</f>
        <v>46295</v>
      </c>
      <c r="G1686">
        <v>1144086068</v>
      </c>
      <c r="H1686" t="s">
        <v>77</v>
      </c>
      <c r="I1686">
        <v>17</v>
      </c>
      <c r="J1686">
        <v>0</v>
      </c>
      <c r="K1686" s="1">
        <v>826976</v>
      </c>
    </row>
    <row r="1687" spans="1:11" x14ac:dyDescent="0.25">
      <c r="A1687" t="s">
        <v>9</v>
      </c>
      <c r="B1687" t="s">
        <v>74</v>
      </c>
      <c r="C1687" t="s">
        <v>867</v>
      </c>
      <c r="D1687" t="s">
        <v>14</v>
      </c>
      <c r="E1687">
        <v>1</v>
      </c>
      <c r="F1687" s="2">
        <f>DATE(2026,IF(Tabla1[[#This Row],[Mes de Fecha]]="Septiembre",9,10),Tabla1[[#This Row],[Día de Fecha]])</f>
        <v>46296</v>
      </c>
      <c r="I1687">
        <v>0</v>
      </c>
      <c r="J1687" s="1">
        <v>17138566</v>
      </c>
      <c r="K1687">
        <v>0</v>
      </c>
    </row>
    <row r="1688" spans="1:11" x14ac:dyDescent="0.25">
      <c r="A1688" t="s">
        <v>9</v>
      </c>
      <c r="B1688" t="s">
        <v>74</v>
      </c>
      <c r="C1688" t="s">
        <v>867</v>
      </c>
      <c r="D1688" t="s">
        <v>14</v>
      </c>
      <c r="E1688">
        <v>1</v>
      </c>
      <c r="F1688" s="2">
        <f>DATE(2026,IF(Tabla1[[#This Row],[Mes de Fecha]]="Septiembre",9,10),Tabla1[[#This Row],[Día de Fecha]])</f>
        <v>46296</v>
      </c>
      <c r="G1688">
        <v>1007882360</v>
      </c>
      <c r="H1688" t="s">
        <v>78</v>
      </c>
      <c r="I1688">
        <v>56</v>
      </c>
      <c r="J1688">
        <v>0</v>
      </c>
      <c r="K1688" s="1">
        <v>3350506</v>
      </c>
    </row>
    <row r="1689" spans="1:11" x14ac:dyDescent="0.25">
      <c r="A1689" t="s">
        <v>9</v>
      </c>
      <c r="B1689" t="s">
        <v>74</v>
      </c>
      <c r="C1689" t="s">
        <v>867</v>
      </c>
      <c r="D1689" t="s">
        <v>14</v>
      </c>
      <c r="E1689">
        <v>1</v>
      </c>
      <c r="F1689" s="2">
        <f>DATE(2026,IF(Tabla1[[#This Row],[Mes de Fecha]]="Septiembre",9,10),Tabla1[[#This Row],[Día de Fecha]])</f>
        <v>46296</v>
      </c>
      <c r="G1689">
        <v>1111756000</v>
      </c>
      <c r="H1689" t="s">
        <v>75</v>
      </c>
      <c r="I1689">
        <v>42</v>
      </c>
      <c r="J1689">
        <v>0</v>
      </c>
      <c r="K1689" s="1">
        <v>2689330</v>
      </c>
    </row>
    <row r="1690" spans="1:11" x14ac:dyDescent="0.25">
      <c r="A1690" t="s">
        <v>9</v>
      </c>
      <c r="B1690" t="s">
        <v>74</v>
      </c>
      <c r="C1690" t="s">
        <v>867</v>
      </c>
      <c r="D1690" t="s">
        <v>14</v>
      </c>
      <c r="E1690">
        <v>1</v>
      </c>
      <c r="F1690" s="2">
        <f>DATE(2026,IF(Tabla1[[#This Row],[Mes de Fecha]]="Septiembre",9,10),Tabla1[[#This Row],[Día de Fecha]])</f>
        <v>46296</v>
      </c>
      <c r="G1690">
        <v>1111796592</v>
      </c>
      <c r="H1690" t="s">
        <v>76</v>
      </c>
      <c r="I1690">
        <v>95</v>
      </c>
      <c r="J1690">
        <v>0</v>
      </c>
      <c r="K1690" s="1">
        <v>5409456</v>
      </c>
    </row>
    <row r="1691" spans="1:11" x14ac:dyDescent="0.25">
      <c r="A1691" t="s">
        <v>9</v>
      </c>
      <c r="B1691" t="s">
        <v>74</v>
      </c>
      <c r="C1691" t="s">
        <v>867</v>
      </c>
      <c r="D1691" t="s">
        <v>14</v>
      </c>
      <c r="E1691">
        <v>1</v>
      </c>
      <c r="F1691" s="2">
        <f>DATE(2026,IF(Tabla1[[#This Row],[Mes de Fecha]]="Septiembre",9,10),Tabla1[[#This Row],[Día de Fecha]])</f>
        <v>46296</v>
      </c>
      <c r="G1691">
        <v>1111819991</v>
      </c>
      <c r="H1691" t="s">
        <v>79</v>
      </c>
      <c r="I1691">
        <v>55</v>
      </c>
      <c r="J1691">
        <v>0</v>
      </c>
      <c r="K1691" s="1">
        <v>3468071</v>
      </c>
    </row>
    <row r="1692" spans="1:11" x14ac:dyDescent="0.25">
      <c r="A1692" t="s">
        <v>9</v>
      </c>
      <c r="B1692" t="s">
        <v>74</v>
      </c>
      <c r="C1692" t="s">
        <v>867</v>
      </c>
      <c r="D1692" t="s">
        <v>14</v>
      </c>
      <c r="E1692">
        <v>1</v>
      </c>
      <c r="F1692" s="2">
        <f>DATE(2026,IF(Tabla1[[#This Row],[Mes de Fecha]]="Septiembre",9,10),Tabla1[[#This Row],[Día de Fecha]])</f>
        <v>46296</v>
      </c>
      <c r="G1692">
        <v>1144086068</v>
      </c>
      <c r="H1692" t="s">
        <v>77</v>
      </c>
      <c r="I1692">
        <v>4</v>
      </c>
      <c r="J1692">
        <v>0</v>
      </c>
      <c r="K1692" s="1">
        <v>226723</v>
      </c>
    </row>
    <row r="1693" spans="1:11" x14ac:dyDescent="0.25">
      <c r="A1693" t="s">
        <v>9</v>
      </c>
      <c r="B1693" t="s">
        <v>74</v>
      </c>
      <c r="C1693" t="s">
        <v>867</v>
      </c>
      <c r="D1693" t="s">
        <v>14</v>
      </c>
      <c r="E1693">
        <v>2</v>
      </c>
      <c r="F1693" s="2">
        <f>DATE(2026,IF(Tabla1[[#This Row],[Mes de Fecha]]="Septiembre",9,10),Tabla1[[#This Row],[Día de Fecha]])</f>
        <v>46297</v>
      </c>
      <c r="I1693">
        <v>0</v>
      </c>
      <c r="J1693" s="1">
        <v>22675087</v>
      </c>
      <c r="K1693">
        <v>0</v>
      </c>
    </row>
    <row r="1694" spans="1:11" x14ac:dyDescent="0.25">
      <c r="A1694" t="s">
        <v>9</v>
      </c>
      <c r="B1694" t="s">
        <v>74</v>
      </c>
      <c r="C1694" t="s">
        <v>867</v>
      </c>
      <c r="D1694" t="s">
        <v>14</v>
      </c>
      <c r="E1694">
        <v>2</v>
      </c>
      <c r="F1694" s="2">
        <f>DATE(2026,IF(Tabla1[[#This Row],[Mes de Fecha]]="Septiembre",9,10),Tabla1[[#This Row],[Día de Fecha]])</f>
        <v>46297</v>
      </c>
      <c r="G1694">
        <v>1007882360</v>
      </c>
      <c r="H1694" t="s">
        <v>78</v>
      </c>
      <c r="I1694">
        <v>57</v>
      </c>
      <c r="J1694">
        <v>0</v>
      </c>
      <c r="K1694" s="1">
        <v>3379919</v>
      </c>
    </row>
    <row r="1695" spans="1:11" x14ac:dyDescent="0.25">
      <c r="A1695" t="s">
        <v>9</v>
      </c>
      <c r="B1695" t="s">
        <v>74</v>
      </c>
      <c r="C1695" t="s">
        <v>867</v>
      </c>
      <c r="D1695" t="s">
        <v>14</v>
      </c>
      <c r="E1695">
        <v>2</v>
      </c>
      <c r="F1695" s="2">
        <f>DATE(2026,IF(Tabla1[[#This Row],[Mes de Fecha]]="Septiembre",9,10),Tabla1[[#This Row],[Día de Fecha]])</f>
        <v>46297</v>
      </c>
      <c r="G1695">
        <v>1111756000</v>
      </c>
      <c r="H1695" t="s">
        <v>75</v>
      </c>
      <c r="I1695">
        <v>41</v>
      </c>
      <c r="J1695">
        <v>0</v>
      </c>
      <c r="K1695" s="1">
        <v>2359581</v>
      </c>
    </row>
    <row r="1696" spans="1:11" x14ac:dyDescent="0.25">
      <c r="A1696" t="s">
        <v>9</v>
      </c>
      <c r="B1696" t="s">
        <v>74</v>
      </c>
      <c r="C1696" t="s">
        <v>867</v>
      </c>
      <c r="D1696" t="s">
        <v>14</v>
      </c>
      <c r="E1696">
        <v>2</v>
      </c>
      <c r="F1696" s="2">
        <f>DATE(2026,IF(Tabla1[[#This Row],[Mes de Fecha]]="Septiembre",9,10),Tabla1[[#This Row],[Día de Fecha]])</f>
        <v>46297</v>
      </c>
      <c r="G1696">
        <v>1111796592</v>
      </c>
      <c r="H1696" t="s">
        <v>76</v>
      </c>
      <c r="I1696">
        <v>62</v>
      </c>
      <c r="J1696">
        <v>0</v>
      </c>
      <c r="K1696" s="1">
        <v>3463615</v>
      </c>
    </row>
    <row r="1697" spans="1:11" x14ac:dyDescent="0.25">
      <c r="A1697" t="s">
        <v>9</v>
      </c>
      <c r="B1697" t="s">
        <v>74</v>
      </c>
      <c r="C1697" t="s">
        <v>867</v>
      </c>
      <c r="D1697" t="s">
        <v>14</v>
      </c>
      <c r="E1697">
        <v>2</v>
      </c>
      <c r="F1697" s="2">
        <f>DATE(2026,IF(Tabla1[[#This Row],[Mes de Fecha]]="Septiembre",9,10),Tabla1[[#This Row],[Día de Fecha]])</f>
        <v>46297</v>
      </c>
      <c r="G1697">
        <v>1111819991</v>
      </c>
      <c r="H1697" t="s">
        <v>79</v>
      </c>
      <c r="I1697">
        <v>31</v>
      </c>
      <c r="J1697">
        <v>0</v>
      </c>
      <c r="K1697" s="1">
        <v>1925129</v>
      </c>
    </row>
    <row r="1698" spans="1:11" x14ac:dyDescent="0.25">
      <c r="A1698" t="s">
        <v>9</v>
      </c>
      <c r="B1698" t="s">
        <v>74</v>
      </c>
      <c r="C1698" t="s">
        <v>867</v>
      </c>
      <c r="D1698" t="s">
        <v>14</v>
      </c>
      <c r="E1698">
        <v>3</v>
      </c>
      <c r="F1698" s="2">
        <f>DATE(2026,IF(Tabla1[[#This Row],[Mes de Fecha]]="Septiembre",9,10),Tabla1[[#This Row],[Día de Fecha]])</f>
        <v>46298</v>
      </c>
      <c r="I1698">
        <v>0</v>
      </c>
      <c r="J1698" s="1">
        <v>25202988</v>
      </c>
      <c r="K1698">
        <v>0</v>
      </c>
    </row>
    <row r="1699" spans="1:11" x14ac:dyDescent="0.25">
      <c r="A1699" t="s">
        <v>9</v>
      </c>
      <c r="B1699" t="s">
        <v>74</v>
      </c>
      <c r="C1699" t="s">
        <v>867</v>
      </c>
      <c r="D1699" t="s">
        <v>14</v>
      </c>
      <c r="E1699">
        <v>3</v>
      </c>
      <c r="F1699" s="2">
        <f>DATE(2026,IF(Tabla1[[#This Row],[Mes de Fecha]]="Septiembre",9,10),Tabla1[[#This Row],[Día de Fecha]])</f>
        <v>46298</v>
      </c>
      <c r="G1699">
        <v>1007882360</v>
      </c>
      <c r="H1699" t="s">
        <v>78</v>
      </c>
      <c r="I1699">
        <v>66</v>
      </c>
      <c r="J1699">
        <v>0</v>
      </c>
      <c r="K1699" s="1">
        <v>3295490</v>
      </c>
    </row>
    <row r="1700" spans="1:11" x14ac:dyDescent="0.25">
      <c r="A1700" t="s">
        <v>9</v>
      </c>
      <c r="B1700" t="s">
        <v>74</v>
      </c>
      <c r="C1700" t="s">
        <v>867</v>
      </c>
      <c r="D1700" t="s">
        <v>14</v>
      </c>
      <c r="E1700">
        <v>3</v>
      </c>
      <c r="F1700" s="2">
        <f>DATE(2026,IF(Tabla1[[#This Row],[Mes de Fecha]]="Septiembre",9,10),Tabla1[[#This Row],[Día de Fecha]])</f>
        <v>46298</v>
      </c>
      <c r="G1700">
        <v>1111756000</v>
      </c>
      <c r="H1700" t="s">
        <v>75</v>
      </c>
      <c r="I1700">
        <v>169</v>
      </c>
      <c r="J1700">
        <v>0</v>
      </c>
      <c r="K1700" s="1">
        <v>8706066</v>
      </c>
    </row>
    <row r="1701" spans="1:11" x14ac:dyDescent="0.25">
      <c r="A1701" t="s">
        <v>9</v>
      </c>
      <c r="B1701" t="s">
        <v>74</v>
      </c>
      <c r="C1701" t="s">
        <v>867</v>
      </c>
      <c r="D1701" t="s">
        <v>14</v>
      </c>
      <c r="E1701">
        <v>3</v>
      </c>
      <c r="F1701" s="2">
        <f>DATE(2026,IF(Tabla1[[#This Row],[Mes de Fecha]]="Septiembre",9,10),Tabla1[[#This Row],[Día de Fecha]])</f>
        <v>46298</v>
      </c>
      <c r="G1701">
        <v>1111796592</v>
      </c>
      <c r="H1701" t="s">
        <v>76</v>
      </c>
      <c r="I1701">
        <v>180</v>
      </c>
      <c r="J1701">
        <v>0</v>
      </c>
      <c r="K1701" s="1">
        <v>9625646</v>
      </c>
    </row>
    <row r="1702" spans="1:11" x14ac:dyDescent="0.25">
      <c r="A1702" t="s">
        <v>9</v>
      </c>
      <c r="B1702" t="s">
        <v>74</v>
      </c>
      <c r="C1702" t="s">
        <v>867</v>
      </c>
      <c r="D1702" t="s">
        <v>14</v>
      </c>
      <c r="E1702">
        <v>3</v>
      </c>
      <c r="F1702" s="2">
        <f>DATE(2026,IF(Tabla1[[#This Row],[Mes de Fecha]]="Septiembre",9,10),Tabla1[[#This Row],[Día de Fecha]])</f>
        <v>46298</v>
      </c>
      <c r="G1702">
        <v>1111819991</v>
      </c>
      <c r="H1702" t="s">
        <v>79</v>
      </c>
      <c r="I1702">
        <v>63</v>
      </c>
      <c r="J1702">
        <v>0</v>
      </c>
      <c r="K1702" s="1">
        <v>3260491</v>
      </c>
    </row>
    <row r="1703" spans="1:11" x14ac:dyDescent="0.25">
      <c r="A1703" t="s">
        <v>9</v>
      </c>
      <c r="B1703" t="s">
        <v>74</v>
      </c>
      <c r="C1703" t="s">
        <v>867</v>
      </c>
      <c r="D1703" t="s">
        <v>14</v>
      </c>
      <c r="E1703">
        <v>3</v>
      </c>
      <c r="F1703" s="2">
        <f>DATE(2026,IF(Tabla1[[#This Row],[Mes de Fecha]]="Septiembre",9,10),Tabla1[[#This Row],[Día de Fecha]])</f>
        <v>46298</v>
      </c>
      <c r="G1703">
        <v>1144086068</v>
      </c>
      <c r="H1703" t="s">
        <v>77</v>
      </c>
      <c r="I1703">
        <v>3</v>
      </c>
      <c r="J1703">
        <v>0</v>
      </c>
      <c r="K1703" s="1">
        <v>233495</v>
      </c>
    </row>
    <row r="1704" spans="1:11" x14ac:dyDescent="0.25">
      <c r="A1704" t="s">
        <v>9</v>
      </c>
      <c r="B1704" t="s">
        <v>74</v>
      </c>
      <c r="C1704" t="s">
        <v>867</v>
      </c>
      <c r="D1704" t="s">
        <v>14</v>
      </c>
      <c r="E1704">
        <v>4</v>
      </c>
      <c r="F1704" s="2">
        <f>DATE(2026,IF(Tabla1[[#This Row],[Mes de Fecha]]="Septiembre",9,10),Tabla1[[#This Row],[Día de Fecha]])</f>
        <v>46299</v>
      </c>
      <c r="I1704">
        <v>0</v>
      </c>
      <c r="J1704" s="1">
        <v>7100974</v>
      </c>
      <c r="K1704">
        <v>0</v>
      </c>
    </row>
    <row r="1705" spans="1:11" x14ac:dyDescent="0.25">
      <c r="A1705" t="s">
        <v>9</v>
      </c>
      <c r="B1705" t="s">
        <v>74</v>
      </c>
      <c r="C1705" t="s">
        <v>867</v>
      </c>
      <c r="D1705" t="s">
        <v>14</v>
      </c>
      <c r="E1705">
        <v>4</v>
      </c>
      <c r="F1705" s="2">
        <f>DATE(2026,IF(Tabla1[[#This Row],[Mes de Fecha]]="Septiembre",9,10),Tabla1[[#This Row],[Día de Fecha]])</f>
        <v>46299</v>
      </c>
      <c r="G1705">
        <v>1007882360</v>
      </c>
      <c r="H1705" t="s">
        <v>78</v>
      </c>
      <c r="I1705">
        <v>7</v>
      </c>
      <c r="J1705">
        <v>0</v>
      </c>
      <c r="K1705" s="1">
        <v>331555</v>
      </c>
    </row>
    <row r="1706" spans="1:11" x14ac:dyDescent="0.25">
      <c r="A1706" t="s">
        <v>9</v>
      </c>
      <c r="B1706" t="s">
        <v>74</v>
      </c>
      <c r="C1706" t="s">
        <v>867</v>
      </c>
      <c r="D1706" t="s">
        <v>14</v>
      </c>
      <c r="E1706">
        <v>4</v>
      </c>
      <c r="F1706" s="2">
        <f>DATE(2026,IF(Tabla1[[#This Row],[Mes de Fecha]]="Septiembre",9,10),Tabla1[[#This Row],[Día de Fecha]])</f>
        <v>46299</v>
      </c>
      <c r="G1706">
        <v>1111756000</v>
      </c>
      <c r="H1706" t="s">
        <v>75</v>
      </c>
      <c r="I1706">
        <v>79</v>
      </c>
      <c r="J1706">
        <v>0</v>
      </c>
      <c r="K1706" s="1">
        <v>4517356</v>
      </c>
    </row>
    <row r="1707" spans="1:11" x14ac:dyDescent="0.25">
      <c r="A1707" t="s">
        <v>9</v>
      </c>
      <c r="B1707" t="s">
        <v>74</v>
      </c>
      <c r="C1707" t="s">
        <v>867</v>
      </c>
      <c r="D1707" t="s">
        <v>14</v>
      </c>
      <c r="E1707">
        <v>4</v>
      </c>
      <c r="F1707" s="2">
        <f>DATE(2026,IF(Tabla1[[#This Row],[Mes de Fecha]]="Septiembre",9,10),Tabla1[[#This Row],[Día de Fecha]])</f>
        <v>46299</v>
      </c>
      <c r="G1707">
        <v>1111796592</v>
      </c>
      <c r="H1707" t="s">
        <v>76</v>
      </c>
      <c r="I1707">
        <v>75</v>
      </c>
      <c r="J1707">
        <v>0</v>
      </c>
      <c r="K1707" s="1">
        <v>4305298</v>
      </c>
    </row>
    <row r="1708" spans="1:11" x14ac:dyDescent="0.25">
      <c r="A1708" t="s">
        <v>9</v>
      </c>
      <c r="B1708" t="s">
        <v>74</v>
      </c>
      <c r="C1708" t="s">
        <v>867</v>
      </c>
      <c r="D1708" t="s">
        <v>14</v>
      </c>
      <c r="E1708">
        <v>4</v>
      </c>
      <c r="F1708" s="2">
        <f>DATE(2026,IF(Tabla1[[#This Row],[Mes de Fecha]]="Septiembre",9,10),Tabla1[[#This Row],[Día de Fecha]])</f>
        <v>46299</v>
      </c>
      <c r="G1708">
        <v>1111819991</v>
      </c>
      <c r="H1708" t="s">
        <v>79</v>
      </c>
      <c r="I1708">
        <v>41</v>
      </c>
      <c r="J1708">
        <v>0</v>
      </c>
      <c r="K1708" s="1">
        <v>2031766</v>
      </c>
    </row>
    <row r="1709" spans="1:11" x14ac:dyDescent="0.25">
      <c r="A1709" t="s">
        <v>9</v>
      </c>
      <c r="B1709" t="s">
        <v>74</v>
      </c>
      <c r="C1709" t="s">
        <v>867</v>
      </c>
      <c r="D1709" t="s">
        <v>14</v>
      </c>
      <c r="E1709">
        <v>5</v>
      </c>
      <c r="F1709" s="2">
        <f>DATE(2026,IF(Tabla1[[#This Row],[Mes de Fecha]]="Septiembre",9,10),Tabla1[[#This Row],[Día de Fecha]])</f>
        <v>46300</v>
      </c>
      <c r="I1709">
        <v>0</v>
      </c>
      <c r="J1709" s="1">
        <v>14089113</v>
      </c>
      <c r="K1709">
        <v>0</v>
      </c>
    </row>
    <row r="1710" spans="1:11" x14ac:dyDescent="0.25">
      <c r="A1710" t="s">
        <v>9</v>
      </c>
      <c r="B1710" t="s">
        <v>74</v>
      </c>
      <c r="C1710" t="s">
        <v>867</v>
      </c>
      <c r="D1710" t="s">
        <v>14</v>
      </c>
      <c r="E1710">
        <v>5</v>
      </c>
      <c r="F1710" s="2">
        <f>DATE(2026,IF(Tabla1[[#This Row],[Mes de Fecha]]="Septiembre",9,10),Tabla1[[#This Row],[Día de Fecha]])</f>
        <v>46300</v>
      </c>
      <c r="G1710">
        <v>1111756000</v>
      </c>
      <c r="H1710" t="s">
        <v>75</v>
      </c>
      <c r="I1710">
        <v>116</v>
      </c>
      <c r="J1710">
        <v>0</v>
      </c>
      <c r="K1710" s="1">
        <v>6763452</v>
      </c>
    </row>
    <row r="1711" spans="1:11" x14ac:dyDescent="0.25">
      <c r="A1711" t="s">
        <v>9</v>
      </c>
      <c r="B1711" t="s">
        <v>74</v>
      </c>
      <c r="C1711" t="s">
        <v>867</v>
      </c>
      <c r="D1711" t="s">
        <v>14</v>
      </c>
      <c r="E1711">
        <v>5</v>
      </c>
      <c r="F1711" s="2">
        <f>DATE(2026,IF(Tabla1[[#This Row],[Mes de Fecha]]="Septiembre",9,10),Tabla1[[#This Row],[Día de Fecha]])</f>
        <v>46300</v>
      </c>
      <c r="G1711">
        <v>1111796592</v>
      </c>
      <c r="H1711" t="s">
        <v>76</v>
      </c>
      <c r="I1711">
        <v>106</v>
      </c>
      <c r="J1711">
        <v>0</v>
      </c>
      <c r="K1711" s="1">
        <v>5667484</v>
      </c>
    </row>
    <row r="1712" spans="1:11" x14ac:dyDescent="0.25">
      <c r="A1712" t="s">
        <v>9</v>
      </c>
      <c r="B1712" t="s">
        <v>74</v>
      </c>
      <c r="C1712" t="s">
        <v>867</v>
      </c>
      <c r="D1712" t="s">
        <v>14</v>
      </c>
      <c r="E1712">
        <v>5</v>
      </c>
      <c r="F1712" s="2">
        <f>DATE(2026,IF(Tabla1[[#This Row],[Mes de Fecha]]="Septiembre",9,10),Tabla1[[#This Row],[Día de Fecha]])</f>
        <v>46300</v>
      </c>
      <c r="G1712">
        <v>1111819991</v>
      </c>
      <c r="H1712" t="s">
        <v>79</v>
      </c>
      <c r="I1712">
        <v>35</v>
      </c>
      <c r="J1712">
        <v>0</v>
      </c>
      <c r="K1712" s="1">
        <v>1998404</v>
      </c>
    </row>
    <row r="1713" spans="1:11" x14ac:dyDescent="0.25">
      <c r="A1713" t="s">
        <v>9</v>
      </c>
      <c r="B1713" t="s">
        <v>74</v>
      </c>
      <c r="C1713" t="s">
        <v>867</v>
      </c>
      <c r="D1713" t="s">
        <v>14</v>
      </c>
      <c r="E1713">
        <v>5</v>
      </c>
      <c r="F1713" s="2">
        <f>DATE(2026,IF(Tabla1[[#This Row],[Mes de Fecha]]="Septiembre",9,10),Tabla1[[#This Row],[Día de Fecha]])</f>
        <v>46300</v>
      </c>
      <c r="G1713">
        <v>1144086068</v>
      </c>
      <c r="H1713" t="s">
        <v>77</v>
      </c>
      <c r="I1713">
        <v>3</v>
      </c>
      <c r="J1713">
        <v>0</v>
      </c>
      <c r="K1713" s="1">
        <v>205715</v>
      </c>
    </row>
    <row r="1714" spans="1:11" x14ac:dyDescent="0.25">
      <c r="A1714" t="s">
        <v>9</v>
      </c>
      <c r="B1714" t="s">
        <v>74</v>
      </c>
      <c r="C1714" t="s">
        <v>867</v>
      </c>
      <c r="D1714" t="s">
        <v>14</v>
      </c>
      <c r="E1714">
        <v>6</v>
      </c>
      <c r="F1714" s="2">
        <f>DATE(2026,IF(Tabla1[[#This Row],[Mes de Fecha]]="Septiembre",9,10),Tabla1[[#This Row],[Día de Fecha]])</f>
        <v>46301</v>
      </c>
      <c r="I1714">
        <v>0</v>
      </c>
      <c r="J1714" s="1">
        <v>5692413</v>
      </c>
      <c r="K1714">
        <v>0</v>
      </c>
    </row>
    <row r="1715" spans="1:11" x14ac:dyDescent="0.25">
      <c r="A1715" t="s">
        <v>9</v>
      </c>
      <c r="B1715" t="s">
        <v>74</v>
      </c>
      <c r="C1715" t="s">
        <v>867</v>
      </c>
      <c r="D1715" t="s">
        <v>14</v>
      </c>
      <c r="E1715">
        <v>6</v>
      </c>
      <c r="F1715" s="2">
        <f>DATE(2026,IF(Tabla1[[#This Row],[Mes de Fecha]]="Septiembre",9,10),Tabla1[[#This Row],[Día de Fecha]])</f>
        <v>46301</v>
      </c>
      <c r="G1715">
        <v>1111796592</v>
      </c>
      <c r="H1715" t="s">
        <v>76</v>
      </c>
      <c r="I1715">
        <v>52</v>
      </c>
      <c r="J1715">
        <v>0</v>
      </c>
      <c r="K1715" s="1">
        <v>3035550</v>
      </c>
    </row>
    <row r="1716" spans="1:11" x14ac:dyDescent="0.25">
      <c r="A1716" t="s">
        <v>9</v>
      </c>
      <c r="B1716" t="s">
        <v>74</v>
      </c>
      <c r="C1716" t="s">
        <v>867</v>
      </c>
      <c r="D1716" t="s">
        <v>14</v>
      </c>
      <c r="E1716">
        <v>6</v>
      </c>
      <c r="F1716" s="2">
        <f>DATE(2026,IF(Tabla1[[#This Row],[Mes de Fecha]]="Septiembre",9,10),Tabla1[[#This Row],[Día de Fecha]])</f>
        <v>46301</v>
      </c>
      <c r="G1716">
        <v>1111819991</v>
      </c>
      <c r="H1716" t="s">
        <v>79</v>
      </c>
      <c r="I1716">
        <v>17</v>
      </c>
      <c r="J1716">
        <v>0</v>
      </c>
      <c r="K1716" s="1">
        <v>860547</v>
      </c>
    </row>
    <row r="1717" spans="1:11" x14ac:dyDescent="0.25">
      <c r="A1717" t="s">
        <v>9</v>
      </c>
      <c r="B1717" t="s">
        <v>74</v>
      </c>
      <c r="C1717" t="s">
        <v>867</v>
      </c>
      <c r="D1717" t="s">
        <v>14</v>
      </c>
      <c r="E1717">
        <v>6</v>
      </c>
      <c r="F1717" s="2">
        <f>DATE(2026,IF(Tabla1[[#This Row],[Mes de Fecha]]="Septiembre",9,10),Tabla1[[#This Row],[Día de Fecha]])</f>
        <v>46301</v>
      </c>
      <c r="G1717">
        <v>1144086068</v>
      </c>
      <c r="H1717" t="s">
        <v>77</v>
      </c>
      <c r="I1717">
        <v>9</v>
      </c>
      <c r="J1717">
        <v>0</v>
      </c>
      <c r="K1717" s="1">
        <v>428025</v>
      </c>
    </row>
    <row r="1718" spans="1:11" x14ac:dyDescent="0.25">
      <c r="A1718" t="s">
        <v>9</v>
      </c>
      <c r="B1718" t="s">
        <v>74</v>
      </c>
      <c r="C1718" t="s">
        <v>867</v>
      </c>
      <c r="D1718" t="s">
        <v>14</v>
      </c>
      <c r="E1718">
        <v>7</v>
      </c>
      <c r="F1718" s="2">
        <f>DATE(2026,IF(Tabla1[[#This Row],[Mes de Fecha]]="Septiembre",9,10),Tabla1[[#This Row],[Día de Fecha]])</f>
        <v>46302</v>
      </c>
      <c r="I1718">
        <v>0</v>
      </c>
      <c r="J1718" s="1">
        <v>8521543</v>
      </c>
      <c r="K1718">
        <v>0</v>
      </c>
    </row>
    <row r="1719" spans="1:11" x14ac:dyDescent="0.25">
      <c r="A1719" t="s">
        <v>9</v>
      </c>
      <c r="B1719" t="s">
        <v>74</v>
      </c>
      <c r="C1719" t="s">
        <v>867</v>
      </c>
      <c r="D1719" t="s">
        <v>14</v>
      </c>
      <c r="E1719">
        <v>7</v>
      </c>
      <c r="F1719" s="2">
        <f>DATE(2026,IF(Tabla1[[#This Row],[Mes de Fecha]]="Septiembre",9,10),Tabla1[[#This Row],[Día de Fecha]])</f>
        <v>46302</v>
      </c>
      <c r="G1719">
        <v>1111756000</v>
      </c>
      <c r="H1719" t="s">
        <v>75</v>
      </c>
      <c r="I1719">
        <v>62</v>
      </c>
      <c r="J1719">
        <v>0</v>
      </c>
      <c r="K1719" s="1">
        <v>3703108</v>
      </c>
    </row>
    <row r="1720" spans="1:11" x14ac:dyDescent="0.25">
      <c r="A1720" t="s">
        <v>9</v>
      </c>
      <c r="B1720" t="s">
        <v>74</v>
      </c>
      <c r="C1720" t="s">
        <v>867</v>
      </c>
      <c r="D1720" t="s">
        <v>14</v>
      </c>
      <c r="E1720">
        <v>7</v>
      </c>
      <c r="F1720" s="2">
        <f>DATE(2026,IF(Tabla1[[#This Row],[Mes de Fecha]]="Septiembre",9,10),Tabla1[[#This Row],[Día de Fecha]])</f>
        <v>46302</v>
      </c>
      <c r="G1720">
        <v>1111796592</v>
      </c>
      <c r="H1720" t="s">
        <v>76</v>
      </c>
      <c r="I1720">
        <v>66</v>
      </c>
      <c r="J1720">
        <v>0</v>
      </c>
      <c r="K1720" s="1">
        <v>3438108</v>
      </c>
    </row>
    <row r="1721" spans="1:11" x14ac:dyDescent="0.25">
      <c r="A1721" t="s">
        <v>9</v>
      </c>
      <c r="B1721" t="s">
        <v>74</v>
      </c>
      <c r="C1721" t="s">
        <v>867</v>
      </c>
      <c r="D1721" t="s">
        <v>14</v>
      </c>
      <c r="E1721">
        <v>7</v>
      </c>
      <c r="F1721" s="2">
        <f>DATE(2026,IF(Tabla1[[#This Row],[Mes de Fecha]]="Septiembre",9,10),Tabla1[[#This Row],[Día de Fecha]])</f>
        <v>46302</v>
      </c>
      <c r="G1721">
        <v>1144086068</v>
      </c>
      <c r="H1721" t="s">
        <v>77</v>
      </c>
      <c r="I1721">
        <v>1</v>
      </c>
      <c r="J1721">
        <v>0</v>
      </c>
      <c r="K1721" s="1">
        <v>37773</v>
      </c>
    </row>
    <row r="1722" spans="1:11" x14ac:dyDescent="0.25">
      <c r="A1722" t="s">
        <v>9</v>
      </c>
      <c r="B1722" t="s">
        <v>123</v>
      </c>
      <c r="C1722" t="s">
        <v>867</v>
      </c>
      <c r="D1722" t="s">
        <v>11</v>
      </c>
      <c r="E1722">
        <v>23</v>
      </c>
      <c r="F1722" s="2">
        <f>DATE(2026,IF(Tabla1[[#This Row],[Mes de Fecha]]="Septiembre",9,10),Tabla1[[#This Row],[Día de Fecha]])</f>
        <v>46288</v>
      </c>
      <c r="I1722">
        <v>0</v>
      </c>
      <c r="J1722" s="1">
        <v>4806140</v>
      </c>
      <c r="K1722">
        <v>0</v>
      </c>
    </row>
    <row r="1723" spans="1:11" x14ac:dyDescent="0.25">
      <c r="A1723" t="s">
        <v>9</v>
      </c>
      <c r="B1723" t="s">
        <v>123</v>
      </c>
      <c r="C1723" t="s">
        <v>867</v>
      </c>
      <c r="D1723" t="s">
        <v>11</v>
      </c>
      <c r="E1723">
        <v>23</v>
      </c>
      <c r="F1723" s="2">
        <f>DATE(2026,IF(Tabla1[[#This Row],[Mes de Fecha]]="Septiembre",9,10),Tabla1[[#This Row],[Día de Fecha]])</f>
        <v>46288</v>
      </c>
      <c r="G1723">
        <v>1112626038</v>
      </c>
      <c r="H1723" t="s">
        <v>125</v>
      </c>
      <c r="I1723">
        <v>43</v>
      </c>
      <c r="J1723">
        <v>0</v>
      </c>
      <c r="K1723" s="1">
        <v>2466682</v>
      </c>
    </row>
    <row r="1724" spans="1:11" x14ac:dyDescent="0.25">
      <c r="A1724" t="s">
        <v>9</v>
      </c>
      <c r="B1724" t="s">
        <v>123</v>
      </c>
      <c r="C1724" t="s">
        <v>867</v>
      </c>
      <c r="D1724" t="s">
        <v>11</v>
      </c>
      <c r="E1724">
        <v>23</v>
      </c>
      <c r="F1724" s="2">
        <f>DATE(2026,IF(Tabla1[[#This Row],[Mes de Fecha]]="Septiembre",9,10),Tabla1[[#This Row],[Día de Fecha]])</f>
        <v>46288</v>
      </c>
      <c r="G1724">
        <v>1130676658</v>
      </c>
      <c r="I1724">
        <v>80</v>
      </c>
      <c r="J1724">
        <v>0</v>
      </c>
      <c r="K1724" s="1">
        <v>4895757</v>
      </c>
    </row>
    <row r="1725" spans="1:11" x14ac:dyDescent="0.25">
      <c r="A1725" t="s">
        <v>9</v>
      </c>
      <c r="B1725" t="s">
        <v>123</v>
      </c>
      <c r="C1725" t="s">
        <v>867</v>
      </c>
      <c r="D1725" t="s">
        <v>11</v>
      </c>
      <c r="E1725">
        <v>23</v>
      </c>
      <c r="F1725" s="2">
        <f>DATE(2026,IF(Tabla1[[#This Row],[Mes de Fecha]]="Septiembre",9,10),Tabla1[[#This Row],[Día de Fecha]])</f>
        <v>46288</v>
      </c>
      <c r="G1725">
        <v>1140417159</v>
      </c>
      <c r="H1725" t="s">
        <v>124</v>
      </c>
      <c r="I1725">
        <v>14</v>
      </c>
      <c r="J1725">
        <v>0</v>
      </c>
      <c r="K1725" s="1">
        <v>816682</v>
      </c>
    </row>
    <row r="1726" spans="1:11" x14ac:dyDescent="0.25">
      <c r="A1726" t="s">
        <v>9</v>
      </c>
      <c r="B1726" t="s">
        <v>123</v>
      </c>
      <c r="C1726" t="s">
        <v>867</v>
      </c>
      <c r="D1726" t="s">
        <v>11</v>
      </c>
      <c r="E1726">
        <v>24</v>
      </c>
      <c r="F1726" s="2">
        <f>DATE(2026,IF(Tabla1[[#This Row],[Mes de Fecha]]="Septiembre",9,10),Tabla1[[#This Row],[Día de Fecha]])</f>
        <v>46289</v>
      </c>
      <c r="I1726">
        <v>0</v>
      </c>
      <c r="J1726" s="1">
        <v>12429601</v>
      </c>
      <c r="K1726">
        <v>0</v>
      </c>
    </row>
    <row r="1727" spans="1:11" x14ac:dyDescent="0.25">
      <c r="A1727" t="s">
        <v>9</v>
      </c>
      <c r="B1727" t="s">
        <v>123</v>
      </c>
      <c r="C1727" t="s">
        <v>867</v>
      </c>
      <c r="D1727" t="s">
        <v>11</v>
      </c>
      <c r="E1727">
        <v>24</v>
      </c>
      <c r="F1727" s="2">
        <f>DATE(2026,IF(Tabla1[[#This Row],[Mes de Fecha]]="Septiembre",9,10),Tabla1[[#This Row],[Día de Fecha]])</f>
        <v>46289</v>
      </c>
      <c r="G1727">
        <v>1112626038</v>
      </c>
      <c r="H1727" t="s">
        <v>125</v>
      </c>
      <c r="I1727">
        <v>101</v>
      </c>
      <c r="J1727">
        <v>0</v>
      </c>
      <c r="K1727" s="1">
        <v>5665924</v>
      </c>
    </row>
    <row r="1728" spans="1:11" x14ac:dyDescent="0.25">
      <c r="A1728" t="s">
        <v>9</v>
      </c>
      <c r="B1728" t="s">
        <v>123</v>
      </c>
      <c r="C1728" t="s">
        <v>867</v>
      </c>
      <c r="D1728" t="s">
        <v>11</v>
      </c>
      <c r="E1728">
        <v>24</v>
      </c>
      <c r="F1728" s="2">
        <f>DATE(2026,IF(Tabla1[[#This Row],[Mes de Fecha]]="Septiembre",9,10),Tabla1[[#This Row],[Día de Fecha]])</f>
        <v>46289</v>
      </c>
      <c r="G1728">
        <v>1130676658</v>
      </c>
      <c r="I1728">
        <v>126</v>
      </c>
      <c r="J1728">
        <v>0</v>
      </c>
      <c r="K1728" s="1">
        <v>6998908</v>
      </c>
    </row>
    <row r="1729" spans="1:11" x14ac:dyDescent="0.25">
      <c r="A1729" t="s">
        <v>9</v>
      </c>
      <c r="B1729" t="s">
        <v>123</v>
      </c>
      <c r="C1729" t="s">
        <v>867</v>
      </c>
      <c r="D1729" t="s">
        <v>11</v>
      </c>
      <c r="E1729">
        <v>24</v>
      </c>
      <c r="F1729" s="2">
        <f>DATE(2026,IF(Tabla1[[#This Row],[Mes de Fecha]]="Septiembre",9,10),Tabla1[[#This Row],[Día de Fecha]])</f>
        <v>46289</v>
      </c>
      <c r="G1729">
        <v>1140417159</v>
      </c>
      <c r="H1729" t="s">
        <v>124</v>
      </c>
      <c r="I1729">
        <v>38</v>
      </c>
      <c r="J1729">
        <v>0</v>
      </c>
      <c r="K1729" s="1">
        <v>2153868</v>
      </c>
    </row>
    <row r="1730" spans="1:11" x14ac:dyDescent="0.25">
      <c r="A1730" t="s">
        <v>9</v>
      </c>
      <c r="B1730" t="s">
        <v>123</v>
      </c>
      <c r="C1730" t="s">
        <v>867</v>
      </c>
      <c r="D1730" t="s">
        <v>11</v>
      </c>
      <c r="E1730">
        <v>25</v>
      </c>
      <c r="F1730" s="2">
        <f>DATE(2026,IF(Tabla1[[#This Row],[Mes de Fecha]]="Septiembre",9,10),Tabla1[[#This Row],[Día de Fecha]])</f>
        <v>46290</v>
      </c>
      <c r="I1730">
        <v>0</v>
      </c>
      <c r="J1730" s="1">
        <v>13275491</v>
      </c>
      <c r="K1730">
        <v>0</v>
      </c>
    </row>
    <row r="1731" spans="1:11" x14ac:dyDescent="0.25">
      <c r="A1731" t="s">
        <v>9</v>
      </c>
      <c r="B1731" t="s">
        <v>123</v>
      </c>
      <c r="C1731" t="s">
        <v>867</v>
      </c>
      <c r="D1731" t="s">
        <v>11</v>
      </c>
      <c r="E1731">
        <v>25</v>
      </c>
      <c r="F1731" s="2">
        <f>DATE(2026,IF(Tabla1[[#This Row],[Mes de Fecha]]="Septiembre",9,10),Tabla1[[#This Row],[Día de Fecha]])</f>
        <v>46290</v>
      </c>
      <c r="G1731">
        <v>1112626038</v>
      </c>
      <c r="H1731" t="s">
        <v>125</v>
      </c>
      <c r="I1731">
        <v>29</v>
      </c>
      <c r="J1731">
        <v>0</v>
      </c>
      <c r="K1731" s="1">
        <v>1488277</v>
      </c>
    </row>
    <row r="1732" spans="1:11" x14ac:dyDescent="0.25">
      <c r="A1732" t="s">
        <v>9</v>
      </c>
      <c r="B1732" t="s">
        <v>123</v>
      </c>
      <c r="C1732" t="s">
        <v>867</v>
      </c>
      <c r="D1732" t="s">
        <v>11</v>
      </c>
      <c r="E1732">
        <v>25</v>
      </c>
      <c r="F1732" s="2">
        <f>DATE(2026,IF(Tabla1[[#This Row],[Mes de Fecha]]="Septiembre",9,10),Tabla1[[#This Row],[Día de Fecha]])</f>
        <v>46290</v>
      </c>
      <c r="G1732">
        <v>1130676658</v>
      </c>
      <c r="I1732">
        <v>90</v>
      </c>
      <c r="J1732">
        <v>0</v>
      </c>
      <c r="K1732" s="1">
        <v>5657985</v>
      </c>
    </row>
    <row r="1733" spans="1:11" x14ac:dyDescent="0.25">
      <c r="A1733" t="s">
        <v>9</v>
      </c>
      <c r="B1733" t="s">
        <v>123</v>
      </c>
      <c r="C1733" t="s">
        <v>867</v>
      </c>
      <c r="D1733" t="s">
        <v>11</v>
      </c>
      <c r="E1733">
        <v>25</v>
      </c>
      <c r="F1733" s="2">
        <f>DATE(2026,IF(Tabla1[[#This Row],[Mes de Fecha]]="Septiembre",9,10),Tabla1[[#This Row],[Día de Fecha]])</f>
        <v>46290</v>
      </c>
      <c r="G1733">
        <v>1140417159</v>
      </c>
      <c r="H1733" t="s">
        <v>124</v>
      </c>
      <c r="I1733">
        <v>17</v>
      </c>
      <c r="J1733">
        <v>0</v>
      </c>
      <c r="K1733" s="1">
        <v>898447</v>
      </c>
    </row>
    <row r="1734" spans="1:11" x14ac:dyDescent="0.25">
      <c r="A1734" t="s">
        <v>9</v>
      </c>
      <c r="B1734" t="s">
        <v>123</v>
      </c>
      <c r="C1734" t="s">
        <v>867</v>
      </c>
      <c r="D1734" t="s">
        <v>11</v>
      </c>
      <c r="E1734">
        <v>26</v>
      </c>
      <c r="F1734" s="2">
        <f>DATE(2026,IF(Tabla1[[#This Row],[Mes de Fecha]]="Septiembre",9,10),Tabla1[[#This Row],[Día de Fecha]])</f>
        <v>46291</v>
      </c>
      <c r="I1734">
        <v>0</v>
      </c>
      <c r="J1734" s="1">
        <v>16740062</v>
      </c>
      <c r="K1734">
        <v>0</v>
      </c>
    </row>
    <row r="1735" spans="1:11" x14ac:dyDescent="0.25">
      <c r="A1735" t="s">
        <v>9</v>
      </c>
      <c r="B1735" t="s">
        <v>123</v>
      </c>
      <c r="C1735" t="s">
        <v>867</v>
      </c>
      <c r="D1735" t="s">
        <v>11</v>
      </c>
      <c r="E1735">
        <v>26</v>
      </c>
      <c r="F1735" s="2">
        <f>DATE(2026,IF(Tabla1[[#This Row],[Mes de Fecha]]="Septiembre",9,10),Tabla1[[#This Row],[Día de Fecha]])</f>
        <v>46291</v>
      </c>
      <c r="G1735">
        <v>1112626038</v>
      </c>
      <c r="H1735" t="s">
        <v>125</v>
      </c>
      <c r="I1735">
        <v>33</v>
      </c>
      <c r="J1735">
        <v>0</v>
      </c>
      <c r="K1735" s="1">
        <v>1855590</v>
      </c>
    </row>
    <row r="1736" spans="1:11" x14ac:dyDescent="0.25">
      <c r="A1736" t="s">
        <v>9</v>
      </c>
      <c r="B1736" t="s">
        <v>123</v>
      </c>
      <c r="C1736" t="s">
        <v>867</v>
      </c>
      <c r="D1736" t="s">
        <v>11</v>
      </c>
      <c r="E1736">
        <v>26</v>
      </c>
      <c r="F1736" s="2">
        <f>DATE(2026,IF(Tabla1[[#This Row],[Mes de Fecha]]="Septiembre",9,10),Tabla1[[#This Row],[Día de Fecha]])</f>
        <v>46291</v>
      </c>
      <c r="G1736">
        <v>1130676658</v>
      </c>
      <c r="I1736">
        <v>107</v>
      </c>
      <c r="J1736">
        <v>0</v>
      </c>
      <c r="K1736" s="1">
        <v>5896603</v>
      </c>
    </row>
    <row r="1737" spans="1:11" x14ac:dyDescent="0.25">
      <c r="A1737" t="s">
        <v>9</v>
      </c>
      <c r="B1737" t="s">
        <v>123</v>
      </c>
      <c r="C1737" t="s">
        <v>867</v>
      </c>
      <c r="D1737" t="s">
        <v>11</v>
      </c>
      <c r="E1737">
        <v>26</v>
      </c>
      <c r="F1737" s="2">
        <f>DATE(2026,IF(Tabla1[[#This Row],[Mes de Fecha]]="Septiembre",9,10),Tabla1[[#This Row],[Día de Fecha]])</f>
        <v>46291</v>
      </c>
      <c r="G1737">
        <v>1140417159</v>
      </c>
      <c r="H1737" t="s">
        <v>124</v>
      </c>
      <c r="I1737">
        <v>35</v>
      </c>
      <c r="J1737">
        <v>0</v>
      </c>
      <c r="K1737" s="1">
        <v>1922860</v>
      </c>
    </row>
    <row r="1738" spans="1:11" x14ac:dyDescent="0.25">
      <c r="A1738" t="s">
        <v>9</v>
      </c>
      <c r="B1738" t="s">
        <v>123</v>
      </c>
      <c r="C1738" t="s">
        <v>867</v>
      </c>
      <c r="D1738" t="s">
        <v>11</v>
      </c>
      <c r="E1738">
        <v>27</v>
      </c>
      <c r="F1738" s="2">
        <f>DATE(2026,IF(Tabla1[[#This Row],[Mes de Fecha]]="Septiembre",9,10),Tabla1[[#This Row],[Día de Fecha]])</f>
        <v>46292</v>
      </c>
      <c r="I1738">
        <v>0</v>
      </c>
      <c r="J1738" s="1">
        <v>8838592</v>
      </c>
      <c r="K1738">
        <v>0</v>
      </c>
    </row>
    <row r="1739" spans="1:11" x14ac:dyDescent="0.25">
      <c r="A1739" t="s">
        <v>9</v>
      </c>
      <c r="B1739" t="s">
        <v>123</v>
      </c>
      <c r="C1739" t="s">
        <v>867</v>
      </c>
      <c r="D1739" t="s">
        <v>11</v>
      </c>
      <c r="E1739">
        <v>27</v>
      </c>
      <c r="F1739" s="2">
        <f>DATE(2026,IF(Tabla1[[#This Row],[Mes de Fecha]]="Septiembre",9,10),Tabla1[[#This Row],[Día de Fecha]])</f>
        <v>46292</v>
      </c>
      <c r="G1739">
        <v>1112626038</v>
      </c>
      <c r="H1739" t="s">
        <v>125</v>
      </c>
      <c r="I1739">
        <v>35</v>
      </c>
      <c r="J1739">
        <v>0</v>
      </c>
      <c r="K1739" s="1">
        <v>1903824</v>
      </c>
    </row>
    <row r="1740" spans="1:11" x14ac:dyDescent="0.25">
      <c r="A1740" t="s">
        <v>9</v>
      </c>
      <c r="B1740" t="s">
        <v>123</v>
      </c>
      <c r="C1740" t="s">
        <v>867</v>
      </c>
      <c r="D1740" t="s">
        <v>11</v>
      </c>
      <c r="E1740">
        <v>27</v>
      </c>
      <c r="F1740" s="2">
        <f>DATE(2026,IF(Tabla1[[#This Row],[Mes de Fecha]]="Septiembre",9,10),Tabla1[[#This Row],[Día de Fecha]])</f>
        <v>46292</v>
      </c>
      <c r="G1740">
        <v>1130676658</v>
      </c>
      <c r="I1740">
        <v>134</v>
      </c>
      <c r="J1740">
        <v>0</v>
      </c>
      <c r="K1740" s="1">
        <v>7947864</v>
      </c>
    </row>
    <row r="1741" spans="1:11" x14ac:dyDescent="0.25">
      <c r="A1741" t="s">
        <v>9</v>
      </c>
      <c r="B1741" t="s">
        <v>123</v>
      </c>
      <c r="C1741" t="s">
        <v>867</v>
      </c>
      <c r="D1741" t="s">
        <v>11</v>
      </c>
      <c r="E1741">
        <v>27</v>
      </c>
      <c r="F1741" s="2">
        <f>DATE(2026,IF(Tabla1[[#This Row],[Mes de Fecha]]="Septiembre",9,10),Tabla1[[#This Row],[Día de Fecha]])</f>
        <v>46292</v>
      </c>
      <c r="G1741">
        <v>1140417159</v>
      </c>
      <c r="H1741" t="s">
        <v>124</v>
      </c>
      <c r="I1741">
        <v>14</v>
      </c>
      <c r="J1741">
        <v>0</v>
      </c>
      <c r="K1741" s="1">
        <v>785086</v>
      </c>
    </row>
    <row r="1742" spans="1:11" x14ac:dyDescent="0.25">
      <c r="A1742" t="s">
        <v>9</v>
      </c>
      <c r="B1742" t="s">
        <v>123</v>
      </c>
      <c r="C1742" t="s">
        <v>867</v>
      </c>
      <c r="D1742" t="s">
        <v>11</v>
      </c>
      <c r="E1742">
        <v>28</v>
      </c>
      <c r="F1742" s="2">
        <f>DATE(2026,IF(Tabla1[[#This Row],[Mes de Fecha]]="Septiembre",9,10),Tabla1[[#This Row],[Día de Fecha]])</f>
        <v>46293</v>
      </c>
      <c r="I1742">
        <v>0</v>
      </c>
      <c r="J1742" s="1">
        <v>7246685</v>
      </c>
      <c r="K1742">
        <v>0</v>
      </c>
    </row>
    <row r="1743" spans="1:11" x14ac:dyDescent="0.25">
      <c r="A1743" t="s">
        <v>9</v>
      </c>
      <c r="B1743" t="s">
        <v>123</v>
      </c>
      <c r="C1743" t="s">
        <v>867</v>
      </c>
      <c r="D1743" t="s">
        <v>11</v>
      </c>
      <c r="E1743">
        <v>28</v>
      </c>
      <c r="F1743" s="2">
        <f>DATE(2026,IF(Tabla1[[#This Row],[Mes de Fecha]]="Septiembre",9,10),Tabla1[[#This Row],[Día de Fecha]])</f>
        <v>46293</v>
      </c>
      <c r="G1743">
        <v>1112626038</v>
      </c>
      <c r="H1743" t="s">
        <v>125</v>
      </c>
      <c r="I1743">
        <v>10</v>
      </c>
      <c r="J1743">
        <v>0</v>
      </c>
      <c r="K1743" s="1">
        <v>528991</v>
      </c>
    </row>
    <row r="1744" spans="1:11" x14ac:dyDescent="0.25">
      <c r="A1744" t="s">
        <v>9</v>
      </c>
      <c r="B1744" t="s">
        <v>123</v>
      </c>
      <c r="C1744" t="s">
        <v>867</v>
      </c>
      <c r="D1744" t="s">
        <v>11</v>
      </c>
      <c r="E1744">
        <v>28</v>
      </c>
      <c r="F1744" s="2">
        <f>DATE(2026,IF(Tabla1[[#This Row],[Mes de Fecha]]="Septiembre",9,10),Tabla1[[#This Row],[Día de Fecha]])</f>
        <v>46293</v>
      </c>
      <c r="G1744">
        <v>1130676658</v>
      </c>
      <c r="I1744">
        <v>86</v>
      </c>
      <c r="J1744">
        <v>0</v>
      </c>
      <c r="K1744" s="1">
        <v>5342864</v>
      </c>
    </row>
    <row r="1745" spans="1:11" x14ac:dyDescent="0.25">
      <c r="A1745" t="s">
        <v>9</v>
      </c>
      <c r="B1745" t="s">
        <v>123</v>
      </c>
      <c r="C1745" t="s">
        <v>867</v>
      </c>
      <c r="D1745" t="s">
        <v>11</v>
      </c>
      <c r="E1745">
        <v>28</v>
      </c>
      <c r="F1745" s="2">
        <f>DATE(2026,IF(Tabla1[[#This Row],[Mes de Fecha]]="Septiembre",9,10),Tabla1[[#This Row],[Día de Fecha]])</f>
        <v>46293</v>
      </c>
      <c r="G1745">
        <v>1140417159</v>
      </c>
      <c r="H1745" t="s">
        <v>124</v>
      </c>
      <c r="I1745">
        <v>2</v>
      </c>
      <c r="J1745">
        <v>0</v>
      </c>
      <c r="K1745" s="1">
        <v>159580</v>
      </c>
    </row>
    <row r="1746" spans="1:11" x14ac:dyDescent="0.25">
      <c r="A1746" t="s">
        <v>9</v>
      </c>
      <c r="B1746" t="s">
        <v>123</v>
      </c>
      <c r="C1746" t="s">
        <v>867</v>
      </c>
      <c r="D1746" t="s">
        <v>11</v>
      </c>
      <c r="E1746">
        <v>29</v>
      </c>
      <c r="F1746" s="2">
        <f>DATE(2026,IF(Tabla1[[#This Row],[Mes de Fecha]]="Septiembre",9,10),Tabla1[[#This Row],[Día de Fecha]])</f>
        <v>46294</v>
      </c>
      <c r="I1746">
        <v>0</v>
      </c>
      <c r="J1746" s="1">
        <v>8056170</v>
      </c>
      <c r="K1746">
        <v>0</v>
      </c>
    </row>
    <row r="1747" spans="1:11" x14ac:dyDescent="0.25">
      <c r="A1747" t="s">
        <v>9</v>
      </c>
      <c r="B1747" t="s">
        <v>123</v>
      </c>
      <c r="C1747" t="s">
        <v>867</v>
      </c>
      <c r="D1747" t="s">
        <v>11</v>
      </c>
      <c r="E1747">
        <v>29</v>
      </c>
      <c r="F1747" s="2">
        <f>DATE(2026,IF(Tabla1[[#This Row],[Mes de Fecha]]="Septiembre",9,10),Tabla1[[#This Row],[Día de Fecha]])</f>
        <v>46294</v>
      </c>
      <c r="G1747">
        <v>1112626038</v>
      </c>
      <c r="H1747" t="s">
        <v>125</v>
      </c>
      <c r="I1747">
        <v>32</v>
      </c>
      <c r="J1747">
        <v>0</v>
      </c>
      <c r="K1747" s="1">
        <v>1721219</v>
      </c>
    </row>
    <row r="1748" spans="1:11" x14ac:dyDescent="0.25">
      <c r="A1748" t="s">
        <v>9</v>
      </c>
      <c r="B1748" t="s">
        <v>123</v>
      </c>
      <c r="C1748" t="s">
        <v>867</v>
      </c>
      <c r="D1748" t="s">
        <v>11</v>
      </c>
      <c r="E1748">
        <v>29</v>
      </c>
      <c r="F1748" s="2">
        <f>DATE(2026,IF(Tabla1[[#This Row],[Mes de Fecha]]="Septiembre",9,10),Tabla1[[#This Row],[Día de Fecha]])</f>
        <v>46294</v>
      </c>
      <c r="G1748">
        <v>1130676658</v>
      </c>
      <c r="I1748">
        <v>88</v>
      </c>
      <c r="J1748">
        <v>0</v>
      </c>
      <c r="K1748" s="1">
        <v>4518866</v>
      </c>
    </row>
    <row r="1749" spans="1:11" x14ac:dyDescent="0.25">
      <c r="A1749" t="s">
        <v>9</v>
      </c>
      <c r="B1749" t="s">
        <v>123</v>
      </c>
      <c r="C1749" t="s">
        <v>867</v>
      </c>
      <c r="D1749" t="s">
        <v>11</v>
      </c>
      <c r="E1749">
        <v>29</v>
      </c>
      <c r="F1749" s="2">
        <f>DATE(2026,IF(Tabla1[[#This Row],[Mes de Fecha]]="Septiembre",9,10),Tabla1[[#This Row],[Día de Fecha]])</f>
        <v>46294</v>
      </c>
      <c r="G1749">
        <v>1140417159</v>
      </c>
      <c r="H1749" t="s">
        <v>124</v>
      </c>
      <c r="I1749">
        <v>7</v>
      </c>
      <c r="J1749">
        <v>0</v>
      </c>
      <c r="K1749" s="1">
        <v>463950</v>
      </c>
    </row>
    <row r="1750" spans="1:11" x14ac:dyDescent="0.25">
      <c r="A1750" t="s">
        <v>9</v>
      </c>
      <c r="B1750" t="s">
        <v>123</v>
      </c>
      <c r="C1750" t="s">
        <v>867</v>
      </c>
      <c r="D1750" t="s">
        <v>11</v>
      </c>
      <c r="E1750">
        <v>30</v>
      </c>
      <c r="F1750" s="2">
        <f>DATE(2026,IF(Tabla1[[#This Row],[Mes de Fecha]]="Septiembre",9,10),Tabla1[[#This Row],[Día de Fecha]])</f>
        <v>46295</v>
      </c>
      <c r="I1750">
        <v>0</v>
      </c>
      <c r="J1750" s="1">
        <v>8531741</v>
      </c>
      <c r="K1750">
        <v>0</v>
      </c>
    </row>
    <row r="1751" spans="1:11" x14ac:dyDescent="0.25">
      <c r="A1751" t="s">
        <v>9</v>
      </c>
      <c r="B1751" t="s">
        <v>123</v>
      </c>
      <c r="C1751" t="s">
        <v>867</v>
      </c>
      <c r="D1751" t="s">
        <v>11</v>
      </c>
      <c r="E1751">
        <v>30</v>
      </c>
      <c r="F1751" s="2">
        <f>DATE(2026,IF(Tabla1[[#This Row],[Mes de Fecha]]="Septiembre",9,10),Tabla1[[#This Row],[Día de Fecha]])</f>
        <v>46295</v>
      </c>
      <c r="G1751">
        <v>1112626038</v>
      </c>
      <c r="H1751" t="s">
        <v>125</v>
      </c>
      <c r="I1751">
        <v>51</v>
      </c>
      <c r="J1751">
        <v>0</v>
      </c>
      <c r="K1751" s="1">
        <v>3052398</v>
      </c>
    </row>
    <row r="1752" spans="1:11" x14ac:dyDescent="0.25">
      <c r="A1752" t="s">
        <v>9</v>
      </c>
      <c r="B1752" t="s">
        <v>123</v>
      </c>
      <c r="C1752" t="s">
        <v>867</v>
      </c>
      <c r="D1752" t="s">
        <v>11</v>
      </c>
      <c r="E1752">
        <v>30</v>
      </c>
      <c r="F1752" s="2">
        <f>DATE(2026,IF(Tabla1[[#This Row],[Mes de Fecha]]="Septiembre",9,10),Tabla1[[#This Row],[Día de Fecha]])</f>
        <v>46295</v>
      </c>
      <c r="G1752">
        <v>1130676658</v>
      </c>
      <c r="I1752">
        <v>9</v>
      </c>
      <c r="J1752">
        <v>0</v>
      </c>
      <c r="K1752" s="1">
        <v>625547</v>
      </c>
    </row>
    <row r="1753" spans="1:11" x14ac:dyDescent="0.25">
      <c r="A1753" t="s">
        <v>9</v>
      </c>
      <c r="B1753" t="s">
        <v>123</v>
      </c>
      <c r="C1753" t="s">
        <v>867</v>
      </c>
      <c r="D1753" t="s">
        <v>11</v>
      </c>
      <c r="E1753">
        <v>30</v>
      </c>
      <c r="F1753" s="2">
        <f>DATE(2026,IF(Tabla1[[#This Row],[Mes de Fecha]]="Septiembre",9,10),Tabla1[[#This Row],[Día de Fecha]])</f>
        <v>46295</v>
      </c>
      <c r="G1753">
        <v>1140417159</v>
      </c>
      <c r="H1753" t="s">
        <v>124</v>
      </c>
      <c r="I1753">
        <v>15</v>
      </c>
      <c r="J1753">
        <v>0</v>
      </c>
      <c r="K1753" s="1">
        <v>797607</v>
      </c>
    </row>
    <row r="1754" spans="1:11" x14ac:dyDescent="0.25">
      <c r="A1754" t="s">
        <v>9</v>
      </c>
      <c r="B1754" t="s">
        <v>123</v>
      </c>
      <c r="C1754" t="s">
        <v>867</v>
      </c>
      <c r="D1754" t="s">
        <v>14</v>
      </c>
      <c r="E1754">
        <v>1</v>
      </c>
      <c r="F1754" s="2">
        <f>DATE(2026,IF(Tabla1[[#This Row],[Mes de Fecha]]="Septiembre",9,10),Tabla1[[#This Row],[Día de Fecha]])</f>
        <v>46296</v>
      </c>
      <c r="I1754">
        <v>0</v>
      </c>
      <c r="J1754" s="1">
        <v>10193189</v>
      </c>
      <c r="K1754">
        <v>0</v>
      </c>
    </row>
    <row r="1755" spans="1:11" x14ac:dyDescent="0.25">
      <c r="A1755" t="s">
        <v>9</v>
      </c>
      <c r="B1755" t="s">
        <v>123</v>
      </c>
      <c r="C1755" t="s">
        <v>867</v>
      </c>
      <c r="D1755" t="s">
        <v>14</v>
      </c>
      <c r="E1755">
        <v>1</v>
      </c>
      <c r="F1755" s="2">
        <f>DATE(2026,IF(Tabla1[[#This Row],[Mes de Fecha]]="Septiembre",9,10),Tabla1[[#This Row],[Día de Fecha]])</f>
        <v>46296</v>
      </c>
      <c r="G1755">
        <v>1112626038</v>
      </c>
      <c r="H1755" t="s">
        <v>125</v>
      </c>
      <c r="I1755">
        <v>84</v>
      </c>
      <c r="J1755">
        <v>0</v>
      </c>
      <c r="K1755" s="1">
        <v>4737987</v>
      </c>
    </row>
    <row r="1756" spans="1:11" x14ac:dyDescent="0.25">
      <c r="A1756" t="s">
        <v>9</v>
      </c>
      <c r="B1756" t="s">
        <v>123</v>
      </c>
      <c r="C1756" t="s">
        <v>867</v>
      </c>
      <c r="D1756" t="s">
        <v>14</v>
      </c>
      <c r="E1756">
        <v>1</v>
      </c>
      <c r="F1756" s="2">
        <f>DATE(2026,IF(Tabla1[[#This Row],[Mes de Fecha]]="Septiembre",9,10),Tabla1[[#This Row],[Día de Fecha]])</f>
        <v>46296</v>
      </c>
      <c r="G1756">
        <v>1130676658</v>
      </c>
      <c r="I1756">
        <v>18</v>
      </c>
      <c r="J1756">
        <v>0</v>
      </c>
      <c r="K1756" s="1">
        <v>1205002</v>
      </c>
    </row>
    <row r="1757" spans="1:11" x14ac:dyDescent="0.25">
      <c r="A1757" t="s">
        <v>9</v>
      </c>
      <c r="B1757" t="s">
        <v>123</v>
      </c>
      <c r="C1757" t="s">
        <v>867</v>
      </c>
      <c r="D1757" t="s">
        <v>14</v>
      </c>
      <c r="E1757">
        <v>1</v>
      </c>
      <c r="F1757" s="2">
        <f>DATE(2026,IF(Tabla1[[#This Row],[Mes de Fecha]]="Septiembre",9,10),Tabla1[[#This Row],[Día de Fecha]])</f>
        <v>46296</v>
      </c>
      <c r="G1757">
        <v>1140417159</v>
      </c>
      <c r="H1757" t="s">
        <v>124</v>
      </c>
      <c r="I1757">
        <v>48</v>
      </c>
      <c r="J1757">
        <v>0</v>
      </c>
      <c r="K1757" s="1">
        <v>2485170</v>
      </c>
    </row>
    <row r="1758" spans="1:11" x14ac:dyDescent="0.25">
      <c r="A1758" t="s">
        <v>9</v>
      </c>
      <c r="B1758" t="s">
        <v>123</v>
      </c>
      <c r="C1758" t="s">
        <v>867</v>
      </c>
      <c r="D1758" t="s">
        <v>14</v>
      </c>
      <c r="E1758">
        <v>2</v>
      </c>
      <c r="F1758" s="2">
        <f>DATE(2026,IF(Tabla1[[#This Row],[Mes de Fecha]]="Septiembre",9,10),Tabla1[[#This Row],[Día de Fecha]])</f>
        <v>46297</v>
      </c>
      <c r="I1758">
        <v>0</v>
      </c>
      <c r="J1758" s="1">
        <v>7283668</v>
      </c>
      <c r="K1758">
        <v>0</v>
      </c>
    </row>
    <row r="1759" spans="1:11" x14ac:dyDescent="0.25">
      <c r="A1759" t="s">
        <v>9</v>
      </c>
      <c r="B1759" t="s">
        <v>123</v>
      </c>
      <c r="C1759" t="s">
        <v>867</v>
      </c>
      <c r="D1759" t="s">
        <v>14</v>
      </c>
      <c r="E1759">
        <v>2</v>
      </c>
      <c r="F1759" s="2">
        <f>DATE(2026,IF(Tabla1[[#This Row],[Mes de Fecha]]="Septiembre",9,10),Tabla1[[#This Row],[Día de Fecha]])</f>
        <v>46297</v>
      </c>
      <c r="G1759">
        <v>1112626038</v>
      </c>
      <c r="H1759" t="s">
        <v>125</v>
      </c>
      <c r="I1759">
        <v>30</v>
      </c>
      <c r="J1759">
        <v>0</v>
      </c>
      <c r="K1759" s="1">
        <v>1498486</v>
      </c>
    </row>
    <row r="1760" spans="1:11" x14ac:dyDescent="0.25">
      <c r="A1760" t="s">
        <v>9</v>
      </c>
      <c r="B1760" t="s">
        <v>123</v>
      </c>
      <c r="C1760" t="s">
        <v>867</v>
      </c>
      <c r="D1760" t="s">
        <v>14</v>
      </c>
      <c r="E1760">
        <v>2</v>
      </c>
      <c r="F1760" s="2">
        <f>DATE(2026,IF(Tabla1[[#This Row],[Mes de Fecha]]="Septiembre",9,10),Tabla1[[#This Row],[Día de Fecha]])</f>
        <v>46297</v>
      </c>
      <c r="G1760">
        <v>1130676658</v>
      </c>
      <c r="I1760">
        <v>30</v>
      </c>
      <c r="J1760">
        <v>0</v>
      </c>
      <c r="K1760" s="1">
        <v>2065883</v>
      </c>
    </row>
    <row r="1761" spans="1:11" x14ac:dyDescent="0.25">
      <c r="A1761" t="s">
        <v>9</v>
      </c>
      <c r="B1761" t="s">
        <v>123</v>
      </c>
      <c r="C1761" t="s">
        <v>867</v>
      </c>
      <c r="D1761" t="s">
        <v>14</v>
      </c>
      <c r="E1761">
        <v>2</v>
      </c>
      <c r="F1761" s="2">
        <f>DATE(2026,IF(Tabla1[[#This Row],[Mes de Fecha]]="Septiembre",9,10),Tabla1[[#This Row],[Día de Fecha]])</f>
        <v>46297</v>
      </c>
      <c r="G1761">
        <v>1140417159</v>
      </c>
      <c r="H1761" t="s">
        <v>124</v>
      </c>
      <c r="I1761">
        <v>16</v>
      </c>
      <c r="J1761">
        <v>0</v>
      </c>
      <c r="K1761" s="1">
        <v>890084</v>
      </c>
    </row>
    <row r="1762" spans="1:11" x14ac:dyDescent="0.25">
      <c r="A1762" t="s">
        <v>9</v>
      </c>
      <c r="B1762" t="s">
        <v>123</v>
      </c>
      <c r="C1762" t="s">
        <v>867</v>
      </c>
      <c r="D1762" t="s">
        <v>14</v>
      </c>
      <c r="E1762">
        <v>3</v>
      </c>
      <c r="F1762" s="2">
        <f>DATE(2026,IF(Tabla1[[#This Row],[Mes de Fecha]]="Septiembre",9,10),Tabla1[[#This Row],[Día de Fecha]])</f>
        <v>46298</v>
      </c>
      <c r="I1762">
        <v>0</v>
      </c>
      <c r="J1762" s="1">
        <v>11765449</v>
      </c>
      <c r="K1762">
        <v>0</v>
      </c>
    </row>
    <row r="1763" spans="1:11" x14ac:dyDescent="0.25">
      <c r="A1763" t="s">
        <v>9</v>
      </c>
      <c r="B1763" t="s">
        <v>123</v>
      </c>
      <c r="C1763" t="s">
        <v>867</v>
      </c>
      <c r="D1763" t="s">
        <v>14</v>
      </c>
      <c r="E1763">
        <v>3</v>
      </c>
      <c r="F1763" s="2">
        <f>DATE(2026,IF(Tabla1[[#This Row],[Mes de Fecha]]="Septiembre",9,10),Tabla1[[#This Row],[Día de Fecha]])</f>
        <v>46298</v>
      </c>
      <c r="G1763">
        <v>1112626038</v>
      </c>
      <c r="H1763" t="s">
        <v>125</v>
      </c>
      <c r="I1763">
        <v>70</v>
      </c>
      <c r="J1763">
        <v>0</v>
      </c>
      <c r="K1763" s="1">
        <v>3896590</v>
      </c>
    </row>
    <row r="1764" spans="1:11" x14ac:dyDescent="0.25">
      <c r="A1764" t="s">
        <v>9</v>
      </c>
      <c r="B1764" t="s">
        <v>123</v>
      </c>
      <c r="C1764" t="s">
        <v>867</v>
      </c>
      <c r="D1764" t="s">
        <v>14</v>
      </c>
      <c r="E1764">
        <v>3</v>
      </c>
      <c r="F1764" s="2">
        <f>DATE(2026,IF(Tabla1[[#This Row],[Mes de Fecha]]="Septiembre",9,10),Tabla1[[#This Row],[Día de Fecha]])</f>
        <v>46298</v>
      </c>
      <c r="G1764">
        <v>1130676658</v>
      </c>
      <c r="I1764">
        <v>67</v>
      </c>
      <c r="J1764">
        <v>0</v>
      </c>
      <c r="K1764" s="1">
        <v>3530771</v>
      </c>
    </row>
    <row r="1765" spans="1:11" x14ac:dyDescent="0.25">
      <c r="A1765" t="s">
        <v>9</v>
      </c>
      <c r="B1765" t="s">
        <v>123</v>
      </c>
      <c r="C1765" t="s">
        <v>867</v>
      </c>
      <c r="D1765" t="s">
        <v>14</v>
      </c>
      <c r="E1765">
        <v>3</v>
      </c>
      <c r="F1765" s="2">
        <f>DATE(2026,IF(Tabla1[[#This Row],[Mes de Fecha]]="Septiembre",9,10),Tabla1[[#This Row],[Día de Fecha]])</f>
        <v>46298</v>
      </c>
      <c r="G1765">
        <v>1140417159</v>
      </c>
      <c r="H1765" t="s">
        <v>124</v>
      </c>
      <c r="I1765">
        <v>47</v>
      </c>
      <c r="J1765">
        <v>0</v>
      </c>
      <c r="K1765" s="1">
        <v>2854298</v>
      </c>
    </row>
    <row r="1766" spans="1:11" x14ac:dyDescent="0.25">
      <c r="A1766" t="s">
        <v>9</v>
      </c>
      <c r="B1766" t="s">
        <v>123</v>
      </c>
      <c r="C1766" t="s">
        <v>867</v>
      </c>
      <c r="D1766" t="s">
        <v>14</v>
      </c>
      <c r="E1766">
        <v>4</v>
      </c>
      <c r="F1766" s="2">
        <f>DATE(2026,IF(Tabla1[[#This Row],[Mes de Fecha]]="Septiembre",9,10),Tabla1[[#This Row],[Día de Fecha]])</f>
        <v>46299</v>
      </c>
      <c r="I1766">
        <v>0</v>
      </c>
      <c r="J1766" s="1">
        <v>8214819</v>
      </c>
      <c r="K1766">
        <v>0</v>
      </c>
    </row>
    <row r="1767" spans="1:11" x14ac:dyDescent="0.25">
      <c r="A1767" t="s">
        <v>9</v>
      </c>
      <c r="B1767" t="s">
        <v>123</v>
      </c>
      <c r="C1767" t="s">
        <v>867</v>
      </c>
      <c r="D1767" t="s">
        <v>14</v>
      </c>
      <c r="E1767">
        <v>4</v>
      </c>
      <c r="F1767" s="2">
        <f>DATE(2026,IF(Tabla1[[#This Row],[Mes de Fecha]]="Septiembre",9,10),Tabla1[[#This Row],[Día de Fecha]])</f>
        <v>46299</v>
      </c>
      <c r="G1767">
        <v>1112626038</v>
      </c>
      <c r="H1767" t="s">
        <v>125</v>
      </c>
      <c r="I1767">
        <v>60</v>
      </c>
      <c r="J1767">
        <v>0</v>
      </c>
      <c r="K1767" s="1">
        <v>3801727</v>
      </c>
    </row>
    <row r="1768" spans="1:11" x14ac:dyDescent="0.25">
      <c r="A1768" t="s">
        <v>9</v>
      </c>
      <c r="B1768" t="s">
        <v>123</v>
      </c>
      <c r="C1768" t="s">
        <v>867</v>
      </c>
      <c r="D1768" t="s">
        <v>14</v>
      </c>
      <c r="E1768">
        <v>4</v>
      </c>
      <c r="F1768" s="2">
        <f>DATE(2026,IF(Tabla1[[#This Row],[Mes de Fecha]]="Septiembre",9,10),Tabla1[[#This Row],[Día de Fecha]])</f>
        <v>46299</v>
      </c>
      <c r="G1768">
        <v>1130676658</v>
      </c>
      <c r="I1768">
        <v>47</v>
      </c>
      <c r="J1768">
        <v>0</v>
      </c>
      <c r="K1768" s="1">
        <v>3092439</v>
      </c>
    </row>
    <row r="1769" spans="1:11" x14ac:dyDescent="0.25">
      <c r="A1769" t="s">
        <v>9</v>
      </c>
      <c r="B1769" t="s">
        <v>123</v>
      </c>
      <c r="C1769" t="s">
        <v>867</v>
      </c>
      <c r="D1769" t="s">
        <v>14</v>
      </c>
      <c r="E1769">
        <v>4</v>
      </c>
      <c r="F1769" s="2">
        <f>DATE(2026,IF(Tabla1[[#This Row],[Mes de Fecha]]="Septiembre",9,10),Tabla1[[#This Row],[Día de Fecha]])</f>
        <v>46299</v>
      </c>
      <c r="G1769">
        <v>1140417159</v>
      </c>
      <c r="H1769" t="s">
        <v>124</v>
      </c>
      <c r="I1769">
        <v>6</v>
      </c>
      <c r="J1769">
        <v>0</v>
      </c>
      <c r="K1769" s="1">
        <v>268572</v>
      </c>
    </row>
    <row r="1770" spans="1:11" x14ac:dyDescent="0.25">
      <c r="A1770" t="s">
        <v>9</v>
      </c>
      <c r="B1770" t="s">
        <v>123</v>
      </c>
      <c r="C1770" t="s">
        <v>867</v>
      </c>
      <c r="D1770" t="s">
        <v>14</v>
      </c>
      <c r="E1770">
        <v>5</v>
      </c>
      <c r="F1770" s="2">
        <f>DATE(2026,IF(Tabla1[[#This Row],[Mes de Fecha]]="Septiembre",9,10),Tabla1[[#This Row],[Día de Fecha]])</f>
        <v>46300</v>
      </c>
      <c r="I1770">
        <v>0</v>
      </c>
      <c r="J1770" s="1">
        <v>8081005</v>
      </c>
      <c r="K1770">
        <v>0</v>
      </c>
    </row>
    <row r="1771" spans="1:11" x14ac:dyDescent="0.25">
      <c r="A1771" t="s">
        <v>9</v>
      </c>
      <c r="B1771" t="s">
        <v>123</v>
      </c>
      <c r="C1771" t="s">
        <v>867</v>
      </c>
      <c r="D1771" t="s">
        <v>14</v>
      </c>
      <c r="E1771">
        <v>5</v>
      </c>
      <c r="F1771" s="2">
        <f>DATE(2026,IF(Tabla1[[#This Row],[Mes de Fecha]]="Septiembre",9,10),Tabla1[[#This Row],[Día de Fecha]])</f>
        <v>46300</v>
      </c>
      <c r="G1771">
        <v>1112626038</v>
      </c>
      <c r="H1771" t="s">
        <v>125</v>
      </c>
      <c r="I1771">
        <v>25</v>
      </c>
      <c r="J1771">
        <v>0</v>
      </c>
      <c r="K1771" s="1">
        <v>1721474</v>
      </c>
    </row>
    <row r="1772" spans="1:11" x14ac:dyDescent="0.25">
      <c r="A1772" t="s">
        <v>9</v>
      </c>
      <c r="B1772" t="s">
        <v>123</v>
      </c>
      <c r="C1772" t="s">
        <v>867</v>
      </c>
      <c r="D1772" t="s">
        <v>14</v>
      </c>
      <c r="E1772">
        <v>5</v>
      </c>
      <c r="F1772" s="2">
        <f>DATE(2026,IF(Tabla1[[#This Row],[Mes de Fecha]]="Septiembre",9,10),Tabla1[[#This Row],[Día de Fecha]])</f>
        <v>46300</v>
      </c>
      <c r="G1772">
        <v>1130676658</v>
      </c>
      <c r="I1772">
        <v>49</v>
      </c>
      <c r="J1772">
        <v>0</v>
      </c>
      <c r="K1772" s="1">
        <v>2854751</v>
      </c>
    </row>
    <row r="1773" spans="1:11" x14ac:dyDescent="0.25">
      <c r="A1773" t="s">
        <v>9</v>
      </c>
      <c r="B1773" t="s">
        <v>123</v>
      </c>
      <c r="C1773" t="s">
        <v>867</v>
      </c>
      <c r="D1773" t="s">
        <v>14</v>
      </c>
      <c r="E1773">
        <v>5</v>
      </c>
      <c r="F1773" s="2">
        <f>DATE(2026,IF(Tabla1[[#This Row],[Mes de Fecha]]="Septiembre",9,10),Tabla1[[#This Row],[Día de Fecha]])</f>
        <v>46300</v>
      </c>
      <c r="G1773">
        <v>1140417159</v>
      </c>
      <c r="H1773" t="s">
        <v>124</v>
      </c>
      <c r="I1773">
        <v>12</v>
      </c>
      <c r="J1773">
        <v>0</v>
      </c>
      <c r="K1773" s="1">
        <v>583404</v>
      </c>
    </row>
    <row r="1774" spans="1:11" x14ac:dyDescent="0.25">
      <c r="A1774" t="s">
        <v>9</v>
      </c>
      <c r="B1774" t="s">
        <v>123</v>
      </c>
      <c r="C1774" t="s">
        <v>867</v>
      </c>
      <c r="D1774" t="s">
        <v>14</v>
      </c>
      <c r="E1774">
        <v>6</v>
      </c>
      <c r="F1774" s="2">
        <f>DATE(2026,IF(Tabla1[[#This Row],[Mes de Fecha]]="Septiembre",9,10),Tabla1[[#This Row],[Día de Fecha]])</f>
        <v>46301</v>
      </c>
      <c r="I1774">
        <v>0</v>
      </c>
      <c r="J1774" s="1">
        <v>3469877</v>
      </c>
      <c r="K1774">
        <v>0</v>
      </c>
    </row>
    <row r="1775" spans="1:11" x14ac:dyDescent="0.25">
      <c r="A1775" t="s">
        <v>9</v>
      </c>
      <c r="B1775" t="s">
        <v>123</v>
      </c>
      <c r="C1775" t="s">
        <v>867</v>
      </c>
      <c r="D1775" t="s">
        <v>14</v>
      </c>
      <c r="E1775">
        <v>6</v>
      </c>
      <c r="F1775" s="2">
        <f>DATE(2026,IF(Tabla1[[#This Row],[Mes de Fecha]]="Septiembre",9,10),Tabla1[[#This Row],[Día de Fecha]])</f>
        <v>46301</v>
      </c>
      <c r="G1775">
        <v>1112626038</v>
      </c>
      <c r="H1775" t="s">
        <v>125</v>
      </c>
      <c r="I1775">
        <v>-2</v>
      </c>
      <c r="J1775">
        <v>0</v>
      </c>
      <c r="K1775" s="1">
        <v>-138571</v>
      </c>
    </row>
    <row r="1776" spans="1:11" x14ac:dyDescent="0.25">
      <c r="A1776" t="s">
        <v>9</v>
      </c>
      <c r="B1776" t="s">
        <v>123</v>
      </c>
      <c r="C1776" t="s">
        <v>867</v>
      </c>
      <c r="D1776" t="s">
        <v>14</v>
      </c>
      <c r="E1776">
        <v>6</v>
      </c>
      <c r="F1776" s="2">
        <f>DATE(2026,IF(Tabla1[[#This Row],[Mes de Fecha]]="Septiembre",9,10),Tabla1[[#This Row],[Día de Fecha]])</f>
        <v>46301</v>
      </c>
      <c r="G1776">
        <v>1130676658</v>
      </c>
      <c r="I1776">
        <v>36</v>
      </c>
      <c r="J1776">
        <v>0</v>
      </c>
      <c r="K1776" s="1">
        <v>2162229</v>
      </c>
    </row>
    <row r="1777" spans="1:11" x14ac:dyDescent="0.25">
      <c r="A1777" t="s">
        <v>9</v>
      </c>
      <c r="B1777" t="s">
        <v>123</v>
      </c>
      <c r="C1777" t="s">
        <v>867</v>
      </c>
      <c r="D1777" t="s">
        <v>14</v>
      </c>
      <c r="E1777">
        <v>6</v>
      </c>
      <c r="F1777" s="2">
        <f>DATE(2026,IF(Tabla1[[#This Row],[Mes de Fecha]]="Septiembre",9,10),Tabla1[[#This Row],[Día de Fecha]])</f>
        <v>46301</v>
      </c>
      <c r="G1777">
        <v>1140417159</v>
      </c>
      <c r="H1777" t="s">
        <v>124</v>
      </c>
      <c r="I1777">
        <v>11</v>
      </c>
      <c r="J1777">
        <v>0</v>
      </c>
      <c r="K1777" s="1">
        <v>711682</v>
      </c>
    </row>
    <row r="1778" spans="1:11" x14ac:dyDescent="0.25">
      <c r="A1778" t="s">
        <v>9</v>
      </c>
      <c r="B1778" t="s">
        <v>123</v>
      </c>
      <c r="C1778" t="s">
        <v>867</v>
      </c>
      <c r="D1778" t="s">
        <v>14</v>
      </c>
      <c r="E1778">
        <v>7</v>
      </c>
      <c r="F1778" s="2">
        <f>DATE(2026,IF(Tabla1[[#This Row],[Mes de Fecha]]="Septiembre",9,10),Tabla1[[#This Row],[Día de Fecha]])</f>
        <v>46302</v>
      </c>
      <c r="I1778">
        <v>0</v>
      </c>
      <c r="J1778" s="1">
        <v>1330974</v>
      </c>
      <c r="K1778">
        <v>0</v>
      </c>
    </row>
    <row r="1779" spans="1:11" x14ac:dyDescent="0.25">
      <c r="A1779" t="s">
        <v>9</v>
      </c>
      <c r="B1779" t="s">
        <v>123</v>
      </c>
      <c r="C1779" t="s">
        <v>867</v>
      </c>
      <c r="D1779" t="s">
        <v>14</v>
      </c>
      <c r="E1779">
        <v>7</v>
      </c>
      <c r="F1779" s="2">
        <f>DATE(2026,IF(Tabla1[[#This Row],[Mes de Fecha]]="Septiembre",9,10),Tabla1[[#This Row],[Día de Fecha]])</f>
        <v>46302</v>
      </c>
      <c r="G1779">
        <v>1112626038</v>
      </c>
      <c r="H1779" t="s">
        <v>125</v>
      </c>
      <c r="I1779">
        <v>21</v>
      </c>
      <c r="J1779">
        <v>0</v>
      </c>
      <c r="K1779" s="1">
        <v>1335296</v>
      </c>
    </row>
    <row r="1780" spans="1:11" x14ac:dyDescent="0.25">
      <c r="A1780" t="s">
        <v>9</v>
      </c>
      <c r="B1780" t="s">
        <v>123</v>
      </c>
      <c r="C1780" t="s">
        <v>867</v>
      </c>
      <c r="D1780" t="s">
        <v>14</v>
      </c>
      <c r="E1780">
        <v>7</v>
      </c>
      <c r="F1780" s="2">
        <f>DATE(2026,IF(Tabla1[[#This Row],[Mes de Fecha]]="Septiembre",9,10),Tabla1[[#This Row],[Día de Fecha]])</f>
        <v>46302</v>
      </c>
      <c r="G1780">
        <v>1130676658</v>
      </c>
      <c r="I1780">
        <v>26</v>
      </c>
      <c r="J1780">
        <v>0</v>
      </c>
      <c r="K1780" s="1">
        <v>1736261</v>
      </c>
    </row>
    <row r="1781" spans="1:11" x14ac:dyDescent="0.25">
      <c r="A1781" t="s">
        <v>9</v>
      </c>
      <c r="B1781" t="s">
        <v>123</v>
      </c>
      <c r="C1781" t="s">
        <v>867</v>
      </c>
      <c r="D1781" t="s">
        <v>14</v>
      </c>
      <c r="E1781">
        <v>7</v>
      </c>
      <c r="F1781" s="2">
        <f>DATE(2026,IF(Tabla1[[#This Row],[Mes de Fecha]]="Septiembre",9,10),Tabla1[[#This Row],[Día de Fecha]])</f>
        <v>46302</v>
      </c>
      <c r="G1781">
        <v>1140417159</v>
      </c>
      <c r="H1781" t="s">
        <v>124</v>
      </c>
      <c r="I1781">
        <v>1</v>
      </c>
      <c r="J1781">
        <v>0</v>
      </c>
      <c r="K1781" s="1">
        <v>-67268</v>
      </c>
    </row>
    <row r="1782" spans="1:11" x14ac:dyDescent="0.25">
      <c r="A1782" t="s">
        <v>9</v>
      </c>
      <c r="B1782" t="s">
        <v>145</v>
      </c>
      <c r="C1782" t="s">
        <v>867</v>
      </c>
      <c r="D1782" t="s">
        <v>11</v>
      </c>
      <c r="E1782">
        <v>23</v>
      </c>
      <c r="F1782" s="2">
        <f>DATE(2026,IF(Tabla1[[#This Row],[Mes de Fecha]]="Septiembre",9,10),Tabla1[[#This Row],[Día de Fecha]])</f>
        <v>46288</v>
      </c>
      <c r="I1782">
        <v>0</v>
      </c>
      <c r="J1782" s="1">
        <v>3664246</v>
      </c>
      <c r="K1782">
        <v>0</v>
      </c>
    </row>
    <row r="1783" spans="1:11" x14ac:dyDescent="0.25">
      <c r="A1783" t="s">
        <v>9</v>
      </c>
      <c r="B1783" t="s">
        <v>145</v>
      </c>
      <c r="C1783" t="s">
        <v>867</v>
      </c>
      <c r="D1783" t="s">
        <v>11</v>
      </c>
      <c r="E1783">
        <v>23</v>
      </c>
      <c r="F1783" s="2">
        <f>DATE(2026,IF(Tabla1[[#This Row],[Mes de Fecha]]="Septiembre",9,10),Tabla1[[#This Row],[Día de Fecha]])</f>
        <v>46288</v>
      </c>
      <c r="G1783">
        <v>1006289744</v>
      </c>
      <c r="H1783" t="s">
        <v>146</v>
      </c>
      <c r="I1783">
        <v>63</v>
      </c>
      <c r="J1783">
        <v>0</v>
      </c>
      <c r="K1783" s="1">
        <v>3463656</v>
      </c>
    </row>
    <row r="1784" spans="1:11" x14ac:dyDescent="0.25">
      <c r="A1784" t="s">
        <v>9</v>
      </c>
      <c r="B1784" t="s">
        <v>145</v>
      </c>
      <c r="C1784" t="s">
        <v>867</v>
      </c>
      <c r="D1784" t="s">
        <v>11</v>
      </c>
      <c r="E1784">
        <v>23</v>
      </c>
      <c r="F1784" s="2">
        <f>DATE(2026,IF(Tabla1[[#This Row],[Mes de Fecha]]="Septiembre",9,10),Tabla1[[#This Row],[Día de Fecha]])</f>
        <v>46288</v>
      </c>
      <c r="G1784">
        <v>1113791938</v>
      </c>
      <c r="H1784" t="s">
        <v>147</v>
      </c>
      <c r="I1784">
        <v>28</v>
      </c>
      <c r="J1784">
        <v>0</v>
      </c>
      <c r="K1784" s="1">
        <v>1521934</v>
      </c>
    </row>
    <row r="1785" spans="1:11" x14ac:dyDescent="0.25">
      <c r="A1785" t="s">
        <v>9</v>
      </c>
      <c r="B1785" t="s">
        <v>145</v>
      </c>
      <c r="C1785" t="s">
        <v>867</v>
      </c>
      <c r="D1785" t="s">
        <v>11</v>
      </c>
      <c r="E1785">
        <v>23</v>
      </c>
      <c r="F1785" s="2">
        <f>DATE(2026,IF(Tabla1[[#This Row],[Mes de Fecha]]="Septiembre",9,10),Tabla1[[#This Row],[Día de Fecha]])</f>
        <v>46288</v>
      </c>
      <c r="G1785">
        <v>1116271359</v>
      </c>
      <c r="H1785" t="s">
        <v>148</v>
      </c>
      <c r="I1785">
        <v>23</v>
      </c>
      <c r="J1785">
        <v>0</v>
      </c>
      <c r="K1785" s="1">
        <v>1150294</v>
      </c>
    </row>
    <row r="1786" spans="1:11" x14ac:dyDescent="0.25">
      <c r="A1786" t="s">
        <v>9</v>
      </c>
      <c r="B1786" t="s">
        <v>145</v>
      </c>
      <c r="C1786" t="s">
        <v>867</v>
      </c>
      <c r="D1786" t="s">
        <v>11</v>
      </c>
      <c r="E1786">
        <v>24</v>
      </c>
      <c r="F1786" s="2">
        <f>DATE(2026,IF(Tabla1[[#This Row],[Mes de Fecha]]="Septiembre",9,10),Tabla1[[#This Row],[Día de Fecha]])</f>
        <v>46289</v>
      </c>
      <c r="I1786">
        <v>0</v>
      </c>
      <c r="J1786" s="1">
        <v>9476454</v>
      </c>
      <c r="K1786">
        <v>0</v>
      </c>
    </row>
    <row r="1787" spans="1:11" x14ac:dyDescent="0.25">
      <c r="A1787" t="s">
        <v>9</v>
      </c>
      <c r="B1787" t="s">
        <v>145</v>
      </c>
      <c r="C1787" t="s">
        <v>867</v>
      </c>
      <c r="D1787" t="s">
        <v>11</v>
      </c>
      <c r="E1787">
        <v>24</v>
      </c>
      <c r="F1787" s="2">
        <f>DATE(2026,IF(Tabla1[[#This Row],[Mes de Fecha]]="Septiembre",9,10),Tabla1[[#This Row],[Día de Fecha]])</f>
        <v>46289</v>
      </c>
      <c r="G1787">
        <v>1006289744</v>
      </c>
      <c r="H1787" t="s">
        <v>146</v>
      </c>
      <c r="I1787">
        <v>83</v>
      </c>
      <c r="J1787">
        <v>0</v>
      </c>
      <c r="K1787" s="1">
        <v>4950297</v>
      </c>
    </row>
    <row r="1788" spans="1:11" x14ac:dyDescent="0.25">
      <c r="A1788" t="s">
        <v>9</v>
      </c>
      <c r="B1788" t="s">
        <v>145</v>
      </c>
      <c r="C1788" t="s">
        <v>867</v>
      </c>
      <c r="D1788" t="s">
        <v>11</v>
      </c>
      <c r="E1788">
        <v>24</v>
      </c>
      <c r="F1788" s="2">
        <f>DATE(2026,IF(Tabla1[[#This Row],[Mes de Fecha]]="Septiembre",9,10),Tabla1[[#This Row],[Día de Fecha]])</f>
        <v>46289</v>
      </c>
      <c r="G1788">
        <v>1113791938</v>
      </c>
      <c r="H1788" t="s">
        <v>147</v>
      </c>
      <c r="I1788">
        <v>45</v>
      </c>
      <c r="J1788">
        <v>0</v>
      </c>
      <c r="K1788" s="1">
        <v>2409876</v>
      </c>
    </row>
    <row r="1789" spans="1:11" x14ac:dyDescent="0.25">
      <c r="A1789" t="s">
        <v>9</v>
      </c>
      <c r="B1789" t="s">
        <v>145</v>
      </c>
      <c r="C1789" t="s">
        <v>867</v>
      </c>
      <c r="D1789" t="s">
        <v>11</v>
      </c>
      <c r="E1789">
        <v>24</v>
      </c>
      <c r="F1789" s="2">
        <f>DATE(2026,IF(Tabla1[[#This Row],[Mes de Fecha]]="Septiembre",9,10),Tabla1[[#This Row],[Día de Fecha]])</f>
        <v>46289</v>
      </c>
      <c r="G1789">
        <v>1116271359</v>
      </c>
      <c r="H1789" t="s">
        <v>148</v>
      </c>
      <c r="I1789">
        <v>24</v>
      </c>
      <c r="J1789">
        <v>0</v>
      </c>
      <c r="K1789" s="1">
        <v>1066262</v>
      </c>
    </row>
    <row r="1790" spans="1:11" x14ac:dyDescent="0.25">
      <c r="A1790" t="s">
        <v>9</v>
      </c>
      <c r="B1790" t="s">
        <v>145</v>
      </c>
      <c r="C1790" t="s">
        <v>867</v>
      </c>
      <c r="D1790" t="s">
        <v>11</v>
      </c>
      <c r="E1790">
        <v>25</v>
      </c>
      <c r="F1790" s="2">
        <f>DATE(2026,IF(Tabla1[[#This Row],[Mes de Fecha]]="Septiembre",9,10),Tabla1[[#This Row],[Día de Fecha]])</f>
        <v>46290</v>
      </c>
      <c r="I1790">
        <v>0</v>
      </c>
      <c r="J1790" s="1">
        <v>10121371</v>
      </c>
      <c r="K1790">
        <v>0</v>
      </c>
    </row>
    <row r="1791" spans="1:11" x14ac:dyDescent="0.25">
      <c r="A1791" t="s">
        <v>9</v>
      </c>
      <c r="B1791" t="s">
        <v>145</v>
      </c>
      <c r="C1791" t="s">
        <v>867</v>
      </c>
      <c r="D1791" t="s">
        <v>11</v>
      </c>
      <c r="E1791">
        <v>25</v>
      </c>
      <c r="F1791" s="2">
        <f>DATE(2026,IF(Tabla1[[#This Row],[Mes de Fecha]]="Septiembre",9,10),Tabla1[[#This Row],[Día de Fecha]])</f>
        <v>46290</v>
      </c>
      <c r="G1791">
        <v>1006289744</v>
      </c>
      <c r="H1791" t="s">
        <v>146</v>
      </c>
      <c r="I1791">
        <v>51</v>
      </c>
      <c r="J1791">
        <v>0</v>
      </c>
      <c r="K1791" s="1">
        <v>3069287</v>
      </c>
    </row>
    <row r="1792" spans="1:11" x14ac:dyDescent="0.25">
      <c r="A1792" t="s">
        <v>9</v>
      </c>
      <c r="B1792" t="s">
        <v>145</v>
      </c>
      <c r="C1792" t="s">
        <v>867</v>
      </c>
      <c r="D1792" t="s">
        <v>11</v>
      </c>
      <c r="E1792">
        <v>25</v>
      </c>
      <c r="F1792" s="2">
        <f>DATE(2026,IF(Tabla1[[#This Row],[Mes de Fecha]]="Septiembre",9,10),Tabla1[[#This Row],[Día de Fecha]])</f>
        <v>46290</v>
      </c>
      <c r="G1792">
        <v>1113791938</v>
      </c>
      <c r="H1792" t="s">
        <v>147</v>
      </c>
      <c r="I1792">
        <v>23</v>
      </c>
      <c r="J1792">
        <v>0</v>
      </c>
      <c r="K1792" s="1">
        <v>1446554</v>
      </c>
    </row>
    <row r="1793" spans="1:11" x14ac:dyDescent="0.25">
      <c r="A1793" t="s">
        <v>9</v>
      </c>
      <c r="B1793" t="s">
        <v>145</v>
      </c>
      <c r="C1793" t="s">
        <v>867</v>
      </c>
      <c r="D1793" t="s">
        <v>11</v>
      </c>
      <c r="E1793">
        <v>25</v>
      </c>
      <c r="F1793" s="2">
        <f>DATE(2026,IF(Tabla1[[#This Row],[Mes de Fecha]]="Septiembre",9,10),Tabla1[[#This Row],[Día de Fecha]])</f>
        <v>46290</v>
      </c>
      <c r="G1793">
        <v>1116271359</v>
      </c>
      <c r="H1793" t="s">
        <v>148</v>
      </c>
      <c r="I1793">
        <v>17</v>
      </c>
      <c r="J1793">
        <v>0</v>
      </c>
      <c r="K1793" s="1">
        <v>961472</v>
      </c>
    </row>
    <row r="1794" spans="1:11" x14ac:dyDescent="0.25">
      <c r="A1794" t="s">
        <v>9</v>
      </c>
      <c r="B1794" t="s">
        <v>145</v>
      </c>
      <c r="C1794" t="s">
        <v>867</v>
      </c>
      <c r="D1794" t="s">
        <v>11</v>
      </c>
      <c r="E1794">
        <v>26</v>
      </c>
      <c r="F1794" s="2">
        <f>DATE(2026,IF(Tabla1[[#This Row],[Mes de Fecha]]="Septiembre",9,10),Tabla1[[#This Row],[Día de Fecha]])</f>
        <v>46291</v>
      </c>
      <c r="I1794">
        <v>0</v>
      </c>
      <c r="J1794" s="1">
        <v>12762793</v>
      </c>
      <c r="K1794">
        <v>0</v>
      </c>
    </row>
    <row r="1795" spans="1:11" x14ac:dyDescent="0.25">
      <c r="A1795" t="s">
        <v>9</v>
      </c>
      <c r="B1795" t="s">
        <v>145</v>
      </c>
      <c r="C1795" t="s">
        <v>867</v>
      </c>
      <c r="D1795" t="s">
        <v>11</v>
      </c>
      <c r="E1795">
        <v>26</v>
      </c>
      <c r="F1795" s="2">
        <f>DATE(2026,IF(Tabla1[[#This Row],[Mes de Fecha]]="Septiembre",9,10),Tabla1[[#This Row],[Día de Fecha]])</f>
        <v>46291</v>
      </c>
      <c r="G1795">
        <v>1006289744</v>
      </c>
      <c r="H1795" t="s">
        <v>146</v>
      </c>
      <c r="I1795">
        <v>182</v>
      </c>
      <c r="J1795">
        <v>0</v>
      </c>
      <c r="K1795" s="1">
        <v>10765304</v>
      </c>
    </row>
    <row r="1796" spans="1:11" x14ac:dyDescent="0.25">
      <c r="A1796" t="s">
        <v>9</v>
      </c>
      <c r="B1796" t="s">
        <v>145</v>
      </c>
      <c r="C1796" t="s">
        <v>867</v>
      </c>
      <c r="D1796" t="s">
        <v>11</v>
      </c>
      <c r="E1796">
        <v>26</v>
      </c>
      <c r="F1796" s="2">
        <f>DATE(2026,IF(Tabla1[[#This Row],[Mes de Fecha]]="Septiembre",9,10),Tabla1[[#This Row],[Día de Fecha]])</f>
        <v>46291</v>
      </c>
      <c r="G1796">
        <v>1113791938</v>
      </c>
      <c r="H1796" t="s">
        <v>147</v>
      </c>
      <c r="I1796">
        <v>64</v>
      </c>
      <c r="J1796">
        <v>0</v>
      </c>
      <c r="K1796" s="1">
        <v>3715801</v>
      </c>
    </row>
    <row r="1797" spans="1:11" x14ac:dyDescent="0.25">
      <c r="A1797" t="s">
        <v>9</v>
      </c>
      <c r="B1797" t="s">
        <v>145</v>
      </c>
      <c r="C1797" t="s">
        <v>867</v>
      </c>
      <c r="D1797" t="s">
        <v>11</v>
      </c>
      <c r="E1797">
        <v>26</v>
      </c>
      <c r="F1797" s="2">
        <f>DATE(2026,IF(Tabla1[[#This Row],[Mes de Fecha]]="Septiembre",9,10),Tabla1[[#This Row],[Día de Fecha]])</f>
        <v>46291</v>
      </c>
      <c r="G1797">
        <v>1116271359</v>
      </c>
      <c r="H1797" t="s">
        <v>148</v>
      </c>
      <c r="I1797">
        <v>49</v>
      </c>
      <c r="J1797">
        <v>0</v>
      </c>
      <c r="K1797" s="1">
        <v>2472736</v>
      </c>
    </row>
    <row r="1798" spans="1:11" x14ac:dyDescent="0.25">
      <c r="A1798" t="s">
        <v>9</v>
      </c>
      <c r="B1798" t="s">
        <v>145</v>
      </c>
      <c r="C1798" t="s">
        <v>867</v>
      </c>
      <c r="D1798" t="s">
        <v>11</v>
      </c>
      <c r="E1798">
        <v>26</v>
      </c>
      <c r="F1798" s="2">
        <f>DATE(2026,IF(Tabla1[[#This Row],[Mes de Fecha]]="Septiembre",9,10),Tabla1[[#This Row],[Día de Fecha]])</f>
        <v>46291</v>
      </c>
      <c r="G1798">
        <v>1130676658</v>
      </c>
      <c r="I1798">
        <v>-1</v>
      </c>
      <c r="J1798">
        <v>0</v>
      </c>
      <c r="K1798" s="1">
        <v>-71386</v>
      </c>
    </row>
    <row r="1799" spans="1:11" x14ac:dyDescent="0.25">
      <c r="A1799" t="s">
        <v>9</v>
      </c>
      <c r="B1799" t="s">
        <v>145</v>
      </c>
      <c r="C1799" t="s">
        <v>867</v>
      </c>
      <c r="D1799" t="s">
        <v>11</v>
      </c>
      <c r="E1799">
        <v>27</v>
      </c>
      <c r="F1799" s="2">
        <f>DATE(2026,IF(Tabla1[[#This Row],[Mes de Fecha]]="Septiembre",9,10),Tabla1[[#This Row],[Día de Fecha]])</f>
        <v>46292</v>
      </c>
      <c r="I1799">
        <v>0</v>
      </c>
      <c r="J1799" s="1">
        <v>6738634</v>
      </c>
      <c r="K1799">
        <v>0</v>
      </c>
    </row>
    <row r="1800" spans="1:11" x14ac:dyDescent="0.25">
      <c r="A1800" t="s">
        <v>9</v>
      </c>
      <c r="B1800" t="s">
        <v>145</v>
      </c>
      <c r="C1800" t="s">
        <v>867</v>
      </c>
      <c r="D1800" t="s">
        <v>11</v>
      </c>
      <c r="E1800">
        <v>27</v>
      </c>
      <c r="F1800" s="2">
        <f>DATE(2026,IF(Tabla1[[#This Row],[Mes de Fecha]]="Septiembre",9,10),Tabla1[[#This Row],[Día de Fecha]])</f>
        <v>46292</v>
      </c>
      <c r="G1800">
        <v>1006289744</v>
      </c>
      <c r="H1800" t="s">
        <v>146</v>
      </c>
      <c r="I1800">
        <v>86</v>
      </c>
      <c r="J1800">
        <v>0</v>
      </c>
      <c r="K1800" s="1">
        <v>4674792</v>
      </c>
    </row>
    <row r="1801" spans="1:11" x14ac:dyDescent="0.25">
      <c r="A1801" t="s">
        <v>9</v>
      </c>
      <c r="B1801" t="s">
        <v>145</v>
      </c>
      <c r="C1801" t="s">
        <v>867</v>
      </c>
      <c r="D1801" t="s">
        <v>11</v>
      </c>
      <c r="E1801">
        <v>27</v>
      </c>
      <c r="F1801" s="2">
        <f>DATE(2026,IF(Tabla1[[#This Row],[Mes de Fecha]]="Septiembre",9,10),Tabla1[[#This Row],[Día de Fecha]])</f>
        <v>46292</v>
      </c>
      <c r="G1801">
        <v>1113791938</v>
      </c>
      <c r="H1801" t="s">
        <v>147</v>
      </c>
      <c r="I1801">
        <v>47</v>
      </c>
      <c r="J1801">
        <v>0</v>
      </c>
      <c r="K1801" s="1">
        <v>2731092</v>
      </c>
    </row>
    <row r="1802" spans="1:11" x14ac:dyDescent="0.25">
      <c r="A1802" t="s">
        <v>9</v>
      </c>
      <c r="B1802" t="s">
        <v>145</v>
      </c>
      <c r="C1802" t="s">
        <v>867</v>
      </c>
      <c r="D1802" t="s">
        <v>11</v>
      </c>
      <c r="E1802">
        <v>27</v>
      </c>
      <c r="F1802" s="2">
        <f>DATE(2026,IF(Tabla1[[#This Row],[Mes de Fecha]]="Septiembre",9,10),Tabla1[[#This Row],[Día de Fecha]])</f>
        <v>46292</v>
      </c>
      <c r="G1802">
        <v>1116271359</v>
      </c>
      <c r="H1802" t="s">
        <v>148</v>
      </c>
      <c r="I1802">
        <v>12</v>
      </c>
      <c r="J1802">
        <v>0</v>
      </c>
      <c r="K1802" s="1">
        <v>600295</v>
      </c>
    </row>
    <row r="1803" spans="1:11" x14ac:dyDescent="0.25">
      <c r="A1803" t="s">
        <v>9</v>
      </c>
      <c r="B1803" t="s">
        <v>145</v>
      </c>
      <c r="C1803" t="s">
        <v>867</v>
      </c>
      <c r="D1803" t="s">
        <v>11</v>
      </c>
      <c r="E1803">
        <v>28</v>
      </c>
      <c r="F1803" s="2">
        <f>DATE(2026,IF(Tabla1[[#This Row],[Mes de Fecha]]="Septiembre",9,10),Tabla1[[#This Row],[Día de Fecha]])</f>
        <v>46293</v>
      </c>
      <c r="I1803">
        <v>0</v>
      </c>
      <c r="J1803" s="1">
        <v>5524947</v>
      </c>
      <c r="K1803">
        <v>0</v>
      </c>
    </row>
    <row r="1804" spans="1:11" x14ac:dyDescent="0.25">
      <c r="A1804" t="s">
        <v>9</v>
      </c>
      <c r="B1804" t="s">
        <v>145</v>
      </c>
      <c r="C1804" t="s">
        <v>867</v>
      </c>
      <c r="D1804" t="s">
        <v>11</v>
      </c>
      <c r="E1804">
        <v>28</v>
      </c>
      <c r="F1804" s="2">
        <f>DATE(2026,IF(Tabla1[[#This Row],[Mes de Fecha]]="Septiembre",9,10),Tabla1[[#This Row],[Día de Fecha]])</f>
        <v>46293</v>
      </c>
      <c r="G1804">
        <v>1006289744</v>
      </c>
      <c r="H1804" t="s">
        <v>146</v>
      </c>
      <c r="I1804">
        <v>62</v>
      </c>
      <c r="J1804">
        <v>0</v>
      </c>
      <c r="K1804" s="1">
        <v>3730254</v>
      </c>
    </row>
    <row r="1805" spans="1:11" x14ac:dyDescent="0.25">
      <c r="A1805" t="s">
        <v>9</v>
      </c>
      <c r="B1805" t="s">
        <v>145</v>
      </c>
      <c r="C1805" t="s">
        <v>867</v>
      </c>
      <c r="D1805" t="s">
        <v>11</v>
      </c>
      <c r="E1805">
        <v>28</v>
      </c>
      <c r="F1805" s="2">
        <f>DATE(2026,IF(Tabla1[[#This Row],[Mes de Fecha]]="Septiembre",9,10),Tabla1[[#This Row],[Día de Fecha]])</f>
        <v>46293</v>
      </c>
      <c r="G1805">
        <v>1113791938</v>
      </c>
      <c r="H1805" t="s">
        <v>147</v>
      </c>
      <c r="I1805">
        <v>39</v>
      </c>
      <c r="J1805">
        <v>0</v>
      </c>
      <c r="K1805" s="1">
        <v>2250380</v>
      </c>
    </row>
    <row r="1806" spans="1:11" x14ac:dyDescent="0.25">
      <c r="A1806" t="s">
        <v>9</v>
      </c>
      <c r="B1806" t="s">
        <v>145</v>
      </c>
      <c r="C1806" t="s">
        <v>867</v>
      </c>
      <c r="D1806" t="s">
        <v>11</v>
      </c>
      <c r="E1806">
        <v>28</v>
      </c>
      <c r="F1806" s="2">
        <f>DATE(2026,IF(Tabla1[[#This Row],[Mes de Fecha]]="Septiembre",9,10),Tabla1[[#This Row],[Día de Fecha]])</f>
        <v>46293</v>
      </c>
      <c r="G1806">
        <v>1116271359</v>
      </c>
      <c r="H1806" t="s">
        <v>148</v>
      </c>
      <c r="I1806">
        <v>11</v>
      </c>
      <c r="J1806">
        <v>0</v>
      </c>
      <c r="K1806" s="1">
        <v>717983</v>
      </c>
    </row>
    <row r="1807" spans="1:11" x14ac:dyDescent="0.25">
      <c r="A1807" t="s">
        <v>9</v>
      </c>
      <c r="B1807" t="s">
        <v>145</v>
      </c>
      <c r="C1807" t="s">
        <v>867</v>
      </c>
      <c r="D1807" t="s">
        <v>11</v>
      </c>
      <c r="E1807">
        <v>29</v>
      </c>
      <c r="F1807" s="2">
        <f>DATE(2026,IF(Tabla1[[#This Row],[Mes de Fecha]]="Septiembre",9,10),Tabla1[[#This Row],[Día de Fecha]])</f>
        <v>46294</v>
      </c>
      <c r="I1807">
        <v>0</v>
      </c>
      <c r="J1807" s="1">
        <v>6142105</v>
      </c>
      <c r="K1807">
        <v>0</v>
      </c>
    </row>
    <row r="1808" spans="1:11" x14ac:dyDescent="0.25">
      <c r="A1808" t="s">
        <v>9</v>
      </c>
      <c r="B1808" t="s">
        <v>145</v>
      </c>
      <c r="C1808" t="s">
        <v>867</v>
      </c>
      <c r="D1808" t="s">
        <v>11</v>
      </c>
      <c r="E1808">
        <v>29</v>
      </c>
      <c r="F1808" s="2">
        <f>DATE(2026,IF(Tabla1[[#This Row],[Mes de Fecha]]="Septiembre",9,10),Tabla1[[#This Row],[Día de Fecha]])</f>
        <v>46294</v>
      </c>
      <c r="G1808">
        <v>1006289744</v>
      </c>
      <c r="H1808" t="s">
        <v>146</v>
      </c>
      <c r="I1808">
        <v>86</v>
      </c>
      <c r="J1808">
        <v>0</v>
      </c>
      <c r="K1808" s="1">
        <v>4575927</v>
      </c>
    </row>
    <row r="1809" spans="1:11" x14ac:dyDescent="0.25">
      <c r="A1809" t="s">
        <v>9</v>
      </c>
      <c r="B1809" t="s">
        <v>145</v>
      </c>
      <c r="C1809" t="s">
        <v>867</v>
      </c>
      <c r="D1809" t="s">
        <v>11</v>
      </c>
      <c r="E1809">
        <v>29</v>
      </c>
      <c r="F1809" s="2">
        <f>DATE(2026,IF(Tabla1[[#This Row],[Mes de Fecha]]="Septiembre",9,10),Tabla1[[#This Row],[Día de Fecha]])</f>
        <v>46294</v>
      </c>
      <c r="G1809">
        <v>1113791938</v>
      </c>
      <c r="H1809" t="s">
        <v>147</v>
      </c>
      <c r="I1809">
        <v>30</v>
      </c>
      <c r="J1809">
        <v>0</v>
      </c>
      <c r="K1809" s="1">
        <v>1696136</v>
      </c>
    </row>
    <row r="1810" spans="1:11" x14ac:dyDescent="0.25">
      <c r="A1810" t="s">
        <v>9</v>
      </c>
      <c r="B1810" t="s">
        <v>145</v>
      </c>
      <c r="C1810" t="s">
        <v>867</v>
      </c>
      <c r="D1810" t="s">
        <v>11</v>
      </c>
      <c r="E1810">
        <v>29</v>
      </c>
      <c r="F1810" s="2">
        <f>DATE(2026,IF(Tabla1[[#This Row],[Mes de Fecha]]="Septiembre",9,10),Tabla1[[#This Row],[Día de Fecha]])</f>
        <v>46294</v>
      </c>
      <c r="G1810">
        <v>1116271359</v>
      </c>
      <c r="H1810" t="s">
        <v>148</v>
      </c>
      <c r="I1810">
        <v>12</v>
      </c>
      <c r="J1810">
        <v>0</v>
      </c>
      <c r="K1810" s="1">
        <v>659076</v>
      </c>
    </row>
    <row r="1811" spans="1:11" x14ac:dyDescent="0.25">
      <c r="A1811" t="s">
        <v>9</v>
      </c>
      <c r="B1811" t="s">
        <v>145</v>
      </c>
      <c r="C1811" t="s">
        <v>867</v>
      </c>
      <c r="D1811" t="s">
        <v>11</v>
      </c>
      <c r="E1811">
        <v>30</v>
      </c>
      <c r="F1811" s="2">
        <f>DATE(2026,IF(Tabla1[[#This Row],[Mes de Fecha]]="Septiembre",9,10),Tabla1[[#This Row],[Día de Fecha]])</f>
        <v>46295</v>
      </c>
      <c r="I1811">
        <v>0</v>
      </c>
      <c r="J1811" s="1">
        <v>6504684</v>
      </c>
      <c r="K1811">
        <v>0</v>
      </c>
    </row>
    <row r="1812" spans="1:11" x14ac:dyDescent="0.25">
      <c r="A1812" t="s">
        <v>9</v>
      </c>
      <c r="B1812" t="s">
        <v>145</v>
      </c>
      <c r="C1812" t="s">
        <v>867</v>
      </c>
      <c r="D1812" t="s">
        <v>11</v>
      </c>
      <c r="E1812">
        <v>30</v>
      </c>
      <c r="F1812" s="2">
        <f>DATE(2026,IF(Tabla1[[#This Row],[Mes de Fecha]]="Septiembre",9,10),Tabla1[[#This Row],[Día de Fecha]])</f>
        <v>46295</v>
      </c>
      <c r="G1812">
        <v>1006289744</v>
      </c>
      <c r="H1812" t="s">
        <v>146</v>
      </c>
      <c r="I1812">
        <v>87</v>
      </c>
      <c r="J1812">
        <v>0</v>
      </c>
      <c r="K1812" s="1">
        <v>4527524</v>
      </c>
    </row>
    <row r="1813" spans="1:11" x14ac:dyDescent="0.25">
      <c r="A1813" t="s">
        <v>9</v>
      </c>
      <c r="B1813" t="s">
        <v>145</v>
      </c>
      <c r="C1813" t="s">
        <v>867</v>
      </c>
      <c r="D1813" t="s">
        <v>11</v>
      </c>
      <c r="E1813">
        <v>30</v>
      </c>
      <c r="F1813" s="2">
        <f>DATE(2026,IF(Tabla1[[#This Row],[Mes de Fecha]]="Septiembre",9,10),Tabla1[[#This Row],[Día de Fecha]])</f>
        <v>46295</v>
      </c>
      <c r="G1813">
        <v>1113791938</v>
      </c>
      <c r="H1813" t="s">
        <v>147</v>
      </c>
      <c r="I1813">
        <v>27</v>
      </c>
      <c r="J1813">
        <v>0</v>
      </c>
      <c r="K1813" s="1">
        <v>1599622</v>
      </c>
    </row>
    <row r="1814" spans="1:11" x14ac:dyDescent="0.25">
      <c r="A1814" t="s">
        <v>9</v>
      </c>
      <c r="B1814" t="s">
        <v>145</v>
      </c>
      <c r="C1814" t="s">
        <v>867</v>
      </c>
      <c r="D1814" t="s">
        <v>11</v>
      </c>
      <c r="E1814">
        <v>30</v>
      </c>
      <c r="F1814" s="2">
        <f>DATE(2026,IF(Tabla1[[#This Row],[Mes de Fecha]]="Septiembre",9,10),Tabla1[[#This Row],[Día de Fecha]])</f>
        <v>46295</v>
      </c>
      <c r="G1814">
        <v>1116271359</v>
      </c>
      <c r="H1814" t="s">
        <v>148</v>
      </c>
      <c r="I1814">
        <v>9</v>
      </c>
      <c r="J1814">
        <v>0</v>
      </c>
      <c r="K1814" s="1">
        <v>438657</v>
      </c>
    </row>
    <row r="1815" spans="1:11" x14ac:dyDescent="0.25">
      <c r="A1815" t="s">
        <v>9</v>
      </c>
      <c r="B1815" t="s">
        <v>145</v>
      </c>
      <c r="C1815" t="s">
        <v>867</v>
      </c>
      <c r="D1815" t="s">
        <v>14</v>
      </c>
      <c r="E1815">
        <v>1</v>
      </c>
      <c r="F1815" s="2">
        <f>DATE(2026,IF(Tabla1[[#This Row],[Mes de Fecha]]="Septiembre",9,10),Tabla1[[#This Row],[Día de Fecha]])</f>
        <v>46296</v>
      </c>
      <c r="I1815">
        <v>0</v>
      </c>
      <c r="J1815" s="1">
        <v>7115583</v>
      </c>
      <c r="K1815">
        <v>0</v>
      </c>
    </row>
    <row r="1816" spans="1:11" x14ac:dyDescent="0.25">
      <c r="A1816" t="s">
        <v>9</v>
      </c>
      <c r="B1816" t="s">
        <v>145</v>
      </c>
      <c r="C1816" t="s">
        <v>867</v>
      </c>
      <c r="D1816" t="s">
        <v>14</v>
      </c>
      <c r="E1816">
        <v>1</v>
      </c>
      <c r="F1816" s="2">
        <f>DATE(2026,IF(Tabla1[[#This Row],[Mes de Fecha]]="Septiembre",9,10),Tabla1[[#This Row],[Día de Fecha]])</f>
        <v>46296</v>
      </c>
      <c r="G1816">
        <v>1006289744</v>
      </c>
      <c r="H1816" t="s">
        <v>146</v>
      </c>
      <c r="I1816">
        <v>52</v>
      </c>
      <c r="J1816">
        <v>0</v>
      </c>
      <c r="K1816" s="1">
        <v>2737105</v>
      </c>
    </row>
    <row r="1817" spans="1:11" x14ac:dyDescent="0.25">
      <c r="A1817" t="s">
        <v>9</v>
      </c>
      <c r="B1817" t="s">
        <v>145</v>
      </c>
      <c r="C1817" t="s">
        <v>867</v>
      </c>
      <c r="D1817" t="s">
        <v>14</v>
      </c>
      <c r="E1817">
        <v>1</v>
      </c>
      <c r="F1817" s="2">
        <f>DATE(2026,IF(Tabla1[[#This Row],[Mes de Fecha]]="Septiembre",9,10),Tabla1[[#This Row],[Día de Fecha]])</f>
        <v>46296</v>
      </c>
      <c r="G1817">
        <v>1113791938</v>
      </c>
      <c r="H1817" t="s">
        <v>147</v>
      </c>
      <c r="I1817">
        <v>43</v>
      </c>
      <c r="J1817">
        <v>0</v>
      </c>
      <c r="K1817" s="1">
        <v>2214290</v>
      </c>
    </row>
    <row r="1818" spans="1:11" x14ac:dyDescent="0.25">
      <c r="A1818" t="s">
        <v>9</v>
      </c>
      <c r="B1818" t="s">
        <v>145</v>
      </c>
      <c r="C1818" t="s">
        <v>867</v>
      </c>
      <c r="D1818" t="s">
        <v>14</v>
      </c>
      <c r="E1818">
        <v>1</v>
      </c>
      <c r="F1818" s="2">
        <f>DATE(2026,IF(Tabla1[[#This Row],[Mes de Fecha]]="Septiembre",9,10),Tabla1[[#This Row],[Día de Fecha]])</f>
        <v>46296</v>
      </c>
      <c r="G1818">
        <v>1116271359</v>
      </c>
      <c r="H1818" t="s">
        <v>148</v>
      </c>
      <c r="I1818">
        <v>18</v>
      </c>
      <c r="J1818">
        <v>0</v>
      </c>
      <c r="K1818" s="1">
        <v>929874</v>
      </c>
    </row>
    <row r="1819" spans="1:11" x14ac:dyDescent="0.25">
      <c r="A1819" t="s">
        <v>9</v>
      </c>
      <c r="B1819" t="s">
        <v>145</v>
      </c>
      <c r="C1819" t="s">
        <v>867</v>
      </c>
      <c r="D1819" t="s">
        <v>14</v>
      </c>
      <c r="E1819">
        <v>2</v>
      </c>
      <c r="F1819" s="2">
        <f>DATE(2026,IF(Tabla1[[#This Row],[Mes de Fecha]]="Septiembre",9,10),Tabla1[[#This Row],[Día de Fecha]])</f>
        <v>46297</v>
      </c>
      <c r="I1819">
        <v>0</v>
      </c>
      <c r="J1819" s="1">
        <v>8457847</v>
      </c>
      <c r="K1819">
        <v>0</v>
      </c>
    </row>
    <row r="1820" spans="1:11" x14ac:dyDescent="0.25">
      <c r="A1820" t="s">
        <v>9</v>
      </c>
      <c r="B1820" t="s">
        <v>145</v>
      </c>
      <c r="C1820" t="s">
        <v>867</v>
      </c>
      <c r="D1820" t="s">
        <v>14</v>
      </c>
      <c r="E1820">
        <v>2</v>
      </c>
      <c r="F1820" s="2">
        <f>DATE(2026,IF(Tabla1[[#This Row],[Mes de Fecha]]="Septiembre",9,10),Tabla1[[#This Row],[Día de Fecha]])</f>
        <v>46297</v>
      </c>
      <c r="G1820">
        <v>1006289744</v>
      </c>
      <c r="H1820" t="s">
        <v>146</v>
      </c>
      <c r="I1820">
        <v>42</v>
      </c>
      <c r="J1820">
        <v>0</v>
      </c>
      <c r="K1820" s="1">
        <v>2517104</v>
      </c>
    </row>
    <row r="1821" spans="1:11" x14ac:dyDescent="0.25">
      <c r="A1821" t="s">
        <v>9</v>
      </c>
      <c r="B1821" t="s">
        <v>145</v>
      </c>
      <c r="C1821" t="s">
        <v>867</v>
      </c>
      <c r="D1821" t="s">
        <v>14</v>
      </c>
      <c r="E1821">
        <v>2</v>
      </c>
      <c r="F1821" s="2">
        <f>DATE(2026,IF(Tabla1[[#This Row],[Mes de Fecha]]="Septiembre",9,10),Tabla1[[#This Row],[Día de Fecha]])</f>
        <v>46297</v>
      </c>
      <c r="G1821">
        <v>1113791938</v>
      </c>
      <c r="H1821" t="s">
        <v>147</v>
      </c>
      <c r="I1821">
        <v>31</v>
      </c>
      <c r="J1821">
        <v>0</v>
      </c>
      <c r="K1821" s="1">
        <v>1990171</v>
      </c>
    </row>
    <row r="1822" spans="1:11" x14ac:dyDescent="0.25">
      <c r="A1822" t="s">
        <v>9</v>
      </c>
      <c r="B1822" t="s">
        <v>145</v>
      </c>
      <c r="C1822" t="s">
        <v>867</v>
      </c>
      <c r="D1822" t="s">
        <v>14</v>
      </c>
      <c r="E1822">
        <v>2</v>
      </c>
      <c r="F1822" s="2">
        <f>DATE(2026,IF(Tabla1[[#This Row],[Mes de Fecha]]="Septiembre",9,10),Tabla1[[#This Row],[Día de Fecha]])</f>
        <v>46297</v>
      </c>
      <c r="G1822">
        <v>1116271359</v>
      </c>
      <c r="H1822" t="s">
        <v>148</v>
      </c>
      <c r="I1822">
        <v>24</v>
      </c>
      <c r="J1822">
        <v>0</v>
      </c>
      <c r="K1822" s="1">
        <v>1129245</v>
      </c>
    </row>
    <row r="1823" spans="1:11" x14ac:dyDescent="0.25">
      <c r="A1823" t="s">
        <v>9</v>
      </c>
      <c r="B1823" t="s">
        <v>145</v>
      </c>
      <c r="C1823" t="s">
        <v>867</v>
      </c>
      <c r="D1823" t="s">
        <v>14</v>
      </c>
      <c r="E1823">
        <v>3</v>
      </c>
      <c r="F1823" s="2">
        <f>DATE(2026,IF(Tabla1[[#This Row],[Mes de Fecha]]="Septiembre",9,10),Tabla1[[#This Row],[Día de Fecha]])</f>
        <v>46298</v>
      </c>
      <c r="I1823">
        <v>0</v>
      </c>
      <c r="J1823" s="1">
        <v>14819179</v>
      </c>
      <c r="K1823">
        <v>0</v>
      </c>
    </row>
    <row r="1824" spans="1:11" x14ac:dyDescent="0.25">
      <c r="A1824" t="s">
        <v>9</v>
      </c>
      <c r="B1824" t="s">
        <v>145</v>
      </c>
      <c r="C1824" t="s">
        <v>867</v>
      </c>
      <c r="D1824" t="s">
        <v>14</v>
      </c>
      <c r="E1824">
        <v>3</v>
      </c>
      <c r="F1824" s="2">
        <f>DATE(2026,IF(Tabla1[[#This Row],[Mes de Fecha]]="Septiembre",9,10),Tabla1[[#This Row],[Día de Fecha]])</f>
        <v>46298</v>
      </c>
      <c r="G1824">
        <v>1006289744</v>
      </c>
      <c r="H1824" t="s">
        <v>146</v>
      </c>
      <c r="I1824">
        <v>97</v>
      </c>
      <c r="J1824">
        <v>0</v>
      </c>
      <c r="K1824" s="1">
        <v>5317398</v>
      </c>
    </row>
    <row r="1825" spans="1:11" x14ac:dyDescent="0.25">
      <c r="A1825" t="s">
        <v>9</v>
      </c>
      <c r="B1825" t="s">
        <v>145</v>
      </c>
      <c r="C1825" t="s">
        <v>867</v>
      </c>
      <c r="D1825" t="s">
        <v>14</v>
      </c>
      <c r="E1825">
        <v>3</v>
      </c>
      <c r="F1825" s="2">
        <f>DATE(2026,IF(Tabla1[[#This Row],[Mes de Fecha]]="Septiembre",9,10),Tabla1[[#This Row],[Día de Fecha]])</f>
        <v>46298</v>
      </c>
      <c r="G1825">
        <v>1113791938</v>
      </c>
      <c r="H1825" t="s">
        <v>147</v>
      </c>
      <c r="I1825">
        <v>116</v>
      </c>
      <c r="J1825">
        <v>0</v>
      </c>
      <c r="K1825" s="1">
        <v>6228677</v>
      </c>
    </row>
    <row r="1826" spans="1:11" x14ac:dyDescent="0.25">
      <c r="A1826" t="s">
        <v>9</v>
      </c>
      <c r="B1826" t="s">
        <v>145</v>
      </c>
      <c r="C1826" t="s">
        <v>867</v>
      </c>
      <c r="D1826" t="s">
        <v>14</v>
      </c>
      <c r="E1826">
        <v>3</v>
      </c>
      <c r="F1826" s="2">
        <f>DATE(2026,IF(Tabla1[[#This Row],[Mes de Fecha]]="Septiembre",9,10),Tabla1[[#This Row],[Día de Fecha]])</f>
        <v>46298</v>
      </c>
      <c r="G1826">
        <v>1116271359</v>
      </c>
      <c r="H1826" t="s">
        <v>148</v>
      </c>
      <c r="I1826">
        <v>72</v>
      </c>
      <c r="J1826">
        <v>0</v>
      </c>
      <c r="K1826" s="1">
        <v>3720649</v>
      </c>
    </row>
    <row r="1827" spans="1:11" x14ac:dyDescent="0.25">
      <c r="A1827" t="s">
        <v>9</v>
      </c>
      <c r="B1827" t="s">
        <v>145</v>
      </c>
      <c r="C1827" t="s">
        <v>867</v>
      </c>
      <c r="D1827" t="s">
        <v>14</v>
      </c>
      <c r="E1827">
        <v>4</v>
      </c>
      <c r="F1827" s="2">
        <f>DATE(2026,IF(Tabla1[[#This Row],[Mes de Fecha]]="Septiembre",9,10),Tabla1[[#This Row],[Día de Fecha]])</f>
        <v>46299</v>
      </c>
      <c r="I1827">
        <v>0</v>
      </c>
      <c r="J1827" s="1">
        <v>7940010</v>
      </c>
      <c r="K1827">
        <v>0</v>
      </c>
    </row>
    <row r="1828" spans="1:11" x14ac:dyDescent="0.25">
      <c r="A1828" t="s">
        <v>9</v>
      </c>
      <c r="B1828" t="s">
        <v>145</v>
      </c>
      <c r="C1828" t="s">
        <v>867</v>
      </c>
      <c r="D1828" t="s">
        <v>14</v>
      </c>
      <c r="E1828">
        <v>4</v>
      </c>
      <c r="F1828" s="2">
        <f>DATE(2026,IF(Tabla1[[#This Row],[Mes de Fecha]]="Septiembre",9,10),Tabla1[[#This Row],[Día de Fecha]])</f>
        <v>46299</v>
      </c>
      <c r="G1828">
        <v>1006289744</v>
      </c>
      <c r="H1828" t="s">
        <v>146</v>
      </c>
      <c r="I1828">
        <v>56</v>
      </c>
      <c r="J1828">
        <v>0</v>
      </c>
      <c r="K1828" s="1">
        <v>3497648</v>
      </c>
    </row>
    <row r="1829" spans="1:11" x14ac:dyDescent="0.25">
      <c r="A1829" t="s">
        <v>9</v>
      </c>
      <c r="B1829" t="s">
        <v>145</v>
      </c>
      <c r="C1829" t="s">
        <v>867</v>
      </c>
      <c r="D1829" t="s">
        <v>14</v>
      </c>
      <c r="E1829">
        <v>4</v>
      </c>
      <c r="F1829" s="2">
        <f>DATE(2026,IF(Tabla1[[#This Row],[Mes de Fecha]]="Septiembre",9,10),Tabla1[[#This Row],[Día de Fecha]])</f>
        <v>46299</v>
      </c>
      <c r="G1829">
        <v>1113791938</v>
      </c>
      <c r="H1829" t="s">
        <v>147</v>
      </c>
      <c r="I1829">
        <v>43</v>
      </c>
      <c r="J1829">
        <v>0</v>
      </c>
      <c r="K1829" s="1">
        <v>2587026</v>
      </c>
    </row>
    <row r="1830" spans="1:11" x14ac:dyDescent="0.25">
      <c r="A1830" t="s">
        <v>9</v>
      </c>
      <c r="B1830" t="s">
        <v>145</v>
      </c>
      <c r="C1830" t="s">
        <v>867</v>
      </c>
      <c r="D1830" t="s">
        <v>14</v>
      </c>
      <c r="E1830">
        <v>4</v>
      </c>
      <c r="F1830" s="2">
        <f>DATE(2026,IF(Tabla1[[#This Row],[Mes de Fecha]]="Septiembre",9,10),Tabla1[[#This Row],[Día de Fecha]])</f>
        <v>46299</v>
      </c>
      <c r="G1830">
        <v>1116271359</v>
      </c>
      <c r="H1830" t="s">
        <v>148</v>
      </c>
      <c r="I1830">
        <v>21</v>
      </c>
      <c r="J1830">
        <v>0</v>
      </c>
      <c r="K1830" s="1">
        <v>1364623</v>
      </c>
    </row>
    <row r="1831" spans="1:11" x14ac:dyDescent="0.25">
      <c r="A1831" t="s">
        <v>9</v>
      </c>
      <c r="B1831" t="s">
        <v>145</v>
      </c>
      <c r="C1831" t="s">
        <v>867</v>
      </c>
      <c r="D1831" t="s">
        <v>14</v>
      </c>
      <c r="E1831">
        <v>5</v>
      </c>
      <c r="F1831" s="2">
        <f>DATE(2026,IF(Tabla1[[#This Row],[Mes de Fecha]]="Septiembre",9,10),Tabla1[[#This Row],[Día de Fecha]])</f>
        <v>46300</v>
      </c>
      <c r="I1831">
        <v>0</v>
      </c>
      <c r="J1831" s="1">
        <v>12298965</v>
      </c>
      <c r="K1831">
        <v>0</v>
      </c>
    </row>
    <row r="1832" spans="1:11" x14ac:dyDescent="0.25">
      <c r="A1832" t="s">
        <v>9</v>
      </c>
      <c r="B1832" t="s">
        <v>145</v>
      </c>
      <c r="C1832" t="s">
        <v>867</v>
      </c>
      <c r="D1832" t="s">
        <v>14</v>
      </c>
      <c r="E1832">
        <v>5</v>
      </c>
      <c r="F1832" s="2">
        <f>DATE(2026,IF(Tabla1[[#This Row],[Mes de Fecha]]="Septiembre",9,10),Tabla1[[#This Row],[Día de Fecha]])</f>
        <v>46300</v>
      </c>
      <c r="G1832">
        <v>1006289744</v>
      </c>
      <c r="H1832" t="s">
        <v>146</v>
      </c>
      <c r="I1832">
        <v>34</v>
      </c>
      <c r="J1832">
        <v>0</v>
      </c>
      <c r="K1832" s="1">
        <v>2122395</v>
      </c>
    </row>
    <row r="1833" spans="1:11" x14ac:dyDescent="0.25">
      <c r="A1833" t="s">
        <v>9</v>
      </c>
      <c r="B1833" t="s">
        <v>145</v>
      </c>
      <c r="C1833" t="s">
        <v>867</v>
      </c>
      <c r="D1833" t="s">
        <v>14</v>
      </c>
      <c r="E1833">
        <v>5</v>
      </c>
      <c r="F1833" s="2">
        <f>DATE(2026,IF(Tabla1[[#This Row],[Mes de Fecha]]="Septiembre",9,10),Tabla1[[#This Row],[Día de Fecha]])</f>
        <v>46300</v>
      </c>
      <c r="G1833">
        <v>1113791938</v>
      </c>
      <c r="H1833" t="s">
        <v>147</v>
      </c>
      <c r="I1833">
        <v>47</v>
      </c>
      <c r="J1833">
        <v>0</v>
      </c>
      <c r="K1833" s="1">
        <v>2373993</v>
      </c>
    </row>
    <row r="1834" spans="1:11" x14ac:dyDescent="0.25">
      <c r="A1834" t="s">
        <v>9</v>
      </c>
      <c r="B1834" t="s">
        <v>145</v>
      </c>
      <c r="C1834" t="s">
        <v>867</v>
      </c>
      <c r="D1834" t="s">
        <v>14</v>
      </c>
      <c r="E1834">
        <v>5</v>
      </c>
      <c r="F1834" s="2">
        <f>DATE(2026,IF(Tabla1[[#This Row],[Mes de Fecha]]="Septiembre",9,10),Tabla1[[#This Row],[Día de Fecha]])</f>
        <v>46300</v>
      </c>
      <c r="G1834">
        <v>1116271359</v>
      </c>
      <c r="H1834" t="s">
        <v>148</v>
      </c>
      <c r="I1834">
        <v>27</v>
      </c>
      <c r="J1834">
        <v>0</v>
      </c>
      <c r="K1834" s="1">
        <v>1326556</v>
      </c>
    </row>
    <row r="1835" spans="1:11" x14ac:dyDescent="0.25">
      <c r="A1835" t="s">
        <v>9</v>
      </c>
      <c r="B1835" t="s">
        <v>145</v>
      </c>
      <c r="C1835" t="s">
        <v>867</v>
      </c>
      <c r="D1835" t="s">
        <v>14</v>
      </c>
      <c r="E1835">
        <v>6</v>
      </c>
      <c r="F1835" s="2">
        <f>DATE(2026,IF(Tabla1[[#This Row],[Mes de Fecha]]="Septiembre",9,10),Tabla1[[#This Row],[Día de Fecha]])</f>
        <v>46301</v>
      </c>
      <c r="I1835">
        <v>0</v>
      </c>
      <c r="J1835" s="1">
        <v>4826827</v>
      </c>
      <c r="K1835">
        <v>0</v>
      </c>
    </row>
    <row r="1836" spans="1:11" x14ac:dyDescent="0.25">
      <c r="A1836" t="s">
        <v>9</v>
      </c>
      <c r="B1836" t="s">
        <v>145</v>
      </c>
      <c r="C1836" t="s">
        <v>867</v>
      </c>
      <c r="D1836" t="s">
        <v>14</v>
      </c>
      <c r="E1836">
        <v>6</v>
      </c>
      <c r="F1836" s="2">
        <f>DATE(2026,IF(Tabla1[[#This Row],[Mes de Fecha]]="Septiembre",9,10),Tabla1[[#This Row],[Día de Fecha]])</f>
        <v>46301</v>
      </c>
      <c r="G1836">
        <v>1006289744</v>
      </c>
      <c r="H1836" t="s">
        <v>146</v>
      </c>
      <c r="I1836">
        <v>17</v>
      </c>
      <c r="J1836">
        <v>0</v>
      </c>
      <c r="K1836" s="1">
        <v>1156810</v>
      </c>
    </row>
    <row r="1837" spans="1:11" x14ac:dyDescent="0.25">
      <c r="A1837" t="s">
        <v>9</v>
      </c>
      <c r="B1837" t="s">
        <v>145</v>
      </c>
      <c r="C1837" t="s">
        <v>867</v>
      </c>
      <c r="D1837" t="s">
        <v>14</v>
      </c>
      <c r="E1837">
        <v>6</v>
      </c>
      <c r="F1837" s="2">
        <f>DATE(2026,IF(Tabla1[[#This Row],[Mes de Fecha]]="Septiembre",9,10),Tabla1[[#This Row],[Día de Fecha]])</f>
        <v>46301</v>
      </c>
      <c r="G1837">
        <v>1113791938</v>
      </c>
      <c r="H1837" t="s">
        <v>147</v>
      </c>
      <c r="I1837">
        <v>41</v>
      </c>
      <c r="J1837">
        <v>0</v>
      </c>
      <c r="K1837" s="1">
        <v>2269035</v>
      </c>
    </row>
    <row r="1838" spans="1:11" x14ac:dyDescent="0.25">
      <c r="A1838" t="s">
        <v>9</v>
      </c>
      <c r="B1838" t="s">
        <v>145</v>
      </c>
      <c r="C1838" t="s">
        <v>867</v>
      </c>
      <c r="D1838" t="s">
        <v>14</v>
      </c>
      <c r="E1838">
        <v>6</v>
      </c>
      <c r="F1838" s="2">
        <f>DATE(2026,IF(Tabla1[[#This Row],[Mes de Fecha]]="Septiembre",9,10),Tabla1[[#This Row],[Día de Fecha]])</f>
        <v>46301</v>
      </c>
      <c r="G1838">
        <v>1116271359</v>
      </c>
      <c r="H1838" t="s">
        <v>148</v>
      </c>
      <c r="I1838">
        <v>12</v>
      </c>
      <c r="J1838">
        <v>0</v>
      </c>
      <c r="K1838" s="1">
        <v>825538</v>
      </c>
    </row>
    <row r="1839" spans="1:11" x14ac:dyDescent="0.25">
      <c r="A1839" t="s">
        <v>9</v>
      </c>
      <c r="B1839" t="s">
        <v>145</v>
      </c>
      <c r="C1839" t="s">
        <v>867</v>
      </c>
      <c r="D1839" t="s">
        <v>14</v>
      </c>
      <c r="E1839">
        <v>7</v>
      </c>
      <c r="F1839" s="2">
        <f>DATE(2026,IF(Tabla1[[#This Row],[Mes de Fecha]]="Septiembre",9,10),Tabla1[[#This Row],[Día de Fecha]])</f>
        <v>46302</v>
      </c>
      <c r="I1839">
        <v>0</v>
      </c>
      <c r="J1839" s="1">
        <v>4894347</v>
      </c>
      <c r="K1839">
        <v>0</v>
      </c>
    </row>
    <row r="1840" spans="1:11" x14ac:dyDescent="0.25">
      <c r="A1840" t="s">
        <v>9</v>
      </c>
      <c r="B1840" t="s">
        <v>145</v>
      </c>
      <c r="C1840" t="s">
        <v>867</v>
      </c>
      <c r="D1840" t="s">
        <v>14</v>
      </c>
      <c r="E1840">
        <v>7</v>
      </c>
      <c r="F1840" s="2">
        <f>DATE(2026,IF(Tabla1[[#This Row],[Mes de Fecha]]="Septiembre",9,10),Tabla1[[#This Row],[Día de Fecha]])</f>
        <v>46302</v>
      </c>
      <c r="G1840">
        <v>1006289744</v>
      </c>
      <c r="H1840" t="s">
        <v>146</v>
      </c>
      <c r="I1840">
        <v>0</v>
      </c>
      <c r="J1840">
        <v>0</v>
      </c>
      <c r="K1840">
        <v>0</v>
      </c>
    </row>
    <row r="1841" spans="1:11" x14ac:dyDescent="0.25">
      <c r="A1841" t="s">
        <v>9</v>
      </c>
      <c r="B1841" t="s">
        <v>145</v>
      </c>
      <c r="C1841" t="s">
        <v>867</v>
      </c>
      <c r="D1841" t="s">
        <v>14</v>
      </c>
      <c r="E1841">
        <v>7</v>
      </c>
      <c r="F1841" s="2">
        <f>DATE(2026,IF(Tabla1[[#This Row],[Mes de Fecha]]="Septiembre",9,10),Tabla1[[#This Row],[Día de Fecha]])</f>
        <v>46302</v>
      </c>
      <c r="G1841">
        <v>1113791938</v>
      </c>
      <c r="H1841" t="s">
        <v>147</v>
      </c>
      <c r="I1841">
        <v>34</v>
      </c>
      <c r="J1841">
        <v>0</v>
      </c>
      <c r="K1841" s="1">
        <v>2309332</v>
      </c>
    </row>
    <row r="1842" spans="1:11" x14ac:dyDescent="0.25">
      <c r="A1842" t="s">
        <v>9</v>
      </c>
      <c r="B1842" t="s">
        <v>145</v>
      </c>
      <c r="C1842" t="s">
        <v>867</v>
      </c>
      <c r="D1842" t="s">
        <v>14</v>
      </c>
      <c r="E1842">
        <v>7</v>
      </c>
      <c r="F1842" s="2">
        <f>DATE(2026,IF(Tabla1[[#This Row],[Mes de Fecha]]="Septiembre",9,10),Tabla1[[#This Row],[Día de Fecha]])</f>
        <v>46302</v>
      </c>
      <c r="G1842">
        <v>1116271359</v>
      </c>
      <c r="H1842" t="s">
        <v>148</v>
      </c>
      <c r="I1842">
        <v>28</v>
      </c>
      <c r="J1842">
        <v>0</v>
      </c>
      <c r="K1842" s="1">
        <v>1279851</v>
      </c>
    </row>
    <row r="1843" spans="1:11" x14ac:dyDescent="0.25">
      <c r="A1843" t="s">
        <v>9</v>
      </c>
      <c r="B1843" t="s">
        <v>156</v>
      </c>
      <c r="C1843" t="s">
        <v>867</v>
      </c>
      <c r="D1843" t="s">
        <v>11</v>
      </c>
      <c r="E1843">
        <v>23</v>
      </c>
      <c r="F1843" s="2">
        <f>DATE(2026,IF(Tabla1[[#This Row],[Mes de Fecha]]="Septiembre",9,10),Tabla1[[#This Row],[Día de Fecha]])</f>
        <v>46288</v>
      </c>
      <c r="I1843">
        <v>0</v>
      </c>
      <c r="J1843" s="1">
        <v>2757697</v>
      </c>
      <c r="K1843">
        <v>0</v>
      </c>
    </row>
    <row r="1844" spans="1:11" x14ac:dyDescent="0.25">
      <c r="A1844" t="s">
        <v>9</v>
      </c>
      <c r="B1844" t="s">
        <v>156</v>
      </c>
      <c r="C1844" t="s">
        <v>867</v>
      </c>
      <c r="D1844" t="s">
        <v>11</v>
      </c>
      <c r="E1844">
        <v>23</v>
      </c>
      <c r="F1844" s="2">
        <f>DATE(2026,IF(Tabla1[[#This Row],[Mes de Fecha]]="Septiembre",9,10),Tabla1[[#This Row],[Día de Fecha]])</f>
        <v>46288</v>
      </c>
      <c r="G1844">
        <v>1006252984</v>
      </c>
      <c r="H1844" t="s">
        <v>159</v>
      </c>
      <c r="I1844">
        <v>17</v>
      </c>
      <c r="J1844">
        <v>0</v>
      </c>
      <c r="K1844" s="1">
        <v>1179958</v>
      </c>
    </row>
    <row r="1845" spans="1:11" x14ac:dyDescent="0.25">
      <c r="A1845" t="s">
        <v>9</v>
      </c>
      <c r="B1845" t="s">
        <v>156</v>
      </c>
      <c r="C1845" t="s">
        <v>867</v>
      </c>
      <c r="D1845" t="s">
        <v>11</v>
      </c>
      <c r="E1845">
        <v>23</v>
      </c>
      <c r="F1845" s="2">
        <f>DATE(2026,IF(Tabla1[[#This Row],[Mes de Fecha]]="Septiembre",9,10),Tabla1[[#This Row],[Día de Fecha]])</f>
        <v>46288</v>
      </c>
      <c r="G1845">
        <v>1099734375</v>
      </c>
      <c r="H1845" t="s">
        <v>157</v>
      </c>
      <c r="I1845">
        <v>26</v>
      </c>
      <c r="J1845">
        <v>0</v>
      </c>
      <c r="K1845" s="1">
        <v>1507311</v>
      </c>
    </row>
    <row r="1846" spans="1:11" x14ac:dyDescent="0.25">
      <c r="A1846" t="s">
        <v>9</v>
      </c>
      <c r="B1846" t="s">
        <v>156</v>
      </c>
      <c r="C1846" t="s">
        <v>867</v>
      </c>
      <c r="D1846" t="s">
        <v>11</v>
      </c>
      <c r="E1846">
        <v>23</v>
      </c>
      <c r="F1846" s="2">
        <f>DATE(2026,IF(Tabla1[[#This Row],[Mes de Fecha]]="Septiembre",9,10),Tabla1[[#This Row],[Día de Fecha]])</f>
        <v>46288</v>
      </c>
      <c r="G1846">
        <v>1114735434</v>
      </c>
      <c r="H1846" t="s">
        <v>158</v>
      </c>
      <c r="I1846">
        <v>25</v>
      </c>
      <c r="J1846">
        <v>0</v>
      </c>
      <c r="K1846" s="1">
        <v>1293071</v>
      </c>
    </row>
    <row r="1847" spans="1:11" x14ac:dyDescent="0.25">
      <c r="A1847" t="s">
        <v>9</v>
      </c>
      <c r="B1847" t="s">
        <v>156</v>
      </c>
      <c r="C1847" t="s">
        <v>867</v>
      </c>
      <c r="D1847" t="s">
        <v>11</v>
      </c>
      <c r="E1847">
        <v>24</v>
      </c>
      <c r="F1847" s="2">
        <f>DATE(2026,IF(Tabla1[[#This Row],[Mes de Fecha]]="Septiembre",9,10),Tabla1[[#This Row],[Día de Fecha]])</f>
        <v>46289</v>
      </c>
      <c r="I1847">
        <v>0</v>
      </c>
      <c r="J1847" s="1">
        <v>7131931</v>
      </c>
      <c r="K1847">
        <v>0</v>
      </c>
    </row>
    <row r="1848" spans="1:11" x14ac:dyDescent="0.25">
      <c r="A1848" t="s">
        <v>9</v>
      </c>
      <c r="B1848" t="s">
        <v>156</v>
      </c>
      <c r="C1848" t="s">
        <v>867</v>
      </c>
      <c r="D1848" t="s">
        <v>11</v>
      </c>
      <c r="E1848">
        <v>24</v>
      </c>
      <c r="F1848" s="2">
        <f>DATE(2026,IF(Tabla1[[#This Row],[Mes de Fecha]]="Septiembre",9,10),Tabla1[[#This Row],[Día de Fecha]])</f>
        <v>46289</v>
      </c>
      <c r="G1848">
        <v>1006252984</v>
      </c>
      <c r="H1848" t="s">
        <v>159</v>
      </c>
      <c r="I1848">
        <v>30</v>
      </c>
      <c r="J1848">
        <v>0</v>
      </c>
      <c r="K1848" s="1">
        <v>1584877</v>
      </c>
    </row>
    <row r="1849" spans="1:11" x14ac:dyDescent="0.25">
      <c r="A1849" t="s">
        <v>9</v>
      </c>
      <c r="B1849" t="s">
        <v>156</v>
      </c>
      <c r="C1849" t="s">
        <v>867</v>
      </c>
      <c r="D1849" t="s">
        <v>11</v>
      </c>
      <c r="E1849">
        <v>24</v>
      </c>
      <c r="F1849" s="2">
        <f>DATE(2026,IF(Tabla1[[#This Row],[Mes de Fecha]]="Septiembre",9,10),Tabla1[[#This Row],[Día de Fecha]])</f>
        <v>46289</v>
      </c>
      <c r="G1849">
        <v>1099734375</v>
      </c>
      <c r="H1849" t="s">
        <v>157</v>
      </c>
      <c r="I1849">
        <v>63</v>
      </c>
      <c r="J1849">
        <v>0</v>
      </c>
      <c r="K1849" s="1">
        <v>3404921</v>
      </c>
    </row>
    <row r="1850" spans="1:11" x14ac:dyDescent="0.25">
      <c r="A1850" t="s">
        <v>9</v>
      </c>
      <c r="B1850" t="s">
        <v>156</v>
      </c>
      <c r="C1850" t="s">
        <v>867</v>
      </c>
      <c r="D1850" t="s">
        <v>11</v>
      </c>
      <c r="E1850">
        <v>24</v>
      </c>
      <c r="F1850" s="2">
        <f>DATE(2026,IF(Tabla1[[#This Row],[Mes de Fecha]]="Septiembre",9,10),Tabla1[[#This Row],[Día de Fecha]])</f>
        <v>46289</v>
      </c>
      <c r="G1850">
        <v>1114735434</v>
      </c>
      <c r="H1850" t="s">
        <v>158</v>
      </c>
      <c r="I1850">
        <v>28</v>
      </c>
      <c r="J1850">
        <v>0</v>
      </c>
      <c r="K1850" s="1">
        <v>1555548</v>
      </c>
    </row>
    <row r="1851" spans="1:11" x14ac:dyDescent="0.25">
      <c r="A1851" t="s">
        <v>9</v>
      </c>
      <c r="B1851" t="s">
        <v>156</v>
      </c>
      <c r="C1851" t="s">
        <v>867</v>
      </c>
      <c r="D1851" t="s">
        <v>11</v>
      </c>
      <c r="E1851">
        <v>25</v>
      </c>
      <c r="F1851" s="2">
        <f>DATE(2026,IF(Tabla1[[#This Row],[Mes de Fecha]]="Septiembre",9,10),Tabla1[[#This Row],[Día de Fecha]])</f>
        <v>46290</v>
      </c>
      <c r="I1851">
        <v>0</v>
      </c>
      <c r="J1851" s="1">
        <v>7617291</v>
      </c>
      <c r="K1851">
        <v>0</v>
      </c>
    </row>
    <row r="1852" spans="1:11" x14ac:dyDescent="0.25">
      <c r="A1852" t="s">
        <v>9</v>
      </c>
      <c r="B1852" t="s">
        <v>156</v>
      </c>
      <c r="C1852" t="s">
        <v>867</v>
      </c>
      <c r="D1852" t="s">
        <v>11</v>
      </c>
      <c r="E1852">
        <v>25</v>
      </c>
      <c r="F1852" s="2">
        <f>DATE(2026,IF(Tabla1[[#This Row],[Mes de Fecha]]="Septiembre",9,10),Tabla1[[#This Row],[Día de Fecha]])</f>
        <v>46290</v>
      </c>
      <c r="G1852">
        <v>1006252984</v>
      </c>
      <c r="H1852" t="s">
        <v>159</v>
      </c>
      <c r="I1852">
        <v>1</v>
      </c>
      <c r="J1852">
        <v>0</v>
      </c>
      <c r="K1852" s="1">
        <v>37773</v>
      </c>
    </row>
    <row r="1853" spans="1:11" x14ac:dyDescent="0.25">
      <c r="A1853" t="s">
        <v>9</v>
      </c>
      <c r="B1853" t="s">
        <v>156</v>
      </c>
      <c r="C1853" t="s">
        <v>867</v>
      </c>
      <c r="D1853" t="s">
        <v>11</v>
      </c>
      <c r="E1853">
        <v>25</v>
      </c>
      <c r="F1853" s="2">
        <f>DATE(2026,IF(Tabla1[[#This Row],[Mes de Fecha]]="Septiembre",9,10),Tabla1[[#This Row],[Día de Fecha]])</f>
        <v>46290</v>
      </c>
      <c r="G1853">
        <v>1099734375</v>
      </c>
      <c r="H1853" t="s">
        <v>157</v>
      </c>
      <c r="I1853">
        <v>64</v>
      </c>
      <c r="J1853">
        <v>0</v>
      </c>
      <c r="K1853" s="1">
        <v>3690635</v>
      </c>
    </row>
    <row r="1854" spans="1:11" x14ac:dyDescent="0.25">
      <c r="A1854" t="s">
        <v>9</v>
      </c>
      <c r="B1854" t="s">
        <v>156</v>
      </c>
      <c r="C1854" t="s">
        <v>867</v>
      </c>
      <c r="D1854" t="s">
        <v>11</v>
      </c>
      <c r="E1854">
        <v>25</v>
      </c>
      <c r="F1854" s="2">
        <f>DATE(2026,IF(Tabla1[[#This Row],[Mes de Fecha]]="Septiembre",9,10),Tabla1[[#This Row],[Día de Fecha]])</f>
        <v>46290</v>
      </c>
      <c r="G1854">
        <v>1114735434</v>
      </c>
      <c r="H1854" t="s">
        <v>158</v>
      </c>
      <c r="I1854">
        <v>60</v>
      </c>
      <c r="J1854">
        <v>0</v>
      </c>
      <c r="K1854" s="1">
        <v>3117190</v>
      </c>
    </row>
    <row r="1855" spans="1:11" x14ac:dyDescent="0.25">
      <c r="A1855" t="s">
        <v>9</v>
      </c>
      <c r="B1855" t="s">
        <v>156</v>
      </c>
      <c r="C1855" t="s">
        <v>867</v>
      </c>
      <c r="D1855" t="s">
        <v>11</v>
      </c>
      <c r="E1855">
        <v>26</v>
      </c>
      <c r="F1855" s="2">
        <f>DATE(2026,IF(Tabla1[[#This Row],[Mes de Fecha]]="Septiembre",9,10),Tabla1[[#This Row],[Día de Fecha]])</f>
        <v>46291</v>
      </c>
      <c r="I1855">
        <v>0</v>
      </c>
      <c r="J1855" s="1">
        <v>9605212</v>
      </c>
      <c r="K1855">
        <v>0</v>
      </c>
    </row>
    <row r="1856" spans="1:11" x14ac:dyDescent="0.25">
      <c r="A1856" t="s">
        <v>9</v>
      </c>
      <c r="B1856" t="s">
        <v>156</v>
      </c>
      <c r="C1856" t="s">
        <v>867</v>
      </c>
      <c r="D1856" t="s">
        <v>11</v>
      </c>
      <c r="E1856">
        <v>26</v>
      </c>
      <c r="F1856" s="2">
        <f>DATE(2026,IF(Tabla1[[#This Row],[Mes de Fecha]]="Septiembre",9,10),Tabla1[[#This Row],[Día de Fecha]])</f>
        <v>46291</v>
      </c>
      <c r="G1856">
        <v>1006252984</v>
      </c>
      <c r="H1856" t="s">
        <v>159</v>
      </c>
      <c r="I1856">
        <v>27</v>
      </c>
      <c r="J1856">
        <v>0</v>
      </c>
      <c r="K1856" s="1">
        <v>1358026</v>
      </c>
    </row>
    <row r="1857" spans="1:11" x14ac:dyDescent="0.25">
      <c r="A1857" t="s">
        <v>9</v>
      </c>
      <c r="B1857" t="s">
        <v>156</v>
      </c>
      <c r="C1857" t="s">
        <v>867</v>
      </c>
      <c r="D1857" t="s">
        <v>11</v>
      </c>
      <c r="E1857">
        <v>26</v>
      </c>
      <c r="F1857" s="2">
        <f>DATE(2026,IF(Tabla1[[#This Row],[Mes de Fecha]]="Septiembre",9,10),Tabla1[[#This Row],[Día de Fecha]])</f>
        <v>46291</v>
      </c>
      <c r="G1857">
        <v>1099734375</v>
      </c>
      <c r="H1857" t="s">
        <v>157</v>
      </c>
      <c r="I1857">
        <v>32</v>
      </c>
      <c r="J1857">
        <v>0</v>
      </c>
      <c r="K1857" s="1">
        <v>1836768</v>
      </c>
    </row>
    <row r="1858" spans="1:11" x14ac:dyDescent="0.25">
      <c r="A1858" t="s">
        <v>9</v>
      </c>
      <c r="B1858" t="s">
        <v>156</v>
      </c>
      <c r="C1858" t="s">
        <v>867</v>
      </c>
      <c r="D1858" t="s">
        <v>11</v>
      </c>
      <c r="E1858">
        <v>26</v>
      </c>
      <c r="F1858" s="2">
        <f>DATE(2026,IF(Tabla1[[#This Row],[Mes de Fecha]]="Septiembre",9,10),Tabla1[[#This Row],[Día de Fecha]])</f>
        <v>46291</v>
      </c>
      <c r="G1858">
        <v>1114735434</v>
      </c>
      <c r="H1858" t="s">
        <v>158</v>
      </c>
      <c r="I1858">
        <v>39</v>
      </c>
      <c r="J1858">
        <v>0</v>
      </c>
      <c r="K1858" s="1">
        <v>2052859</v>
      </c>
    </row>
    <row r="1859" spans="1:11" x14ac:dyDescent="0.25">
      <c r="A1859" t="s">
        <v>9</v>
      </c>
      <c r="B1859" t="s">
        <v>156</v>
      </c>
      <c r="C1859" t="s">
        <v>867</v>
      </c>
      <c r="D1859" t="s">
        <v>11</v>
      </c>
      <c r="E1859">
        <v>27</v>
      </c>
      <c r="F1859" s="2">
        <f>DATE(2026,IF(Tabla1[[#This Row],[Mes de Fecha]]="Septiembre",9,10),Tabla1[[#This Row],[Día de Fecha]])</f>
        <v>46292</v>
      </c>
      <c r="I1859">
        <v>0</v>
      </c>
      <c r="J1859" s="1">
        <v>5071460</v>
      </c>
      <c r="K1859">
        <v>0</v>
      </c>
    </row>
    <row r="1860" spans="1:11" x14ac:dyDescent="0.25">
      <c r="A1860" t="s">
        <v>9</v>
      </c>
      <c r="B1860" t="s">
        <v>156</v>
      </c>
      <c r="C1860" t="s">
        <v>867</v>
      </c>
      <c r="D1860" t="s">
        <v>11</v>
      </c>
      <c r="E1860">
        <v>27</v>
      </c>
      <c r="F1860" s="2">
        <f>DATE(2026,IF(Tabla1[[#This Row],[Mes de Fecha]]="Septiembre",9,10),Tabla1[[#This Row],[Día de Fecha]])</f>
        <v>46292</v>
      </c>
      <c r="G1860">
        <v>1006252984</v>
      </c>
      <c r="H1860" t="s">
        <v>159</v>
      </c>
      <c r="I1860">
        <v>53</v>
      </c>
      <c r="J1860">
        <v>0</v>
      </c>
      <c r="K1860" s="1">
        <v>3379748</v>
      </c>
    </row>
    <row r="1861" spans="1:11" x14ac:dyDescent="0.25">
      <c r="A1861" t="s">
        <v>9</v>
      </c>
      <c r="B1861" t="s">
        <v>156</v>
      </c>
      <c r="C1861" t="s">
        <v>867</v>
      </c>
      <c r="D1861" t="s">
        <v>11</v>
      </c>
      <c r="E1861">
        <v>27</v>
      </c>
      <c r="F1861" s="2">
        <f>DATE(2026,IF(Tabla1[[#This Row],[Mes de Fecha]]="Septiembre",9,10),Tabla1[[#This Row],[Día de Fecha]])</f>
        <v>46292</v>
      </c>
      <c r="G1861">
        <v>1099734375</v>
      </c>
      <c r="H1861" t="s">
        <v>157</v>
      </c>
      <c r="I1861">
        <v>45</v>
      </c>
      <c r="J1861">
        <v>0</v>
      </c>
      <c r="K1861" s="1">
        <v>2462230</v>
      </c>
    </row>
    <row r="1862" spans="1:11" x14ac:dyDescent="0.25">
      <c r="A1862" t="s">
        <v>9</v>
      </c>
      <c r="B1862" t="s">
        <v>156</v>
      </c>
      <c r="C1862" t="s">
        <v>867</v>
      </c>
      <c r="D1862" t="s">
        <v>11</v>
      </c>
      <c r="E1862">
        <v>27</v>
      </c>
      <c r="F1862" s="2">
        <f>DATE(2026,IF(Tabla1[[#This Row],[Mes de Fecha]]="Septiembre",9,10),Tabla1[[#This Row],[Día de Fecha]])</f>
        <v>46292</v>
      </c>
      <c r="G1862">
        <v>1114735434</v>
      </c>
      <c r="H1862" t="s">
        <v>158</v>
      </c>
      <c r="I1862">
        <v>25</v>
      </c>
      <c r="J1862">
        <v>0</v>
      </c>
      <c r="K1862" s="1">
        <v>1530505</v>
      </c>
    </row>
    <row r="1863" spans="1:11" x14ac:dyDescent="0.25">
      <c r="A1863" t="s">
        <v>9</v>
      </c>
      <c r="B1863" t="s">
        <v>156</v>
      </c>
      <c r="C1863" t="s">
        <v>867</v>
      </c>
      <c r="D1863" t="s">
        <v>11</v>
      </c>
      <c r="E1863">
        <v>28</v>
      </c>
      <c r="F1863" s="2">
        <f>DATE(2026,IF(Tabla1[[#This Row],[Mes de Fecha]]="Septiembre",9,10),Tabla1[[#This Row],[Día de Fecha]])</f>
        <v>46293</v>
      </c>
      <c r="I1863">
        <v>0</v>
      </c>
      <c r="J1863" s="1">
        <v>4158046</v>
      </c>
      <c r="K1863">
        <v>0</v>
      </c>
    </row>
    <row r="1864" spans="1:11" x14ac:dyDescent="0.25">
      <c r="A1864" t="s">
        <v>9</v>
      </c>
      <c r="B1864" t="s">
        <v>156</v>
      </c>
      <c r="C1864" t="s">
        <v>867</v>
      </c>
      <c r="D1864" t="s">
        <v>11</v>
      </c>
      <c r="E1864">
        <v>28</v>
      </c>
      <c r="F1864" s="2">
        <f>DATE(2026,IF(Tabla1[[#This Row],[Mes de Fecha]]="Septiembre",9,10),Tabla1[[#This Row],[Día de Fecha]])</f>
        <v>46293</v>
      </c>
      <c r="G1864">
        <v>1006252984</v>
      </c>
      <c r="H1864" t="s">
        <v>159</v>
      </c>
      <c r="I1864">
        <v>34</v>
      </c>
      <c r="J1864">
        <v>0</v>
      </c>
      <c r="K1864" s="1">
        <v>1311093</v>
      </c>
    </row>
    <row r="1865" spans="1:11" x14ac:dyDescent="0.25">
      <c r="A1865" t="s">
        <v>9</v>
      </c>
      <c r="B1865" t="s">
        <v>156</v>
      </c>
      <c r="C1865" t="s">
        <v>867</v>
      </c>
      <c r="D1865" t="s">
        <v>11</v>
      </c>
      <c r="E1865">
        <v>28</v>
      </c>
      <c r="F1865" s="2">
        <f>DATE(2026,IF(Tabla1[[#This Row],[Mes de Fecha]]="Septiembre",9,10),Tabla1[[#This Row],[Día de Fecha]])</f>
        <v>46293</v>
      </c>
      <c r="G1865">
        <v>1099734375</v>
      </c>
      <c r="H1865" t="s">
        <v>157</v>
      </c>
      <c r="I1865">
        <v>26</v>
      </c>
      <c r="J1865">
        <v>0</v>
      </c>
      <c r="K1865" s="1">
        <v>1280252</v>
      </c>
    </row>
    <row r="1866" spans="1:11" x14ac:dyDescent="0.25">
      <c r="A1866" t="s">
        <v>9</v>
      </c>
      <c r="B1866" t="s">
        <v>156</v>
      </c>
      <c r="C1866" t="s">
        <v>867</v>
      </c>
      <c r="D1866" t="s">
        <v>11</v>
      </c>
      <c r="E1866">
        <v>28</v>
      </c>
      <c r="F1866" s="2">
        <f>DATE(2026,IF(Tabla1[[#This Row],[Mes de Fecha]]="Septiembre",9,10),Tabla1[[#This Row],[Día de Fecha]])</f>
        <v>46293</v>
      </c>
      <c r="G1866">
        <v>1114735434</v>
      </c>
      <c r="H1866" t="s">
        <v>158</v>
      </c>
      <c r="I1866">
        <v>16</v>
      </c>
      <c r="J1866">
        <v>0</v>
      </c>
      <c r="K1866" s="1">
        <v>936220</v>
      </c>
    </row>
    <row r="1867" spans="1:11" x14ac:dyDescent="0.25">
      <c r="A1867" t="s">
        <v>9</v>
      </c>
      <c r="B1867" t="s">
        <v>156</v>
      </c>
      <c r="C1867" t="s">
        <v>867</v>
      </c>
      <c r="D1867" t="s">
        <v>11</v>
      </c>
      <c r="E1867">
        <v>29</v>
      </c>
      <c r="F1867" s="2">
        <f>DATE(2026,IF(Tabla1[[#This Row],[Mes de Fecha]]="Septiembre",9,10),Tabla1[[#This Row],[Día de Fecha]])</f>
        <v>46294</v>
      </c>
      <c r="I1867">
        <v>0</v>
      </c>
      <c r="J1867" s="1">
        <v>4622516</v>
      </c>
      <c r="K1867">
        <v>0</v>
      </c>
    </row>
    <row r="1868" spans="1:11" x14ac:dyDescent="0.25">
      <c r="A1868" t="s">
        <v>9</v>
      </c>
      <c r="B1868" t="s">
        <v>156</v>
      </c>
      <c r="C1868" t="s">
        <v>867</v>
      </c>
      <c r="D1868" t="s">
        <v>11</v>
      </c>
      <c r="E1868">
        <v>29</v>
      </c>
      <c r="F1868" s="2">
        <f>DATE(2026,IF(Tabla1[[#This Row],[Mes de Fecha]]="Septiembre",9,10),Tabla1[[#This Row],[Día de Fecha]])</f>
        <v>46294</v>
      </c>
      <c r="G1868">
        <v>1099734375</v>
      </c>
      <c r="H1868" t="s">
        <v>157</v>
      </c>
      <c r="I1868">
        <v>53</v>
      </c>
      <c r="J1868">
        <v>0</v>
      </c>
      <c r="K1868" s="1">
        <v>2501728</v>
      </c>
    </row>
    <row r="1869" spans="1:11" x14ac:dyDescent="0.25">
      <c r="A1869" t="s">
        <v>9</v>
      </c>
      <c r="B1869" t="s">
        <v>156</v>
      </c>
      <c r="C1869" t="s">
        <v>867</v>
      </c>
      <c r="D1869" t="s">
        <v>11</v>
      </c>
      <c r="E1869">
        <v>29</v>
      </c>
      <c r="F1869" s="2">
        <f>DATE(2026,IF(Tabla1[[#This Row],[Mes de Fecha]]="Septiembre",9,10),Tabla1[[#This Row],[Día de Fecha]])</f>
        <v>46294</v>
      </c>
      <c r="G1869">
        <v>1114735434</v>
      </c>
      <c r="H1869" t="s">
        <v>158</v>
      </c>
      <c r="I1869">
        <v>26</v>
      </c>
      <c r="J1869">
        <v>0</v>
      </c>
      <c r="K1869" s="1">
        <v>1254875</v>
      </c>
    </row>
    <row r="1870" spans="1:11" x14ac:dyDescent="0.25">
      <c r="A1870" t="s">
        <v>9</v>
      </c>
      <c r="B1870" t="s">
        <v>156</v>
      </c>
      <c r="C1870" t="s">
        <v>867</v>
      </c>
      <c r="D1870" t="s">
        <v>11</v>
      </c>
      <c r="E1870">
        <v>30</v>
      </c>
      <c r="F1870" s="2">
        <f>DATE(2026,IF(Tabla1[[#This Row],[Mes de Fecha]]="Septiembre",9,10),Tabla1[[#This Row],[Día de Fecha]])</f>
        <v>46295</v>
      </c>
      <c r="I1870">
        <v>0</v>
      </c>
      <c r="J1870" s="1">
        <v>4895392</v>
      </c>
      <c r="K1870">
        <v>0</v>
      </c>
    </row>
    <row r="1871" spans="1:11" x14ac:dyDescent="0.25">
      <c r="A1871" t="s">
        <v>9</v>
      </c>
      <c r="B1871" t="s">
        <v>156</v>
      </c>
      <c r="C1871" t="s">
        <v>867</v>
      </c>
      <c r="D1871" t="s">
        <v>11</v>
      </c>
      <c r="E1871">
        <v>30</v>
      </c>
      <c r="F1871" s="2">
        <f>DATE(2026,IF(Tabla1[[#This Row],[Mes de Fecha]]="Septiembre",9,10),Tabla1[[#This Row],[Día de Fecha]])</f>
        <v>46295</v>
      </c>
      <c r="G1871">
        <v>1006252984</v>
      </c>
      <c r="H1871" t="s">
        <v>159</v>
      </c>
      <c r="I1871">
        <v>12</v>
      </c>
      <c r="J1871">
        <v>0</v>
      </c>
      <c r="K1871" s="1">
        <v>589709</v>
      </c>
    </row>
    <row r="1872" spans="1:11" x14ac:dyDescent="0.25">
      <c r="A1872" t="s">
        <v>9</v>
      </c>
      <c r="B1872" t="s">
        <v>156</v>
      </c>
      <c r="C1872" t="s">
        <v>867</v>
      </c>
      <c r="D1872" t="s">
        <v>11</v>
      </c>
      <c r="E1872">
        <v>30</v>
      </c>
      <c r="F1872" s="2">
        <f>DATE(2026,IF(Tabla1[[#This Row],[Mes de Fecha]]="Septiembre",9,10),Tabla1[[#This Row],[Día de Fecha]])</f>
        <v>46295</v>
      </c>
      <c r="G1872">
        <v>1099734375</v>
      </c>
      <c r="H1872" t="s">
        <v>157</v>
      </c>
      <c r="I1872">
        <v>54</v>
      </c>
      <c r="J1872">
        <v>0</v>
      </c>
      <c r="K1872" s="1">
        <v>2625633</v>
      </c>
    </row>
    <row r="1873" spans="1:11" x14ac:dyDescent="0.25">
      <c r="A1873" t="s">
        <v>9</v>
      </c>
      <c r="B1873" t="s">
        <v>156</v>
      </c>
      <c r="C1873" t="s">
        <v>867</v>
      </c>
      <c r="D1873" t="s">
        <v>11</v>
      </c>
      <c r="E1873">
        <v>30</v>
      </c>
      <c r="F1873" s="2">
        <f>DATE(2026,IF(Tabla1[[#This Row],[Mes de Fecha]]="Septiembre",9,10),Tabla1[[#This Row],[Día de Fecha]])</f>
        <v>46295</v>
      </c>
      <c r="G1873">
        <v>1114735434</v>
      </c>
      <c r="H1873" t="s">
        <v>158</v>
      </c>
      <c r="I1873">
        <v>16</v>
      </c>
      <c r="J1873">
        <v>0</v>
      </c>
      <c r="K1873" s="1">
        <v>953028</v>
      </c>
    </row>
    <row r="1874" spans="1:11" x14ac:dyDescent="0.25">
      <c r="A1874" t="s">
        <v>9</v>
      </c>
      <c r="B1874" t="s">
        <v>156</v>
      </c>
      <c r="C1874" t="s">
        <v>867</v>
      </c>
      <c r="D1874" t="s">
        <v>14</v>
      </c>
      <c r="E1874">
        <v>1</v>
      </c>
      <c r="F1874" s="2">
        <f>DATE(2026,IF(Tabla1[[#This Row],[Mes de Fecha]]="Septiembre",9,10),Tabla1[[#This Row],[Día de Fecha]])</f>
        <v>46296</v>
      </c>
      <c r="I1874">
        <v>0</v>
      </c>
      <c r="J1874" s="1">
        <v>4955850</v>
      </c>
      <c r="K1874">
        <v>0</v>
      </c>
    </row>
    <row r="1875" spans="1:11" x14ac:dyDescent="0.25">
      <c r="A1875" t="s">
        <v>9</v>
      </c>
      <c r="B1875" t="s">
        <v>156</v>
      </c>
      <c r="C1875" t="s">
        <v>867</v>
      </c>
      <c r="D1875" t="s">
        <v>14</v>
      </c>
      <c r="E1875">
        <v>1</v>
      </c>
      <c r="F1875" s="2">
        <f>DATE(2026,IF(Tabla1[[#This Row],[Mes de Fecha]]="Septiembre",9,10),Tabla1[[#This Row],[Día de Fecha]])</f>
        <v>46296</v>
      </c>
      <c r="G1875">
        <v>1006252984</v>
      </c>
      <c r="H1875" t="s">
        <v>159</v>
      </c>
      <c r="I1875">
        <v>27</v>
      </c>
      <c r="J1875">
        <v>0</v>
      </c>
      <c r="K1875" s="1">
        <v>1387438</v>
      </c>
    </row>
    <row r="1876" spans="1:11" x14ac:dyDescent="0.25">
      <c r="A1876" t="s">
        <v>9</v>
      </c>
      <c r="B1876" t="s">
        <v>156</v>
      </c>
      <c r="C1876" t="s">
        <v>867</v>
      </c>
      <c r="D1876" t="s">
        <v>14</v>
      </c>
      <c r="E1876">
        <v>1</v>
      </c>
      <c r="F1876" s="2">
        <f>DATE(2026,IF(Tabla1[[#This Row],[Mes de Fecha]]="Septiembre",9,10),Tabla1[[#This Row],[Día de Fecha]])</f>
        <v>46296</v>
      </c>
      <c r="G1876">
        <v>1099734375</v>
      </c>
      <c r="H1876" t="s">
        <v>157</v>
      </c>
      <c r="I1876">
        <v>21</v>
      </c>
      <c r="J1876">
        <v>0</v>
      </c>
      <c r="K1876" s="1">
        <v>780337</v>
      </c>
    </row>
    <row r="1877" spans="1:11" x14ac:dyDescent="0.25">
      <c r="A1877" t="s">
        <v>9</v>
      </c>
      <c r="B1877" t="s">
        <v>156</v>
      </c>
      <c r="C1877" t="s">
        <v>867</v>
      </c>
      <c r="D1877" t="s">
        <v>14</v>
      </c>
      <c r="E1877">
        <v>1</v>
      </c>
      <c r="F1877" s="2">
        <f>DATE(2026,IF(Tabla1[[#This Row],[Mes de Fecha]]="Septiembre",9,10),Tabla1[[#This Row],[Día de Fecha]])</f>
        <v>46296</v>
      </c>
      <c r="G1877">
        <v>1114735434</v>
      </c>
      <c r="H1877" t="s">
        <v>158</v>
      </c>
      <c r="I1877">
        <v>27</v>
      </c>
      <c r="J1877">
        <v>0</v>
      </c>
      <c r="K1877" s="1">
        <v>1906305</v>
      </c>
    </row>
    <row r="1878" spans="1:11" x14ac:dyDescent="0.25">
      <c r="A1878" t="s">
        <v>9</v>
      </c>
      <c r="B1878" t="s">
        <v>156</v>
      </c>
      <c r="C1878" t="s">
        <v>867</v>
      </c>
      <c r="D1878" t="s">
        <v>14</v>
      </c>
      <c r="E1878">
        <v>2</v>
      </c>
      <c r="F1878" s="2">
        <f>DATE(2026,IF(Tabla1[[#This Row],[Mes de Fecha]]="Septiembre",9,10),Tabla1[[#This Row],[Día de Fecha]])</f>
        <v>46297</v>
      </c>
      <c r="I1878">
        <v>0</v>
      </c>
      <c r="J1878" s="1">
        <v>6754332</v>
      </c>
      <c r="K1878">
        <v>0</v>
      </c>
    </row>
    <row r="1879" spans="1:11" x14ac:dyDescent="0.25">
      <c r="A1879" t="s">
        <v>9</v>
      </c>
      <c r="B1879" t="s">
        <v>156</v>
      </c>
      <c r="C1879" t="s">
        <v>867</v>
      </c>
      <c r="D1879" t="s">
        <v>14</v>
      </c>
      <c r="E1879">
        <v>2</v>
      </c>
      <c r="F1879" s="2">
        <f>DATE(2026,IF(Tabla1[[#This Row],[Mes de Fecha]]="Septiembre",9,10),Tabla1[[#This Row],[Día de Fecha]])</f>
        <v>46297</v>
      </c>
      <c r="G1879">
        <v>1006252984</v>
      </c>
      <c r="H1879" t="s">
        <v>159</v>
      </c>
      <c r="I1879">
        <v>34</v>
      </c>
      <c r="J1879">
        <v>0</v>
      </c>
      <c r="K1879" s="1">
        <v>1443786</v>
      </c>
    </row>
    <row r="1880" spans="1:11" x14ac:dyDescent="0.25">
      <c r="A1880" t="s">
        <v>9</v>
      </c>
      <c r="B1880" t="s">
        <v>156</v>
      </c>
      <c r="C1880" t="s">
        <v>867</v>
      </c>
      <c r="D1880" t="s">
        <v>14</v>
      </c>
      <c r="E1880">
        <v>2</v>
      </c>
      <c r="F1880" s="2">
        <f>DATE(2026,IF(Tabla1[[#This Row],[Mes de Fecha]]="Septiembre",9,10),Tabla1[[#This Row],[Día de Fecha]])</f>
        <v>46297</v>
      </c>
      <c r="G1880">
        <v>1099734375</v>
      </c>
      <c r="H1880" t="s">
        <v>157</v>
      </c>
      <c r="I1880">
        <v>20</v>
      </c>
      <c r="J1880">
        <v>0</v>
      </c>
      <c r="K1880" s="1">
        <v>1129288</v>
      </c>
    </row>
    <row r="1881" spans="1:11" x14ac:dyDescent="0.25">
      <c r="A1881" t="s">
        <v>9</v>
      </c>
      <c r="B1881" t="s">
        <v>156</v>
      </c>
      <c r="C1881" t="s">
        <v>867</v>
      </c>
      <c r="D1881" t="s">
        <v>14</v>
      </c>
      <c r="E1881">
        <v>2</v>
      </c>
      <c r="F1881" s="2">
        <f>DATE(2026,IF(Tabla1[[#This Row],[Mes de Fecha]]="Septiembre",9,10),Tabla1[[#This Row],[Día de Fecha]])</f>
        <v>46297</v>
      </c>
      <c r="G1881">
        <v>1114735434</v>
      </c>
      <c r="H1881" t="s">
        <v>158</v>
      </c>
      <c r="I1881">
        <v>39</v>
      </c>
      <c r="J1881">
        <v>0</v>
      </c>
      <c r="K1881" s="1">
        <v>2151556</v>
      </c>
    </row>
    <row r="1882" spans="1:11" x14ac:dyDescent="0.25">
      <c r="A1882" t="s">
        <v>9</v>
      </c>
      <c r="B1882" t="s">
        <v>156</v>
      </c>
      <c r="C1882" t="s">
        <v>867</v>
      </c>
      <c r="D1882" t="s">
        <v>14</v>
      </c>
      <c r="E1882">
        <v>3</v>
      </c>
      <c r="F1882" s="2">
        <f>DATE(2026,IF(Tabla1[[#This Row],[Mes de Fecha]]="Septiembre",9,10),Tabla1[[#This Row],[Día de Fecha]])</f>
        <v>46298</v>
      </c>
      <c r="I1882">
        <v>0</v>
      </c>
      <c r="J1882" s="1">
        <v>7453230</v>
      </c>
      <c r="K1882">
        <v>0</v>
      </c>
    </row>
    <row r="1883" spans="1:11" x14ac:dyDescent="0.25">
      <c r="A1883" t="s">
        <v>9</v>
      </c>
      <c r="B1883" t="s">
        <v>156</v>
      </c>
      <c r="C1883" t="s">
        <v>867</v>
      </c>
      <c r="D1883" t="s">
        <v>14</v>
      </c>
      <c r="E1883">
        <v>3</v>
      </c>
      <c r="F1883" s="2">
        <f>DATE(2026,IF(Tabla1[[#This Row],[Mes de Fecha]]="Septiembre",9,10),Tabla1[[#This Row],[Día de Fecha]])</f>
        <v>46298</v>
      </c>
      <c r="G1883">
        <v>1006252984</v>
      </c>
      <c r="H1883" t="s">
        <v>159</v>
      </c>
      <c r="I1883">
        <v>32</v>
      </c>
      <c r="J1883">
        <v>0</v>
      </c>
      <c r="K1883" s="1">
        <v>1792025</v>
      </c>
    </row>
    <row r="1884" spans="1:11" x14ac:dyDescent="0.25">
      <c r="A1884" t="s">
        <v>9</v>
      </c>
      <c r="B1884" t="s">
        <v>156</v>
      </c>
      <c r="C1884" t="s">
        <v>867</v>
      </c>
      <c r="D1884" t="s">
        <v>14</v>
      </c>
      <c r="E1884">
        <v>3</v>
      </c>
      <c r="F1884" s="2">
        <f>DATE(2026,IF(Tabla1[[#This Row],[Mes de Fecha]]="Septiembre",9,10),Tabla1[[#This Row],[Día de Fecha]])</f>
        <v>46298</v>
      </c>
      <c r="G1884">
        <v>1099734375</v>
      </c>
      <c r="H1884" t="s">
        <v>157</v>
      </c>
      <c r="I1884">
        <v>68</v>
      </c>
      <c r="J1884">
        <v>0</v>
      </c>
      <c r="K1884" s="1">
        <v>3326675</v>
      </c>
    </row>
    <row r="1885" spans="1:11" x14ac:dyDescent="0.25">
      <c r="A1885" t="s">
        <v>9</v>
      </c>
      <c r="B1885" t="s">
        <v>156</v>
      </c>
      <c r="C1885" t="s">
        <v>867</v>
      </c>
      <c r="D1885" t="s">
        <v>14</v>
      </c>
      <c r="E1885">
        <v>3</v>
      </c>
      <c r="F1885" s="2">
        <f>DATE(2026,IF(Tabla1[[#This Row],[Mes de Fecha]]="Septiembre",9,10),Tabla1[[#This Row],[Día de Fecha]])</f>
        <v>46298</v>
      </c>
      <c r="G1885">
        <v>1114735434</v>
      </c>
      <c r="H1885" t="s">
        <v>158</v>
      </c>
      <c r="I1885">
        <v>55</v>
      </c>
      <c r="J1885">
        <v>0</v>
      </c>
      <c r="K1885" s="1">
        <v>2597620</v>
      </c>
    </row>
    <row r="1886" spans="1:11" x14ac:dyDescent="0.25">
      <c r="A1886" t="s">
        <v>9</v>
      </c>
      <c r="B1886" t="s">
        <v>156</v>
      </c>
      <c r="C1886" t="s">
        <v>867</v>
      </c>
      <c r="D1886" t="s">
        <v>14</v>
      </c>
      <c r="E1886">
        <v>4</v>
      </c>
      <c r="F1886" s="2">
        <f>DATE(2026,IF(Tabla1[[#This Row],[Mes de Fecha]]="Septiembre",9,10),Tabla1[[#This Row],[Día de Fecha]])</f>
        <v>46299</v>
      </c>
      <c r="I1886">
        <v>0</v>
      </c>
      <c r="J1886" s="1">
        <v>4226037</v>
      </c>
      <c r="K1886">
        <v>0</v>
      </c>
    </row>
    <row r="1887" spans="1:11" x14ac:dyDescent="0.25">
      <c r="A1887" t="s">
        <v>9</v>
      </c>
      <c r="B1887" t="s">
        <v>156</v>
      </c>
      <c r="C1887" t="s">
        <v>867</v>
      </c>
      <c r="D1887" t="s">
        <v>14</v>
      </c>
      <c r="E1887">
        <v>4</v>
      </c>
      <c r="F1887" s="2">
        <f>DATE(2026,IF(Tabla1[[#This Row],[Mes de Fecha]]="Septiembre",9,10),Tabla1[[#This Row],[Día de Fecha]])</f>
        <v>46299</v>
      </c>
      <c r="G1887">
        <v>1006252984</v>
      </c>
      <c r="H1887" t="s">
        <v>159</v>
      </c>
      <c r="I1887">
        <v>22</v>
      </c>
      <c r="J1887">
        <v>0</v>
      </c>
      <c r="K1887" s="1">
        <v>1179750</v>
      </c>
    </row>
    <row r="1888" spans="1:11" x14ac:dyDescent="0.25">
      <c r="A1888" t="s">
        <v>9</v>
      </c>
      <c r="B1888" t="s">
        <v>156</v>
      </c>
      <c r="C1888" t="s">
        <v>867</v>
      </c>
      <c r="D1888" t="s">
        <v>14</v>
      </c>
      <c r="E1888">
        <v>4</v>
      </c>
      <c r="F1888" s="2">
        <f>DATE(2026,IF(Tabla1[[#This Row],[Mes de Fecha]]="Septiembre",9,10),Tabla1[[#This Row],[Día de Fecha]])</f>
        <v>46299</v>
      </c>
      <c r="G1888">
        <v>1099734375</v>
      </c>
      <c r="H1888" t="s">
        <v>157</v>
      </c>
      <c r="I1888">
        <v>70</v>
      </c>
      <c r="J1888">
        <v>0</v>
      </c>
      <c r="K1888" s="1">
        <v>3832314</v>
      </c>
    </row>
    <row r="1889" spans="1:11" x14ac:dyDescent="0.25">
      <c r="A1889" t="s">
        <v>9</v>
      </c>
      <c r="B1889" t="s">
        <v>156</v>
      </c>
      <c r="C1889" t="s">
        <v>867</v>
      </c>
      <c r="D1889" t="s">
        <v>14</v>
      </c>
      <c r="E1889">
        <v>4</v>
      </c>
      <c r="F1889" s="2">
        <f>DATE(2026,IF(Tabla1[[#This Row],[Mes de Fecha]]="Septiembre",9,10),Tabla1[[#This Row],[Día de Fecha]])</f>
        <v>46299</v>
      </c>
      <c r="G1889">
        <v>1114735434</v>
      </c>
      <c r="H1889" t="s">
        <v>158</v>
      </c>
      <c r="I1889">
        <v>61</v>
      </c>
      <c r="J1889">
        <v>0</v>
      </c>
      <c r="K1889" s="1">
        <v>3245047</v>
      </c>
    </row>
    <row r="1890" spans="1:11" x14ac:dyDescent="0.25">
      <c r="A1890" t="s">
        <v>9</v>
      </c>
      <c r="B1890" t="s">
        <v>156</v>
      </c>
      <c r="C1890" t="s">
        <v>867</v>
      </c>
      <c r="D1890" t="s">
        <v>14</v>
      </c>
      <c r="E1890">
        <v>5</v>
      </c>
      <c r="F1890" s="2">
        <f>DATE(2026,IF(Tabla1[[#This Row],[Mes de Fecha]]="Septiembre",9,10),Tabla1[[#This Row],[Día de Fecha]])</f>
        <v>46300</v>
      </c>
      <c r="I1890">
        <v>0</v>
      </c>
      <c r="J1890" s="1">
        <v>3672844</v>
      </c>
      <c r="K1890">
        <v>0</v>
      </c>
    </row>
    <row r="1891" spans="1:11" x14ac:dyDescent="0.25">
      <c r="A1891" t="s">
        <v>9</v>
      </c>
      <c r="B1891" t="s">
        <v>156</v>
      </c>
      <c r="C1891" t="s">
        <v>867</v>
      </c>
      <c r="D1891" t="s">
        <v>14</v>
      </c>
      <c r="E1891">
        <v>5</v>
      </c>
      <c r="F1891" s="2">
        <f>DATE(2026,IF(Tabla1[[#This Row],[Mes de Fecha]]="Septiembre",9,10),Tabla1[[#This Row],[Día de Fecha]])</f>
        <v>46300</v>
      </c>
      <c r="G1891">
        <v>1006252984</v>
      </c>
      <c r="H1891" t="s">
        <v>159</v>
      </c>
      <c r="I1891">
        <v>19</v>
      </c>
      <c r="J1891">
        <v>0</v>
      </c>
      <c r="K1891" s="1">
        <v>938193</v>
      </c>
    </row>
    <row r="1892" spans="1:11" x14ac:dyDescent="0.25">
      <c r="A1892" t="s">
        <v>9</v>
      </c>
      <c r="B1892" t="s">
        <v>156</v>
      </c>
      <c r="C1892" t="s">
        <v>867</v>
      </c>
      <c r="D1892" t="s">
        <v>14</v>
      </c>
      <c r="E1892">
        <v>5</v>
      </c>
      <c r="F1892" s="2">
        <f>DATE(2026,IF(Tabla1[[#This Row],[Mes de Fecha]]="Septiembre",9,10),Tabla1[[#This Row],[Día de Fecha]])</f>
        <v>46300</v>
      </c>
      <c r="G1892">
        <v>1099734375</v>
      </c>
      <c r="H1892" t="s">
        <v>157</v>
      </c>
      <c r="I1892">
        <v>56</v>
      </c>
      <c r="J1892">
        <v>0</v>
      </c>
      <c r="K1892" s="1">
        <v>2791557</v>
      </c>
    </row>
    <row r="1893" spans="1:11" x14ac:dyDescent="0.25">
      <c r="A1893" t="s">
        <v>9</v>
      </c>
      <c r="B1893" t="s">
        <v>156</v>
      </c>
      <c r="C1893" t="s">
        <v>867</v>
      </c>
      <c r="D1893" t="s">
        <v>14</v>
      </c>
      <c r="E1893">
        <v>5</v>
      </c>
      <c r="F1893" s="2">
        <f>DATE(2026,IF(Tabla1[[#This Row],[Mes de Fecha]]="Septiembre",9,10),Tabla1[[#This Row],[Día de Fecha]])</f>
        <v>46300</v>
      </c>
      <c r="G1893">
        <v>1114735434</v>
      </c>
      <c r="H1893" t="s">
        <v>158</v>
      </c>
      <c r="I1893">
        <v>24</v>
      </c>
      <c r="J1893">
        <v>0</v>
      </c>
      <c r="K1893" s="1">
        <v>1225675</v>
      </c>
    </row>
    <row r="1894" spans="1:11" x14ac:dyDescent="0.25">
      <c r="A1894" t="s">
        <v>9</v>
      </c>
      <c r="B1894" t="s">
        <v>156</v>
      </c>
      <c r="C1894" t="s">
        <v>867</v>
      </c>
      <c r="D1894" t="s">
        <v>14</v>
      </c>
      <c r="E1894">
        <v>6</v>
      </c>
      <c r="F1894" s="2">
        <f>DATE(2026,IF(Tabla1[[#This Row],[Mes de Fecha]]="Septiembre",9,10),Tabla1[[#This Row],[Día de Fecha]])</f>
        <v>46301</v>
      </c>
      <c r="I1894">
        <v>0</v>
      </c>
      <c r="J1894" s="1">
        <v>3559699</v>
      </c>
      <c r="K1894">
        <v>0</v>
      </c>
    </row>
    <row r="1895" spans="1:11" x14ac:dyDescent="0.25">
      <c r="A1895" t="s">
        <v>9</v>
      </c>
      <c r="B1895" t="s">
        <v>156</v>
      </c>
      <c r="C1895" t="s">
        <v>867</v>
      </c>
      <c r="D1895" t="s">
        <v>14</v>
      </c>
      <c r="E1895">
        <v>6</v>
      </c>
      <c r="F1895" s="2">
        <f>DATE(2026,IF(Tabla1[[#This Row],[Mes de Fecha]]="Septiembre",9,10),Tabla1[[#This Row],[Día de Fecha]])</f>
        <v>46301</v>
      </c>
      <c r="G1895">
        <v>1099734375</v>
      </c>
      <c r="H1895" t="s">
        <v>157</v>
      </c>
      <c r="I1895">
        <v>14</v>
      </c>
      <c r="J1895">
        <v>0</v>
      </c>
      <c r="K1895" s="1">
        <v>812353</v>
      </c>
    </row>
    <row r="1896" spans="1:11" x14ac:dyDescent="0.25">
      <c r="A1896" t="s">
        <v>9</v>
      </c>
      <c r="B1896" t="s">
        <v>156</v>
      </c>
      <c r="C1896" t="s">
        <v>867</v>
      </c>
      <c r="D1896" t="s">
        <v>14</v>
      </c>
      <c r="E1896">
        <v>6</v>
      </c>
      <c r="F1896" s="2">
        <f>DATE(2026,IF(Tabla1[[#This Row],[Mes de Fecha]]="Septiembre",9,10),Tabla1[[#This Row],[Día de Fecha]])</f>
        <v>46301</v>
      </c>
      <c r="G1896">
        <v>1114735434</v>
      </c>
      <c r="H1896" t="s">
        <v>158</v>
      </c>
      <c r="I1896">
        <v>20</v>
      </c>
      <c r="J1896">
        <v>0</v>
      </c>
      <c r="K1896" s="1">
        <v>1257184</v>
      </c>
    </row>
    <row r="1897" spans="1:11" x14ac:dyDescent="0.25">
      <c r="A1897" t="s">
        <v>9</v>
      </c>
      <c r="B1897" t="s">
        <v>156</v>
      </c>
      <c r="C1897" t="s">
        <v>867</v>
      </c>
      <c r="D1897" t="s">
        <v>14</v>
      </c>
      <c r="E1897">
        <v>7</v>
      </c>
      <c r="F1897" s="2">
        <f>DATE(2026,IF(Tabla1[[#This Row],[Mes de Fecha]]="Septiembre",9,10),Tabla1[[#This Row],[Día de Fecha]])</f>
        <v>46302</v>
      </c>
      <c r="I1897">
        <v>0</v>
      </c>
      <c r="J1897" s="1">
        <v>1402785</v>
      </c>
      <c r="K1897">
        <v>0</v>
      </c>
    </row>
    <row r="1898" spans="1:11" x14ac:dyDescent="0.25">
      <c r="A1898" t="s">
        <v>9</v>
      </c>
      <c r="B1898" t="s">
        <v>156</v>
      </c>
      <c r="C1898" t="s">
        <v>867</v>
      </c>
      <c r="D1898" t="s">
        <v>14</v>
      </c>
      <c r="E1898">
        <v>7</v>
      </c>
      <c r="F1898" s="2">
        <f>DATE(2026,IF(Tabla1[[#This Row],[Mes de Fecha]]="Septiembre",9,10),Tabla1[[#This Row],[Día de Fecha]])</f>
        <v>46302</v>
      </c>
      <c r="G1898">
        <v>1006252984</v>
      </c>
      <c r="H1898" t="s">
        <v>159</v>
      </c>
      <c r="I1898">
        <v>9</v>
      </c>
      <c r="J1898">
        <v>0</v>
      </c>
      <c r="K1898" s="1">
        <v>489118</v>
      </c>
    </row>
    <row r="1899" spans="1:11" x14ac:dyDescent="0.25">
      <c r="A1899" t="s">
        <v>9</v>
      </c>
      <c r="B1899" t="s">
        <v>156</v>
      </c>
      <c r="C1899" t="s">
        <v>867</v>
      </c>
      <c r="D1899" t="s">
        <v>14</v>
      </c>
      <c r="E1899">
        <v>7</v>
      </c>
      <c r="F1899" s="2">
        <f>DATE(2026,IF(Tabla1[[#This Row],[Mes de Fecha]]="Septiembre",9,10),Tabla1[[#This Row],[Día de Fecha]])</f>
        <v>46302</v>
      </c>
      <c r="G1899">
        <v>1099734375</v>
      </c>
      <c r="H1899" t="s">
        <v>157</v>
      </c>
      <c r="I1899">
        <v>2</v>
      </c>
      <c r="J1899">
        <v>0</v>
      </c>
      <c r="K1899" s="1">
        <v>117563</v>
      </c>
    </row>
    <row r="1900" spans="1:11" x14ac:dyDescent="0.25">
      <c r="A1900" t="s">
        <v>9</v>
      </c>
      <c r="B1900" t="s">
        <v>156</v>
      </c>
      <c r="C1900" t="s">
        <v>867</v>
      </c>
      <c r="D1900" t="s">
        <v>14</v>
      </c>
      <c r="E1900">
        <v>7</v>
      </c>
      <c r="F1900" s="2">
        <f>DATE(2026,IF(Tabla1[[#This Row],[Mes de Fecha]]="Septiembre",9,10),Tabla1[[#This Row],[Día de Fecha]])</f>
        <v>46302</v>
      </c>
      <c r="G1900">
        <v>1114735434</v>
      </c>
      <c r="H1900" t="s">
        <v>158</v>
      </c>
      <c r="I1900">
        <v>33</v>
      </c>
      <c r="J1900">
        <v>0</v>
      </c>
      <c r="K1900" s="1">
        <v>1586560</v>
      </c>
    </row>
    <row r="1901" spans="1:11" x14ac:dyDescent="0.25">
      <c r="A1901" t="s">
        <v>9</v>
      </c>
      <c r="B1901" t="s">
        <v>164</v>
      </c>
      <c r="C1901" t="s">
        <v>867</v>
      </c>
      <c r="D1901" t="s">
        <v>11</v>
      </c>
      <c r="E1901">
        <v>23</v>
      </c>
      <c r="F1901" s="2">
        <f>DATE(2026,IF(Tabla1[[#This Row],[Mes de Fecha]]="Septiembre",9,10),Tabla1[[#This Row],[Día de Fecha]])</f>
        <v>46288</v>
      </c>
      <c r="I1901">
        <v>0</v>
      </c>
      <c r="J1901" s="1">
        <v>1805052</v>
      </c>
      <c r="K1901">
        <v>0</v>
      </c>
    </row>
    <row r="1902" spans="1:11" x14ac:dyDescent="0.25">
      <c r="A1902" t="s">
        <v>9</v>
      </c>
      <c r="B1902" t="s">
        <v>164</v>
      </c>
      <c r="C1902" t="s">
        <v>867</v>
      </c>
      <c r="D1902" t="s">
        <v>11</v>
      </c>
      <c r="E1902">
        <v>23</v>
      </c>
      <c r="F1902" s="2">
        <f>DATE(2026,IF(Tabla1[[#This Row],[Mes de Fecha]]="Septiembre",9,10),Tabla1[[#This Row],[Día de Fecha]])</f>
        <v>46288</v>
      </c>
      <c r="G1902">
        <v>29425689</v>
      </c>
      <c r="H1902" t="s">
        <v>165</v>
      </c>
      <c r="I1902">
        <v>17</v>
      </c>
      <c r="J1902">
        <v>0</v>
      </c>
      <c r="K1902" s="1">
        <v>763993</v>
      </c>
    </row>
    <row r="1903" spans="1:11" x14ac:dyDescent="0.25">
      <c r="A1903" t="s">
        <v>9</v>
      </c>
      <c r="B1903" t="s">
        <v>164</v>
      </c>
      <c r="C1903" t="s">
        <v>867</v>
      </c>
      <c r="D1903" t="s">
        <v>11</v>
      </c>
      <c r="E1903">
        <v>23</v>
      </c>
      <c r="F1903" s="2">
        <f>DATE(2026,IF(Tabla1[[#This Row],[Mes de Fecha]]="Septiembre",9,10),Tabla1[[#This Row],[Día de Fecha]])</f>
        <v>46288</v>
      </c>
      <c r="G1903">
        <v>1112878635</v>
      </c>
      <c r="H1903" t="s">
        <v>166</v>
      </c>
      <c r="I1903">
        <v>51</v>
      </c>
      <c r="J1903">
        <v>0</v>
      </c>
      <c r="K1903" s="1">
        <v>2527272</v>
      </c>
    </row>
    <row r="1904" spans="1:11" x14ac:dyDescent="0.25">
      <c r="A1904" t="s">
        <v>9</v>
      </c>
      <c r="B1904" t="s">
        <v>164</v>
      </c>
      <c r="C1904" t="s">
        <v>867</v>
      </c>
      <c r="D1904" t="s">
        <v>11</v>
      </c>
      <c r="E1904">
        <v>24</v>
      </c>
      <c r="F1904" s="2">
        <f>DATE(2026,IF(Tabla1[[#This Row],[Mes de Fecha]]="Septiembre",9,10),Tabla1[[#This Row],[Día de Fecha]])</f>
        <v>46289</v>
      </c>
      <c r="I1904">
        <v>0</v>
      </c>
      <c r="J1904" s="1">
        <v>4668210</v>
      </c>
      <c r="K1904">
        <v>0</v>
      </c>
    </row>
    <row r="1905" spans="1:11" x14ac:dyDescent="0.25">
      <c r="A1905" t="s">
        <v>9</v>
      </c>
      <c r="B1905" t="s">
        <v>164</v>
      </c>
      <c r="C1905" t="s">
        <v>867</v>
      </c>
      <c r="D1905" t="s">
        <v>11</v>
      </c>
      <c r="E1905">
        <v>24</v>
      </c>
      <c r="F1905" s="2">
        <f>DATE(2026,IF(Tabla1[[#This Row],[Mes de Fecha]]="Septiembre",9,10),Tabla1[[#This Row],[Día de Fecha]])</f>
        <v>46289</v>
      </c>
      <c r="G1905">
        <v>29425689</v>
      </c>
      <c r="H1905" t="s">
        <v>165</v>
      </c>
      <c r="I1905">
        <v>21</v>
      </c>
      <c r="J1905">
        <v>0</v>
      </c>
      <c r="K1905" s="1">
        <v>1133573</v>
      </c>
    </row>
    <row r="1906" spans="1:11" x14ac:dyDescent="0.25">
      <c r="A1906" t="s">
        <v>9</v>
      </c>
      <c r="B1906" t="s">
        <v>164</v>
      </c>
      <c r="C1906" t="s">
        <v>867</v>
      </c>
      <c r="D1906" t="s">
        <v>11</v>
      </c>
      <c r="E1906">
        <v>24</v>
      </c>
      <c r="F1906" s="2">
        <f>DATE(2026,IF(Tabla1[[#This Row],[Mes de Fecha]]="Septiembre",9,10),Tabla1[[#This Row],[Día de Fecha]])</f>
        <v>46289</v>
      </c>
      <c r="G1906">
        <v>1112878635</v>
      </c>
      <c r="H1906" t="s">
        <v>166</v>
      </c>
      <c r="I1906">
        <v>67</v>
      </c>
      <c r="J1906">
        <v>0</v>
      </c>
      <c r="K1906" s="1">
        <v>3539244</v>
      </c>
    </row>
    <row r="1907" spans="1:11" x14ac:dyDescent="0.25">
      <c r="A1907" t="s">
        <v>9</v>
      </c>
      <c r="B1907" t="s">
        <v>164</v>
      </c>
      <c r="C1907" t="s">
        <v>867</v>
      </c>
      <c r="D1907" t="s">
        <v>11</v>
      </c>
      <c r="E1907">
        <v>25</v>
      </c>
      <c r="F1907" s="2">
        <f>DATE(2026,IF(Tabla1[[#This Row],[Mes de Fecha]]="Septiembre",9,10),Tabla1[[#This Row],[Día de Fecha]])</f>
        <v>46290</v>
      </c>
      <c r="I1907">
        <v>0</v>
      </c>
      <c r="J1907" s="1">
        <v>4985904</v>
      </c>
      <c r="K1907">
        <v>0</v>
      </c>
    </row>
    <row r="1908" spans="1:11" x14ac:dyDescent="0.25">
      <c r="A1908" t="s">
        <v>9</v>
      </c>
      <c r="B1908" t="s">
        <v>164</v>
      </c>
      <c r="C1908" t="s">
        <v>867</v>
      </c>
      <c r="D1908" t="s">
        <v>11</v>
      </c>
      <c r="E1908">
        <v>25</v>
      </c>
      <c r="F1908" s="2">
        <f>DATE(2026,IF(Tabla1[[#This Row],[Mes de Fecha]]="Septiembre",9,10),Tabla1[[#This Row],[Día de Fecha]])</f>
        <v>46290</v>
      </c>
      <c r="G1908">
        <v>29425689</v>
      </c>
      <c r="H1908" t="s">
        <v>165</v>
      </c>
      <c r="I1908">
        <v>35</v>
      </c>
      <c r="J1908">
        <v>0</v>
      </c>
      <c r="K1908" s="1">
        <v>2372481</v>
      </c>
    </row>
    <row r="1909" spans="1:11" x14ac:dyDescent="0.25">
      <c r="A1909" t="s">
        <v>9</v>
      </c>
      <c r="B1909" t="s">
        <v>164</v>
      </c>
      <c r="C1909" t="s">
        <v>867</v>
      </c>
      <c r="D1909" t="s">
        <v>11</v>
      </c>
      <c r="E1909">
        <v>25</v>
      </c>
      <c r="F1909" s="2">
        <f>DATE(2026,IF(Tabla1[[#This Row],[Mes de Fecha]]="Septiembre",9,10),Tabla1[[#This Row],[Día de Fecha]])</f>
        <v>46290</v>
      </c>
      <c r="G1909">
        <v>1112878635</v>
      </c>
      <c r="H1909" t="s">
        <v>166</v>
      </c>
      <c r="I1909">
        <v>47</v>
      </c>
      <c r="J1909">
        <v>0</v>
      </c>
      <c r="K1909" s="1">
        <v>2731221</v>
      </c>
    </row>
    <row r="1910" spans="1:11" x14ac:dyDescent="0.25">
      <c r="A1910" t="s">
        <v>9</v>
      </c>
      <c r="B1910" t="s">
        <v>164</v>
      </c>
      <c r="C1910" t="s">
        <v>867</v>
      </c>
      <c r="D1910" t="s">
        <v>11</v>
      </c>
      <c r="E1910">
        <v>26</v>
      </c>
      <c r="F1910" s="2">
        <f>DATE(2026,IF(Tabla1[[#This Row],[Mes de Fecha]]="Septiembre",9,10),Tabla1[[#This Row],[Día de Fecha]])</f>
        <v>46291</v>
      </c>
      <c r="I1910">
        <v>0</v>
      </c>
      <c r="J1910" s="1">
        <v>6287095</v>
      </c>
      <c r="K1910">
        <v>0</v>
      </c>
    </row>
    <row r="1911" spans="1:11" x14ac:dyDescent="0.25">
      <c r="A1911" t="s">
        <v>9</v>
      </c>
      <c r="B1911" t="s">
        <v>164</v>
      </c>
      <c r="C1911" t="s">
        <v>867</v>
      </c>
      <c r="D1911" t="s">
        <v>11</v>
      </c>
      <c r="E1911">
        <v>26</v>
      </c>
      <c r="F1911" s="2">
        <f>DATE(2026,IF(Tabla1[[#This Row],[Mes de Fecha]]="Septiembre",9,10),Tabla1[[#This Row],[Día de Fecha]])</f>
        <v>46291</v>
      </c>
      <c r="G1911">
        <v>29425689</v>
      </c>
      <c r="H1911" t="s">
        <v>165</v>
      </c>
      <c r="I1911">
        <v>108</v>
      </c>
      <c r="J1911">
        <v>0</v>
      </c>
      <c r="K1911" s="1">
        <v>5803783</v>
      </c>
    </row>
    <row r="1912" spans="1:11" x14ac:dyDescent="0.25">
      <c r="A1912" t="s">
        <v>9</v>
      </c>
      <c r="B1912" t="s">
        <v>164</v>
      </c>
      <c r="C1912" t="s">
        <v>867</v>
      </c>
      <c r="D1912" t="s">
        <v>11</v>
      </c>
      <c r="E1912">
        <v>26</v>
      </c>
      <c r="F1912" s="2">
        <f>DATE(2026,IF(Tabla1[[#This Row],[Mes de Fecha]]="Septiembre",9,10),Tabla1[[#This Row],[Día de Fecha]])</f>
        <v>46291</v>
      </c>
      <c r="G1912">
        <v>1112878635</v>
      </c>
      <c r="H1912" t="s">
        <v>166</v>
      </c>
      <c r="I1912">
        <v>47</v>
      </c>
      <c r="J1912">
        <v>0</v>
      </c>
      <c r="K1912" s="1">
        <v>2239497</v>
      </c>
    </row>
    <row r="1913" spans="1:11" x14ac:dyDescent="0.25">
      <c r="A1913" t="s">
        <v>9</v>
      </c>
      <c r="B1913" t="s">
        <v>164</v>
      </c>
      <c r="C1913" t="s">
        <v>867</v>
      </c>
      <c r="D1913" t="s">
        <v>11</v>
      </c>
      <c r="E1913">
        <v>27</v>
      </c>
      <c r="F1913" s="2">
        <f>DATE(2026,IF(Tabla1[[#This Row],[Mes de Fecha]]="Septiembre",9,10),Tabla1[[#This Row],[Día de Fecha]])</f>
        <v>46292</v>
      </c>
      <c r="I1913">
        <v>0</v>
      </c>
      <c r="J1913" s="1">
        <v>3319529</v>
      </c>
      <c r="K1913">
        <v>0</v>
      </c>
    </row>
    <row r="1914" spans="1:11" x14ac:dyDescent="0.25">
      <c r="A1914" t="s">
        <v>9</v>
      </c>
      <c r="B1914" t="s">
        <v>164</v>
      </c>
      <c r="C1914" t="s">
        <v>867</v>
      </c>
      <c r="D1914" t="s">
        <v>11</v>
      </c>
      <c r="E1914">
        <v>27</v>
      </c>
      <c r="F1914" s="2">
        <f>DATE(2026,IF(Tabla1[[#This Row],[Mes de Fecha]]="Septiembre",9,10),Tabla1[[#This Row],[Día de Fecha]])</f>
        <v>46292</v>
      </c>
      <c r="G1914">
        <v>29425689</v>
      </c>
      <c r="H1914" t="s">
        <v>165</v>
      </c>
      <c r="I1914">
        <v>26</v>
      </c>
      <c r="J1914">
        <v>0</v>
      </c>
      <c r="K1914" s="1">
        <v>1351303</v>
      </c>
    </row>
    <row r="1915" spans="1:11" x14ac:dyDescent="0.25">
      <c r="A1915" t="s">
        <v>9</v>
      </c>
      <c r="B1915" t="s">
        <v>164</v>
      </c>
      <c r="C1915" t="s">
        <v>867</v>
      </c>
      <c r="D1915" t="s">
        <v>11</v>
      </c>
      <c r="E1915">
        <v>27</v>
      </c>
      <c r="F1915" s="2">
        <f>DATE(2026,IF(Tabla1[[#This Row],[Mes de Fecha]]="Septiembre",9,10),Tabla1[[#This Row],[Día de Fecha]])</f>
        <v>46292</v>
      </c>
      <c r="G1915">
        <v>1112878635</v>
      </c>
      <c r="H1915" t="s">
        <v>166</v>
      </c>
      <c r="I1915">
        <v>30</v>
      </c>
      <c r="J1915">
        <v>0</v>
      </c>
      <c r="K1915" s="1">
        <v>1389328</v>
      </c>
    </row>
    <row r="1916" spans="1:11" x14ac:dyDescent="0.25">
      <c r="A1916" t="s">
        <v>9</v>
      </c>
      <c r="B1916" t="s">
        <v>164</v>
      </c>
      <c r="C1916" t="s">
        <v>867</v>
      </c>
      <c r="D1916" t="s">
        <v>11</v>
      </c>
      <c r="E1916">
        <v>28</v>
      </c>
      <c r="F1916" s="2">
        <f>DATE(2026,IF(Tabla1[[#This Row],[Mes de Fecha]]="Septiembre",9,10),Tabla1[[#This Row],[Día de Fecha]])</f>
        <v>46293</v>
      </c>
      <c r="I1916">
        <v>0</v>
      </c>
      <c r="J1916" s="1">
        <v>2721653</v>
      </c>
      <c r="K1916">
        <v>0</v>
      </c>
    </row>
    <row r="1917" spans="1:11" x14ac:dyDescent="0.25">
      <c r="A1917" t="s">
        <v>9</v>
      </c>
      <c r="B1917" t="s">
        <v>164</v>
      </c>
      <c r="C1917" t="s">
        <v>867</v>
      </c>
      <c r="D1917" t="s">
        <v>11</v>
      </c>
      <c r="E1917">
        <v>28</v>
      </c>
      <c r="F1917" s="2">
        <f>DATE(2026,IF(Tabla1[[#This Row],[Mes de Fecha]]="Septiembre",9,10),Tabla1[[#This Row],[Día de Fecha]])</f>
        <v>46293</v>
      </c>
      <c r="G1917">
        <v>29425689</v>
      </c>
      <c r="H1917" t="s">
        <v>165</v>
      </c>
      <c r="I1917">
        <v>17</v>
      </c>
      <c r="J1917">
        <v>0</v>
      </c>
      <c r="K1917" s="1">
        <v>1051640</v>
      </c>
    </row>
    <row r="1918" spans="1:11" x14ac:dyDescent="0.25">
      <c r="A1918" t="s">
        <v>9</v>
      </c>
      <c r="B1918" t="s">
        <v>164</v>
      </c>
      <c r="C1918" t="s">
        <v>867</v>
      </c>
      <c r="D1918" t="s">
        <v>11</v>
      </c>
      <c r="E1918">
        <v>28</v>
      </c>
      <c r="F1918" s="2">
        <f>DATE(2026,IF(Tabla1[[#This Row],[Mes de Fecha]]="Septiembre",9,10),Tabla1[[#This Row],[Día de Fecha]])</f>
        <v>46293</v>
      </c>
      <c r="G1918">
        <v>1112878635</v>
      </c>
      <c r="H1918" t="s">
        <v>166</v>
      </c>
      <c r="I1918">
        <v>40</v>
      </c>
      <c r="J1918">
        <v>0</v>
      </c>
      <c r="K1918" s="1">
        <v>2355421</v>
      </c>
    </row>
    <row r="1919" spans="1:11" x14ac:dyDescent="0.25">
      <c r="A1919" t="s">
        <v>9</v>
      </c>
      <c r="B1919" t="s">
        <v>164</v>
      </c>
      <c r="C1919" t="s">
        <v>867</v>
      </c>
      <c r="D1919" t="s">
        <v>11</v>
      </c>
      <c r="E1919">
        <v>29</v>
      </c>
      <c r="F1919" s="2">
        <f>DATE(2026,IF(Tabla1[[#This Row],[Mes de Fecha]]="Septiembre",9,10),Tabla1[[#This Row],[Día de Fecha]])</f>
        <v>46294</v>
      </c>
      <c r="I1919">
        <v>0</v>
      </c>
      <c r="J1919" s="1">
        <v>3025670</v>
      </c>
      <c r="K1919">
        <v>0</v>
      </c>
    </row>
    <row r="1920" spans="1:11" x14ac:dyDescent="0.25">
      <c r="A1920" t="s">
        <v>9</v>
      </c>
      <c r="B1920" t="s">
        <v>164</v>
      </c>
      <c r="C1920" t="s">
        <v>867</v>
      </c>
      <c r="D1920" t="s">
        <v>11</v>
      </c>
      <c r="E1920">
        <v>29</v>
      </c>
      <c r="F1920" s="2">
        <f>DATE(2026,IF(Tabla1[[#This Row],[Mes de Fecha]]="Septiembre",9,10),Tabla1[[#This Row],[Día de Fecha]])</f>
        <v>46294</v>
      </c>
      <c r="G1920">
        <v>29425689</v>
      </c>
      <c r="H1920" t="s">
        <v>165</v>
      </c>
      <c r="I1920">
        <v>29</v>
      </c>
      <c r="J1920">
        <v>0</v>
      </c>
      <c r="K1920" s="1">
        <v>1343070</v>
      </c>
    </row>
    <row r="1921" spans="1:11" x14ac:dyDescent="0.25">
      <c r="A1921" t="s">
        <v>9</v>
      </c>
      <c r="B1921" t="s">
        <v>164</v>
      </c>
      <c r="C1921" t="s">
        <v>867</v>
      </c>
      <c r="D1921" t="s">
        <v>11</v>
      </c>
      <c r="E1921">
        <v>29</v>
      </c>
      <c r="F1921" s="2">
        <f>DATE(2026,IF(Tabla1[[#This Row],[Mes de Fecha]]="Septiembre",9,10),Tabla1[[#This Row],[Día de Fecha]])</f>
        <v>46294</v>
      </c>
      <c r="G1921">
        <v>1112878635</v>
      </c>
      <c r="H1921" t="s">
        <v>166</v>
      </c>
      <c r="I1921">
        <v>12</v>
      </c>
      <c r="J1921">
        <v>0</v>
      </c>
      <c r="K1921" s="1">
        <v>467942</v>
      </c>
    </row>
    <row r="1922" spans="1:11" x14ac:dyDescent="0.25">
      <c r="A1922" t="s">
        <v>9</v>
      </c>
      <c r="B1922" t="s">
        <v>164</v>
      </c>
      <c r="C1922" t="s">
        <v>867</v>
      </c>
      <c r="D1922" t="s">
        <v>11</v>
      </c>
      <c r="E1922">
        <v>30</v>
      </c>
      <c r="F1922" s="2">
        <f>DATE(2026,IF(Tabla1[[#This Row],[Mes de Fecha]]="Septiembre",9,10),Tabla1[[#This Row],[Día de Fecha]])</f>
        <v>46295</v>
      </c>
      <c r="I1922">
        <v>0</v>
      </c>
      <c r="J1922" s="1">
        <v>3204283</v>
      </c>
      <c r="K1922">
        <v>0</v>
      </c>
    </row>
    <row r="1923" spans="1:11" x14ac:dyDescent="0.25">
      <c r="A1923" t="s">
        <v>9</v>
      </c>
      <c r="B1923" t="s">
        <v>164</v>
      </c>
      <c r="C1923" t="s">
        <v>867</v>
      </c>
      <c r="D1923" t="s">
        <v>11</v>
      </c>
      <c r="E1923">
        <v>30</v>
      </c>
      <c r="F1923" s="2">
        <f>DATE(2026,IF(Tabla1[[#This Row],[Mes de Fecha]]="Septiembre",9,10),Tabla1[[#This Row],[Día de Fecha]])</f>
        <v>46295</v>
      </c>
      <c r="G1923">
        <v>29425689</v>
      </c>
      <c r="H1923" t="s">
        <v>165</v>
      </c>
      <c r="I1923">
        <v>34</v>
      </c>
      <c r="J1923">
        <v>0</v>
      </c>
      <c r="K1923" s="1">
        <v>1704330</v>
      </c>
    </row>
    <row r="1924" spans="1:11" x14ac:dyDescent="0.25">
      <c r="A1924" t="s">
        <v>9</v>
      </c>
      <c r="B1924" t="s">
        <v>164</v>
      </c>
      <c r="C1924" t="s">
        <v>867</v>
      </c>
      <c r="D1924" t="s">
        <v>11</v>
      </c>
      <c r="E1924">
        <v>30</v>
      </c>
      <c r="F1924" s="2">
        <f>DATE(2026,IF(Tabla1[[#This Row],[Mes de Fecha]]="Septiembre",9,10),Tabla1[[#This Row],[Día de Fecha]])</f>
        <v>46295</v>
      </c>
      <c r="G1924">
        <v>1112878635</v>
      </c>
      <c r="H1924" t="s">
        <v>166</v>
      </c>
      <c r="I1924">
        <v>51</v>
      </c>
      <c r="J1924">
        <v>0</v>
      </c>
      <c r="K1924" s="1">
        <v>2509960</v>
      </c>
    </row>
    <row r="1925" spans="1:11" x14ac:dyDescent="0.25">
      <c r="A1925" t="s">
        <v>9</v>
      </c>
      <c r="B1925" t="s">
        <v>164</v>
      </c>
      <c r="C1925" t="s">
        <v>867</v>
      </c>
      <c r="D1925" t="s">
        <v>14</v>
      </c>
      <c r="E1925">
        <v>1</v>
      </c>
      <c r="F1925" s="2">
        <f>DATE(2026,IF(Tabla1[[#This Row],[Mes de Fecha]]="Septiembre",9,10),Tabla1[[#This Row],[Día de Fecha]])</f>
        <v>46296</v>
      </c>
      <c r="I1925">
        <v>0</v>
      </c>
      <c r="J1925" s="1">
        <v>8251520</v>
      </c>
      <c r="K1925">
        <v>0</v>
      </c>
    </row>
    <row r="1926" spans="1:11" x14ac:dyDescent="0.25">
      <c r="A1926" t="s">
        <v>9</v>
      </c>
      <c r="B1926" t="s">
        <v>164</v>
      </c>
      <c r="C1926" t="s">
        <v>867</v>
      </c>
      <c r="D1926" t="s">
        <v>14</v>
      </c>
      <c r="E1926">
        <v>1</v>
      </c>
      <c r="F1926" s="2">
        <f>DATE(2026,IF(Tabla1[[#This Row],[Mes de Fecha]]="Septiembre",9,10),Tabla1[[#This Row],[Día de Fecha]])</f>
        <v>46296</v>
      </c>
      <c r="G1926">
        <v>29425689</v>
      </c>
      <c r="H1926" t="s">
        <v>165</v>
      </c>
      <c r="I1926">
        <v>39</v>
      </c>
      <c r="J1926">
        <v>0</v>
      </c>
      <c r="K1926" s="1">
        <v>1737353</v>
      </c>
    </row>
    <row r="1927" spans="1:11" x14ac:dyDescent="0.25">
      <c r="A1927" t="s">
        <v>9</v>
      </c>
      <c r="B1927" t="s">
        <v>164</v>
      </c>
      <c r="C1927" t="s">
        <v>867</v>
      </c>
      <c r="D1927" t="s">
        <v>14</v>
      </c>
      <c r="E1927">
        <v>1</v>
      </c>
      <c r="F1927" s="2">
        <f>DATE(2026,IF(Tabla1[[#This Row],[Mes de Fecha]]="Septiembre",9,10),Tabla1[[#This Row],[Día de Fecha]])</f>
        <v>46296</v>
      </c>
      <c r="G1927">
        <v>29435689</v>
      </c>
      <c r="H1927" t="s">
        <v>167</v>
      </c>
      <c r="I1927">
        <v>3</v>
      </c>
      <c r="J1927">
        <v>0</v>
      </c>
      <c r="K1927" s="1">
        <v>117521</v>
      </c>
    </row>
    <row r="1928" spans="1:11" x14ac:dyDescent="0.25">
      <c r="A1928" t="s">
        <v>9</v>
      </c>
      <c r="B1928" t="s">
        <v>164</v>
      </c>
      <c r="C1928" t="s">
        <v>867</v>
      </c>
      <c r="D1928" t="s">
        <v>14</v>
      </c>
      <c r="E1928">
        <v>1</v>
      </c>
      <c r="F1928" s="2">
        <f>DATE(2026,IF(Tabla1[[#This Row],[Mes de Fecha]]="Septiembre",9,10),Tabla1[[#This Row],[Día de Fecha]])</f>
        <v>46296</v>
      </c>
      <c r="G1928">
        <v>1112878635</v>
      </c>
      <c r="H1928" t="s">
        <v>166</v>
      </c>
      <c r="I1928">
        <v>14</v>
      </c>
      <c r="J1928">
        <v>0</v>
      </c>
      <c r="K1928" s="1">
        <v>705170</v>
      </c>
    </row>
    <row r="1929" spans="1:11" x14ac:dyDescent="0.25">
      <c r="A1929" t="s">
        <v>9</v>
      </c>
      <c r="B1929" t="s">
        <v>164</v>
      </c>
      <c r="C1929" t="s">
        <v>867</v>
      </c>
      <c r="D1929" t="s">
        <v>14</v>
      </c>
      <c r="E1929">
        <v>2</v>
      </c>
      <c r="F1929" s="2">
        <f>DATE(2026,IF(Tabla1[[#This Row],[Mes de Fecha]]="Septiembre",9,10),Tabla1[[#This Row],[Día de Fecha]])</f>
        <v>46297</v>
      </c>
      <c r="I1929">
        <v>0</v>
      </c>
      <c r="J1929" s="1">
        <v>5574407</v>
      </c>
      <c r="K1929">
        <v>0</v>
      </c>
    </row>
    <row r="1930" spans="1:11" x14ac:dyDescent="0.25">
      <c r="A1930" t="s">
        <v>9</v>
      </c>
      <c r="B1930" t="s">
        <v>164</v>
      </c>
      <c r="C1930" t="s">
        <v>867</v>
      </c>
      <c r="D1930" t="s">
        <v>14</v>
      </c>
      <c r="E1930">
        <v>2</v>
      </c>
      <c r="F1930" s="2">
        <f>DATE(2026,IF(Tabla1[[#This Row],[Mes de Fecha]]="Septiembre",9,10),Tabla1[[#This Row],[Día de Fecha]])</f>
        <v>46297</v>
      </c>
      <c r="G1930">
        <v>29425689</v>
      </c>
      <c r="H1930" t="s">
        <v>165</v>
      </c>
      <c r="I1930">
        <v>17</v>
      </c>
      <c r="J1930">
        <v>0</v>
      </c>
      <c r="K1930" s="1">
        <v>948655</v>
      </c>
    </row>
    <row r="1931" spans="1:11" x14ac:dyDescent="0.25">
      <c r="A1931" t="s">
        <v>9</v>
      </c>
      <c r="B1931" t="s">
        <v>164</v>
      </c>
      <c r="C1931" t="s">
        <v>867</v>
      </c>
      <c r="D1931" t="s">
        <v>14</v>
      </c>
      <c r="E1931">
        <v>2</v>
      </c>
      <c r="F1931" s="2">
        <f>DATE(2026,IF(Tabla1[[#This Row],[Mes de Fecha]]="Septiembre",9,10),Tabla1[[#This Row],[Día de Fecha]])</f>
        <v>46297</v>
      </c>
      <c r="G1931">
        <v>1112878635</v>
      </c>
      <c r="H1931" t="s">
        <v>166</v>
      </c>
      <c r="I1931">
        <v>46</v>
      </c>
      <c r="J1931">
        <v>0</v>
      </c>
      <c r="K1931" s="1">
        <v>2298279</v>
      </c>
    </row>
    <row r="1932" spans="1:11" x14ac:dyDescent="0.25">
      <c r="A1932" t="s">
        <v>9</v>
      </c>
      <c r="B1932" t="s">
        <v>164</v>
      </c>
      <c r="C1932" t="s">
        <v>867</v>
      </c>
      <c r="D1932" t="s">
        <v>14</v>
      </c>
      <c r="E1932">
        <v>3</v>
      </c>
      <c r="F1932" s="2">
        <f>DATE(2026,IF(Tabla1[[#This Row],[Mes de Fecha]]="Septiembre",9,10),Tabla1[[#This Row],[Día de Fecha]])</f>
        <v>46298</v>
      </c>
      <c r="I1932">
        <v>0</v>
      </c>
      <c r="J1932" s="1">
        <v>9841127</v>
      </c>
      <c r="K1932">
        <v>0</v>
      </c>
    </row>
    <row r="1933" spans="1:11" x14ac:dyDescent="0.25">
      <c r="A1933" t="s">
        <v>9</v>
      </c>
      <c r="B1933" t="s">
        <v>164</v>
      </c>
      <c r="C1933" t="s">
        <v>867</v>
      </c>
      <c r="D1933" t="s">
        <v>14</v>
      </c>
      <c r="E1933">
        <v>3</v>
      </c>
      <c r="F1933" s="2">
        <f>DATE(2026,IF(Tabla1[[#This Row],[Mes de Fecha]]="Septiembre",9,10),Tabla1[[#This Row],[Día de Fecha]])</f>
        <v>46298</v>
      </c>
      <c r="G1933">
        <v>29425689</v>
      </c>
      <c r="H1933" t="s">
        <v>165</v>
      </c>
      <c r="I1933">
        <v>26</v>
      </c>
      <c r="J1933">
        <v>0</v>
      </c>
      <c r="K1933" s="1">
        <v>1431078</v>
      </c>
    </row>
    <row r="1934" spans="1:11" x14ac:dyDescent="0.25">
      <c r="A1934" t="s">
        <v>9</v>
      </c>
      <c r="B1934" t="s">
        <v>164</v>
      </c>
      <c r="C1934" t="s">
        <v>867</v>
      </c>
      <c r="D1934" t="s">
        <v>14</v>
      </c>
      <c r="E1934">
        <v>3</v>
      </c>
      <c r="F1934" s="2">
        <f>DATE(2026,IF(Tabla1[[#This Row],[Mes de Fecha]]="Septiembre",9,10),Tabla1[[#This Row],[Día de Fecha]])</f>
        <v>46298</v>
      </c>
      <c r="G1934">
        <v>1112878635</v>
      </c>
      <c r="H1934" t="s">
        <v>166</v>
      </c>
      <c r="I1934">
        <v>84</v>
      </c>
      <c r="J1934">
        <v>0</v>
      </c>
      <c r="K1934" s="1">
        <v>3957106</v>
      </c>
    </row>
    <row r="1935" spans="1:11" x14ac:dyDescent="0.25">
      <c r="A1935" t="s">
        <v>9</v>
      </c>
      <c r="B1935" t="s">
        <v>164</v>
      </c>
      <c r="C1935" t="s">
        <v>867</v>
      </c>
      <c r="D1935" t="s">
        <v>14</v>
      </c>
      <c r="E1935">
        <v>4</v>
      </c>
      <c r="F1935" s="2">
        <f>DATE(2026,IF(Tabla1[[#This Row],[Mes de Fecha]]="Septiembre",9,10),Tabla1[[#This Row],[Día de Fecha]])</f>
        <v>46299</v>
      </c>
      <c r="I1935">
        <v>0</v>
      </c>
      <c r="J1935" s="1">
        <v>2440652</v>
      </c>
      <c r="K1935">
        <v>0</v>
      </c>
    </row>
    <row r="1936" spans="1:11" x14ac:dyDescent="0.25">
      <c r="A1936" t="s">
        <v>9</v>
      </c>
      <c r="B1936" t="s">
        <v>164</v>
      </c>
      <c r="C1936" t="s">
        <v>867</v>
      </c>
      <c r="D1936" t="s">
        <v>14</v>
      </c>
      <c r="E1936">
        <v>4</v>
      </c>
      <c r="F1936" s="2">
        <f>DATE(2026,IF(Tabla1[[#This Row],[Mes de Fecha]]="Septiembre",9,10),Tabla1[[#This Row],[Día de Fecha]])</f>
        <v>46299</v>
      </c>
      <c r="G1936">
        <v>29425689</v>
      </c>
      <c r="H1936" t="s">
        <v>165</v>
      </c>
      <c r="I1936">
        <v>6</v>
      </c>
      <c r="J1936">
        <v>0</v>
      </c>
      <c r="K1936" s="1">
        <v>365210</v>
      </c>
    </row>
    <row r="1937" spans="1:11" x14ac:dyDescent="0.25">
      <c r="A1937" t="s">
        <v>9</v>
      </c>
      <c r="B1937" t="s">
        <v>164</v>
      </c>
      <c r="C1937" t="s">
        <v>867</v>
      </c>
      <c r="D1937" t="s">
        <v>14</v>
      </c>
      <c r="E1937">
        <v>4</v>
      </c>
      <c r="F1937" s="2">
        <f>DATE(2026,IF(Tabla1[[#This Row],[Mes de Fecha]]="Septiembre",9,10),Tabla1[[#This Row],[Día de Fecha]])</f>
        <v>46299</v>
      </c>
      <c r="G1937">
        <v>1112878635</v>
      </c>
      <c r="H1937" t="s">
        <v>166</v>
      </c>
      <c r="I1937">
        <v>15</v>
      </c>
      <c r="J1937">
        <v>0</v>
      </c>
      <c r="K1937" s="1">
        <v>709412</v>
      </c>
    </row>
    <row r="1938" spans="1:11" x14ac:dyDescent="0.25">
      <c r="A1938" t="s">
        <v>9</v>
      </c>
      <c r="B1938" t="s">
        <v>164</v>
      </c>
      <c r="C1938" t="s">
        <v>867</v>
      </c>
      <c r="D1938" t="s">
        <v>14</v>
      </c>
      <c r="E1938">
        <v>5</v>
      </c>
      <c r="F1938" s="2">
        <f>DATE(2026,IF(Tabla1[[#This Row],[Mes de Fecha]]="Septiembre",9,10),Tabla1[[#This Row],[Día de Fecha]])</f>
        <v>46300</v>
      </c>
      <c r="I1938">
        <v>0</v>
      </c>
      <c r="J1938" s="1">
        <v>6530585</v>
      </c>
      <c r="K1938">
        <v>0</v>
      </c>
    </row>
    <row r="1939" spans="1:11" x14ac:dyDescent="0.25">
      <c r="A1939" t="s">
        <v>9</v>
      </c>
      <c r="B1939" t="s">
        <v>164</v>
      </c>
      <c r="C1939" t="s">
        <v>867</v>
      </c>
      <c r="D1939" t="s">
        <v>14</v>
      </c>
      <c r="E1939">
        <v>5</v>
      </c>
      <c r="F1939" s="2">
        <f>DATE(2026,IF(Tabla1[[#This Row],[Mes de Fecha]]="Septiembre",9,10),Tabla1[[#This Row],[Día de Fecha]])</f>
        <v>46300</v>
      </c>
      <c r="G1939">
        <v>29425689</v>
      </c>
      <c r="H1939" t="s">
        <v>165</v>
      </c>
      <c r="I1939">
        <v>14</v>
      </c>
      <c r="J1939">
        <v>0</v>
      </c>
      <c r="K1939" s="1">
        <v>768320</v>
      </c>
    </row>
    <row r="1940" spans="1:11" x14ac:dyDescent="0.25">
      <c r="A1940" t="s">
        <v>9</v>
      </c>
      <c r="B1940" t="s">
        <v>164</v>
      </c>
      <c r="C1940" t="s">
        <v>867</v>
      </c>
      <c r="D1940" t="s">
        <v>14</v>
      </c>
      <c r="E1940">
        <v>5</v>
      </c>
      <c r="F1940" s="2">
        <f>DATE(2026,IF(Tabla1[[#This Row],[Mes de Fecha]]="Septiembre",9,10),Tabla1[[#This Row],[Día de Fecha]])</f>
        <v>46300</v>
      </c>
      <c r="G1940">
        <v>1112878635</v>
      </c>
      <c r="H1940" t="s">
        <v>166</v>
      </c>
      <c r="I1940">
        <v>68</v>
      </c>
      <c r="J1940">
        <v>0</v>
      </c>
      <c r="K1940" s="1">
        <v>3328405</v>
      </c>
    </row>
    <row r="1941" spans="1:11" x14ac:dyDescent="0.25">
      <c r="A1941" t="s">
        <v>9</v>
      </c>
      <c r="B1941" t="s">
        <v>164</v>
      </c>
      <c r="C1941" t="s">
        <v>867</v>
      </c>
      <c r="D1941" t="s">
        <v>14</v>
      </c>
      <c r="E1941">
        <v>6</v>
      </c>
      <c r="F1941" s="2">
        <f>DATE(2026,IF(Tabla1[[#This Row],[Mes de Fecha]]="Septiembre",9,10),Tabla1[[#This Row],[Día de Fecha]])</f>
        <v>46301</v>
      </c>
      <c r="I1941">
        <v>0</v>
      </c>
      <c r="J1941" s="1">
        <v>3059853</v>
      </c>
      <c r="K1941">
        <v>0</v>
      </c>
    </row>
    <row r="1942" spans="1:11" x14ac:dyDescent="0.25">
      <c r="A1942" t="s">
        <v>9</v>
      </c>
      <c r="B1942" t="s">
        <v>164</v>
      </c>
      <c r="C1942" t="s">
        <v>867</v>
      </c>
      <c r="D1942" t="s">
        <v>14</v>
      </c>
      <c r="E1942">
        <v>6</v>
      </c>
      <c r="F1942" s="2">
        <f>DATE(2026,IF(Tabla1[[#This Row],[Mes de Fecha]]="Septiembre",9,10),Tabla1[[#This Row],[Día de Fecha]])</f>
        <v>46301</v>
      </c>
      <c r="G1942">
        <v>29425689</v>
      </c>
      <c r="H1942" t="s">
        <v>165</v>
      </c>
      <c r="I1942">
        <v>1</v>
      </c>
      <c r="J1942">
        <v>0</v>
      </c>
      <c r="K1942" s="1">
        <v>83992</v>
      </c>
    </row>
    <row r="1943" spans="1:11" x14ac:dyDescent="0.25">
      <c r="A1943" t="s">
        <v>9</v>
      </c>
      <c r="B1943" t="s">
        <v>164</v>
      </c>
      <c r="C1943" t="s">
        <v>867</v>
      </c>
      <c r="D1943" t="s">
        <v>14</v>
      </c>
      <c r="E1943">
        <v>6</v>
      </c>
      <c r="F1943" s="2">
        <f>DATE(2026,IF(Tabla1[[#This Row],[Mes de Fecha]]="Septiembre",9,10),Tabla1[[#This Row],[Día de Fecha]])</f>
        <v>46301</v>
      </c>
      <c r="G1943">
        <v>1112878635</v>
      </c>
      <c r="H1943" t="s">
        <v>166</v>
      </c>
      <c r="I1943">
        <v>37</v>
      </c>
      <c r="J1943">
        <v>0</v>
      </c>
      <c r="K1943" s="1">
        <v>1739836</v>
      </c>
    </row>
    <row r="1944" spans="1:11" x14ac:dyDescent="0.25">
      <c r="A1944" t="s">
        <v>9</v>
      </c>
      <c r="B1944" t="s">
        <v>164</v>
      </c>
      <c r="C1944" t="s">
        <v>867</v>
      </c>
      <c r="D1944" t="s">
        <v>14</v>
      </c>
      <c r="E1944">
        <v>7</v>
      </c>
      <c r="F1944" s="2">
        <f>DATE(2026,IF(Tabla1[[#This Row],[Mes de Fecha]]="Septiembre",9,10),Tabla1[[#This Row],[Día de Fecha]])</f>
        <v>46302</v>
      </c>
      <c r="I1944">
        <v>0</v>
      </c>
      <c r="J1944" s="1">
        <v>1535613</v>
      </c>
      <c r="K1944">
        <v>0</v>
      </c>
    </row>
    <row r="1945" spans="1:11" x14ac:dyDescent="0.25">
      <c r="A1945" t="s">
        <v>9</v>
      </c>
      <c r="B1945" t="s">
        <v>164</v>
      </c>
      <c r="C1945" t="s">
        <v>867</v>
      </c>
      <c r="D1945" t="s">
        <v>14</v>
      </c>
      <c r="E1945">
        <v>7</v>
      </c>
      <c r="F1945" s="2">
        <f>DATE(2026,IF(Tabla1[[#This Row],[Mes de Fecha]]="Septiembre",9,10),Tabla1[[#This Row],[Día de Fecha]])</f>
        <v>46302</v>
      </c>
      <c r="G1945">
        <v>29425689</v>
      </c>
      <c r="H1945" t="s">
        <v>165</v>
      </c>
      <c r="I1945">
        <v>1</v>
      </c>
      <c r="J1945">
        <v>0</v>
      </c>
      <c r="K1945" s="1">
        <v>86504</v>
      </c>
    </row>
    <row r="1946" spans="1:11" x14ac:dyDescent="0.25">
      <c r="A1946" t="s">
        <v>9</v>
      </c>
      <c r="B1946" t="s">
        <v>164</v>
      </c>
      <c r="C1946" t="s">
        <v>867</v>
      </c>
      <c r="D1946" t="s">
        <v>14</v>
      </c>
      <c r="E1946">
        <v>7</v>
      </c>
      <c r="F1946" s="2">
        <f>DATE(2026,IF(Tabla1[[#This Row],[Mes de Fecha]]="Septiembre",9,10),Tabla1[[#This Row],[Día de Fecha]])</f>
        <v>46302</v>
      </c>
      <c r="G1946">
        <v>1112878635</v>
      </c>
      <c r="H1946" t="s">
        <v>166</v>
      </c>
      <c r="I1946">
        <v>37</v>
      </c>
      <c r="J1946">
        <v>0</v>
      </c>
      <c r="K1946" s="1">
        <v>2219033</v>
      </c>
    </row>
    <row r="1947" spans="1:11" x14ac:dyDescent="0.25">
      <c r="A1947" t="s">
        <v>9</v>
      </c>
      <c r="B1947" t="s">
        <v>168</v>
      </c>
      <c r="C1947" t="s">
        <v>867</v>
      </c>
      <c r="D1947" t="s">
        <v>11</v>
      </c>
      <c r="E1947">
        <v>23</v>
      </c>
      <c r="F1947" s="2">
        <f>DATE(2026,IF(Tabla1[[#This Row],[Mes de Fecha]]="Septiembre",9,10),Tabla1[[#This Row],[Día de Fecha]])</f>
        <v>46288</v>
      </c>
      <c r="I1947">
        <v>0</v>
      </c>
      <c r="J1947" s="1">
        <v>2098551</v>
      </c>
      <c r="K1947">
        <v>0</v>
      </c>
    </row>
    <row r="1948" spans="1:11" x14ac:dyDescent="0.25">
      <c r="A1948" t="s">
        <v>9</v>
      </c>
      <c r="B1948" t="s">
        <v>168</v>
      </c>
      <c r="C1948" t="s">
        <v>867</v>
      </c>
      <c r="D1948" t="s">
        <v>11</v>
      </c>
      <c r="E1948">
        <v>23</v>
      </c>
      <c r="F1948" s="2">
        <f>DATE(2026,IF(Tabla1[[#This Row],[Mes de Fecha]]="Septiembre",9,10),Tabla1[[#This Row],[Día de Fecha]])</f>
        <v>46288</v>
      </c>
      <c r="G1948">
        <v>1006361160</v>
      </c>
      <c r="H1948" t="s">
        <v>169</v>
      </c>
      <c r="I1948">
        <v>36</v>
      </c>
      <c r="J1948">
        <v>0</v>
      </c>
      <c r="K1948" s="1">
        <v>1645549</v>
      </c>
    </row>
    <row r="1949" spans="1:11" x14ac:dyDescent="0.25">
      <c r="A1949" t="s">
        <v>9</v>
      </c>
      <c r="B1949" t="s">
        <v>168</v>
      </c>
      <c r="C1949" t="s">
        <v>867</v>
      </c>
      <c r="D1949" t="s">
        <v>11</v>
      </c>
      <c r="E1949">
        <v>23</v>
      </c>
      <c r="F1949" s="2">
        <f>DATE(2026,IF(Tabla1[[#This Row],[Mes de Fecha]]="Septiembre",9,10),Tabla1[[#This Row],[Día de Fecha]])</f>
        <v>46288</v>
      </c>
      <c r="G1949">
        <v>1110284401</v>
      </c>
      <c r="H1949" t="s">
        <v>170</v>
      </c>
      <c r="I1949">
        <v>58</v>
      </c>
      <c r="J1949">
        <v>0</v>
      </c>
      <c r="K1949" s="1">
        <v>3190843</v>
      </c>
    </row>
    <row r="1950" spans="1:11" x14ac:dyDescent="0.25">
      <c r="A1950" t="s">
        <v>9</v>
      </c>
      <c r="B1950" t="s">
        <v>168</v>
      </c>
      <c r="C1950" t="s">
        <v>867</v>
      </c>
      <c r="D1950" t="s">
        <v>11</v>
      </c>
      <c r="E1950">
        <v>24</v>
      </c>
      <c r="F1950" s="2">
        <f>DATE(2026,IF(Tabla1[[#This Row],[Mes de Fecha]]="Septiembre",9,10),Tabla1[[#This Row],[Día de Fecha]])</f>
        <v>46289</v>
      </c>
      <c r="I1950">
        <v>0</v>
      </c>
      <c r="J1950" s="1">
        <v>5427256</v>
      </c>
      <c r="K1950">
        <v>0</v>
      </c>
    </row>
    <row r="1951" spans="1:11" x14ac:dyDescent="0.25">
      <c r="A1951" t="s">
        <v>9</v>
      </c>
      <c r="B1951" t="s">
        <v>168</v>
      </c>
      <c r="C1951" t="s">
        <v>867</v>
      </c>
      <c r="D1951" t="s">
        <v>11</v>
      </c>
      <c r="E1951">
        <v>24</v>
      </c>
      <c r="F1951" s="2">
        <f>DATE(2026,IF(Tabla1[[#This Row],[Mes de Fecha]]="Septiembre",9,10),Tabla1[[#This Row],[Día de Fecha]])</f>
        <v>46289</v>
      </c>
      <c r="G1951">
        <v>1006361160</v>
      </c>
      <c r="H1951" t="s">
        <v>169</v>
      </c>
      <c r="I1951">
        <v>145</v>
      </c>
      <c r="J1951">
        <v>0</v>
      </c>
      <c r="K1951" s="1">
        <v>7779625</v>
      </c>
    </row>
    <row r="1952" spans="1:11" x14ac:dyDescent="0.25">
      <c r="A1952" t="s">
        <v>9</v>
      </c>
      <c r="B1952" t="s">
        <v>168</v>
      </c>
      <c r="C1952" t="s">
        <v>867</v>
      </c>
      <c r="D1952" t="s">
        <v>11</v>
      </c>
      <c r="E1952">
        <v>24</v>
      </c>
      <c r="F1952" s="2">
        <f>DATE(2026,IF(Tabla1[[#This Row],[Mes de Fecha]]="Septiembre",9,10),Tabla1[[#This Row],[Día de Fecha]])</f>
        <v>46289</v>
      </c>
      <c r="G1952">
        <v>1110284401</v>
      </c>
      <c r="H1952" t="s">
        <v>170</v>
      </c>
      <c r="I1952">
        <v>23</v>
      </c>
      <c r="J1952">
        <v>0</v>
      </c>
      <c r="K1952" s="1">
        <v>1192313</v>
      </c>
    </row>
    <row r="1953" spans="1:11" x14ac:dyDescent="0.25">
      <c r="A1953" t="s">
        <v>9</v>
      </c>
      <c r="B1953" t="s">
        <v>168</v>
      </c>
      <c r="C1953" t="s">
        <v>867</v>
      </c>
      <c r="D1953" t="s">
        <v>11</v>
      </c>
      <c r="E1953">
        <v>25</v>
      </c>
      <c r="F1953" s="2">
        <f>DATE(2026,IF(Tabla1[[#This Row],[Mes de Fecha]]="Septiembre",9,10),Tabla1[[#This Row],[Día de Fecha]])</f>
        <v>46290</v>
      </c>
      <c r="I1953">
        <v>0</v>
      </c>
      <c r="J1953" s="1">
        <v>5796605</v>
      </c>
      <c r="K1953">
        <v>0</v>
      </c>
    </row>
    <row r="1954" spans="1:11" x14ac:dyDescent="0.25">
      <c r="A1954" t="s">
        <v>9</v>
      </c>
      <c r="B1954" t="s">
        <v>168</v>
      </c>
      <c r="C1954" t="s">
        <v>867</v>
      </c>
      <c r="D1954" t="s">
        <v>11</v>
      </c>
      <c r="E1954">
        <v>25</v>
      </c>
      <c r="F1954" s="2">
        <f>DATE(2026,IF(Tabla1[[#This Row],[Mes de Fecha]]="Septiembre",9,10),Tabla1[[#This Row],[Día de Fecha]])</f>
        <v>46290</v>
      </c>
      <c r="G1954">
        <v>1006361160</v>
      </c>
      <c r="H1954" t="s">
        <v>169</v>
      </c>
      <c r="I1954">
        <v>64</v>
      </c>
      <c r="J1954">
        <v>0</v>
      </c>
      <c r="K1954" s="1">
        <v>4159077</v>
      </c>
    </row>
    <row r="1955" spans="1:11" x14ac:dyDescent="0.25">
      <c r="A1955" t="s">
        <v>9</v>
      </c>
      <c r="B1955" t="s">
        <v>168</v>
      </c>
      <c r="C1955" t="s">
        <v>867</v>
      </c>
      <c r="D1955" t="s">
        <v>11</v>
      </c>
      <c r="E1955">
        <v>25</v>
      </c>
      <c r="F1955" s="2">
        <f>DATE(2026,IF(Tabla1[[#This Row],[Mes de Fecha]]="Septiembre",9,10),Tabla1[[#This Row],[Día de Fecha]])</f>
        <v>46290</v>
      </c>
      <c r="G1955">
        <v>1110284401</v>
      </c>
      <c r="H1955" t="s">
        <v>170</v>
      </c>
      <c r="I1955">
        <v>17</v>
      </c>
      <c r="J1955">
        <v>0</v>
      </c>
      <c r="K1955" s="1">
        <v>976178</v>
      </c>
    </row>
    <row r="1956" spans="1:11" x14ac:dyDescent="0.25">
      <c r="A1956" t="s">
        <v>9</v>
      </c>
      <c r="B1956" t="s">
        <v>168</v>
      </c>
      <c r="C1956" t="s">
        <v>867</v>
      </c>
      <c r="D1956" t="s">
        <v>11</v>
      </c>
      <c r="E1956">
        <v>26</v>
      </c>
      <c r="F1956" s="2">
        <f>DATE(2026,IF(Tabla1[[#This Row],[Mes de Fecha]]="Septiembre",9,10),Tabla1[[#This Row],[Día de Fecha]])</f>
        <v>46291</v>
      </c>
      <c r="I1956">
        <v>0</v>
      </c>
      <c r="J1956" s="1">
        <v>7309375</v>
      </c>
      <c r="K1956">
        <v>0</v>
      </c>
    </row>
    <row r="1957" spans="1:11" x14ac:dyDescent="0.25">
      <c r="A1957" t="s">
        <v>9</v>
      </c>
      <c r="B1957" t="s">
        <v>168</v>
      </c>
      <c r="C1957" t="s">
        <v>867</v>
      </c>
      <c r="D1957" t="s">
        <v>11</v>
      </c>
      <c r="E1957">
        <v>26</v>
      </c>
      <c r="F1957" s="2">
        <f>DATE(2026,IF(Tabla1[[#This Row],[Mes de Fecha]]="Septiembre",9,10),Tabla1[[#This Row],[Día de Fecha]])</f>
        <v>46291</v>
      </c>
      <c r="G1957">
        <v>1006361160</v>
      </c>
      <c r="H1957" t="s">
        <v>169</v>
      </c>
      <c r="I1957">
        <v>69</v>
      </c>
      <c r="J1957">
        <v>0</v>
      </c>
      <c r="K1957" s="1">
        <v>3457063</v>
      </c>
    </row>
    <row r="1958" spans="1:11" x14ac:dyDescent="0.25">
      <c r="A1958" t="s">
        <v>9</v>
      </c>
      <c r="B1958" t="s">
        <v>168</v>
      </c>
      <c r="C1958" t="s">
        <v>867</v>
      </c>
      <c r="D1958" t="s">
        <v>11</v>
      </c>
      <c r="E1958">
        <v>26</v>
      </c>
      <c r="F1958" s="2">
        <f>DATE(2026,IF(Tabla1[[#This Row],[Mes de Fecha]]="Septiembre",9,10),Tabla1[[#This Row],[Día de Fecha]])</f>
        <v>46291</v>
      </c>
      <c r="G1958">
        <v>1110284401</v>
      </c>
      <c r="H1958" t="s">
        <v>170</v>
      </c>
      <c r="I1958">
        <v>51</v>
      </c>
      <c r="J1958">
        <v>0</v>
      </c>
      <c r="K1958" s="1">
        <v>2760258</v>
      </c>
    </row>
    <row r="1959" spans="1:11" x14ac:dyDescent="0.25">
      <c r="A1959" t="s">
        <v>9</v>
      </c>
      <c r="B1959" t="s">
        <v>168</v>
      </c>
      <c r="C1959" t="s">
        <v>867</v>
      </c>
      <c r="D1959" t="s">
        <v>11</v>
      </c>
      <c r="E1959">
        <v>27</v>
      </c>
      <c r="F1959" s="2">
        <f>DATE(2026,IF(Tabla1[[#This Row],[Mes de Fecha]]="Septiembre",9,10),Tabla1[[#This Row],[Día de Fecha]])</f>
        <v>46292</v>
      </c>
      <c r="I1959">
        <v>0</v>
      </c>
      <c r="J1959" s="1">
        <v>3859281</v>
      </c>
      <c r="K1959">
        <v>0</v>
      </c>
    </row>
    <row r="1960" spans="1:11" x14ac:dyDescent="0.25">
      <c r="A1960" t="s">
        <v>9</v>
      </c>
      <c r="B1960" t="s">
        <v>168</v>
      </c>
      <c r="C1960" t="s">
        <v>867</v>
      </c>
      <c r="D1960" t="s">
        <v>11</v>
      </c>
      <c r="E1960">
        <v>27</v>
      </c>
      <c r="F1960" s="2">
        <f>DATE(2026,IF(Tabla1[[#This Row],[Mes de Fecha]]="Septiembre",9,10),Tabla1[[#This Row],[Día de Fecha]])</f>
        <v>46292</v>
      </c>
      <c r="G1960">
        <v>1006361160</v>
      </c>
      <c r="H1960" t="s">
        <v>169</v>
      </c>
      <c r="I1960">
        <v>113</v>
      </c>
      <c r="J1960">
        <v>0</v>
      </c>
      <c r="K1960" s="1">
        <v>5792441</v>
      </c>
    </row>
    <row r="1961" spans="1:11" x14ac:dyDescent="0.25">
      <c r="A1961" t="s">
        <v>9</v>
      </c>
      <c r="B1961" t="s">
        <v>168</v>
      </c>
      <c r="C1961" t="s">
        <v>867</v>
      </c>
      <c r="D1961" t="s">
        <v>11</v>
      </c>
      <c r="E1961">
        <v>28</v>
      </c>
      <c r="F1961" s="2">
        <f>DATE(2026,IF(Tabla1[[#This Row],[Mes de Fecha]]="Septiembre",9,10),Tabla1[[#This Row],[Día de Fecha]])</f>
        <v>46293</v>
      </c>
      <c r="I1961">
        <v>0</v>
      </c>
      <c r="J1961" s="1">
        <v>3164188</v>
      </c>
      <c r="K1961">
        <v>0</v>
      </c>
    </row>
    <row r="1962" spans="1:11" x14ac:dyDescent="0.25">
      <c r="A1962" t="s">
        <v>9</v>
      </c>
      <c r="B1962" t="s">
        <v>168</v>
      </c>
      <c r="C1962" t="s">
        <v>867</v>
      </c>
      <c r="D1962" t="s">
        <v>11</v>
      </c>
      <c r="E1962">
        <v>28</v>
      </c>
      <c r="F1962" s="2">
        <f>DATE(2026,IF(Tabla1[[#This Row],[Mes de Fecha]]="Septiembre",9,10),Tabla1[[#This Row],[Día de Fecha]])</f>
        <v>46293</v>
      </c>
      <c r="G1962">
        <v>1110284401</v>
      </c>
      <c r="H1962" t="s">
        <v>170</v>
      </c>
      <c r="I1962">
        <v>56</v>
      </c>
      <c r="J1962">
        <v>0</v>
      </c>
      <c r="K1962" s="1">
        <v>2959246</v>
      </c>
    </row>
    <row r="1963" spans="1:11" x14ac:dyDescent="0.25">
      <c r="A1963" t="s">
        <v>9</v>
      </c>
      <c r="B1963" t="s">
        <v>168</v>
      </c>
      <c r="C1963" t="s">
        <v>867</v>
      </c>
      <c r="D1963" t="s">
        <v>11</v>
      </c>
      <c r="E1963">
        <v>29</v>
      </c>
      <c r="F1963" s="2">
        <f>DATE(2026,IF(Tabla1[[#This Row],[Mes de Fecha]]="Septiembre",9,10),Tabla1[[#This Row],[Día de Fecha]])</f>
        <v>46294</v>
      </c>
      <c r="I1963">
        <v>0</v>
      </c>
      <c r="J1963" s="1">
        <v>3517646</v>
      </c>
      <c r="K1963">
        <v>0</v>
      </c>
    </row>
    <row r="1964" spans="1:11" x14ac:dyDescent="0.25">
      <c r="A1964" t="s">
        <v>9</v>
      </c>
      <c r="B1964" t="s">
        <v>168</v>
      </c>
      <c r="C1964" t="s">
        <v>867</v>
      </c>
      <c r="D1964" t="s">
        <v>11</v>
      </c>
      <c r="E1964">
        <v>29</v>
      </c>
      <c r="F1964" s="2">
        <f>DATE(2026,IF(Tabla1[[#This Row],[Mes de Fecha]]="Septiembre",9,10),Tabla1[[#This Row],[Día de Fecha]])</f>
        <v>46294</v>
      </c>
      <c r="G1964">
        <v>1006361160</v>
      </c>
      <c r="H1964" t="s">
        <v>169</v>
      </c>
      <c r="I1964">
        <v>29</v>
      </c>
      <c r="J1964">
        <v>0</v>
      </c>
      <c r="K1964" s="1">
        <v>1675085</v>
      </c>
    </row>
    <row r="1965" spans="1:11" x14ac:dyDescent="0.25">
      <c r="A1965" t="s">
        <v>9</v>
      </c>
      <c r="B1965" t="s">
        <v>168</v>
      </c>
      <c r="C1965" t="s">
        <v>867</v>
      </c>
      <c r="D1965" t="s">
        <v>11</v>
      </c>
      <c r="E1965">
        <v>29</v>
      </c>
      <c r="F1965" s="2">
        <f>DATE(2026,IF(Tabla1[[#This Row],[Mes de Fecha]]="Septiembre",9,10),Tabla1[[#This Row],[Día de Fecha]])</f>
        <v>46294</v>
      </c>
      <c r="G1965">
        <v>1110284401</v>
      </c>
      <c r="H1965" t="s">
        <v>170</v>
      </c>
      <c r="I1965">
        <v>32</v>
      </c>
      <c r="J1965">
        <v>0</v>
      </c>
      <c r="K1965" s="1">
        <v>1716683</v>
      </c>
    </row>
    <row r="1966" spans="1:11" x14ac:dyDescent="0.25">
      <c r="A1966" t="s">
        <v>9</v>
      </c>
      <c r="B1966" t="s">
        <v>168</v>
      </c>
      <c r="C1966" t="s">
        <v>867</v>
      </c>
      <c r="D1966" t="s">
        <v>11</v>
      </c>
      <c r="E1966">
        <v>30</v>
      </c>
      <c r="F1966" s="2">
        <f>DATE(2026,IF(Tabla1[[#This Row],[Mes de Fecha]]="Septiembre",9,10),Tabla1[[#This Row],[Día de Fecha]])</f>
        <v>46295</v>
      </c>
      <c r="I1966">
        <v>0</v>
      </c>
      <c r="J1966" s="1">
        <v>3725297</v>
      </c>
      <c r="K1966">
        <v>0</v>
      </c>
    </row>
    <row r="1967" spans="1:11" x14ac:dyDescent="0.25">
      <c r="A1967" t="s">
        <v>9</v>
      </c>
      <c r="B1967" t="s">
        <v>168</v>
      </c>
      <c r="C1967" t="s">
        <v>867</v>
      </c>
      <c r="D1967" t="s">
        <v>11</v>
      </c>
      <c r="E1967">
        <v>30</v>
      </c>
      <c r="F1967" s="2">
        <f>DATE(2026,IF(Tabla1[[#This Row],[Mes de Fecha]]="Septiembre",9,10),Tabla1[[#This Row],[Día de Fecha]])</f>
        <v>46295</v>
      </c>
      <c r="G1967">
        <v>1006361160</v>
      </c>
      <c r="H1967" t="s">
        <v>169</v>
      </c>
      <c r="I1967">
        <v>56</v>
      </c>
      <c r="J1967">
        <v>0</v>
      </c>
      <c r="K1967" s="1">
        <v>2753450</v>
      </c>
    </row>
    <row r="1968" spans="1:11" x14ac:dyDescent="0.25">
      <c r="A1968" t="s">
        <v>9</v>
      </c>
      <c r="B1968" t="s">
        <v>168</v>
      </c>
      <c r="C1968" t="s">
        <v>867</v>
      </c>
      <c r="D1968" t="s">
        <v>11</v>
      </c>
      <c r="E1968">
        <v>30</v>
      </c>
      <c r="F1968" s="2">
        <f>DATE(2026,IF(Tabla1[[#This Row],[Mes de Fecha]]="Septiembre",9,10),Tabla1[[#This Row],[Día de Fecha]])</f>
        <v>46295</v>
      </c>
      <c r="G1968">
        <v>1110284401</v>
      </c>
      <c r="H1968" t="s">
        <v>170</v>
      </c>
      <c r="I1968">
        <v>26</v>
      </c>
      <c r="J1968">
        <v>0</v>
      </c>
      <c r="K1968" s="1">
        <v>1561722</v>
      </c>
    </row>
    <row r="1969" spans="1:11" x14ac:dyDescent="0.25">
      <c r="A1969" t="s">
        <v>9</v>
      </c>
      <c r="B1969" t="s">
        <v>168</v>
      </c>
      <c r="C1969" t="s">
        <v>867</v>
      </c>
      <c r="D1969" t="s">
        <v>14</v>
      </c>
      <c r="E1969">
        <v>1</v>
      </c>
      <c r="F1969" s="2">
        <f>DATE(2026,IF(Tabla1[[#This Row],[Mes de Fecha]]="Septiembre",9,10),Tabla1[[#This Row],[Día de Fecha]])</f>
        <v>46296</v>
      </c>
      <c r="I1969">
        <v>0</v>
      </c>
      <c r="J1969" s="1">
        <v>4555084</v>
      </c>
      <c r="K1969">
        <v>0</v>
      </c>
    </row>
    <row r="1970" spans="1:11" x14ac:dyDescent="0.25">
      <c r="A1970" t="s">
        <v>9</v>
      </c>
      <c r="B1970" t="s">
        <v>168</v>
      </c>
      <c r="C1970" t="s">
        <v>867</v>
      </c>
      <c r="D1970" t="s">
        <v>14</v>
      </c>
      <c r="E1970">
        <v>1</v>
      </c>
      <c r="F1970" s="2">
        <f>DATE(2026,IF(Tabla1[[#This Row],[Mes de Fecha]]="Septiembre",9,10),Tabla1[[#This Row],[Día de Fecha]])</f>
        <v>46296</v>
      </c>
      <c r="G1970">
        <v>1006361160</v>
      </c>
      <c r="H1970" t="s">
        <v>169</v>
      </c>
      <c r="I1970">
        <v>56</v>
      </c>
      <c r="J1970">
        <v>0</v>
      </c>
      <c r="K1970" s="1">
        <v>2949209</v>
      </c>
    </row>
    <row r="1971" spans="1:11" x14ac:dyDescent="0.25">
      <c r="A1971" t="s">
        <v>9</v>
      </c>
      <c r="B1971" t="s">
        <v>168</v>
      </c>
      <c r="C1971" t="s">
        <v>867</v>
      </c>
      <c r="D1971" t="s">
        <v>14</v>
      </c>
      <c r="E1971">
        <v>1</v>
      </c>
      <c r="F1971" s="2">
        <f>DATE(2026,IF(Tabla1[[#This Row],[Mes de Fecha]]="Septiembre",9,10),Tabla1[[#This Row],[Día de Fecha]])</f>
        <v>46296</v>
      </c>
      <c r="G1971">
        <v>1110284401</v>
      </c>
      <c r="H1971" t="s">
        <v>170</v>
      </c>
      <c r="I1971">
        <v>38</v>
      </c>
      <c r="J1971">
        <v>0</v>
      </c>
      <c r="K1971" s="1">
        <v>1920506</v>
      </c>
    </row>
    <row r="1972" spans="1:11" x14ac:dyDescent="0.25">
      <c r="A1972" t="s">
        <v>9</v>
      </c>
      <c r="B1972" t="s">
        <v>168</v>
      </c>
      <c r="C1972" t="s">
        <v>867</v>
      </c>
      <c r="D1972" t="s">
        <v>14</v>
      </c>
      <c r="E1972">
        <v>2</v>
      </c>
      <c r="F1972" s="2">
        <f>DATE(2026,IF(Tabla1[[#This Row],[Mes de Fecha]]="Septiembre",9,10),Tabla1[[#This Row],[Día de Fecha]])</f>
        <v>46297</v>
      </c>
      <c r="I1972">
        <v>0</v>
      </c>
      <c r="J1972" s="1">
        <v>6719095</v>
      </c>
      <c r="K1972">
        <v>0</v>
      </c>
    </row>
    <row r="1973" spans="1:11" x14ac:dyDescent="0.25">
      <c r="A1973" t="s">
        <v>9</v>
      </c>
      <c r="B1973" t="s">
        <v>168</v>
      </c>
      <c r="C1973" t="s">
        <v>867</v>
      </c>
      <c r="D1973" t="s">
        <v>14</v>
      </c>
      <c r="E1973">
        <v>2</v>
      </c>
      <c r="F1973" s="2">
        <f>DATE(2026,IF(Tabla1[[#This Row],[Mes de Fecha]]="Septiembre",9,10),Tabla1[[#This Row],[Día de Fecha]])</f>
        <v>46297</v>
      </c>
      <c r="G1973">
        <v>1006361160</v>
      </c>
      <c r="H1973" t="s">
        <v>169</v>
      </c>
      <c r="I1973">
        <v>45</v>
      </c>
      <c r="J1973">
        <v>0</v>
      </c>
      <c r="K1973" s="1">
        <v>2432695</v>
      </c>
    </row>
    <row r="1974" spans="1:11" x14ac:dyDescent="0.25">
      <c r="A1974" t="s">
        <v>9</v>
      </c>
      <c r="B1974" t="s">
        <v>168</v>
      </c>
      <c r="C1974" t="s">
        <v>867</v>
      </c>
      <c r="D1974" t="s">
        <v>14</v>
      </c>
      <c r="E1974">
        <v>2</v>
      </c>
      <c r="F1974" s="2">
        <f>DATE(2026,IF(Tabla1[[#This Row],[Mes de Fecha]]="Septiembre",9,10),Tabla1[[#This Row],[Día de Fecha]])</f>
        <v>46297</v>
      </c>
      <c r="G1974">
        <v>1110284401</v>
      </c>
      <c r="H1974" t="s">
        <v>170</v>
      </c>
      <c r="I1974">
        <v>11</v>
      </c>
      <c r="J1974">
        <v>0</v>
      </c>
      <c r="K1974" s="1">
        <v>499497</v>
      </c>
    </row>
    <row r="1975" spans="1:11" x14ac:dyDescent="0.25">
      <c r="A1975" t="s">
        <v>9</v>
      </c>
      <c r="B1975" t="s">
        <v>168</v>
      </c>
      <c r="C1975" t="s">
        <v>867</v>
      </c>
      <c r="D1975" t="s">
        <v>14</v>
      </c>
      <c r="E1975">
        <v>3</v>
      </c>
      <c r="F1975" s="2">
        <f>DATE(2026,IF(Tabla1[[#This Row],[Mes de Fecha]]="Septiembre",9,10),Tabla1[[#This Row],[Día de Fecha]])</f>
        <v>46298</v>
      </c>
      <c r="I1975">
        <v>0</v>
      </c>
      <c r="J1975" s="1">
        <v>8462643</v>
      </c>
      <c r="K1975">
        <v>0</v>
      </c>
    </row>
    <row r="1976" spans="1:11" x14ac:dyDescent="0.25">
      <c r="A1976" t="s">
        <v>9</v>
      </c>
      <c r="B1976" t="s">
        <v>168</v>
      </c>
      <c r="C1976" t="s">
        <v>867</v>
      </c>
      <c r="D1976" t="s">
        <v>14</v>
      </c>
      <c r="E1976">
        <v>3</v>
      </c>
      <c r="F1976" s="2">
        <f>DATE(2026,IF(Tabla1[[#This Row],[Mes de Fecha]]="Septiembre",9,10),Tabla1[[#This Row],[Día de Fecha]])</f>
        <v>46298</v>
      </c>
      <c r="G1976">
        <v>1006361160</v>
      </c>
      <c r="H1976" t="s">
        <v>169</v>
      </c>
      <c r="I1976">
        <v>71</v>
      </c>
      <c r="J1976">
        <v>0</v>
      </c>
      <c r="K1976" s="1">
        <v>3431361</v>
      </c>
    </row>
    <row r="1977" spans="1:11" x14ac:dyDescent="0.25">
      <c r="A1977" t="s">
        <v>9</v>
      </c>
      <c r="B1977" t="s">
        <v>168</v>
      </c>
      <c r="C1977" t="s">
        <v>867</v>
      </c>
      <c r="D1977" t="s">
        <v>14</v>
      </c>
      <c r="E1977">
        <v>3</v>
      </c>
      <c r="F1977" s="2">
        <f>DATE(2026,IF(Tabla1[[#This Row],[Mes de Fecha]]="Septiembre",9,10),Tabla1[[#This Row],[Día de Fecha]])</f>
        <v>46298</v>
      </c>
      <c r="G1977">
        <v>1110284401</v>
      </c>
      <c r="H1977" t="s">
        <v>170</v>
      </c>
      <c r="I1977">
        <v>53</v>
      </c>
      <c r="J1977">
        <v>0</v>
      </c>
      <c r="K1977" s="1">
        <v>2676743</v>
      </c>
    </row>
    <row r="1978" spans="1:11" x14ac:dyDescent="0.25">
      <c r="A1978" t="s">
        <v>9</v>
      </c>
      <c r="B1978" t="s">
        <v>168</v>
      </c>
      <c r="C1978" t="s">
        <v>867</v>
      </c>
      <c r="D1978" t="s">
        <v>14</v>
      </c>
      <c r="E1978">
        <v>4</v>
      </c>
      <c r="F1978" s="2">
        <f>DATE(2026,IF(Tabla1[[#This Row],[Mes de Fecha]]="Septiembre",9,10),Tabla1[[#This Row],[Día de Fecha]])</f>
        <v>46299</v>
      </c>
      <c r="I1978">
        <v>0</v>
      </c>
      <c r="J1978" s="1">
        <v>4910898</v>
      </c>
      <c r="K1978">
        <v>0</v>
      </c>
    </row>
    <row r="1979" spans="1:11" x14ac:dyDescent="0.25">
      <c r="A1979" t="s">
        <v>9</v>
      </c>
      <c r="B1979" t="s">
        <v>168</v>
      </c>
      <c r="C1979" t="s">
        <v>867</v>
      </c>
      <c r="D1979" t="s">
        <v>14</v>
      </c>
      <c r="E1979">
        <v>4</v>
      </c>
      <c r="F1979" s="2">
        <f>DATE(2026,IF(Tabla1[[#This Row],[Mes de Fecha]]="Septiembre",9,10),Tabla1[[#This Row],[Día de Fecha]])</f>
        <v>46299</v>
      </c>
      <c r="G1979">
        <v>1110284401</v>
      </c>
      <c r="H1979" t="s">
        <v>170</v>
      </c>
      <c r="I1979">
        <v>89</v>
      </c>
      <c r="J1979">
        <v>0</v>
      </c>
      <c r="K1979" s="1">
        <v>4981178</v>
      </c>
    </row>
    <row r="1980" spans="1:11" x14ac:dyDescent="0.25">
      <c r="A1980" t="s">
        <v>9</v>
      </c>
      <c r="B1980" t="s">
        <v>168</v>
      </c>
      <c r="C1980" t="s">
        <v>867</v>
      </c>
      <c r="D1980" t="s">
        <v>14</v>
      </c>
      <c r="E1980">
        <v>5</v>
      </c>
      <c r="F1980" s="2">
        <f>DATE(2026,IF(Tabla1[[#This Row],[Mes de Fecha]]="Septiembre",9,10),Tabla1[[#This Row],[Día de Fecha]])</f>
        <v>46300</v>
      </c>
      <c r="I1980">
        <v>0</v>
      </c>
      <c r="J1980" s="1">
        <v>5677480</v>
      </c>
      <c r="K1980">
        <v>0</v>
      </c>
    </row>
    <row r="1981" spans="1:11" x14ac:dyDescent="0.25">
      <c r="A1981" t="s">
        <v>9</v>
      </c>
      <c r="B1981" t="s">
        <v>168</v>
      </c>
      <c r="C1981" t="s">
        <v>867</v>
      </c>
      <c r="D1981" t="s">
        <v>14</v>
      </c>
      <c r="E1981">
        <v>5</v>
      </c>
      <c r="F1981" s="2">
        <f>DATE(2026,IF(Tabla1[[#This Row],[Mes de Fecha]]="Septiembre",9,10),Tabla1[[#This Row],[Día de Fecha]])</f>
        <v>46300</v>
      </c>
      <c r="G1981">
        <v>1006361160</v>
      </c>
      <c r="H1981" t="s">
        <v>169</v>
      </c>
      <c r="I1981">
        <v>90</v>
      </c>
      <c r="J1981">
        <v>0</v>
      </c>
      <c r="K1981" s="1">
        <v>5056603</v>
      </c>
    </row>
    <row r="1982" spans="1:11" x14ac:dyDescent="0.25">
      <c r="A1982" t="s">
        <v>9</v>
      </c>
      <c r="B1982" t="s">
        <v>168</v>
      </c>
      <c r="C1982" t="s">
        <v>867</v>
      </c>
      <c r="D1982" t="s">
        <v>14</v>
      </c>
      <c r="E1982">
        <v>5</v>
      </c>
      <c r="F1982" s="2">
        <f>DATE(2026,IF(Tabla1[[#This Row],[Mes de Fecha]]="Septiembre",9,10),Tabla1[[#This Row],[Día de Fecha]])</f>
        <v>46300</v>
      </c>
      <c r="G1982">
        <v>1110284401</v>
      </c>
      <c r="H1982" t="s">
        <v>170</v>
      </c>
      <c r="I1982">
        <v>-1</v>
      </c>
      <c r="J1982">
        <v>0</v>
      </c>
      <c r="K1982" s="1">
        <v>-33529</v>
      </c>
    </row>
    <row r="1983" spans="1:11" x14ac:dyDescent="0.25">
      <c r="A1983" t="s">
        <v>9</v>
      </c>
      <c r="B1983" t="s">
        <v>168</v>
      </c>
      <c r="C1983" t="s">
        <v>867</v>
      </c>
      <c r="D1983" t="s">
        <v>14</v>
      </c>
      <c r="E1983">
        <v>6</v>
      </c>
      <c r="F1983" s="2">
        <f>DATE(2026,IF(Tabla1[[#This Row],[Mes de Fecha]]="Septiembre",9,10),Tabla1[[#This Row],[Día de Fecha]])</f>
        <v>46301</v>
      </c>
      <c r="I1983">
        <v>0</v>
      </c>
      <c r="J1983" s="1">
        <v>3888816</v>
      </c>
      <c r="K1983">
        <v>0</v>
      </c>
    </row>
    <row r="1984" spans="1:11" x14ac:dyDescent="0.25">
      <c r="A1984" t="s">
        <v>9</v>
      </c>
      <c r="B1984" t="s">
        <v>168</v>
      </c>
      <c r="C1984" t="s">
        <v>867</v>
      </c>
      <c r="D1984" t="s">
        <v>14</v>
      </c>
      <c r="E1984">
        <v>6</v>
      </c>
      <c r="F1984" s="2">
        <f>DATE(2026,IF(Tabla1[[#This Row],[Mes de Fecha]]="Septiembre",9,10),Tabla1[[#This Row],[Día de Fecha]])</f>
        <v>46301</v>
      </c>
      <c r="G1984">
        <v>1006361160</v>
      </c>
      <c r="H1984" t="s">
        <v>169</v>
      </c>
      <c r="I1984">
        <v>29</v>
      </c>
      <c r="J1984">
        <v>0</v>
      </c>
      <c r="K1984" s="1">
        <v>1199958</v>
      </c>
    </row>
    <row r="1985" spans="1:11" x14ac:dyDescent="0.25">
      <c r="A1985" t="s">
        <v>9</v>
      </c>
      <c r="B1985" t="s">
        <v>168</v>
      </c>
      <c r="C1985" t="s">
        <v>867</v>
      </c>
      <c r="D1985" t="s">
        <v>14</v>
      </c>
      <c r="E1985">
        <v>6</v>
      </c>
      <c r="F1985" s="2">
        <f>DATE(2026,IF(Tabla1[[#This Row],[Mes de Fecha]]="Septiembre",9,10),Tabla1[[#This Row],[Día de Fecha]])</f>
        <v>46301</v>
      </c>
      <c r="G1985">
        <v>1110284401</v>
      </c>
      <c r="H1985" t="s">
        <v>170</v>
      </c>
      <c r="I1985">
        <v>7</v>
      </c>
      <c r="J1985">
        <v>0</v>
      </c>
      <c r="K1985" s="1">
        <v>327437</v>
      </c>
    </row>
    <row r="1986" spans="1:11" x14ac:dyDescent="0.25">
      <c r="A1986" t="s">
        <v>9</v>
      </c>
      <c r="B1986" t="s">
        <v>168</v>
      </c>
      <c r="C1986" t="s">
        <v>867</v>
      </c>
      <c r="D1986" t="s">
        <v>14</v>
      </c>
      <c r="E1986">
        <v>7</v>
      </c>
      <c r="F1986" s="2">
        <f>DATE(2026,IF(Tabla1[[#This Row],[Mes de Fecha]]="Septiembre",9,10),Tabla1[[#This Row],[Día de Fecha]])</f>
        <v>46302</v>
      </c>
      <c r="I1986">
        <v>0</v>
      </c>
      <c r="J1986" s="1">
        <v>1190749</v>
      </c>
      <c r="K1986">
        <v>0</v>
      </c>
    </row>
    <row r="1987" spans="1:11" x14ac:dyDescent="0.25">
      <c r="A1987" t="s">
        <v>9</v>
      </c>
      <c r="B1987" t="s">
        <v>168</v>
      </c>
      <c r="C1987" t="s">
        <v>867</v>
      </c>
      <c r="D1987" t="s">
        <v>14</v>
      </c>
      <c r="E1987">
        <v>7</v>
      </c>
      <c r="F1987" s="2">
        <f>DATE(2026,IF(Tabla1[[#This Row],[Mes de Fecha]]="Septiembre",9,10),Tabla1[[#This Row],[Día de Fecha]])</f>
        <v>46302</v>
      </c>
      <c r="G1987">
        <v>1006361160</v>
      </c>
      <c r="H1987" t="s">
        <v>169</v>
      </c>
      <c r="I1987">
        <v>39</v>
      </c>
      <c r="J1987">
        <v>0</v>
      </c>
      <c r="K1987" s="1">
        <v>1991978</v>
      </c>
    </row>
    <row r="1988" spans="1:11" x14ac:dyDescent="0.25">
      <c r="A1988" t="s">
        <v>9</v>
      </c>
      <c r="B1988" t="s">
        <v>168</v>
      </c>
      <c r="C1988" t="s">
        <v>867</v>
      </c>
      <c r="D1988" t="s">
        <v>14</v>
      </c>
      <c r="E1988">
        <v>7</v>
      </c>
      <c r="F1988" s="2">
        <f>DATE(2026,IF(Tabla1[[#This Row],[Mes de Fecha]]="Septiembre",9,10),Tabla1[[#This Row],[Día de Fecha]])</f>
        <v>46302</v>
      </c>
      <c r="G1988">
        <v>1110284401</v>
      </c>
      <c r="H1988" t="s">
        <v>170</v>
      </c>
      <c r="I1988">
        <v>47</v>
      </c>
      <c r="J1988">
        <v>0</v>
      </c>
      <c r="K1988" s="1">
        <v>2609202</v>
      </c>
    </row>
    <row r="1989" spans="1:11" x14ac:dyDescent="0.25">
      <c r="A1989" t="s">
        <v>9</v>
      </c>
      <c r="B1989" t="s">
        <v>185</v>
      </c>
      <c r="C1989" t="s">
        <v>867</v>
      </c>
      <c r="D1989" t="s">
        <v>11</v>
      </c>
      <c r="E1989">
        <v>23</v>
      </c>
      <c r="F1989" s="2">
        <f>DATE(2026,IF(Tabla1[[#This Row],[Mes de Fecha]]="Septiembre",9,10),Tabla1[[#This Row],[Día de Fecha]])</f>
        <v>46288</v>
      </c>
      <c r="I1989">
        <v>0</v>
      </c>
      <c r="J1989" s="1">
        <v>2001476</v>
      </c>
      <c r="K1989">
        <v>0</v>
      </c>
    </row>
    <row r="1990" spans="1:11" x14ac:dyDescent="0.25">
      <c r="A1990" t="s">
        <v>9</v>
      </c>
      <c r="B1990" t="s">
        <v>185</v>
      </c>
      <c r="C1990" t="s">
        <v>867</v>
      </c>
      <c r="D1990" t="s">
        <v>11</v>
      </c>
      <c r="E1990">
        <v>23</v>
      </c>
      <c r="F1990" s="2">
        <f>DATE(2026,IF(Tabla1[[#This Row],[Mes de Fecha]]="Septiembre",9,10),Tabla1[[#This Row],[Día de Fecha]])</f>
        <v>46288</v>
      </c>
      <c r="G1990">
        <v>1113307838</v>
      </c>
      <c r="H1990" t="s">
        <v>186</v>
      </c>
      <c r="I1990">
        <v>38</v>
      </c>
      <c r="J1990">
        <v>0</v>
      </c>
      <c r="K1990" s="1">
        <v>2254727</v>
      </c>
    </row>
    <row r="1991" spans="1:11" x14ac:dyDescent="0.25">
      <c r="A1991" t="s">
        <v>9</v>
      </c>
      <c r="B1991" t="s">
        <v>185</v>
      </c>
      <c r="C1991" t="s">
        <v>867</v>
      </c>
      <c r="D1991" t="s">
        <v>11</v>
      </c>
      <c r="E1991">
        <v>23</v>
      </c>
      <c r="F1991" s="2">
        <f>DATE(2026,IF(Tabla1[[#This Row],[Mes de Fecha]]="Septiembre",9,10),Tabla1[[#This Row],[Día de Fecha]])</f>
        <v>46288</v>
      </c>
      <c r="G1991">
        <v>1115190830</v>
      </c>
      <c r="H1991" t="s">
        <v>187</v>
      </c>
      <c r="I1991">
        <v>29</v>
      </c>
      <c r="J1991">
        <v>0</v>
      </c>
      <c r="K1991" s="1">
        <v>1765589</v>
      </c>
    </row>
    <row r="1992" spans="1:11" x14ac:dyDescent="0.25">
      <c r="A1992" t="s">
        <v>9</v>
      </c>
      <c r="B1992" t="s">
        <v>185</v>
      </c>
      <c r="C1992" t="s">
        <v>867</v>
      </c>
      <c r="D1992" t="s">
        <v>11</v>
      </c>
      <c r="E1992">
        <v>23</v>
      </c>
      <c r="F1992" s="2">
        <f>DATE(2026,IF(Tabla1[[#This Row],[Mes de Fecha]]="Septiembre",9,10),Tabla1[[#This Row],[Día de Fecha]])</f>
        <v>46288</v>
      </c>
      <c r="G1992" t="s">
        <v>98</v>
      </c>
      <c r="H1992" t="s">
        <v>99</v>
      </c>
      <c r="I1992">
        <v>25</v>
      </c>
      <c r="J1992">
        <v>0</v>
      </c>
      <c r="K1992" s="1">
        <v>1242648</v>
      </c>
    </row>
    <row r="1993" spans="1:11" x14ac:dyDescent="0.25">
      <c r="A1993" t="s">
        <v>9</v>
      </c>
      <c r="B1993" t="s">
        <v>185</v>
      </c>
      <c r="C1993" t="s">
        <v>867</v>
      </c>
      <c r="D1993" t="s">
        <v>11</v>
      </c>
      <c r="E1993">
        <v>24</v>
      </c>
      <c r="F1993" s="2">
        <f>DATE(2026,IF(Tabla1[[#This Row],[Mes de Fecha]]="Septiembre",9,10),Tabla1[[#This Row],[Día de Fecha]])</f>
        <v>46289</v>
      </c>
      <c r="I1993">
        <v>0</v>
      </c>
      <c r="J1993" s="1">
        <v>5176204</v>
      </c>
      <c r="K1993">
        <v>0</v>
      </c>
    </row>
    <row r="1994" spans="1:11" x14ac:dyDescent="0.25">
      <c r="A1994" t="s">
        <v>9</v>
      </c>
      <c r="B1994" t="s">
        <v>185</v>
      </c>
      <c r="C1994" t="s">
        <v>867</v>
      </c>
      <c r="D1994" t="s">
        <v>11</v>
      </c>
      <c r="E1994">
        <v>24</v>
      </c>
      <c r="F1994" s="2">
        <f>DATE(2026,IF(Tabla1[[#This Row],[Mes de Fecha]]="Septiembre",9,10),Tabla1[[#This Row],[Día de Fecha]])</f>
        <v>46289</v>
      </c>
      <c r="G1994">
        <v>1113307838</v>
      </c>
      <c r="H1994" t="s">
        <v>186</v>
      </c>
      <c r="I1994">
        <v>39</v>
      </c>
      <c r="J1994">
        <v>0</v>
      </c>
      <c r="K1994" s="1">
        <v>2164330</v>
      </c>
    </row>
    <row r="1995" spans="1:11" x14ac:dyDescent="0.25">
      <c r="A1995" t="s">
        <v>9</v>
      </c>
      <c r="B1995" t="s">
        <v>185</v>
      </c>
      <c r="C1995" t="s">
        <v>867</v>
      </c>
      <c r="D1995" t="s">
        <v>11</v>
      </c>
      <c r="E1995">
        <v>24</v>
      </c>
      <c r="F1995" s="2">
        <f>DATE(2026,IF(Tabla1[[#This Row],[Mes de Fecha]]="Septiembre",9,10),Tabla1[[#This Row],[Día de Fecha]])</f>
        <v>46289</v>
      </c>
      <c r="G1995">
        <v>1115190830</v>
      </c>
      <c r="H1995" t="s">
        <v>187</v>
      </c>
      <c r="I1995">
        <v>35</v>
      </c>
      <c r="J1995">
        <v>0</v>
      </c>
      <c r="K1995" s="1">
        <v>1708616</v>
      </c>
    </row>
    <row r="1996" spans="1:11" x14ac:dyDescent="0.25">
      <c r="A1996" t="s">
        <v>9</v>
      </c>
      <c r="B1996" t="s">
        <v>185</v>
      </c>
      <c r="C1996" t="s">
        <v>867</v>
      </c>
      <c r="D1996" t="s">
        <v>11</v>
      </c>
      <c r="E1996">
        <v>24</v>
      </c>
      <c r="F1996" s="2">
        <f>DATE(2026,IF(Tabla1[[#This Row],[Mes de Fecha]]="Septiembre",9,10),Tabla1[[#This Row],[Día de Fecha]])</f>
        <v>46289</v>
      </c>
      <c r="G1996" t="s">
        <v>98</v>
      </c>
      <c r="H1996" t="s">
        <v>99</v>
      </c>
      <c r="I1996">
        <v>25</v>
      </c>
      <c r="J1996">
        <v>0</v>
      </c>
      <c r="K1996" s="1">
        <v>1473740</v>
      </c>
    </row>
    <row r="1997" spans="1:11" x14ac:dyDescent="0.25">
      <c r="A1997" t="s">
        <v>9</v>
      </c>
      <c r="B1997" t="s">
        <v>185</v>
      </c>
      <c r="C1997" t="s">
        <v>867</v>
      </c>
      <c r="D1997" t="s">
        <v>11</v>
      </c>
      <c r="E1997">
        <v>25</v>
      </c>
      <c r="F1997" s="2">
        <f>DATE(2026,IF(Tabla1[[#This Row],[Mes de Fecha]]="Septiembre",9,10),Tabla1[[#This Row],[Día de Fecha]])</f>
        <v>46290</v>
      </c>
      <c r="I1997">
        <v>0</v>
      </c>
      <c r="J1997" s="1">
        <v>5528469</v>
      </c>
      <c r="K1997">
        <v>0</v>
      </c>
    </row>
    <row r="1998" spans="1:11" x14ac:dyDescent="0.25">
      <c r="A1998" t="s">
        <v>9</v>
      </c>
      <c r="B1998" t="s">
        <v>185</v>
      </c>
      <c r="C1998" t="s">
        <v>867</v>
      </c>
      <c r="D1998" t="s">
        <v>11</v>
      </c>
      <c r="E1998">
        <v>25</v>
      </c>
      <c r="F1998" s="2">
        <f>DATE(2026,IF(Tabla1[[#This Row],[Mes de Fecha]]="Septiembre",9,10),Tabla1[[#This Row],[Día de Fecha]])</f>
        <v>46290</v>
      </c>
      <c r="G1998">
        <v>1113307838</v>
      </c>
      <c r="H1998" t="s">
        <v>186</v>
      </c>
      <c r="I1998">
        <v>29</v>
      </c>
      <c r="J1998">
        <v>0</v>
      </c>
      <c r="K1998" s="1">
        <v>1301304</v>
      </c>
    </row>
    <row r="1999" spans="1:11" x14ac:dyDescent="0.25">
      <c r="A1999" t="s">
        <v>9</v>
      </c>
      <c r="B1999" t="s">
        <v>185</v>
      </c>
      <c r="C1999" t="s">
        <v>867</v>
      </c>
      <c r="D1999" t="s">
        <v>11</v>
      </c>
      <c r="E1999">
        <v>25</v>
      </c>
      <c r="F1999" s="2">
        <f>DATE(2026,IF(Tabla1[[#This Row],[Mes de Fecha]]="Septiembre",9,10),Tabla1[[#This Row],[Día de Fecha]])</f>
        <v>46290</v>
      </c>
      <c r="G1999">
        <v>1115190830</v>
      </c>
      <c r="H1999" t="s">
        <v>187</v>
      </c>
      <c r="I1999">
        <v>20</v>
      </c>
      <c r="J1999">
        <v>0</v>
      </c>
      <c r="K1999" s="1">
        <v>1282816</v>
      </c>
    </row>
    <row r="2000" spans="1:11" x14ac:dyDescent="0.25">
      <c r="A2000" t="s">
        <v>9</v>
      </c>
      <c r="B2000" t="s">
        <v>185</v>
      </c>
      <c r="C2000" t="s">
        <v>867</v>
      </c>
      <c r="D2000" t="s">
        <v>11</v>
      </c>
      <c r="E2000">
        <v>25</v>
      </c>
      <c r="F2000" s="2">
        <f>DATE(2026,IF(Tabla1[[#This Row],[Mes de Fecha]]="Septiembre",9,10),Tabla1[[#This Row],[Día de Fecha]])</f>
        <v>46290</v>
      </c>
      <c r="G2000" t="s">
        <v>98</v>
      </c>
      <c r="H2000" t="s">
        <v>99</v>
      </c>
      <c r="I2000">
        <v>16</v>
      </c>
      <c r="J2000">
        <v>0</v>
      </c>
      <c r="K2000" s="1">
        <v>856472</v>
      </c>
    </row>
    <row r="2001" spans="1:11" x14ac:dyDescent="0.25">
      <c r="A2001" t="s">
        <v>9</v>
      </c>
      <c r="B2001" t="s">
        <v>185</v>
      </c>
      <c r="C2001" t="s">
        <v>867</v>
      </c>
      <c r="D2001" t="s">
        <v>11</v>
      </c>
      <c r="E2001">
        <v>26</v>
      </c>
      <c r="F2001" s="2">
        <f>DATE(2026,IF(Tabla1[[#This Row],[Mes de Fecha]]="Septiembre",9,10),Tabla1[[#This Row],[Día de Fecha]])</f>
        <v>46291</v>
      </c>
      <c r="I2001">
        <v>0</v>
      </c>
      <c r="J2001" s="1">
        <v>6971261</v>
      </c>
      <c r="K2001">
        <v>0</v>
      </c>
    </row>
    <row r="2002" spans="1:11" x14ac:dyDescent="0.25">
      <c r="A2002" t="s">
        <v>9</v>
      </c>
      <c r="B2002" t="s">
        <v>185</v>
      </c>
      <c r="C2002" t="s">
        <v>867</v>
      </c>
      <c r="D2002" t="s">
        <v>11</v>
      </c>
      <c r="E2002">
        <v>26</v>
      </c>
      <c r="F2002" s="2">
        <f>DATE(2026,IF(Tabla1[[#This Row],[Mes de Fecha]]="Septiembre",9,10),Tabla1[[#This Row],[Día de Fecha]])</f>
        <v>46291</v>
      </c>
      <c r="G2002">
        <v>1113307838</v>
      </c>
      <c r="H2002" t="s">
        <v>186</v>
      </c>
      <c r="I2002">
        <v>56</v>
      </c>
      <c r="J2002">
        <v>0</v>
      </c>
      <c r="K2002" s="1">
        <v>2816745</v>
      </c>
    </row>
    <row r="2003" spans="1:11" x14ac:dyDescent="0.25">
      <c r="A2003" t="s">
        <v>9</v>
      </c>
      <c r="B2003" t="s">
        <v>185</v>
      </c>
      <c r="C2003" t="s">
        <v>867</v>
      </c>
      <c r="D2003" t="s">
        <v>11</v>
      </c>
      <c r="E2003">
        <v>26</v>
      </c>
      <c r="F2003" s="2">
        <f>DATE(2026,IF(Tabla1[[#This Row],[Mes de Fecha]]="Septiembre",9,10),Tabla1[[#This Row],[Día de Fecha]])</f>
        <v>46291</v>
      </c>
      <c r="G2003">
        <v>1115190830</v>
      </c>
      <c r="H2003" t="s">
        <v>187</v>
      </c>
      <c r="I2003">
        <v>43</v>
      </c>
      <c r="J2003">
        <v>0</v>
      </c>
      <c r="K2003" s="1">
        <v>2418005</v>
      </c>
    </row>
    <row r="2004" spans="1:11" x14ac:dyDescent="0.25">
      <c r="A2004" t="s">
        <v>9</v>
      </c>
      <c r="B2004" t="s">
        <v>185</v>
      </c>
      <c r="C2004" t="s">
        <v>867</v>
      </c>
      <c r="D2004" t="s">
        <v>11</v>
      </c>
      <c r="E2004">
        <v>26</v>
      </c>
      <c r="F2004" s="2">
        <f>DATE(2026,IF(Tabla1[[#This Row],[Mes de Fecha]]="Septiembre",9,10),Tabla1[[#This Row],[Día de Fecha]])</f>
        <v>46291</v>
      </c>
      <c r="G2004" t="s">
        <v>98</v>
      </c>
      <c r="H2004" t="s">
        <v>99</v>
      </c>
      <c r="I2004">
        <v>38</v>
      </c>
      <c r="J2004">
        <v>0</v>
      </c>
      <c r="K2004" s="1">
        <v>1687228</v>
      </c>
    </row>
    <row r="2005" spans="1:11" x14ac:dyDescent="0.25">
      <c r="A2005" t="s">
        <v>9</v>
      </c>
      <c r="B2005" t="s">
        <v>185</v>
      </c>
      <c r="C2005" t="s">
        <v>867</v>
      </c>
      <c r="D2005" t="s">
        <v>11</v>
      </c>
      <c r="E2005">
        <v>27</v>
      </c>
      <c r="F2005" s="2">
        <f>DATE(2026,IF(Tabla1[[#This Row],[Mes de Fecha]]="Septiembre",9,10),Tabla1[[#This Row],[Día de Fecha]])</f>
        <v>46292</v>
      </c>
      <c r="I2005">
        <v>0</v>
      </c>
      <c r="J2005" s="1">
        <v>3680762</v>
      </c>
      <c r="K2005">
        <v>0</v>
      </c>
    </row>
    <row r="2006" spans="1:11" x14ac:dyDescent="0.25">
      <c r="A2006" t="s">
        <v>9</v>
      </c>
      <c r="B2006" t="s">
        <v>185</v>
      </c>
      <c r="C2006" t="s">
        <v>867</v>
      </c>
      <c r="D2006" t="s">
        <v>11</v>
      </c>
      <c r="E2006">
        <v>27</v>
      </c>
      <c r="F2006" s="2">
        <f>DATE(2026,IF(Tabla1[[#This Row],[Mes de Fecha]]="Septiembre",9,10),Tabla1[[#This Row],[Día de Fecha]])</f>
        <v>46292</v>
      </c>
      <c r="G2006">
        <v>1113307838</v>
      </c>
      <c r="H2006" t="s">
        <v>186</v>
      </c>
      <c r="I2006">
        <v>0</v>
      </c>
      <c r="J2006">
        <v>0</v>
      </c>
      <c r="K2006">
        <v>0</v>
      </c>
    </row>
    <row r="2007" spans="1:11" x14ac:dyDescent="0.25">
      <c r="A2007" t="s">
        <v>9</v>
      </c>
      <c r="B2007" t="s">
        <v>185</v>
      </c>
      <c r="C2007" t="s">
        <v>867</v>
      </c>
      <c r="D2007" t="s">
        <v>11</v>
      </c>
      <c r="E2007">
        <v>27</v>
      </c>
      <c r="F2007" s="2">
        <f>DATE(2026,IF(Tabla1[[#This Row],[Mes de Fecha]]="Septiembre",9,10),Tabla1[[#This Row],[Día de Fecha]])</f>
        <v>46292</v>
      </c>
      <c r="G2007">
        <v>1115190830</v>
      </c>
      <c r="H2007" t="s">
        <v>187</v>
      </c>
      <c r="I2007">
        <v>34</v>
      </c>
      <c r="J2007">
        <v>0</v>
      </c>
      <c r="K2007" s="1">
        <v>1800968</v>
      </c>
    </row>
    <row r="2008" spans="1:11" x14ac:dyDescent="0.25">
      <c r="A2008" t="s">
        <v>9</v>
      </c>
      <c r="B2008" t="s">
        <v>185</v>
      </c>
      <c r="C2008" t="s">
        <v>867</v>
      </c>
      <c r="D2008" t="s">
        <v>11</v>
      </c>
      <c r="E2008">
        <v>27</v>
      </c>
      <c r="F2008" s="2">
        <f>DATE(2026,IF(Tabla1[[#This Row],[Mes de Fecha]]="Septiembre",9,10),Tabla1[[#This Row],[Día de Fecha]])</f>
        <v>46292</v>
      </c>
      <c r="G2008" t="s">
        <v>98</v>
      </c>
      <c r="H2008" t="s">
        <v>99</v>
      </c>
      <c r="I2008">
        <v>23</v>
      </c>
      <c r="J2008">
        <v>0</v>
      </c>
      <c r="K2008" s="1">
        <v>1045211</v>
      </c>
    </row>
    <row r="2009" spans="1:11" x14ac:dyDescent="0.25">
      <c r="A2009" t="s">
        <v>9</v>
      </c>
      <c r="B2009" t="s">
        <v>185</v>
      </c>
      <c r="C2009" t="s">
        <v>867</v>
      </c>
      <c r="D2009" t="s">
        <v>11</v>
      </c>
      <c r="E2009">
        <v>28</v>
      </c>
      <c r="F2009" s="2">
        <f>DATE(2026,IF(Tabla1[[#This Row],[Mes de Fecha]]="Septiembre",9,10),Tabla1[[#This Row],[Día de Fecha]])</f>
        <v>46293</v>
      </c>
      <c r="I2009">
        <v>0</v>
      </c>
      <c r="J2009" s="1">
        <v>3017822</v>
      </c>
      <c r="K2009">
        <v>0</v>
      </c>
    </row>
    <row r="2010" spans="1:11" x14ac:dyDescent="0.25">
      <c r="A2010" t="s">
        <v>9</v>
      </c>
      <c r="B2010" t="s">
        <v>185</v>
      </c>
      <c r="C2010" t="s">
        <v>867</v>
      </c>
      <c r="D2010" t="s">
        <v>11</v>
      </c>
      <c r="E2010">
        <v>28</v>
      </c>
      <c r="F2010" s="2">
        <f>DATE(2026,IF(Tabla1[[#This Row],[Mes de Fecha]]="Septiembre",9,10),Tabla1[[#This Row],[Día de Fecha]])</f>
        <v>46293</v>
      </c>
      <c r="G2010">
        <v>1113307838</v>
      </c>
      <c r="H2010" t="s">
        <v>186</v>
      </c>
      <c r="I2010">
        <v>33</v>
      </c>
      <c r="J2010">
        <v>0</v>
      </c>
      <c r="K2010" s="1">
        <v>1813342</v>
      </c>
    </row>
    <row r="2011" spans="1:11" x14ac:dyDescent="0.25">
      <c r="A2011" t="s">
        <v>9</v>
      </c>
      <c r="B2011" t="s">
        <v>185</v>
      </c>
      <c r="C2011" t="s">
        <v>867</v>
      </c>
      <c r="D2011" t="s">
        <v>11</v>
      </c>
      <c r="E2011">
        <v>28</v>
      </c>
      <c r="F2011" s="2">
        <f>DATE(2026,IF(Tabla1[[#This Row],[Mes de Fecha]]="Septiembre",9,10),Tabla1[[#This Row],[Día de Fecha]])</f>
        <v>46293</v>
      </c>
      <c r="G2011">
        <v>1115190830</v>
      </c>
      <c r="H2011" t="s">
        <v>187</v>
      </c>
      <c r="I2011">
        <v>-2</v>
      </c>
      <c r="J2011">
        <v>0</v>
      </c>
      <c r="K2011" s="1">
        <v>-58698</v>
      </c>
    </row>
    <row r="2012" spans="1:11" x14ac:dyDescent="0.25">
      <c r="A2012" t="s">
        <v>9</v>
      </c>
      <c r="B2012" t="s">
        <v>185</v>
      </c>
      <c r="C2012" t="s">
        <v>867</v>
      </c>
      <c r="D2012" t="s">
        <v>11</v>
      </c>
      <c r="E2012">
        <v>28</v>
      </c>
      <c r="F2012" s="2">
        <f>DATE(2026,IF(Tabla1[[#This Row],[Mes de Fecha]]="Septiembre",9,10),Tabla1[[#This Row],[Día de Fecha]])</f>
        <v>46293</v>
      </c>
      <c r="G2012" t="s">
        <v>98</v>
      </c>
      <c r="H2012" t="s">
        <v>99</v>
      </c>
      <c r="I2012">
        <v>21</v>
      </c>
      <c r="J2012">
        <v>0</v>
      </c>
      <c r="K2012" s="1">
        <v>965505</v>
      </c>
    </row>
    <row r="2013" spans="1:11" x14ac:dyDescent="0.25">
      <c r="A2013" t="s">
        <v>9</v>
      </c>
      <c r="B2013" t="s">
        <v>185</v>
      </c>
      <c r="C2013" t="s">
        <v>867</v>
      </c>
      <c r="D2013" t="s">
        <v>11</v>
      </c>
      <c r="E2013">
        <v>29</v>
      </c>
      <c r="F2013" s="2">
        <f>DATE(2026,IF(Tabla1[[#This Row],[Mes de Fecha]]="Septiembre",9,10),Tabla1[[#This Row],[Día de Fecha]])</f>
        <v>46294</v>
      </c>
      <c r="I2013">
        <v>0</v>
      </c>
      <c r="J2013" s="1">
        <v>3354926</v>
      </c>
      <c r="K2013">
        <v>0</v>
      </c>
    </row>
    <row r="2014" spans="1:11" x14ac:dyDescent="0.25">
      <c r="A2014" t="s">
        <v>9</v>
      </c>
      <c r="B2014" t="s">
        <v>185</v>
      </c>
      <c r="C2014" t="s">
        <v>867</v>
      </c>
      <c r="D2014" t="s">
        <v>11</v>
      </c>
      <c r="E2014">
        <v>29</v>
      </c>
      <c r="F2014" s="2">
        <f>DATE(2026,IF(Tabla1[[#This Row],[Mes de Fecha]]="Septiembre",9,10),Tabla1[[#This Row],[Día de Fecha]])</f>
        <v>46294</v>
      </c>
      <c r="G2014">
        <v>1113307838</v>
      </c>
      <c r="H2014" t="s">
        <v>186</v>
      </c>
      <c r="I2014">
        <v>34</v>
      </c>
      <c r="J2014">
        <v>0</v>
      </c>
      <c r="K2014" s="1">
        <v>1771303</v>
      </c>
    </row>
    <row r="2015" spans="1:11" x14ac:dyDescent="0.25">
      <c r="A2015" t="s">
        <v>9</v>
      </c>
      <c r="B2015" t="s">
        <v>185</v>
      </c>
      <c r="C2015" t="s">
        <v>867</v>
      </c>
      <c r="D2015" t="s">
        <v>11</v>
      </c>
      <c r="E2015">
        <v>29</v>
      </c>
      <c r="F2015" s="2">
        <f>DATE(2026,IF(Tabla1[[#This Row],[Mes de Fecha]]="Septiembre",9,10),Tabla1[[#This Row],[Día de Fecha]])</f>
        <v>46294</v>
      </c>
      <c r="G2015">
        <v>1115190830</v>
      </c>
      <c r="H2015" t="s">
        <v>187</v>
      </c>
      <c r="I2015">
        <v>29</v>
      </c>
      <c r="J2015">
        <v>0</v>
      </c>
      <c r="K2015" s="1">
        <v>1553195</v>
      </c>
    </row>
    <row r="2016" spans="1:11" x14ac:dyDescent="0.25">
      <c r="A2016" t="s">
        <v>9</v>
      </c>
      <c r="B2016" t="s">
        <v>185</v>
      </c>
      <c r="C2016" t="s">
        <v>867</v>
      </c>
      <c r="D2016" t="s">
        <v>11</v>
      </c>
      <c r="E2016">
        <v>30</v>
      </c>
      <c r="F2016" s="2">
        <f>DATE(2026,IF(Tabla1[[#This Row],[Mes de Fecha]]="Septiembre",9,10),Tabla1[[#This Row],[Día de Fecha]])</f>
        <v>46295</v>
      </c>
      <c r="I2016">
        <v>0</v>
      </c>
      <c r="J2016" s="1">
        <v>3552972</v>
      </c>
      <c r="K2016">
        <v>0</v>
      </c>
    </row>
    <row r="2017" spans="1:11" x14ac:dyDescent="0.25">
      <c r="A2017" t="s">
        <v>9</v>
      </c>
      <c r="B2017" t="s">
        <v>185</v>
      </c>
      <c r="C2017" t="s">
        <v>867</v>
      </c>
      <c r="D2017" t="s">
        <v>11</v>
      </c>
      <c r="E2017">
        <v>30</v>
      </c>
      <c r="F2017" s="2">
        <f>DATE(2026,IF(Tabla1[[#This Row],[Mes de Fecha]]="Septiembre",9,10),Tabla1[[#This Row],[Día de Fecha]])</f>
        <v>46295</v>
      </c>
      <c r="G2017">
        <v>1113307838</v>
      </c>
      <c r="H2017" t="s">
        <v>186</v>
      </c>
      <c r="I2017">
        <v>1</v>
      </c>
      <c r="J2017">
        <v>0</v>
      </c>
      <c r="K2017" s="1">
        <v>50379</v>
      </c>
    </row>
    <row r="2018" spans="1:11" x14ac:dyDescent="0.25">
      <c r="A2018" t="s">
        <v>9</v>
      </c>
      <c r="B2018" t="s">
        <v>185</v>
      </c>
      <c r="C2018" t="s">
        <v>867</v>
      </c>
      <c r="D2018" t="s">
        <v>11</v>
      </c>
      <c r="E2018">
        <v>30</v>
      </c>
      <c r="F2018" s="2">
        <f>DATE(2026,IF(Tabla1[[#This Row],[Mes de Fecha]]="Septiembre",9,10),Tabla1[[#This Row],[Día de Fecha]])</f>
        <v>46295</v>
      </c>
      <c r="G2018">
        <v>1115190830</v>
      </c>
      <c r="H2018" t="s">
        <v>187</v>
      </c>
      <c r="I2018">
        <v>52</v>
      </c>
      <c r="J2018">
        <v>0</v>
      </c>
      <c r="K2018" s="1">
        <v>2499456</v>
      </c>
    </row>
    <row r="2019" spans="1:11" x14ac:dyDescent="0.25">
      <c r="A2019" t="s">
        <v>9</v>
      </c>
      <c r="B2019" t="s">
        <v>185</v>
      </c>
      <c r="C2019" t="s">
        <v>867</v>
      </c>
      <c r="D2019" t="s">
        <v>11</v>
      </c>
      <c r="E2019">
        <v>30</v>
      </c>
      <c r="F2019" s="2">
        <f>DATE(2026,IF(Tabla1[[#This Row],[Mes de Fecha]]="Septiembre",9,10),Tabla1[[#This Row],[Día de Fecha]])</f>
        <v>46295</v>
      </c>
      <c r="G2019" t="s">
        <v>98</v>
      </c>
      <c r="H2019" t="s">
        <v>99</v>
      </c>
      <c r="I2019">
        <v>28</v>
      </c>
      <c r="J2019">
        <v>0</v>
      </c>
      <c r="K2019" s="1">
        <v>1334836</v>
      </c>
    </row>
    <row r="2020" spans="1:11" x14ac:dyDescent="0.25">
      <c r="A2020" t="s">
        <v>9</v>
      </c>
      <c r="B2020" t="s">
        <v>185</v>
      </c>
      <c r="C2020" t="s">
        <v>867</v>
      </c>
      <c r="D2020" t="s">
        <v>14</v>
      </c>
      <c r="E2020">
        <v>1</v>
      </c>
      <c r="F2020" s="2">
        <f>DATE(2026,IF(Tabla1[[#This Row],[Mes de Fecha]]="Septiembre",9,10),Tabla1[[#This Row],[Día de Fecha]])</f>
        <v>46296</v>
      </c>
      <c r="I2020">
        <v>0</v>
      </c>
      <c r="J2020" s="1">
        <v>4439674</v>
      </c>
      <c r="K2020">
        <v>0</v>
      </c>
    </row>
    <row r="2021" spans="1:11" x14ac:dyDescent="0.25">
      <c r="A2021" t="s">
        <v>9</v>
      </c>
      <c r="B2021" t="s">
        <v>185</v>
      </c>
      <c r="C2021" t="s">
        <v>867</v>
      </c>
      <c r="D2021" t="s">
        <v>14</v>
      </c>
      <c r="E2021">
        <v>1</v>
      </c>
      <c r="F2021" s="2">
        <f>DATE(2026,IF(Tabla1[[#This Row],[Mes de Fecha]]="Septiembre",9,10),Tabla1[[#This Row],[Día de Fecha]])</f>
        <v>46296</v>
      </c>
      <c r="G2021">
        <v>1113307838</v>
      </c>
      <c r="H2021" t="s">
        <v>186</v>
      </c>
      <c r="I2021">
        <v>39</v>
      </c>
      <c r="J2021">
        <v>0</v>
      </c>
      <c r="K2021" s="1">
        <v>2042399</v>
      </c>
    </row>
    <row r="2022" spans="1:11" x14ac:dyDescent="0.25">
      <c r="A2022" t="s">
        <v>9</v>
      </c>
      <c r="B2022" t="s">
        <v>185</v>
      </c>
      <c r="C2022" t="s">
        <v>867</v>
      </c>
      <c r="D2022" t="s">
        <v>14</v>
      </c>
      <c r="E2022">
        <v>1</v>
      </c>
      <c r="F2022" s="2">
        <f>DATE(2026,IF(Tabla1[[#This Row],[Mes de Fecha]]="Septiembre",9,10),Tabla1[[#This Row],[Día de Fecha]])</f>
        <v>46296</v>
      </c>
      <c r="G2022">
        <v>1115190830</v>
      </c>
      <c r="H2022" t="s">
        <v>187</v>
      </c>
      <c r="I2022">
        <v>27</v>
      </c>
      <c r="J2022">
        <v>0</v>
      </c>
      <c r="K2022" s="1">
        <v>1702648</v>
      </c>
    </row>
    <row r="2023" spans="1:11" x14ac:dyDescent="0.25">
      <c r="A2023" t="s">
        <v>9</v>
      </c>
      <c r="B2023" t="s">
        <v>185</v>
      </c>
      <c r="C2023" t="s">
        <v>867</v>
      </c>
      <c r="D2023" t="s">
        <v>14</v>
      </c>
      <c r="E2023">
        <v>1</v>
      </c>
      <c r="F2023" s="2">
        <f>DATE(2026,IF(Tabla1[[#This Row],[Mes de Fecha]]="Septiembre",9,10),Tabla1[[#This Row],[Día de Fecha]])</f>
        <v>46296</v>
      </c>
      <c r="G2023" t="s">
        <v>98</v>
      </c>
      <c r="H2023" t="s">
        <v>99</v>
      </c>
      <c r="I2023">
        <v>0</v>
      </c>
      <c r="J2023">
        <v>0</v>
      </c>
      <c r="K2023">
        <v>0</v>
      </c>
    </row>
    <row r="2024" spans="1:11" x14ac:dyDescent="0.25">
      <c r="A2024" t="s">
        <v>9</v>
      </c>
      <c r="B2024" t="s">
        <v>185</v>
      </c>
      <c r="C2024" t="s">
        <v>867</v>
      </c>
      <c r="D2024" t="s">
        <v>14</v>
      </c>
      <c r="E2024">
        <v>2</v>
      </c>
      <c r="F2024" s="2">
        <f>DATE(2026,IF(Tabla1[[#This Row],[Mes de Fecha]]="Septiembre",9,10),Tabla1[[#This Row],[Día de Fecha]])</f>
        <v>46297</v>
      </c>
      <c r="I2024">
        <v>0</v>
      </c>
      <c r="J2024" s="1">
        <v>4018049</v>
      </c>
      <c r="K2024">
        <v>0</v>
      </c>
    </row>
    <row r="2025" spans="1:11" x14ac:dyDescent="0.25">
      <c r="A2025" t="s">
        <v>9</v>
      </c>
      <c r="B2025" t="s">
        <v>185</v>
      </c>
      <c r="C2025" t="s">
        <v>867</v>
      </c>
      <c r="D2025" t="s">
        <v>14</v>
      </c>
      <c r="E2025">
        <v>2</v>
      </c>
      <c r="F2025" s="2">
        <f>DATE(2026,IF(Tabla1[[#This Row],[Mes de Fecha]]="Septiembre",9,10),Tabla1[[#This Row],[Día de Fecha]])</f>
        <v>46297</v>
      </c>
      <c r="G2025">
        <v>1113307838</v>
      </c>
      <c r="H2025" t="s">
        <v>186</v>
      </c>
      <c r="I2025">
        <v>34</v>
      </c>
      <c r="J2025">
        <v>0</v>
      </c>
      <c r="K2025" s="1">
        <v>1851430</v>
      </c>
    </row>
    <row r="2026" spans="1:11" x14ac:dyDescent="0.25">
      <c r="A2026" t="s">
        <v>9</v>
      </c>
      <c r="B2026" t="s">
        <v>185</v>
      </c>
      <c r="C2026" t="s">
        <v>867</v>
      </c>
      <c r="D2026" t="s">
        <v>14</v>
      </c>
      <c r="E2026">
        <v>2</v>
      </c>
      <c r="F2026" s="2">
        <f>DATE(2026,IF(Tabla1[[#This Row],[Mes de Fecha]]="Septiembre",9,10),Tabla1[[#This Row],[Día de Fecha]])</f>
        <v>46297</v>
      </c>
      <c r="G2026">
        <v>1115190830</v>
      </c>
      <c r="H2026" t="s">
        <v>187</v>
      </c>
      <c r="I2026">
        <v>31</v>
      </c>
      <c r="J2026">
        <v>0</v>
      </c>
      <c r="K2026" s="1">
        <v>1509035</v>
      </c>
    </row>
    <row r="2027" spans="1:11" x14ac:dyDescent="0.25">
      <c r="A2027" t="s">
        <v>9</v>
      </c>
      <c r="B2027" t="s">
        <v>185</v>
      </c>
      <c r="C2027" t="s">
        <v>867</v>
      </c>
      <c r="D2027" t="s">
        <v>14</v>
      </c>
      <c r="E2027">
        <v>2</v>
      </c>
      <c r="F2027" s="2">
        <f>DATE(2026,IF(Tabla1[[#This Row],[Mes de Fecha]]="Septiembre",9,10),Tabla1[[#This Row],[Día de Fecha]])</f>
        <v>46297</v>
      </c>
      <c r="G2027" t="s">
        <v>98</v>
      </c>
      <c r="H2027" t="s">
        <v>99</v>
      </c>
      <c r="I2027">
        <v>5</v>
      </c>
      <c r="J2027">
        <v>0</v>
      </c>
      <c r="K2027" s="1">
        <v>243446</v>
      </c>
    </row>
    <row r="2028" spans="1:11" x14ac:dyDescent="0.25">
      <c r="A2028" t="s">
        <v>9</v>
      </c>
      <c r="B2028" t="s">
        <v>185</v>
      </c>
      <c r="C2028" t="s">
        <v>867</v>
      </c>
      <c r="D2028" t="s">
        <v>14</v>
      </c>
      <c r="E2028">
        <v>3</v>
      </c>
      <c r="F2028" s="2">
        <f>DATE(2026,IF(Tabla1[[#This Row],[Mes de Fecha]]="Septiembre",9,10),Tabla1[[#This Row],[Día de Fecha]])</f>
        <v>46298</v>
      </c>
      <c r="I2028">
        <v>0</v>
      </c>
      <c r="J2028" s="1">
        <v>10165768</v>
      </c>
      <c r="K2028">
        <v>0</v>
      </c>
    </row>
    <row r="2029" spans="1:11" x14ac:dyDescent="0.25">
      <c r="A2029" t="s">
        <v>9</v>
      </c>
      <c r="B2029" t="s">
        <v>185</v>
      </c>
      <c r="C2029" t="s">
        <v>867</v>
      </c>
      <c r="D2029" t="s">
        <v>14</v>
      </c>
      <c r="E2029">
        <v>3</v>
      </c>
      <c r="F2029" s="2">
        <f>DATE(2026,IF(Tabla1[[#This Row],[Mes de Fecha]]="Septiembre",9,10),Tabla1[[#This Row],[Día de Fecha]])</f>
        <v>46298</v>
      </c>
      <c r="G2029">
        <v>1113307838</v>
      </c>
      <c r="H2029" t="s">
        <v>186</v>
      </c>
      <c r="I2029">
        <v>40</v>
      </c>
      <c r="J2029">
        <v>0</v>
      </c>
      <c r="K2029" s="1">
        <v>2039710</v>
      </c>
    </row>
    <row r="2030" spans="1:11" x14ac:dyDescent="0.25">
      <c r="A2030" t="s">
        <v>9</v>
      </c>
      <c r="B2030" t="s">
        <v>185</v>
      </c>
      <c r="C2030" t="s">
        <v>867</v>
      </c>
      <c r="D2030" t="s">
        <v>14</v>
      </c>
      <c r="E2030">
        <v>3</v>
      </c>
      <c r="F2030" s="2">
        <f>DATE(2026,IF(Tabla1[[#This Row],[Mes de Fecha]]="Septiembre",9,10),Tabla1[[#This Row],[Día de Fecha]])</f>
        <v>46298</v>
      </c>
      <c r="G2030">
        <v>1115190830</v>
      </c>
      <c r="H2030" t="s">
        <v>187</v>
      </c>
      <c r="I2030">
        <v>38</v>
      </c>
      <c r="J2030">
        <v>0</v>
      </c>
      <c r="K2030" s="1">
        <v>1837430</v>
      </c>
    </row>
    <row r="2031" spans="1:11" x14ac:dyDescent="0.25">
      <c r="A2031" t="s">
        <v>9</v>
      </c>
      <c r="B2031" t="s">
        <v>185</v>
      </c>
      <c r="C2031" t="s">
        <v>867</v>
      </c>
      <c r="D2031" t="s">
        <v>14</v>
      </c>
      <c r="E2031">
        <v>3</v>
      </c>
      <c r="F2031" s="2">
        <f>DATE(2026,IF(Tabla1[[#This Row],[Mes de Fecha]]="Septiembre",9,10),Tabla1[[#This Row],[Día de Fecha]])</f>
        <v>46298</v>
      </c>
      <c r="G2031" t="s">
        <v>98</v>
      </c>
      <c r="H2031" t="s">
        <v>99</v>
      </c>
      <c r="I2031">
        <v>23</v>
      </c>
      <c r="J2031">
        <v>0</v>
      </c>
      <c r="K2031" s="1">
        <v>1229265</v>
      </c>
    </row>
    <row r="2032" spans="1:11" x14ac:dyDescent="0.25">
      <c r="A2032" t="s">
        <v>9</v>
      </c>
      <c r="B2032" t="s">
        <v>185</v>
      </c>
      <c r="C2032" t="s">
        <v>867</v>
      </c>
      <c r="D2032" t="s">
        <v>14</v>
      </c>
      <c r="E2032">
        <v>4</v>
      </c>
      <c r="F2032" s="2">
        <f>DATE(2026,IF(Tabla1[[#This Row],[Mes de Fecha]]="Septiembre",9,10),Tabla1[[#This Row],[Día de Fecha]])</f>
        <v>46299</v>
      </c>
      <c r="I2032">
        <v>0</v>
      </c>
      <c r="J2032" s="1">
        <v>3755196</v>
      </c>
      <c r="K2032">
        <v>0</v>
      </c>
    </row>
    <row r="2033" spans="1:11" x14ac:dyDescent="0.25">
      <c r="A2033" t="s">
        <v>9</v>
      </c>
      <c r="B2033" t="s">
        <v>185</v>
      </c>
      <c r="C2033" t="s">
        <v>867</v>
      </c>
      <c r="D2033" t="s">
        <v>14</v>
      </c>
      <c r="E2033">
        <v>4</v>
      </c>
      <c r="F2033" s="2">
        <f>DATE(2026,IF(Tabla1[[#This Row],[Mes de Fecha]]="Septiembre",9,10),Tabla1[[#This Row],[Día de Fecha]])</f>
        <v>46299</v>
      </c>
      <c r="G2033">
        <v>1113307838</v>
      </c>
      <c r="H2033" t="s">
        <v>186</v>
      </c>
      <c r="I2033">
        <v>20</v>
      </c>
      <c r="J2033">
        <v>0</v>
      </c>
      <c r="K2033" s="1">
        <v>1188154</v>
      </c>
    </row>
    <row r="2034" spans="1:11" x14ac:dyDescent="0.25">
      <c r="A2034" t="s">
        <v>9</v>
      </c>
      <c r="B2034" t="s">
        <v>185</v>
      </c>
      <c r="C2034" t="s">
        <v>867</v>
      </c>
      <c r="D2034" t="s">
        <v>14</v>
      </c>
      <c r="E2034">
        <v>4</v>
      </c>
      <c r="F2034" s="2">
        <f>DATE(2026,IF(Tabla1[[#This Row],[Mes de Fecha]]="Septiembre",9,10),Tabla1[[#This Row],[Día de Fecha]])</f>
        <v>46299</v>
      </c>
      <c r="G2034" t="s">
        <v>98</v>
      </c>
      <c r="H2034" t="s">
        <v>99</v>
      </c>
      <c r="I2034">
        <v>13</v>
      </c>
      <c r="J2034">
        <v>0</v>
      </c>
      <c r="K2034" s="1">
        <v>661178</v>
      </c>
    </row>
    <row r="2035" spans="1:11" x14ac:dyDescent="0.25">
      <c r="A2035" t="s">
        <v>9</v>
      </c>
      <c r="B2035" t="s">
        <v>185</v>
      </c>
      <c r="C2035" t="s">
        <v>867</v>
      </c>
      <c r="D2035" t="s">
        <v>14</v>
      </c>
      <c r="E2035">
        <v>5</v>
      </c>
      <c r="F2035" s="2">
        <f>DATE(2026,IF(Tabla1[[#This Row],[Mes de Fecha]]="Septiembre",9,10),Tabla1[[#This Row],[Día de Fecha]])</f>
        <v>46300</v>
      </c>
      <c r="I2035">
        <v>0</v>
      </c>
      <c r="J2035" s="1">
        <v>3755449</v>
      </c>
      <c r="K2035">
        <v>0</v>
      </c>
    </row>
    <row r="2036" spans="1:11" x14ac:dyDescent="0.25">
      <c r="A2036" t="s">
        <v>9</v>
      </c>
      <c r="B2036" t="s">
        <v>185</v>
      </c>
      <c r="C2036" t="s">
        <v>867</v>
      </c>
      <c r="D2036" t="s">
        <v>14</v>
      </c>
      <c r="E2036">
        <v>5</v>
      </c>
      <c r="F2036" s="2">
        <f>DATE(2026,IF(Tabla1[[#This Row],[Mes de Fecha]]="Septiembre",9,10),Tabla1[[#This Row],[Día de Fecha]])</f>
        <v>46300</v>
      </c>
      <c r="G2036">
        <v>1113307838</v>
      </c>
      <c r="H2036" t="s">
        <v>186</v>
      </c>
      <c r="I2036">
        <v>29</v>
      </c>
      <c r="J2036">
        <v>0</v>
      </c>
      <c r="K2036" s="1">
        <v>1397943</v>
      </c>
    </row>
    <row r="2037" spans="1:11" x14ac:dyDescent="0.25">
      <c r="A2037" t="s">
        <v>9</v>
      </c>
      <c r="B2037" t="s">
        <v>185</v>
      </c>
      <c r="C2037" t="s">
        <v>867</v>
      </c>
      <c r="D2037" t="s">
        <v>14</v>
      </c>
      <c r="E2037">
        <v>5</v>
      </c>
      <c r="F2037" s="2">
        <f>DATE(2026,IF(Tabla1[[#This Row],[Mes de Fecha]]="Septiembre",9,10),Tabla1[[#This Row],[Día de Fecha]])</f>
        <v>46300</v>
      </c>
      <c r="G2037">
        <v>1115190830</v>
      </c>
      <c r="H2037" t="s">
        <v>187</v>
      </c>
      <c r="I2037">
        <v>21</v>
      </c>
      <c r="J2037">
        <v>0</v>
      </c>
      <c r="K2037" s="1">
        <v>1106134</v>
      </c>
    </row>
    <row r="2038" spans="1:11" x14ac:dyDescent="0.25">
      <c r="A2038" t="s">
        <v>9</v>
      </c>
      <c r="B2038" t="s">
        <v>185</v>
      </c>
      <c r="C2038" t="s">
        <v>867</v>
      </c>
      <c r="D2038" t="s">
        <v>14</v>
      </c>
      <c r="E2038">
        <v>5</v>
      </c>
      <c r="F2038" s="2">
        <f>DATE(2026,IF(Tabla1[[#This Row],[Mes de Fecha]]="Septiembre",9,10),Tabla1[[#This Row],[Día de Fecha]])</f>
        <v>46300</v>
      </c>
      <c r="G2038" t="s">
        <v>98</v>
      </c>
      <c r="H2038" t="s">
        <v>99</v>
      </c>
      <c r="I2038">
        <v>0</v>
      </c>
      <c r="J2038">
        <v>0</v>
      </c>
      <c r="K2038" s="1">
        <v>-33656</v>
      </c>
    </row>
    <row r="2039" spans="1:11" x14ac:dyDescent="0.25">
      <c r="A2039" t="s">
        <v>9</v>
      </c>
      <c r="B2039" t="s">
        <v>185</v>
      </c>
      <c r="C2039" t="s">
        <v>867</v>
      </c>
      <c r="D2039" t="s">
        <v>14</v>
      </c>
      <c r="E2039">
        <v>6</v>
      </c>
      <c r="F2039" s="2">
        <f>DATE(2026,IF(Tabla1[[#This Row],[Mes de Fecha]]="Septiembre",9,10),Tabla1[[#This Row],[Día de Fecha]])</f>
        <v>46301</v>
      </c>
      <c r="I2039">
        <v>0</v>
      </c>
      <c r="J2039" s="1">
        <v>2199273</v>
      </c>
      <c r="K2039">
        <v>0</v>
      </c>
    </row>
    <row r="2040" spans="1:11" x14ac:dyDescent="0.25">
      <c r="A2040" t="s">
        <v>9</v>
      </c>
      <c r="B2040" t="s">
        <v>185</v>
      </c>
      <c r="C2040" t="s">
        <v>867</v>
      </c>
      <c r="D2040" t="s">
        <v>14</v>
      </c>
      <c r="E2040">
        <v>6</v>
      </c>
      <c r="F2040" s="2">
        <f>DATE(2026,IF(Tabla1[[#This Row],[Mes de Fecha]]="Septiembre",9,10),Tabla1[[#This Row],[Día de Fecha]])</f>
        <v>46301</v>
      </c>
      <c r="G2040">
        <v>1113307838</v>
      </c>
      <c r="H2040" t="s">
        <v>186</v>
      </c>
      <c r="I2040">
        <v>29</v>
      </c>
      <c r="J2040">
        <v>0</v>
      </c>
      <c r="K2040" s="1">
        <v>1498490</v>
      </c>
    </row>
    <row r="2041" spans="1:11" x14ac:dyDescent="0.25">
      <c r="A2041" t="s">
        <v>9</v>
      </c>
      <c r="B2041" t="s">
        <v>185</v>
      </c>
      <c r="C2041" t="s">
        <v>867</v>
      </c>
      <c r="D2041" t="s">
        <v>14</v>
      </c>
      <c r="E2041">
        <v>6</v>
      </c>
      <c r="F2041" s="2">
        <f>DATE(2026,IF(Tabla1[[#This Row],[Mes de Fecha]]="Septiembre",9,10),Tabla1[[#This Row],[Día de Fecha]])</f>
        <v>46301</v>
      </c>
      <c r="G2041">
        <v>1115190830</v>
      </c>
      <c r="H2041" t="s">
        <v>187</v>
      </c>
      <c r="I2041">
        <v>21</v>
      </c>
      <c r="J2041">
        <v>0</v>
      </c>
      <c r="K2041" s="1">
        <v>1021255</v>
      </c>
    </row>
    <row r="2042" spans="1:11" x14ac:dyDescent="0.25">
      <c r="A2042" t="s">
        <v>9</v>
      </c>
      <c r="B2042" t="s">
        <v>185</v>
      </c>
      <c r="C2042" t="s">
        <v>867</v>
      </c>
      <c r="D2042" t="s">
        <v>14</v>
      </c>
      <c r="E2042">
        <v>6</v>
      </c>
      <c r="F2042" s="2">
        <f>DATE(2026,IF(Tabla1[[#This Row],[Mes de Fecha]]="Septiembre",9,10),Tabla1[[#This Row],[Día de Fecha]])</f>
        <v>46301</v>
      </c>
      <c r="G2042" t="s">
        <v>98</v>
      </c>
      <c r="H2042" t="s">
        <v>99</v>
      </c>
      <c r="I2042">
        <v>-1</v>
      </c>
      <c r="J2042">
        <v>0</v>
      </c>
      <c r="K2042" s="1">
        <v>-41975</v>
      </c>
    </row>
    <row r="2043" spans="1:11" x14ac:dyDescent="0.25">
      <c r="A2043" t="s">
        <v>9</v>
      </c>
      <c r="B2043" t="s">
        <v>185</v>
      </c>
      <c r="C2043" t="s">
        <v>867</v>
      </c>
      <c r="D2043" t="s">
        <v>14</v>
      </c>
      <c r="E2043">
        <v>7</v>
      </c>
      <c r="F2043" s="2">
        <f>DATE(2026,IF(Tabla1[[#This Row],[Mes de Fecha]]="Septiembre",9,10),Tabla1[[#This Row],[Día de Fecha]])</f>
        <v>46302</v>
      </c>
      <c r="I2043">
        <v>0</v>
      </c>
      <c r="J2043" s="1">
        <v>435624</v>
      </c>
      <c r="K2043">
        <v>0</v>
      </c>
    </row>
    <row r="2044" spans="1:11" x14ac:dyDescent="0.25">
      <c r="A2044" t="s">
        <v>9</v>
      </c>
      <c r="B2044" t="s">
        <v>185</v>
      </c>
      <c r="C2044" t="s">
        <v>867</v>
      </c>
      <c r="D2044" t="s">
        <v>14</v>
      </c>
      <c r="E2044">
        <v>7</v>
      </c>
      <c r="F2044" s="2">
        <f>DATE(2026,IF(Tabla1[[#This Row],[Mes de Fecha]]="Septiembre",9,10),Tabla1[[#This Row],[Día de Fecha]])</f>
        <v>46302</v>
      </c>
      <c r="G2044">
        <v>1113307838</v>
      </c>
      <c r="H2044" t="s">
        <v>186</v>
      </c>
      <c r="I2044">
        <v>68</v>
      </c>
      <c r="J2044">
        <v>0</v>
      </c>
      <c r="K2044" s="1">
        <v>3555635</v>
      </c>
    </row>
    <row r="2045" spans="1:11" x14ac:dyDescent="0.25">
      <c r="A2045" t="s">
        <v>9</v>
      </c>
      <c r="B2045" t="s">
        <v>185</v>
      </c>
      <c r="C2045" t="s">
        <v>867</v>
      </c>
      <c r="D2045" t="s">
        <v>14</v>
      </c>
      <c r="E2045">
        <v>7</v>
      </c>
      <c r="F2045" s="2">
        <f>DATE(2026,IF(Tabla1[[#This Row],[Mes de Fecha]]="Septiembre",9,10),Tabla1[[#This Row],[Día de Fecha]])</f>
        <v>46302</v>
      </c>
      <c r="G2045">
        <v>1115190830</v>
      </c>
      <c r="H2045" t="s">
        <v>187</v>
      </c>
      <c r="I2045">
        <v>-1</v>
      </c>
      <c r="J2045">
        <v>0</v>
      </c>
      <c r="K2045" s="1">
        <v>-50336</v>
      </c>
    </row>
    <row r="2046" spans="1:11" x14ac:dyDescent="0.25">
      <c r="A2046" t="s">
        <v>9</v>
      </c>
      <c r="B2046" t="s">
        <v>188</v>
      </c>
      <c r="C2046" t="s">
        <v>867</v>
      </c>
      <c r="D2046" t="s">
        <v>11</v>
      </c>
      <c r="E2046">
        <v>23</v>
      </c>
      <c r="F2046" s="2">
        <f>DATE(2026,IF(Tabla1[[#This Row],[Mes de Fecha]]="Septiembre",9,10),Tabla1[[#This Row],[Día de Fecha]])</f>
        <v>46288</v>
      </c>
      <c r="I2046">
        <v>0</v>
      </c>
      <c r="J2046" s="1">
        <v>3077269</v>
      </c>
      <c r="K2046">
        <v>0</v>
      </c>
    </row>
    <row r="2047" spans="1:11" x14ac:dyDescent="0.25">
      <c r="A2047" t="s">
        <v>9</v>
      </c>
      <c r="B2047" t="s">
        <v>188</v>
      </c>
      <c r="C2047" t="s">
        <v>867</v>
      </c>
      <c r="D2047" t="s">
        <v>11</v>
      </c>
      <c r="E2047">
        <v>23</v>
      </c>
      <c r="F2047" s="2">
        <f>DATE(2026,IF(Tabla1[[#This Row],[Mes de Fecha]]="Septiembre",9,10),Tabla1[[#This Row],[Día de Fecha]])</f>
        <v>46288</v>
      </c>
      <c r="G2047">
        <v>1116445233</v>
      </c>
      <c r="H2047" t="s">
        <v>149</v>
      </c>
      <c r="I2047">
        <v>97</v>
      </c>
      <c r="J2047">
        <v>0</v>
      </c>
      <c r="K2047" s="1">
        <v>5332145</v>
      </c>
    </row>
    <row r="2048" spans="1:11" x14ac:dyDescent="0.25">
      <c r="A2048" t="s">
        <v>9</v>
      </c>
      <c r="B2048" t="s">
        <v>188</v>
      </c>
      <c r="C2048" t="s">
        <v>867</v>
      </c>
      <c r="D2048" t="s">
        <v>11</v>
      </c>
      <c r="E2048">
        <v>23</v>
      </c>
      <c r="F2048" s="2">
        <f>DATE(2026,IF(Tabla1[[#This Row],[Mes de Fecha]]="Septiembre",9,10),Tabla1[[#This Row],[Día de Fecha]])</f>
        <v>46288</v>
      </c>
      <c r="G2048">
        <v>1116449394</v>
      </c>
      <c r="H2048" t="s">
        <v>189</v>
      </c>
      <c r="I2048">
        <v>107</v>
      </c>
      <c r="J2048">
        <v>0</v>
      </c>
      <c r="K2048" s="1">
        <v>6024925</v>
      </c>
    </row>
    <row r="2049" spans="1:11" x14ac:dyDescent="0.25">
      <c r="A2049" t="s">
        <v>9</v>
      </c>
      <c r="B2049" t="s">
        <v>188</v>
      </c>
      <c r="C2049" t="s">
        <v>867</v>
      </c>
      <c r="D2049" t="s">
        <v>11</v>
      </c>
      <c r="E2049">
        <v>24</v>
      </c>
      <c r="F2049" s="2">
        <f>DATE(2026,IF(Tabla1[[#This Row],[Mes de Fecha]]="Septiembre",9,10),Tabla1[[#This Row],[Día de Fecha]])</f>
        <v>46289</v>
      </c>
      <c r="I2049">
        <v>0</v>
      </c>
      <c r="J2049" s="1">
        <v>7958406</v>
      </c>
      <c r="K2049">
        <v>0</v>
      </c>
    </row>
    <row r="2050" spans="1:11" x14ac:dyDescent="0.25">
      <c r="A2050" t="s">
        <v>9</v>
      </c>
      <c r="B2050" t="s">
        <v>188</v>
      </c>
      <c r="C2050" t="s">
        <v>867</v>
      </c>
      <c r="D2050" t="s">
        <v>11</v>
      </c>
      <c r="E2050">
        <v>24</v>
      </c>
      <c r="F2050" s="2">
        <f>DATE(2026,IF(Tabla1[[#This Row],[Mes de Fecha]]="Septiembre",9,10),Tabla1[[#This Row],[Día de Fecha]])</f>
        <v>46289</v>
      </c>
      <c r="G2050">
        <v>1116445233</v>
      </c>
      <c r="H2050" t="s">
        <v>149</v>
      </c>
      <c r="I2050">
        <v>95</v>
      </c>
      <c r="J2050">
        <v>0</v>
      </c>
      <c r="K2050" s="1">
        <v>5201897</v>
      </c>
    </row>
    <row r="2051" spans="1:11" x14ac:dyDescent="0.25">
      <c r="A2051" t="s">
        <v>9</v>
      </c>
      <c r="B2051" t="s">
        <v>188</v>
      </c>
      <c r="C2051" t="s">
        <v>867</v>
      </c>
      <c r="D2051" t="s">
        <v>11</v>
      </c>
      <c r="E2051">
        <v>24</v>
      </c>
      <c r="F2051" s="2">
        <f>DATE(2026,IF(Tabla1[[#This Row],[Mes de Fecha]]="Septiembre",9,10),Tabla1[[#This Row],[Día de Fecha]])</f>
        <v>46289</v>
      </c>
      <c r="G2051">
        <v>1116449394</v>
      </c>
      <c r="H2051" t="s">
        <v>189</v>
      </c>
      <c r="I2051">
        <v>74</v>
      </c>
      <c r="J2051">
        <v>0</v>
      </c>
      <c r="K2051" s="1">
        <v>4244749</v>
      </c>
    </row>
    <row r="2052" spans="1:11" x14ac:dyDescent="0.25">
      <c r="A2052" t="s">
        <v>9</v>
      </c>
      <c r="B2052" t="s">
        <v>188</v>
      </c>
      <c r="C2052" t="s">
        <v>867</v>
      </c>
      <c r="D2052" t="s">
        <v>11</v>
      </c>
      <c r="E2052">
        <v>25</v>
      </c>
      <c r="F2052" s="2">
        <f>DATE(2026,IF(Tabla1[[#This Row],[Mes de Fecha]]="Septiembre",9,10),Tabla1[[#This Row],[Día de Fecha]])</f>
        <v>46290</v>
      </c>
      <c r="I2052">
        <v>0</v>
      </c>
      <c r="J2052" s="1">
        <v>8500013</v>
      </c>
      <c r="K2052">
        <v>0</v>
      </c>
    </row>
    <row r="2053" spans="1:11" x14ac:dyDescent="0.25">
      <c r="A2053" t="s">
        <v>9</v>
      </c>
      <c r="B2053" t="s">
        <v>188</v>
      </c>
      <c r="C2053" t="s">
        <v>867</v>
      </c>
      <c r="D2053" t="s">
        <v>11</v>
      </c>
      <c r="E2053">
        <v>25</v>
      </c>
      <c r="F2053" s="2">
        <f>DATE(2026,IF(Tabla1[[#This Row],[Mes de Fecha]]="Septiembre",9,10),Tabla1[[#This Row],[Día de Fecha]])</f>
        <v>46290</v>
      </c>
      <c r="G2053">
        <v>1116445233</v>
      </c>
      <c r="H2053" t="s">
        <v>149</v>
      </c>
      <c r="I2053">
        <v>18</v>
      </c>
      <c r="J2053">
        <v>0</v>
      </c>
      <c r="K2053" s="1">
        <v>1076975</v>
      </c>
    </row>
    <row r="2054" spans="1:11" x14ac:dyDescent="0.25">
      <c r="A2054" t="s">
        <v>9</v>
      </c>
      <c r="B2054" t="s">
        <v>188</v>
      </c>
      <c r="C2054" t="s">
        <v>867</v>
      </c>
      <c r="D2054" t="s">
        <v>11</v>
      </c>
      <c r="E2054">
        <v>25</v>
      </c>
      <c r="F2054" s="2">
        <f>DATE(2026,IF(Tabla1[[#This Row],[Mes de Fecha]]="Septiembre",9,10),Tabla1[[#This Row],[Día de Fecha]])</f>
        <v>46290</v>
      </c>
      <c r="G2054">
        <v>1116449394</v>
      </c>
      <c r="H2054" t="s">
        <v>189</v>
      </c>
      <c r="I2054">
        <v>60</v>
      </c>
      <c r="J2054">
        <v>0</v>
      </c>
      <c r="K2054" s="1">
        <v>3121433</v>
      </c>
    </row>
    <row r="2055" spans="1:11" x14ac:dyDescent="0.25">
      <c r="A2055" t="s">
        <v>9</v>
      </c>
      <c r="B2055" t="s">
        <v>188</v>
      </c>
      <c r="C2055" t="s">
        <v>867</v>
      </c>
      <c r="D2055" t="s">
        <v>11</v>
      </c>
      <c r="E2055">
        <v>26</v>
      </c>
      <c r="F2055" s="2">
        <f>DATE(2026,IF(Tabla1[[#This Row],[Mes de Fecha]]="Septiembre",9,10),Tabla1[[#This Row],[Día de Fecha]])</f>
        <v>46291</v>
      </c>
      <c r="I2055">
        <v>0</v>
      </c>
      <c r="J2055" s="1">
        <v>10718299</v>
      </c>
      <c r="K2055">
        <v>0</v>
      </c>
    </row>
    <row r="2056" spans="1:11" x14ac:dyDescent="0.25">
      <c r="A2056" t="s">
        <v>9</v>
      </c>
      <c r="B2056" t="s">
        <v>188</v>
      </c>
      <c r="C2056" t="s">
        <v>867</v>
      </c>
      <c r="D2056" t="s">
        <v>11</v>
      </c>
      <c r="E2056">
        <v>26</v>
      </c>
      <c r="F2056" s="2">
        <f>DATE(2026,IF(Tabla1[[#This Row],[Mes de Fecha]]="Septiembre",9,10),Tabla1[[#This Row],[Día de Fecha]])</f>
        <v>46291</v>
      </c>
      <c r="G2056">
        <v>1116445233</v>
      </c>
      <c r="H2056" t="s">
        <v>149</v>
      </c>
      <c r="I2056">
        <v>60</v>
      </c>
      <c r="J2056">
        <v>0</v>
      </c>
      <c r="K2056" s="1">
        <v>2474543</v>
      </c>
    </row>
    <row r="2057" spans="1:11" x14ac:dyDescent="0.25">
      <c r="A2057" t="s">
        <v>9</v>
      </c>
      <c r="B2057" t="s">
        <v>188</v>
      </c>
      <c r="C2057" t="s">
        <v>867</v>
      </c>
      <c r="D2057" t="s">
        <v>11</v>
      </c>
      <c r="E2057">
        <v>26</v>
      </c>
      <c r="F2057" s="2">
        <f>DATE(2026,IF(Tabla1[[#This Row],[Mes de Fecha]]="Septiembre",9,10),Tabla1[[#This Row],[Día de Fecha]])</f>
        <v>46291</v>
      </c>
      <c r="G2057">
        <v>1116449394</v>
      </c>
      <c r="H2057" t="s">
        <v>189</v>
      </c>
      <c r="I2057">
        <v>98</v>
      </c>
      <c r="J2057">
        <v>0</v>
      </c>
      <c r="K2057" s="1">
        <v>5711769</v>
      </c>
    </row>
    <row r="2058" spans="1:11" x14ac:dyDescent="0.25">
      <c r="A2058" t="s">
        <v>9</v>
      </c>
      <c r="B2058" t="s">
        <v>188</v>
      </c>
      <c r="C2058" t="s">
        <v>867</v>
      </c>
      <c r="D2058" t="s">
        <v>11</v>
      </c>
      <c r="E2058">
        <v>27</v>
      </c>
      <c r="F2058" s="2">
        <f>DATE(2026,IF(Tabla1[[#This Row],[Mes de Fecha]]="Septiembre",9,10),Tabla1[[#This Row],[Día de Fecha]])</f>
        <v>46292</v>
      </c>
      <c r="I2058">
        <v>0</v>
      </c>
      <c r="J2058" s="1">
        <v>5659158</v>
      </c>
      <c r="K2058">
        <v>0</v>
      </c>
    </row>
    <row r="2059" spans="1:11" x14ac:dyDescent="0.25">
      <c r="A2059" t="s">
        <v>9</v>
      </c>
      <c r="B2059" t="s">
        <v>188</v>
      </c>
      <c r="C2059" t="s">
        <v>867</v>
      </c>
      <c r="D2059" t="s">
        <v>11</v>
      </c>
      <c r="E2059">
        <v>27</v>
      </c>
      <c r="F2059" s="2">
        <f>DATE(2026,IF(Tabla1[[#This Row],[Mes de Fecha]]="Septiembre",9,10),Tabla1[[#This Row],[Día de Fecha]])</f>
        <v>46292</v>
      </c>
      <c r="G2059">
        <v>1116449394</v>
      </c>
      <c r="H2059" t="s">
        <v>189</v>
      </c>
      <c r="I2059">
        <v>98</v>
      </c>
      <c r="J2059">
        <v>0</v>
      </c>
      <c r="K2059" s="1">
        <v>5272609</v>
      </c>
    </row>
    <row r="2060" spans="1:11" x14ac:dyDescent="0.25">
      <c r="A2060" t="s">
        <v>9</v>
      </c>
      <c r="B2060" t="s">
        <v>188</v>
      </c>
      <c r="C2060" t="s">
        <v>867</v>
      </c>
      <c r="D2060" t="s">
        <v>11</v>
      </c>
      <c r="E2060">
        <v>28</v>
      </c>
      <c r="F2060" s="2">
        <f>DATE(2026,IF(Tabla1[[#This Row],[Mes de Fecha]]="Septiembre",9,10),Tabla1[[#This Row],[Día de Fecha]])</f>
        <v>46293</v>
      </c>
      <c r="I2060">
        <v>0</v>
      </c>
      <c r="J2060" s="1">
        <v>4639894</v>
      </c>
      <c r="K2060">
        <v>0</v>
      </c>
    </row>
    <row r="2061" spans="1:11" x14ac:dyDescent="0.25">
      <c r="A2061" t="s">
        <v>9</v>
      </c>
      <c r="B2061" t="s">
        <v>188</v>
      </c>
      <c r="C2061" t="s">
        <v>867</v>
      </c>
      <c r="D2061" t="s">
        <v>11</v>
      </c>
      <c r="E2061">
        <v>28</v>
      </c>
      <c r="F2061" s="2">
        <f>DATE(2026,IF(Tabla1[[#This Row],[Mes de Fecha]]="Septiembre",9,10),Tabla1[[#This Row],[Día de Fecha]])</f>
        <v>46293</v>
      </c>
      <c r="G2061">
        <v>1116449394</v>
      </c>
      <c r="H2061" t="s">
        <v>189</v>
      </c>
      <c r="I2061">
        <v>38</v>
      </c>
      <c r="J2061">
        <v>0</v>
      </c>
      <c r="K2061" s="1">
        <v>2065546</v>
      </c>
    </row>
    <row r="2062" spans="1:11" x14ac:dyDescent="0.25">
      <c r="A2062" t="s">
        <v>9</v>
      </c>
      <c r="B2062" t="s">
        <v>188</v>
      </c>
      <c r="C2062" t="s">
        <v>867</v>
      </c>
      <c r="D2062" t="s">
        <v>11</v>
      </c>
      <c r="E2062">
        <v>29</v>
      </c>
      <c r="F2062" s="2">
        <f>DATE(2026,IF(Tabla1[[#This Row],[Mes de Fecha]]="Septiembre",9,10),Tabla1[[#This Row],[Día de Fecha]])</f>
        <v>46294</v>
      </c>
      <c r="I2062">
        <v>0</v>
      </c>
      <c r="J2062" s="1">
        <v>5158191</v>
      </c>
      <c r="K2062">
        <v>0</v>
      </c>
    </row>
    <row r="2063" spans="1:11" x14ac:dyDescent="0.25">
      <c r="A2063" t="s">
        <v>9</v>
      </c>
      <c r="B2063" t="s">
        <v>188</v>
      </c>
      <c r="C2063" t="s">
        <v>867</v>
      </c>
      <c r="D2063" t="s">
        <v>11</v>
      </c>
      <c r="E2063">
        <v>29</v>
      </c>
      <c r="F2063" s="2">
        <f>DATE(2026,IF(Tabla1[[#This Row],[Mes de Fecha]]="Septiembre",9,10),Tabla1[[#This Row],[Día de Fecha]])</f>
        <v>46294</v>
      </c>
      <c r="G2063">
        <v>1116445233</v>
      </c>
      <c r="H2063" t="s">
        <v>149</v>
      </c>
      <c r="I2063">
        <v>61</v>
      </c>
      <c r="J2063">
        <v>0</v>
      </c>
      <c r="K2063" s="1">
        <v>2705005</v>
      </c>
    </row>
    <row r="2064" spans="1:11" x14ac:dyDescent="0.25">
      <c r="A2064" t="s">
        <v>9</v>
      </c>
      <c r="B2064" t="s">
        <v>188</v>
      </c>
      <c r="C2064" t="s">
        <v>867</v>
      </c>
      <c r="D2064" t="s">
        <v>11</v>
      </c>
      <c r="E2064">
        <v>30</v>
      </c>
      <c r="F2064" s="2">
        <f>DATE(2026,IF(Tabla1[[#This Row],[Mes de Fecha]]="Septiembre",9,10),Tabla1[[#This Row],[Día de Fecha]])</f>
        <v>46295</v>
      </c>
      <c r="I2064">
        <v>0</v>
      </c>
      <c r="J2064" s="1">
        <v>5462690</v>
      </c>
      <c r="K2064">
        <v>0</v>
      </c>
    </row>
    <row r="2065" spans="1:11" x14ac:dyDescent="0.25">
      <c r="A2065" t="s">
        <v>9</v>
      </c>
      <c r="B2065" t="s">
        <v>188</v>
      </c>
      <c r="C2065" t="s">
        <v>867</v>
      </c>
      <c r="D2065" t="s">
        <v>11</v>
      </c>
      <c r="E2065">
        <v>30</v>
      </c>
      <c r="F2065" s="2">
        <f>DATE(2026,IF(Tabla1[[#This Row],[Mes de Fecha]]="Septiembre",9,10),Tabla1[[#This Row],[Día de Fecha]])</f>
        <v>46295</v>
      </c>
      <c r="G2065">
        <v>1116445233</v>
      </c>
      <c r="H2065" t="s">
        <v>149</v>
      </c>
      <c r="I2065">
        <v>-1</v>
      </c>
      <c r="J2065">
        <v>0</v>
      </c>
      <c r="K2065" s="1">
        <v>-33529</v>
      </c>
    </row>
    <row r="2066" spans="1:11" x14ac:dyDescent="0.25">
      <c r="A2066" t="s">
        <v>9</v>
      </c>
      <c r="B2066" t="s">
        <v>188</v>
      </c>
      <c r="C2066" t="s">
        <v>867</v>
      </c>
      <c r="D2066" t="s">
        <v>11</v>
      </c>
      <c r="E2066">
        <v>30</v>
      </c>
      <c r="F2066" s="2">
        <f>DATE(2026,IF(Tabla1[[#This Row],[Mes de Fecha]]="Septiembre",9,10),Tabla1[[#This Row],[Día de Fecha]])</f>
        <v>46295</v>
      </c>
      <c r="G2066">
        <v>1116449394</v>
      </c>
      <c r="H2066" t="s">
        <v>189</v>
      </c>
      <c r="I2066">
        <v>79</v>
      </c>
      <c r="J2066">
        <v>0</v>
      </c>
      <c r="K2066" s="1">
        <v>4576222</v>
      </c>
    </row>
    <row r="2067" spans="1:11" x14ac:dyDescent="0.25">
      <c r="A2067" t="s">
        <v>9</v>
      </c>
      <c r="B2067" t="s">
        <v>188</v>
      </c>
      <c r="C2067" t="s">
        <v>867</v>
      </c>
      <c r="D2067" t="s">
        <v>14</v>
      </c>
      <c r="E2067">
        <v>1</v>
      </c>
      <c r="F2067" s="2">
        <f>DATE(2026,IF(Tabla1[[#This Row],[Mes de Fecha]]="Septiembre",9,10),Tabla1[[#This Row],[Día de Fecha]])</f>
        <v>46296</v>
      </c>
      <c r="I2067">
        <v>0</v>
      </c>
      <c r="J2067" s="1">
        <v>6297023</v>
      </c>
      <c r="K2067">
        <v>0</v>
      </c>
    </row>
    <row r="2068" spans="1:11" x14ac:dyDescent="0.25">
      <c r="A2068" t="s">
        <v>9</v>
      </c>
      <c r="B2068" t="s">
        <v>188</v>
      </c>
      <c r="C2068" t="s">
        <v>867</v>
      </c>
      <c r="D2068" t="s">
        <v>14</v>
      </c>
      <c r="E2068">
        <v>1</v>
      </c>
      <c r="F2068" s="2">
        <f>DATE(2026,IF(Tabla1[[#This Row],[Mes de Fecha]]="Septiembre",9,10),Tabla1[[#This Row],[Día de Fecha]])</f>
        <v>46296</v>
      </c>
      <c r="G2068">
        <v>1116449394</v>
      </c>
      <c r="H2068" t="s">
        <v>189</v>
      </c>
      <c r="I2068">
        <v>134</v>
      </c>
      <c r="J2068">
        <v>0</v>
      </c>
      <c r="K2068" s="1">
        <v>6936773</v>
      </c>
    </row>
    <row r="2069" spans="1:11" x14ac:dyDescent="0.25">
      <c r="A2069" t="s">
        <v>9</v>
      </c>
      <c r="B2069" t="s">
        <v>188</v>
      </c>
      <c r="C2069" t="s">
        <v>867</v>
      </c>
      <c r="D2069" t="s">
        <v>14</v>
      </c>
      <c r="E2069">
        <v>2</v>
      </c>
      <c r="F2069" s="2">
        <f>DATE(2026,IF(Tabla1[[#This Row],[Mes de Fecha]]="Septiembre",9,10),Tabla1[[#This Row],[Día de Fecha]])</f>
        <v>46297</v>
      </c>
      <c r="I2069">
        <v>0</v>
      </c>
      <c r="J2069" s="1">
        <v>5107842</v>
      </c>
      <c r="K2069">
        <v>0</v>
      </c>
    </row>
    <row r="2070" spans="1:11" x14ac:dyDescent="0.25">
      <c r="A2070" t="s">
        <v>9</v>
      </c>
      <c r="B2070" t="s">
        <v>188</v>
      </c>
      <c r="C2070" t="s">
        <v>867</v>
      </c>
      <c r="D2070" t="s">
        <v>14</v>
      </c>
      <c r="E2070">
        <v>2</v>
      </c>
      <c r="F2070" s="2">
        <f>DATE(2026,IF(Tabla1[[#This Row],[Mes de Fecha]]="Septiembre",9,10),Tabla1[[#This Row],[Día de Fecha]])</f>
        <v>46297</v>
      </c>
      <c r="G2070">
        <v>1116445233</v>
      </c>
      <c r="H2070" t="s">
        <v>149</v>
      </c>
      <c r="I2070">
        <v>82</v>
      </c>
      <c r="J2070">
        <v>0</v>
      </c>
      <c r="K2070" s="1">
        <v>4872108</v>
      </c>
    </row>
    <row r="2071" spans="1:11" x14ac:dyDescent="0.25">
      <c r="A2071" t="s">
        <v>9</v>
      </c>
      <c r="B2071" t="s">
        <v>188</v>
      </c>
      <c r="C2071" t="s">
        <v>867</v>
      </c>
      <c r="D2071" t="s">
        <v>14</v>
      </c>
      <c r="E2071">
        <v>2</v>
      </c>
      <c r="F2071" s="2">
        <f>DATE(2026,IF(Tabla1[[#This Row],[Mes de Fecha]]="Septiembre",9,10),Tabla1[[#This Row],[Día de Fecha]])</f>
        <v>46297</v>
      </c>
      <c r="G2071">
        <v>1116449394</v>
      </c>
      <c r="H2071" t="s">
        <v>189</v>
      </c>
      <c r="I2071">
        <v>-2</v>
      </c>
      <c r="J2071">
        <v>0</v>
      </c>
      <c r="K2071" s="1">
        <v>-81849</v>
      </c>
    </row>
    <row r="2072" spans="1:11" x14ac:dyDescent="0.25">
      <c r="A2072" t="s">
        <v>9</v>
      </c>
      <c r="B2072" t="s">
        <v>188</v>
      </c>
      <c r="C2072" t="s">
        <v>867</v>
      </c>
      <c r="D2072" t="s">
        <v>14</v>
      </c>
      <c r="E2072">
        <v>3</v>
      </c>
      <c r="F2072" s="2">
        <f>DATE(2026,IF(Tabla1[[#This Row],[Mes de Fecha]]="Septiembre",9,10),Tabla1[[#This Row],[Día de Fecha]])</f>
        <v>46298</v>
      </c>
      <c r="I2072">
        <v>0</v>
      </c>
      <c r="J2072" s="1">
        <v>7933977</v>
      </c>
      <c r="K2072">
        <v>0</v>
      </c>
    </row>
    <row r="2073" spans="1:11" x14ac:dyDescent="0.25">
      <c r="A2073" t="s">
        <v>9</v>
      </c>
      <c r="B2073" t="s">
        <v>188</v>
      </c>
      <c r="C2073" t="s">
        <v>867</v>
      </c>
      <c r="D2073" t="s">
        <v>14</v>
      </c>
      <c r="E2073">
        <v>3</v>
      </c>
      <c r="F2073" s="2">
        <f>DATE(2026,IF(Tabla1[[#This Row],[Mes de Fecha]]="Septiembre",9,10),Tabla1[[#This Row],[Día de Fecha]])</f>
        <v>46298</v>
      </c>
      <c r="G2073">
        <v>1116445233</v>
      </c>
      <c r="H2073" t="s">
        <v>149</v>
      </c>
      <c r="I2073">
        <v>40</v>
      </c>
      <c r="J2073">
        <v>0</v>
      </c>
      <c r="K2073" s="1">
        <v>2237969</v>
      </c>
    </row>
    <row r="2074" spans="1:11" x14ac:dyDescent="0.25">
      <c r="A2074" t="s">
        <v>9</v>
      </c>
      <c r="B2074" t="s">
        <v>188</v>
      </c>
      <c r="C2074" t="s">
        <v>867</v>
      </c>
      <c r="D2074" t="s">
        <v>14</v>
      </c>
      <c r="E2074">
        <v>3</v>
      </c>
      <c r="F2074" s="2">
        <f>DATE(2026,IF(Tabla1[[#This Row],[Mes de Fecha]]="Septiembre",9,10),Tabla1[[#This Row],[Día de Fecha]])</f>
        <v>46298</v>
      </c>
      <c r="G2074">
        <v>1116449394</v>
      </c>
      <c r="H2074" t="s">
        <v>189</v>
      </c>
      <c r="I2074">
        <v>101</v>
      </c>
      <c r="J2074">
        <v>0</v>
      </c>
      <c r="K2074" s="1">
        <v>5422276</v>
      </c>
    </row>
    <row r="2075" spans="1:11" x14ac:dyDescent="0.25">
      <c r="A2075" t="s">
        <v>9</v>
      </c>
      <c r="B2075" t="s">
        <v>188</v>
      </c>
      <c r="C2075" t="s">
        <v>867</v>
      </c>
      <c r="D2075" t="s">
        <v>14</v>
      </c>
      <c r="E2075">
        <v>4</v>
      </c>
      <c r="F2075" s="2">
        <f>DATE(2026,IF(Tabla1[[#This Row],[Mes de Fecha]]="Septiembre",9,10),Tabla1[[#This Row],[Día de Fecha]])</f>
        <v>46299</v>
      </c>
      <c r="I2075">
        <v>0</v>
      </c>
      <c r="J2075" s="1">
        <v>2018527</v>
      </c>
      <c r="K2075">
        <v>0</v>
      </c>
    </row>
    <row r="2076" spans="1:11" x14ac:dyDescent="0.25">
      <c r="A2076" t="s">
        <v>9</v>
      </c>
      <c r="B2076" t="s">
        <v>188</v>
      </c>
      <c r="C2076" t="s">
        <v>867</v>
      </c>
      <c r="D2076" t="s">
        <v>14</v>
      </c>
      <c r="E2076">
        <v>4</v>
      </c>
      <c r="F2076" s="2">
        <f>DATE(2026,IF(Tabla1[[#This Row],[Mes de Fecha]]="Septiembre",9,10),Tabla1[[#This Row],[Día de Fecha]])</f>
        <v>46299</v>
      </c>
      <c r="G2076">
        <v>1116445233</v>
      </c>
      <c r="H2076" t="s">
        <v>149</v>
      </c>
      <c r="I2076">
        <v>87</v>
      </c>
      <c r="J2076">
        <v>0</v>
      </c>
      <c r="K2076" s="1">
        <v>4900801</v>
      </c>
    </row>
    <row r="2077" spans="1:11" x14ac:dyDescent="0.25">
      <c r="A2077" t="s">
        <v>9</v>
      </c>
      <c r="B2077" t="s">
        <v>188</v>
      </c>
      <c r="C2077" t="s">
        <v>867</v>
      </c>
      <c r="D2077" t="s">
        <v>14</v>
      </c>
      <c r="E2077">
        <v>5</v>
      </c>
      <c r="F2077" s="2">
        <f>DATE(2026,IF(Tabla1[[#This Row],[Mes de Fecha]]="Septiembre",9,10),Tabla1[[#This Row],[Día de Fecha]])</f>
        <v>46300</v>
      </c>
      <c r="I2077">
        <v>0</v>
      </c>
      <c r="J2077" s="1">
        <v>3332846</v>
      </c>
      <c r="K2077">
        <v>0</v>
      </c>
    </row>
    <row r="2078" spans="1:11" x14ac:dyDescent="0.25">
      <c r="A2078" t="s">
        <v>9</v>
      </c>
      <c r="B2078" t="s">
        <v>188</v>
      </c>
      <c r="C2078" t="s">
        <v>867</v>
      </c>
      <c r="D2078" t="s">
        <v>14</v>
      </c>
      <c r="E2078">
        <v>5</v>
      </c>
      <c r="F2078" s="2">
        <f>DATE(2026,IF(Tabla1[[#This Row],[Mes de Fecha]]="Septiembre",9,10),Tabla1[[#This Row],[Día de Fecha]])</f>
        <v>46300</v>
      </c>
      <c r="G2078">
        <v>1116445233</v>
      </c>
      <c r="H2078" t="s">
        <v>149</v>
      </c>
      <c r="I2078">
        <v>20</v>
      </c>
      <c r="J2078">
        <v>0</v>
      </c>
      <c r="K2078" s="1">
        <v>965379</v>
      </c>
    </row>
    <row r="2079" spans="1:11" x14ac:dyDescent="0.25">
      <c r="A2079" t="s">
        <v>9</v>
      </c>
      <c r="B2079" t="s">
        <v>188</v>
      </c>
      <c r="C2079" t="s">
        <v>867</v>
      </c>
      <c r="D2079" t="s">
        <v>14</v>
      </c>
      <c r="E2079">
        <v>5</v>
      </c>
      <c r="F2079" s="2">
        <f>DATE(2026,IF(Tabla1[[#This Row],[Mes de Fecha]]="Septiembre",9,10),Tabla1[[#This Row],[Día de Fecha]])</f>
        <v>46300</v>
      </c>
      <c r="G2079">
        <v>1116449394</v>
      </c>
      <c r="H2079" t="s">
        <v>189</v>
      </c>
      <c r="I2079">
        <v>27</v>
      </c>
      <c r="J2079">
        <v>0</v>
      </c>
      <c r="K2079" s="1">
        <v>1620509</v>
      </c>
    </row>
    <row r="2080" spans="1:11" x14ac:dyDescent="0.25">
      <c r="A2080" t="s">
        <v>9</v>
      </c>
      <c r="B2080" t="s">
        <v>188</v>
      </c>
      <c r="C2080" t="s">
        <v>867</v>
      </c>
      <c r="D2080" t="s">
        <v>14</v>
      </c>
      <c r="E2080">
        <v>6</v>
      </c>
      <c r="F2080" s="2">
        <f>DATE(2026,IF(Tabla1[[#This Row],[Mes de Fecha]]="Septiembre",9,10),Tabla1[[#This Row],[Día de Fecha]])</f>
        <v>46301</v>
      </c>
      <c r="I2080">
        <v>0</v>
      </c>
      <c r="J2080" s="1">
        <v>1782565</v>
      </c>
      <c r="K2080">
        <v>0</v>
      </c>
    </row>
    <row r="2081" spans="1:11" x14ac:dyDescent="0.25">
      <c r="A2081" t="s">
        <v>9</v>
      </c>
      <c r="B2081" t="s">
        <v>188</v>
      </c>
      <c r="C2081" t="s">
        <v>867</v>
      </c>
      <c r="D2081" t="s">
        <v>14</v>
      </c>
      <c r="E2081">
        <v>6</v>
      </c>
      <c r="F2081" s="2">
        <f>DATE(2026,IF(Tabla1[[#This Row],[Mes de Fecha]]="Septiembre",9,10),Tabla1[[#This Row],[Día de Fecha]])</f>
        <v>46301</v>
      </c>
      <c r="G2081">
        <v>1116445233</v>
      </c>
      <c r="H2081" t="s">
        <v>149</v>
      </c>
      <c r="I2081">
        <v>30</v>
      </c>
      <c r="J2081">
        <v>0</v>
      </c>
      <c r="K2081" s="1">
        <v>1969159</v>
      </c>
    </row>
    <row r="2082" spans="1:11" x14ac:dyDescent="0.25">
      <c r="A2082" t="s">
        <v>9</v>
      </c>
      <c r="B2082" t="s">
        <v>188</v>
      </c>
      <c r="C2082" t="s">
        <v>867</v>
      </c>
      <c r="D2082" t="s">
        <v>14</v>
      </c>
      <c r="E2082">
        <v>6</v>
      </c>
      <c r="F2082" s="2">
        <f>DATE(2026,IF(Tabla1[[#This Row],[Mes de Fecha]]="Septiembre",9,10),Tabla1[[#This Row],[Día de Fecha]])</f>
        <v>46301</v>
      </c>
      <c r="G2082">
        <v>1116449394</v>
      </c>
      <c r="H2082" t="s">
        <v>189</v>
      </c>
      <c r="I2082">
        <v>14</v>
      </c>
      <c r="J2082">
        <v>0</v>
      </c>
      <c r="K2082" s="1">
        <v>969917</v>
      </c>
    </row>
    <row r="2083" spans="1:11" x14ac:dyDescent="0.25">
      <c r="A2083" t="s">
        <v>9</v>
      </c>
      <c r="B2083" t="s">
        <v>188</v>
      </c>
      <c r="C2083" t="s">
        <v>867</v>
      </c>
      <c r="D2083" t="s">
        <v>14</v>
      </c>
      <c r="E2083">
        <v>7</v>
      </c>
      <c r="F2083" s="2">
        <f>DATE(2026,IF(Tabla1[[#This Row],[Mes de Fecha]]="Septiembre",9,10),Tabla1[[#This Row],[Día de Fecha]])</f>
        <v>46302</v>
      </c>
      <c r="I2083">
        <v>0</v>
      </c>
      <c r="J2083" s="1">
        <v>558216</v>
      </c>
      <c r="K2083">
        <v>0</v>
      </c>
    </row>
    <row r="2084" spans="1:11" x14ac:dyDescent="0.25">
      <c r="A2084" t="s">
        <v>9</v>
      </c>
      <c r="B2084" t="s">
        <v>188</v>
      </c>
      <c r="C2084" t="s">
        <v>867</v>
      </c>
      <c r="D2084" t="s">
        <v>14</v>
      </c>
      <c r="E2084">
        <v>7</v>
      </c>
      <c r="F2084" s="2">
        <f>DATE(2026,IF(Tabla1[[#This Row],[Mes de Fecha]]="Septiembre",9,10),Tabla1[[#This Row],[Día de Fecha]])</f>
        <v>46302</v>
      </c>
      <c r="G2084">
        <v>1116445233</v>
      </c>
      <c r="H2084" t="s">
        <v>149</v>
      </c>
      <c r="I2084">
        <v>57</v>
      </c>
      <c r="J2084">
        <v>0</v>
      </c>
      <c r="K2084" s="1">
        <v>3243326</v>
      </c>
    </row>
    <row r="2085" spans="1:11" x14ac:dyDescent="0.25">
      <c r="A2085" t="s">
        <v>9</v>
      </c>
      <c r="B2085" t="s">
        <v>188</v>
      </c>
      <c r="C2085" t="s">
        <v>867</v>
      </c>
      <c r="D2085" t="s">
        <v>14</v>
      </c>
      <c r="E2085">
        <v>7</v>
      </c>
      <c r="F2085" s="2">
        <f>DATE(2026,IF(Tabla1[[#This Row],[Mes de Fecha]]="Septiembre",9,10),Tabla1[[#This Row],[Día de Fecha]])</f>
        <v>46302</v>
      </c>
      <c r="G2085">
        <v>1116449394</v>
      </c>
      <c r="H2085" t="s">
        <v>189</v>
      </c>
      <c r="I2085">
        <v>1</v>
      </c>
      <c r="J2085">
        <v>0</v>
      </c>
      <c r="K2085" s="1">
        <v>20924</v>
      </c>
    </row>
    <row r="2086" spans="1:11" x14ac:dyDescent="0.25">
      <c r="A2086" t="s">
        <v>9</v>
      </c>
      <c r="B2086" t="s">
        <v>286</v>
      </c>
      <c r="C2086" t="s">
        <v>867</v>
      </c>
      <c r="D2086" t="s">
        <v>11</v>
      </c>
      <c r="E2086">
        <v>23</v>
      </c>
      <c r="F2086" s="2">
        <f>DATE(2026,IF(Tabla1[[#This Row],[Mes de Fecha]]="Septiembre",9,10),Tabla1[[#This Row],[Día de Fecha]])</f>
        <v>46288</v>
      </c>
      <c r="I2086">
        <v>0</v>
      </c>
      <c r="J2086" s="1">
        <v>4350570</v>
      </c>
      <c r="K2086">
        <v>0</v>
      </c>
    </row>
    <row r="2087" spans="1:11" x14ac:dyDescent="0.25">
      <c r="A2087" t="s">
        <v>9</v>
      </c>
      <c r="B2087" t="s">
        <v>286</v>
      </c>
      <c r="C2087" t="s">
        <v>867</v>
      </c>
      <c r="D2087" t="s">
        <v>11</v>
      </c>
      <c r="E2087">
        <v>23</v>
      </c>
      <c r="F2087" s="2">
        <f>DATE(2026,IF(Tabla1[[#This Row],[Mes de Fecha]]="Septiembre",9,10),Tabla1[[#This Row],[Día de Fecha]])</f>
        <v>46288</v>
      </c>
      <c r="G2087">
        <v>38756973</v>
      </c>
      <c r="H2087" t="s">
        <v>289</v>
      </c>
      <c r="I2087">
        <v>33</v>
      </c>
      <c r="J2087">
        <v>0</v>
      </c>
      <c r="K2087" s="1">
        <v>2015422</v>
      </c>
    </row>
    <row r="2088" spans="1:11" x14ac:dyDescent="0.25">
      <c r="A2088" t="s">
        <v>9</v>
      </c>
      <c r="B2088" t="s">
        <v>286</v>
      </c>
      <c r="C2088" t="s">
        <v>867</v>
      </c>
      <c r="D2088" t="s">
        <v>11</v>
      </c>
      <c r="E2088">
        <v>23</v>
      </c>
      <c r="F2088" s="2">
        <f>DATE(2026,IF(Tabla1[[#This Row],[Mes de Fecha]]="Septiembre",9,10),Tabla1[[#This Row],[Día de Fecha]])</f>
        <v>46288</v>
      </c>
      <c r="G2088">
        <v>1006842382</v>
      </c>
      <c r="H2088" t="s">
        <v>287</v>
      </c>
      <c r="I2088">
        <v>21</v>
      </c>
      <c r="J2088">
        <v>0</v>
      </c>
      <c r="K2088" s="1">
        <v>1062144</v>
      </c>
    </row>
    <row r="2089" spans="1:11" x14ac:dyDescent="0.25">
      <c r="A2089" t="s">
        <v>9</v>
      </c>
      <c r="B2089" t="s">
        <v>286</v>
      </c>
      <c r="C2089" t="s">
        <v>867</v>
      </c>
      <c r="D2089" t="s">
        <v>11</v>
      </c>
      <c r="E2089">
        <v>23</v>
      </c>
      <c r="F2089" s="2">
        <f>DATE(2026,IF(Tabla1[[#This Row],[Mes de Fecha]]="Septiembre",9,10),Tabla1[[#This Row],[Día de Fecha]])</f>
        <v>46288</v>
      </c>
      <c r="G2089">
        <v>1113311274</v>
      </c>
      <c r="H2089" t="s">
        <v>288</v>
      </c>
      <c r="I2089">
        <v>69</v>
      </c>
      <c r="J2089">
        <v>0</v>
      </c>
      <c r="K2089" s="1">
        <v>3846680</v>
      </c>
    </row>
    <row r="2090" spans="1:11" x14ac:dyDescent="0.25">
      <c r="A2090" t="s">
        <v>9</v>
      </c>
      <c r="B2090" t="s">
        <v>286</v>
      </c>
      <c r="C2090" t="s">
        <v>867</v>
      </c>
      <c r="D2090" t="s">
        <v>11</v>
      </c>
      <c r="E2090">
        <v>24</v>
      </c>
      <c r="F2090" s="2">
        <f>DATE(2026,IF(Tabla1[[#This Row],[Mes de Fecha]]="Septiembre",9,10),Tabla1[[#This Row],[Día de Fecha]])</f>
        <v>46289</v>
      </c>
      <c r="I2090">
        <v>0</v>
      </c>
      <c r="J2090" s="1">
        <v>11251408</v>
      </c>
      <c r="K2090">
        <v>0</v>
      </c>
    </row>
    <row r="2091" spans="1:11" x14ac:dyDescent="0.25">
      <c r="A2091" t="s">
        <v>9</v>
      </c>
      <c r="B2091" t="s">
        <v>286</v>
      </c>
      <c r="C2091" t="s">
        <v>867</v>
      </c>
      <c r="D2091" t="s">
        <v>11</v>
      </c>
      <c r="E2091">
        <v>24</v>
      </c>
      <c r="F2091" s="2">
        <f>DATE(2026,IF(Tabla1[[#This Row],[Mes de Fecha]]="Septiembre",9,10),Tabla1[[#This Row],[Día de Fecha]])</f>
        <v>46289</v>
      </c>
      <c r="G2091">
        <v>38756973</v>
      </c>
      <c r="H2091" t="s">
        <v>289</v>
      </c>
      <c r="I2091">
        <v>49</v>
      </c>
      <c r="J2091">
        <v>0</v>
      </c>
      <c r="K2091" s="1">
        <v>2451722</v>
      </c>
    </row>
    <row r="2092" spans="1:11" x14ac:dyDescent="0.25">
      <c r="A2092" t="s">
        <v>9</v>
      </c>
      <c r="B2092" t="s">
        <v>286</v>
      </c>
      <c r="C2092" t="s">
        <v>867</v>
      </c>
      <c r="D2092" t="s">
        <v>11</v>
      </c>
      <c r="E2092">
        <v>24</v>
      </c>
      <c r="F2092" s="2">
        <f>DATE(2026,IF(Tabla1[[#This Row],[Mes de Fecha]]="Septiembre",9,10),Tabla1[[#This Row],[Día de Fecha]])</f>
        <v>46289</v>
      </c>
      <c r="G2092">
        <v>1006842382</v>
      </c>
      <c r="H2092" t="s">
        <v>287</v>
      </c>
      <c r="I2092">
        <v>46</v>
      </c>
      <c r="J2092">
        <v>0</v>
      </c>
      <c r="K2092" s="1">
        <v>2804790</v>
      </c>
    </row>
    <row r="2093" spans="1:11" x14ac:dyDescent="0.25">
      <c r="A2093" t="s">
        <v>9</v>
      </c>
      <c r="B2093" t="s">
        <v>286</v>
      </c>
      <c r="C2093" t="s">
        <v>867</v>
      </c>
      <c r="D2093" t="s">
        <v>11</v>
      </c>
      <c r="E2093">
        <v>24</v>
      </c>
      <c r="F2093" s="2">
        <f>DATE(2026,IF(Tabla1[[#This Row],[Mes de Fecha]]="Septiembre",9,10),Tabla1[[#This Row],[Día de Fecha]])</f>
        <v>46289</v>
      </c>
      <c r="G2093">
        <v>1113311274</v>
      </c>
      <c r="H2093" t="s">
        <v>288</v>
      </c>
      <c r="I2093">
        <v>54</v>
      </c>
      <c r="J2093">
        <v>0</v>
      </c>
      <c r="K2093" s="1">
        <v>3170003</v>
      </c>
    </row>
    <row r="2094" spans="1:11" x14ac:dyDescent="0.25">
      <c r="A2094" t="s">
        <v>9</v>
      </c>
      <c r="B2094" t="s">
        <v>286</v>
      </c>
      <c r="C2094" t="s">
        <v>867</v>
      </c>
      <c r="D2094" t="s">
        <v>11</v>
      </c>
      <c r="E2094">
        <v>25</v>
      </c>
      <c r="F2094" s="2">
        <f>DATE(2026,IF(Tabla1[[#This Row],[Mes de Fecha]]="Septiembre",9,10),Tabla1[[#This Row],[Día de Fecha]])</f>
        <v>46290</v>
      </c>
      <c r="I2094">
        <v>0</v>
      </c>
      <c r="J2094" s="1">
        <v>12017118</v>
      </c>
      <c r="K2094">
        <v>0</v>
      </c>
    </row>
    <row r="2095" spans="1:11" x14ac:dyDescent="0.25">
      <c r="A2095" t="s">
        <v>9</v>
      </c>
      <c r="B2095" t="s">
        <v>286</v>
      </c>
      <c r="C2095" t="s">
        <v>867</v>
      </c>
      <c r="D2095" t="s">
        <v>11</v>
      </c>
      <c r="E2095">
        <v>25</v>
      </c>
      <c r="F2095" s="2">
        <f>DATE(2026,IF(Tabla1[[#This Row],[Mes de Fecha]]="Septiembre",9,10),Tabla1[[#This Row],[Día de Fecha]])</f>
        <v>46290</v>
      </c>
      <c r="G2095">
        <v>38756973</v>
      </c>
      <c r="H2095" t="s">
        <v>289</v>
      </c>
      <c r="I2095">
        <v>56</v>
      </c>
      <c r="J2095">
        <v>0</v>
      </c>
      <c r="K2095" s="1">
        <v>3560673</v>
      </c>
    </row>
    <row r="2096" spans="1:11" x14ac:dyDescent="0.25">
      <c r="A2096" t="s">
        <v>9</v>
      </c>
      <c r="B2096" t="s">
        <v>286</v>
      </c>
      <c r="C2096" t="s">
        <v>867</v>
      </c>
      <c r="D2096" t="s">
        <v>11</v>
      </c>
      <c r="E2096">
        <v>25</v>
      </c>
      <c r="F2096" s="2">
        <f>DATE(2026,IF(Tabla1[[#This Row],[Mes de Fecha]]="Septiembre",9,10),Tabla1[[#This Row],[Día de Fecha]])</f>
        <v>46290</v>
      </c>
      <c r="G2096">
        <v>1006842382</v>
      </c>
      <c r="H2096" t="s">
        <v>287</v>
      </c>
      <c r="I2096">
        <v>24</v>
      </c>
      <c r="J2096">
        <v>0</v>
      </c>
      <c r="K2096" s="1">
        <v>1599835</v>
      </c>
    </row>
    <row r="2097" spans="1:11" x14ac:dyDescent="0.25">
      <c r="A2097" t="s">
        <v>9</v>
      </c>
      <c r="B2097" t="s">
        <v>286</v>
      </c>
      <c r="C2097" t="s">
        <v>867</v>
      </c>
      <c r="D2097" t="s">
        <v>11</v>
      </c>
      <c r="E2097">
        <v>25</v>
      </c>
      <c r="F2097" s="2">
        <f>DATE(2026,IF(Tabla1[[#This Row],[Mes de Fecha]]="Septiembre",9,10),Tabla1[[#This Row],[Día de Fecha]])</f>
        <v>46290</v>
      </c>
      <c r="G2097">
        <v>1113311274</v>
      </c>
      <c r="H2097" t="s">
        <v>288</v>
      </c>
      <c r="I2097">
        <v>64</v>
      </c>
      <c r="J2097">
        <v>0</v>
      </c>
      <c r="K2097" s="1">
        <v>3476306</v>
      </c>
    </row>
    <row r="2098" spans="1:11" x14ac:dyDescent="0.25">
      <c r="A2098" t="s">
        <v>9</v>
      </c>
      <c r="B2098" t="s">
        <v>286</v>
      </c>
      <c r="C2098" t="s">
        <v>867</v>
      </c>
      <c r="D2098" t="s">
        <v>11</v>
      </c>
      <c r="E2098">
        <v>26</v>
      </c>
      <c r="F2098" s="2">
        <f>DATE(2026,IF(Tabla1[[#This Row],[Mes de Fecha]]="Septiembre",9,10),Tabla1[[#This Row],[Día de Fecha]])</f>
        <v>46291</v>
      </c>
      <c r="I2098">
        <v>0</v>
      </c>
      <c r="J2098" s="1">
        <v>15153284</v>
      </c>
      <c r="K2098">
        <v>0</v>
      </c>
    </row>
    <row r="2099" spans="1:11" x14ac:dyDescent="0.25">
      <c r="A2099" t="s">
        <v>9</v>
      </c>
      <c r="B2099" t="s">
        <v>286</v>
      </c>
      <c r="C2099" t="s">
        <v>867</v>
      </c>
      <c r="D2099" t="s">
        <v>11</v>
      </c>
      <c r="E2099">
        <v>26</v>
      </c>
      <c r="F2099" s="2">
        <f>DATE(2026,IF(Tabla1[[#This Row],[Mes de Fecha]]="Septiembre",9,10),Tabla1[[#This Row],[Día de Fecha]])</f>
        <v>46291</v>
      </c>
      <c r="G2099">
        <v>38756973</v>
      </c>
      <c r="H2099" t="s">
        <v>289</v>
      </c>
      <c r="I2099">
        <v>96</v>
      </c>
      <c r="J2099">
        <v>0</v>
      </c>
      <c r="K2099" s="1">
        <v>5823658</v>
      </c>
    </row>
    <row r="2100" spans="1:11" x14ac:dyDescent="0.25">
      <c r="A2100" t="s">
        <v>9</v>
      </c>
      <c r="B2100" t="s">
        <v>286</v>
      </c>
      <c r="C2100" t="s">
        <v>867</v>
      </c>
      <c r="D2100" t="s">
        <v>11</v>
      </c>
      <c r="E2100">
        <v>26</v>
      </c>
      <c r="F2100" s="2">
        <f>DATE(2026,IF(Tabla1[[#This Row],[Mes de Fecha]]="Septiembre",9,10),Tabla1[[#This Row],[Día de Fecha]])</f>
        <v>46291</v>
      </c>
      <c r="G2100">
        <v>1006842382</v>
      </c>
      <c r="H2100" t="s">
        <v>287</v>
      </c>
      <c r="I2100">
        <v>84</v>
      </c>
      <c r="J2100">
        <v>0</v>
      </c>
      <c r="K2100" s="1">
        <v>5202233</v>
      </c>
    </row>
    <row r="2101" spans="1:11" x14ac:dyDescent="0.25">
      <c r="A2101" t="s">
        <v>9</v>
      </c>
      <c r="B2101" t="s">
        <v>286</v>
      </c>
      <c r="C2101" t="s">
        <v>867</v>
      </c>
      <c r="D2101" t="s">
        <v>11</v>
      </c>
      <c r="E2101">
        <v>26</v>
      </c>
      <c r="F2101" s="2">
        <f>DATE(2026,IF(Tabla1[[#This Row],[Mes de Fecha]]="Septiembre",9,10),Tabla1[[#This Row],[Día de Fecha]])</f>
        <v>46291</v>
      </c>
      <c r="G2101">
        <v>1113311274</v>
      </c>
      <c r="H2101" t="s">
        <v>288</v>
      </c>
      <c r="I2101">
        <v>101</v>
      </c>
      <c r="J2101">
        <v>0</v>
      </c>
      <c r="K2101" s="1">
        <v>6386390</v>
      </c>
    </row>
    <row r="2102" spans="1:11" x14ac:dyDescent="0.25">
      <c r="A2102" t="s">
        <v>9</v>
      </c>
      <c r="B2102" t="s">
        <v>286</v>
      </c>
      <c r="C2102" t="s">
        <v>867</v>
      </c>
      <c r="D2102" t="s">
        <v>11</v>
      </c>
      <c r="E2102">
        <v>27</v>
      </c>
      <c r="F2102" s="2">
        <f>DATE(2026,IF(Tabla1[[#This Row],[Mes de Fecha]]="Septiembre",9,10),Tabla1[[#This Row],[Día de Fecha]])</f>
        <v>46292</v>
      </c>
      <c r="I2102">
        <v>0</v>
      </c>
      <c r="J2102" s="1">
        <v>8000788</v>
      </c>
      <c r="K2102">
        <v>0</v>
      </c>
    </row>
    <row r="2103" spans="1:11" x14ac:dyDescent="0.25">
      <c r="A2103" t="s">
        <v>9</v>
      </c>
      <c r="B2103" t="s">
        <v>286</v>
      </c>
      <c r="C2103" t="s">
        <v>867</v>
      </c>
      <c r="D2103" t="s">
        <v>11</v>
      </c>
      <c r="E2103">
        <v>27</v>
      </c>
      <c r="F2103" s="2">
        <f>DATE(2026,IF(Tabla1[[#This Row],[Mes de Fecha]]="Septiembre",9,10),Tabla1[[#This Row],[Día de Fecha]])</f>
        <v>46292</v>
      </c>
      <c r="G2103">
        <v>38756973</v>
      </c>
      <c r="H2103" t="s">
        <v>289</v>
      </c>
      <c r="I2103">
        <v>39</v>
      </c>
      <c r="J2103">
        <v>0</v>
      </c>
      <c r="K2103" s="1">
        <v>2414248</v>
      </c>
    </row>
    <row r="2104" spans="1:11" x14ac:dyDescent="0.25">
      <c r="A2104" t="s">
        <v>9</v>
      </c>
      <c r="B2104" t="s">
        <v>286</v>
      </c>
      <c r="C2104" t="s">
        <v>867</v>
      </c>
      <c r="D2104" t="s">
        <v>11</v>
      </c>
      <c r="E2104">
        <v>27</v>
      </c>
      <c r="F2104" s="2">
        <f>DATE(2026,IF(Tabla1[[#This Row],[Mes de Fecha]]="Septiembre",9,10),Tabla1[[#This Row],[Día de Fecha]])</f>
        <v>46292</v>
      </c>
      <c r="G2104">
        <v>1006842382</v>
      </c>
      <c r="H2104" t="s">
        <v>287</v>
      </c>
      <c r="I2104">
        <v>34</v>
      </c>
      <c r="J2104">
        <v>0</v>
      </c>
      <c r="K2104" s="1">
        <v>2156096</v>
      </c>
    </row>
    <row r="2105" spans="1:11" x14ac:dyDescent="0.25">
      <c r="A2105" t="s">
        <v>9</v>
      </c>
      <c r="B2105" t="s">
        <v>286</v>
      </c>
      <c r="C2105" t="s">
        <v>867</v>
      </c>
      <c r="D2105" t="s">
        <v>11</v>
      </c>
      <c r="E2105">
        <v>27</v>
      </c>
      <c r="F2105" s="2">
        <f>DATE(2026,IF(Tabla1[[#This Row],[Mes de Fecha]]="Septiembre",9,10),Tabla1[[#This Row],[Día de Fecha]])</f>
        <v>46292</v>
      </c>
      <c r="G2105">
        <v>1113311274</v>
      </c>
      <c r="H2105" t="s">
        <v>288</v>
      </c>
      <c r="I2105">
        <v>33</v>
      </c>
      <c r="J2105">
        <v>0</v>
      </c>
      <c r="K2105" s="1">
        <v>1992185</v>
      </c>
    </row>
    <row r="2106" spans="1:11" x14ac:dyDescent="0.25">
      <c r="A2106" t="s">
        <v>9</v>
      </c>
      <c r="B2106" t="s">
        <v>286</v>
      </c>
      <c r="C2106" t="s">
        <v>867</v>
      </c>
      <c r="D2106" t="s">
        <v>11</v>
      </c>
      <c r="E2106">
        <v>28</v>
      </c>
      <c r="F2106" s="2">
        <f>DATE(2026,IF(Tabla1[[#This Row],[Mes de Fecha]]="Septiembre",9,10),Tabla1[[#This Row],[Día de Fecha]])</f>
        <v>46293</v>
      </c>
      <c r="I2106">
        <v>0</v>
      </c>
      <c r="J2106" s="1">
        <v>6559776</v>
      </c>
      <c r="K2106">
        <v>0</v>
      </c>
    </row>
    <row r="2107" spans="1:11" x14ac:dyDescent="0.25">
      <c r="A2107" t="s">
        <v>9</v>
      </c>
      <c r="B2107" t="s">
        <v>286</v>
      </c>
      <c r="C2107" t="s">
        <v>867</v>
      </c>
      <c r="D2107" t="s">
        <v>11</v>
      </c>
      <c r="E2107">
        <v>28</v>
      </c>
      <c r="F2107" s="2">
        <f>DATE(2026,IF(Tabla1[[#This Row],[Mes de Fecha]]="Septiembre",9,10),Tabla1[[#This Row],[Día de Fecha]])</f>
        <v>46293</v>
      </c>
      <c r="G2107">
        <v>38756973</v>
      </c>
      <c r="H2107" t="s">
        <v>289</v>
      </c>
      <c r="I2107">
        <v>19</v>
      </c>
      <c r="J2107">
        <v>0</v>
      </c>
      <c r="K2107" s="1">
        <v>1131513</v>
      </c>
    </row>
    <row r="2108" spans="1:11" x14ac:dyDescent="0.25">
      <c r="A2108" t="s">
        <v>9</v>
      </c>
      <c r="B2108" t="s">
        <v>286</v>
      </c>
      <c r="C2108" t="s">
        <v>867</v>
      </c>
      <c r="D2108" t="s">
        <v>11</v>
      </c>
      <c r="E2108">
        <v>28</v>
      </c>
      <c r="F2108" s="2">
        <f>DATE(2026,IF(Tabla1[[#This Row],[Mes de Fecha]]="Septiembre",9,10),Tabla1[[#This Row],[Día de Fecha]])</f>
        <v>46293</v>
      </c>
      <c r="G2108">
        <v>1006842382</v>
      </c>
      <c r="H2108" t="s">
        <v>287</v>
      </c>
      <c r="I2108">
        <v>11</v>
      </c>
      <c r="J2108">
        <v>0</v>
      </c>
      <c r="K2108" s="1">
        <v>486934</v>
      </c>
    </row>
    <row r="2109" spans="1:11" x14ac:dyDescent="0.25">
      <c r="A2109" t="s">
        <v>9</v>
      </c>
      <c r="B2109" t="s">
        <v>286</v>
      </c>
      <c r="C2109" t="s">
        <v>867</v>
      </c>
      <c r="D2109" t="s">
        <v>11</v>
      </c>
      <c r="E2109">
        <v>28</v>
      </c>
      <c r="F2109" s="2">
        <f>DATE(2026,IF(Tabla1[[#This Row],[Mes de Fecha]]="Septiembre",9,10),Tabla1[[#This Row],[Día de Fecha]])</f>
        <v>46293</v>
      </c>
      <c r="G2109">
        <v>1113311274</v>
      </c>
      <c r="H2109" t="s">
        <v>288</v>
      </c>
      <c r="I2109">
        <v>43</v>
      </c>
      <c r="J2109">
        <v>0</v>
      </c>
      <c r="K2109" s="1">
        <v>2518908</v>
      </c>
    </row>
    <row r="2110" spans="1:11" x14ac:dyDescent="0.25">
      <c r="A2110" t="s">
        <v>9</v>
      </c>
      <c r="B2110" t="s">
        <v>286</v>
      </c>
      <c r="C2110" t="s">
        <v>867</v>
      </c>
      <c r="D2110" t="s">
        <v>11</v>
      </c>
      <c r="E2110">
        <v>29</v>
      </c>
      <c r="F2110" s="2">
        <f>DATE(2026,IF(Tabla1[[#This Row],[Mes de Fecha]]="Septiembre",9,10),Tabla1[[#This Row],[Día de Fecha]])</f>
        <v>46294</v>
      </c>
      <c r="I2110">
        <v>0</v>
      </c>
      <c r="J2110" s="1">
        <v>7292534</v>
      </c>
      <c r="K2110">
        <v>0</v>
      </c>
    </row>
    <row r="2111" spans="1:11" x14ac:dyDescent="0.25">
      <c r="A2111" t="s">
        <v>9</v>
      </c>
      <c r="B2111" t="s">
        <v>286</v>
      </c>
      <c r="C2111" t="s">
        <v>867</v>
      </c>
      <c r="D2111" t="s">
        <v>11</v>
      </c>
      <c r="E2111">
        <v>29</v>
      </c>
      <c r="F2111" s="2">
        <f>DATE(2026,IF(Tabla1[[#This Row],[Mes de Fecha]]="Septiembre",9,10),Tabla1[[#This Row],[Día de Fecha]])</f>
        <v>46294</v>
      </c>
      <c r="G2111">
        <v>38756973</v>
      </c>
      <c r="H2111" t="s">
        <v>289</v>
      </c>
      <c r="I2111">
        <v>23</v>
      </c>
      <c r="J2111">
        <v>0</v>
      </c>
      <c r="K2111" s="1">
        <v>1162775</v>
      </c>
    </row>
    <row r="2112" spans="1:11" x14ac:dyDescent="0.25">
      <c r="A2112" t="s">
        <v>9</v>
      </c>
      <c r="B2112" t="s">
        <v>286</v>
      </c>
      <c r="C2112" t="s">
        <v>867</v>
      </c>
      <c r="D2112" t="s">
        <v>11</v>
      </c>
      <c r="E2112">
        <v>29</v>
      </c>
      <c r="F2112" s="2">
        <f>DATE(2026,IF(Tabla1[[#This Row],[Mes de Fecha]]="Septiembre",9,10),Tabla1[[#This Row],[Día de Fecha]])</f>
        <v>46294</v>
      </c>
      <c r="G2112">
        <v>1006842382</v>
      </c>
      <c r="H2112" t="s">
        <v>287</v>
      </c>
      <c r="I2112">
        <v>25</v>
      </c>
      <c r="J2112">
        <v>0</v>
      </c>
      <c r="K2112" s="1">
        <v>1225346</v>
      </c>
    </row>
    <row r="2113" spans="1:11" x14ac:dyDescent="0.25">
      <c r="A2113" t="s">
        <v>9</v>
      </c>
      <c r="B2113" t="s">
        <v>286</v>
      </c>
      <c r="C2113" t="s">
        <v>867</v>
      </c>
      <c r="D2113" t="s">
        <v>11</v>
      </c>
      <c r="E2113">
        <v>29</v>
      </c>
      <c r="F2113" s="2">
        <f>DATE(2026,IF(Tabla1[[#This Row],[Mes de Fecha]]="Septiembre",9,10),Tabla1[[#This Row],[Día de Fecha]])</f>
        <v>46294</v>
      </c>
      <c r="G2113">
        <v>1113311274</v>
      </c>
      <c r="H2113" t="s">
        <v>288</v>
      </c>
      <c r="I2113">
        <v>43</v>
      </c>
      <c r="J2113">
        <v>0</v>
      </c>
      <c r="K2113" s="1">
        <v>2733360</v>
      </c>
    </row>
    <row r="2114" spans="1:11" x14ac:dyDescent="0.25">
      <c r="A2114" t="s">
        <v>9</v>
      </c>
      <c r="B2114" t="s">
        <v>286</v>
      </c>
      <c r="C2114" t="s">
        <v>867</v>
      </c>
      <c r="D2114" t="s">
        <v>11</v>
      </c>
      <c r="E2114">
        <v>30</v>
      </c>
      <c r="F2114" s="2">
        <f>DATE(2026,IF(Tabla1[[#This Row],[Mes de Fecha]]="Septiembre",9,10),Tabla1[[#This Row],[Día de Fecha]])</f>
        <v>46295</v>
      </c>
      <c r="I2114">
        <v>0</v>
      </c>
      <c r="J2114" s="1">
        <v>7723021</v>
      </c>
      <c r="K2114">
        <v>0</v>
      </c>
    </row>
    <row r="2115" spans="1:11" x14ac:dyDescent="0.25">
      <c r="A2115" t="s">
        <v>9</v>
      </c>
      <c r="B2115" t="s">
        <v>286</v>
      </c>
      <c r="C2115" t="s">
        <v>867</v>
      </c>
      <c r="D2115" t="s">
        <v>11</v>
      </c>
      <c r="E2115">
        <v>30</v>
      </c>
      <c r="F2115" s="2">
        <f>DATE(2026,IF(Tabla1[[#This Row],[Mes de Fecha]]="Septiembre",9,10),Tabla1[[#This Row],[Día de Fecha]])</f>
        <v>46295</v>
      </c>
      <c r="G2115">
        <v>38756973</v>
      </c>
      <c r="H2115" t="s">
        <v>289</v>
      </c>
      <c r="I2115">
        <v>20</v>
      </c>
      <c r="J2115">
        <v>0</v>
      </c>
      <c r="K2115" s="1">
        <v>1284874</v>
      </c>
    </row>
    <row r="2116" spans="1:11" x14ac:dyDescent="0.25">
      <c r="A2116" t="s">
        <v>9</v>
      </c>
      <c r="B2116" t="s">
        <v>286</v>
      </c>
      <c r="C2116" t="s">
        <v>867</v>
      </c>
      <c r="D2116" t="s">
        <v>11</v>
      </c>
      <c r="E2116">
        <v>30</v>
      </c>
      <c r="F2116" s="2">
        <f>DATE(2026,IF(Tabla1[[#This Row],[Mes de Fecha]]="Septiembre",9,10),Tabla1[[#This Row],[Día de Fecha]])</f>
        <v>46295</v>
      </c>
      <c r="G2116">
        <v>1006842382</v>
      </c>
      <c r="H2116" t="s">
        <v>287</v>
      </c>
      <c r="I2116">
        <v>15</v>
      </c>
      <c r="J2116">
        <v>0</v>
      </c>
      <c r="K2116" s="1">
        <v>953109</v>
      </c>
    </row>
    <row r="2117" spans="1:11" x14ac:dyDescent="0.25">
      <c r="A2117" t="s">
        <v>9</v>
      </c>
      <c r="B2117" t="s">
        <v>286</v>
      </c>
      <c r="C2117" t="s">
        <v>867</v>
      </c>
      <c r="D2117" t="s">
        <v>11</v>
      </c>
      <c r="E2117">
        <v>30</v>
      </c>
      <c r="F2117" s="2">
        <f>DATE(2026,IF(Tabla1[[#This Row],[Mes de Fecha]]="Septiembre",9,10),Tabla1[[#This Row],[Día de Fecha]])</f>
        <v>46295</v>
      </c>
      <c r="G2117">
        <v>1113311274</v>
      </c>
      <c r="H2117" t="s">
        <v>288</v>
      </c>
      <c r="I2117">
        <v>38</v>
      </c>
      <c r="J2117">
        <v>0</v>
      </c>
      <c r="K2117" s="1">
        <v>2288152</v>
      </c>
    </row>
    <row r="2118" spans="1:11" x14ac:dyDescent="0.25">
      <c r="A2118" t="s">
        <v>9</v>
      </c>
      <c r="B2118" t="s">
        <v>286</v>
      </c>
      <c r="C2118" t="s">
        <v>867</v>
      </c>
      <c r="D2118" t="s">
        <v>14</v>
      </c>
      <c r="E2118">
        <v>1</v>
      </c>
      <c r="F2118" s="2">
        <f>DATE(2026,IF(Tabla1[[#This Row],[Mes de Fecha]]="Septiembre",9,10),Tabla1[[#This Row],[Día de Fecha]])</f>
        <v>46296</v>
      </c>
      <c r="I2118">
        <v>0</v>
      </c>
      <c r="J2118" s="1">
        <v>9590913</v>
      </c>
      <c r="K2118">
        <v>0</v>
      </c>
    </row>
    <row r="2119" spans="1:11" x14ac:dyDescent="0.25">
      <c r="A2119" t="s">
        <v>9</v>
      </c>
      <c r="B2119" t="s">
        <v>286</v>
      </c>
      <c r="C2119" t="s">
        <v>867</v>
      </c>
      <c r="D2119" t="s">
        <v>14</v>
      </c>
      <c r="E2119">
        <v>1</v>
      </c>
      <c r="F2119" s="2">
        <f>DATE(2026,IF(Tabla1[[#This Row],[Mes de Fecha]]="Septiembre",9,10),Tabla1[[#This Row],[Día de Fecha]])</f>
        <v>46296</v>
      </c>
      <c r="G2119">
        <v>38756973</v>
      </c>
      <c r="H2119" t="s">
        <v>289</v>
      </c>
      <c r="I2119">
        <v>47</v>
      </c>
      <c r="J2119">
        <v>0</v>
      </c>
      <c r="K2119" s="1">
        <v>2598783</v>
      </c>
    </row>
    <row r="2120" spans="1:11" x14ac:dyDescent="0.25">
      <c r="A2120" t="s">
        <v>9</v>
      </c>
      <c r="B2120" t="s">
        <v>286</v>
      </c>
      <c r="C2120" t="s">
        <v>867</v>
      </c>
      <c r="D2120" t="s">
        <v>14</v>
      </c>
      <c r="E2120">
        <v>1</v>
      </c>
      <c r="F2120" s="2">
        <f>DATE(2026,IF(Tabla1[[#This Row],[Mes de Fecha]]="Septiembre",9,10),Tabla1[[#This Row],[Día de Fecha]])</f>
        <v>46296</v>
      </c>
      <c r="G2120">
        <v>1006842382</v>
      </c>
      <c r="H2120" t="s">
        <v>287</v>
      </c>
      <c r="I2120">
        <v>25</v>
      </c>
      <c r="J2120">
        <v>0</v>
      </c>
      <c r="K2120" s="1">
        <v>1507353</v>
      </c>
    </row>
    <row r="2121" spans="1:11" x14ac:dyDescent="0.25">
      <c r="A2121" t="s">
        <v>9</v>
      </c>
      <c r="B2121" t="s">
        <v>286</v>
      </c>
      <c r="C2121" t="s">
        <v>867</v>
      </c>
      <c r="D2121" t="s">
        <v>14</v>
      </c>
      <c r="E2121">
        <v>1</v>
      </c>
      <c r="F2121" s="2">
        <f>DATE(2026,IF(Tabla1[[#This Row],[Mes de Fecha]]="Septiembre",9,10),Tabla1[[#This Row],[Día de Fecha]])</f>
        <v>46296</v>
      </c>
      <c r="G2121">
        <v>1113311274</v>
      </c>
      <c r="H2121" t="s">
        <v>288</v>
      </c>
      <c r="I2121">
        <v>17</v>
      </c>
      <c r="J2121">
        <v>0</v>
      </c>
      <c r="K2121" s="1">
        <v>1104328</v>
      </c>
    </row>
    <row r="2122" spans="1:11" x14ac:dyDescent="0.25">
      <c r="A2122" t="s">
        <v>9</v>
      </c>
      <c r="B2122" t="s">
        <v>286</v>
      </c>
      <c r="C2122" t="s">
        <v>867</v>
      </c>
      <c r="D2122" t="s">
        <v>14</v>
      </c>
      <c r="E2122">
        <v>2</v>
      </c>
      <c r="F2122" s="2">
        <f>DATE(2026,IF(Tabla1[[#This Row],[Mes de Fecha]]="Septiembre",9,10),Tabla1[[#This Row],[Día de Fecha]])</f>
        <v>46297</v>
      </c>
      <c r="I2122">
        <v>0</v>
      </c>
      <c r="J2122" s="1">
        <v>12787459</v>
      </c>
      <c r="K2122">
        <v>0</v>
      </c>
    </row>
    <row r="2123" spans="1:11" x14ac:dyDescent="0.25">
      <c r="A2123" t="s">
        <v>9</v>
      </c>
      <c r="B2123" t="s">
        <v>286</v>
      </c>
      <c r="C2123" t="s">
        <v>867</v>
      </c>
      <c r="D2123" t="s">
        <v>14</v>
      </c>
      <c r="E2123">
        <v>2</v>
      </c>
      <c r="F2123" s="2">
        <f>DATE(2026,IF(Tabla1[[#This Row],[Mes de Fecha]]="Septiembre",9,10),Tabla1[[#This Row],[Día de Fecha]])</f>
        <v>46297</v>
      </c>
      <c r="G2123">
        <v>38756973</v>
      </c>
      <c r="H2123" t="s">
        <v>289</v>
      </c>
      <c r="I2123">
        <v>37</v>
      </c>
      <c r="J2123">
        <v>0</v>
      </c>
      <c r="K2123" s="1">
        <v>2271473</v>
      </c>
    </row>
    <row r="2124" spans="1:11" x14ac:dyDescent="0.25">
      <c r="A2124" t="s">
        <v>9</v>
      </c>
      <c r="B2124" t="s">
        <v>286</v>
      </c>
      <c r="C2124" t="s">
        <v>867</v>
      </c>
      <c r="D2124" t="s">
        <v>14</v>
      </c>
      <c r="E2124">
        <v>2</v>
      </c>
      <c r="F2124" s="2">
        <f>DATE(2026,IF(Tabla1[[#This Row],[Mes de Fecha]]="Septiembre",9,10),Tabla1[[#This Row],[Día de Fecha]])</f>
        <v>46297</v>
      </c>
      <c r="G2124">
        <v>1006842382</v>
      </c>
      <c r="H2124" t="s">
        <v>287</v>
      </c>
      <c r="I2124">
        <v>28</v>
      </c>
      <c r="J2124">
        <v>0</v>
      </c>
      <c r="K2124" s="1">
        <v>1914746</v>
      </c>
    </row>
    <row r="2125" spans="1:11" x14ac:dyDescent="0.25">
      <c r="A2125" t="s">
        <v>9</v>
      </c>
      <c r="B2125" t="s">
        <v>286</v>
      </c>
      <c r="C2125" t="s">
        <v>867</v>
      </c>
      <c r="D2125" t="s">
        <v>14</v>
      </c>
      <c r="E2125">
        <v>2</v>
      </c>
      <c r="F2125" s="2">
        <f>DATE(2026,IF(Tabla1[[#This Row],[Mes de Fecha]]="Septiembre",9,10),Tabla1[[#This Row],[Día de Fecha]])</f>
        <v>46297</v>
      </c>
      <c r="G2125">
        <v>1113311274</v>
      </c>
      <c r="H2125" t="s">
        <v>288</v>
      </c>
      <c r="I2125">
        <v>34</v>
      </c>
      <c r="J2125">
        <v>0</v>
      </c>
      <c r="K2125" s="1">
        <v>2532186</v>
      </c>
    </row>
    <row r="2126" spans="1:11" x14ac:dyDescent="0.25">
      <c r="A2126" t="s">
        <v>9</v>
      </c>
      <c r="B2126" t="s">
        <v>286</v>
      </c>
      <c r="C2126" t="s">
        <v>867</v>
      </c>
      <c r="D2126" t="s">
        <v>14</v>
      </c>
      <c r="E2126">
        <v>3</v>
      </c>
      <c r="F2126" s="2">
        <f>DATE(2026,IF(Tabla1[[#This Row],[Mes de Fecha]]="Septiembre",9,10),Tabla1[[#This Row],[Día de Fecha]])</f>
        <v>46298</v>
      </c>
      <c r="I2126">
        <v>0</v>
      </c>
      <c r="J2126" s="1">
        <v>18189591</v>
      </c>
      <c r="K2126">
        <v>0</v>
      </c>
    </row>
    <row r="2127" spans="1:11" x14ac:dyDescent="0.25">
      <c r="A2127" t="s">
        <v>9</v>
      </c>
      <c r="B2127" t="s">
        <v>286</v>
      </c>
      <c r="C2127" t="s">
        <v>867</v>
      </c>
      <c r="D2127" t="s">
        <v>14</v>
      </c>
      <c r="E2127">
        <v>3</v>
      </c>
      <c r="F2127" s="2">
        <f>DATE(2026,IF(Tabla1[[#This Row],[Mes de Fecha]]="Septiembre",9,10),Tabla1[[#This Row],[Día de Fecha]])</f>
        <v>46298</v>
      </c>
      <c r="G2127">
        <v>38756973</v>
      </c>
      <c r="H2127" t="s">
        <v>289</v>
      </c>
      <c r="I2127">
        <v>59</v>
      </c>
      <c r="J2127">
        <v>0</v>
      </c>
      <c r="K2127" s="1">
        <v>3482447</v>
      </c>
    </row>
    <row r="2128" spans="1:11" x14ac:dyDescent="0.25">
      <c r="A2128" t="s">
        <v>9</v>
      </c>
      <c r="B2128" t="s">
        <v>286</v>
      </c>
      <c r="C2128" t="s">
        <v>867</v>
      </c>
      <c r="D2128" t="s">
        <v>14</v>
      </c>
      <c r="E2128">
        <v>3</v>
      </c>
      <c r="F2128" s="2">
        <f>DATE(2026,IF(Tabla1[[#This Row],[Mes de Fecha]]="Septiembre",9,10),Tabla1[[#This Row],[Día de Fecha]])</f>
        <v>46298</v>
      </c>
      <c r="G2128">
        <v>1006842382</v>
      </c>
      <c r="H2128" t="s">
        <v>287</v>
      </c>
      <c r="I2128">
        <v>56</v>
      </c>
      <c r="J2128">
        <v>0</v>
      </c>
      <c r="K2128" s="1">
        <v>3122550</v>
      </c>
    </row>
    <row r="2129" spans="1:11" x14ac:dyDescent="0.25">
      <c r="A2129" t="s">
        <v>9</v>
      </c>
      <c r="B2129" t="s">
        <v>286</v>
      </c>
      <c r="C2129" t="s">
        <v>867</v>
      </c>
      <c r="D2129" t="s">
        <v>14</v>
      </c>
      <c r="E2129">
        <v>3</v>
      </c>
      <c r="F2129" s="2">
        <f>DATE(2026,IF(Tabla1[[#This Row],[Mes de Fecha]]="Septiembre",9,10),Tabla1[[#This Row],[Día de Fecha]])</f>
        <v>46298</v>
      </c>
      <c r="G2129">
        <v>1113311274</v>
      </c>
      <c r="H2129" t="s">
        <v>288</v>
      </c>
      <c r="I2129">
        <v>78</v>
      </c>
      <c r="J2129">
        <v>0</v>
      </c>
      <c r="K2129" s="1">
        <v>4583727</v>
      </c>
    </row>
    <row r="2130" spans="1:11" x14ac:dyDescent="0.25">
      <c r="A2130" t="s">
        <v>9</v>
      </c>
      <c r="B2130" t="s">
        <v>286</v>
      </c>
      <c r="C2130" t="s">
        <v>867</v>
      </c>
      <c r="D2130" t="s">
        <v>14</v>
      </c>
      <c r="E2130">
        <v>4</v>
      </c>
      <c r="F2130" s="2">
        <f>DATE(2026,IF(Tabla1[[#This Row],[Mes de Fecha]]="Septiembre",9,10),Tabla1[[#This Row],[Día de Fecha]])</f>
        <v>46299</v>
      </c>
      <c r="I2130">
        <v>0</v>
      </c>
      <c r="J2130" s="1">
        <v>7482942</v>
      </c>
      <c r="K2130">
        <v>0</v>
      </c>
    </row>
    <row r="2131" spans="1:11" x14ac:dyDescent="0.25">
      <c r="A2131" t="s">
        <v>9</v>
      </c>
      <c r="B2131" t="s">
        <v>286</v>
      </c>
      <c r="C2131" t="s">
        <v>867</v>
      </c>
      <c r="D2131" t="s">
        <v>14</v>
      </c>
      <c r="E2131">
        <v>4</v>
      </c>
      <c r="F2131" s="2">
        <f>DATE(2026,IF(Tabla1[[#This Row],[Mes de Fecha]]="Septiembre",9,10),Tabla1[[#This Row],[Día de Fecha]])</f>
        <v>46299</v>
      </c>
      <c r="G2131">
        <v>38756973</v>
      </c>
      <c r="H2131" t="s">
        <v>289</v>
      </c>
      <c r="I2131">
        <v>28</v>
      </c>
      <c r="J2131">
        <v>0</v>
      </c>
      <c r="K2131" s="1">
        <v>1564271</v>
      </c>
    </row>
    <row r="2132" spans="1:11" x14ac:dyDescent="0.25">
      <c r="A2132" t="s">
        <v>9</v>
      </c>
      <c r="B2132" t="s">
        <v>286</v>
      </c>
      <c r="C2132" t="s">
        <v>867</v>
      </c>
      <c r="D2132" t="s">
        <v>14</v>
      </c>
      <c r="E2132">
        <v>4</v>
      </c>
      <c r="F2132" s="2">
        <f>DATE(2026,IF(Tabla1[[#This Row],[Mes de Fecha]]="Septiembre",9,10),Tabla1[[#This Row],[Día de Fecha]])</f>
        <v>46299</v>
      </c>
      <c r="G2132">
        <v>1006842382</v>
      </c>
      <c r="H2132" t="s">
        <v>287</v>
      </c>
      <c r="I2132">
        <v>27</v>
      </c>
      <c r="J2132">
        <v>0</v>
      </c>
      <c r="K2132" s="1">
        <v>1505043</v>
      </c>
    </row>
    <row r="2133" spans="1:11" x14ac:dyDescent="0.25">
      <c r="A2133" t="s">
        <v>9</v>
      </c>
      <c r="B2133" t="s">
        <v>286</v>
      </c>
      <c r="C2133" t="s">
        <v>867</v>
      </c>
      <c r="D2133" t="s">
        <v>14</v>
      </c>
      <c r="E2133">
        <v>4</v>
      </c>
      <c r="F2133" s="2">
        <f>DATE(2026,IF(Tabla1[[#This Row],[Mes de Fecha]]="Septiembre",9,10),Tabla1[[#This Row],[Día de Fecha]])</f>
        <v>46299</v>
      </c>
      <c r="G2133">
        <v>1113311274</v>
      </c>
      <c r="H2133" t="s">
        <v>288</v>
      </c>
      <c r="I2133">
        <v>59</v>
      </c>
      <c r="J2133">
        <v>0</v>
      </c>
      <c r="K2133" s="1">
        <v>3610801</v>
      </c>
    </row>
    <row r="2134" spans="1:11" x14ac:dyDescent="0.25">
      <c r="A2134" t="s">
        <v>9</v>
      </c>
      <c r="B2134" t="s">
        <v>286</v>
      </c>
      <c r="C2134" t="s">
        <v>867</v>
      </c>
      <c r="D2134" t="s">
        <v>14</v>
      </c>
      <c r="E2134">
        <v>5</v>
      </c>
      <c r="F2134" s="2">
        <f>DATE(2026,IF(Tabla1[[#This Row],[Mes de Fecha]]="Septiembre",9,10),Tabla1[[#This Row],[Día de Fecha]])</f>
        <v>46300</v>
      </c>
      <c r="I2134">
        <v>0</v>
      </c>
      <c r="J2134" s="1">
        <v>7049840</v>
      </c>
      <c r="K2134">
        <v>0</v>
      </c>
    </row>
    <row r="2135" spans="1:11" x14ac:dyDescent="0.25">
      <c r="A2135" t="s">
        <v>9</v>
      </c>
      <c r="B2135" t="s">
        <v>286</v>
      </c>
      <c r="C2135" t="s">
        <v>867</v>
      </c>
      <c r="D2135" t="s">
        <v>14</v>
      </c>
      <c r="E2135">
        <v>5</v>
      </c>
      <c r="F2135" s="2">
        <f>DATE(2026,IF(Tabla1[[#This Row],[Mes de Fecha]]="Septiembre",9,10),Tabla1[[#This Row],[Día de Fecha]])</f>
        <v>46300</v>
      </c>
      <c r="G2135">
        <v>38756973</v>
      </c>
      <c r="H2135" t="s">
        <v>289</v>
      </c>
      <c r="I2135">
        <v>2</v>
      </c>
      <c r="J2135">
        <v>0</v>
      </c>
      <c r="K2135" s="1">
        <v>41934</v>
      </c>
    </row>
    <row r="2136" spans="1:11" x14ac:dyDescent="0.25">
      <c r="A2136" t="s">
        <v>9</v>
      </c>
      <c r="B2136" t="s">
        <v>286</v>
      </c>
      <c r="C2136" t="s">
        <v>867</v>
      </c>
      <c r="D2136" t="s">
        <v>14</v>
      </c>
      <c r="E2136">
        <v>5</v>
      </c>
      <c r="F2136" s="2">
        <f>DATE(2026,IF(Tabla1[[#This Row],[Mes de Fecha]]="Septiembre",9,10),Tabla1[[#This Row],[Día de Fecha]])</f>
        <v>46300</v>
      </c>
      <c r="G2136">
        <v>1006842382</v>
      </c>
      <c r="H2136" t="s">
        <v>287</v>
      </c>
      <c r="I2136">
        <v>50</v>
      </c>
      <c r="J2136">
        <v>0</v>
      </c>
      <c r="K2136" s="1">
        <v>2924332</v>
      </c>
    </row>
    <row r="2137" spans="1:11" x14ac:dyDescent="0.25">
      <c r="A2137" t="s">
        <v>9</v>
      </c>
      <c r="B2137" t="s">
        <v>286</v>
      </c>
      <c r="C2137" t="s">
        <v>867</v>
      </c>
      <c r="D2137" t="s">
        <v>14</v>
      </c>
      <c r="E2137">
        <v>5</v>
      </c>
      <c r="F2137" s="2">
        <f>DATE(2026,IF(Tabla1[[#This Row],[Mes de Fecha]]="Septiembre",9,10),Tabla1[[#This Row],[Día de Fecha]])</f>
        <v>46300</v>
      </c>
      <c r="G2137">
        <v>1113311274</v>
      </c>
      <c r="H2137" t="s">
        <v>288</v>
      </c>
      <c r="I2137">
        <v>54</v>
      </c>
      <c r="J2137">
        <v>0</v>
      </c>
      <c r="K2137" s="1">
        <v>3432568</v>
      </c>
    </row>
    <row r="2138" spans="1:11" x14ac:dyDescent="0.25">
      <c r="A2138" t="s">
        <v>9</v>
      </c>
      <c r="B2138" t="s">
        <v>286</v>
      </c>
      <c r="C2138" t="s">
        <v>867</v>
      </c>
      <c r="D2138" t="s">
        <v>14</v>
      </c>
      <c r="E2138">
        <v>6</v>
      </c>
      <c r="F2138" s="2">
        <f>DATE(2026,IF(Tabla1[[#This Row],[Mes de Fecha]]="Septiembre",9,10),Tabla1[[#This Row],[Día de Fecha]])</f>
        <v>46301</v>
      </c>
      <c r="I2138">
        <v>0</v>
      </c>
      <c r="J2138" s="1">
        <v>4845282</v>
      </c>
      <c r="K2138">
        <v>0</v>
      </c>
    </row>
    <row r="2139" spans="1:11" x14ac:dyDescent="0.25">
      <c r="A2139" t="s">
        <v>9</v>
      </c>
      <c r="B2139" t="s">
        <v>286</v>
      </c>
      <c r="C2139" t="s">
        <v>867</v>
      </c>
      <c r="D2139" t="s">
        <v>14</v>
      </c>
      <c r="E2139">
        <v>6</v>
      </c>
      <c r="F2139" s="2">
        <f>DATE(2026,IF(Tabla1[[#This Row],[Mes de Fecha]]="Septiembre",9,10),Tabla1[[#This Row],[Día de Fecha]])</f>
        <v>46301</v>
      </c>
      <c r="G2139">
        <v>38756973</v>
      </c>
      <c r="H2139" t="s">
        <v>289</v>
      </c>
      <c r="I2139">
        <v>45</v>
      </c>
      <c r="J2139">
        <v>0</v>
      </c>
      <c r="K2139" s="1">
        <v>2756873</v>
      </c>
    </row>
    <row r="2140" spans="1:11" x14ac:dyDescent="0.25">
      <c r="A2140" t="s">
        <v>9</v>
      </c>
      <c r="B2140" t="s">
        <v>286</v>
      </c>
      <c r="C2140" t="s">
        <v>867</v>
      </c>
      <c r="D2140" t="s">
        <v>14</v>
      </c>
      <c r="E2140">
        <v>6</v>
      </c>
      <c r="F2140" s="2">
        <f>DATE(2026,IF(Tabla1[[#This Row],[Mes de Fecha]]="Septiembre",9,10),Tabla1[[#This Row],[Día de Fecha]])</f>
        <v>46301</v>
      </c>
      <c r="G2140">
        <v>1006842382</v>
      </c>
      <c r="H2140" t="s">
        <v>287</v>
      </c>
      <c r="I2140">
        <v>30</v>
      </c>
      <c r="J2140">
        <v>0</v>
      </c>
      <c r="K2140" s="1">
        <v>1612186</v>
      </c>
    </row>
    <row r="2141" spans="1:11" x14ac:dyDescent="0.25">
      <c r="A2141" t="s">
        <v>9</v>
      </c>
      <c r="B2141" t="s">
        <v>286</v>
      </c>
      <c r="C2141" t="s">
        <v>867</v>
      </c>
      <c r="D2141" t="s">
        <v>14</v>
      </c>
      <c r="E2141">
        <v>6</v>
      </c>
      <c r="F2141" s="2">
        <f>DATE(2026,IF(Tabla1[[#This Row],[Mes de Fecha]]="Septiembre",9,10),Tabla1[[#This Row],[Día de Fecha]])</f>
        <v>46301</v>
      </c>
      <c r="G2141">
        <v>1113311274</v>
      </c>
      <c r="H2141" t="s">
        <v>288</v>
      </c>
      <c r="I2141">
        <v>0</v>
      </c>
      <c r="J2141">
        <v>0</v>
      </c>
      <c r="K2141" s="1">
        <v>4202</v>
      </c>
    </row>
    <row r="2142" spans="1:11" x14ac:dyDescent="0.25">
      <c r="A2142" t="s">
        <v>9</v>
      </c>
      <c r="B2142" t="s">
        <v>286</v>
      </c>
      <c r="C2142" t="s">
        <v>867</v>
      </c>
      <c r="D2142" t="s">
        <v>14</v>
      </c>
      <c r="E2142">
        <v>7</v>
      </c>
      <c r="F2142" s="2">
        <f>DATE(2026,IF(Tabla1[[#This Row],[Mes de Fecha]]="Septiembre",9,10),Tabla1[[#This Row],[Día de Fecha]])</f>
        <v>46302</v>
      </c>
      <c r="I2142">
        <v>0</v>
      </c>
      <c r="J2142" s="1">
        <v>1570579</v>
      </c>
      <c r="K2142">
        <v>0</v>
      </c>
    </row>
    <row r="2143" spans="1:11" x14ac:dyDescent="0.25">
      <c r="A2143" t="s">
        <v>9</v>
      </c>
      <c r="B2143" t="s">
        <v>286</v>
      </c>
      <c r="C2143" t="s">
        <v>867</v>
      </c>
      <c r="D2143" t="s">
        <v>14</v>
      </c>
      <c r="E2143">
        <v>7</v>
      </c>
      <c r="F2143" s="2">
        <f>DATE(2026,IF(Tabla1[[#This Row],[Mes de Fecha]]="Septiembre",9,10),Tabla1[[#This Row],[Día de Fecha]])</f>
        <v>46302</v>
      </c>
      <c r="G2143">
        <v>38756973</v>
      </c>
      <c r="H2143" t="s">
        <v>289</v>
      </c>
      <c r="I2143">
        <v>11</v>
      </c>
      <c r="J2143">
        <v>0</v>
      </c>
      <c r="K2143" s="1">
        <v>531009</v>
      </c>
    </row>
    <row r="2144" spans="1:11" x14ac:dyDescent="0.25">
      <c r="A2144" t="s">
        <v>9</v>
      </c>
      <c r="B2144" t="s">
        <v>286</v>
      </c>
      <c r="C2144" t="s">
        <v>867</v>
      </c>
      <c r="D2144" t="s">
        <v>14</v>
      </c>
      <c r="E2144">
        <v>7</v>
      </c>
      <c r="F2144" s="2">
        <f>DATE(2026,IF(Tabla1[[#This Row],[Mes de Fecha]]="Septiembre",9,10),Tabla1[[#This Row],[Día de Fecha]])</f>
        <v>46302</v>
      </c>
      <c r="G2144">
        <v>1006842382</v>
      </c>
      <c r="H2144" t="s">
        <v>287</v>
      </c>
      <c r="I2144">
        <v>15</v>
      </c>
      <c r="J2144">
        <v>0</v>
      </c>
      <c r="K2144" s="1">
        <v>839664</v>
      </c>
    </row>
    <row r="2145" spans="1:11" x14ac:dyDescent="0.25">
      <c r="A2145" t="s">
        <v>9</v>
      </c>
      <c r="B2145" t="s">
        <v>286</v>
      </c>
      <c r="C2145" t="s">
        <v>867</v>
      </c>
      <c r="D2145" t="s">
        <v>14</v>
      </c>
      <c r="E2145">
        <v>7</v>
      </c>
      <c r="F2145" s="2">
        <f>DATE(2026,IF(Tabla1[[#This Row],[Mes de Fecha]]="Septiembre",9,10),Tabla1[[#This Row],[Día de Fecha]])</f>
        <v>46302</v>
      </c>
      <c r="G2145">
        <v>1113311274</v>
      </c>
      <c r="H2145" t="s">
        <v>288</v>
      </c>
      <c r="I2145">
        <v>19</v>
      </c>
      <c r="J2145">
        <v>0</v>
      </c>
      <c r="K2145" s="1">
        <v>1329032</v>
      </c>
    </row>
    <row r="2146" spans="1:11" x14ac:dyDescent="0.25">
      <c r="A2146" t="s">
        <v>9</v>
      </c>
      <c r="B2146" t="s">
        <v>305</v>
      </c>
      <c r="C2146" t="s">
        <v>867</v>
      </c>
      <c r="D2146" t="s">
        <v>11</v>
      </c>
      <c r="E2146">
        <v>23</v>
      </c>
      <c r="F2146" s="2">
        <f>DATE(2026,IF(Tabla1[[#This Row],[Mes de Fecha]]="Septiembre",9,10),Tabla1[[#This Row],[Día de Fecha]])</f>
        <v>46288</v>
      </c>
      <c r="I2146">
        <v>0</v>
      </c>
      <c r="J2146" s="1">
        <v>6435996</v>
      </c>
      <c r="K2146">
        <v>0</v>
      </c>
    </row>
    <row r="2147" spans="1:11" x14ac:dyDescent="0.25">
      <c r="A2147" t="s">
        <v>9</v>
      </c>
      <c r="B2147" t="s">
        <v>305</v>
      </c>
      <c r="C2147" t="s">
        <v>867</v>
      </c>
      <c r="D2147" t="s">
        <v>11</v>
      </c>
      <c r="E2147">
        <v>23</v>
      </c>
      <c r="F2147" s="2">
        <f>DATE(2026,IF(Tabla1[[#This Row],[Mes de Fecha]]="Septiembre",9,10),Tabla1[[#This Row],[Día de Fecha]])</f>
        <v>46288</v>
      </c>
      <c r="G2147">
        <v>1094911295</v>
      </c>
      <c r="I2147">
        <v>76</v>
      </c>
      <c r="J2147">
        <v>0</v>
      </c>
      <c r="K2147" s="1">
        <v>3931643</v>
      </c>
    </row>
    <row r="2148" spans="1:11" x14ac:dyDescent="0.25">
      <c r="A2148" t="s">
        <v>9</v>
      </c>
      <c r="B2148" t="s">
        <v>305</v>
      </c>
      <c r="C2148" t="s">
        <v>867</v>
      </c>
      <c r="D2148" t="s">
        <v>11</v>
      </c>
      <c r="E2148">
        <v>23</v>
      </c>
      <c r="F2148" s="2">
        <f>DATE(2026,IF(Tabla1[[#This Row],[Mes de Fecha]]="Septiembre",9,10),Tabla1[[#This Row],[Día de Fecha]])</f>
        <v>46288</v>
      </c>
      <c r="G2148">
        <v>1116254223</v>
      </c>
      <c r="H2148" t="s">
        <v>307</v>
      </c>
      <c r="I2148">
        <v>63</v>
      </c>
      <c r="J2148">
        <v>0</v>
      </c>
      <c r="K2148" s="1">
        <v>3724268</v>
      </c>
    </row>
    <row r="2149" spans="1:11" x14ac:dyDescent="0.25">
      <c r="A2149" t="s">
        <v>9</v>
      </c>
      <c r="B2149" t="s">
        <v>305</v>
      </c>
      <c r="C2149" t="s">
        <v>867</v>
      </c>
      <c r="D2149" t="s">
        <v>11</v>
      </c>
      <c r="E2149">
        <v>24</v>
      </c>
      <c r="F2149" s="2">
        <f>DATE(2026,IF(Tabla1[[#This Row],[Mes de Fecha]]="Septiembre",9,10),Tabla1[[#This Row],[Día de Fecha]])</f>
        <v>46289</v>
      </c>
      <c r="I2149">
        <v>0</v>
      </c>
      <c r="J2149" s="1">
        <v>16644719</v>
      </c>
      <c r="K2149">
        <v>0</v>
      </c>
    </row>
    <row r="2150" spans="1:11" x14ac:dyDescent="0.25">
      <c r="A2150" t="s">
        <v>9</v>
      </c>
      <c r="B2150" t="s">
        <v>305</v>
      </c>
      <c r="C2150" t="s">
        <v>867</v>
      </c>
      <c r="D2150" t="s">
        <v>11</v>
      </c>
      <c r="E2150">
        <v>24</v>
      </c>
      <c r="F2150" s="2">
        <f>DATE(2026,IF(Tabla1[[#This Row],[Mes de Fecha]]="Septiembre",9,10),Tabla1[[#This Row],[Día de Fecha]])</f>
        <v>46289</v>
      </c>
      <c r="G2150">
        <v>1094911295</v>
      </c>
      <c r="I2150">
        <v>45</v>
      </c>
      <c r="J2150">
        <v>0</v>
      </c>
      <c r="K2150" s="1">
        <v>2937191</v>
      </c>
    </row>
    <row r="2151" spans="1:11" x14ac:dyDescent="0.25">
      <c r="A2151" t="s">
        <v>9</v>
      </c>
      <c r="B2151" t="s">
        <v>305</v>
      </c>
      <c r="C2151" t="s">
        <v>867</v>
      </c>
      <c r="D2151" t="s">
        <v>11</v>
      </c>
      <c r="E2151">
        <v>24</v>
      </c>
      <c r="F2151" s="2">
        <f>DATE(2026,IF(Tabla1[[#This Row],[Mes de Fecha]]="Septiembre",9,10),Tabla1[[#This Row],[Día de Fecha]])</f>
        <v>46289</v>
      </c>
      <c r="G2151">
        <v>1116254223</v>
      </c>
      <c r="H2151" t="s">
        <v>307</v>
      </c>
      <c r="I2151">
        <v>41</v>
      </c>
      <c r="J2151">
        <v>0</v>
      </c>
      <c r="K2151" s="1">
        <v>2321850</v>
      </c>
    </row>
    <row r="2152" spans="1:11" x14ac:dyDescent="0.25">
      <c r="A2152" t="s">
        <v>9</v>
      </c>
      <c r="B2152" t="s">
        <v>305</v>
      </c>
      <c r="C2152" t="s">
        <v>867</v>
      </c>
      <c r="D2152" t="s">
        <v>11</v>
      </c>
      <c r="E2152">
        <v>25</v>
      </c>
      <c r="F2152" s="2">
        <f>DATE(2026,IF(Tabla1[[#This Row],[Mes de Fecha]]="Septiembre",9,10),Tabla1[[#This Row],[Día de Fecha]])</f>
        <v>46290</v>
      </c>
      <c r="I2152">
        <v>0</v>
      </c>
      <c r="J2152" s="1">
        <v>17777467</v>
      </c>
      <c r="K2152">
        <v>0</v>
      </c>
    </row>
    <row r="2153" spans="1:11" x14ac:dyDescent="0.25">
      <c r="A2153" t="s">
        <v>9</v>
      </c>
      <c r="B2153" t="s">
        <v>305</v>
      </c>
      <c r="C2153" t="s">
        <v>867</v>
      </c>
      <c r="D2153" t="s">
        <v>11</v>
      </c>
      <c r="E2153">
        <v>25</v>
      </c>
      <c r="F2153" s="2">
        <f>DATE(2026,IF(Tabla1[[#This Row],[Mes de Fecha]]="Septiembre",9,10),Tabla1[[#This Row],[Día de Fecha]])</f>
        <v>46290</v>
      </c>
      <c r="G2153">
        <v>1094911295</v>
      </c>
      <c r="I2153">
        <v>39</v>
      </c>
      <c r="J2153">
        <v>0</v>
      </c>
      <c r="K2153" s="1">
        <v>1868113</v>
      </c>
    </row>
    <row r="2154" spans="1:11" x14ac:dyDescent="0.25">
      <c r="A2154" t="s">
        <v>9</v>
      </c>
      <c r="B2154" t="s">
        <v>305</v>
      </c>
      <c r="C2154" t="s">
        <v>867</v>
      </c>
      <c r="D2154" t="s">
        <v>11</v>
      </c>
      <c r="E2154">
        <v>25</v>
      </c>
      <c r="F2154" s="2">
        <f>DATE(2026,IF(Tabla1[[#This Row],[Mes de Fecha]]="Septiembre",9,10),Tabla1[[#This Row],[Día de Fecha]])</f>
        <v>46290</v>
      </c>
      <c r="G2154">
        <v>1116254223</v>
      </c>
      <c r="H2154" t="s">
        <v>307</v>
      </c>
      <c r="I2154">
        <v>93</v>
      </c>
      <c r="J2154">
        <v>0</v>
      </c>
      <c r="K2154" s="1">
        <v>5958284</v>
      </c>
    </row>
    <row r="2155" spans="1:11" x14ac:dyDescent="0.25">
      <c r="A2155" t="s">
        <v>9</v>
      </c>
      <c r="B2155" t="s">
        <v>305</v>
      </c>
      <c r="C2155" t="s">
        <v>867</v>
      </c>
      <c r="D2155" t="s">
        <v>11</v>
      </c>
      <c r="E2155">
        <v>25</v>
      </c>
      <c r="F2155" s="2">
        <f>DATE(2026,IF(Tabla1[[#This Row],[Mes de Fecha]]="Septiembre",9,10),Tabla1[[#This Row],[Día de Fecha]])</f>
        <v>46290</v>
      </c>
      <c r="G2155">
        <v>1116280165</v>
      </c>
      <c r="H2155" t="s">
        <v>306</v>
      </c>
      <c r="I2155">
        <v>64</v>
      </c>
      <c r="J2155">
        <v>0</v>
      </c>
      <c r="K2155" s="1">
        <v>3745214</v>
      </c>
    </row>
    <row r="2156" spans="1:11" x14ac:dyDescent="0.25">
      <c r="A2156" t="s">
        <v>9</v>
      </c>
      <c r="B2156" t="s">
        <v>305</v>
      </c>
      <c r="C2156" t="s">
        <v>867</v>
      </c>
      <c r="D2156" t="s">
        <v>11</v>
      </c>
      <c r="E2156">
        <v>26</v>
      </c>
      <c r="F2156" s="2">
        <f>DATE(2026,IF(Tabla1[[#This Row],[Mes de Fecha]]="Septiembre",9,10),Tabla1[[#This Row],[Día de Fecha]])</f>
        <v>46291</v>
      </c>
      <c r="I2156">
        <v>0</v>
      </c>
      <c r="J2156" s="1">
        <v>22416936</v>
      </c>
      <c r="K2156">
        <v>0</v>
      </c>
    </row>
    <row r="2157" spans="1:11" x14ac:dyDescent="0.25">
      <c r="A2157" t="s">
        <v>9</v>
      </c>
      <c r="B2157" t="s">
        <v>305</v>
      </c>
      <c r="C2157" t="s">
        <v>867</v>
      </c>
      <c r="D2157" t="s">
        <v>11</v>
      </c>
      <c r="E2157">
        <v>26</v>
      </c>
      <c r="F2157" s="2">
        <f>DATE(2026,IF(Tabla1[[#This Row],[Mes de Fecha]]="Septiembre",9,10),Tabla1[[#This Row],[Día de Fecha]])</f>
        <v>46291</v>
      </c>
      <c r="G2157">
        <v>1094911295</v>
      </c>
      <c r="I2157">
        <v>1</v>
      </c>
      <c r="J2157">
        <v>0</v>
      </c>
      <c r="K2157" s="1">
        <v>54580</v>
      </c>
    </row>
    <row r="2158" spans="1:11" x14ac:dyDescent="0.25">
      <c r="A2158" t="s">
        <v>9</v>
      </c>
      <c r="B2158" t="s">
        <v>305</v>
      </c>
      <c r="C2158" t="s">
        <v>867</v>
      </c>
      <c r="D2158" t="s">
        <v>11</v>
      </c>
      <c r="E2158">
        <v>26</v>
      </c>
      <c r="F2158" s="2">
        <f>DATE(2026,IF(Tabla1[[#This Row],[Mes de Fecha]]="Septiembre",9,10),Tabla1[[#This Row],[Día de Fecha]])</f>
        <v>46291</v>
      </c>
      <c r="G2158">
        <v>1116254223</v>
      </c>
      <c r="H2158" t="s">
        <v>307</v>
      </c>
      <c r="I2158">
        <v>104</v>
      </c>
      <c r="J2158">
        <v>0</v>
      </c>
      <c r="K2158" s="1">
        <v>5493411</v>
      </c>
    </row>
    <row r="2159" spans="1:11" x14ac:dyDescent="0.25">
      <c r="A2159" t="s">
        <v>9</v>
      </c>
      <c r="B2159" t="s">
        <v>305</v>
      </c>
      <c r="C2159" t="s">
        <v>867</v>
      </c>
      <c r="D2159" t="s">
        <v>11</v>
      </c>
      <c r="E2159">
        <v>26</v>
      </c>
      <c r="F2159" s="2">
        <f>DATE(2026,IF(Tabla1[[#This Row],[Mes de Fecha]]="Septiembre",9,10),Tabla1[[#This Row],[Día de Fecha]])</f>
        <v>46291</v>
      </c>
      <c r="G2159">
        <v>1116280165</v>
      </c>
      <c r="H2159" t="s">
        <v>306</v>
      </c>
      <c r="I2159">
        <v>139</v>
      </c>
      <c r="J2159">
        <v>0</v>
      </c>
      <c r="K2159" s="1">
        <v>7439294</v>
      </c>
    </row>
    <row r="2160" spans="1:11" x14ac:dyDescent="0.25">
      <c r="A2160" t="s">
        <v>9</v>
      </c>
      <c r="B2160" t="s">
        <v>305</v>
      </c>
      <c r="C2160" t="s">
        <v>867</v>
      </c>
      <c r="D2160" t="s">
        <v>11</v>
      </c>
      <c r="E2160">
        <v>27</v>
      </c>
      <c r="F2160" s="2">
        <f>DATE(2026,IF(Tabla1[[#This Row],[Mes de Fecha]]="Septiembre",9,10),Tabla1[[#This Row],[Día de Fecha]])</f>
        <v>46292</v>
      </c>
      <c r="I2160">
        <v>0</v>
      </c>
      <c r="J2160" s="1">
        <v>11835928</v>
      </c>
      <c r="K2160">
        <v>0</v>
      </c>
    </row>
    <row r="2161" spans="1:11" x14ac:dyDescent="0.25">
      <c r="A2161" t="s">
        <v>9</v>
      </c>
      <c r="B2161" t="s">
        <v>305</v>
      </c>
      <c r="C2161" t="s">
        <v>867</v>
      </c>
      <c r="D2161" t="s">
        <v>11</v>
      </c>
      <c r="E2161">
        <v>27</v>
      </c>
      <c r="F2161" s="2">
        <f>DATE(2026,IF(Tabla1[[#This Row],[Mes de Fecha]]="Septiembre",9,10),Tabla1[[#This Row],[Día de Fecha]])</f>
        <v>46292</v>
      </c>
      <c r="G2161">
        <v>1094911295</v>
      </c>
      <c r="I2161">
        <v>1</v>
      </c>
      <c r="J2161">
        <v>0</v>
      </c>
      <c r="K2161" s="1">
        <v>50378</v>
      </c>
    </row>
    <row r="2162" spans="1:11" x14ac:dyDescent="0.25">
      <c r="A2162" t="s">
        <v>9</v>
      </c>
      <c r="B2162" t="s">
        <v>305</v>
      </c>
      <c r="C2162" t="s">
        <v>867</v>
      </c>
      <c r="D2162" t="s">
        <v>11</v>
      </c>
      <c r="E2162">
        <v>27</v>
      </c>
      <c r="F2162" s="2">
        <f>DATE(2026,IF(Tabla1[[#This Row],[Mes de Fecha]]="Septiembre",9,10),Tabla1[[#This Row],[Día de Fecha]])</f>
        <v>46292</v>
      </c>
      <c r="G2162">
        <v>1116254223</v>
      </c>
      <c r="H2162" t="s">
        <v>307</v>
      </c>
      <c r="I2162">
        <v>134</v>
      </c>
      <c r="J2162">
        <v>0</v>
      </c>
      <c r="K2162" s="1">
        <v>7931224</v>
      </c>
    </row>
    <row r="2163" spans="1:11" x14ac:dyDescent="0.25">
      <c r="A2163" t="s">
        <v>9</v>
      </c>
      <c r="B2163" t="s">
        <v>305</v>
      </c>
      <c r="C2163" t="s">
        <v>867</v>
      </c>
      <c r="D2163" t="s">
        <v>11</v>
      </c>
      <c r="E2163">
        <v>27</v>
      </c>
      <c r="F2163" s="2">
        <f>DATE(2026,IF(Tabla1[[#This Row],[Mes de Fecha]]="Septiembre",9,10),Tabla1[[#This Row],[Día de Fecha]])</f>
        <v>46292</v>
      </c>
      <c r="G2163">
        <v>1116280165</v>
      </c>
      <c r="H2163" t="s">
        <v>306</v>
      </c>
      <c r="I2163">
        <v>133</v>
      </c>
      <c r="J2163">
        <v>0</v>
      </c>
      <c r="K2163" s="1">
        <v>7408081</v>
      </c>
    </row>
    <row r="2164" spans="1:11" x14ac:dyDescent="0.25">
      <c r="A2164" t="s">
        <v>9</v>
      </c>
      <c r="B2164" t="s">
        <v>305</v>
      </c>
      <c r="C2164" t="s">
        <v>867</v>
      </c>
      <c r="D2164" t="s">
        <v>11</v>
      </c>
      <c r="E2164">
        <v>28</v>
      </c>
      <c r="F2164" s="2">
        <f>DATE(2026,IF(Tabla1[[#This Row],[Mes de Fecha]]="Septiembre",9,10),Tabla1[[#This Row],[Día de Fecha]])</f>
        <v>46293</v>
      </c>
      <c r="I2164">
        <v>0</v>
      </c>
      <c r="J2164" s="1">
        <v>9704171</v>
      </c>
      <c r="K2164">
        <v>0</v>
      </c>
    </row>
    <row r="2165" spans="1:11" x14ac:dyDescent="0.25">
      <c r="A2165" t="s">
        <v>9</v>
      </c>
      <c r="B2165" t="s">
        <v>305</v>
      </c>
      <c r="C2165" t="s">
        <v>867</v>
      </c>
      <c r="D2165" t="s">
        <v>11</v>
      </c>
      <c r="E2165">
        <v>28</v>
      </c>
      <c r="F2165" s="2">
        <f>DATE(2026,IF(Tabla1[[#This Row],[Mes de Fecha]]="Septiembre",9,10),Tabla1[[#This Row],[Día de Fecha]])</f>
        <v>46293</v>
      </c>
      <c r="G2165">
        <v>1116254223</v>
      </c>
      <c r="H2165" t="s">
        <v>307</v>
      </c>
      <c r="I2165">
        <v>27</v>
      </c>
      <c r="J2165">
        <v>0</v>
      </c>
      <c r="K2165" s="1">
        <v>1732102</v>
      </c>
    </row>
    <row r="2166" spans="1:11" x14ac:dyDescent="0.25">
      <c r="A2166" t="s">
        <v>9</v>
      </c>
      <c r="B2166" t="s">
        <v>305</v>
      </c>
      <c r="C2166" t="s">
        <v>867</v>
      </c>
      <c r="D2166" t="s">
        <v>11</v>
      </c>
      <c r="E2166">
        <v>28</v>
      </c>
      <c r="F2166" s="2">
        <f>DATE(2026,IF(Tabla1[[#This Row],[Mes de Fecha]]="Septiembre",9,10),Tabla1[[#This Row],[Día de Fecha]])</f>
        <v>46293</v>
      </c>
      <c r="G2166">
        <v>1116280165</v>
      </c>
      <c r="H2166" t="s">
        <v>306</v>
      </c>
      <c r="I2166">
        <v>59</v>
      </c>
      <c r="J2166">
        <v>0</v>
      </c>
      <c r="K2166" s="1">
        <v>3363032</v>
      </c>
    </row>
    <row r="2167" spans="1:11" x14ac:dyDescent="0.25">
      <c r="A2167" t="s">
        <v>9</v>
      </c>
      <c r="B2167" t="s">
        <v>305</v>
      </c>
      <c r="C2167" t="s">
        <v>867</v>
      </c>
      <c r="D2167" t="s">
        <v>11</v>
      </c>
      <c r="E2167">
        <v>29</v>
      </c>
      <c r="F2167" s="2">
        <f>DATE(2026,IF(Tabla1[[#This Row],[Mes de Fecha]]="Septiembre",9,10),Tabla1[[#This Row],[Día de Fecha]])</f>
        <v>46294</v>
      </c>
      <c r="I2167">
        <v>0</v>
      </c>
      <c r="J2167" s="1">
        <v>10788171</v>
      </c>
      <c r="K2167">
        <v>0</v>
      </c>
    </row>
    <row r="2168" spans="1:11" x14ac:dyDescent="0.25">
      <c r="A2168" t="s">
        <v>9</v>
      </c>
      <c r="B2168" t="s">
        <v>305</v>
      </c>
      <c r="C2168" t="s">
        <v>867</v>
      </c>
      <c r="D2168" t="s">
        <v>11</v>
      </c>
      <c r="E2168">
        <v>29</v>
      </c>
      <c r="F2168" s="2">
        <f>DATE(2026,IF(Tabla1[[#This Row],[Mes de Fecha]]="Septiembre",9,10),Tabla1[[#This Row],[Día de Fecha]])</f>
        <v>46294</v>
      </c>
      <c r="G2168">
        <v>1094911295</v>
      </c>
      <c r="I2168">
        <v>1</v>
      </c>
      <c r="J2168">
        <v>0</v>
      </c>
      <c r="K2168" s="1">
        <v>75588</v>
      </c>
    </row>
    <row r="2169" spans="1:11" x14ac:dyDescent="0.25">
      <c r="A2169" t="s">
        <v>9</v>
      </c>
      <c r="B2169" t="s">
        <v>305</v>
      </c>
      <c r="C2169" t="s">
        <v>867</v>
      </c>
      <c r="D2169" t="s">
        <v>11</v>
      </c>
      <c r="E2169">
        <v>29</v>
      </c>
      <c r="F2169" s="2">
        <f>DATE(2026,IF(Tabla1[[#This Row],[Mes de Fecha]]="Septiembre",9,10),Tabla1[[#This Row],[Día de Fecha]])</f>
        <v>46294</v>
      </c>
      <c r="G2169">
        <v>1116254223</v>
      </c>
      <c r="H2169" t="s">
        <v>307</v>
      </c>
      <c r="I2169">
        <v>42</v>
      </c>
      <c r="J2169">
        <v>0</v>
      </c>
      <c r="K2169" s="1">
        <v>2435172</v>
      </c>
    </row>
    <row r="2170" spans="1:11" x14ac:dyDescent="0.25">
      <c r="A2170" t="s">
        <v>9</v>
      </c>
      <c r="B2170" t="s">
        <v>305</v>
      </c>
      <c r="C2170" t="s">
        <v>867</v>
      </c>
      <c r="D2170" t="s">
        <v>11</v>
      </c>
      <c r="E2170">
        <v>29</v>
      </c>
      <c r="F2170" s="2">
        <f>DATE(2026,IF(Tabla1[[#This Row],[Mes de Fecha]]="Septiembre",9,10),Tabla1[[#This Row],[Día de Fecha]])</f>
        <v>46294</v>
      </c>
      <c r="G2170">
        <v>1116280165</v>
      </c>
      <c r="H2170" t="s">
        <v>306</v>
      </c>
      <c r="I2170">
        <v>44</v>
      </c>
      <c r="J2170">
        <v>0</v>
      </c>
      <c r="K2170" s="1">
        <v>2395171</v>
      </c>
    </row>
    <row r="2171" spans="1:11" x14ac:dyDescent="0.25">
      <c r="A2171" t="s">
        <v>9</v>
      </c>
      <c r="B2171" t="s">
        <v>305</v>
      </c>
      <c r="C2171" t="s">
        <v>867</v>
      </c>
      <c r="D2171" t="s">
        <v>11</v>
      </c>
      <c r="E2171">
        <v>30</v>
      </c>
      <c r="F2171" s="2">
        <f>DATE(2026,IF(Tabla1[[#This Row],[Mes de Fecha]]="Septiembre",9,10),Tabla1[[#This Row],[Día de Fecha]])</f>
        <v>46295</v>
      </c>
      <c r="I2171">
        <v>0</v>
      </c>
      <c r="J2171" s="1">
        <v>11425013</v>
      </c>
      <c r="K2171">
        <v>0</v>
      </c>
    </row>
    <row r="2172" spans="1:11" x14ac:dyDescent="0.25">
      <c r="A2172" t="s">
        <v>9</v>
      </c>
      <c r="B2172" t="s">
        <v>305</v>
      </c>
      <c r="C2172" t="s">
        <v>867</v>
      </c>
      <c r="D2172" t="s">
        <v>11</v>
      </c>
      <c r="E2172">
        <v>30</v>
      </c>
      <c r="F2172" s="2">
        <f>DATE(2026,IF(Tabla1[[#This Row],[Mes de Fecha]]="Septiembre",9,10),Tabla1[[#This Row],[Día de Fecha]])</f>
        <v>46295</v>
      </c>
      <c r="G2172">
        <v>1094911295</v>
      </c>
      <c r="I2172">
        <v>23</v>
      </c>
      <c r="J2172">
        <v>0</v>
      </c>
      <c r="K2172" s="1">
        <v>1553655</v>
      </c>
    </row>
    <row r="2173" spans="1:11" x14ac:dyDescent="0.25">
      <c r="A2173" t="s">
        <v>9</v>
      </c>
      <c r="B2173" t="s">
        <v>305</v>
      </c>
      <c r="C2173" t="s">
        <v>867</v>
      </c>
      <c r="D2173" t="s">
        <v>11</v>
      </c>
      <c r="E2173">
        <v>30</v>
      </c>
      <c r="F2173" s="2">
        <f>DATE(2026,IF(Tabla1[[#This Row],[Mes de Fecha]]="Septiembre",9,10),Tabla1[[#This Row],[Día de Fecha]])</f>
        <v>46295</v>
      </c>
      <c r="G2173">
        <v>1116254223</v>
      </c>
      <c r="H2173" t="s">
        <v>307</v>
      </c>
      <c r="I2173">
        <v>22</v>
      </c>
      <c r="J2173">
        <v>0</v>
      </c>
      <c r="K2173" s="1">
        <v>1261682</v>
      </c>
    </row>
    <row r="2174" spans="1:11" x14ac:dyDescent="0.25">
      <c r="A2174" t="s">
        <v>9</v>
      </c>
      <c r="B2174" t="s">
        <v>305</v>
      </c>
      <c r="C2174" t="s">
        <v>867</v>
      </c>
      <c r="D2174" t="s">
        <v>11</v>
      </c>
      <c r="E2174">
        <v>30</v>
      </c>
      <c r="F2174" s="2">
        <f>DATE(2026,IF(Tabla1[[#This Row],[Mes de Fecha]]="Septiembre",9,10),Tabla1[[#This Row],[Día de Fecha]])</f>
        <v>46295</v>
      </c>
      <c r="G2174">
        <v>1116280165</v>
      </c>
      <c r="H2174" t="s">
        <v>306</v>
      </c>
      <c r="I2174">
        <v>39</v>
      </c>
      <c r="J2174">
        <v>0</v>
      </c>
      <c r="K2174" s="1">
        <v>2494119</v>
      </c>
    </row>
    <row r="2175" spans="1:11" x14ac:dyDescent="0.25">
      <c r="A2175" t="s">
        <v>9</v>
      </c>
      <c r="B2175" t="s">
        <v>305</v>
      </c>
      <c r="C2175" t="s">
        <v>867</v>
      </c>
      <c r="D2175" t="s">
        <v>14</v>
      </c>
      <c r="E2175">
        <v>1</v>
      </c>
      <c r="F2175" s="2">
        <f>DATE(2026,IF(Tabla1[[#This Row],[Mes de Fecha]]="Septiembre",9,10),Tabla1[[#This Row],[Día de Fecha]])</f>
        <v>46296</v>
      </c>
      <c r="I2175">
        <v>0</v>
      </c>
      <c r="J2175" s="1">
        <v>8074029</v>
      </c>
      <c r="K2175">
        <v>0</v>
      </c>
    </row>
    <row r="2176" spans="1:11" x14ac:dyDescent="0.25">
      <c r="A2176" t="s">
        <v>9</v>
      </c>
      <c r="B2176" t="s">
        <v>305</v>
      </c>
      <c r="C2176" t="s">
        <v>867</v>
      </c>
      <c r="D2176" t="s">
        <v>14</v>
      </c>
      <c r="E2176">
        <v>1</v>
      </c>
      <c r="F2176" s="2">
        <f>DATE(2026,IF(Tabla1[[#This Row],[Mes de Fecha]]="Septiembre",9,10),Tabla1[[#This Row],[Día de Fecha]])</f>
        <v>46296</v>
      </c>
      <c r="G2176">
        <v>1116254223</v>
      </c>
      <c r="H2176" t="s">
        <v>307</v>
      </c>
      <c r="I2176">
        <v>-1</v>
      </c>
      <c r="J2176">
        <v>0</v>
      </c>
      <c r="K2176" s="1">
        <v>4243</v>
      </c>
    </row>
    <row r="2177" spans="1:11" x14ac:dyDescent="0.25">
      <c r="A2177" t="s">
        <v>9</v>
      </c>
      <c r="B2177" t="s">
        <v>305</v>
      </c>
      <c r="C2177" t="s">
        <v>867</v>
      </c>
      <c r="D2177" t="s">
        <v>14</v>
      </c>
      <c r="E2177">
        <v>1</v>
      </c>
      <c r="F2177" s="2">
        <f>DATE(2026,IF(Tabla1[[#This Row],[Mes de Fecha]]="Septiembre",9,10),Tabla1[[#This Row],[Día de Fecha]])</f>
        <v>46296</v>
      </c>
      <c r="G2177">
        <v>1116280165</v>
      </c>
      <c r="H2177" t="s">
        <v>306</v>
      </c>
      <c r="I2177">
        <v>111</v>
      </c>
      <c r="J2177">
        <v>0</v>
      </c>
      <c r="K2177" s="1">
        <v>6451096</v>
      </c>
    </row>
    <row r="2178" spans="1:11" x14ac:dyDescent="0.25">
      <c r="A2178" t="s">
        <v>9</v>
      </c>
      <c r="B2178" t="s">
        <v>305</v>
      </c>
      <c r="C2178" t="s">
        <v>867</v>
      </c>
      <c r="D2178" t="s">
        <v>14</v>
      </c>
      <c r="E2178">
        <v>2</v>
      </c>
      <c r="F2178" s="2">
        <f>DATE(2026,IF(Tabla1[[#This Row],[Mes de Fecha]]="Septiembre",9,10),Tabla1[[#This Row],[Día de Fecha]])</f>
        <v>46297</v>
      </c>
      <c r="I2178">
        <v>0</v>
      </c>
      <c r="J2178" s="1">
        <v>8611036</v>
      </c>
      <c r="K2178">
        <v>0</v>
      </c>
    </row>
    <row r="2179" spans="1:11" x14ac:dyDescent="0.25">
      <c r="A2179" t="s">
        <v>9</v>
      </c>
      <c r="B2179" t="s">
        <v>305</v>
      </c>
      <c r="C2179" t="s">
        <v>867</v>
      </c>
      <c r="D2179" t="s">
        <v>14</v>
      </c>
      <c r="E2179">
        <v>2</v>
      </c>
      <c r="F2179" s="2">
        <f>DATE(2026,IF(Tabla1[[#This Row],[Mes de Fecha]]="Septiembre",9,10),Tabla1[[#This Row],[Día de Fecha]])</f>
        <v>46297</v>
      </c>
      <c r="G2179">
        <v>1094911295</v>
      </c>
      <c r="I2179">
        <v>1</v>
      </c>
      <c r="J2179">
        <v>0</v>
      </c>
      <c r="K2179" s="1">
        <v>46177</v>
      </c>
    </row>
    <row r="2180" spans="1:11" x14ac:dyDescent="0.25">
      <c r="A2180" t="s">
        <v>9</v>
      </c>
      <c r="B2180" t="s">
        <v>305</v>
      </c>
      <c r="C2180" t="s">
        <v>867</v>
      </c>
      <c r="D2180" t="s">
        <v>14</v>
      </c>
      <c r="E2180">
        <v>2</v>
      </c>
      <c r="F2180" s="2">
        <f>DATE(2026,IF(Tabla1[[#This Row],[Mes de Fecha]]="Septiembre",9,10),Tabla1[[#This Row],[Día de Fecha]])</f>
        <v>46297</v>
      </c>
      <c r="G2180">
        <v>1116254223</v>
      </c>
      <c r="H2180" t="s">
        <v>307</v>
      </c>
      <c r="I2180">
        <v>64</v>
      </c>
      <c r="J2180">
        <v>0</v>
      </c>
      <c r="K2180" s="1">
        <v>3770339</v>
      </c>
    </row>
    <row r="2181" spans="1:11" x14ac:dyDescent="0.25">
      <c r="A2181" t="s">
        <v>9</v>
      </c>
      <c r="B2181" t="s">
        <v>305</v>
      </c>
      <c r="C2181" t="s">
        <v>867</v>
      </c>
      <c r="D2181" t="s">
        <v>14</v>
      </c>
      <c r="E2181">
        <v>2</v>
      </c>
      <c r="F2181" s="2">
        <f>DATE(2026,IF(Tabla1[[#This Row],[Mes de Fecha]]="Septiembre",9,10),Tabla1[[#This Row],[Día de Fecha]])</f>
        <v>46297</v>
      </c>
      <c r="G2181">
        <v>1116280165</v>
      </c>
      <c r="H2181" t="s">
        <v>306</v>
      </c>
      <c r="I2181">
        <v>59</v>
      </c>
      <c r="J2181">
        <v>0</v>
      </c>
      <c r="K2181" s="1">
        <v>3552023</v>
      </c>
    </row>
    <row r="2182" spans="1:11" x14ac:dyDescent="0.25">
      <c r="A2182" t="s">
        <v>9</v>
      </c>
      <c r="B2182" t="s">
        <v>305</v>
      </c>
      <c r="C2182" t="s">
        <v>867</v>
      </c>
      <c r="D2182" t="s">
        <v>14</v>
      </c>
      <c r="E2182">
        <v>3</v>
      </c>
      <c r="F2182" s="2">
        <f>DATE(2026,IF(Tabla1[[#This Row],[Mes de Fecha]]="Septiembre",9,10),Tabla1[[#This Row],[Día de Fecha]])</f>
        <v>46298</v>
      </c>
      <c r="I2182">
        <v>0</v>
      </c>
      <c r="J2182" s="1">
        <v>16583028</v>
      </c>
      <c r="K2182">
        <v>0</v>
      </c>
    </row>
    <row r="2183" spans="1:11" x14ac:dyDescent="0.25">
      <c r="A2183" t="s">
        <v>9</v>
      </c>
      <c r="B2183" t="s">
        <v>305</v>
      </c>
      <c r="C2183" t="s">
        <v>867</v>
      </c>
      <c r="D2183" t="s">
        <v>14</v>
      </c>
      <c r="E2183">
        <v>3</v>
      </c>
      <c r="F2183" s="2">
        <f>DATE(2026,IF(Tabla1[[#This Row],[Mes de Fecha]]="Septiembre",9,10),Tabla1[[#This Row],[Día de Fecha]])</f>
        <v>46298</v>
      </c>
      <c r="G2183">
        <v>1116254223</v>
      </c>
      <c r="H2183" t="s">
        <v>307</v>
      </c>
      <c r="I2183">
        <v>112</v>
      </c>
      <c r="J2183">
        <v>0</v>
      </c>
      <c r="K2183" s="1">
        <v>6064769</v>
      </c>
    </row>
    <row r="2184" spans="1:11" x14ac:dyDescent="0.25">
      <c r="A2184" t="s">
        <v>9</v>
      </c>
      <c r="B2184" t="s">
        <v>305</v>
      </c>
      <c r="C2184" t="s">
        <v>867</v>
      </c>
      <c r="D2184" t="s">
        <v>14</v>
      </c>
      <c r="E2184">
        <v>3</v>
      </c>
      <c r="F2184" s="2">
        <f>DATE(2026,IF(Tabla1[[#This Row],[Mes de Fecha]]="Septiembre",9,10),Tabla1[[#This Row],[Día de Fecha]])</f>
        <v>46298</v>
      </c>
      <c r="G2184">
        <v>1116280165</v>
      </c>
      <c r="H2184" t="s">
        <v>306</v>
      </c>
      <c r="I2184">
        <v>97</v>
      </c>
      <c r="J2184">
        <v>0</v>
      </c>
      <c r="K2184" s="1">
        <v>5432309</v>
      </c>
    </row>
    <row r="2185" spans="1:11" x14ac:dyDescent="0.25">
      <c r="A2185" t="s">
        <v>9</v>
      </c>
      <c r="B2185" t="s">
        <v>305</v>
      </c>
      <c r="C2185" t="s">
        <v>867</v>
      </c>
      <c r="D2185" t="s">
        <v>14</v>
      </c>
      <c r="E2185">
        <v>4</v>
      </c>
      <c r="F2185" s="2">
        <f>DATE(2026,IF(Tabla1[[#This Row],[Mes de Fecha]]="Septiembre",9,10),Tabla1[[#This Row],[Día de Fecha]])</f>
        <v>46299</v>
      </c>
      <c r="I2185">
        <v>0</v>
      </c>
      <c r="J2185" s="1">
        <v>14986790</v>
      </c>
      <c r="K2185">
        <v>0</v>
      </c>
    </row>
    <row r="2186" spans="1:11" x14ac:dyDescent="0.25">
      <c r="A2186" t="s">
        <v>9</v>
      </c>
      <c r="B2186" t="s">
        <v>305</v>
      </c>
      <c r="C2186" t="s">
        <v>867</v>
      </c>
      <c r="D2186" t="s">
        <v>14</v>
      </c>
      <c r="E2186">
        <v>4</v>
      </c>
      <c r="F2186" s="2">
        <f>DATE(2026,IF(Tabla1[[#This Row],[Mes de Fecha]]="Septiembre",9,10),Tabla1[[#This Row],[Día de Fecha]])</f>
        <v>46299</v>
      </c>
      <c r="G2186">
        <v>1116254223</v>
      </c>
      <c r="H2186" t="s">
        <v>307</v>
      </c>
      <c r="I2186">
        <v>230</v>
      </c>
      <c r="J2186">
        <v>0</v>
      </c>
      <c r="K2186" s="1">
        <v>13882831</v>
      </c>
    </row>
    <row r="2187" spans="1:11" x14ac:dyDescent="0.25">
      <c r="A2187" t="s">
        <v>9</v>
      </c>
      <c r="B2187" t="s">
        <v>305</v>
      </c>
      <c r="C2187" t="s">
        <v>867</v>
      </c>
      <c r="D2187" t="s">
        <v>14</v>
      </c>
      <c r="E2187">
        <v>4</v>
      </c>
      <c r="F2187" s="2">
        <f>DATE(2026,IF(Tabla1[[#This Row],[Mes de Fecha]]="Septiembre",9,10),Tabla1[[#This Row],[Día de Fecha]])</f>
        <v>46299</v>
      </c>
      <c r="G2187">
        <v>1116280165</v>
      </c>
      <c r="H2187" t="s">
        <v>306</v>
      </c>
      <c r="I2187">
        <v>46</v>
      </c>
      <c r="J2187">
        <v>0</v>
      </c>
      <c r="K2187" s="1">
        <v>2680802</v>
      </c>
    </row>
    <row r="2188" spans="1:11" x14ac:dyDescent="0.25">
      <c r="A2188" t="s">
        <v>9</v>
      </c>
      <c r="B2188" t="s">
        <v>305</v>
      </c>
      <c r="C2188" t="s">
        <v>867</v>
      </c>
      <c r="D2188" t="s">
        <v>14</v>
      </c>
      <c r="E2188">
        <v>5</v>
      </c>
      <c r="F2188" s="2">
        <f>DATE(2026,IF(Tabla1[[#This Row],[Mes de Fecha]]="Septiembre",9,10),Tabla1[[#This Row],[Día de Fecha]])</f>
        <v>46300</v>
      </c>
      <c r="I2188">
        <v>0</v>
      </c>
      <c r="J2188" s="1">
        <v>4664442</v>
      </c>
      <c r="K2188">
        <v>0</v>
      </c>
    </row>
    <row r="2189" spans="1:11" x14ac:dyDescent="0.25">
      <c r="A2189" t="s">
        <v>9</v>
      </c>
      <c r="B2189" t="s">
        <v>305</v>
      </c>
      <c r="C2189" t="s">
        <v>867</v>
      </c>
      <c r="D2189" t="s">
        <v>14</v>
      </c>
      <c r="E2189">
        <v>5</v>
      </c>
      <c r="F2189" s="2">
        <f>DATE(2026,IF(Tabla1[[#This Row],[Mes de Fecha]]="Septiembre",9,10),Tabla1[[#This Row],[Día de Fecha]])</f>
        <v>46300</v>
      </c>
      <c r="G2189">
        <v>1116254223</v>
      </c>
      <c r="H2189" t="s">
        <v>307</v>
      </c>
      <c r="I2189">
        <v>108</v>
      </c>
      <c r="J2189">
        <v>0</v>
      </c>
      <c r="K2189" s="1">
        <v>6203365</v>
      </c>
    </row>
    <row r="2190" spans="1:11" x14ac:dyDescent="0.25">
      <c r="A2190" t="s">
        <v>9</v>
      </c>
      <c r="B2190" t="s">
        <v>305</v>
      </c>
      <c r="C2190" t="s">
        <v>867</v>
      </c>
      <c r="D2190" t="s">
        <v>14</v>
      </c>
      <c r="E2190">
        <v>5</v>
      </c>
      <c r="F2190" s="2">
        <f>DATE(2026,IF(Tabla1[[#This Row],[Mes de Fecha]]="Septiembre",9,10),Tabla1[[#This Row],[Día de Fecha]])</f>
        <v>46300</v>
      </c>
      <c r="G2190">
        <v>1116280165</v>
      </c>
      <c r="H2190" t="s">
        <v>306</v>
      </c>
      <c r="I2190">
        <v>-5</v>
      </c>
      <c r="J2190">
        <v>0</v>
      </c>
      <c r="K2190" s="1">
        <v>-367437</v>
      </c>
    </row>
    <row r="2191" spans="1:11" x14ac:dyDescent="0.25">
      <c r="A2191" t="s">
        <v>9</v>
      </c>
      <c r="B2191" t="s">
        <v>305</v>
      </c>
      <c r="C2191" t="s">
        <v>867</v>
      </c>
      <c r="D2191" t="s">
        <v>14</v>
      </c>
      <c r="E2191">
        <v>6</v>
      </c>
      <c r="F2191" s="2">
        <f>DATE(2026,IF(Tabla1[[#This Row],[Mes de Fecha]]="Septiembre",9,10),Tabla1[[#This Row],[Día de Fecha]])</f>
        <v>46301</v>
      </c>
      <c r="I2191">
        <v>0</v>
      </c>
      <c r="J2191" s="1">
        <v>642632</v>
      </c>
      <c r="K2191">
        <v>0</v>
      </c>
    </row>
    <row r="2192" spans="1:11" x14ac:dyDescent="0.25">
      <c r="A2192" t="s">
        <v>9</v>
      </c>
      <c r="B2192" t="s">
        <v>305</v>
      </c>
      <c r="C2192" t="s">
        <v>867</v>
      </c>
      <c r="D2192" t="s">
        <v>14</v>
      </c>
      <c r="E2192">
        <v>6</v>
      </c>
      <c r="F2192" s="2">
        <f>DATE(2026,IF(Tabla1[[#This Row],[Mes de Fecha]]="Septiembre",9,10),Tabla1[[#This Row],[Día de Fecha]])</f>
        <v>46301</v>
      </c>
      <c r="G2192">
        <v>1116254223</v>
      </c>
      <c r="H2192" t="s">
        <v>307</v>
      </c>
      <c r="I2192">
        <v>60</v>
      </c>
      <c r="J2192">
        <v>0</v>
      </c>
      <c r="K2192" s="1">
        <v>4119203</v>
      </c>
    </row>
    <row r="2193" spans="1:11" x14ac:dyDescent="0.25">
      <c r="A2193" t="s">
        <v>9</v>
      </c>
      <c r="B2193" t="s">
        <v>305</v>
      </c>
      <c r="C2193" t="s">
        <v>867</v>
      </c>
      <c r="D2193" t="s">
        <v>14</v>
      </c>
      <c r="E2193">
        <v>6</v>
      </c>
      <c r="F2193" s="2">
        <f>DATE(2026,IF(Tabla1[[#This Row],[Mes de Fecha]]="Septiembre",9,10),Tabla1[[#This Row],[Día de Fecha]])</f>
        <v>46301</v>
      </c>
      <c r="G2193">
        <v>1116280165</v>
      </c>
      <c r="H2193" t="s">
        <v>306</v>
      </c>
      <c r="I2193">
        <v>0</v>
      </c>
      <c r="J2193">
        <v>0</v>
      </c>
      <c r="K2193">
        <v>0</v>
      </c>
    </row>
    <row r="2194" spans="1:11" x14ac:dyDescent="0.25">
      <c r="A2194" t="s">
        <v>9</v>
      </c>
      <c r="B2194" t="s">
        <v>305</v>
      </c>
      <c r="C2194" t="s">
        <v>867</v>
      </c>
      <c r="D2194" t="s">
        <v>14</v>
      </c>
      <c r="E2194">
        <v>7</v>
      </c>
      <c r="F2194" s="2">
        <f>DATE(2026,IF(Tabla1[[#This Row],[Mes de Fecha]]="Septiembre",9,10),Tabla1[[#This Row],[Día de Fecha]])</f>
        <v>46302</v>
      </c>
      <c r="I2194">
        <v>0</v>
      </c>
      <c r="J2194" s="1">
        <v>2175931</v>
      </c>
      <c r="K2194">
        <v>0</v>
      </c>
    </row>
    <row r="2195" spans="1:11" x14ac:dyDescent="0.25">
      <c r="A2195" t="s">
        <v>9</v>
      </c>
      <c r="B2195" t="s">
        <v>305</v>
      </c>
      <c r="C2195" t="s">
        <v>867</v>
      </c>
      <c r="D2195" t="s">
        <v>14</v>
      </c>
      <c r="E2195">
        <v>7</v>
      </c>
      <c r="F2195" s="2">
        <f>DATE(2026,IF(Tabla1[[#This Row],[Mes de Fecha]]="Septiembre",9,10),Tabla1[[#This Row],[Día de Fecha]])</f>
        <v>46302</v>
      </c>
      <c r="G2195">
        <v>1116254223</v>
      </c>
      <c r="H2195" t="s">
        <v>307</v>
      </c>
      <c r="I2195">
        <v>49</v>
      </c>
      <c r="J2195">
        <v>0</v>
      </c>
      <c r="K2195" s="1">
        <v>3210129</v>
      </c>
    </row>
    <row r="2196" spans="1:11" x14ac:dyDescent="0.25">
      <c r="A2196" t="s">
        <v>9</v>
      </c>
      <c r="B2196" t="s">
        <v>305</v>
      </c>
      <c r="C2196" t="s">
        <v>867</v>
      </c>
      <c r="D2196" t="s">
        <v>14</v>
      </c>
      <c r="E2196">
        <v>7</v>
      </c>
      <c r="F2196" s="2">
        <f>DATE(2026,IF(Tabla1[[#This Row],[Mes de Fecha]]="Septiembre",9,10),Tabla1[[#This Row],[Día de Fecha]])</f>
        <v>46302</v>
      </c>
      <c r="G2196">
        <v>1116280165</v>
      </c>
      <c r="H2196" t="s">
        <v>306</v>
      </c>
      <c r="I2196">
        <v>-1</v>
      </c>
      <c r="J2196">
        <v>0</v>
      </c>
      <c r="K2196" s="1">
        <v>-54580</v>
      </c>
    </row>
    <row r="2197" spans="1:11" x14ac:dyDescent="0.25">
      <c r="A2197" t="s">
        <v>326</v>
      </c>
      <c r="B2197" t="s">
        <v>343</v>
      </c>
      <c r="C2197" t="s">
        <v>867</v>
      </c>
      <c r="D2197" t="s">
        <v>11</v>
      </c>
      <c r="E2197">
        <v>23</v>
      </c>
      <c r="F2197" s="2">
        <f>DATE(2026,IF(Tabla1[[#This Row],[Mes de Fecha]]="Septiembre",9,10),Tabla1[[#This Row],[Día de Fecha]])</f>
        <v>46288</v>
      </c>
      <c r="I2197">
        <v>0</v>
      </c>
      <c r="J2197" s="1">
        <v>6281682</v>
      </c>
      <c r="K2197">
        <v>0</v>
      </c>
    </row>
    <row r="2198" spans="1:11" x14ac:dyDescent="0.25">
      <c r="A2198" t="s">
        <v>326</v>
      </c>
      <c r="B2198" t="s">
        <v>343</v>
      </c>
      <c r="C2198" t="s">
        <v>867</v>
      </c>
      <c r="D2198" t="s">
        <v>11</v>
      </c>
      <c r="E2198">
        <v>23</v>
      </c>
      <c r="F2198" s="2">
        <f>DATE(2026,IF(Tabla1[[#This Row],[Mes de Fecha]]="Septiembre",9,10),Tabla1[[#This Row],[Día de Fecha]])</f>
        <v>46288</v>
      </c>
      <c r="G2198">
        <v>29314714</v>
      </c>
      <c r="H2198" t="s">
        <v>344</v>
      </c>
      <c r="I2198">
        <v>90</v>
      </c>
      <c r="J2198">
        <v>0</v>
      </c>
      <c r="K2198" s="1">
        <v>4810966</v>
      </c>
    </row>
    <row r="2199" spans="1:11" x14ac:dyDescent="0.25">
      <c r="A2199" t="s">
        <v>326</v>
      </c>
      <c r="B2199" t="s">
        <v>343</v>
      </c>
      <c r="C2199" t="s">
        <v>867</v>
      </c>
      <c r="D2199" t="s">
        <v>11</v>
      </c>
      <c r="E2199">
        <v>23</v>
      </c>
      <c r="F2199" s="2">
        <f>DATE(2026,IF(Tabla1[[#This Row],[Mes de Fecha]]="Septiembre",9,10),Tabla1[[#This Row],[Día de Fecha]])</f>
        <v>46288</v>
      </c>
      <c r="G2199">
        <v>1006321986</v>
      </c>
      <c r="H2199" t="s">
        <v>345</v>
      </c>
      <c r="I2199">
        <v>33</v>
      </c>
      <c r="J2199">
        <v>0</v>
      </c>
      <c r="K2199" s="1">
        <v>1603322</v>
      </c>
    </row>
    <row r="2200" spans="1:11" x14ac:dyDescent="0.25">
      <c r="A2200" t="s">
        <v>326</v>
      </c>
      <c r="B2200" t="s">
        <v>343</v>
      </c>
      <c r="C2200" t="s">
        <v>867</v>
      </c>
      <c r="D2200" t="s">
        <v>11</v>
      </c>
      <c r="E2200">
        <v>23</v>
      </c>
      <c r="F2200" s="2">
        <f>DATE(2026,IF(Tabla1[[#This Row],[Mes de Fecha]]="Septiembre",9,10),Tabla1[[#This Row],[Día de Fecha]])</f>
        <v>46288</v>
      </c>
      <c r="G2200">
        <v>1114062675</v>
      </c>
      <c r="H2200" t="s">
        <v>350</v>
      </c>
      <c r="I2200">
        <v>30</v>
      </c>
      <c r="J2200">
        <v>0</v>
      </c>
      <c r="K2200" s="1">
        <v>1433403</v>
      </c>
    </row>
    <row r="2201" spans="1:11" x14ac:dyDescent="0.25">
      <c r="A2201" t="s">
        <v>326</v>
      </c>
      <c r="B2201" t="s">
        <v>343</v>
      </c>
      <c r="C2201" t="s">
        <v>867</v>
      </c>
      <c r="D2201" t="s">
        <v>11</v>
      </c>
      <c r="E2201">
        <v>24</v>
      </c>
      <c r="F2201" s="2">
        <f>DATE(2026,IF(Tabla1[[#This Row],[Mes de Fecha]]="Septiembre",9,10),Tabla1[[#This Row],[Día de Fecha]])</f>
        <v>46289</v>
      </c>
      <c r="I2201">
        <v>0</v>
      </c>
      <c r="J2201" s="1">
        <v>9595980</v>
      </c>
      <c r="K2201">
        <v>0</v>
      </c>
    </row>
    <row r="2202" spans="1:11" x14ac:dyDescent="0.25">
      <c r="A2202" t="s">
        <v>326</v>
      </c>
      <c r="B2202" t="s">
        <v>343</v>
      </c>
      <c r="C2202" t="s">
        <v>867</v>
      </c>
      <c r="D2202" t="s">
        <v>11</v>
      </c>
      <c r="E2202">
        <v>24</v>
      </c>
      <c r="F2202" s="2">
        <f>DATE(2026,IF(Tabla1[[#This Row],[Mes de Fecha]]="Septiembre",9,10),Tabla1[[#This Row],[Día de Fecha]])</f>
        <v>46289</v>
      </c>
      <c r="G2202">
        <v>29314714</v>
      </c>
      <c r="H2202" t="s">
        <v>344</v>
      </c>
      <c r="I2202">
        <v>52</v>
      </c>
      <c r="J2202">
        <v>0</v>
      </c>
      <c r="K2202" s="1">
        <v>2632189</v>
      </c>
    </row>
    <row r="2203" spans="1:11" x14ac:dyDescent="0.25">
      <c r="A2203" t="s">
        <v>326</v>
      </c>
      <c r="B2203" t="s">
        <v>343</v>
      </c>
      <c r="C2203" t="s">
        <v>867</v>
      </c>
      <c r="D2203" t="s">
        <v>11</v>
      </c>
      <c r="E2203">
        <v>24</v>
      </c>
      <c r="F2203" s="2">
        <f>DATE(2026,IF(Tabla1[[#This Row],[Mes de Fecha]]="Septiembre",9,10),Tabla1[[#This Row],[Día de Fecha]])</f>
        <v>46289</v>
      </c>
      <c r="G2203">
        <v>1006321986</v>
      </c>
      <c r="H2203" t="s">
        <v>345</v>
      </c>
      <c r="I2203">
        <v>39</v>
      </c>
      <c r="J2203">
        <v>0</v>
      </c>
      <c r="K2203" s="1">
        <v>2061219</v>
      </c>
    </row>
    <row r="2204" spans="1:11" x14ac:dyDescent="0.25">
      <c r="A2204" t="s">
        <v>326</v>
      </c>
      <c r="B2204" t="s">
        <v>343</v>
      </c>
      <c r="C2204" t="s">
        <v>867</v>
      </c>
      <c r="D2204" t="s">
        <v>11</v>
      </c>
      <c r="E2204">
        <v>24</v>
      </c>
      <c r="F2204" s="2">
        <f>DATE(2026,IF(Tabla1[[#This Row],[Mes de Fecha]]="Septiembre",9,10),Tabla1[[#This Row],[Día de Fecha]])</f>
        <v>46289</v>
      </c>
      <c r="G2204">
        <v>1114062675</v>
      </c>
      <c r="H2204" t="s">
        <v>350</v>
      </c>
      <c r="I2204">
        <v>28</v>
      </c>
      <c r="J2204">
        <v>0</v>
      </c>
      <c r="K2204" s="1">
        <v>1343194</v>
      </c>
    </row>
    <row r="2205" spans="1:11" x14ac:dyDescent="0.25">
      <c r="A2205" t="s">
        <v>326</v>
      </c>
      <c r="B2205" t="s">
        <v>343</v>
      </c>
      <c r="C2205" t="s">
        <v>867</v>
      </c>
      <c r="D2205" t="s">
        <v>11</v>
      </c>
      <c r="E2205">
        <v>24</v>
      </c>
      <c r="F2205" s="2">
        <f>DATE(2026,IF(Tabla1[[#This Row],[Mes de Fecha]]="Septiembre",9,10),Tabla1[[#This Row],[Día de Fecha]])</f>
        <v>46289</v>
      </c>
      <c r="G2205">
        <v>1116280441</v>
      </c>
      <c r="H2205" t="s">
        <v>348</v>
      </c>
      <c r="I2205">
        <v>-1</v>
      </c>
      <c r="J2205">
        <v>0</v>
      </c>
      <c r="K2205" s="1">
        <v>-105000</v>
      </c>
    </row>
    <row r="2206" spans="1:11" x14ac:dyDescent="0.25">
      <c r="A2206" t="s">
        <v>326</v>
      </c>
      <c r="B2206" t="s">
        <v>343</v>
      </c>
      <c r="C2206" t="s">
        <v>867</v>
      </c>
      <c r="D2206" t="s">
        <v>11</v>
      </c>
      <c r="E2206">
        <v>25</v>
      </c>
      <c r="F2206" s="2">
        <f>DATE(2026,IF(Tabla1[[#This Row],[Mes de Fecha]]="Septiembre",9,10),Tabla1[[#This Row],[Día de Fecha]])</f>
        <v>46290</v>
      </c>
      <c r="I2206">
        <v>0</v>
      </c>
      <c r="J2206" s="1">
        <v>9574737</v>
      </c>
      <c r="K2206">
        <v>0</v>
      </c>
    </row>
    <row r="2207" spans="1:11" x14ac:dyDescent="0.25">
      <c r="A2207" t="s">
        <v>326</v>
      </c>
      <c r="B2207" t="s">
        <v>343</v>
      </c>
      <c r="C2207" t="s">
        <v>867</v>
      </c>
      <c r="D2207" t="s">
        <v>11</v>
      </c>
      <c r="E2207">
        <v>25</v>
      </c>
      <c r="F2207" s="2">
        <f>DATE(2026,IF(Tabla1[[#This Row],[Mes de Fecha]]="Septiembre",9,10),Tabla1[[#This Row],[Día de Fecha]])</f>
        <v>46290</v>
      </c>
      <c r="G2207">
        <v>29314714</v>
      </c>
      <c r="H2207" t="s">
        <v>344</v>
      </c>
      <c r="I2207">
        <v>95</v>
      </c>
      <c r="J2207">
        <v>0</v>
      </c>
      <c r="K2207" s="1">
        <v>4838074</v>
      </c>
    </row>
    <row r="2208" spans="1:11" x14ac:dyDescent="0.25">
      <c r="A2208" t="s">
        <v>326</v>
      </c>
      <c r="B2208" t="s">
        <v>343</v>
      </c>
      <c r="C2208" t="s">
        <v>867</v>
      </c>
      <c r="D2208" t="s">
        <v>11</v>
      </c>
      <c r="E2208">
        <v>25</v>
      </c>
      <c r="F2208" s="2">
        <f>DATE(2026,IF(Tabla1[[#This Row],[Mes de Fecha]]="Septiembre",9,10),Tabla1[[#This Row],[Día de Fecha]])</f>
        <v>46290</v>
      </c>
      <c r="G2208">
        <v>1006321986</v>
      </c>
      <c r="H2208" t="s">
        <v>345</v>
      </c>
      <c r="I2208">
        <v>38</v>
      </c>
      <c r="J2208">
        <v>0</v>
      </c>
      <c r="K2208" s="1">
        <v>1737520</v>
      </c>
    </row>
    <row r="2209" spans="1:11" x14ac:dyDescent="0.25">
      <c r="A2209" t="s">
        <v>326</v>
      </c>
      <c r="B2209" t="s">
        <v>343</v>
      </c>
      <c r="C2209" t="s">
        <v>867</v>
      </c>
      <c r="D2209" t="s">
        <v>11</v>
      </c>
      <c r="E2209">
        <v>25</v>
      </c>
      <c r="F2209" s="2">
        <f>DATE(2026,IF(Tabla1[[#This Row],[Mes de Fecha]]="Septiembre",9,10),Tabla1[[#This Row],[Día de Fecha]])</f>
        <v>46290</v>
      </c>
      <c r="G2209">
        <v>1113038720</v>
      </c>
      <c r="H2209" t="s">
        <v>349</v>
      </c>
      <c r="I2209">
        <v>-1</v>
      </c>
      <c r="J2209">
        <v>0</v>
      </c>
      <c r="K2209" s="1">
        <v>-71386</v>
      </c>
    </row>
    <row r="2210" spans="1:11" x14ac:dyDescent="0.25">
      <c r="A2210" t="s">
        <v>326</v>
      </c>
      <c r="B2210" t="s">
        <v>343</v>
      </c>
      <c r="C2210" t="s">
        <v>867</v>
      </c>
      <c r="D2210" t="s">
        <v>11</v>
      </c>
      <c r="E2210">
        <v>25</v>
      </c>
      <c r="F2210" s="2">
        <f>DATE(2026,IF(Tabla1[[#This Row],[Mes de Fecha]]="Septiembre",9,10),Tabla1[[#This Row],[Día de Fecha]])</f>
        <v>46290</v>
      </c>
      <c r="G2210">
        <v>1114062675</v>
      </c>
      <c r="H2210" t="s">
        <v>350</v>
      </c>
      <c r="I2210">
        <v>32</v>
      </c>
      <c r="J2210">
        <v>0</v>
      </c>
      <c r="K2210" s="1">
        <v>1868403</v>
      </c>
    </row>
    <row r="2211" spans="1:11" x14ac:dyDescent="0.25">
      <c r="A2211" t="s">
        <v>326</v>
      </c>
      <c r="B2211" t="s">
        <v>343</v>
      </c>
      <c r="C2211" t="s">
        <v>867</v>
      </c>
      <c r="D2211" t="s">
        <v>11</v>
      </c>
      <c r="E2211">
        <v>25</v>
      </c>
      <c r="F2211" s="2">
        <f>DATE(2026,IF(Tabla1[[#This Row],[Mes de Fecha]]="Septiembre",9,10),Tabla1[[#This Row],[Día de Fecha]])</f>
        <v>46290</v>
      </c>
      <c r="G2211">
        <v>1116284273</v>
      </c>
      <c r="H2211" t="s">
        <v>346</v>
      </c>
      <c r="I2211">
        <v>-1</v>
      </c>
      <c r="J2211">
        <v>0</v>
      </c>
      <c r="K2211" s="1">
        <v>-54580</v>
      </c>
    </row>
    <row r="2212" spans="1:11" x14ac:dyDescent="0.25">
      <c r="A2212" t="s">
        <v>326</v>
      </c>
      <c r="B2212" t="s">
        <v>343</v>
      </c>
      <c r="C2212" t="s">
        <v>867</v>
      </c>
      <c r="D2212" t="s">
        <v>11</v>
      </c>
      <c r="E2212">
        <v>26</v>
      </c>
      <c r="F2212" s="2">
        <f>DATE(2026,IF(Tabla1[[#This Row],[Mes de Fecha]]="Septiembre",9,10),Tabla1[[#This Row],[Día de Fecha]])</f>
        <v>46291</v>
      </c>
      <c r="I2212">
        <v>0</v>
      </c>
      <c r="J2212" s="1">
        <v>13760272</v>
      </c>
      <c r="K2212">
        <v>0</v>
      </c>
    </row>
    <row r="2213" spans="1:11" x14ac:dyDescent="0.25">
      <c r="A2213" t="s">
        <v>326</v>
      </c>
      <c r="B2213" t="s">
        <v>343</v>
      </c>
      <c r="C2213" t="s">
        <v>867</v>
      </c>
      <c r="D2213" t="s">
        <v>11</v>
      </c>
      <c r="E2213">
        <v>26</v>
      </c>
      <c r="F2213" s="2">
        <f>DATE(2026,IF(Tabla1[[#This Row],[Mes de Fecha]]="Septiembre",9,10),Tabla1[[#This Row],[Día de Fecha]])</f>
        <v>46291</v>
      </c>
      <c r="G2213">
        <v>29314714</v>
      </c>
      <c r="H2213" t="s">
        <v>344</v>
      </c>
      <c r="I2213">
        <v>66</v>
      </c>
      <c r="J2213">
        <v>0</v>
      </c>
      <c r="K2213" s="1">
        <v>3358325</v>
      </c>
    </row>
    <row r="2214" spans="1:11" x14ac:dyDescent="0.25">
      <c r="A2214" t="s">
        <v>326</v>
      </c>
      <c r="B2214" t="s">
        <v>343</v>
      </c>
      <c r="C2214" t="s">
        <v>867</v>
      </c>
      <c r="D2214" t="s">
        <v>11</v>
      </c>
      <c r="E2214">
        <v>26</v>
      </c>
      <c r="F2214" s="2">
        <f>DATE(2026,IF(Tabla1[[#This Row],[Mes de Fecha]]="Septiembre",9,10),Tabla1[[#This Row],[Día de Fecha]])</f>
        <v>46291</v>
      </c>
      <c r="G2214">
        <v>1006321986</v>
      </c>
      <c r="H2214" t="s">
        <v>345</v>
      </c>
      <c r="I2214">
        <v>49</v>
      </c>
      <c r="J2214">
        <v>0</v>
      </c>
      <c r="K2214" s="1">
        <v>2747778</v>
      </c>
    </row>
    <row r="2215" spans="1:11" x14ac:dyDescent="0.25">
      <c r="A2215" t="s">
        <v>326</v>
      </c>
      <c r="B2215" t="s">
        <v>343</v>
      </c>
      <c r="C2215" t="s">
        <v>867</v>
      </c>
      <c r="D2215" t="s">
        <v>11</v>
      </c>
      <c r="E2215">
        <v>26</v>
      </c>
      <c r="F2215" s="2">
        <f>DATE(2026,IF(Tabla1[[#This Row],[Mes de Fecha]]="Septiembre",9,10),Tabla1[[#This Row],[Día de Fecha]])</f>
        <v>46291</v>
      </c>
      <c r="G2215">
        <v>1114062675</v>
      </c>
      <c r="H2215" t="s">
        <v>350</v>
      </c>
      <c r="I2215">
        <v>33</v>
      </c>
      <c r="J2215">
        <v>0</v>
      </c>
      <c r="K2215" s="1">
        <v>1864034</v>
      </c>
    </row>
    <row r="2216" spans="1:11" x14ac:dyDescent="0.25">
      <c r="A2216" t="s">
        <v>326</v>
      </c>
      <c r="B2216" t="s">
        <v>343</v>
      </c>
      <c r="C2216" t="s">
        <v>867</v>
      </c>
      <c r="D2216" t="s">
        <v>11</v>
      </c>
      <c r="E2216">
        <v>26</v>
      </c>
      <c r="F2216" s="2">
        <f>DATE(2026,IF(Tabla1[[#This Row],[Mes de Fecha]]="Septiembre",9,10),Tabla1[[#This Row],[Día de Fecha]])</f>
        <v>46291</v>
      </c>
      <c r="G2216">
        <v>1140421188</v>
      </c>
      <c r="H2216" t="s">
        <v>347</v>
      </c>
      <c r="I2216">
        <v>-2</v>
      </c>
      <c r="J2216">
        <v>0</v>
      </c>
      <c r="K2216" s="1">
        <v>-142773</v>
      </c>
    </row>
    <row r="2217" spans="1:11" x14ac:dyDescent="0.25">
      <c r="A2217" t="s">
        <v>326</v>
      </c>
      <c r="B2217" t="s">
        <v>343</v>
      </c>
      <c r="C2217" t="s">
        <v>867</v>
      </c>
      <c r="D2217" t="s">
        <v>11</v>
      </c>
      <c r="E2217">
        <v>27</v>
      </c>
      <c r="F2217" s="2">
        <f>DATE(2026,IF(Tabla1[[#This Row],[Mes de Fecha]]="Septiembre",9,10),Tabla1[[#This Row],[Día de Fecha]])</f>
        <v>46292</v>
      </c>
      <c r="I2217">
        <v>0</v>
      </c>
      <c r="J2217" s="1">
        <v>10900907</v>
      </c>
      <c r="K2217">
        <v>0</v>
      </c>
    </row>
    <row r="2218" spans="1:11" x14ac:dyDescent="0.25">
      <c r="A2218" t="s">
        <v>326</v>
      </c>
      <c r="B2218" t="s">
        <v>343</v>
      </c>
      <c r="C2218" t="s">
        <v>867</v>
      </c>
      <c r="D2218" t="s">
        <v>11</v>
      </c>
      <c r="E2218">
        <v>27</v>
      </c>
      <c r="F2218" s="2">
        <f>DATE(2026,IF(Tabla1[[#This Row],[Mes de Fecha]]="Septiembre",9,10),Tabla1[[#This Row],[Día de Fecha]])</f>
        <v>46292</v>
      </c>
      <c r="G2218">
        <v>29314714</v>
      </c>
      <c r="H2218" t="s">
        <v>344</v>
      </c>
      <c r="I2218">
        <v>18</v>
      </c>
      <c r="J2218">
        <v>0</v>
      </c>
      <c r="K2218" s="1">
        <v>999202</v>
      </c>
    </row>
    <row r="2219" spans="1:11" x14ac:dyDescent="0.25">
      <c r="A2219" t="s">
        <v>326</v>
      </c>
      <c r="B2219" t="s">
        <v>343</v>
      </c>
      <c r="C2219" t="s">
        <v>867</v>
      </c>
      <c r="D2219" t="s">
        <v>11</v>
      </c>
      <c r="E2219">
        <v>27</v>
      </c>
      <c r="F2219" s="2">
        <f>DATE(2026,IF(Tabla1[[#This Row],[Mes de Fecha]]="Septiembre",9,10),Tabla1[[#This Row],[Día de Fecha]])</f>
        <v>46292</v>
      </c>
      <c r="G2219">
        <v>1006321986</v>
      </c>
      <c r="H2219" t="s">
        <v>345</v>
      </c>
      <c r="I2219">
        <v>7</v>
      </c>
      <c r="J2219">
        <v>0</v>
      </c>
      <c r="K2219" s="1">
        <v>415673</v>
      </c>
    </row>
    <row r="2220" spans="1:11" x14ac:dyDescent="0.25">
      <c r="A2220" t="s">
        <v>326</v>
      </c>
      <c r="B2220" t="s">
        <v>343</v>
      </c>
      <c r="C2220" t="s">
        <v>867</v>
      </c>
      <c r="D2220" t="s">
        <v>11</v>
      </c>
      <c r="E2220">
        <v>27</v>
      </c>
      <c r="F2220" s="2">
        <f>DATE(2026,IF(Tabla1[[#This Row],[Mes de Fecha]]="Septiembre",9,10),Tabla1[[#This Row],[Día de Fecha]])</f>
        <v>46292</v>
      </c>
      <c r="G2220">
        <v>1114062675</v>
      </c>
      <c r="H2220" t="s">
        <v>350</v>
      </c>
      <c r="I2220">
        <v>9</v>
      </c>
      <c r="J2220">
        <v>0</v>
      </c>
      <c r="K2220" s="1">
        <v>571052</v>
      </c>
    </row>
    <row r="2221" spans="1:11" x14ac:dyDescent="0.25">
      <c r="A2221" t="s">
        <v>326</v>
      </c>
      <c r="B2221" t="s">
        <v>343</v>
      </c>
      <c r="C2221" t="s">
        <v>867</v>
      </c>
      <c r="D2221" t="s">
        <v>11</v>
      </c>
      <c r="E2221">
        <v>28</v>
      </c>
      <c r="F2221" s="2">
        <f>DATE(2026,IF(Tabla1[[#This Row],[Mes de Fecha]]="Septiembre",9,10),Tabla1[[#This Row],[Día de Fecha]])</f>
        <v>46293</v>
      </c>
      <c r="I2221">
        <v>0</v>
      </c>
      <c r="J2221" s="1">
        <v>6137693</v>
      </c>
      <c r="K2221">
        <v>0</v>
      </c>
    </row>
    <row r="2222" spans="1:11" x14ac:dyDescent="0.25">
      <c r="A2222" t="s">
        <v>326</v>
      </c>
      <c r="B2222" t="s">
        <v>343</v>
      </c>
      <c r="C2222" t="s">
        <v>867</v>
      </c>
      <c r="D2222" t="s">
        <v>11</v>
      </c>
      <c r="E2222">
        <v>28</v>
      </c>
      <c r="F2222" s="2">
        <f>DATE(2026,IF(Tabla1[[#This Row],[Mes de Fecha]]="Septiembre",9,10),Tabla1[[#This Row],[Día de Fecha]])</f>
        <v>46293</v>
      </c>
      <c r="G2222">
        <v>29314714</v>
      </c>
      <c r="H2222" t="s">
        <v>344</v>
      </c>
      <c r="I2222">
        <v>46</v>
      </c>
      <c r="J2222">
        <v>0</v>
      </c>
      <c r="K2222" s="1">
        <v>2804629</v>
      </c>
    </row>
    <row r="2223" spans="1:11" x14ac:dyDescent="0.25">
      <c r="A2223" t="s">
        <v>326</v>
      </c>
      <c r="B2223" t="s">
        <v>343</v>
      </c>
      <c r="C2223" t="s">
        <v>867</v>
      </c>
      <c r="D2223" t="s">
        <v>11</v>
      </c>
      <c r="E2223">
        <v>28</v>
      </c>
      <c r="F2223" s="2">
        <f>DATE(2026,IF(Tabla1[[#This Row],[Mes de Fecha]]="Septiembre",9,10),Tabla1[[#This Row],[Día de Fecha]])</f>
        <v>46293</v>
      </c>
      <c r="G2223">
        <v>1006321986</v>
      </c>
      <c r="H2223" t="s">
        <v>345</v>
      </c>
      <c r="I2223">
        <v>25</v>
      </c>
      <c r="J2223">
        <v>0</v>
      </c>
      <c r="K2223" s="1">
        <v>1213111</v>
      </c>
    </row>
    <row r="2224" spans="1:11" x14ac:dyDescent="0.25">
      <c r="A2224" t="s">
        <v>326</v>
      </c>
      <c r="B2224" t="s">
        <v>343</v>
      </c>
      <c r="C2224" t="s">
        <v>867</v>
      </c>
      <c r="D2224" t="s">
        <v>11</v>
      </c>
      <c r="E2224">
        <v>28</v>
      </c>
      <c r="F2224" s="2">
        <f>DATE(2026,IF(Tabla1[[#This Row],[Mes de Fecha]]="Septiembre",9,10),Tabla1[[#This Row],[Día de Fecha]])</f>
        <v>46293</v>
      </c>
      <c r="G2224">
        <v>1113038720</v>
      </c>
      <c r="H2224" t="s">
        <v>349</v>
      </c>
      <c r="I2224">
        <v>-1</v>
      </c>
      <c r="J2224">
        <v>0</v>
      </c>
      <c r="K2224" s="1">
        <v>-71386</v>
      </c>
    </row>
    <row r="2225" spans="1:11" x14ac:dyDescent="0.25">
      <c r="A2225" t="s">
        <v>326</v>
      </c>
      <c r="B2225" t="s">
        <v>343</v>
      </c>
      <c r="C2225" t="s">
        <v>867</v>
      </c>
      <c r="D2225" t="s">
        <v>11</v>
      </c>
      <c r="E2225">
        <v>28</v>
      </c>
      <c r="F2225" s="2">
        <f>DATE(2026,IF(Tabla1[[#This Row],[Mes de Fecha]]="Septiembre",9,10),Tabla1[[#This Row],[Día de Fecha]])</f>
        <v>46293</v>
      </c>
      <c r="G2225">
        <v>1114062675</v>
      </c>
      <c r="H2225" t="s">
        <v>350</v>
      </c>
      <c r="I2225">
        <v>12</v>
      </c>
      <c r="J2225">
        <v>0</v>
      </c>
      <c r="K2225" s="1">
        <v>747353</v>
      </c>
    </row>
    <row r="2226" spans="1:11" x14ac:dyDescent="0.25">
      <c r="A2226" t="s">
        <v>326</v>
      </c>
      <c r="B2226" t="s">
        <v>343</v>
      </c>
      <c r="C2226" t="s">
        <v>867</v>
      </c>
      <c r="D2226" t="s">
        <v>11</v>
      </c>
      <c r="E2226">
        <v>28</v>
      </c>
      <c r="F2226" s="2">
        <f>DATE(2026,IF(Tabla1[[#This Row],[Mes de Fecha]]="Septiembre",9,10),Tabla1[[#This Row],[Día de Fecha]])</f>
        <v>46293</v>
      </c>
      <c r="G2226">
        <v>1116280441</v>
      </c>
      <c r="H2226" t="s">
        <v>348</v>
      </c>
      <c r="I2226">
        <v>-1</v>
      </c>
      <c r="J2226">
        <v>0</v>
      </c>
      <c r="K2226" s="1">
        <v>-50378</v>
      </c>
    </row>
    <row r="2227" spans="1:11" x14ac:dyDescent="0.25">
      <c r="A2227" t="s">
        <v>326</v>
      </c>
      <c r="B2227" t="s">
        <v>343</v>
      </c>
      <c r="C2227" t="s">
        <v>867</v>
      </c>
      <c r="D2227" t="s">
        <v>11</v>
      </c>
      <c r="E2227">
        <v>28</v>
      </c>
      <c r="F2227" s="2">
        <f>DATE(2026,IF(Tabla1[[#This Row],[Mes de Fecha]]="Septiembre",9,10),Tabla1[[#This Row],[Día de Fecha]])</f>
        <v>46293</v>
      </c>
      <c r="G2227">
        <v>1140421188</v>
      </c>
      <c r="H2227" t="s">
        <v>347</v>
      </c>
      <c r="I2227">
        <v>-1</v>
      </c>
      <c r="J2227">
        <v>0</v>
      </c>
      <c r="K2227" s="1">
        <v>-113403</v>
      </c>
    </row>
    <row r="2228" spans="1:11" x14ac:dyDescent="0.25">
      <c r="A2228" t="s">
        <v>326</v>
      </c>
      <c r="B2228" t="s">
        <v>343</v>
      </c>
      <c r="C2228" t="s">
        <v>867</v>
      </c>
      <c r="D2228" t="s">
        <v>11</v>
      </c>
      <c r="E2228">
        <v>29</v>
      </c>
      <c r="F2228" s="2">
        <f>DATE(2026,IF(Tabla1[[#This Row],[Mes de Fecha]]="Septiembre",9,10),Tabla1[[#This Row],[Día de Fecha]])</f>
        <v>46294</v>
      </c>
      <c r="I2228">
        <v>0</v>
      </c>
      <c r="J2228" s="1">
        <v>6270263</v>
      </c>
      <c r="K2228">
        <v>0</v>
      </c>
    </row>
    <row r="2229" spans="1:11" x14ac:dyDescent="0.25">
      <c r="A2229" t="s">
        <v>326</v>
      </c>
      <c r="B2229" t="s">
        <v>343</v>
      </c>
      <c r="C2229" t="s">
        <v>867</v>
      </c>
      <c r="D2229" t="s">
        <v>11</v>
      </c>
      <c r="E2229">
        <v>29</v>
      </c>
      <c r="F2229" s="2">
        <f>DATE(2026,IF(Tabla1[[#This Row],[Mes de Fecha]]="Septiembre",9,10),Tabla1[[#This Row],[Día de Fecha]])</f>
        <v>46294</v>
      </c>
      <c r="G2229">
        <v>29314714</v>
      </c>
      <c r="H2229" t="s">
        <v>344</v>
      </c>
      <c r="I2229">
        <v>24</v>
      </c>
      <c r="J2229">
        <v>0</v>
      </c>
      <c r="K2229" s="1">
        <v>1402354</v>
      </c>
    </row>
    <row r="2230" spans="1:11" x14ac:dyDescent="0.25">
      <c r="A2230" t="s">
        <v>326</v>
      </c>
      <c r="B2230" t="s">
        <v>343</v>
      </c>
      <c r="C2230" t="s">
        <v>867</v>
      </c>
      <c r="D2230" t="s">
        <v>11</v>
      </c>
      <c r="E2230">
        <v>29</v>
      </c>
      <c r="F2230" s="2">
        <f>DATE(2026,IF(Tabla1[[#This Row],[Mes de Fecha]]="Septiembre",9,10),Tabla1[[#This Row],[Día de Fecha]])</f>
        <v>46294</v>
      </c>
      <c r="G2230">
        <v>1006321986</v>
      </c>
      <c r="H2230" t="s">
        <v>345</v>
      </c>
      <c r="I2230">
        <v>15</v>
      </c>
      <c r="J2230">
        <v>0</v>
      </c>
      <c r="K2230" s="1">
        <v>1083406</v>
      </c>
    </row>
    <row r="2231" spans="1:11" x14ac:dyDescent="0.25">
      <c r="A2231" t="s">
        <v>326</v>
      </c>
      <c r="B2231" t="s">
        <v>343</v>
      </c>
      <c r="C2231" t="s">
        <v>867</v>
      </c>
      <c r="D2231" t="s">
        <v>11</v>
      </c>
      <c r="E2231">
        <v>29</v>
      </c>
      <c r="F2231" s="2">
        <f>DATE(2026,IF(Tabla1[[#This Row],[Mes de Fecha]]="Septiembre",9,10),Tabla1[[#This Row],[Día de Fecha]])</f>
        <v>46294</v>
      </c>
      <c r="G2231">
        <v>1114062675</v>
      </c>
      <c r="H2231" t="s">
        <v>350</v>
      </c>
      <c r="I2231">
        <v>25</v>
      </c>
      <c r="J2231">
        <v>0</v>
      </c>
      <c r="K2231" s="1">
        <v>1456892</v>
      </c>
    </row>
    <row r="2232" spans="1:11" x14ac:dyDescent="0.25">
      <c r="A2232" t="s">
        <v>326</v>
      </c>
      <c r="B2232" t="s">
        <v>343</v>
      </c>
      <c r="C2232" t="s">
        <v>867</v>
      </c>
      <c r="D2232" t="s">
        <v>11</v>
      </c>
      <c r="E2232">
        <v>29</v>
      </c>
      <c r="F2232" s="2">
        <f>DATE(2026,IF(Tabla1[[#This Row],[Mes de Fecha]]="Septiembre",9,10),Tabla1[[#This Row],[Día de Fecha]])</f>
        <v>46294</v>
      </c>
      <c r="G2232">
        <v>1140421188</v>
      </c>
      <c r="H2232" t="s">
        <v>347</v>
      </c>
      <c r="I2232">
        <v>-1</v>
      </c>
      <c r="J2232">
        <v>0</v>
      </c>
      <c r="K2232" s="1">
        <v>-50378</v>
      </c>
    </row>
    <row r="2233" spans="1:11" x14ac:dyDescent="0.25">
      <c r="A2233" t="s">
        <v>326</v>
      </c>
      <c r="B2233" t="s">
        <v>343</v>
      </c>
      <c r="C2233" t="s">
        <v>867</v>
      </c>
      <c r="D2233" t="s">
        <v>11</v>
      </c>
      <c r="E2233">
        <v>30</v>
      </c>
      <c r="F2233" s="2">
        <f>DATE(2026,IF(Tabla1[[#This Row],[Mes de Fecha]]="Septiembre",9,10),Tabla1[[#This Row],[Día de Fecha]])</f>
        <v>46295</v>
      </c>
      <c r="I2233">
        <v>0</v>
      </c>
      <c r="J2233" s="1">
        <v>6620141</v>
      </c>
      <c r="K2233">
        <v>0</v>
      </c>
    </row>
    <row r="2234" spans="1:11" x14ac:dyDescent="0.25">
      <c r="A2234" t="s">
        <v>326</v>
      </c>
      <c r="B2234" t="s">
        <v>343</v>
      </c>
      <c r="C2234" t="s">
        <v>867</v>
      </c>
      <c r="D2234" t="s">
        <v>11</v>
      </c>
      <c r="E2234">
        <v>30</v>
      </c>
      <c r="F2234" s="2">
        <f>DATE(2026,IF(Tabla1[[#This Row],[Mes de Fecha]]="Septiembre",9,10),Tabla1[[#This Row],[Día de Fecha]])</f>
        <v>46295</v>
      </c>
      <c r="G2234">
        <v>29314714</v>
      </c>
      <c r="H2234" t="s">
        <v>344</v>
      </c>
      <c r="I2234">
        <v>46</v>
      </c>
      <c r="J2234">
        <v>0</v>
      </c>
      <c r="K2234" s="1">
        <v>2754246</v>
      </c>
    </row>
    <row r="2235" spans="1:11" x14ac:dyDescent="0.25">
      <c r="A2235" t="s">
        <v>326</v>
      </c>
      <c r="B2235" t="s">
        <v>343</v>
      </c>
      <c r="C2235" t="s">
        <v>867</v>
      </c>
      <c r="D2235" t="s">
        <v>11</v>
      </c>
      <c r="E2235">
        <v>30</v>
      </c>
      <c r="F2235" s="2">
        <f>DATE(2026,IF(Tabla1[[#This Row],[Mes de Fecha]]="Septiembre",9,10),Tabla1[[#This Row],[Día de Fecha]])</f>
        <v>46295</v>
      </c>
      <c r="G2235">
        <v>1006321986</v>
      </c>
      <c r="H2235" t="s">
        <v>345</v>
      </c>
      <c r="I2235">
        <v>36</v>
      </c>
      <c r="J2235">
        <v>0</v>
      </c>
      <c r="K2235" s="1">
        <v>1882861</v>
      </c>
    </row>
    <row r="2236" spans="1:11" x14ac:dyDescent="0.25">
      <c r="A2236" t="s">
        <v>326</v>
      </c>
      <c r="B2236" t="s">
        <v>343</v>
      </c>
      <c r="C2236" t="s">
        <v>867</v>
      </c>
      <c r="D2236" t="s">
        <v>11</v>
      </c>
      <c r="E2236">
        <v>30</v>
      </c>
      <c r="F2236" s="2">
        <f>DATE(2026,IF(Tabla1[[#This Row],[Mes de Fecha]]="Septiembre",9,10),Tabla1[[#This Row],[Día de Fecha]])</f>
        <v>46295</v>
      </c>
      <c r="G2236">
        <v>1114062675</v>
      </c>
      <c r="H2236" t="s">
        <v>350</v>
      </c>
      <c r="I2236">
        <v>-2</v>
      </c>
      <c r="J2236">
        <v>0</v>
      </c>
      <c r="K2236" s="1">
        <v>-142773</v>
      </c>
    </row>
    <row r="2237" spans="1:11" x14ac:dyDescent="0.25">
      <c r="A2237" t="s">
        <v>326</v>
      </c>
      <c r="B2237" t="s">
        <v>343</v>
      </c>
      <c r="C2237" t="s">
        <v>867</v>
      </c>
      <c r="D2237" t="s">
        <v>11</v>
      </c>
      <c r="E2237">
        <v>30</v>
      </c>
      <c r="F2237" s="2">
        <f>DATE(2026,IF(Tabla1[[#This Row],[Mes de Fecha]]="Septiembre",9,10),Tabla1[[#This Row],[Día de Fecha]])</f>
        <v>46295</v>
      </c>
      <c r="G2237">
        <v>1140421188</v>
      </c>
      <c r="H2237" t="s">
        <v>347</v>
      </c>
      <c r="I2237">
        <v>-2</v>
      </c>
      <c r="J2237">
        <v>0</v>
      </c>
      <c r="K2237" s="1">
        <v>-159580</v>
      </c>
    </row>
    <row r="2238" spans="1:11" x14ac:dyDescent="0.25">
      <c r="A2238" t="s">
        <v>326</v>
      </c>
      <c r="B2238" t="s">
        <v>343</v>
      </c>
      <c r="C2238" t="s">
        <v>867</v>
      </c>
      <c r="D2238" t="s">
        <v>14</v>
      </c>
      <c r="E2238">
        <v>1</v>
      </c>
      <c r="F2238" s="2">
        <f>DATE(2026,IF(Tabla1[[#This Row],[Mes de Fecha]]="Septiembre",9,10),Tabla1[[#This Row],[Día de Fecha]])</f>
        <v>46296</v>
      </c>
      <c r="I2238">
        <v>0</v>
      </c>
      <c r="J2238" s="1">
        <v>4447457</v>
      </c>
      <c r="K2238">
        <v>0</v>
      </c>
    </row>
    <row r="2239" spans="1:11" x14ac:dyDescent="0.25">
      <c r="A2239" t="s">
        <v>326</v>
      </c>
      <c r="B2239" t="s">
        <v>343</v>
      </c>
      <c r="C2239" t="s">
        <v>867</v>
      </c>
      <c r="D2239" t="s">
        <v>14</v>
      </c>
      <c r="E2239">
        <v>1</v>
      </c>
      <c r="F2239" s="2">
        <f>DATE(2026,IF(Tabla1[[#This Row],[Mes de Fecha]]="Septiembre",9,10),Tabla1[[#This Row],[Día de Fecha]])</f>
        <v>46296</v>
      </c>
      <c r="G2239">
        <v>29314714</v>
      </c>
      <c r="H2239" t="s">
        <v>344</v>
      </c>
      <c r="I2239">
        <v>30</v>
      </c>
      <c r="J2239">
        <v>0</v>
      </c>
      <c r="K2239" s="1">
        <v>1561642</v>
      </c>
    </row>
    <row r="2240" spans="1:11" x14ac:dyDescent="0.25">
      <c r="A2240" t="s">
        <v>326</v>
      </c>
      <c r="B2240" t="s">
        <v>343</v>
      </c>
      <c r="C2240" t="s">
        <v>867</v>
      </c>
      <c r="D2240" t="s">
        <v>14</v>
      </c>
      <c r="E2240">
        <v>1</v>
      </c>
      <c r="F2240" s="2">
        <f>DATE(2026,IF(Tabla1[[#This Row],[Mes de Fecha]]="Septiembre",9,10),Tabla1[[#This Row],[Día de Fecha]])</f>
        <v>46296</v>
      </c>
      <c r="G2240">
        <v>1006321986</v>
      </c>
      <c r="H2240" t="s">
        <v>345</v>
      </c>
      <c r="I2240">
        <v>22</v>
      </c>
      <c r="J2240">
        <v>0</v>
      </c>
      <c r="K2240" s="1">
        <v>1213196</v>
      </c>
    </row>
    <row r="2241" spans="1:11" x14ac:dyDescent="0.25">
      <c r="A2241" t="s">
        <v>326</v>
      </c>
      <c r="B2241" t="s">
        <v>343</v>
      </c>
      <c r="C2241" t="s">
        <v>867</v>
      </c>
      <c r="D2241" t="s">
        <v>14</v>
      </c>
      <c r="E2241">
        <v>1</v>
      </c>
      <c r="F2241" s="2">
        <f>DATE(2026,IF(Tabla1[[#This Row],[Mes de Fecha]]="Septiembre",9,10),Tabla1[[#This Row],[Día de Fecha]])</f>
        <v>46296</v>
      </c>
      <c r="G2241">
        <v>1114062675</v>
      </c>
      <c r="H2241" t="s">
        <v>350</v>
      </c>
      <c r="I2241">
        <v>36</v>
      </c>
      <c r="J2241">
        <v>0</v>
      </c>
      <c r="K2241" s="1">
        <v>1834497</v>
      </c>
    </row>
    <row r="2242" spans="1:11" x14ac:dyDescent="0.25">
      <c r="A2242" t="s">
        <v>326</v>
      </c>
      <c r="B2242" t="s">
        <v>343</v>
      </c>
      <c r="C2242" t="s">
        <v>867</v>
      </c>
      <c r="D2242" t="s">
        <v>14</v>
      </c>
      <c r="E2242">
        <v>2</v>
      </c>
      <c r="F2242" s="2">
        <f>DATE(2026,IF(Tabla1[[#This Row],[Mes de Fecha]]="Septiembre",9,10),Tabla1[[#This Row],[Día de Fecha]])</f>
        <v>46297</v>
      </c>
      <c r="I2242">
        <v>0</v>
      </c>
      <c r="J2242" s="1">
        <v>5879295</v>
      </c>
      <c r="K2242">
        <v>0</v>
      </c>
    </row>
    <row r="2243" spans="1:11" x14ac:dyDescent="0.25">
      <c r="A2243" t="s">
        <v>326</v>
      </c>
      <c r="B2243" t="s">
        <v>343</v>
      </c>
      <c r="C2243" t="s">
        <v>867</v>
      </c>
      <c r="D2243" t="s">
        <v>14</v>
      </c>
      <c r="E2243">
        <v>2</v>
      </c>
      <c r="F2243" s="2">
        <f>DATE(2026,IF(Tabla1[[#This Row],[Mes de Fecha]]="Septiembre",9,10),Tabla1[[#This Row],[Día de Fecha]])</f>
        <v>46297</v>
      </c>
      <c r="G2243">
        <v>29314714</v>
      </c>
      <c r="H2243" t="s">
        <v>344</v>
      </c>
      <c r="I2243">
        <v>32</v>
      </c>
      <c r="J2243">
        <v>0</v>
      </c>
      <c r="K2243" s="1">
        <v>1855551</v>
      </c>
    </row>
    <row r="2244" spans="1:11" x14ac:dyDescent="0.25">
      <c r="A2244" t="s">
        <v>326</v>
      </c>
      <c r="B2244" t="s">
        <v>343</v>
      </c>
      <c r="C2244" t="s">
        <v>867</v>
      </c>
      <c r="D2244" t="s">
        <v>14</v>
      </c>
      <c r="E2244">
        <v>2</v>
      </c>
      <c r="F2244" s="2">
        <f>DATE(2026,IF(Tabla1[[#This Row],[Mes de Fecha]]="Septiembre",9,10),Tabla1[[#This Row],[Día de Fecha]])</f>
        <v>46297</v>
      </c>
      <c r="G2244">
        <v>1006321986</v>
      </c>
      <c r="H2244" t="s">
        <v>345</v>
      </c>
      <c r="I2244">
        <v>19</v>
      </c>
      <c r="J2244">
        <v>0</v>
      </c>
      <c r="K2244" s="1">
        <v>1015967</v>
      </c>
    </row>
    <row r="2245" spans="1:11" x14ac:dyDescent="0.25">
      <c r="A2245" t="s">
        <v>326</v>
      </c>
      <c r="B2245" t="s">
        <v>343</v>
      </c>
      <c r="C2245" t="s">
        <v>867</v>
      </c>
      <c r="D2245" t="s">
        <v>14</v>
      </c>
      <c r="E2245">
        <v>2</v>
      </c>
      <c r="F2245" s="2">
        <f>DATE(2026,IF(Tabla1[[#This Row],[Mes de Fecha]]="Septiembre",9,10),Tabla1[[#This Row],[Día de Fecha]])</f>
        <v>46297</v>
      </c>
      <c r="G2245">
        <v>1114062675</v>
      </c>
      <c r="H2245" t="s">
        <v>350</v>
      </c>
      <c r="I2245">
        <v>7</v>
      </c>
      <c r="J2245">
        <v>0</v>
      </c>
      <c r="K2245" s="1">
        <v>405169</v>
      </c>
    </row>
    <row r="2246" spans="1:11" x14ac:dyDescent="0.25">
      <c r="A2246" t="s">
        <v>326</v>
      </c>
      <c r="B2246" t="s">
        <v>343</v>
      </c>
      <c r="C2246" t="s">
        <v>867</v>
      </c>
      <c r="D2246" t="s">
        <v>14</v>
      </c>
      <c r="E2246">
        <v>3</v>
      </c>
      <c r="F2246" s="2">
        <f>DATE(2026,IF(Tabla1[[#This Row],[Mes de Fecha]]="Septiembre",9,10),Tabla1[[#This Row],[Día de Fecha]])</f>
        <v>46298</v>
      </c>
      <c r="I2246">
        <v>0</v>
      </c>
      <c r="J2246" s="1">
        <v>8703881</v>
      </c>
      <c r="K2246">
        <v>0</v>
      </c>
    </row>
    <row r="2247" spans="1:11" x14ac:dyDescent="0.25">
      <c r="A2247" t="s">
        <v>326</v>
      </c>
      <c r="B2247" t="s">
        <v>343</v>
      </c>
      <c r="C2247" t="s">
        <v>867</v>
      </c>
      <c r="D2247" t="s">
        <v>14</v>
      </c>
      <c r="E2247">
        <v>3</v>
      </c>
      <c r="F2247" s="2">
        <f>DATE(2026,IF(Tabla1[[#This Row],[Mes de Fecha]]="Septiembre",9,10),Tabla1[[#This Row],[Día de Fecha]])</f>
        <v>46298</v>
      </c>
      <c r="G2247">
        <v>29314714</v>
      </c>
      <c r="H2247" t="s">
        <v>344</v>
      </c>
      <c r="I2247">
        <v>96</v>
      </c>
      <c r="J2247">
        <v>0</v>
      </c>
      <c r="K2247" s="1">
        <v>5221608</v>
      </c>
    </row>
    <row r="2248" spans="1:11" x14ac:dyDescent="0.25">
      <c r="A2248" t="s">
        <v>326</v>
      </c>
      <c r="B2248" t="s">
        <v>343</v>
      </c>
      <c r="C2248" t="s">
        <v>867</v>
      </c>
      <c r="D2248" t="s">
        <v>14</v>
      </c>
      <c r="E2248">
        <v>3</v>
      </c>
      <c r="F2248" s="2">
        <f>DATE(2026,IF(Tabla1[[#This Row],[Mes de Fecha]]="Septiembre",9,10),Tabla1[[#This Row],[Día de Fecha]])</f>
        <v>46298</v>
      </c>
      <c r="G2248">
        <v>1006321986</v>
      </c>
      <c r="H2248" t="s">
        <v>345</v>
      </c>
      <c r="I2248">
        <v>54</v>
      </c>
      <c r="J2248">
        <v>0</v>
      </c>
      <c r="K2248" s="1">
        <v>2494112</v>
      </c>
    </row>
    <row r="2249" spans="1:11" x14ac:dyDescent="0.25">
      <c r="A2249" t="s">
        <v>326</v>
      </c>
      <c r="B2249" t="s">
        <v>343</v>
      </c>
      <c r="C2249" t="s">
        <v>867</v>
      </c>
      <c r="D2249" t="s">
        <v>14</v>
      </c>
      <c r="E2249">
        <v>3</v>
      </c>
      <c r="F2249" s="2">
        <f>DATE(2026,IF(Tabla1[[#This Row],[Mes de Fecha]]="Septiembre",9,10),Tabla1[[#This Row],[Día de Fecha]])</f>
        <v>46298</v>
      </c>
      <c r="G2249">
        <v>1114062675</v>
      </c>
      <c r="H2249" t="s">
        <v>350</v>
      </c>
      <c r="I2249">
        <v>26</v>
      </c>
      <c r="J2249">
        <v>0</v>
      </c>
      <c r="K2249" s="1">
        <v>1194566</v>
      </c>
    </row>
    <row r="2250" spans="1:11" x14ac:dyDescent="0.25">
      <c r="A2250" t="s">
        <v>326</v>
      </c>
      <c r="B2250" t="s">
        <v>343</v>
      </c>
      <c r="C2250" t="s">
        <v>867</v>
      </c>
      <c r="D2250" t="s">
        <v>14</v>
      </c>
      <c r="E2250">
        <v>4</v>
      </c>
      <c r="F2250" s="2">
        <f>DATE(2026,IF(Tabla1[[#This Row],[Mes de Fecha]]="Septiembre",9,10),Tabla1[[#This Row],[Día de Fecha]])</f>
        <v>46299</v>
      </c>
      <c r="I2250">
        <v>0</v>
      </c>
      <c r="J2250" s="1">
        <v>3348673</v>
      </c>
      <c r="K2250">
        <v>0</v>
      </c>
    </row>
    <row r="2251" spans="1:11" x14ac:dyDescent="0.25">
      <c r="A2251" t="s">
        <v>326</v>
      </c>
      <c r="B2251" t="s">
        <v>343</v>
      </c>
      <c r="C2251" t="s">
        <v>867</v>
      </c>
      <c r="D2251" t="s">
        <v>14</v>
      </c>
      <c r="E2251">
        <v>4</v>
      </c>
      <c r="F2251" s="2">
        <f>DATE(2026,IF(Tabla1[[#This Row],[Mes de Fecha]]="Septiembre",9,10),Tabla1[[#This Row],[Día de Fecha]])</f>
        <v>46299</v>
      </c>
      <c r="G2251">
        <v>29314714</v>
      </c>
      <c r="H2251" t="s">
        <v>344</v>
      </c>
      <c r="I2251">
        <v>25</v>
      </c>
      <c r="J2251">
        <v>0</v>
      </c>
      <c r="K2251" s="1">
        <v>1322226</v>
      </c>
    </row>
    <row r="2252" spans="1:11" x14ac:dyDescent="0.25">
      <c r="A2252" t="s">
        <v>326</v>
      </c>
      <c r="B2252" t="s">
        <v>343</v>
      </c>
      <c r="C2252" t="s">
        <v>867</v>
      </c>
      <c r="D2252" t="s">
        <v>14</v>
      </c>
      <c r="E2252">
        <v>4</v>
      </c>
      <c r="F2252" s="2">
        <f>DATE(2026,IF(Tabla1[[#This Row],[Mes de Fecha]]="Septiembre",9,10),Tabla1[[#This Row],[Día de Fecha]])</f>
        <v>46299</v>
      </c>
      <c r="G2252">
        <v>1006321986</v>
      </c>
      <c r="H2252" t="s">
        <v>345</v>
      </c>
      <c r="I2252">
        <v>24</v>
      </c>
      <c r="J2252">
        <v>0</v>
      </c>
      <c r="K2252" s="1">
        <v>1330840</v>
      </c>
    </row>
    <row r="2253" spans="1:11" x14ac:dyDescent="0.25">
      <c r="A2253" t="s">
        <v>326</v>
      </c>
      <c r="B2253" t="s">
        <v>343</v>
      </c>
      <c r="C2253" t="s">
        <v>867</v>
      </c>
      <c r="D2253" t="s">
        <v>14</v>
      </c>
      <c r="E2253">
        <v>4</v>
      </c>
      <c r="F2253" s="2">
        <f>DATE(2026,IF(Tabla1[[#This Row],[Mes de Fecha]]="Septiembre",9,10),Tabla1[[#This Row],[Día de Fecha]])</f>
        <v>46299</v>
      </c>
      <c r="G2253">
        <v>1114062675</v>
      </c>
      <c r="H2253" t="s">
        <v>350</v>
      </c>
      <c r="I2253">
        <v>8</v>
      </c>
      <c r="J2253">
        <v>0</v>
      </c>
      <c r="K2253" s="1">
        <v>369370</v>
      </c>
    </row>
    <row r="2254" spans="1:11" x14ac:dyDescent="0.25">
      <c r="A2254" t="s">
        <v>326</v>
      </c>
      <c r="B2254" t="s">
        <v>343</v>
      </c>
      <c r="C2254" t="s">
        <v>867</v>
      </c>
      <c r="D2254" t="s">
        <v>14</v>
      </c>
      <c r="E2254">
        <v>5</v>
      </c>
      <c r="F2254" s="2">
        <f>DATE(2026,IF(Tabla1[[#This Row],[Mes de Fecha]]="Septiembre",9,10),Tabla1[[#This Row],[Día de Fecha]])</f>
        <v>46300</v>
      </c>
      <c r="I2254">
        <v>0</v>
      </c>
      <c r="J2254" s="1">
        <v>5926259</v>
      </c>
      <c r="K2254">
        <v>0</v>
      </c>
    </row>
    <row r="2255" spans="1:11" x14ac:dyDescent="0.25">
      <c r="A2255" t="s">
        <v>326</v>
      </c>
      <c r="B2255" t="s">
        <v>343</v>
      </c>
      <c r="C2255" t="s">
        <v>867</v>
      </c>
      <c r="D2255" t="s">
        <v>14</v>
      </c>
      <c r="E2255">
        <v>5</v>
      </c>
      <c r="F2255" s="2">
        <f>DATE(2026,IF(Tabla1[[#This Row],[Mes de Fecha]]="Septiembre",9,10),Tabla1[[#This Row],[Día de Fecha]])</f>
        <v>46300</v>
      </c>
      <c r="G2255">
        <v>29314714</v>
      </c>
      <c r="H2255" t="s">
        <v>344</v>
      </c>
      <c r="I2255">
        <v>45</v>
      </c>
      <c r="J2255">
        <v>0</v>
      </c>
      <c r="K2255" s="1">
        <v>2607119</v>
      </c>
    </row>
    <row r="2256" spans="1:11" x14ac:dyDescent="0.25">
      <c r="A2256" t="s">
        <v>326</v>
      </c>
      <c r="B2256" t="s">
        <v>343</v>
      </c>
      <c r="C2256" t="s">
        <v>867</v>
      </c>
      <c r="D2256" t="s">
        <v>14</v>
      </c>
      <c r="E2256">
        <v>5</v>
      </c>
      <c r="F2256" s="2">
        <f>DATE(2026,IF(Tabla1[[#This Row],[Mes de Fecha]]="Septiembre",9,10),Tabla1[[#This Row],[Día de Fecha]])</f>
        <v>46300</v>
      </c>
      <c r="G2256">
        <v>1006321986</v>
      </c>
      <c r="H2256" t="s">
        <v>345</v>
      </c>
      <c r="I2256">
        <v>24</v>
      </c>
      <c r="J2256">
        <v>0</v>
      </c>
      <c r="K2256" s="1">
        <v>1435926</v>
      </c>
    </row>
    <row r="2257" spans="1:11" x14ac:dyDescent="0.25">
      <c r="A2257" t="s">
        <v>326</v>
      </c>
      <c r="B2257" t="s">
        <v>343</v>
      </c>
      <c r="C2257" t="s">
        <v>867</v>
      </c>
      <c r="D2257" t="s">
        <v>14</v>
      </c>
      <c r="E2257">
        <v>5</v>
      </c>
      <c r="F2257" s="2">
        <f>DATE(2026,IF(Tabla1[[#This Row],[Mes de Fecha]]="Septiembre",9,10),Tabla1[[#This Row],[Día de Fecha]])</f>
        <v>46300</v>
      </c>
      <c r="G2257">
        <v>1114062675</v>
      </c>
      <c r="H2257" t="s">
        <v>350</v>
      </c>
      <c r="I2257">
        <v>11</v>
      </c>
      <c r="J2257">
        <v>0</v>
      </c>
      <c r="K2257" s="1">
        <v>907060</v>
      </c>
    </row>
    <row r="2258" spans="1:11" x14ac:dyDescent="0.25">
      <c r="A2258" t="s">
        <v>326</v>
      </c>
      <c r="B2258" t="s">
        <v>343</v>
      </c>
      <c r="C2258" t="s">
        <v>867</v>
      </c>
      <c r="D2258" t="s">
        <v>14</v>
      </c>
      <c r="E2258">
        <v>5</v>
      </c>
      <c r="F2258" s="2">
        <f>DATE(2026,IF(Tabla1[[#This Row],[Mes de Fecha]]="Septiembre",9,10),Tabla1[[#This Row],[Día de Fecha]])</f>
        <v>46300</v>
      </c>
      <c r="G2258">
        <v>1140421188</v>
      </c>
      <c r="H2258" t="s">
        <v>347</v>
      </c>
      <c r="I2258">
        <v>-1</v>
      </c>
      <c r="J2258">
        <v>0</v>
      </c>
      <c r="K2258" s="1">
        <v>-54580</v>
      </c>
    </row>
    <row r="2259" spans="1:11" x14ac:dyDescent="0.25">
      <c r="A2259" t="s">
        <v>326</v>
      </c>
      <c r="B2259" t="s">
        <v>343</v>
      </c>
      <c r="C2259" t="s">
        <v>867</v>
      </c>
      <c r="D2259" t="s">
        <v>14</v>
      </c>
      <c r="E2259">
        <v>6</v>
      </c>
      <c r="F2259" s="2">
        <f>DATE(2026,IF(Tabla1[[#This Row],[Mes de Fecha]]="Septiembre",9,10),Tabla1[[#This Row],[Día de Fecha]])</f>
        <v>46301</v>
      </c>
      <c r="I2259">
        <v>0</v>
      </c>
      <c r="J2259" s="1">
        <v>2999385</v>
      </c>
      <c r="K2259">
        <v>0</v>
      </c>
    </row>
    <row r="2260" spans="1:11" x14ac:dyDescent="0.25">
      <c r="A2260" t="s">
        <v>326</v>
      </c>
      <c r="B2260" t="s">
        <v>343</v>
      </c>
      <c r="C2260" t="s">
        <v>867</v>
      </c>
      <c r="D2260" t="s">
        <v>14</v>
      </c>
      <c r="E2260">
        <v>6</v>
      </c>
      <c r="F2260" s="2">
        <f>DATE(2026,IF(Tabla1[[#This Row],[Mes de Fecha]]="Septiembre",9,10),Tabla1[[#This Row],[Día de Fecha]])</f>
        <v>46301</v>
      </c>
      <c r="G2260">
        <v>29314714</v>
      </c>
      <c r="H2260" t="s">
        <v>344</v>
      </c>
      <c r="I2260">
        <v>15</v>
      </c>
      <c r="J2260">
        <v>0</v>
      </c>
      <c r="K2260" s="1">
        <v>768068</v>
      </c>
    </row>
    <row r="2261" spans="1:11" x14ac:dyDescent="0.25">
      <c r="A2261" t="s">
        <v>326</v>
      </c>
      <c r="B2261" t="s">
        <v>343</v>
      </c>
      <c r="C2261" t="s">
        <v>867</v>
      </c>
      <c r="D2261" t="s">
        <v>14</v>
      </c>
      <c r="E2261">
        <v>6</v>
      </c>
      <c r="F2261" s="2">
        <f>DATE(2026,IF(Tabla1[[#This Row],[Mes de Fecha]]="Septiembre",9,10),Tabla1[[#This Row],[Día de Fecha]])</f>
        <v>46301</v>
      </c>
      <c r="G2261">
        <v>1006321986</v>
      </c>
      <c r="H2261" t="s">
        <v>345</v>
      </c>
      <c r="I2261">
        <v>11</v>
      </c>
      <c r="J2261">
        <v>0</v>
      </c>
      <c r="K2261" s="1">
        <v>609505</v>
      </c>
    </row>
    <row r="2262" spans="1:11" x14ac:dyDescent="0.25">
      <c r="A2262" t="s">
        <v>326</v>
      </c>
      <c r="B2262" t="s">
        <v>343</v>
      </c>
      <c r="C2262" t="s">
        <v>867</v>
      </c>
      <c r="D2262" t="s">
        <v>14</v>
      </c>
      <c r="E2262">
        <v>6</v>
      </c>
      <c r="F2262" s="2">
        <f>DATE(2026,IF(Tabla1[[#This Row],[Mes de Fecha]]="Septiembre",9,10),Tabla1[[#This Row],[Día de Fecha]])</f>
        <v>46301</v>
      </c>
      <c r="G2262">
        <v>1114062675</v>
      </c>
      <c r="H2262" t="s">
        <v>350</v>
      </c>
      <c r="I2262">
        <v>6</v>
      </c>
      <c r="J2262">
        <v>0</v>
      </c>
      <c r="K2262" s="1">
        <v>386304</v>
      </c>
    </row>
    <row r="2263" spans="1:11" x14ac:dyDescent="0.25">
      <c r="A2263" t="s">
        <v>326</v>
      </c>
      <c r="B2263" t="s">
        <v>343</v>
      </c>
      <c r="C2263" t="s">
        <v>867</v>
      </c>
      <c r="D2263" t="s">
        <v>14</v>
      </c>
      <c r="E2263">
        <v>6</v>
      </c>
      <c r="F2263" s="2">
        <f>DATE(2026,IF(Tabla1[[#This Row],[Mes de Fecha]]="Septiembre",9,10),Tabla1[[#This Row],[Día de Fecha]])</f>
        <v>46301</v>
      </c>
      <c r="G2263">
        <v>1116280441</v>
      </c>
      <c r="H2263" t="s">
        <v>348</v>
      </c>
      <c r="I2263">
        <v>-1</v>
      </c>
      <c r="J2263">
        <v>0</v>
      </c>
      <c r="K2263" s="1">
        <v>-46177</v>
      </c>
    </row>
    <row r="2264" spans="1:11" x14ac:dyDescent="0.25">
      <c r="A2264" t="s">
        <v>326</v>
      </c>
      <c r="B2264" t="s">
        <v>343</v>
      </c>
      <c r="C2264" t="s">
        <v>867</v>
      </c>
      <c r="D2264" t="s">
        <v>14</v>
      </c>
      <c r="E2264">
        <v>6</v>
      </c>
      <c r="F2264" s="2">
        <f>DATE(2026,IF(Tabla1[[#This Row],[Mes de Fecha]]="Septiembre",9,10),Tabla1[[#This Row],[Día de Fecha]])</f>
        <v>46301</v>
      </c>
      <c r="G2264">
        <v>1140421188</v>
      </c>
      <c r="H2264" t="s">
        <v>347</v>
      </c>
      <c r="I2264">
        <v>-1</v>
      </c>
      <c r="J2264">
        <v>0</v>
      </c>
      <c r="K2264" s="1">
        <v>-117605</v>
      </c>
    </row>
    <row r="2265" spans="1:11" x14ac:dyDescent="0.25">
      <c r="A2265" t="s">
        <v>326</v>
      </c>
      <c r="B2265" t="s">
        <v>343</v>
      </c>
      <c r="C2265" t="s">
        <v>867</v>
      </c>
      <c r="D2265" t="s">
        <v>14</v>
      </c>
      <c r="E2265">
        <v>7</v>
      </c>
      <c r="F2265" s="2">
        <f>DATE(2026,IF(Tabla1[[#This Row],[Mes de Fecha]]="Septiembre",9,10),Tabla1[[#This Row],[Día de Fecha]])</f>
        <v>46302</v>
      </c>
      <c r="I2265">
        <v>0</v>
      </c>
      <c r="J2265" s="1">
        <v>2967890</v>
      </c>
      <c r="K2265">
        <v>0</v>
      </c>
    </row>
    <row r="2266" spans="1:11" x14ac:dyDescent="0.25">
      <c r="A2266" t="s">
        <v>326</v>
      </c>
      <c r="B2266" t="s">
        <v>343</v>
      </c>
      <c r="C2266" t="s">
        <v>867</v>
      </c>
      <c r="D2266" t="s">
        <v>14</v>
      </c>
      <c r="E2266">
        <v>7</v>
      </c>
      <c r="F2266" s="2">
        <f>DATE(2026,IF(Tabla1[[#This Row],[Mes de Fecha]]="Septiembre",9,10),Tabla1[[#This Row],[Día de Fecha]])</f>
        <v>46302</v>
      </c>
      <c r="G2266">
        <v>29314714</v>
      </c>
      <c r="H2266" t="s">
        <v>344</v>
      </c>
      <c r="I2266">
        <v>33</v>
      </c>
      <c r="J2266">
        <v>0</v>
      </c>
      <c r="K2266" s="1">
        <v>1855635</v>
      </c>
    </row>
    <row r="2267" spans="1:11" x14ac:dyDescent="0.25">
      <c r="A2267" t="s">
        <v>326</v>
      </c>
      <c r="B2267" t="s">
        <v>343</v>
      </c>
      <c r="C2267" t="s">
        <v>867</v>
      </c>
      <c r="D2267" t="s">
        <v>14</v>
      </c>
      <c r="E2267">
        <v>7</v>
      </c>
      <c r="F2267" s="2">
        <f>DATE(2026,IF(Tabla1[[#This Row],[Mes de Fecha]]="Septiembre",9,10),Tabla1[[#This Row],[Día de Fecha]])</f>
        <v>46302</v>
      </c>
      <c r="G2267">
        <v>1006321986</v>
      </c>
      <c r="H2267" t="s">
        <v>345</v>
      </c>
      <c r="I2267">
        <v>16</v>
      </c>
      <c r="J2267">
        <v>0</v>
      </c>
      <c r="K2267" s="1">
        <v>869035</v>
      </c>
    </row>
    <row r="2268" spans="1:11" x14ac:dyDescent="0.25">
      <c r="A2268" t="s">
        <v>326</v>
      </c>
      <c r="B2268" t="s">
        <v>343</v>
      </c>
      <c r="C2268" t="s">
        <v>867</v>
      </c>
      <c r="D2268" t="s">
        <v>14</v>
      </c>
      <c r="E2268">
        <v>7</v>
      </c>
      <c r="F2268" s="2">
        <f>DATE(2026,IF(Tabla1[[#This Row],[Mes de Fecha]]="Septiembre",9,10),Tabla1[[#This Row],[Día de Fecha]])</f>
        <v>46302</v>
      </c>
      <c r="G2268">
        <v>1114062675</v>
      </c>
      <c r="H2268" t="s">
        <v>350</v>
      </c>
      <c r="I2268">
        <v>3</v>
      </c>
      <c r="J2268">
        <v>0</v>
      </c>
      <c r="K2268" s="1">
        <v>184749</v>
      </c>
    </row>
    <row r="2269" spans="1:11" x14ac:dyDescent="0.25">
      <c r="A2269" t="s">
        <v>326</v>
      </c>
      <c r="B2269" t="s">
        <v>366</v>
      </c>
      <c r="C2269" t="s">
        <v>867</v>
      </c>
      <c r="D2269" t="s">
        <v>11</v>
      </c>
      <c r="E2269">
        <v>23</v>
      </c>
      <c r="F2269" s="2">
        <f>DATE(2026,IF(Tabla1[[#This Row],[Mes de Fecha]]="Septiembre",9,10),Tabla1[[#This Row],[Día de Fecha]])</f>
        <v>46288</v>
      </c>
      <c r="I2269">
        <v>0</v>
      </c>
      <c r="J2269" s="1">
        <v>15426946</v>
      </c>
      <c r="K2269">
        <v>0</v>
      </c>
    </row>
    <row r="2270" spans="1:11" x14ac:dyDescent="0.25">
      <c r="A2270" t="s">
        <v>326</v>
      </c>
      <c r="B2270" t="s">
        <v>366</v>
      </c>
      <c r="C2270" t="s">
        <v>867</v>
      </c>
      <c r="D2270" t="s">
        <v>11</v>
      </c>
      <c r="E2270">
        <v>23</v>
      </c>
      <c r="F2270" s="2">
        <f>DATE(2026,IF(Tabla1[[#This Row],[Mes de Fecha]]="Septiembre",9,10),Tabla1[[#This Row],[Día de Fecha]])</f>
        <v>46288</v>
      </c>
      <c r="G2270">
        <v>1006426250</v>
      </c>
      <c r="H2270" t="s">
        <v>368</v>
      </c>
      <c r="I2270">
        <v>8</v>
      </c>
      <c r="J2270">
        <v>0</v>
      </c>
      <c r="K2270" s="1">
        <v>417689</v>
      </c>
    </row>
    <row r="2271" spans="1:11" x14ac:dyDescent="0.25">
      <c r="A2271" t="s">
        <v>326</v>
      </c>
      <c r="B2271" t="s">
        <v>366</v>
      </c>
      <c r="C2271" t="s">
        <v>867</v>
      </c>
      <c r="D2271" t="s">
        <v>11</v>
      </c>
      <c r="E2271">
        <v>23</v>
      </c>
      <c r="F2271" s="2">
        <f>DATE(2026,IF(Tabla1[[#This Row],[Mes de Fecha]]="Septiembre",9,10),Tabla1[[#This Row],[Día de Fecha]])</f>
        <v>46288</v>
      </c>
      <c r="G2271">
        <v>1006491147</v>
      </c>
      <c r="H2271" t="s">
        <v>367</v>
      </c>
      <c r="I2271">
        <v>79</v>
      </c>
      <c r="J2271">
        <v>0</v>
      </c>
      <c r="K2271" s="1">
        <v>4395758</v>
      </c>
    </row>
    <row r="2272" spans="1:11" x14ac:dyDescent="0.25">
      <c r="A2272" t="s">
        <v>326</v>
      </c>
      <c r="B2272" t="s">
        <v>366</v>
      </c>
      <c r="C2272" t="s">
        <v>867</v>
      </c>
      <c r="D2272" t="s">
        <v>11</v>
      </c>
      <c r="E2272">
        <v>23</v>
      </c>
      <c r="F2272" s="2">
        <f>DATE(2026,IF(Tabla1[[#This Row],[Mes de Fecha]]="Septiembre",9,10),Tabla1[[#This Row],[Día de Fecha]])</f>
        <v>46288</v>
      </c>
      <c r="G2272">
        <v>1116280441</v>
      </c>
      <c r="H2272" t="s">
        <v>348</v>
      </c>
      <c r="I2272">
        <v>72</v>
      </c>
      <c r="J2272">
        <v>0</v>
      </c>
      <c r="K2272" s="1">
        <v>4270042</v>
      </c>
    </row>
    <row r="2273" spans="1:11" x14ac:dyDescent="0.25">
      <c r="A2273" t="s">
        <v>326</v>
      </c>
      <c r="B2273" t="s">
        <v>366</v>
      </c>
      <c r="C2273" t="s">
        <v>867</v>
      </c>
      <c r="D2273" t="s">
        <v>11</v>
      </c>
      <c r="E2273">
        <v>23</v>
      </c>
      <c r="F2273" s="2">
        <f>DATE(2026,IF(Tabla1[[#This Row],[Mes de Fecha]]="Septiembre",9,10),Tabla1[[#This Row],[Día de Fecha]])</f>
        <v>46288</v>
      </c>
      <c r="G2273">
        <v>1116284273</v>
      </c>
      <c r="H2273" t="s">
        <v>346</v>
      </c>
      <c r="I2273">
        <v>108</v>
      </c>
      <c r="J2273">
        <v>0</v>
      </c>
      <c r="K2273" s="1">
        <v>6423870</v>
      </c>
    </row>
    <row r="2274" spans="1:11" x14ac:dyDescent="0.25">
      <c r="A2274" t="s">
        <v>326</v>
      </c>
      <c r="B2274" t="s">
        <v>366</v>
      </c>
      <c r="C2274" t="s">
        <v>867</v>
      </c>
      <c r="D2274" t="s">
        <v>11</v>
      </c>
      <c r="E2274">
        <v>23</v>
      </c>
      <c r="F2274" s="2">
        <f>DATE(2026,IF(Tabla1[[#This Row],[Mes de Fecha]]="Septiembre",9,10),Tabla1[[#This Row],[Día de Fecha]])</f>
        <v>46288</v>
      </c>
      <c r="G2274">
        <v>1140421188</v>
      </c>
      <c r="H2274" t="s">
        <v>347</v>
      </c>
      <c r="I2274">
        <v>-1</v>
      </c>
      <c r="J2274">
        <v>0</v>
      </c>
      <c r="K2274" s="1">
        <v>-167983</v>
      </c>
    </row>
    <row r="2275" spans="1:11" x14ac:dyDescent="0.25">
      <c r="A2275" t="s">
        <v>326</v>
      </c>
      <c r="B2275" t="s">
        <v>366</v>
      </c>
      <c r="C2275" t="s">
        <v>867</v>
      </c>
      <c r="D2275" t="s">
        <v>11</v>
      </c>
      <c r="E2275">
        <v>24</v>
      </c>
      <c r="F2275" s="2">
        <f>DATE(2026,IF(Tabla1[[#This Row],[Mes de Fecha]]="Septiembre",9,10),Tabla1[[#This Row],[Día de Fecha]])</f>
        <v>46289</v>
      </c>
      <c r="I2275">
        <v>0</v>
      </c>
      <c r="J2275" s="1">
        <v>23566394</v>
      </c>
      <c r="K2275">
        <v>0</v>
      </c>
    </row>
    <row r="2276" spans="1:11" x14ac:dyDescent="0.25">
      <c r="A2276" t="s">
        <v>326</v>
      </c>
      <c r="B2276" t="s">
        <v>366</v>
      </c>
      <c r="C2276" t="s">
        <v>867</v>
      </c>
      <c r="D2276" t="s">
        <v>11</v>
      </c>
      <c r="E2276">
        <v>24</v>
      </c>
      <c r="F2276" s="2">
        <f>DATE(2026,IF(Tabla1[[#This Row],[Mes de Fecha]]="Septiembre",9,10),Tabla1[[#This Row],[Día de Fecha]])</f>
        <v>46289</v>
      </c>
      <c r="G2276">
        <v>1006426250</v>
      </c>
      <c r="H2276" t="s">
        <v>368</v>
      </c>
      <c r="I2276">
        <v>11</v>
      </c>
      <c r="J2276">
        <v>0</v>
      </c>
      <c r="K2276" s="1">
        <v>541513</v>
      </c>
    </row>
    <row r="2277" spans="1:11" x14ac:dyDescent="0.25">
      <c r="A2277" t="s">
        <v>326</v>
      </c>
      <c r="B2277" t="s">
        <v>366</v>
      </c>
      <c r="C2277" t="s">
        <v>867</v>
      </c>
      <c r="D2277" t="s">
        <v>11</v>
      </c>
      <c r="E2277">
        <v>24</v>
      </c>
      <c r="F2277" s="2">
        <f>DATE(2026,IF(Tabla1[[#This Row],[Mes de Fecha]]="Septiembre",9,10),Tabla1[[#This Row],[Día de Fecha]])</f>
        <v>46289</v>
      </c>
      <c r="G2277">
        <v>1006491147</v>
      </c>
      <c r="H2277" t="s">
        <v>367</v>
      </c>
      <c r="I2277">
        <v>40</v>
      </c>
      <c r="J2277">
        <v>0</v>
      </c>
      <c r="K2277" s="1">
        <v>2407942</v>
      </c>
    </row>
    <row r="2278" spans="1:11" x14ac:dyDescent="0.25">
      <c r="A2278" t="s">
        <v>326</v>
      </c>
      <c r="B2278" t="s">
        <v>366</v>
      </c>
      <c r="C2278" t="s">
        <v>867</v>
      </c>
      <c r="D2278" t="s">
        <v>11</v>
      </c>
      <c r="E2278">
        <v>24</v>
      </c>
      <c r="F2278" s="2">
        <f>DATE(2026,IF(Tabla1[[#This Row],[Mes de Fecha]]="Septiembre",9,10),Tabla1[[#This Row],[Día de Fecha]])</f>
        <v>46289</v>
      </c>
      <c r="G2278">
        <v>1116280441</v>
      </c>
      <c r="H2278" t="s">
        <v>348</v>
      </c>
      <c r="I2278">
        <v>45</v>
      </c>
      <c r="J2278">
        <v>0</v>
      </c>
      <c r="K2278" s="1">
        <v>2466598</v>
      </c>
    </row>
    <row r="2279" spans="1:11" x14ac:dyDescent="0.25">
      <c r="A2279" t="s">
        <v>326</v>
      </c>
      <c r="B2279" t="s">
        <v>366</v>
      </c>
      <c r="C2279" t="s">
        <v>867</v>
      </c>
      <c r="D2279" t="s">
        <v>11</v>
      </c>
      <c r="E2279">
        <v>24</v>
      </c>
      <c r="F2279" s="2">
        <f>DATE(2026,IF(Tabla1[[#This Row],[Mes de Fecha]]="Septiembre",9,10),Tabla1[[#This Row],[Día de Fecha]])</f>
        <v>46289</v>
      </c>
      <c r="G2279">
        <v>1116284273</v>
      </c>
      <c r="H2279" t="s">
        <v>346</v>
      </c>
      <c r="I2279">
        <v>51</v>
      </c>
      <c r="J2279">
        <v>0</v>
      </c>
      <c r="K2279" s="1">
        <v>2689032</v>
      </c>
    </row>
    <row r="2280" spans="1:11" x14ac:dyDescent="0.25">
      <c r="A2280" t="s">
        <v>326</v>
      </c>
      <c r="B2280" t="s">
        <v>366</v>
      </c>
      <c r="C2280" t="s">
        <v>867</v>
      </c>
      <c r="D2280" t="s">
        <v>11</v>
      </c>
      <c r="E2280">
        <v>24</v>
      </c>
      <c r="F2280" s="2">
        <f>DATE(2026,IF(Tabla1[[#This Row],[Mes de Fecha]]="Septiembre",9,10),Tabla1[[#This Row],[Día de Fecha]])</f>
        <v>46289</v>
      </c>
      <c r="G2280">
        <v>1117349542</v>
      </c>
      <c r="H2280" t="s">
        <v>369</v>
      </c>
      <c r="I2280">
        <v>7</v>
      </c>
      <c r="J2280">
        <v>0</v>
      </c>
      <c r="K2280" s="1">
        <v>411471</v>
      </c>
    </row>
    <row r="2281" spans="1:11" x14ac:dyDescent="0.25">
      <c r="A2281" t="s">
        <v>326</v>
      </c>
      <c r="B2281" t="s">
        <v>366</v>
      </c>
      <c r="C2281" t="s">
        <v>867</v>
      </c>
      <c r="D2281" t="s">
        <v>11</v>
      </c>
      <c r="E2281">
        <v>24</v>
      </c>
      <c r="F2281" s="2">
        <f>DATE(2026,IF(Tabla1[[#This Row],[Mes de Fecha]]="Septiembre",9,10),Tabla1[[#This Row],[Día de Fecha]])</f>
        <v>46289</v>
      </c>
      <c r="G2281">
        <v>1140421188</v>
      </c>
      <c r="H2281" t="s">
        <v>347</v>
      </c>
      <c r="I2281">
        <v>-1</v>
      </c>
      <c r="J2281">
        <v>0</v>
      </c>
      <c r="K2281" s="1">
        <v>-92353</v>
      </c>
    </row>
    <row r="2282" spans="1:11" x14ac:dyDescent="0.25">
      <c r="A2282" t="s">
        <v>326</v>
      </c>
      <c r="B2282" t="s">
        <v>366</v>
      </c>
      <c r="C2282" t="s">
        <v>867</v>
      </c>
      <c r="D2282" t="s">
        <v>11</v>
      </c>
      <c r="E2282">
        <v>25</v>
      </c>
      <c r="F2282" s="2">
        <f>DATE(2026,IF(Tabla1[[#This Row],[Mes de Fecha]]="Septiembre",9,10),Tabla1[[#This Row],[Día de Fecha]])</f>
        <v>46290</v>
      </c>
      <c r="I2282">
        <v>0</v>
      </c>
      <c r="J2282" s="1">
        <v>23514223</v>
      </c>
      <c r="K2282">
        <v>0</v>
      </c>
    </row>
    <row r="2283" spans="1:11" x14ac:dyDescent="0.25">
      <c r="A2283" t="s">
        <v>326</v>
      </c>
      <c r="B2283" t="s">
        <v>366</v>
      </c>
      <c r="C2283" t="s">
        <v>867</v>
      </c>
      <c r="D2283" t="s">
        <v>11</v>
      </c>
      <c r="E2283">
        <v>25</v>
      </c>
      <c r="F2283" s="2">
        <f>DATE(2026,IF(Tabla1[[#This Row],[Mes de Fecha]]="Septiembre",9,10),Tabla1[[#This Row],[Día de Fecha]])</f>
        <v>46290</v>
      </c>
      <c r="G2283">
        <v>1006426250</v>
      </c>
      <c r="H2283" t="s">
        <v>368</v>
      </c>
      <c r="I2283">
        <v>24</v>
      </c>
      <c r="J2283">
        <v>0</v>
      </c>
      <c r="K2283" s="1">
        <v>1297312</v>
      </c>
    </row>
    <row r="2284" spans="1:11" x14ac:dyDescent="0.25">
      <c r="A2284" t="s">
        <v>326</v>
      </c>
      <c r="B2284" t="s">
        <v>366</v>
      </c>
      <c r="C2284" t="s">
        <v>867</v>
      </c>
      <c r="D2284" t="s">
        <v>11</v>
      </c>
      <c r="E2284">
        <v>25</v>
      </c>
      <c r="F2284" s="2">
        <f>DATE(2026,IF(Tabla1[[#This Row],[Mes de Fecha]]="Septiembre",9,10),Tabla1[[#This Row],[Día de Fecha]])</f>
        <v>46290</v>
      </c>
      <c r="G2284">
        <v>1006491147</v>
      </c>
      <c r="H2284" t="s">
        <v>367</v>
      </c>
      <c r="I2284">
        <v>40</v>
      </c>
      <c r="J2284">
        <v>0</v>
      </c>
      <c r="K2284" s="1">
        <v>2510802</v>
      </c>
    </row>
    <row r="2285" spans="1:11" x14ac:dyDescent="0.25">
      <c r="A2285" t="s">
        <v>326</v>
      </c>
      <c r="B2285" t="s">
        <v>366</v>
      </c>
      <c r="C2285" t="s">
        <v>867</v>
      </c>
      <c r="D2285" t="s">
        <v>11</v>
      </c>
      <c r="E2285">
        <v>25</v>
      </c>
      <c r="F2285" s="2">
        <f>DATE(2026,IF(Tabla1[[#This Row],[Mes de Fecha]]="Septiembre",9,10),Tabla1[[#This Row],[Día de Fecha]])</f>
        <v>46290</v>
      </c>
      <c r="G2285">
        <v>1116280441</v>
      </c>
      <c r="H2285" t="s">
        <v>348</v>
      </c>
      <c r="I2285">
        <v>41</v>
      </c>
      <c r="J2285">
        <v>0</v>
      </c>
      <c r="K2285" s="1">
        <v>2758784</v>
      </c>
    </row>
    <row r="2286" spans="1:11" x14ac:dyDescent="0.25">
      <c r="A2286" t="s">
        <v>326</v>
      </c>
      <c r="B2286" t="s">
        <v>366</v>
      </c>
      <c r="C2286" t="s">
        <v>867</v>
      </c>
      <c r="D2286" t="s">
        <v>11</v>
      </c>
      <c r="E2286">
        <v>25</v>
      </c>
      <c r="F2286" s="2">
        <f>DATE(2026,IF(Tabla1[[#This Row],[Mes de Fecha]]="Septiembre",9,10),Tabla1[[#This Row],[Día de Fecha]])</f>
        <v>46290</v>
      </c>
      <c r="G2286">
        <v>1116284273</v>
      </c>
      <c r="H2286" t="s">
        <v>346</v>
      </c>
      <c r="I2286">
        <v>44</v>
      </c>
      <c r="J2286">
        <v>0</v>
      </c>
      <c r="K2286" s="1">
        <v>2670420</v>
      </c>
    </row>
    <row r="2287" spans="1:11" x14ac:dyDescent="0.25">
      <c r="A2287" t="s">
        <v>326</v>
      </c>
      <c r="B2287" t="s">
        <v>366</v>
      </c>
      <c r="C2287" t="s">
        <v>867</v>
      </c>
      <c r="D2287" t="s">
        <v>11</v>
      </c>
      <c r="E2287">
        <v>25</v>
      </c>
      <c r="F2287" s="2">
        <f>DATE(2026,IF(Tabla1[[#This Row],[Mes de Fecha]]="Septiembre",9,10),Tabla1[[#This Row],[Día de Fecha]])</f>
        <v>46290</v>
      </c>
      <c r="G2287">
        <v>1117349542</v>
      </c>
      <c r="H2287" t="s">
        <v>369</v>
      </c>
      <c r="I2287">
        <v>1</v>
      </c>
      <c r="J2287">
        <v>0</v>
      </c>
      <c r="K2287" s="1">
        <v>109202</v>
      </c>
    </row>
    <row r="2288" spans="1:11" x14ac:dyDescent="0.25">
      <c r="A2288" t="s">
        <v>326</v>
      </c>
      <c r="B2288" t="s">
        <v>366</v>
      </c>
      <c r="C2288" t="s">
        <v>867</v>
      </c>
      <c r="D2288" t="s">
        <v>11</v>
      </c>
      <c r="E2288">
        <v>26</v>
      </c>
      <c r="F2288" s="2">
        <f>DATE(2026,IF(Tabla1[[#This Row],[Mes de Fecha]]="Septiembre",9,10),Tabla1[[#This Row],[Día de Fecha]])</f>
        <v>46291</v>
      </c>
      <c r="I2288">
        <v>0</v>
      </c>
      <c r="J2288" s="1">
        <v>33793320</v>
      </c>
      <c r="K2288">
        <v>0</v>
      </c>
    </row>
    <row r="2289" spans="1:11" x14ac:dyDescent="0.25">
      <c r="A2289" t="s">
        <v>326</v>
      </c>
      <c r="B2289" t="s">
        <v>366</v>
      </c>
      <c r="C2289" t="s">
        <v>867</v>
      </c>
      <c r="D2289" t="s">
        <v>11</v>
      </c>
      <c r="E2289">
        <v>26</v>
      </c>
      <c r="F2289" s="2">
        <f>DATE(2026,IF(Tabla1[[#This Row],[Mes de Fecha]]="Septiembre",9,10),Tabla1[[#This Row],[Día de Fecha]])</f>
        <v>46291</v>
      </c>
      <c r="G2289">
        <v>1006426250</v>
      </c>
      <c r="H2289" t="s">
        <v>368</v>
      </c>
      <c r="I2289">
        <v>38</v>
      </c>
      <c r="J2289">
        <v>0</v>
      </c>
      <c r="K2289" s="1">
        <v>2426935</v>
      </c>
    </row>
    <row r="2290" spans="1:11" x14ac:dyDescent="0.25">
      <c r="A2290" t="s">
        <v>326</v>
      </c>
      <c r="B2290" t="s">
        <v>366</v>
      </c>
      <c r="C2290" t="s">
        <v>867</v>
      </c>
      <c r="D2290" t="s">
        <v>11</v>
      </c>
      <c r="E2290">
        <v>26</v>
      </c>
      <c r="F2290" s="2">
        <f>DATE(2026,IF(Tabla1[[#This Row],[Mes de Fecha]]="Septiembre",9,10),Tabla1[[#This Row],[Día de Fecha]])</f>
        <v>46291</v>
      </c>
      <c r="G2290">
        <v>1006491147</v>
      </c>
      <c r="H2290" t="s">
        <v>367</v>
      </c>
      <c r="I2290">
        <v>64</v>
      </c>
      <c r="J2290">
        <v>0</v>
      </c>
      <c r="K2290" s="1">
        <v>3908782</v>
      </c>
    </row>
    <row r="2291" spans="1:11" x14ac:dyDescent="0.25">
      <c r="A2291" t="s">
        <v>326</v>
      </c>
      <c r="B2291" t="s">
        <v>366</v>
      </c>
      <c r="C2291" t="s">
        <v>867</v>
      </c>
      <c r="D2291" t="s">
        <v>11</v>
      </c>
      <c r="E2291">
        <v>26</v>
      </c>
      <c r="F2291" s="2">
        <f>DATE(2026,IF(Tabla1[[#This Row],[Mes de Fecha]]="Septiembre",9,10),Tabla1[[#This Row],[Día de Fecha]])</f>
        <v>46291</v>
      </c>
      <c r="G2291">
        <v>1116280441</v>
      </c>
      <c r="H2291" t="s">
        <v>348</v>
      </c>
      <c r="I2291">
        <v>117</v>
      </c>
      <c r="J2291">
        <v>0</v>
      </c>
      <c r="K2291" s="1">
        <v>7053871</v>
      </c>
    </row>
    <row r="2292" spans="1:11" x14ac:dyDescent="0.25">
      <c r="A2292" t="s">
        <v>326</v>
      </c>
      <c r="B2292" t="s">
        <v>366</v>
      </c>
      <c r="C2292" t="s">
        <v>867</v>
      </c>
      <c r="D2292" t="s">
        <v>11</v>
      </c>
      <c r="E2292">
        <v>26</v>
      </c>
      <c r="F2292" s="2">
        <f>DATE(2026,IF(Tabla1[[#This Row],[Mes de Fecha]]="Septiembre",9,10),Tabla1[[#This Row],[Día de Fecha]])</f>
        <v>46291</v>
      </c>
      <c r="G2292">
        <v>1116284273</v>
      </c>
      <c r="H2292" t="s">
        <v>346</v>
      </c>
      <c r="I2292">
        <v>75</v>
      </c>
      <c r="J2292">
        <v>0</v>
      </c>
      <c r="K2292" s="1">
        <v>4557651</v>
      </c>
    </row>
    <row r="2293" spans="1:11" x14ac:dyDescent="0.25">
      <c r="A2293" t="s">
        <v>326</v>
      </c>
      <c r="B2293" t="s">
        <v>366</v>
      </c>
      <c r="C2293" t="s">
        <v>867</v>
      </c>
      <c r="D2293" t="s">
        <v>11</v>
      </c>
      <c r="E2293">
        <v>26</v>
      </c>
      <c r="F2293" s="2">
        <f>DATE(2026,IF(Tabla1[[#This Row],[Mes de Fecha]]="Septiembre",9,10),Tabla1[[#This Row],[Día de Fecha]])</f>
        <v>46291</v>
      </c>
      <c r="G2293">
        <v>1117349542</v>
      </c>
      <c r="H2293" t="s">
        <v>369</v>
      </c>
      <c r="I2293">
        <v>1</v>
      </c>
      <c r="J2293">
        <v>0</v>
      </c>
      <c r="K2293" s="1">
        <v>41975</v>
      </c>
    </row>
    <row r="2294" spans="1:11" x14ac:dyDescent="0.25">
      <c r="A2294" t="s">
        <v>326</v>
      </c>
      <c r="B2294" t="s">
        <v>366</v>
      </c>
      <c r="C2294" t="s">
        <v>867</v>
      </c>
      <c r="D2294" t="s">
        <v>11</v>
      </c>
      <c r="E2294">
        <v>27</v>
      </c>
      <c r="F2294" s="2">
        <f>DATE(2026,IF(Tabla1[[#This Row],[Mes de Fecha]]="Septiembre",9,10),Tabla1[[#This Row],[Día de Fecha]])</f>
        <v>46292</v>
      </c>
      <c r="I2294">
        <v>0</v>
      </c>
      <c r="J2294" s="1">
        <v>26771111</v>
      </c>
      <c r="K2294">
        <v>0</v>
      </c>
    </row>
    <row r="2295" spans="1:11" x14ac:dyDescent="0.25">
      <c r="A2295" t="s">
        <v>326</v>
      </c>
      <c r="B2295" t="s">
        <v>366</v>
      </c>
      <c r="C2295" t="s">
        <v>867</v>
      </c>
      <c r="D2295" t="s">
        <v>11</v>
      </c>
      <c r="E2295">
        <v>27</v>
      </c>
      <c r="F2295" s="2">
        <f>DATE(2026,IF(Tabla1[[#This Row],[Mes de Fecha]]="Septiembre",9,10),Tabla1[[#This Row],[Día de Fecha]])</f>
        <v>46292</v>
      </c>
      <c r="G2295">
        <v>29314714</v>
      </c>
      <c r="H2295" t="s">
        <v>344</v>
      </c>
      <c r="I2295">
        <v>-1</v>
      </c>
      <c r="J2295">
        <v>0</v>
      </c>
      <c r="K2295" s="1">
        <v>-83992</v>
      </c>
    </row>
    <row r="2296" spans="1:11" x14ac:dyDescent="0.25">
      <c r="A2296" t="s">
        <v>326</v>
      </c>
      <c r="B2296" t="s">
        <v>366</v>
      </c>
      <c r="C2296" t="s">
        <v>867</v>
      </c>
      <c r="D2296" t="s">
        <v>11</v>
      </c>
      <c r="E2296">
        <v>27</v>
      </c>
      <c r="F2296" s="2">
        <f>DATE(2026,IF(Tabla1[[#This Row],[Mes de Fecha]]="Septiembre",9,10),Tabla1[[#This Row],[Día de Fecha]])</f>
        <v>46292</v>
      </c>
      <c r="G2296">
        <v>1006426250</v>
      </c>
      <c r="H2296" t="s">
        <v>368</v>
      </c>
      <c r="I2296">
        <v>8</v>
      </c>
      <c r="J2296">
        <v>0</v>
      </c>
      <c r="K2296" s="1">
        <v>554286</v>
      </c>
    </row>
    <row r="2297" spans="1:11" x14ac:dyDescent="0.25">
      <c r="A2297" t="s">
        <v>326</v>
      </c>
      <c r="B2297" t="s">
        <v>366</v>
      </c>
      <c r="C2297" t="s">
        <v>867</v>
      </c>
      <c r="D2297" t="s">
        <v>11</v>
      </c>
      <c r="E2297">
        <v>27</v>
      </c>
      <c r="F2297" s="2">
        <f>DATE(2026,IF(Tabla1[[#This Row],[Mes de Fecha]]="Septiembre",9,10),Tabla1[[#This Row],[Día de Fecha]])</f>
        <v>46292</v>
      </c>
      <c r="G2297">
        <v>1006491147</v>
      </c>
      <c r="H2297" t="s">
        <v>367</v>
      </c>
      <c r="I2297">
        <v>70</v>
      </c>
      <c r="J2297">
        <v>0</v>
      </c>
      <c r="K2297" s="1">
        <v>4509501</v>
      </c>
    </row>
    <row r="2298" spans="1:11" x14ac:dyDescent="0.25">
      <c r="A2298" t="s">
        <v>326</v>
      </c>
      <c r="B2298" t="s">
        <v>366</v>
      </c>
      <c r="C2298" t="s">
        <v>867</v>
      </c>
      <c r="D2298" t="s">
        <v>11</v>
      </c>
      <c r="E2298">
        <v>27</v>
      </c>
      <c r="F2298" s="2">
        <f>DATE(2026,IF(Tabla1[[#This Row],[Mes de Fecha]]="Septiembre",9,10),Tabla1[[#This Row],[Día de Fecha]])</f>
        <v>46292</v>
      </c>
      <c r="G2298">
        <v>1038822751</v>
      </c>
      <c r="H2298" t="s">
        <v>370</v>
      </c>
      <c r="I2298">
        <v>-1</v>
      </c>
      <c r="J2298">
        <v>0</v>
      </c>
      <c r="K2298" s="1">
        <v>-105000</v>
      </c>
    </row>
    <row r="2299" spans="1:11" x14ac:dyDescent="0.25">
      <c r="A2299" t="s">
        <v>326</v>
      </c>
      <c r="B2299" t="s">
        <v>366</v>
      </c>
      <c r="C2299" t="s">
        <v>867</v>
      </c>
      <c r="D2299" t="s">
        <v>11</v>
      </c>
      <c r="E2299">
        <v>27</v>
      </c>
      <c r="F2299" s="2">
        <f>DATE(2026,IF(Tabla1[[#This Row],[Mes de Fecha]]="Septiembre",9,10),Tabla1[[#This Row],[Día de Fecha]])</f>
        <v>46292</v>
      </c>
      <c r="G2299">
        <v>1116280441</v>
      </c>
      <c r="H2299" t="s">
        <v>348</v>
      </c>
      <c r="I2299">
        <v>165</v>
      </c>
      <c r="J2299">
        <v>0</v>
      </c>
      <c r="K2299" s="1">
        <v>9832742</v>
      </c>
    </row>
    <row r="2300" spans="1:11" x14ac:dyDescent="0.25">
      <c r="A2300" t="s">
        <v>326</v>
      </c>
      <c r="B2300" t="s">
        <v>366</v>
      </c>
      <c r="C2300" t="s">
        <v>867</v>
      </c>
      <c r="D2300" t="s">
        <v>11</v>
      </c>
      <c r="E2300">
        <v>27</v>
      </c>
      <c r="F2300" s="2">
        <f>DATE(2026,IF(Tabla1[[#This Row],[Mes de Fecha]]="Septiembre",9,10),Tabla1[[#This Row],[Día de Fecha]])</f>
        <v>46292</v>
      </c>
      <c r="G2300">
        <v>1116284273</v>
      </c>
      <c r="H2300" t="s">
        <v>346</v>
      </c>
      <c r="I2300">
        <v>93</v>
      </c>
      <c r="J2300">
        <v>0</v>
      </c>
      <c r="K2300" s="1">
        <v>6119839</v>
      </c>
    </row>
    <row r="2301" spans="1:11" x14ac:dyDescent="0.25">
      <c r="A2301" t="s">
        <v>326</v>
      </c>
      <c r="B2301" t="s">
        <v>366</v>
      </c>
      <c r="C2301" t="s">
        <v>867</v>
      </c>
      <c r="D2301" t="s">
        <v>11</v>
      </c>
      <c r="E2301">
        <v>27</v>
      </c>
      <c r="F2301" s="2">
        <f>DATE(2026,IF(Tabla1[[#This Row],[Mes de Fecha]]="Septiembre",9,10),Tabla1[[#This Row],[Día de Fecha]])</f>
        <v>46292</v>
      </c>
      <c r="G2301">
        <v>1117349542</v>
      </c>
      <c r="H2301" t="s">
        <v>369</v>
      </c>
      <c r="I2301">
        <v>8</v>
      </c>
      <c r="J2301">
        <v>0</v>
      </c>
      <c r="K2301" s="1">
        <v>390421</v>
      </c>
    </row>
    <row r="2302" spans="1:11" x14ac:dyDescent="0.25">
      <c r="A2302" t="s">
        <v>326</v>
      </c>
      <c r="B2302" t="s">
        <v>366</v>
      </c>
      <c r="C2302" t="s">
        <v>867</v>
      </c>
      <c r="D2302" t="s">
        <v>11</v>
      </c>
      <c r="E2302">
        <v>28</v>
      </c>
      <c r="F2302" s="2">
        <f>DATE(2026,IF(Tabla1[[#This Row],[Mes de Fecha]]="Septiembre",9,10),Tabla1[[#This Row],[Día de Fecha]])</f>
        <v>46293</v>
      </c>
      <c r="I2302">
        <v>0</v>
      </c>
      <c r="J2302" s="1">
        <v>14733721</v>
      </c>
      <c r="K2302">
        <v>0</v>
      </c>
    </row>
    <row r="2303" spans="1:11" x14ac:dyDescent="0.25">
      <c r="A2303" t="s">
        <v>326</v>
      </c>
      <c r="B2303" t="s">
        <v>366</v>
      </c>
      <c r="C2303" t="s">
        <v>867</v>
      </c>
      <c r="D2303" t="s">
        <v>11</v>
      </c>
      <c r="E2303">
        <v>28</v>
      </c>
      <c r="F2303" s="2">
        <f>DATE(2026,IF(Tabla1[[#This Row],[Mes de Fecha]]="Septiembre",9,10),Tabla1[[#This Row],[Día de Fecha]])</f>
        <v>46293</v>
      </c>
      <c r="G2303">
        <v>1006426250</v>
      </c>
      <c r="H2303" t="s">
        <v>368</v>
      </c>
      <c r="I2303">
        <v>11</v>
      </c>
      <c r="J2303">
        <v>0</v>
      </c>
      <c r="K2303" s="1">
        <v>619286</v>
      </c>
    </row>
    <row r="2304" spans="1:11" x14ac:dyDescent="0.25">
      <c r="A2304" t="s">
        <v>326</v>
      </c>
      <c r="B2304" t="s">
        <v>366</v>
      </c>
      <c r="C2304" t="s">
        <v>867</v>
      </c>
      <c r="D2304" t="s">
        <v>11</v>
      </c>
      <c r="E2304">
        <v>28</v>
      </c>
      <c r="F2304" s="2">
        <f>DATE(2026,IF(Tabla1[[#This Row],[Mes de Fecha]]="Septiembre",9,10),Tabla1[[#This Row],[Día de Fecha]])</f>
        <v>46293</v>
      </c>
      <c r="G2304">
        <v>1006491147</v>
      </c>
      <c r="H2304" t="s">
        <v>367</v>
      </c>
      <c r="I2304">
        <v>36</v>
      </c>
      <c r="J2304">
        <v>0</v>
      </c>
      <c r="K2304" s="1">
        <v>2641304</v>
      </c>
    </row>
    <row r="2305" spans="1:11" x14ac:dyDescent="0.25">
      <c r="A2305" t="s">
        <v>326</v>
      </c>
      <c r="B2305" t="s">
        <v>366</v>
      </c>
      <c r="C2305" t="s">
        <v>867</v>
      </c>
      <c r="D2305" t="s">
        <v>11</v>
      </c>
      <c r="E2305">
        <v>28</v>
      </c>
      <c r="F2305" s="2">
        <f>DATE(2026,IF(Tabla1[[#This Row],[Mes de Fecha]]="Septiembre",9,10),Tabla1[[#This Row],[Día de Fecha]])</f>
        <v>46293</v>
      </c>
      <c r="G2305">
        <v>1114062675</v>
      </c>
      <c r="H2305" t="s">
        <v>350</v>
      </c>
      <c r="I2305">
        <v>-1</v>
      </c>
      <c r="J2305">
        <v>0</v>
      </c>
      <c r="K2305" s="1">
        <v>-105000</v>
      </c>
    </row>
    <row r="2306" spans="1:11" x14ac:dyDescent="0.25">
      <c r="A2306" t="s">
        <v>326</v>
      </c>
      <c r="B2306" t="s">
        <v>366</v>
      </c>
      <c r="C2306" t="s">
        <v>867</v>
      </c>
      <c r="D2306" t="s">
        <v>11</v>
      </c>
      <c r="E2306">
        <v>28</v>
      </c>
      <c r="F2306" s="2">
        <f>DATE(2026,IF(Tabla1[[#This Row],[Mes de Fecha]]="Septiembre",9,10),Tabla1[[#This Row],[Día de Fecha]])</f>
        <v>46293</v>
      </c>
      <c r="G2306">
        <v>1116280441</v>
      </c>
      <c r="H2306" t="s">
        <v>348</v>
      </c>
      <c r="I2306">
        <v>48</v>
      </c>
      <c r="J2306">
        <v>0</v>
      </c>
      <c r="K2306" s="1">
        <v>2731010</v>
      </c>
    </row>
    <row r="2307" spans="1:11" x14ac:dyDescent="0.25">
      <c r="A2307" t="s">
        <v>326</v>
      </c>
      <c r="B2307" t="s">
        <v>366</v>
      </c>
      <c r="C2307" t="s">
        <v>867</v>
      </c>
      <c r="D2307" t="s">
        <v>11</v>
      </c>
      <c r="E2307">
        <v>28</v>
      </c>
      <c r="F2307" s="2">
        <f>DATE(2026,IF(Tabla1[[#This Row],[Mes de Fecha]]="Septiembre",9,10),Tabla1[[#This Row],[Día de Fecha]])</f>
        <v>46293</v>
      </c>
      <c r="G2307">
        <v>1116284273</v>
      </c>
      <c r="H2307" t="s">
        <v>346</v>
      </c>
      <c r="I2307">
        <v>36</v>
      </c>
      <c r="J2307">
        <v>0</v>
      </c>
      <c r="K2307" s="1">
        <v>2124374</v>
      </c>
    </row>
    <row r="2308" spans="1:11" x14ac:dyDescent="0.25">
      <c r="A2308" t="s">
        <v>326</v>
      </c>
      <c r="B2308" t="s">
        <v>366</v>
      </c>
      <c r="C2308" t="s">
        <v>867</v>
      </c>
      <c r="D2308" t="s">
        <v>11</v>
      </c>
      <c r="E2308">
        <v>29</v>
      </c>
      <c r="F2308" s="2">
        <f>DATE(2026,IF(Tabla1[[#This Row],[Mes de Fecha]]="Septiembre",9,10),Tabla1[[#This Row],[Día de Fecha]])</f>
        <v>46294</v>
      </c>
      <c r="I2308">
        <v>0</v>
      </c>
      <c r="J2308" s="1">
        <v>15738499</v>
      </c>
      <c r="K2308">
        <v>0</v>
      </c>
    </row>
    <row r="2309" spans="1:11" x14ac:dyDescent="0.25">
      <c r="A2309" t="s">
        <v>326</v>
      </c>
      <c r="B2309" t="s">
        <v>366</v>
      </c>
      <c r="C2309" t="s">
        <v>867</v>
      </c>
      <c r="D2309" t="s">
        <v>11</v>
      </c>
      <c r="E2309">
        <v>29</v>
      </c>
      <c r="F2309" s="2">
        <f>DATE(2026,IF(Tabla1[[#This Row],[Mes de Fecha]]="Septiembre",9,10),Tabla1[[#This Row],[Día de Fecha]])</f>
        <v>46294</v>
      </c>
      <c r="G2309">
        <v>1006426250</v>
      </c>
      <c r="H2309" t="s">
        <v>368</v>
      </c>
      <c r="I2309">
        <v>31</v>
      </c>
      <c r="J2309">
        <v>0</v>
      </c>
      <c r="K2309" s="1">
        <v>1653993</v>
      </c>
    </row>
    <row r="2310" spans="1:11" x14ac:dyDescent="0.25">
      <c r="A2310" t="s">
        <v>326</v>
      </c>
      <c r="B2310" t="s">
        <v>366</v>
      </c>
      <c r="C2310" t="s">
        <v>867</v>
      </c>
      <c r="D2310" t="s">
        <v>11</v>
      </c>
      <c r="E2310">
        <v>29</v>
      </c>
      <c r="F2310" s="2">
        <f>DATE(2026,IF(Tabla1[[#This Row],[Mes de Fecha]]="Septiembre",9,10),Tabla1[[#This Row],[Día de Fecha]])</f>
        <v>46294</v>
      </c>
      <c r="G2310">
        <v>1006491147</v>
      </c>
      <c r="H2310" t="s">
        <v>367</v>
      </c>
      <c r="I2310">
        <v>43</v>
      </c>
      <c r="J2310">
        <v>0</v>
      </c>
      <c r="K2310" s="1">
        <v>2632565</v>
      </c>
    </row>
    <row r="2311" spans="1:11" x14ac:dyDescent="0.25">
      <c r="A2311" t="s">
        <v>326</v>
      </c>
      <c r="B2311" t="s">
        <v>366</v>
      </c>
      <c r="C2311" t="s">
        <v>867</v>
      </c>
      <c r="D2311" t="s">
        <v>11</v>
      </c>
      <c r="E2311">
        <v>29</v>
      </c>
      <c r="F2311" s="2">
        <f>DATE(2026,IF(Tabla1[[#This Row],[Mes de Fecha]]="Septiembre",9,10),Tabla1[[#This Row],[Día de Fecha]])</f>
        <v>46294</v>
      </c>
      <c r="G2311">
        <v>1113038720</v>
      </c>
      <c r="H2311" t="s">
        <v>349</v>
      </c>
      <c r="I2311">
        <v>-1</v>
      </c>
      <c r="J2311">
        <v>0</v>
      </c>
      <c r="K2311" s="1">
        <v>-88193</v>
      </c>
    </row>
    <row r="2312" spans="1:11" x14ac:dyDescent="0.25">
      <c r="A2312" t="s">
        <v>326</v>
      </c>
      <c r="B2312" t="s">
        <v>366</v>
      </c>
      <c r="C2312" t="s">
        <v>867</v>
      </c>
      <c r="D2312" t="s">
        <v>11</v>
      </c>
      <c r="E2312">
        <v>29</v>
      </c>
      <c r="F2312" s="2">
        <f>DATE(2026,IF(Tabla1[[#This Row],[Mes de Fecha]]="Septiembre",9,10),Tabla1[[#This Row],[Día de Fecha]])</f>
        <v>46294</v>
      </c>
      <c r="G2312">
        <v>1116280441</v>
      </c>
      <c r="H2312" t="s">
        <v>348</v>
      </c>
      <c r="I2312">
        <v>50</v>
      </c>
      <c r="J2312">
        <v>0</v>
      </c>
      <c r="K2312" s="1">
        <v>2663339</v>
      </c>
    </row>
    <row r="2313" spans="1:11" x14ac:dyDescent="0.25">
      <c r="A2313" t="s">
        <v>326</v>
      </c>
      <c r="B2313" t="s">
        <v>366</v>
      </c>
      <c r="C2313" t="s">
        <v>867</v>
      </c>
      <c r="D2313" t="s">
        <v>11</v>
      </c>
      <c r="E2313">
        <v>29</v>
      </c>
      <c r="F2313" s="2">
        <f>DATE(2026,IF(Tabla1[[#This Row],[Mes de Fecha]]="Septiembre",9,10),Tabla1[[#This Row],[Día de Fecha]])</f>
        <v>46294</v>
      </c>
      <c r="G2313">
        <v>1116284273</v>
      </c>
      <c r="H2313" t="s">
        <v>346</v>
      </c>
      <c r="I2313">
        <v>47</v>
      </c>
      <c r="J2313">
        <v>0</v>
      </c>
      <c r="K2313" s="1">
        <v>2468237</v>
      </c>
    </row>
    <row r="2314" spans="1:11" x14ac:dyDescent="0.25">
      <c r="A2314" t="s">
        <v>326</v>
      </c>
      <c r="B2314" t="s">
        <v>366</v>
      </c>
      <c r="C2314" t="s">
        <v>867</v>
      </c>
      <c r="D2314" t="s">
        <v>11</v>
      </c>
      <c r="E2314">
        <v>29</v>
      </c>
      <c r="F2314" s="2">
        <f>DATE(2026,IF(Tabla1[[#This Row],[Mes de Fecha]]="Septiembre",9,10),Tabla1[[#This Row],[Día de Fecha]])</f>
        <v>46294</v>
      </c>
      <c r="G2314">
        <v>1140421188</v>
      </c>
      <c r="H2314" t="s">
        <v>347</v>
      </c>
      <c r="I2314">
        <v>-2</v>
      </c>
      <c r="J2314">
        <v>0</v>
      </c>
      <c r="K2314" s="1">
        <v>-210000</v>
      </c>
    </row>
    <row r="2315" spans="1:11" x14ac:dyDescent="0.25">
      <c r="A2315" t="s">
        <v>326</v>
      </c>
      <c r="B2315" t="s">
        <v>366</v>
      </c>
      <c r="C2315" t="s">
        <v>867</v>
      </c>
      <c r="D2315" t="s">
        <v>11</v>
      </c>
      <c r="E2315">
        <v>30</v>
      </c>
      <c r="F2315" s="2">
        <f>DATE(2026,IF(Tabla1[[#This Row],[Mes de Fecha]]="Septiembre",9,10),Tabla1[[#This Row],[Día de Fecha]])</f>
        <v>46295</v>
      </c>
      <c r="I2315">
        <v>0</v>
      </c>
      <c r="J2315" s="1">
        <v>16258150</v>
      </c>
      <c r="K2315">
        <v>0</v>
      </c>
    </row>
    <row r="2316" spans="1:11" x14ac:dyDescent="0.25">
      <c r="A2316" t="s">
        <v>326</v>
      </c>
      <c r="B2316" t="s">
        <v>366</v>
      </c>
      <c r="C2316" t="s">
        <v>867</v>
      </c>
      <c r="D2316" t="s">
        <v>11</v>
      </c>
      <c r="E2316">
        <v>30</v>
      </c>
      <c r="F2316" s="2">
        <f>DATE(2026,IF(Tabla1[[#This Row],[Mes de Fecha]]="Septiembre",9,10),Tabla1[[#This Row],[Día de Fecha]])</f>
        <v>46295</v>
      </c>
      <c r="G2316">
        <v>1006426250</v>
      </c>
      <c r="H2316" t="s">
        <v>368</v>
      </c>
      <c r="I2316">
        <v>30</v>
      </c>
      <c r="J2316">
        <v>0</v>
      </c>
      <c r="K2316" s="1">
        <v>1492270</v>
      </c>
    </row>
    <row r="2317" spans="1:11" x14ac:dyDescent="0.25">
      <c r="A2317" t="s">
        <v>326</v>
      </c>
      <c r="B2317" t="s">
        <v>366</v>
      </c>
      <c r="C2317" t="s">
        <v>867</v>
      </c>
      <c r="D2317" t="s">
        <v>11</v>
      </c>
      <c r="E2317">
        <v>30</v>
      </c>
      <c r="F2317" s="2">
        <f>DATE(2026,IF(Tabla1[[#This Row],[Mes de Fecha]]="Septiembre",9,10),Tabla1[[#This Row],[Día de Fecha]])</f>
        <v>46295</v>
      </c>
      <c r="G2317">
        <v>1006491147</v>
      </c>
      <c r="H2317" t="s">
        <v>367</v>
      </c>
      <c r="I2317">
        <v>32</v>
      </c>
      <c r="J2317">
        <v>0</v>
      </c>
      <c r="K2317" s="1">
        <v>1719036</v>
      </c>
    </row>
    <row r="2318" spans="1:11" x14ac:dyDescent="0.25">
      <c r="A2318" t="s">
        <v>326</v>
      </c>
      <c r="B2318" t="s">
        <v>366</v>
      </c>
      <c r="C2318" t="s">
        <v>867</v>
      </c>
      <c r="D2318" t="s">
        <v>11</v>
      </c>
      <c r="E2318">
        <v>30</v>
      </c>
      <c r="F2318" s="2">
        <f>DATE(2026,IF(Tabla1[[#This Row],[Mes de Fecha]]="Septiembre",9,10),Tabla1[[#This Row],[Día de Fecha]])</f>
        <v>46295</v>
      </c>
      <c r="G2318">
        <v>1010076976</v>
      </c>
      <c r="H2318" t="s">
        <v>371</v>
      </c>
      <c r="I2318">
        <v>-1</v>
      </c>
      <c r="J2318">
        <v>0</v>
      </c>
      <c r="K2318" s="1">
        <v>-41975</v>
      </c>
    </row>
    <row r="2319" spans="1:11" x14ac:dyDescent="0.25">
      <c r="A2319" t="s">
        <v>326</v>
      </c>
      <c r="B2319" t="s">
        <v>366</v>
      </c>
      <c r="C2319" t="s">
        <v>867</v>
      </c>
      <c r="D2319" t="s">
        <v>11</v>
      </c>
      <c r="E2319">
        <v>30</v>
      </c>
      <c r="F2319" s="2">
        <f>DATE(2026,IF(Tabla1[[#This Row],[Mes de Fecha]]="Septiembre",9,10),Tabla1[[#This Row],[Día de Fecha]])</f>
        <v>46295</v>
      </c>
      <c r="G2319">
        <v>1116280441</v>
      </c>
      <c r="H2319" t="s">
        <v>348</v>
      </c>
      <c r="I2319">
        <v>29</v>
      </c>
      <c r="J2319">
        <v>0</v>
      </c>
      <c r="K2319" s="1">
        <v>1578656</v>
      </c>
    </row>
    <row r="2320" spans="1:11" x14ac:dyDescent="0.25">
      <c r="A2320" t="s">
        <v>326</v>
      </c>
      <c r="B2320" t="s">
        <v>366</v>
      </c>
      <c r="C2320" t="s">
        <v>867</v>
      </c>
      <c r="D2320" t="s">
        <v>11</v>
      </c>
      <c r="E2320">
        <v>30</v>
      </c>
      <c r="F2320" s="2">
        <f>DATE(2026,IF(Tabla1[[#This Row],[Mes de Fecha]]="Septiembre",9,10),Tabla1[[#This Row],[Día de Fecha]])</f>
        <v>46295</v>
      </c>
      <c r="G2320">
        <v>1116284273</v>
      </c>
      <c r="H2320" t="s">
        <v>346</v>
      </c>
      <c r="I2320">
        <v>35</v>
      </c>
      <c r="J2320">
        <v>0</v>
      </c>
      <c r="K2320" s="1">
        <v>2242101</v>
      </c>
    </row>
    <row r="2321" spans="1:11" x14ac:dyDescent="0.25">
      <c r="A2321" t="s">
        <v>326</v>
      </c>
      <c r="B2321" t="s">
        <v>366</v>
      </c>
      <c r="C2321" t="s">
        <v>867</v>
      </c>
      <c r="D2321" t="s">
        <v>14</v>
      </c>
      <c r="E2321">
        <v>1</v>
      </c>
      <c r="F2321" s="2">
        <f>DATE(2026,IF(Tabla1[[#This Row],[Mes de Fecha]]="Septiembre",9,10),Tabla1[[#This Row],[Día de Fecha]])</f>
        <v>46296</v>
      </c>
      <c r="I2321">
        <v>0</v>
      </c>
      <c r="J2321" s="1">
        <v>15679914</v>
      </c>
      <c r="K2321">
        <v>0</v>
      </c>
    </row>
    <row r="2322" spans="1:11" x14ac:dyDescent="0.25">
      <c r="A2322" t="s">
        <v>326</v>
      </c>
      <c r="B2322" t="s">
        <v>366</v>
      </c>
      <c r="C2322" t="s">
        <v>867</v>
      </c>
      <c r="D2322" t="s">
        <v>14</v>
      </c>
      <c r="E2322">
        <v>1</v>
      </c>
      <c r="F2322" s="2">
        <f>DATE(2026,IF(Tabla1[[#This Row],[Mes de Fecha]]="Septiembre",9,10),Tabla1[[#This Row],[Día de Fecha]])</f>
        <v>46296</v>
      </c>
      <c r="G2322">
        <v>29314714</v>
      </c>
      <c r="H2322" t="s">
        <v>344</v>
      </c>
      <c r="I2322">
        <v>-1</v>
      </c>
      <c r="J2322">
        <v>0</v>
      </c>
      <c r="K2322" s="1">
        <v>-58740</v>
      </c>
    </row>
    <row r="2323" spans="1:11" x14ac:dyDescent="0.25">
      <c r="A2323" t="s">
        <v>326</v>
      </c>
      <c r="B2323" t="s">
        <v>366</v>
      </c>
      <c r="C2323" t="s">
        <v>867</v>
      </c>
      <c r="D2323" t="s">
        <v>14</v>
      </c>
      <c r="E2323">
        <v>1</v>
      </c>
      <c r="F2323" s="2">
        <f>DATE(2026,IF(Tabla1[[#This Row],[Mes de Fecha]]="Septiembre",9,10),Tabla1[[#This Row],[Día de Fecha]])</f>
        <v>46296</v>
      </c>
      <c r="G2323">
        <v>1006426250</v>
      </c>
      <c r="H2323" t="s">
        <v>368</v>
      </c>
      <c r="I2323">
        <v>26</v>
      </c>
      <c r="J2323">
        <v>0</v>
      </c>
      <c r="K2323" s="1">
        <v>1423237</v>
      </c>
    </row>
    <row r="2324" spans="1:11" x14ac:dyDescent="0.25">
      <c r="A2324" t="s">
        <v>326</v>
      </c>
      <c r="B2324" t="s">
        <v>366</v>
      </c>
      <c r="C2324" t="s">
        <v>867</v>
      </c>
      <c r="D2324" t="s">
        <v>14</v>
      </c>
      <c r="E2324">
        <v>1</v>
      </c>
      <c r="F2324" s="2">
        <f>DATE(2026,IF(Tabla1[[#This Row],[Mes de Fecha]]="Septiembre",9,10),Tabla1[[#This Row],[Día de Fecha]])</f>
        <v>46296</v>
      </c>
      <c r="G2324">
        <v>1006491147</v>
      </c>
      <c r="H2324" t="s">
        <v>367</v>
      </c>
      <c r="I2324">
        <v>54</v>
      </c>
      <c r="J2324">
        <v>0</v>
      </c>
      <c r="K2324" s="1">
        <v>3270719</v>
      </c>
    </row>
    <row r="2325" spans="1:11" x14ac:dyDescent="0.25">
      <c r="A2325" t="s">
        <v>326</v>
      </c>
      <c r="B2325" t="s">
        <v>366</v>
      </c>
      <c r="C2325" t="s">
        <v>867</v>
      </c>
      <c r="D2325" t="s">
        <v>14</v>
      </c>
      <c r="E2325">
        <v>1</v>
      </c>
      <c r="F2325" s="2">
        <f>DATE(2026,IF(Tabla1[[#This Row],[Mes de Fecha]]="Septiembre",9,10),Tabla1[[#This Row],[Día de Fecha]])</f>
        <v>46296</v>
      </c>
      <c r="G2325">
        <v>1116280441</v>
      </c>
      <c r="H2325" t="s">
        <v>348</v>
      </c>
      <c r="I2325">
        <v>47</v>
      </c>
      <c r="J2325">
        <v>0</v>
      </c>
      <c r="K2325" s="1">
        <v>2306725</v>
      </c>
    </row>
    <row r="2326" spans="1:11" x14ac:dyDescent="0.25">
      <c r="A2326" t="s">
        <v>326</v>
      </c>
      <c r="B2326" t="s">
        <v>366</v>
      </c>
      <c r="C2326" t="s">
        <v>867</v>
      </c>
      <c r="D2326" t="s">
        <v>14</v>
      </c>
      <c r="E2326">
        <v>1</v>
      </c>
      <c r="F2326" s="2">
        <f>DATE(2026,IF(Tabla1[[#This Row],[Mes de Fecha]]="Septiembre",9,10),Tabla1[[#This Row],[Día de Fecha]])</f>
        <v>46296</v>
      </c>
      <c r="G2326">
        <v>1116284273</v>
      </c>
      <c r="H2326" t="s">
        <v>346</v>
      </c>
      <c r="I2326">
        <v>58</v>
      </c>
      <c r="J2326">
        <v>0</v>
      </c>
      <c r="K2326" s="1">
        <v>3293700</v>
      </c>
    </row>
    <row r="2327" spans="1:11" x14ac:dyDescent="0.25">
      <c r="A2327" t="s">
        <v>326</v>
      </c>
      <c r="B2327" t="s">
        <v>366</v>
      </c>
      <c r="C2327" t="s">
        <v>867</v>
      </c>
      <c r="D2327" t="s">
        <v>14</v>
      </c>
      <c r="E2327">
        <v>2</v>
      </c>
      <c r="F2327" s="2">
        <f>DATE(2026,IF(Tabla1[[#This Row],[Mes de Fecha]]="Septiembre",9,10),Tabla1[[#This Row],[Día de Fecha]])</f>
        <v>46297</v>
      </c>
      <c r="I2327">
        <v>0</v>
      </c>
      <c r="J2327" s="1">
        <v>15857391</v>
      </c>
      <c r="K2327">
        <v>0</v>
      </c>
    </row>
    <row r="2328" spans="1:11" x14ac:dyDescent="0.25">
      <c r="A2328" t="s">
        <v>326</v>
      </c>
      <c r="B2328" t="s">
        <v>366</v>
      </c>
      <c r="C2328" t="s">
        <v>867</v>
      </c>
      <c r="D2328" t="s">
        <v>14</v>
      </c>
      <c r="E2328">
        <v>2</v>
      </c>
      <c r="F2328" s="2">
        <f>DATE(2026,IF(Tabla1[[#This Row],[Mes de Fecha]]="Septiembre",9,10),Tabla1[[#This Row],[Día de Fecha]])</f>
        <v>46297</v>
      </c>
      <c r="G2328">
        <v>1006426250</v>
      </c>
      <c r="H2328" t="s">
        <v>368</v>
      </c>
      <c r="I2328">
        <v>7</v>
      </c>
      <c r="J2328">
        <v>0</v>
      </c>
      <c r="K2328" s="1">
        <v>386262</v>
      </c>
    </row>
    <row r="2329" spans="1:11" x14ac:dyDescent="0.25">
      <c r="A2329" t="s">
        <v>326</v>
      </c>
      <c r="B2329" t="s">
        <v>366</v>
      </c>
      <c r="C2329" t="s">
        <v>867</v>
      </c>
      <c r="D2329" t="s">
        <v>14</v>
      </c>
      <c r="E2329">
        <v>2</v>
      </c>
      <c r="F2329" s="2">
        <f>DATE(2026,IF(Tabla1[[#This Row],[Mes de Fecha]]="Septiembre",9,10),Tabla1[[#This Row],[Día de Fecha]])</f>
        <v>46297</v>
      </c>
      <c r="G2329">
        <v>1006491147</v>
      </c>
      <c r="H2329" t="s">
        <v>367</v>
      </c>
      <c r="I2329">
        <v>44</v>
      </c>
      <c r="J2329">
        <v>0</v>
      </c>
      <c r="K2329" s="1">
        <v>2638868</v>
      </c>
    </row>
    <row r="2330" spans="1:11" x14ac:dyDescent="0.25">
      <c r="A2330" t="s">
        <v>326</v>
      </c>
      <c r="B2330" t="s">
        <v>366</v>
      </c>
      <c r="C2330" t="s">
        <v>867</v>
      </c>
      <c r="D2330" t="s">
        <v>14</v>
      </c>
      <c r="E2330">
        <v>2</v>
      </c>
      <c r="F2330" s="2">
        <f>DATE(2026,IF(Tabla1[[#This Row],[Mes de Fecha]]="Septiembre",9,10),Tabla1[[#This Row],[Día de Fecha]])</f>
        <v>46297</v>
      </c>
      <c r="G2330">
        <v>1116280441</v>
      </c>
      <c r="H2330" t="s">
        <v>348</v>
      </c>
      <c r="I2330">
        <v>51</v>
      </c>
      <c r="J2330">
        <v>0</v>
      </c>
      <c r="K2330" s="1">
        <v>3063025</v>
      </c>
    </row>
    <row r="2331" spans="1:11" x14ac:dyDescent="0.25">
      <c r="A2331" t="s">
        <v>326</v>
      </c>
      <c r="B2331" t="s">
        <v>366</v>
      </c>
      <c r="C2331" t="s">
        <v>867</v>
      </c>
      <c r="D2331" t="s">
        <v>14</v>
      </c>
      <c r="E2331">
        <v>2</v>
      </c>
      <c r="F2331" s="2">
        <f>DATE(2026,IF(Tabla1[[#This Row],[Mes de Fecha]]="Septiembre",9,10),Tabla1[[#This Row],[Día de Fecha]])</f>
        <v>46297</v>
      </c>
      <c r="G2331">
        <v>1116284273</v>
      </c>
      <c r="H2331" t="s">
        <v>346</v>
      </c>
      <c r="I2331">
        <v>28</v>
      </c>
      <c r="J2331">
        <v>0</v>
      </c>
      <c r="K2331" s="1">
        <v>1883235</v>
      </c>
    </row>
    <row r="2332" spans="1:11" x14ac:dyDescent="0.25">
      <c r="A2332" t="s">
        <v>326</v>
      </c>
      <c r="B2332" t="s">
        <v>366</v>
      </c>
      <c r="C2332" t="s">
        <v>867</v>
      </c>
      <c r="D2332" t="s">
        <v>14</v>
      </c>
      <c r="E2332">
        <v>3</v>
      </c>
      <c r="F2332" s="2">
        <f>DATE(2026,IF(Tabla1[[#This Row],[Mes de Fecha]]="Septiembre",9,10),Tabla1[[#This Row],[Día de Fecha]])</f>
        <v>46298</v>
      </c>
      <c r="I2332">
        <v>0</v>
      </c>
      <c r="J2332" s="1">
        <v>17939920</v>
      </c>
      <c r="K2332">
        <v>0</v>
      </c>
    </row>
    <row r="2333" spans="1:11" x14ac:dyDescent="0.25">
      <c r="A2333" t="s">
        <v>326</v>
      </c>
      <c r="B2333" t="s">
        <v>366</v>
      </c>
      <c r="C2333" t="s">
        <v>867</v>
      </c>
      <c r="D2333" t="s">
        <v>14</v>
      </c>
      <c r="E2333">
        <v>3</v>
      </c>
      <c r="F2333" s="2">
        <f>DATE(2026,IF(Tabla1[[#This Row],[Mes de Fecha]]="Septiembre",9,10),Tabla1[[#This Row],[Día de Fecha]])</f>
        <v>46298</v>
      </c>
      <c r="G2333">
        <v>1006426250</v>
      </c>
      <c r="H2333" t="s">
        <v>368</v>
      </c>
      <c r="I2333">
        <v>55</v>
      </c>
      <c r="J2333">
        <v>0</v>
      </c>
      <c r="K2333" s="1">
        <v>3470364</v>
      </c>
    </row>
    <row r="2334" spans="1:11" x14ac:dyDescent="0.25">
      <c r="A2334" t="s">
        <v>326</v>
      </c>
      <c r="B2334" t="s">
        <v>366</v>
      </c>
      <c r="C2334" t="s">
        <v>867</v>
      </c>
      <c r="D2334" t="s">
        <v>14</v>
      </c>
      <c r="E2334">
        <v>3</v>
      </c>
      <c r="F2334" s="2">
        <f>DATE(2026,IF(Tabla1[[#This Row],[Mes de Fecha]]="Septiembre",9,10),Tabla1[[#This Row],[Día de Fecha]])</f>
        <v>46298</v>
      </c>
      <c r="G2334">
        <v>1006491147</v>
      </c>
      <c r="H2334" t="s">
        <v>367</v>
      </c>
      <c r="I2334">
        <v>103</v>
      </c>
      <c r="J2334">
        <v>0</v>
      </c>
      <c r="K2334" s="1">
        <v>5608490</v>
      </c>
    </row>
    <row r="2335" spans="1:11" x14ac:dyDescent="0.25">
      <c r="A2335" t="s">
        <v>326</v>
      </c>
      <c r="B2335" t="s">
        <v>366</v>
      </c>
      <c r="C2335" t="s">
        <v>867</v>
      </c>
      <c r="D2335" t="s">
        <v>14</v>
      </c>
      <c r="E2335">
        <v>3</v>
      </c>
      <c r="F2335" s="2">
        <f>DATE(2026,IF(Tabla1[[#This Row],[Mes de Fecha]]="Septiembre",9,10),Tabla1[[#This Row],[Día de Fecha]])</f>
        <v>46298</v>
      </c>
      <c r="G2335">
        <v>1116280441</v>
      </c>
      <c r="H2335" t="s">
        <v>348</v>
      </c>
      <c r="I2335">
        <v>163</v>
      </c>
      <c r="J2335">
        <v>0</v>
      </c>
      <c r="K2335" s="1">
        <v>8947788</v>
      </c>
    </row>
    <row r="2336" spans="1:11" x14ac:dyDescent="0.25">
      <c r="A2336" t="s">
        <v>326</v>
      </c>
      <c r="B2336" t="s">
        <v>366</v>
      </c>
      <c r="C2336" t="s">
        <v>867</v>
      </c>
      <c r="D2336" t="s">
        <v>14</v>
      </c>
      <c r="E2336">
        <v>3</v>
      </c>
      <c r="F2336" s="2">
        <f>DATE(2026,IF(Tabla1[[#This Row],[Mes de Fecha]]="Septiembre",9,10),Tabla1[[#This Row],[Día de Fecha]])</f>
        <v>46298</v>
      </c>
      <c r="G2336">
        <v>1116284273</v>
      </c>
      <c r="H2336" t="s">
        <v>346</v>
      </c>
      <c r="I2336">
        <v>134</v>
      </c>
      <c r="J2336">
        <v>0</v>
      </c>
      <c r="K2336" s="1">
        <v>7019850</v>
      </c>
    </row>
    <row r="2337" spans="1:11" x14ac:dyDescent="0.25">
      <c r="A2337" t="s">
        <v>326</v>
      </c>
      <c r="B2337" t="s">
        <v>366</v>
      </c>
      <c r="C2337" t="s">
        <v>867</v>
      </c>
      <c r="D2337" t="s">
        <v>14</v>
      </c>
      <c r="E2337">
        <v>3</v>
      </c>
      <c r="F2337" s="2">
        <f>DATE(2026,IF(Tabla1[[#This Row],[Mes de Fecha]]="Septiembre",9,10),Tabla1[[#This Row],[Día de Fecha]])</f>
        <v>46298</v>
      </c>
      <c r="G2337">
        <v>1117349542</v>
      </c>
      <c r="H2337" t="s">
        <v>369</v>
      </c>
      <c r="I2337">
        <v>2</v>
      </c>
      <c r="J2337">
        <v>0</v>
      </c>
      <c r="K2337" s="1">
        <v>54538</v>
      </c>
    </row>
    <row r="2338" spans="1:11" x14ac:dyDescent="0.25">
      <c r="A2338" t="s">
        <v>326</v>
      </c>
      <c r="B2338" t="s">
        <v>366</v>
      </c>
      <c r="C2338" t="s">
        <v>867</v>
      </c>
      <c r="D2338" t="s">
        <v>14</v>
      </c>
      <c r="E2338">
        <v>4</v>
      </c>
      <c r="F2338" s="2">
        <f>DATE(2026,IF(Tabla1[[#This Row],[Mes de Fecha]]="Septiembre",9,10),Tabla1[[#This Row],[Día de Fecha]])</f>
        <v>46299</v>
      </c>
      <c r="I2338">
        <v>0</v>
      </c>
      <c r="J2338" s="1">
        <v>20014477</v>
      </c>
      <c r="K2338">
        <v>0</v>
      </c>
    </row>
    <row r="2339" spans="1:11" x14ac:dyDescent="0.25">
      <c r="A2339" t="s">
        <v>326</v>
      </c>
      <c r="B2339" t="s">
        <v>366</v>
      </c>
      <c r="C2339" t="s">
        <v>867</v>
      </c>
      <c r="D2339" t="s">
        <v>14</v>
      </c>
      <c r="E2339">
        <v>4</v>
      </c>
      <c r="F2339" s="2">
        <f>DATE(2026,IF(Tabla1[[#This Row],[Mes de Fecha]]="Septiembre",9,10),Tabla1[[#This Row],[Día de Fecha]])</f>
        <v>46299</v>
      </c>
      <c r="G2339">
        <v>1006426250</v>
      </c>
      <c r="H2339" t="s">
        <v>368</v>
      </c>
      <c r="I2339">
        <v>57</v>
      </c>
      <c r="J2339">
        <v>0</v>
      </c>
      <c r="K2339" s="1">
        <v>3707611</v>
      </c>
    </row>
    <row r="2340" spans="1:11" x14ac:dyDescent="0.25">
      <c r="A2340" t="s">
        <v>326</v>
      </c>
      <c r="B2340" t="s">
        <v>366</v>
      </c>
      <c r="C2340" t="s">
        <v>867</v>
      </c>
      <c r="D2340" t="s">
        <v>14</v>
      </c>
      <c r="E2340">
        <v>4</v>
      </c>
      <c r="F2340" s="2">
        <f>DATE(2026,IF(Tabla1[[#This Row],[Mes de Fecha]]="Septiembre",9,10),Tabla1[[#This Row],[Día de Fecha]])</f>
        <v>46299</v>
      </c>
      <c r="G2340">
        <v>1006491147</v>
      </c>
      <c r="H2340" t="s">
        <v>367</v>
      </c>
      <c r="I2340">
        <v>102</v>
      </c>
      <c r="J2340">
        <v>0</v>
      </c>
      <c r="K2340" s="1">
        <v>5865253</v>
      </c>
    </row>
    <row r="2341" spans="1:11" x14ac:dyDescent="0.25">
      <c r="A2341" t="s">
        <v>326</v>
      </c>
      <c r="B2341" t="s">
        <v>366</v>
      </c>
      <c r="C2341" t="s">
        <v>867</v>
      </c>
      <c r="D2341" t="s">
        <v>14</v>
      </c>
      <c r="E2341">
        <v>4</v>
      </c>
      <c r="F2341" s="2">
        <f>DATE(2026,IF(Tabla1[[#This Row],[Mes de Fecha]]="Septiembre",9,10),Tabla1[[#This Row],[Día de Fecha]])</f>
        <v>46299</v>
      </c>
      <c r="G2341">
        <v>1061716853</v>
      </c>
      <c r="H2341" t="s">
        <v>333</v>
      </c>
      <c r="I2341">
        <v>-1</v>
      </c>
      <c r="J2341">
        <v>0</v>
      </c>
      <c r="K2341" s="1">
        <v>-147017</v>
      </c>
    </row>
    <row r="2342" spans="1:11" x14ac:dyDescent="0.25">
      <c r="A2342" t="s">
        <v>326</v>
      </c>
      <c r="B2342" t="s">
        <v>366</v>
      </c>
      <c r="C2342" t="s">
        <v>867</v>
      </c>
      <c r="D2342" t="s">
        <v>14</v>
      </c>
      <c r="E2342">
        <v>4</v>
      </c>
      <c r="F2342" s="2">
        <f>DATE(2026,IF(Tabla1[[#This Row],[Mes de Fecha]]="Septiembre",9,10),Tabla1[[#This Row],[Día de Fecha]])</f>
        <v>46299</v>
      </c>
      <c r="G2342">
        <v>1114062675</v>
      </c>
      <c r="H2342" t="s">
        <v>350</v>
      </c>
      <c r="I2342">
        <v>-2</v>
      </c>
      <c r="J2342">
        <v>0</v>
      </c>
      <c r="K2342" s="1">
        <v>-92269</v>
      </c>
    </row>
    <row r="2343" spans="1:11" x14ac:dyDescent="0.25">
      <c r="A2343" t="s">
        <v>326</v>
      </c>
      <c r="B2343" t="s">
        <v>366</v>
      </c>
      <c r="C2343" t="s">
        <v>867</v>
      </c>
      <c r="D2343" t="s">
        <v>14</v>
      </c>
      <c r="E2343">
        <v>4</v>
      </c>
      <c r="F2343" s="2">
        <f>DATE(2026,IF(Tabla1[[#This Row],[Mes de Fecha]]="Septiembre",9,10),Tabla1[[#This Row],[Día de Fecha]])</f>
        <v>46299</v>
      </c>
      <c r="G2343">
        <v>1116280441</v>
      </c>
      <c r="H2343" t="s">
        <v>348</v>
      </c>
      <c r="I2343">
        <v>141</v>
      </c>
      <c r="J2343">
        <v>0</v>
      </c>
      <c r="K2343" s="1">
        <v>8170341</v>
      </c>
    </row>
    <row r="2344" spans="1:11" x14ac:dyDescent="0.25">
      <c r="A2344" t="s">
        <v>326</v>
      </c>
      <c r="B2344" t="s">
        <v>366</v>
      </c>
      <c r="C2344" t="s">
        <v>867</v>
      </c>
      <c r="D2344" t="s">
        <v>14</v>
      </c>
      <c r="E2344">
        <v>4</v>
      </c>
      <c r="F2344" s="2">
        <f>DATE(2026,IF(Tabla1[[#This Row],[Mes de Fecha]]="Septiembre",9,10),Tabla1[[#This Row],[Día de Fecha]])</f>
        <v>46299</v>
      </c>
      <c r="G2344">
        <v>1116284273</v>
      </c>
      <c r="H2344" t="s">
        <v>346</v>
      </c>
      <c r="I2344">
        <v>87</v>
      </c>
      <c r="J2344">
        <v>0</v>
      </c>
      <c r="K2344" s="1">
        <v>5118033</v>
      </c>
    </row>
    <row r="2345" spans="1:11" x14ac:dyDescent="0.25">
      <c r="A2345" t="s">
        <v>326</v>
      </c>
      <c r="B2345" t="s">
        <v>366</v>
      </c>
      <c r="C2345" t="s">
        <v>867</v>
      </c>
      <c r="D2345" t="s">
        <v>14</v>
      </c>
      <c r="E2345">
        <v>5</v>
      </c>
      <c r="F2345" s="2">
        <f>DATE(2026,IF(Tabla1[[#This Row],[Mes de Fecha]]="Septiembre",9,10),Tabla1[[#This Row],[Día de Fecha]])</f>
        <v>46300</v>
      </c>
      <c r="I2345">
        <v>0</v>
      </c>
      <c r="J2345" s="1">
        <v>10113965</v>
      </c>
      <c r="K2345">
        <v>0</v>
      </c>
    </row>
    <row r="2346" spans="1:11" x14ac:dyDescent="0.25">
      <c r="A2346" t="s">
        <v>326</v>
      </c>
      <c r="B2346" t="s">
        <v>366</v>
      </c>
      <c r="C2346" t="s">
        <v>867</v>
      </c>
      <c r="D2346" t="s">
        <v>14</v>
      </c>
      <c r="E2346">
        <v>5</v>
      </c>
      <c r="F2346" s="2">
        <f>DATE(2026,IF(Tabla1[[#This Row],[Mes de Fecha]]="Septiembre",9,10),Tabla1[[#This Row],[Día de Fecha]])</f>
        <v>46300</v>
      </c>
      <c r="G2346">
        <v>1006426250</v>
      </c>
      <c r="H2346" t="s">
        <v>368</v>
      </c>
      <c r="I2346">
        <v>24</v>
      </c>
      <c r="J2346">
        <v>0</v>
      </c>
      <c r="K2346" s="1">
        <v>1162774</v>
      </c>
    </row>
    <row r="2347" spans="1:11" x14ac:dyDescent="0.25">
      <c r="A2347" t="s">
        <v>326</v>
      </c>
      <c r="B2347" t="s">
        <v>366</v>
      </c>
      <c r="C2347" t="s">
        <v>867</v>
      </c>
      <c r="D2347" t="s">
        <v>14</v>
      </c>
      <c r="E2347">
        <v>5</v>
      </c>
      <c r="F2347" s="2">
        <f>DATE(2026,IF(Tabla1[[#This Row],[Mes de Fecha]]="Septiembre",9,10),Tabla1[[#This Row],[Día de Fecha]])</f>
        <v>46300</v>
      </c>
      <c r="G2347">
        <v>1006491147</v>
      </c>
      <c r="H2347" t="s">
        <v>367</v>
      </c>
      <c r="I2347">
        <v>37</v>
      </c>
      <c r="J2347">
        <v>0</v>
      </c>
      <c r="K2347" s="1">
        <v>2147606</v>
      </c>
    </row>
    <row r="2348" spans="1:11" x14ac:dyDescent="0.25">
      <c r="A2348" t="s">
        <v>326</v>
      </c>
      <c r="B2348" t="s">
        <v>366</v>
      </c>
      <c r="C2348" t="s">
        <v>867</v>
      </c>
      <c r="D2348" t="s">
        <v>14</v>
      </c>
      <c r="E2348">
        <v>5</v>
      </c>
      <c r="F2348" s="2">
        <f>DATE(2026,IF(Tabla1[[#This Row],[Mes de Fecha]]="Septiembre",9,10),Tabla1[[#This Row],[Día de Fecha]])</f>
        <v>46300</v>
      </c>
      <c r="G2348">
        <v>1116280441</v>
      </c>
      <c r="H2348" t="s">
        <v>348</v>
      </c>
      <c r="I2348">
        <v>57</v>
      </c>
      <c r="J2348">
        <v>0</v>
      </c>
      <c r="K2348" s="1">
        <v>3463955</v>
      </c>
    </row>
    <row r="2349" spans="1:11" x14ac:dyDescent="0.25">
      <c r="A2349" t="s">
        <v>326</v>
      </c>
      <c r="B2349" t="s">
        <v>366</v>
      </c>
      <c r="C2349" t="s">
        <v>867</v>
      </c>
      <c r="D2349" t="s">
        <v>14</v>
      </c>
      <c r="E2349">
        <v>5</v>
      </c>
      <c r="F2349" s="2">
        <f>DATE(2026,IF(Tabla1[[#This Row],[Mes de Fecha]]="Septiembre",9,10),Tabla1[[#This Row],[Día de Fecha]])</f>
        <v>46300</v>
      </c>
      <c r="G2349">
        <v>1116284273</v>
      </c>
      <c r="H2349" t="s">
        <v>346</v>
      </c>
      <c r="I2349">
        <v>35</v>
      </c>
      <c r="J2349">
        <v>0</v>
      </c>
      <c r="K2349" s="1">
        <v>2322019</v>
      </c>
    </row>
    <row r="2350" spans="1:11" x14ac:dyDescent="0.25">
      <c r="A2350" t="s">
        <v>326</v>
      </c>
      <c r="B2350" t="s">
        <v>366</v>
      </c>
      <c r="C2350" t="s">
        <v>867</v>
      </c>
      <c r="D2350" t="s">
        <v>14</v>
      </c>
      <c r="E2350">
        <v>5</v>
      </c>
      <c r="F2350" s="2">
        <f>DATE(2026,IF(Tabla1[[#This Row],[Mes de Fecha]]="Septiembre",9,10),Tabla1[[#This Row],[Día de Fecha]])</f>
        <v>46300</v>
      </c>
      <c r="G2350">
        <v>1140421188</v>
      </c>
      <c r="H2350" t="s">
        <v>347</v>
      </c>
      <c r="I2350">
        <v>-2</v>
      </c>
      <c r="J2350">
        <v>0</v>
      </c>
      <c r="K2350" s="1">
        <v>-214202</v>
      </c>
    </row>
    <row r="2351" spans="1:11" x14ac:dyDescent="0.25">
      <c r="A2351" t="s">
        <v>326</v>
      </c>
      <c r="B2351" t="s">
        <v>366</v>
      </c>
      <c r="C2351" t="s">
        <v>867</v>
      </c>
      <c r="D2351" t="s">
        <v>14</v>
      </c>
      <c r="E2351">
        <v>6</v>
      </c>
      <c r="F2351" s="2">
        <f>DATE(2026,IF(Tabla1[[#This Row],[Mes de Fecha]]="Septiembre",9,10),Tabla1[[#This Row],[Día de Fecha]])</f>
        <v>46301</v>
      </c>
      <c r="I2351">
        <v>0</v>
      </c>
      <c r="J2351" s="1">
        <v>5286682</v>
      </c>
      <c r="K2351">
        <v>0</v>
      </c>
    </row>
    <row r="2352" spans="1:11" x14ac:dyDescent="0.25">
      <c r="A2352" t="s">
        <v>326</v>
      </c>
      <c r="B2352" t="s">
        <v>366</v>
      </c>
      <c r="C2352" t="s">
        <v>867</v>
      </c>
      <c r="D2352" t="s">
        <v>14</v>
      </c>
      <c r="E2352">
        <v>6</v>
      </c>
      <c r="F2352" s="2">
        <f>DATE(2026,IF(Tabla1[[#This Row],[Mes de Fecha]]="Septiembre",9,10),Tabla1[[#This Row],[Día de Fecha]])</f>
        <v>46301</v>
      </c>
      <c r="G2352">
        <v>1006321986</v>
      </c>
      <c r="H2352" t="s">
        <v>345</v>
      </c>
      <c r="I2352">
        <v>-1</v>
      </c>
      <c r="J2352">
        <v>0</v>
      </c>
      <c r="K2352" s="1">
        <v>-54580</v>
      </c>
    </row>
    <row r="2353" spans="1:11" x14ac:dyDescent="0.25">
      <c r="A2353" t="s">
        <v>326</v>
      </c>
      <c r="B2353" t="s">
        <v>366</v>
      </c>
      <c r="C2353" t="s">
        <v>867</v>
      </c>
      <c r="D2353" t="s">
        <v>14</v>
      </c>
      <c r="E2353">
        <v>6</v>
      </c>
      <c r="F2353" s="2">
        <f>DATE(2026,IF(Tabla1[[#This Row],[Mes de Fecha]]="Septiembre",9,10),Tabla1[[#This Row],[Día de Fecha]])</f>
        <v>46301</v>
      </c>
      <c r="G2353">
        <v>1006426250</v>
      </c>
      <c r="H2353" t="s">
        <v>368</v>
      </c>
      <c r="I2353">
        <v>26</v>
      </c>
      <c r="J2353">
        <v>0</v>
      </c>
      <c r="K2353" s="1">
        <v>1505086</v>
      </c>
    </row>
    <row r="2354" spans="1:11" x14ac:dyDescent="0.25">
      <c r="A2354" t="s">
        <v>326</v>
      </c>
      <c r="B2354" t="s">
        <v>366</v>
      </c>
      <c r="C2354" t="s">
        <v>867</v>
      </c>
      <c r="D2354" t="s">
        <v>14</v>
      </c>
      <c r="E2354">
        <v>6</v>
      </c>
      <c r="F2354" s="2">
        <f>DATE(2026,IF(Tabla1[[#This Row],[Mes de Fecha]]="Septiembre",9,10),Tabla1[[#This Row],[Día de Fecha]])</f>
        <v>46301</v>
      </c>
      <c r="G2354">
        <v>1006491147</v>
      </c>
      <c r="H2354" t="s">
        <v>367</v>
      </c>
      <c r="I2354">
        <v>10</v>
      </c>
      <c r="J2354">
        <v>0</v>
      </c>
      <c r="K2354" s="1">
        <v>655001</v>
      </c>
    </row>
    <row r="2355" spans="1:11" x14ac:dyDescent="0.25">
      <c r="A2355" t="s">
        <v>326</v>
      </c>
      <c r="B2355" t="s">
        <v>366</v>
      </c>
      <c r="C2355" t="s">
        <v>867</v>
      </c>
      <c r="D2355" t="s">
        <v>14</v>
      </c>
      <c r="E2355">
        <v>6</v>
      </c>
      <c r="F2355" s="2">
        <f>DATE(2026,IF(Tabla1[[#This Row],[Mes de Fecha]]="Septiembre",9,10),Tabla1[[#This Row],[Día de Fecha]])</f>
        <v>46301</v>
      </c>
      <c r="G2355">
        <v>1116280441</v>
      </c>
      <c r="H2355" t="s">
        <v>348</v>
      </c>
      <c r="I2355">
        <v>44</v>
      </c>
      <c r="J2355">
        <v>0</v>
      </c>
      <c r="K2355" s="1">
        <v>2636683</v>
      </c>
    </row>
    <row r="2356" spans="1:11" x14ac:dyDescent="0.25">
      <c r="A2356" t="s">
        <v>326</v>
      </c>
      <c r="B2356" t="s">
        <v>366</v>
      </c>
      <c r="C2356" t="s">
        <v>867</v>
      </c>
      <c r="D2356" t="s">
        <v>14</v>
      </c>
      <c r="E2356">
        <v>6</v>
      </c>
      <c r="F2356" s="2">
        <f>DATE(2026,IF(Tabla1[[#This Row],[Mes de Fecha]]="Septiembre",9,10),Tabla1[[#This Row],[Día de Fecha]])</f>
        <v>46301</v>
      </c>
      <c r="G2356">
        <v>1116284273</v>
      </c>
      <c r="H2356" t="s">
        <v>346</v>
      </c>
      <c r="I2356">
        <v>22</v>
      </c>
      <c r="J2356">
        <v>0</v>
      </c>
      <c r="K2356" s="1">
        <v>1171345</v>
      </c>
    </row>
    <row r="2357" spans="1:11" x14ac:dyDescent="0.25">
      <c r="A2357" t="s">
        <v>326</v>
      </c>
      <c r="B2357" t="s">
        <v>366</v>
      </c>
      <c r="C2357" t="s">
        <v>867</v>
      </c>
      <c r="D2357" t="s">
        <v>14</v>
      </c>
      <c r="E2357">
        <v>6</v>
      </c>
      <c r="F2357" s="2">
        <f>DATE(2026,IF(Tabla1[[#This Row],[Mes de Fecha]]="Septiembre",9,10),Tabla1[[#This Row],[Día de Fecha]])</f>
        <v>46301</v>
      </c>
      <c r="G2357">
        <v>1140421188</v>
      </c>
      <c r="H2357" t="s">
        <v>347</v>
      </c>
      <c r="I2357">
        <v>-1</v>
      </c>
      <c r="J2357">
        <v>0</v>
      </c>
      <c r="K2357" s="1">
        <v>-125966</v>
      </c>
    </row>
    <row r="2358" spans="1:11" x14ac:dyDescent="0.25">
      <c r="A2358" t="s">
        <v>326</v>
      </c>
      <c r="B2358" t="s">
        <v>366</v>
      </c>
      <c r="C2358" t="s">
        <v>867</v>
      </c>
      <c r="D2358" t="s">
        <v>14</v>
      </c>
      <c r="E2358">
        <v>7</v>
      </c>
      <c r="F2358" s="2">
        <f>DATE(2026,IF(Tabla1[[#This Row],[Mes de Fecha]]="Septiembre",9,10),Tabla1[[#This Row],[Día de Fecha]])</f>
        <v>46302</v>
      </c>
      <c r="I2358">
        <v>0</v>
      </c>
      <c r="J2358" s="1">
        <v>5217120</v>
      </c>
      <c r="K2358">
        <v>0</v>
      </c>
    </row>
    <row r="2359" spans="1:11" x14ac:dyDescent="0.25">
      <c r="A2359" t="s">
        <v>326</v>
      </c>
      <c r="B2359" t="s">
        <v>366</v>
      </c>
      <c r="C2359" t="s">
        <v>867</v>
      </c>
      <c r="D2359" t="s">
        <v>14</v>
      </c>
      <c r="E2359">
        <v>7</v>
      </c>
      <c r="F2359" s="2">
        <f>DATE(2026,IF(Tabla1[[#This Row],[Mes de Fecha]]="Septiembre",9,10),Tabla1[[#This Row],[Día de Fecha]])</f>
        <v>46302</v>
      </c>
      <c r="G2359">
        <v>1006321986</v>
      </c>
      <c r="H2359" t="s">
        <v>345</v>
      </c>
      <c r="I2359">
        <v>-1</v>
      </c>
      <c r="J2359">
        <v>0</v>
      </c>
      <c r="K2359" s="1">
        <v>-109202</v>
      </c>
    </row>
    <row r="2360" spans="1:11" x14ac:dyDescent="0.25">
      <c r="A2360" t="s">
        <v>326</v>
      </c>
      <c r="B2360" t="s">
        <v>366</v>
      </c>
      <c r="C2360" t="s">
        <v>867</v>
      </c>
      <c r="D2360" t="s">
        <v>14</v>
      </c>
      <c r="E2360">
        <v>7</v>
      </c>
      <c r="F2360" s="2">
        <f>DATE(2026,IF(Tabla1[[#This Row],[Mes de Fecha]]="Septiembre",9,10),Tabla1[[#This Row],[Día de Fecha]])</f>
        <v>46302</v>
      </c>
      <c r="G2360">
        <v>1006426250</v>
      </c>
      <c r="H2360" t="s">
        <v>368</v>
      </c>
      <c r="I2360">
        <v>17</v>
      </c>
      <c r="J2360">
        <v>0</v>
      </c>
      <c r="K2360" s="1">
        <v>1289160</v>
      </c>
    </row>
    <row r="2361" spans="1:11" x14ac:dyDescent="0.25">
      <c r="A2361" t="s">
        <v>326</v>
      </c>
      <c r="B2361" t="s">
        <v>366</v>
      </c>
      <c r="C2361" t="s">
        <v>867</v>
      </c>
      <c r="D2361" t="s">
        <v>14</v>
      </c>
      <c r="E2361">
        <v>7</v>
      </c>
      <c r="F2361" s="2">
        <f>DATE(2026,IF(Tabla1[[#This Row],[Mes de Fecha]]="Septiembre",9,10),Tabla1[[#This Row],[Día de Fecha]])</f>
        <v>46302</v>
      </c>
      <c r="G2361">
        <v>1006491147</v>
      </c>
      <c r="H2361" t="s">
        <v>367</v>
      </c>
      <c r="I2361">
        <v>44</v>
      </c>
      <c r="J2361">
        <v>0</v>
      </c>
      <c r="K2361" s="1">
        <v>2741643</v>
      </c>
    </row>
    <row r="2362" spans="1:11" x14ac:dyDescent="0.25">
      <c r="A2362" t="s">
        <v>326</v>
      </c>
      <c r="B2362" t="s">
        <v>366</v>
      </c>
      <c r="C2362" t="s">
        <v>867</v>
      </c>
      <c r="D2362" t="s">
        <v>14</v>
      </c>
      <c r="E2362">
        <v>7</v>
      </c>
      <c r="F2362" s="2">
        <f>DATE(2026,IF(Tabla1[[#This Row],[Mes de Fecha]]="Septiembre",9,10),Tabla1[[#This Row],[Día de Fecha]])</f>
        <v>46302</v>
      </c>
      <c r="G2362">
        <v>1113038720</v>
      </c>
      <c r="H2362" t="s">
        <v>349</v>
      </c>
      <c r="I2362">
        <v>-1</v>
      </c>
      <c r="J2362">
        <v>0</v>
      </c>
      <c r="K2362" s="1">
        <v>-105000</v>
      </c>
    </row>
    <row r="2363" spans="1:11" x14ac:dyDescent="0.25">
      <c r="A2363" t="s">
        <v>326</v>
      </c>
      <c r="B2363" t="s">
        <v>366</v>
      </c>
      <c r="C2363" t="s">
        <v>867</v>
      </c>
      <c r="D2363" t="s">
        <v>14</v>
      </c>
      <c r="E2363">
        <v>7</v>
      </c>
      <c r="F2363" s="2">
        <f>DATE(2026,IF(Tabla1[[#This Row],[Mes de Fecha]]="Septiembre",9,10),Tabla1[[#This Row],[Día de Fecha]])</f>
        <v>46302</v>
      </c>
      <c r="G2363">
        <v>1116280441</v>
      </c>
      <c r="H2363" t="s">
        <v>348</v>
      </c>
      <c r="I2363">
        <v>21</v>
      </c>
      <c r="J2363">
        <v>0</v>
      </c>
      <c r="K2363" s="1">
        <v>1305801</v>
      </c>
    </row>
    <row r="2364" spans="1:11" x14ac:dyDescent="0.25">
      <c r="A2364" t="s">
        <v>326</v>
      </c>
      <c r="B2364" t="s">
        <v>366</v>
      </c>
      <c r="C2364" t="s">
        <v>867</v>
      </c>
      <c r="D2364" t="s">
        <v>14</v>
      </c>
      <c r="E2364">
        <v>7</v>
      </c>
      <c r="F2364" s="2">
        <f>DATE(2026,IF(Tabla1[[#This Row],[Mes de Fecha]]="Septiembre",9,10),Tabla1[[#This Row],[Día de Fecha]])</f>
        <v>46302</v>
      </c>
      <c r="G2364">
        <v>1116284273</v>
      </c>
      <c r="H2364" t="s">
        <v>346</v>
      </c>
      <c r="I2364">
        <v>16</v>
      </c>
      <c r="J2364">
        <v>0</v>
      </c>
      <c r="K2364" s="1">
        <v>1020296</v>
      </c>
    </row>
    <row r="2365" spans="1:11" x14ac:dyDescent="0.25">
      <c r="A2365" t="s">
        <v>326</v>
      </c>
      <c r="B2365" t="s">
        <v>366</v>
      </c>
      <c r="C2365" t="s">
        <v>867</v>
      </c>
      <c r="D2365" t="s">
        <v>14</v>
      </c>
      <c r="E2365">
        <v>7</v>
      </c>
      <c r="F2365" s="2">
        <f>DATE(2026,IF(Tabla1[[#This Row],[Mes de Fecha]]="Septiembre",9,10),Tabla1[[#This Row],[Día de Fecha]])</f>
        <v>46302</v>
      </c>
      <c r="G2365">
        <v>1140421188</v>
      </c>
      <c r="H2365" t="s">
        <v>347</v>
      </c>
      <c r="I2365">
        <v>-1</v>
      </c>
      <c r="J2365">
        <v>0</v>
      </c>
      <c r="K2365" s="1">
        <v>-46177</v>
      </c>
    </row>
    <row r="2366" spans="1:11" x14ac:dyDescent="0.25">
      <c r="A2366" t="s">
        <v>326</v>
      </c>
      <c r="B2366" t="s">
        <v>624</v>
      </c>
      <c r="C2366" t="s">
        <v>867</v>
      </c>
      <c r="D2366" t="s">
        <v>11</v>
      </c>
      <c r="E2366">
        <v>23</v>
      </c>
      <c r="F2366" s="2">
        <f>DATE(2026,IF(Tabla1[[#This Row],[Mes de Fecha]]="Septiembre",9,10),Tabla1[[#This Row],[Día de Fecha]])</f>
        <v>46288</v>
      </c>
      <c r="I2366">
        <v>0</v>
      </c>
      <c r="J2366" s="1">
        <v>6054551</v>
      </c>
      <c r="K2366">
        <v>0</v>
      </c>
    </row>
    <row r="2367" spans="1:11" x14ac:dyDescent="0.25">
      <c r="A2367" t="s">
        <v>326</v>
      </c>
      <c r="B2367" t="s">
        <v>624</v>
      </c>
      <c r="C2367" t="s">
        <v>867</v>
      </c>
      <c r="D2367" t="s">
        <v>11</v>
      </c>
      <c r="E2367">
        <v>23</v>
      </c>
      <c r="F2367" s="2">
        <f>DATE(2026,IF(Tabla1[[#This Row],[Mes de Fecha]]="Septiembre",9,10),Tabla1[[#This Row],[Día de Fecha]])</f>
        <v>46288</v>
      </c>
      <c r="G2367">
        <v>1006172031</v>
      </c>
      <c r="H2367" t="s">
        <v>427</v>
      </c>
      <c r="I2367">
        <v>13</v>
      </c>
      <c r="J2367">
        <v>0</v>
      </c>
      <c r="K2367" s="1">
        <v>625506</v>
      </c>
    </row>
    <row r="2368" spans="1:11" x14ac:dyDescent="0.25">
      <c r="A2368" t="s">
        <v>326</v>
      </c>
      <c r="B2368" t="s">
        <v>624</v>
      </c>
      <c r="C2368" t="s">
        <v>867</v>
      </c>
      <c r="D2368" t="s">
        <v>11</v>
      </c>
      <c r="E2368">
        <v>23</v>
      </c>
      <c r="F2368" s="2">
        <f>DATE(2026,IF(Tabla1[[#This Row],[Mes de Fecha]]="Septiembre",9,10),Tabla1[[#This Row],[Día de Fecha]])</f>
        <v>46288</v>
      </c>
      <c r="G2368">
        <v>1109115019</v>
      </c>
      <c r="H2368" t="s">
        <v>401</v>
      </c>
      <c r="I2368">
        <v>64</v>
      </c>
      <c r="J2368">
        <v>0</v>
      </c>
      <c r="K2368" s="1">
        <v>2719245</v>
      </c>
    </row>
    <row r="2369" spans="1:11" x14ac:dyDescent="0.25">
      <c r="A2369" t="s">
        <v>326</v>
      </c>
      <c r="B2369" t="s">
        <v>624</v>
      </c>
      <c r="C2369" t="s">
        <v>867</v>
      </c>
      <c r="D2369" t="s">
        <v>11</v>
      </c>
      <c r="E2369">
        <v>23</v>
      </c>
      <c r="F2369" s="2">
        <f>DATE(2026,IF(Tabla1[[#This Row],[Mes de Fecha]]="Septiembre",9,10),Tabla1[[#This Row],[Día de Fecha]])</f>
        <v>46288</v>
      </c>
      <c r="G2369">
        <v>1118300904</v>
      </c>
      <c r="H2369" t="s">
        <v>626</v>
      </c>
      <c r="I2369">
        <v>22</v>
      </c>
      <c r="J2369">
        <v>0</v>
      </c>
      <c r="K2369" s="1">
        <v>1070251</v>
      </c>
    </row>
    <row r="2370" spans="1:11" x14ac:dyDescent="0.25">
      <c r="A2370" t="s">
        <v>326</v>
      </c>
      <c r="B2370" t="s">
        <v>624</v>
      </c>
      <c r="C2370" t="s">
        <v>867</v>
      </c>
      <c r="D2370" t="s">
        <v>11</v>
      </c>
      <c r="E2370">
        <v>23</v>
      </c>
      <c r="F2370" s="2">
        <f>DATE(2026,IF(Tabla1[[#This Row],[Mes de Fecha]]="Septiembre",9,10),Tabla1[[#This Row],[Día de Fecha]])</f>
        <v>46288</v>
      </c>
      <c r="G2370">
        <v>1118312125</v>
      </c>
      <c r="H2370" t="s">
        <v>397</v>
      </c>
      <c r="I2370">
        <v>63</v>
      </c>
      <c r="J2370">
        <v>0</v>
      </c>
      <c r="K2370" s="1">
        <v>2568405</v>
      </c>
    </row>
    <row r="2371" spans="1:11" x14ac:dyDescent="0.25">
      <c r="A2371" t="s">
        <v>326</v>
      </c>
      <c r="B2371" t="s">
        <v>624</v>
      </c>
      <c r="C2371" t="s">
        <v>867</v>
      </c>
      <c r="D2371" t="s">
        <v>11</v>
      </c>
      <c r="E2371">
        <v>24</v>
      </c>
      <c r="F2371" s="2">
        <f>DATE(2026,IF(Tabla1[[#This Row],[Mes de Fecha]]="Septiembre",9,10),Tabla1[[#This Row],[Día de Fecha]])</f>
        <v>46289</v>
      </c>
      <c r="I2371">
        <v>0</v>
      </c>
      <c r="J2371" s="1">
        <v>9249006</v>
      </c>
      <c r="K2371">
        <v>0</v>
      </c>
    </row>
    <row r="2372" spans="1:11" x14ac:dyDescent="0.25">
      <c r="A2372" t="s">
        <v>326</v>
      </c>
      <c r="B2372" t="s">
        <v>624</v>
      </c>
      <c r="C2372" t="s">
        <v>867</v>
      </c>
      <c r="D2372" t="s">
        <v>11</v>
      </c>
      <c r="E2372">
        <v>24</v>
      </c>
      <c r="F2372" s="2">
        <f>DATE(2026,IF(Tabla1[[#This Row],[Mes de Fecha]]="Septiembre",9,10),Tabla1[[#This Row],[Día de Fecha]])</f>
        <v>46289</v>
      </c>
      <c r="G2372">
        <v>1006172031</v>
      </c>
      <c r="H2372" t="s">
        <v>427</v>
      </c>
      <c r="I2372">
        <v>23</v>
      </c>
      <c r="J2372">
        <v>0</v>
      </c>
      <c r="K2372" s="1">
        <v>1385505</v>
      </c>
    </row>
    <row r="2373" spans="1:11" x14ac:dyDescent="0.25">
      <c r="A2373" t="s">
        <v>326</v>
      </c>
      <c r="B2373" t="s">
        <v>624</v>
      </c>
      <c r="C2373" t="s">
        <v>867</v>
      </c>
      <c r="D2373" t="s">
        <v>11</v>
      </c>
      <c r="E2373">
        <v>24</v>
      </c>
      <c r="F2373" s="2">
        <f>DATE(2026,IF(Tabla1[[#This Row],[Mes de Fecha]]="Septiembre",9,10),Tabla1[[#This Row],[Día de Fecha]])</f>
        <v>46289</v>
      </c>
      <c r="G2373">
        <v>1109115019</v>
      </c>
      <c r="H2373" t="s">
        <v>401</v>
      </c>
      <c r="I2373">
        <v>63</v>
      </c>
      <c r="J2373">
        <v>0</v>
      </c>
      <c r="K2373" s="1">
        <v>3807960</v>
      </c>
    </row>
    <row r="2374" spans="1:11" x14ac:dyDescent="0.25">
      <c r="A2374" t="s">
        <v>326</v>
      </c>
      <c r="B2374" t="s">
        <v>624</v>
      </c>
      <c r="C2374" t="s">
        <v>867</v>
      </c>
      <c r="D2374" t="s">
        <v>11</v>
      </c>
      <c r="E2374">
        <v>24</v>
      </c>
      <c r="F2374" s="2">
        <f>DATE(2026,IF(Tabla1[[#This Row],[Mes de Fecha]]="Septiembre",9,10),Tabla1[[#This Row],[Día de Fecha]])</f>
        <v>46289</v>
      </c>
      <c r="G2374">
        <v>1118300904</v>
      </c>
      <c r="H2374" t="s">
        <v>626</v>
      </c>
      <c r="I2374">
        <v>25</v>
      </c>
      <c r="J2374">
        <v>0</v>
      </c>
      <c r="K2374" s="1">
        <v>1158320</v>
      </c>
    </row>
    <row r="2375" spans="1:11" x14ac:dyDescent="0.25">
      <c r="A2375" t="s">
        <v>326</v>
      </c>
      <c r="B2375" t="s">
        <v>624</v>
      </c>
      <c r="C2375" t="s">
        <v>867</v>
      </c>
      <c r="D2375" t="s">
        <v>11</v>
      </c>
      <c r="E2375">
        <v>24</v>
      </c>
      <c r="F2375" s="2">
        <f>DATE(2026,IF(Tabla1[[#This Row],[Mes de Fecha]]="Septiembre",9,10),Tabla1[[#This Row],[Día de Fecha]])</f>
        <v>46289</v>
      </c>
      <c r="G2375">
        <v>1118312125</v>
      </c>
      <c r="H2375" t="s">
        <v>397</v>
      </c>
      <c r="I2375">
        <v>74</v>
      </c>
      <c r="J2375">
        <v>0</v>
      </c>
      <c r="K2375" s="1">
        <v>3342862</v>
      </c>
    </row>
    <row r="2376" spans="1:11" x14ac:dyDescent="0.25">
      <c r="A2376" t="s">
        <v>326</v>
      </c>
      <c r="B2376" t="s">
        <v>624</v>
      </c>
      <c r="C2376" t="s">
        <v>867</v>
      </c>
      <c r="D2376" t="s">
        <v>11</v>
      </c>
      <c r="E2376">
        <v>25</v>
      </c>
      <c r="F2376" s="2">
        <f>DATE(2026,IF(Tabla1[[#This Row],[Mes de Fecha]]="Septiembre",9,10),Tabla1[[#This Row],[Día de Fecha]])</f>
        <v>46290</v>
      </c>
      <c r="I2376">
        <v>0</v>
      </c>
      <c r="J2376" s="1">
        <v>9228529</v>
      </c>
      <c r="K2376">
        <v>0</v>
      </c>
    </row>
    <row r="2377" spans="1:11" x14ac:dyDescent="0.25">
      <c r="A2377" t="s">
        <v>326</v>
      </c>
      <c r="B2377" t="s">
        <v>624</v>
      </c>
      <c r="C2377" t="s">
        <v>867</v>
      </c>
      <c r="D2377" t="s">
        <v>11</v>
      </c>
      <c r="E2377">
        <v>25</v>
      </c>
      <c r="F2377" s="2">
        <f>DATE(2026,IF(Tabla1[[#This Row],[Mes de Fecha]]="Septiembre",9,10),Tabla1[[#This Row],[Día de Fecha]])</f>
        <v>46290</v>
      </c>
      <c r="G2377">
        <v>1006172031</v>
      </c>
      <c r="H2377" t="s">
        <v>427</v>
      </c>
      <c r="I2377">
        <v>9</v>
      </c>
      <c r="J2377">
        <v>0</v>
      </c>
      <c r="K2377" s="1">
        <v>329413</v>
      </c>
    </row>
    <row r="2378" spans="1:11" x14ac:dyDescent="0.25">
      <c r="A2378" t="s">
        <v>326</v>
      </c>
      <c r="B2378" t="s">
        <v>624</v>
      </c>
      <c r="C2378" t="s">
        <v>867</v>
      </c>
      <c r="D2378" t="s">
        <v>11</v>
      </c>
      <c r="E2378">
        <v>25</v>
      </c>
      <c r="F2378" s="2">
        <f>DATE(2026,IF(Tabla1[[#This Row],[Mes de Fecha]]="Septiembre",9,10),Tabla1[[#This Row],[Día de Fecha]])</f>
        <v>46290</v>
      </c>
      <c r="G2378">
        <v>1109115019</v>
      </c>
      <c r="H2378" t="s">
        <v>401</v>
      </c>
      <c r="I2378">
        <v>49</v>
      </c>
      <c r="J2378">
        <v>0</v>
      </c>
      <c r="K2378" s="1">
        <v>2529163</v>
      </c>
    </row>
    <row r="2379" spans="1:11" x14ac:dyDescent="0.25">
      <c r="A2379" t="s">
        <v>326</v>
      </c>
      <c r="B2379" t="s">
        <v>624</v>
      </c>
      <c r="C2379" t="s">
        <v>867</v>
      </c>
      <c r="D2379" t="s">
        <v>11</v>
      </c>
      <c r="E2379">
        <v>25</v>
      </c>
      <c r="F2379" s="2">
        <f>DATE(2026,IF(Tabla1[[#This Row],[Mes de Fecha]]="Septiembre",9,10),Tabla1[[#This Row],[Día de Fecha]])</f>
        <v>46290</v>
      </c>
      <c r="G2379">
        <v>1118300904</v>
      </c>
      <c r="H2379" t="s">
        <v>626</v>
      </c>
      <c r="I2379">
        <v>6</v>
      </c>
      <c r="J2379">
        <v>0</v>
      </c>
      <c r="K2379" s="1">
        <v>201304</v>
      </c>
    </row>
    <row r="2380" spans="1:11" x14ac:dyDescent="0.25">
      <c r="A2380" t="s">
        <v>326</v>
      </c>
      <c r="B2380" t="s">
        <v>624</v>
      </c>
      <c r="C2380" t="s">
        <v>867</v>
      </c>
      <c r="D2380" t="s">
        <v>11</v>
      </c>
      <c r="E2380">
        <v>25</v>
      </c>
      <c r="F2380" s="2">
        <f>DATE(2026,IF(Tabla1[[#This Row],[Mes de Fecha]]="Septiembre",9,10),Tabla1[[#This Row],[Día de Fecha]])</f>
        <v>46290</v>
      </c>
      <c r="G2380">
        <v>1118312125</v>
      </c>
      <c r="H2380" t="s">
        <v>397</v>
      </c>
      <c r="I2380">
        <v>35</v>
      </c>
      <c r="J2380">
        <v>0</v>
      </c>
      <c r="K2380" s="1">
        <v>1408068</v>
      </c>
    </row>
    <row r="2381" spans="1:11" x14ac:dyDescent="0.25">
      <c r="A2381" t="s">
        <v>326</v>
      </c>
      <c r="B2381" t="s">
        <v>624</v>
      </c>
      <c r="C2381" t="s">
        <v>867</v>
      </c>
      <c r="D2381" t="s">
        <v>11</v>
      </c>
      <c r="E2381">
        <v>26</v>
      </c>
      <c r="F2381" s="2">
        <f>DATE(2026,IF(Tabla1[[#This Row],[Mes de Fecha]]="Septiembre",9,10),Tabla1[[#This Row],[Día de Fecha]])</f>
        <v>46291</v>
      </c>
      <c r="I2381">
        <v>0</v>
      </c>
      <c r="J2381" s="1">
        <v>13262723</v>
      </c>
      <c r="K2381">
        <v>0</v>
      </c>
    </row>
    <row r="2382" spans="1:11" x14ac:dyDescent="0.25">
      <c r="A2382" t="s">
        <v>326</v>
      </c>
      <c r="B2382" t="s">
        <v>624</v>
      </c>
      <c r="C2382" t="s">
        <v>867</v>
      </c>
      <c r="D2382" t="s">
        <v>11</v>
      </c>
      <c r="E2382">
        <v>26</v>
      </c>
      <c r="F2382" s="2">
        <f>DATE(2026,IF(Tabla1[[#This Row],[Mes de Fecha]]="Septiembre",9,10),Tabla1[[#This Row],[Día de Fecha]])</f>
        <v>46291</v>
      </c>
      <c r="G2382">
        <v>1006172031</v>
      </c>
      <c r="H2382" t="s">
        <v>427</v>
      </c>
      <c r="I2382">
        <v>42</v>
      </c>
      <c r="J2382">
        <v>0</v>
      </c>
      <c r="K2382" s="1">
        <v>2168196</v>
      </c>
    </row>
    <row r="2383" spans="1:11" x14ac:dyDescent="0.25">
      <c r="A2383" t="s">
        <v>326</v>
      </c>
      <c r="B2383" t="s">
        <v>624</v>
      </c>
      <c r="C2383" t="s">
        <v>867</v>
      </c>
      <c r="D2383" t="s">
        <v>11</v>
      </c>
      <c r="E2383">
        <v>26</v>
      </c>
      <c r="F2383" s="2">
        <f>DATE(2026,IF(Tabla1[[#This Row],[Mes de Fecha]]="Septiembre",9,10),Tabla1[[#This Row],[Día de Fecha]])</f>
        <v>46291</v>
      </c>
      <c r="G2383">
        <v>1109115019</v>
      </c>
      <c r="H2383" t="s">
        <v>401</v>
      </c>
      <c r="I2383">
        <v>101</v>
      </c>
      <c r="J2383">
        <v>0</v>
      </c>
      <c r="K2383" s="1">
        <v>4936305</v>
      </c>
    </row>
    <row r="2384" spans="1:11" x14ac:dyDescent="0.25">
      <c r="A2384" t="s">
        <v>326</v>
      </c>
      <c r="B2384" t="s">
        <v>624</v>
      </c>
      <c r="C2384" t="s">
        <v>867</v>
      </c>
      <c r="D2384" t="s">
        <v>11</v>
      </c>
      <c r="E2384">
        <v>26</v>
      </c>
      <c r="F2384" s="2">
        <f>DATE(2026,IF(Tabla1[[#This Row],[Mes de Fecha]]="Septiembre",9,10),Tabla1[[#This Row],[Día de Fecha]])</f>
        <v>46291</v>
      </c>
      <c r="G2384">
        <v>1118300904</v>
      </c>
      <c r="H2384" t="s">
        <v>626</v>
      </c>
      <c r="I2384">
        <v>34</v>
      </c>
      <c r="J2384">
        <v>0</v>
      </c>
      <c r="K2384" s="1">
        <v>1844875</v>
      </c>
    </row>
    <row r="2385" spans="1:11" x14ac:dyDescent="0.25">
      <c r="A2385" t="s">
        <v>326</v>
      </c>
      <c r="B2385" t="s">
        <v>624</v>
      </c>
      <c r="C2385" t="s">
        <v>867</v>
      </c>
      <c r="D2385" t="s">
        <v>11</v>
      </c>
      <c r="E2385">
        <v>26</v>
      </c>
      <c r="F2385" s="2">
        <f>DATE(2026,IF(Tabla1[[#This Row],[Mes de Fecha]]="Septiembre",9,10),Tabla1[[#This Row],[Día de Fecha]])</f>
        <v>46291</v>
      </c>
      <c r="G2385">
        <v>1118312125</v>
      </c>
      <c r="H2385" t="s">
        <v>397</v>
      </c>
      <c r="I2385">
        <v>120</v>
      </c>
      <c r="J2385">
        <v>0</v>
      </c>
      <c r="K2385" s="1">
        <v>5290346</v>
      </c>
    </row>
    <row r="2386" spans="1:11" x14ac:dyDescent="0.25">
      <c r="A2386" t="s">
        <v>326</v>
      </c>
      <c r="B2386" t="s">
        <v>624</v>
      </c>
      <c r="C2386" t="s">
        <v>867</v>
      </c>
      <c r="D2386" t="s">
        <v>11</v>
      </c>
      <c r="E2386">
        <v>27</v>
      </c>
      <c r="F2386" s="2">
        <f>DATE(2026,IF(Tabla1[[#This Row],[Mes de Fecha]]="Septiembre",9,10),Tabla1[[#This Row],[Día de Fecha]])</f>
        <v>46292</v>
      </c>
      <c r="I2386">
        <v>0</v>
      </c>
      <c r="J2386" s="1">
        <v>10506745</v>
      </c>
      <c r="K2386">
        <v>0</v>
      </c>
    </row>
    <row r="2387" spans="1:11" x14ac:dyDescent="0.25">
      <c r="A2387" t="s">
        <v>326</v>
      </c>
      <c r="B2387" t="s">
        <v>624</v>
      </c>
      <c r="C2387" t="s">
        <v>867</v>
      </c>
      <c r="D2387" t="s">
        <v>11</v>
      </c>
      <c r="E2387">
        <v>27</v>
      </c>
      <c r="F2387" s="2">
        <f>DATE(2026,IF(Tabla1[[#This Row],[Mes de Fecha]]="Septiembre",9,10),Tabla1[[#This Row],[Día de Fecha]])</f>
        <v>46292</v>
      </c>
      <c r="G2387">
        <v>1006172031</v>
      </c>
      <c r="H2387" t="s">
        <v>427</v>
      </c>
      <c r="I2387">
        <v>52</v>
      </c>
      <c r="J2387">
        <v>0</v>
      </c>
      <c r="K2387" s="1">
        <v>2405254</v>
      </c>
    </row>
    <row r="2388" spans="1:11" x14ac:dyDescent="0.25">
      <c r="A2388" t="s">
        <v>326</v>
      </c>
      <c r="B2388" t="s">
        <v>624</v>
      </c>
      <c r="C2388" t="s">
        <v>867</v>
      </c>
      <c r="D2388" t="s">
        <v>11</v>
      </c>
      <c r="E2388">
        <v>27</v>
      </c>
      <c r="F2388" s="2">
        <f>DATE(2026,IF(Tabla1[[#This Row],[Mes de Fecha]]="Septiembre",9,10),Tabla1[[#This Row],[Día de Fecha]])</f>
        <v>46292</v>
      </c>
      <c r="G2388">
        <v>1109115019</v>
      </c>
      <c r="H2388" t="s">
        <v>401</v>
      </c>
      <c r="I2388">
        <v>132</v>
      </c>
      <c r="J2388">
        <v>0</v>
      </c>
      <c r="K2388" s="1">
        <v>7214188</v>
      </c>
    </row>
    <row r="2389" spans="1:11" x14ac:dyDescent="0.25">
      <c r="A2389" t="s">
        <v>326</v>
      </c>
      <c r="B2389" t="s">
        <v>624</v>
      </c>
      <c r="C2389" t="s">
        <v>867</v>
      </c>
      <c r="D2389" t="s">
        <v>11</v>
      </c>
      <c r="E2389">
        <v>27</v>
      </c>
      <c r="F2389" s="2">
        <f>DATE(2026,IF(Tabla1[[#This Row],[Mes de Fecha]]="Septiembre",9,10),Tabla1[[#This Row],[Día de Fecha]])</f>
        <v>46292</v>
      </c>
      <c r="G2389">
        <v>1118300904</v>
      </c>
      <c r="H2389" t="s">
        <v>626</v>
      </c>
      <c r="I2389">
        <v>41</v>
      </c>
      <c r="J2389">
        <v>0</v>
      </c>
      <c r="K2389" s="1">
        <v>2275254</v>
      </c>
    </row>
    <row r="2390" spans="1:11" x14ac:dyDescent="0.25">
      <c r="A2390" t="s">
        <v>326</v>
      </c>
      <c r="B2390" t="s">
        <v>624</v>
      </c>
      <c r="C2390" t="s">
        <v>867</v>
      </c>
      <c r="D2390" t="s">
        <v>11</v>
      </c>
      <c r="E2390">
        <v>27</v>
      </c>
      <c r="F2390" s="2">
        <f>DATE(2026,IF(Tabla1[[#This Row],[Mes de Fecha]]="Septiembre",9,10),Tabla1[[#This Row],[Día de Fecha]])</f>
        <v>46292</v>
      </c>
      <c r="G2390">
        <v>1118312125</v>
      </c>
      <c r="H2390" t="s">
        <v>397</v>
      </c>
      <c r="I2390">
        <v>117</v>
      </c>
      <c r="J2390">
        <v>0</v>
      </c>
      <c r="K2390" s="1">
        <v>5880886</v>
      </c>
    </row>
    <row r="2391" spans="1:11" x14ac:dyDescent="0.25">
      <c r="A2391" t="s">
        <v>326</v>
      </c>
      <c r="B2391" t="s">
        <v>624</v>
      </c>
      <c r="C2391" t="s">
        <v>867</v>
      </c>
      <c r="D2391" t="s">
        <v>11</v>
      </c>
      <c r="E2391">
        <v>28</v>
      </c>
      <c r="F2391" s="2">
        <f>DATE(2026,IF(Tabla1[[#This Row],[Mes de Fecha]]="Septiembre",9,10),Tabla1[[#This Row],[Día de Fecha]])</f>
        <v>46293</v>
      </c>
      <c r="I2391">
        <v>0</v>
      </c>
      <c r="J2391" s="1">
        <v>5782483</v>
      </c>
      <c r="K2391">
        <v>0</v>
      </c>
    </row>
    <row r="2392" spans="1:11" x14ac:dyDescent="0.25">
      <c r="A2392" t="s">
        <v>326</v>
      </c>
      <c r="B2392" t="s">
        <v>624</v>
      </c>
      <c r="C2392" t="s">
        <v>867</v>
      </c>
      <c r="D2392" t="s">
        <v>11</v>
      </c>
      <c r="E2392">
        <v>28</v>
      </c>
      <c r="F2392" s="2">
        <f>DATE(2026,IF(Tabla1[[#This Row],[Mes de Fecha]]="Septiembre",9,10),Tabla1[[#This Row],[Día de Fecha]])</f>
        <v>46293</v>
      </c>
      <c r="G2392">
        <v>1005815270</v>
      </c>
      <c r="H2392" t="s">
        <v>509</v>
      </c>
      <c r="I2392">
        <v>-2</v>
      </c>
      <c r="J2392">
        <v>0</v>
      </c>
      <c r="K2392" s="1">
        <v>-92353</v>
      </c>
    </row>
    <row r="2393" spans="1:11" x14ac:dyDescent="0.25">
      <c r="A2393" t="s">
        <v>326</v>
      </c>
      <c r="B2393" t="s">
        <v>624</v>
      </c>
      <c r="C2393" t="s">
        <v>867</v>
      </c>
      <c r="D2393" t="s">
        <v>11</v>
      </c>
      <c r="E2393">
        <v>28</v>
      </c>
      <c r="F2393" s="2">
        <f>DATE(2026,IF(Tabla1[[#This Row],[Mes de Fecha]]="Septiembre",9,10),Tabla1[[#This Row],[Día de Fecha]])</f>
        <v>46293</v>
      </c>
      <c r="G2393">
        <v>1109115019</v>
      </c>
      <c r="H2393" t="s">
        <v>401</v>
      </c>
      <c r="I2393">
        <v>48</v>
      </c>
      <c r="J2393">
        <v>0</v>
      </c>
      <c r="K2393" s="1">
        <v>2249751</v>
      </c>
    </row>
    <row r="2394" spans="1:11" x14ac:dyDescent="0.25">
      <c r="A2394" t="s">
        <v>326</v>
      </c>
      <c r="B2394" t="s">
        <v>624</v>
      </c>
      <c r="C2394" t="s">
        <v>867</v>
      </c>
      <c r="D2394" t="s">
        <v>11</v>
      </c>
      <c r="E2394">
        <v>28</v>
      </c>
      <c r="F2394" s="2">
        <f>DATE(2026,IF(Tabla1[[#This Row],[Mes de Fecha]]="Septiembre",9,10),Tabla1[[#This Row],[Día de Fecha]])</f>
        <v>46293</v>
      </c>
      <c r="G2394">
        <v>1118312125</v>
      </c>
      <c r="H2394" t="s">
        <v>397</v>
      </c>
      <c r="I2394">
        <v>44</v>
      </c>
      <c r="J2394">
        <v>0</v>
      </c>
      <c r="K2394" s="1">
        <v>1922227</v>
      </c>
    </row>
    <row r="2395" spans="1:11" x14ac:dyDescent="0.25">
      <c r="A2395" t="s">
        <v>326</v>
      </c>
      <c r="B2395" t="s">
        <v>624</v>
      </c>
      <c r="C2395" t="s">
        <v>867</v>
      </c>
      <c r="D2395" t="s">
        <v>11</v>
      </c>
      <c r="E2395">
        <v>28</v>
      </c>
      <c r="F2395" s="2">
        <f>DATE(2026,IF(Tabla1[[#This Row],[Mes de Fecha]]="Septiembre",9,10),Tabla1[[#This Row],[Día de Fecha]])</f>
        <v>46293</v>
      </c>
      <c r="G2395">
        <v>1144163678</v>
      </c>
      <c r="H2395" t="s">
        <v>625</v>
      </c>
      <c r="I2395">
        <v>2</v>
      </c>
      <c r="J2395">
        <v>0</v>
      </c>
      <c r="K2395" s="1">
        <v>62900</v>
      </c>
    </row>
    <row r="2396" spans="1:11" x14ac:dyDescent="0.25">
      <c r="A2396" t="s">
        <v>326</v>
      </c>
      <c r="B2396" t="s">
        <v>624</v>
      </c>
      <c r="C2396" t="s">
        <v>867</v>
      </c>
      <c r="D2396" t="s">
        <v>11</v>
      </c>
      <c r="E2396">
        <v>29</v>
      </c>
      <c r="F2396" s="2">
        <f>DATE(2026,IF(Tabla1[[#This Row],[Mes de Fecha]]="Septiembre",9,10),Tabla1[[#This Row],[Día de Fecha]])</f>
        <v>46294</v>
      </c>
      <c r="I2396">
        <v>0</v>
      </c>
      <c r="J2396" s="1">
        <v>6176824</v>
      </c>
      <c r="K2396">
        <v>0</v>
      </c>
    </row>
    <row r="2397" spans="1:11" x14ac:dyDescent="0.25">
      <c r="A2397" t="s">
        <v>326</v>
      </c>
      <c r="B2397" t="s">
        <v>624</v>
      </c>
      <c r="C2397" t="s">
        <v>867</v>
      </c>
      <c r="D2397" t="s">
        <v>11</v>
      </c>
      <c r="E2397">
        <v>29</v>
      </c>
      <c r="F2397" s="2">
        <f>DATE(2026,IF(Tabla1[[#This Row],[Mes de Fecha]]="Septiembre",9,10),Tabla1[[#This Row],[Día de Fecha]])</f>
        <v>46294</v>
      </c>
      <c r="G2397">
        <v>1006172031</v>
      </c>
      <c r="H2397" t="s">
        <v>427</v>
      </c>
      <c r="I2397">
        <v>37</v>
      </c>
      <c r="J2397">
        <v>0</v>
      </c>
      <c r="K2397" s="1">
        <v>1859488</v>
      </c>
    </row>
    <row r="2398" spans="1:11" x14ac:dyDescent="0.25">
      <c r="A2398" t="s">
        <v>326</v>
      </c>
      <c r="B2398" t="s">
        <v>624</v>
      </c>
      <c r="C2398" t="s">
        <v>867</v>
      </c>
      <c r="D2398" t="s">
        <v>11</v>
      </c>
      <c r="E2398">
        <v>29</v>
      </c>
      <c r="F2398" s="2">
        <f>DATE(2026,IF(Tabla1[[#This Row],[Mes de Fecha]]="Septiembre",9,10),Tabla1[[#This Row],[Día de Fecha]])</f>
        <v>46294</v>
      </c>
      <c r="G2398">
        <v>1109115019</v>
      </c>
      <c r="H2398" t="s">
        <v>401</v>
      </c>
      <c r="I2398">
        <v>45</v>
      </c>
      <c r="J2398">
        <v>0</v>
      </c>
      <c r="K2398" s="1">
        <v>1838111</v>
      </c>
    </row>
    <row r="2399" spans="1:11" x14ac:dyDescent="0.25">
      <c r="A2399" t="s">
        <v>326</v>
      </c>
      <c r="B2399" t="s">
        <v>624</v>
      </c>
      <c r="C2399" t="s">
        <v>867</v>
      </c>
      <c r="D2399" t="s">
        <v>11</v>
      </c>
      <c r="E2399">
        <v>29</v>
      </c>
      <c r="F2399" s="2">
        <f>DATE(2026,IF(Tabla1[[#This Row],[Mes de Fecha]]="Septiembre",9,10),Tabla1[[#This Row],[Día de Fecha]])</f>
        <v>46294</v>
      </c>
      <c r="G2399">
        <v>1118300904</v>
      </c>
      <c r="H2399" t="s">
        <v>626</v>
      </c>
      <c r="I2399">
        <v>33</v>
      </c>
      <c r="J2399">
        <v>0</v>
      </c>
      <c r="K2399" s="1">
        <v>1464412</v>
      </c>
    </row>
    <row r="2400" spans="1:11" x14ac:dyDescent="0.25">
      <c r="A2400" t="s">
        <v>326</v>
      </c>
      <c r="B2400" t="s">
        <v>624</v>
      </c>
      <c r="C2400" t="s">
        <v>867</v>
      </c>
      <c r="D2400" t="s">
        <v>11</v>
      </c>
      <c r="E2400">
        <v>29</v>
      </c>
      <c r="F2400" s="2">
        <f>DATE(2026,IF(Tabla1[[#This Row],[Mes de Fecha]]="Septiembre",9,10),Tabla1[[#This Row],[Día de Fecha]])</f>
        <v>46294</v>
      </c>
      <c r="G2400">
        <v>1118312125</v>
      </c>
      <c r="H2400" t="s">
        <v>397</v>
      </c>
      <c r="I2400">
        <v>117</v>
      </c>
      <c r="J2400">
        <v>0</v>
      </c>
      <c r="K2400" s="1">
        <v>4384417</v>
      </c>
    </row>
    <row r="2401" spans="1:11" x14ac:dyDescent="0.25">
      <c r="A2401" t="s">
        <v>326</v>
      </c>
      <c r="B2401" t="s">
        <v>624</v>
      </c>
      <c r="C2401" t="s">
        <v>867</v>
      </c>
      <c r="D2401" t="s">
        <v>11</v>
      </c>
      <c r="E2401">
        <v>30</v>
      </c>
      <c r="F2401" s="2">
        <f>DATE(2026,IF(Tabla1[[#This Row],[Mes de Fecha]]="Septiembre",9,10),Tabla1[[#This Row],[Día de Fecha]])</f>
        <v>46295</v>
      </c>
      <c r="I2401">
        <v>0</v>
      </c>
      <c r="J2401" s="1">
        <v>6380767</v>
      </c>
      <c r="K2401">
        <v>0</v>
      </c>
    </row>
    <row r="2402" spans="1:11" x14ac:dyDescent="0.25">
      <c r="A2402" t="s">
        <v>326</v>
      </c>
      <c r="B2402" t="s">
        <v>624</v>
      </c>
      <c r="C2402" t="s">
        <v>867</v>
      </c>
      <c r="D2402" t="s">
        <v>11</v>
      </c>
      <c r="E2402">
        <v>30</v>
      </c>
      <c r="F2402" s="2">
        <f>DATE(2026,IF(Tabla1[[#This Row],[Mes de Fecha]]="Septiembre",9,10),Tabla1[[#This Row],[Día de Fecha]])</f>
        <v>46295</v>
      </c>
      <c r="G2402">
        <v>1006172031</v>
      </c>
      <c r="H2402" t="s">
        <v>427</v>
      </c>
      <c r="I2402">
        <v>26</v>
      </c>
      <c r="J2402">
        <v>0</v>
      </c>
      <c r="K2402" s="1">
        <v>931303</v>
      </c>
    </row>
    <row r="2403" spans="1:11" x14ac:dyDescent="0.25">
      <c r="A2403" t="s">
        <v>326</v>
      </c>
      <c r="B2403" t="s">
        <v>624</v>
      </c>
      <c r="C2403" t="s">
        <v>867</v>
      </c>
      <c r="D2403" t="s">
        <v>11</v>
      </c>
      <c r="E2403">
        <v>30</v>
      </c>
      <c r="F2403" s="2">
        <f>DATE(2026,IF(Tabla1[[#This Row],[Mes de Fecha]]="Septiembre",9,10),Tabla1[[#This Row],[Día de Fecha]])</f>
        <v>46295</v>
      </c>
      <c r="G2403">
        <v>1109115019</v>
      </c>
      <c r="H2403" t="s">
        <v>401</v>
      </c>
      <c r="I2403">
        <v>107</v>
      </c>
      <c r="J2403">
        <v>0</v>
      </c>
      <c r="K2403" s="1">
        <v>4245649</v>
      </c>
    </row>
    <row r="2404" spans="1:11" x14ac:dyDescent="0.25">
      <c r="A2404" t="s">
        <v>326</v>
      </c>
      <c r="B2404" t="s">
        <v>624</v>
      </c>
      <c r="C2404" t="s">
        <v>867</v>
      </c>
      <c r="D2404" t="s">
        <v>11</v>
      </c>
      <c r="E2404">
        <v>30</v>
      </c>
      <c r="F2404" s="2">
        <f>DATE(2026,IF(Tabla1[[#This Row],[Mes de Fecha]]="Septiembre",9,10),Tabla1[[#This Row],[Día de Fecha]])</f>
        <v>46295</v>
      </c>
      <c r="G2404">
        <v>1118300904</v>
      </c>
      <c r="H2404" t="s">
        <v>626</v>
      </c>
      <c r="I2404">
        <v>49</v>
      </c>
      <c r="J2404">
        <v>0</v>
      </c>
      <c r="K2404" s="1">
        <v>2199162</v>
      </c>
    </row>
    <row r="2405" spans="1:11" x14ac:dyDescent="0.25">
      <c r="A2405" t="s">
        <v>326</v>
      </c>
      <c r="B2405" t="s">
        <v>624</v>
      </c>
      <c r="C2405" t="s">
        <v>867</v>
      </c>
      <c r="D2405" t="s">
        <v>11</v>
      </c>
      <c r="E2405">
        <v>30</v>
      </c>
      <c r="F2405" s="2">
        <f>DATE(2026,IF(Tabla1[[#This Row],[Mes de Fecha]]="Septiembre",9,10),Tabla1[[#This Row],[Día de Fecha]])</f>
        <v>46295</v>
      </c>
      <c r="G2405">
        <v>1118312125</v>
      </c>
      <c r="H2405" t="s">
        <v>397</v>
      </c>
      <c r="I2405">
        <v>66</v>
      </c>
      <c r="J2405">
        <v>0</v>
      </c>
      <c r="K2405" s="1">
        <v>2710422</v>
      </c>
    </row>
    <row r="2406" spans="1:11" x14ac:dyDescent="0.25">
      <c r="A2406" t="s">
        <v>326</v>
      </c>
      <c r="B2406" t="s">
        <v>624</v>
      </c>
      <c r="C2406" t="s">
        <v>867</v>
      </c>
      <c r="D2406" t="s">
        <v>14</v>
      </c>
      <c r="E2406">
        <v>1</v>
      </c>
      <c r="F2406" s="2">
        <f>DATE(2026,IF(Tabla1[[#This Row],[Mes de Fecha]]="Septiembre",9,10),Tabla1[[#This Row],[Día de Fecha]])</f>
        <v>46296</v>
      </c>
      <c r="I2406">
        <v>0</v>
      </c>
      <c r="J2406" s="1">
        <v>5487839</v>
      </c>
      <c r="K2406">
        <v>0</v>
      </c>
    </row>
    <row r="2407" spans="1:11" x14ac:dyDescent="0.25">
      <c r="A2407" t="s">
        <v>326</v>
      </c>
      <c r="B2407" t="s">
        <v>624</v>
      </c>
      <c r="C2407" t="s">
        <v>867</v>
      </c>
      <c r="D2407" t="s">
        <v>14</v>
      </c>
      <c r="E2407">
        <v>1</v>
      </c>
      <c r="F2407" s="2">
        <f>DATE(2026,IF(Tabla1[[#This Row],[Mes de Fecha]]="Septiembre",9,10),Tabla1[[#This Row],[Día de Fecha]])</f>
        <v>46296</v>
      </c>
      <c r="G2407">
        <v>1006172031</v>
      </c>
      <c r="H2407" t="s">
        <v>427</v>
      </c>
      <c r="I2407">
        <v>49</v>
      </c>
      <c r="J2407">
        <v>0</v>
      </c>
      <c r="K2407" s="1">
        <v>2005634</v>
      </c>
    </row>
    <row r="2408" spans="1:11" x14ac:dyDescent="0.25">
      <c r="A2408" t="s">
        <v>326</v>
      </c>
      <c r="B2408" t="s">
        <v>624</v>
      </c>
      <c r="C2408" t="s">
        <v>867</v>
      </c>
      <c r="D2408" t="s">
        <v>14</v>
      </c>
      <c r="E2408">
        <v>1</v>
      </c>
      <c r="F2408" s="2">
        <f>DATE(2026,IF(Tabla1[[#This Row],[Mes de Fecha]]="Septiembre",9,10),Tabla1[[#This Row],[Día de Fecha]])</f>
        <v>46296</v>
      </c>
      <c r="G2408">
        <v>1109115019</v>
      </c>
      <c r="H2408" t="s">
        <v>401</v>
      </c>
      <c r="I2408">
        <v>87</v>
      </c>
      <c r="J2408">
        <v>0</v>
      </c>
      <c r="K2408" s="1">
        <v>3690509</v>
      </c>
    </row>
    <row r="2409" spans="1:11" x14ac:dyDescent="0.25">
      <c r="A2409" t="s">
        <v>326</v>
      </c>
      <c r="B2409" t="s">
        <v>624</v>
      </c>
      <c r="C2409" t="s">
        <v>867</v>
      </c>
      <c r="D2409" t="s">
        <v>14</v>
      </c>
      <c r="E2409">
        <v>1</v>
      </c>
      <c r="F2409" s="2">
        <f>DATE(2026,IF(Tabla1[[#This Row],[Mes de Fecha]]="Septiembre",9,10),Tabla1[[#This Row],[Día de Fecha]])</f>
        <v>46296</v>
      </c>
      <c r="G2409">
        <v>1118300904</v>
      </c>
      <c r="H2409" t="s">
        <v>626</v>
      </c>
      <c r="I2409">
        <v>30</v>
      </c>
      <c r="J2409">
        <v>0</v>
      </c>
      <c r="K2409" s="1">
        <v>1162396</v>
      </c>
    </row>
    <row r="2410" spans="1:11" x14ac:dyDescent="0.25">
      <c r="A2410" t="s">
        <v>326</v>
      </c>
      <c r="B2410" t="s">
        <v>624</v>
      </c>
      <c r="C2410" t="s">
        <v>867</v>
      </c>
      <c r="D2410" t="s">
        <v>14</v>
      </c>
      <c r="E2410">
        <v>1</v>
      </c>
      <c r="F2410" s="2">
        <f>DATE(2026,IF(Tabla1[[#This Row],[Mes de Fecha]]="Septiembre",9,10),Tabla1[[#This Row],[Día de Fecha]])</f>
        <v>46296</v>
      </c>
      <c r="G2410">
        <v>1118312125</v>
      </c>
      <c r="H2410" t="s">
        <v>397</v>
      </c>
      <c r="I2410">
        <v>115</v>
      </c>
      <c r="J2410">
        <v>0</v>
      </c>
      <c r="K2410" s="1">
        <v>4955800</v>
      </c>
    </row>
    <row r="2411" spans="1:11" x14ac:dyDescent="0.25">
      <c r="A2411" t="s">
        <v>326</v>
      </c>
      <c r="B2411" t="s">
        <v>624</v>
      </c>
      <c r="C2411" t="s">
        <v>867</v>
      </c>
      <c r="D2411" t="s">
        <v>14</v>
      </c>
      <c r="E2411">
        <v>2</v>
      </c>
      <c r="F2411" s="2">
        <f>DATE(2026,IF(Tabla1[[#This Row],[Mes de Fecha]]="Septiembre",9,10),Tabla1[[#This Row],[Día de Fecha]])</f>
        <v>46297</v>
      </c>
      <c r="I2411">
        <v>0</v>
      </c>
      <c r="J2411" s="1">
        <v>8571126</v>
      </c>
      <c r="K2411">
        <v>0</v>
      </c>
    </row>
    <row r="2412" spans="1:11" x14ac:dyDescent="0.25">
      <c r="A2412" t="s">
        <v>326</v>
      </c>
      <c r="B2412" t="s">
        <v>624</v>
      </c>
      <c r="C2412" t="s">
        <v>867</v>
      </c>
      <c r="D2412" t="s">
        <v>14</v>
      </c>
      <c r="E2412">
        <v>2</v>
      </c>
      <c r="F2412" s="2">
        <f>DATE(2026,IF(Tabla1[[#This Row],[Mes de Fecha]]="Septiembre",9,10),Tabla1[[#This Row],[Día de Fecha]])</f>
        <v>46297</v>
      </c>
      <c r="G2412">
        <v>1006172031</v>
      </c>
      <c r="H2412" t="s">
        <v>427</v>
      </c>
      <c r="I2412">
        <v>50</v>
      </c>
      <c r="J2412">
        <v>0</v>
      </c>
      <c r="K2412" s="1">
        <v>1761765</v>
      </c>
    </row>
    <row r="2413" spans="1:11" x14ac:dyDescent="0.25">
      <c r="A2413" t="s">
        <v>326</v>
      </c>
      <c r="B2413" t="s">
        <v>624</v>
      </c>
      <c r="C2413" t="s">
        <v>867</v>
      </c>
      <c r="D2413" t="s">
        <v>14</v>
      </c>
      <c r="E2413">
        <v>2</v>
      </c>
      <c r="F2413" s="2">
        <f>DATE(2026,IF(Tabla1[[#This Row],[Mes de Fecha]]="Septiembre",9,10),Tabla1[[#This Row],[Día de Fecha]])</f>
        <v>46297</v>
      </c>
      <c r="G2413">
        <v>1109115019</v>
      </c>
      <c r="H2413" t="s">
        <v>401</v>
      </c>
      <c r="I2413">
        <v>111</v>
      </c>
      <c r="J2413">
        <v>0</v>
      </c>
      <c r="K2413" s="1">
        <v>4823446</v>
      </c>
    </row>
    <row r="2414" spans="1:11" x14ac:dyDescent="0.25">
      <c r="A2414" t="s">
        <v>326</v>
      </c>
      <c r="B2414" t="s">
        <v>624</v>
      </c>
      <c r="C2414" t="s">
        <v>867</v>
      </c>
      <c r="D2414" t="s">
        <v>14</v>
      </c>
      <c r="E2414">
        <v>2</v>
      </c>
      <c r="F2414" s="2">
        <f>DATE(2026,IF(Tabla1[[#This Row],[Mes de Fecha]]="Septiembre",9,10),Tabla1[[#This Row],[Día de Fecha]])</f>
        <v>46297</v>
      </c>
      <c r="G2414">
        <v>1118300904</v>
      </c>
      <c r="H2414" t="s">
        <v>626</v>
      </c>
      <c r="I2414">
        <v>35</v>
      </c>
      <c r="J2414">
        <v>0</v>
      </c>
      <c r="K2414" s="1">
        <v>1731344</v>
      </c>
    </row>
    <row r="2415" spans="1:11" x14ac:dyDescent="0.25">
      <c r="A2415" t="s">
        <v>326</v>
      </c>
      <c r="B2415" t="s">
        <v>624</v>
      </c>
      <c r="C2415" t="s">
        <v>867</v>
      </c>
      <c r="D2415" t="s">
        <v>14</v>
      </c>
      <c r="E2415">
        <v>2</v>
      </c>
      <c r="F2415" s="2">
        <f>DATE(2026,IF(Tabla1[[#This Row],[Mes de Fecha]]="Septiembre",9,10),Tabla1[[#This Row],[Día de Fecha]])</f>
        <v>46297</v>
      </c>
      <c r="G2415">
        <v>1118312125</v>
      </c>
      <c r="H2415" t="s">
        <v>397</v>
      </c>
      <c r="I2415">
        <v>162</v>
      </c>
      <c r="J2415">
        <v>0</v>
      </c>
      <c r="K2415" s="1">
        <v>6973112</v>
      </c>
    </row>
    <row r="2416" spans="1:11" x14ac:dyDescent="0.25">
      <c r="A2416" t="s">
        <v>326</v>
      </c>
      <c r="B2416" t="s">
        <v>624</v>
      </c>
      <c r="C2416" t="s">
        <v>867</v>
      </c>
      <c r="D2416" t="s">
        <v>14</v>
      </c>
      <c r="E2416">
        <v>2</v>
      </c>
      <c r="F2416" s="2">
        <f>DATE(2026,IF(Tabla1[[#This Row],[Mes de Fecha]]="Septiembre",9,10),Tabla1[[#This Row],[Día de Fecha]])</f>
        <v>46297</v>
      </c>
      <c r="G2416">
        <v>1144163678</v>
      </c>
      <c r="H2416" t="s">
        <v>625</v>
      </c>
      <c r="I2416">
        <v>1</v>
      </c>
      <c r="J2416">
        <v>0</v>
      </c>
      <c r="K2416" s="1">
        <v>20966</v>
      </c>
    </row>
    <row r="2417" spans="1:11" x14ac:dyDescent="0.25">
      <c r="A2417" t="s">
        <v>326</v>
      </c>
      <c r="B2417" t="s">
        <v>624</v>
      </c>
      <c r="C2417" t="s">
        <v>867</v>
      </c>
      <c r="D2417" t="s">
        <v>14</v>
      </c>
      <c r="E2417">
        <v>3</v>
      </c>
      <c r="F2417" s="2">
        <f>DATE(2026,IF(Tabla1[[#This Row],[Mes de Fecha]]="Septiembre",9,10),Tabla1[[#This Row],[Día de Fecha]])</f>
        <v>46298</v>
      </c>
      <c r="I2417">
        <v>0</v>
      </c>
      <c r="J2417" s="1">
        <v>15674772</v>
      </c>
      <c r="K2417">
        <v>0</v>
      </c>
    </row>
    <row r="2418" spans="1:11" x14ac:dyDescent="0.25">
      <c r="A2418" t="s">
        <v>326</v>
      </c>
      <c r="B2418" t="s">
        <v>624</v>
      </c>
      <c r="C2418" t="s">
        <v>867</v>
      </c>
      <c r="D2418" t="s">
        <v>14</v>
      </c>
      <c r="E2418">
        <v>3</v>
      </c>
      <c r="F2418" s="2">
        <f>DATE(2026,IF(Tabla1[[#This Row],[Mes de Fecha]]="Septiembre",9,10),Tabla1[[#This Row],[Día de Fecha]])</f>
        <v>46298</v>
      </c>
      <c r="G2418">
        <v>1006172031</v>
      </c>
      <c r="H2418" t="s">
        <v>427</v>
      </c>
      <c r="I2418">
        <v>56</v>
      </c>
      <c r="J2418">
        <v>0</v>
      </c>
      <c r="K2418" s="1">
        <v>2308120</v>
      </c>
    </row>
    <row r="2419" spans="1:11" x14ac:dyDescent="0.25">
      <c r="A2419" t="s">
        <v>326</v>
      </c>
      <c r="B2419" t="s">
        <v>624</v>
      </c>
      <c r="C2419" t="s">
        <v>867</v>
      </c>
      <c r="D2419" t="s">
        <v>14</v>
      </c>
      <c r="E2419">
        <v>3</v>
      </c>
      <c r="F2419" s="2">
        <f>DATE(2026,IF(Tabla1[[#This Row],[Mes de Fecha]]="Septiembre",9,10),Tabla1[[#This Row],[Día de Fecha]])</f>
        <v>46298</v>
      </c>
      <c r="G2419">
        <v>1109115019</v>
      </c>
      <c r="H2419" t="s">
        <v>401</v>
      </c>
      <c r="I2419">
        <v>180</v>
      </c>
      <c r="J2419">
        <v>0</v>
      </c>
      <c r="K2419" s="1">
        <v>7163934</v>
      </c>
    </row>
    <row r="2420" spans="1:11" x14ac:dyDescent="0.25">
      <c r="A2420" t="s">
        <v>326</v>
      </c>
      <c r="B2420" t="s">
        <v>624</v>
      </c>
      <c r="C2420" t="s">
        <v>867</v>
      </c>
      <c r="D2420" t="s">
        <v>14</v>
      </c>
      <c r="E2420">
        <v>3</v>
      </c>
      <c r="F2420" s="2">
        <f>DATE(2026,IF(Tabla1[[#This Row],[Mes de Fecha]]="Septiembre",9,10),Tabla1[[#This Row],[Día de Fecha]])</f>
        <v>46298</v>
      </c>
      <c r="G2420">
        <v>1118300904</v>
      </c>
      <c r="H2420" t="s">
        <v>626</v>
      </c>
      <c r="I2420">
        <v>87</v>
      </c>
      <c r="J2420">
        <v>0</v>
      </c>
      <c r="K2420" s="1">
        <v>3222530</v>
      </c>
    </row>
    <row r="2421" spans="1:11" x14ac:dyDescent="0.25">
      <c r="A2421" t="s">
        <v>326</v>
      </c>
      <c r="B2421" t="s">
        <v>624</v>
      </c>
      <c r="C2421" t="s">
        <v>867</v>
      </c>
      <c r="D2421" t="s">
        <v>14</v>
      </c>
      <c r="E2421">
        <v>3</v>
      </c>
      <c r="F2421" s="2">
        <f>DATE(2026,IF(Tabla1[[#This Row],[Mes de Fecha]]="Septiembre",9,10),Tabla1[[#This Row],[Día de Fecha]])</f>
        <v>46298</v>
      </c>
      <c r="G2421">
        <v>1118312125</v>
      </c>
      <c r="H2421" t="s">
        <v>397</v>
      </c>
      <c r="I2421">
        <v>213</v>
      </c>
      <c r="J2421">
        <v>0</v>
      </c>
      <c r="K2421" s="1">
        <v>7757142</v>
      </c>
    </row>
    <row r="2422" spans="1:11" x14ac:dyDescent="0.25">
      <c r="A2422" t="s">
        <v>326</v>
      </c>
      <c r="B2422" t="s">
        <v>624</v>
      </c>
      <c r="C2422" t="s">
        <v>867</v>
      </c>
      <c r="D2422" t="s">
        <v>14</v>
      </c>
      <c r="E2422">
        <v>3</v>
      </c>
      <c r="F2422" s="2">
        <f>DATE(2026,IF(Tabla1[[#This Row],[Mes de Fecha]]="Septiembre",9,10),Tabla1[[#This Row],[Día de Fecha]])</f>
        <v>46298</v>
      </c>
      <c r="G2422">
        <v>1193259913</v>
      </c>
      <c r="H2422" t="s">
        <v>354</v>
      </c>
      <c r="I2422">
        <v>-2</v>
      </c>
      <c r="J2422">
        <v>0</v>
      </c>
      <c r="K2422" s="1">
        <v>-121723</v>
      </c>
    </row>
    <row r="2423" spans="1:11" x14ac:dyDescent="0.25">
      <c r="A2423" t="s">
        <v>326</v>
      </c>
      <c r="B2423" t="s">
        <v>624</v>
      </c>
      <c r="C2423" t="s">
        <v>867</v>
      </c>
      <c r="D2423" t="s">
        <v>14</v>
      </c>
      <c r="E2423">
        <v>4</v>
      </c>
      <c r="F2423" s="2">
        <f>DATE(2026,IF(Tabla1[[#This Row],[Mes de Fecha]]="Septiembre",9,10),Tabla1[[#This Row],[Día de Fecha]])</f>
        <v>46299</v>
      </c>
      <c r="I2423">
        <v>0</v>
      </c>
      <c r="J2423" s="1">
        <v>10571569</v>
      </c>
      <c r="K2423">
        <v>0</v>
      </c>
    </row>
    <row r="2424" spans="1:11" x14ac:dyDescent="0.25">
      <c r="A2424" t="s">
        <v>326</v>
      </c>
      <c r="B2424" t="s">
        <v>624</v>
      </c>
      <c r="C2424" t="s">
        <v>867</v>
      </c>
      <c r="D2424" t="s">
        <v>14</v>
      </c>
      <c r="E2424">
        <v>4</v>
      </c>
      <c r="F2424" s="2">
        <f>DATE(2026,IF(Tabla1[[#This Row],[Mes de Fecha]]="Septiembre",9,10),Tabla1[[#This Row],[Día de Fecha]])</f>
        <v>46299</v>
      </c>
      <c r="G2424">
        <v>1006172031</v>
      </c>
      <c r="H2424" t="s">
        <v>427</v>
      </c>
      <c r="I2424">
        <v>57</v>
      </c>
      <c r="J2424">
        <v>0</v>
      </c>
      <c r="K2424" s="1">
        <v>2299708</v>
      </c>
    </row>
    <row r="2425" spans="1:11" x14ac:dyDescent="0.25">
      <c r="A2425" t="s">
        <v>326</v>
      </c>
      <c r="B2425" t="s">
        <v>624</v>
      </c>
      <c r="C2425" t="s">
        <v>867</v>
      </c>
      <c r="D2425" t="s">
        <v>14</v>
      </c>
      <c r="E2425">
        <v>4</v>
      </c>
      <c r="F2425" s="2">
        <f>DATE(2026,IF(Tabla1[[#This Row],[Mes de Fecha]]="Septiembre",9,10),Tabla1[[#This Row],[Día de Fecha]])</f>
        <v>46299</v>
      </c>
      <c r="G2425">
        <v>1109115019</v>
      </c>
      <c r="H2425" t="s">
        <v>401</v>
      </c>
      <c r="I2425">
        <v>169</v>
      </c>
      <c r="J2425">
        <v>0</v>
      </c>
      <c r="K2425" s="1">
        <v>7526379</v>
      </c>
    </row>
    <row r="2426" spans="1:11" x14ac:dyDescent="0.25">
      <c r="A2426" t="s">
        <v>326</v>
      </c>
      <c r="B2426" t="s">
        <v>624</v>
      </c>
      <c r="C2426" t="s">
        <v>867</v>
      </c>
      <c r="D2426" t="s">
        <v>14</v>
      </c>
      <c r="E2426">
        <v>4</v>
      </c>
      <c r="F2426" s="2">
        <f>DATE(2026,IF(Tabla1[[#This Row],[Mes de Fecha]]="Septiembre",9,10),Tabla1[[#This Row],[Día de Fecha]])</f>
        <v>46299</v>
      </c>
      <c r="G2426">
        <v>1118300904</v>
      </c>
      <c r="H2426" t="s">
        <v>626</v>
      </c>
      <c r="I2426">
        <v>44</v>
      </c>
      <c r="J2426">
        <v>0</v>
      </c>
      <c r="K2426" s="1">
        <v>2239952</v>
      </c>
    </row>
    <row r="2427" spans="1:11" x14ac:dyDescent="0.25">
      <c r="A2427" t="s">
        <v>326</v>
      </c>
      <c r="B2427" t="s">
        <v>624</v>
      </c>
      <c r="C2427" t="s">
        <v>867</v>
      </c>
      <c r="D2427" t="s">
        <v>14</v>
      </c>
      <c r="E2427">
        <v>4</v>
      </c>
      <c r="F2427" s="2">
        <f>DATE(2026,IF(Tabla1[[#This Row],[Mes de Fecha]]="Septiembre",9,10),Tabla1[[#This Row],[Día de Fecha]])</f>
        <v>46299</v>
      </c>
      <c r="G2427">
        <v>1118312125</v>
      </c>
      <c r="H2427" t="s">
        <v>397</v>
      </c>
      <c r="I2427">
        <v>141</v>
      </c>
      <c r="J2427">
        <v>0</v>
      </c>
      <c r="K2427" s="1">
        <v>6194964</v>
      </c>
    </row>
    <row r="2428" spans="1:11" x14ac:dyDescent="0.25">
      <c r="A2428" t="s">
        <v>326</v>
      </c>
      <c r="B2428" t="s">
        <v>624</v>
      </c>
      <c r="C2428" t="s">
        <v>867</v>
      </c>
      <c r="D2428" t="s">
        <v>14</v>
      </c>
      <c r="E2428">
        <v>5</v>
      </c>
      <c r="F2428" s="2">
        <f>DATE(2026,IF(Tabla1[[#This Row],[Mes de Fecha]]="Septiembre",9,10),Tabla1[[#This Row],[Día de Fecha]])</f>
        <v>46300</v>
      </c>
      <c r="I2428">
        <v>0</v>
      </c>
      <c r="J2428" s="1">
        <v>6913109</v>
      </c>
      <c r="K2428">
        <v>0</v>
      </c>
    </row>
    <row r="2429" spans="1:11" x14ac:dyDescent="0.25">
      <c r="A2429" t="s">
        <v>326</v>
      </c>
      <c r="B2429" t="s">
        <v>624</v>
      </c>
      <c r="C2429" t="s">
        <v>867</v>
      </c>
      <c r="D2429" t="s">
        <v>14</v>
      </c>
      <c r="E2429">
        <v>5</v>
      </c>
      <c r="F2429" s="2">
        <f>DATE(2026,IF(Tabla1[[#This Row],[Mes de Fecha]]="Septiembre",9,10),Tabla1[[#This Row],[Día de Fecha]])</f>
        <v>46300</v>
      </c>
      <c r="G2429">
        <v>1006172031</v>
      </c>
      <c r="H2429" t="s">
        <v>427</v>
      </c>
      <c r="I2429">
        <v>19</v>
      </c>
      <c r="J2429">
        <v>0</v>
      </c>
      <c r="K2429" s="1">
        <v>940338</v>
      </c>
    </row>
    <row r="2430" spans="1:11" x14ac:dyDescent="0.25">
      <c r="A2430" t="s">
        <v>326</v>
      </c>
      <c r="B2430" t="s">
        <v>624</v>
      </c>
      <c r="C2430" t="s">
        <v>867</v>
      </c>
      <c r="D2430" t="s">
        <v>14</v>
      </c>
      <c r="E2430">
        <v>5</v>
      </c>
      <c r="F2430" s="2">
        <f>DATE(2026,IF(Tabla1[[#This Row],[Mes de Fecha]]="Septiembre",9,10),Tabla1[[#This Row],[Día de Fecha]])</f>
        <v>46300</v>
      </c>
      <c r="G2430">
        <v>1109115019</v>
      </c>
      <c r="H2430" t="s">
        <v>401</v>
      </c>
      <c r="I2430">
        <v>68</v>
      </c>
      <c r="J2430">
        <v>0</v>
      </c>
      <c r="K2430" s="1">
        <v>2603826</v>
      </c>
    </row>
    <row r="2431" spans="1:11" x14ac:dyDescent="0.25">
      <c r="A2431" t="s">
        <v>326</v>
      </c>
      <c r="B2431" t="s">
        <v>624</v>
      </c>
      <c r="C2431" t="s">
        <v>867</v>
      </c>
      <c r="D2431" t="s">
        <v>14</v>
      </c>
      <c r="E2431">
        <v>5</v>
      </c>
      <c r="F2431" s="2">
        <f>DATE(2026,IF(Tabla1[[#This Row],[Mes de Fecha]]="Septiembre",9,10),Tabla1[[#This Row],[Día de Fecha]])</f>
        <v>46300</v>
      </c>
      <c r="G2431">
        <v>1118300904</v>
      </c>
      <c r="H2431" t="s">
        <v>626</v>
      </c>
      <c r="I2431">
        <v>36</v>
      </c>
      <c r="J2431">
        <v>0</v>
      </c>
      <c r="K2431" s="1">
        <v>1380464</v>
      </c>
    </row>
    <row r="2432" spans="1:11" x14ac:dyDescent="0.25">
      <c r="A2432" t="s">
        <v>326</v>
      </c>
      <c r="B2432" t="s">
        <v>624</v>
      </c>
      <c r="C2432" t="s">
        <v>867</v>
      </c>
      <c r="D2432" t="s">
        <v>14</v>
      </c>
      <c r="E2432">
        <v>5</v>
      </c>
      <c r="F2432" s="2">
        <f>DATE(2026,IF(Tabla1[[#This Row],[Mes de Fecha]]="Septiembre",9,10),Tabla1[[#This Row],[Día de Fecha]])</f>
        <v>46300</v>
      </c>
      <c r="G2432">
        <v>1118312125</v>
      </c>
      <c r="H2432" t="s">
        <v>397</v>
      </c>
      <c r="I2432">
        <v>72</v>
      </c>
      <c r="J2432">
        <v>0</v>
      </c>
      <c r="K2432" s="1">
        <v>2697691</v>
      </c>
    </row>
    <row r="2433" spans="1:11" x14ac:dyDescent="0.25">
      <c r="A2433" t="s">
        <v>326</v>
      </c>
      <c r="B2433" t="s">
        <v>624</v>
      </c>
      <c r="C2433" t="s">
        <v>867</v>
      </c>
      <c r="D2433" t="s">
        <v>14</v>
      </c>
      <c r="E2433">
        <v>6</v>
      </c>
      <c r="F2433" s="2">
        <f>DATE(2026,IF(Tabla1[[#This Row],[Mes de Fecha]]="Septiembre",9,10),Tabla1[[#This Row],[Día de Fecha]])</f>
        <v>46301</v>
      </c>
      <c r="I2433">
        <v>0</v>
      </c>
      <c r="J2433" s="1">
        <v>6731977</v>
      </c>
      <c r="K2433">
        <v>0</v>
      </c>
    </row>
    <row r="2434" spans="1:11" x14ac:dyDescent="0.25">
      <c r="A2434" t="s">
        <v>326</v>
      </c>
      <c r="B2434" t="s">
        <v>624</v>
      </c>
      <c r="C2434" t="s">
        <v>867</v>
      </c>
      <c r="D2434" t="s">
        <v>14</v>
      </c>
      <c r="E2434">
        <v>6</v>
      </c>
      <c r="F2434" s="2">
        <f>DATE(2026,IF(Tabla1[[#This Row],[Mes de Fecha]]="Septiembre",9,10),Tabla1[[#This Row],[Día de Fecha]])</f>
        <v>46301</v>
      </c>
      <c r="G2434">
        <v>1006172031</v>
      </c>
      <c r="H2434" t="s">
        <v>427</v>
      </c>
      <c r="I2434">
        <v>15</v>
      </c>
      <c r="J2434">
        <v>0</v>
      </c>
      <c r="K2434" s="1">
        <v>785043</v>
      </c>
    </row>
    <row r="2435" spans="1:11" x14ac:dyDescent="0.25">
      <c r="A2435" t="s">
        <v>326</v>
      </c>
      <c r="B2435" t="s">
        <v>624</v>
      </c>
      <c r="C2435" t="s">
        <v>867</v>
      </c>
      <c r="D2435" t="s">
        <v>14</v>
      </c>
      <c r="E2435">
        <v>6</v>
      </c>
      <c r="F2435" s="2">
        <f>DATE(2026,IF(Tabla1[[#This Row],[Mes de Fecha]]="Septiembre",9,10),Tabla1[[#This Row],[Día de Fecha]])</f>
        <v>46301</v>
      </c>
      <c r="G2435">
        <v>1109115019</v>
      </c>
      <c r="H2435" t="s">
        <v>401</v>
      </c>
      <c r="I2435">
        <v>0</v>
      </c>
      <c r="J2435">
        <v>0</v>
      </c>
      <c r="K2435">
        <v>0</v>
      </c>
    </row>
    <row r="2436" spans="1:11" x14ac:dyDescent="0.25">
      <c r="A2436" t="s">
        <v>326</v>
      </c>
      <c r="B2436" t="s">
        <v>624</v>
      </c>
      <c r="C2436" t="s">
        <v>867</v>
      </c>
      <c r="D2436" t="s">
        <v>14</v>
      </c>
      <c r="E2436">
        <v>6</v>
      </c>
      <c r="F2436" s="2">
        <f>DATE(2026,IF(Tabla1[[#This Row],[Mes de Fecha]]="Septiembre",9,10),Tabla1[[#This Row],[Día de Fecha]])</f>
        <v>46301</v>
      </c>
      <c r="G2436">
        <v>1118300904</v>
      </c>
      <c r="H2436" t="s">
        <v>626</v>
      </c>
      <c r="I2436">
        <v>20</v>
      </c>
      <c r="J2436">
        <v>0</v>
      </c>
      <c r="K2436" s="1">
        <v>900270</v>
      </c>
    </row>
    <row r="2437" spans="1:11" x14ac:dyDescent="0.25">
      <c r="A2437" t="s">
        <v>326</v>
      </c>
      <c r="B2437" t="s">
        <v>624</v>
      </c>
      <c r="C2437" t="s">
        <v>867</v>
      </c>
      <c r="D2437" t="s">
        <v>14</v>
      </c>
      <c r="E2437">
        <v>6</v>
      </c>
      <c r="F2437" s="2">
        <f>DATE(2026,IF(Tabla1[[#This Row],[Mes de Fecha]]="Septiembre",9,10),Tabla1[[#This Row],[Día de Fecha]])</f>
        <v>46301</v>
      </c>
      <c r="G2437">
        <v>1118312125</v>
      </c>
      <c r="H2437" t="s">
        <v>397</v>
      </c>
      <c r="I2437">
        <v>105</v>
      </c>
      <c r="J2437">
        <v>0</v>
      </c>
      <c r="K2437" s="1">
        <v>4637393</v>
      </c>
    </row>
    <row r="2438" spans="1:11" x14ac:dyDescent="0.25">
      <c r="A2438" t="s">
        <v>326</v>
      </c>
      <c r="B2438" t="s">
        <v>624</v>
      </c>
      <c r="C2438" t="s">
        <v>867</v>
      </c>
      <c r="D2438" t="s">
        <v>14</v>
      </c>
      <c r="E2438">
        <v>7</v>
      </c>
      <c r="F2438" s="2">
        <f>DATE(2026,IF(Tabla1[[#This Row],[Mes de Fecha]]="Septiembre",9,10),Tabla1[[#This Row],[Día de Fecha]])</f>
        <v>46302</v>
      </c>
      <c r="I2438">
        <v>0</v>
      </c>
      <c r="J2438" s="1">
        <v>6679089</v>
      </c>
      <c r="K2438">
        <v>0</v>
      </c>
    </row>
    <row r="2439" spans="1:11" x14ac:dyDescent="0.25">
      <c r="A2439" t="s">
        <v>326</v>
      </c>
      <c r="B2439" t="s">
        <v>624</v>
      </c>
      <c r="C2439" t="s">
        <v>867</v>
      </c>
      <c r="D2439" t="s">
        <v>14</v>
      </c>
      <c r="E2439">
        <v>7</v>
      </c>
      <c r="F2439" s="2">
        <f>DATE(2026,IF(Tabla1[[#This Row],[Mes de Fecha]]="Septiembre",9,10),Tabla1[[#This Row],[Día de Fecha]])</f>
        <v>46302</v>
      </c>
      <c r="G2439">
        <v>1006172031</v>
      </c>
      <c r="H2439" t="s">
        <v>427</v>
      </c>
      <c r="I2439">
        <v>12</v>
      </c>
      <c r="J2439">
        <v>0</v>
      </c>
      <c r="K2439" s="1">
        <v>398612</v>
      </c>
    </row>
    <row r="2440" spans="1:11" x14ac:dyDescent="0.25">
      <c r="A2440" t="s">
        <v>326</v>
      </c>
      <c r="B2440" t="s">
        <v>624</v>
      </c>
      <c r="C2440" t="s">
        <v>867</v>
      </c>
      <c r="D2440" t="s">
        <v>14</v>
      </c>
      <c r="E2440">
        <v>7</v>
      </c>
      <c r="F2440" s="2">
        <f>DATE(2026,IF(Tabla1[[#This Row],[Mes de Fecha]]="Septiembre",9,10),Tabla1[[#This Row],[Día de Fecha]])</f>
        <v>46302</v>
      </c>
      <c r="G2440">
        <v>1109115019</v>
      </c>
      <c r="H2440" t="s">
        <v>401</v>
      </c>
      <c r="I2440">
        <v>1</v>
      </c>
      <c r="J2440">
        <v>0</v>
      </c>
      <c r="K2440" s="1">
        <v>29369</v>
      </c>
    </row>
    <row r="2441" spans="1:11" x14ac:dyDescent="0.25">
      <c r="A2441" t="s">
        <v>326</v>
      </c>
      <c r="B2441" t="s">
        <v>624</v>
      </c>
      <c r="C2441" t="s">
        <v>867</v>
      </c>
      <c r="D2441" t="s">
        <v>14</v>
      </c>
      <c r="E2441">
        <v>7</v>
      </c>
      <c r="F2441" s="2">
        <f>DATE(2026,IF(Tabla1[[#This Row],[Mes de Fecha]]="Septiembre",9,10),Tabla1[[#This Row],[Día de Fecha]])</f>
        <v>46302</v>
      </c>
      <c r="G2441">
        <v>1118300904</v>
      </c>
      <c r="H2441" t="s">
        <v>626</v>
      </c>
      <c r="I2441">
        <v>11</v>
      </c>
      <c r="J2441">
        <v>0</v>
      </c>
      <c r="K2441" s="1">
        <v>436470</v>
      </c>
    </row>
    <row r="2442" spans="1:11" x14ac:dyDescent="0.25">
      <c r="A2442" t="s">
        <v>326</v>
      </c>
      <c r="B2442" t="s">
        <v>624</v>
      </c>
      <c r="C2442" t="s">
        <v>867</v>
      </c>
      <c r="D2442" t="s">
        <v>14</v>
      </c>
      <c r="E2442">
        <v>7</v>
      </c>
      <c r="F2442" s="2">
        <f>DATE(2026,IF(Tabla1[[#This Row],[Mes de Fecha]]="Septiembre",9,10),Tabla1[[#This Row],[Día de Fecha]])</f>
        <v>46302</v>
      </c>
      <c r="G2442">
        <v>1118312125</v>
      </c>
      <c r="H2442" t="s">
        <v>397</v>
      </c>
      <c r="I2442">
        <v>149</v>
      </c>
      <c r="J2442">
        <v>0</v>
      </c>
      <c r="K2442" s="1">
        <v>7217179</v>
      </c>
    </row>
    <row r="2443" spans="1:11" x14ac:dyDescent="0.25">
      <c r="A2443" t="s">
        <v>326</v>
      </c>
      <c r="B2443" t="s">
        <v>690</v>
      </c>
      <c r="C2443" t="s">
        <v>867</v>
      </c>
      <c r="D2443" t="s">
        <v>11</v>
      </c>
      <c r="E2443">
        <v>23</v>
      </c>
      <c r="F2443" s="2">
        <f>DATE(2026,IF(Tabla1[[#This Row],[Mes de Fecha]]="Septiembre",9,10),Tabla1[[#This Row],[Día de Fecha]])</f>
        <v>46288</v>
      </c>
      <c r="I2443">
        <v>0</v>
      </c>
      <c r="J2443" s="1">
        <v>12383384</v>
      </c>
      <c r="K2443">
        <v>0</v>
      </c>
    </row>
    <row r="2444" spans="1:11" x14ac:dyDescent="0.25">
      <c r="A2444" t="s">
        <v>326</v>
      </c>
      <c r="B2444" t="s">
        <v>690</v>
      </c>
      <c r="C2444" t="s">
        <v>867</v>
      </c>
      <c r="D2444" t="s">
        <v>11</v>
      </c>
      <c r="E2444">
        <v>23</v>
      </c>
      <c r="F2444" s="2">
        <f>DATE(2026,IF(Tabla1[[#This Row],[Mes de Fecha]]="Septiembre",9,10),Tabla1[[#This Row],[Día de Fecha]])</f>
        <v>46288</v>
      </c>
      <c r="G2444">
        <v>1113656874</v>
      </c>
      <c r="H2444" t="s">
        <v>434</v>
      </c>
      <c r="I2444">
        <v>86</v>
      </c>
      <c r="J2444">
        <v>0</v>
      </c>
      <c r="K2444" s="1">
        <v>4716935</v>
      </c>
    </row>
    <row r="2445" spans="1:11" x14ac:dyDescent="0.25">
      <c r="A2445" t="s">
        <v>326</v>
      </c>
      <c r="B2445" t="s">
        <v>690</v>
      </c>
      <c r="C2445" t="s">
        <v>867</v>
      </c>
      <c r="D2445" t="s">
        <v>11</v>
      </c>
      <c r="E2445">
        <v>23</v>
      </c>
      <c r="F2445" s="2">
        <f>DATE(2026,IF(Tabla1[[#This Row],[Mes de Fecha]]="Septiembre",9,10),Tabla1[[#This Row],[Día de Fecha]])</f>
        <v>46288</v>
      </c>
      <c r="G2445">
        <v>1113702327</v>
      </c>
      <c r="H2445" t="s">
        <v>692</v>
      </c>
      <c r="I2445">
        <v>99</v>
      </c>
      <c r="J2445">
        <v>0</v>
      </c>
      <c r="K2445" s="1">
        <v>5663784</v>
      </c>
    </row>
    <row r="2446" spans="1:11" x14ac:dyDescent="0.25">
      <c r="A2446" t="s">
        <v>326</v>
      </c>
      <c r="B2446" t="s">
        <v>690</v>
      </c>
      <c r="C2446" t="s">
        <v>867</v>
      </c>
      <c r="D2446" t="s">
        <v>11</v>
      </c>
      <c r="E2446">
        <v>23</v>
      </c>
      <c r="F2446" s="2">
        <f>DATE(2026,IF(Tabla1[[#This Row],[Mes de Fecha]]="Septiembre",9,10),Tabla1[[#This Row],[Día de Fecha]])</f>
        <v>46288</v>
      </c>
      <c r="G2446">
        <v>1192813746</v>
      </c>
      <c r="H2446" t="s">
        <v>694</v>
      </c>
      <c r="I2446">
        <v>63</v>
      </c>
      <c r="J2446">
        <v>0</v>
      </c>
      <c r="K2446" s="1">
        <v>3640171</v>
      </c>
    </row>
    <row r="2447" spans="1:11" x14ac:dyDescent="0.25">
      <c r="A2447" t="s">
        <v>326</v>
      </c>
      <c r="B2447" t="s">
        <v>690</v>
      </c>
      <c r="C2447" t="s">
        <v>867</v>
      </c>
      <c r="D2447" t="s">
        <v>11</v>
      </c>
      <c r="E2447">
        <v>24</v>
      </c>
      <c r="F2447" s="2">
        <f>DATE(2026,IF(Tabla1[[#This Row],[Mes de Fecha]]="Septiembre",9,10),Tabla1[[#This Row],[Día de Fecha]])</f>
        <v>46289</v>
      </c>
      <c r="I2447">
        <v>0</v>
      </c>
      <c r="J2447" s="1">
        <v>18917016</v>
      </c>
      <c r="K2447">
        <v>0</v>
      </c>
    </row>
    <row r="2448" spans="1:11" x14ac:dyDescent="0.25">
      <c r="A2448" t="s">
        <v>326</v>
      </c>
      <c r="B2448" t="s">
        <v>690</v>
      </c>
      <c r="C2448" t="s">
        <v>867</v>
      </c>
      <c r="D2448" t="s">
        <v>11</v>
      </c>
      <c r="E2448">
        <v>24</v>
      </c>
      <c r="F2448" s="2">
        <f>DATE(2026,IF(Tabla1[[#This Row],[Mes de Fecha]]="Septiembre",9,10),Tabla1[[#This Row],[Día de Fecha]])</f>
        <v>46289</v>
      </c>
      <c r="G2448">
        <v>1113637332</v>
      </c>
      <c r="H2448" t="s">
        <v>695</v>
      </c>
      <c r="I2448">
        <v>-1</v>
      </c>
      <c r="J2448">
        <v>0</v>
      </c>
      <c r="K2448" s="1">
        <v>-46177</v>
      </c>
    </row>
    <row r="2449" spans="1:11" x14ac:dyDescent="0.25">
      <c r="A2449" t="s">
        <v>326</v>
      </c>
      <c r="B2449" t="s">
        <v>690</v>
      </c>
      <c r="C2449" t="s">
        <v>867</v>
      </c>
      <c r="D2449" t="s">
        <v>11</v>
      </c>
      <c r="E2449">
        <v>24</v>
      </c>
      <c r="F2449" s="2">
        <f>DATE(2026,IF(Tabla1[[#This Row],[Mes de Fecha]]="Septiembre",9,10),Tabla1[[#This Row],[Día de Fecha]])</f>
        <v>46289</v>
      </c>
      <c r="G2449">
        <v>1113656874</v>
      </c>
      <c r="H2449" t="s">
        <v>434</v>
      </c>
      <c r="I2449">
        <v>103</v>
      </c>
      <c r="J2449">
        <v>0</v>
      </c>
      <c r="K2449" s="1">
        <v>6216222</v>
      </c>
    </row>
    <row r="2450" spans="1:11" x14ac:dyDescent="0.25">
      <c r="A2450" t="s">
        <v>326</v>
      </c>
      <c r="B2450" t="s">
        <v>690</v>
      </c>
      <c r="C2450" t="s">
        <v>867</v>
      </c>
      <c r="D2450" t="s">
        <v>11</v>
      </c>
      <c r="E2450">
        <v>24</v>
      </c>
      <c r="F2450" s="2">
        <f>DATE(2026,IF(Tabla1[[#This Row],[Mes de Fecha]]="Septiembre",9,10),Tabla1[[#This Row],[Día de Fecha]])</f>
        <v>46289</v>
      </c>
      <c r="G2450">
        <v>1113702327</v>
      </c>
      <c r="H2450" t="s">
        <v>692</v>
      </c>
      <c r="I2450">
        <v>99</v>
      </c>
      <c r="J2450">
        <v>0</v>
      </c>
      <c r="K2450" s="1">
        <v>5821350</v>
      </c>
    </row>
    <row r="2451" spans="1:11" x14ac:dyDescent="0.25">
      <c r="A2451" t="s">
        <v>326</v>
      </c>
      <c r="B2451" t="s">
        <v>690</v>
      </c>
      <c r="C2451" t="s">
        <v>867</v>
      </c>
      <c r="D2451" t="s">
        <v>11</v>
      </c>
      <c r="E2451">
        <v>24</v>
      </c>
      <c r="F2451" s="2">
        <f>DATE(2026,IF(Tabla1[[#This Row],[Mes de Fecha]]="Septiembre",9,10),Tabla1[[#This Row],[Día de Fecha]])</f>
        <v>46289</v>
      </c>
      <c r="G2451">
        <v>1192813746</v>
      </c>
      <c r="H2451" t="s">
        <v>694</v>
      </c>
      <c r="I2451">
        <v>68</v>
      </c>
      <c r="J2451">
        <v>0</v>
      </c>
      <c r="K2451" s="1">
        <v>3719753</v>
      </c>
    </row>
    <row r="2452" spans="1:11" x14ac:dyDescent="0.25">
      <c r="A2452" t="s">
        <v>326</v>
      </c>
      <c r="B2452" t="s">
        <v>690</v>
      </c>
      <c r="C2452" t="s">
        <v>867</v>
      </c>
      <c r="D2452" t="s">
        <v>11</v>
      </c>
      <c r="E2452">
        <v>24</v>
      </c>
      <c r="F2452" s="2">
        <f>DATE(2026,IF(Tabla1[[#This Row],[Mes de Fecha]]="Septiembre",9,10),Tabla1[[#This Row],[Día de Fecha]])</f>
        <v>46289</v>
      </c>
      <c r="G2452">
        <v>1193599836</v>
      </c>
      <c r="H2452" t="s">
        <v>516</v>
      </c>
      <c r="I2452">
        <v>-1</v>
      </c>
      <c r="J2452">
        <v>0</v>
      </c>
      <c r="K2452" s="1">
        <v>-37773</v>
      </c>
    </row>
    <row r="2453" spans="1:11" x14ac:dyDescent="0.25">
      <c r="A2453" t="s">
        <v>326</v>
      </c>
      <c r="B2453" t="s">
        <v>690</v>
      </c>
      <c r="C2453" t="s">
        <v>867</v>
      </c>
      <c r="D2453" t="s">
        <v>11</v>
      </c>
      <c r="E2453">
        <v>25</v>
      </c>
      <c r="F2453" s="2">
        <f>DATE(2026,IF(Tabla1[[#This Row],[Mes de Fecha]]="Septiembre",9,10),Tabla1[[#This Row],[Día de Fecha]])</f>
        <v>46290</v>
      </c>
      <c r="I2453">
        <v>0</v>
      </c>
      <c r="J2453" s="1">
        <v>18875139</v>
      </c>
      <c r="K2453">
        <v>0</v>
      </c>
    </row>
    <row r="2454" spans="1:11" x14ac:dyDescent="0.25">
      <c r="A2454" t="s">
        <v>326</v>
      </c>
      <c r="B2454" t="s">
        <v>690</v>
      </c>
      <c r="C2454" t="s">
        <v>867</v>
      </c>
      <c r="D2454" t="s">
        <v>11</v>
      </c>
      <c r="E2454">
        <v>25</v>
      </c>
      <c r="F2454" s="2">
        <f>DATE(2026,IF(Tabla1[[#This Row],[Mes de Fecha]]="Septiembre",9,10),Tabla1[[#This Row],[Día de Fecha]])</f>
        <v>46290</v>
      </c>
      <c r="G2454">
        <v>1113656874</v>
      </c>
      <c r="H2454" t="s">
        <v>434</v>
      </c>
      <c r="I2454">
        <v>103</v>
      </c>
      <c r="J2454">
        <v>0</v>
      </c>
      <c r="K2454" s="1">
        <v>6461978</v>
      </c>
    </row>
    <row r="2455" spans="1:11" x14ac:dyDescent="0.25">
      <c r="A2455" t="s">
        <v>326</v>
      </c>
      <c r="B2455" t="s">
        <v>690</v>
      </c>
      <c r="C2455" t="s">
        <v>867</v>
      </c>
      <c r="D2455" t="s">
        <v>11</v>
      </c>
      <c r="E2455">
        <v>25</v>
      </c>
      <c r="F2455" s="2">
        <f>DATE(2026,IF(Tabla1[[#This Row],[Mes de Fecha]]="Septiembre",9,10),Tabla1[[#This Row],[Día de Fecha]])</f>
        <v>46290</v>
      </c>
      <c r="G2455">
        <v>1113702327</v>
      </c>
      <c r="H2455" t="s">
        <v>692</v>
      </c>
      <c r="I2455">
        <v>93</v>
      </c>
      <c r="J2455">
        <v>0</v>
      </c>
      <c r="K2455" s="1">
        <v>5067356</v>
      </c>
    </row>
    <row r="2456" spans="1:11" x14ac:dyDescent="0.25">
      <c r="A2456" t="s">
        <v>326</v>
      </c>
      <c r="B2456" t="s">
        <v>690</v>
      </c>
      <c r="C2456" t="s">
        <v>867</v>
      </c>
      <c r="D2456" t="s">
        <v>11</v>
      </c>
      <c r="E2456">
        <v>26</v>
      </c>
      <c r="F2456" s="2">
        <f>DATE(2026,IF(Tabla1[[#This Row],[Mes de Fecha]]="Septiembre",9,10),Tabla1[[#This Row],[Día de Fecha]])</f>
        <v>46291</v>
      </c>
      <c r="I2456">
        <v>0</v>
      </c>
      <c r="J2456" s="1">
        <v>27126285</v>
      </c>
      <c r="K2456">
        <v>0</v>
      </c>
    </row>
    <row r="2457" spans="1:11" x14ac:dyDescent="0.25">
      <c r="A2457" t="s">
        <v>326</v>
      </c>
      <c r="B2457" t="s">
        <v>690</v>
      </c>
      <c r="C2457" t="s">
        <v>867</v>
      </c>
      <c r="D2457" t="s">
        <v>11</v>
      </c>
      <c r="E2457">
        <v>26</v>
      </c>
      <c r="F2457" s="2">
        <f>DATE(2026,IF(Tabla1[[#This Row],[Mes de Fecha]]="Septiembre",9,10),Tabla1[[#This Row],[Día de Fecha]])</f>
        <v>46291</v>
      </c>
      <c r="G2457">
        <v>1113637332</v>
      </c>
      <c r="H2457" t="s">
        <v>695</v>
      </c>
      <c r="I2457">
        <v>-1</v>
      </c>
      <c r="J2457">
        <v>0</v>
      </c>
      <c r="K2457" s="1">
        <v>-92353</v>
      </c>
    </row>
    <row r="2458" spans="1:11" x14ac:dyDescent="0.25">
      <c r="A2458" t="s">
        <v>326</v>
      </c>
      <c r="B2458" t="s">
        <v>690</v>
      </c>
      <c r="C2458" t="s">
        <v>867</v>
      </c>
      <c r="D2458" t="s">
        <v>11</v>
      </c>
      <c r="E2458">
        <v>26</v>
      </c>
      <c r="F2458" s="2">
        <f>DATE(2026,IF(Tabla1[[#This Row],[Mes de Fecha]]="Septiembre",9,10),Tabla1[[#This Row],[Día de Fecha]])</f>
        <v>46291</v>
      </c>
      <c r="G2458">
        <v>1113656874</v>
      </c>
      <c r="H2458" t="s">
        <v>434</v>
      </c>
      <c r="I2458">
        <v>163</v>
      </c>
      <c r="J2458">
        <v>0</v>
      </c>
      <c r="K2458" s="1">
        <v>9936140</v>
      </c>
    </row>
    <row r="2459" spans="1:11" x14ac:dyDescent="0.25">
      <c r="A2459" t="s">
        <v>326</v>
      </c>
      <c r="B2459" t="s">
        <v>690</v>
      </c>
      <c r="C2459" t="s">
        <v>867</v>
      </c>
      <c r="D2459" t="s">
        <v>11</v>
      </c>
      <c r="E2459">
        <v>26</v>
      </c>
      <c r="F2459" s="2">
        <f>DATE(2026,IF(Tabla1[[#This Row],[Mes de Fecha]]="Septiembre",9,10),Tabla1[[#This Row],[Día de Fecha]])</f>
        <v>46291</v>
      </c>
      <c r="G2459">
        <v>1113702327</v>
      </c>
      <c r="H2459" t="s">
        <v>692</v>
      </c>
      <c r="I2459">
        <v>144</v>
      </c>
      <c r="J2459">
        <v>0</v>
      </c>
      <c r="K2459" s="1">
        <v>9262692</v>
      </c>
    </row>
    <row r="2460" spans="1:11" x14ac:dyDescent="0.25">
      <c r="A2460" t="s">
        <v>326</v>
      </c>
      <c r="B2460" t="s">
        <v>690</v>
      </c>
      <c r="C2460" t="s">
        <v>867</v>
      </c>
      <c r="D2460" t="s">
        <v>11</v>
      </c>
      <c r="E2460">
        <v>26</v>
      </c>
      <c r="F2460" s="2">
        <f>DATE(2026,IF(Tabla1[[#This Row],[Mes de Fecha]]="Septiembre",9,10),Tabla1[[#This Row],[Día de Fecha]])</f>
        <v>46291</v>
      </c>
      <c r="G2460">
        <v>1192813746</v>
      </c>
      <c r="H2460" t="s">
        <v>694</v>
      </c>
      <c r="I2460">
        <v>78</v>
      </c>
      <c r="J2460">
        <v>0</v>
      </c>
      <c r="K2460" s="1">
        <v>4851645</v>
      </c>
    </row>
    <row r="2461" spans="1:11" x14ac:dyDescent="0.25">
      <c r="A2461" t="s">
        <v>326</v>
      </c>
      <c r="B2461" t="s">
        <v>690</v>
      </c>
      <c r="C2461" t="s">
        <v>867</v>
      </c>
      <c r="D2461" t="s">
        <v>11</v>
      </c>
      <c r="E2461">
        <v>27</v>
      </c>
      <c r="F2461" s="2">
        <f>DATE(2026,IF(Tabla1[[#This Row],[Mes de Fecha]]="Septiembre",9,10),Tabla1[[#This Row],[Día de Fecha]])</f>
        <v>46292</v>
      </c>
      <c r="I2461">
        <v>0</v>
      </c>
      <c r="J2461" s="1">
        <v>21489481</v>
      </c>
      <c r="K2461">
        <v>0</v>
      </c>
    </row>
    <row r="2462" spans="1:11" x14ac:dyDescent="0.25">
      <c r="A2462" t="s">
        <v>326</v>
      </c>
      <c r="B2462" t="s">
        <v>690</v>
      </c>
      <c r="C2462" t="s">
        <v>867</v>
      </c>
      <c r="D2462" t="s">
        <v>11</v>
      </c>
      <c r="E2462">
        <v>27</v>
      </c>
      <c r="F2462" s="2">
        <f>DATE(2026,IF(Tabla1[[#This Row],[Mes de Fecha]]="Septiembre",9,10),Tabla1[[#This Row],[Día de Fecha]])</f>
        <v>46292</v>
      </c>
      <c r="G2462">
        <v>1113656874</v>
      </c>
      <c r="H2462" t="s">
        <v>434</v>
      </c>
      <c r="I2462">
        <v>57</v>
      </c>
      <c r="J2462">
        <v>0</v>
      </c>
      <c r="K2462" s="1">
        <v>3381975</v>
      </c>
    </row>
    <row r="2463" spans="1:11" x14ac:dyDescent="0.25">
      <c r="A2463" t="s">
        <v>326</v>
      </c>
      <c r="B2463" t="s">
        <v>690</v>
      </c>
      <c r="C2463" t="s">
        <v>867</v>
      </c>
      <c r="D2463" t="s">
        <v>11</v>
      </c>
      <c r="E2463">
        <v>27</v>
      </c>
      <c r="F2463" s="2">
        <f>DATE(2026,IF(Tabla1[[#This Row],[Mes de Fecha]]="Septiembre",9,10),Tabla1[[#This Row],[Día de Fecha]])</f>
        <v>46292</v>
      </c>
      <c r="G2463">
        <v>1113702327</v>
      </c>
      <c r="H2463" t="s">
        <v>692</v>
      </c>
      <c r="I2463">
        <v>72</v>
      </c>
      <c r="J2463">
        <v>0</v>
      </c>
      <c r="K2463" s="1">
        <v>4284747</v>
      </c>
    </row>
    <row r="2464" spans="1:11" x14ac:dyDescent="0.25">
      <c r="A2464" t="s">
        <v>326</v>
      </c>
      <c r="B2464" t="s">
        <v>690</v>
      </c>
      <c r="C2464" t="s">
        <v>867</v>
      </c>
      <c r="D2464" t="s">
        <v>11</v>
      </c>
      <c r="E2464">
        <v>27</v>
      </c>
      <c r="F2464" s="2">
        <f>DATE(2026,IF(Tabla1[[#This Row],[Mes de Fecha]]="Septiembre",9,10),Tabla1[[#This Row],[Día de Fecha]])</f>
        <v>46292</v>
      </c>
      <c r="G2464">
        <v>1192813746</v>
      </c>
      <c r="H2464" t="s">
        <v>694</v>
      </c>
      <c r="I2464">
        <v>45</v>
      </c>
      <c r="J2464">
        <v>0</v>
      </c>
      <c r="K2464" s="1">
        <v>3145171</v>
      </c>
    </row>
    <row r="2465" spans="1:11" x14ac:dyDescent="0.25">
      <c r="A2465" t="s">
        <v>326</v>
      </c>
      <c r="B2465" t="s">
        <v>690</v>
      </c>
      <c r="C2465" t="s">
        <v>867</v>
      </c>
      <c r="D2465" t="s">
        <v>11</v>
      </c>
      <c r="E2465">
        <v>28</v>
      </c>
      <c r="F2465" s="2">
        <f>DATE(2026,IF(Tabla1[[#This Row],[Mes de Fecha]]="Septiembre",9,10),Tabla1[[#This Row],[Día de Fecha]])</f>
        <v>46293</v>
      </c>
      <c r="I2465">
        <v>0</v>
      </c>
      <c r="J2465" s="1">
        <v>12099532</v>
      </c>
      <c r="K2465">
        <v>0</v>
      </c>
    </row>
    <row r="2466" spans="1:11" x14ac:dyDescent="0.25">
      <c r="A2466" t="s">
        <v>326</v>
      </c>
      <c r="B2466" t="s">
        <v>690</v>
      </c>
      <c r="C2466" t="s">
        <v>867</v>
      </c>
      <c r="D2466" t="s">
        <v>11</v>
      </c>
      <c r="E2466">
        <v>28</v>
      </c>
      <c r="F2466" s="2">
        <f>DATE(2026,IF(Tabla1[[#This Row],[Mes de Fecha]]="Septiembre",9,10),Tabla1[[#This Row],[Día de Fecha]])</f>
        <v>46293</v>
      </c>
      <c r="G2466">
        <v>1113656874</v>
      </c>
      <c r="H2466" t="s">
        <v>434</v>
      </c>
      <c r="I2466">
        <v>102</v>
      </c>
      <c r="J2466">
        <v>0</v>
      </c>
      <c r="K2466" s="1">
        <v>6274835</v>
      </c>
    </row>
    <row r="2467" spans="1:11" x14ac:dyDescent="0.25">
      <c r="A2467" t="s">
        <v>326</v>
      </c>
      <c r="B2467" t="s">
        <v>690</v>
      </c>
      <c r="C2467" t="s">
        <v>867</v>
      </c>
      <c r="D2467" t="s">
        <v>11</v>
      </c>
      <c r="E2467">
        <v>28</v>
      </c>
      <c r="F2467" s="2">
        <f>DATE(2026,IF(Tabla1[[#This Row],[Mes de Fecha]]="Septiembre",9,10),Tabla1[[#This Row],[Día de Fecha]])</f>
        <v>46293</v>
      </c>
      <c r="G2467">
        <v>1113702327</v>
      </c>
      <c r="H2467" t="s">
        <v>692</v>
      </c>
      <c r="I2467">
        <v>87</v>
      </c>
      <c r="J2467">
        <v>0</v>
      </c>
      <c r="K2467" s="1">
        <v>5760880</v>
      </c>
    </row>
    <row r="2468" spans="1:11" x14ac:dyDescent="0.25">
      <c r="A2468" t="s">
        <v>326</v>
      </c>
      <c r="B2468" t="s">
        <v>690</v>
      </c>
      <c r="C2468" t="s">
        <v>867</v>
      </c>
      <c r="D2468" t="s">
        <v>11</v>
      </c>
      <c r="E2468">
        <v>28</v>
      </c>
      <c r="F2468" s="2">
        <f>DATE(2026,IF(Tabla1[[#This Row],[Mes de Fecha]]="Septiembre",9,10),Tabla1[[#This Row],[Día de Fecha]])</f>
        <v>46293</v>
      </c>
      <c r="G2468">
        <v>1192813746</v>
      </c>
      <c r="H2468" t="s">
        <v>694</v>
      </c>
      <c r="I2468">
        <v>62</v>
      </c>
      <c r="J2468">
        <v>0</v>
      </c>
      <c r="K2468" s="1">
        <v>3745172</v>
      </c>
    </row>
    <row r="2469" spans="1:11" x14ac:dyDescent="0.25">
      <c r="A2469" t="s">
        <v>326</v>
      </c>
      <c r="B2469" t="s">
        <v>690</v>
      </c>
      <c r="C2469" t="s">
        <v>867</v>
      </c>
      <c r="D2469" t="s">
        <v>11</v>
      </c>
      <c r="E2469">
        <v>29</v>
      </c>
      <c r="F2469" s="2">
        <f>DATE(2026,IF(Tabla1[[#This Row],[Mes de Fecha]]="Septiembre",9,10),Tabla1[[#This Row],[Día de Fecha]])</f>
        <v>46294</v>
      </c>
      <c r="I2469">
        <v>0</v>
      </c>
      <c r="J2469" s="1">
        <v>12360867</v>
      </c>
      <c r="K2469">
        <v>0</v>
      </c>
    </row>
    <row r="2470" spans="1:11" x14ac:dyDescent="0.25">
      <c r="A2470" t="s">
        <v>326</v>
      </c>
      <c r="B2470" t="s">
        <v>690</v>
      </c>
      <c r="C2470" t="s">
        <v>867</v>
      </c>
      <c r="D2470" t="s">
        <v>11</v>
      </c>
      <c r="E2470">
        <v>29</v>
      </c>
      <c r="F2470" s="2">
        <f>DATE(2026,IF(Tabla1[[#This Row],[Mes de Fecha]]="Septiembre",9,10),Tabla1[[#This Row],[Día de Fecha]])</f>
        <v>46294</v>
      </c>
      <c r="G2470">
        <v>1007700430</v>
      </c>
      <c r="H2470" t="s">
        <v>404</v>
      </c>
      <c r="I2470">
        <v>-1</v>
      </c>
      <c r="J2470">
        <v>0</v>
      </c>
      <c r="K2470" s="1">
        <v>-58781</v>
      </c>
    </row>
    <row r="2471" spans="1:11" x14ac:dyDescent="0.25">
      <c r="A2471" t="s">
        <v>326</v>
      </c>
      <c r="B2471" t="s">
        <v>690</v>
      </c>
      <c r="C2471" t="s">
        <v>867</v>
      </c>
      <c r="D2471" t="s">
        <v>11</v>
      </c>
      <c r="E2471">
        <v>29</v>
      </c>
      <c r="F2471" s="2">
        <f>DATE(2026,IF(Tabla1[[#This Row],[Mes de Fecha]]="Septiembre",9,10),Tabla1[[#This Row],[Día de Fecha]])</f>
        <v>46294</v>
      </c>
      <c r="G2471">
        <v>1113637332</v>
      </c>
      <c r="H2471" t="s">
        <v>695</v>
      </c>
      <c r="I2471">
        <v>-1</v>
      </c>
      <c r="J2471">
        <v>0</v>
      </c>
      <c r="K2471" s="1">
        <v>-75546</v>
      </c>
    </row>
    <row r="2472" spans="1:11" x14ac:dyDescent="0.25">
      <c r="A2472" t="s">
        <v>326</v>
      </c>
      <c r="B2472" t="s">
        <v>690</v>
      </c>
      <c r="C2472" t="s">
        <v>867</v>
      </c>
      <c r="D2472" t="s">
        <v>11</v>
      </c>
      <c r="E2472">
        <v>29</v>
      </c>
      <c r="F2472" s="2">
        <f>DATE(2026,IF(Tabla1[[#This Row],[Mes de Fecha]]="Septiembre",9,10),Tabla1[[#This Row],[Día de Fecha]])</f>
        <v>46294</v>
      </c>
      <c r="G2472">
        <v>1113656874</v>
      </c>
      <c r="H2472" t="s">
        <v>434</v>
      </c>
      <c r="I2472">
        <v>92</v>
      </c>
      <c r="J2472">
        <v>0</v>
      </c>
      <c r="K2472" s="1">
        <v>5130505</v>
      </c>
    </row>
    <row r="2473" spans="1:11" x14ac:dyDescent="0.25">
      <c r="A2473" t="s">
        <v>326</v>
      </c>
      <c r="B2473" t="s">
        <v>690</v>
      </c>
      <c r="C2473" t="s">
        <v>867</v>
      </c>
      <c r="D2473" t="s">
        <v>11</v>
      </c>
      <c r="E2473">
        <v>29</v>
      </c>
      <c r="F2473" s="2">
        <f>DATE(2026,IF(Tabla1[[#This Row],[Mes de Fecha]]="Septiembre",9,10),Tabla1[[#This Row],[Día de Fecha]])</f>
        <v>46294</v>
      </c>
      <c r="G2473">
        <v>1113702327</v>
      </c>
      <c r="H2473" t="s">
        <v>692</v>
      </c>
      <c r="I2473">
        <v>86</v>
      </c>
      <c r="J2473">
        <v>0</v>
      </c>
      <c r="K2473" s="1">
        <v>4968617</v>
      </c>
    </row>
    <row r="2474" spans="1:11" x14ac:dyDescent="0.25">
      <c r="A2474" t="s">
        <v>326</v>
      </c>
      <c r="B2474" t="s">
        <v>690</v>
      </c>
      <c r="C2474" t="s">
        <v>867</v>
      </c>
      <c r="D2474" t="s">
        <v>11</v>
      </c>
      <c r="E2474">
        <v>29</v>
      </c>
      <c r="F2474" s="2">
        <f>DATE(2026,IF(Tabla1[[#This Row],[Mes de Fecha]]="Septiembre",9,10),Tabla1[[#This Row],[Día de Fecha]])</f>
        <v>46294</v>
      </c>
      <c r="G2474">
        <v>1192813746</v>
      </c>
      <c r="H2474" t="s">
        <v>694</v>
      </c>
      <c r="I2474">
        <v>55</v>
      </c>
      <c r="J2474">
        <v>0</v>
      </c>
      <c r="K2474" s="1">
        <v>3371600</v>
      </c>
    </row>
    <row r="2475" spans="1:11" x14ac:dyDescent="0.25">
      <c r="A2475" t="s">
        <v>326</v>
      </c>
      <c r="B2475" t="s">
        <v>690</v>
      </c>
      <c r="C2475" t="s">
        <v>867</v>
      </c>
      <c r="D2475" t="s">
        <v>11</v>
      </c>
      <c r="E2475">
        <v>30</v>
      </c>
      <c r="F2475" s="2">
        <f>DATE(2026,IF(Tabla1[[#This Row],[Mes de Fecha]]="Septiembre",9,10),Tabla1[[#This Row],[Día de Fecha]])</f>
        <v>46295</v>
      </c>
      <c r="I2475">
        <v>0</v>
      </c>
      <c r="J2475" s="1">
        <v>13050602</v>
      </c>
      <c r="K2475">
        <v>0</v>
      </c>
    </row>
    <row r="2476" spans="1:11" x14ac:dyDescent="0.25">
      <c r="A2476" t="s">
        <v>326</v>
      </c>
      <c r="B2476" t="s">
        <v>690</v>
      </c>
      <c r="C2476" t="s">
        <v>867</v>
      </c>
      <c r="D2476" t="s">
        <v>11</v>
      </c>
      <c r="E2476">
        <v>30</v>
      </c>
      <c r="F2476" s="2">
        <f>DATE(2026,IF(Tabla1[[#This Row],[Mes de Fecha]]="Septiembre",9,10),Tabla1[[#This Row],[Día de Fecha]])</f>
        <v>46295</v>
      </c>
      <c r="G2476">
        <v>1113656874</v>
      </c>
      <c r="H2476" t="s">
        <v>434</v>
      </c>
      <c r="I2476">
        <v>78</v>
      </c>
      <c r="J2476">
        <v>0</v>
      </c>
      <c r="K2476" s="1">
        <v>4816015</v>
      </c>
    </row>
    <row r="2477" spans="1:11" x14ac:dyDescent="0.25">
      <c r="A2477" t="s">
        <v>326</v>
      </c>
      <c r="B2477" t="s">
        <v>690</v>
      </c>
      <c r="C2477" t="s">
        <v>867</v>
      </c>
      <c r="D2477" t="s">
        <v>11</v>
      </c>
      <c r="E2477">
        <v>30</v>
      </c>
      <c r="F2477" s="2">
        <f>DATE(2026,IF(Tabla1[[#This Row],[Mes de Fecha]]="Septiembre",9,10),Tabla1[[#This Row],[Día de Fecha]])</f>
        <v>46295</v>
      </c>
      <c r="G2477">
        <v>1113702327</v>
      </c>
      <c r="H2477" t="s">
        <v>692</v>
      </c>
      <c r="I2477">
        <v>103</v>
      </c>
      <c r="J2477">
        <v>0</v>
      </c>
      <c r="K2477" s="1">
        <v>6030848</v>
      </c>
    </row>
    <row r="2478" spans="1:11" x14ac:dyDescent="0.25">
      <c r="A2478" t="s">
        <v>326</v>
      </c>
      <c r="B2478" t="s">
        <v>690</v>
      </c>
      <c r="C2478" t="s">
        <v>867</v>
      </c>
      <c r="D2478" t="s">
        <v>11</v>
      </c>
      <c r="E2478">
        <v>30</v>
      </c>
      <c r="F2478" s="2">
        <f>DATE(2026,IF(Tabla1[[#This Row],[Mes de Fecha]]="Septiembre",9,10),Tabla1[[#This Row],[Día de Fecha]])</f>
        <v>46295</v>
      </c>
      <c r="G2478">
        <v>1192813746</v>
      </c>
      <c r="H2478" t="s">
        <v>694</v>
      </c>
      <c r="I2478">
        <v>57</v>
      </c>
      <c r="J2478">
        <v>0</v>
      </c>
      <c r="K2478" s="1">
        <v>3373532</v>
      </c>
    </row>
    <row r="2479" spans="1:11" x14ac:dyDescent="0.25">
      <c r="A2479" t="s">
        <v>326</v>
      </c>
      <c r="B2479" t="s">
        <v>690</v>
      </c>
      <c r="C2479" t="s">
        <v>867</v>
      </c>
      <c r="D2479" t="s">
        <v>14</v>
      </c>
      <c r="E2479">
        <v>1</v>
      </c>
      <c r="F2479" s="2">
        <f>DATE(2026,IF(Tabla1[[#This Row],[Mes de Fecha]]="Septiembre",9,10),Tabla1[[#This Row],[Día de Fecha]])</f>
        <v>46296</v>
      </c>
      <c r="I2479">
        <v>0</v>
      </c>
      <c r="J2479" s="1">
        <v>17285897</v>
      </c>
      <c r="K2479">
        <v>0</v>
      </c>
    </row>
    <row r="2480" spans="1:11" x14ac:dyDescent="0.25">
      <c r="A2480" t="s">
        <v>326</v>
      </c>
      <c r="B2480" t="s">
        <v>690</v>
      </c>
      <c r="C2480" t="s">
        <v>867</v>
      </c>
      <c r="D2480" t="s">
        <v>14</v>
      </c>
      <c r="E2480">
        <v>1</v>
      </c>
      <c r="F2480" s="2">
        <f>DATE(2026,IF(Tabla1[[#This Row],[Mes de Fecha]]="Septiembre",9,10),Tabla1[[#This Row],[Día de Fecha]])</f>
        <v>46296</v>
      </c>
      <c r="G2480">
        <v>1113656874</v>
      </c>
      <c r="H2480" t="s">
        <v>434</v>
      </c>
      <c r="I2480">
        <v>84</v>
      </c>
      <c r="J2480">
        <v>0</v>
      </c>
      <c r="K2480" s="1">
        <v>5109753</v>
      </c>
    </row>
    <row r="2481" spans="1:11" x14ac:dyDescent="0.25">
      <c r="A2481" t="s">
        <v>326</v>
      </c>
      <c r="B2481" t="s">
        <v>690</v>
      </c>
      <c r="C2481" t="s">
        <v>867</v>
      </c>
      <c r="D2481" t="s">
        <v>14</v>
      </c>
      <c r="E2481">
        <v>1</v>
      </c>
      <c r="F2481" s="2">
        <f>DATE(2026,IF(Tabla1[[#This Row],[Mes de Fecha]]="Septiembre",9,10),Tabla1[[#This Row],[Día de Fecha]])</f>
        <v>46296</v>
      </c>
      <c r="G2481">
        <v>1113702327</v>
      </c>
      <c r="H2481" t="s">
        <v>692</v>
      </c>
      <c r="I2481">
        <v>111</v>
      </c>
      <c r="J2481">
        <v>0</v>
      </c>
      <c r="K2481" s="1">
        <v>6123325</v>
      </c>
    </row>
    <row r="2482" spans="1:11" x14ac:dyDescent="0.25">
      <c r="A2482" t="s">
        <v>326</v>
      </c>
      <c r="B2482" t="s">
        <v>690</v>
      </c>
      <c r="C2482" t="s">
        <v>867</v>
      </c>
      <c r="D2482" t="s">
        <v>14</v>
      </c>
      <c r="E2482">
        <v>1</v>
      </c>
      <c r="F2482" s="2">
        <f>DATE(2026,IF(Tabla1[[#This Row],[Mes de Fecha]]="Septiembre",9,10),Tabla1[[#This Row],[Día de Fecha]])</f>
        <v>46296</v>
      </c>
      <c r="G2482">
        <v>1192813746</v>
      </c>
      <c r="H2482" t="s">
        <v>694</v>
      </c>
      <c r="I2482">
        <v>62</v>
      </c>
      <c r="J2482">
        <v>0</v>
      </c>
      <c r="K2482" s="1">
        <v>3011940</v>
      </c>
    </row>
    <row r="2483" spans="1:11" x14ac:dyDescent="0.25">
      <c r="A2483" t="s">
        <v>326</v>
      </c>
      <c r="B2483" t="s">
        <v>690</v>
      </c>
      <c r="C2483" t="s">
        <v>867</v>
      </c>
      <c r="D2483" t="s">
        <v>14</v>
      </c>
      <c r="E2483">
        <v>2</v>
      </c>
      <c r="F2483" s="2">
        <f>DATE(2026,IF(Tabla1[[#This Row],[Mes de Fecha]]="Septiembre",9,10),Tabla1[[#This Row],[Día de Fecha]])</f>
        <v>46297</v>
      </c>
      <c r="I2483">
        <v>0</v>
      </c>
      <c r="J2483" s="1">
        <v>15107134</v>
      </c>
      <c r="K2483">
        <v>0</v>
      </c>
    </row>
    <row r="2484" spans="1:11" x14ac:dyDescent="0.25">
      <c r="A2484" t="s">
        <v>326</v>
      </c>
      <c r="B2484" t="s">
        <v>690</v>
      </c>
      <c r="C2484" t="s">
        <v>867</v>
      </c>
      <c r="D2484" t="s">
        <v>14</v>
      </c>
      <c r="E2484">
        <v>2</v>
      </c>
      <c r="F2484" s="2">
        <f>DATE(2026,IF(Tabla1[[#This Row],[Mes de Fecha]]="Septiembre",9,10),Tabla1[[#This Row],[Día de Fecha]])</f>
        <v>46297</v>
      </c>
      <c r="G2484">
        <v>5063496</v>
      </c>
      <c r="H2484" t="s">
        <v>363</v>
      </c>
      <c r="I2484">
        <v>-1</v>
      </c>
      <c r="J2484">
        <v>0</v>
      </c>
      <c r="K2484" s="1">
        <v>-121807</v>
      </c>
    </row>
    <row r="2485" spans="1:11" x14ac:dyDescent="0.25">
      <c r="A2485" t="s">
        <v>326</v>
      </c>
      <c r="B2485" t="s">
        <v>690</v>
      </c>
      <c r="C2485" t="s">
        <v>867</v>
      </c>
      <c r="D2485" t="s">
        <v>14</v>
      </c>
      <c r="E2485">
        <v>2</v>
      </c>
      <c r="F2485" s="2">
        <f>DATE(2026,IF(Tabla1[[#This Row],[Mes de Fecha]]="Septiembre",9,10),Tabla1[[#This Row],[Día de Fecha]])</f>
        <v>46297</v>
      </c>
      <c r="G2485">
        <v>1113656874</v>
      </c>
      <c r="H2485" t="s">
        <v>434</v>
      </c>
      <c r="I2485">
        <v>77</v>
      </c>
      <c r="J2485">
        <v>0</v>
      </c>
      <c r="K2485" s="1">
        <v>4124794</v>
      </c>
    </row>
    <row r="2486" spans="1:11" x14ac:dyDescent="0.25">
      <c r="A2486" t="s">
        <v>326</v>
      </c>
      <c r="B2486" t="s">
        <v>690</v>
      </c>
      <c r="C2486" t="s">
        <v>867</v>
      </c>
      <c r="D2486" t="s">
        <v>14</v>
      </c>
      <c r="E2486">
        <v>2</v>
      </c>
      <c r="F2486" s="2">
        <f>DATE(2026,IF(Tabla1[[#This Row],[Mes de Fecha]]="Septiembre",9,10),Tabla1[[#This Row],[Día de Fecha]])</f>
        <v>46297</v>
      </c>
      <c r="G2486">
        <v>1113702327</v>
      </c>
      <c r="H2486" t="s">
        <v>692</v>
      </c>
      <c r="I2486">
        <v>73</v>
      </c>
      <c r="J2486">
        <v>0</v>
      </c>
      <c r="K2486" s="1">
        <v>4066055</v>
      </c>
    </row>
    <row r="2487" spans="1:11" x14ac:dyDescent="0.25">
      <c r="A2487" t="s">
        <v>326</v>
      </c>
      <c r="B2487" t="s">
        <v>690</v>
      </c>
      <c r="C2487" t="s">
        <v>867</v>
      </c>
      <c r="D2487" t="s">
        <v>14</v>
      </c>
      <c r="E2487">
        <v>2</v>
      </c>
      <c r="F2487" s="2">
        <f>DATE(2026,IF(Tabla1[[#This Row],[Mes de Fecha]]="Septiembre",9,10),Tabla1[[#This Row],[Día de Fecha]])</f>
        <v>46297</v>
      </c>
      <c r="G2487">
        <v>1192813746</v>
      </c>
      <c r="H2487" t="s">
        <v>694</v>
      </c>
      <c r="I2487">
        <v>41</v>
      </c>
      <c r="J2487">
        <v>0</v>
      </c>
      <c r="K2487" s="1">
        <v>2561137</v>
      </c>
    </row>
    <row r="2488" spans="1:11" x14ac:dyDescent="0.25">
      <c r="A2488" t="s">
        <v>326</v>
      </c>
      <c r="B2488" t="s">
        <v>690</v>
      </c>
      <c r="C2488" t="s">
        <v>867</v>
      </c>
      <c r="D2488" t="s">
        <v>14</v>
      </c>
      <c r="E2488">
        <v>3</v>
      </c>
      <c r="F2488" s="2">
        <f>DATE(2026,IF(Tabla1[[#This Row],[Mes de Fecha]]="Septiembre",9,10),Tabla1[[#This Row],[Día de Fecha]])</f>
        <v>46298</v>
      </c>
      <c r="I2488">
        <v>0</v>
      </c>
      <c r="J2488" s="1">
        <v>29852354</v>
      </c>
      <c r="K2488">
        <v>0</v>
      </c>
    </row>
    <row r="2489" spans="1:11" x14ac:dyDescent="0.25">
      <c r="A2489" t="s">
        <v>326</v>
      </c>
      <c r="B2489" t="s">
        <v>690</v>
      </c>
      <c r="C2489" t="s">
        <v>867</v>
      </c>
      <c r="D2489" t="s">
        <v>14</v>
      </c>
      <c r="E2489">
        <v>3</v>
      </c>
      <c r="F2489" s="2">
        <f>DATE(2026,IF(Tabla1[[#This Row],[Mes de Fecha]]="Septiembre",9,10),Tabla1[[#This Row],[Día de Fecha]])</f>
        <v>46298</v>
      </c>
      <c r="G2489">
        <v>1113656874</v>
      </c>
      <c r="H2489" t="s">
        <v>434</v>
      </c>
      <c r="I2489">
        <v>168</v>
      </c>
      <c r="J2489">
        <v>0</v>
      </c>
      <c r="K2489" s="1">
        <v>8823696</v>
      </c>
    </row>
    <row r="2490" spans="1:11" x14ac:dyDescent="0.25">
      <c r="A2490" t="s">
        <v>326</v>
      </c>
      <c r="B2490" t="s">
        <v>690</v>
      </c>
      <c r="C2490" t="s">
        <v>867</v>
      </c>
      <c r="D2490" t="s">
        <v>14</v>
      </c>
      <c r="E2490">
        <v>3</v>
      </c>
      <c r="F2490" s="2">
        <f>DATE(2026,IF(Tabla1[[#This Row],[Mes de Fecha]]="Septiembre",9,10),Tabla1[[#This Row],[Día de Fecha]])</f>
        <v>46298</v>
      </c>
      <c r="G2490">
        <v>1113702327</v>
      </c>
      <c r="H2490" t="s">
        <v>692</v>
      </c>
      <c r="I2490">
        <v>155</v>
      </c>
      <c r="J2490">
        <v>0</v>
      </c>
      <c r="K2490" s="1">
        <v>8903015</v>
      </c>
    </row>
    <row r="2491" spans="1:11" x14ac:dyDescent="0.25">
      <c r="A2491" t="s">
        <v>326</v>
      </c>
      <c r="B2491" t="s">
        <v>690</v>
      </c>
      <c r="C2491" t="s">
        <v>867</v>
      </c>
      <c r="D2491" t="s">
        <v>14</v>
      </c>
      <c r="E2491">
        <v>3</v>
      </c>
      <c r="F2491" s="2">
        <f>DATE(2026,IF(Tabla1[[#This Row],[Mes de Fecha]]="Septiembre",9,10),Tabla1[[#This Row],[Día de Fecha]])</f>
        <v>46298</v>
      </c>
      <c r="G2491">
        <v>1192813746</v>
      </c>
      <c r="H2491" t="s">
        <v>694</v>
      </c>
      <c r="I2491">
        <v>135</v>
      </c>
      <c r="J2491">
        <v>0</v>
      </c>
      <c r="K2491" s="1">
        <v>7594257</v>
      </c>
    </row>
    <row r="2492" spans="1:11" x14ac:dyDescent="0.25">
      <c r="A2492" t="s">
        <v>326</v>
      </c>
      <c r="B2492" t="s">
        <v>690</v>
      </c>
      <c r="C2492" t="s">
        <v>867</v>
      </c>
      <c r="D2492" t="s">
        <v>14</v>
      </c>
      <c r="E2492">
        <v>3</v>
      </c>
      <c r="F2492" s="2">
        <f>DATE(2026,IF(Tabla1[[#This Row],[Mes de Fecha]]="Septiembre",9,10),Tabla1[[#This Row],[Día de Fecha]])</f>
        <v>46298</v>
      </c>
      <c r="G2492">
        <v>1193599836</v>
      </c>
      <c r="H2492" t="s">
        <v>516</v>
      </c>
      <c r="I2492">
        <v>-1</v>
      </c>
      <c r="J2492">
        <v>0</v>
      </c>
      <c r="K2492" s="1">
        <v>-58781</v>
      </c>
    </row>
    <row r="2493" spans="1:11" x14ac:dyDescent="0.25">
      <c r="A2493" t="s">
        <v>326</v>
      </c>
      <c r="B2493" t="s">
        <v>690</v>
      </c>
      <c r="C2493" t="s">
        <v>867</v>
      </c>
      <c r="D2493" t="s">
        <v>14</v>
      </c>
      <c r="E2493">
        <v>4</v>
      </c>
      <c r="F2493" s="2">
        <f>DATE(2026,IF(Tabla1[[#This Row],[Mes de Fecha]]="Septiembre",9,10),Tabla1[[#This Row],[Día de Fecha]])</f>
        <v>46299</v>
      </c>
      <c r="I2493">
        <v>0</v>
      </c>
      <c r="J2493" s="1">
        <v>12469533</v>
      </c>
      <c r="K2493">
        <v>0</v>
      </c>
    </row>
    <row r="2494" spans="1:11" x14ac:dyDescent="0.25">
      <c r="A2494" t="s">
        <v>326</v>
      </c>
      <c r="B2494" t="s">
        <v>690</v>
      </c>
      <c r="C2494" t="s">
        <v>867</v>
      </c>
      <c r="D2494" t="s">
        <v>14</v>
      </c>
      <c r="E2494">
        <v>4</v>
      </c>
      <c r="F2494" s="2">
        <f>DATE(2026,IF(Tabla1[[#This Row],[Mes de Fecha]]="Septiembre",9,10),Tabla1[[#This Row],[Día de Fecha]])</f>
        <v>46299</v>
      </c>
      <c r="G2494">
        <v>1113656874</v>
      </c>
      <c r="H2494" t="s">
        <v>434</v>
      </c>
      <c r="I2494">
        <v>58</v>
      </c>
      <c r="J2494">
        <v>0</v>
      </c>
      <c r="K2494" s="1">
        <v>3352568</v>
      </c>
    </row>
    <row r="2495" spans="1:11" x14ac:dyDescent="0.25">
      <c r="A2495" t="s">
        <v>326</v>
      </c>
      <c r="B2495" t="s">
        <v>690</v>
      </c>
      <c r="C2495" t="s">
        <v>867</v>
      </c>
      <c r="D2495" t="s">
        <v>14</v>
      </c>
      <c r="E2495">
        <v>4</v>
      </c>
      <c r="F2495" s="2">
        <f>DATE(2026,IF(Tabla1[[#This Row],[Mes de Fecha]]="Septiembre",9,10),Tabla1[[#This Row],[Día de Fecha]])</f>
        <v>46299</v>
      </c>
      <c r="G2495">
        <v>1113698946</v>
      </c>
      <c r="H2495" t="s">
        <v>460</v>
      </c>
      <c r="I2495">
        <v>-1</v>
      </c>
      <c r="J2495">
        <v>0</v>
      </c>
      <c r="K2495" s="1">
        <v>-16723</v>
      </c>
    </row>
    <row r="2496" spans="1:11" x14ac:dyDescent="0.25">
      <c r="A2496" t="s">
        <v>326</v>
      </c>
      <c r="B2496" t="s">
        <v>690</v>
      </c>
      <c r="C2496" t="s">
        <v>867</v>
      </c>
      <c r="D2496" t="s">
        <v>14</v>
      </c>
      <c r="E2496">
        <v>4</v>
      </c>
      <c r="F2496" s="2">
        <f>DATE(2026,IF(Tabla1[[#This Row],[Mes de Fecha]]="Septiembre",9,10),Tabla1[[#This Row],[Día de Fecha]])</f>
        <v>46299</v>
      </c>
      <c r="G2496">
        <v>1113702327</v>
      </c>
      <c r="H2496" t="s">
        <v>692</v>
      </c>
      <c r="I2496">
        <v>62</v>
      </c>
      <c r="J2496">
        <v>0</v>
      </c>
      <c r="K2496" s="1">
        <v>3575460</v>
      </c>
    </row>
    <row r="2497" spans="1:11" x14ac:dyDescent="0.25">
      <c r="A2497" t="s">
        <v>326</v>
      </c>
      <c r="B2497" t="s">
        <v>690</v>
      </c>
      <c r="C2497" t="s">
        <v>867</v>
      </c>
      <c r="D2497" t="s">
        <v>14</v>
      </c>
      <c r="E2497">
        <v>4</v>
      </c>
      <c r="F2497" s="2">
        <f>DATE(2026,IF(Tabla1[[#This Row],[Mes de Fecha]]="Septiembre",9,10),Tabla1[[#This Row],[Día de Fecha]])</f>
        <v>46299</v>
      </c>
      <c r="G2497">
        <v>1192813746</v>
      </c>
      <c r="H2497" t="s">
        <v>694</v>
      </c>
      <c r="I2497">
        <v>52</v>
      </c>
      <c r="J2497">
        <v>0</v>
      </c>
      <c r="K2497" s="1">
        <v>3020753</v>
      </c>
    </row>
    <row r="2498" spans="1:11" x14ac:dyDescent="0.25">
      <c r="A2498" t="s">
        <v>326</v>
      </c>
      <c r="B2498" t="s">
        <v>690</v>
      </c>
      <c r="C2498" t="s">
        <v>867</v>
      </c>
      <c r="D2498" t="s">
        <v>14</v>
      </c>
      <c r="E2498">
        <v>5</v>
      </c>
      <c r="F2498" s="2">
        <f>DATE(2026,IF(Tabla1[[#This Row],[Mes de Fecha]]="Septiembre",9,10),Tabla1[[#This Row],[Día de Fecha]])</f>
        <v>46300</v>
      </c>
      <c r="I2498">
        <v>0</v>
      </c>
      <c r="J2498" s="1">
        <v>15293098</v>
      </c>
      <c r="K2498">
        <v>0</v>
      </c>
    </row>
    <row r="2499" spans="1:11" x14ac:dyDescent="0.25">
      <c r="A2499" t="s">
        <v>326</v>
      </c>
      <c r="B2499" t="s">
        <v>690</v>
      </c>
      <c r="C2499" t="s">
        <v>867</v>
      </c>
      <c r="D2499" t="s">
        <v>14</v>
      </c>
      <c r="E2499">
        <v>5</v>
      </c>
      <c r="F2499" s="2">
        <f>DATE(2026,IF(Tabla1[[#This Row],[Mes de Fecha]]="Septiembre",9,10),Tabla1[[#This Row],[Día de Fecha]])</f>
        <v>46300</v>
      </c>
      <c r="G2499">
        <v>1113656874</v>
      </c>
      <c r="H2499" t="s">
        <v>434</v>
      </c>
      <c r="I2499">
        <v>52</v>
      </c>
      <c r="J2499">
        <v>0</v>
      </c>
      <c r="K2499" s="1">
        <v>3228873</v>
      </c>
    </row>
    <row r="2500" spans="1:11" x14ac:dyDescent="0.25">
      <c r="A2500" t="s">
        <v>326</v>
      </c>
      <c r="B2500" t="s">
        <v>690</v>
      </c>
      <c r="C2500" t="s">
        <v>867</v>
      </c>
      <c r="D2500" t="s">
        <v>14</v>
      </c>
      <c r="E2500">
        <v>5</v>
      </c>
      <c r="F2500" s="2">
        <f>DATE(2026,IF(Tabla1[[#This Row],[Mes de Fecha]]="Septiembre",9,10),Tabla1[[#This Row],[Día de Fecha]])</f>
        <v>46300</v>
      </c>
      <c r="G2500">
        <v>1113702327</v>
      </c>
      <c r="H2500" t="s">
        <v>692</v>
      </c>
      <c r="I2500">
        <v>69</v>
      </c>
      <c r="J2500">
        <v>0</v>
      </c>
      <c r="K2500" s="1">
        <v>4121676</v>
      </c>
    </row>
    <row r="2501" spans="1:11" x14ac:dyDescent="0.25">
      <c r="A2501" t="s">
        <v>326</v>
      </c>
      <c r="B2501" t="s">
        <v>690</v>
      </c>
      <c r="C2501" t="s">
        <v>867</v>
      </c>
      <c r="D2501" t="s">
        <v>14</v>
      </c>
      <c r="E2501">
        <v>5</v>
      </c>
      <c r="F2501" s="2">
        <f>DATE(2026,IF(Tabla1[[#This Row],[Mes de Fecha]]="Septiembre",9,10),Tabla1[[#This Row],[Día de Fecha]])</f>
        <v>46300</v>
      </c>
      <c r="G2501">
        <v>1192813746</v>
      </c>
      <c r="H2501" t="s">
        <v>694</v>
      </c>
      <c r="I2501">
        <v>55</v>
      </c>
      <c r="J2501">
        <v>0</v>
      </c>
      <c r="K2501" s="1">
        <v>3298113</v>
      </c>
    </row>
    <row r="2502" spans="1:11" x14ac:dyDescent="0.25">
      <c r="A2502" t="s">
        <v>326</v>
      </c>
      <c r="B2502" t="s">
        <v>690</v>
      </c>
      <c r="C2502" t="s">
        <v>867</v>
      </c>
      <c r="D2502" t="s">
        <v>14</v>
      </c>
      <c r="E2502">
        <v>6</v>
      </c>
      <c r="F2502" s="2">
        <f>DATE(2026,IF(Tabla1[[#This Row],[Mes de Fecha]]="Septiembre",9,10),Tabla1[[#This Row],[Día de Fecha]])</f>
        <v>46301</v>
      </c>
      <c r="I2502">
        <v>0</v>
      </c>
      <c r="J2502" s="1">
        <v>6824600</v>
      </c>
      <c r="K2502">
        <v>0</v>
      </c>
    </row>
    <row r="2503" spans="1:11" x14ac:dyDescent="0.25">
      <c r="A2503" t="s">
        <v>326</v>
      </c>
      <c r="B2503" t="s">
        <v>690</v>
      </c>
      <c r="C2503" t="s">
        <v>867</v>
      </c>
      <c r="D2503" t="s">
        <v>14</v>
      </c>
      <c r="E2503">
        <v>6</v>
      </c>
      <c r="F2503" s="2">
        <f>DATE(2026,IF(Tabla1[[#This Row],[Mes de Fecha]]="Septiembre",9,10),Tabla1[[#This Row],[Día de Fecha]])</f>
        <v>46301</v>
      </c>
      <c r="G2503">
        <v>1113656874</v>
      </c>
      <c r="H2503" t="s">
        <v>434</v>
      </c>
      <c r="I2503">
        <v>42</v>
      </c>
      <c r="J2503">
        <v>0</v>
      </c>
      <c r="K2503" s="1">
        <v>2706178</v>
      </c>
    </row>
    <row r="2504" spans="1:11" x14ac:dyDescent="0.25">
      <c r="A2504" t="s">
        <v>326</v>
      </c>
      <c r="B2504" t="s">
        <v>690</v>
      </c>
      <c r="C2504" t="s">
        <v>867</v>
      </c>
      <c r="D2504" t="s">
        <v>14</v>
      </c>
      <c r="E2504">
        <v>6</v>
      </c>
      <c r="F2504" s="2">
        <f>DATE(2026,IF(Tabla1[[#This Row],[Mes de Fecha]]="Septiembre",9,10),Tabla1[[#This Row],[Día de Fecha]])</f>
        <v>46301</v>
      </c>
      <c r="G2504">
        <v>1113702327</v>
      </c>
      <c r="H2504" t="s">
        <v>692</v>
      </c>
      <c r="I2504">
        <v>39</v>
      </c>
      <c r="J2504">
        <v>0</v>
      </c>
      <c r="K2504" s="1">
        <v>2034078</v>
      </c>
    </row>
    <row r="2505" spans="1:11" x14ac:dyDescent="0.25">
      <c r="A2505" t="s">
        <v>326</v>
      </c>
      <c r="B2505" t="s">
        <v>690</v>
      </c>
      <c r="C2505" t="s">
        <v>867</v>
      </c>
      <c r="D2505" t="s">
        <v>14</v>
      </c>
      <c r="E2505">
        <v>6</v>
      </c>
      <c r="F2505" s="2">
        <f>DATE(2026,IF(Tabla1[[#This Row],[Mes de Fecha]]="Septiembre",9,10),Tabla1[[#This Row],[Día de Fecha]])</f>
        <v>46301</v>
      </c>
      <c r="G2505">
        <v>1192813746</v>
      </c>
      <c r="H2505" t="s">
        <v>694</v>
      </c>
      <c r="I2505">
        <v>40</v>
      </c>
      <c r="J2505">
        <v>0</v>
      </c>
      <c r="K2505" s="1">
        <v>2344877</v>
      </c>
    </row>
    <row r="2506" spans="1:11" x14ac:dyDescent="0.25">
      <c r="A2506" t="s">
        <v>326</v>
      </c>
      <c r="B2506" t="s">
        <v>690</v>
      </c>
      <c r="C2506" t="s">
        <v>867</v>
      </c>
      <c r="D2506" t="s">
        <v>14</v>
      </c>
      <c r="E2506">
        <v>7</v>
      </c>
      <c r="F2506" s="2">
        <f>DATE(2026,IF(Tabla1[[#This Row],[Mes de Fecha]]="Septiembre",9,10),Tabla1[[#This Row],[Día de Fecha]])</f>
        <v>46302</v>
      </c>
      <c r="I2506">
        <v>0</v>
      </c>
      <c r="J2506" s="1">
        <v>6734805</v>
      </c>
      <c r="K2506">
        <v>0</v>
      </c>
    </row>
    <row r="2507" spans="1:11" x14ac:dyDescent="0.25">
      <c r="A2507" t="s">
        <v>326</v>
      </c>
      <c r="B2507" t="s">
        <v>690</v>
      </c>
      <c r="C2507" t="s">
        <v>867</v>
      </c>
      <c r="D2507" t="s">
        <v>14</v>
      </c>
      <c r="E2507">
        <v>7</v>
      </c>
      <c r="F2507" s="2">
        <f>DATE(2026,IF(Tabla1[[#This Row],[Mes de Fecha]]="Septiembre",9,10),Tabla1[[#This Row],[Día de Fecha]])</f>
        <v>46302</v>
      </c>
      <c r="G2507">
        <v>18586321</v>
      </c>
      <c r="H2507" t="s">
        <v>693</v>
      </c>
      <c r="I2507">
        <v>-1</v>
      </c>
      <c r="J2507">
        <v>0</v>
      </c>
      <c r="K2507" s="1">
        <v>-37773</v>
      </c>
    </row>
    <row r="2508" spans="1:11" x14ac:dyDescent="0.25">
      <c r="A2508" t="s">
        <v>326</v>
      </c>
      <c r="B2508" t="s">
        <v>690</v>
      </c>
      <c r="C2508" t="s">
        <v>867</v>
      </c>
      <c r="D2508" t="s">
        <v>14</v>
      </c>
      <c r="E2508">
        <v>7</v>
      </c>
      <c r="F2508" s="2">
        <f>DATE(2026,IF(Tabla1[[#This Row],[Mes de Fecha]]="Septiembre",9,10),Tabla1[[#This Row],[Día de Fecha]])</f>
        <v>46302</v>
      </c>
      <c r="G2508">
        <v>1007700430</v>
      </c>
      <c r="H2508" t="s">
        <v>404</v>
      </c>
      <c r="I2508">
        <v>-2</v>
      </c>
      <c r="J2508">
        <v>0</v>
      </c>
      <c r="K2508" s="1">
        <v>-130169</v>
      </c>
    </row>
    <row r="2509" spans="1:11" x14ac:dyDescent="0.25">
      <c r="A2509" t="s">
        <v>326</v>
      </c>
      <c r="B2509" t="s">
        <v>690</v>
      </c>
      <c r="C2509" t="s">
        <v>867</v>
      </c>
      <c r="D2509" t="s">
        <v>14</v>
      </c>
      <c r="E2509">
        <v>7</v>
      </c>
      <c r="F2509" s="2">
        <f>DATE(2026,IF(Tabla1[[#This Row],[Mes de Fecha]]="Septiembre",9,10),Tabla1[[#This Row],[Día de Fecha]])</f>
        <v>46302</v>
      </c>
      <c r="G2509">
        <v>1113656874</v>
      </c>
      <c r="H2509" t="s">
        <v>434</v>
      </c>
      <c r="I2509">
        <v>36</v>
      </c>
      <c r="J2509">
        <v>0</v>
      </c>
      <c r="K2509" s="1">
        <v>1994163</v>
      </c>
    </row>
    <row r="2510" spans="1:11" x14ac:dyDescent="0.25">
      <c r="A2510" t="s">
        <v>326</v>
      </c>
      <c r="B2510" t="s">
        <v>690</v>
      </c>
      <c r="C2510" t="s">
        <v>867</v>
      </c>
      <c r="D2510" t="s">
        <v>14</v>
      </c>
      <c r="E2510">
        <v>7</v>
      </c>
      <c r="F2510" s="2">
        <f>DATE(2026,IF(Tabla1[[#This Row],[Mes de Fecha]]="Septiembre",9,10),Tabla1[[#This Row],[Día de Fecha]])</f>
        <v>46302</v>
      </c>
      <c r="G2510">
        <v>1113684554</v>
      </c>
      <c r="H2510" t="s">
        <v>696</v>
      </c>
      <c r="I2510">
        <v>-1</v>
      </c>
      <c r="J2510">
        <v>0</v>
      </c>
      <c r="K2510" s="1">
        <v>-33572</v>
      </c>
    </row>
    <row r="2511" spans="1:11" x14ac:dyDescent="0.25">
      <c r="A2511" t="s">
        <v>326</v>
      </c>
      <c r="B2511" t="s">
        <v>690</v>
      </c>
      <c r="C2511" t="s">
        <v>867</v>
      </c>
      <c r="D2511" t="s">
        <v>14</v>
      </c>
      <c r="E2511">
        <v>7</v>
      </c>
      <c r="F2511" s="2">
        <f>DATE(2026,IF(Tabla1[[#This Row],[Mes de Fecha]]="Septiembre",9,10),Tabla1[[#This Row],[Día de Fecha]])</f>
        <v>46302</v>
      </c>
      <c r="G2511">
        <v>1113702327</v>
      </c>
      <c r="H2511" t="s">
        <v>692</v>
      </c>
      <c r="I2511">
        <v>39</v>
      </c>
      <c r="J2511">
        <v>0</v>
      </c>
      <c r="K2511" s="1">
        <v>2332356</v>
      </c>
    </row>
    <row r="2512" spans="1:11" x14ac:dyDescent="0.25">
      <c r="A2512" t="s">
        <v>326</v>
      </c>
      <c r="B2512" t="s">
        <v>690</v>
      </c>
      <c r="C2512" t="s">
        <v>867</v>
      </c>
      <c r="D2512" t="s">
        <v>14</v>
      </c>
      <c r="E2512">
        <v>7</v>
      </c>
      <c r="F2512" s="2">
        <f>DATE(2026,IF(Tabla1[[#This Row],[Mes de Fecha]]="Septiembre",9,10),Tabla1[[#This Row],[Día de Fecha]])</f>
        <v>46302</v>
      </c>
      <c r="G2512">
        <v>1192813746</v>
      </c>
      <c r="H2512" t="s">
        <v>694</v>
      </c>
      <c r="I2512">
        <v>26</v>
      </c>
      <c r="J2512">
        <v>0</v>
      </c>
      <c r="K2512" s="1">
        <v>1355968</v>
      </c>
    </row>
    <row r="2513" spans="1:11" x14ac:dyDescent="0.25">
      <c r="A2513" t="s">
        <v>326</v>
      </c>
      <c r="B2513" t="s">
        <v>697</v>
      </c>
      <c r="C2513" t="s">
        <v>867</v>
      </c>
      <c r="D2513" t="s">
        <v>11</v>
      </c>
      <c r="E2513">
        <v>23</v>
      </c>
      <c r="F2513" s="2">
        <f>DATE(2026,IF(Tabla1[[#This Row],[Mes de Fecha]]="Septiembre",9,10),Tabla1[[#This Row],[Día de Fecha]])</f>
        <v>46288</v>
      </c>
      <c r="I2513">
        <v>0</v>
      </c>
      <c r="J2513" s="1">
        <v>14782836</v>
      </c>
      <c r="K2513">
        <v>0</v>
      </c>
    </row>
    <row r="2514" spans="1:11" x14ac:dyDescent="0.25">
      <c r="A2514" t="s">
        <v>326</v>
      </c>
      <c r="B2514" t="s">
        <v>697</v>
      </c>
      <c r="C2514" t="s">
        <v>867</v>
      </c>
      <c r="D2514" t="s">
        <v>11</v>
      </c>
      <c r="E2514">
        <v>23</v>
      </c>
      <c r="F2514" s="2">
        <f>DATE(2026,IF(Tabla1[[#This Row],[Mes de Fecha]]="Septiembre",9,10),Tabla1[[#This Row],[Día de Fecha]])</f>
        <v>46288</v>
      </c>
      <c r="G2514">
        <v>1007700430</v>
      </c>
      <c r="H2514" t="s">
        <v>404</v>
      </c>
      <c r="I2514">
        <v>67</v>
      </c>
      <c r="J2514">
        <v>0</v>
      </c>
      <c r="K2514" s="1">
        <v>3956935</v>
      </c>
    </row>
    <row r="2515" spans="1:11" x14ac:dyDescent="0.25">
      <c r="A2515" t="s">
        <v>326</v>
      </c>
      <c r="B2515" t="s">
        <v>697</v>
      </c>
      <c r="C2515" t="s">
        <v>867</v>
      </c>
      <c r="D2515" t="s">
        <v>11</v>
      </c>
      <c r="E2515">
        <v>23</v>
      </c>
      <c r="F2515" s="2">
        <f>DATE(2026,IF(Tabla1[[#This Row],[Mes de Fecha]]="Septiembre",9,10),Tabla1[[#This Row],[Día de Fecha]])</f>
        <v>46288</v>
      </c>
      <c r="G2515">
        <v>1104805189</v>
      </c>
      <c r="H2515" t="s">
        <v>579</v>
      </c>
      <c r="I2515">
        <v>105</v>
      </c>
      <c r="J2515">
        <v>0</v>
      </c>
      <c r="K2515" s="1">
        <v>5484582</v>
      </c>
    </row>
    <row r="2516" spans="1:11" x14ac:dyDescent="0.25">
      <c r="A2516" t="s">
        <v>326</v>
      </c>
      <c r="B2516" t="s">
        <v>697</v>
      </c>
      <c r="C2516" t="s">
        <v>867</v>
      </c>
      <c r="D2516" t="s">
        <v>11</v>
      </c>
      <c r="E2516">
        <v>23</v>
      </c>
      <c r="F2516" s="2">
        <f>DATE(2026,IF(Tabla1[[#This Row],[Mes de Fecha]]="Septiembre",9,10),Tabla1[[#This Row],[Día de Fecha]])</f>
        <v>46288</v>
      </c>
      <c r="G2516">
        <v>1113637332</v>
      </c>
      <c r="H2516" t="s">
        <v>695</v>
      </c>
      <c r="I2516">
        <v>135</v>
      </c>
      <c r="J2516">
        <v>0</v>
      </c>
      <c r="K2516" s="1">
        <v>7777398</v>
      </c>
    </row>
    <row r="2517" spans="1:11" x14ac:dyDescent="0.25">
      <c r="A2517" t="s">
        <v>326</v>
      </c>
      <c r="B2517" t="s">
        <v>697</v>
      </c>
      <c r="C2517" t="s">
        <v>867</v>
      </c>
      <c r="D2517" t="s">
        <v>11</v>
      </c>
      <c r="E2517">
        <v>23</v>
      </c>
      <c r="F2517" s="2">
        <f>DATE(2026,IF(Tabla1[[#This Row],[Mes de Fecha]]="Septiembre",9,10),Tabla1[[#This Row],[Día de Fecha]])</f>
        <v>46288</v>
      </c>
      <c r="G2517">
        <v>1113670149</v>
      </c>
      <c r="H2517" t="s">
        <v>698</v>
      </c>
      <c r="I2517">
        <v>23</v>
      </c>
      <c r="J2517">
        <v>0</v>
      </c>
      <c r="K2517" s="1">
        <v>1116472</v>
      </c>
    </row>
    <row r="2518" spans="1:11" x14ac:dyDescent="0.25">
      <c r="A2518" t="s">
        <v>326</v>
      </c>
      <c r="B2518" t="s">
        <v>697</v>
      </c>
      <c r="C2518" t="s">
        <v>867</v>
      </c>
      <c r="D2518" t="s">
        <v>11</v>
      </c>
      <c r="E2518">
        <v>24</v>
      </c>
      <c r="F2518" s="2">
        <f>DATE(2026,IF(Tabla1[[#This Row],[Mes de Fecha]]="Septiembre",9,10),Tabla1[[#This Row],[Día de Fecha]])</f>
        <v>46289</v>
      </c>
      <c r="I2518">
        <v>0</v>
      </c>
      <c r="J2518" s="1">
        <v>22582449</v>
      </c>
      <c r="K2518">
        <v>0</v>
      </c>
    </row>
    <row r="2519" spans="1:11" x14ac:dyDescent="0.25">
      <c r="A2519" t="s">
        <v>326</v>
      </c>
      <c r="B2519" t="s">
        <v>697</v>
      </c>
      <c r="C2519" t="s">
        <v>867</v>
      </c>
      <c r="D2519" t="s">
        <v>11</v>
      </c>
      <c r="E2519">
        <v>24</v>
      </c>
      <c r="F2519" s="2">
        <f>DATE(2026,IF(Tabla1[[#This Row],[Mes de Fecha]]="Septiembre",9,10),Tabla1[[#This Row],[Día de Fecha]])</f>
        <v>46289</v>
      </c>
      <c r="G2519">
        <v>1007700430</v>
      </c>
      <c r="H2519" t="s">
        <v>404</v>
      </c>
      <c r="I2519">
        <v>71</v>
      </c>
      <c r="J2519">
        <v>0</v>
      </c>
      <c r="K2519" s="1">
        <v>4324580</v>
      </c>
    </row>
    <row r="2520" spans="1:11" x14ac:dyDescent="0.25">
      <c r="A2520" t="s">
        <v>326</v>
      </c>
      <c r="B2520" t="s">
        <v>697</v>
      </c>
      <c r="C2520" t="s">
        <v>867</v>
      </c>
      <c r="D2520" t="s">
        <v>11</v>
      </c>
      <c r="E2520">
        <v>24</v>
      </c>
      <c r="F2520" s="2">
        <f>DATE(2026,IF(Tabla1[[#This Row],[Mes de Fecha]]="Septiembre",9,10),Tabla1[[#This Row],[Día de Fecha]])</f>
        <v>46289</v>
      </c>
      <c r="G2520">
        <v>1104805189</v>
      </c>
      <c r="H2520" t="s">
        <v>579</v>
      </c>
      <c r="I2520">
        <v>30</v>
      </c>
      <c r="J2520">
        <v>0</v>
      </c>
      <c r="K2520" s="1">
        <v>2141556</v>
      </c>
    </row>
    <row r="2521" spans="1:11" x14ac:dyDescent="0.25">
      <c r="A2521" t="s">
        <v>326</v>
      </c>
      <c r="B2521" t="s">
        <v>697</v>
      </c>
      <c r="C2521" t="s">
        <v>867</v>
      </c>
      <c r="D2521" t="s">
        <v>11</v>
      </c>
      <c r="E2521">
        <v>24</v>
      </c>
      <c r="F2521" s="2">
        <f>DATE(2026,IF(Tabla1[[#This Row],[Mes de Fecha]]="Septiembre",9,10),Tabla1[[#This Row],[Día de Fecha]])</f>
        <v>46289</v>
      </c>
      <c r="G2521">
        <v>1113637332</v>
      </c>
      <c r="H2521" t="s">
        <v>695</v>
      </c>
      <c r="I2521">
        <v>125</v>
      </c>
      <c r="J2521">
        <v>0</v>
      </c>
      <c r="K2521" s="1">
        <v>7170883</v>
      </c>
    </row>
    <row r="2522" spans="1:11" x14ac:dyDescent="0.25">
      <c r="A2522" t="s">
        <v>326</v>
      </c>
      <c r="B2522" t="s">
        <v>697</v>
      </c>
      <c r="C2522" t="s">
        <v>867</v>
      </c>
      <c r="D2522" t="s">
        <v>11</v>
      </c>
      <c r="E2522">
        <v>24</v>
      </c>
      <c r="F2522" s="2">
        <f>DATE(2026,IF(Tabla1[[#This Row],[Mes de Fecha]]="Septiembre",9,10),Tabla1[[#This Row],[Día de Fecha]])</f>
        <v>46289</v>
      </c>
      <c r="G2522">
        <v>1113670149</v>
      </c>
      <c r="H2522" t="s">
        <v>698</v>
      </c>
      <c r="I2522">
        <v>34</v>
      </c>
      <c r="J2522">
        <v>0</v>
      </c>
      <c r="K2522" s="1">
        <v>2051093</v>
      </c>
    </row>
    <row r="2523" spans="1:11" x14ac:dyDescent="0.25">
      <c r="A2523" t="s">
        <v>326</v>
      </c>
      <c r="B2523" t="s">
        <v>697</v>
      </c>
      <c r="C2523" t="s">
        <v>867</v>
      </c>
      <c r="D2523" t="s">
        <v>11</v>
      </c>
      <c r="E2523">
        <v>24</v>
      </c>
      <c r="F2523" s="2">
        <f>DATE(2026,IF(Tabla1[[#This Row],[Mes de Fecha]]="Septiembre",9,10),Tabla1[[#This Row],[Día de Fecha]])</f>
        <v>46289</v>
      </c>
      <c r="G2523">
        <v>1113702327</v>
      </c>
      <c r="H2523" t="s">
        <v>692</v>
      </c>
      <c r="I2523">
        <v>-1</v>
      </c>
      <c r="J2523">
        <v>0</v>
      </c>
      <c r="K2523" s="1">
        <v>-109202</v>
      </c>
    </row>
    <row r="2524" spans="1:11" x14ac:dyDescent="0.25">
      <c r="A2524" t="s">
        <v>326</v>
      </c>
      <c r="B2524" t="s">
        <v>697</v>
      </c>
      <c r="C2524" t="s">
        <v>867</v>
      </c>
      <c r="D2524" t="s">
        <v>11</v>
      </c>
      <c r="E2524">
        <v>25</v>
      </c>
      <c r="F2524" s="2">
        <f>DATE(2026,IF(Tabla1[[#This Row],[Mes de Fecha]]="Septiembre",9,10),Tabla1[[#This Row],[Día de Fecha]])</f>
        <v>46290</v>
      </c>
      <c r="I2524">
        <v>0</v>
      </c>
      <c r="J2524" s="1">
        <v>22532457</v>
      </c>
      <c r="K2524">
        <v>0</v>
      </c>
    </row>
    <row r="2525" spans="1:11" x14ac:dyDescent="0.25">
      <c r="A2525" t="s">
        <v>326</v>
      </c>
      <c r="B2525" t="s">
        <v>697</v>
      </c>
      <c r="C2525" t="s">
        <v>867</v>
      </c>
      <c r="D2525" t="s">
        <v>11</v>
      </c>
      <c r="E2525">
        <v>25</v>
      </c>
      <c r="F2525" s="2">
        <f>DATE(2026,IF(Tabla1[[#This Row],[Mes de Fecha]]="Septiembre",9,10),Tabla1[[#This Row],[Día de Fecha]])</f>
        <v>46290</v>
      </c>
      <c r="G2525">
        <v>1007700430</v>
      </c>
      <c r="H2525" t="s">
        <v>404</v>
      </c>
      <c r="I2525">
        <v>56</v>
      </c>
      <c r="J2525">
        <v>0</v>
      </c>
      <c r="K2525" s="1">
        <v>3043406</v>
      </c>
    </row>
    <row r="2526" spans="1:11" x14ac:dyDescent="0.25">
      <c r="A2526" t="s">
        <v>326</v>
      </c>
      <c r="B2526" t="s">
        <v>697</v>
      </c>
      <c r="C2526" t="s">
        <v>867</v>
      </c>
      <c r="D2526" t="s">
        <v>11</v>
      </c>
      <c r="E2526">
        <v>25</v>
      </c>
      <c r="F2526" s="2">
        <f>DATE(2026,IF(Tabla1[[#This Row],[Mes de Fecha]]="Septiembre",9,10),Tabla1[[#This Row],[Día de Fecha]])</f>
        <v>46290</v>
      </c>
      <c r="G2526">
        <v>1104805189</v>
      </c>
      <c r="H2526" t="s">
        <v>579</v>
      </c>
      <c r="I2526">
        <v>48</v>
      </c>
      <c r="J2526">
        <v>0</v>
      </c>
      <c r="K2526" s="1">
        <v>2741432</v>
      </c>
    </row>
    <row r="2527" spans="1:11" x14ac:dyDescent="0.25">
      <c r="A2527" t="s">
        <v>326</v>
      </c>
      <c r="B2527" t="s">
        <v>697</v>
      </c>
      <c r="C2527" t="s">
        <v>867</v>
      </c>
      <c r="D2527" t="s">
        <v>11</v>
      </c>
      <c r="E2527">
        <v>25</v>
      </c>
      <c r="F2527" s="2">
        <f>DATE(2026,IF(Tabla1[[#This Row],[Mes de Fecha]]="Septiembre",9,10),Tabla1[[#This Row],[Día de Fecha]])</f>
        <v>46290</v>
      </c>
      <c r="G2527">
        <v>1113637332</v>
      </c>
      <c r="H2527" t="s">
        <v>695</v>
      </c>
      <c r="I2527">
        <v>60</v>
      </c>
      <c r="J2527">
        <v>0</v>
      </c>
      <c r="K2527" s="1">
        <v>3434370</v>
      </c>
    </row>
    <row r="2528" spans="1:11" x14ac:dyDescent="0.25">
      <c r="A2528" t="s">
        <v>326</v>
      </c>
      <c r="B2528" t="s">
        <v>697</v>
      </c>
      <c r="C2528" t="s">
        <v>867</v>
      </c>
      <c r="D2528" t="s">
        <v>11</v>
      </c>
      <c r="E2528">
        <v>25</v>
      </c>
      <c r="F2528" s="2">
        <f>DATE(2026,IF(Tabla1[[#This Row],[Mes de Fecha]]="Septiembre",9,10),Tabla1[[#This Row],[Día de Fecha]])</f>
        <v>46290</v>
      </c>
      <c r="G2528">
        <v>1113670149</v>
      </c>
      <c r="H2528" t="s">
        <v>698</v>
      </c>
      <c r="I2528">
        <v>16</v>
      </c>
      <c r="J2528">
        <v>0</v>
      </c>
      <c r="K2528" s="1">
        <v>810126</v>
      </c>
    </row>
    <row r="2529" spans="1:11" x14ac:dyDescent="0.25">
      <c r="A2529" t="s">
        <v>326</v>
      </c>
      <c r="B2529" t="s">
        <v>697</v>
      </c>
      <c r="C2529" t="s">
        <v>867</v>
      </c>
      <c r="D2529" t="s">
        <v>11</v>
      </c>
      <c r="E2529">
        <v>26</v>
      </c>
      <c r="F2529" s="2">
        <f>DATE(2026,IF(Tabla1[[#This Row],[Mes de Fecha]]="Septiembre",9,10),Tabla1[[#This Row],[Día de Fecha]])</f>
        <v>46291</v>
      </c>
      <c r="I2529">
        <v>0</v>
      </c>
      <c r="J2529" s="1">
        <v>32382378</v>
      </c>
      <c r="K2529">
        <v>0</v>
      </c>
    </row>
    <row r="2530" spans="1:11" x14ac:dyDescent="0.25">
      <c r="A2530" t="s">
        <v>326</v>
      </c>
      <c r="B2530" t="s">
        <v>697</v>
      </c>
      <c r="C2530" t="s">
        <v>867</v>
      </c>
      <c r="D2530" t="s">
        <v>11</v>
      </c>
      <c r="E2530">
        <v>26</v>
      </c>
      <c r="F2530" s="2">
        <f>DATE(2026,IF(Tabla1[[#This Row],[Mes de Fecha]]="Septiembre",9,10),Tabla1[[#This Row],[Día de Fecha]])</f>
        <v>46291</v>
      </c>
      <c r="G2530">
        <v>1007700430</v>
      </c>
      <c r="H2530" t="s">
        <v>404</v>
      </c>
      <c r="I2530">
        <v>181</v>
      </c>
      <c r="J2530">
        <v>0</v>
      </c>
      <c r="K2530" s="1">
        <v>11132484</v>
      </c>
    </row>
    <row r="2531" spans="1:11" x14ac:dyDescent="0.25">
      <c r="A2531" t="s">
        <v>326</v>
      </c>
      <c r="B2531" t="s">
        <v>697</v>
      </c>
      <c r="C2531" t="s">
        <v>867</v>
      </c>
      <c r="D2531" t="s">
        <v>11</v>
      </c>
      <c r="E2531">
        <v>26</v>
      </c>
      <c r="F2531" s="2">
        <f>DATE(2026,IF(Tabla1[[#This Row],[Mes de Fecha]]="Septiembre",9,10),Tabla1[[#This Row],[Día de Fecha]])</f>
        <v>46291</v>
      </c>
      <c r="G2531">
        <v>1104805189</v>
      </c>
      <c r="H2531" t="s">
        <v>579</v>
      </c>
      <c r="I2531">
        <v>154</v>
      </c>
      <c r="J2531">
        <v>0</v>
      </c>
      <c r="K2531" s="1">
        <v>9356477</v>
      </c>
    </row>
    <row r="2532" spans="1:11" x14ac:dyDescent="0.25">
      <c r="A2532" t="s">
        <v>326</v>
      </c>
      <c r="B2532" t="s">
        <v>697</v>
      </c>
      <c r="C2532" t="s">
        <v>867</v>
      </c>
      <c r="D2532" t="s">
        <v>11</v>
      </c>
      <c r="E2532">
        <v>26</v>
      </c>
      <c r="F2532" s="2">
        <f>DATE(2026,IF(Tabla1[[#This Row],[Mes de Fecha]]="Septiembre",9,10),Tabla1[[#This Row],[Día de Fecha]])</f>
        <v>46291</v>
      </c>
      <c r="G2532">
        <v>1111665228</v>
      </c>
      <c r="H2532" t="s">
        <v>342</v>
      </c>
      <c r="I2532">
        <v>-1</v>
      </c>
      <c r="J2532">
        <v>0</v>
      </c>
      <c r="K2532" s="1">
        <v>-50378</v>
      </c>
    </row>
    <row r="2533" spans="1:11" x14ac:dyDescent="0.25">
      <c r="A2533" t="s">
        <v>326</v>
      </c>
      <c r="B2533" t="s">
        <v>697</v>
      </c>
      <c r="C2533" t="s">
        <v>867</v>
      </c>
      <c r="D2533" t="s">
        <v>11</v>
      </c>
      <c r="E2533">
        <v>26</v>
      </c>
      <c r="F2533" s="2">
        <f>DATE(2026,IF(Tabla1[[#This Row],[Mes de Fecha]]="Septiembre",9,10),Tabla1[[#This Row],[Día de Fecha]])</f>
        <v>46291</v>
      </c>
      <c r="G2533">
        <v>1113637332</v>
      </c>
      <c r="H2533" t="s">
        <v>695</v>
      </c>
      <c r="I2533">
        <v>170</v>
      </c>
      <c r="J2533">
        <v>0</v>
      </c>
      <c r="K2533" s="1">
        <v>10045006</v>
      </c>
    </row>
    <row r="2534" spans="1:11" x14ac:dyDescent="0.25">
      <c r="A2534" t="s">
        <v>326</v>
      </c>
      <c r="B2534" t="s">
        <v>697</v>
      </c>
      <c r="C2534" t="s">
        <v>867</v>
      </c>
      <c r="D2534" t="s">
        <v>11</v>
      </c>
      <c r="E2534">
        <v>26</v>
      </c>
      <c r="F2534" s="2">
        <f>DATE(2026,IF(Tabla1[[#This Row],[Mes de Fecha]]="Septiembre",9,10),Tabla1[[#This Row],[Día de Fecha]])</f>
        <v>46291</v>
      </c>
      <c r="G2534">
        <v>1113670149</v>
      </c>
      <c r="H2534" t="s">
        <v>698</v>
      </c>
      <c r="I2534">
        <v>42</v>
      </c>
      <c r="J2534">
        <v>0</v>
      </c>
      <c r="K2534" s="1">
        <v>2519118</v>
      </c>
    </row>
    <row r="2535" spans="1:11" x14ac:dyDescent="0.25">
      <c r="A2535" t="s">
        <v>326</v>
      </c>
      <c r="B2535" t="s">
        <v>697</v>
      </c>
      <c r="C2535" t="s">
        <v>867</v>
      </c>
      <c r="D2535" t="s">
        <v>11</v>
      </c>
      <c r="E2535">
        <v>27</v>
      </c>
      <c r="F2535" s="2">
        <f>DATE(2026,IF(Tabla1[[#This Row],[Mes de Fecha]]="Septiembre",9,10),Tabla1[[#This Row],[Día de Fecha]])</f>
        <v>46292</v>
      </c>
      <c r="I2535">
        <v>0</v>
      </c>
      <c r="J2535" s="1">
        <v>25653362</v>
      </c>
      <c r="K2535">
        <v>0</v>
      </c>
    </row>
    <row r="2536" spans="1:11" x14ac:dyDescent="0.25">
      <c r="A2536" t="s">
        <v>326</v>
      </c>
      <c r="B2536" t="s">
        <v>697</v>
      </c>
      <c r="C2536" t="s">
        <v>867</v>
      </c>
      <c r="D2536" t="s">
        <v>11</v>
      </c>
      <c r="E2536">
        <v>27</v>
      </c>
      <c r="F2536" s="2">
        <f>DATE(2026,IF(Tabla1[[#This Row],[Mes de Fecha]]="Septiembre",9,10),Tabla1[[#This Row],[Día de Fecha]])</f>
        <v>46292</v>
      </c>
      <c r="G2536">
        <v>1007700430</v>
      </c>
      <c r="H2536" t="s">
        <v>404</v>
      </c>
      <c r="I2536">
        <v>188</v>
      </c>
      <c r="J2536">
        <v>0</v>
      </c>
      <c r="K2536" s="1">
        <v>11327316</v>
      </c>
    </row>
    <row r="2537" spans="1:11" x14ac:dyDescent="0.25">
      <c r="A2537" t="s">
        <v>326</v>
      </c>
      <c r="B2537" t="s">
        <v>697</v>
      </c>
      <c r="C2537" t="s">
        <v>867</v>
      </c>
      <c r="D2537" t="s">
        <v>11</v>
      </c>
      <c r="E2537">
        <v>27</v>
      </c>
      <c r="F2537" s="2">
        <f>DATE(2026,IF(Tabla1[[#This Row],[Mes de Fecha]]="Septiembre",9,10),Tabla1[[#This Row],[Día de Fecha]])</f>
        <v>46292</v>
      </c>
      <c r="G2537">
        <v>1104805189</v>
      </c>
      <c r="H2537" t="s">
        <v>579</v>
      </c>
      <c r="I2537">
        <v>139</v>
      </c>
      <c r="J2537">
        <v>0</v>
      </c>
      <c r="K2537" s="1">
        <v>8396945</v>
      </c>
    </row>
    <row r="2538" spans="1:11" x14ac:dyDescent="0.25">
      <c r="A2538" t="s">
        <v>326</v>
      </c>
      <c r="B2538" t="s">
        <v>697</v>
      </c>
      <c r="C2538" t="s">
        <v>867</v>
      </c>
      <c r="D2538" t="s">
        <v>11</v>
      </c>
      <c r="E2538">
        <v>27</v>
      </c>
      <c r="F2538" s="2">
        <f>DATE(2026,IF(Tabla1[[#This Row],[Mes de Fecha]]="Septiembre",9,10),Tabla1[[#This Row],[Día de Fecha]])</f>
        <v>46292</v>
      </c>
      <c r="G2538">
        <v>1113637332</v>
      </c>
      <c r="H2538" t="s">
        <v>695</v>
      </c>
      <c r="I2538">
        <v>174</v>
      </c>
      <c r="J2538">
        <v>0</v>
      </c>
      <c r="K2538" s="1">
        <v>10800721</v>
      </c>
    </row>
    <row r="2539" spans="1:11" x14ac:dyDescent="0.25">
      <c r="A2539" t="s">
        <v>326</v>
      </c>
      <c r="B2539" t="s">
        <v>697</v>
      </c>
      <c r="C2539" t="s">
        <v>867</v>
      </c>
      <c r="D2539" t="s">
        <v>11</v>
      </c>
      <c r="E2539">
        <v>27</v>
      </c>
      <c r="F2539" s="2">
        <f>DATE(2026,IF(Tabla1[[#This Row],[Mes de Fecha]]="Septiembre",9,10),Tabla1[[#This Row],[Día de Fecha]])</f>
        <v>46292</v>
      </c>
      <c r="G2539">
        <v>1113670149</v>
      </c>
      <c r="H2539" t="s">
        <v>698</v>
      </c>
      <c r="I2539">
        <v>37</v>
      </c>
      <c r="J2539">
        <v>0</v>
      </c>
      <c r="K2539" s="1">
        <v>2141011</v>
      </c>
    </row>
    <row r="2540" spans="1:11" x14ac:dyDescent="0.25">
      <c r="A2540" t="s">
        <v>326</v>
      </c>
      <c r="B2540" t="s">
        <v>697</v>
      </c>
      <c r="C2540" t="s">
        <v>867</v>
      </c>
      <c r="D2540" t="s">
        <v>11</v>
      </c>
      <c r="E2540">
        <v>27</v>
      </c>
      <c r="F2540" s="2">
        <f>DATE(2026,IF(Tabla1[[#This Row],[Mes de Fecha]]="Septiembre",9,10),Tabla1[[#This Row],[Día de Fecha]])</f>
        <v>46292</v>
      </c>
      <c r="G2540">
        <v>1113698946</v>
      </c>
      <c r="H2540" t="s">
        <v>460</v>
      </c>
      <c r="I2540">
        <v>-1</v>
      </c>
      <c r="J2540">
        <v>0</v>
      </c>
      <c r="K2540" s="1">
        <v>-41975</v>
      </c>
    </row>
    <row r="2541" spans="1:11" x14ac:dyDescent="0.25">
      <c r="A2541" t="s">
        <v>326</v>
      </c>
      <c r="B2541" t="s">
        <v>697</v>
      </c>
      <c r="C2541" t="s">
        <v>867</v>
      </c>
      <c r="D2541" t="s">
        <v>11</v>
      </c>
      <c r="E2541">
        <v>28</v>
      </c>
      <c r="F2541" s="2">
        <f>DATE(2026,IF(Tabla1[[#This Row],[Mes de Fecha]]="Septiembre",9,10),Tabla1[[#This Row],[Día de Fecha]])</f>
        <v>46293</v>
      </c>
      <c r="I2541">
        <v>0</v>
      </c>
      <c r="J2541" s="1">
        <v>14118557</v>
      </c>
      <c r="K2541">
        <v>0</v>
      </c>
    </row>
    <row r="2542" spans="1:11" x14ac:dyDescent="0.25">
      <c r="A2542" t="s">
        <v>326</v>
      </c>
      <c r="B2542" t="s">
        <v>697</v>
      </c>
      <c r="C2542" t="s">
        <v>867</v>
      </c>
      <c r="D2542" t="s">
        <v>11</v>
      </c>
      <c r="E2542">
        <v>28</v>
      </c>
      <c r="F2542" s="2">
        <f>DATE(2026,IF(Tabla1[[#This Row],[Mes de Fecha]]="Septiembre",9,10),Tabla1[[#This Row],[Día de Fecha]])</f>
        <v>46293</v>
      </c>
      <c r="G2542">
        <v>1007700430</v>
      </c>
      <c r="H2542" t="s">
        <v>404</v>
      </c>
      <c r="I2542">
        <v>110</v>
      </c>
      <c r="J2542">
        <v>0</v>
      </c>
      <c r="K2542" s="1">
        <v>6000972</v>
      </c>
    </row>
    <row r="2543" spans="1:11" x14ac:dyDescent="0.25">
      <c r="A2543" t="s">
        <v>326</v>
      </c>
      <c r="B2543" t="s">
        <v>697</v>
      </c>
      <c r="C2543" t="s">
        <v>867</v>
      </c>
      <c r="D2543" t="s">
        <v>11</v>
      </c>
      <c r="E2543">
        <v>28</v>
      </c>
      <c r="F2543" s="2">
        <f>DATE(2026,IF(Tabla1[[#This Row],[Mes de Fecha]]="Septiembre",9,10),Tabla1[[#This Row],[Día de Fecha]])</f>
        <v>46293</v>
      </c>
      <c r="G2543">
        <v>1104805189</v>
      </c>
      <c r="H2543" t="s">
        <v>579</v>
      </c>
      <c r="I2543">
        <v>35</v>
      </c>
      <c r="J2543">
        <v>0</v>
      </c>
      <c r="K2543" s="1">
        <v>2246389</v>
      </c>
    </row>
    <row r="2544" spans="1:11" x14ac:dyDescent="0.25">
      <c r="A2544" t="s">
        <v>326</v>
      </c>
      <c r="B2544" t="s">
        <v>697</v>
      </c>
      <c r="C2544" t="s">
        <v>867</v>
      </c>
      <c r="D2544" t="s">
        <v>11</v>
      </c>
      <c r="E2544">
        <v>28</v>
      </c>
      <c r="F2544" s="2">
        <f>DATE(2026,IF(Tabla1[[#This Row],[Mes de Fecha]]="Septiembre",9,10),Tabla1[[#This Row],[Día de Fecha]])</f>
        <v>46293</v>
      </c>
      <c r="G2544">
        <v>1113637332</v>
      </c>
      <c r="H2544" t="s">
        <v>695</v>
      </c>
      <c r="I2544">
        <v>29</v>
      </c>
      <c r="J2544">
        <v>0</v>
      </c>
      <c r="K2544" s="1">
        <v>1830588</v>
      </c>
    </row>
    <row r="2545" spans="1:11" x14ac:dyDescent="0.25">
      <c r="A2545" t="s">
        <v>326</v>
      </c>
      <c r="B2545" t="s">
        <v>697</v>
      </c>
      <c r="C2545" t="s">
        <v>867</v>
      </c>
      <c r="D2545" t="s">
        <v>11</v>
      </c>
      <c r="E2545">
        <v>28</v>
      </c>
      <c r="F2545" s="2">
        <f>DATE(2026,IF(Tabla1[[#This Row],[Mes de Fecha]]="Septiembre",9,10),Tabla1[[#This Row],[Día de Fecha]])</f>
        <v>46293</v>
      </c>
      <c r="G2545">
        <v>1113670149</v>
      </c>
      <c r="H2545" t="s">
        <v>698</v>
      </c>
      <c r="I2545">
        <v>3</v>
      </c>
      <c r="J2545">
        <v>0</v>
      </c>
      <c r="K2545" s="1">
        <v>102773</v>
      </c>
    </row>
    <row r="2546" spans="1:11" x14ac:dyDescent="0.25">
      <c r="A2546" t="s">
        <v>326</v>
      </c>
      <c r="B2546" t="s">
        <v>697</v>
      </c>
      <c r="C2546" t="s">
        <v>867</v>
      </c>
      <c r="D2546" t="s">
        <v>11</v>
      </c>
      <c r="E2546">
        <v>29</v>
      </c>
      <c r="F2546" s="2">
        <f>DATE(2026,IF(Tabla1[[#This Row],[Mes de Fecha]]="Septiembre",9,10),Tabla1[[#This Row],[Día de Fecha]])</f>
        <v>46294</v>
      </c>
      <c r="I2546">
        <v>0</v>
      </c>
      <c r="J2546" s="1">
        <v>15081382</v>
      </c>
      <c r="K2546">
        <v>0</v>
      </c>
    </row>
    <row r="2547" spans="1:11" x14ac:dyDescent="0.25">
      <c r="A2547" t="s">
        <v>326</v>
      </c>
      <c r="B2547" t="s">
        <v>697</v>
      </c>
      <c r="C2547" t="s">
        <v>867</v>
      </c>
      <c r="D2547" t="s">
        <v>11</v>
      </c>
      <c r="E2547">
        <v>29</v>
      </c>
      <c r="F2547" s="2">
        <f>DATE(2026,IF(Tabla1[[#This Row],[Mes de Fecha]]="Septiembre",9,10),Tabla1[[#This Row],[Día de Fecha]])</f>
        <v>46294</v>
      </c>
      <c r="G2547">
        <v>5063496</v>
      </c>
      <c r="H2547" t="s">
        <v>363</v>
      </c>
      <c r="I2547">
        <v>-1</v>
      </c>
      <c r="J2547">
        <v>0</v>
      </c>
      <c r="K2547" s="1">
        <v>-67185</v>
      </c>
    </row>
    <row r="2548" spans="1:11" x14ac:dyDescent="0.25">
      <c r="A2548" t="s">
        <v>326</v>
      </c>
      <c r="B2548" t="s">
        <v>697</v>
      </c>
      <c r="C2548" t="s">
        <v>867</v>
      </c>
      <c r="D2548" t="s">
        <v>11</v>
      </c>
      <c r="E2548">
        <v>29</v>
      </c>
      <c r="F2548" s="2">
        <f>DATE(2026,IF(Tabla1[[#This Row],[Mes de Fecha]]="Septiembre",9,10),Tabla1[[#This Row],[Día de Fecha]])</f>
        <v>46294</v>
      </c>
      <c r="G2548">
        <v>1007700430</v>
      </c>
      <c r="H2548" t="s">
        <v>404</v>
      </c>
      <c r="I2548">
        <v>56</v>
      </c>
      <c r="J2548">
        <v>0</v>
      </c>
      <c r="K2548" s="1">
        <v>3425759</v>
      </c>
    </row>
    <row r="2549" spans="1:11" x14ac:dyDescent="0.25">
      <c r="A2549" t="s">
        <v>326</v>
      </c>
      <c r="B2549" t="s">
        <v>697</v>
      </c>
      <c r="C2549" t="s">
        <v>867</v>
      </c>
      <c r="D2549" t="s">
        <v>11</v>
      </c>
      <c r="E2549">
        <v>29</v>
      </c>
      <c r="F2549" s="2">
        <f>DATE(2026,IF(Tabla1[[#This Row],[Mes de Fecha]]="Septiembre",9,10),Tabla1[[#This Row],[Día de Fecha]])</f>
        <v>46294</v>
      </c>
      <c r="G2549">
        <v>1104805189</v>
      </c>
      <c r="H2549" t="s">
        <v>579</v>
      </c>
      <c r="I2549">
        <v>58</v>
      </c>
      <c r="J2549">
        <v>0</v>
      </c>
      <c r="K2549" s="1">
        <v>3201141</v>
      </c>
    </row>
    <row r="2550" spans="1:11" x14ac:dyDescent="0.25">
      <c r="A2550" t="s">
        <v>326</v>
      </c>
      <c r="B2550" t="s">
        <v>697</v>
      </c>
      <c r="C2550" t="s">
        <v>867</v>
      </c>
      <c r="D2550" t="s">
        <v>11</v>
      </c>
      <c r="E2550">
        <v>29</v>
      </c>
      <c r="F2550" s="2">
        <f>DATE(2026,IF(Tabla1[[#This Row],[Mes de Fecha]]="Septiembre",9,10),Tabla1[[#This Row],[Día de Fecha]])</f>
        <v>46294</v>
      </c>
      <c r="G2550">
        <v>1113637332</v>
      </c>
      <c r="H2550" t="s">
        <v>695</v>
      </c>
      <c r="I2550">
        <v>76</v>
      </c>
      <c r="J2550">
        <v>0</v>
      </c>
      <c r="K2550" s="1">
        <v>4618365</v>
      </c>
    </row>
    <row r="2551" spans="1:11" x14ac:dyDescent="0.25">
      <c r="A2551" t="s">
        <v>326</v>
      </c>
      <c r="B2551" t="s">
        <v>697</v>
      </c>
      <c r="C2551" t="s">
        <v>867</v>
      </c>
      <c r="D2551" t="s">
        <v>11</v>
      </c>
      <c r="E2551">
        <v>29</v>
      </c>
      <c r="F2551" s="2">
        <f>DATE(2026,IF(Tabla1[[#This Row],[Mes de Fecha]]="Septiembre",9,10),Tabla1[[#This Row],[Día de Fecha]])</f>
        <v>46294</v>
      </c>
      <c r="G2551">
        <v>1113702327</v>
      </c>
      <c r="H2551" t="s">
        <v>692</v>
      </c>
      <c r="I2551">
        <v>-1</v>
      </c>
      <c r="J2551">
        <v>0</v>
      </c>
      <c r="K2551" s="1">
        <v>-46177</v>
      </c>
    </row>
    <row r="2552" spans="1:11" x14ac:dyDescent="0.25">
      <c r="A2552" t="s">
        <v>326</v>
      </c>
      <c r="B2552" t="s">
        <v>697</v>
      </c>
      <c r="C2552" t="s">
        <v>867</v>
      </c>
      <c r="D2552" t="s">
        <v>11</v>
      </c>
      <c r="E2552">
        <v>30</v>
      </c>
      <c r="F2552" s="2">
        <f>DATE(2026,IF(Tabla1[[#This Row],[Mes de Fecha]]="Septiembre",9,10),Tabla1[[#This Row],[Día de Fecha]])</f>
        <v>46295</v>
      </c>
      <c r="I2552">
        <v>0</v>
      </c>
      <c r="J2552" s="1">
        <v>15579338</v>
      </c>
      <c r="K2552">
        <v>0</v>
      </c>
    </row>
    <row r="2553" spans="1:11" x14ac:dyDescent="0.25">
      <c r="A2553" t="s">
        <v>326</v>
      </c>
      <c r="B2553" t="s">
        <v>697</v>
      </c>
      <c r="C2553" t="s">
        <v>867</v>
      </c>
      <c r="D2553" t="s">
        <v>11</v>
      </c>
      <c r="E2553">
        <v>30</v>
      </c>
      <c r="F2553" s="2">
        <f>DATE(2026,IF(Tabla1[[#This Row],[Mes de Fecha]]="Septiembre",9,10),Tabla1[[#This Row],[Día de Fecha]])</f>
        <v>46295</v>
      </c>
      <c r="G2553">
        <v>5063496</v>
      </c>
      <c r="H2553" t="s">
        <v>363</v>
      </c>
      <c r="I2553">
        <v>-1</v>
      </c>
      <c r="J2553">
        <v>0</v>
      </c>
      <c r="K2553" s="1">
        <v>-126008</v>
      </c>
    </row>
    <row r="2554" spans="1:11" x14ac:dyDescent="0.25">
      <c r="A2554" t="s">
        <v>326</v>
      </c>
      <c r="B2554" t="s">
        <v>697</v>
      </c>
      <c r="C2554" t="s">
        <v>867</v>
      </c>
      <c r="D2554" t="s">
        <v>11</v>
      </c>
      <c r="E2554">
        <v>30</v>
      </c>
      <c r="F2554" s="2">
        <f>DATE(2026,IF(Tabla1[[#This Row],[Mes de Fecha]]="Septiembre",9,10),Tabla1[[#This Row],[Día de Fecha]])</f>
        <v>46295</v>
      </c>
      <c r="G2554">
        <v>1007700430</v>
      </c>
      <c r="H2554" t="s">
        <v>404</v>
      </c>
      <c r="I2554">
        <v>100</v>
      </c>
      <c r="J2554">
        <v>0</v>
      </c>
      <c r="K2554" s="1">
        <v>5793621</v>
      </c>
    </row>
    <row r="2555" spans="1:11" x14ac:dyDescent="0.25">
      <c r="A2555" t="s">
        <v>326</v>
      </c>
      <c r="B2555" t="s">
        <v>697</v>
      </c>
      <c r="C2555" t="s">
        <v>867</v>
      </c>
      <c r="D2555" t="s">
        <v>11</v>
      </c>
      <c r="E2555">
        <v>30</v>
      </c>
      <c r="F2555" s="2">
        <f>DATE(2026,IF(Tabla1[[#This Row],[Mes de Fecha]]="Septiembre",9,10),Tabla1[[#This Row],[Día de Fecha]])</f>
        <v>46295</v>
      </c>
      <c r="G2555">
        <v>1104805189</v>
      </c>
      <c r="H2555" t="s">
        <v>579</v>
      </c>
      <c r="I2555">
        <v>48</v>
      </c>
      <c r="J2555">
        <v>0</v>
      </c>
      <c r="K2555" s="1">
        <v>2314961</v>
      </c>
    </row>
    <row r="2556" spans="1:11" x14ac:dyDescent="0.25">
      <c r="A2556" t="s">
        <v>326</v>
      </c>
      <c r="B2556" t="s">
        <v>697</v>
      </c>
      <c r="C2556" t="s">
        <v>867</v>
      </c>
      <c r="D2556" t="s">
        <v>11</v>
      </c>
      <c r="E2556">
        <v>30</v>
      </c>
      <c r="F2556" s="2">
        <f>DATE(2026,IF(Tabla1[[#This Row],[Mes de Fecha]]="Septiembre",9,10),Tabla1[[#This Row],[Día de Fecha]])</f>
        <v>46295</v>
      </c>
      <c r="G2556">
        <v>1113637332</v>
      </c>
      <c r="H2556" t="s">
        <v>695</v>
      </c>
      <c r="I2556">
        <v>37</v>
      </c>
      <c r="J2556">
        <v>0</v>
      </c>
      <c r="K2556" s="1">
        <v>2187441</v>
      </c>
    </row>
    <row r="2557" spans="1:11" x14ac:dyDescent="0.25">
      <c r="A2557" t="s">
        <v>326</v>
      </c>
      <c r="B2557" t="s">
        <v>697</v>
      </c>
      <c r="C2557" t="s">
        <v>867</v>
      </c>
      <c r="D2557" t="s">
        <v>11</v>
      </c>
      <c r="E2557">
        <v>30</v>
      </c>
      <c r="F2557" s="2">
        <f>DATE(2026,IF(Tabla1[[#This Row],[Mes de Fecha]]="Septiembre",9,10),Tabla1[[#This Row],[Día de Fecha]])</f>
        <v>46295</v>
      </c>
      <c r="G2557">
        <v>1113670149</v>
      </c>
      <c r="H2557" t="s">
        <v>698</v>
      </c>
      <c r="I2557">
        <v>16</v>
      </c>
      <c r="J2557">
        <v>0</v>
      </c>
      <c r="K2557" s="1">
        <v>953069</v>
      </c>
    </row>
    <row r="2558" spans="1:11" x14ac:dyDescent="0.25">
      <c r="A2558" t="s">
        <v>326</v>
      </c>
      <c r="B2558" t="s">
        <v>697</v>
      </c>
      <c r="C2558" t="s">
        <v>867</v>
      </c>
      <c r="D2558" t="s">
        <v>14</v>
      </c>
      <c r="E2558">
        <v>1</v>
      </c>
      <c r="F2558" s="2">
        <f>DATE(2026,IF(Tabla1[[#This Row],[Mes de Fecha]]="Septiembre",9,10),Tabla1[[#This Row],[Día de Fecha]])</f>
        <v>46296</v>
      </c>
      <c r="I2558">
        <v>0</v>
      </c>
      <c r="J2558" s="1">
        <v>16392177</v>
      </c>
      <c r="K2558">
        <v>0</v>
      </c>
    </row>
    <row r="2559" spans="1:11" x14ac:dyDescent="0.25">
      <c r="A2559" t="s">
        <v>326</v>
      </c>
      <c r="B2559" t="s">
        <v>697</v>
      </c>
      <c r="C2559" t="s">
        <v>867</v>
      </c>
      <c r="D2559" t="s">
        <v>14</v>
      </c>
      <c r="E2559">
        <v>1</v>
      </c>
      <c r="F2559" s="2">
        <f>DATE(2026,IF(Tabla1[[#This Row],[Mes de Fecha]]="Septiembre",9,10),Tabla1[[#This Row],[Día de Fecha]])</f>
        <v>46296</v>
      </c>
      <c r="G2559">
        <v>1007700430</v>
      </c>
      <c r="H2559" t="s">
        <v>404</v>
      </c>
      <c r="I2559">
        <v>67</v>
      </c>
      <c r="J2559">
        <v>0</v>
      </c>
      <c r="K2559" s="1">
        <v>3692061</v>
      </c>
    </row>
    <row r="2560" spans="1:11" x14ac:dyDescent="0.25">
      <c r="A2560" t="s">
        <v>326</v>
      </c>
      <c r="B2560" t="s">
        <v>697</v>
      </c>
      <c r="C2560" t="s">
        <v>867</v>
      </c>
      <c r="D2560" t="s">
        <v>14</v>
      </c>
      <c r="E2560">
        <v>1</v>
      </c>
      <c r="F2560" s="2">
        <f>DATE(2026,IF(Tabla1[[#This Row],[Mes de Fecha]]="Septiembre",9,10),Tabla1[[#This Row],[Día de Fecha]])</f>
        <v>46296</v>
      </c>
      <c r="G2560">
        <v>1104805189</v>
      </c>
      <c r="H2560" t="s">
        <v>579</v>
      </c>
      <c r="I2560">
        <v>44</v>
      </c>
      <c r="J2560">
        <v>0</v>
      </c>
      <c r="K2560" s="1">
        <v>2397106</v>
      </c>
    </row>
    <row r="2561" spans="1:11" x14ac:dyDescent="0.25">
      <c r="A2561" t="s">
        <v>326</v>
      </c>
      <c r="B2561" t="s">
        <v>697</v>
      </c>
      <c r="C2561" t="s">
        <v>867</v>
      </c>
      <c r="D2561" t="s">
        <v>14</v>
      </c>
      <c r="E2561">
        <v>1</v>
      </c>
      <c r="F2561" s="2">
        <f>DATE(2026,IF(Tabla1[[#This Row],[Mes de Fecha]]="Septiembre",9,10),Tabla1[[#This Row],[Día de Fecha]])</f>
        <v>46296</v>
      </c>
      <c r="G2561">
        <v>1113637332</v>
      </c>
      <c r="H2561" t="s">
        <v>695</v>
      </c>
      <c r="I2561">
        <v>71</v>
      </c>
      <c r="J2561">
        <v>0</v>
      </c>
      <c r="K2561" s="1">
        <v>4231763</v>
      </c>
    </row>
    <row r="2562" spans="1:11" x14ac:dyDescent="0.25">
      <c r="A2562" t="s">
        <v>326</v>
      </c>
      <c r="B2562" t="s">
        <v>697</v>
      </c>
      <c r="C2562" t="s">
        <v>867</v>
      </c>
      <c r="D2562" t="s">
        <v>14</v>
      </c>
      <c r="E2562">
        <v>2</v>
      </c>
      <c r="F2562" s="2">
        <f>DATE(2026,IF(Tabla1[[#This Row],[Mes de Fecha]]="Septiembre",9,10),Tabla1[[#This Row],[Día de Fecha]])</f>
        <v>46297</v>
      </c>
      <c r="I2562">
        <v>0</v>
      </c>
      <c r="J2562" s="1">
        <v>16079676</v>
      </c>
      <c r="K2562">
        <v>0</v>
      </c>
    </row>
    <row r="2563" spans="1:11" x14ac:dyDescent="0.25">
      <c r="A2563" t="s">
        <v>326</v>
      </c>
      <c r="B2563" t="s">
        <v>697</v>
      </c>
      <c r="C2563" t="s">
        <v>867</v>
      </c>
      <c r="D2563" t="s">
        <v>14</v>
      </c>
      <c r="E2563">
        <v>2</v>
      </c>
      <c r="F2563" s="2">
        <f>DATE(2026,IF(Tabla1[[#This Row],[Mes de Fecha]]="Septiembre",9,10),Tabla1[[#This Row],[Día de Fecha]])</f>
        <v>46297</v>
      </c>
      <c r="G2563">
        <v>1007700430</v>
      </c>
      <c r="H2563" t="s">
        <v>404</v>
      </c>
      <c r="I2563">
        <v>45</v>
      </c>
      <c r="J2563">
        <v>0</v>
      </c>
      <c r="K2563" s="1">
        <v>2689119</v>
      </c>
    </row>
    <row r="2564" spans="1:11" x14ac:dyDescent="0.25">
      <c r="A2564" t="s">
        <v>326</v>
      </c>
      <c r="B2564" t="s">
        <v>697</v>
      </c>
      <c r="C2564" t="s">
        <v>867</v>
      </c>
      <c r="D2564" t="s">
        <v>14</v>
      </c>
      <c r="E2564">
        <v>2</v>
      </c>
      <c r="F2564" s="2">
        <f>DATE(2026,IF(Tabla1[[#This Row],[Mes de Fecha]]="Septiembre",9,10),Tabla1[[#This Row],[Día de Fecha]])</f>
        <v>46297</v>
      </c>
      <c r="G2564">
        <v>1104805189</v>
      </c>
      <c r="H2564" t="s">
        <v>579</v>
      </c>
      <c r="I2564">
        <v>41</v>
      </c>
      <c r="J2564">
        <v>0</v>
      </c>
      <c r="K2564" s="1">
        <v>2201681</v>
      </c>
    </row>
    <row r="2565" spans="1:11" x14ac:dyDescent="0.25">
      <c r="A2565" t="s">
        <v>326</v>
      </c>
      <c r="B2565" t="s">
        <v>697</v>
      </c>
      <c r="C2565" t="s">
        <v>867</v>
      </c>
      <c r="D2565" t="s">
        <v>14</v>
      </c>
      <c r="E2565">
        <v>2</v>
      </c>
      <c r="F2565" s="2">
        <f>DATE(2026,IF(Tabla1[[#This Row],[Mes de Fecha]]="Septiembre",9,10),Tabla1[[#This Row],[Día de Fecha]])</f>
        <v>46297</v>
      </c>
      <c r="G2565">
        <v>1113637332</v>
      </c>
      <c r="H2565" t="s">
        <v>695</v>
      </c>
      <c r="I2565">
        <v>73</v>
      </c>
      <c r="J2565">
        <v>0</v>
      </c>
      <c r="K2565" s="1">
        <v>4265593</v>
      </c>
    </row>
    <row r="2566" spans="1:11" x14ac:dyDescent="0.25">
      <c r="A2566" t="s">
        <v>326</v>
      </c>
      <c r="B2566" t="s">
        <v>697</v>
      </c>
      <c r="C2566" t="s">
        <v>867</v>
      </c>
      <c r="D2566" t="s">
        <v>14</v>
      </c>
      <c r="E2566">
        <v>3</v>
      </c>
      <c r="F2566" s="2">
        <f>DATE(2026,IF(Tabla1[[#This Row],[Mes de Fecha]]="Septiembre",9,10),Tabla1[[#This Row],[Día de Fecha]])</f>
        <v>46298</v>
      </c>
      <c r="I2566">
        <v>0</v>
      </c>
      <c r="J2566" s="1">
        <v>24824267</v>
      </c>
      <c r="K2566">
        <v>0</v>
      </c>
    </row>
    <row r="2567" spans="1:11" x14ac:dyDescent="0.25">
      <c r="A2567" t="s">
        <v>326</v>
      </c>
      <c r="B2567" t="s">
        <v>697</v>
      </c>
      <c r="C2567" t="s">
        <v>867</v>
      </c>
      <c r="D2567" t="s">
        <v>14</v>
      </c>
      <c r="E2567">
        <v>3</v>
      </c>
      <c r="F2567" s="2">
        <f>DATE(2026,IF(Tabla1[[#This Row],[Mes de Fecha]]="Septiembre",9,10),Tabla1[[#This Row],[Día de Fecha]])</f>
        <v>46298</v>
      </c>
      <c r="G2567">
        <v>1007700430</v>
      </c>
      <c r="H2567" t="s">
        <v>404</v>
      </c>
      <c r="I2567">
        <v>165</v>
      </c>
      <c r="J2567">
        <v>0</v>
      </c>
      <c r="K2567" s="1">
        <v>9030476</v>
      </c>
    </row>
    <row r="2568" spans="1:11" x14ac:dyDescent="0.25">
      <c r="A2568" t="s">
        <v>326</v>
      </c>
      <c r="B2568" t="s">
        <v>697</v>
      </c>
      <c r="C2568" t="s">
        <v>867</v>
      </c>
      <c r="D2568" t="s">
        <v>14</v>
      </c>
      <c r="E2568">
        <v>3</v>
      </c>
      <c r="F2568" s="2">
        <f>DATE(2026,IF(Tabla1[[#This Row],[Mes de Fecha]]="Septiembre",9,10),Tabla1[[#This Row],[Día de Fecha]])</f>
        <v>46298</v>
      </c>
      <c r="G2568">
        <v>1104805189</v>
      </c>
      <c r="H2568" t="s">
        <v>579</v>
      </c>
      <c r="I2568">
        <v>105</v>
      </c>
      <c r="J2568">
        <v>0</v>
      </c>
      <c r="K2568" s="1">
        <v>5637913</v>
      </c>
    </row>
    <row r="2569" spans="1:11" x14ac:dyDescent="0.25">
      <c r="A2569" t="s">
        <v>326</v>
      </c>
      <c r="B2569" t="s">
        <v>697</v>
      </c>
      <c r="C2569" t="s">
        <v>867</v>
      </c>
      <c r="D2569" t="s">
        <v>14</v>
      </c>
      <c r="E2569">
        <v>3</v>
      </c>
      <c r="F2569" s="2">
        <f>DATE(2026,IF(Tabla1[[#This Row],[Mes de Fecha]]="Septiembre",9,10),Tabla1[[#This Row],[Día de Fecha]])</f>
        <v>46298</v>
      </c>
      <c r="G2569">
        <v>1113637332</v>
      </c>
      <c r="H2569" t="s">
        <v>695</v>
      </c>
      <c r="I2569">
        <v>173</v>
      </c>
      <c r="J2569">
        <v>0</v>
      </c>
      <c r="K2569" s="1">
        <v>8625320</v>
      </c>
    </row>
    <row r="2570" spans="1:11" x14ac:dyDescent="0.25">
      <c r="A2570" t="s">
        <v>326</v>
      </c>
      <c r="B2570" t="s">
        <v>697</v>
      </c>
      <c r="C2570" t="s">
        <v>867</v>
      </c>
      <c r="D2570" t="s">
        <v>14</v>
      </c>
      <c r="E2570">
        <v>4</v>
      </c>
      <c r="F2570" s="2">
        <f>DATE(2026,IF(Tabla1[[#This Row],[Mes de Fecha]]="Septiembre",9,10),Tabla1[[#This Row],[Día de Fecha]])</f>
        <v>46299</v>
      </c>
      <c r="I2570">
        <v>0</v>
      </c>
      <c r="J2570" s="1">
        <v>28637872</v>
      </c>
      <c r="K2570">
        <v>0</v>
      </c>
    </row>
    <row r="2571" spans="1:11" x14ac:dyDescent="0.25">
      <c r="A2571" t="s">
        <v>326</v>
      </c>
      <c r="B2571" t="s">
        <v>697</v>
      </c>
      <c r="C2571" t="s">
        <v>867</v>
      </c>
      <c r="D2571" t="s">
        <v>14</v>
      </c>
      <c r="E2571">
        <v>4</v>
      </c>
      <c r="F2571" s="2">
        <f>DATE(2026,IF(Tabla1[[#This Row],[Mes de Fecha]]="Septiembre",9,10),Tabla1[[#This Row],[Día de Fecha]])</f>
        <v>46299</v>
      </c>
      <c r="G2571">
        <v>1007700430</v>
      </c>
      <c r="H2571" t="s">
        <v>404</v>
      </c>
      <c r="I2571">
        <v>108</v>
      </c>
      <c r="J2571">
        <v>0</v>
      </c>
      <c r="K2571" s="1">
        <v>5677780</v>
      </c>
    </row>
    <row r="2572" spans="1:11" x14ac:dyDescent="0.25">
      <c r="A2572" t="s">
        <v>326</v>
      </c>
      <c r="B2572" t="s">
        <v>697</v>
      </c>
      <c r="C2572" t="s">
        <v>867</v>
      </c>
      <c r="D2572" t="s">
        <v>14</v>
      </c>
      <c r="E2572">
        <v>4</v>
      </c>
      <c r="F2572" s="2">
        <f>DATE(2026,IF(Tabla1[[#This Row],[Mes de Fecha]]="Septiembre",9,10),Tabla1[[#This Row],[Día de Fecha]])</f>
        <v>46299</v>
      </c>
      <c r="G2572">
        <v>1104805189</v>
      </c>
      <c r="H2572" t="s">
        <v>579</v>
      </c>
      <c r="I2572">
        <v>81</v>
      </c>
      <c r="J2572">
        <v>0</v>
      </c>
      <c r="K2572" s="1">
        <v>4353238</v>
      </c>
    </row>
    <row r="2573" spans="1:11" x14ac:dyDescent="0.25">
      <c r="A2573" t="s">
        <v>326</v>
      </c>
      <c r="B2573" t="s">
        <v>697</v>
      </c>
      <c r="C2573" t="s">
        <v>867</v>
      </c>
      <c r="D2573" t="s">
        <v>14</v>
      </c>
      <c r="E2573">
        <v>4</v>
      </c>
      <c r="F2573" s="2">
        <f>DATE(2026,IF(Tabla1[[#This Row],[Mes de Fecha]]="Septiembre",9,10),Tabla1[[#This Row],[Día de Fecha]])</f>
        <v>46299</v>
      </c>
      <c r="G2573">
        <v>1113623464</v>
      </c>
      <c r="H2573" t="s">
        <v>519</v>
      </c>
      <c r="I2573">
        <v>-1</v>
      </c>
      <c r="J2573">
        <v>0</v>
      </c>
      <c r="K2573" s="1">
        <v>-33572</v>
      </c>
    </row>
    <row r="2574" spans="1:11" x14ac:dyDescent="0.25">
      <c r="A2574" t="s">
        <v>326</v>
      </c>
      <c r="B2574" t="s">
        <v>697</v>
      </c>
      <c r="C2574" t="s">
        <v>867</v>
      </c>
      <c r="D2574" t="s">
        <v>14</v>
      </c>
      <c r="E2574">
        <v>4</v>
      </c>
      <c r="F2574" s="2">
        <f>DATE(2026,IF(Tabla1[[#This Row],[Mes de Fecha]]="Septiembre",9,10),Tabla1[[#This Row],[Día de Fecha]])</f>
        <v>46299</v>
      </c>
      <c r="G2574">
        <v>1113637332</v>
      </c>
      <c r="H2574" t="s">
        <v>695</v>
      </c>
      <c r="I2574">
        <v>92</v>
      </c>
      <c r="J2574">
        <v>0</v>
      </c>
      <c r="K2574" s="1">
        <v>5480890</v>
      </c>
    </row>
    <row r="2575" spans="1:11" x14ac:dyDescent="0.25">
      <c r="A2575" t="s">
        <v>326</v>
      </c>
      <c r="B2575" t="s">
        <v>697</v>
      </c>
      <c r="C2575" t="s">
        <v>867</v>
      </c>
      <c r="D2575" t="s">
        <v>14</v>
      </c>
      <c r="E2575">
        <v>5</v>
      </c>
      <c r="F2575" s="2">
        <f>DATE(2026,IF(Tabla1[[#This Row],[Mes de Fecha]]="Septiembre",9,10),Tabla1[[#This Row],[Día de Fecha]])</f>
        <v>46300</v>
      </c>
      <c r="I2575">
        <v>0</v>
      </c>
      <c r="J2575" s="1">
        <v>10221522</v>
      </c>
      <c r="K2575">
        <v>0</v>
      </c>
    </row>
    <row r="2576" spans="1:11" x14ac:dyDescent="0.25">
      <c r="A2576" t="s">
        <v>326</v>
      </c>
      <c r="B2576" t="s">
        <v>697</v>
      </c>
      <c r="C2576" t="s">
        <v>867</v>
      </c>
      <c r="D2576" t="s">
        <v>14</v>
      </c>
      <c r="E2576">
        <v>5</v>
      </c>
      <c r="F2576" s="2">
        <f>DATE(2026,IF(Tabla1[[#This Row],[Mes de Fecha]]="Septiembre",9,10),Tabla1[[#This Row],[Día de Fecha]])</f>
        <v>46300</v>
      </c>
      <c r="G2576">
        <v>1007700430</v>
      </c>
      <c r="H2576" t="s">
        <v>404</v>
      </c>
      <c r="I2576">
        <v>97</v>
      </c>
      <c r="J2576">
        <v>0</v>
      </c>
      <c r="K2576" s="1">
        <v>5846352</v>
      </c>
    </row>
    <row r="2577" spans="1:11" x14ac:dyDescent="0.25">
      <c r="A2577" t="s">
        <v>326</v>
      </c>
      <c r="B2577" t="s">
        <v>697</v>
      </c>
      <c r="C2577" t="s">
        <v>867</v>
      </c>
      <c r="D2577" t="s">
        <v>14</v>
      </c>
      <c r="E2577">
        <v>5</v>
      </c>
      <c r="F2577" s="2">
        <f>DATE(2026,IF(Tabla1[[#This Row],[Mes de Fecha]]="Septiembre",9,10),Tabla1[[#This Row],[Día de Fecha]])</f>
        <v>46300</v>
      </c>
      <c r="G2577">
        <v>1104805189</v>
      </c>
      <c r="H2577" t="s">
        <v>579</v>
      </c>
      <c r="I2577">
        <v>71</v>
      </c>
      <c r="J2577">
        <v>0</v>
      </c>
      <c r="K2577" s="1">
        <v>4263574</v>
      </c>
    </row>
    <row r="2578" spans="1:11" x14ac:dyDescent="0.25">
      <c r="A2578" t="s">
        <v>326</v>
      </c>
      <c r="B2578" t="s">
        <v>697</v>
      </c>
      <c r="C2578" t="s">
        <v>867</v>
      </c>
      <c r="D2578" t="s">
        <v>14</v>
      </c>
      <c r="E2578">
        <v>5</v>
      </c>
      <c r="F2578" s="2">
        <f>DATE(2026,IF(Tabla1[[#This Row],[Mes de Fecha]]="Septiembre",9,10),Tabla1[[#This Row],[Día de Fecha]])</f>
        <v>46300</v>
      </c>
      <c r="G2578">
        <v>1113637332</v>
      </c>
      <c r="H2578" t="s">
        <v>695</v>
      </c>
      <c r="I2578">
        <v>112</v>
      </c>
      <c r="J2578">
        <v>0</v>
      </c>
      <c r="K2578" s="1">
        <v>6559737</v>
      </c>
    </row>
    <row r="2579" spans="1:11" x14ac:dyDescent="0.25">
      <c r="A2579" t="s">
        <v>326</v>
      </c>
      <c r="B2579" t="s">
        <v>697</v>
      </c>
      <c r="C2579" t="s">
        <v>867</v>
      </c>
      <c r="D2579" t="s">
        <v>14</v>
      </c>
      <c r="E2579">
        <v>6</v>
      </c>
      <c r="F2579" s="2">
        <f>DATE(2026,IF(Tabla1[[#This Row],[Mes de Fecha]]="Septiembre",9,10),Tabla1[[#This Row],[Día de Fecha]])</f>
        <v>46301</v>
      </c>
      <c r="I2579">
        <v>0</v>
      </c>
      <c r="J2579" s="1">
        <v>7371231</v>
      </c>
      <c r="K2579">
        <v>0</v>
      </c>
    </row>
    <row r="2580" spans="1:11" x14ac:dyDescent="0.25">
      <c r="A2580" t="s">
        <v>326</v>
      </c>
      <c r="B2580" t="s">
        <v>697</v>
      </c>
      <c r="C2580" t="s">
        <v>867</v>
      </c>
      <c r="D2580" t="s">
        <v>14</v>
      </c>
      <c r="E2580">
        <v>6</v>
      </c>
      <c r="F2580" s="2">
        <f>DATE(2026,IF(Tabla1[[#This Row],[Mes de Fecha]]="Septiembre",9,10),Tabla1[[#This Row],[Día de Fecha]])</f>
        <v>46301</v>
      </c>
      <c r="G2580">
        <v>1007700430</v>
      </c>
      <c r="H2580" t="s">
        <v>404</v>
      </c>
      <c r="I2580">
        <v>43</v>
      </c>
      <c r="J2580">
        <v>0</v>
      </c>
      <c r="K2580" s="1">
        <v>2494573</v>
      </c>
    </row>
    <row r="2581" spans="1:11" x14ac:dyDescent="0.25">
      <c r="A2581" t="s">
        <v>326</v>
      </c>
      <c r="B2581" t="s">
        <v>697</v>
      </c>
      <c r="C2581" t="s">
        <v>867</v>
      </c>
      <c r="D2581" t="s">
        <v>14</v>
      </c>
      <c r="E2581">
        <v>6</v>
      </c>
      <c r="F2581" s="2">
        <f>DATE(2026,IF(Tabla1[[#This Row],[Mes de Fecha]]="Septiembre",9,10),Tabla1[[#This Row],[Día de Fecha]])</f>
        <v>46301</v>
      </c>
      <c r="G2581">
        <v>1104805189</v>
      </c>
      <c r="H2581" t="s">
        <v>579</v>
      </c>
      <c r="I2581">
        <v>28</v>
      </c>
      <c r="J2581">
        <v>0</v>
      </c>
      <c r="K2581" s="1">
        <v>1435716</v>
      </c>
    </row>
    <row r="2582" spans="1:11" x14ac:dyDescent="0.25">
      <c r="A2582" t="s">
        <v>326</v>
      </c>
      <c r="B2582" t="s">
        <v>697</v>
      </c>
      <c r="C2582" t="s">
        <v>867</v>
      </c>
      <c r="D2582" t="s">
        <v>14</v>
      </c>
      <c r="E2582">
        <v>6</v>
      </c>
      <c r="F2582" s="2">
        <f>DATE(2026,IF(Tabla1[[#This Row],[Mes de Fecha]]="Septiembre",9,10),Tabla1[[#This Row],[Día de Fecha]])</f>
        <v>46301</v>
      </c>
      <c r="G2582">
        <v>1113637332</v>
      </c>
      <c r="H2582" t="s">
        <v>695</v>
      </c>
      <c r="I2582">
        <v>50</v>
      </c>
      <c r="J2582">
        <v>0</v>
      </c>
      <c r="K2582" s="1">
        <v>2852689</v>
      </c>
    </row>
    <row r="2583" spans="1:11" x14ac:dyDescent="0.25">
      <c r="A2583" t="s">
        <v>326</v>
      </c>
      <c r="B2583" t="s">
        <v>697</v>
      </c>
      <c r="C2583" t="s">
        <v>867</v>
      </c>
      <c r="D2583" t="s">
        <v>14</v>
      </c>
      <c r="E2583">
        <v>7</v>
      </c>
      <c r="F2583" s="2">
        <f>DATE(2026,IF(Tabla1[[#This Row],[Mes de Fecha]]="Septiembre",9,10),Tabla1[[#This Row],[Día de Fecha]])</f>
        <v>46302</v>
      </c>
      <c r="I2583">
        <v>0</v>
      </c>
      <c r="J2583" s="1">
        <v>7274243</v>
      </c>
      <c r="K2583">
        <v>0</v>
      </c>
    </row>
    <row r="2584" spans="1:11" x14ac:dyDescent="0.25">
      <c r="A2584" t="s">
        <v>326</v>
      </c>
      <c r="B2584" t="s">
        <v>697</v>
      </c>
      <c r="C2584" t="s">
        <v>867</v>
      </c>
      <c r="D2584" t="s">
        <v>14</v>
      </c>
      <c r="E2584">
        <v>7</v>
      </c>
      <c r="F2584" s="2">
        <f>DATE(2026,IF(Tabla1[[#This Row],[Mes de Fecha]]="Septiembre",9,10),Tabla1[[#This Row],[Día de Fecha]])</f>
        <v>46302</v>
      </c>
      <c r="G2584">
        <v>1007700430</v>
      </c>
      <c r="H2584" t="s">
        <v>404</v>
      </c>
      <c r="I2584">
        <v>36</v>
      </c>
      <c r="J2584">
        <v>0</v>
      </c>
      <c r="K2584" s="1">
        <v>2046765</v>
      </c>
    </row>
    <row r="2585" spans="1:11" x14ac:dyDescent="0.25">
      <c r="A2585" t="s">
        <v>326</v>
      </c>
      <c r="B2585" t="s">
        <v>697</v>
      </c>
      <c r="C2585" t="s">
        <v>867</v>
      </c>
      <c r="D2585" t="s">
        <v>14</v>
      </c>
      <c r="E2585">
        <v>7</v>
      </c>
      <c r="F2585" s="2">
        <f>DATE(2026,IF(Tabla1[[#This Row],[Mes de Fecha]]="Septiembre",9,10),Tabla1[[#This Row],[Día de Fecha]])</f>
        <v>46302</v>
      </c>
      <c r="G2585">
        <v>1104805189</v>
      </c>
      <c r="H2585" t="s">
        <v>579</v>
      </c>
      <c r="I2585">
        <v>40</v>
      </c>
      <c r="J2585">
        <v>0</v>
      </c>
      <c r="K2585" s="1">
        <v>2243910</v>
      </c>
    </row>
    <row r="2586" spans="1:11" x14ac:dyDescent="0.25">
      <c r="A2586" t="s">
        <v>326</v>
      </c>
      <c r="B2586" t="s">
        <v>697</v>
      </c>
      <c r="C2586" t="s">
        <v>867</v>
      </c>
      <c r="D2586" t="s">
        <v>14</v>
      </c>
      <c r="E2586">
        <v>7</v>
      </c>
      <c r="F2586" s="2">
        <f>DATE(2026,IF(Tabla1[[#This Row],[Mes de Fecha]]="Septiembre",9,10),Tabla1[[#This Row],[Día de Fecha]])</f>
        <v>46302</v>
      </c>
      <c r="G2586">
        <v>1113637332</v>
      </c>
      <c r="H2586" t="s">
        <v>695</v>
      </c>
      <c r="I2586">
        <v>37</v>
      </c>
      <c r="J2586">
        <v>0</v>
      </c>
      <c r="K2586" s="1">
        <v>1968951</v>
      </c>
    </row>
    <row r="2587" spans="1:11" x14ac:dyDescent="0.25">
      <c r="A2587" t="s">
        <v>326</v>
      </c>
      <c r="B2587" t="s">
        <v>697</v>
      </c>
      <c r="C2587" t="s">
        <v>867</v>
      </c>
      <c r="D2587" t="s">
        <v>14</v>
      </c>
      <c r="E2587">
        <v>7</v>
      </c>
      <c r="F2587" s="2">
        <f>DATE(2026,IF(Tabla1[[#This Row],[Mes de Fecha]]="Septiembre",9,10),Tabla1[[#This Row],[Día de Fecha]])</f>
        <v>46302</v>
      </c>
      <c r="G2587">
        <v>1113689444</v>
      </c>
      <c r="H2587" t="s">
        <v>378</v>
      </c>
      <c r="I2587">
        <v>-1</v>
      </c>
      <c r="J2587">
        <v>0</v>
      </c>
      <c r="K2587" s="1">
        <v>-79790</v>
      </c>
    </row>
    <row r="2588" spans="1:11" x14ac:dyDescent="0.25">
      <c r="A2588" t="s">
        <v>326</v>
      </c>
      <c r="B2588" t="s">
        <v>699</v>
      </c>
      <c r="C2588" t="s">
        <v>867</v>
      </c>
      <c r="D2588" t="s">
        <v>11</v>
      </c>
      <c r="E2588">
        <v>23</v>
      </c>
      <c r="F2588" s="2">
        <f>DATE(2026,IF(Tabla1[[#This Row],[Mes de Fecha]]="Septiembre",9,10),Tabla1[[#This Row],[Día de Fecha]])</f>
        <v>46288</v>
      </c>
      <c r="I2588">
        <v>0</v>
      </c>
      <c r="J2588" s="1">
        <v>11588817</v>
      </c>
      <c r="K2588">
        <v>0</v>
      </c>
    </row>
    <row r="2589" spans="1:11" x14ac:dyDescent="0.25">
      <c r="A2589" t="s">
        <v>326</v>
      </c>
      <c r="B2589" t="s">
        <v>699</v>
      </c>
      <c r="C2589" t="s">
        <v>867</v>
      </c>
      <c r="D2589" t="s">
        <v>11</v>
      </c>
      <c r="E2589">
        <v>23</v>
      </c>
      <c r="F2589" s="2">
        <f>DATE(2026,IF(Tabla1[[#This Row],[Mes de Fecha]]="Septiembre",9,10),Tabla1[[#This Row],[Día de Fecha]])</f>
        <v>46288</v>
      </c>
      <c r="G2589">
        <v>1007852100</v>
      </c>
      <c r="H2589" t="s">
        <v>700</v>
      </c>
      <c r="I2589">
        <v>15</v>
      </c>
      <c r="J2589">
        <v>0</v>
      </c>
      <c r="K2589" s="1">
        <v>978363</v>
      </c>
    </row>
    <row r="2590" spans="1:11" x14ac:dyDescent="0.25">
      <c r="A2590" t="s">
        <v>326</v>
      </c>
      <c r="B2590" t="s">
        <v>699</v>
      </c>
      <c r="C2590" t="s">
        <v>867</v>
      </c>
      <c r="D2590" t="s">
        <v>11</v>
      </c>
      <c r="E2590">
        <v>23</v>
      </c>
      <c r="F2590" s="2">
        <f>DATE(2026,IF(Tabla1[[#This Row],[Mes de Fecha]]="Septiembre",9,10),Tabla1[[#This Row],[Día de Fecha]])</f>
        <v>46288</v>
      </c>
      <c r="G2590">
        <v>1113623464</v>
      </c>
      <c r="H2590" t="s">
        <v>519</v>
      </c>
      <c r="I2590">
        <v>74</v>
      </c>
      <c r="J2590">
        <v>0</v>
      </c>
      <c r="K2590" s="1">
        <v>3961135</v>
      </c>
    </row>
    <row r="2591" spans="1:11" x14ac:dyDescent="0.25">
      <c r="A2591" t="s">
        <v>326</v>
      </c>
      <c r="B2591" t="s">
        <v>699</v>
      </c>
      <c r="C2591" t="s">
        <v>867</v>
      </c>
      <c r="D2591" t="s">
        <v>11</v>
      </c>
      <c r="E2591">
        <v>23</v>
      </c>
      <c r="F2591" s="2">
        <f>DATE(2026,IF(Tabla1[[#This Row],[Mes de Fecha]]="Septiembre",9,10),Tabla1[[#This Row],[Día de Fecha]])</f>
        <v>46288</v>
      </c>
      <c r="G2591">
        <v>1113698946</v>
      </c>
      <c r="H2591" t="s">
        <v>460</v>
      </c>
      <c r="I2591">
        <v>146</v>
      </c>
      <c r="J2591">
        <v>0</v>
      </c>
      <c r="K2591" s="1">
        <v>8773236</v>
      </c>
    </row>
    <row r="2592" spans="1:11" x14ac:dyDescent="0.25">
      <c r="A2592" t="s">
        <v>326</v>
      </c>
      <c r="B2592" t="s">
        <v>699</v>
      </c>
      <c r="C2592" t="s">
        <v>867</v>
      </c>
      <c r="D2592" t="s">
        <v>11</v>
      </c>
      <c r="E2592">
        <v>24</v>
      </c>
      <c r="F2592" s="2">
        <f>DATE(2026,IF(Tabla1[[#This Row],[Mes de Fecha]]="Septiembre",9,10),Tabla1[[#This Row],[Día de Fecha]])</f>
        <v>46289</v>
      </c>
      <c r="I2592">
        <v>0</v>
      </c>
      <c r="J2592" s="1">
        <v>17703226</v>
      </c>
      <c r="K2592">
        <v>0</v>
      </c>
    </row>
    <row r="2593" spans="1:11" x14ac:dyDescent="0.25">
      <c r="A2593" t="s">
        <v>326</v>
      </c>
      <c r="B2593" t="s">
        <v>699</v>
      </c>
      <c r="C2593" t="s">
        <v>867</v>
      </c>
      <c r="D2593" t="s">
        <v>11</v>
      </c>
      <c r="E2593">
        <v>24</v>
      </c>
      <c r="F2593" s="2">
        <f>DATE(2026,IF(Tabla1[[#This Row],[Mes de Fecha]]="Septiembre",9,10),Tabla1[[#This Row],[Día de Fecha]])</f>
        <v>46289</v>
      </c>
      <c r="G2593">
        <v>1007852100</v>
      </c>
      <c r="H2593" t="s">
        <v>700</v>
      </c>
      <c r="I2593">
        <v>22</v>
      </c>
      <c r="J2593">
        <v>0</v>
      </c>
      <c r="K2593" s="1">
        <v>1436051</v>
      </c>
    </row>
    <row r="2594" spans="1:11" x14ac:dyDescent="0.25">
      <c r="A2594" t="s">
        <v>326</v>
      </c>
      <c r="B2594" t="s">
        <v>699</v>
      </c>
      <c r="C2594" t="s">
        <v>867</v>
      </c>
      <c r="D2594" t="s">
        <v>11</v>
      </c>
      <c r="E2594">
        <v>24</v>
      </c>
      <c r="F2594" s="2">
        <f>DATE(2026,IF(Tabla1[[#This Row],[Mes de Fecha]]="Septiembre",9,10),Tabla1[[#This Row],[Día de Fecha]])</f>
        <v>46289</v>
      </c>
      <c r="G2594">
        <v>1113623464</v>
      </c>
      <c r="H2594" t="s">
        <v>519</v>
      </c>
      <c r="I2594">
        <v>70</v>
      </c>
      <c r="J2594">
        <v>0</v>
      </c>
      <c r="K2594" s="1">
        <v>4448698</v>
      </c>
    </row>
    <row r="2595" spans="1:11" x14ac:dyDescent="0.25">
      <c r="A2595" t="s">
        <v>326</v>
      </c>
      <c r="B2595" t="s">
        <v>699</v>
      </c>
      <c r="C2595" t="s">
        <v>867</v>
      </c>
      <c r="D2595" t="s">
        <v>11</v>
      </c>
      <c r="E2595">
        <v>24</v>
      </c>
      <c r="F2595" s="2">
        <f>DATE(2026,IF(Tabla1[[#This Row],[Mes de Fecha]]="Septiembre",9,10),Tabla1[[#This Row],[Día de Fecha]])</f>
        <v>46289</v>
      </c>
      <c r="G2595">
        <v>1113698946</v>
      </c>
      <c r="H2595" t="s">
        <v>460</v>
      </c>
      <c r="I2595">
        <v>82</v>
      </c>
      <c r="J2595">
        <v>0</v>
      </c>
      <c r="K2595" s="1">
        <v>4469123</v>
      </c>
    </row>
    <row r="2596" spans="1:11" x14ac:dyDescent="0.25">
      <c r="A2596" t="s">
        <v>326</v>
      </c>
      <c r="B2596" t="s">
        <v>699</v>
      </c>
      <c r="C2596" t="s">
        <v>867</v>
      </c>
      <c r="D2596" t="s">
        <v>11</v>
      </c>
      <c r="E2596">
        <v>25</v>
      </c>
      <c r="F2596" s="2">
        <f>DATE(2026,IF(Tabla1[[#This Row],[Mes de Fecha]]="Septiembre",9,10),Tabla1[[#This Row],[Día de Fecha]])</f>
        <v>46290</v>
      </c>
      <c r="I2596">
        <v>0</v>
      </c>
      <c r="J2596" s="1">
        <v>17664035</v>
      </c>
      <c r="K2596">
        <v>0</v>
      </c>
    </row>
    <row r="2597" spans="1:11" x14ac:dyDescent="0.25">
      <c r="A2597" t="s">
        <v>326</v>
      </c>
      <c r="B2597" t="s">
        <v>699</v>
      </c>
      <c r="C2597" t="s">
        <v>867</v>
      </c>
      <c r="D2597" t="s">
        <v>11</v>
      </c>
      <c r="E2597">
        <v>25</v>
      </c>
      <c r="F2597" s="2">
        <f>DATE(2026,IF(Tabla1[[#This Row],[Mes de Fecha]]="Septiembre",9,10),Tabla1[[#This Row],[Día de Fecha]])</f>
        <v>46290</v>
      </c>
      <c r="G2597">
        <v>1007852100</v>
      </c>
      <c r="H2597" t="s">
        <v>700</v>
      </c>
      <c r="I2597">
        <v>28</v>
      </c>
      <c r="J2597">
        <v>0</v>
      </c>
      <c r="K2597" s="1">
        <v>1467270</v>
      </c>
    </row>
    <row r="2598" spans="1:11" x14ac:dyDescent="0.25">
      <c r="A2598" t="s">
        <v>326</v>
      </c>
      <c r="B2598" t="s">
        <v>699</v>
      </c>
      <c r="C2598" t="s">
        <v>867</v>
      </c>
      <c r="D2598" t="s">
        <v>11</v>
      </c>
      <c r="E2598">
        <v>25</v>
      </c>
      <c r="F2598" s="2">
        <f>DATE(2026,IF(Tabla1[[#This Row],[Mes de Fecha]]="Septiembre",9,10),Tabla1[[#This Row],[Día de Fecha]])</f>
        <v>46290</v>
      </c>
      <c r="G2598">
        <v>1113623464</v>
      </c>
      <c r="H2598" t="s">
        <v>519</v>
      </c>
      <c r="I2598">
        <v>79</v>
      </c>
      <c r="J2598">
        <v>0</v>
      </c>
      <c r="K2598" s="1">
        <v>4591223</v>
      </c>
    </row>
    <row r="2599" spans="1:11" x14ac:dyDescent="0.25">
      <c r="A2599" t="s">
        <v>326</v>
      </c>
      <c r="B2599" t="s">
        <v>699</v>
      </c>
      <c r="C2599" t="s">
        <v>867</v>
      </c>
      <c r="D2599" t="s">
        <v>11</v>
      </c>
      <c r="E2599">
        <v>25</v>
      </c>
      <c r="F2599" s="2">
        <f>DATE(2026,IF(Tabla1[[#This Row],[Mes de Fecha]]="Septiembre",9,10),Tabla1[[#This Row],[Día de Fecha]])</f>
        <v>46290</v>
      </c>
      <c r="G2599">
        <v>1113698946</v>
      </c>
      <c r="H2599" t="s">
        <v>460</v>
      </c>
      <c r="I2599">
        <v>82</v>
      </c>
      <c r="J2599">
        <v>0</v>
      </c>
      <c r="K2599" s="1">
        <v>4578497</v>
      </c>
    </row>
    <row r="2600" spans="1:11" x14ac:dyDescent="0.25">
      <c r="A2600" t="s">
        <v>326</v>
      </c>
      <c r="B2600" t="s">
        <v>699</v>
      </c>
      <c r="C2600" t="s">
        <v>867</v>
      </c>
      <c r="D2600" t="s">
        <v>11</v>
      </c>
      <c r="E2600">
        <v>26</v>
      </c>
      <c r="F2600" s="2">
        <f>DATE(2026,IF(Tabla1[[#This Row],[Mes de Fecha]]="Septiembre",9,10),Tabla1[[#This Row],[Día de Fecha]])</f>
        <v>46291</v>
      </c>
      <c r="I2600">
        <v>0</v>
      </c>
      <c r="J2600" s="1">
        <v>25385756</v>
      </c>
      <c r="K2600">
        <v>0</v>
      </c>
    </row>
    <row r="2601" spans="1:11" x14ac:dyDescent="0.25">
      <c r="A2601" t="s">
        <v>326</v>
      </c>
      <c r="B2601" t="s">
        <v>699</v>
      </c>
      <c r="C2601" t="s">
        <v>867</v>
      </c>
      <c r="D2601" t="s">
        <v>11</v>
      </c>
      <c r="E2601">
        <v>26</v>
      </c>
      <c r="F2601" s="2">
        <f>DATE(2026,IF(Tabla1[[#This Row],[Mes de Fecha]]="Septiembre",9,10),Tabla1[[#This Row],[Día de Fecha]])</f>
        <v>46291</v>
      </c>
      <c r="G2601">
        <v>1007852100</v>
      </c>
      <c r="H2601" t="s">
        <v>700</v>
      </c>
      <c r="I2601">
        <v>31</v>
      </c>
      <c r="J2601">
        <v>0</v>
      </c>
      <c r="K2601" s="1">
        <v>1788448</v>
      </c>
    </row>
    <row r="2602" spans="1:11" x14ac:dyDescent="0.25">
      <c r="A2602" t="s">
        <v>326</v>
      </c>
      <c r="B2602" t="s">
        <v>699</v>
      </c>
      <c r="C2602" t="s">
        <v>867</v>
      </c>
      <c r="D2602" t="s">
        <v>11</v>
      </c>
      <c r="E2602">
        <v>26</v>
      </c>
      <c r="F2602" s="2">
        <f>DATE(2026,IF(Tabla1[[#This Row],[Mes de Fecha]]="Septiembre",9,10),Tabla1[[#This Row],[Día de Fecha]])</f>
        <v>46291</v>
      </c>
      <c r="G2602">
        <v>1113623464</v>
      </c>
      <c r="H2602" t="s">
        <v>519</v>
      </c>
      <c r="I2602">
        <v>132</v>
      </c>
      <c r="J2602">
        <v>0</v>
      </c>
      <c r="K2602" s="1">
        <v>8252694</v>
      </c>
    </row>
    <row r="2603" spans="1:11" x14ac:dyDescent="0.25">
      <c r="A2603" t="s">
        <v>326</v>
      </c>
      <c r="B2603" t="s">
        <v>699</v>
      </c>
      <c r="C2603" t="s">
        <v>867</v>
      </c>
      <c r="D2603" t="s">
        <v>11</v>
      </c>
      <c r="E2603">
        <v>26</v>
      </c>
      <c r="F2603" s="2">
        <f>DATE(2026,IF(Tabla1[[#This Row],[Mes de Fecha]]="Septiembre",9,10),Tabla1[[#This Row],[Día de Fecha]])</f>
        <v>46291</v>
      </c>
      <c r="G2603">
        <v>1113698946</v>
      </c>
      <c r="H2603" t="s">
        <v>460</v>
      </c>
      <c r="I2603">
        <v>127</v>
      </c>
      <c r="J2603">
        <v>0</v>
      </c>
      <c r="K2603" s="1">
        <v>7332781</v>
      </c>
    </row>
    <row r="2604" spans="1:11" x14ac:dyDescent="0.25">
      <c r="A2604" t="s">
        <v>326</v>
      </c>
      <c r="B2604" t="s">
        <v>699</v>
      </c>
      <c r="C2604" t="s">
        <v>867</v>
      </c>
      <c r="D2604" t="s">
        <v>11</v>
      </c>
      <c r="E2604">
        <v>27</v>
      </c>
      <c r="F2604" s="2">
        <f>DATE(2026,IF(Tabla1[[#This Row],[Mes de Fecha]]="Septiembre",9,10),Tabla1[[#This Row],[Día de Fecha]])</f>
        <v>46292</v>
      </c>
      <c r="I2604">
        <v>0</v>
      </c>
      <c r="J2604" s="1">
        <v>20110629</v>
      </c>
      <c r="K2604">
        <v>0</v>
      </c>
    </row>
    <row r="2605" spans="1:11" x14ac:dyDescent="0.25">
      <c r="A2605" t="s">
        <v>326</v>
      </c>
      <c r="B2605" t="s">
        <v>699</v>
      </c>
      <c r="C2605" t="s">
        <v>867</v>
      </c>
      <c r="D2605" t="s">
        <v>11</v>
      </c>
      <c r="E2605">
        <v>27</v>
      </c>
      <c r="F2605" s="2">
        <f>DATE(2026,IF(Tabla1[[#This Row],[Mes de Fecha]]="Septiembre",9,10),Tabla1[[#This Row],[Día de Fecha]])</f>
        <v>46292</v>
      </c>
      <c r="G2605">
        <v>1007700430</v>
      </c>
      <c r="H2605" t="s">
        <v>404</v>
      </c>
      <c r="I2605">
        <v>-1</v>
      </c>
      <c r="J2605">
        <v>0</v>
      </c>
      <c r="K2605" s="1">
        <v>-37773</v>
      </c>
    </row>
    <row r="2606" spans="1:11" x14ac:dyDescent="0.25">
      <c r="A2606" t="s">
        <v>326</v>
      </c>
      <c r="B2606" t="s">
        <v>699</v>
      </c>
      <c r="C2606" t="s">
        <v>867</v>
      </c>
      <c r="D2606" t="s">
        <v>11</v>
      </c>
      <c r="E2606">
        <v>27</v>
      </c>
      <c r="F2606" s="2">
        <f>DATE(2026,IF(Tabla1[[#This Row],[Mes de Fecha]]="Septiembre",9,10),Tabla1[[#This Row],[Día de Fecha]])</f>
        <v>46292</v>
      </c>
      <c r="G2606">
        <v>1007852100</v>
      </c>
      <c r="H2606" t="s">
        <v>700</v>
      </c>
      <c r="I2606">
        <v>28</v>
      </c>
      <c r="J2606">
        <v>0</v>
      </c>
      <c r="K2606" s="1">
        <v>1570253</v>
      </c>
    </row>
    <row r="2607" spans="1:11" x14ac:dyDescent="0.25">
      <c r="A2607" t="s">
        <v>326</v>
      </c>
      <c r="B2607" t="s">
        <v>699</v>
      </c>
      <c r="C2607" t="s">
        <v>867</v>
      </c>
      <c r="D2607" t="s">
        <v>11</v>
      </c>
      <c r="E2607">
        <v>27</v>
      </c>
      <c r="F2607" s="2">
        <f>DATE(2026,IF(Tabla1[[#This Row],[Mes de Fecha]]="Septiembre",9,10),Tabla1[[#This Row],[Día de Fecha]])</f>
        <v>46292</v>
      </c>
      <c r="G2607">
        <v>1104805189</v>
      </c>
      <c r="H2607" t="s">
        <v>579</v>
      </c>
      <c r="I2607">
        <v>-1</v>
      </c>
      <c r="J2607">
        <v>0</v>
      </c>
      <c r="K2607" s="1">
        <v>-50378</v>
      </c>
    </row>
    <row r="2608" spans="1:11" x14ac:dyDescent="0.25">
      <c r="A2608" t="s">
        <v>326</v>
      </c>
      <c r="B2608" t="s">
        <v>699</v>
      </c>
      <c r="C2608" t="s">
        <v>867</v>
      </c>
      <c r="D2608" t="s">
        <v>11</v>
      </c>
      <c r="E2608">
        <v>27</v>
      </c>
      <c r="F2608" s="2">
        <f>DATE(2026,IF(Tabla1[[#This Row],[Mes de Fecha]]="Septiembre",9,10),Tabla1[[#This Row],[Día de Fecha]])</f>
        <v>46292</v>
      </c>
      <c r="G2608">
        <v>1113623464</v>
      </c>
      <c r="H2608" t="s">
        <v>519</v>
      </c>
      <c r="I2608">
        <v>145</v>
      </c>
      <c r="J2608">
        <v>0</v>
      </c>
      <c r="K2608" s="1">
        <v>8302442</v>
      </c>
    </row>
    <row r="2609" spans="1:11" x14ac:dyDescent="0.25">
      <c r="A2609" t="s">
        <v>326</v>
      </c>
      <c r="B2609" t="s">
        <v>699</v>
      </c>
      <c r="C2609" t="s">
        <v>867</v>
      </c>
      <c r="D2609" t="s">
        <v>11</v>
      </c>
      <c r="E2609">
        <v>27</v>
      </c>
      <c r="F2609" s="2">
        <f>DATE(2026,IF(Tabla1[[#This Row],[Mes de Fecha]]="Septiembre",9,10),Tabla1[[#This Row],[Día de Fecha]])</f>
        <v>46292</v>
      </c>
      <c r="G2609">
        <v>1113698946</v>
      </c>
      <c r="H2609" t="s">
        <v>460</v>
      </c>
      <c r="I2609">
        <v>189</v>
      </c>
      <c r="J2609">
        <v>0</v>
      </c>
      <c r="K2609" s="1">
        <v>10600850</v>
      </c>
    </row>
    <row r="2610" spans="1:11" x14ac:dyDescent="0.25">
      <c r="A2610" t="s">
        <v>326</v>
      </c>
      <c r="B2610" t="s">
        <v>699</v>
      </c>
      <c r="C2610" t="s">
        <v>867</v>
      </c>
      <c r="D2610" t="s">
        <v>11</v>
      </c>
      <c r="E2610">
        <v>28</v>
      </c>
      <c r="F2610" s="2">
        <f>DATE(2026,IF(Tabla1[[#This Row],[Mes de Fecha]]="Septiembre",9,10),Tabla1[[#This Row],[Día de Fecha]])</f>
        <v>46293</v>
      </c>
      <c r="I2610">
        <v>0</v>
      </c>
      <c r="J2610" s="1">
        <v>11068064</v>
      </c>
      <c r="K2610">
        <v>0</v>
      </c>
    </row>
    <row r="2611" spans="1:11" x14ac:dyDescent="0.25">
      <c r="A2611" t="s">
        <v>326</v>
      </c>
      <c r="B2611" t="s">
        <v>699</v>
      </c>
      <c r="C2611" t="s">
        <v>867</v>
      </c>
      <c r="D2611" t="s">
        <v>11</v>
      </c>
      <c r="E2611">
        <v>28</v>
      </c>
      <c r="F2611" s="2">
        <f>DATE(2026,IF(Tabla1[[#This Row],[Mes de Fecha]]="Septiembre",9,10),Tabla1[[#This Row],[Día de Fecha]])</f>
        <v>46293</v>
      </c>
      <c r="G2611">
        <v>1007852100</v>
      </c>
      <c r="H2611" t="s">
        <v>700</v>
      </c>
      <c r="I2611">
        <v>12</v>
      </c>
      <c r="J2611">
        <v>0</v>
      </c>
      <c r="K2611" s="1">
        <v>499498</v>
      </c>
    </row>
    <row r="2612" spans="1:11" x14ac:dyDescent="0.25">
      <c r="A2612" t="s">
        <v>326</v>
      </c>
      <c r="B2612" t="s">
        <v>699</v>
      </c>
      <c r="C2612" t="s">
        <v>867</v>
      </c>
      <c r="D2612" t="s">
        <v>11</v>
      </c>
      <c r="E2612">
        <v>28</v>
      </c>
      <c r="F2612" s="2">
        <f>DATE(2026,IF(Tabla1[[#This Row],[Mes de Fecha]]="Septiembre",9,10),Tabla1[[#This Row],[Día de Fecha]])</f>
        <v>46293</v>
      </c>
      <c r="G2612">
        <v>1113623464</v>
      </c>
      <c r="H2612" t="s">
        <v>519</v>
      </c>
      <c r="I2612">
        <v>69</v>
      </c>
      <c r="J2612">
        <v>0</v>
      </c>
      <c r="K2612" s="1">
        <v>4013698</v>
      </c>
    </row>
    <row r="2613" spans="1:11" x14ac:dyDescent="0.25">
      <c r="A2613" t="s">
        <v>326</v>
      </c>
      <c r="B2613" t="s">
        <v>699</v>
      </c>
      <c r="C2613" t="s">
        <v>867</v>
      </c>
      <c r="D2613" t="s">
        <v>11</v>
      </c>
      <c r="E2613">
        <v>28</v>
      </c>
      <c r="F2613" s="2">
        <f>DATE(2026,IF(Tabla1[[#This Row],[Mes de Fecha]]="Septiembre",9,10),Tabla1[[#This Row],[Día de Fecha]])</f>
        <v>46293</v>
      </c>
      <c r="G2613">
        <v>1113698946</v>
      </c>
      <c r="H2613" t="s">
        <v>460</v>
      </c>
      <c r="I2613">
        <v>93</v>
      </c>
      <c r="J2613">
        <v>0</v>
      </c>
      <c r="K2613" s="1">
        <v>5819458</v>
      </c>
    </row>
    <row r="2614" spans="1:11" x14ac:dyDescent="0.25">
      <c r="A2614" t="s">
        <v>326</v>
      </c>
      <c r="B2614" t="s">
        <v>699</v>
      </c>
      <c r="C2614" t="s">
        <v>867</v>
      </c>
      <c r="D2614" t="s">
        <v>11</v>
      </c>
      <c r="E2614">
        <v>29</v>
      </c>
      <c r="F2614" s="2">
        <f>DATE(2026,IF(Tabla1[[#This Row],[Mes de Fecha]]="Septiembre",9,10),Tabla1[[#This Row],[Día de Fecha]])</f>
        <v>46294</v>
      </c>
      <c r="I2614">
        <v>0</v>
      </c>
      <c r="J2614" s="1">
        <v>11822861</v>
      </c>
      <c r="K2614">
        <v>0</v>
      </c>
    </row>
    <row r="2615" spans="1:11" x14ac:dyDescent="0.25">
      <c r="A2615" t="s">
        <v>326</v>
      </c>
      <c r="B2615" t="s">
        <v>699</v>
      </c>
      <c r="C2615" t="s">
        <v>867</v>
      </c>
      <c r="D2615" t="s">
        <v>11</v>
      </c>
      <c r="E2615">
        <v>29</v>
      </c>
      <c r="F2615" s="2">
        <f>DATE(2026,IF(Tabla1[[#This Row],[Mes de Fecha]]="Septiembre",9,10),Tabla1[[#This Row],[Día de Fecha]])</f>
        <v>46294</v>
      </c>
      <c r="G2615">
        <v>1007852100</v>
      </c>
      <c r="H2615" t="s">
        <v>700</v>
      </c>
      <c r="I2615">
        <v>28</v>
      </c>
      <c r="J2615">
        <v>0</v>
      </c>
      <c r="K2615" s="1">
        <v>1704623</v>
      </c>
    </row>
    <row r="2616" spans="1:11" x14ac:dyDescent="0.25">
      <c r="A2616" t="s">
        <v>326</v>
      </c>
      <c r="B2616" t="s">
        <v>699</v>
      </c>
      <c r="C2616" t="s">
        <v>867</v>
      </c>
      <c r="D2616" t="s">
        <v>11</v>
      </c>
      <c r="E2616">
        <v>29</v>
      </c>
      <c r="F2616" s="2">
        <f>DATE(2026,IF(Tabla1[[#This Row],[Mes de Fecha]]="Septiembre",9,10),Tabla1[[#This Row],[Día de Fecha]])</f>
        <v>46294</v>
      </c>
      <c r="G2616">
        <v>1080040843</v>
      </c>
      <c r="H2616" t="s">
        <v>691</v>
      </c>
      <c r="I2616">
        <v>-1</v>
      </c>
      <c r="J2616">
        <v>0</v>
      </c>
      <c r="K2616" s="1">
        <v>-100798</v>
      </c>
    </row>
    <row r="2617" spans="1:11" x14ac:dyDescent="0.25">
      <c r="A2617" t="s">
        <v>326</v>
      </c>
      <c r="B2617" t="s">
        <v>699</v>
      </c>
      <c r="C2617" t="s">
        <v>867</v>
      </c>
      <c r="D2617" t="s">
        <v>11</v>
      </c>
      <c r="E2617">
        <v>29</v>
      </c>
      <c r="F2617" s="2">
        <f>DATE(2026,IF(Tabla1[[#This Row],[Mes de Fecha]]="Septiembre",9,10),Tabla1[[#This Row],[Día de Fecha]])</f>
        <v>46294</v>
      </c>
      <c r="G2617">
        <v>1113623464</v>
      </c>
      <c r="H2617" t="s">
        <v>519</v>
      </c>
      <c r="I2617">
        <v>75</v>
      </c>
      <c r="J2617">
        <v>0</v>
      </c>
      <c r="K2617" s="1">
        <v>4868659</v>
      </c>
    </row>
    <row r="2618" spans="1:11" x14ac:dyDescent="0.25">
      <c r="A2618" t="s">
        <v>326</v>
      </c>
      <c r="B2618" t="s">
        <v>699</v>
      </c>
      <c r="C2618" t="s">
        <v>867</v>
      </c>
      <c r="D2618" t="s">
        <v>11</v>
      </c>
      <c r="E2618">
        <v>29</v>
      </c>
      <c r="F2618" s="2">
        <f>DATE(2026,IF(Tabla1[[#This Row],[Mes de Fecha]]="Septiembre",9,10),Tabla1[[#This Row],[Día de Fecha]])</f>
        <v>46294</v>
      </c>
      <c r="G2618">
        <v>1113698946</v>
      </c>
      <c r="H2618" t="s">
        <v>460</v>
      </c>
      <c r="I2618">
        <v>88</v>
      </c>
      <c r="J2618">
        <v>0</v>
      </c>
      <c r="K2618" s="1">
        <v>5153491</v>
      </c>
    </row>
    <row r="2619" spans="1:11" x14ac:dyDescent="0.25">
      <c r="A2619" t="s">
        <v>326</v>
      </c>
      <c r="B2619" t="s">
        <v>699</v>
      </c>
      <c r="C2619" t="s">
        <v>867</v>
      </c>
      <c r="D2619" t="s">
        <v>11</v>
      </c>
      <c r="E2619">
        <v>29</v>
      </c>
      <c r="F2619" s="2">
        <f>DATE(2026,IF(Tabla1[[#This Row],[Mes de Fecha]]="Septiembre",9,10),Tabla1[[#This Row],[Día de Fecha]])</f>
        <v>46294</v>
      </c>
      <c r="G2619">
        <v>1192813746</v>
      </c>
      <c r="H2619" t="s">
        <v>694</v>
      </c>
      <c r="I2619">
        <v>-1</v>
      </c>
      <c r="J2619">
        <v>0</v>
      </c>
      <c r="K2619" s="1">
        <v>-109202</v>
      </c>
    </row>
    <row r="2620" spans="1:11" x14ac:dyDescent="0.25">
      <c r="A2620" t="s">
        <v>326</v>
      </c>
      <c r="B2620" t="s">
        <v>699</v>
      </c>
      <c r="C2620" t="s">
        <v>867</v>
      </c>
      <c r="D2620" t="s">
        <v>11</v>
      </c>
      <c r="E2620">
        <v>30</v>
      </c>
      <c r="F2620" s="2">
        <f>DATE(2026,IF(Tabla1[[#This Row],[Mes de Fecha]]="Septiembre",9,10),Tabla1[[#This Row],[Día de Fecha]])</f>
        <v>46295</v>
      </c>
      <c r="I2620">
        <v>0</v>
      </c>
      <c r="J2620" s="1">
        <v>12213225</v>
      </c>
      <c r="K2620">
        <v>0</v>
      </c>
    </row>
    <row r="2621" spans="1:11" x14ac:dyDescent="0.25">
      <c r="A2621" t="s">
        <v>326</v>
      </c>
      <c r="B2621" t="s">
        <v>699</v>
      </c>
      <c r="C2621" t="s">
        <v>867</v>
      </c>
      <c r="D2621" t="s">
        <v>11</v>
      </c>
      <c r="E2621">
        <v>30</v>
      </c>
      <c r="F2621" s="2">
        <f>DATE(2026,IF(Tabla1[[#This Row],[Mes de Fecha]]="Septiembre",9,10),Tabla1[[#This Row],[Día de Fecha]])</f>
        <v>46295</v>
      </c>
      <c r="G2621">
        <v>1007852100</v>
      </c>
      <c r="H2621" t="s">
        <v>700</v>
      </c>
      <c r="I2621">
        <v>30</v>
      </c>
      <c r="J2621">
        <v>0</v>
      </c>
      <c r="K2621" s="1">
        <v>1847439</v>
      </c>
    </row>
    <row r="2622" spans="1:11" x14ac:dyDescent="0.25">
      <c r="A2622" t="s">
        <v>326</v>
      </c>
      <c r="B2622" t="s">
        <v>699</v>
      </c>
      <c r="C2622" t="s">
        <v>867</v>
      </c>
      <c r="D2622" t="s">
        <v>11</v>
      </c>
      <c r="E2622">
        <v>30</v>
      </c>
      <c r="F2622" s="2">
        <f>DATE(2026,IF(Tabla1[[#This Row],[Mes de Fecha]]="Septiembre",9,10),Tabla1[[#This Row],[Día de Fecha]])</f>
        <v>46295</v>
      </c>
      <c r="G2622">
        <v>1113623464</v>
      </c>
      <c r="H2622" t="s">
        <v>519</v>
      </c>
      <c r="I2622">
        <v>85</v>
      </c>
      <c r="J2622">
        <v>0</v>
      </c>
      <c r="K2622" s="1">
        <v>4790381</v>
      </c>
    </row>
    <row r="2623" spans="1:11" x14ac:dyDescent="0.25">
      <c r="A2623" t="s">
        <v>326</v>
      </c>
      <c r="B2623" t="s">
        <v>699</v>
      </c>
      <c r="C2623" t="s">
        <v>867</v>
      </c>
      <c r="D2623" t="s">
        <v>11</v>
      </c>
      <c r="E2623">
        <v>30</v>
      </c>
      <c r="F2623" s="2">
        <f>DATE(2026,IF(Tabla1[[#This Row],[Mes de Fecha]]="Septiembre",9,10),Tabla1[[#This Row],[Día de Fecha]])</f>
        <v>46295</v>
      </c>
      <c r="G2623">
        <v>1113698946</v>
      </c>
      <c r="H2623" t="s">
        <v>460</v>
      </c>
      <c r="I2623">
        <v>96</v>
      </c>
      <c r="J2623">
        <v>0</v>
      </c>
      <c r="K2623" s="1">
        <v>5334077</v>
      </c>
    </row>
    <row r="2624" spans="1:11" x14ac:dyDescent="0.25">
      <c r="A2624" t="s">
        <v>326</v>
      </c>
      <c r="B2624" t="s">
        <v>699</v>
      </c>
      <c r="C2624" t="s">
        <v>867</v>
      </c>
      <c r="D2624" t="s">
        <v>14</v>
      </c>
      <c r="E2624">
        <v>1</v>
      </c>
      <c r="F2624" s="2">
        <f>DATE(2026,IF(Tabla1[[#This Row],[Mes de Fecha]]="Septiembre",9,10),Tabla1[[#This Row],[Día de Fecha]])</f>
        <v>46296</v>
      </c>
      <c r="I2624">
        <v>0</v>
      </c>
      <c r="J2624" s="1">
        <v>13350091</v>
      </c>
      <c r="K2624">
        <v>0</v>
      </c>
    </row>
    <row r="2625" spans="1:11" x14ac:dyDescent="0.25">
      <c r="A2625" t="s">
        <v>326</v>
      </c>
      <c r="B2625" t="s">
        <v>699</v>
      </c>
      <c r="C2625" t="s">
        <v>867</v>
      </c>
      <c r="D2625" t="s">
        <v>14</v>
      </c>
      <c r="E2625">
        <v>1</v>
      </c>
      <c r="F2625" s="2">
        <f>DATE(2026,IF(Tabla1[[#This Row],[Mes de Fecha]]="Septiembre",9,10),Tabla1[[#This Row],[Día de Fecha]])</f>
        <v>46296</v>
      </c>
      <c r="G2625">
        <v>1007852100</v>
      </c>
      <c r="H2625" t="s">
        <v>700</v>
      </c>
      <c r="I2625">
        <v>28</v>
      </c>
      <c r="J2625">
        <v>0</v>
      </c>
      <c r="K2625" s="1">
        <v>1446218</v>
      </c>
    </row>
    <row r="2626" spans="1:11" x14ac:dyDescent="0.25">
      <c r="A2626" t="s">
        <v>326</v>
      </c>
      <c r="B2626" t="s">
        <v>699</v>
      </c>
      <c r="C2626" t="s">
        <v>867</v>
      </c>
      <c r="D2626" t="s">
        <v>14</v>
      </c>
      <c r="E2626">
        <v>1</v>
      </c>
      <c r="F2626" s="2">
        <f>DATE(2026,IF(Tabla1[[#This Row],[Mes de Fecha]]="Septiembre",9,10),Tabla1[[#This Row],[Día de Fecha]])</f>
        <v>46296</v>
      </c>
      <c r="G2626">
        <v>1109185235</v>
      </c>
      <c r="H2626" t="s">
        <v>512</v>
      </c>
      <c r="I2626">
        <v>-1</v>
      </c>
      <c r="J2626">
        <v>0</v>
      </c>
      <c r="K2626" s="1">
        <v>-50378</v>
      </c>
    </row>
    <row r="2627" spans="1:11" x14ac:dyDescent="0.25">
      <c r="A2627" t="s">
        <v>326</v>
      </c>
      <c r="B2627" t="s">
        <v>699</v>
      </c>
      <c r="C2627" t="s">
        <v>867</v>
      </c>
      <c r="D2627" t="s">
        <v>14</v>
      </c>
      <c r="E2627">
        <v>1</v>
      </c>
      <c r="F2627" s="2">
        <f>DATE(2026,IF(Tabla1[[#This Row],[Mes de Fecha]]="Septiembre",9,10),Tabla1[[#This Row],[Día de Fecha]])</f>
        <v>46296</v>
      </c>
      <c r="G2627">
        <v>1113623464</v>
      </c>
      <c r="H2627" t="s">
        <v>519</v>
      </c>
      <c r="I2627">
        <v>56</v>
      </c>
      <c r="J2627">
        <v>0</v>
      </c>
      <c r="K2627" s="1">
        <v>3300090</v>
      </c>
    </row>
    <row r="2628" spans="1:11" x14ac:dyDescent="0.25">
      <c r="A2628" t="s">
        <v>326</v>
      </c>
      <c r="B2628" t="s">
        <v>699</v>
      </c>
      <c r="C2628" t="s">
        <v>867</v>
      </c>
      <c r="D2628" t="s">
        <v>14</v>
      </c>
      <c r="E2628">
        <v>1</v>
      </c>
      <c r="F2628" s="2">
        <f>DATE(2026,IF(Tabla1[[#This Row],[Mes de Fecha]]="Septiembre",9,10),Tabla1[[#This Row],[Día de Fecha]])</f>
        <v>46296</v>
      </c>
      <c r="G2628">
        <v>1113698946</v>
      </c>
      <c r="H2628" t="s">
        <v>460</v>
      </c>
      <c r="I2628">
        <v>56</v>
      </c>
      <c r="J2628">
        <v>0</v>
      </c>
      <c r="K2628" s="1">
        <v>3090004</v>
      </c>
    </row>
    <row r="2629" spans="1:11" x14ac:dyDescent="0.25">
      <c r="A2629" t="s">
        <v>326</v>
      </c>
      <c r="B2629" t="s">
        <v>699</v>
      </c>
      <c r="C2629" t="s">
        <v>867</v>
      </c>
      <c r="D2629" t="s">
        <v>14</v>
      </c>
      <c r="E2629">
        <v>2</v>
      </c>
      <c r="F2629" s="2">
        <f>DATE(2026,IF(Tabla1[[#This Row],[Mes de Fecha]]="Septiembre",9,10),Tabla1[[#This Row],[Día de Fecha]])</f>
        <v>46297</v>
      </c>
      <c r="I2629">
        <v>0</v>
      </c>
      <c r="J2629" s="1">
        <v>9952139</v>
      </c>
      <c r="K2629">
        <v>0</v>
      </c>
    </row>
    <row r="2630" spans="1:11" x14ac:dyDescent="0.25">
      <c r="A2630" t="s">
        <v>326</v>
      </c>
      <c r="B2630" t="s">
        <v>699</v>
      </c>
      <c r="C2630" t="s">
        <v>867</v>
      </c>
      <c r="D2630" t="s">
        <v>14</v>
      </c>
      <c r="E2630">
        <v>2</v>
      </c>
      <c r="F2630" s="2">
        <f>DATE(2026,IF(Tabla1[[#This Row],[Mes de Fecha]]="Septiembre",9,10),Tabla1[[#This Row],[Día de Fecha]])</f>
        <v>46297</v>
      </c>
      <c r="G2630">
        <v>1007852100</v>
      </c>
      <c r="H2630" t="s">
        <v>700</v>
      </c>
      <c r="I2630">
        <v>18</v>
      </c>
      <c r="J2630">
        <v>0</v>
      </c>
      <c r="K2630" s="1">
        <v>1058027</v>
      </c>
    </row>
    <row r="2631" spans="1:11" x14ac:dyDescent="0.25">
      <c r="A2631" t="s">
        <v>326</v>
      </c>
      <c r="B2631" t="s">
        <v>699</v>
      </c>
      <c r="C2631" t="s">
        <v>867</v>
      </c>
      <c r="D2631" t="s">
        <v>14</v>
      </c>
      <c r="E2631">
        <v>2</v>
      </c>
      <c r="F2631" s="2">
        <f>DATE(2026,IF(Tabla1[[#This Row],[Mes de Fecha]]="Septiembre",9,10),Tabla1[[#This Row],[Día de Fecha]])</f>
        <v>46297</v>
      </c>
      <c r="G2631">
        <v>1113623464</v>
      </c>
      <c r="H2631" t="s">
        <v>519</v>
      </c>
      <c r="I2631">
        <v>60</v>
      </c>
      <c r="J2631">
        <v>0</v>
      </c>
      <c r="K2631" s="1">
        <v>3167483</v>
      </c>
    </row>
    <row r="2632" spans="1:11" x14ac:dyDescent="0.25">
      <c r="A2632" t="s">
        <v>326</v>
      </c>
      <c r="B2632" t="s">
        <v>699</v>
      </c>
      <c r="C2632" t="s">
        <v>867</v>
      </c>
      <c r="D2632" t="s">
        <v>14</v>
      </c>
      <c r="E2632">
        <v>2</v>
      </c>
      <c r="F2632" s="2">
        <f>DATE(2026,IF(Tabla1[[#This Row],[Mes de Fecha]]="Septiembre",9,10),Tabla1[[#This Row],[Día de Fecha]])</f>
        <v>46297</v>
      </c>
      <c r="G2632">
        <v>1113698946</v>
      </c>
      <c r="H2632" t="s">
        <v>460</v>
      </c>
      <c r="I2632">
        <v>63</v>
      </c>
      <c r="J2632">
        <v>0</v>
      </c>
      <c r="K2632" s="1">
        <v>3270177</v>
      </c>
    </row>
    <row r="2633" spans="1:11" x14ac:dyDescent="0.25">
      <c r="A2633" t="s">
        <v>326</v>
      </c>
      <c r="B2633" t="s">
        <v>699</v>
      </c>
      <c r="C2633" t="s">
        <v>867</v>
      </c>
      <c r="D2633" t="s">
        <v>14</v>
      </c>
      <c r="E2633">
        <v>3</v>
      </c>
      <c r="F2633" s="2">
        <f>DATE(2026,IF(Tabla1[[#This Row],[Mes de Fecha]]="Septiembre",9,10),Tabla1[[#This Row],[Día de Fecha]])</f>
        <v>46298</v>
      </c>
      <c r="I2633">
        <v>0</v>
      </c>
      <c r="J2633" s="1">
        <v>15113545</v>
      </c>
      <c r="K2633">
        <v>0</v>
      </c>
    </row>
    <row r="2634" spans="1:11" x14ac:dyDescent="0.25">
      <c r="A2634" t="s">
        <v>326</v>
      </c>
      <c r="B2634" t="s">
        <v>699</v>
      </c>
      <c r="C2634" t="s">
        <v>867</v>
      </c>
      <c r="D2634" t="s">
        <v>14</v>
      </c>
      <c r="E2634">
        <v>3</v>
      </c>
      <c r="F2634" s="2">
        <f>DATE(2026,IF(Tabla1[[#This Row],[Mes de Fecha]]="Septiembre",9,10),Tabla1[[#This Row],[Día de Fecha]])</f>
        <v>46298</v>
      </c>
      <c r="G2634">
        <v>1007700430</v>
      </c>
      <c r="H2634" t="s">
        <v>404</v>
      </c>
      <c r="I2634">
        <v>-1</v>
      </c>
      <c r="J2634">
        <v>0</v>
      </c>
      <c r="K2634" s="1">
        <v>-46177</v>
      </c>
    </row>
    <row r="2635" spans="1:11" x14ac:dyDescent="0.25">
      <c r="A2635" t="s">
        <v>326</v>
      </c>
      <c r="B2635" t="s">
        <v>699</v>
      </c>
      <c r="C2635" t="s">
        <v>867</v>
      </c>
      <c r="D2635" t="s">
        <v>14</v>
      </c>
      <c r="E2635">
        <v>3</v>
      </c>
      <c r="F2635" s="2">
        <f>DATE(2026,IF(Tabla1[[#This Row],[Mes de Fecha]]="Septiembre",9,10),Tabla1[[#This Row],[Día de Fecha]])</f>
        <v>46298</v>
      </c>
      <c r="G2635">
        <v>1007852100</v>
      </c>
      <c r="H2635" t="s">
        <v>700</v>
      </c>
      <c r="I2635">
        <v>63</v>
      </c>
      <c r="J2635">
        <v>0</v>
      </c>
      <c r="K2635" s="1">
        <v>3506239</v>
      </c>
    </row>
    <row r="2636" spans="1:11" x14ac:dyDescent="0.25">
      <c r="A2636" t="s">
        <v>326</v>
      </c>
      <c r="B2636" t="s">
        <v>699</v>
      </c>
      <c r="C2636" t="s">
        <v>867</v>
      </c>
      <c r="D2636" t="s">
        <v>14</v>
      </c>
      <c r="E2636">
        <v>3</v>
      </c>
      <c r="F2636" s="2">
        <f>DATE(2026,IF(Tabla1[[#This Row],[Mes de Fecha]]="Septiembre",9,10),Tabla1[[#This Row],[Día de Fecha]])</f>
        <v>46298</v>
      </c>
      <c r="G2636">
        <v>1109185235</v>
      </c>
      <c r="H2636" t="s">
        <v>512</v>
      </c>
      <c r="I2636">
        <v>-2</v>
      </c>
      <c r="J2636">
        <v>0</v>
      </c>
      <c r="K2636" s="1">
        <v>-104958</v>
      </c>
    </row>
    <row r="2637" spans="1:11" x14ac:dyDescent="0.25">
      <c r="A2637" t="s">
        <v>326</v>
      </c>
      <c r="B2637" t="s">
        <v>699</v>
      </c>
      <c r="C2637" t="s">
        <v>867</v>
      </c>
      <c r="D2637" t="s">
        <v>14</v>
      </c>
      <c r="E2637">
        <v>3</v>
      </c>
      <c r="F2637" s="2">
        <f>DATE(2026,IF(Tabla1[[#This Row],[Mes de Fecha]]="Septiembre",9,10),Tabla1[[#This Row],[Día de Fecha]])</f>
        <v>46298</v>
      </c>
      <c r="G2637">
        <v>1113623464</v>
      </c>
      <c r="H2637" t="s">
        <v>519</v>
      </c>
      <c r="I2637">
        <v>132</v>
      </c>
      <c r="J2637">
        <v>0</v>
      </c>
      <c r="K2637" s="1">
        <v>6577311</v>
      </c>
    </row>
    <row r="2638" spans="1:11" x14ac:dyDescent="0.25">
      <c r="A2638" t="s">
        <v>326</v>
      </c>
      <c r="B2638" t="s">
        <v>699</v>
      </c>
      <c r="C2638" t="s">
        <v>867</v>
      </c>
      <c r="D2638" t="s">
        <v>14</v>
      </c>
      <c r="E2638">
        <v>3</v>
      </c>
      <c r="F2638" s="2">
        <f>DATE(2026,IF(Tabla1[[#This Row],[Mes de Fecha]]="Septiembre",9,10),Tabla1[[#This Row],[Día de Fecha]])</f>
        <v>46298</v>
      </c>
      <c r="G2638">
        <v>1113698946</v>
      </c>
      <c r="H2638" t="s">
        <v>460</v>
      </c>
      <c r="I2638">
        <v>136</v>
      </c>
      <c r="J2638">
        <v>0</v>
      </c>
      <c r="K2638" s="1">
        <v>7554114</v>
      </c>
    </row>
    <row r="2639" spans="1:11" x14ac:dyDescent="0.25">
      <c r="A2639" t="s">
        <v>326</v>
      </c>
      <c r="B2639" t="s">
        <v>699</v>
      </c>
      <c r="C2639" t="s">
        <v>867</v>
      </c>
      <c r="D2639" t="s">
        <v>14</v>
      </c>
      <c r="E2639">
        <v>4</v>
      </c>
      <c r="F2639" s="2">
        <f>DATE(2026,IF(Tabla1[[#This Row],[Mes de Fecha]]="Septiembre",9,10),Tabla1[[#This Row],[Día de Fecha]])</f>
        <v>46299</v>
      </c>
      <c r="I2639">
        <v>0</v>
      </c>
      <c r="J2639" s="1">
        <v>15204020</v>
      </c>
      <c r="K2639">
        <v>0</v>
      </c>
    </row>
    <row r="2640" spans="1:11" x14ac:dyDescent="0.25">
      <c r="A2640" t="s">
        <v>326</v>
      </c>
      <c r="B2640" t="s">
        <v>699</v>
      </c>
      <c r="C2640" t="s">
        <v>867</v>
      </c>
      <c r="D2640" t="s">
        <v>14</v>
      </c>
      <c r="E2640">
        <v>4</v>
      </c>
      <c r="F2640" s="2">
        <f>DATE(2026,IF(Tabla1[[#This Row],[Mes de Fecha]]="Septiembre",9,10),Tabla1[[#This Row],[Día de Fecha]])</f>
        <v>46299</v>
      </c>
      <c r="G2640">
        <v>1007852100</v>
      </c>
      <c r="H2640" t="s">
        <v>700</v>
      </c>
      <c r="I2640">
        <v>28</v>
      </c>
      <c r="J2640">
        <v>0</v>
      </c>
      <c r="K2640" s="1">
        <v>1275926</v>
      </c>
    </row>
    <row r="2641" spans="1:11" x14ac:dyDescent="0.25">
      <c r="A2641" t="s">
        <v>326</v>
      </c>
      <c r="B2641" t="s">
        <v>699</v>
      </c>
      <c r="C2641" t="s">
        <v>867</v>
      </c>
      <c r="D2641" t="s">
        <v>14</v>
      </c>
      <c r="E2641">
        <v>4</v>
      </c>
      <c r="F2641" s="2">
        <f>DATE(2026,IF(Tabla1[[#This Row],[Mes de Fecha]]="Septiembre",9,10),Tabla1[[#This Row],[Día de Fecha]])</f>
        <v>46299</v>
      </c>
      <c r="G2641">
        <v>1080040843</v>
      </c>
      <c r="H2641" t="s">
        <v>691</v>
      </c>
      <c r="I2641">
        <v>-2</v>
      </c>
      <c r="J2641">
        <v>0</v>
      </c>
      <c r="K2641" s="1">
        <v>-92353</v>
      </c>
    </row>
    <row r="2642" spans="1:11" x14ac:dyDescent="0.25">
      <c r="A2642" t="s">
        <v>326</v>
      </c>
      <c r="B2642" t="s">
        <v>699</v>
      </c>
      <c r="C2642" t="s">
        <v>867</v>
      </c>
      <c r="D2642" t="s">
        <v>14</v>
      </c>
      <c r="E2642">
        <v>4</v>
      </c>
      <c r="F2642" s="2">
        <f>DATE(2026,IF(Tabla1[[#This Row],[Mes de Fecha]]="Septiembre",9,10),Tabla1[[#This Row],[Día de Fecha]])</f>
        <v>46299</v>
      </c>
      <c r="G2642">
        <v>1113623464</v>
      </c>
      <c r="H2642" t="s">
        <v>519</v>
      </c>
      <c r="I2642">
        <v>140</v>
      </c>
      <c r="J2642">
        <v>0</v>
      </c>
      <c r="K2642" s="1">
        <v>8655384</v>
      </c>
    </row>
    <row r="2643" spans="1:11" x14ac:dyDescent="0.25">
      <c r="A2643" t="s">
        <v>326</v>
      </c>
      <c r="B2643" t="s">
        <v>699</v>
      </c>
      <c r="C2643" t="s">
        <v>867</v>
      </c>
      <c r="D2643" t="s">
        <v>14</v>
      </c>
      <c r="E2643">
        <v>4</v>
      </c>
      <c r="F2643" s="2">
        <f>DATE(2026,IF(Tabla1[[#This Row],[Mes de Fecha]]="Septiembre",9,10),Tabla1[[#This Row],[Día de Fecha]])</f>
        <v>46299</v>
      </c>
      <c r="G2643">
        <v>1113698946</v>
      </c>
      <c r="H2643" t="s">
        <v>460</v>
      </c>
      <c r="I2643">
        <v>116</v>
      </c>
      <c r="J2643">
        <v>0</v>
      </c>
      <c r="K2643" s="1">
        <v>6937906</v>
      </c>
    </row>
    <row r="2644" spans="1:11" x14ac:dyDescent="0.25">
      <c r="A2644" t="s">
        <v>326</v>
      </c>
      <c r="B2644" t="s">
        <v>699</v>
      </c>
      <c r="C2644" t="s">
        <v>867</v>
      </c>
      <c r="D2644" t="s">
        <v>14</v>
      </c>
      <c r="E2644">
        <v>5</v>
      </c>
      <c r="F2644" s="2">
        <f>DATE(2026,IF(Tabla1[[#This Row],[Mes de Fecha]]="Septiembre",9,10),Tabla1[[#This Row],[Día de Fecha]])</f>
        <v>46300</v>
      </c>
      <c r="I2644">
        <v>0</v>
      </c>
      <c r="J2644" s="1">
        <v>10658519</v>
      </c>
      <c r="K2644">
        <v>0</v>
      </c>
    </row>
    <row r="2645" spans="1:11" x14ac:dyDescent="0.25">
      <c r="A2645" t="s">
        <v>326</v>
      </c>
      <c r="B2645" t="s">
        <v>699</v>
      </c>
      <c r="C2645" t="s">
        <v>867</v>
      </c>
      <c r="D2645" t="s">
        <v>14</v>
      </c>
      <c r="E2645">
        <v>5</v>
      </c>
      <c r="F2645" s="2">
        <f>DATE(2026,IF(Tabla1[[#This Row],[Mes de Fecha]]="Septiembre",9,10),Tabla1[[#This Row],[Día de Fecha]])</f>
        <v>46300</v>
      </c>
      <c r="G2645">
        <v>1007852100</v>
      </c>
      <c r="H2645" t="s">
        <v>700</v>
      </c>
      <c r="I2645">
        <v>21</v>
      </c>
      <c r="J2645">
        <v>0</v>
      </c>
      <c r="K2645" s="1">
        <v>1238405</v>
      </c>
    </row>
    <row r="2646" spans="1:11" x14ac:dyDescent="0.25">
      <c r="A2646" t="s">
        <v>326</v>
      </c>
      <c r="B2646" t="s">
        <v>699</v>
      </c>
      <c r="C2646" t="s">
        <v>867</v>
      </c>
      <c r="D2646" t="s">
        <v>14</v>
      </c>
      <c r="E2646">
        <v>5</v>
      </c>
      <c r="F2646" s="2">
        <f>DATE(2026,IF(Tabla1[[#This Row],[Mes de Fecha]]="Septiembre",9,10),Tabla1[[#This Row],[Día de Fecha]])</f>
        <v>46300</v>
      </c>
      <c r="G2646">
        <v>1113623464</v>
      </c>
      <c r="H2646" t="s">
        <v>519</v>
      </c>
      <c r="I2646">
        <v>84</v>
      </c>
      <c r="J2646">
        <v>0</v>
      </c>
      <c r="K2646" s="1">
        <v>4605596</v>
      </c>
    </row>
    <row r="2647" spans="1:11" x14ac:dyDescent="0.25">
      <c r="A2647" t="s">
        <v>326</v>
      </c>
      <c r="B2647" t="s">
        <v>699</v>
      </c>
      <c r="C2647" t="s">
        <v>867</v>
      </c>
      <c r="D2647" t="s">
        <v>14</v>
      </c>
      <c r="E2647">
        <v>5</v>
      </c>
      <c r="F2647" s="2">
        <f>DATE(2026,IF(Tabla1[[#This Row],[Mes de Fecha]]="Septiembre",9,10),Tabla1[[#This Row],[Día de Fecha]])</f>
        <v>46300</v>
      </c>
      <c r="G2647">
        <v>1113698946</v>
      </c>
      <c r="H2647" t="s">
        <v>460</v>
      </c>
      <c r="I2647">
        <v>80</v>
      </c>
      <c r="J2647">
        <v>0</v>
      </c>
      <c r="K2647" s="1">
        <v>4700218</v>
      </c>
    </row>
    <row r="2648" spans="1:11" x14ac:dyDescent="0.25">
      <c r="A2648" t="s">
        <v>326</v>
      </c>
      <c r="B2648" t="s">
        <v>699</v>
      </c>
      <c r="C2648" t="s">
        <v>867</v>
      </c>
      <c r="D2648" t="s">
        <v>14</v>
      </c>
      <c r="E2648">
        <v>6</v>
      </c>
      <c r="F2648" s="2">
        <f>DATE(2026,IF(Tabla1[[#This Row],[Mes de Fecha]]="Septiembre",9,10),Tabla1[[#This Row],[Día de Fecha]])</f>
        <v>46301</v>
      </c>
      <c r="I2648">
        <v>0</v>
      </c>
      <c r="J2648" s="1">
        <v>6174798</v>
      </c>
      <c r="K2648">
        <v>0</v>
      </c>
    </row>
    <row r="2649" spans="1:11" x14ac:dyDescent="0.25">
      <c r="A2649" t="s">
        <v>326</v>
      </c>
      <c r="B2649" t="s">
        <v>699</v>
      </c>
      <c r="C2649" t="s">
        <v>867</v>
      </c>
      <c r="D2649" t="s">
        <v>14</v>
      </c>
      <c r="E2649">
        <v>6</v>
      </c>
      <c r="F2649" s="2">
        <f>DATE(2026,IF(Tabla1[[#This Row],[Mes de Fecha]]="Septiembre",9,10),Tabla1[[#This Row],[Día de Fecha]])</f>
        <v>46301</v>
      </c>
      <c r="G2649">
        <v>1007852100</v>
      </c>
      <c r="H2649" t="s">
        <v>700</v>
      </c>
      <c r="I2649">
        <v>10</v>
      </c>
      <c r="J2649">
        <v>0</v>
      </c>
      <c r="K2649" s="1">
        <v>405043</v>
      </c>
    </row>
    <row r="2650" spans="1:11" x14ac:dyDescent="0.25">
      <c r="A2650" t="s">
        <v>326</v>
      </c>
      <c r="B2650" t="s">
        <v>699</v>
      </c>
      <c r="C2650" t="s">
        <v>867</v>
      </c>
      <c r="D2650" t="s">
        <v>14</v>
      </c>
      <c r="E2650">
        <v>6</v>
      </c>
      <c r="F2650" s="2">
        <f>DATE(2026,IF(Tabla1[[#This Row],[Mes de Fecha]]="Septiembre",9,10),Tabla1[[#This Row],[Día de Fecha]])</f>
        <v>46301</v>
      </c>
      <c r="G2650">
        <v>1113623464</v>
      </c>
      <c r="H2650" t="s">
        <v>519</v>
      </c>
      <c r="I2650">
        <v>25</v>
      </c>
      <c r="J2650">
        <v>0</v>
      </c>
      <c r="K2650" s="1">
        <v>1395927</v>
      </c>
    </row>
    <row r="2651" spans="1:11" x14ac:dyDescent="0.25">
      <c r="A2651" t="s">
        <v>326</v>
      </c>
      <c r="B2651" t="s">
        <v>699</v>
      </c>
      <c r="C2651" t="s">
        <v>867</v>
      </c>
      <c r="D2651" t="s">
        <v>14</v>
      </c>
      <c r="E2651">
        <v>6</v>
      </c>
      <c r="F2651" s="2">
        <f>DATE(2026,IF(Tabla1[[#This Row],[Mes de Fecha]]="Septiembre",9,10),Tabla1[[#This Row],[Día de Fecha]])</f>
        <v>46301</v>
      </c>
      <c r="G2651">
        <v>1113698946</v>
      </c>
      <c r="H2651" t="s">
        <v>460</v>
      </c>
      <c r="I2651">
        <v>26</v>
      </c>
      <c r="J2651">
        <v>0</v>
      </c>
      <c r="K2651" s="1">
        <v>1398028</v>
      </c>
    </row>
    <row r="2652" spans="1:11" x14ac:dyDescent="0.25">
      <c r="A2652" t="s">
        <v>326</v>
      </c>
      <c r="B2652" t="s">
        <v>699</v>
      </c>
      <c r="C2652" t="s">
        <v>867</v>
      </c>
      <c r="D2652" t="s">
        <v>14</v>
      </c>
      <c r="E2652">
        <v>6</v>
      </c>
      <c r="F2652" s="2">
        <f>DATE(2026,IF(Tabla1[[#This Row],[Mes de Fecha]]="Septiembre",9,10),Tabla1[[#This Row],[Día de Fecha]])</f>
        <v>46301</v>
      </c>
      <c r="G2652">
        <v>1192813746</v>
      </c>
      <c r="H2652" t="s">
        <v>694</v>
      </c>
      <c r="I2652">
        <v>-1</v>
      </c>
      <c r="J2652">
        <v>0</v>
      </c>
      <c r="K2652" s="1">
        <v>-105000</v>
      </c>
    </row>
    <row r="2653" spans="1:11" x14ac:dyDescent="0.25">
      <c r="A2653" t="s">
        <v>326</v>
      </c>
      <c r="B2653" t="s">
        <v>699</v>
      </c>
      <c r="C2653" t="s">
        <v>867</v>
      </c>
      <c r="D2653" t="s">
        <v>14</v>
      </c>
      <c r="E2653">
        <v>7</v>
      </c>
      <c r="F2653" s="2">
        <f>DATE(2026,IF(Tabla1[[#This Row],[Mes de Fecha]]="Septiembre",9,10),Tabla1[[#This Row],[Día de Fecha]])</f>
        <v>46302</v>
      </c>
      <c r="I2653">
        <v>0</v>
      </c>
      <c r="J2653" s="1">
        <v>6093549</v>
      </c>
      <c r="K2653">
        <v>0</v>
      </c>
    </row>
    <row r="2654" spans="1:11" x14ac:dyDescent="0.25">
      <c r="A2654" t="s">
        <v>326</v>
      </c>
      <c r="B2654" t="s">
        <v>699</v>
      </c>
      <c r="C2654" t="s">
        <v>867</v>
      </c>
      <c r="D2654" t="s">
        <v>14</v>
      </c>
      <c r="E2654">
        <v>7</v>
      </c>
      <c r="F2654" s="2">
        <f>DATE(2026,IF(Tabla1[[#This Row],[Mes de Fecha]]="Septiembre",9,10),Tabla1[[#This Row],[Día de Fecha]])</f>
        <v>46302</v>
      </c>
      <c r="G2654">
        <v>1007852100</v>
      </c>
      <c r="H2654" t="s">
        <v>700</v>
      </c>
      <c r="I2654">
        <v>16</v>
      </c>
      <c r="J2654">
        <v>0</v>
      </c>
      <c r="K2654" s="1">
        <v>894077</v>
      </c>
    </row>
    <row r="2655" spans="1:11" x14ac:dyDescent="0.25">
      <c r="A2655" t="s">
        <v>326</v>
      </c>
      <c r="B2655" t="s">
        <v>699</v>
      </c>
      <c r="C2655" t="s">
        <v>867</v>
      </c>
      <c r="D2655" t="s">
        <v>14</v>
      </c>
      <c r="E2655">
        <v>7</v>
      </c>
      <c r="F2655" s="2">
        <f>DATE(2026,IF(Tabla1[[#This Row],[Mes de Fecha]]="Septiembre",9,10),Tabla1[[#This Row],[Día de Fecha]])</f>
        <v>46302</v>
      </c>
      <c r="G2655">
        <v>1104805189</v>
      </c>
      <c r="H2655" t="s">
        <v>579</v>
      </c>
      <c r="I2655">
        <v>-1</v>
      </c>
      <c r="J2655">
        <v>0</v>
      </c>
      <c r="K2655" s="1">
        <v>-58740</v>
      </c>
    </row>
    <row r="2656" spans="1:11" x14ac:dyDescent="0.25">
      <c r="A2656" t="s">
        <v>326</v>
      </c>
      <c r="B2656" t="s">
        <v>699</v>
      </c>
      <c r="C2656" t="s">
        <v>867</v>
      </c>
      <c r="D2656" t="s">
        <v>14</v>
      </c>
      <c r="E2656">
        <v>7</v>
      </c>
      <c r="F2656" s="2">
        <f>DATE(2026,IF(Tabla1[[#This Row],[Mes de Fecha]]="Septiembre",9,10),Tabla1[[#This Row],[Día de Fecha]])</f>
        <v>46302</v>
      </c>
      <c r="G2656">
        <v>1113623464</v>
      </c>
      <c r="H2656" t="s">
        <v>519</v>
      </c>
      <c r="I2656">
        <v>45</v>
      </c>
      <c r="J2656">
        <v>0</v>
      </c>
      <c r="K2656" s="1">
        <v>2258407</v>
      </c>
    </row>
    <row r="2657" spans="1:11" x14ac:dyDescent="0.25">
      <c r="A2657" t="s">
        <v>326</v>
      </c>
      <c r="B2657" t="s">
        <v>699</v>
      </c>
      <c r="C2657" t="s">
        <v>867</v>
      </c>
      <c r="D2657" t="s">
        <v>14</v>
      </c>
      <c r="E2657">
        <v>7</v>
      </c>
      <c r="F2657" s="2">
        <f>DATE(2026,IF(Tabla1[[#This Row],[Mes de Fecha]]="Septiembre",9,10),Tabla1[[#This Row],[Día de Fecha]])</f>
        <v>46302</v>
      </c>
      <c r="G2657">
        <v>1113698946</v>
      </c>
      <c r="H2657" t="s">
        <v>460</v>
      </c>
      <c r="I2657">
        <v>69</v>
      </c>
      <c r="J2657">
        <v>0</v>
      </c>
      <c r="K2657" s="1">
        <v>4101978</v>
      </c>
    </row>
    <row r="2658" spans="1:11" x14ac:dyDescent="0.25">
      <c r="A2658" t="s">
        <v>326</v>
      </c>
      <c r="B2658" t="s">
        <v>775</v>
      </c>
      <c r="C2658" t="s">
        <v>867</v>
      </c>
      <c r="D2658" t="s">
        <v>11</v>
      </c>
      <c r="E2658">
        <v>23</v>
      </c>
      <c r="F2658" s="2">
        <f>DATE(2026,IF(Tabla1[[#This Row],[Mes de Fecha]]="Septiembre",9,10),Tabla1[[#This Row],[Día de Fecha]])</f>
        <v>46288</v>
      </c>
      <c r="I2658">
        <v>0</v>
      </c>
      <c r="J2658" s="1">
        <v>12701818</v>
      </c>
      <c r="K2658">
        <v>0</v>
      </c>
    </row>
    <row r="2659" spans="1:11" x14ac:dyDescent="0.25">
      <c r="A2659" t="s">
        <v>326</v>
      </c>
      <c r="B2659" t="s">
        <v>775</v>
      </c>
      <c r="C2659" t="s">
        <v>867</v>
      </c>
      <c r="D2659" t="s">
        <v>11</v>
      </c>
      <c r="E2659">
        <v>23</v>
      </c>
      <c r="F2659" s="2">
        <f>DATE(2026,IF(Tabla1[[#This Row],[Mes de Fecha]]="Septiembre",9,10),Tabla1[[#This Row],[Día de Fecha]])</f>
        <v>46288</v>
      </c>
      <c r="G2659">
        <v>1113038720</v>
      </c>
      <c r="H2659" t="s">
        <v>349</v>
      </c>
      <c r="I2659">
        <v>188</v>
      </c>
      <c r="J2659">
        <v>0</v>
      </c>
      <c r="K2659" s="1">
        <v>12031854</v>
      </c>
    </row>
    <row r="2660" spans="1:11" x14ac:dyDescent="0.25">
      <c r="A2660" t="s">
        <v>326</v>
      </c>
      <c r="B2660" t="s">
        <v>775</v>
      </c>
      <c r="C2660" t="s">
        <v>867</v>
      </c>
      <c r="D2660" t="s">
        <v>11</v>
      </c>
      <c r="E2660">
        <v>23</v>
      </c>
      <c r="F2660" s="2">
        <f>DATE(2026,IF(Tabla1[[#This Row],[Mes de Fecha]]="Septiembre",9,10),Tabla1[[#This Row],[Día de Fecha]])</f>
        <v>46288</v>
      </c>
      <c r="G2660">
        <v>1140421188</v>
      </c>
      <c r="H2660" t="s">
        <v>347</v>
      </c>
      <c r="I2660">
        <v>157</v>
      </c>
      <c r="J2660">
        <v>0</v>
      </c>
      <c r="K2660" s="1">
        <v>9241228</v>
      </c>
    </row>
    <row r="2661" spans="1:11" x14ac:dyDescent="0.25">
      <c r="A2661" t="s">
        <v>326</v>
      </c>
      <c r="B2661" t="s">
        <v>775</v>
      </c>
      <c r="C2661" t="s">
        <v>867</v>
      </c>
      <c r="D2661" t="s">
        <v>11</v>
      </c>
      <c r="E2661">
        <v>24</v>
      </c>
      <c r="F2661" s="2">
        <f>DATE(2026,IF(Tabla1[[#This Row],[Mes de Fecha]]="Septiembre",9,10),Tabla1[[#This Row],[Día de Fecha]])</f>
        <v>46289</v>
      </c>
      <c r="I2661">
        <v>0</v>
      </c>
      <c r="J2661" s="1">
        <v>19403459</v>
      </c>
      <c r="K2661">
        <v>0</v>
      </c>
    </row>
    <row r="2662" spans="1:11" x14ac:dyDescent="0.25">
      <c r="A2662" t="s">
        <v>326</v>
      </c>
      <c r="B2662" t="s">
        <v>775</v>
      </c>
      <c r="C2662" t="s">
        <v>867</v>
      </c>
      <c r="D2662" t="s">
        <v>11</v>
      </c>
      <c r="E2662">
        <v>24</v>
      </c>
      <c r="F2662" s="2">
        <f>DATE(2026,IF(Tabla1[[#This Row],[Mes de Fecha]]="Septiembre",9,10),Tabla1[[#This Row],[Día de Fecha]])</f>
        <v>46289</v>
      </c>
      <c r="G2662">
        <v>1113038720</v>
      </c>
      <c r="H2662" t="s">
        <v>349</v>
      </c>
      <c r="I2662">
        <v>110</v>
      </c>
      <c r="J2662">
        <v>0</v>
      </c>
      <c r="K2662" s="1">
        <v>6619248</v>
      </c>
    </row>
    <row r="2663" spans="1:11" x14ac:dyDescent="0.25">
      <c r="A2663" t="s">
        <v>326</v>
      </c>
      <c r="B2663" t="s">
        <v>775</v>
      </c>
      <c r="C2663" t="s">
        <v>867</v>
      </c>
      <c r="D2663" t="s">
        <v>11</v>
      </c>
      <c r="E2663">
        <v>24</v>
      </c>
      <c r="F2663" s="2">
        <f>DATE(2026,IF(Tabla1[[#This Row],[Mes de Fecha]]="Septiembre",9,10),Tabla1[[#This Row],[Día de Fecha]])</f>
        <v>46289</v>
      </c>
      <c r="G2663">
        <v>1140421188</v>
      </c>
      <c r="H2663" t="s">
        <v>347</v>
      </c>
      <c r="I2663">
        <v>112</v>
      </c>
      <c r="J2663">
        <v>0</v>
      </c>
      <c r="K2663" s="1">
        <v>6854499</v>
      </c>
    </row>
    <row r="2664" spans="1:11" x14ac:dyDescent="0.25">
      <c r="A2664" t="s">
        <v>326</v>
      </c>
      <c r="B2664" t="s">
        <v>775</v>
      </c>
      <c r="C2664" t="s">
        <v>867</v>
      </c>
      <c r="D2664" t="s">
        <v>11</v>
      </c>
      <c r="E2664">
        <v>25</v>
      </c>
      <c r="F2664" s="2">
        <f>DATE(2026,IF(Tabla1[[#This Row],[Mes de Fecha]]="Septiembre",9,10),Tabla1[[#This Row],[Día de Fecha]])</f>
        <v>46290</v>
      </c>
      <c r="I2664">
        <v>0</v>
      </c>
      <c r="J2664" s="1">
        <v>19360503</v>
      </c>
      <c r="K2664">
        <v>0</v>
      </c>
    </row>
    <row r="2665" spans="1:11" x14ac:dyDescent="0.25">
      <c r="A2665" t="s">
        <v>326</v>
      </c>
      <c r="B2665" t="s">
        <v>775</v>
      </c>
      <c r="C2665" t="s">
        <v>867</v>
      </c>
      <c r="D2665" t="s">
        <v>11</v>
      </c>
      <c r="E2665">
        <v>25</v>
      </c>
      <c r="F2665" s="2">
        <f>DATE(2026,IF(Tabla1[[#This Row],[Mes de Fecha]]="Septiembre",9,10),Tabla1[[#This Row],[Día de Fecha]])</f>
        <v>46290</v>
      </c>
      <c r="G2665">
        <v>1010076976</v>
      </c>
      <c r="H2665" t="s">
        <v>371</v>
      </c>
      <c r="I2665">
        <v>46</v>
      </c>
      <c r="J2665">
        <v>0</v>
      </c>
      <c r="K2665" s="1">
        <v>2661937</v>
      </c>
    </row>
    <row r="2666" spans="1:11" x14ac:dyDescent="0.25">
      <c r="A2666" t="s">
        <v>326</v>
      </c>
      <c r="B2666" t="s">
        <v>775</v>
      </c>
      <c r="C2666" t="s">
        <v>867</v>
      </c>
      <c r="D2666" t="s">
        <v>11</v>
      </c>
      <c r="E2666">
        <v>25</v>
      </c>
      <c r="F2666" s="2">
        <f>DATE(2026,IF(Tabla1[[#This Row],[Mes de Fecha]]="Septiembre",9,10),Tabla1[[#This Row],[Día de Fecha]])</f>
        <v>46290</v>
      </c>
      <c r="G2666">
        <v>1113038720</v>
      </c>
      <c r="H2666" t="s">
        <v>349</v>
      </c>
      <c r="I2666">
        <v>122</v>
      </c>
      <c r="J2666">
        <v>0</v>
      </c>
      <c r="K2666" s="1">
        <v>6994712</v>
      </c>
    </row>
    <row r="2667" spans="1:11" x14ac:dyDescent="0.25">
      <c r="A2667" t="s">
        <v>326</v>
      </c>
      <c r="B2667" t="s">
        <v>775</v>
      </c>
      <c r="C2667" t="s">
        <v>867</v>
      </c>
      <c r="D2667" t="s">
        <v>11</v>
      </c>
      <c r="E2667">
        <v>25</v>
      </c>
      <c r="F2667" s="2">
        <f>DATE(2026,IF(Tabla1[[#This Row],[Mes de Fecha]]="Septiembre",9,10),Tabla1[[#This Row],[Día de Fecha]])</f>
        <v>46290</v>
      </c>
      <c r="G2667">
        <v>1140421188</v>
      </c>
      <c r="H2667" t="s">
        <v>347</v>
      </c>
      <c r="I2667">
        <v>76</v>
      </c>
      <c r="J2667">
        <v>0</v>
      </c>
      <c r="K2667" s="1">
        <v>4652228</v>
      </c>
    </row>
    <row r="2668" spans="1:11" x14ac:dyDescent="0.25">
      <c r="A2668" t="s">
        <v>326</v>
      </c>
      <c r="B2668" t="s">
        <v>775</v>
      </c>
      <c r="C2668" t="s">
        <v>867</v>
      </c>
      <c r="D2668" t="s">
        <v>11</v>
      </c>
      <c r="E2668">
        <v>26</v>
      </c>
      <c r="F2668" s="2">
        <f>DATE(2026,IF(Tabla1[[#This Row],[Mes de Fecha]]="Septiembre",9,10),Tabla1[[#This Row],[Día de Fecha]])</f>
        <v>46291</v>
      </c>
      <c r="I2668">
        <v>0</v>
      </c>
      <c r="J2668" s="1">
        <v>27823826</v>
      </c>
      <c r="K2668">
        <v>0</v>
      </c>
    </row>
    <row r="2669" spans="1:11" x14ac:dyDescent="0.25">
      <c r="A2669" t="s">
        <v>326</v>
      </c>
      <c r="B2669" t="s">
        <v>775</v>
      </c>
      <c r="C2669" t="s">
        <v>867</v>
      </c>
      <c r="D2669" t="s">
        <v>11</v>
      </c>
      <c r="E2669">
        <v>26</v>
      </c>
      <c r="F2669" s="2">
        <f>DATE(2026,IF(Tabla1[[#This Row],[Mes de Fecha]]="Septiembre",9,10),Tabla1[[#This Row],[Día de Fecha]])</f>
        <v>46291</v>
      </c>
      <c r="G2669">
        <v>1010076976</v>
      </c>
      <c r="H2669" t="s">
        <v>371</v>
      </c>
      <c r="I2669">
        <v>53</v>
      </c>
      <c r="J2669">
        <v>0</v>
      </c>
      <c r="K2669" s="1">
        <v>3209835</v>
      </c>
    </row>
    <row r="2670" spans="1:11" x14ac:dyDescent="0.25">
      <c r="A2670" t="s">
        <v>326</v>
      </c>
      <c r="B2670" t="s">
        <v>775</v>
      </c>
      <c r="C2670" t="s">
        <v>867</v>
      </c>
      <c r="D2670" t="s">
        <v>11</v>
      </c>
      <c r="E2670">
        <v>26</v>
      </c>
      <c r="F2670" s="2">
        <f>DATE(2026,IF(Tabla1[[#This Row],[Mes de Fecha]]="Septiembre",9,10),Tabla1[[#This Row],[Día de Fecha]])</f>
        <v>46291</v>
      </c>
      <c r="G2670">
        <v>1113038720</v>
      </c>
      <c r="H2670" t="s">
        <v>349</v>
      </c>
      <c r="I2670">
        <v>180</v>
      </c>
      <c r="J2670">
        <v>0</v>
      </c>
      <c r="K2670" s="1">
        <v>10750766</v>
      </c>
    </row>
    <row r="2671" spans="1:11" x14ac:dyDescent="0.25">
      <c r="A2671" t="s">
        <v>326</v>
      </c>
      <c r="B2671" t="s">
        <v>775</v>
      </c>
      <c r="C2671" t="s">
        <v>867</v>
      </c>
      <c r="D2671" t="s">
        <v>11</v>
      </c>
      <c r="E2671">
        <v>26</v>
      </c>
      <c r="F2671" s="2">
        <f>DATE(2026,IF(Tabla1[[#This Row],[Mes de Fecha]]="Septiembre",9,10),Tabla1[[#This Row],[Día de Fecha]])</f>
        <v>46291</v>
      </c>
      <c r="G2671">
        <v>1140421188</v>
      </c>
      <c r="H2671" t="s">
        <v>347</v>
      </c>
      <c r="I2671">
        <v>120</v>
      </c>
      <c r="J2671">
        <v>0</v>
      </c>
      <c r="K2671" s="1">
        <v>7179839</v>
      </c>
    </row>
    <row r="2672" spans="1:11" x14ac:dyDescent="0.25">
      <c r="A2672" t="s">
        <v>326</v>
      </c>
      <c r="B2672" t="s">
        <v>775</v>
      </c>
      <c r="C2672" t="s">
        <v>867</v>
      </c>
      <c r="D2672" t="s">
        <v>11</v>
      </c>
      <c r="E2672">
        <v>27</v>
      </c>
      <c r="F2672" s="2">
        <f>DATE(2026,IF(Tabla1[[#This Row],[Mes de Fecha]]="Septiembre",9,10),Tabla1[[#This Row],[Día de Fecha]])</f>
        <v>46292</v>
      </c>
      <c r="I2672">
        <v>0</v>
      </c>
      <c r="J2672" s="1">
        <v>22042073</v>
      </c>
      <c r="K2672">
        <v>0</v>
      </c>
    </row>
    <row r="2673" spans="1:11" x14ac:dyDescent="0.25">
      <c r="A2673" t="s">
        <v>326</v>
      </c>
      <c r="B2673" t="s">
        <v>775</v>
      </c>
      <c r="C2673" t="s">
        <v>867</v>
      </c>
      <c r="D2673" t="s">
        <v>11</v>
      </c>
      <c r="E2673">
        <v>27</v>
      </c>
      <c r="F2673" s="2">
        <f>DATE(2026,IF(Tabla1[[#This Row],[Mes de Fecha]]="Septiembre",9,10),Tabla1[[#This Row],[Día de Fecha]])</f>
        <v>46292</v>
      </c>
      <c r="G2673">
        <v>1010076976</v>
      </c>
      <c r="H2673" t="s">
        <v>371</v>
      </c>
      <c r="I2673">
        <v>24</v>
      </c>
      <c r="J2673">
        <v>0</v>
      </c>
      <c r="K2673" s="1">
        <v>1309917</v>
      </c>
    </row>
    <row r="2674" spans="1:11" x14ac:dyDescent="0.25">
      <c r="A2674" t="s">
        <v>326</v>
      </c>
      <c r="B2674" t="s">
        <v>775</v>
      </c>
      <c r="C2674" t="s">
        <v>867</v>
      </c>
      <c r="D2674" t="s">
        <v>11</v>
      </c>
      <c r="E2674">
        <v>27</v>
      </c>
      <c r="F2674" s="2">
        <f>DATE(2026,IF(Tabla1[[#This Row],[Mes de Fecha]]="Septiembre",9,10),Tabla1[[#This Row],[Día de Fecha]])</f>
        <v>46292</v>
      </c>
      <c r="G2674">
        <v>1113038720</v>
      </c>
      <c r="H2674" t="s">
        <v>349</v>
      </c>
      <c r="I2674">
        <v>69</v>
      </c>
      <c r="J2674">
        <v>0</v>
      </c>
      <c r="K2674" s="1">
        <v>3937356</v>
      </c>
    </row>
    <row r="2675" spans="1:11" x14ac:dyDescent="0.25">
      <c r="A2675" t="s">
        <v>326</v>
      </c>
      <c r="B2675" t="s">
        <v>775</v>
      </c>
      <c r="C2675" t="s">
        <v>867</v>
      </c>
      <c r="D2675" t="s">
        <v>11</v>
      </c>
      <c r="E2675">
        <v>27</v>
      </c>
      <c r="F2675" s="2">
        <f>DATE(2026,IF(Tabla1[[#This Row],[Mes de Fecha]]="Septiembre",9,10),Tabla1[[#This Row],[Día de Fecha]])</f>
        <v>46292</v>
      </c>
      <c r="G2675">
        <v>1140421188</v>
      </c>
      <c r="H2675" t="s">
        <v>347</v>
      </c>
      <c r="I2675">
        <v>64</v>
      </c>
      <c r="J2675">
        <v>0</v>
      </c>
      <c r="K2675" s="1">
        <v>4053992</v>
      </c>
    </row>
    <row r="2676" spans="1:11" x14ac:dyDescent="0.25">
      <c r="A2676" t="s">
        <v>326</v>
      </c>
      <c r="B2676" t="s">
        <v>775</v>
      </c>
      <c r="C2676" t="s">
        <v>867</v>
      </c>
      <c r="D2676" t="s">
        <v>11</v>
      </c>
      <c r="E2676">
        <v>28</v>
      </c>
      <c r="F2676" s="2">
        <f>DATE(2026,IF(Tabla1[[#This Row],[Mes de Fecha]]="Septiembre",9,10),Tabla1[[#This Row],[Día de Fecha]])</f>
        <v>46293</v>
      </c>
      <c r="I2676">
        <v>0</v>
      </c>
      <c r="J2676" s="1">
        <v>12410667</v>
      </c>
      <c r="K2676">
        <v>0</v>
      </c>
    </row>
    <row r="2677" spans="1:11" x14ac:dyDescent="0.25">
      <c r="A2677" t="s">
        <v>326</v>
      </c>
      <c r="B2677" t="s">
        <v>775</v>
      </c>
      <c r="C2677" t="s">
        <v>867</v>
      </c>
      <c r="D2677" t="s">
        <v>11</v>
      </c>
      <c r="E2677">
        <v>28</v>
      </c>
      <c r="F2677" s="2">
        <f>DATE(2026,IF(Tabla1[[#This Row],[Mes de Fecha]]="Septiembre",9,10),Tabla1[[#This Row],[Día de Fecha]])</f>
        <v>46293</v>
      </c>
      <c r="G2677">
        <v>29314714</v>
      </c>
      <c r="H2677" t="s">
        <v>344</v>
      </c>
      <c r="I2677">
        <v>-2</v>
      </c>
      <c r="J2677">
        <v>0</v>
      </c>
      <c r="K2677" s="1">
        <v>-75504</v>
      </c>
    </row>
    <row r="2678" spans="1:11" x14ac:dyDescent="0.25">
      <c r="A2678" t="s">
        <v>326</v>
      </c>
      <c r="B2678" t="s">
        <v>775</v>
      </c>
      <c r="C2678" t="s">
        <v>867</v>
      </c>
      <c r="D2678" t="s">
        <v>11</v>
      </c>
      <c r="E2678">
        <v>28</v>
      </c>
      <c r="F2678" s="2">
        <f>DATE(2026,IF(Tabla1[[#This Row],[Mes de Fecha]]="Septiembre",9,10),Tabla1[[#This Row],[Día de Fecha]])</f>
        <v>46293</v>
      </c>
      <c r="G2678">
        <v>1010076976</v>
      </c>
      <c r="H2678" t="s">
        <v>371</v>
      </c>
      <c r="I2678">
        <v>23</v>
      </c>
      <c r="J2678">
        <v>0</v>
      </c>
      <c r="K2678" s="1">
        <v>1414960</v>
      </c>
    </row>
    <row r="2679" spans="1:11" x14ac:dyDescent="0.25">
      <c r="A2679" t="s">
        <v>326</v>
      </c>
      <c r="B2679" t="s">
        <v>775</v>
      </c>
      <c r="C2679" t="s">
        <v>867</v>
      </c>
      <c r="D2679" t="s">
        <v>11</v>
      </c>
      <c r="E2679">
        <v>28</v>
      </c>
      <c r="F2679" s="2">
        <f>DATE(2026,IF(Tabla1[[#This Row],[Mes de Fecha]]="Septiembre",9,10),Tabla1[[#This Row],[Día de Fecha]])</f>
        <v>46293</v>
      </c>
      <c r="G2679">
        <v>1113038720</v>
      </c>
      <c r="H2679" t="s">
        <v>349</v>
      </c>
      <c r="I2679">
        <v>60</v>
      </c>
      <c r="J2679">
        <v>0</v>
      </c>
      <c r="K2679" s="1">
        <v>3675968</v>
      </c>
    </row>
    <row r="2680" spans="1:11" x14ac:dyDescent="0.25">
      <c r="A2680" t="s">
        <v>326</v>
      </c>
      <c r="B2680" t="s">
        <v>775</v>
      </c>
      <c r="C2680" t="s">
        <v>867</v>
      </c>
      <c r="D2680" t="s">
        <v>11</v>
      </c>
      <c r="E2680">
        <v>28</v>
      </c>
      <c r="F2680" s="2">
        <f>DATE(2026,IF(Tabla1[[#This Row],[Mes de Fecha]]="Septiembre",9,10),Tabla1[[#This Row],[Día de Fecha]])</f>
        <v>46293</v>
      </c>
      <c r="G2680">
        <v>1140421188</v>
      </c>
      <c r="H2680" t="s">
        <v>347</v>
      </c>
      <c r="I2680">
        <v>52</v>
      </c>
      <c r="J2680">
        <v>0</v>
      </c>
      <c r="K2680" s="1">
        <v>3237313</v>
      </c>
    </row>
    <row r="2681" spans="1:11" x14ac:dyDescent="0.25">
      <c r="A2681" t="s">
        <v>326</v>
      </c>
      <c r="B2681" t="s">
        <v>775</v>
      </c>
      <c r="C2681" t="s">
        <v>867</v>
      </c>
      <c r="D2681" t="s">
        <v>11</v>
      </c>
      <c r="E2681">
        <v>29</v>
      </c>
      <c r="F2681" s="2">
        <f>DATE(2026,IF(Tabla1[[#This Row],[Mes de Fecha]]="Septiembre",9,10),Tabla1[[#This Row],[Día de Fecha]])</f>
        <v>46294</v>
      </c>
      <c r="I2681">
        <v>0</v>
      </c>
      <c r="J2681" s="1">
        <v>12678723</v>
      </c>
      <c r="K2681">
        <v>0</v>
      </c>
    </row>
    <row r="2682" spans="1:11" x14ac:dyDescent="0.25">
      <c r="A2682" t="s">
        <v>326</v>
      </c>
      <c r="B2682" t="s">
        <v>775</v>
      </c>
      <c r="C2682" t="s">
        <v>867</v>
      </c>
      <c r="D2682" t="s">
        <v>11</v>
      </c>
      <c r="E2682">
        <v>29</v>
      </c>
      <c r="F2682" s="2">
        <f>DATE(2026,IF(Tabla1[[#This Row],[Mes de Fecha]]="Septiembre",9,10),Tabla1[[#This Row],[Día de Fecha]])</f>
        <v>46294</v>
      </c>
      <c r="G2682">
        <v>1010076976</v>
      </c>
      <c r="H2682" t="s">
        <v>371</v>
      </c>
      <c r="I2682">
        <v>26</v>
      </c>
      <c r="J2682">
        <v>0</v>
      </c>
      <c r="K2682" s="1">
        <v>1456891</v>
      </c>
    </row>
    <row r="2683" spans="1:11" x14ac:dyDescent="0.25">
      <c r="A2683" t="s">
        <v>326</v>
      </c>
      <c r="B2683" t="s">
        <v>775</v>
      </c>
      <c r="C2683" t="s">
        <v>867</v>
      </c>
      <c r="D2683" t="s">
        <v>11</v>
      </c>
      <c r="E2683">
        <v>29</v>
      </c>
      <c r="F2683" s="2">
        <f>DATE(2026,IF(Tabla1[[#This Row],[Mes de Fecha]]="Septiembre",9,10),Tabla1[[#This Row],[Día de Fecha]])</f>
        <v>46294</v>
      </c>
      <c r="G2683">
        <v>1113038720</v>
      </c>
      <c r="H2683" t="s">
        <v>349</v>
      </c>
      <c r="I2683">
        <v>57</v>
      </c>
      <c r="J2683">
        <v>0</v>
      </c>
      <c r="K2683" s="1">
        <v>3667732</v>
      </c>
    </row>
    <row r="2684" spans="1:11" x14ac:dyDescent="0.25">
      <c r="A2684" t="s">
        <v>326</v>
      </c>
      <c r="B2684" t="s">
        <v>775</v>
      </c>
      <c r="C2684" t="s">
        <v>867</v>
      </c>
      <c r="D2684" t="s">
        <v>11</v>
      </c>
      <c r="E2684">
        <v>29</v>
      </c>
      <c r="F2684" s="2">
        <f>DATE(2026,IF(Tabla1[[#This Row],[Mes de Fecha]]="Septiembre",9,10),Tabla1[[#This Row],[Día de Fecha]])</f>
        <v>46294</v>
      </c>
      <c r="G2684">
        <v>1140421188</v>
      </c>
      <c r="H2684" t="s">
        <v>347</v>
      </c>
      <c r="I2684">
        <v>47</v>
      </c>
      <c r="J2684">
        <v>0</v>
      </c>
      <c r="K2684" s="1">
        <v>2825721</v>
      </c>
    </row>
    <row r="2685" spans="1:11" x14ac:dyDescent="0.25">
      <c r="A2685" t="s">
        <v>326</v>
      </c>
      <c r="B2685" t="s">
        <v>775</v>
      </c>
      <c r="C2685" t="s">
        <v>867</v>
      </c>
      <c r="D2685" t="s">
        <v>11</v>
      </c>
      <c r="E2685">
        <v>30</v>
      </c>
      <c r="F2685" s="2">
        <f>DATE(2026,IF(Tabla1[[#This Row],[Mes de Fecha]]="Septiembre",9,10),Tabla1[[#This Row],[Día de Fecha]])</f>
        <v>46295</v>
      </c>
      <c r="I2685">
        <v>0</v>
      </c>
      <c r="J2685" s="1">
        <v>13386195</v>
      </c>
      <c r="K2685">
        <v>0</v>
      </c>
    </row>
    <row r="2686" spans="1:11" x14ac:dyDescent="0.25">
      <c r="A2686" t="s">
        <v>326</v>
      </c>
      <c r="B2686" t="s">
        <v>775</v>
      </c>
      <c r="C2686" t="s">
        <v>867</v>
      </c>
      <c r="D2686" t="s">
        <v>11</v>
      </c>
      <c r="E2686">
        <v>30</v>
      </c>
      <c r="F2686" s="2">
        <f>DATE(2026,IF(Tabla1[[#This Row],[Mes de Fecha]]="Septiembre",9,10),Tabla1[[#This Row],[Día de Fecha]])</f>
        <v>46295</v>
      </c>
      <c r="G2686">
        <v>1006321986</v>
      </c>
      <c r="H2686" t="s">
        <v>345</v>
      </c>
      <c r="I2686">
        <v>-1</v>
      </c>
      <c r="J2686">
        <v>0</v>
      </c>
      <c r="K2686" s="1">
        <v>-83992</v>
      </c>
    </row>
    <row r="2687" spans="1:11" x14ac:dyDescent="0.25">
      <c r="A2687" t="s">
        <v>326</v>
      </c>
      <c r="B2687" t="s">
        <v>775</v>
      </c>
      <c r="C2687" t="s">
        <v>867</v>
      </c>
      <c r="D2687" t="s">
        <v>11</v>
      </c>
      <c r="E2687">
        <v>30</v>
      </c>
      <c r="F2687" s="2">
        <f>DATE(2026,IF(Tabla1[[#This Row],[Mes de Fecha]]="Septiembre",9,10),Tabla1[[#This Row],[Día de Fecha]])</f>
        <v>46295</v>
      </c>
      <c r="G2687">
        <v>1113038720</v>
      </c>
      <c r="H2687" t="s">
        <v>349</v>
      </c>
      <c r="I2687">
        <v>119</v>
      </c>
      <c r="J2687">
        <v>0</v>
      </c>
      <c r="K2687" s="1">
        <v>7512524</v>
      </c>
    </row>
    <row r="2688" spans="1:11" x14ac:dyDescent="0.25">
      <c r="A2688" t="s">
        <v>326</v>
      </c>
      <c r="B2688" t="s">
        <v>775</v>
      </c>
      <c r="C2688" t="s">
        <v>867</v>
      </c>
      <c r="D2688" t="s">
        <v>11</v>
      </c>
      <c r="E2688">
        <v>30</v>
      </c>
      <c r="F2688" s="2">
        <f>DATE(2026,IF(Tabla1[[#This Row],[Mes de Fecha]]="Septiembre",9,10),Tabla1[[#This Row],[Día de Fecha]])</f>
        <v>46295</v>
      </c>
      <c r="G2688">
        <v>1114062675</v>
      </c>
      <c r="H2688" t="s">
        <v>350</v>
      </c>
      <c r="I2688">
        <v>-1</v>
      </c>
      <c r="J2688">
        <v>0</v>
      </c>
      <c r="K2688" s="1">
        <v>-79790</v>
      </c>
    </row>
    <row r="2689" spans="1:11" x14ac:dyDescent="0.25">
      <c r="A2689" t="s">
        <v>326</v>
      </c>
      <c r="B2689" t="s">
        <v>775</v>
      </c>
      <c r="C2689" t="s">
        <v>867</v>
      </c>
      <c r="D2689" t="s">
        <v>11</v>
      </c>
      <c r="E2689">
        <v>30</v>
      </c>
      <c r="F2689" s="2">
        <f>DATE(2026,IF(Tabla1[[#This Row],[Mes de Fecha]]="Septiembre",9,10),Tabla1[[#This Row],[Día de Fecha]])</f>
        <v>46295</v>
      </c>
      <c r="G2689">
        <v>1140421188</v>
      </c>
      <c r="H2689" t="s">
        <v>347</v>
      </c>
      <c r="I2689">
        <v>96</v>
      </c>
      <c r="J2689">
        <v>0</v>
      </c>
      <c r="K2689" s="1">
        <v>6075380</v>
      </c>
    </row>
    <row r="2690" spans="1:11" x14ac:dyDescent="0.25">
      <c r="A2690" t="s">
        <v>326</v>
      </c>
      <c r="B2690" t="s">
        <v>775</v>
      </c>
      <c r="C2690" t="s">
        <v>867</v>
      </c>
      <c r="D2690" t="s">
        <v>14</v>
      </c>
      <c r="E2690">
        <v>1</v>
      </c>
      <c r="F2690" s="2">
        <f>DATE(2026,IF(Tabla1[[#This Row],[Mes de Fecha]]="Septiembre",9,10),Tabla1[[#This Row],[Día de Fecha]])</f>
        <v>46296</v>
      </c>
      <c r="I2690">
        <v>0</v>
      </c>
      <c r="J2690" s="1">
        <v>13405850</v>
      </c>
      <c r="K2690">
        <v>0</v>
      </c>
    </row>
    <row r="2691" spans="1:11" x14ac:dyDescent="0.25">
      <c r="A2691" t="s">
        <v>326</v>
      </c>
      <c r="B2691" t="s">
        <v>775</v>
      </c>
      <c r="C2691" t="s">
        <v>867</v>
      </c>
      <c r="D2691" t="s">
        <v>14</v>
      </c>
      <c r="E2691">
        <v>1</v>
      </c>
      <c r="F2691" s="2">
        <f>DATE(2026,IF(Tabla1[[#This Row],[Mes de Fecha]]="Septiembre",9,10),Tabla1[[#This Row],[Día de Fecha]])</f>
        <v>46296</v>
      </c>
      <c r="G2691">
        <v>1010076976</v>
      </c>
      <c r="H2691" t="s">
        <v>371</v>
      </c>
      <c r="I2691">
        <v>36</v>
      </c>
      <c r="J2691">
        <v>0</v>
      </c>
      <c r="K2691" s="1">
        <v>2271557</v>
      </c>
    </row>
    <row r="2692" spans="1:11" x14ac:dyDescent="0.25">
      <c r="A2692" t="s">
        <v>326</v>
      </c>
      <c r="B2692" t="s">
        <v>775</v>
      </c>
      <c r="C2692" t="s">
        <v>867</v>
      </c>
      <c r="D2692" t="s">
        <v>14</v>
      </c>
      <c r="E2692">
        <v>1</v>
      </c>
      <c r="F2692" s="2">
        <f>DATE(2026,IF(Tabla1[[#This Row],[Mes de Fecha]]="Septiembre",9,10),Tabla1[[#This Row],[Día de Fecha]])</f>
        <v>46296</v>
      </c>
      <c r="G2692">
        <v>1113038720</v>
      </c>
      <c r="H2692" t="s">
        <v>349</v>
      </c>
      <c r="I2692">
        <v>123</v>
      </c>
      <c r="J2692">
        <v>0</v>
      </c>
      <c r="K2692" s="1">
        <v>7177568</v>
      </c>
    </row>
    <row r="2693" spans="1:11" x14ac:dyDescent="0.25">
      <c r="A2693" t="s">
        <v>326</v>
      </c>
      <c r="B2693" t="s">
        <v>775</v>
      </c>
      <c r="C2693" t="s">
        <v>867</v>
      </c>
      <c r="D2693" t="s">
        <v>14</v>
      </c>
      <c r="E2693">
        <v>1</v>
      </c>
      <c r="F2693" s="2">
        <f>DATE(2026,IF(Tabla1[[#This Row],[Mes de Fecha]]="Septiembre",9,10),Tabla1[[#This Row],[Día de Fecha]])</f>
        <v>46296</v>
      </c>
      <c r="G2693">
        <v>1140421188</v>
      </c>
      <c r="H2693" t="s">
        <v>347</v>
      </c>
      <c r="I2693">
        <v>64</v>
      </c>
      <c r="J2693">
        <v>0</v>
      </c>
      <c r="K2693" s="1">
        <v>3633830</v>
      </c>
    </row>
    <row r="2694" spans="1:11" x14ac:dyDescent="0.25">
      <c r="A2694" t="s">
        <v>326</v>
      </c>
      <c r="B2694" t="s">
        <v>775</v>
      </c>
      <c r="C2694" t="s">
        <v>867</v>
      </c>
      <c r="D2694" t="s">
        <v>14</v>
      </c>
      <c r="E2694">
        <v>2</v>
      </c>
      <c r="F2694" s="2">
        <f>DATE(2026,IF(Tabla1[[#This Row],[Mes de Fecha]]="Septiembre",9,10),Tabla1[[#This Row],[Día de Fecha]])</f>
        <v>46297</v>
      </c>
      <c r="I2694">
        <v>0</v>
      </c>
      <c r="J2694" s="1">
        <v>8647186</v>
      </c>
      <c r="K2694">
        <v>0</v>
      </c>
    </row>
    <row r="2695" spans="1:11" x14ac:dyDescent="0.25">
      <c r="A2695" t="s">
        <v>326</v>
      </c>
      <c r="B2695" t="s">
        <v>775</v>
      </c>
      <c r="C2695" t="s">
        <v>867</v>
      </c>
      <c r="D2695" t="s">
        <v>14</v>
      </c>
      <c r="E2695">
        <v>2</v>
      </c>
      <c r="F2695" s="2">
        <f>DATE(2026,IF(Tabla1[[#This Row],[Mes de Fecha]]="Septiembre",9,10),Tabla1[[#This Row],[Día de Fecha]])</f>
        <v>46297</v>
      </c>
      <c r="G2695">
        <v>29314714</v>
      </c>
      <c r="H2695" t="s">
        <v>344</v>
      </c>
      <c r="I2695">
        <v>-1</v>
      </c>
      <c r="J2695">
        <v>0</v>
      </c>
      <c r="K2695" s="1">
        <v>-41975</v>
      </c>
    </row>
    <row r="2696" spans="1:11" x14ac:dyDescent="0.25">
      <c r="A2696" t="s">
        <v>326</v>
      </c>
      <c r="B2696" t="s">
        <v>775</v>
      </c>
      <c r="C2696" t="s">
        <v>867</v>
      </c>
      <c r="D2696" t="s">
        <v>14</v>
      </c>
      <c r="E2696">
        <v>2</v>
      </c>
      <c r="F2696" s="2">
        <f>DATE(2026,IF(Tabla1[[#This Row],[Mes de Fecha]]="Septiembre",9,10),Tabla1[[#This Row],[Día de Fecha]])</f>
        <v>46297</v>
      </c>
      <c r="G2696">
        <v>1010076976</v>
      </c>
      <c r="H2696" t="s">
        <v>371</v>
      </c>
      <c r="I2696">
        <v>30</v>
      </c>
      <c r="J2696">
        <v>0</v>
      </c>
      <c r="K2696" s="1">
        <v>2086893</v>
      </c>
    </row>
    <row r="2697" spans="1:11" x14ac:dyDescent="0.25">
      <c r="A2697" t="s">
        <v>326</v>
      </c>
      <c r="B2697" t="s">
        <v>775</v>
      </c>
      <c r="C2697" t="s">
        <v>867</v>
      </c>
      <c r="D2697" t="s">
        <v>14</v>
      </c>
      <c r="E2697">
        <v>2</v>
      </c>
      <c r="F2697" s="2">
        <f>DATE(2026,IF(Tabla1[[#This Row],[Mes de Fecha]]="Septiembre",9,10),Tabla1[[#This Row],[Día de Fecha]])</f>
        <v>46297</v>
      </c>
      <c r="G2697">
        <v>1113038720</v>
      </c>
      <c r="H2697" t="s">
        <v>349</v>
      </c>
      <c r="I2697">
        <v>84</v>
      </c>
      <c r="J2697">
        <v>0</v>
      </c>
      <c r="K2697" s="1">
        <v>5307358</v>
      </c>
    </row>
    <row r="2698" spans="1:11" x14ac:dyDescent="0.25">
      <c r="A2698" t="s">
        <v>326</v>
      </c>
      <c r="B2698" t="s">
        <v>775</v>
      </c>
      <c r="C2698" t="s">
        <v>867</v>
      </c>
      <c r="D2698" t="s">
        <v>14</v>
      </c>
      <c r="E2698">
        <v>2</v>
      </c>
      <c r="F2698" s="2">
        <f>DATE(2026,IF(Tabla1[[#This Row],[Mes de Fecha]]="Septiembre",9,10),Tabla1[[#This Row],[Día de Fecha]])</f>
        <v>46297</v>
      </c>
      <c r="G2698">
        <v>1140421188</v>
      </c>
      <c r="H2698" t="s">
        <v>347</v>
      </c>
      <c r="I2698">
        <v>46</v>
      </c>
      <c r="J2698">
        <v>0</v>
      </c>
      <c r="K2698" s="1">
        <v>2699751</v>
      </c>
    </row>
    <row r="2699" spans="1:11" x14ac:dyDescent="0.25">
      <c r="A2699" t="s">
        <v>326</v>
      </c>
      <c r="B2699" t="s">
        <v>775</v>
      </c>
      <c r="C2699" t="s">
        <v>867</v>
      </c>
      <c r="D2699" t="s">
        <v>14</v>
      </c>
      <c r="E2699">
        <v>3</v>
      </c>
      <c r="F2699" s="2">
        <f>DATE(2026,IF(Tabla1[[#This Row],[Mes de Fecha]]="Septiembre",9,10),Tabla1[[#This Row],[Día de Fecha]])</f>
        <v>46298</v>
      </c>
      <c r="I2699">
        <v>0</v>
      </c>
      <c r="J2699" s="1">
        <v>13489581</v>
      </c>
      <c r="K2699">
        <v>0</v>
      </c>
    </row>
    <row r="2700" spans="1:11" x14ac:dyDescent="0.25">
      <c r="A2700" t="s">
        <v>326</v>
      </c>
      <c r="B2700" t="s">
        <v>775</v>
      </c>
      <c r="C2700" t="s">
        <v>867</v>
      </c>
      <c r="D2700" t="s">
        <v>14</v>
      </c>
      <c r="E2700">
        <v>3</v>
      </c>
      <c r="F2700" s="2">
        <f>DATE(2026,IF(Tabla1[[#This Row],[Mes de Fecha]]="Septiembre",9,10),Tabla1[[#This Row],[Día de Fecha]])</f>
        <v>46298</v>
      </c>
      <c r="G2700">
        <v>1006321986</v>
      </c>
      <c r="H2700" t="s">
        <v>345</v>
      </c>
      <c r="I2700">
        <v>-1</v>
      </c>
      <c r="J2700">
        <v>0</v>
      </c>
      <c r="K2700" s="1">
        <v>-79790</v>
      </c>
    </row>
    <row r="2701" spans="1:11" x14ac:dyDescent="0.25">
      <c r="A2701" t="s">
        <v>326</v>
      </c>
      <c r="B2701" t="s">
        <v>775</v>
      </c>
      <c r="C2701" t="s">
        <v>867</v>
      </c>
      <c r="D2701" t="s">
        <v>14</v>
      </c>
      <c r="E2701">
        <v>3</v>
      </c>
      <c r="F2701" s="2">
        <f>DATE(2026,IF(Tabla1[[#This Row],[Mes de Fecha]]="Septiembre",9,10),Tabla1[[#This Row],[Día de Fecha]])</f>
        <v>46298</v>
      </c>
      <c r="G2701">
        <v>1010076976</v>
      </c>
      <c r="H2701" t="s">
        <v>371</v>
      </c>
      <c r="I2701">
        <v>35</v>
      </c>
      <c r="J2701">
        <v>0</v>
      </c>
      <c r="K2701" s="1">
        <v>1797853</v>
      </c>
    </row>
    <row r="2702" spans="1:11" x14ac:dyDescent="0.25">
      <c r="A2702" t="s">
        <v>326</v>
      </c>
      <c r="B2702" t="s">
        <v>775</v>
      </c>
      <c r="C2702" t="s">
        <v>867</v>
      </c>
      <c r="D2702" t="s">
        <v>14</v>
      </c>
      <c r="E2702">
        <v>3</v>
      </c>
      <c r="F2702" s="2">
        <f>DATE(2026,IF(Tabla1[[#This Row],[Mes de Fecha]]="Septiembre",9,10),Tabla1[[#This Row],[Día de Fecha]])</f>
        <v>46298</v>
      </c>
      <c r="G2702">
        <v>1113038720</v>
      </c>
      <c r="H2702" t="s">
        <v>349</v>
      </c>
      <c r="I2702">
        <v>174</v>
      </c>
      <c r="J2702">
        <v>0</v>
      </c>
      <c r="K2702" s="1">
        <v>9495317</v>
      </c>
    </row>
    <row r="2703" spans="1:11" x14ac:dyDescent="0.25">
      <c r="A2703" t="s">
        <v>326</v>
      </c>
      <c r="B2703" t="s">
        <v>775</v>
      </c>
      <c r="C2703" t="s">
        <v>867</v>
      </c>
      <c r="D2703" t="s">
        <v>14</v>
      </c>
      <c r="E2703">
        <v>3</v>
      </c>
      <c r="F2703" s="2">
        <f>DATE(2026,IF(Tabla1[[#This Row],[Mes de Fecha]]="Septiembre",9,10),Tabla1[[#This Row],[Día de Fecha]])</f>
        <v>46298</v>
      </c>
      <c r="G2703">
        <v>1140421188</v>
      </c>
      <c r="H2703" t="s">
        <v>347</v>
      </c>
      <c r="I2703">
        <v>134</v>
      </c>
      <c r="J2703">
        <v>0</v>
      </c>
      <c r="K2703" s="1">
        <v>7453619</v>
      </c>
    </row>
    <row r="2704" spans="1:11" x14ac:dyDescent="0.25">
      <c r="A2704" t="s">
        <v>326</v>
      </c>
      <c r="B2704" t="s">
        <v>775</v>
      </c>
      <c r="C2704" t="s">
        <v>867</v>
      </c>
      <c r="D2704" t="s">
        <v>14</v>
      </c>
      <c r="E2704">
        <v>4</v>
      </c>
      <c r="F2704" s="2">
        <f>DATE(2026,IF(Tabla1[[#This Row],[Mes de Fecha]]="Septiembre",9,10),Tabla1[[#This Row],[Día de Fecha]])</f>
        <v>46299</v>
      </c>
      <c r="I2704">
        <v>0</v>
      </c>
      <c r="J2704" s="1">
        <v>7952665</v>
      </c>
      <c r="K2704">
        <v>0</v>
      </c>
    </row>
    <row r="2705" spans="1:11" x14ac:dyDescent="0.25">
      <c r="A2705" t="s">
        <v>326</v>
      </c>
      <c r="B2705" t="s">
        <v>775</v>
      </c>
      <c r="C2705" t="s">
        <v>867</v>
      </c>
      <c r="D2705" t="s">
        <v>14</v>
      </c>
      <c r="E2705">
        <v>4</v>
      </c>
      <c r="F2705" s="2">
        <f>DATE(2026,IF(Tabla1[[#This Row],[Mes de Fecha]]="Septiembre",9,10),Tabla1[[#This Row],[Día de Fecha]])</f>
        <v>46299</v>
      </c>
      <c r="G2705">
        <v>1010076976</v>
      </c>
      <c r="H2705" t="s">
        <v>371</v>
      </c>
      <c r="I2705">
        <v>25</v>
      </c>
      <c r="J2705">
        <v>0</v>
      </c>
      <c r="K2705" s="1">
        <v>1507356</v>
      </c>
    </row>
    <row r="2706" spans="1:11" x14ac:dyDescent="0.25">
      <c r="A2706" t="s">
        <v>326</v>
      </c>
      <c r="B2706" t="s">
        <v>775</v>
      </c>
      <c r="C2706" t="s">
        <v>867</v>
      </c>
      <c r="D2706" t="s">
        <v>14</v>
      </c>
      <c r="E2706">
        <v>4</v>
      </c>
      <c r="F2706" s="2">
        <f>DATE(2026,IF(Tabla1[[#This Row],[Mes de Fecha]]="Septiembre",9,10),Tabla1[[#This Row],[Día de Fecha]])</f>
        <v>46299</v>
      </c>
      <c r="G2706">
        <v>1113038720</v>
      </c>
      <c r="H2706" t="s">
        <v>349</v>
      </c>
      <c r="I2706">
        <v>53</v>
      </c>
      <c r="J2706">
        <v>0</v>
      </c>
      <c r="K2706" s="1">
        <v>3155342</v>
      </c>
    </row>
    <row r="2707" spans="1:11" x14ac:dyDescent="0.25">
      <c r="A2707" t="s">
        <v>326</v>
      </c>
      <c r="B2707" t="s">
        <v>775</v>
      </c>
      <c r="C2707" t="s">
        <v>867</v>
      </c>
      <c r="D2707" t="s">
        <v>14</v>
      </c>
      <c r="E2707">
        <v>4</v>
      </c>
      <c r="F2707" s="2">
        <f>DATE(2026,IF(Tabla1[[#This Row],[Mes de Fecha]]="Septiembre",9,10),Tabla1[[#This Row],[Día de Fecha]])</f>
        <v>46299</v>
      </c>
      <c r="G2707">
        <v>1140421188</v>
      </c>
      <c r="H2707" t="s">
        <v>347</v>
      </c>
      <c r="I2707">
        <v>56</v>
      </c>
      <c r="J2707">
        <v>0</v>
      </c>
      <c r="K2707" s="1">
        <v>3035425</v>
      </c>
    </row>
    <row r="2708" spans="1:11" x14ac:dyDescent="0.25">
      <c r="A2708" t="s">
        <v>326</v>
      </c>
      <c r="B2708" t="s">
        <v>775</v>
      </c>
      <c r="C2708" t="s">
        <v>867</v>
      </c>
      <c r="D2708" t="s">
        <v>14</v>
      </c>
      <c r="E2708">
        <v>5</v>
      </c>
      <c r="F2708" s="2">
        <f>DATE(2026,IF(Tabla1[[#This Row],[Mes de Fecha]]="Septiembre",9,10),Tabla1[[#This Row],[Día de Fecha]])</f>
        <v>46300</v>
      </c>
      <c r="I2708">
        <v>0</v>
      </c>
      <c r="J2708" s="1">
        <v>9247115</v>
      </c>
      <c r="K2708">
        <v>0</v>
      </c>
    </row>
    <row r="2709" spans="1:11" x14ac:dyDescent="0.25">
      <c r="A2709" t="s">
        <v>326</v>
      </c>
      <c r="B2709" t="s">
        <v>775</v>
      </c>
      <c r="C2709" t="s">
        <v>867</v>
      </c>
      <c r="D2709" t="s">
        <v>14</v>
      </c>
      <c r="E2709">
        <v>5</v>
      </c>
      <c r="F2709" s="2">
        <f>DATE(2026,IF(Tabla1[[#This Row],[Mes de Fecha]]="Septiembre",9,10),Tabla1[[#This Row],[Día de Fecha]])</f>
        <v>46300</v>
      </c>
      <c r="G2709">
        <v>1006321986</v>
      </c>
      <c r="H2709" t="s">
        <v>345</v>
      </c>
      <c r="I2709">
        <v>-1</v>
      </c>
      <c r="J2709">
        <v>0</v>
      </c>
      <c r="K2709" s="1">
        <v>-50378</v>
      </c>
    </row>
    <row r="2710" spans="1:11" x14ac:dyDescent="0.25">
      <c r="A2710" t="s">
        <v>326</v>
      </c>
      <c r="B2710" t="s">
        <v>775</v>
      </c>
      <c r="C2710" t="s">
        <v>867</v>
      </c>
      <c r="D2710" t="s">
        <v>14</v>
      </c>
      <c r="E2710">
        <v>5</v>
      </c>
      <c r="F2710" s="2">
        <f>DATE(2026,IF(Tabla1[[#This Row],[Mes de Fecha]]="Septiembre",9,10),Tabla1[[#This Row],[Día de Fecha]])</f>
        <v>46300</v>
      </c>
      <c r="G2710">
        <v>1010076976</v>
      </c>
      <c r="H2710" t="s">
        <v>371</v>
      </c>
      <c r="I2710">
        <v>18</v>
      </c>
      <c r="J2710">
        <v>0</v>
      </c>
      <c r="K2710" s="1">
        <v>1263951</v>
      </c>
    </row>
    <row r="2711" spans="1:11" x14ac:dyDescent="0.25">
      <c r="A2711" t="s">
        <v>326</v>
      </c>
      <c r="B2711" t="s">
        <v>775</v>
      </c>
      <c r="C2711" t="s">
        <v>867</v>
      </c>
      <c r="D2711" t="s">
        <v>14</v>
      </c>
      <c r="E2711">
        <v>5</v>
      </c>
      <c r="F2711" s="2">
        <f>DATE(2026,IF(Tabla1[[#This Row],[Mes de Fecha]]="Septiembre",9,10),Tabla1[[#This Row],[Día de Fecha]])</f>
        <v>46300</v>
      </c>
      <c r="G2711">
        <v>1113038720</v>
      </c>
      <c r="H2711" t="s">
        <v>349</v>
      </c>
      <c r="I2711">
        <v>76</v>
      </c>
      <c r="J2711">
        <v>0</v>
      </c>
      <c r="K2711" s="1">
        <v>4404374</v>
      </c>
    </row>
    <row r="2712" spans="1:11" x14ac:dyDescent="0.25">
      <c r="A2712" t="s">
        <v>326</v>
      </c>
      <c r="B2712" t="s">
        <v>775</v>
      </c>
      <c r="C2712" t="s">
        <v>867</v>
      </c>
      <c r="D2712" t="s">
        <v>14</v>
      </c>
      <c r="E2712">
        <v>5</v>
      </c>
      <c r="F2712" s="2">
        <f>DATE(2026,IF(Tabla1[[#This Row],[Mes de Fecha]]="Septiembre",9,10),Tabla1[[#This Row],[Día de Fecha]])</f>
        <v>46300</v>
      </c>
      <c r="G2712">
        <v>1116284273</v>
      </c>
      <c r="H2712" t="s">
        <v>346</v>
      </c>
      <c r="I2712">
        <v>-1</v>
      </c>
      <c r="J2712">
        <v>0</v>
      </c>
      <c r="K2712" s="1">
        <v>-50378</v>
      </c>
    </row>
    <row r="2713" spans="1:11" x14ac:dyDescent="0.25">
      <c r="A2713" t="s">
        <v>326</v>
      </c>
      <c r="B2713" t="s">
        <v>775</v>
      </c>
      <c r="C2713" t="s">
        <v>867</v>
      </c>
      <c r="D2713" t="s">
        <v>14</v>
      </c>
      <c r="E2713">
        <v>5</v>
      </c>
      <c r="F2713" s="2">
        <f>DATE(2026,IF(Tabla1[[#This Row],[Mes de Fecha]]="Septiembre",9,10),Tabla1[[#This Row],[Día de Fecha]])</f>
        <v>46300</v>
      </c>
      <c r="G2713">
        <v>1140421188</v>
      </c>
      <c r="H2713" t="s">
        <v>347</v>
      </c>
      <c r="I2713">
        <v>78</v>
      </c>
      <c r="J2713">
        <v>0</v>
      </c>
      <c r="K2713" s="1">
        <v>5005130</v>
      </c>
    </row>
    <row r="2714" spans="1:11" x14ac:dyDescent="0.25">
      <c r="A2714" t="s">
        <v>326</v>
      </c>
      <c r="B2714" t="s">
        <v>775</v>
      </c>
      <c r="C2714" t="s">
        <v>867</v>
      </c>
      <c r="D2714" t="s">
        <v>14</v>
      </c>
      <c r="E2714">
        <v>6</v>
      </c>
      <c r="F2714" s="2">
        <f>DATE(2026,IF(Tabla1[[#This Row],[Mes de Fecha]]="Septiembre",9,10),Tabla1[[#This Row],[Día de Fecha]])</f>
        <v>46301</v>
      </c>
      <c r="I2714">
        <v>0</v>
      </c>
      <c r="J2714" s="1">
        <v>3207933</v>
      </c>
      <c r="K2714">
        <v>0</v>
      </c>
    </row>
    <row r="2715" spans="1:11" x14ac:dyDescent="0.25">
      <c r="A2715" t="s">
        <v>326</v>
      </c>
      <c r="B2715" t="s">
        <v>775</v>
      </c>
      <c r="C2715" t="s">
        <v>867</v>
      </c>
      <c r="D2715" t="s">
        <v>14</v>
      </c>
      <c r="E2715">
        <v>6</v>
      </c>
      <c r="F2715" s="2">
        <f>DATE(2026,IF(Tabla1[[#This Row],[Mes de Fecha]]="Septiembre",9,10),Tabla1[[#This Row],[Día de Fecha]])</f>
        <v>46301</v>
      </c>
      <c r="G2715">
        <v>1010076976</v>
      </c>
      <c r="H2715" t="s">
        <v>371</v>
      </c>
      <c r="I2715">
        <v>19</v>
      </c>
      <c r="J2715">
        <v>0</v>
      </c>
      <c r="K2715" s="1">
        <v>1053825</v>
      </c>
    </row>
    <row r="2716" spans="1:11" x14ac:dyDescent="0.25">
      <c r="A2716" t="s">
        <v>326</v>
      </c>
      <c r="B2716" t="s">
        <v>775</v>
      </c>
      <c r="C2716" t="s">
        <v>867</v>
      </c>
      <c r="D2716" t="s">
        <v>14</v>
      </c>
      <c r="E2716">
        <v>6</v>
      </c>
      <c r="F2716" s="2">
        <f>DATE(2026,IF(Tabla1[[#This Row],[Mes de Fecha]]="Septiembre",9,10),Tabla1[[#This Row],[Día de Fecha]])</f>
        <v>46301</v>
      </c>
      <c r="G2716">
        <v>1113038720</v>
      </c>
      <c r="H2716" t="s">
        <v>349</v>
      </c>
      <c r="I2716">
        <v>33</v>
      </c>
      <c r="J2716">
        <v>0</v>
      </c>
      <c r="K2716" s="1">
        <v>2155286</v>
      </c>
    </row>
    <row r="2717" spans="1:11" x14ac:dyDescent="0.25">
      <c r="A2717" t="s">
        <v>326</v>
      </c>
      <c r="B2717" t="s">
        <v>775</v>
      </c>
      <c r="C2717" t="s">
        <v>867</v>
      </c>
      <c r="D2717" t="s">
        <v>14</v>
      </c>
      <c r="E2717">
        <v>6</v>
      </c>
      <c r="F2717" s="2">
        <f>DATE(2026,IF(Tabla1[[#This Row],[Mes de Fecha]]="Septiembre",9,10),Tabla1[[#This Row],[Día de Fecha]])</f>
        <v>46301</v>
      </c>
      <c r="G2717">
        <v>1140421188</v>
      </c>
      <c r="H2717" t="s">
        <v>347</v>
      </c>
      <c r="I2717">
        <v>27</v>
      </c>
      <c r="J2717">
        <v>0</v>
      </c>
      <c r="K2717" s="1">
        <v>1318237</v>
      </c>
    </row>
    <row r="2718" spans="1:11" x14ac:dyDescent="0.25">
      <c r="A2718" t="s">
        <v>326</v>
      </c>
      <c r="B2718" t="s">
        <v>775</v>
      </c>
      <c r="C2718" t="s">
        <v>867</v>
      </c>
      <c r="D2718" t="s">
        <v>14</v>
      </c>
      <c r="E2718">
        <v>7</v>
      </c>
      <c r="F2718" s="2">
        <f>DATE(2026,IF(Tabla1[[#This Row],[Mes de Fecha]]="Septiembre",9,10),Tabla1[[#This Row],[Día de Fecha]])</f>
        <v>46302</v>
      </c>
      <c r="I2718">
        <v>0</v>
      </c>
      <c r="J2718" s="1">
        <v>3165722</v>
      </c>
      <c r="K2718">
        <v>0</v>
      </c>
    </row>
    <row r="2719" spans="1:11" x14ac:dyDescent="0.25">
      <c r="A2719" t="s">
        <v>326</v>
      </c>
      <c r="B2719" t="s">
        <v>775</v>
      </c>
      <c r="C2719" t="s">
        <v>867</v>
      </c>
      <c r="D2719" t="s">
        <v>14</v>
      </c>
      <c r="E2719">
        <v>7</v>
      </c>
      <c r="F2719" s="2">
        <f>DATE(2026,IF(Tabla1[[#This Row],[Mes de Fecha]]="Septiembre",9,10),Tabla1[[#This Row],[Día de Fecha]])</f>
        <v>46302</v>
      </c>
      <c r="G2719">
        <v>1010076976</v>
      </c>
      <c r="H2719" t="s">
        <v>371</v>
      </c>
      <c r="I2719">
        <v>13</v>
      </c>
      <c r="J2719">
        <v>0</v>
      </c>
      <c r="K2719" s="1">
        <v>705255</v>
      </c>
    </row>
    <row r="2720" spans="1:11" x14ac:dyDescent="0.25">
      <c r="A2720" t="s">
        <v>326</v>
      </c>
      <c r="B2720" t="s">
        <v>775</v>
      </c>
      <c r="C2720" t="s">
        <v>867</v>
      </c>
      <c r="D2720" t="s">
        <v>14</v>
      </c>
      <c r="E2720">
        <v>7</v>
      </c>
      <c r="F2720" s="2">
        <f>DATE(2026,IF(Tabla1[[#This Row],[Mes de Fecha]]="Septiembre",9,10),Tabla1[[#This Row],[Día de Fecha]])</f>
        <v>46302</v>
      </c>
      <c r="G2720">
        <v>1113038720</v>
      </c>
      <c r="H2720" t="s">
        <v>349</v>
      </c>
      <c r="I2720">
        <v>20</v>
      </c>
      <c r="J2720">
        <v>0</v>
      </c>
      <c r="K2720" s="1">
        <v>1431893</v>
      </c>
    </row>
    <row r="2721" spans="1:11" x14ac:dyDescent="0.25">
      <c r="A2721" t="s">
        <v>326</v>
      </c>
      <c r="B2721" t="s">
        <v>775</v>
      </c>
      <c r="C2721" t="s">
        <v>867</v>
      </c>
      <c r="D2721" t="s">
        <v>14</v>
      </c>
      <c r="E2721">
        <v>7</v>
      </c>
      <c r="F2721" s="2">
        <f>DATE(2026,IF(Tabla1[[#This Row],[Mes de Fecha]]="Septiembre",9,10),Tabla1[[#This Row],[Día de Fecha]])</f>
        <v>46302</v>
      </c>
      <c r="G2721">
        <v>1140421188</v>
      </c>
      <c r="H2721" t="s">
        <v>347</v>
      </c>
      <c r="I2721">
        <v>31</v>
      </c>
      <c r="J2721">
        <v>0</v>
      </c>
      <c r="K2721" s="1">
        <v>1658321</v>
      </c>
    </row>
    <row r="2722" spans="1:11" x14ac:dyDescent="0.25">
      <c r="A2722" t="s">
        <v>326</v>
      </c>
      <c r="B2722" t="s">
        <v>827</v>
      </c>
      <c r="C2722" t="s">
        <v>867</v>
      </c>
      <c r="D2722" t="s">
        <v>11</v>
      </c>
      <c r="E2722">
        <v>23</v>
      </c>
      <c r="F2722" s="2">
        <f>DATE(2026,IF(Tabla1[[#This Row],[Mes de Fecha]]="Septiembre",9,10),Tabla1[[#This Row],[Día de Fecha]])</f>
        <v>46288</v>
      </c>
      <c r="I2722">
        <v>0</v>
      </c>
      <c r="J2722" s="1">
        <v>5693881</v>
      </c>
      <c r="K2722">
        <v>0</v>
      </c>
    </row>
    <row r="2723" spans="1:11" x14ac:dyDescent="0.25">
      <c r="A2723" t="s">
        <v>326</v>
      </c>
      <c r="B2723" t="s">
        <v>827</v>
      </c>
      <c r="C2723" t="s">
        <v>867</v>
      </c>
      <c r="D2723" t="s">
        <v>11</v>
      </c>
      <c r="E2723">
        <v>23</v>
      </c>
      <c r="F2723" s="2">
        <f>DATE(2026,IF(Tabla1[[#This Row],[Mes de Fecha]]="Septiembre",9,10),Tabla1[[#This Row],[Día de Fecha]])</f>
        <v>46288</v>
      </c>
      <c r="G2723">
        <v>18586321</v>
      </c>
      <c r="H2723" t="s">
        <v>693</v>
      </c>
      <c r="I2723">
        <v>60</v>
      </c>
      <c r="J2723">
        <v>0</v>
      </c>
      <c r="K2723" s="1">
        <v>3393571</v>
      </c>
    </row>
    <row r="2724" spans="1:11" x14ac:dyDescent="0.25">
      <c r="A2724" t="s">
        <v>326</v>
      </c>
      <c r="B2724" t="s">
        <v>827</v>
      </c>
      <c r="C2724" t="s">
        <v>867</v>
      </c>
      <c r="D2724" t="s">
        <v>11</v>
      </c>
      <c r="E2724">
        <v>23</v>
      </c>
      <c r="F2724" s="2">
        <f>DATE(2026,IF(Tabla1[[#This Row],[Mes de Fecha]]="Septiembre",9,10),Tabla1[[#This Row],[Día de Fecha]])</f>
        <v>46288</v>
      </c>
      <c r="G2724">
        <v>1044101083</v>
      </c>
      <c r="H2724" t="s">
        <v>360</v>
      </c>
      <c r="I2724">
        <v>-1</v>
      </c>
      <c r="J2724">
        <v>0</v>
      </c>
      <c r="K2724" s="1">
        <v>-100756</v>
      </c>
    </row>
    <row r="2725" spans="1:11" x14ac:dyDescent="0.25">
      <c r="A2725" t="s">
        <v>326</v>
      </c>
      <c r="B2725" t="s">
        <v>827</v>
      </c>
      <c r="C2725" t="s">
        <v>867</v>
      </c>
      <c r="D2725" t="s">
        <v>11</v>
      </c>
      <c r="E2725">
        <v>23</v>
      </c>
      <c r="F2725" s="2">
        <f>DATE(2026,IF(Tabla1[[#This Row],[Mes de Fecha]]="Septiembre",9,10),Tabla1[[#This Row],[Día de Fecha]])</f>
        <v>46288</v>
      </c>
      <c r="G2725">
        <v>1080040843</v>
      </c>
      <c r="H2725" t="s">
        <v>691</v>
      </c>
      <c r="I2725">
        <v>42</v>
      </c>
      <c r="J2725">
        <v>0</v>
      </c>
      <c r="K2725" s="1">
        <v>2380589</v>
      </c>
    </row>
    <row r="2726" spans="1:11" x14ac:dyDescent="0.25">
      <c r="A2726" t="s">
        <v>326</v>
      </c>
      <c r="B2726" t="s">
        <v>827</v>
      </c>
      <c r="C2726" t="s">
        <v>867</v>
      </c>
      <c r="D2726" t="s">
        <v>11</v>
      </c>
      <c r="E2726">
        <v>23</v>
      </c>
      <c r="F2726" s="2">
        <f>DATE(2026,IF(Tabla1[[#This Row],[Mes de Fecha]]="Septiembre",9,10),Tabla1[[#This Row],[Día de Fecha]])</f>
        <v>46288</v>
      </c>
      <c r="G2726">
        <v>1113675600</v>
      </c>
      <c r="H2726" t="s">
        <v>594</v>
      </c>
      <c r="I2726">
        <v>25</v>
      </c>
      <c r="J2726">
        <v>0</v>
      </c>
      <c r="K2726" s="1">
        <v>1078573</v>
      </c>
    </row>
    <row r="2727" spans="1:11" x14ac:dyDescent="0.25">
      <c r="A2727" t="s">
        <v>326</v>
      </c>
      <c r="B2727" t="s">
        <v>827</v>
      </c>
      <c r="C2727" t="s">
        <v>867</v>
      </c>
      <c r="D2727" t="s">
        <v>11</v>
      </c>
      <c r="E2727">
        <v>23</v>
      </c>
      <c r="F2727" s="2">
        <f>DATE(2026,IF(Tabla1[[#This Row],[Mes de Fecha]]="Septiembre",9,10),Tabla1[[#This Row],[Día de Fecha]])</f>
        <v>46288</v>
      </c>
      <c r="G2727">
        <v>1113684554</v>
      </c>
      <c r="H2727" t="s">
        <v>696</v>
      </c>
      <c r="I2727">
        <v>12</v>
      </c>
      <c r="J2727">
        <v>0</v>
      </c>
      <c r="K2727" s="1">
        <v>541387</v>
      </c>
    </row>
    <row r="2728" spans="1:11" x14ac:dyDescent="0.25">
      <c r="A2728" t="s">
        <v>326</v>
      </c>
      <c r="B2728" t="s">
        <v>827</v>
      </c>
      <c r="C2728" t="s">
        <v>867</v>
      </c>
      <c r="D2728" t="s">
        <v>11</v>
      </c>
      <c r="E2728">
        <v>24</v>
      </c>
      <c r="F2728" s="2">
        <f>DATE(2026,IF(Tabla1[[#This Row],[Mes de Fecha]]="Septiembre",9,10),Tabla1[[#This Row],[Día de Fecha]])</f>
        <v>46289</v>
      </c>
      <c r="I2728">
        <v>0</v>
      </c>
      <c r="J2728" s="1">
        <v>8698045</v>
      </c>
      <c r="K2728">
        <v>0</v>
      </c>
    </row>
    <row r="2729" spans="1:11" x14ac:dyDescent="0.25">
      <c r="A2729" t="s">
        <v>326</v>
      </c>
      <c r="B2729" t="s">
        <v>827</v>
      </c>
      <c r="C2729" t="s">
        <v>867</v>
      </c>
      <c r="D2729" t="s">
        <v>11</v>
      </c>
      <c r="E2729">
        <v>24</v>
      </c>
      <c r="F2729" s="2">
        <f>DATE(2026,IF(Tabla1[[#This Row],[Mes de Fecha]]="Septiembre",9,10),Tabla1[[#This Row],[Día de Fecha]])</f>
        <v>46289</v>
      </c>
      <c r="G2729">
        <v>18586321</v>
      </c>
      <c r="H2729" t="s">
        <v>693</v>
      </c>
      <c r="I2729">
        <v>57</v>
      </c>
      <c r="J2729">
        <v>0</v>
      </c>
      <c r="K2729" s="1">
        <v>3328616</v>
      </c>
    </row>
    <row r="2730" spans="1:11" x14ac:dyDescent="0.25">
      <c r="A2730" t="s">
        <v>326</v>
      </c>
      <c r="B2730" t="s">
        <v>827</v>
      </c>
      <c r="C2730" t="s">
        <v>867</v>
      </c>
      <c r="D2730" t="s">
        <v>11</v>
      </c>
      <c r="E2730">
        <v>24</v>
      </c>
      <c r="F2730" s="2">
        <f>DATE(2026,IF(Tabla1[[#This Row],[Mes de Fecha]]="Septiembre",9,10),Tabla1[[#This Row],[Día de Fecha]])</f>
        <v>46289</v>
      </c>
      <c r="G2730">
        <v>1080040843</v>
      </c>
      <c r="H2730" t="s">
        <v>691</v>
      </c>
      <c r="I2730">
        <v>35</v>
      </c>
      <c r="J2730">
        <v>0</v>
      </c>
      <c r="K2730" s="1">
        <v>1725423</v>
      </c>
    </row>
    <row r="2731" spans="1:11" x14ac:dyDescent="0.25">
      <c r="A2731" t="s">
        <v>326</v>
      </c>
      <c r="B2731" t="s">
        <v>827</v>
      </c>
      <c r="C2731" t="s">
        <v>867</v>
      </c>
      <c r="D2731" t="s">
        <v>11</v>
      </c>
      <c r="E2731">
        <v>24</v>
      </c>
      <c r="F2731" s="2">
        <f>DATE(2026,IF(Tabla1[[#This Row],[Mes de Fecha]]="Septiembre",9,10),Tabla1[[#This Row],[Día de Fecha]])</f>
        <v>46289</v>
      </c>
      <c r="G2731">
        <v>1113675600</v>
      </c>
      <c r="H2731" t="s">
        <v>594</v>
      </c>
      <c r="I2731">
        <v>53</v>
      </c>
      <c r="J2731">
        <v>0</v>
      </c>
      <c r="K2731" s="1">
        <v>2734874</v>
      </c>
    </row>
    <row r="2732" spans="1:11" x14ac:dyDescent="0.25">
      <c r="A2732" t="s">
        <v>326</v>
      </c>
      <c r="B2732" t="s">
        <v>827</v>
      </c>
      <c r="C2732" t="s">
        <v>867</v>
      </c>
      <c r="D2732" t="s">
        <v>11</v>
      </c>
      <c r="E2732">
        <v>24</v>
      </c>
      <c r="F2732" s="2">
        <f>DATE(2026,IF(Tabla1[[#This Row],[Mes de Fecha]]="Septiembre",9,10),Tabla1[[#This Row],[Día de Fecha]])</f>
        <v>46289</v>
      </c>
      <c r="G2732">
        <v>1113684554</v>
      </c>
      <c r="H2732" t="s">
        <v>696</v>
      </c>
      <c r="I2732">
        <v>41</v>
      </c>
      <c r="J2732">
        <v>0</v>
      </c>
      <c r="K2732" s="1">
        <v>2141010</v>
      </c>
    </row>
    <row r="2733" spans="1:11" x14ac:dyDescent="0.25">
      <c r="A2733" t="s">
        <v>326</v>
      </c>
      <c r="B2733" t="s">
        <v>827</v>
      </c>
      <c r="C2733" t="s">
        <v>867</v>
      </c>
      <c r="D2733" t="s">
        <v>11</v>
      </c>
      <c r="E2733">
        <v>25</v>
      </c>
      <c r="F2733" s="2">
        <f>DATE(2026,IF(Tabla1[[#This Row],[Mes de Fecha]]="Septiembre",9,10),Tabla1[[#This Row],[Día de Fecha]])</f>
        <v>46290</v>
      </c>
      <c r="I2733">
        <v>0</v>
      </c>
      <c r="J2733" s="1">
        <v>8678788</v>
      </c>
      <c r="K2733">
        <v>0</v>
      </c>
    </row>
    <row r="2734" spans="1:11" x14ac:dyDescent="0.25">
      <c r="A2734" t="s">
        <v>326</v>
      </c>
      <c r="B2734" t="s">
        <v>827</v>
      </c>
      <c r="C2734" t="s">
        <v>867</v>
      </c>
      <c r="D2734" t="s">
        <v>11</v>
      </c>
      <c r="E2734">
        <v>25</v>
      </c>
      <c r="F2734" s="2">
        <f>DATE(2026,IF(Tabla1[[#This Row],[Mes de Fecha]]="Septiembre",9,10),Tabla1[[#This Row],[Día de Fecha]])</f>
        <v>46290</v>
      </c>
      <c r="G2734">
        <v>18586321</v>
      </c>
      <c r="H2734" t="s">
        <v>693</v>
      </c>
      <c r="I2734">
        <v>47</v>
      </c>
      <c r="J2734">
        <v>0</v>
      </c>
      <c r="K2734" s="1">
        <v>2176514</v>
      </c>
    </row>
    <row r="2735" spans="1:11" x14ac:dyDescent="0.25">
      <c r="A2735" t="s">
        <v>326</v>
      </c>
      <c r="B2735" t="s">
        <v>827</v>
      </c>
      <c r="C2735" t="s">
        <v>867</v>
      </c>
      <c r="D2735" t="s">
        <v>11</v>
      </c>
      <c r="E2735">
        <v>25</v>
      </c>
      <c r="F2735" s="2">
        <f>DATE(2026,IF(Tabla1[[#This Row],[Mes de Fecha]]="Septiembre",9,10),Tabla1[[#This Row],[Día de Fecha]])</f>
        <v>46290</v>
      </c>
      <c r="G2735">
        <v>1080040843</v>
      </c>
      <c r="H2735" t="s">
        <v>691</v>
      </c>
      <c r="I2735">
        <v>28</v>
      </c>
      <c r="J2735">
        <v>0</v>
      </c>
      <c r="K2735" s="1">
        <v>1671094</v>
      </c>
    </row>
    <row r="2736" spans="1:11" x14ac:dyDescent="0.25">
      <c r="A2736" t="s">
        <v>326</v>
      </c>
      <c r="B2736" t="s">
        <v>827</v>
      </c>
      <c r="C2736" t="s">
        <v>867</v>
      </c>
      <c r="D2736" t="s">
        <v>11</v>
      </c>
      <c r="E2736">
        <v>25</v>
      </c>
      <c r="F2736" s="2">
        <f>DATE(2026,IF(Tabla1[[#This Row],[Mes de Fecha]]="Septiembre",9,10),Tabla1[[#This Row],[Día de Fecha]])</f>
        <v>46290</v>
      </c>
      <c r="G2736">
        <v>1113675600</v>
      </c>
      <c r="H2736" t="s">
        <v>594</v>
      </c>
      <c r="I2736">
        <v>38</v>
      </c>
      <c r="J2736">
        <v>0</v>
      </c>
      <c r="K2736" s="1">
        <v>2229372</v>
      </c>
    </row>
    <row r="2737" spans="1:11" x14ac:dyDescent="0.25">
      <c r="A2737" t="s">
        <v>326</v>
      </c>
      <c r="B2737" t="s">
        <v>827</v>
      </c>
      <c r="C2737" t="s">
        <v>867</v>
      </c>
      <c r="D2737" t="s">
        <v>11</v>
      </c>
      <c r="E2737">
        <v>25</v>
      </c>
      <c r="F2737" s="2">
        <f>DATE(2026,IF(Tabla1[[#This Row],[Mes de Fecha]]="Septiembre",9,10),Tabla1[[#This Row],[Día de Fecha]])</f>
        <v>46290</v>
      </c>
      <c r="G2737">
        <v>1113684554</v>
      </c>
      <c r="H2737" t="s">
        <v>696</v>
      </c>
      <c r="I2737">
        <v>15</v>
      </c>
      <c r="J2737">
        <v>0</v>
      </c>
      <c r="K2737" s="1">
        <v>873322</v>
      </c>
    </row>
    <row r="2738" spans="1:11" x14ac:dyDescent="0.25">
      <c r="A2738" t="s">
        <v>326</v>
      </c>
      <c r="B2738" t="s">
        <v>827</v>
      </c>
      <c r="C2738" t="s">
        <v>867</v>
      </c>
      <c r="D2738" t="s">
        <v>11</v>
      </c>
      <c r="E2738">
        <v>26</v>
      </c>
      <c r="F2738" s="2">
        <f>DATE(2026,IF(Tabla1[[#This Row],[Mes de Fecha]]="Septiembre",9,10),Tabla1[[#This Row],[Día de Fecha]])</f>
        <v>46291</v>
      </c>
      <c r="I2738">
        <v>0</v>
      </c>
      <c r="J2738" s="1">
        <v>12472666</v>
      </c>
      <c r="K2738">
        <v>0</v>
      </c>
    </row>
    <row r="2739" spans="1:11" x14ac:dyDescent="0.25">
      <c r="A2739" t="s">
        <v>326</v>
      </c>
      <c r="B2739" t="s">
        <v>827</v>
      </c>
      <c r="C2739" t="s">
        <v>867</v>
      </c>
      <c r="D2739" t="s">
        <v>11</v>
      </c>
      <c r="E2739">
        <v>26</v>
      </c>
      <c r="F2739" s="2">
        <f>DATE(2026,IF(Tabla1[[#This Row],[Mes de Fecha]]="Septiembre",9,10),Tabla1[[#This Row],[Día de Fecha]])</f>
        <v>46291</v>
      </c>
      <c r="G2739">
        <v>18586321</v>
      </c>
      <c r="H2739" t="s">
        <v>693</v>
      </c>
      <c r="I2739">
        <v>66</v>
      </c>
      <c r="J2739">
        <v>0</v>
      </c>
      <c r="K2739" s="1">
        <v>3946685</v>
      </c>
    </row>
    <row r="2740" spans="1:11" x14ac:dyDescent="0.25">
      <c r="A2740" t="s">
        <v>326</v>
      </c>
      <c r="B2740" t="s">
        <v>827</v>
      </c>
      <c r="C2740" t="s">
        <v>867</v>
      </c>
      <c r="D2740" t="s">
        <v>11</v>
      </c>
      <c r="E2740">
        <v>26</v>
      </c>
      <c r="F2740" s="2">
        <f>DATE(2026,IF(Tabla1[[#This Row],[Mes de Fecha]]="Septiembre",9,10),Tabla1[[#This Row],[Día de Fecha]])</f>
        <v>46291</v>
      </c>
      <c r="G2740">
        <v>1080040843</v>
      </c>
      <c r="H2740" t="s">
        <v>691</v>
      </c>
      <c r="I2740">
        <v>64</v>
      </c>
      <c r="J2740">
        <v>0</v>
      </c>
      <c r="K2740" s="1">
        <v>3171264</v>
      </c>
    </row>
    <row r="2741" spans="1:11" x14ac:dyDescent="0.25">
      <c r="A2741" t="s">
        <v>326</v>
      </c>
      <c r="B2741" t="s">
        <v>827</v>
      </c>
      <c r="C2741" t="s">
        <v>867</v>
      </c>
      <c r="D2741" t="s">
        <v>11</v>
      </c>
      <c r="E2741">
        <v>26</v>
      </c>
      <c r="F2741" s="2">
        <f>DATE(2026,IF(Tabla1[[#This Row],[Mes de Fecha]]="Septiembre",9,10),Tabla1[[#This Row],[Día de Fecha]])</f>
        <v>46291</v>
      </c>
      <c r="G2741">
        <v>1113675600</v>
      </c>
      <c r="H2741" t="s">
        <v>594</v>
      </c>
      <c r="I2741">
        <v>53</v>
      </c>
      <c r="J2741">
        <v>0</v>
      </c>
      <c r="K2741" s="1">
        <v>2894665</v>
      </c>
    </row>
    <row r="2742" spans="1:11" x14ac:dyDescent="0.25">
      <c r="A2742" t="s">
        <v>326</v>
      </c>
      <c r="B2742" t="s">
        <v>827</v>
      </c>
      <c r="C2742" t="s">
        <v>867</v>
      </c>
      <c r="D2742" t="s">
        <v>11</v>
      </c>
      <c r="E2742">
        <v>26</v>
      </c>
      <c r="F2742" s="2">
        <f>DATE(2026,IF(Tabla1[[#This Row],[Mes de Fecha]]="Septiembre",9,10),Tabla1[[#This Row],[Día de Fecha]])</f>
        <v>46291</v>
      </c>
      <c r="G2742">
        <v>1113684554</v>
      </c>
      <c r="H2742" t="s">
        <v>696</v>
      </c>
      <c r="I2742">
        <v>58</v>
      </c>
      <c r="J2742">
        <v>0</v>
      </c>
      <c r="K2742" s="1">
        <v>3249458</v>
      </c>
    </row>
    <row r="2743" spans="1:11" x14ac:dyDescent="0.25">
      <c r="A2743" t="s">
        <v>326</v>
      </c>
      <c r="B2743" t="s">
        <v>827</v>
      </c>
      <c r="C2743" t="s">
        <v>867</v>
      </c>
      <c r="D2743" t="s">
        <v>11</v>
      </c>
      <c r="E2743">
        <v>27</v>
      </c>
      <c r="F2743" s="2">
        <f>DATE(2026,IF(Tabla1[[#This Row],[Mes de Fecha]]="Septiembre",9,10),Tabla1[[#This Row],[Día de Fecha]])</f>
        <v>46292</v>
      </c>
      <c r="I2743">
        <v>0</v>
      </c>
      <c r="J2743" s="1">
        <v>9880862</v>
      </c>
      <c r="K2743">
        <v>0</v>
      </c>
    </row>
    <row r="2744" spans="1:11" x14ac:dyDescent="0.25">
      <c r="A2744" t="s">
        <v>326</v>
      </c>
      <c r="B2744" t="s">
        <v>827</v>
      </c>
      <c r="C2744" t="s">
        <v>867</v>
      </c>
      <c r="D2744" t="s">
        <v>11</v>
      </c>
      <c r="E2744">
        <v>27</v>
      </c>
      <c r="F2744" s="2">
        <f>DATE(2026,IF(Tabla1[[#This Row],[Mes de Fecha]]="Septiembre",9,10),Tabla1[[#This Row],[Día de Fecha]])</f>
        <v>46292</v>
      </c>
      <c r="G2744">
        <v>18586321</v>
      </c>
      <c r="H2744" t="s">
        <v>693</v>
      </c>
      <c r="I2744">
        <v>24</v>
      </c>
      <c r="J2744">
        <v>0</v>
      </c>
      <c r="K2744" s="1">
        <v>1176639</v>
      </c>
    </row>
    <row r="2745" spans="1:11" x14ac:dyDescent="0.25">
      <c r="A2745" t="s">
        <v>326</v>
      </c>
      <c r="B2745" t="s">
        <v>827</v>
      </c>
      <c r="C2745" t="s">
        <v>867</v>
      </c>
      <c r="D2745" t="s">
        <v>11</v>
      </c>
      <c r="E2745">
        <v>27</v>
      </c>
      <c r="F2745" s="2">
        <f>DATE(2026,IF(Tabla1[[#This Row],[Mes de Fecha]]="Septiembre",9,10),Tabla1[[#This Row],[Día de Fecha]])</f>
        <v>46292</v>
      </c>
      <c r="G2745">
        <v>1080040843</v>
      </c>
      <c r="H2745" t="s">
        <v>691</v>
      </c>
      <c r="I2745">
        <v>17</v>
      </c>
      <c r="J2745">
        <v>0</v>
      </c>
      <c r="K2745" s="1">
        <v>778614</v>
      </c>
    </row>
    <row r="2746" spans="1:11" x14ac:dyDescent="0.25">
      <c r="A2746" t="s">
        <v>326</v>
      </c>
      <c r="B2746" t="s">
        <v>827</v>
      </c>
      <c r="C2746" t="s">
        <v>867</v>
      </c>
      <c r="D2746" t="s">
        <v>11</v>
      </c>
      <c r="E2746">
        <v>27</v>
      </c>
      <c r="F2746" s="2">
        <f>DATE(2026,IF(Tabla1[[#This Row],[Mes de Fecha]]="Septiembre",9,10),Tabla1[[#This Row],[Día de Fecha]])</f>
        <v>46292</v>
      </c>
      <c r="G2746">
        <v>1113675600</v>
      </c>
      <c r="H2746" t="s">
        <v>594</v>
      </c>
      <c r="I2746">
        <v>22</v>
      </c>
      <c r="J2746">
        <v>0</v>
      </c>
      <c r="K2746" s="1">
        <v>1021135</v>
      </c>
    </row>
    <row r="2747" spans="1:11" x14ac:dyDescent="0.25">
      <c r="A2747" t="s">
        <v>326</v>
      </c>
      <c r="B2747" t="s">
        <v>827</v>
      </c>
      <c r="C2747" t="s">
        <v>867</v>
      </c>
      <c r="D2747" t="s">
        <v>11</v>
      </c>
      <c r="E2747">
        <v>27</v>
      </c>
      <c r="F2747" s="2">
        <f>DATE(2026,IF(Tabla1[[#This Row],[Mes de Fecha]]="Septiembre",9,10),Tabla1[[#This Row],[Día de Fecha]])</f>
        <v>46292</v>
      </c>
      <c r="G2747">
        <v>1113684554</v>
      </c>
      <c r="H2747" t="s">
        <v>696</v>
      </c>
      <c r="I2747">
        <v>22</v>
      </c>
      <c r="J2747">
        <v>0</v>
      </c>
      <c r="K2747" s="1">
        <v>1030295</v>
      </c>
    </row>
    <row r="2748" spans="1:11" x14ac:dyDescent="0.25">
      <c r="A2748" t="s">
        <v>326</v>
      </c>
      <c r="B2748" t="s">
        <v>827</v>
      </c>
      <c r="C2748" t="s">
        <v>867</v>
      </c>
      <c r="D2748" t="s">
        <v>11</v>
      </c>
      <c r="E2748">
        <v>28</v>
      </c>
      <c r="F2748" s="2">
        <f>DATE(2026,IF(Tabla1[[#This Row],[Mes de Fecha]]="Septiembre",9,10),Tabla1[[#This Row],[Día de Fecha]])</f>
        <v>46293</v>
      </c>
      <c r="I2748">
        <v>0</v>
      </c>
      <c r="J2748" s="1">
        <v>5563365</v>
      </c>
      <c r="K2748">
        <v>0</v>
      </c>
    </row>
    <row r="2749" spans="1:11" x14ac:dyDescent="0.25">
      <c r="A2749" t="s">
        <v>326</v>
      </c>
      <c r="B2749" t="s">
        <v>827</v>
      </c>
      <c r="C2749" t="s">
        <v>867</v>
      </c>
      <c r="D2749" t="s">
        <v>11</v>
      </c>
      <c r="E2749">
        <v>28</v>
      </c>
      <c r="F2749" s="2">
        <f>DATE(2026,IF(Tabla1[[#This Row],[Mes de Fecha]]="Septiembre",9,10),Tabla1[[#This Row],[Día de Fecha]])</f>
        <v>46293</v>
      </c>
      <c r="G2749">
        <v>18586321</v>
      </c>
      <c r="H2749" t="s">
        <v>693</v>
      </c>
      <c r="I2749">
        <v>24</v>
      </c>
      <c r="J2749">
        <v>0</v>
      </c>
      <c r="K2749" s="1">
        <v>1488448</v>
      </c>
    </row>
    <row r="2750" spans="1:11" x14ac:dyDescent="0.25">
      <c r="A2750" t="s">
        <v>326</v>
      </c>
      <c r="B2750" t="s">
        <v>827</v>
      </c>
      <c r="C2750" t="s">
        <v>867</v>
      </c>
      <c r="D2750" t="s">
        <v>11</v>
      </c>
      <c r="E2750">
        <v>28</v>
      </c>
      <c r="F2750" s="2">
        <f>DATE(2026,IF(Tabla1[[#This Row],[Mes de Fecha]]="Septiembre",9,10),Tabla1[[#This Row],[Día de Fecha]])</f>
        <v>46293</v>
      </c>
      <c r="G2750">
        <v>1080040843</v>
      </c>
      <c r="H2750" t="s">
        <v>691</v>
      </c>
      <c r="I2750">
        <v>34</v>
      </c>
      <c r="J2750">
        <v>0</v>
      </c>
      <c r="K2750" s="1">
        <v>1748573</v>
      </c>
    </row>
    <row r="2751" spans="1:11" x14ac:dyDescent="0.25">
      <c r="A2751" t="s">
        <v>326</v>
      </c>
      <c r="B2751" t="s">
        <v>827</v>
      </c>
      <c r="C2751" t="s">
        <v>867</v>
      </c>
      <c r="D2751" t="s">
        <v>11</v>
      </c>
      <c r="E2751">
        <v>28</v>
      </c>
      <c r="F2751" s="2">
        <f>DATE(2026,IF(Tabla1[[#This Row],[Mes de Fecha]]="Septiembre",9,10),Tabla1[[#This Row],[Día de Fecha]])</f>
        <v>46293</v>
      </c>
      <c r="G2751">
        <v>1113675600</v>
      </c>
      <c r="H2751" t="s">
        <v>594</v>
      </c>
      <c r="I2751">
        <v>30</v>
      </c>
      <c r="J2751">
        <v>0</v>
      </c>
      <c r="K2751" s="1">
        <v>1727732</v>
      </c>
    </row>
    <row r="2752" spans="1:11" x14ac:dyDescent="0.25">
      <c r="A2752" t="s">
        <v>326</v>
      </c>
      <c r="B2752" t="s">
        <v>827</v>
      </c>
      <c r="C2752" t="s">
        <v>867</v>
      </c>
      <c r="D2752" t="s">
        <v>11</v>
      </c>
      <c r="E2752">
        <v>28</v>
      </c>
      <c r="F2752" s="2">
        <f>DATE(2026,IF(Tabla1[[#This Row],[Mes de Fecha]]="Septiembre",9,10),Tabla1[[#This Row],[Día de Fecha]])</f>
        <v>46293</v>
      </c>
      <c r="G2752">
        <v>1113684554</v>
      </c>
      <c r="H2752" t="s">
        <v>696</v>
      </c>
      <c r="I2752">
        <v>18</v>
      </c>
      <c r="J2752">
        <v>0</v>
      </c>
      <c r="K2752" s="1">
        <v>1108278</v>
      </c>
    </row>
    <row r="2753" spans="1:11" x14ac:dyDescent="0.25">
      <c r="A2753" t="s">
        <v>326</v>
      </c>
      <c r="B2753" t="s">
        <v>827</v>
      </c>
      <c r="C2753" t="s">
        <v>867</v>
      </c>
      <c r="D2753" t="s">
        <v>11</v>
      </c>
      <c r="E2753">
        <v>29</v>
      </c>
      <c r="F2753" s="2">
        <f>DATE(2026,IF(Tabla1[[#This Row],[Mes de Fecha]]="Septiembre",9,10),Tabla1[[#This Row],[Día de Fecha]])</f>
        <v>46294</v>
      </c>
      <c r="I2753">
        <v>0</v>
      </c>
      <c r="J2753" s="1">
        <v>5683527</v>
      </c>
      <c r="K2753">
        <v>0</v>
      </c>
    </row>
    <row r="2754" spans="1:11" x14ac:dyDescent="0.25">
      <c r="A2754" t="s">
        <v>326</v>
      </c>
      <c r="B2754" t="s">
        <v>827</v>
      </c>
      <c r="C2754" t="s">
        <v>867</v>
      </c>
      <c r="D2754" t="s">
        <v>11</v>
      </c>
      <c r="E2754">
        <v>29</v>
      </c>
      <c r="F2754" s="2">
        <f>DATE(2026,IF(Tabla1[[#This Row],[Mes de Fecha]]="Septiembre",9,10),Tabla1[[#This Row],[Día de Fecha]])</f>
        <v>46294</v>
      </c>
      <c r="G2754">
        <v>18586321</v>
      </c>
      <c r="H2754" t="s">
        <v>693</v>
      </c>
      <c r="I2754">
        <v>45</v>
      </c>
      <c r="J2754">
        <v>0</v>
      </c>
      <c r="K2754" s="1">
        <v>2281596</v>
      </c>
    </row>
    <row r="2755" spans="1:11" x14ac:dyDescent="0.25">
      <c r="A2755" t="s">
        <v>326</v>
      </c>
      <c r="B2755" t="s">
        <v>827</v>
      </c>
      <c r="C2755" t="s">
        <v>867</v>
      </c>
      <c r="D2755" t="s">
        <v>11</v>
      </c>
      <c r="E2755">
        <v>29</v>
      </c>
      <c r="F2755" s="2">
        <f>DATE(2026,IF(Tabla1[[#This Row],[Mes de Fecha]]="Septiembre",9,10),Tabla1[[#This Row],[Día de Fecha]])</f>
        <v>46294</v>
      </c>
      <c r="G2755">
        <v>1080040843</v>
      </c>
      <c r="H2755" t="s">
        <v>691</v>
      </c>
      <c r="I2755">
        <v>34</v>
      </c>
      <c r="J2755">
        <v>0</v>
      </c>
      <c r="K2755" s="1">
        <v>1975295</v>
      </c>
    </row>
    <row r="2756" spans="1:11" x14ac:dyDescent="0.25">
      <c r="A2756" t="s">
        <v>326</v>
      </c>
      <c r="B2756" t="s">
        <v>827</v>
      </c>
      <c r="C2756" t="s">
        <v>867</v>
      </c>
      <c r="D2756" t="s">
        <v>11</v>
      </c>
      <c r="E2756">
        <v>29</v>
      </c>
      <c r="F2756" s="2">
        <f>DATE(2026,IF(Tabla1[[#This Row],[Mes de Fecha]]="Septiembre",9,10),Tabla1[[#This Row],[Día de Fecha]])</f>
        <v>46294</v>
      </c>
      <c r="G2756">
        <v>1113637332</v>
      </c>
      <c r="H2756" t="s">
        <v>695</v>
      </c>
      <c r="I2756">
        <v>-1</v>
      </c>
      <c r="J2756">
        <v>0</v>
      </c>
      <c r="K2756" s="1">
        <v>-71386</v>
      </c>
    </row>
    <row r="2757" spans="1:11" x14ac:dyDescent="0.25">
      <c r="A2757" t="s">
        <v>326</v>
      </c>
      <c r="B2757" t="s">
        <v>827</v>
      </c>
      <c r="C2757" t="s">
        <v>867</v>
      </c>
      <c r="D2757" t="s">
        <v>11</v>
      </c>
      <c r="E2757">
        <v>29</v>
      </c>
      <c r="F2757" s="2">
        <f>DATE(2026,IF(Tabla1[[#This Row],[Mes de Fecha]]="Septiembre",9,10),Tabla1[[#This Row],[Día de Fecha]])</f>
        <v>46294</v>
      </c>
      <c r="G2757">
        <v>1113675600</v>
      </c>
      <c r="H2757" t="s">
        <v>594</v>
      </c>
      <c r="I2757">
        <v>29</v>
      </c>
      <c r="J2757">
        <v>0</v>
      </c>
      <c r="K2757" s="1">
        <v>1637354</v>
      </c>
    </row>
    <row r="2758" spans="1:11" x14ac:dyDescent="0.25">
      <c r="A2758" t="s">
        <v>326</v>
      </c>
      <c r="B2758" t="s">
        <v>827</v>
      </c>
      <c r="C2758" t="s">
        <v>867</v>
      </c>
      <c r="D2758" t="s">
        <v>11</v>
      </c>
      <c r="E2758">
        <v>29</v>
      </c>
      <c r="F2758" s="2">
        <f>DATE(2026,IF(Tabla1[[#This Row],[Mes de Fecha]]="Septiembre",9,10),Tabla1[[#This Row],[Día de Fecha]])</f>
        <v>46294</v>
      </c>
      <c r="G2758">
        <v>1113684554</v>
      </c>
      <c r="H2758" t="s">
        <v>696</v>
      </c>
      <c r="I2758">
        <v>27</v>
      </c>
      <c r="J2758">
        <v>0</v>
      </c>
      <c r="K2758" s="1">
        <v>1234162</v>
      </c>
    </row>
    <row r="2759" spans="1:11" x14ac:dyDescent="0.25">
      <c r="A2759" t="s">
        <v>326</v>
      </c>
      <c r="B2759" t="s">
        <v>827</v>
      </c>
      <c r="C2759" t="s">
        <v>867</v>
      </c>
      <c r="D2759" t="s">
        <v>11</v>
      </c>
      <c r="E2759">
        <v>29</v>
      </c>
      <c r="F2759" s="2">
        <f>DATE(2026,IF(Tabla1[[#This Row],[Mes de Fecha]]="Septiembre",9,10),Tabla1[[#This Row],[Día de Fecha]])</f>
        <v>46294</v>
      </c>
      <c r="G2759">
        <v>1113702327</v>
      </c>
      <c r="H2759" t="s">
        <v>692</v>
      </c>
      <c r="I2759">
        <v>-2</v>
      </c>
      <c r="J2759">
        <v>0</v>
      </c>
      <c r="K2759" s="1">
        <v>-197394</v>
      </c>
    </row>
    <row r="2760" spans="1:11" x14ac:dyDescent="0.25">
      <c r="A2760" t="s">
        <v>326</v>
      </c>
      <c r="B2760" t="s">
        <v>827</v>
      </c>
      <c r="C2760" t="s">
        <v>867</v>
      </c>
      <c r="D2760" t="s">
        <v>11</v>
      </c>
      <c r="E2760">
        <v>30</v>
      </c>
      <c r="F2760" s="2">
        <f>DATE(2026,IF(Tabla1[[#This Row],[Mes de Fecha]]="Septiembre",9,10),Tabla1[[#This Row],[Día de Fecha]])</f>
        <v>46295</v>
      </c>
      <c r="I2760">
        <v>0</v>
      </c>
      <c r="J2760" s="1">
        <v>6000668</v>
      </c>
      <c r="K2760">
        <v>0</v>
      </c>
    </row>
    <row r="2761" spans="1:11" x14ac:dyDescent="0.25">
      <c r="A2761" t="s">
        <v>326</v>
      </c>
      <c r="B2761" t="s">
        <v>827</v>
      </c>
      <c r="C2761" t="s">
        <v>867</v>
      </c>
      <c r="D2761" t="s">
        <v>11</v>
      </c>
      <c r="E2761">
        <v>30</v>
      </c>
      <c r="F2761" s="2">
        <f>DATE(2026,IF(Tabla1[[#This Row],[Mes de Fecha]]="Septiembre",9,10),Tabla1[[#This Row],[Día de Fecha]])</f>
        <v>46295</v>
      </c>
      <c r="G2761">
        <v>18586321</v>
      </c>
      <c r="H2761" t="s">
        <v>693</v>
      </c>
      <c r="I2761">
        <v>24</v>
      </c>
      <c r="J2761">
        <v>0</v>
      </c>
      <c r="K2761" s="1">
        <v>1400168</v>
      </c>
    </row>
    <row r="2762" spans="1:11" x14ac:dyDescent="0.25">
      <c r="A2762" t="s">
        <v>326</v>
      </c>
      <c r="B2762" t="s">
        <v>827</v>
      </c>
      <c r="C2762" t="s">
        <v>867</v>
      </c>
      <c r="D2762" t="s">
        <v>11</v>
      </c>
      <c r="E2762">
        <v>30</v>
      </c>
      <c r="F2762" s="2">
        <f>DATE(2026,IF(Tabla1[[#This Row],[Mes de Fecha]]="Septiembre",9,10),Tabla1[[#This Row],[Día de Fecha]])</f>
        <v>46295</v>
      </c>
      <c r="G2762">
        <v>1080040843</v>
      </c>
      <c r="H2762" t="s">
        <v>691</v>
      </c>
      <c r="I2762">
        <v>42</v>
      </c>
      <c r="J2762">
        <v>0</v>
      </c>
      <c r="K2762" s="1">
        <v>2104959</v>
      </c>
    </row>
    <row r="2763" spans="1:11" x14ac:dyDescent="0.25">
      <c r="A2763" t="s">
        <v>326</v>
      </c>
      <c r="B2763" t="s">
        <v>827</v>
      </c>
      <c r="C2763" t="s">
        <v>867</v>
      </c>
      <c r="D2763" t="s">
        <v>11</v>
      </c>
      <c r="E2763">
        <v>30</v>
      </c>
      <c r="F2763" s="2">
        <f>DATE(2026,IF(Tabla1[[#This Row],[Mes de Fecha]]="Septiembre",9,10),Tabla1[[#This Row],[Día de Fecha]])</f>
        <v>46295</v>
      </c>
      <c r="G2763">
        <v>1113623464</v>
      </c>
      <c r="H2763" t="s">
        <v>519</v>
      </c>
      <c r="I2763">
        <v>-1</v>
      </c>
      <c r="J2763">
        <v>0</v>
      </c>
      <c r="K2763" s="1">
        <v>-29370</v>
      </c>
    </row>
    <row r="2764" spans="1:11" x14ac:dyDescent="0.25">
      <c r="A2764" t="s">
        <v>326</v>
      </c>
      <c r="B2764" t="s">
        <v>827</v>
      </c>
      <c r="C2764" t="s">
        <v>867</v>
      </c>
      <c r="D2764" t="s">
        <v>11</v>
      </c>
      <c r="E2764">
        <v>30</v>
      </c>
      <c r="F2764" s="2">
        <f>DATE(2026,IF(Tabla1[[#This Row],[Mes de Fecha]]="Septiembre",9,10),Tabla1[[#This Row],[Día de Fecha]])</f>
        <v>46295</v>
      </c>
      <c r="G2764">
        <v>1113675600</v>
      </c>
      <c r="H2764" t="s">
        <v>594</v>
      </c>
      <c r="I2764">
        <v>58</v>
      </c>
      <c r="J2764">
        <v>0</v>
      </c>
      <c r="K2764" s="1">
        <v>3340969</v>
      </c>
    </row>
    <row r="2765" spans="1:11" x14ac:dyDescent="0.25">
      <c r="A2765" t="s">
        <v>326</v>
      </c>
      <c r="B2765" t="s">
        <v>827</v>
      </c>
      <c r="C2765" t="s">
        <v>867</v>
      </c>
      <c r="D2765" t="s">
        <v>11</v>
      </c>
      <c r="E2765">
        <v>30</v>
      </c>
      <c r="F2765" s="2">
        <f>DATE(2026,IF(Tabla1[[#This Row],[Mes de Fecha]]="Septiembre",9,10),Tabla1[[#This Row],[Día de Fecha]])</f>
        <v>46295</v>
      </c>
      <c r="G2765">
        <v>1113684554</v>
      </c>
      <c r="H2765" t="s">
        <v>696</v>
      </c>
      <c r="I2765">
        <v>34</v>
      </c>
      <c r="J2765">
        <v>0</v>
      </c>
      <c r="K2765" s="1">
        <v>1834455</v>
      </c>
    </row>
    <row r="2766" spans="1:11" x14ac:dyDescent="0.25">
      <c r="A2766" t="s">
        <v>326</v>
      </c>
      <c r="B2766" t="s">
        <v>827</v>
      </c>
      <c r="C2766" t="s">
        <v>867</v>
      </c>
      <c r="D2766" t="s">
        <v>14</v>
      </c>
      <c r="E2766">
        <v>1</v>
      </c>
      <c r="F2766" s="2">
        <f>DATE(2026,IF(Tabla1[[#This Row],[Mes de Fecha]]="Septiembre",9,10),Tabla1[[#This Row],[Día de Fecha]])</f>
        <v>46296</v>
      </c>
      <c r="I2766">
        <v>0</v>
      </c>
      <c r="J2766" s="1">
        <v>12382938</v>
      </c>
      <c r="K2766">
        <v>0</v>
      </c>
    </row>
    <row r="2767" spans="1:11" x14ac:dyDescent="0.25">
      <c r="A2767" t="s">
        <v>326</v>
      </c>
      <c r="B2767" t="s">
        <v>827</v>
      </c>
      <c r="C2767" t="s">
        <v>867</v>
      </c>
      <c r="D2767" t="s">
        <v>14</v>
      </c>
      <c r="E2767">
        <v>1</v>
      </c>
      <c r="F2767" s="2">
        <f>DATE(2026,IF(Tabla1[[#This Row],[Mes de Fecha]]="Septiembre",9,10),Tabla1[[#This Row],[Día de Fecha]])</f>
        <v>46296</v>
      </c>
      <c r="G2767">
        <v>18586321</v>
      </c>
      <c r="H2767" t="s">
        <v>693</v>
      </c>
      <c r="I2767">
        <v>79</v>
      </c>
      <c r="J2767">
        <v>0</v>
      </c>
      <c r="K2767" s="1">
        <v>4329330</v>
      </c>
    </row>
    <row r="2768" spans="1:11" x14ac:dyDescent="0.25">
      <c r="A2768" t="s">
        <v>326</v>
      </c>
      <c r="B2768" t="s">
        <v>827</v>
      </c>
      <c r="C2768" t="s">
        <v>867</v>
      </c>
      <c r="D2768" t="s">
        <v>14</v>
      </c>
      <c r="E2768">
        <v>1</v>
      </c>
      <c r="F2768" s="2">
        <f>DATE(2026,IF(Tabla1[[#This Row],[Mes de Fecha]]="Septiembre",9,10),Tabla1[[#This Row],[Día de Fecha]])</f>
        <v>46296</v>
      </c>
      <c r="G2768">
        <v>1080040843</v>
      </c>
      <c r="H2768" t="s">
        <v>691</v>
      </c>
      <c r="I2768">
        <v>64</v>
      </c>
      <c r="J2768">
        <v>0</v>
      </c>
      <c r="K2768" s="1">
        <v>3037020</v>
      </c>
    </row>
    <row r="2769" spans="1:11" x14ac:dyDescent="0.25">
      <c r="A2769" t="s">
        <v>326</v>
      </c>
      <c r="B2769" t="s">
        <v>827</v>
      </c>
      <c r="C2769" t="s">
        <v>867</v>
      </c>
      <c r="D2769" t="s">
        <v>14</v>
      </c>
      <c r="E2769">
        <v>1</v>
      </c>
      <c r="F2769" s="2">
        <f>DATE(2026,IF(Tabla1[[#This Row],[Mes de Fecha]]="Septiembre",9,10),Tabla1[[#This Row],[Día de Fecha]])</f>
        <v>46296</v>
      </c>
      <c r="G2769">
        <v>1113675600</v>
      </c>
      <c r="H2769" t="s">
        <v>594</v>
      </c>
      <c r="I2769">
        <v>46</v>
      </c>
      <c r="J2769">
        <v>0</v>
      </c>
      <c r="K2769" s="1">
        <v>2575549</v>
      </c>
    </row>
    <row r="2770" spans="1:11" x14ac:dyDescent="0.25">
      <c r="A2770" t="s">
        <v>326</v>
      </c>
      <c r="B2770" t="s">
        <v>827</v>
      </c>
      <c r="C2770" t="s">
        <v>867</v>
      </c>
      <c r="D2770" t="s">
        <v>14</v>
      </c>
      <c r="E2770">
        <v>2</v>
      </c>
      <c r="F2770" s="2">
        <f>DATE(2026,IF(Tabla1[[#This Row],[Mes de Fecha]]="Septiembre",9,10),Tabla1[[#This Row],[Día de Fecha]])</f>
        <v>46297</v>
      </c>
      <c r="I2770">
        <v>0</v>
      </c>
      <c r="J2770" s="1">
        <v>8299897</v>
      </c>
      <c r="K2770">
        <v>0</v>
      </c>
    </row>
    <row r="2771" spans="1:11" x14ac:dyDescent="0.25">
      <c r="A2771" t="s">
        <v>326</v>
      </c>
      <c r="B2771" t="s">
        <v>827</v>
      </c>
      <c r="C2771" t="s">
        <v>867</v>
      </c>
      <c r="D2771" t="s">
        <v>14</v>
      </c>
      <c r="E2771">
        <v>2</v>
      </c>
      <c r="F2771" s="2">
        <f>DATE(2026,IF(Tabla1[[#This Row],[Mes de Fecha]]="Septiembre",9,10),Tabla1[[#This Row],[Día de Fecha]])</f>
        <v>46297</v>
      </c>
      <c r="G2771">
        <v>5063496</v>
      </c>
      <c r="H2771" t="s">
        <v>363</v>
      </c>
      <c r="I2771">
        <v>-1</v>
      </c>
      <c r="J2771">
        <v>0</v>
      </c>
      <c r="K2771" s="1">
        <v>-117605</v>
      </c>
    </row>
    <row r="2772" spans="1:11" x14ac:dyDescent="0.25">
      <c r="A2772" t="s">
        <v>326</v>
      </c>
      <c r="B2772" t="s">
        <v>827</v>
      </c>
      <c r="C2772" t="s">
        <v>867</v>
      </c>
      <c r="D2772" t="s">
        <v>14</v>
      </c>
      <c r="E2772">
        <v>2</v>
      </c>
      <c r="F2772" s="2">
        <f>DATE(2026,IF(Tabla1[[#This Row],[Mes de Fecha]]="Septiembre",9,10),Tabla1[[#This Row],[Día de Fecha]])</f>
        <v>46297</v>
      </c>
      <c r="G2772">
        <v>18586321</v>
      </c>
      <c r="H2772" t="s">
        <v>693</v>
      </c>
      <c r="I2772">
        <v>26</v>
      </c>
      <c r="J2772">
        <v>0</v>
      </c>
      <c r="K2772" s="1">
        <v>1557565</v>
      </c>
    </row>
    <row r="2773" spans="1:11" x14ac:dyDescent="0.25">
      <c r="A2773" t="s">
        <v>326</v>
      </c>
      <c r="B2773" t="s">
        <v>827</v>
      </c>
      <c r="C2773" t="s">
        <v>867</v>
      </c>
      <c r="D2773" t="s">
        <v>14</v>
      </c>
      <c r="E2773">
        <v>2</v>
      </c>
      <c r="F2773" s="2">
        <f>DATE(2026,IF(Tabla1[[#This Row],[Mes de Fecha]]="Septiembre",9,10),Tabla1[[#This Row],[Día de Fecha]])</f>
        <v>46297</v>
      </c>
      <c r="G2773">
        <v>1080040843</v>
      </c>
      <c r="H2773" t="s">
        <v>691</v>
      </c>
      <c r="I2773">
        <v>28</v>
      </c>
      <c r="J2773">
        <v>0</v>
      </c>
      <c r="K2773" s="1">
        <v>1307480</v>
      </c>
    </row>
    <row r="2774" spans="1:11" x14ac:dyDescent="0.25">
      <c r="A2774" t="s">
        <v>326</v>
      </c>
      <c r="B2774" t="s">
        <v>827</v>
      </c>
      <c r="C2774" t="s">
        <v>867</v>
      </c>
      <c r="D2774" t="s">
        <v>14</v>
      </c>
      <c r="E2774">
        <v>2</v>
      </c>
      <c r="F2774" s="2">
        <f>DATE(2026,IF(Tabla1[[#This Row],[Mes de Fecha]]="Septiembre",9,10),Tabla1[[#This Row],[Día de Fecha]])</f>
        <v>46297</v>
      </c>
      <c r="G2774">
        <v>1113675600</v>
      </c>
      <c r="H2774" t="s">
        <v>594</v>
      </c>
      <c r="I2774">
        <v>26</v>
      </c>
      <c r="J2774">
        <v>0</v>
      </c>
      <c r="K2774" s="1">
        <v>1227777</v>
      </c>
    </row>
    <row r="2775" spans="1:11" x14ac:dyDescent="0.25">
      <c r="A2775" t="s">
        <v>326</v>
      </c>
      <c r="B2775" t="s">
        <v>827</v>
      </c>
      <c r="C2775" t="s">
        <v>867</v>
      </c>
      <c r="D2775" t="s">
        <v>14</v>
      </c>
      <c r="E2775">
        <v>3</v>
      </c>
      <c r="F2775" s="2">
        <f>DATE(2026,IF(Tabla1[[#This Row],[Mes de Fecha]]="Septiembre",9,10),Tabla1[[#This Row],[Día de Fecha]])</f>
        <v>46298</v>
      </c>
      <c r="I2775">
        <v>0</v>
      </c>
      <c r="J2775" s="1">
        <v>17368230</v>
      </c>
      <c r="K2775">
        <v>0</v>
      </c>
    </row>
    <row r="2776" spans="1:11" x14ac:dyDescent="0.25">
      <c r="A2776" t="s">
        <v>326</v>
      </c>
      <c r="B2776" t="s">
        <v>827</v>
      </c>
      <c r="C2776" t="s">
        <v>867</v>
      </c>
      <c r="D2776" t="s">
        <v>14</v>
      </c>
      <c r="E2776">
        <v>3</v>
      </c>
      <c r="F2776" s="2">
        <f>DATE(2026,IF(Tabla1[[#This Row],[Mes de Fecha]]="Septiembre",9,10),Tabla1[[#This Row],[Día de Fecha]])</f>
        <v>46298</v>
      </c>
      <c r="G2776">
        <v>18586321</v>
      </c>
      <c r="H2776" t="s">
        <v>693</v>
      </c>
      <c r="I2776">
        <v>147</v>
      </c>
      <c r="J2776">
        <v>0</v>
      </c>
      <c r="K2776" s="1">
        <v>7426165</v>
      </c>
    </row>
    <row r="2777" spans="1:11" x14ac:dyDescent="0.25">
      <c r="A2777" t="s">
        <v>326</v>
      </c>
      <c r="B2777" t="s">
        <v>827</v>
      </c>
      <c r="C2777" t="s">
        <v>867</v>
      </c>
      <c r="D2777" t="s">
        <v>14</v>
      </c>
      <c r="E2777">
        <v>3</v>
      </c>
      <c r="F2777" s="2">
        <f>DATE(2026,IF(Tabla1[[#This Row],[Mes de Fecha]]="Septiembre",9,10),Tabla1[[#This Row],[Día de Fecha]])</f>
        <v>46298</v>
      </c>
      <c r="G2777">
        <v>1006048956</v>
      </c>
      <c r="H2777" t="s">
        <v>341</v>
      </c>
      <c r="I2777">
        <v>-1</v>
      </c>
      <c r="J2777">
        <v>0</v>
      </c>
      <c r="K2777" s="1">
        <v>-41975</v>
      </c>
    </row>
    <row r="2778" spans="1:11" x14ac:dyDescent="0.25">
      <c r="A2778" t="s">
        <v>326</v>
      </c>
      <c r="B2778" t="s">
        <v>827</v>
      </c>
      <c r="C2778" t="s">
        <v>867</v>
      </c>
      <c r="D2778" t="s">
        <v>14</v>
      </c>
      <c r="E2778">
        <v>3</v>
      </c>
      <c r="F2778" s="2">
        <f>DATE(2026,IF(Tabla1[[#This Row],[Mes de Fecha]]="Septiembre",9,10),Tabla1[[#This Row],[Día de Fecha]])</f>
        <v>46298</v>
      </c>
      <c r="G2778">
        <v>1080040843</v>
      </c>
      <c r="H2778" t="s">
        <v>691</v>
      </c>
      <c r="I2778">
        <v>82</v>
      </c>
      <c r="J2778">
        <v>0</v>
      </c>
      <c r="K2778" s="1">
        <v>4110089</v>
      </c>
    </row>
    <row r="2779" spans="1:11" x14ac:dyDescent="0.25">
      <c r="A2779" t="s">
        <v>326</v>
      </c>
      <c r="B2779" t="s">
        <v>827</v>
      </c>
      <c r="C2779" t="s">
        <v>867</v>
      </c>
      <c r="D2779" t="s">
        <v>14</v>
      </c>
      <c r="E2779">
        <v>3</v>
      </c>
      <c r="F2779" s="2">
        <f>DATE(2026,IF(Tabla1[[#This Row],[Mes de Fecha]]="Septiembre",9,10),Tabla1[[#This Row],[Día de Fecha]])</f>
        <v>46298</v>
      </c>
      <c r="G2779">
        <v>1113675600</v>
      </c>
      <c r="H2779" t="s">
        <v>594</v>
      </c>
      <c r="I2779">
        <v>101</v>
      </c>
      <c r="J2779">
        <v>0</v>
      </c>
      <c r="K2779" s="1">
        <v>5030598</v>
      </c>
    </row>
    <row r="2780" spans="1:11" x14ac:dyDescent="0.25">
      <c r="A2780" t="s">
        <v>326</v>
      </c>
      <c r="B2780" t="s">
        <v>827</v>
      </c>
      <c r="C2780" t="s">
        <v>867</v>
      </c>
      <c r="D2780" t="s">
        <v>14</v>
      </c>
      <c r="E2780">
        <v>4</v>
      </c>
      <c r="F2780" s="2">
        <f>DATE(2026,IF(Tabla1[[#This Row],[Mes de Fecha]]="Septiembre",9,10),Tabla1[[#This Row],[Día de Fecha]])</f>
        <v>46299</v>
      </c>
      <c r="I2780">
        <v>0</v>
      </c>
      <c r="J2780" s="1">
        <v>6669388</v>
      </c>
      <c r="K2780">
        <v>0</v>
      </c>
    </row>
    <row r="2781" spans="1:11" x14ac:dyDescent="0.25">
      <c r="A2781" t="s">
        <v>326</v>
      </c>
      <c r="B2781" t="s">
        <v>827</v>
      </c>
      <c r="C2781" t="s">
        <v>867</v>
      </c>
      <c r="D2781" t="s">
        <v>14</v>
      </c>
      <c r="E2781">
        <v>4</v>
      </c>
      <c r="F2781" s="2">
        <f>DATE(2026,IF(Tabla1[[#This Row],[Mes de Fecha]]="Septiembre",9,10),Tabla1[[#This Row],[Día de Fecha]])</f>
        <v>46299</v>
      </c>
      <c r="G2781">
        <v>18586321</v>
      </c>
      <c r="H2781" t="s">
        <v>693</v>
      </c>
      <c r="I2781">
        <v>45</v>
      </c>
      <c r="J2781">
        <v>0</v>
      </c>
      <c r="K2781" s="1">
        <v>2430632</v>
      </c>
    </row>
    <row r="2782" spans="1:11" x14ac:dyDescent="0.25">
      <c r="A2782" t="s">
        <v>326</v>
      </c>
      <c r="B2782" t="s">
        <v>827</v>
      </c>
      <c r="C2782" t="s">
        <v>867</v>
      </c>
      <c r="D2782" t="s">
        <v>14</v>
      </c>
      <c r="E2782">
        <v>4</v>
      </c>
      <c r="F2782" s="2">
        <f>DATE(2026,IF(Tabla1[[#This Row],[Mes de Fecha]]="Septiembre",9,10),Tabla1[[#This Row],[Día de Fecha]])</f>
        <v>46299</v>
      </c>
      <c r="G2782">
        <v>1080040843</v>
      </c>
      <c r="H2782" t="s">
        <v>691</v>
      </c>
      <c r="I2782">
        <v>34</v>
      </c>
      <c r="J2782">
        <v>0</v>
      </c>
      <c r="K2782" s="1">
        <v>1775842</v>
      </c>
    </row>
    <row r="2783" spans="1:11" x14ac:dyDescent="0.25">
      <c r="A2783" t="s">
        <v>326</v>
      </c>
      <c r="B2783" t="s">
        <v>827</v>
      </c>
      <c r="C2783" t="s">
        <v>867</v>
      </c>
      <c r="D2783" t="s">
        <v>14</v>
      </c>
      <c r="E2783">
        <v>4</v>
      </c>
      <c r="F2783" s="2">
        <f>DATE(2026,IF(Tabla1[[#This Row],[Mes de Fecha]]="Septiembre",9,10),Tabla1[[#This Row],[Día de Fecha]])</f>
        <v>46299</v>
      </c>
      <c r="G2783">
        <v>1113675600</v>
      </c>
      <c r="H2783" t="s">
        <v>594</v>
      </c>
      <c r="I2783">
        <v>20</v>
      </c>
      <c r="J2783">
        <v>0</v>
      </c>
      <c r="K2783" s="1">
        <v>1057859</v>
      </c>
    </row>
    <row r="2784" spans="1:11" x14ac:dyDescent="0.25">
      <c r="A2784" t="s">
        <v>326</v>
      </c>
      <c r="B2784" t="s">
        <v>827</v>
      </c>
      <c r="C2784" t="s">
        <v>867</v>
      </c>
      <c r="D2784" t="s">
        <v>14</v>
      </c>
      <c r="E2784">
        <v>5</v>
      </c>
      <c r="F2784" s="2">
        <f>DATE(2026,IF(Tabla1[[#This Row],[Mes de Fecha]]="Septiembre",9,10),Tabla1[[#This Row],[Día de Fecha]])</f>
        <v>46300</v>
      </c>
      <c r="I2784">
        <v>0</v>
      </c>
      <c r="J2784" s="1">
        <v>7997280</v>
      </c>
      <c r="K2784">
        <v>0</v>
      </c>
    </row>
    <row r="2785" spans="1:11" x14ac:dyDescent="0.25">
      <c r="A2785" t="s">
        <v>326</v>
      </c>
      <c r="B2785" t="s">
        <v>827</v>
      </c>
      <c r="C2785" t="s">
        <v>867</v>
      </c>
      <c r="D2785" t="s">
        <v>14</v>
      </c>
      <c r="E2785">
        <v>5</v>
      </c>
      <c r="F2785" s="2">
        <f>DATE(2026,IF(Tabla1[[#This Row],[Mes de Fecha]]="Septiembre",9,10),Tabla1[[#This Row],[Día de Fecha]])</f>
        <v>46300</v>
      </c>
      <c r="G2785">
        <v>18586321</v>
      </c>
      <c r="H2785" t="s">
        <v>693</v>
      </c>
      <c r="I2785">
        <v>35</v>
      </c>
      <c r="J2785">
        <v>0</v>
      </c>
      <c r="K2785" s="1">
        <v>2000464</v>
      </c>
    </row>
    <row r="2786" spans="1:11" x14ac:dyDescent="0.25">
      <c r="A2786" t="s">
        <v>326</v>
      </c>
      <c r="B2786" t="s">
        <v>827</v>
      </c>
      <c r="C2786" t="s">
        <v>867</v>
      </c>
      <c r="D2786" t="s">
        <v>14</v>
      </c>
      <c r="E2786">
        <v>5</v>
      </c>
      <c r="F2786" s="2">
        <f>DATE(2026,IF(Tabla1[[#This Row],[Mes de Fecha]]="Septiembre",9,10),Tabla1[[#This Row],[Día de Fecha]])</f>
        <v>46300</v>
      </c>
      <c r="G2786">
        <v>1080040843</v>
      </c>
      <c r="H2786" t="s">
        <v>691</v>
      </c>
      <c r="I2786">
        <v>33</v>
      </c>
      <c r="J2786">
        <v>0</v>
      </c>
      <c r="K2786" s="1">
        <v>1716725</v>
      </c>
    </row>
    <row r="2787" spans="1:11" x14ac:dyDescent="0.25">
      <c r="A2787" t="s">
        <v>326</v>
      </c>
      <c r="B2787" t="s">
        <v>827</v>
      </c>
      <c r="C2787" t="s">
        <v>867</v>
      </c>
      <c r="D2787" t="s">
        <v>14</v>
      </c>
      <c r="E2787">
        <v>5</v>
      </c>
      <c r="F2787" s="2">
        <f>DATE(2026,IF(Tabla1[[#This Row],[Mes de Fecha]]="Septiembre",9,10),Tabla1[[#This Row],[Día de Fecha]])</f>
        <v>46300</v>
      </c>
      <c r="G2787">
        <v>1113675600</v>
      </c>
      <c r="H2787" t="s">
        <v>594</v>
      </c>
      <c r="I2787">
        <v>40</v>
      </c>
      <c r="J2787">
        <v>0</v>
      </c>
      <c r="K2787" s="1">
        <v>1794364</v>
      </c>
    </row>
    <row r="2788" spans="1:11" x14ac:dyDescent="0.25">
      <c r="A2788" t="s">
        <v>326</v>
      </c>
      <c r="B2788" t="s">
        <v>827</v>
      </c>
      <c r="C2788" t="s">
        <v>867</v>
      </c>
      <c r="D2788" t="s">
        <v>14</v>
      </c>
      <c r="E2788">
        <v>5</v>
      </c>
      <c r="F2788" s="2">
        <f>DATE(2026,IF(Tabla1[[#This Row],[Mes de Fecha]]="Septiembre",9,10),Tabla1[[#This Row],[Día de Fecha]])</f>
        <v>46300</v>
      </c>
      <c r="G2788">
        <v>1113684554</v>
      </c>
      <c r="H2788" t="s">
        <v>696</v>
      </c>
      <c r="I2788">
        <v>-3</v>
      </c>
      <c r="J2788">
        <v>0</v>
      </c>
      <c r="K2788" s="1">
        <v>-109076</v>
      </c>
    </row>
    <row r="2789" spans="1:11" x14ac:dyDescent="0.25">
      <c r="A2789" t="s">
        <v>326</v>
      </c>
      <c r="B2789" t="s">
        <v>827</v>
      </c>
      <c r="C2789" t="s">
        <v>867</v>
      </c>
      <c r="D2789" t="s">
        <v>14</v>
      </c>
      <c r="E2789">
        <v>6</v>
      </c>
      <c r="F2789" s="2">
        <f>DATE(2026,IF(Tabla1[[#This Row],[Mes de Fecha]]="Septiembre",9,10),Tabla1[[#This Row],[Día de Fecha]])</f>
        <v>46301</v>
      </c>
      <c r="I2789">
        <v>0</v>
      </c>
      <c r="J2789" s="1">
        <v>4256024</v>
      </c>
      <c r="K2789">
        <v>0</v>
      </c>
    </row>
    <row r="2790" spans="1:11" x14ac:dyDescent="0.25">
      <c r="A2790" t="s">
        <v>326</v>
      </c>
      <c r="B2790" t="s">
        <v>827</v>
      </c>
      <c r="C2790" t="s">
        <v>867</v>
      </c>
      <c r="D2790" t="s">
        <v>14</v>
      </c>
      <c r="E2790">
        <v>6</v>
      </c>
      <c r="F2790" s="2">
        <f>DATE(2026,IF(Tabla1[[#This Row],[Mes de Fecha]]="Septiembre",9,10),Tabla1[[#This Row],[Día de Fecha]])</f>
        <v>46301</v>
      </c>
      <c r="G2790">
        <v>18586321</v>
      </c>
      <c r="H2790" t="s">
        <v>693</v>
      </c>
      <c r="I2790">
        <v>37</v>
      </c>
      <c r="J2790">
        <v>0</v>
      </c>
      <c r="K2790" s="1">
        <v>2071010</v>
      </c>
    </row>
    <row r="2791" spans="1:11" x14ac:dyDescent="0.25">
      <c r="A2791" t="s">
        <v>326</v>
      </c>
      <c r="B2791" t="s">
        <v>827</v>
      </c>
      <c r="C2791" t="s">
        <v>867</v>
      </c>
      <c r="D2791" t="s">
        <v>14</v>
      </c>
      <c r="E2791">
        <v>6</v>
      </c>
      <c r="F2791" s="2">
        <f>DATE(2026,IF(Tabla1[[#This Row],[Mes de Fecha]]="Septiembre",9,10),Tabla1[[#This Row],[Día de Fecha]])</f>
        <v>46301</v>
      </c>
      <c r="G2791">
        <v>1080040843</v>
      </c>
      <c r="H2791" t="s">
        <v>691</v>
      </c>
      <c r="I2791">
        <v>36</v>
      </c>
      <c r="J2791">
        <v>0</v>
      </c>
      <c r="K2791" s="1">
        <v>1826094</v>
      </c>
    </row>
    <row r="2792" spans="1:11" x14ac:dyDescent="0.25">
      <c r="A2792" t="s">
        <v>326</v>
      </c>
      <c r="B2792" t="s">
        <v>827</v>
      </c>
      <c r="C2792" t="s">
        <v>867</v>
      </c>
      <c r="D2792" t="s">
        <v>14</v>
      </c>
      <c r="E2792">
        <v>6</v>
      </c>
      <c r="F2792" s="2">
        <f>DATE(2026,IF(Tabla1[[#This Row],[Mes de Fecha]]="Septiembre",9,10),Tabla1[[#This Row],[Día de Fecha]])</f>
        <v>46301</v>
      </c>
      <c r="G2792">
        <v>1113656874</v>
      </c>
      <c r="H2792" t="s">
        <v>434</v>
      </c>
      <c r="I2792">
        <v>-1</v>
      </c>
      <c r="J2792">
        <v>0</v>
      </c>
      <c r="K2792" s="1">
        <v>-75546</v>
      </c>
    </row>
    <row r="2793" spans="1:11" x14ac:dyDescent="0.25">
      <c r="A2793" t="s">
        <v>326</v>
      </c>
      <c r="B2793" t="s">
        <v>827</v>
      </c>
      <c r="C2793" t="s">
        <v>867</v>
      </c>
      <c r="D2793" t="s">
        <v>14</v>
      </c>
      <c r="E2793">
        <v>6</v>
      </c>
      <c r="F2793" s="2">
        <f>DATE(2026,IF(Tabla1[[#This Row],[Mes de Fecha]]="Septiembre",9,10),Tabla1[[#This Row],[Día de Fecha]])</f>
        <v>46301</v>
      </c>
      <c r="G2793">
        <v>1113675600</v>
      </c>
      <c r="H2793" t="s">
        <v>594</v>
      </c>
      <c r="I2793">
        <v>29</v>
      </c>
      <c r="J2793">
        <v>0</v>
      </c>
      <c r="K2793" s="1">
        <v>1239960</v>
      </c>
    </row>
    <row r="2794" spans="1:11" x14ac:dyDescent="0.25">
      <c r="A2794" t="s">
        <v>326</v>
      </c>
      <c r="B2794" t="s">
        <v>827</v>
      </c>
      <c r="C2794" t="s">
        <v>867</v>
      </c>
      <c r="D2794" t="s">
        <v>14</v>
      </c>
      <c r="E2794">
        <v>6</v>
      </c>
      <c r="F2794" s="2">
        <f>DATE(2026,IF(Tabla1[[#This Row],[Mes de Fecha]]="Septiembre",9,10),Tabla1[[#This Row],[Día de Fecha]])</f>
        <v>46301</v>
      </c>
      <c r="G2794">
        <v>1113702327</v>
      </c>
      <c r="H2794" t="s">
        <v>692</v>
      </c>
      <c r="I2794">
        <v>-1</v>
      </c>
      <c r="J2794">
        <v>0</v>
      </c>
      <c r="K2794" s="1">
        <v>-50378</v>
      </c>
    </row>
    <row r="2795" spans="1:11" x14ac:dyDescent="0.25">
      <c r="A2795" t="s">
        <v>326</v>
      </c>
      <c r="B2795" t="s">
        <v>827</v>
      </c>
      <c r="C2795" t="s">
        <v>867</v>
      </c>
      <c r="D2795" t="s">
        <v>14</v>
      </c>
      <c r="E2795">
        <v>7</v>
      </c>
      <c r="F2795" s="2">
        <f>DATE(2026,IF(Tabla1[[#This Row],[Mes de Fecha]]="Septiembre",9,10),Tabla1[[#This Row],[Día de Fecha]])</f>
        <v>46302</v>
      </c>
      <c r="I2795">
        <v>0</v>
      </c>
      <c r="J2795" s="1">
        <v>4211332</v>
      </c>
      <c r="K2795">
        <v>0</v>
      </c>
    </row>
    <row r="2796" spans="1:11" x14ac:dyDescent="0.25">
      <c r="A2796" t="s">
        <v>326</v>
      </c>
      <c r="B2796" t="s">
        <v>827</v>
      </c>
      <c r="C2796" t="s">
        <v>867</v>
      </c>
      <c r="D2796" t="s">
        <v>14</v>
      </c>
      <c r="E2796">
        <v>7</v>
      </c>
      <c r="F2796" s="2">
        <f>DATE(2026,IF(Tabla1[[#This Row],[Mes de Fecha]]="Septiembre",9,10),Tabla1[[#This Row],[Día de Fecha]])</f>
        <v>46302</v>
      </c>
      <c r="G2796">
        <v>18586321</v>
      </c>
      <c r="H2796" t="s">
        <v>693</v>
      </c>
      <c r="I2796">
        <v>37</v>
      </c>
      <c r="J2796">
        <v>0</v>
      </c>
      <c r="K2796" s="1">
        <v>1913362</v>
      </c>
    </row>
    <row r="2797" spans="1:11" x14ac:dyDescent="0.25">
      <c r="A2797" t="s">
        <v>326</v>
      </c>
      <c r="B2797" t="s">
        <v>827</v>
      </c>
      <c r="C2797" t="s">
        <v>867</v>
      </c>
      <c r="D2797" t="s">
        <v>14</v>
      </c>
      <c r="E2797">
        <v>7</v>
      </c>
      <c r="F2797" s="2">
        <f>DATE(2026,IF(Tabla1[[#This Row],[Mes de Fecha]]="Septiembre",9,10),Tabla1[[#This Row],[Día de Fecha]])</f>
        <v>46302</v>
      </c>
      <c r="G2797">
        <v>1080040843</v>
      </c>
      <c r="H2797" t="s">
        <v>691</v>
      </c>
      <c r="I2797">
        <v>16</v>
      </c>
      <c r="J2797">
        <v>0</v>
      </c>
      <c r="K2797" s="1">
        <v>1011892</v>
      </c>
    </row>
    <row r="2798" spans="1:11" x14ac:dyDescent="0.25">
      <c r="A2798" t="s">
        <v>326</v>
      </c>
      <c r="B2798" t="s">
        <v>827</v>
      </c>
      <c r="C2798" t="s">
        <v>867</v>
      </c>
      <c r="D2798" t="s">
        <v>14</v>
      </c>
      <c r="E2798">
        <v>7</v>
      </c>
      <c r="F2798" s="2">
        <f>DATE(2026,IF(Tabla1[[#This Row],[Mes de Fecha]]="Septiembre",9,10),Tabla1[[#This Row],[Día de Fecha]])</f>
        <v>46302</v>
      </c>
      <c r="G2798">
        <v>1113675600</v>
      </c>
      <c r="H2798" t="s">
        <v>594</v>
      </c>
      <c r="I2798">
        <v>15</v>
      </c>
      <c r="J2798">
        <v>0</v>
      </c>
      <c r="K2798" s="1">
        <v>616850</v>
      </c>
    </row>
    <row r="2799" spans="1:11" x14ac:dyDescent="0.25">
      <c r="A2799" t="s">
        <v>326</v>
      </c>
      <c r="B2799" t="s">
        <v>845</v>
      </c>
      <c r="C2799" t="s">
        <v>867</v>
      </c>
      <c r="D2799" t="s">
        <v>11</v>
      </c>
      <c r="E2799">
        <v>23</v>
      </c>
      <c r="F2799" s="2">
        <f>DATE(2026,IF(Tabla1[[#This Row],[Mes de Fecha]]="Septiembre",9,10),Tabla1[[#This Row],[Día de Fecha]])</f>
        <v>46288</v>
      </c>
      <c r="I2799">
        <v>0</v>
      </c>
      <c r="J2799" s="1">
        <v>8081521</v>
      </c>
      <c r="K2799">
        <v>0</v>
      </c>
    </row>
    <row r="2800" spans="1:11" x14ac:dyDescent="0.25">
      <c r="A2800" t="s">
        <v>326</v>
      </c>
      <c r="B2800" t="s">
        <v>845</v>
      </c>
      <c r="C2800" t="s">
        <v>867</v>
      </c>
      <c r="D2800" t="s">
        <v>11</v>
      </c>
      <c r="E2800">
        <v>23</v>
      </c>
      <c r="F2800" s="2">
        <f>DATE(2026,IF(Tabla1[[#This Row],[Mes de Fecha]]="Septiembre",9,10),Tabla1[[#This Row],[Día de Fecha]])</f>
        <v>46288</v>
      </c>
      <c r="G2800">
        <v>5063496</v>
      </c>
      <c r="H2800" t="s">
        <v>363</v>
      </c>
      <c r="I2800">
        <v>50</v>
      </c>
      <c r="J2800">
        <v>0</v>
      </c>
      <c r="K2800" s="1">
        <v>3176306</v>
      </c>
    </row>
    <row r="2801" spans="1:11" x14ac:dyDescent="0.25">
      <c r="A2801" t="s">
        <v>326</v>
      </c>
      <c r="B2801" t="s">
        <v>845</v>
      </c>
      <c r="C2801" t="s">
        <v>867</v>
      </c>
      <c r="D2801" t="s">
        <v>11</v>
      </c>
      <c r="E2801">
        <v>23</v>
      </c>
      <c r="F2801" s="2">
        <f>DATE(2026,IF(Tabla1[[#This Row],[Mes de Fecha]]="Septiembre",9,10),Tabla1[[#This Row],[Día de Fecha]])</f>
        <v>46288</v>
      </c>
      <c r="G2801">
        <v>1107846457</v>
      </c>
      <c r="H2801" t="s">
        <v>402</v>
      </c>
      <c r="I2801">
        <v>42</v>
      </c>
      <c r="J2801">
        <v>0</v>
      </c>
      <c r="K2801" s="1">
        <v>2508700</v>
      </c>
    </row>
    <row r="2802" spans="1:11" x14ac:dyDescent="0.25">
      <c r="A2802" t="s">
        <v>326</v>
      </c>
      <c r="B2802" t="s">
        <v>845</v>
      </c>
      <c r="C2802" t="s">
        <v>867</v>
      </c>
      <c r="D2802" t="s">
        <v>11</v>
      </c>
      <c r="E2802">
        <v>23</v>
      </c>
      <c r="F2802" s="2">
        <f>DATE(2026,IF(Tabla1[[#This Row],[Mes de Fecha]]="Septiembre",9,10),Tabla1[[#This Row],[Día de Fecha]])</f>
        <v>46288</v>
      </c>
      <c r="G2802">
        <v>1109185235</v>
      </c>
      <c r="H2802" t="s">
        <v>512</v>
      </c>
      <c r="I2802">
        <v>37</v>
      </c>
      <c r="J2802">
        <v>0</v>
      </c>
      <c r="K2802" s="1">
        <v>2351262</v>
      </c>
    </row>
    <row r="2803" spans="1:11" x14ac:dyDescent="0.25">
      <c r="A2803" t="s">
        <v>326</v>
      </c>
      <c r="B2803" t="s">
        <v>845</v>
      </c>
      <c r="C2803" t="s">
        <v>867</v>
      </c>
      <c r="D2803" t="s">
        <v>11</v>
      </c>
      <c r="E2803">
        <v>23</v>
      </c>
      <c r="F2803" s="2">
        <f>DATE(2026,IF(Tabla1[[#This Row],[Mes de Fecha]]="Septiembre",9,10),Tabla1[[#This Row],[Día de Fecha]])</f>
        <v>46288</v>
      </c>
      <c r="G2803">
        <v>1193599836</v>
      </c>
      <c r="H2803" t="s">
        <v>516</v>
      </c>
      <c r="I2803">
        <v>34</v>
      </c>
      <c r="J2803">
        <v>0</v>
      </c>
      <c r="K2803" s="1">
        <v>2092984</v>
      </c>
    </row>
    <row r="2804" spans="1:11" x14ac:dyDescent="0.25">
      <c r="A2804" t="s">
        <v>326</v>
      </c>
      <c r="B2804" t="s">
        <v>845</v>
      </c>
      <c r="C2804" t="s">
        <v>867</v>
      </c>
      <c r="D2804" t="s">
        <v>11</v>
      </c>
      <c r="E2804">
        <v>24</v>
      </c>
      <c r="F2804" s="2">
        <f>DATE(2026,IF(Tabla1[[#This Row],[Mes de Fecha]]="Septiembre",9,10),Tabla1[[#This Row],[Día de Fecha]])</f>
        <v>46289</v>
      </c>
      <c r="I2804">
        <v>0</v>
      </c>
      <c r="J2804" s="1">
        <v>12345435</v>
      </c>
      <c r="K2804">
        <v>0</v>
      </c>
    </row>
    <row r="2805" spans="1:11" x14ac:dyDescent="0.25">
      <c r="A2805" t="s">
        <v>326</v>
      </c>
      <c r="B2805" t="s">
        <v>845</v>
      </c>
      <c r="C2805" t="s">
        <v>867</v>
      </c>
      <c r="D2805" t="s">
        <v>11</v>
      </c>
      <c r="E2805">
        <v>24</v>
      </c>
      <c r="F2805" s="2">
        <f>DATE(2026,IF(Tabla1[[#This Row],[Mes de Fecha]]="Septiembre",9,10),Tabla1[[#This Row],[Día de Fecha]])</f>
        <v>46289</v>
      </c>
      <c r="G2805">
        <v>5063496</v>
      </c>
      <c r="H2805" t="s">
        <v>363</v>
      </c>
      <c r="I2805">
        <v>59</v>
      </c>
      <c r="J2805">
        <v>0</v>
      </c>
      <c r="K2805" s="1">
        <v>3741137</v>
      </c>
    </row>
    <row r="2806" spans="1:11" x14ac:dyDescent="0.25">
      <c r="A2806" t="s">
        <v>326</v>
      </c>
      <c r="B2806" t="s">
        <v>845</v>
      </c>
      <c r="C2806" t="s">
        <v>867</v>
      </c>
      <c r="D2806" t="s">
        <v>11</v>
      </c>
      <c r="E2806">
        <v>24</v>
      </c>
      <c r="F2806" s="2">
        <f>DATE(2026,IF(Tabla1[[#This Row],[Mes de Fecha]]="Septiembre",9,10),Tabla1[[#This Row],[Día de Fecha]])</f>
        <v>46289</v>
      </c>
      <c r="G2806">
        <v>1107846457</v>
      </c>
      <c r="H2806" t="s">
        <v>402</v>
      </c>
      <c r="I2806">
        <v>35</v>
      </c>
      <c r="J2806">
        <v>0</v>
      </c>
      <c r="K2806" s="1">
        <v>1561136</v>
      </c>
    </row>
    <row r="2807" spans="1:11" x14ac:dyDescent="0.25">
      <c r="A2807" t="s">
        <v>326</v>
      </c>
      <c r="B2807" t="s">
        <v>845</v>
      </c>
      <c r="C2807" t="s">
        <v>867</v>
      </c>
      <c r="D2807" t="s">
        <v>11</v>
      </c>
      <c r="E2807">
        <v>24</v>
      </c>
      <c r="F2807" s="2">
        <f>DATE(2026,IF(Tabla1[[#This Row],[Mes de Fecha]]="Septiembre",9,10),Tabla1[[#This Row],[Día de Fecha]])</f>
        <v>46289</v>
      </c>
      <c r="G2807">
        <v>1109185235</v>
      </c>
      <c r="H2807" t="s">
        <v>512</v>
      </c>
      <c r="I2807">
        <v>48</v>
      </c>
      <c r="J2807">
        <v>0</v>
      </c>
      <c r="K2807" s="1">
        <v>2310675</v>
      </c>
    </row>
    <row r="2808" spans="1:11" x14ac:dyDescent="0.25">
      <c r="A2808" t="s">
        <v>326</v>
      </c>
      <c r="B2808" t="s">
        <v>845</v>
      </c>
      <c r="C2808" t="s">
        <v>867</v>
      </c>
      <c r="D2808" t="s">
        <v>11</v>
      </c>
      <c r="E2808">
        <v>24</v>
      </c>
      <c r="F2808" s="2">
        <f>DATE(2026,IF(Tabla1[[#This Row],[Mes de Fecha]]="Septiembre",9,10),Tabla1[[#This Row],[Día de Fecha]])</f>
        <v>46289</v>
      </c>
      <c r="G2808">
        <v>1193599836</v>
      </c>
      <c r="H2808" t="s">
        <v>516</v>
      </c>
      <c r="I2808">
        <v>37</v>
      </c>
      <c r="J2808">
        <v>0</v>
      </c>
      <c r="K2808" s="1">
        <v>1922565</v>
      </c>
    </row>
    <row r="2809" spans="1:11" x14ac:dyDescent="0.25">
      <c r="A2809" t="s">
        <v>326</v>
      </c>
      <c r="B2809" t="s">
        <v>845</v>
      </c>
      <c r="C2809" t="s">
        <v>867</v>
      </c>
      <c r="D2809" t="s">
        <v>11</v>
      </c>
      <c r="E2809">
        <v>25</v>
      </c>
      <c r="F2809" s="2">
        <f>DATE(2026,IF(Tabla1[[#This Row],[Mes de Fecha]]="Septiembre",9,10),Tabla1[[#This Row],[Día de Fecha]])</f>
        <v>46290</v>
      </c>
      <c r="I2809">
        <v>0</v>
      </c>
      <c r="J2809" s="1">
        <v>12318106</v>
      </c>
      <c r="K2809">
        <v>0</v>
      </c>
    </row>
    <row r="2810" spans="1:11" x14ac:dyDescent="0.25">
      <c r="A2810" t="s">
        <v>326</v>
      </c>
      <c r="B2810" t="s">
        <v>845</v>
      </c>
      <c r="C2810" t="s">
        <v>867</v>
      </c>
      <c r="D2810" t="s">
        <v>11</v>
      </c>
      <c r="E2810">
        <v>25</v>
      </c>
      <c r="F2810" s="2">
        <f>DATE(2026,IF(Tabla1[[#This Row],[Mes de Fecha]]="Septiembre",9,10),Tabla1[[#This Row],[Día de Fecha]])</f>
        <v>46290</v>
      </c>
      <c r="G2810">
        <v>5063496</v>
      </c>
      <c r="H2810" t="s">
        <v>363</v>
      </c>
      <c r="I2810">
        <v>39</v>
      </c>
      <c r="J2810">
        <v>0</v>
      </c>
      <c r="K2810" s="1">
        <v>2365925</v>
      </c>
    </row>
    <row r="2811" spans="1:11" x14ac:dyDescent="0.25">
      <c r="A2811" t="s">
        <v>326</v>
      </c>
      <c r="B2811" t="s">
        <v>845</v>
      </c>
      <c r="C2811" t="s">
        <v>867</v>
      </c>
      <c r="D2811" t="s">
        <v>11</v>
      </c>
      <c r="E2811">
        <v>25</v>
      </c>
      <c r="F2811" s="2">
        <f>DATE(2026,IF(Tabla1[[#This Row],[Mes de Fecha]]="Septiembre",9,10),Tabla1[[#This Row],[Día de Fecha]])</f>
        <v>46290</v>
      </c>
      <c r="G2811">
        <v>1107846457</v>
      </c>
      <c r="H2811" t="s">
        <v>402</v>
      </c>
      <c r="I2811">
        <v>24</v>
      </c>
      <c r="J2811">
        <v>0</v>
      </c>
      <c r="K2811" s="1">
        <v>1448403</v>
      </c>
    </row>
    <row r="2812" spans="1:11" x14ac:dyDescent="0.25">
      <c r="A2812" t="s">
        <v>326</v>
      </c>
      <c r="B2812" t="s">
        <v>845</v>
      </c>
      <c r="C2812" t="s">
        <v>867</v>
      </c>
      <c r="D2812" t="s">
        <v>11</v>
      </c>
      <c r="E2812">
        <v>25</v>
      </c>
      <c r="F2812" s="2">
        <f>DATE(2026,IF(Tabla1[[#This Row],[Mes de Fecha]]="Septiembre",9,10),Tabla1[[#This Row],[Día de Fecha]])</f>
        <v>46290</v>
      </c>
      <c r="G2812">
        <v>1109185235</v>
      </c>
      <c r="H2812" t="s">
        <v>512</v>
      </c>
      <c r="I2812">
        <v>27</v>
      </c>
      <c r="J2812">
        <v>0</v>
      </c>
      <c r="K2812" s="1">
        <v>1313906</v>
      </c>
    </row>
    <row r="2813" spans="1:11" x14ac:dyDescent="0.25">
      <c r="A2813" t="s">
        <v>326</v>
      </c>
      <c r="B2813" t="s">
        <v>845</v>
      </c>
      <c r="C2813" t="s">
        <v>867</v>
      </c>
      <c r="D2813" t="s">
        <v>11</v>
      </c>
      <c r="E2813">
        <v>25</v>
      </c>
      <c r="F2813" s="2">
        <f>DATE(2026,IF(Tabla1[[#This Row],[Mes de Fecha]]="Septiembre",9,10),Tabla1[[#This Row],[Día de Fecha]])</f>
        <v>46290</v>
      </c>
      <c r="G2813">
        <v>1193599836</v>
      </c>
      <c r="H2813" t="s">
        <v>516</v>
      </c>
      <c r="I2813">
        <v>13</v>
      </c>
      <c r="J2813">
        <v>0</v>
      </c>
      <c r="K2813" s="1">
        <v>776723</v>
      </c>
    </row>
    <row r="2814" spans="1:11" x14ac:dyDescent="0.25">
      <c r="A2814" t="s">
        <v>326</v>
      </c>
      <c r="B2814" t="s">
        <v>845</v>
      </c>
      <c r="C2814" t="s">
        <v>867</v>
      </c>
      <c r="D2814" t="s">
        <v>11</v>
      </c>
      <c r="E2814">
        <v>26</v>
      </c>
      <c r="F2814" s="2">
        <f>DATE(2026,IF(Tabla1[[#This Row],[Mes de Fecha]]="Septiembre",9,10),Tabla1[[#This Row],[Día de Fecha]])</f>
        <v>46291</v>
      </c>
      <c r="I2814">
        <v>0</v>
      </c>
      <c r="J2814" s="1">
        <v>17702886</v>
      </c>
      <c r="K2814">
        <v>0</v>
      </c>
    </row>
    <row r="2815" spans="1:11" x14ac:dyDescent="0.25">
      <c r="A2815" t="s">
        <v>326</v>
      </c>
      <c r="B2815" t="s">
        <v>845</v>
      </c>
      <c r="C2815" t="s">
        <v>867</v>
      </c>
      <c r="D2815" t="s">
        <v>11</v>
      </c>
      <c r="E2815">
        <v>26</v>
      </c>
      <c r="F2815" s="2">
        <f>DATE(2026,IF(Tabla1[[#This Row],[Mes de Fecha]]="Septiembre",9,10),Tabla1[[#This Row],[Día de Fecha]])</f>
        <v>46291</v>
      </c>
      <c r="G2815">
        <v>5063496</v>
      </c>
      <c r="H2815" t="s">
        <v>363</v>
      </c>
      <c r="I2815">
        <v>85</v>
      </c>
      <c r="J2815">
        <v>0</v>
      </c>
      <c r="K2815" s="1">
        <v>4966769</v>
      </c>
    </row>
    <row r="2816" spans="1:11" x14ac:dyDescent="0.25">
      <c r="A2816" t="s">
        <v>326</v>
      </c>
      <c r="B2816" t="s">
        <v>845</v>
      </c>
      <c r="C2816" t="s">
        <v>867</v>
      </c>
      <c r="D2816" t="s">
        <v>11</v>
      </c>
      <c r="E2816">
        <v>26</v>
      </c>
      <c r="F2816" s="2">
        <f>DATE(2026,IF(Tabla1[[#This Row],[Mes de Fecha]]="Septiembre",9,10),Tabla1[[#This Row],[Día de Fecha]])</f>
        <v>46291</v>
      </c>
      <c r="G2816">
        <v>1107846457</v>
      </c>
      <c r="H2816" t="s">
        <v>402</v>
      </c>
      <c r="I2816">
        <v>35</v>
      </c>
      <c r="J2816">
        <v>0</v>
      </c>
      <c r="K2816" s="1">
        <v>2065671</v>
      </c>
    </row>
    <row r="2817" spans="1:11" x14ac:dyDescent="0.25">
      <c r="A2817" t="s">
        <v>326</v>
      </c>
      <c r="B2817" t="s">
        <v>845</v>
      </c>
      <c r="C2817" t="s">
        <v>867</v>
      </c>
      <c r="D2817" t="s">
        <v>11</v>
      </c>
      <c r="E2817">
        <v>26</v>
      </c>
      <c r="F2817" s="2">
        <f>DATE(2026,IF(Tabla1[[#This Row],[Mes de Fecha]]="Septiembre",9,10),Tabla1[[#This Row],[Día de Fecha]])</f>
        <v>46291</v>
      </c>
      <c r="G2817">
        <v>1109185235</v>
      </c>
      <c r="H2817" t="s">
        <v>512</v>
      </c>
      <c r="I2817">
        <v>82</v>
      </c>
      <c r="J2817">
        <v>0</v>
      </c>
      <c r="K2817" s="1">
        <v>4788027</v>
      </c>
    </row>
    <row r="2818" spans="1:11" x14ac:dyDescent="0.25">
      <c r="A2818" t="s">
        <v>326</v>
      </c>
      <c r="B2818" t="s">
        <v>845</v>
      </c>
      <c r="C2818" t="s">
        <v>867</v>
      </c>
      <c r="D2818" t="s">
        <v>11</v>
      </c>
      <c r="E2818">
        <v>26</v>
      </c>
      <c r="F2818" s="2">
        <f>DATE(2026,IF(Tabla1[[#This Row],[Mes de Fecha]]="Septiembre",9,10),Tabla1[[#This Row],[Día de Fecha]])</f>
        <v>46291</v>
      </c>
      <c r="G2818">
        <v>1193599836</v>
      </c>
      <c r="H2818" t="s">
        <v>516</v>
      </c>
      <c r="I2818">
        <v>38</v>
      </c>
      <c r="J2818">
        <v>0</v>
      </c>
      <c r="K2818" s="1">
        <v>2212648</v>
      </c>
    </row>
    <row r="2819" spans="1:11" x14ac:dyDescent="0.25">
      <c r="A2819" t="s">
        <v>326</v>
      </c>
      <c r="B2819" t="s">
        <v>845</v>
      </c>
      <c r="C2819" t="s">
        <v>867</v>
      </c>
      <c r="D2819" t="s">
        <v>11</v>
      </c>
      <c r="E2819">
        <v>27</v>
      </c>
      <c r="F2819" s="2">
        <f>DATE(2026,IF(Tabla1[[#This Row],[Mes de Fecha]]="Septiembre",9,10),Tabla1[[#This Row],[Día de Fecha]])</f>
        <v>46292</v>
      </c>
      <c r="I2819">
        <v>0</v>
      </c>
      <c r="J2819" s="1">
        <v>14024250</v>
      </c>
      <c r="K2819">
        <v>0</v>
      </c>
    </row>
    <row r="2820" spans="1:11" x14ac:dyDescent="0.25">
      <c r="A2820" t="s">
        <v>326</v>
      </c>
      <c r="B2820" t="s">
        <v>845</v>
      </c>
      <c r="C2820" t="s">
        <v>867</v>
      </c>
      <c r="D2820" t="s">
        <v>11</v>
      </c>
      <c r="E2820">
        <v>27</v>
      </c>
      <c r="F2820" s="2">
        <f>DATE(2026,IF(Tabla1[[#This Row],[Mes de Fecha]]="Septiembre",9,10),Tabla1[[#This Row],[Día de Fecha]])</f>
        <v>46292</v>
      </c>
      <c r="G2820">
        <v>5063496</v>
      </c>
      <c r="H2820" t="s">
        <v>363</v>
      </c>
      <c r="I2820">
        <v>55</v>
      </c>
      <c r="J2820">
        <v>0</v>
      </c>
      <c r="K2820" s="1">
        <v>3182354</v>
      </c>
    </row>
    <row r="2821" spans="1:11" x14ac:dyDescent="0.25">
      <c r="A2821" t="s">
        <v>326</v>
      </c>
      <c r="B2821" t="s">
        <v>845</v>
      </c>
      <c r="C2821" t="s">
        <v>867</v>
      </c>
      <c r="D2821" t="s">
        <v>11</v>
      </c>
      <c r="E2821">
        <v>27</v>
      </c>
      <c r="F2821" s="2">
        <f>DATE(2026,IF(Tabla1[[#This Row],[Mes de Fecha]]="Septiembre",9,10),Tabla1[[#This Row],[Día de Fecha]])</f>
        <v>46292</v>
      </c>
      <c r="G2821">
        <v>1107846457</v>
      </c>
      <c r="H2821" t="s">
        <v>402</v>
      </c>
      <c r="I2821">
        <v>36</v>
      </c>
      <c r="J2821">
        <v>0</v>
      </c>
      <c r="K2821" s="1">
        <v>2206304</v>
      </c>
    </row>
    <row r="2822" spans="1:11" x14ac:dyDescent="0.25">
      <c r="A2822" t="s">
        <v>326</v>
      </c>
      <c r="B2822" t="s">
        <v>845</v>
      </c>
      <c r="C2822" t="s">
        <v>867</v>
      </c>
      <c r="D2822" t="s">
        <v>11</v>
      </c>
      <c r="E2822">
        <v>27</v>
      </c>
      <c r="F2822" s="2">
        <f>DATE(2026,IF(Tabla1[[#This Row],[Mes de Fecha]]="Septiembre",9,10),Tabla1[[#This Row],[Día de Fecha]])</f>
        <v>46292</v>
      </c>
      <c r="G2822">
        <v>1109185235</v>
      </c>
      <c r="H2822" t="s">
        <v>512</v>
      </c>
      <c r="I2822">
        <v>59</v>
      </c>
      <c r="J2822">
        <v>0</v>
      </c>
      <c r="K2822" s="1">
        <v>3364834</v>
      </c>
    </row>
    <row r="2823" spans="1:11" x14ac:dyDescent="0.25">
      <c r="A2823" t="s">
        <v>326</v>
      </c>
      <c r="B2823" t="s">
        <v>845</v>
      </c>
      <c r="C2823" t="s">
        <v>867</v>
      </c>
      <c r="D2823" t="s">
        <v>11</v>
      </c>
      <c r="E2823">
        <v>27</v>
      </c>
      <c r="F2823" s="2">
        <f>DATE(2026,IF(Tabla1[[#This Row],[Mes de Fecha]]="Septiembre",9,10),Tabla1[[#This Row],[Día de Fecha]])</f>
        <v>46292</v>
      </c>
      <c r="G2823">
        <v>1113698946</v>
      </c>
      <c r="H2823" t="s">
        <v>460</v>
      </c>
      <c r="I2823">
        <v>-1</v>
      </c>
      <c r="J2823">
        <v>0</v>
      </c>
      <c r="K2823" s="1">
        <v>-67143</v>
      </c>
    </row>
    <row r="2824" spans="1:11" x14ac:dyDescent="0.25">
      <c r="A2824" t="s">
        <v>326</v>
      </c>
      <c r="B2824" t="s">
        <v>845</v>
      </c>
      <c r="C2824" t="s">
        <v>867</v>
      </c>
      <c r="D2824" t="s">
        <v>11</v>
      </c>
      <c r="E2824">
        <v>27</v>
      </c>
      <c r="F2824" s="2">
        <f>DATE(2026,IF(Tabla1[[#This Row],[Mes de Fecha]]="Septiembre",9,10),Tabla1[[#This Row],[Día de Fecha]])</f>
        <v>46292</v>
      </c>
      <c r="G2824">
        <v>1193599836</v>
      </c>
      <c r="H2824" t="s">
        <v>516</v>
      </c>
      <c r="I2824">
        <v>44</v>
      </c>
      <c r="J2824">
        <v>0</v>
      </c>
      <c r="K2824" s="1">
        <v>2601011</v>
      </c>
    </row>
    <row r="2825" spans="1:11" x14ac:dyDescent="0.25">
      <c r="A2825" t="s">
        <v>326</v>
      </c>
      <c r="B2825" t="s">
        <v>845</v>
      </c>
      <c r="C2825" t="s">
        <v>867</v>
      </c>
      <c r="D2825" t="s">
        <v>11</v>
      </c>
      <c r="E2825">
        <v>28</v>
      </c>
      <c r="F2825" s="2">
        <f>DATE(2026,IF(Tabla1[[#This Row],[Mes de Fecha]]="Septiembre",9,10),Tabla1[[#This Row],[Día de Fecha]])</f>
        <v>46293</v>
      </c>
      <c r="I2825">
        <v>0</v>
      </c>
      <c r="J2825" s="1">
        <v>7718372</v>
      </c>
      <c r="K2825">
        <v>0</v>
      </c>
    </row>
    <row r="2826" spans="1:11" x14ac:dyDescent="0.25">
      <c r="A2826" t="s">
        <v>326</v>
      </c>
      <c r="B2826" t="s">
        <v>845</v>
      </c>
      <c r="C2826" t="s">
        <v>867</v>
      </c>
      <c r="D2826" t="s">
        <v>11</v>
      </c>
      <c r="E2826">
        <v>28</v>
      </c>
      <c r="F2826" s="2">
        <f>DATE(2026,IF(Tabla1[[#This Row],[Mes de Fecha]]="Septiembre",9,10),Tabla1[[#This Row],[Día de Fecha]])</f>
        <v>46293</v>
      </c>
      <c r="G2826">
        <v>5063496</v>
      </c>
      <c r="H2826" t="s">
        <v>363</v>
      </c>
      <c r="I2826">
        <v>22</v>
      </c>
      <c r="J2826">
        <v>0</v>
      </c>
      <c r="K2826" s="1">
        <v>1412859</v>
      </c>
    </row>
    <row r="2827" spans="1:11" x14ac:dyDescent="0.25">
      <c r="A2827" t="s">
        <v>326</v>
      </c>
      <c r="B2827" t="s">
        <v>845</v>
      </c>
      <c r="C2827" t="s">
        <v>867</v>
      </c>
      <c r="D2827" t="s">
        <v>11</v>
      </c>
      <c r="E2827">
        <v>28</v>
      </c>
      <c r="F2827" s="2">
        <f>DATE(2026,IF(Tabla1[[#This Row],[Mes de Fecha]]="Septiembre",9,10),Tabla1[[#This Row],[Día de Fecha]])</f>
        <v>46293</v>
      </c>
      <c r="G2827">
        <v>1107846457</v>
      </c>
      <c r="H2827" t="s">
        <v>402</v>
      </c>
      <c r="I2827">
        <v>11</v>
      </c>
      <c r="J2827">
        <v>0</v>
      </c>
      <c r="K2827" s="1">
        <v>503571</v>
      </c>
    </row>
    <row r="2828" spans="1:11" x14ac:dyDescent="0.25">
      <c r="A2828" t="s">
        <v>326</v>
      </c>
      <c r="B2828" t="s">
        <v>845</v>
      </c>
      <c r="C2828" t="s">
        <v>867</v>
      </c>
      <c r="D2828" t="s">
        <v>11</v>
      </c>
      <c r="E2828">
        <v>28</v>
      </c>
      <c r="F2828" s="2">
        <f>DATE(2026,IF(Tabla1[[#This Row],[Mes de Fecha]]="Septiembre",9,10),Tabla1[[#This Row],[Día de Fecha]])</f>
        <v>46293</v>
      </c>
      <c r="G2828">
        <v>1109185235</v>
      </c>
      <c r="H2828" t="s">
        <v>512</v>
      </c>
      <c r="I2828">
        <v>17</v>
      </c>
      <c r="J2828">
        <v>0</v>
      </c>
      <c r="K2828" s="1">
        <v>1053866</v>
      </c>
    </row>
    <row r="2829" spans="1:11" x14ac:dyDescent="0.25">
      <c r="A2829" t="s">
        <v>326</v>
      </c>
      <c r="B2829" t="s">
        <v>845</v>
      </c>
      <c r="C2829" t="s">
        <v>867</v>
      </c>
      <c r="D2829" t="s">
        <v>11</v>
      </c>
      <c r="E2829">
        <v>28</v>
      </c>
      <c r="F2829" s="2">
        <f>DATE(2026,IF(Tabla1[[#This Row],[Mes de Fecha]]="Septiembre",9,10),Tabla1[[#This Row],[Día de Fecha]])</f>
        <v>46293</v>
      </c>
      <c r="G2829">
        <v>1193599836</v>
      </c>
      <c r="H2829" t="s">
        <v>516</v>
      </c>
      <c r="I2829">
        <v>10</v>
      </c>
      <c r="J2829">
        <v>0</v>
      </c>
      <c r="K2829" s="1">
        <v>705378</v>
      </c>
    </row>
    <row r="2830" spans="1:11" x14ac:dyDescent="0.25">
      <c r="A2830" t="s">
        <v>326</v>
      </c>
      <c r="B2830" t="s">
        <v>845</v>
      </c>
      <c r="C2830" t="s">
        <v>867</v>
      </c>
      <c r="D2830" t="s">
        <v>11</v>
      </c>
      <c r="E2830">
        <v>29</v>
      </c>
      <c r="F2830" s="2">
        <f>DATE(2026,IF(Tabla1[[#This Row],[Mes de Fecha]]="Septiembre",9,10),Tabla1[[#This Row],[Día de Fecha]])</f>
        <v>46294</v>
      </c>
      <c r="I2830">
        <v>0</v>
      </c>
      <c r="J2830" s="1">
        <v>8244734</v>
      </c>
      <c r="K2830">
        <v>0</v>
      </c>
    </row>
    <row r="2831" spans="1:11" x14ac:dyDescent="0.25">
      <c r="A2831" t="s">
        <v>326</v>
      </c>
      <c r="B2831" t="s">
        <v>845</v>
      </c>
      <c r="C2831" t="s">
        <v>867</v>
      </c>
      <c r="D2831" t="s">
        <v>11</v>
      </c>
      <c r="E2831">
        <v>29</v>
      </c>
      <c r="F2831" s="2">
        <f>DATE(2026,IF(Tabla1[[#This Row],[Mes de Fecha]]="Septiembre",9,10),Tabla1[[#This Row],[Día de Fecha]])</f>
        <v>46294</v>
      </c>
      <c r="G2831">
        <v>5063496</v>
      </c>
      <c r="H2831" t="s">
        <v>363</v>
      </c>
      <c r="I2831">
        <v>29</v>
      </c>
      <c r="J2831">
        <v>0</v>
      </c>
      <c r="K2831" s="1">
        <v>1826344</v>
      </c>
    </row>
    <row r="2832" spans="1:11" x14ac:dyDescent="0.25">
      <c r="A2832" t="s">
        <v>326</v>
      </c>
      <c r="B2832" t="s">
        <v>845</v>
      </c>
      <c r="C2832" t="s">
        <v>867</v>
      </c>
      <c r="D2832" t="s">
        <v>11</v>
      </c>
      <c r="E2832">
        <v>29</v>
      </c>
      <c r="F2832" s="2">
        <f>DATE(2026,IF(Tabla1[[#This Row],[Mes de Fecha]]="Septiembre",9,10),Tabla1[[#This Row],[Día de Fecha]])</f>
        <v>46294</v>
      </c>
      <c r="G2832">
        <v>1107846457</v>
      </c>
      <c r="H2832" t="s">
        <v>402</v>
      </c>
      <c r="I2832">
        <v>27</v>
      </c>
      <c r="J2832">
        <v>0</v>
      </c>
      <c r="K2832" s="1">
        <v>1486136</v>
      </c>
    </row>
    <row r="2833" spans="1:11" x14ac:dyDescent="0.25">
      <c r="A2833" t="s">
        <v>326</v>
      </c>
      <c r="B2833" t="s">
        <v>845</v>
      </c>
      <c r="C2833" t="s">
        <v>867</v>
      </c>
      <c r="D2833" t="s">
        <v>11</v>
      </c>
      <c r="E2833">
        <v>29</v>
      </c>
      <c r="F2833" s="2">
        <f>DATE(2026,IF(Tabla1[[#This Row],[Mes de Fecha]]="Septiembre",9,10),Tabla1[[#This Row],[Día de Fecha]])</f>
        <v>46294</v>
      </c>
      <c r="G2833">
        <v>1109185235</v>
      </c>
      <c r="H2833" t="s">
        <v>512</v>
      </c>
      <c r="I2833">
        <v>23</v>
      </c>
      <c r="J2833">
        <v>0</v>
      </c>
      <c r="K2833" s="1">
        <v>1208909</v>
      </c>
    </row>
    <row r="2834" spans="1:11" x14ac:dyDescent="0.25">
      <c r="A2834" t="s">
        <v>326</v>
      </c>
      <c r="B2834" t="s">
        <v>845</v>
      </c>
      <c r="C2834" t="s">
        <v>867</v>
      </c>
      <c r="D2834" t="s">
        <v>11</v>
      </c>
      <c r="E2834">
        <v>29</v>
      </c>
      <c r="F2834" s="2">
        <f>DATE(2026,IF(Tabla1[[#This Row],[Mes de Fecha]]="Septiembre",9,10),Tabla1[[#This Row],[Día de Fecha]])</f>
        <v>46294</v>
      </c>
      <c r="G2834">
        <v>1193599836</v>
      </c>
      <c r="H2834" t="s">
        <v>516</v>
      </c>
      <c r="I2834">
        <v>36</v>
      </c>
      <c r="J2834">
        <v>0</v>
      </c>
      <c r="K2834" s="1">
        <v>2189584</v>
      </c>
    </row>
    <row r="2835" spans="1:11" x14ac:dyDescent="0.25">
      <c r="A2835" t="s">
        <v>326</v>
      </c>
      <c r="B2835" t="s">
        <v>845</v>
      </c>
      <c r="C2835" t="s">
        <v>867</v>
      </c>
      <c r="D2835" t="s">
        <v>11</v>
      </c>
      <c r="E2835">
        <v>30</v>
      </c>
      <c r="F2835" s="2">
        <f>DATE(2026,IF(Tabla1[[#This Row],[Mes de Fecha]]="Septiembre",9,10),Tabla1[[#This Row],[Día de Fecha]])</f>
        <v>46295</v>
      </c>
      <c r="I2835">
        <v>0</v>
      </c>
      <c r="J2835" s="1">
        <v>8516954</v>
      </c>
      <c r="K2835">
        <v>0</v>
      </c>
    </row>
    <row r="2836" spans="1:11" x14ac:dyDescent="0.25">
      <c r="A2836" t="s">
        <v>326</v>
      </c>
      <c r="B2836" t="s">
        <v>845</v>
      </c>
      <c r="C2836" t="s">
        <v>867</v>
      </c>
      <c r="D2836" t="s">
        <v>11</v>
      </c>
      <c r="E2836">
        <v>30</v>
      </c>
      <c r="F2836" s="2">
        <f>DATE(2026,IF(Tabla1[[#This Row],[Mes de Fecha]]="Septiembre",9,10),Tabla1[[#This Row],[Día de Fecha]])</f>
        <v>46295</v>
      </c>
      <c r="G2836">
        <v>5063496</v>
      </c>
      <c r="H2836" t="s">
        <v>363</v>
      </c>
      <c r="I2836">
        <v>53</v>
      </c>
      <c r="J2836">
        <v>0</v>
      </c>
      <c r="K2836" s="1">
        <v>2919918</v>
      </c>
    </row>
    <row r="2837" spans="1:11" x14ac:dyDescent="0.25">
      <c r="A2837" t="s">
        <v>326</v>
      </c>
      <c r="B2837" t="s">
        <v>845</v>
      </c>
      <c r="C2837" t="s">
        <v>867</v>
      </c>
      <c r="D2837" t="s">
        <v>11</v>
      </c>
      <c r="E2837">
        <v>30</v>
      </c>
      <c r="F2837" s="2">
        <f>DATE(2026,IF(Tabla1[[#This Row],[Mes de Fecha]]="Septiembre",9,10),Tabla1[[#This Row],[Día de Fecha]])</f>
        <v>46295</v>
      </c>
      <c r="G2837">
        <v>1107846457</v>
      </c>
      <c r="H2837" t="s">
        <v>402</v>
      </c>
      <c r="I2837">
        <v>19</v>
      </c>
      <c r="J2837">
        <v>0</v>
      </c>
      <c r="K2837" s="1">
        <v>1129329</v>
      </c>
    </row>
    <row r="2838" spans="1:11" x14ac:dyDescent="0.25">
      <c r="A2838" t="s">
        <v>326</v>
      </c>
      <c r="B2838" t="s">
        <v>845</v>
      </c>
      <c r="C2838" t="s">
        <v>867</v>
      </c>
      <c r="D2838" t="s">
        <v>11</v>
      </c>
      <c r="E2838">
        <v>30</v>
      </c>
      <c r="F2838" s="2">
        <f>DATE(2026,IF(Tabla1[[#This Row],[Mes de Fecha]]="Septiembre",9,10),Tabla1[[#This Row],[Día de Fecha]])</f>
        <v>46295</v>
      </c>
      <c r="G2838">
        <v>1109185235</v>
      </c>
      <c r="H2838" t="s">
        <v>512</v>
      </c>
      <c r="I2838">
        <v>26</v>
      </c>
      <c r="J2838">
        <v>0</v>
      </c>
      <c r="K2838" s="1">
        <v>1416977</v>
      </c>
    </row>
    <row r="2839" spans="1:11" x14ac:dyDescent="0.25">
      <c r="A2839" t="s">
        <v>326</v>
      </c>
      <c r="B2839" t="s">
        <v>845</v>
      </c>
      <c r="C2839" t="s">
        <v>867</v>
      </c>
      <c r="D2839" t="s">
        <v>11</v>
      </c>
      <c r="E2839">
        <v>30</v>
      </c>
      <c r="F2839" s="2">
        <f>DATE(2026,IF(Tabla1[[#This Row],[Mes de Fecha]]="Septiembre",9,10),Tabla1[[#This Row],[Día de Fecha]])</f>
        <v>46295</v>
      </c>
      <c r="G2839">
        <v>1193599836</v>
      </c>
      <c r="H2839" t="s">
        <v>516</v>
      </c>
      <c r="I2839">
        <v>24</v>
      </c>
      <c r="J2839">
        <v>0</v>
      </c>
      <c r="K2839" s="1">
        <v>1015675</v>
      </c>
    </row>
    <row r="2840" spans="1:11" x14ac:dyDescent="0.25">
      <c r="A2840" t="s">
        <v>326</v>
      </c>
      <c r="B2840" t="s">
        <v>845</v>
      </c>
      <c r="C2840" t="s">
        <v>867</v>
      </c>
      <c r="D2840" t="s">
        <v>14</v>
      </c>
      <c r="E2840">
        <v>1</v>
      </c>
      <c r="F2840" s="2">
        <f>DATE(2026,IF(Tabla1[[#This Row],[Mes de Fecha]]="Septiembre",9,10),Tabla1[[#This Row],[Día de Fecha]])</f>
        <v>46296</v>
      </c>
      <c r="I2840">
        <v>0</v>
      </c>
      <c r="J2840" s="1">
        <v>6090154</v>
      </c>
      <c r="K2840">
        <v>0</v>
      </c>
    </row>
    <row r="2841" spans="1:11" x14ac:dyDescent="0.25">
      <c r="A2841" t="s">
        <v>326</v>
      </c>
      <c r="B2841" t="s">
        <v>845</v>
      </c>
      <c r="C2841" t="s">
        <v>867</v>
      </c>
      <c r="D2841" t="s">
        <v>14</v>
      </c>
      <c r="E2841">
        <v>1</v>
      </c>
      <c r="F2841" s="2">
        <f>DATE(2026,IF(Tabla1[[#This Row],[Mes de Fecha]]="Septiembre",9,10),Tabla1[[#This Row],[Día de Fecha]])</f>
        <v>46296</v>
      </c>
      <c r="G2841">
        <v>5063496</v>
      </c>
      <c r="H2841" t="s">
        <v>363</v>
      </c>
      <c r="I2841">
        <v>30</v>
      </c>
      <c r="J2841">
        <v>0</v>
      </c>
      <c r="K2841" s="1">
        <v>1876893</v>
      </c>
    </row>
    <row r="2842" spans="1:11" x14ac:dyDescent="0.25">
      <c r="A2842" t="s">
        <v>326</v>
      </c>
      <c r="B2842" t="s">
        <v>845</v>
      </c>
      <c r="C2842" t="s">
        <v>867</v>
      </c>
      <c r="D2842" t="s">
        <v>14</v>
      </c>
      <c r="E2842">
        <v>1</v>
      </c>
      <c r="F2842" s="2">
        <f>DATE(2026,IF(Tabla1[[#This Row],[Mes de Fecha]]="Septiembre",9,10),Tabla1[[#This Row],[Día de Fecha]])</f>
        <v>46296</v>
      </c>
      <c r="G2842">
        <v>1107846457</v>
      </c>
      <c r="H2842" t="s">
        <v>402</v>
      </c>
      <c r="I2842">
        <v>33</v>
      </c>
      <c r="J2842">
        <v>0</v>
      </c>
      <c r="K2842" s="1">
        <v>1384961</v>
      </c>
    </row>
    <row r="2843" spans="1:11" x14ac:dyDescent="0.25">
      <c r="A2843" t="s">
        <v>326</v>
      </c>
      <c r="B2843" t="s">
        <v>845</v>
      </c>
      <c r="C2843" t="s">
        <v>867</v>
      </c>
      <c r="D2843" t="s">
        <v>14</v>
      </c>
      <c r="E2843">
        <v>1</v>
      </c>
      <c r="F2843" s="2">
        <f>DATE(2026,IF(Tabla1[[#This Row],[Mes de Fecha]]="Septiembre",9,10),Tabla1[[#This Row],[Día de Fecha]])</f>
        <v>46296</v>
      </c>
      <c r="G2843">
        <v>1109185235</v>
      </c>
      <c r="H2843" t="s">
        <v>512</v>
      </c>
      <c r="I2843">
        <v>17</v>
      </c>
      <c r="J2843">
        <v>0</v>
      </c>
      <c r="K2843" s="1">
        <v>1152606</v>
      </c>
    </row>
    <row r="2844" spans="1:11" x14ac:dyDescent="0.25">
      <c r="A2844" t="s">
        <v>326</v>
      </c>
      <c r="B2844" t="s">
        <v>845</v>
      </c>
      <c r="C2844" t="s">
        <v>867</v>
      </c>
      <c r="D2844" t="s">
        <v>14</v>
      </c>
      <c r="E2844">
        <v>1</v>
      </c>
      <c r="F2844" s="2">
        <f>DATE(2026,IF(Tabla1[[#This Row],[Mes de Fecha]]="Septiembre",9,10),Tabla1[[#This Row],[Día de Fecha]])</f>
        <v>46296</v>
      </c>
      <c r="G2844">
        <v>1193599836</v>
      </c>
      <c r="H2844" t="s">
        <v>516</v>
      </c>
      <c r="I2844">
        <v>47</v>
      </c>
      <c r="J2844">
        <v>0</v>
      </c>
      <c r="K2844" s="1">
        <v>2775085</v>
      </c>
    </row>
    <row r="2845" spans="1:11" x14ac:dyDescent="0.25">
      <c r="A2845" t="s">
        <v>326</v>
      </c>
      <c r="B2845" t="s">
        <v>845</v>
      </c>
      <c r="C2845" t="s">
        <v>867</v>
      </c>
      <c r="D2845" t="s">
        <v>14</v>
      </c>
      <c r="E2845">
        <v>2</v>
      </c>
      <c r="F2845" s="2">
        <f>DATE(2026,IF(Tabla1[[#This Row],[Mes de Fecha]]="Septiembre",9,10),Tabla1[[#This Row],[Día de Fecha]])</f>
        <v>46297</v>
      </c>
      <c r="I2845">
        <v>0</v>
      </c>
      <c r="J2845" s="1">
        <v>7240596</v>
      </c>
      <c r="K2845">
        <v>0</v>
      </c>
    </row>
    <row r="2846" spans="1:11" x14ac:dyDescent="0.25">
      <c r="A2846" t="s">
        <v>326</v>
      </c>
      <c r="B2846" t="s">
        <v>845</v>
      </c>
      <c r="C2846" t="s">
        <v>867</v>
      </c>
      <c r="D2846" t="s">
        <v>14</v>
      </c>
      <c r="E2846">
        <v>2</v>
      </c>
      <c r="F2846" s="2">
        <f>DATE(2026,IF(Tabla1[[#This Row],[Mes de Fecha]]="Septiembre",9,10),Tabla1[[#This Row],[Día de Fecha]])</f>
        <v>46297</v>
      </c>
      <c r="G2846">
        <v>5063496</v>
      </c>
      <c r="H2846" t="s">
        <v>363</v>
      </c>
      <c r="I2846">
        <v>46</v>
      </c>
      <c r="J2846">
        <v>0</v>
      </c>
      <c r="K2846" s="1">
        <v>2518786</v>
      </c>
    </row>
    <row r="2847" spans="1:11" x14ac:dyDescent="0.25">
      <c r="A2847" t="s">
        <v>326</v>
      </c>
      <c r="B2847" t="s">
        <v>845</v>
      </c>
      <c r="C2847" t="s">
        <v>867</v>
      </c>
      <c r="D2847" t="s">
        <v>14</v>
      </c>
      <c r="E2847">
        <v>2</v>
      </c>
      <c r="F2847" s="2">
        <f>DATE(2026,IF(Tabla1[[#This Row],[Mes de Fecha]]="Septiembre",9,10),Tabla1[[#This Row],[Día de Fecha]])</f>
        <v>46297</v>
      </c>
      <c r="G2847">
        <v>1107846457</v>
      </c>
      <c r="H2847" t="s">
        <v>402</v>
      </c>
      <c r="I2847">
        <v>11</v>
      </c>
      <c r="J2847">
        <v>0</v>
      </c>
      <c r="K2847" s="1">
        <v>810420</v>
      </c>
    </row>
    <row r="2848" spans="1:11" x14ac:dyDescent="0.25">
      <c r="A2848" t="s">
        <v>326</v>
      </c>
      <c r="B2848" t="s">
        <v>845</v>
      </c>
      <c r="C2848" t="s">
        <v>867</v>
      </c>
      <c r="D2848" t="s">
        <v>14</v>
      </c>
      <c r="E2848">
        <v>2</v>
      </c>
      <c r="F2848" s="2">
        <f>DATE(2026,IF(Tabla1[[#This Row],[Mes de Fecha]]="Septiembre",9,10),Tabla1[[#This Row],[Día de Fecha]])</f>
        <v>46297</v>
      </c>
      <c r="G2848">
        <v>1109185235</v>
      </c>
      <c r="H2848" t="s">
        <v>512</v>
      </c>
      <c r="I2848">
        <v>19</v>
      </c>
      <c r="J2848">
        <v>0</v>
      </c>
      <c r="K2848" s="1">
        <v>1142018</v>
      </c>
    </row>
    <row r="2849" spans="1:11" x14ac:dyDescent="0.25">
      <c r="A2849" t="s">
        <v>326</v>
      </c>
      <c r="B2849" t="s">
        <v>845</v>
      </c>
      <c r="C2849" t="s">
        <v>867</v>
      </c>
      <c r="D2849" t="s">
        <v>14</v>
      </c>
      <c r="E2849">
        <v>2</v>
      </c>
      <c r="F2849" s="2">
        <f>DATE(2026,IF(Tabla1[[#This Row],[Mes de Fecha]]="Septiembre",9,10),Tabla1[[#This Row],[Día de Fecha]])</f>
        <v>46297</v>
      </c>
      <c r="G2849">
        <v>1193599836</v>
      </c>
      <c r="H2849" t="s">
        <v>516</v>
      </c>
      <c r="I2849">
        <v>20</v>
      </c>
      <c r="J2849">
        <v>0</v>
      </c>
      <c r="K2849" s="1">
        <v>938109</v>
      </c>
    </row>
    <row r="2850" spans="1:11" x14ac:dyDescent="0.25">
      <c r="A2850" t="s">
        <v>326</v>
      </c>
      <c r="B2850" t="s">
        <v>845</v>
      </c>
      <c r="C2850" t="s">
        <v>867</v>
      </c>
      <c r="D2850" t="s">
        <v>14</v>
      </c>
      <c r="E2850">
        <v>3</v>
      </c>
      <c r="F2850" s="2">
        <f>DATE(2026,IF(Tabla1[[#This Row],[Mes de Fecha]]="Septiembre",9,10),Tabla1[[#This Row],[Día de Fecha]])</f>
        <v>46298</v>
      </c>
      <c r="I2850">
        <v>0</v>
      </c>
      <c r="J2850" s="1">
        <v>14317573</v>
      </c>
      <c r="K2850">
        <v>0</v>
      </c>
    </row>
    <row r="2851" spans="1:11" x14ac:dyDescent="0.25">
      <c r="A2851" t="s">
        <v>326</v>
      </c>
      <c r="B2851" t="s">
        <v>845</v>
      </c>
      <c r="C2851" t="s">
        <v>867</v>
      </c>
      <c r="D2851" t="s">
        <v>14</v>
      </c>
      <c r="E2851">
        <v>3</v>
      </c>
      <c r="F2851" s="2">
        <f>DATE(2026,IF(Tabla1[[#This Row],[Mes de Fecha]]="Septiembre",9,10),Tabla1[[#This Row],[Día de Fecha]])</f>
        <v>46298</v>
      </c>
      <c r="G2851">
        <v>5063496</v>
      </c>
      <c r="H2851" t="s">
        <v>363</v>
      </c>
      <c r="I2851">
        <v>57</v>
      </c>
      <c r="J2851">
        <v>0</v>
      </c>
      <c r="K2851" s="1">
        <v>2927349</v>
      </c>
    </row>
    <row r="2852" spans="1:11" x14ac:dyDescent="0.25">
      <c r="A2852" t="s">
        <v>326</v>
      </c>
      <c r="B2852" t="s">
        <v>845</v>
      </c>
      <c r="C2852" t="s">
        <v>867</v>
      </c>
      <c r="D2852" t="s">
        <v>14</v>
      </c>
      <c r="E2852">
        <v>3</v>
      </c>
      <c r="F2852" s="2">
        <f>DATE(2026,IF(Tabla1[[#This Row],[Mes de Fecha]]="Septiembre",9,10),Tabla1[[#This Row],[Día de Fecha]])</f>
        <v>46298</v>
      </c>
      <c r="G2852">
        <v>1107846457</v>
      </c>
      <c r="H2852" t="s">
        <v>402</v>
      </c>
      <c r="I2852">
        <v>38</v>
      </c>
      <c r="J2852">
        <v>0</v>
      </c>
      <c r="K2852" s="1">
        <v>2018574</v>
      </c>
    </row>
    <row r="2853" spans="1:11" x14ac:dyDescent="0.25">
      <c r="A2853" t="s">
        <v>326</v>
      </c>
      <c r="B2853" t="s">
        <v>845</v>
      </c>
      <c r="C2853" t="s">
        <v>867</v>
      </c>
      <c r="D2853" t="s">
        <v>14</v>
      </c>
      <c r="E2853">
        <v>3</v>
      </c>
      <c r="F2853" s="2">
        <f>DATE(2026,IF(Tabla1[[#This Row],[Mes de Fecha]]="Septiembre",9,10),Tabla1[[#This Row],[Día de Fecha]])</f>
        <v>46298</v>
      </c>
      <c r="G2853">
        <v>1109185235</v>
      </c>
      <c r="H2853" t="s">
        <v>512</v>
      </c>
      <c r="I2853">
        <v>49</v>
      </c>
      <c r="J2853">
        <v>0</v>
      </c>
      <c r="K2853" s="1">
        <v>2733659</v>
      </c>
    </row>
    <row r="2854" spans="1:11" x14ac:dyDescent="0.25">
      <c r="A2854" t="s">
        <v>326</v>
      </c>
      <c r="B2854" t="s">
        <v>845</v>
      </c>
      <c r="C2854" t="s">
        <v>867</v>
      </c>
      <c r="D2854" t="s">
        <v>14</v>
      </c>
      <c r="E2854">
        <v>3</v>
      </c>
      <c r="F2854" s="2">
        <f>DATE(2026,IF(Tabla1[[#This Row],[Mes de Fecha]]="Septiembre",9,10),Tabla1[[#This Row],[Día de Fecha]])</f>
        <v>46298</v>
      </c>
      <c r="G2854">
        <v>1113623464</v>
      </c>
      <c r="H2854" t="s">
        <v>519</v>
      </c>
      <c r="I2854">
        <v>-1</v>
      </c>
      <c r="J2854">
        <v>0</v>
      </c>
      <c r="K2854" s="1">
        <v>-75546</v>
      </c>
    </row>
    <row r="2855" spans="1:11" x14ac:dyDescent="0.25">
      <c r="A2855" t="s">
        <v>326</v>
      </c>
      <c r="B2855" t="s">
        <v>845</v>
      </c>
      <c r="C2855" t="s">
        <v>867</v>
      </c>
      <c r="D2855" t="s">
        <v>14</v>
      </c>
      <c r="E2855">
        <v>3</v>
      </c>
      <c r="F2855" s="2">
        <f>DATE(2026,IF(Tabla1[[#This Row],[Mes de Fecha]]="Septiembre",9,10),Tabla1[[#This Row],[Día de Fecha]])</f>
        <v>46298</v>
      </c>
      <c r="G2855">
        <v>1113656874</v>
      </c>
      <c r="H2855" t="s">
        <v>434</v>
      </c>
      <c r="I2855">
        <v>-1</v>
      </c>
      <c r="J2855">
        <v>0</v>
      </c>
      <c r="K2855" s="1">
        <v>-113403</v>
      </c>
    </row>
    <row r="2856" spans="1:11" x14ac:dyDescent="0.25">
      <c r="A2856" t="s">
        <v>326</v>
      </c>
      <c r="B2856" t="s">
        <v>845</v>
      </c>
      <c r="C2856" t="s">
        <v>867</v>
      </c>
      <c r="D2856" t="s">
        <v>14</v>
      </c>
      <c r="E2856">
        <v>3</v>
      </c>
      <c r="F2856" s="2">
        <f>DATE(2026,IF(Tabla1[[#This Row],[Mes de Fecha]]="Septiembre",9,10),Tabla1[[#This Row],[Día de Fecha]])</f>
        <v>46298</v>
      </c>
      <c r="G2856">
        <v>1193599836</v>
      </c>
      <c r="H2856" t="s">
        <v>516</v>
      </c>
      <c r="I2856">
        <v>51</v>
      </c>
      <c r="J2856">
        <v>0</v>
      </c>
      <c r="K2856" s="1">
        <v>2817012</v>
      </c>
    </row>
    <row r="2857" spans="1:11" x14ac:dyDescent="0.25">
      <c r="A2857" t="s">
        <v>326</v>
      </c>
      <c r="B2857" t="s">
        <v>845</v>
      </c>
      <c r="C2857" t="s">
        <v>867</v>
      </c>
      <c r="D2857" t="s">
        <v>14</v>
      </c>
      <c r="E2857">
        <v>4</v>
      </c>
      <c r="F2857" s="2">
        <f>DATE(2026,IF(Tabla1[[#This Row],[Mes de Fecha]]="Septiembre",9,10),Tabla1[[#This Row],[Día de Fecha]])</f>
        <v>46299</v>
      </c>
      <c r="I2857">
        <v>0</v>
      </c>
      <c r="J2857" s="1">
        <v>17906380</v>
      </c>
      <c r="K2857">
        <v>0</v>
      </c>
    </row>
    <row r="2858" spans="1:11" x14ac:dyDescent="0.25">
      <c r="A2858" t="s">
        <v>326</v>
      </c>
      <c r="B2858" t="s">
        <v>845</v>
      </c>
      <c r="C2858" t="s">
        <v>867</v>
      </c>
      <c r="D2858" t="s">
        <v>14</v>
      </c>
      <c r="E2858">
        <v>4</v>
      </c>
      <c r="F2858" s="2">
        <f>DATE(2026,IF(Tabla1[[#This Row],[Mes de Fecha]]="Septiembre",9,10),Tabla1[[#This Row],[Día de Fecha]])</f>
        <v>46299</v>
      </c>
      <c r="G2858">
        <v>5063496</v>
      </c>
      <c r="H2858" t="s">
        <v>363</v>
      </c>
      <c r="I2858">
        <v>66</v>
      </c>
      <c r="J2858">
        <v>0</v>
      </c>
      <c r="K2858" s="1">
        <v>3765885</v>
      </c>
    </row>
    <row r="2859" spans="1:11" x14ac:dyDescent="0.25">
      <c r="A2859" t="s">
        <v>326</v>
      </c>
      <c r="B2859" t="s">
        <v>845</v>
      </c>
      <c r="C2859" t="s">
        <v>867</v>
      </c>
      <c r="D2859" t="s">
        <v>14</v>
      </c>
      <c r="E2859">
        <v>4</v>
      </c>
      <c r="F2859" s="2">
        <f>DATE(2026,IF(Tabla1[[#This Row],[Mes de Fecha]]="Septiembre",9,10),Tabla1[[#This Row],[Día de Fecha]])</f>
        <v>46299</v>
      </c>
      <c r="G2859">
        <v>1107846457</v>
      </c>
      <c r="H2859" t="s">
        <v>402</v>
      </c>
      <c r="I2859">
        <v>38</v>
      </c>
      <c r="J2859">
        <v>0</v>
      </c>
      <c r="K2859" s="1">
        <v>1859539</v>
      </c>
    </row>
    <row r="2860" spans="1:11" x14ac:dyDescent="0.25">
      <c r="A2860" t="s">
        <v>326</v>
      </c>
      <c r="B2860" t="s">
        <v>845</v>
      </c>
      <c r="C2860" t="s">
        <v>867</v>
      </c>
      <c r="D2860" t="s">
        <v>14</v>
      </c>
      <c r="E2860">
        <v>4</v>
      </c>
      <c r="F2860" s="2">
        <f>DATE(2026,IF(Tabla1[[#This Row],[Mes de Fecha]]="Septiembre",9,10),Tabla1[[#This Row],[Día de Fecha]])</f>
        <v>46299</v>
      </c>
      <c r="G2860">
        <v>1109185235</v>
      </c>
      <c r="H2860" t="s">
        <v>512</v>
      </c>
      <c r="I2860">
        <v>56</v>
      </c>
      <c r="J2860">
        <v>0</v>
      </c>
      <c r="K2860" s="1">
        <v>2999497</v>
      </c>
    </row>
    <row r="2861" spans="1:11" x14ac:dyDescent="0.25">
      <c r="A2861" t="s">
        <v>326</v>
      </c>
      <c r="B2861" t="s">
        <v>845</v>
      </c>
      <c r="C2861" t="s">
        <v>867</v>
      </c>
      <c r="D2861" t="s">
        <v>14</v>
      </c>
      <c r="E2861">
        <v>4</v>
      </c>
      <c r="F2861" s="2">
        <f>DATE(2026,IF(Tabla1[[#This Row],[Mes de Fecha]]="Septiembre",9,10),Tabla1[[#This Row],[Día de Fecha]])</f>
        <v>46299</v>
      </c>
      <c r="G2861">
        <v>1113670149</v>
      </c>
      <c r="H2861" t="s">
        <v>698</v>
      </c>
      <c r="I2861">
        <v>-1</v>
      </c>
      <c r="J2861">
        <v>0</v>
      </c>
      <c r="K2861" s="1">
        <v>-58740</v>
      </c>
    </row>
    <row r="2862" spans="1:11" x14ac:dyDescent="0.25">
      <c r="A2862" t="s">
        <v>326</v>
      </c>
      <c r="B2862" t="s">
        <v>845</v>
      </c>
      <c r="C2862" t="s">
        <v>867</v>
      </c>
      <c r="D2862" t="s">
        <v>14</v>
      </c>
      <c r="E2862">
        <v>4</v>
      </c>
      <c r="F2862" s="2">
        <f>DATE(2026,IF(Tabla1[[#This Row],[Mes de Fecha]]="Septiembre",9,10),Tabla1[[#This Row],[Día de Fecha]])</f>
        <v>46299</v>
      </c>
      <c r="G2862">
        <v>1193599836</v>
      </c>
      <c r="H2862" t="s">
        <v>516</v>
      </c>
      <c r="I2862">
        <v>40</v>
      </c>
      <c r="J2862">
        <v>0</v>
      </c>
      <c r="K2862" s="1">
        <v>2340671</v>
      </c>
    </row>
    <row r="2863" spans="1:11" x14ac:dyDescent="0.25">
      <c r="A2863" t="s">
        <v>326</v>
      </c>
      <c r="B2863" t="s">
        <v>845</v>
      </c>
      <c r="C2863" t="s">
        <v>867</v>
      </c>
      <c r="D2863" t="s">
        <v>14</v>
      </c>
      <c r="E2863">
        <v>5</v>
      </c>
      <c r="F2863" s="2">
        <f>DATE(2026,IF(Tabla1[[#This Row],[Mes de Fecha]]="Septiembre",9,10),Tabla1[[#This Row],[Día de Fecha]])</f>
        <v>46300</v>
      </c>
      <c r="I2863">
        <v>0</v>
      </c>
      <c r="J2863" s="1">
        <v>7752467</v>
      </c>
      <c r="K2863">
        <v>0</v>
      </c>
    </row>
    <row r="2864" spans="1:11" x14ac:dyDescent="0.25">
      <c r="A2864" t="s">
        <v>326</v>
      </c>
      <c r="B2864" t="s">
        <v>845</v>
      </c>
      <c r="C2864" t="s">
        <v>867</v>
      </c>
      <c r="D2864" t="s">
        <v>14</v>
      </c>
      <c r="E2864">
        <v>5</v>
      </c>
      <c r="F2864" s="2">
        <f>DATE(2026,IF(Tabla1[[#This Row],[Mes de Fecha]]="Septiembre",9,10),Tabla1[[#This Row],[Día de Fecha]])</f>
        <v>46300</v>
      </c>
      <c r="G2864">
        <v>5063496</v>
      </c>
      <c r="H2864" t="s">
        <v>363</v>
      </c>
      <c r="I2864">
        <v>55</v>
      </c>
      <c r="J2864">
        <v>0</v>
      </c>
      <c r="K2864" s="1">
        <v>2957608</v>
      </c>
    </row>
    <row r="2865" spans="1:11" x14ac:dyDescent="0.25">
      <c r="A2865" t="s">
        <v>326</v>
      </c>
      <c r="B2865" t="s">
        <v>845</v>
      </c>
      <c r="C2865" t="s">
        <v>867</v>
      </c>
      <c r="D2865" t="s">
        <v>14</v>
      </c>
      <c r="E2865">
        <v>5</v>
      </c>
      <c r="F2865" s="2">
        <f>DATE(2026,IF(Tabla1[[#This Row],[Mes de Fecha]]="Septiembre",9,10),Tabla1[[#This Row],[Día de Fecha]])</f>
        <v>46300</v>
      </c>
      <c r="G2865">
        <v>18586321</v>
      </c>
      <c r="H2865" t="s">
        <v>693</v>
      </c>
      <c r="I2865">
        <v>-4</v>
      </c>
      <c r="J2865">
        <v>0</v>
      </c>
      <c r="K2865" s="1">
        <v>-203210</v>
      </c>
    </row>
    <row r="2866" spans="1:11" x14ac:dyDescent="0.25">
      <c r="A2866" t="s">
        <v>326</v>
      </c>
      <c r="B2866" t="s">
        <v>845</v>
      </c>
      <c r="C2866" t="s">
        <v>867</v>
      </c>
      <c r="D2866" t="s">
        <v>14</v>
      </c>
      <c r="E2866">
        <v>5</v>
      </c>
      <c r="F2866" s="2">
        <f>DATE(2026,IF(Tabla1[[#This Row],[Mes de Fecha]]="Septiembre",9,10),Tabla1[[#This Row],[Día de Fecha]])</f>
        <v>46300</v>
      </c>
      <c r="G2866">
        <v>1107846457</v>
      </c>
      <c r="H2866" t="s">
        <v>402</v>
      </c>
      <c r="I2866">
        <v>6</v>
      </c>
      <c r="J2866">
        <v>0</v>
      </c>
      <c r="K2866" s="1">
        <v>331681</v>
      </c>
    </row>
    <row r="2867" spans="1:11" x14ac:dyDescent="0.25">
      <c r="A2867" t="s">
        <v>326</v>
      </c>
      <c r="B2867" t="s">
        <v>845</v>
      </c>
      <c r="C2867" t="s">
        <v>867</v>
      </c>
      <c r="D2867" t="s">
        <v>14</v>
      </c>
      <c r="E2867">
        <v>5</v>
      </c>
      <c r="F2867" s="2">
        <f>DATE(2026,IF(Tabla1[[#This Row],[Mes de Fecha]]="Septiembre",9,10),Tabla1[[#This Row],[Día de Fecha]])</f>
        <v>46300</v>
      </c>
      <c r="G2867">
        <v>1109185235</v>
      </c>
      <c r="H2867" t="s">
        <v>512</v>
      </c>
      <c r="I2867">
        <v>42</v>
      </c>
      <c r="J2867">
        <v>0</v>
      </c>
      <c r="K2867" s="1">
        <v>2542145</v>
      </c>
    </row>
    <row r="2868" spans="1:11" x14ac:dyDescent="0.25">
      <c r="A2868" t="s">
        <v>326</v>
      </c>
      <c r="B2868" t="s">
        <v>845</v>
      </c>
      <c r="C2868" t="s">
        <v>867</v>
      </c>
      <c r="D2868" t="s">
        <v>14</v>
      </c>
      <c r="E2868">
        <v>5</v>
      </c>
      <c r="F2868" s="2">
        <f>DATE(2026,IF(Tabla1[[#This Row],[Mes de Fecha]]="Septiembre",9,10),Tabla1[[#This Row],[Día de Fecha]])</f>
        <v>46300</v>
      </c>
      <c r="G2868">
        <v>1193599836</v>
      </c>
      <c r="H2868" t="s">
        <v>516</v>
      </c>
      <c r="I2868">
        <v>11</v>
      </c>
      <c r="J2868">
        <v>0</v>
      </c>
      <c r="K2868" s="1">
        <v>638151</v>
      </c>
    </row>
    <row r="2869" spans="1:11" x14ac:dyDescent="0.25">
      <c r="A2869" t="s">
        <v>326</v>
      </c>
      <c r="B2869" t="s">
        <v>845</v>
      </c>
      <c r="C2869" t="s">
        <v>867</v>
      </c>
      <c r="D2869" t="s">
        <v>14</v>
      </c>
      <c r="E2869">
        <v>6</v>
      </c>
      <c r="F2869" s="2">
        <f>DATE(2026,IF(Tabla1[[#This Row],[Mes de Fecha]]="Septiembre",9,10),Tabla1[[#This Row],[Día de Fecha]])</f>
        <v>46301</v>
      </c>
      <c r="I2869">
        <v>0</v>
      </c>
      <c r="J2869" s="1">
        <v>5106890</v>
      </c>
      <c r="K2869">
        <v>0</v>
      </c>
    </row>
    <row r="2870" spans="1:11" x14ac:dyDescent="0.25">
      <c r="A2870" t="s">
        <v>326</v>
      </c>
      <c r="B2870" t="s">
        <v>845</v>
      </c>
      <c r="C2870" t="s">
        <v>867</v>
      </c>
      <c r="D2870" t="s">
        <v>14</v>
      </c>
      <c r="E2870">
        <v>6</v>
      </c>
      <c r="F2870" s="2">
        <f>DATE(2026,IF(Tabla1[[#This Row],[Mes de Fecha]]="Septiembre",9,10),Tabla1[[#This Row],[Día de Fecha]])</f>
        <v>46301</v>
      </c>
      <c r="G2870">
        <v>5063496</v>
      </c>
      <c r="H2870" t="s">
        <v>363</v>
      </c>
      <c r="I2870">
        <v>36</v>
      </c>
      <c r="J2870">
        <v>0</v>
      </c>
      <c r="K2870" s="1">
        <v>1924875</v>
      </c>
    </row>
    <row r="2871" spans="1:11" x14ac:dyDescent="0.25">
      <c r="A2871" t="s">
        <v>326</v>
      </c>
      <c r="B2871" t="s">
        <v>845</v>
      </c>
      <c r="C2871" t="s">
        <v>867</v>
      </c>
      <c r="D2871" t="s">
        <v>14</v>
      </c>
      <c r="E2871">
        <v>6</v>
      </c>
      <c r="F2871" s="2">
        <f>DATE(2026,IF(Tabla1[[#This Row],[Mes de Fecha]]="Septiembre",9,10),Tabla1[[#This Row],[Día de Fecha]])</f>
        <v>46301</v>
      </c>
      <c r="G2871">
        <v>1107846457</v>
      </c>
      <c r="H2871" t="s">
        <v>402</v>
      </c>
      <c r="I2871">
        <v>2</v>
      </c>
      <c r="J2871">
        <v>0</v>
      </c>
      <c r="K2871" s="1">
        <v>75546</v>
      </c>
    </row>
    <row r="2872" spans="1:11" x14ac:dyDescent="0.25">
      <c r="A2872" t="s">
        <v>326</v>
      </c>
      <c r="B2872" t="s">
        <v>845</v>
      </c>
      <c r="C2872" t="s">
        <v>867</v>
      </c>
      <c r="D2872" t="s">
        <v>14</v>
      </c>
      <c r="E2872">
        <v>6</v>
      </c>
      <c r="F2872" s="2">
        <f>DATE(2026,IF(Tabla1[[#This Row],[Mes de Fecha]]="Septiembre",9,10),Tabla1[[#This Row],[Día de Fecha]])</f>
        <v>46301</v>
      </c>
      <c r="G2872">
        <v>1109185235</v>
      </c>
      <c r="H2872" t="s">
        <v>512</v>
      </c>
      <c r="I2872">
        <v>31</v>
      </c>
      <c r="J2872">
        <v>0</v>
      </c>
      <c r="K2872" s="1">
        <v>1813741</v>
      </c>
    </row>
    <row r="2873" spans="1:11" x14ac:dyDescent="0.25">
      <c r="A2873" t="s">
        <v>326</v>
      </c>
      <c r="B2873" t="s">
        <v>845</v>
      </c>
      <c r="C2873" t="s">
        <v>867</v>
      </c>
      <c r="D2873" t="s">
        <v>14</v>
      </c>
      <c r="E2873">
        <v>6</v>
      </c>
      <c r="F2873" s="2">
        <f>DATE(2026,IF(Tabla1[[#This Row],[Mes de Fecha]]="Septiembre",9,10),Tabla1[[#This Row],[Día de Fecha]])</f>
        <v>46301</v>
      </c>
      <c r="G2873">
        <v>1193599836</v>
      </c>
      <c r="H2873" t="s">
        <v>516</v>
      </c>
      <c r="I2873">
        <v>4</v>
      </c>
      <c r="J2873">
        <v>0</v>
      </c>
      <c r="K2873" s="1">
        <v>247731</v>
      </c>
    </row>
    <row r="2874" spans="1:11" x14ac:dyDescent="0.25">
      <c r="A2874" t="s">
        <v>326</v>
      </c>
      <c r="B2874" t="s">
        <v>845</v>
      </c>
      <c r="C2874" t="s">
        <v>867</v>
      </c>
      <c r="D2874" t="s">
        <v>14</v>
      </c>
      <c r="E2874">
        <v>7</v>
      </c>
      <c r="F2874" s="2">
        <f>DATE(2026,IF(Tabla1[[#This Row],[Mes de Fecha]]="Septiembre",9,10),Tabla1[[#This Row],[Día de Fecha]])</f>
        <v>46302</v>
      </c>
      <c r="I2874">
        <v>0</v>
      </c>
      <c r="J2874" s="1">
        <v>5039693</v>
      </c>
      <c r="K2874">
        <v>0</v>
      </c>
    </row>
    <row r="2875" spans="1:11" x14ac:dyDescent="0.25">
      <c r="A2875" t="s">
        <v>326</v>
      </c>
      <c r="B2875" t="s">
        <v>845</v>
      </c>
      <c r="C2875" t="s">
        <v>867</v>
      </c>
      <c r="D2875" t="s">
        <v>14</v>
      </c>
      <c r="E2875">
        <v>7</v>
      </c>
      <c r="F2875" s="2">
        <f>DATE(2026,IF(Tabla1[[#This Row],[Mes de Fecha]]="Septiembre",9,10),Tabla1[[#This Row],[Día de Fecha]])</f>
        <v>46302</v>
      </c>
      <c r="G2875">
        <v>5063496</v>
      </c>
      <c r="H2875" t="s">
        <v>363</v>
      </c>
      <c r="I2875">
        <v>45</v>
      </c>
      <c r="J2875">
        <v>0</v>
      </c>
      <c r="K2875" s="1">
        <v>2365591</v>
      </c>
    </row>
    <row r="2876" spans="1:11" x14ac:dyDescent="0.25">
      <c r="A2876" t="s">
        <v>326</v>
      </c>
      <c r="B2876" t="s">
        <v>845</v>
      </c>
      <c r="C2876" t="s">
        <v>867</v>
      </c>
      <c r="D2876" t="s">
        <v>14</v>
      </c>
      <c r="E2876">
        <v>7</v>
      </c>
      <c r="F2876" s="2">
        <f>DATE(2026,IF(Tabla1[[#This Row],[Mes de Fecha]]="Septiembre",9,10),Tabla1[[#This Row],[Día de Fecha]])</f>
        <v>46302</v>
      </c>
      <c r="G2876">
        <v>1109185235</v>
      </c>
      <c r="H2876" t="s">
        <v>512</v>
      </c>
      <c r="I2876">
        <v>24</v>
      </c>
      <c r="J2876">
        <v>0</v>
      </c>
      <c r="K2876" s="1">
        <v>1393868</v>
      </c>
    </row>
    <row r="2877" spans="1:11" x14ac:dyDescent="0.25">
      <c r="A2877" t="s">
        <v>9</v>
      </c>
      <c r="B2877" t="s">
        <v>71</v>
      </c>
      <c r="C2877" t="s">
        <v>868</v>
      </c>
      <c r="D2877" t="s">
        <v>11</v>
      </c>
      <c r="E2877">
        <v>23</v>
      </c>
      <c r="F2877" s="2">
        <f>DATE(2026,IF(Tabla1[[#This Row],[Mes de Fecha]]="Septiembre",9,10),Tabla1[[#This Row],[Día de Fecha]])</f>
        <v>46288</v>
      </c>
      <c r="I2877">
        <v>0</v>
      </c>
      <c r="J2877" s="1">
        <v>5036103</v>
      </c>
      <c r="K2877">
        <v>0</v>
      </c>
    </row>
    <row r="2878" spans="1:11" x14ac:dyDescent="0.25">
      <c r="A2878" t="s">
        <v>9</v>
      </c>
      <c r="B2878" t="s">
        <v>71</v>
      </c>
      <c r="C2878" t="s">
        <v>868</v>
      </c>
      <c r="D2878" t="s">
        <v>11</v>
      </c>
      <c r="E2878">
        <v>23</v>
      </c>
      <c r="F2878" s="2">
        <f>DATE(2026,IF(Tabla1[[#This Row],[Mes de Fecha]]="Septiembre",9,10),Tabla1[[#This Row],[Día de Fecha]])</f>
        <v>46288</v>
      </c>
      <c r="G2878">
        <v>1112459753</v>
      </c>
      <c r="H2878" t="s">
        <v>72</v>
      </c>
      <c r="I2878">
        <v>67</v>
      </c>
      <c r="J2878">
        <v>0</v>
      </c>
      <c r="K2878" s="1">
        <v>3471977</v>
      </c>
    </row>
    <row r="2879" spans="1:11" x14ac:dyDescent="0.25">
      <c r="A2879" t="s">
        <v>9</v>
      </c>
      <c r="B2879" t="s">
        <v>71</v>
      </c>
      <c r="C2879" t="s">
        <v>868</v>
      </c>
      <c r="D2879" t="s">
        <v>11</v>
      </c>
      <c r="E2879">
        <v>23</v>
      </c>
      <c r="F2879" s="2">
        <f>DATE(2026,IF(Tabla1[[#This Row],[Mes de Fecha]]="Septiembre",9,10),Tabla1[[#This Row],[Día de Fecha]])</f>
        <v>46288</v>
      </c>
      <c r="G2879">
        <v>1112464368</v>
      </c>
      <c r="H2879" t="s">
        <v>73</v>
      </c>
      <c r="I2879">
        <v>66</v>
      </c>
      <c r="J2879">
        <v>0</v>
      </c>
      <c r="K2879" s="1">
        <v>3503659</v>
      </c>
    </row>
    <row r="2880" spans="1:11" x14ac:dyDescent="0.25">
      <c r="A2880" t="s">
        <v>9</v>
      </c>
      <c r="B2880" t="s">
        <v>71</v>
      </c>
      <c r="C2880" t="s">
        <v>868</v>
      </c>
      <c r="D2880" t="s">
        <v>11</v>
      </c>
      <c r="E2880">
        <v>24</v>
      </c>
      <c r="F2880" s="2">
        <f>DATE(2026,IF(Tabla1[[#This Row],[Mes de Fecha]]="Septiembre",9,10),Tabla1[[#This Row],[Día de Fecha]])</f>
        <v>46289</v>
      </c>
      <c r="I2880">
        <v>0</v>
      </c>
      <c r="J2880" s="1">
        <v>13024328</v>
      </c>
      <c r="K2880">
        <v>0</v>
      </c>
    </row>
    <row r="2881" spans="1:11" x14ac:dyDescent="0.25">
      <c r="A2881" t="s">
        <v>9</v>
      </c>
      <c r="B2881" t="s">
        <v>71</v>
      </c>
      <c r="C2881" t="s">
        <v>868</v>
      </c>
      <c r="D2881" t="s">
        <v>11</v>
      </c>
      <c r="E2881">
        <v>24</v>
      </c>
      <c r="F2881" s="2">
        <f>DATE(2026,IF(Tabla1[[#This Row],[Mes de Fecha]]="Septiembre",9,10),Tabla1[[#This Row],[Día de Fecha]])</f>
        <v>46289</v>
      </c>
      <c r="G2881">
        <v>1112459753</v>
      </c>
      <c r="H2881" t="s">
        <v>72</v>
      </c>
      <c r="I2881">
        <v>52</v>
      </c>
      <c r="J2881">
        <v>0</v>
      </c>
      <c r="K2881" s="1">
        <v>2861264</v>
      </c>
    </row>
    <row r="2882" spans="1:11" x14ac:dyDescent="0.25">
      <c r="A2882" t="s">
        <v>9</v>
      </c>
      <c r="B2882" t="s">
        <v>71</v>
      </c>
      <c r="C2882" t="s">
        <v>868</v>
      </c>
      <c r="D2882" t="s">
        <v>11</v>
      </c>
      <c r="E2882">
        <v>24</v>
      </c>
      <c r="F2882" s="2">
        <f>DATE(2026,IF(Tabla1[[#This Row],[Mes de Fecha]]="Septiembre",9,10),Tabla1[[#This Row],[Día de Fecha]])</f>
        <v>46289</v>
      </c>
      <c r="G2882">
        <v>1112464368</v>
      </c>
      <c r="H2882" t="s">
        <v>73</v>
      </c>
      <c r="I2882">
        <v>70</v>
      </c>
      <c r="J2882">
        <v>0</v>
      </c>
      <c r="K2882" s="1">
        <v>3761767</v>
      </c>
    </row>
    <row r="2883" spans="1:11" x14ac:dyDescent="0.25">
      <c r="A2883" t="s">
        <v>9</v>
      </c>
      <c r="B2883" t="s">
        <v>71</v>
      </c>
      <c r="C2883" t="s">
        <v>868</v>
      </c>
      <c r="D2883" t="s">
        <v>11</v>
      </c>
      <c r="E2883">
        <v>25</v>
      </c>
      <c r="F2883" s="2">
        <f>DATE(2026,IF(Tabla1[[#This Row],[Mes de Fecha]]="Septiembre",9,10),Tabla1[[#This Row],[Día de Fecha]])</f>
        <v>46290</v>
      </c>
      <c r="I2883">
        <v>0</v>
      </c>
      <c r="J2883" s="1">
        <v>13910691</v>
      </c>
      <c r="K2883">
        <v>0</v>
      </c>
    </row>
    <row r="2884" spans="1:11" x14ac:dyDescent="0.25">
      <c r="A2884" t="s">
        <v>9</v>
      </c>
      <c r="B2884" t="s">
        <v>71</v>
      </c>
      <c r="C2884" t="s">
        <v>868</v>
      </c>
      <c r="D2884" t="s">
        <v>11</v>
      </c>
      <c r="E2884">
        <v>25</v>
      </c>
      <c r="F2884" s="2">
        <f>DATE(2026,IF(Tabla1[[#This Row],[Mes de Fecha]]="Septiembre",9,10),Tabla1[[#This Row],[Día de Fecha]])</f>
        <v>46290</v>
      </c>
      <c r="G2884">
        <v>1112459753</v>
      </c>
      <c r="H2884" t="s">
        <v>72</v>
      </c>
      <c r="I2884">
        <v>116</v>
      </c>
      <c r="J2884">
        <v>0</v>
      </c>
      <c r="K2884" s="1">
        <v>6480860</v>
      </c>
    </row>
    <row r="2885" spans="1:11" x14ac:dyDescent="0.25">
      <c r="A2885" t="s">
        <v>9</v>
      </c>
      <c r="B2885" t="s">
        <v>71</v>
      </c>
      <c r="C2885" t="s">
        <v>868</v>
      </c>
      <c r="D2885" t="s">
        <v>11</v>
      </c>
      <c r="E2885">
        <v>25</v>
      </c>
      <c r="F2885" s="2">
        <f>DATE(2026,IF(Tabla1[[#This Row],[Mes de Fecha]]="Septiembre",9,10),Tabla1[[#This Row],[Día de Fecha]])</f>
        <v>46290</v>
      </c>
      <c r="G2885">
        <v>1112464368</v>
      </c>
      <c r="H2885" t="s">
        <v>73</v>
      </c>
      <c r="I2885">
        <v>110</v>
      </c>
      <c r="J2885">
        <v>0</v>
      </c>
      <c r="K2885" s="1">
        <v>5995427</v>
      </c>
    </row>
    <row r="2886" spans="1:11" x14ac:dyDescent="0.25">
      <c r="A2886" t="s">
        <v>9</v>
      </c>
      <c r="B2886" t="s">
        <v>71</v>
      </c>
      <c r="C2886" t="s">
        <v>868</v>
      </c>
      <c r="D2886" t="s">
        <v>11</v>
      </c>
      <c r="E2886">
        <v>26</v>
      </c>
      <c r="F2886" s="2">
        <f>DATE(2026,IF(Tabla1[[#This Row],[Mes de Fecha]]="Septiembre",9,10),Tabla1[[#This Row],[Día de Fecha]])</f>
        <v>46291</v>
      </c>
      <c r="I2886">
        <v>0</v>
      </c>
      <c r="J2886" s="1">
        <v>17541032</v>
      </c>
      <c r="K2886">
        <v>0</v>
      </c>
    </row>
    <row r="2887" spans="1:11" x14ac:dyDescent="0.25">
      <c r="A2887" t="s">
        <v>9</v>
      </c>
      <c r="B2887" t="s">
        <v>71</v>
      </c>
      <c r="C2887" t="s">
        <v>868</v>
      </c>
      <c r="D2887" t="s">
        <v>11</v>
      </c>
      <c r="E2887">
        <v>26</v>
      </c>
      <c r="F2887" s="2">
        <f>DATE(2026,IF(Tabla1[[#This Row],[Mes de Fecha]]="Septiembre",9,10),Tabla1[[#This Row],[Día de Fecha]])</f>
        <v>46291</v>
      </c>
      <c r="G2887">
        <v>1112459753</v>
      </c>
      <c r="H2887" t="s">
        <v>72</v>
      </c>
      <c r="I2887">
        <v>128</v>
      </c>
      <c r="J2887">
        <v>0</v>
      </c>
      <c r="K2887" s="1">
        <v>7696498</v>
      </c>
    </row>
    <row r="2888" spans="1:11" x14ac:dyDescent="0.25">
      <c r="A2888" t="s">
        <v>9</v>
      </c>
      <c r="B2888" t="s">
        <v>71</v>
      </c>
      <c r="C2888" t="s">
        <v>868</v>
      </c>
      <c r="D2888" t="s">
        <v>11</v>
      </c>
      <c r="E2888">
        <v>26</v>
      </c>
      <c r="F2888" s="2">
        <f>DATE(2026,IF(Tabla1[[#This Row],[Mes de Fecha]]="Septiembre",9,10),Tabla1[[#This Row],[Día de Fecha]])</f>
        <v>46291</v>
      </c>
      <c r="G2888">
        <v>1112464368</v>
      </c>
      <c r="H2888" t="s">
        <v>73</v>
      </c>
      <c r="I2888">
        <v>179</v>
      </c>
      <c r="J2888">
        <v>0</v>
      </c>
      <c r="K2888" s="1">
        <v>10483961</v>
      </c>
    </row>
    <row r="2889" spans="1:11" x14ac:dyDescent="0.25">
      <c r="A2889" t="s">
        <v>9</v>
      </c>
      <c r="B2889" t="s">
        <v>71</v>
      </c>
      <c r="C2889" t="s">
        <v>868</v>
      </c>
      <c r="D2889" t="s">
        <v>11</v>
      </c>
      <c r="E2889">
        <v>27</v>
      </c>
      <c r="F2889" s="2">
        <f>DATE(2026,IF(Tabla1[[#This Row],[Mes de Fecha]]="Septiembre",9,10),Tabla1[[#This Row],[Día de Fecha]])</f>
        <v>46292</v>
      </c>
      <c r="I2889">
        <v>0</v>
      </c>
      <c r="J2889" s="1">
        <v>9261496</v>
      </c>
      <c r="K2889">
        <v>0</v>
      </c>
    </row>
    <row r="2890" spans="1:11" x14ac:dyDescent="0.25">
      <c r="A2890" t="s">
        <v>9</v>
      </c>
      <c r="B2890" t="s">
        <v>71</v>
      </c>
      <c r="C2890" t="s">
        <v>868</v>
      </c>
      <c r="D2890" t="s">
        <v>11</v>
      </c>
      <c r="E2890">
        <v>27</v>
      </c>
      <c r="F2890" s="2">
        <f>DATE(2026,IF(Tabla1[[#This Row],[Mes de Fecha]]="Septiembre",9,10),Tabla1[[#This Row],[Día de Fecha]])</f>
        <v>46292</v>
      </c>
      <c r="G2890">
        <v>1112459753</v>
      </c>
      <c r="H2890" t="s">
        <v>72</v>
      </c>
      <c r="I2890">
        <v>64</v>
      </c>
      <c r="J2890">
        <v>0</v>
      </c>
      <c r="K2890" s="1">
        <v>3427568</v>
      </c>
    </row>
    <row r="2891" spans="1:11" x14ac:dyDescent="0.25">
      <c r="A2891" t="s">
        <v>9</v>
      </c>
      <c r="B2891" t="s">
        <v>71</v>
      </c>
      <c r="C2891" t="s">
        <v>868</v>
      </c>
      <c r="D2891" t="s">
        <v>11</v>
      </c>
      <c r="E2891">
        <v>27</v>
      </c>
      <c r="F2891" s="2">
        <f>DATE(2026,IF(Tabla1[[#This Row],[Mes de Fecha]]="Septiembre",9,10),Tabla1[[#This Row],[Día de Fecha]])</f>
        <v>46292</v>
      </c>
      <c r="G2891">
        <v>1112464368</v>
      </c>
      <c r="H2891" t="s">
        <v>73</v>
      </c>
      <c r="I2891">
        <v>46</v>
      </c>
      <c r="J2891">
        <v>0</v>
      </c>
      <c r="K2891" s="1">
        <v>2997905</v>
      </c>
    </row>
    <row r="2892" spans="1:11" x14ac:dyDescent="0.25">
      <c r="A2892" t="s">
        <v>9</v>
      </c>
      <c r="B2892" t="s">
        <v>71</v>
      </c>
      <c r="C2892" t="s">
        <v>868</v>
      </c>
      <c r="D2892" t="s">
        <v>11</v>
      </c>
      <c r="E2892">
        <v>28</v>
      </c>
      <c r="F2892" s="2">
        <f>DATE(2026,IF(Tabla1[[#This Row],[Mes de Fecha]]="Septiembre",9,10),Tabla1[[#This Row],[Día de Fecha]])</f>
        <v>46293</v>
      </c>
      <c r="I2892">
        <v>0</v>
      </c>
      <c r="J2892" s="1">
        <v>7593423</v>
      </c>
      <c r="K2892">
        <v>0</v>
      </c>
    </row>
    <row r="2893" spans="1:11" x14ac:dyDescent="0.25">
      <c r="A2893" t="s">
        <v>9</v>
      </c>
      <c r="B2893" t="s">
        <v>71</v>
      </c>
      <c r="C2893" t="s">
        <v>868</v>
      </c>
      <c r="D2893" t="s">
        <v>11</v>
      </c>
      <c r="E2893">
        <v>28</v>
      </c>
      <c r="F2893" s="2">
        <f>DATE(2026,IF(Tabla1[[#This Row],[Mes de Fecha]]="Septiembre",9,10),Tabla1[[#This Row],[Día de Fecha]])</f>
        <v>46293</v>
      </c>
      <c r="G2893">
        <v>1112464368</v>
      </c>
      <c r="H2893" t="s">
        <v>73</v>
      </c>
      <c r="I2893">
        <v>109</v>
      </c>
      <c r="J2893">
        <v>0</v>
      </c>
      <c r="K2893" s="1">
        <v>5538868</v>
      </c>
    </row>
    <row r="2894" spans="1:11" x14ac:dyDescent="0.25">
      <c r="A2894" t="s">
        <v>9</v>
      </c>
      <c r="B2894" t="s">
        <v>71</v>
      </c>
      <c r="C2894" t="s">
        <v>868</v>
      </c>
      <c r="D2894" t="s">
        <v>11</v>
      </c>
      <c r="E2894">
        <v>29</v>
      </c>
      <c r="F2894" s="2">
        <f>DATE(2026,IF(Tabla1[[#This Row],[Mes de Fecha]]="Septiembre",9,10),Tabla1[[#This Row],[Día de Fecha]])</f>
        <v>46294</v>
      </c>
      <c r="I2894">
        <v>0</v>
      </c>
      <c r="J2894" s="1">
        <v>8441636</v>
      </c>
      <c r="K2894">
        <v>0</v>
      </c>
    </row>
    <row r="2895" spans="1:11" x14ac:dyDescent="0.25">
      <c r="A2895" t="s">
        <v>9</v>
      </c>
      <c r="B2895" t="s">
        <v>71</v>
      </c>
      <c r="C2895" t="s">
        <v>868</v>
      </c>
      <c r="D2895" t="s">
        <v>11</v>
      </c>
      <c r="E2895">
        <v>29</v>
      </c>
      <c r="F2895" s="2">
        <f>DATE(2026,IF(Tabla1[[#This Row],[Mes de Fecha]]="Septiembre",9,10),Tabla1[[#This Row],[Día de Fecha]])</f>
        <v>46294</v>
      </c>
      <c r="G2895">
        <v>1112459753</v>
      </c>
      <c r="H2895" t="s">
        <v>72</v>
      </c>
      <c r="I2895">
        <v>124</v>
      </c>
      <c r="J2895">
        <v>0</v>
      </c>
      <c r="K2895" s="1">
        <v>6479462</v>
      </c>
    </row>
    <row r="2896" spans="1:11" x14ac:dyDescent="0.25">
      <c r="A2896" t="s">
        <v>9</v>
      </c>
      <c r="B2896" t="s">
        <v>71</v>
      </c>
      <c r="C2896" t="s">
        <v>868</v>
      </c>
      <c r="D2896" t="s">
        <v>11</v>
      </c>
      <c r="E2896">
        <v>30</v>
      </c>
      <c r="F2896" s="2">
        <f>DATE(2026,IF(Tabla1[[#This Row],[Mes de Fecha]]="Septiembre",9,10),Tabla1[[#This Row],[Día de Fecha]])</f>
        <v>46295</v>
      </c>
      <c r="I2896">
        <v>0</v>
      </c>
      <c r="J2896" s="1">
        <v>8939961</v>
      </c>
      <c r="K2896">
        <v>0</v>
      </c>
    </row>
    <row r="2897" spans="1:11" x14ac:dyDescent="0.25">
      <c r="A2897" t="s">
        <v>9</v>
      </c>
      <c r="B2897" t="s">
        <v>71</v>
      </c>
      <c r="C2897" t="s">
        <v>868</v>
      </c>
      <c r="D2897" t="s">
        <v>11</v>
      </c>
      <c r="E2897">
        <v>30</v>
      </c>
      <c r="F2897" s="2">
        <f>DATE(2026,IF(Tabla1[[#This Row],[Mes de Fecha]]="Septiembre",9,10),Tabla1[[#This Row],[Día de Fecha]])</f>
        <v>46295</v>
      </c>
      <c r="G2897">
        <v>1112459753</v>
      </c>
      <c r="H2897" t="s">
        <v>72</v>
      </c>
      <c r="I2897">
        <v>55</v>
      </c>
      <c r="J2897">
        <v>0</v>
      </c>
      <c r="K2897" s="1">
        <v>2659122</v>
      </c>
    </row>
    <row r="2898" spans="1:11" x14ac:dyDescent="0.25">
      <c r="A2898" t="s">
        <v>9</v>
      </c>
      <c r="B2898" t="s">
        <v>71</v>
      </c>
      <c r="C2898" t="s">
        <v>868</v>
      </c>
      <c r="D2898" t="s">
        <v>11</v>
      </c>
      <c r="E2898">
        <v>30</v>
      </c>
      <c r="F2898" s="2">
        <f>DATE(2026,IF(Tabla1[[#This Row],[Mes de Fecha]]="Septiembre",9,10),Tabla1[[#This Row],[Día de Fecha]])</f>
        <v>46295</v>
      </c>
      <c r="G2898">
        <v>1112464368</v>
      </c>
      <c r="H2898" t="s">
        <v>73</v>
      </c>
      <c r="I2898">
        <v>53</v>
      </c>
      <c r="J2898">
        <v>0</v>
      </c>
      <c r="K2898" s="1">
        <v>2980760</v>
      </c>
    </row>
    <row r="2899" spans="1:11" x14ac:dyDescent="0.25">
      <c r="A2899" t="s">
        <v>9</v>
      </c>
      <c r="B2899" t="s">
        <v>71</v>
      </c>
      <c r="C2899" t="s">
        <v>868</v>
      </c>
      <c r="D2899" t="s">
        <v>14</v>
      </c>
      <c r="E2899">
        <v>1</v>
      </c>
      <c r="F2899" s="2">
        <f>DATE(2026,IF(Tabla1[[#This Row],[Mes de Fecha]]="Septiembre",9,10),Tabla1[[#This Row],[Día de Fecha]])</f>
        <v>46296</v>
      </c>
      <c r="I2899">
        <v>0</v>
      </c>
      <c r="J2899" s="1">
        <v>10574518</v>
      </c>
      <c r="K2899">
        <v>0</v>
      </c>
    </row>
    <row r="2900" spans="1:11" x14ac:dyDescent="0.25">
      <c r="A2900" t="s">
        <v>9</v>
      </c>
      <c r="B2900" t="s">
        <v>71</v>
      </c>
      <c r="C2900" t="s">
        <v>868</v>
      </c>
      <c r="D2900" t="s">
        <v>14</v>
      </c>
      <c r="E2900">
        <v>1</v>
      </c>
      <c r="F2900" s="2">
        <f>DATE(2026,IF(Tabla1[[#This Row],[Mes de Fecha]]="Septiembre",9,10),Tabla1[[#This Row],[Día de Fecha]])</f>
        <v>46296</v>
      </c>
      <c r="G2900">
        <v>1112459753</v>
      </c>
      <c r="H2900" t="s">
        <v>72</v>
      </c>
      <c r="I2900">
        <v>81</v>
      </c>
      <c r="J2900">
        <v>0</v>
      </c>
      <c r="K2900" s="1">
        <v>4763361</v>
      </c>
    </row>
    <row r="2901" spans="1:11" x14ac:dyDescent="0.25">
      <c r="A2901" t="s">
        <v>9</v>
      </c>
      <c r="B2901" t="s">
        <v>71</v>
      </c>
      <c r="C2901" t="s">
        <v>868</v>
      </c>
      <c r="D2901" t="s">
        <v>14</v>
      </c>
      <c r="E2901">
        <v>1</v>
      </c>
      <c r="F2901" s="2">
        <f>DATE(2026,IF(Tabla1[[#This Row],[Mes de Fecha]]="Septiembre",9,10),Tabla1[[#This Row],[Día de Fecha]])</f>
        <v>46296</v>
      </c>
      <c r="G2901">
        <v>1112464368</v>
      </c>
      <c r="H2901" t="s">
        <v>73</v>
      </c>
      <c r="I2901">
        <v>75</v>
      </c>
      <c r="J2901">
        <v>0</v>
      </c>
      <c r="K2901" s="1">
        <v>3964963</v>
      </c>
    </row>
    <row r="2902" spans="1:11" x14ac:dyDescent="0.25">
      <c r="A2902" t="s">
        <v>9</v>
      </c>
      <c r="B2902" t="s">
        <v>71</v>
      </c>
      <c r="C2902" t="s">
        <v>868</v>
      </c>
      <c r="D2902" t="s">
        <v>14</v>
      </c>
      <c r="E2902">
        <v>2</v>
      </c>
      <c r="F2902" s="2">
        <f>DATE(2026,IF(Tabla1[[#This Row],[Mes de Fecha]]="Septiembre",9,10),Tabla1[[#This Row],[Día de Fecha]])</f>
        <v>46297</v>
      </c>
      <c r="I2902">
        <v>0</v>
      </c>
      <c r="J2902" s="1">
        <v>10918536</v>
      </c>
      <c r="K2902">
        <v>0</v>
      </c>
    </row>
    <row r="2903" spans="1:11" x14ac:dyDescent="0.25">
      <c r="A2903" t="s">
        <v>9</v>
      </c>
      <c r="B2903" t="s">
        <v>71</v>
      </c>
      <c r="C2903" t="s">
        <v>868</v>
      </c>
      <c r="D2903" t="s">
        <v>14</v>
      </c>
      <c r="E2903">
        <v>2</v>
      </c>
      <c r="F2903" s="2">
        <f>DATE(2026,IF(Tabla1[[#This Row],[Mes de Fecha]]="Septiembre",9,10),Tabla1[[#This Row],[Día de Fecha]])</f>
        <v>46297</v>
      </c>
      <c r="G2903">
        <v>1112459753</v>
      </c>
      <c r="H2903" t="s">
        <v>72</v>
      </c>
      <c r="I2903">
        <v>47</v>
      </c>
      <c r="J2903">
        <v>0</v>
      </c>
      <c r="K2903" s="1">
        <v>2819413</v>
      </c>
    </row>
    <row r="2904" spans="1:11" x14ac:dyDescent="0.25">
      <c r="A2904" t="s">
        <v>9</v>
      </c>
      <c r="B2904" t="s">
        <v>71</v>
      </c>
      <c r="C2904" t="s">
        <v>868</v>
      </c>
      <c r="D2904" t="s">
        <v>14</v>
      </c>
      <c r="E2904">
        <v>2</v>
      </c>
      <c r="F2904" s="2">
        <f>DATE(2026,IF(Tabla1[[#This Row],[Mes de Fecha]]="Septiembre",9,10),Tabla1[[#This Row],[Día de Fecha]])</f>
        <v>46297</v>
      </c>
      <c r="G2904">
        <v>1112464368</v>
      </c>
      <c r="H2904" t="s">
        <v>73</v>
      </c>
      <c r="I2904">
        <v>65</v>
      </c>
      <c r="J2904">
        <v>0</v>
      </c>
      <c r="K2904" s="1">
        <v>3329080</v>
      </c>
    </row>
    <row r="2905" spans="1:11" x14ac:dyDescent="0.25">
      <c r="A2905" t="s">
        <v>9</v>
      </c>
      <c r="B2905" t="s">
        <v>71</v>
      </c>
      <c r="C2905" t="s">
        <v>868</v>
      </c>
      <c r="D2905" t="s">
        <v>14</v>
      </c>
      <c r="E2905">
        <v>3</v>
      </c>
      <c r="F2905" s="2">
        <f>DATE(2026,IF(Tabla1[[#This Row],[Mes de Fecha]]="Septiembre",9,10),Tabla1[[#This Row],[Día de Fecha]])</f>
        <v>46298</v>
      </c>
      <c r="I2905">
        <v>0</v>
      </c>
      <c r="J2905" s="1">
        <v>20365245</v>
      </c>
      <c r="K2905">
        <v>0</v>
      </c>
    </row>
    <row r="2906" spans="1:11" x14ac:dyDescent="0.25">
      <c r="A2906" t="s">
        <v>9</v>
      </c>
      <c r="B2906" t="s">
        <v>71</v>
      </c>
      <c r="C2906" t="s">
        <v>868</v>
      </c>
      <c r="D2906" t="s">
        <v>14</v>
      </c>
      <c r="E2906">
        <v>3</v>
      </c>
      <c r="F2906" s="2">
        <f>DATE(2026,IF(Tabla1[[#This Row],[Mes de Fecha]]="Septiembre",9,10),Tabla1[[#This Row],[Día de Fecha]])</f>
        <v>46298</v>
      </c>
      <c r="G2906">
        <v>1112459753</v>
      </c>
      <c r="H2906" t="s">
        <v>72</v>
      </c>
      <c r="I2906">
        <v>124</v>
      </c>
      <c r="J2906">
        <v>0</v>
      </c>
      <c r="K2906" s="1">
        <v>6184807</v>
      </c>
    </row>
    <row r="2907" spans="1:11" x14ac:dyDescent="0.25">
      <c r="A2907" t="s">
        <v>9</v>
      </c>
      <c r="B2907" t="s">
        <v>71</v>
      </c>
      <c r="C2907" t="s">
        <v>868</v>
      </c>
      <c r="D2907" t="s">
        <v>14</v>
      </c>
      <c r="E2907">
        <v>3</v>
      </c>
      <c r="F2907" s="2">
        <f>DATE(2026,IF(Tabla1[[#This Row],[Mes de Fecha]]="Septiembre",9,10),Tabla1[[#This Row],[Día de Fecha]])</f>
        <v>46298</v>
      </c>
      <c r="G2907">
        <v>1112464368</v>
      </c>
      <c r="H2907" t="s">
        <v>73</v>
      </c>
      <c r="I2907">
        <v>119</v>
      </c>
      <c r="J2907">
        <v>0</v>
      </c>
      <c r="K2907" s="1">
        <v>6776635</v>
      </c>
    </row>
    <row r="2908" spans="1:11" x14ac:dyDescent="0.25">
      <c r="A2908" t="s">
        <v>9</v>
      </c>
      <c r="B2908" t="s">
        <v>71</v>
      </c>
      <c r="C2908" t="s">
        <v>868</v>
      </c>
      <c r="D2908" t="s">
        <v>14</v>
      </c>
      <c r="E2908">
        <v>4</v>
      </c>
      <c r="F2908" s="2">
        <f>DATE(2026,IF(Tabla1[[#This Row],[Mes de Fecha]]="Septiembre",9,10),Tabla1[[#This Row],[Día de Fecha]])</f>
        <v>46299</v>
      </c>
      <c r="I2908">
        <v>0</v>
      </c>
      <c r="J2908" s="1">
        <v>9674289</v>
      </c>
      <c r="K2908">
        <v>0</v>
      </c>
    </row>
    <row r="2909" spans="1:11" x14ac:dyDescent="0.25">
      <c r="A2909" t="s">
        <v>9</v>
      </c>
      <c r="B2909" t="s">
        <v>71</v>
      </c>
      <c r="C2909" t="s">
        <v>868</v>
      </c>
      <c r="D2909" t="s">
        <v>14</v>
      </c>
      <c r="E2909">
        <v>4</v>
      </c>
      <c r="F2909" s="2">
        <f>DATE(2026,IF(Tabla1[[#This Row],[Mes de Fecha]]="Septiembre",9,10),Tabla1[[#This Row],[Día de Fecha]])</f>
        <v>46299</v>
      </c>
      <c r="G2909">
        <v>1112459753</v>
      </c>
      <c r="H2909" t="s">
        <v>72</v>
      </c>
      <c r="I2909">
        <v>62</v>
      </c>
      <c r="J2909">
        <v>0</v>
      </c>
      <c r="K2909" s="1">
        <v>3631682</v>
      </c>
    </row>
    <row r="2910" spans="1:11" x14ac:dyDescent="0.25">
      <c r="A2910" t="s">
        <v>9</v>
      </c>
      <c r="B2910" t="s">
        <v>71</v>
      </c>
      <c r="C2910" t="s">
        <v>868</v>
      </c>
      <c r="D2910" t="s">
        <v>14</v>
      </c>
      <c r="E2910">
        <v>4</v>
      </c>
      <c r="F2910" s="2">
        <f>DATE(2026,IF(Tabla1[[#This Row],[Mes de Fecha]]="Septiembre",9,10),Tabla1[[#This Row],[Día de Fecha]])</f>
        <v>46299</v>
      </c>
      <c r="G2910">
        <v>1112464368</v>
      </c>
      <c r="H2910" t="s">
        <v>73</v>
      </c>
      <c r="I2910">
        <v>51</v>
      </c>
      <c r="J2910">
        <v>0</v>
      </c>
      <c r="K2910" s="1">
        <v>2945382</v>
      </c>
    </row>
    <row r="2911" spans="1:11" x14ac:dyDescent="0.25">
      <c r="A2911" t="s">
        <v>9</v>
      </c>
      <c r="B2911" t="s">
        <v>71</v>
      </c>
      <c r="C2911" t="s">
        <v>868</v>
      </c>
      <c r="D2911" t="s">
        <v>14</v>
      </c>
      <c r="E2911">
        <v>5</v>
      </c>
      <c r="F2911" s="2">
        <f>DATE(2026,IF(Tabla1[[#This Row],[Mes de Fecha]]="Septiembre",9,10),Tabla1[[#This Row],[Día de Fecha]])</f>
        <v>46300</v>
      </c>
      <c r="I2911">
        <v>0</v>
      </c>
      <c r="J2911" s="1">
        <v>9529162</v>
      </c>
      <c r="K2911">
        <v>0</v>
      </c>
    </row>
    <row r="2912" spans="1:11" x14ac:dyDescent="0.25">
      <c r="A2912" t="s">
        <v>9</v>
      </c>
      <c r="B2912" t="s">
        <v>71</v>
      </c>
      <c r="C2912" t="s">
        <v>868</v>
      </c>
      <c r="D2912" t="s">
        <v>14</v>
      </c>
      <c r="E2912">
        <v>5</v>
      </c>
      <c r="F2912" s="2">
        <f>DATE(2026,IF(Tabla1[[#This Row],[Mes de Fecha]]="Septiembre",9,10),Tabla1[[#This Row],[Día de Fecha]])</f>
        <v>46300</v>
      </c>
      <c r="G2912">
        <v>1112464368</v>
      </c>
      <c r="H2912" t="s">
        <v>73</v>
      </c>
      <c r="I2912">
        <v>132</v>
      </c>
      <c r="J2912">
        <v>0</v>
      </c>
      <c r="K2912" s="1">
        <v>7374451</v>
      </c>
    </row>
    <row r="2913" spans="1:11" x14ac:dyDescent="0.25">
      <c r="A2913" t="s">
        <v>9</v>
      </c>
      <c r="B2913" t="s">
        <v>71</v>
      </c>
      <c r="C2913" t="s">
        <v>868</v>
      </c>
      <c r="D2913" t="s">
        <v>14</v>
      </c>
      <c r="E2913">
        <v>6</v>
      </c>
      <c r="F2913" s="2">
        <f>DATE(2026,IF(Tabla1[[#This Row],[Mes de Fecha]]="Septiembre",9,10),Tabla1[[#This Row],[Día de Fecha]])</f>
        <v>46301</v>
      </c>
      <c r="I2913">
        <v>0</v>
      </c>
      <c r="J2913" s="1">
        <v>6371693</v>
      </c>
      <c r="K2913">
        <v>0</v>
      </c>
    </row>
    <row r="2914" spans="1:11" x14ac:dyDescent="0.25">
      <c r="A2914" t="s">
        <v>9</v>
      </c>
      <c r="B2914" t="s">
        <v>71</v>
      </c>
      <c r="C2914" t="s">
        <v>868</v>
      </c>
      <c r="D2914" t="s">
        <v>14</v>
      </c>
      <c r="E2914">
        <v>6</v>
      </c>
      <c r="F2914" s="2">
        <f>DATE(2026,IF(Tabla1[[#This Row],[Mes de Fecha]]="Septiembre",9,10),Tabla1[[#This Row],[Día de Fecha]])</f>
        <v>46301</v>
      </c>
      <c r="G2914">
        <v>1112459753</v>
      </c>
      <c r="H2914" t="s">
        <v>72</v>
      </c>
      <c r="I2914">
        <v>25</v>
      </c>
      <c r="J2914">
        <v>0</v>
      </c>
      <c r="K2914" s="1">
        <v>1368575</v>
      </c>
    </row>
    <row r="2915" spans="1:11" x14ac:dyDescent="0.25">
      <c r="A2915" t="s">
        <v>9</v>
      </c>
      <c r="B2915" t="s">
        <v>71</v>
      </c>
      <c r="C2915" t="s">
        <v>868</v>
      </c>
      <c r="D2915" t="s">
        <v>14</v>
      </c>
      <c r="E2915">
        <v>6</v>
      </c>
      <c r="F2915" s="2">
        <f>DATE(2026,IF(Tabla1[[#This Row],[Mes de Fecha]]="Septiembre",9,10),Tabla1[[#This Row],[Día de Fecha]])</f>
        <v>46301</v>
      </c>
      <c r="G2915">
        <v>1112464368</v>
      </c>
      <c r="H2915" t="s">
        <v>73</v>
      </c>
      <c r="I2915">
        <v>35</v>
      </c>
      <c r="J2915">
        <v>0</v>
      </c>
      <c r="K2915" s="1">
        <v>1706432</v>
      </c>
    </row>
    <row r="2916" spans="1:11" x14ac:dyDescent="0.25">
      <c r="A2916" t="s">
        <v>9</v>
      </c>
      <c r="B2916" t="s">
        <v>71</v>
      </c>
      <c r="C2916" t="s">
        <v>868</v>
      </c>
      <c r="D2916" t="s">
        <v>14</v>
      </c>
      <c r="E2916">
        <v>7</v>
      </c>
      <c r="F2916" s="2">
        <f>DATE(2026,IF(Tabla1[[#This Row],[Mes de Fecha]]="Septiembre",9,10),Tabla1[[#This Row],[Día de Fecha]])</f>
        <v>46302</v>
      </c>
      <c r="I2916">
        <v>0</v>
      </c>
      <c r="J2916" s="1">
        <v>5590497</v>
      </c>
      <c r="K2916">
        <v>0</v>
      </c>
    </row>
    <row r="2917" spans="1:11" x14ac:dyDescent="0.25">
      <c r="A2917" t="s">
        <v>9</v>
      </c>
      <c r="B2917" t="s">
        <v>71</v>
      </c>
      <c r="C2917" t="s">
        <v>868</v>
      </c>
      <c r="D2917" t="s">
        <v>14</v>
      </c>
      <c r="E2917">
        <v>7</v>
      </c>
      <c r="F2917" s="2">
        <f>DATE(2026,IF(Tabla1[[#This Row],[Mes de Fecha]]="Septiembre",9,10),Tabla1[[#This Row],[Día de Fecha]])</f>
        <v>46302</v>
      </c>
      <c r="G2917">
        <v>1112459753</v>
      </c>
      <c r="H2917" t="s">
        <v>72</v>
      </c>
      <c r="I2917">
        <v>31</v>
      </c>
      <c r="J2917">
        <v>0</v>
      </c>
      <c r="K2917" s="1">
        <v>1498657</v>
      </c>
    </row>
    <row r="2918" spans="1:11" x14ac:dyDescent="0.25">
      <c r="A2918" t="s">
        <v>9</v>
      </c>
      <c r="B2918" t="s">
        <v>71</v>
      </c>
      <c r="C2918" t="s">
        <v>868</v>
      </c>
      <c r="D2918" t="s">
        <v>14</v>
      </c>
      <c r="E2918">
        <v>7</v>
      </c>
      <c r="F2918" s="2">
        <f>DATE(2026,IF(Tabla1[[#This Row],[Mes de Fecha]]="Septiembre",9,10),Tabla1[[#This Row],[Día de Fecha]])</f>
        <v>46302</v>
      </c>
      <c r="G2918">
        <v>1112464368</v>
      </c>
      <c r="H2918" t="s">
        <v>73</v>
      </c>
      <c r="I2918">
        <v>53</v>
      </c>
      <c r="J2918">
        <v>0</v>
      </c>
      <c r="K2918" s="1">
        <v>3032088</v>
      </c>
    </row>
    <row r="2919" spans="1:11" x14ac:dyDescent="0.25">
      <c r="A2919" t="s">
        <v>9</v>
      </c>
      <c r="B2919" t="s">
        <v>82</v>
      </c>
      <c r="C2919" t="s">
        <v>868</v>
      </c>
      <c r="D2919" t="s">
        <v>11</v>
      </c>
      <c r="E2919">
        <v>23</v>
      </c>
      <c r="F2919" s="2">
        <f>DATE(2026,IF(Tabla1[[#This Row],[Mes de Fecha]]="Septiembre",9,10),Tabla1[[#This Row],[Día de Fecha]])</f>
        <v>46288</v>
      </c>
      <c r="I2919">
        <v>0</v>
      </c>
      <c r="J2919" s="1">
        <v>5056906</v>
      </c>
      <c r="K2919">
        <v>0</v>
      </c>
    </row>
    <row r="2920" spans="1:11" x14ac:dyDescent="0.25">
      <c r="A2920" t="s">
        <v>9</v>
      </c>
      <c r="B2920" t="s">
        <v>82</v>
      </c>
      <c r="C2920" t="s">
        <v>868</v>
      </c>
      <c r="D2920" t="s">
        <v>11</v>
      </c>
      <c r="E2920">
        <v>24</v>
      </c>
      <c r="F2920" s="2">
        <f>DATE(2026,IF(Tabla1[[#This Row],[Mes de Fecha]]="Septiembre",9,10),Tabla1[[#This Row],[Día de Fecha]])</f>
        <v>46289</v>
      </c>
      <c r="I2920">
        <v>0</v>
      </c>
      <c r="J2920" s="1">
        <v>13078129</v>
      </c>
      <c r="K2920">
        <v>0</v>
      </c>
    </row>
    <row r="2921" spans="1:11" x14ac:dyDescent="0.25">
      <c r="A2921" t="s">
        <v>9</v>
      </c>
      <c r="B2921" t="s">
        <v>82</v>
      </c>
      <c r="C2921" t="s">
        <v>868</v>
      </c>
      <c r="D2921" t="s">
        <v>11</v>
      </c>
      <c r="E2921">
        <v>24</v>
      </c>
      <c r="F2921" s="2">
        <f>DATE(2026,IF(Tabla1[[#This Row],[Mes de Fecha]]="Septiembre",9,10),Tabla1[[#This Row],[Día de Fecha]])</f>
        <v>46289</v>
      </c>
      <c r="G2921">
        <v>1006201948</v>
      </c>
      <c r="H2921" t="s">
        <v>83</v>
      </c>
      <c r="I2921">
        <v>43</v>
      </c>
      <c r="J2921">
        <v>0</v>
      </c>
      <c r="K2921" s="1">
        <v>2416265</v>
      </c>
    </row>
    <row r="2922" spans="1:11" x14ac:dyDescent="0.25">
      <c r="A2922" t="s">
        <v>9</v>
      </c>
      <c r="B2922" t="s">
        <v>82</v>
      </c>
      <c r="C2922" t="s">
        <v>868</v>
      </c>
      <c r="D2922" t="s">
        <v>11</v>
      </c>
      <c r="E2922">
        <v>25</v>
      </c>
      <c r="F2922" s="2">
        <f>DATE(2026,IF(Tabla1[[#This Row],[Mes de Fecha]]="Septiembre",9,10),Tabla1[[#This Row],[Día de Fecha]])</f>
        <v>46290</v>
      </c>
      <c r="I2922">
        <v>0</v>
      </c>
      <c r="J2922" s="1">
        <v>13968160</v>
      </c>
      <c r="K2922">
        <v>0</v>
      </c>
    </row>
    <row r="2923" spans="1:11" x14ac:dyDescent="0.25">
      <c r="A2923" t="s">
        <v>9</v>
      </c>
      <c r="B2923" t="s">
        <v>82</v>
      </c>
      <c r="C2923" t="s">
        <v>868</v>
      </c>
      <c r="D2923" t="s">
        <v>11</v>
      </c>
      <c r="E2923">
        <v>25</v>
      </c>
      <c r="F2923" s="2">
        <f>DATE(2026,IF(Tabla1[[#This Row],[Mes de Fecha]]="Septiembre",9,10),Tabla1[[#This Row],[Día de Fecha]])</f>
        <v>46290</v>
      </c>
      <c r="G2923">
        <v>1006201948</v>
      </c>
      <c r="H2923" t="s">
        <v>83</v>
      </c>
      <c r="I2923">
        <v>257</v>
      </c>
      <c r="J2923">
        <v>0</v>
      </c>
      <c r="K2923" s="1">
        <v>15251828</v>
      </c>
    </row>
    <row r="2924" spans="1:11" x14ac:dyDescent="0.25">
      <c r="A2924" t="s">
        <v>9</v>
      </c>
      <c r="B2924" t="s">
        <v>82</v>
      </c>
      <c r="C2924" t="s">
        <v>868</v>
      </c>
      <c r="D2924" t="s">
        <v>11</v>
      </c>
      <c r="E2924">
        <v>26</v>
      </c>
      <c r="F2924" s="2">
        <f>DATE(2026,IF(Tabla1[[#This Row],[Mes de Fecha]]="Septiembre",9,10),Tabla1[[#This Row],[Día de Fecha]])</f>
        <v>46291</v>
      </c>
      <c r="I2924">
        <v>0</v>
      </c>
      <c r="J2924" s="1">
        <v>17613497</v>
      </c>
      <c r="K2924">
        <v>0</v>
      </c>
    </row>
    <row r="2925" spans="1:11" x14ac:dyDescent="0.25">
      <c r="A2925" t="s">
        <v>9</v>
      </c>
      <c r="B2925" t="s">
        <v>82</v>
      </c>
      <c r="C2925" t="s">
        <v>868</v>
      </c>
      <c r="D2925" t="s">
        <v>11</v>
      </c>
      <c r="E2925">
        <v>26</v>
      </c>
      <c r="F2925" s="2">
        <f>DATE(2026,IF(Tabla1[[#This Row],[Mes de Fecha]]="Septiembre",9,10),Tabla1[[#This Row],[Día de Fecha]])</f>
        <v>46291</v>
      </c>
      <c r="G2925">
        <v>1659566</v>
      </c>
      <c r="H2925" t="s">
        <v>84</v>
      </c>
      <c r="I2925">
        <v>1</v>
      </c>
      <c r="J2925">
        <v>0</v>
      </c>
      <c r="K2925" s="1">
        <v>96597</v>
      </c>
    </row>
    <row r="2926" spans="1:11" x14ac:dyDescent="0.25">
      <c r="A2926" t="s">
        <v>9</v>
      </c>
      <c r="B2926" t="s">
        <v>82</v>
      </c>
      <c r="C2926" t="s">
        <v>868</v>
      </c>
      <c r="D2926" t="s">
        <v>11</v>
      </c>
      <c r="E2926">
        <v>26</v>
      </c>
      <c r="F2926" s="2">
        <f>DATE(2026,IF(Tabla1[[#This Row],[Mes de Fecha]]="Septiembre",9,10),Tabla1[[#This Row],[Día de Fecha]])</f>
        <v>46291</v>
      </c>
      <c r="G2926">
        <v>1006201948</v>
      </c>
      <c r="H2926" t="s">
        <v>83</v>
      </c>
      <c r="I2926">
        <v>309</v>
      </c>
      <c r="J2926">
        <v>0</v>
      </c>
      <c r="K2926" s="1">
        <v>17648137</v>
      </c>
    </row>
    <row r="2927" spans="1:11" x14ac:dyDescent="0.25">
      <c r="A2927" t="s">
        <v>9</v>
      </c>
      <c r="B2927" t="s">
        <v>82</v>
      </c>
      <c r="C2927" t="s">
        <v>868</v>
      </c>
      <c r="D2927" t="s">
        <v>11</v>
      </c>
      <c r="E2927">
        <v>27</v>
      </c>
      <c r="F2927" s="2">
        <f>DATE(2026,IF(Tabla1[[#This Row],[Mes de Fecha]]="Septiembre",9,10),Tabla1[[#This Row],[Día de Fecha]])</f>
        <v>46292</v>
      </c>
      <c r="I2927">
        <v>0</v>
      </c>
      <c r="J2927" s="1">
        <v>9299758</v>
      </c>
      <c r="K2927">
        <v>0</v>
      </c>
    </row>
    <row r="2928" spans="1:11" x14ac:dyDescent="0.25">
      <c r="A2928" t="s">
        <v>9</v>
      </c>
      <c r="B2928" t="s">
        <v>82</v>
      </c>
      <c r="C2928" t="s">
        <v>868</v>
      </c>
      <c r="D2928" t="s">
        <v>11</v>
      </c>
      <c r="E2928">
        <v>27</v>
      </c>
      <c r="F2928" s="2">
        <f>DATE(2026,IF(Tabla1[[#This Row],[Mes de Fecha]]="Septiembre",9,10),Tabla1[[#This Row],[Día de Fecha]])</f>
        <v>46292</v>
      </c>
      <c r="G2928">
        <v>1006201948</v>
      </c>
      <c r="H2928" t="s">
        <v>83</v>
      </c>
      <c r="I2928">
        <v>160</v>
      </c>
      <c r="J2928">
        <v>0</v>
      </c>
      <c r="K2928" s="1">
        <v>9764003</v>
      </c>
    </row>
    <row r="2929" spans="1:11" x14ac:dyDescent="0.25">
      <c r="A2929" t="s">
        <v>9</v>
      </c>
      <c r="B2929" t="s">
        <v>82</v>
      </c>
      <c r="C2929" t="s">
        <v>868</v>
      </c>
      <c r="D2929" t="s">
        <v>11</v>
      </c>
      <c r="E2929">
        <v>28</v>
      </c>
      <c r="F2929" s="2">
        <f>DATE(2026,IF(Tabla1[[#This Row],[Mes de Fecha]]="Septiembre",9,10),Tabla1[[#This Row],[Día de Fecha]])</f>
        <v>46293</v>
      </c>
      <c r="I2929">
        <v>0</v>
      </c>
      <c r="J2929" s="1">
        <v>7624790</v>
      </c>
      <c r="K2929">
        <v>0</v>
      </c>
    </row>
    <row r="2930" spans="1:11" x14ac:dyDescent="0.25">
      <c r="A2930" t="s">
        <v>9</v>
      </c>
      <c r="B2930" t="s">
        <v>82</v>
      </c>
      <c r="C2930" t="s">
        <v>868</v>
      </c>
      <c r="D2930" t="s">
        <v>11</v>
      </c>
      <c r="E2930">
        <v>28</v>
      </c>
      <c r="F2930" s="2">
        <f>DATE(2026,IF(Tabla1[[#This Row],[Mes de Fecha]]="Septiembre",9,10),Tabla1[[#This Row],[Día de Fecha]])</f>
        <v>46293</v>
      </c>
      <c r="G2930">
        <v>1006201948</v>
      </c>
      <c r="H2930" t="s">
        <v>83</v>
      </c>
      <c r="I2930">
        <v>183</v>
      </c>
      <c r="J2930">
        <v>0</v>
      </c>
      <c r="K2930" s="1">
        <v>10544214</v>
      </c>
    </row>
    <row r="2931" spans="1:11" x14ac:dyDescent="0.25">
      <c r="A2931" t="s">
        <v>9</v>
      </c>
      <c r="B2931" t="s">
        <v>82</v>
      </c>
      <c r="C2931" t="s">
        <v>868</v>
      </c>
      <c r="D2931" t="s">
        <v>11</v>
      </c>
      <c r="E2931">
        <v>29</v>
      </c>
      <c r="F2931" s="2">
        <f>DATE(2026,IF(Tabla1[[#This Row],[Mes de Fecha]]="Septiembre",9,10),Tabla1[[#This Row],[Día de Fecha]])</f>
        <v>46294</v>
      </c>
      <c r="I2931">
        <v>0</v>
      </c>
      <c r="J2931" s="1">
        <v>8476511</v>
      </c>
      <c r="K2931">
        <v>0</v>
      </c>
    </row>
    <row r="2932" spans="1:11" x14ac:dyDescent="0.25">
      <c r="A2932" t="s">
        <v>9</v>
      </c>
      <c r="B2932" t="s">
        <v>82</v>
      </c>
      <c r="C2932" t="s">
        <v>868</v>
      </c>
      <c r="D2932" t="s">
        <v>11</v>
      </c>
      <c r="E2932">
        <v>29</v>
      </c>
      <c r="F2932" s="2">
        <f>DATE(2026,IF(Tabla1[[#This Row],[Mes de Fecha]]="Septiembre",9,10),Tabla1[[#This Row],[Día de Fecha]])</f>
        <v>46294</v>
      </c>
      <c r="G2932">
        <v>1006201948</v>
      </c>
      <c r="H2932" t="s">
        <v>83</v>
      </c>
      <c r="I2932">
        <v>200</v>
      </c>
      <c r="J2932">
        <v>0</v>
      </c>
      <c r="K2932" s="1">
        <v>10854044</v>
      </c>
    </row>
    <row r="2933" spans="1:11" x14ac:dyDescent="0.25">
      <c r="A2933" t="s">
        <v>9</v>
      </c>
      <c r="B2933" t="s">
        <v>82</v>
      </c>
      <c r="C2933" t="s">
        <v>868</v>
      </c>
      <c r="D2933" t="s">
        <v>11</v>
      </c>
      <c r="E2933">
        <v>30</v>
      </c>
      <c r="F2933" s="2">
        <f>DATE(2026,IF(Tabla1[[#This Row],[Mes de Fecha]]="Septiembre",9,10),Tabla1[[#This Row],[Día de Fecha]])</f>
        <v>46295</v>
      </c>
      <c r="I2933">
        <v>0</v>
      </c>
      <c r="J2933" s="1">
        <v>8976892</v>
      </c>
      <c r="K2933">
        <v>0</v>
      </c>
    </row>
    <row r="2934" spans="1:11" x14ac:dyDescent="0.25">
      <c r="A2934" t="s">
        <v>9</v>
      </c>
      <c r="B2934" t="s">
        <v>82</v>
      </c>
      <c r="C2934" t="s">
        <v>868</v>
      </c>
      <c r="D2934" t="s">
        <v>11</v>
      </c>
      <c r="E2934">
        <v>30</v>
      </c>
      <c r="F2934" s="2">
        <f>DATE(2026,IF(Tabla1[[#This Row],[Mes de Fecha]]="Septiembre",9,10),Tabla1[[#This Row],[Día de Fecha]])</f>
        <v>46295</v>
      </c>
      <c r="G2934">
        <v>1006201948</v>
      </c>
      <c r="H2934" t="s">
        <v>83</v>
      </c>
      <c r="I2934">
        <v>189</v>
      </c>
      <c r="J2934">
        <v>0</v>
      </c>
      <c r="K2934" s="1">
        <v>10495477</v>
      </c>
    </row>
    <row r="2935" spans="1:11" x14ac:dyDescent="0.25">
      <c r="A2935" t="s">
        <v>9</v>
      </c>
      <c r="B2935" t="s">
        <v>82</v>
      </c>
      <c r="C2935" t="s">
        <v>868</v>
      </c>
      <c r="D2935" t="s">
        <v>14</v>
      </c>
      <c r="E2935">
        <v>1</v>
      </c>
      <c r="F2935" s="2">
        <f>DATE(2026,IF(Tabla1[[#This Row],[Mes de Fecha]]="Septiembre",9,10),Tabla1[[#This Row],[Día de Fecha]])</f>
        <v>46296</v>
      </c>
      <c r="I2935">
        <v>0</v>
      </c>
      <c r="J2935" s="1">
        <v>10146064</v>
      </c>
      <c r="K2935">
        <v>0</v>
      </c>
    </row>
    <row r="2936" spans="1:11" x14ac:dyDescent="0.25">
      <c r="A2936" t="s">
        <v>9</v>
      </c>
      <c r="B2936" t="s">
        <v>82</v>
      </c>
      <c r="C2936" t="s">
        <v>868</v>
      </c>
      <c r="D2936" t="s">
        <v>14</v>
      </c>
      <c r="E2936">
        <v>1</v>
      </c>
      <c r="F2936" s="2">
        <f>DATE(2026,IF(Tabla1[[#This Row],[Mes de Fecha]]="Septiembre",9,10),Tabla1[[#This Row],[Día de Fecha]])</f>
        <v>46296</v>
      </c>
      <c r="G2936">
        <v>1006201948</v>
      </c>
      <c r="H2936" t="s">
        <v>83</v>
      </c>
      <c r="I2936">
        <v>156</v>
      </c>
      <c r="J2936">
        <v>0</v>
      </c>
      <c r="K2936" s="1">
        <v>8837534</v>
      </c>
    </row>
    <row r="2937" spans="1:11" x14ac:dyDescent="0.25">
      <c r="A2937" t="s">
        <v>9</v>
      </c>
      <c r="B2937" t="s">
        <v>82</v>
      </c>
      <c r="C2937" t="s">
        <v>868</v>
      </c>
      <c r="D2937" t="s">
        <v>14</v>
      </c>
      <c r="E2937">
        <v>2</v>
      </c>
      <c r="F2937" s="2">
        <f>DATE(2026,IF(Tabla1[[#This Row],[Mes de Fecha]]="Septiembre",9,10),Tabla1[[#This Row],[Día de Fecha]])</f>
        <v>46297</v>
      </c>
      <c r="I2937">
        <v>0</v>
      </c>
      <c r="J2937" s="1">
        <v>8263484</v>
      </c>
      <c r="K2937">
        <v>0</v>
      </c>
    </row>
    <row r="2938" spans="1:11" x14ac:dyDescent="0.25">
      <c r="A2938" t="s">
        <v>9</v>
      </c>
      <c r="B2938" t="s">
        <v>82</v>
      </c>
      <c r="C2938" t="s">
        <v>868</v>
      </c>
      <c r="D2938" t="s">
        <v>14</v>
      </c>
      <c r="E2938">
        <v>2</v>
      </c>
      <c r="F2938" s="2">
        <f>DATE(2026,IF(Tabla1[[#This Row],[Mes de Fecha]]="Septiembre",9,10),Tabla1[[#This Row],[Día de Fecha]])</f>
        <v>46297</v>
      </c>
      <c r="G2938">
        <v>1006201948</v>
      </c>
      <c r="H2938" t="s">
        <v>83</v>
      </c>
      <c r="I2938">
        <v>155</v>
      </c>
      <c r="J2938">
        <v>0</v>
      </c>
      <c r="K2938" s="1">
        <v>8947069</v>
      </c>
    </row>
    <row r="2939" spans="1:11" x14ac:dyDescent="0.25">
      <c r="A2939" t="s">
        <v>9</v>
      </c>
      <c r="B2939" t="s">
        <v>82</v>
      </c>
      <c r="C2939" t="s">
        <v>868</v>
      </c>
      <c r="D2939" t="s">
        <v>14</v>
      </c>
      <c r="E2939">
        <v>3</v>
      </c>
      <c r="F2939" s="2">
        <f>DATE(2026,IF(Tabla1[[#This Row],[Mes de Fecha]]="Septiembre",9,10),Tabla1[[#This Row],[Día de Fecha]])</f>
        <v>46298</v>
      </c>
      <c r="I2939">
        <v>0</v>
      </c>
      <c r="J2939" s="1">
        <v>16532400</v>
      </c>
      <c r="K2939">
        <v>0</v>
      </c>
    </row>
    <row r="2940" spans="1:11" x14ac:dyDescent="0.25">
      <c r="A2940" t="s">
        <v>9</v>
      </c>
      <c r="B2940" t="s">
        <v>82</v>
      </c>
      <c r="C2940" t="s">
        <v>868</v>
      </c>
      <c r="D2940" t="s">
        <v>14</v>
      </c>
      <c r="E2940">
        <v>3</v>
      </c>
      <c r="F2940" s="2">
        <f>DATE(2026,IF(Tabla1[[#This Row],[Mes de Fecha]]="Septiembre",9,10),Tabla1[[#This Row],[Día de Fecha]])</f>
        <v>46298</v>
      </c>
      <c r="G2940">
        <v>1006201948</v>
      </c>
      <c r="H2940" t="s">
        <v>83</v>
      </c>
      <c r="I2940">
        <v>284</v>
      </c>
      <c r="J2940">
        <v>0</v>
      </c>
      <c r="K2940" s="1">
        <v>14717224</v>
      </c>
    </row>
    <row r="2941" spans="1:11" x14ac:dyDescent="0.25">
      <c r="A2941" t="s">
        <v>9</v>
      </c>
      <c r="B2941" t="s">
        <v>82</v>
      </c>
      <c r="C2941" t="s">
        <v>868</v>
      </c>
      <c r="D2941" t="s">
        <v>14</v>
      </c>
      <c r="E2941">
        <v>4</v>
      </c>
      <c r="F2941" s="2">
        <f>DATE(2026,IF(Tabla1[[#This Row],[Mes de Fecha]]="Septiembre",9,10),Tabla1[[#This Row],[Día de Fecha]])</f>
        <v>46299</v>
      </c>
      <c r="I2941">
        <v>0</v>
      </c>
      <c r="J2941" s="1">
        <v>5502469</v>
      </c>
      <c r="K2941">
        <v>0</v>
      </c>
    </row>
    <row r="2942" spans="1:11" x14ac:dyDescent="0.25">
      <c r="A2942" t="s">
        <v>9</v>
      </c>
      <c r="B2942" t="s">
        <v>82</v>
      </c>
      <c r="C2942" t="s">
        <v>868</v>
      </c>
      <c r="D2942" t="s">
        <v>14</v>
      </c>
      <c r="E2942">
        <v>4</v>
      </c>
      <c r="F2942" s="2">
        <f>DATE(2026,IF(Tabla1[[#This Row],[Mes de Fecha]]="Septiembre",9,10),Tabla1[[#This Row],[Día de Fecha]])</f>
        <v>46299</v>
      </c>
      <c r="G2942">
        <v>1006201948</v>
      </c>
      <c r="H2942" t="s">
        <v>83</v>
      </c>
      <c r="I2942">
        <v>112</v>
      </c>
      <c r="J2942">
        <v>0</v>
      </c>
      <c r="K2942" s="1">
        <v>7264043</v>
      </c>
    </row>
    <row r="2943" spans="1:11" x14ac:dyDescent="0.25">
      <c r="A2943" t="s">
        <v>9</v>
      </c>
      <c r="B2943" t="s">
        <v>82</v>
      </c>
      <c r="C2943" t="s">
        <v>868</v>
      </c>
      <c r="D2943" t="s">
        <v>14</v>
      </c>
      <c r="E2943">
        <v>5</v>
      </c>
      <c r="F2943" s="2">
        <f>DATE(2026,IF(Tabla1[[#This Row],[Mes de Fecha]]="Septiembre",9,10),Tabla1[[#This Row],[Día de Fecha]])</f>
        <v>46300</v>
      </c>
      <c r="I2943">
        <v>0</v>
      </c>
      <c r="J2943" s="1">
        <v>7999943</v>
      </c>
      <c r="K2943">
        <v>0</v>
      </c>
    </row>
    <row r="2944" spans="1:11" x14ac:dyDescent="0.25">
      <c r="A2944" t="s">
        <v>9</v>
      </c>
      <c r="B2944" t="s">
        <v>82</v>
      </c>
      <c r="C2944" t="s">
        <v>868</v>
      </c>
      <c r="D2944" t="s">
        <v>14</v>
      </c>
      <c r="E2944">
        <v>5</v>
      </c>
      <c r="F2944" s="2">
        <f>DATE(2026,IF(Tabla1[[#This Row],[Mes de Fecha]]="Septiembre",9,10),Tabla1[[#This Row],[Día de Fecha]])</f>
        <v>46300</v>
      </c>
      <c r="G2944">
        <v>1006201948</v>
      </c>
      <c r="H2944" t="s">
        <v>83</v>
      </c>
      <c r="I2944">
        <v>118</v>
      </c>
      <c r="J2944">
        <v>0</v>
      </c>
      <c r="K2944" s="1">
        <v>6996476</v>
      </c>
    </row>
    <row r="2945" spans="1:11" x14ac:dyDescent="0.25">
      <c r="A2945" t="s">
        <v>9</v>
      </c>
      <c r="B2945" t="s">
        <v>82</v>
      </c>
      <c r="C2945" t="s">
        <v>868</v>
      </c>
      <c r="D2945" t="s">
        <v>14</v>
      </c>
      <c r="E2945">
        <v>6</v>
      </c>
      <c r="F2945" s="2">
        <f>DATE(2026,IF(Tabla1[[#This Row],[Mes de Fecha]]="Septiembre",9,10),Tabla1[[#This Row],[Día de Fecha]])</f>
        <v>46301</v>
      </c>
      <c r="I2945">
        <v>0</v>
      </c>
      <c r="J2945" s="1">
        <v>4903279</v>
      </c>
      <c r="K2945">
        <v>0</v>
      </c>
    </row>
    <row r="2946" spans="1:11" x14ac:dyDescent="0.25">
      <c r="A2946" t="s">
        <v>9</v>
      </c>
      <c r="B2946" t="s">
        <v>82</v>
      </c>
      <c r="C2946" t="s">
        <v>868</v>
      </c>
      <c r="D2946" t="s">
        <v>14</v>
      </c>
      <c r="E2946">
        <v>6</v>
      </c>
      <c r="F2946" s="2">
        <f>DATE(2026,IF(Tabla1[[#This Row],[Mes de Fecha]]="Septiembre",9,10),Tabla1[[#This Row],[Día de Fecha]])</f>
        <v>46301</v>
      </c>
      <c r="G2946">
        <v>1006201948</v>
      </c>
      <c r="H2946" t="s">
        <v>83</v>
      </c>
      <c r="I2946">
        <v>37</v>
      </c>
      <c r="J2946">
        <v>0</v>
      </c>
      <c r="K2946" s="1">
        <v>2173563</v>
      </c>
    </row>
    <row r="2947" spans="1:11" x14ac:dyDescent="0.25">
      <c r="A2947" t="s">
        <v>9</v>
      </c>
      <c r="B2947" t="s">
        <v>82</v>
      </c>
      <c r="C2947" t="s">
        <v>868</v>
      </c>
      <c r="D2947" t="s">
        <v>14</v>
      </c>
      <c r="E2947">
        <v>7</v>
      </c>
      <c r="F2947" s="2">
        <f>DATE(2026,IF(Tabla1[[#This Row],[Mes de Fecha]]="Septiembre",9,10),Tabla1[[#This Row],[Día de Fecha]])</f>
        <v>46302</v>
      </c>
      <c r="I2947">
        <v>0</v>
      </c>
      <c r="J2947" s="1">
        <v>3069055</v>
      </c>
      <c r="K2947">
        <v>0</v>
      </c>
    </row>
    <row r="2948" spans="1:11" x14ac:dyDescent="0.25">
      <c r="A2948" t="s">
        <v>9</v>
      </c>
      <c r="B2948" t="s">
        <v>82</v>
      </c>
      <c r="C2948" t="s">
        <v>868</v>
      </c>
      <c r="D2948" t="s">
        <v>14</v>
      </c>
      <c r="E2948">
        <v>7</v>
      </c>
      <c r="F2948" s="2">
        <f>DATE(2026,IF(Tabla1[[#This Row],[Mes de Fecha]]="Septiembre",9,10),Tabla1[[#This Row],[Día de Fecha]])</f>
        <v>46302</v>
      </c>
      <c r="G2948">
        <v>1006201948</v>
      </c>
      <c r="H2948" t="s">
        <v>83</v>
      </c>
      <c r="I2948">
        <v>76</v>
      </c>
      <c r="J2948">
        <v>0</v>
      </c>
      <c r="K2948" s="1">
        <v>4240300</v>
      </c>
    </row>
    <row r="2949" spans="1:11" x14ac:dyDescent="0.25">
      <c r="A2949" t="s">
        <v>9</v>
      </c>
      <c r="B2949" t="s">
        <v>280</v>
      </c>
      <c r="C2949" t="s">
        <v>868</v>
      </c>
      <c r="D2949" t="s">
        <v>11</v>
      </c>
      <c r="E2949">
        <v>23</v>
      </c>
      <c r="F2949" s="2">
        <f>DATE(2026,IF(Tabla1[[#This Row],[Mes de Fecha]]="Septiembre",9,10),Tabla1[[#This Row],[Día de Fecha]])</f>
        <v>46288</v>
      </c>
      <c r="I2949">
        <v>0</v>
      </c>
      <c r="J2949" s="1">
        <v>1385990</v>
      </c>
      <c r="K2949">
        <v>0</v>
      </c>
    </row>
    <row r="2950" spans="1:11" x14ac:dyDescent="0.25">
      <c r="A2950" t="s">
        <v>9</v>
      </c>
      <c r="B2950" t="s">
        <v>280</v>
      </c>
      <c r="C2950" t="s">
        <v>868</v>
      </c>
      <c r="D2950" t="s">
        <v>11</v>
      </c>
      <c r="E2950">
        <v>23</v>
      </c>
      <c r="F2950" s="2">
        <f>DATE(2026,IF(Tabla1[[#This Row],[Mes de Fecha]]="Septiembre",9,10),Tabla1[[#This Row],[Día de Fecha]])</f>
        <v>46288</v>
      </c>
      <c r="G2950">
        <v>48574228</v>
      </c>
      <c r="H2950" t="s">
        <v>281</v>
      </c>
      <c r="I2950">
        <v>12</v>
      </c>
      <c r="J2950">
        <v>0</v>
      </c>
      <c r="K2950" s="1">
        <v>982187</v>
      </c>
    </row>
    <row r="2951" spans="1:11" x14ac:dyDescent="0.25">
      <c r="A2951" t="s">
        <v>9</v>
      </c>
      <c r="B2951" t="s">
        <v>280</v>
      </c>
      <c r="C2951" t="s">
        <v>868</v>
      </c>
      <c r="D2951" t="s">
        <v>11</v>
      </c>
      <c r="E2951">
        <v>23</v>
      </c>
      <c r="F2951" s="2">
        <f>DATE(2026,IF(Tabla1[[#This Row],[Mes de Fecha]]="Septiembre",9,10),Tabla1[[#This Row],[Día de Fecha]])</f>
        <v>46288</v>
      </c>
      <c r="G2951">
        <v>1061534892</v>
      </c>
      <c r="H2951" t="s">
        <v>282</v>
      </c>
      <c r="I2951">
        <v>3</v>
      </c>
      <c r="J2951">
        <v>0</v>
      </c>
      <c r="K2951" s="1">
        <v>264496</v>
      </c>
    </row>
    <row r="2952" spans="1:11" x14ac:dyDescent="0.25">
      <c r="A2952" t="s">
        <v>9</v>
      </c>
      <c r="B2952" t="s">
        <v>280</v>
      </c>
      <c r="C2952" t="s">
        <v>868</v>
      </c>
      <c r="D2952" t="s">
        <v>11</v>
      </c>
      <c r="E2952">
        <v>24</v>
      </c>
      <c r="F2952" s="2">
        <f>DATE(2026,IF(Tabla1[[#This Row],[Mes de Fecha]]="Septiembre",9,10),Tabla1[[#This Row],[Día de Fecha]])</f>
        <v>46289</v>
      </c>
      <c r="I2952">
        <v>0</v>
      </c>
      <c r="J2952" s="1">
        <v>3584439</v>
      </c>
      <c r="K2952">
        <v>0</v>
      </c>
    </row>
    <row r="2953" spans="1:11" x14ac:dyDescent="0.25">
      <c r="A2953" t="s">
        <v>9</v>
      </c>
      <c r="B2953" t="s">
        <v>280</v>
      </c>
      <c r="C2953" t="s">
        <v>868</v>
      </c>
      <c r="D2953" t="s">
        <v>11</v>
      </c>
      <c r="E2953">
        <v>24</v>
      </c>
      <c r="F2953" s="2">
        <f>DATE(2026,IF(Tabla1[[#This Row],[Mes de Fecha]]="Septiembre",9,10),Tabla1[[#This Row],[Día de Fecha]])</f>
        <v>46289</v>
      </c>
      <c r="G2953">
        <v>48574228</v>
      </c>
      <c r="H2953" t="s">
        <v>281</v>
      </c>
      <c r="I2953">
        <v>39</v>
      </c>
      <c r="J2953">
        <v>0</v>
      </c>
      <c r="K2953" s="1">
        <v>2073991</v>
      </c>
    </row>
    <row r="2954" spans="1:11" x14ac:dyDescent="0.25">
      <c r="A2954" t="s">
        <v>9</v>
      </c>
      <c r="B2954" t="s">
        <v>280</v>
      </c>
      <c r="C2954" t="s">
        <v>868</v>
      </c>
      <c r="D2954" t="s">
        <v>11</v>
      </c>
      <c r="E2954">
        <v>24</v>
      </c>
      <c r="F2954" s="2">
        <f>DATE(2026,IF(Tabla1[[#This Row],[Mes de Fecha]]="Septiembre",9,10),Tabla1[[#This Row],[Día de Fecha]])</f>
        <v>46289</v>
      </c>
      <c r="G2954">
        <v>1061534892</v>
      </c>
      <c r="H2954" t="s">
        <v>282</v>
      </c>
      <c r="I2954">
        <v>27</v>
      </c>
      <c r="J2954">
        <v>0</v>
      </c>
      <c r="K2954" s="1">
        <v>1507272</v>
      </c>
    </row>
    <row r="2955" spans="1:11" x14ac:dyDescent="0.25">
      <c r="A2955" t="s">
        <v>9</v>
      </c>
      <c r="B2955" t="s">
        <v>280</v>
      </c>
      <c r="C2955" t="s">
        <v>868</v>
      </c>
      <c r="D2955" t="s">
        <v>11</v>
      </c>
      <c r="E2955">
        <v>25</v>
      </c>
      <c r="F2955" s="2">
        <f>DATE(2026,IF(Tabla1[[#This Row],[Mes de Fecha]]="Septiembre",9,10),Tabla1[[#This Row],[Día de Fecha]])</f>
        <v>46290</v>
      </c>
      <c r="I2955">
        <v>0</v>
      </c>
      <c r="J2955" s="1">
        <v>3828376</v>
      </c>
      <c r="K2955">
        <v>0</v>
      </c>
    </row>
    <row r="2956" spans="1:11" x14ac:dyDescent="0.25">
      <c r="A2956" t="s">
        <v>9</v>
      </c>
      <c r="B2956" t="s">
        <v>280</v>
      </c>
      <c r="C2956" t="s">
        <v>868</v>
      </c>
      <c r="D2956" t="s">
        <v>11</v>
      </c>
      <c r="E2956">
        <v>25</v>
      </c>
      <c r="F2956" s="2">
        <f>DATE(2026,IF(Tabla1[[#This Row],[Mes de Fecha]]="Septiembre",9,10),Tabla1[[#This Row],[Día de Fecha]])</f>
        <v>46290</v>
      </c>
      <c r="G2956">
        <v>48574228</v>
      </c>
      <c r="H2956" t="s">
        <v>281</v>
      </c>
      <c r="I2956">
        <v>32</v>
      </c>
      <c r="J2956">
        <v>0</v>
      </c>
      <c r="K2956" s="1">
        <v>1979748</v>
      </c>
    </row>
    <row r="2957" spans="1:11" x14ac:dyDescent="0.25">
      <c r="A2957" t="s">
        <v>9</v>
      </c>
      <c r="B2957" t="s">
        <v>280</v>
      </c>
      <c r="C2957" t="s">
        <v>868</v>
      </c>
      <c r="D2957" t="s">
        <v>11</v>
      </c>
      <c r="E2957">
        <v>25</v>
      </c>
      <c r="F2957" s="2">
        <f>DATE(2026,IF(Tabla1[[#This Row],[Mes de Fecha]]="Septiembre",9,10),Tabla1[[#This Row],[Día de Fecha]])</f>
        <v>46290</v>
      </c>
      <c r="G2957">
        <v>1061534892</v>
      </c>
      <c r="H2957" t="s">
        <v>282</v>
      </c>
      <c r="I2957">
        <v>11</v>
      </c>
      <c r="J2957">
        <v>0</v>
      </c>
      <c r="K2957" s="1">
        <v>667606</v>
      </c>
    </row>
    <row r="2958" spans="1:11" x14ac:dyDescent="0.25">
      <c r="A2958" t="s">
        <v>9</v>
      </c>
      <c r="B2958" t="s">
        <v>280</v>
      </c>
      <c r="C2958" t="s">
        <v>868</v>
      </c>
      <c r="D2958" t="s">
        <v>11</v>
      </c>
      <c r="E2958">
        <v>26</v>
      </c>
      <c r="F2958" s="2">
        <f>DATE(2026,IF(Tabla1[[#This Row],[Mes de Fecha]]="Septiembre",9,10),Tabla1[[#This Row],[Día de Fecha]])</f>
        <v>46291</v>
      </c>
      <c r="I2958">
        <v>0</v>
      </c>
      <c r="J2958" s="1">
        <v>4827485</v>
      </c>
      <c r="K2958">
        <v>0</v>
      </c>
    </row>
    <row r="2959" spans="1:11" x14ac:dyDescent="0.25">
      <c r="A2959" t="s">
        <v>9</v>
      </c>
      <c r="B2959" t="s">
        <v>280</v>
      </c>
      <c r="C2959" t="s">
        <v>868</v>
      </c>
      <c r="D2959" t="s">
        <v>11</v>
      </c>
      <c r="E2959">
        <v>26</v>
      </c>
      <c r="F2959" s="2">
        <f>DATE(2026,IF(Tabla1[[#This Row],[Mes de Fecha]]="Septiembre",9,10),Tabla1[[#This Row],[Día de Fecha]])</f>
        <v>46291</v>
      </c>
      <c r="G2959">
        <v>48574228</v>
      </c>
      <c r="H2959" t="s">
        <v>281</v>
      </c>
      <c r="I2959">
        <v>93</v>
      </c>
      <c r="J2959">
        <v>0</v>
      </c>
      <c r="K2959" s="1">
        <v>3683888</v>
      </c>
    </row>
    <row r="2960" spans="1:11" x14ac:dyDescent="0.25">
      <c r="A2960" t="s">
        <v>9</v>
      </c>
      <c r="B2960" t="s">
        <v>280</v>
      </c>
      <c r="C2960" t="s">
        <v>868</v>
      </c>
      <c r="D2960" t="s">
        <v>11</v>
      </c>
      <c r="E2960">
        <v>26</v>
      </c>
      <c r="F2960" s="2">
        <f>DATE(2026,IF(Tabla1[[#This Row],[Mes de Fecha]]="Septiembre",9,10),Tabla1[[#This Row],[Día de Fecha]])</f>
        <v>46291</v>
      </c>
      <c r="G2960">
        <v>1061534892</v>
      </c>
      <c r="H2960" t="s">
        <v>282</v>
      </c>
      <c r="I2960">
        <v>53</v>
      </c>
      <c r="J2960">
        <v>0</v>
      </c>
      <c r="K2960" s="1">
        <v>3006097</v>
      </c>
    </row>
    <row r="2961" spans="1:11" x14ac:dyDescent="0.25">
      <c r="A2961" t="s">
        <v>9</v>
      </c>
      <c r="B2961" t="s">
        <v>280</v>
      </c>
      <c r="C2961" t="s">
        <v>868</v>
      </c>
      <c r="D2961" t="s">
        <v>11</v>
      </c>
      <c r="E2961">
        <v>27</v>
      </c>
      <c r="F2961" s="2">
        <f>DATE(2026,IF(Tabla1[[#This Row],[Mes de Fecha]]="Septiembre",9,10),Tabla1[[#This Row],[Día de Fecha]])</f>
        <v>46292</v>
      </c>
      <c r="I2961">
        <v>0</v>
      </c>
      <c r="J2961" s="1">
        <v>2548867</v>
      </c>
      <c r="K2961">
        <v>0</v>
      </c>
    </row>
    <row r="2962" spans="1:11" x14ac:dyDescent="0.25">
      <c r="A2962" t="s">
        <v>9</v>
      </c>
      <c r="B2962" t="s">
        <v>280</v>
      </c>
      <c r="C2962" t="s">
        <v>868</v>
      </c>
      <c r="D2962" t="s">
        <v>11</v>
      </c>
      <c r="E2962">
        <v>27</v>
      </c>
      <c r="F2962" s="2">
        <f>DATE(2026,IF(Tabla1[[#This Row],[Mes de Fecha]]="Septiembre",9,10),Tabla1[[#This Row],[Día de Fecha]])</f>
        <v>46292</v>
      </c>
      <c r="G2962">
        <v>48574228</v>
      </c>
      <c r="H2962" t="s">
        <v>281</v>
      </c>
      <c r="I2962">
        <v>28</v>
      </c>
      <c r="J2962">
        <v>0</v>
      </c>
      <c r="K2962" s="1">
        <v>1839035</v>
      </c>
    </row>
    <row r="2963" spans="1:11" x14ac:dyDescent="0.25">
      <c r="A2963" t="s">
        <v>9</v>
      </c>
      <c r="B2963" t="s">
        <v>280</v>
      </c>
      <c r="C2963" t="s">
        <v>868</v>
      </c>
      <c r="D2963" t="s">
        <v>11</v>
      </c>
      <c r="E2963">
        <v>27</v>
      </c>
      <c r="F2963" s="2">
        <f>DATE(2026,IF(Tabla1[[#This Row],[Mes de Fecha]]="Septiembre",9,10),Tabla1[[#This Row],[Día de Fecha]])</f>
        <v>46292</v>
      </c>
      <c r="G2963">
        <v>1061534892</v>
      </c>
      <c r="H2963" t="s">
        <v>282</v>
      </c>
      <c r="I2963">
        <v>42</v>
      </c>
      <c r="J2963">
        <v>0</v>
      </c>
      <c r="K2963" s="1">
        <v>2241891</v>
      </c>
    </row>
    <row r="2964" spans="1:11" x14ac:dyDescent="0.25">
      <c r="A2964" t="s">
        <v>9</v>
      </c>
      <c r="B2964" t="s">
        <v>280</v>
      </c>
      <c r="C2964" t="s">
        <v>868</v>
      </c>
      <c r="D2964" t="s">
        <v>11</v>
      </c>
      <c r="E2964">
        <v>28</v>
      </c>
      <c r="F2964" s="2">
        <f>DATE(2026,IF(Tabla1[[#This Row],[Mes de Fecha]]="Septiembre",9,10),Tabla1[[#This Row],[Día de Fecha]])</f>
        <v>46293</v>
      </c>
      <c r="I2964">
        <v>0</v>
      </c>
      <c r="J2964" s="1">
        <v>2089792</v>
      </c>
      <c r="K2964">
        <v>0</v>
      </c>
    </row>
    <row r="2965" spans="1:11" x14ac:dyDescent="0.25">
      <c r="A2965" t="s">
        <v>9</v>
      </c>
      <c r="B2965" t="s">
        <v>280</v>
      </c>
      <c r="C2965" t="s">
        <v>868</v>
      </c>
      <c r="D2965" t="s">
        <v>11</v>
      </c>
      <c r="E2965">
        <v>28</v>
      </c>
      <c r="F2965" s="2">
        <f>DATE(2026,IF(Tabla1[[#This Row],[Mes de Fecha]]="Septiembre",9,10),Tabla1[[#This Row],[Día de Fecha]])</f>
        <v>46293</v>
      </c>
      <c r="G2965">
        <v>48574228</v>
      </c>
      <c r="H2965" t="s">
        <v>281</v>
      </c>
      <c r="I2965">
        <v>38</v>
      </c>
      <c r="J2965">
        <v>0</v>
      </c>
      <c r="K2965" s="1">
        <v>2092689</v>
      </c>
    </row>
    <row r="2966" spans="1:11" x14ac:dyDescent="0.25">
      <c r="A2966" t="s">
        <v>9</v>
      </c>
      <c r="B2966" t="s">
        <v>280</v>
      </c>
      <c r="C2966" t="s">
        <v>868</v>
      </c>
      <c r="D2966" t="s">
        <v>11</v>
      </c>
      <c r="E2966">
        <v>28</v>
      </c>
      <c r="F2966" s="2">
        <f>DATE(2026,IF(Tabla1[[#This Row],[Mes de Fecha]]="Septiembre",9,10),Tabla1[[#This Row],[Día de Fecha]])</f>
        <v>46293</v>
      </c>
      <c r="G2966">
        <v>1061534892</v>
      </c>
      <c r="H2966" t="s">
        <v>282</v>
      </c>
      <c r="I2966">
        <v>33</v>
      </c>
      <c r="J2966">
        <v>0</v>
      </c>
      <c r="K2966" s="1">
        <v>1735884</v>
      </c>
    </row>
    <row r="2967" spans="1:11" x14ac:dyDescent="0.25">
      <c r="A2967" t="s">
        <v>9</v>
      </c>
      <c r="B2967" t="s">
        <v>280</v>
      </c>
      <c r="C2967" t="s">
        <v>868</v>
      </c>
      <c r="D2967" t="s">
        <v>11</v>
      </c>
      <c r="E2967">
        <v>29</v>
      </c>
      <c r="F2967" s="2">
        <f>DATE(2026,IF(Tabla1[[#This Row],[Mes de Fecha]]="Septiembre",9,10),Tabla1[[#This Row],[Día de Fecha]])</f>
        <v>46294</v>
      </c>
      <c r="I2967">
        <v>0</v>
      </c>
      <c r="J2967" s="1">
        <v>2323231</v>
      </c>
      <c r="K2967">
        <v>0</v>
      </c>
    </row>
    <row r="2968" spans="1:11" x14ac:dyDescent="0.25">
      <c r="A2968" t="s">
        <v>9</v>
      </c>
      <c r="B2968" t="s">
        <v>280</v>
      </c>
      <c r="C2968" t="s">
        <v>868</v>
      </c>
      <c r="D2968" t="s">
        <v>11</v>
      </c>
      <c r="E2968">
        <v>29</v>
      </c>
      <c r="F2968" s="2">
        <f>DATE(2026,IF(Tabla1[[#This Row],[Mes de Fecha]]="Septiembre",9,10),Tabla1[[#This Row],[Día de Fecha]])</f>
        <v>46294</v>
      </c>
      <c r="G2968">
        <v>48574228</v>
      </c>
      <c r="H2968" t="s">
        <v>281</v>
      </c>
      <c r="I2968">
        <v>31</v>
      </c>
      <c r="J2968">
        <v>0</v>
      </c>
      <c r="K2968" s="1">
        <v>1801009</v>
      </c>
    </row>
    <row r="2969" spans="1:11" x14ac:dyDescent="0.25">
      <c r="A2969" t="s">
        <v>9</v>
      </c>
      <c r="B2969" t="s">
        <v>280</v>
      </c>
      <c r="C2969" t="s">
        <v>868</v>
      </c>
      <c r="D2969" t="s">
        <v>11</v>
      </c>
      <c r="E2969">
        <v>29</v>
      </c>
      <c r="F2969" s="2">
        <f>DATE(2026,IF(Tabla1[[#This Row],[Mes de Fecha]]="Septiembre",9,10),Tabla1[[#This Row],[Día de Fecha]])</f>
        <v>46294</v>
      </c>
      <c r="G2969">
        <v>1061534892</v>
      </c>
      <c r="H2969" t="s">
        <v>282</v>
      </c>
      <c r="I2969">
        <v>18</v>
      </c>
      <c r="J2969">
        <v>0</v>
      </c>
      <c r="K2969" s="1">
        <v>746641</v>
      </c>
    </row>
    <row r="2970" spans="1:11" x14ac:dyDescent="0.25">
      <c r="A2970" t="s">
        <v>9</v>
      </c>
      <c r="B2970" t="s">
        <v>280</v>
      </c>
      <c r="C2970" t="s">
        <v>868</v>
      </c>
      <c r="D2970" t="s">
        <v>11</v>
      </c>
      <c r="E2970">
        <v>30</v>
      </c>
      <c r="F2970" s="2">
        <f>DATE(2026,IF(Tabla1[[#This Row],[Mes de Fecha]]="Septiembre",9,10),Tabla1[[#This Row],[Día de Fecha]])</f>
        <v>46295</v>
      </c>
      <c r="I2970">
        <v>0</v>
      </c>
      <c r="J2970" s="1">
        <v>2460377</v>
      </c>
      <c r="K2970">
        <v>0</v>
      </c>
    </row>
    <row r="2971" spans="1:11" x14ac:dyDescent="0.25">
      <c r="A2971" t="s">
        <v>9</v>
      </c>
      <c r="B2971" t="s">
        <v>280</v>
      </c>
      <c r="C2971" t="s">
        <v>868</v>
      </c>
      <c r="D2971" t="s">
        <v>11</v>
      </c>
      <c r="E2971">
        <v>30</v>
      </c>
      <c r="F2971" s="2">
        <f>DATE(2026,IF(Tabla1[[#This Row],[Mes de Fecha]]="Septiembre",9,10),Tabla1[[#This Row],[Día de Fecha]])</f>
        <v>46295</v>
      </c>
      <c r="G2971">
        <v>48574228</v>
      </c>
      <c r="H2971" t="s">
        <v>281</v>
      </c>
      <c r="I2971">
        <v>36</v>
      </c>
      <c r="J2971">
        <v>0</v>
      </c>
      <c r="K2971" s="1">
        <v>2304957</v>
      </c>
    </row>
    <row r="2972" spans="1:11" x14ac:dyDescent="0.25">
      <c r="A2972" t="s">
        <v>9</v>
      </c>
      <c r="B2972" t="s">
        <v>280</v>
      </c>
      <c r="C2972" t="s">
        <v>868</v>
      </c>
      <c r="D2972" t="s">
        <v>11</v>
      </c>
      <c r="E2972">
        <v>30</v>
      </c>
      <c r="F2972" s="2">
        <f>DATE(2026,IF(Tabla1[[#This Row],[Mes de Fecha]]="Septiembre",9,10),Tabla1[[#This Row],[Día de Fecha]])</f>
        <v>46295</v>
      </c>
      <c r="G2972">
        <v>1061534892</v>
      </c>
      <c r="H2972" t="s">
        <v>282</v>
      </c>
      <c r="I2972">
        <v>37</v>
      </c>
      <c r="J2972">
        <v>0</v>
      </c>
      <c r="K2972" s="1">
        <v>1731052</v>
      </c>
    </row>
    <row r="2973" spans="1:11" x14ac:dyDescent="0.25">
      <c r="A2973" t="s">
        <v>9</v>
      </c>
      <c r="B2973" t="s">
        <v>280</v>
      </c>
      <c r="C2973" t="s">
        <v>868</v>
      </c>
      <c r="D2973" t="s">
        <v>14</v>
      </c>
      <c r="E2973">
        <v>1</v>
      </c>
      <c r="F2973" s="2">
        <f>DATE(2026,IF(Tabla1[[#This Row],[Mes de Fecha]]="Septiembre",9,10),Tabla1[[#This Row],[Día de Fecha]])</f>
        <v>46296</v>
      </c>
      <c r="I2973">
        <v>0</v>
      </c>
      <c r="J2973" s="1">
        <v>1883190</v>
      </c>
      <c r="K2973">
        <v>0</v>
      </c>
    </row>
    <row r="2974" spans="1:11" x14ac:dyDescent="0.25">
      <c r="A2974" t="s">
        <v>9</v>
      </c>
      <c r="B2974" t="s">
        <v>280</v>
      </c>
      <c r="C2974" t="s">
        <v>868</v>
      </c>
      <c r="D2974" t="s">
        <v>14</v>
      </c>
      <c r="E2974">
        <v>1</v>
      </c>
      <c r="F2974" s="2">
        <f>DATE(2026,IF(Tabla1[[#This Row],[Mes de Fecha]]="Septiembre",9,10),Tabla1[[#This Row],[Día de Fecha]])</f>
        <v>46296</v>
      </c>
      <c r="G2974">
        <v>48574228</v>
      </c>
      <c r="H2974" t="s">
        <v>281</v>
      </c>
      <c r="I2974">
        <v>32</v>
      </c>
      <c r="J2974">
        <v>0</v>
      </c>
      <c r="K2974" s="1">
        <v>1586682</v>
      </c>
    </row>
    <row r="2975" spans="1:11" x14ac:dyDescent="0.25">
      <c r="A2975" t="s">
        <v>9</v>
      </c>
      <c r="B2975" t="s">
        <v>280</v>
      </c>
      <c r="C2975" t="s">
        <v>868</v>
      </c>
      <c r="D2975" t="s">
        <v>14</v>
      </c>
      <c r="E2975">
        <v>1</v>
      </c>
      <c r="F2975" s="2">
        <f>DATE(2026,IF(Tabla1[[#This Row],[Mes de Fecha]]="Septiembre",9,10),Tabla1[[#This Row],[Día de Fecha]])</f>
        <v>46296</v>
      </c>
      <c r="G2975">
        <v>1061534892</v>
      </c>
      <c r="H2975" t="s">
        <v>282</v>
      </c>
      <c r="I2975">
        <v>50</v>
      </c>
      <c r="J2975">
        <v>0</v>
      </c>
      <c r="K2975" s="1">
        <v>2629330</v>
      </c>
    </row>
    <row r="2976" spans="1:11" x14ac:dyDescent="0.25">
      <c r="A2976" t="s">
        <v>9</v>
      </c>
      <c r="B2976" t="s">
        <v>280</v>
      </c>
      <c r="C2976" t="s">
        <v>868</v>
      </c>
      <c r="D2976" t="s">
        <v>14</v>
      </c>
      <c r="E2976">
        <v>2</v>
      </c>
      <c r="F2976" s="2">
        <f>DATE(2026,IF(Tabla1[[#This Row],[Mes de Fecha]]="Septiembre",9,10),Tabla1[[#This Row],[Día de Fecha]])</f>
        <v>46297</v>
      </c>
      <c r="I2976">
        <v>0</v>
      </c>
      <c r="J2976" s="1">
        <v>2916494</v>
      </c>
      <c r="K2976">
        <v>0</v>
      </c>
    </row>
    <row r="2977" spans="1:11" x14ac:dyDescent="0.25">
      <c r="A2977" t="s">
        <v>9</v>
      </c>
      <c r="B2977" t="s">
        <v>280</v>
      </c>
      <c r="C2977" t="s">
        <v>868</v>
      </c>
      <c r="D2977" t="s">
        <v>14</v>
      </c>
      <c r="E2977">
        <v>2</v>
      </c>
      <c r="F2977" s="2">
        <f>DATE(2026,IF(Tabla1[[#This Row],[Mes de Fecha]]="Septiembre",9,10),Tabla1[[#This Row],[Día de Fecha]])</f>
        <v>46297</v>
      </c>
      <c r="G2977">
        <v>48574228</v>
      </c>
      <c r="H2977" t="s">
        <v>281</v>
      </c>
      <c r="I2977">
        <v>26</v>
      </c>
      <c r="J2977">
        <v>0</v>
      </c>
      <c r="K2977" s="1">
        <v>1318025</v>
      </c>
    </row>
    <row r="2978" spans="1:11" x14ac:dyDescent="0.25">
      <c r="A2978" t="s">
        <v>9</v>
      </c>
      <c r="B2978" t="s">
        <v>280</v>
      </c>
      <c r="C2978" t="s">
        <v>868</v>
      </c>
      <c r="D2978" t="s">
        <v>14</v>
      </c>
      <c r="E2978">
        <v>2</v>
      </c>
      <c r="F2978" s="2">
        <f>DATE(2026,IF(Tabla1[[#This Row],[Mes de Fecha]]="Septiembre",9,10),Tabla1[[#This Row],[Día de Fecha]])</f>
        <v>46297</v>
      </c>
      <c r="G2978">
        <v>1061534892</v>
      </c>
      <c r="H2978" t="s">
        <v>282</v>
      </c>
      <c r="I2978">
        <v>30</v>
      </c>
      <c r="J2978">
        <v>0</v>
      </c>
      <c r="K2978" s="1">
        <v>1321599</v>
      </c>
    </row>
    <row r="2979" spans="1:11" x14ac:dyDescent="0.25">
      <c r="A2979" t="s">
        <v>9</v>
      </c>
      <c r="B2979" t="s">
        <v>280</v>
      </c>
      <c r="C2979" t="s">
        <v>868</v>
      </c>
      <c r="D2979" t="s">
        <v>14</v>
      </c>
      <c r="E2979">
        <v>3</v>
      </c>
      <c r="F2979" s="2">
        <f>DATE(2026,IF(Tabla1[[#This Row],[Mes de Fecha]]="Septiembre",9,10),Tabla1[[#This Row],[Día de Fecha]])</f>
        <v>46298</v>
      </c>
      <c r="I2979">
        <v>0</v>
      </c>
      <c r="J2979" s="1">
        <v>4849782</v>
      </c>
      <c r="K2979">
        <v>0</v>
      </c>
    </row>
    <row r="2980" spans="1:11" x14ac:dyDescent="0.25">
      <c r="A2980" t="s">
        <v>9</v>
      </c>
      <c r="B2980" t="s">
        <v>280</v>
      </c>
      <c r="C2980" t="s">
        <v>868</v>
      </c>
      <c r="D2980" t="s">
        <v>14</v>
      </c>
      <c r="E2980">
        <v>3</v>
      </c>
      <c r="F2980" s="2">
        <f>DATE(2026,IF(Tabla1[[#This Row],[Mes de Fecha]]="Septiembre",9,10),Tabla1[[#This Row],[Día de Fecha]])</f>
        <v>46298</v>
      </c>
      <c r="G2980">
        <v>48574228</v>
      </c>
      <c r="H2980" t="s">
        <v>281</v>
      </c>
      <c r="I2980">
        <v>64</v>
      </c>
      <c r="J2980">
        <v>0</v>
      </c>
      <c r="K2980" s="1">
        <v>3303365</v>
      </c>
    </row>
    <row r="2981" spans="1:11" x14ac:dyDescent="0.25">
      <c r="A2981" t="s">
        <v>9</v>
      </c>
      <c r="B2981" t="s">
        <v>280</v>
      </c>
      <c r="C2981" t="s">
        <v>868</v>
      </c>
      <c r="D2981" t="s">
        <v>14</v>
      </c>
      <c r="E2981">
        <v>3</v>
      </c>
      <c r="F2981" s="2">
        <f>DATE(2026,IF(Tabla1[[#This Row],[Mes de Fecha]]="Septiembre",9,10),Tabla1[[#This Row],[Día de Fecha]])</f>
        <v>46298</v>
      </c>
      <c r="G2981">
        <v>1061534892</v>
      </c>
      <c r="H2981" t="s">
        <v>282</v>
      </c>
      <c r="I2981">
        <v>54</v>
      </c>
      <c r="J2981">
        <v>0</v>
      </c>
      <c r="K2981" s="1">
        <v>2773885</v>
      </c>
    </row>
    <row r="2982" spans="1:11" x14ac:dyDescent="0.25">
      <c r="A2982" t="s">
        <v>9</v>
      </c>
      <c r="B2982" t="s">
        <v>280</v>
      </c>
      <c r="C2982" t="s">
        <v>868</v>
      </c>
      <c r="D2982" t="s">
        <v>14</v>
      </c>
      <c r="E2982">
        <v>4</v>
      </c>
      <c r="F2982" s="2">
        <f>DATE(2026,IF(Tabla1[[#This Row],[Mes de Fecha]]="Septiembre",9,10),Tabla1[[#This Row],[Día de Fecha]])</f>
        <v>46299</v>
      </c>
      <c r="I2982">
        <v>0</v>
      </c>
      <c r="J2982" s="1">
        <v>2215665</v>
      </c>
      <c r="K2982">
        <v>0</v>
      </c>
    </row>
    <row r="2983" spans="1:11" x14ac:dyDescent="0.25">
      <c r="A2983" t="s">
        <v>9</v>
      </c>
      <c r="B2983" t="s">
        <v>280</v>
      </c>
      <c r="C2983" t="s">
        <v>868</v>
      </c>
      <c r="D2983" t="s">
        <v>14</v>
      </c>
      <c r="E2983">
        <v>4</v>
      </c>
      <c r="F2983" s="2">
        <f>DATE(2026,IF(Tabla1[[#This Row],[Mes de Fecha]]="Septiembre",9,10),Tabla1[[#This Row],[Día de Fecha]])</f>
        <v>46299</v>
      </c>
      <c r="G2983">
        <v>48574228</v>
      </c>
      <c r="H2983" t="s">
        <v>281</v>
      </c>
      <c r="I2983">
        <v>26</v>
      </c>
      <c r="J2983">
        <v>0</v>
      </c>
      <c r="K2983" s="1">
        <v>1244579</v>
      </c>
    </row>
    <row r="2984" spans="1:11" x14ac:dyDescent="0.25">
      <c r="A2984" t="s">
        <v>9</v>
      </c>
      <c r="B2984" t="s">
        <v>280</v>
      </c>
      <c r="C2984" t="s">
        <v>868</v>
      </c>
      <c r="D2984" t="s">
        <v>14</v>
      </c>
      <c r="E2984">
        <v>4</v>
      </c>
      <c r="F2984" s="2">
        <f>DATE(2026,IF(Tabla1[[#This Row],[Mes de Fecha]]="Septiembre",9,10),Tabla1[[#This Row],[Día de Fecha]])</f>
        <v>46299</v>
      </c>
      <c r="G2984">
        <v>1061534892</v>
      </c>
      <c r="H2984" t="s">
        <v>282</v>
      </c>
      <c r="I2984">
        <v>7</v>
      </c>
      <c r="J2984">
        <v>0</v>
      </c>
      <c r="K2984" s="1">
        <v>417773</v>
      </c>
    </row>
    <row r="2985" spans="1:11" x14ac:dyDescent="0.25">
      <c r="A2985" t="s">
        <v>9</v>
      </c>
      <c r="B2985" t="s">
        <v>280</v>
      </c>
      <c r="C2985" t="s">
        <v>868</v>
      </c>
      <c r="D2985" t="s">
        <v>14</v>
      </c>
      <c r="E2985">
        <v>5</v>
      </c>
      <c r="F2985" s="2">
        <f>DATE(2026,IF(Tabla1[[#This Row],[Mes de Fecha]]="Septiembre",9,10),Tabla1[[#This Row],[Día de Fecha]])</f>
        <v>46300</v>
      </c>
      <c r="I2985">
        <v>0</v>
      </c>
      <c r="J2985" s="1">
        <v>3653704</v>
      </c>
      <c r="K2985">
        <v>0</v>
      </c>
    </row>
    <row r="2986" spans="1:11" x14ac:dyDescent="0.25">
      <c r="A2986" t="s">
        <v>9</v>
      </c>
      <c r="B2986" t="s">
        <v>280</v>
      </c>
      <c r="C2986" t="s">
        <v>868</v>
      </c>
      <c r="D2986" t="s">
        <v>14</v>
      </c>
      <c r="E2986">
        <v>5</v>
      </c>
      <c r="F2986" s="2">
        <f>DATE(2026,IF(Tabla1[[#This Row],[Mes de Fecha]]="Septiembre",9,10),Tabla1[[#This Row],[Día de Fecha]])</f>
        <v>46300</v>
      </c>
      <c r="G2986">
        <v>48574228</v>
      </c>
      <c r="H2986" t="s">
        <v>281</v>
      </c>
      <c r="I2986">
        <v>37</v>
      </c>
      <c r="J2986">
        <v>0</v>
      </c>
      <c r="K2986" s="1">
        <v>1994201</v>
      </c>
    </row>
    <row r="2987" spans="1:11" x14ac:dyDescent="0.25">
      <c r="A2987" t="s">
        <v>9</v>
      </c>
      <c r="B2987" t="s">
        <v>280</v>
      </c>
      <c r="C2987" t="s">
        <v>868</v>
      </c>
      <c r="D2987" t="s">
        <v>14</v>
      </c>
      <c r="E2987">
        <v>5</v>
      </c>
      <c r="F2987" s="2">
        <f>DATE(2026,IF(Tabla1[[#This Row],[Mes de Fecha]]="Septiembre",9,10),Tabla1[[#This Row],[Día de Fecha]])</f>
        <v>46300</v>
      </c>
      <c r="G2987">
        <v>1061534892</v>
      </c>
      <c r="H2987" t="s">
        <v>282</v>
      </c>
      <c r="I2987">
        <v>36</v>
      </c>
      <c r="J2987">
        <v>0</v>
      </c>
      <c r="K2987" s="1">
        <v>1792229</v>
      </c>
    </row>
    <row r="2988" spans="1:11" x14ac:dyDescent="0.25">
      <c r="A2988" t="s">
        <v>9</v>
      </c>
      <c r="B2988" t="s">
        <v>280</v>
      </c>
      <c r="C2988" t="s">
        <v>868</v>
      </c>
      <c r="D2988" t="s">
        <v>14</v>
      </c>
      <c r="E2988">
        <v>6</v>
      </c>
      <c r="F2988" s="2">
        <f>DATE(2026,IF(Tabla1[[#This Row],[Mes de Fecha]]="Septiembre",9,10),Tabla1[[#This Row],[Día de Fecha]])</f>
        <v>46301</v>
      </c>
      <c r="I2988">
        <v>0</v>
      </c>
      <c r="J2988" s="1">
        <v>1953335</v>
      </c>
      <c r="K2988">
        <v>0</v>
      </c>
    </row>
    <row r="2989" spans="1:11" x14ac:dyDescent="0.25">
      <c r="A2989" t="s">
        <v>9</v>
      </c>
      <c r="B2989" t="s">
        <v>280</v>
      </c>
      <c r="C2989" t="s">
        <v>868</v>
      </c>
      <c r="D2989" t="s">
        <v>14</v>
      </c>
      <c r="E2989">
        <v>6</v>
      </c>
      <c r="F2989" s="2">
        <f>DATE(2026,IF(Tabla1[[#This Row],[Mes de Fecha]]="Septiembre",9,10),Tabla1[[#This Row],[Día de Fecha]])</f>
        <v>46301</v>
      </c>
      <c r="G2989">
        <v>48574228</v>
      </c>
      <c r="H2989" t="s">
        <v>281</v>
      </c>
      <c r="I2989">
        <v>9</v>
      </c>
      <c r="J2989">
        <v>0</v>
      </c>
      <c r="K2989" s="1">
        <v>541639</v>
      </c>
    </row>
    <row r="2990" spans="1:11" x14ac:dyDescent="0.25">
      <c r="A2990" t="s">
        <v>9</v>
      </c>
      <c r="B2990" t="s">
        <v>280</v>
      </c>
      <c r="C2990" t="s">
        <v>868</v>
      </c>
      <c r="D2990" t="s">
        <v>14</v>
      </c>
      <c r="E2990">
        <v>6</v>
      </c>
      <c r="F2990" s="2">
        <f>DATE(2026,IF(Tabla1[[#This Row],[Mes de Fecha]]="Septiembre",9,10),Tabla1[[#This Row],[Día de Fecha]])</f>
        <v>46301</v>
      </c>
      <c r="G2990">
        <v>1061534892</v>
      </c>
      <c r="H2990" t="s">
        <v>282</v>
      </c>
      <c r="I2990">
        <v>18</v>
      </c>
      <c r="J2990">
        <v>0</v>
      </c>
      <c r="K2990" s="1">
        <v>940338</v>
      </c>
    </row>
    <row r="2991" spans="1:11" x14ac:dyDescent="0.25">
      <c r="A2991" t="s">
        <v>9</v>
      </c>
      <c r="B2991" t="s">
        <v>280</v>
      </c>
      <c r="C2991" t="s">
        <v>868</v>
      </c>
      <c r="D2991" t="s">
        <v>14</v>
      </c>
      <c r="E2991">
        <v>7</v>
      </c>
      <c r="F2991" s="2">
        <f>DATE(2026,IF(Tabla1[[#This Row],[Mes de Fecha]]="Septiembre",9,10),Tabla1[[#This Row],[Día de Fecha]])</f>
        <v>46302</v>
      </c>
      <c r="I2991">
        <v>0</v>
      </c>
      <c r="J2991" s="1">
        <v>1220736</v>
      </c>
      <c r="K2991">
        <v>0</v>
      </c>
    </row>
    <row r="2992" spans="1:11" x14ac:dyDescent="0.25">
      <c r="A2992" t="s">
        <v>9</v>
      </c>
      <c r="B2992" t="s">
        <v>280</v>
      </c>
      <c r="C2992" t="s">
        <v>868</v>
      </c>
      <c r="D2992" t="s">
        <v>14</v>
      </c>
      <c r="E2992">
        <v>7</v>
      </c>
      <c r="F2992" s="2">
        <f>DATE(2026,IF(Tabla1[[#This Row],[Mes de Fecha]]="Septiembre",9,10),Tabla1[[#This Row],[Día de Fecha]])</f>
        <v>46302</v>
      </c>
      <c r="G2992">
        <v>48574228</v>
      </c>
      <c r="H2992" t="s">
        <v>281</v>
      </c>
      <c r="I2992">
        <v>58</v>
      </c>
      <c r="J2992">
        <v>0</v>
      </c>
      <c r="K2992" s="1">
        <v>3157061</v>
      </c>
    </row>
    <row r="2993" spans="1:11" x14ac:dyDescent="0.25">
      <c r="A2993" t="s">
        <v>9</v>
      </c>
      <c r="B2993" t="s">
        <v>280</v>
      </c>
      <c r="C2993" t="s">
        <v>868</v>
      </c>
      <c r="D2993" t="s">
        <v>14</v>
      </c>
      <c r="E2993">
        <v>7</v>
      </c>
      <c r="F2993" s="2">
        <f>DATE(2026,IF(Tabla1[[#This Row],[Mes de Fecha]]="Septiembre",9,10),Tabla1[[#This Row],[Día de Fecha]])</f>
        <v>46302</v>
      </c>
      <c r="G2993">
        <v>1061534892</v>
      </c>
      <c r="H2993" t="s">
        <v>282</v>
      </c>
      <c r="I2993">
        <v>31</v>
      </c>
      <c r="J2993">
        <v>0</v>
      </c>
      <c r="K2993" s="1">
        <v>1843238</v>
      </c>
    </row>
    <row r="2994" spans="1:11" x14ac:dyDescent="0.25">
      <c r="A2994" t="s">
        <v>9</v>
      </c>
      <c r="B2994" t="s">
        <v>27</v>
      </c>
      <c r="C2994" t="s">
        <v>868</v>
      </c>
      <c r="D2994" t="s">
        <v>11</v>
      </c>
      <c r="E2994">
        <v>23</v>
      </c>
      <c r="F2994" s="2">
        <f>DATE(2026,IF(Tabla1[[#This Row],[Mes de Fecha]]="Septiembre",9,10),Tabla1[[#This Row],[Día de Fecha]])</f>
        <v>46288</v>
      </c>
      <c r="I2994">
        <v>0</v>
      </c>
      <c r="J2994" s="1">
        <v>2359451</v>
      </c>
      <c r="K2994">
        <v>0</v>
      </c>
    </row>
    <row r="2995" spans="1:11" x14ac:dyDescent="0.25">
      <c r="A2995" t="s">
        <v>9</v>
      </c>
      <c r="B2995" t="s">
        <v>27</v>
      </c>
      <c r="C2995" t="s">
        <v>868</v>
      </c>
      <c r="D2995" t="s">
        <v>11</v>
      </c>
      <c r="E2995">
        <v>23</v>
      </c>
      <c r="F2995" s="2">
        <f>DATE(2026,IF(Tabla1[[#This Row],[Mes de Fecha]]="Septiembre",9,10),Tabla1[[#This Row],[Día de Fecha]])</f>
        <v>46288</v>
      </c>
      <c r="G2995">
        <v>10557333</v>
      </c>
      <c r="H2995" t="s">
        <v>28</v>
      </c>
      <c r="I2995">
        <v>60</v>
      </c>
      <c r="J2995">
        <v>0</v>
      </c>
      <c r="K2995" s="1">
        <v>3946807</v>
      </c>
    </row>
    <row r="2996" spans="1:11" x14ac:dyDescent="0.25">
      <c r="A2996" t="s">
        <v>9</v>
      </c>
      <c r="B2996" t="s">
        <v>27</v>
      </c>
      <c r="C2996" t="s">
        <v>868</v>
      </c>
      <c r="D2996" t="s">
        <v>11</v>
      </c>
      <c r="E2996">
        <v>23</v>
      </c>
      <c r="F2996" s="2">
        <f>DATE(2026,IF(Tabla1[[#This Row],[Mes de Fecha]]="Septiembre",9,10),Tabla1[[#This Row],[Día de Fecha]])</f>
        <v>46288</v>
      </c>
      <c r="G2996">
        <v>1144064760</v>
      </c>
      <c r="H2996" t="s">
        <v>30</v>
      </c>
      <c r="I2996">
        <v>2</v>
      </c>
      <c r="J2996">
        <v>0</v>
      </c>
      <c r="K2996" s="1">
        <v>88151</v>
      </c>
    </row>
    <row r="2997" spans="1:11" x14ac:dyDescent="0.25">
      <c r="A2997" t="s">
        <v>9</v>
      </c>
      <c r="B2997" t="s">
        <v>27</v>
      </c>
      <c r="C2997" t="s">
        <v>868</v>
      </c>
      <c r="D2997" t="s">
        <v>11</v>
      </c>
      <c r="E2997">
        <v>24</v>
      </c>
      <c r="F2997" s="2">
        <f>DATE(2026,IF(Tabla1[[#This Row],[Mes de Fecha]]="Septiembre",9,10),Tabla1[[#This Row],[Día de Fecha]])</f>
        <v>46289</v>
      </c>
      <c r="I2997">
        <v>0</v>
      </c>
      <c r="J2997" s="1">
        <v>6101990</v>
      </c>
      <c r="K2997">
        <v>0</v>
      </c>
    </row>
    <row r="2998" spans="1:11" x14ac:dyDescent="0.25">
      <c r="A2998" t="s">
        <v>9</v>
      </c>
      <c r="B2998" t="s">
        <v>27</v>
      </c>
      <c r="C2998" t="s">
        <v>868</v>
      </c>
      <c r="D2998" t="s">
        <v>11</v>
      </c>
      <c r="E2998">
        <v>24</v>
      </c>
      <c r="F2998" s="2">
        <f>DATE(2026,IF(Tabla1[[#This Row],[Mes de Fecha]]="Septiembre",9,10),Tabla1[[#This Row],[Día de Fecha]])</f>
        <v>46289</v>
      </c>
      <c r="G2998">
        <v>10557333</v>
      </c>
      <c r="H2998" t="s">
        <v>28</v>
      </c>
      <c r="I2998">
        <v>81</v>
      </c>
      <c r="J2998">
        <v>0</v>
      </c>
      <c r="K2998" s="1">
        <v>4095340</v>
      </c>
    </row>
    <row r="2999" spans="1:11" x14ac:dyDescent="0.25">
      <c r="A2999" t="s">
        <v>9</v>
      </c>
      <c r="B2999" t="s">
        <v>27</v>
      </c>
      <c r="C2999" t="s">
        <v>868</v>
      </c>
      <c r="D2999" t="s">
        <v>11</v>
      </c>
      <c r="E2999">
        <v>24</v>
      </c>
      <c r="F2999" s="2">
        <f>DATE(2026,IF(Tabla1[[#This Row],[Mes de Fecha]]="Septiembre",9,10),Tabla1[[#This Row],[Día de Fecha]])</f>
        <v>46289</v>
      </c>
      <c r="G2999">
        <v>1144064760</v>
      </c>
      <c r="H2999" t="s">
        <v>30</v>
      </c>
      <c r="I2999">
        <v>3</v>
      </c>
      <c r="J2999">
        <v>0</v>
      </c>
      <c r="K2999" s="1">
        <v>121723</v>
      </c>
    </row>
    <row r="3000" spans="1:11" x14ac:dyDescent="0.25">
      <c r="A3000" t="s">
        <v>9</v>
      </c>
      <c r="B3000" t="s">
        <v>27</v>
      </c>
      <c r="C3000" t="s">
        <v>868</v>
      </c>
      <c r="D3000" t="s">
        <v>11</v>
      </c>
      <c r="E3000">
        <v>25</v>
      </c>
      <c r="F3000" s="2">
        <f>DATE(2026,IF(Tabla1[[#This Row],[Mes de Fecha]]="Septiembre",9,10),Tabla1[[#This Row],[Día de Fecha]])</f>
        <v>46290</v>
      </c>
      <c r="I3000">
        <v>0</v>
      </c>
      <c r="J3000" s="1">
        <v>6517261</v>
      </c>
      <c r="K3000">
        <v>0</v>
      </c>
    </row>
    <row r="3001" spans="1:11" x14ac:dyDescent="0.25">
      <c r="A3001" t="s">
        <v>9</v>
      </c>
      <c r="B3001" t="s">
        <v>27</v>
      </c>
      <c r="C3001" t="s">
        <v>868</v>
      </c>
      <c r="D3001" t="s">
        <v>11</v>
      </c>
      <c r="E3001">
        <v>25</v>
      </c>
      <c r="F3001" s="2">
        <f>DATE(2026,IF(Tabla1[[#This Row],[Mes de Fecha]]="Septiembre",9,10),Tabla1[[#This Row],[Día de Fecha]])</f>
        <v>46290</v>
      </c>
      <c r="G3001">
        <v>10557333</v>
      </c>
      <c r="H3001" t="s">
        <v>28</v>
      </c>
      <c r="I3001">
        <v>69</v>
      </c>
      <c r="J3001">
        <v>0</v>
      </c>
      <c r="K3001" s="1">
        <v>4018111</v>
      </c>
    </row>
    <row r="3002" spans="1:11" x14ac:dyDescent="0.25">
      <c r="A3002" t="s">
        <v>9</v>
      </c>
      <c r="B3002" t="s">
        <v>27</v>
      </c>
      <c r="C3002" t="s">
        <v>868</v>
      </c>
      <c r="D3002" t="s">
        <v>11</v>
      </c>
      <c r="E3002">
        <v>25</v>
      </c>
      <c r="F3002" s="2">
        <f>DATE(2026,IF(Tabla1[[#This Row],[Mes de Fecha]]="Septiembre",9,10),Tabla1[[#This Row],[Día de Fecha]])</f>
        <v>46290</v>
      </c>
      <c r="G3002">
        <v>1144064760</v>
      </c>
      <c r="H3002" t="s">
        <v>30</v>
      </c>
      <c r="I3002">
        <v>-1</v>
      </c>
      <c r="J3002">
        <v>0</v>
      </c>
      <c r="K3002" s="1">
        <v>-50370</v>
      </c>
    </row>
    <row r="3003" spans="1:11" x14ac:dyDescent="0.25">
      <c r="A3003" t="s">
        <v>9</v>
      </c>
      <c r="B3003" t="s">
        <v>27</v>
      </c>
      <c r="C3003" t="s">
        <v>868</v>
      </c>
      <c r="D3003" t="s">
        <v>11</v>
      </c>
      <c r="E3003">
        <v>25</v>
      </c>
      <c r="F3003" s="2">
        <f>DATE(2026,IF(Tabla1[[#This Row],[Mes de Fecha]]="Septiembre",9,10),Tabla1[[#This Row],[Día de Fecha]])</f>
        <v>46290</v>
      </c>
      <c r="G3003">
        <v>10622043760</v>
      </c>
      <c r="H3003" t="s">
        <v>29</v>
      </c>
      <c r="I3003">
        <v>3</v>
      </c>
      <c r="J3003">
        <v>0</v>
      </c>
      <c r="K3003" s="1">
        <v>222563</v>
      </c>
    </row>
    <row r="3004" spans="1:11" x14ac:dyDescent="0.25">
      <c r="A3004" t="s">
        <v>9</v>
      </c>
      <c r="B3004" t="s">
        <v>27</v>
      </c>
      <c r="C3004" t="s">
        <v>868</v>
      </c>
      <c r="D3004" t="s">
        <v>11</v>
      </c>
      <c r="E3004">
        <v>26</v>
      </c>
      <c r="F3004" s="2">
        <f>DATE(2026,IF(Tabla1[[#This Row],[Mes de Fecha]]="Septiembre",9,10),Tabla1[[#This Row],[Día de Fecha]])</f>
        <v>46291</v>
      </c>
      <c r="I3004">
        <v>0</v>
      </c>
      <c r="J3004" s="1">
        <v>8218098</v>
      </c>
      <c r="K3004">
        <v>0</v>
      </c>
    </row>
    <row r="3005" spans="1:11" x14ac:dyDescent="0.25">
      <c r="A3005" t="s">
        <v>9</v>
      </c>
      <c r="B3005" t="s">
        <v>27</v>
      </c>
      <c r="C3005" t="s">
        <v>868</v>
      </c>
      <c r="D3005" t="s">
        <v>11</v>
      </c>
      <c r="E3005">
        <v>26</v>
      </c>
      <c r="F3005" s="2">
        <f>DATE(2026,IF(Tabla1[[#This Row],[Mes de Fecha]]="Septiembre",9,10),Tabla1[[#This Row],[Día de Fecha]])</f>
        <v>46291</v>
      </c>
      <c r="G3005">
        <v>10557333</v>
      </c>
      <c r="H3005" t="s">
        <v>28</v>
      </c>
      <c r="I3005">
        <v>763</v>
      </c>
      <c r="J3005">
        <v>0</v>
      </c>
      <c r="K3005" s="1">
        <v>19869993</v>
      </c>
    </row>
    <row r="3006" spans="1:11" x14ac:dyDescent="0.25">
      <c r="A3006" t="s">
        <v>9</v>
      </c>
      <c r="B3006" t="s">
        <v>27</v>
      </c>
      <c r="C3006" t="s">
        <v>868</v>
      </c>
      <c r="D3006" t="s">
        <v>11</v>
      </c>
      <c r="E3006">
        <v>26</v>
      </c>
      <c r="F3006" s="2">
        <f>DATE(2026,IF(Tabla1[[#This Row],[Mes de Fecha]]="Septiembre",9,10),Tabla1[[#This Row],[Día de Fecha]])</f>
        <v>46291</v>
      </c>
      <c r="G3006">
        <v>1144064760</v>
      </c>
      <c r="H3006" t="s">
        <v>30</v>
      </c>
      <c r="I3006">
        <v>7</v>
      </c>
      <c r="J3006">
        <v>0</v>
      </c>
      <c r="K3006" s="1">
        <v>292921</v>
      </c>
    </row>
    <row r="3007" spans="1:11" x14ac:dyDescent="0.25">
      <c r="A3007" t="s">
        <v>9</v>
      </c>
      <c r="B3007" t="s">
        <v>27</v>
      </c>
      <c r="C3007" t="s">
        <v>868</v>
      </c>
      <c r="D3007" t="s">
        <v>11</v>
      </c>
      <c r="E3007">
        <v>27</v>
      </c>
      <c r="F3007" s="2">
        <f>DATE(2026,IF(Tabla1[[#This Row],[Mes de Fecha]]="Septiembre",9,10),Tabla1[[#This Row],[Día de Fecha]])</f>
        <v>46292</v>
      </c>
      <c r="I3007">
        <v>0</v>
      </c>
      <c r="J3007" s="1">
        <v>4339078</v>
      </c>
      <c r="K3007">
        <v>0</v>
      </c>
    </row>
    <row r="3008" spans="1:11" x14ac:dyDescent="0.25">
      <c r="A3008" t="s">
        <v>9</v>
      </c>
      <c r="B3008" t="s">
        <v>27</v>
      </c>
      <c r="C3008" t="s">
        <v>868</v>
      </c>
      <c r="D3008" t="s">
        <v>11</v>
      </c>
      <c r="E3008">
        <v>27</v>
      </c>
      <c r="F3008" s="2">
        <f>DATE(2026,IF(Tabla1[[#This Row],[Mes de Fecha]]="Septiembre",9,10),Tabla1[[#This Row],[Día de Fecha]])</f>
        <v>46292</v>
      </c>
      <c r="G3008">
        <v>10557333</v>
      </c>
      <c r="H3008" t="s">
        <v>28</v>
      </c>
      <c r="I3008">
        <v>719</v>
      </c>
      <c r="J3008">
        <v>0</v>
      </c>
      <c r="K3008" s="1">
        <v>19779021</v>
      </c>
    </row>
    <row r="3009" spans="1:11" x14ac:dyDescent="0.25">
      <c r="A3009" t="s">
        <v>9</v>
      </c>
      <c r="B3009" t="s">
        <v>27</v>
      </c>
      <c r="C3009" t="s">
        <v>868</v>
      </c>
      <c r="D3009" t="s">
        <v>11</v>
      </c>
      <c r="E3009">
        <v>28</v>
      </c>
      <c r="F3009" s="2">
        <f>DATE(2026,IF(Tabla1[[#This Row],[Mes de Fecha]]="Septiembre",9,10),Tabla1[[#This Row],[Día de Fecha]])</f>
        <v>46293</v>
      </c>
      <c r="I3009">
        <v>0</v>
      </c>
      <c r="J3009" s="1">
        <v>3557573</v>
      </c>
      <c r="K3009">
        <v>0</v>
      </c>
    </row>
    <row r="3010" spans="1:11" x14ac:dyDescent="0.25">
      <c r="A3010" t="s">
        <v>9</v>
      </c>
      <c r="B3010" t="s">
        <v>27</v>
      </c>
      <c r="C3010" t="s">
        <v>868</v>
      </c>
      <c r="D3010" t="s">
        <v>11</v>
      </c>
      <c r="E3010">
        <v>28</v>
      </c>
      <c r="F3010" s="2">
        <f>DATE(2026,IF(Tabla1[[#This Row],[Mes de Fecha]]="Septiembre",9,10),Tabla1[[#This Row],[Día de Fecha]])</f>
        <v>46293</v>
      </c>
      <c r="G3010">
        <v>10557333</v>
      </c>
      <c r="H3010" t="s">
        <v>28</v>
      </c>
      <c r="I3010">
        <v>124</v>
      </c>
      <c r="J3010">
        <v>0</v>
      </c>
      <c r="K3010" s="1">
        <v>6693491</v>
      </c>
    </row>
    <row r="3011" spans="1:11" x14ac:dyDescent="0.25">
      <c r="A3011" t="s">
        <v>9</v>
      </c>
      <c r="B3011" t="s">
        <v>27</v>
      </c>
      <c r="C3011" t="s">
        <v>868</v>
      </c>
      <c r="D3011" t="s">
        <v>11</v>
      </c>
      <c r="E3011">
        <v>28</v>
      </c>
      <c r="F3011" s="2">
        <f>DATE(2026,IF(Tabla1[[#This Row],[Mes de Fecha]]="Septiembre",9,10),Tabla1[[#This Row],[Día de Fecha]])</f>
        <v>46293</v>
      </c>
      <c r="G3011">
        <v>10622043760</v>
      </c>
      <c r="H3011" t="s">
        <v>29</v>
      </c>
      <c r="I3011">
        <v>7</v>
      </c>
      <c r="J3011">
        <v>0</v>
      </c>
      <c r="K3011" s="1">
        <v>352647</v>
      </c>
    </row>
    <row r="3012" spans="1:11" x14ac:dyDescent="0.25">
      <c r="A3012" t="s">
        <v>9</v>
      </c>
      <c r="B3012" t="s">
        <v>27</v>
      </c>
      <c r="C3012" t="s">
        <v>868</v>
      </c>
      <c r="D3012" t="s">
        <v>11</v>
      </c>
      <c r="E3012">
        <v>29</v>
      </c>
      <c r="F3012" s="2">
        <f>DATE(2026,IF(Tabla1[[#This Row],[Mes de Fecha]]="Septiembre",9,10),Tabla1[[#This Row],[Día de Fecha]])</f>
        <v>46294</v>
      </c>
      <c r="I3012">
        <v>0</v>
      </c>
      <c r="J3012" s="1">
        <v>3954967</v>
      </c>
      <c r="K3012">
        <v>0</v>
      </c>
    </row>
    <row r="3013" spans="1:11" x14ac:dyDescent="0.25">
      <c r="A3013" t="s">
        <v>9</v>
      </c>
      <c r="B3013" t="s">
        <v>27</v>
      </c>
      <c r="C3013" t="s">
        <v>868</v>
      </c>
      <c r="D3013" t="s">
        <v>11</v>
      </c>
      <c r="E3013">
        <v>29</v>
      </c>
      <c r="F3013" s="2">
        <f>DATE(2026,IF(Tabla1[[#This Row],[Mes de Fecha]]="Septiembre",9,10),Tabla1[[#This Row],[Día de Fecha]])</f>
        <v>46294</v>
      </c>
      <c r="G3013">
        <v>10557333</v>
      </c>
      <c r="H3013" t="s">
        <v>28</v>
      </c>
      <c r="I3013">
        <v>58</v>
      </c>
      <c r="J3013">
        <v>0</v>
      </c>
      <c r="K3013" s="1">
        <v>2904710</v>
      </c>
    </row>
    <row r="3014" spans="1:11" x14ac:dyDescent="0.25">
      <c r="A3014" t="s">
        <v>9</v>
      </c>
      <c r="B3014" t="s">
        <v>27</v>
      </c>
      <c r="C3014" t="s">
        <v>868</v>
      </c>
      <c r="D3014" t="s">
        <v>11</v>
      </c>
      <c r="E3014">
        <v>30</v>
      </c>
      <c r="F3014" s="2">
        <f>DATE(2026,IF(Tabla1[[#This Row],[Mes de Fecha]]="Septiembre",9,10),Tabla1[[#This Row],[Día de Fecha]])</f>
        <v>46295</v>
      </c>
      <c r="I3014">
        <v>0</v>
      </c>
      <c r="J3014" s="1">
        <v>4188436</v>
      </c>
      <c r="K3014">
        <v>0</v>
      </c>
    </row>
    <row r="3015" spans="1:11" x14ac:dyDescent="0.25">
      <c r="A3015" t="s">
        <v>9</v>
      </c>
      <c r="B3015" t="s">
        <v>27</v>
      </c>
      <c r="C3015" t="s">
        <v>868</v>
      </c>
      <c r="D3015" t="s">
        <v>11</v>
      </c>
      <c r="E3015">
        <v>30</v>
      </c>
      <c r="F3015" s="2">
        <f>DATE(2026,IF(Tabla1[[#This Row],[Mes de Fecha]]="Septiembre",9,10),Tabla1[[#This Row],[Día de Fecha]])</f>
        <v>46295</v>
      </c>
      <c r="G3015">
        <v>10557333</v>
      </c>
      <c r="H3015" t="s">
        <v>28</v>
      </c>
      <c r="I3015">
        <v>83</v>
      </c>
      <c r="J3015">
        <v>0</v>
      </c>
      <c r="K3015" s="1">
        <v>3810378</v>
      </c>
    </row>
    <row r="3016" spans="1:11" x14ac:dyDescent="0.25">
      <c r="A3016" t="s">
        <v>9</v>
      </c>
      <c r="B3016" t="s">
        <v>27</v>
      </c>
      <c r="C3016" t="s">
        <v>868</v>
      </c>
      <c r="D3016" t="s">
        <v>14</v>
      </c>
      <c r="E3016">
        <v>1</v>
      </c>
      <c r="F3016" s="2">
        <f>DATE(2026,IF(Tabla1[[#This Row],[Mes de Fecha]]="Septiembre",9,10),Tabla1[[#This Row],[Día de Fecha]])</f>
        <v>46296</v>
      </c>
      <c r="I3016">
        <v>0</v>
      </c>
      <c r="J3016" s="1">
        <v>6941228</v>
      </c>
      <c r="K3016">
        <v>0</v>
      </c>
    </row>
    <row r="3017" spans="1:11" x14ac:dyDescent="0.25">
      <c r="A3017" t="s">
        <v>9</v>
      </c>
      <c r="B3017" t="s">
        <v>27</v>
      </c>
      <c r="C3017" t="s">
        <v>868</v>
      </c>
      <c r="D3017" t="s">
        <v>14</v>
      </c>
      <c r="E3017">
        <v>1</v>
      </c>
      <c r="F3017" s="2">
        <f>DATE(2026,IF(Tabla1[[#This Row],[Mes de Fecha]]="Septiembre",9,10),Tabla1[[#This Row],[Día de Fecha]])</f>
        <v>46296</v>
      </c>
      <c r="G3017">
        <v>10557333</v>
      </c>
      <c r="H3017" t="s">
        <v>28</v>
      </c>
      <c r="I3017">
        <v>94</v>
      </c>
      <c r="J3017">
        <v>0</v>
      </c>
      <c r="K3017" s="1">
        <v>5457316</v>
      </c>
    </row>
    <row r="3018" spans="1:11" x14ac:dyDescent="0.25">
      <c r="A3018" t="s">
        <v>9</v>
      </c>
      <c r="B3018" t="s">
        <v>27</v>
      </c>
      <c r="C3018" t="s">
        <v>868</v>
      </c>
      <c r="D3018" t="s">
        <v>14</v>
      </c>
      <c r="E3018">
        <v>1</v>
      </c>
      <c r="F3018" s="2">
        <f>DATE(2026,IF(Tabla1[[#This Row],[Mes de Fecha]]="Septiembre",9,10),Tabla1[[#This Row],[Día de Fecha]])</f>
        <v>46296</v>
      </c>
      <c r="G3018">
        <v>1144064760</v>
      </c>
      <c r="H3018" t="s">
        <v>30</v>
      </c>
      <c r="I3018">
        <v>3</v>
      </c>
      <c r="J3018">
        <v>0</v>
      </c>
      <c r="K3018" s="1">
        <v>205715</v>
      </c>
    </row>
    <row r="3019" spans="1:11" x14ac:dyDescent="0.25">
      <c r="A3019" t="s">
        <v>9</v>
      </c>
      <c r="B3019" t="s">
        <v>27</v>
      </c>
      <c r="C3019" t="s">
        <v>868</v>
      </c>
      <c r="D3019" t="s">
        <v>14</v>
      </c>
      <c r="E3019">
        <v>2</v>
      </c>
      <c r="F3019" s="2">
        <f>DATE(2026,IF(Tabla1[[#This Row],[Mes de Fecha]]="Septiembre",9,10),Tabla1[[#This Row],[Día de Fecha]])</f>
        <v>46297</v>
      </c>
      <c r="I3019">
        <v>0</v>
      </c>
      <c r="J3019" s="1">
        <v>5287490</v>
      </c>
      <c r="K3019">
        <v>0</v>
      </c>
    </row>
    <row r="3020" spans="1:11" x14ac:dyDescent="0.25">
      <c r="A3020" t="s">
        <v>9</v>
      </c>
      <c r="B3020" t="s">
        <v>27</v>
      </c>
      <c r="C3020" t="s">
        <v>868</v>
      </c>
      <c r="D3020" t="s">
        <v>14</v>
      </c>
      <c r="E3020">
        <v>2</v>
      </c>
      <c r="F3020" s="2">
        <f>DATE(2026,IF(Tabla1[[#This Row],[Mes de Fecha]]="Septiembre",9,10),Tabla1[[#This Row],[Día de Fecha]])</f>
        <v>46297</v>
      </c>
      <c r="G3020">
        <v>10557333</v>
      </c>
      <c r="H3020" t="s">
        <v>28</v>
      </c>
      <c r="I3020">
        <v>61</v>
      </c>
      <c r="J3020">
        <v>0</v>
      </c>
      <c r="K3020" s="1">
        <v>2918532</v>
      </c>
    </row>
    <row r="3021" spans="1:11" x14ac:dyDescent="0.25">
      <c r="A3021" t="s">
        <v>9</v>
      </c>
      <c r="B3021" t="s">
        <v>27</v>
      </c>
      <c r="C3021" t="s">
        <v>868</v>
      </c>
      <c r="D3021" t="s">
        <v>14</v>
      </c>
      <c r="E3021">
        <v>3</v>
      </c>
      <c r="F3021" s="2">
        <f>DATE(2026,IF(Tabla1[[#This Row],[Mes de Fecha]]="Septiembre",9,10),Tabla1[[#This Row],[Día de Fecha]])</f>
        <v>46298</v>
      </c>
      <c r="I3021">
        <v>0</v>
      </c>
      <c r="J3021" s="1">
        <v>8798684</v>
      </c>
      <c r="K3021">
        <v>0</v>
      </c>
    </row>
    <row r="3022" spans="1:11" x14ac:dyDescent="0.25">
      <c r="A3022" t="s">
        <v>9</v>
      </c>
      <c r="B3022" t="s">
        <v>27</v>
      </c>
      <c r="C3022" t="s">
        <v>868</v>
      </c>
      <c r="D3022" t="s">
        <v>14</v>
      </c>
      <c r="E3022">
        <v>3</v>
      </c>
      <c r="F3022" s="2">
        <f>DATE(2026,IF(Tabla1[[#This Row],[Mes de Fecha]]="Septiembre",9,10),Tabla1[[#This Row],[Día de Fecha]])</f>
        <v>46298</v>
      </c>
      <c r="G3022">
        <v>10557333</v>
      </c>
      <c r="H3022" t="s">
        <v>28</v>
      </c>
      <c r="I3022">
        <v>216</v>
      </c>
      <c r="J3022">
        <v>0</v>
      </c>
      <c r="K3022" s="1">
        <v>10662727</v>
      </c>
    </row>
    <row r="3023" spans="1:11" x14ac:dyDescent="0.25">
      <c r="A3023" t="s">
        <v>9</v>
      </c>
      <c r="B3023" t="s">
        <v>27</v>
      </c>
      <c r="C3023" t="s">
        <v>868</v>
      </c>
      <c r="D3023" t="s">
        <v>14</v>
      </c>
      <c r="E3023">
        <v>3</v>
      </c>
      <c r="F3023" s="2">
        <f>DATE(2026,IF(Tabla1[[#This Row],[Mes de Fecha]]="Septiembre",9,10),Tabla1[[#This Row],[Día de Fecha]])</f>
        <v>46298</v>
      </c>
      <c r="G3023">
        <v>1144064760</v>
      </c>
      <c r="H3023" t="s">
        <v>30</v>
      </c>
      <c r="I3023">
        <v>2</v>
      </c>
      <c r="J3023">
        <v>0</v>
      </c>
      <c r="K3023" s="1">
        <v>78076</v>
      </c>
    </row>
    <row r="3024" spans="1:11" x14ac:dyDescent="0.25">
      <c r="A3024" t="s">
        <v>9</v>
      </c>
      <c r="B3024" t="s">
        <v>27</v>
      </c>
      <c r="C3024" t="s">
        <v>868</v>
      </c>
      <c r="D3024" t="s">
        <v>14</v>
      </c>
      <c r="E3024">
        <v>4</v>
      </c>
      <c r="F3024" s="2">
        <f>DATE(2026,IF(Tabla1[[#This Row],[Mes de Fecha]]="Septiembre",9,10),Tabla1[[#This Row],[Día de Fecha]])</f>
        <v>46299</v>
      </c>
      <c r="I3024">
        <v>0</v>
      </c>
      <c r="J3024" s="1">
        <v>6016849</v>
      </c>
      <c r="K3024">
        <v>0</v>
      </c>
    </row>
    <row r="3025" spans="1:11" x14ac:dyDescent="0.25">
      <c r="A3025" t="s">
        <v>9</v>
      </c>
      <c r="B3025" t="s">
        <v>27</v>
      </c>
      <c r="C3025" t="s">
        <v>868</v>
      </c>
      <c r="D3025" t="s">
        <v>14</v>
      </c>
      <c r="E3025">
        <v>4</v>
      </c>
      <c r="F3025" s="2">
        <f>DATE(2026,IF(Tabla1[[#This Row],[Mes de Fecha]]="Septiembre",9,10),Tabla1[[#This Row],[Día de Fecha]])</f>
        <v>46299</v>
      </c>
      <c r="G3025">
        <v>10557333</v>
      </c>
      <c r="H3025" t="s">
        <v>28</v>
      </c>
      <c r="I3025">
        <v>112</v>
      </c>
      <c r="J3025">
        <v>0</v>
      </c>
      <c r="K3025" s="1">
        <v>4924713</v>
      </c>
    </row>
    <row r="3026" spans="1:11" x14ac:dyDescent="0.25">
      <c r="A3026" t="s">
        <v>9</v>
      </c>
      <c r="B3026" t="s">
        <v>27</v>
      </c>
      <c r="C3026" t="s">
        <v>868</v>
      </c>
      <c r="D3026" t="s">
        <v>14</v>
      </c>
      <c r="E3026">
        <v>4</v>
      </c>
      <c r="F3026" s="2">
        <f>DATE(2026,IF(Tabla1[[#This Row],[Mes de Fecha]]="Septiembre",9,10),Tabla1[[#This Row],[Día de Fecha]])</f>
        <v>46299</v>
      </c>
      <c r="G3026">
        <v>1144064760</v>
      </c>
      <c r="H3026" t="s">
        <v>30</v>
      </c>
      <c r="I3026">
        <v>2</v>
      </c>
      <c r="J3026">
        <v>0</v>
      </c>
      <c r="K3026" s="1">
        <v>88109</v>
      </c>
    </row>
    <row r="3027" spans="1:11" x14ac:dyDescent="0.25">
      <c r="A3027" t="s">
        <v>9</v>
      </c>
      <c r="B3027" t="s">
        <v>27</v>
      </c>
      <c r="C3027" t="s">
        <v>868</v>
      </c>
      <c r="D3027" t="s">
        <v>14</v>
      </c>
      <c r="E3027">
        <v>5</v>
      </c>
      <c r="F3027" s="2">
        <f>DATE(2026,IF(Tabla1[[#This Row],[Mes de Fecha]]="Septiembre",9,10),Tabla1[[#This Row],[Día de Fecha]])</f>
        <v>46300</v>
      </c>
      <c r="I3027">
        <v>0</v>
      </c>
      <c r="J3027" s="1">
        <v>7106999</v>
      </c>
      <c r="K3027">
        <v>0</v>
      </c>
    </row>
    <row r="3028" spans="1:11" x14ac:dyDescent="0.25">
      <c r="A3028" t="s">
        <v>9</v>
      </c>
      <c r="B3028" t="s">
        <v>27</v>
      </c>
      <c r="C3028" t="s">
        <v>868</v>
      </c>
      <c r="D3028" t="s">
        <v>14</v>
      </c>
      <c r="E3028">
        <v>5</v>
      </c>
      <c r="F3028" s="2">
        <f>DATE(2026,IF(Tabla1[[#This Row],[Mes de Fecha]]="Septiembre",9,10),Tabla1[[#This Row],[Día de Fecha]])</f>
        <v>46300</v>
      </c>
      <c r="G3028">
        <v>10557333</v>
      </c>
      <c r="H3028" t="s">
        <v>28</v>
      </c>
      <c r="I3028">
        <v>97</v>
      </c>
      <c r="J3028">
        <v>0</v>
      </c>
      <c r="K3028" s="1">
        <v>4616474</v>
      </c>
    </row>
    <row r="3029" spans="1:11" x14ac:dyDescent="0.25">
      <c r="A3029" t="s">
        <v>9</v>
      </c>
      <c r="B3029" t="s">
        <v>27</v>
      </c>
      <c r="C3029" t="s">
        <v>868</v>
      </c>
      <c r="D3029" t="s">
        <v>14</v>
      </c>
      <c r="E3029">
        <v>6</v>
      </c>
      <c r="F3029" s="2">
        <f>DATE(2026,IF(Tabla1[[#This Row],[Mes de Fecha]]="Septiembre",9,10),Tabla1[[#This Row],[Día de Fecha]])</f>
        <v>46301</v>
      </c>
      <c r="I3029">
        <v>0</v>
      </c>
      <c r="J3029" s="1">
        <v>3693073</v>
      </c>
      <c r="K3029">
        <v>0</v>
      </c>
    </row>
    <row r="3030" spans="1:11" x14ac:dyDescent="0.25">
      <c r="A3030" t="s">
        <v>9</v>
      </c>
      <c r="B3030" t="s">
        <v>27</v>
      </c>
      <c r="C3030" t="s">
        <v>868</v>
      </c>
      <c r="D3030" t="s">
        <v>14</v>
      </c>
      <c r="E3030">
        <v>6</v>
      </c>
      <c r="F3030" s="2">
        <f>DATE(2026,IF(Tabla1[[#This Row],[Mes de Fecha]]="Septiembre",9,10),Tabla1[[#This Row],[Día de Fecha]])</f>
        <v>46301</v>
      </c>
      <c r="G3030">
        <v>10557333</v>
      </c>
      <c r="H3030" t="s">
        <v>28</v>
      </c>
      <c r="I3030">
        <v>19</v>
      </c>
      <c r="J3030">
        <v>0</v>
      </c>
      <c r="K3030" s="1">
        <v>1045085</v>
      </c>
    </row>
    <row r="3031" spans="1:11" x14ac:dyDescent="0.25">
      <c r="A3031" t="s">
        <v>9</v>
      </c>
      <c r="B3031" t="s">
        <v>27</v>
      </c>
      <c r="C3031" t="s">
        <v>868</v>
      </c>
      <c r="D3031" t="s">
        <v>14</v>
      </c>
      <c r="E3031">
        <v>6</v>
      </c>
      <c r="F3031" s="2">
        <f>DATE(2026,IF(Tabla1[[#This Row],[Mes de Fecha]]="Septiembre",9,10),Tabla1[[#This Row],[Día de Fecha]])</f>
        <v>46301</v>
      </c>
      <c r="G3031">
        <v>1144064760</v>
      </c>
      <c r="H3031" t="s">
        <v>30</v>
      </c>
      <c r="I3031">
        <v>19</v>
      </c>
      <c r="J3031">
        <v>0</v>
      </c>
      <c r="K3031" s="1">
        <v>910800</v>
      </c>
    </row>
    <row r="3032" spans="1:11" x14ac:dyDescent="0.25">
      <c r="A3032" t="s">
        <v>9</v>
      </c>
      <c r="B3032" t="s">
        <v>27</v>
      </c>
      <c r="C3032" t="s">
        <v>868</v>
      </c>
      <c r="D3032" t="s">
        <v>14</v>
      </c>
      <c r="E3032">
        <v>7</v>
      </c>
      <c r="F3032" s="2">
        <f>DATE(2026,IF(Tabla1[[#This Row],[Mes de Fecha]]="Septiembre",9,10),Tabla1[[#This Row],[Día de Fecha]])</f>
        <v>46302</v>
      </c>
      <c r="I3032">
        <v>0</v>
      </c>
      <c r="J3032" s="1">
        <v>2495628</v>
      </c>
      <c r="K3032">
        <v>0</v>
      </c>
    </row>
    <row r="3033" spans="1:11" x14ac:dyDescent="0.25">
      <c r="A3033" t="s">
        <v>9</v>
      </c>
      <c r="B3033" t="s">
        <v>27</v>
      </c>
      <c r="C3033" t="s">
        <v>868</v>
      </c>
      <c r="D3033" t="s">
        <v>14</v>
      </c>
      <c r="E3033">
        <v>7</v>
      </c>
      <c r="F3033" s="2">
        <f>DATE(2026,IF(Tabla1[[#This Row],[Mes de Fecha]]="Septiembre",9,10),Tabla1[[#This Row],[Día de Fecha]])</f>
        <v>46302</v>
      </c>
      <c r="G3033">
        <v>10557333</v>
      </c>
      <c r="H3033" t="s">
        <v>28</v>
      </c>
      <c r="I3033">
        <v>66</v>
      </c>
      <c r="J3033">
        <v>0</v>
      </c>
      <c r="K3033" s="1">
        <v>3158111</v>
      </c>
    </row>
    <row r="3034" spans="1:11" x14ac:dyDescent="0.25">
      <c r="A3034" t="s">
        <v>326</v>
      </c>
      <c r="B3034" t="s">
        <v>372</v>
      </c>
      <c r="C3034" t="s">
        <v>868</v>
      </c>
      <c r="D3034" t="s">
        <v>11</v>
      </c>
      <c r="E3034">
        <v>23</v>
      </c>
      <c r="F3034" s="2">
        <f>DATE(2026,IF(Tabla1[[#This Row],[Mes de Fecha]]="Septiembre",9,10),Tabla1[[#This Row],[Día de Fecha]])</f>
        <v>46288</v>
      </c>
      <c r="I3034">
        <v>0</v>
      </c>
      <c r="J3034" s="1">
        <v>12615108</v>
      </c>
      <c r="K3034">
        <v>0</v>
      </c>
    </row>
    <row r="3035" spans="1:11" x14ac:dyDescent="0.25">
      <c r="A3035" t="s">
        <v>326</v>
      </c>
      <c r="B3035" t="s">
        <v>372</v>
      </c>
      <c r="C3035" t="s">
        <v>868</v>
      </c>
      <c r="D3035" t="s">
        <v>11</v>
      </c>
      <c r="E3035">
        <v>23</v>
      </c>
      <c r="F3035" s="2">
        <f>DATE(2026,IF(Tabla1[[#This Row],[Mes de Fecha]]="Septiembre",9,10),Tabla1[[#This Row],[Día de Fecha]])</f>
        <v>46288</v>
      </c>
      <c r="G3035">
        <v>1038822751</v>
      </c>
      <c r="H3035" t="s">
        <v>370</v>
      </c>
      <c r="I3035">
        <v>27</v>
      </c>
      <c r="J3035">
        <v>0</v>
      </c>
      <c r="K3035" s="1">
        <v>1658489</v>
      </c>
    </row>
    <row r="3036" spans="1:11" x14ac:dyDescent="0.25">
      <c r="A3036" t="s">
        <v>326</v>
      </c>
      <c r="B3036" t="s">
        <v>372</v>
      </c>
      <c r="C3036" t="s">
        <v>868</v>
      </c>
      <c r="D3036" t="s">
        <v>11</v>
      </c>
      <c r="E3036">
        <v>23</v>
      </c>
      <c r="F3036" s="2">
        <f>DATE(2026,IF(Tabla1[[#This Row],[Mes de Fecha]]="Septiembre",9,10),Tabla1[[#This Row],[Día de Fecha]])</f>
        <v>46288</v>
      </c>
      <c r="G3036">
        <v>1109667614</v>
      </c>
      <c r="H3036" t="s">
        <v>374</v>
      </c>
      <c r="I3036">
        <v>48</v>
      </c>
      <c r="J3036">
        <v>0</v>
      </c>
      <c r="K3036" s="1">
        <v>2791935</v>
      </c>
    </row>
    <row r="3037" spans="1:11" x14ac:dyDescent="0.25">
      <c r="A3037" t="s">
        <v>326</v>
      </c>
      <c r="B3037" t="s">
        <v>372</v>
      </c>
      <c r="C3037" t="s">
        <v>868</v>
      </c>
      <c r="D3037" t="s">
        <v>11</v>
      </c>
      <c r="E3037">
        <v>23</v>
      </c>
      <c r="F3037" s="2">
        <f>DATE(2026,IF(Tabla1[[#This Row],[Mes de Fecha]]="Septiembre",9,10),Tabla1[[#This Row],[Día de Fecha]])</f>
        <v>46288</v>
      </c>
      <c r="G3037">
        <v>1144158340</v>
      </c>
      <c r="H3037" t="s">
        <v>375</v>
      </c>
      <c r="I3037">
        <v>53</v>
      </c>
      <c r="J3037">
        <v>0</v>
      </c>
      <c r="K3037" s="1">
        <v>2987102</v>
      </c>
    </row>
    <row r="3038" spans="1:11" x14ac:dyDescent="0.25">
      <c r="A3038" t="s">
        <v>326</v>
      </c>
      <c r="B3038" t="s">
        <v>372</v>
      </c>
      <c r="C3038" t="s">
        <v>868</v>
      </c>
      <c r="D3038" t="s">
        <v>11</v>
      </c>
      <c r="E3038">
        <v>24</v>
      </c>
      <c r="F3038" s="2">
        <f>DATE(2026,IF(Tabla1[[#This Row],[Mes de Fecha]]="Septiembre",9,10),Tabla1[[#This Row],[Día de Fecha]])</f>
        <v>46289</v>
      </c>
      <c r="I3038">
        <v>0</v>
      </c>
      <c r="J3038" s="1">
        <v>11121316</v>
      </c>
      <c r="K3038">
        <v>0</v>
      </c>
    </row>
    <row r="3039" spans="1:11" x14ac:dyDescent="0.25">
      <c r="A3039" t="s">
        <v>326</v>
      </c>
      <c r="B3039" t="s">
        <v>372</v>
      </c>
      <c r="C3039" t="s">
        <v>868</v>
      </c>
      <c r="D3039" t="s">
        <v>11</v>
      </c>
      <c r="E3039">
        <v>24</v>
      </c>
      <c r="F3039" s="2">
        <f>DATE(2026,IF(Tabla1[[#This Row],[Mes de Fecha]]="Septiembre",9,10),Tabla1[[#This Row],[Día de Fecha]])</f>
        <v>46289</v>
      </c>
      <c r="G3039">
        <v>1038822751</v>
      </c>
      <c r="H3039" t="s">
        <v>370</v>
      </c>
      <c r="I3039">
        <v>73</v>
      </c>
      <c r="J3039">
        <v>0</v>
      </c>
      <c r="K3039" s="1">
        <v>4129124</v>
      </c>
    </row>
    <row r="3040" spans="1:11" x14ac:dyDescent="0.25">
      <c r="A3040" t="s">
        <v>326</v>
      </c>
      <c r="B3040" t="s">
        <v>372</v>
      </c>
      <c r="C3040" t="s">
        <v>868</v>
      </c>
      <c r="D3040" t="s">
        <v>11</v>
      </c>
      <c r="E3040">
        <v>24</v>
      </c>
      <c r="F3040" s="2">
        <f>DATE(2026,IF(Tabla1[[#This Row],[Mes de Fecha]]="Septiembre",9,10),Tabla1[[#This Row],[Día de Fecha]])</f>
        <v>46289</v>
      </c>
      <c r="G3040">
        <v>1109667614</v>
      </c>
      <c r="H3040" t="s">
        <v>374</v>
      </c>
      <c r="I3040">
        <v>78</v>
      </c>
      <c r="J3040">
        <v>0</v>
      </c>
      <c r="K3040" s="1">
        <v>4551222</v>
      </c>
    </row>
    <row r="3041" spans="1:11" x14ac:dyDescent="0.25">
      <c r="A3041" t="s">
        <v>326</v>
      </c>
      <c r="B3041" t="s">
        <v>372</v>
      </c>
      <c r="C3041" t="s">
        <v>868</v>
      </c>
      <c r="D3041" t="s">
        <v>11</v>
      </c>
      <c r="E3041">
        <v>24</v>
      </c>
      <c r="F3041" s="2">
        <f>DATE(2026,IF(Tabla1[[#This Row],[Mes de Fecha]]="Septiembre",9,10),Tabla1[[#This Row],[Día de Fecha]])</f>
        <v>46289</v>
      </c>
      <c r="G3041">
        <v>1144158340</v>
      </c>
      <c r="H3041" t="s">
        <v>375</v>
      </c>
      <c r="I3041">
        <v>50</v>
      </c>
      <c r="J3041">
        <v>0</v>
      </c>
      <c r="K3041" s="1">
        <v>2440970</v>
      </c>
    </row>
    <row r="3042" spans="1:11" x14ac:dyDescent="0.25">
      <c r="A3042" t="s">
        <v>326</v>
      </c>
      <c r="B3042" t="s">
        <v>372</v>
      </c>
      <c r="C3042" t="s">
        <v>868</v>
      </c>
      <c r="D3042" t="s">
        <v>11</v>
      </c>
      <c r="E3042">
        <v>25</v>
      </c>
      <c r="F3042" s="2">
        <f>DATE(2026,IF(Tabla1[[#This Row],[Mes de Fecha]]="Septiembre",9,10),Tabla1[[#This Row],[Día de Fecha]])</f>
        <v>46290</v>
      </c>
      <c r="I3042">
        <v>0</v>
      </c>
      <c r="J3042" s="1">
        <v>10162068</v>
      </c>
      <c r="K3042">
        <v>0</v>
      </c>
    </row>
    <row r="3043" spans="1:11" x14ac:dyDescent="0.25">
      <c r="A3043" t="s">
        <v>326</v>
      </c>
      <c r="B3043" t="s">
        <v>372</v>
      </c>
      <c r="C3043" t="s">
        <v>868</v>
      </c>
      <c r="D3043" t="s">
        <v>11</v>
      </c>
      <c r="E3043">
        <v>25</v>
      </c>
      <c r="F3043" s="2">
        <f>DATE(2026,IF(Tabla1[[#This Row],[Mes de Fecha]]="Septiembre",9,10),Tabla1[[#This Row],[Día de Fecha]])</f>
        <v>46290</v>
      </c>
      <c r="G3043">
        <v>1038822751</v>
      </c>
      <c r="H3043" t="s">
        <v>370</v>
      </c>
      <c r="I3043">
        <v>25</v>
      </c>
      <c r="J3043">
        <v>0</v>
      </c>
      <c r="K3043" s="1">
        <v>1532480</v>
      </c>
    </row>
    <row r="3044" spans="1:11" x14ac:dyDescent="0.25">
      <c r="A3044" t="s">
        <v>326</v>
      </c>
      <c r="B3044" t="s">
        <v>372</v>
      </c>
      <c r="C3044" t="s">
        <v>868</v>
      </c>
      <c r="D3044" t="s">
        <v>11</v>
      </c>
      <c r="E3044">
        <v>25</v>
      </c>
      <c r="F3044" s="2">
        <f>DATE(2026,IF(Tabla1[[#This Row],[Mes de Fecha]]="Septiembre",9,10),Tabla1[[#This Row],[Día de Fecha]])</f>
        <v>46290</v>
      </c>
      <c r="G3044">
        <v>1087805009</v>
      </c>
      <c r="H3044" t="s">
        <v>376</v>
      </c>
      <c r="I3044">
        <v>20</v>
      </c>
      <c r="J3044">
        <v>0</v>
      </c>
      <c r="K3044" s="1">
        <v>969538</v>
      </c>
    </row>
    <row r="3045" spans="1:11" x14ac:dyDescent="0.25">
      <c r="A3045" t="s">
        <v>326</v>
      </c>
      <c r="B3045" t="s">
        <v>372</v>
      </c>
      <c r="C3045" t="s">
        <v>868</v>
      </c>
      <c r="D3045" t="s">
        <v>11</v>
      </c>
      <c r="E3045">
        <v>25</v>
      </c>
      <c r="F3045" s="2">
        <f>DATE(2026,IF(Tabla1[[#This Row],[Mes de Fecha]]="Septiembre",9,10),Tabla1[[#This Row],[Día de Fecha]])</f>
        <v>46290</v>
      </c>
      <c r="G3045">
        <v>1109667614</v>
      </c>
      <c r="H3045" t="s">
        <v>374</v>
      </c>
      <c r="I3045">
        <v>95</v>
      </c>
      <c r="J3045">
        <v>0</v>
      </c>
      <c r="K3045" s="1">
        <v>5287862</v>
      </c>
    </row>
    <row r="3046" spans="1:11" x14ac:dyDescent="0.25">
      <c r="A3046" t="s">
        <v>326</v>
      </c>
      <c r="B3046" t="s">
        <v>372</v>
      </c>
      <c r="C3046" t="s">
        <v>868</v>
      </c>
      <c r="D3046" t="s">
        <v>11</v>
      </c>
      <c r="E3046">
        <v>25</v>
      </c>
      <c r="F3046" s="2">
        <f>DATE(2026,IF(Tabla1[[#This Row],[Mes de Fecha]]="Septiembre",9,10),Tabla1[[#This Row],[Día de Fecha]])</f>
        <v>46290</v>
      </c>
      <c r="G3046">
        <v>1111480910</v>
      </c>
      <c r="H3046" t="s">
        <v>377</v>
      </c>
      <c r="I3046">
        <v>2</v>
      </c>
      <c r="J3046">
        <v>0</v>
      </c>
      <c r="K3046" s="1">
        <v>109160</v>
      </c>
    </row>
    <row r="3047" spans="1:11" x14ac:dyDescent="0.25">
      <c r="A3047" t="s">
        <v>326</v>
      </c>
      <c r="B3047" t="s">
        <v>372</v>
      </c>
      <c r="C3047" t="s">
        <v>868</v>
      </c>
      <c r="D3047" t="s">
        <v>11</v>
      </c>
      <c r="E3047">
        <v>25</v>
      </c>
      <c r="F3047" s="2">
        <f>DATE(2026,IF(Tabla1[[#This Row],[Mes de Fecha]]="Septiembre",9,10),Tabla1[[#This Row],[Día de Fecha]])</f>
        <v>46290</v>
      </c>
      <c r="G3047">
        <v>1144158340</v>
      </c>
      <c r="H3047" t="s">
        <v>375</v>
      </c>
      <c r="I3047">
        <v>39</v>
      </c>
      <c r="J3047">
        <v>0</v>
      </c>
      <c r="K3047" s="1">
        <v>2263028</v>
      </c>
    </row>
    <row r="3048" spans="1:11" x14ac:dyDescent="0.25">
      <c r="A3048" t="s">
        <v>326</v>
      </c>
      <c r="B3048" t="s">
        <v>372</v>
      </c>
      <c r="C3048" t="s">
        <v>868</v>
      </c>
      <c r="D3048" t="s">
        <v>11</v>
      </c>
      <c r="E3048">
        <v>26</v>
      </c>
      <c r="F3048" s="2">
        <f>DATE(2026,IF(Tabla1[[#This Row],[Mes de Fecha]]="Septiembre",9,10),Tabla1[[#This Row],[Día de Fecha]])</f>
        <v>46291</v>
      </c>
      <c r="I3048">
        <v>0</v>
      </c>
      <c r="J3048" s="1">
        <v>25867834</v>
      </c>
      <c r="K3048">
        <v>0</v>
      </c>
    </row>
    <row r="3049" spans="1:11" x14ac:dyDescent="0.25">
      <c r="A3049" t="s">
        <v>326</v>
      </c>
      <c r="B3049" t="s">
        <v>372</v>
      </c>
      <c r="C3049" t="s">
        <v>868</v>
      </c>
      <c r="D3049" t="s">
        <v>11</v>
      </c>
      <c r="E3049">
        <v>26</v>
      </c>
      <c r="F3049" s="2">
        <f>DATE(2026,IF(Tabla1[[#This Row],[Mes de Fecha]]="Septiembre",9,10),Tabla1[[#This Row],[Día de Fecha]])</f>
        <v>46291</v>
      </c>
      <c r="G3049">
        <v>1038822751</v>
      </c>
      <c r="H3049" t="s">
        <v>370</v>
      </c>
      <c r="I3049">
        <v>134</v>
      </c>
      <c r="J3049">
        <v>0</v>
      </c>
      <c r="K3049" s="1">
        <v>8023410</v>
      </c>
    </row>
    <row r="3050" spans="1:11" x14ac:dyDescent="0.25">
      <c r="A3050" t="s">
        <v>326</v>
      </c>
      <c r="B3050" t="s">
        <v>372</v>
      </c>
      <c r="C3050" t="s">
        <v>868</v>
      </c>
      <c r="D3050" t="s">
        <v>11</v>
      </c>
      <c r="E3050">
        <v>26</v>
      </c>
      <c r="F3050" s="2">
        <f>DATE(2026,IF(Tabla1[[#This Row],[Mes de Fecha]]="Septiembre",9,10),Tabla1[[#This Row],[Día de Fecha]])</f>
        <v>46291</v>
      </c>
      <c r="G3050">
        <v>1087805009</v>
      </c>
      <c r="H3050" t="s">
        <v>376</v>
      </c>
      <c r="I3050">
        <v>60</v>
      </c>
      <c r="J3050">
        <v>0</v>
      </c>
      <c r="K3050" s="1">
        <v>3222061</v>
      </c>
    </row>
    <row r="3051" spans="1:11" x14ac:dyDescent="0.25">
      <c r="A3051" t="s">
        <v>326</v>
      </c>
      <c r="B3051" t="s">
        <v>372</v>
      </c>
      <c r="C3051" t="s">
        <v>868</v>
      </c>
      <c r="D3051" t="s">
        <v>11</v>
      </c>
      <c r="E3051">
        <v>26</v>
      </c>
      <c r="F3051" s="2">
        <f>DATE(2026,IF(Tabla1[[#This Row],[Mes de Fecha]]="Septiembre",9,10),Tabla1[[#This Row],[Día de Fecha]])</f>
        <v>46291</v>
      </c>
      <c r="G3051">
        <v>1107091497</v>
      </c>
      <c r="H3051" t="s">
        <v>373</v>
      </c>
      <c r="I3051">
        <v>1</v>
      </c>
      <c r="J3051">
        <v>0</v>
      </c>
      <c r="K3051" s="1">
        <v>29370</v>
      </c>
    </row>
    <row r="3052" spans="1:11" x14ac:dyDescent="0.25">
      <c r="A3052" t="s">
        <v>326</v>
      </c>
      <c r="B3052" t="s">
        <v>372</v>
      </c>
      <c r="C3052" t="s">
        <v>868</v>
      </c>
      <c r="D3052" t="s">
        <v>11</v>
      </c>
      <c r="E3052">
        <v>26</v>
      </c>
      <c r="F3052" s="2">
        <f>DATE(2026,IF(Tabla1[[#This Row],[Mes de Fecha]]="Septiembre",9,10),Tabla1[[#This Row],[Día de Fecha]])</f>
        <v>46291</v>
      </c>
      <c r="G3052">
        <v>1109667614</v>
      </c>
      <c r="H3052" t="s">
        <v>374</v>
      </c>
      <c r="I3052">
        <v>118</v>
      </c>
      <c r="J3052">
        <v>0</v>
      </c>
      <c r="K3052" s="1">
        <v>6805297</v>
      </c>
    </row>
    <row r="3053" spans="1:11" x14ac:dyDescent="0.25">
      <c r="A3053" t="s">
        <v>326</v>
      </c>
      <c r="B3053" t="s">
        <v>372</v>
      </c>
      <c r="C3053" t="s">
        <v>868</v>
      </c>
      <c r="D3053" t="s">
        <v>11</v>
      </c>
      <c r="E3053">
        <v>26</v>
      </c>
      <c r="F3053" s="2">
        <f>DATE(2026,IF(Tabla1[[#This Row],[Mes de Fecha]]="Septiembre",9,10),Tabla1[[#This Row],[Día de Fecha]])</f>
        <v>46291</v>
      </c>
      <c r="G3053">
        <v>1111480910</v>
      </c>
      <c r="H3053" t="s">
        <v>377</v>
      </c>
      <c r="I3053">
        <v>1</v>
      </c>
      <c r="J3053">
        <v>0</v>
      </c>
      <c r="K3053" s="1">
        <v>31471</v>
      </c>
    </row>
    <row r="3054" spans="1:11" x14ac:dyDescent="0.25">
      <c r="A3054" t="s">
        <v>326</v>
      </c>
      <c r="B3054" t="s">
        <v>372</v>
      </c>
      <c r="C3054" t="s">
        <v>868</v>
      </c>
      <c r="D3054" t="s">
        <v>11</v>
      </c>
      <c r="E3054">
        <v>26</v>
      </c>
      <c r="F3054" s="2">
        <f>DATE(2026,IF(Tabla1[[#This Row],[Mes de Fecha]]="Septiembre",9,10),Tabla1[[#This Row],[Día de Fecha]])</f>
        <v>46291</v>
      </c>
      <c r="G3054">
        <v>1144158340</v>
      </c>
      <c r="H3054" t="s">
        <v>375</v>
      </c>
      <c r="I3054">
        <v>137</v>
      </c>
      <c r="J3054">
        <v>0</v>
      </c>
      <c r="K3054" s="1">
        <v>7831815</v>
      </c>
    </row>
    <row r="3055" spans="1:11" x14ac:dyDescent="0.25">
      <c r="A3055" t="s">
        <v>326</v>
      </c>
      <c r="B3055" t="s">
        <v>372</v>
      </c>
      <c r="C3055" t="s">
        <v>868</v>
      </c>
      <c r="D3055" t="s">
        <v>11</v>
      </c>
      <c r="E3055">
        <v>26</v>
      </c>
      <c r="F3055" s="2">
        <f>DATE(2026,IF(Tabla1[[#This Row],[Mes de Fecha]]="Septiembre",9,10),Tabla1[[#This Row],[Día de Fecha]])</f>
        <v>46291</v>
      </c>
      <c r="G3055">
        <v>1193259913</v>
      </c>
      <c r="H3055" t="s">
        <v>354</v>
      </c>
      <c r="I3055">
        <v>-1</v>
      </c>
      <c r="J3055">
        <v>0</v>
      </c>
      <c r="K3055" s="1">
        <v>-75588</v>
      </c>
    </row>
    <row r="3056" spans="1:11" x14ac:dyDescent="0.25">
      <c r="A3056" t="s">
        <v>326</v>
      </c>
      <c r="B3056" t="s">
        <v>372</v>
      </c>
      <c r="C3056" t="s">
        <v>868</v>
      </c>
      <c r="D3056" t="s">
        <v>11</v>
      </c>
      <c r="E3056">
        <v>27</v>
      </c>
      <c r="F3056" s="2">
        <f>DATE(2026,IF(Tabla1[[#This Row],[Mes de Fecha]]="Septiembre",9,10),Tabla1[[#This Row],[Día de Fecha]])</f>
        <v>46292</v>
      </c>
      <c r="I3056">
        <v>0</v>
      </c>
      <c r="J3056" s="1">
        <v>18804978</v>
      </c>
      <c r="K3056">
        <v>0</v>
      </c>
    </row>
    <row r="3057" spans="1:11" x14ac:dyDescent="0.25">
      <c r="A3057" t="s">
        <v>326</v>
      </c>
      <c r="B3057" t="s">
        <v>372</v>
      </c>
      <c r="C3057" t="s">
        <v>868</v>
      </c>
      <c r="D3057" t="s">
        <v>11</v>
      </c>
      <c r="E3057">
        <v>27</v>
      </c>
      <c r="F3057" s="2">
        <f>DATE(2026,IF(Tabla1[[#This Row],[Mes de Fecha]]="Septiembre",9,10),Tabla1[[#This Row],[Día de Fecha]])</f>
        <v>46292</v>
      </c>
      <c r="G3057">
        <v>1038822751</v>
      </c>
      <c r="H3057" t="s">
        <v>370</v>
      </c>
      <c r="I3057">
        <v>110</v>
      </c>
      <c r="J3057">
        <v>0</v>
      </c>
      <c r="K3057" s="1">
        <v>6282736</v>
      </c>
    </row>
    <row r="3058" spans="1:11" x14ac:dyDescent="0.25">
      <c r="A3058" t="s">
        <v>326</v>
      </c>
      <c r="B3058" t="s">
        <v>372</v>
      </c>
      <c r="C3058" t="s">
        <v>868</v>
      </c>
      <c r="D3058" t="s">
        <v>11</v>
      </c>
      <c r="E3058">
        <v>27</v>
      </c>
      <c r="F3058" s="2">
        <f>DATE(2026,IF(Tabla1[[#This Row],[Mes de Fecha]]="Septiembre",9,10),Tabla1[[#This Row],[Día de Fecha]])</f>
        <v>46292</v>
      </c>
      <c r="G3058">
        <v>1087805009</v>
      </c>
      <c r="H3058" t="s">
        <v>376</v>
      </c>
      <c r="I3058">
        <v>18</v>
      </c>
      <c r="J3058">
        <v>0</v>
      </c>
      <c r="K3058" s="1">
        <v>1335381</v>
      </c>
    </row>
    <row r="3059" spans="1:11" x14ac:dyDescent="0.25">
      <c r="A3059" t="s">
        <v>326</v>
      </c>
      <c r="B3059" t="s">
        <v>372</v>
      </c>
      <c r="C3059" t="s">
        <v>868</v>
      </c>
      <c r="D3059" t="s">
        <v>11</v>
      </c>
      <c r="E3059">
        <v>27</v>
      </c>
      <c r="F3059" s="2">
        <f>DATE(2026,IF(Tabla1[[#This Row],[Mes de Fecha]]="Septiembre",9,10),Tabla1[[#This Row],[Día de Fecha]])</f>
        <v>46292</v>
      </c>
      <c r="G3059">
        <v>1109667614</v>
      </c>
      <c r="H3059" t="s">
        <v>374</v>
      </c>
      <c r="I3059">
        <v>107</v>
      </c>
      <c r="J3059">
        <v>0</v>
      </c>
      <c r="K3059" s="1">
        <v>6373369</v>
      </c>
    </row>
    <row r="3060" spans="1:11" x14ac:dyDescent="0.25">
      <c r="A3060" t="s">
        <v>326</v>
      </c>
      <c r="B3060" t="s">
        <v>372</v>
      </c>
      <c r="C3060" t="s">
        <v>868</v>
      </c>
      <c r="D3060" t="s">
        <v>11</v>
      </c>
      <c r="E3060">
        <v>27</v>
      </c>
      <c r="F3060" s="2">
        <f>DATE(2026,IF(Tabla1[[#This Row],[Mes de Fecha]]="Septiembre",9,10),Tabla1[[#This Row],[Día de Fecha]])</f>
        <v>46292</v>
      </c>
      <c r="G3060">
        <v>1111480910</v>
      </c>
      <c r="H3060" t="s">
        <v>377</v>
      </c>
      <c r="I3060">
        <v>1</v>
      </c>
      <c r="J3060">
        <v>0</v>
      </c>
      <c r="K3060" s="1">
        <v>83992</v>
      </c>
    </row>
    <row r="3061" spans="1:11" x14ac:dyDescent="0.25">
      <c r="A3061" t="s">
        <v>326</v>
      </c>
      <c r="B3061" t="s">
        <v>372</v>
      </c>
      <c r="C3061" t="s">
        <v>868</v>
      </c>
      <c r="D3061" t="s">
        <v>11</v>
      </c>
      <c r="E3061">
        <v>27</v>
      </c>
      <c r="F3061" s="2">
        <f>DATE(2026,IF(Tabla1[[#This Row],[Mes de Fecha]]="Septiembre",9,10),Tabla1[[#This Row],[Día de Fecha]])</f>
        <v>46292</v>
      </c>
      <c r="G3061">
        <v>1144158340</v>
      </c>
      <c r="H3061" t="s">
        <v>375</v>
      </c>
      <c r="I3061">
        <v>79</v>
      </c>
      <c r="J3061">
        <v>0</v>
      </c>
      <c r="K3061" s="1">
        <v>4729500</v>
      </c>
    </row>
    <row r="3062" spans="1:11" x14ac:dyDescent="0.25">
      <c r="A3062" t="s">
        <v>326</v>
      </c>
      <c r="B3062" t="s">
        <v>372</v>
      </c>
      <c r="C3062" t="s">
        <v>868</v>
      </c>
      <c r="D3062" t="s">
        <v>11</v>
      </c>
      <c r="E3062">
        <v>28</v>
      </c>
      <c r="F3062" s="2">
        <f>DATE(2026,IF(Tabla1[[#This Row],[Mes de Fecha]]="Septiembre",9,10),Tabla1[[#This Row],[Día de Fecha]])</f>
        <v>46293</v>
      </c>
      <c r="I3062">
        <v>0</v>
      </c>
      <c r="J3062" s="1">
        <v>10566981</v>
      </c>
      <c r="K3062">
        <v>0</v>
      </c>
    </row>
    <row r="3063" spans="1:11" x14ac:dyDescent="0.25">
      <c r="A3063" t="s">
        <v>326</v>
      </c>
      <c r="B3063" t="s">
        <v>372</v>
      </c>
      <c r="C3063" t="s">
        <v>868</v>
      </c>
      <c r="D3063" t="s">
        <v>11</v>
      </c>
      <c r="E3063">
        <v>28</v>
      </c>
      <c r="F3063" s="2">
        <f>DATE(2026,IF(Tabla1[[#This Row],[Mes de Fecha]]="Septiembre",9,10),Tabla1[[#This Row],[Día de Fecha]])</f>
        <v>46293</v>
      </c>
      <c r="G3063">
        <v>1038822751</v>
      </c>
      <c r="H3063" t="s">
        <v>370</v>
      </c>
      <c r="I3063">
        <v>68</v>
      </c>
      <c r="J3063">
        <v>0</v>
      </c>
      <c r="K3063" s="1">
        <v>3665170</v>
      </c>
    </row>
    <row r="3064" spans="1:11" x14ac:dyDescent="0.25">
      <c r="A3064" t="s">
        <v>326</v>
      </c>
      <c r="B3064" t="s">
        <v>372</v>
      </c>
      <c r="C3064" t="s">
        <v>868</v>
      </c>
      <c r="D3064" t="s">
        <v>11</v>
      </c>
      <c r="E3064">
        <v>28</v>
      </c>
      <c r="F3064" s="2">
        <f>DATE(2026,IF(Tabla1[[#This Row],[Mes de Fecha]]="Septiembre",9,10),Tabla1[[#This Row],[Día de Fecha]])</f>
        <v>46293</v>
      </c>
      <c r="G3064">
        <v>1087805009</v>
      </c>
      <c r="H3064" t="s">
        <v>376</v>
      </c>
      <c r="I3064">
        <v>2</v>
      </c>
      <c r="J3064">
        <v>0</v>
      </c>
      <c r="K3064" s="1">
        <v>92353</v>
      </c>
    </row>
    <row r="3065" spans="1:11" x14ac:dyDescent="0.25">
      <c r="A3065" t="s">
        <v>326</v>
      </c>
      <c r="B3065" t="s">
        <v>372</v>
      </c>
      <c r="C3065" t="s">
        <v>868</v>
      </c>
      <c r="D3065" t="s">
        <v>11</v>
      </c>
      <c r="E3065">
        <v>28</v>
      </c>
      <c r="F3065" s="2">
        <f>DATE(2026,IF(Tabla1[[#This Row],[Mes de Fecha]]="Septiembre",9,10),Tabla1[[#This Row],[Día de Fecha]])</f>
        <v>46293</v>
      </c>
      <c r="G3065">
        <v>1109667614</v>
      </c>
      <c r="H3065" t="s">
        <v>374</v>
      </c>
      <c r="I3065">
        <v>68</v>
      </c>
      <c r="J3065">
        <v>0</v>
      </c>
      <c r="K3065" s="1">
        <v>3696643</v>
      </c>
    </row>
    <row r="3066" spans="1:11" x14ac:dyDescent="0.25">
      <c r="A3066" t="s">
        <v>326</v>
      </c>
      <c r="B3066" t="s">
        <v>372</v>
      </c>
      <c r="C3066" t="s">
        <v>868</v>
      </c>
      <c r="D3066" t="s">
        <v>11</v>
      </c>
      <c r="E3066">
        <v>28</v>
      </c>
      <c r="F3066" s="2">
        <f>DATE(2026,IF(Tabla1[[#This Row],[Mes de Fecha]]="Septiembre",9,10),Tabla1[[#This Row],[Día de Fecha]])</f>
        <v>46293</v>
      </c>
      <c r="G3066">
        <v>1113689444</v>
      </c>
      <c r="H3066" t="s">
        <v>378</v>
      </c>
      <c r="I3066">
        <v>-1</v>
      </c>
      <c r="J3066">
        <v>0</v>
      </c>
      <c r="K3066" s="1">
        <v>-71386</v>
      </c>
    </row>
    <row r="3067" spans="1:11" x14ac:dyDescent="0.25">
      <c r="A3067" t="s">
        <v>326</v>
      </c>
      <c r="B3067" t="s">
        <v>372</v>
      </c>
      <c r="C3067" t="s">
        <v>868</v>
      </c>
      <c r="D3067" t="s">
        <v>11</v>
      </c>
      <c r="E3067">
        <v>28</v>
      </c>
      <c r="F3067" s="2">
        <f>DATE(2026,IF(Tabla1[[#This Row],[Mes de Fecha]]="Septiembre",9,10),Tabla1[[#This Row],[Día de Fecha]])</f>
        <v>46293</v>
      </c>
      <c r="G3067">
        <v>1144085357</v>
      </c>
      <c r="H3067" t="s">
        <v>379</v>
      </c>
      <c r="I3067">
        <v>-1</v>
      </c>
      <c r="J3067">
        <v>0</v>
      </c>
      <c r="K3067" s="1">
        <v>-46177</v>
      </c>
    </row>
    <row r="3068" spans="1:11" x14ac:dyDescent="0.25">
      <c r="A3068" t="s">
        <v>326</v>
      </c>
      <c r="B3068" t="s">
        <v>372</v>
      </c>
      <c r="C3068" t="s">
        <v>868</v>
      </c>
      <c r="D3068" t="s">
        <v>11</v>
      </c>
      <c r="E3068">
        <v>28</v>
      </c>
      <c r="F3068" s="2">
        <f>DATE(2026,IF(Tabla1[[#This Row],[Mes de Fecha]]="Septiembre",9,10),Tabla1[[#This Row],[Día de Fecha]])</f>
        <v>46293</v>
      </c>
      <c r="G3068">
        <v>1144158340</v>
      </c>
      <c r="H3068" t="s">
        <v>375</v>
      </c>
      <c r="I3068">
        <v>62</v>
      </c>
      <c r="J3068">
        <v>0</v>
      </c>
      <c r="K3068" s="1">
        <v>3230379</v>
      </c>
    </row>
    <row r="3069" spans="1:11" x14ac:dyDescent="0.25">
      <c r="A3069" t="s">
        <v>326</v>
      </c>
      <c r="B3069" t="s">
        <v>372</v>
      </c>
      <c r="C3069" t="s">
        <v>868</v>
      </c>
      <c r="D3069" t="s">
        <v>11</v>
      </c>
      <c r="E3069">
        <v>29</v>
      </c>
      <c r="F3069" s="2">
        <f>DATE(2026,IF(Tabla1[[#This Row],[Mes de Fecha]]="Septiembre",9,10),Tabla1[[#This Row],[Día de Fecha]])</f>
        <v>46294</v>
      </c>
      <c r="I3069">
        <v>0</v>
      </c>
      <c r="J3069" s="1">
        <v>9057488</v>
      </c>
      <c r="K3069">
        <v>0</v>
      </c>
    </row>
    <row r="3070" spans="1:11" x14ac:dyDescent="0.25">
      <c r="A3070" t="s">
        <v>326</v>
      </c>
      <c r="B3070" t="s">
        <v>372</v>
      </c>
      <c r="C3070" t="s">
        <v>868</v>
      </c>
      <c r="D3070" t="s">
        <v>11</v>
      </c>
      <c r="E3070">
        <v>29</v>
      </c>
      <c r="F3070" s="2">
        <f>DATE(2026,IF(Tabla1[[#This Row],[Mes de Fecha]]="Septiembre",9,10),Tabla1[[#This Row],[Día de Fecha]])</f>
        <v>46294</v>
      </c>
      <c r="G3070">
        <v>1038822751</v>
      </c>
      <c r="H3070" t="s">
        <v>370</v>
      </c>
      <c r="I3070">
        <v>58</v>
      </c>
      <c r="J3070">
        <v>0</v>
      </c>
      <c r="K3070" s="1">
        <v>3617273</v>
      </c>
    </row>
    <row r="3071" spans="1:11" x14ac:dyDescent="0.25">
      <c r="A3071" t="s">
        <v>326</v>
      </c>
      <c r="B3071" t="s">
        <v>372</v>
      </c>
      <c r="C3071" t="s">
        <v>868</v>
      </c>
      <c r="D3071" t="s">
        <v>11</v>
      </c>
      <c r="E3071">
        <v>29</v>
      </c>
      <c r="F3071" s="2">
        <f>DATE(2026,IF(Tabla1[[#This Row],[Mes de Fecha]]="Septiembre",9,10),Tabla1[[#This Row],[Día de Fecha]])</f>
        <v>46294</v>
      </c>
      <c r="G3071">
        <v>1109667614</v>
      </c>
      <c r="H3071" t="s">
        <v>374</v>
      </c>
      <c r="I3071">
        <v>48</v>
      </c>
      <c r="J3071">
        <v>0</v>
      </c>
      <c r="K3071" s="1">
        <v>2436849</v>
      </c>
    </row>
    <row r="3072" spans="1:11" x14ac:dyDescent="0.25">
      <c r="A3072" t="s">
        <v>326</v>
      </c>
      <c r="B3072" t="s">
        <v>372</v>
      </c>
      <c r="C3072" t="s">
        <v>868</v>
      </c>
      <c r="D3072" t="s">
        <v>11</v>
      </c>
      <c r="E3072">
        <v>29</v>
      </c>
      <c r="F3072" s="2">
        <f>DATE(2026,IF(Tabla1[[#This Row],[Mes de Fecha]]="Septiembre",9,10),Tabla1[[#This Row],[Día de Fecha]])</f>
        <v>46294</v>
      </c>
      <c r="G3072">
        <v>1111480910</v>
      </c>
      <c r="H3072" t="s">
        <v>377</v>
      </c>
      <c r="I3072">
        <v>2</v>
      </c>
      <c r="J3072">
        <v>0</v>
      </c>
      <c r="K3072" s="1">
        <v>117563</v>
      </c>
    </row>
    <row r="3073" spans="1:11" x14ac:dyDescent="0.25">
      <c r="A3073" t="s">
        <v>326</v>
      </c>
      <c r="B3073" t="s">
        <v>372</v>
      </c>
      <c r="C3073" t="s">
        <v>868</v>
      </c>
      <c r="D3073" t="s">
        <v>11</v>
      </c>
      <c r="E3073">
        <v>29</v>
      </c>
      <c r="F3073" s="2">
        <f>DATE(2026,IF(Tabla1[[#This Row],[Mes de Fecha]]="Septiembre",9,10),Tabla1[[#This Row],[Día de Fecha]])</f>
        <v>46294</v>
      </c>
      <c r="G3073">
        <v>1144158340</v>
      </c>
      <c r="H3073" t="s">
        <v>375</v>
      </c>
      <c r="I3073">
        <v>57</v>
      </c>
      <c r="J3073">
        <v>0</v>
      </c>
      <c r="K3073" s="1">
        <v>2885803</v>
      </c>
    </row>
    <row r="3074" spans="1:11" x14ac:dyDescent="0.25">
      <c r="A3074" t="s">
        <v>326</v>
      </c>
      <c r="B3074" t="s">
        <v>372</v>
      </c>
      <c r="C3074" t="s">
        <v>868</v>
      </c>
      <c r="D3074" t="s">
        <v>11</v>
      </c>
      <c r="E3074">
        <v>30</v>
      </c>
      <c r="F3074" s="2">
        <f>DATE(2026,IF(Tabla1[[#This Row],[Mes de Fecha]]="Septiembre",9,10),Tabla1[[#This Row],[Día de Fecha]])</f>
        <v>46295</v>
      </c>
      <c r="I3074">
        <v>0</v>
      </c>
      <c r="J3074" s="1">
        <v>13137361</v>
      </c>
      <c r="K3074">
        <v>0</v>
      </c>
    </row>
    <row r="3075" spans="1:11" x14ac:dyDescent="0.25">
      <c r="A3075" t="s">
        <v>326</v>
      </c>
      <c r="B3075" t="s">
        <v>372</v>
      </c>
      <c r="C3075" t="s">
        <v>868</v>
      </c>
      <c r="D3075" t="s">
        <v>11</v>
      </c>
      <c r="E3075">
        <v>30</v>
      </c>
      <c r="F3075" s="2">
        <f>DATE(2026,IF(Tabla1[[#This Row],[Mes de Fecha]]="Septiembre",9,10),Tabla1[[#This Row],[Día de Fecha]])</f>
        <v>46295</v>
      </c>
      <c r="G3075">
        <v>1038822751</v>
      </c>
      <c r="H3075" t="s">
        <v>370</v>
      </c>
      <c r="I3075">
        <v>95</v>
      </c>
      <c r="J3075">
        <v>0</v>
      </c>
      <c r="K3075" s="1">
        <v>5573492</v>
      </c>
    </row>
    <row r="3076" spans="1:11" x14ac:dyDescent="0.25">
      <c r="A3076" t="s">
        <v>326</v>
      </c>
      <c r="B3076" t="s">
        <v>372</v>
      </c>
      <c r="C3076" t="s">
        <v>868</v>
      </c>
      <c r="D3076" t="s">
        <v>11</v>
      </c>
      <c r="E3076">
        <v>30</v>
      </c>
      <c r="F3076" s="2">
        <f>DATE(2026,IF(Tabla1[[#This Row],[Mes de Fecha]]="Septiembre",9,10),Tabla1[[#This Row],[Día de Fecha]])</f>
        <v>46295</v>
      </c>
      <c r="G3076">
        <v>1087805009</v>
      </c>
      <c r="H3076" t="s">
        <v>376</v>
      </c>
      <c r="I3076">
        <v>1</v>
      </c>
      <c r="J3076">
        <v>0</v>
      </c>
      <c r="K3076" s="1">
        <v>54580</v>
      </c>
    </row>
    <row r="3077" spans="1:11" x14ac:dyDescent="0.25">
      <c r="A3077" t="s">
        <v>326</v>
      </c>
      <c r="B3077" t="s">
        <v>372</v>
      </c>
      <c r="C3077" t="s">
        <v>868</v>
      </c>
      <c r="D3077" t="s">
        <v>11</v>
      </c>
      <c r="E3077">
        <v>30</v>
      </c>
      <c r="F3077" s="2">
        <f>DATE(2026,IF(Tabla1[[#This Row],[Mes de Fecha]]="Septiembre",9,10),Tabla1[[#This Row],[Día de Fecha]])</f>
        <v>46295</v>
      </c>
      <c r="G3077">
        <v>1109667614</v>
      </c>
      <c r="H3077" t="s">
        <v>374</v>
      </c>
      <c r="I3077">
        <v>81</v>
      </c>
      <c r="J3077">
        <v>0</v>
      </c>
      <c r="K3077" s="1">
        <v>4906139</v>
      </c>
    </row>
    <row r="3078" spans="1:11" x14ac:dyDescent="0.25">
      <c r="A3078" t="s">
        <v>326</v>
      </c>
      <c r="B3078" t="s">
        <v>372</v>
      </c>
      <c r="C3078" t="s">
        <v>868</v>
      </c>
      <c r="D3078" t="s">
        <v>11</v>
      </c>
      <c r="E3078">
        <v>30</v>
      </c>
      <c r="F3078" s="2">
        <f>DATE(2026,IF(Tabla1[[#This Row],[Mes de Fecha]]="Septiembre",9,10),Tabla1[[#This Row],[Día de Fecha]])</f>
        <v>46295</v>
      </c>
      <c r="G3078">
        <v>1144158340</v>
      </c>
      <c r="H3078" t="s">
        <v>375</v>
      </c>
      <c r="I3078">
        <v>42</v>
      </c>
      <c r="J3078">
        <v>0</v>
      </c>
      <c r="K3078" s="1">
        <v>2603152</v>
      </c>
    </row>
    <row r="3079" spans="1:11" x14ac:dyDescent="0.25">
      <c r="A3079" t="s">
        <v>326</v>
      </c>
      <c r="B3079" t="s">
        <v>372</v>
      </c>
      <c r="C3079" t="s">
        <v>868</v>
      </c>
      <c r="D3079" t="s">
        <v>14</v>
      </c>
      <c r="E3079">
        <v>1</v>
      </c>
      <c r="F3079" s="2">
        <f>DATE(2026,IF(Tabla1[[#This Row],[Mes de Fecha]]="Septiembre",9,10),Tabla1[[#This Row],[Día de Fecha]])</f>
        <v>46296</v>
      </c>
      <c r="I3079">
        <v>0</v>
      </c>
      <c r="J3079" s="1">
        <v>14360658</v>
      </c>
      <c r="K3079">
        <v>0</v>
      </c>
    </row>
    <row r="3080" spans="1:11" x14ac:dyDescent="0.25">
      <c r="A3080" t="s">
        <v>326</v>
      </c>
      <c r="B3080" t="s">
        <v>372</v>
      </c>
      <c r="C3080" t="s">
        <v>868</v>
      </c>
      <c r="D3080" t="s">
        <v>14</v>
      </c>
      <c r="E3080">
        <v>1</v>
      </c>
      <c r="F3080" s="2">
        <f>DATE(2026,IF(Tabla1[[#This Row],[Mes de Fecha]]="Septiembre",9,10),Tabla1[[#This Row],[Día de Fecha]])</f>
        <v>46296</v>
      </c>
      <c r="G3080">
        <v>1005876499</v>
      </c>
      <c r="H3080" t="s">
        <v>380</v>
      </c>
      <c r="I3080">
        <v>26</v>
      </c>
      <c r="J3080">
        <v>0</v>
      </c>
      <c r="K3080" s="1">
        <v>1252984</v>
      </c>
    </row>
    <row r="3081" spans="1:11" x14ac:dyDescent="0.25">
      <c r="A3081" t="s">
        <v>326</v>
      </c>
      <c r="B3081" t="s">
        <v>372</v>
      </c>
      <c r="C3081" t="s">
        <v>868</v>
      </c>
      <c r="D3081" t="s">
        <v>14</v>
      </c>
      <c r="E3081">
        <v>1</v>
      </c>
      <c r="F3081" s="2">
        <f>DATE(2026,IF(Tabla1[[#This Row],[Mes de Fecha]]="Septiembre",9,10),Tabla1[[#This Row],[Día de Fecha]])</f>
        <v>46296</v>
      </c>
      <c r="G3081">
        <v>1038822751</v>
      </c>
      <c r="H3081" t="s">
        <v>370</v>
      </c>
      <c r="I3081">
        <v>22</v>
      </c>
      <c r="J3081">
        <v>0</v>
      </c>
      <c r="K3081" s="1">
        <v>1175547</v>
      </c>
    </row>
    <row r="3082" spans="1:11" x14ac:dyDescent="0.25">
      <c r="A3082" t="s">
        <v>326</v>
      </c>
      <c r="B3082" t="s">
        <v>372</v>
      </c>
      <c r="C3082" t="s">
        <v>868</v>
      </c>
      <c r="D3082" t="s">
        <v>14</v>
      </c>
      <c r="E3082">
        <v>1</v>
      </c>
      <c r="F3082" s="2">
        <f>DATE(2026,IF(Tabla1[[#This Row],[Mes de Fecha]]="Septiembre",9,10),Tabla1[[#This Row],[Día de Fecha]])</f>
        <v>46296</v>
      </c>
      <c r="G3082">
        <v>1087805009</v>
      </c>
      <c r="H3082" t="s">
        <v>376</v>
      </c>
      <c r="I3082">
        <v>68</v>
      </c>
      <c r="J3082">
        <v>0</v>
      </c>
      <c r="K3082" s="1">
        <v>3404581</v>
      </c>
    </row>
    <row r="3083" spans="1:11" x14ac:dyDescent="0.25">
      <c r="A3083" t="s">
        <v>326</v>
      </c>
      <c r="B3083" t="s">
        <v>372</v>
      </c>
      <c r="C3083" t="s">
        <v>868</v>
      </c>
      <c r="D3083" t="s">
        <v>14</v>
      </c>
      <c r="E3083">
        <v>1</v>
      </c>
      <c r="F3083" s="2">
        <f>DATE(2026,IF(Tabla1[[#This Row],[Mes de Fecha]]="Septiembre",9,10),Tabla1[[#This Row],[Día de Fecha]])</f>
        <v>46296</v>
      </c>
      <c r="G3083">
        <v>1109667614</v>
      </c>
      <c r="H3083" t="s">
        <v>374</v>
      </c>
      <c r="I3083">
        <v>-1</v>
      </c>
      <c r="J3083">
        <v>0</v>
      </c>
      <c r="K3083" s="1">
        <v>-29370</v>
      </c>
    </row>
    <row r="3084" spans="1:11" x14ac:dyDescent="0.25">
      <c r="A3084" t="s">
        <v>326</v>
      </c>
      <c r="B3084" t="s">
        <v>372</v>
      </c>
      <c r="C3084" t="s">
        <v>868</v>
      </c>
      <c r="D3084" t="s">
        <v>14</v>
      </c>
      <c r="E3084">
        <v>1</v>
      </c>
      <c r="F3084" s="2">
        <f>DATE(2026,IF(Tabla1[[#This Row],[Mes de Fecha]]="Septiembre",9,10),Tabla1[[#This Row],[Día de Fecha]])</f>
        <v>46296</v>
      </c>
      <c r="G3084">
        <v>1144158340</v>
      </c>
      <c r="H3084" t="s">
        <v>375</v>
      </c>
      <c r="I3084">
        <v>82</v>
      </c>
      <c r="J3084">
        <v>0</v>
      </c>
      <c r="K3084" s="1">
        <v>4452364</v>
      </c>
    </row>
    <row r="3085" spans="1:11" x14ac:dyDescent="0.25">
      <c r="A3085" t="s">
        <v>326</v>
      </c>
      <c r="B3085" t="s">
        <v>372</v>
      </c>
      <c r="C3085" t="s">
        <v>868</v>
      </c>
      <c r="D3085" t="s">
        <v>14</v>
      </c>
      <c r="E3085">
        <v>2</v>
      </c>
      <c r="F3085" s="2">
        <f>DATE(2026,IF(Tabla1[[#This Row],[Mes de Fecha]]="Septiembre",9,10),Tabla1[[#This Row],[Día de Fecha]])</f>
        <v>46297</v>
      </c>
      <c r="I3085">
        <v>0</v>
      </c>
      <c r="J3085" s="1">
        <v>10929923</v>
      </c>
      <c r="K3085">
        <v>0</v>
      </c>
    </row>
    <row r="3086" spans="1:11" x14ac:dyDescent="0.25">
      <c r="A3086" t="s">
        <v>326</v>
      </c>
      <c r="B3086" t="s">
        <v>372</v>
      </c>
      <c r="C3086" t="s">
        <v>868</v>
      </c>
      <c r="D3086" t="s">
        <v>14</v>
      </c>
      <c r="E3086">
        <v>2</v>
      </c>
      <c r="F3086" s="2">
        <f>DATE(2026,IF(Tabla1[[#This Row],[Mes de Fecha]]="Septiembre",9,10),Tabla1[[#This Row],[Día de Fecha]])</f>
        <v>46297</v>
      </c>
      <c r="G3086">
        <v>1004879853</v>
      </c>
      <c r="H3086" t="s">
        <v>381</v>
      </c>
      <c r="I3086">
        <v>-1</v>
      </c>
      <c r="J3086">
        <v>0</v>
      </c>
      <c r="K3086" s="1">
        <v>-62983</v>
      </c>
    </row>
    <row r="3087" spans="1:11" x14ac:dyDescent="0.25">
      <c r="A3087" t="s">
        <v>326</v>
      </c>
      <c r="B3087" t="s">
        <v>372</v>
      </c>
      <c r="C3087" t="s">
        <v>868</v>
      </c>
      <c r="D3087" t="s">
        <v>14</v>
      </c>
      <c r="E3087">
        <v>2</v>
      </c>
      <c r="F3087" s="2">
        <f>DATE(2026,IF(Tabla1[[#This Row],[Mes de Fecha]]="Septiembre",9,10),Tabla1[[#This Row],[Día de Fecha]])</f>
        <v>46297</v>
      </c>
      <c r="G3087">
        <v>1005876499</v>
      </c>
      <c r="H3087" t="s">
        <v>380</v>
      </c>
      <c r="I3087">
        <v>61</v>
      </c>
      <c r="J3087">
        <v>0</v>
      </c>
      <c r="K3087" s="1">
        <v>3820843</v>
      </c>
    </row>
    <row r="3088" spans="1:11" x14ac:dyDescent="0.25">
      <c r="A3088" t="s">
        <v>326</v>
      </c>
      <c r="B3088" t="s">
        <v>372</v>
      </c>
      <c r="C3088" t="s">
        <v>868</v>
      </c>
      <c r="D3088" t="s">
        <v>14</v>
      </c>
      <c r="E3088">
        <v>2</v>
      </c>
      <c r="F3088" s="2">
        <f>DATE(2026,IF(Tabla1[[#This Row],[Mes de Fecha]]="Septiembre",9,10),Tabla1[[#This Row],[Día de Fecha]])</f>
        <v>46297</v>
      </c>
      <c r="G3088">
        <v>1087805009</v>
      </c>
      <c r="H3088" t="s">
        <v>376</v>
      </c>
      <c r="I3088">
        <v>48</v>
      </c>
      <c r="J3088">
        <v>0</v>
      </c>
      <c r="K3088" s="1">
        <v>3039961</v>
      </c>
    </row>
    <row r="3089" spans="1:11" x14ac:dyDescent="0.25">
      <c r="A3089" t="s">
        <v>326</v>
      </c>
      <c r="B3089" t="s">
        <v>372</v>
      </c>
      <c r="C3089" t="s">
        <v>868</v>
      </c>
      <c r="D3089" t="s">
        <v>14</v>
      </c>
      <c r="E3089">
        <v>2</v>
      </c>
      <c r="F3089" s="2">
        <f>DATE(2026,IF(Tabla1[[#This Row],[Mes de Fecha]]="Septiembre",9,10),Tabla1[[#This Row],[Día de Fecha]])</f>
        <v>46297</v>
      </c>
      <c r="G3089">
        <v>1109667614</v>
      </c>
      <c r="H3089" t="s">
        <v>374</v>
      </c>
      <c r="I3089">
        <v>43</v>
      </c>
      <c r="J3089">
        <v>0</v>
      </c>
      <c r="K3089" s="1">
        <v>2735337</v>
      </c>
    </row>
    <row r="3090" spans="1:11" x14ac:dyDescent="0.25">
      <c r="A3090" t="s">
        <v>326</v>
      </c>
      <c r="B3090" t="s">
        <v>372</v>
      </c>
      <c r="C3090" t="s">
        <v>868</v>
      </c>
      <c r="D3090" t="s">
        <v>14</v>
      </c>
      <c r="E3090">
        <v>2</v>
      </c>
      <c r="F3090" s="2">
        <f>DATE(2026,IF(Tabla1[[#This Row],[Mes de Fecha]]="Septiembre",9,10),Tabla1[[#This Row],[Día de Fecha]])</f>
        <v>46297</v>
      </c>
      <c r="G3090">
        <v>1143413580</v>
      </c>
      <c r="H3090" t="s">
        <v>382</v>
      </c>
      <c r="I3090">
        <v>-2</v>
      </c>
      <c r="J3090">
        <v>0</v>
      </c>
      <c r="K3090" s="1">
        <v>-117563</v>
      </c>
    </row>
    <row r="3091" spans="1:11" x14ac:dyDescent="0.25">
      <c r="A3091" t="s">
        <v>326</v>
      </c>
      <c r="B3091" t="s">
        <v>372</v>
      </c>
      <c r="C3091" t="s">
        <v>868</v>
      </c>
      <c r="D3091" t="s">
        <v>14</v>
      </c>
      <c r="E3091">
        <v>2</v>
      </c>
      <c r="F3091" s="2">
        <f>DATE(2026,IF(Tabla1[[#This Row],[Mes de Fecha]]="Septiembre",9,10),Tabla1[[#This Row],[Día de Fecha]])</f>
        <v>46297</v>
      </c>
      <c r="G3091">
        <v>1144158340</v>
      </c>
      <c r="H3091" t="s">
        <v>375</v>
      </c>
      <c r="I3091">
        <v>93</v>
      </c>
      <c r="J3091">
        <v>0</v>
      </c>
      <c r="K3091" s="1">
        <v>5172398</v>
      </c>
    </row>
    <row r="3092" spans="1:11" x14ac:dyDescent="0.25">
      <c r="A3092" t="s">
        <v>326</v>
      </c>
      <c r="B3092" t="s">
        <v>372</v>
      </c>
      <c r="C3092" t="s">
        <v>868</v>
      </c>
      <c r="D3092" t="s">
        <v>14</v>
      </c>
      <c r="E3092">
        <v>3</v>
      </c>
      <c r="F3092" s="2">
        <f>DATE(2026,IF(Tabla1[[#This Row],[Mes de Fecha]]="Septiembre",9,10),Tabla1[[#This Row],[Día de Fecha]])</f>
        <v>46298</v>
      </c>
      <c r="I3092">
        <v>0</v>
      </c>
      <c r="J3092" s="1">
        <v>20903751</v>
      </c>
      <c r="K3092">
        <v>0</v>
      </c>
    </row>
    <row r="3093" spans="1:11" x14ac:dyDescent="0.25">
      <c r="A3093" t="s">
        <v>326</v>
      </c>
      <c r="B3093" t="s">
        <v>372</v>
      </c>
      <c r="C3093" t="s">
        <v>868</v>
      </c>
      <c r="D3093" t="s">
        <v>14</v>
      </c>
      <c r="E3093">
        <v>3</v>
      </c>
      <c r="F3093" s="2">
        <f>DATE(2026,IF(Tabla1[[#This Row],[Mes de Fecha]]="Septiembre",9,10),Tabla1[[#This Row],[Día de Fecha]])</f>
        <v>46298</v>
      </c>
      <c r="G3093">
        <v>1038822751</v>
      </c>
      <c r="H3093" t="s">
        <v>370</v>
      </c>
      <c r="I3093">
        <v>162</v>
      </c>
      <c r="J3093">
        <v>0</v>
      </c>
      <c r="K3093" s="1">
        <v>8464506</v>
      </c>
    </row>
    <row r="3094" spans="1:11" x14ac:dyDescent="0.25">
      <c r="A3094" t="s">
        <v>326</v>
      </c>
      <c r="B3094" t="s">
        <v>372</v>
      </c>
      <c r="C3094" t="s">
        <v>868</v>
      </c>
      <c r="D3094" t="s">
        <v>14</v>
      </c>
      <c r="E3094">
        <v>3</v>
      </c>
      <c r="F3094" s="2">
        <f>DATE(2026,IF(Tabla1[[#This Row],[Mes de Fecha]]="Septiembre",9,10),Tabla1[[#This Row],[Día de Fecha]])</f>
        <v>46298</v>
      </c>
      <c r="G3094">
        <v>1087805009</v>
      </c>
      <c r="H3094" t="s">
        <v>376</v>
      </c>
      <c r="I3094">
        <v>4</v>
      </c>
      <c r="J3094">
        <v>0</v>
      </c>
      <c r="K3094" s="1">
        <v>188950</v>
      </c>
    </row>
    <row r="3095" spans="1:11" x14ac:dyDescent="0.25">
      <c r="A3095" t="s">
        <v>326</v>
      </c>
      <c r="B3095" t="s">
        <v>372</v>
      </c>
      <c r="C3095" t="s">
        <v>868</v>
      </c>
      <c r="D3095" t="s">
        <v>14</v>
      </c>
      <c r="E3095">
        <v>3</v>
      </c>
      <c r="F3095" s="2">
        <f>DATE(2026,IF(Tabla1[[#This Row],[Mes de Fecha]]="Septiembre",9,10),Tabla1[[#This Row],[Día de Fecha]])</f>
        <v>46298</v>
      </c>
      <c r="G3095">
        <v>1109667614</v>
      </c>
      <c r="H3095" t="s">
        <v>374</v>
      </c>
      <c r="I3095">
        <v>114</v>
      </c>
      <c r="J3095">
        <v>0</v>
      </c>
      <c r="K3095" s="1">
        <v>6151333</v>
      </c>
    </row>
    <row r="3096" spans="1:11" x14ac:dyDescent="0.25">
      <c r="A3096" t="s">
        <v>326</v>
      </c>
      <c r="B3096" t="s">
        <v>372</v>
      </c>
      <c r="C3096" t="s">
        <v>868</v>
      </c>
      <c r="D3096" t="s">
        <v>14</v>
      </c>
      <c r="E3096">
        <v>3</v>
      </c>
      <c r="F3096" s="2">
        <f>DATE(2026,IF(Tabla1[[#This Row],[Mes de Fecha]]="Septiembre",9,10),Tabla1[[#This Row],[Día de Fecha]])</f>
        <v>46298</v>
      </c>
      <c r="G3096">
        <v>1144158340</v>
      </c>
      <c r="H3096" t="s">
        <v>375</v>
      </c>
      <c r="I3096">
        <v>101</v>
      </c>
      <c r="J3096">
        <v>0</v>
      </c>
      <c r="K3096" s="1">
        <v>5560783</v>
      </c>
    </row>
    <row r="3097" spans="1:11" x14ac:dyDescent="0.25">
      <c r="A3097" t="s">
        <v>326</v>
      </c>
      <c r="B3097" t="s">
        <v>372</v>
      </c>
      <c r="C3097" t="s">
        <v>868</v>
      </c>
      <c r="D3097" t="s">
        <v>14</v>
      </c>
      <c r="E3097">
        <v>4</v>
      </c>
      <c r="F3097" s="2">
        <f>DATE(2026,IF(Tabla1[[#This Row],[Mes de Fecha]]="Septiembre",9,10),Tabla1[[#This Row],[Día de Fecha]])</f>
        <v>46299</v>
      </c>
      <c r="I3097">
        <v>0</v>
      </c>
      <c r="J3097" s="1">
        <v>15486170</v>
      </c>
      <c r="K3097">
        <v>0</v>
      </c>
    </row>
    <row r="3098" spans="1:11" x14ac:dyDescent="0.25">
      <c r="A3098" t="s">
        <v>326</v>
      </c>
      <c r="B3098" t="s">
        <v>372</v>
      </c>
      <c r="C3098" t="s">
        <v>868</v>
      </c>
      <c r="D3098" t="s">
        <v>14</v>
      </c>
      <c r="E3098">
        <v>4</v>
      </c>
      <c r="F3098" s="2">
        <f>DATE(2026,IF(Tabla1[[#This Row],[Mes de Fecha]]="Septiembre",9,10),Tabla1[[#This Row],[Día de Fecha]])</f>
        <v>46299</v>
      </c>
      <c r="G3098">
        <v>1038822751</v>
      </c>
      <c r="H3098" t="s">
        <v>370</v>
      </c>
      <c r="I3098">
        <v>123</v>
      </c>
      <c r="J3098">
        <v>0</v>
      </c>
      <c r="K3098" s="1">
        <v>7322360</v>
      </c>
    </row>
    <row r="3099" spans="1:11" x14ac:dyDescent="0.25">
      <c r="A3099" t="s">
        <v>326</v>
      </c>
      <c r="B3099" t="s">
        <v>372</v>
      </c>
      <c r="C3099" t="s">
        <v>868</v>
      </c>
      <c r="D3099" t="s">
        <v>14</v>
      </c>
      <c r="E3099">
        <v>4</v>
      </c>
      <c r="F3099" s="2">
        <f>DATE(2026,IF(Tabla1[[#This Row],[Mes de Fecha]]="Septiembre",9,10),Tabla1[[#This Row],[Día de Fecha]])</f>
        <v>46299</v>
      </c>
      <c r="G3099">
        <v>1061716853</v>
      </c>
      <c r="H3099" t="s">
        <v>333</v>
      </c>
      <c r="I3099">
        <v>-2</v>
      </c>
      <c r="J3099">
        <v>0</v>
      </c>
      <c r="K3099" s="1">
        <v>-80605</v>
      </c>
    </row>
    <row r="3100" spans="1:11" x14ac:dyDescent="0.25">
      <c r="A3100" t="s">
        <v>326</v>
      </c>
      <c r="B3100" t="s">
        <v>372</v>
      </c>
      <c r="C3100" t="s">
        <v>868</v>
      </c>
      <c r="D3100" t="s">
        <v>14</v>
      </c>
      <c r="E3100">
        <v>4</v>
      </c>
      <c r="F3100" s="2">
        <f>DATE(2026,IF(Tabla1[[#This Row],[Mes de Fecha]]="Septiembre",9,10),Tabla1[[#This Row],[Día de Fecha]])</f>
        <v>46299</v>
      </c>
      <c r="G3100">
        <v>1087805009</v>
      </c>
      <c r="H3100" t="s">
        <v>376</v>
      </c>
      <c r="I3100">
        <v>49</v>
      </c>
      <c r="J3100">
        <v>0</v>
      </c>
      <c r="K3100" s="1">
        <v>3174373</v>
      </c>
    </row>
    <row r="3101" spans="1:11" x14ac:dyDescent="0.25">
      <c r="A3101" t="s">
        <v>326</v>
      </c>
      <c r="B3101" t="s">
        <v>372</v>
      </c>
      <c r="C3101" t="s">
        <v>868</v>
      </c>
      <c r="D3101" t="s">
        <v>14</v>
      </c>
      <c r="E3101">
        <v>4</v>
      </c>
      <c r="F3101" s="2">
        <f>DATE(2026,IF(Tabla1[[#This Row],[Mes de Fecha]]="Septiembre",9,10),Tabla1[[#This Row],[Día de Fecha]])</f>
        <v>46299</v>
      </c>
      <c r="G3101">
        <v>1109667614</v>
      </c>
      <c r="H3101" t="s">
        <v>374</v>
      </c>
      <c r="I3101">
        <v>74</v>
      </c>
      <c r="J3101">
        <v>0</v>
      </c>
      <c r="K3101" s="1">
        <v>4355847</v>
      </c>
    </row>
    <row r="3102" spans="1:11" x14ac:dyDescent="0.25">
      <c r="A3102" t="s">
        <v>326</v>
      </c>
      <c r="B3102" t="s">
        <v>372</v>
      </c>
      <c r="C3102" t="s">
        <v>868</v>
      </c>
      <c r="D3102" t="s">
        <v>14</v>
      </c>
      <c r="E3102">
        <v>4</v>
      </c>
      <c r="F3102" s="2">
        <f>DATE(2026,IF(Tabla1[[#This Row],[Mes de Fecha]]="Septiembre",9,10),Tabla1[[#This Row],[Día de Fecha]])</f>
        <v>46299</v>
      </c>
      <c r="G3102">
        <v>1144158340</v>
      </c>
      <c r="H3102" t="s">
        <v>375</v>
      </c>
      <c r="I3102">
        <v>101</v>
      </c>
      <c r="J3102">
        <v>0</v>
      </c>
      <c r="K3102" s="1">
        <v>6127862</v>
      </c>
    </row>
    <row r="3103" spans="1:11" x14ac:dyDescent="0.25">
      <c r="A3103" t="s">
        <v>326</v>
      </c>
      <c r="B3103" t="s">
        <v>372</v>
      </c>
      <c r="C3103" t="s">
        <v>868</v>
      </c>
      <c r="D3103" t="s">
        <v>14</v>
      </c>
      <c r="E3103">
        <v>5</v>
      </c>
      <c r="F3103" s="2">
        <f>DATE(2026,IF(Tabla1[[#This Row],[Mes de Fecha]]="Septiembre",9,10),Tabla1[[#This Row],[Día de Fecha]])</f>
        <v>46300</v>
      </c>
      <c r="I3103">
        <v>0</v>
      </c>
      <c r="J3103" s="1">
        <v>11728617</v>
      </c>
      <c r="K3103">
        <v>0</v>
      </c>
    </row>
    <row r="3104" spans="1:11" x14ac:dyDescent="0.25">
      <c r="A3104" t="s">
        <v>326</v>
      </c>
      <c r="B3104" t="s">
        <v>372</v>
      </c>
      <c r="C3104" t="s">
        <v>868</v>
      </c>
      <c r="D3104" t="s">
        <v>14</v>
      </c>
      <c r="E3104">
        <v>5</v>
      </c>
      <c r="F3104" s="2">
        <f>DATE(2026,IF(Tabla1[[#This Row],[Mes de Fecha]]="Septiembre",9,10),Tabla1[[#This Row],[Día de Fecha]])</f>
        <v>46300</v>
      </c>
      <c r="G3104">
        <v>1004006497</v>
      </c>
      <c r="H3104" t="s">
        <v>383</v>
      </c>
      <c r="I3104">
        <v>-1</v>
      </c>
      <c r="J3104">
        <v>0</v>
      </c>
      <c r="K3104" s="1">
        <v>-75588</v>
      </c>
    </row>
    <row r="3105" spans="1:11" x14ac:dyDescent="0.25">
      <c r="A3105" t="s">
        <v>326</v>
      </c>
      <c r="B3105" t="s">
        <v>372</v>
      </c>
      <c r="C3105" t="s">
        <v>868</v>
      </c>
      <c r="D3105" t="s">
        <v>14</v>
      </c>
      <c r="E3105">
        <v>5</v>
      </c>
      <c r="F3105" s="2">
        <f>DATE(2026,IF(Tabla1[[#This Row],[Mes de Fecha]]="Septiembre",9,10),Tabla1[[#This Row],[Día de Fecha]])</f>
        <v>46300</v>
      </c>
      <c r="G3105">
        <v>1005876499</v>
      </c>
      <c r="H3105" t="s">
        <v>380</v>
      </c>
      <c r="I3105">
        <v>0</v>
      </c>
      <c r="J3105">
        <v>0</v>
      </c>
      <c r="K3105" s="1">
        <v>-21008</v>
      </c>
    </row>
    <row r="3106" spans="1:11" x14ac:dyDescent="0.25">
      <c r="A3106" t="s">
        <v>326</v>
      </c>
      <c r="B3106" t="s">
        <v>372</v>
      </c>
      <c r="C3106" t="s">
        <v>868</v>
      </c>
      <c r="D3106" t="s">
        <v>14</v>
      </c>
      <c r="E3106">
        <v>5</v>
      </c>
      <c r="F3106" s="2">
        <f>DATE(2026,IF(Tabla1[[#This Row],[Mes de Fecha]]="Septiembre",9,10),Tabla1[[#This Row],[Día de Fecha]])</f>
        <v>46300</v>
      </c>
      <c r="G3106">
        <v>1038822751</v>
      </c>
      <c r="H3106" t="s">
        <v>370</v>
      </c>
      <c r="I3106">
        <v>111</v>
      </c>
      <c r="J3106">
        <v>0</v>
      </c>
      <c r="K3106" s="1">
        <v>6692611</v>
      </c>
    </row>
    <row r="3107" spans="1:11" x14ac:dyDescent="0.25">
      <c r="A3107" t="s">
        <v>326</v>
      </c>
      <c r="B3107" t="s">
        <v>372</v>
      </c>
      <c r="C3107" t="s">
        <v>868</v>
      </c>
      <c r="D3107" t="s">
        <v>14</v>
      </c>
      <c r="E3107">
        <v>5</v>
      </c>
      <c r="F3107" s="2">
        <f>DATE(2026,IF(Tabla1[[#This Row],[Mes de Fecha]]="Septiembre",9,10),Tabla1[[#This Row],[Día de Fecha]])</f>
        <v>46300</v>
      </c>
      <c r="G3107">
        <v>1087805009</v>
      </c>
      <c r="H3107" t="s">
        <v>376</v>
      </c>
      <c r="I3107">
        <v>20</v>
      </c>
      <c r="J3107">
        <v>0</v>
      </c>
      <c r="K3107" s="1">
        <v>1112564</v>
      </c>
    </row>
    <row r="3108" spans="1:11" x14ac:dyDescent="0.25">
      <c r="A3108" t="s">
        <v>326</v>
      </c>
      <c r="B3108" t="s">
        <v>372</v>
      </c>
      <c r="C3108" t="s">
        <v>868</v>
      </c>
      <c r="D3108" t="s">
        <v>14</v>
      </c>
      <c r="E3108">
        <v>5</v>
      </c>
      <c r="F3108" s="2">
        <f>DATE(2026,IF(Tabla1[[#This Row],[Mes de Fecha]]="Septiembre",9,10),Tabla1[[#This Row],[Día de Fecha]])</f>
        <v>46300</v>
      </c>
      <c r="G3108">
        <v>1107091497</v>
      </c>
      <c r="H3108" t="s">
        <v>373</v>
      </c>
      <c r="I3108">
        <v>-1</v>
      </c>
      <c r="J3108">
        <v>0</v>
      </c>
      <c r="K3108" s="1">
        <v>-62983</v>
      </c>
    </row>
    <row r="3109" spans="1:11" x14ac:dyDescent="0.25">
      <c r="A3109" t="s">
        <v>326</v>
      </c>
      <c r="B3109" t="s">
        <v>372</v>
      </c>
      <c r="C3109" t="s">
        <v>868</v>
      </c>
      <c r="D3109" t="s">
        <v>14</v>
      </c>
      <c r="E3109">
        <v>5</v>
      </c>
      <c r="F3109" s="2">
        <f>DATE(2026,IF(Tabla1[[#This Row],[Mes de Fecha]]="Septiembre",9,10),Tabla1[[#This Row],[Día de Fecha]])</f>
        <v>46300</v>
      </c>
      <c r="G3109">
        <v>1109667614</v>
      </c>
      <c r="H3109" t="s">
        <v>374</v>
      </c>
      <c r="I3109">
        <v>109</v>
      </c>
      <c r="J3109">
        <v>0</v>
      </c>
      <c r="K3109" s="1">
        <v>6245335</v>
      </c>
    </row>
    <row r="3110" spans="1:11" x14ac:dyDescent="0.25">
      <c r="A3110" t="s">
        <v>326</v>
      </c>
      <c r="B3110" t="s">
        <v>372</v>
      </c>
      <c r="C3110" t="s">
        <v>868</v>
      </c>
      <c r="D3110" t="s">
        <v>14</v>
      </c>
      <c r="E3110">
        <v>5</v>
      </c>
      <c r="F3110" s="2">
        <f>DATE(2026,IF(Tabla1[[#This Row],[Mes de Fecha]]="Septiembre",9,10),Tabla1[[#This Row],[Día de Fecha]])</f>
        <v>46300</v>
      </c>
      <c r="G3110">
        <v>1143872360</v>
      </c>
      <c r="H3110" t="s">
        <v>358</v>
      </c>
      <c r="I3110">
        <v>-1</v>
      </c>
      <c r="J3110">
        <v>0</v>
      </c>
      <c r="K3110" s="1">
        <v>-41975</v>
      </c>
    </row>
    <row r="3111" spans="1:11" x14ac:dyDescent="0.25">
      <c r="A3111" t="s">
        <v>326</v>
      </c>
      <c r="B3111" t="s">
        <v>372</v>
      </c>
      <c r="C3111" t="s">
        <v>868</v>
      </c>
      <c r="D3111" t="s">
        <v>14</v>
      </c>
      <c r="E3111">
        <v>5</v>
      </c>
      <c r="F3111" s="2">
        <f>DATE(2026,IF(Tabla1[[#This Row],[Mes de Fecha]]="Septiembre",9,10),Tabla1[[#This Row],[Día de Fecha]])</f>
        <v>46300</v>
      </c>
      <c r="G3111">
        <v>1144158340</v>
      </c>
      <c r="H3111" t="s">
        <v>375</v>
      </c>
      <c r="I3111">
        <v>98</v>
      </c>
      <c r="J3111">
        <v>0</v>
      </c>
      <c r="K3111" s="1">
        <v>5735342</v>
      </c>
    </row>
    <row r="3112" spans="1:11" x14ac:dyDescent="0.25">
      <c r="A3112" t="s">
        <v>326</v>
      </c>
      <c r="B3112" t="s">
        <v>372</v>
      </c>
      <c r="C3112" t="s">
        <v>868</v>
      </c>
      <c r="D3112" t="s">
        <v>14</v>
      </c>
      <c r="E3112">
        <v>6</v>
      </c>
      <c r="F3112" s="2">
        <f>DATE(2026,IF(Tabla1[[#This Row],[Mes de Fecha]]="Septiembre",9,10),Tabla1[[#This Row],[Día de Fecha]])</f>
        <v>46301</v>
      </c>
      <c r="I3112">
        <v>0</v>
      </c>
      <c r="J3112" s="1">
        <v>5408048</v>
      </c>
      <c r="K3112">
        <v>0</v>
      </c>
    </row>
    <row r="3113" spans="1:11" x14ac:dyDescent="0.25">
      <c r="A3113" t="s">
        <v>326</v>
      </c>
      <c r="B3113" t="s">
        <v>372</v>
      </c>
      <c r="C3113" t="s">
        <v>868</v>
      </c>
      <c r="D3113" t="s">
        <v>14</v>
      </c>
      <c r="E3113">
        <v>6</v>
      </c>
      <c r="F3113" s="2">
        <f>DATE(2026,IF(Tabla1[[#This Row],[Mes de Fecha]]="Septiembre",9,10),Tabla1[[#This Row],[Día de Fecha]])</f>
        <v>46301</v>
      </c>
      <c r="G3113">
        <v>1038822751</v>
      </c>
      <c r="H3113" t="s">
        <v>370</v>
      </c>
      <c r="I3113">
        <v>38</v>
      </c>
      <c r="J3113">
        <v>0</v>
      </c>
      <c r="K3113" s="1">
        <v>2263028</v>
      </c>
    </row>
    <row r="3114" spans="1:11" x14ac:dyDescent="0.25">
      <c r="A3114" t="s">
        <v>326</v>
      </c>
      <c r="B3114" t="s">
        <v>372</v>
      </c>
      <c r="C3114" t="s">
        <v>868</v>
      </c>
      <c r="D3114" t="s">
        <v>14</v>
      </c>
      <c r="E3114">
        <v>6</v>
      </c>
      <c r="F3114" s="2">
        <f>DATE(2026,IF(Tabla1[[#This Row],[Mes de Fecha]]="Septiembre",9,10),Tabla1[[#This Row],[Día de Fecha]])</f>
        <v>46301</v>
      </c>
      <c r="G3114">
        <v>1087805009</v>
      </c>
      <c r="H3114" t="s">
        <v>376</v>
      </c>
      <c r="I3114">
        <v>-2</v>
      </c>
      <c r="J3114">
        <v>0</v>
      </c>
      <c r="K3114" s="1">
        <v>-142731</v>
      </c>
    </row>
    <row r="3115" spans="1:11" x14ac:dyDescent="0.25">
      <c r="A3115" t="s">
        <v>326</v>
      </c>
      <c r="B3115" t="s">
        <v>372</v>
      </c>
      <c r="C3115" t="s">
        <v>868</v>
      </c>
      <c r="D3115" t="s">
        <v>14</v>
      </c>
      <c r="E3115">
        <v>6</v>
      </c>
      <c r="F3115" s="2">
        <f>DATE(2026,IF(Tabla1[[#This Row],[Mes de Fecha]]="Septiembre",9,10),Tabla1[[#This Row],[Día de Fecha]])</f>
        <v>46301</v>
      </c>
      <c r="G3115">
        <v>1109667614</v>
      </c>
      <c r="H3115" t="s">
        <v>374</v>
      </c>
      <c r="I3115">
        <v>45</v>
      </c>
      <c r="J3115">
        <v>0</v>
      </c>
      <c r="K3115" s="1">
        <v>2508363</v>
      </c>
    </row>
    <row r="3116" spans="1:11" x14ac:dyDescent="0.25">
      <c r="A3116" t="s">
        <v>326</v>
      </c>
      <c r="B3116" t="s">
        <v>372</v>
      </c>
      <c r="C3116" t="s">
        <v>868</v>
      </c>
      <c r="D3116" t="s">
        <v>14</v>
      </c>
      <c r="E3116">
        <v>6</v>
      </c>
      <c r="F3116" s="2">
        <f>DATE(2026,IF(Tabla1[[#This Row],[Mes de Fecha]]="Septiembre",9,10),Tabla1[[#This Row],[Día de Fecha]])</f>
        <v>46301</v>
      </c>
      <c r="G3116">
        <v>1144158340</v>
      </c>
      <c r="H3116" t="s">
        <v>375</v>
      </c>
      <c r="I3116">
        <v>34</v>
      </c>
      <c r="J3116">
        <v>0</v>
      </c>
      <c r="K3116" s="1">
        <v>1788405</v>
      </c>
    </row>
    <row r="3117" spans="1:11" x14ac:dyDescent="0.25">
      <c r="A3117" t="s">
        <v>326</v>
      </c>
      <c r="B3117" t="s">
        <v>372</v>
      </c>
      <c r="C3117" t="s">
        <v>868</v>
      </c>
      <c r="D3117" t="s">
        <v>14</v>
      </c>
      <c r="E3117">
        <v>6</v>
      </c>
      <c r="F3117" s="2">
        <f>DATE(2026,IF(Tabla1[[#This Row],[Mes de Fecha]]="Septiembre",9,10),Tabla1[[#This Row],[Día de Fecha]])</f>
        <v>46301</v>
      </c>
      <c r="G3117">
        <v>1193259913</v>
      </c>
      <c r="H3117" t="s">
        <v>354</v>
      </c>
      <c r="I3117">
        <v>-1</v>
      </c>
      <c r="J3117">
        <v>0</v>
      </c>
      <c r="K3117" s="1">
        <v>-63832</v>
      </c>
    </row>
    <row r="3118" spans="1:11" x14ac:dyDescent="0.25">
      <c r="A3118" t="s">
        <v>326</v>
      </c>
      <c r="B3118" t="s">
        <v>372</v>
      </c>
      <c r="C3118" t="s">
        <v>868</v>
      </c>
      <c r="D3118" t="s">
        <v>14</v>
      </c>
      <c r="E3118">
        <v>7</v>
      </c>
      <c r="F3118" s="2">
        <f>DATE(2026,IF(Tabla1[[#This Row],[Mes de Fecha]]="Septiembre",9,10),Tabla1[[#This Row],[Día de Fecha]])</f>
        <v>46302</v>
      </c>
      <c r="I3118">
        <v>0</v>
      </c>
      <c r="J3118" s="1">
        <v>5336889</v>
      </c>
      <c r="K3118">
        <v>0</v>
      </c>
    </row>
    <row r="3119" spans="1:11" x14ac:dyDescent="0.25">
      <c r="A3119" t="s">
        <v>326</v>
      </c>
      <c r="B3119" t="s">
        <v>372</v>
      </c>
      <c r="C3119" t="s">
        <v>868</v>
      </c>
      <c r="D3119" t="s">
        <v>14</v>
      </c>
      <c r="E3119">
        <v>7</v>
      </c>
      <c r="F3119" s="2">
        <f>DATE(2026,IF(Tabla1[[#This Row],[Mes de Fecha]]="Septiembre",9,10),Tabla1[[#This Row],[Día de Fecha]])</f>
        <v>46302</v>
      </c>
      <c r="G3119">
        <v>1038822751</v>
      </c>
      <c r="H3119" t="s">
        <v>370</v>
      </c>
      <c r="I3119">
        <v>70</v>
      </c>
      <c r="J3119">
        <v>0</v>
      </c>
      <c r="K3119" s="1">
        <v>4171305</v>
      </c>
    </row>
    <row r="3120" spans="1:11" x14ac:dyDescent="0.25">
      <c r="A3120" t="s">
        <v>326</v>
      </c>
      <c r="B3120" t="s">
        <v>372</v>
      </c>
      <c r="C3120" t="s">
        <v>868</v>
      </c>
      <c r="D3120" t="s">
        <v>14</v>
      </c>
      <c r="E3120">
        <v>7</v>
      </c>
      <c r="F3120" s="2">
        <f>DATE(2026,IF(Tabla1[[#This Row],[Mes de Fecha]]="Septiembre",9,10),Tabla1[[#This Row],[Día de Fecha]])</f>
        <v>46302</v>
      </c>
      <c r="G3120">
        <v>1087805009</v>
      </c>
      <c r="H3120" t="s">
        <v>376</v>
      </c>
      <c r="I3120">
        <v>3</v>
      </c>
      <c r="J3120">
        <v>0</v>
      </c>
      <c r="K3120" s="1">
        <v>176345</v>
      </c>
    </row>
    <row r="3121" spans="1:11" x14ac:dyDescent="0.25">
      <c r="A3121" t="s">
        <v>326</v>
      </c>
      <c r="B3121" t="s">
        <v>372</v>
      </c>
      <c r="C3121" t="s">
        <v>868</v>
      </c>
      <c r="D3121" t="s">
        <v>14</v>
      </c>
      <c r="E3121">
        <v>7</v>
      </c>
      <c r="F3121" s="2">
        <f>DATE(2026,IF(Tabla1[[#This Row],[Mes de Fecha]]="Septiembre",9,10),Tabla1[[#This Row],[Día de Fecha]])</f>
        <v>46302</v>
      </c>
      <c r="G3121">
        <v>1109667614</v>
      </c>
      <c r="H3121" t="s">
        <v>374</v>
      </c>
      <c r="I3121">
        <v>59</v>
      </c>
      <c r="J3121">
        <v>0</v>
      </c>
      <c r="K3121" s="1">
        <v>3602483</v>
      </c>
    </row>
    <row r="3122" spans="1:11" x14ac:dyDescent="0.25">
      <c r="A3122" t="s">
        <v>326</v>
      </c>
      <c r="B3122" t="s">
        <v>387</v>
      </c>
      <c r="C3122" t="s">
        <v>868</v>
      </c>
      <c r="D3122" t="s">
        <v>11</v>
      </c>
      <c r="E3122">
        <v>23</v>
      </c>
      <c r="F3122" s="2">
        <f>DATE(2026,IF(Tabla1[[#This Row],[Mes de Fecha]]="Septiembre",9,10),Tabla1[[#This Row],[Día de Fecha]])</f>
        <v>46288</v>
      </c>
      <c r="I3122">
        <v>0</v>
      </c>
      <c r="J3122" s="1">
        <v>18322183</v>
      </c>
      <c r="K3122">
        <v>0</v>
      </c>
    </row>
    <row r="3123" spans="1:11" x14ac:dyDescent="0.25">
      <c r="A3123" t="s">
        <v>326</v>
      </c>
      <c r="B3123" t="s">
        <v>387</v>
      </c>
      <c r="C3123" t="s">
        <v>868</v>
      </c>
      <c r="D3123" t="s">
        <v>11</v>
      </c>
      <c r="E3123">
        <v>23</v>
      </c>
      <c r="F3123" s="2">
        <f>DATE(2026,IF(Tabla1[[#This Row],[Mes de Fecha]]="Septiembre",9,10),Tabla1[[#This Row],[Día de Fecha]])</f>
        <v>46288</v>
      </c>
      <c r="G3123">
        <v>1061716853</v>
      </c>
      <c r="H3123" t="s">
        <v>333</v>
      </c>
      <c r="I3123">
        <v>88</v>
      </c>
      <c r="J3123">
        <v>0</v>
      </c>
      <c r="K3123" s="1">
        <v>5084497</v>
      </c>
    </row>
    <row r="3124" spans="1:11" x14ac:dyDescent="0.25">
      <c r="A3124" t="s">
        <v>326</v>
      </c>
      <c r="B3124" t="s">
        <v>387</v>
      </c>
      <c r="C3124" t="s">
        <v>868</v>
      </c>
      <c r="D3124" t="s">
        <v>11</v>
      </c>
      <c r="E3124">
        <v>23</v>
      </c>
      <c r="F3124" s="2">
        <f>DATE(2026,IF(Tabla1[[#This Row],[Mes de Fecha]]="Septiembre",9,10),Tabla1[[#This Row],[Día de Fecha]])</f>
        <v>46288</v>
      </c>
      <c r="G3124">
        <v>1107840490</v>
      </c>
      <c r="H3124" t="s">
        <v>353</v>
      </c>
      <c r="I3124">
        <v>87</v>
      </c>
      <c r="J3124">
        <v>0</v>
      </c>
      <c r="K3124" s="1">
        <v>5189627</v>
      </c>
    </row>
    <row r="3125" spans="1:11" x14ac:dyDescent="0.25">
      <c r="A3125" t="s">
        <v>326</v>
      </c>
      <c r="B3125" t="s">
        <v>387</v>
      </c>
      <c r="C3125" t="s">
        <v>868</v>
      </c>
      <c r="D3125" t="s">
        <v>11</v>
      </c>
      <c r="E3125">
        <v>23</v>
      </c>
      <c r="F3125" s="2">
        <f>DATE(2026,IF(Tabla1[[#This Row],[Mes de Fecha]]="Septiembre",9,10),Tabla1[[#This Row],[Día de Fecha]])</f>
        <v>46288</v>
      </c>
      <c r="G3125">
        <v>1144085357</v>
      </c>
      <c r="H3125" t="s">
        <v>379</v>
      </c>
      <c r="I3125">
        <v>94</v>
      </c>
      <c r="J3125">
        <v>0</v>
      </c>
      <c r="K3125" s="1">
        <v>5519080</v>
      </c>
    </row>
    <row r="3126" spans="1:11" x14ac:dyDescent="0.25">
      <c r="A3126" t="s">
        <v>326</v>
      </c>
      <c r="B3126" t="s">
        <v>387</v>
      </c>
      <c r="C3126" t="s">
        <v>868</v>
      </c>
      <c r="D3126" t="s">
        <v>11</v>
      </c>
      <c r="E3126">
        <v>23</v>
      </c>
      <c r="F3126" s="2">
        <f>DATE(2026,IF(Tabla1[[#This Row],[Mes de Fecha]]="Septiembre",9,10),Tabla1[[#This Row],[Día de Fecha]])</f>
        <v>46288</v>
      </c>
      <c r="G3126">
        <v>1193601115</v>
      </c>
      <c r="H3126" t="s">
        <v>384</v>
      </c>
      <c r="I3126">
        <v>38</v>
      </c>
      <c r="J3126">
        <v>0</v>
      </c>
      <c r="K3126" s="1">
        <v>2574034</v>
      </c>
    </row>
    <row r="3127" spans="1:11" x14ac:dyDescent="0.25">
      <c r="A3127" t="s">
        <v>326</v>
      </c>
      <c r="B3127" t="s">
        <v>387</v>
      </c>
      <c r="C3127" t="s">
        <v>868</v>
      </c>
      <c r="D3127" t="s">
        <v>11</v>
      </c>
      <c r="E3127">
        <v>24</v>
      </c>
      <c r="F3127" s="2">
        <f>DATE(2026,IF(Tabla1[[#This Row],[Mes de Fecha]]="Septiembre",9,10),Tabla1[[#This Row],[Día de Fecha]])</f>
        <v>46289</v>
      </c>
      <c r="I3127">
        <v>0</v>
      </c>
      <c r="J3127" s="1">
        <v>27989196</v>
      </c>
      <c r="K3127">
        <v>0</v>
      </c>
    </row>
    <row r="3128" spans="1:11" x14ac:dyDescent="0.25">
      <c r="A3128" t="s">
        <v>326</v>
      </c>
      <c r="B3128" t="s">
        <v>387</v>
      </c>
      <c r="C3128" t="s">
        <v>868</v>
      </c>
      <c r="D3128" t="s">
        <v>11</v>
      </c>
      <c r="E3128">
        <v>24</v>
      </c>
      <c r="F3128" s="2">
        <f>DATE(2026,IF(Tabla1[[#This Row],[Mes de Fecha]]="Septiembre",9,10),Tabla1[[#This Row],[Día de Fecha]])</f>
        <v>46289</v>
      </c>
      <c r="G3128">
        <v>1061716853</v>
      </c>
      <c r="H3128" t="s">
        <v>333</v>
      </c>
      <c r="I3128">
        <v>111</v>
      </c>
      <c r="J3128">
        <v>0</v>
      </c>
      <c r="K3128" s="1">
        <v>7115087</v>
      </c>
    </row>
    <row r="3129" spans="1:11" x14ac:dyDescent="0.25">
      <c r="A3129" t="s">
        <v>326</v>
      </c>
      <c r="B3129" t="s">
        <v>387</v>
      </c>
      <c r="C3129" t="s">
        <v>868</v>
      </c>
      <c r="D3129" t="s">
        <v>11</v>
      </c>
      <c r="E3129">
        <v>24</v>
      </c>
      <c r="F3129" s="2">
        <f>DATE(2026,IF(Tabla1[[#This Row],[Mes de Fecha]]="Septiembre",9,10),Tabla1[[#This Row],[Día de Fecha]])</f>
        <v>46289</v>
      </c>
      <c r="G3129">
        <v>1107840490</v>
      </c>
      <c r="H3129" t="s">
        <v>353</v>
      </c>
      <c r="I3129">
        <v>125</v>
      </c>
      <c r="J3129">
        <v>0</v>
      </c>
      <c r="K3129" s="1">
        <v>6961143</v>
      </c>
    </row>
    <row r="3130" spans="1:11" x14ac:dyDescent="0.25">
      <c r="A3130" t="s">
        <v>326</v>
      </c>
      <c r="B3130" t="s">
        <v>387</v>
      </c>
      <c r="C3130" t="s">
        <v>868</v>
      </c>
      <c r="D3130" t="s">
        <v>11</v>
      </c>
      <c r="E3130">
        <v>24</v>
      </c>
      <c r="F3130" s="2">
        <f>DATE(2026,IF(Tabla1[[#This Row],[Mes de Fecha]]="Septiembre",9,10),Tabla1[[#This Row],[Día de Fecha]])</f>
        <v>46289</v>
      </c>
      <c r="G3130">
        <v>1144085357</v>
      </c>
      <c r="H3130" t="s">
        <v>379</v>
      </c>
      <c r="I3130">
        <v>108</v>
      </c>
      <c r="J3130">
        <v>0</v>
      </c>
      <c r="K3130" s="1">
        <v>6924040</v>
      </c>
    </row>
    <row r="3131" spans="1:11" x14ac:dyDescent="0.25">
      <c r="A3131" t="s">
        <v>326</v>
      </c>
      <c r="B3131" t="s">
        <v>387</v>
      </c>
      <c r="C3131" t="s">
        <v>868</v>
      </c>
      <c r="D3131" t="s">
        <v>11</v>
      </c>
      <c r="E3131">
        <v>24</v>
      </c>
      <c r="F3131" s="2">
        <f>DATE(2026,IF(Tabla1[[#This Row],[Mes de Fecha]]="Septiembre",9,10),Tabla1[[#This Row],[Día de Fecha]])</f>
        <v>46289</v>
      </c>
      <c r="G3131">
        <v>1144212178</v>
      </c>
      <c r="H3131" t="s">
        <v>336</v>
      </c>
      <c r="I3131">
        <v>-1</v>
      </c>
      <c r="J3131">
        <v>0</v>
      </c>
      <c r="K3131" s="1">
        <v>-67185</v>
      </c>
    </row>
    <row r="3132" spans="1:11" x14ac:dyDescent="0.25">
      <c r="A3132" t="s">
        <v>326</v>
      </c>
      <c r="B3132" t="s">
        <v>387</v>
      </c>
      <c r="C3132" t="s">
        <v>868</v>
      </c>
      <c r="D3132" t="s">
        <v>11</v>
      </c>
      <c r="E3132">
        <v>24</v>
      </c>
      <c r="F3132" s="2">
        <f>DATE(2026,IF(Tabla1[[#This Row],[Mes de Fecha]]="Septiembre",9,10),Tabla1[[#This Row],[Día de Fecha]])</f>
        <v>46289</v>
      </c>
      <c r="G3132">
        <v>1193601115</v>
      </c>
      <c r="H3132" t="s">
        <v>384</v>
      </c>
      <c r="I3132">
        <v>49</v>
      </c>
      <c r="J3132">
        <v>0</v>
      </c>
      <c r="K3132" s="1">
        <v>3203825</v>
      </c>
    </row>
    <row r="3133" spans="1:11" x14ac:dyDescent="0.25">
      <c r="A3133" t="s">
        <v>326</v>
      </c>
      <c r="B3133" t="s">
        <v>387</v>
      </c>
      <c r="C3133" t="s">
        <v>868</v>
      </c>
      <c r="D3133" t="s">
        <v>11</v>
      </c>
      <c r="E3133">
        <v>25</v>
      </c>
      <c r="F3133" s="2">
        <f>DATE(2026,IF(Tabla1[[#This Row],[Mes de Fecha]]="Septiembre",9,10),Tabla1[[#This Row],[Día de Fecha]])</f>
        <v>46290</v>
      </c>
      <c r="I3133">
        <v>0</v>
      </c>
      <c r="J3133" s="1">
        <v>27927236</v>
      </c>
      <c r="K3133">
        <v>0</v>
      </c>
    </row>
    <row r="3134" spans="1:11" x14ac:dyDescent="0.25">
      <c r="A3134" t="s">
        <v>326</v>
      </c>
      <c r="B3134" t="s">
        <v>387</v>
      </c>
      <c r="C3134" t="s">
        <v>868</v>
      </c>
      <c r="D3134" t="s">
        <v>11</v>
      </c>
      <c r="E3134">
        <v>25</v>
      </c>
      <c r="F3134" s="2">
        <f>DATE(2026,IF(Tabla1[[#This Row],[Mes de Fecha]]="Septiembre",9,10),Tabla1[[#This Row],[Día de Fecha]])</f>
        <v>46290</v>
      </c>
      <c r="G3134">
        <v>1061716853</v>
      </c>
      <c r="H3134" t="s">
        <v>333</v>
      </c>
      <c r="I3134">
        <v>98</v>
      </c>
      <c r="J3134">
        <v>0</v>
      </c>
      <c r="K3134" s="1">
        <v>5527358</v>
      </c>
    </row>
    <row r="3135" spans="1:11" x14ac:dyDescent="0.25">
      <c r="A3135" t="s">
        <v>326</v>
      </c>
      <c r="B3135" t="s">
        <v>387</v>
      </c>
      <c r="C3135" t="s">
        <v>868</v>
      </c>
      <c r="D3135" t="s">
        <v>11</v>
      </c>
      <c r="E3135">
        <v>25</v>
      </c>
      <c r="F3135" s="2">
        <f>DATE(2026,IF(Tabla1[[#This Row],[Mes de Fecha]]="Septiembre",9,10),Tabla1[[#This Row],[Día de Fecha]])</f>
        <v>46290</v>
      </c>
      <c r="G3135">
        <v>1107840490</v>
      </c>
      <c r="H3135" t="s">
        <v>353</v>
      </c>
      <c r="I3135">
        <v>89</v>
      </c>
      <c r="J3135">
        <v>0</v>
      </c>
      <c r="K3135" s="1">
        <v>5092862</v>
      </c>
    </row>
    <row r="3136" spans="1:11" x14ac:dyDescent="0.25">
      <c r="A3136" t="s">
        <v>326</v>
      </c>
      <c r="B3136" t="s">
        <v>387</v>
      </c>
      <c r="C3136" t="s">
        <v>868</v>
      </c>
      <c r="D3136" t="s">
        <v>11</v>
      </c>
      <c r="E3136">
        <v>25</v>
      </c>
      <c r="F3136" s="2">
        <f>DATE(2026,IF(Tabla1[[#This Row],[Mes de Fecha]]="Septiembre",9,10),Tabla1[[#This Row],[Día de Fecha]])</f>
        <v>46290</v>
      </c>
      <c r="G3136">
        <v>1107846391</v>
      </c>
      <c r="H3136" t="s">
        <v>393</v>
      </c>
      <c r="I3136">
        <v>-1</v>
      </c>
      <c r="J3136">
        <v>0</v>
      </c>
      <c r="K3136" s="1">
        <v>-54580</v>
      </c>
    </row>
    <row r="3137" spans="1:11" x14ac:dyDescent="0.25">
      <c r="A3137" t="s">
        <v>326</v>
      </c>
      <c r="B3137" t="s">
        <v>387</v>
      </c>
      <c r="C3137" t="s">
        <v>868</v>
      </c>
      <c r="D3137" t="s">
        <v>11</v>
      </c>
      <c r="E3137">
        <v>25</v>
      </c>
      <c r="F3137" s="2">
        <f>DATE(2026,IF(Tabla1[[#This Row],[Mes de Fecha]]="Septiembre",9,10),Tabla1[[#This Row],[Día de Fecha]])</f>
        <v>46290</v>
      </c>
      <c r="G3137">
        <v>1144085357</v>
      </c>
      <c r="H3137" t="s">
        <v>379</v>
      </c>
      <c r="I3137">
        <v>91</v>
      </c>
      <c r="J3137">
        <v>0</v>
      </c>
      <c r="K3137" s="1">
        <v>4987690</v>
      </c>
    </row>
    <row r="3138" spans="1:11" x14ac:dyDescent="0.25">
      <c r="A3138" t="s">
        <v>326</v>
      </c>
      <c r="B3138" t="s">
        <v>387</v>
      </c>
      <c r="C3138" t="s">
        <v>868</v>
      </c>
      <c r="D3138" t="s">
        <v>11</v>
      </c>
      <c r="E3138">
        <v>25</v>
      </c>
      <c r="F3138" s="2">
        <f>DATE(2026,IF(Tabla1[[#This Row],[Mes de Fecha]]="Septiembre",9,10),Tabla1[[#This Row],[Día de Fecha]])</f>
        <v>46290</v>
      </c>
      <c r="G3138">
        <v>1193601115</v>
      </c>
      <c r="H3138" t="s">
        <v>384</v>
      </c>
      <c r="I3138">
        <v>38</v>
      </c>
      <c r="J3138">
        <v>0</v>
      </c>
      <c r="K3138" s="1">
        <v>2296685</v>
      </c>
    </row>
    <row r="3139" spans="1:11" x14ac:dyDescent="0.25">
      <c r="A3139" t="s">
        <v>326</v>
      </c>
      <c r="B3139" t="s">
        <v>387</v>
      </c>
      <c r="C3139" t="s">
        <v>868</v>
      </c>
      <c r="D3139" t="s">
        <v>11</v>
      </c>
      <c r="E3139">
        <v>26</v>
      </c>
      <c r="F3139" s="2">
        <f>DATE(2026,IF(Tabla1[[#This Row],[Mes de Fecha]]="Septiembre",9,10),Tabla1[[#This Row],[Día de Fecha]])</f>
        <v>46291</v>
      </c>
      <c r="I3139">
        <v>0</v>
      </c>
      <c r="J3139" s="1">
        <v>40135452</v>
      </c>
      <c r="K3139">
        <v>0</v>
      </c>
    </row>
    <row r="3140" spans="1:11" x14ac:dyDescent="0.25">
      <c r="A3140" t="s">
        <v>326</v>
      </c>
      <c r="B3140" t="s">
        <v>387</v>
      </c>
      <c r="C3140" t="s">
        <v>868</v>
      </c>
      <c r="D3140" t="s">
        <v>11</v>
      </c>
      <c r="E3140">
        <v>26</v>
      </c>
      <c r="F3140" s="2">
        <f>DATE(2026,IF(Tabla1[[#This Row],[Mes de Fecha]]="Septiembre",9,10),Tabla1[[#This Row],[Día de Fecha]])</f>
        <v>46291</v>
      </c>
      <c r="G3140">
        <v>1061716853</v>
      </c>
      <c r="H3140" t="s">
        <v>333</v>
      </c>
      <c r="I3140">
        <v>158</v>
      </c>
      <c r="J3140">
        <v>0</v>
      </c>
      <c r="K3140" s="1">
        <v>9757906</v>
      </c>
    </row>
    <row r="3141" spans="1:11" x14ac:dyDescent="0.25">
      <c r="A3141" t="s">
        <v>326</v>
      </c>
      <c r="B3141" t="s">
        <v>387</v>
      </c>
      <c r="C3141" t="s">
        <v>868</v>
      </c>
      <c r="D3141" t="s">
        <v>11</v>
      </c>
      <c r="E3141">
        <v>26</v>
      </c>
      <c r="F3141" s="2">
        <f>DATE(2026,IF(Tabla1[[#This Row],[Mes de Fecha]]="Septiembre",9,10),Tabla1[[#This Row],[Día de Fecha]])</f>
        <v>46291</v>
      </c>
      <c r="G3141">
        <v>1107840490</v>
      </c>
      <c r="H3141" t="s">
        <v>353</v>
      </c>
      <c r="I3141">
        <v>165</v>
      </c>
      <c r="J3141">
        <v>0</v>
      </c>
      <c r="K3141" s="1">
        <v>9978250</v>
      </c>
    </row>
    <row r="3142" spans="1:11" x14ac:dyDescent="0.25">
      <c r="A3142" t="s">
        <v>326</v>
      </c>
      <c r="B3142" t="s">
        <v>387</v>
      </c>
      <c r="C3142" t="s">
        <v>868</v>
      </c>
      <c r="D3142" t="s">
        <v>11</v>
      </c>
      <c r="E3142">
        <v>26</v>
      </c>
      <c r="F3142" s="2">
        <f>DATE(2026,IF(Tabla1[[#This Row],[Mes de Fecha]]="Septiembre",9,10),Tabla1[[#This Row],[Día de Fecha]])</f>
        <v>46291</v>
      </c>
      <c r="G3142">
        <v>1108252998</v>
      </c>
      <c r="H3142" t="s">
        <v>394</v>
      </c>
      <c r="I3142">
        <v>30</v>
      </c>
      <c r="J3142">
        <v>0</v>
      </c>
      <c r="K3142" s="1">
        <v>1536518</v>
      </c>
    </row>
    <row r="3143" spans="1:11" x14ac:dyDescent="0.25">
      <c r="A3143" t="s">
        <v>326</v>
      </c>
      <c r="B3143" t="s">
        <v>387</v>
      </c>
      <c r="C3143" t="s">
        <v>868</v>
      </c>
      <c r="D3143" t="s">
        <v>11</v>
      </c>
      <c r="E3143">
        <v>26</v>
      </c>
      <c r="F3143" s="2">
        <f>DATE(2026,IF(Tabla1[[#This Row],[Mes de Fecha]]="Septiembre",9,10),Tabla1[[#This Row],[Día de Fecha]])</f>
        <v>46291</v>
      </c>
      <c r="G3143">
        <v>1144085357</v>
      </c>
      <c r="H3143" t="s">
        <v>379</v>
      </c>
      <c r="I3143">
        <v>171</v>
      </c>
      <c r="J3143">
        <v>0</v>
      </c>
      <c r="K3143" s="1">
        <v>9887568</v>
      </c>
    </row>
    <row r="3144" spans="1:11" x14ac:dyDescent="0.25">
      <c r="A3144" t="s">
        <v>326</v>
      </c>
      <c r="B3144" t="s">
        <v>387</v>
      </c>
      <c r="C3144" t="s">
        <v>868</v>
      </c>
      <c r="D3144" t="s">
        <v>11</v>
      </c>
      <c r="E3144">
        <v>26</v>
      </c>
      <c r="F3144" s="2">
        <f>DATE(2026,IF(Tabla1[[#This Row],[Mes de Fecha]]="Septiembre",9,10),Tabla1[[#This Row],[Día de Fecha]])</f>
        <v>46291</v>
      </c>
      <c r="G3144">
        <v>1144109351</v>
      </c>
      <c r="H3144" t="s">
        <v>395</v>
      </c>
      <c r="I3144">
        <v>26</v>
      </c>
      <c r="J3144">
        <v>0</v>
      </c>
      <c r="K3144" s="1">
        <v>1259287</v>
      </c>
    </row>
    <row r="3145" spans="1:11" x14ac:dyDescent="0.25">
      <c r="A3145" t="s">
        <v>326</v>
      </c>
      <c r="B3145" t="s">
        <v>387</v>
      </c>
      <c r="C3145" t="s">
        <v>868</v>
      </c>
      <c r="D3145" t="s">
        <v>11</v>
      </c>
      <c r="E3145">
        <v>26</v>
      </c>
      <c r="F3145" s="2">
        <f>DATE(2026,IF(Tabla1[[#This Row],[Mes de Fecha]]="Septiembre",9,10),Tabla1[[#This Row],[Día de Fecha]])</f>
        <v>46291</v>
      </c>
      <c r="G3145">
        <v>1193601115</v>
      </c>
      <c r="H3145" t="s">
        <v>384</v>
      </c>
      <c r="I3145">
        <v>91</v>
      </c>
      <c r="J3145">
        <v>0</v>
      </c>
      <c r="K3145" s="1">
        <v>5735466</v>
      </c>
    </row>
    <row r="3146" spans="1:11" x14ac:dyDescent="0.25">
      <c r="A3146" t="s">
        <v>326</v>
      </c>
      <c r="B3146" t="s">
        <v>387</v>
      </c>
      <c r="C3146" t="s">
        <v>868</v>
      </c>
      <c r="D3146" t="s">
        <v>11</v>
      </c>
      <c r="E3146">
        <v>27</v>
      </c>
      <c r="F3146" s="2">
        <f>DATE(2026,IF(Tabla1[[#This Row],[Mes de Fecha]]="Septiembre",9,10),Tabla1[[#This Row],[Día de Fecha]])</f>
        <v>46292</v>
      </c>
      <c r="I3146">
        <v>0</v>
      </c>
      <c r="J3146" s="1">
        <v>31795357</v>
      </c>
      <c r="K3146">
        <v>0</v>
      </c>
    </row>
    <row r="3147" spans="1:11" x14ac:dyDescent="0.25">
      <c r="A3147" t="s">
        <v>326</v>
      </c>
      <c r="B3147" t="s">
        <v>387</v>
      </c>
      <c r="C3147" t="s">
        <v>868</v>
      </c>
      <c r="D3147" t="s">
        <v>11</v>
      </c>
      <c r="E3147">
        <v>27</v>
      </c>
      <c r="F3147" s="2">
        <f>DATE(2026,IF(Tabla1[[#This Row],[Mes de Fecha]]="Septiembre",9,10),Tabla1[[#This Row],[Día de Fecha]])</f>
        <v>46292</v>
      </c>
      <c r="G3147">
        <v>1061716853</v>
      </c>
      <c r="H3147" t="s">
        <v>333</v>
      </c>
      <c r="I3147">
        <v>181</v>
      </c>
      <c r="J3147">
        <v>0</v>
      </c>
      <c r="K3147" s="1">
        <v>11387361</v>
      </c>
    </row>
    <row r="3148" spans="1:11" x14ac:dyDescent="0.25">
      <c r="A3148" t="s">
        <v>326</v>
      </c>
      <c r="B3148" t="s">
        <v>387</v>
      </c>
      <c r="C3148" t="s">
        <v>868</v>
      </c>
      <c r="D3148" t="s">
        <v>11</v>
      </c>
      <c r="E3148">
        <v>27</v>
      </c>
      <c r="F3148" s="2">
        <f>DATE(2026,IF(Tabla1[[#This Row],[Mes de Fecha]]="Septiembre",9,10),Tabla1[[#This Row],[Día de Fecha]])</f>
        <v>46292</v>
      </c>
      <c r="G3148">
        <v>1107840490</v>
      </c>
      <c r="H3148" t="s">
        <v>353</v>
      </c>
      <c r="I3148">
        <v>170</v>
      </c>
      <c r="J3148">
        <v>0</v>
      </c>
      <c r="K3148" s="1">
        <v>10948700</v>
      </c>
    </row>
    <row r="3149" spans="1:11" x14ac:dyDescent="0.25">
      <c r="A3149" t="s">
        <v>326</v>
      </c>
      <c r="B3149" t="s">
        <v>387</v>
      </c>
      <c r="C3149" t="s">
        <v>868</v>
      </c>
      <c r="D3149" t="s">
        <v>11</v>
      </c>
      <c r="E3149">
        <v>27</v>
      </c>
      <c r="F3149" s="2">
        <f>DATE(2026,IF(Tabla1[[#This Row],[Mes de Fecha]]="Septiembre",9,10),Tabla1[[#This Row],[Día de Fecha]])</f>
        <v>46292</v>
      </c>
      <c r="G3149">
        <v>1108252998</v>
      </c>
      <c r="H3149" t="s">
        <v>394</v>
      </c>
      <c r="I3149">
        <v>30</v>
      </c>
      <c r="J3149">
        <v>0</v>
      </c>
      <c r="K3149" s="1">
        <v>1519751</v>
      </c>
    </row>
    <row r="3150" spans="1:11" x14ac:dyDescent="0.25">
      <c r="A3150" t="s">
        <v>326</v>
      </c>
      <c r="B3150" t="s">
        <v>387</v>
      </c>
      <c r="C3150" t="s">
        <v>868</v>
      </c>
      <c r="D3150" t="s">
        <v>11</v>
      </c>
      <c r="E3150">
        <v>27</v>
      </c>
      <c r="F3150" s="2">
        <f>DATE(2026,IF(Tabla1[[#This Row],[Mes de Fecha]]="Septiembre",9,10),Tabla1[[#This Row],[Día de Fecha]])</f>
        <v>46292</v>
      </c>
      <c r="G3150">
        <v>1144085357</v>
      </c>
      <c r="H3150" t="s">
        <v>379</v>
      </c>
      <c r="I3150">
        <v>171</v>
      </c>
      <c r="J3150">
        <v>0</v>
      </c>
      <c r="K3150" s="1">
        <v>10893955</v>
      </c>
    </row>
    <row r="3151" spans="1:11" x14ac:dyDescent="0.25">
      <c r="A3151" t="s">
        <v>326</v>
      </c>
      <c r="B3151" t="s">
        <v>387</v>
      </c>
      <c r="C3151" t="s">
        <v>868</v>
      </c>
      <c r="D3151" t="s">
        <v>11</v>
      </c>
      <c r="E3151">
        <v>27</v>
      </c>
      <c r="F3151" s="2">
        <f>DATE(2026,IF(Tabla1[[#This Row],[Mes de Fecha]]="Septiembre",9,10),Tabla1[[#This Row],[Día de Fecha]])</f>
        <v>46292</v>
      </c>
      <c r="G3151">
        <v>1144109351</v>
      </c>
      <c r="H3151" t="s">
        <v>395</v>
      </c>
      <c r="I3151">
        <v>25</v>
      </c>
      <c r="J3151">
        <v>0</v>
      </c>
      <c r="K3151" s="1">
        <v>1498951</v>
      </c>
    </row>
    <row r="3152" spans="1:11" x14ac:dyDescent="0.25">
      <c r="A3152" t="s">
        <v>326</v>
      </c>
      <c r="B3152" t="s">
        <v>387</v>
      </c>
      <c r="C3152" t="s">
        <v>868</v>
      </c>
      <c r="D3152" t="s">
        <v>11</v>
      </c>
      <c r="E3152">
        <v>27</v>
      </c>
      <c r="F3152" s="2">
        <f>DATE(2026,IF(Tabla1[[#This Row],[Mes de Fecha]]="Septiembre",9,10),Tabla1[[#This Row],[Día de Fecha]])</f>
        <v>46292</v>
      </c>
      <c r="G3152">
        <v>1193601115</v>
      </c>
      <c r="H3152" t="s">
        <v>384</v>
      </c>
      <c r="I3152">
        <v>100</v>
      </c>
      <c r="J3152">
        <v>0</v>
      </c>
      <c r="K3152" s="1">
        <v>6220548</v>
      </c>
    </row>
    <row r="3153" spans="1:11" x14ac:dyDescent="0.25">
      <c r="A3153" t="s">
        <v>326</v>
      </c>
      <c r="B3153" t="s">
        <v>387</v>
      </c>
      <c r="C3153" t="s">
        <v>868</v>
      </c>
      <c r="D3153" t="s">
        <v>11</v>
      </c>
      <c r="E3153">
        <v>28</v>
      </c>
      <c r="F3153" s="2">
        <f>DATE(2026,IF(Tabla1[[#This Row],[Mes de Fecha]]="Septiembre",9,10),Tabla1[[#This Row],[Día de Fecha]])</f>
        <v>46293</v>
      </c>
      <c r="I3153">
        <v>0</v>
      </c>
      <c r="J3153" s="1">
        <v>17498858</v>
      </c>
      <c r="K3153">
        <v>0</v>
      </c>
    </row>
    <row r="3154" spans="1:11" x14ac:dyDescent="0.25">
      <c r="A3154" t="s">
        <v>326</v>
      </c>
      <c r="B3154" t="s">
        <v>387</v>
      </c>
      <c r="C3154" t="s">
        <v>868</v>
      </c>
      <c r="D3154" t="s">
        <v>11</v>
      </c>
      <c r="E3154">
        <v>28</v>
      </c>
      <c r="F3154" s="2">
        <f>DATE(2026,IF(Tabla1[[#This Row],[Mes de Fecha]]="Septiembre",9,10),Tabla1[[#This Row],[Día de Fecha]])</f>
        <v>46293</v>
      </c>
      <c r="G3154">
        <v>1061716853</v>
      </c>
      <c r="H3154" t="s">
        <v>333</v>
      </c>
      <c r="I3154">
        <v>58</v>
      </c>
      <c r="J3154">
        <v>0</v>
      </c>
      <c r="K3154" s="1">
        <v>3564705</v>
      </c>
    </row>
    <row r="3155" spans="1:11" x14ac:dyDescent="0.25">
      <c r="A3155" t="s">
        <v>326</v>
      </c>
      <c r="B3155" t="s">
        <v>387</v>
      </c>
      <c r="C3155" t="s">
        <v>868</v>
      </c>
      <c r="D3155" t="s">
        <v>11</v>
      </c>
      <c r="E3155">
        <v>28</v>
      </c>
      <c r="F3155" s="2">
        <f>DATE(2026,IF(Tabla1[[#This Row],[Mes de Fecha]]="Septiembre",9,10),Tabla1[[#This Row],[Día de Fecha]])</f>
        <v>46293</v>
      </c>
      <c r="G3155">
        <v>1107840490</v>
      </c>
      <c r="H3155" t="s">
        <v>353</v>
      </c>
      <c r="I3155">
        <v>70</v>
      </c>
      <c r="J3155">
        <v>0</v>
      </c>
      <c r="K3155" s="1">
        <v>4196474</v>
      </c>
    </row>
    <row r="3156" spans="1:11" x14ac:dyDescent="0.25">
      <c r="A3156" t="s">
        <v>326</v>
      </c>
      <c r="B3156" t="s">
        <v>387</v>
      </c>
      <c r="C3156" t="s">
        <v>868</v>
      </c>
      <c r="D3156" t="s">
        <v>11</v>
      </c>
      <c r="E3156">
        <v>28</v>
      </c>
      <c r="F3156" s="2">
        <f>DATE(2026,IF(Tabla1[[#This Row],[Mes de Fecha]]="Septiembre",9,10),Tabla1[[#This Row],[Día de Fecha]])</f>
        <v>46293</v>
      </c>
      <c r="G3156">
        <v>1108252998</v>
      </c>
      <c r="H3156" t="s">
        <v>394</v>
      </c>
      <c r="I3156">
        <v>24</v>
      </c>
      <c r="J3156">
        <v>0</v>
      </c>
      <c r="K3156" s="1">
        <v>1125002</v>
      </c>
    </row>
    <row r="3157" spans="1:11" x14ac:dyDescent="0.25">
      <c r="A3157" t="s">
        <v>326</v>
      </c>
      <c r="B3157" t="s">
        <v>387</v>
      </c>
      <c r="C3157" t="s">
        <v>868</v>
      </c>
      <c r="D3157" t="s">
        <v>11</v>
      </c>
      <c r="E3157">
        <v>28</v>
      </c>
      <c r="F3157" s="2">
        <f>DATE(2026,IF(Tabla1[[#This Row],[Mes de Fecha]]="Septiembre",9,10),Tabla1[[#This Row],[Día de Fecha]])</f>
        <v>46293</v>
      </c>
      <c r="G3157">
        <v>1110040133</v>
      </c>
      <c r="H3157" t="s">
        <v>331</v>
      </c>
      <c r="I3157">
        <v>-1</v>
      </c>
      <c r="J3157">
        <v>0</v>
      </c>
      <c r="K3157" s="1">
        <v>-16723</v>
      </c>
    </row>
    <row r="3158" spans="1:11" x14ac:dyDescent="0.25">
      <c r="A3158" t="s">
        <v>326</v>
      </c>
      <c r="B3158" t="s">
        <v>387</v>
      </c>
      <c r="C3158" t="s">
        <v>868</v>
      </c>
      <c r="D3158" t="s">
        <v>11</v>
      </c>
      <c r="E3158">
        <v>28</v>
      </c>
      <c r="F3158" s="2">
        <f>DATE(2026,IF(Tabla1[[#This Row],[Mes de Fecha]]="Septiembre",9,10),Tabla1[[#This Row],[Día de Fecha]])</f>
        <v>46293</v>
      </c>
      <c r="G3158">
        <v>1143872360</v>
      </c>
      <c r="H3158" t="s">
        <v>358</v>
      </c>
      <c r="I3158">
        <v>-1</v>
      </c>
      <c r="J3158">
        <v>0</v>
      </c>
      <c r="K3158" s="1">
        <v>-138614</v>
      </c>
    </row>
    <row r="3159" spans="1:11" x14ac:dyDescent="0.25">
      <c r="A3159" t="s">
        <v>326</v>
      </c>
      <c r="B3159" t="s">
        <v>387</v>
      </c>
      <c r="C3159" t="s">
        <v>868</v>
      </c>
      <c r="D3159" t="s">
        <v>11</v>
      </c>
      <c r="E3159">
        <v>28</v>
      </c>
      <c r="F3159" s="2">
        <f>DATE(2026,IF(Tabla1[[#This Row],[Mes de Fecha]]="Septiembre",9,10),Tabla1[[#This Row],[Día de Fecha]])</f>
        <v>46293</v>
      </c>
      <c r="G3159">
        <v>1144085357</v>
      </c>
      <c r="H3159" t="s">
        <v>379</v>
      </c>
      <c r="I3159">
        <v>117</v>
      </c>
      <c r="J3159">
        <v>0</v>
      </c>
      <c r="K3159" s="1">
        <v>7141810</v>
      </c>
    </row>
    <row r="3160" spans="1:11" x14ac:dyDescent="0.25">
      <c r="A3160" t="s">
        <v>326</v>
      </c>
      <c r="B3160" t="s">
        <v>387</v>
      </c>
      <c r="C3160" t="s">
        <v>868</v>
      </c>
      <c r="D3160" t="s">
        <v>11</v>
      </c>
      <c r="E3160">
        <v>29</v>
      </c>
      <c r="F3160" s="2">
        <f>DATE(2026,IF(Tabla1[[#This Row],[Mes de Fecha]]="Septiembre",9,10),Tabla1[[#This Row],[Día de Fecha]])</f>
        <v>46294</v>
      </c>
      <c r="I3160">
        <v>0</v>
      </c>
      <c r="J3160" s="1">
        <v>18692206</v>
      </c>
      <c r="K3160">
        <v>0</v>
      </c>
    </row>
    <row r="3161" spans="1:11" x14ac:dyDescent="0.25">
      <c r="A3161" t="s">
        <v>326</v>
      </c>
      <c r="B3161" t="s">
        <v>387</v>
      </c>
      <c r="C3161" t="s">
        <v>868</v>
      </c>
      <c r="D3161" t="s">
        <v>11</v>
      </c>
      <c r="E3161">
        <v>29</v>
      </c>
      <c r="F3161" s="2">
        <f>DATE(2026,IF(Tabla1[[#This Row],[Mes de Fecha]]="Septiembre",9,10),Tabla1[[#This Row],[Día de Fecha]])</f>
        <v>46294</v>
      </c>
      <c r="G3161">
        <v>1061716853</v>
      </c>
      <c r="H3161" t="s">
        <v>333</v>
      </c>
      <c r="I3161">
        <v>15</v>
      </c>
      <c r="J3161">
        <v>0</v>
      </c>
      <c r="K3161" s="1">
        <v>1062395</v>
      </c>
    </row>
    <row r="3162" spans="1:11" x14ac:dyDescent="0.25">
      <c r="A3162" t="s">
        <v>326</v>
      </c>
      <c r="B3162" t="s">
        <v>387</v>
      </c>
      <c r="C3162" t="s">
        <v>868</v>
      </c>
      <c r="D3162" t="s">
        <v>11</v>
      </c>
      <c r="E3162">
        <v>29</v>
      </c>
      <c r="F3162" s="2">
        <f>DATE(2026,IF(Tabla1[[#This Row],[Mes de Fecha]]="Septiembre",9,10),Tabla1[[#This Row],[Día de Fecha]])</f>
        <v>46294</v>
      </c>
      <c r="G3162">
        <v>1107840490</v>
      </c>
      <c r="H3162" t="s">
        <v>353</v>
      </c>
      <c r="I3162">
        <v>17</v>
      </c>
      <c r="J3162">
        <v>0</v>
      </c>
      <c r="K3162" s="1">
        <v>1230378</v>
      </c>
    </row>
    <row r="3163" spans="1:11" x14ac:dyDescent="0.25">
      <c r="A3163" t="s">
        <v>326</v>
      </c>
      <c r="B3163" t="s">
        <v>387</v>
      </c>
      <c r="C3163" t="s">
        <v>868</v>
      </c>
      <c r="D3163" t="s">
        <v>11</v>
      </c>
      <c r="E3163">
        <v>29</v>
      </c>
      <c r="F3163" s="2">
        <f>DATE(2026,IF(Tabla1[[#This Row],[Mes de Fecha]]="Septiembre",9,10),Tabla1[[#This Row],[Día de Fecha]])</f>
        <v>46294</v>
      </c>
      <c r="G3163">
        <v>1108252998</v>
      </c>
      <c r="H3163" t="s">
        <v>394</v>
      </c>
      <c r="I3163">
        <v>9</v>
      </c>
      <c r="J3163">
        <v>0</v>
      </c>
      <c r="K3163" s="1">
        <v>697059</v>
      </c>
    </row>
    <row r="3164" spans="1:11" x14ac:dyDescent="0.25">
      <c r="A3164" t="s">
        <v>326</v>
      </c>
      <c r="B3164" t="s">
        <v>387</v>
      </c>
      <c r="C3164" t="s">
        <v>868</v>
      </c>
      <c r="D3164" t="s">
        <v>11</v>
      </c>
      <c r="E3164">
        <v>29</v>
      </c>
      <c r="F3164" s="2">
        <f>DATE(2026,IF(Tabla1[[#This Row],[Mes de Fecha]]="Septiembre",9,10),Tabla1[[#This Row],[Día de Fecha]])</f>
        <v>46294</v>
      </c>
      <c r="G3164">
        <v>1144085357</v>
      </c>
      <c r="H3164" t="s">
        <v>379</v>
      </c>
      <c r="I3164">
        <v>132</v>
      </c>
      <c r="J3164">
        <v>0</v>
      </c>
      <c r="K3164" s="1">
        <v>7418742</v>
      </c>
    </row>
    <row r="3165" spans="1:11" x14ac:dyDescent="0.25">
      <c r="A3165" t="s">
        <v>326</v>
      </c>
      <c r="B3165" t="s">
        <v>387</v>
      </c>
      <c r="C3165" t="s">
        <v>868</v>
      </c>
      <c r="D3165" t="s">
        <v>11</v>
      </c>
      <c r="E3165">
        <v>29</v>
      </c>
      <c r="F3165" s="2">
        <f>DATE(2026,IF(Tabla1[[#This Row],[Mes de Fecha]]="Septiembre",9,10),Tabla1[[#This Row],[Día de Fecha]])</f>
        <v>46294</v>
      </c>
      <c r="G3165">
        <v>1144109351</v>
      </c>
      <c r="H3165" t="s">
        <v>395</v>
      </c>
      <c r="I3165">
        <v>16</v>
      </c>
      <c r="J3165">
        <v>0</v>
      </c>
      <c r="K3165" s="1">
        <v>936302</v>
      </c>
    </row>
    <row r="3166" spans="1:11" x14ac:dyDescent="0.25">
      <c r="A3166" t="s">
        <v>326</v>
      </c>
      <c r="B3166" t="s">
        <v>387</v>
      </c>
      <c r="C3166" t="s">
        <v>868</v>
      </c>
      <c r="D3166" t="s">
        <v>11</v>
      </c>
      <c r="E3166">
        <v>29</v>
      </c>
      <c r="F3166" s="2">
        <f>DATE(2026,IF(Tabla1[[#This Row],[Mes de Fecha]]="Septiembre",9,10),Tabla1[[#This Row],[Día de Fecha]])</f>
        <v>46294</v>
      </c>
      <c r="G3166">
        <v>1144190117</v>
      </c>
      <c r="H3166" t="s">
        <v>396</v>
      </c>
      <c r="I3166">
        <v>-1</v>
      </c>
      <c r="J3166">
        <v>0</v>
      </c>
      <c r="K3166" s="1">
        <v>-71386</v>
      </c>
    </row>
    <row r="3167" spans="1:11" x14ac:dyDescent="0.25">
      <c r="A3167" t="s">
        <v>326</v>
      </c>
      <c r="B3167" t="s">
        <v>387</v>
      </c>
      <c r="C3167" t="s">
        <v>868</v>
      </c>
      <c r="D3167" t="s">
        <v>11</v>
      </c>
      <c r="E3167">
        <v>29</v>
      </c>
      <c r="F3167" s="2">
        <f>DATE(2026,IF(Tabla1[[#This Row],[Mes de Fecha]]="Septiembre",9,10),Tabla1[[#This Row],[Día de Fecha]])</f>
        <v>46294</v>
      </c>
      <c r="G3167">
        <v>1193601115</v>
      </c>
      <c r="H3167" t="s">
        <v>384</v>
      </c>
      <c r="I3167">
        <v>49</v>
      </c>
      <c r="J3167">
        <v>0</v>
      </c>
      <c r="K3167" s="1">
        <v>2924372</v>
      </c>
    </row>
    <row r="3168" spans="1:11" x14ac:dyDescent="0.25">
      <c r="A3168" t="s">
        <v>326</v>
      </c>
      <c r="B3168" t="s">
        <v>387</v>
      </c>
      <c r="C3168" t="s">
        <v>868</v>
      </c>
      <c r="D3168" t="s">
        <v>11</v>
      </c>
      <c r="E3168">
        <v>30</v>
      </c>
      <c r="F3168" s="2">
        <f>DATE(2026,IF(Tabla1[[#This Row],[Mes de Fecha]]="Septiembre",9,10),Tabla1[[#This Row],[Día de Fecha]])</f>
        <v>46295</v>
      </c>
      <c r="I3168">
        <v>0</v>
      </c>
      <c r="J3168" s="1">
        <v>19309381</v>
      </c>
      <c r="K3168">
        <v>0</v>
      </c>
    </row>
    <row r="3169" spans="1:11" x14ac:dyDescent="0.25">
      <c r="A3169" t="s">
        <v>326</v>
      </c>
      <c r="B3169" t="s">
        <v>387</v>
      </c>
      <c r="C3169" t="s">
        <v>868</v>
      </c>
      <c r="D3169" t="s">
        <v>11</v>
      </c>
      <c r="E3169">
        <v>30</v>
      </c>
      <c r="F3169" s="2">
        <f>DATE(2026,IF(Tabla1[[#This Row],[Mes de Fecha]]="Septiembre",9,10),Tabla1[[#This Row],[Día de Fecha]])</f>
        <v>46295</v>
      </c>
      <c r="G3169">
        <v>1061716853</v>
      </c>
      <c r="H3169" t="s">
        <v>333</v>
      </c>
      <c r="I3169">
        <v>66</v>
      </c>
      <c r="J3169">
        <v>0</v>
      </c>
      <c r="K3169" s="1">
        <v>4287023</v>
      </c>
    </row>
    <row r="3170" spans="1:11" x14ac:dyDescent="0.25">
      <c r="A3170" t="s">
        <v>326</v>
      </c>
      <c r="B3170" t="s">
        <v>387</v>
      </c>
      <c r="C3170" t="s">
        <v>868</v>
      </c>
      <c r="D3170" t="s">
        <v>11</v>
      </c>
      <c r="E3170">
        <v>30</v>
      </c>
      <c r="F3170" s="2">
        <f>DATE(2026,IF(Tabla1[[#This Row],[Mes de Fecha]]="Septiembre",9,10),Tabla1[[#This Row],[Día de Fecha]])</f>
        <v>46295</v>
      </c>
      <c r="G3170">
        <v>1102868881</v>
      </c>
      <c r="H3170" t="s">
        <v>338</v>
      </c>
      <c r="I3170">
        <v>-2</v>
      </c>
      <c r="J3170">
        <v>0</v>
      </c>
      <c r="K3170" s="1">
        <v>-130168</v>
      </c>
    </row>
    <row r="3171" spans="1:11" x14ac:dyDescent="0.25">
      <c r="A3171" t="s">
        <v>326</v>
      </c>
      <c r="B3171" t="s">
        <v>387</v>
      </c>
      <c r="C3171" t="s">
        <v>868</v>
      </c>
      <c r="D3171" t="s">
        <v>11</v>
      </c>
      <c r="E3171">
        <v>30</v>
      </c>
      <c r="F3171" s="2">
        <f>DATE(2026,IF(Tabla1[[#This Row],[Mes de Fecha]]="Septiembre",9,10),Tabla1[[#This Row],[Día de Fecha]])</f>
        <v>46295</v>
      </c>
      <c r="G3171">
        <v>1107530246</v>
      </c>
      <c r="H3171" t="s">
        <v>361</v>
      </c>
      <c r="I3171">
        <v>-1</v>
      </c>
      <c r="J3171">
        <v>0</v>
      </c>
      <c r="K3171" s="1">
        <v>-29370</v>
      </c>
    </row>
    <row r="3172" spans="1:11" x14ac:dyDescent="0.25">
      <c r="A3172" t="s">
        <v>326</v>
      </c>
      <c r="B3172" t="s">
        <v>387</v>
      </c>
      <c r="C3172" t="s">
        <v>868</v>
      </c>
      <c r="D3172" t="s">
        <v>11</v>
      </c>
      <c r="E3172">
        <v>30</v>
      </c>
      <c r="F3172" s="2">
        <f>DATE(2026,IF(Tabla1[[#This Row],[Mes de Fecha]]="Septiembre",9,10),Tabla1[[#This Row],[Día de Fecha]])</f>
        <v>46295</v>
      </c>
      <c r="G3172">
        <v>1107840490</v>
      </c>
      <c r="H3172" t="s">
        <v>353</v>
      </c>
      <c r="I3172">
        <v>69</v>
      </c>
      <c r="J3172">
        <v>0</v>
      </c>
      <c r="K3172" s="1">
        <v>4301643</v>
      </c>
    </row>
    <row r="3173" spans="1:11" x14ac:dyDescent="0.25">
      <c r="A3173" t="s">
        <v>326</v>
      </c>
      <c r="B3173" t="s">
        <v>387</v>
      </c>
      <c r="C3173" t="s">
        <v>868</v>
      </c>
      <c r="D3173" t="s">
        <v>11</v>
      </c>
      <c r="E3173">
        <v>30</v>
      </c>
      <c r="F3173" s="2">
        <f>DATE(2026,IF(Tabla1[[#This Row],[Mes de Fecha]]="Septiembre",9,10),Tabla1[[#This Row],[Día de Fecha]])</f>
        <v>46295</v>
      </c>
      <c r="G3173">
        <v>1108252998</v>
      </c>
      <c r="H3173" t="s">
        <v>394</v>
      </c>
      <c r="I3173">
        <v>21</v>
      </c>
      <c r="J3173">
        <v>0</v>
      </c>
      <c r="K3173" s="1">
        <v>1297439</v>
      </c>
    </row>
    <row r="3174" spans="1:11" x14ac:dyDescent="0.25">
      <c r="A3174" t="s">
        <v>326</v>
      </c>
      <c r="B3174" t="s">
        <v>387</v>
      </c>
      <c r="C3174" t="s">
        <v>868</v>
      </c>
      <c r="D3174" t="s">
        <v>11</v>
      </c>
      <c r="E3174">
        <v>30</v>
      </c>
      <c r="F3174" s="2">
        <f>DATE(2026,IF(Tabla1[[#This Row],[Mes de Fecha]]="Septiembre",9,10),Tabla1[[#This Row],[Día de Fecha]])</f>
        <v>46295</v>
      </c>
      <c r="G3174">
        <v>1144085357</v>
      </c>
      <c r="H3174" t="s">
        <v>379</v>
      </c>
      <c r="I3174">
        <v>74</v>
      </c>
      <c r="J3174">
        <v>0</v>
      </c>
      <c r="K3174" s="1">
        <v>4208994</v>
      </c>
    </row>
    <row r="3175" spans="1:11" x14ac:dyDescent="0.25">
      <c r="A3175" t="s">
        <v>326</v>
      </c>
      <c r="B3175" t="s">
        <v>387</v>
      </c>
      <c r="C3175" t="s">
        <v>868</v>
      </c>
      <c r="D3175" t="s">
        <v>11</v>
      </c>
      <c r="E3175">
        <v>30</v>
      </c>
      <c r="F3175" s="2">
        <f>DATE(2026,IF(Tabla1[[#This Row],[Mes de Fecha]]="Septiembre",9,10),Tabla1[[#This Row],[Día de Fecha]])</f>
        <v>46295</v>
      </c>
      <c r="G3175">
        <v>1144109351</v>
      </c>
      <c r="H3175" t="s">
        <v>395</v>
      </c>
      <c r="I3175">
        <v>42</v>
      </c>
      <c r="J3175">
        <v>0</v>
      </c>
      <c r="K3175" s="1">
        <v>2363783</v>
      </c>
    </row>
    <row r="3176" spans="1:11" x14ac:dyDescent="0.25">
      <c r="A3176" t="s">
        <v>326</v>
      </c>
      <c r="B3176" t="s">
        <v>387</v>
      </c>
      <c r="C3176" t="s">
        <v>868</v>
      </c>
      <c r="D3176" t="s">
        <v>11</v>
      </c>
      <c r="E3176">
        <v>30</v>
      </c>
      <c r="F3176" s="2">
        <f>DATE(2026,IF(Tabla1[[#This Row],[Mes de Fecha]]="Septiembre",9,10),Tabla1[[#This Row],[Día de Fecha]])</f>
        <v>46295</v>
      </c>
      <c r="G3176">
        <v>1193601115</v>
      </c>
      <c r="H3176" t="s">
        <v>384</v>
      </c>
      <c r="I3176">
        <v>58</v>
      </c>
      <c r="J3176">
        <v>0</v>
      </c>
      <c r="K3176" s="1">
        <v>3234879</v>
      </c>
    </row>
    <row r="3177" spans="1:11" x14ac:dyDescent="0.25">
      <c r="A3177" t="s">
        <v>326</v>
      </c>
      <c r="B3177" t="s">
        <v>387</v>
      </c>
      <c r="C3177" t="s">
        <v>868</v>
      </c>
      <c r="D3177" t="s">
        <v>14</v>
      </c>
      <c r="E3177">
        <v>1</v>
      </c>
      <c r="F3177" s="2">
        <f>DATE(2026,IF(Tabla1[[#This Row],[Mes de Fecha]]="Septiembre",9,10),Tabla1[[#This Row],[Día de Fecha]])</f>
        <v>46296</v>
      </c>
      <c r="I3177">
        <v>0</v>
      </c>
      <c r="J3177" s="1">
        <v>27392018</v>
      </c>
      <c r="K3177">
        <v>0</v>
      </c>
    </row>
    <row r="3178" spans="1:11" x14ac:dyDescent="0.25">
      <c r="A3178" t="s">
        <v>326</v>
      </c>
      <c r="B3178" t="s">
        <v>387</v>
      </c>
      <c r="C3178" t="s">
        <v>868</v>
      </c>
      <c r="D3178" t="s">
        <v>14</v>
      </c>
      <c r="E3178">
        <v>1</v>
      </c>
      <c r="F3178" s="2">
        <f>DATE(2026,IF(Tabla1[[#This Row],[Mes de Fecha]]="Septiembre",9,10),Tabla1[[#This Row],[Día de Fecha]])</f>
        <v>46296</v>
      </c>
      <c r="G3178">
        <v>1005707524</v>
      </c>
      <c r="H3178" t="s">
        <v>392</v>
      </c>
      <c r="I3178">
        <v>-1</v>
      </c>
      <c r="J3178">
        <v>0</v>
      </c>
      <c r="K3178" s="1">
        <v>-130210</v>
      </c>
    </row>
    <row r="3179" spans="1:11" x14ac:dyDescent="0.25">
      <c r="A3179" t="s">
        <v>326</v>
      </c>
      <c r="B3179" t="s">
        <v>387</v>
      </c>
      <c r="C3179" t="s">
        <v>868</v>
      </c>
      <c r="D3179" t="s">
        <v>14</v>
      </c>
      <c r="E3179">
        <v>1</v>
      </c>
      <c r="F3179" s="2">
        <f>DATE(2026,IF(Tabla1[[#This Row],[Mes de Fecha]]="Septiembre",9,10),Tabla1[[#This Row],[Día de Fecha]])</f>
        <v>46296</v>
      </c>
      <c r="G3179">
        <v>1061716853</v>
      </c>
      <c r="H3179" t="s">
        <v>333</v>
      </c>
      <c r="I3179">
        <v>75</v>
      </c>
      <c r="J3179">
        <v>0</v>
      </c>
      <c r="K3179" s="1">
        <v>4893911</v>
      </c>
    </row>
    <row r="3180" spans="1:11" x14ac:dyDescent="0.25">
      <c r="A3180" t="s">
        <v>326</v>
      </c>
      <c r="B3180" t="s">
        <v>387</v>
      </c>
      <c r="C3180" t="s">
        <v>868</v>
      </c>
      <c r="D3180" t="s">
        <v>14</v>
      </c>
      <c r="E3180">
        <v>1</v>
      </c>
      <c r="F3180" s="2">
        <f>DATE(2026,IF(Tabla1[[#This Row],[Mes de Fecha]]="Septiembre",9,10),Tabla1[[#This Row],[Día de Fecha]])</f>
        <v>46296</v>
      </c>
      <c r="G3180">
        <v>1107840490</v>
      </c>
      <c r="H3180" t="s">
        <v>353</v>
      </c>
      <c r="I3180">
        <v>91</v>
      </c>
      <c r="J3180">
        <v>0</v>
      </c>
      <c r="K3180" s="1">
        <v>5949922</v>
      </c>
    </row>
    <row r="3181" spans="1:11" x14ac:dyDescent="0.25">
      <c r="A3181" t="s">
        <v>326</v>
      </c>
      <c r="B3181" t="s">
        <v>387</v>
      </c>
      <c r="C3181" t="s">
        <v>868</v>
      </c>
      <c r="D3181" t="s">
        <v>14</v>
      </c>
      <c r="E3181">
        <v>1</v>
      </c>
      <c r="F3181" s="2">
        <f>DATE(2026,IF(Tabla1[[#This Row],[Mes de Fecha]]="Septiembre",9,10),Tabla1[[#This Row],[Día de Fecha]])</f>
        <v>46296</v>
      </c>
      <c r="G3181">
        <v>1108252998</v>
      </c>
      <c r="H3181" t="s">
        <v>394</v>
      </c>
      <c r="I3181">
        <v>6</v>
      </c>
      <c r="J3181">
        <v>0</v>
      </c>
      <c r="K3181" s="1">
        <v>268657</v>
      </c>
    </row>
    <row r="3182" spans="1:11" x14ac:dyDescent="0.25">
      <c r="A3182" t="s">
        <v>326</v>
      </c>
      <c r="B3182" t="s">
        <v>387</v>
      </c>
      <c r="C3182" t="s">
        <v>868</v>
      </c>
      <c r="D3182" t="s">
        <v>14</v>
      </c>
      <c r="E3182">
        <v>1</v>
      </c>
      <c r="F3182" s="2">
        <f>DATE(2026,IF(Tabla1[[#This Row],[Mes de Fecha]]="Septiembre",9,10),Tabla1[[#This Row],[Día de Fecha]])</f>
        <v>46296</v>
      </c>
      <c r="G3182">
        <v>1144085357</v>
      </c>
      <c r="H3182" t="s">
        <v>379</v>
      </c>
      <c r="I3182">
        <v>107</v>
      </c>
      <c r="J3182">
        <v>0</v>
      </c>
      <c r="K3182" s="1">
        <v>6188745</v>
      </c>
    </row>
    <row r="3183" spans="1:11" x14ac:dyDescent="0.25">
      <c r="A3183" t="s">
        <v>326</v>
      </c>
      <c r="B3183" t="s">
        <v>387</v>
      </c>
      <c r="C3183" t="s">
        <v>868</v>
      </c>
      <c r="D3183" t="s">
        <v>14</v>
      </c>
      <c r="E3183">
        <v>1</v>
      </c>
      <c r="F3183" s="2">
        <f>DATE(2026,IF(Tabla1[[#This Row],[Mes de Fecha]]="Septiembre",9,10),Tabla1[[#This Row],[Día de Fecha]])</f>
        <v>46296</v>
      </c>
      <c r="G3183">
        <v>1144109351</v>
      </c>
      <c r="H3183" t="s">
        <v>395</v>
      </c>
      <c r="I3183">
        <v>3</v>
      </c>
      <c r="J3183">
        <v>0</v>
      </c>
      <c r="K3183" s="1">
        <v>247773</v>
      </c>
    </row>
    <row r="3184" spans="1:11" x14ac:dyDescent="0.25">
      <c r="A3184" t="s">
        <v>326</v>
      </c>
      <c r="B3184" t="s">
        <v>387</v>
      </c>
      <c r="C3184" t="s">
        <v>868</v>
      </c>
      <c r="D3184" t="s">
        <v>14</v>
      </c>
      <c r="E3184">
        <v>1</v>
      </c>
      <c r="F3184" s="2">
        <f>DATE(2026,IF(Tabla1[[#This Row],[Mes de Fecha]]="Septiembre",9,10),Tabla1[[#This Row],[Día de Fecha]])</f>
        <v>46296</v>
      </c>
      <c r="G3184">
        <v>1193601115</v>
      </c>
      <c r="H3184" t="s">
        <v>384</v>
      </c>
      <c r="I3184">
        <v>39</v>
      </c>
      <c r="J3184">
        <v>0</v>
      </c>
      <c r="K3184" s="1">
        <v>2664329</v>
      </c>
    </row>
    <row r="3185" spans="1:11" x14ac:dyDescent="0.25">
      <c r="A3185" t="s">
        <v>326</v>
      </c>
      <c r="B3185" t="s">
        <v>387</v>
      </c>
      <c r="C3185" t="s">
        <v>868</v>
      </c>
      <c r="D3185" t="s">
        <v>14</v>
      </c>
      <c r="E3185">
        <v>2</v>
      </c>
      <c r="F3185" s="2">
        <f>DATE(2026,IF(Tabla1[[#This Row],[Mes de Fecha]]="Septiembre",9,10),Tabla1[[#This Row],[Día de Fecha]])</f>
        <v>46297</v>
      </c>
      <c r="I3185">
        <v>0</v>
      </c>
      <c r="J3185" s="1">
        <v>17716899</v>
      </c>
      <c r="K3185">
        <v>0</v>
      </c>
    </row>
    <row r="3186" spans="1:11" x14ac:dyDescent="0.25">
      <c r="A3186" t="s">
        <v>326</v>
      </c>
      <c r="B3186" t="s">
        <v>387</v>
      </c>
      <c r="C3186" t="s">
        <v>868</v>
      </c>
      <c r="D3186" t="s">
        <v>14</v>
      </c>
      <c r="E3186">
        <v>2</v>
      </c>
      <c r="F3186" s="2">
        <f>DATE(2026,IF(Tabla1[[#This Row],[Mes de Fecha]]="Septiembre",9,10),Tabla1[[#This Row],[Día de Fecha]])</f>
        <v>46297</v>
      </c>
      <c r="G3186">
        <v>1061716853</v>
      </c>
      <c r="H3186" t="s">
        <v>333</v>
      </c>
      <c r="I3186">
        <v>106</v>
      </c>
      <c r="J3186">
        <v>0</v>
      </c>
      <c r="K3186" s="1">
        <v>6627901</v>
      </c>
    </row>
    <row r="3187" spans="1:11" x14ac:dyDescent="0.25">
      <c r="A3187" t="s">
        <v>326</v>
      </c>
      <c r="B3187" t="s">
        <v>387</v>
      </c>
      <c r="C3187" t="s">
        <v>868</v>
      </c>
      <c r="D3187" t="s">
        <v>14</v>
      </c>
      <c r="E3187">
        <v>2</v>
      </c>
      <c r="F3187" s="2">
        <f>DATE(2026,IF(Tabla1[[#This Row],[Mes de Fecha]]="Septiembre",9,10),Tabla1[[#This Row],[Día de Fecha]])</f>
        <v>46297</v>
      </c>
      <c r="G3187">
        <v>1107840490</v>
      </c>
      <c r="H3187" t="s">
        <v>353</v>
      </c>
      <c r="I3187">
        <v>78</v>
      </c>
      <c r="J3187">
        <v>0</v>
      </c>
      <c r="K3187" s="1">
        <v>4851769</v>
      </c>
    </row>
    <row r="3188" spans="1:11" x14ac:dyDescent="0.25">
      <c r="A3188" t="s">
        <v>326</v>
      </c>
      <c r="B3188" t="s">
        <v>387</v>
      </c>
      <c r="C3188" t="s">
        <v>868</v>
      </c>
      <c r="D3188" t="s">
        <v>14</v>
      </c>
      <c r="E3188">
        <v>2</v>
      </c>
      <c r="F3188" s="2">
        <f>DATE(2026,IF(Tabla1[[#This Row],[Mes de Fecha]]="Septiembre",9,10),Tabla1[[#This Row],[Día de Fecha]])</f>
        <v>46297</v>
      </c>
      <c r="G3188">
        <v>1108252998</v>
      </c>
      <c r="H3188" t="s">
        <v>394</v>
      </c>
      <c r="I3188">
        <v>2</v>
      </c>
      <c r="J3188">
        <v>0</v>
      </c>
      <c r="K3188" s="1">
        <v>79748</v>
      </c>
    </row>
    <row r="3189" spans="1:11" x14ac:dyDescent="0.25">
      <c r="A3189" t="s">
        <v>326</v>
      </c>
      <c r="B3189" t="s">
        <v>387</v>
      </c>
      <c r="C3189" t="s">
        <v>868</v>
      </c>
      <c r="D3189" t="s">
        <v>14</v>
      </c>
      <c r="E3189">
        <v>2</v>
      </c>
      <c r="F3189" s="2">
        <f>DATE(2026,IF(Tabla1[[#This Row],[Mes de Fecha]]="Septiembre",9,10),Tabla1[[#This Row],[Día de Fecha]])</f>
        <v>46297</v>
      </c>
      <c r="G3189">
        <v>1144085357</v>
      </c>
      <c r="H3189" t="s">
        <v>379</v>
      </c>
      <c r="I3189">
        <v>88</v>
      </c>
      <c r="J3189">
        <v>0</v>
      </c>
      <c r="K3189" s="1">
        <v>6111810</v>
      </c>
    </row>
    <row r="3190" spans="1:11" x14ac:dyDescent="0.25">
      <c r="A3190" t="s">
        <v>326</v>
      </c>
      <c r="B3190" t="s">
        <v>387</v>
      </c>
      <c r="C3190" t="s">
        <v>868</v>
      </c>
      <c r="D3190" t="s">
        <v>14</v>
      </c>
      <c r="E3190">
        <v>2</v>
      </c>
      <c r="F3190" s="2">
        <f>DATE(2026,IF(Tabla1[[#This Row],[Mes de Fecha]]="Septiembre",9,10),Tabla1[[#This Row],[Día de Fecha]])</f>
        <v>46297</v>
      </c>
      <c r="G3190">
        <v>1144109351</v>
      </c>
      <c r="H3190" t="s">
        <v>395</v>
      </c>
      <c r="I3190">
        <v>11</v>
      </c>
      <c r="J3190">
        <v>0</v>
      </c>
      <c r="K3190" s="1">
        <v>667604</v>
      </c>
    </row>
    <row r="3191" spans="1:11" x14ac:dyDescent="0.25">
      <c r="A3191" t="s">
        <v>326</v>
      </c>
      <c r="B3191" t="s">
        <v>387</v>
      </c>
      <c r="C3191" t="s">
        <v>868</v>
      </c>
      <c r="D3191" t="s">
        <v>14</v>
      </c>
      <c r="E3191">
        <v>2</v>
      </c>
      <c r="F3191" s="2">
        <f>DATE(2026,IF(Tabla1[[#This Row],[Mes de Fecha]]="Septiembre",9,10),Tabla1[[#This Row],[Día de Fecha]])</f>
        <v>46297</v>
      </c>
      <c r="G3191">
        <v>1193601115</v>
      </c>
      <c r="H3191" t="s">
        <v>384</v>
      </c>
      <c r="I3191">
        <v>33</v>
      </c>
      <c r="J3191">
        <v>0</v>
      </c>
      <c r="K3191" s="1">
        <v>2162482</v>
      </c>
    </row>
    <row r="3192" spans="1:11" x14ac:dyDescent="0.25">
      <c r="A3192" t="s">
        <v>326</v>
      </c>
      <c r="B3192" t="s">
        <v>387</v>
      </c>
      <c r="C3192" t="s">
        <v>868</v>
      </c>
      <c r="D3192" t="s">
        <v>14</v>
      </c>
      <c r="E3192">
        <v>3</v>
      </c>
      <c r="F3192" s="2">
        <f>DATE(2026,IF(Tabla1[[#This Row],[Mes de Fecha]]="Septiembre",9,10),Tabla1[[#This Row],[Día de Fecha]])</f>
        <v>46298</v>
      </c>
      <c r="I3192">
        <v>0</v>
      </c>
      <c r="J3192" s="1">
        <v>43891281</v>
      </c>
      <c r="K3192">
        <v>0</v>
      </c>
    </row>
    <row r="3193" spans="1:11" x14ac:dyDescent="0.25">
      <c r="A3193" t="s">
        <v>326</v>
      </c>
      <c r="B3193" t="s">
        <v>387</v>
      </c>
      <c r="C3193" t="s">
        <v>868</v>
      </c>
      <c r="D3193" t="s">
        <v>14</v>
      </c>
      <c r="E3193">
        <v>3</v>
      </c>
      <c r="F3193" s="2">
        <f>DATE(2026,IF(Tabla1[[#This Row],[Mes de Fecha]]="Septiembre",9,10),Tabla1[[#This Row],[Día de Fecha]])</f>
        <v>46298</v>
      </c>
      <c r="G3193">
        <v>1005876499</v>
      </c>
      <c r="H3193" t="s">
        <v>380</v>
      </c>
      <c r="I3193">
        <v>-1</v>
      </c>
      <c r="J3193">
        <v>0</v>
      </c>
      <c r="K3193" s="1">
        <v>-54580</v>
      </c>
    </row>
    <row r="3194" spans="1:11" x14ac:dyDescent="0.25">
      <c r="A3194" t="s">
        <v>326</v>
      </c>
      <c r="B3194" t="s">
        <v>387</v>
      </c>
      <c r="C3194" t="s">
        <v>868</v>
      </c>
      <c r="D3194" t="s">
        <v>14</v>
      </c>
      <c r="E3194">
        <v>3</v>
      </c>
      <c r="F3194" s="2">
        <f>DATE(2026,IF(Tabla1[[#This Row],[Mes de Fecha]]="Septiembre",9,10),Tabla1[[#This Row],[Día de Fecha]])</f>
        <v>46298</v>
      </c>
      <c r="G3194">
        <v>1061716853</v>
      </c>
      <c r="H3194" t="s">
        <v>333</v>
      </c>
      <c r="I3194">
        <v>204</v>
      </c>
      <c r="J3194">
        <v>0</v>
      </c>
      <c r="K3194" s="1">
        <v>11606407</v>
      </c>
    </row>
    <row r="3195" spans="1:11" x14ac:dyDescent="0.25">
      <c r="A3195" t="s">
        <v>326</v>
      </c>
      <c r="B3195" t="s">
        <v>387</v>
      </c>
      <c r="C3195" t="s">
        <v>868</v>
      </c>
      <c r="D3195" t="s">
        <v>14</v>
      </c>
      <c r="E3195">
        <v>3</v>
      </c>
      <c r="F3195" s="2">
        <f>DATE(2026,IF(Tabla1[[#This Row],[Mes de Fecha]]="Septiembre",9,10),Tabla1[[#This Row],[Día de Fecha]])</f>
        <v>46298</v>
      </c>
      <c r="G3195">
        <v>1107840490</v>
      </c>
      <c r="H3195" t="s">
        <v>353</v>
      </c>
      <c r="I3195">
        <v>191</v>
      </c>
      <c r="J3195">
        <v>0</v>
      </c>
      <c r="K3195" s="1">
        <v>11256663</v>
      </c>
    </row>
    <row r="3196" spans="1:11" x14ac:dyDescent="0.25">
      <c r="A3196" t="s">
        <v>326</v>
      </c>
      <c r="B3196" t="s">
        <v>387</v>
      </c>
      <c r="C3196" t="s">
        <v>868</v>
      </c>
      <c r="D3196" t="s">
        <v>14</v>
      </c>
      <c r="E3196">
        <v>3</v>
      </c>
      <c r="F3196" s="2">
        <f>DATE(2026,IF(Tabla1[[#This Row],[Mes de Fecha]]="Septiembre",9,10),Tabla1[[#This Row],[Día de Fecha]])</f>
        <v>46298</v>
      </c>
      <c r="G3196">
        <v>1108252998</v>
      </c>
      <c r="H3196" t="s">
        <v>394</v>
      </c>
      <c r="I3196">
        <v>5</v>
      </c>
      <c r="J3196">
        <v>0</v>
      </c>
      <c r="K3196" s="1">
        <v>204841</v>
      </c>
    </row>
    <row r="3197" spans="1:11" x14ac:dyDescent="0.25">
      <c r="A3197" t="s">
        <v>326</v>
      </c>
      <c r="B3197" t="s">
        <v>387</v>
      </c>
      <c r="C3197" t="s">
        <v>868</v>
      </c>
      <c r="D3197" t="s">
        <v>14</v>
      </c>
      <c r="E3197">
        <v>3</v>
      </c>
      <c r="F3197" s="2">
        <f>DATE(2026,IF(Tabla1[[#This Row],[Mes de Fecha]]="Septiembre",9,10),Tabla1[[#This Row],[Día de Fecha]])</f>
        <v>46298</v>
      </c>
      <c r="G3197">
        <v>1110040133</v>
      </c>
      <c r="H3197" t="s">
        <v>331</v>
      </c>
      <c r="I3197">
        <v>-1</v>
      </c>
      <c r="J3197">
        <v>0</v>
      </c>
      <c r="K3197" s="1">
        <v>-46177</v>
      </c>
    </row>
    <row r="3198" spans="1:11" x14ac:dyDescent="0.25">
      <c r="A3198" t="s">
        <v>326</v>
      </c>
      <c r="B3198" t="s">
        <v>387</v>
      </c>
      <c r="C3198" t="s">
        <v>868</v>
      </c>
      <c r="D3198" t="s">
        <v>14</v>
      </c>
      <c r="E3198">
        <v>3</v>
      </c>
      <c r="F3198" s="2">
        <f>DATE(2026,IF(Tabla1[[#This Row],[Mes de Fecha]]="Septiembre",9,10),Tabla1[[#This Row],[Día de Fecha]])</f>
        <v>46298</v>
      </c>
      <c r="G3198">
        <v>1144085357</v>
      </c>
      <c r="H3198" t="s">
        <v>379</v>
      </c>
      <c r="I3198">
        <v>191</v>
      </c>
      <c r="J3198">
        <v>0</v>
      </c>
      <c r="K3198" s="1">
        <v>11373143</v>
      </c>
    </row>
    <row r="3199" spans="1:11" x14ac:dyDescent="0.25">
      <c r="A3199" t="s">
        <v>326</v>
      </c>
      <c r="B3199" t="s">
        <v>387</v>
      </c>
      <c r="C3199" t="s">
        <v>868</v>
      </c>
      <c r="D3199" t="s">
        <v>14</v>
      </c>
      <c r="E3199">
        <v>3</v>
      </c>
      <c r="F3199" s="2">
        <f>DATE(2026,IF(Tabla1[[#This Row],[Mes de Fecha]]="Septiembre",9,10),Tabla1[[#This Row],[Día de Fecha]])</f>
        <v>46298</v>
      </c>
      <c r="G3199">
        <v>1144109351</v>
      </c>
      <c r="H3199" t="s">
        <v>395</v>
      </c>
      <c r="I3199">
        <v>6</v>
      </c>
      <c r="J3199">
        <v>0</v>
      </c>
      <c r="K3199" s="1">
        <v>286329</v>
      </c>
    </row>
    <row r="3200" spans="1:11" x14ac:dyDescent="0.25">
      <c r="A3200" t="s">
        <v>326</v>
      </c>
      <c r="B3200" t="s">
        <v>387</v>
      </c>
      <c r="C3200" t="s">
        <v>868</v>
      </c>
      <c r="D3200" t="s">
        <v>14</v>
      </c>
      <c r="E3200">
        <v>3</v>
      </c>
      <c r="F3200" s="2">
        <f>DATE(2026,IF(Tabla1[[#This Row],[Mes de Fecha]]="Septiembre",9,10),Tabla1[[#This Row],[Día de Fecha]])</f>
        <v>46298</v>
      </c>
      <c r="G3200">
        <v>1193601115</v>
      </c>
      <c r="H3200" t="s">
        <v>384</v>
      </c>
      <c r="I3200">
        <v>132</v>
      </c>
      <c r="J3200">
        <v>0</v>
      </c>
      <c r="K3200" s="1">
        <v>7384317</v>
      </c>
    </row>
    <row r="3201" spans="1:11" x14ac:dyDescent="0.25">
      <c r="A3201" t="s">
        <v>326</v>
      </c>
      <c r="B3201" t="s">
        <v>387</v>
      </c>
      <c r="C3201" t="s">
        <v>868</v>
      </c>
      <c r="D3201" t="s">
        <v>14</v>
      </c>
      <c r="E3201">
        <v>4</v>
      </c>
      <c r="F3201" s="2">
        <f>DATE(2026,IF(Tabla1[[#This Row],[Mes de Fecha]]="Septiembre",9,10),Tabla1[[#This Row],[Día de Fecha]])</f>
        <v>46299</v>
      </c>
      <c r="I3201">
        <v>0</v>
      </c>
      <c r="J3201" s="1">
        <v>36468657</v>
      </c>
      <c r="K3201">
        <v>0</v>
      </c>
    </row>
    <row r="3202" spans="1:11" x14ac:dyDescent="0.25">
      <c r="A3202" t="s">
        <v>326</v>
      </c>
      <c r="B3202" t="s">
        <v>387</v>
      </c>
      <c r="C3202" t="s">
        <v>868</v>
      </c>
      <c r="D3202" t="s">
        <v>14</v>
      </c>
      <c r="E3202">
        <v>4</v>
      </c>
      <c r="F3202" s="2">
        <f>DATE(2026,IF(Tabla1[[#This Row],[Mes de Fecha]]="Septiembre",9,10),Tabla1[[#This Row],[Día de Fecha]])</f>
        <v>46299</v>
      </c>
      <c r="G3202">
        <v>1061716853</v>
      </c>
      <c r="H3202" t="s">
        <v>333</v>
      </c>
      <c r="I3202">
        <v>197</v>
      </c>
      <c r="J3202">
        <v>0</v>
      </c>
      <c r="K3202" s="1">
        <v>12731147</v>
      </c>
    </row>
    <row r="3203" spans="1:11" x14ac:dyDescent="0.25">
      <c r="A3203" t="s">
        <v>326</v>
      </c>
      <c r="B3203" t="s">
        <v>387</v>
      </c>
      <c r="C3203" t="s">
        <v>868</v>
      </c>
      <c r="D3203" t="s">
        <v>14</v>
      </c>
      <c r="E3203">
        <v>4</v>
      </c>
      <c r="F3203" s="2">
        <f>DATE(2026,IF(Tabla1[[#This Row],[Mes de Fecha]]="Septiembre",9,10),Tabla1[[#This Row],[Día de Fecha]])</f>
        <v>46299</v>
      </c>
      <c r="G3203">
        <v>1107840490</v>
      </c>
      <c r="H3203" t="s">
        <v>353</v>
      </c>
      <c r="I3203">
        <v>206</v>
      </c>
      <c r="J3203">
        <v>0</v>
      </c>
      <c r="K3203" s="1">
        <v>12768625</v>
      </c>
    </row>
    <row r="3204" spans="1:11" x14ac:dyDescent="0.25">
      <c r="A3204" t="s">
        <v>326</v>
      </c>
      <c r="B3204" t="s">
        <v>387</v>
      </c>
      <c r="C3204" t="s">
        <v>868</v>
      </c>
      <c r="D3204" t="s">
        <v>14</v>
      </c>
      <c r="E3204">
        <v>4</v>
      </c>
      <c r="F3204" s="2">
        <f>DATE(2026,IF(Tabla1[[#This Row],[Mes de Fecha]]="Septiembre",9,10),Tabla1[[#This Row],[Día de Fecha]])</f>
        <v>46299</v>
      </c>
      <c r="G3204">
        <v>1108252998</v>
      </c>
      <c r="H3204" t="s">
        <v>394</v>
      </c>
      <c r="I3204">
        <v>4</v>
      </c>
      <c r="J3204">
        <v>0</v>
      </c>
      <c r="K3204" s="1">
        <v>155295</v>
      </c>
    </row>
    <row r="3205" spans="1:11" x14ac:dyDescent="0.25">
      <c r="A3205" t="s">
        <v>326</v>
      </c>
      <c r="B3205" t="s">
        <v>387</v>
      </c>
      <c r="C3205" t="s">
        <v>868</v>
      </c>
      <c r="D3205" t="s">
        <v>14</v>
      </c>
      <c r="E3205">
        <v>4</v>
      </c>
      <c r="F3205" s="2">
        <f>DATE(2026,IF(Tabla1[[#This Row],[Mes de Fecha]]="Septiembre",9,10),Tabla1[[#This Row],[Día de Fecha]])</f>
        <v>46299</v>
      </c>
      <c r="G3205">
        <v>1113689444</v>
      </c>
      <c r="H3205" t="s">
        <v>378</v>
      </c>
      <c r="I3205">
        <v>-1</v>
      </c>
      <c r="J3205">
        <v>0</v>
      </c>
      <c r="K3205" s="1">
        <v>-105000</v>
      </c>
    </row>
    <row r="3206" spans="1:11" x14ac:dyDescent="0.25">
      <c r="A3206" t="s">
        <v>326</v>
      </c>
      <c r="B3206" t="s">
        <v>387</v>
      </c>
      <c r="C3206" t="s">
        <v>868</v>
      </c>
      <c r="D3206" t="s">
        <v>14</v>
      </c>
      <c r="E3206">
        <v>4</v>
      </c>
      <c r="F3206" s="2">
        <f>DATE(2026,IF(Tabla1[[#This Row],[Mes de Fecha]]="Septiembre",9,10),Tabla1[[#This Row],[Día de Fecha]])</f>
        <v>46299</v>
      </c>
      <c r="G3206">
        <v>1144085357</v>
      </c>
      <c r="H3206" t="s">
        <v>379</v>
      </c>
      <c r="I3206">
        <v>204</v>
      </c>
      <c r="J3206">
        <v>0</v>
      </c>
      <c r="K3206" s="1">
        <v>13213999</v>
      </c>
    </row>
    <row r="3207" spans="1:11" x14ac:dyDescent="0.25">
      <c r="A3207" t="s">
        <v>326</v>
      </c>
      <c r="B3207" t="s">
        <v>387</v>
      </c>
      <c r="C3207" t="s">
        <v>868</v>
      </c>
      <c r="D3207" t="s">
        <v>14</v>
      </c>
      <c r="E3207">
        <v>4</v>
      </c>
      <c r="F3207" s="2">
        <f>DATE(2026,IF(Tabla1[[#This Row],[Mes de Fecha]]="Septiembre",9,10),Tabla1[[#This Row],[Día de Fecha]])</f>
        <v>46299</v>
      </c>
      <c r="G3207">
        <v>1144109351</v>
      </c>
      <c r="H3207" t="s">
        <v>395</v>
      </c>
      <c r="I3207">
        <v>6</v>
      </c>
      <c r="J3207">
        <v>0</v>
      </c>
      <c r="K3207" s="1">
        <v>310672</v>
      </c>
    </row>
    <row r="3208" spans="1:11" x14ac:dyDescent="0.25">
      <c r="A3208" t="s">
        <v>326</v>
      </c>
      <c r="B3208" t="s">
        <v>387</v>
      </c>
      <c r="C3208" t="s">
        <v>868</v>
      </c>
      <c r="D3208" t="s">
        <v>14</v>
      </c>
      <c r="E3208">
        <v>4</v>
      </c>
      <c r="F3208" s="2">
        <f>DATE(2026,IF(Tabla1[[#This Row],[Mes de Fecha]]="Septiembre",9,10),Tabla1[[#This Row],[Día de Fecha]])</f>
        <v>46299</v>
      </c>
      <c r="G3208">
        <v>1193601115</v>
      </c>
      <c r="H3208" t="s">
        <v>384</v>
      </c>
      <c r="I3208">
        <v>117</v>
      </c>
      <c r="J3208">
        <v>0</v>
      </c>
      <c r="K3208" s="1">
        <v>8070591</v>
      </c>
    </row>
    <row r="3209" spans="1:11" x14ac:dyDescent="0.25">
      <c r="A3209" t="s">
        <v>326</v>
      </c>
      <c r="B3209" t="s">
        <v>387</v>
      </c>
      <c r="C3209" t="s">
        <v>868</v>
      </c>
      <c r="D3209" t="s">
        <v>14</v>
      </c>
      <c r="E3209">
        <v>5</v>
      </c>
      <c r="F3209" s="2">
        <f>DATE(2026,IF(Tabla1[[#This Row],[Mes de Fecha]]="Septiembre",9,10),Tabla1[[#This Row],[Día de Fecha]])</f>
        <v>46300</v>
      </c>
      <c r="I3209">
        <v>0</v>
      </c>
      <c r="J3209" s="1">
        <v>23678161</v>
      </c>
      <c r="K3209">
        <v>0</v>
      </c>
    </row>
    <row r="3210" spans="1:11" x14ac:dyDescent="0.25">
      <c r="A3210" t="s">
        <v>326</v>
      </c>
      <c r="B3210" t="s">
        <v>387</v>
      </c>
      <c r="C3210" t="s">
        <v>868</v>
      </c>
      <c r="D3210" t="s">
        <v>14</v>
      </c>
      <c r="E3210">
        <v>5</v>
      </c>
      <c r="F3210" s="2">
        <f>DATE(2026,IF(Tabla1[[#This Row],[Mes de Fecha]]="Septiembre",9,10),Tabla1[[#This Row],[Día de Fecha]])</f>
        <v>46300</v>
      </c>
      <c r="G3210">
        <v>16919109</v>
      </c>
      <c r="H3210" t="s">
        <v>390</v>
      </c>
      <c r="I3210">
        <v>-2</v>
      </c>
      <c r="J3210">
        <v>0</v>
      </c>
      <c r="K3210" s="1">
        <v>-163781</v>
      </c>
    </row>
    <row r="3211" spans="1:11" x14ac:dyDescent="0.25">
      <c r="A3211" t="s">
        <v>326</v>
      </c>
      <c r="B3211" t="s">
        <v>387</v>
      </c>
      <c r="C3211" t="s">
        <v>868</v>
      </c>
      <c r="D3211" t="s">
        <v>14</v>
      </c>
      <c r="E3211">
        <v>5</v>
      </c>
      <c r="F3211" s="2">
        <f>DATE(2026,IF(Tabla1[[#This Row],[Mes de Fecha]]="Septiembre",9,10),Tabla1[[#This Row],[Día de Fecha]])</f>
        <v>46300</v>
      </c>
      <c r="G3211">
        <v>1061716853</v>
      </c>
      <c r="H3211" t="s">
        <v>333</v>
      </c>
      <c r="I3211">
        <v>82</v>
      </c>
      <c r="J3211">
        <v>0</v>
      </c>
      <c r="K3211" s="1">
        <v>5654079</v>
      </c>
    </row>
    <row r="3212" spans="1:11" x14ac:dyDescent="0.25">
      <c r="A3212" t="s">
        <v>326</v>
      </c>
      <c r="B3212" t="s">
        <v>387</v>
      </c>
      <c r="C3212" t="s">
        <v>868</v>
      </c>
      <c r="D3212" t="s">
        <v>14</v>
      </c>
      <c r="E3212">
        <v>5</v>
      </c>
      <c r="F3212" s="2">
        <f>DATE(2026,IF(Tabla1[[#This Row],[Mes de Fecha]]="Septiembre",9,10),Tabla1[[#This Row],[Día de Fecha]])</f>
        <v>46300</v>
      </c>
      <c r="G3212">
        <v>1107840490</v>
      </c>
      <c r="H3212" t="s">
        <v>353</v>
      </c>
      <c r="I3212">
        <v>92</v>
      </c>
      <c r="J3212">
        <v>0</v>
      </c>
      <c r="K3212" s="1">
        <v>6008744</v>
      </c>
    </row>
    <row r="3213" spans="1:11" x14ac:dyDescent="0.25">
      <c r="A3213" t="s">
        <v>326</v>
      </c>
      <c r="B3213" t="s">
        <v>387</v>
      </c>
      <c r="C3213" t="s">
        <v>868</v>
      </c>
      <c r="D3213" t="s">
        <v>14</v>
      </c>
      <c r="E3213">
        <v>5</v>
      </c>
      <c r="F3213" s="2">
        <f>DATE(2026,IF(Tabla1[[#This Row],[Mes de Fecha]]="Septiembre",9,10),Tabla1[[#This Row],[Día de Fecha]])</f>
        <v>46300</v>
      </c>
      <c r="G3213">
        <v>1108252998</v>
      </c>
      <c r="H3213" t="s">
        <v>394</v>
      </c>
      <c r="I3213">
        <v>2</v>
      </c>
      <c r="J3213">
        <v>0</v>
      </c>
      <c r="K3213" s="1">
        <v>83950</v>
      </c>
    </row>
    <row r="3214" spans="1:11" x14ac:dyDescent="0.25">
      <c r="A3214" t="s">
        <v>326</v>
      </c>
      <c r="B3214" t="s">
        <v>387</v>
      </c>
      <c r="C3214" t="s">
        <v>868</v>
      </c>
      <c r="D3214" t="s">
        <v>14</v>
      </c>
      <c r="E3214">
        <v>5</v>
      </c>
      <c r="F3214" s="2">
        <f>DATE(2026,IF(Tabla1[[#This Row],[Mes de Fecha]]="Septiembre",9,10),Tabla1[[#This Row],[Día de Fecha]])</f>
        <v>46300</v>
      </c>
      <c r="G3214">
        <v>1111665228</v>
      </c>
      <c r="H3214" t="s">
        <v>342</v>
      </c>
      <c r="I3214">
        <v>-4</v>
      </c>
      <c r="J3214">
        <v>0</v>
      </c>
      <c r="K3214" s="1">
        <v>-151009</v>
      </c>
    </row>
    <row r="3215" spans="1:11" x14ac:dyDescent="0.25">
      <c r="A3215" t="s">
        <v>326</v>
      </c>
      <c r="B3215" t="s">
        <v>387</v>
      </c>
      <c r="C3215" t="s">
        <v>868</v>
      </c>
      <c r="D3215" t="s">
        <v>14</v>
      </c>
      <c r="E3215">
        <v>5</v>
      </c>
      <c r="F3215" s="2">
        <f>DATE(2026,IF(Tabla1[[#This Row],[Mes de Fecha]]="Septiembre",9,10),Tabla1[[#This Row],[Día de Fecha]])</f>
        <v>46300</v>
      </c>
      <c r="G3215">
        <v>1118312125</v>
      </c>
      <c r="H3215" t="s">
        <v>397</v>
      </c>
      <c r="I3215">
        <v>-1</v>
      </c>
      <c r="J3215">
        <v>0</v>
      </c>
      <c r="K3215" s="1">
        <v>-109202</v>
      </c>
    </row>
    <row r="3216" spans="1:11" x14ac:dyDescent="0.25">
      <c r="A3216" t="s">
        <v>326</v>
      </c>
      <c r="B3216" t="s">
        <v>387</v>
      </c>
      <c r="C3216" t="s">
        <v>868</v>
      </c>
      <c r="D3216" t="s">
        <v>14</v>
      </c>
      <c r="E3216">
        <v>5</v>
      </c>
      <c r="F3216" s="2">
        <f>DATE(2026,IF(Tabla1[[#This Row],[Mes de Fecha]]="Septiembre",9,10),Tabla1[[#This Row],[Día de Fecha]])</f>
        <v>46300</v>
      </c>
      <c r="G3216">
        <v>1144085357</v>
      </c>
      <c r="H3216" t="s">
        <v>379</v>
      </c>
      <c r="I3216">
        <v>75</v>
      </c>
      <c r="J3216">
        <v>0</v>
      </c>
      <c r="K3216" s="1">
        <v>5082904</v>
      </c>
    </row>
    <row r="3217" spans="1:11" x14ac:dyDescent="0.25">
      <c r="A3217" t="s">
        <v>326</v>
      </c>
      <c r="B3217" t="s">
        <v>387</v>
      </c>
      <c r="C3217" t="s">
        <v>868</v>
      </c>
      <c r="D3217" t="s">
        <v>14</v>
      </c>
      <c r="E3217">
        <v>5</v>
      </c>
      <c r="F3217" s="2">
        <f>DATE(2026,IF(Tabla1[[#This Row],[Mes de Fecha]]="Septiembre",9,10),Tabla1[[#This Row],[Día de Fecha]])</f>
        <v>46300</v>
      </c>
      <c r="G3217">
        <v>1144109351</v>
      </c>
      <c r="H3217" t="s">
        <v>395</v>
      </c>
      <c r="I3217">
        <v>6</v>
      </c>
      <c r="J3217">
        <v>0</v>
      </c>
      <c r="K3217" s="1">
        <v>285463</v>
      </c>
    </row>
    <row r="3218" spans="1:11" x14ac:dyDescent="0.25">
      <c r="A3218" t="s">
        <v>326</v>
      </c>
      <c r="B3218" t="s">
        <v>387</v>
      </c>
      <c r="C3218" t="s">
        <v>868</v>
      </c>
      <c r="D3218" t="s">
        <v>14</v>
      </c>
      <c r="E3218">
        <v>5</v>
      </c>
      <c r="F3218" s="2">
        <f>DATE(2026,IF(Tabla1[[#This Row],[Mes de Fecha]]="Septiembre",9,10),Tabla1[[#This Row],[Día de Fecha]])</f>
        <v>46300</v>
      </c>
      <c r="G3218">
        <v>1144212178</v>
      </c>
      <c r="H3218" t="s">
        <v>336</v>
      </c>
      <c r="I3218">
        <v>-1</v>
      </c>
      <c r="J3218">
        <v>0</v>
      </c>
      <c r="K3218" s="1">
        <v>-83992</v>
      </c>
    </row>
    <row r="3219" spans="1:11" x14ac:dyDescent="0.25">
      <c r="A3219" t="s">
        <v>326</v>
      </c>
      <c r="B3219" t="s">
        <v>387</v>
      </c>
      <c r="C3219" t="s">
        <v>868</v>
      </c>
      <c r="D3219" t="s">
        <v>14</v>
      </c>
      <c r="E3219">
        <v>5</v>
      </c>
      <c r="F3219" s="2">
        <f>DATE(2026,IF(Tabla1[[#This Row],[Mes de Fecha]]="Septiembre",9,10),Tabla1[[#This Row],[Día de Fecha]])</f>
        <v>46300</v>
      </c>
      <c r="G3219">
        <v>1193259913</v>
      </c>
      <c r="H3219" t="s">
        <v>354</v>
      </c>
      <c r="I3219">
        <v>-1</v>
      </c>
      <c r="J3219">
        <v>0</v>
      </c>
      <c r="K3219" s="1">
        <v>-46177</v>
      </c>
    </row>
    <row r="3220" spans="1:11" x14ac:dyDescent="0.25">
      <c r="A3220" t="s">
        <v>326</v>
      </c>
      <c r="B3220" t="s">
        <v>387</v>
      </c>
      <c r="C3220" t="s">
        <v>868</v>
      </c>
      <c r="D3220" t="s">
        <v>14</v>
      </c>
      <c r="E3220">
        <v>5</v>
      </c>
      <c r="F3220" s="2">
        <f>DATE(2026,IF(Tabla1[[#This Row],[Mes de Fecha]]="Septiembre",9,10),Tabla1[[#This Row],[Día de Fecha]])</f>
        <v>46300</v>
      </c>
      <c r="G3220">
        <v>1193601115</v>
      </c>
      <c r="H3220" t="s">
        <v>384</v>
      </c>
      <c r="I3220">
        <v>61</v>
      </c>
      <c r="J3220">
        <v>0</v>
      </c>
      <c r="K3220" s="1">
        <v>4276851</v>
      </c>
    </row>
    <row r="3221" spans="1:11" x14ac:dyDescent="0.25">
      <c r="A3221" t="s">
        <v>326</v>
      </c>
      <c r="B3221" t="s">
        <v>387</v>
      </c>
      <c r="C3221" t="s">
        <v>868</v>
      </c>
      <c r="D3221" t="s">
        <v>14</v>
      </c>
      <c r="E3221">
        <v>6</v>
      </c>
      <c r="F3221" s="2">
        <f>DATE(2026,IF(Tabla1[[#This Row],[Mes de Fecha]]="Septiembre",9,10),Tabla1[[#This Row],[Día de Fecha]])</f>
        <v>46301</v>
      </c>
      <c r="I3221">
        <v>0</v>
      </c>
      <c r="J3221" s="1">
        <v>13148051</v>
      </c>
      <c r="K3221">
        <v>0</v>
      </c>
    </row>
    <row r="3222" spans="1:11" x14ac:dyDescent="0.25">
      <c r="A3222" t="s">
        <v>326</v>
      </c>
      <c r="B3222" t="s">
        <v>387</v>
      </c>
      <c r="C3222" t="s">
        <v>868</v>
      </c>
      <c r="D3222" t="s">
        <v>14</v>
      </c>
      <c r="E3222">
        <v>6</v>
      </c>
      <c r="F3222" s="2">
        <f>DATE(2026,IF(Tabla1[[#This Row],[Mes de Fecha]]="Septiembre",9,10),Tabla1[[#This Row],[Día de Fecha]])</f>
        <v>46301</v>
      </c>
      <c r="G3222">
        <v>1061716853</v>
      </c>
      <c r="H3222" t="s">
        <v>333</v>
      </c>
      <c r="I3222">
        <v>43</v>
      </c>
      <c r="J3222">
        <v>0</v>
      </c>
      <c r="K3222" s="1">
        <v>2670422</v>
      </c>
    </row>
    <row r="3223" spans="1:11" x14ac:dyDescent="0.25">
      <c r="A3223" t="s">
        <v>326</v>
      </c>
      <c r="B3223" t="s">
        <v>387</v>
      </c>
      <c r="C3223" t="s">
        <v>868</v>
      </c>
      <c r="D3223" t="s">
        <v>14</v>
      </c>
      <c r="E3223">
        <v>6</v>
      </c>
      <c r="F3223" s="2">
        <f>DATE(2026,IF(Tabla1[[#This Row],[Mes de Fecha]]="Septiembre",9,10),Tabla1[[#This Row],[Día de Fecha]])</f>
        <v>46301</v>
      </c>
      <c r="G3223">
        <v>1107840490</v>
      </c>
      <c r="H3223" t="s">
        <v>353</v>
      </c>
      <c r="I3223">
        <v>38</v>
      </c>
      <c r="J3223">
        <v>0</v>
      </c>
      <c r="K3223" s="1">
        <v>2639122</v>
      </c>
    </row>
    <row r="3224" spans="1:11" x14ac:dyDescent="0.25">
      <c r="A3224" t="s">
        <v>326</v>
      </c>
      <c r="B3224" t="s">
        <v>387</v>
      </c>
      <c r="C3224" t="s">
        <v>868</v>
      </c>
      <c r="D3224" t="s">
        <v>14</v>
      </c>
      <c r="E3224">
        <v>6</v>
      </c>
      <c r="F3224" s="2">
        <f>DATE(2026,IF(Tabla1[[#This Row],[Mes de Fecha]]="Septiembre",9,10),Tabla1[[#This Row],[Día de Fecha]])</f>
        <v>46301</v>
      </c>
      <c r="G3224">
        <v>1108252998</v>
      </c>
      <c r="H3224" t="s">
        <v>394</v>
      </c>
      <c r="I3224">
        <v>2</v>
      </c>
      <c r="J3224">
        <v>0</v>
      </c>
      <c r="K3224" s="1">
        <v>159580</v>
      </c>
    </row>
    <row r="3225" spans="1:11" x14ac:dyDescent="0.25">
      <c r="A3225" t="s">
        <v>326</v>
      </c>
      <c r="B3225" t="s">
        <v>387</v>
      </c>
      <c r="C3225" t="s">
        <v>868</v>
      </c>
      <c r="D3225" t="s">
        <v>14</v>
      </c>
      <c r="E3225">
        <v>6</v>
      </c>
      <c r="F3225" s="2">
        <f>DATE(2026,IF(Tabla1[[#This Row],[Mes de Fecha]]="Septiembre",9,10),Tabla1[[#This Row],[Día de Fecha]])</f>
        <v>46301</v>
      </c>
      <c r="G3225">
        <v>1144085357</v>
      </c>
      <c r="H3225" t="s">
        <v>379</v>
      </c>
      <c r="I3225">
        <v>41</v>
      </c>
      <c r="J3225">
        <v>0</v>
      </c>
      <c r="K3225" s="1">
        <v>2500337</v>
      </c>
    </row>
    <row r="3226" spans="1:11" x14ac:dyDescent="0.25">
      <c r="A3226" t="s">
        <v>326</v>
      </c>
      <c r="B3226" t="s">
        <v>387</v>
      </c>
      <c r="C3226" t="s">
        <v>868</v>
      </c>
      <c r="D3226" t="s">
        <v>14</v>
      </c>
      <c r="E3226">
        <v>6</v>
      </c>
      <c r="F3226" s="2">
        <f>DATE(2026,IF(Tabla1[[#This Row],[Mes de Fecha]]="Septiembre",9,10),Tabla1[[#This Row],[Día de Fecha]])</f>
        <v>46301</v>
      </c>
      <c r="G3226">
        <v>1144109351</v>
      </c>
      <c r="H3226" t="s">
        <v>395</v>
      </c>
      <c r="I3226">
        <v>1</v>
      </c>
      <c r="J3226">
        <v>0</v>
      </c>
      <c r="K3226" s="1">
        <v>33572</v>
      </c>
    </row>
    <row r="3227" spans="1:11" x14ac:dyDescent="0.25">
      <c r="A3227" t="s">
        <v>326</v>
      </c>
      <c r="B3227" t="s">
        <v>387</v>
      </c>
      <c r="C3227" t="s">
        <v>868</v>
      </c>
      <c r="D3227" t="s">
        <v>14</v>
      </c>
      <c r="E3227">
        <v>6</v>
      </c>
      <c r="F3227" s="2">
        <f>DATE(2026,IF(Tabla1[[#This Row],[Mes de Fecha]]="Septiembre",9,10),Tabla1[[#This Row],[Día de Fecha]])</f>
        <v>46301</v>
      </c>
      <c r="G3227">
        <v>1193601115</v>
      </c>
      <c r="H3227" t="s">
        <v>384</v>
      </c>
      <c r="I3227">
        <v>34</v>
      </c>
      <c r="J3227">
        <v>0</v>
      </c>
      <c r="K3227" s="1">
        <v>1830545</v>
      </c>
    </row>
    <row r="3228" spans="1:11" x14ac:dyDescent="0.25">
      <c r="A3228" t="s">
        <v>326</v>
      </c>
      <c r="B3228" t="s">
        <v>387</v>
      </c>
      <c r="C3228" t="s">
        <v>868</v>
      </c>
      <c r="D3228" t="s">
        <v>14</v>
      </c>
      <c r="E3228">
        <v>7</v>
      </c>
      <c r="F3228" s="2">
        <f>DATE(2026,IF(Tabla1[[#This Row],[Mes de Fecha]]="Septiembre",9,10),Tabla1[[#This Row],[Día de Fecha]])</f>
        <v>46302</v>
      </c>
      <c r="I3228">
        <v>0</v>
      </c>
      <c r="J3228" s="1">
        <v>12975050</v>
      </c>
      <c r="K3228">
        <v>0</v>
      </c>
    </row>
    <row r="3229" spans="1:11" x14ac:dyDescent="0.25">
      <c r="A3229" t="s">
        <v>326</v>
      </c>
      <c r="B3229" t="s">
        <v>387</v>
      </c>
      <c r="C3229" t="s">
        <v>868</v>
      </c>
      <c r="D3229" t="s">
        <v>14</v>
      </c>
      <c r="E3229">
        <v>7</v>
      </c>
      <c r="F3229" s="2">
        <f>DATE(2026,IF(Tabla1[[#This Row],[Mes de Fecha]]="Septiembre",9,10),Tabla1[[#This Row],[Día de Fecha]])</f>
        <v>46302</v>
      </c>
      <c r="G3229">
        <v>1004006497</v>
      </c>
      <c r="H3229" t="s">
        <v>383</v>
      </c>
      <c r="I3229">
        <v>-1</v>
      </c>
      <c r="J3229">
        <v>0</v>
      </c>
      <c r="K3229" s="1">
        <v>-105000</v>
      </c>
    </row>
    <row r="3230" spans="1:11" x14ac:dyDescent="0.25">
      <c r="A3230" t="s">
        <v>326</v>
      </c>
      <c r="B3230" t="s">
        <v>387</v>
      </c>
      <c r="C3230" t="s">
        <v>868</v>
      </c>
      <c r="D3230" t="s">
        <v>14</v>
      </c>
      <c r="E3230">
        <v>7</v>
      </c>
      <c r="F3230" s="2">
        <f>DATE(2026,IF(Tabla1[[#This Row],[Mes de Fecha]]="Septiembre",9,10),Tabla1[[#This Row],[Día de Fecha]])</f>
        <v>46302</v>
      </c>
      <c r="G3230">
        <v>1061716853</v>
      </c>
      <c r="H3230" t="s">
        <v>333</v>
      </c>
      <c r="I3230">
        <v>35</v>
      </c>
      <c r="J3230">
        <v>0</v>
      </c>
      <c r="K3230" s="1">
        <v>2330423</v>
      </c>
    </row>
    <row r="3231" spans="1:11" x14ac:dyDescent="0.25">
      <c r="A3231" t="s">
        <v>326</v>
      </c>
      <c r="B3231" t="s">
        <v>387</v>
      </c>
      <c r="C3231" t="s">
        <v>868</v>
      </c>
      <c r="D3231" t="s">
        <v>14</v>
      </c>
      <c r="E3231">
        <v>7</v>
      </c>
      <c r="F3231" s="2">
        <f>DATE(2026,IF(Tabla1[[#This Row],[Mes de Fecha]]="Septiembre",9,10),Tabla1[[#This Row],[Día de Fecha]])</f>
        <v>46302</v>
      </c>
      <c r="G3231">
        <v>1107840490</v>
      </c>
      <c r="H3231" t="s">
        <v>353</v>
      </c>
      <c r="I3231">
        <v>34</v>
      </c>
      <c r="J3231">
        <v>0</v>
      </c>
      <c r="K3231" s="1">
        <v>2236008</v>
      </c>
    </row>
    <row r="3232" spans="1:11" x14ac:dyDescent="0.25">
      <c r="A3232" t="s">
        <v>326</v>
      </c>
      <c r="B3232" t="s">
        <v>387</v>
      </c>
      <c r="C3232" t="s">
        <v>868</v>
      </c>
      <c r="D3232" t="s">
        <v>14</v>
      </c>
      <c r="E3232">
        <v>7</v>
      </c>
      <c r="F3232" s="2">
        <f>DATE(2026,IF(Tabla1[[#This Row],[Mes de Fecha]]="Septiembre",9,10),Tabla1[[#This Row],[Día de Fecha]])</f>
        <v>46302</v>
      </c>
      <c r="G3232">
        <v>1144085357</v>
      </c>
      <c r="H3232" t="s">
        <v>379</v>
      </c>
      <c r="I3232">
        <v>43</v>
      </c>
      <c r="J3232">
        <v>0</v>
      </c>
      <c r="K3232" s="1">
        <v>2567521</v>
      </c>
    </row>
    <row r="3233" spans="1:11" x14ac:dyDescent="0.25">
      <c r="A3233" t="s">
        <v>326</v>
      </c>
      <c r="B3233" t="s">
        <v>387</v>
      </c>
      <c r="C3233" t="s">
        <v>868</v>
      </c>
      <c r="D3233" t="s">
        <v>14</v>
      </c>
      <c r="E3233">
        <v>7</v>
      </c>
      <c r="F3233" s="2">
        <f>DATE(2026,IF(Tabla1[[#This Row],[Mes de Fecha]]="Septiembre",9,10),Tabla1[[#This Row],[Día de Fecha]])</f>
        <v>46302</v>
      </c>
      <c r="G3233">
        <v>1144109351</v>
      </c>
      <c r="H3233" t="s">
        <v>395</v>
      </c>
      <c r="I3233">
        <v>1</v>
      </c>
      <c r="J3233">
        <v>0</v>
      </c>
      <c r="K3233" s="1">
        <v>37773</v>
      </c>
    </row>
    <row r="3234" spans="1:11" x14ac:dyDescent="0.25">
      <c r="A3234" t="s">
        <v>326</v>
      </c>
      <c r="B3234" t="s">
        <v>387</v>
      </c>
      <c r="C3234" t="s">
        <v>868</v>
      </c>
      <c r="D3234" t="s">
        <v>14</v>
      </c>
      <c r="E3234">
        <v>7</v>
      </c>
      <c r="F3234" s="2">
        <f>DATE(2026,IF(Tabla1[[#This Row],[Mes de Fecha]]="Septiembre",9,10),Tabla1[[#This Row],[Día de Fecha]])</f>
        <v>46302</v>
      </c>
      <c r="G3234">
        <v>1193601115</v>
      </c>
      <c r="H3234" t="s">
        <v>384</v>
      </c>
      <c r="I3234">
        <v>37</v>
      </c>
      <c r="J3234">
        <v>0</v>
      </c>
      <c r="K3234" s="1">
        <v>2443826</v>
      </c>
    </row>
    <row r="3235" spans="1:11" x14ac:dyDescent="0.25">
      <c r="A3235" t="s">
        <v>326</v>
      </c>
      <c r="B3235" t="s">
        <v>428</v>
      </c>
      <c r="C3235" t="s">
        <v>868</v>
      </c>
      <c r="D3235" t="s">
        <v>11</v>
      </c>
      <c r="E3235">
        <v>23</v>
      </c>
      <c r="F3235" s="2">
        <f>DATE(2026,IF(Tabla1[[#This Row],[Mes de Fecha]]="Septiembre",9,10),Tabla1[[#This Row],[Día de Fecha]])</f>
        <v>46288</v>
      </c>
      <c r="I3235">
        <v>0</v>
      </c>
      <c r="J3235" s="1">
        <v>25190705</v>
      </c>
      <c r="K3235">
        <v>0</v>
      </c>
    </row>
    <row r="3236" spans="1:11" x14ac:dyDescent="0.25">
      <c r="A3236" t="s">
        <v>326</v>
      </c>
      <c r="B3236" t="s">
        <v>428</v>
      </c>
      <c r="C3236" t="s">
        <v>868</v>
      </c>
      <c r="D3236" t="s">
        <v>11</v>
      </c>
      <c r="E3236">
        <v>23</v>
      </c>
      <c r="F3236" s="2">
        <f>DATE(2026,IF(Tabla1[[#This Row],[Mes de Fecha]]="Septiembre",9,10),Tabla1[[#This Row],[Día de Fecha]])</f>
        <v>46288</v>
      </c>
      <c r="G3236">
        <v>6469923</v>
      </c>
      <c r="H3236" t="s">
        <v>340</v>
      </c>
      <c r="I3236">
        <v>74</v>
      </c>
      <c r="J3236">
        <v>0</v>
      </c>
      <c r="K3236" s="1">
        <v>4067947</v>
      </c>
    </row>
    <row r="3237" spans="1:11" x14ac:dyDescent="0.25">
      <c r="A3237" t="s">
        <v>326</v>
      </c>
      <c r="B3237" t="s">
        <v>428</v>
      </c>
      <c r="C3237" t="s">
        <v>868</v>
      </c>
      <c r="D3237" t="s">
        <v>11</v>
      </c>
      <c r="E3237">
        <v>23</v>
      </c>
      <c r="F3237" s="2">
        <f>DATE(2026,IF(Tabla1[[#This Row],[Mes de Fecha]]="Septiembre",9,10),Tabla1[[#This Row],[Día de Fecha]])</f>
        <v>46288</v>
      </c>
      <c r="G3237">
        <v>1005707524</v>
      </c>
      <c r="H3237" t="s">
        <v>392</v>
      </c>
      <c r="I3237">
        <v>78</v>
      </c>
      <c r="J3237">
        <v>0</v>
      </c>
      <c r="K3237" s="1">
        <v>4008716</v>
      </c>
    </row>
    <row r="3238" spans="1:11" x14ac:dyDescent="0.25">
      <c r="A3238" t="s">
        <v>326</v>
      </c>
      <c r="B3238" t="s">
        <v>428</v>
      </c>
      <c r="C3238" t="s">
        <v>868</v>
      </c>
      <c r="D3238" t="s">
        <v>11</v>
      </c>
      <c r="E3238">
        <v>23</v>
      </c>
      <c r="F3238" s="2">
        <f>DATE(2026,IF(Tabla1[[#This Row],[Mes de Fecha]]="Septiembre",9,10),Tabla1[[#This Row],[Día de Fecha]])</f>
        <v>46288</v>
      </c>
      <c r="G3238">
        <v>1107047599</v>
      </c>
      <c r="H3238" t="s">
        <v>356</v>
      </c>
      <c r="I3238">
        <v>50</v>
      </c>
      <c r="J3238">
        <v>0</v>
      </c>
      <c r="K3238" s="1">
        <v>2430505</v>
      </c>
    </row>
    <row r="3239" spans="1:11" x14ac:dyDescent="0.25">
      <c r="A3239" t="s">
        <v>326</v>
      </c>
      <c r="B3239" t="s">
        <v>428</v>
      </c>
      <c r="C3239" t="s">
        <v>868</v>
      </c>
      <c r="D3239" t="s">
        <v>11</v>
      </c>
      <c r="E3239">
        <v>23</v>
      </c>
      <c r="F3239" s="2">
        <f>DATE(2026,IF(Tabla1[[#This Row],[Mes de Fecha]]="Septiembre",9,10),Tabla1[[#This Row],[Día de Fecha]])</f>
        <v>46288</v>
      </c>
      <c r="G3239">
        <v>1111665228</v>
      </c>
      <c r="H3239" t="s">
        <v>342</v>
      </c>
      <c r="I3239">
        <v>109</v>
      </c>
      <c r="J3239">
        <v>0</v>
      </c>
      <c r="K3239" s="1">
        <v>5366853</v>
      </c>
    </row>
    <row r="3240" spans="1:11" x14ac:dyDescent="0.25">
      <c r="A3240" t="s">
        <v>326</v>
      </c>
      <c r="B3240" t="s">
        <v>428</v>
      </c>
      <c r="C3240" t="s">
        <v>868</v>
      </c>
      <c r="D3240" t="s">
        <v>11</v>
      </c>
      <c r="E3240">
        <v>23</v>
      </c>
      <c r="F3240" s="2">
        <f>DATE(2026,IF(Tabla1[[#This Row],[Mes de Fecha]]="Septiembre",9,10),Tabla1[[#This Row],[Día de Fecha]])</f>
        <v>46288</v>
      </c>
      <c r="G3240">
        <v>1193259913</v>
      </c>
      <c r="H3240" t="s">
        <v>354</v>
      </c>
      <c r="I3240">
        <v>-1</v>
      </c>
      <c r="J3240">
        <v>0</v>
      </c>
      <c r="K3240" s="1">
        <v>-41933</v>
      </c>
    </row>
    <row r="3241" spans="1:11" x14ac:dyDescent="0.25">
      <c r="A3241" t="s">
        <v>326</v>
      </c>
      <c r="B3241" t="s">
        <v>428</v>
      </c>
      <c r="C3241" t="s">
        <v>868</v>
      </c>
      <c r="D3241" t="s">
        <v>11</v>
      </c>
      <c r="E3241">
        <v>24</v>
      </c>
      <c r="F3241" s="2">
        <f>DATE(2026,IF(Tabla1[[#This Row],[Mes de Fecha]]="Septiembre",9,10),Tabla1[[#This Row],[Día de Fecha]])</f>
        <v>46289</v>
      </c>
      <c r="I3241">
        <v>0</v>
      </c>
      <c r="J3241" s="1">
        <v>38481641</v>
      </c>
      <c r="K3241">
        <v>0</v>
      </c>
    </row>
    <row r="3242" spans="1:11" x14ac:dyDescent="0.25">
      <c r="A3242" t="s">
        <v>326</v>
      </c>
      <c r="B3242" t="s">
        <v>428</v>
      </c>
      <c r="C3242" t="s">
        <v>868</v>
      </c>
      <c r="D3242" t="s">
        <v>11</v>
      </c>
      <c r="E3242">
        <v>24</v>
      </c>
      <c r="F3242" s="2">
        <f>DATE(2026,IF(Tabla1[[#This Row],[Mes de Fecha]]="Septiembre",9,10),Tabla1[[#This Row],[Día de Fecha]])</f>
        <v>46289</v>
      </c>
      <c r="G3242">
        <v>6469923</v>
      </c>
      <c r="H3242" t="s">
        <v>340</v>
      </c>
      <c r="I3242">
        <v>80</v>
      </c>
      <c r="J3242">
        <v>0</v>
      </c>
      <c r="K3242" s="1">
        <v>4450046</v>
      </c>
    </row>
    <row r="3243" spans="1:11" x14ac:dyDescent="0.25">
      <c r="A3243" t="s">
        <v>326</v>
      </c>
      <c r="B3243" t="s">
        <v>428</v>
      </c>
      <c r="C3243" t="s">
        <v>868</v>
      </c>
      <c r="D3243" t="s">
        <v>11</v>
      </c>
      <c r="E3243">
        <v>24</v>
      </c>
      <c r="F3243" s="2">
        <f>DATE(2026,IF(Tabla1[[#This Row],[Mes de Fecha]]="Septiembre",9,10),Tabla1[[#This Row],[Día de Fecha]])</f>
        <v>46289</v>
      </c>
      <c r="G3243">
        <v>1005707524</v>
      </c>
      <c r="H3243" t="s">
        <v>392</v>
      </c>
      <c r="I3243">
        <v>115</v>
      </c>
      <c r="J3243">
        <v>0</v>
      </c>
      <c r="K3243" s="1">
        <v>6242870</v>
      </c>
    </row>
    <row r="3244" spans="1:11" x14ac:dyDescent="0.25">
      <c r="A3244" t="s">
        <v>326</v>
      </c>
      <c r="B3244" t="s">
        <v>428</v>
      </c>
      <c r="C3244" t="s">
        <v>868</v>
      </c>
      <c r="D3244" t="s">
        <v>11</v>
      </c>
      <c r="E3244">
        <v>24</v>
      </c>
      <c r="F3244" s="2">
        <f>DATE(2026,IF(Tabla1[[#This Row],[Mes de Fecha]]="Septiembre",9,10),Tabla1[[#This Row],[Día de Fecha]])</f>
        <v>46289</v>
      </c>
      <c r="G3244">
        <v>1007028984</v>
      </c>
      <c r="H3244" t="s">
        <v>430</v>
      </c>
      <c r="I3244">
        <v>10</v>
      </c>
      <c r="J3244">
        <v>0</v>
      </c>
      <c r="K3244" s="1">
        <v>520590</v>
      </c>
    </row>
    <row r="3245" spans="1:11" x14ac:dyDescent="0.25">
      <c r="A3245" t="s">
        <v>326</v>
      </c>
      <c r="B3245" t="s">
        <v>428</v>
      </c>
      <c r="C3245" t="s">
        <v>868</v>
      </c>
      <c r="D3245" t="s">
        <v>11</v>
      </c>
      <c r="E3245">
        <v>24</v>
      </c>
      <c r="F3245" s="2">
        <f>DATE(2026,IF(Tabla1[[#This Row],[Mes de Fecha]]="Septiembre",9,10),Tabla1[[#This Row],[Día de Fecha]])</f>
        <v>46289</v>
      </c>
      <c r="G3245">
        <v>1105928523</v>
      </c>
      <c r="H3245" t="s">
        <v>431</v>
      </c>
      <c r="I3245">
        <v>32</v>
      </c>
      <c r="J3245">
        <v>0</v>
      </c>
      <c r="K3245" s="1">
        <v>1628657</v>
      </c>
    </row>
    <row r="3246" spans="1:11" x14ac:dyDescent="0.25">
      <c r="A3246" t="s">
        <v>326</v>
      </c>
      <c r="B3246" t="s">
        <v>428</v>
      </c>
      <c r="C3246" t="s">
        <v>868</v>
      </c>
      <c r="D3246" t="s">
        <v>11</v>
      </c>
      <c r="E3246">
        <v>24</v>
      </c>
      <c r="F3246" s="2">
        <f>DATE(2026,IF(Tabla1[[#This Row],[Mes de Fecha]]="Septiembre",9,10),Tabla1[[#This Row],[Día de Fecha]])</f>
        <v>46289</v>
      </c>
      <c r="G3246">
        <v>1107047599</v>
      </c>
      <c r="H3246" t="s">
        <v>356</v>
      </c>
      <c r="I3246">
        <v>59</v>
      </c>
      <c r="J3246">
        <v>0</v>
      </c>
      <c r="K3246" s="1">
        <v>2980633</v>
      </c>
    </row>
    <row r="3247" spans="1:11" x14ac:dyDescent="0.25">
      <c r="A3247" t="s">
        <v>326</v>
      </c>
      <c r="B3247" t="s">
        <v>428</v>
      </c>
      <c r="C3247" t="s">
        <v>868</v>
      </c>
      <c r="D3247" t="s">
        <v>11</v>
      </c>
      <c r="E3247">
        <v>24</v>
      </c>
      <c r="F3247" s="2">
        <f>DATE(2026,IF(Tabla1[[#This Row],[Mes de Fecha]]="Septiembre",9,10),Tabla1[[#This Row],[Día de Fecha]])</f>
        <v>46289</v>
      </c>
      <c r="G3247">
        <v>1111665228</v>
      </c>
      <c r="H3247" t="s">
        <v>342</v>
      </c>
      <c r="I3247">
        <v>106</v>
      </c>
      <c r="J3247">
        <v>0</v>
      </c>
      <c r="K3247" s="1">
        <v>4974082</v>
      </c>
    </row>
    <row r="3248" spans="1:11" x14ac:dyDescent="0.25">
      <c r="A3248" t="s">
        <v>326</v>
      </c>
      <c r="B3248" t="s">
        <v>428</v>
      </c>
      <c r="C3248" t="s">
        <v>868</v>
      </c>
      <c r="D3248" t="s">
        <v>11</v>
      </c>
      <c r="E3248">
        <v>24</v>
      </c>
      <c r="F3248" s="2">
        <f>DATE(2026,IF(Tabla1[[#This Row],[Mes de Fecha]]="Septiembre",9,10),Tabla1[[#This Row],[Día de Fecha]])</f>
        <v>46289</v>
      </c>
      <c r="G3248">
        <v>1143984751</v>
      </c>
      <c r="H3248" t="s">
        <v>432</v>
      </c>
      <c r="I3248">
        <v>25</v>
      </c>
      <c r="J3248">
        <v>0</v>
      </c>
      <c r="K3248" s="1">
        <v>1490334</v>
      </c>
    </row>
    <row r="3249" spans="1:11" x14ac:dyDescent="0.25">
      <c r="A3249" t="s">
        <v>326</v>
      </c>
      <c r="B3249" t="s">
        <v>428</v>
      </c>
      <c r="C3249" t="s">
        <v>868</v>
      </c>
      <c r="D3249" t="s">
        <v>11</v>
      </c>
      <c r="E3249">
        <v>25</v>
      </c>
      <c r="F3249" s="2">
        <f>DATE(2026,IF(Tabla1[[#This Row],[Mes de Fecha]]="Septiembre",9,10),Tabla1[[#This Row],[Día de Fecha]])</f>
        <v>46290</v>
      </c>
      <c r="I3249">
        <v>0</v>
      </c>
      <c r="J3249" s="1">
        <v>38396451</v>
      </c>
      <c r="K3249">
        <v>0</v>
      </c>
    </row>
    <row r="3250" spans="1:11" x14ac:dyDescent="0.25">
      <c r="A3250" t="s">
        <v>326</v>
      </c>
      <c r="B3250" t="s">
        <v>428</v>
      </c>
      <c r="C3250" t="s">
        <v>868</v>
      </c>
      <c r="D3250" t="s">
        <v>11</v>
      </c>
      <c r="E3250">
        <v>25</v>
      </c>
      <c r="F3250" s="2">
        <f>DATE(2026,IF(Tabla1[[#This Row],[Mes de Fecha]]="Septiembre",9,10),Tabla1[[#This Row],[Día de Fecha]])</f>
        <v>46290</v>
      </c>
      <c r="G3250">
        <v>6469923</v>
      </c>
      <c r="H3250" t="s">
        <v>340</v>
      </c>
      <c r="I3250">
        <v>71</v>
      </c>
      <c r="J3250">
        <v>0</v>
      </c>
      <c r="K3250" s="1">
        <v>3611514</v>
      </c>
    </row>
    <row r="3251" spans="1:11" x14ac:dyDescent="0.25">
      <c r="A3251" t="s">
        <v>326</v>
      </c>
      <c r="B3251" t="s">
        <v>428</v>
      </c>
      <c r="C3251" t="s">
        <v>868</v>
      </c>
      <c r="D3251" t="s">
        <v>11</v>
      </c>
      <c r="E3251">
        <v>25</v>
      </c>
      <c r="F3251" s="2">
        <f>DATE(2026,IF(Tabla1[[#This Row],[Mes de Fecha]]="Septiembre",9,10),Tabla1[[#This Row],[Día de Fecha]])</f>
        <v>46290</v>
      </c>
      <c r="G3251">
        <v>16919109</v>
      </c>
      <c r="H3251" t="s">
        <v>390</v>
      </c>
      <c r="I3251">
        <v>-2</v>
      </c>
      <c r="J3251">
        <v>0</v>
      </c>
      <c r="K3251" s="1">
        <v>-113319</v>
      </c>
    </row>
    <row r="3252" spans="1:11" x14ac:dyDescent="0.25">
      <c r="A3252" t="s">
        <v>326</v>
      </c>
      <c r="B3252" t="s">
        <v>428</v>
      </c>
      <c r="C3252" t="s">
        <v>868</v>
      </c>
      <c r="D3252" t="s">
        <v>11</v>
      </c>
      <c r="E3252">
        <v>25</v>
      </c>
      <c r="F3252" s="2">
        <f>DATE(2026,IF(Tabla1[[#This Row],[Mes de Fecha]]="Septiembre",9,10),Tabla1[[#This Row],[Día de Fecha]])</f>
        <v>46290</v>
      </c>
      <c r="G3252">
        <v>1005706861</v>
      </c>
      <c r="H3252" t="s">
        <v>433</v>
      </c>
      <c r="I3252">
        <v>-4</v>
      </c>
      <c r="J3252">
        <v>0</v>
      </c>
      <c r="K3252" s="1">
        <v>-243529</v>
      </c>
    </row>
    <row r="3253" spans="1:11" x14ac:dyDescent="0.25">
      <c r="A3253" t="s">
        <v>326</v>
      </c>
      <c r="B3253" t="s">
        <v>428</v>
      </c>
      <c r="C3253" t="s">
        <v>868</v>
      </c>
      <c r="D3253" t="s">
        <v>11</v>
      </c>
      <c r="E3253">
        <v>25</v>
      </c>
      <c r="F3253" s="2">
        <f>DATE(2026,IF(Tabla1[[#This Row],[Mes de Fecha]]="Septiembre",9,10),Tabla1[[#This Row],[Día de Fecha]])</f>
        <v>46290</v>
      </c>
      <c r="G3253">
        <v>1005707524</v>
      </c>
      <c r="H3253" t="s">
        <v>392</v>
      </c>
      <c r="I3253">
        <v>83</v>
      </c>
      <c r="J3253">
        <v>0</v>
      </c>
      <c r="K3253" s="1">
        <v>3924667</v>
      </c>
    </row>
    <row r="3254" spans="1:11" x14ac:dyDescent="0.25">
      <c r="A3254" t="s">
        <v>326</v>
      </c>
      <c r="B3254" t="s">
        <v>428</v>
      </c>
      <c r="C3254" t="s">
        <v>868</v>
      </c>
      <c r="D3254" t="s">
        <v>11</v>
      </c>
      <c r="E3254">
        <v>25</v>
      </c>
      <c r="F3254" s="2">
        <f>DATE(2026,IF(Tabla1[[#This Row],[Mes de Fecha]]="Septiembre",9,10),Tabla1[[#This Row],[Día de Fecha]])</f>
        <v>46290</v>
      </c>
      <c r="G3254">
        <v>1007028984</v>
      </c>
      <c r="H3254" t="s">
        <v>430</v>
      </c>
      <c r="I3254">
        <v>32</v>
      </c>
      <c r="J3254">
        <v>0</v>
      </c>
      <c r="K3254" s="1">
        <v>1721217</v>
      </c>
    </row>
    <row r="3255" spans="1:11" x14ac:dyDescent="0.25">
      <c r="A3255" t="s">
        <v>326</v>
      </c>
      <c r="B3255" t="s">
        <v>428</v>
      </c>
      <c r="C3255" t="s">
        <v>868</v>
      </c>
      <c r="D3255" t="s">
        <v>11</v>
      </c>
      <c r="E3255">
        <v>25</v>
      </c>
      <c r="F3255" s="2">
        <f>DATE(2026,IF(Tabla1[[#This Row],[Mes de Fecha]]="Septiembre",9,10),Tabla1[[#This Row],[Día de Fecha]])</f>
        <v>46290</v>
      </c>
      <c r="G3255">
        <v>1105928523</v>
      </c>
      <c r="H3255" t="s">
        <v>431</v>
      </c>
      <c r="I3255">
        <v>8</v>
      </c>
      <c r="J3255">
        <v>0</v>
      </c>
      <c r="K3255" s="1">
        <v>440799</v>
      </c>
    </row>
    <row r="3256" spans="1:11" x14ac:dyDescent="0.25">
      <c r="A3256" t="s">
        <v>326</v>
      </c>
      <c r="B3256" t="s">
        <v>428</v>
      </c>
      <c r="C3256" t="s">
        <v>868</v>
      </c>
      <c r="D3256" t="s">
        <v>11</v>
      </c>
      <c r="E3256">
        <v>25</v>
      </c>
      <c r="F3256" s="2">
        <f>DATE(2026,IF(Tabla1[[#This Row],[Mes de Fecha]]="Septiembre",9,10),Tabla1[[#This Row],[Día de Fecha]])</f>
        <v>46290</v>
      </c>
      <c r="G3256">
        <v>1107047599</v>
      </c>
      <c r="H3256" t="s">
        <v>356</v>
      </c>
      <c r="I3256">
        <v>74</v>
      </c>
      <c r="J3256">
        <v>0</v>
      </c>
      <c r="K3256" s="1">
        <v>4103573</v>
      </c>
    </row>
    <row r="3257" spans="1:11" x14ac:dyDescent="0.25">
      <c r="A3257" t="s">
        <v>326</v>
      </c>
      <c r="B3257" t="s">
        <v>428</v>
      </c>
      <c r="C3257" t="s">
        <v>868</v>
      </c>
      <c r="D3257" t="s">
        <v>11</v>
      </c>
      <c r="E3257">
        <v>25</v>
      </c>
      <c r="F3257" s="2">
        <f>DATE(2026,IF(Tabla1[[#This Row],[Mes de Fecha]]="Septiembre",9,10),Tabla1[[#This Row],[Día de Fecha]])</f>
        <v>46290</v>
      </c>
      <c r="G3257">
        <v>1111665228</v>
      </c>
      <c r="H3257" t="s">
        <v>342</v>
      </c>
      <c r="I3257">
        <v>73</v>
      </c>
      <c r="J3257">
        <v>0</v>
      </c>
      <c r="K3257" s="1">
        <v>3656092</v>
      </c>
    </row>
    <row r="3258" spans="1:11" x14ac:dyDescent="0.25">
      <c r="A3258" t="s">
        <v>326</v>
      </c>
      <c r="B3258" t="s">
        <v>428</v>
      </c>
      <c r="C3258" t="s">
        <v>868</v>
      </c>
      <c r="D3258" t="s">
        <v>11</v>
      </c>
      <c r="E3258">
        <v>25</v>
      </c>
      <c r="F3258" s="2">
        <f>DATE(2026,IF(Tabla1[[#This Row],[Mes de Fecha]]="Septiembre",9,10),Tabla1[[#This Row],[Día de Fecha]])</f>
        <v>46290</v>
      </c>
      <c r="G3258">
        <v>1143984751</v>
      </c>
      <c r="H3258" t="s">
        <v>432</v>
      </c>
      <c r="I3258">
        <v>11</v>
      </c>
      <c r="J3258">
        <v>0</v>
      </c>
      <c r="K3258" s="1">
        <v>589790</v>
      </c>
    </row>
    <row r="3259" spans="1:11" x14ac:dyDescent="0.25">
      <c r="A3259" t="s">
        <v>326</v>
      </c>
      <c r="B3259" t="s">
        <v>428</v>
      </c>
      <c r="C3259" t="s">
        <v>868</v>
      </c>
      <c r="D3259" t="s">
        <v>11</v>
      </c>
      <c r="E3259">
        <v>26</v>
      </c>
      <c r="F3259" s="2">
        <f>DATE(2026,IF(Tabla1[[#This Row],[Mes de Fecha]]="Septiembre",9,10),Tabla1[[#This Row],[Día de Fecha]])</f>
        <v>46291</v>
      </c>
      <c r="I3259">
        <v>0</v>
      </c>
      <c r="J3259" s="1">
        <v>55181218</v>
      </c>
      <c r="K3259">
        <v>0</v>
      </c>
    </row>
    <row r="3260" spans="1:11" x14ac:dyDescent="0.25">
      <c r="A3260" t="s">
        <v>326</v>
      </c>
      <c r="B3260" t="s">
        <v>428</v>
      </c>
      <c r="C3260" t="s">
        <v>868</v>
      </c>
      <c r="D3260" t="s">
        <v>11</v>
      </c>
      <c r="E3260">
        <v>26</v>
      </c>
      <c r="F3260" s="2">
        <f>DATE(2026,IF(Tabla1[[#This Row],[Mes de Fecha]]="Septiembre",9,10),Tabla1[[#This Row],[Día de Fecha]])</f>
        <v>46291</v>
      </c>
      <c r="G3260">
        <v>6469923</v>
      </c>
      <c r="H3260" t="s">
        <v>340</v>
      </c>
      <c r="I3260">
        <v>291</v>
      </c>
      <c r="J3260">
        <v>0</v>
      </c>
      <c r="K3260" s="1">
        <v>16278384</v>
      </c>
    </row>
    <row r="3261" spans="1:11" x14ac:dyDescent="0.25">
      <c r="A3261" t="s">
        <v>326</v>
      </c>
      <c r="B3261" t="s">
        <v>428</v>
      </c>
      <c r="C3261" t="s">
        <v>868</v>
      </c>
      <c r="D3261" t="s">
        <v>11</v>
      </c>
      <c r="E3261">
        <v>26</v>
      </c>
      <c r="F3261" s="2">
        <f>DATE(2026,IF(Tabla1[[#This Row],[Mes de Fecha]]="Septiembre",9,10),Tabla1[[#This Row],[Día de Fecha]])</f>
        <v>46291</v>
      </c>
      <c r="G3261">
        <v>1005707524</v>
      </c>
      <c r="H3261" t="s">
        <v>392</v>
      </c>
      <c r="I3261">
        <v>257</v>
      </c>
      <c r="J3261">
        <v>0</v>
      </c>
      <c r="K3261" s="1">
        <v>13507324</v>
      </c>
    </row>
    <row r="3262" spans="1:11" x14ac:dyDescent="0.25">
      <c r="A3262" t="s">
        <v>326</v>
      </c>
      <c r="B3262" t="s">
        <v>428</v>
      </c>
      <c r="C3262" t="s">
        <v>868</v>
      </c>
      <c r="D3262" t="s">
        <v>11</v>
      </c>
      <c r="E3262">
        <v>26</v>
      </c>
      <c r="F3262" s="2">
        <f>DATE(2026,IF(Tabla1[[#This Row],[Mes de Fecha]]="Septiembre",9,10),Tabla1[[#This Row],[Día de Fecha]])</f>
        <v>46291</v>
      </c>
      <c r="G3262">
        <v>1007028984</v>
      </c>
      <c r="H3262" t="s">
        <v>430</v>
      </c>
      <c r="I3262">
        <v>38</v>
      </c>
      <c r="J3262">
        <v>0</v>
      </c>
      <c r="K3262" s="1">
        <v>2111765</v>
      </c>
    </row>
    <row r="3263" spans="1:11" x14ac:dyDescent="0.25">
      <c r="A3263" t="s">
        <v>326</v>
      </c>
      <c r="B3263" t="s">
        <v>428</v>
      </c>
      <c r="C3263" t="s">
        <v>868</v>
      </c>
      <c r="D3263" t="s">
        <v>11</v>
      </c>
      <c r="E3263">
        <v>26</v>
      </c>
      <c r="F3263" s="2">
        <f>DATE(2026,IF(Tabla1[[#This Row],[Mes de Fecha]]="Septiembre",9,10),Tabla1[[#This Row],[Día de Fecha]])</f>
        <v>46291</v>
      </c>
      <c r="G3263">
        <v>1094265298</v>
      </c>
      <c r="H3263" t="s">
        <v>337</v>
      </c>
      <c r="I3263">
        <v>-2</v>
      </c>
      <c r="J3263">
        <v>0</v>
      </c>
      <c r="K3263" s="1">
        <v>-210000</v>
      </c>
    </row>
    <row r="3264" spans="1:11" x14ac:dyDescent="0.25">
      <c r="A3264" t="s">
        <v>326</v>
      </c>
      <c r="B3264" t="s">
        <v>428</v>
      </c>
      <c r="C3264" t="s">
        <v>868</v>
      </c>
      <c r="D3264" t="s">
        <v>11</v>
      </c>
      <c r="E3264">
        <v>26</v>
      </c>
      <c r="F3264" s="2">
        <f>DATE(2026,IF(Tabla1[[#This Row],[Mes de Fecha]]="Septiembre",9,10),Tabla1[[#This Row],[Día de Fecha]])</f>
        <v>46291</v>
      </c>
      <c r="G3264">
        <v>1105928523</v>
      </c>
      <c r="H3264" t="s">
        <v>431</v>
      </c>
      <c r="I3264">
        <v>73</v>
      </c>
      <c r="J3264">
        <v>0</v>
      </c>
      <c r="K3264" s="1">
        <v>4355719</v>
      </c>
    </row>
    <row r="3265" spans="1:11" x14ac:dyDescent="0.25">
      <c r="A3265" t="s">
        <v>326</v>
      </c>
      <c r="B3265" t="s">
        <v>428</v>
      </c>
      <c r="C3265" t="s">
        <v>868</v>
      </c>
      <c r="D3265" t="s">
        <v>11</v>
      </c>
      <c r="E3265">
        <v>26</v>
      </c>
      <c r="F3265" s="2">
        <f>DATE(2026,IF(Tabla1[[#This Row],[Mes de Fecha]]="Septiembre",9,10),Tabla1[[#This Row],[Día de Fecha]])</f>
        <v>46291</v>
      </c>
      <c r="G3265">
        <v>1107047599</v>
      </c>
      <c r="H3265" t="s">
        <v>356</v>
      </c>
      <c r="I3265">
        <v>229</v>
      </c>
      <c r="J3265">
        <v>0</v>
      </c>
      <c r="K3265" s="1">
        <v>11638626</v>
      </c>
    </row>
    <row r="3266" spans="1:11" x14ac:dyDescent="0.25">
      <c r="A3266" t="s">
        <v>326</v>
      </c>
      <c r="B3266" t="s">
        <v>428</v>
      </c>
      <c r="C3266" t="s">
        <v>868</v>
      </c>
      <c r="D3266" t="s">
        <v>11</v>
      </c>
      <c r="E3266">
        <v>26</v>
      </c>
      <c r="F3266" s="2">
        <f>DATE(2026,IF(Tabla1[[#This Row],[Mes de Fecha]]="Septiembre",9,10),Tabla1[[#This Row],[Día de Fecha]])</f>
        <v>46291</v>
      </c>
      <c r="G3266">
        <v>1111665228</v>
      </c>
      <c r="H3266" t="s">
        <v>342</v>
      </c>
      <c r="I3266">
        <v>240</v>
      </c>
      <c r="J3266">
        <v>0</v>
      </c>
      <c r="K3266" s="1">
        <v>12337322</v>
      </c>
    </row>
    <row r="3267" spans="1:11" x14ac:dyDescent="0.25">
      <c r="A3267" t="s">
        <v>326</v>
      </c>
      <c r="B3267" t="s">
        <v>428</v>
      </c>
      <c r="C3267" t="s">
        <v>868</v>
      </c>
      <c r="D3267" t="s">
        <v>11</v>
      </c>
      <c r="E3267">
        <v>26</v>
      </c>
      <c r="F3267" s="2">
        <f>DATE(2026,IF(Tabla1[[#This Row],[Mes de Fecha]]="Septiembre",9,10),Tabla1[[#This Row],[Día de Fecha]])</f>
        <v>46291</v>
      </c>
      <c r="G3267">
        <v>1112775615</v>
      </c>
      <c r="H3267" t="s">
        <v>429</v>
      </c>
      <c r="I3267">
        <v>6</v>
      </c>
      <c r="J3267">
        <v>0</v>
      </c>
      <c r="K3267" s="1">
        <v>79496</v>
      </c>
    </row>
    <row r="3268" spans="1:11" x14ac:dyDescent="0.25">
      <c r="A3268" t="s">
        <v>326</v>
      </c>
      <c r="B3268" t="s">
        <v>428</v>
      </c>
      <c r="C3268" t="s">
        <v>868</v>
      </c>
      <c r="D3268" t="s">
        <v>11</v>
      </c>
      <c r="E3268">
        <v>26</v>
      </c>
      <c r="F3268" s="2">
        <f>DATE(2026,IF(Tabla1[[#This Row],[Mes de Fecha]]="Septiembre",9,10),Tabla1[[#This Row],[Día de Fecha]])</f>
        <v>46291</v>
      </c>
      <c r="G3268">
        <v>1118312125</v>
      </c>
      <c r="H3268" t="s">
        <v>397</v>
      </c>
      <c r="I3268">
        <v>-1</v>
      </c>
      <c r="J3268">
        <v>0</v>
      </c>
      <c r="K3268" s="1">
        <v>-67185</v>
      </c>
    </row>
    <row r="3269" spans="1:11" x14ac:dyDescent="0.25">
      <c r="A3269" t="s">
        <v>326</v>
      </c>
      <c r="B3269" t="s">
        <v>428</v>
      </c>
      <c r="C3269" t="s">
        <v>868</v>
      </c>
      <c r="D3269" t="s">
        <v>11</v>
      </c>
      <c r="E3269">
        <v>26</v>
      </c>
      <c r="F3269" s="2">
        <f>DATE(2026,IF(Tabla1[[#This Row],[Mes de Fecha]]="Septiembre",9,10),Tabla1[[#This Row],[Día de Fecha]])</f>
        <v>46291</v>
      </c>
      <c r="G3269">
        <v>1143984751</v>
      </c>
      <c r="H3269" t="s">
        <v>432</v>
      </c>
      <c r="I3269">
        <v>72</v>
      </c>
      <c r="J3269">
        <v>0</v>
      </c>
      <c r="K3269" s="1">
        <v>3815928</v>
      </c>
    </row>
    <row r="3270" spans="1:11" x14ac:dyDescent="0.25">
      <c r="A3270" t="s">
        <v>326</v>
      </c>
      <c r="B3270" t="s">
        <v>428</v>
      </c>
      <c r="C3270" t="s">
        <v>868</v>
      </c>
      <c r="D3270" t="s">
        <v>11</v>
      </c>
      <c r="E3270">
        <v>27</v>
      </c>
      <c r="F3270" s="2">
        <f>DATE(2026,IF(Tabla1[[#This Row],[Mes de Fecha]]="Septiembre",9,10),Tabla1[[#This Row],[Día de Fecha]])</f>
        <v>46292</v>
      </c>
      <c r="I3270">
        <v>0</v>
      </c>
      <c r="J3270" s="1">
        <v>43714635</v>
      </c>
      <c r="K3270">
        <v>0</v>
      </c>
    </row>
    <row r="3271" spans="1:11" x14ac:dyDescent="0.25">
      <c r="A3271" t="s">
        <v>326</v>
      </c>
      <c r="B3271" t="s">
        <v>428</v>
      </c>
      <c r="C3271" t="s">
        <v>868</v>
      </c>
      <c r="D3271" t="s">
        <v>11</v>
      </c>
      <c r="E3271">
        <v>27</v>
      </c>
      <c r="F3271" s="2">
        <f>DATE(2026,IF(Tabla1[[#This Row],[Mes de Fecha]]="Septiembre",9,10),Tabla1[[#This Row],[Día de Fecha]])</f>
        <v>46292</v>
      </c>
      <c r="G3271">
        <v>6469923</v>
      </c>
      <c r="H3271" t="s">
        <v>340</v>
      </c>
      <c r="I3271">
        <v>269</v>
      </c>
      <c r="J3271">
        <v>0</v>
      </c>
      <c r="K3271" s="1">
        <v>15153759</v>
      </c>
    </row>
    <row r="3272" spans="1:11" x14ac:dyDescent="0.25">
      <c r="A3272" t="s">
        <v>326</v>
      </c>
      <c r="B3272" t="s">
        <v>428</v>
      </c>
      <c r="C3272" t="s">
        <v>868</v>
      </c>
      <c r="D3272" t="s">
        <v>11</v>
      </c>
      <c r="E3272">
        <v>27</v>
      </c>
      <c r="F3272" s="2">
        <f>DATE(2026,IF(Tabla1[[#This Row],[Mes de Fecha]]="Septiembre",9,10),Tabla1[[#This Row],[Día de Fecha]])</f>
        <v>46292</v>
      </c>
      <c r="G3272">
        <v>1005707524</v>
      </c>
      <c r="H3272" t="s">
        <v>392</v>
      </c>
      <c r="I3272">
        <v>272</v>
      </c>
      <c r="J3272">
        <v>0</v>
      </c>
      <c r="K3272" s="1">
        <v>14571393</v>
      </c>
    </row>
    <row r="3273" spans="1:11" x14ac:dyDescent="0.25">
      <c r="A3273" t="s">
        <v>326</v>
      </c>
      <c r="B3273" t="s">
        <v>428</v>
      </c>
      <c r="C3273" t="s">
        <v>868</v>
      </c>
      <c r="D3273" t="s">
        <v>11</v>
      </c>
      <c r="E3273">
        <v>27</v>
      </c>
      <c r="F3273" s="2">
        <f>DATE(2026,IF(Tabla1[[#This Row],[Mes de Fecha]]="Septiembre",9,10),Tabla1[[#This Row],[Día de Fecha]])</f>
        <v>46292</v>
      </c>
      <c r="G3273">
        <v>1007028984</v>
      </c>
      <c r="H3273" t="s">
        <v>430</v>
      </c>
      <c r="I3273">
        <v>74</v>
      </c>
      <c r="J3273">
        <v>0</v>
      </c>
      <c r="K3273" s="1">
        <v>4370634</v>
      </c>
    </row>
    <row r="3274" spans="1:11" x14ac:dyDescent="0.25">
      <c r="A3274" t="s">
        <v>326</v>
      </c>
      <c r="B3274" t="s">
        <v>428</v>
      </c>
      <c r="C3274" t="s">
        <v>868</v>
      </c>
      <c r="D3274" t="s">
        <v>11</v>
      </c>
      <c r="E3274">
        <v>27</v>
      </c>
      <c r="F3274" s="2">
        <f>DATE(2026,IF(Tabla1[[#This Row],[Mes de Fecha]]="Septiembre",9,10),Tabla1[[#This Row],[Día de Fecha]])</f>
        <v>46292</v>
      </c>
      <c r="G3274">
        <v>1105928523</v>
      </c>
      <c r="H3274" t="s">
        <v>431</v>
      </c>
      <c r="I3274">
        <v>76</v>
      </c>
      <c r="J3274">
        <v>0</v>
      </c>
      <c r="K3274" s="1">
        <v>4387399</v>
      </c>
    </row>
    <row r="3275" spans="1:11" x14ac:dyDescent="0.25">
      <c r="A3275" t="s">
        <v>326</v>
      </c>
      <c r="B3275" t="s">
        <v>428</v>
      </c>
      <c r="C3275" t="s">
        <v>868</v>
      </c>
      <c r="D3275" t="s">
        <v>11</v>
      </c>
      <c r="E3275">
        <v>27</v>
      </c>
      <c r="F3275" s="2">
        <f>DATE(2026,IF(Tabla1[[#This Row],[Mes de Fecha]]="Septiembre",9,10),Tabla1[[#This Row],[Día de Fecha]])</f>
        <v>46292</v>
      </c>
      <c r="G3275">
        <v>1107047599</v>
      </c>
      <c r="H3275" t="s">
        <v>356</v>
      </c>
      <c r="I3275">
        <v>264</v>
      </c>
      <c r="J3275">
        <v>0</v>
      </c>
      <c r="K3275" s="1">
        <v>14784217</v>
      </c>
    </row>
    <row r="3276" spans="1:11" x14ac:dyDescent="0.25">
      <c r="A3276" t="s">
        <v>326</v>
      </c>
      <c r="B3276" t="s">
        <v>428</v>
      </c>
      <c r="C3276" t="s">
        <v>868</v>
      </c>
      <c r="D3276" t="s">
        <v>11</v>
      </c>
      <c r="E3276">
        <v>27</v>
      </c>
      <c r="F3276" s="2">
        <f>DATE(2026,IF(Tabla1[[#This Row],[Mes de Fecha]]="Septiembre",9,10),Tabla1[[#This Row],[Día de Fecha]])</f>
        <v>46292</v>
      </c>
      <c r="G3276">
        <v>1111665228</v>
      </c>
      <c r="H3276" t="s">
        <v>342</v>
      </c>
      <c r="I3276">
        <v>265</v>
      </c>
      <c r="J3276">
        <v>0</v>
      </c>
      <c r="K3276" s="1">
        <v>14055786</v>
      </c>
    </row>
    <row r="3277" spans="1:11" x14ac:dyDescent="0.25">
      <c r="A3277" t="s">
        <v>326</v>
      </c>
      <c r="B3277" t="s">
        <v>428</v>
      </c>
      <c r="C3277" t="s">
        <v>868</v>
      </c>
      <c r="D3277" t="s">
        <v>11</v>
      </c>
      <c r="E3277">
        <v>27</v>
      </c>
      <c r="F3277" s="2">
        <f>DATE(2026,IF(Tabla1[[#This Row],[Mes de Fecha]]="Septiembre",9,10),Tabla1[[#This Row],[Día de Fecha]])</f>
        <v>46292</v>
      </c>
      <c r="G3277">
        <v>1112775615</v>
      </c>
      <c r="H3277" t="s">
        <v>429</v>
      </c>
      <c r="I3277">
        <v>1</v>
      </c>
      <c r="J3277">
        <v>0</v>
      </c>
      <c r="K3277" s="1">
        <v>25168</v>
      </c>
    </row>
    <row r="3278" spans="1:11" x14ac:dyDescent="0.25">
      <c r="A3278" t="s">
        <v>326</v>
      </c>
      <c r="B3278" t="s">
        <v>428</v>
      </c>
      <c r="C3278" t="s">
        <v>868</v>
      </c>
      <c r="D3278" t="s">
        <v>11</v>
      </c>
      <c r="E3278">
        <v>27</v>
      </c>
      <c r="F3278" s="2">
        <f>DATE(2026,IF(Tabla1[[#This Row],[Mes de Fecha]]="Septiembre",9,10),Tabla1[[#This Row],[Día de Fecha]])</f>
        <v>46292</v>
      </c>
      <c r="G3278">
        <v>1143984751</v>
      </c>
      <c r="H3278" t="s">
        <v>432</v>
      </c>
      <c r="I3278">
        <v>100</v>
      </c>
      <c r="J3278">
        <v>0</v>
      </c>
      <c r="K3278" s="1">
        <v>5655130</v>
      </c>
    </row>
    <row r="3279" spans="1:11" x14ac:dyDescent="0.25">
      <c r="A3279" t="s">
        <v>326</v>
      </c>
      <c r="B3279" t="s">
        <v>428</v>
      </c>
      <c r="C3279" t="s">
        <v>868</v>
      </c>
      <c r="D3279" t="s">
        <v>11</v>
      </c>
      <c r="E3279">
        <v>28</v>
      </c>
      <c r="F3279" s="2">
        <f>DATE(2026,IF(Tabla1[[#This Row],[Mes de Fecha]]="Septiembre",9,10),Tabla1[[#This Row],[Día de Fecha]])</f>
        <v>46293</v>
      </c>
      <c r="I3279">
        <v>0</v>
      </c>
      <c r="J3279" s="1">
        <v>24058743</v>
      </c>
      <c r="K3279">
        <v>0</v>
      </c>
    </row>
    <row r="3280" spans="1:11" x14ac:dyDescent="0.25">
      <c r="A3280" t="s">
        <v>326</v>
      </c>
      <c r="B3280" t="s">
        <v>428</v>
      </c>
      <c r="C3280" t="s">
        <v>868</v>
      </c>
      <c r="D3280" t="s">
        <v>11</v>
      </c>
      <c r="E3280">
        <v>28</v>
      </c>
      <c r="F3280" s="2">
        <f>DATE(2026,IF(Tabla1[[#This Row],[Mes de Fecha]]="Septiembre",9,10),Tabla1[[#This Row],[Día de Fecha]])</f>
        <v>46293</v>
      </c>
      <c r="G3280">
        <v>6469923</v>
      </c>
      <c r="H3280" t="s">
        <v>340</v>
      </c>
      <c r="I3280">
        <v>117</v>
      </c>
      <c r="J3280">
        <v>0</v>
      </c>
      <c r="K3280" s="1">
        <v>5648661</v>
      </c>
    </row>
    <row r="3281" spans="1:11" x14ac:dyDescent="0.25">
      <c r="A3281" t="s">
        <v>326</v>
      </c>
      <c r="B3281" t="s">
        <v>428</v>
      </c>
      <c r="C3281" t="s">
        <v>868</v>
      </c>
      <c r="D3281" t="s">
        <v>11</v>
      </c>
      <c r="E3281">
        <v>28</v>
      </c>
      <c r="F3281" s="2">
        <f>DATE(2026,IF(Tabla1[[#This Row],[Mes de Fecha]]="Septiembre",9,10),Tabla1[[#This Row],[Día de Fecha]])</f>
        <v>46293</v>
      </c>
      <c r="G3281">
        <v>1005707524</v>
      </c>
      <c r="H3281" t="s">
        <v>392</v>
      </c>
      <c r="I3281">
        <v>104</v>
      </c>
      <c r="J3281">
        <v>0</v>
      </c>
      <c r="K3281" s="1">
        <v>5015763</v>
      </c>
    </row>
    <row r="3282" spans="1:11" x14ac:dyDescent="0.25">
      <c r="A3282" t="s">
        <v>326</v>
      </c>
      <c r="B3282" t="s">
        <v>428</v>
      </c>
      <c r="C3282" t="s">
        <v>868</v>
      </c>
      <c r="D3282" t="s">
        <v>11</v>
      </c>
      <c r="E3282">
        <v>28</v>
      </c>
      <c r="F3282" s="2">
        <f>DATE(2026,IF(Tabla1[[#This Row],[Mes de Fecha]]="Septiembre",9,10),Tabla1[[#This Row],[Día de Fecha]])</f>
        <v>46293</v>
      </c>
      <c r="G3282">
        <v>1107047599</v>
      </c>
      <c r="H3282" t="s">
        <v>356</v>
      </c>
      <c r="I3282">
        <v>84</v>
      </c>
      <c r="J3282">
        <v>0</v>
      </c>
      <c r="K3282" s="1">
        <v>3895045</v>
      </c>
    </row>
    <row r="3283" spans="1:11" x14ac:dyDescent="0.25">
      <c r="A3283" t="s">
        <v>326</v>
      </c>
      <c r="B3283" t="s">
        <v>428</v>
      </c>
      <c r="C3283" t="s">
        <v>868</v>
      </c>
      <c r="D3283" t="s">
        <v>11</v>
      </c>
      <c r="E3283">
        <v>28</v>
      </c>
      <c r="F3283" s="2">
        <f>DATE(2026,IF(Tabla1[[#This Row],[Mes de Fecha]]="Septiembre",9,10),Tabla1[[#This Row],[Día de Fecha]])</f>
        <v>46293</v>
      </c>
      <c r="G3283">
        <v>1111665228</v>
      </c>
      <c r="H3283" t="s">
        <v>342</v>
      </c>
      <c r="I3283">
        <v>108</v>
      </c>
      <c r="J3283">
        <v>0</v>
      </c>
      <c r="K3283" s="1">
        <v>5154921</v>
      </c>
    </row>
    <row r="3284" spans="1:11" x14ac:dyDescent="0.25">
      <c r="A3284" t="s">
        <v>326</v>
      </c>
      <c r="B3284" t="s">
        <v>428</v>
      </c>
      <c r="C3284" t="s">
        <v>868</v>
      </c>
      <c r="D3284" t="s">
        <v>11</v>
      </c>
      <c r="E3284">
        <v>28</v>
      </c>
      <c r="F3284" s="2">
        <f>DATE(2026,IF(Tabla1[[#This Row],[Mes de Fecha]]="Septiembre",9,10),Tabla1[[#This Row],[Día de Fecha]])</f>
        <v>46293</v>
      </c>
      <c r="G3284">
        <v>1112775615</v>
      </c>
      <c r="H3284" t="s">
        <v>429</v>
      </c>
      <c r="I3284">
        <v>6</v>
      </c>
      <c r="J3284">
        <v>0</v>
      </c>
      <c r="K3284" s="1">
        <v>78109</v>
      </c>
    </row>
    <row r="3285" spans="1:11" x14ac:dyDescent="0.25">
      <c r="A3285" t="s">
        <v>326</v>
      </c>
      <c r="B3285" t="s">
        <v>428</v>
      </c>
      <c r="C3285" t="s">
        <v>868</v>
      </c>
      <c r="D3285" t="s">
        <v>11</v>
      </c>
      <c r="E3285">
        <v>28</v>
      </c>
      <c r="F3285" s="2">
        <f>DATE(2026,IF(Tabla1[[#This Row],[Mes de Fecha]]="Septiembre",9,10),Tabla1[[#This Row],[Día de Fecha]])</f>
        <v>46293</v>
      </c>
      <c r="G3285">
        <v>1143984751</v>
      </c>
      <c r="H3285" t="s">
        <v>432</v>
      </c>
      <c r="I3285">
        <v>25</v>
      </c>
      <c r="J3285">
        <v>0</v>
      </c>
      <c r="K3285" s="1">
        <v>1122731</v>
      </c>
    </row>
    <row r="3286" spans="1:11" x14ac:dyDescent="0.25">
      <c r="A3286" t="s">
        <v>326</v>
      </c>
      <c r="B3286" t="s">
        <v>428</v>
      </c>
      <c r="C3286" t="s">
        <v>868</v>
      </c>
      <c r="D3286" t="s">
        <v>11</v>
      </c>
      <c r="E3286">
        <v>29</v>
      </c>
      <c r="F3286" s="2">
        <f>DATE(2026,IF(Tabla1[[#This Row],[Mes de Fecha]]="Septiembre",9,10),Tabla1[[#This Row],[Día de Fecha]])</f>
        <v>46294</v>
      </c>
      <c r="I3286">
        <v>0</v>
      </c>
      <c r="J3286" s="1">
        <v>25699442</v>
      </c>
      <c r="K3286">
        <v>0</v>
      </c>
    </row>
    <row r="3287" spans="1:11" x14ac:dyDescent="0.25">
      <c r="A3287" t="s">
        <v>326</v>
      </c>
      <c r="B3287" t="s">
        <v>428</v>
      </c>
      <c r="C3287" t="s">
        <v>868</v>
      </c>
      <c r="D3287" t="s">
        <v>11</v>
      </c>
      <c r="E3287">
        <v>29</v>
      </c>
      <c r="F3287" s="2">
        <f>DATE(2026,IF(Tabla1[[#This Row],[Mes de Fecha]]="Septiembre",9,10),Tabla1[[#This Row],[Día de Fecha]])</f>
        <v>46294</v>
      </c>
      <c r="G3287">
        <v>6469923</v>
      </c>
      <c r="H3287" t="s">
        <v>340</v>
      </c>
      <c r="I3287">
        <v>128</v>
      </c>
      <c r="J3287">
        <v>0</v>
      </c>
      <c r="K3287" s="1">
        <v>5858490</v>
      </c>
    </row>
    <row r="3288" spans="1:11" x14ac:dyDescent="0.25">
      <c r="A3288" t="s">
        <v>326</v>
      </c>
      <c r="B3288" t="s">
        <v>428</v>
      </c>
      <c r="C3288" t="s">
        <v>868</v>
      </c>
      <c r="D3288" t="s">
        <v>11</v>
      </c>
      <c r="E3288">
        <v>29</v>
      </c>
      <c r="F3288" s="2">
        <f>DATE(2026,IF(Tabla1[[#This Row],[Mes de Fecha]]="Septiembre",9,10),Tabla1[[#This Row],[Día de Fecha]])</f>
        <v>46294</v>
      </c>
      <c r="G3288">
        <v>1005707524</v>
      </c>
      <c r="H3288" t="s">
        <v>392</v>
      </c>
      <c r="I3288">
        <v>92</v>
      </c>
      <c r="J3288">
        <v>0</v>
      </c>
      <c r="K3288" s="1">
        <v>3910798</v>
      </c>
    </row>
    <row r="3289" spans="1:11" x14ac:dyDescent="0.25">
      <c r="A3289" t="s">
        <v>326</v>
      </c>
      <c r="B3289" t="s">
        <v>428</v>
      </c>
      <c r="C3289" t="s">
        <v>868</v>
      </c>
      <c r="D3289" t="s">
        <v>11</v>
      </c>
      <c r="E3289">
        <v>29</v>
      </c>
      <c r="F3289" s="2">
        <f>DATE(2026,IF(Tabla1[[#This Row],[Mes de Fecha]]="Septiembre",9,10),Tabla1[[#This Row],[Día de Fecha]])</f>
        <v>46294</v>
      </c>
      <c r="G3289">
        <v>1007028984</v>
      </c>
      <c r="H3289" t="s">
        <v>430</v>
      </c>
      <c r="I3289">
        <v>19</v>
      </c>
      <c r="J3289">
        <v>0</v>
      </c>
      <c r="K3289" s="1">
        <v>521848</v>
      </c>
    </row>
    <row r="3290" spans="1:11" x14ac:dyDescent="0.25">
      <c r="A3290" t="s">
        <v>326</v>
      </c>
      <c r="B3290" t="s">
        <v>428</v>
      </c>
      <c r="C3290" t="s">
        <v>868</v>
      </c>
      <c r="D3290" t="s">
        <v>11</v>
      </c>
      <c r="E3290">
        <v>29</v>
      </c>
      <c r="F3290" s="2">
        <f>DATE(2026,IF(Tabla1[[#This Row],[Mes de Fecha]]="Septiembre",9,10),Tabla1[[#This Row],[Día de Fecha]])</f>
        <v>46294</v>
      </c>
      <c r="G3290">
        <v>1105928523</v>
      </c>
      <c r="H3290" t="s">
        <v>431</v>
      </c>
      <c r="I3290">
        <v>22</v>
      </c>
      <c r="J3290">
        <v>0</v>
      </c>
      <c r="K3290" s="1">
        <v>1158658</v>
      </c>
    </row>
    <row r="3291" spans="1:11" x14ac:dyDescent="0.25">
      <c r="A3291" t="s">
        <v>326</v>
      </c>
      <c r="B3291" t="s">
        <v>428</v>
      </c>
      <c r="C3291" t="s">
        <v>868</v>
      </c>
      <c r="D3291" t="s">
        <v>11</v>
      </c>
      <c r="E3291">
        <v>29</v>
      </c>
      <c r="F3291" s="2">
        <f>DATE(2026,IF(Tabla1[[#This Row],[Mes de Fecha]]="Septiembre",9,10),Tabla1[[#This Row],[Día de Fecha]])</f>
        <v>46294</v>
      </c>
      <c r="G3291">
        <v>1107047599</v>
      </c>
      <c r="H3291" t="s">
        <v>356</v>
      </c>
      <c r="I3291">
        <v>126</v>
      </c>
      <c r="J3291">
        <v>0</v>
      </c>
      <c r="K3291" s="1">
        <v>5307610</v>
      </c>
    </row>
    <row r="3292" spans="1:11" x14ac:dyDescent="0.25">
      <c r="A3292" t="s">
        <v>326</v>
      </c>
      <c r="B3292" t="s">
        <v>428</v>
      </c>
      <c r="C3292" t="s">
        <v>868</v>
      </c>
      <c r="D3292" t="s">
        <v>11</v>
      </c>
      <c r="E3292">
        <v>29</v>
      </c>
      <c r="F3292" s="2">
        <f>DATE(2026,IF(Tabla1[[#This Row],[Mes de Fecha]]="Septiembre",9,10),Tabla1[[#This Row],[Día de Fecha]])</f>
        <v>46294</v>
      </c>
      <c r="G3292">
        <v>1111665228</v>
      </c>
      <c r="H3292" t="s">
        <v>342</v>
      </c>
      <c r="I3292">
        <v>122</v>
      </c>
      <c r="J3292">
        <v>0</v>
      </c>
      <c r="K3292" s="1">
        <v>5374875</v>
      </c>
    </row>
    <row r="3293" spans="1:11" x14ac:dyDescent="0.25">
      <c r="A3293" t="s">
        <v>326</v>
      </c>
      <c r="B3293" t="s">
        <v>428</v>
      </c>
      <c r="C3293" t="s">
        <v>868</v>
      </c>
      <c r="D3293" t="s">
        <v>11</v>
      </c>
      <c r="E3293">
        <v>29</v>
      </c>
      <c r="F3293" s="2">
        <f>DATE(2026,IF(Tabla1[[#This Row],[Mes de Fecha]]="Septiembre",9,10),Tabla1[[#This Row],[Día de Fecha]])</f>
        <v>46294</v>
      </c>
      <c r="G3293">
        <v>1112775615</v>
      </c>
      <c r="H3293" t="s">
        <v>429</v>
      </c>
      <c r="I3293">
        <v>7</v>
      </c>
      <c r="J3293">
        <v>0</v>
      </c>
      <c r="K3293" s="1">
        <v>45631</v>
      </c>
    </row>
    <row r="3294" spans="1:11" x14ac:dyDescent="0.25">
      <c r="A3294" t="s">
        <v>326</v>
      </c>
      <c r="B3294" t="s">
        <v>428</v>
      </c>
      <c r="C3294" t="s">
        <v>868</v>
      </c>
      <c r="D3294" t="s">
        <v>11</v>
      </c>
      <c r="E3294">
        <v>30</v>
      </c>
      <c r="F3294" s="2">
        <f>DATE(2026,IF(Tabla1[[#This Row],[Mes de Fecha]]="Septiembre",9,10),Tabla1[[#This Row],[Día de Fecha]])</f>
        <v>46295</v>
      </c>
      <c r="I3294">
        <v>0</v>
      </c>
      <c r="J3294" s="1">
        <v>26547985</v>
      </c>
      <c r="K3294">
        <v>0</v>
      </c>
    </row>
    <row r="3295" spans="1:11" x14ac:dyDescent="0.25">
      <c r="A3295" t="s">
        <v>326</v>
      </c>
      <c r="B3295" t="s">
        <v>428</v>
      </c>
      <c r="C3295" t="s">
        <v>868</v>
      </c>
      <c r="D3295" t="s">
        <v>11</v>
      </c>
      <c r="E3295">
        <v>30</v>
      </c>
      <c r="F3295" s="2">
        <f>DATE(2026,IF(Tabla1[[#This Row],[Mes de Fecha]]="Septiembre",9,10),Tabla1[[#This Row],[Día de Fecha]])</f>
        <v>46295</v>
      </c>
      <c r="G3295">
        <v>6469923</v>
      </c>
      <c r="H3295" t="s">
        <v>340</v>
      </c>
      <c r="I3295">
        <v>160</v>
      </c>
      <c r="J3295">
        <v>0</v>
      </c>
      <c r="K3295" s="1">
        <v>7568557</v>
      </c>
    </row>
    <row r="3296" spans="1:11" x14ac:dyDescent="0.25">
      <c r="A3296" t="s">
        <v>326</v>
      </c>
      <c r="B3296" t="s">
        <v>428</v>
      </c>
      <c r="C3296" t="s">
        <v>868</v>
      </c>
      <c r="D3296" t="s">
        <v>11</v>
      </c>
      <c r="E3296">
        <v>30</v>
      </c>
      <c r="F3296" s="2">
        <f>DATE(2026,IF(Tabla1[[#This Row],[Mes de Fecha]]="Septiembre",9,10),Tabla1[[#This Row],[Día de Fecha]])</f>
        <v>46295</v>
      </c>
      <c r="G3296">
        <v>1005707524</v>
      </c>
      <c r="H3296" t="s">
        <v>392</v>
      </c>
      <c r="I3296">
        <v>98</v>
      </c>
      <c r="J3296">
        <v>0</v>
      </c>
      <c r="K3296" s="1">
        <v>4489879</v>
      </c>
    </row>
    <row r="3297" spans="1:11" x14ac:dyDescent="0.25">
      <c r="A3297" t="s">
        <v>326</v>
      </c>
      <c r="B3297" t="s">
        <v>428</v>
      </c>
      <c r="C3297" t="s">
        <v>868</v>
      </c>
      <c r="D3297" t="s">
        <v>11</v>
      </c>
      <c r="E3297">
        <v>30</v>
      </c>
      <c r="F3297" s="2">
        <f>DATE(2026,IF(Tabla1[[#This Row],[Mes de Fecha]]="Septiembre",9,10),Tabla1[[#This Row],[Día de Fecha]])</f>
        <v>46295</v>
      </c>
      <c r="G3297">
        <v>1007028984</v>
      </c>
      <c r="H3297" t="s">
        <v>430</v>
      </c>
      <c r="I3297">
        <v>4</v>
      </c>
      <c r="J3297">
        <v>0</v>
      </c>
      <c r="K3297" s="1">
        <v>172017</v>
      </c>
    </row>
    <row r="3298" spans="1:11" x14ac:dyDescent="0.25">
      <c r="A3298" t="s">
        <v>326</v>
      </c>
      <c r="B3298" t="s">
        <v>428</v>
      </c>
      <c r="C3298" t="s">
        <v>868</v>
      </c>
      <c r="D3298" t="s">
        <v>11</v>
      </c>
      <c r="E3298">
        <v>30</v>
      </c>
      <c r="F3298" s="2">
        <f>DATE(2026,IF(Tabla1[[#This Row],[Mes de Fecha]]="Septiembre",9,10),Tabla1[[#This Row],[Día de Fecha]])</f>
        <v>46295</v>
      </c>
      <c r="G3298">
        <v>1007132542</v>
      </c>
      <c r="H3298" t="s">
        <v>386</v>
      </c>
      <c r="I3298">
        <v>-1</v>
      </c>
      <c r="J3298">
        <v>0</v>
      </c>
      <c r="K3298" s="1">
        <v>-46177</v>
      </c>
    </row>
    <row r="3299" spans="1:11" x14ac:dyDescent="0.25">
      <c r="A3299" t="s">
        <v>326</v>
      </c>
      <c r="B3299" t="s">
        <v>428</v>
      </c>
      <c r="C3299" t="s">
        <v>868</v>
      </c>
      <c r="D3299" t="s">
        <v>11</v>
      </c>
      <c r="E3299">
        <v>30</v>
      </c>
      <c r="F3299" s="2">
        <f>DATE(2026,IF(Tabla1[[#This Row],[Mes de Fecha]]="Septiembre",9,10),Tabla1[[#This Row],[Día de Fecha]])</f>
        <v>46295</v>
      </c>
      <c r="G3299">
        <v>1105928523</v>
      </c>
      <c r="H3299" t="s">
        <v>431</v>
      </c>
      <c r="I3299">
        <v>22</v>
      </c>
      <c r="J3299">
        <v>0</v>
      </c>
      <c r="K3299" s="1">
        <v>1162690</v>
      </c>
    </row>
    <row r="3300" spans="1:11" x14ac:dyDescent="0.25">
      <c r="A3300" t="s">
        <v>326</v>
      </c>
      <c r="B3300" t="s">
        <v>428</v>
      </c>
      <c r="C3300" t="s">
        <v>868</v>
      </c>
      <c r="D3300" t="s">
        <v>11</v>
      </c>
      <c r="E3300">
        <v>30</v>
      </c>
      <c r="F3300" s="2">
        <f>DATE(2026,IF(Tabla1[[#This Row],[Mes de Fecha]]="Septiembre",9,10),Tabla1[[#This Row],[Día de Fecha]])</f>
        <v>46295</v>
      </c>
      <c r="G3300">
        <v>1107047599</v>
      </c>
      <c r="H3300" t="s">
        <v>356</v>
      </c>
      <c r="I3300">
        <v>97</v>
      </c>
      <c r="J3300">
        <v>0</v>
      </c>
      <c r="K3300" s="1">
        <v>4453276</v>
      </c>
    </row>
    <row r="3301" spans="1:11" x14ac:dyDescent="0.25">
      <c r="A3301" t="s">
        <v>326</v>
      </c>
      <c r="B3301" t="s">
        <v>428</v>
      </c>
      <c r="C3301" t="s">
        <v>868</v>
      </c>
      <c r="D3301" t="s">
        <v>11</v>
      </c>
      <c r="E3301">
        <v>30</v>
      </c>
      <c r="F3301" s="2">
        <f>DATE(2026,IF(Tabla1[[#This Row],[Mes de Fecha]]="Septiembre",9,10),Tabla1[[#This Row],[Día de Fecha]])</f>
        <v>46295</v>
      </c>
      <c r="G3301">
        <v>1109920243</v>
      </c>
      <c r="H3301" t="s">
        <v>398</v>
      </c>
      <c r="I3301">
        <v>-1</v>
      </c>
      <c r="J3301">
        <v>0</v>
      </c>
      <c r="K3301" s="1">
        <v>-67185</v>
      </c>
    </row>
    <row r="3302" spans="1:11" x14ac:dyDescent="0.25">
      <c r="A3302" t="s">
        <v>326</v>
      </c>
      <c r="B3302" t="s">
        <v>428</v>
      </c>
      <c r="C3302" t="s">
        <v>868</v>
      </c>
      <c r="D3302" t="s">
        <v>11</v>
      </c>
      <c r="E3302">
        <v>30</v>
      </c>
      <c r="F3302" s="2">
        <f>DATE(2026,IF(Tabla1[[#This Row],[Mes de Fecha]]="Septiembre",9,10),Tabla1[[#This Row],[Día de Fecha]])</f>
        <v>46295</v>
      </c>
      <c r="G3302">
        <v>1111665228</v>
      </c>
      <c r="H3302" t="s">
        <v>342</v>
      </c>
      <c r="I3302">
        <v>73</v>
      </c>
      <c r="J3302">
        <v>0</v>
      </c>
      <c r="K3302" s="1">
        <v>3731598</v>
      </c>
    </row>
    <row r="3303" spans="1:11" x14ac:dyDescent="0.25">
      <c r="A3303" t="s">
        <v>326</v>
      </c>
      <c r="B3303" t="s">
        <v>428</v>
      </c>
      <c r="C3303" t="s">
        <v>868</v>
      </c>
      <c r="D3303" t="s">
        <v>11</v>
      </c>
      <c r="E3303">
        <v>30</v>
      </c>
      <c r="F3303" s="2">
        <f>DATE(2026,IF(Tabla1[[#This Row],[Mes de Fecha]]="Septiembre",9,10),Tabla1[[#This Row],[Día de Fecha]])</f>
        <v>46295</v>
      </c>
      <c r="G3303">
        <v>1112775615</v>
      </c>
      <c r="H3303" t="s">
        <v>429</v>
      </c>
      <c r="I3303">
        <v>13</v>
      </c>
      <c r="J3303">
        <v>0</v>
      </c>
      <c r="K3303" s="1">
        <v>91555</v>
      </c>
    </row>
    <row r="3304" spans="1:11" x14ac:dyDescent="0.25">
      <c r="A3304" t="s">
        <v>326</v>
      </c>
      <c r="B3304" t="s">
        <v>428</v>
      </c>
      <c r="C3304" t="s">
        <v>868</v>
      </c>
      <c r="D3304" t="s">
        <v>11</v>
      </c>
      <c r="E3304">
        <v>30</v>
      </c>
      <c r="F3304" s="2">
        <f>DATE(2026,IF(Tabla1[[#This Row],[Mes de Fecha]]="Septiembre",9,10),Tabla1[[#This Row],[Día de Fecha]])</f>
        <v>46295</v>
      </c>
      <c r="G3304">
        <v>1143851967</v>
      </c>
      <c r="H3304" t="s">
        <v>359</v>
      </c>
      <c r="I3304">
        <v>-2</v>
      </c>
      <c r="J3304">
        <v>0</v>
      </c>
      <c r="K3304" s="1">
        <v>-67059</v>
      </c>
    </row>
    <row r="3305" spans="1:11" x14ac:dyDescent="0.25">
      <c r="A3305" t="s">
        <v>326</v>
      </c>
      <c r="B3305" t="s">
        <v>428</v>
      </c>
      <c r="C3305" t="s">
        <v>868</v>
      </c>
      <c r="D3305" t="s">
        <v>11</v>
      </c>
      <c r="E3305">
        <v>30</v>
      </c>
      <c r="F3305" s="2">
        <f>DATE(2026,IF(Tabla1[[#This Row],[Mes de Fecha]]="Septiembre",9,10),Tabla1[[#This Row],[Día de Fecha]])</f>
        <v>46295</v>
      </c>
      <c r="G3305">
        <v>1143984751</v>
      </c>
      <c r="H3305" t="s">
        <v>432</v>
      </c>
      <c r="I3305">
        <v>26</v>
      </c>
      <c r="J3305">
        <v>0</v>
      </c>
      <c r="K3305" s="1">
        <v>1162354</v>
      </c>
    </row>
    <row r="3306" spans="1:11" x14ac:dyDescent="0.25">
      <c r="A3306" t="s">
        <v>326</v>
      </c>
      <c r="B3306" t="s">
        <v>428</v>
      </c>
      <c r="C3306" t="s">
        <v>868</v>
      </c>
      <c r="D3306" t="s">
        <v>14</v>
      </c>
      <c r="E3306">
        <v>1</v>
      </c>
      <c r="F3306" s="2">
        <f>DATE(2026,IF(Tabla1[[#This Row],[Mes de Fecha]]="Septiembre",9,10),Tabla1[[#This Row],[Día de Fecha]])</f>
        <v>46296</v>
      </c>
      <c r="I3306">
        <v>0</v>
      </c>
      <c r="J3306" s="1">
        <v>25588083</v>
      </c>
      <c r="K3306">
        <v>0</v>
      </c>
    </row>
    <row r="3307" spans="1:11" x14ac:dyDescent="0.25">
      <c r="A3307" t="s">
        <v>326</v>
      </c>
      <c r="B3307" t="s">
        <v>428</v>
      </c>
      <c r="C3307" t="s">
        <v>868</v>
      </c>
      <c r="D3307" t="s">
        <v>14</v>
      </c>
      <c r="E3307">
        <v>1</v>
      </c>
      <c r="F3307" s="2">
        <f>DATE(2026,IF(Tabla1[[#This Row],[Mes de Fecha]]="Septiembre",9,10),Tabla1[[#This Row],[Día de Fecha]])</f>
        <v>46296</v>
      </c>
      <c r="G3307">
        <v>6469923</v>
      </c>
      <c r="H3307" t="s">
        <v>340</v>
      </c>
      <c r="I3307">
        <v>122</v>
      </c>
      <c r="J3307">
        <v>0</v>
      </c>
      <c r="K3307" s="1">
        <v>6169121</v>
      </c>
    </row>
    <row r="3308" spans="1:11" x14ac:dyDescent="0.25">
      <c r="A3308" t="s">
        <v>326</v>
      </c>
      <c r="B3308" t="s">
        <v>428</v>
      </c>
      <c r="C3308" t="s">
        <v>868</v>
      </c>
      <c r="D3308" t="s">
        <v>14</v>
      </c>
      <c r="E3308">
        <v>1</v>
      </c>
      <c r="F3308" s="2">
        <f>DATE(2026,IF(Tabla1[[#This Row],[Mes de Fecha]]="Septiembre",9,10),Tabla1[[#This Row],[Día de Fecha]])</f>
        <v>46296</v>
      </c>
      <c r="G3308">
        <v>1005707524</v>
      </c>
      <c r="H3308" t="s">
        <v>392</v>
      </c>
      <c r="I3308">
        <v>127</v>
      </c>
      <c r="J3308">
        <v>0</v>
      </c>
      <c r="K3308" s="1">
        <v>6511138</v>
      </c>
    </row>
    <row r="3309" spans="1:11" x14ac:dyDescent="0.25">
      <c r="A3309" t="s">
        <v>326</v>
      </c>
      <c r="B3309" t="s">
        <v>428</v>
      </c>
      <c r="C3309" t="s">
        <v>868</v>
      </c>
      <c r="D3309" t="s">
        <v>14</v>
      </c>
      <c r="E3309">
        <v>1</v>
      </c>
      <c r="F3309" s="2">
        <f>DATE(2026,IF(Tabla1[[#This Row],[Mes de Fecha]]="Septiembre",9,10),Tabla1[[#This Row],[Día de Fecha]])</f>
        <v>46296</v>
      </c>
      <c r="G3309">
        <v>1007028984</v>
      </c>
      <c r="H3309" t="s">
        <v>430</v>
      </c>
      <c r="I3309">
        <v>19</v>
      </c>
      <c r="J3309">
        <v>0</v>
      </c>
      <c r="K3309" s="1">
        <v>776176</v>
      </c>
    </row>
    <row r="3310" spans="1:11" x14ac:dyDescent="0.25">
      <c r="A3310" t="s">
        <v>326</v>
      </c>
      <c r="B3310" t="s">
        <v>428</v>
      </c>
      <c r="C3310" t="s">
        <v>868</v>
      </c>
      <c r="D3310" t="s">
        <v>14</v>
      </c>
      <c r="E3310">
        <v>1</v>
      </c>
      <c r="F3310" s="2">
        <f>DATE(2026,IF(Tabla1[[#This Row],[Mes de Fecha]]="Septiembre",9,10),Tabla1[[#This Row],[Día de Fecha]])</f>
        <v>46296</v>
      </c>
      <c r="G3310">
        <v>1105928523</v>
      </c>
      <c r="H3310" t="s">
        <v>431</v>
      </c>
      <c r="I3310">
        <v>34</v>
      </c>
      <c r="J3310">
        <v>0</v>
      </c>
      <c r="K3310" s="1">
        <v>1649580</v>
      </c>
    </row>
    <row r="3311" spans="1:11" x14ac:dyDescent="0.25">
      <c r="A3311" t="s">
        <v>326</v>
      </c>
      <c r="B3311" t="s">
        <v>428</v>
      </c>
      <c r="C3311" t="s">
        <v>868</v>
      </c>
      <c r="D3311" t="s">
        <v>14</v>
      </c>
      <c r="E3311">
        <v>1</v>
      </c>
      <c r="F3311" s="2">
        <f>DATE(2026,IF(Tabla1[[#This Row],[Mes de Fecha]]="Septiembre",9,10),Tabla1[[#This Row],[Día de Fecha]])</f>
        <v>46296</v>
      </c>
      <c r="G3311">
        <v>1107047599</v>
      </c>
      <c r="H3311" t="s">
        <v>356</v>
      </c>
      <c r="I3311">
        <v>99</v>
      </c>
      <c r="J3311">
        <v>0</v>
      </c>
      <c r="K3311" s="1">
        <v>5104497</v>
      </c>
    </row>
    <row r="3312" spans="1:11" x14ac:dyDescent="0.25">
      <c r="A3312" t="s">
        <v>326</v>
      </c>
      <c r="B3312" t="s">
        <v>428</v>
      </c>
      <c r="C3312" t="s">
        <v>868</v>
      </c>
      <c r="D3312" t="s">
        <v>14</v>
      </c>
      <c r="E3312">
        <v>1</v>
      </c>
      <c r="F3312" s="2">
        <f>DATE(2026,IF(Tabla1[[#This Row],[Mes de Fecha]]="Septiembre",9,10),Tabla1[[#This Row],[Día de Fecha]])</f>
        <v>46296</v>
      </c>
      <c r="G3312">
        <v>1111665228</v>
      </c>
      <c r="H3312" t="s">
        <v>342</v>
      </c>
      <c r="I3312">
        <v>121</v>
      </c>
      <c r="J3312">
        <v>0</v>
      </c>
      <c r="K3312" s="1">
        <v>6297694</v>
      </c>
    </row>
    <row r="3313" spans="1:11" x14ac:dyDescent="0.25">
      <c r="A3313" t="s">
        <v>326</v>
      </c>
      <c r="B3313" t="s">
        <v>428</v>
      </c>
      <c r="C3313" t="s">
        <v>868</v>
      </c>
      <c r="D3313" t="s">
        <v>14</v>
      </c>
      <c r="E3313">
        <v>1</v>
      </c>
      <c r="F3313" s="2">
        <f>DATE(2026,IF(Tabla1[[#This Row],[Mes de Fecha]]="Septiembre",9,10),Tabla1[[#This Row],[Día de Fecha]])</f>
        <v>46296</v>
      </c>
      <c r="G3313">
        <v>1112775615</v>
      </c>
      <c r="H3313" t="s">
        <v>429</v>
      </c>
      <c r="I3313">
        <v>4</v>
      </c>
      <c r="J3313">
        <v>0</v>
      </c>
      <c r="K3313" s="1">
        <v>50084</v>
      </c>
    </row>
    <row r="3314" spans="1:11" x14ac:dyDescent="0.25">
      <c r="A3314" t="s">
        <v>326</v>
      </c>
      <c r="B3314" t="s">
        <v>428</v>
      </c>
      <c r="C3314" t="s">
        <v>868</v>
      </c>
      <c r="D3314" t="s">
        <v>14</v>
      </c>
      <c r="E3314">
        <v>1</v>
      </c>
      <c r="F3314" s="2">
        <f>DATE(2026,IF(Tabla1[[#This Row],[Mes de Fecha]]="Septiembre",9,10),Tabla1[[#This Row],[Día de Fecha]])</f>
        <v>46296</v>
      </c>
      <c r="G3314">
        <v>1143984751</v>
      </c>
      <c r="H3314" t="s">
        <v>432</v>
      </c>
      <c r="I3314">
        <v>2</v>
      </c>
      <c r="J3314">
        <v>0</v>
      </c>
      <c r="K3314" s="1">
        <v>75462</v>
      </c>
    </row>
    <row r="3315" spans="1:11" x14ac:dyDescent="0.25">
      <c r="A3315" t="s">
        <v>326</v>
      </c>
      <c r="B3315" t="s">
        <v>428</v>
      </c>
      <c r="C3315" t="s">
        <v>868</v>
      </c>
      <c r="D3315" t="s">
        <v>14</v>
      </c>
      <c r="E3315">
        <v>2</v>
      </c>
      <c r="F3315" s="2">
        <f>DATE(2026,IF(Tabla1[[#This Row],[Mes de Fecha]]="Septiembre",9,10),Tabla1[[#This Row],[Día de Fecha]])</f>
        <v>46297</v>
      </c>
      <c r="I3315">
        <v>0</v>
      </c>
      <c r="J3315" s="1">
        <v>21434275</v>
      </c>
      <c r="K3315">
        <v>0</v>
      </c>
    </row>
    <row r="3316" spans="1:11" x14ac:dyDescent="0.25">
      <c r="A3316" t="s">
        <v>326</v>
      </c>
      <c r="B3316" t="s">
        <v>428</v>
      </c>
      <c r="C3316" t="s">
        <v>868</v>
      </c>
      <c r="D3316" t="s">
        <v>14</v>
      </c>
      <c r="E3316">
        <v>2</v>
      </c>
      <c r="F3316" s="2">
        <f>DATE(2026,IF(Tabla1[[#This Row],[Mes de Fecha]]="Septiembre",9,10),Tabla1[[#This Row],[Día de Fecha]])</f>
        <v>46297</v>
      </c>
      <c r="G3316">
        <v>6469923</v>
      </c>
      <c r="H3316" t="s">
        <v>340</v>
      </c>
      <c r="I3316">
        <v>139</v>
      </c>
      <c r="J3316">
        <v>0</v>
      </c>
      <c r="K3316" s="1">
        <v>7007318</v>
      </c>
    </row>
    <row r="3317" spans="1:11" x14ac:dyDescent="0.25">
      <c r="A3317" t="s">
        <v>326</v>
      </c>
      <c r="B3317" t="s">
        <v>428</v>
      </c>
      <c r="C3317" t="s">
        <v>868</v>
      </c>
      <c r="D3317" t="s">
        <v>14</v>
      </c>
      <c r="E3317">
        <v>2</v>
      </c>
      <c r="F3317" s="2">
        <f>DATE(2026,IF(Tabla1[[#This Row],[Mes de Fecha]]="Septiembre",9,10),Tabla1[[#This Row],[Día de Fecha]])</f>
        <v>46297</v>
      </c>
      <c r="G3317">
        <v>1005707524</v>
      </c>
      <c r="H3317" t="s">
        <v>392</v>
      </c>
      <c r="I3317">
        <v>131</v>
      </c>
      <c r="J3317">
        <v>0</v>
      </c>
      <c r="K3317" s="1">
        <v>6931979</v>
      </c>
    </row>
    <row r="3318" spans="1:11" x14ac:dyDescent="0.25">
      <c r="A3318" t="s">
        <v>326</v>
      </c>
      <c r="B3318" t="s">
        <v>428</v>
      </c>
      <c r="C3318" t="s">
        <v>868</v>
      </c>
      <c r="D3318" t="s">
        <v>14</v>
      </c>
      <c r="E3318">
        <v>2</v>
      </c>
      <c r="F3318" s="2">
        <f>DATE(2026,IF(Tabla1[[#This Row],[Mes de Fecha]]="Septiembre",9,10),Tabla1[[#This Row],[Día de Fecha]])</f>
        <v>46297</v>
      </c>
      <c r="G3318">
        <v>1007028984</v>
      </c>
      <c r="H3318" t="s">
        <v>430</v>
      </c>
      <c r="I3318">
        <v>8</v>
      </c>
      <c r="J3318">
        <v>0</v>
      </c>
      <c r="K3318" s="1">
        <v>341975</v>
      </c>
    </row>
    <row r="3319" spans="1:11" x14ac:dyDescent="0.25">
      <c r="A3319" t="s">
        <v>326</v>
      </c>
      <c r="B3319" t="s">
        <v>428</v>
      </c>
      <c r="C3319" t="s">
        <v>868</v>
      </c>
      <c r="D3319" t="s">
        <v>14</v>
      </c>
      <c r="E3319">
        <v>2</v>
      </c>
      <c r="F3319" s="2">
        <f>DATE(2026,IF(Tabla1[[#This Row],[Mes de Fecha]]="Septiembre",9,10),Tabla1[[#This Row],[Día de Fecha]])</f>
        <v>46297</v>
      </c>
      <c r="G3319">
        <v>1105928523</v>
      </c>
      <c r="H3319" t="s">
        <v>431</v>
      </c>
      <c r="I3319">
        <v>16</v>
      </c>
      <c r="J3319">
        <v>0</v>
      </c>
      <c r="K3319" s="1">
        <v>881514</v>
      </c>
    </row>
    <row r="3320" spans="1:11" x14ac:dyDescent="0.25">
      <c r="A3320" t="s">
        <v>326</v>
      </c>
      <c r="B3320" t="s">
        <v>428</v>
      </c>
      <c r="C3320" t="s">
        <v>868</v>
      </c>
      <c r="D3320" t="s">
        <v>14</v>
      </c>
      <c r="E3320">
        <v>2</v>
      </c>
      <c r="F3320" s="2">
        <f>DATE(2026,IF(Tabla1[[#This Row],[Mes de Fecha]]="Septiembre",9,10),Tabla1[[#This Row],[Día de Fecha]])</f>
        <v>46297</v>
      </c>
      <c r="G3320">
        <v>1111665228</v>
      </c>
      <c r="H3320" t="s">
        <v>342</v>
      </c>
      <c r="I3320">
        <v>150</v>
      </c>
      <c r="J3320">
        <v>0</v>
      </c>
      <c r="K3320" s="1">
        <v>6553577</v>
      </c>
    </row>
    <row r="3321" spans="1:11" x14ac:dyDescent="0.25">
      <c r="A3321" t="s">
        <v>326</v>
      </c>
      <c r="B3321" t="s">
        <v>428</v>
      </c>
      <c r="C3321" t="s">
        <v>868</v>
      </c>
      <c r="D3321" t="s">
        <v>14</v>
      </c>
      <c r="E3321">
        <v>2</v>
      </c>
      <c r="F3321" s="2">
        <f>DATE(2026,IF(Tabla1[[#This Row],[Mes de Fecha]]="Septiembre",9,10),Tabla1[[#This Row],[Día de Fecha]])</f>
        <v>46297</v>
      </c>
      <c r="G3321">
        <v>1112775615</v>
      </c>
      <c r="H3321" t="s">
        <v>429</v>
      </c>
      <c r="I3321">
        <v>12</v>
      </c>
      <c r="J3321">
        <v>0</v>
      </c>
      <c r="K3321" s="1">
        <v>177687</v>
      </c>
    </row>
    <row r="3322" spans="1:11" x14ac:dyDescent="0.25">
      <c r="A3322" t="s">
        <v>326</v>
      </c>
      <c r="B3322" t="s">
        <v>428</v>
      </c>
      <c r="C3322" t="s">
        <v>868</v>
      </c>
      <c r="D3322" t="s">
        <v>14</v>
      </c>
      <c r="E3322">
        <v>2</v>
      </c>
      <c r="F3322" s="2">
        <f>DATE(2026,IF(Tabla1[[#This Row],[Mes de Fecha]]="Septiembre",9,10),Tabla1[[#This Row],[Día de Fecha]])</f>
        <v>46297</v>
      </c>
      <c r="G3322">
        <v>1143984751</v>
      </c>
      <c r="H3322" t="s">
        <v>432</v>
      </c>
      <c r="I3322">
        <v>15</v>
      </c>
      <c r="J3322">
        <v>0</v>
      </c>
      <c r="K3322" s="1">
        <v>667185</v>
      </c>
    </row>
    <row r="3323" spans="1:11" x14ac:dyDescent="0.25">
      <c r="A3323" t="s">
        <v>326</v>
      </c>
      <c r="B3323" t="s">
        <v>428</v>
      </c>
      <c r="C3323" t="s">
        <v>868</v>
      </c>
      <c r="D3323" t="s">
        <v>14</v>
      </c>
      <c r="E3323">
        <v>3</v>
      </c>
      <c r="F3323" s="2">
        <f>DATE(2026,IF(Tabla1[[#This Row],[Mes de Fecha]]="Septiembre",9,10),Tabla1[[#This Row],[Día de Fecha]])</f>
        <v>46298</v>
      </c>
      <c r="I3323">
        <v>0</v>
      </c>
      <c r="J3323" s="1">
        <v>59177078</v>
      </c>
      <c r="K3323">
        <v>0</v>
      </c>
    </row>
    <row r="3324" spans="1:11" x14ac:dyDescent="0.25">
      <c r="A3324" t="s">
        <v>326</v>
      </c>
      <c r="B3324" t="s">
        <v>428</v>
      </c>
      <c r="C3324" t="s">
        <v>868</v>
      </c>
      <c r="D3324" t="s">
        <v>14</v>
      </c>
      <c r="E3324">
        <v>3</v>
      </c>
      <c r="F3324" s="2">
        <f>DATE(2026,IF(Tabla1[[#This Row],[Mes de Fecha]]="Septiembre",9,10),Tabla1[[#This Row],[Día de Fecha]])</f>
        <v>46298</v>
      </c>
      <c r="G3324">
        <v>6469923</v>
      </c>
      <c r="H3324" t="s">
        <v>340</v>
      </c>
      <c r="I3324">
        <v>365</v>
      </c>
      <c r="J3324">
        <v>0</v>
      </c>
      <c r="K3324" s="1">
        <v>16760710</v>
      </c>
    </row>
    <row r="3325" spans="1:11" x14ac:dyDescent="0.25">
      <c r="A3325" t="s">
        <v>326</v>
      </c>
      <c r="B3325" t="s">
        <v>428</v>
      </c>
      <c r="C3325" t="s">
        <v>868</v>
      </c>
      <c r="D3325" t="s">
        <v>14</v>
      </c>
      <c r="E3325">
        <v>3</v>
      </c>
      <c r="F3325" s="2">
        <f>DATE(2026,IF(Tabla1[[#This Row],[Mes de Fecha]]="Septiembre",9,10),Tabla1[[#This Row],[Día de Fecha]])</f>
        <v>46298</v>
      </c>
      <c r="G3325">
        <v>1005707524</v>
      </c>
      <c r="H3325" t="s">
        <v>392</v>
      </c>
      <c r="I3325">
        <v>368</v>
      </c>
      <c r="J3325">
        <v>0</v>
      </c>
      <c r="K3325" s="1">
        <v>17476052</v>
      </c>
    </row>
    <row r="3326" spans="1:11" x14ac:dyDescent="0.25">
      <c r="A3326" t="s">
        <v>326</v>
      </c>
      <c r="B3326" t="s">
        <v>428</v>
      </c>
      <c r="C3326" t="s">
        <v>868</v>
      </c>
      <c r="D3326" t="s">
        <v>14</v>
      </c>
      <c r="E3326">
        <v>3</v>
      </c>
      <c r="F3326" s="2">
        <f>DATE(2026,IF(Tabla1[[#This Row],[Mes de Fecha]]="Septiembre",9,10),Tabla1[[#This Row],[Día de Fecha]])</f>
        <v>46298</v>
      </c>
      <c r="G3326">
        <v>1007028984</v>
      </c>
      <c r="H3326" t="s">
        <v>430</v>
      </c>
      <c r="I3326">
        <v>40</v>
      </c>
      <c r="J3326">
        <v>0</v>
      </c>
      <c r="K3326" s="1">
        <v>1888828</v>
      </c>
    </row>
    <row r="3327" spans="1:11" x14ac:dyDescent="0.25">
      <c r="A3327" t="s">
        <v>326</v>
      </c>
      <c r="B3327" t="s">
        <v>428</v>
      </c>
      <c r="C3327" t="s">
        <v>868</v>
      </c>
      <c r="D3327" t="s">
        <v>14</v>
      </c>
      <c r="E3327">
        <v>3</v>
      </c>
      <c r="F3327" s="2">
        <f>DATE(2026,IF(Tabla1[[#This Row],[Mes de Fecha]]="Septiembre",9,10),Tabla1[[#This Row],[Día de Fecha]])</f>
        <v>46298</v>
      </c>
      <c r="G3327">
        <v>1087185324</v>
      </c>
      <c r="H3327" t="s">
        <v>362</v>
      </c>
      <c r="I3327">
        <v>-1</v>
      </c>
      <c r="J3327">
        <v>0</v>
      </c>
      <c r="K3327" s="1">
        <v>-31471</v>
      </c>
    </row>
    <row r="3328" spans="1:11" x14ac:dyDescent="0.25">
      <c r="A3328" t="s">
        <v>326</v>
      </c>
      <c r="B3328" t="s">
        <v>428</v>
      </c>
      <c r="C3328" t="s">
        <v>868</v>
      </c>
      <c r="D3328" t="s">
        <v>14</v>
      </c>
      <c r="E3328">
        <v>3</v>
      </c>
      <c r="F3328" s="2">
        <f>DATE(2026,IF(Tabla1[[#This Row],[Mes de Fecha]]="Septiembre",9,10),Tabla1[[#This Row],[Día de Fecha]])</f>
        <v>46298</v>
      </c>
      <c r="G3328">
        <v>1105928523</v>
      </c>
      <c r="H3328" t="s">
        <v>431</v>
      </c>
      <c r="I3328">
        <v>88</v>
      </c>
      <c r="J3328">
        <v>0</v>
      </c>
      <c r="K3328" s="1">
        <v>4033895</v>
      </c>
    </row>
    <row r="3329" spans="1:11" x14ac:dyDescent="0.25">
      <c r="A3329" t="s">
        <v>326</v>
      </c>
      <c r="B3329" t="s">
        <v>428</v>
      </c>
      <c r="C3329" t="s">
        <v>868</v>
      </c>
      <c r="D3329" t="s">
        <v>14</v>
      </c>
      <c r="E3329">
        <v>3</v>
      </c>
      <c r="F3329" s="2">
        <f>DATE(2026,IF(Tabla1[[#This Row],[Mes de Fecha]]="Septiembre",9,10),Tabla1[[#This Row],[Día de Fecha]])</f>
        <v>46298</v>
      </c>
      <c r="G3329">
        <v>1111665228</v>
      </c>
      <c r="H3329" t="s">
        <v>342</v>
      </c>
      <c r="I3329">
        <v>318</v>
      </c>
      <c r="J3329">
        <v>0</v>
      </c>
      <c r="K3329" s="1">
        <v>15596367</v>
      </c>
    </row>
    <row r="3330" spans="1:11" x14ac:dyDescent="0.25">
      <c r="A3330" t="s">
        <v>326</v>
      </c>
      <c r="B3330" t="s">
        <v>428</v>
      </c>
      <c r="C3330" t="s">
        <v>868</v>
      </c>
      <c r="D3330" t="s">
        <v>14</v>
      </c>
      <c r="E3330">
        <v>3</v>
      </c>
      <c r="F3330" s="2">
        <f>DATE(2026,IF(Tabla1[[#This Row],[Mes de Fecha]]="Septiembre",9,10),Tabla1[[#This Row],[Día de Fecha]])</f>
        <v>46298</v>
      </c>
      <c r="G3330">
        <v>1112775615</v>
      </c>
      <c r="H3330" t="s">
        <v>429</v>
      </c>
      <c r="I3330">
        <v>10</v>
      </c>
      <c r="J3330">
        <v>0</v>
      </c>
      <c r="K3330" s="1">
        <v>175899</v>
      </c>
    </row>
    <row r="3331" spans="1:11" x14ac:dyDescent="0.25">
      <c r="A3331" t="s">
        <v>326</v>
      </c>
      <c r="B3331" t="s">
        <v>428</v>
      </c>
      <c r="C3331" t="s">
        <v>868</v>
      </c>
      <c r="D3331" t="s">
        <v>14</v>
      </c>
      <c r="E3331">
        <v>3</v>
      </c>
      <c r="F3331" s="2">
        <f>DATE(2026,IF(Tabla1[[#This Row],[Mes de Fecha]]="Septiembre",9,10),Tabla1[[#This Row],[Día de Fecha]])</f>
        <v>46298</v>
      </c>
      <c r="G3331">
        <v>1143984751</v>
      </c>
      <c r="H3331" t="s">
        <v>432</v>
      </c>
      <c r="I3331">
        <v>47</v>
      </c>
      <c r="J3331">
        <v>0</v>
      </c>
      <c r="K3331" s="1">
        <v>2174437</v>
      </c>
    </row>
    <row r="3332" spans="1:11" x14ac:dyDescent="0.25">
      <c r="A3332" t="s">
        <v>326</v>
      </c>
      <c r="B3332" t="s">
        <v>428</v>
      </c>
      <c r="C3332" t="s">
        <v>868</v>
      </c>
      <c r="D3332" t="s">
        <v>14</v>
      </c>
      <c r="E3332">
        <v>4</v>
      </c>
      <c r="F3332" s="2">
        <f>DATE(2026,IF(Tabla1[[#This Row],[Mes de Fecha]]="Septiembre",9,10),Tabla1[[#This Row],[Día de Fecha]])</f>
        <v>46299</v>
      </c>
      <c r="I3332">
        <v>0</v>
      </c>
      <c r="J3332" s="1">
        <v>73899619</v>
      </c>
      <c r="K3332">
        <v>0</v>
      </c>
    </row>
    <row r="3333" spans="1:11" x14ac:dyDescent="0.25">
      <c r="A3333" t="s">
        <v>326</v>
      </c>
      <c r="B3333" t="s">
        <v>428</v>
      </c>
      <c r="C3333" t="s">
        <v>868</v>
      </c>
      <c r="D3333" t="s">
        <v>14</v>
      </c>
      <c r="E3333">
        <v>4</v>
      </c>
      <c r="F3333" s="2">
        <f>DATE(2026,IF(Tabla1[[#This Row],[Mes de Fecha]]="Septiembre",9,10),Tabla1[[#This Row],[Día de Fecha]])</f>
        <v>46299</v>
      </c>
      <c r="G3333">
        <v>6469923</v>
      </c>
      <c r="H3333" t="s">
        <v>340</v>
      </c>
      <c r="I3333">
        <v>373</v>
      </c>
      <c r="J3333">
        <v>0</v>
      </c>
      <c r="K3333" s="1">
        <v>18535839</v>
      </c>
    </row>
    <row r="3334" spans="1:11" x14ac:dyDescent="0.25">
      <c r="A3334" t="s">
        <v>326</v>
      </c>
      <c r="B3334" t="s">
        <v>428</v>
      </c>
      <c r="C3334" t="s">
        <v>868</v>
      </c>
      <c r="D3334" t="s">
        <v>14</v>
      </c>
      <c r="E3334">
        <v>4</v>
      </c>
      <c r="F3334" s="2">
        <f>DATE(2026,IF(Tabla1[[#This Row],[Mes de Fecha]]="Septiembre",9,10),Tabla1[[#This Row],[Día de Fecha]])</f>
        <v>46299</v>
      </c>
      <c r="G3334">
        <v>1005707524</v>
      </c>
      <c r="H3334" t="s">
        <v>392</v>
      </c>
      <c r="I3334">
        <v>356</v>
      </c>
      <c r="J3334">
        <v>0</v>
      </c>
      <c r="K3334" s="1">
        <v>18368776</v>
      </c>
    </row>
    <row r="3335" spans="1:11" x14ac:dyDescent="0.25">
      <c r="A3335" t="s">
        <v>326</v>
      </c>
      <c r="B3335" t="s">
        <v>428</v>
      </c>
      <c r="C3335" t="s">
        <v>868</v>
      </c>
      <c r="D3335" t="s">
        <v>14</v>
      </c>
      <c r="E3335">
        <v>4</v>
      </c>
      <c r="F3335" s="2">
        <f>DATE(2026,IF(Tabla1[[#This Row],[Mes de Fecha]]="Septiembre",9,10),Tabla1[[#This Row],[Día de Fecha]])</f>
        <v>46299</v>
      </c>
      <c r="G3335">
        <v>1007028984</v>
      </c>
      <c r="H3335" t="s">
        <v>430</v>
      </c>
      <c r="I3335">
        <v>33</v>
      </c>
      <c r="J3335">
        <v>0</v>
      </c>
      <c r="K3335" s="1">
        <v>1670716</v>
      </c>
    </row>
    <row r="3336" spans="1:11" x14ac:dyDescent="0.25">
      <c r="A3336" t="s">
        <v>326</v>
      </c>
      <c r="B3336" t="s">
        <v>428</v>
      </c>
      <c r="C3336" t="s">
        <v>868</v>
      </c>
      <c r="D3336" t="s">
        <v>14</v>
      </c>
      <c r="E3336">
        <v>4</v>
      </c>
      <c r="F3336" s="2">
        <f>DATE(2026,IF(Tabla1[[#This Row],[Mes de Fecha]]="Septiembre",9,10),Tabla1[[#This Row],[Día de Fecha]])</f>
        <v>46299</v>
      </c>
      <c r="G3336">
        <v>1007132542</v>
      </c>
      <c r="H3336" t="s">
        <v>386</v>
      </c>
      <c r="I3336">
        <v>-1</v>
      </c>
      <c r="J3336">
        <v>0</v>
      </c>
      <c r="K3336" s="1">
        <v>-41975</v>
      </c>
    </row>
    <row r="3337" spans="1:11" x14ac:dyDescent="0.25">
      <c r="A3337" t="s">
        <v>326</v>
      </c>
      <c r="B3337" t="s">
        <v>428</v>
      </c>
      <c r="C3337" t="s">
        <v>868</v>
      </c>
      <c r="D3337" t="s">
        <v>14</v>
      </c>
      <c r="E3337">
        <v>4</v>
      </c>
      <c r="F3337" s="2">
        <f>DATE(2026,IF(Tabla1[[#This Row],[Mes de Fecha]]="Septiembre",9,10),Tabla1[[#This Row],[Día de Fecha]])</f>
        <v>46299</v>
      </c>
      <c r="G3337">
        <v>1105928523</v>
      </c>
      <c r="H3337" t="s">
        <v>431</v>
      </c>
      <c r="I3337">
        <v>59</v>
      </c>
      <c r="J3337">
        <v>0</v>
      </c>
      <c r="K3337" s="1">
        <v>3002373</v>
      </c>
    </row>
    <row r="3338" spans="1:11" x14ac:dyDescent="0.25">
      <c r="A3338" t="s">
        <v>326</v>
      </c>
      <c r="B3338" t="s">
        <v>428</v>
      </c>
      <c r="C3338" t="s">
        <v>868</v>
      </c>
      <c r="D3338" t="s">
        <v>14</v>
      </c>
      <c r="E3338">
        <v>4</v>
      </c>
      <c r="F3338" s="2">
        <f>DATE(2026,IF(Tabla1[[#This Row],[Mes de Fecha]]="Septiembre",9,10),Tabla1[[#This Row],[Día de Fecha]])</f>
        <v>46299</v>
      </c>
      <c r="G3338">
        <v>1109541659</v>
      </c>
      <c r="H3338" t="s">
        <v>388</v>
      </c>
      <c r="I3338">
        <v>-2</v>
      </c>
      <c r="J3338">
        <v>0</v>
      </c>
      <c r="K3338" s="1">
        <v>-151176</v>
      </c>
    </row>
    <row r="3339" spans="1:11" x14ac:dyDescent="0.25">
      <c r="A3339" t="s">
        <v>326</v>
      </c>
      <c r="B3339" t="s">
        <v>428</v>
      </c>
      <c r="C3339" t="s">
        <v>868</v>
      </c>
      <c r="D3339" t="s">
        <v>14</v>
      </c>
      <c r="E3339">
        <v>4</v>
      </c>
      <c r="F3339" s="2">
        <f>DATE(2026,IF(Tabla1[[#This Row],[Mes de Fecha]]="Septiembre",9,10),Tabla1[[#This Row],[Día de Fecha]])</f>
        <v>46299</v>
      </c>
      <c r="G3339">
        <v>1111665228</v>
      </c>
      <c r="H3339" t="s">
        <v>342</v>
      </c>
      <c r="I3339">
        <v>343</v>
      </c>
      <c r="J3339">
        <v>0</v>
      </c>
      <c r="K3339" s="1">
        <v>17893445</v>
      </c>
    </row>
    <row r="3340" spans="1:11" x14ac:dyDescent="0.25">
      <c r="A3340" t="s">
        <v>326</v>
      </c>
      <c r="B3340" t="s">
        <v>428</v>
      </c>
      <c r="C3340" t="s">
        <v>868</v>
      </c>
      <c r="D3340" t="s">
        <v>14</v>
      </c>
      <c r="E3340">
        <v>4</v>
      </c>
      <c r="F3340" s="2">
        <f>DATE(2026,IF(Tabla1[[#This Row],[Mes de Fecha]]="Septiembre",9,10),Tabla1[[#This Row],[Día de Fecha]])</f>
        <v>46299</v>
      </c>
      <c r="G3340">
        <v>1112775615</v>
      </c>
      <c r="H3340" t="s">
        <v>429</v>
      </c>
      <c r="I3340">
        <v>19</v>
      </c>
      <c r="J3340">
        <v>0</v>
      </c>
      <c r="K3340" s="1">
        <v>313782</v>
      </c>
    </row>
    <row r="3341" spans="1:11" x14ac:dyDescent="0.25">
      <c r="A3341" t="s">
        <v>326</v>
      </c>
      <c r="B3341" t="s">
        <v>428</v>
      </c>
      <c r="C3341" t="s">
        <v>868</v>
      </c>
      <c r="D3341" t="s">
        <v>14</v>
      </c>
      <c r="E3341">
        <v>4</v>
      </c>
      <c r="F3341" s="2">
        <f>DATE(2026,IF(Tabla1[[#This Row],[Mes de Fecha]]="Septiembre",9,10),Tabla1[[#This Row],[Día de Fecha]])</f>
        <v>46299</v>
      </c>
      <c r="G3341">
        <v>1143984751</v>
      </c>
      <c r="H3341" t="s">
        <v>432</v>
      </c>
      <c r="I3341">
        <v>38</v>
      </c>
      <c r="J3341">
        <v>0</v>
      </c>
      <c r="K3341" s="1">
        <v>1818430</v>
      </c>
    </row>
    <row r="3342" spans="1:11" x14ac:dyDescent="0.25">
      <c r="A3342" t="s">
        <v>326</v>
      </c>
      <c r="B3342" t="s">
        <v>428</v>
      </c>
      <c r="C3342" t="s">
        <v>868</v>
      </c>
      <c r="D3342" t="s">
        <v>14</v>
      </c>
      <c r="E3342">
        <v>4</v>
      </c>
      <c r="F3342" s="2">
        <f>DATE(2026,IF(Tabla1[[#This Row],[Mes de Fecha]]="Septiembre",9,10),Tabla1[[#This Row],[Día de Fecha]])</f>
        <v>46299</v>
      </c>
      <c r="G3342">
        <v>1144159588</v>
      </c>
      <c r="H3342" t="s">
        <v>352</v>
      </c>
      <c r="I3342">
        <v>-1</v>
      </c>
      <c r="J3342">
        <v>0</v>
      </c>
      <c r="K3342" s="1">
        <v>-32294</v>
      </c>
    </row>
    <row r="3343" spans="1:11" x14ac:dyDescent="0.25">
      <c r="A3343" t="s">
        <v>326</v>
      </c>
      <c r="B3343" t="s">
        <v>428</v>
      </c>
      <c r="C3343" t="s">
        <v>868</v>
      </c>
      <c r="D3343" t="s">
        <v>14</v>
      </c>
      <c r="E3343">
        <v>5</v>
      </c>
      <c r="F3343" s="2">
        <f>DATE(2026,IF(Tabla1[[#This Row],[Mes de Fecha]]="Septiembre",9,10),Tabla1[[#This Row],[Día de Fecha]])</f>
        <v>46300</v>
      </c>
      <c r="I3343">
        <v>0</v>
      </c>
      <c r="J3343" s="1">
        <v>29111921</v>
      </c>
      <c r="K3343">
        <v>0</v>
      </c>
    </row>
    <row r="3344" spans="1:11" x14ac:dyDescent="0.25">
      <c r="A3344" t="s">
        <v>326</v>
      </c>
      <c r="B3344" t="s">
        <v>428</v>
      </c>
      <c r="C3344" t="s">
        <v>868</v>
      </c>
      <c r="D3344" t="s">
        <v>14</v>
      </c>
      <c r="E3344">
        <v>5</v>
      </c>
      <c r="F3344" s="2">
        <f>DATE(2026,IF(Tabla1[[#This Row],[Mes de Fecha]]="Septiembre",9,10),Tabla1[[#This Row],[Día de Fecha]])</f>
        <v>46300</v>
      </c>
      <c r="G3344">
        <v>6469923</v>
      </c>
      <c r="H3344" t="s">
        <v>340</v>
      </c>
      <c r="I3344">
        <v>159</v>
      </c>
      <c r="J3344">
        <v>0</v>
      </c>
      <c r="K3344" s="1">
        <v>7113955</v>
      </c>
    </row>
    <row r="3345" spans="1:11" x14ac:dyDescent="0.25">
      <c r="A3345" t="s">
        <v>326</v>
      </c>
      <c r="B3345" t="s">
        <v>428</v>
      </c>
      <c r="C3345" t="s">
        <v>868</v>
      </c>
      <c r="D3345" t="s">
        <v>14</v>
      </c>
      <c r="E3345">
        <v>5</v>
      </c>
      <c r="F3345" s="2">
        <f>DATE(2026,IF(Tabla1[[#This Row],[Mes de Fecha]]="Septiembre",9,10),Tabla1[[#This Row],[Día de Fecha]])</f>
        <v>46300</v>
      </c>
      <c r="G3345">
        <v>1005707524</v>
      </c>
      <c r="H3345" t="s">
        <v>392</v>
      </c>
      <c r="I3345">
        <v>138</v>
      </c>
      <c r="J3345">
        <v>0</v>
      </c>
      <c r="K3345" s="1">
        <v>6472480</v>
      </c>
    </row>
    <row r="3346" spans="1:11" x14ac:dyDescent="0.25">
      <c r="A3346" t="s">
        <v>326</v>
      </c>
      <c r="B3346" t="s">
        <v>428</v>
      </c>
      <c r="C3346" t="s">
        <v>868</v>
      </c>
      <c r="D3346" t="s">
        <v>14</v>
      </c>
      <c r="E3346">
        <v>5</v>
      </c>
      <c r="F3346" s="2">
        <f>DATE(2026,IF(Tabla1[[#This Row],[Mes de Fecha]]="Septiembre",9,10),Tabla1[[#This Row],[Día de Fecha]])</f>
        <v>46300</v>
      </c>
      <c r="G3346">
        <v>1007028984</v>
      </c>
      <c r="H3346" t="s">
        <v>430</v>
      </c>
      <c r="I3346">
        <v>1</v>
      </c>
      <c r="J3346">
        <v>0</v>
      </c>
      <c r="K3346" s="1">
        <v>41933</v>
      </c>
    </row>
    <row r="3347" spans="1:11" x14ac:dyDescent="0.25">
      <c r="A3347" t="s">
        <v>326</v>
      </c>
      <c r="B3347" t="s">
        <v>428</v>
      </c>
      <c r="C3347" t="s">
        <v>868</v>
      </c>
      <c r="D3347" t="s">
        <v>14</v>
      </c>
      <c r="E3347">
        <v>5</v>
      </c>
      <c r="F3347" s="2">
        <f>DATE(2026,IF(Tabla1[[#This Row],[Mes de Fecha]]="Septiembre",9,10),Tabla1[[#This Row],[Día de Fecha]])</f>
        <v>46300</v>
      </c>
      <c r="G3347">
        <v>1038822751</v>
      </c>
      <c r="H3347" t="s">
        <v>370</v>
      </c>
      <c r="I3347">
        <v>-1</v>
      </c>
      <c r="J3347">
        <v>0</v>
      </c>
      <c r="K3347" s="1">
        <v>-67185</v>
      </c>
    </row>
    <row r="3348" spans="1:11" x14ac:dyDescent="0.25">
      <c r="A3348" t="s">
        <v>326</v>
      </c>
      <c r="B3348" t="s">
        <v>428</v>
      </c>
      <c r="C3348" t="s">
        <v>868</v>
      </c>
      <c r="D3348" t="s">
        <v>14</v>
      </c>
      <c r="E3348">
        <v>5</v>
      </c>
      <c r="F3348" s="2">
        <f>DATE(2026,IF(Tabla1[[#This Row],[Mes de Fecha]]="Septiembre",9,10),Tabla1[[#This Row],[Día de Fecha]])</f>
        <v>46300</v>
      </c>
      <c r="G3348">
        <v>1105928523</v>
      </c>
      <c r="H3348" t="s">
        <v>431</v>
      </c>
      <c r="I3348">
        <v>12</v>
      </c>
      <c r="J3348">
        <v>0</v>
      </c>
      <c r="K3348" s="1">
        <v>503698</v>
      </c>
    </row>
    <row r="3349" spans="1:11" x14ac:dyDescent="0.25">
      <c r="A3349" t="s">
        <v>326</v>
      </c>
      <c r="B3349" t="s">
        <v>428</v>
      </c>
      <c r="C3349" t="s">
        <v>868</v>
      </c>
      <c r="D3349" t="s">
        <v>14</v>
      </c>
      <c r="E3349">
        <v>5</v>
      </c>
      <c r="F3349" s="2">
        <f>DATE(2026,IF(Tabla1[[#This Row],[Mes de Fecha]]="Septiembre",9,10),Tabla1[[#This Row],[Día de Fecha]])</f>
        <v>46300</v>
      </c>
      <c r="G3349">
        <v>1111665228</v>
      </c>
      <c r="H3349" t="s">
        <v>342</v>
      </c>
      <c r="I3349">
        <v>138</v>
      </c>
      <c r="J3349">
        <v>0</v>
      </c>
      <c r="K3349" s="1">
        <v>6707607</v>
      </c>
    </row>
    <row r="3350" spans="1:11" x14ac:dyDescent="0.25">
      <c r="A3350" t="s">
        <v>326</v>
      </c>
      <c r="B3350" t="s">
        <v>428</v>
      </c>
      <c r="C3350" t="s">
        <v>868</v>
      </c>
      <c r="D3350" t="s">
        <v>14</v>
      </c>
      <c r="E3350">
        <v>5</v>
      </c>
      <c r="F3350" s="2">
        <f>DATE(2026,IF(Tabla1[[#This Row],[Mes de Fecha]]="Septiembre",9,10),Tabla1[[#This Row],[Día de Fecha]])</f>
        <v>46300</v>
      </c>
      <c r="G3350">
        <v>1112775615</v>
      </c>
      <c r="H3350" t="s">
        <v>429</v>
      </c>
      <c r="I3350">
        <v>7</v>
      </c>
      <c r="J3350">
        <v>0</v>
      </c>
      <c r="K3350" s="1">
        <v>83654</v>
      </c>
    </row>
    <row r="3351" spans="1:11" x14ac:dyDescent="0.25">
      <c r="A3351" t="s">
        <v>326</v>
      </c>
      <c r="B3351" t="s">
        <v>428</v>
      </c>
      <c r="C3351" t="s">
        <v>868</v>
      </c>
      <c r="D3351" t="s">
        <v>14</v>
      </c>
      <c r="E3351">
        <v>6</v>
      </c>
      <c r="F3351" s="2">
        <f>DATE(2026,IF(Tabla1[[#This Row],[Mes de Fecha]]="Septiembre",9,10),Tabla1[[#This Row],[Día de Fecha]])</f>
        <v>46301</v>
      </c>
      <c r="I3351">
        <v>0</v>
      </c>
      <c r="J3351" s="1">
        <v>12950958</v>
      </c>
      <c r="K3351">
        <v>0</v>
      </c>
    </row>
    <row r="3352" spans="1:11" x14ac:dyDescent="0.25">
      <c r="A3352" t="s">
        <v>326</v>
      </c>
      <c r="B3352" t="s">
        <v>428</v>
      </c>
      <c r="C3352" t="s">
        <v>868</v>
      </c>
      <c r="D3352" t="s">
        <v>14</v>
      </c>
      <c r="E3352">
        <v>6</v>
      </c>
      <c r="F3352" s="2">
        <f>DATE(2026,IF(Tabla1[[#This Row],[Mes de Fecha]]="Septiembre",9,10),Tabla1[[#This Row],[Día de Fecha]])</f>
        <v>46301</v>
      </c>
      <c r="G3352">
        <v>6469923</v>
      </c>
      <c r="H3352" t="s">
        <v>340</v>
      </c>
      <c r="I3352">
        <v>70</v>
      </c>
      <c r="J3352">
        <v>0</v>
      </c>
      <c r="K3352" s="1">
        <v>3204498</v>
      </c>
    </row>
    <row r="3353" spans="1:11" x14ac:dyDescent="0.25">
      <c r="A3353" t="s">
        <v>326</v>
      </c>
      <c r="B3353" t="s">
        <v>428</v>
      </c>
      <c r="C3353" t="s">
        <v>868</v>
      </c>
      <c r="D3353" t="s">
        <v>14</v>
      </c>
      <c r="E3353">
        <v>6</v>
      </c>
      <c r="F3353" s="2">
        <f>DATE(2026,IF(Tabla1[[#This Row],[Mes de Fecha]]="Septiembre",9,10),Tabla1[[#This Row],[Día de Fecha]])</f>
        <v>46301</v>
      </c>
      <c r="G3353">
        <v>1005706861</v>
      </c>
      <c r="H3353" t="s">
        <v>433</v>
      </c>
      <c r="I3353">
        <v>-1</v>
      </c>
      <c r="J3353">
        <v>0</v>
      </c>
      <c r="K3353" s="1">
        <v>-76412</v>
      </c>
    </row>
    <row r="3354" spans="1:11" x14ac:dyDescent="0.25">
      <c r="A3354" t="s">
        <v>326</v>
      </c>
      <c r="B3354" t="s">
        <v>428</v>
      </c>
      <c r="C3354" t="s">
        <v>868</v>
      </c>
      <c r="D3354" t="s">
        <v>14</v>
      </c>
      <c r="E3354">
        <v>6</v>
      </c>
      <c r="F3354" s="2">
        <f>DATE(2026,IF(Tabla1[[#This Row],[Mes de Fecha]]="Septiembre",9,10),Tabla1[[#This Row],[Día de Fecha]])</f>
        <v>46301</v>
      </c>
      <c r="G3354">
        <v>1005707524</v>
      </c>
      <c r="H3354" t="s">
        <v>392</v>
      </c>
      <c r="I3354">
        <v>95</v>
      </c>
      <c r="J3354">
        <v>0</v>
      </c>
      <c r="K3354" s="1">
        <v>4278989</v>
      </c>
    </row>
    <row r="3355" spans="1:11" x14ac:dyDescent="0.25">
      <c r="A3355" t="s">
        <v>326</v>
      </c>
      <c r="B3355" t="s">
        <v>428</v>
      </c>
      <c r="C3355" t="s">
        <v>868</v>
      </c>
      <c r="D3355" t="s">
        <v>14</v>
      </c>
      <c r="E3355">
        <v>6</v>
      </c>
      <c r="F3355" s="2">
        <f>DATE(2026,IF(Tabla1[[#This Row],[Mes de Fecha]]="Septiembre",9,10),Tabla1[[#This Row],[Día de Fecha]])</f>
        <v>46301</v>
      </c>
      <c r="G3355">
        <v>1107047599</v>
      </c>
      <c r="H3355" t="s">
        <v>356</v>
      </c>
      <c r="I3355">
        <v>45</v>
      </c>
      <c r="J3355">
        <v>0</v>
      </c>
      <c r="K3355" s="1">
        <v>2182520</v>
      </c>
    </row>
    <row r="3356" spans="1:11" x14ac:dyDescent="0.25">
      <c r="A3356" t="s">
        <v>326</v>
      </c>
      <c r="B3356" t="s">
        <v>428</v>
      </c>
      <c r="C3356" t="s">
        <v>868</v>
      </c>
      <c r="D3356" t="s">
        <v>14</v>
      </c>
      <c r="E3356">
        <v>6</v>
      </c>
      <c r="F3356" s="2">
        <f>DATE(2026,IF(Tabla1[[#This Row],[Mes de Fecha]]="Septiembre",9,10),Tabla1[[#This Row],[Día de Fecha]])</f>
        <v>46301</v>
      </c>
      <c r="G3356">
        <v>1111665228</v>
      </c>
      <c r="H3356" t="s">
        <v>342</v>
      </c>
      <c r="I3356">
        <v>78</v>
      </c>
      <c r="J3356">
        <v>0</v>
      </c>
      <c r="K3356" s="1">
        <v>3306421</v>
      </c>
    </row>
    <row r="3357" spans="1:11" x14ac:dyDescent="0.25">
      <c r="A3357" t="s">
        <v>326</v>
      </c>
      <c r="B3357" t="s">
        <v>428</v>
      </c>
      <c r="C3357" t="s">
        <v>868</v>
      </c>
      <c r="D3357" t="s">
        <v>14</v>
      </c>
      <c r="E3357">
        <v>6</v>
      </c>
      <c r="F3357" s="2">
        <f>DATE(2026,IF(Tabla1[[#This Row],[Mes de Fecha]]="Septiembre",9,10),Tabla1[[#This Row],[Día de Fecha]])</f>
        <v>46301</v>
      </c>
      <c r="G3357">
        <v>1112775615</v>
      </c>
      <c r="H3357" t="s">
        <v>429</v>
      </c>
      <c r="I3357">
        <v>0</v>
      </c>
      <c r="J3357">
        <v>0</v>
      </c>
      <c r="K3357" s="1">
        <v>-46261</v>
      </c>
    </row>
    <row r="3358" spans="1:11" x14ac:dyDescent="0.25">
      <c r="A3358" t="s">
        <v>326</v>
      </c>
      <c r="B3358" t="s">
        <v>428</v>
      </c>
      <c r="C3358" t="s">
        <v>868</v>
      </c>
      <c r="D3358" t="s">
        <v>14</v>
      </c>
      <c r="E3358">
        <v>6</v>
      </c>
      <c r="F3358" s="2">
        <f>DATE(2026,IF(Tabla1[[#This Row],[Mes de Fecha]]="Septiembre",9,10),Tabla1[[#This Row],[Día de Fecha]])</f>
        <v>46301</v>
      </c>
      <c r="G3358">
        <v>1143851967</v>
      </c>
      <c r="H3358" t="s">
        <v>359</v>
      </c>
      <c r="I3358">
        <v>-1</v>
      </c>
      <c r="J3358">
        <v>0</v>
      </c>
      <c r="K3358" s="1">
        <v>-37731</v>
      </c>
    </row>
    <row r="3359" spans="1:11" x14ac:dyDescent="0.25">
      <c r="A3359" t="s">
        <v>326</v>
      </c>
      <c r="B3359" t="s">
        <v>428</v>
      </c>
      <c r="C3359" t="s">
        <v>868</v>
      </c>
      <c r="D3359" t="s">
        <v>14</v>
      </c>
      <c r="E3359">
        <v>7</v>
      </c>
      <c r="F3359" s="2">
        <f>DATE(2026,IF(Tabla1[[#This Row],[Mes de Fecha]]="Septiembre",9,10),Tabla1[[#This Row],[Día de Fecha]])</f>
        <v>46302</v>
      </c>
      <c r="I3359">
        <v>0</v>
      </c>
      <c r="J3359" s="1">
        <v>12849207</v>
      </c>
      <c r="K3359">
        <v>0</v>
      </c>
    </row>
    <row r="3360" spans="1:11" x14ac:dyDescent="0.25">
      <c r="A3360" t="s">
        <v>326</v>
      </c>
      <c r="B3360" t="s">
        <v>428</v>
      </c>
      <c r="C3360" t="s">
        <v>868</v>
      </c>
      <c r="D3360" t="s">
        <v>14</v>
      </c>
      <c r="E3360">
        <v>7</v>
      </c>
      <c r="F3360" s="2">
        <f>DATE(2026,IF(Tabla1[[#This Row],[Mes de Fecha]]="Septiembre",9,10),Tabla1[[#This Row],[Día de Fecha]])</f>
        <v>46302</v>
      </c>
      <c r="G3360">
        <v>6469923</v>
      </c>
      <c r="H3360" t="s">
        <v>340</v>
      </c>
      <c r="I3360">
        <v>115</v>
      </c>
      <c r="J3360">
        <v>0</v>
      </c>
      <c r="K3360" s="1">
        <v>5385461</v>
      </c>
    </row>
    <row r="3361" spans="1:11" x14ac:dyDescent="0.25">
      <c r="A3361" t="s">
        <v>326</v>
      </c>
      <c r="B3361" t="s">
        <v>428</v>
      </c>
      <c r="C3361" t="s">
        <v>868</v>
      </c>
      <c r="D3361" t="s">
        <v>14</v>
      </c>
      <c r="E3361">
        <v>7</v>
      </c>
      <c r="F3361" s="2">
        <f>DATE(2026,IF(Tabla1[[#This Row],[Mes de Fecha]]="Septiembre",9,10),Tabla1[[#This Row],[Día de Fecha]])</f>
        <v>46302</v>
      </c>
      <c r="G3361">
        <v>16919109</v>
      </c>
      <c r="H3361" t="s">
        <v>390</v>
      </c>
      <c r="I3361">
        <v>-1</v>
      </c>
      <c r="J3361">
        <v>0</v>
      </c>
      <c r="K3361" s="1">
        <v>-75588</v>
      </c>
    </row>
    <row r="3362" spans="1:11" x14ac:dyDescent="0.25">
      <c r="A3362" t="s">
        <v>326</v>
      </c>
      <c r="B3362" t="s">
        <v>428</v>
      </c>
      <c r="C3362" t="s">
        <v>868</v>
      </c>
      <c r="D3362" t="s">
        <v>14</v>
      </c>
      <c r="E3362">
        <v>7</v>
      </c>
      <c r="F3362" s="2">
        <f>DATE(2026,IF(Tabla1[[#This Row],[Mes de Fecha]]="Septiembre",9,10),Tabla1[[#This Row],[Día de Fecha]])</f>
        <v>46302</v>
      </c>
      <c r="G3362">
        <v>1005707524</v>
      </c>
      <c r="H3362" t="s">
        <v>392</v>
      </c>
      <c r="I3362">
        <v>73</v>
      </c>
      <c r="J3362">
        <v>0</v>
      </c>
      <c r="K3362" s="1">
        <v>3567901</v>
      </c>
    </row>
    <row r="3363" spans="1:11" x14ac:dyDescent="0.25">
      <c r="A3363" t="s">
        <v>326</v>
      </c>
      <c r="B3363" t="s">
        <v>428</v>
      </c>
      <c r="C3363" t="s">
        <v>868</v>
      </c>
      <c r="D3363" t="s">
        <v>14</v>
      </c>
      <c r="E3363">
        <v>7</v>
      </c>
      <c r="F3363" s="2">
        <f>DATE(2026,IF(Tabla1[[#This Row],[Mes de Fecha]]="Septiembre",9,10),Tabla1[[#This Row],[Día de Fecha]])</f>
        <v>46302</v>
      </c>
      <c r="G3363">
        <v>1107047599</v>
      </c>
      <c r="H3363" t="s">
        <v>356</v>
      </c>
      <c r="I3363">
        <v>36</v>
      </c>
      <c r="J3363">
        <v>0</v>
      </c>
      <c r="K3363" s="1">
        <v>1682899</v>
      </c>
    </row>
    <row r="3364" spans="1:11" x14ac:dyDescent="0.25">
      <c r="A3364" t="s">
        <v>326</v>
      </c>
      <c r="B3364" t="s">
        <v>428</v>
      </c>
      <c r="C3364" t="s">
        <v>868</v>
      </c>
      <c r="D3364" t="s">
        <v>14</v>
      </c>
      <c r="E3364">
        <v>7</v>
      </c>
      <c r="F3364" s="2">
        <f>DATE(2026,IF(Tabla1[[#This Row],[Mes de Fecha]]="Septiembre",9,10),Tabla1[[#This Row],[Día de Fecha]])</f>
        <v>46302</v>
      </c>
      <c r="G3364">
        <v>1109541659</v>
      </c>
      <c r="H3364" t="s">
        <v>388</v>
      </c>
      <c r="I3364">
        <v>-1</v>
      </c>
      <c r="J3364">
        <v>0</v>
      </c>
      <c r="K3364" s="1">
        <v>-92395</v>
      </c>
    </row>
    <row r="3365" spans="1:11" x14ac:dyDescent="0.25">
      <c r="A3365" t="s">
        <v>326</v>
      </c>
      <c r="B3365" t="s">
        <v>428</v>
      </c>
      <c r="C3365" t="s">
        <v>868</v>
      </c>
      <c r="D3365" t="s">
        <v>14</v>
      </c>
      <c r="E3365">
        <v>7</v>
      </c>
      <c r="F3365" s="2">
        <f>DATE(2026,IF(Tabla1[[#This Row],[Mes de Fecha]]="Septiembre",9,10),Tabla1[[#This Row],[Día de Fecha]])</f>
        <v>46302</v>
      </c>
      <c r="G3365">
        <v>1111665228</v>
      </c>
      <c r="H3365" t="s">
        <v>342</v>
      </c>
      <c r="I3365">
        <v>84</v>
      </c>
      <c r="J3365">
        <v>0</v>
      </c>
      <c r="K3365" s="1">
        <v>4208112</v>
      </c>
    </row>
    <row r="3366" spans="1:11" x14ac:dyDescent="0.25">
      <c r="A3366" t="s">
        <v>326</v>
      </c>
      <c r="B3366" t="s">
        <v>428</v>
      </c>
      <c r="C3366" t="s">
        <v>868</v>
      </c>
      <c r="D3366" t="s">
        <v>14</v>
      </c>
      <c r="E3366">
        <v>7</v>
      </c>
      <c r="F3366" s="2">
        <f>DATE(2026,IF(Tabla1[[#This Row],[Mes de Fecha]]="Septiembre",9,10),Tabla1[[#This Row],[Día de Fecha]])</f>
        <v>46302</v>
      </c>
      <c r="G3366">
        <v>1112775615</v>
      </c>
      <c r="H3366" t="s">
        <v>429</v>
      </c>
      <c r="I3366">
        <v>4</v>
      </c>
      <c r="J3366">
        <v>0</v>
      </c>
      <c r="K3366" s="1">
        <v>-56975</v>
      </c>
    </row>
    <row r="3367" spans="1:11" x14ac:dyDescent="0.25">
      <c r="A3367" t="s">
        <v>326</v>
      </c>
      <c r="B3367" t="s">
        <v>435</v>
      </c>
      <c r="C3367" t="s">
        <v>868</v>
      </c>
      <c r="D3367" t="s">
        <v>11</v>
      </c>
      <c r="E3367">
        <v>23</v>
      </c>
      <c r="F3367" s="2">
        <f>DATE(2026,IF(Tabla1[[#This Row],[Mes de Fecha]]="Septiembre",9,10),Tabla1[[#This Row],[Día de Fecha]])</f>
        <v>46288</v>
      </c>
      <c r="I3367">
        <v>0</v>
      </c>
      <c r="J3367" s="1">
        <v>27281309</v>
      </c>
      <c r="K3367">
        <v>0</v>
      </c>
    </row>
    <row r="3368" spans="1:11" x14ac:dyDescent="0.25">
      <c r="A3368" t="s">
        <v>326</v>
      </c>
      <c r="B3368" t="s">
        <v>435</v>
      </c>
      <c r="C3368" t="s">
        <v>868</v>
      </c>
      <c r="D3368" t="s">
        <v>11</v>
      </c>
      <c r="E3368">
        <v>23</v>
      </c>
      <c r="F3368" s="2">
        <f>DATE(2026,IF(Tabla1[[#This Row],[Mes de Fecha]]="Septiembre",9,10),Tabla1[[#This Row],[Día de Fecha]])</f>
        <v>46288</v>
      </c>
      <c r="G3368">
        <v>1002957897</v>
      </c>
      <c r="H3368" t="s">
        <v>436</v>
      </c>
      <c r="I3368">
        <v>102</v>
      </c>
      <c r="J3368">
        <v>0</v>
      </c>
      <c r="K3368" s="1">
        <v>5203448</v>
      </c>
    </row>
    <row r="3369" spans="1:11" x14ac:dyDescent="0.25">
      <c r="A3369" t="s">
        <v>326</v>
      </c>
      <c r="B3369" t="s">
        <v>435</v>
      </c>
      <c r="C3369" t="s">
        <v>868</v>
      </c>
      <c r="D3369" t="s">
        <v>11</v>
      </c>
      <c r="E3369">
        <v>23</v>
      </c>
      <c r="F3369" s="2">
        <f>DATE(2026,IF(Tabla1[[#This Row],[Mes de Fecha]]="Septiembre",9,10),Tabla1[[#This Row],[Día de Fecha]])</f>
        <v>46288</v>
      </c>
      <c r="G3369">
        <v>1004148578</v>
      </c>
      <c r="H3369" t="s">
        <v>442</v>
      </c>
      <c r="I3369">
        <v>43</v>
      </c>
      <c r="J3369">
        <v>0</v>
      </c>
      <c r="K3369" s="1">
        <v>2489793</v>
      </c>
    </row>
    <row r="3370" spans="1:11" x14ac:dyDescent="0.25">
      <c r="A3370" t="s">
        <v>326</v>
      </c>
      <c r="B3370" t="s">
        <v>435</v>
      </c>
      <c r="C3370" t="s">
        <v>868</v>
      </c>
      <c r="D3370" t="s">
        <v>11</v>
      </c>
      <c r="E3370">
        <v>23</v>
      </c>
      <c r="F3370" s="2">
        <f>DATE(2026,IF(Tabla1[[#This Row],[Mes de Fecha]]="Septiembre",9,10),Tabla1[[#This Row],[Día de Fecha]])</f>
        <v>46288</v>
      </c>
      <c r="G3370">
        <v>1007145358</v>
      </c>
      <c r="H3370" t="s">
        <v>443</v>
      </c>
      <c r="I3370">
        <v>35</v>
      </c>
      <c r="J3370">
        <v>0</v>
      </c>
      <c r="K3370" s="1">
        <v>2040549</v>
      </c>
    </row>
    <row r="3371" spans="1:11" x14ac:dyDescent="0.25">
      <c r="A3371" t="s">
        <v>326</v>
      </c>
      <c r="B3371" t="s">
        <v>435</v>
      </c>
      <c r="C3371" t="s">
        <v>868</v>
      </c>
      <c r="D3371" t="s">
        <v>11</v>
      </c>
      <c r="E3371">
        <v>23</v>
      </c>
      <c r="F3371" s="2">
        <f>DATE(2026,IF(Tabla1[[#This Row],[Mes de Fecha]]="Septiembre",9,10),Tabla1[[#This Row],[Día de Fecha]])</f>
        <v>46288</v>
      </c>
      <c r="G3371">
        <v>1058968650</v>
      </c>
      <c r="H3371" t="s">
        <v>437</v>
      </c>
      <c r="I3371">
        <v>107</v>
      </c>
      <c r="J3371">
        <v>0</v>
      </c>
      <c r="K3371" s="1">
        <v>5480633</v>
      </c>
    </row>
    <row r="3372" spans="1:11" x14ac:dyDescent="0.25">
      <c r="A3372" t="s">
        <v>326</v>
      </c>
      <c r="B3372" t="s">
        <v>435</v>
      </c>
      <c r="C3372" t="s">
        <v>868</v>
      </c>
      <c r="D3372" t="s">
        <v>11</v>
      </c>
      <c r="E3372">
        <v>23</v>
      </c>
      <c r="F3372" s="2">
        <f>DATE(2026,IF(Tabla1[[#This Row],[Mes de Fecha]]="Septiembre",9,10),Tabla1[[#This Row],[Día de Fecha]])</f>
        <v>46288</v>
      </c>
      <c r="G3372">
        <v>1061774213</v>
      </c>
      <c r="H3372" t="s">
        <v>444</v>
      </c>
      <c r="I3372">
        <v>21</v>
      </c>
      <c r="J3372">
        <v>0</v>
      </c>
      <c r="K3372" s="1">
        <v>1150336</v>
      </c>
    </row>
    <row r="3373" spans="1:11" x14ac:dyDescent="0.25">
      <c r="A3373" t="s">
        <v>326</v>
      </c>
      <c r="B3373" t="s">
        <v>435</v>
      </c>
      <c r="C3373" t="s">
        <v>868</v>
      </c>
      <c r="D3373" t="s">
        <v>11</v>
      </c>
      <c r="E3373">
        <v>23</v>
      </c>
      <c r="F3373" s="2">
        <f>DATE(2026,IF(Tabla1[[#This Row],[Mes de Fecha]]="Septiembre",9,10),Tabla1[[#This Row],[Día de Fecha]])</f>
        <v>46288</v>
      </c>
      <c r="G3373">
        <v>1061814088</v>
      </c>
      <c r="H3373" t="s">
        <v>438</v>
      </c>
      <c r="I3373">
        <v>131</v>
      </c>
      <c r="J3373">
        <v>0</v>
      </c>
      <c r="K3373" s="1">
        <v>6792692</v>
      </c>
    </row>
    <row r="3374" spans="1:11" x14ac:dyDescent="0.25">
      <c r="A3374" t="s">
        <v>326</v>
      </c>
      <c r="B3374" t="s">
        <v>435</v>
      </c>
      <c r="C3374" t="s">
        <v>868</v>
      </c>
      <c r="D3374" t="s">
        <v>11</v>
      </c>
      <c r="E3374">
        <v>23</v>
      </c>
      <c r="F3374" s="2">
        <f>DATE(2026,IF(Tabla1[[#This Row],[Mes de Fecha]]="Septiembre",9,10),Tabla1[[#This Row],[Día de Fecha]])</f>
        <v>46288</v>
      </c>
      <c r="G3374">
        <v>1083906980</v>
      </c>
      <c r="H3374" t="s">
        <v>445</v>
      </c>
      <c r="I3374">
        <v>32</v>
      </c>
      <c r="J3374">
        <v>0</v>
      </c>
      <c r="K3374" s="1">
        <v>1929328</v>
      </c>
    </row>
    <row r="3375" spans="1:11" x14ac:dyDescent="0.25">
      <c r="A3375" t="s">
        <v>326</v>
      </c>
      <c r="B3375" t="s">
        <v>435</v>
      </c>
      <c r="C3375" t="s">
        <v>868</v>
      </c>
      <c r="D3375" t="s">
        <v>11</v>
      </c>
      <c r="E3375">
        <v>24</v>
      </c>
      <c r="F3375" s="2">
        <f>DATE(2026,IF(Tabla1[[#This Row],[Mes de Fecha]]="Septiembre",9,10),Tabla1[[#This Row],[Día de Fecha]])</f>
        <v>46289</v>
      </c>
      <c r="I3375">
        <v>0</v>
      </c>
      <c r="J3375" s="1">
        <v>41675268</v>
      </c>
      <c r="K3375">
        <v>0</v>
      </c>
    </row>
    <row r="3376" spans="1:11" x14ac:dyDescent="0.25">
      <c r="A3376" t="s">
        <v>326</v>
      </c>
      <c r="B3376" t="s">
        <v>435</v>
      </c>
      <c r="C3376" t="s">
        <v>868</v>
      </c>
      <c r="D3376" t="s">
        <v>11</v>
      </c>
      <c r="E3376">
        <v>24</v>
      </c>
      <c r="F3376" s="2">
        <f>DATE(2026,IF(Tabla1[[#This Row],[Mes de Fecha]]="Septiembre",9,10),Tabla1[[#This Row],[Día de Fecha]])</f>
        <v>46289</v>
      </c>
      <c r="G3376">
        <v>1002607819</v>
      </c>
      <c r="H3376" t="s">
        <v>446</v>
      </c>
      <c r="I3376">
        <v>-1</v>
      </c>
      <c r="J3376">
        <v>0</v>
      </c>
      <c r="K3376" s="1">
        <v>-105000</v>
      </c>
    </row>
    <row r="3377" spans="1:11" x14ac:dyDescent="0.25">
      <c r="A3377" t="s">
        <v>326</v>
      </c>
      <c r="B3377" t="s">
        <v>435</v>
      </c>
      <c r="C3377" t="s">
        <v>868</v>
      </c>
      <c r="D3377" t="s">
        <v>11</v>
      </c>
      <c r="E3377">
        <v>24</v>
      </c>
      <c r="F3377" s="2">
        <f>DATE(2026,IF(Tabla1[[#This Row],[Mes de Fecha]]="Septiembre",9,10),Tabla1[[#This Row],[Día de Fecha]])</f>
        <v>46289</v>
      </c>
      <c r="G3377">
        <v>1002957897</v>
      </c>
      <c r="H3377" t="s">
        <v>436</v>
      </c>
      <c r="I3377">
        <v>135</v>
      </c>
      <c r="J3377">
        <v>0</v>
      </c>
      <c r="K3377" s="1">
        <v>7422740</v>
      </c>
    </row>
    <row r="3378" spans="1:11" x14ac:dyDescent="0.25">
      <c r="A3378" t="s">
        <v>326</v>
      </c>
      <c r="B3378" t="s">
        <v>435</v>
      </c>
      <c r="C3378" t="s">
        <v>868</v>
      </c>
      <c r="D3378" t="s">
        <v>11</v>
      </c>
      <c r="E3378">
        <v>24</v>
      </c>
      <c r="F3378" s="2">
        <f>DATE(2026,IF(Tabla1[[#This Row],[Mes de Fecha]]="Septiembre",9,10),Tabla1[[#This Row],[Día de Fecha]])</f>
        <v>46289</v>
      </c>
      <c r="G3378">
        <v>1004148578</v>
      </c>
      <c r="H3378" t="s">
        <v>442</v>
      </c>
      <c r="I3378">
        <v>40</v>
      </c>
      <c r="J3378">
        <v>0</v>
      </c>
      <c r="K3378" s="1">
        <v>2536095</v>
      </c>
    </row>
    <row r="3379" spans="1:11" x14ac:dyDescent="0.25">
      <c r="A3379" t="s">
        <v>326</v>
      </c>
      <c r="B3379" t="s">
        <v>435</v>
      </c>
      <c r="C3379" t="s">
        <v>868</v>
      </c>
      <c r="D3379" t="s">
        <v>11</v>
      </c>
      <c r="E3379">
        <v>24</v>
      </c>
      <c r="F3379" s="2">
        <f>DATE(2026,IF(Tabla1[[#This Row],[Mes de Fecha]]="Septiembre",9,10),Tabla1[[#This Row],[Día de Fecha]])</f>
        <v>46289</v>
      </c>
      <c r="G3379">
        <v>1007145358</v>
      </c>
      <c r="H3379" t="s">
        <v>443</v>
      </c>
      <c r="I3379">
        <v>37</v>
      </c>
      <c r="J3379">
        <v>0</v>
      </c>
      <c r="K3379" s="1">
        <v>2130800</v>
      </c>
    </row>
    <row r="3380" spans="1:11" x14ac:dyDescent="0.25">
      <c r="A3380" t="s">
        <v>326</v>
      </c>
      <c r="B3380" t="s">
        <v>435</v>
      </c>
      <c r="C3380" t="s">
        <v>868</v>
      </c>
      <c r="D3380" t="s">
        <v>11</v>
      </c>
      <c r="E3380">
        <v>24</v>
      </c>
      <c r="F3380" s="2">
        <f>DATE(2026,IF(Tabla1[[#This Row],[Mes de Fecha]]="Septiembre",9,10),Tabla1[[#This Row],[Día de Fecha]])</f>
        <v>46289</v>
      </c>
      <c r="G3380">
        <v>1058968650</v>
      </c>
      <c r="H3380" t="s">
        <v>437</v>
      </c>
      <c r="I3380">
        <v>119</v>
      </c>
      <c r="J3380">
        <v>0</v>
      </c>
      <c r="K3380" s="1">
        <v>6049334</v>
      </c>
    </row>
    <row r="3381" spans="1:11" x14ac:dyDescent="0.25">
      <c r="A3381" t="s">
        <v>326</v>
      </c>
      <c r="B3381" t="s">
        <v>435</v>
      </c>
      <c r="C3381" t="s">
        <v>868</v>
      </c>
      <c r="D3381" t="s">
        <v>11</v>
      </c>
      <c r="E3381">
        <v>24</v>
      </c>
      <c r="F3381" s="2">
        <f>DATE(2026,IF(Tabla1[[#This Row],[Mes de Fecha]]="Septiembre",9,10),Tabla1[[#This Row],[Día de Fecha]])</f>
        <v>46289</v>
      </c>
      <c r="G3381">
        <v>1061535746</v>
      </c>
      <c r="H3381" t="s">
        <v>447</v>
      </c>
      <c r="I3381">
        <v>19</v>
      </c>
      <c r="J3381">
        <v>0</v>
      </c>
      <c r="K3381" s="1">
        <v>1100043</v>
      </c>
    </row>
    <row r="3382" spans="1:11" x14ac:dyDescent="0.25">
      <c r="A3382" t="s">
        <v>326</v>
      </c>
      <c r="B3382" t="s">
        <v>435</v>
      </c>
      <c r="C3382" t="s">
        <v>868</v>
      </c>
      <c r="D3382" t="s">
        <v>11</v>
      </c>
      <c r="E3382">
        <v>24</v>
      </c>
      <c r="F3382" s="2">
        <f>DATE(2026,IF(Tabla1[[#This Row],[Mes de Fecha]]="Septiembre",9,10),Tabla1[[#This Row],[Día de Fecha]])</f>
        <v>46289</v>
      </c>
      <c r="G3382">
        <v>1061774213</v>
      </c>
      <c r="H3382" t="s">
        <v>444</v>
      </c>
      <c r="I3382">
        <v>31</v>
      </c>
      <c r="J3382">
        <v>0</v>
      </c>
      <c r="K3382" s="1">
        <v>1683574</v>
      </c>
    </row>
    <row r="3383" spans="1:11" x14ac:dyDescent="0.25">
      <c r="A3383" t="s">
        <v>326</v>
      </c>
      <c r="B3383" t="s">
        <v>435</v>
      </c>
      <c r="C3383" t="s">
        <v>868</v>
      </c>
      <c r="D3383" t="s">
        <v>11</v>
      </c>
      <c r="E3383">
        <v>24</v>
      </c>
      <c r="F3383" s="2">
        <f>DATE(2026,IF(Tabla1[[#This Row],[Mes de Fecha]]="Septiembre",9,10),Tabla1[[#This Row],[Día de Fecha]])</f>
        <v>46289</v>
      </c>
      <c r="G3383">
        <v>1061814088</v>
      </c>
      <c r="H3383" t="s">
        <v>438</v>
      </c>
      <c r="I3383">
        <v>153</v>
      </c>
      <c r="J3383">
        <v>0</v>
      </c>
      <c r="K3383" s="1">
        <v>8157276</v>
      </c>
    </row>
    <row r="3384" spans="1:11" x14ac:dyDescent="0.25">
      <c r="A3384" t="s">
        <v>326</v>
      </c>
      <c r="B3384" t="s">
        <v>435</v>
      </c>
      <c r="C3384" t="s">
        <v>868</v>
      </c>
      <c r="D3384" t="s">
        <v>11</v>
      </c>
      <c r="E3384">
        <v>24</v>
      </c>
      <c r="F3384" s="2">
        <f>DATE(2026,IF(Tabla1[[#This Row],[Mes de Fecha]]="Septiembre",9,10),Tabla1[[#This Row],[Día de Fecha]])</f>
        <v>46289</v>
      </c>
      <c r="G3384">
        <v>1061816802</v>
      </c>
      <c r="H3384" t="s">
        <v>448</v>
      </c>
      <c r="I3384">
        <v>-1</v>
      </c>
      <c r="J3384">
        <v>0</v>
      </c>
      <c r="K3384" s="1">
        <v>-41118</v>
      </c>
    </row>
    <row r="3385" spans="1:11" x14ac:dyDescent="0.25">
      <c r="A3385" t="s">
        <v>326</v>
      </c>
      <c r="B3385" t="s">
        <v>435</v>
      </c>
      <c r="C3385" t="s">
        <v>868</v>
      </c>
      <c r="D3385" t="s">
        <v>11</v>
      </c>
      <c r="E3385">
        <v>24</v>
      </c>
      <c r="F3385" s="2">
        <f>DATE(2026,IF(Tabla1[[#This Row],[Mes de Fecha]]="Septiembre",9,10),Tabla1[[#This Row],[Día de Fecha]])</f>
        <v>46289</v>
      </c>
      <c r="G3385">
        <v>1063816927</v>
      </c>
      <c r="H3385" t="s">
        <v>440</v>
      </c>
      <c r="I3385">
        <v>-1</v>
      </c>
      <c r="J3385">
        <v>0</v>
      </c>
      <c r="K3385" s="1">
        <v>-79790</v>
      </c>
    </row>
    <row r="3386" spans="1:11" x14ac:dyDescent="0.25">
      <c r="A3386" t="s">
        <v>326</v>
      </c>
      <c r="B3386" t="s">
        <v>435</v>
      </c>
      <c r="C3386" t="s">
        <v>868</v>
      </c>
      <c r="D3386" t="s">
        <v>11</v>
      </c>
      <c r="E3386">
        <v>24</v>
      </c>
      <c r="F3386" s="2">
        <f>DATE(2026,IF(Tabla1[[#This Row],[Mes de Fecha]]="Septiembre",9,10),Tabla1[[#This Row],[Día de Fecha]])</f>
        <v>46289</v>
      </c>
      <c r="G3386">
        <v>1083906980</v>
      </c>
      <c r="H3386" t="s">
        <v>445</v>
      </c>
      <c r="I3386">
        <v>19</v>
      </c>
      <c r="J3386">
        <v>0</v>
      </c>
      <c r="K3386" s="1">
        <v>1045421</v>
      </c>
    </row>
    <row r="3387" spans="1:11" x14ac:dyDescent="0.25">
      <c r="A3387" t="s">
        <v>326</v>
      </c>
      <c r="B3387" t="s">
        <v>435</v>
      </c>
      <c r="C3387" t="s">
        <v>868</v>
      </c>
      <c r="D3387" t="s">
        <v>11</v>
      </c>
      <c r="E3387">
        <v>25</v>
      </c>
      <c r="F3387" s="2">
        <f>DATE(2026,IF(Tabla1[[#This Row],[Mes de Fecha]]="Septiembre",9,10),Tabla1[[#This Row],[Día de Fecha]])</f>
        <v>46290</v>
      </c>
      <c r="I3387">
        <v>0</v>
      </c>
      <c r="J3387" s="1">
        <v>41583007</v>
      </c>
      <c r="K3387">
        <v>0</v>
      </c>
    </row>
    <row r="3388" spans="1:11" x14ac:dyDescent="0.25">
      <c r="A3388" t="s">
        <v>326</v>
      </c>
      <c r="B3388" t="s">
        <v>435</v>
      </c>
      <c r="C3388" t="s">
        <v>868</v>
      </c>
      <c r="D3388" t="s">
        <v>11</v>
      </c>
      <c r="E3388">
        <v>25</v>
      </c>
      <c r="F3388" s="2">
        <f>DATE(2026,IF(Tabla1[[#This Row],[Mes de Fecha]]="Septiembre",9,10),Tabla1[[#This Row],[Día de Fecha]])</f>
        <v>46290</v>
      </c>
      <c r="G3388">
        <v>1002957897</v>
      </c>
      <c r="H3388" t="s">
        <v>436</v>
      </c>
      <c r="I3388">
        <v>122</v>
      </c>
      <c r="J3388">
        <v>0</v>
      </c>
      <c r="K3388" s="1">
        <v>7303575</v>
      </c>
    </row>
    <row r="3389" spans="1:11" x14ac:dyDescent="0.25">
      <c r="A3389" t="s">
        <v>326</v>
      </c>
      <c r="B3389" t="s">
        <v>435</v>
      </c>
      <c r="C3389" t="s">
        <v>868</v>
      </c>
      <c r="D3389" t="s">
        <v>11</v>
      </c>
      <c r="E3389">
        <v>25</v>
      </c>
      <c r="F3389" s="2">
        <f>DATE(2026,IF(Tabla1[[#This Row],[Mes de Fecha]]="Septiembre",9,10),Tabla1[[#This Row],[Día de Fecha]])</f>
        <v>46290</v>
      </c>
      <c r="G3389">
        <v>1004148578</v>
      </c>
      <c r="H3389" t="s">
        <v>442</v>
      </c>
      <c r="I3389">
        <v>27</v>
      </c>
      <c r="J3389">
        <v>0</v>
      </c>
      <c r="K3389" s="1">
        <v>1650128</v>
      </c>
    </row>
    <row r="3390" spans="1:11" x14ac:dyDescent="0.25">
      <c r="A3390" t="s">
        <v>326</v>
      </c>
      <c r="B3390" t="s">
        <v>435</v>
      </c>
      <c r="C3390" t="s">
        <v>868</v>
      </c>
      <c r="D3390" t="s">
        <v>11</v>
      </c>
      <c r="E3390">
        <v>25</v>
      </c>
      <c r="F3390" s="2">
        <f>DATE(2026,IF(Tabla1[[#This Row],[Mes de Fecha]]="Septiembre",9,10),Tabla1[[#This Row],[Día de Fecha]])</f>
        <v>46290</v>
      </c>
      <c r="G3390">
        <v>1007145358</v>
      </c>
      <c r="H3390" t="s">
        <v>443</v>
      </c>
      <c r="I3390">
        <v>30</v>
      </c>
      <c r="J3390">
        <v>0</v>
      </c>
      <c r="K3390" s="1">
        <v>1813825</v>
      </c>
    </row>
    <row r="3391" spans="1:11" x14ac:dyDescent="0.25">
      <c r="A3391" t="s">
        <v>326</v>
      </c>
      <c r="B3391" t="s">
        <v>435</v>
      </c>
      <c r="C3391" t="s">
        <v>868</v>
      </c>
      <c r="D3391" t="s">
        <v>11</v>
      </c>
      <c r="E3391">
        <v>25</v>
      </c>
      <c r="F3391" s="2">
        <f>DATE(2026,IF(Tabla1[[#This Row],[Mes de Fecha]]="Septiembre",9,10),Tabla1[[#This Row],[Día de Fecha]])</f>
        <v>46290</v>
      </c>
      <c r="G3391">
        <v>1058968650</v>
      </c>
      <c r="H3391" t="s">
        <v>437</v>
      </c>
      <c r="I3391">
        <v>116</v>
      </c>
      <c r="J3391">
        <v>0</v>
      </c>
      <c r="K3391" s="1">
        <v>6276558</v>
      </c>
    </row>
    <row r="3392" spans="1:11" x14ac:dyDescent="0.25">
      <c r="A3392" t="s">
        <v>326</v>
      </c>
      <c r="B3392" t="s">
        <v>435</v>
      </c>
      <c r="C3392" t="s">
        <v>868</v>
      </c>
      <c r="D3392" t="s">
        <v>11</v>
      </c>
      <c r="E3392">
        <v>25</v>
      </c>
      <c r="F3392" s="2">
        <f>DATE(2026,IF(Tabla1[[#This Row],[Mes de Fecha]]="Septiembre",9,10),Tabla1[[#This Row],[Día de Fecha]])</f>
        <v>46290</v>
      </c>
      <c r="G3392">
        <v>1061535746</v>
      </c>
      <c r="H3392" t="s">
        <v>447</v>
      </c>
      <c r="I3392">
        <v>24</v>
      </c>
      <c r="J3392">
        <v>0</v>
      </c>
      <c r="K3392" s="1">
        <v>1087231</v>
      </c>
    </row>
    <row r="3393" spans="1:11" x14ac:dyDescent="0.25">
      <c r="A3393" t="s">
        <v>326</v>
      </c>
      <c r="B3393" t="s">
        <v>435</v>
      </c>
      <c r="C3393" t="s">
        <v>868</v>
      </c>
      <c r="D3393" t="s">
        <v>11</v>
      </c>
      <c r="E3393">
        <v>25</v>
      </c>
      <c r="F3393" s="2">
        <f>DATE(2026,IF(Tabla1[[#This Row],[Mes de Fecha]]="Septiembre",9,10),Tabla1[[#This Row],[Día de Fecha]])</f>
        <v>46290</v>
      </c>
      <c r="G3393">
        <v>1061770250</v>
      </c>
      <c r="H3393" t="s">
        <v>449</v>
      </c>
      <c r="I3393">
        <v>-5</v>
      </c>
      <c r="J3393">
        <v>0</v>
      </c>
      <c r="K3393" s="1">
        <v>-272857</v>
      </c>
    </row>
    <row r="3394" spans="1:11" x14ac:dyDescent="0.25">
      <c r="A3394" t="s">
        <v>326</v>
      </c>
      <c r="B3394" t="s">
        <v>435</v>
      </c>
      <c r="C3394" t="s">
        <v>868</v>
      </c>
      <c r="D3394" t="s">
        <v>11</v>
      </c>
      <c r="E3394">
        <v>25</v>
      </c>
      <c r="F3394" s="2">
        <f>DATE(2026,IF(Tabla1[[#This Row],[Mes de Fecha]]="Septiembre",9,10),Tabla1[[#This Row],[Día de Fecha]])</f>
        <v>46290</v>
      </c>
      <c r="G3394">
        <v>1061773714</v>
      </c>
      <c r="H3394" t="s">
        <v>450</v>
      </c>
      <c r="I3394">
        <v>-1</v>
      </c>
      <c r="J3394">
        <v>0</v>
      </c>
      <c r="K3394" s="1">
        <v>-75588</v>
      </c>
    </row>
    <row r="3395" spans="1:11" x14ac:dyDescent="0.25">
      <c r="A3395" t="s">
        <v>326</v>
      </c>
      <c r="B3395" t="s">
        <v>435</v>
      </c>
      <c r="C3395" t="s">
        <v>868</v>
      </c>
      <c r="D3395" t="s">
        <v>11</v>
      </c>
      <c r="E3395">
        <v>25</v>
      </c>
      <c r="F3395" s="2">
        <f>DATE(2026,IF(Tabla1[[#This Row],[Mes de Fecha]]="Septiembre",9,10),Tabla1[[#This Row],[Día de Fecha]])</f>
        <v>46290</v>
      </c>
      <c r="G3395">
        <v>1061774213</v>
      </c>
      <c r="H3395" t="s">
        <v>444</v>
      </c>
      <c r="I3395">
        <v>21</v>
      </c>
      <c r="J3395">
        <v>0</v>
      </c>
      <c r="K3395" s="1">
        <v>1326851</v>
      </c>
    </row>
    <row r="3396" spans="1:11" x14ac:dyDescent="0.25">
      <c r="A3396" t="s">
        <v>326</v>
      </c>
      <c r="B3396" t="s">
        <v>435</v>
      </c>
      <c r="C3396" t="s">
        <v>868</v>
      </c>
      <c r="D3396" t="s">
        <v>11</v>
      </c>
      <c r="E3396">
        <v>25</v>
      </c>
      <c r="F3396" s="2">
        <f>DATE(2026,IF(Tabla1[[#This Row],[Mes de Fecha]]="Septiembre",9,10),Tabla1[[#This Row],[Día de Fecha]])</f>
        <v>46290</v>
      </c>
      <c r="G3396">
        <v>1061814088</v>
      </c>
      <c r="H3396" t="s">
        <v>438</v>
      </c>
      <c r="I3396">
        <v>144</v>
      </c>
      <c r="J3396">
        <v>0</v>
      </c>
      <c r="K3396" s="1">
        <v>7396389</v>
      </c>
    </row>
    <row r="3397" spans="1:11" x14ac:dyDescent="0.25">
      <c r="A3397" t="s">
        <v>326</v>
      </c>
      <c r="B3397" t="s">
        <v>435</v>
      </c>
      <c r="C3397" t="s">
        <v>868</v>
      </c>
      <c r="D3397" t="s">
        <v>11</v>
      </c>
      <c r="E3397">
        <v>25</v>
      </c>
      <c r="F3397" s="2">
        <f>DATE(2026,IF(Tabla1[[#This Row],[Mes de Fecha]]="Septiembre",9,10),Tabla1[[#This Row],[Día de Fecha]])</f>
        <v>46290</v>
      </c>
      <c r="G3397">
        <v>1083906980</v>
      </c>
      <c r="H3397" t="s">
        <v>445</v>
      </c>
      <c r="I3397">
        <v>15</v>
      </c>
      <c r="J3397">
        <v>0</v>
      </c>
      <c r="K3397" s="1">
        <v>806010</v>
      </c>
    </row>
    <row r="3398" spans="1:11" x14ac:dyDescent="0.25">
      <c r="A3398" t="s">
        <v>326</v>
      </c>
      <c r="B3398" t="s">
        <v>435</v>
      </c>
      <c r="C3398" t="s">
        <v>868</v>
      </c>
      <c r="D3398" t="s">
        <v>11</v>
      </c>
      <c r="E3398">
        <v>26</v>
      </c>
      <c r="F3398" s="2">
        <f>DATE(2026,IF(Tabla1[[#This Row],[Mes de Fecha]]="Septiembre",9,10),Tabla1[[#This Row],[Día de Fecha]])</f>
        <v>46291</v>
      </c>
      <c r="I3398">
        <v>0</v>
      </c>
      <c r="J3398" s="1">
        <v>59760761</v>
      </c>
      <c r="K3398">
        <v>0</v>
      </c>
    </row>
    <row r="3399" spans="1:11" x14ac:dyDescent="0.25">
      <c r="A3399" t="s">
        <v>326</v>
      </c>
      <c r="B3399" t="s">
        <v>435</v>
      </c>
      <c r="C3399" t="s">
        <v>868</v>
      </c>
      <c r="D3399" t="s">
        <v>11</v>
      </c>
      <c r="E3399">
        <v>26</v>
      </c>
      <c r="F3399" s="2">
        <f>DATE(2026,IF(Tabla1[[#This Row],[Mes de Fecha]]="Septiembre",9,10),Tabla1[[#This Row],[Día de Fecha]])</f>
        <v>46291</v>
      </c>
      <c r="G3399">
        <v>1002957897</v>
      </c>
      <c r="H3399" t="s">
        <v>436</v>
      </c>
      <c r="I3399">
        <v>221</v>
      </c>
      <c r="J3399">
        <v>0</v>
      </c>
      <c r="K3399" s="1">
        <v>12277577</v>
      </c>
    </row>
    <row r="3400" spans="1:11" x14ac:dyDescent="0.25">
      <c r="A3400" t="s">
        <v>326</v>
      </c>
      <c r="B3400" t="s">
        <v>435</v>
      </c>
      <c r="C3400" t="s">
        <v>868</v>
      </c>
      <c r="D3400" t="s">
        <v>11</v>
      </c>
      <c r="E3400">
        <v>26</v>
      </c>
      <c r="F3400" s="2">
        <f>DATE(2026,IF(Tabla1[[#This Row],[Mes de Fecha]]="Septiembre",9,10),Tabla1[[#This Row],[Día de Fecha]])</f>
        <v>46291</v>
      </c>
      <c r="G3400">
        <v>1004148578</v>
      </c>
      <c r="H3400" t="s">
        <v>442</v>
      </c>
      <c r="I3400">
        <v>88</v>
      </c>
      <c r="J3400">
        <v>0</v>
      </c>
      <c r="K3400" s="1">
        <v>5495760</v>
      </c>
    </row>
    <row r="3401" spans="1:11" x14ac:dyDescent="0.25">
      <c r="A3401" t="s">
        <v>326</v>
      </c>
      <c r="B3401" t="s">
        <v>435</v>
      </c>
      <c r="C3401" t="s">
        <v>868</v>
      </c>
      <c r="D3401" t="s">
        <v>11</v>
      </c>
      <c r="E3401">
        <v>26</v>
      </c>
      <c r="F3401" s="2">
        <f>DATE(2026,IF(Tabla1[[#This Row],[Mes de Fecha]]="Septiembre",9,10),Tabla1[[#This Row],[Día de Fecha]])</f>
        <v>46291</v>
      </c>
      <c r="G3401">
        <v>1007145358</v>
      </c>
      <c r="H3401" t="s">
        <v>443</v>
      </c>
      <c r="I3401">
        <v>40</v>
      </c>
      <c r="J3401">
        <v>0</v>
      </c>
      <c r="K3401" s="1">
        <v>2036013</v>
      </c>
    </row>
    <row r="3402" spans="1:11" x14ac:dyDescent="0.25">
      <c r="A3402" t="s">
        <v>326</v>
      </c>
      <c r="B3402" t="s">
        <v>435</v>
      </c>
      <c r="C3402" t="s">
        <v>868</v>
      </c>
      <c r="D3402" t="s">
        <v>11</v>
      </c>
      <c r="E3402">
        <v>26</v>
      </c>
      <c r="F3402" s="2">
        <f>DATE(2026,IF(Tabla1[[#This Row],[Mes de Fecha]]="Septiembre",9,10),Tabla1[[#This Row],[Día de Fecha]])</f>
        <v>46291</v>
      </c>
      <c r="G3402">
        <v>1058968650</v>
      </c>
      <c r="H3402" t="s">
        <v>437</v>
      </c>
      <c r="I3402">
        <v>193</v>
      </c>
      <c r="J3402">
        <v>0</v>
      </c>
      <c r="K3402" s="1">
        <v>10722570</v>
      </c>
    </row>
    <row r="3403" spans="1:11" x14ac:dyDescent="0.25">
      <c r="A3403" t="s">
        <v>326</v>
      </c>
      <c r="B3403" t="s">
        <v>435</v>
      </c>
      <c r="C3403" t="s">
        <v>868</v>
      </c>
      <c r="D3403" t="s">
        <v>11</v>
      </c>
      <c r="E3403">
        <v>26</v>
      </c>
      <c r="F3403" s="2">
        <f>DATE(2026,IF(Tabla1[[#This Row],[Mes de Fecha]]="Septiembre",9,10),Tabla1[[#This Row],[Día de Fecha]])</f>
        <v>46291</v>
      </c>
      <c r="G3403">
        <v>1061535746</v>
      </c>
      <c r="H3403" t="s">
        <v>447</v>
      </c>
      <c r="I3403">
        <v>43</v>
      </c>
      <c r="J3403">
        <v>0</v>
      </c>
      <c r="K3403" s="1">
        <v>2514752</v>
      </c>
    </row>
    <row r="3404" spans="1:11" x14ac:dyDescent="0.25">
      <c r="A3404" t="s">
        <v>326</v>
      </c>
      <c r="B3404" t="s">
        <v>435</v>
      </c>
      <c r="C3404" t="s">
        <v>868</v>
      </c>
      <c r="D3404" t="s">
        <v>11</v>
      </c>
      <c r="E3404">
        <v>26</v>
      </c>
      <c r="F3404" s="2">
        <f>DATE(2026,IF(Tabla1[[#This Row],[Mes de Fecha]]="Septiembre",9,10),Tabla1[[#This Row],[Día de Fecha]])</f>
        <v>46291</v>
      </c>
      <c r="G3404">
        <v>1061770250</v>
      </c>
      <c r="H3404" t="s">
        <v>449</v>
      </c>
      <c r="I3404">
        <v>-1</v>
      </c>
      <c r="J3404">
        <v>0</v>
      </c>
      <c r="K3404" s="1">
        <v>-83949</v>
      </c>
    </row>
    <row r="3405" spans="1:11" x14ac:dyDescent="0.25">
      <c r="A3405" t="s">
        <v>326</v>
      </c>
      <c r="B3405" t="s">
        <v>435</v>
      </c>
      <c r="C3405" t="s">
        <v>868</v>
      </c>
      <c r="D3405" t="s">
        <v>11</v>
      </c>
      <c r="E3405">
        <v>26</v>
      </c>
      <c r="F3405" s="2">
        <f>DATE(2026,IF(Tabla1[[#This Row],[Mes de Fecha]]="Septiembre",9,10),Tabla1[[#This Row],[Día de Fecha]])</f>
        <v>46291</v>
      </c>
      <c r="G3405">
        <v>1061774213</v>
      </c>
      <c r="H3405" t="s">
        <v>444</v>
      </c>
      <c r="I3405">
        <v>81</v>
      </c>
      <c r="J3405">
        <v>0</v>
      </c>
      <c r="K3405" s="1">
        <v>4466809</v>
      </c>
    </row>
    <row r="3406" spans="1:11" x14ac:dyDescent="0.25">
      <c r="A3406" t="s">
        <v>326</v>
      </c>
      <c r="B3406" t="s">
        <v>435</v>
      </c>
      <c r="C3406" t="s">
        <v>868</v>
      </c>
      <c r="D3406" t="s">
        <v>11</v>
      </c>
      <c r="E3406">
        <v>26</v>
      </c>
      <c r="F3406" s="2">
        <f>DATE(2026,IF(Tabla1[[#This Row],[Mes de Fecha]]="Septiembre",9,10),Tabla1[[#This Row],[Día de Fecha]])</f>
        <v>46291</v>
      </c>
      <c r="G3406">
        <v>1061814088</v>
      </c>
      <c r="H3406" t="s">
        <v>438</v>
      </c>
      <c r="I3406">
        <v>195</v>
      </c>
      <c r="J3406">
        <v>0</v>
      </c>
      <c r="K3406" s="1">
        <v>11193156</v>
      </c>
    </row>
    <row r="3407" spans="1:11" x14ac:dyDescent="0.25">
      <c r="A3407" t="s">
        <v>326</v>
      </c>
      <c r="B3407" t="s">
        <v>435</v>
      </c>
      <c r="C3407" t="s">
        <v>868</v>
      </c>
      <c r="D3407" t="s">
        <v>11</v>
      </c>
      <c r="E3407">
        <v>26</v>
      </c>
      <c r="F3407" s="2">
        <f>DATE(2026,IF(Tabla1[[#This Row],[Mes de Fecha]]="Septiembre",9,10),Tabla1[[#This Row],[Día de Fecha]])</f>
        <v>46291</v>
      </c>
      <c r="G3407">
        <v>1083906980</v>
      </c>
      <c r="H3407" t="s">
        <v>445</v>
      </c>
      <c r="I3407">
        <v>21</v>
      </c>
      <c r="J3407">
        <v>0</v>
      </c>
      <c r="K3407" s="1">
        <v>1276389</v>
      </c>
    </row>
    <row r="3408" spans="1:11" x14ac:dyDescent="0.25">
      <c r="A3408" t="s">
        <v>326</v>
      </c>
      <c r="B3408" t="s">
        <v>435</v>
      </c>
      <c r="C3408" t="s">
        <v>868</v>
      </c>
      <c r="D3408" t="s">
        <v>11</v>
      </c>
      <c r="E3408">
        <v>27</v>
      </c>
      <c r="F3408" s="2">
        <f>DATE(2026,IF(Tabla1[[#This Row],[Mes de Fecha]]="Septiembre",9,10),Tabla1[[#This Row],[Día de Fecha]])</f>
        <v>46292</v>
      </c>
      <c r="I3408">
        <v>0</v>
      </c>
      <c r="J3408" s="1">
        <v>47342555</v>
      </c>
      <c r="K3408">
        <v>0</v>
      </c>
    </row>
    <row r="3409" spans="1:11" x14ac:dyDescent="0.25">
      <c r="A3409" t="s">
        <v>326</v>
      </c>
      <c r="B3409" t="s">
        <v>435</v>
      </c>
      <c r="C3409" t="s">
        <v>868</v>
      </c>
      <c r="D3409" t="s">
        <v>11</v>
      </c>
      <c r="E3409">
        <v>27</v>
      </c>
      <c r="F3409" s="2">
        <f>DATE(2026,IF(Tabla1[[#This Row],[Mes de Fecha]]="Septiembre",9,10),Tabla1[[#This Row],[Día de Fecha]])</f>
        <v>46292</v>
      </c>
      <c r="G3409">
        <v>1002957897</v>
      </c>
      <c r="H3409" t="s">
        <v>436</v>
      </c>
      <c r="I3409">
        <v>183</v>
      </c>
      <c r="J3409">
        <v>0</v>
      </c>
      <c r="K3409" s="1">
        <v>11552528</v>
      </c>
    </row>
    <row r="3410" spans="1:11" x14ac:dyDescent="0.25">
      <c r="A3410" t="s">
        <v>326</v>
      </c>
      <c r="B3410" t="s">
        <v>435</v>
      </c>
      <c r="C3410" t="s">
        <v>868</v>
      </c>
      <c r="D3410" t="s">
        <v>11</v>
      </c>
      <c r="E3410">
        <v>27</v>
      </c>
      <c r="F3410" s="2">
        <f>DATE(2026,IF(Tabla1[[#This Row],[Mes de Fecha]]="Septiembre",9,10),Tabla1[[#This Row],[Día de Fecha]])</f>
        <v>46292</v>
      </c>
      <c r="G3410">
        <v>1004148578</v>
      </c>
      <c r="H3410" t="s">
        <v>442</v>
      </c>
      <c r="I3410">
        <v>60</v>
      </c>
      <c r="J3410">
        <v>0</v>
      </c>
      <c r="K3410" s="1">
        <v>3633955</v>
      </c>
    </row>
    <row r="3411" spans="1:11" x14ac:dyDescent="0.25">
      <c r="A3411" t="s">
        <v>326</v>
      </c>
      <c r="B3411" t="s">
        <v>435</v>
      </c>
      <c r="C3411" t="s">
        <v>868</v>
      </c>
      <c r="D3411" t="s">
        <v>11</v>
      </c>
      <c r="E3411">
        <v>27</v>
      </c>
      <c r="F3411" s="2">
        <f>DATE(2026,IF(Tabla1[[#This Row],[Mes de Fecha]]="Septiembre",9,10),Tabla1[[#This Row],[Día de Fecha]])</f>
        <v>46292</v>
      </c>
      <c r="G3411">
        <v>1007145358</v>
      </c>
      <c r="H3411" t="s">
        <v>443</v>
      </c>
      <c r="I3411">
        <v>43</v>
      </c>
      <c r="J3411">
        <v>0</v>
      </c>
      <c r="K3411" s="1">
        <v>2750252</v>
      </c>
    </row>
    <row r="3412" spans="1:11" x14ac:dyDescent="0.25">
      <c r="A3412" t="s">
        <v>326</v>
      </c>
      <c r="B3412" t="s">
        <v>435</v>
      </c>
      <c r="C3412" t="s">
        <v>868</v>
      </c>
      <c r="D3412" t="s">
        <v>11</v>
      </c>
      <c r="E3412">
        <v>27</v>
      </c>
      <c r="F3412" s="2">
        <f>DATE(2026,IF(Tabla1[[#This Row],[Mes de Fecha]]="Septiembre",9,10),Tabla1[[#This Row],[Día de Fecha]])</f>
        <v>46292</v>
      </c>
      <c r="G3412">
        <v>1058968650</v>
      </c>
      <c r="H3412" t="s">
        <v>437</v>
      </c>
      <c r="I3412">
        <v>157</v>
      </c>
      <c r="J3412">
        <v>0</v>
      </c>
      <c r="K3412" s="1">
        <v>8562193</v>
      </c>
    </row>
    <row r="3413" spans="1:11" x14ac:dyDescent="0.25">
      <c r="A3413" t="s">
        <v>326</v>
      </c>
      <c r="B3413" t="s">
        <v>435</v>
      </c>
      <c r="C3413" t="s">
        <v>868</v>
      </c>
      <c r="D3413" t="s">
        <v>11</v>
      </c>
      <c r="E3413">
        <v>27</v>
      </c>
      <c r="F3413" s="2">
        <f>DATE(2026,IF(Tabla1[[#This Row],[Mes de Fecha]]="Septiembre",9,10),Tabla1[[#This Row],[Día de Fecha]])</f>
        <v>46292</v>
      </c>
      <c r="G3413">
        <v>1059234731</v>
      </c>
      <c r="H3413" t="s">
        <v>451</v>
      </c>
      <c r="I3413">
        <v>-1</v>
      </c>
      <c r="J3413">
        <v>0</v>
      </c>
      <c r="K3413" s="1">
        <v>-58781</v>
      </c>
    </row>
    <row r="3414" spans="1:11" x14ac:dyDescent="0.25">
      <c r="A3414" t="s">
        <v>326</v>
      </c>
      <c r="B3414" t="s">
        <v>435</v>
      </c>
      <c r="C3414" t="s">
        <v>868</v>
      </c>
      <c r="D3414" t="s">
        <v>11</v>
      </c>
      <c r="E3414">
        <v>27</v>
      </c>
      <c r="F3414" s="2">
        <f>DATE(2026,IF(Tabla1[[#This Row],[Mes de Fecha]]="Septiembre",9,10),Tabla1[[#This Row],[Día de Fecha]])</f>
        <v>46292</v>
      </c>
      <c r="G3414">
        <v>1061535746</v>
      </c>
      <c r="H3414" t="s">
        <v>447</v>
      </c>
      <c r="I3414">
        <v>25</v>
      </c>
      <c r="J3414">
        <v>0</v>
      </c>
      <c r="K3414" s="1">
        <v>1223699</v>
      </c>
    </row>
    <row r="3415" spans="1:11" x14ac:dyDescent="0.25">
      <c r="A3415" t="s">
        <v>326</v>
      </c>
      <c r="B3415" t="s">
        <v>435</v>
      </c>
      <c r="C3415" t="s">
        <v>868</v>
      </c>
      <c r="D3415" t="s">
        <v>11</v>
      </c>
      <c r="E3415">
        <v>27</v>
      </c>
      <c r="F3415" s="2">
        <f>DATE(2026,IF(Tabla1[[#This Row],[Mes de Fecha]]="Septiembre",9,10),Tabla1[[#This Row],[Día de Fecha]])</f>
        <v>46292</v>
      </c>
      <c r="G3415">
        <v>1061774213</v>
      </c>
      <c r="H3415" t="s">
        <v>444</v>
      </c>
      <c r="I3415">
        <v>69</v>
      </c>
      <c r="J3415">
        <v>0</v>
      </c>
      <c r="K3415" s="1">
        <v>4910884</v>
      </c>
    </row>
    <row r="3416" spans="1:11" x14ac:dyDescent="0.25">
      <c r="A3416" t="s">
        <v>326</v>
      </c>
      <c r="B3416" t="s">
        <v>435</v>
      </c>
      <c r="C3416" t="s">
        <v>868</v>
      </c>
      <c r="D3416" t="s">
        <v>11</v>
      </c>
      <c r="E3416">
        <v>27</v>
      </c>
      <c r="F3416" s="2">
        <f>DATE(2026,IF(Tabla1[[#This Row],[Mes de Fecha]]="Septiembre",9,10),Tabla1[[#This Row],[Día de Fecha]])</f>
        <v>46292</v>
      </c>
      <c r="G3416">
        <v>1061814088</v>
      </c>
      <c r="H3416" t="s">
        <v>438</v>
      </c>
      <c r="I3416">
        <v>193</v>
      </c>
      <c r="J3416">
        <v>0</v>
      </c>
      <c r="K3416" s="1">
        <v>11613285</v>
      </c>
    </row>
    <row r="3417" spans="1:11" x14ac:dyDescent="0.25">
      <c r="A3417" t="s">
        <v>326</v>
      </c>
      <c r="B3417" t="s">
        <v>435</v>
      </c>
      <c r="C3417" t="s">
        <v>868</v>
      </c>
      <c r="D3417" t="s">
        <v>11</v>
      </c>
      <c r="E3417">
        <v>27</v>
      </c>
      <c r="F3417" s="2">
        <f>DATE(2026,IF(Tabla1[[#This Row],[Mes de Fecha]]="Septiembre",9,10),Tabla1[[#This Row],[Día de Fecha]])</f>
        <v>46292</v>
      </c>
      <c r="G3417">
        <v>1063816927</v>
      </c>
      <c r="H3417" t="s">
        <v>440</v>
      </c>
      <c r="I3417">
        <v>-1</v>
      </c>
      <c r="J3417">
        <v>0</v>
      </c>
      <c r="K3417" s="1">
        <v>-117563</v>
      </c>
    </row>
    <row r="3418" spans="1:11" x14ac:dyDescent="0.25">
      <c r="A3418" t="s">
        <v>326</v>
      </c>
      <c r="B3418" t="s">
        <v>435</v>
      </c>
      <c r="C3418" t="s">
        <v>868</v>
      </c>
      <c r="D3418" t="s">
        <v>11</v>
      </c>
      <c r="E3418">
        <v>27</v>
      </c>
      <c r="F3418" s="2">
        <f>DATE(2026,IF(Tabla1[[#This Row],[Mes de Fecha]]="Septiembre",9,10),Tabla1[[#This Row],[Día de Fecha]])</f>
        <v>46292</v>
      </c>
      <c r="G3418">
        <v>1083906980</v>
      </c>
      <c r="H3418" t="s">
        <v>445</v>
      </c>
      <c r="I3418">
        <v>7</v>
      </c>
      <c r="J3418">
        <v>0</v>
      </c>
      <c r="K3418" s="1">
        <v>428279</v>
      </c>
    </row>
    <row r="3419" spans="1:11" x14ac:dyDescent="0.25">
      <c r="A3419" t="s">
        <v>326</v>
      </c>
      <c r="B3419" t="s">
        <v>435</v>
      </c>
      <c r="C3419" t="s">
        <v>868</v>
      </c>
      <c r="D3419" t="s">
        <v>11</v>
      </c>
      <c r="E3419">
        <v>28</v>
      </c>
      <c r="F3419" s="2">
        <f>DATE(2026,IF(Tabla1[[#This Row],[Mes de Fecha]]="Septiembre",9,10),Tabla1[[#This Row],[Día de Fecha]])</f>
        <v>46293</v>
      </c>
      <c r="I3419">
        <v>0</v>
      </c>
      <c r="J3419" s="1">
        <v>26055399</v>
      </c>
      <c r="K3419">
        <v>0</v>
      </c>
    </row>
    <row r="3420" spans="1:11" x14ac:dyDescent="0.25">
      <c r="A3420" t="s">
        <v>326</v>
      </c>
      <c r="B3420" t="s">
        <v>435</v>
      </c>
      <c r="C3420" t="s">
        <v>868</v>
      </c>
      <c r="D3420" t="s">
        <v>11</v>
      </c>
      <c r="E3420">
        <v>28</v>
      </c>
      <c r="F3420" s="2">
        <f>DATE(2026,IF(Tabla1[[#This Row],[Mes de Fecha]]="Septiembre",9,10),Tabla1[[#This Row],[Día de Fecha]])</f>
        <v>46293</v>
      </c>
      <c r="G3420">
        <v>34319130</v>
      </c>
      <c r="H3420" t="s">
        <v>452</v>
      </c>
      <c r="I3420">
        <v>-1</v>
      </c>
      <c r="J3420">
        <v>0</v>
      </c>
      <c r="K3420" s="1">
        <v>-159580</v>
      </c>
    </row>
    <row r="3421" spans="1:11" x14ac:dyDescent="0.25">
      <c r="A3421" t="s">
        <v>326</v>
      </c>
      <c r="B3421" t="s">
        <v>435</v>
      </c>
      <c r="C3421" t="s">
        <v>868</v>
      </c>
      <c r="D3421" t="s">
        <v>11</v>
      </c>
      <c r="E3421">
        <v>28</v>
      </c>
      <c r="F3421" s="2">
        <f>DATE(2026,IF(Tabla1[[#This Row],[Mes de Fecha]]="Septiembre",9,10),Tabla1[[#This Row],[Día de Fecha]])</f>
        <v>46293</v>
      </c>
      <c r="G3421">
        <v>1002607819</v>
      </c>
      <c r="H3421" t="s">
        <v>446</v>
      </c>
      <c r="I3421">
        <v>-1</v>
      </c>
      <c r="J3421">
        <v>0</v>
      </c>
      <c r="K3421" s="1">
        <v>-100798</v>
      </c>
    </row>
    <row r="3422" spans="1:11" x14ac:dyDescent="0.25">
      <c r="A3422" t="s">
        <v>326</v>
      </c>
      <c r="B3422" t="s">
        <v>435</v>
      </c>
      <c r="C3422" t="s">
        <v>868</v>
      </c>
      <c r="D3422" t="s">
        <v>11</v>
      </c>
      <c r="E3422">
        <v>28</v>
      </c>
      <c r="F3422" s="2">
        <f>DATE(2026,IF(Tabla1[[#This Row],[Mes de Fecha]]="Septiembre",9,10),Tabla1[[#This Row],[Día de Fecha]])</f>
        <v>46293</v>
      </c>
      <c r="G3422">
        <v>1002957897</v>
      </c>
      <c r="H3422" t="s">
        <v>436</v>
      </c>
      <c r="I3422">
        <v>66</v>
      </c>
      <c r="J3422">
        <v>0</v>
      </c>
      <c r="K3422" s="1">
        <v>4013871</v>
      </c>
    </row>
    <row r="3423" spans="1:11" x14ac:dyDescent="0.25">
      <c r="A3423" t="s">
        <v>326</v>
      </c>
      <c r="B3423" t="s">
        <v>435</v>
      </c>
      <c r="C3423" t="s">
        <v>868</v>
      </c>
      <c r="D3423" t="s">
        <v>11</v>
      </c>
      <c r="E3423">
        <v>28</v>
      </c>
      <c r="F3423" s="2">
        <f>DATE(2026,IF(Tabla1[[#This Row],[Mes de Fecha]]="Septiembre",9,10),Tabla1[[#This Row],[Día de Fecha]])</f>
        <v>46293</v>
      </c>
      <c r="G3423">
        <v>1004148578</v>
      </c>
      <c r="H3423" t="s">
        <v>442</v>
      </c>
      <c r="I3423">
        <v>54</v>
      </c>
      <c r="J3423">
        <v>0</v>
      </c>
      <c r="K3423" s="1">
        <v>2886265</v>
      </c>
    </row>
    <row r="3424" spans="1:11" x14ac:dyDescent="0.25">
      <c r="A3424" t="s">
        <v>326</v>
      </c>
      <c r="B3424" t="s">
        <v>435</v>
      </c>
      <c r="C3424" t="s">
        <v>868</v>
      </c>
      <c r="D3424" t="s">
        <v>11</v>
      </c>
      <c r="E3424">
        <v>28</v>
      </c>
      <c r="F3424" s="2">
        <f>DATE(2026,IF(Tabla1[[#This Row],[Mes de Fecha]]="Septiembre",9,10),Tabla1[[#This Row],[Día de Fecha]])</f>
        <v>46293</v>
      </c>
      <c r="G3424">
        <v>1007145358</v>
      </c>
      <c r="H3424" t="s">
        <v>443</v>
      </c>
      <c r="I3424">
        <v>35</v>
      </c>
      <c r="J3424">
        <v>0</v>
      </c>
      <c r="K3424" s="1">
        <v>2027817</v>
      </c>
    </row>
    <row r="3425" spans="1:11" x14ac:dyDescent="0.25">
      <c r="A3425" t="s">
        <v>326</v>
      </c>
      <c r="B3425" t="s">
        <v>435</v>
      </c>
      <c r="C3425" t="s">
        <v>868</v>
      </c>
      <c r="D3425" t="s">
        <v>11</v>
      </c>
      <c r="E3425">
        <v>28</v>
      </c>
      <c r="F3425" s="2">
        <f>DATE(2026,IF(Tabla1[[#This Row],[Mes de Fecha]]="Septiembre",9,10),Tabla1[[#This Row],[Día de Fecha]])</f>
        <v>46293</v>
      </c>
      <c r="G3425">
        <v>1058968650</v>
      </c>
      <c r="H3425" t="s">
        <v>437</v>
      </c>
      <c r="I3425">
        <v>76</v>
      </c>
      <c r="J3425">
        <v>0</v>
      </c>
      <c r="K3425" s="1">
        <v>4584836</v>
      </c>
    </row>
    <row r="3426" spans="1:11" x14ac:dyDescent="0.25">
      <c r="A3426" t="s">
        <v>326</v>
      </c>
      <c r="B3426" t="s">
        <v>435</v>
      </c>
      <c r="C3426" t="s">
        <v>868</v>
      </c>
      <c r="D3426" t="s">
        <v>11</v>
      </c>
      <c r="E3426">
        <v>28</v>
      </c>
      <c r="F3426" s="2">
        <f>DATE(2026,IF(Tabla1[[#This Row],[Mes de Fecha]]="Septiembre",9,10),Tabla1[[#This Row],[Día de Fecha]])</f>
        <v>46293</v>
      </c>
      <c r="G3426">
        <v>1061774213</v>
      </c>
      <c r="H3426" t="s">
        <v>444</v>
      </c>
      <c r="I3426">
        <v>35</v>
      </c>
      <c r="J3426">
        <v>0</v>
      </c>
      <c r="K3426" s="1">
        <v>1937608</v>
      </c>
    </row>
    <row r="3427" spans="1:11" x14ac:dyDescent="0.25">
      <c r="A3427" t="s">
        <v>326</v>
      </c>
      <c r="B3427" t="s">
        <v>435</v>
      </c>
      <c r="C3427" t="s">
        <v>868</v>
      </c>
      <c r="D3427" t="s">
        <v>11</v>
      </c>
      <c r="E3427">
        <v>28</v>
      </c>
      <c r="F3427" s="2">
        <f>DATE(2026,IF(Tabla1[[#This Row],[Mes de Fecha]]="Septiembre",9,10),Tabla1[[#This Row],[Día de Fecha]])</f>
        <v>46293</v>
      </c>
      <c r="G3427">
        <v>1061814088</v>
      </c>
      <c r="H3427" t="s">
        <v>438</v>
      </c>
      <c r="I3427">
        <v>75</v>
      </c>
      <c r="J3427">
        <v>0</v>
      </c>
      <c r="K3427" s="1">
        <v>4618616</v>
      </c>
    </row>
    <row r="3428" spans="1:11" x14ac:dyDescent="0.25">
      <c r="A3428" t="s">
        <v>326</v>
      </c>
      <c r="B3428" t="s">
        <v>435</v>
      </c>
      <c r="C3428" t="s">
        <v>868</v>
      </c>
      <c r="D3428" t="s">
        <v>11</v>
      </c>
      <c r="E3428">
        <v>28</v>
      </c>
      <c r="F3428" s="2">
        <f>DATE(2026,IF(Tabla1[[#This Row],[Mes de Fecha]]="Septiembre",9,10),Tabla1[[#This Row],[Día de Fecha]])</f>
        <v>46293</v>
      </c>
      <c r="G3428">
        <v>1083906980</v>
      </c>
      <c r="H3428" t="s">
        <v>445</v>
      </c>
      <c r="I3428">
        <v>10</v>
      </c>
      <c r="J3428">
        <v>0</v>
      </c>
      <c r="K3428" s="1">
        <v>516220</v>
      </c>
    </row>
    <row r="3429" spans="1:11" x14ac:dyDescent="0.25">
      <c r="A3429" t="s">
        <v>326</v>
      </c>
      <c r="B3429" t="s">
        <v>435</v>
      </c>
      <c r="C3429" t="s">
        <v>868</v>
      </c>
      <c r="D3429" t="s">
        <v>11</v>
      </c>
      <c r="E3429">
        <v>29</v>
      </c>
      <c r="F3429" s="2">
        <f>DATE(2026,IF(Tabla1[[#This Row],[Mes de Fecha]]="Septiembre",9,10),Tabla1[[#This Row],[Día de Fecha]])</f>
        <v>46294</v>
      </c>
      <c r="I3429">
        <v>0</v>
      </c>
      <c r="J3429" s="1">
        <v>19065569</v>
      </c>
      <c r="K3429">
        <v>0</v>
      </c>
    </row>
    <row r="3430" spans="1:11" x14ac:dyDescent="0.25">
      <c r="A3430" t="s">
        <v>326</v>
      </c>
      <c r="B3430" t="s">
        <v>435</v>
      </c>
      <c r="C3430" t="s">
        <v>868</v>
      </c>
      <c r="D3430" t="s">
        <v>11</v>
      </c>
      <c r="E3430">
        <v>29</v>
      </c>
      <c r="F3430" s="2">
        <f>DATE(2026,IF(Tabla1[[#This Row],[Mes de Fecha]]="Septiembre",9,10),Tabla1[[#This Row],[Día de Fecha]])</f>
        <v>46294</v>
      </c>
      <c r="G3430">
        <v>1002957897</v>
      </c>
      <c r="H3430" t="s">
        <v>436</v>
      </c>
      <c r="I3430">
        <v>65</v>
      </c>
      <c r="J3430">
        <v>0</v>
      </c>
      <c r="K3430" s="1">
        <v>4148490</v>
      </c>
    </row>
    <row r="3431" spans="1:11" x14ac:dyDescent="0.25">
      <c r="A3431" t="s">
        <v>326</v>
      </c>
      <c r="B3431" t="s">
        <v>435</v>
      </c>
      <c r="C3431" t="s">
        <v>868</v>
      </c>
      <c r="D3431" t="s">
        <v>11</v>
      </c>
      <c r="E3431">
        <v>29</v>
      </c>
      <c r="F3431" s="2">
        <f>DATE(2026,IF(Tabla1[[#This Row],[Mes de Fecha]]="Septiembre",9,10),Tabla1[[#This Row],[Día de Fecha]])</f>
        <v>46294</v>
      </c>
      <c r="G3431">
        <v>1002970518</v>
      </c>
      <c r="H3431" t="s">
        <v>453</v>
      </c>
      <c r="I3431">
        <v>-1</v>
      </c>
      <c r="J3431">
        <v>0</v>
      </c>
      <c r="K3431" s="1">
        <v>-109202</v>
      </c>
    </row>
    <row r="3432" spans="1:11" x14ac:dyDescent="0.25">
      <c r="A3432" t="s">
        <v>326</v>
      </c>
      <c r="B3432" t="s">
        <v>435</v>
      </c>
      <c r="C3432" t="s">
        <v>868</v>
      </c>
      <c r="D3432" t="s">
        <v>11</v>
      </c>
      <c r="E3432">
        <v>29</v>
      </c>
      <c r="F3432" s="2">
        <f>DATE(2026,IF(Tabla1[[#This Row],[Mes de Fecha]]="Septiembre",9,10),Tabla1[[#This Row],[Día de Fecha]])</f>
        <v>46294</v>
      </c>
      <c r="G3432">
        <v>1004148578</v>
      </c>
      <c r="H3432" t="s">
        <v>442</v>
      </c>
      <c r="I3432">
        <v>22</v>
      </c>
      <c r="J3432">
        <v>0</v>
      </c>
      <c r="K3432" s="1">
        <v>1026388</v>
      </c>
    </row>
    <row r="3433" spans="1:11" x14ac:dyDescent="0.25">
      <c r="A3433" t="s">
        <v>326</v>
      </c>
      <c r="B3433" t="s">
        <v>435</v>
      </c>
      <c r="C3433" t="s">
        <v>868</v>
      </c>
      <c r="D3433" t="s">
        <v>11</v>
      </c>
      <c r="E3433">
        <v>29</v>
      </c>
      <c r="F3433" s="2">
        <f>DATE(2026,IF(Tabla1[[#This Row],[Mes de Fecha]]="Septiembre",9,10),Tabla1[[#This Row],[Día de Fecha]])</f>
        <v>46294</v>
      </c>
      <c r="G3433">
        <v>1007145358</v>
      </c>
      <c r="H3433" t="s">
        <v>443</v>
      </c>
      <c r="I3433">
        <v>41</v>
      </c>
      <c r="J3433">
        <v>0</v>
      </c>
      <c r="K3433" s="1">
        <v>2401598</v>
      </c>
    </row>
    <row r="3434" spans="1:11" x14ac:dyDescent="0.25">
      <c r="A3434" t="s">
        <v>326</v>
      </c>
      <c r="B3434" t="s">
        <v>435</v>
      </c>
      <c r="C3434" t="s">
        <v>868</v>
      </c>
      <c r="D3434" t="s">
        <v>11</v>
      </c>
      <c r="E3434">
        <v>29</v>
      </c>
      <c r="F3434" s="2">
        <f>DATE(2026,IF(Tabla1[[#This Row],[Mes de Fecha]]="Septiembre",9,10),Tabla1[[#This Row],[Día de Fecha]])</f>
        <v>46294</v>
      </c>
      <c r="G3434">
        <v>1058968650</v>
      </c>
      <c r="H3434" t="s">
        <v>437</v>
      </c>
      <c r="I3434">
        <v>111</v>
      </c>
      <c r="J3434">
        <v>0</v>
      </c>
      <c r="K3434" s="1">
        <v>6339753</v>
      </c>
    </row>
    <row r="3435" spans="1:11" x14ac:dyDescent="0.25">
      <c r="A3435" t="s">
        <v>326</v>
      </c>
      <c r="B3435" t="s">
        <v>435</v>
      </c>
      <c r="C3435" t="s">
        <v>868</v>
      </c>
      <c r="D3435" t="s">
        <v>11</v>
      </c>
      <c r="E3435">
        <v>29</v>
      </c>
      <c r="F3435" s="2">
        <f>DATE(2026,IF(Tabla1[[#This Row],[Mes de Fecha]]="Septiembre",9,10),Tabla1[[#This Row],[Día de Fecha]])</f>
        <v>46294</v>
      </c>
      <c r="G3435">
        <v>1061773714</v>
      </c>
      <c r="H3435" t="s">
        <v>450</v>
      </c>
      <c r="I3435">
        <v>-1</v>
      </c>
      <c r="J3435">
        <v>0</v>
      </c>
      <c r="K3435" s="1">
        <v>-37773</v>
      </c>
    </row>
    <row r="3436" spans="1:11" x14ac:dyDescent="0.25">
      <c r="A3436" t="s">
        <v>326</v>
      </c>
      <c r="B3436" t="s">
        <v>435</v>
      </c>
      <c r="C3436" t="s">
        <v>868</v>
      </c>
      <c r="D3436" t="s">
        <v>11</v>
      </c>
      <c r="E3436">
        <v>29</v>
      </c>
      <c r="F3436" s="2">
        <f>DATE(2026,IF(Tabla1[[#This Row],[Mes de Fecha]]="Septiembre",9,10),Tabla1[[#This Row],[Día de Fecha]])</f>
        <v>46294</v>
      </c>
      <c r="G3436">
        <v>1061774213</v>
      </c>
      <c r="H3436" t="s">
        <v>444</v>
      </c>
      <c r="I3436">
        <v>19</v>
      </c>
      <c r="J3436">
        <v>0</v>
      </c>
      <c r="K3436" s="1">
        <v>948741</v>
      </c>
    </row>
    <row r="3437" spans="1:11" x14ac:dyDescent="0.25">
      <c r="A3437" t="s">
        <v>326</v>
      </c>
      <c r="B3437" t="s">
        <v>435</v>
      </c>
      <c r="C3437" t="s">
        <v>868</v>
      </c>
      <c r="D3437" t="s">
        <v>11</v>
      </c>
      <c r="E3437">
        <v>29</v>
      </c>
      <c r="F3437" s="2">
        <f>DATE(2026,IF(Tabla1[[#This Row],[Mes de Fecha]]="Septiembre",9,10),Tabla1[[#This Row],[Día de Fecha]])</f>
        <v>46294</v>
      </c>
      <c r="G3437">
        <v>1061814088</v>
      </c>
      <c r="H3437" t="s">
        <v>438</v>
      </c>
      <c r="I3437">
        <v>63</v>
      </c>
      <c r="J3437">
        <v>0</v>
      </c>
      <c r="K3437" s="1">
        <v>3524545</v>
      </c>
    </row>
    <row r="3438" spans="1:11" x14ac:dyDescent="0.25">
      <c r="A3438" t="s">
        <v>326</v>
      </c>
      <c r="B3438" t="s">
        <v>435</v>
      </c>
      <c r="C3438" t="s">
        <v>868</v>
      </c>
      <c r="D3438" t="s">
        <v>11</v>
      </c>
      <c r="E3438">
        <v>29</v>
      </c>
      <c r="F3438" s="2">
        <f>DATE(2026,IF(Tabla1[[#This Row],[Mes de Fecha]]="Septiembre",9,10),Tabla1[[#This Row],[Día de Fecha]])</f>
        <v>46294</v>
      </c>
      <c r="G3438">
        <v>1083906980</v>
      </c>
      <c r="H3438" t="s">
        <v>445</v>
      </c>
      <c r="I3438">
        <v>12</v>
      </c>
      <c r="J3438">
        <v>0</v>
      </c>
      <c r="K3438" s="1">
        <v>823028</v>
      </c>
    </row>
    <row r="3439" spans="1:11" x14ac:dyDescent="0.25">
      <c r="A3439" t="s">
        <v>326</v>
      </c>
      <c r="B3439" t="s">
        <v>435</v>
      </c>
      <c r="C3439" t="s">
        <v>868</v>
      </c>
      <c r="D3439" t="s">
        <v>11</v>
      </c>
      <c r="E3439">
        <v>30</v>
      </c>
      <c r="F3439" s="2">
        <f>DATE(2026,IF(Tabla1[[#This Row],[Mes de Fecha]]="Septiembre",9,10),Tabla1[[#This Row],[Día de Fecha]])</f>
        <v>46295</v>
      </c>
      <c r="I3439">
        <v>0</v>
      </c>
      <c r="J3439" s="1">
        <v>28751226</v>
      </c>
      <c r="K3439">
        <v>0</v>
      </c>
    </row>
    <row r="3440" spans="1:11" x14ac:dyDescent="0.25">
      <c r="A3440" t="s">
        <v>326</v>
      </c>
      <c r="B3440" t="s">
        <v>435</v>
      </c>
      <c r="C3440" t="s">
        <v>868</v>
      </c>
      <c r="D3440" t="s">
        <v>11</v>
      </c>
      <c r="E3440">
        <v>30</v>
      </c>
      <c r="F3440" s="2">
        <f>DATE(2026,IF(Tabla1[[#This Row],[Mes de Fecha]]="Septiembre",9,10),Tabla1[[#This Row],[Día de Fecha]])</f>
        <v>46295</v>
      </c>
      <c r="G3440">
        <v>1002957897</v>
      </c>
      <c r="H3440" t="s">
        <v>436</v>
      </c>
      <c r="I3440">
        <v>61</v>
      </c>
      <c r="J3440">
        <v>0</v>
      </c>
      <c r="K3440" s="1">
        <v>3810465</v>
      </c>
    </row>
    <row r="3441" spans="1:11" x14ac:dyDescent="0.25">
      <c r="A3441" t="s">
        <v>326</v>
      </c>
      <c r="B3441" t="s">
        <v>435</v>
      </c>
      <c r="C3441" t="s">
        <v>868</v>
      </c>
      <c r="D3441" t="s">
        <v>11</v>
      </c>
      <c r="E3441">
        <v>30</v>
      </c>
      <c r="F3441" s="2">
        <f>DATE(2026,IF(Tabla1[[#This Row],[Mes de Fecha]]="Septiembre",9,10),Tabla1[[#This Row],[Día de Fecha]])</f>
        <v>46295</v>
      </c>
      <c r="G3441">
        <v>1004148578</v>
      </c>
      <c r="H3441" t="s">
        <v>442</v>
      </c>
      <c r="I3441">
        <v>69</v>
      </c>
      <c r="J3441">
        <v>0</v>
      </c>
      <c r="K3441" s="1">
        <v>3959163</v>
      </c>
    </row>
    <row r="3442" spans="1:11" x14ac:dyDescent="0.25">
      <c r="A3442" t="s">
        <v>326</v>
      </c>
      <c r="B3442" t="s">
        <v>435</v>
      </c>
      <c r="C3442" t="s">
        <v>868</v>
      </c>
      <c r="D3442" t="s">
        <v>11</v>
      </c>
      <c r="E3442">
        <v>30</v>
      </c>
      <c r="F3442" s="2">
        <f>DATE(2026,IF(Tabla1[[#This Row],[Mes de Fecha]]="Septiembre",9,10),Tabla1[[#This Row],[Día de Fecha]])</f>
        <v>46295</v>
      </c>
      <c r="G3442">
        <v>1058968650</v>
      </c>
      <c r="H3442" t="s">
        <v>437</v>
      </c>
      <c r="I3442">
        <v>116</v>
      </c>
      <c r="J3442">
        <v>0</v>
      </c>
      <c r="K3442" s="1">
        <v>7625132</v>
      </c>
    </row>
    <row r="3443" spans="1:11" x14ac:dyDescent="0.25">
      <c r="A3443" t="s">
        <v>326</v>
      </c>
      <c r="B3443" t="s">
        <v>435</v>
      </c>
      <c r="C3443" t="s">
        <v>868</v>
      </c>
      <c r="D3443" t="s">
        <v>11</v>
      </c>
      <c r="E3443">
        <v>30</v>
      </c>
      <c r="F3443" s="2">
        <f>DATE(2026,IF(Tabla1[[#This Row],[Mes de Fecha]]="Septiembre",9,10),Tabla1[[#This Row],[Día de Fecha]])</f>
        <v>46295</v>
      </c>
      <c r="G3443">
        <v>1061774213</v>
      </c>
      <c r="H3443" t="s">
        <v>444</v>
      </c>
      <c r="I3443">
        <v>65</v>
      </c>
      <c r="J3443">
        <v>0</v>
      </c>
      <c r="K3443" s="1">
        <v>4049665</v>
      </c>
    </row>
    <row r="3444" spans="1:11" x14ac:dyDescent="0.25">
      <c r="A3444" t="s">
        <v>326</v>
      </c>
      <c r="B3444" t="s">
        <v>435</v>
      </c>
      <c r="C3444" t="s">
        <v>868</v>
      </c>
      <c r="D3444" t="s">
        <v>11</v>
      </c>
      <c r="E3444">
        <v>30</v>
      </c>
      <c r="F3444" s="2">
        <f>DATE(2026,IF(Tabla1[[#This Row],[Mes de Fecha]]="Septiembre",9,10),Tabla1[[#This Row],[Día de Fecha]])</f>
        <v>46295</v>
      </c>
      <c r="G3444">
        <v>1061814088</v>
      </c>
      <c r="H3444" t="s">
        <v>438</v>
      </c>
      <c r="I3444">
        <v>90</v>
      </c>
      <c r="J3444">
        <v>0</v>
      </c>
      <c r="K3444" s="1">
        <v>5342735</v>
      </c>
    </row>
    <row r="3445" spans="1:11" x14ac:dyDescent="0.25">
      <c r="A3445" t="s">
        <v>326</v>
      </c>
      <c r="B3445" t="s">
        <v>435</v>
      </c>
      <c r="C3445" t="s">
        <v>868</v>
      </c>
      <c r="D3445" t="s">
        <v>11</v>
      </c>
      <c r="E3445">
        <v>30</v>
      </c>
      <c r="F3445" s="2">
        <f>DATE(2026,IF(Tabla1[[#This Row],[Mes de Fecha]]="Septiembre",9,10),Tabla1[[#This Row],[Día de Fecha]])</f>
        <v>46295</v>
      </c>
      <c r="G3445">
        <v>1083906980</v>
      </c>
      <c r="H3445" t="s">
        <v>445</v>
      </c>
      <c r="I3445">
        <v>24</v>
      </c>
      <c r="J3445">
        <v>0</v>
      </c>
      <c r="K3445" s="1">
        <v>1553573</v>
      </c>
    </row>
    <row r="3446" spans="1:11" x14ac:dyDescent="0.25">
      <c r="A3446" t="s">
        <v>326</v>
      </c>
      <c r="B3446" t="s">
        <v>435</v>
      </c>
      <c r="C3446" t="s">
        <v>868</v>
      </c>
      <c r="D3446" t="s">
        <v>14</v>
      </c>
      <c r="E3446">
        <v>1</v>
      </c>
      <c r="F3446" s="2">
        <f>DATE(2026,IF(Tabla1[[#This Row],[Mes de Fecha]]="Septiembre",9,10),Tabla1[[#This Row],[Día de Fecha]])</f>
        <v>46296</v>
      </c>
      <c r="I3446">
        <v>0</v>
      </c>
      <c r="J3446" s="1">
        <v>20421947</v>
      </c>
      <c r="K3446">
        <v>0</v>
      </c>
    </row>
    <row r="3447" spans="1:11" x14ac:dyDescent="0.25">
      <c r="A3447" t="s">
        <v>326</v>
      </c>
      <c r="B3447" t="s">
        <v>435</v>
      </c>
      <c r="C3447" t="s">
        <v>868</v>
      </c>
      <c r="D3447" t="s">
        <v>14</v>
      </c>
      <c r="E3447">
        <v>1</v>
      </c>
      <c r="F3447" s="2">
        <f>DATE(2026,IF(Tabla1[[#This Row],[Mes de Fecha]]="Septiembre",9,10),Tabla1[[#This Row],[Día de Fecha]])</f>
        <v>46296</v>
      </c>
      <c r="G3447">
        <v>1002957897</v>
      </c>
      <c r="H3447" t="s">
        <v>436</v>
      </c>
      <c r="I3447">
        <v>71</v>
      </c>
      <c r="J3447">
        <v>0</v>
      </c>
      <c r="K3447" s="1">
        <v>4635506</v>
      </c>
    </row>
    <row r="3448" spans="1:11" x14ac:dyDescent="0.25">
      <c r="A3448" t="s">
        <v>326</v>
      </c>
      <c r="B3448" t="s">
        <v>435</v>
      </c>
      <c r="C3448" t="s">
        <v>868</v>
      </c>
      <c r="D3448" t="s">
        <v>14</v>
      </c>
      <c r="E3448">
        <v>1</v>
      </c>
      <c r="F3448" s="2">
        <f>DATE(2026,IF(Tabla1[[#This Row],[Mes de Fecha]]="Septiembre",9,10),Tabla1[[#This Row],[Día de Fecha]])</f>
        <v>46296</v>
      </c>
      <c r="G3448">
        <v>1002960105</v>
      </c>
      <c r="H3448" t="s">
        <v>439</v>
      </c>
      <c r="I3448">
        <v>27</v>
      </c>
      <c r="J3448">
        <v>0</v>
      </c>
      <c r="K3448" s="1">
        <v>1551304</v>
      </c>
    </row>
    <row r="3449" spans="1:11" x14ac:dyDescent="0.25">
      <c r="A3449" t="s">
        <v>326</v>
      </c>
      <c r="B3449" t="s">
        <v>435</v>
      </c>
      <c r="C3449" t="s">
        <v>868</v>
      </c>
      <c r="D3449" t="s">
        <v>14</v>
      </c>
      <c r="E3449">
        <v>1</v>
      </c>
      <c r="F3449" s="2">
        <f>DATE(2026,IF(Tabla1[[#This Row],[Mes de Fecha]]="Septiembre",9,10),Tabla1[[#This Row],[Día de Fecha]])</f>
        <v>46296</v>
      </c>
      <c r="G3449">
        <v>1004593130</v>
      </c>
      <c r="H3449" t="s">
        <v>454</v>
      </c>
      <c r="I3449">
        <v>-1</v>
      </c>
      <c r="J3449">
        <v>0</v>
      </c>
      <c r="K3449" s="1">
        <v>-105000</v>
      </c>
    </row>
    <row r="3450" spans="1:11" x14ac:dyDescent="0.25">
      <c r="A3450" t="s">
        <v>326</v>
      </c>
      <c r="B3450" t="s">
        <v>435</v>
      </c>
      <c r="C3450" t="s">
        <v>868</v>
      </c>
      <c r="D3450" t="s">
        <v>14</v>
      </c>
      <c r="E3450">
        <v>1</v>
      </c>
      <c r="F3450" s="2">
        <f>DATE(2026,IF(Tabla1[[#This Row],[Mes de Fecha]]="Septiembre",9,10),Tabla1[[#This Row],[Día de Fecha]])</f>
        <v>46296</v>
      </c>
      <c r="G3450">
        <v>1007145358</v>
      </c>
      <c r="H3450" t="s">
        <v>443</v>
      </c>
      <c r="I3450">
        <v>39</v>
      </c>
      <c r="J3450">
        <v>0</v>
      </c>
      <c r="K3450" s="1">
        <v>2153739</v>
      </c>
    </row>
    <row r="3451" spans="1:11" x14ac:dyDescent="0.25">
      <c r="A3451" t="s">
        <v>326</v>
      </c>
      <c r="B3451" t="s">
        <v>435</v>
      </c>
      <c r="C3451" t="s">
        <v>868</v>
      </c>
      <c r="D3451" t="s">
        <v>14</v>
      </c>
      <c r="E3451">
        <v>1</v>
      </c>
      <c r="F3451" s="2">
        <f>DATE(2026,IF(Tabla1[[#This Row],[Mes de Fecha]]="Septiembre",9,10),Tabla1[[#This Row],[Día de Fecha]])</f>
        <v>46296</v>
      </c>
      <c r="G3451">
        <v>1058968650</v>
      </c>
      <c r="H3451" t="s">
        <v>437</v>
      </c>
      <c r="I3451">
        <v>61</v>
      </c>
      <c r="J3451">
        <v>0</v>
      </c>
      <c r="K3451" s="1">
        <v>3614880</v>
      </c>
    </row>
    <row r="3452" spans="1:11" x14ac:dyDescent="0.25">
      <c r="A3452" t="s">
        <v>326</v>
      </c>
      <c r="B3452" t="s">
        <v>435</v>
      </c>
      <c r="C3452" t="s">
        <v>868</v>
      </c>
      <c r="D3452" t="s">
        <v>14</v>
      </c>
      <c r="E3452">
        <v>1</v>
      </c>
      <c r="F3452" s="2">
        <f>DATE(2026,IF(Tabla1[[#This Row],[Mes de Fecha]]="Septiembre",9,10),Tabla1[[#This Row],[Día de Fecha]])</f>
        <v>46296</v>
      </c>
      <c r="G3452">
        <v>1061774213</v>
      </c>
      <c r="H3452" t="s">
        <v>444</v>
      </c>
      <c r="I3452">
        <v>32</v>
      </c>
      <c r="J3452">
        <v>0</v>
      </c>
      <c r="K3452" s="1">
        <v>2090968</v>
      </c>
    </row>
    <row r="3453" spans="1:11" x14ac:dyDescent="0.25">
      <c r="A3453" t="s">
        <v>326</v>
      </c>
      <c r="B3453" t="s">
        <v>435</v>
      </c>
      <c r="C3453" t="s">
        <v>868</v>
      </c>
      <c r="D3453" t="s">
        <v>14</v>
      </c>
      <c r="E3453">
        <v>1</v>
      </c>
      <c r="F3453" s="2">
        <f>DATE(2026,IF(Tabla1[[#This Row],[Mes de Fecha]]="Septiembre",9,10),Tabla1[[#This Row],[Día de Fecha]])</f>
        <v>46296</v>
      </c>
      <c r="G3453">
        <v>1061814088</v>
      </c>
      <c r="H3453" t="s">
        <v>438</v>
      </c>
      <c r="I3453">
        <v>86</v>
      </c>
      <c r="J3453">
        <v>0</v>
      </c>
      <c r="K3453" s="1">
        <v>4573999</v>
      </c>
    </row>
    <row r="3454" spans="1:11" x14ac:dyDescent="0.25">
      <c r="A3454" t="s">
        <v>326</v>
      </c>
      <c r="B3454" t="s">
        <v>435</v>
      </c>
      <c r="C3454" t="s">
        <v>868</v>
      </c>
      <c r="D3454" t="s">
        <v>14</v>
      </c>
      <c r="E3454">
        <v>1</v>
      </c>
      <c r="F3454" s="2">
        <f>DATE(2026,IF(Tabla1[[#This Row],[Mes de Fecha]]="Septiembre",9,10),Tabla1[[#This Row],[Día de Fecha]])</f>
        <v>46296</v>
      </c>
      <c r="G3454">
        <v>1083906980</v>
      </c>
      <c r="H3454" t="s">
        <v>445</v>
      </c>
      <c r="I3454">
        <v>15</v>
      </c>
      <c r="J3454">
        <v>0</v>
      </c>
      <c r="K3454" s="1">
        <v>1213658</v>
      </c>
    </row>
    <row r="3455" spans="1:11" x14ac:dyDescent="0.25">
      <c r="A3455" t="s">
        <v>326</v>
      </c>
      <c r="B3455" t="s">
        <v>435</v>
      </c>
      <c r="C3455" t="s">
        <v>868</v>
      </c>
      <c r="D3455" t="s">
        <v>14</v>
      </c>
      <c r="E3455">
        <v>2</v>
      </c>
      <c r="F3455" s="2">
        <f>DATE(2026,IF(Tabla1[[#This Row],[Mes de Fecha]]="Septiembre",9,10),Tabla1[[#This Row],[Día de Fecha]])</f>
        <v>46297</v>
      </c>
      <c r="I3455">
        <v>0</v>
      </c>
      <c r="J3455" s="1">
        <v>22374371</v>
      </c>
      <c r="K3455">
        <v>0</v>
      </c>
    </row>
    <row r="3456" spans="1:11" x14ac:dyDescent="0.25">
      <c r="A3456" t="s">
        <v>326</v>
      </c>
      <c r="B3456" t="s">
        <v>435</v>
      </c>
      <c r="C3456" t="s">
        <v>868</v>
      </c>
      <c r="D3456" t="s">
        <v>14</v>
      </c>
      <c r="E3456">
        <v>2</v>
      </c>
      <c r="F3456" s="2">
        <f>DATE(2026,IF(Tabla1[[#This Row],[Mes de Fecha]]="Septiembre",9,10),Tabla1[[#This Row],[Día de Fecha]])</f>
        <v>46297</v>
      </c>
      <c r="G3456">
        <v>1002607819</v>
      </c>
      <c r="H3456" t="s">
        <v>446</v>
      </c>
      <c r="I3456">
        <v>-2</v>
      </c>
      <c r="J3456">
        <v>0</v>
      </c>
      <c r="K3456" s="1">
        <v>-118386</v>
      </c>
    </row>
    <row r="3457" spans="1:11" x14ac:dyDescent="0.25">
      <c r="A3457" t="s">
        <v>326</v>
      </c>
      <c r="B3457" t="s">
        <v>435</v>
      </c>
      <c r="C3457" t="s">
        <v>868</v>
      </c>
      <c r="D3457" t="s">
        <v>14</v>
      </c>
      <c r="E3457">
        <v>2</v>
      </c>
      <c r="F3457" s="2">
        <f>DATE(2026,IF(Tabla1[[#This Row],[Mes de Fecha]]="Septiembre",9,10),Tabla1[[#This Row],[Día de Fecha]])</f>
        <v>46297</v>
      </c>
      <c r="G3457">
        <v>1002957897</v>
      </c>
      <c r="H3457" t="s">
        <v>436</v>
      </c>
      <c r="I3457">
        <v>71</v>
      </c>
      <c r="J3457">
        <v>0</v>
      </c>
      <c r="K3457" s="1">
        <v>4622946</v>
      </c>
    </row>
    <row r="3458" spans="1:11" x14ac:dyDescent="0.25">
      <c r="A3458" t="s">
        <v>326</v>
      </c>
      <c r="B3458" t="s">
        <v>435</v>
      </c>
      <c r="C3458" t="s">
        <v>868</v>
      </c>
      <c r="D3458" t="s">
        <v>14</v>
      </c>
      <c r="E3458">
        <v>2</v>
      </c>
      <c r="F3458" s="2">
        <f>DATE(2026,IF(Tabla1[[#This Row],[Mes de Fecha]]="Septiembre",9,10),Tabla1[[#This Row],[Día de Fecha]])</f>
        <v>46297</v>
      </c>
      <c r="G3458">
        <v>1002960105</v>
      </c>
      <c r="H3458" t="s">
        <v>439</v>
      </c>
      <c r="I3458">
        <v>38</v>
      </c>
      <c r="J3458">
        <v>0</v>
      </c>
      <c r="K3458" s="1">
        <v>2313278</v>
      </c>
    </row>
    <row r="3459" spans="1:11" x14ac:dyDescent="0.25">
      <c r="A3459" t="s">
        <v>326</v>
      </c>
      <c r="B3459" t="s">
        <v>435</v>
      </c>
      <c r="C3459" t="s">
        <v>868</v>
      </c>
      <c r="D3459" t="s">
        <v>14</v>
      </c>
      <c r="E3459">
        <v>2</v>
      </c>
      <c r="F3459" s="2">
        <f>DATE(2026,IF(Tabla1[[#This Row],[Mes de Fecha]]="Septiembre",9,10),Tabla1[[#This Row],[Día de Fecha]])</f>
        <v>46297</v>
      </c>
      <c r="G3459">
        <v>1004148578</v>
      </c>
      <c r="H3459" t="s">
        <v>442</v>
      </c>
      <c r="I3459">
        <v>50</v>
      </c>
      <c r="J3459">
        <v>0</v>
      </c>
      <c r="K3459" s="1">
        <v>2955759</v>
      </c>
    </row>
    <row r="3460" spans="1:11" x14ac:dyDescent="0.25">
      <c r="A3460" t="s">
        <v>326</v>
      </c>
      <c r="B3460" t="s">
        <v>435</v>
      </c>
      <c r="C3460" t="s">
        <v>868</v>
      </c>
      <c r="D3460" t="s">
        <v>14</v>
      </c>
      <c r="E3460">
        <v>2</v>
      </c>
      <c r="F3460" s="2">
        <f>DATE(2026,IF(Tabla1[[#This Row],[Mes de Fecha]]="Septiembre",9,10),Tabla1[[#This Row],[Día de Fecha]])</f>
        <v>46297</v>
      </c>
      <c r="G3460">
        <v>1007145358</v>
      </c>
      <c r="H3460" t="s">
        <v>443</v>
      </c>
      <c r="I3460">
        <v>16</v>
      </c>
      <c r="J3460">
        <v>0</v>
      </c>
      <c r="K3460" s="1">
        <v>1032943</v>
      </c>
    </row>
    <row r="3461" spans="1:11" x14ac:dyDescent="0.25">
      <c r="A3461" t="s">
        <v>326</v>
      </c>
      <c r="B3461" t="s">
        <v>435</v>
      </c>
      <c r="C3461" t="s">
        <v>868</v>
      </c>
      <c r="D3461" t="s">
        <v>14</v>
      </c>
      <c r="E3461">
        <v>2</v>
      </c>
      <c r="F3461" s="2">
        <f>DATE(2026,IF(Tabla1[[#This Row],[Mes de Fecha]]="Septiembre",9,10),Tabla1[[#This Row],[Día de Fecha]])</f>
        <v>46297</v>
      </c>
      <c r="G3461">
        <v>1058968650</v>
      </c>
      <c r="H3461" t="s">
        <v>437</v>
      </c>
      <c r="I3461">
        <v>86</v>
      </c>
      <c r="J3461">
        <v>0</v>
      </c>
      <c r="K3461" s="1">
        <v>5147400</v>
      </c>
    </row>
    <row r="3462" spans="1:11" x14ac:dyDescent="0.25">
      <c r="A3462" t="s">
        <v>326</v>
      </c>
      <c r="B3462" t="s">
        <v>435</v>
      </c>
      <c r="C3462" t="s">
        <v>868</v>
      </c>
      <c r="D3462" t="s">
        <v>14</v>
      </c>
      <c r="E3462">
        <v>2</v>
      </c>
      <c r="F3462" s="2">
        <f>DATE(2026,IF(Tabla1[[#This Row],[Mes de Fecha]]="Septiembre",9,10),Tabla1[[#This Row],[Día de Fecha]])</f>
        <v>46297</v>
      </c>
      <c r="G3462">
        <v>1061770250</v>
      </c>
      <c r="H3462" t="s">
        <v>449</v>
      </c>
      <c r="I3462">
        <v>-1</v>
      </c>
      <c r="J3462">
        <v>0</v>
      </c>
      <c r="K3462" s="1">
        <v>-54580</v>
      </c>
    </row>
    <row r="3463" spans="1:11" x14ac:dyDescent="0.25">
      <c r="A3463" t="s">
        <v>326</v>
      </c>
      <c r="B3463" t="s">
        <v>435</v>
      </c>
      <c r="C3463" t="s">
        <v>868</v>
      </c>
      <c r="D3463" t="s">
        <v>14</v>
      </c>
      <c r="E3463">
        <v>2</v>
      </c>
      <c r="F3463" s="2">
        <f>DATE(2026,IF(Tabla1[[#This Row],[Mes de Fecha]]="Septiembre",9,10),Tabla1[[#This Row],[Día de Fecha]])</f>
        <v>46297</v>
      </c>
      <c r="G3463">
        <v>1061774213</v>
      </c>
      <c r="H3463" t="s">
        <v>444</v>
      </c>
      <c r="I3463">
        <v>-1</v>
      </c>
      <c r="J3463">
        <v>0</v>
      </c>
      <c r="K3463" s="1">
        <v>-83992</v>
      </c>
    </row>
    <row r="3464" spans="1:11" x14ac:dyDescent="0.25">
      <c r="A3464" t="s">
        <v>326</v>
      </c>
      <c r="B3464" t="s">
        <v>435</v>
      </c>
      <c r="C3464" t="s">
        <v>868</v>
      </c>
      <c r="D3464" t="s">
        <v>14</v>
      </c>
      <c r="E3464">
        <v>2</v>
      </c>
      <c r="F3464" s="2">
        <f>DATE(2026,IF(Tabla1[[#This Row],[Mes de Fecha]]="Septiembre",9,10),Tabla1[[#This Row],[Día de Fecha]])</f>
        <v>46297</v>
      </c>
      <c r="G3464">
        <v>1061814088</v>
      </c>
      <c r="H3464" t="s">
        <v>438</v>
      </c>
      <c r="I3464">
        <v>92</v>
      </c>
      <c r="J3464">
        <v>0</v>
      </c>
      <c r="K3464" s="1">
        <v>5437067</v>
      </c>
    </row>
    <row r="3465" spans="1:11" x14ac:dyDescent="0.25">
      <c r="A3465" t="s">
        <v>326</v>
      </c>
      <c r="B3465" t="s">
        <v>435</v>
      </c>
      <c r="C3465" t="s">
        <v>868</v>
      </c>
      <c r="D3465" t="s">
        <v>14</v>
      </c>
      <c r="E3465">
        <v>3</v>
      </c>
      <c r="F3465" s="2">
        <f>DATE(2026,IF(Tabla1[[#This Row],[Mes de Fecha]]="Septiembre",9,10),Tabla1[[#This Row],[Día de Fecha]])</f>
        <v>46298</v>
      </c>
      <c r="I3465">
        <v>0</v>
      </c>
      <c r="J3465" s="1">
        <v>32915359</v>
      </c>
      <c r="K3465">
        <v>0</v>
      </c>
    </row>
    <row r="3466" spans="1:11" x14ac:dyDescent="0.25">
      <c r="A3466" t="s">
        <v>326</v>
      </c>
      <c r="B3466" t="s">
        <v>435</v>
      </c>
      <c r="C3466" t="s">
        <v>868</v>
      </c>
      <c r="D3466" t="s">
        <v>14</v>
      </c>
      <c r="E3466">
        <v>3</v>
      </c>
      <c r="F3466" s="2">
        <f>DATE(2026,IF(Tabla1[[#This Row],[Mes de Fecha]]="Septiembre",9,10),Tabla1[[#This Row],[Día de Fecha]])</f>
        <v>46298</v>
      </c>
      <c r="G3466">
        <v>1002607819</v>
      </c>
      <c r="H3466" t="s">
        <v>446</v>
      </c>
      <c r="I3466">
        <v>-1</v>
      </c>
      <c r="J3466">
        <v>0</v>
      </c>
      <c r="K3466" s="1">
        <v>-79790</v>
      </c>
    </row>
    <row r="3467" spans="1:11" x14ac:dyDescent="0.25">
      <c r="A3467" t="s">
        <v>326</v>
      </c>
      <c r="B3467" t="s">
        <v>435</v>
      </c>
      <c r="C3467" t="s">
        <v>868</v>
      </c>
      <c r="D3467" t="s">
        <v>14</v>
      </c>
      <c r="E3467">
        <v>3</v>
      </c>
      <c r="F3467" s="2">
        <f>DATE(2026,IF(Tabla1[[#This Row],[Mes de Fecha]]="Septiembre",9,10),Tabla1[[#This Row],[Día de Fecha]])</f>
        <v>46298</v>
      </c>
      <c r="G3467">
        <v>1002957897</v>
      </c>
      <c r="H3467" t="s">
        <v>436</v>
      </c>
      <c r="I3467">
        <v>167</v>
      </c>
      <c r="J3467">
        <v>0</v>
      </c>
      <c r="K3467" s="1">
        <v>10274779</v>
      </c>
    </row>
    <row r="3468" spans="1:11" x14ac:dyDescent="0.25">
      <c r="A3468" t="s">
        <v>326</v>
      </c>
      <c r="B3468" t="s">
        <v>435</v>
      </c>
      <c r="C3468" t="s">
        <v>868</v>
      </c>
      <c r="D3468" t="s">
        <v>14</v>
      </c>
      <c r="E3468">
        <v>3</v>
      </c>
      <c r="F3468" s="2">
        <f>DATE(2026,IF(Tabla1[[#This Row],[Mes de Fecha]]="Septiembre",9,10),Tabla1[[#This Row],[Día de Fecha]])</f>
        <v>46298</v>
      </c>
      <c r="G3468">
        <v>1002960105</v>
      </c>
      <c r="H3468" t="s">
        <v>439</v>
      </c>
      <c r="I3468">
        <v>56</v>
      </c>
      <c r="J3468">
        <v>0</v>
      </c>
      <c r="K3468" s="1">
        <v>3179312</v>
      </c>
    </row>
    <row r="3469" spans="1:11" x14ac:dyDescent="0.25">
      <c r="A3469" t="s">
        <v>326</v>
      </c>
      <c r="B3469" t="s">
        <v>435</v>
      </c>
      <c r="C3469" t="s">
        <v>868</v>
      </c>
      <c r="D3469" t="s">
        <v>14</v>
      </c>
      <c r="E3469">
        <v>3</v>
      </c>
      <c r="F3469" s="2">
        <f>DATE(2026,IF(Tabla1[[#This Row],[Mes de Fecha]]="Septiembre",9,10),Tabla1[[#This Row],[Día de Fecha]])</f>
        <v>46298</v>
      </c>
      <c r="G3469">
        <v>1002972668</v>
      </c>
      <c r="H3469" t="s">
        <v>455</v>
      </c>
      <c r="I3469">
        <v>-2</v>
      </c>
      <c r="J3469">
        <v>0</v>
      </c>
      <c r="K3469" s="1">
        <v>-104958</v>
      </c>
    </row>
    <row r="3470" spans="1:11" x14ac:dyDescent="0.25">
      <c r="A3470" t="s">
        <v>326</v>
      </c>
      <c r="B3470" t="s">
        <v>435</v>
      </c>
      <c r="C3470" t="s">
        <v>868</v>
      </c>
      <c r="D3470" t="s">
        <v>14</v>
      </c>
      <c r="E3470">
        <v>3</v>
      </c>
      <c r="F3470" s="2">
        <f>DATE(2026,IF(Tabla1[[#This Row],[Mes de Fecha]]="Septiembre",9,10),Tabla1[[#This Row],[Día de Fecha]])</f>
        <v>46298</v>
      </c>
      <c r="G3470">
        <v>1004148578</v>
      </c>
      <c r="H3470" t="s">
        <v>442</v>
      </c>
      <c r="I3470">
        <v>74</v>
      </c>
      <c r="J3470">
        <v>0</v>
      </c>
      <c r="K3470" s="1">
        <v>4631442</v>
      </c>
    </row>
    <row r="3471" spans="1:11" x14ac:dyDescent="0.25">
      <c r="A3471" t="s">
        <v>326</v>
      </c>
      <c r="B3471" t="s">
        <v>435</v>
      </c>
      <c r="C3471" t="s">
        <v>868</v>
      </c>
      <c r="D3471" t="s">
        <v>14</v>
      </c>
      <c r="E3471">
        <v>3</v>
      </c>
      <c r="F3471" s="2">
        <f>DATE(2026,IF(Tabla1[[#This Row],[Mes de Fecha]]="Septiembre",9,10),Tabla1[[#This Row],[Día de Fecha]])</f>
        <v>46298</v>
      </c>
      <c r="G3471">
        <v>1007145358</v>
      </c>
      <c r="H3471" t="s">
        <v>443</v>
      </c>
      <c r="I3471">
        <v>55</v>
      </c>
      <c r="J3471">
        <v>0</v>
      </c>
      <c r="K3471" s="1">
        <v>3236445</v>
      </c>
    </row>
    <row r="3472" spans="1:11" x14ac:dyDescent="0.25">
      <c r="A3472" t="s">
        <v>326</v>
      </c>
      <c r="B3472" t="s">
        <v>435</v>
      </c>
      <c r="C3472" t="s">
        <v>868</v>
      </c>
      <c r="D3472" t="s">
        <v>14</v>
      </c>
      <c r="E3472">
        <v>3</v>
      </c>
      <c r="F3472" s="2">
        <f>DATE(2026,IF(Tabla1[[#This Row],[Mes de Fecha]]="Septiembre",9,10),Tabla1[[#This Row],[Día de Fecha]])</f>
        <v>46298</v>
      </c>
      <c r="G3472">
        <v>1058968650</v>
      </c>
      <c r="H3472" t="s">
        <v>437</v>
      </c>
      <c r="I3472">
        <v>174</v>
      </c>
      <c r="J3472">
        <v>0</v>
      </c>
      <c r="K3472" s="1">
        <v>9165781</v>
      </c>
    </row>
    <row r="3473" spans="1:11" x14ac:dyDescent="0.25">
      <c r="A3473" t="s">
        <v>326</v>
      </c>
      <c r="B3473" t="s">
        <v>435</v>
      </c>
      <c r="C3473" t="s">
        <v>868</v>
      </c>
      <c r="D3473" t="s">
        <v>14</v>
      </c>
      <c r="E3473">
        <v>3</v>
      </c>
      <c r="F3473" s="2">
        <f>DATE(2026,IF(Tabla1[[#This Row],[Mes de Fecha]]="Septiembre",9,10),Tabla1[[#This Row],[Día de Fecha]])</f>
        <v>46298</v>
      </c>
      <c r="G3473">
        <v>1061774213</v>
      </c>
      <c r="H3473" t="s">
        <v>444</v>
      </c>
      <c r="I3473">
        <v>75</v>
      </c>
      <c r="J3473">
        <v>0</v>
      </c>
      <c r="K3473" s="1">
        <v>4475653</v>
      </c>
    </row>
    <row r="3474" spans="1:11" x14ac:dyDescent="0.25">
      <c r="A3474" t="s">
        <v>326</v>
      </c>
      <c r="B3474" t="s">
        <v>435</v>
      </c>
      <c r="C3474" t="s">
        <v>868</v>
      </c>
      <c r="D3474" t="s">
        <v>14</v>
      </c>
      <c r="E3474">
        <v>3</v>
      </c>
      <c r="F3474" s="2">
        <f>DATE(2026,IF(Tabla1[[#This Row],[Mes de Fecha]]="Septiembre",9,10),Tabla1[[#This Row],[Día de Fecha]])</f>
        <v>46298</v>
      </c>
      <c r="G3474">
        <v>1061814088</v>
      </c>
      <c r="H3474" t="s">
        <v>438</v>
      </c>
      <c r="I3474">
        <v>199</v>
      </c>
      <c r="J3474">
        <v>0</v>
      </c>
      <c r="K3474" s="1">
        <v>10930105</v>
      </c>
    </row>
    <row r="3475" spans="1:11" x14ac:dyDescent="0.25">
      <c r="A3475" t="s">
        <v>326</v>
      </c>
      <c r="B3475" t="s">
        <v>435</v>
      </c>
      <c r="C3475" t="s">
        <v>868</v>
      </c>
      <c r="D3475" t="s">
        <v>14</v>
      </c>
      <c r="E3475">
        <v>3</v>
      </c>
      <c r="F3475" s="2">
        <f>DATE(2026,IF(Tabla1[[#This Row],[Mes de Fecha]]="Septiembre",9,10),Tabla1[[#This Row],[Día de Fecha]])</f>
        <v>46298</v>
      </c>
      <c r="G3475">
        <v>1083906980</v>
      </c>
      <c r="H3475" t="s">
        <v>445</v>
      </c>
      <c r="I3475">
        <v>37</v>
      </c>
      <c r="J3475">
        <v>0</v>
      </c>
      <c r="K3475" s="1">
        <v>1937126</v>
      </c>
    </row>
    <row r="3476" spans="1:11" x14ac:dyDescent="0.25">
      <c r="A3476" t="s">
        <v>326</v>
      </c>
      <c r="B3476" t="s">
        <v>435</v>
      </c>
      <c r="C3476" t="s">
        <v>868</v>
      </c>
      <c r="D3476" t="s">
        <v>14</v>
      </c>
      <c r="E3476">
        <v>4</v>
      </c>
      <c r="F3476" s="2">
        <f>DATE(2026,IF(Tabla1[[#This Row],[Mes de Fecha]]="Septiembre",9,10),Tabla1[[#This Row],[Día de Fecha]])</f>
        <v>46299</v>
      </c>
      <c r="I3476">
        <v>0</v>
      </c>
      <c r="J3476" s="1">
        <v>34146265</v>
      </c>
      <c r="K3476">
        <v>0</v>
      </c>
    </row>
    <row r="3477" spans="1:11" x14ac:dyDescent="0.25">
      <c r="A3477" t="s">
        <v>326</v>
      </c>
      <c r="B3477" t="s">
        <v>435</v>
      </c>
      <c r="C3477" t="s">
        <v>868</v>
      </c>
      <c r="D3477" t="s">
        <v>14</v>
      </c>
      <c r="E3477">
        <v>4</v>
      </c>
      <c r="F3477" s="2">
        <f>DATE(2026,IF(Tabla1[[#This Row],[Mes de Fecha]]="Septiembre",9,10),Tabla1[[#This Row],[Día de Fecha]])</f>
        <v>46299</v>
      </c>
      <c r="G3477">
        <v>34319130</v>
      </c>
      <c r="H3477" t="s">
        <v>452</v>
      </c>
      <c r="I3477">
        <v>-1</v>
      </c>
      <c r="J3477">
        <v>0</v>
      </c>
      <c r="K3477" s="1">
        <v>-79790</v>
      </c>
    </row>
    <row r="3478" spans="1:11" x14ac:dyDescent="0.25">
      <c r="A3478" t="s">
        <v>326</v>
      </c>
      <c r="B3478" t="s">
        <v>435</v>
      </c>
      <c r="C3478" t="s">
        <v>868</v>
      </c>
      <c r="D3478" t="s">
        <v>14</v>
      </c>
      <c r="E3478">
        <v>4</v>
      </c>
      <c r="F3478" s="2">
        <f>DATE(2026,IF(Tabla1[[#This Row],[Mes de Fecha]]="Septiembre",9,10),Tabla1[[#This Row],[Día de Fecha]])</f>
        <v>46299</v>
      </c>
      <c r="G3478">
        <v>1001132922</v>
      </c>
      <c r="H3478" t="s">
        <v>357</v>
      </c>
      <c r="I3478">
        <v>-1</v>
      </c>
      <c r="J3478">
        <v>0</v>
      </c>
      <c r="K3478" s="1">
        <v>-41975</v>
      </c>
    </row>
    <row r="3479" spans="1:11" x14ac:dyDescent="0.25">
      <c r="A3479" t="s">
        <v>326</v>
      </c>
      <c r="B3479" t="s">
        <v>435</v>
      </c>
      <c r="C3479" t="s">
        <v>868</v>
      </c>
      <c r="D3479" t="s">
        <v>14</v>
      </c>
      <c r="E3479">
        <v>4</v>
      </c>
      <c r="F3479" s="2">
        <f>DATE(2026,IF(Tabla1[[#This Row],[Mes de Fecha]]="Septiembre",9,10),Tabla1[[#This Row],[Día de Fecha]])</f>
        <v>46299</v>
      </c>
      <c r="G3479">
        <v>1002957897</v>
      </c>
      <c r="H3479" t="s">
        <v>436</v>
      </c>
      <c r="I3479">
        <v>169</v>
      </c>
      <c r="J3479">
        <v>0</v>
      </c>
      <c r="K3479" s="1">
        <v>10908368</v>
      </c>
    </row>
    <row r="3480" spans="1:11" x14ac:dyDescent="0.25">
      <c r="A3480" t="s">
        <v>326</v>
      </c>
      <c r="B3480" t="s">
        <v>435</v>
      </c>
      <c r="C3480" t="s">
        <v>868</v>
      </c>
      <c r="D3480" t="s">
        <v>14</v>
      </c>
      <c r="E3480">
        <v>4</v>
      </c>
      <c r="F3480" s="2">
        <f>DATE(2026,IF(Tabla1[[#This Row],[Mes de Fecha]]="Septiembre",9,10),Tabla1[[#This Row],[Día de Fecha]])</f>
        <v>46299</v>
      </c>
      <c r="G3480">
        <v>1002960105</v>
      </c>
      <c r="H3480" t="s">
        <v>439</v>
      </c>
      <c r="I3480">
        <v>52</v>
      </c>
      <c r="J3480">
        <v>0</v>
      </c>
      <c r="K3480" s="1">
        <v>2934668</v>
      </c>
    </row>
    <row r="3481" spans="1:11" x14ac:dyDescent="0.25">
      <c r="A3481" t="s">
        <v>326</v>
      </c>
      <c r="B3481" t="s">
        <v>435</v>
      </c>
      <c r="C3481" t="s">
        <v>868</v>
      </c>
      <c r="D3481" t="s">
        <v>14</v>
      </c>
      <c r="E3481">
        <v>4</v>
      </c>
      <c r="F3481" s="2">
        <f>DATE(2026,IF(Tabla1[[#This Row],[Mes de Fecha]]="Septiembre",9,10),Tabla1[[#This Row],[Día de Fecha]])</f>
        <v>46299</v>
      </c>
      <c r="G3481">
        <v>1002972668</v>
      </c>
      <c r="H3481" t="s">
        <v>455</v>
      </c>
      <c r="I3481">
        <v>-1</v>
      </c>
      <c r="J3481">
        <v>0</v>
      </c>
      <c r="K3481" s="1">
        <v>-58781</v>
      </c>
    </row>
    <row r="3482" spans="1:11" x14ac:dyDescent="0.25">
      <c r="A3482" t="s">
        <v>326</v>
      </c>
      <c r="B3482" t="s">
        <v>435</v>
      </c>
      <c r="C3482" t="s">
        <v>868</v>
      </c>
      <c r="D3482" t="s">
        <v>14</v>
      </c>
      <c r="E3482">
        <v>4</v>
      </c>
      <c r="F3482" s="2">
        <f>DATE(2026,IF(Tabla1[[#This Row],[Mes de Fecha]]="Septiembre",9,10),Tabla1[[#This Row],[Día de Fecha]])</f>
        <v>46299</v>
      </c>
      <c r="G3482">
        <v>1004148578</v>
      </c>
      <c r="H3482" t="s">
        <v>442</v>
      </c>
      <c r="I3482">
        <v>100</v>
      </c>
      <c r="J3482">
        <v>0</v>
      </c>
      <c r="K3482" s="1">
        <v>6529335</v>
      </c>
    </row>
    <row r="3483" spans="1:11" x14ac:dyDescent="0.25">
      <c r="A3483" t="s">
        <v>326</v>
      </c>
      <c r="B3483" t="s">
        <v>435</v>
      </c>
      <c r="C3483" t="s">
        <v>868</v>
      </c>
      <c r="D3483" t="s">
        <v>14</v>
      </c>
      <c r="E3483">
        <v>4</v>
      </c>
      <c r="F3483" s="2">
        <f>DATE(2026,IF(Tabla1[[#This Row],[Mes de Fecha]]="Septiembre",9,10),Tabla1[[#This Row],[Día de Fecha]])</f>
        <v>46299</v>
      </c>
      <c r="G3483">
        <v>1007145358</v>
      </c>
      <c r="H3483" t="s">
        <v>443</v>
      </c>
      <c r="I3483">
        <v>33</v>
      </c>
      <c r="J3483">
        <v>0</v>
      </c>
      <c r="K3483" s="1">
        <v>2374665</v>
      </c>
    </row>
    <row r="3484" spans="1:11" x14ac:dyDescent="0.25">
      <c r="A3484" t="s">
        <v>326</v>
      </c>
      <c r="B3484" t="s">
        <v>435</v>
      </c>
      <c r="C3484" t="s">
        <v>868</v>
      </c>
      <c r="D3484" t="s">
        <v>14</v>
      </c>
      <c r="E3484">
        <v>4</v>
      </c>
      <c r="F3484" s="2">
        <f>DATE(2026,IF(Tabla1[[#This Row],[Mes de Fecha]]="Septiembre",9,10),Tabla1[[#This Row],[Día de Fecha]])</f>
        <v>46299</v>
      </c>
      <c r="G3484">
        <v>1058968650</v>
      </c>
      <c r="H3484" t="s">
        <v>437</v>
      </c>
      <c r="I3484">
        <v>134</v>
      </c>
      <c r="J3484">
        <v>0</v>
      </c>
      <c r="K3484" s="1">
        <v>7901691</v>
      </c>
    </row>
    <row r="3485" spans="1:11" x14ac:dyDescent="0.25">
      <c r="A3485" t="s">
        <v>326</v>
      </c>
      <c r="B3485" t="s">
        <v>435</v>
      </c>
      <c r="C3485" t="s">
        <v>868</v>
      </c>
      <c r="D3485" t="s">
        <v>14</v>
      </c>
      <c r="E3485">
        <v>4</v>
      </c>
      <c r="F3485" s="2">
        <f>DATE(2026,IF(Tabla1[[#This Row],[Mes de Fecha]]="Septiembre",9,10),Tabla1[[#This Row],[Día de Fecha]])</f>
        <v>46299</v>
      </c>
      <c r="G3485">
        <v>1061774213</v>
      </c>
      <c r="H3485" t="s">
        <v>444</v>
      </c>
      <c r="I3485">
        <v>52</v>
      </c>
      <c r="J3485">
        <v>0</v>
      </c>
      <c r="K3485" s="1">
        <v>3485127</v>
      </c>
    </row>
    <row r="3486" spans="1:11" x14ac:dyDescent="0.25">
      <c r="A3486" t="s">
        <v>326</v>
      </c>
      <c r="B3486" t="s">
        <v>435</v>
      </c>
      <c r="C3486" t="s">
        <v>868</v>
      </c>
      <c r="D3486" t="s">
        <v>14</v>
      </c>
      <c r="E3486">
        <v>4</v>
      </c>
      <c r="F3486" s="2">
        <f>DATE(2026,IF(Tabla1[[#This Row],[Mes de Fecha]]="Septiembre",9,10),Tabla1[[#This Row],[Día de Fecha]])</f>
        <v>46299</v>
      </c>
      <c r="G3486">
        <v>1061799953</v>
      </c>
      <c r="H3486" t="s">
        <v>441</v>
      </c>
      <c r="I3486">
        <v>-2</v>
      </c>
      <c r="J3486">
        <v>0</v>
      </c>
      <c r="K3486" s="1">
        <v>-104958</v>
      </c>
    </row>
    <row r="3487" spans="1:11" x14ac:dyDescent="0.25">
      <c r="A3487" t="s">
        <v>326</v>
      </c>
      <c r="B3487" t="s">
        <v>435</v>
      </c>
      <c r="C3487" t="s">
        <v>868</v>
      </c>
      <c r="D3487" t="s">
        <v>14</v>
      </c>
      <c r="E3487">
        <v>4</v>
      </c>
      <c r="F3487" s="2">
        <f>DATE(2026,IF(Tabla1[[#This Row],[Mes de Fecha]]="Septiembre",9,10),Tabla1[[#This Row],[Día de Fecha]])</f>
        <v>46299</v>
      </c>
      <c r="G3487">
        <v>1061814088</v>
      </c>
      <c r="H3487" t="s">
        <v>438</v>
      </c>
      <c r="I3487">
        <v>160</v>
      </c>
      <c r="J3487">
        <v>0</v>
      </c>
      <c r="K3487" s="1">
        <v>9535049</v>
      </c>
    </row>
    <row r="3488" spans="1:11" x14ac:dyDescent="0.25">
      <c r="A3488" t="s">
        <v>326</v>
      </c>
      <c r="B3488" t="s">
        <v>435</v>
      </c>
      <c r="C3488" t="s">
        <v>868</v>
      </c>
      <c r="D3488" t="s">
        <v>14</v>
      </c>
      <c r="E3488">
        <v>4</v>
      </c>
      <c r="F3488" s="2">
        <f>DATE(2026,IF(Tabla1[[#This Row],[Mes de Fecha]]="Septiembre",9,10),Tabla1[[#This Row],[Día de Fecha]])</f>
        <v>46299</v>
      </c>
      <c r="G3488">
        <v>1083906980</v>
      </c>
      <c r="H3488" t="s">
        <v>445</v>
      </c>
      <c r="I3488">
        <v>26</v>
      </c>
      <c r="J3488">
        <v>0</v>
      </c>
      <c r="K3488" s="1">
        <v>1694286</v>
      </c>
    </row>
    <row r="3489" spans="1:11" x14ac:dyDescent="0.25">
      <c r="A3489" t="s">
        <v>326</v>
      </c>
      <c r="B3489" t="s">
        <v>435</v>
      </c>
      <c r="C3489" t="s">
        <v>868</v>
      </c>
      <c r="D3489" t="s">
        <v>14</v>
      </c>
      <c r="E3489">
        <v>5</v>
      </c>
      <c r="F3489" s="2">
        <f>DATE(2026,IF(Tabla1[[#This Row],[Mes de Fecha]]="Septiembre",9,10),Tabla1[[#This Row],[Día de Fecha]])</f>
        <v>46300</v>
      </c>
      <c r="I3489">
        <v>0</v>
      </c>
      <c r="J3489" s="1">
        <v>24040850</v>
      </c>
      <c r="K3489">
        <v>0</v>
      </c>
    </row>
    <row r="3490" spans="1:11" x14ac:dyDescent="0.25">
      <c r="A3490" t="s">
        <v>326</v>
      </c>
      <c r="B3490" t="s">
        <v>435</v>
      </c>
      <c r="C3490" t="s">
        <v>868</v>
      </c>
      <c r="D3490" t="s">
        <v>14</v>
      </c>
      <c r="E3490">
        <v>5</v>
      </c>
      <c r="F3490" s="2">
        <f>DATE(2026,IF(Tabla1[[#This Row],[Mes de Fecha]]="Septiembre",9,10),Tabla1[[#This Row],[Día de Fecha]])</f>
        <v>46300</v>
      </c>
      <c r="G3490">
        <v>25289676</v>
      </c>
      <c r="H3490" t="s">
        <v>456</v>
      </c>
      <c r="I3490">
        <v>-2</v>
      </c>
      <c r="J3490">
        <v>0</v>
      </c>
      <c r="K3490" s="1">
        <v>-197396</v>
      </c>
    </row>
    <row r="3491" spans="1:11" x14ac:dyDescent="0.25">
      <c r="A3491" t="s">
        <v>326</v>
      </c>
      <c r="B3491" t="s">
        <v>435</v>
      </c>
      <c r="C3491" t="s">
        <v>868</v>
      </c>
      <c r="D3491" t="s">
        <v>14</v>
      </c>
      <c r="E3491">
        <v>5</v>
      </c>
      <c r="F3491" s="2">
        <f>DATE(2026,IF(Tabla1[[#This Row],[Mes de Fecha]]="Septiembre",9,10),Tabla1[[#This Row],[Día de Fecha]])</f>
        <v>46300</v>
      </c>
      <c r="G3491">
        <v>1002607819</v>
      </c>
      <c r="H3491" t="s">
        <v>446</v>
      </c>
      <c r="I3491">
        <v>-1</v>
      </c>
      <c r="J3491">
        <v>0</v>
      </c>
      <c r="K3491" s="1">
        <v>-50378</v>
      </c>
    </row>
    <row r="3492" spans="1:11" x14ac:dyDescent="0.25">
      <c r="A3492" t="s">
        <v>326</v>
      </c>
      <c r="B3492" t="s">
        <v>435</v>
      </c>
      <c r="C3492" t="s">
        <v>868</v>
      </c>
      <c r="D3492" t="s">
        <v>14</v>
      </c>
      <c r="E3492">
        <v>5</v>
      </c>
      <c r="F3492" s="2">
        <f>DATE(2026,IF(Tabla1[[#This Row],[Mes de Fecha]]="Septiembre",9,10),Tabla1[[#This Row],[Día de Fecha]])</f>
        <v>46300</v>
      </c>
      <c r="G3492">
        <v>1002957897</v>
      </c>
      <c r="H3492" t="s">
        <v>436</v>
      </c>
      <c r="I3492">
        <v>62</v>
      </c>
      <c r="J3492">
        <v>0</v>
      </c>
      <c r="K3492" s="1">
        <v>3961642</v>
      </c>
    </row>
    <row r="3493" spans="1:11" x14ac:dyDescent="0.25">
      <c r="A3493" t="s">
        <v>326</v>
      </c>
      <c r="B3493" t="s">
        <v>435</v>
      </c>
      <c r="C3493" t="s">
        <v>868</v>
      </c>
      <c r="D3493" t="s">
        <v>14</v>
      </c>
      <c r="E3493">
        <v>5</v>
      </c>
      <c r="F3493" s="2">
        <f>DATE(2026,IF(Tabla1[[#This Row],[Mes de Fecha]]="Septiembre",9,10),Tabla1[[#This Row],[Día de Fecha]])</f>
        <v>46300</v>
      </c>
      <c r="G3493">
        <v>1002960105</v>
      </c>
      <c r="H3493" t="s">
        <v>439</v>
      </c>
      <c r="I3493">
        <v>49</v>
      </c>
      <c r="J3493">
        <v>0</v>
      </c>
      <c r="K3493" s="1">
        <v>3153406</v>
      </c>
    </row>
    <row r="3494" spans="1:11" x14ac:dyDescent="0.25">
      <c r="A3494" t="s">
        <v>326</v>
      </c>
      <c r="B3494" t="s">
        <v>435</v>
      </c>
      <c r="C3494" t="s">
        <v>868</v>
      </c>
      <c r="D3494" t="s">
        <v>14</v>
      </c>
      <c r="E3494">
        <v>5</v>
      </c>
      <c r="F3494" s="2">
        <f>DATE(2026,IF(Tabla1[[#This Row],[Mes de Fecha]]="Septiembre",9,10),Tabla1[[#This Row],[Día de Fecha]])</f>
        <v>46300</v>
      </c>
      <c r="G3494">
        <v>1004148578</v>
      </c>
      <c r="H3494" t="s">
        <v>442</v>
      </c>
      <c r="I3494">
        <v>62</v>
      </c>
      <c r="J3494">
        <v>0</v>
      </c>
      <c r="K3494" s="1">
        <v>4024626</v>
      </c>
    </row>
    <row r="3495" spans="1:11" x14ac:dyDescent="0.25">
      <c r="A3495" t="s">
        <v>326</v>
      </c>
      <c r="B3495" t="s">
        <v>435</v>
      </c>
      <c r="C3495" t="s">
        <v>868</v>
      </c>
      <c r="D3495" t="s">
        <v>14</v>
      </c>
      <c r="E3495">
        <v>5</v>
      </c>
      <c r="F3495" s="2">
        <f>DATE(2026,IF(Tabla1[[#This Row],[Mes de Fecha]]="Septiembre",9,10),Tabla1[[#This Row],[Día de Fecha]])</f>
        <v>46300</v>
      </c>
      <c r="G3495">
        <v>1004593130</v>
      </c>
      <c r="H3495" t="s">
        <v>454</v>
      </c>
      <c r="I3495">
        <v>-1</v>
      </c>
      <c r="J3495">
        <v>0</v>
      </c>
      <c r="K3495" s="1">
        <v>-25126</v>
      </c>
    </row>
    <row r="3496" spans="1:11" x14ac:dyDescent="0.25">
      <c r="A3496" t="s">
        <v>326</v>
      </c>
      <c r="B3496" t="s">
        <v>435</v>
      </c>
      <c r="C3496" t="s">
        <v>868</v>
      </c>
      <c r="D3496" t="s">
        <v>14</v>
      </c>
      <c r="E3496">
        <v>5</v>
      </c>
      <c r="F3496" s="2">
        <f>DATE(2026,IF(Tabla1[[#This Row],[Mes de Fecha]]="Septiembre",9,10),Tabla1[[#This Row],[Día de Fecha]])</f>
        <v>46300</v>
      </c>
      <c r="G3496">
        <v>1058968650</v>
      </c>
      <c r="H3496" t="s">
        <v>437</v>
      </c>
      <c r="I3496">
        <v>67</v>
      </c>
      <c r="J3496">
        <v>0</v>
      </c>
      <c r="K3496" s="1">
        <v>4135669</v>
      </c>
    </row>
    <row r="3497" spans="1:11" x14ac:dyDescent="0.25">
      <c r="A3497" t="s">
        <v>326</v>
      </c>
      <c r="B3497" t="s">
        <v>435</v>
      </c>
      <c r="C3497" t="s">
        <v>868</v>
      </c>
      <c r="D3497" t="s">
        <v>14</v>
      </c>
      <c r="E3497">
        <v>5</v>
      </c>
      <c r="F3497" s="2">
        <f>DATE(2026,IF(Tabla1[[#This Row],[Mes de Fecha]]="Septiembre",9,10),Tabla1[[#This Row],[Día de Fecha]])</f>
        <v>46300</v>
      </c>
      <c r="G3497">
        <v>1061770250</v>
      </c>
      <c r="H3497" t="s">
        <v>449</v>
      </c>
      <c r="I3497">
        <v>-1</v>
      </c>
      <c r="J3497">
        <v>0</v>
      </c>
      <c r="K3497" s="1">
        <v>-79790</v>
      </c>
    </row>
    <row r="3498" spans="1:11" x14ac:dyDescent="0.25">
      <c r="A3498" t="s">
        <v>326</v>
      </c>
      <c r="B3498" t="s">
        <v>435</v>
      </c>
      <c r="C3498" t="s">
        <v>868</v>
      </c>
      <c r="D3498" t="s">
        <v>14</v>
      </c>
      <c r="E3498">
        <v>5</v>
      </c>
      <c r="F3498" s="2">
        <f>DATE(2026,IF(Tabla1[[#This Row],[Mes de Fecha]]="Septiembre",9,10),Tabla1[[#This Row],[Día de Fecha]])</f>
        <v>46300</v>
      </c>
      <c r="G3498">
        <v>1061773714</v>
      </c>
      <c r="H3498" t="s">
        <v>450</v>
      </c>
      <c r="I3498">
        <v>-2</v>
      </c>
      <c r="J3498">
        <v>0</v>
      </c>
      <c r="K3498" s="1">
        <v>-67143</v>
      </c>
    </row>
    <row r="3499" spans="1:11" x14ac:dyDescent="0.25">
      <c r="A3499" t="s">
        <v>326</v>
      </c>
      <c r="B3499" t="s">
        <v>435</v>
      </c>
      <c r="C3499" t="s">
        <v>868</v>
      </c>
      <c r="D3499" t="s">
        <v>14</v>
      </c>
      <c r="E3499">
        <v>5</v>
      </c>
      <c r="F3499" s="2">
        <f>DATE(2026,IF(Tabla1[[#This Row],[Mes de Fecha]]="Septiembre",9,10),Tabla1[[#This Row],[Día de Fecha]])</f>
        <v>46300</v>
      </c>
      <c r="G3499">
        <v>1061774213</v>
      </c>
      <c r="H3499" t="s">
        <v>444</v>
      </c>
      <c r="I3499">
        <v>60</v>
      </c>
      <c r="J3499">
        <v>0</v>
      </c>
      <c r="K3499" s="1">
        <v>3730675</v>
      </c>
    </row>
    <row r="3500" spans="1:11" x14ac:dyDescent="0.25">
      <c r="A3500" t="s">
        <v>326</v>
      </c>
      <c r="B3500" t="s">
        <v>435</v>
      </c>
      <c r="C3500" t="s">
        <v>868</v>
      </c>
      <c r="D3500" t="s">
        <v>14</v>
      </c>
      <c r="E3500">
        <v>5</v>
      </c>
      <c r="F3500" s="2">
        <f>DATE(2026,IF(Tabla1[[#This Row],[Mes de Fecha]]="Septiembre",9,10),Tabla1[[#This Row],[Día de Fecha]])</f>
        <v>46300</v>
      </c>
      <c r="G3500">
        <v>1061814088</v>
      </c>
      <c r="H3500" t="s">
        <v>438</v>
      </c>
      <c r="I3500">
        <v>41</v>
      </c>
      <c r="J3500">
        <v>0</v>
      </c>
      <c r="K3500" s="1">
        <v>2323828</v>
      </c>
    </row>
    <row r="3501" spans="1:11" x14ac:dyDescent="0.25">
      <c r="A3501" t="s">
        <v>326</v>
      </c>
      <c r="B3501" t="s">
        <v>435</v>
      </c>
      <c r="C3501" t="s">
        <v>868</v>
      </c>
      <c r="D3501" t="s">
        <v>14</v>
      </c>
      <c r="E3501">
        <v>5</v>
      </c>
      <c r="F3501" s="2">
        <f>DATE(2026,IF(Tabla1[[#This Row],[Mes de Fecha]]="Septiembre",9,10),Tabla1[[#This Row],[Día de Fecha]])</f>
        <v>46300</v>
      </c>
      <c r="G3501">
        <v>1083906980</v>
      </c>
      <c r="H3501" t="s">
        <v>445</v>
      </c>
      <c r="I3501">
        <v>1</v>
      </c>
      <c r="J3501">
        <v>0</v>
      </c>
      <c r="K3501" s="1">
        <v>109202</v>
      </c>
    </row>
    <row r="3502" spans="1:11" x14ac:dyDescent="0.25">
      <c r="A3502" t="s">
        <v>326</v>
      </c>
      <c r="B3502" t="s">
        <v>435</v>
      </c>
      <c r="C3502" t="s">
        <v>868</v>
      </c>
      <c r="D3502" t="s">
        <v>14</v>
      </c>
      <c r="E3502">
        <v>6</v>
      </c>
      <c r="F3502" s="2">
        <f>DATE(2026,IF(Tabla1[[#This Row],[Mes de Fecha]]="Septiembre",9,10),Tabla1[[#This Row],[Día de Fecha]])</f>
        <v>46301</v>
      </c>
      <c r="I3502">
        <v>0</v>
      </c>
      <c r="J3502" s="1">
        <v>13511443</v>
      </c>
      <c r="K3502">
        <v>0</v>
      </c>
    </row>
    <row r="3503" spans="1:11" x14ac:dyDescent="0.25">
      <c r="A3503" t="s">
        <v>326</v>
      </c>
      <c r="B3503" t="s">
        <v>435</v>
      </c>
      <c r="C3503" t="s">
        <v>868</v>
      </c>
      <c r="D3503" t="s">
        <v>14</v>
      </c>
      <c r="E3503">
        <v>6</v>
      </c>
      <c r="F3503" s="2">
        <f>DATE(2026,IF(Tabla1[[#This Row],[Mes de Fecha]]="Septiembre",9,10),Tabla1[[#This Row],[Día de Fecha]])</f>
        <v>46301</v>
      </c>
      <c r="G3503">
        <v>1002960105</v>
      </c>
      <c r="H3503" t="s">
        <v>439</v>
      </c>
      <c r="I3503">
        <v>37</v>
      </c>
      <c r="J3503">
        <v>0</v>
      </c>
      <c r="K3503" s="1">
        <v>2347148</v>
      </c>
    </row>
    <row r="3504" spans="1:11" x14ac:dyDescent="0.25">
      <c r="A3504" t="s">
        <v>326</v>
      </c>
      <c r="B3504" t="s">
        <v>435</v>
      </c>
      <c r="C3504" t="s">
        <v>868</v>
      </c>
      <c r="D3504" t="s">
        <v>14</v>
      </c>
      <c r="E3504">
        <v>6</v>
      </c>
      <c r="F3504" s="2">
        <f>DATE(2026,IF(Tabla1[[#This Row],[Mes de Fecha]]="Septiembre",9,10),Tabla1[[#This Row],[Día de Fecha]])</f>
        <v>46301</v>
      </c>
      <c r="G3504">
        <v>1004148578</v>
      </c>
      <c r="H3504" t="s">
        <v>442</v>
      </c>
      <c r="I3504">
        <v>35</v>
      </c>
      <c r="J3504">
        <v>0</v>
      </c>
      <c r="K3504" s="1">
        <v>1918658</v>
      </c>
    </row>
    <row r="3505" spans="1:11" x14ac:dyDescent="0.25">
      <c r="A3505" t="s">
        <v>326</v>
      </c>
      <c r="B3505" t="s">
        <v>435</v>
      </c>
      <c r="C3505" t="s">
        <v>868</v>
      </c>
      <c r="D3505" t="s">
        <v>14</v>
      </c>
      <c r="E3505">
        <v>6</v>
      </c>
      <c r="F3505" s="2">
        <f>DATE(2026,IF(Tabla1[[#This Row],[Mes de Fecha]]="Septiembre",9,10),Tabla1[[#This Row],[Día de Fecha]])</f>
        <v>46301</v>
      </c>
      <c r="G3505">
        <v>1007145358</v>
      </c>
      <c r="H3505" t="s">
        <v>443</v>
      </c>
      <c r="I3505">
        <v>-1</v>
      </c>
      <c r="J3505">
        <v>0</v>
      </c>
      <c r="K3505" s="1">
        <v>-67193</v>
      </c>
    </row>
    <row r="3506" spans="1:11" x14ac:dyDescent="0.25">
      <c r="A3506" t="s">
        <v>326</v>
      </c>
      <c r="B3506" t="s">
        <v>435</v>
      </c>
      <c r="C3506" t="s">
        <v>868</v>
      </c>
      <c r="D3506" t="s">
        <v>14</v>
      </c>
      <c r="E3506">
        <v>6</v>
      </c>
      <c r="F3506" s="2">
        <f>DATE(2026,IF(Tabla1[[#This Row],[Mes de Fecha]]="Septiembre",9,10),Tabla1[[#This Row],[Día de Fecha]])</f>
        <v>46301</v>
      </c>
      <c r="G3506">
        <v>1058968650</v>
      </c>
      <c r="H3506" t="s">
        <v>437</v>
      </c>
      <c r="I3506">
        <v>54</v>
      </c>
      <c r="J3506">
        <v>0</v>
      </c>
      <c r="K3506" s="1">
        <v>3173148</v>
      </c>
    </row>
    <row r="3507" spans="1:11" x14ac:dyDescent="0.25">
      <c r="A3507" t="s">
        <v>326</v>
      </c>
      <c r="B3507" t="s">
        <v>435</v>
      </c>
      <c r="C3507" t="s">
        <v>868</v>
      </c>
      <c r="D3507" t="s">
        <v>14</v>
      </c>
      <c r="E3507">
        <v>6</v>
      </c>
      <c r="F3507" s="2">
        <f>DATE(2026,IF(Tabla1[[#This Row],[Mes de Fecha]]="Septiembre",9,10),Tabla1[[#This Row],[Día de Fecha]])</f>
        <v>46301</v>
      </c>
      <c r="G3507">
        <v>1061774213</v>
      </c>
      <c r="H3507" t="s">
        <v>444</v>
      </c>
      <c r="I3507">
        <v>39</v>
      </c>
      <c r="J3507">
        <v>0</v>
      </c>
      <c r="K3507" s="1">
        <v>2296641</v>
      </c>
    </row>
    <row r="3508" spans="1:11" x14ac:dyDescent="0.25">
      <c r="A3508" t="s">
        <v>326</v>
      </c>
      <c r="B3508" t="s">
        <v>435</v>
      </c>
      <c r="C3508" t="s">
        <v>868</v>
      </c>
      <c r="D3508" t="s">
        <v>14</v>
      </c>
      <c r="E3508">
        <v>6</v>
      </c>
      <c r="F3508" s="2">
        <f>DATE(2026,IF(Tabla1[[#This Row],[Mes de Fecha]]="Septiembre",9,10),Tabla1[[#This Row],[Día de Fecha]])</f>
        <v>46301</v>
      </c>
      <c r="G3508">
        <v>1144085357</v>
      </c>
      <c r="H3508" t="s">
        <v>379</v>
      </c>
      <c r="I3508">
        <v>-1</v>
      </c>
      <c r="J3508">
        <v>0</v>
      </c>
      <c r="K3508" s="1">
        <v>-67185</v>
      </c>
    </row>
    <row r="3509" spans="1:11" x14ac:dyDescent="0.25">
      <c r="A3509" t="s">
        <v>326</v>
      </c>
      <c r="B3509" t="s">
        <v>435</v>
      </c>
      <c r="C3509" t="s">
        <v>868</v>
      </c>
      <c r="D3509" t="s">
        <v>14</v>
      </c>
      <c r="E3509">
        <v>7</v>
      </c>
      <c r="F3509" s="2">
        <f>DATE(2026,IF(Tabla1[[#This Row],[Mes de Fecha]]="Septiembre",9,10),Tabla1[[#This Row],[Día de Fecha]])</f>
        <v>46302</v>
      </c>
      <c r="I3509">
        <v>0</v>
      </c>
      <c r="J3509" s="1">
        <v>13333661</v>
      </c>
      <c r="K3509">
        <v>0</v>
      </c>
    </row>
    <row r="3510" spans="1:11" x14ac:dyDescent="0.25">
      <c r="A3510" t="s">
        <v>326</v>
      </c>
      <c r="B3510" t="s">
        <v>435</v>
      </c>
      <c r="C3510" t="s">
        <v>868</v>
      </c>
      <c r="D3510" t="s">
        <v>14</v>
      </c>
      <c r="E3510">
        <v>7</v>
      </c>
      <c r="F3510" s="2">
        <f>DATE(2026,IF(Tabla1[[#This Row],[Mes de Fecha]]="Septiembre",9,10),Tabla1[[#This Row],[Día de Fecha]])</f>
        <v>46302</v>
      </c>
      <c r="G3510">
        <v>1002957897</v>
      </c>
      <c r="H3510" t="s">
        <v>436</v>
      </c>
      <c r="I3510">
        <v>81</v>
      </c>
      <c r="J3510">
        <v>0</v>
      </c>
      <c r="K3510" s="1">
        <v>5251585</v>
      </c>
    </row>
    <row r="3511" spans="1:11" x14ac:dyDescent="0.25">
      <c r="A3511" t="s">
        <v>326</v>
      </c>
      <c r="B3511" t="s">
        <v>435</v>
      </c>
      <c r="C3511" t="s">
        <v>868</v>
      </c>
      <c r="D3511" t="s">
        <v>14</v>
      </c>
      <c r="E3511">
        <v>7</v>
      </c>
      <c r="F3511" s="2">
        <f>DATE(2026,IF(Tabla1[[#This Row],[Mes de Fecha]]="Septiembre",9,10),Tabla1[[#This Row],[Día de Fecha]])</f>
        <v>46302</v>
      </c>
      <c r="G3511">
        <v>1002960105</v>
      </c>
      <c r="H3511" t="s">
        <v>439</v>
      </c>
      <c r="I3511">
        <v>38</v>
      </c>
      <c r="J3511">
        <v>0</v>
      </c>
      <c r="K3511" s="1">
        <v>2174791</v>
      </c>
    </row>
    <row r="3512" spans="1:11" x14ac:dyDescent="0.25">
      <c r="A3512" t="s">
        <v>326</v>
      </c>
      <c r="B3512" t="s">
        <v>435</v>
      </c>
      <c r="C3512" t="s">
        <v>868</v>
      </c>
      <c r="D3512" t="s">
        <v>14</v>
      </c>
      <c r="E3512">
        <v>7</v>
      </c>
      <c r="F3512" s="2">
        <f>DATE(2026,IF(Tabla1[[#This Row],[Mes de Fecha]]="Septiembre",9,10),Tabla1[[#This Row],[Día de Fecha]])</f>
        <v>46302</v>
      </c>
      <c r="G3512">
        <v>1007145358</v>
      </c>
      <c r="H3512" t="s">
        <v>443</v>
      </c>
      <c r="I3512">
        <v>-2</v>
      </c>
      <c r="J3512">
        <v>0</v>
      </c>
      <c r="K3512" s="1">
        <v>-184790</v>
      </c>
    </row>
    <row r="3513" spans="1:11" x14ac:dyDescent="0.25">
      <c r="A3513" t="s">
        <v>326</v>
      </c>
      <c r="B3513" t="s">
        <v>435</v>
      </c>
      <c r="C3513" t="s">
        <v>868</v>
      </c>
      <c r="D3513" t="s">
        <v>14</v>
      </c>
      <c r="E3513">
        <v>7</v>
      </c>
      <c r="F3513" s="2">
        <f>DATE(2026,IF(Tabla1[[#This Row],[Mes de Fecha]]="Septiembre",9,10),Tabla1[[#This Row],[Día de Fecha]])</f>
        <v>46302</v>
      </c>
      <c r="G3513">
        <v>1058968650</v>
      </c>
      <c r="H3513" t="s">
        <v>437</v>
      </c>
      <c r="I3513">
        <v>-2</v>
      </c>
      <c r="J3513">
        <v>0</v>
      </c>
      <c r="K3513" s="1">
        <v>-83949</v>
      </c>
    </row>
    <row r="3514" spans="1:11" x14ac:dyDescent="0.25">
      <c r="A3514" t="s">
        <v>326</v>
      </c>
      <c r="B3514" t="s">
        <v>435</v>
      </c>
      <c r="C3514" t="s">
        <v>868</v>
      </c>
      <c r="D3514" t="s">
        <v>14</v>
      </c>
      <c r="E3514">
        <v>7</v>
      </c>
      <c r="F3514" s="2">
        <f>DATE(2026,IF(Tabla1[[#This Row],[Mes de Fecha]]="Septiembre",9,10),Tabla1[[#This Row],[Día de Fecha]])</f>
        <v>46302</v>
      </c>
      <c r="G3514">
        <v>1061774213</v>
      </c>
      <c r="H3514" t="s">
        <v>444</v>
      </c>
      <c r="I3514">
        <v>27</v>
      </c>
      <c r="J3514">
        <v>0</v>
      </c>
      <c r="K3514" s="1">
        <v>1526178</v>
      </c>
    </row>
    <row r="3515" spans="1:11" x14ac:dyDescent="0.25">
      <c r="A3515" t="s">
        <v>326</v>
      </c>
      <c r="B3515" t="s">
        <v>435</v>
      </c>
      <c r="C3515" t="s">
        <v>868</v>
      </c>
      <c r="D3515" t="s">
        <v>14</v>
      </c>
      <c r="E3515">
        <v>7</v>
      </c>
      <c r="F3515" s="2">
        <f>DATE(2026,IF(Tabla1[[#This Row],[Mes de Fecha]]="Septiembre",9,10),Tabla1[[#This Row],[Día de Fecha]])</f>
        <v>46302</v>
      </c>
      <c r="G3515">
        <v>1061814088</v>
      </c>
      <c r="H3515" t="s">
        <v>438</v>
      </c>
      <c r="I3515">
        <v>85</v>
      </c>
      <c r="J3515">
        <v>0</v>
      </c>
      <c r="K3515" s="1">
        <v>5026971</v>
      </c>
    </row>
    <row r="3516" spans="1:11" x14ac:dyDescent="0.25">
      <c r="A3516" t="s">
        <v>326</v>
      </c>
      <c r="B3516" t="s">
        <v>508</v>
      </c>
      <c r="C3516" t="s">
        <v>868</v>
      </c>
      <c r="D3516" t="s">
        <v>11</v>
      </c>
      <c r="E3516">
        <v>23</v>
      </c>
      <c r="F3516" s="2">
        <f>DATE(2026,IF(Tabla1[[#This Row],[Mes de Fecha]]="Septiembre",9,10),Tabla1[[#This Row],[Día de Fecha]])</f>
        <v>46288</v>
      </c>
      <c r="I3516">
        <v>0</v>
      </c>
      <c r="J3516" s="1">
        <v>31132426</v>
      </c>
      <c r="K3516">
        <v>0</v>
      </c>
    </row>
    <row r="3517" spans="1:11" x14ac:dyDescent="0.25">
      <c r="A3517" t="s">
        <v>326</v>
      </c>
      <c r="B3517" t="s">
        <v>508</v>
      </c>
      <c r="C3517" t="s">
        <v>868</v>
      </c>
      <c r="D3517" t="s">
        <v>11</v>
      </c>
      <c r="E3517">
        <v>23</v>
      </c>
      <c r="F3517" s="2">
        <f>DATE(2026,IF(Tabla1[[#This Row],[Mes de Fecha]]="Septiembre",9,10),Tabla1[[#This Row],[Día de Fecha]])</f>
        <v>46288</v>
      </c>
      <c r="G3517">
        <v>1001132922</v>
      </c>
      <c r="H3517" t="s">
        <v>357</v>
      </c>
      <c r="I3517">
        <v>16</v>
      </c>
      <c r="J3517">
        <v>0</v>
      </c>
      <c r="K3517" s="1">
        <v>759833</v>
      </c>
    </row>
    <row r="3518" spans="1:11" x14ac:dyDescent="0.25">
      <c r="A3518" t="s">
        <v>326</v>
      </c>
      <c r="B3518" t="s">
        <v>508</v>
      </c>
      <c r="C3518" t="s">
        <v>868</v>
      </c>
      <c r="D3518" t="s">
        <v>11</v>
      </c>
      <c r="E3518">
        <v>23</v>
      </c>
      <c r="F3518" s="2">
        <f>DATE(2026,IF(Tabla1[[#This Row],[Mes de Fecha]]="Septiembre",9,10),Tabla1[[#This Row],[Día de Fecha]])</f>
        <v>46288</v>
      </c>
      <c r="G3518">
        <v>1005706861</v>
      </c>
      <c r="H3518" t="s">
        <v>433</v>
      </c>
      <c r="I3518">
        <v>17</v>
      </c>
      <c r="J3518">
        <v>0</v>
      </c>
      <c r="K3518" s="1">
        <v>890042</v>
      </c>
    </row>
    <row r="3519" spans="1:11" x14ac:dyDescent="0.25">
      <c r="A3519" t="s">
        <v>326</v>
      </c>
      <c r="B3519" t="s">
        <v>508</v>
      </c>
      <c r="C3519" t="s">
        <v>868</v>
      </c>
      <c r="D3519" t="s">
        <v>11</v>
      </c>
      <c r="E3519">
        <v>23</v>
      </c>
      <c r="F3519" s="2">
        <f>DATE(2026,IF(Tabla1[[#This Row],[Mes de Fecha]]="Septiembre",9,10),Tabla1[[#This Row],[Día de Fecha]])</f>
        <v>46288</v>
      </c>
      <c r="G3519">
        <v>1005815270</v>
      </c>
      <c r="H3519" t="s">
        <v>509</v>
      </c>
      <c r="I3519">
        <v>22</v>
      </c>
      <c r="J3519">
        <v>0</v>
      </c>
      <c r="K3519" s="1">
        <v>1099917</v>
      </c>
    </row>
    <row r="3520" spans="1:11" x14ac:dyDescent="0.25">
      <c r="A3520" t="s">
        <v>326</v>
      </c>
      <c r="B3520" t="s">
        <v>508</v>
      </c>
      <c r="C3520" t="s">
        <v>868</v>
      </c>
      <c r="D3520" t="s">
        <v>11</v>
      </c>
      <c r="E3520">
        <v>23</v>
      </c>
      <c r="F3520" s="2">
        <f>DATE(2026,IF(Tabla1[[#This Row],[Mes de Fecha]]="Septiembre",9,10),Tabla1[[#This Row],[Día de Fecha]])</f>
        <v>46288</v>
      </c>
      <c r="G3520">
        <v>1007132542</v>
      </c>
      <c r="H3520" t="s">
        <v>386</v>
      </c>
      <c r="I3520">
        <v>97</v>
      </c>
      <c r="J3520">
        <v>0</v>
      </c>
      <c r="K3520" s="1">
        <v>4779163</v>
      </c>
    </row>
    <row r="3521" spans="1:11" x14ac:dyDescent="0.25">
      <c r="A3521" t="s">
        <v>326</v>
      </c>
      <c r="B3521" t="s">
        <v>508</v>
      </c>
      <c r="C3521" t="s">
        <v>868</v>
      </c>
      <c r="D3521" t="s">
        <v>11</v>
      </c>
      <c r="E3521">
        <v>23</v>
      </c>
      <c r="F3521" s="2">
        <f>DATE(2026,IF(Tabla1[[#This Row],[Mes de Fecha]]="Septiembre",9,10),Tabla1[[#This Row],[Día de Fecha]])</f>
        <v>46288</v>
      </c>
      <c r="G3521">
        <v>1007729215</v>
      </c>
      <c r="H3521" t="s">
        <v>332</v>
      </c>
      <c r="I3521">
        <v>-1</v>
      </c>
      <c r="J3521">
        <v>0</v>
      </c>
      <c r="K3521" s="1">
        <v>-41933</v>
      </c>
    </row>
    <row r="3522" spans="1:11" x14ac:dyDescent="0.25">
      <c r="A3522" t="s">
        <v>326</v>
      </c>
      <c r="B3522" t="s">
        <v>508</v>
      </c>
      <c r="C3522" t="s">
        <v>868</v>
      </c>
      <c r="D3522" t="s">
        <v>11</v>
      </c>
      <c r="E3522">
        <v>23</v>
      </c>
      <c r="F3522" s="2">
        <f>DATE(2026,IF(Tabla1[[#This Row],[Mes de Fecha]]="Septiembre",9,10),Tabla1[[#This Row],[Día de Fecha]])</f>
        <v>46288</v>
      </c>
      <c r="G3522">
        <v>1010088636</v>
      </c>
      <c r="H3522" t="s">
        <v>385</v>
      </c>
      <c r="I3522">
        <v>68</v>
      </c>
      <c r="J3522">
        <v>0</v>
      </c>
      <c r="K3522" s="1">
        <v>3433715</v>
      </c>
    </row>
    <row r="3523" spans="1:11" x14ac:dyDescent="0.25">
      <c r="A3523" t="s">
        <v>326</v>
      </c>
      <c r="B3523" t="s">
        <v>508</v>
      </c>
      <c r="C3523" t="s">
        <v>868</v>
      </c>
      <c r="D3523" t="s">
        <v>11</v>
      </c>
      <c r="E3523">
        <v>23</v>
      </c>
      <c r="F3523" s="2">
        <f>DATE(2026,IF(Tabla1[[#This Row],[Mes de Fecha]]="Septiembre",9,10),Tabla1[[#This Row],[Día de Fecha]])</f>
        <v>46288</v>
      </c>
      <c r="G3523">
        <v>1113689444</v>
      </c>
      <c r="H3523" t="s">
        <v>378</v>
      </c>
      <c r="I3523">
        <v>97</v>
      </c>
      <c r="J3523">
        <v>0</v>
      </c>
      <c r="K3523" s="1">
        <v>4722465</v>
      </c>
    </row>
    <row r="3524" spans="1:11" x14ac:dyDescent="0.25">
      <c r="A3524" t="s">
        <v>326</v>
      </c>
      <c r="B3524" t="s">
        <v>508</v>
      </c>
      <c r="C3524" t="s">
        <v>868</v>
      </c>
      <c r="D3524" t="s">
        <v>11</v>
      </c>
      <c r="E3524">
        <v>23</v>
      </c>
      <c r="F3524" s="2">
        <f>DATE(2026,IF(Tabla1[[#This Row],[Mes de Fecha]]="Septiembre",9,10),Tabla1[[#This Row],[Día de Fecha]])</f>
        <v>46288</v>
      </c>
      <c r="G3524">
        <v>1130593915</v>
      </c>
      <c r="H3524" t="s">
        <v>510</v>
      </c>
      <c r="I3524">
        <v>13</v>
      </c>
      <c r="J3524">
        <v>0</v>
      </c>
      <c r="K3524" s="1">
        <v>684329</v>
      </c>
    </row>
    <row r="3525" spans="1:11" x14ac:dyDescent="0.25">
      <c r="A3525" t="s">
        <v>326</v>
      </c>
      <c r="B3525" t="s">
        <v>508</v>
      </c>
      <c r="C3525" t="s">
        <v>868</v>
      </c>
      <c r="D3525" t="s">
        <v>11</v>
      </c>
      <c r="E3525">
        <v>23</v>
      </c>
      <c r="F3525" s="2">
        <f>DATE(2026,IF(Tabla1[[#This Row],[Mes de Fecha]]="Septiembre",9,10),Tabla1[[#This Row],[Día de Fecha]])</f>
        <v>46288</v>
      </c>
      <c r="G3525">
        <v>1143851967</v>
      </c>
      <c r="H3525" t="s">
        <v>359</v>
      </c>
      <c r="I3525">
        <v>75</v>
      </c>
      <c r="J3525">
        <v>0</v>
      </c>
      <c r="K3525" s="1">
        <v>3954668</v>
      </c>
    </row>
    <row r="3526" spans="1:11" x14ac:dyDescent="0.25">
      <c r="A3526" t="s">
        <v>326</v>
      </c>
      <c r="B3526" t="s">
        <v>508</v>
      </c>
      <c r="C3526" t="s">
        <v>868</v>
      </c>
      <c r="D3526" t="s">
        <v>11</v>
      </c>
      <c r="E3526">
        <v>24</v>
      </c>
      <c r="F3526" s="2">
        <f>DATE(2026,IF(Tabla1[[#This Row],[Mes de Fecha]]="Septiembre",9,10),Tabla1[[#This Row],[Día de Fecha]])</f>
        <v>46289</v>
      </c>
      <c r="I3526">
        <v>0</v>
      </c>
      <c r="J3526" s="1">
        <v>47558288</v>
      </c>
      <c r="K3526">
        <v>0</v>
      </c>
    </row>
    <row r="3527" spans="1:11" x14ac:dyDescent="0.25">
      <c r="A3527" t="s">
        <v>326</v>
      </c>
      <c r="B3527" t="s">
        <v>508</v>
      </c>
      <c r="C3527" t="s">
        <v>868</v>
      </c>
      <c r="D3527" t="s">
        <v>11</v>
      </c>
      <c r="E3527">
        <v>24</v>
      </c>
      <c r="F3527" s="2">
        <f>DATE(2026,IF(Tabla1[[#This Row],[Mes de Fecha]]="Septiembre",9,10),Tabla1[[#This Row],[Día de Fecha]])</f>
        <v>46289</v>
      </c>
      <c r="G3527">
        <v>1001132922</v>
      </c>
      <c r="H3527" t="s">
        <v>357</v>
      </c>
      <c r="I3527">
        <v>35</v>
      </c>
      <c r="J3527">
        <v>0</v>
      </c>
      <c r="K3527" s="1">
        <v>1754706</v>
      </c>
    </row>
    <row r="3528" spans="1:11" x14ac:dyDescent="0.25">
      <c r="A3528" t="s">
        <v>326</v>
      </c>
      <c r="B3528" t="s">
        <v>508</v>
      </c>
      <c r="C3528" t="s">
        <v>868</v>
      </c>
      <c r="D3528" t="s">
        <v>11</v>
      </c>
      <c r="E3528">
        <v>24</v>
      </c>
      <c r="F3528" s="2">
        <f>DATE(2026,IF(Tabla1[[#This Row],[Mes de Fecha]]="Septiembre",9,10),Tabla1[[#This Row],[Día de Fecha]])</f>
        <v>46289</v>
      </c>
      <c r="G3528">
        <v>1005706861</v>
      </c>
      <c r="H3528" t="s">
        <v>433</v>
      </c>
      <c r="I3528">
        <v>29</v>
      </c>
      <c r="J3528">
        <v>0</v>
      </c>
      <c r="K3528" s="1">
        <v>1540757</v>
      </c>
    </row>
    <row r="3529" spans="1:11" x14ac:dyDescent="0.25">
      <c r="A3529" t="s">
        <v>326</v>
      </c>
      <c r="B3529" t="s">
        <v>508</v>
      </c>
      <c r="C3529" t="s">
        <v>868</v>
      </c>
      <c r="D3529" t="s">
        <v>11</v>
      </c>
      <c r="E3529">
        <v>24</v>
      </c>
      <c r="F3529" s="2">
        <f>DATE(2026,IF(Tabla1[[#This Row],[Mes de Fecha]]="Septiembre",9,10),Tabla1[[#This Row],[Día de Fecha]])</f>
        <v>46289</v>
      </c>
      <c r="G3529">
        <v>1005815270</v>
      </c>
      <c r="H3529" t="s">
        <v>509</v>
      </c>
      <c r="I3529">
        <v>37</v>
      </c>
      <c r="J3529">
        <v>0</v>
      </c>
      <c r="K3529" s="1">
        <v>2121517</v>
      </c>
    </row>
    <row r="3530" spans="1:11" x14ac:dyDescent="0.25">
      <c r="A3530" t="s">
        <v>326</v>
      </c>
      <c r="B3530" t="s">
        <v>508</v>
      </c>
      <c r="C3530" t="s">
        <v>868</v>
      </c>
      <c r="D3530" t="s">
        <v>11</v>
      </c>
      <c r="E3530">
        <v>24</v>
      </c>
      <c r="F3530" s="2">
        <f>DATE(2026,IF(Tabla1[[#This Row],[Mes de Fecha]]="Septiembre",9,10),Tabla1[[#This Row],[Día de Fecha]])</f>
        <v>46289</v>
      </c>
      <c r="G3530">
        <v>1007132542</v>
      </c>
      <c r="H3530" t="s">
        <v>386</v>
      </c>
      <c r="I3530">
        <v>94</v>
      </c>
      <c r="J3530">
        <v>0</v>
      </c>
      <c r="K3530" s="1">
        <v>4834165</v>
      </c>
    </row>
    <row r="3531" spans="1:11" x14ac:dyDescent="0.25">
      <c r="A3531" t="s">
        <v>326</v>
      </c>
      <c r="B3531" t="s">
        <v>508</v>
      </c>
      <c r="C3531" t="s">
        <v>868</v>
      </c>
      <c r="D3531" t="s">
        <v>11</v>
      </c>
      <c r="E3531">
        <v>24</v>
      </c>
      <c r="F3531" s="2">
        <f>DATE(2026,IF(Tabla1[[#This Row],[Mes de Fecha]]="Septiembre",9,10),Tabla1[[#This Row],[Día de Fecha]])</f>
        <v>46289</v>
      </c>
      <c r="G3531">
        <v>1010088636</v>
      </c>
      <c r="H3531" t="s">
        <v>385</v>
      </c>
      <c r="I3531">
        <v>90</v>
      </c>
      <c r="J3531">
        <v>0</v>
      </c>
      <c r="K3531" s="1">
        <v>4389206</v>
      </c>
    </row>
    <row r="3532" spans="1:11" x14ac:dyDescent="0.25">
      <c r="A3532" t="s">
        <v>326</v>
      </c>
      <c r="B3532" t="s">
        <v>508</v>
      </c>
      <c r="C3532" t="s">
        <v>868</v>
      </c>
      <c r="D3532" t="s">
        <v>11</v>
      </c>
      <c r="E3532">
        <v>24</v>
      </c>
      <c r="F3532" s="2">
        <f>DATE(2026,IF(Tabla1[[#This Row],[Mes de Fecha]]="Septiembre",9,10),Tabla1[[#This Row],[Día de Fecha]])</f>
        <v>46289</v>
      </c>
      <c r="G3532">
        <v>1113689444</v>
      </c>
      <c r="H3532" t="s">
        <v>378</v>
      </c>
      <c r="I3532">
        <v>103</v>
      </c>
      <c r="J3532">
        <v>0</v>
      </c>
      <c r="K3532" s="1">
        <v>4753334</v>
      </c>
    </row>
    <row r="3533" spans="1:11" x14ac:dyDescent="0.25">
      <c r="A3533" t="s">
        <v>326</v>
      </c>
      <c r="B3533" t="s">
        <v>508</v>
      </c>
      <c r="C3533" t="s">
        <v>868</v>
      </c>
      <c r="D3533" t="s">
        <v>11</v>
      </c>
      <c r="E3533">
        <v>24</v>
      </c>
      <c r="F3533" s="2">
        <f>DATE(2026,IF(Tabla1[[#This Row],[Mes de Fecha]]="Septiembre",9,10),Tabla1[[#This Row],[Día de Fecha]])</f>
        <v>46289</v>
      </c>
      <c r="G3533">
        <v>1130593915</v>
      </c>
      <c r="H3533" t="s">
        <v>510</v>
      </c>
      <c r="I3533">
        <v>29</v>
      </c>
      <c r="J3533">
        <v>0</v>
      </c>
      <c r="K3533" s="1">
        <v>1540673</v>
      </c>
    </row>
    <row r="3534" spans="1:11" x14ac:dyDescent="0.25">
      <c r="A3534" t="s">
        <v>326</v>
      </c>
      <c r="B3534" t="s">
        <v>508</v>
      </c>
      <c r="C3534" t="s">
        <v>868</v>
      </c>
      <c r="D3534" t="s">
        <v>11</v>
      </c>
      <c r="E3534">
        <v>24</v>
      </c>
      <c r="F3534" s="2">
        <f>DATE(2026,IF(Tabla1[[#This Row],[Mes de Fecha]]="Septiembre",9,10),Tabla1[[#This Row],[Día de Fecha]])</f>
        <v>46289</v>
      </c>
      <c r="G3534">
        <v>1143851967</v>
      </c>
      <c r="H3534" t="s">
        <v>359</v>
      </c>
      <c r="I3534">
        <v>98</v>
      </c>
      <c r="J3534">
        <v>0</v>
      </c>
      <c r="K3534" s="1">
        <v>4806565</v>
      </c>
    </row>
    <row r="3535" spans="1:11" x14ac:dyDescent="0.25">
      <c r="A3535" t="s">
        <v>326</v>
      </c>
      <c r="B3535" t="s">
        <v>508</v>
      </c>
      <c r="C3535" t="s">
        <v>868</v>
      </c>
      <c r="D3535" t="s">
        <v>11</v>
      </c>
      <c r="E3535">
        <v>25</v>
      </c>
      <c r="F3535" s="2">
        <f>DATE(2026,IF(Tabla1[[#This Row],[Mes de Fecha]]="Septiembre",9,10),Tabla1[[#This Row],[Día de Fecha]])</f>
        <v>46290</v>
      </c>
      <c r="I3535">
        <v>0</v>
      </c>
      <c r="J3535" s="1">
        <v>47453004</v>
      </c>
      <c r="K3535">
        <v>0</v>
      </c>
    </row>
    <row r="3536" spans="1:11" x14ac:dyDescent="0.25">
      <c r="A3536" t="s">
        <v>326</v>
      </c>
      <c r="B3536" t="s">
        <v>508</v>
      </c>
      <c r="C3536" t="s">
        <v>868</v>
      </c>
      <c r="D3536" t="s">
        <v>11</v>
      </c>
      <c r="E3536">
        <v>25</v>
      </c>
      <c r="F3536" s="2">
        <f>DATE(2026,IF(Tabla1[[#This Row],[Mes de Fecha]]="Septiembre",9,10),Tabla1[[#This Row],[Día de Fecha]])</f>
        <v>46290</v>
      </c>
      <c r="G3536">
        <v>1001132922</v>
      </c>
      <c r="H3536" t="s">
        <v>357</v>
      </c>
      <c r="I3536">
        <v>18</v>
      </c>
      <c r="J3536">
        <v>0</v>
      </c>
      <c r="K3536" s="1">
        <v>995001</v>
      </c>
    </row>
    <row r="3537" spans="1:11" x14ac:dyDescent="0.25">
      <c r="A3537" t="s">
        <v>326</v>
      </c>
      <c r="B3537" t="s">
        <v>508</v>
      </c>
      <c r="C3537" t="s">
        <v>868</v>
      </c>
      <c r="D3537" t="s">
        <v>11</v>
      </c>
      <c r="E3537">
        <v>25</v>
      </c>
      <c r="F3537" s="2">
        <f>DATE(2026,IF(Tabla1[[#This Row],[Mes de Fecha]]="Septiembre",9,10),Tabla1[[#This Row],[Día de Fecha]])</f>
        <v>46290</v>
      </c>
      <c r="G3537">
        <v>1005706861</v>
      </c>
      <c r="H3537" t="s">
        <v>433</v>
      </c>
      <c r="I3537">
        <v>39</v>
      </c>
      <c r="J3537">
        <v>0</v>
      </c>
      <c r="K3537" s="1">
        <v>1989919</v>
      </c>
    </row>
    <row r="3538" spans="1:11" x14ac:dyDescent="0.25">
      <c r="A3538" t="s">
        <v>326</v>
      </c>
      <c r="B3538" t="s">
        <v>508</v>
      </c>
      <c r="C3538" t="s">
        <v>868</v>
      </c>
      <c r="D3538" t="s">
        <v>11</v>
      </c>
      <c r="E3538">
        <v>25</v>
      </c>
      <c r="F3538" s="2">
        <f>DATE(2026,IF(Tabla1[[#This Row],[Mes de Fecha]]="Septiembre",9,10),Tabla1[[#This Row],[Día de Fecha]])</f>
        <v>46290</v>
      </c>
      <c r="G3538">
        <v>1005815270</v>
      </c>
      <c r="H3538" t="s">
        <v>509</v>
      </c>
      <c r="I3538">
        <v>38</v>
      </c>
      <c r="J3538">
        <v>0</v>
      </c>
      <c r="K3538" s="1">
        <v>1805086</v>
      </c>
    </row>
    <row r="3539" spans="1:11" x14ac:dyDescent="0.25">
      <c r="A3539" t="s">
        <v>326</v>
      </c>
      <c r="B3539" t="s">
        <v>508</v>
      </c>
      <c r="C3539" t="s">
        <v>868</v>
      </c>
      <c r="D3539" t="s">
        <v>11</v>
      </c>
      <c r="E3539">
        <v>25</v>
      </c>
      <c r="F3539" s="2">
        <f>DATE(2026,IF(Tabla1[[#This Row],[Mes de Fecha]]="Septiembre",9,10),Tabla1[[#This Row],[Día de Fecha]])</f>
        <v>46290</v>
      </c>
      <c r="G3539">
        <v>1007132542</v>
      </c>
      <c r="H3539" t="s">
        <v>386</v>
      </c>
      <c r="I3539">
        <v>100</v>
      </c>
      <c r="J3539">
        <v>0</v>
      </c>
      <c r="K3539" s="1">
        <v>4773912</v>
      </c>
    </row>
    <row r="3540" spans="1:11" x14ac:dyDescent="0.25">
      <c r="A3540" t="s">
        <v>326</v>
      </c>
      <c r="B3540" t="s">
        <v>508</v>
      </c>
      <c r="C3540" t="s">
        <v>868</v>
      </c>
      <c r="D3540" t="s">
        <v>11</v>
      </c>
      <c r="E3540">
        <v>25</v>
      </c>
      <c r="F3540" s="2">
        <f>DATE(2026,IF(Tabla1[[#This Row],[Mes de Fecha]]="Septiembre",9,10),Tabla1[[#This Row],[Día de Fecha]])</f>
        <v>46290</v>
      </c>
      <c r="G3540">
        <v>1010088636</v>
      </c>
      <c r="H3540" t="s">
        <v>385</v>
      </c>
      <c r="I3540">
        <v>97</v>
      </c>
      <c r="J3540">
        <v>0</v>
      </c>
      <c r="K3540" s="1">
        <v>5137750</v>
      </c>
    </row>
    <row r="3541" spans="1:11" x14ac:dyDescent="0.25">
      <c r="A3541" t="s">
        <v>326</v>
      </c>
      <c r="B3541" t="s">
        <v>508</v>
      </c>
      <c r="C3541" t="s">
        <v>868</v>
      </c>
      <c r="D3541" t="s">
        <v>11</v>
      </c>
      <c r="E3541">
        <v>25</v>
      </c>
      <c r="F3541" s="2">
        <f>DATE(2026,IF(Tabla1[[#This Row],[Mes de Fecha]]="Septiembre",9,10),Tabla1[[#This Row],[Día de Fecha]])</f>
        <v>46290</v>
      </c>
      <c r="G3541">
        <v>1102868881</v>
      </c>
      <c r="H3541" t="s">
        <v>338</v>
      </c>
      <c r="I3541">
        <v>-1</v>
      </c>
      <c r="J3541">
        <v>0</v>
      </c>
      <c r="K3541" s="1">
        <v>-88193</v>
      </c>
    </row>
    <row r="3542" spans="1:11" x14ac:dyDescent="0.25">
      <c r="A3542" t="s">
        <v>326</v>
      </c>
      <c r="B3542" t="s">
        <v>508</v>
      </c>
      <c r="C3542" t="s">
        <v>868</v>
      </c>
      <c r="D3542" t="s">
        <v>11</v>
      </c>
      <c r="E3542">
        <v>25</v>
      </c>
      <c r="F3542" s="2">
        <f>DATE(2026,IF(Tabla1[[#This Row],[Mes de Fecha]]="Septiembre",9,10),Tabla1[[#This Row],[Día de Fecha]])</f>
        <v>46290</v>
      </c>
      <c r="G3542">
        <v>1113689444</v>
      </c>
      <c r="H3542" t="s">
        <v>378</v>
      </c>
      <c r="I3542">
        <v>145</v>
      </c>
      <c r="J3542">
        <v>0</v>
      </c>
      <c r="K3542" s="1">
        <v>6960802</v>
      </c>
    </row>
    <row r="3543" spans="1:11" x14ac:dyDescent="0.25">
      <c r="A3543" t="s">
        <v>326</v>
      </c>
      <c r="B3543" t="s">
        <v>508</v>
      </c>
      <c r="C3543" t="s">
        <v>868</v>
      </c>
      <c r="D3543" t="s">
        <v>11</v>
      </c>
      <c r="E3543">
        <v>25</v>
      </c>
      <c r="F3543" s="2">
        <f>DATE(2026,IF(Tabla1[[#This Row],[Mes de Fecha]]="Septiembre",9,10),Tabla1[[#This Row],[Día de Fecha]])</f>
        <v>46290</v>
      </c>
      <c r="G3543">
        <v>1130593915</v>
      </c>
      <c r="H3543" t="s">
        <v>510</v>
      </c>
      <c r="I3543">
        <v>22</v>
      </c>
      <c r="J3543">
        <v>0</v>
      </c>
      <c r="K3543" s="1">
        <v>1183908</v>
      </c>
    </row>
    <row r="3544" spans="1:11" x14ac:dyDescent="0.25">
      <c r="A3544" t="s">
        <v>326</v>
      </c>
      <c r="B3544" t="s">
        <v>508</v>
      </c>
      <c r="C3544" t="s">
        <v>868</v>
      </c>
      <c r="D3544" t="s">
        <v>11</v>
      </c>
      <c r="E3544">
        <v>25</v>
      </c>
      <c r="F3544" s="2">
        <f>DATE(2026,IF(Tabla1[[#This Row],[Mes de Fecha]]="Septiembre",9,10),Tabla1[[#This Row],[Día de Fecha]])</f>
        <v>46290</v>
      </c>
      <c r="G3544">
        <v>1143851967</v>
      </c>
      <c r="H3544" t="s">
        <v>359</v>
      </c>
      <c r="I3544">
        <v>103</v>
      </c>
      <c r="J3544">
        <v>0</v>
      </c>
      <c r="K3544" s="1">
        <v>5690802</v>
      </c>
    </row>
    <row r="3545" spans="1:11" x14ac:dyDescent="0.25">
      <c r="A3545" t="s">
        <v>326</v>
      </c>
      <c r="B3545" t="s">
        <v>508</v>
      </c>
      <c r="C3545" t="s">
        <v>868</v>
      </c>
      <c r="D3545" t="s">
        <v>11</v>
      </c>
      <c r="E3545">
        <v>26</v>
      </c>
      <c r="F3545" s="2">
        <f>DATE(2026,IF(Tabla1[[#This Row],[Mes de Fecha]]="Septiembre",9,10),Tabla1[[#This Row],[Día de Fecha]])</f>
        <v>46291</v>
      </c>
      <c r="I3545">
        <v>0</v>
      </c>
      <c r="J3545" s="1">
        <v>68196788</v>
      </c>
      <c r="K3545">
        <v>0</v>
      </c>
    </row>
    <row r="3546" spans="1:11" x14ac:dyDescent="0.25">
      <c r="A3546" t="s">
        <v>326</v>
      </c>
      <c r="B3546" t="s">
        <v>508</v>
      </c>
      <c r="C3546" t="s">
        <v>868</v>
      </c>
      <c r="D3546" t="s">
        <v>11</v>
      </c>
      <c r="E3546">
        <v>26</v>
      </c>
      <c r="F3546" s="2">
        <f>DATE(2026,IF(Tabla1[[#This Row],[Mes de Fecha]]="Septiembre",9,10),Tabla1[[#This Row],[Día de Fecha]])</f>
        <v>46291</v>
      </c>
      <c r="G3546">
        <v>1001132922</v>
      </c>
      <c r="H3546" t="s">
        <v>357</v>
      </c>
      <c r="I3546">
        <v>65</v>
      </c>
      <c r="J3546">
        <v>0</v>
      </c>
      <c r="K3546" s="1">
        <v>3455001</v>
      </c>
    </row>
    <row r="3547" spans="1:11" x14ac:dyDescent="0.25">
      <c r="A3547" t="s">
        <v>326</v>
      </c>
      <c r="B3547" t="s">
        <v>508</v>
      </c>
      <c r="C3547" t="s">
        <v>868</v>
      </c>
      <c r="D3547" t="s">
        <v>11</v>
      </c>
      <c r="E3547">
        <v>26</v>
      </c>
      <c r="F3547" s="2">
        <f>DATE(2026,IF(Tabla1[[#This Row],[Mes de Fecha]]="Septiembre",9,10),Tabla1[[#This Row],[Día de Fecha]])</f>
        <v>46291</v>
      </c>
      <c r="G3547">
        <v>1005706861</v>
      </c>
      <c r="H3547" t="s">
        <v>433</v>
      </c>
      <c r="I3547">
        <v>1</v>
      </c>
      <c r="J3547">
        <v>0</v>
      </c>
      <c r="K3547" s="1">
        <v>50379</v>
      </c>
    </row>
    <row r="3548" spans="1:11" x14ac:dyDescent="0.25">
      <c r="A3548" t="s">
        <v>326</v>
      </c>
      <c r="B3548" t="s">
        <v>508</v>
      </c>
      <c r="C3548" t="s">
        <v>868</v>
      </c>
      <c r="D3548" t="s">
        <v>11</v>
      </c>
      <c r="E3548">
        <v>26</v>
      </c>
      <c r="F3548" s="2">
        <f>DATE(2026,IF(Tabla1[[#This Row],[Mes de Fecha]]="Septiembre",9,10),Tabla1[[#This Row],[Día de Fecha]])</f>
        <v>46291</v>
      </c>
      <c r="G3548">
        <v>1005815270</v>
      </c>
      <c r="H3548" t="s">
        <v>509</v>
      </c>
      <c r="I3548">
        <v>68</v>
      </c>
      <c r="J3548">
        <v>0</v>
      </c>
      <c r="K3548" s="1">
        <v>3362315</v>
      </c>
    </row>
    <row r="3549" spans="1:11" x14ac:dyDescent="0.25">
      <c r="A3549" t="s">
        <v>326</v>
      </c>
      <c r="B3549" t="s">
        <v>508</v>
      </c>
      <c r="C3549" t="s">
        <v>868</v>
      </c>
      <c r="D3549" t="s">
        <v>11</v>
      </c>
      <c r="E3549">
        <v>26</v>
      </c>
      <c r="F3549" s="2">
        <f>DATE(2026,IF(Tabla1[[#This Row],[Mes de Fecha]]="Septiembre",9,10),Tabla1[[#This Row],[Día de Fecha]])</f>
        <v>46291</v>
      </c>
      <c r="G3549">
        <v>1007132542</v>
      </c>
      <c r="H3549" t="s">
        <v>386</v>
      </c>
      <c r="I3549">
        <v>319</v>
      </c>
      <c r="J3549">
        <v>0</v>
      </c>
      <c r="K3549" s="1">
        <v>16099131</v>
      </c>
    </row>
    <row r="3550" spans="1:11" x14ac:dyDescent="0.25">
      <c r="A3550" t="s">
        <v>326</v>
      </c>
      <c r="B3550" t="s">
        <v>508</v>
      </c>
      <c r="C3550" t="s">
        <v>868</v>
      </c>
      <c r="D3550" t="s">
        <v>11</v>
      </c>
      <c r="E3550">
        <v>26</v>
      </c>
      <c r="F3550" s="2">
        <f>DATE(2026,IF(Tabla1[[#This Row],[Mes de Fecha]]="Septiembre",9,10),Tabla1[[#This Row],[Día de Fecha]])</f>
        <v>46291</v>
      </c>
      <c r="G3550">
        <v>1010088636</v>
      </c>
      <c r="H3550" t="s">
        <v>385</v>
      </c>
      <c r="I3550">
        <v>189</v>
      </c>
      <c r="J3550">
        <v>0</v>
      </c>
      <c r="K3550" s="1">
        <v>9461305</v>
      </c>
    </row>
    <row r="3551" spans="1:11" x14ac:dyDescent="0.25">
      <c r="A3551" t="s">
        <v>326</v>
      </c>
      <c r="B3551" t="s">
        <v>508</v>
      </c>
      <c r="C3551" t="s">
        <v>868</v>
      </c>
      <c r="D3551" t="s">
        <v>11</v>
      </c>
      <c r="E3551">
        <v>26</v>
      </c>
      <c r="F3551" s="2">
        <f>DATE(2026,IF(Tabla1[[#This Row],[Mes de Fecha]]="Septiembre",9,10),Tabla1[[#This Row],[Día de Fecha]])</f>
        <v>46291</v>
      </c>
      <c r="G3551">
        <v>1111784310</v>
      </c>
      <c r="H3551" t="s">
        <v>365</v>
      </c>
      <c r="I3551">
        <v>-1</v>
      </c>
      <c r="J3551">
        <v>0</v>
      </c>
      <c r="K3551" s="1">
        <v>-96597</v>
      </c>
    </row>
    <row r="3552" spans="1:11" x14ac:dyDescent="0.25">
      <c r="A3552" t="s">
        <v>326</v>
      </c>
      <c r="B3552" t="s">
        <v>508</v>
      </c>
      <c r="C3552" t="s">
        <v>868</v>
      </c>
      <c r="D3552" t="s">
        <v>11</v>
      </c>
      <c r="E3552">
        <v>26</v>
      </c>
      <c r="F3552" s="2">
        <f>DATE(2026,IF(Tabla1[[#This Row],[Mes de Fecha]]="Septiembre",9,10),Tabla1[[#This Row],[Día de Fecha]])</f>
        <v>46291</v>
      </c>
      <c r="G3552">
        <v>1113689444</v>
      </c>
      <c r="H3552" t="s">
        <v>378</v>
      </c>
      <c r="I3552">
        <v>301</v>
      </c>
      <c r="J3552">
        <v>0</v>
      </c>
      <c r="K3552" s="1">
        <v>14605181</v>
      </c>
    </row>
    <row r="3553" spans="1:11" x14ac:dyDescent="0.25">
      <c r="A3553" t="s">
        <v>326</v>
      </c>
      <c r="B3553" t="s">
        <v>508</v>
      </c>
      <c r="C3553" t="s">
        <v>868</v>
      </c>
      <c r="D3553" t="s">
        <v>11</v>
      </c>
      <c r="E3553">
        <v>26</v>
      </c>
      <c r="F3553" s="2">
        <f>DATE(2026,IF(Tabla1[[#This Row],[Mes de Fecha]]="Septiembre",9,10),Tabla1[[#This Row],[Día de Fecha]])</f>
        <v>46291</v>
      </c>
      <c r="G3553">
        <v>1130593915</v>
      </c>
      <c r="H3553" t="s">
        <v>510</v>
      </c>
      <c r="I3553">
        <v>37</v>
      </c>
      <c r="J3553">
        <v>0</v>
      </c>
      <c r="K3553" s="1">
        <v>2094959</v>
      </c>
    </row>
    <row r="3554" spans="1:11" x14ac:dyDescent="0.25">
      <c r="A3554" t="s">
        <v>326</v>
      </c>
      <c r="B3554" t="s">
        <v>508</v>
      </c>
      <c r="C3554" t="s">
        <v>868</v>
      </c>
      <c r="D3554" t="s">
        <v>11</v>
      </c>
      <c r="E3554">
        <v>26</v>
      </c>
      <c r="F3554" s="2">
        <f>DATE(2026,IF(Tabla1[[#This Row],[Mes de Fecha]]="Septiembre",9,10),Tabla1[[#This Row],[Día de Fecha]])</f>
        <v>46291</v>
      </c>
      <c r="G3554">
        <v>1143851967</v>
      </c>
      <c r="H3554" t="s">
        <v>359</v>
      </c>
      <c r="I3554">
        <v>215</v>
      </c>
      <c r="J3554">
        <v>0</v>
      </c>
      <c r="K3554" s="1">
        <v>11466778</v>
      </c>
    </row>
    <row r="3555" spans="1:11" x14ac:dyDescent="0.25">
      <c r="A3555" t="s">
        <v>326</v>
      </c>
      <c r="B3555" t="s">
        <v>508</v>
      </c>
      <c r="C3555" t="s">
        <v>868</v>
      </c>
      <c r="D3555" t="s">
        <v>11</v>
      </c>
      <c r="E3555">
        <v>27</v>
      </c>
      <c r="F3555" s="2">
        <f>DATE(2026,IF(Tabla1[[#This Row],[Mes de Fecha]]="Septiembre",9,10),Tabla1[[#This Row],[Día de Fecha]])</f>
        <v>46292</v>
      </c>
      <c r="I3555">
        <v>0</v>
      </c>
      <c r="J3555" s="1">
        <v>54025581</v>
      </c>
      <c r="K3555">
        <v>0</v>
      </c>
    </row>
    <row r="3556" spans="1:11" x14ac:dyDescent="0.25">
      <c r="A3556" t="s">
        <v>326</v>
      </c>
      <c r="B3556" t="s">
        <v>508</v>
      </c>
      <c r="C3556" t="s">
        <v>868</v>
      </c>
      <c r="D3556" t="s">
        <v>11</v>
      </c>
      <c r="E3556">
        <v>27</v>
      </c>
      <c r="F3556" s="2">
        <f>DATE(2026,IF(Tabla1[[#This Row],[Mes de Fecha]]="Septiembre",9,10),Tabla1[[#This Row],[Día de Fecha]])</f>
        <v>46292</v>
      </c>
      <c r="G3556">
        <v>1001132922</v>
      </c>
      <c r="H3556" t="s">
        <v>357</v>
      </c>
      <c r="I3556">
        <v>61</v>
      </c>
      <c r="J3556">
        <v>0</v>
      </c>
      <c r="K3556" s="1">
        <v>3321937</v>
      </c>
    </row>
    <row r="3557" spans="1:11" x14ac:dyDescent="0.25">
      <c r="A3557" t="s">
        <v>326</v>
      </c>
      <c r="B3557" t="s">
        <v>508</v>
      </c>
      <c r="C3557" t="s">
        <v>868</v>
      </c>
      <c r="D3557" t="s">
        <v>11</v>
      </c>
      <c r="E3557">
        <v>27</v>
      </c>
      <c r="F3557" s="2">
        <f>DATE(2026,IF(Tabla1[[#This Row],[Mes de Fecha]]="Septiembre",9,10),Tabla1[[#This Row],[Día de Fecha]])</f>
        <v>46292</v>
      </c>
      <c r="G3557">
        <v>1005706861</v>
      </c>
      <c r="H3557" t="s">
        <v>433</v>
      </c>
      <c r="I3557">
        <v>55</v>
      </c>
      <c r="J3557">
        <v>0</v>
      </c>
      <c r="K3557" s="1">
        <v>3140382</v>
      </c>
    </row>
    <row r="3558" spans="1:11" x14ac:dyDescent="0.25">
      <c r="A3558" t="s">
        <v>326</v>
      </c>
      <c r="B3558" t="s">
        <v>508</v>
      </c>
      <c r="C3558" t="s">
        <v>868</v>
      </c>
      <c r="D3558" t="s">
        <v>11</v>
      </c>
      <c r="E3558">
        <v>27</v>
      </c>
      <c r="F3558" s="2">
        <f>DATE(2026,IF(Tabla1[[#This Row],[Mes de Fecha]]="Septiembre",9,10),Tabla1[[#This Row],[Día de Fecha]])</f>
        <v>46292</v>
      </c>
      <c r="G3558">
        <v>1005707524</v>
      </c>
      <c r="H3558" t="s">
        <v>392</v>
      </c>
      <c r="I3558">
        <v>-1</v>
      </c>
      <c r="J3558">
        <v>0</v>
      </c>
      <c r="K3558" s="1">
        <v>-55412</v>
      </c>
    </row>
    <row r="3559" spans="1:11" x14ac:dyDescent="0.25">
      <c r="A3559" t="s">
        <v>326</v>
      </c>
      <c r="B3559" t="s">
        <v>508</v>
      </c>
      <c r="C3559" t="s">
        <v>868</v>
      </c>
      <c r="D3559" t="s">
        <v>11</v>
      </c>
      <c r="E3559">
        <v>27</v>
      </c>
      <c r="F3559" s="2">
        <f>DATE(2026,IF(Tabla1[[#This Row],[Mes de Fecha]]="Septiembre",9,10),Tabla1[[#This Row],[Día de Fecha]])</f>
        <v>46292</v>
      </c>
      <c r="G3559">
        <v>1005815270</v>
      </c>
      <c r="H3559" t="s">
        <v>509</v>
      </c>
      <c r="I3559">
        <v>109</v>
      </c>
      <c r="J3559">
        <v>0</v>
      </c>
      <c r="K3559" s="1">
        <v>6116937</v>
      </c>
    </row>
    <row r="3560" spans="1:11" x14ac:dyDescent="0.25">
      <c r="A3560" t="s">
        <v>326</v>
      </c>
      <c r="B3560" t="s">
        <v>508</v>
      </c>
      <c r="C3560" t="s">
        <v>868</v>
      </c>
      <c r="D3560" t="s">
        <v>11</v>
      </c>
      <c r="E3560">
        <v>27</v>
      </c>
      <c r="F3560" s="2">
        <f>DATE(2026,IF(Tabla1[[#This Row],[Mes de Fecha]]="Septiembre",9,10),Tabla1[[#This Row],[Día de Fecha]])</f>
        <v>46292</v>
      </c>
      <c r="G3560">
        <v>1007132542</v>
      </c>
      <c r="H3560" t="s">
        <v>386</v>
      </c>
      <c r="I3560">
        <v>316</v>
      </c>
      <c r="J3560">
        <v>0</v>
      </c>
      <c r="K3560" s="1">
        <v>16468711</v>
      </c>
    </row>
    <row r="3561" spans="1:11" x14ac:dyDescent="0.25">
      <c r="A3561" t="s">
        <v>326</v>
      </c>
      <c r="B3561" t="s">
        <v>508</v>
      </c>
      <c r="C3561" t="s">
        <v>868</v>
      </c>
      <c r="D3561" t="s">
        <v>11</v>
      </c>
      <c r="E3561">
        <v>27</v>
      </c>
      <c r="F3561" s="2">
        <f>DATE(2026,IF(Tabla1[[#This Row],[Mes de Fecha]]="Septiembre",9,10),Tabla1[[#This Row],[Día de Fecha]])</f>
        <v>46292</v>
      </c>
      <c r="G3561">
        <v>1010088636</v>
      </c>
      <c r="H3561" t="s">
        <v>385</v>
      </c>
      <c r="I3561">
        <v>231</v>
      </c>
      <c r="J3561">
        <v>0</v>
      </c>
      <c r="K3561" s="1">
        <v>12063079</v>
      </c>
    </row>
    <row r="3562" spans="1:11" x14ac:dyDescent="0.25">
      <c r="A3562" t="s">
        <v>326</v>
      </c>
      <c r="B3562" t="s">
        <v>508</v>
      </c>
      <c r="C3562" t="s">
        <v>868</v>
      </c>
      <c r="D3562" t="s">
        <v>11</v>
      </c>
      <c r="E3562">
        <v>27</v>
      </c>
      <c r="F3562" s="2">
        <f>DATE(2026,IF(Tabla1[[#This Row],[Mes de Fecha]]="Septiembre",9,10),Tabla1[[#This Row],[Día de Fecha]])</f>
        <v>46292</v>
      </c>
      <c r="G3562">
        <v>1113689444</v>
      </c>
      <c r="H3562" t="s">
        <v>378</v>
      </c>
      <c r="I3562">
        <v>254</v>
      </c>
      <c r="J3562">
        <v>0</v>
      </c>
      <c r="K3562" s="1">
        <v>12951410</v>
      </c>
    </row>
    <row r="3563" spans="1:11" x14ac:dyDescent="0.25">
      <c r="A3563" t="s">
        <v>326</v>
      </c>
      <c r="B3563" t="s">
        <v>508</v>
      </c>
      <c r="C3563" t="s">
        <v>868</v>
      </c>
      <c r="D3563" t="s">
        <v>11</v>
      </c>
      <c r="E3563">
        <v>27</v>
      </c>
      <c r="F3563" s="2">
        <f>DATE(2026,IF(Tabla1[[#This Row],[Mes de Fecha]]="Septiembre",9,10),Tabla1[[#This Row],[Día de Fecha]])</f>
        <v>46292</v>
      </c>
      <c r="G3563">
        <v>1130593915</v>
      </c>
      <c r="H3563" t="s">
        <v>510</v>
      </c>
      <c r="I3563">
        <v>71</v>
      </c>
      <c r="J3563">
        <v>0</v>
      </c>
      <c r="K3563" s="1">
        <v>4185927</v>
      </c>
    </row>
    <row r="3564" spans="1:11" x14ac:dyDescent="0.25">
      <c r="A3564" t="s">
        <v>326</v>
      </c>
      <c r="B3564" t="s">
        <v>508</v>
      </c>
      <c r="C3564" t="s">
        <v>868</v>
      </c>
      <c r="D3564" t="s">
        <v>11</v>
      </c>
      <c r="E3564">
        <v>27</v>
      </c>
      <c r="F3564" s="2">
        <f>DATE(2026,IF(Tabla1[[#This Row],[Mes de Fecha]]="Septiembre",9,10),Tabla1[[#This Row],[Día de Fecha]])</f>
        <v>46292</v>
      </c>
      <c r="G3564">
        <v>1143413580</v>
      </c>
      <c r="H3564" t="s">
        <v>382</v>
      </c>
      <c r="I3564">
        <v>-1</v>
      </c>
      <c r="J3564">
        <v>0</v>
      </c>
      <c r="K3564" s="1">
        <v>-54580</v>
      </c>
    </row>
    <row r="3565" spans="1:11" x14ac:dyDescent="0.25">
      <c r="A3565" t="s">
        <v>326</v>
      </c>
      <c r="B3565" t="s">
        <v>508</v>
      </c>
      <c r="C3565" t="s">
        <v>868</v>
      </c>
      <c r="D3565" t="s">
        <v>11</v>
      </c>
      <c r="E3565">
        <v>27</v>
      </c>
      <c r="F3565" s="2">
        <f>DATE(2026,IF(Tabla1[[#This Row],[Mes de Fecha]]="Septiembre",9,10),Tabla1[[#This Row],[Día de Fecha]])</f>
        <v>46292</v>
      </c>
      <c r="G3565">
        <v>1143851967</v>
      </c>
      <c r="H3565" t="s">
        <v>359</v>
      </c>
      <c r="I3565">
        <v>276</v>
      </c>
      <c r="J3565">
        <v>0</v>
      </c>
      <c r="K3565" s="1">
        <v>14671985</v>
      </c>
    </row>
    <row r="3566" spans="1:11" x14ac:dyDescent="0.25">
      <c r="A3566" t="s">
        <v>326</v>
      </c>
      <c r="B3566" t="s">
        <v>508</v>
      </c>
      <c r="C3566" t="s">
        <v>868</v>
      </c>
      <c r="D3566" t="s">
        <v>11</v>
      </c>
      <c r="E3566">
        <v>27</v>
      </c>
      <c r="F3566" s="2">
        <f>DATE(2026,IF(Tabla1[[#This Row],[Mes de Fecha]]="Septiembre",9,10),Tabla1[[#This Row],[Día de Fecha]])</f>
        <v>46292</v>
      </c>
      <c r="G3566">
        <v>1143872360</v>
      </c>
      <c r="H3566" t="s">
        <v>358</v>
      </c>
      <c r="I3566">
        <v>-1</v>
      </c>
      <c r="J3566">
        <v>0</v>
      </c>
      <c r="K3566" s="1">
        <v>-37773</v>
      </c>
    </row>
    <row r="3567" spans="1:11" x14ac:dyDescent="0.25">
      <c r="A3567" t="s">
        <v>326</v>
      </c>
      <c r="B3567" t="s">
        <v>508</v>
      </c>
      <c r="C3567" t="s">
        <v>868</v>
      </c>
      <c r="D3567" t="s">
        <v>11</v>
      </c>
      <c r="E3567">
        <v>27</v>
      </c>
      <c r="F3567" s="2">
        <f>DATE(2026,IF(Tabla1[[#This Row],[Mes de Fecha]]="Septiembre",9,10),Tabla1[[#This Row],[Día de Fecha]])</f>
        <v>46292</v>
      </c>
      <c r="G3567">
        <v>1144212178</v>
      </c>
      <c r="H3567" t="s">
        <v>336</v>
      </c>
      <c r="I3567">
        <v>-2</v>
      </c>
      <c r="J3567">
        <v>0</v>
      </c>
      <c r="K3567" s="1">
        <v>-138487</v>
      </c>
    </row>
    <row r="3568" spans="1:11" x14ac:dyDescent="0.25">
      <c r="A3568" t="s">
        <v>326</v>
      </c>
      <c r="B3568" t="s">
        <v>508</v>
      </c>
      <c r="C3568" t="s">
        <v>868</v>
      </c>
      <c r="D3568" t="s">
        <v>11</v>
      </c>
      <c r="E3568">
        <v>28</v>
      </c>
      <c r="F3568" s="2">
        <f>DATE(2026,IF(Tabla1[[#This Row],[Mes de Fecha]]="Septiembre",9,10),Tabla1[[#This Row],[Día de Fecha]])</f>
        <v>46293</v>
      </c>
      <c r="I3568">
        <v>0</v>
      </c>
      <c r="J3568" s="1">
        <v>29733464</v>
      </c>
      <c r="K3568">
        <v>0</v>
      </c>
    </row>
    <row r="3569" spans="1:11" x14ac:dyDescent="0.25">
      <c r="A3569" t="s">
        <v>326</v>
      </c>
      <c r="B3569" t="s">
        <v>508</v>
      </c>
      <c r="C3569" t="s">
        <v>868</v>
      </c>
      <c r="D3569" t="s">
        <v>11</v>
      </c>
      <c r="E3569">
        <v>28</v>
      </c>
      <c r="F3569" s="2">
        <f>DATE(2026,IF(Tabla1[[#This Row],[Mes de Fecha]]="Septiembre",9,10),Tabla1[[#This Row],[Día de Fecha]])</f>
        <v>46293</v>
      </c>
      <c r="G3569">
        <v>6469923</v>
      </c>
      <c r="H3569" t="s">
        <v>340</v>
      </c>
      <c r="I3569">
        <v>-1</v>
      </c>
      <c r="J3569">
        <v>0</v>
      </c>
      <c r="K3569" s="1">
        <v>-117605</v>
      </c>
    </row>
    <row r="3570" spans="1:11" x14ac:dyDescent="0.25">
      <c r="A3570" t="s">
        <v>326</v>
      </c>
      <c r="B3570" t="s">
        <v>508</v>
      </c>
      <c r="C3570" t="s">
        <v>868</v>
      </c>
      <c r="D3570" t="s">
        <v>11</v>
      </c>
      <c r="E3570">
        <v>28</v>
      </c>
      <c r="F3570" s="2">
        <f>DATE(2026,IF(Tabla1[[#This Row],[Mes de Fecha]]="Septiembre",9,10),Tabla1[[#This Row],[Día de Fecha]])</f>
        <v>46293</v>
      </c>
      <c r="G3570">
        <v>1001132922</v>
      </c>
      <c r="H3570" t="s">
        <v>357</v>
      </c>
      <c r="I3570">
        <v>22</v>
      </c>
      <c r="J3570">
        <v>0</v>
      </c>
      <c r="K3570" s="1">
        <v>805631</v>
      </c>
    </row>
    <row r="3571" spans="1:11" x14ac:dyDescent="0.25">
      <c r="A3571" t="s">
        <v>326</v>
      </c>
      <c r="B3571" t="s">
        <v>508</v>
      </c>
      <c r="C3571" t="s">
        <v>868</v>
      </c>
      <c r="D3571" t="s">
        <v>11</v>
      </c>
      <c r="E3571">
        <v>28</v>
      </c>
      <c r="F3571" s="2">
        <f>DATE(2026,IF(Tabla1[[#This Row],[Mes de Fecha]]="Septiembre",9,10),Tabla1[[#This Row],[Día de Fecha]])</f>
        <v>46293</v>
      </c>
      <c r="G3571">
        <v>1005706861</v>
      </c>
      <c r="H3571" t="s">
        <v>433</v>
      </c>
      <c r="I3571">
        <v>23</v>
      </c>
      <c r="J3571">
        <v>0</v>
      </c>
      <c r="K3571" s="1">
        <v>895800</v>
      </c>
    </row>
    <row r="3572" spans="1:11" x14ac:dyDescent="0.25">
      <c r="A3572" t="s">
        <v>326</v>
      </c>
      <c r="B3572" t="s">
        <v>508</v>
      </c>
      <c r="C3572" t="s">
        <v>868</v>
      </c>
      <c r="D3572" t="s">
        <v>11</v>
      </c>
      <c r="E3572">
        <v>28</v>
      </c>
      <c r="F3572" s="2">
        <f>DATE(2026,IF(Tabla1[[#This Row],[Mes de Fecha]]="Septiembre",9,10),Tabla1[[#This Row],[Día de Fecha]])</f>
        <v>46293</v>
      </c>
      <c r="G3572">
        <v>1005815270</v>
      </c>
      <c r="H3572" t="s">
        <v>509</v>
      </c>
      <c r="I3572">
        <v>52</v>
      </c>
      <c r="J3572">
        <v>0</v>
      </c>
      <c r="K3572" s="1">
        <v>2810841</v>
      </c>
    </row>
    <row r="3573" spans="1:11" x14ac:dyDescent="0.25">
      <c r="A3573" t="s">
        <v>326</v>
      </c>
      <c r="B3573" t="s">
        <v>508</v>
      </c>
      <c r="C3573" t="s">
        <v>868</v>
      </c>
      <c r="D3573" t="s">
        <v>11</v>
      </c>
      <c r="E3573">
        <v>28</v>
      </c>
      <c r="F3573" s="2">
        <f>DATE(2026,IF(Tabla1[[#This Row],[Mes de Fecha]]="Septiembre",9,10),Tabla1[[#This Row],[Día de Fecha]])</f>
        <v>46293</v>
      </c>
      <c r="G3573">
        <v>1006073270</v>
      </c>
      <c r="H3573" t="s">
        <v>463</v>
      </c>
      <c r="I3573">
        <v>-1</v>
      </c>
      <c r="J3573">
        <v>0</v>
      </c>
      <c r="K3573" s="1">
        <v>-67185</v>
      </c>
    </row>
    <row r="3574" spans="1:11" x14ac:dyDescent="0.25">
      <c r="A3574" t="s">
        <v>326</v>
      </c>
      <c r="B3574" t="s">
        <v>508</v>
      </c>
      <c r="C3574" t="s">
        <v>868</v>
      </c>
      <c r="D3574" t="s">
        <v>11</v>
      </c>
      <c r="E3574">
        <v>28</v>
      </c>
      <c r="F3574" s="2">
        <f>DATE(2026,IF(Tabla1[[#This Row],[Mes de Fecha]]="Septiembre",9,10),Tabla1[[#This Row],[Día de Fecha]])</f>
        <v>46293</v>
      </c>
      <c r="G3574">
        <v>1007132542</v>
      </c>
      <c r="H3574" t="s">
        <v>386</v>
      </c>
      <c r="I3574">
        <v>103</v>
      </c>
      <c r="J3574">
        <v>0</v>
      </c>
      <c r="K3574" s="1">
        <v>5596101</v>
      </c>
    </row>
    <row r="3575" spans="1:11" x14ac:dyDescent="0.25">
      <c r="A3575" t="s">
        <v>326</v>
      </c>
      <c r="B3575" t="s">
        <v>508</v>
      </c>
      <c r="C3575" t="s">
        <v>868</v>
      </c>
      <c r="D3575" t="s">
        <v>11</v>
      </c>
      <c r="E3575">
        <v>28</v>
      </c>
      <c r="F3575" s="2">
        <f>DATE(2026,IF(Tabla1[[#This Row],[Mes de Fecha]]="Septiembre",9,10),Tabla1[[#This Row],[Día de Fecha]])</f>
        <v>46293</v>
      </c>
      <c r="G3575">
        <v>1010088636</v>
      </c>
      <c r="H3575" t="s">
        <v>385</v>
      </c>
      <c r="I3575">
        <v>71</v>
      </c>
      <c r="J3575">
        <v>0</v>
      </c>
      <c r="K3575" s="1">
        <v>4383363</v>
      </c>
    </row>
    <row r="3576" spans="1:11" x14ac:dyDescent="0.25">
      <c r="A3576" t="s">
        <v>326</v>
      </c>
      <c r="B3576" t="s">
        <v>508</v>
      </c>
      <c r="C3576" t="s">
        <v>868</v>
      </c>
      <c r="D3576" t="s">
        <v>11</v>
      </c>
      <c r="E3576">
        <v>28</v>
      </c>
      <c r="F3576" s="2">
        <f>DATE(2026,IF(Tabla1[[#This Row],[Mes de Fecha]]="Septiembre",9,10),Tabla1[[#This Row],[Día de Fecha]])</f>
        <v>46293</v>
      </c>
      <c r="G3576">
        <v>1109115019</v>
      </c>
      <c r="H3576" t="s">
        <v>401</v>
      </c>
      <c r="I3576">
        <v>-1</v>
      </c>
      <c r="J3576">
        <v>0</v>
      </c>
      <c r="K3576" s="1">
        <v>-50378</v>
      </c>
    </row>
    <row r="3577" spans="1:11" x14ac:dyDescent="0.25">
      <c r="A3577" t="s">
        <v>326</v>
      </c>
      <c r="B3577" t="s">
        <v>508</v>
      </c>
      <c r="C3577" t="s">
        <v>868</v>
      </c>
      <c r="D3577" t="s">
        <v>11</v>
      </c>
      <c r="E3577">
        <v>28</v>
      </c>
      <c r="F3577" s="2">
        <f>DATE(2026,IF(Tabla1[[#This Row],[Mes de Fecha]]="Septiembre",9,10),Tabla1[[#This Row],[Día de Fecha]])</f>
        <v>46293</v>
      </c>
      <c r="G3577">
        <v>1113689444</v>
      </c>
      <c r="H3577" t="s">
        <v>378</v>
      </c>
      <c r="I3577">
        <v>100</v>
      </c>
      <c r="J3577">
        <v>0</v>
      </c>
      <c r="K3577" s="1">
        <v>5041295</v>
      </c>
    </row>
    <row r="3578" spans="1:11" x14ac:dyDescent="0.25">
      <c r="A3578" t="s">
        <v>326</v>
      </c>
      <c r="B3578" t="s">
        <v>508</v>
      </c>
      <c r="C3578" t="s">
        <v>868</v>
      </c>
      <c r="D3578" t="s">
        <v>11</v>
      </c>
      <c r="E3578">
        <v>28</v>
      </c>
      <c r="F3578" s="2">
        <f>DATE(2026,IF(Tabla1[[#This Row],[Mes de Fecha]]="Septiembre",9,10),Tabla1[[#This Row],[Día de Fecha]])</f>
        <v>46293</v>
      </c>
      <c r="G3578">
        <v>1130593915</v>
      </c>
      <c r="H3578" t="s">
        <v>510</v>
      </c>
      <c r="I3578">
        <v>24</v>
      </c>
      <c r="J3578">
        <v>0</v>
      </c>
      <c r="K3578" s="1">
        <v>956891</v>
      </c>
    </row>
    <row r="3579" spans="1:11" x14ac:dyDescent="0.25">
      <c r="A3579" t="s">
        <v>326</v>
      </c>
      <c r="B3579" t="s">
        <v>508</v>
      </c>
      <c r="C3579" t="s">
        <v>868</v>
      </c>
      <c r="D3579" t="s">
        <v>11</v>
      </c>
      <c r="E3579">
        <v>28</v>
      </c>
      <c r="F3579" s="2">
        <f>DATE(2026,IF(Tabla1[[#This Row],[Mes de Fecha]]="Septiembre",9,10),Tabla1[[#This Row],[Día de Fecha]])</f>
        <v>46293</v>
      </c>
      <c r="G3579">
        <v>1143413580</v>
      </c>
      <c r="H3579" t="s">
        <v>382</v>
      </c>
      <c r="I3579">
        <v>-4</v>
      </c>
      <c r="J3579">
        <v>0</v>
      </c>
      <c r="K3579" s="1">
        <v>-277143</v>
      </c>
    </row>
    <row r="3580" spans="1:11" x14ac:dyDescent="0.25">
      <c r="A3580" t="s">
        <v>326</v>
      </c>
      <c r="B3580" t="s">
        <v>508</v>
      </c>
      <c r="C3580" t="s">
        <v>868</v>
      </c>
      <c r="D3580" t="s">
        <v>11</v>
      </c>
      <c r="E3580">
        <v>28</v>
      </c>
      <c r="F3580" s="2">
        <f>DATE(2026,IF(Tabla1[[#This Row],[Mes de Fecha]]="Septiembre",9,10),Tabla1[[#This Row],[Día de Fecha]])</f>
        <v>46293</v>
      </c>
      <c r="G3580">
        <v>1143851967</v>
      </c>
      <c r="H3580" t="s">
        <v>359</v>
      </c>
      <c r="I3580">
        <v>122</v>
      </c>
      <c r="J3580">
        <v>0</v>
      </c>
      <c r="K3580" s="1">
        <v>6719084</v>
      </c>
    </row>
    <row r="3581" spans="1:11" x14ac:dyDescent="0.25">
      <c r="A3581" t="s">
        <v>326</v>
      </c>
      <c r="B3581" t="s">
        <v>508</v>
      </c>
      <c r="C3581" t="s">
        <v>868</v>
      </c>
      <c r="D3581" t="s">
        <v>11</v>
      </c>
      <c r="E3581">
        <v>28</v>
      </c>
      <c r="F3581" s="2">
        <f>DATE(2026,IF(Tabla1[[#This Row],[Mes de Fecha]]="Septiembre",9,10),Tabla1[[#This Row],[Día de Fecha]])</f>
        <v>46293</v>
      </c>
      <c r="G3581">
        <v>1144212178</v>
      </c>
      <c r="H3581" t="s">
        <v>336</v>
      </c>
      <c r="I3581">
        <v>-1</v>
      </c>
      <c r="J3581">
        <v>0</v>
      </c>
      <c r="K3581" s="1">
        <v>-75546</v>
      </c>
    </row>
    <row r="3582" spans="1:11" x14ac:dyDescent="0.25">
      <c r="A3582" t="s">
        <v>326</v>
      </c>
      <c r="B3582" t="s">
        <v>508</v>
      </c>
      <c r="C3582" t="s">
        <v>868</v>
      </c>
      <c r="D3582" t="s">
        <v>11</v>
      </c>
      <c r="E3582">
        <v>29</v>
      </c>
      <c r="F3582" s="2">
        <f>DATE(2026,IF(Tabla1[[#This Row],[Mes de Fecha]]="Septiembre",9,10),Tabla1[[#This Row],[Día de Fecha]])</f>
        <v>46294</v>
      </c>
      <c r="I3582">
        <v>0</v>
      </c>
      <c r="J3582" s="1">
        <v>31761161</v>
      </c>
      <c r="K3582">
        <v>0</v>
      </c>
    </row>
    <row r="3583" spans="1:11" x14ac:dyDescent="0.25">
      <c r="A3583" t="s">
        <v>326</v>
      </c>
      <c r="B3583" t="s">
        <v>508</v>
      </c>
      <c r="C3583" t="s">
        <v>868</v>
      </c>
      <c r="D3583" t="s">
        <v>11</v>
      </c>
      <c r="E3583">
        <v>29</v>
      </c>
      <c r="F3583" s="2">
        <f>DATE(2026,IF(Tabla1[[#This Row],[Mes de Fecha]]="Septiembre",9,10),Tabla1[[#This Row],[Día de Fecha]])</f>
        <v>46294</v>
      </c>
      <c r="G3583">
        <v>1001132922</v>
      </c>
      <c r="H3583" t="s">
        <v>357</v>
      </c>
      <c r="I3583">
        <v>32</v>
      </c>
      <c r="J3583">
        <v>0</v>
      </c>
      <c r="K3583" s="1">
        <v>1670757</v>
      </c>
    </row>
    <row r="3584" spans="1:11" x14ac:dyDescent="0.25">
      <c r="A3584" t="s">
        <v>326</v>
      </c>
      <c r="B3584" t="s">
        <v>508</v>
      </c>
      <c r="C3584" t="s">
        <v>868</v>
      </c>
      <c r="D3584" t="s">
        <v>11</v>
      </c>
      <c r="E3584">
        <v>29</v>
      </c>
      <c r="F3584" s="2">
        <f>DATE(2026,IF(Tabla1[[#This Row],[Mes de Fecha]]="Septiembre",9,10),Tabla1[[#This Row],[Día de Fecha]])</f>
        <v>46294</v>
      </c>
      <c r="G3584">
        <v>1005706861</v>
      </c>
      <c r="H3584" t="s">
        <v>433</v>
      </c>
      <c r="I3584">
        <v>26</v>
      </c>
      <c r="J3584">
        <v>0</v>
      </c>
      <c r="K3584" s="1">
        <v>779954</v>
      </c>
    </row>
    <row r="3585" spans="1:11" x14ac:dyDescent="0.25">
      <c r="A3585" t="s">
        <v>326</v>
      </c>
      <c r="B3585" t="s">
        <v>508</v>
      </c>
      <c r="C3585" t="s">
        <v>868</v>
      </c>
      <c r="D3585" t="s">
        <v>11</v>
      </c>
      <c r="E3585">
        <v>29</v>
      </c>
      <c r="F3585" s="2">
        <f>DATE(2026,IF(Tabla1[[#This Row],[Mes de Fecha]]="Septiembre",9,10),Tabla1[[#This Row],[Día de Fecha]])</f>
        <v>46294</v>
      </c>
      <c r="G3585">
        <v>1005815270</v>
      </c>
      <c r="H3585" t="s">
        <v>509</v>
      </c>
      <c r="I3585">
        <v>78</v>
      </c>
      <c r="J3585">
        <v>0</v>
      </c>
      <c r="K3585" s="1">
        <v>3322861</v>
      </c>
    </row>
    <row r="3586" spans="1:11" x14ac:dyDescent="0.25">
      <c r="A3586" t="s">
        <v>326</v>
      </c>
      <c r="B3586" t="s">
        <v>508</v>
      </c>
      <c r="C3586" t="s">
        <v>868</v>
      </c>
      <c r="D3586" t="s">
        <v>11</v>
      </c>
      <c r="E3586">
        <v>29</v>
      </c>
      <c r="F3586" s="2">
        <f>DATE(2026,IF(Tabla1[[#This Row],[Mes de Fecha]]="Septiembre",9,10),Tabla1[[#This Row],[Día de Fecha]])</f>
        <v>46294</v>
      </c>
      <c r="G3586">
        <v>1007132542</v>
      </c>
      <c r="H3586" t="s">
        <v>386</v>
      </c>
      <c r="I3586">
        <v>139</v>
      </c>
      <c r="J3586">
        <v>0</v>
      </c>
      <c r="K3586" s="1">
        <v>7669352</v>
      </c>
    </row>
    <row r="3587" spans="1:11" x14ac:dyDescent="0.25">
      <c r="A3587" t="s">
        <v>326</v>
      </c>
      <c r="B3587" t="s">
        <v>508</v>
      </c>
      <c r="C3587" t="s">
        <v>868</v>
      </c>
      <c r="D3587" t="s">
        <v>11</v>
      </c>
      <c r="E3587">
        <v>29</v>
      </c>
      <c r="F3587" s="2">
        <f>DATE(2026,IF(Tabla1[[#This Row],[Mes de Fecha]]="Septiembre",9,10),Tabla1[[#This Row],[Día de Fecha]])</f>
        <v>46294</v>
      </c>
      <c r="G3587">
        <v>1010088636</v>
      </c>
      <c r="H3587" t="s">
        <v>385</v>
      </c>
      <c r="I3587">
        <v>62</v>
      </c>
      <c r="J3587">
        <v>0</v>
      </c>
      <c r="K3587" s="1">
        <v>3291222</v>
      </c>
    </row>
    <row r="3588" spans="1:11" x14ac:dyDescent="0.25">
      <c r="A3588" t="s">
        <v>326</v>
      </c>
      <c r="B3588" t="s">
        <v>508</v>
      </c>
      <c r="C3588" t="s">
        <v>868</v>
      </c>
      <c r="D3588" t="s">
        <v>11</v>
      </c>
      <c r="E3588">
        <v>29</v>
      </c>
      <c r="F3588" s="2">
        <f>DATE(2026,IF(Tabla1[[#This Row],[Mes de Fecha]]="Septiembre",9,10),Tabla1[[#This Row],[Día de Fecha]])</f>
        <v>46294</v>
      </c>
      <c r="G3588">
        <v>1113689444</v>
      </c>
      <c r="H3588" t="s">
        <v>378</v>
      </c>
      <c r="I3588">
        <v>129</v>
      </c>
      <c r="J3588">
        <v>0</v>
      </c>
      <c r="K3588" s="1">
        <v>6649077</v>
      </c>
    </row>
    <row r="3589" spans="1:11" x14ac:dyDescent="0.25">
      <c r="A3589" t="s">
        <v>326</v>
      </c>
      <c r="B3589" t="s">
        <v>508</v>
      </c>
      <c r="C3589" t="s">
        <v>868</v>
      </c>
      <c r="D3589" t="s">
        <v>11</v>
      </c>
      <c r="E3589">
        <v>29</v>
      </c>
      <c r="F3589" s="2">
        <f>DATE(2026,IF(Tabla1[[#This Row],[Mes de Fecha]]="Septiembre",9,10),Tabla1[[#This Row],[Día de Fecha]])</f>
        <v>46294</v>
      </c>
      <c r="G3589">
        <v>1130593915</v>
      </c>
      <c r="H3589" t="s">
        <v>510</v>
      </c>
      <c r="I3589">
        <v>23</v>
      </c>
      <c r="J3589">
        <v>0</v>
      </c>
      <c r="K3589" s="1">
        <v>729663</v>
      </c>
    </row>
    <row r="3590" spans="1:11" x14ac:dyDescent="0.25">
      <c r="A3590" t="s">
        <v>326</v>
      </c>
      <c r="B3590" t="s">
        <v>508</v>
      </c>
      <c r="C3590" t="s">
        <v>868</v>
      </c>
      <c r="D3590" t="s">
        <v>11</v>
      </c>
      <c r="E3590">
        <v>29</v>
      </c>
      <c r="F3590" s="2">
        <f>DATE(2026,IF(Tabla1[[#This Row],[Mes de Fecha]]="Septiembre",9,10),Tabla1[[#This Row],[Día de Fecha]])</f>
        <v>46294</v>
      </c>
      <c r="G3590">
        <v>1143851967</v>
      </c>
      <c r="H3590" t="s">
        <v>359</v>
      </c>
      <c r="I3590">
        <v>95</v>
      </c>
      <c r="J3590">
        <v>0</v>
      </c>
      <c r="K3590" s="1">
        <v>5672064</v>
      </c>
    </row>
    <row r="3591" spans="1:11" x14ac:dyDescent="0.25">
      <c r="A3591" t="s">
        <v>326</v>
      </c>
      <c r="B3591" t="s">
        <v>508</v>
      </c>
      <c r="C3591" t="s">
        <v>868</v>
      </c>
      <c r="D3591" t="s">
        <v>11</v>
      </c>
      <c r="E3591">
        <v>30</v>
      </c>
      <c r="F3591" s="2">
        <f>DATE(2026,IF(Tabla1[[#This Row],[Mes de Fecha]]="Septiembre",9,10),Tabla1[[#This Row],[Día de Fecha]])</f>
        <v>46295</v>
      </c>
      <c r="I3591">
        <v>0</v>
      </c>
      <c r="J3591" s="1">
        <v>32809844</v>
      </c>
      <c r="K3591">
        <v>0</v>
      </c>
    </row>
    <row r="3592" spans="1:11" x14ac:dyDescent="0.25">
      <c r="A3592" t="s">
        <v>326</v>
      </c>
      <c r="B3592" t="s">
        <v>508</v>
      </c>
      <c r="C3592" t="s">
        <v>868</v>
      </c>
      <c r="D3592" t="s">
        <v>11</v>
      </c>
      <c r="E3592">
        <v>30</v>
      </c>
      <c r="F3592" s="2">
        <f>DATE(2026,IF(Tabla1[[#This Row],[Mes de Fecha]]="Septiembre",9,10),Tabla1[[#This Row],[Día de Fecha]])</f>
        <v>46295</v>
      </c>
      <c r="G3592">
        <v>1001132922</v>
      </c>
      <c r="H3592" t="s">
        <v>357</v>
      </c>
      <c r="I3592">
        <v>112</v>
      </c>
      <c r="J3592">
        <v>0</v>
      </c>
      <c r="K3592" s="1">
        <v>3262390</v>
      </c>
    </row>
    <row r="3593" spans="1:11" x14ac:dyDescent="0.25">
      <c r="A3593" t="s">
        <v>326</v>
      </c>
      <c r="B3593" t="s">
        <v>508</v>
      </c>
      <c r="C3593" t="s">
        <v>868</v>
      </c>
      <c r="D3593" t="s">
        <v>11</v>
      </c>
      <c r="E3593">
        <v>30</v>
      </c>
      <c r="F3593" s="2">
        <f>DATE(2026,IF(Tabla1[[#This Row],[Mes de Fecha]]="Septiembre",9,10),Tabla1[[#This Row],[Día de Fecha]])</f>
        <v>46295</v>
      </c>
      <c r="G3593">
        <v>1005706861</v>
      </c>
      <c r="H3593" t="s">
        <v>433</v>
      </c>
      <c r="I3593">
        <v>22</v>
      </c>
      <c r="J3593">
        <v>0</v>
      </c>
      <c r="K3593" s="1">
        <v>1003066</v>
      </c>
    </row>
    <row r="3594" spans="1:11" x14ac:dyDescent="0.25">
      <c r="A3594" t="s">
        <v>326</v>
      </c>
      <c r="B3594" t="s">
        <v>508</v>
      </c>
      <c r="C3594" t="s">
        <v>868</v>
      </c>
      <c r="D3594" t="s">
        <v>11</v>
      </c>
      <c r="E3594">
        <v>30</v>
      </c>
      <c r="F3594" s="2">
        <f>DATE(2026,IF(Tabla1[[#This Row],[Mes de Fecha]]="Septiembre",9,10),Tabla1[[#This Row],[Día de Fecha]])</f>
        <v>46295</v>
      </c>
      <c r="G3594">
        <v>1005815270</v>
      </c>
      <c r="H3594" t="s">
        <v>509</v>
      </c>
      <c r="I3594">
        <v>66</v>
      </c>
      <c r="J3594">
        <v>0</v>
      </c>
      <c r="K3594" s="1">
        <v>3614796</v>
      </c>
    </row>
    <row r="3595" spans="1:11" x14ac:dyDescent="0.25">
      <c r="A3595" t="s">
        <v>326</v>
      </c>
      <c r="B3595" t="s">
        <v>508</v>
      </c>
      <c r="C3595" t="s">
        <v>868</v>
      </c>
      <c r="D3595" t="s">
        <v>11</v>
      </c>
      <c r="E3595">
        <v>30</v>
      </c>
      <c r="F3595" s="2">
        <f>DATE(2026,IF(Tabla1[[#This Row],[Mes de Fecha]]="Septiembre",9,10),Tabla1[[#This Row],[Día de Fecha]])</f>
        <v>46295</v>
      </c>
      <c r="G3595">
        <v>1007132542</v>
      </c>
      <c r="H3595" t="s">
        <v>386</v>
      </c>
      <c r="I3595">
        <v>160</v>
      </c>
      <c r="J3595">
        <v>0</v>
      </c>
      <c r="K3595" s="1">
        <v>8337251</v>
      </c>
    </row>
    <row r="3596" spans="1:11" x14ac:dyDescent="0.25">
      <c r="A3596" t="s">
        <v>326</v>
      </c>
      <c r="B3596" t="s">
        <v>508</v>
      </c>
      <c r="C3596" t="s">
        <v>868</v>
      </c>
      <c r="D3596" t="s">
        <v>11</v>
      </c>
      <c r="E3596">
        <v>30</v>
      </c>
      <c r="F3596" s="2">
        <f>DATE(2026,IF(Tabla1[[#This Row],[Mes de Fecha]]="Septiembre",9,10),Tabla1[[#This Row],[Día de Fecha]])</f>
        <v>46295</v>
      </c>
      <c r="G3596">
        <v>1010088636</v>
      </c>
      <c r="H3596" t="s">
        <v>385</v>
      </c>
      <c r="I3596">
        <v>21</v>
      </c>
      <c r="J3596">
        <v>0</v>
      </c>
      <c r="K3596" s="1">
        <v>906599</v>
      </c>
    </row>
    <row r="3597" spans="1:11" x14ac:dyDescent="0.25">
      <c r="A3597" t="s">
        <v>326</v>
      </c>
      <c r="B3597" t="s">
        <v>508</v>
      </c>
      <c r="C3597" t="s">
        <v>868</v>
      </c>
      <c r="D3597" t="s">
        <v>11</v>
      </c>
      <c r="E3597">
        <v>30</v>
      </c>
      <c r="F3597" s="2">
        <f>DATE(2026,IF(Tabla1[[#This Row],[Mes de Fecha]]="Septiembre",9,10),Tabla1[[#This Row],[Día de Fecha]])</f>
        <v>46295</v>
      </c>
      <c r="G3597">
        <v>1113689444</v>
      </c>
      <c r="H3597" t="s">
        <v>378</v>
      </c>
      <c r="I3597">
        <v>134</v>
      </c>
      <c r="J3597">
        <v>0</v>
      </c>
      <c r="K3597" s="1">
        <v>7214122</v>
      </c>
    </row>
    <row r="3598" spans="1:11" x14ac:dyDescent="0.25">
      <c r="A3598" t="s">
        <v>326</v>
      </c>
      <c r="B3598" t="s">
        <v>508</v>
      </c>
      <c r="C3598" t="s">
        <v>868</v>
      </c>
      <c r="D3598" t="s">
        <v>11</v>
      </c>
      <c r="E3598">
        <v>30</v>
      </c>
      <c r="F3598" s="2">
        <f>DATE(2026,IF(Tabla1[[#This Row],[Mes de Fecha]]="Septiembre",9,10),Tabla1[[#This Row],[Día de Fecha]])</f>
        <v>46295</v>
      </c>
      <c r="G3598">
        <v>1130593915</v>
      </c>
      <c r="H3598" t="s">
        <v>510</v>
      </c>
      <c r="I3598">
        <v>27</v>
      </c>
      <c r="J3598">
        <v>0</v>
      </c>
      <c r="K3598" s="1">
        <v>1090967</v>
      </c>
    </row>
    <row r="3599" spans="1:11" x14ac:dyDescent="0.25">
      <c r="A3599" t="s">
        <v>326</v>
      </c>
      <c r="B3599" t="s">
        <v>508</v>
      </c>
      <c r="C3599" t="s">
        <v>868</v>
      </c>
      <c r="D3599" t="s">
        <v>11</v>
      </c>
      <c r="E3599">
        <v>30</v>
      </c>
      <c r="F3599" s="2">
        <f>DATE(2026,IF(Tabla1[[#This Row],[Mes de Fecha]]="Septiembre",9,10),Tabla1[[#This Row],[Día de Fecha]])</f>
        <v>46295</v>
      </c>
      <c r="G3599">
        <v>1143851967</v>
      </c>
      <c r="H3599" t="s">
        <v>359</v>
      </c>
      <c r="I3599">
        <v>130</v>
      </c>
      <c r="J3599">
        <v>0</v>
      </c>
      <c r="K3599" s="1">
        <v>6271476</v>
      </c>
    </row>
    <row r="3600" spans="1:11" x14ac:dyDescent="0.25">
      <c r="A3600" t="s">
        <v>326</v>
      </c>
      <c r="B3600" t="s">
        <v>508</v>
      </c>
      <c r="C3600" t="s">
        <v>868</v>
      </c>
      <c r="D3600" t="s">
        <v>11</v>
      </c>
      <c r="E3600">
        <v>30</v>
      </c>
      <c r="F3600" s="2">
        <f>DATE(2026,IF(Tabla1[[#This Row],[Mes de Fecha]]="Septiembre",9,10),Tabla1[[#This Row],[Día de Fecha]])</f>
        <v>46295</v>
      </c>
      <c r="G3600">
        <v>1144158340</v>
      </c>
      <c r="H3600" t="s">
        <v>375</v>
      </c>
      <c r="I3600">
        <v>-1</v>
      </c>
      <c r="J3600">
        <v>0</v>
      </c>
      <c r="K3600" s="1">
        <v>-79790</v>
      </c>
    </row>
    <row r="3601" spans="1:11" x14ac:dyDescent="0.25">
      <c r="A3601" t="s">
        <v>326</v>
      </c>
      <c r="B3601" t="s">
        <v>508</v>
      </c>
      <c r="C3601" t="s">
        <v>868</v>
      </c>
      <c r="D3601" t="s">
        <v>14</v>
      </c>
      <c r="E3601">
        <v>1</v>
      </c>
      <c r="F3601" s="2">
        <f>DATE(2026,IF(Tabla1[[#This Row],[Mes de Fecha]]="Septiembre",9,10),Tabla1[[#This Row],[Día de Fecha]])</f>
        <v>46296</v>
      </c>
      <c r="I3601">
        <v>0</v>
      </c>
      <c r="J3601" s="1">
        <v>31961221</v>
      </c>
      <c r="K3601">
        <v>0</v>
      </c>
    </row>
    <row r="3602" spans="1:11" x14ac:dyDescent="0.25">
      <c r="A3602" t="s">
        <v>326</v>
      </c>
      <c r="B3602" t="s">
        <v>508</v>
      </c>
      <c r="C3602" t="s">
        <v>868</v>
      </c>
      <c r="D3602" t="s">
        <v>14</v>
      </c>
      <c r="E3602">
        <v>1</v>
      </c>
      <c r="F3602" s="2">
        <f>DATE(2026,IF(Tabla1[[#This Row],[Mes de Fecha]]="Septiembre",9,10),Tabla1[[#This Row],[Día de Fecha]])</f>
        <v>46296</v>
      </c>
      <c r="G3602">
        <v>1001132922</v>
      </c>
      <c r="H3602" t="s">
        <v>357</v>
      </c>
      <c r="I3602">
        <v>56</v>
      </c>
      <c r="J3602">
        <v>0</v>
      </c>
      <c r="K3602" s="1">
        <v>2015503</v>
      </c>
    </row>
    <row r="3603" spans="1:11" x14ac:dyDescent="0.25">
      <c r="A3603" t="s">
        <v>326</v>
      </c>
      <c r="B3603" t="s">
        <v>508</v>
      </c>
      <c r="C3603" t="s">
        <v>868</v>
      </c>
      <c r="D3603" t="s">
        <v>14</v>
      </c>
      <c r="E3603">
        <v>1</v>
      </c>
      <c r="F3603" s="2">
        <f>DATE(2026,IF(Tabla1[[#This Row],[Mes de Fecha]]="Septiembre",9,10),Tabla1[[#This Row],[Día de Fecha]])</f>
        <v>46296</v>
      </c>
      <c r="G3603">
        <v>1005706861</v>
      </c>
      <c r="H3603" t="s">
        <v>433</v>
      </c>
      <c r="I3603">
        <v>29</v>
      </c>
      <c r="J3603">
        <v>0</v>
      </c>
      <c r="K3603" s="1">
        <v>1275589</v>
      </c>
    </row>
    <row r="3604" spans="1:11" x14ac:dyDescent="0.25">
      <c r="A3604" t="s">
        <v>326</v>
      </c>
      <c r="B3604" t="s">
        <v>508</v>
      </c>
      <c r="C3604" t="s">
        <v>868</v>
      </c>
      <c r="D3604" t="s">
        <v>14</v>
      </c>
      <c r="E3604">
        <v>1</v>
      </c>
      <c r="F3604" s="2">
        <f>DATE(2026,IF(Tabla1[[#This Row],[Mes de Fecha]]="Septiembre",9,10),Tabla1[[#This Row],[Día de Fecha]])</f>
        <v>46296</v>
      </c>
      <c r="G3604">
        <v>1005815270</v>
      </c>
      <c r="H3604" t="s">
        <v>509</v>
      </c>
      <c r="I3604">
        <v>54</v>
      </c>
      <c r="J3604">
        <v>0</v>
      </c>
      <c r="K3604" s="1">
        <v>2955300</v>
      </c>
    </row>
    <row r="3605" spans="1:11" x14ac:dyDescent="0.25">
      <c r="A3605" t="s">
        <v>326</v>
      </c>
      <c r="B3605" t="s">
        <v>508</v>
      </c>
      <c r="C3605" t="s">
        <v>868</v>
      </c>
      <c r="D3605" t="s">
        <v>14</v>
      </c>
      <c r="E3605">
        <v>1</v>
      </c>
      <c r="F3605" s="2">
        <f>DATE(2026,IF(Tabla1[[#This Row],[Mes de Fecha]]="Septiembre",9,10),Tabla1[[#This Row],[Día de Fecha]])</f>
        <v>46296</v>
      </c>
      <c r="G3605">
        <v>1007132542</v>
      </c>
      <c r="H3605" t="s">
        <v>386</v>
      </c>
      <c r="I3605">
        <v>149</v>
      </c>
      <c r="J3605">
        <v>0</v>
      </c>
      <c r="K3605" s="1">
        <v>7726270</v>
      </c>
    </row>
    <row r="3606" spans="1:11" x14ac:dyDescent="0.25">
      <c r="A3606" t="s">
        <v>326</v>
      </c>
      <c r="B3606" t="s">
        <v>508</v>
      </c>
      <c r="C3606" t="s">
        <v>868</v>
      </c>
      <c r="D3606" t="s">
        <v>14</v>
      </c>
      <c r="E3606">
        <v>1</v>
      </c>
      <c r="F3606" s="2">
        <f>DATE(2026,IF(Tabla1[[#This Row],[Mes de Fecha]]="Septiembre",9,10),Tabla1[[#This Row],[Día de Fecha]])</f>
        <v>46296</v>
      </c>
      <c r="G3606">
        <v>1010088636</v>
      </c>
      <c r="H3606" t="s">
        <v>385</v>
      </c>
      <c r="I3606">
        <v>87</v>
      </c>
      <c r="J3606">
        <v>0</v>
      </c>
      <c r="K3606" s="1">
        <v>4571602</v>
      </c>
    </row>
    <row r="3607" spans="1:11" x14ac:dyDescent="0.25">
      <c r="A3607" t="s">
        <v>326</v>
      </c>
      <c r="B3607" t="s">
        <v>508</v>
      </c>
      <c r="C3607" t="s">
        <v>868</v>
      </c>
      <c r="D3607" t="s">
        <v>14</v>
      </c>
      <c r="E3607">
        <v>1</v>
      </c>
      <c r="F3607" s="2">
        <f>DATE(2026,IF(Tabla1[[#This Row],[Mes de Fecha]]="Septiembre",9,10),Tabla1[[#This Row],[Día de Fecha]])</f>
        <v>46296</v>
      </c>
      <c r="G3607">
        <v>1113689444</v>
      </c>
      <c r="H3607" t="s">
        <v>378</v>
      </c>
      <c r="I3607">
        <v>162</v>
      </c>
      <c r="J3607">
        <v>0</v>
      </c>
      <c r="K3607" s="1">
        <v>8144836</v>
      </c>
    </row>
    <row r="3608" spans="1:11" x14ac:dyDescent="0.25">
      <c r="A3608" t="s">
        <v>326</v>
      </c>
      <c r="B3608" t="s">
        <v>508</v>
      </c>
      <c r="C3608" t="s">
        <v>868</v>
      </c>
      <c r="D3608" t="s">
        <v>14</v>
      </c>
      <c r="E3608">
        <v>1</v>
      </c>
      <c r="F3608" s="2">
        <f>DATE(2026,IF(Tabla1[[#This Row],[Mes de Fecha]]="Septiembre",9,10),Tabla1[[#This Row],[Día de Fecha]])</f>
        <v>46296</v>
      </c>
      <c r="G3608">
        <v>1130593915</v>
      </c>
      <c r="H3608" t="s">
        <v>510</v>
      </c>
      <c r="I3608">
        <v>29</v>
      </c>
      <c r="J3608">
        <v>0</v>
      </c>
      <c r="K3608" s="1">
        <v>821808</v>
      </c>
    </row>
    <row r="3609" spans="1:11" x14ac:dyDescent="0.25">
      <c r="A3609" t="s">
        <v>326</v>
      </c>
      <c r="B3609" t="s">
        <v>508</v>
      </c>
      <c r="C3609" t="s">
        <v>868</v>
      </c>
      <c r="D3609" t="s">
        <v>14</v>
      </c>
      <c r="E3609">
        <v>1</v>
      </c>
      <c r="F3609" s="2">
        <f>DATE(2026,IF(Tabla1[[#This Row],[Mes de Fecha]]="Septiembre",9,10),Tabla1[[#This Row],[Día de Fecha]])</f>
        <v>46296</v>
      </c>
      <c r="G3609">
        <v>1143851967</v>
      </c>
      <c r="H3609" t="s">
        <v>359</v>
      </c>
      <c r="I3609">
        <v>91</v>
      </c>
      <c r="J3609">
        <v>0</v>
      </c>
      <c r="K3609" s="1">
        <v>4724628</v>
      </c>
    </row>
    <row r="3610" spans="1:11" x14ac:dyDescent="0.25">
      <c r="A3610" t="s">
        <v>326</v>
      </c>
      <c r="B3610" t="s">
        <v>508</v>
      </c>
      <c r="C3610" t="s">
        <v>868</v>
      </c>
      <c r="D3610" t="s">
        <v>14</v>
      </c>
      <c r="E3610">
        <v>2</v>
      </c>
      <c r="F3610" s="2">
        <f>DATE(2026,IF(Tabla1[[#This Row],[Mes de Fecha]]="Septiembre",9,10),Tabla1[[#This Row],[Día de Fecha]])</f>
        <v>46297</v>
      </c>
      <c r="I3610">
        <v>0</v>
      </c>
      <c r="J3610" s="1">
        <v>30363765</v>
      </c>
      <c r="K3610">
        <v>0</v>
      </c>
    </row>
    <row r="3611" spans="1:11" x14ac:dyDescent="0.25">
      <c r="A3611" t="s">
        <v>326</v>
      </c>
      <c r="B3611" t="s">
        <v>508</v>
      </c>
      <c r="C3611" t="s">
        <v>868</v>
      </c>
      <c r="D3611" t="s">
        <v>14</v>
      </c>
      <c r="E3611">
        <v>2</v>
      </c>
      <c r="F3611" s="2">
        <f>DATE(2026,IF(Tabla1[[#This Row],[Mes de Fecha]]="Septiembre",9,10),Tabla1[[#This Row],[Día de Fecha]])</f>
        <v>46297</v>
      </c>
      <c r="G3611">
        <v>1001132922</v>
      </c>
      <c r="H3611" t="s">
        <v>357</v>
      </c>
      <c r="I3611">
        <v>25</v>
      </c>
      <c r="J3611">
        <v>0</v>
      </c>
      <c r="K3611" s="1">
        <v>1288615</v>
      </c>
    </row>
    <row r="3612" spans="1:11" x14ac:dyDescent="0.25">
      <c r="A3612" t="s">
        <v>326</v>
      </c>
      <c r="B3612" t="s">
        <v>508</v>
      </c>
      <c r="C3612" t="s">
        <v>868</v>
      </c>
      <c r="D3612" t="s">
        <v>14</v>
      </c>
      <c r="E3612">
        <v>2</v>
      </c>
      <c r="F3612" s="2">
        <f>DATE(2026,IF(Tabla1[[#This Row],[Mes de Fecha]]="Septiembre",9,10),Tabla1[[#This Row],[Día de Fecha]])</f>
        <v>46297</v>
      </c>
      <c r="G3612">
        <v>1005706861</v>
      </c>
      <c r="H3612" t="s">
        <v>433</v>
      </c>
      <c r="I3612">
        <v>33</v>
      </c>
      <c r="J3612">
        <v>0</v>
      </c>
      <c r="K3612" s="1">
        <v>1314960</v>
      </c>
    </row>
    <row r="3613" spans="1:11" x14ac:dyDescent="0.25">
      <c r="A3613" t="s">
        <v>326</v>
      </c>
      <c r="B3613" t="s">
        <v>508</v>
      </c>
      <c r="C3613" t="s">
        <v>868</v>
      </c>
      <c r="D3613" t="s">
        <v>14</v>
      </c>
      <c r="E3613">
        <v>2</v>
      </c>
      <c r="F3613" s="2">
        <f>DATE(2026,IF(Tabla1[[#This Row],[Mes de Fecha]]="Septiembre",9,10),Tabla1[[#This Row],[Día de Fecha]])</f>
        <v>46297</v>
      </c>
      <c r="G3613">
        <v>1005815270</v>
      </c>
      <c r="H3613" t="s">
        <v>509</v>
      </c>
      <c r="I3613">
        <v>37</v>
      </c>
      <c r="J3613">
        <v>0</v>
      </c>
      <c r="K3613" s="1">
        <v>2473151</v>
      </c>
    </row>
    <row r="3614" spans="1:11" x14ac:dyDescent="0.25">
      <c r="A3614" t="s">
        <v>326</v>
      </c>
      <c r="B3614" t="s">
        <v>508</v>
      </c>
      <c r="C3614" t="s">
        <v>868</v>
      </c>
      <c r="D3614" t="s">
        <v>14</v>
      </c>
      <c r="E3614">
        <v>2</v>
      </c>
      <c r="F3614" s="2">
        <f>DATE(2026,IF(Tabla1[[#This Row],[Mes de Fecha]]="Septiembre",9,10),Tabla1[[#This Row],[Día de Fecha]])</f>
        <v>46297</v>
      </c>
      <c r="G3614">
        <v>1007132542</v>
      </c>
      <c r="H3614" t="s">
        <v>386</v>
      </c>
      <c r="I3614">
        <v>127</v>
      </c>
      <c r="J3614">
        <v>0</v>
      </c>
      <c r="K3614" s="1">
        <v>6429671</v>
      </c>
    </row>
    <row r="3615" spans="1:11" x14ac:dyDescent="0.25">
      <c r="A3615" t="s">
        <v>326</v>
      </c>
      <c r="B3615" t="s">
        <v>508</v>
      </c>
      <c r="C3615" t="s">
        <v>868</v>
      </c>
      <c r="D3615" t="s">
        <v>14</v>
      </c>
      <c r="E3615">
        <v>2</v>
      </c>
      <c r="F3615" s="2">
        <f>DATE(2026,IF(Tabla1[[#This Row],[Mes de Fecha]]="Septiembre",9,10),Tabla1[[#This Row],[Día de Fecha]])</f>
        <v>46297</v>
      </c>
      <c r="G3615">
        <v>1010088636</v>
      </c>
      <c r="H3615" t="s">
        <v>385</v>
      </c>
      <c r="I3615">
        <v>65</v>
      </c>
      <c r="J3615">
        <v>0</v>
      </c>
      <c r="K3615" s="1">
        <v>3402317</v>
      </c>
    </row>
    <row r="3616" spans="1:11" x14ac:dyDescent="0.25">
      <c r="A3616" t="s">
        <v>326</v>
      </c>
      <c r="B3616" t="s">
        <v>508</v>
      </c>
      <c r="C3616" t="s">
        <v>868</v>
      </c>
      <c r="D3616" t="s">
        <v>14</v>
      </c>
      <c r="E3616">
        <v>2</v>
      </c>
      <c r="F3616" s="2">
        <f>DATE(2026,IF(Tabla1[[#This Row],[Mes de Fecha]]="Septiembre",9,10),Tabla1[[#This Row],[Día de Fecha]])</f>
        <v>46297</v>
      </c>
      <c r="G3616">
        <v>1113689444</v>
      </c>
      <c r="H3616" t="s">
        <v>378</v>
      </c>
      <c r="I3616">
        <v>116</v>
      </c>
      <c r="J3616">
        <v>0</v>
      </c>
      <c r="K3616" s="1">
        <v>5622565</v>
      </c>
    </row>
    <row r="3617" spans="1:11" x14ac:dyDescent="0.25">
      <c r="A3617" t="s">
        <v>326</v>
      </c>
      <c r="B3617" t="s">
        <v>508</v>
      </c>
      <c r="C3617" t="s">
        <v>868</v>
      </c>
      <c r="D3617" t="s">
        <v>14</v>
      </c>
      <c r="E3617">
        <v>2</v>
      </c>
      <c r="F3617" s="2">
        <f>DATE(2026,IF(Tabla1[[#This Row],[Mes de Fecha]]="Septiembre",9,10),Tabla1[[#This Row],[Día de Fecha]])</f>
        <v>46297</v>
      </c>
      <c r="G3617">
        <v>1130593915</v>
      </c>
      <c r="H3617" t="s">
        <v>510</v>
      </c>
      <c r="I3617">
        <v>19</v>
      </c>
      <c r="J3617">
        <v>0</v>
      </c>
      <c r="K3617" s="1">
        <v>540629</v>
      </c>
    </row>
    <row r="3618" spans="1:11" x14ac:dyDescent="0.25">
      <c r="A3618" t="s">
        <v>326</v>
      </c>
      <c r="B3618" t="s">
        <v>508</v>
      </c>
      <c r="C3618" t="s">
        <v>868</v>
      </c>
      <c r="D3618" t="s">
        <v>14</v>
      </c>
      <c r="E3618">
        <v>2</v>
      </c>
      <c r="F3618" s="2">
        <f>DATE(2026,IF(Tabla1[[#This Row],[Mes de Fecha]]="Septiembre",9,10),Tabla1[[#This Row],[Día de Fecha]])</f>
        <v>46297</v>
      </c>
      <c r="G3618">
        <v>1143851967</v>
      </c>
      <c r="H3618" t="s">
        <v>359</v>
      </c>
      <c r="I3618">
        <v>132</v>
      </c>
      <c r="J3618">
        <v>0</v>
      </c>
      <c r="K3618" s="1">
        <v>6903618</v>
      </c>
    </row>
    <row r="3619" spans="1:11" x14ac:dyDescent="0.25">
      <c r="A3619" t="s">
        <v>326</v>
      </c>
      <c r="B3619" t="s">
        <v>508</v>
      </c>
      <c r="C3619" t="s">
        <v>868</v>
      </c>
      <c r="D3619" t="s">
        <v>14</v>
      </c>
      <c r="E3619">
        <v>3</v>
      </c>
      <c r="F3619" s="2">
        <f>DATE(2026,IF(Tabla1[[#This Row],[Mes de Fecha]]="Septiembre",9,10),Tabla1[[#This Row],[Día de Fecha]])</f>
        <v>46298</v>
      </c>
      <c r="I3619">
        <v>0</v>
      </c>
      <c r="J3619" s="1">
        <v>61093970</v>
      </c>
      <c r="K3619">
        <v>0</v>
      </c>
    </row>
    <row r="3620" spans="1:11" x14ac:dyDescent="0.25">
      <c r="A3620" t="s">
        <v>326</v>
      </c>
      <c r="B3620" t="s">
        <v>508</v>
      </c>
      <c r="C3620" t="s">
        <v>868</v>
      </c>
      <c r="D3620" t="s">
        <v>14</v>
      </c>
      <c r="E3620">
        <v>3</v>
      </c>
      <c r="F3620" s="2">
        <f>DATE(2026,IF(Tabla1[[#This Row],[Mes de Fecha]]="Septiembre",9,10),Tabla1[[#This Row],[Día de Fecha]])</f>
        <v>46298</v>
      </c>
      <c r="G3620">
        <v>1001132922</v>
      </c>
      <c r="H3620" t="s">
        <v>357</v>
      </c>
      <c r="I3620">
        <v>52</v>
      </c>
      <c r="J3620">
        <v>0</v>
      </c>
      <c r="K3620" s="1">
        <v>1794426</v>
      </c>
    </row>
    <row r="3621" spans="1:11" x14ac:dyDescent="0.25">
      <c r="A3621" t="s">
        <v>326</v>
      </c>
      <c r="B3621" t="s">
        <v>508</v>
      </c>
      <c r="C3621" t="s">
        <v>868</v>
      </c>
      <c r="D3621" t="s">
        <v>14</v>
      </c>
      <c r="E3621">
        <v>3</v>
      </c>
      <c r="F3621" s="2">
        <f>DATE(2026,IF(Tabla1[[#This Row],[Mes de Fecha]]="Septiembre",9,10),Tabla1[[#This Row],[Día de Fecha]])</f>
        <v>46298</v>
      </c>
      <c r="G3621">
        <v>1005706861</v>
      </c>
      <c r="H3621" t="s">
        <v>433</v>
      </c>
      <c r="I3621">
        <v>39</v>
      </c>
      <c r="J3621">
        <v>0</v>
      </c>
      <c r="K3621" s="1">
        <v>2022781</v>
      </c>
    </row>
    <row r="3622" spans="1:11" x14ac:dyDescent="0.25">
      <c r="A3622" t="s">
        <v>326</v>
      </c>
      <c r="B3622" t="s">
        <v>508</v>
      </c>
      <c r="C3622" t="s">
        <v>868</v>
      </c>
      <c r="D3622" t="s">
        <v>14</v>
      </c>
      <c r="E3622">
        <v>3</v>
      </c>
      <c r="F3622" s="2">
        <f>DATE(2026,IF(Tabla1[[#This Row],[Mes de Fecha]]="Septiembre",9,10),Tabla1[[#This Row],[Día de Fecha]])</f>
        <v>46298</v>
      </c>
      <c r="G3622">
        <v>1005707524</v>
      </c>
      <c r="H3622" t="s">
        <v>392</v>
      </c>
      <c r="I3622">
        <v>-1</v>
      </c>
      <c r="J3622">
        <v>0</v>
      </c>
      <c r="K3622" s="1">
        <v>-37773</v>
      </c>
    </row>
    <row r="3623" spans="1:11" x14ac:dyDescent="0.25">
      <c r="A3623" t="s">
        <v>326</v>
      </c>
      <c r="B3623" t="s">
        <v>508</v>
      </c>
      <c r="C3623" t="s">
        <v>868</v>
      </c>
      <c r="D3623" t="s">
        <v>14</v>
      </c>
      <c r="E3623">
        <v>3</v>
      </c>
      <c r="F3623" s="2">
        <f>DATE(2026,IF(Tabla1[[#This Row],[Mes de Fecha]]="Septiembre",9,10),Tabla1[[#This Row],[Día de Fecha]])</f>
        <v>46298</v>
      </c>
      <c r="G3623">
        <v>1005815270</v>
      </c>
      <c r="H3623" t="s">
        <v>509</v>
      </c>
      <c r="I3623">
        <v>58</v>
      </c>
      <c r="J3623">
        <v>0</v>
      </c>
      <c r="K3623" s="1">
        <v>3519960</v>
      </c>
    </row>
    <row r="3624" spans="1:11" x14ac:dyDescent="0.25">
      <c r="A3624" t="s">
        <v>326</v>
      </c>
      <c r="B3624" t="s">
        <v>508</v>
      </c>
      <c r="C3624" t="s">
        <v>868</v>
      </c>
      <c r="D3624" t="s">
        <v>14</v>
      </c>
      <c r="E3624">
        <v>3</v>
      </c>
      <c r="F3624" s="2">
        <f>DATE(2026,IF(Tabla1[[#This Row],[Mes de Fecha]]="Septiembre",9,10),Tabla1[[#This Row],[Día de Fecha]])</f>
        <v>46298</v>
      </c>
      <c r="G3624">
        <v>1006073270</v>
      </c>
      <c r="H3624" t="s">
        <v>463</v>
      </c>
      <c r="I3624">
        <v>-1</v>
      </c>
      <c r="J3624">
        <v>0</v>
      </c>
      <c r="K3624" s="1">
        <v>-41975</v>
      </c>
    </row>
    <row r="3625" spans="1:11" x14ac:dyDescent="0.25">
      <c r="A3625" t="s">
        <v>326</v>
      </c>
      <c r="B3625" t="s">
        <v>508</v>
      </c>
      <c r="C3625" t="s">
        <v>868</v>
      </c>
      <c r="D3625" t="s">
        <v>14</v>
      </c>
      <c r="E3625">
        <v>3</v>
      </c>
      <c r="F3625" s="2">
        <f>DATE(2026,IF(Tabla1[[#This Row],[Mes de Fecha]]="Septiembre",9,10),Tabla1[[#This Row],[Día de Fecha]])</f>
        <v>46298</v>
      </c>
      <c r="G3625">
        <v>1007132542</v>
      </c>
      <c r="H3625" t="s">
        <v>386</v>
      </c>
      <c r="I3625">
        <v>295</v>
      </c>
      <c r="J3625">
        <v>0</v>
      </c>
      <c r="K3625" s="1">
        <v>14611477</v>
      </c>
    </row>
    <row r="3626" spans="1:11" x14ac:dyDescent="0.25">
      <c r="A3626" t="s">
        <v>326</v>
      </c>
      <c r="B3626" t="s">
        <v>508</v>
      </c>
      <c r="C3626" t="s">
        <v>868</v>
      </c>
      <c r="D3626" t="s">
        <v>14</v>
      </c>
      <c r="E3626">
        <v>3</v>
      </c>
      <c r="F3626" s="2">
        <f>DATE(2026,IF(Tabla1[[#This Row],[Mes de Fecha]]="Septiembre",9,10),Tabla1[[#This Row],[Día de Fecha]])</f>
        <v>46298</v>
      </c>
      <c r="G3626">
        <v>1010088636</v>
      </c>
      <c r="H3626" t="s">
        <v>385</v>
      </c>
      <c r="I3626">
        <v>209</v>
      </c>
      <c r="J3626">
        <v>0</v>
      </c>
      <c r="K3626" s="1">
        <v>9857272</v>
      </c>
    </row>
    <row r="3627" spans="1:11" x14ac:dyDescent="0.25">
      <c r="A3627" t="s">
        <v>326</v>
      </c>
      <c r="B3627" t="s">
        <v>508</v>
      </c>
      <c r="C3627" t="s">
        <v>868</v>
      </c>
      <c r="D3627" t="s">
        <v>14</v>
      </c>
      <c r="E3627">
        <v>3</v>
      </c>
      <c r="F3627" s="2">
        <f>DATE(2026,IF(Tabla1[[#This Row],[Mes de Fecha]]="Septiembre",9,10),Tabla1[[#This Row],[Día de Fecha]])</f>
        <v>46298</v>
      </c>
      <c r="G3627">
        <v>1044101083</v>
      </c>
      <c r="H3627" t="s">
        <v>360</v>
      </c>
      <c r="I3627">
        <v>-2</v>
      </c>
      <c r="J3627">
        <v>0</v>
      </c>
      <c r="K3627" s="1">
        <v>-96555</v>
      </c>
    </row>
    <row r="3628" spans="1:11" x14ac:dyDescent="0.25">
      <c r="A3628" t="s">
        <v>326</v>
      </c>
      <c r="B3628" t="s">
        <v>508</v>
      </c>
      <c r="C3628" t="s">
        <v>868</v>
      </c>
      <c r="D3628" t="s">
        <v>14</v>
      </c>
      <c r="E3628">
        <v>3</v>
      </c>
      <c r="F3628" s="2">
        <f>DATE(2026,IF(Tabla1[[#This Row],[Mes de Fecha]]="Septiembre",9,10),Tabla1[[#This Row],[Día de Fecha]])</f>
        <v>46298</v>
      </c>
      <c r="G3628">
        <v>1061716853</v>
      </c>
      <c r="H3628" t="s">
        <v>333</v>
      </c>
      <c r="I3628">
        <v>-1</v>
      </c>
      <c r="J3628">
        <v>0</v>
      </c>
      <c r="K3628" s="1">
        <v>-79790</v>
      </c>
    </row>
    <row r="3629" spans="1:11" x14ac:dyDescent="0.25">
      <c r="A3629" t="s">
        <v>326</v>
      </c>
      <c r="B3629" t="s">
        <v>508</v>
      </c>
      <c r="C3629" t="s">
        <v>868</v>
      </c>
      <c r="D3629" t="s">
        <v>14</v>
      </c>
      <c r="E3629">
        <v>3</v>
      </c>
      <c r="F3629" s="2">
        <f>DATE(2026,IF(Tabla1[[#This Row],[Mes de Fecha]]="Septiembre",9,10),Tabla1[[#This Row],[Día de Fecha]])</f>
        <v>46298</v>
      </c>
      <c r="G3629">
        <v>1105928523</v>
      </c>
      <c r="H3629" t="s">
        <v>431</v>
      </c>
      <c r="I3629">
        <v>-1</v>
      </c>
      <c r="J3629">
        <v>0</v>
      </c>
      <c r="K3629" s="1">
        <v>-41975</v>
      </c>
    </row>
    <row r="3630" spans="1:11" x14ac:dyDescent="0.25">
      <c r="A3630" t="s">
        <v>326</v>
      </c>
      <c r="B3630" t="s">
        <v>508</v>
      </c>
      <c r="C3630" t="s">
        <v>868</v>
      </c>
      <c r="D3630" t="s">
        <v>14</v>
      </c>
      <c r="E3630">
        <v>3</v>
      </c>
      <c r="F3630" s="2">
        <f>DATE(2026,IF(Tabla1[[#This Row],[Mes de Fecha]]="Septiembre",9,10),Tabla1[[#This Row],[Día de Fecha]])</f>
        <v>46298</v>
      </c>
      <c r="G3630">
        <v>1111662486</v>
      </c>
      <c r="H3630" t="s">
        <v>334</v>
      </c>
      <c r="I3630">
        <v>-2</v>
      </c>
      <c r="J3630">
        <v>0</v>
      </c>
      <c r="K3630" s="1">
        <v>-75546</v>
      </c>
    </row>
    <row r="3631" spans="1:11" x14ac:dyDescent="0.25">
      <c r="A3631" t="s">
        <v>326</v>
      </c>
      <c r="B3631" t="s">
        <v>508</v>
      </c>
      <c r="C3631" t="s">
        <v>868</v>
      </c>
      <c r="D3631" t="s">
        <v>14</v>
      </c>
      <c r="E3631">
        <v>3</v>
      </c>
      <c r="F3631" s="2">
        <f>DATE(2026,IF(Tabla1[[#This Row],[Mes de Fecha]]="Septiembre",9,10),Tabla1[[#This Row],[Día de Fecha]])</f>
        <v>46298</v>
      </c>
      <c r="G3631">
        <v>1111784310</v>
      </c>
      <c r="H3631" t="s">
        <v>365</v>
      </c>
      <c r="I3631">
        <v>-1</v>
      </c>
      <c r="J3631">
        <v>0</v>
      </c>
      <c r="K3631" s="1">
        <v>-50378</v>
      </c>
    </row>
    <row r="3632" spans="1:11" x14ac:dyDescent="0.25">
      <c r="A3632" t="s">
        <v>326</v>
      </c>
      <c r="B3632" t="s">
        <v>508</v>
      </c>
      <c r="C3632" t="s">
        <v>868</v>
      </c>
      <c r="D3632" t="s">
        <v>14</v>
      </c>
      <c r="E3632">
        <v>3</v>
      </c>
      <c r="F3632" s="2">
        <f>DATE(2026,IF(Tabla1[[#This Row],[Mes de Fecha]]="Septiembre",9,10),Tabla1[[#This Row],[Día de Fecha]])</f>
        <v>46298</v>
      </c>
      <c r="G3632">
        <v>1113689444</v>
      </c>
      <c r="H3632" t="s">
        <v>378</v>
      </c>
      <c r="I3632">
        <v>295</v>
      </c>
      <c r="J3632">
        <v>0</v>
      </c>
      <c r="K3632" s="1">
        <v>14172562</v>
      </c>
    </row>
    <row r="3633" spans="1:11" x14ac:dyDescent="0.25">
      <c r="A3633" t="s">
        <v>326</v>
      </c>
      <c r="B3633" t="s">
        <v>508</v>
      </c>
      <c r="C3633" t="s">
        <v>868</v>
      </c>
      <c r="D3633" t="s">
        <v>14</v>
      </c>
      <c r="E3633">
        <v>3</v>
      </c>
      <c r="F3633" s="2">
        <f>DATE(2026,IF(Tabla1[[#This Row],[Mes de Fecha]]="Septiembre",9,10),Tabla1[[#This Row],[Día de Fecha]])</f>
        <v>46298</v>
      </c>
      <c r="G3633">
        <v>1130593915</v>
      </c>
      <c r="H3633" t="s">
        <v>510</v>
      </c>
      <c r="I3633">
        <v>38</v>
      </c>
      <c r="J3633">
        <v>0</v>
      </c>
      <c r="K3633" s="1">
        <v>2131184</v>
      </c>
    </row>
    <row r="3634" spans="1:11" x14ac:dyDescent="0.25">
      <c r="A3634" t="s">
        <v>326</v>
      </c>
      <c r="B3634" t="s">
        <v>508</v>
      </c>
      <c r="C3634" t="s">
        <v>868</v>
      </c>
      <c r="D3634" t="s">
        <v>14</v>
      </c>
      <c r="E3634">
        <v>3</v>
      </c>
      <c r="F3634" s="2">
        <f>DATE(2026,IF(Tabla1[[#This Row],[Mes de Fecha]]="Septiembre",9,10),Tabla1[[#This Row],[Día de Fecha]])</f>
        <v>46298</v>
      </c>
      <c r="G3634">
        <v>1143851967</v>
      </c>
      <c r="H3634" t="s">
        <v>359</v>
      </c>
      <c r="I3634">
        <v>282</v>
      </c>
      <c r="J3634">
        <v>0</v>
      </c>
      <c r="K3634" s="1">
        <v>14196283</v>
      </c>
    </row>
    <row r="3635" spans="1:11" x14ac:dyDescent="0.25">
      <c r="A3635" t="s">
        <v>326</v>
      </c>
      <c r="B3635" t="s">
        <v>508</v>
      </c>
      <c r="C3635" t="s">
        <v>868</v>
      </c>
      <c r="D3635" t="s">
        <v>14</v>
      </c>
      <c r="E3635">
        <v>4</v>
      </c>
      <c r="F3635" s="2">
        <f>DATE(2026,IF(Tabla1[[#This Row],[Mes de Fecha]]="Septiembre",9,10),Tabla1[[#This Row],[Día de Fecha]])</f>
        <v>46299</v>
      </c>
      <c r="I3635">
        <v>0</v>
      </c>
      <c r="J3635" s="1">
        <v>57356231</v>
      </c>
      <c r="K3635">
        <v>0</v>
      </c>
    </row>
    <row r="3636" spans="1:11" x14ac:dyDescent="0.25">
      <c r="A3636" t="s">
        <v>326</v>
      </c>
      <c r="B3636" t="s">
        <v>508</v>
      </c>
      <c r="C3636" t="s">
        <v>868</v>
      </c>
      <c r="D3636" t="s">
        <v>14</v>
      </c>
      <c r="E3636">
        <v>4</v>
      </c>
      <c r="F3636" s="2">
        <f>DATE(2026,IF(Tabla1[[#This Row],[Mes de Fecha]]="Septiembre",9,10),Tabla1[[#This Row],[Día de Fecha]])</f>
        <v>46299</v>
      </c>
      <c r="G3636">
        <v>1001132922</v>
      </c>
      <c r="H3636" t="s">
        <v>357</v>
      </c>
      <c r="I3636">
        <v>96</v>
      </c>
      <c r="J3636">
        <v>0</v>
      </c>
      <c r="K3636" s="1">
        <v>4791602</v>
      </c>
    </row>
    <row r="3637" spans="1:11" x14ac:dyDescent="0.25">
      <c r="A3637" t="s">
        <v>326</v>
      </c>
      <c r="B3637" t="s">
        <v>508</v>
      </c>
      <c r="C3637" t="s">
        <v>868</v>
      </c>
      <c r="D3637" t="s">
        <v>14</v>
      </c>
      <c r="E3637">
        <v>4</v>
      </c>
      <c r="F3637" s="2">
        <f>DATE(2026,IF(Tabla1[[#This Row],[Mes de Fecha]]="Septiembre",9,10),Tabla1[[#This Row],[Día de Fecha]])</f>
        <v>46299</v>
      </c>
      <c r="G3637">
        <v>1005706861</v>
      </c>
      <c r="H3637" t="s">
        <v>433</v>
      </c>
      <c r="I3637">
        <v>66</v>
      </c>
      <c r="J3637">
        <v>0</v>
      </c>
      <c r="K3637" s="1">
        <v>3581223</v>
      </c>
    </row>
    <row r="3638" spans="1:11" x14ac:dyDescent="0.25">
      <c r="A3638" t="s">
        <v>326</v>
      </c>
      <c r="B3638" t="s">
        <v>508</v>
      </c>
      <c r="C3638" t="s">
        <v>868</v>
      </c>
      <c r="D3638" t="s">
        <v>14</v>
      </c>
      <c r="E3638">
        <v>4</v>
      </c>
      <c r="F3638" s="2">
        <f>DATE(2026,IF(Tabla1[[#This Row],[Mes de Fecha]]="Septiembre",9,10),Tabla1[[#This Row],[Día de Fecha]])</f>
        <v>46299</v>
      </c>
      <c r="G3638">
        <v>1005815270</v>
      </c>
      <c r="H3638" t="s">
        <v>509</v>
      </c>
      <c r="I3638">
        <v>87</v>
      </c>
      <c r="J3638">
        <v>0</v>
      </c>
      <c r="K3638" s="1">
        <v>5023323</v>
      </c>
    </row>
    <row r="3639" spans="1:11" x14ac:dyDescent="0.25">
      <c r="A3639" t="s">
        <v>326</v>
      </c>
      <c r="B3639" t="s">
        <v>508</v>
      </c>
      <c r="C3639" t="s">
        <v>868</v>
      </c>
      <c r="D3639" t="s">
        <v>14</v>
      </c>
      <c r="E3639">
        <v>4</v>
      </c>
      <c r="F3639" s="2">
        <f>DATE(2026,IF(Tabla1[[#This Row],[Mes de Fecha]]="Septiembre",9,10),Tabla1[[#This Row],[Día de Fecha]])</f>
        <v>46299</v>
      </c>
      <c r="G3639">
        <v>1006048956</v>
      </c>
      <c r="H3639" t="s">
        <v>341</v>
      </c>
      <c r="I3639">
        <v>-2</v>
      </c>
      <c r="J3639">
        <v>0</v>
      </c>
      <c r="K3639" s="1">
        <v>-96555</v>
      </c>
    </row>
    <row r="3640" spans="1:11" x14ac:dyDescent="0.25">
      <c r="A3640" t="s">
        <v>326</v>
      </c>
      <c r="B3640" t="s">
        <v>508</v>
      </c>
      <c r="C3640" t="s">
        <v>868</v>
      </c>
      <c r="D3640" t="s">
        <v>14</v>
      </c>
      <c r="E3640">
        <v>4</v>
      </c>
      <c r="F3640" s="2">
        <f>DATE(2026,IF(Tabla1[[#This Row],[Mes de Fecha]]="Septiembre",9,10),Tabla1[[#This Row],[Día de Fecha]])</f>
        <v>46299</v>
      </c>
      <c r="G3640">
        <v>1007132542</v>
      </c>
      <c r="H3640" t="s">
        <v>386</v>
      </c>
      <c r="I3640">
        <v>274</v>
      </c>
      <c r="J3640">
        <v>0</v>
      </c>
      <c r="K3640" s="1">
        <v>14729098</v>
      </c>
    </row>
    <row r="3641" spans="1:11" x14ac:dyDescent="0.25">
      <c r="A3641" t="s">
        <v>326</v>
      </c>
      <c r="B3641" t="s">
        <v>508</v>
      </c>
      <c r="C3641" t="s">
        <v>868</v>
      </c>
      <c r="D3641" t="s">
        <v>14</v>
      </c>
      <c r="E3641">
        <v>4</v>
      </c>
      <c r="F3641" s="2">
        <f>DATE(2026,IF(Tabla1[[#This Row],[Mes de Fecha]]="Septiembre",9,10),Tabla1[[#This Row],[Día de Fecha]])</f>
        <v>46299</v>
      </c>
      <c r="G3641">
        <v>1010088636</v>
      </c>
      <c r="H3641" t="s">
        <v>385</v>
      </c>
      <c r="I3641">
        <v>201</v>
      </c>
      <c r="J3641">
        <v>0</v>
      </c>
      <c r="K3641" s="1">
        <v>10835388</v>
      </c>
    </row>
    <row r="3642" spans="1:11" x14ac:dyDescent="0.25">
      <c r="A3642" t="s">
        <v>326</v>
      </c>
      <c r="B3642" t="s">
        <v>508</v>
      </c>
      <c r="C3642" t="s">
        <v>868</v>
      </c>
      <c r="D3642" t="s">
        <v>14</v>
      </c>
      <c r="E3642">
        <v>4</v>
      </c>
      <c r="F3642" s="2">
        <f>DATE(2026,IF(Tabla1[[#This Row],[Mes de Fecha]]="Septiembre",9,10),Tabla1[[#This Row],[Día de Fecha]])</f>
        <v>46299</v>
      </c>
      <c r="G3642">
        <v>1048292768</v>
      </c>
      <c r="H3642" t="s">
        <v>483</v>
      </c>
      <c r="I3642">
        <v>-3</v>
      </c>
      <c r="J3642">
        <v>0</v>
      </c>
      <c r="K3642" s="1">
        <v>-176303</v>
      </c>
    </row>
    <row r="3643" spans="1:11" x14ac:dyDescent="0.25">
      <c r="A3643" t="s">
        <v>326</v>
      </c>
      <c r="B3643" t="s">
        <v>508</v>
      </c>
      <c r="C3643" t="s">
        <v>868</v>
      </c>
      <c r="D3643" t="s">
        <v>14</v>
      </c>
      <c r="E3643">
        <v>4</v>
      </c>
      <c r="F3643" s="2">
        <f>DATE(2026,IF(Tabla1[[#This Row],[Mes de Fecha]]="Septiembre",9,10),Tabla1[[#This Row],[Día de Fecha]])</f>
        <v>46299</v>
      </c>
      <c r="G3643">
        <v>1061799953</v>
      </c>
      <c r="H3643" t="s">
        <v>441</v>
      </c>
      <c r="I3643">
        <v>-1</v>
      </c>
      <c r="J3643">
        <v>0</v>
      </c>
      <c r="K3643" s="1">
        <v>-50336</v>
      </c>
    </row>
    <row r="3644" spans="1:11" x14ac:dyDescent="0.25">
      <c r="A3644" t="s">
        <v>326</v>
      </c>
      <c r="B3644" t="s">
        <v>508</v>
      </c>
      <c r="C3644" t="s">
        <v>868</v>
      </c>
      <c r="D3644" t="s">
        <v>14</v>
      </c>
      <c r="E3644">
        <v>4</v>
      </c>
      <c r="F3644" s="2">
        <f>DATE(2026,IF(Tabla1[[#This Row],[Mes de Fecha]]="Septiembre",9,10),Tabla1[[#This Row],[Día de Fecha]])</f>
        <v>46299</v>
      </c>
      <c r="G3644">
        <v>1107047599</v>
      </c>
      <c r="H3644" t="s">
        <v>356</v>
      </c>
      <c r="I3644">
        <v>-1</v>
      </c>
      <c r="J3644">
        <v>0</v>
      </c>
      <c r="K3644" s="1">
        <v>-54580</v>
      </c>
    </row>
    <row r="3645" spans="1:11" x14ac:dyDescent="0.25">
      <c r="A3645" t="s">
        <v>326</v>
      </c>
      <c r="B3645" t="s">
        <v>508</v>
      </c>
      <c r="C3645" t="s">
        <v>868</v>
      </c>
      <c r="D3645" t="s">
        <v>14</v>
      </c>
      <c r="E3645">
        <v>4</v>
      </c>
      <c r="F3645" s="2">
        <f>DATE(2026,IF(Tabla1[[#This Row],[Mes de Fecha]]="Septiembre",9,10),Tabla1[[#This Row],[Día de Fecha]])</f>
        <v>46299</v>
      </c>
      <c r="G3645">
        <v>1113689444</v>
      </c>
      <c r="H3645" t="s">
        <v>378</v>
      </c>
      <c r="I3645">
        <v>246</v>
      </c>
      <c r="J3645">
        <v>0</v>
      </c>
      <c r="K3645" s="1">
        <v>12015591</v>
      </c>
    </row>
    <row r="3646" spans="1:11" x14ac:dyDescent="0.25">
      <c r="A3646" t="s">
        <v>326</v>
      </c>
      <c r="B3646" t="s">
        <v>508</v>
      </c>
      <c r="C3646" t="s">
        <v>868</v>
      </c>
      <c r="D3646" t="s">
        <v>14</v>
      </c>
      <c r="E3646">
        <v>4</v>
      </c>
      <c r="F3646" s="2">
        <f>DATE(2026,IF(Tabla1[[#This Row],[Mes de Fecha]]="Septiembre",9,10),Tabla1[[#This Row],[Día de Fecha]])</f>
        <v>46299</v>
      </c>
      <c r="G3646">
        <v>1130593915</v>
      </c>
      <c r="H3646" t="s">
        <v>510</v>
      </c>
      <c r="I3646">
        <v>51</v>
      </c>
      <c r="J3646">
        <v>0</v>
      </c>
      <c r="K3646" s="1">
        <v>1875421</v>
      </c>
    </row>
    <row r="3647" spans="1:11" x14ac:dyDescent="0.25">
      <c r="A3647" t="s">
        <v>326</v>
      </c>
      <c r="B3647" t="s">
        <v>508</v>
      </c>
      <c r="C3647" t="s">
        <v>868</v>
      </c>
      <c r="D3647" t="s">
        <v>14</v>
      </c>
      <c r="E3647">
        <v>4</v>
      </c>
      <c r="F3647" s="2">
        <f>DATE(2026,IF(Tabla1[[#This Row],[Mes de Fecha]]="Septiembre",9,10),Tabla1[[#This Row],[Día de Fecha]])</f>
        <v>46299</v>
      </c>
      <c r="G3647">
        <v>1143851967</v>
      </c>
      <c r="H3647" t="s">
        <v>359</v>
      </c>
      <c r="I3647">
        <v>273</v>
      </c>
      <c r="J3647">
        <v>0</v>
      </c>
      <c r="K3647" s="1">
        <v>15096817</v>
      </c>
    </row>
    <row r="3648" spans="1:11" x14ac:dyDescent="0.25">
      <c r="A3648" t="s">
        <v>326</v>
      </c>
      <c r="B3648" t="s">
        <v>508</v>
      </c>
      <c r="C3648" t="s">
        <v>868</v>
      </c>
      <c r="D3648" t="s">
        <v>14</v>
      </c>
      <c r="E3648">
        <v>5</v>
      </c>
      <c r="F3648" s="2">
        <f>DATE(2026,IF(Tabla1[[#This Row],[Mes de Fecha]]="Septiembre",9,10),Tabla1[[#This Row],[Día de Fecha]])</f>
        <v>46300</v>
      </c>
      <c r="I3648">
        <v>0</v>
      </c>
      <c r="J3648" s="1">
        <v>20702913</v>
      </c>
      <c r="K3648">
        <v>0</v>
      </c>
    </row>
    <row r="3649" spans="1:11" x14ac:dyDescent="0.25">
      <c r="A3649" t="s">
        <v>326</v>
      </c>
      <c r="B3649" t="s">
        <v>508</v>
      </c>
      <c r="C3649" t="s">
        <v>868</v>
      </c>
      <c r="D3649" t="s">
        <v>14</v>
      </c>
      <c r="E3649">
        <v>5</v>
      </c>
      <c r="F3649" s="2">
        <f>DATE(2026,IF(Tabla1[[#This Row],[Mes de Fecha]]="Septiembre",9,10),Tabla1[[#This Row],[Día de Fecha]])</f>
        <v>46300</v>
      </c>
      <c r="G3649">
        <v>6469923</v>
      </c>
      <c r="H3649" t="s">
        <v>340</v>
      </c>
      <c r="I3649">
        <v>-1</v>
      </c>
      <c r="J3649">
        <v>0</v>
      </c>
      <c r="K3649" s="1">
        <v>-50336</v>
      </c>
    </row>
    <row r="3650" spans="1:11" x14ac:dyDescent="0.25">
      <c r="A3650" t="s">
        <v>326</v>
      </c>
      <c r="B3650" t="s">
        <v>508</v>
      </c>
      <c r="C3650" t="s">
        <v>868</v>
      </c>
      <c r="D3650" t="s">
        <v>14</v>
      </c>
      <c r="E3650">
        <v>5</v>
      </c>
      <c r="F3650" s="2">
        <f>DATE(2026,IF(Tabla1[[#This Row],[Mes de Fecha]]="Septiembre",9,10),Tabla1[[#This Row],[Día de Fecha]])</f>
        <v>46300</v>
      </c>
      <c r="G3650">
        <v>1001132922</v>
      </c>
      <c r="H3650" t="s">
        <v>357</v>
      </c>
      <c r="I3650">
        <v>-1</v>
      </c>
      <c r="J3650">
        <v>0</v>
      </c>
      <c r="K3650" s="1">
        <v>-79790</v>
      </c>
    </row>
    <row r="3651" spans="1:11" x14ac:dyDescent="0.25">
      <c r="A3651" t="s">
        <v>326</v>
      </c>
      <c r="B3651" t="s">
        <v>508</v>
      </c>
      <c r="C3651" t="s">
        <v>868</v>
      </c>
      <c r="D3651" t="s">
        <v>14</v>
      </c>
      <c r="E3651">
        <v>5</v>
      </c>
      <c r="F3651" s="2">
        <f>DATE(2026,IF(Tabla1[[#This Row],[Mes de Fecha]]="Septiembre",9,10),Tabla1[[#This Row],[Día de Fecha]])</f>
        <v>46300</v>
      </c>
      <c r="G3651">
        <v>1005706861</v>
      </c>
      <c r="H3651" t="s">
        <v>433</v>
      </c>
      <c r="I3651">
        <v>0</v>
      </c>
      <c r="J3651">
        <v>0</v>
      </c>
      <c r="K3651" s="1">
        <v>16807</v>
      </c>
    </row>
    <row r="3652" spans="1:11" x14ac:dyDescent="0.25">
      <c r="A3652" t="s">
        <v>326</v>
      </c>
      <c r="B3652" t="s">
        <v>508</v>
      </c>
      <c r="C3652" t="s">
        <v>868</v>
      </c>
      <c r="D3652" t="s">
        <v>14</v>
      </c>
      <c r="E3652">
        <v>5</v>
      </c>
      <c r="F3652" s="2">
        <f>DATE(2026,IF(Tabla1[[#This Row],[Mes de Fecha]]="Septiembre",9,10),Tabla1[[#This Row],[Día de Fecha]])</f>
        <v>46300</v>
      </c>
      <c r="G3652">
        <v>1005707524</v>
      </c>
      <c r="H3652" t="s">
        <v>392</v>
      </c>
      <c r="I3652">
        <v>-1</v>
      </c>
      <c r="J3652">
        <v>0</v>
      </c>
      <c r="K3652" s="1">
        <v>-41975</v>
      </c>
    </row>
    <row r="3653" spans="1:11" x14ac:dyDescent="0.25">
      <c r="A3653" t="s">
        <v>326</v>
      </c>
      <c r="B3653" t="s">
        <v>508</v>
      </c>
      <c r="C3653" t="s">
        <v>868</v>
      </c>
      <c r="D3653" t="s">
        <v>14</v>
      </c>
      <c r="E3653">
        <v>5</v>
      </c>
      <c r="F3653" s="2">
        <f>DATE(2026,IF(Tabla1[[#This Row],[Mes de Fecha]]="Septiembre",9,10),Tabla1[[#This Row],[Día de Fecha]])</f>
        <v>46300</v>
      </c>
      <c r="G3653">
        <v>1005815270</v>
      </c>
      <c r="H3653" t="s">
        <v>509</v>
      </c>
      <c r="I3653">
        <v>44</v>
      </c>
      <c r="J3653">
        <v>0</v>
      </c>
      <c r="K3653" s="1">
        <v>2447523</v>
      </c>
    </row>
    <row r="3654" spans="1:11" x14ac:dyDescent="0.25">
      <c r="A3654" t="s">
        <v>326</v>
      </c>
      <c r="B3654" t="s">
        <v>508</v>
      </c>
      <c r="C3654" t="s">
        <v>868</v>
      </c>
      <c r="D3654" t="s">
        <v>14</v>
      </c>
      <c r="E3654">
        <v>5</v>
      </c>
      <c r="F3654" s="2">
        <f>DATE(2026,IF(Tabla1[[#This Row],[Mes de Fecha]]="Septiembre",9,10),Tabla1[[#This Row],[Día de Fecha]])</f>
        <v>46300</v>
      </c>
      <c r="G3654">
        <v>1007132542</v>
      </c>
      <c r="H3654" t="s">
        <v>386</v>
      </c>
      <c r="I3654">
        <v>122</v>
      </c>
      <c r="J3654">
        <v>0</v>
      </c>
      <c r="K3654" s="1">
        <v>6650173</v>
      </c>
    </row>
    <row r="3655" spans="1:11" x14ac:dyDescent="0.25">
      <c r="A3655" t="s">
        <v>326</v>
      </c>
      <c r="B3655" t="s">
        <v>508</v>
      </c>
      <c r="C3655" t="s">
        <v>868</v>
      </c>
      <c r="D3655" t="s">
        <v>14</v>
      </c>
      <c r="E3655">
        <v>5</v>
      </c>
      <c r="F3655" s="2">
        <f>DATE(2026,IF(Tabla1[[#This Row],[Mes de Fecha]]="Septiembre",9,10),Tabla1[[#This Row],[Día de Fecha]])</f>
        <v>46300</v>
      </c>
      <c r="G3655">
        <v>1010088636</v>
      </c>
      <c r="H3655" t="s">
        <v>385</v>
      </c>
      <c r="I3655">
        <v>85</v>
      </c>
      <c r="J3655">
        <v>0</v>
      </c>
      <c r="K3655" s="1">
        <v>4254376</v>
      </c>
    </row>
    <row r="3656" spans="1:11" x14ac:dyDescent="0.25">
      <c r="A3656" t="s">
        <v>326</v>
      </c>
      <c r="B3656" t="s">
        <v>508</v>
      </c>
      <c r="C3656" t="s">
        <v>868</v>
      </c>
      <c r="D3656" t="s">
        <v>14</v>
      </c>
      <c r="E3656">
        <v>5</v>
      </c>
      <c r="F3656" s="2">
        <f>DATE(2026,IF(Tabla1[[#This Row],[Mes de Fecha]]="Septiembre",9,10),Tabla1[[#This Row],[Día de Fecha]])</f>
        <v>46300</v>
      </c>
      <c r="G3656">
        <v>1107840490</v>
      </c>
      <c r="H3656" t="s">
        <v>353</v>
      </c>
      <c r="I3656">
        <v>-4</v>
      </c>
      <c r="J3656">
        <v>0</v>
      </c>
      <c r="K3656" s="1">
        <v>-117479</v>
      </c>
    </row>
    <row r="3657" spans="1:11" x14ac:dyDescent="0.25">
      <c r="A3657" t="s">
        <v>326</v>
      </c>
      <c r="B3657" t="s">
        <v>508</v>
      </c>
      <c r="C3657" t="s">
        <v>868</v>
      </c>
      <c r="D3657" t="s">
        <v>14</v>
      </c>
      <c r="E3657">
        <v>5</v>
      </c>
      <c r="F3657" s="2">
        <f>DATE(2026,IF(Tabla1[[#This Row],[Mes de Fecha]]="Septiembre",9,10),Tabla1[[#This Row],[Día de Fecha]])</f>
        <v>46300</v>
      </c>
      <c r="G3657">
        <v>1113689444</v>
      </c>
      <c r="H3657" t="s">
        <v>378</v>
      </c>
      <c r="I3657">
        <v>115</v>
      </c>
      <c r="J3657">
        <v>0</v>
      </c>
      <c r="K3657" s="1">
        <v>5303224</v>
      </c>
    </row>
    <row r="3658" spans="1:11" x14ac:dyDescent="0.25">
      <c r="A3658" t="s">
        <v>326</v>
      </c>
      <c r="B3658" t="s">
        <v>508</v>
      </c>
      <c r="C3658" t="s">
        <v>868</v>
      </c>
      <c r="D3658" t="s">
        <v>14</v>
      </c>
      <c r="E3658">
        <v>5</v>
      </c>
      <c r="F3658" s="2">
        <f>DATE(2026,IF(Tabla1[[#This Row],[Mes de Fecha]]="Septiembre",9,10),Tabla1[[#This Row],[Día de Fecha]])</f>
        <v>46300</v>
      </c>
      <c r="G3658">
        <v>1130593915</v>
      </c>
      <c r="H3658" t="s">
        <v>510</v>
      </c>
      <c r="I3658">
        <v>3</v>
      </c>
      <c r="J3658">
        <v>0</v>
      </c>
      <c r="K3658" s="1">
        <v>50084</v>
      </c>
    </row>
    <row r="3659" spans="1:11" x14ac:dyDescent="0.25">
      <c r="A3659" t="s">
        <v>326</v>
      </c>
      <c r="B3659" t="s">
        <v>508</v>
      </c>
      <c r="C3659" t="s">
        <v>868</v>
      </c>
      <c r="D3659" t="s">
        <v>14</v>
      </c>
      <c r="E3659">
        <v>5</v>
      </c>
      <c r="F3659" s="2">
        <f>DATE(2026,IF(Tabla1[[#This Row],[Mes de Fecha]]="Septiembre",9,10),Tabla1[[#This Row],[Día de Fecha]])</f>
        <v>46300</v>
      </c>
      <c r="G3659">
        <v>1143851967</v>
      </c>
      <c r="H3659" t="s">
        <v>359</v>
      </c>
      <c r="I3659">
        <v>151</v>
      </c>
      <c r="J3659">
        <v>0</v>
      </c>
      <c r="K3659" s="1">
        <v>8022895</v>
      </c>
    </row>
    <row r="3660" spans="1:11" x14ac:dyDescent="0.25">
      <c r="A3660" t="s">
        <v>326</v>
      </c>
      <c r="B3660" t="s">
        <v>508</v>
      </c>
      <c r="C3660" t="s">
        <v>868</v>
      </c>
      <c r="D3660" t="s">
        <v>14</v>
      </c>
      <c r="E3660">
        <v>6</v>
      </c>
      <c r="F3660" s="2">
        <f>DATE(2026,IF(Tabla1[[#This Row],[Mes de Fecha]]="Septiembre",9,10),Tabla1[[#This Row],[Día de Fecha]])</f>
        <v>46301</v>
      </c>
      <c r="I3660">
        <v>0</v>
      </c>
      <c r="J3660" s="1">
        <v>13860561</v>
      </c>
      <c r="K3660">
        <v>0</v>
      </c>
    </row>
    <row r="3661" spans="1:11" x14ac:dyDescent="0.25">
      <c r="A3661" t="s">
        <v>326</v>
      </c>
      <c r="B3661" t="s">
        <v>508</v>
      </c>
      <c r="C3661" t="s">
        <v>868</v>
      </c>
      <c r="D3661" t="s">
        <v>14</v>
      </c>
      <c r="E3661">
        <v>6</v>
      </c>
      <c r="F3661" s="2">
        <f>DATE(2026,IF(Tabla1[[#This Row],[Mes de Fecha]]="Septiembre",9,10),Tabla1[[#This Row],[Día de Fecha]])</f>
        <v>46301</v>
      </c>
      <c r="G3661">
        <v>1005706861</v>
      </c>
      <c r="H3661" t="s">
        <v>433</v>
      </c>
      <c r="I3661">
        <v>13</v>
      </c>
      <c r="J3661">
        <v>0</v>
      </c>
      <c r="K3661" s="1">
        <v>425796</v>
      </c>
    </row>
    <row r="3662" spans="1:11" x14ac:dyDescent="0.25">
      <c r="A3662" t="s">
        <v>326</v>
      </c>
      <c r="B3662" t="s">
        <v>508</v>
      </c>
      <c r="C3662" t="s">
        <v>868</v>
      </c>
      <c r="D3662" t="s">
        <v>14</v>
      </c>
      <c r="E3662">
        <v>6</v>
      </c>
      <c r="F3662" s="2">
        <f>DATE(2026,IF(Tabla1[[#This Row],[Mes de Fecha]]="Septiembre",9,10),Tabla1[[#This Row],[Día de Fecha]])</f>
        <v>46301</v>
      </c>
      <c r="G3662">
        <v>1005815270</v>
      </c>
      <c r="H3662" t="s">
        <v>509</v>
      </c>
      <c r="I3662">
        <v>34</v>
      </c>
      <c r="J3662">
        <v>0</v>
      </c>
      <c r="K3662" s="1">
        <v>1456347</v>
      </c>
    </row>
    <row r="3663" spans="1:11" x14ac:dyDescent="0.25">
      <c r="A3663" t="s">
        <v>326</v>
      </c>
      <c r="B3663" t="s">
        <v>508</v>
      </c>
      <c r="C3663" t="s">
        <v>868</v>
      </c>
      <c r="D3663" t="s">
        <v>14</v>
      </c>
      <c r="E3663">
        <v>6</v>
      </c>
      <c r="F3663" s="2">
        <f>DATE(2026,IF(Tabla1[[#This Row],[Mes de Fecha]]="Septiembre",9,10),Tabla1[[#This Row],[Día de Fecha]])</f>
        <v>46301</v>
      </c>
      <c r="G3663">
        <v>1007132542</v>
      </c>
      <c r="H3663" t="s">
        <v>386</v>
      </c>
      <c r="I3663">
        <v>108</v>
      </c>
      <c r="J3663">
        <v>0</v>
      </c>
      <c r="K3663" s="1">
        <v>5174708</v>
      </c>
    </row>
    <row r="3664" spans="1:11" x14ac:dyDescent="0.25">
      <c r="A3664" t="s">
        <v>326</v>
      </c>
      <c r="B3664" t="s">
        <v>508</v>
      </c>
      <c r="C3664" t="s">
        <v>868</v>
      </c>
      <c r="D3664" t="s">
        <v>14</v>
      </c>
      <c r="E3664">
        <v>6</v>
      </c>
      <c r="F3664" s="2">
        <f>DATE(2026,IF(Tabla1[[#This Row],[Mes de Fecha]]="Septiembre",9,10),Tabla1[[#This Row],[Día de Fecha]])</f>
        <v>46301</v>
      </c>
      <c r="G3664">
        <v>1010088636</v>
      </c>
      <c r="H3664" t="s">
        <v>385</v>
      </c>
      <c r="I3664">
        <v>66</v>
      </c>
      <c r="J3664">
        <v>0</v>
      </c>
      <c r="K3664" s="1">
        <v>3179152</v>
      </c>
    </row>
    <row r="3665" spans="1:11" x14ac:dyDescent="0.25">
      <c r="A3665" t="s">
        <v>326</v>
      </c>
      <c r="B3665" t="s">
        <v>508</v>
      </c>
      <c r="C3665" t="s">
        <v>868</v>
      </c>
      <c r="D3665" t="s">
        <v>14</v>
      </c>
      <c r="E3665">
        <v>6</v>
      </c>
      <c r="F3665" s="2">
        <f>DATE(2026,IF(Tabla1[[#This Row],[Mes de Fecha]]="Septiembre",9,10),Tabla1[[#This Row],[Día de Fecha]])</f>
        <v>46301</v>
      </c>
      <c r="G3665">
        <v>1111662486</v>
      </c>
      <c r="H3665" t="s">
        <v>334</v>
      </c>
      <c r="I3665">
        <v>-1</v>
      </c>
      <c r="J3665">
        <v>0</v>
      </c>
      <c r="K3665" s="1">
        <v>-33572</v>
      </c>
    </row>
    <row r="3666" spans="1:11" x14ac:dyDescent="0.25">
      <c r="A3666" t="s">
        <v>326</v>
      </c>
      <c r="B3666" t="s">
        <v>508</v>
      </c>
      <c r="C3666" t="s">
        <v>868</v>
      </c>
      <c r="D3666" t="s">
        <v>14</v>
      </c>
      <c r="E3666">
        <v>6</v>
      </c>
      <c r="F3666" s="2">
        <f>DATE(2026,IF(Tabla1[[#This Row],[Mes de Fecha]]="Septiembre",9,10),Tabla1[[#This Row],[Día de Fecha]])</f>
        <v>46301</v>
      </c>
      <c r="G3666">
        <v>1113689444</v>
      </c>
      <c r="H3666" t="s">
        <v>378</v>
      </c>
      <c r="I3666">
        <v>85</v>
      </c>
      <c r="J3666">
        <v>0</v>
      </c>
      <c r="K3666" s="1">
        <v>4138366</v>
      </c>
    </row>
    <row r="3667" spans="1:11" x14ac:dyDescent="0.25">
      <c r="A3667" t="s">
        <v>326</v>
      </c>
      <c r="B3667" t="s">
        <v>508</v>
      </c>
      <c r="C3667" t="s">
        <v>868</v>
      </c>
      <c r="D3667" t="s">
        <v>14</v>
      </c>
      <c r="E3667">
        <v>6</v>
      </c>
      <c r="F3667" s="2">
        <f>DATE(2026,IF(Tabla1[[#This Row],[Mes de Fecha]]="Septiembre",9,10),Tabla1[[#This Row],[Día de Fecha]])</f>
        <v>46301</v>
      </c>
      <c r="G3667">
        <v>1130593915</v>
      </c>
      <c r="H3667" t="s">
        <v>510</v>
      </c>
      <c r="I3667">
        <v>83</v>
      </c>
      <c r="J3667">
        <v>0</v>
      </c>
      <c r="K3667" s="1">
        <v>2462138</v>
      </c>
    </row>
    <row r="3668" spans="1:11" x14ac:dyDescent="0.25">
      <c r="A3668" t="s">
        <v>326</v>
      </c>
      <c r="B3668" t="s">
        <v>508</v>
      </c>
      <c r="C3668" t="s">
        <v>868</v>
      </c>
      <c r="D3668" t="s">
        <v>14</v>
      </c>
      <c r="E3668">
        <v>6</v>
      </c>
      <c r="F3668" s="2">
        <f>DATE(2026,IF(Tabla1[[#This Row],[Mes de Fecha]]="Septiembre",9,10),Tabla1[[#This Row],[Día de Fecha]])</f>
        <v>46301</v>
      </c>
      <c r="G3668">
        <v>1143851967</v>
      </c>
      <c r="H3668" t="s">
        <v>359</v>
      </c>
      <c r="I3668">
        <v>95</v>
      </c>
      <c r="J3668">
        <v>0</v>
      </c>
      <c r="K3668" s="1">
        <v>4622803</v>
      </c>
    </row>
    <row r="3669" spans="1:11" x14ac:dyDescent="0.25">
      <c r="A3669" t="s">
        <v>326</v>
      </c>
      <c r="B3669" t="s">
        <v>508</v>
      </c>
      <c r="C3669" t="s">
        <v>868</v>
      </c>
      <c r="D3669" t="s">
        <v>14</v>
      </c>
      <c r="E3669">
        <v>7</v>
      </c>
      <c r="F3669" s="2">
        <f>DATE(2026,IF(Tabla1[[#This Row],[Mes de Fecha]]="Septiembre",9,10),Tabla1[[#This Row],[Día de Fecha]])</f>
        <v>46302</v>
      </c>
      <c r="I3669">
        <v>0</v>
      </c>
      <c r="J3669" s="1">
        <v>13751661</v>
      </c>
      <c r="K3669">
        <v>0</v>
      </c>
    </row>
    <row r="3670" spans="1:11" x14ac:dyDescent="0.25">
      <c r="A3670" t="s">
        <v>326</v>
      </c>
      <c r="B3670" t="s">
        <v>508</v>
      </c>
      <c r="C3670" t="s">
        <v>868</v>
      </c>
      <c r="D3670" t="s">
        <v>14</v>
      </c>
      <c r="E3670">
        <v>7</v>
      </c>
      <c r="F3670" s="2">
        <f>DATE(2026,IF(Tabla1[[#This Row],[Mes de Fecha]]="Septiembre",9,10),Tabla1[[#This Row],[Día de Fecha]])</f>
        <v>46302</v>
      </c>
      <c r="G3670">
        <v>1005707524</v>
      </c>
      <c r="H3670" t="s">
        <v>392</v>
      </c>
      <c r="I3670">
        <v>-1</v>
      </c>
      <c r="J3670">
        <v>0</v>
      </c>
      <c r="K3670" s="1">
        <v>-37773</v>
      </c>
    </row>
    <row r="3671" spans="1:11" x14ac:dyDescent="0.25">
      <c r="A3671" t="s">
        <v>326</v>
      </c>
      <c r="B3671" t="s">
        <v>508</v>
      </c>
      <c r="C3671" t="s">
        <v>868</v>
      </c>
      <c r="D3671" t="s">
        <v>14</v>
      </c>
      <c r="E3671">
        <v>7</v>
      </c>
      <c r="F3671" s="2">
        <f>DATE(2026,IF(Tabla1[[#This Row],[Mes de Fecha]]="Septiembre",9,10),Tabla1[[#This Row],[Día de Fecha]])</f>
        <v>46302</v>
      </c>
      <c r="G3671">
        <v>1005815270</v>
      </c>
      <c r="H3671" t="s">
        <v>509</v>
      </c>
      <c r="I3671">
        <v>27</v>
      </c>
      <c r="J3671">
        <v>0</v>
      </c>
      <c r="K3671" s="1">
        <v>1244245</v>
      </c>
    </row>
    <row r="3672" spans="1:11" x14ac:dyDescent="0.25">
      <c r="A3672" t="s">
        <v>326</v>
      </c>
      <c r="B3672" t="s">
        <v>508</v>
      </c>
      <c r="C3672" t="s">
        <v>868</v>
      </c>
      <c r="D3672" t="s">
        <v>14</v>
      </c>
      <c r="E3672">
        <v>7</v>
      </c>
      <c r="F3672" s="2">
        <f>DATE(2026,IF(Tabla1[[#This Row],[Mes de Fecha]]="Septiembre",9,10),Tabla1[[#This Row],[Día de Fecha]])</f>
        <v>46302</v>
      </c>
      <c r="G3672">
        <v>1007132542</v>
      </c>
      <c r="H3672" t="s">
        <v>386</v>
      </c>
      <c r="I3672">
        <v>111</v>
      </c>
      <c r="J3672">
        <v>0</v>
      </c>
      <c r="K3672" s="1">
        <v>5325634</v>
      </c>
    </row>
    <row r="3673" spans="1:11" x14ac:dyDescent="0.25">
      <c r="A3673" t="s">
        <v>326</v>
      </c>
      <c r="B3673" t="s">
        <v>508</v>
      </c>
      <c r="C3673" t="s">
        <v>868</v>
      </c>
      <c r="D3673" t="s">
        <v>14</v>
      </c>
      <c r="E3673">
        <v>7</v>
      </c>
      <c r="F3673" s="2">
        <f>DATE(2026,IF(Tabla1[[#This Row],[Mes de Fecha]]="Septiembre",9,10),Tabla1[[#This Row],[Día de Fecha]])</f>
        <v>46302</v>
      </c>
      <c r="G3673">
        <v>1010088636</v>
      </c>
      <c r="H3673" t="s">
        <v>385</v>
      </c>
      <c r="I3673">
        <v>31</v>
      </c>
      <c r="J3673">
        <v>0</v>
      </c>
      <c r="K3673" s="1">
        <v>1651767</v>
      </c>
    </row>
    <row r="3674" spans="1:11" x14ac:dyDescent="0.25">
      <c r="A3674" t="s">
        <v>326</v>
      </c>
      <c r="B3674" t="s">
        <v>508</v>
      </c>
      <c r="C3674" t="s">
        <v>868</v>
      </c>
      <c r="D3674" t="s">
        <v>14</v>
      </c>
      <c r="E3674">
        <v>7</v>
      </c>
      <c r="F3674" s="2">
        <f>DATE(2026,IF(Tabla1[[#This Row],[Mes de Fecha]]="Septiembre",9,10),Tabla1[[#This Row],[Día de Fecha]])</f>
        <v>46302</v>
      </c>
      <c r="G3674">
        <v>1113689444</v>
      </c>
      <c r="H3674" t="s">
        <v>378</v>
      </c>
      <c r="I3674">
        <v>87</v>
      </c>
      <c r="J3674">
        <v>0</v>
      </c>
      <c r="K3674" s="1">
        <v>3694624</v>
      </c>
    </row>
    <row r="3675" spans="1:11" x14ac:dyDescent="0.25">
      <c r="A3675" t="s">
        <v>326</v>
      </c>
      <c r="B3675" t="s">
        <v>508</v>
      </c>
      <c r="C3675" t="s">
        <v>868</v>
      </c>
      <c r="D3675" t="s">
        <v>14</v>
      </c>
      <c r="E3675">
        <v>7</v>
      </c>
      <c r="F3675" s="2">
        <f>DATE(2026,IF(Tabla1[[#This Row],[Mes de Fecha]]="Septiembre",9,10),Tabla1[[#This Row],[Día de Fecha]])</f>
        <v>46302</v>
      </c>
      <c r="G3675">
        <v>1130593915</v>
      </c>
      <c r="H3675" t="s">
        <v>510</v>
      </c>
      <c r="I3675">
        <v>46</v>
      </c>
      <c r="J3675">
        <v>0</v>
      </c>
      <c r="K3675" s="1">
        <v>987778</v>
      </c>
    </row>
    <row r="3676" spans="1:11" x14ac:dyDescent="0.25">
      <c r="A3676" t="s">
        <v>326</v>
      </c>
      <c r="B3676" t="s">
        <v>508</v>
      </c>
      <c r="C3676" t="s">
        <v>868</v>
      </c>
      <c r="D3676" t="s">
        <v>14</v>
      </c>
      <c r="E3676">
        <v>7</v>
      </c>
      <c r="F3676" s="2">
        <f>DATE(2026,IF(Tabla1[[#This Row],[Mes de Fecha]]="Septiembre",9,10),Tabla1[[#This Row],[Día de Fecha]])</f>
        <v>46302</v>
      </c>
      <c r="G3676">
        <v>1143851967</v>
      </c>
      <c r="H3676" t="s">
        <v>359</v>
      </c>
      <c r="I3676">
        <v>97</v>
      </c>
      <c r="J3676">
        <v>0</v>
      </c>
      <c r="K3676" s="1">
        <v>5306342</v>
      </c>
    </row>
    <row r="3677" spans="1:11" x14ac:dyDescent="0.25">
      <c r="A3677" t="s">
        <v>326</v>
      </c>
      <c r="B3677" t="s">
        <v>511</v>
      </c>
      <c r="C3677" t="s">
        <v>868</v>
      </c>
      <c r="D3677" t="s">
        <v>11</v>
      </c>
      <c r="E3677">
        <v>23</v>
      </c>
      <c r="F3677" s="2">
        <f>DATE(2026,IF(Tabla1[[#This Row],[Mes de Fecha]]="Septiembre",9,10),Tabla1[[#This Row],[Día de Fecha]])</f>
        <v>46288</v>
      </c>
      <c r="I3677">
        <v>0</v>
      </c>
      <c r="J3677" s="1">
        <v>14634380</v>
      </c>
      <c r="K3677">
        <v>0</v>
      </c>
    </row>
    <row r="3678" spans="1:11" x14ac:dyDescent="0.25">
      <c r="A3678" t="s">
        <v>326</v>
      </c>
      <c r="B3678" t="s">
        <v>511</v>
      </c>
      <c r="C3678" t="s">
        <v>868</v>
      </c>
      <c r="D3678" t="s">
        <v>11</v>
      </c>
      <c r="E3678">
        <v>23</v>
      </c>
      <c r="F3678" s="2">
        <f>DATE(2026,IF(Tabla1[[#This Row],[Mes de Fecha]]="Septiembre",9,10),Tabla1[[#This Row],[Día de Fecha]])</f>
        <v>46288</v>
      </c>
      <c r="G3678">
        <v>1004006497</v>
      </c>
      <c r="H3678" t="s">
        <v>383</v>
      </c>
      <c r="I3678">
        <v>89</v>
      </c>
      <c r="J3678">
        <v>0</v>
      </c>
      <c r="K3678" s="1">
        <v>4855509</v>
      </c>
    </row>
    <row r="3679" spans="1:11" x14ac:dyDescent="0.25">
      <c r="A3679" t="s">
        <v>326</v>
      </c>
      <c r="B3679" t="s">
        <v>511</v>
      </c>
      <c r="C3679" t="s">
        <v>868</v>
      </c>
      <c r="D3679" t="s">
        <v>11</v>
      </c>
      <c r="E3679">
        <v>23</v>
      </c>
      <c r="F3679" s="2">
        <f>DATE(2026,IF(Tabla1[[#This Row],[Mes de Fecha]]="Septiembre",9,10),Tabla1[[#This Row],[Día de Fecha]])</f>
        <v>46288</v>
      </c>
      <c r="G3679">
        <v>1085270297</v>
      </c>
      <c r="H3679" t="s">
        <v>364</v>
      </c>
      <c r="I3679">
        <v>47</v>
      </c>
      <c r="J3679">
        <v>0</v>
      </c>
      <c r="K3679" s="1">
        <v>3283699</v>
      </c>
    </row>
    <row r="3680" spans="1:11" x14ac:dyDescent="0.25">
      <c r="A3680" t="s">
        <v>326</v>
      </c>
      <c r="B3680" t="s">
        <v>511</v>
      </c>
      <c r="C3680" t="s">
        <v>868</v>
      </c>
      <c r="D3680" t="s">
        <v>11</v>
      </c>
      <c r="E3680">
        <v>23</v>
      </c>
      <c r="F3680" s="2">
        <f>DATE(2026,IF(Tabla1[[#This Row],[Mes de Fecha]]="Septiembre",9,10),Tabla1[[#This Row],[Día de Fecha]])</f>
        <v>46288</v>
      </c>
      <c r="G3680">
        <v>1144212178</v>
      </c>
      <c r="H3680" t="s">
        <v>336</v>
      </c>
      <c r="I3680">
        <v>113</v>
      </c>
      <c r="J3680">
        <v>0</v>
      </c>
      <c r="K3680" s="1">
        <v>6503532</v>
      </c>
    </row>
    <row r="3681" spans="1:11" x14ac:dyDescent="0.25">
      <c r="A3681" t="s">
        <v>326</v>
      </c>
      <c r="B3681" t="s">
        <v>511</v>
      </c>
      <c r="C3681" t="s">
        <v>868</v>
      </c>
      <c r="D3681" t="s">
        <v>11</v>
      </c>
      <c r="E3681">
        <v>23</v>
      </c>
      <c r="F3681" s="2">
        <f>DATE(2026,IF(Tabla1[[#This Row],[Mes de Fecha]]="Septiembre",9,10),Tabla1[[#This Row],[Día de Fecha]])</f>
        <v>46288</v>
      </c>
      <c r="G3681">
        <v>1193262111</v>
      </c>
      <c r="H3681" t="s">
        <v>513</v>
      </c>
      <c r="I3681">
        <v>37</v>
      </c>
      <c r="J3681">
        <v>0</v>
      </c>
      <c r="K3681" s="1">
        <v>2271557</v>
      </c>
    </row>
    <row r="3682" spans="1:11" x14ac:dyDescent="0.25">
      <c r="A3682" t="s">
        <v>326</v>
      </c>
      <c r="B3682" t="s">
        <v>511</v>
      </c>
      <c r="C3682" t="s">
        <v>868</v>
      </c>
      <c r="D3682" t="s">
        <v>11</v>
      </c>
      <c r="E3682">
        <v>24</v>
      </c>
      <c r="F3682" s="2">
        <f>DATE(2026,IF(Tabla1[[#This Row],[Mes de Fecha]]="Septiembre",9,10),Tabla1[[#This Row],[Día de Fecha]])</f>
        <v>46289</v>
      </c>
      <c r="I3682">
        <v>0</v>
      </c>
      <c r="J3682" s="1">
        <v>22355664</v>
      </c>
      <c r="K3682">
        <v>0</v>
      </c>
    </row>
    <row r="3683" spans="1:11" x14ac:dyDescent="0.25">
      <c r="A3683" t="s">
        <v>326</v>
      </c>
      <c r="B3683" t="s">
        <v>511</v>
      </c>
      <c r="C3683" t="s">
        <v>868</v>
      </c>
      <c r="D3683" t="s">
        <v>11</v>
      </c>
      <c r="E3683">
        <v>24</v>
      </c>
      <c r="F3683" s="2">
        <f>DATE(2026,IF(Tabla1[[#This Row],[Mes de Fecha]]="Septiembre",9,10),Tabla1[[#This Row],[Día de Fecha]])</f>
        <v>46289</v>
      </c>
      <c r="G3683">
        <v>1004006497</v>
      </c>
      <c r="H3683" t="s">
        <v>383</v>
      </c>
      <c r="I3683">
        <v>82</v>
      </c>
      <c r="J3683">
        <v>0</v>
      </c>
      <c r="K3683" s="1">
        <v>4427022</v>
      </c>
    </row>
    <row r="3684" spans="1:11" x14ac:dyDescent="0.25">
      <c r="A3684" t="s">
        <v>326</v>
      </c>
      <c r="B3684" t="s">
        <v>511</v>
      </c>
      <c r="C3684" t="s">
        <v>868</v>
      </c>
      <c r="D3684" t="s">
        <v>11</v>
      </c>
      <c r="E3684">
        <v>24</v>
      </c>
      <c r="F3684" s="2">
        <f>DATE(2026,IF(Tabla1[[#This Row],[Mes de Fecha]]="Septiembre",9,10),Tabla1[[#This Row],[Día de Fecha]])</f>
        <v>46289</v>
      </c>
      <c r="G3684">
        <v>1085270297</v>
      </c>
      <c r="H3684" t="s">
        <v>364</v>
      </c>
      <c r="I3684">
        <v>34</v>
      </c>
      <c r="J3684">
        <v>0</v>
      </c>
      <c r="K3684" s="1">
        <v>1958572</v>
      </c>
    </row>
    <row r="3685" spans="1:11" x14ac:dyDescent="0.25">
      <c r="A3685" t="s">
        <v>326</v>
      </c>
      <c r="B3685" t="s">
        <v>511</v>
      </c>
      <c r="C3685" t="s">
        <v>868</v>
      </c>
      <c r="D3685" t="s">
        <v>11</v>
      </c>
      <c r="E3685">
        <v>24</v>
      </c>
      <c r="F3685" s="2">
        <f>DATE(2026,IF(Tabla1[[#This Row],[Mes de Fecha]]="Septiembre",9,10),Tabla1[[#This Row],[Día de Fecha]])</f>
        <v>46289</v>
      </c>
      <c r="G3685">
        <v>1144212178</v>
      </c>
      <c r="H3685" t="s">
        <v>336</v>
      </c>
      <c r="I3685">
        <v>100</v>
      </c>
      <c r="J3685">
        <v>0</v>
      </c>
      <c r="K3685" s="1">
        <v>5884249</v>
      </c>
    </row>
    <row r="3686" spans="1:11" x14ac:dyDescent="0.25">
      <c r="A3686" t="s">
        <v>326</v>
      </c>
      <c r="B3686" t="s">
        <v>511</v>
      </c>
      <c r="C3686" t="s">
        <v>868</v>
      </c>
      <c r="D3686" t="s">
        <v>11</v>
      </c>
      <c r="E3686">
        <v>24</v>
      </c>
      <c r="F3686" s="2">
        <f>DATE(2026,IF(Tabla1[[#This Row],[Mes de Fecha]]="Septiembre",9,10),Tabla1[[#This Row],[Día de Fecha]])</f>
        <v>46289</v>
      </c>
      <c r="G3686">
        <v>1193262111</v>
      </c>
      <c r="H3686" t="s">
        <v>513</v>
      </c>
      <c r="I3686">
        <v>25</v>
      </c>
      <c r="J3686">
        <v>0</v>
      </c>
      <c r="K3686" s="1">
        <v>1540926</v>
      </c>
    </row>
    <row r="3687" spans="1:11" x14ac:dyDescent="0.25">
      <c r="A3687" t="s">
        <v>326</v>
      </c>
      <c r="B3687" t="s">
        <v>511</v>
      </c>
      <c r="C3687" t="s">
        <v>868</v>
      </c>
      <c r="D3687" t="s">
        <v>11</v>
      </c>
      <c r="E3687">
        <v>25</v>
      </c>
      <c r="F3687" s="2">
        <f>DATE(2026,IF(Tabla1[[#This Row],[Mes de Fecha]]="Septiembre",9,10),Tabla1[[#This Row],[Día de Fecha]])</f>
        <v>46290</v>
      </c>
      <c r="I3687">
        <v>0</v>
      </c>
      <c r="J3687" s="1">
        <v>22306173</v>
      </c>
      <c r="K3687">
        <v>0</v>
      </c>
    </row>
    <row r="3688" spans="1:11" x14ac:dyDescent="0.25">
      <c r="A3688" t="s">
        <v>326</v>
      </c>
      <c r="B3688" t="s">
        <v>511</v>
      </c>
      <c r="C3688" t="s">
        <v>868</v>
      </c>
      <c r="D3688" t="s">
        <v>11</v>
      </c>
      <c r="E3688">
        <v>25</v>
      </c>
      <c r="F3688" s="2">
        <f>DATE(2026,IF(Tabla1[[#This Row],[Mes de Fecha]]="Septiembre",9,10),Tabla1[[#This Row],[Día de Fecha]])</f>
        <v>46290</v>
      </c>
      <c r="G3688">
        <v>16919109</v>
      </c>
      <c r="H3688" t="s">
        <v>390</v>
      </c>
      <c r="I3688">
        <v>-1</v>
      </c>
      <c r="J3688">
        <v>0</v>
      </c>
      <c r="K3688" s="1">
        <v>-142773</v>
      </c>
    </row>
    <row r="3689" spans="1:11" x14ac:dyDescent="0.25">
      <c r="A3689" t="s">
        <v>326</v>
      </c>
      <c r="B3689" t="s">
        <v>511</v>
      </c>
      <c r="C3689" t="s">
        <v>868</v>
      </c>
      <c r="D3689" t="s">
        <v>11</v>
      </c>
      <c r="E3689">
        <v>25</v>
      </c>
      <c r="F3689" s="2">
        <f>DATE(2026,IF(Tabla1[[#This Row],[Mes de Fecha]]="Septiembre",9,10),Tabla1[[#This Row],[Día de Fecha]])</f>
        <v>46290</v>
      </c>
      <c r="G3689">
        <v>1002607819</v>
      </c>
      <c r="H3689" t="s">
        <v>446</v>
      </c>
      <c r="I3689">
        <v>-1</v>
      </c>
      <c r="J3689">
        <v>0</v>
      </c>
      <c r="K3689" s="1">
        <v>-75546</v>
      </c>
    </row>
    <row r="3690" spans="1:11" x14ac:dyDescent="0.25">
      <c r="A3690" t="s">
        <v>326</v>
      </c>
      <c r="B3690" t="s">
        <v>511</v>
      </c>
      <c r="C3690" t="s">
        <v>868</v>
      </c>
      <c r="D3690" t="s">
        <v>11</v>
      </c>
      <c r="E3690">
        <v>25</v>
      </c>
      <c r="F3690" s="2">
        <f>DATE(2026,IF(Tabla1[[#This Row],[Mes de Fecha]]="Septiembre",9,10),Tabla1[[#This Row],[Día de Fecha]])</f>
        <v>46290</v>
      </c>
      <c r="G3690">
        <v>1004006497</v>
      </c>
      <c r="H3690" t="s">
        <v>383</v>
      </c>
      <c r="I3690">
        <v>90</v>
      </c>
      <c r="J3690">
        <v>0</v>
      </c>
      <c r="K3690" s="1">
        <v>5489711</v>
      </c>
    </row>
    <row r="3691" spans="1:11" x14ac:dyDescent="0.25">
      <c r="A3691" t="s">
        <v>326</v>
      </c>
      <c r="B3691" t="s">
        <v>511</v>
      </c>
      <c r="C3691" t="s">
        <v>868</v>
      </c>
      <c r="D3691" t="s">
        <v>11</v>
      </c>
      <c r="E3691">
        <v>25</v>
      </c>
      <c r="F3691" s="2">
        <f>DATE(2026,IF(Tabla1[[#This Row],[Mes de Fecha]]="Septiembre",9,10),Tabla1[[#This Row],[Día de Fecha]])</f>
        <v>46290</v>
      </c>
      <c r="G3691">
        <v>1085270297</v>
      </c>
      <c r="H3691" t="s">
        <v>364</v>
      </c>
      <c r="I3691">
        <v>30</v>
      </c>
      <c r="J3691">
        <v>0</v>
      </c>
      <c r="K3691" s="1">
        <v>1723490</v>
      </c>
    </row>
    <row r="3692" spans="1:11" x14ac:dyDescent="0.25">
      <c r="A3692" t="s">
        <v>326</v>
      </c>
      <c r="B3692" t="s">
        <v>511</v>
      </c>
      <c r="C3692" t="s">
        <v>868</v>
      </c>
      <c r="D3692" t="s">
        <v>11</v>
      </c>
      <c r="E3692">
        <v>25</v>
      </c>
      <c r="F3692" s="2">
        <f>DATE(2026,IF(Tabla1[[#This Row],[Mes de Fecha]]="Septiembre",9,10),Tabla1[[#This Row],[Día de Fecha]])</f>
        <v>46290</v>
      </c>
      <c r="G3692">
        <v>1144212178</v>
      </c>
      <c r="H3692" t="s">
        <v>336</v>
      </c>
      <c r="I3692">
        <v>77</v>
      </c>
      <c r="J3692">
        <v>0</v>
      </c>
      <c r="K3692" s="1">
        <v>5118532</v>
      </c>
    </row>
    <row r="3693" spans="1:11" x14ac:dyDescent="0.25">
      <c r="A3693" t="s">
        <v>326</v>
      </c>
      <c r="B3693" t="s">
        <v>511</v>
      </c>
      <c r="C3693" t="s">
        <v>868</v>
      </c>
      <c r="D3693" t="s">
        <v>11</v>
      </c>
      <c r="E3693">
        <v>25</v>
      </c>
      <c r="F3693" s="2">
        <f>DATE(2026,IF(Tabla1[[#This Row],[Mes de Fecha]]="Septiembre",9,10),Tabla1[[#This Row],[Día de Fecha]])</f>
        <v>46290</v>
      </c>
      <c r="G3693">
        <v>1193262111</v>
      </c>
      <c r="H3693" t="s">
        <v>513</v>
      </c>
      <c r="I3693">
        <v>40</v>
      </c>
      <c r="J3693">
        <v>0</v>
      </c>
      <c r="K3693" s="1">
        <v>2206093</v>
      </c>
    </row>
    <row r="3694" spans="1:11" x14ac:dyDescent="0.25">
      <c r="A3694" t="s">
        <v>326</v>
      </c>
      <c r="B3694" t="s">
        <v>511</v>
      </c>
      <c r="C3694" t="s">
        <v>868</v>
      </c>
      <c r="D3694" t="s">
        <v>11</v>
      </c>
      <c r="E3694">
        <v>26</v>
      </c>
      <c r="F3694" s="2">
        <f>DATE(2026,IF(Tabla1[[#This Row],[Mes de Fecha]]="Septiembre",9,10),Tabla1[[#This Row],[Día de Fecha]])</f>
        <v>46291</v>
      </c>
      <c r="I3694">
        <v>0</v>
      </c>
      <c r="J3694" s="1">
        <v>32057179</v>
      </c>
      <c r="K3694">
        <v>0</v>
      </c>
    </row>
    <row r="3695" spans="1:11" x14ac:dyDescent="0.25">
      <c r="A3695" t="s">
        <v>326</v>
      </c>
      <c r="B3695" t="s">
        <v>511</v>
      </c>
      <c r="C3695" t="s">
        <v>868</v>
      </c>
      <c r="D3695" t="s">
        <v>11</v>
      </c>
      <c r="E3695">
        <v>26</v>
      </c>
      <c r="F3695" s="2">
        <f>DATE(2026,IF(Tabla1[[#This Row],[Mes de Fecha]]="Septiembre",9,10),Tabla1[[#This Row],[Día de Fecha]])</f>
        <v>46291</v>
      </c>
      <c r="G3695">
        <v>1004006497</v>
      </c>
      <c r="H3695" t="s">
        <v>383</v>
      </c>
      <c r="I3695">
        <v>139</v>
      </c>
      <c r="J3695">
        <v>0</v>
      </c>
      <c r="K3695" s="1">
        <v>8319206</v>
      </c>
    </row>
    <row r="3696" spans="1:11" x14ac:dyDescent="0.25">
      <c r="A3696" t="s">
        <v>326</v>
      </c>
      <c r="B3696" t="s">
        <v>511</v>
      </c>
      <c r="C3696" t="s">
        <v>868</v>
      </c>
      <c r="D3696" t="s">
        <v>11</v>
      </c>
      <c r="E3696">
        <v>26</v>
      </c>
      <c r="F3696" s="2">
        <f>DATE(2026,IF(Tabla1[[#This Row],[Mes de Fecha]]="Septiembre",9,10),Tabla1[[#This Row],[Día de Fecha]])</f>
        <v>46291</v>
      </c>
      <c r="G3696">
        <v>1085270297</v>
      </c>
      <c r="H3696" t="s">
        <v>364</v>
      </c>
      <c r="I3696">
        <v>116</v>
      </c>
      <c r="J3696">
        <v>0</v>
      </c>
      <c r="K3696" s="1">
        <v>6931519</v>
      </c>
    </row>
    <row r="3697" spans="1:11" x14ac:dyDescent="0.25">
      <c r="A3697" t="s">
        <v>326</v>
      </c>
      <c r="B3697" t="s">
        <v>511</v>
      </c>
      <c r="C3697" t="s">
        <v>868</v>
      </c>
      <c r="D3697" t="s">
        <v>11</v>
      </c>
      <c r="E3697">
        <v>26</v>
      </c>
      <c r="F3697" s="2">
        <f>DATE(2026,IF(Tabla1[[#This Row],[Mes de Fecha]]="Septiembre",9,10),Tabla1[[#This Row],[Día de Fecha]])</f>
        <v>46291</v>
      </c>
      <c r="G3697">
        <v>1144212178</v>
      </c>
      <c r="H3697" t="s">
        <v>336</v>
      </c>
      <c r="I3697">
        <v>224</v>
      </c>
      <c r="J3697">
        <v>0</v>
      </c>
      <c r="K3697" s="1">
        <v>12809087</v>
      </c>
    </row>
    <row r="3698" spans="1:11" x14ac:dyDescent="0.25">
      <c r="A3698" t="s">
        <v>326</v>
      </c>
      <c r="B3698" t="s">
        <v>511</v>
      </c>
      <c r="C3698" t="s">
        <v>868</v>
      </c>
      <c r="D3698" t="s">
        <v>11</v>
      </c>
      <c r="E3698">
        <v>26</v>
      </c>
      <c r="F3698" s="2">
        <f>DATE(2026,IF(Tabla1[[#This Row],[Mes de Fecha]]="Septiembre",9,10),Tabla1[[#This Row],[Día de Fecha]])</f>
        <v>46291</v>
      </c>
      <c r="G3698">
        <v>1193262111</v>
      </c>
      <c r="H3698" t="s">
        <v>513</v>
      </c>
      <c r="I3698">
        <v>103</v>
      </c>
      <c r="J3698">
        <v>0</v>
      </c>
      <c r="K3698" s="1">
        <v>5982778</v>
      </c>
    </row>
    <row r="3699" spans="1:11" x14ac:dyDescent="0.25">
      <c r="A3699" t="s">
        <v>326</v>
      </c>
      <c r="B3699" t="s">
        <v>511</v>
      </c>
      <c r="C3699" t="s">
        <v>868</v>
      </c>
      <c r="D3699" t="s">
        <v>11</v>
      </c>
      <c r="E3699">
        <v>27</v>
      </c>
      <c r="F3699" s="2">
        <f>DATE(2026,IF(Tabla1[[#This Row],[Mes de Fecha]]="Septiembre",9,10),Tabla1[[#This Row],[Día de Fecha]])</f>
        <v>46292</v>
      </c>
      <c r="I3699">
        <v>0</v>
      </c>
      <c r="J3699" s="1">
        <v>25395736</v>
      </c>
      <c r="K3699">
        <v>0</v>
      </c>
    </row>
    <row r="3700" spans="1:11" x14ac:dyDescent="0.25">
      <c r="A3700" t="s">
        <v>326</v>
      </c>
      <c r="B3700" t="s">
        <v>511</v>
      </c>
      <c r="C3700" t="s">
        <v>868</v>
      </c>
      <c r="D3700" t="s">
        <v>11</v>
      </c>
      <c r="E3700">
        <v>27</v>
      </c>
      <c r="F3700" s="2">
        <f>DATE(2026,IF(Tabla1[[#This Row],[Mes de Fecha]]="Septiembre",9,10),Tabla1[[#This Row],[Día de Fecha]])</f>
        <v>46292</v>
      </c>
      <c r="G3700">
        <v>1004006497</v>
      </c>
      <c r="H3700" t="s">
        <v>383</v>
      </c>
      <c r="I3700">
        <v>126</v>
      </c>
      <c r="J3700">
        <v>0</v>
      </c>
      <c r="K3700" s="1">
        <v>6491980</v>
      </c>
    </row>
    <row r="3701" spans="1:11" x14ac:dyDescent="0.25">
      <c r="A3701" t="s">
        <v>326</v>
      </c>
      <c r="B3701" t="s">
        <v>511</v>
      </c>
      <c r="C3701" t="s">
        <v>868</v>
      </c>
      <c r="D3701" t="s">
        <v>11</v>
      </c>
      <c r="E3701">
        <v>27</v>
      </c>
      <c r="F3701" s="2">
        <f>DATE(2026,IF(Tabla1[[#This Row],[Mes de Fecha]]="Septiembre",9,10),Tabla1[[#This Row],[Día de Fecha]])</f>
        <v>46292</v>
      </c>
      <c r="G3701">
        <v>1085270297</v>
      </c>
      <c r="H3701" t="s">
        <v>364</v>
      </c>
      <c r="I3701">
        <v>41</v>
      </c>
      <c r="J3701">
        <v>0</v>
      </c>
      <c r="K3701" s="1">
        <v>2130169</v>
      </c>
    </row>
    <row r="3702" spans="1:11" x14ac:dyDescent="0.25">
      <c r="A3702" t="s">
        <v>326</v>
      </c>
      <c r="B3702" t="s">
        <v>511</v>
      </c>
      <c r="C3702" t="s">
        <v>868</v>
      </c>
      <c r="D3702" t="s">
        <v>11</v>
      </c>
      <c r="E3702">
        <v>27</v>
      </c>
      <c r="F3702" s="2">
        <f>DATE(2026,IF(Tabla1[[#This Row],[Mes de Fecha]]="Septiembre",9,10),Tabla1[[#This Row],[Día de Fecha]])</f>
        <v>46292</v>
      </c>
      <c r="G3702">
        <v>1144212178</v>
      </c>
      <c r="H3702" t="s">
        <v>336</v>
      </c>
      <c r="I3702">
        <v>161</v>
      </c>
      <c r="J3702">
        <v>0</v>
      </c>
      <c r="K3702" s="1">
        <v>8923119</v>
      </c>
    </row>
    <row r="3703" spans="1:11" x14ac:dyDescent="0.25">
      <c r="A3703" t="s">
        <v>326</v>
      </c>
      <c r="B3703" t="s">
        <v>511</v>
      </c>
      <c r="C3703" t="s">
        <v>868</v>
      </c>
      <c r="D3703" t="s">
        <v>11</v>
      </c>
      <c r="E3703">
        <v>27</v>
      </c>
      <c r="F3703" s="2">
        <f>DATE(2026,IF(Tabla1[[#This Row],[Mes de Fecha]]="Septiembre",9,10),Tabla1[[#This Row],[Día de Fecha]])</f>
        <v>46292</v>
      </c>
      <c r="G3703">
        <v>1193262111</v>
      </c>
      <c r="H3703" t="s">
        <v>513</v>
      </c>
      <c r="I3703">
        <v>11</v>
      </c>
      <c r="J3703">
        <v>0</v>
      </c>
      <c r="K3703" s="1">
        <v>688614</v>
      </c>
    </row>
    <row r="3704" spans="1:11" x14ac:dyDescent="0.25">
      <c r="A3704" t="s">
        <v>326</v>
      </c>
      <c r="B3704" t="s">
        <v>511</v>
      </c>
      <c r="C3704" t="s">
        <v>868</v>
      </c>
      <c r="D3704" t="s">
        <v>11</v>
      </c>
      <c r="E3704">
        <v>28</v>
      </c>
      <c r="F3704" s="2">
        <f>DATE(2026,IF(Tabla1[[#This Row],[Mes de Fecha]]="Septiembre",9,10),Tabla1[[#This Row],[Día de Fecha]])</f>
        <v>46293</v>
      </c>
      <c r="I3704">
        <v>0</v>
      </c>
      <c r="J3704" s="1">
        <v>13976770</v>
      </c>
      <c r="K3704">
        <v>0</v>
      </c>
    </row>
    <row r="3705" spans="1:11" x14ac:dyDescent="0.25">
      <c r="A3705" t="s">
        <v>326</v>
      </c>
      <c r="B3705" t="s">
        <v>511</v>
      </c>
      <c r="C3705" t="s">
        <v>868</v>
      </c>
      <c r="D3705" t="s">
        <v>11</v>
      </c>
      <c r="E3705">
        <v>28</v>
      </c>
      <c r="F3705" s="2">
        <f>DATE(2026,IF(Tabla1[[#This Row],[Mes de Fecha]]="Septiembre",9,10),Tabla1[[#This Row],[Día de Fecha]])</f>
        <v>46293</v>
      </c>
      <c r="G3705">
        <v>1004006497</v>
      </c>
      <c r="H3705" t="s">
        <v>383</v>
      </c>
      <c r="I3705">
        <v>48</v>
      </c>
      <c r="J3705">
        <v>0</v>
      </c>
      <c r="K3705" s="1">
        <v>3186766</v>
      </c>
    </row>
    <row r="3706" spans="1:11" x14ac:dyDescent="0.25">
      <c r="A3706" t="s">
        <v>326</v>
      </c>
      <c r="B3706" t="s">
        <v>511</v>
      </c>
      <c r="C3706" t="s">
        <v>868</v>
      </c>
      <c r="D3706" t="s">
        <v>11</v>
      </c>
      <c r="E3706">
        <v>28</v>
      </c>
      <c r="F3706" s="2">
        <f>DATE(2026,IF(Tabla1[[#This Row],[Mes de Fecha]]="Septiembre",9,10),Tabla1[[#This Row],[Día de Fecha]])</f>
        <v>46293</v>
      </c>
      <c r="G3706">
        <v>1085270297</v>
      </c>
      <c r="H3706" t="s">
        <v>364</v>
      </c>
      <c r="I3706">
        <v>32</v>
      </c>
      <c r="J3706">
        <v>0</v>
      </c>
      <c r="K3706" s="1">
        <v>1826303</v>
      </c>
    </row>
    <row r="3707" spans="1:11" x14ac:dyDescent="0.25">
      <c r="A3707" t="s">
        <v>326</v>
      </c>
      <c r="B3707" t="s">
        <v>511</v>
      </c>
      <c r="C3707" t="s">
        <v>868</v>
      </c>
      <c r="D3707" t="s">
        <v>11</v>
      </c>
      <c r="E3707">
        <v>28</v>
      </c>
      <c r="F3707" s="2">
        <f>DATE(2026,IF(Tabla1[[#This Row],[Mes de Fecha]]="Septiembre",9,10),Tabla1[[#This Row],[Día de Fecha]])</f>
        <v>46293</v>
      </c>
      <c r="G3707">
        <v>1108643619</v>
      </c>
      <c r="H3707" t="s">
        <v>514</v>
      </c>
      <c r="I3707">
        <v>1</v>
      </c>
      <c r="J3707">
        <v>0</v>
      </c>
      <c r="K3707" s="1">
        <v>62983</v>
      </c>
    </row>
    <row r="3708" spans="1:11" x14ac:dyDescent="0.25">
      <c r="A3708" t="s">
        <v>326</v>
      </c>
      <c r="B3708" t="s">
        <v>511</v>
      </c>
      <c r="C3708" t="s">
        <v>868</v>
      </c>
      <c r="D3708" t="s">
        <v>11</v>
      </c>
      <c r="E3708">
        <v>28</v>
      </c>
      <c r="F3708" s="2">
        <f>DATE(2026,IF(Tabla1[[#This Row],[Mes de Fecha]]="Septiembre",9,10),Tabla1[[#This Row],[Día de Fecha]])</f>
        <v>46293</v>
      </c>
      <c r="G3708">
        <v>1144212178</v>
      </c>
      <c r="H3708" t="s">
        <v>336</v>
      </c>
      <c r="I3708">
        <v>69</v>
      </c>
      <c r="J3708">
        <v>0</v>
      </c>
      <c r="K3708" s="1">
        <v>4122818</v>
      </c>
    </row>
    <row r="3709" spans="1:11" x14ac:dyDescent="0.25">
      <c r="A3709" t="s">
        <v>326</v>
      </c>
      <c r="B3709" t="s">
        <v>511</v>
      </c>
      <c r="C3709" t="s">
        <v>868</v>
      </c>
      <c r="D3709" t="s">
        <v>11</v>
      </c>
      <c r="E3709">
        <v>28</v>
      </c>
      <c r="F3709" s="2">
        <f>DATE(2026,IF(Tabla1[[#This Row],[Mes de Fecha]]="Septiembre",9,10),Tabla1[[#This Row],[Día de Fecha]])</f>
        <v>46293</v>
      </c>
      <c r="G3709">
        <v>1193262111</v>
      </c>
      <c r="H3709" t="s">
        <v>513</v>
      </c>
      <c r="I3709">
        <v>32</v>
      </c>
      <c r="J3709">
        <v>0</v>
      </c>
      <c r="K3709" s="1">
        <v>1864035</v>
      </c>
    </row>
    <row r="3710" spans="1:11" x14ac:dyDescent="0.25">
      <c r="A3710" t="s">
        <v>326</v>
      </c>
      <c r="B3710" t="s">
        <v>511</v>
      </c>
      <c r="C3710" t="s">
        <v>868</v>
      </c>
      <c r="D3710" t="s">
        <v>11</v>
      </c>
      <c r="E3710">
        <v>29</v>
      </c>
      <c r="F3710" s="2">
        <f>DATE(2026,IF(Tabla1[[#This Row],[Mes de Fecha]]="Septiembre",9,10),Tabla1[[#This Row],[Día de Fecha]])</f>
        <v>46294</v>
      </c>
      <c r="I3710">
        <v>0</v>
      </c>
      <c r="J3710" s="1">
        <v>14929928</v>
      </c>
      <c r="K3710">
        <v>0</v>
      </c>
    </row>
    <row r="3711" spans="1:11" x14ac:dyDescent="0.25">
      <c r="A3711" t="s">
        <v>326</v>
      </c>
      <c r="B3711" t="s">
        <v>511</v>
      </c>
      <c r="C3711" t="s">
        <v>868</v>
      </c>
      <c r="D3711" t="s">
        <v>11</v>
      </c>
      <c r="E3711">
        <v>29</v>
      </c>
      <c r="F3711" s="2">
        <f>DATE(2026,IF(Tabla1[[#This Row],[Mes de Fecha]]="Septiembre",9,10),Tabla1[[#This Row],[Día de Fecha]])</f>
        <v>46294</v>
      </c>
      <c r="G3711">
        <v>1004006497</v>
      </c>
      <c r="H3711" t="s">
        <v>383</v>
      </c>
      <c r="I3711">
        <v>32</v>
      </c>
      <c r="J3711">
        <v>0</v>
      </c>
      <c r="K3711" s="1">
        <v>1927062</v>
      </c>
    </row>
    <row r="3712" spans="1:11" x14ac:dyDescent="0.25">
      <c r="A3712" t="s">
        <v>326</v>
      </c>
      <c r="B3712" t="s">
        <v>511</v>
      </c>
      <c r="C3712" t="s">
        <v>868</v>
      </c>
      <c r="D3712" t="s">
        <v>11</v>
      </c>
      <c r="E3712">
        <v>29</v>
      </c>
      <c r="F3712" s="2">
        <f>DATE(2026,IF(Tabla1[[#This Row],[Mes de Fecha]]="Septiembre",9,10),Tabla1[[#This Row],[Día de Fecha]])</f>
        <v>46294</v>
      </c>
      <c r="G3712">
        <v>1085270297</v>
      </c>
      <c r="H3712" t="s">
        <v>364</v>
      </c>
      <c r="I3712">
        <v>62</v>
      </c>
      <c r="J3712">
        <v>0</v>
      </c>
      <c r="K3712" s="1">
        <v>2887731</v>
      </c>
    </row>
    <row r="3713" spans="1:11" x14ac:dyDescent="0.25">
      <c r="A3713" t="s">
        <v>326</v>
      </c>
      <c r="B3713" t="s">
        <v>511</v>
      </c>
      <c r="C3713" t="s">
        <v>868</v>
      </c>
      <c r="D3713" t="s">
        <v>11</v>
      </c>
      <c r="E3713">
        <v>29</v>
      </c>
      <c r="F3713" s="2">
        <f>DATE(2026,IF(Tabla1[[#This Row],[Mes de Fecha]]="Septiembre",9,10),Tabla1[[#This Row],[Día de Fecha]])</f>
        <v>46294</v>
      </c>
      <c r="G3713">
        <v>1108643619</v>
      </c>
      <c r="H3713" t="s">
        <v>514</v>
      </c>
      <c r="I3713">
        <v>4</v>
      </c>
      <c r="J3713">
        <v>0</v>
      </c>
      <c r="K3713" s="1">
        <v>205630</v>
      </c>
    </row>
    <row r="3714" spans="1:11" x14ac:dyDescent="0.25">
      <c r="A3714" t="s">
        <v>326</v>
      </c>
      <c r="B3714" t="s">
        <v>511</v>
      </c>
      <c r="C3714" t="s">
        <v>868</v>
      </c>
      <c r="D3714" t="s">
        <v>11</v>
      </c>
      <c r="E3714">
        <v>29</v>
      </c>
      <c r="F3714" s="2">
        <f>DATE(2026,IF(Tabla1[[#This Row],[Mes de Fecha]]="Septiembre",9,10),Tabla1[[#This Row],[Día de Fecha]])</f>
        <v>46294</v>
      </c>
      <c r="G3714">
        <v>1144212178</v>
      </c>
      <c r="H3714" t="s">
        <v>336</v>
      </c>
      <c r="I3714">
        <v>44</v>
      </c>
      <c r="J3714">
        <v>0</v>
      </c>
      <c r="K3714" s="1">
        <v>2316934</v>
      </c>
    </row>
    <row r="3715" spans="1:11" x14ac:dyDescent="0.25">
      <c r="A3715" t="s">
        <v>326</v>
      </c>
      <c r="B3715" t="s">
        <v>511</v>
      </c>
      <c r="C3715" t="s">
        <v>868</v>
      </c>
      <c r="D3715" t="s">
        <v>11</v>
      </c>
      <c r="E3715">
        <v>29</v>
      </c>
      <c r="F3715" s="2">
        <f>DATE(2026,IF(Tabla1[[#This Row],[Mes de Fecha]]="Septiembre",9,10),Tabla1[[#This Row],[Día de Fecha]])</f>
        <v>46294</v>
      </c>
      <c r="G3715">
        <v>1193262111</v>
      </c>
      <c r="H3715" t="s">
        <v>513</v>
      </c>
      <c r="I3715">
        <v>96</v>
      </c>
      <c r="J3715">
        <v>0</v>
      </c>
      <c r="K3715" s="1">
        <v>5209121</v>
      </c>
    </row>
    <row r="3716" spans="1:11" x14ac:dyDescent="0.25">
      <c r="A3716" t="s">
        <v>326</v>
      </c>
      <c r="B3716" t="s">
        <v>511</v>
      </c>
      <c r="C3716" t="s">
        <v>868</v>
      </c>
      <c r="D3716" t="s">
        <v>11</v>
      </c>
      <c r="E3716">
        <v>30</v>
      </c>
      <c r="F3716" s="2">
        <f>DATE(2026,IF(Tabla1[[#This Row],[Mes de Fecha]]="Septiembre",9,10),Tabla1[[#This Row],[Día de Fecha]])</f>
        <v>46295</v>
      </c>
      <c r="I3716">
        <v>0</v>
      </c>
      <c r="J3716" s="1">
        <v>15422880</v>
      </c>
      <c r="K3716">
        <v>0</v>
      </c>
    </row>
    <row r="3717" spans="1:11" x14ac:dyDescent="0.25">
      <c r="A3717" t="s">
        <v>326</v>
      </c>
      <c r="B3717" t="s">
        <v>511</v>
      </c>
      <c r="C3717" t="s">
        <v>868</v>
      </c>
      <c r="D3717" t="s">
        <v>11</v>
      </c>
      <c r="E3717">
        <v>30</v>
      </c>
      <c r="F3717" s="2">
        <f>DATE(2026,IF(Tabla1[[#This Row],[Mes de Fecha]]="Septiembre",9,10),Tabla1[[#This Row],[Día de Fecha]])</f>
        <v>46295</v>
      </c>
      <c r="G3717">
        <v>1004006497</v>
      </c>
      <c r="H3717" t="s">
        <v>383</v>
      </c>
      <c r="I3717">
        <v>73</v>
      </c>
      <c r="J3717">
        <v>0</v>
      </c>
      <c r="K3717" s="1">
        <v>3880466</v>
      </c>
    </row>
    <row r="3718" spans="1:11" x14ac:dyDescent="0.25">
      <c r="A3718" t="s">
        <v>326</v>
      </c>
      <c r="B3718" t="s">
        <v>511</v>
      </c>
      <c r="C3718" t="s">
        <v>868</v>
      </c>
      <c r="D3718" t="s">
        <v>11</v>
      </c>
      <c r="E3718">
        <v>30</v>
      </c>
      <c r="F3718" s="2">
        <f>DATE(2026,IF(Tabla1[[#This Row],[Mes de Fecha]]="Septiembre",9,10),Tabla1[[#This Row],[Día de Fecha]])</f>
        <v>46295</v>
      </c>
      <c r="G3718">
        <v>1085270297</v>
      </c>
      <c r="H3718" t="s">
        <v>364</v>
      </c>
      <c r="I3718">
        <v>40</v>
      </c>
      <c r="J3718">
        <v>0</v>
      </c>
      <c r="K3718" s="1">
        <v>2380338</v>
      </c>
    </row>
    <row r="3719" spans="1:11" x14ac:dyDescent="0.25">
      <c r="A3719" t="s">
        <v>326</v>
      </c>
      <c r="B3719" t="s">
        <v>511</v>
      </c>
      <c r="C3719" t="s">
        <v>868</v>
      </c>
      <c r="D3719" t="s">
        <v>11</v>
      </c>
      <c r="E3719">
        <v>30</v>
      </c>
      <c r="F3719" s="2">
        <f>DATE(2026,IF(Tabla1[[#This Row],[Mes de Fecha]]="Septiembre",9,10),Tabla1[[#This Row],[Día de Fecha]])</f>
        <v>46295</v>
      </c>
      <c r="G3719">
        <v>1144212178</v>
      </c>
      <c r="H3719" t="s">
        <v>336</v>
      </c>
      <c r="I3719">
        <v>71</v>
      </c>
      <c r="J3719">
        <v>0</v>
      </c>
      <c r="K3719" s="1">
        <v>3996259</v>
      </c>
    </row>
    <row r="3720" spans="1:11" x14ac:dyDescent="0.25">
      <c r="A3720" t="s">
        <v>326</v>
      </c>
      <c r="B3720" t="s">
        <v>511</v>
      </c>
      <c r="C3720" t="s">
        <v>868</v>
      </c>
      <c r="D3720" t="s">
        <v>11</v>
      </c>
      <c r="E3720">
        <v>30</v>
      </c>
      <c r="F3720" s="2">
        <f>DATE(2026,IF(Tabla1[[#This Row],[Mes de Fecha]]="Septiembre",9,10),Tabla1[[#This Row],[Día de Fecha]])</f>
        <v>46295</v>
      </c>
      <c r="G3720">
        <v>1193262111</v>
      </c>
      <c r="H3720" t="s">
        <v>513</v>
      </c>
      <c r="I3720">
        <v>75</v>
      </c>
      <c r="J3720">
        <v>0</v>
      </c>
      <c r="K3720" s="1">
        <v>3689495</v>
      </c>
    </row>
    <row r="3721" spans="1:11" x14ac:dyDescent="0.25">
      <c r="A3721" t="s">
        <v>326</v>
      </c>
      <c r="B3721" t="s">
        <v>511</v>
      </c>
      <c r="C3721" t="s">
        <v>868</v>
      </c>
      <c r="D3721" t="s">
        <v>14</v>
      </c>
      <c r="E3721">
        <v>1</v>
      </c>
      <c r="F3721" s="2">
        <f>DATE(2026,IF(Tabla1[[#This Row],[Mes de Fecha]]="Septiembre",9,10),Tabla1[[#This Row],[Día de Fecha]])</f>
        <v>46296</v>
      </c>
      <c r="I3721">
        <v>0</v>
      </c>
      <c r="J3721" s="1">
        <v>10660310</v>
      </c>
      <c r="K3721">
        <v>0</v>
      </c>
    </row>
    <row r="3722" spans="1:11" x14ac:dyDescent="0.25">
      <c r="A3722" t="s">
        <v>326</v>
      </c>
      <c r="B3722" t="s">
        <v>511</v>
      </c>
      <c r="C3722" t="s">
        <v>868</v>
      </c>
      <c r="D3722" t="s">
        <v>14</v>
      </c>
      <c r="E3722">
        <v>1</v>
      </c>
      <c r="F3722" s="2">
        <f>DATE(2026,IF(Tabla1[[#This Row],[Mes de Fecha]]="Septiembre",9,10),Tabla1[[#This Row],[Día de Fecha]])</f>
        <v>46296</v>
      </c>
      <c r="G3722">
        <v>1004006497</v>
      </c>
      <c r="H3722" t="s">
        <v>383</v>
      </c>
      <c r="I3722">
        <v>107</v>
      </c>
      <c r="J3722">
        <v>0</v>
      </c>
      <c r="K3722" s="1">
        <v>5545047</v>
      </c>
    </row>
    <row r="3723" spans="1:11" x14ac:dyDescent="0.25">
      <c r="A3723" t="s">
        <v>326</v>
      </c>
      <c r="B3723" t="s">
        <v>511</v>
      </c>
      <c r="C3723" t="s">
        <v>868</v>
      </c>
      <c r="D3723" t="s">
        <v>14</v>
      </c>
      <c r="E3723">
        <v>1</v>
      </c>
      <c r="F3723" s="2">
        <f>DATE(2026,IF(Tabla1[[#This Row],[Mes de Fecha]]="Septiembre",9,10),Tabla1[[#This Row],[Día de Fecha]])</f>
        <v>46296</v>
      </c>
      <c r="G3723">
        <v>1085270297</v>
      </c>
      <c r="H3723" t="s">
        <v>364</v>
      </c>
      <c r="I3723">
        <v>50</v>
      </c>
      <c r="J3723">
        <v>0</v>
      </c>
      <c r="K3723" s="1">
        <v>2560380</v>
      </c>
    </row>
    <row r="3724" spans="1:11" x14ac:dyDescent="0.25">
      <c r="A3724" t="s">
        <v>326</v>
      </c>
      <c r="B3724" t="s">
        <v>511</v>
      </c>
      <c r="C3724" t="s">
        <v>868</v>
      </c>
      <c r="D3724" t="s">
        <v>14</v>
      </c>
      <c r="E3724">
        <v>1</v>
      </c>
      <c r="F3724" s="2">
        <f>DATE(2026,IF(Tabla1[[#This Row],[Mes de Fecha]]="Septiembre",9,10),Tabla1[[#This Row],[Día de Fecha]])</f>
        <v>46296</v>
      </c>
      <c r="G3724">
        <v>1108332060</v>
      </c>
      <c r="H3724" t="s">
        <v>515</v>
      </c>
      <c r="I3724">
        <v>-2</v>
      </c>
      <c r="J3724">
        <v>0</v>
      </c>
      <c r="K3724" s="1">
        <v>-109076</v>
      </c>
    </row>
    <row r="3725" spans="1:11" x14ac:dyDescent="0.25">
      <c r="A3725" t="s">
        <v>326</v>
      </c>
      <c r="B3725" t="s">
        <v>511</v>
      </c>
      <c r="C3725" t="s">
        <v>868</v>
      </c>
      <c r="D3725" t="s">
        <v>14</v>
      </c>
      <c r="E3725">
        <v>1</v>
      </c>
      <c r="F3725" s="2">
        <f>DATE(2026,IF(Tabla1[[#This Row],[Mes de Fecha]]="Septiembre",9,10),Tabla1[[#This Row],[Día de Fecha]])</f>
        <v>46296</v>
      </c>
      <c r="G3725">
        <v>1108643619</v>
      </c>
      <c r="H3725" t="s">
        <v>514</v>
      </c>
      <c r="I3725">
        <v>0</v>
      </c>
      <c r="J3725">
        <v>0</v>
      </c>
      <c r="K3725" s="1">
        <v>-25168</v>
      </c>
    </row>
    <row r="3726" spans="1:11" x14ac:dyDescent="0.25">
      <c r="A3726" t="s">
        <v>326</v>
      </c>
      <c r="B3726" t="s">
        <v>511</v>
      </c>
      <c r="C3726" t="s">
        <v>868</v>
      </c>
      <c r="D3726" t="s">
        <v>14</v>
      </c>
      <c r="E3726">
        <v>1</v>
      </c>
      <c r="F3726" s="2">
        <f>DATE(2026,IF(Tabla1[[#This Row],[Mes de Fecha]]="Septiembre",9,10),Tabla1[[#This Row],[Día de Fecha]])</f>
        <v>46296</v>
      </c>
      <c r="G3726">
        <v>1144158340</v>
      </c>
      <c r="H3726" t="s">
        <v>375</v>
      </c>
      <c r="I3726">
        <v>-1</v>
      </c>
      <c r="J3726">
        <v>0</v>
      </c>
      <c r="K3726" s="1">
        <v>-37773</v>
      </c>
    </row>
    <row r="3727" spans="1:11" x14ac:dyDescent="0.25">
      <c r="A3727" t="s">
        <v>326</v>
      </c>
      <c r="B3727" t="s">
        <v>511</v>
      </c>
      <c r="C3727" t="s">
        <v>868</v>
      </c>
      <c r="D3727" t="s">
        <v>14</v>
      </c>
      <c r="E3727">
        <v>1</v>
      </c>
      <c r="F3727" s="2">
        <f>DATE(2026,IF(Tabla1[[#This Row],[Mes de Fecha]]="Septiembre",9,10),Tabla1[[#This Row],[Día de Fecha]])</f>
        <v>46296</v>
      </c>
      <c r="G3727">
        <v>1144212178</v>
      </c>
      <c r="H3727" t="s">
        <v>336</v>
      </c>
      <c r="I3727">
        <v>63</v>
      </c>
      <c r="J3727">
        <v>0</v>
      </c>
      <c r="K3727" s="1">
        <v>3730084</v>
      </c>
    </row>
    <row r="3728" spans="1:11" x14ac:dyDescent="0.25">
      <c r="A3728" t="s">
        <v>326</v>
      </c>
      <c r="B3728" t="s">
        <v>511</v>
      </c>
      <c r="C3728" t="s">
        <v>868</v>
      </c>
      <c r="D3728" t="s">
        <v>14</v>
      </c>
      <c r="E3728">
        <v>1</v>
      </c>
      <c r="F3728" s="2">
        <f>DATE(2026,IF(Tabla1[[#This Row],[Mes de Fecha]]="Septiembre",9,10),Tabla1[[#This Row],[Día de Fecha]])</f>
        <v>46296</v>
      </c>
      <c r="G3728">
        <v>1193262111</v>
      </c>
      <c r="H3728" t="s">
        <v>513</v>
      </c>
      <c r="I3728">
        <v>58</v>
      </c>
      <c r="J3728">
        <v>0</v>
      </c>
      <c r="K3728" s="1">
        <v>2982354</v>
      </c>
    </row>
    <row r="3729" spans="1:11" x14ac:dyDescent="0.25">
      <c r="A3729" t="s">
        <v>326</v>
      </c>
      <c r="B3729" t="s">
        <v>511</v>
      </c>
      <c r="C3729" t="s">
        <v>868</v>
      </c>
      <c r="D3729" t="s">
        <v>14</v>
      </c>
      <c r="E3729">
        <v>2</v>
      </c>
      <c r="F3729" s="2">
        <f>DATE(2026,IF(Tabla1[[#This Row],[Mes de Fecha]]="Septiembre",9,10),Tabla1[[#This Row],[Día de Fecha]])</f>
        <v>46297</v>
      </c>
      <c r="I3729">
        <v>0</v>
      </c>
      <c r="J3729" s="1">
        <v>9381915</v>
      </c>
      <c r="K3729">
        <v>0</v>
      </c>
    </row>
    <row r="3730" spans="1:11" x14ac:dyDescent="0.25">
      <c r="A3730" t="s">
        <v>326</v>
      </c>
      <c r="B3730" t="s">
        <v>511</v>
      </c>
      <c r="C3730" t="s">
        <v>868</v>
      </c>
      <c r="D3730" t="s">
        <v>14</v>
      </c>
      <c r="E3730">
        <v>2</v>
      </c>
      <c r="F3730" s="2">
        <f>DATE(2026,IF(Tabla1[[#This Row],[Mes de Fecha]]="Septiembre",9,10),Tabla1[[#This Row],[Día de Fecha]])</f>
        <v>46297</v>
      </c>
      <c r="G3730">
        <v>1004006497</v>
      </c>
      <c r="H3730" t="s">
        <v>383</v>
      </c>
      <c r="I3730">
        <v>117</v>
      </c>
      <c r="J3730">
        <v>0</v>
      </c>
      <c r="K3730" s="1">
        <v>6231682</v>
      </c>
    </row>
    <row r="3731" spans="1:11" x14ac:dyDescent="0.25">
      <c r="A3731" t="s">
        <v>326</v>
      </c>
      <c r="B3731" t="s">
        <v>511</v>
      </c>
      <c r="C3731" t="s">
        <v>868</v>
      </c>
      <c r="D3731" t="s">
        <v>14</v>
      </c>
      <c r="E3731">
        <v>2</v>
      </c>
      <c r="F3731" s="2">
        <f>DATE(2026,IF(Tabla1[[#This Row],[Mes de Fecha]]="Septiembre",9,10),Tabla1[[#This Row],[Día de Fecha]])</f>
        <v>46297</v>
      </c>
      <c r="G3731">
        <v>1085270297</v>
      </c>
      <c r="H3731" t="s">
        <v>364</v>
      </c>
      <c r="I3731">
        <v>37</v>
      </c>
      <c r="J3731">
        <v>0</v>
      </c>
      <c r="K3731" s="1">
        <v>2086598</v>
      </c>
    </row>
    <row r="3732" spans="1:11" x14ac:dyDescent="0.25">
      <c r="A3732" t="s">
        <v>326</v>
      </c>
      <c r="B3732" t="s">
        <v>511</v>
      </c>
      <c r="C3732" t="s">
        <v>868</v>
      </c>
      <c r="D3732" t="s">
        <v>14</v>
      </c>
      <c r="E3732">
        <v>2</v>
      </c>
      <c r="F3732" s="2">
        <f>DATE(2026,IF(Tabla1[[#This Row],[Mes de Fecha]]="Septiembre",9,10),Tabla1[[#This Row],[Día de Fecha]])</f>
        <v>46297</v>
      </c>
      <c r="G3732">
        <v>1144212178</v>
      </c>
      <c r="H3732" t="s">
        <v>336</v>
      </c>
      <c r="I3732">
        <v>126</v>
      </c>
      <c r="J3732">
        <v>0</v>
      </c>
      <c r="K3732" s="1">
        <v>6888827</v>
      </c>
    </row>
    <row r="3733" spans="1:11" x14ac:dyDescent="0.25">
      <c r="A3733" t="s">
        <v>326</v>
      </c>
      <c r="B3733" t="s">
        <v>511</v>
      </c>
      <c r="C3733" t="s">
        <v>868</v>
      </c>
      <c r="D3733" t="s">
        <v>14</v>
      </c>
      <c r="E3733">
        <v>2</v>
      </c>
      <c r="F3733" s="2">
        <f>DATE(2026,IF(Tabla1[[#This Row],[Mes de Fecha]]="Septiembre",9,10),Tabla1[[#This Row],[Día de Fecha]])</f>
        <v>46297</v>
      </c>
      <c r="G3733">
        <v>1193262111</v>
      </c>
      <c r="H3733" t="s">
        <v>513</v>
      </c>
      <c r="I3733">
        <v>28</v>
      </c>
      <c r="J3733">
        <v>0</v>
      </c>
      <c r="K3733" s="1">
        <v>1591009</v>
      </c>
    </row>
    <row r="3734" spans="1:11" x14ac:dyDescent="0.25">
      <c r="A3734" t="s">
        <v>326</v>
      </c>
      <c r="B3734" t="s">
        <v>511</v>
      </c>
      <c r="C3734" t="s">
        <v>868</v>
      </c>
      <c r="D3734" t="s">
        <v>14</v>
      </c>
      <c r="E3734">
        <v>3</v>
      </c>
      <c r="F3734" s="2">
        <f>DATE(2026,IF(Tabla1[[#This Row],[Mes de Fecha]]="Septiembre",9,10),Tabla1[[#This Row],[Día de Fecha]])</f>
        <v>46298</v>
      </c>
      <c r="I3734">
        <v>0</v>
      </c>
      <c r="J3734" s="1">
        <v>36331677</v>
      </c>
      <c r="K3734">
        <v>0</v>
      </c>
    </row>
    <row r="3735" spans="1:11" x14ac:dyDescent="0.25">
      <c r="A3735" t="s">
        <v>326</v>
      </c>
      <c r="B3735" t="s">
        <v>511</v>
      </c>
      <c r="C3735" t="s">
        <v>868</v>
      </c>
      <c r="D3735" t="s">
        <v>14</v>
      </c>
      <c r="E3735">
        <v>3</v>
      </c>
      <c r="F3735" s="2">
        <f>DATE(2026,IF(Tabla1[[#This Row],[Mes de Fecha]]="Septiembre",9,10),Tabla1[[#This Row],[Día de Fecha]])</f>
        <v>46298</v>
      </c>
      <c r="G3735">
        <v>1004006497</v>
      </c>
      <c r="H3735" t="s">
        <v>383</v>
      </c>
      <c r="I3735">
        <v>248</v>
      </c>
      <c r="J3735">
        <v>0</v>
      </c>
      <c r="K3735" s="1">
        <v>13773165</v>
      </c>
    </row>
    <row r="3736" spans="1:11" x14ac:dyDescent="0.25">
      <c r="A3736" t="s">
        <v>326</v>
      </c>
      <c r="B3736" t="s">
        <v>511</v>
      </c>
      <c r="C3736" t="s">
        <v>868</v>
      </c>
      <c r="D3736" t="s">
        <v>14</v>
      </c>
      <c r="E3736">
        <v>3</v>
      </c>
      <c r="F3736" s="2">
        <f>DATE(2026,IF(Tabla1[[#This Row],[Mes de Fecha]]="Septiembre",9,10),Tabla1[[#This Row],[Día de Fecha]])</f>
        <v>46298</v>
      </c>
      <c r="G3736">
        <v>1038822751</v>
      </c>
      <c r="H3736" t="s">
        <v>370</v>
      </c>
      <c r="I3736">
        <v>-1</v>
      </c>
      <c r="J3736">
        <v>0</v>
      </c>
      <c r="K3736" s="1">
        <v>-83992</v>
      </c>
    </row>
    <row r="3737" spans="1:11" x14ac:dyDescent="0.25">
      <c r="A3737" t="s">
        <v>326</v>
      </c>
      <c r="B3737" t="s">
        <v>511</v>
      </c>
      <c r="C3737" t="s">
        <v>868</v>
      </c>
      <c r="D3737" t="s">
        <v>14</v>
      </c>
      <c r="E3737">
        <v>3</v>
      </c>
      <c r="F3737" s="2">
        <f>DATE(2026,IF(Tabla1[[#This Row],[Mes de Fecha]]="Septiembre",9,10),Tabla1[[#This Row],[Día de Fecha]])</f>
        <v>46298</v>
      </c>
      <c r="G3737">
        <v>1085270297</v>
      </c>
      <c r="H3737" t="s">
        <v>364</v>
      </c>
      <c r="I3737">
        <v>26</v>
      </c>
      <c r="J3737">
        <v>0</v>
      </c>
      <c r="K3737" s="1">
        <v>1700463</v>
      </c>
    </row>
    <row r="3738" spans="1:11" x14ac:dyDescent="0.25">
      <c r="A3738" t="s">
        <v>326</v>
      </c>
      <c r="B3738" t="s">
        <v>511</v>
      </c>
      <c r="C3738" t="s">
        <v>868</v>
      </c>
      <c r="D3738" t="s">
        <v>14</v>
      </c>
      <c r="E3738">
        <v>3</v>
      </c>
      <c r="F3738" s="2">
        <f>DATE(2026,IF(Tabla1[[#This Row],[Mes de Fecha]]="Septiembre",9,10),Tabla1[[#This Row],[Día de Fecha]])</f>
        <v>46298</v>
      </c>
      <c r="G3738">
        <v>1108643619</v>
      </c>
      <c r="H3738" t="s">
        <v>514</v>
      </c>
      <c r="I3738">
        <v>-1</v>
      </c>
      <c r="J3738">
        <v>0</v>
      </c>
      <c r="K3738" s="1">
        <v>-159622</v>
      </c>
    </row>
    <row r="3739" spans="1:11" x14ac:dyDescent="0.25">
      <c r="A3739" t="s">
        <v>326</v>
      </c>
      <c r="B3739" t="s">
        <v>511</v>
      </c>
      <c r="C3739" t="s">
        <v>868</v>
      </c>
      <c r="D3739" t="s">
        <v>14</v>
      </c>
      <c r="E3739">
        <v>3</v>
      </c>
      <c r="F3739" s="2">
        <f>DATE(2026,IF(Tabla1[[#This Row],[Mes de Fecha]]="Septiembre",9,10),Tabla1[[#This Row],[Día de Fecha]])</f>
        <v>46298</v>
      </c>
      <c r="G3739">
        <v>1144212178</v>
      </c>
      <c r="H3739" t="s">
        <v>336</v>
      </c>
      <c r="I3739">
        <v>240</v>
      </c>
      <c r="J3739">
        <v>0</v>
      </c>
      <c r="K3739" s="1">
        <v>13757157</v>
      </c>
    </row>
    <row r="3740" spans="1:11" x14ac:dyDescent="0.25">
      <c r="A3740" t="s">
        <v>326</v>
      </c>
      <c r="B3740" t="s">
        <v>511</v>
      </c>
      <c r="C3740" t="s">
        <v>868</v>
      </c>
      <c r="D3740" t="s">
        <v>14</v>
      </c>
      <c r="E3740">
        <v>3</v>
      </c>
      <c r="F3740" s="2">
        <f>DATE(2026,IF(Tabla1[[#This Row],[Mes de Fecha]]="Septiembre",9,10),Tabla1[[#This Row],[Día de Fecha]])</f>
        <v>46298</v>
      </c>
      <c r="G3740">
        <v>1193262111</v>
      </c>
      <c r="H3740" t="s">
        <v>513</v>
      </c>
      <c r="I3740">
        <v>37</v>
      </c>
      <c r="J3740">
        <v>0</v>
      </c>
      <c r="K3740" s="1">
        <v>1716556</v>
      </c>
    </row>
    <row r="3741" spans="1:11" x14ac:dyDescent="0.25">
      <c r="A3741" t="s">
        <v>326</v>
      </c>
      <c r="B3741" t="s">
        <v>511</v>
      </c>
      <c r="C3741" t="s">
        <v>868</v>
      </c>
      <c r="D3741" t="s">
        <v>14</v>
      </c>
      <c r="E3741">
        <v>4</v>
      </c>
      <c r="F3741" s="2">
        <f>DATE(2026,IF(Tabla1[[#This Row],[Mes de Fecha]]="Septiembre",9,10),Tabla1[[#This Row],[Día de Fecha]])</f>
        <v>46299</v>
      </c>
      <c r="I3741">
        <v>0</v>
      </c>
      <c r="J3741" s="1">
        <v>25813011</v>
      </c>
      <c r="K3741">
        <v>0</v>
      </c>
    </row>
    <row r="3742" spans="1:11" x14ac:dyDescent="0.25">
      <c r="A3742" t="s">
        <v>326</v>
      </c>
      <c r="B3742" t="s">
        <v>511</v>
      </c>
      <c r="C3742" t="s">
        <v>868</v>
      </c>
      <c r="D3742" t="s">
        <v>14</v>
      </c>
      <c r="E3742">
        <v>4</v>
      </c>
      <c r="F3742" s="2">
        <f>DATE(2026,IF(Tabla1[[#This Row],[Mes de Fecha]]="Septiembre",9,10),Tabla1[[#This Row],[Día de Fecha]])</f>
        <v>46299</v>
      </c>
      <c r="G3742">
        <v>1004006497</v>
      </c>
      <c r="H3742" t="s">
        <v>383</v>
      </c>
      <c r="I3742">
        <v>231</v>
      </c>
      <c r="J3742">
        <v>0</v>
      </c>
      <c r="K3742" s="1">
        <v>13308541</v>
      </c>
    </row>
    <row r="3743" spans="1:11" x14ac:dyDescent="0.25">
      <c r="A3743" t="s">
        <v>326</v>
      </c>
      <c r="B3743" t="s">
        <v>511</v>
      </c>
      <c r="C3743" t="s">
        <v>868</v>
      </c>
      <c r="D3743" t="s">
        <v>14</v>
      </c>
      <c r="E3743">
        <v>4</v>
      </c>
      <c r="F3743" s="2">
        <f>DATE(2026,IF(Tabla1[[#This Row],[Mes de Fecha]]="Septiembre",9,10),Tabla1[[#This Row],[Día de Fecha]])</f>
        <v>46299</v>
      </c>
      <c r="G3743">
        <v>1085270297</v>
      </c>
      <c r="H3743" t="s">
        <v>364</v>
      </c>
      <c r="I3743">
        <v>46</v>
      </c>
      <c r="J3743">
        <v>0</v>
      </c>
      <c r="K3743" s="1">
        <v>2653196</v>
      </c>
    </row>
    <row r="3744" spans="1:11" x14ac:dyDescent="0.25">
      <c r="A3744" t="s">
        <v>326</v>
      </c>
      <c r="B3744" t="s">
        <v>511</v>
      </c>
      <c r="C3744" t="s">
        <v>868</v>
      </c>
      <c r="D3744" t="s">
        <v>14</v>
      </c>
      <c r="E3744">
        <v>4</v>
      </c>
      <c r="F3744" s="2">
        <f>DATE(2026,IF(Tabla1[[#This Row],[Mes de Fecha]]="Septiembre",9,10),Tabla1[[#This Row],[Día de Fecha]])</f>
        <v>46299</v>
      </c>
      <c r="G3744">
        <v>1107840490</v>
      </c>
      <c r="H3744" t="s">
        <v>353</v>
      </c>
      <c r="I3744">
        <v>-5</v>
      </c>
      <c r="J3744">
        <v>0</v>
      </c>
      <c r="K3744" s="1">
        <v>-377941</v>
      </c>
    </row>
    <row r="3745" spans="1:11" x14ac:dyDescent="0.25">
      <c r="A3745" t="s">
        <v>326</v>
      </c>
      <c r="B3745" t="s">
        <v>511</v>
      </c>
      <c r="C3745" t="s">
        <v>868</v>
      </c>
      <c r="D3745" t="s">
        <v>14</v>
      </c>
      <c r="E3745">
        <v>4</v>
      </c>
      <c r="F3745" s="2">
        <f>DATE(2026,IF(Tabla1[[#This Row],[Mes de Fecha]]="Septiembre",9,10),Tabla1[[#This Row],[Día de Fecha]])</f>
        <v>46299</v>
      </c>
      <c r="G3745">
        <v>1108332060</v>
      </c>
      <c r="H3745" t="s">
        <v>515</v>
      </c>
      <c r="I3745">
        <v>-1</v>
      </c>
      <c r="J3745">
        <v>0</v>
      </c>
      <c r="K3745" s="1">
        <v>-83949</v>
      </c>
    </row>
    <row r="3746" spans="1:11" x14ac:dyDescent="0.25">
      <c r="A3746" t="s">
        <v>326</v>
      </c>
      <c r="B3746" t="s">
        <v>511</v>
      </c>
      <c r="C3746" t="s">
        <v>868</v>
      </c>
      <c r="D3746" t="s">
        <v>14</v>
      </c>
      <c r="E3746">
        <v>4</v>
      </c>
      <c r="F3746" s="2">
        <f>DATE(2026,IF(Tabla1[[#This Row],[Mes de Fecha]]="Septiembre",9,10),Tabla1[[#This Row],[Día de Fecha]])</f>
        <v>46299</v>
      </c>
      <c r="G3746">
        <v>1144212178</v>
      </c>
      <c r="H3746" t="s">
        <v>336</v>
      </c>
      <c r="I3746">
        <v>225</v>
      </c>
      <c r="J3746">
        <v>0</v>
      </c>
      <c r="K3746" s="1">
        <v>13853031</v>
      </c>
    </row>
    <row r="3747" spans="1:11" x14ac:dyDescent="0.25">
      <c r="A3747" t="s">
        <v>326</v>
      </c>
      <c r="B3747" t="s">
        <v>511</v>
      </c>
      <c r="C3747" t="s">
        <v>868</v>
      </c>
      <c r="D3747" t="s">
        <v>14</v>
      </c>
      <c r="E3747">
        <v>4</v>
      </c>
      <c r="F3747" s="2">
        <f>DATE(2026,IF(Tabla1[[#This Row],[Mes de Fecha]]="Septiembre",9,10),Tabla1[[#This Row],[Día de Fecha]])</f>
        <v>46299</v>
      </c>
      <c r="G3747">
        <v>1193262111</v>
      </c>
      <c r="H3747" t="s">
        <v>513</v>
      </c>
      <c r="I3747">
        <v>60</v>
      </c>
      <c r="J3747">
        <v>0</v>
      </c>
      <c r="K3747" s="1">
        <v>3095804</v>
      </c>
    </row>
    <row r="3748" spans="1:11" x14ac:dyDescent="0.25">
      <c r="A3748" t="s">
        <v>326</v>
      </c>
      <c r="B3748" t="s">
        <v>511</v>
      </c>
      <c r="C3748" t="s">
        <v>868</v>
      </c>
      <c r="D3748" t="s">
        <v>14</v>
      </c>
      <c r="E3748">
        <v>5</v>
      </c>
      <c r="F3748" s="2">
        <f>DATE(2026,IF(Tabla1[[#This Row],[Mes de Fecha]]="Septiembre",9,10),Tabla1[[#This Row],[Día de Fecha]])</f>
        <v>46300</v>
      </c>
      <c r="I3748">
        <v>0</v>
      </c>
      <c r="J3748" s="1">
        <v>15606059</v>
      </c>
      <c r="K3748">
        <v>0</v>
      </c>
    </row>
    <row r="3749" spans="1:11" x14ac:dyDescent="0.25">
      <c r="A3749" t="s">
        <v>326</v>
      </c>
      <c r="B3749" t="s">
        <v>511</v>
      </c>
      <c r="C3749" t="s">
        <v>868</v>
      </c>
      <c r="D3749" t="s">
        <v>14</v>
      </c>
      <c r="E3749">
        <v>5</v>
      </c>
      <c r="F3749" s="2">
        <f>DATE(2026,IF(Tabla1[[#This Row],[Mes de Fecha]]="Septiembre",9,10),Tabla1[[#This Row],[Día de Fecha]])</f>
        <v>46300</v>
      </c>
      <c r="G3749">
        <v>1004006497</v>
      </c>
      <c r="H3749" t="s">
        <v>383</v>
      </c>
      <c r="I3749">
        <v>115</v>
      </c>
      <c r="J3749">
        <v>0</v>
      </c>
      <c r="K3749" s="1">
        <v>6608109</v>
      </c>
    </row>
    <row r="3750" spans="1:11" x14ac:dyDescent="0.25">
      <c r="A3750" t="s">
        <v>326</v>
      </c>
      <c r="B3750" t="s">
        <v>511</v>
      </c>
      <c r="C3750" t="s">
        <v>868</v>
      </c>
      <c r="D3750" t="s">
        <v>14</v>
      </c>
      <c r="E3750">
        <v>5</v>
      </c>
      <c r="F3750" s="2">
        <f>DATE(2026,IF(Tabla1[[#This Row],[Mes de Fecha]]="Septiembre",9,10),Tabla1[[#This Row],[Día de Fecha]])</f>
        <v>46300</v>
      </c>
      <c r="G3750">
        <v>1007729215</v>
      </c>
      <c r="H3750" t="s">
        <v>332</v>
      </c>
      <c r="I3750">
        <v>-1</v>
      </c>
      <c r="J3750">
        <v>0</v>
      </c>
      <c r="K3750" s="1">
        <v>-54580</v>
      </c>
    </row>
    <row r="3751" spans="1:11" x14ac:dyDescent="0.25">
      <c r="A3751" t="s">
        <v>326</v>
      </c>
      <c r="B3751" t="s">
        <v>511</v>
      </c>
      <c r="C3751" t="s">
        <v>868</v>
      </c>
      <c r="D3751" t="s">
        <v>14</v>
      </c>
      <c r="E3751">
        <v>5</v>
      </c>
      <c r="F3751" s="2">
        <f>DATE(2026,IF(Tabla1[[#This Row],[Mes de Fecha]]="Septiembre",9,10),Tabla1[[#This Row],[Día de Fecha]])</f>
        <v>46300</v>
      </c>
      <c r="G3751">
        <v>1085270297</v>
      </c>
      <c r="H3751" t="s">
        <v>364</v>
      </c>
      <c r="I3751">
        <v>23</v>
      </c>
      <c r="J3751">
        <v>0</v>
      </c>
      <c r="K3751" s="1">
        <v>1204708</v>
      </c>
    </row>
    <row r="3752" spans="1:11" x14ac:dyDescent="0.25">
      <c r="A3752" t="s">
        <v>326</v>
      </c>
      <c r="B3752" t="s">
        <v>511</v>
      </c>
      <c r="C3752" t="s">
        <v>868</v>
      </c>
      <c r="D3752" t="s">
        <v>14</v>
      </c>
      <c r="E3752">
        <v>5</v>
      </c>
      <c r="F3752" s="2">
        <f>DATE(2026,IF(Tabla1[[#This Row],[Mes de Fecha]]="Septiembre",9,10),Tabla1[[#This Row],[Día de Fecha]])</f>
        <v>46300</v>
      </c>
      <c r="G3752">
        <v>1144212178</v>
      </c>
      <c r="H3752" t="s">
        <v>336</v>
      </c>
      <c r="I3752">
        <v>107</v>
      </c>
      <c r="J3752">
        <v>0</v>
      </c>
      <c r="K3752" s="1">
        <v>5788954</v>
      </c>
    </row>
    <row r="3753" spans="1:11" x14ac:dyDescent="0.25">
      <c r="A3753" t="s">
        <v>326</v>
      </c>
      <c r="B3753" t="s">
        <v>511</v>
      </c>
      <c r="C3753" t="s">
        <v>868</v>
      </c>
      <c r="D3753" t="s">
        <v>14</v>
      </c>
      <c r="E3753">
        <v>5</v>
      </c>
      <c r="F3753" s="2">
        <f>DATE(2026,IF(Tabla1[[#This Row],[Mes de Fecha]]="Septiembre",9,10),Tabla1[[#This Row],[Día de Fecha]])</f>
        <v>46300</v>
      </c>
      <c r="G3753">
        <v>1193262111</v>
      </c>
      <c r="H3753" t="s">
        <v>513</v>
      </c>
      <c r="I3753">
        <v>31</v>
      </c>
      <c r="J3753">
        <v>0</v>
      </c>
      <c r="K3753" s="1">
        <v>1412274</v>
      </c>
    </row>
    <row r="3754" spans="1:11" x14ac:dyDescent="0.25">
      <c r="A3754" t="s">
        <v>326</v>
      </c>
      <c r="B3754" t="s">
        <v>511</v>
      </c>
      <c r="C3754" t="s">
        <v>868</v>
      </c>
      <c r="D3754" t="s">
        <v>14</v>
      </c>
      <c r="E3754">
        <v>6</v>
      </c>
      <c r="F3754" s="2">
        <f>DATE(2026,IF(Tabla1[[#This Row],[Mes de Fecha]]="Septiembre",9,10),Tabla1[[#This Row],[Día de Fecha]])</f>
        <v>46301</v>
      </c>
      <c r="I3754">
        <v>0</v>
      </c>
      <c r="J3754" s="1">
        <v>8149236</v>
      </c>
      <c r="K3754">
        <v>0</v>
      </c>
    </row>
    <row r="3755" spans="1:11" x14ac:dyDescent="0.25">
      <c r="A3755" t="s">
        <v>326</v>
      </c>
      <c r="B3755" t="s">
        <v>511</v>
      </c>
      <c r="C3755" t="s">
        <v>868</v>
      </c>
      <c r="D3755" t="s">
        <v>14</v>
      </c>
      <c r="E3755">
        <v>6</v>
      </c>
      <c r="F3755" s="2">
        <f>DATE(2026,IF(Tabla1[[#This Row],[Mes de Fecha]]="Septiembre",9,10),Tabla1[[#This Row],[Día de Fecha]])</f>
        <v>46301</v>
      </c>
      <c r="G3755">
        <v>1004006497</v>
      </c>
      <c r="H3755" t="s">
        <v>383</v>
      </c>
      <c r="I3755">
        <v>65</v>
      </c>
      <c r="J3755">
        <v>0</v>
      </c>
      <c r="K3755" s="1">
        <v>3459123</v>
      </c>
    </row>
    <row r="3756" spans="1:11" x14ac:dyDescent="0.25">
      <c r="A3756" t="s">
        <v>326</v>
      </c>
      <c r="B3756" t="s">
        <v>511</v>
      </c>
      <c r="C3756" t="s">
        <v>868</v>
      </c>
      <c r="D3756" t="s">
        <v>14</v>
      </c>
      <c r="E3756">
        <v>6</v>
      </c>
      <c r="F3756" s="2">
        <f>DATE(2026,IF(Tabla1[[#This Row],[Mes de Fecha]]="Septiembre",9,10),Tabla1[[#This Row],[Día de Fecha]])</f>
        <v>46301</v>
      </c>
      <c r="G3756">
        <v>1085270297</v>
      </c>
      <c r="H3756" t="s">
        <v>364</v>
      </c>
      <c r="I3756">
        <v>5</v>
      </c>
      <c r="J3756">
        <v>0</v>
      </c>
      <c r="K3756" s="1">
        <v>239244</v>
      </c>
    </row>
    <row r="3757" spans="1:11" x14ac:dyDescent="0.25">
      <c r="A3757" t="s">
        <v>326</v>
      </c>
      <c r="B3757" t="s">
        <v>511</v>
      </c>
      <c r="C3757" t="s">
        <v>868</v>
      </c>
      <c r="D3757" t="s">
        <v>14</v>
      </c>
      <c r="E3757">
        <v>6</v>
      </c>
      <c r="F3757" s="2">
        <f>DATE(2026,IF(Tabla1[[#This Row],[Mes de Fecha]]="Septiembre",9,10),Tabla1[[#This Row],[Día de Fecha]])</f>
        <v>46301</v>
      </c>
      <c r="G3757">
        <v>1109667614</v>
      </c>
      <c r="H3757" t="s">
        <v>374</v>
      </c>
      <c r="I3757">
        <v>-1</v>
      </c>
      <c r="J3757">
        <v>0</v>
      </c>
      <c r="K3757" s="1">
        <v>-75588</v>
      </c>
    </row>
    <row r="3758" spans="1:11" x14ac:dyDescent="0.25">
      <c r="A3758" t="s">
        <v>326</v>
      </c>
      <c r="B3758" t="s">
        <v>511</v>
      </c>
      <c r="C3758" t="s">
        <v>868</v>
      </c>
      <c r="D3758" t="s">
        <v>14</v>
      </c>
      <c r="E3758">
        <v>6</v>
      </c>
      <c r="F3758" s="2">
        <f>DATE(2026,IF(Tabla1[[#This Row],[Mes de Fecha]]="Septiembre",9,10),Tabla1[[#This Row],[Día de Fecha]])</f>
        <v>46301</v>
      </c>
      <c r="G3758">
        <v>1110040133</v>
      </c>
      <c r="H3758" t="s">
        <v>331</v>
      </c>
      <c r="I3758">
        <v>-1</v>
      </c>
      <c r="J3758">
        <v>0</v>
      </c>
      <c r="K3758" s="1">
        <v>-46177</v>
      </c>
    </row>
    <row r="3759" spans="1:11" x14ac:dyDescent="0.25">
      <c r="A3759" t="s">
        <v>326</v>
      </c>
      <c r="B3759" t="s">
        <v>511</v>
      </c>
      <c r="C3759" t="s">
        <v>868</v>
      </c>
      <c r="D3759" t="s">
        <v>14</v>
      </c>
      <c r="E3759">
        <v>6</v>
      </c>
      <c r="F3759" s="2">
        <f>DATE(2026,IF(Tabla1[[#This Row],[Mes de Fecha]]="Septiembre",9,10),Tabla1[[#This Row],[Día de Fecha]])</f>
        <v>46301</v>
      </c>
      <c r="G3759">
        <v>1144212178</v>
      </c>
      <c r="H3759" t="s">
        <v>336</v>
      </c>
      <c r="I3759">
        <v>68</v>
      </c>
      <c r="J3759">
        <v>0</v>
      </c>
      <c r="K3759" s="1">
        <v>3876725</v>
      </c>
    </row>
    <row r="3760" spans="1:11" x14ac:dyDescent="0.25">
      <c r="A3760" t="s">
        <v>326</v>
      </c>
      <c r="B3760" t="s">
        <v>511</v>
      </c>
      <c r="C3760" t="s">
        <v>868</v>
      </c>
      <c r="D3760" t="s">
        <v>14</v>
      </c>
      <c r="E3760">
        <v>6</v>
      </c>
      <c r="F3760" s="2">
        <f>DATE(2026,IF(Tabla1[[#This Row],[Mes de Fecha]]="Septiembre",9,10),Tabla1[[#This Row],[Día de Fecha]])</f>
        <v>46301</v>
      </c>
      <c r="G3760">
        <v>1193262111</v>
      </c>
      <c r="H3760" t="s">
        <v>513</v>
      </c>
      <c r="I3760">
        <v>5</v>
      </c>
      <c r="J3760">
        <v>0</v>
      </c>
      <c r="K3760" s="1">
        <v>218235</v>
      </c>
    </row>
    <row r="3761" spans="1:11" x14ac:dyDescent="0.25">
      <c r="A3761" t="s">
        <v>326</v>
      </c>
      <c r="B3761" t="s">
        <v>511</v>
      </c>
      <c r="C3761" t="s">
        <v>868</v>
      </c>
      <c r="D3761" t="s">
        <v>14</v>
      </c>
      <c r="E3761">
        <v>7</v>
      </c>
      <c r="F3761" s="2">
        <f>DATE(2026,IF(Tabla1[[#This Row],[Mes de Fecha]]="Septiembre",9,10),Tabla1[[#This Row],[Día de Fecha]])</f>
        <v>46302</v>
      </c>
      <c r="I3761">
        <v>0</v>
      </c>
      <c r="J3761" s="1">
        <v>8042008</v>
      </c>
      <c r="K3761">
        <v>0</v>
      </c>
    </row>
    <row r="3762" spans="1:11" x14ac:dyDescent="0.25">
      <c r="A3762" t="s">
        <v>326</v>
      </c>
      <c r="B3762" t="s">
        <v>511</v>
      </c>
      <c r="C3762" t="s">
        <v>868</v>
      </c>
      <c r="D3762" t="s">
        <v>14</v>
      </c>
      <c r="E3762">
        <v>7</v>
      </c>
      <c r="F3762" s="2">
        <f>DATE(2026,IF(Tabla1[[#This Row],[Mes de Fecha]]="Septiembre",9,10),Tabla1[[#This Row],[Día de Fecha]])</f>
        <v>46302</v>
      </c>
      <c r="G3762">
        <v>1004006497</v>
      </c>
      <c r="H3762" t="s">
        <v>383</v>
      </c>
      <c r="I3762">
        <v>37</v>
      </c>
      <c r="J3762">
        <v>0</v>
      </c>
      <c r="K3762" s="1">
        <v>2227144</v>
      </c>
    </row>
    <row r="3763" spans="1:11" x14ac:dyDescent="0.25">
      <c r="A3763" t="s">
        <v>326</v>
      </c>
      <c r="B3763" t="s">
        <v>511</v>
      </c>
      <c r="C3763" t="s">
        <v>868</v>
      </c>
      <c r="D3763" t="s">
        <v>14</v>
      </c>
      <c r="E3763">
        <v>7</v>
      </c>
      <c r="F3763" s="2">
        <f>DATE(2026,IF(Tabla1[[#This Row],[Mes de Fecha]]="Septiembre",9,10),Tabla1[[#This Row],[Día de Fecha]])</f>
        <v>46302</v>
      </c>
      <c r="G3763">
        <v>1085270297</v>
      </c>
      <c r="H3763" t="s">
        <v>364</v>
      </c>
      <c r="I3763">
        <v>20</v>
      </c>
      <c r="J3763">
        <v>0</v>
      </c>
      <c r="K3763" s="1">
        <v>1188068</v>
      </c>
    </row>
    <row r="3764" spans="1:11" x14ac:dyDescent="0.25">
      <c r="A3764" t="s">
        <v>326</v>
      </c>
      <c r="B3764" t="s">
        <v>511</v>
      </c>
      <c r="C3764" t="s">
        <v>868</v>
      </c>
      <c r="D3764" t="s">
        <v>14</v>
      </c>
      <c r="E3764">
        <v>7</v>
      </c>
      <c r="F3764" s="2">
        <f>DATE(2026,IF(Tabla1[[#This Row],[Mes de Fecha]]="Septiembre",9,10),Tabla1[[#This Row],[Día de Fecha]])</f>
        <v>46302</v>
      </c>
      <c r="G3764">
        <v>1144212178</v>
      </c>
      <c r="H3764" t="s">
        <v>336</v>
      </c>
      <c r="I3764">
        <v>35</v>
      </c>
      <c r="J3764">
        <v>0</v>
      </c>
      <c r="K3764" s="1">
        <v>2111555</v>
      </c>
    </row>
    <row r="3765" spans="1:11" x14ac:dyDescent="0.25">
      <c r="A3765" t="s">
        <v>326</v>
      </c>
      <c r="B3765" t="s">
        <v>511</v>
      </c>
      <c r="C3765" t="s">
        <v>868</v>
      </c>
      <c r="D3765" t="s">
        <v>14</v>
      </c>
      <c r="E3765">
        <v>7</v>
      </c>
      <c r="F3765" s="2">
        <f>DATE(2026,IF(Tabla1[[#This Row],[Mes de Fecha]]="Septiembre",9,10),Tabla1[[#This Row],[Día de Fecha]])</f>
        <v>46302</v>
      </c>
      <c r="G3765">
        <v>1193262111</v>
      </c>
      <c r="H3765" t="s">
        <v>513</v>
      </c>
      <c r="I3765">
        <v>24</v>
      </c>
      <c r="J3765">
        <v>0</v>
      </c>
      <c r="K3765" s="1">
        <v>1524794</v>
      </c>
    </row>
    <row r="3766" spans="1:11" x14ac:dyDescent="0.25">
      <c r="A3766" t="s">
        <v>326</v>
      </c>
      <c r="B3766" t="s">
        <v>521</v>
      </c>
      <c r="C3766" t="s">
        <v>868</v>
      </c>
      <c r="D3766" t="s">
        <v>11</v>
      </c>
      <c r="E3766">
        <v>23</v>
      </c>
      <c r="F3766" s="2">
        <f>DATE(2026,IF(Tabla1[[#This Row],[Mes de Fecha]]="Septiembre",9,10),Tabla1[[#This Row],[Día de Fecha]])</f>
        <v>46288</v>
      </c>
      <c r="I3766">
        <v>0</v>
      </c>
      <c r="J3766" s="1">
        <v>15708907</v>
      </c>
      <c r="K3766">
        <v>0</v>
      </c>
    </row>
    <row r="3767" spans="1:11" x14ac:dyDescent="0.25">
      <c r="A3767" t="s">
        <v>326</v>
      </c>
      <c r="B3767" t="s">
        <v>521</v>
      </c>
      <c r="C3767" t="s">
        <v>868</v>
      </c>
      <c r="D3767" t="s">
        <v>11</v>
      </c>
      <c r="E3767">
        <v>23</v>
      </c>
      <c r="F3767" s="2">
        <f>DATE(2026,IF(Tabla1[[#This Row],[Mes de Fecha]]="Septiembre",9,10),Tabla1[[#This Row],[Día de Fecha]])</f>
        <v>46288</v>
      </c>
      <c r="G3767">
        <v>25289676</v>
      </c>
      <c r="H3767" t="s">
        <v>456</v>
      </c>
      <c r="I3767">
        <v>34</v>
      </c>
      <c r="J3767">
        <v>0</v>
      </c>
      <c r="K3767" s="1">
        <v>1952313</v>
      </c>
    </row>
    <row r="3768" spans="1:11" x14ac:dyDescent="0.25">
      <c r="A3768" t="s">
        <v>326</v>
      </c>
      <c r="B3768" t="s">
        <v>521</v>
      </c>
      <c r="C3768" t="s">
        <v>868</v>
      </c>
      <c r="D3768" t="s">
        <v>11</v>
      </c>
      <c r="E3768">
        <v>23</v>
      </c>
      <c r="F3768" s="2">
        <f>DATE(2026,IF(Tabla1[[#This Row],[Mes de Fecha]]="Septiembre",9,10),Tabla1[[#This Row],[Día de Fecha]])</f>
        <v>46288</v>
      </c>
      <c r="G3768">
        <v>1002957897</v>
      </c>
      <c r="H3768" t="s">
        <v>436</v>
      </c>
      <c r="I3768">
        <v>-2</v>
      </c>
      <c r="J3768">
        <v>0</v>
      </c>
      <c r="K3768" s="1">
        <v>-75462</v>
      </c>
    </row>
    <row r="3769" spans="1:11" x14ac:dyDescent="0.25">
      <c r="A3769" t="s">
        <v>326</v>
      </c>
      <c r="B3769" t="s">
        <v>521</v>
      </c>
      <c r="C3769" t="s">
        <v>868</v>
      </c>
      <c r="D3769" t="s">
        <v>11</v>
      </c>
      <c r="E3769">
        <v>23</v>
      </c>
      <c r="F3769" s="2">
        <f>DATE(2026,IF(Tabla1[[#This Row],[Mes de Fecha]]="Septiembre",9,10),Tabla1[[#This Row],[Día de Fecha]])</f>
        <v>46288</v>
      </c>
      <c r="G3769">
        <v>1002972668</v>
      </c>
      <c r="H3769" t="s">
        <v>455</v>
      </c>
      <c r="I3769">
        <v>24</v>
      </c>
      <c r="J3769">
        <v>0</v>
      </c>
      <c r="K3769" s="1">
        <v>1524203</v>
      </c>
    </row>
    <row r="3770" spans="1:11" x14ac:dyDescent="0.25">
      <c r="A3770" t="s">
        <v>326</v>
      </c>
      <c r="B3770" t="s">
        <v>521</v>
      </c>
      <c r="C3770" t="s">
        <v>868</v>
      </c>
      <c r="D3770" t="s">
        <v>11</v>
      </c>
      <c r="E3770">
        <v>23</v>
      </c>
      <c r="F3770" s="2">
        <f>DATE(2026,IF(Tabla1[[#This Row],[Mes de Fecha]]="Septiembre",9,10),Tabla1[[#This Row],[Día de Fecha]])</f>
        <v>46288</v>
      </c>
      <c r="G3770">
        <v>1004593130</v>
      </c>
      <c r="H3770" t="s">
        <v>454</v>
      </c>
      <c r="I3770">
        <v>7</v>
      </c>
      <c r="J3770">
        <v>0</v>
      </c>
      <c r="K3770" s="1">
        <v>382059</v>
      </c>
    </row>
    <row r="3771" spans="1:11" x14ac:dyDescent="0.25">
      <c r="A3771" t="s">
        <v>326</v>
      </c>
      <c r="B3771" t="s">
        <v>521</v>
      </c>
      <c r="C3771" t="s">
        <v>868</v>
      </c>
      <c r="D3771" t="s">
        <v>11</v>
      </c>
      <c r="E3771">
        <v>23</v>
      </c>
      <c r="F3771" s="2">
        <f>DATE(2026,IF(Tabla1[[#This Row],[Mes de Fecha]]="Septiembre",9,10),Tabla1[[#This Row],[Día de Fecha]])</f>
        <v>46288</v>
      </c>
      <c r="G3771">
        <v>1061799953</v>
      </c>
      <c r="H3771" t="s">
        <v>441</v>
      </c>
      <c r="I3771">
        <v>137</v>
      </c>
      <c r="J3771">
        <v>0</v>
      </c>
      <c r="K3771" s="1">
        <v>8683240</v>
      </c>
    </row>
    <row r="3772" spans="1:11" x14ac:dyDescent="0.25">
      <c r="A3772" t="s">
        <v>326</v>
      </c>
      <c r="B3772" t="s">
        <v>521</v>
      </c>
      <c r="C3772" t="s">
        <v>868</v>
      </c>
      <c r="D3772" t="s">
        <v>11</v>
      </c>
      <c r="E3772">
        <v>23</v>
      </c>
      <c r="F3772" s="2">
        <f>DATE(2026,IF(Tabla1[[#This Row],[Mes de Fecha]]="Septiembre",9,10),Tabla1[[#This Row],[Día de Fecha]])</f>
        <v>46288</v>
      </c>
      <c r="G3772">
        <v>1063816927</v>
      </c>
      <c r="H3772" t="s">
        <v>440</v>
      </c>
      <c r="I3772">
        <v>153</v>
      </c>
      <c r="J3772">
        <v>0</v>
      </c>
      <c r="K3772" s="1">
        <v>8961683</v>
      </c>
    </row>
    <row r="3773" spans="1:11" x14ac:dyDescent="0.25">
      <c r="A3773" t="s">
        <v>326</v>
      </c>
      <c r="B3773" t="s">
        <v>521</v>
      </c>
      <c r="C3773" t="s">
        <v>868</v>
      </c>
      <c r="D3773" t="s">
        <v>11</v>
      </c>
      <c r="E3773">
        <v>24</v>
      </c>
      <c r="F3773" s="2">
        <f>DATE(2026,IF(Tabla1[[#This Row],[Mes de Fecha]]="Septiembre",9,10),Tabla1[[#This Row],[Día de Fecha]])</f>
        <v>46289</v>
      </c>
      <c r="I3773">
        <v>0</v>
      </c>
      <c r="J3773" s="1">
        <v>23997121</v>
      </c>
      <c r="K3773">
        <v>0</v>
      </c>
    </row>
    <row r="3774" spans="1:11" x14ac:dyDescent="0.25">
      <c r="A3774" t="s">
        <v>326</v>
      </c>
      <c r="B3774" t="s">
        <v>521</v>
      </c>
      <c r="C3774" t="s">
        <v>868</v>
      </c>
      <c r="D3774" t="s">
        <v>11</v>
      </c>
      <c r="E3774">
        <v>24</v>
      </c>
      <c r="F3774" s="2">
        <f>DATE(2026,IF(Tabla1[[#This Row],[Mes de Fecha]]="Septiembre",9,10),Tabla1[[#This Row],[Día de Fecha]])</f>
        <v>46289</v>
      </c>
      <c r="G3774">
        <v>25289676</v>
      </c>
      <c r="H3774" t="s">
        <v>456</v>
      </c>
      <c r="I3774">
        <v>90</v>
      </c>
      <c r="J3774">
        <v>0</v>
      </c>
      <c r="K3774" s="1">
        <v>5201729</v>
      </c>
    </row>
    <row r="3775" spans="1:11" x14ac:dyDescent="0.25">
      <c r="A3775" t="s">
        <v>326</v>
      </c>
      <c r="B3775" t="s">
        <v>521</v>
      </c>
      <c r="C3775" t="s">
        <v>868</v>
      </c>
      <c r="D3775" t="s">
        <v>11</v>
      </c>
      <c r="E3775">
        <v>24</v>
      </c>
      <c r="F3775" s="2">
        <f>DATE(2026,IF(Tabla1[[#This Row],[Mes de Fecha]]="Septiembre",9,10),Tabla1[[#This Row],[Día de Fecha]])</f>
        <v>46289</v>
      </c>
      <c r="G3775">
        <v>1002957897</v>
      </c>
      <c r="H3775" t="s">
        <v>436</v>
      </c>
      <c r="I3775">
        <v>-1</v>
      </c>
      <c r="J3775">
        <v>0</v>
      </c>
      <c r="K3775" s="1">
        <v>-37773</v>
      </c>
    </row>
    <row r="3776" spans="1:11" x14ac:dyDescent="0.25">
      <c r="A3776" t="s">
        <v>326</v>
      </c>
      <c r="B3776" t="s">
        <v>521</v>
      </c>
      <c r="C3776" t="s">
        <v>868</v>
      </c>
      <c r="D3776" t="s">
        <v>11</v>
      </c>
      <c r="E3776">
        <v>24</v>
      </c>
      <c r="F3776" s="2">
        <f>DATE(2026,IF(Tabla1[[#This Row],[Mes de Fecha]]="Septiembre",9,10),Tabla1[[#This Row],[Día de Fecha]])</f>
        <v>46289</v>
      </c>
      <c r="G3776">
        <v>1002972668</v>
      </c>
      <c r="H3776" t="s">
        <v>455</v>
      </c>
      <c r="I3776">
        <v>57</v>
      </c>
      <c r="J3776">
        <v>0</v>
      </c>
      <c r="K3776" s="1">
        <v>3346348</v>
      </c>
    </row>
    <row r="3777" spans="1:11" x14ac:dyDescent="0.25">
      <c r="A3777" t="s">
        <v>326</v>
      </c>
      <c r="B3777" t="s">
        <v>521</v>
      </c>
      <c r="C3777" t="s">
        <v>868</v>
      </c>
      <c r="D3777" t="s">
        <v>11</v>
      </c>
      <c r="E3777">
        <v>24</v>
      </c>
      <c r="F3777" s="2">
        <f>DATE(2026,IF(Tabla1[[#This Row],[Mes de Fecha]]="Septiembre",9,10),Tabla1[[#This Row],[Día de Fecha]])</f>
        <v>46289</v>
      </c>
      <c r="G3777">
        <v>1004593130</v>
      </c>
      <c r="H3777" t="s">
        <v>454</v>
      </c>
      <c r="I3777">
        <v>41</v>
      </c>
      <c r="J3777">
        <v>0</v>
      </c>
      <c r="K3777" s="1">
        <v>2481347</v>
      </c>
    </row>
    <row r="3778" spans="1:11" x14ac:dyDescent="0.25">
      <c r="A3778" t="s">
        <v>326</v>
      </c>
      <c r="B3778" t="s">
        <v>521</v>
      </c>
      <c r="C3778" t="s">
        <v>868</v>
      </c>
      <c r="D3778" t="s">
        <v>11</v>
      </c>
      <c r="E3778">
        <v>24</v>
      </c>
      <c r="F3778" s="2">
        <f>DATE(2026,IF(Tabla1[[#This Row],[Mes de Fecha]]="Septiembre",9,10),Tabla1[[#This Row],[Día de Fecha]])</f>
        <v>46289</v>
      </c>
      <c r="G3778">
        <v>1061770250</v>
      </c>
      <c r="H3778" t="s">
        <v>449</v>
      </c>
      <c r="I3778">
        <v>-2</v>
      </c>
      <c r="J3778">
        <v>0</v>
      </c>
      <c r="K3778" s="1">
        <v>-146975</v>
      </c>
    </row>
    <row r="3779" spans="1:11" x14ac:dyDescent="0.25">
      <c r="A3779" t="s">
        <v>326</v>
      </c>
      <c r="B3779" t="s">
        <v>521</v>
      </c>
      <c r="C3779" t="s">
        <v>868</v>
      </c>
      <c r="D3779" t="s">
        <v>11</v>
      </c>
      <c r="E3779">
        <v>24</v>
      </c>
      <c r="F3779" s="2">
        <f>DATE(2026,IF(Tabla1[[#This Row],[Mes de Fecha]]="Septiembre",9,10),Tabla1[[#This Row],[Día de Fecha]])</f>
        <v>46289</v>
      </c>
      <c r="G3779">
        <v>1061773714</v>
      </c>
      <c r="H3779" t="s">
        <v>450</v>
      </c>
      <c r="I3779">
        <v>-1</v>
      </c>
      <c r="J3779">
        <v>0</v>
      </c>
      <c r="K3779" s="1">
        <v>-31471</v>
      </c>
    </row>
    <row r="3780" spans="1:11" x14ac:dyDescent="0.25">
      <c r="A3780" t="s">
        <v>326</v>
      </c>
      <c r="B3780" t="s">
        <v>521</v>
      </c>
      <c r="C3780" t="s">
        <v>868</v>
      </c>
      <c r="D3780" t="s">
        <v>11</v>
      </c>
      <c r="E3780">
        <v>24</v>
      </c>
      <c r="F3780" s="2">
        <f>DATE(2026,IF(Tabla1[[#This Row],[Mes de Fecha]]="Septiembre",9,10),Tabla1[[#This Row],[Día de Fecha]])</f>
        <v>46289</v>
      </c>
      <c r="G3780">
        <v>1061799953</v>
      </c>
      <c r="H3780" t="s">
        <v>441</v>
      </c>
      <c r="I3780">
        <v>156</v>
      </c>
      <c r="J3780">
        <v>0</v>
      </c>
      <c r="K3780" s="1">
        <v>8705435</v>
      </c>
    </row>
    <row r="3781" spans="1:11" x14ac:dyDescent="0.25">
      <c r="A3781" t="s">
        <v>326</v>
      </c>
      <c r="B3781" t="s">
        <v>521</v>
      </c>
      <c r="C3781" t="s">
        <v>868</v>
      </c>
      <c r="D3781" t="s">
        <v>11</v>
      </c>
      <c r="E3781">
        <v>24</v>
      </c>
      <c r="F3781" s="2">
        <f>DATE(2026,IF(Tabla1[[#This Row],[Mes de Fecha]]="Septiembre",9,10),Tabla1[[#This Row],[Día de Fecha]])</f>
        <v>46289</v>
      </c>
      <c r="G3781">
        <v>1063816927</v>
      </c>
      <c r="H3781" t="s">
        <v>440</v>
      </c>
      <c r="I3781">
        <v>158</v>
      </c>
      <c r="J3781">
        <v>0</v>
      </c>
      <c r="K3781" s="1">
        <v>9554892</v>
      </c>
    </row>
    <row r="3782" spans="1:11" x14ac:dyDescent="0.25">
      <c r="A3782" t="s">
        <v>326</v>
      </c>
      <c r="B3782" t="s">
        <v>521</v>
      </c>
      <c r="C3782" t="s">
        <v>868</v>
      </c>
      <c r="D3782" t="s">
        <v>11</v>
      </c>
      <c r="E3782">
        <v>25</v>
      </c>
      <c r="F3782" s="2">
        <f>DATE(2026,IF(Tabla1[[#This Row],[Mes de Fecha]]="Septiembre",9,10),Tabla1[[#This Row],[Día de Fecha]])</f>
        <v>46290</v>
      </c>
      <c r="I3782">
        <v>0</v>
      </c>
      <c r="J3782" s="1">
        <v>23943994</v>
      </c>
      <c r="K3782">
        <v>0</v>
      </c>
    </row>
    <row r="3783" spans="1:11" x14ac:dyDescent="0.25">
      <c r="A3783" t="s">
        <v>326</v>
      </c>
      <c r="B3783" t="s">
        <v>521</v>
      </c>
      <c r="C3783" t="s">
        <v>868</v>
      </c>
      <c r="D3783" t="s">
        <v>11</v>
      </c>
      <c r="E3783">
        <v>25</v>
      </c>
      <c r="F3783" s="2">
        <f>DATE(2026,IF(Tabla1[[#This Row],[Mes de Fecha]]="Septiembre",9,10),Tabla1[[#This Row],[Día de Fecha]])</f>
        <v>46290</v>
      </c>
      <c r="G3783">
        <v>25289676</v>
      </c>
      <c r="H3783" t="s">
        <v>456</v>
      </c>
      <c r="I3783">
        <v>76</v>
      </c>
      <c r="J3783">
        <v>0</v>
      </c>
      <c r="K3783" s="1">
        <v>4191815</v>
      </c>
    </row>
    <row r="3784" spans="1:11" x14ac:dyDescent="0.25">
      <c r="A3784" t="s">
        <v>326</v>
      </c>
      <c r="B3784" t="s">
        <v>521</v>
      </c>
      <c r="C3784" t="s">
        <v>868</v>
      </c>
      <c r="D3784" t="s">
        <v>11</v>
      </c>
      <c r="E3784">
        <v>25</v>
      </c>
      <c r="F3784" s="2">
        <f>DATE(2026,IF(Tabla1[[#This Row],[Mes de Fecha]]="Septiembre",9,10),Tabla1[[#This Row],[Día de Fecha]])</f>
        <v>46290</v>
      </c>
      <c r="G3784">
        <v>1002960105</v>
      </c>
      <c r="H3784" t="s">
        <v>439</v>
      </c>
      <c r="I3784">
        <v>-1</v>
      </c>
      <c r="J3784">
        <v>0</v>
      </c>
      <c r="K3784" s="1">
        <v>-184790</v>
      </c>
    </row>
    <row r="3785" spans="1:11" x14ac:dyDescent="0.25">
      <c r="A3785" t="s">
        <v>326</v>
      </c>
      <c r="B3785" t="s">
        <v>521</v>
      </c>
      <c r="C3785" t="s">
        <v>868</v>
      </c>
      <c r="D3785" t="s">
        <v>11</v>
      </c>
      <c r="E3785">
        <v>25</v>
      </c>
      <c r="F3785" s="2">
        <f>DATE(2026,IF(Tabla1[[#This Row],[Mes de Fecha]]="Septiembre",9,10),Tabla1[[#This Row],[Día de Fecha]])</f>
        <v>46290</v>
      </c>
      <c r="G3785">
        <v>1002972668</v>
      </c>
      <c r="H3785" t="s">
        <v>455</v>
      </c>
      <c r="I3785">
        <v>39</v>
      </c>
      <c r="J3785">
        <v>0</v>
      </c>
      <c r="K3785" s="1">
        <v>2515090</v>
      </c>
    </row>
    <row r="3786" spans="1:11" x14ac:dyDescent="0.25">
      <c r="A3786" t="s">
        <v>326</v>
      </c>
      <c r="B3786" t="s">
        <v>521</v>
      </c>
      <c r="C3786" t="s">
        <v>868</v>
      </c>
      <c r="D3786" t="s">
        <v>11</v>
      </c>
      <c r="E3786">
        <v>25</v>
      </c>
      <c r="F3786" s="2">
        <f>DATE(2026,IF(Tabla1[[#This Row],[Mes de Fecha]]="Septiembre",9,10),Tabla1[[#This Row],[Día de Fecha]])</f>
        <v>46290</v>
      </c>
      <c r="G3786">
        <v>1004593130</v>
      </c>
      <c r="H3786" t="s">
        <v>454</v>
      </c>
      <c r="I3786">
        <v>49</v>
      </c>
      <c r="J3786">
        <v>0</v>
      </c>
      <c r="K3786" s="1">
        <v>3329877</v>
      </c>
    </row>
    <row r="3787" spans="1:11" x14ac:dyDescent="0.25">
      <c r="A3787" t="s">
        <v>326</v>
      </c>
      <c r="B3787" t="s">
        <v>521</v>
      </c>
      <c r="C3787" t="s">
        <v>868</v>
      </c>
      <c r="D3787" t="s">
        <v>11</v>
      </c>
      <c r="E3787">
        <v>25</v>
      </c>
      <c r="F3787" s="2">
        <f>DATE(2026,IF(Tabla1[[#This Row],[Mes de Fecha]]="Septiembre",9,10),Tabla1[[#This Row],[Día de Fecha]])</f>
        <v>46290</v>
      </c>
      <c r="G3787">
        <v>1061773714</v>
      </c>
      <c r="H3787" t="s">
        <v>450</v>
      </c>
      <c r="I3787">
        <v>-1</v>
      </c>
      <c r="J3787">
        <v>0</v>
      </c>
      <c r="K3787" s="1">
        <v>-67185</v>
      </c>
    </row>
    <row r="3788" spans="1:11" x14ac:dyDescent="0.25">
      <c r="A3788" t="s">
        <v>326</v>
      </c>
      <c r="B3788" t="s">
        <v>521</v>
      </c>
      <c r="C3788" t="s">
        <v>868</v>
      </c>
      <c r="D3788" t="s">
        <v>11</v>
      </c>
      <c r="E3788">
        <v>25</v>
      </c>
      <c r="F3788" s="2">
        <f>DATE(2026,IF(Tabla1[[#This Row],[Mes de Fecha]]="Septiembre",9,10),Tabla1[[#This Row],[Día de Fecha]])</f>
        <v>46290</v>
      </c>
      <c r="G3788">
        <v>1061799953</v>
      </c>
      <c r="H3788" t="s">
        <v>441</v>
      </c>
      <c r="I3788">
        <v>147</v>
      </c>
      <c r="J3788">
        <v>0</v>
      </c>
      <c r="K3788" s="1">
        <v>8903156</v>
      </c>
    </row>
    <row r="3789" spans="1:11" x14ac:dyDescent="0.25">
      <c r="A3789" t="s">
        <v>326</v>
      </c>
      <c r="B3789" t="s">
        <v>521</v>
      </c>
      <c r="C3789" t="s">
        <v>868</v>
      </c>
      <c r="D3789" t="s">
        <v>11</v>
      </c>
      <c r="E3789">
        <v>25</v>
      </c>
      <c r="F3789" s="2">
        <f>DATE(2026,IF(Tabla1[[#This Row],[Mes de Fecha]]="Septiembre",9,10),Tabla1[[#This Row],[Día de Fecha]])</f>
        <v>46290</v>
      </c>
      <c r="G3789">
        <v>1063816927</v>
      </c>
      <c r="H3789" t="s">
        <v>440</v>
      </c>
      <c r="I3789">
        <v>145</v>
      </c>
      <c r="J3789">
        <v>0</v>
      </c>
      <c r="K3789" s="1">
        <v>8758204</v>
      </c>
    </row>
    <row r="3790" spans="1:11" x14ac:dyDescent="0.25">
      <c r="A3790" t="s">
        <v>326</v>
      </c>
      <c r="B3790" t="s">
        <v>521</v>
      </c>
      <c r="C3790" t="s">
        <v>868</v>
      </c>
      <c r="D3790" t="s">
        <v>11</v>
      </c>
      <c r="E3790">
        <v>26</v>
      </c>
      <c r="F3790" s="2">
        <f>DATE(2026,IF(Tabla1[[#This Row],[Mes de Fecha]]="Septiembre",9,10),Tabla1[[#This Row],[Día de Fecha]])</f>
        <v>46291</v>
      </c>
      <c r="I3790">
        <v>0</v>
      </c>
      <c r="J3790" s="1">
        <v>34410963</v>
      </c>
      <c r="K3790">
        <v>0</v>
      </c>
    </row>
    <row r="3791" spans="1:11" x14ac:dyDescent="0.25">
      <c r="A3791" t="s">
        <v>326</v>
      </c>
      <c r="B3791" t="s">
        <v>521</v>
      </c>
      <c r="C3791" t="s">
        <v>868</v>
      </c>
      <c r="D3791" t="s">
        <v>11</v>
      </c>
      <c r="E3791">
        <v>26</v>
      </c>
      <c r="F3791" s="2">
        <f>DATE(2026,IF(Tabla1[[#This Row],[Mes de Fecha]]="Septiembre",9,10),Tabla1[[#This Row],[Día de Fecha]])</f>
        <v>46291</v>
      </c>
      <c r="G3791">
        <v>25289676</v>
      </c>
      <c r="H3791" t="s">
        <v>456</v>
      </c>
      <c r="I3791">
        <v>106</v>
      </c>
      <c r="J3791">
        <v>0</v>
      </c>
      <c r="K3791" s="1">
        <v>6524961</v>
      </c>
    </row>
    <row r="3792" spans="1:11" x14ac:dyDescent="0.25">
      <c r="A3792" t="s">
        <v>326</v>
      </c>
      <c r="B3792" t="s">
        <v>521</v>
      </c>
      <c r="C3792" t="s">
        <v>868</v>
      </c>
      <c r="D3792" t="s">
        <v>11</v>
      </c>
      <c r="E3792">
        <v>26</v>
      </c>
      <c r="F3792" s="2">
        <f>DATE(2026,IF(Tabla1[[#This Row],[Mes de Fecha]]="Septiembre",9,10),Tabla1[[#This Row],[Día de Fecha]])</f>
        <v>46291</v>
      </c>
      <c r="G3792">
        <v>1002972668</v>
      </c>
      <c r="H3792" t="s">
        <v>455</v>
      </c>
      <c r="I3792">
        <v>67</v>
      </c>
      <c r="J3792">
        <v>0</v>
      </c>
      <c r="K3792" s="1">
        <v>4114750</v>
      </c>
    </row>
    <row r="3793" spans="1:11" x14ac:dyDescent="0.25">
      <c r="A3793" t="s">
        <v>326</v>
      </c>
      <c r="B3793" t="s">
        <v>521</v>
      </c>
      <c r="C3793" t="s">
        <v>868</v>
      </c>
      <c r="D3793" t="s">
        <v>11</v>
      </c>
      <c r="E3793">
        <v>26</v>
      </c>
      <c r="F3793" s="2">
        <f>DATE(2026,IF(Tabla1[[#This Row],[Mes de Fecha]]="Septiembre",9,10),Tabla1[[#This Row],[Día de Fecha]])</f>
        <v>46291</v>
      </c>
      <c r="G3793">
        <v>1004148578</v>
      </c>
      <c r="H3793" t="s">
        <v>442</v>
      </c>
      <c r="I3793">
        <v>-1</v>
      </c>
      <c r="J3793">
        <v>0</v>
      </c>
      <c r="K3793" s="1">
        <v>-62983</v>
      </c>
    </row>
    <row r="3794" spans="1:11" x14ac:dyDescent="0.25">
      <c r="A3794" t="s">
        <v>326</v>
      </c>
      <c r="B3794" t="s">
        <v>521</v>
      </c>
      <c r="C3794" t="s">
        <v>868</v>
      </c>
      <c r="D3794" t="s">
        <v>11</v>
      </c>
      <c r="E3794">
        <v>26</v>
      </c>
      <c r="F3794" s="2">
        <f>DATE(2026,IF(Tabla1[[#This Row],[Mes de Fecha]]="Septiembre",9,10),Tabla1[[#This Row],[Día de Fecha]])</f>
        <v>46291</v>
      </c>
      <c r="G3794">
        <v>1004593130</v>
      </c>
      <c r="H3794" t="s">
        <v>454</v>
      </c>
      <c r="I3794">
        <v>59</v>
      </c>
      <c r="J3794">
        <v>0</v>
      </c>
      <c r="K3794" s="1">
        <v>3791558</v>
      </c>
    </row>
    <row r="3795" spans="1:11" x14ac:dyDescent="0.25">
      <c r="A3795" t="s">
        <v>326</v>
      </c>
      <c r="B3795" t="s">
        <v>521</v>
      </c>
      <c r="C3795" t="s">
        <v>868</v>
      </c>
      <c r="D3795" t="s">
        <v>11</v>
      </c>
      <c r="E3795">
        <v>26</v>
      </c>
      <c r="F3795" s="2">
        <f>DATE(2026,IF(Tabla1[[#This Row],[Mes de Fecha]]="Septiembre",9,10),Tabla1[[#This Row],[Día de Fecha]])</f>
        <v>46291</v>
      </c>
      <c r="G3795">
        <v>1059234731</v>
      </c>
      <c r="H3795" t="s">
        <v>451</v>
      </c>
      <c r="I3795">
        <v>-2</v>
      </c>
      <c r="J3795">
        <v>0</v>
      </c>
      <c r="K3795" s="1">
        <v>-167984</v>
      </c>
    </row>
    <row r="3796" spans="1:11" x14ac:dyDescent="0.25">
      <c r="A3796" t="s">
        <v>326</v>
      </c>
      <c r="B3796" t="s">
        <v>521</v>
      </c>
      <c r="C3796" t="s">
        <v>868</v>
      </c>
      <c r="D3796" t="s">
        <v>11</v>
      </c>
      <c r="E3796">
        <v>26</v>
      </c>
      <c r="F3796" s="2">
        <f>DATE(2026,IF(Tabla1[[#This Row],[Mes de Fecha]]="Septiembre",9,10),Tabla1[[#This Row],[Día de Fecha]])</f>
        <v>46291</v>
      </c>
      <c r="G3796">
        <v>1061799953</v>
      </c>
      <c r="H3796" t="s">
        <v>441</v>
      </c>
      <c r="I3796">
        <v>120</v>
      </c>
      <c r="J3796">
        <v>0</v>
      </c>
      <c r="K3796" s="1">
        <v>7368662</v>
      </c>
    </row>
    <row r="3797" spans="1:11" x14ac:dyDescent="0.25">
      <c r="A3797" t="s">
        <v>326</v>
      </c>
      <c r="B3797" t="s">
        <v>521</v>
      </c>
      <c r="C3797" t="s">
        <v>868</v>
      </c>
      <c r="D3797" t="s">
        <v>11</v>
      </c>
      <c r="E3797">
        <v>26</v>
      </c>
      <c r="F3797" s="2">
        <f>DATE(2026,IF(Tabla1[[#This Row],[Mes de Fecha]]="Septiembre",9,10),Tabla1[[#This Row],[Día de Fecha]])</f>
        <v>46291</v>
      </c>
      <c r="G3797">
        <v>1063816927</v>
      </c>
      <c r="H3797" t="s">
        <v>440</v>
      </c>
      <c r="I3797">
        <v>131</v>
      </c>
      <c r="J3797">
        <v>0</v>
      </c>
      <c r="K3797" s="1">
        <v>8002402</v>
      </c>
    </row>
    <row r="3798" spans="1:11" x14ac:dyDescent="0.25">
      <c r="A3798" t="s">
        <v>326</v>
      </c>
      <c r="B3798" t="s">
        <v>521</v>
      </c>
      <c r="C3798" t="s">
        <v>868</v>
      </c>
      <c r="D3798" t="s">
        <v>11</v>
      </c>
      <c r="E3798">
        <v>27</v>
      </c>
      <c r="F3798" s="2">
        <f>DATE(2026,IF(Tabla1[[#This Row],[Mes de Fecha]]="Septiembre",9,10),Tabla1[[#This Row],[Día de Fecha]])</f>
        <v>46292</v>
      </c>
      <c r="I3798">
        <v>0</v>
      </c>
      <c r="J3798" s="1">
        <v>27260411</v>
      </c>
      <c r="K3798">
        <v>0</v>
      </c>
    </row>
    <row r="3799" spans="1:11" x14ac:dyDescent="0.25">
      <c r="A3799" t="s">
        <v>326</v>
      </c>
      <c r="B3799" t="s">
        <v>521</v>
      </c>
      <c r="C3799" t="s">
        <v>868</v>
      </c>
      <c r="D3799" t="s">
        <v>11</v>
      </c>
      <c r="E3799">
        <v>27</v>
      </c>
      <c r="F3799" s="2">
        <f>DATE(2026,IF(Tabla1[[#This Row],[Mes de Fecha]]="Septiembre",9,10),Tabla1[[#This Row],[Día de Fecha]])</f>
        <v>46292</v>
      </c>
      <c r="G3799">
        <v>1002972668</v>
      </c>
      <c r="H3799" t="s">
        <v>455</v>
      </c>
      <c r="I3799">
        <v>21</v>
      </c>
      <c r="J3799">
        <v>0</v>
      </c>
      <c r="K3799" s="1">
        <v>1200632</v>
      </c>
    </row>
    <row r="3800" spans="1:11" x14ac:dyDescent="0.25">
      <c r="A3800" t="s">
        <v>326</v>
      </c>
      <c r="B3800" t="s">
        <v>521</v>
      </c>
      <c r="C3800" t="s">
        <v>868</v>
      </c>
      <c r="D3800" t="s">
        <v>11</v>
      </c>
      <c r="E3800">
        <v>27</v>
      </c>
      <c r="F3800" s="2">
        <f>DATE(2026,IF(Tabla1[[#This Row],[Mes de Fecha]]="Septiembre",9,10),Tabla1[[#This Row],[Día de Fecha]])</f>
        <v>46292</v>
      </c>
      <c r="G3800">
        <v>1061535746</v>
      </c>
      <c r="H3800" t="s">
        <v>447</v>
      </c>
      <c r="I3800">
        <v>-1</v>
      </c>
      <c r="J3800">
        <v>0</v>
      </c>
      <c r="K3800" s="1">
        <v>-58781</v>
      </c>
    </row>
    <row r="3801" spans="1:11" x14ac:dyDescent="0.25">
      <c r="A3801" t="s">
        <v>326</v>
      </c>
      <c r="B3801" t="s">
        <v>521</v>
      </c>
      <c r="C3801" t="s">
        <v>868</v>
      </c>
      <c r="D3801" t="s">
        <v>11</v>
      </c>
      <c r="E3801">
        <v>27</v>
      </c>
      <c r="F3801" s="2">
        <f>DATE(2026,IF(Tabla1[[#This Row],[Mes de Fecha]]="Septiembre",9,10),Tabla1[[#This Row],[Día de Fecha]])</f>
        <v>46292</v>
      </c>
      <c r="G3801">
        <v>1061799953</v>
      </c>
      <c r="H3801" t="s">
        <v>441</v>
      </c>
      <c r="I3801">
        <v>69</v>
      </c>
      <c r="J3801">
        <v>0</v>
      </c>
      <c r="K3801" s="1">
        <v>4240591</v>
      </c>
    </row>
    <row r="3802" spans="1:11" x14ac:dyDescent="0.25">
      <c r="A3802" t="s">
        <v>326</v>
      </c>
      <c r="B3802" t="s">
        <v>521</v>
      </c>
      <c r="C3802" t="s">
        <v>868</v>
      </c>
      <c r="D3802" t="s">
        <v>11</v>
      </c>
      <c r="E3802">
        <v>27</v>
      </c>
      <c r="F3802" s="2">
        <f>DATE(2026,IF(Tabla1[[#This Row],[Mes de Fecha]]="Septiembre",9,10),Tabla1[[#This Row],[Día de Fecha]])</f>
        <v>46292</v>
      </c>
      <c r="G3802">
        <v>1063816927</v>
      </c>
      <c r="H3802" t="s">
        <v>440</v>
      </c>
      <c r="I3802">
        <v>66</v>
      </c>
      <c r="J3802">
        <v>0</v>
      </c>
      <c r="K3802" s="1">
        <v>4564457</v>
      </c>
    </row>
    <row r="3803" spans="1:11" x14ac:dyDescent="0.25">
      <c r="A3803" t="s">
        <v>326</v>
      </c>
      <c r="B3803" t="s">
        <v>521</v>
      </c>
      <c r="C3803" t="s">
        <v>868</v>
      </c>
      <c r="D3803" t="s">
        <v>11</v>
      </c>
      <c r="E3803">
        <v>28</v>
      </c>
      <c r="F3803" s="2">
        <f>DATE(2026,IF(Tabla1[[#This Row],[Mes de Fecha]]="Septiembre",9,10),Tabla1[[#This Row],[Día de Fecha]])</f>
        <v>46293</v>
      </c>
      <c r="I3803">
        <v>0</v>
      </c>
      <c r="J3803" s="1">
        <v>15348824</v>
      </c>
      <c r="K3803">
        <v>0</v>
      </c>
    </row>
    <row r="3804" spans="1:11" x14ac:dyDescent="0.25">
      <c r="A3804" t="s">
        <v>326</v>
      </c>
      <c r="B3804" t="s">
        <v>521</v>
      </c>
      <c r="C3804" t="s">
        <v>868</v>
      </c>
      <c r="D3804" t="s">
        <v>11</v>
      </c>
      <c r="E3804">
        <v>28</v>
      </c>
      <c r="F3804" s="2">
        <f>DATE(2026,IF(Tabla1[[#This Row],[Mes de Fecha]]="Septiembre",9,10),Tabla1[[#This Row],[Día de Fecha]])</f>
        <v>46293</v>
      </c>
      <c r="G3804">
        <v>25289676</v>
      </c>
      <c r="H3804" t="s">
        <v>456</v>
      </c>
      <c r="I3804">
        <v>51</v>
      </c>
      <c r="J3804">
        <v>0</v>
      </c>
      <c r="K3804" s="1">
        <v>3188700</v>
      </c>
    </row>
    <row r="3805" spans="1:11" x14ac:dyDescent="0.25">
      <c r="A3805" t="s">
        <v>326</v>
      </c>
      <c r="B3805" t="s">
        <v>521</v>
      </c>
      <c r="C3805" t="s">
        <v>868</v>
      </c>
      <c r="D3805" t="s">
        <v>11</v>
      </c>
      <c r="E3805">
        <v>28</v>
      </c>
      <c r="F3805" s="2">
        <f>DATE(2026,IF(Tabla1[[#This Row],[Mes de Fecha]]="Septiembre",9,10),Tabla1[[#This Row],[Día de Fecha]])</f>
        <v>46293</v>
      </c>
      <c r="G3805">
        <v>1004593130</v>
      </c>
      <c r="H3805" t="s">
        <v>454</v>
      </c>
      <c r="I3805">
        <v>18</v>
      </c>
      <c r="J3805">
        <v>0</v>
      </c>
      <c r="K3805" s="1">
        <v>1015842</v>
      </c>
    </row>
    <row r="3806" spans="1:11" x14ac:dyDescent="0.25">
      <c r="A3806" t="s">
        <v>326</v>
      </c>
      <c r="B3806" t="s">
        <v>521</v>
      </c>
      <c r="C3806" t="s">
        <v>868</v>
      </c>
      <c r="D3806" t="s">
        <v>11</v>
      </c>
      <c r="E3806">
        <v>28</v>
      </c>
      <c r="F3806" s="2">
        <f>DATE(2026,IF(Tabla1[[#This Row],[Mes de Fecha]]="Septiembre",9,10),Tabla1[[#This Row],[Día de Fecha]])</f>
        <v>46293</v>
      </c>
      <c r="G3806">
        <v>1061799953</v>
      </c>
      <c r="H3806" t="s">
        <v>441</v>
      </c>
      <c r="I3806">
        <v>81</v>
      </c>
      <c r="J3806">
        <v>0</v>
      </c>
      <c r="K3806" s="1">
        <v>5200090</v>
      </c>
    </row>
    <row r="3807" spans="1:11" x14ac:dyDescent="0.25">
      <c r="A3807" t="s">
        <v>326</v>
      </c>
      <c r="B3807" t="s">
        <v>521</v>
      </c>
      <c r="C3807" t="s">
        <v>868</v>
      </c>
      <c r="D3807" t="s">
        <v>11</v>
      </c>
      <c r="E3807">
        <v>28</v>
      </c>
      <c r="F3807" s="2">
        <f>DATE(2026,IF(Tabla1[[#This Row],[Mes de Fecha]]="Septiembre",9,10),Tabla1[[#This Row],[Día de Fecha]])</f>
        <v>46293</v>
      </c>
      <c r="G3807">
        <v>1063816927</v>
      </c>
      <c r="H3807" t="s">
        <v>440</v>
      </c>
      <c r="I3807">
        <v>90</v>
      </c>
      <c r="J3807">
        <v>0</v>
      </c>
      <c r="K3807" s="1">
        <v>5512904</v>
      </c>
    </row>
    <row r="3808" spans="1:11" x14ac:dyDescent="0.25">
      <c r="A3808" t="s">
        <v>326</v>
      </c>
      <c r="B3808" t="s">
        <v>521</v>
      </c>
      <c r="C3808" t="s">
        <v>868</v>
      </c>
      <c r="D3808" t="s">
        <v>11</v>
      </c>
      <c r="E3808">
        <v>29</v>
      </c>
      <c r="F3808" s="2">
        <f>DATE(2026,IF(Tabla1[[#This Row],[Mes de Fecha]]="Septiembre",9,10),Tabla1[[#This Row],[Día de Fecha]])</f>
        <v>46294</v>
      </c>
      <c r="I3808">
        <v>0</v>
      </c>
      <c r="J3808" s="1">
        <v>15680341</v>
      </c>
      <c r="K3808">
        <v>0</v>
      </c>
    </row>
    <row r="3809" spans="1:11" x14ac:dyDescent="0.25">
      <c r="A3809" t="s">
        <v>326</v>
      </c>
      <c r="B3809" t="s">
        <v>521</v>
      </c>
      <c r="C3809" t="s">
        <v>868</v>
      </c>
      <c r="D3809" t="s">
        <v>11</v>
      </c>
      <c r="E3809">
        <v>29</v>
      </c>
      <c r="F3809" s="2">
        <f>DATE(2026,IF(Tabla1[[#This Row],[Mes de Fecha]]="Septiembre",9,10),Tabla1[[#This Row],[Día de Fecha]])</f>
        <v>46294</v>
      </c>
      <c r="G3809">
        <v>25289676</v>
      </c>
      <c r="H3809" t="s">
        <v>456</v>
      </c>
      <c r="I3809">
        <v>29</v>
      </c>
      <c r="J3809">
        <v>0</v>
      </c>
      <c r="K3809" s="1">
        <v>1708782</v>
      </c>
    </row>
    <row r="3810" spans="1:11" x14ac:dyDescent="0.25">
      <c r="A3810" t="s">
        <v>326</v>
      </c>
      <c r="B3810" t="s">
        <v>521</v>
      </c>
      <c r="C3810" t="s">
        <v>868</v>
      </c>
      <c r="D3810" t="s">
        <v>11</v>
      </c>
      <c r="E3810">
        <v>29</v>
      </c>
      <c r="F3810" s="2">
        <f>DATE(2026,IF(Tabla1[[#This Row],[Mes de Fecha]]="Septiembre",9,10),Tabla1[[#This Row],[Día de Fecha]])</f>
        <v>46294</v>
      </c>
      <c r="G3810">
        <v>1002972668</v>
      </c>
      <c r="H3810" t="s">
        <v>455</v>
      </c>
      <c r="I3810">
        <v>60</v>
      </c>
      <c r="J3810">
        <v>0</v>
      </c>
      <c r="K3810" s="1">
        <v>3213784</v>
      </c>
    </row>
    <row r="3811" spans="1:11" x14ac:dyDescent="0.25">
      <c r="A3811" t="s">
        <v>326</v>
      </c>
      <c r="B3811" t="s">
        <v>521</v>
      </c>
      <c r="C3811" t="s">
        <v>868</v>
      </c>
      <c r="D3811" t="s">
        <v>11</v>
      </c>
      <c r="E3811">
        <v>29</v>
      </c>
      <c r="F3811" s="2">
        <f>DATE(2026,IF(Tabla1[[#This Row],[Mes de Fecha]]="Septiembre",9,10),Tabla1[[#This Row],[Día de Fecha]])</f>
        <v>46294</v>
      </c>
      <c r="G3811">
        <v>1004148578</v>
      </c>
      <c r="H3811" t="s">
        <v>442</v>
      </c>
      <c r="I3811">
        <v>-1</v>
      </c>
      <c r="J3811">
        <v>0</v>
      </c>
      <c r="K3811" s="1">
        <v>-105000</v>
      </c>
    </row>
    <row r="3812" spans="1:11" x14ac:dyDescent="0.25">
      <c r="A3812" t="s">
        <v>326</v>
      </c>
      <c r="B3812" t="s">
        <v>521</v>
      </c>
      <c r="C3812" t="s">
        <v>868</v>
      </c>
      <c r="D3812" t="s">
        <v>11</v>
      </c>
      <c r="E3812">
        <v>29</v>
      </c>
      <c r="F3812" s="2">
        <f>DATE(2026,IF(Tabla1[[#This Row],[Mes de Fecha]]="Septiembre",9,10),Tabla1[[#This Row],[Día de Fecha]])</f>
        <v>46294</v>
      </c>
      <c r="G3812">
        <v>1004593130</v>
      </c>
      <c r="H3812" t="s">
        <v>454</v>
      </c>
      <c r="I3812">
        <v>24</v>
      </c>
      <c r="J3812">
        <v>0</v>
      </c>
      <c r="K3812" s="1">
        <v>1421096</v>
      </c>
    </row>
    <row r="3813" spans="1:11" x14ac:dyDescent="0.25">
      <c r="A3813" t="s">
        <v>326</v>
      </c>
      <c r="B3813" t="s">
        <v>521</v>
      </c>
      <c r="C3813" t="s">
        <v>868</v>
      </c>
      <c r="D3813" t="s">
        <v>11</v>
      </c>
      <c r="E3813">
        <v>29</v>
      </c>
      <c r="F3813" s="2">
        <f>DATE(2026,IF(Tabla1[[#This Row],[Mes de Fecha]]="Septiembre",9,10),Tabla1[[#This Row],[Día de Fecha]])</f>
        <v>46294</v>
      </c>
      <c r="G3813">
        <v>1061770250</v>
      </c>
      <c r="H3813" t="s">
        <v>449</v>
      </c>
      <c r="I3813">
        <v>-2</v>
      </c>
      <c r="J3813">
        <v>0</v>
      </c>
      <c r="K3813" s="1">
        <v>-146975</v>
      </c>
    </row>
    <row r="3814" spans="1:11" x14ac:dyDescent="0.25">
      <c r="A3814" t="s">
        <v>326</v>
      </c>
      <c r="B3814" t="s">
        <v>521</v>
      </c>
      <c r="C3814" t="s">
        <v>868</v>
      </c>
      <c r="D3814" t="s">
        <v>11</v>
      </c>
      <c r="E3814">
        <v>29</v>
      </c>
      <c r="F3814" s="2">
        <f>DATE(2026,IF(Tabla1[[#This Row],[Mes de Fecha]]="Septiembre",9,10),Tabla1[[#This Row],[Día de Fecha]])</f>
        <v>46294</v>
      </c>
      <c r="G3814">
        <v>1061799953</v>
      </c>
      <c r="H3814" t="s">
        <v>441</v>
      </c>
      <c r="I3814">
        <v>91</v>
      </c>
      <c r="J3814">
        <v>0</v>
      </c>
      <c r="K3814" s="1">
        <v>5390890</v>
      </c>
    </row>
    <row r="3815" spans="1:11" x14ac:dyDescent="0.25">
      <c r="A3815" t="s">
        <v>326</v>
      </c>
      <c r="B3815" t="s">
        <v>521</v>
      </c>
      <c r="C3815" t="s">
        <v>868</v>
      </c>
      <c r="D3815" t="s">
        <v>11</v>
      </c>
      <c r="E3815">
        <v>29</v>
      </c>
      <c r="F3815" s="2">
        <f>DATE(2026,IF(Tabla1[[#This Row],[Mes de Fecha]]="Septiembre",9,10),Tabla1[[#This Row],[Día de Fecha]])</f>
        <v>46294</v>
      </c>
      <c r="G3815">
        <v>1063816927</v>
      </c>
      <c r="H3815" t="s">
        <v>440</v>
      </c>
      <c r="I3815">
        <v>101</v>
      </c>
      <c r="J3815">
        <v>0</v>
      </c>
      <c r="K3815" s="1">
        <v>6381941</v>
      </c>
    </row>
    <row r="3816" spans="1:11" x14ac:dyDescent="0.25">
      <c r="A3816" t="s">
        <v>326</v>
      </c>
      <c r="B3816" t="s">
        <v>521</v>
      </c>
      <c r="C3816" t="s">
        <v>868</v>
      </c>
      <c r="D3816" t="s">
        <v>11</v>
      </c>
      <c r="E3816">
        <v>30</v>
      </c>
      <c r="F3816" s="2">
        <f>DATE(2026,IF(Tabla1[[#This Row],[Mes de Fecha]]="Septiembre",9,10),Tabla1[[#This Row],[Día de Fecha]])</f>
        <v>46295</v>
      </c>
      <c r="I3816">
        <v>0</v>
      </c>
      <c r="J3816" s="1">
        <v>16555301</v>
      </c>
      <c r="K3816">
        <v>0</v>
      </c>
    </row>
    <row r="3817" spans="1:11" x14ac:dyDescent="0.25">
      <c r="A3817" t="s">
        <v>326</v>
      </c>
      <c r="B3817" t="s">
        <v>521</v>
      </c>
      <c r="C3817" t="s">
        <v>868</v>
      </c>
      <c r="D3817" t="s">
        <v>11</v>
      </c>
      <c r="E3817">
        <v>30</v>
      </c>
      <c r="F3817" s="2">
        <f>DATE(2026,IF(Tabla1[[#This Row],[Mes de Fecha]]="Septiembre",9,10),Tabla1[[#This Row],[Día de Fecha]])</f>
        <v>46295</v>
      </c>
      <c r="G3817">
        <v>25289676</v>
      </c>
      <c r="H3817" t="s">
        <v>456</v>
      </c>
      <c r="I3817">
        <v>45</v>
      </c>
      <c r="J3817">
        <v>0</v>
      </c>
      <c r="K3817" s="1">
        <v>2676687</v>
      </c>
    </row>
    <row r="3818" spans="1:11" x14ac:dyDescent="0.25">
      <c r="A3818" t="s">
        <v>326</v>
      </c>
      <c r="B3818" t="s">
        <v>521</v>
      </c>
      <c r="C3818" t="s">
        <v>868</v>
      </c>
      <c r="D3818" t="s">
        <v>11</v>
      </c>
      <c r="E3818">
        <v>30</v>
      </c>
      <c r="F3818" s="2">
        <f>DATE(2026,IF(Tabla1[[#This Row],[Mes de Fecha]]="Septiembre",9,10),Tabla1[[#This Row],[Día de Fecha]])</f>
        <v>46295</v>
      </c>
      <c r="G3818">
        <v>1002972668</v>
      </c>
      <c r="H3818" t="s">
        <v>455</v>
      </c>
      <c r="I3818">
        <v>47</v>
      </c>
      <c r="J3818">
        <v>0</v>
      </c>
      <c r="K3818" s="1">
        <v>2411851</v>
      </c>
    </row>
    <row r="3819" spans="1:11" x14ac:dyDescent="0.25">
      <c r="A3819" t="s">
        <v>326</v>
      </c>
      <c r="B3819" t="s">
        <v>521</v>
      </c>
      <c r="C3819" t="s">
        <v>868</v>
      </c>
      <c r="D3819" t="s">
        <v>11</v>
      </c>
      <c r="E3819">
        <v>30</v>
      </c>
      <c r="F3819" s="2">
        <f>DATE(2026,IF(Tabla1[[#This Row],[Mes de Fecha]]="Septiembre",9,10),Tabla1[[#This Row],[Día de Fecha]])</f>
        <v>46295</v>
      </c>
      <c r="G3819">
        <v>1004593130</v>
      </c>
      <c r="H3819" t="s">
        <v>454</v>
      </c>
      <c r="I3819">
        <v>38</v>
      </c>
      <c r="J3819">
        <v>0</v>
      </c>
      <c r="K3819" s="1">
        <v>2244032</v>
      </c>
    </row>
    <row r="3820" spans="1:11" x14ac:dyDescent="0.25">
      <c r="A3820" t="s">
        <v>326</v>
      </c>
      <c r="B3820" t="s">
        <v>521</v>
      </c>
      <c r="C3820" t="s">
        <v>868</v>
      </c>
      <c r="D3820" t="s">
        <v>11</v>
      </c>
      <c r="E3820">
        <v>30</v>
      </c>
      <c r="F3820" s="2">
        <f>DATE(2026,IF(Tabla1[[#This Row],[Mes de Fecha]]="Septiembre",9,10),Tabla1[[#This Row],[Día de Fecha]])</f>
        <v>46295</v>
      </c>
      <c r="G3820">
        <v>1061799953</v>
      </c>
      <c r="H3820" t="s">
        <v>441</v>
      </c>
      <c r="I3820">
        <v>73</v>
      </c>
      <c r="J3820">
        <v>0</v>
      </c>
      <c r="K3820" s="1">
        <v>2991896</v>
      </c>
    </row>
    <row r="3821" spans="1:11" x14ac:dyDescent="0.25">
      <c r="A3821" t="s">
        <v>326</v>
      </c>
      <c r="B3821" t="s">
        <v>521</v>
      </c>
      <c r="C3821" t="s">
        <v>868</v>
      </c>
      <c r="D3821" t="s">
        <v>11</v>
      </c>
      <c r="E3821">
        <v>30</v>
      </c>
      <c r="F3821" s="2">
        <f>DATE(2026,IF(Tabla1[[#This Row],[Mes de Fecha]]="Septiembre",9,10),Tabla1[[#This Row],[Día de Fecha]])</f>
        <v>46295</v>
      </c>
      <c r="G3821">
        <v>1063816927</v>
      </c>
      <c r="H3821" t="s">
        <v>440</v>
      </c>
      <c r="I3821">
        <v>65</v>
      </c>
      <c r="J3821">
        <v>0</v>
      </c>
      <c r="K3821" s="1">
        <v>3858448</v>
      </c>
    </row>
    <row r="3822" spans="1:11" x14ac:dyDescent="0.25">
      <c r="A3822" t="s">
        <v>326</v>
      </c>
      <c r="B3822" t="s">
        <v>521</v>
      </c>
      <c r="C3822" t="s">
        <v>868</v>
      </c>
      <c r="D3822" t="s">
        <v>14</v>
      </c>
      <c r="E3822">
        <v>1</v>
      </c>
      <c r="F3822" s="2">
        <f>DATE(2026,IF(Tabla1[[#This Row],[Mes de Fecha]]="Septiembre",9,10),Tabla1[[#This Row],[Día de Fecha]])</f>
        <v>46296</v>
      </c>
      <c r="I3822">
        <v>0</v>
      </c>
      <c r="J3822" s="1">
        <v>16456571</v>
      </c>
      <c r="K3822">
        <v>0</v>
      </c>
    </row>
    <row r="3823" spans="1:11" x14ac:dyDescent="0.25">
      <c r="A3823" t="s">
        <v>326</v>
      </c>
      <c r="B3823" t="s">
        <v>521</v>
      </c>
      <c r="C3823" t="s">
        <v>868</v>
      </c>
      <c r="D3823" t="s">
        <v>14</v>
      </c>
      <c r="E3823">
        <v>1</v>
      </c>
      <c r="F3823" s="2">
        <f>DATE(2026,IF(Tabla1[[#This Row],[Mes de Fecha]]="Septiembre",9,10),Tabla1[[#This Row],[Día de Fecha]])</f>
        <v>46296</v>
      </c>
      <c r="G3823">
        <v>25289676</v>
      </c>
      <c r="H3823" t="s">
        <v>456</v>
      </c>
      <c r="I3823">
        <v>45</v>
      </c>
      <c r="J3823">
        <v>0</v>
      </c>
      <c r="K3823" s="1">
        <v>2600844</v>
      </c>
    </row>
    <row r="3824" spans="1:11" x14ac:dyDescent="0.25">
      <c r="A3824" t="s">
        <v>326</v>
      </c>
      <c r="B3824" t="s">
        <v>521</v>
      </c>
      <c r="C3824" t="s">
        <v>868</v>
      </c>
      <c r="D3824" t="s">
        <v>14</v>
      </c>
      <c r="E3824">
        <v>1</v>
      </c>
      <c r="F3824" s="2">
        <f>DATE(2026,IF(Tabla1[[#This Row],[Mes de Fecha]]="Septiembre",9,10),Tabla1[[#This Row],[Día de Fecha]])</f>
        <v>46296</v>
      </c>
      <c r="G3824">
        <v>1002972668</v>
      </c>
      <c r="H3824" t="s">
        <v>455</v>
      </c>
      <c r="I3824">
        <v>60</v>
      </c>
      <c r="J3824">
        <v>0</v>
      </c>
      <c r="K3824" s="1">
        <v>3446854</v>
      </c>
    </row>
    <row r="3825" spans="1:11" x14ac:dyDescent="0.25">
      <c r="A3825" t="s">
        <v>326</v>
      </c>
      <c r="B3825" t="s">
        <v>521</v>
      </c>
      <c r="C3825" t="s">
        <v>868</v>
      </c>
      <c r="D3825" t="s">
        <v>14</v>
      </c>
      <c r="E3825">
        <v>1</v>
      </c>
      <c r="F3825" s="2">
        <f>DATE(2026,IF(Tabla1[[#This Row],[Mes de Fecha]]="Septiembre",9,10),Tabla1[[#This Row],[Día de Fecha]])</f>
        <v>46296</v>
      </c>
      <c r="G3825">
        <v>1004593130</v>
      </c>
      <c r="H3825" t="s">
        <v>454</v>
      </c>
      <c r="I3825">
        <v>36</v>
      </c>
      <c r="J3825">
        <v>0</v>
      </c>
      <c r="K3825" s="1">
        <v>2225172</v>
      </c>
    </row>
    <row r="3826" spans="1:11" x14ac:dyDescent="0.25">
      <c r="A3826" t="s">
        <v>326</v>
      </c>
      <c r="B3826" t="s">
        <v>521</v>
      </c>
      <c r="C3826" t="s">
        <v>868</v>
      </c>
      <c r="D3826" t="s">
        <v>14</v>
      </c>
      <c r="E3826">
        <v>1</v>
      </c>
      <c r="F3826" s="2">
        <f>DATE(2026,IF(Tabla1[[#This Row],[Mes de Fecha]]="Septiembre",9,10),Tabla1[[#This Row],[Día de Fecha]])</f>
        <v>46296</v>
      </c>
      <c r="G3826">
        <v>1061799953</v>
      </c>
      <c r="H3826" t="s">
        <v>441</v>
      </c>
      <c r="I3826">
        <v>80</v>
      </c>
      <c r="J3826">
        <v>0</v>
      </c>
      <c r="K3826" s="1">
        <v>5660090</v>
      </c>
    </row>
    <row r="3827" spans="1:11" x14ac:dyDescent="0.25">
      <c r="A3827" t="s">
        <v>326</v>
      </c>
      <c r="B3827" t="s">
        <v>521</v>
      </c>
      <c r="C3827" t="s">
        <v>868</v>
      </c>
      <c r="D3827" t="s">
        <v>14</v>
      </c>
      <c r="E3827">
        <v>1</v>
      </c>
      <c r="F3827" s="2">
        <f>DATE(2026,IF(Tabla1[[#This Row],[Mes de Fecha]]="Septiembre",9,10),Tabla1[[#This Row],[Día de Fecha]])</f>
        <v>46296</v>
      </c>
      <c r="G3827">
        <v>1061814088</v>
      </c>
      <c r="H3827" t="s">
        <v>438</v>
      </c>
      <c r="I3827">
        <v>-1</v>
      </c>
      <c r="J3827">
        <v>0</v>
      </c>
      <c r="K3827" s="1">
        <v>-37773</v>
      </c>
    </row>
    <row r="3828" spans="1:11" x14ac:dyDescent="0.25">
      <c r="A3828" t="s">
        <v>326</v>
      </c>
      <c r="B3828" t="s">
        <v>521</v>
      </c>
      <c r="C3828" t="s">
        <v>868</v>
      </c>
      <c r="D3828" t="s">
        <v>14</v>
      </c>
      <c r="E3828">
        <v>1</v>
      </c>
      <c r="F3828" s="2">
        <f>DATE(2026,IF(Tabla1[[#This Row],[Mes de Fecha]]="Septiembre",9,10),Tabla1[[#This Row],[Día de Fecha]])</f>
        <v>46296</v>
      </c>
      <c r="G3828">
        <v>1063816927</v>
      </c>
      <c r="H3828" t="s">
        <v>440</v>
      </c>
      <c r="I3828">
        <v>112</v>
      </c>
      <c r="J3828">
        <v>0</v>
      </c>
      <c r="K3828" s="1">
        <v>6270178</v>
      </c>
    </row>
    <row r="3829" spans="1:11" x14ac:dyDescent="0.25">
      <c r="A3829" t="s">
        <v>326</v>
      </c>
      <c r="B3829" t="s">
        <v>521</v>
      </c>
      <c r="C3829" t="s">
        <v>868</v>
      </c>
      <c r="D3829" t="s">
        <v>14</v>
      </c>
      <c r="E3829">
        <v>2</v>
      </c>
      <c r="F3829" s="2">
        <f>DATE(2026,IF(Tabla1[[#This Row],[Mes de Fecha]]="Septiembre",9,10),Tabla1[[#This Row],[Día de Fecha]])</f>
        <v>46297</v>
      </c>
      <c r="I3829">
        <v>0</v>
      </c>
      <c r="J3829" s="1">
        <v>21400126</v>
      </c>
      <c r="K3829">
        <v>0</v>
      </c>
    </row>
    <row r="3830" spans="1:11" x14ac:dyDescent="0.25">
      <c r="A3830" t="s">
        <v>326</v>
      </c>
      <c r="B3830" t="s">
        <v>521</v>
      </c>
      <c r="C3830" t="s">
        <v>868</v>
      </c>
      <c r="D3830" t="s">
        <v>14</v>
      </c>
      <c r="E3830">
        <v>2</v>
      </c>
      <c r="F3830" s="2">
        <f>DATE(2026,IF(Tabla1[[#This Row],[Mes de Fecha]]="Septiembre",9,10),Tabla1[[#This Row],[Día de Fecha]])</f>
        <v>46297</v>
      </c>
      <c r="G3830">
        <v>25289676</v>
      </c>
      <c r="H3830" t="s">
        <v>456</v>
      </c>
      <c r="I3830">
        <v>32</v>
      </c>
      <c r="J3830">
        <v>0</v>
      </c>
      <c r="K3830" s="1">
        <v>1971348</v>
      </c>
    </row>
    <row r="3831" spans="1:11" x14ac:dyDescent="0.25">
      <c r="A3831" t="s">
        <v>326</v>
      </c>
      <c r="B3831" t="s">
        <v>521</v>
      </c>
      <c r="C3831" t="s">
        <v>868</v>
      </c>
      <c r="D3831" t="s">
        <v>14</v>
      </c>
      <c r="E3831">
        <v>2</v>
      </c>
      <c r="F3831" s="2">
        <f>DATE(2026,IF(Tabla1[[#This Row],[Mes de Fecha]]="Septiembre",9,10),Tabla1[[#This Row],[Día de Fecha]])</f>
        <v>46297</v>
      </c>
      <c r="G3831">
        <v>1002972668</v>
      </c>
      <c r="H3831" t="s">
        <v>455</v>
      </c>
      <c r="I3831">
        <v>46</v>
      </c>
      <c r="J3831">
        <v>0</v>
      </c>
      <c r="K3831" s="1">
        <v>2819374</v>
      </c>
    </row>
    <row r="3832" spans="1:11" x14ac:dyDescent="0.25">
      <c r="A3832" t="s">
        <v>326</v>
      </c>
      <c r="B3832" t="s">
        <v>521</v>
      </c>
      <c r="C3832" t="s">
        <v>868</v>
      </c>
      <c r="D3832" t="s">
        <v>14</v>
      </c>
      <c r="E3832">
        <v>2</v>
      </c>
      <c r="F3832" s="2">
        <f>DATE(2026,IF(Tabla1[[#This Row],[Mes de Fecha]]="Septiembre",9,10),Tabla1[[#This Row],[Día de Fecha]])</f>
        <v>46297</v>
      </c>
      <c r="G3832">
        <v>1004593130</v>
      </c>
      <c r="H3832" t="s">
        <v>454</v>
      </c>
      <c r="I3832">
        <v>30</v>
      </c>
      <c r="J3832">
        <v>0</v>
      </c>
      <c r="K3832" s="1">
        <v>1763362</v>
      </c>
    </row>
    <row r="3833" spans="1:11" x14ac:dyDescent="0.25">
      <c r="A3833" t="s">
        <v>326</v>
      </c>
      <c r="B3833" t="s">
        <v>521</v>
      </c>
      <c r="C3833" t="s">
        <v>868</v>
      </c>
      <c r="D3833" t="s">
        <v>14</v>
      </c>
      <c r="E3833">
        <v>2</v>
      </c>
      <c r="F3833" s="2">
        <f>DATE(2026,IF(Tabla1[[#This Row],[Mes de Fecha]]="Septiembre",9,10),Tabla1[[#This Row],[Día de Fecha]])</f>
        <v>46297</v>
      </c>
      <c r="G3833">
        <v>1061770250</v>
      </c>
      <c r="H3833" t="s">
        <v>449</v>
      </c>
      <c r="I3833">
        <v>-1</v>
      </c>
      <c r="J3833">
        <v>0</v>
      </c>
      <c r="K3833" s="1">
        <v>-37773</v>
      </c>
    </row>
    <row r="3834" spans="1:11" x14ac:dyDescent="0.25">
      <c r="A3834" t="s">
        <v>326</v>
      </c>
      <c r="B3834" t="s">
        <v>521</v>
      </c>
      <c r="C3834" t="s">
        <v>868</v>
      </c>
      <c r="D3834" t="s">
        <v>14</v>
      </c>
      <c r="E3834">
        <v>2</v>
      </c>
      <c r="F3834" s="2">
        <f>DATE(2026,IF(Tabla1[[#This Row],[Mes de Fecha]]="Septiembre",9,10),Tabla1[[#This Row],[Día de Fecha]])</f>
        <v>46297</v>
      </c>
      <c r="G3834">
        <v>1061774213</v>
      </c>
      <c r="H3834" t="s">
        <v>444</v>
      </c>
      <c r="I3834">
        <v>-1</v>
      </c>
      <c r="J3834">
        <v>0</v>
      </c>
      <c r="K3834" s="1">
        <v>-37773</v>
      </c>
    </row>
    <row r="3835" spans="1:11" x14ac:dyDescent="0.25">
      <c r="A3835" t="s">
        <v>326</v>
      </c>
      <c r="B3835" t="s">
        <v>521</v>
      </c>
      <c r="C3835" t="s">
        <v>868</v>
      </c>
      <c r="D3835" t="s">
        <v>14</v>
      </c>
      <c r="E3835">
        <v>2</v>
      </c>
      <c r="F3835" s="2">
        <f>DATE(2026,IF(Tabla1[[#This Row],[Mes de Fecha]]="Septiembre",9,10),Tabla1[[#This Row],[Día de Fecha]])</f>
        <v>46297</v>
      </c>
      <c r="G3835">
        <v>1061799953</v>
      </c>
      <c r="H3835" t="s">
        <v>441</v>
      </c>
      <c r="I3835">
        <v>94</v>
      </c>
      <c r="J3835">
        <v>0</v>
      </c>
      <c r="K3835" s="1">
        <v>5647023</v>
      </c>
    </row>
    <row r="3836" spans="1:11" x14ac:dyDescent="0.25">
      <c r="A3836" t="s">
        <v>326</v>
      </c>
      <c r="B3836" t="s">
        <v>521</v>
      </c>
      <c r="C3836" t="s">
        <v>868</v>
      </c>
      <c r="D3836" t="s">
        <v>14</v>
      </c>
      <c r="E3836">
        <v>2</v>
      </c>
      <c r="F3836" s="2">
        <f>DATE(2026,IF(Tabla1[[#This Row],[Mes de Fecha]]="Septiembre",9,10),Tabla1[[#This Row],[Día de Fecha]])</f>
        <v>46297</v>
      </c>
      <c r="G3836">
        <v>1061814088</v>
      </c>
      <c r="H3836" t="s">
        <v>438</v>
      </c>
      <c r="I3836">
        <v>-1</v>
      </c>
      <c r="J3836">
        <v>0</v>
      </c>
      <c r="K3836" s="1">
        <v>-50336</v>
      </c>
    </row>
    <row r="3837" spans="1:11" x14ac:dyDescent="0.25">
      <c r="A3837" t="s">
        <v>326</v>
      </c>
      <c r="B3837" t="s">
        <v>521</v>
      </c>
      <c r="C3837" t="s">
        <v>868</v>
      </c>
      <c r="D3837" t="s">
        <v>14</v>
      </c>
      <c r="E3837">
        <v>2</v>
      </c>
      <c r="F3837" s="2">
        <f>DATE(2026,IF(Tabla1[[#This Row],[Mes de Fecha]]="Septiembre",9,10),Tabla1[[#This Row],[Día de Fecha]])</f>
        <v>46297</v>
      </c>
      <c r="G3837">
        <v>1063816927</v>
      </c>
      <c r="H3837" t="s">
        <v>440</v>
      </c>
      <c r="I3837">
        <v>79</v>
      </c>
      <c r="J3837">
        <v>0</v>
      </c>
      <c r="K3837" s="1">
        <v>5492360</v>
      </c>
    </row>
    <row r="3838" spans="1:11" x14ac:dyDescent="0.25">
      <c r="A3838" t="s">
        <v>326</v>
      </c>
      <c r="B3838" t="s">
        <v>521</v>
      </c>
      <c r="C3838" t="s">
        <v>868</v>
      </c>
      <c r="D3838" t="s">
        <v>14</v>
      </c>
      <c r="E3838">
        <v>3</v>
      </c>
      <c r="F3838" s="2">
        <f>DATE(2026,IF(Tabla1[[#This Row],[Mes de Fecha]]="Septiembre",9,10),Tabla1[[#This Row],[Día de Fecha]])</f>
        <v>46298</v>
      </c>
      <c r="I3838">
        <v>0</v>
      </c>
      <c r="J3838" s="1">
        <v>22394531</v>
      </c>
      <c r="K3838">
        <v>0</v>
      </c>
    </row>
    <row r="3839" spans="1:11" x14ac:dyDescent="0.25">
      <c r="A3839" t="s">
        <v>326</v>
      </c>
      <c r="B3839" t="s">
        <v>521</v>
      </c>
      <c r="C3839" t="s">
        <v>868</v>
      </c>
      <c r="D3839" t="s">
        <v>14</v>
      </c>
      <c r="E3839">
        <v>3</v>
      </c>
      <c r="F3839" s="2">
        <f>DATE(2026,IF(Tabla1[[#This Row],[Mes de Fecha]]="Septiembre",9,10),Tabla1[[#This Row],[Día de Fecha]])</f>
        <v>46298</v>
      </c>
      <c r="G3839">
        <v>25289676</v>
      </c>
      <c r="H3839" t="s">
        <v>456</v>
      </c>
      <c r="I3839">
        <v>73</v>
      </c>
      <c r="J3839">
        <v>0</v>
      </c>
      <c r="K3839" s="1">
        <v>3902943</v>
      </c>
    </row>
    <row r="3840" spans="1:11" x14ac:dyDescent="0.25">
      <c r="A3840" t="s">
        <v>326</v>
      </c>
      <c r="B3840" t="s">
        <v>521</v>
      </c>
      <c r="C3840" t="s">
        <v>868</v>
      </c>
      <c r="D3840" t="s">
        <v>14</v>
      </c>
      <c r="E3840">
        <v>3</v>
      </c>
      <c r="F3840" s="2">
        <f>DATE(2026,IF(Tabla1[[#This Row],[Mes de Fecha]]="Septiembre",9,10),Tabla1[[#This Row],[Día de Fecha]])</f>
        <v>46298</v>
      </c>
      <c r="G3840">
        <v>1002972668</v>
      </c>
      <c r="H3840" t="s">
        <v>455</v>
      </c>
      <c r="I3840">
        <v>36</v>
      </c>
      <c r="J3840">
        <v>0</v>
      </c>
      <c r="K3840" s="1">
        <v>2091018</v>
      </c>
    </row>
    <row r="3841" spans="1:11" x14ac:dyDescent="0.25">
      <c r="A3841" t="s">
        <v>326</v>
      </c>
      <c r="B3841" t="s">
        <v>521</v>
      </c>
      <c r="C3841" t="s">
        <v>868</v>
      </c>
      <c r="D3841" t="s">
        <v>14</v>
      </c>
      <c r="E3841">
        <v>3</v>
      </c>
      <c r="F3841" s="2">
        <f>DATE(2026,IF(Tabla1[[#This Row],[Mes de Fecha]]="Septiembre",9,10),Tabla1[[#This Row],[Día de Fecha]])</f>
        <v>46298</v>
      </c>
      <c r="G3841">
        <v>1004593130</v>
      </c>
      <c r="H3841" t="s">
        <v>454</v>
      </c>
      <c r="I3841">
        <v>40</v>
      </c>
      <c r="J3841">
        <v>0</v>
      </c>
      <c r="K3841" s="1">
        <v>2165592</v>
      </c>
    </row>
    <row r="3842" spans="1:11" x14ac:dyDescent="0.25">
      <c r="A3842" t="s">
        <v>326</v>
      </c>
      <c r="B3842" t="s">
        <v>521</v>
      </c>
      <c r="C3842" t="s">
        <v>868</v>
      </c>
      <c r="D3842" t="s">
        <v>14</v>
      </c>
      <c r="E3842">
        <v>3</v>
      </c>
      <c r="F3842" s="2">
        <f>DATE(2026,IF(Tabla1[[#This Row],[Mes de Fecha]]="Septiembre",9,10),Tabla1[[#This Row],[Día de Fecha]])</f>
        <v>46298</v>
      </c>
      <c r="G3842">
        <v>1061799953</v>
      </c>
      <c r="H3842" t="s">
        <v>441</v>
      </c>
      <c r="I3842">
        <v>108</v>
      </c>
      <c r="J3842">
        <v>0</v>
      </c>
      <c r="K3842" s="1">
        <v>6086784</v>
      </c>
    </row>
    <row r="3843" spans="1:11" x14ac:dyDescent="0.25">
      <c r="A3843" t="s">
        <v>326</v>
      </c>
      <c r="B3843" t="s">
        <v>521</v>
      </c>
      <c r="C3843" t="s">
        <v>868</v>
      </c>
      <c r="D3843" t="s">
        <v>14</v>
      </c>
      <c r="E3843">
        <v>3</v>
      </c>
      <c r="F3843" s="2">
        <f>DATE(2026,IF(Tabla1[[#This Row],[Mes de Fecha]]="Septiembre",9,10),Tabla1[[#This Row],[Día de Fecha]])</f>
        <v>46298</v>
      </c>
      <c r="G3843">
        <v>1063816927</v>
      </c>
      <c r="H3843" t="s">
        <v>440</v>
      </c>
      <c r="I3843">
        <v>106</v>
      </c>
      <c r="J3843">
        <v>0</v>
      </c>
      <c r="K3843" s="1">
        <v>6123386</v>
      </c>
    </row>
    <row r="3844" spans="1:11" x14ac:dyDescent="0.25">
      <c r="A3844" t="s">
        <v>326</v>
      </c>
      <c r="B3844" t="s">
        <v>521</v>
      </c>
      <c r="C3844" t="s">
        <v>868</v>
      </c>
      <c r="D3844" t="s">
        <v>14</v>
      </c>
      <c r="E3844">
        <v>4</v>
      </c>
      <c r="F3844" s="2">
        <f>DATE(2026,IF(Tabla1[[#This Row],[Mes de Fecha]]="Septiembre",9,10),Tabla1[[#This Row],[Día de Fecha]])</f>
        <v>46299</v>
      </c>
      <c r="I3844">
        <v>0</v>
      </c>
      <c r="J3844" s="1">
        <v>6828838</v>
      </c>
      <c r="K3844">
        <v>0</v>
      </c>
    </row>
    <row r="3845" spans="1:11" x14ac:dyDescent="0.25">
      <c r="A3845" t="s">
        <v>326</v>
      </c>
      <c r="B3845" t="s">
        <v>521</v>
      </c>
      <c r="C3845" t="s">
        <v>868</v>
      </c>
      <c r="D3845" t="s">
        <v>14</v>
      </c>
      <c r="E3845">
        <v>4</v>
      </c>
      <c r="F3845" s="2">
        <f>DATE(2026,IF(Tabla1[[#This Row],[Mes de Fecha]]="Septiembre",9,10),Tabla1[[#This Row],[Día de Fecha]])</f>
        <v>46299</v>
      </c>
      <c r="G3845">
        <v>25289676</v>
      </c>
      <c r="H3845" t="s">
        <v>456</v>
      </c>
      <c r="I3845">
        <v>19</v>
      </c>
      <c r="J3845">
        <v>0</v>
      </c>
      <c r="K3845" s="1">
        <v>1331009</v>
      </c>
    </row>
    <row r="3846" spans="1:11" x14ac:dyDescent="0.25">
      <c r="A3846" t="s">
        <v>326</v>
      </c>
      <c r="B3846" t="s">
        <v>521</v>
      </c>
      <c r="C3846" t="s">
        <v>868</v>
      </c>
      <c r="D3846" t="s">
        <v>14</v>
      </c>
      <c r="E3846">
        <v>4</v>
      </c>
      <c r="F3846" s="2">
        <f>DATE(2026,IF(Tabla1[[#This Row],[Mes de Fecha]]="Septiembre",9,10),Tabla1[[#This Row],[Día de Fecha]])</f>
        <v>46299</v>
      </c>
      <c r="G3846">
        <v>1002972668</v>
      </c>
      <c r="H3846" t="s">
        <v>455</v>
      </c>
      <c r="I3846">
        <v>11</v>
      </c>
      <c r="J3846">
        <v>0</v>
      </c>
      <c r="K3846" s="1">
        <v>858786</v>
      </c>
    </row>
    <row r="3847" spans="1:11" x14ac:dyDescent="0.25">
      <c r="A3847" t="s">
        <v>326</v>
      </c>
      <c r="B3847" t="s">
        <v>521</v>
      </c>
      <c r="C3847" t="s">
        <v>868</v>
      </c>
      <c r="D3847" t="s">
        <v>14</v>
      </c>
      <c r="E3847">
        <v>4</v>
      </c>
      <c r="F3847" s="2">
        <f>DATE(2026,IF(Tabla1[[#This Row],[Mes de Fecha]]="Septiembre",9,10),Tabla1[[#This Row],[Día de Fecha]])</f>
        <v>46299</v>
      </c>
      <c r="G3847">
        <v>1004593130</v>
      </c>
      <c r="H3847" t="s">
        <v>454</v>
      </c>
      <c r="I3847">
        <v>13</v>
      </c>
      <c r="J3847">
        <v>0</v>
      </c>
      <c r="K3847" s="1">
        <v>780758</v>
      </c>
    </row>
    <row r="3848" spans="1:11" x14ac:dyDescent="0.25">
      <c r="A3848" t="s">
        <v>326</v>
      </c>
      <c r="B3848" t="s">
        <v>521</v>
      </c>
      <c r="C3848" t="s">
        <v>868</v>
      </c>
      <c r="D3848" t="s">
        <v>14</v>
      </c>
      <c r="E3848">
        <v>4</v>
      </c>
      <c r="F3848" s="2">
        <f>DATE(2026,IF(Tabla1[[#This Row],[Mes de Fecha]]="Septiembre",9,10),Tabla1[[#This Row],[Día de Fecha]])</f>
        <v>46299</v>
      </c>
      <c r="G3848">
        <v>1061799953</v>
      </c>
      <c r="H3848" t="s">
        <v>441</v>
      </c>
      <c r="I3848">
        <v>18</v>
      </c>
      <c r="J3848">
        <v>0</v>
      </c>
      <c r="K3848" s="1">
        <v>1272352</v>
      </c>
    </row>
    <row r="3849" spans="1:11" x14ac:dyDescent="0.25">
      <c r="A3849" t="s">
        <v>326</v>
      </c>
      <c r="B3849" t="s">
        <v>521</v>
      </c>
      <c r="C3849" t="s">
        <v>868</v>
      </c>
      <c r="D3849" t="s">
        <v>14</v>
      </c>
      <c r="E3849">
        <v>4</v>
      </c>
      <c r="F3849" s="2">
        <f>DATE(2026,IF(Tabla1[[#This Row],[Mes de Fecha]]="Septiembre",9,10),Tabla1[[#This Row],[Día de Fecha]])</f>
        <v>46299</v>
      </c>
      <c r="G3849">
        <v>1063816927</v>
      </c>
      <c r="H3849" t="s">
        <v>440</v>
      </c>
      <c r="I3849">
        <v>17</v>
      </c>
      <c r="J3849">
        <v>0</v>
      </c>
      <c r="K3849" s="1">
        <v>1297565</v>
      </c>
    </row>
    <row r="3850" spans="1:11" x14ac:dyDescent="0.25">
      <c r="A3850" t="s">
        <v>326</v>
      </c>
      <c r="B3850" t="s">
        <v>521</v>
      </c>
      <c r="C3850" t="s">
        <v>868</v>
      </c>
      <c r="D3850" t="s">
        <v>14</v>
      </c>
      <c r="E3850">
        <v>5</v>
      </c>
      <c r="F3850" s="2">
        <f>DATE(2026,IF(Tabla1[[#This Row],[Mes de Fecha]]="Septiembre",9,10),Tabla1[[#This Row],[Día de Fecha]])</f>
        <v>46300</v>
      </c>
      <c r="I3850">
        <v>0</v>
      </c>
      <c r="J3850" s="1">
        <v>12830873</v>
      </c>
      <c r="K3850">
        <v>0</v>
      </c>
    </row>
    <row r="3851" spans="1:11" x14ac:dyDescent="0.25">
      <c r="A3851" t="s">
        <v>326</v>
      </c>
      <c r="B3851" t="s">
        <v>521</v>
      </c>
      <c r="C3851" t="s">
        <v>868</v>
      </c>
      <c r="D3851" t="s">
        <v>14</v>
      </c>
      <c r="E3851">
        <v>5</v>
      </c>
      <c r="F3851" s="2">
        <f>DATE(2026,IF(Tabla1[[#This Row],[Mes de Fecha]]="Septiembre",9,10),Tabla1[[#This Row],[Día de Fecha]])</f>
        <v>46300</v>
      </c>
      <c r="G3851">
        <v>25289676</v>
      </c>
      <c r="H3851" t="s">
        <v>456</v>
      </c>
      <c r="I3851">
        <v>51</v>
      </c>
      <c r="J3851">
        <v>0</v>
      </c>
      <c r="K3851" s="1">
        <v>2951388</v>
      </c>
    </row>
    <row r="3852" spans="1:11" x14ac:dyDescent="0.25">
      <c r="A3852" t="s">
        <v>326</v>
      </c>
      <c r="B3852" t="s">
        <v>521</v>
      </c>
      <c r="C3852" t="s">
        <v>868</v>
      </c>
      <c r="D3852" t="s">
        <v>14</v>
      </c>
      <c r="E3852">
        <v>5</v>
      </c>
      <c r="F3852" s="2">
        <f>DATE(2026,IF(Tabla1[[#This Row],[Mes de Fecha]]="Septiembre",9,10),Tabla1[[#This Row],[Día de Fecha]])</f>
        <v>46300</v>
      </c>
      <c r="G3852">
        <v>1002957897</v>
      </c>
      <c r="H3852" t="s">
        <v>436</v>
      </c>
      <c r="I3852">
        <v>-1</v>
      </c>
      <c r="J3852">
        <v>0</v>
      </c>
      <c r="K3852" s="1">
        <v>-67185</v>
      </c>
    </row>
    <row r="3853" spans="1:11" x14ac:dyDescent="0.25">
      <c r="A3853" t="s">
        <v>326</v>
      </c>
      <c r="B3853" t="s">
        <v>521</v>
      </c>
      <c r="C3853" t="s">
        <v>868</v>
      </c>
      <c r="D3853" t="s">
        <v>14</v>
      </c>
      <c r="E3853">
        <v>5</v>
      </c>
      <c r="F3853" s="2">
        <f>DATE(2026,IF(Tabla1[[#This Row],[Mes de Fecha]]="Septiembre",9,10),Tabla1[[#This Row],[Día de Fecha]])</f>
        <v>46300</v>
      </c>
      <c r="G3853">
        <v>1002972668</v>
      </c>
      <c r="H3853" t="s">
        <v>455</v>
      </c>
      <c r="I3853">
        <v>25</v>
      </c>
      <c r="J3853">
        <v>0</v>
      </c>
      <c r="K3853" s="1">
        <v>1280423</v>
      </c>
    </row>
    <row r="3854" spans="1:11" x14ac:dyDescent="0.25">
      <c r="A3854" t="s">
        <v>326</v>
      </c>
      <c r="B3854" t="s">
        <v>521</v>
      </c>
      <c r="C3854" t="s">
        <v>868</v>
      </c>
      <c r="D3854" t="s">
        <v>14</v>
      </c>
      <c r="E3854">
        <v>5</v>
      </c>
      <c r="F3854" s="2">
        <f>DATE(2026,IF(Tabla1[[#This Row],[Mes de Fecha]]="Septiembre",9,10),Tabla1[[#This Row],[Día de Fecha]])</f>
        <v>46300</v>
      </c>
      <c r="G3854">
        <v>1004593130</v>
      </c>
      <c r="H3854" t="s">
        <v>454</v>
      </c>
      <c r="I3854">
        <v>30</v>
      </c>
      <c r="J3854">
        <v>0</v>
      </c>
      <c r="K3854" s="1">
        <v>2049162</v>
      </c>
    </row>
    <row r="3855" spans="1:11" x14ac:dyDescent="0.25">
      <c r="A3855" t="s">
        <v>326</v>
      </c>
      <c r="B3855" t="s">
        <v>521</v>
      </c>
      <c r="C3855" t="s">
        <v>868</v>
      </c>
      <c r="D3855" t="s">
        <v>14</v>
      </c>
      <c r="E3855">
        <v>5</v>
      </c>
      <c r="F3855" s="2">
        <f>DATE(2026,IF(Tabla1[[#This Row],[Mes de Fecha]]="Septiembre",9,10),Tabla1[[#This Row],[Día de Fecha]])</f>
        <v>46300</v>
      </c>
      <c r="G3855">
        <v>1061770250</v>
      </c>
      <c r="H3855" t="s">
        <v>449</v>
      </c>
      <c r="I3855">
        <v>-2</v>
      </c>
      <c r="J3855">
        <v>0</v>
      </c>
      <c r="K3855" s="1">
        <v>-101605</v>
      </c>
    </row>
    <row r="3856" spans="1:11" x14ac:dyDescent="0.25">
      <c r="A3856" t="s">
        <v>326</v>
      </c>
      <c r="B3856" t="s">
        <v>521</v>
      </c>
      <c r="C3856" t="s">
        <v>868</v>
      </c>
      <c r="D3856" t="s">
        <v>14</v>
      </c>
      <c r="E3856">
        <v>5</v>
      </c>
      <c r="F3856" s="2">
        <f>DATE(2026,IF(Tabla1[[#This Row],[Mes de Fecha]]="Septiembre",9,10),Tabla1[[#This Row],[Día de Fecha]])</f>
        <v>46300</v>
      </c>
      <c r="G3856">
        <v>1061799953</v>
      </c>
      <c r="H3856" t="s">
        <v>441</v>
      </c>
      <c r="I3856">
        <v>56</v>
      </c>
      <c r="J3856">
        <v>0</v>
      </c>
      <c r="K3856" s="1">
        <v>3358832</v>
      </c>
    </row>
    <row r="3857" spans="1:11" x14ac:dyDescent="0.25">
      <c r="A3857" t="s">
        <v>326</v>
      </c>
      <c r="B3857" t="s">
        <v>521</v>
      </c>
      <c r="C3857" t="s">
        <v>868</v>
      </c>
      <c r="D3857" t="s">
        <v>14</v>
      </c>
      <c r="E3857">
        <v>5</v>
      </c>
      <c r="F3857" s="2">
        <f>DATE(2026,IF(Tabla1[[#This Row],[Mes de Fecha]]="Septiembre",9,10),Tabla1[[#This Row],[Día de Fecha]])</f>
        <v>46300</v>
      </c>
      <c r="G3857">
        <v>1061814088</v>
      </c>
      <c r="H3857" t="s">
        <v>438</v>
      </c>
      <c r="I3857">
        <v>-2</v>
      </c>
      <c r="J3857">
        <v>0</v>
      </c>
      <c r="K3857" s="1">
        <v>-180588</v>
      </c>
    </row>
    <row r="3858" spans="1:11" x14ac:dyDescent="0.25">
      <c r="A3858" t="s">
        <v>326</v>
      </c>
      <c r="B3858" t="s">
        <v>521</v>
      </c>
      <c r="C3858" t="s">
        <v>868</v>
      </c>
      <c r="D3858" t="s">
        <v>14</v>
      </c>
      <c r="E3858">
        <v>5</v>
      </c>
      <c r="F3858" s="2">
        <f>DATE(2026,IF(Tabla1[[#This Row],[Mes de Fecha]]="Septiembre",9,10),Tabla1[[#This Row],[Día de Fecha]])</f>
        <v>46300</v>
      </c>
      <c r="G3858">
        <v>1063816927</v>
      </c>
      <c r="H3858" t="s">
        <v>440</v>
      </c>
      <c r="I3858">
        <v>84</v>
      </c>
      <c r="J3858">
        <v>0</v>
      </c>
      <c r="K3858" s="1">
        <v>5193788</v>
      </c>
    </row>
    <row r="3859" spans="1:11" x14ac:dyDescent="0.25">
      <c r="A3859" t="s">
        <v>326</v>
      </c>
      <c r="B3859" t="s">
        <v>521</v>
      </c>
      <c r="C3859" t="s">
        <v>868</v>
      </c>
      <c r="D3859" t="s">
        <v>14</v>
      </c>
      <c r="E3859">
        <v>5</v>
      </c>
      <c r="F3859" s="2">
        <f>DATE(2026,IF(Tabla1[[#This Row],[Mes de Fecha]]="Septiembre",9,10),Tabla1[[#This Row],[Día de Fecha]])</f>
        <v>46300</v>
      </c>
      <c r="G3859">
        <v>1144190117</v>
      </c>
      <c r="H3859" t="s">
        <v>396</v>
      </c>
      <c r="I3859">
        <v>-1</v>
      </c>
      <c r="J3859">
        <v>0</v>
      </c>
      <c r="K3859" s="1">
        <v>-75588</v>
      </c>
    </row>
    <row r="3860" spans="1:11" x14ac:dyDescent="0.25">
      <c r="A3860" t="s">
        <v>326</v>
      </c>
      <c r="B3860" t="s">
        <v>521</v>
      </c>
      <c r="C3860" t="s">
        <v>868</v>
      </c>
      <c r="D3860" t="s">
        <v>14</v>
      </c>
      <c r="E3860">
        <v>6</v>
      </c>
      <c r="F3860" s="2">
        <f>DATE(2026,IF(Tabla1[[#This Row],[Mes de Fecha]]="Septiembre",9,10),Tabla1[[#This Row],[Día de Fecha]])</f>
        <v>46301</v>
      </c>
      <c r="I3860">
        <v>0</v>
      </c>
      <c r="J3860" s="1">
        <v>8905609</v>
      </c>
      <c r="K3860">
        <v>0</v>
      </c>
    </row>
    <row r="3861" spans="1:11" x14ac:dyDescent="0.25">
      <c r="A3861" t="s">
        <v>326</v>
      </c>
      <c r="B3861" t="s">
        <v>521</v>
      </c>
      <c r="C3861" t="s">
        <v>868</v>
      </c>
      <c r="D3861" t="s">
        <v>14</v>
      </c>
      <c r="E3861">
        <v>6</v>
      </c>
      <c r="F3861" s="2">
        <f>DATE(2026,IF(Tabla1[[#This Row],[Mes de Fecha]]="Septiembre",9,10),Tabla1[[#This Row],[Día de Fecha]])</f>
        <v>46301</v>
      </c>
      <c r="G3861">
        <v>25289676</v>
      </c>
      <c r="H3861" t="s">
        <v>456</v>
      </c>
      <c r="I3861">
        <v>40</v>
      </c>
      <c r="J3861">
        <v>0</v>
      </c>
      <c r="K3861" s="1">
        <v>2019163</v>
      </c>
    </row>
    <row r="3862" spans="1:11" x14ac:dyDescent="0.25">
      <c r="A3862" t="s">
        <v>326</v>
      </c>
      <c r="B3862" t="s">
        <v>521</v>
      </c>
      <c r="C3862" t="s">
        <v>868</v>
      </c>
      <c r="D3862" t="s">
        <v>14</v>
      </c>
      <c r="E3862">
        <v>6</v>
      </c>
      <c r="F3862" s="2">
        <f>DATE(2026,IF(Tabla1[[#This Row],[Mes de Fecha]]="Septiembre",9,10),Tabla1[[#This Row],[Día de Fecha]])</f>
        <v>46301</v>
      </c>
      <c r="G3862">
        <v>1002972668</v>
      </c>
      <c r="H3862" t="s">
        <v>455</v>
      </c>
      <c r="I3862">
        <v>26</v>
      </c>
      <c r="J3862">
        <v>0</v>
      </c>
      <c r="K3862" s="1">
        <v>1545042</v>
      </c>
    </row>
    <row r="3863" spans="1:11" x14ac:dyDescent="0.25">
      <c r="A3863" t="s">
        <v>326</v>
      </c>
      <c r="B3863" t="s">
        <v>521</v>
      </c>
      <c r="C3863" t="s">
        <v>868</v>
      </c>
      <c r="D3863" t="s">
        <v>14</v>
      </c>
      <c r="E3863">
        <v>6</v>
      </c>
      <c r="F3863" s="2">
        <f>DATE(2026,IF(Tabla1[[#This Row],[Mes de Fecha]]="Septiembre",9,10),Tabla1[[#This Row],[Día de Fecha]])</f>
        <v>46301</v>
      </c>
      <c r="G3863">
        <v>1004593130</v>
      </c>
      <c r="H3863" t="s">
        <v>454</v>
      </c>
      <c r="I3863">
        <v>15</v>
      </c>
      <c r="J3863">
        <v>0</v>
      </c>
      <c r="K3863" s="1">
        <v>1127095</v>
      </c>
    </row>
    <row r="3864" spans="1:11" x14ac:dyDescent="0.25">
      <c r="A3864" t="s">
        <v>326</v>
      </c>
      <c r="B3864" t="s">
        <v>521</v>
      </c>
      <c r="C3864" t="s">
        <v>868</v>
      </c>
      <c r="D3864" t="s">
        <v>14</v>
      </c>
      <c r="E3864">
        <v>6</v>
      </c>
      <c r="F3864" s="2">
        <f>DATE(2026,IF(Tabla1[[#This Row],[Mes de Fecha]]="Septiembre",9,10),Tabla1[[#This Row],[Día de Fecha]])</f>
        <v>46301</v>
      </c>
      <c r="G3864">
        <v>1061799953</v>
      </c>
      <c r="H3864" t="s">
        <v>441</v>
      </c>
      <c r="I3864">
        <v>36</v>
      </c>
      <c r="J3864">
        <v>0</v>
      </c>
      <c r="K3864" s="1">
        <v>2086507</v>
      </c>
    </row>
    <row r="3865" spans="1:11" x14ac:dyDescent="0.25">
      <c r="A3865" t="s">
        <v>326</v>
      </c>
      <c r="B3865" t="s">
        <v>521</v>
      </c>
      <c r="C3865" t="s">
        <v>868</v>
      </c>
      <c r="D3865" t="s">
        <v>14</v>
      </c>
      <c r="E3865">
        <v>6</v>
      </c>
      <c r="F3865" s="2">
        <f>DATE(2026,IF(Tabla1[[#This Row],[Mes de Fecha]]="Septiembre",9,10),Tabla1[[#This Row],[Día de Fecha]])</f>
        <v>46301</v>
      </c>
      <c r="G3865">
        <v>1063816927</v>
      </c>
      <c r="H3865" t="s">
        <v>440</v>
      </c>
      <c r="I3865">
        <v>57</v>
      </c>
      <c r="J3865">
        <v>0</v>
      </c>
      <c r="K3865" s="1">
        <v>3383909</v>
      </c>
    </row>
    <row r="3866" spans="1:11" x14ac:dyDescent="0.25">
      <c r="A3866" t="s">
        <v>326</v>
      </c>
      <c r="B3866" t="s">
        <v>521</v>
      </c>
      <c r="C3866" t="s">
        <v>868</v>
      </c>
      <c r="D3866" t="s">
        <v>14</v>
      </c>
      <c r="E3866">
        <v>7</v>
      </c>
      <c r="F3866" s="2">
        <f>DATE(2026,IF(Tabla1[[#This Row],[Mes de Fecha]]="Septiembre",9,10),Tabla1[[#This Row],[Día de Fecha]])</f>
        <v>46302</v>
      </c>
      <c r="I3866">
        <v>0</v>
      </c>
      <c r="J3866" s="1">
        <v>8788429</v>
      </c>
      <c r="K3866">
        <v>0</v>
      </c>
    </row>
    <row r="3867" spans="1:11" x14ac:dyDescent="0.25">
      <c r="A3867" t="s">
        <v>326</v>
      </c>
      <c r="B3867" t="s">
        <v>521</v>
      </c>
      <c r="C3867" t="s">
        <v>868</v>
      </c>
      <c r="D3867" t="s">
        <v>14</v>
      </c>
      <c r="E3867">
        <v>7</v>
      </c>
      <c r="F3867" s="2">
        <f>DATE(2026,IF(Tabla1[[#This Row],[Mes de Fecha]]="Septiembre",9,10),Tabla1[[#This Row],[Día de Fecha]])</f>
        <v>46302</v>
      </c>
      <c r="G3867">
        <v>25289676</v>
      </c>
      <c r="H3867" t="s">
        <v>456</v>
      </c>
      <c r="I3867">
        <v>41</v>
      </c>
      <c r="J3867">
        <v>0</v>
      </c>
      <c r="K3867" s="1">
        <v>2296220</v>
      </c>
    </row>
    <row r="3868" spans="1:11" x14ac:dyDescent="0.25">
      <c r="A3868" t="s">
        <v>326</v>
      </c>
      <c r="B3868" t="s">
        <v>521</v>
      </c>
      <c r="C3868" t="s">
        <v>868</v>
      </c>
      <c r="D3868" t="s">
        <v>14</v>
      </c>
      <c r="E3868">
        <v>7</v>
      </c>
      <c r="F3868" s="2">
        <f>DATE(2026,IF(Tabla1[[#This Row],[Mes de Fecha]]="Septiembre",9,10),Tabla1[[#This Row],[Día de Fecha]])</f>
        <v>46302</v>
      </c>
      <c r="G3868">
        <v>1002972668</v>
      </c>
      <c r="H3868" t="s">
        <v>455</v>
      </c>
      <c r="I3868">
        <v>18</v>
      </c>
      <c r="J3868">
        <v>0</v>
      </c>
      <c r="K3868" s="1">
        <v>1028573</v>
      </c>
    </row>
    <row r="3869" spans="1:11" x14ac:dyDescent="0.25">
      <c r="A3869" t="s">
        <v>326</v>
      </c>
      <c r="B3869" t="s">
        <v>521</v>
      </c>
      <c r="C3869" t="s">
        <v>868</v>
      </c>
      <c r="D3869" t="s">
        <v>14</v>
      </c>
      <c r="E3869">
        <v>7</v>
      </c>
      <c r="F3869" s="2">
        <f>DATE(2026,IF(Tabla1[[#This Row],[Mes de Fecha]]="Septiembre",9,10),Tabla1[[#This Row],[Día de Fecha]])</f>
        <v>46302</v>
      </c>
      <c r="G3869">
        <v>1004593130</v>
      </c>
      <c r="H3869" t="s">
        <v>454</v>
      </c>
      <c r="I3869">
        <v>9</v>
      </c>
      <c r="J3869">
        <v>0</v>
      </c>
      <c r="K3869" s="1">
        <v>571009</v>
      </c>
    </row>
    <row r="3870" spans="1:11" x14ac:dyDescent="0.25">
      <c r="A3870" t="s">
        <v>326</v>
      </c>
      <c r="B3870" t="s">
        <v>521</v>
      </c>
      <c r="C3870" t="s">
        <v>868</v>
      </c>
      <c r="D3870" t="s">
        <v>14</v>
      </c>
      <c r="E3870">
        <v>7</v>
      </c>
      <c r="F3870" s="2">
        <f>DATE(2026,IF(Tabla1[[#This Row],[Mes de Fecha]]="Septiembre",9,10),Tabla1[[#This Row],[Día de Fecha]])</f>
        <v>46302</v>
      </c>
      <c r="G3870">
        <v>1061770250</v>
      </c>
      <c r="H3870" t="s">
        <v>449</v>
      </c>
      <c r="I3870">
        <v>-1</v>
      </c>
      <c r="J3870">
        <v>0</v>
      </c>
      <c r="K3870" s="1">
        <v>-58781</v>
      </c>
    </row>
    <row r="3871" spans="1:11" x14ac:dyDescent="0.25">
      <c r="A3871" t="s">
        <v>326</v>
      </c>
      <c r="B3871" t="s">
        <v>521</v>
      </c>
      <c r="C3871" t="s">
        <v>868</v>
      </c>
      <c r="D3871" t="s">
        <v>14</v>
      </c>
      <c r="E3871">
        <v>7</v>
      </c>
      <c r="F3871" s="2">
        <f>DATE(2026,IF(Tabla1[[#This Row],[Mes de Fecha]]="Septiembre",9,10),Tabla1[[#This Row],[Día de Fecha]])</f>
        <v>46302</v>
      </c>
      <c r="G3871">
        <v>1061799953</v>
      </c>
      <c r="H3871" t="s">
        <v>441</v>
      </c>
      <c r="I3871">
        <v>83</v>
      </c>
      <c r="J3871">
        <v>0</v>
      </c>
      <c r="K3871" s="1">
        <v>5361684</v>
      </c>
    </row>
    <row r="3872" spans="1:11" x14ac:dyDescent="0.25">
      <c r="A3872" t="s">
        <v>326</v>
      </c>
      <c r="B3872" t="s">
        <v>521</v>
      </c>
      <c r="C3872" t="s">
        <v>868</v>
      </c>
      <c r="D3872" t="s">
        <v>14</v>
      </c>
      <c r="E3872">
        <v>7</v>
      </c>
      <c r="F3872" s="2">
        <f>DATE(2026,IF(Tabla1[[#This Row],[Mes de Fecha]]="Septiembre",9,10),Tabla1[[#This Row],[Día de Fecha]])</f>
        <v>46302</v>
      </c>
      <c r="G3872">
        <v>1063816927</v>
      </c>
      <c r="H3872" t="s">
        <v>440</v>
      </c>
      <c r="I3872">
        <v>28</v>
      </c>
      <c r="J3872">
        <v>0</v>
      </c>
      <c r="K3872" s="1">
        <v>1641596</v>
      </c>
    </row>
    <row r="3873" spans="1:11" x14ac:dyDescent="0.25">
      <c r="A3873" t="s">
        <v>326</v>
      </c>
      <c r="B3873" t="s">
        <v>804</v>
      </c>
      <c r="C3873" t="s">
        <v>868</v>
      </c>
      <c r="D3873" t="s">
        <v>11</v>
      </c>
      <c r="E3873">
        <v>23</v>
      </c>
      <c r="F3873" s="2">
        <f>DATE(2026,IF(Tabla1[[#This Row],[Mes de Fecha]]="Septiembre",9,10),Tabla1[[#This Row],[Día de Fecha]])</f>
        <v>46288</v>
      </c>
      <c r="I3873">
        <v>0</v>
      </c>
      <c r="J3873" s="1">
        <v>8908601</v>
      </c>
      <c r="K3873">
        <v>0</v>
      </c>
    </row>
    <row r="3874" spans="1:11" x14ac:dyDescent="0.25">
      <c r="A3874" t="s">
        <v>326</v>
      </c>
      <c r="B3874" t="s">
        <v>804</v>
      </c>
      <c r="C3874" t="s">
        <v>868</v>
      </c>
      <c r="D3874" t="s">
        <v>11</v>
      </c>
      <c r="E3874">
        <v>23</v>
      </c>
      <c r="F3874" s="2">
        <f>DATE(2026,IF(Tabla1[[#This Row],[Mes de Fecha]]="Septiembre",9,10),Tabla1[[#This Row],[Día de Fecha]])</f>
        <v>46288</v>
      </c>
      <c r="G3874">
        <v>34319130</v>
      </c>
      <c r="H3874" t="s">
        <v>452</v>
      </c>
      <c r="I3874">
        <v>87</v>
      </c>
      <c r="J3874">
        <v>0</v>
      </c>
      <c r="K3874" s="1">
        <v>4991852</v>
      </c>
    </row>
    <row r="3875" spans="1:11" x14ac:dyDescent="0.25">
      <c r="A3875" t="s">
        <v>326</v>
      </c>
      <c r="B3875" t="s">
        <v>804</v>
      </c>
      <c r="C3875" t="s">
        <v>868</v>
      </c>
      <c r="D3875" t="s">
        <v>11</v>
      </c>
      <c r="E3875">
        <v>23</v>
      </c>
      <c r="F3875" s="2">
        <f>DATE(2026,IF(Tabla1[[#This Row],[Mes de Fecha]]="Septiembre",9,10),Tabla1[[#This Row],[Día de Fecha]])</f>
        <v>46288</v>
      </c>
      <c r="G3875">
        <v>1002607819</v>
      </c>
      <c r="H3875" t="s">
        <v>446</v>
      </c>
      <c r="I3875">
        <v>94</v>
      </c>
      <c r="J3875">
        <v>0</v>
      </c>
      <c r="K3875" s="1">
        <v>5269166</v>
      </c>
    </row>
    <row r="3876" spans="1:11" x14ac:dyDescent="0.25">
      <c r="A3876" t="s">
        <v>326</v>
      </c>
      <c r="B3876" t="s">
        <v>804</v>
      </c>
      <c r="C3876" t="s">
        <v>868</v>
      </c>
      <c r="D3876" t="s">
        <v>11</v>
      </c>
      <c r="E3876">
        <v>24</v>
      </c>
      <c r="F3876" s="2">
        <f>DATE(2026,IF(Tabla1[[#This Row],[Mes de Fecha]]="Septiembre",9,10),Tabla1[[#This Row],[Día de Fecha]])</f>
        <v>46289</v>
      </c>
      <c r="I3876">
        <v>0</v>
      </c>
      <c r="J3876" s="1">
        <v>13608893</v>
      </c>
      <c r="K3876">
        <v>0</v>
      </c>
    </row>
    <row r="3877" spans="1:11" x14ac:dyDescent="0.25">
      <c r="A3877" t="s">
        <v>326</v>
      </c>
      <c r="B3877" t="s">
        <v>804</v>
      </c>
      <c r="C3877" t="s">
        <v>868</v>
      </c>
      <c r="D3877" t="s">
        <v>11</v>
      </c>
      <c r="E3877">
        <v>24</v>
      </c>
      <c r="F3877" s="2">
        <f>DATE(2026,IF(Tabla1[[#This Row],[Mes de Fecha]]="Septiembre",9,10),Tabla1[[#This Row],[Día de Fecha]])</f>
        <v>46289</v>
      </c>
      <c r="G3877">
        <v>34319130</v>
      </c>
      <c r="H3877" t="s">
        <v>452</v>
      </c>
      <c r="I3877">
        <v>122</v>
      </c>
      <c r="J3877">
        <v>0</v>
      </c>
      <c r="K3877" s="1">
        <v>5959839</v>
      </c>
    </row>
    <row r="3878" spans="1:11" x14ac:dyDescent="0.25">
      <c r="A3878" t="s">
        <v>326</v>
      </c>
      <c r="B3878" t="s">
        <v>804</v>
      </c>
      <c r="C3878" t="s">
        <v>868</v>
      </c>
      <c r="D3878" t="s">
        <v>11</v>
      </c>
      <c r="E3878">
        <v>24</v>
      </c>
      <c r="F3878" s="2">
        <f>DATE(2026,IF(Tabla1[[#This Row],[Mes de Fecha]]="Septiembre",9,10),Tabla1[[#This Row],[Día de Fecha]])</f>
        <v>46289</v>
      </c>
      <c r="G3878">
        <v>1002607819</v>
      </c>
      <c r="H3878" t="s">
        <v>446</v>
      </c>
      <c r="I3878">
        <v>137</v>
      </c>
      <c r="J3878">
        <v>0</v>
      </c>
      <c r="K3878" s="1">
        <v>8304502</v>
      </c>
    </row>
    <row r="3879" spans="1:11" x14ac:dyDescent="0.25">
      <c r="A3879" t="s">
        <v>326</v>
      </c>
      <c r="B3879" t="s">
        <v>804</v>
      </c>
      <c r="C3879" t="s">
        <v>868</v>
      </c>
      <c r="D3879" t="s">
        <v>11</v>
      </c>
      <c r="E3879">
        <v>25</v>
      </c>
      <c r="F3879" s="2">
        <f>DATE(2026,IF(Tabla1[[#This Row],[Mes de Fecha]]="Septiembre",9,10),Tabla1[[#This Row],[Día de Fecha]])</f>
        <v>46290</v>
      </c>
      <c r="I3879">
        <v>0</v>
      </c>
      <c r="J3879" s="1">
        <v>13578764</v>
      </c>
      <c r="K3879">
        <v>0</v>
      </c>
    </row>
    <row r="3880" spans="1:11" x14ac:dyDescent="0.25">
      <c r="A3880" t="s">
        <v>326</v>
      </c>
      <c r="B3880" t="s">
        <v>804</v>
      </c>
      <c r="C3880" t="s">
        <v>868</v>
      </c>
      <c r="D3880" t="s">
        <v>11</v>
      </c>
      <c r="E3880">
        <v>25</v>
      </c>
      <c r="F3880" s="2">
        <f>DATE(2026,IF(Tabla1[[#This Row],[Mes de Fecha]]="Septiembre",9,10),Tabla1[[#This Row],[Día de Fecha]])</f>
        <v>46290</v>
      </c>
      <c r="G3880">
        <v>34319130</v>
      </c>
      <c r="H3880" t="s">
        <v>452</v>
      </c>
      <c r="I3880">
        <v>111</v>
      </c>
      <c r="J3880">
        <v>0</v>
      </c>
      <c r="K3880" s="1">
        <v>6322357</v>
      </c>
    </row>
    <row r="3881" spans="1:11" x14ac:dyDescent="0.25">
      <c r="A3881" t="s">
        <v>326</v>
      </c>
      <c r="B3881" t="s">
        <v>804</v>
      </c>
      <c r="C3881" t="s">
        <v>868</v>
      </c>
      <c r="D3881" t="s">
        <v>11</v>
      </c>
      <c r="E3881">
        <v>25</v>
      </c>
      <c r="F3881" s="2">
        <f>DATE(2026,IF(Tabla1[[#This Row],[Mes de Fecha]]="Septiembre",9,10),Tabla1[[#This Row],[Día de Fecha]])</f>
        <v>46290</v>
      </c>
      <c r="G3881">
        <v>1002607819</v>
      </c>
      <c r="H3881" t="s">
        <v>446</v>
      </c>
      <c r="I3881">
        <v>143</v>
      </c>
      <c r="J3881">
        <v>0</v>
      </c>
      <c r="K3881" s="1">
        <v>6021726</v>
      </c>
    </row>
    <row r="3882" spans="1:11" x14ac:dyDescent="0.25">
      <c r="A3882" t="s">
        <v>326</v>
      </c>
      <c r="B3882" t="s">
        <v>804</v>
      </c>
      <c r="C3882" t="s">
        <v>868</v>
      </c>
      <c r="D3882" t="s">
        <v>11</v>
      </c>
      <c r="E3882">
        <v>26</v>
      </c>
      <c r="F3882" s="2">
        <f>DATE(2026,IF(Tabla1[[#This Row],[Mes de Fecha]]="Septiembre",9,10),Tabla1[[#This Row],[Día de Fecha]])</f>
        <v>46291</v>
      </c>
      <c r="I3882">
        <v>0</v>
      </c>
      <c r="J3882" s="1">
        <v>19514636</v>
      </c>
      <c r="K3882">
        <v>0</v>
      </c>
    </row>
    <row r="3883" spans="1:11" x14ac:dyDescent="0.25">
      <c r="A3883" t="s">
        <v>326</v>
      </c>
      <c r="B3883" t="s">
        <v>804</v>
      </c>
      <c r="C3883" t="s">
        <v>868</v>
      </c>
      <c r="D3883" t="s">
        <v>11</v>
      </c>
      <c r="E3883">
        <v>26</v>
      </c>
      <c r="F3883" s="2">
        <f>DATE(2026,IF(Tabla1[[#This Row],[Mes de Fecha]]="Septiembre",9,10),Tabla1[[#This Row],[Día de Fecha]])</f>
        <v>46291</v>
      </c>
      <c r="G3883">
        <v>34319130</v>
      </c>
      <c r="H3883" t="s">
        <v>452</v>
      </c>
      <c r="I3883">
        <v>156</v>
      </c>
      <c r="J3883">
        <v>0</v>
      </c>
      <c r="K3883" s="1">
        <v>8850174</v>
      </c>
    </row>
    <row r="3884" spans="1:11" x14ac:dyDescent="0.25">
      <c r="A3884" t="s">
        <v>326</v>
      </c>
      <c r="B3884" t="s">
        <v>804</v>
      </c>
      <c r="C3884" t="s">
        <v>868</v>
      </c>
      <c r="D3884" t="s">
        <v>11</v>
      </c>
      <c r="E3884">
        <v>26</v>
      </c>
      <c r="F3884" s="2">
        <f>DATE(2026,IF(Tabla1[[#This Row],[Mes de Fecha]]="Septiembre",9,10),Tabla1[[#This Row],[Día de Fecha]])</f>
        <v>46291</v>
      </c>
      <c r="G3884">
        <v>1002607819</v>
      </c>
      <c r="H3884" t="s">
        <v>446</v>
      </c>
      <c r="I3884">
        <v>173</v>
      </c>
      <c r="J3884">
        <v>0</v>
      </c>
      <c r="K3884" s="1">
        <v>9424755</v>
      </c>
    </row>
    <row r="3885" spans="1:11" x14ac:dyDescent="0.25">
      <c r="A3885" t="s">
        <v>326</v>
      </c>
      <c r="B3885" t="s">
        <v>804</v>
      </c>
      <c r="C3885" t="s">
        <v>868</v>
      </c>
      <c r="D3885" t="s">
        <v>11</v>
      </c>
      <c r="E3885">
        <v>27</v>
      </c>
      <c r="F3885" s="2">
        <f>DATE(2026,IF(Tabla1[[#This Row],[Mes de Fecha]]="Septiembre",9,10),Tabla1[[#This Row],[Día de Fecha]])</f>
        <v>46292</v>
      </c>
      <c r="I3885">
        <v>0</v>
      </c>
      <c r="J3885" s="1">
        <v>15459521</v>
      </c>
      <c r="K3885">
        <v>0</v>
      </c>
    </row>
    <row r="3886" spans="1:11" x14ac:dyDescent="0.25">
      <c r="A3886" t="s">
        <v>326</v>
      </c>
      <c r="B3886" t="s">
        <v>804</v>
      </c>
      <c r="C3886" t="s">
        <v>868</v>
      </c>
      <c r="D3886" t="s">
        <v>11</v>
      </c>
      <c r="E3886">
        <v>27</v>
      </c>
      <c r="F3886" s="2">
        <f>DATE(2026,IF(Tabla1[[#This Row],[Mes de Fecha]]="Septiembre",9,10),Tabla1[[#This Row],[Día de Fecha]])</f>
        <v>46292</v>
      </c>
      <c r="G3886">
        <v>34319130</v>
      </c>
      <c r="H3886" t="s">
        <v>452</v>
      </c>
      <c r="I3886">
        <v>137</v>
      </c>
      <c r="J3886">
        <v>0</v>
      </c>
      <c r="K3886" s="1">
        <v>8542189</v>
      </c>
    </row>
    <row r="3887" spans="1:11" x14ac:dyDescent="0.25">
      <c r="A3887" t="s">
        <v>326</v>
      </c>
      <c r="B3887" t="s">
        <v>804</v>
      </c>
      <c r="C3887" t="s">
        <v>868</v>
      </c>
      <c r="D3887" t="s">
        <v>11</v>
      </c>
      <c r="E3887">
        <v>27</v>
      </c>
      <c r="F3887" s="2">
        <f>DATE(2026,IF(Tabla1[[#This Row],[Mes de Fecha]]="Septiembre",9,10),Tabla1[[#This Row],[Día de Fecha]])</f>
        <v>46292</v>
      </c>
      <c r="G3887">
        <v>1002607819</v>
      </c>
      <c r="H3887" t="s">
        <v>446</v>
      </c>
      <c r="I3887">
        <v>135</v>
      </c>
      <c r="J3887">
        <v>0</v>
      </c>
      <c r="K3887" s="1">
        <v>8174884</v>
      </c>
    </row>
    <row r="3888" spans="1:11" x14ac:dyDescent="0.25">
      <c r="A3888" t="s">
        <v>326</v>
      </c>
      <c r="B3888" t="s">
        <v>804</v>
      </c>
      <c r="C3888" t="s">
        <v>868</v>
      </c>
      <c r="D3888" t="s">
        <v>11</v>
      </c>
      <c r="E3888">
        <v>27</v>
      </c>
      <c r="F3888" s="2">
        <f>DATE(2026,IF(Tabla1[[#This Row],[Mes de Fecha]]="Septiembre",9,10),Tabla1[[#This Row],[Día de Fecha]])</f>
        <v>46292</v>
      </c>
      <c r="G3888">
        <v>1083906980</v>
      </c>
      <c r="H3888" t="s">
        <v>445</v>
      </c>
      <c r="I3888">
        <v>-1</v>
      </c>
      <c r="J3888">
        <v>0</v>
      </c>
      <c r="K3888" s="1">
        <v>-71386</v>
      </c>
    </row>
    <row r="3889" spans="1:11" x14ac:dyDescent="0.25">
      <c r="A3889" t="s">
        <v>326</v>
      </c>
      <c r="B3889" t="s">
        <v>804</v>
      </c>
      <c r="C3889" t="s">
        <v>868</v>
      </c>
      <c r="D3889" t="s">
        <v>11</v>
      </c>
      <c r="E3889">
        <v>28</v>
      </c>
      <c r="F3889" s="2">
        <f>DATE(2026,IF(Tabla1[[#This Row],[Mes de Fecha]]="Septiembre",9,10),Tabla1[[#This Row],[Día de Fecha]])</f>
        <v>46293</v>
      </c>
      <c r="I3889">
        <v>0</v>
      </c>
      <c r="J3889" s="1">
        <v>8508285</v>
      </c>
      <c r="K3889">
        <v>0</v>
      </c>
    </row>
    <row r="3890" spans="1:11" x14ac:dyDescent="0.25">
      <c r="A3890" t="s">
        <v>326</v>
      </c>
      <c r="B3890" t="s">
        <v>804</v>
      </c>
      <c r="C3890" t="s">
        <v>868</v>
      </c>
      <c r="D3890" t="s">
        <v>11</v>
      </c>
      <c r="E3890">
        <v>28</v>
      </c>
      <c r="F3890" s="2">
        <f>DATE(2026,IF(Tabla1[[#This Row],[Mes de Fecha]]="Septiembre",9,10),Tabla1[[#This Row],[Día de Fecha]])</f>
        <v>46293</v>
      </c>
      <c r="G3890">
        <v>34319130</v>
      </c>
      <c r="H3890" t="s">
        <v>452</v>
      </c>
      <c r="I3890">
        <v>53</v>
      </c>
      <c r="J3890">
        <v>0</v>
      </c>
      <c r="K3890" s="1">
        <v>3207780</v>
      </c>
    </row>
    <row r="3891" spans="1:11" x14ac:dyDescent="0.25">
      <c r="A3891" t="s">
        <v>326</v>
      </c>
      <c r="B3891" t="s">
        <v>804</v>
      </c>
      <c r="C3891" t="s">
        <v>868</v>
      </c>
      <c r="D3891" t="s">
        <v>11</v>
      </c>
      <c r="E3891">
        <v>28</v>
      </c>
      <c r="F3891" s="2">
        <f>DATE(2026,IF(Tabla1[[#This Row],[Mes de Fecha]]="Septiembre",9,10),Tabla1[[#This Row],[Día de Fecha]])</f>
        <v>46293</v>
      </c>
      <c r="G3891">
        <v>1002607819</v>
      </c>
      <c r="H3891" t="s">
        <v>446</v>
      </c>
      <c r="I3891">
        <v>58</v>
      </c>
      <c r="J3891">
        <v>0</v>
      </c>
      <c r="K3891" s="1">
        <v>3219832</v>
      </c>
    </row>
    <row r="3892" spans="1:11" x14ac:dyDescent="0.25">
      <c r="A3892" t="s">
        <v>326</v>
      </c>
      <c r="B3892" t="s">
        <v>804</v>
      </c>
      <c r="C3892" t="s">
        <v>868</v>
      </c>
      <c r="D3892" t="s">
        <v>11</v>
      </c>
      <c r="E3892">
        <v>28</v>
      </c>
      <c r="F3892" s="2">
        <f>DATE(2026,IF(Tabla1[[#This Row],[Mes de Fecha]]="Septiembre",9,10),Tabla1[[#This Row],[Día de Fecha]])</f>
        <v>46293</v>
      </c>
      <c r="G3892">
        <v>1061814088</v>
      </c>
      <c r="H3892" t="s">
        <v>438</v>
      </c>
      <c r="I3892">
        <v>-1</v>
      </c>
      <c r="J3892">
        <v>0</v>
      </c>
      <c r="K3892" s="1">
        <v>-83992</v>
      </c>
    </row>
    <row r="3893" spans="1:11" x14ac:dyDescent="0.25">
      <c r="A3893" t="s">
        <v>326</v>
      </c>
      <c r="B3893" t="s">
        <v>804</v>
      </c>
      <c r="C3893" t="s">
        <v>868</v>
      </c>
      <c r="D3893" t="s">
        <v>11</v>
      </c>
      <c r="E3893">
        <v>29</v>
      </c>
      <c r="F3893" s="2">
        <f>DATE(2026,IF(Tabla1[[#This Row],[Mes de Fecha]]="Septiembre",9,10),Tabla1[[#This Row],[Día de Fecha]])</f>
        <v>46294</v>
      </c>
      <c r="I3893">
        <v>0</v>
      </c>
      <c r="J3893" s="1">
        <v>9088514</v>
      </c>
      <c r="K3893">
        <v>0</v>
      </c>
    </row>
    <row r="3894" spans="1:11" x14ac:dyDescent="0.25">
      <c r="A3894" t="s">
        <v>326</v>
      </c>
      <c r="B3894" t="s">
        <v>804</v>
      </c>
      <c r="C3894" t="s">
        <v>868</v>
      </c>
      <c r="D3894" t="s">
        <v>11</v>
      </c>
      <c r="E3894">
        <v>29</v>
      </c>
      <c r="F3894" s="2">
        <f>DATE(2026,IF(Tabla1[[#This Row],[Mes de Fecha]]="Septiembre",9,10),Tabla1[[#This Row],[Día de Fecha]])</f>
        <v>46294</v>
      </c>
      <c r="G3894">
        <v>34319130</v>
      </c>
      <c r="H3894" t="s">
        <v>452</v>
      </c>
      <c r="I3894">
        <v>53</v>
      </c>
      <c r="J3894">
        <v>0</v>
      </c>
      <c r="K3894" s="1">
        <v>3529121</v>
      </c>
    </row>
    <row r="3895" spans="1:11" x14ac:dyDescent="0.25">
      <c r="A3895" t="s">
        <v>326</v>
      </c>
      <c r="B3895" t="s">
        <v>804</v>
      </c>
      <c r="C3895" t="s">
        <v>868</v>
      </c>
      <c r="D3895" t="s">
        <v>11</v>
      </c>
      <c r="E3895">
        <v>29</v>
      </c>
      <c r="F3895" s="2">
        <f>DATE(2026,IF(Tabla1[[#This Row],[Mes de Fecha]]="Septiembre",9,10),Tabla1[[#This Row],[Día de Fecha]])</f>
        <v>46294</v>
      </c>
      <c r="G3895">
        <v>1002607819</v>
      </c>
      <c r="H3895" t="s">
        <v>446</v>
      </c>
      <c r="I3895">
        <v>58</v>
      </c>
      <c r="J3895">
        <v>0</v>
      </c>
      <c r="K3895" s="1">
        <v>3404921</v>
      </c>
    </row>
    <row r="3896" spans="1:11" x14ac:dyDescent="0.25">
      <c r="A3896" t="s">
        <v>326</v>
      </c>
      <c r="B3896" t="s">
        <v>804</v>
      </c>
      <c r="C3896" t="s">
        <v>868</v>
      </c>
      <c r="D3896" t="s">
        <v>11</v>
      </c>
      <c r="E3896">
        <v>30</v>
      </c>
      <c r="F3896" s="2">
        <f>DATE(2026,IF(Tabla1[[#This Row],[Mes de Fecha]]="Septiembre",9,10),Tabla1[[#This Row],[Día de Fecha]])</f>
        <v>46295</v>
      </c>
      <c r="I3896">
        <v>0</v>
      </c>
      <c r="J3896" s="1">
        <v>9388598</v>
      </c>
      <c r="K3896">
        <v>0</v>
      </c>
    </row>
    <row r="3897" spans="1:11" x14ac:dyDescent="0.25">
      <c r="A3897" t="s">
        <v>326</v>
      </c>
      <c r="B3897" t="s">
        <v>804</v>
      </c>
      <c r="C3897" t="s">
        <v>868</v>
      </c>
      <c r="D3897" t="s">
        <v>11</v>
      </c>
      <c r="E3897">
        <v>30</v>
      </c>
      <c r="F3897" s="2">
        <f>DATE(2026,IF(Tabla1[[#This Row],[Mes de Fecha]]="Septiembre",9,10),Tabla1[[#This Row],[Día de Fecha]])</f>
        <v>46295</v>
      </c>
      <c r="G3897">
        <v>34319130</v>
      </c>
      <c r="H3897" t="s">
        <v>452</v>
      </c>
      <c r="I3897">
        <v>65</v>
      </c>
      <c r="J3897">
        <v>0</v>
      </c>
      <c r="K3897" s="1">
        <v>3139538</v>
      </c>
    </row>
    <row r="3898" spans="1:11" x14ac:dyDescent="0.25">
      <c r="A3898" t="s">
        <v>326</v>
      </c>
      <c r="B3898" t="s">
        <v>804</v>
      </c>
      <c r="C3898" t="s">
        <v>868</v>
      </c>
      <c r="D3898" t="s">
        <v>11</v>
      </c>
      <c r="E3898">
        <v>30</v>
      </c>
      <c r="F3898" s="2">
        <f>DATE(2026,IF(Tabla1[[#This Row],[Mes de Fecha]]="Septiembre",9,10),Tabla1[[#This Row],[Día de Fecha]])</f>
        <v>46295</v>
      </c>
      <c r="G3898">
        <v>1002607819</v>
      </c>
      <c r="H3898" t="s">
        <v>446</v>
      </c>
      <c r="I3898">
        <v>63</v>
      </c>
      <c r="J3898">
        <v>0</v>
      </c>
      <c r="K3898" s="1">
        <v>3652737</v>
      </c>
    </row>
    <row r="3899" spans="1:11" x14ac:dyDescent="0.25">
      <c r="A3899" t="s">
        <v>326</v>
      </c>
      <c r="B3899" t="s">
        <v>804</v>
      </c>
      <c r="C3899" t="s">
        <v>868</v>
      </c>
      <c r="D3899" t="s">
        <v>11</v>
      </c>
      <c r="E3899">
        <v>30</v>
      </c>
      <c r="F3899" s="2">
        <f>DATE(2026,IF(Tabla1[[#This Row],[Mes de Fecha]]="Septiembre",9,10),Tabla1[[#This Row],[Día de Fecha]])</f>
        <v>46295</v>
      </c>
      <c r="G3899">
        <v>1061814088</v>
      </c>
      <c r="H3899" t="s">
        <v>438</v>
      </c>
      <c r="I3899">
        <v>-1</v>
      </c>
      <c r="J3899">
        <v>0</v>
      </c>
      <c r="K3899" s="1">
        <v>-41975</v>
      </c>
    </row>
    <row r="3900" spans="1:11" x14ac:dyDescent="0.25">
      <c r="A3900" t="s">
        <v>326</v>
      </c>
      <c r="B3900" t="s">
        <v>804</v>
      </c>
      <c r="C3900" t="s">
        <v>868</v>
      </c>
      <c r="D3900" t="s">
        <v>14</v>
      </c>
      <c r="E3900">
        <v>1</v>
      </c>
      <c r="F3900" s="2">
        <f>DATE(2026,IF(Tabla1[[#This Row],[Mes de Fecha]]="Septiembre",9,10),Tabla1[[#This Row],[Día de Fecha]])</f>
        <v>46296</v>
      </c>
      <c r="I3900">
        <v>0</v>
      </c>
      <c r="J3900" s="1">
        <v>5741104</v>
      </c>
      <c r="K3900">
        <v>0</v>
      </c>
    </row>
    <row r="3901" spans="1:11" x14ac:dyDescent="0.25">
      <c r="A3901" t="s">
        <v>326</v>
      </c>
      <c r="B3901" t="s">
        <v>804</v>
      </c>
      <c r="C3901" t="s">
        <v>868</v>
      </c>
      <c r="D3901" t="s">
        <v>14</v>
      </c>
      <c r="E3901">
        <v>1</v>
      </c>
      <c r="F3901" s="2">
        <f>DATE(2026,IF(Tabla1[[#This Row],[Mes de Fecha]]="Septiembre",9,10),Tabla1[[#This Row],[Día de Fecha]])</f>
        <v>46296</v>
      </c>
      <c r="G3901">
        <v>34319130</v>
      </c>
      <c r="H3901" t="s">
        <v>452</v>
      </c>
      <c r="I3901">
        <v>35</v>
      </c>
      <c r="J3901">
        <v>0</v>
      </c>
      <c r="K3901" s="1">
        <v>2342986</v>
      </c>
    </row>
    <row r="3902" spans="1:11" x14ac:dyDescent="0.25">
      <c r="A3902" t="s">
        <v>326</v>
      </c>
      <c r="B3902" t="s">
        <v>804</v>
      </c>
      <c r="C3902" t="s">
        <v>868</v>
      </c>
      <c r="D3902" t="s">
        <v>14</v>
      </c>
      <c r="E3902">
        <v>1</v>
      </c>
      <c r="F3902" s="2">
        <f>DATE(2026,IF(Tabla1[[#This Row],[Mes de Fecha]]="Septiembre",9,10),Tabla1[[#This Row],[Día de Fecha]])</f>
        <v>46296</v>
      </c>
      <c r="G3902">
        <v>1002607819</v>
      </c>
      <c r="H3902" t="s">
        <v>446</v>
      </c>
      <c r="I3902">
        <v>37</v>
      </c>
      <c r="J3902">
        <v>0</v>
      </c>
      <c r="K3902" s="1">
        <v>2313449</v>
      </c>
    </row>
    <row r="3903" spans="1:11" x14ac:dyDescent="0.25">
      <c r="A3903" t="s">
        <v>326</v>
      </c>
      <c r="B3903" t="s">
        <v>804</v>
      </c>
      <c r="C3903" t="s">
        <v>868</v>
      </c>
      <c r="D3903" t="s">
        <v>14</v>
      </c>
      <c r="E3903">
        <v>2</v>
      </c>
      <c r="F3903" s="2">
        <f>DATE(2026,IF(Tabla1[[#This Row],[Mes de Fecha]]="Septiembre",9,10),Tabla1[[#This Row],[Día de Fecha]])</f>
        <v>46297</v>
      </c>
      <c r="I3903">
        <v>0</v>
      </c>
      <c r="J3903" s="1">
        <v>6514817</v>
      </c>
      <c r="K3903">
        <v>0</v>
      </c>
    </row>
    <row r="3904" spans="1:11" x14ac:dyDescent="0.25">
      <c r="A3904" t="s">
        <v>326</v>
      </c>
      <c r="B3904" t="s">
        <v>804</v>
      </c>
      <c r="C3904" t="s">
        <v>868</v>
      </c>
      <c r="D3904" t="s">
        <v>14</v>
      </c>
      <c r="E3904">
        <v>2</v>
      </c>
      <c r="F3904" s="2">
        <f>DATE(2026,IF(Tabla1[[#This Row],[Mes de Fecha]]="Septiembre",9,10),Tabla1[[#This Row],[Día de Fecha]])</f>
        <v>46297</v>
      </c>
      <c r="G3904">
        <v>34319130</v>
      </c>
      <c r="H3904" t="s">
        <v>452</v>
      </c>
      <c r="I3904">
        <v>71</v>
      </c>
      <c r="J3904">
        <v>0</v>
      </c>
      <c r="K3904" s="1">
        <v>4450639</v>
      </c>
    </row>
    <row r="3905" spans="1:11" x14ac:dyDescent="0.25">
      <c r="A3905" t="s">
        <v>326</v>
      </c>
      <c r="B3905" t="s">
        <v>804</v>
      </c>
      <c r="C3905" t="s">
        <v>868</v>
      </c>
      <c r="D3905" t="s">
        <v>14</v>
      </c>
      <c r="E3905">
        <v>2</v>
      </c>
      <c r="F3905" s="2">
        <f>DATE(2026,IF(Tabla1[[#This Row],[Mes de Fecha]]="Septiembre",9,10),Tabla1[[#This Row],[Día de Fecha]])</f>
        <v>46297</v>
      </c>
      <c r="G3905">
        <v>1002607819</v>
      </c>
      <c r="H3905" t="s">
        <v>446</v>
      </c>
      <c r="I3905">
        <v>76</v>
      </c>
      <c r="J3905">
        <v>0</v>
      </c>
      <c r="K3905" s="1">
        <v>4483993</v>
      </c>
    </row>
    <row r="3906" spans="1:11" x14ac:dyDescent="0.25">
      <c r="A3906" t="s">
        <v>326</v>
      </c>
      <c r="B3906" t="s">
        <v>804</v>
      </c>
      <c r="C3906" t="s">
        <v>868</v>
      </c>
      <c r="D3906" t="s">
        <v>14</v>
      </c>
      <c r="E3906">
        <v>2</v>
      </c>
      <c r="F3906" s="2">
        <f>DATE(2026,IF(Tabla1[[#This Row],[Mes de Fecha]]="Septiembre",9,10),Tabla1[[#This Row],[Día de Fecha]])</f>
        <v>46297</v>
      </c>
      <c r="G3906">
        <v>1002972668</v>
      </c>
      <c r="H3906" t="s">
        <v>455</v>
      </c>
      <c r="I3906">
        <v>-1</v>
      </c>
      <c r="J3906">
        <v>0</v>
      </c>
      <c r="K3906" s="1">
        <v>-79790</v>
      </c>
    </row>
    <row r="3907" spans="1:11" x14ac:dyDescent="0.25">
      <c r="A3907" t="s">
        <v>326</v>
      </c>
      <c r="B3907" t="s">
        <v>804</v>
      </c>
      <c r="C3907" t="s">
        <v>868</v>
      </c>
      <c r="D3907" t="s">
        <v>14</v>
      </c>
      <c r="E3907">
        <v>3</v>
      </c>
      <c r="F3907" s="2">
        <f>DATE(2026,IF(Tabla1[[#This Row],[Mes de Fecha]]="Septiembre",9,10),Tabla1[[#This Row],[Día de Fecha]])</f>
        <v>46298</v>
      </c>
      <c r="I3907">
        <v>0</v>
      </c>
      <c r="J3907" s="1">
        <v>11728397</v>
      </c>
      <c r="K3907">
        <v>0</v>
      </c>
    </row>
    <row r="3908" spans="1:11" x14ac:dyDescent="0.25">
      <c r="A3908" t="s">
        <v>326</v>
      </c>
      <c r="B3908" t="s">
        <v>804</v>
      </c>
      <c r="C3908" t="s">
        <v>868</v>
      </c>
      <c r="D3908" t="s">
        <v>14</v>
      </c>
      <c r="E3908">
        <v>3</v>
      </c>
      <c r="F3908" s="2">
        <f>DATE(2026,IF(Tabla1[[#This Row],[Mes de Fecha]]="Septiembre",9,10),Tabla1[[#This Row],[Día de Fecha]])</f>
        <v>46298</v>
      </c>
      <c r="G3908">
        <v>34319130</v>
      </c>
      <c r="H3908" t="s">
        <v>452</v>
      </c>
      <c r="I3908">
        <v>69</v>
      </c>
      <c r="J3908">
        <v>0</v>
      </c>
      <c r="K3908" s="1">
        <v>4446524</v>
      </c>
    </row>
    <row r="3909" spans="1:11" x14ac:dyDescent="0.25">
      <c r="A3909" t="s">
        <v>326</v>
      </c>
      <c r="B3909" t="s">
        <v>804</v>
      </c>
      <c r="C3909" t="s">
        <v>868</v>
      </c>
      <c r="D3909" t="s">
        <v>14</v>
      </c>
      <c r="E3909">
        <v>3</v>
      </c>
      <c r="F3909" s="2">
        <f>DATE(2026,IF(Tabla1[[#This Row],[Mes de Fecha]]="Septiembre",9,10),Tabla1[[#This Row],[Día de Fecha]])</f>
        <v>46298</v>
      </c>
      <c r="G3909">
        <v>1002607819</v>
      </c>
      <c r="H3909" t="s">
        <v>446</v>
      </c>
      <c r="I3909">
        <v>78</v>
      </c>
      <c r="J3909">
        <v>0</v>
      </c>
      <c r="K3909" s="1">
        <v>4003841</v>
      </c>
    </row>
    <row r="3910" spans="1:11" x14ac:dyDescent="0.25">
      <c r="A3910" t="s">
        <v>326</v>
      </c>
      <c r="B3910" t="s">
        <v>804</v>
      </c>
      <c r="C3910" t="s">
        <v>868</v>
      </c>
      <c r="D3910" t="s">
        <v>14</v>
      </c>
      <c r="E3910">
        <v>4</v>
      </c>
      <c r="F3910" s="2">
        <f>DATE(2026,IF(Tabla1[[#This Row],[Mes de Fecha]]="Septiembre",9,10),Tabla1[[#This Row],[Día de Fecha]])</f>
        <v>46299</v>
      </c>
      <c r="I3910">
        <v>0</v>
      </c>
      <c r="J3910" s="1">
        <v>13194995</v>
      </c>
      <c r="K3910">
        <v>0</v>
      </c>
    </row>
    <row r="3911" spans="1:11" x14ac:dyDescent="0.25">
      <c r="A3911" t="s">
        <v>326</v>
      </c>
      <c r="B3911" t="s">
        <v>804</v>
      </c>
      <c r="C3911" t="s">
        <v>868</v>
      </c>
      <c r="D3911" t="s">
        <v>14</v>
      </c>
      <c r="E3911">
        <v>4</v>
      </c>
      <c r="F3911" s="2">
        <f>DATE(2026,IF(Tabla1[[#This Row],[Mes de Fecha]]="Septiembre",9,10),Tabla1[[#This Row],[Día de Fecha]])</f>
        <v>46299</v>
      </c>
      <c r="G3911">
        <v>34319130</v>
      </c>
      <c r="H3911" t="s">
        <v>452</v>
      </c>
      <c r="I3911">
        <v>100</v>
      </c>
      <c r="J3911">
        <v>0</v>
      </c>
      <c r="K3911" s="1">
        <v>6012232</v>
      </c>
    </row>
    <row r="3912" spans="1:11" x14ac:dyDescent="0.25">
      <c r="A3912" t="s">
        <v>326</v>
      </c>
      <c r="B3912" t="s">
        <v>804</v>
      </c>
      <c r="C3912" t="s">
        <v>868</v>
      </c>
      <c r="D3912" t="s">
        <v>14</v>
      </c>
      <c r="E3912">
        <v>4</v>
      </c>
      <c r="F3912" s="2">
        <f>DATE(2026,IF(Tabla1[[#This Row],[Mes de Fecha]]="Septiembre",9,10),Tabla1[[#This Row],[Día de Fecha]])</f>
        <v>46299</v>
      </c>
      <c r="G3912">
        <v>1002607819</v>
      </c>
      <c r="H3912" t="s">
        <v>446</v>
      </c>
      <c r="I3912">
        <v>97</v>
      </c>
      <c r="J3912">
        <v>0</v>
      </c>
      <c r="K3912" s="1">
        <v>6387899</v>
      </c>
    </row>
    <row r="3913" spans="1:11" x14ac:dyDescent="0.25">
      <c r="A3913" t="s">
        <v>326</v>
      </c>
      <c r="B3913" t="s">
        <v>804</v>
      </c>
      <c r="C3913" t="s">
        <v>868</v>
      </c>
      <c r="D3913" t="s">
        <v>14</v>
      </c>
      <c r="E3913">
        <v>4</v>
      </c>
      <c r="F3913" s="2">
        <f>DATE(2026,IF(Tabla1[[#This Row],[Mes de Fecha]]="Septiembre",9,10),Tabla1[[#This Row],[Día de Fecha]])</f>
        <v>46299</v>
      </c>
      <c r="G3913">
        <v>1002957897</v>
      </c>
      <c r="H3913" t="s">
        <v>436</v>
      </c>
      <c r="I3913">
        <v>-1</v>
      </c>
      <c r="J3913">
        <v>0</v>
      </c>
      <c r="K3913" s="1">
        <v>-63832</v>
      </c>
    </row>
    <row r="3914" spans="1:11" x14ac:dyDescent="0.25">
      <c r="A3914" t="s">
        <v>326</v>
      </c>
      <c r="B3914" t="s">
        <v>804</v>
      </c>
      <c r="C3914" t="s">
        <v>868</v>
      </c>
      <c r="D3914" t="s">
        <v>14</v>
      </c>
      <c r="E3914">
        <v>4</v>
      </c>
      <c r="F3914" s="2">
        <f>DATE(2026,IF(Tabla1[[#This Row],[Mes de Fecha]]="Septiembre",9,10),Tabla1[[#This Row],[Día de Fecha]])</f>
        <v>46299</v>
      </c>
      <c r="G3914">
        <v>1058968650</v>
      </c>
      <c r="H3914" t="s">
        <v>437</v>
      </c>
      <c r="I3914">
        <v>-1</v>
      </c>
      <c r="J3914">
        <v>0</v>
      </c>
      <c r="K3914" s="1">
        <v>-105000</v>
      </c>
    </row>
    <row r="3915" spans="1:11" x14ac:dyDescent="0.25">
      <c r="A3915" t="s">
        <v>326</v>
      </c>
      <c r="B3915" t="s">
        <v>804</v>
      </c>
      <c r="C3915" t="s">
        <v>868</v>
      </c>
      <c r="D3915" t="s">
        <v>14</v>
      </c>
      <c r="E3915">
        <v>5</v>
      </c>
      <c r="F3915" s="2">
        <f>DATE(2026,IF(Tabla1[[#This Row],[Mes de Fecha]]="Septiembre",9,10),Tabla1[[#This Row],[Día de Fecha]])</f>
        <v>46300</v>
      </c>
      <c r="I3915">
        <v>0</v>
      </c>
      <c r="J3915" s="1">
        <v>3033717</v>
      </c>
      <c r="K3915">
        <v>0</v>
      </c>
    </row>
    <row r="3916" spans="1:11" x14ac:dyDescent="0.25">
      <c r="A3916" t="s">
        <v>326</v>
      </c>
      <c r="B3916" t="s">
        <v>804</v>
      </c>
      <c r="C3916" t="s">
        <v>868</v>
      </c>
      <c r="D3916" t="s">
        <v>14</v>
      </c>
      <c r="E3916">
        <v>5</v>
      </c>
      <c r="F3916" s="2">
        <f>DATE(2026,IF(Tabla1[[#This Row],[Mes de Fecha]]="Septiembre",9,10),Tabla1[[#This Row],[Día de Fecha]])</f>
        <v>46300</v>
      </c>
      <c r="G3916">
        <v>34319130</v>
      </c>
      <c r="H3916" t="s">
        <v>452</v>
      </c>
      <c r="I3916">
        <v>84</v>
      </c>
      <c r="J3916">
        <v>0</v>
      </c>
      <c r="K3916" s="1">
        <v>5037012</v>
      </c>
    </row>
    <row r="3917" spans="1:11" x14ac:dyDescent="0.25">
      <c r="A3917" t="s">
        <v>326</v>
      </c>
      <c r="B3917" t="s">
        <v>804</v>
      </c>
      <c r="C3917" t="s">
        <v>868</v>
      </c>
      <c r="D3917" t="s">
        <v>14</v>
      </c>
      <c r="E3917">
        <v>5</v>
      </c>
      <c r="F3917" s="2">
        <f>DATE(2026,IF(Tabla1[[#This Row],[Mes de Fecha]]="Septiembre",9,10),Tabla1[[#This Row],[Día de Fecha]])</f>
        <v>46300</v>
      </c>
      <c r="G3917">
        <v>1002607819</v>
      </c>
      <c r="H3917" t="s">
        <v>446</v>
      </c>
      <c r="I3917">
        <v>29</v>
      </c>
      <c r="J3917">
        <v>0</v>
      </c>
      <c r="K3917" s="1">
        <v>1787824</v>
      </c>
    </row>
    <row r="3918" spans="1:11" x14ac:dyDescent="0.25">
      <c r="A3918" t="s">
        <v>326</v>
      </c>
      <c r="B3918" t="s">
        <v>804</v>
      </c>
      <c r="C3918" t="s">
        <v>868</v>
      </c>
      <c r="D3918" t="s">
        <v>14</v>
      </c>
      <c r="E3918">
        <v>5</v>
      </c>
      <c r="F3918" s="2">
        <f>DATE(2026,IF(Tabla1[[#This Row],[Mes de Fecha]]="Septiembre",9,10),Tabla1[[#This Row],[Día de Fecha]])</f>
        <v>46300</v>
      </c>
      <c r="G3918">
        <v>1061799953</v>
      </c>
      <c r="H3918" t="s">
        <v>441</v>
      </c>
      <c r="I3918">
        <v>-1</v>
      </c>
      <c r="J3918">
        <v>0</v>
      </c>
      <c r="K3918" s="1">
        <v>-41975</v>
      </c>
    </row>
    <row r="3919" spans="1:11" x14ac:dyDescent="0.25">
      <c r="A3919" t="s">
        <v>326</v>
      </c>
      <c r="B3919" t="s">
        <v>804</v>
      </c>
      <c r="C3919" t="s">
        <v>868</v>
      </c>
      <c r="D3919" t="s">
        <v>14</v>
      </c>
      <c r="E3919">
        <v>6</v>
      </c>
      <c r="F3919" s="2">
        <f>DATE(2026,IF(Tabla1[[#This Row],[Mes de Fecha]]="Septiembre",9,10),Tabla1[[#This Row],[Día de Fecha]])</f>
        <v>46301</v>
      </c>
      <c r="I3919">
        <v>0</v>
      </c>
      <c r="J3919" s="1">
        <v>2742445</v>
      </c>
      <c r="K3919">
        <v>0</v>
      </c>
    </row>
    <row r="3920" spans="1:11" x14ac:dyDescent="0.25">
      <c r="A3920" t="s">
        <v>326</v>
      </c>
      <c r="B3920" t="s">
        <v>804</v>
      </c>
      <c r="C3920" t="s">
        <v>868</v>
      </c>
      <c r="D3920" t="s">
        <v>14</v>
      </c>
      <c r="E3920">
        <v>6</v>
      </c>
      <c r="F3920" s="2">
        <f>DATE(2026,IF(Tabla1[[#This Row],[Mes de Fecha]]="Septiembre",9,10),Tabla1[[#This Row],[Día de Fecha]])</f>
        <v>46301</v>
      </c>
      <c r="G3920">
        <v>34319130</v>
      </c>
      <c r="H3920" t="s">
        <v>452</v>
      </c>
      <c r="I3920">
        <v>1</v>
      </c>
      <c r="J3920">
        <v>0</v>
      </c>
      <c r="K3920" s="1">
        <v>12479</v>
      </c>
    </row>
    <row r="3921" spans="1:11" x14ac:dyDescent="0.25">
      <c r="A3921" t="s">
        <v>326</v>
      </c>
      <c r="B3921" t="s">
        <v>804</v>
      </c>
      <c r="C3921" t="s">
        <v>868</v>
      </c>
      <c r="D3921" t="s">
        <v>14</v>
      </c>
      <c r="E3921">
        <v>6</v>
      </c>
      <c r="F3921" s="2">
        <f>DATE(2026,IF(Tabla1[[#This Row],[Mes de Fecha]]="Septiembre",9,10),Tabla1[[#This Row],[Día de Fecha]])</f>
        <v>46301</v>
      </c>
      <c r="G3921">
        <v>1002607819</v>
      </c>
      <c r="H3921" t="s">
        <v>446</v>
      </c>
      <c r="I3921">
        <v>33</v>
      </c>
      <c r="J3921">
        <v>0</v>
      </c>
      <c r="K3921" s="1">
        <v>2040382</v>
      </c>
    </row>
    <row r="3922" spans="1:11" x14ac:dyDescent="0.25">
      <c r="A3922" t="s">
        <v>326</v>
      </c>
      <c r="B3922" t="s">
        <v>804</v>
      </c>
      <c r="C3922" t="s">
        <v>868</v>
      </c>
      <c r="D3922" t="s">
        <v>14</v>
      </c>
      <c r="E3922">
        <v>6</v>
      </c>
      <c r="F3922" s="2">
        <f>DATE(2026,IF(Tabla1[[#This Row],[Mes de Fecha]]="Septiembre",9,10),Tabla1[[#This Row],[Día de Fecha]])</f>
        <v>46301</v>
      </c>
      <c r="G3922">
        <v>1061814088</v>
      </c>
      <c r="H3922" t="s">
        <v>438</v>
      </c>
      <c r="I3922">
        <v>-1</v>
      </c>
      <c r="J3922">
        <v>0</v>
      </c>
      <c r="K3922" s="1">
        <v>-50378</v>
      </c>
    </row>
    <row r="3923" spans="1:11" x14ac:dyDescent="0.25">
      <c r="A3923" t="s">
        <v>326</v>
      </c>
      <c r="B3923" t="s">
        <v>804</v>
      </c>
      <c r="C3923" t="s">
        <v>868</v>
      </c>
      <c r="D3923" t="s">
        <v>14</v>
      </c>
      <c r="E3923">
        <v>7</v>
      </c>
      <c r="F3923" s="2">
        <f>DATE(2026,IF(Tabla1[[#This Row],[Mes de Fecha]]="Septiembre",9,10),Tabla1[[#This Row],[Día de Fecha]])</f>
        <v>46302</v>
      </c>
      <c r="I3923">
        <v>0</v>
      </c>
      <c r="J3923" s="1">
        <v>2706359</v>
      </c>
      <c r="K3923">
        <v>0</v>
      </c>
    </row>
    <row r="3924" spans="1:11" x14ac:dyDescent="0.25">
      <c r="A3924" t="s">
        <v>326</v>
      </c>
      <c r="B3924" t="s">
        <v>804</v>
      </c>
      <c r="C3924" t="s">
        <v>868</v>
      </c>
      <c r="D3924" t="s">
        <v>14</v>
      </c>
      <c r="E3924">
        <v>7</v>
      </c>
      <c r="F3924" s="2">
        <f>DATE(2026,IF(Tabla1[[#This Row],[Mes de Fecha]]="Septiembre",9,10),Tabla1[[#This Row],[Día de Fecha]])</f>
        <v>46302</v>
      </c>
      <c r="G3924">
        <v>34319130</v>
      </c>
      <c r="H3924" t="s">
        <v>452</v>
      </c>
      <c r="I3924">
        <v>21</v>
      </c>
      <c r="J3924">
        <v>0</v>
      </c>
      <c r="K3924" s="1">
        <v>1213404</v>
      </c>
    </row>
    <row r="3925" spans="1:11" x14ac:dyDescent="0.25">
      <c r="A3925" t="s">
        <v>326</v>
      </c>
      <c r="B3925" t="s">
        <v>804</v>
      </c>
      <c r="C3925" t="s">
        <v>868</v>
      </c>
      <c r="D3925" t="s">
        <v>14</v>
      </c>
      <c r="E3925">
        <v>7</v>
      </c>
      <c r="F3925" s="2">
        <f>DATE(2026,IF(Tabla1[[#This Row],[Mes de Fecha]]="Septiembre",9,10),Tabla1[[#This Row],[Día de Fecha]])</f>
        <v>46302</v>
      </c>
      <c r="G3925">
        <v>1002607819</v>
      </c>
      <c r="H3925" t="s">
        <v>446</v>
      </c>
      <c r="I3925">
        <v>29</v>
      </c>
      <c r="J3925">
        <v>0</v>
      </c>
      <c r="K3925" s="1">
        <v>1498573</v>
      </c>
    </row>
    <row r="3926" spans="1:11" x14ac:dyDescent="0.25">
      <c r="A3926" t="s">
        <v>326</v>
      </c>
      <c r="B3926" t="s">
        <v>804</v>
      </c>
      <c r="C3926" t="s">
        <v>868</v>
      </c>
      <c r="D3926" t="s">
        <v>14</v>
      </c>
      <c r="E3926">
        <v>7</v>
      </c>
      <c r="F3926" s="2">
        <f>DATE(2026,IF(Tabla1[[#This Row],[Mes de Fecha]]="Septiembre",9,10),Tabla1[[#This Row],[Día de Fecha]])</f>
        <v>46302</v>
      </c>
      <c r="G3926">
        <v>1083906980</v>
      </c>
      <c r="H3926" t="s">
        <v>445</v>
      </c>
      <c r="I3926">
        <v>-1</v>
      </c>
      <c r="J3926">
        <v>0</v>
      </c>
      <c r="K3926" s="1">
        <v>-54580</v>
      </c>
    </row>
    <row r="3927" spans="1:11" x14ac:dyDescent="0.25">
      <c r="A3927" t="s">
        <v>326</v>
      </c>
      <c r="B3927" t="s">
        <v>823</v>
      </c>
      <c r="C3927" t="s">
        <v>868</v>
      </c>
      <c r="D3927" t="s">
        <v>11</v>
      </c>
      <c r="E3927">
        <v>23</v>
      </c>
      <c r="F3927" s="2">
        <f>DATE(2026,IF(Tabla1[[#This Row],[Mes de Fecha]]="Septiembre",9,10),Tabla1[[#This Row],[Día de Fecha]])</f>
        <v>46288</v>
      </c>
      <c r="I3927">
        <v>0</v>
      </c>
      <c r="J3927" s="1">
        <v>10400246</v>
      </c>
      <c r="K3927">
        <v>0</v>
      </c>
    </row>
    <row r="3928" spans="1:11" x14ac:dyDescent="0.25">
      <c r="A3928" t="s">
        <v>326</v>
      </c>
      <c r="B3928" t="s">
        <v>823</v>
      </c>
      <c r="C3928" t="s">
        <v>868</v>
      </c>
      <c r="D3928" t="s">
        <v>11</v>
      </c>
      <c r="E3928">
        <v>23</v>
      </c>
      <c r="F3928" s="2">
        <f>DATE(2026,IF(Tabla1[[#This Row],[Mes de Fecha]]="Septiembre",9,10),Tabla1[[#This Row],[Día de Fecha]])</f>
        <v>46288</v>
      </c>
      <c r="G3928">
        <v>1061770250</v>
      </c>
      <c r="H3928" t="s">
        <v>449</v>
      </c>
      <c r="I3928">
        <v>104</v>
      </c>
      <c r="J3928">
        <v>0</v>
      </c>
      <c r="K3928" s="1">
        <v>5569083</v>
      </c>
    </row>
    <row r="3929" spans="1:11" x14ac:dyDescent="0.25">
      <c r="A3929" t="s">
        <v>326</v>
      </c>
      <c r="B3929" t="s">
        <v>823</v>
      </c>
      <c r="C3929" t="s">
        <v>868</v>
      </c>
      <c r="D3929" t="s">
        <v>11</v>
      </c>
      <c r="E3929">
        <v>23</v>
      </c>
      <c r="F3929" s="2">
        <f>DATE(2026,IF(Tabla1[[#This Row],[Mes de Fecha]]="Septiembre",9,10),Tabla1[[#This Row],[Día de Fecha]])</f>
        <v>46288</v>
      </c>
      <c r="G3929">
        <v>1061773714</v>
      </c>
      <c r="H3929" t="s">
        <v>450</v>
      </c>
      <c r="I3929">
        <v>186</v>
      </c>
      <c r="J3929">
        <v>0</v>
      </c>
      <c r="K3929" s="1">
        <v>9111809</v>
      </c>
    </row>
    <row r="3930" spans="1:11" x14ac:dyDescent="0.25">
      <c r="A3930" t="s">
        <v>326</v>
      </c>
      <c r="B3930" t="s">
        <v>823</v>
      </c>
      <c r="C3930" t="s">
        <v>868</v>
      </c>
      <c r="D3930" t="s">
        <v>11</v>
      </c>
      <c r="E3930">
        <v>23</v>
      </c>
      <c r="F3930" s="2">
        <f>DATE(2026,IF(Tabla1[[#This Row],[Mes de Fecha]]="Septiembre",9,10),Tabla1[[#This Row],[Día de Fecha]])</f>
        <v>46288</v>
      </c>
      <c r="G3930">
        <v>1061799953</v>
      </c>
      <c r="H3930" t="s">
        <v>441</v>
      </c>
      <c r="I3930">
        <v>-1</v>
      </c>
      <c r="J3930">
        <v>0</v>
      </c>
      <c r="K3930" s="1">
        <v>-37773</v>
      </c>
    </row>
    <row r="3931" spans="1:11" x14ac:dyDescent="0.25">
      <c r="A3931" t="s">
        <v>326</v>
      </c>
      <c r="B3931" t="s">
        <v>823</v>
      </c>
      <c r="C3931" t="s">
        <v>868</v>
      </c>
      <c r="D3931" t="s">
        <v>11</v>
      </c>
      <c r="E3931">
        <v>24</v>
      </c>
      <c r="F3931" s="2">
        <f>DATE(2026,IF(Tabla1[[#This Row],[Mes de Fecha]]="Septiembre",9,10),Tabla1[[#This Row],[Día de Fecha]])</f>
        <v>46289</v>
      </c>
      <c r="I3931">
        <v>0</v>
      </c>
      <c r="J3931" s="1">
        <v>15887544</v>
      </c>
      <c r="K3931">
        <v>0</v>
      </c>
    </row>
    <row r="3932" spans="1:11" x14ac:dyDescent="0.25">
      <c r="A3932" t="s">
        <v>326</v>
      </c>
      <c r="B3932" t="s">
        <v>823</v>
      </c>
      <c r="C3932" t="s">
        <v>868</v>
      </c>
      <c r="D3932" t="s">
        <v>11</v>
      </c>
      <c r="E3932">
        <v>24</v>
      </c>
      <c r="F3932" s="2">
        <f>DATE(2026,IF(Tabla1[[#This Row],[Mes de Fecha]]="Septiembre",9,10),Tabla1[[#This Row],[Día de Fecha]])</f>
        <v>46289</v>
      </c>
      <c r="G3932">
        <v>1002970518</v>
      </c>
      <c r="H3932" t="s">
        <v>453</v>
      </c>
      <c r="I3932">
        <v>10</v>
      </c>
      <c r="J3932">
        <v>0</v>
      </c>
      <c r="K3932" s="1">
        <v>608824</v>
      </c>
    </row>
    <row r="3933" spans="1:11" x14ac:dyDescent="0.25">
      <c r="A3933" t="s">
        <v>326</v>
      </c>
      <c r="B3933" t="s">
        <v>823</v>
      </c>
      <c r="C3933" t="s">
        <v>868</v>
      </c>
      <c r="D3933" t="s">
        <v>11</v>
      </c>
      <c r="E3933">
        <v>24</v>
      </c>
      <c r="F3933" s="2">
        <f>DATE(2026,IF(Tabla1[[#This Row],[Mes de Fecha]]="Septiembre",9,10),Tabla1[[#This Row],[Día de Fecha]])</f>
        <v>46289</v>
      </c>
      <c r="G3933">
        <v>1059234731</v>
      </c>
      <c r="H3933" t="s">
        <v>451</v>
      </c>
      <c r="I3933">
        <v>68</v>
      </c>
      <c r="J3933">
        <v>0</v>
      </c>
      <c r="K3933" s="1">
        <v>4412941</v>
      </c>
    </row>
    <row r="3934" spans="1:11" x14ac:dyDescent="0.25">
      <c r="A3934" t="s">
        <v>326</v>
      </c>
      <c r="B3934" t="s">
        <v>823</v>
      </c>
      <c r="C3934" t="s">
        <v>868</v>
      </c>
      <c r="D3934" t="s">
        <v>11</v>
      </c>
      <c r="E3934">
        <v>24</v>
      </c>
      <c r="F3934" s="2">
        <f>DATE(2026,IF(Tabla1[[#This Row],[Mes de Fecha]]="Septiembre",9,10),Tabla1[[#This Row],[Día de Fecha]])</f>
        <v>46289</v>
      </c>
      <c r="G3934">
        <v>1061770250</v>
      </c>
      <c r="H3934" t="s">
        <v>449</v>
      </c>
      <c r="I3934">
        <v>94</v>
      </c>
      <c r="J3934">
        <v>0</v>
      </c>
      <c r="K3934" s="1">
        <v>5268827</v>
      </c>
    </row>
    <row r="3935" spans="1:11" x14ac:dyDescent="0.25">
      <c r="A3935" t="s">
        <v>326</v>
      </c>
      <c r="B3935" t="s">
        <v>823</v>
      </c>
      <c r="C3935" t="s">
        <v>868</v>
      </c>
      <c r="D3935" t="s">
        <v>11</v>
      </c>
      <c r="E3935">
        <v>24</v>
      </c>
      <c r="F3935" s="2">
        <f>DATE(2026,IF(Tabla1[[#This Row],[Mes de Fecha]]="Septiembre",9,10),Tabla1[[#This Row],[Día de Fecha]])</f>
        <v>46289</v>
      </c>
      <c r="G3935">
        <v>1061773714</v>
      </c>
      <c r="H3935" t="s">
        <v>450</v>
      </c>
      <c r="I3935">
        <v>137</v>
      </c>
      <c r="J3935">
        <v>0</v>
      </c>
      <c r="K3935" s="1">
        <v>8054924</v>
      </c>
    </row>
    <row r="3936" spans="1:11" x14ac:dyDescent="0.25">
      <c r="A3936" t="s">
        <v>326</v>
      </c>
      <c r="B3936" t="s">
        <v>823</v>
      </c>
      <c r="C3936" t="s">
        <v>868</v>
      </c>
      <c r="D3936" t="s">
        <v>11</v>
      </c>
      <c r="E3936">
        <v>25</v>
      </c>
      <c r="F3936" s="2">
        <f>DATE(2026,IF(Tabla1[[#This Row],[Mes de Fecha]]="Septiembre",9,10),Tabla1[[#This Row],[Día de Fecha]])</f>
        <v>46290</v>
      </c>
      <c r="I3936">
        <v>0</v>
      </c>
      <c r="J3936" s="1">
        <v>15852373</v>
      </c>
      <c r="K3936">
        <v>0</v>
      </c>
    </row>
    <row r="3937" spans="1:11" x14ac:dyDescent="0.25">
      <c r="A3937" t="s">
        <v>326</v>
      </c>
      <c r="B3937" t="s">
        <v>823</v>
      </c>
      <c r="C3937" t="s">
        <v>868</v>
      </c>
      <c r="D3937" t="s">
        <v>11</v>
      </c>
      <c r="E3937">
        <v>25</v>
      </c>
      <c r="F3937" s="2">
        <f>DATE(2026,IF(Tabla1[[#This Row],[Mes de Fecha]]="Septiembre",9,10),Tabla1[[#This Row],[Día de Fecha]])</f>
        <v>46290</v>
      </c>
      <c r="G3937">
        <v>25289676</v>
      </c>
      <c r="H3937" t="s">
        <v>456</v>
      </c>
      <c r="I3937">
        <v>-2</v>
      </c>
      <c r="J3937">
        <v>0</v>
      </c>
      <c r="K3937" s="1">
        <v>-83866</v>
      </c>
    </row>
    <row r="3938" spans="1:11" x14ac:dyDescent="0.25">
      <c r="A3938" t="s">
        <v>326</v>
      </c>
      <c r="B3938" t="s">
        <v>823</v>
      </c>
      <c r="C3938" t="s">
        <v>868</v>
      </c>
      <c r="D3938" t="s">
        <v>11</v>
      </c>
      <c r="E3938">
        <v>25</v>
      </c>
      <c r="F3938" s="2">
        <f>DATE(2026,IF(Tabla1[[#This Row],[Mes de Fecha]]="Septiembre",9,10),Tabla1[[#This Row],[Día de Fecha]])</f>
        <v>46290</v>
      </c>
      <c r="G3938">
        <v>1002970518</v>
      </c>
      <c r="H3938" t="s">
        <v>453</v>
      </c>
      <c r="I3938">
        <v>51</v>
      </c>
      <c r="J3938">
        <v>0</v>
      </c>
      <c r="K3938" s="1">
        <v>2976726</v>
      </c>
    </row>
    <row r="3939" spans="1:11" x14ac:dyDescent="0.25">
      <c r="A3939" t="s">
        <v>326</v>
      </c>
      <c r="B3939" t="s">
        <v>823</v>
      </c>
      <c r="C3939" t="s">
        <v>868</v>
      </c>
      <c r="D3939" t="s">
        <v>11</v>
      </c>
      <c r="E3939">
        <v>25</v>
      </c>
      <c r="F3939" s="2">
        <f>DATE(2026,IF(Tabla1[[#This Row],[Mes de Fecha]]="Septiembre",9,10),Tabla1[[#This Row],[Día de Fecha]])</f>
        <v>46290</v>
      </c>
      <c r="G3939">
        <v>1004148578</v>
      </c>
      <c r="H3939" t="s">
        <v>442</v>
      </c>
      <c r="I3939">
        <v>-1</v>
      </c>
      <c r="J3939">
        <v>0</v>
      </c>
      <c r="K3939" s="1">
        <v>-67185</v>
      </c>
    </row>
    <row r="3940" spans="1:11" x14ac:dyDescent="0.25">
      <c r="A3940" t="s">
        <v>326</v>
      </c>
      <c r="B3940" t="s">
        <v>823</v>
      </c>
      <c r="C3940" t="s">
        <v>868</v>
      </c>
      <c r="D3940" t="s">
        <v>11</v>
      </c>
      <c r="E3940">
        <v>25</v>
      </c>
      <c r="F3940" s="2">
        <f>DATE(2026,IF(Tabla1[[#This Row],[Mes de Fecha]]="Septiembre",9,10),Tabla1[[#This Row],[Día de Fecha]])</f>
        <v>46290</v>
      </c>
      <c r="G3940">
        <v>1059234731</v>
      </c>
      <c r="H3940" t="s">
        <v>451</v>
      </c>
      <c r="I3940">
        <v>31</v>
      </c>
      <c r="J3940">
        <v>0</v>
      </c>
      <c r="K3940" s="1">
        <v>2023783</v>
      </c>
    </row>
    <row r="3941" spans="1:11" x14ac:dyDescent="0.25">
      <c r="A3941" t="s">
        <v>326</v>
      </c>
      <c r="B3941" t="s">
        <v>823</v>
      </c>
      <c r="C3941" t="s">
        <v>868</v>
      </c>
      <c r="D3941" t="s">
        <v>11</v>
      </c>
      <c r="E3941">
        <v>25</v>
      </c>
      <c r="F3941" s="2">
        <f>DATE(2026,IF(Tabla1[[#This Row],[Mes de Fecha]]="Septiembre",9,10),Tabla1[[#This Row],[Día de Fecha]])</f>
        <v>46290</v>
      </c>
      <c r="G3941">
        <v>1061770250</v>
      </c>
      <c r="H3941" t="s">
        <v>449</v>
      </c>
      <c r="I3941">
        <v>79</v>
      </c>
      <c r="J3941">
        <v>0</v>
      </c>
      <c r="K3941" s="1">
        <v>5112106</v>
      </c>
    </row>
    <row r="3942" spans="1:11" x14ac:dyDescent="0.25">
      <c r="A3942" t="s">
        <v>326</v>
      </c>
      <c r="B3942" t="s">
        <v>823</v>
      </c>
      <c r="C3942" t="s">
        <v>868</v>
      </c>
      <c r="D3942" t="s">
        <v>11</v>
      </c>
      <c r="E3942">
        <v>25</v>
      </c>
      <c r="F3942" s="2">
        <f>DATE(2026,IF(Tabla1[[#This Row],[Mes de Fecha]]="Septiembre",9,10),Tabla1[[#This Row],[Día de Fecha]])</f>
        <v>46290</v>
      </c>
      <c r="G3942">
        <v>1061773714</v>
      </c>
      <c r="H3942" t="s">
        <v>450</v>
      </c>
      <c r="I3942">
        <v>128</v>
      </c>
      <c r="J3942">
        <v>0</v>
      </c>
      <c r="K3942" s="1">
        <v>7290593</v>
      </c>
    </row>
    <row r="3943" spans="1:11" x14ac:dyDescent="0.25">
      <c r="A3943" t="s">
        <v>326</v>
      </c>
      <c r="B3943" t="s">
        <v>823</v>
      </c>
      <c r="C3943" t="s">
        <v>868</v>
      </c>
      <c r="D3943" t="s">
        <v>11</v>
      </c>
      <c r="E3943">
        <v>26</v>
      </c>
      <c r="F3943" s="2">
        <f>DATE(2026,IF(Tabla1[[#This Row],[Mes de Fecha]]="Septiembre",9,10),Tabla1[[#This Row],[Día de Fecha]])</f>
        <v>46291</v>
      </c>
      <c r="I3943">
        <v>0</v>
      </c>
      <c r="J3943" s="1">
        <v>22782137</v>
      </c>
      <c r="K3943">
        <v>0</v>
      </c>
    </row>
    <row r="3944" spans="1:11" x14ac:dyDescent="0.25">
      <c r="A3944" t="s">
        <v>326</v>
      </c>
      <c r="B3944" t="s">
        <v>823</v>
      </c>
      <c r="C3944" t="s">
        <v>868</v>
      </c>
      <c r="D3944" t="s">
        <v>11</v>
      </c>
      <c r="E3944">
        <v>26</v>
      </c>
      <c r="F3944" s="2">
        <f>DATE(2026,IF(Tabla1[[#This Row],[Mes de Fecha]]="Septiembre",9,10),Tabla1[[#This Row],[Día de Fecha]])</f>
        <v>46291</v>
      </c>
      <c r="G3944">
        <v>1002970518</v>
      </c>
      <c r="H3944" t="s">
        <v>453</v>
      </c>
      <c r="I3944">
        <v>36</v>
      </c>
      <c r="J3944">
        <v>0</v>
      </c>
      <c r="K3944" s="1">
        <v>2275760</v>
      </c>
    </row>
    <row r="3945" spans="1:11" x14ac:dyDescent="0.25">
      <c r="A3945" t="s">
        <v>326</v>
      </c>
      <c r="B3945" t="s">
        <v>823</v>
      </c>
      <c r="C3945" t="s">
        <v>868</v>
      </c>
      <c r="D3945" t="s">
        <v>11</v>
      </c>
      <c r="E3945">
        <v>26</v>
      </c>
      <c r="F3945" s="2">
        <f>DATE(2026,IF(Tabla1[[#This Row],[Mes de Fecha]]="Septiembre",9,10),Tabla1[[#This Row],[Día de Fecha]])</f>
        <v>46291</v>
      </c>
      <c r="G3945">
        <v>1059234731</v>
      </c>
      <c r="H3945" t="s">
        <v>451</v>
      </c>
      <c r="I3945">
        <v>56</v>
      </c>
      <c r="J3945">
        <v>0</v>
      </c>
      <c r="K3945" s="1">
        <v>3373448</v>
      </c>
    </row>
    <row r="3946" spans="1:11" x14ac:dyDescent="0.25">
      <c r="A3946" t="s">
        <v>326</v>
      </c>
      <c r="B3946" t="s">
        <v>823</v>
      </c>
      <c r="C3946" t="s">
        <v>868</v>
      </c>
      <c r="D3946" t="s">
        <v>11</v>
      </c>
      <c r="E3946">
        <v>26</v>
      </c>
      <c r="F3946" s="2">
        <f>DATE(2026,IF(Tabla1[[#This Row],[Mes de Fecha]]="Septiembre",9,10),Tabla1[[#This Row],[Día de Fecha]])</f>
        <v>46291</v>
      </c>
      <c r="G3946">
        <v>1061770250</v>
      </c>
      <c r="H3946" t="s">
        <v>449</v>
      </c>
      <c r="I3946">
        <v>93</v>
      </c>
      <c r="J3946">
        <v>0</v>
      </c>
      <c r="K3946" s="1">
        <v>5726978</v>
      </c>
    </row>
    <row r="3947" spans="1:11" x14ac:dyDescent="0.25">
      <c r="A3947" t="s">
        <v>326</v>
      </c>
      <c r="B3947" t="s">
        <v>823</v>
      </c>
      <c r="C3947" t="s">
        <v>868</v>
      </c>
      <c r="D3947" t="s">
        <v>11</v>
      </c>
      <c r="E3947">
        <v>26</v>
      </c>
      <c r="F3947" s="2">
        <f>DATE(2026,IF(Tabla1[[#This Row],[Mes de Fecha]]="Septiembre",9,10),Tabla1[[#This Row],[Día de Fecha]])</f>
        <v>46291</v>
      </c>
      <c r="G3947">
        <v>1061773714</v>
      </c>
      <c r="H3947" t="s">
        <v>450</v>
      </c>
      <c r="I3947">
        <v>118</v>
      </c>
      <c r="J3947">
        <v>0</v>
      </c>
      <c r="K3947" s="1">
        <v>7177610</v>
      </c>
    </row>
    <row r="3948" spans="1:11" x14ac:dyDescent="0.25">
      <c r="A3948" t="s">
        <v>326</v>
      </c>
      <c r="B3948" t="s">
        <v>823</v>
      </c>
      <c r="C3948" t="s">
        <v>868</v>
      </c>
      <c r="D3948" t="s">
        <v>11</v>
      </c>
      <c r="E3948">
        <v>26</v>
      </c>
      <c r="F3948" s="2">
        <f>DATE(2026,IF(Tabla1[[#This Row],[Mes de Fecha]]="Septiembre",9,10),Tabla1[[#This Row],[Día de Fecha]])</f>
        <v>46291</v>
      </c>
      <c r="G3948">
        <v>1061799953</v>
      </c>
      <c r="H3948" t="s">
        <v>441</v>
      </c>
      <c r="I3948">
        <v>-1</v>
      </c>
      <c r="J3948">
        <v>0</v>
      </c>
      <c r="K3948" s="1">
        <v>-54580</v>
      </c>
    </row>
    <row r="3949" spans="1:11" x14ac:dyDescent="0.25">
      <c r="A3949" t="s">
        <v>326</v>
      </c>
      <c r="B3949" t="s">
        <v>823</v>
      </c>
      <c r="C3949" t="s">
        <v>868</v>
      </c>
      <c r="D3949" t="s">
        <v>11</v>
      </c>
      <c r="E3949">
        <v>26</v>
      </c>
      <c r="F3949" s="2">
        <f>DATE(2026,IF(Tabla1[[#This Row],[Mes de Fecha]]="Septiembre",9,10),Tabla1[[#This Row],[Día de Fecha]])</f>
        <v>46291</v>
      </c>
      <c r="G3949">
        <v>1063816927</v>
      </c>
      <c r="H3949" t="s">
        <v>440</v>
      </c>
      <c r="I3949">
        <v>-1</v>
      </c>
      <c r="J3949">
        <v>0</v>
      </c>
      <c r="K3949" s="1">
        <v>-50336</v>
      </c>
    </row>
    <row r="3950" spans="1:11" x14ac:dyDescent="0.25">
      <c r="A3950" t="s">
        <v>326</v>
      </c>
      <c r="B3950" t="s">
        <v>823</v>
      </c>
      <c r="C3950" t="s">
        <v>868</v>
      </c>
      <c r="D3950" t="s">
        <v>11</v>
      </c>
      <c r="E3950">
        <v>27</v>
      </c>
      <c r="F3950" s="2">
        <f>DATE(2026,IF(Tabla1[[#This Row],[Mes de Fecha]]="Septiembre",9,10),Tabla1[[#This Row],[Día de Fecha]])</f>
        <v>46292</v>
      </c>
      <c r="I3950">
        <v>0</v>
      </c>
      <c r="J3950" s="1">
        <v>18048041</v>
      </c>
      <c r="K3950">
        <v>0</v>
      </c>
    </row>
    <row r="3951" spans="1:11" x14ac:dyDescent="0.25">
      <c r="A3951" t="s">
        <v>326</v>
      </c>
      <c r="B3951" t="s">
        <v>823</v>
      </c>
      <c r="C3951" t="s">
        <v>868</v>
      </c>
      <c r="D3951" t="s">
        <v>11</v>
      </c>
      <c r="E3951">
        <v>27</v>
      </c>
      <c r="F3951" s="2">
        <f>DATE(2026,IF(Tabla1[[#This Row],[Mes de Fecha]]="Septiembre",9,10),Tabla1[[#This Row],[Día de Fecha]])</f>
        <v>46292</v>
      </c>
      <c r="G3951">
        <v>1059234731</v>
      </c>
      <c r="H3951" t="s">
        <v>451</v>
      </c>
      <c r="I3951">
        <v>25</v>
      </c>
      <c r="J3951">
        <v>0</v>
      </c>
      <c r="K3951" s="1">
        <v>1526093</v>
      </c>
    </row>
    <row r="3952" spans="1:11" x14ac:dyDescent="0.25">
      <c r="A3952" t="s">
        <v>326</v>
      </c>
      <c r="B3952" t="s">
        <v>823</v>
      </c>
      <c r="C3952" t="s">
        <v>868</v>
      </c>
      <c r="D3952" t="s">
        <v>11</v>
      </c>
      <c r="E3952">
        <v>27</v>
      </c>
      <c r="F3952" s="2">
        <f>DATE(2026,IF(Tabla1[[#This Row],[Mes de Fecha]]="Septiembre",9,10),Tabla1[[#This Row],[Día de Fecha]])</f>
        <v>46292</v>
      </c>
      <c r="G3952">
        <v>1061770250</v>
      </c>
      <c r="H3952" t="s">
        <v>449</v>
      </c>
      <c r="I3952">
        <v>15</v>
      </c>
      <c r="J3952">
        <v>0</v>
      </c>
      <c r="K3952" s="1">
        <v>780714</v>
      </c>
    </row>
    <row r="3953" spans="1:11" x14ac:dyDescent="0.25">
      <c r="A3953" t="s">
        <v>326</v>
      </c>
      <c r="B3953" t="s">
        <v>823</v>
      </c>
      <c r="C3953" t="s">
        <v>868</v>
      </c>
      <c r="D3953" t="s">
        <v>11</v>
      </c>
      <c r="E3953">
        <v>27</v>
      </c>
      <c r="F3953" s="2">
        <f>DATE(2026,IF(Tabla1[[#This Row],[Mes de Fecha]]="Septiembre",9,10),Tabla1[[#This Row],[Día de Fecha]])</f>
        <v>46292</v>
      </c>
      <c r="G3953">
        <v>1061773714</v>
      </c>
      <c r="H3953" t="s">
        <v>450</v>
      </c>
      <c r="I3953">
        <v>29</v>
      </c>
      <c r="J3953">
        <v>0</v>
      </c>
      <c r="K3953" s="1">
        <v>1719329</v>
      </c>
    </row>
    <row r="3954" spans="1:11" x14ac:dyDescent="0.25">
      <c r="A3954" t="s">
        <v>326</v>
      </c>
      <c r="B3954" t="s">
        <v>823</v>
      </c>
      <c r="C3954" t="s">
        <v>868</v>
      </c>
      <c r="D3954" t="s">
        <v>11</v>
      </c>
      <c r="E3954">
        <v>28</v>
      </c>
      <c r="F3954" s="2">
        <f>DATE(2026,IF(Tabla1[[#This Row],[Mes de Fecha]]="Septiembre",9,10),Tabla1[[#This Row],[Día de Fecha]])</f>
        <v>46293</v>
      </c>
      <c r="I3954">
        <v>0</v>
      </c>
      <c r="J3954" s="1">
        <v>10161847</v>
      </c>
      <c r="K3954">
        <v>0</v>
      </c>
    </row>
    <row r="3955" spans="1:11" x14ac:dyDescent="0.25">
      <c r="A3955" t="s">
        <v>326</v>
      </c>
      <c r="B3955" t="s">
        <v>823</v>
      </c>
      <c r="C3955" t="s">
        <v>868</v>
      </c>
      <c r="D3955" t="s">
        <v>11</v>
      </c>
      <c r="E3955">
        <v>28</v>
      </c>
      <c r="F3955" s="2">
        <f>DATE(2026,IF(Tabla1[[#This Row],[Mes de Fecha]]="Septiembre",9,10),Tabla1[[#This Row],[Día de Fecha]])</f>
        <v>46293</v>
      </c>
      <c r="G3955">
        <v>1002970518</v>
      </c>
      <c r="H3955" t="s">
        <v>453</v>
      </c>
      <c r="I3955">
        <v>7</v>
      </c>
      <c r="J3955">
        <v>0</v>
      </c>
      <c r="K3955" s="1">
        <v>659370</v>
      </c>
    </row>
    <row r="3956" spans="1:11" x14ac:dyDescent="0.25">
      <c r="A3956" t="s">
        <v>326</v>
      </c>
      <c r="B3956" t="s">
        <v>823</v>
      </c>
      <c r="C3956" t="s">
        <v>868</v>
      </c>
      <c r="D3956" t="s">
        <v>11</v>
      </c>
      <c r="E3956">
        <v>28</v>
      </c>
      <c r="F3956" s="2">
        <f>DATE(2026,IF(Tabla1[[#This Row],[Mes de Fecha]]="Septiembre",9,10),Tabla1[[#This Row],[Día de Fecha]])</f>
        <v>46293</v>
      </c>
      <c r="G3956">
        <v>1007145358</v>
      </c>
      <c r="H3956" t="s">
        <v>443</v>
      </c>
      <c r="I3956">
        <v>-1</v>
      </c>
      <c r="J3956">
        <v>0</v>
      </c>
      <c r="K3956" s="1">
        <v>-83992</v>
      </c>
    </row>
    <row r="3957" spans="1:11" x14ac:dyDescent="0.25">
      <c r="A3957" t="s">
        <v>326</v>
      </c>
      <c r="B3957" t="s">
        <v>823</v>
      </c>
      <c r="C3957" t="s">
        <v>868</v>
      </c>
      <c r="D3957" t="s">
        <v>11</v>
      </c>
      <c r="E3957">
        <v>28</v>
      </c>
      <c r="F3957" s="2">
        <f>DATE(2026,IF(Tabla1[[#This Row],[Mes de Fecha]]="Septiembre",9,10),Tabla1[[#This Row],[Día de Fecha]])</f>
        <v>46293</v>
      </c>
      <c r="G3957">
        <v>1059234731</v>
      </c>
      <c r="H3957" t="s">
        <v>451</v>
      </c>
      <c r="I3957">
        <v>33</v>
      </c>
      <c r="J3957">
        <v>0</v>
      </c>
      <c r="K3957" s="1">
        <v>1632815</v>
      </c>
    </row>
    <row r="3958" spans="1:11" x14ac:dyDescent="0.25">
      <c r="A3958" t="s">
        <v>326</v>
      </c>
      <c r="B3958" t="s">
        <v>823</v>
      </c>
      <c r="C3958" t="s">
        <v>868</v>
      </c>
      <c r="D3958" t="s">
        <v>11</v>
      </c>
      <c r="E3958">
        <v>28</v>
      </c>
      <c r="F3958" s="2">
        <f>DATE(2026,IF(Tabla1[[#This Row],[Mes de Fecha]]="Septiembre",9,10),Tabla1[[#This Row],[Día de Fecha]])</f>
        <v>46293</v>
      </c>
      <c r="G3958">
        <v>1061770250</v>
      </c>
      <c r="H3958" t="s">
        <v>449</v>
      </c>
      <c r="I3958">
        <v>68</v>
      </c>
      <c r="J3958">
        <v>0</v>
      </c>
      <c r="K3958" s="1">
        <v>3576773</v>
      </c>
    </row>
    <row r="3959" spans="1:11" x14ac:dyDescent="0.25">
      <c r="A3959" t="s">
        <v>326</v>
      </c>
      <c r="B3959" t="s">
        <v>823</v>
      </c>
      <c r="C3959" t="s">
        <v>868</v>
      </c>
      <c r="D3959" t="s">
        <v>11</v>
      </c>
      <c r="E3959">
        <v>28</v>
      </c>
      <c r="F3959" s="2">
        <f>DATE(2026,IF(Tabla1[[#This Row],[Mes de Fecha]]="Septiembre",9,10),Tabla1[[#This Row],[Día de Fecha]])</f>
        <v>46293</v>
      </c>
      <c r="G3959">
        <v>1061773714</v>
      </c>
      <c r="H3959" t="s">
        <v>450</v>
      </c>
      <c r="I3959">
        <v>23</v>
      </c>
      <c r="J3959">
        <v>0</v>
      </c>
      <c r="K3959" s="1">
        <v>1524203</v>
      </c>
    </row>
    <row r="3960" spans="1:11" x14ac:dyDescent="0.25">
      <c r="A3960" t="s">
        <v>326</v>
      </c>
      <c r="B3960" t="s">
        <v>823</v>
      </c>
      <c r="C3960" t="s">
        <v>868</v>
      </c>
      <c r="D3960" t="s">
        <v>11</v>
      </c>
      <c r="E3960">
        <v>28</v>
      </c>
      <c r="F3960" s="2">
        <f>DATE(2026,IF(Tabla1[[#This Row],[Mes de Fecha]]="Septiembre",9,10),Tabla1[[#This Row],[Día de Fecha]])</f>
        <v>46293</v>
      </c>
      <c r="G3960">
        <v>1061816802</v>
      </c>
      <c r="H3960" t="s">
        <v>448</v>
      </c>
      <c r="I3960">
        <v>-1</v>
      </c>
      <c r="J3960">
        <v>0</v>
      </c>
      <c r="K3960" s="1">
        <v>-92395</v>
      </c>
    </row>
    <row r="3961" spans="1:11" x14ac:dyDescent="0.25">
      <c r="A3961" t="s">
        <v>326</v>
      </c>
      <c r="B3961" t="s">
        <v>823</v>
      </c>
      <c r="C3961" t="s">
        <v>868</v>
      </c>
      <c r="D3961" t="s">
        <v>11</v>
      </c>
      <c r="E3961">
        <v>29</v>
      </c>
      <c r="F3961" s="2">
        <f>DATE(2026,IF(Tabla1[[#This Row],[Mes de Fecha]]="Septiembre",9,10),Tabla1[[#This Row],[Día de Fecha]])</f>
        <v>46294</v>
      </c>
      <c r="I3961">
        <v>0</v>
      </c>
      <c r="J3961" s="1">
        <v>10381334</v>
      </c>
      <c r="K3961">
        <v>0</v>
      </c>
    </row>
    <row r="3962" spans="1:11" x14ac:dyDescent="0.25">
      <c r="A3962" t="s">
        <v>326</v>
      </c>
      <c r="B3962" t="s">
        <v>823</v>
      </c>
      <c r="C3962" t="s">
        <v>868</v>
      </c>
      <c r="D3962" t="s">
        <v>11</v>
      </c>
      <c r="E3962">
        <v>29</v>
      </c>
      <c r="F3962" s="2">
        <f>DATE(2026,IF(Tabla1[[#This Row],[Mes de Fecha]]="Septiembre",9,10),Tabla1[[#This Row],[Día de Fecha]])</f>
        <v>46294</v>
      </c>
      <c r="G3962">
        <v>1002970518</v>
      </c>
      <c r="H3962" t="s">
        <v>453</v>
      </c>
      <c r="I3962">
        <v>13</v>
      </c>
      <c r="J3962">
        <v>0</v>
      </c>
      <c r="K3962" s="1">
        <v>747353</v>
      </c>
    </row>
    <row r="3963" spans="1:11" x14ac:dyDescent="0.25">
      <c r="A3963" t="s">
        <v>326</v>
      </c>
      <c r="B3963" t="s">
        <v>823</v>
      </c>
      <c r="C3963" t="s">
        <v>868</v>
      </c>
      <c r="D3963" t="s">
        <v>11</v>
      </c>
      <c r="E3963">
        <v>29</v>
      </c>
      <c r="F3963" s="2">
        <f>DATE(2026,IF(Tabla1[[#This Row],[Mes de Fecha]]="Septiembre",9,10),Tabla1[[#This Row],[Día de Fecha]])</f>
        <v>46294</v>
      </c>
      <c r="G3963">
        <v>1059234731</v>
      </c>
      <c r="H3963" t="s">
        <v>451</v>
      </c>
      <c r="I3963">
        <v>20</v>
      </c>
      <c r="J3963">
        <v>0</v>
      </c>
      <c r="K3963" s="1">
        <v>1280630</v>
      </c>
    </row>
    <row r="3964" spans="1:11" x14ac:dyDescent="0.25">
      <c r="A3964" t="s">
        <v>326</v>
      </c>
      <c r="B3964" t="s">
        <v>823</v>
      </c>
      <c r="C3964" t="s">
        <v>868</v>
      </c>
      <c r="D3964" t="s">
        <v>11</v>
      </c>
      <c r="E3964">
        <v>29</v>
      </c>
      <c r="F3964" s="2">
        <f>DATE(2026,IF(Tabla1[[#This Row],[Mes de Fecha]]="Septiembre",9,10),Tabla1[[#This Row],[Día de Fecha]])</f>
        <v>46294</v>
      </c>
      <c r="G3964">
        <v>1061770250</v>
      </c>
      <c r="H3964" t="s">
        <v>449</v>
      </c>
      <c r="I3964">
        <v>66</v>
      </c>
      <c r="J3964">
        <v>0</v>
      </c>
      <c r="K3964" s="1">
        <v>4122906</v>
      </c>
    </row>
    <row r="3965" spans="1:11" x14ac:dyDescent="0.25">
      <c r="A3965" t="s">
        <v>326</v>
      </c>
      <c r="B3965" t="s">
        <v>823</v>
      </c>
      <c r="C3965" t="s">
        <v>868</v>
      </c>
      <c r="D3965" t="s">
        <v>11</v>
      </c>
      <c r="E3965">
        <v>29</v>
      </c>
      <c r="F3965" s="2">
        <f>DATE(2026,IF(Tabla1[[#This Row],[Mes de Fecha]]="Septiembre",9,10),Tabla1[[#This Row],[Día de Fecha]])</f>
        <v>46294</v>
      </c>
      <c r="G3965">
        <v>1061773714</v>
      </c>
      <c r="H3965" t="s">
        <v>450</v>
      </c>
      <c r="I3965">
        <v>42</v>
      </c>
      <c r="J3965">
        <v>0</v>
      </c>
      <c r="K3965" s="1">
        <v>2603110</v>
      </c>
    </row>
    <row r="3966" spans="1:11" x14ac:dyDescent="0.25">
      <c r="A3966" t="s">
        <v>326</v>
      </c>
      <c r="B3966" t="s">
        <v>823</v>
      </c>
      <c r="C3966" t="s">
        <v>868</v>
      </c>
      <c r="D3966" t="s">
        <v>11</v>
      </c>
      <c r="E3966">
        <v>30</v>
      </c>
      <c r="F3966" s="2">
        <f>DATE(2026,IF(Tabla1[[#This Row],[Mes de Fecha]]="Septiembre",9,10),Tabla1[[#This Row],[Día de Fecha]])</f>
        <v>46295</v>
      </c>
      <c r="I3966">
        <v>0</v>
      </c>
      <c r="J3966" s="1">
        <v>10960609</v>
      </c>
      <c r="K3966">
        <v>0</v>
      </c>
    </row>
    <row r="3967" spans="1:11" x14ac:dyDescent="0.25">
      <c r="A3967" t="s">
        <v>326</v>
      </c>
      <c r="B3967" t="s">
        <v>823</v>
      </c>
      <c r="C3967" t="s">
        <v>868</v>
      </c>
      <c r="D3967" t="s">
        <v>11</v>
      </c>
      <c r="E3967">
        <v>30</v>
      </c>
      <c r="F3967" s="2">
        <f>DATE(2026,IF(Tabla1[[#This Row],[Mes de Fecha]]="Septiembre",9,10),Tabla1[[#This Row],[Día de Fecha]])</f>
        <v>46295</v>
      </c>
      <c r="G3967">
        <v>1002970518</v>
      </c>
      <c r="H3967" t="s">
        <v>453</v>
      </c>
      <c r="I3967">
        <v>14</v>
      </c>
      <c r="J3967">
        <v>0</v>
      </c>
      <c r="K3967" s="1">
        <v>743110</v>
      </c>
    </row>
    <row r="3968" spans="1:11" x14ac:dyDescent="0.25">
      <c r="A3968" t="s">
        <v>326</v>
      </c>
      <c r="B3968" t="s">
        <v>823</v>
      </c>
      <c r="C3968" t="s">
        <v>868</v>
      </c>
      <c r="D3968" t="s">
        <v>11</v>
      </c>
      <c r="E3968">
        <v>30</v>
      </c>
      <c r="F3968" s="2">
        <f>DATE(2026,IF(Tabla1[[#This Row],[Mes de Fecha]]="Septiembre",9,10),Tabla1[[#This Row],[Día de Fecha]])</f>
        <v>46295</v>
      </c>
      <c r="G3968">
        <v>1059234731</v>
      </c>
      <c r="H3968" t="s">
        <v>451</v>
      </c>
      <c r="I3968">
        <v>17</v>
      </c>
      <c r="J3968">
        <v>0</v>
      </c>
      <c r="K3968" s="1">
        <v>778615</v>
      </c>
    </row>
    <row r="3969" spans="1:11" x14ac:dyDescent="0.25">
      <c r="A3969" t="s">
        <v>326</v>
      </c>
      <c r="B3969" t="s">
        <v>823</v>
      </c>
      <c r="C3969" t="s">
        <v>868</v>
      </c>
      <c r="D3969" t="s">
        <v>11</v>
      </c>
      <c r="E3969">
        <v>30</v>
      </c>
      <c r="F3969" s="2">
        <f>DATE(2026,IF(Tabla1[[#This Row],[Mes de Fecha]]="Septiembre",9,10),Tabla1[[#This Row],[Día de Fecha]])</f>
        <v>46295</v>
      </c>
      <c r="G3969">
        <v>1061770250</v>
      </c>
      <c r="H3969" t="s">
        <v>449</v>
      </c>
      <c r="I3969">
        <v>105</v>
      </c>
      <c r="J3969">
        <v>0</v>
      </c>
      <c r="K3969" s="1">
        <v>5925256</v>
      </c>
    </row>
    <row r="3970" spans="1:11" x14ac:dyDescent="0.25">
      <c r="A3970" t="s">
        <v>326</v>
      </c>
      <c r="B3970" t="s">
        <v>823</v>
      </c>
      <c r="C3970" t="s">
        <v>868</v>
      </c>
      <c r="D3970" t="s">
        <v>11</v>
      </c>
      <c r="E3970">
        <v>30</v>
      </c>
      <c r="F3970" s="2">
        <f>DATE(2026,IF(Tabla1[[#This Row],[Mes de Fecha]]="Septiembre",9,10),Tabla1[[#This Row],[Día de Fecha]])</f>
        <v>46295</v>
      </c>
      <c r="G3970">
        <v>1061773714</v>
      </c>
      <c r="H3970" t="s">
        <v>450</v>
      </c>
      <c r="I3970">
        <v>16</v>
      </c>
      <c r="J3970">
        <v>0</v>
      </c>
      <c r="K3970" s="1">
        <v>940422</v>
      </c>
    </row>
    <row r="3971" spans="1:11" x14ac:dyDescent="0.25">
      <c r="A3971" t="s">
        <v>326</v>
      </c>
      <c r="B3971" t="s">
        <v>823</v>
      </c>
      <c r="C3971" t="s">
        <v>868</v>
      </c>
      <c r="D3971" t="s">
        <v>11</v>
      </c>
      <c r="E3971">
        <v>30</v>
      </c>
      <c r="F3971" s="2">
        <f>DATE(2026,IF(Tabla1[[#This Row],[Mes de Fecha]]="Septiembre",9,10),Tabla1[[#This Row],[Día de Fecha]])</f>
        <v>46295</v>
      </c>
      <c r="G3971">
        <v>1063816927</v>
      </c>
      <c r="H3971" t="s">
        <v>440</v>
      </c>
      <c r="I3971">
        <v>-1</v>
      </c>
      <c r="J3971">
        <v>0</v>
      </c>
      <c r="K3971" s="1">
        <v>-41975</v>
      </c>
    </row>
    <row r="3972" spans="1:11" x14ac:dyDescent="0.25">
      <c r="A3972" t="s">
        <v>326</v>
      </c>
      <c r="B3972" t="s">
        <v>823</v>
      </c>
      <c r="C3972" t="s">
        <v>868</v>
      </c>
      <c r="D3972" t="s">
        <v>14</v>
      </c>
      <c r="E3972">
        <v>1</v>
      </c>
      <c r="F3972" s="2">
        <f>DATE(2026,IF(Tabla1[[#This Row],[Mes de Fecha]]="Septiembre",9,10),Tabla1[[#This Row],[Día de Fecha]])</f>
        <v>46296</v>
      </c>
      <c r="I3972">
        <v>0</v>
      </c>
      <c r="J3972" s="1">
        <v>8811001</v>
      </c>
      <c r="K3972">
        <v>0</v>
      </c>
    </row>
    <row r="3973" spans="1:11" x14ac:dyDescent="0.25">
      <c r="A3973" t="s">
        <v>326</v>
      </c>
      <c r="B3973" t="s">
        <v>823</v>
      </c>
      <c r="C3973" t="s">
        <v>868</v>
      </c>
      <c r="D3973" t="s">
        <v>14</v>
      </c>
      <c r="E3973">
        <v>1</v>
      </c>
      <c r="F3973" s="2">
        <f>DATE(2026,IF(Tabla1[[#This Row],[Mes de Fecha]]="Septiembre",9,10),Tabla1[[#This Row],[Día de Fecha]])</f>
        <v>46296</v>
      </c>
      <c r="G3973">
        <v>1002970518</v>
      </c>
      <c r="H3973" t="s">
        <v>453</v>
      </c>
      <c r="I3973">
        <v>8</v>
      </c>
      <c r="J3973">
        <v>0</v>
      </c>
      <c r="K3973" s="1">
        <v>487060</v>
      </c>
    </row>
    <row r="3974" spans="1:11" x14ac:dyDescent="0.25">
      <c r="A3974" t="s">
        <v>326</v>
      </c>
      <c r="B3974" t="s">
        <v>823</v>
      </c>
      <c r="C3974" t="s">
        <v>868</v>
      </c>
      <c r="D3974" t="s">
        <v>14</v>
      </c>
      <c r="E3974">
        <v>1</v>
      </c>
      <c r="F3974" s="2">
        <f>DATE(2026,IF(Tabla1[[#This Row],[Mes de Fecha]]="Septiembre",9,10),Tabla1[[#This Row],[Día de Fecha]])</f>
        <v>46296</v>
      </c>
      <c r="G3974">
        <v>1058968650</v>
      </c>
      <c r="H3974" t="s">
        <v>437</v>
      </c>
      <c r="I3974">
        <v>-1</v>
      </c>
      <c r="J3974">
        <v>0</v>
      </c>
      <c r="K3974" s="1">
        <v>-54580</v>
      </c>
    </row>
    <row r="3975" spans="1:11" x14ac:dyDescent="0.25">
      <c r="A3975" t="s">
        <v>326</v>
      </c>
      <c r="B3975" t="s">
        <v>823</v>
      </c>
      <c r="C3975" t="s">
        <v>868</v>
      </c>
      <c r="D3975" t="s">
        <v>14</v>
      </c>
      <c r="E3975">
        <v>1</v>
      </c>
      <c r="F3975" s="2">
        <f>DATE(2026,IF(Tabla1[[#This Row],[Mes de Fecha]]="Septiembre",9,10),Tabla1[[#This Row],[Día de Fecha]])</f>
        <v>46296</v>
      </c>
      <c r="G3975">
        <v>1059234731</v>
      </c>
      <c r="H3975" t="s">
        <v>451</v>
      </c>
      <c r="I3975">
        <v>36</v>
      </c>
      <c r="J3975">
        <v>0</v>
      </c>
      <c r="K3975" s="1">
        <v>2197983</v>
      </c>
    </row>
    <row r="3976" spans="1:11" x14ac:dyDescent="0.25">
      <c r="A3976" t="s">
        <v>326</v>
      </c>
      <c r="B3976" t="s">
        <v>823</v>
      </c>
      <c r="C3976" t="s">
        <v>868</v>
      </c>
      <c r="D3976" t="s">
        <v>14</v>
      </c>
      <c r="E3976">
        <v>1</v>
      </c>
      <c r="F3976" s="2">
        <f>DATE(2026,IF(Tabla1[[#This Row],[Mes de Fecha]]="Septiembre",9,10),Tabla1[[#This Row],[Día de Fecha]])</f>
        <v>46296</v>
      </c>
      <c r="G3976">
        <v>1061770250</v>
      </c>
      <c r="H3976" t="s">
        <v>449</v>
      </c>
      <c r="I3976">
        <v>53</v>
      </c>
      <c r="J3976">
        <v>0</v>
      </c>
      <c r="K3976" s="1">
        <v>2926266</v>
      </c>
    </row>
    <row r="3977" spans="1:11" x14ac:dyDescent="0.25">
      <c r="A3977" t="s">
        <v>326</v>
      </c>
      <c r="B3977" t="s">
        <v>823</v>
      </c>
      <c r="C3977" t="s">
        <v>868</v>
      </c>
      <c r="D3977" t="s">
        <v>14</v>
      </c>
      <c r="E3977">
        <v>1</v>
      </c>
      <c r="F3977" s="2">
        <f>DATE(2026,IF(Tabla1[[#This Row],[Mes de Fecha]]="Septiembre",9,10),Tabla1[[#This Row],[Día de Fecha]])</f>
        <v>46296</v>
      </c>
      <c r="G3977">
        <v>1061773714</v>
      </c>
      <c r="H3977" t="s">
        <v>450</v>
      </c>
      <c r="I3977">
        <v>64</v>
      </c>
      <c r="J3977">
        <v>0</v>
      </c>
      <c r="K3977" s="1">
        <v>3976264</v>
      </c>
    </row>
    <row r="3978" spans="1:11" x14ac:dyDescent="0.25">
      <c r="A3978" t="s">
        <v>326</v>
      </c>
      <c r="B3978" t="s">
        <v>823</v>
      </c>
      <c r="C3978" t="s">
        <v>868</v>
      </c>
      <c r="D3978" t="s">
        <v>14</v>
      </c>
      <c r="E3978">
        <v>1</v>
      </c>
      <c r="F3978" s="2">
        <f>DATE(2026,IF(Tabla1[[#This Row],[Mes de Fecha]]="Septiembre",9,10),Tabla1[[#This Row],[Día de Fecha]])</f>
        <v>46296</v>
      </c>
      <c r="G3978">
        <v>1063816927</v>
      </c>
      <c r="H3978" t="s">
        <v>440</v>
      </c>
      <c r="I3978">
        <v>-2</v>
      </c>
      <c r="J3978">
        <v>0</v>
      </c>
      <c r="K3978" s="1">
        <v>-104958</v>
      </c>
    </row>
    <row r="3979" spans="1:11" x14ac:dyDescent="0.25">
      <c r="A3979" t="s">
        <v>326</v>
      </c>
      <c r="B3979" t="s">
        <v>823</v>
      </c>
      <c r="C3979" t="s">
        <v>868</v>
      </c>
      <c r="D3979" t="s">
        <v>14</v>
      </c>
      <c r="E3979">
        <v>2</v>
      </c>
      <c r="F3979" s="2">
        <f>DATE(2026,IF(Tabla1[[#This Row],[Mes de Fecha]]="Septiembre",9,10),Tabla1[[#This Row],[Día de Fecha]])</f>
        <v>46297</v>
      </c>
      <c r="I3979">
        <v>0</v>
      </c>
      <c r="J3979" s="1">
        <v>10027311</v>
      </c>
      <c r="K3979">
        <v>0</v>
      </c>
    </row>
    <row r="3980" spans="1:11" x14ac:dyDescent="0.25">
      <c r="A3980" t="s">
        <v>326</v>
      </c>
      <c r="B3980" t="s">
        <v>823</v>
      </c>
      <c r="C3980" t="s">
        <v>868</v>
      </c>
      <c r="D3980" t="s">
        <v>14</v>
      </c>
      <c r="E3980">
        <v>2</v>
      </c>
      <c r="F3980" s="2">
        <f>DATE(2026,IF(Tabla1[[#This Row],[Mes de Fecha]]="Septiembre",9,10),Tabla1[[#This Row],[Día de Fecha]])</f>
        <v>46297</v>
      </c>
      <c r="G3980">
        <v>1002970518</v>
      </c>
      <c r="H3980" t="s">
        <v>453</v>
      </c>
      <c r="I3980">
        <v>22</v>
      </c>
      <c r="J3980">
        <v>0</v>
      </c>
      <c r="K3980" s="1">
        <v>1486472</v>
      </c>
    </row>
    <row r="3981" spans="1:11" x14ac:dyDescent="0.25">
      <c r="A3981" t="s">
        <v>326</v>
      </c>
      <c r="B3981" t="s">
        <v>823</v>
      </c>
      <c r="C3981" t="s">
        <v>868</v>
      </c>
      <c r="D3981" t="s">
        <v>14</v>
      </c>
      <c r="E3981">
        <v>2</v>
      </c>
      <c r="F3981" s="2">
        <f>DATE(2026,IF(Tabla1[[#This Row],[Mes de Fecha]]="Septiembre",9,10),Tabla1[[#This Row],[Día de Fecha]])</f>
        <v>46297</v>
      </c>
      <c r="G3981">
        <v>1059234731</v>
      </c>
      <c r="H3981" t="s">
        <v>451</v>
      </c>
      <c r="I3981">
        <v>15</v>
      </c>
      <c r="J3981">
        <v>0</v>
      </c>
      <c r="K3981" s="1">
        <v>999287</v>
      </c>
    </row>
    <row r="3982" spans="1:11" x14ac:dyDescent="0.25">
      <c r="A3982" t="s">
        <v>326</v>
      </c>
      <c r="B3982" t="s">
        <v>823</v>
      </c>
      <c r="C3982" t="s">
        <v>868</v>
      </c>
      <c r="D3982" t="s">
        <v>14</v>
      </c>
      <c r="E3982">
        <v>2</v>
      </c>
      <c r="F3982" s="2">
        <f>DATE(2026,IF(Tabla1[[#This Row],[Mes de Fecha]]="Septiembre",9,10),Tabla1[[#This Row],[Día de Fecha]])</f>
        <v>46297</v>
      </c>
      <c r="G3982">
        <v>1061770250</v>
      </c>
      <c r="H3982" t="s">
        <v>449</v>
      </c>
      <c r="I3982">
        <v>47</v>
      </c>
      <c r="J3982">
        <v>0</v>
      </c>
      <c r="K3982" s="1">
        <v>2449580</v>
      </c>
    </row>
    <row r="3983" spans="1:11" x14ac:dyDescent="0.25">
      <c r="A3983" t="s">
        <v>326</v>
      </c>
      <c r="B3983" t="s">
        <v>823</v>
      </c>
      <c r="C3983" t="s">
        <v>868</v>
      </c>
      <c r="D3983" t="s">
        <v>14</v>
      </c>
      <c r="E3983">
        <v>2</v>
      </c>
      <c r="F3983" s="2">
        <f>DATE(2026,IF(Tabla1[[#This Row],[Mes de Fecha]]="Septiembre",9,10),Tabla1[[#This Row],[Día de Fecha]])</f>
        <v>46297</v>
      </c>
      <c r="G3983">
        <v>1061773714</v>
      </c>
      <c r="H3983" t="s">
        <v>450</v>
      </c>
      <c r="I3983">
        <v>45</v>
      </c>
      <c r="J3983">
        <v>0</v>
      </c>
      <c r="K3983" s="1">
        <v>2657606</v>
      </c>
    </row>
    <row r="3984" spans="1:11" x14ac:dyDescent="0.25">
      <c r="A3984" t="s">
        <v>326</v>
      </c>
      <c r="B3984" t="s">
        <v>823</v>
      </c>
      <c r="C3984" t="s">
        <v>868</v>
      </c>
      <c r="D3984" t="s">
        <v>14</v>
      </c>
      <c r="E3984">
        <v>3</v>
      </c>
      <c r="F3984" s="2">
        <f>DATE(2026,IF(Tabla1[[#This Row],[Mes de Fecha]]="Septiembre",9,10),Tabla1[[#This Row],[Día de Fecha]])</f>
        <v>46298</v>
      </c>
      <c r="I3984">
        <v>0</v>
      </c>
      <c r="J3984" s="1">
        <v>13176219</v>
      </c>
      <c r="K3984">
        <v>0</v>
      </c>
    </row>
    <row r="3985" spans="1:11" x14ac:dyDescent="0.25">
      <c r="A3985" t="s">
        <v>326</v>
      </c>
      <c r="B3985" t="s">
        <v>823</v>
      </c>
      <c r="C3985" t="s">
        <v>868</v>
      </c>
      <c r="D3985" t="s">
        <v>14</v>
      </c>
      <c r="E3985">
        <v>3</v>
      </c>
      <c r="F3985" s="2">
        <f>DATE(2026,IF(Tabla1[[#This Row],[Mes de Fecha]]="Septiembre",9,10),Tabla1[[#This Row],[Día de Fecha]])</f>
        <v>46298</v>
      </c>
      <c r="G3985">
        <v>1002607819</v>
      </c>
      <c r="H3985" t="s">
        <v>446</v>
      </c>
      <c r="I3985">
        <v>-1</v>
      </c>
      <c r="J3985">
        <v>0</v>
      </c>
      <c r="K3985" s="1">
        <v>-41975</v>
      </c>
    </row>
    <row r="3986" spans="1:11" x14ac:dyDescent="0.25">
      <c r="A3986" t="s">
        <v>326</v>
      </c>
      <c r="B3986" t="s">
        <v>823</v>
      </c>
      <c r="C3986" t="s">
        <v>868</v>
      </c>
      <c r="D3986" t="s">
        <v>14</v>
      </c>
      <c r="E3986">
        <v>3</v>
      </c>
      <c r="F3986" s="2">
        <f>DATE(2026,IF(Tabla1[[#This Row],[Mes de Fecha]]="Septiembre",9,10),Tabla1[[#This Row],[Día de Fecha]])</f>
        <v>46298</v>
      </c>
      <c r="G3986">
        <v>1002970518</v>
      </c>
      <c r="H3986" t="s">
        <v>453</v>
      </c>
      <c r="I3986">
        <v>20</v>
      </c>
      <c r="J3986">
        <v>0</v>
      </c>
      <c r="K3986" s="1">
        <v>1180547</v>
      </c>
    </row>
    <row r="3987" spans="1:11" x14ac:dyDescent="0.25">
      <c r="A3987" t="s">
        <v>326</v>
      </c>
      <c r="B3987" t="s">
        <v>823</v>
      </c>
      <c r="C3987" t="s">
        <v>868</v>
      </c>
      <c r="D3987" t="s">
        <v>14</v>
      </c>
      <c r="E3987">
        <v>3</v>
      </c>
      <c r="F3987" s="2">
        <f>DATE(2026,IF(Tabla1[[#This Row],[Mes de Fecha]]="Septiembre",9,10),Tabla1[[#This Row],[Día de Fecha]])</f>
        <v>46298</v>
      </c>
      <c r="G3987">
        <v>1007145358</v>
      </c>
      <c r="H3987" t="s">
        <v>443</v>
      </c>
      <c r="I3987">
        <v>-1</v>
      </c>
      <c r="J3987">
        <v>0</v>
      </c>
      <c r="K3987" s="1">
        <v>-50378</v>
      </c>
    </row>
    <row r="3988" spans="1:11" x14ac:dyDescent="0.25">
      <c r="A3988" t="s">
        <v>326</v>
      </c>
      <c r="B3988" t="s">
        <v>823</v>
      </c>
      <c r="C3988" t="s">
        <v>868</v>
      </c>
      <c r="D3988" t="s">
        <v>14</v>
      </c>
      <c r="E3988">
        <v>3</v>
      </c>
      <c r="F3988" s="2">
        <f>DATE(2026,IF(Tabla1[[#This Row],[Mes de Fecha]]="Septiembre",9,10),Tabla1[[#This Row],[Día de Fecha]])</f>
        <v>46298</v>
      </c>
      <c r="G3988">
        <v>1059234731</v>
      </c>
      <c r="H3988" t="s">
        <v>451</v>
      </c>
      <c r="I3988">
        <v>25</v>
      </c>
      <c r="J3988">
        <v>0</v>
      </c>
      <c r="K3988" s="1">
        <v>1544383</v>
      </c>
    </row>
    <row r="3989" spans="1:11" x14ac:dyDescent="0.25">
      <c r="A3989" t="s">
        <v>326</v>
      </c>
      <c r="B3989" t="s">
        <v>823</v>
      </c>
      <c r="C3989" t="s">
        <v>868</v>
      </c>
      <c r="D3989" t="s">
        <v>14</v>
      </c>
      <c r="E3989">
        <v>3</v>
      </c>
      <c r="F3989" s="2">
        <f>DATE(2026,IF(Tabla1[[#This Row],[Mes de Fecha]]="Septiembre",9,10),Tabla1[[#This Row],[Día de Fecha]])</f>
        <v>46298</v>
      </c>
      <c r="G3989">
        <v>1061770250</v>
      </c>
      <c r="H3989" t="s">
        <v>449</v>
      </c>
      <c r="I3989">
        <v>64</v>
      </c>
      <c r="J3989">
        <v>0</v>
      </c>
      <c r="K3989" s="1">
        <v>3627460</v>
      </c>
    </row>
    <row r="3990" spans="1:11" x14ac:dyDescent="0.25">
      <c r="A3990" t="s">
        <v>326</v>
      </c>
      <c r="B3990" t="s">
        <v>823</v>
      </c>
      <c r="C3990" t="s">
        <v>868</v>
      </c>
      <c r="D3990" t="s">
        <v>14</v>
      </c>
      <c r="E3990">
        <v>3</v>
      </c>
      <c r="F3990" s="2">
        <f>DATE(2026,IF(Tabla1[[#This Row],[Mes de Fecha]]="Septiembre",9,10),Tabla1[[#This Row],[Día de Fecha]])</f>
        <v>46298</v>
      </c>
      <c r="G3990">
        <v>1061773714</v>
      </c>
      <c r="H3990" t="s">
        <v>450</v>
      </c>
      <c r="I3990">
        <v>93</v>
      </c>
      <c r="J3990">
        <v>0</v>
      </c>
      <c r="K3990" s="1">
        <v>5043870</v>
      </c>
    </row>
    <row r="3991" spans="1:11" x14ac:dyDescent="0.25">
      <c r="A3991" t="s">
        <v>326</v>
      </c>
      <c r="B3991" t="s">
        <v>823</v>
      </c>
      <c r="C3991" t="s">
        <v>868</v>
      </c>
      <c r="D3991" t="s">
        <v>14</v>
      </c>
      <c r="E3991">
        <v>3</v>
      </c>
      <c r="F3991" s="2">
        <f>DATE(2026,IF(Tabla1[[#This Row],[Mes de Fecha]]="Septiembre",9,10),Tabla1[[#This Row],[Día de Fecha]])</f>
        <v>46298</v>
      </c>
      <c r="G3991">
        <v>1083906980</v>
      </c>
      <c r="H3991" t="s">
        <v>445</v>
      </c>
      <c r="I3991">
        <v>-1</v>
      </c>
      <c r="J3991">
        <v>0</v>
      </c>
      <c r="K3991" s="1">
        <v>-83992</v>
      </c>
    </row>
    <row r="3992" spans="1:11" x14ac:dyDescent="0.25">
      <c r="A3992" t="s">
        <v>326</v>
      </c>
      <c r="B3992" t="s">
        <v>823</v>
      </c>
      <c r="C3992" t="s">
        <v>868</v>
      </c>
      <c r="D3992" t="s">
        <v>14</v>
      </c>
      <c r="E3992">
        <v>4</v>
      </c>
      <c r="F3992" s="2">
        <f>DATE(2026,IF(Tabla1[[#This Row],[Mes de Fecha]]="Septiembre",9,10),Tabla1[[#This Row],[Día de Fecha]])</f>
        <v>46299</v>
      </c>
      <c r="I3992">
        <v>0</v>
      </c>
      <c r="J3992" s="1">
        <v>5110705</v>
      </c>
      <c r="K3992">
        <v>0</v>
      </c>
    </row>
    <row r="3993" spans="1:11" x14ac:dyDescent="0.25">
      <c r="A3993" t="s">
        <v>326</v>
      </c>
      <c r="B3993" t="s">
        <v>823</v>
      </c>
      <c r="C3993" t="s">
        <v>868</v>
      </c>
      <c r="D3993" t="s">
        <v>14</v>
      </c>
      <c r="E3993">
        <v>4</v>
      </c>
      <c r="F3993" s="2">
        <f>DATE(2026,IF(Tabla1[[#This Row],[Mes de Fecha]]="Septiembre",9,10),Tabla1[[#This Row],[Día de Fecha]])</f>
        <v>46299</v>
      </c>
      <c r="G3993">
        <v>34319130</v>
      </c>
      <c r="H3993" t="s">
        <v>452</v>
      </c>
      <c r="I3993">
        <v>-1</v>
      </c>
      <c r="J3993">
        <v>0</v>
      </c>
      <c r="K3993" s="1">
        <v>-67185</v>
      </c>
    </row>
    <row r="3994" spans="1:11" x14ac:dyDescent="0.25">
      <c r="A3994" t="s">
        <v>326</v>
      </c>
      <c r="B3994" t="s">
        <v>823</v>
      </c>
      <c r="C3994" t="s">
        <v>868</v>
      </c>
      <c r="D3994" t="s">
        <v>14</v>
      </c>
      <c r="E3994">
        <v>4</v>
      </c>
      <c r="F3994" s="2">
        <f>DATE(2026,IF(Tabla1[[#This Row],[Mes de Fecha]]="Septiembre",9,10),Tabla1[[#This Row],[Día de Fecha]])</f>
        <v>46299</v>
      </c>
      <c r="G3994">
        <v>1002960105</v>
      </c>
      <c r="H3994" t="s">
        <v>439</v>
      </c>
      <c r="I3994">
        <v>-1</v>
      </c>
      <c r="J3994">
        <v>0</v>
      </c>
      <c r="K3994" s="1">
        <v>-33529</v>
      </c>
    </row>
    <row r="3995" spans="1:11" x14ac:dyDescent="0.25">
      <c r="A3995" t="s">
        <v>326</v>
      </c>
      <c r="B3995" t="s">
        <v>823</v>
      </c>
      <c r="C3995" t="s">
        <v>868</v>
      </c>
      <c r="D3995" t="s">
        <v>14</v>
      </c>
      <c r="E3995">
        <v>4</v>
      </c>
      <c r="F3995" s="2">
        <f>DATE(2026,IF(Tabla1[[#This Row],[Mes de Fecha]]="Septiembre",9,10),Tabla1[[#This Row],[Día de Fecha]])</f>
        <v>46299</v>
      </c>
      <c r="G3995">
        <v>1002970518</v>
      </c>
      <c r="H3995" t="s">
        <v>453</v>
      </c>
      <c r="I3995">
        <v>4</v>
      </c>
      <c r="J3995">
        <v>0</v>
      </c>
      <c r="K3995" s="1">
        <v>172101</v>
      </c>
    </row>
    <row r="3996" spans="1:11" x14ac:dyDescent="0.25">
      <c r="A3996" t="s">
        <v>326</v>
      </c>
      <c r="B3996" t="s">
        <v>823</v>
      </c>
      <c r="C3996" t="s">
        <v>868</v>
      </c>
      <c r="D3996" t="s">
        <v>14</v>
      </c>
      <c r="E3996">
        <v>4</v>
      </c>
      <c r="F3996" s="2">
        <f>DATE(2026,IF(Tabla1[[#This Row],[Mes de Fecha]]="Septiembre",9,10),Tabla1[[#This Row],[Día de Fecha]])</f>
        <v>46299</v>
      </c>
      <c r="G3996">
        <v>1059234731</v>
      </c>
      <c r="H3996" t="s">
        <v>451</v>
      </c>
      <c r="I3996">
        <v>-4</v>
      </c>
      <c r="J3996">
        <v>0</v>
      </c>
      <c r="K3996" s="1">
        <v>-222521</v>
      </c>
    </row>
    <row r="3997" spans="1:11" x14ac:dyDescent="0.25">
      <c r="A3997" t="s">
        <v>326</v>
      </c>
      <c r="B3997" t="s">
        <v>823</v>
      </c>
      <c r="C3997" t="s">
        <v>868</v>
      </c>
      <c r="D3997" t="s">
        <v>14</v>
      </c>
      <c r="E3997">
        <v>4</v>
      </c>
      <c r="F3997" s="2">
        <f>DATE(2026,IF(Tabla1[[#This Row],[Mes de Fecha]]="Septiembre",9,10),Tabla1[[#This Row],[Día de Fecha]])</f>
        <v>46299</v>
      </c>
      <c r="G3997">
        <v>1061770250</v>
      </c>
      <c r="H3997" t="s">
        <v>449</v>
      </c>
      <c r="I3997">
        <v>16</v>
      </c>
      <c r="J3997">
        <v>0</v>
      </c>
      <c r="K3997" s="1">
        <v>820672</v>
      </c>
    </row>
    <row r="3998" spans="1:11" x14ac:dyDescent="0.25">
      <c r="A3998" t="s">
        <v>326</v>
      </c>
      <c r="B3998" t="s">
        <v>823</v>
      </c>
      <c r="C3998" t="s">
        <v>868</v>
      </c>
      <c r="D3998" t="s">
        <v>14</v>
      </c>
      <c r="E3998">
        <v>4</v>
      </c>
      <c r="F3998" s="2">
        <f>DATE(2026,IF(Tabla1[[#This Row],[Mes de Fecha]]="Septiembre",9,10),Tabla1[[#This Row],[Día de Fecha]])</f>
        <v>46299</v>
      </c>
      <c r="G3998">
        <v>1061773714</v>
      </c>
      <c r="H3998" t="s">
        <v>450</v>
      </c>
      <c r="I3998">
        <v>37</v>
      </c>
      <c r="J3998">
        <v>0</v>
      </c>
      <c r="K3998" s="1">
        <v>2515125</v>
      </c>
    </row>
    <row r="3999" spans="1:11" x14ac:dyDescent="0.25">
      <c r="A3999" t="s">
        <v>326</v>
      </c>
      <c r="B3999" t="s">
        <v>823</v>
      </c>
      <c r="C3999" t="s">
        <v>868</v>
      </c>
      <c r="D3999" t="s">
        <v>14</v>
      </c>
      <c r="E3999">
        <v>5</v>
      </c>
      <c r="F3999" s="2">
        <f>DATE(2026,IF(Tabla1[[#This Row],[Mes de Fecha]]="Septiembre",9,10),Tabla1[[#This Row],[Día de Fecha]])</f>
        <v>46300</v>
      </c>
      <c r="I3999">
        <v>0</v>
      </c>
      <c r="J3999" s="1">
        <v>10007400</v>
      </c>
      <c r="K3999">
        <v>0</v>
      </c>
    </row>
    <row r="4000" spans="1:11" x14ac:dyDescent="0.25">
      <c r="A4000" t="s">
        <v>326</v>
      </c>
      <c r="B4000" t="s">
        <v>823</v>
      </c>
      <c r="C4000" t="s">
        <v>868</v>
      </c>
      <c r="D4000" t="s">
        <v>14</v>
      </c>
      <c r="E4000">
        <v>5</v>
      </c>
      <c r="F4000" s="2">
        <f>DATE(2026,IF(Tabla1[[#This Row],[Mes de Fecha]]="Septiembre",9,10),Tabla1[[#This Row],[Día de Fecha]])</f>
        <v>46300</v>
      </c>
      <c r="G4000">
        <v>1002957897</v>
      </c>
      <c r="H4000" t="s">
        <v>436</v>
      </c>
      <c r="I4000">
        <v>-1</v>
      </c>
      <c r="J4000">
        <v>0</v>
      </c>
      <c r="K4000" s="1">
        <v>-54580</v>
      </c>
    </row>
    <row r="4001" spans="1:11" x14ac:dyDescent="0.25">
      <c r="A4001" t="s">
        <v>326</v>
      </c>
      <c r="B4001" t="s">
        <v>823</v>
      </c>
      <c r="C4001" t="s">
        <v>868</v>
      </c>
      <c r="D4001" t="s">
        <v>14</v>
      </c>
      <c r="E4001">
        <v>5</v>
      </c>
      <c r="F4001" s="2">
        <f>DATE(2026,IF(Tabla1[[#This Row],[Mes de Fecha]]="Septiembre",9,10),Tabla1[[#This Row],[Día de Fecha]])</f>
        <v>46300</v>
      </c>
      <c r="G4001">
        <v>1002970518</v>
      </c>
      <c r="H4001" t="s">
        <v>453</v>
      </c>
      <c r="I4001">
        <v>5</v>
      </c>
      <c r="J4001">
        <v>0</v>
      </c>
      <c r="K4001" s="1">
        <v>398949</v>
      </c>
    </row>
    <row r="4002" spans="1:11" x14ac:dyDescent="0.25">
      <c r="A4002" t="s">
        <v>326</v>
      </c>
      <c r="B4002" t="s">
        <v>823</v>
      </c>
      <c r="C4002" t="s">
        <v>868</v>
      </c>
      <c r="D4002" t="s">
        <v>14</v>
      </c>
      <c r="E4002">
        <v>5</v>
      </c>
      <c r="F4002" s="2">
        <f>DATE(2026,IF(Tabla1[[#This Row],[Mes de Fecha]]="Septiembre",9,10),Tabla1[[#This Row],[Día de Fecha]])</f>
        <v>46300</v>
      </c>
      <c r="G4002">
        <v>1059234731</v>
      </c>
      <c r="H4002" t="s">
        <v>451</v>
      </c>
      <c r="I4002">
        <v>7</v>
      </c>
      <c r="J4002">
        <v>0</v>
      </c>
      <c r="K4002" s="1">
        <v>327395</v>
      </c>
    </row>
    <row r="4003" spans="1:11" x14ac:dyDescent="0.25">
      <c r="A4003" t="s">
        <v>326</v>
      </c>
      <c r="B4003" t="s">
        <v>823</v>
      </c>
      <c r="C4003" t="s">
        <v>868</v>
      </c>
      <c r="D4003" t="s">
        <v>14</v>
      </c>
      <c r="E4003">
        <v>5</v>
      </c>
      <c r="F4003" s="2">
        <f>DATE(2026,IF(Tabla1[[#This Row],[Mes de Fecha]]="Septiembre",9,10),Tabla1[[#This Row],[Día de Fecha]])</f>
        <v>46300</v>
      </c>
      <c r="G4003">
        <v>1061770250</v>
      </c>
      <c r="H4003" t="s">
        <v>449</v>
      </c>
      <c r="I4003">
        <v>50</v>
      </c>
      <c r="J4003">
        <v>0</v>
      </c>
      <c r="K4003" s="1">
        <v>2892647</v>
      </c>
    </row>
    <row r="4004" spans="1:11" x14ac:dyDescent="0.25">
      <c r="A4004" t="s">
        <v>326</v>
      </c>
      <c r="B4004" t="s">
        <v>823</v>
      </c>
      <c r="C4004" t="s">
        <v>868</v>
      </c>
      <c r="D4004" t="s">
        <v>14</v>
      </c>
      <c r="E4004">
        <v>5</v>
      </c>
      <c r="F4004" s="2">
        <f>DATE(2026,IF(Tabla1[[#This Row],[Mes de Fecha]]="Septiembre",9,10),Tabla1[[#This Row],[Día de Fecha]])</f>
        <v>46300</v>
      </c>
      <c r="G4004">
        <v>1061773714</v>
      </c>
      <c r="H4004" t="s">
        <v>450</v>
      </c>
      <c r="I4004">
        <v>39</v>
      </c>
      <c r="J4004">
        <v>0</v>
      </c>
      <c r="K4004" s="1">
        <v>2521391</v>
      </c>
    </row>
    <row r="4005" spans="1:11" x14ac:dyDescent="0.25">
      <c r="A4005" t="s">
        <v>326</v>
      </c>
      <c r="B4005" t="s">
        <v>823</v>
      </c>
      <c r="C4005" t="s">
        <v>868</v>
      </c>
      <c r="D4005" t="s">
        <v>14</v>
      </c>
      <c r="E4005">
        <v>5</v>
      </c>
      <c r="F4005" s="2">
        <f>DATE(2026,IF(Tabla1[[#This Row],[Mes de Fecha]]="Septiembre",9,10),Tabla1[[#This Row],[Día de Fecha]])</f>
        <v>46300</v>
      </c>
      <c r="G4005">
        <v>1063816927</v>
      </c>
      <c r="H4005" t="s">
        <v>440</v>
      </c>
      <c r="I4005">
        <v>-1</v>
      </c>
      <c r="J4005">
        <v>0</v>
      </c>
      <c r="K4005" s="1">
        <v>-41975</v>
      </c>
    </row>
    <row r="4006" spans="1:11" x14ac:dyDescent="0.25">
      <c r="A4006" t="s">
        <v>326</v>
      </c>
      <c r="B4006" t="s">
        <v>823</v>
      </c>
      <c r="C4006" t="s">
        <v>868</v>
      </c>
      <c r="D4006" t="s">
        <v>14</v>
      </c>
      <c r="E4006">
        <v>6</v>
      </c>
      <c r="F4006" s="2">
        <f>DATE(2026,IF(Tabla1[[#This Row],[Mes de Fecha]]="Septiembre",9,10),Tabla1[[#This Row],[Día de Fecha]])</f>
        <v>46301</v>
      </c>
      <c r="I4006">
        <v>0</v>
      </c>
      <c r="J4006" s="1">
        <v>6167295</v>
      </c>
      <c r="K4006">
        <v>0</v>
      </c>
    </row>
    <row r="4007" spans="1:11" x14ac:dyDescent="0.25">
      <c r="A4007" t="s">
        <v>326</v>
      </c>
      <c r="B4007" t="s">
        <v>823</v>
      </c>
      <c r="C4007" t="s">
        <v>868</v>
      </c>
      <c r="D4007" t="s">
        <v>14</v>
      </c>
      <c r="E4007">
        <v>6</v>
      </c>
      <c r="F4007" s="2">
        <f>DATE(2026,IF(Tabla1[[#This Row],[Mes de Fecha]]="Septiembre",9,10),Tabla1[[#This Row],[Día de Fecha]])</f>
        <v>46301</v>
      </c>
      <c r="G4007">
        <v>1002970518</v>
      </c>
      <c r="H4007" t="s">
        <v>453</v>
      </c>
      <c r="I4007">
        <v>1</v>
      </c>
      <c r="J4007">
        <v>0</v>
      </c>
      <c r="K4007" s="1">
        <v>54580</v>
      </c>
    </row>
    <row r="4008" spans="1:11" x14ac:dyDescent="0.25">
      <c r="A4008" t="s">
        <v>326</v>
      </c>
      <c r="B4008" t="s">
        <v>823</v>
      </c>
      <c r="C4008" t="s">
        <v>868</v>
      </c>
      <c r="D4008" t="s">
        <v>14</v>
      </c>
      <c r="E4008">
        <v>6</v>
      </c>
      <c r="F4008" s="2">
        <f>DATE(2026,IF(Tabla1[[#This Row],[Mes de Fecha]]="Septiembre",9,10),Tabla1[[#This Row],[Día de Fecha]])</f>
        <v>46301</v>
      </c>
      <c r="G4008">
        <v>1002972668</v>
      </c>
      <c r="H4008" t="s">
        <v>455</v>
      </c>
      <c r="I4008">
        <v>-1</v>
      </c>
      <c r="J4008">
        <v>0</v>
      </c>
      <c r="K4008" s="1">
        <v>-151219</v>
      </c>
    </row>
    <row r="4009" spans="1:11" x14ac:dyDescent="0.25">
      <c r="A4009" t="s">
        <v>326</v>
      </c>
      <c r="B4009" t="s">
        <v>823</v>
      </c>
      <c r="C4009" t="s">
        <v>868</v>
      </c>
      <c r="D4009" t="s">
        <v>14</v>
      </c>
      <c r="E4009">
        <v>6</v>
      </c>
      <c r="F4009" s="2">
        <f>DATE(2026,IF(Tabla1[[#This Row],[Mes de Fecha]]="Septiembre",9,10),Tabla1[[#This Row],[Día de Fecha]])</f>
        <v>46301</v>
      </c>
      <c r="G4009">
        <v>1059234731</v>
      </c>
      <c r="H4009" t="s">
        <v>451</v>
      </c>
      <c r="I4009">
        <v>12</v>
      </c>
      <c r="J4009">
        <v>0</v>
      </c>
      <c r="K4009" s="1">
        <v>961639</v>
      </c>
    </row>
    <row r="4010" spans="1:11" x14ac:dyDescent="0.25">
      <c r="A4010" t="s">
        <v>326</v>
      </c>
      <c r="B4010" t="s">
        <v>823</v>
      </c>
      <c r="C4010" t="s">
        <v>868</v>
      </c>
      <c r="D4010" t="s">
        <v>14</v>
      </c>
      <c r="E4010">
        <v>6</v>
      </c>
      <c r="F4010" s="2">
        <f>DATE(2026,IF(Tabla1[[#This Row],[Mes de Fecha]]="Septiembre",9,10),Tabla1[[#This Row],[Día de Fecha]])</f>
        <v>46301</v>
      </c>
      <c r="G4010">
        <v>1061770250</v>
      </c>
      <c r="H4010" t="s">
        <v>449</v>
      </c>
      <c r="I4010">
        <v>14</v>
      </c>
      <c r="J4010">
        <v>0</v>
      </c>
      <c r="K4010" s="1">
        <v>894412</v>
      </c>
    </row>
    <row r="4011" spans="1:11" x14ac:dyDescent="0.25">
      <c r="A4011" t="s">
        <v>326</v>
      </c>
      <c r="B4011" t="s">
        <v>823</v>
      </c>
      <c r="C4011" t="s">
        <v>868</v>
      </c>
      <c r="D4011" t="s">
        <v>14</v>
      </c>
      <c r="E4011">
        <v>6</v>
      </c>
      <c r="F4011" s="2">
        <f>DATE(2026,IF(Tabla1[[#This Row],[Mes de Fecha]]="Septiembre",9,10),Tabla1[[#This Row],[Día de Fecha]])</f>
        <v>46301</v>
      </c>
      <c r="G4011">
        <v>1061773714</v>
      </c>
      <c r="H4011" t="s">
        <v>450</v>
      </c>
      <c r="I4011">
        <v>29</v>
      </c>
      <c r="J4011">
        <v>0</v>
      </c>
      <c r="K4011" s="1">
        <v>1813782</v>
      </c>
    </row>
    <row r="4012" spans="1:11" x14ac:dyDescent="0.25">
      <c r="A4012" t="s">
        <v>326</v>
      </c>
      <c r="B4012" t="s">
        <v>823</v>
      </c>
      <c r="C4012" t="s">
        <v>868</v>
      </c>
      <c r="D4012" t="s">
        <v>14</v>
      </c>
      <c r="E4012">
        <v>7</v>
      </c>
      <c r="F4012" s="2">
        <f>DATE(2026,IF(Tabla1[[#This Row],[Mes de Fecha]]="Septiembre",9,10),Tabla1[[#This Row],[Día de Fecha]])</f>
        <v>46302</v>
      </c>
      <c r="I4012">
        <v>0</v>
      </c>
      <c r="J4012" s="1">
        <v>6086146</v>
      </c>
      <c r="K4012">
        <v>0</v>
      </c>
    </row>
    <row r="4013" spans="1:11" x14ac:dyDescent="0.25">
      <c r="A4013" t="s">
        <v>326</v>
      </c>
      <c r="B4013" t="s">
        <v>823</v>
      </c>
      <c r="C4013" t="s">
        <v>868</v>
      </c>
      <c r="D4013" t="s">
        <v>14</v>
      </c>
      <c r="E4013">
        <v>7</v>
      </c>
      <c r="F4013" s="2">
        <f>DATE(2026,IF(Tabla1[[#This Row],[Mes de Fecha]]="Septiembre",9,10),Tabla1[[#This Row],[Día de Fecha]])</f>
        <v>46302</v>
      </c>
      <c r="G4013">
        <v>1002970518</v>
      </c>
      <c r="H4013" t="s">
        <v>453</v>
      </c>
      <c r="I4013">
        <v>17</v>
      </c>
      <c r="J4013">
        <v>0</v>
      </c>
      <c r="K4013" s="1">
        <v>923571</v>
      </c>
    </row>
    <row r="4014" spans="1:11" x14ac:dyDescent="0.25">
      <c r="A4014" t="s">
        <v>326</v>
      </c>
      <c r="B4014" t="s">
        <v>823</v>
      </c>
      <c r="C4014" t="s">
        <v>868</v>
      </c>
      <c r="D4014" t="s">
        <v>14</v>
      </c>
      <c r="E4014">
        <v>7</v>
      </c>
      <c r="F4014" s="2">
        <f>DATE(2026,IF(Tabla1[[#This Row],[Mes de Fecha]]="Septiembre",9,10),Tabla1[[#This Row],[Día de Fecha]])</f>
        <v>46302</v>
      </c>
      <c r="G4014">
        <v>1059234731</v>
      </c>
      <c r="H4014" t="s">
        <v>451</v>
      </c>
      <c r="I4014">
        <v>27</v>
      </c>
      <c r="J4014">
        <v>0</v>
      </c>
      <c r="K4014" s="1">
        <v>1599622</v>
      </c>
    </row>
    <row r="4015" spans="1:11" x14ac:dyDescent="0.25">
      <c r="A4015" t="s">
        <v>326</v>
      </c>
      <c r="B4015" t="s">
        <v>823</v>
      </c>
      <c r="C4015" t="s">
        <v>868</v>
      </c>
      <c r="D4015" t="s">
        <v>14</v>
      </c>
      <c r="E4015">
        <v>7</v>
      </c>
      <c r="F4015" s="2">
        <f>DATE(2026,IF(Tabla1[[#This Row],[Mes de Fecha]]="Septiembre",9,10),Tabla1[[#This Row],[Día de Fecha]])</f>
        <v>46302</v>
      </c>
      <c r="G4015">
        <v>1061770250</v>
      </c>
      <c r="H4015" t="s">
        <v>449</v>
      </c>
      <c r="I4015">
        <v>0</v>
      </c>
      <c r="J4015">
        <v>0</v>
      </c>
      <c r="K4015" s="1">
        <v>10461</v>
      </c>
    </row>
    <row r="4016" spans="1:11" x14ac:dyDescent="0.25">
      <c r="A4016" t="s">
        <v>326</v>
      </c>
      <c r="B4016" t="s">
        <v>823</v>
      </c>
      <c r="C4016" t="s">
        <v>868</v>
      </c>
      <c r="D4016" t="s">
        <v>14</v>
      </c>
      <c r="E4016">
        <v>7</v>
      </c>
      <c r="F4016" s="2">
        <f>DATE(2026,IF(Tabla1[[#This Row],[Mes de Fecha]]="Septiembre",9,10),Tabla1[[#This Row],[Día de Fecha]])</f>
        <v>46302</v>
      </c>
      <c r="G4016">
        <v>1061773714</v>
      </c>
      <c r="H4016" t="s">
        <v>450</v>
      </c>
      <c r="I4016">
        <v>42</v>
      </c>
      <c r="J4016">
        <v>0</v>
      </c>
      <c r="K4016" s="1">
        <v>2661892</v>
      </c>
    </row>
    <row r="4017" spans="1:11" x14ac:dyDescent="0.25">
      <c r="A4017" t="s">
        <v>326</v>
      </c>
      <c r="B4017" t="s">
        <v>823</v>
      </c>
      <c r="C4017" t="s">
        <v>868</v>
      </c>
      <c r="D4017" t="s">
        <v>14</v>
      </c>
      <c r="E4017">
        <v>7</v>
      </c>
      <c r="F4017" s="2">
        <f>DATE(2026,IF(Tabla1[[#This Row],[Mes de Fecha]]="Septiembre",9,10),Tabla1[[#This Row],[Día de Fecha]])</f>
        <v>46302</v>
      </c>
      <c r="G4017">
        <v>1083906980</v>
      </c>
      <c r="H4017" t="s">
        <v>445</v>
      </c>
      <c r="I4017">
        <v>-1</v>
      </c>
      <c r="J4017">
        <v>0</v>
      </c>
      <c r="K4017" s="1">
        <v>-25126</v>
      </c>
    </row>
    <row r="4018" spans="1:11" x14ac:dyDescent="0.25">
      <c r="A4018" t="s">
        <v>9</v>
      </c>
      <c r="B4018" t="s">
        <v>150</v>
      </c>
      <c r="C4018" t="s">
        <v>869</v>
      </c>
      <c r="D4018" t="s">
        <v>11</v>
      </c>
      <c r="E4018">
        <v>23</v>
      </c>
      <c r="F4018" s="2">
        <f>DATE(2026,IF(Tabla1[[#This Row],[Mes de Fecha]]="Septiembre",9,10),Tabla1[[#This Row],[Día de Fecha]])</f>
        <v>46288</v>
      </c>
      <c r="I4018">
        <v>0</v>
      </c>
      <c r="J4018" s="1">
        <v>2085196</v>
      </c>
      <c r="K4018">
        <v>0</v>
      </c>
    </row>
    <row r="4019" spans="1:11" x14ac:dyDescent="0.25">
      <c r="A4019" t="s">
        <v>9</v>
      </c>
      <c r="B4019" t="s">
        <v>150</v>
      </c>
      <c r="C4019" t="s">
        <v>869</v>
      </c>
      <c r="D4019" t="s">
        <v>11</v>
      </c>
      <c r="E4019">
        <v>23</v>
      </c>
      <c r="F4019" s="2">
        <f>DATE(2026,IF(Tabla1[[#This Row],[Mes de Fecha]]="Septiembre",9,10),Tabla1[[#This Row],[Día de Fecha]])</f>
        <v>46288</v>
      </c>
      <c r="G4019">
        <v>1006555973</v>
      </c>
      <c r="H4019" t="s">
        <v>151</v>
      </c>
      <c r="I4019">
        <v>45</v>
      </c>
      <c r="J4019">
        <v>0</v>
      </c>
      <c r="K4019" s="1">
        <v>2080044</v>
      </c>
    </row>
    <row r="4020" spans="1:11" x14ac:dyDescent="0.25">
      <c r="A4020" t="s">
        <v>9</v>
      </c>
      <c r="B4020" t="s">
        <v>150</v>
      </c>
      <c r="C4020" t="s">
        <v>869</v>
      </c>
      <c r="D4020" t="s">
        <v>11</v>
      </c>
      <c r="E4020">
        <v>23</v>
      </c>
      <c r="F4020" s="2">
        <f>DATE(2026,IF(Tabla1[[#This Row],[Mes de Fecha]]="Septiembre",9,10),Tabla1[[#This Row],[Día de Fecha]])</f>
        <v>46288</v>
      </c>
      <c r="G4020">
        <v>1120372422</v>
      </c>
      <c r="H4020" t="s">
        <v>152</v>
      </c>
      <c r="I4020">
        <v>26</v>
      </c>
      <c r="J4020">
        <v>0</v>
      </c>
      <c r="K4020" s="1">
        <v>1528364</v>
      </c>
    </row>
    <row r="4021" spans="1:11" x14ac:dyDescent="0.25">
      <c r="A4021" t="s">
        <v>9</v>
      </c>
      <c r="B4021" t="s">
        <v>150</v>
      </c>
      <c r="C4021" t="s">
        <v>869</v>
      </c>
      <c r="D4021" t="s">
        <v>11</v>
      </c>
      <c r="E4021">
        <v>24</v>
      </c>
      <c r="F4021" s="2">
        <f>DATE(2026,IF(Tabla1[[#This Row],[Mes de Fecha]]="Septiembre",9,10),Tabla1[[#This Row],[Día de Fecha]])</f>
        <v>46289</v>
      </c>
      <c r="I4021">
        <v>0</v>
      </c>
      <c r="J4021" s="1">
        <v>5392717</v>
      </c>
      <c r="K4021">
        <v>0</v>
      </c>
    </row>
    <row r="4022" spans="1:11" x14ac:dyDescent="0.25">
      <c r="A4022" t="s">
        <v>9</v>
      </c>
      <c r="B4022" t="s">
        <v>150</v>
      </c>
      <c r="C4022" t="s">
        <v>869</v>
      </c>
      <c r="D4022" t="s">
        <v>11</v>
      </c>
      <c r="E4022">
        <v>24</v>
      </c>
      <c r="F4022" s="2">
        <f>DATE(2026,IF(Tabla1[[#This Row],[Mes de Fecha]]="Septiembre",9,10),Tabla1[[#This Row],[Día de Fecha]])</f>
        <v>46289</v>
      </c>
      <c r="G4022">
        <v>1006555973</v>
      </c>
      <c r="H4022" t="s">
        <v>151</v>
      </c>
      <c r="I4022">
        <v>90</v>
      </c>
      <c r="J4022">
        <v>0</v>
      </c>
      <c r="K4022" s="1">
        <v>4552950</v>
      </c>
    </row>
    <row r="4023" spans="1:11" x14ac:dyDescent="0.25">
      <c r="A4023" t="s">
        <v>9</v>
      </c>
      <c r="B4023" t="s">
        <v>150</v>
      </c>
      <c r="C4023" t="s">
        <v>869</v>
      </c>
      <c r="D4023" t="s">
        <v>11</v>
      </c>
      <c r="E4023">
        <v>24</v>
      </c>
      <c r="F4023" s="2">
        <f>DATE(2026,IF(Tabla1[[#This Row],[Mes de Fecha]]="Septiembre",9,10),Tabla1[[#This Row],[Día de Fecha]])</f>
        <v>46289</v>
      </c>
      <c r="G4023">
        <v>1120372422</v>
      </c>
      <c r="H4023" t="s">
        <v>152</v>
      </c>
      <c r="I4023">
        <v>10</v>
      </c>
      <c r="J4023">
        <v>0</v>
      </c>
      <c r="K4023" s="1">
        <v>564706</v>
      </c>
    </row>
    <row r="4024" spans="1:11" x14ac:dyDescent="0.25">
      <c r="A4024" t="s">
        <v>9</v>
      </c>
      <c r="B4024" t="s">
        <v>150</v>
      </c>
      <c r="C4024" t="s">
        <v>869</v>
      </c>
      <c r="D4024" t="s">
        <v>11</v>
      </c>
      <c r="E4024">
        <v>25</v>
      </c>
      <c r="F4024" s="2">
        <f>DATE(2026,IF(Tabla1[[#This Row],[Mes de Fecha]]="Septiembre",9,10),Tabla1[[#This Row],[Día de Fecha]])</f>
        <v>46290</v>
      </c>
      <c r="I4024">
        <v>0</v>
      </c>
      <c r="J4024" s="1">
        <v>5759719</v>
      </c>
      <c r="K4024">
        <v>0</v>
      </c>
    </row>
    <row r="4025" spans="1:11" x14ac:dyDescent="0.25">
      <c r="A4025" t="s">
        <v>9</v>
      </c>
      <c r="B4025" t="s">
        <v>150</v>
      </c>
      <c r="C4025" t="s">
        <v>869</v>
      </c>
      <c r="D4025" t="s">
        <v>11</v>
      </c>
      <c r="E4025">
        <v>25</v>
      </c>
      <c r="F4025" s="2">
        <f>DATE(2026,IF(Tabla1[[#This Row],[Mes de Fecha]]="Septiembre",9,10),Tabla1[[#This Row],[Día de Fecha]])</f>
        <v>46290</v>
      </c>
      <c r="G4025">
        <v>1006555973</v>
      </c>
      <c r="H4025" t="s">
        <v>151</v>
      </c>
      <c r="I4025">
        <v>41</v>
      </c>
      <c r="J4025">
        <v>0</v>
      </c>
      <c r="K4025" s="1">
        <v>2269290</v>
      </c>
    </row>
    <row r="4026" spans="1:11" x14ac:dyDescent="0.25">
      <c r="A4026" t="s">
        <v>9</v>
      </c>
      <c r="B4026" t="s">
        <v>150</v>
      </c>
      <c r="C4026" t="s">
        <v>869</v>
      </c>
      <c r="D4026" t="s">
        <v>11</v>
      </c>
      <c r="E4026">
        <v>25</v>
      </c>
      <c r="F4026" s="2">
        <f>DATE(2026,IF(Tabla1[[#This Row],[Mes de Fecha]]="Septiembre",9,10),Tabla1[[#This Row],[Día de Fecha]])</f>
        <v>46290</v>
      </c>
      <c r="G4026">
        <v>1120372422</v>
      </c>
      <c r="H4026" t="s">
        <v>152</v>
      </c>
      <c r="I4026">
        <v>23</v>
      </c>
      <c r="J4026">
        <v>0</v>
      </c>
      <c r="K4026" s="1">
        <v>1230130</v>
      </c>
    </row>
    <row r="4027" spans="1:11" x14ac:dyDescent="0.25">
      <c r="A4027" t="s">
        <v>9</v>
      </c>
      <c r="B4027" t="s">
        <v>150</v>
      </c>
      <c r="C4027" t="s">
        <v>869</v>
      </c>
      <c r="D4027" t="s">
        <v>11</v>
      </c>
      <c r="E4027">
        <v>26</v>
      </c>
      <c r="F4027" s="2">
        <f>DATE(2026,IF(Tabla1[[#This Row],[Mes de Fecha]]="Septiembre",9,10),Tabla1[[#This Row],[Día de Fecha]])</f>
        <v>46291</v>
      </c>
      <c r="I4027">
        <v>0</v>
      </c>
      <c r="J4027" s="1">
        <v>7262862</v>
      </c>
      <c r="K4027">
        <v>0</v>
      </c>
    </row>
    <row r="4028" spans="1:11" x14ac:dyDescent="0.25">
      <c r="A4028" t="s">
        <v>9</v>
      </c>
      <c r="B4028" t="s">
        <v>150</v>
      </c>
      <c r="C4028" t="s">
        <v>869</v>
      </c>
      <c r="D4028" t="s">
        <v>11</v>
      </c>
      <c r="E4028">
        <v>26</v>
      </c>
      <c r="F4028" s="2">
        <f>DATE(2026,IF(Tabla1[[#This Row],[Mes de Fecha]]="Septiembre",9,10),Tabla1[[#This Row],[Día de Fecha]])</f>
        <v>46291</v>
      </c>
      <c r="G4028">
        <v>1006555973</v>
      </c>
      <c r="H4028" t="s">
        <v>151</v>
      </c>
      <c r="I4028">
        <v>77</v>
      </c>
      <c r="J4028">
        <v>0</v>
      </c>
      <c r="K4028" s="1">
        <v>4345511</v>
      </c>
    </row>
    <row r="4029" spans="1:11" x14ac:dyDescent="0.25">
      <c r="A4029" t="s">
        <v>9</v>
      </c>
      <c r="B4029" t="s">
        <v>150</v>
      </c>
      <c r="C4029" t="s">
        <v>869</v>
      </c>
      <c r="D4029" t="s">
        <v>11</v>
      </c>
      <c r="E4029">
        <v>26</v>
      </c>
      <c r="F4029" s="2">
        <f>DATE(2026,IF(Tabla1[[#This Row],[Mes de Fecha]]="Septiembre",9,10),Tabla1[[#This Row],[Día de Fecha]])</f>
        <v>46291</v>
      </c>
      <c r="G4029">
        <v>1120372422</v>
      </c>
      <c r="H4029" t="s">
        <v>152</v>
      </c>
      <c r="I4029">
        <v>43</v>
      </c>
      <c r="J4029">
        <v>0</v>
      </c>
      <c r="K4029" s="1">
        <v>2615803</v>
      </c>
    </row>
    <row r="4030" spans="1:11" x14ac:dyDescent="0.25">
      <c r="A4030" t="s">
        <v>9</v>
      </c>
      <c r="B4030" t="s">
        <v>150</v>
      </c>
      <c r="C4030" t="s">
        <v>869</v>
      </c>
      <c r="D4030" t="s">
        <v>11</v>
      </c>
      <c r="E4030">
        <v>27</v>
      </c>
      <c r="F4030" s="2">
        <f>DATE(2026,IF(Tabla1[[#This Row],[Mes de Fecha]]="Septiembre",9,10),Tabla1[[#This Row],[Día de Fecha]])</f>
        <v>46292</v>
      </c>
      <c r="I4030">
        <v>0</v>
      </c>
      <c r="J4030" s="1">
        <v>3834720</v>
      </c>
      <c r="K4030">
        <v>0</v>
      </c>
    </row>
    <row r="4031" spans="1:11" x14ac:dyDescent="0.25">
      <c r="A4031" t="s">
        <v>9</v>
      </c>
      <c r="B4031" t="s">
        <v>150</v>
      </c>
      <c r="C4031" t="s">
        <v>869</v>
      </c>
      <c r="D4031" t="s">
        <v>11</v>
      </c>
      <c r="E4031">
        <v>27</v>
      </c>
      <c r="F4031" s="2">
        <f>DATE(2026,IF(Tabla1[[#This Row],[Mes de Fecha]]="Septiembre",9,10),Tabla1[[#This Row],[Día de Fecha]])</f>
        <v>46292</v>
      </c>
      <c r="G4031">
        <v>1006555973</v>
      </c>
      <c r="H4031" t="s">
        <v>151</v>
      </c>
      <c r="I4031">
        <v>38</v>
      </c>
      <c r="J4031">
        <v>0</v>
      </c>
      <c r="K4031" s="1">
        <v>1733236</v>
      </c>
    </row>
    <row r="4032" spans="1:11" x14ac:dyDescent="0.25">
      <c r="A4032" t="s">
        <v>9</v>
      </c>
      <c r="B4032" t="s">
        <v>150</v>
      </c>
      <c r="C4032" t="s">
        <v>869</v>
      </c>
      <c r="D4032" t="s">
        <v>11</v>
      </c>
      <c r="E4032">
        <v>27</v>
      </c>
      <c r="F4032" s="2">
        <f>DATE(2026,IF(Tabla1[[#This Row],[Mes de Fecha]]="Septiembre",9,10),Tabla1[[#This Row],[Día de Fecha]])</f>
        <v>46292</v>
      </c>
      <c r="G4032">
        <v>1120372422</v>
      </c>
      <c r="H4032" t="s">
        <v>152</v>
      </c>
      <c r="I4032">
        <v>36</v>
      </c>
      <c r="J4032">
        <v>0</v>
      </c>
      <c r="K4032" s="1">
        <v>1867903</v>
      </c>
    </row>
    <row r="4033" spans="1:11" x14ac:dyDescent="0.25">
      <c r="A4033" t="s">
        <v>9</v>
      </c>
      <c r="B4033" t="s">
        <v>150</v>
      </c>
      <c r="C4033" t="s">
        <v>869</v>
      </c>
      <c r="D4033" t="s">
        <v>11</v>
      </c>
      <c r="E4033">
        <v>28</v>
      </c>
      <c r="F4033" s="2">
        <f>DATE(2026,IF(Tabla1[[#This Row],[Mes de Fecha]]="Septiembre",9,10),Tabla1[[#This Row],[Día de Fecha]])</f>
        <v>46293</v>
      </c>
      <c r="I4033">
        <v>0</v>
      </c>
      <c r="J4033" s="1">
        <v>3144053</v>
      </c>
      <c r="K4033">
        <v>0</v>
      </c>
    </row>
    <row r="4034" spans="1:11" x14ac:dyDescent="0.25">
      <c r="A4034" t="s">
        <v>9</v>
      </c>
      <c r="B4034" t="s">
        <v>150</v>
      </c>
      <c r="C4034" t="s">
        <v>869</v>
      </c>
      <c r="D4034" t="s">
        <v>11</v>
      </c>
      <c r="E4034">
        <v>28</v>
      </c>
      <c r="F4034" s="2">
        <f>DATE(2026,IF(Tabla1[[#This Row],[Mes de Fecha]]="Septiembre",9,10),Tabla1[[#This Row],[Día de Fecha]])</f>
        <v>46293</v>
      </c>
      <c r="G4034">
        <v>1006555973</v>
      </c>
      <c r="H4034" t="s">
        <v>151</v>
      </c>
      <c r="I4034">
        <v>18</v>
      </c>
      <c r="J4034">
        <v>0</v>
      </c>
      <c r="K4034" s="1">
        <v>820505</v>
      </c>
    </row>
    <row r="4035" spans="1:11" x14ac:dyDescent="0.25">
      <c r="A4035" t="s">
        <v>9</v>
      </c>
      <c r="B4035" t="s">
        <v>150</v>
      </c>
      <c r="C4035" t="s">
        <v>869</v>
      </c>
      <c r="D4035" t="s">
        <v>11</v>
      </c>
      <c r="E4035">
        <v>28</v>
      </c>
      <c r="F4035" s="2">
        <f>DATE(2026,IF(Tabla1[[#This Row],[Mes de Fecha]]="Septiembre",9,10),Tabla1[[#This Row],[Día de Fecha]])</f>
        <v>46293</v>
      </c>
      <c r="G4035">
        <v>1120372422</v>
      </c>
      <c r="H4035" t="s">
        <v>152</v>
      </c>
      <c r="I4035">
        <v>26</v>
      </c>
      <c r="J4035">
        <v>0</v>
      </c>
      <c r="K4035" s="1">
        <v>1297103</v>
      </c>
    </row>
    <row r="4036" spans="1:11" x14ac:dyDescent="0.25">
      <c r="A4036" t="s">
        <v>9</v>
      </c>
      <c r="B4036" t="s">
        <v>150</v>
      </c>
      <c r="C4036" t="s">
        <v>869</v>
      </c>
      <c r="D4036" t="s">
        <v>11</v>
      </c>
      <c r="E4036">
        <v>29</v>
      </c>
      <c r="F4036" s="2">
        <f>DATE(2026,IF(Tabla1[[#This Row],[Mes de Fecha]]="Septiembre",9,10),Tabla1[[#This Row],[Día de Fecha]])</f>
        <v>46294</v>
      </c>
      <c r="I4036">
        <v>0</v>
      </c>
      <c r="J4036" s="1">
        <v>3495256</v>
      </c>
      <c r="K4036">
        <v>0</v>
      </c>
    </row>
    <row r="4037" spans="1:11" x14ac:dyDescent="0.25">
      <c r="A4037" t="s">
        <v>9</v>
      </c>
      <c r="B4037" t="s">
        <v>150</v>
      </c>
      <c r="C4037" t="s">
        <v>869</v>
      </c>
      <c r="D4037" t="s">
        <v>11</v>
      </c>
      <c r="E4037">
        <v>29</v>
      </c>
      <c r="F4037" s="2">
        <f>DATE(2026,IF(Tabla1[[#This Row],[Mes de Fecha]]="Septiembre",9,10),Tabla1[[#This Row],[Día de Fecha]])</f>
        <v>46294</v>
      </c>
      <c r="G4037">
        <v>1006555973</v>
      </c>
      <c r="H4037" t="s">
        <v>151</v>
      </c>
      <c r="I4037">
        <v>28</v>
      </c>
      <c r="J4037">
        <v>0</v>
      </c>
      <c r="K4037" s="1">
        <v>1303366</v>
      </c>
    </row>
    <row r="4038" spans="1:11" x14ac:dyDescent="0.25">
      <c r="A4038" t="s">
        <v>9</v>
      </c>
      <c r="B4038" t="s">
        <v>150</v>
      </c>
      <c r="C4038" t="s">
        <v>869</v>
      </c>
      <c r="D4038" t="s">
        <v>11</v>
      </c>
      <c r="E4038">
        <v>29</v>
      </c>
      <c r="F4038" s="2">
        <f>DATE(2026,IF(Tabla1[[#This Row],[Mes de Fecha]]="Septiembre",9,10),Tabla1[[#This Row],[Día de Fecha]])</f>
        <v>46294</v>
      </c>
      <c r="G4038">
        <v>1120372422</v>
      </c>
      <c r="H4038" t="s">
        <v>152</v>
      </c>
      <c r="I4038">
        <v>22</v>
      </c>
      <c r="J4038">
        <v>0</v>
      </c>
      <c r="K4038" s="1">
        <v>1175465</v>
      </c>
    </row>
    <row r="4039" spans="1:11" x14ac:dyDescent="0.25">
      <c r="A4039" t="s">
        <v>9</v>
      </c>
      <c r="B4039" t="s">
        <v>150</v>
      </c>
      <c r="C4039" t="s">
        <v>869</v>
      </c>
      <c r="D4039" t="s">
        <v>11</v>
      </c>
      <c r="E4039">
        <v>30</v>
      </c>
      <c r="F4039" s="2">
        <f>DATE(2026,IF(Tabla1[[#This Row],[Mes de Fecha]]="Septiembre",9,10),Tabla1[[#This Row],[Día de Fecha]])</f>
        <v>46295</v>
      </c>
      <c r="I4039">
        <v>0</v>
      </c>
      <c r="J4039" s="1">
        <v>3701588</v>
      </c>
      <c r="K4039">
        <v>0</v>
      </c>
    </row>
    <row r="4040" spans="1:11" x14ac:dyDescent="0.25">
      <c r="A4040" t="s">
        <v>9</v>
      </c>
      <c r="B4040" t="s">
        <v>150</v>
      </c>
      <c r="C4040" t="s">
        <v>869</v>
      </c>
      <c r="D4040" t="s">
        <v>11</v>
      </c>
      <c r="E4040">
        <v>30</v>
      </c>
      <c r="F4040" s="2">
        <f>DATE(2026,IF(Tabla1[[#This Row],[Mes de Fecha]]="Septiembre",9,10),Tabla1[[#This Row],[Día de Fecha]])</f>
        <v>46295</v>
      </c>
      <c r="G4040">
        <v>1006555973</v>
      </c>
      <c r="H4040" t="s">
        <v>151</v>
      </c>
      <c r="I4040">
        <v>48</v>
      </c>
      <c r="J4040">
        <v>0</v>
      </c>
      <c r="K4040" s="1">
        <v>2854922</v>
      </c>
    </row>
    <row r="4041" spans="1:11" x14ac:dyDescent="0.25">
      <c r="A4041" t="s">
        <v>9</v>
      </c>
      <c r="B4041" t="s">
        <v>150</v>
      </c>
      <c r="C4041" t="s">
        <v>869</v>
      </c>
      <c r="D4041" t="s">
        <v>11</v>
      </c>
      <c r="E4041">
        <v>30</v>
      </c>
      <c r="F4041" s="2">
        <f>DATE(2026,IF(Tabla1[[#This Row],[Mes de Fecha]]="Septiembre",9,10),Tabla1[[#This Row],[Día de Fecha]])</f>
        <v>46295</v>
      </c>
      <c r="G4041">
        <v>1120372422</v>
      </c>
      <c r="H4041" t="s">
        <v>152</v>
      </c>
      <c r="I4041">
        <v>42</v>
      </c>
      <c r="J4041">
        <v>0</v>
      </c>
      <c r="K4041" s="1">
        <v>2018953</v>
      </c>
    </row>
    <row r="4042" spans="1:11" x14ac:dyDescent="0.25">
      <c r="A4042" t="s">
        <v>9</v>
      </c>
      <c r="B4042" t="s">
        <v>150</v>
      </c>
      <c r="C4042" t="s">
        <v>869</v>
      </c>
      <c r="D4042" t="s">
        <v>14</v>
      </c>
      <c r="E4042">
        <v>1</v>
      </c>
      <c r="F4042" s="2">
        <f>DATE(2026,IF(Tabla1[[#This Row],[Mes de Fecha]]="Septiembre",9,10),Tabla1[[#This Row],[Día de Fecha]])</f>
        <v>46296</v>
      </c>
      <c r="I4042">
        <v>0</v>
      </c>
      <c r="J4042" s="1">
        <v>11539813</v>
      </c>
      <c r="K4042">
        <v>0</v>
      </c>
    </row>
    <row r="4043" spans="1:11" x14ac:dyDescent="0.25">
      <c r="A4043" t="s">
        <v>9</v>
      </c>
      <c r="B4043" t="s">
        <v>150</v>
      </c>
      <c r="C4043" t="s">
        <v>869</v>
      </c>
      <c r="D4043" t="s">
        <v>14</v>
      </c>
      <c r="E4043">
        <v>1</v>
      </c>
      <c r="F4043" s="2">
        <f>DATE(2026,IF(Tabla1[[#This Row],[Mes de Fecha]]="Septiembre",9,10),Tabla1[[#This Row],[Día de Fecha]])</f>
        <v>46296</v>
      </c>
      <c r="G4043">
        <v>1006555973</v>
      </c>
      <c r="H4043" t="s">
        <v>151</v>
      </c>
      <c r="I4043">
        <v>24</v>
      </c>
      <c r="J4043">
        <v>0</v>
      </c>
      <c r="K4043" s="1">
        <v>1099793</v>
      </c>
    </row>
    <row r="4044" spans="1:11" x14ac:dyDescent="0.25">
      <c r="A4044" t="s">
        <v>9</v>
      </c>
      <c r="B4044" t="s">
        <v>150</v>
      </c>
      <c r="C4044" t="s">
        <v>869</v>
      </c>
      <c r="D4044" t="s">
        <v>14</v>
      </c>
      <c r="E4044">
        <v>1</v>
      </c>
      <c r="F4044" s="2">
        <f>DATE(2026,IF(Tabla1[[#This Row],[Mes de Fecha]]="Septiembre",9,10),Tabla1[[#This Row],[Día de Fecha]])</f>
        <v>46296</v>
      </c>
      <c r="G4044">
        <v>1120372422</v>
      </c>
      <c r="H4044" t="s">
        <v>152</v>
      </c>
      <c r="I4044">
        <v>22</v>
      </c>
      <c r="J4044">
        <v>0</v>
      </c>
      <c r="K4044" s="1">
        <v>994707</v>
      </c>
    </row>
    <row r="4045" spans="1:11" x14ac:dyDescent="0.25">
      <c r="A4045" t="s">
        <v>9</v>
      </c>
      <c r="B4045" t="s">
        <v>150</v>
      </c>
      <c r="C4045" t="s">
        <v>869</v>
      </c>
      <c r="D4045" t="s">
        <v>14</v>
      </c>
      <c r="E4045">
        <v>2</v>
      </c>
      <c r="F4045" s="2">
        <f>DATE(2026,IF(Tabla1[[#This Row],[Mes de Fecha]]="Septiembre",9,10),Tabla1[[#This Row],[Día de Fecha]])</f>
        <v>46297</v>
      </c>
      <c r="I4045">
        <v>0</v>
      </c>
      <c r="J4045" s="1">
        <v>6364298</v>
      </c>
      <c r="K4045">
        <v>0</v>
      </c>
    </row>
    <row r="4046" spans="1:11" x14ac:dyDescent="0.25">
      <c r="A4046" t="s">
        <v>9</v>
      </c>
      <c r="B4046" t="s">
        <v>150</v>
      </c>
      <c r="C4046" t="s">
        <v>869</v>
      </c>
      <c r="D4046" t="s">
        <v>14</v>
      </c>
      <c r="E4046">
        <v>2</v>
      </c>
      <c r="F4046" s="2">
        <f>DATE(2026,IF(Tabla1[[#This Row],[Mes de Fecha]]="Septiembre",9,10),Tabla1[[#This Row],[Día de Fecha]])</f>
        <v>46297</v>
      </c>
      <c r="G4046">
        <v>1006555973</v>
      </c>
      <c r="H4046" t="s">
        <v>151</v>
      </c>
      <c r="I4046">
        <v>65</v>
      </c>
      <c r="J4046">
        <v>0</v>
      </c>
      <c r="K4046" s="1">
        <v>3457099</v>
      </c>
    </row>
    <row r="4047" spans="1:11" x14ac:dyDescent="0.25">
      <c r="A4047" t="s">
        <v>9</v>
      </c>
      <c r="B4047" t="s">
        <v>150</v>
      </c>
      <c r="C4047" t="s">
        <v>869</v>
      </c>
      <c r="D4047" t="s">
        <v>14</v>
      </c>
      <c r="E4047">
        <v>2</v>
      </c>
      <c r="F4047" s="2">
        <f>DATE(2026,IF(Tabla1[[#This Row],[Mes de Fecha]]="Septiembre",9,10),Tabla1[[#This Row],[Día de Fecha]])</f>
        <v>46297</v>
      </c>
      <c r="G4047">
        <v>1120372422</v>
      </c>
      <c r="H4047" t="s">
        <v>152</v>
      </c>
      <c r="I4047">
        <v>36</v>
      </c>
      <c r="J4047">
        <v>0</v>
      </c>
      <c r="K4047" s="1">
        <v>1939584</v>
      </c>
    </row>
    <row r="4048" spans="1:11" x14ac:dyDescent="0.25">
      <c r="A4048" t="s">
        <v>9</v>
      </c>
      <c r="B4048" t="s">
        <v>150</v>
      </c>
      <c r="C4048" t="s">
        <v>869</v>
      </c>
      <c r="D4048" t="s">
        <v>14</v>
      </c>
      <c r="E4048">
        <v>3</v>
      </c>
      <c r="F4048" s="2">
        <f>DATE(2026,IF(Tabla1[[#This Row],[Mes de Fecha]]="Septiembre",9,10),Tabla1[[#This Row],[Día de Fecha]])</f>
        <v>46298</v>
      </c>
      <c r="I4048">
        <v>0</v>
      </c>
      <c r="J4048" s="1">
        <v>8683804</v>
      </c>
      <c r="K4048">
        <v>0</v>
      </c>
    </row>
    <row r="4049" spans="1:11" x14ac:dyDescent="0.25">
      <c r="A4049" t="s">
        <v>9</v>
      </c>
      <c r="B4049" t="s">
        <v>150</v>
      </c>
      <c r="C4049" t="s">
        <v>869</v>
      </c>
      <c r="D4049" t="s">
        <v>14</v>
      </c>
      <c r="E4049">
        <v>3</v>
      </c>
      <c r="F4049" s="2">
        <f>DATE(2026,IF(Tabla1[[#This Row],[Mes de Fecha]]="Septiembre",9,10),Tabla1[[#This Row],[Día de Fecha]])</f>
        <v>46298</v>
      </c>
      <c r="G4049">
        <v>1006555973</v>
      </c>
      <c r="H4049" t="s">
        <v>151</v>
      </c>
      <c r="I4049">
        <v>82</v>
      </c>
      <c r="J4049">
        <v>0</v>
      </c>
      <c r="K4049" s="1">
        <v>4080121</v>
      </c>
    </row>
    <row r="4050" spans="1:11" x14ac:dyDescent="0.25">
      <c r="A4050" t="s">
        <v>9</v>
      </c>
      <c r="B4050" t="s">
        <v>150</v>
      </c>
      <c r="C4050" t="s">
        <v>869</v>
      </c>
      <c r="D4050" t="s">
        <v>14</v>
      </c>
      <c r="E4050">
        <v>3</v>
      </c>
      <c r="F4050" s="2">
        <f>DATE(2026,IF(Tabla1[[#This Row],[Mes de Fecha]]="Septiembre",9,10),Tabla1[[#This Row],[Día de Fecha]])</f>
        <v>46298</v>
      </c>
      <c r="G4050">
        <v>1120372422</v>
      </c>
      <c r="H4050" t="s">
        <v>152</v>
      </c>
      <c r="I4050">
        <v>47</v>
      </c>
      <c r="J4050">
        <v>0</v>
      </c>
      <c r="K4050" s="1">
        <v>2155861</v>
      </c>
    </row>
    <row r="4051" spans="1:11" x14ac:dyDescent="0.25">
      <c r="A4051" t="s">
        <v>9</v>
      </c>
      <c r="B4051" t="s">
        <v>150</v>
      </c>
      <c r="C4051" t="s">
        <v>869</v>
      </c>
      <c r="D4051" t="s">
        <v>14</v>
      </c>
      <c r="E4051">
        <v>4</v>
      </c>
      <c r="F4051" s="2">
        <f>DATE(2026,IF(Tabla1[[#This Row],[Mes de Fecha]]="Septiembre",9,10),Tabla1[[#This Row],[Día de Fecha]])</f>
        <v>46299</v>
      </c>
      <c r="I4051">
        <v>0</v>
      </c>
      <c r="J4051" s="1">
        <v>4297310</v>
      </c>
      <c r="K4051">
        <v>0</v>
      </c>
    </row>
    <row r="4052" spans="1:11" x14ac:dyDescent="0.25">
      <c r="A4052" t="s">
        <v>9</v>
      </c>
      <c r="B4052" t="s">
        <v>150</v>
      </c>
      <c r="C4052" t="s">
        <v>869</v>
      </c>
      <c r="D4052" t="s">
        <v>14</v>
      </c>
      <c r="E4052">
        <v>4</v>
      </c>
      <c r="F4052" s="2">
        <f>DATE(2026,IF(Tabla1[[#This Row],[Mes de Fecha]]="Septiembre",9,10),Tabla1[[#This Row],[Día de Fecha]])</f>
        <v>46299</v>
      </c>
      <c r="G4052">
        <v>1006555973</v>
      </c>
      <c r="H4052" t="s">
        <v>151</v>
      </c>
      <c r="I4052">
        <v>40</v>
      </c>
      <c r="J4052">
        <v>0</v>
      </c>
      <c r="K4052" s="1">
        <v>2481347</v>
      </c>
    </row>
    <row r="4053" spans="1:11" x14ac:dyDescent="0.25">
      <c r="A4053" t="s">
        <v>9</v>
      </c>
      <c r="B4053" t="s">
        <v>150</v>
      </c>
      <c r="C4053" t="s">
        <v>869</v>
      </c>
      <c r="D4053" t="s">
        <v>14</v>
      </c>
      <c r="E4053">
        <v>4</v>
      </c>
      <c r="F4053" s="2">
        <f>DATE(2026,IF(Tabla1[[#This Row],[Mes de Fecha]]="Septiembre",9,10),Tabla1[[#This Row],[Día de Fecha]])</f>
        <v>46299</v>
      </c>
      <c r="G4053">
        <v>1120372422</v>
      </c>
      <c r="H4053" t="s">
        <v>152</v>
      </c>
      <c r="I4053">
        <v>-1</v>
      </c>
      <c r="J4053">
        <v>0</v>
      </c>
      <c r="K4053" s="1">
        <v>-105000</v>
      </c>
    </row>
    <row r="4054" spans="1:11" x14ac:dyDescent="0.25">
      <c r="A4054" t="s">
        <v>9</v>
      </c>
      <c r="B4054" t="s">
        <v>150</v>
      </c>
      <c r="C4054" t="s">
        <v>869</v>
      </c>
      <c r="D4054" t="s">
        <v>14</v>
      </c>
      <c r="E4054">
        <v>5</v>
      </c>
      <c r="F4054" s="2">
        <f>DATE(2026,IF(Tabla1[[#This Row],[Mes de Fecha]]="Septiembre",9,10),Tabla1[[#This Row],[Día de Fecha]])</f>
        <v>46300</v>
      </c>
      <c r="I4054">
        <v>0</v>
      </c>
      <c r="J4054" s="1">
        <v>3471356</v>
      </c>
      <c r="K4054">
        <v>0</v>
      </c>
    </row>
    <row r="4055" spans="1:11" x14ac:dyDescent="0.25">
      <c r="A4055" t="s">
        <v>9</v>
      </c>
      <c r="B4055" t="s">
        <v>150</v>
      </c>
      <c r="C4055" t="s">
        <v>869</v>
      </c>
      <c r="D4055" t="s">
        <v>14</v>
      </c>
      <c r="E4055">
        <v>5</v>
      </c>
      <c r="F4055" s="2">
        <f>DATE(2026,IF(Tabla1[[#This Row],[Mes de Fecha]]="Septiembre",9,10),Tabla1[[#This Row],[Día de Fecha]])</f>
        <v>46300</v>
      </c>
      <c r="G4055">
        <v>1006555973</v>
      </c>
      <c r="H4055" t="s">
        <v>151</v>
      </c>
      <c r="I4055">
        <v>39</v>
      </c>
      <c r="J4055">
        <v>0</v>
      </c>
      <c r="K4055" s="1">
        <v>1875924</v>
      </c>
    </row>
    <row r="4056" spans="1:11" x14ac:dyDescent="0.25">
      <c r="A4056" t="s">
        <v>9</v>
      </c>
      <c r="B4056" t="s">
        <v>150</v>
      </c>
      <c r="C4056" t="s">
        <v>869</v>
      </c>
      <c r="D4056" t="s">
        <v>14</v>
      </c>
      <c r="E4056">
        <v>5</v>
      </c>
      <c r="F4056" s="2">
        <f>DATE(2026,IF(Tabla1[[#This Row],[Mes de Fecha]]="Septiembre",9,10),Tabla1[[#This Row],[Día de Fecha]])</f>
        <v>46300</v>
      </c>
      <c r="G4056">
        <v>1120372422</v>
      </c>
      <c r="H4056" t="s">
        <v>152</v>
      </c>
      <c r="I4056">
        <v>-1</v>
      </c>
      <c r="J4056">
        <v>0</v>
      </c>
      <c r="K4056" s="1">
        <v>-58781</v>
      </c>
    </row>
    <row r="4057" spans="1:11" x14ac:dyDescent="0.25">
      <c r="A4057" t="s">
        <v>9</v>
      </c>
      <c r="B4057" t="s">
        <v>150</v>
      </c>
      <c r="C4057" t="s">
        <v>869</v>
      </c>
      <c r="D4057" t="s">
        <v>14</v>
      </c>
      <c r="E4057">
        <v>6</v>
      </c>
      <c r="F4057" s="2">
        <f>DATE(2026,IF(Tabla1[[#This Row],[Mes de Fecha]]="Septiembre",9,10),Tabla1[[#This Row],[Día de Fecha]])</f>
        <v>46301</v>
      </c>
      <c r="I4057">
        <v>0</v>
      </c>
      <c r="J4057" s="1">
        <v>1958010</v>
      </c>
      <c r="K4057">
        <v>0</v>
      </c>
    </row>
    <row r="4058" spans="1:11" x14ac:dyDescent="0.25">
      <c r="A4058" t="s">
        <v>9</v>
      </c>
      <c r="B4058" t="s">
        <v>150</v>
      </c>
      <c r="C4058" t="s">
        <v>869</v>
      </c>
      <c r="D4058" t="s">
        <v>14</v>
      </c>
      <c r="E4058">
        <v>6</v>
      </c>
      <c r="F4058" s="2">
        <f>DATE(2026,IF(Tabla1[[#This Row],[Mes de Fecha]]="Septiembre",9,10),Tabla1[[#This Row],[Día de Fecha]])</f>
        <v>46301</v>
      </c>
      <c r="G4058">
        <v>1120372422</v>
      </c>
      <c r="H4058" t="s">
        <v>152</v>
      </c>
      <c r="I4058">
        <v>29</v>
      </c>
      <c r="J4058">
        <v>0</v>
      </c>
      <c r="K4058" s="1">
        <v>1622157</v>
      </c>
    </row>
    <row r="4059" spans="1:11" x14ac:dyDescent="0.25">
      <c r="A4059" t="s">
        <v>9</v>
      </c>
      <c r="B4059" t="s">
        <v>150</v>
      </c>
      <c r="C4059" t="s">
        <v>869</v>
      </c>
      <c r="D4059" t="s">
        <v>14</v>
      </c>
      <c r="E4059">
        <v>7</v>
      </c>
      <c r="F4059" s="2">
        <f>DATE(2026,IF(Tabla1[[#This Row],[Mes de Fecha]]="Septiembre",9,10),Tabla1[[#This Row],[Día de Fecha]])</f>
        <v>46302</v>
      </c>
      <c r="I4059">
        <v>0</v>
      </c>
      <c r="J4059" s="1">
        <v>747710</v>
      </c>
      <c r="K4059">
        <v>0</v>
      </c>
    </row>
    <row r="4060" spans="1:11" x14ac:dyDescent="0.25">
      <c r="A4060" t="s">
        <v>9</v>
      </c>
      <c r="B4060" t="s">
        <v>150</v>
      </c>
      <c r="C4060" t="s">
        <v>869</v>
      </c>
      <c r="D4060" t="s">
        <v>14</v>
      </c>
      <c r="E4060">
        <v>7</v>
      </c>
      <c r="F4060" s="2">
        <f>DATE(2026,IF(Tabla1[[#This Row],[Mes de Fecha]]="Septiembre",9,10),Tabla1[[#This Row],[Día de Fecha]])</f>
        <v>46302</v>
      </c>
      <c r="G4060">
        <v>1006555973</v>
      </c>
      <c r="H4060" t="s">
        <v>151</v>
      </c>
      <c r="I4060">
        <v>26</v>
      </c>
      <c r="J4060">
        <v>0</v>
      </c>
      <c r="K4060" s="1">
        <v>1486178</v>
      </c>
    </row>
    <row r="4061" spans="1:11" x14ac:dyDescent="0.25">
      <c r="A4061" t="s">
        <v>9</v>
      </c>
      <c r="B4061" t="s">
        <v>150</v>
      </c>
      <c r="C4061" t="s">
        <v>869</v>
      </c>
      <c r="D4061" t="s">
        <v>14</v>
      </c>
      <c r="E4061">
        <v>7</v>
      </c>
      <c r="F4061" s="2">
        <f>DATE(2026,IF(Tabla1[[#This Row],[Mes de Fecha]]="Septiembre",9,10),Tabla1[[#This Row],[Día de Fecha]])</f>
        <v>46302</v>
      </c>
      <c r="G4061">
        <v>1120372422</v>
      </c>
      <c r="H4061" t="s">
        <v>152</v>
      </c>
      <c r="I4061">
        <v>7</v>
      </c>
      <c r="J4061">
        <v>0</v>
      </c>
      <c r="K4061" s="1">
        <v>382061</v>
      </c>
    </row>
    <row r="4062" spans="1:11" x14ac:dyDescent="0.25">
      <c r="A4062" t="s">
        <v>9</v>
      </c>
      <c r="B4062" t="s">
        <v>204</v>
      </c>
      <c r="C4062" t="s">
        <v>869</v>
      </c>
      <c r="D4062" t="s">
        <v>11</v>
      </c>
      <c r="E4062">
        <v>23</v>
      </c>
      <c r="F4062" s="2">
        <f>DATE(2026,IF(Tabla1[[#This Row],[Mes de Fecha]]="Septiembre",9,10),Tabla1[[#This Row],[Día de Fecha]])</f>
        <v>46288</v>
      </c>
      <c r="I4062">
        <v>0</v>
      </c>
      <c r="J4062" s="1">
        <v>2973061</v>
      </c>
      <c r="K4062">
        <v>0</v>
      </c>
    </row>
    <row r="4063" spans="1:11" x14ac:dyDescent="0.25">
      <c r="A4063" t="s">
        <v>9</v>
      </c>
      <c r="B4063" t="s">
        <v>204</v>
      </c>
      <c r="C4063" t="s">
        <v>869</v>
      </c>
      <c r="D4063" t="s">
        <v>11</v>
      </c>
      <c r="E4063">
        <v>23</v>
      </c>
      <c r="F4063" s="2">
        <f>DATE(2026,IF(Tabla1[[#This Row],[Mes de Fecha]]="Septiembre",9,10),Tabla1[[#This Row],[Día de Fecha]])</f>
        <v>46288</v>
      </c>
      <c r="G4063">
        <v>1007365607</v>
      </c>
      <c r="H4063" t="s">
        <v>205</v>
      </c>
      <c r="I4063">
        <v>77</v>
      </c>
      <c r="J4063">
        <v>0</v>
      </c>
      <c r="K4063" s="1">
        <v>4353868</v>
      </c>
    </row>
    <row r="4064" spans="1:11" x14ac:dyDescent="0.25">
      <c r="A4064" t="s">
        <v>9</v>
      </c>
      <c r="B4064" t="s">
        <v>204</v>
      </c>
      <c r="C4064" t="s">
        <v>869</v>
      </c>
      <c r="D4064" t="s">
        <v>11</v>
      </c>
      <c r="E4064">
        <v>23</v>
      </c>
      <c r="F4064" s="2">
        <f>DATE(2026,IF(Tabla1[[#This Row],[Mes de Fecha]]="Septiembre",9,10),Tabla1[[#This Row],[Día de Fecha]])</f>
        <v>46288</v>
      </c>
      <c r="G4064">
        <v>1040490296</v>
      </c>
      <c r="H4064" t="s">
        <v>207</v>
      </c>
      <c r="I4064">
        <v>44</v>
      </c>
      <c r="J4064">
        <v>0</v>
      </c>
      <c r="K4064" s="1">
        <v>2225042</v>
      </c>
    </row>
    <row r="4065" spans="1:11" x14ac:dyDescent="0.25">
      <c r="A4065" t="s">
        <v>9</v>
      </c>
      <c r="B4065" t="s">
        <v>204</v>
      </c>
      <c r="C4065" t="s">
        <v>869</v>
      </c>
      <c r="D4065" t="s">
        <v>11</v>
      </c>
      <c r="E4065">
        <v>23</v>
      </c>
      <c r="F4065" s="2">
        <f>DATE(2026,IF(Tabla1[[#This Row],[Mes de Fecha]]="Septiembre",9,10),Tabla1[[#This Row],[Día de Fecha]])</f>
        <v>46288</v>
      </c>
      <c r="G4065">
        <v>1073320412</v>
      </c>
      <c r="H4065" t="s">
        <v>206</v>
      </c>
      <c r="I4065">
        <v>34</v>
      </c>
      <c r="J4065">
        <v>0</v>
      </c>
      <c r="K4065" s="1">
        <v>2061599</v>
      </c>
    </row>
    <row r="4066" spans="1:11" x14ac:dyDescent="0.25">
      <c r="A4066" t="s">
        <v>9</v>
      </c>
      <c r="B4066" t="s">
        <v>204</v>
      </c>
      <c r="C4066" t="s">
        <v>869</v>
      </c>
      <c r="D4066" t="s">
        <v>11</v>
      </c>
      <c r="E4066">
        <v>24</v>
      </c>
      <c r="F4066" s="2">
        <f>DATE(2026,IF(Tabla1[[#This Row],[Mes de Fecha]]="Septiembre",9,10),Tabla1[[#This Row],[Día de Fecha]])</f>
        <v>46289</v>
      </c>
      <c r="I4066">
        <v>0</v>
      </c>
      <c r="J4066" s="1">
        <v>7688914</v>
      </c>
      <c r="K4066">
        <v>0</v>
      </c>
    </row>
    <row r="4067" spans="1:11" x14ac:dyDescent="0.25">
      <c r="A4067" t="s">
        <v>9</v>
      </c>
      <c r="B4067" t="s">
        <v>204</v>
      </c>
      <c r="C4067" t="s">
        <v>869</v>
      </c>
      <c r="D4067" t="s">
        <v>11</v>
      </c>
      <c r="E4067">
        <v>24</v>
      </c>
      <c r="F4067" s="2">
        <f>DATE(2026,IF(Tabla1[[#This Row],[Mes de Fecha]]="Septiembre",9,10),Tabla1[[#This Row],[Día de Fecha]])</f>
        <v>46289</v>
      </c>
      <c r="G4067">
        <v>1007365607</v>
      </c>
      <c r="H4067" t="s">
        <v>205</v>
      </c>
      <c r="I4067">
        <v>4</v>
      </c>
      <c r="J4067">
        <v>0</v>
      </c>
      <c r="K4067" s="1">
        <v>222522</v>
      </c>
    </row>
    <row r="4068" spans="1:11" x14ac:dyDescent="0.25">
      <c r="A4068" t="s">
        <v>9</v>
      </c>
      <c r="B4068" t="s">
        <v>204</v>
      </c>
      <c r="C4068" t="s">
        <v>869</v>
      </c>
      <c r="D4068" t="s">
        <v>11</v>
      </c>
      <c r="E4068">
        <v>24</v>
      </c>
      <c r="F4068" s="2">
        <f>DATE(2026,IF(Tabla1[[#This Row],[Mes de Fecha]]="Septiembre",9,10),Tabla1[[#This Row],[Día de Fecha]])</f>
        <v>46289</v>
      </c>
      <c r="G4068">
        <v>1040490296</v>
      </c>
      <c r="H4068" t="s">
        <v>207</v>
      </c>
      <c r="I4068">
        <v>13</v>
      </c>
      <c r="J4068">
        <v>0</v>
      </c>
      <c r="K4068" s="1">
        <v>659119</v>
      </c>
    </row>
    <row r="4069" spans="1:11" x14ac:dyDescent="0.25">
      <c r="A4069" t="s">
        <v>9</v>
      </c>
      <c r="B4069" t="s">
        <v>204</v>
      </c>
      <c r="C4069" t="s">
        <v>869</v>
      </c>
      <c r="D4069" t="s">
        <v>11</v>
      </c>
      <c r="E4069">
        <v>24</v>
      </c>
      <c r="F4069" s="2">
        <f>DATE(2026,IF(Tabla1[[#This Row],[Mes de Fecha]]="Septiembre",9,10),Tabla1[[#This Row],[Día de Fecha]])</f>
        <v>46289</v>
      </c>
      <c r="G4069">
        <v>1073320412</v>
      </c>
      <c r="H4069" t="s">
        <v>206</v>
      </c>
      <c r="I4069">
        <v>29</v>
      </c>
      <c r="J4069">
        <v>0</v>
      </c>
      <c r="K4069" s="1">
        <v>1557607</v>
      </c>
    </row>
    <row r="4070" spans="1:11" x14ac:dyDescent="0.25">
      <c r="A4070" t="s">
        <v>9</v>
      </c>
      <c r="B4070" t="s">
        <v>204</v>
      </c>
      <c r="C4070" t="s">
        <v>869</v>
      </c>
      <c r="D4070" t="s">
        <v>11</v>
      </c>
      <c r="E4070">
        <v>25</v>
      </c>
      <c r="F4070" s="2">
        <f>DATE(2026,IF(Tabla1[[#This Row],[Mes de Fecha]]="Septiembre",9,10),Tabla1[[#This Row],[Día de Fecha]])</f>
        <v>46290</v>
      </c>
      <c r="I4070">
        <v>0</v>
      </c>
      <c r="J4070" s="1">
        <v>8212178</v>
      </c>
      <c r="K4070">
        <v>0</v>
      </c>
    </row>
    <row r="4071" spans="1:11" x14ac:dyDescent="0.25">
      <c r="A4071" t="s">
        <v>9</v>
      </c>
      <c r="B4071" t="s">
        <v>204</v>
      </c>
      <c r="C4071" t="s">
        <v>869</v>
      </c>
      <c r="D4071" t="s">
        <v>11</v>
      </c>
      <c r="E4071">
        <v>25</v>
      </c>
      <c r="F4071" s="2">
        <f>DATE(2026,IF(Tabla1[[#This Row],[Mes de Fecha]]="Septiembre",9,10),Tabla1[[#This Row],[Día de Fecha]])</f>
        <v>46290</v>
      </c>
      <c r="G4071">
        <v>1007365607</v>
      </c>
      <c r="H4071" t="s">
        <v>205</v>
      </c>
      <c r="I4071">
        <v>51</v>
      </c>
      <c r="J4071">
        <v>0</v>
      </c>
      <c r="K4071" s="1">
        <v>2863407</v>
      </c>
    </row>
    <row r="4072" spans="1:11" x14ac:dyDescent="0.25">
      <c r="A4072" t="s">
        <v>9</v>
      </c>
      <c r="B4072" t="s">
        <v>204</v>
      </c>
      <c r="C4072" t="s">
        <v>869</v>
      </c>
      <c r="D4072" t="s">
        <v>11</v>
      </c>
      <c r="E4072">
        <v>25</v>
      </c>
      <c r="F4072" s="2">
        <f>DATE(2026,IF(Tabla1[[#This Row],[Mes de Fecha]]="Septiembre",9,10),Tabla1[[#This Row],[Día de Fecha]])</f>
        <v>46290</v>
      </c>
      <c r="G4072">
        <v>1040490296</v>
      </c>
      <c r="H4072" t="s">
        <v>207</v>
      </c>
      <c r="I4072">
        <v>29</v>
      </c>
      <c r="J4072">
        <v>0</v>
      </c>
      <c r="K4072" s="1">
        <v>1612227</v>
      </c>
    </row>
    <row r="4073" spans="1:11" x14ac:dyDescent="0.25">
      <c r="A4073" t="s">
        <v>9</v>
      </c>
      <c r="B4073" t="s">
        <v>204</v>
      </c>
      <c r="C4073" t="s">
        <v>869</v>
      </c>
      <c r="D4073" t="s">
        <v>11</v>
      </c>
      <c r="E4073">
        <v>25</v>
      </c>
      <c r="F4073" s="2">
        <f>DATE(2026,IF(Tabla1[[#This Row],[Mes de Fecha]]="Septiembre",9,10),Tabla1[[#This Row],[Día de Fecha]])</f>
        <v>46290</v>
      </c>
      <c r="G4073">
        <v>1073320412</v>
      </c>
      <c r="H4073" t="s">
        <v>206</v>
      </c>
      <c r="I4073">
        <v>20</v>
      </c>
      <c r="J4073">
        <v>0</v>
      </c>
      <c r="K4073" s="1">
        <v>1091598</v>
      </c>
    </row>
    <row r="4074" spans="1:11" x14ac:dyDescent="0.25">
      <c r="A4074" t="s">
        <v>9</v>
      </c>
      <c r="B4074" t="s">
        <v>204</v>
      </c>
      <c r="C4074" t="s">
        <v>869</v>
      </c>
      <c r="D4074" t="s">
        <v>11</v>
      </c>
      <c r="E4074">
        <v>26</v>
      </c>
      <c r="F4074" s="2">
        <f>DATE(2026,IF(Tabla1[[#This Row],[Mes de Fecha]]="Septiembre",9,10),Tabla1[[#This Row],[Día de Fecha]])</f>
        <v>46291</v>
      </c>
      <c r="I4074">
        <v>0</v>
      </c>
      <c r="J4074" s="1">
        <v>10355352</v>
      </c>
      <c r="K4074">
        <v>0</v>
      </c>
    </row>
    <row r="4075" spans="1:11" x14ac:dyDescent="0.25">
      <c r="A4075" t="s">
        <v>9</v>
      </c>
      <c r="B4075" t="s">
        <v>204</v>
      </c>
      <c r="C4075" t="s">
        <v>869</v>
      </c>
      <c r="D4075" t="s">
        <v>11</v>
      </c>
      <c r="E4075">
        <v>26</v>
      </c>
      <c r="F4075" s="2">
        <f>DATE(2026,IF(Tabla1[[#This Row],[Mes de Fecha]]="Septiembre",9,10),Tabla1[[#This Row],[Día de Fecha]])</f>
        <v>46291</v>
      </c>
      <c r="G4075">
        <v>1007365607</v>
      </c>
      <c r="H4075" t="s">
        <v>205</v>
      </c>
      <c r="I4075">
        <v>45</v>
      </c>
      <c r="J4075">
        <v>0</v>
      </c>
      <c r="K4075" s="1">
        <v>2256346</v>
      </c>
    </row>
    <row r="4076" spans="1:11" x14ac:dyDescent="0.25">
      <c r="A4076" t="s">
        <v>9</v>
      </c>
      <c r="B4076" t="s">
        <v>204</v>
      </c>
      <c r="C4076" t="s">
        <v>869</v>
      </c>
      <c r="D4076" t="s">
        <v>11</v>
      </c>
      <c r="E4076">
        <v>26</v>
      </c>
      <c r="F4076" s="2">
        <f>DATE(2026,IF(Tabla1[[#This Row],[Mes de Fecha]]="Septiembre",9,10),Tabla1[[#This Row],[Día de Fecha]])</f>
        <v>46291</v>
      </c>
      <c r="G4076">
        <v>1040490296</v>
      </c>
      <c r="H4076" t="s">
        <v>207</v>
      </c>
      <c r="I4076">
        <v>44</v>
      </c>
      <c r="J4076">
        <v>0</v>
      </c>
      <c r="K4076" s="1">
        <v>2426639</v>
      </c>
    </row>
    <row r="4077" spans="1:11" x14ac:dyDescent="0.25">
      <c r="A4077" t="s">
        <v>9</v>
      </c>
      <c r="B4077" t="s">
        <v>204</v>
      </c>
      <c r="C4077" t="s">
        <v>869</v>
      </c>
      <c r="D4077" t="s">
        <v>11</v>
      </c>
      <c r="E4077">
        <v>26</v>
      </c>
      <c r="F4077" s="2">
        <f>DATE(2026,IF(Tabla1[[#This Row],[Mes de Fecha]]="Septiembre",9,10),Tabla1[[#This Row],[Día de Fecha]])</f>
        <v>46291</v>
      </c>
      <c r="G4077">
        <v>1073320412</v>
      </c>
      <c r="H4077" t="s">
        <v>206</v>
      </c>
      <c r="I4077">
        <v>54</v>
      </c>
      <c r="J4077">
        <v>0</v>
      </c>
      <c r="K4077" s="1">
        <v>3136266</v>
      </c>
    </row>
    <row r="4078" spans="1:11" x14ac:dyDescent="0.25">
      <c r="A4078" t="s">
        <v>9</v>
      </c>
      <c r="B4078" t="s">
        <v>204</v>
      </c>
      <c r="C4078" t="s">
        <v>869</v>
      </c>
      <c r="D4078" t="s">
        <v>11</v>
      </c>
      <c r="E4078">
        <v>27</v>
      </c>
      <c r="F4078" s="2">
        <f>DATE(2026,IF(Tabla1[[#This Row],[Mes de Fecha]]="Septiembre",9,10),Tabla1[[#This Row],[Día de Fecha]])</f>
        <v>46292</v>
      </c>
      <c r="I4078">
        <v>0</v>
      </c>
      <c r="J4078" s="1">
        <v>5467523</v>
      </c>
      <c r="K4078">
        <v>0</v>
      </c>
    </row>
    <row r="4079" spans="1:11" x14ac:dyDescent="0.25">
      <c r="A4079" t="s">
        <v>9</v>
      </c>
      <c r="B4079" t="s">
        <v>204</v>
      </c>
      <c r="C4079" t="s">
        <v>869</v>
      </c>
      <c r="D4079" t="s">
        <v>11</v>
      </c>
      <c r="E4079">
        <v>27</v>
      </c>
      <c r="F4079" s="2">
        <f>DATE(2026,IF(Tabla1[[#This Row],[Mes de Fecha]]="Septiembre",9,10),Tabla1[[#This Row],[Día de Fecha]])</f>
        <v>46292</v>
      </c>
      <c r="G4079">
        <v>1007365607</v>
      </c>
      <c r="H4079" t="s">
        <v>205</v>
      </c>
      <c r="I4079">
        <v>15</v>
      </c>
      <c r="J4079">
        <v>0</v>
      </c>
      <c r="K4079" s="1">
        <v>707354</v>
      </c>
    </row>
    <row r="4080" spans="1:11" x14ac:dyDescent="0.25">
      <c r="A4080" t="s">
        <v>9</v>
      </c>
      <c r="B4080" t="s">
        <v>204</v>
      </c>
      <c r="C4080" t="s">
        <v>869</v>
      </c>
      <c r="D4080" t="s">
        <v>11</v>
      </c>
      <c r="E4080">
        <v>27</v>
      </c>
      <c r="F4080" s="2">
        <f>DATE(2026,IF(Tabla1[[#This Row],[Mes de Fecha]]="Septiembre",9,10),Tabla1[[#This Row],[Día de Fecha]])</f>
        <v>46292</v>
      </c>
      <c r="G4080">
        <v>1040490296</v>
      </c>
      <c r="H4080" t="s">
        <v>207</v>
      </c>
      <c r="I4080">
        <v>11</v>
      </c>
      <c r="J4080">
        <v>0</v>
      </c>
      <c r="K4080" s="1">
        <v>560505</v>
      </c>
    </row>
    <row r="4081" spans="1:11" x14ac:dyDescent="0.25">
      <c r="A4081" t="s">
        <v>9</v>
      </c>
      <c r="B4081" t="s">
        <v>204</v>
      </c>
      <c r="C4081" t="s">
        <v>869</v>
      </c>
      <c r="D4081" t="s">
        <v>11</v>
      </c>
      <c r="E4081">
        <v>27</v>
      </c>
      <c r="F4081" s="2">
        <f>DATE(2026,IF(Tabla1[[#This Row],[Mes de Fecha]]="Septiembre",9,10),Tabla1[[#This Row],[Día de Fecha]])</f>
        <v>46292</v>
      </c>
      <c r="G4081">
        <v>1073320412</v>
      </c>
      <c r="H4081" t="s">
        <v>206</v>
      </c>
      <c r="I4081">
        <v>14</v>
      </c>
      <c r="J4081">
        <v>0</v>
      </c>
      <c r="K4081" s="1">
        <v>810338</v>
      </c>
    </row>
    <row r="4082" spans="1:11" x14ac:dyDescent="0.25">
      <c r="A4082" t="s">
        <v>9</v>
      </c>
      <c r="B4082" t="s">
        <v>204</v>
      </c>
      <c r="C4082" t="s">
        <v>869</v>
      </c>
      <c r="D4082" t="s">
        <v>11</v>
      </c>
      <c r="E4082">
        <v>28</v>
      </c>
      <c r="F4082" s="2">
        <f>DATE(2026,IF(Tabla1[[#This Row],[Mes de Fecha]]="Septiembre",9,10),Tabla1[[#This Row],[Día de Fecha]])</f>
        <v>46293</v>
      </c>
      <c r="I4082">
        <v>0</v>
      </c>
      <c r="J4082" s="1">
        <v>4482776</v>
      </c>
      <c r="K4082">
        <v>0</v>
      </c>
    </row>
    <row r="4083" spans="1:11" x14ac:dyDescent="0.25">
      <c r="A4083" t="s">
        <v>9</v>
      </c>
      <c r="B4083" t="s">
        <v>204</v>
      </c>
      <c r="C4083" t="s">
        <v>869</v>
      </c>
      <c r="D4083" t="s">
        <v>11</v>
      </c>
      <c r="E4083">
        <v>28</v>
      </c>
      <c r="F4083" s="2">
        <f>DATE(2026,IF(Tabla1[[#This Row],[Mes de Fecha]]="Septiembre",9,10),Tabla1[[#This Row],[Día de Fecha]])</f>
        <v>46293</v>
      </c>
      <c r="G4083">
        <v>1007365607</v>
      </c>
      <c r="H4083" t="s">
        <v>205</v>
      </c>
      <c r="I4083">
        <v>29</v>
      </c>
      <c r="J4083">
        <v>0</v>
      </c>
      <c r="K4083" s="1">
        <v>1633239</v>
      </c>
    </row>
    <row r="4084" spans="1:11" x14ac:dyDescent="0.25">
      <c r="A4084" t="s">
        <v>9</v>
      </c>
      <c r="B4084" t="s">
        <v>204</v>
      </c>
      <c r="C4084" t="s">
        <v>869</v>
      </c>
      <c r="D4084" t="s">
        <v>11</v>
      </c>
      <c r="E4084">
        <v>28</v>
      </c>
      <c r="F4084" s="2">
        <f>DATE(2026,IF(Tabla1[[#This Row],[Mes de Fecha]]="Septiembre",9,10),Tabla1[[#This Row],[Día de Fecha]])</f>
        <v>46293</v>
      </c>
      <c r="G4084">
        <v>1040490296</v>
      </c>
      <c r="H4084" t="s">
        <v>207</v>
      </c>
      <c r="I4084">
        <v>16</v>
      </c>
      <c r="J4084">
        <v>0</v>
      </c>
      <c r="K4084" s="1">
        <v>824917</v>
      </c>
    </row>
    <row r="4085" spans="1:11" x14ac:dyDescent="0.25">
      <c r="A4085" t="s">
        <v>9</v>
      </c>
      <c r="B4085" t="s">
        <v>204</v>
      </c>
      <c r="C4085" t="s">
        <v>869</v>
      </c>
      <c r="D4085" t="s">
        <v>11</v>
      </c>
      <c r="E4085">
        <v>28</v>
      </c>
      <c r="F4085" s="2">
        <f>DATE(2026,IF(Tabla1[[#This Row],[Mes de Fecha]]="Septiembre",9,10),Tabla1[[#This Row],[Día de Fecha]])</f>
        <v>46293</v>
      </c>
      <c r="G4085">
        <v>1073320412</v>
      </c>
      <c r="H4085" t="s">
        <v>206</v>
      </c>
      <c r="I4085">
        <v>22</v>
      </c>
      <c r="J4085">
        <v>0</v>
      </c>
      <c r="K4085" s="1">
        <v>1041012</v>
      </c>
    </row>
    <row r="4086" spans="1:11" x14ac:dyDescent="0.25">
      <c r="A4086" t="s">
        <v>9</v>
      </c>
      <c r="B4086" t="s">
        <v>204</v>
      </c>
      <c r="C4086" t="s">
        <v>869</v>
      </c>
      <c r="D4086" t="s">
        <v>11</v>
      </c>
      <c r="E4086">
        <v>29</v>
      </c>
      <c r="F4086" s="2">
        <f>DATE(2026,IF(Tabla1[[#This Row],[Mes de Fecha]]="Septiembre",9,10),Tabla1[[#This Row],[Día de Fecha]])</f>
        <v>46294</v>
      </c>
      <c r="I4086">
        <v>0</v>
      </c>
      <c r="J4086" s="1">
        <v>4983523</v>
      </c>
      <c r="K4086">
        <v>0</v>
      </c>
    </row>
    <row r="4087" spans="1:11" x14ac:dyDescent="0.25">
      <c r="A4087" t="s">
        <v>9</v>
      </c>
      <c r="B4087" t="s">
        <v>204</v>
      </c>
      <c r="C4087" t="s">
        <v>869</v>
      </c>
      <c r="D4087" t="s">
        <v>11</v>
      </c>
      <c r="E4087">
        <v>29</v>
      </c>
      <c r="F4087" s="2">
        <f>DATE(2026,IF(Tabla1[[#This Row],[Mes de Fecha]]="Septiembre",9,10),Tabla1[[#This Row],[Día de Fecha]])</f>
        <v>46294</v>
      </c>
      <c r="G4087">
        <v>1007365607</v>
      </c>
      <c r="H4087" t="s">
        <v>205</v>
      </c>
      <c r="I4087">
        <v>18</v>
      </c>
      <c r="J4087">
        <v>0</v>
      </c>
      <c r="K4087" s="1">
        <v>940379</v>
      </c>
    </row>
    <row r="4088" spans="1:11" x14ac:dyDescent="0.25">
      <c r="A4088" t="s">
        <v>9</v>
      </c>
      <c r="B4088" t="s">
        <v>204</v>
      </c>
      <c r="C4088" t="s">
        <v>869</v>
      </c>
      <c r="D4088" t="s">
        <v>11</v>
      </c>
      <c r="E4088">
        <v>29</v>
      </c>
      <c r="F4088" s="2">
        <f>DATE(2026,IF(Tabla1[[#This Row],[Mes de Fecha]]="Septiembre",9,10),Tabla1[[#This Row],[Día de Fecha]])</f>
        <v>46294</v>
      </c>
      <c r="G4088">
        <v>1040490296</v>
      </c>
      <c r="H4088" t="s">
        <v>207</v>
      </c>
      <c r="I4088">
        <v>5</v>
      </c>
      <c r="J4088">
        <v>0</v>
      </c>
      <c r="K4088" s="1">
        <v>237186</v>
      </c>
    </row>
    <row r="4089" spans="1:11" x14ac:dyDescent="0.25">
      <c r="A4089" t="s">
        <v>9</v>
      </c>
      <c r="B4089" t="s">
        <v>204</v>
      </c>
      <c r="C4089" t="s">
        <v>869</v>
      </c>
      <c r="D4089" t="s">
        <v>11</v>
      </c>
      <c r="E4089">
        <v>29</v>
      </c>
      <c r="F4089" s="2">
        <f>DATE(2026,IF(Tabla1[[#This Row],[Mes de Fecha]]="Septiembre",9,10),Tabla1[[#This Row],[Día de Fecha]])</f>
        <v>46294</v>
      </c>
      <c r="G4089">
        <v>1073320412</v>
      </c>
      <c r="H4089" t="s">
        <v>206</v>
      </c>
      <c r="I4089">
        <v>16</v>
      </c>
      <c r="J4089">
        <v>0</v>
      </c>
      <c r="K4089" s="1">
        <v>768068</v>
      </c>
    </row>
    <row r="4090" spans="1:11" x14ac:dyDescent="0.25">
      <c r="A4090" t="s">
        <v>9</v>
      </c>
      <c r="B4090" t="s">
        <v>204</v>
      </c>
      <c r="C4090" t="s">
        <v>869</v>
      </c>
      <c r="D4090" t="s">
        <v>11</v>
      </c>
      <c r="E4090">
        <v>30</v>
      </c>
      <c r="F4090" s="2">
        <f>DATE(2026,IF(Tabla1[[#This Row],[Mes de Fecha]]="Septiembre",9,10),Tabla1[[#This Row],[Día de Fecha]])</f>
        <v>46295</v>
      </c>
      <c r="I4090">
        <v>0</v>
      </c>
      <c r="J4090" s="1">
        <v>5277708</v>
      </c>
      <c r="K4090">
        <v>0</v>
      </c>
    </row>
    <row r="4091" spans="1:11" x14ac:dyDescent="0.25">
      <c r="A4091" t="s">
        <v>9</v>
      </c>
      <c r="B4091" t="s">
        <v>204</v>
      </c>
      <c r="C4091" t="s">
        <v>869</v>
      </c>
      <c r="D4091" t="s">
        <v>11</v>
      </c>
      <c r="E4091">
        <v>30</v>
      </c>
      <c r="F4091" s="2">
        <f>DATE(2026,IF(Tabla1[[#This Row],[Mes de Fecha]]="Septiembre",9,10),Tabla1[[#This Row],[Día de Fecha]])</f>
        <v>46295</v>
      </c>
      <c r="G4091">
        <v>1007365607</v>
      </c>
      <c r="H4091" t="s">
        <v>205</v>
      </c>
      <c r="I4091">
        <v>27</v>
      </c>
      <c r="J4091">
        <v>0</v>
      </c>
      <c r="K4091" s="1">
        <v>1574371</v>
      </c>
    </row>
    <row r="4092" spans="1:11" x14ac:dyDescent="0.25">
      <c r="A4092" t="s">
        <v>9</v>
      </c>
      <c r="B4092" t="s">
        <v>204</v>
      </c>
      <c r="C4092" t="s">
        <v>869</v>
      </c>
      <c r="D4092" t="s">
        <v>11</v>
      </c>
      <c r="E4092">
        <v>30</v>
      </c>
      <c r="F4092" s="2">
        <f>DATE(2026,IF(Tabla1[[#This Row],[Mes de Fecha]]="Septiembre",9,10),Tabla1[[#This Row],[Día de Fecha]])</f>
        <v>46295</v>
      </c>
      <c r="G4092">
        <v>1040490296</v>
      </c>
      <c r="H4092" t="s">
        <v>207</v>
      </c>
      <c r="I4092">
        <v>0</v>
      </c>
      <c r="J4092">
        <v>0</v>
      </c>
      <c r="K4092">
        <v>0</v>
      </c>
    </row>
    <row r="4093" spans="1:11" x14ac:dyDescent="0.25">
      <c r="A4093" t="s">
        <v>9</v>
      </c>
      <c r="B4093" t="s">
        <v>204</v>
      </c>
      <c r="C4093" t="s">
        <v>869</v>
      </c>
      <c r="D4093" t="s">
        <v>11</v>
      </c>
      <c r="E4093">
        <v>30</v>
      </c>
      <c r="F4093" s="2">
        <f>DATE(2026,IF(Tabla1[[#This Row],[Mes de Fecha]]="Septiembre",9,10),Tabla1[[#This Row],[Día de Fecha]])</f>
        <v>46295</v>
      </c>
      <c r="G4093">
        <v>1073320412</v>
      </c>
      <c r="H4093" t="s">
        <v>206</v>
      </c>
      <c r="I4093">
        <v>26</v>
      </c>
      <c r="J4093">
        <v>0</v>
      </c>
      <c r="K4093" s="1">
        <v>1288782</v>
      </c>
    </row>
    <row r="4094" spans="1:11" x14ac:dyDescent="0.25">
      <c r="A4094" t="s">
        <v>9</v>
      </c>
      <c r="B4094" t="s">
        <v>204</v>
      </c>
      <c r="C4094" t="s">
        <v>869</v>
      </c>
      <c r="D4094" t="s">
        <v>14</v>
      </c>
      <c r="E4094">
        <v>1</v>
      </c>
      <c r="F4094" s="2">
        <f>DATE(2026,IF(Tabla1[[#This Row],[Mes de Fecha]]="Septiembre",9,10),Tabla1[[#This Row],[Día de Fecha]])</f>
        <v>46296</v>
      </c>
      <c r="I4094">
        <v>0</v>
      </c>
      <c r="J4094" s="1">
        <v>4611478</v>
      </c>
      <c r="K4094">
        <v>0</v>
      </c>
    </row>
    <row r="4095" spans="1:11" x14ac:dyDescent="0.25">
      <c r="A4095" t="s">
        <v>9</v>
      </c>
      <c r="B4095" t="s">
        <v>204</v>
      </c>
      <c r="C4095" t="s">
        <v>869</v>
      </c>
      <c r="D4095" t="s">
        <v>14</v>
      </c>
      <c r="E4095">
        <v>1</v>
      </c>
      <c r="F4095" s="2">
        <f>DATE(2026,IF(Tabla1[[#This Row],[Mes de Fecha]]="Septiembre",9,10),Tabla1[[#This Row],[Día de Fecha]])</f>
        <v>46296</v>
      </c>
      <c r="G4095">
        <v>1007365607</v>
      </c>
      <c r="H4095" t="s">
        <v>205</v>
      </c>
      <c r="I4095">
        <v>35</v>
      </c>
      <c r="J4095">
        <v>0</v>
      </c>
      <c r="K4095" s="1">
        <v>1954331</v>
      </c>
    </row>
    <row r="4096" spans="1:11" x14ac:dyDescent="0.25">
      <c r="A4096" t="s">
        <v>9</v>
      </c>
      <c r="B4096" t="s">
        <v>204</v>
      </c>
      <c r="C4096" t="s">
        <v>869</v>
      </c>
      <c r="D4096" t="s">
        <v>14</v>
      </c>
      <c r="E4096">
        <v>1</v>
      </c>
      <c r="F4096" s="2">
        <f>DATE(2026,IF(Tabla1[[#This Row],[Mes de Fecha]]="Septiembre",9,10),Tabla1[[#This Row],[Día de Fecha]])</f>
        <v>46296</v>
      </c>
      <c r="G4096">
        <v>1073320412</v>
      </c>
      <c r="H4096" t="s">
        <v>206</v>
      </c>
      <c r="I4096">
        <v>32</v>
      </c>
      <c r="J4096">
        <v>0</v>
      </c>
      <c r="K4096" s="1">
        <v>1746475</v>
      </c>
    </row>
    <row r="4097" spans="1:11" x14ac:dyDescent="0.25">
      <c r="A4097" t="s">
        <v>9</v>
      </c>
      <c r="B4097" t="s">
        <v>204</v>
      </c>
      <c r="C4097" t="s">
        <v>869</v>
      </c>
      <c r="D4097" t="s">
        <v>14</v>
      </c>
      <c r="E4097">
        <v>2</v>
      </c>
      <c r="F4097" s="2">
        <f>DATE(2026,IF(Tabla1[[#This Row],[Mes de Fecha]]="Septiembre",9,10),Tabla1[[#This Row],[Día de Fecha]])</f>
        <v>46297</v>
      </c>
      <c r="I4097">
        <v>0</v>
      </c>
      <c r="J4097" s="1">
        <v>7349468</v>
      </c>
      <c r="K4097">
        <v>0</v>
      </c>
    </row>
    <row r="4098" spans="1:11" x14ac:dyDescent="0.25">
      <c r="A4098" t="s">
        <v>9</v>
      </c>
      <c r="B4098" t="s">
        <v>204</v>
      </c>
      <c r="C4098" t="s">
        <v>869</v>
      </c>
      <c r="D4098" t="s">
        <v>14</v>
      </c>
      <c r="E4098">
        <v>2</v>
      </c>
      <c r="F4098" s="2">
        <f>DATE(2026,IF(Tabla1[[#This Row],[Mes de Fecha]]="Septiembre",9,10),Tabla1[[#This Row],[Día de Fecha]])</f>
        <v>46297</v>
      </c>
      <c r="G4098">
        <v>1007365607</v>
      </c>
      <c r="H4098" t="s">
        <v>205</v>
      </c>
      <c r="I4098">
        <v>36</v>
      </c>
      <c r="J4098">
        <v>0</v>
      </c>
      <c r="K4098" s="1">
        <v>2000547</v>
      </c>
    </row>
    <row r="4099" spans="1:11" x14ac:dyDescent="0.25">
      <c r="A4099" t="s">
        <v>9</v>
      </c>
      <c r="B4099" t="s">
        <v>204</v>
      </c>
      <c r="C4099" t="s">
        <v>869</v>
      </c>
      <c r="D4099" t="s">
        <v>14</v>
      </c>
      <c r="E4099">
        <v>2</v>
      </c>
      <c r="F4099" s="2">
        <f>DATE(2026,IF(Tabla1[[#This Row],[Mes de Fecha]]="Septiembre",9,10),Tabla1[[#This Row],[Día de Fecha]])</f>
        <v>46297</v>
      </c>
      <c r="G4099">
        <v>1073320412</v>
      </c>
      <c r="H4099" t="s">
        <v>206</v>
      </c>
      <c r="I4099">
        <v>36</v>
      </c>
      <c r="J4099">
        <v>0</v>
      </c>
      <c r="K4099" s="1">
        <v>1891305</v>
      </c>
    </row>
    <row r="4100" spans="1:11" x14ac:dyDescent="0.25">
      <c r="A4100" t="s">
        <v>9</v>
      </c>
      <c r="B4100" t="s">
        <v>204</v>
      </c>
      <c r="C4100" t="s">
        <v>869</v>
      </c>
      <c r="D4100" t="s">
        <v>14</v>
      </c>
      <c r="E4100">
        <v>3</v>
      </c>
      <c r="F4100" s="2">
        <f>DATE(2026,IF(Tabla1[[#This Row],[Mes de Fecha]]="Septiembre",9,10),Tabla1[[#This Row],[Día de Fecha]])</f>
        <v>46298</v>
      </c>
      <c r="I4100">
        <v>0</v>
      </c>
      <c r="J4100" s="1">
        <v>9966389</v>
      </c>
      <c r="K4100">
        <v>0</v>
      </c>
    </row>
    <row r="4101" spans="1:11" x14ac:dyDescent="0.25">
      <c r="A4101" t="s">
        <v>9</v>
      </c>
      <c r="B4101" t="s">
        <v>204</v>
      </c>
      <c r="C4101" t="s">
        <v>869</v>
      </c>
      <c r="D4101" t="s">
        <v>14</v>
      </c>
      <c r="E4101">
        <v>3</v>
      </c>
      <c r="F4101" s="2">
        <f>DATE(2026,IF(Tabla1[[#This Row],[Mes de Fecha]]="Septiembre",9,10),Tabla1[[#This Row],[Día de Fecha]])</f>
        <v>46298</v>
      </c>
      <c r="G4101">
        <v>1007365607</v>
      </c>
      <c r="H4101" t="s">
        <v>205</v>
      </c>
      <c r="I4101">
        <v>63</v>
      </c>
      <c r="J4101">
        <v>0</v>
      </c>
      <c r="K4101" s="1">
        <v>3212381</v>
      </c>
    </row>
    <row r="4102" spans="1:11" x14ac:dyDescent="0.25">
      <c r="A4102" t="s">
        <v>9</v>
      </c>
      <c r="B4102" t="s">
        <v>204</v>
      </c>
      <c r="C4102" t="s">
        <v>869</v>
      </c>
      <c r="D4102" t="s">
        <v>14</v>
      </c>
      <c r="E4102">
        <v>3</v>
      </c>
      <c r="F4102" s="2">
        <f>DATE(2026,IF(Tabla1[[#This Row],[Mes de Fecha]]="Septiembre",9,10),Tabla1[[#This Row],[Día de Fecha]])</f>
        <v>46298</v>
      </c>
      <c r="G4102">
        <v>1073320412</v>
      </c>
      <c r="H4102" t="s">
        <v>206</v>
      </c>
      <c r="I4102">
        <v>45</v>
      </c>
      <c r="J4102">
        <v>0</v>
      </c>
      <c r="K4102" s="1">
        <v>2295229</v>
      </c>
    </row>
    <row r="4103" spans="1:11" x14ac:dyDescent="0.25">
      <c r="A4103" t="s">
        <v>9</v>
      </c>
      <c r="B4103" t="s">
        <v>204</v>
      </c>
      <c r="C4103" t="s">
        <v>869</v>
      </c>
      <c r="D4103" t="s">
        <v>14</v>
      </c>
      <c r="E4103">
        <v>4</v>
      </c>
      <c r="F4103" s="2">
        <f>DATE(2026,IF(Tabla1[[#This Row],[Mes de Fecha]]="Septiembre",9,10),Tabla1[[#This Row],[Día de Fecha]])</f>
        <v>46299</v>
      </c>
      <c r="I4103">
        <v>0</v>
      </c>
      <c r="J4103" s="1">
        <v>5165638</v>
      </c>
      <c r="K4103">
        <v>0</v>
      </c>
    </row>
    <row r="4104" spans="1:11" x14ac:dyDescent="0.25">
      <c r="A4104" t="s">
        <v>9</v>
      </c>
      <c r="B4104" t="s">
        <v>204</v>
      </c>
      <c r="C4104" t="s">
        <v>869</v>
      </c>
      <c r="D4104" t="s">
        <v>14</v>
      </c>
      <c r="E4104">
        <v>4</v>
      </c>
      <c r="F4104" s="2">
        <f>DATE(2026,IF(Tabla1[[#This Row],[Mes de Fecha]]="Septiembre",9,10),Tabla1[[#This Row],[Día de Fecha]])</f>
        <v>46299</v>
      </c>
      <c r="G4104">
        <v>1007365607</v>
      </c>
      <c r="H4104" t="s">
        <v>205</v>
      </c>
      <c r="I4104">
        <v>33</v>
      </c>
      <c r="J4104">
        <v>0</v>
      </c>
      <c r="K4104" s="1">
        <v>1872523</v>
      </c>
    </row>
    <row r="4105" spans="1:11" x14ac:dyDescent="0.25">
      <c r="A4105" t="s">
        <v>9</v>
      </c>
      <c r="B4105" t="s">
        <v>204</v>
      </c>
      <c r="C4105" t="s">
        <v>869</v>
      </c>
      <c r="D4105" t="s">
        <v>14</v>
      </c>
      <c r="E4105">
        <v>4</v>
      </c>
      <c r="F4105" s="2">
        <f>DATE(2026,IF(Tabla1[[#This Row],[Mes de Fecha]]="Septiembre",9,10),Tabla1[[#This Row],[Día de Fecha]])</f>
        <v>46299</v>
      </c>
      <c r="G4105">
        <v>1040490296</v>
      </c>
      <c r="H4105" t="s">
        <v>207</v>
      </c>
      <c r="I4105">
        <v>23</v>
      </c>
      <c r="J4105">
        <v>0</v>
      </c>
      <c r="K4105" s="1">
        <v>1186011</v>
      </c>
    </row>
    <row r="4106" spans="1:11" x14ac:dyDescent="0.25">
      <c r="A4106" t="s">
        <v>9</v>
      </c>
      <c r="B4106" t="s">
        <v>204</v>
      </c>
      <c r="C4106" t="s">
        <v>869</v>
      </c>
      <c r="D4106" t="s">
        <v>14</v>
      </c>
      <c r="E4106">
        <v>4</v>
      </c>
      <c r="F4106" s="2">
        <f>DATE(2026,IF(Tabla1[[#This Row],[Mes de Fecha]]="Septiembre",9,10),Tabla1[[#This Row],[Día de Fecha]])</f>
        <v>46299</v>
      </c>
      <c r="G4106">
        <v>1073320412</v>
      </c>
      <c r="H4106" t="s">
        <v>206</v>
      </c>
      <c r="I4106">
        <v>0</v>
      </c>
      <c r="J4106">
        <v>0</v>
      </c>
      <c r="K4106" s="1">
        <v>44529</v>
      </c>
    </row>
    <row r="4107" spans="1:11" x14ac:dyDescent="0.25">
      <c r="A4107" t="s">
        <v>9</v>
      </c>
      <c r="B4107" t="s">
        <v>204</v>
      </c>
      <c r="C4107" t="s">
        <v>869</v>
      </c>
      <c r="D4107" t="s">
        <v>14</v>
      </c>
      <c r="E4107">
        <v>5</v>
      </c>
      <c r="F4107" s="2">
        <f>DATE(2026,IF(Tabla1[[#This Row],[Mes de Fecha]]="Septiembre",9,10),Tabla1[[#This Row],[Día de Fecha]])</f>
        <v>46300</v>
      </c>
      <c r="I4107">
        <v>0</v>
      </c>
      <c r="J4107" s="1">
        <v>5389968</v>
      </c>
      <c r="K4107">
        <v>0</v>
      </c>
    </row>
    <row r="4108" spans="1:11" x14ac:dyDescent="0.25">
      <c r="A4108" t="s">
        <v>9</v>
      </c>
      <c r="B4108" t="s">
        <v>204</v>
      </c>
      <c r="C4108" t="s">
        <v>869</v>
      </c>
      <c r="D4108" t="s">
        <v>14</v>
      </c>
      <c r="E4108">
        <v>5</v>
      </c>
      <c r="F4108" s="2">
        <f>DATE(2026,IF(Tabla1[[#This Row],[Mes de Fecha]]="Septiembre",9,10),Tabla1[[#This Row],[Día de Fecha]])</f>
        <v>46300</v>
      </c>
      <c r="G4108">
        <v>1007365607</v>
      </c>
      <c r="H4108" t="s">
        <v>205</v>
      </c>
      <c r="I4108">
        <v>32</v>
      </c>
      <c r="J4108">
        <v>0</v>
      </c>
      <c r="K4108" s="1">
        <v>1645590</v>
      </c>
    </row>
    <row r="4109" spans="1:11" x14ac:dyDescent="0.25">
      <c r="A4109" t="s">
        <v>9</v>
      </c>
      <c r="B4109" t="s">
        <v>204</v>
      </c>
      <c r="C4109" t="s">
        <v>869</v>
      </c>
      <c r="D4109" t="s">
        <v>14</v>
      </c>
      <c r="E4109">
        <v>5</v>
      </c>
      <c r="F4109" s="2">
        <f>DATE(2026,IF(Tabla1[[#This Row],[Mes de Fecha]]="Septiembre",9,10),Tabla1[[#This Row],[Día de Fecha]])</f>
        <v>46300</v>
      </c>
      <c r="G4109">
        <v>1040490296</v>
      </c>
      <c r="H4109" t="s">
        <v>207</v>
      </c>
      <c r="I4109">
        <v>17</v>
      </c>
      <c r="J4109">
        <v>0</v>
      </c>
      <c r="K4109" s="1">
        <v>932018</v>
      </c>
    </row>
    <row r="4110" spans="1:11" x14ac:dyDescent="0.25">
      <c r="A4110" t="s">
        <v>9</v>
      </c>
      <c r="B4110" t="s">
        <v>204</v>
      </c>
      <c r="C4110" t="s">
        <v>869</v>
      </c>
      <c r="D4110" t="s">
        <v>14</v>
      </c>
      <c r="E4110">
        <v>5</v>
      </c>
      <c r="F4110" s="2">
        <f>DATE(2026,IF(Tabla1[[#This Row],[Mes de Fecha]]="Septiembre",9,10),Tabla1[[#This Row],[Día de Fecha]])</f>
        <v>46300</v>
      </c>
      <c r="G4110">
        <v>1073320412</v>
      </c>
      <c r="H4110" t="s">
        <v>206</v>
      </c>
      <c r="I4110">
        <v>16</v>
      </c>
      <c r="J4110">
        <v>0</v>
      </c>
      <c r="K4110" s="1">
        <v>709412</v>
      </c>
    </row>
    <row r="4111" spans="1:11" x14ac:dyDescent="0.25">
      <c r="A4111" t="s">
        <v>9</v>
      </c>
      <c r="B4111" t="s">
        <v>204</v>
      </c>
      <c r="C4111" t="s">
        <v>869</v>
      </c>
      <c r="D4111" t="s">
        <v>14</v>
      </c>
      <c r="E4111">
        <v>6</v>
      </c>
      <c r="F4111" s="2">
        <f>DATE(2026,IF(Tabla1[[#This Row],[Mes de Fecha]]="Septiembre",9,10),Tabla1[[#This Row],[Día de Fecha]])</f>
        <v>46301</v>
      </c>
      <c r="I4111">
        <v>0</v>
      </c>
      <c r="J4111" s="1">
        <v>2018660</v>
      </c>
      <c r="K4111">
        <v>0</v>
      </c>
    </row>
    <row r="4112" spans="1:11" x14ac:dyDescent="0.25">
      <c r="A4112" t="s">
        <v>9</v>
      </c>
      <c r="B4112" t="s">
        <v>204</v>
      </c>
      <c r="C4112" t="s">
        <v>869</v>
      </c>
      <c r="D4112" t="s">
        <v>14</v>
      </c>
      <c r="E4112">
        <v>6</v>
      </c>
      <c r="F4112" s="2">
        <f>DATE(2026,IF(Tabla1[[#This Row],[Mes de Fecha]]="Septiembre",9,10),Tabla1[[#This Row],[Día de Fecha]])</f>
        <v>46301</v>
      </c>
      <c r="G4112">
        <v>1007365607</v>
      </c>
      <c r="H4112" t="s">
        <v>205</v>
      </c>
      <c r="I4112">
        <v>17</v>
      </c>
      <c r="J4112">
        <v>0</v>
      </c>
      <c r="K4112" s="1">
        <v>925758</v>
      </c>
    </row>
    <row r="4113" spans="1:11" x14ac:dyDescent="0.25">
      <c r="A4113" t="s">
        <v>9</v>
      </c>
      <c r="B4113" t="s">
        <v>204</v>
      </c>
      <c r="C4113" t="s">
        <v>869</v>
      </c>
      <c r="D4113" t="s">
        <v>14</v>
      </c>
      <c r="E4113">
        <v>6</v>
      </c>
      <c r="F4113" s="2">
        <f>DATE(2026,IF(Tabla1[[#This Row],[Mes de Fecha]]="Septiembre",9,10),Tabla1[[#This Row],[Día de Fecha]])</f>
        <v>46301</v>
      </c>
      <c r="G4113">
        <v>1040490296</v>
      </c>
      <c r="H4113" t="s">
        <v>207</v>
      </c>
      <c r="I4113">
        <v>7</v>
      </c>
      <c r="J4113">
        <v>0</v>
      </c>
      <c r="K4113" s="1">
        <v>272817</v>
      </c>
    </row>
    <row r="4114" spans="1:11" x14ac:dyDescent="0.25">
      <c r="A4114" t="s">
        <v>9</v>
      </c>
      <c r="B4114" t="s">
        <v>204</v>
      </c>
      <c r="C4114" t="s">
        <v>869</v>
      </c>
      <c r="D4114" t="s">
        <v>14</v>
      </c>
      <c r="E4114">
        <v>6</v>
      </c>
      <c r="F4114" s="2">
        <f>DATE(2026,IF(Tabla1[[#This Row],[Mes de Fecha]]="Septiembre",9,10),Tabla1[[#This Row],[Día de Fecha]])</f>
        <v>46301</v>
      </c>
      <c r="G4114">
        <v>1073320412</v>
      </c>
      <c r="H4114" t="s">
        <v>206</v>
      </c>
      <c r="I4114">
        <v>13</v>
      </c>
      <c r="J4114">
        <v>0</v>
      </c>
      <c r="K4114" s="1">
        <v>852353</v>
      </c>
    </row>
    <row r="4115" spans="1:11" x14ac:dyDescent="0.25">
      <c r="A4115" t="s">
        <v>9</v>
      </c>
      <c r="B4115" t="s">
        <v>204</v>
      </c>
      <c r="C4115" t="s">
        <v>869</v>
      </c>
      <c r="D4115" t="s">
        <v>14</v>
      </c>
      <c r="E4115">
        <v>7</v>
      </c>
      <c r="F4115" s="2">
        <f>DATE(2026,IF(Tabla1[[#This Row],[Mes de Fecha]]="Septiembre",9,10),Tabla1[[#This Row],[Día de Fecha]])</f>
        <v>46302</v>
      </c>
      <c r="I4115">
        <v>0</v>
      </c>
      <c r="J4115" s="1">
        <v>1794980</v>
      </c>
      <c r="K4115">
        <v>0</v>
      </c>
    </row>
    <row r="4116" spans="1:11" x14ac:dyDescent="0.25">
      <c r="A4116" t="s">
        <v>9</v>
      </c>
      <c r="B4116" t="s">
        <v>204</v>
      </c>
      <c r="C4116" t="s">
        <v>869</v>
      </c>
      <c r="D4116" t="s">
        <v>14</v>
      </c>
      <c r="E4116">
        <v>7</v>
      </c>
      <c r="F4116" s="2">
        <f>DATE(2026,IF(Tabla1[[#This Row],[Mes de Fecha]]="Septiembre",9,10),Tabla1[[#This Row],[Día de Fecha]])</f>
        <v>46302</v>
      </c>
      <c r="G4116">
        <v>1007365607</v>
      </c>
      <c r="H4116" t="s">
        <v>205</v>
      </c>
      <c r="I4116">
        <v>47</v>
      </c>
      <c r="J4116">
        <v>0</v>
      </c>
      <c r="K4116" s="1">
        <v>2128236</v>
      </c>
    </row>
    <row r="4117" spans="1:11" x14ac:dyDescent="0.25">
      <c r="A4117" t="s">
        <v>9</v>
      </c>
      <c r="B4117" t="s">
        <v>204</v>
      </c>
      <c r="C4117" t="s">
        <v>869</v>
      </c>
      <c r="D4117" t="s">
        <v>14</v>
      </c>
      <c r="E4117">
        <v>7</v>
      </c>
      <c r="F4117" s="2">
        <f>DATE(2026,IF(Tabla1[[#This Row],[Mes de Fecha]]="Septiembre",9,10),Tabla1[[#This Row],[Día de Fecha]])</f>
        <v>46302</v>
      </c>
      <c r="G4117">
        <v>1073320412</v>
      </c>
      <c r="H4117" t="s">
        <v>206</v>
      </c>
      <c r="I4117">
        <v>14</v>
      </c>
      <c r="J4117">
        <v>0</v>
      </c>
      <c r="K4117" s="1">
        <v>980505</v>
      </c>
    </row>
    <row r="4118" spans="1:11" x14ac:dyDescent="0.25">
      <c r="A4118" t="s">
        <v>9</v>
      </c>
      <c r="B4118" t="s">
        <v>215</v>
      </c>
      <c r="C4118" t="s">
        <v>869</v>
      </c>
      <c r="D4118" t="s">
        <v>11</v>
      </c>
      <c r="E4118">
        <v>23</v>
      </c>
      <c r="F4118" s="2">
        <f>DATE(2026,IF(Tabla1[[#This Row],[Mes de Fecha]]="Septiembre",9,10),Tabla1[[#This Row],[Día de Fecha]])</f>
        <v>46288</v>
      </c>
      <c r="I4118">
        <v>0</v>
      </c>
      <c r="J4118" s="1">
        <v>3086696</v>
      </c>
      <c r="K4118">
        <v>0</v>
      </c>
    </row>
    <row r="4119" spans="1:11" x14ac:dyDescent="0.25">
      <c r="A4119" t="s">
        <v>9</v>
      </c>
      <c r="B4119" t="s">
        <v>215</v>
      </c>
      <c r="C4119" t="s">
        <v>869</v>
      </c>
      <c r="D4119" t="s">
        <v>11</v>
      </c>
      <c r="E4119">
        <v>23</v>
      </c>
      <c r="F4119" s="2">
        <f>DATE(2026,IF(Tabla1[[#This Row],[Mes de Fecha]]="Septiembre",9,10),Tabla1[[#This Row],[Día de Fecha]])</f>
        <v>46288</v>
      </c>
      <c r="G4119">
        <v>1408011</v>
      </c>
      <c r="H4119" t="s">
        <v>216</v>
      </c>
      <c r="I4119">
        <v>13</v>
      </c>
      <c r="J4119">
        <v>0</v>
      </c>
      <c r="K4119" s="1">
        <v>894412</v>
      </c>
    </row>
    <row r="4120" spans="1:11" x14ac:dyDescent="0.25">
      <c r="A4120" t="s">
        <v>9</v>
      </c>
      <c r="B4120" t="s">
        <v>215</v>
      </c>
      <c r="C4120" t="s">
        <v>869</v>
      </c>
      <c r="D4120" t="s">
        <v>11</v>
      </c>
      <c r="E4120">
        <v>23</v>
      </c>
      <c r="F4120" s="2">
        <f>DATE(2026,IF(Tabla1[[#This Row],[Mes de Fecha]]="Septiembre",9,10),Tabla1[[#This Row],[Día de Fecha]])</f>
        <v>46288</v>
      </c>
      <c r="G4120">
        <v>1006554373</v>
      </c>
      <c r="H4120" t="s">
        <v>218</v>
      </c>
      <c r="I4120">
        <v>34</v>
      </c>
      <c r="J4120">
        <v>0</v>
      </c>
      <c r="K4120" s="1">
        <v>1885128</v>
      </c>
    </row>
    <row r="4121" spans="1:11" x14ac:dyDescent="0.25">
      <c r="A4121" t="s">
        <v>9</v>
      </c>
      <c r="B4121" t="s">
        <v>215</v>
      </c>
      <c r="C4121" t="s">
        <v>869</v>
      </c>
      <c r="D4121" t="s">
        <v>11</v>
      </c>
      <c r="E4121">
        <v>23</v>
      </c>
      <c r="F4121" s="2">
        <f>DATE(2026,IF(Tabla1[[#This Row],[Mes de Fecha]]="Septiembre",9,10),Tabla1[[#This Row],[Día de Fecha]])</f>
        <v>46288</v>
      </c>
      <c r="G4121">
        <v>1193119149</v>
      </c>
      <c r="H4121" t="s">
        <v>217</v>
      </c>
      <c r="I4121">
        <v>38</v>
      </c>
      <c r="J4121">
        <v>0</v>
      </c>
      <c r="K4121" s="1">
        <v>2032021</v>
      </c>
    </row>
    <row r="4122" spans="1:11" x14ac:dyDescent="0.25">
      <c r="A4122" t="s">
        <v>9</v>
      </c>
      <c r="B4122" t="s">
        <v>215</v>
      </c>
      <c r="C4122" t="s">
        <v>869</v>
      </c>
      <c r="D4122" t="s">
        <v>11</v>
      </c>
      <c r="E4122">
        <v>24</v>
      </c>
      <c r="F4122" s="2">
        <f>DATE(2026,IF(Tabla1[[#This Row],[Mes de Fecha]]="Septiembre",9,10),Tabla1[[#This Row],[Día de Fecha]])</f>
        <v>46289</v>
      </c>
      <c r="I4122">
        <v>0</v>
      </c>
      <c r="J4122" s="1">
        <v>7982790</v>
      </c>
      <c r="K4122">
        <v>0</v>
      </c>
    </row>
    <row r="4123" spans="1:11" x14ac:dyDescent="0.25">
      <c r="A4123" t="s">
        <v>9</v>
      </c>
      <c r="B4123" t="s">
        <v>215</v>
      </c>
      <c r="C4123" t="s">
        <v>869</v>
      </c>
      <c r="D4123" t="s">
        <v>11</v>
      </c>
      <c r="E4123">
        <v>24</v>
      </c>
      <c r="F4123" s="2">
        <f>DATE(2026,IF(Tabla1[[#This Row],[Mes de Fecha]]="Septiembre",9,10),Tabla1[[#This Row],[Día de Fecha]])</f>
        <v>46289</v>
      </c>
      <c r="G4123">
        <v>1408011</v>
      </c>
      <c r="H4123" t="s">
        <v>216</v>
      </c>
      <c r="I4123">
        <v>9</v>
      </c>
      <c r="J4123">
        <v>0</v>
      </c>
      <c r="K4123" s="1">
        <v>592059</v>
      </c>
    </row>
    <row r="4124" spans="1:11" x14ac:dyDescent="0.25">
      <c r="A4124" t="s">
        <v>9</v>
      </c>
      <c r="B4124" t="s">
        <v>215</v>
      </c>
      <c r="C4124" t="s">
        <v>869</v>
      </c>
      <c r="D4124" t="s">
        <v>11</v>
      </c>
      <c r="E4124">
        <v>24</v>
      </c>
      <c r="F4124" s="2">
        <f>DATE(2026,IF(Tabla1[[#This Row],[Mes de Fecha]]="Septiembre",9,10),Tabla1[[#This Row],[Día de Fecha]])</f>
        <v>46289</v>
      </c>
      <c r="G4124">
        <v>1006554373</v>
      </c>
      <c r="H4124" t="s">
        <v>218</v>
      </c>
      <c r="I4124">
        <v>45</v>
      </c>
      <c r="J4124">
        <v>0</v>
      </c>
      <c r="K4124" s="1">
        <v>2670380</v>
      </c>
    </row>
    <row r="4125" spans="1:11" x14ac:dyDescent="0.25">
      <c r="A4125" t="s">
        <v>9</v>
      </c>
      <c r="B4125" t="s">
        <v>215</v>
      </c>
      <c r="C4125" t="s">
        <v>869</v>
      </c>
      <c r="D4125" t="s">
        <v>11</v>
      </c>
      <c r="E4125">
        <v>24</v>
      </c>
      <c r="F4125" s="2">
        <f>DATE(2026,IF(Tabla1[[#This Row],[Mes de Fecha]]="Septiembre",9,10),Tabla1[[#This Row],[Día de Fecha]])</f>
        <v>46289</v>
      </c>
      <c r="G4125">
        <v>1193119149</v>
      </c>
      <c r="H4125" t="s">
        <v>217</v>
      </c>
      <c r="I4125">
        <v>69</v>
      </c>
      <c r="J4125">
        <v>0</v>
      </c>
      <c r="K4125" s="1">
        <v>4007606</v>
      </c>
    </row>
    <row r="4126" spans="1:11" x14ac:dyDescent="0.25">
      <c r="A4126" t="s">
        <v>9</v>
      </c>
      <c r="B4126" t="s">
        <v>215</v>
      </c>
      <c r="C4126" t="s">
        <v>869</v>
      </c>
      <c r="D4126" t="s">
        <v>11</v>
      </c>
      <c r="E4126">
        <v>25</v>
      </c>
      <c r="F4126" s="2">
        <f>DATE(2026,IF(Tabla1[[#This Row],[Mes de Fecha]]="Septiembre",9,10),Tabla1[[#This Row],[Día de Fecha]])</f>
        <v>46290</v>
      </c>
      <c r="I4126">
        <v>0</v>
      </c>
      <c r="J4126" s="1">
        <v>8526053</v>
      </c>
      <c r="K4126">
        <v>0</v>
      </c>
    </row>
    <row r="4127" spans="1:11" x14ac:dyDescent="0.25">
      <c r="A4127" t="s">
        <v>9</v>
      </c>
      <c r="B4127" t="s">
        <v>215</v>
      </c>
      <c r="C4127" t="s">
        <v>869</v>
      </c>
      <c r="D4127" t="s">
        <v>11</v>
      </c>
      <c r="E4127">
        <v>25</v>
      </c>
      <c r="F4127" s="2">
        <f>DATE(2026,IF(Tabla1[[#This Row],[Mes de Fecha]]="Septiembre",9,10),Tabla1[[#This Row],[Día de Fecha]])</f>
        <v>46290</v>
      </c>
      <c r="G4127">
        <v>1408011</v>
      </c>
      <c r="H4127" t="s">
        <v>216</v>
      </c>
      <c r="I4127">
        <v>17</v>
      </c>
      <c r="J4127">
        <v>0</v>
      </c>
      <c r="K4127" s="1">
        <v>881640</v>
      </c>
    </row>
    <row r="4128" spans="1:11" x14ac:dyDescent="0.25">
      <c r="A4128" t="s">
        <v>9</v>
      </c>
      <c r="B4128" t="s">
        <v>215</v>
      </c>
      <c r="C4128" t="s">
        <v>869</v>
      </c>
      <c r="D4128" t="s">
        <v>11</v>
      </c>
      <c r="E4128">
        <v>25</v>
      </c>
      <c r="F4128" s="2">
        <f>DATE(2026,IF(Tabla1[[#This Row],[Mes de Fecha]]="Septiembre",9,10),Tabla1[[#This Row],[Día de Fecha]])</f>
        <v>46290</v>
      </c>
      <c r="G4128">
        <v>1006554373</v>
      </c>
      <c r="H4128" t="s">
        <v>218</v>
      </c>
      <c r="I4128">
        <v>60</v>
      </c>
      <c r="J4128">
        <v>0</v>
      </c>
      <c r="K4128" s="1">
        <v>3247481</v>
      </c>
    </row>
    <row r="4129" spans="1:11" x14ac:dyDescent="0.25">
      <c r="A4129" t="s">
        <v>9</v>
      </c>
      <c r="B4129" t="s">
        <v>215</v>
      </c>
      <c r="C4129" t="s">
        <v>869</v>
      </c>
      <c r="D4129" t="s">
        <v>11</v>
      </c>
      <c r="E4129">
        <v>25</v>
      </c>
      <c r="F4129" s="2">
        <f>DATE(2026,IF(Tabla1[[#This Row],[Mes de Fecha]]="Septiembre",9,10),Tabla1[[#This Row],[Día de Fecha]])</f>
        <v>46290</v>
      </c>
      <c r="G4129">
        <v>1193119149</v>
      </c>
      <c r="H4129" t="s">
        <v>217</v>
      </c>
      <c r="I4129">
        <v>42</v>
      </c>
      <c r="J4129">
        <v>0</v>
      </c>
      <c r="K4129" s="1">
        <v>2296600</v>
      </c>
    </row>
    <row r="4130" spans="1:11" x14ac:dyDescent="0.25">
      <c r="A4130" t="s">
        <v>9</v>
      </c>
      <c r="B4130" t="s">
        <v>215</v>
      </c>
      <c r="C4130" t="s">
        <v>869</v>
      </c>
      <c r="D4130" t="s">
        <v>11</v>
      </c>
      <c r="E4130">
        <v>26</v>
      </c>
      <c r="F4130" s="2">
        <f>DATE(2026,IF(Tabla1[[#This Row],[Mes de Fecha]]="Septiembre",9,10),Tabla1[[#This Row],[Día de Fecha]])</f>
        <v>46291</v>
      </c>
      <c r="I4130">
        <v>0</v>
      </c>
      <c r="J4130" s="1">
        <v>10751140</v>
      </c>
      <c r="K4130">
        <v>0</v>
      </c>
    </row>
    <row r="4131" spans="1:11" x14ac:dyDescent="0.25">
      <c r="A4131" t="s">
        <v>9</v>
      </c>
      <c r="B4131" t="s">
        <v>215</v>
      </c>
      <c r="C4131" t="s">
        <v>869</v>
      </c>
      <c r="D4131" t="s">
        <v>11</v>
      </c>
      <c r="E4131">
        <v>26</v>
      </c>
      <c r="F4131" s="2">
        <f>DATE(2026,IF(Tabla1[[#This Row],[Mes de Fecha]]="Septiembre",9,10),Tabla1[[#This Row],[Día de Fecha]])</f>
        <v>46291</v>
      </c>
      <c r="G4131">
        <v>1408011</v>
      </c>
      <c r="H4131" t="s">
        <v>216</v>
      </c>
      <c r="I4131">
        <v>24</v>
      </c>
      <c r="J4131">
        <v>0</v>
      </c>
      <c r="K4131" s="1">
        <v>1219496</v>
      </c>
    </row>
    <row r="4132" spans="1:11" x14ac:dyDescent="0.25">
      <c r="A4132" t="s">
        <v>9</v>
      </c>
      <c r="B4132" t="s">
        <v>215</v>
      </c>
      <c r="C4132" t="s">
        <v>869</v>
      </c>
      <c r="D4132" t="s">
        <v>11</v>
      </c>
      <c r="E4132">
        <v>26</v>
      </c>
      <c r="F4132" s="2">
        <f>DATE(2026,IF(Tabla1[[#This Row],[Mes de Fecha]]="Septiembre",9,10),Tabla1[[#This Row],[Día de Fecha]])</f>
        <v>46291</v>
      </c>
      <c r="G4132">
        <v>1006554373</v>
      </c>
      <c r="H4132" t="s">
        <v>218</v>
      </c>
      <c r="I4132">
        <v>68</v>
      </c>
      <c r="J4132">
        <v>0</v>
      </c>
      <c r="K4132" s="1">
        <v>3435759</v>
      </c>
    </row>
    <row r="4133" spans="1:11" x14ac:dyDescent="0.25">
      <c r="A4133" t="s">
        <v>9</v>
      </c>
      <c r="B4133" t="s">
        <v>215</v>
      </c>
      <c r="C4133" t="s">
        <v>869</v>
      </c>
      <c r="D4133" t="s">
        <v>11</v>
      </c>
      <c r="E4133">
        <v>26</v>
      </c>
      <c r="F4133" s="2">
        <f>DATE(2026,IF(Tabla1[[#This Row],[Mes de Fecha]]="Septiembre",9,10),Tabla1[[#This Row],[Día de Fecha]])</f>
        <v>46291</v>
      </c>
      <c r="G4133">
        <v>1193119149</v>
      </c>
      <c r="H4133" t="s">
        <v>217</v>
      </c>
      <c r="I4133">
        <v>62</v>
      </c>
      <c r="J4133">
        <v>0</v>
      </c>
      <c r="K4133" s="1">
        <v>3156643</v>
      </c>
    </row>
    <row r="4134" spans="1:11" x14ac:dyDescent="0.25">
      <c r="A4134" t="s">
        <v>9</v>
      </c>
      <c r="B4134" t="s">
        <v>215</v>
      </c>
      <c r="C4134" t="s">
        <v>869</v>
      </c>
      <c r="D4134" t="s">
        <v>11</v>
      </c>
      <c r="E4134">
        <v>27</v>
      </c>
      <c r="F4134" s="2">
        <f>DATE(2026,IF(Tabla1[[#This Row],[Mes de Fecha]]="Septiembre",9,10),Tabla1[[#This Row],[Día de Fecha]])</f>
        <v>46292</v>
      </c>
      <c r="I4134">
        <v>0</v>
      </c>
      <c r="J4134" s="1">
        <v>5676499</v>
      </c>
      <c r="K4134">
        <v>0</v>
      </c>
    </row>
    <row r="4135" spans="1:11" x14ac:dyDescent="0.25">
      <c r="A4135" t="s">
        <v>9</v>
      </c>
      <c r="B4135" t="s">
        <v>215</v>
      </c>
      <c r="C4135" t="s">
        <v>869</v>
      </c>
      <c r="D4135" t="s">
        <v>11</v>
      </c>
      <c r="E4135">
        <v>27</v>
      </c>
      <c r="F4135" s="2">
        <f>DATE(2026,IF(Tabla1[[#This Row],[Mes de Fecha]]="Septiembre",9,10),Tabla1[[#This Row],[Día de Fecha]])</f>
        <v>46292</v>
      </c>
      <c r="G4135">
        <v>1408011</v>
      </c>
      <c r="H4135" t="s">
        <v>216</v>
      </c>
      <c r="I4135">
        <v>2</v>
      </c>
      <c r="J4135">
        <v>0</v>
      </c>
      <c r="K4135" s="1">
        <v>92353</v>
      </c>
    </row>
    <row r="4136" spans="1:11" x14ac:dyDescent="0.25">
      <c r="A4136" t="s">
        <v>9</v>
      </c>
      <c r="B4136" t="s">
        <v>215</v>
      </c>
      <c r="C4136" t="s">
        <v>869</v>
      </c>
      <c r="D4136" t="s">
        <v>11</v>
      </c>
      <c r="E4136">
        <v>27</v>
      </c>
      <c r="F4136" s="2">
        <f>DATE(2026,IF(Tabla1[[#This Row],[Mes de Fecha]]="Septiembre",9,10),Tabla1[[#This Row],[Día de Fecha]])</f>
        <v>46292</v>
      </c>
      <c r="G4136">
        <v>1006554373</v>
      </c>
      <c r="H4136" t="s">
        <v>218</v>
      </c>
      <c r="I4136">
        <v>68</v>
      </c>
      <c r="J4136">
        <v>0</v>
      </c>
      <c r="K4136" s="1">
        <v>3254833</v>
      </c>
    </row>
    <row r="4137" spans="1:11" x14ac:dyDescent="0.25">
      <c r="A4137" t="s">
        <v>9</v>
      </c>
      <c r="B4137" t="s">
        <v>215</v>
      </c>
      <c r="C4137" t="s">
        <v>869</v>
      </c>
      <c r="D4137" t="s">
        <v>11</v>
      </c>
      <c r="E4137">
        <v>27</v>
      </c>
      <c r="F4137" s="2">
        <f>DATE(2026,IF(Tabla1[[#This Row],[Mes de Fecha]]="Septiembre",9,10),Tabla1[[#This Row],[Día de Fecha]])</f>
        <v>46292</v>
      </c>
      <c r="G4137">
        <v>1193119149</v>
      </c>
      <c r="H4137" t="s">
        <v>217</v>
      </c>
      <c r="I4137">
        <v>65</v>
      </c>
      <c r="J4137">
        <v>0</v>
      </c>
      <c r="K4137" s="1">
        <v>3305927</v>
      </c>
    </row>
    <row r="4138" spans="1:11" x14ac:dyDescent="0.25">
      <c r="A4138" t="s">
        <v>9</v>
      </c>
      <c r="B4138" t="s">
        <v>215</v>
      </c>
      <c r="C4138" t="s">
        <v>869</v>
      </c>
      <c r="D4138" t="s">
        <v>11</v>
      </c>
      <c r="E4138">
        <v>28</v>
      </c>
      <c r="F4138" s="2">
        <f>DATE(2026,IF(Tabla1[[#This Row],[Mes de Fecha]]="Septiembre",9,10),Tabla1[[#This Row],[Día de Fecha]])</f>
        <v>46293</v>
      </c>
      <c r="I4138">
        <v>0</v>
      </c>
      <c r="J4138" s="1">
        <v>4654113</v>
      </c>
      <c r="K4138">
        <v>0</v>
      </c>
    </row>
    <row r="4139" spans="1:11" x14ac:dyDescent="0.25">
      <c r="A4139" t="s">
        <v>9</v>
      </c>
      <c r="B4139" t="s">
        <v>215</v>
      </c>
      <c r="C4139" t="s">
        <v>869</v>
      </c>
      <c r="D4139" t="s">
        <v>11</v>
      </c>
      <c r="E4139">
        <v>28</v>
      </c>
      <c r="F4139" s="2">
        <f>DATE(2026,IF(Tabla1[[#This Row],[Mes de Fecha]]="Septiembre",9,10),Tabla1[[#This Row],[Día de Fecha]])</f>
        <v>46293</v>
      </c>
      <c r="G4139">
        <v>1408011</v>
      </c>
      <c r="H4139" t="s">
        <v>216</v>
      </c>
      <c r="I4139">
        <v>6</v>
      </c>
      <c r="J4139">
        <v>0</v>
      </c>
      <c r="K4139" s="1">
        <v>331597</v>
      </c>
    </row>
    <row r="4140" spans="1:11" x14ac:dyDescent="0.25">
      <c r="A4140" t="s">
        <v>9</v>
      </c>
      <c r="B4140" t="s">
        <v>215</v>
      </c>
      <c r="C4140" t="s">
        <v>869</v>
      </c>
      <c r="D4140" t="s">
        <v>11</v>
      </c>
      <c r="E4140">
        <v>28</v>
      </c>
      <c r="F4140" s="2">
        <f>DATE(2026,IF(Tabla1[[#This Row],[Mes de Fecha]]="Septiembre",9,10),Tabla1[[#This Row],[Día de Fecha]])</f>
        <v>46293</v>
      </c>
      <c r="G4140">
        <v>1006554373</v>
      </c>
      <c r="H4140" t="s">
        <v>218</v>
      </c>
      <c r="I4140">
        <v>11</v>
      </c>
      <c r="J4140">
        <v>0</v>
      </c>
      <c r="K4140" s="1">
        <v>684285</v>
      </c>
    </row>
    <row r="4141" spans="1:11" x14ac:dyDescent="0.25">
      <c r="A4141" t="s">
        <v>9</v>
      </c>
      <c r="B4141" t="s">
        <v>215</v>
      </c>
      <c r="C4141" t="s">
        <v>869</v>
      </c>
      <c r="D4141" t="s">
        <v>11</v>
      </c>
      <c r="E4141">
        <v>28</v>
      </c>
      <c r="F4141" s="2">
        <f>DATE(2026,IF(Tabla1[[#This Row],[Mes de Fecha]]="Septiembre",9,10),Tabla1[[#This Row],[Día de Fecha]])</f>
        <v>46293</v>
      </c>
      <c r="G4141">
        <v>1193119149</v>
      </c>
      <c r="H4141" t="s">
        <v>217</v>
      </c>
      <c r="I4141">
        <v>10</v>
      </c>
      <c r="J4141">
        <v>0</v>
      </c>
      <c r="K4141" s="1">
        <v>499580</v>
      </c>
    </row>
    <row r="4142" spans="1:11" x14ac:dyDescent="0.25">
      <c r="A4142" t="s">
        <v>9</v>
      </c>
      <c r="B4142" t="s">
        <v>215</v>
      </c>
      <c r="C4142" t="s">
        <v>869</v>
      </c>
      <c r="D4142" t="s">
        <v>11</v>
      </c>
      <c r="E4142">
        <v>29</v>
      </c>
      <c r="F4142" s="2">
        <f>DATE(2026,IF(Tabla1[[#This Row],[Mes de Fecha]]="Septiembre",9,10),Tabla1[[#This Row],[Día de Fecha]])</f>
        <v>46294</v>
      </c>
      <c r="I4142">
        <v>0</v>
      </c>
      <c r="J4142" s="1">
        <v>5173996</v>
      </c>
      <c r="K4142">
        <v>0</v>
      </c>
    </row>
    <row r="4143" spans="1:11" x14ac:dyDescent="0.25">
      <c r="A4143" t="s">
        <v>9</v>
      </c>
      <c r="B4143" t="s">
        <v>215</v>
      </c>
      <c r="C4143" t="s">
        <v>869</v>
      </c>
      <c r="D4143" t="s">
        <v>11</v>
      </c>
      <c r="E4143">
        <v>29</v>
      </c>
      <c r="F4143" s="2">
        <f>DATE(2026,IF(Tabla1[[#This Row],[Mes de Fecha]]="Septiembre",9,10),Tabla1[[#This Row],[Día de Fecha]])</f>
        <v>46294</v>
      </c>
      <c r="G4143">
        <v>1408011</v>
      </c>
      <c r="H4143" t="s">
        <v>216</v>
      </c>
      <c r="I4143">
        <v>25</v>
      </c>
      <c r="J4143">
        <v>0</v>
      </c>
      <c r="K4143" s="1">
        <v>1397985</v>
      </c>
    </row>
    <row r="4144" spans="1:11" x14ac:dyDescent="0.25">
      <c r="A4144" t="s">
        <v>9</v>
      </c>
      <c r="B4144" t="s">
        <v>215</v>
      </c>
      <c r="C4144" t="s">
        <v>869</v>
      </c>
      <c r="D4144" t="s">
        <v>11</v>
      </c>
      <c r="E4144">
        <v>29</v>
      </c>
      <c r="F4144" s="2">
        <f>DATE(2026,IF(Tabla1[[#This Row],[Mes de Fecha]]="Septiembre",9,10),Tabla1[[#This Row],[Día de Fecha]])</f>
        <v>46294</v>
      </c>
      <c r="G4144">
        <v>1006554373</v>
      </c>
      <c r="H4144" t="s">
        <v>218</v>
      </c>
      <c r="I4144">
        <v>0</v>
      </c>
      <c r="J4144">
        <v>0</v>
      </c>
      <c r="K4144" s="1">
        <v>-4201</v>
      </c>
    </row>
    <row r="4145" spans="1:11" x14ac:dyDescent="0.25">
      <c r="A4145" t="s">
        <v>9</v>
      </c>
      <c r="B4145" t="s">
        <v>215</v>
      </c>
      <c r="C4145" t="s">
        <v>869</v>
      </c>
      <c r="D4145" t="s">
        <v>11</v>
      </c>
      <c r="E4145">
        <v>29</v>
      </c>
      <c r="F4145" s="2">
        <f>DATE(2026,IF(Tabla1[[#This Row],[Mes de Fecha]]="Septiembre",9,10),Tabla1[[#This Row],[Día de Fecha]])</f>
        <v>46294</v>
      </c>
      <c r="G4145">
        <v>1193119149</v>
      </c>
      <c r="H4145" t="s">
        <v>217</v>
      </c>
      <c r="I4145">
        <v>41</v>
      </c>
      <c r="J4145">
        <v>0</v>
      </c>
      <c r="K4145" s="1">
        <v>2214497</v>
      </c>
    </row>
    <row r="4146" spans="1:11" x14ac:dyDescent="0.25">
      <c r="A4146" t="s">
        <v>9</v>
      </c>
      <c r="B4146" t="s">
        <v>215</v>
      </c>
      <c r="C4146" t="s">
        <v>869</v>
      </c>
      <c r="D4146" t="s">
        <v>11</v>
      </c>
      <c r="E4146">
        <v>30</v>
      </c>
      <c r="F4146" s="2">
        <f>DATE(2026,IF(Tabla1[[#This Row],[Mes de Fecha]]="Septiembre",9,10),Tabla1[[#This Row],[Día de Fecha]])</f>
        <v>46295</v>
      </c>
      <c r="I4146">
        <v>0</v>
      </c>
      <c r="J4146" s="1">
        <v>5479427</v>
      </c>
      <c r="K4146">
        <v>0</v>
      </c>
    </row>
    <row r="4147" spans="1:11" x14ac:dyDescent="0.25">
      <c r="A4147" t="s">
        <v>9</v>
      </c>
      <c r="B4147" t="s">
        <v>215</v>
      </c>
      <c r="C4147" t="s">
        <v>869</v>
      </c>
      <c r="D4147" t="s">
        <v>11</v>
      </c>
      <c r="E4147">
        <v>30</v>
      </c>
      <c r="F4147" s="2">
        <f>DATE(2026,IF(Tabla1[[#This Row],[Mes de Fecha]]="Septiembre",9,10),Tabla1[[#This Row],[Día de Fecha]])</f>
        <v>46295</v>
      </c>
      <c r="G4147">
        <v>1408011</v>
      </c>
      <c r="H4147" t="s">
        <v>216</v>
      </c>
      <c r="I4147">
        <v>29</v>
      </c>
      <c r="J4147">
        <v>0</v>
      </c>
      <c r="K4147" s="1">
        <v>1448235</v>
      </c>
    </row>
    <row r="4148" spans="1:11" x14ac:dyDescent="0.25">
      <c r="A4148" t="s">
        <v>9</v>
      </c>
      <c r="B4148" t="s">
        <v>215</v>
      </c>
      <c r="C4148" t="s">
        <v>869</v>
      </c>
      <c r="D4148" t="s">
        <v>11</v>
      </c>
      <c r="E4148">
        <v>30</v>
      </c>
      <c r="F4148" s="2">
        <f>DATE(2026,IF(Tabla1[[#This Row],[Mes de Fecha]]="Septiembre",9,10),Tabla1[[#This Row],[Día de Fecha]])</f>
        <v>46295</v>
      </c>
      <c r="G4148">
        <v>1006554373</v>
      </c>
      <c r="H4148" t="s">
        <v>218</v>
      </c>
      <c r="I4148">
        <v>15</v>
      </c>
      <c r="J4148">
        <v>0</v>
      </c>
      <c r="K4148" s="1">
        <v>709370</v>
      </c>
    </row>
    <row r="4149" spans="1:11" x14ac:dyDescent="0.25">
      <c r="A4149" t="s">
        <v>9</v>
      </c>
      <c r="B4149" t="s">
        <v>215</v>
      </c>
      <c r="C4149" t="s">
        <v>869</v>
      </c>
      <c r="D4149" t="s">
        <v>11</v>
      </c>
      <c r="E4149">
        <v>30</v>
      </c>
      <c r="F4149" s="2">
        <f>DATE(2026,IF(Tabla1[[#This Row],[Mes de Fecha]]="Septiembre",9,10),Tabla1[[#This Row],[Día de Fecha]])</f>
        <v>46295</v>
      </c>
      <c r="G4149">
        <v>1193119149</v>
      </c>
      <c r="H4149" t="s">
        <v>217</v>
      </c>
      <c r="I4149">
        <v>0</v>
      </c>
      <c r="J4149">
        <v>0</v>
      </c>
      <c r="K4149" s="1">
        <v>67227</v>
      </c>
    </row>
    <row r="4150" spans="1:11" x14ac:dyDescent="0.25">
      <c r="A4150" t="s">
        <v>9</v>
      </c>
      <c r="B4150" t="s">
        <v>215</v>
      </c>
      <c r="C4150" t="s">
        <v>869</v>
      </c>
      <c r="D4150" t="s">
        <v>14</v>
      </c>
      <c r="E4150">
        <v>1</v>
      </c>
      <c r="F4150" s="2">
        <f>DATE(2026,IF(Tabla1[[#This Row],[Mes de Fecha]]="Septiembre",9,10),Tabla1[[#This Row],[Día de Fecha]])</f>
        <v>46296</v>
      </c>
      <c r="I4150">
        <v>0</v>
      </c>
      <c r="J4150" s="1">
        <v>4748152</v>
      </c>
      <c r="K4150">
        <v>0</v>
      </c>
    </row>
    <row r="4151" spans="1:11" x14ac:dyDescent="0.25">
      <c r="A4151" t="s">
        <v>9</v>
      </c>
      <c r="B4151" t="s">
        <v>215</v>
      </c>
      <c r="C4151" t="s">
        <v>869</v>
      </c>
      <c r="D4151" t="s">
        <v>14</v>
      </c>
      <c r="E4151">
        <v>1</v>
      </c>
      <c r="F4151" s="2">
        <f>DATE(2026,IF(Tabla1[[#This Row],[Mes de Fecha]]="Septiembre",9,10),Tabla1[[#This Row],[Día de Fecha]])</f>
        <v>46296</v>
      </c>
      <c r="G4151">
        <v>1408011</v>
      </c>
      <c r="H4151" t="s">
        <v>216</v>
      </c>
      <c r="I4151">
        <v>37</v>
      </c>
      <c r="J4151">
        <v>0</v>
      </c>
      <c r="K4151" s="1">
        <v>2439495</v>
      </c>
    </row>
    <row r="4152" spans="1:11" x14ac:dyDescent="0.25">
      <c r="A4152" t="s">
        <v>9</v>
      </c>
      <c r="B4152" t="s">
        <v>215</v>
      </c>
      <c r="C4152" t="s">
        <v>869</v>
      </c>
      <c r="D4152" t="s">
        <v>14</v>
      </c>
      <c r="E4152">
        <v>1</v>
      </c>
      <c r="F4152" s="2">
        <f>DATE(2026,IF(Tabla1[[#This Row],[Mes de Fecha]]="Septiembre",9,10),Tabla1[[#This Row],[Día de Fecha]])</f>
        <v>46296</v>
      </c>
      <c r="G4152">
        <v>1006554373</v>
      </c>
      <c r="H4152" t="s">
        <v>218</v>
      </c>
      <c r="I4152">
        <v>1</v>
      </c>
      <c r="J4152">
        <v>0</v>
      </c>
      <c r="K4152" s="1">
        <v>50378</v>
      </c>
    </row>
    <row r="4153" spans="1:11" x14ac:dyDescent="0.25">
      <c r="A4153" t="s">
        <v>9</v>
      </c>
      <c r="B4153" t="s">
        <v>215</v>
      </c>
      <c r="C4153" t="s">
        <v>869</v>
      </c>
      <c r="D4153" t="s">
        <v>14</v>
      </c>
      <c r="E4153">
        <v>1</v>
      </c>
      <c r="F4153" s="2">
        <f>DATE(2026,IF(Tabla1[[#This Row],[Mes de Fecha]]="Septiembre",9,10),Tabla1[[#This Row],[Día de Fecha]])</f>
        <v>46296</v>
      </c>
      <c r="G4153">
        <v>1193119149</v>
      </c>
      <c r="H4153" t="s">
        <v>217</v>
      </c>
      <c r="I4153">
        <v>68</v>
      </c>
      <c r="J4153">
        <v>0</v>
      </c>
      <c r="K4153" s="1">
        <v>3744877</v>
      </c>
    </row>
    <row r="4154" spans="1:11" x14ac:dyDescent="0.25">
      <c r="A4154" t="s">
        <v>9</v>
      </c>
      <c r="B4154" t="s">
        <v>215</v>
      </c>
      <c r="C4154" t="s">
        <v>869</v>
      </c>
      <c r="D4154" t="s">
        <v>14</v>
      </c>
      <c r="E4154">
        <v>2</v>
      </c>
      <c r="F4154" s="2">
        <f>DATE(2026,IF(Tabla1[[#This Row],[Mes de Fecha]]="Septiembre",9,10),Tabla1[[#This Row],[Día de Fecha]])</f>
        <v>46297</v>
      </c>
      <c r="I4154">
        <v>0</v>
      </c>
      <c r="J4154" s="1">
        <v>6252544</v>
      </c>
      <c r="K4154">
        <v>0</v>
      </c>
    </row>
    <row r="4155" spans="1:11" x14ac:dyDescent="0.25">
      <c r="A4155" t="s">
        <v>9</v>
      </c>
      <c r="B4155" t="s">
        <v>215</v>
      </c>
      <c r="C4155" t="s">
        <v>869</v>
      </c>
      <c r="D4155" t="s">
        <v>14</v>
      </c>
      <c r="E4155">
        <v>2</v>
      </c>
      <c r="F4155" s="2">
        <f>DATE(2026,IF(Tabla1[[#This Row],[Mes de Fecha]]="Septiembre",9,10),Tabla1[[#This Row],[Día de Fecha]])</f>
        <v>46297</v>
      </c>
      <c r="G4155">
        <v>1408011</v>
      </c>
      <c r="H4155" t="s">
        <v>216</v>
      </c>
      <c r="I4155">
        <v>1</v>
      </c>
      <c r="J4155">
        <v>0</v>
      </c>
      <c r="K4155" s="1">
        <v>37773</v>
      </c>
    </row>
    <row r="4156" spans="1:11" x14ac:dyDescent="0.25">
      <c r="A4156" t="s">
        <v>9</v>
      </c>
      <c r="B4156" t="s">
        <v>215</v>
      </c>
      <c r="C4156" t="s">
        <v>869</v>
      </c>
      <c r="D4156" t="s">
        <v>14</v>
      </c>
      <c r="E4156">
        <v>2</v>
      </c>
      <c r="F4156" s="2">
        <f>DATE(2026,IF(Tabla1[[#This Row],[Mes de Fecha]]="Septiembre",9,10),Tabla1[[#This Row],[Día de Fecha]])</f>
        <v>46297</v>
      </c>
      <c r="G4156">
        <v>1006554373</v>
      </c>
      <c r="H4156" t="s">
        <v>218</v>
      </c>
      <c r="I4156">
        <v>40</v>
      </c>
      <c r="J4156">
        <v>0</v>
      </c>
      <c r="K4156" s="1">
        <v>2222901</v>
      </c>
    </row>
    <row r="4157" spans="1:11" x14ac:dyDescent="0.25">
      <c r="A4157" t="s">
        <v>9</v>
      </c>
      <c r="B4157" t="s">
        <v>215</v>
      </c>
      <c r="C4157" t="s">
        <v>869</v>
      </c>
      <c r="D4157" t="s">
        <v>14</v>
      </c>
      <c r="E4157">
        <v>2</v>
      </c>
      <c r="F4157" s="2">
        <f>DATE(2026,IF(Tabla1[[#This Row],[Mes de Fecha]]="Septiembre",9,10),Tabla1[[#This Row],[Día de Fecha]])</f>
        <v>46297</v>
      </c>
      <c r="G4157">
        <v>1193119149</v>
      </c>
      <c r="H4157" t="s">
        <v>217</v>
      </c>
      <c r="I4157">
        <v>29</v>
      </c>
      <c r="J4157">
        <v>0</v>
      </c>
      <c r="K4157" s="1">
        <v>1498699</v>
      </c>
    </row>
    <row r="4158" spans="1:11" x14ac:dyDescent="0.25">
      <c r="A4158" t="s">
        <v>9</v>
      </c>
      <c r="B4158" t="s">
        <v>215</v>
      </c>
      <c r="C4158" t="s">
        <v>869</v>
      </c>
      <c r="D4158" t="s">
        <v>14</v>
      </c>
      <c r="E4158">
        <v>3</v>
      </c>
      <c r="F4158" s="2">
        <f>DATE(2026,IF(Tabla1[[#This Row],[Mes de Fecha]]="Septiembre",9,10),Tabla1[[#This Row],[Día de Fecha]])</f>
        <v>46298</v>
      </c>
      <c r="I4158">
        <v>0</v>
      </c>
      <c r="J4158" s="1">
        <v>6932142</v>
      </c>
      <c r="K4158">
        <v>0</v>
      </c>
    </row>
    <row r="4159" spans="1:11" x14ac:dyDescent="0.25">
      <c r="A4159" t="s">
        <v>9</v>
      </c>
      <c r="B4159" t="s">
        <v>215</v>
      </c>
      <c r="C4159" t="s">
        <v>869</v>
      </c>
      <c r="D4159" t="s">
        <v>14</v>
      </c>
      <c r="E4159">
        <v>3</v>
      </c>
      <c r="F4159" s="2">
        <f>DATE(2026,IF(Tabla1[[#This Row],[Mes de Fecha]]="Septiembre",9,10),Tabla1[[#This Row],[Día de Fecha]])</f>
        <v>46298</v>
      </c>
      <c r="G4159">
        <v>1408011</v>
      </c>
      <c r="H4159" t="s">
        <v>216</v>
      </c>
      <c r="I4159">
        <v>2</v>
      </c>
      <c r="J4159">
        <v>0</v>
      </c>
      <c r="K4159" s="1">
        <v>98656</v>
      </c>
    </row>
    <row r="4160" spans="1:11" x14ac:dyDescent="0.25">
      <c r="A4160" t="s">
        <v>9</v>
      </c>
      <c r="B4160" t="s">
        <v>215</v>
      </c>
      <c r="C4160" t="s">
        <v>869</v>
      </c>
      <c r="D4160" t="s">
        <v>14</v>
      </c>
      <c r="E4160">
        <v>3</v>
      </c>
      <c r="F4160" s="2">
        <f>DATE(2026,IF(Tabla1[[#This Row],[Mes de Fecha]]="Septiembre",9,10),Tabla1[[#This Row],[Día de Fecha]])</f>
        <v>46298</v>
      </c>
      <c r="G4160">
        <v>1006554373</v>
      </c>
      <c r="H4160" t="s">
        <v>218</v>
      </c>
      <c r="I4160">
        <v>53</v>
      </c>
      <c r="J4160">
        <v>0</v>
      </c>
      <c r="K4160" s="1">
        <v>2698943</v>
      </c>
    </row>
    <row r="4161" spans="1:11" x14ac:dyDescent="0.25">
      <c r="A4161" t="s">
        <v>9</v>
      </c>
      <c r="B4161" t="s">
        <v>215</v>
      </c>
      <c r="C4161" t="s">
        <v>869</v>
      </c>
      <c r="D4161" t="s">
        <v>14</v>
      </c>
      <c r="E4161">
        <v>3</v>
      </c>
      <c r="F4161" s="2">
        <f>DATE(2026,IF(Tabla1[[#This Row],[Mes de Fecha]]="Septiembre",9,10),Tabla1[[#This Row],[Día de Fecha]])</f>
        <v>46298</v>
      </c>
      <c r="G4161">
        <v>1193119149</v>
      </c>
      <c r="H4161" t="s">
        <v>217</v>
      </c>
      <c r="I4161">
        <v>42</v>
      </c>
      <c r="J4161">
        <v>0</v>
      </c>
      <c r="K4161" s="1">
        <v>2094020</v>
      </c>
    </row>
    <row r="4162" spans="1:11" x14ac:dyDescent="0.25">
      <c r="A4162" t="s">
        <v>9</v>
      </c>
      <c r="B4162" t="s">
        <v>215</v>
      </c>
      <c r="C4162" t="s">
        <v>869</v>
      </c>
      <c r="D4162" t="s">
        <v>14</v>
      </c>
      <c r="E4162">
        <v>4</v>
      </c>
      <c r="F4162" s="2">
        <f>DATE(2026,IF(Tabla1[[#This Row],[Mes de Fecha]]="Septiembre",9,10),Tabla1[[#This Row],[Día de Fecha]])</f>
        <v>46299</v>
      </c>
      <c r="I4162">
        <v>0</v>
      </c>
      <c r="J4162" s="1">
        <v>3823199</v>
      </c>
      <c r="K4162">
        <v>0</v>
      </c>
    </row>
    <row r="4163" spans="1:11" x14ac:dyDescent="0.25">
      <c r="A4163" t="s">
        <v>9</v>
      </c>
      <c r="B4163" t="s">
        <v>215</v>
      </c>
      <c r="C4163" t="s">
        <v>869</v>
      </c>
      <c r="D4163" t="s">
        <v>14</v>
      </c>
      <c r="E4163">
        <v>4</v>
      </c>
      <c r="F4163" s="2">
        <f>DATE(2026,IF(Tabla1[[#This Row],[Mes de Fecha]]="Septiembre",9,10),Tabla1[[#This Row],[Día de Fecha]])</f>
        <v>46299</v>
      </c>
      <c r="G4163">
        <v>1006554373</v>
      </c>
      <c r="H4163" t="s">
        <v>218</v>
      </c>
      <c r="I4163">
        <v>50</v>
      </c>
      <c r="J4163">
        <v>0</v>
      </c>
      <c r="K4163" s="1">
        <v>2454231</v>
      </c>
    </row>
    <row r="4164" spans="1:11" x14ac:dyDescent="0.25">
      <c r="A4164" t="s">
        <v>9</v>
      </c>
      <c r="B4164" t="s">
        <v>215</v>
      </c>
      <c r="C4164" t="s">
        <v>869</v>
      </c>
      <c r="D4164" t="s">
        <v>14</v>
      </c>
      <c r="E4164">
        <v>4</v>
      </c>
      <c r="F4164" s="2">
        <f>DATE(2026,IF(Tabla1[[#This Row],[Mes de Fecha]]="Septiembre",9,10),Tabla1[[#This Row],[Día de Fecha]])</f>
        <v>46299</v>
      </c>
      <c r="G4164">
        <v>1193119149</v>
      </c>
      <c r="H4164" t="s">
        <v>217</v>
      </c>
      <c r="I4164">
        <v>35</v>
      </c>
      <c r="J4164">
        <v>0</v>
      </c>
      <c r="K4164" s="1">
        <v>1869078</v>
      </c>
    </row>
    <row r="4165" spans="1:11" x14ac:dyDescent="0.25">
      <c r="A4165" t="s">
        <v>9</v>
      </c>
      <c r="B4165" t="s">
        <v>215</v>
      </c>
      <c r="C4165" t="s">
        <v>869</v>
      </c>
      <c r="D4165" t="s">
        <v>14</v>
      </c>
      <c r="E4165">
        <v>5</v>
      </c>
      <c r="F4165" s="2">
        <f>DATE(2026,IF(Tabla1[[#This Row],[Mes de Fecha]]="Septiembre",9,10),Tabla1[[#This Row],[Día de Fecha]])</f>
        <v>46300</v>
      </c>
      <c r="I4165">
        <v>0</v>
      </c>
      <c r="J4165" s="1">
        <v>4038192</v>
      </c>
      <c r="K4165">
        <v>0</v>
      </c>
    </row>
    <row r="4166" spans="1:11" x14ac:dyDescent="0.25">
      <c r="A4166" t="s">
        <v>9</v>
      </c>
      <c r="B4166" t="s">
        <v>215</v>
      </c>
      <c r="C4166" t="s">
        <v>869</v>
      </c>
      <c r="D4166" t="s">
        <v>14</v>
      </c>
      <c r="E4166">
        <v>5</v>
      </c>
      <c r="F4166" s="2">
        <f>DATE(2026,IF(Tabla1[[#This Row],[Mes de Fecha]]="Septiembre",9,10),Tabla1[[#This Row],[Día de Fecha]])</f>
        <v>46300</v>
      </c>
      <c r="G4166">
        <v>1408011</v>
      </c>
      <c r="H4166" t="s">
        <v>216</v>
      </c>
      <c r="I4166">
        <v>23</v>
      </c>
      <c r="J4166">
        <v>0</v>
      </c>
      <c r="K4166" s="1">
        <v>1082941</v>
      </c>
    </row>
    <row r="4167" spans="1:11" x14ac:dyDescent="0.25">
      <c r="A4167" t="s">
        <v>9</v>
      </c>
      <c r="B4167" t="s">
        <v>215</v>
      </c>
      <c r="C4167" t="s">
        <v>869</v>
      </c>
      <c r="D4167" t="s">
        <v>14</v>
      </c>
      <c r="E4167">
        <v>5</v>
      </c>
      <c r="F4167" s="2">
        <f>DATE(2026,IF(Tabla1[[#This Row],[Mes de Fecha]]="Septiembre",9,10),Tabla1[[#This Row],[Día de Fecha]])</f>
        <v>46300</v>
      </c>
      <c r="G4167">
        <v>1006554373</v>
      </c>
      <c r="H4167" t="s">
        <v>218</v>
      </c>
      <c r="I4167">
        <v>1</v>
      </c>
      <c r="J4167">
        <v>0</v>
      </c>
      <c r="K4167" s="1">
        <v>54580</v>
      </c>
    </row>
    <row r="4168" spans="1:11" x14ac:dyDescent="0.25">
      <c r="A4168" t="s">
        <v>9</v>
      </c>
      <c r="B4168" t="s">
        <v>215</v>
      </c>
      <c r="C4168" t="s">
        <v>869</v>
      </c>
      <c r="D4168" t="s">
        <v>14</v>
      </c>
      <c r="E4168">
        <v>5</v>
      </c>
      <c r="F4168" s="2">
        <f>DATE(2026,IF(Tabla1[[#This Row],[Mes de Fecha]]="Septiembre",9,10),Tabla1[[#This Row],[Día de Fecha]])</f>
        <v>46300</v>
      </c>
      <c r="G4168">
        <v>1193119149</v>
      </c>
      <c r="H4168" t="s">
        <v>217</v>
      </c>
      <c r="I4168">
        <v>57</v>
      </c>
      <c r="J4168">
        <v>0</v>
      </c>
      <c r="K4168" s="1">
        <v>3024581</v>
      </c>
    </row>
    <row r="4169" spans="1:11" x14ac:dyDescent="0.25">
      <c r="A4169" t="s">
        <v>9</v>
      </c>
      <c r="B4169" t="s">
        <v>215</v>
      </c>
      <c r="C4169" t="s">
        <v>869</v>
      </c>
      <c r="D4169" t="s">
        <v>14</v>
      </c>
      <c r="E4169">
        <v>6</v>
      </c>
      <c r="F4169" s="2">
        <f>DATE(2026,IF(Tabla1[[#This Row],[Mes de Fecha]]="Septiembre",9,10),Tabla1[[#This Row],[Día de Fecha]])</f>
        <v>46301</v>
      </c>
      <c r="I4169">
        <v>0</v>
      </c>
      <c r="J4169" s="1">
        <v>6329809</v>
      </c>
      <c r="K4169">
        <v>0</v>
      </c>
    </row>
    <row r="4170" spans="1:11" x14ac:dyDescent="0.25">
      <c r="A4170" t="s">
        <v>9</v>
      </c>
      <c r="B4170" t="s">
        <v>215</v>
      </c>
      <c r="C4170" t="s">
        <v>869</v>
      </c>
      <c r="D4170" t="s">
        <v>14</v>
      </c>
      <c r="E4170">
        <v>6</v>
      </c>
      <c r="F4170" s="2">
        <f>DATE(2026,IF(Tabla1[[#This Row],[Mes de Fecha]]="Septiembre",9,10),Tabla1[[#This Row],[Día de Fecha]])</f>
        <v>46301</v>
      </c>
      <c r="G4170">
        <v>1408011</v>
      </c>
      <c r="H4170" t="s">
        <v>216</v>
      </c>
      <c r="I4170">
        <v>20</v>
      </c>
      <c r="J4170">
        <v>0</v>
      </c>
      <c r="K4170" s="1">
        <v>862480</v>
      </c>
    </row>
    <row r="4171" spans="1:11" x14ac:dyDescent="0.25">
      <c r="A4171" t="s">
        <v>9</v>
      </c>
      <c r="B4171" t="s">
        <v>215</v>
      </c>
      <c r="C4171" t="s">
        <v>869</v>
      </c>
      <c r="D4171" t="s">
        <v>14</v>
      </c>
      <c r="E4171">
        <v>6</v>
      </c>
      <c r="F4171" s="2">
        <f>DATE(2026,IF(Tabla1[[#This Row],[Mes de Fecha]]="Septiembre",9,10),Tabla1[[#This Row],[Día de Fecha]])</f>
        <v>46301</v>
      </c>
      <c r="G4171">
        <v>1006554373</v>
      </c>
      <c r="H4171" t="s">
        <v>218</v>
      </c>
      <c r="I4171">
        <v>50</v>
      </c>
      <c r="J4171">
        <v>0</v>
      </c>
      <c r="K4171" s="1">
        <v>2818826</v>
      </c>
    </row>
    <row r="4172" spans="1:11" x14ac:dyDescent="0.25">
      <c r="A4172" t="s">
        <v>9</v>
      </c>
      <c r="B4172" t="s">
        <v>215</v>
      </c>
      <c r="C4172" t="s">
        <v>869</v>
      </c>
      <c r="D4172" t="s">
        <v>14</v>
      </c>
      <c r="E4172">
        <v>6</v>
      </c>
      <c r="F4172" s="2">
        <f>DATE(2026,IF(Tabla1[[#This Row],[Mes de Fecha]]="Septiembre",9,10),Tabla1[[#This Row],[Día de Fecha]])</f>
        <v>46301</v>
      </c>
      <c r="G4172">
        <v>1193119149</v>
      </c>
      <c r="H4172" t="s">
        <v>217</v>
      </c>
      <c r="I4172">
        <v>0</v>
      </c>
      <c r="J4172">
        <v>0</v>
      </c>
      <c r="K4172" s="1">
        <v>8403</v>
      </c>
    </row>
    <row r="4173" spans="1:11" x14ac:dyDescent="0.25">
      <c r="A4173" t="s">
        <v>9</v>
      </c>
      <c r="B4173" t="s">
        <v>215</v>
      </c>
      <c r="C4173" t="s">
        <v>869</v>
      </c>
      <c r="D4173" t="s">
        <v>14</v>
      </c>
      <c r="E4173">
        <v>7</v>
      </c>
      <c r="F4173" s="2">
        <f>DATE(2026,IF(Tabla1[[#This Row],[Mes de Fecha]]="Septiembre",9,10),Tabla1[[#This Row],[Día de Fecha]])</f>
        <v>46302</v>
      </c>
      <c r="I4173">
        <v>0</v>
      </c>
      <c r="J4173" s="1">
        <v>2790091</v>
      </c>
      <c r="K4173">
        <v>0</v>
      </c>
    </row>
    <row r="4174" spans="1:11" x14ac:dyDescent="0.25">
      <c r="A4174" t="s">
        <v>9</v>
      </c>
      <c r="B4174" t="s">
        <v>215</v>
      </c>
      <c r="C4174" t="s">
        <v>869</v>
      </c>
      <c r="D4174" t="s">
        <v>14</v>
      </c>
      <c r="E4174">
        <v>7</v>
      </c>
      <c r="F4174" s="2">
        <f>DATE(2026,IF(Tabla1[[#This Row],[Mes de Fecha]]="Septiembre",9,10),Tabla1[[#This Row],[Día de Fecha]])</f>
        <v>46302</v>
      </c>
      <c r="G4174">
        <v>1408011</v>
      </c>
      <c r="H4174" t="s">
        <v>216</v>
      </c>
      <c r="I4174">
        <v>8</v>
      </c>
      <c r="J4174">
        <v>0</v>
      </c>
      <c r="K4174" s="1">
        <v>440839</v>
      </c>
    </row>
    <row r="4175" spans="1:11" x14ac:dyDescent="0.25">
      <c r="A4175" t="s">
        <v>9</v>
      </c>
      <c r="B4175" t="s">
        <v>215</v>
      </c>
      <c r="C4175" t="s">
        <v>869</v>
      </c>
      <c r="D4175" t="s">
        <v>14</v>
      </c>
      <c r="E4175">
        <v>7</v>
      </c>
      <c r="F4175" s="2">
        <f>DATE(2026,IF(Tabla1[[#This Row],[Mes de Fecha]]="Septiembre",9,10),Tabla1[[#This Row],[Día de Fecha]])</f>
        <v>46302</v>
      </c>
      <c r="G4175">
        <v>1006554373</v>
      </c>
      <c r="H4175" t="s">
        <v>218</v>
      </c>
      <c r="I4175">
        <v>36</v>
      </c>
      <c r="J4175">
        <v>0</v>
      </c>
      <c r="K4175" s="1">
        <v>1979372</v>
      </c>
    </row>
    <row r="4176" spans="1:11" x14ac:dyDescent="0.25">
      <c r="A4176" t="s">
        <v>9</v>
      </c>
      <c r="B4176" t="s">
        <v>215</v>
      </c>
      <c r="C4176" t="s">
        <v>869</v>
      </c>
      <c r="D4176" t="s">
        <v>14</v>
      </c>
      <c r="E4176">
        <v>7</v>
      </c>
      <c r="F4176" s="2">
        <f>DATE(2026,IF(Tabla1[[#This Row],[Mes de Fecha]]="Septiembre",9,10),Tabla1[[#This Row],[Día de Fecha]])</f>
        <v>46302</v>
      </c>
      <c r="G4176">
        <v>1193119149</v>
      </c>
      <c r="H4176" t="s">
        <v>217</v>
      </c>
      <c r="I4176">
        <v>13</v>
      </c>
      <c r="J4176">
        <v>0</v>
      </c>
      <c r="K4176" s="1">
        <v>734706</v>
      </c>
    </row>
    <row r="4177" spans="1:11" x14ac:dyDescent="0.25">
      <c r="A4177" t="s">
        <v>9</v>
      </c>
      <c r="B4177" t="s">
        <v>275</v>
      </c>
      <c r="C4177" t="s">
        <v>869</v>
      </c>
      <c r="D4177" t="s">
        <v>11</v>
      </c>
      <c r="E4177">
        <v>23</v>
      </c>
      <c r="F4177" s="2">
        <f>DATE(2026,IF(Tabla1[[#This Row],[Mes de Fecha]]="Septiembre",9,10),Tabla1[[#This Row],[Día de Fecha]])</f>
        <v>46288</v>
      </c>
      <c r="I4177">
        <v>0</v>
      </c>
      <c r="J4177" s="1">
        <v>1836398</v>
      </c>
      <c r="K4177">
        <v>0</v>
      </c>
    </row>
    <row r="4178" spans="1:11" x14ac:dyDescent="0.25">
      <c r="A4178" t="s">
        <v>9</v>
      </c>
      <c r="B4178" t="s">
        <v>275</v>
      </c>
      <c r="C4178" t="s">
        <v>869</v>
      </c>
      <c r="D4178" t="s">
        <v>11</v>
      </c>
      <c r="E4178">
        <v>23</v>
      </c>
      <c r="F4178" s="2">
        <f>DATE(2026,IF(Tabla1[[#This Row],[Mes de Fecha]]="Septiembre",9,10),Tabla1[[#This Row],[Día de Fecha]])</f>
        <v>46288</v>
      </c>
      <c r="G4178">
        <v>1107042230</v>
      </c>
      <c r="I4178">
        <v>72</v>
      </c>
      <c r="J4178">
        <v>0</v>
      </c>
      <c r="K4178" s="1">
        <v>3381453</v>
      </c>
    </row>
    <row r="4179" spans="1:11" x14ac:dyDescent="0.25">
      <c r="A4179" t="s">
        <v>9</v>
      </c>
      <c r="B4179" t="s">
        <v>275</v>
      </c>
      <c r="C4179" t="s">
        <v>869</v>
      </c>
      <c r="D4179" t="s">
        <v>11</v>
      </c>
      <c r="E4179">
        <v>23</v>
      </c>
      <c r="F4179" s="2">
        <f>DATE(2026,IF(Tabla1[[#This Row],[Mes de Fecha]]="Septiembre",9,10),Tabla1[[#This Row],[Día de Fecha]])</f>
        <v>46288</v>
      </c>
      <c r="G4179">
        <v>1143928785</v>
      </c>
      <c r="H4179" t="s">
        <v>276</v>
      </c>
      <c r="I4179">
        <v>75</v>
      </c>
      <c r="J4179">
        <v>0</v>
      </c>
      <c r="K4179" s="1">
        <v>3637606</v>
      </c>
    </row>
    <row r="4180" spans="1:11" x14ac:dyDescent="0.25">
      <c r="A4180" t="s">
        <v>9</v>
      </c>
      <c r="B4180" t="s">
        <v>275</v>
      </c>
      <c r="C4180" t="s">
        <v>869</v>
      </c>
      <c r="D4180" t="s">
        <v>11</v>
      </c>
      <c r="E4180">
        <v>24</v>
      </c>
      <c r="F4180" s="2">
        <f>DATE(2026,IF(Tabla1[[#This Row],[Mes de Fecha]]="Septiembre",9,10),Tabla1[[#This Row],[Día de Fecha]])</f>
        <v>46289</v>
      </c>
      <c r="I4180">
        <v>0</v>
      </c>
      <c r="J4180" s="1">
        <v>4749281</v>
      </c>
      <c r="K4180">
        <v>0</v>
      </c>
    </row>
    <row r="4181" spans="1:11" x14ac:dyDescent="0.25">
      <c r="A4181" t="s">
        <v>9</v>
      </c>
      <c r="B4181" t="s">
        <v>275</v>
      </c>
      <c r="C4181" t="s">
        <v>869</v>
      </c>
      <c r="D4181" t="s">
        <v>11</v>
      </c>
      <c r="E4181">
        <v>24</v>
      </c>
      <c r="F4181" s="2">
        <f>DATE(2026,IF(Tabla1[[#This Row],[Mes de Fecha]]="Septiembre",9,10),Tabla1[[#This Row],[Día de Fecha]])</f>
        <v>46289</v>
      </c>
      <c r="G4181">
        <v>1107042230</v>
      </c>
      <c r="I4181">
        <v>39</v>
      </c>
      <c r="J4181">
        <v>0</v>
      </c>
      <c r="K4181" s="1">
        <v>1863909</v>
      </c>
    </row>
    <row r="4182" spans="1:11" x14ac:dyDescent="0.25">
      <c r="A4182" t="s">
        <v>9</v>
      </c>
      <c r="B4182" t="s">
        <v>275</v>
      </c>
      <c r="C4182" t="s">
        <v>869</v>
      </c>
      <c r="D4182" t="s">
        <v>11</v>
      </c>
      <c r="E4182">
        <v>24</v>
      </c>
      <c r="F4182" s="2">
        <f>DATE(2026,IF(Tabla1[[#This Row],[Mes de Fecha]]="Septiembre",9,10),Tabla1[[#This Row],[Día de Fecha]])</f>
        <v>46289</v>
      </c>
      <c r="G4182">
        <v>1143928785</v>
      </c>
      <c r="H4182" t="s">
        <v>276</v>
      </c>
      <c r="I4182">
        <v>62</v>
      </c>
      <c r="J4182">
        <v>0</v>
      </c>
      <c r="K4182" s="1">
        <v>2615043</v>
      </c>
    </row>
    <row r="4183" spans="1:11" x14ac:dyDescent="0.25">
      <c r="A4183" t="s">
        <v>9</v>
      </c>
      <c r="B4183" t="s">
        <v>275</v>
      </c>
      <c r="C4183" t="s">
        <v>869</v>
      </c>
      <c r="D4183" t="s">
        <v>11</v>
      </c>
      <c r="E4183">
        <v>25</v>
      </c>
      <c r="F4183" s="2">
        <f>DATE(2026,IF(Tabla1[[#This Row],[Mes de Fecha]]="Septiembre",9,10),Tabla1[[#This Row],[Día de Fecha]])</f>
        <v>46290</v>
      </c>
      <c r="I4183">
        <v>0</v>
      </c>
      <c r="J4183" s="1">
        <v>5072493</v>
      </c>
      <c r="K4183">
        <v>0</v>
      </c>
    </row>
    <row r="4184" spans="1:11" x14ac:dyDescent="0.25">
      <c r="A4184" t="s">
        <v>9</v>
      </c>
      <c r="B4184" t="s">
        <v>275</v>
      </c>
      <c r="C4184" t="s">
        <v>869</v>
      </c>
      <c r="D4184" t="s">
        <v>11</v>
      </c>
      <c r="E4184">
        <v>25</v>
      </c>
      <c r="F4184" s="2">
        <f>DATE(2026,IF(Tabla1[[#This Row],[Mes de Fecha]]="Septiembre",9,10),Tabla1[[#This Row],[Día de Fecha]])</f>
        <v>46290</v>
      </c>
      <c r="G4184">
        <v>1107042230</v>
      </c>
      <c r="I4184">
        <v>56</v>
      </c>
      <c r="J4184">
        <v>0</v>
      </c>
      <c r="K4184" s="1">
        <v>2611099</v>
      </c>
    </row>
    <row r="4185" spans="1:11" x14ac:dyDescent="0.25">
      <c r="A4185" t="s">
        <v>9</v>
      </c>
      <c r="B4185" t="s">
        <v>275</v>
      </c>
      <c r="C4185" t="s">
        <v>869</v>
      </c>
      <c r="D4185" t="s">
        <v>11</v>
      </c>
      <c r="E4185">
        <v>25</v>
      </c>
      <c r="F4185" s="2">
        <f>DATE(2026,IF(Tabla1[[#This Row],[Mes de Fecha]]="Septiembre",9,10),Tabla1[[#This Row],[Día de Fecha]])</f>
        <v>46290</v>
      </c>
      <c r="G4185">
        <v>1143928785</v>
      </c>
      <c r="H4185" t="s">
        <v>276</v>
      </c>
      <c r="I4185">
        <v>77</v>
      </c>
      <c r="J4185">
        <v>0</v>
      </c>
      <c r="K4185" s="1">
        <v>4089245</v>
      </c>
    </row>
    <row r="4186" spans="1:11" x14ac:dyDescent="0.25">
      <c r="A4186" t="s">
        <v>9</v>
      </c>
      <c r="B4186" t="s">
        <v>275</v>
      </c>
      <c r="C4186" t="s">
        <v>869</v>
      </c>
      <c r="D4186" t="s">
        <v>11</v>
      </c>
      <c r="E4186">
        <v>26</v>
      </c>
      <c r="F4186" s="2">
        <f>DATE(2026,IF(Tabla1[[#This Row],[Mes de Fecha]]="Septiembre",9,10),Tabla1[[#This Row],[Día de Fecha]])</f>
        <v>46291</v>
      </c>
      <c r="I4186">
        <v>0</v>
      </c>
      <c r="J4186" s="1">
        <v>6396283</v>
      </c>
      <c r="K4186">
        <v>0</v>
      </c>
    </row>
    <row r="4187" spans="1:11" x14ac:dyDescent="0.25">
      <c r="A4187" t="s">
        <v>9</v>
      </c>
      <c r="B4187" t="s">
        <v>275</v>
      </c>
      <c r="C4187" t="s">
        <v>869</v>
      </c>
      <c r="D4187" t="s">
        <v>11</v>
      </c>
      <c r="E4187">
        <v>26</v>
      </c>
      <c r="F4187" s="2">
        <f>DATE(2026,IF(Tabla1[[#This Row],[Mes de Fecha]]="Septiembre",9,10),Tabla1[[#This Row],[Día de Fecha]])</f>
        <v>46291</v>
      </c>
      <c r="G4187">
        <v>1107042230</v>
      </c>
      <c r="I4187">
        <v>37</v>
      </c>
      <c r="J4187">
        <v>0</v>
      </c>
      <c r="K4187" s="1">
        <v>1947943</v>
      </c>
    </row>
    <row r="4188" spans="1:11" x14ac:dyDescent="0.25">
      <c r="A4188" t="s">
        <v>9</v>
      </c>
      <c r="B4188" t="s">
        <v>275</v>
      </c>
      <c r="C4188" t="s">
        <v>869</v>
      </c>
      <c r="D4188" t="s">
        <v>11</v>
      </c>
      <c r="E4188">
        <v>26</v>
      </c>
      <c r="F4188" s="2">
        <f>DATE(2026,IF(Tabla1[[#This Row],[Mes de Fecha]]="Septiembre",9,10),Tabla1[[#This Row],[Día de Fecha]])</f>
        <v>46291</v>
      </c>
      <c r="G4188">
        <v>1143928785</v>
      </c>
      <c r="H4188" t="s">
        <v>276</v>
      </c>
      <c r="I4188">
        <v>90</v>
      </c>
      <c r="J4188">
        <v>0</v>
      </c>
      <c r="K4188" s="1">
        <v>4575595</v>
      </c>
    </row>
    <row r="4189" spans="1:11" x14ac:dyDescent="0.25">
      <c r="A4189" t="s">
        <v>9</v>
      </c>
      <c r="B4189" t="s">
        <v>275</v>
      </c>
      <c r="C4189" t="s">
        <v>869</v>
      </c>
      <c r="D4189" t="s">
        <v>11</v>
      </c>
      <c r="E4189">
        <v>27</v>
      </c>
      <c r="F4189" s="2">
        <f>DATE(2026,IF(Tabla1[[#This Row],[Mes de Fecha]]="Septiembre",9,10),Tabla1[[#This Row],[Día de Fecha]])</f>
        <v>46292</v>
      </c>
      <c r="I4189">
        <v>0</v>
      </c>
      <c r="J4189" s="1">
        <v>3377172</v>
      </c>
      <c r="K4189">
        <v>0</v>
      </c>
    </row>
    <row r="4190" spans="1:11" x14ac:dyDescent="0.25">
      <c r="A4190" t="s">
        <v>9</v>
      </c>
      <c r="B4190" t="s">
        <v>275</v>
      </c>
      <c r="C4190" t="s">
        <v>869</v>
      </c>
      <c r="D4190" t="s">
        <v>11</v>
      </c>
      <c r="E4190">
        <v>27</v>
      </c>
      <c r="F4190" s="2">
        <f>DATE(2026,IF(Tabla1[[#This Row],[Mes de Fecha]]="Septiembre",9,10),Tabla1[[#This Row],[Día de Fecha]])</f>
        <v>46292</v>
      </c>
      <c r="G4190">
        <v>1107042230</v>
      </c>
      <c r="I4190">
        <v>58</v>
      </c>
      <c r="J4190">
        <v>0</v>
      </c>
      <c r="K4190" s="1">
        <v>2850171</v>
      </c>
    </row>
    <row r="4191" spans="1:11" x14ac:dyDescent="0.25">
      <c r="A4191" t="s">
        <v>9</v>
      </c>
      <c r="B4191" t="s">
        <v>275</v>
      </c>
      <c r="C4191" t="s">
        <v>869</v>
      </c>
      <c r="D4191" t="s">
        <v>11</v>
      </c>
      <c r="E4191">
        <v>27</v>
      </c>
      <c r="F4191" s="2">
        <f>DATE(2026,IF(Tabla1[[#This Row],[Mes de Fecha]]="Septiembre",9,10),Tabla1[[#This Row],[Día de Fecha]])</f>
        <v>46292</v>
      </c>
      <c r="G4191">
        <v>1143928785</v>
      </c>
      <c r="H4191" t="s">
        <v>276</v>
      </c>
      <c r="I4191">
        <v>39</v>
      </c>
      <c r="J4191">
        <v>0</v>
      </c>
      <c r="K4191" s="1">
        <v>1668541</v>
      </c>
    </row>
    <row r="4192" spans="1:11" x14ac:dyDescent="0.25">
      <c r="A4192" t="s">
        <v>9</v>
      </c>
      <c r="B4192" t="s">
        <v>275</v>
      </c>
      <c r="C4192" t="s">
        <v>869</v>
      </c>
      <c r="D4192" t="s">
        <v>11</v>
      </c>
      <c r="E4192">
        <v>28</v>
      </c>
      <c r="F4192" s="2">
        <f>DATE(2026,IF(Tabla1[[#This Row],[Mes de Fecha]]="Septiembre",9,10),Tabla1[[#This Row],[Día de Fecha]])</f>
        <v>46293</v>
      </c>
      <c r="I4192">
        <v>0</v>
      </c>
      <c r="J4192" s="1">
        <v>2768918</v>
      </c>
      <c r="K4192">
        <v>0</v>
      </c>
    </row>
    <row r="4193" spans="1:11" x14ac:dyDescent="0.25">
      <c r="A4193" t="s">
        <v>9</v>
      </c>
      <c r="B4193" t="s">
        <v>275</v>
      </c>
      <c r="C4193" t="s">
        <v>869</v>
      </c>
      <c r="D4193" t="s">
        <v>11</v>
      </c>
      <c r="E4193">
        <v>28</v>
      </c>
      <c r="F4193" s="2">
        <f>DATE(2026,IF(Tabla1[[#This Row],[Mes de Fecha]]="Septiembre",9,10),Tabla1[[#This Row],[Día de Fecha]])</f>
        <v>46293</v>
      </c>
      <c r="G4193">
        <v>1107042230</v>
      </c>
      <c r="I4193">
        <v>55</v>
      </c>
      <c r="J4193">
        <v>0</v>
      </c>
      <c r="K4193" s="1">
        <v>2665507</v>
      </c>
    </row>
    <row r="4194" spans="1:11" x14ac:dyDescent="0.25">
      <c r="A4194" t="s">
        <v>9</v>
      </c>
      <c r="B4194" t="s">
        <v>275</v>
      </c>
      <c r="C4194" t="s">
        <v>869</v>
      </c>
      <c r="D4194" t="s">
        <v>11</v>
      </c>
      <c r="E4194">
        <v>29</v>
      </c>
      <c r="F4194" s="2">
        <f>DATE(2026,IF(Tabla1[[#This Row],[Mes de Fecha]]="Septiembre",9,10),Tabla1[[#This Row],[Día de Fecha]])</f>
        <v>46294</v>
      </c>
      <c r="I4194">
        <v>0</v>
      </c>
      <c r="J4194" s="1">
        <v>3078217</v>
      </c>
      <c r="K4194">
        <v>0</v>
      </c>
    </row>
    <row r="4195" spans="1:11" x14ac:dyDescent="0.25">
      <c r="A4195" t="s">
        <v>9</v>
      </c>
      <c r="B4195" t="s">
        <v>275</v>
      </c>
      <c r="C4195" t="s">
        <v>869</v>
      </c>
      <c r="D4195" t="s">
        <v>11</v>
      </c>
      <c r="E4195">
        <v>29</v>
      </c>
      <c r="F4195" s="2">
        <f>DATE(2026,IF(Tabla1[[#This Row],[Mes de Fecha]]="Septiembre",9,10),Tabla1[[#This Row],[Día de Fecha]])</f>
        <v>46294</v>
      </c>
      <c r="G4195">
        <v>1107042230</v>
      </c>
      <c r="I4195">
        <v>29</v>
      </c>
      <c r="J4195">
        <v>0</v>
      </c>
      <c r="K4195" s="1">
        <v>1532395</v>
      </c>
    </row>
    <row r="4196" spans="1:11" x14ac:dyDescent="0.25">
      <c r="A4196" t="s">
        <v>9</v>
      </c>
      <c r="B4196" t="s">
        <v>275</v>
      </c>
      <c r="C4196" t="s">
        <v>869</v>
      </c>
      <c r="D4196" t="s">
        <v>11</v>
      </c>
      <c r="E4196">
        <v>29</v>
      </c>
      <c r="F4196" s="2">
        <f>DATE(2026,IF(Tabla1[[#This Row],[Mes de Fecha]]="Septiembre",9,10),Tabla1[[#This Row],[Día de Fecha]])</f>
        <v>46294</v>
      </c>
      <c r="G4196">
        <v>1143928785</v>
      </c>
      <c r="H4196" t="s">
        <v>276</v>
      </c>
      <c r="I4196">
        <v>42</v>
      </c>
      <c r="J4196">
        <v>0</v>
      </c>
      <c r="K4196" s="1">
        <v>2044369</v>
      </c>
    </row>
    <row r="4197" spans="1:11" x14ac:dyDescent="0.25">
      <c r="A4197" t="s">
        <v>9</v>
      </c>
      <c r="B4197" t="s">
        <v>275</v>
      </c>
      <c r="C4197" t="s">
        <v>869</v>
      </c>
      <c r="D4197" t="s">
        <v>11</v>
      </c>
      <c r="E4197">
        <v>30</v>
      </c>
      <c r="F4197" s="2">
        <f>DATE(2026,IF(Tabla1[[#This Row],[Mes de Fecha]]="Septiembre",9,10),Tabla1[[#This Row],[Día de Fecha]])</f>
        <v>46295</v>
      </c>
      <c r="I4197">
        <v>0</v>
      </c>
      <c r="J4197" s="1">
        <v>3259927</v>
      </c>
      <c r="K4197">
        <v>0</v>
      </c>
    </row>
    <row r="4198" spans="1:11" x14ac:dyDescent="0.25">
      <c r="A4198" t="s">
        <v>9</v>
      </c>
      <c r="B4198" t="s">
        <v>275</v>
      </c>
      <c r="C4198" t="s">
        <v>869</v>
      </c>
      <c r="D4198" t="s">
        <v>11</v>
      </c>
      <c r="E4198">
        <v>30</v>
      </c>
      <c r="F4198" s="2">
        <f>DATE(2026,IF(Tabla1[[#This Row],[Mes de Fecha]]="Septiembre",9,10),Tabla1[[#This Row],[Día de Fecha]])</f>
        <v>46295</v>
      </c>
      <c r="G4198">
        <v>1107042230</v>
      </c>
      <c r="I4198">
        <v>57</v>
      </c>
      <c r="J4198">
        <v>0</v>
      </c>
      <c r="K4198" s="1">
        <v>2816727</v>
      </c>
    </row>
    <row r="4199" spans="1:11" x14ac:dyDescent="0.25">
      <c r="A4199" t="s">
        <v>9</v>
      </c>
      <c r="B4199" t="s">
        <v>275</v>
      </c>
      <c r="C4199" t="s">
        <v>869</v>
      </c>
      <c r="D4199" t="s">
        <v>11</v>
      </c>
      <c r="E4199">
        <v>30</v>
      </c>
      <c r="F4199" s="2">
        <f>DATE(2026,IF(Tabla1[[#This Row],[Mes de Fecha]]="Septiembre",9,10),Tabla1[[#This Row],[Día de Fecha]])</f>
        <v>46295</v>
      </c>
      <c r="G4199">
        <v>1143928785</v>
      </c>
      <c r="H4199" t="s">
        <v>276</v>
      </c>
      <c r="I4199">
        <v>14</v>
      </c>
      <c r="J4199">
        <v>0</v>
      </c>
      <c r="K4199" s="1">
        <v>535085</v>
      </c>
    </row>
    <row r="4200" spans="1:11" x14ac:dyDescent="0.25">
      <c r="A4200" t="s">
        <v>9</v>
      </c>
      <c r="B4200" t="s">
        <v>275</v>
      </c>
      <c r="C4200" t="s">
        <v>869</v>
      </c>
      <c r="D4200" t="s">
        <v>14</v>
      </c>
      <c r="E4200">
        <v>1</v>
      </c>
      <c r="F4200" s="2">
        <f>DATE(2026,IF(Tabla1[[#This Row],[Mes de Fecha]]="Septiembre",9,10),Tabla1[[#This Row],[Día de Fecha]])</f>
        <v>46296</v>
      </c>
      <c r="I4200">
        <v>0</v>
      </c>
      <c r="J4200" s="1">
        <v>6528679</v>
      </c>
      <c r="K4200">
        <v>0</v>
      </c>
    </row>
    <row r="4201" spans="1:11" x14ac:dyDescent="0.25">
      <c r="A4201" t="s">
        <v>9</v>
      </c>
      <c r="B4201" t="s">
        <v>275</v>
      </c>
      <c r="C4201" t="s">
        <v>869</v>
      </c>
      <c r="D4201" t="s">
        <v>14</v>
      </c>
      <c r="E4201">
        <v>1</v>
      </c>
      <c r="F4201" s="2">
        <f>DATE(2026,IF(Tabla1[[#This Row],[Mes de Fecha]]="Septiembre",9,10),Tabla1[[#This Row],[Día de Fecha]])</f>
        <v>46296</v>
      </c>
      <c r="G4201">
        <v>1107042230</v>
      </c>
      <c r="I4201">
        <v>61</v>
      </c>
      <c r="J4201">
        <v>0</v>
      </c>
      <c r="K4201" s="1">
        <v>2713325</v>
      </c>
    </row>
    <row r="4202" spans="1:11" x14ac:dyDescent="0.25">
      <c r="A4202" t="s">
        <v>9</v>
      </c>
      <c r="B4202" t="s">
        <v>275</v>
      </c>
      <c r="C4202" t="s">
        <v>869</v>
      </c>
      <c r="D4202" t="s">
        <v>14</v>
      </c>
      <c r="E4202">
        <v>1</v>
      </c>
      <c r="F4202" s="2">
        <f>DATE(2026,IF(Tabla1[[#This Row],[Mes de Fecha]]="Septiembre",9,10),Tabla1[[#This Row],[Día de Fecha]])</f>
        <v>46296</v>
      </c>
      <c r="G4202">
        <v>1143928785</v>
      </c>
      <c r="H4202" t="s">
        <v>276</v>
      </c>
      <c r="I4202">
        <v>38</v>
      </c>
      <c r="J4202">
        <v>0</v>
      </c>
      <c r="K4202" s="1">
        <v>1760304</v>
      </c>
    </row>
    <row r="4203" spans="1:11" x14ac:dyDescent="0.25">
      <c r="A4203" t="s">
        <v>9</v>
      </c>
      <c r="B4203" t="s">
        <v>275</v>
      </c>
      <c r="C4203" t="s">
        <v>869</v>
      </c>
      <c r="D4203" t="s">
        <v>14</v>
      </c>
      <c r="E4203">
        <v>2</v>
      </c>
      <c r="F4203" s="2">
        <f>DATE(2026,IF(Tabla1[[#This Row],[Mes de Fecha]]="Septiembre",9,10),Tabla1[[#This Row],[Día de Fecha]])</f>
        <v>46297</v>
      </c>
      <c r="I4203">
        <v>0</v>
      </c>
      <c r="J4203" s="1">
        <v>8070780</v>
      </c>
      <c r="K4203">
        <v>0</v>
      </c>
    </row>
    <row r="4204" spans="1:11" x14ac:dyDescent="0.25">
      <c r="A4204" t="s">
        <v>9</v>
      </c>
      <c r="B4204" t="s">
        <v>275</v>
      </c>
      <c r="C4204" t="s">
        <v>869</v>
      </c>
      <c r="D4204" t="s">
        <v>14</v>
      </c>
      <c r="E4204">
        <v>2</v>
      </c>
      <c r="F4204" s="2">
        <f>DATE(2026,IF(Tabla1[[#This Row],[Mes de Fecha]]="Septiembre",9,10),Tabla1[[#This Row],[Día de Fecha]])</f>
        <v>46297</v>
      </c>
      <c r="G4204">
        <v>1107042230</v>
      </c>
      <c r="I4204">
        <v>41</v>
      </c>
      <c r="J4204">
        <v>0</v>
      </c>
      <c r="K4204" s="1">
        <v>2149375</v>
      </c>
    </row>
    <row r="4205" spans="1:11" x14ac:dyDescent="0.25">
      <c r="A4205" t="s">
        <v>9</v>
      </c>
      <c r="B4205" t="s">
        <v>275</v>
      </c>
      <c r="C4205" t="s">
        <v>869</v>
      </c>
      <c r="D4205" t="s">
        <v>14</v>
      </c>
      <c r="E4205">
        <v>2</v>
      </c>
      <c r="F4205" s="2">
        <f>DATE(2026,IF(Tabla1[[#This Row],[Mes de Fecha]]="Septiembre",9,10),Tabla1[[#This Row],[Día de Fecha]])</f>
        <v>46297</v>
      </c>
      <c r="G4205">
        <v>1143928785</v>
      </c>
      <c r="H4205" t="s">
        <v>276</v>
      </c>
      <c r="I4205">
        <v>39</v>
      </c>
      <c r="J4205">
        <v>0</v>
      </c>
      <c r="K4205" s="1">
        <v>2069539</v>
      </c>
    </row>
    <row r="4206" spans="1:11" x14ac:dyDescent="0.25">
      <c r="A4206" t="s">
        <v>9</v>
      </c>
      <c r="B4206" t="s">
        <v>275</v>
      </c>
      <c r="C4206" t="s">
        <v>869</v>
      </c>
      <c r="D4206" t="s">
        <v>14</v>
      </c>
      <c r="E4206">
        <v>3</v>
      </c>
      <c r="F4206" s="2">
        <f>DATE(2026,IF(Tabla1[[#This Row],[Mes de Fecha]]="Septiembre",9,10),Tabla1[[#This Row],[Día de Fecha]])</f>
        <v>46298</v>
      </c>
      <c r="I4206">
        <v>0</v>
      </c>
      <c r="J4206" s="1">
        <v>9991309</v>
      </c>
      <c r="K4206">
        <v>0</v>
      </c>
    </row>
    <row r="4207" spans="1:11" x14ac:dyDescent="0.25">
      <c r="A4207" t="s">
        <v>9</v>
      </c>
      <c r="B4207" t="s">
        <v>275</v>
      </c>
      <c r="C4207" t="s">
        <v>869</v>
      </c>
      <c r="D4207" t="s">
        <v>14</v>
      </c>
      <c r="E4207">
        <v>3</v>
      </c>
      <c r="F4207" s="2">
        <f>DATE(2026,IF(Tabla1[[#This Row],[Mes de Fecha]]="Septiembre",9,10),Tabla1[[#This Row],[Día de Fecha]])</f>
        <v>46298</v>
      </c>
      <c r="G4207">
        <v>1107042230</v>
      </c>
      <c r="I4207">
        <v>58</v>
      </c>
      <c r="J4207">
        <v>0</v>
      </c>
      <c r="K4207" s="1">
        <v>2747081</v>
      </c>
    </row>
    <row r="4208" spans="1:11" x14ac:dyDescent="0.25">
      <c r="A4208" t="s">
        <v>9</v>
      </c>
      <c r="B4208" t="s">
        <v>275</v>
      </c>
      <c r="C4208" t="s">
        <v>869</v>
      </c>
      <c r="D4208" t="s">
        <v>14</v>
      </c>
      <c r="E4208">
        <v>3</v>
      </c>
      <c r="F4208" s="2">
        <f>DATE(2026,IF(Tabla1[[#This Row],[Mes de Fecha]]="Septiembre",9,10),Tabla1[[#This Row],[Día de Fecha]])</f>
        <v>46298</v>
      </c>
      <c r="G4208">
        <v>1143928785</v>
      </c>
      <c r="H4208" t="s">
        <v>276</v>
      </c>
      <c r="I4208">
        <v>81</v>
      </c>
      <c r="J4208">
        <v>0</v>
      </c>
      <c r="K4208" s="1">
        <v>3866989</v>
      </c>
    </row>
    <row r="4209" spans="1:11" x14ac:dyDescent="0.25">
      <c r="A4209" t="s">
        <v>9</v>
      </c>
      <c r="B4209" t="s">
        <v>275</v>
      </c>
      <c r="C4209" t="s">
        <v>869</v>
      </c>
      <c r="D4209" t="s">
        <v>14</v>
      </c>
      <c r="E4209">
        <v>4</v>
      </c>
      <c r="F4209" s="2">
        <f>DATE(2026,IF(Tabla1[[#This Row],[Mes de Fecha]]="Septiembre",9,10),Tabla1[[#This Row],[Día de Fecha]])</f>
        <v>46299</v>
      </c>
      <c r="I4209">
        <v>0</v>
      </c>
      <c r="J4209" s="1">
        <v>6240245</v>
      </c>
      <c r="K4209">
        <v>0</v>
      </c>
    </row>
    <row r="4210" spans="1:11" x14ac:dyDescent="0.25">
      <c r="A4210" t="s">
        <v>9</v>
      </c>
      <c r="B4210" t="s">
        <v>275</v>
      </c>
      <c r="C4210" t="s">
        <v>869</v>
      </c>
      <c r="D4210" t="s">
        <v>14</v>
      </c>
      <c r="E4210">
        <v>4</v>
      </c>
      <c r="F4210" s="2">
        <f>DATE(2026,IF(Tabla1[[#This Row],[Mes de Fecha]]="Septiembre",9,10),Tabla1[[#This Row],[Día de Fecha]])</f>
        <v>46299</v>
      </c>
      <c r="G4210">
        <v>1143928785</v>
      </c>
      <c r="H4210" t="s">
        <v>276</v>
      </c>
      <c r="I4210">
        <v>143</v>
      </c>
      <c r="J4210">
        <v>0</v>
      </c>
      <c r="K4210" s="1">
        <v>7888075</v>
      </c>
    </row>
    <row r="4211" spans="1:11" x14ac:dyDescent="0.25">
      <c r="A4211" t="s">
        <v>9</v>
      </c>
      <c r="B4211" t="s">
        <v>275</v>
      </c>
      <c r="C4211" t="s">
        <v>869</v>
      </c>
      <c r="D4211" t="s">
        <v>14</v>
      </c>
      <c r="E4211">
        <v>5</v>
      </c>
      <c r="F4211" s="2">
        <f>DATE(2026,IF(Tabla1[[#This Row],[Mes de Fecha]]="Septiembre",9,10),Tabla1[[#This Row],[Día de Fecha]])</f>
        <v>46300</v>
      </c>
      <c r="I4211">
        <v>0</v>
      </c>
      <c r="J4211" s="1">
        <v>6052873</v>
      </c>
      <c r="K4211">
        <v>0</v>
      </c>
    </row>
    <row r="4212" spans="1:11" x14ac:dyDescent="0.25">
      <c r="A4212" t="s">
        <v>9</v>
      </c>
      <c r="B4212" t="s">
        <v>275</v>
      </c>
      <c r="C4212" t="s">
        <v>869</v>
      </c>
      <c r="D4212" t="s">
        <v>14</v>
      </c>
      <c r="E4212">
        <v>5</v>
      </c>
      <c r="F4212" s="2">
        <f>DATE(2026,IF(Tabla1[[#This Row],[Mes de Fecha]]="Septiembre",9,10),Tabla1[[#This Row],[Día de Fecha]])</f>
        <v>46300</v>
      </c>
      <c r="G4212">
        <v>1107042230</v>
      </c>
      <c r="I4212">
        <v>-3</v>
      </c>
      <c r="J4212">
        <v>0</v>
      </c>
      <c r="K4212" s="1">
        <v>-182236</v>
      </c>
    </row>
    <row r="4213" spans="1:11" x14ac:dyDescent="0.25">
      <c r="A4213" t="s">
        <v>9</v>
      </c>
      <c r="B4213" t="s">
        <v>275</v>
      </c>
      <c r="C4213" t="s">
        <v>869</v>
      </c>
      <c r="D4213" t="s">
        <v>14</v>
      </c>
      <c r="E4213">
        <v>5</v>
      </c>
      <c r="F4213" s="2">
        <f>DATE(2026,IF(Tabla1[[#This Row],[Mes de Fecha]]="Septiembre",9,10),Tabla1[[#This Row],[Día de Fecha]])</f>
        <v>46300</v>
      </c>
      <c r="G4213">
        <v>1143928785</v>
      </c>
      <c r="H4213" t="s">
        <v>276</v>
      </c>
      <c r="I4213">
        <v>83</v>
      </c>
      <c r="J4213">
        <v>0</v>
      </c>
      <c r="K4213" s="1">
        <v>4476429</v>
      </c>
    </row>
    <row r="4214" spans="1:11" x14ac:dyDescent="0.25">
      <c r="A4214" t="s">
        <v>9</v>
      </c>
      <c r="B4214" t="s">
        <v>275</v>
      </c>
      <c r="C4214" t="s">
        <v>869</v>
      </c>
      <c r="D4214" t="s">
        <v>14</v>
      </c>
      <c r="E4214">
        <v>6</v>
      </c>
      <c r="F4214" s="2">
        <f>DATE(2026,IF(Tabla1[[#This Row],[Mes de Fecha]]="Septiembre",9,10),Tabla1[[#This Row],[Día de Fecha]])</f>
        <v>46301</v>
      </c>
      <c r="I4214">
        <v>0</v>
      </c>
      <c r="J4214" s="1">
        <v>2183533</v>
      </c>
      <c r="K4214">
        <v>0</v>
      </c>
    </row>
    <row r="4215" spans="1:11" x14ac:dyDescent="0.25">
      <c r="A4215" t="s">
        <v>9</v>
      </c>
      <c r="B4215" t="s">
        <v>275</v>
      </c>
      <c r="C4215" t="s">
        <v>869</v>
      </c>
      <c r="D4215" t="s">
        <v>14</v>
      </c>
      <c r="E4215">
        <v>6</v>
      </c>
      <c r="F4215" s="2">
        <f>DATE(2026,IF(Tabla1[[#This Row],[Mes de Fecha]]="Septiembre",9,10),Tabla1[[#This Row],[Día de Fecha]])</f>
        <v>46301</v>
      </c>
      <c r="G4215">
        <v>1107042230</v>
      </c>
      <c r="I4215">
        <v>43</v>
      </c>
      <c r="J4215">
        <v>0</v>
      </c>
      <c r="K4215" s="1">
        <v>2004741</v>
      </c>
    </row>
    <row r="4216" spans="1:11" x14ac:dyDescent="0.25">
      <c r="A4216" t="s">
        <v>9</v>
      </c>
      <c r="B4216" t="s">
        <v>275</v>
      </c>
      <c r="C4216" t="s">
        <v>869</v>
      </c>
      <c r="D4216" t="s">
        <v>14</v>
      </c>
      <c r="E4216">
        <v>6</v>
      </c>
      <c r="F4216" s="2">
        <f>DATE(2026,IF(Tabla1[[#This Row],[Mes de Fecha]]="Septiembre",9,10),Tabla1[[#This Row],[Día de Fecha]])</f>
        <v>46301</v>
      </c>
      <c r="G4216">
        <v>1143928785</v>
      </c>
      <c r="H4216" t="s">
        <v>276</v>
      </c>
      <c r="I4216">
        <v>13</v>
      </c>
      <c r="J4216">
        <v>0</v>
      </c>
      <c r="K4216" s="1">
        <v>646387</v>
      </c>
    </row>
    <row r="4217" spans="1:11" x14ac:dyDescent="0.25">
      <c r="A4217" t="s">
        <v>9</v>
      </c>
      <c r="B4217" t="s">
        <v>275</v>
      </c>
      <c r="C4217" t="s">
        <v>869</v>
      </c>
      <c r="D4217" t="s">
        <v>14</v>
      </c>
      <c r="E4217">
        <v>7</v>
      </c>
      <c r="F4217" s="2">
        <f>DATE(2026,IF(Tabla1[[#This Row],[Mes de Fecha]]="Septiembre",9,10),Tabla1[[#This Row],[Día de Fecha]])</f>
        <v>46302</v>
      </c>
      <c r="I4217">
        <v>0</v>
      </c>
      <c r="J4217" s="1">
        <v>764467</v>
      </c>
      <c r="K4217">
        <v>0</v>
      </c>
    </row>
    <row r="4218" spans="1:11" x14ac:dyDescent="0.25">
      <c r="A4218" t="s">
        <v>9</v>
      </c>
      <c r="B4218" t="s">
        <v>275</v>
      </c>
      <c r="C4218" t="s">
        <v>869</v>
      </c>
      <c r="D4218" t="s">
        <v>14</v>
      </c>
      <c r="E4218">
        <v>7</v>
      </c>
      <c r="F4218" s="2">
        <f>DATE(2026,IF(Tabla1[[#This Row],[Mes de Fecha]]="Septiembre",9,10),Tabla1[[#This Row],[Día de Fecha]])</f>
        <v>46302</v>
      </c>
      <c r="G4218">
        <v>1107042230</v>
      </c>
      <c r="I4218">
        <v>48</v>
      </c>
      <c r="J4218">
        <v>0</v>
      </c>
      <c r="K4218" s="1">
        <v>2531134</v>
      </c>
    </row>
    <row r="4219" spans="1:11" x14ac:dyDescent="0.25">
      <c r="A4219" t="s">
        <v>9</v>
      </c>
      <c r="B4219" t="s">
        <v>275</v>
      </c>
      <c r="C4219" t="s">
        <v>869</v>
      </c>
      <c r="D4219" t="s">
        <v>14</v>
      </c>
      <c r="E4219">
        <v>7</v>
      </c>
      <c r="F4219" s="2">
        <f>DATE(2026,IF(Tabla1[[#This Row],[Mes de Fecha]]="Septiembre",9,10),Tabla1[[#This Row],[Día de Fecha]])</f>
        <v>46302</v>
      </c>
      <c r="G4219">
        <v>1143928785</v>
      </c>
      <c r="H4219" t="s">
        <v>276</v>
      </c>
      <c r="I4219">
        <v>31</v>
      </c>
      <c r="J4219">
        <v>0</v>
      </c>
      <c r="K4219" s="1">
        <v>1606027</v>
      </c>
    </row>
    <row r="4220" spans="1:11" x14ac:dyDescent="0.25">
      <c r="A4220" t="s">
        <v>9</v>
      </c>
      <c r="B4220" t="s">
        <v>15</v>
      </c>
      <c r="C4220" t="s">
        <v>869</v>
      </c>
      <c r="D4220" t="s">
        <v>11</v>
      </c>
      <c r="E4220">
        <v>23</v>
      </c>
      <c r="F4220" s="2">
        <f>DATE(2026,IF(Tabla1[[#This Row],[Mes de Fecha]]="Septiembre",9,10),Tabla1[[#This Row],[Día de Fecha]])</f>
        <v>46288</v>
      </c>
      <c r="I4220">
        <v>0</v>
      </c>
      <c r="J4220" s="1">
        <v>2592403</v>
      </c>
      <c r="K4220">
        <v>0</v>
      </c>
    </row>
    <row r="4221" spans="1:11" x14ac:dyDescent="0.25">
      <c r="A4221" t="s">
        <v>9</v>
      </c>
      <c r="B4221" t="s">
        <v>15</v>
      </c>
      <c r="C4221" t="s">
        <v>869</v>
      </c>
      <c r="D4221" t="s">
        <v>11</v>
      </c>
      <c r="E4221">
        <v>23</v>
      </c>
      <c r="F4221" s="2">
        <f>DATE(2026,IF(Tabla1[[#This Row],[Mes de Fecha]]="Septiembre",9,10),Tabla1[[#This Row],[Día de Fecha]])</f>
        <v>46288</v>
      </c>
      <c r="G4221">
        <v>46375418</v>
      </c>
      <c r="H4221" t="s">
        <v>16</v>
      </c>
      <c r="I4221">
        <v>78</v>
      </c>
      <c r="J4221">
        <v>0</v>
      </c>
      <c r="K4221" s="1">
        <v>3809838</v>
      </c>
    </row>
    <row r="4222" spans="1:11" x14ac:dyDescent="0.25">
      <c r="A4222" t="s">
        <v>9</v>
      </c>
      <c r="B4222" t="s">
        <v>15</v>
      </c>
      <c r="C4222" t="s">
        <v>869</v>
      </c>
      <c r="D4222" t="s">
        <v>11</v>
      </c>
      <c r="E4222">
        <v>24</v>
      </c>
      <c r="F4222" s="2">
        <f>DATE(2026,IF(Tabla1[[#This Row],[Mes de Fecha]]="Septiembre",9,10),Tabla1[[#This Row],[Día de Fecha]])</f>
        <v>46289</v>
      </c>
      <c r="I4222">
        <v>0</v>
      </c>
      <c r="J4222" s="1">
        <v>6704445</v>
      </c>
      <c r="K4222">
        <v>0</v>
      </c>
    </row>
    <row r="4223" spans="1:11" x14ac:dyDescent="0.25">
      <c r="A4223" t="s">
        <v>9</v>
      </c>
      <c r="B4223" t="s">
        <v>15</v>
      </c>
      <c r="C4223" t="s">
        <v>869</v>
      </c>
      <c r="D4223" t="s">
        <v>11</v>
      </c>
      <c r="E4223">
        <v>24</v>
      </c>
      <c r="F4223" s="2">
        <f>DATE(2026,IF(Tabla1[[#This Row],[Mes de Fecha]]="Septiembre",9,10),Tabla1[[#This Row],[Día de Fecha]])</f>
        <v>46289</v>
      </c>
      <c r="G4223">
        <v>46375418</v>
      </c>
      <c r="H4223" t="s">
        <v>16</v>
      </c>
      <c r="I4223">
        <v>70</v>
      </c>
      <c r="J4223">
        <v>0</v>
      </c>
      <c r="K4223" s="1">
        <v>3952945</v>
      </c>
    </row>
    <row r="4224" spans="1:11" x14ac:dyDescent="0.25">
      <c r="A4224" t="s">
        <v>9</v>
      </c>
      <c r="B4224" t="s">
        <v>15</v>
      </c>
      <c r="C4224" t="s">
        <v>869</v>
      </c>
      <c r="D4224" t="s">
        <v>11</v>
      </c>
      <c r="E4224">
        <v>25</v>
      </c>
      <c r="F4224" s="2">
        <f>DATE(2026,IF(Tabla1[[#This Row],[Mes de Fecha]]="Septiembre",9,10),Tabla1[[#This Row],[Día de Fecha]])</f>
        <v>46290</v>
      </c>
      <c r="I4224">
        <v>0</v>
      </c>
      <c r="J4224" s="1">
        <v>7160714</v>
      </c>
      <c r="K4224">
        <v>0</v>
      </c>
    </row>
    <row r="4225" spans="1:11" x14ac:dyDescent="0.25">
      <c r="A4225" t="s">
        <v>9</v>
      </c>
      <c r="B4225" t="s">
        <v>15</v>
      </c>
      <c r="C4225" t="s">
        <v>869</v>
      </c>
      <c r="D4225" t="s">
        <v>11</v>
      </c>
      <c r="E4225">
        <v>25</v>
      </c>
      <c r="F4225" s="2">
        <f>DATE(2026,IF(Tabla1[[#This Row],[Mes de Fecha]]="Septiembre",9,10),Tabla1[[#This Row],[Día de Fecha]])</f>
        <v>46290</v>
      </c>
      <c r="G4225">
        <v>46375418</v>
      </c>
      <c r="H4225" t="s">
        <v>16</v>
      </c>
      <c r="I4225">
        <v>70</v>
      </c>
      <c r="J4225">
        <v>0</v>
      </c>
      <c r="K4225" s="1">
        <v>3826896</v>
      </c>
    </row>
    <row r="4226" spans="1:11" x14ac:dyDescent="0.25">
      <c r="A4226" t="s">
        <v>9</v>
      </c>
      <c r="B4226" t="s">
        <v>15</v>
      </c>
      <c r="C4226" t="s">
        <v>869</v>
      </c>
      <c r="D4226" t="s">
        <v>11</v>
      </c>
      <c r="E4226">
        <v>26</v>
      </c>
      <c r="F4226" s="2">
        <f>DATE(2026,IF(Tabla1[[#This Row],[Mes de Fecha]]="Septiembre",9,10),Tabla1[[#This Row],[Día de Fecha]])</f>
        <v>46291</v>
      </c>
      <c r="I4226">
        <v>0</v>
      </c>
      <c r="J4226" s="1">
        <v>9029483</v>
      </c>
      <c r="K4226">
        <v>0</v>
      </c>
    </row>
    <row r="4227" spans="1:11" x14ac:dyDescent="0.25">
      <c r="A4227" t="s">
        <v>9</v>
      </c>
      <c r="B4227" t="s">
        <v>15</v>
      </c>
      <c r="C4227" t="s">
        <v>869</v>
      </c>
      <c r="D4227" t="s">
        <v>11</v>
      </c>
      <c r="E4227">
        <v>26</v>
      </c>
      <c r="F4227" s="2">
        <f>DATE(2026,IF(Tabla1[[#This Row],[Mes de Fecha]]="Septiembre",9,10),Tabla1[[#This Row],[Día de Fecha]])</f>
        <v>46291</v>
      </c>
      <c r="G4227">
        <v>46375418</v>
      </c>
      <c r="H4227" t="s">
        <v>16</v>
      </c>
      <c r="I4227">
        <v>120</v>
      </c>
      <c r="J4227">
        <v>0</v>
      </c>
      <c r="K4227" s="1">
        <v>6429584</v>
      </c>
    </row>
    <row r="4228" spans="1:11" x14ac:dyDescent="0.25">
      <c r="A4228" t="s">
        <v>9</v>
      </c>
      <c r="B4228" t="s">
        <v>15</v>
      </c>
      <c r="C4228" t="s">
        <v>869</v>
      </c>
      <c r="D4228" t="s">
        <v>11</v>
      </c>
      <c r="E4228">
        <v>27</v>
      </c>
      <c r="F4228" s="2">
        <f>DATE(2026,IF(Tabla1[[#This Row],[Mes de Fecha]]="Septiembre",9,10),Tabla1[[#This Row],[Día de Fecha]])</f>
        <v>46292</v>
      </c>
      <c r="I4228">
        <v>0</v>
      </c>
      <c r="J4228" s="1">
        <v>4767477</v>
      </c>
      <c r="K4228">
        <v>0</v>
      </c>
    </row>
    <row r="4229" spans="1:11" x14ac:dyDescent="0.25">
      <c r="A4229" t="s">
        <v>9</v>
      </c>
      <c r="B4229" t="s">
        <v>15</v>
      </c>
      <c r="C4229" t="s">
        <v>869</v>
      </c>
      <c r="D4229" t="s">
        <v>11</v>
      </c>
      <c r="E4229">
        <v>27</v>
      </c>
      <c r="F4229" s="2">
        <f>DATE(2026,IF(Tabla1[[#This Row],[Mes de Fecha]]="Septiembre",9,10),Tabla1[[#This Row],[Día de Fecha]])</f>
        <v>46292</v>
      </c>
      <c r="G4229">
        <v>46375418</v>
      </c>
      <c r="H4229" t="s">
        <v>16</v>
      </c>
      <c r="I4229">
        <v>48</v>
      </c>
      <c r="J4229">
        <v>0</v>
      </c>
      <c r="K4229" s="1">
        <v>2195297</v>
      </c>
    </row>
    <row r="4230" spans="1:11" x14ac:dyDescent="0.25">
      <c r="A4230" t="s">
        <v>9</v>
      </c>
      <c r="B4230" t="s">
        <v>15</v>
      </c>
      <c r="C4230" t="s">
        <v>869</v>
      </c>
      <c r="D4230" t="s">
        <v>11</v>
      </c>
      <c r="E4230">
        <v>28</v>
      </c>
      <c r="F4230" s="2">
        <f>DATE(2026,IF(Tabla1[[#This Row],[Mes de Fecha]]="Septiembre",9,10),Tabla1[[#This Row],[Día de Fecha]])</f>
        <v>46293</v>
      </c>
      <c r="I4230">
        <v>0</v>
      </c>
      <c r="J4230" s="1">
        <v>3908814</v>
      </c>
      <c r="K4230">
        <v>0</v>
      </c>
    </row>
    <row r="4231" spans="1:11" x14ac:dyDescent="0.25">
      <c r="A4231" t="s">
        <v>9</v>
      </c>
      <c r="B4231" t="s">
        <v>15</v>
      </c>
      <c r="C4231" t="s">
        <v>869</v>
      </c>
      <c r="D4231" t="s">
        <v>11</v>
      </c>
      <c r="E4231">
        <v>28</v>
      </c>
      <c r="F4231" s="2">
        <f>DATE(2026,IF(Tabla1[[#This Row],[Mes de Fecha]]="Septiembre",9,10),Tabla1[[#This Row],[Día de Fecha]])</f>
        <v>46293</v>
      </c>
      <c r="G4231">
        <v>46375418</v>
      </c>
      <c r="H4231" t="s">
        <v>16</v>
      </c>
      <c r="I4231">
        <v>63</v>
      </c>
      <c r="J4231">
        <v>0</v>
      </c>
      <c r="K4231" s="1">
        <v>3377483</v>
      </c>
    </row>
    <row r="4232" spans="1:11" x14ac:dyDescent="0.25">
      <c r="A4232" t="s">
        <v>9</v>
      </c>
      <c r="B4232" t="s">
        <v>15</v>
      </c>
      <c r="C4232" t="s">
        <v>869</v>
      </c>
      <c r="D4232" t="s">
        <v>11</v>
      </c>
      <c r="E4232">
        <v>29</v>
      </c>
      <c r="F4232" s="2">
        <f>DATE(2026,IF(Tabla1[[#This Row],[Mes de Fecha]]="Septiembre",9,10),Tabla1[[#This Row],[Día de Fecha]])</f>
        <v>46294</v>
      </c>
      <c r="I4232">
        <v>0</v>
      </c>
      <c r="J4232" s="1">
        <v>4345446</v>
      </c>
      <c r="K4232">
        <v>0</v>
      </c>
    </row>
    <row r="4233" spans="1:11" x14ac:dyDescent="0.25">
      <c r="A4233" t="s">
        <v>9</v>
      </c>
      <c r="B4233" t="s">
        <v>15</v>
      </c>
      <c r="C4233" t="s">
        <v>869</v>
      </c>
      <c r="D4233" t="s">
        <v>11</v>
      </c>
      <c r="E4233">
        <v>29</v>
      </c>
      <c r="F4233" s="2">
        <f>DATE(2026,IF(Tabla1[[#This Row],[Mes de Fecha]]="Septiembre",9,10),Tabla1[[#This Row],[Día de Fecha]])</f>
        <v>46294</v>
      </c>
      <c r="G4233">
        <v>46375418</v>
      </c>
      <c r="H4233" t="s">
        <v>16</v>
      </c>
      <c r="I4233">
        <v>52</v>
      </c>
      <c r="J4233">
        <v>0</v>
      </c>
      <c r="K4233" s="1">
        <v>2585971</v>
      </c>
    </row>
    <row r="4234" spans="1:11" x14ac:dyDescent="0.25">
      <c r="A4234" t="s">
        <v>9</v>
      </c>
      <c r="B4234" t="s">
        <v>15</v>
      </c>
      <c r="C4234" t="s">
        <v>869</v>
      </c>
      <c r="D4234" t="s">
        <v>11</v>
      </c>
      <c r="E4234">
        <v>30</v>
      </c>
      <c r="F4234" s="2">
        <f>DATE(2026,IF(Tabla1[[#This Row],[Mes de Fecha]]="Septiembre",9,10),Tabla1[[#This Row],[Día de Fecha]])</f>
        <v>46295</v>
      </c>
      <c r="I4234">
        <v>0</v>
      </c>
      <c r="J4234" s="1">
        <v>4601966</v>
      </c>
      <c r="K4234">
        <v>0</v>
      </c>
    </row>
    <row r="4235" spans="1:11" x14ac:dyDescent="0.25">
      <c r="A4235" t="s">
        <v>9</v>
      </c>
      <c r="B4235" t="s">
        <v>15</v>
      </c>
      <c r="C4235" t="s">
        <v>869</v>
      </c>
      <c r="D4235" t="s">
        <v>11</v>
      </c>
      <c r="E4235">
        <v>30</v>
      </c>
      <c r="F4235" s="2">
        <f>DATE(2026,IF(Tabla1[[#This Row],[Mes de Fecha]]="Septiembre",9,10),Tabla1[[#This Row],[Día de Fecha]])</f>
        <v>46295</v>
      </c>
      <c r="G4235">
        <v>46375418</v>
      </c>
      <c r="H4235" t="s">
        <v>16</v>
      </c>
      <c r="I4235">
        <v>77</v>
      </c>
      <c r="J4235">
        <v>0</v>
      </c>
      <c r="K4235" s="1">
        <v>3937651</v>
      </c>
    </row>
    <row r="4236" spans="1:11" x14ac:dyDescent="0.25">
      <c r="A4236" t="s">
        <v>9</v>
      </c>
      <c r="B4236" t="s">
        <v>15</v>
      </c>
      <c r="C4236" t="s">
        <v>869</v>
      </c>
      <c r="D4236" t="s">
        <v>14</v>
      </c>
      <c r="E4236">
        <v>1</v>
      </c>
      <c r="F4236" s="2">
        <f>DATE(2026,IF(Tabla1[[#This Row],[Mes de Fecha]]="Septiembre",9,10),Tabla1[[#This Row],[Día de Fecha]])</f>
        <v>46296</v>
      </c>
      <c r="I4236">
        <v>0</v>
      </c>
      <c r="J4236" s="1">
        <v>9439942</v>
      </c>
      <c r="K4236">
        <v>0</v>
      </c>
    </row>
    <row r="4237" spans="1:11" x14ac:dyDescent="0.25">
      <c r="A4237" t="s">
        <v>9</v>
      </c>
      <c r="B4237" t="s">
        <v>15</v>
      </c>
      <c r="C4237" t="s">
        <v>869</v>
      </c>
      <c r="D4237" t="s">
        <v>14</v>
      </c>
      <c r="E4237">
        <v>1</v>
      </c>
      <c r="F4237" s="2">
        <f>DATE(2026,IF(Tabla1[[#This Row],[Mes de Fecha]]="Septiembre",9,10),Tabla1[[#This Row],[Día de Fecha]])</f>
        <v>46296</v>
      </c>
      <c r="G4237">
        <v>46375418</v>
      </c>
      <c r="H4237" t="s">
        <v>16</v>
      </c>
      <c r="I4237">
        <v>95</v>
      </c>
      <c r="J4237">
        <v>0</v>
      </c>
      <c r="K4237" s="1">
        <v>4657401</v>
      </c>
    </row>
    <row r="4238" spans="1:11" x14ac:dyDescent="0.25">
      <c r="A4238" t="s">
        <v>9</v>
      </c>
      <c r="B4238" t="s">
        <v>15</v>
      </c>
      <c r="C4238" t="s">
        <v>869</v>
      </c>
      <c r="D4238" t="s">
        <v>14</v>
      </c>
      <c r="E4238">
        <v>2</v>
      </c>
      <c r="F4238" s="2">
        <f>DATE(2026,IF(Tabla1[[#This Row],[Mes de Fecha]]="Septiembre",9,10),Tabla1[[#This Row],[Día de Fecha]])</f>
        <v>46297</v>
      </c>
      <c r="I4238">
        <v>0</v>
      </c>
      <c r="J4238" s="1">
        <v>9045245</v>
      </c>
      <c r="K4238">
        <v>0</v>
      </c>
    </row>
    <row r="4239" spans="1:11" x14ac:dyDescent="0.25">
      <c r="A4239" t="s">
        <v>9</v>
      </c>
      <c r="B4239" t="s">
        <v>15</v>
      </c>
      <c r="C4239" t="s">
        <v>869</v>
      </c>
      <c r="D4239" t="s">
        <v>14</v>
      </c>
      <c r="E4239">
        <v>2</v>
      </c>
      <c r="F4239" s="2">
        <f>DATE(2026,IF(Tabla1[[#This Row],[Mes de Fecha]]="Septiembre",9,10),Tabla1[[#This Row],[Día de Fecha]])</f>
        <v>46297</v>
      </c>
      <c r="G4239">
        <v>46375418</v>
      </c>
      <c r="H4239" t="s">
        <v>16</v>
      </c>
      <c r="I4239">
        <v>153</v>
      </c>
      <c r="J4239">
        <v>0</v>
      </c>
      <c r="K4239" s="1">
        <v>7688160</v>
      </c>
    </row>
    <row r="4240" spans="1:11" x14ac:dyDescent="0.25">
      <c r="A4240" t="s">
        <v>9</v>
      </c>
      <c r="B4240" t="s">
        <v>15</v>
      </c>
      <c r="C4240" t="s">
        <v>869</v>
      </c>
      <c r="D4240" t="s">
        <v>14</v>
      </c>
      <c r="E4240">
        <v>3</v>
      </c>
      <c r="F4240" s="2">
        <f>DATE(2026,IF(Tabla1[[#This Row],[Mes de Fecha]]="Septiembre",9,10),Tabla1[[#This Row],[Día de Fecha]])</f>
        <v>46298</v>
      </c>
      <c r="I4240">
        <v>0</v>
      </c>
      <c r="J4240" s="1">
        <v>8864295</v>
      </c>
      <c r="K4240">
        <v>0</v>
      </c>
    </row>
    <row r="4241" spans="1:11" x14ac:dyDescent="0.25">
      <c r="A4241" t="s">
        <v>9</v>
      </c>
      <c r="B4241" t="s">
        <v>15</v>
      </c>
      <c r="C4241" t="s">
        <v>869</v>
      </c>
      <c r="D4241" t="s">
        <v>14</v>
      </c>
      <c r="E4241">
        <v>3</v>
      </c>
      <c r="F4241" s="2">
        <f>DATE(2026,IF(Tabla1[[#This Row],[Mes de Fecha]]="Septiembre",9,10),Tabla1[[#This Row],[Día de Fecha]])</f>
        <v>46298</v>
      </c>
      <c r="G4241">
        <v>46375418</v>
      </c>
      <c r="H4241" t="s">
        <v>16</v>
      </c>
      <c r="I4241">
        <v>218</v>
      </c>
      <c r="J4241">
        <v>0</v>
      </c>
      <c r="K4241" s="1">
        <v>10358976</v>
      </c>
    </row>
    <row r="4242" spans="1:11" x14ac:dyDescent="0.25">
      <c r="A4242" t="s">
        <v>9</v>
      </c>
      <c r="B4242" t="s">
        <v>15</v>
      </c>
      <c r="C4242" t="s">
        <v>869</v>
      </c>
      <c r="D4242" t="s">
        <v>14</v>
      </c>
      <c r="E4242">
        <v>4</v>
      </c>
      <c r="F4242" s="2">
        <f>DATE(2026,IF(Tabla1[[#This Row],[Mes de Fecha]]="Septiembre",9,10),Tabla1[[#This Row],[Día de Fecha]])</f>
        <v>46299</v>
      </c>
      <c r="I4242">
        <v>0</v>
      </c>
      <c r="J4242" s="1">
        <v>6696424</v>
      </c>
      <c r="K4242">
        <v>0</v>
      </c>
    </row>
    <row r="4243" spans="1:11" x14ac:dyDescent="0.25">
      <c r="A4243" t="s">
        <v>9</v>
      </c>
      <c r="B4243" t="s">
        <v>15</v>
      </c>
      <c r="C4243" t="s">
        <v>869</v>
      </c>
      <c r="D4243" t="s">
        <v>14</v>
      </c>
      <c r="E4243">
        <v>4</v>
      </c>
      <c r="F4243" s="2">
        <f>DATE(2026,IF(Tabla1[[#This Row],[Mes de Fecha]]="Septiembre",9,10),Tabla1[[#This Row],[Día de Fecha]])</f>
        <v>46299</v>
      </c>
      <c r="G4243">
        <v>46375418</v>
      </c>
      <c r="H4243" t="s">
        <v>16</v>
      </c>
      <c r="I4243">
        <v>74</v>
      </c>
      <c r="J4243">
        <v>0</v>
      </c>
      <c r="K4243" s="1">
        <v>3685845</v>
      </c>
    </row>
    <row r="4244" spans="1:11" x14ac:dyDescent="0.25">
      <c r="A4244" t="s">
        <v>9</v>
      </c>
      <c r="B4244" t="s">
        <v>15</v>
      </c>
      <c r="C4244" t="s">
        <v>869</v>
      </c>
      <c r="D4244" t="s">
        <v>14</v>
      </c>
      <c r="E4244">
        <v>5</v>
      </c>
      <c r="F4244" s="2">
        <f>DATE(2026,IF(Tabla1[[#This Row],[Mes de Fecha]]="Septiembre",9,10),Tabla1[[#This Row],[Día de Fecha]])</f>
        <v>46300</v>
      </c>
      <c r="I4244">
        <v>0</v>
      </c>
      <c r="J4244" s="1">
        <v>4919514</v>
      </c>
      <c r="K4244">
        <v>0</v>
      </c>
    </row>
    <row r="4245" spans="1:11" x14ac:dyDescent="0.25">
      <c r="A4245" t="s">
        <v>9</v>
      </c>
      <c r="B4245" t="s">
        <v>15</v>
      </c>
      <c r="C4245" t="s">
        <v>869</v>
      </c>
      <c r="D4245" t="s">
        <v>14</v>
      </c>
      <c r="E4245">
        <v>5</v>
      </c>
      <c r="F4245" s="2">
        <f>DATE(2026,IF(Tabla1[[#This Row],[Mes de Fecha]]="Septiembre",9,10),Tabla1[[#This Row],[Día de Fecha]])</f>
        <v>46300</v>
      </c>
      <c r="G4245">
        <v>46375418</v>
      </c>
      <c r="H4245" t="s">
        <v>16</v>
      </c>
      <c r="I4245">
        <v>108</v>
      </c>
      <c r="J4245">
        <v>0</v>
      </c>
      <c r="K4245" s="1">
        <v>6142147</v>
      </c>
    </row>
    <row r="4246" spans="1:11" x14ac:dyDescent="0.25">
      <c r="A4246" t="s">
        <v>9</v>
      </c>
      <c r="B4246" t="s">
        <v>15</v>
      </c>
      <c r="C4246" t="s">
        <v>869</v>
      </c>
      <c r="D4246" t="s">
        <v>14</v>
      </c>
      <c r="E4246">
        <v>6</v>
      </c>
      <c r="F4246" s="2">
        <f>DATE(2026,IF(Tabla1[[#This Row],[Mes de Fecha]]="Septiembre",9,10),Tabla1[[#This Row],[Día de Fecha]])</f>
        <v>46301</v>
      </c>
      <c r="I4246">
        <v>0</v>
      </c>
      <c r="J4246" s="1">
        <v>2149168</v>
      </c>
      <c r="K4246">
        <v>0</v>
      </c>
    </row>
    <row r="4247" spans="1:11" x14ac:dyDescent="0.25">
      <c r="A4247" t="s">
        <v>9</v>
      </c>
      <c r="B4247" t="s">
        <v>15</v>
      </c>
      <c r="C4247" t="s">
        <v>869</v>
      </c>
      <c r="D4247" t="s">
        <v>14</v>
      </c>
      <c r="E4247">
        <v>6</v>
      </c>
      <c r="F4247" s="2">
        <f>DATE(2026,IF(Tabla1[[#This Row],[Mes de Fecha]]="Septiembre",9,10),Tabla1[[#This Row],[Día de Fecha]])</f>
        <v>46301</v>
      </c>
      <c r="G4247">
        <v>46375418</v>
      </c>
      <c r="H4247" t="s">
        <v>16</v>
      </c>
      <c r="I4247">
        <v>52</v>
      </c>
      <c r="J4247">
        <v>0</v>
      </c>
      <c r="K4247" s="1">
        <v>2779161</v>
      </c>
    </row>
    <row r="4248" spans="1:11" x14ac:dyDescent="0.25">
      <c r="A4248" t="s">
        <v>9</v>
      </c>
      <c r="B4248" t="s">
        <v>15</v>
      </c>
      <c r="C4248" t="s">
        <v>869</v>
      </c>
      <c r="D4248" t="s">
        <v>14</v>
      </c>
      <c r="E4248">
        <v>7</v>
      </c>
      <c r="F4248" s="2">
        <f>DATE(2026,IF(Tabla1[[#This Row],[Mes de Fecha]]="Septiembre",9,10),Tabla1[[#This Row],[Día de Fecha]])</f>
        <v>46302</v>
      </c>
      <c r="I4248">
        <v>0</v>
      </c>
      <c r="J4248" s="1">
        <v>2245354</v>
      </c>
      <c r="K4248">
        <v>0</v>
      </c>
    </row>
    <row r="4249" spans="1:11" x14ac:dyDescent="0.25">
      <c r="A4249" t="s">
        <v>9</v>
      </c>
      <c r="B4249" t="s">
        <v>15</v>
      </c>
      <c r="C4249" t="s">
        <v>869</v>
      </c>
      <c r="D4249" t="s">
        <v>14</v>
      </c>
      <c r="E4249">
        <v>7</v>
      </c>
      <c r="F4249" s="2">
        <f>DATE(2026,IF(Tabla1[[#This Row],[Mes de Fecha]]="Septiembre",9,10),Tabla1[[#This Row],[Día de Fecha]])</f>
        <v>46302</v>
      </c>
      <c r="G4249">
        <v>46375418</v>
      </c>
      <c r="H4249" t="s">
        <v>16</v>
      </c>
      <c r="I4249">
        <v>64</v>
      </c>
      <c r="J4249">
        <v>0</v>
      </c>
      <c r="K4249" s="1">
        <v>3066598</v>
      </c>
    </row>
    <row r="4250" spans="1:11" x14ac:dyDescent="0.25">
      <c r="A4250" t="s">
        <v>326</v>
      </c>
      <c r="B4250" t="s">
        <v>327</v>
      </c>
      <c r="C4250" t="s">
        <v>869</v>
      </c>
      <c r="D4250" t="s">
        <v>11</v>
      </c>
      <c r="E4250">
        <v>23</v>
      </c>
      <c r="F4250" s="2">
        <f>DATE(2026,IF(Tabla1[[#This Row],[Mes de Fecha]]="Septiembre",9,10),Tabla1[[#This Row],[Día de Fecha]])</f>
        <v>46288</v>
      </c>
      <c r="I4250">
        <v>0</v>
      </c>
      <c r="J4250" s="1">
        <v>1004234</v>
      </c>
      <c r="K4250">
        <v>0</v>
      </c>
    </row>
    <row r="4251" spans="1:11" x14ac:dyDescent="0.25">
      <c r="A4251" t="s">
        <v>326</v>
      </c>
      <c r="B4251" t="s">
        <v>327</v>
      </c>
      <c r="C4251" t="s">
        <v>869</v>
      </c>
      <c r="D4251" t="s">
        <v>11</v>
      </c>
      <c r="E4251">
        <v>23</v>
      </c>
      <c r="F4251" s="2">
        <f>DATE(2026,IF(Tabla1[[#This Row],[Mes de Fecha]]="Septiembre",9,10),Tabla1[[#This Row],[Día de Fecha]])</f>
        <v>46288</v>
      </c>
      <c r="G4251">
        <v>1007053771</v>
      </c>
      <c r="H4251" t="s">
        <v>329</v>
      </c>
      <c r="I4251">
        <v>23</v>
      </c>
      <c r="J4251">
        <v>0</v>
      </c>
      <c r="K4251" s="1">
        <v>384622</v>
      </c>
    </row>
    <row r="4252" spans="1:11" x14ac:dyDescent="0.25">
      <c r="A4252" t="s">
        <v>326</v>
      </c>
      <c r="B4252" t="s">
        <v>327</v>
      </c>
      <c r="C4252" t="s">
        <v>869</v>
      </c>
      <c r="D4252" t="s">
        <v>11</v>
      </c>
      <c r="E4252">
        <v>24</v>
      </c>
      <c r="F4252" s="2">
        <f>DATE(2026,IF(Tabla1[[#This Row],[Mes de Fecha]]="Septiembre",9,10),Tabla1[[#This Row],[Día de Fecha]])</f>
        <v>46289</v>
      </c>
      <c r="I4252">
        <v>0</v>
      </c>
      <c r="J4252" s="1">
        <v>1534078</v>
      </c>
      <c r="K4252">
        <v>0</v>
      </c>
    </row>
    <row r="4253" spans="1:11" x14ac:dyDescent="0.25">
      <c r="A4253" t="s">
        <v>326</v>
      </c>
      <c r="B4253" t="s">
        <v>327</v>
      </c>
      <c r="C4253" t="s">
        <v>869</v>
      </c>
      <c r="D4253" t="s">
        <v>11</v>
      </c>
      <c r="E4253">
        <v>24</v>
      </c>
      <c r="F4253" s="2">
        <f>DATE(2026,IF(Tabla1[[#This Row],[Mes de Fecha]]="Septiembre",9,10),Tabla1[[#This Row],[Día de Fecha]])</f>
        <v>46289</v>
      </c>
      <c r="G4253">
        <v>1007053771</v>
      </c>
      <c r="H4253" t="s">
        <v>329</v>
      </c>
      <c r="I4253">
        <v>4</v>
      </c>
      <c r="J4253">
        <v>0</v>
      </c>
      <c r="K4253" s="1">
        <v>92101</v>
      </c>
    </row>
    <row r="4254" spans="1:11" x14ac:dyDescent="0.25">
      <c r="A4254" t="s">
        <v>326</v>
      </c>
      <c r="B4254" t="s">
        <v>327</v>
      </c>
      <c r="C4254" t="s">
        <v>869</v>
      </c>
      <c r="D4254" t="s">
        <v>11</v>
      </c>
      <c r="E4254">
        <v>25</v>
      </c>
      <c r="F4254" s="2">
        <f>DATE(2026,IF(Tabla1[[#This Row],[Mes de Fecha]]="Septiembre",9,10),Tabla1[[#This Row],[Día de Fecha]])</f>
        <v>46290</v>
      </c>
      <c r="I4254">
        <v>0</v>
      </c>
      <c r="J4254" s="1">
        <v>1530684</v>
      </c>
      <c r="K4254">
        <v>0</v>
      </c>
    </row>
    <row r="4255" spans="1:11" x14ac:dyDescent="0.25">
      <c r="A4255" t="s">
        <v>326</v>
      </c>
      <c r="B4255" t="s">
        <v>327</v>
      </c>
      <c r="C4255" t="s">
        <v>869</v>
      </c>
      <c r="D4255" t="s">
        <v>11</v>
      </c>
      <c r="E4255">
        <v>25</v>
      </c>
      <c r="F4255" s="2">
        <f>DATE(2026,IF(Tabla1[[#This Row],[Mes de Fecha]]="Septiembre",9,10),Tabla1[[#This Row],[Día de Fecha]])</f>
        <v>46290</v>
      </c>
      <c r="G4255">
        <v>1007053771</v>
      </c>
      <c r="H4255" t="s">
        <v>329</v>
      </c>
      <c r="I4255">
        <v>6</v>
      </c>
      <c r="J4255">
        <v>0</v>
      </c>
      <c r="K4255" s="1">
        <v>159160</v>
      </c>
    </row>
    <row r="4256" spans="1:11" x14ac:dyDescent="0.25">
      <c r="A4256" t="s">
        <v>326</v>
      </c>
      <c r="B4256" t="s">
        <v>327</v>
      </c>
      <c r="C4256" t="s">
        <v>869</v>
      </c>
      <c r="D4256" t="s">
        <v>11</v>
      </c>
      <c r="E4256">
        <v>26</v>
      </c>
      <c r="F4256" s="2">
        <f>DATE(2026,IF(Tabla1[[#This Row],[Mes de Fecha]]="Septiembre",9,10),Tabla1[[#This Row],[Día de Fecha]])</f>
        <v>46291</v>
      </c>
      <c r="I4256">
        <v>0</v>
      </c>
      <c r="J4256" s="1">
        <v>2199814</v>
      </c>
      <c r="K4256">
        <v>0</v>
      </c>
    </row>
    <row r="4257" spans="1:11" x14ac:dyDescent="0.25">
      <c r="A4257" t="s">
        <v>326</v>
      </c>
      <c r="B4257" t="s">
        <v>327</v>
      </c>
      <c r="C4257" t="s">
        <v>869</v>
      </c>
      <c r="D4257" t="s">
        <v>11</v>
      </c>
      <c r="E4257">
        <v>26</v>
      </c>
      <c r="F4257" s="2">
        <f>DATE(2026,IF(Tabla1[[#This Row],[Mes de Fecha]]="Septiembre",9,10),Tabla1[[#This Row],[Día de Fecha]])</f>
        <v>46291</v>
      </c>
      <c r="G4257">
        <v>1007053771</v>
      </c>
      <c r="H4257" t="s">
        <v>329</v>
      </c>
      <c r="I4257">
        <v>2</v>
      </c>
      <c r="J4257">
        <v>0</v>
      </c>
      <c r="K4257" s="1">
        <v>134286</v>
      </c>
    </row>
    <row r="4258" spans="1:11" x14ac:dyDescent="0.25">
      <c r="A4258" t="s">
        <v>326</v>
      </c>
      <c r="B4258" t="s">
        <v>327</v>
      </c>
      <c r="C4258" t="s">
        <v>869</v>
      </c>
      <c r="D4258" t="s">
        <v>11</v>
      </c>
      <c r="E4258">
        <v>27</v>
      </c>
      <c r="F4258" s="2">
        <f>DATE(2026,IF(Tabla1[[#This Row],[Mes de Fecha]]="Septiembre",9,10),Tabla1[[#This Row],[Día de Fecha]])</f>
        <v>46292</v>
      </c>
      <c r="I4258">
        <v>0</v>
      </c>
      <c r="J4258" s="1">
        <v>1742695</v>
      </c>
      <c r="K4258">
        <v>0</v>
      </c>
    </row>
    <row r="4259" spans="1:11" x14ac:dyDescent="0.25">
      <c r="A4259" t="s">
        <v>326</v>
      </c>
      <c r="B4259" t="s">
        <v>327</v>
      </c>
      <c r="C4259" t="s">
        <v>869</v>
      </c>
      <c r="D4259" t="s">
        <v>11</v>
      </c>
      <c r="E4259">
        <v>28</v>
      </c>
      <c r="F4259" s="2">
        <f>DATE(2026,IF(Tabla1[[#This Row],[Mes de Fecha]]="Septiembre",9,10),Tabla1[[#This Row],[Día de Fecha]])</f>
        <v>46293</v>
      </c>
      <c r="I4259">
        <v>0</v>
      </c>
      <c r="J4259" s="1">
        <v>981214</v>
      </c>
      <c r="K4259">
        <v>0</v>
      </c>
    </row>
    <row r="4260" spans="1:11" x14ac:dyDescent="0.25">
      <c r="A4260" t="s">
        <v>326</v>
      </c>
      <c r="B4260" t="s">
        <v>327</v>
      </c>
      <c r="C4260" t="s">
        <v>869</v>
      </c>
      <c r="D4260" t="s">
        <v>11</v>
      </c>
      <c r="E4260">
        <v>29</v>
      </c>
      <c r="F4260" s="2">
        <f>DATE(2026,IF(Tabla1[[#This Row],[Mes de Fecha]]="Septiembre",9,10),Tabla1[[#This Row],[Día de Fecha]])</f>
        <v>46294</v>
      </c>
      <c r="I4260">
        <v>0</v>
      </c>
      <c r="J4260" s="1">
        <v>1002410</v>
      </c>
      <c r="K4260">
        <v>0</v>
      </c>
    </row>
    <row r="4261" spans="1:11" x14ac:dyDescent="0.25">
      <c r="A4261" t="s">
        <v>326</v>
      </c>
      <c r="B4261" t="s">
        <v>327</v>
      </c>
      <c r="C4261" t="s">
        <v>869</v>
      </c>
      <c r="D4261" t="s">
        <v>11</v>
      </c>
      <c r="E4261">
        <v>29</v>
      </c>
      <c r="F4261" s="2">
        <f>DATE(2026,IF(Tabla1[[#This Row],[Mes de Fecha]]="Septiembre",9,10),Tabla1[[#This Row],[Día de Fecha]])</f>
        <v>46294</v>
      </c>
      <c r="G4261">
        <v>1007053771</v>
      </c>
      <c r="H4261" t="s">
        <v>329</v>
      </c>
      <c r="I4261">
        <v>11</v>
      </c>
      <c r="J4261">
        <v>0</v>
      </c>
      <c r="K4261" s="1">
        <v>570884</v>
      </c>
    </row>
    <row r="4262" spans="1:11" x14ac:dyDescent="0.25">
      <c r="A4262" t="s">
        <v>326</v>
      </c>
      <c r="B4262" t="s">
        <v>327</v>
      </c>
      <c r="C4262" t="s">
        <v>869</v>
      </c>
      <c r="D4262" t="s">
        <v>11</v>
      </c>
      <c r="E4262">
        <v>30</v>
      </c>
      <c r="F4262" s="2">
        <f>DATE(2026,IF(Tabla1[[#This Row],[Mes de Fecha]]="Septiembre",9,10),Tabla1[[#This Row],[Día de Fecha]])</f>
        <v>46295</v>
      </c>
      <c r="I4262">
        <v>0</v>
      </c>
      <c r="J4262" s="1">
        <v>1058344</v>
      </c>
      <c r="K4262">
        <v>0</v>
      </c>
    </row>
    <row r="4263" spans="1:11" x14ac:dyDescent="0.25">
      <c r="A4263" t="s">
        <v>326</v>
      </c>
      <c r="B4263" t="s">
        <v>327</v>
      </c>
      <c r="C4263" t="s">
        <v>869</v>
      </c>
      <c r="D4263" t="s">
        <v>11</v>
      </c>
      <c r="E4263">
        <v>30</v>
      </c>
      <c r="F4263" s="2">
        <f>DATE(2026,IF(Tabla1[[#This Row],[Mes de Fecha]]="Septiembre",9,10),Tabla1[[#This Row],[Día de Fecha]])</f>
        <v>46295</v>
      </c>
      <c r="G4263">
        <v>1007053771</v>
      </c>
      <c r="H4263" t="s">
        <v>329</v>
      </c>
      <c r="I4263">
        <v>20</v>
      </c>
      <c r="J4263">
        <v>0</v>
      </c>
      <c r="K4263" s="1">
        <v>830799</v>
      </c>
    </row>
    <row r="4264" spans="1:11" x14ac:dyDescent="0.25">
      <c r="A4264" t="s">
        <v>326</v>
      </c>
      <c r="B4264" t="s">
        <v>327</v>
      </c>
      <c r="C4264" t="s">
        <v>869</v>
      </c>
      <c r="D4264" t="s">
        <v>14</v>
      </c>
      <c r="E4264">
        <v>1</v>
      </c>
      <c r="F4264" s="2">
        <f>DATE(2026,IF(Tabla1[[#This Row],[Mes de Fecha]]="Septiembre",9,10),Tabla1[[#This Row],[Día de Fecha]])</f>
        <v>46296</v>
      </c>
      <c r="I4264">
        <v>0</v>
      </c>
      <c r="J4264" s="1">
        <v>717741</v>
      </c>
      <c r="K4264">
        <v>0</v>
      </c>
    </row>
    <row r="4265" spans="1:11" x14ac:dyDescent="0.25">
      <c r="A4265" t="s">
        <v>326</v>
      </c>
      <c r="B4265" t="s">
        <v>327</v>
      </c>
      <c r="C4265" t="s">
        <v>869</v>
      </c>
      <c r="D4265" t="s">
        <v>14</v>
      </c>
      <c r="E4265">
        <v>1</v>
      </c>
      <c r="F4265" s="2">
        <f>DATE(2026,IF(Tabla1[[#This Row],[Mes de Fecha]]="Septiembre",9,10),Tabla1[[#This Row],[Día de Fecha]])</f>
        <v>46296</v>
      </c>
      <c r="G4265">
        <v>1007053771</v>
      </c>
      <c r="H4265" t="s">
        <v>329</v>
      </c>
      <c r="I4265">
        <v>18</v>
      </c>
      <c r="J4265">
        <v>0</v>
      </c>
      <c r="K4265" s="1">
        <v>893993</v>
      </c>
    </row>
    <row r="4266" spans="1:11" x14ac:dyDescent="0.25">
      <c r="A4266" t="s">
        <v>326</v>
      </c>
      <c r="B4266" t="s">
        <v>327</v>
      </c>
      <c r="C4266" t="s">
        <v>869</v>
      </c>
      <c r="D4266" t="s">
        <v>14</v>
      </c>
      <c r="E4266">
        <v>2</v>
      </c>
      <c r="F4266" s="2">
        <f>DATE(2026,IF(Tabla1[[#This Row],[Mes de Fecha]]="Septiembre",9,10),Tabla1[[#This Row],[Día de Fecha]])</f>
        <v>46297</v>
      </c>
      <c r="I4266">
        <v>0</v>
      </c>
      <c r="J4266" s="1">
        <v>710573</v>
      </c>
      <c r="K4266">
        <v>0</v>
      </c>
    </row>
    <row r="4267" spans="1:11" x14ac:dyDescent="0.25">
      <c r="A4267" t="s">
        <v>326</v>
      </c>
      <c r="B4267" t="s">
        <v>327</v>
      </c>
      <c r="C4267" t="s">
        <v>869</v>
      </c>
      <c r="D4267" t="s">
        <v>14</v>
      </c>
      <c r="E4267">
        <v>2</v>
      </c>
      <c r="F4267" s="2">
        <f>DATE(2026,IF(Tabla1[[#This Row],[Mes de Fecha]]="Septiembre",9,10),Tabla1[[#This Row],[Día de Fecha]])</f>
        <v>46297</v>
      </c>
      <c r="G4267">
        <v>1007053771</v>
      </c>
      <c r="H4267" t="s">
        <v>329</v>
      </c>
      <c r="I4267">
        <v>31</v>
      </c>
      <c r="J4267">
        <v>0</v>
      </c>
      <c r="K4267" s="1">
        <v>1468867</v>
      </c>
    </row>
    <row r="4268" spans="1:11" x14ac:dyDescent="0.25">
      <c r="A4268" t="s">
        <v>326</v>
      </c>
      <c r="B4268" t="s">
        <v>327</v>
      </c>
      <c r="C4268" t="s">
        <v>869</v>
      </c>
      <c r="D4268" t="s">
        <v>14</v>
      </c>
      <c r="E4268">
        <v>3</v>
      </c>
      <c r="F4268" s="2">
        <f>DATE(2026,IF(Tabla1[[#This Row],[Mes de Fecha]]="Septiembre",9,10),Tabla1[[#This Row],[Día de Fecha]])</f>
        <v>46298</v>
      </c>
      <c r="I4268">
        <v>0</v>
      </c>
      <c r="J4268" s="1">
        <v>898815</v>
      </c>
      <c r="K4268">
        <v>0</v>
      </c>
    </row>
    <row r="4269" spans="1:11" x14ac:dyDescent="0.25">
      <c r="A4269" t="s">
        <v>326</v>
      </c>
      <c r="B4269" t="s">
        <v>327</v>
      </c>
      <c r="C4269" t="s">
        <v>869</v>
      </c>
      <c r="D4269" t="s">
        <v>14</v>
      </c>
      <c r="E4269">
        <v>3</v>
      </c>
      <c r="F4269" s="2">
        <f>DATE(2026,IF(Tabla1[[#This Row],[Mes de Fecha]]="Septiembre",9,10),Tabla1[[#This Row],[Día de Fecha]])</f>
        <v>46298</v>
      </c>
      <c r="G4269">
        <v>1007053771</v>
      </c>
      <c r="H4269" t="s">
        <v>329</v>
      </c>
      <c r="I4269">
        <v>46</v>
      </c>
      <c r="J4269">
        <v>0</v>
      </c>
      <c r="K4269" s="1">
        <v>1959454</v>
      </c>
    </row>
    <row r="4270" spans="1:11" x14ac:dyDescent="0.25">
      <c r="A4270" t="s">
        <v>326</v>
      </c>
      <c r="B4270" t="s">
        <v>327</v>
      </c>
      <c r="C4270" t="s">
        <v>869</v>
      </c>
      <c r="D4270" t="s">
        <v>14</v>
      </c>
      <c r="E4270">
        <v>4</v>
      </c>
      <c r="F4270" s="2">
        <f>DATE(2026,IF(Tabla1[[#This Row],[Mes de Fecha]]="Septiembre",9,10),Tabla1[[#This Row],[Día de Fecha]])</f>
        <v>46299</v>
      </c>
      <c r="I4270">
        <v>0</v>
      </c>
      <c r="J4270" s="1">
        <v>575265</v>
      </c>
      <c r="K4270">
        <v>0</v>
      </c>
    </row>
    <row r="4271" spans="1:11" x14ac:dyDescent="0.25">
      <c r="A4271" t="s">
        <v>326</v>
      </c>
      <c r="B4271" t="s">
        <v>327</v>
      </c>
      <c r="C4271" t="s">
        <v>869</v>
      </c>
      <c r="D4271" t="s">
        <v>14</v>
      </c>
      <c r="E4271">
        <v>4</v>
      </c>
      <c r="F4271" s="2">
        <f>DATE(2026,IF(Tabla1[[#This Row],[Mes de Fecha]]="Septiembre",9,10),Tabla1[[#This Row],[Día de Fecha]])</f>
        <v>46299</v>
      </c>
      <c r="G4271">
        <v>1007053771</v>
      </c>
      <c r="H4271" t="s">
        <v>329</v>
      </c>
      <c r="I4271">
        <v>29</v>
      </c>
      <c r="J4271">
        <v>0</v>
      </c>
      <c r="K4271" s="1">
        <v>1359783</v>
      </c>
    </row>
    <row r="4272" spans="1:11" x14ac:dyDescent="0.25">
      <c r="A4272" t="s">
        <v>326</v>
      </c>
      <c r="B4272" t="s">
        <v>327</v>
      </c>
      <c r="C4272" t="s">
        <v>869</v>
      </c>
      <c r="D4272" t="s">
        <v>14</v>
      </c>
      <c r="E4272">
        <v>5</v>
      </c>
      <c r="F4272" s="2">
        <f>DATE(2026,IF(Tabla1[[#This Row],[Mes de Fecha]]="Septiembre",9,10),Tabla1[[#This Row],[Día de Fecha]])</f>
        <v>46300</v>
      </c>
      <c r="I4272">
        <v>0</v>
      </c>
      <c r="J4272" s="1">
        <v>467845</v>
      </c>
      <c r="K4272">
        <v>0</v>
      </c>
    </row>
    <row r="4273" spans="1:11" x14ac:dyDescent="0.25">
      <c r="A4273" t="s">
        <v>326</v>
      </c>
      <c r="B4273" t="s">
        <v>327</v>
      </c>
      <c r="C4273" t="s">
        <v>869</v>
      </c>
      <c r="D4273" t="s">
        <v>14</v>
      </c>
      <c r="E4273">
        <v>5</v>
      </c>
      <c r="F4273" s="2">
        <f>DATE(2026,IF(Tabla1[[#This Row],[Mes de Fecha]]="Septiembre",9,10),Tabla1[[#This Row],[Día de Fecha]])</f>
        <v>46300</v>
      </c>
      <c r="G4273">
        <v>5896465</v>
      </c>
      <c r="H4273" t="s">
        <v>328</v>
      </c>
      <c r="I4273">
        <v>3</v>
      </c>
      <c r="J4273">
        <v>0</v>
      </c>
      <c r="K4273" s="1">
        <v>117521</v>
      </c>
    </row>
    <row r="4274" spans="1:11" x14ac:dyDescent="0.25">
      <c r="A4274" t="s">
        <v>326</v>
      </c>
      <c r="B4274" t="s">
        <v>327</v>
      </c>
      <c r="C4274" t="s">
        <v>869</v>
      </c>
      <c r="D4274" t="s">
        <v>14</v>
      </c>
      <c r="E4274">
        <v>5</v>
      </c>
      <c r="F4274" s="2">
        <f>DATE(2026,IF(Tabla1[[#This Row],[Mes de Fecha]]="Septiembre",9,10),Tabla1[[#This Row],[Día de Fecha]])</f>
        <v>46300</v>
      </c>
      <c r="G4274">
        <v>1007053771</v>
      </c>
      <c r="H4274" t="s">
        <v>329</v>
      </c>
      <c r="I4274">
        <v>0</v>
      </c>
      <c r="J4274">
        <v>0</v>
      </c>
      <c r="K4274" s="1">
        <v>8403</v>
      </c>
    </row>
    <row r="4275" spans="1:11" x14ac:dyDescent="0.25">
      <c r="A4275" t="s">
        <v>326</v>
      </c>
      <c r="B4275" t="s">
        <v>327</v>
      </c>
      <c r="C4275" t="s">
        <v>869</v>
      </c>
      <c r="D4275" t="s">
        <v>14</v>
      </c>
      <c r="E4275">
        <v>6</v>
      </c>
      <c r="F4275" s="2">
        <f>DATE(2026,IF(Tabla1[[#This Row],[Mes de Fecha]]="Septiembre",9,10),Tabla1[[#This Row],[Día de Fecha]])</f>
        <v>46301</v>
      </c>
      <c r="I4275">
        <v>0</v>
      </c>
      <c r="J4275" s="1">
        <v>304261</v>
      </c>
      <c r="K4275">
        <v>0</v>
      </c>
    </row>
    <row r="4276" spans="1:11" x14ac:dyDescent="0.25">
      <c r="A4276" t="s">
        <v>326</v>
      </c>
      <c r="B4276" t="s">
        <v>327</v>
      </c>
      <c r="C4276" t="s">
        <v>869</v>
      </c>
      <c r="D4276" t="s">
        <v>14</v>
      </c>
      <c r="E4276">
        <v>6</v>
      </c>
      <c r="F4276" s="2">
        <f>DATE(2026,IF(Tabla1[[#This Row],[Mes de Fecha]]="Septiembre",9,10),Tabla1[[#This Row],[Día de Fecha]])</f>
        <v>46301</v>
      </c>
      <c r="G4276">
        <v>1007053771</v>
      </c>
      <c r="H4276" t="s">
        <v>329</v>
      </c>
      <c r="I4276">
        <v>6</v>
      </c>
      <c r="J4276">
        <v>0</v>
      </c>
      <c r="K4276" s="1">
        <v>255967</v>
      </c>
    </row>
    <row r="4277" spans="1:11" x14ac:dyDescent="0.25">
      <c r="A4277" t="s">
        <v>326</v>
      </c>
      <c r="B4277" t="s">
        <v>327</v>
      </c>
      <c r="C4277" t="s">
        <v>869</v>
      </c>
      <c r="D4277" t="s">
        <v>14</v>
      </c>
      <c r="E4277">
        <v>7</v>
      </c>
      <c r="F4277" s="2">
        <f>DATE(2026,IF(Tabla1[[#This Row],[Mes de Fecha]]="Septiembre",9,10),Tabla1[[#This Row],[Día de Fecha]])</f>
        <v>46302</v>
      </c>
      <c r="I4277">
        <v>0</v>
      </c>
      <c r="J4277" s="1">
        <v>301873</v>
      </c>
      <c r="K4277">
        <v>0</v>
      </c>
    </row>
    <row r="4278" spans="1:11" x14ac:dyDescent="0.25">
      <c r="A4278" t="s">
        <v>326</v>
      </c>
      <c r="B4278" t="s">
        <v>327</v>
      </c>
      <c r="C4278" t="s">
        <v>869</v>
      </c>
      <c r="D4278" t="s">
        <v>14</v>
      </c>
      <c r="E4278">
        <v>7</v>
      </c>
      <c r="F4278" s="2">
        <f>DATE(2026,IF(Tabla1[[#This Row],[Mes de Fecha]]="Septiembre",9,10),Tabla1[[#This Row],[Día de Fecha]])</f>
        <v>46302</v>
      </c>
      <c r="G4278">
        <v>1007053771</v>
      </c>
      <c r="H4278" t="s">
        <v>329</v>
      </c>
      <c r="I4278">
        <v>9</v>
      </c>
      <c r="J4278">
        <v>0</v>
      </c>
      <c r="K4278" s="1">
        <v>495293</v>
      </c>
    </row>
    <row r="4279" spans="1:11" x14ac:dyDescent="0.25">
      <c r="A4279" t="s">
        <v>326</v>
      </c>
      <c r="B4279" t="s">
        <v>636</v>
      </c>
      <c r="C4279" t="s">
        <v>869</v>
      </c>
      <c r="D4279" t="s">
        <v>11</v>
      </c>
      <c r="E4279">
        <v>23</v>
      </c>
      <c r="F4279" s="2">
        <f>DATE(2026,IF(Tabla1[[#This Row],[Mes de Fecha]]="Septiembre",9,10),Tabla1[[#This Row],[Día de Fecha]])</f>
        <v>46288</v>
      </c>
      <c r="I4279">
        <v>0</v>
      </c>
      <c r="J4279" s="1">
        <v>8928643</v>
      </c>
      <c r="K4279">
        <v>0</v>
      </c>
    </row>
    <row r="4280" spans="1:11" x14ac:dyDescent="0.25">
      <c r="A4280" t="s">
        <v>326</v>
      </c>
      <c r="B4280" t="s">
        <v>636</v>
      </c>
      <c r="C4280" t="s">
        <v>869</v>
      </c>
      <c r="D4280" t="s">
        <v>11</v>
      </c>
      <c r="E4280">
        <v>23</v>
      </c>
      <c r="F4280" s="2">
        <f>DATE(2026,IF(Tabla1[[#This Row],[Mes de Fecha]]="Septiembre",9,10),Tabla1[[#This Row],[Día de Fecha]])</f>
        <v>46288</v>
      </c>
      <c r="G4280">
        <v>32241516</v>
      </c>
      <c r="H4280" t="s">
        <v>643</v>
      </c>
      <c r="I4280">
        <v>14</v>
      </c>
      <c r="J4280">
        <v>0</v>
      </c>
      <c r="K4280" s="1">
        <v>808236</v>
      </c>
    </row>
    <row r="4281" spans="1:11" x14ac:dyDescent="0.25">
      <c r="A4281" t="s">
        <v>326</v>
      </c>
      <c r="B4281" t="s">
        <v>636</v>
      </c>
      <c r="C4281" t="s">
        <v>869</v>
      </c>
      <c r="D4281" t="s">
        <v>11</v>
      </c>
      <c r="E4281">
        <v>23</v>
      </c>
      <c r="F4281" s="2">
        <f>DATE(2026,IF(Tabla1[[#This Row],[Mes de Fecha]]="Septiembre",9,10),Tabla1[[#This Row],[Día de Fecha]])</f>
        <v>46288</v>
      </c>
      <c r="G4281">
        <v>1000535103</v>
      </c>
      <c r="H4281" t="s">
        <v>640</v>
      </c>
      <c r="I4281">
        <v>94</v>
      </c>
      <c r="J4281">
        <v>0</v>
      </c>
      <c r="K4281" s="1">
        <v>5344667</v>
      </c>
    </row>
    <row r="4282" spans="1:11" x14ac:dyDescent="0.25">
      <c r="A4282" t="s">
        <v>326</v>
      </c>
      <c r="B4282" t="s">
        <v>636</v>
      </c>
      <c r="C4282" t="s">
        <v>869</v>
      </c>
      <c r="D4282" t="s">
        <v>11</v>
      </c>
      <c r="E4282">
        <v>23</v>
      </c>
      <c r="F4282" s="2">
        <f>DATE(2026,IF(Tabla1[[#This Row],[Mes de Fecha]]="Septiembre",9,10),Tabla1[[#This Row],[Día de Fecha]])</f>
        <v>46288</v>
      </c>
      <c r="G4282">
        <v>1056771455</v>
      </c>
      <c r="H4282" t="s">
        <v>642</v>
      </c>
      <c r="I4282">
        <v>15</v>
      </c>
      <c r="J4282">
        <v>0</v>
      </c>
      <c r="K4282" s="1">
        <v>885882</v>
      </c>
    </row>
    <row r="4283" spans="1:11" x14ac:dyDescent="0.25">
      <c r="A4283" t="s">
        <v>326</v>
      </c>
      <c r="B4283" t="s">
        <v>636</v>
      </c>
      <c r="C4283" t="s">
        <v>869</v>
      </c>
      <c r="D4283" t="s">
        <v>11</v>
      </c>
      <c r="E4283">
        <v>23</v>
      </c>
      <c r="F4283" s="2">
        <f>DATE(2026,IF(Tabla1[[#This Row],[Mes de Fecha]]="Septiembre",9,10),Tabla1[[#This Row],[Día de Fecha]])</f>
        <v>46288</v>
      </c>
      <c r="G4283">
        <v>1056785111</v>
      </c>
      <c r="H4283" t="s">
        <v>639</v>
      </c>
      <c r="I4283">
        <v>73</v>
      </c>
      <c r="J4283">
        <v>0</v>
      </c>
      <c r="K4283" s="1">
        <v>5211222</v>
      </c>
    </row>
    <row r="4284" spans="1:11" x14ac:dyDescent="0.25">
      <c r="A4284" t="s">
        <v>326</v>
      </c>
      <c r="B4284" t="s">
        <v>636</v>
      </c>
      <c r="C4284" t="s">
        <v>869</v>
      </c>
      <c r="D4284" t="s">
        <v>11</v>
      </c>
      <c r="E4284">
        <v>23</v>
      </c>
      <c r="F4284" s="2">
        <f>DATE(2026,IF(Tabla1[[#This Row],[Mes de Fecha]]="Septiembre",9,10),Tabla1[[#This Row],[Día de Fecha]])</f>
        <v>46288</v>
      </c>
      <c r="G4284">
        <v>1101817682</v>
      </c>
      <c r="H4284" t="s">
        <v>644</v>
      </c>
      <c r="I4284">
        <v>8</v>
      </c>
      <c r="J4284">
        <v>0</v>
      </c>
      <c r="K4284" s="1">
        <v>386219</v>
      </c>
    </row>
    <row r="4285" spans="1:11" x14ac:dyDescent="0.25">
      <c r="A4285" t="s">
        <v>326</v>
      </c>
      <c r="B4285" t="s">
        <v>636</v>
      </c>
      <c r="C4285" t="s">
        <v>869</v>
      </c>
      <c r="D4285" t="s">
        <v>11</v>
      </c>
      <c r="E4285">
        <v>24</v>
      </c>
      <c r="F4285" s="2">
        <f>DATE(2026,IF(Tabla1[[#This Row],[Mes de Fecha]]="Septiembre",9,10),Tabla1[[#This Row],[Día de Fecha]])</f>
        <v>46289</v>
      </c>
      <c r="I4285">
        <v>0</v>
      </c>
      <c r="J4285" s="1">
        <v>13639510</v>
      </c>
      <c r="K4285">
        <v>0</v>
      </c>
    </row>
    <row r="4286" spans="1:11" x14ac:dyDescent="0.25">
      <c r="A4286" t="s">
        <v>326</v>
      </c>
      <c r="B4286" t="s">
        <v>636</v>
      </c>
      <c r="C4286" t="s">
        <v>869</v>
      </c>
      <c r="D4286" t="s">
        <v>11</v>
      </c>
      <c r="E4286">
        <v>24</v>
      </c>
      <c r="F4286" s="2">
        <f>DATE(2026,IF(Tabla1[[#This Row],[Mes de Fecha]]="Septiembre",9,10),Tabla1[[#This Row],[Día de Fecha]])</f>
        <v>46289</v>
      </c>
      <c r="G4286">
        <v>32241516</v>
      </c>
      <c r="H4286" t="s">
        <v>643</v>
      </c>
      <c r="I4286">
        <v>28</v>
      </c>
      <c r="J4286">
        <v>0</v>
      </c>
      <c r="K4286" s="1">
        <v>1862269</v>
      </c>
    </row>
    <row r="4287" spans="1:11" x14ac:dyDescent="0.25">
      <c r="A4287" t="s">
        <v>326</v>
      </c>
      <c r="B4287" t="s">
        <v>636</v>
      </c>
      <c r="C4287" t="s">
        <v>869</v>
      </c>
      <c r="D4287" t="s">
        <v>11</v>
      </c>
      <c r="E4287">
        <v>24</v>
      </c>
      <c r="F4287" s="2">
        <f>DATE(2026,IF(Tabla1[[#This Row],[Mes de Fecha]]="Septiembre",9,10),Tabla1[[#This Row],[Día de Fecha]])</f>
        <v>46289</v>
      </c>
      <c r="G4287">
        <v>1000535103</v>
      </c>
      <c r="H4287" t="s">
        <v>640</v>
      </c>
      <c r="I4287">
        <v>88</v>
      </c>
      <c r="J4287">
        <v>0</v>
      </c>
      <c r="K4287" s="1">
        <v>5099207</v>
      </c>
    </row>
    <row r="4288" spans="1:11" x14ac:dyDescent="0.25">
      <c r="A4288" t="s">
        <v>326</v>
      </c>
      <c r="B4288" t="s">
        <v>636</v>
      </c>
      <c r="C4288" t="s">
        <v>869</v>
      </c>
      <c r="D4288" t="s">
        <v>11</v>
      </c>
      <c r="E4288">
        <v>24</v>
      </c>
      <c r="F4288" s="2">
        <f>DATE(2026,IF(Tabla1[[#This Row],[Mes de Fecha]]="Septiembre",9,10),Tabla1[[#This Row],[Día de Fecha]])</f>
        <v>46289</v>
      </c>
      <c r="G4288">
        <v>1056771455</v>
      </c>
      <c r="H4288" t="s">
        <v>642</v>
      </c>
      <c r="I4288">
        <v>7</v>
      </c>
      <c r="J4288">
        <v>0</v>
      </c>
      <c r="K4288" s="1">
        <v>545925</v>
      </c>
    </row>
    <row r="4289" spans="1:11" x14ac:dyDescent="0.25">
      <c r="A4289" t="s">
        <v>326</v>
      </c>
      <c r="B4289" t="s">
        <v>636</v>
      </c>
      <c r="C4289" t="s">
        <v>869</v>
      </c>
      <c r="D4289" t="s">
        <v>11</v>
      </c>
      <c r="E4289">
        <v>24</v>
      </c>
      <c r="F4289" s="2">
        <f>DATE(2026,IF(Tabla1[[#This Row],[Mes de Fecha]]="Septiembre",9,10),Tabla1[[#This Row],[Día de Fecha]])</f>
        <v>46289</v>
      </c>
      <c r="G4289">
        <v>1056785111</v>
      </c>
      <c r="H4289" t="s">
        <v>639</v>
      </c>
      <c r="I4289">
        <v>88</v>
      </c>
      <c r="J4289">
        <v>0</v>
      </c>
      <c r="K4289" s="1">
        <v>5088615</v>
      </c>
    </row>
    <row r="4290" spans="1:11" x14ac:dyDescent="0.25">
      <c r="A4290" t="s">
        <v>326</v>
      </c>
      <c r="B4290" t="s">
        <v>636</v>
      </c>
      <c r="C4290" t="s">
        <v>869</v>
      </c>
      <c r="D4290" t="s">
        <v>11</v>
      </c>
      <c r="E4290">
        <v>24</v>
      </c>
      <c r="F4290" s="2">
        <f>DATE(2026,IF(Tabla1[[#This Row],[Mes de Fecha]]="Septiembre",9,10),Tabla1[[#This Row],[Día de Fecha]])</f>
        <v>46289</v>
      </c>
      <c r="G4290">
        <v>1101817682</v>
      </c>
      <c r="H4290" t="s">
        <v>644</v>
      </c>
      <c r="I4290">
        <v>10</v>
      </c>
      <c r="J4290">
        <v>0</v>
      </c>
      <c r="K4290" s="1">
        <v>619328</v>
      </c>
    </row>
    <row r="4291" spans="1:11" x14ac:dyDescent="0.25">
      <c r="A4291" t="s">
        <v>326</v>
      </c>
      <c r="B4291" t="s">
        <v>636</v>
      </c>
      <c r="C4291" t="s">
        <v>869</v>
      </c>
      <c r="D4291" t="s">
        <v>11</v>
      </c>
      <c r="E4291">
        <v>25</v>
      </c>
      <c r="F4291" s="2">
        <f>DATE(2026,IF(Tabla1[[#This Row],[Mes de Fecha]]="Septiembre",9,10),Tabla1[[#This Row],[Día de Fecha]])</f>
        <v>46290</v>
      </c>
      <c r="I4291">
        <v>0</v>
      </c>
      <c r="J4291" s="1">
        <v>13609312</v>
      </c>
      <c r="K4291">
        <v>0</v>
      </c>
    </row>
    <row r="4292" spans="1:11" x14ac:dyDescent="0.25">
      <c r="A4292" t="s">
        <v>326</v>
      </c>
      <c r="B4292" t="s">
        <v>636</v>
      </c>
      <c r="C4292" t="s">
        <v>869</v>
      </c>
      <c r="D4292" t="s">
        <v>11</v>
      </c>
      <c r="E4292">
        <v>25</v>
      </c>
      <c r="F4292" s="2">
        <f>DATE(2026,IF(Tabla1[[#This Row],[Mes de Fecha]]="Septiembre",9,10),Tabla1[[#This Row],[Día de Fecha]])</f>
        <v>46290</v>
      </c>
      <c r="G4292">
        <v>32241516</v>
      </c>
      <c r="H4292" t="s">
        <v>643</v>
      </c>
      <c r="I4292">
        <v>15</v>
      </c>
      <c r="J4292">
        <v>0</v>
      </c>
      <c r="K4292" s="1">
        <v>873320</v>
      </c>
    </row>
    <row r="4293" spans="1:11" x14ac:dyDescent="0.25">
      <c r="A4293" t="s">
        <v>326</v>
      </c>
      <c r="B4293" t="s">
        <v>636</v>
      </c>
      <c r="C4293" t="s">
        <v>869</v>
      </c>
      <c r="D4293" t="s">
        <v>11</v>
      </c>
      <c r="E4293">
        <v>25</v>
      </c>
      <c r="F4293" s="2">
        <f>DATE(2026,IF(Tabla1[[#This Row],[Mes de Fecha]]="Septiembre",9,10),Tabla1[[#This Row],[Día de Fecha]])</f>
        <v>46290</v>
      </c>
      <c r="G4293">
        <v>1000535103</v>
      </c>
      <c r="H4293" t="s">
        <v>640</v>
      </c>
      <c r="I4293">
        <v>102</v>
      </c>
      <c r="J4293">
        <v>0</v>
      </c>
      <c r="K4293" s="1">
        <v>6344372</v>
      </c>
    </row>
    <row r="4294" spans="1:11" x14ac:dyDescent="0.25">
      <c r="A4294" t="s">
        <v>326</v>
      </c>
      <c r="B4294" t="s">
        <v>636</v>
      </c>
      <c r="C4294" t="s">
        <v>869</v>
      </c>
      <c r="D4294" t="s">
        <v>11</v>
      </c>
      <c r="E4294">
        <v>25</v>
      </c>
      <c r="F4294" s="2">
        <f>DATE(2026,IF(Tabla1[[#This Row],[Mes de Fecha]]="Septiembre",9,10),Tabla1[[#This Row],[Día de Fecha]])</f>
        <v>46290</v>
      </c>
      <c r="G4294">
        <v>1056771455</v>
      </c>
      <c r="H4294" t="s">
        <v>642</v>
      </c>
      <c r="I4294">
        <v>26</v>
      </c>
      <c r="J4294">
        <v>0</v>
      </c>
      <c r="K4294" s="1">
        <v>1356053</v>
      </c>
    </row>
    <row r="4295" spans="1:11" x14ac:dyDescent="0.25">
      <c r="A4295" t="s">
        <v>326</v>
      </c>
      <c r="B4295" t="s">
        <v>636</v>
      </c>
      <c r="C4295" t="s">
        <v>869</v>
      </c>
      <c r="D4295" t="s">
        <v>11</v>
      </c>
      <c r="E4295">
        <v>25</v>
      </c>
      <c r="F4295" s="2">
        <f>DATE(2026,IF(Tabla1[[#This Row],[Mes de Fecha]]="Septiembre",9,10),Tabla1[[#This Row],[Día de Fecha]])</f>
        <v>46290</v>
      </c>
      <c r="G4295">
        <v>1056785111</v>
      </c>
      <c r="H4295" t="s">
        <v>639</v>
      </c>
      <c r="I4295">
        <v>96</v>
      </c>
      <c r="J4295">
        <v>0</v>
      </c>
      <c r="K4295" s="1">
        <v>5357228</v>
      </c>
    </row>
    <row r="4296" spans="1:11" x14ac:dyDescent="0.25">
      <c r="A4296" t="s">
        <v>326</v>
      </c>
      <c r="B4296" t="s">
        <v>636</v>
      </c>
      <c r="C4296" t="s">
        <v>869</v>
      </c>
      <c r="D4296" t="s">
        <v>11</v>
      </c>
      <c r="E4296">
        <v>25</v>
      </c>
      <c r="F4296" s="2">
        <f>DATE(2026,IF(Tabla1[[#This Row],[Mes de Fecha]]="Septiembre",9,10),Tabla1[[#This Row],[Día de Fecha]])</f>
        <v>46290</v>
      </c>
      <c r="G4296">
        <v>1101817682</v>
      </c>
      <c r="H4296" t="s">
        <v>644</v>
      </c>
      <c r="I4296">
        <v>4</v>
      </c>
      <c r="J4296">
        <v>0</v>
      </c>
      <c r="K4296" s="1">
        <v>176304</v>
      </c>
    </row>
    <row r="4297" spans="1:11" x14ac:dyDescent="0.25">
      <c r="A4297" t="s">
        <v>326</v>
      </c>
      <c r="B4297" t="s">
        <v>636</v>
      </c>
      <c r="C4297" t="s">
        <v>869</v>
      </c>
      <c r="D4297" t="s">
        <v>11</v>
      </c>
      <c r="E4297">
        <v>26</v>
      </c>
      <c r="F4297" s="2">
        <f>DATE(2026,IF(Tabla1[[#This Row],[Mes de Fecha]]="Septiembre",9,10),Tabla1[[#This Row],[Día de Fecha]])</f>
        <v>46291</v>
      </c>
      <c r="I4297">
        <v>0</v>
      </c>
      <c r="J4297" s="1">
        <v>19558538</v>
      </c>
      <c r="K4297">
        <v>0</v>
      </c>
    </row>
    <row r="4298" spans="1:11" x14ac:dyDescent="0.25">
      <c r="A4298" t="s">
        <v>326</v>
      </c>
      <c r="B4298" t="s">
        <v>636</v>
      </c>
      <c r="C4298" t="s">
        <v>869</v>
      </c>
      <c r="D4298" t="s">
        <v>11</v>
      </c>
      <c r="E4298">
        <v>26</v>
      </c>
      <c r="F4298" s="2">
        <f>DATE(2026,IF(Tabla1[[#This Row],[Mes de Fecha]]="Septiembre",9,10),Tabla1[[#This Row],[Día de Fecha]])</f>
        <v>46291</v>
      </c>
      <c r="G4298">
        <v>32241516</v>
      </c>
      <c r="H4298" t="s">
        <v>643</v>
      </c>
      <c r="I4298">
        <v>22</v>
      </c>
      <c r="J4298">
        <v>0</v>
      </c>
      <c r="K4298" s="1">
        <v>1326807</v>
      </c>
    </row>
    <row r="4299" spans="1:11" x14ac:dyDescent="0.25">
      <c r="A4299" t="s">
        <v>326</v>
      </c>
      <c r="B4299" t="s">
        <v>636</v>
      </c>
      <c r="C4299" t="s">
        <v>869</v>
      </c>
      <c r="D4299" t="s">
        <v>11</v>
      </c>
      <c r="E4299">
        <v>26</v>
      </c>
      <c r="F4299" s="2">
        <f>DATE(2026,IF(Tabla1[[#This Row],[Mes de Fecha]]="Septiembre",9,10),Tabla1[[#This Row],[Día de Fecha]])</f>
        <v>46291</v>
      </c>
      <c r="G4299">
        <v>1000535103</v>
      </c>
      <c r="H4299" t="s">
        <v>640</v>
      </c>
      <c r="I4299">
        <v>131</v>
      </c>
      <c r="J4299">
        <v>0</v>
      </c>
      <c r="K4299" s="1">
        <v>8897820</v>
      </c>
    </row>
    <row r="4300" spans="1:11" x14ac:dyDescent="0.25">
      <c r="A4300" t="s">
        <v>326</v>
      </c>
      <c r="B4300" t="s">
        <v>636</v>
      </c>
      <c r="C4300" t="s">
        <v>869</v>
      </c>
      <c r="D4300" t="s">
        <v>11</v>
      </c>
      <c r="E4300">
        <v>26</v>
      </c>
      <c r="F4300" s="2">
        <f>DATE(2026,IF(Tabla1[[#This Row],[Mes de Fecha]]="Septiembre",9,10),Tabla1[[#This Row],[Día de Fecha]])</f>
        <v>46291</v>
      </c>
      <c r="G4300">
        <v>1056771455</v>
      </c>
      <c r="H4300" t="s">
        <v>642</v>
      </c>
      <c r="I4300">
        <v>39</v>
      </c>
      <c r="J4300">
        <v>0</v>
      </c>
      <c r="K4300" s="1">
        <v>2363909</v>
      </c>
    </row>
    <row r="4301" spans="1:11" x14ac:dyDescent="0.25">
      <c r="A4301" t="s">
        <v>326</v>
      </c>
      <c r="B4301" t="s">
        <v>636</v>
      </c>
      <c r="C4301" t="s">
        <v>869</v>
      </c>
      <c r="D4301" t="s">
        <v>11</v>
      </c>
      <c r="E4301">
        <v>26</v>
      </c>
      <c r="F4301" s="2">
        <f>DATE(2026,IF(Tabla1[[#This Row],[Mes de Fecha]]="Septiembre",9,10),Tabla1[[#This Row],[Día de Fecha]])</f>
        <v>46291</v>
      </c>
      <c r="G4301">
        <v>1056785111</v>
      </c>
      <c r="H4301" t="s">
        <v>639</v>
      </c>
      <c r="I4301">
        <v>145</v>
      </c>
      <c r="J4301">
        <v>0</v>
      </c>
      <c r="K4301" s="1">
        <v>8924462</v>
      </c>
    </row>
    <row r="4302" spans="1:11" x14ac:dyDescent="0.25">
      <c r="A4302" t="s">
        <v>326</v>
      </c>
      <c r="B4302" t="s">
        <v>636</v>
      </c>
      <c r="C4302" t="s">
        <v>869</v>
      </c>
      <c r="D4302" t="s">
        <v>11</v>
      </c>
      <c r="E4302">
        <v>26</v>
      </c>
      <c r="F4302" s="2">
        <f>DATE(2026,IF(Tabla1[[#This Row],[Mes de Fecha]]="Septiembre",9,10),Tabla1[[#This Row],[Día de Fecha]])</f>
        <v>46291</v>
      </c>
      <c r="G4302">
        <v>1101817682</v>
      </c>
      <c r="H4302" t="s">
        <v>644</v>
      </c>
      <c r="I4302">
        <v>28</v>
      </c>
      <c r="J4302">
        <v>0</v>
      </c>
      <c r="K4302" s="1">
        <v>1645882</v>
      </c>
    </row>
    <row r="4303" spans="1:11" x14ac:dyDescent="0.25">
      <c r="A4303" t="s">
        <v>326</v>
      </c>
      <c r="B4303" t="s">
        <v>636</v>
      </c>
      <c r="C4303" t="s">
        <v>869</v>
      </c>
      <c r="D4303" t="s">
        <v>11</v>
      </c>
      <c r="E4303">
        <v>27</v>
      </c>
      <c r="F4303" s="2">
        <f>DATE(2026,IF(Tabla1[[#This Row],[Mes de Fecha]]="Septiembre",9,10),Tabla1[[#This Row],[Día de Fecha]])</f>
        <v>46292</v>
      </c>
      <c r="I4303">
        <v>0</v>
      </c>
      <c r="J4303" s="1">
        <v>15494299</v>
      </c>
      <c r="K4303">
        <v>0</v>
      </c>
    </row>
    <row r="4304" spans="1:11" x14ac:dyDescent="0.25">
      <c r="A4304" t="s">
        <v>326</v>
      </c>
      <c r="B4304" t="s">
        <v>636</v>
      </c>
      <c r="C4304" t="s">
        <v>869</v>
      </c>
      <c r="D4304" t="s">
        <v>11</v>
      </c>
      <c r="E4304">
        <v>27</v>
      </c>
      <c r="F4304" s="2">
        <f>DATE(2026,IF(Tabla1[[#This Row],[Mes de Fecha]]="Septiembre",9,10),Tabla1[[#This Row],[Día de Fecha]])</f>
        <v>46292</v>
      </c>
      <c r="G4304">
        <v>32241516</v>
      </c>
      <c r="H4304" t="s">
        <v>643</v>
      </c>
      <c r="I4304">
        <v>22</v>
      </c>
      <c r="J4304">
        <v>0</v>
      </c>
      <c r="K4304" s="1">
        <v>1423360</v>
      </c>
    </row>
    <row r="4305" spans="1:11" x14ac:dyDescent="0.25">
      <c r="A4305" t="s">
        <v>326</v>
      </c>
      <c r="B4305" t="s">
        <v>636</v>
      </c>
      <c r="C4305" t="s">
        <v>869</v>
      </c>
      <c r="D4305" t="s">
        <v>11</v>
      </c>
      <c r="E4305">
        <v>27</v>
      </c>
      <c r="F4305" s="2">
        <f>DATE(2026,IF(Tabla1[[#This Row],[Mes de Fecha]]="Septiembre",9,10),Tabla1[[#This Row],[Día de Fecha]])</f>
        <v>46292</v>
      </c>
      <c r="G4305">
        <v>1000535103</v>
      </c>
      <c r="H4305" t="s">
        <v>640</v>
      </c>
      <c r="I4305">
        <v>111</v>
      </c>
      <c r="J4305">
        <v>0</v>
      </c>
      <c r="K4305" s="1">
        <v>7100263</v>
      </c>
    </row>
    <row r="4306" spans="1:11" x14ac:dyDescent="0.25">
      <c r="A4306" t="s">
        <v>326</v>
      </c>
      <c r="B4306" t="s">
        <v>636</v>
      </c>
      <c r="C4306" t="s">
        <v>869</v>
      </c>
      <c r="D4306" t="s">
        <v>11</v>
      </c>
      <c r="E4306">
        <v>27</v>
      </c>
      <c r="F4306" s="2">
        <f>DATE(2026,IF(Tabla1[[#This Row],[Mes de Fecha]]="Septiembre",9,10),Tabla1[[#This Row],[Día de Fecha]])</f>
        <v>46292</v>
      </c>
      <c r="G4306">
        <v>1056771455</v>
      </c>
      <c r="H4306" t="s">
        <v>642</v>
      </c>
      <c r="I4306">
        <v>40</v>
      </c>
      <c r="J4306">
        <v>0</v>
      </c>
      <c r="K4306" s="1">
        <v>3178866</v>
      </c>
    </row>
    <row r="4307" spans="1:11" x14ac:dyDescent="0.25">
      <c r="A4307" t="s">
        <v>326</v>
      </c>
      <c r="B4307" t="s">
        <v>636</v>
      </c>
      <c r="C4307" t="s">
        <v>869</v>
      </c>
      <c r="D4307" t="s">
        <v>11</v>
      </c>
      <c r="E4307">
        <v>27</v>
      </c>
      <c r="F4307" s="2">
        <f>DATE(2026,IF(Tabla1[[#This Row],[Mes de Fecha]]="Septiembre",9,10),Tabla1[[#This Row],[Día de Fecha]])</f>
        <v>46292</v>
      </c>
      <c r="G4307">
        <v>1056785111</v>
      </c>
      <c r="H4307" t="s">
        <v>639</v>
      </c>
      <c r="I4307">
        <v>109</v>
      </c>
      <c r="J4307">
        <v>0</v>
      </c>
      <c r="K4307" s="1">
        <v>6196727</v>
      </c>
    </row>
    <row r="4308" spans="1:11" x14ac:dyDescent="0.25">
      <c r="A4308" t="s">
        <v>326</v>
      </c>
      <c r="B4308" t="s">
        <v>636</v>
      </c>
      <c r="C4308" t="s">
        <v>869</v>
      </c>
      <c r="D4308" t="s">
        <v>11</v>
      </c>
      <c r="E4308">
        <v>27</v>
      </c>
      <c r="F4308" s="2">
        <f>DATE(2026,IF(Tabla1[[#This Row],[Mes de Fecha]]="Septiembre",9,10),Tabla1[[#This Row],[Día de Fecha]])</f>
        <v>46292</v>
      </c>
      <c r="G4308">
        <v>1101817682</v>
      </c>
      <c r="H4308" t="s">
        <v>644</v>
      </c>
      <c r="I4308">
        <v>11</v>
      </c>
      <c r="J4308">
        <v>0</v>
      </c>
      <c r="K4308" s="1">
        <v>711682</v>
      </c>
    </row>
    <row r="4309" spans="1:11" x14ac:dyDescent="0.25">
      <c r="A4309" t="s">
        <v>326</v>
      </c>
      <c r="B4309" t="s">
        <v>636</v>
      </c>
      <c r="C4309" t="s">
        <v>869</v>
      </c>
      <c r="D4309" t="s">
        <v>11</v>
      </c>
      <c r="E4309">
        <v>28</v>
      </c>
      <c r="F4309" s="2">
        <f>DATE(2026,IF(Tabla1[[#This Row],[Mes de Fecha]]="Septiembre",9,10),Tabla1[[#This Row],[Día de Fecha]])</f>
        <v>46293</v>
      </c>
      <c r="I4309">
        <v>0</v>
      </c>
      <c r="J4309" s="1">
        <v>8527426</v>
      </c>
      <c r="K4309">
        <v>0</v>
      </c>
    </row>
    <row r="4310" spans="1:11" x14ac:dyDescent="0.25">
      <c r="A4310" t="s">
        <v>326</v>
      </c>
      <c r="B4310" t="s">
        <v>636</v>
      </c>
      <c r="C4310" t="s">
        <v>869</v>
      </c>
      <c r="D4310" t="s">
        <v>11</v>
      </c>
      <c r="E4310">
        <v>28</v>
      </c>
      <c r="F4310" s="2">
        <f>DATE(2026,IF(Tabla1[[#This Row],[Mes de Fecha]]="Septiembre",9,10),Tabla1[[#This Row],[Día de Fecha]])</f>
        <v>46293</v>
      </c>
      <c r="G4310">
        <v>32241516</v>
      </c>
      <c r="H4310" t="s">
        <v>643</v>
      </c>
      <c r="I4310">
        <v>9</v>
      </c>
      <c r="J4310">
        <v>0</v>
      </c>
      <c r="K4310" s="1">
        <v>314706</v>
      </c>
    </row>
    <row r="4311" spans="1:11" x14ac:dyDescent="0.25">
      <c r="A4311" t="s">
        <v>326</v>
      </c>
      <c r="B4311" t="s">
        <v>636</v>
      </c>
      <c r="C4311" t="s">
        <v>869</v>
      </c>
      <c r="D4311" t="s">
        <v>11</v>
      </c>
      <c r="E4311">
        <v>28</v>
      </c>
      <c r="F4311" s="2">
        <f>DATE(2026,IF(Tabla1[[#This Row],[Mes de Fecha]]="Septiembre",9,10),Tabla1[[#This Row],[Día de Fecha]])</f>
        <v>46293</v>
      </c>
      <c r="G4311">
        <v>1000535103</v>
      </c>
      <c r="H4311" t="s">
        <v>640</v>
      </c>
      <c r="I4311">
        <v>57</v>
      </c>
      <c r="J4311">
        <v>0</v>
      </c>
      <c r="K4311" s="1">
        <v>3224329</v>
      </c>
    </row>
    <row r="4312" spans="1:11" x14ac:dyDescent="0.25">
      <c r="A4312" t="s">
        <v>326</v>
      </c>
      <c r="B4312" t="s">
        <v>636</v>
      </c>
      <c r="C4312" t="s">
        <v>869</v>
      </c>
      <c r="D4312" t="s">
        <v>11</v>
      </c>
      <c r="E4312">
        <v>28</v>
      </c>
      <c r="F4312" s="2">
        <f>DATE(2026,IF(Tabla1[[#This Row],[Mes de Fecha]]="Septiembre",9,10),Tabla1[[#This Row],[Día de Fecha]])</f>
        <v>46293</v>
      </c>
      <c r="G4312">
        <v>1056771455</v>
      </c>
      <c r="H4312" t="s">
        <v>642</v>
      </c>
      <c r="I4312">
        <v>13</v>
      </c>
      <c r="J4312">
        <v>0</v>
      </c>
      <c r="K4312" s="1">
        <v>953194</v>
      </c>
    </row>
    <row r="4313" spans="1:11" x14ac:dyDescent="0.25">
      <c r="A4313" t="s">
        <v>326</v>
      </c>
      <c r="B4313" t="s">
        <v>636</v>
      </c>
      <c r="C4313" t="s">
        <v>869</v>
      </c>
      <c r="D4313" t="s">
        <v>11</v>
      </c>
      <c r="E4313">
        <v>28</v>
      </c>
      <c r="F4313" s="2">
        <f>DATE(2026,IF(Tabla1[[#This Row],[Mes de Fecha]]="Septiembre",9,10),Tabla1[[#This Row],[Día de Fecha]])</f>
        <v>46293</v>
      </c>
      <c r="G4313">
        <v>1056785111</v>
      </c>
      <c r="H4313" t="s">
        <v>639</v>
      </c>
      <c r="I4313">
        <v>57</v>
      </c>
      <c r="J4313">
        <v>0</v>
      </c>
      <c r="K4313" s="1">
        <v>3329458</v>
      </c>
    </row>
    <row r="4314" spans="1:11" x14ac:dyDescent="0.25">
      <c r="A4314" t="s">
        <v>326</v>
      </c>
      <c r="B4314" t="s">
        <v>636</v>
      </c>
      <c r="C4314" t="s">
        <v>869</v>
      </c>
      <c r="D4314" t="s">
        <v>11</v>
      </c>
      <c r="E4314">
        <v>28</v>
      </c>
      <c r="F4314" s="2">
        <f>DATE(2026,IF(Tabla1[[#This Row],[Mes de Fecha]]="Septiembre",9,10),Tabla1[[#This Row],[Día de Fecha]])</f>
        <v>46293</v>
      </c>
      <c r="G4314">
        <v>1101817682</v>
      </c>
      <c r="H4314" t="s">
        <v>644</v>
      </c>
      <c r="I4314">
        <v>5</v>
      </c>
      <c r="J4314">
        <v>0</v>
      </c>
      <c r="K4314" s="1">
        <v>293908</v>
      </c>
    </row>
    <row r="4315" spans="1:11" x14ac:dyDescent="0.25">
      <c r="A4315" t="s">
        <v>326</v>
      </c>
      <c r="B4315" t="s">
        <v>636</v>
      </c>
      <c r="C4315" t="s">
        <v>869</v>
      </c>
      <c r="D4315" t="s">
        <v>11</v>
      </c>
      <c r="E4315">
        <v>29</v>
      </c>
      <c r="F4315" s="2">
        <f>DATE(2026,IF(Tabla1[[#This Row],[Mes de Fecha]]="Septiembre",9,10),Tabla1[[#This Row],[Día de Fecha]])</f>
        <v>46294</v>
      </c>
      <c r="I4315">
        <v>0</v>
      </c>
      <c r="J4315" s="1">
        <v>9108960</v>
      </c>
      <c r="K4315">
        <v>0</v>
      </c>
    </row>
    <row r="4316" spans="1:11" x14ac:dyDescent="0.25">
      <c r="A4316" t="s">
        <v>326</v>
      </c>
      <c r="B4316" t="s">
        <v>636</v>
      </c>
      <c r="C4316" t="s">
        <v>869</v>
      </c>
      <c r="D4316" t="s">
        <v>11</v>
      </c>
      <c r="E4316">
        <v>29</v>
      </c>
      <c r="F4316" s="2">
        <f>DATE(2026,IF(Tabla1[[#This Row],[Mes de Fecha]]="Septiembre",9,10),Tabla1[[#This Row],[Día de Fecha]])</f>
        <v>46294</v>
      </c>
      <c r="G4316">
        <v>32241516</v>
      </c>
      <c r="H4316" t="s">
        <v>643</v>
      </c>
      <c r="I4316">
        <v>13</v>
      </c>
      <c r="J4316">
        <v>0</v>
      </c>
      <c r="K4316" s="1">
        <v>915378</v>
      </c>
    </row>
    <row r="4317" spans="1:11" x14ac:dyDescent="0.25">
      <c r="A4317" t="s">
        <v>326</v>
      </c>
      <c r="B4317" t="s">
        <v>636</v>
      </c>
      <c r="C4317" t="s">
        <v>869</v>
      </c>
      <c r="D4317" t="s">
        <v>11</v>
      </c>
      <c r="E4317">
        <v>29</v>
      </c>
      <c r="F4317" s="2">
        <f>DATE(2026,IF(Tabla1[[#This Row],[Mes de Fecha]]="Septiembre",9,10),Tabla1[[#This Row],[Día de Fecha]])</f>
        <v>46294</v>
      </c>
      <c r="G4317">
        <v>1000535103</v>
      </c>
      <c r="H4317" t="s">
        <v>640</v>
      </c>
      <c r="I4317">
        <v>73</v>
      </c>
      <c r="J4317">
        <v>0</v>
      </c>
      <c r="K4317" s="1">
        <v>4958995</v>
      </c>
    </row>
    <row r="4318" spans="1:11" x14ac:dyDescent="0.25">
      <c r="A4318" t="s">
        <v>326</v>
      </c>
      <c r="B4318" t="s">
        <v>636</v>
      </c>
      <c r="C4318" t="s">
        <v>869</v>
      </c>
      <c r="D4318" t="s">
        <v>11</v>
      </c>
      <c r="E4318">
        <v>29</v>
      </c>
      <c r="F4318" s="2">
        <f>DATE(2026,IF(Tabla1[[#This Row],[Mes de Fecha]]="Septiembre",9,10),Tabla1[[#This Row],[Día de Fecha]])</f>
        <v>46294</v>
      </c>
      <c r="G4318">
        <v>1056771455</v>
      </c>
      <c r="H4318" t="s">
        <v>642</v>
      </c>
      <c r="I4318">
        <v>20</v>
      </c>
      <c r="J4318">
        <v>0</v>
      </c>
      <c r="K4318" s="1">
        <v>1267984</v>
      </c>
    </row>
    <row r="4319" spans="1:11" x14ac:dyDescent="0.25">
      <c r="A4319" t="s">
        <v>326</v>
      </c>
      <c r="B4319" t="s">
        <v>636</v>
      </c>
      <c r="C4319" t="s">
        <v>869</v>
      </c>
      <c r="D4319" t="s">
        <v>11</v>
      </c>
      <c r="E4319">
        <v>29</v>
      </c>
      <c r="F4319" s="2">
        <f>DATE(2026,IF(Tabla1[[#This Row],[Mes de Fecha]]="Septiembre",9,10),Tabla1[[#This Row],[Día de Fecha]])</f>
        <v>46294</v>
      </c>
      <c r="G4319">
        <v>1056785111</v>
      </c>
      <c r="H4319" t="s">
        <v>639</v>
      </c>
      <c r="I4319">
        <v>49</v>
      </c>
      <c r="J4319">
        <v>0</v>
      </c>
      <c r="K4319" s="1">
        <v>2932565</v>
      </c>
    </row>
    <row r="4320" spans="1:11" x14ac:dyDescent="0.25">
      <c r="A4320" t="s">
        <v>326</v>
      </c>
      <c r="B4320" t="s">
        <v>636</v>
      </c>
      <c r="C4320" t="s">
        <v>869</v>
      </c>
      <c r="D4320" t="s">
        <v>11</v>
      </c>
      <c r="E4320">
        <v>29</v>
      </c>
      <c r="F4320" s="2">
        <f>DATE(2026,IF(Tabla1[[#This Row],[Mes de Fecha]]="Septiembre",9,10),Tabla1[[#This Row],[Día de Fecha]])</f>
        <v>46294</v>
      </c>
      <c r="G4320">
        <v>1101817682</v>
      </c>
      <c r="H4320" t="s">
        <v>644</v>
      </c>
      <c r="I4320">
        <v>12</v>
      </c>
      <c r="J4320">
        <v>0</v>
      </c>
      <c r="K4320" s="1">
        <v>764161</v>
      </c>
    </row>
    <row r="4321" spans="1:11" x14ac:dyDescent="0.25">
      <c r="A4321" t="s">
        <v>326</v>
      </c>
      <c r="B4321" t="s">
        <v>636</v>
      </c>
      <c r="C4321" t="s">
        <v>869</v>
      </c>
      <c r="D4321" t="s">
        <v>11</v>
      </c>
      <c r="E4321">
        <v>30</v>
      </c>
      <c r="F4321" s="2">
        <f>DATE(2026,IF(Tabla1[[#This Row],[Mes de Fecha]]="Septiembre",9,10),Tabla1[[#This Row],[Día de Fecha]])</f>
        <v>46295</v>
      </c>
      <c r="I4321">
        <v>0</v>
      </c>
      <c r="J4321" s="1">
        <v>9409717</v>
      </c>
      <c r="K4321">
        <v>0</v>
      </c>
    </row>
    <row r="4322" spans="1:11" x14ac:dyDescent="0.25">
      <c r="A4322" t="s">
        <v>326</v>
      </c>
      <c r="B4322" t="s">
        <v>636</v>
      </c>
      <c r="C4322" t="s">
        <v>869</v>
      </c>
      <c r="D4322" t="s">
        <v>11</v>
      </c>
      <c r="E4322">
        <v>30</v>
      </c>
      <c r="F4322" s="2">
        <f>DATE(2026,IF(Tabla1[[#This Row],[Mes de Fecha]]="Septiembre",9,10),Tabla1[[#This Row],[Día de Fecha]])</f>
        <v>46295</v>
      </c>
      <c r="G4322">
        <v>32241516</v>
      </c>
      <c r="H4322" t="s">
        <v>643</v>
      </c>
      <c r="I4322">
        <v>12</v>
      </c>
      <c r="J4322">
        <v>0</v>
      </c>
      <c r="K4322" s="1">
        <v>696891</v>
      </c>
    </row>
    <row r="4323" spans="1:11" x14ac:dyDescent="0.25">
      <c r="A4323" t="s">
        <v>326</v>
      </c>
      <c r="B4323" t="s">
        <v>636</v>
      </c>
      <c r="C4323" t="s">
        <v>869</v>
      </c>
      <c r="D4323" t="s">
        <v>11</v>
      </c>
      <c r="E4323">
        <v>30</v>
      </c>
      <c r="F4323" s="2">
        <f>DATE(2026,IF(Tabla1[[#This Row],[Mes de Fecha]]="Septiembre",9,10),Tabla1[[#This Row],[Día de Fecha]])</f>
        <v>46295</v>
      </c>
      <c r="G4323">
        <v>1000535103</v>
      </c>
      <c r="H4323" t="s">
        <v>640</v>
      </c>
      <c r="I4323">
        <v>83</v>
      </c>
      <c r="J4323">
        <v>0</v>
      </c>
      <c r="K4323" s="1">
        <v>5212859</v>
      </c>
    </row>
    <row r="4324" spans="1:11" x14ac:dyDescent="0.25">
      <c r="A4324" t="s">
        <v>326</v>
      </c>
      <c r="B4324" t="s">
        <v>636</v>
      </c>
      <c r="C4324" t="s">
        <v>869</v>
      </c>
      <c r="D4324" t="s">
        <v>11</v>
      </c>
      <c r="E4324">
        <v>30</v>
      </c>
      <c r="F4324" s="2">
        <f>DATE(2026,IF(Tabla1[[#This Row],[Mes de Fecha]]="Septiembre",9,10),Tabla1[[#This Row],[Día de Fecha]])</f>
        <v>46295</v>
      </c>
      <c r="G4324">
        <v>1056771455</v>
      </c>
      <c r="H4324" t="s">
        <v>642</v>
      </c>
      <c r="I4324">
        <v>20</v>
      </c>
      <c r="J4324">
        <v>0</v>
      </c>
      <c r="K4324" s="1">
        <v>1238490</v>
      </c>
    </row>
    <row r="4325" spans="1:11" x14ac:dyDescent="0.25">
      <c r="A4325" t="s">
        <v>326</v>
      </c>
      <c r="B4325" t="s">
        <v>636</v>
      </c>
      <c r="C4325" t="s">
        <v>869</v>
      </c>
      <c r="D4325" t="s">
        <v>11</v>
      </c>
      <c r="E4325">
        <v>30</v>
      </c>
      <c r="F4325" s="2">
        <f>DATE(2026,IF(Tabla1[[#This Row],[Mes de Fecha]]="Septiembre",9,10),Tabla1[[#This Row],[Día de Fecha]])</f>
        <v>46295</v>
      </c>
      <c r="G4325">
        <v>1056785111</v>
      </c>
      <c r="H4325" t="s">
        <v>639</v>
      </c>
      <c r="I4325">
        <v>81</v>
      </c>
      <c r="J4325">
        <v>0</v>
      </c>
      <c r="K4325" s="1">
        <v>4695973</v>
      </c>
    </row>
    <row r="4326" spans="1:11" x14ac:dyDescent="0.25">
      <c r="A4326" t="s">
        <v>326</v>
      </c>
      <c r="B4326" t="s">
        <v>636</v>
      </c>
      <c r="C4326" t="s">
        <v>869</v>
      </c>
      <c r="D4326" t="s">
        <v>11</v>
      </c>
      <c r="E4326">
        <v>30</v>
      </c>
      <c r="F4326" s="2">
        <f>DATE(2026,IF(Tabla1[[#This Row],[Mes de Fecha]]="Septiembre",9,10),Tabla1[[#This Row],[Día de Fecha]])</f>
        <v>46295</v>
      </c>
      <c r="G4326">
        <v>1101817682</v>
      </c>
      <c r="H4326" t="s">
        <v>644</v>
      </c>
      <c r="I4326">
        <v>9</v>
      </c>
      <c r="J4326">
        <v>0</v>
      </c>
      <c r="K4326" s="1">
        <v>604665</v>
      </c>
    </row>
    <row r="4327" spans="1:11" x14ac:dyDescent="0.25">
      <c r="A4327" t="s">
        <v>326</v>
      </c>
      <c r="B4327" t="s">
        <v>636</v>
      </c>
      <c r="C4327" t="s">
        <v>869</v>
      </c>
      <c r="D4327" t="s">
        <v>14</v>
      </c>
      <c r="E4327">
        <v>1</v>
      </c>
      <c r="F4327" s="2">
        <f>DATE(2026,IF(Tabla1[[#This Row],[Mes de Fecha]]="Septiembre",9,10),Tabla1[[#This Row],[Día de Fecha]])</f>
        <v>46296</v>
      </c>
      <c r="I4327">
        <v>0</v>
      </c>
      <c r="J4327" s="1">
        <v>12049055</v>
      </c>
      <c r="K4327">
        <v>0</v>
      </c>
    </row>
    <row r="4328" spans="1:11" x14ac:dyDescent="0.25">
      <c r="A4328" t="s">
        <v>326</v>
      </c>
      <c r="B4328" t="s">
        <v>636</v>
      </c>
      <c r="C4328" t="s">
        <v>869</v>
      </c>
      <c r="D4328" t="s">
        <v>14</v>
      </c>
      <c r="E4328">
        <v>1</v>
      </c>
      <c r="F4328" s="2">
        <f>DATE(2026,IF(Tabla1[[#This Row],[Mes de Fecha]]="Septiembre",9,10),Tabla1[[#This Row],[Día de Fecha]])</f>
        <v>46296</v>
      </c>
      <c r="G4328">
        <v>32241516</v>
      </c>
      <c r="H4328" t="s">
        <v>643</v>
      </c>
      <c r="I4328">
        <v>40</v>
      </c>
      <c r="J4328">
        <v>0</v>
      </c>
      <c r="K4328" s="1">
        <v>2191388</v>
      </c>
    </row>
    <row r="4329" spans="1:11" x14ac:dyDescent="0.25">
      <c r="A4329" t="s">
        <v>326</v>
      </c>
      <c r="B4329" t="s">
        <v>636</v>
      </c>
      <c r="C4329" t="s">
        <v>869</v>
      </c>
      <c r="D4329" t="s">
        <v>14</v>
      </c>
      <c r="E4329">
        <v>1</v>
      </c>
      <c r="F4329" s="2">
        <f>DATE(2026,IF(Tabla1[[#This Row],[Mes de Fecha]]="Septiembre",9,10),Tabla1[[#This Row],[Día de Fecha]])</f>
        <v>46296</v>
      </c>
      <c r="G4329">
        <v>1000535103</v>
      </c>
      <c r="H4329" t="s">
        <v>640</v>
      </c>
      <c r="I4329">
        <v>84</v>
      </c>
      <c r="J4329">
        <v>0</v>
      </c>
      <c r="K4329" s="1">
        <v>4603155</v>
      </c>
    </row>
    <row r="4330" spans="1:11" x14ac:dyDescent="0.25">
      <c r="A4330" t="s">
        <v>326</v>
      </c>
      <c r="B4330" t="s">
        <v>636</v>
      </c>
      <c r="C4330" t="s">
        <v>869</v>
      </c>
      <c r="D4330" t="s">
        <v>14</v>
      </c>
      <c r="E4330">
        <v>1</v>
      </c>
      <c r="F4330" s="2">
        <f>DATE(2026,IF(Tabla1[[#This Row],[Mes de Fecha]]="Septiembre",9,10),Tabla1[[#This Row],[Día de Fecha]])</f>
        <v>46296</v>
      </c>
      <c r="G4330">
        <v>1056771455</v>
      </c>
      <c r="H4330" t="s">
        <v>642</v>
      </c>
      <c r="I4330">
        <v>22</v>
      </c>
      <c r="J4330">
        <v>0</v>
      </c>
      <c r="K4330" s="1">
        <v>1129203</v>
      </c>
    </row>
    <row r="4331" spans="1:11" x14ac:dyDescent="0.25">
      <c r="A4331" t="s">
        <v>326</v>
      </c>
      <c r="B4331" t="s">
        <v>636</v>
      </c>
      <c r="C4331" t="s">
        <v>869</v>
      </c>
      <c r="D4331" t="s">
        <v>14</v>
      </c>
      <c r="E4331">
        <v>1</v>
      </c>
      <c r="F4331" s="2">
        <f>DATE(2026,IF(Tabla1[[#This Row],[Mes de Fecha]]="Septiembre",9,10),Tabla1[[#This Row],[Día de Fecha]])</f>
        <v>46296</v>
      </c>
      <c r="G4331">
        <v>1056785111</v>
      </c>
      <c r="H4331" t="s">
        <v>639</v>
      </c>
      <c r="I4331">
        <v>59</v>
      </c>
      <c r="J4331">
        <v>0</v>
      </c>
      <c r="K4331" s="1">
        <v>3699080</v>
      </c>
    </row>
    <row r="4332" spans="1:11" x14ac:dyDescent="0.25">
      <c r="A4332" t="s">
        <v>326</v>
      </c>
      <c r="B4332" t="s">
        <v>636</v>
      </c>
      <c r="C4332" t="s">
        <v>869</v>
      </c>
      <c r="D4332" t="s">
        <v>14</v>
      </c>
      <c r="E4332">
        <v>1</v>
      </c>
      <c r="F4332" s="2">
        <f>DATE(2026,IF(Tabla1[[#This Row],[Mes de Fecha]]="Septiembre",9,10),Tabla1[[#This Row],[Día de Fecha]])</f>
        <v>46296</v>
      </c>
      <c r="G4332">
        <v>1101817682</v>
      </c>
      <c r="H4332" t="s">
        <v>644</v>
      </c>
      <c r="I4332">
        <v>14</v>
      </c>
      <c r="J4332">
        <v>0</v>
      </c>
      <c r="K4332" s="1">
        <v>608572</v>
      </c>
    </row>
    <row r="4333" spans="1:11" x14ac:dyDescent="0.25">
      <c r="A4333" t="s">
        <v>326</v>
      </c>
      <c r="B4333" t="s">
        <v>636</v>
      </c>
      <c r="C4333" t="s">
        <v>869</v>
      </c>
      <c r="D4333" t="s">
        <v>14</v>
      </c>
      <c r="E4333">
        <v>2</v>
      </c>
      <c r="F4333" s="2">
        <f>DATE(2026,IF(Tabla1[[#This Row],[Mes de Fecha]]="Septiembre",9,10),Tabla1[[#This Row],[Día de Fecha]])</f>
        <v>46297</v>
      </c>
      <c r="I4333">
        <v>0</v>
      </c>
      <c r="J4333" s="1">
        <v>11409850</v>
      </c>
      <c r="K4333">
        <v>0</v>
      </c>
    </row>
    <row r="4334" spans="1:11" x14ac:dyDescent="0.25">
      <c r="A4334" t="s">
        <v>326</v>
      </c>
      <c r="B4334" t="s">
        <v>636</v>
      </c>
      <c r="C4334" t="s">
        <v>869</v>
      </c>
      <c r="D4334" t="s">
        <v>14</v>
      </c>
      <c r="E4334">
        <v>2</v>
      </c>
      <c r="F4334" s="2">
        <f>DATE(2026,IF(Tabla1[[#This Row],[Mes de Fecha]]="Septiembre",9,10),Tabla1[[#This Row],[Día de Fecha]])</f>
        <v>46297</v>
      </c>
      <c r="G4334">
        <v>32241516</v>
      </c>
      <c r="H4334" t="s">
        <v>643</v>
      </c>
      <c r="I4334">
        <v>12</v>
      </c>
      <c r="J4334">
        <v>0</v>
      </c>
      <c r="K4334" s="1">
        <v>701135</v>
      </c>
    </row>
    <row r="4335" spans="1:11" x14ac:dyDescent="0.25">
      <c r="A4335" t="s">
        <v>326</v>
      </c>
      <c r="B4335" t="s">
        <v>636</v>
      </c>
      <c r="C4335" t="s">
        <v>869</v>
      </c>
      <c r="D4335" t="s">
        <v>14</v>
      </c>
      <c r="E4335">
        <v>2</v>
      </c>
      <c r="F4335" s="2">
        <f>DATE(2026,IF(Tabla1[[#This Row],[Mes de Fecha]]="Septiembre",9,10),Tabla1[[#This Row],[Día de Fecha]])</f>
        <v>46297</v>
      </c>
      <c r="G4335">
        <v>1000535103</v>
      </c>
      <c r="H4335" t="s">
        <v>640</v>
      </c>
      <c r="I4335">
        <v>96</v>
      </c>
      <c r="J4335">
        <v>0</v>
      </c>
      <c r="K4335" s="1">
        <v>6327734</v>
      </c>
    </row>
    <row r="4336" spans="1:11" x14ac:dyDescent="0.25">
      <c r="A4336" t="s">
        <v>326</v>
      </c>
      <c r="B4336" t="s">
        <v>636</v>
      </c>
      <c r="C4336" t="s">
        <v>869</v>
      </c>
      <c r="D4336" t="s">
        <v>14</v>
      </c>
      <c r="E4336">
        <v>2</v>
      </c>
      <c r="F4336" s="2">
        <f>DATE(2026,IF(Tabla1[[#This Row],[Mes de Fecha]]="Septiembre",9,10),Tabla1[[#This Row],[Día de Fecha]])</f>
        <v>46297</v>
      </c>
      <c r="G4336">
        <v>1056771455</v>
      </c>
      <c r="H4336" t="s">
        <v>642</v>
      </c>
      <c r="I4336">
        <v>27</v>
      </c>
      <c r="J4336">
        <v>0</v>
      </c>
      <c r="K4336" s="1">
        <v>1933700</v>
      </c>
    </row>
    <row r="4337" spans="1:11" x14ac:dyDescent="0.25">
      <c r="A4337" t="s">
        <v>326</v>
      </c>
      <c r="B4337" t="s">
        <v>636</v>
      </c>
      <c r="C4337" t="s">
        <v>869</v>
      </c>
      <c r="D4337" t="s">
        <v>14</v>
      </c>
      <c r="E4337">
        <v>2</v>
      </c>
      <c r="F4337" s="2">
        <f>DATE(2026,IF(Tabla1[[#This Row],[Mes de Fecha]]="Septiembre",9,10),Tabla1[[#This Row],[Día de Fecha]])</f>
        <v>46297</v>
      </c>
      <c r="G4337">
        <v>1056785111</v>
      </c>
      <c r="H4337" t="s">
        <v>639</v>
      </c>
      <c r="I4337">
        <v>103</v>
      </c>
      <c r="J4337">
        <v>0</v>
      </c>
      <c r="K4337" s="1">
        <v>6390381</v>
      </c>
    </row>
    <row r="4338" spans="1:11" x14ac:dyDescent="0.25">
      <c r="A4338" t="s">
        <v>326</v>
      </c>
      <c r="B4338" t="s">
        <v>636</v>
      </c>
      <c r="C4338" t="s">
        <v>869</v>
      </c>
      <c r="D4338" t="s">
        <v>14</v>
      </c>
      <c r="E4338">
        <v>2</v>
      </c>
      <c r="F4338" s="2">
        <f>DATE(2026,IF(Tabla1[[#This Row],[Mes de Fecha]]="Septiembre",9,10),Tabla1[[#This Row],[Día de Fecha]])</f>
        <v>46297</v>
      </c>
      <c r="G4338">
        <v>1101817682</v>
      </c>
      <c r="H4338" t="s">
        <v>644</v>
      </c>
      <c r="I4338">
        <v>4</v>
      </c>
      <c r="J4338">
        <v>0</v>
      </c>
      <c r="K4338" s="1">
        <v>256134</v>
      </c>
    </row>
    <row r="4339" spans="1:11" x14ac:dyDescent="0.25">
      <c r="A4339" t="s">
        <v>326</v>
      </c>
      <c r="B4339" t="s">
        <v>636</v>
      </c>
      <c r="C4339" t="s">
        <v>869</v>
      </c>
      <c r="D4339" t="s">
        <v>14</v>
      </c>
      <c r="E4339">
        <v>3</v>
      </c>
      <c r="F4339" s="2">
        <f>DATE(2026,IF(Tabla1[[#This Row],[Mes de Fecha]]="Septiembre",9,10),Tabla1[[#This Row],[Día de Fecha]])</f>
        <v>46298</v>
      </c>
      <c r="I4339">
        <v>0</v>
      </c>
      <c r="J4339" s="1">
        <v>20066092</v>
      </c>
      <c r="K4339">
        <v>0</v>
      </c>
    </row>
    <row r="4340" spans="1:11" x14ac:dyDescent="0.25">
      <c r="A4340" t="s">
        <v>326</v>
      </c>
      <c r="B4340" t="s">
        <v>636</v>
      </c>
      <c r="C4340" t="s">
        <v>869</v>
      </c>
      <c r="D4340" t="s">
        <v>14</v>
      </c>
      <c r="E4340">
        <v>3</v>
      </c>
      <c r="F4340" s="2">
        <f>DATE(2026,IF(Tabla1[[#This Row],[Mes de Fecha]]="Septiembre",9,10),Tabla1[[#This Row],[Día de Fecha]])</f>
        <v>46298</v>
      </c>
      <c r="G4340">
        <v>32241516</v>
      </c>
      <c r="H4340" t="s">
        <v>643</v>
      </c>
      <c r="I4340">
        <v>42</v>
      </c>
      <c r="J4340">
        <v>0</v>
      </c>
      <c r="K4340" s="1">
        <v>2335277</v>
      </c>
    </row>
    <row r="4341" spans="1:11" x14ac:dyDescent="0.25">
      <c r="A4341" t="s">
        <v>326</v>
      </c>
      <c r="B4341" t="s">
        <v>636</v>
      </c>
      <c r="C4341" t="s">
        <v>869</v>
      </c>
      <c r="D4341" t="s">
        <v>14</v>
      </c>
      <c r="E4341">
        <v>3</v>
      </c>
      <c r="F4341" s="2">
        <f>DATE(2026,IF(Tabla1[[#This Row],[Mes de Fecha]]="Septiembre",9,10),Tabla1[[#This Row],[Día de Fecha]])</f>
        <v>46298</v>
      </c>
      <c r="G4341">
        <v>1000535103</v>
      </c>
      <c r="H4341" t="s">
        <v>640</v>
      </c>
      <c r="I4341">
        <v>139</v>
      </c>
      <c r="J4341">
        <v>0</v>
      </c>
      <c r="K4341" s="1">
        <v>8242948</v>
      </c>
    </row>
    <row r="4342" spans="1:11" x14ac:dyDescent="0.25">
      <c r="A4342" t="s">
        <v>326</v>
      </c>
      <c r="B4342" t="s">
        <v>636</v>
      </c>
      <c r="C4342" t="s">
        <v>869</v>
      </c>
      <c r="D4342" t="s">
        <v>14</v>
      </c>
      <c r="E4342">
        <v>3</v>
      </c>
      <c r="F4342" s="2">
        <f>DATE(2026,IF(Tabla1[[#This Row],[Mes de Fecha]]="Septiembre",9,10),Tabla1[[#This Row],[Día de Fecha]])</f>
        <v>46298</v>
      </c>
      <c r="G4342">
        <v>1056771455</v>
      </c>
      <c r="H4342" t="s">
        <v>642</v>
      </c>
      <c r="I4342">
        <v>25</v>
      </c>
      <c r="J4342">
        <v>0</v>
      </c>
      <c r="K4342" s="1">
        <v>1422514</v>
      </c>
    </row>
    <row r="4343" spans="1:11" x14ac:dyDescent="0.25">
      <c r="A4343" t="s">
        <v>326</v>
      </c>
      <c r="B4343" t="s">
        <v>636</v>
      </c>
      <c r="C4343" t="s">
        <v>869</v>
      </c>
      <c r="D4343" t="s">
        <v>14</v>
      </c>
      <c r="E4343">
        <v>3</v>
      </c>
      <c r="F4343" s="2">
        <f>DATE(2026,IF(Tabla1[[#This Row],[Mes de Fecha]]="Septiembre",9,10),Tabla1[[#This Row],[Día de Fecha]])</f>
        <v>46298</v>
      </c>
      <c r="G4343">
        <v>1056785111</v>
      </c>
      <c r="H4343" t="s">
        <v>639</v>
      </c>
      <c r="I4343">
        <v>123</v>
      </c>
      <c r="J4343">
        <v>0</v>
      </c>
      <c r="K4343" s="1">
        <v>7279226</v>
      </c>
    </row>
    <row r="4344" spans="1:11" x14ac:dyDescent="0.25">
      <c r="A4344" t="s">
        <v>326</v>
      </c>
      <c r="B4344" t="s">
        <v>636</v>
      </c>
      <c r="C4344" t="s">
        <v>869</v>
      </c>
      <c r="D4344" t="s">
        <v>14</v>
      </c>
      <c r="E4344">
        <v>4</v>
      </c>
      <c r="F4344" s="2">
        <f>DATE(2026,IF(Tabla1[[#This Row],[Mes de Fecha]]="Septiembre",9,10),Tabla1[[#This Row],[Día de Fecha]])</f>
        <v>46299</v>
      </c>
      <c r="I4344">
        <v>0</v>
      </c>
      <c r="J4344" s="1">
        <v>19114236</v>
      </c>
      <c r="K4344">
        <v>0</v>
      </c>
    </row>
    <row r="4345" spans="1:11" x14ac:dyDescent="0.25">
      <c r="A4345" t="s">
        <v>326</v>
      </c>
      <c r="B4345" t="s">
        <v>636</v>
      </c>
      <c r="C4345" t="s">
        <v>869</v>
      </c>
      <c r="D4345" t="s">
        <v>14</v>
      </c>
      <c r="E4345">
        <v>4</v>
      </c>
      <c r="F4345" s="2">
        <f>DATE(2026,IF(Tabla1[[#This Row],[Mes de Fecha]]="Septiembre",9,10),Tabla1[[#This Row],[Día de Fecha]])</f>
        <v>46299</v>
      </c>
      <c r="G4345">
        <v>32241516</v>
      </c>
      <c r="H4345" t="s">
        <v>643</v>
      </c>
      <c r="I4345">
        <v>29</v>
      </c>
      <c r="J4345">
        <v>0</v>
      </c>
      <c r="K4345" s="1">
        <v>1792648</v>
      </c>
    </row>
    <row r="4346" spans="1:11" x14ac:dyDescent="0.25">
      <c r="A4346" t="s">
        <v>326</v>
      </c>
      <c r="B4346" t="s">
        <v>636</v>
      </c>
      <c r="C4346" t="s">
        <v>869</v>
      </c>
      <c r="D4346" t="s">
        <v>14</v>
      </c>
      <c r="E4346">
        <v>4</v>
      </c>
      <c r="F4346" s="2">
        <f>DATE(2026,IF(Tabla1[[#This Row],[Mes de Fecha]]="Septiembre",9,10),Tabla1[[#This Row],[Día de Fecha]])</f>
        <v>46299</v>
      </c>
      <c r="G4346">
        <v>1000535103</v>
      </c>
      <c r="H4346" t="s">
        <v>640</v>
      </c>
      <c r="I4346">
        <v>132</v>
      </c>
      <c r="J4346">
        <v>0</v>
      </c>
      <c r="K4346" s="1">
        <v>8086055</v>
      </c>
    </row>
    <row r="4347" spans="1:11" x14ac:dyDescent="0.25">
      <c r="A4347" t="s">
        <v>326</v>
      </c>
      <c r="B4347" t="s">
        <v>636</v>
      </c>
      <c r="C4347" t="s">
        <v>869</v>
      </c>
      <c r="D4347" t="s">
        <v>14</v>
      </c>
      <c r="E4347">
        <v>4</v>
      </c>
      <c r="F4347" s="2">
        <f>DATE(2026,IF(Tabla1[[#This Row],[Mes de Fecha]]="Septiembre",9,10),Tabla1[[#This Row],[Día de Fecha]])</f>
        <v>46299</v>
      </c>
      <c r="G4347">
        <v>1056771455</v>
      </c>
      <c r="H4347" t="s">
        <v>642</v>
      </c>
      <c r="I4347">
        <v>37</v>
      </c>
      <c r="J4347">
        <v>0</v>
      </c>
      <c r="K4347" s="1">
        <v>2555046</v>
      </c>
    </row>
    <row r="4348" spans="1:11" x14ac:dyDescent="0.25">
      <c r="A4348" t="s">
        <v>326</v>
      </c>
      <c r="B4348" t="s">
        <v>636</v>
      </c>
      <c r="C4348" t="s">
        <v>869</v>
      </c>
      <c r="D4348" t="s">
        <v>14</v>
      </c>
      <c r="E4348">
        <v>4</v>
      </c>
      <c r="F4348" s="2">
        <f>DATE(2026,IF(Tabla1[[#This Row],[Mes de Fecha]]="Septiembre",9,10),Tabla1[[#This Row],[Día de Fecha]])</f>
        <v>46299</v>
      </c>
      <c r="G4348">
        <v>1056785111</v>
      </c>
      <c r="H4348" t="s">
        <v>639</v>
      </c>
      <c r="I4348">
        <v>111</v>
      </c>
      <c r="J4348">
        <v>0</v>
      </c>
      <c r="K4348" s="1">
        <v>6791476</v>
      </c>
    </row>
    <row r="4349" spans="1:11" x14ac:dyDescent="0.25">
      <c r="A4349" t="s">
        <v>326</v>
      </c>
      <c r="B4349" t="s">
        <v>636</v>
      </c>
      <c r="C4349" t="s">
        <v>869</v>
      </c>
      <c r="D4349" t="s">
        <v>14</v>
      </c>
      <c r="E4349">
        <v>5</v>
      </c>
      <c r="F4349" s="2">
        <f>DATE(2026,IF(Tabla1[[#This Row],[Mes de Fecha]]="Septiembre",9,10),Tabla1[[#This Row],[Día de Fecha]])</f>
        <v>46300</v>
      </c>
      <c r="I4349">
        <v>0</v>
      </c>
      <c r="J4349" s="1">
        <v>9437254</v>
      </c>
      <c r="K4349">
        <v>0</v>
      </c>
    </row>
    <row r="4350" spans="1:11" x14ac:dyDescent="0.25">
      <c r="A4350" t="s">
        <v>326</v>
      </c>
      <c r="B4350" t="s">
        <v>636</v>
      </c>
      <c r="C4350" t="s">
        <v>869</v>
      </c>
      <c r="D4350" t="s">
        <v>14</v>
      </c>
      <c r="E4350">
        <v>5</v>
      </c>
      <c r="F4350" s="2">
        <f>DATE(2026,IF(Tabla1[[#This Row],[Mes de Fecha]]="Septiembre",9,10),Tabla1[[#This Row],[Día de Fecha]])</f>
        <v>46300</v>
      </c>
      <c r="G4350">
        <v>1056771455</v>
      </c>
      <c r="H4350" t="s">
        <v>642</v>
      </c>
      <c r="I4350">
        <v>26</v>
      </c>
      <c r="J4350">
        <v>0</v>
      </c>
      <c r="K4350" s="1">
        <v>1257312</v>
      </c>
    </row>
    <row r="4351" spans="1:11" x14ac:dyDescent="0.25">
      <c r="A4351" t="s">
        <v>326</v>
      </c>
      <c r="B4351" t="s">
        <v>636</v>
      </c>
      <c r="C4351" t="s">
        <v>869</v>
      </c>
      <c r="D4351" t="s">
        <v>14</v>
      </c>
      <c r="E4351">
        <v>5</v>
      </c>
      <c r="F4351" s="2">
        <f>DATE(2026,IF(Tabla1[[#This Row],[Mes de Fecha]]="Septiembre",9,10),Tabla1[[#This Row],[Día de Fecha]])</f>
        <v>46300</v>
      </c>
      <c r="G4351">
        <v>1056785111</v>
      </c>
      <c r="H4351" t="s">
        <v>639</v>
      </c>
      <c r="I4351">
        <v>72</v>
      </c>
      <c r="J4351">
        <v>0</v>
      </c>
      <c r="K4351" s="1">
        <v>5030424</v>
      </c>
    </row>
    <row r="4352" spans="1:11" x14ac:dyDescent="0.25">
      <c r="A4352" t="s">
        <v>326</v>
      </c>
      <c r="B4352" t="s">
        <v>636</v>
      </c>
      <c r="C4352" t="s">
        <v>869</v>
      </c>
      <c r="D4352" t="s">
        <v>14</v>
      </c>
      <c r="E4352">
        <v>6</v>
      </c>
      <c r="F4352" s="2">
        <f>DATE(2026,IF(Tabla1[[#This Row],[Mes de Fecha]]="Septiembre",9,10),Tabla1[[#This Row],[Día de Fecha]])</f>
        <v>46301</v>
      </c>
      <c r="I4352">
        <v>0</v>
      </c>
      <c r="J4352" s="1">
        <v>6523198</v>
      </c>
      <c r="K4352">
        <v>0</v>
      </c>
    </row>
    <row r="4353" spans="1:11" x14ac:dyDescent="0.25">
      <c r="A4353" t="s">
        <v>326</v>
      </c>
      <c r="B4353" t="s">
        <v>636</v>
      </c>
      <c r="C4353" t="s">
        <v>869</v>
      </c>
      <c r="D4353" t="s">
        <v>14</v>
      </c>
      <c r="E4353">
        <v>6</v>
      </c>
      <c r="F4353" s="2">
        <f>DATE(2026,IF(Tabla1[[#This Row],[Mes de Fecha]]="Septiembre",9,10),Tabla1[[#This Row],[Día de Fecha]])</f>
        <v>46301</v>
      </c>
      <c r="G4353">
        <v>1000535103</v>
      </c>
      <c r="H4353" t="s">
        <v>640</v>
      </c>
      <c r="I4353">
        <v>28</v>
      </c>
      <c r="J4353">
        <v>0</v>
      </c>
      <c r="K4353" s="1">
        <v>1670926</v>
      </c>
    </row>
    <row r="4354" spans="1:11" x14ac:dyDescent="0.25">
      <c r="A4354" t="s">
        <v>326</v>
      </c>
      <c r="B4354" t="s">
        <v>636</v>
      </c>
      <c r="C4354" t="s">
        <v>869</v>
      </c>
      <c r="D4354" t="s">
        <v>14</v>
      </c>
      <c r="E4354">
        <v>6</v>
      </c>
      <c r="F4354" s="2">
        <f>DATE(2026,IF(Tabla1[[#This Row],[Mes de Fecha]]="Septiembre",9,10),Tabla1[[#This Row],[Día de Fecha]])</f>
        <v>46301</v>
      </c>
      <c r="G4354">
        <v>1056771455</v>
      </c>
      <c r="H4354" t="s">
        <v>642</v>
      </c>
      <c r="I4354">
        <v>5</v>
      </c>
      <c r="J4354">
        <v>0</v>
      </c>
      <c r="K4354" s="1">
        <v>150967</v>
      </c>
    </row>
    <row r="4355" spans="1:11" x14ac:dyDescent="0.25">
      <c r="A4355" t="s">
        <v>326</v>
      </c>
      <c r="B4355" t="s">
        <v>636</v>
      </c>
      <c r="C4355" t="s">
        <v>869</v>
      </c>
      <c r="D4355" t="s">
        <v>14</v>
      </c>
      <c r="E4355">
        <v>6</v>
      </c>
      <c r="F4355" s="2">
        <f>DATE(2026,IF(Tabla1[[#This Row],[Mes de Fecha]]="Septiembre",9,10),Tabla1[[#This Row],[Día de Fecha]])</f>
        <v>46301</v>
      </c>
      <c r="G4355">
        <v>1056785111</v>
      </c>
      <c r="H4355" t="s">
        <v>639</v>
      </c>
      <c r="I4355">
        <v>59</v>
      </c>
      <c r="J4355">
        <v>0</v>
      </c>
      <c r="K4355" s="1">
        <v>3160926</v>
      </c>
    </row>
    <row r="4356" spans="1:11" x14ac:dyDescent="0.25">
      <c r="A4356" t="s">
        <v>326</v>
      </c>
      <c r="B4356" t="s">
        <v>636</v>
      </c>
      <c r="C4356" t="s">
        <v>869</v>
      </c>
      <c r="D4356" t="s">
        <v>14</v>
      </c>
      <c r="E4356">
        <v>7</v>
      </c>
      <c r="F4356" s="2">
        <f>DATE(2026,IF(Tabla1[[#This Row],[Mes de Fecha]]="Septiembre",9,10),Tabla1[[#This Row],[Día de Fecha]])</f>
        <v>46302</v>
      </c>
      <c r="I4356">
        <v>0</v>
      </c>
      <c r="J4356" s="1">
        <v>6437366</v>
      </c>
      <c r="K4356">
        <v>0</v>
      </c>
    </row>
    <row r="4357" spans="1:11" x14ac:dyDescent="0.25">
      <c r="A4357" t="s">
        <v>326</v>
      </c>
      <c r="B4357" t="s">
        <v>636</v>
      </c>
      <c r="C4357" t="s">
        <v>869</v>
      </c>
      <c r="D4357" t="s">
        <v>14</v>
      </c>
      <c r="E4357">
        <v>7</v>
      </c>
      <c r="F4357" s="2">
        <f>DATE(2026,IF(Tabla1[[#This Row],[Mes de Fecha]]="Septiembre",9,10),Tabla1[[#This Row],[Día de Fecha]])</f>
        <v>46302</v>
      </c>
      <c r="G4357">
        <v>1000535103</v>
      </c>
      <c r="H4357" t="s">
        <v>640</v>
      </c>
      <c r="I4357">
        <v>81</v>
      </c>
      <c r="J4357">
        <v>0</v>
      </c>
      <c r="K4357" s="1">
        <v>4995718</v>
      </c>
    </row>
    <row r="4358" spans="1:11" x14ac:dyDescent="0.25">
      <c r="A4358" t="s">
        <v>326</v>
      </c>
      <c r="B4358" t="s">
        <v>636</v>
      </c>
      <c r="C4358" t="s">
        <v>869</v>
      </c>
      <c r="D4358" t="s">
        <v>14</v>
      </c>
      <c r="E4358">
        <v>7</v>
      </c>
      <c r="F4358" s="2">
        <f>DATE(2026,IF(Tabla1[[#This Row],[Mes de Fecha]]="Septiembre",9,10),Tabla1[[#This Row],[Día de Fecha]])</f>
        <v>46302</v>
      </c>
      <c r="G4358">
        <v>1000886426</v>
      </c>
      <c r="H4358" t="s">
        <v>575</v>
      </c>
      <c r="I4358">
        <v>-1</v>
      </c>
      <c r="J4358">
        <v>0</v>
      </c>
      <c r="K4358" s="1">
        <v>-117563</v>
      </c>
    </row>
    <row r="4359" spans="1:11" x14ac:dyDescent="0.25">
      <c r="A4359" t="s">
        <v>326</v>
      </c>
      <c r="B4359" t="s">
        <v>636</v>
      </c>
      <c r="C4359" t="s">
        <v>869</v>
      </c>
      <c r="D4359" t="s">
        <v>14</v>
      </c>
      <c r="E4359">
        <v>7</v>
      </c>
      <c r="F4359" s="2">
        <f>DATE(2026,IF(Tabla1[[#This Row],[Mes de Fecha]]="Septiembre",9,10),Tabla1[[#This Row],[Día de Fecha]])</f>
        <v>46302</v>
      </c>
      <c r="G4359">
        <v>1056771455</v>
      </c>
      <c r="H4359" t="s">
        <v>642</v>
      </c>
      <c r="I4359">
        <v>26</v>
      </c>
      <c r="J4359">
        <v>0</v>
      </c>
      <c r="K4359" s="1">
        <v>1099454</v>
      </c>
    </row>
    <row r="4360" spans="1:11" x14ac:dyDescent="0.25">
      <c r="A4360" t="s">
        <v>326</v>
      </c>
      <c r="B4360" t="s">
        <v>715</v>
      </c>
      <c r="C4360" t="s">
        <v>869</v>
      </c>
      <c r="D4360" t="s">
        <v>11</v>
      </c>
      <c r="E4360">
        <v>23</v>
      </c>
      <c r="F4360" s="2">
        <f>DATE(2026,IF(Tabla1[[#This Row],[Mes de Fecha]]="Septiembre",9,10),Tabla1[[#This Row],[Día de Fecha]])</f>
        <v>46288</v>
      </c>
      <c r="I4360">
        <v>0</v>
      </c>
      <c r="J4360" s="1">
        <v>5531922</v>
      </c>
      <c r="K4360">
        <v>0</v>
      </c>
    </row>
    <row r="4361" spans="1:11" x14ac:dyDescent="0.25">
      <c r="A4361" t="s">
        <v>326</v>
      </c>
      <c r="B4361" t="s">
        <v>715</v>
      </c>
      <c r="C4361" t="s">
        <v>869</v>
      </c>
      <c r="D4361" t="s">
        <v>11</v>
      </c>
      <c r="E4361">
        <v>23</v>
      </c>
      <c r="F4361" s="2">
        <f>DATE(2026,IF(Tabla1[[#This Row],[Mes de Fecha]]="Septiembre",9,10),Tabla1[[#This Row],[Día de Fecha]])</f>
        <v>46288</v>
      </c>
      <c r="G4361">
        <v>1001022911</v>
      </c>
      <c r="H4361" t="s">
        <v>718</v>
      </c>
      <c r="I4361">
        <v>14</v>
      </c>
      <c r="J4361">
        <v>0</v>
      </c>
      <c r="K4361" s="1">
        <v>898530</v>
      </c>
    </row>
    <row r="4362" spans="1:11" x14ac:dyDescent="0.25">
      <c r="A4362" t="s">
        <v>326</v>
      </c>
      <c r="B4362" t="s">
        <v>715</v>
      </c>
      <c r="C4362" t="s">
        <v>869</v>
      </c>
      <c r="D4362" t="s">
        <v>11</v>
      </c>
      <c r="E4362">
        <v>23</v>
      </c>
      <c r="F4362" s="2">
        <f>DATE(2026,IF(Tabla1[[#This Row],[Mes de Fecha]]="Septiembre",9,10),Tabla1[[#This Row],[Día de Fecha]])</f>
        <v>46288</v>
      </c>
      <c r="G4362">
        <v>1007102865</v>
      </c>
      <c r="H4362" t="s">
        <v>646</v>
      </c>
      <c r="I4362">
        <v>17</v>
      </c>
      <c r="J4362">
        <v>0</v>
      </c>
      <c r="K4362" s="1">
        <v>989933</v>
      </c>
    </row>
    <row r="4363" spans="1:11" x14ac:dyDescent="0.25">
      <c r="A4363" t="s">
        <v>326</v>
      </c>
      <c r="B4363" t="s">
        <v>715</v>
      </c>
      <c r="C4363" t="s">
        <v>869</v>
      </c>
      <c r="D4363" t="s">
        <v>11</v>
      </c>
      <c r="E4363">
        <v>23</v>
      </c>
      <c r="F4363" s="2">
        <f>DATE(2026,IF(Tabla1[[#This Row],[Mes de Fecha]]="Septiembre",9,10),Tabla1[[#This Row],[Día de Fecha]])</f>
        <v>46288</v>
      </c>
      <c r="G4363">
        <v>1032013463</v>
      </c>
      <c r="H4363" t="s">
        <v>716</v>
      </c>
      <c r="I4363">
        <v>37</v>
      </c>
      <c r="J4363">
        <v>0</v>
      </c>
      <c r="K4363" s="1">
        <v>2151727</v>
      </c>
    </row>
    <row r="4364" spans="1:11" x14ac:dyDescent="0.25">
      <c r="A4364" t="s">
        <v>326</v>
      </c>
      <c r="B4364" t="s">
        <v>715</v>
      </c>
      <c r="C4364" t="s">
        <v>869</v>
      </c>
      <c r="D4364" t="s">
        <v>11</v>
      </c>
      <c r="E4364">
        <v>23</v>
      </c>
      <c r="F4364" s="2">
        <f>DATE(2026,IF(Tabla1[[#This Row],[Mes de Fecha]]="Septiembre",9,10),Tabla1[[#This Row],[Día de Fecha]])</f>
        <v>46288</v>
      </c>
      <c r="G4364">
        <v>1045421676</v>
      </c>
      <c r="H4364" t="s">
        <v>717</v>
      </c>
      <c r="I4364">
        <v>11</v>
      </c>
      <c r="J4364">
        <v>0</v>
      </c>
      <c r="K4364" s="1">
        <v>894412</v>
      </c>
    </row>
    <row r="4365" spans="1:11" x14ac:dyDescent="0.25">
      <c r="A4365" t="s">
        <v>326</v>
      </c>
      <c r="B4365" t="s">
        <v>715</v>
      </c>
      <c r="C4365" t="s">
        <v>869</v>
      </c>
      <c r="D4365" t="s">
        <v>11</v>
      </c>
      <c r="E4365">
        <v>24</v>
      </c>
      <c r="F4365" s="2">
        <f>DATE(2026,IF(Tabla1[[#This Row],[Mes de Fecha]]="Septiembre",9,10),Tabla1[[#This Row],[Día de Fecha]])</f>
        <v>46289</v>
      </c>
      <c r="I4365">
        <v>0</v>
      </c>
      <c r="J4365" s="1">
        <v>8450634</v>
      </c>
      <c r="K4365">
        <v>0</v>
      </c>
    </row>
    <row r="4366" spans="1:11" x14ac:dyDescent="0.25">
      <c r="A4366" t="s">
        <v>326</v>
      </c>
      <c r="B4366" t="s">
        <v>715</v>
      </c>
      <c r="C4366" t="s">
        <v>869</v>
      </c>
      <c r="D4366" t="s">
        <v>11</v>
      </c>
      <c r="E4366">
        <v>24</v>
      </c>
      <c r="F4366" s="2">
        <f>DATE(2026,IF(Tabla1[[#This Row],[Mes de Fecha]]="Septiembre",9,10),Tabla1[[#This Row],[Día de Fecha]])</f>
        <v>46289</v>
      </c>
      <c r="G4366">
        <v>1001022911</v>
      </c>
      <c r="H4366" t="s">
        <v>718</v>
      </c>
      <c r="I4366">
        <v>24</v>
      </c>
      <c r="J4366">
        <v>0</v>
      </c>
      <c r="K4366" s="1">
        <v>1528363</v>
      </c>
    </row>
    <row r="4367" spans="1:11" x14ac:dyDescent="0.25">
      <c r="A4367" t="s">
        <v>326</v>
      </c>
      <c r="B4367" t="s">
        <v>715</v>
      </c>
      <c r="C4367" t="s">
        <v>869</v>
      </c>
      <c r="D4367" t="s">
        <v>11</v>
      </c>
      <c r="E4367">
        <v>24</v>
      </c>
      <c r="F4367" s="2">
        <f>DATE(2026,IF(Tabla1[[#This Row],[Mes de Fecha]]="Septiembre",9,10),Tabla1[[#This Row],[Día de Fecha]])</f>
        <v>46289</v>
      </c>
      <c r="G4367">
        <v>1007102865</v>
      </c>
      <c r="H4367" t="s">
        <v>646</v>
      </c>
      <c r="I4367">
        <v>28</v>
      </c>
      <c r="J4367">
        <v>0</v>
      </c>
      <c r="K4367" s="1">
        <v>1494455</v>
      </c>
    </row>
    <row r="4368" spans="1:11" x14ac:dyDescent="0.25">
      <c r="A4368" t="s">
        <v>326</v>
      </c>
      <c r="B4368" t="s">
        <v>715</v>
      </c>
      <c r="C4368" t="s">
        <v>869</v>
      </c>
      <c r="D4368" t="s">
        <v>11</v>
      </c>
      <c r="E4368">
        <v>24</v>
      </c>
      <c r="F4368" s="2">
        <f>DATE(2026,IF(Tabla1[[#This Row],[Mes de Fecha]]="Septiembre",9,10),Tabla1[[#This Row],[Día de Fecha]])</f>
        <v>46289</v>
      </c>
      <c r="G4368">
        <v>1032013463</v>
      </c>
      <c r="H4368" t="s">
        <v>716</v>
      </c>
      <c r="I4368">
        <v>26</v>
      </c>
      <c r="J4368">
        <v>0</v>
      </c>
      <c r="K4368" s="1">
        <v>1345901</v>
      </c>
    </row>
    <row r="4369" spans="1:11" x14ac:dyDescent="0.25">
      <c r="A4369" t="s">
        <v>326</v>
      </c>
      <c r="B4369" t="s">
        <v>715</v>
      </c>
      <c r="C4369" t="s">
        <v>869</v>
      </c>
      <c r="D4369" t="s">
        <v>11</v>
      </c>
      <c r="E4369">
        <v>24</v>
      </c>
      <c r="F4369" s="2">
        <f>DATE(2026,IF(Tabla1[[#This Row],[Mes de Fecha]]="Septiembre",9,10),Tabla1[[#This Row],[Día de Fecha]])</f>
        <v>46289</v>
      </c>
      <c r="G4369">
        <v>1045421676</v>
      </c>
      <c r="H4369" t="s">
        <v>717</v>
      </c>
      <c r="I4369">
        <v>29</v>
      </c>
      <c r="J4369">
        <v>0</v>
      </c>
      <c r="K4369" s="1">
        <v>1641514</v>
      </c>
    </row>
    <row r="4370" spans="1:11" x14ac:dyDescent="0.25">
      <c r="A4370" t="s">
        <v>326</v>
      </c>
      <c r="B4370" t="s">
        <v>715</v>
      </c>
      <c r="C4370" t="s">
        <v>869</v>
      </c>
      <c r="D4370" t="s">
        <v>11</v>
      </c>
      <c r="E4370">
        <v>25</v>
      </c>
      <c r="F4370" s="2">
        <f>DATE(2026,IF(Tabla1[[#This Row],[Mes de Fecha]]="Septiembre",9,10),Tabla1[[#This Row],[Día de Fecha]])</f>
        <v>46290</v>
      </c>
      <c r="I4370">
        <v>0</v>
      </c>
      <c r="J4370" s="1">
        <v>8431925</v>
      </c>
      <c r="K4370">
        <v>0</v>
      </c>
    </row>
    <row r="4371" spans="1:11" x14ac:dyDescent="0.25">
      <c r="A4371" t="s">
        <v>326</v>
      </c>
      <c r="B4371" t="s">
        <v>715</v>
      </c>
      <c r="C4371" t="s">
        <v>869</v>
      </c>
      <c r="D4371" t="s">
        <v>11</v>
      </c>
      <c r="E4371">
        <v>25</v>
      </c>
      <c r="F4371" s="2">
        <f>DATE(2026,IF(Tabla1[[#This Row],[Mes de Fecha]]="Septiembre",9,10),Tabla1[[#This Row],[Día de Fecha]])</f>
        <v>46290</v>
      </c>
      <c r="G4371">
        <v>1001022911</v>
      </c>
      <c r="H4371" t="s">
        <v>718</v>
      </c>
      <c r="I4371">
        <v>29</v>
      </c>
      <c r="J4371">
        <v>0</v>
      </c>
      <c r="K4371" s="1">
        <v>2063825</v>
      </c>
    </row>
    <row r="4372" spans="1:11" x14ac:dyDescent="0.25">
      <c r="A4372" t="s">
        <v>326</v>
      </c>
      <c r="B4372" t="s">
        <v>715</v>
      </c>
      <c r="C4372" t="s">
        <v>869</v>
      </c>
      <c r="D4372" t="s">
        <v>11</v>
      </c>
      <c r="E4372">
        <v>25</v>
      </c>
      <c r="F4372" s="2">
        <f>DATE(2026,IF(Tabla1[[#This Row],[Mes de Fecha]]="Septiembre",9,10),Tabla1[[#This Row],[Día de Fecha]])</f>
        <v>46290</v>
      </c>
      <c r="G4372">
        <v>1007102865</v>
      </c>
      <c r="H4372" t="s">
        <v>646</v>
      </c>
      <c r="I4372">
        <v>42</v>
      </c>
      <c r="J4372">
        <v>0</v>
      </c>
      <c r="K4372" s="1">
        <v>2178826</v>
      </c>
    </row>
    <row r="4373" spans="1:11" x14ac:dyDescent="0.25">
      <c r="A4373" t="s">
        <v>326</v>
      </c>
      <c r="B4373" t="s">
        <v>715</v>
      </c>
      <c r="C4373" t="s">
        <v>869</v>
      </c>
      <c r="D4373" t="s">
        <v>11</v>
      </c>
      <c r="E4373">
        <v>25</v>
      </c>
      <c r="F4373" s="2">
        <f>DATE(2026,IF(Tabla1[[#This Row],[Mes de Fecha]]="Septiembre",9,10),Tabla1[[#This Row],[Día de Fecha]])</f>
        <v>46290</v>
      </c>
      <c r="G4373">
        <v>1032013463</v>
      </c>
      <c r="H4373" t="s">
        <v>716</v>
      </c>
      <c r="I4373">
        <v>29</v>
      </c>
      <c r="J4373">
        <v>0</v>
      </c>
      <c r="K4373" s="1">
        <v>1963069</v>
      </c>
    </row>
    <row r="4374" spans="1:11" x14ac:dyDescent="0.25">
      <c r="A4374" t="s">
        <v>326</v>
      </c>
      <c r="B4374" t="s">
        <v>715</v>
      </c>
      <c r="C4374" t="s">
        <v>869</v>
      </c>
      <c r="D4374" t="s">
        <v>11</v>
      </c>
      <c r="E4374">
        <v>25</v>
      </c>
      <c r="F4374" s="2">
        <f>DATE(2026,IF(Tabla1[[#This Row],[Mes de Fecha]]="Septiembre",9,10),Tabla1[[#This Row],[Día de Fecha]])</f>
        <v>46290</v>
      </c>
      <c r="G4374">
        <v>1045421676</v>
      </c>
      <c r="H4374" t="s">
        <v>717</v>
      </c>
      <c r="I4374">
        <v>26</v>
      </c>
      <c r="J4374">
        <v>0</v>
      </c>
      <c r="K4374" s="1">
        <v>1692101</v>
      </c>
    </row>
    <row r="4375" spans="1:11" x14ac:dyDescent="0.25">
      <c r="A4375" t="s">
        <v>326</v>
      </c>
      <c r="B4375" t="s">
        <v>715</v>
      </c>
      <c r="C4375" t="s">
        <v>869</v>
      </c>
      <c r="D4375" t="s">
        <v>11</v>
      </c>
      <c r="E4375">
        <v>26</v>
      </c>
      <c r="F4375" s="2">
        <f>DATE(2026,IF(Tabla1[[#This Row],[Mes de Fecha]]="Septiembre",9,10),Tabla1[[#This Row],[Día de Fecha]])</f>
        <v>46291</v>
      </c>
      <c r="I4375">
        <v>0</v>
      </c>
      <c r="J4375" s="1">
        <v>12117888</v>
      </c>
      <c r="K4375">
        <v>0</v>
      </c>
    </row>
    <row r="4376" spans="1:11" x14ac:dyDescent="0.25">
      <c r="A4376" t="s">
        <v>326</v>
      </c>
      <c r="B4376" t="s">
        <v>715</v>
      </c>
      <c r="C4376" t="s">
        <v>869</v>
      </c>
      <c r="D4376" t="s">
        <v>11</v>
      </c>
      <c r="E4376">
        <v>26</v>
      </c>
      <c r="F4376" s="2">
        <f>DATE(2026,IF(Tabla1[[#This Row],[Mes de Fecha]]="Septiembre",9,10),Tabla1[[#This Row],[Día de Fecha]])</f>
        <v>46291</v>
      </c>
      <c r="G4376">
        <v>1001022911</v>
      </c>
      <c r="H4376" t="s">
        <v>718</v>
      </c>
      <c r="I4376">
        <v>47</v>
      </c>
      <c r="J4376">
        <v>0</v>
      </c>
      <c r="K4376" s="1">
        <v>2817058</v>
      </c>
    </row>
    <row r="4377" spans="1:11" x14ac:dyDescent="0.25">
      <c r="A4377" t="s">
        <v>326</v>
      </c>
      <c r="B4377" t="s">
        <v>715</v>
      </c>
      <c r="C4377" t="s">
        <v>869</v>
      </c>
      <c r="D4377" t="s">
        <v>11</v>
      </c>
      <c r="E4377">
        <v>26</v>
      </c>
      <c r="F4377" s="2">
        <f>DATE(2026,IF(Tabla1[[#This Row],[Mes de Fecha]]="Septiembre",9,10),Tabla1[[#This Row],[Día de Fecha]])</f>
        <v>46291</v>
      </c>
      <c r="G4377">
        <v>1007102865</v>
      </c>
      <c r="H4377" t="s">
        <v>646</v>
      </c>
      <c r="I4377">
        <v>44</v>
      </c>
      <c r="J4377">
        <v>0</v>
      </c>
      <c r="K4377" s="1">
        <v>2520716</v>
      </c>
    </row>
    <row r="4378" spans="1:11" x14ac:dyDescent="0.25">
      <c r="A4378" t="s">
        <v>326</v>
      </c>
      <c r="B4378" t="s">
        <v>715</v>
      </c>
      <c r="C4378" t="s">
        <v>869</v>
      </c>
      <c r="D4378" t="s">
        <v>11</v>
      </c>
      <c r="E4378">
        <v>26</v>
      </c>
      <c r="F4378" s="2">
        <f>DATE(2026,IF(Tabla1[[#This Row],[Mes de Fecha]]="Septiembre",9,10),Tabla1[[#This Row],[Día de Fecha]])</f>
        <v>46291</v>
      </c>
      <c r="G4378">
        <v>1032013463</v>
      </c>
      <c r="H4378" t="s">
        <v>716</v>
      </c>
      <c r="I4378">
        <v>65</v>
      </c>
      <c r="J4378">
        <v>0</v>
      </c>
      <c r="K4378" s="1">
        <v>3814246</v>
      </c>
    </row>
    <row r="4379" spans="1:11" x14ac:dyDescent="0.25">
      <c r="A4379" t="s">
        <v>326</v>
      </c>
      <c r="B4379" t="s">
        <v>715</v>
      </c>
      <c r="C4379" t="s">
        <v>869</v>
      </c>
      <c r="D4379" t="s">
        <v>11</v>
      </c>
      <c r="E4379">
        <v>26</v>
      </c>
      <c r="F4379" s="2">
        <f>DATE(2026,IF(Tabla1[[#This Row],[Mes de Fecha]]="Septiembre",9,10),Tabla1[[#This Row],[Día de Fecha]])</f>
        <v>46291</v>
      </c>
      <c r="G4379">
        <v>1045421676</v>
      </c>
      <c r="H4379" t="s">
        <v>717</v>
      </c>
      <c r="I4379">
        <v>35</v>
      </c>
      <c r="J4379">
        <v>0</v>
      </c>
      <c r="K4379" s="1">
        <v>2183281</v>
      </c>
    </row>
    <row r="4380" spans="1:11" x14ac:dyDescent="0.25">
      <c r="A4380" t="s">
        <v>326</v>
      </c>
      <c r="B4380" t="s">
        <v>715</v>
      </c>
      <c r="C4380" t="s">
        <v>869</v>
      </c>
      <c r="D4380" t="s">
        <v>11</v>
      </c>
      <c r="E4380">
        <v>27</v>
      </c>
      <c r="F4380" s="2">
        <f>DATE(2026,IF(Tabla1[[#This Row],[Mes de Fecha]]="Septiembre",9,10),Tabla1[[#This Row],[Día de Fecha]])</f>
        <v>46292</v>
      </c>
      <c r="I4380">
        <v>0</v>
      </c>
      <c r="J4380" s="1">
        <v>9599806</v>
      </c>
      <c r="K4380">
        <v>0</v>
      </c>
    </row>
    <row r="4381" spans="1:11" x14ac:dyDescent="0.25">
      <c r="A4381" t="s">
        <v>326</v>
      </c>
      <c r="B4381" t="s">
        <v>715</v>
      </c>
      <c r="C4381" t="s">
        <v>869</v>
      </c>
      <c r="D4381" t="s">
        <v>11</v>
      </c>
      <c r="E4381">
        <v>27</v>
      </c>
      <c r="F4381" s="2">
        <f>DATE(2026,IF(Tabla1[[#This Row],[Mes de Fecha]]="Septiembre",9,10),Tabla1[[#This Row],[Día de Fecha]])</f>
        <v>46292</v>
      </c>
      <c r="G4381">
        <v>1001022911</v>
      </c>
      <c r="H4381" t="s">
        <v>718</v>
      </c>
      <c r="I4381">
        <v>24</v>
      </c>
      <c r="J4381">
        <v>0</v>
      </c>
      <c r="K4381" s="1">
        <v>1364247</v>
      </c>
    </row>
    <row r="4382" spans="1:11" x14ac:dyDescent="0.25">
      <c r="A4382" t="s">
        <v>326</v>
      </c>
      <c r="B4382" t="s">
        <v>715</v>
      </c>
      <c r="C4382" t="s">
        <v>869</v>
      </c>
      <c r="D4382" t="s">
        <v>11</v>
      </c>
      <c r="E4382">
        <v>27</v>
      </c>
      <c r="F4382" s="2">
        <f>DATE(2026,IF(Tabla1[[#This Row],[Mes de Fecha]]="Septiembre",9,10),Tabla1[[#This Row],[Día de Fecha]])</f>
        <v>46292</v>
      </c>
      <c r="G4382">
        <v>1007102865</v>
      </c>
      <c r="H4382" t="s">
        <v>646</v>
      </c>
      <c r="I4382">
        <v>24</v>
      </c>
      <c r="J4382">
        <v>0</v>
      </c>
      <c r="K4382" s="1">
        <v>1589202</v>
      </c>
    </row>
    <row r="4383" spans="1:11" x14ac:dyDescent="0.25">
      <c r="A4383" t="s">
        <v>326</v>
      </c>
      <c r="B4383" t="s">
        <v>715</v>
      </c>
      <c r="C4383" t="s">
        <v>869</v>
      </c>
      <c r="D4383" t="s">
        <v>11</v>
      </c>
      <c r="E4383">
        <v>27</v>
      </c>
      <c r="F4383" s="2">
        <f>DATE(2026,IF(Tabla1[[#This Row],[Mes de Fecha]]="Septiembre",9,10),Tabla1[[#This Row],[Día de Fecha]])</f>
        <v>46292</v>
      </c>
      <c r="G4383">
        <v>1032013463</v>
      </c>
      <c r="H4383" t="s">
        <v>716</v>
      </c>
      <c r="I4383">
        <v>37</v>
      </c>
      <c r="J4383">
        <v>0</v>
      </c>
      <c r="K4383" s="1">
        <v>2189455</v>
      </c>
    </row>
    <row r="4384" spans="1:11" x14ac:dyDescent="0.25">
      <c r="A4384" t="s">
        <v>326</v>
      </c>
      <c r="B4384" t="s">
        <v>715</v>
      </c>
      <c r="C4384" t="s">
        <v>869</v>
      </c>
      <c r="D4384" t="s">
        <v>11</v>
      </c>
      <c r="E4384">
        <v>27</v>
      </c>
      <c r="F4384" s="2">
        <f>DATE(2026,IF(Tabla1[[#This Row],[Mes de Fecha]]="Septiembre",9,10),Tabla1[[#This Row],[Día de Fecha]])</f>
        <v>46292</v>
      </c>
      <c r="G4384">
        <v>1045421676</v>
      </c>
      <c r="H4384" t="s">
        <v>717</v>
      </c>
      <c r="I4384">
        <v>23</v>
      </c>
      <c r="J4384">
        <v>0</v>
      </c>
      <c r="K4384" s="1">
        <v>1028321</v>
      </c>
    </row>
    <row r="4385" spans="1:11" x14ac:dyDescent="0.25">
      <c r="A4385" t="s">
        <v>326</v>
      </c>
      <c r="B4385" t="s">
        <v>715</v>
      </c>
      <c r="C4385" t="s">
        <v>869</v>
      </c>
      <c r="D4385" t="s">
        <v>11</v>
      </c>
      <c r="E4385">
        <v>28</v>
      </c>
      <c r="F4385" s="2">
        <f>DATE(2026,IF(Tabla1[[#This Row],[Mes de Fecha]]="Septiembre",9,10),Tabla1[[#This Row],[Día de Fecha]])</f>
        <v>46293</v>
      </c>
      <c r="I4385">
        <v>0</v>
      </c>
      <c r="J4385" s="1">
        <v>5283340</v>
      </c>
      <c r="K4385">
        <v>0</v>
      </c>
    </row>
    <row r="4386" spans="1:11" x14ac:dyDescent="0.25">
      <c r="A4386" t="s">
        <v>326</v>
      </c>
      <c r="B4386" t="s">
        <v>715</v>
      </c>
      <c r="C4386" t="s">
        <v>869</v>
      </c>
      <c r="D4386" t="s">
        <v>11</v>
      </c>
      <c r="E4386">
        <v>28</v>
      </c>
      <c r="F4386" s="2">
        <f>DATE(2026,IF(Tabla1[[#This Row],[Mes de Fecha]]="Septiembre",9,10),Tabla1[[#This Row],[Día de Fecha]])</f>
        <v>46293</v>
      </c>
      <c r="G4386">
        <v>1001022911</v>
      </c>
      <c r="H4386" t="s">
        <v>718</v>
      </c>
      <c r="I4386">
        <v>17</v>
      </c>
      <c r="J4386">
        <v>0</v>
      </c>
      <c r="K4386" s="1">
        <v>1003490</v>
      </c>
    </row>
    <row r="4387" spans="1:11" x14ac:dyDescent="0.25">
      <c r="A4387" t="s">
        <v>326</v>
      </c>
      <c r="B4387" t="s">
        <v>715</v>
      </c>
      <c r="C4387" t="s">
        <v>869</v>
      </c>
      <c r="D4387" t="s">
        <v>11</v>
      </c>
      <c r="E4387">
        <v>28</v>
      </c>
      <c r="F4387" s="2">
        <f>DATE(2026,IF(Tabla1[[#This Row],[Mes de Fecha]]="Septiembre",9,10),Tabla1[[#This Row],[Día de Fecha]])</f>
        <v>46293</v>
      </c>
      <c r="G4387">
        <v>1007102865</v>
      </c>
      <c r="H4387" t="s">
        <v>646</v>
      </c>
      <c r="I4387">
        <v>27</v>
      </c>
      <c r="J4387">
        <v>0</v>
      </c>
      <c r="K4387" s="1">
        <v>1937899</v>
      </c>
    </row>
    <row r="4388" spans="1:11" x14ac:dyDescent="0.25">
      <c r="A4388" t="s">
        <v>326</v>
      </c>
      <c r="B4388" t="s">
        <v>715</v>
      </c>
      <c r="C4388" t="s">
        <v>869</v>
      </c>
      <c r="D4388" t="s">
        <v>11</v>
      </c>
      <c r="E4388">
        <v>28</v>
      </c>
      <c r="F4388" s="2">
        <f>DATE(2026,IF(Tabla1[[#This Row],[Mes de Fecha]]="Septiembre",9,10),Tabla1[[#This Row],[Día de Fecha]])</f>
        <v>46293</v>
      </c>
      <c r="G4388">
        <v>1032013463</v>
      </c>
      <c r="H4388" t="s">
        <v>716</v>
      </c>
      <c r="I4388">
        <v>33</v>
      </c>
      <c r="J4388">
        <v>0</v>
      </c>
      <c r="K4388" s="1">
        <v>1763112</v>
      </c>
    </row>
    <row r="4389" spans="1:11" x14ac:dyDescent="0.25">
      <c r="A4389" t="s">
        <v>326</v>
      </c>
      <c r="B4389" t="s">
        <v>715</v>
      </c>
      <c r="C4389" t="s">
        <v>869</v>
      </c>
      <c r="D4389" t="s">
        <v>11</v>
      </c>
      <c r="E4389">
        <v>28</v>
      </c>
      <c r="F4389" s="2">
        <f>DATE(2026,IF(Tabla1[[#This Row],[Mes de Fecha]]="Septiembre",9,10),Tabla1[[#This Row],[Día de Fecha]])</f>
        <v>46293</v>
      </c>
      <c r="G4389">
        <v>1045421676</v>
      </c>
      <c r="H4389" t="s">
        <v>717</v>
      </c>
      <c r="I4389">
        <v>23</v>
      </c>
      <c r="J4389">
        <v>0</v>
      </c>
      <c r="K4389" s="1">
        <v>1276263</v>
      </c>
    </row>
    <row r="4390" spans="1:11" x14ac:dyDescent="0.25">
      <c r="A4390" t="s">
        <v>326</v>
      </c>
      <c r="B4390" t="s">
        <v>715</v>
      </c>
      <c r="C4390" t="s">
        <v>869</v>
      </c>
      <c r="D4390" t="s">
        <v>11</v>
      </c>
      <c r="E4390">
        <v>28</v>
      </c>
      <c r="F4390" s="2">
        <f>DATE(2026,IF(Tabla1[[#This Row],[Mes de Fecha]]="Septiembre",9,10),Tabla1[[#This Row],[Día de Fecha]])</f>
        <v>46293</v>
      </c>
      <c r="G4390">
        <v>1067865055</v>
      </c>
      <c r="H4390" t="s">
        <v>638</v>
      </c>
      <c r="I4390">
        <v>-1</v>
      </c>
      <c r="J4390">
        <v>0</v>
      </c>
      <c r="K4390" s="1">
        <v>-155420</v>
      </c>
    </row>
    <row r="4391" spans="1:11" x14ac:dyDescent="0.25">
      <c r="A4391" t="s">
        <v>326</v>
      </c>
      <c r="B4391" t="s">
        <v>715</v>
      </c>
      <c r="C4391" t="s">
        <v>869</v>
      </c>
      <c r="D4391" t="s">
        <v>11</v>
      </c>
      <c r="E4391">
        <v>29</v>
      </c>
      <c r="F4391" s="2">
        <f>DATE(2026,IF(Tabla1[[#This Row],[Mes de Fecha]]="Septiembre",9,10),Tabla1[[#This Row],[Día de Fecha]])</f>
        <v>46294</v>
      </c>
      <c r="I4391">
        <v>0</v>
      </c>
      <c r="J4391" s="1">
        <v>5643642</v>
      </c>
      <c r="K4391">
        <v>0</v>
      </c>
    </row>
    <row r="4392" spans="1:11" x14ac:dyDescent="0.25">
      <c r="A4392" t="s">
        <v>326</v>
      </c>
      <c r="B4392" t="s">
        <v>715</v>
      </c>
      <c r="C4392" t="s">
        <v>869</v>
      </c>
      <c r="D4392" t="s">
        <v>11</v>
      </c>
      <c r="E4392">
        <v>29</v>
      </c>
      <c r="F4392" s="2">
        <f>DATE(2026,IF(Tabla1[[#This Row],[Mes de Fecha]]="Septiembre",9,10),Tabla1[[#This Row],[Día de Fecha]])</f>
        <v>46294</v>
      </c>
      <c r="G4392">
        <v>1001022911</v>
      </c>
      <c r="H4392" t="s">
        <v>718</v>
      </c>
      <c r="I4392">
        <v>23</v>
      </c>
      <c r="J4392">
        <v>0</v>
      </c>
      <c r="K4392" s="1">
        <v>1368740</v>
      </c>
    </row>
    <row r="4393" spans="1:11" x14ac:dyDescent="0.25">
      <c r="A4393" t="s">
        <v>326</v>
      </c>
      <c r="B4393" t="s">
        <v>715</v>
      </c>
      <c r="C4393" t="s">
        <v>869</v>
      </c>
      <c r="D4393" t="s">
        <v>11</v>
      </c>
      <c r="E4393">
        <v>29</v>
      </c>
      <c r="F4393" s="2">
        <f>DATE(2026,IF(Tabla1[[#This Row],[Mes de Fecha]]="Septiembre",9,10),Tabla1[[#This Row],[Día de Fecha]])</f>
        <v>46294</v>
      </c>
      <c r="G4393">
        <v>1002596138</v>
      </c>
      <c r="H4393" t="s">
        <v>719</v>
      </c>
      <c r="I4393">
        <v>-1</v>
      </c>
      <c r="J4393">
        <v>0</v>
      </c>
      <c r="K4393" s="1">
        <v>-92395</v>
      </c>
    </row>
    <row r="4394" spans="1:11" x14ac:dyDescent="0.25">
      <c r="A4394" t="s">
        <v>326</v>
      </c>
      <c r="B4394" t="s">
        <v>715</v>
      </c>
      <c r="C4394" t="s">
        <v>869</v>
      </c>
      <c r="D4394" t="s">
        <v>11</v>
      </c>
      <c r="E4394">
        <v>29</v>
      </c>
      <c r="F4394" s="2">
        <f>DATE(2026,IF(Tabla1[[#This Row],[Mes de Fecha]]="Septiembre",9,10),Tabla1[[#This Row],[Día de Fecha]])</f>
        <v>46294</v>
      </c>
      <c r="G4394">
        <v>1007102865</v>
      </c>
      <c r="H4394" t="s">
        <v>646</v>
      </c>
      <c r="I4394">
        <v>40</v>
      </c>
      <c r="J4394">
        <v>0</v>
      </c>
      <c r="K4394" s="1">
        <v>1855294</v>
      </c>
    </row>
    <row r="4395" spans="1:11" x14ac:dyDescent="0.25">
      <c r="A4395" t="s">
        <v>326</v>
      </c>
      <c r="B4395" t="s">
        <v>715</v>
      </c>
      <c r="C4395" t="s">
        <v>869</v>
      </c>
      <c r="D4395" t="s">
        <v>11</v>
      </c>
      <c r="E4395">
        <v>29</v>
      </c>
      <c r="F4395" s="2">
        <f>DATE(2026,IF(Tabla1[[#This Row],[Mes de Fecha]]="Septiembre",9,10),Tabla1[[#This Row],[Día de Fecha]])</f>
        <v>46294</v>
      </c>
      <c r="G4395">
        <v>1032013463</v>
      </c>
      <c r="H4395" t="s">
        <v>716</v>
      </c>
      <c r="I4395">
        <v>50</v>
      </c>
      <c r="J4395">
        <v>0</v>
      </c>
      <c r="K4395" s="1">
        <v>2663740</v>
      </c>
    </row>
    <row r="4396" spans="1:11" x14ac:dyDescent="0.25">
      <c r="A4396" t="s">
        <v>326</v>
      </c>
      <c r="B4396" t="s">
        <v>715</v>
      </c>
      <c r="C4396" t="s">
        <v>869</v>
      </c>
      <c r="D4396" t="s">
        <v>11</v>
      </c>
      <c r="E4396">
        <v>29</v>
      </c>
      <c r="F4396" s="2">
        <f>DATE(2026,IF(Tabla1[[#This Row],[Mes de Fecha]]="Septiembre",9,10),Tabla1[[#This Row],[Día de Fecha]])</f>
        <v>46294</v>
      </c>
      <c r="G4396">
        <v>1045421676</v>
      </c>
      <c r="H4396" t="s">
        <v>717</v>
      </c>
      <c r="I4396">
        <v>37</v>
      </c>
      <c r="J4396">
        <v>0</v>
      </c>
      <c r="K4396" s="1">
        <v>2199960</v>
      </c>
    </row>
    <row r="4397" spans="1:11" x14ac:dyDescent="0.25">
      <c r="A4397" t="s">
        <v>326</v>
      </c>
      <c r="B4397" t="s">
        <v>715</v>
      </c>
      <c r="C4397" t="s">
        <v>869</v>
      </c>
      <c r="D4397" t="s">
        <v>11</v>
      </c>
      <c r="E4397">
        <v>30</v>
      </c>
      <c r="F4397" s="2">
        <f>DATE(2026,IF(Tabla1[[#This Row],[Mes de Fecha]]="Septiembre",9,10),Tabla1[[#This Row],[Día de Fecha]])</f>
        <v>46295</v>
      </c>
      <c r="I4397">
        <v>0</v>
      </c>
      <c r="J4397" s="1">
        <v>5829982</v>
      </c>
      <c r="K4397">
        <v>0</v>
      </c>
    </row>
    <row r="4398" spans="1:11" x14ac:dyDescent="0.25">
      <c r="A4398" t="s">
        <v>326</v>
      </c>
      <c r="B4398" t="s">
        <v>715</v>
      </c>
      <c r="C4398" t="s">
        <v>869</v>
      </c>
      <c r="D4398" t="s">
        <v>11</v>
      </c>
      <c r="E4398">
        <v>30</v>
      </c>
      <c r="F4398" s="2">
        <f>DATE(2026,IF(Tabla1[[#This Row],[Mes de Fecha]]="Septiembre",9,10),Tabla1[[#This Row],[Día de Fecha]])</f>
        <v>46295</v>
      </c>
      <c r="G4398">
        <v>1001022911</v>
      </c>
      <c r="H4398" t="s">
        <v>718</v>
      </c>
      <c r="I4398">
        <v>13</v>
      </c>
      <c r="J4398">
        <v>0</v>
      </c>
      <c r="K4398" s="1">
        <v>574958</v>
      </c>
    </row>
    <row r="4399" spans="1:11" x14ac:dyDescent="0.25">
      <c r="A4399" t="s">
        <v>326</v>
      </c>
      <c r="B4399" t="s">
        <v>715</v>
      </c>
      <c r="C4399" t="s">
        <v>869</v>
      </c>
      <c r="D4399" t="s">
        <v>11</v>
      </c>
      <c r="E4399">
        <v>30</v>
      </c>
      <c r="F4399" s="2">
        <f>DATE(2026,IF(Tabla1[[#This Row],[Mes de Fecha]]="Septiembre",9,10),Tabla1[[#This Row],[Día de Fecha]])</f>
        <v>46295</v>
      </c>
      <c r="G4399">
        <v>1007102865</v>
      </c>
      <c r="H4399" t="s">
        <v>646</v>
      </c>
      <c r="I4399">
        <v>24</v>
      </c>
      <c r="J4399">
        <v>0</v>
      </c>
      <c r="K4399" s="1">
        <v>1347479</v>
      </c>
    </row>
    <row r="4400" spans="1:11" x14ac:dyDescent="0.25">
      <c r="A4400" t="s">
        <v>326</v>
      </c>
      <c r="B4400" t="s">
        <v>715</v>
      </c>
      <c r="C4400" t="s">
        <v>869</v>
      </c>
      <c r="D4400" t="s">
        <v>11</v>
      </c>
      <c r="E4400">
        <v>30</v>
      </c>
      <c r="F4400" s="2">
        <f>DATE(2026,IF(Tabla1[[#This Row],[Mes de Fecha]]="Septiembre",9,10),Tabla1[[#This Row],[Día de Fecha]])</f>
        <v>46295</v>
      </c>
      <c r="G4400">
        <v>1032013463</v>
      </c>
      <c r="H4400" t="s">
        <v>716</v>
      </c>
      <c r="I4400">
        <v>19</v>
      </c>
      <c r="J4400">
        <v>0</v>
      </c>
      <c r="K4400" s="1">
        <v>965588</v>
      </c>
    </row>
    <row r="4401" spans="1:11" x14ac:dyDescent="0.25">
      <c r="A4401" t="s">
        <v>326</v>
      </c>
      <c r="B4401" t="s">
        <v>715</v>
      </c>
      <c r="C4401" t="s">
        <v>869</v>
      </c>
      <c r="D4401" t="s">
        <v>11</v>
      </c>
      <c r="E4401">
        <v>30</v>
      </c>
      <c r="F4401" s="2">
        <f>DATE(2026,IF(Tabla1[[#This Row],[Mes de Fecha]]="Septiembre",9,10),Tabla1[[#This Row],[Día de Fecha]])</f>
        <v>46295</v>
      </c>
      <c r="G4401">
        <v>1045421676</v>
      </c>
      <c r="H4401" t="s">
        <v>717</v>
      </c>
      <c r="I4401">
        <v>19</v>
      </c>
      <c r="J4401">
        <v>0</v>
      </c>
      <c r="K4401" s="1">
        <v>728068</v>
      </c>
    </row>
    <row r="4402" spans="1:11" x14ac:dyDescent="0.25">
      <c r="A4402" t="s">
        <v>326</v>
      </c>
      <c r="B4402" t="s">
        <v>715</v>
      </c>
      <c r="C4402" t="s">
        <v>869</v>
      </c>
      <c r="D4402" t="s">
        <v>14</v>
      </c>
      <c r="E4402">
        <v>1</v>
      </c>
      <c r="F4402" s="2">
        <f>DATE(2026,IF(Tabla1[[#This Row],[Mes de Fecha]]="Septiembre",9,10),Tabla1[[#This Row],[Día de Fecha]])</f>
        <v>46296</v>
      </c>
      <c r="I4402">
        <v>0</v>
      </c>
      <c r="J4402" s="1">
        <v>11491525</v>
      </c>
      <c r="K4402">
        <v>0</v>
      </c>
    </row>
    <row r="4403" spans="1:11" x14ac:dyDescent="0.25">
      <c r="A4403" t="s">
        <v>326</v>
      </c>
      <c r="B4403" t="s">
        <v>715</v>
      </c>
      <c r="C4403" t="s">
        <v>869</v>
      </c>
      <c r="D4403" t="s">
        <v>14</v>
      </c>
      <c r="E4403">
        <v>1</v>
      </c>
      <c r="F4403" s="2">
        <f>DATE(2026,IF(Tabla1[[#This Row],[Mes de Fecha]]="Septiembre",9,10),Tabla1[[#This Row],[Día de Fecha]])</f>
        <v>46296</v>
      </c>
      <c r="G4403">
        <v>1001022911</v>
      </c>
      <c r="H4403" t="s">
        <v>718</v>
      </c>
      <c r="I4403">
        <v>17</v>
      </c>
      <c r="J4403">
        <v>0</v>
      </c>
      <c r="K4403" s="1">
        <v>877270</v>
      </c>
    </row>
    <row r="4404" spans="1:11" x14ac:dyDescent="0.25">
      <c r="A4404" t="s">
        <v>326</v>
      </c>
      <c r="B4404" t="s">
        <v>715</v>
      </c>
      <c r="C4404" t="s">
        <v>869</v>
      </c>
      <c r="D4404" t="s">
        <v>14</v>
      </c>
      <c r="E4404">
        <v>1</v>
      </c>
      <c r="F4404" s="2">
        <f>DATE(2026,IF(Tabla1[[#This Row],[Mes de Fecha]]="Septiembre",9,10),Tabla1[[#This Row],[Día de Fecha]])</f>
        <v>46296</v>
      </c>
      <c r="G4404">
        <v>1007102865</v>
      </c>
      <c r="H4404" t="s">
        <v>646</v>
      </c>
      <c r="I4404">
        <v>30</v>
      </c>
      <c r="J4404">
        <v>0</v>
      </c>
      <c r="K4404" s="1">
        <v>1641386</v>
      </c>
    </row>
    <row r="4405" spans="1:11" x14ac:dyDescent="0.25">
      <c r="A4405" t="s">
        <v>326</v>
      </c>
      <c r="B4405" t="s">
        <v>715</v>
      </c>
      <c r="C4405" t="s">
        <v>869</v>
      </c>
      <c r="D4405" t="s">
        <v>14</v>
      </c>
      <c r="E4405">
        <v>1</v>
      </c>
      <c r="F4405" s="2">
        <f>DATE(2026,IF(Tabla1[[#This Row],[Mes de Fecha]]="Septiembre",9,10),Tabla1[[#This Row],[Día de Fecha]])</f>
        <v>46296</v>
      </c>
      <c r="G4405">
        <v>1032013463</v>
      </c>
      <c r="H4405" t="s">
        <v>716</v>
      </c>
      <c r="I4405">
        <v>27</v>
      </c>
      <c r="J4405">
        <v>0</v>
      </c>
      <c r="K4405" s="1">
        <v>1187859</v>
      </c>
    </row>
    <row r="4406" spans="1:11" x14ac:dyDescent="0.25">
      <c r="A4406" t="s">
        <v>326</v>
      </c>
      <c r="B4406" t="s">
        <v>715</v>
      </c>
      <c r="C4406" t="s">
        <v>869</v>
      </c>
      <c r="D4406" t="s">
        <v>14</v>
      </c>
      <c r="E4406">
        <v>1</v>
      </c>
      <c r="F4406" s="2">
        <f>DATE(2026,IF(Tabla1[[#This Row],[Mes de Fecha]]="Septiembre",9,10),Tabla1[[#This Row],[Día de Fecha]])</f>
        <v>46296</v>
      </c>
      <c r="G4406">
        <v>1045421676</v>
      </c>
      <c r="H4406" t="s">
        <v>717</v>
      </c>
      <c r="I4406">
        <v>33</v>
      </c>
      <c r="J4406">
        <v>0</v>
      </c>
      <c r="K4406" s="1">
        <v>1731597</v>
      </c>
    </row>
    <row r="4407" spans="1:11" x14ac:dyDescent="0.25">
      <c r="A4407" t="s">
        <v>326</v>
      </c>
      <c r="B4407" t="s">
        <v>715</v>
      </c>
      <c r="C4407" t="s">
        <v>869</v>
      </c>
      <c r="D4407" t="s">
        <v>14</v>
      </c>
      <c r="E4407">
        <v>2</v>
      </c>
      <c r="F4407" s="2">
        <f>DATE(2026,IF(Tabla1[[#This Row],[Mes de Fecha]]="Septiembre",9,10),Tabla1[[#This Row],[Día de Fecha]])</f>
        <v>46297</v>
      </c>
      <c r="I4407">
        <v>0</v>
      </c>
      <c r="J4407" s="1">
        <v>11376753</v>
      </c>
      <c r="K4407">
        <v>0</v>
      </c>
    </row>
    <row r="4408" spans="1:11" x14ac:dyDescent="0.25">
      <c r="A4408" t="s">
        <v>326</v>
      </c>
      <c r="B4408" t="s">
        <v>715</v>
      </c>
      <c r="C4408" t="s">
        <v>869</v>
      </c>
      <c r="D4408" t="s">
        <v>14</v>
      </c>
      <c r="E4408">
        <v>2</v>
      </c>
      <c r="F4408" s="2">
        <f>DATE(2026,IF(Tabla1[[#This Row],[Mes de Fecha]]="Septiembre",9,10),Tabla1[[#This Row],[Día de Fecha]])</f>
        <v>46297</v>
      </c>
      <c r="G4408">
        <v>1001022911</v>
      </c>
      <c r="H4408" t="s">
        <v>718</v>
      </c>
      <c r="I4408">
        <v>24</v>
      </c>
      <c r="J4408">
        <v>0</v>
      </c>
      <c r="K4408" s="1">
        <v>1524119</v>
      </c>
    </row>
    <row r="4409" spans="1:11" x14ac:dyDescent="0.25">
      <c r="A4409" t="s">
        <v>326</v>
      </c>
      <c r="B4409" t="s">
        <v>715</v>
      </c>
      <c r="C4409" t="s">
        <v>869</v>
      </c>
      <c r="D4409" t="s">
        <v>14</v>
      </c>
      <c r="E4409">
        <v>2</v>
      </c>
      <c r="F4409" s="2">
        <f>DATE(2026,IF(Tabla1[[#This Row],[Mes de Fecha]]="Septiembre",9,10),Tabla1[[#This Row],[Día de Fecha]])</f>
        <v>46297</v>
      </c>
      <c r="G4409">
        <v>1007102865</v>
      </c>
      <c r="H4409" t="s">
        <v>646</v>
      </c>
      <c r="I4409">
        <v>24</v>
      </c>
      <c r="J4409">
        <v>0</v>
      </c>
      <c r="K4409" s="1">
        <v>1318112</v>
      </c>
    </row>
    <row r="4410" spans="1:11" x14ac:dyDescent="0.25">
      <c r="A4410" t="s">
        <v>326</v>
      </c>
      <c r="B4410" t="s">
        <v>715</v>
      </c>
      <c r="C4410" t="s">
        <v>869</v>
      </c>
      <c r="D4410" t="s">
        <v>14</v>
      </c>
      <c r="E4410">
        <v>2</v>
      </c>
      <c r="F4410" s="2">
        <f>DATE(2026,IF(Tabla1[[#This Row],[Mes de Fecha]]="Septiembre",9,10),Tabla1[[#This Row],[Día de Fecha]])</f>
        <v>46297</v>
      </c>
      <c r="G4410">
        <v>1032013463</v>
      </c>
      <c r="H4410" t="s">
        <v>716</v>
      </c>
      <c r="I4410">
        <v>33</v>
      </c>
      <c r="J4410">
        <v>0</v>
      </c>
      <c r="K4410" s="1">
        <v>2044750</v>
      </c>
    </row>
    <row r="4411" spans="1:11" x14ac:dyDescent="0.25">
      <c r="A4411" t="s">
        <v>326</v>
      </c>
      <c r="B4411" t="s">
        <v>715</v>
      </c>
      <c r="C4411" t="s">
        <v>869</v>
      </c>
      <c r="D4411" t="s">
        <v>14</v>
      </c>
      <c r="E4411">
        <v>2</v>
      </c>
      <c r="F4411" s="2">
        <f>DATE(2026,IF(Tabla1[[#This Row],[Mes de Fecha]]="Septiembre",9,10),Tabla1[[#This Row],[Día de Fecha]])</f>
        <v>46297</v>
      </c>
      <c r="G4411">
        <v>1036131390</v>
      </c>
      <c r="H4411" t="s">
        <v>720</v>
      </c>
      <c r="I4411">
        <v>-1</v>
      </c>
      <c r="J4411">
        <v>0</v>
      </c>
      <c r="K4411" s="1">
        <v>-79790</v>
      </c>
    </row>
    <row r="4412" spans="1:11" x14ac:dyDescent="0.25">
      <c r="A4412" t="s">
        <v>326</v>
      </c>
      <c r="B4412" t="s">
        <v>715</v>
      </c>
      <c r="C4412" t="s">
        <v>869</v>
      </c>
      <c r="D4412" t="s">
        <v>14</v>
      </c>
      <c r="E4412">
        <v>2</v>
      </c>
      <c r="F4412" s="2">
        <f>DATE(2026,IF(Tabla1[[#This Row],[Mes de Fecha]]="Septiembre",9,10),Tabla1[[#This Row],[Día de Fecha]])</f>
        <v>46297</v>
      </c>
      <c r="G4412">
        <v>1045421676</v>
      </c>
      <c r="H4412" t="s">
        <v>717</v>
      </c>
      <c r="I4412">
        <v>30</v>
      </c>
      <c r="J4412">
        <v>0</v>
      </c>
      <c r="K4412" s="1">
        <v>1708569</v>
      </c>
    </row>
    <row r="4413" spans="1:11" x14ac:dyDescent="0.25">
      <c r="A4413" t="s">
        <v>326</v>
      </c>
      <c r="B4413" t="s">
        <v>715</v>
      </c>
      <c r="C4413" t="s">
        <v>869</v>
      </c>
      <c r="D4413" t="s">
        <v>14</v>
      </c>
      <c r="E4413">
        <v>3</v>
      </c>
      <c r="F4413" s="2">
        <f>DATE(2026,IF(Tabla1[[#This Row],[Mes de Fecha]]="Septiembre",9,10),Tabla1[[#This Row],[Día de Fecha]])</f>
        <v>46298</v>
      </c>
      <c r="I4413">
        <v>0</v>
      </c>
      <c r="J4413" s="1">
        <v>14390581</v>
      </c>
      <c r="K4413">
        <v>0</v>
      </c>
    </row>
    <row r="4414" spans="1:11" x14ac:dyDescent="0.25">
      <c r="A4414" t="s">
        <v>326</v>
      </c>
      <c r="B4414" t="s">
        <v>715</v>
      </c>
      <c r="C4414" t="s">
        <v>869</v>
      </c>
      <c r="D4414" t="s">
        <v>14</v>
      </c>
      <c r="E4414">
        <v>3</v>
      </c>
      <c r="F4414" s="2">
        <f>DATE(2026,IF(Tabla1[[#This Row],[Mes de Fecha]]="Septiembre",9,10),Tabla1[[#This Row],[Día de Fecha]])</f>
        <v>46298</v>
      </c>
      <c r="G4414">
        <v>1001022911</v>
      </c>
      <c r="H4414" t="s">
        <v>718</v>
      </c>
      <c r="I4414">
        <v>24</v>
      </c>
      <c r="J4414">
        <v>0</v>
      </c>
      <c r="K4414" s="1">
        <v>1380892</v>
      </c>
    </row>
    <row r="4415" spans="1:11" x14ac:dyDescent="0.25">
      <c r="A4415" t="s">
        <v>326</v>
      </c>
      <c r="B4415" t="s">
        <v>715</v>
      </c>
      <c r="C4415" t="s">
        <v>869</v>
      </c>
      <c r="D4415" t="s">
        <v>14</v>
      </c>
      <c r="E4415">
        <v>3</v>
      </c>
      <c r="F4415" s="2">
        <f>DATE(2026,IF(Tabla1[[#This Row],[Mes de Fecha]]="Septiembre",9,10),Tabla1[[#This Row],[Día de Fecha]])</f>
        <v>46298</v>
      </c>
      <c r="G4415">
        <v>1007102865</v>
      </c>
      <c r="H4415" t="s">
        <v>646</v>
      </c>
      <c r="I4415">
        <v>25</v>
      </c>
      <c r="J4415">
        <v>0</v>
      </c>
      <c r="K4415" s="1">
        <v>1825422</v>
      </c>
    </row>
    <row r="4416" spans="1:11" x14ac:dyDescent="0.25">
      <c r="A4416" t="s">
        <v>326</v>
      </c>
      <c r="B4416" t="s">
        <v>715</v>
      </c>
      <c r="C4416" t="s">
        <v>869</v>
      </c>
      <c r="D4416" t="s">
        <v>14</v>
      </c>
      <c r="E4416">
        <v>3</v>
      </c>
      <c r="F4416" s="2">
        <f>DATE(2026,IF(Tabla1[[#This Row],[Mes de Fecha]]="Septiembre",9,10),Tabla1[[#This Row],[Día de Fecha]])</f>
        <v>46298</v>
      </c>
      <c r="G4416">
        <v>1032013463</v>
      </c>
      <c r="H4416" t="s">
        <v>716</v>
      </c>
      <c r="I4416">
        <v>54</v>
      </c>
      <c r="J4416">
        <v>0</v>
      </c>
      <c r="K4416" s="1">
        <v>2537219</v>
      </c>
    </row>
    <row r="4417" spans="1:11" x14ac:dyDescent="0.25">
      <c r="A4417" t="s">
        <v>326</v>
      </c>
      <c r="B4417" t="s">
        <v>715</v>
      </c>
      <c r="C4417" t="s">
        <v>869</v>
      </c>
      <c r="D4417" t="s">
        <v>14</v>
      </c>
      <c r="E4417">
        <v>3</v>
      </c>
      <c r="F4417" s="2">
        <f>DATE(2026,IF(Tabla1[[#This Row],[Mes de Fecha]]="Septiembre",9,10),Tabla1[[#This Row],[Día de Fecha]])</f>
        <v>46298</v>
      </c>
      <c r="G4417">
        <v>1045421676</v>
      </c>
      <c r="H4417" t="s">
        <v>717</v>
      </c>
      <c r="I4417">
        <v>35</v>
      </c>
      <c r="J4417">
        <v>0</v>
      </c>
      <c r="K4417" s="1">
        <v>1779370</v>
      </c>
    </row>
    <row r="4418" spans="1:11" x14ac:dyDescent="0.25">
      <c r="A4418" t="s">
        <v>326</v>
      </c>
      <c r="B4418" t="s">
        <v>715</v>
      </c>
      <c r="C4418" t="s">
        <v>869</v>
      </c>
      <c r="D4418" t="s">
        <v>14</v>
      </c>
      <c r="E4418">
        <v>3</v>
      </c>
      <c r="F4418" s="2">
        <f>DATE(2026,IF(Tabla1[[#This Row],[Mes de Fecha]]="Septiembre",9,10),Tabla1[[#This Row],[Día de Fecha]])</f>
        <v>46298</v>
      </c>
      <c r="G4418">
        <v>1056785111</v>
      </c>
      <c r="H4418" t="s">
        <v>639</v>
      </c>
      <c r="I4418">
        <v>-1</v>
      </c>
      <c r="J4418">
        <v>0</v>
      </c>
      <c r="K4418" s="1">
        <v>-88193</v>
      </c>
    </row>
    <row r="4419" spans="1:11" x14ac:dyDescent="0.25">
      <c r="A4419" t="s">
        <v>326</v>
      </c>
      <c r="B4419" t="s">
        <v>715</v>
      </c>
      <c r="C4419" t="s">
        <v>869</v>
      </c>
      <c r="D4419" t="s">
        <v>14</v>
      </c>
      <c r="E4419">
        <v>4</v>
      </c>
      <c r="F4419" s="2">
        <f>DATE(2026,IF(Tabla1[[#This Row],[Mes de Fecha]]="Septiembre",9,10),Tabla1[[#This Row],[Día de Fecha]])</f>
        <v>46299</v>
      </c>
      <c r="I4419">
        <v>0</v>
      </c>
      <c r="J4419" s="1">
        <v>9210380</v>
      </c>
      <c r="K4419">
        <v>0</v>
      </c>
    </row>
    <row r="4420" spans="1:11" x14ac:dyDescent="0.25">
      <c r="A4420" t="s">
        <v>326</v>
      </c>
      <c r="B4420" t="s">
        <v>715</v>
      </c>
      <c r="C4420" t="s">
        <v>869</v>
      </c>
      <c r="D4420" t="s">
        <v>14</v>
      </c>
      <c r="E4420">
        <v>4</v>
      </c>
      <c r="F4420" s="2">
        <f>DATE(2026,IF(Tabla1[[#This Row],[Mes de Fecha]]="Septiembre",9,10),Tabla1[[#This Row],[Día de Fecha]])</f>
        <v>46299</v>
      </c>
      <c r="G4420">
        <v>1000637944</v>
      </c>
      <c r="H4420" t="s">
        <v>641</v>
      </c>
      <c r="I4420">
        <v>-1</v>
      </c>
      <c r="J4420">
        <v>0</v>
      </c>
      <c r="K4420" s="1">
        <v>-71386</v>
      </c>
    </row>
    <row r="4421" spans="1:11" x14ac:dyDescent="0.25">
      <c r="A4421" t="s">
        <v>326</v>
      </c>
      <c r="B4421" t="s">
        <v>715</v>
      </c>
      <c r="C4421" t="s">
        <v>869</v>
      </c>
      <c r="D4421" t="s">
        <v>14</v>
      </c>
      <c r="E4421">
        <v>4</v>
      </c>
      <c r="F4421" s="2">
        <f>DATE(2026,IF(Tabla1[[#This Row],[Mes de Fecha]]="Septiembre",9,10),Tabla1[[#This Row],[Día de Fecha]])</f>
        <v>46299</v>
      </c>
      <c r="G4421">
        <v>1001022911</v>
      </c>
      <c r="H4421" t="s">
        <v>718</v>
      </c>
      <c r="I4421">
        <v>35</v>
      </c>
      <c r="J4421">
        <v>0</v>
      </c>
      <c r="K4421" s="1">
        <v>1691221</v>
      </c>
    </row>
    <row r="4422" spans="1:11" x14ac:dyDescent="0.25">
      <c r="A4422" t="s">
        <v>326</v>
      </c>
      <c r="B4422" t="s">
        <v>715</v>
      </c>
      <c r="C4422" t="s">
        <v>869</v>
      </c>
      <c r="D4422" t="s">
        <v>14</v>
      </c>
      <c r="E4422">
        <v>4</v>
      </c>
      <c r="F4422" s="2">
        <f>DATE(2026,IF(Tabla1[[#This Row],[Mes de Fecha]]="Septiembre",9,10),Tabla1[[#This Row],[Día de Fecha]])</f>
        <v>46299</v>
      </c>
      <c r="G4422">
        <v>1007102865</v>
      </c>
      <c r="H4422" t="s">
        <v>646</v>
      </c>
      <c r="I4422">
        <v>38</v>
      </c>
      <c r="J4422">
        <v>0</v>
      </c>
      <c r="K4422" s="1">
        <v>1762817</v>
      </c>
    </row>
    <row r="4423" spans="1:11" x14ac:dyDescent="0.25">
      <c r="A4423" t="s">
        <v>326</v>
      </c>
      <c r="B4423" t="s">
        <v>715</v>
      </c>
      <c r="C4423" t="s">
        <v>869</v>
      </c>
      <c r="D4423" t="s">
        <v>14</v>
      </c>
      <c r="E4423">
        <v>4</v>
      </c>
      <c r="F4423" s="2">
        <f>DATE(2026,IF(Tabla1[[#This Row],[Mes de Fecha]]="Septiembre",9,10),Tabla1[[#This Row],[Día de Fecha]])</f>
        <v>46299</v>
      </c>
      <c r="G4423">
        <v>1032013463</v>
      </c>
      <c r="H4423" t="s">
        <v>716</v>
      </c>
      <c r="I4423">
        <v>28</v>
      </c>
      <c r="J4423">
        <v>0</v>
      </c>
      <c r="K4423" s="1">
        <v>1818084</v>
      </c>
    </row>
    <row r="4424" spans="1:11" x14ac:dyDescent="0.25">
      <c r="A4424" t="s">
        <v>326</v>
      </c>
      <c r="B4424" t="s">
        <v>715</v>
      </c>
      <c r="C4424" t="s">
        <v>869</v>
      </c>
      <c r="D4424" t="s">
        <v>14</v>
      </c>
      <c r="E4424">
        <v>4</v>
      </c>
      <c r="F4424" s="2">
        <f>DATE(2026,IF(Tabla1[[#This Row],[Mes de Fecha]]="Septiembre",9,10),Tabla1[[#This Row],[Día de Fecha]])</f>
        <v>46299</v>
      </c>
      <c r="G4424">
        <v>1045421676</v>
      </c>
      <c r="H4424" t="s">
        <v>717</v>
      </c>
      <c r="I4424">
        <v>29</v>
      </c>
      <c r="J4424">
        <v>0</v>
      </c>
      <c r="K4424" s="1">
        <v>1574370</v>
      </c>
    </row>
    <row r="4425" spans="1:11" x14ac:dyDescent="0.25">
      <c r="A4425" t="s">
        <v>326</v>
      </c>
      <c r="B4425" t="s">
        <v>715</v>
      </c>
      <c r="C4425" t="s">
        <v>869</v>
      </c>
      <c r="D4425" t="s">
        <v>14</v>
      </c>
      <c r="E4425">
        <v>5</v>
      </c>
      <c r="F4425" s="2">
        <f>DATE(2026,IF(Tabla1[[#This Row],[Mes de Fecha]]="Septiembre",9,10),Tabla1[[#This Row],[Día de Fecha]])</f>
        <v>46300</v>
      </c>
      <c r="I4425">
        <v>0</v>
      </c>
      <c r="J4425" s="1">
        <v>7490477</v>
      </c>
      <c r="K4425">
        <v>0</v>
      </c>
    </row>
    <row r="4426" spans="1:11" x14ac:dyDescent="0.25">
      <c r="A4426" t="s">
        <v>326</v>
      </c>
      <c r="B4426" t="s">
        <v>715</v>
      </c>
      <c r="C4426" t="s">
        <v>869</v>
      </c>
      <c r="D4426" t="s">
        <v>14</v>
      </c>
      <c r="E4426">
        <v>5</v>
      </c>
      <c r="F4426" s="2">
        <f>DATE(2026,IF(Tabla1[[#This Row],[Mes de Fecha]]="Septiembre",9,10),Tabla1[[#This Row],[Día de Fecha]])</f>
        <v>46300</v>
      </c>
      <c r="G4426">
        <v>1001022911</v>
      </c>
      <c r="H4426" t="s">
        <v>718</v>
      </c>
      <c r="I4426">
        <v>31</v>
      </c>
      <c r="J4426">
        <v>0</v>
      </c>
      <c r="K4426" s="1">
        <v>1456347</v>
      </c>
    </row>
    <row r="4427" spans="1:11" x14ac:dyDescent="0.25">
      <c r="A4427" t="s">
        <v>326</v>
      </c>
      <c r="B4427" t="s">
        <v>715</v>
      </c>
      <c r="C4427" t="s">
        <v>869</v>
      </c>
      <c r="D4427" t="s">
        <v>14</v>
      </c>
      <c r="E4427">
        <v>5</v>
      </c>
      <c r="F4427" s="2">
        <f>DATE(2026,IF(Tabla1[[#This Row],[Mes de Fecha]]="Septiembre",9,10),Tabla1[[#This Row],[Día de Fecha]])</f>
        <v>46300</v>
      </c>
      <c r="G4427">
        <v>1032013463</v>
      </c>
      <c r="H4427" t="s">
        <v>716</v>
      </c>
      <c r="I4427">
        <v>33</v>
      </c>
      <c r="J4427">
        <v>0</v>
      </c>
      <c r="K4427" s="1">
        <v>2225296</v>
      </c>
    </row>
    <row r="4428" spans="1:11" x14ac:dyDescent="0.25">
      <c r="A4428" t="s">
        <v>326</v>
      </c>
      <c r="B4428" t="s">
        <v>715</v>
      </c>
      <c r="C4428" t="s">
        <v>869</v>
      </c>
      <c r="D4428" t="s">
        <v>14</v>
      </c>
      <c r="E4428">
        <v>5</v>
      </c>
      <c r="F4428" s="2">
        <f>DATE(2026,IF(Tabla1[[#This Row],[Mes de Fecha]]="Septiembre",9,10),Tabla1[[#This Row],[Día de Fecha]])</f>
        <v>46300</v>
      </c>
      <c r="G4428">
        <v>1045421676</v>
      </c>
      <c r="H4428" t="s">
        <v>717</v>
      </c>
      <c r="I4428">
        <v>21</v>
      </c>
      <c r="J4428">
        <v>0</v>
      </c>
      <c r="K4428" s="1">
        <v>1293150</v>
      </c>
    </row>
    <row r="4429" spans="1:11" x14ac:dyDescent="0.25">
      <c r="A4429" t="s">
        <v>326</v>
      </c>
      <c r="B4429" t="s">
        <v>715</v>
      </c>
      <c r="C4429" t="s">
        <v>869</v>
      </c>
      <c r="D4429" t="s">
        <v>14</v>
      </c>
      <c r="E4429">
        <v>6</v>
      </c>
      <c r="F4429" s="2">
        <f>DATE(2026,IF(Tabla1[[#This Row],[Mes de Fecha]]="Septiembre",9,10),Tabla1[[#This Row],[Día de Fecha]])</f>
        <v>46301</v>
      </c>
      <c r="I4429">
        <v>0</v>
      </c>
      <c r="J4429" s="1">
        <v>4871413</v>
      </c>
      <c r="K4429">
        <v>0</v>
      </c>
    </row>
    <row r="4430" spans="1:11" x14ac:dyDescent="0.25">
      <c r="A4430" t="s">
        <v>326</v>
      </c>
      <c r="B4430" t="s">
        <v>715</v>
      </c>
      <c r="C4430" t="s">
        <v>869</v>
      </c>
      <c r="D4430" t="s">
        <v>14</v>
      </c>
      <c r="E4430">
        <v>6</v>
      </c>
      <c r="F4430" s="2">
        <f>DATE(2026,IF(Tabla1[[#This Row],[Mes de Fecha]]="Septiembre",9,10),Tabla1[[#This Row],[Día de Fecha]])</f>
        <v>46301</v>
      </c>
      <c r="G4430">
        <v>1001022911</v>
      </c>
      <c r="H4430" t="s">
        <v>718</v>
      </c>
      <c r="I4430">
        <v>22</v>
      </c>
      <c r="J4430">
        <v>0</v>
      </c>
      <c r="K4430" s="1">
        <v>1339330</v>
      </c>
    </row>
    <row r="4431" spans="1:11" x14ac:dyDescent="0.25">
      <c r="A4431" t="s">
        <v>326</v>
      </c>
      <c r="B4431" t="s">
        <v>715</v>
      </c>
      <c r="C4431" t="s">
        <v>869</v>
      </c>
      <c r="D4431" t="s">
        <v>14</v>
      </c>
      <c r="E4431">
        <v>6</v>
      </c>
      <c r="F4431" s="2">
        <f>DATE(2026,IF(Tabla1[[#This Row],[Mes de Fecha]]="Septiembre",9,10),Tabla1[[#This Row],[Día de Fecha]])</f>
        <v>46301</v>
      </c>
      <c r="G4431">
        <v>1007102865</v>
      </c>
      <c r="H4431" t="s">
        <v>646</v>
      </c>
      <c r="I4431">
        <v>19</v>
      </c>
      <c r="J4431">
        <v>0</v>
      </c>
      <c r="K4431" s="1">
        <v>1068849</v>
      </c>
    </row>
    <row r="4432" spans="1:11" x14ac:dyDescent="0.25">
      <c r="A4432" t="s">
        <v>326</v>
      </c>
      <c r="B4432" t="s">
        <v>715</v>
      </c>
      <c r="C4432" t="s">
        <v>869</v>
      </c>
      <c r="D4432" t="s">
        <v>14</v>
      </c>
      <c r="E4432">
        <v>6</v>
      </c>
      <c r="F4432" s="2">
        <f>DATE(2026,IF(Tabla1[[#This Row],[Mes de Fecha]]="Septiembre",9,10),Tabla1[[#This Row],[Día de Fecha]])</f>
        <v>46301</v>
      </c>
      <c r="G4432">
        <v>1032013463</v>
      </c>
      <c r="H4432" t="s">
        <v>716</v>
      </c>
      <c r="I4432">
        <v>26</v>
      </c>
      <c r="J4432">
        <v>0</v>
      </c>
      <c r="K4432" s="1">
        <v>1330589</v>
      </c>
    </row>
    <row r="4433" spans="1:11" x14ac:dyDescent="0.25">
      <c r="A4433" t="s">
        <v>326</v>
      </c>
      <c r="B4433" t="s">
        <v>715</v>
      </c>
      <c r="C4433" t="s">
        <v>869</v>
      </c>
      <c r="D4433" t="s">
        <v>14</v>
      </c>
      <c r="E4433">
        <v>6</v>
      </c>
      <c r="F4433" s="2">
        <f>DATE(2026,IF(Tabla1[[#This Row],[Mes de Fecha]]="Septiembre",9,10),Tabla1[[#This Row],[Día de Fecha]])</f>
        <v>46301</v>
      </c>
      <c r="G4433">
        <v>1045421676</v>
      </c>
      <c r="H4433" t="s">
        <v>717</v>
      </c>
      <c r="I4433">
        <v>34</v>
      </c>
      <c r="J4433">
        <v>0</v>
      </c>
      <c r="K4433" s="1">
        <v>2153235</v>
      </c>
    </row>
    <row r="4434" spans="1:11" x14ac:dyDescent="0.25">
      <c r="A4434" t="s">
        <v>326</v>
      </c>
      <c r="B4434" t="s">
        <v>715</v>
      </c>
      <c r="C4434" t="s">
        <v>869</v>
      </c>
      <c r="D4434" t="s">
        <v>14</v>
      </c>
      <c r="E4434">
        <v>7</v>
      </c>
      <c r="F4434" s="2">
        <f>DATE(2026,IF(Tabla1[[#This Row],[Mes de Fecha]]="Septiembre",9,10),Tabla1[[#This Row],[Día de Fecha]])</f>
        <v>46302</v>
      </c>
      <c r="I4434">
        <v>0</v>
      </c>
      <c r="J4434" s="1">
        <v>4833143</v>
      </c>
      <c r="K4434">
        <v>0</v>
      </c>
    </row>
    <row r="4435" spans="1:11" x14ac:dyDescent="0.25">
      <c r="A4435" t="s">
        <v>326</v>
      </c>
      <c r="B4435" t="s">
        <v>715</v>
      </c>
      <c r="C4435" t="s">
        <v>869</v>
      </c>
      <c r="D4435" t="s">
        <v>14</v>
      </c>
      <c r="E4435">
        <v>7</v>
      </c>
      <c r="F4435" s="2">
        <f>DATE(2026,IF(Tabla1[[#This Row],[Mes de Fecha]]="Septiembre",9,10),Tabla1[[#This Row],[Día de Fecha]])</f>
        <v>46302</v>
      </c>
      <c r="G4435">
        <v>1001022911</v>
      </c>
      <c r="H4435" t="s">
        <v>718</v>
      </c>
      <c r="I4435">
        <v>11</v>
      </c>
      <c r="J4435">
        <v>0</v>
      </c>
      <c r="K4435" s="1">
        <v>570925</v>
      </c>
    </row>
    <row r="4436" spans="1:11" x14ac:dyDescent="0.25">
      <c r="A4436" t="s">
        <v>326</v>
      </c>
      <c r="B4436" t="s">
        <v>715</v>
      </c>
      <c r="C4436" t="s">
        <v>869</v>
      </c>
      <c r="D4436" t="s">
        <v>14</v>
      </c>
      <c r="E4436">
        <v>7</v>
      </c>
      <c r="F4436" s="2">
        <f>DATE(2026,IF(Tabla1[[#This Row],[Mes de Fecha]]="Septiembre",9,10),Tabla1[[#This Row],[Día de Fecha]])</f>
        <v>46302</v>
      </c>
      <c r="G4436">
        <v>1007102865</v>
      </c>
      <c r="H4436" t="s">
        <v>646</v>
      </c>
      <c r="I4436">
        <v>17</v>
      </c>
      <c r="J4436">
        <v>0</v>
      </c>
      <c r="K4436" s="1">
        <v>1110545</v>
      </c>
    </row>
    <row r="4437" spans="1:11" x14ac:dyDescent="0.25">
      <c r="A4437" t="s">
        <v>326</v>
      </c>
      <c r="B4437" t="s">
        <v>715</v>
      </c>
      <c r="C4437" t="s">
        <v>869</v>
      </c>
      <c r="D4437" t="s">
        <v>14</v>
      </c>
      <c r="E4437">
        <v>7</v>
      </c>
      <c r="F4437" s="2">
        <f>DATE(2026,IF(Tabla1[[#This Row],[Mes de Fecha]]="Septiembre",9,10),Tabla1[[#This Row],[Día de Fecha]])</f>
        <v>46302</v>
      </c>
      <c r="G4437">
        <v>1032013463</v>
      </c>
      <c r="H4437" t="s">
        <v>716</v>
      </c>
      <c r="I4437">
        <v>14</v>
      </c>
      <c r="J4437">
        <v>0</v>
      </c>
      <c r="K4437" s="1">
        <v>953068</v>
      </c>
    </row>
    <row r="4438" spans="1:11" x14ac:dyDescent="0.25">
      <c r="A4438" t="s">
        <v>326</v>
      </c>
      <c r="B4438" t="s">
        <v>715</v>
      </c>
      <c r="C4438" t="s">
        <v>869</v>
      </c>
      <c r="D4438" t="s">
        <v>14</v>
      </c>
      <c r="E4438">
        <v>7</v>
      </c>
      <c r="F4438" s="2">
        <f>DATE(2026,IF(Tabla1[[#This Row],[Mes de Fecha]]="Septiembre",9,10),Tabla1[[#This Row],[Día de Fecha]])</f>
        <v>46302</v>
      </c>
      <c r="G4438">
        <v>1045421676</v>
      </c>
      <c r="H4438" t="s">
        <v>717</v>
      </c>
      <c r="I4438">
        <v>10</v>
      </c>
      <c r="J4438">
        <v>0</v>
      </c>
      <c r="K4438" s="1">
        <v>549915</v>
      </c>
    </row>
    <row r="4439" spans="1:11" x14ac:dyDescent="0.25">
      <c r="A4439" t="s">
        <v>326</v>
      </c>
      <c r="B4439" t="s">
        <v>783</v>
      </c>
      <c r="C4439" t="s">
        <v>869</v>
      </c>
      <c r="D4439" t="s">
        <v>11</v>
      </c>
      <c r="E4439">
        <v>23</v>
      </c>
      <c r="F4439" s="2">
        <f>DATE(2026,IF(Tabla1[[#This Row],[Mes de Fecha]]="Septiembre",9,10),Tabla1[[#This Row],[Día de Fecha]])</f>
        <v>46288</v>
      </c>
      <c r="I4439">
        <v>0</v>
      </c>
      <c r="J4439" s="1">
        <v>10064915</v>
      </c>
      <c r="K4439">
        <v>0</v>
      </c>
    </row>
    <row r="4440" spans="1:11" x14ac:dyDescent="0.25">
      <c r="A4440" t="s">
        <v>326</v>
      </c>
      <c r="B4440" t="s">
        <v>783</v>
      </c>
      <c r="C4440" t="s">
        <v>869</v>
      </c>
      <c r="D4440" t="s">
        <v>11</v>
      </c>
      <c r="E4440">
        <v>23</v>
      </c>
      <c r="F4440" s="2">
        <f>DATE(2026,IF(Tabla1[[#This Row],[Mes de Fecha]]="Septiembre",9,10),Tabla1[[#This Row],[Día de Fecha]])</f>
        <v>46288</v>
      </c>
      <c r="G4440">
        <v>1000660108</v>
      </c>
      <c r="H4440" t="s">
        <v>786</v>
      </c>
      <c r="I4440">
        <v>17</v>
      </c>
      <c r="J4440">
        <v>0</v>
      </c>
      <c r="K4440" s="1">
        <v>1184076</v>
      </c>
    </row>
    <row r="4441" spans="1:11" x14ac:dyDescent="0.25">
      <c r="A4441" t="s">
        <v>326</v>
      </c>
      <c r="B4441" t="s">
        <v>783</v>
      </c>
      <c r="C4441" t="s">
        <v>869</v>
      </c>
      <c r="D4441" t="s">
        <v>11</v>
      </c>
      <c r="E4441">
        <v>23</v>
      </c>
      <c r="F4441" s="2">
        <f>DATE(2026,IF(Tabla1[[#This Row],[Mes de Fecha]]="Septiembre",9,10),Tabla1[[#This Row],[Día de Fecha]])</f>
        <v>46288</v>
      </c>
      <c r="G4441">
        <v>1017223596</v>
      </c>
      <c r="H4441" t="s">
        <v>787</v>
      </c>
      <c r="I4441">
        <v>15</v>
      </c>
      <c r="J4441">
        <v>0</v>
      </c>
      <c r="K4441" s="1">
        <v>896386</v>
      </c>
    </row>
    <row r="4442" spans="1:11" x14ac:dyDescent="0.25">
      <c r="A4442" t="s">
        <v>326</v>
      </c>
      <c r="B4442" t="s">
        <v>783</v>
      </c>
      <c r="C4442" t="s">
        <v>869</v>
      </c>
      <c r="D4442" t="s">
        <v>11</v>
      </c>
      <c r="E4442">
        <v>23</v>
      </c>
      <c r="F4442" s="2">
        <f>DATE(2026,IF(Tabla1[[#This Row],[Mes de Fecha]]="Septiembre",9,10),Tabla1[[#This Row],[Día de Fecha]])</f>
        <v>46288</v>
      </c>
      <c r="G4442">
        <v>1025883071</v>
      </c>
      <c r="H4442" t="s">
        <v>784</v>
      </c>
      <c r="I4442">
        <v>36</v>
      </c>
      <c r="J4442">
        <v>0</v>
      </c>
      <c r="K4442" s="1">
        <v>2456429</v>
      </c>
    </row>
    <row r="4443" spans="1:11" x14ac:dyDescent="0.25">
      <c r="A4443" t="s">
        <v>326</v>
      </c>
      <c r="B4443" t="s">
        <v>783</v>
      </c>
      <c r="C4443" t="s">
        <v>869</v>
      </c>
      <c r="D4443" t="s">
        <v>11</v>
      </c>
      <c r="E4443">
        <v>23</v>
      </c>
      <c r="F4443" s="2">
        <f>DATE(2026,IF(Tabla1[[#This Row],[Mes de Fecha]]="Septiembre",9,10),Tabla1[[#This Row],[Día de Fecha]])</f>
        <v>46288</v>
      </c>
      <c r="G4443">
        <v>1042151904</v>
      </c>
      <c r="H4443" t="s">
        <v>785</v>
      </c>
      <c r="I4443">
        <v>12</v>
      </c>
      <c r="J4443">
        <v>0</v>
      </c>
      <c r="K4443" s="1">
        <v>970084</v>
      </c>
    </row>
    <row r="4444" spans="1:11" x14ac:dyDescent="0.25">
      <c r="A4444" t="s">
        <v>326</v>
      </c>
      <c r="B4444" t="s">
        <v>783</v>
      </c>
      <c r="C4444" t="s">
        <v>869</v>
      </c>
      <c r="D4444" t="s">
        <v>11</v>
      </c>
      <c r="E4444">
        <v>23</v>
      </c>
      <c r="F4444" s="2">
        <f>DATE(2026,IF(Tabla1[[#This Row],[Mes de Fecha]]="Septiembre",9,10),Tabla1[[#This Row],[Día de Fecha]])</f>
        <v>46288</v>
      </c>
      <c r="G4444">
        <v>1067865055</v>
      </c>
      <c r="H4444" t="s">
        <v>638</v>
      </c>
      <c r="I4444">
        <v>44</v>
      </c>
      <c r="J4444">
        <v>0</v>
      </c>
      <c r="K4444" s="1">
        <v>2775548</v>
      </c>
    </row>
    <row r="4445" spans="1:11" x14ac:dyDescent="0.25">
      <c r="A4445" t="s">
        <v>326</v>
      </c>
      <c r="B4445" t="s">
        <v>783</v>
      </c>
      <c r="C4445" t="s">
        <v>869</v>
      </c>
      <c r="D4445" t="s">
        <v>11</v>
      </c>
      <c r="E4445">
        <v>24</v>
      </c>
      <c r="F4445" s="2">
        <f>DATE(2026,IF(Tabla1[[#This Row],[Mes de Fecha]]="Septiembre",9,10),Tabla1[[#This Row],[Día de Fecha]])</f>
        <v>46289</v>
      </c>
      <c r="I4445">
        <v>0</v>
      </c>
      <c r="J4445" s="1">
        <v>15375288</v>
      </c>
      <c r="K4445">
        <v>0</v>
      </c>
    </row>
    <row r="4446" spans="1:11" x14ac:dyDescent="0.25">
      <c r="A4446" t="s">
        <v>326</v>
      </c>
      <c r="B4446" t="s">
        <v>783</v>
      </c>
      <c r="C4446" t="s">
        <v>869</v>
      </c>
      <c r="D4446" t="s">
        <v>11</v>
      </c>
      <c r="E4446">
        <v>24</v>
      </c>
      <c r="F4446" s="2">
        <f>DATE(2026,IF(Tabla1[[#This Row],[Mes de Fecha]]="Septiembre",9,10),Tabla1[[#This Row],[Día de Fecha]])</f>
        <v>46289</v>
      </c>
      <c r="G4446">
        <v>1000660108</v>
      </c>
      <c r="H4446" t="s">
        <v>786</v>
      </c>
      <c r="I4446">
        <v>18</v>
      </c>
      <c r="J4446">
        <v>0</v>
      </c>
      <c r="K4446" s="1">
        <v>877353</v>
      </c>
    </row>
    <row r="4447" spans="1:11" x14ac:dyDescent="0.25">
      <c r="A4447" t="s">
        <v>326</v>
      </c>
      <c r="B4447" t="s">
        <v>783</v>
      </c>
      <c r="C4447" t="s">
        <v>869</v>
      </c>
      <c r="D4447" t="s">
        <v>11</v>
      </c>
      <c r="E4447">
        <v>24</v>
      </c>
      <c r="F4447" s="2">
        <f>DATE(2026,IF(Tabla1[[#This Row],[Mes de Fecha]]="Septiembre",9,10),Tabla1[[#This Row],[Día de Fecha]])</f>
        <v>46289</v>
      </c>
      <c r="G4447">
        <v>1017223596</v>
      </c>
      <c r="H4447" t="s">
        <v>787</v>
      </c>
      <c r="I4447">
        <v>14</v>
      </c>
      <c r="J4447">
        <v>0</v>
      </c>
      <c r="K4447" s="1">
        <v>982522</v>
      </c>
    </row>
    <row r="4448" spans="1:11" x14ac:dyDescent="0.25">
      <c r="A4448" t="s">
        <v>326</v>
      </c>
      <c r="B4448" t="s">
        <v>783</v>
      </c>
      <c r="C4448" t="s">
        <v>869</v>
      </c>
      <c r="D4448" t="s">
        <v>11</v>
      </c>
      <c r="E4448">
        <v>24</v>
      </c>
      <c r="F4448" s="2">
        <f>DATE(2026,IF(Tabla1[[#This Row],[Mes de Fecha]]="Septiembre",9,10),Tabla1[[#This Row],[Día de Fecha]])</f>
        <v>46289</v>
      </c>
      <c r="G4448">
        <v>1025883071</v>
      </c>
      <c r="H4448" t="s">
        <v>784</v>
      </c>
      <c r="I4448">
        <v>63</v>
      </c>
      <c r="J4448">
        <v>0</v>
      </c>
      <c r="K4448" s="1">
        <v>3789289</v>
      </c>
    </row>
    <row r="4449" spans="1:11" x14ac:dyDescent="0.25">
      <c r="A4449" t="s">
        <v>326</v>
      </c>
      <c r="B4449" t="s">
        <v>783</v>
      </c>
      <c r="C4449" t="s">
        <v>869</v>
      </c>
      <c r="D4449" t="s">
        <v>11</v>
      </c>
      <c r="E4449">
        <v>24</v>
      </c>
      <c r="F4449" s="2">
        <f>DATE(2026,IF(Tabla1[[#This Row],[Mes de Fecha]]="Septiembre",9,10),Tabla1[[#This Row],[Día de Fecha]])</f>
        <v>46289</v>
      </c>
      <c r="G4449">
        <v>1042151904</v>
      </c>
      <c r="H4449" t="s">
        <v>785</v>
      </c>
      <c r="I4449">
        <v>22</v>
      </c>
      <c r="J4449">
        <v>0</v>
      </c>
      <c r="K4449" s="1">
        <v>1162857</v>
      </c>
    </row>
    <row r="4450" spans="1:11" x14ac:dyDescent="0.25">
      <c r="A4450" t="s">
        <v>326</v>
      </c>
      <c r="B4450" t="s">
        <v>783</v>
      </c>
      <c r="C4450" t="s">
        <v>869</v>
      </c>
      <c r="D4450" t="s">
        <v>11</v>
      </c>
      <c r="E4450">
        <v>24</v>
      </c>
      <c r="F4450" s="2">
        <f>DATE(2026,IF(Tabla1[[#This Row],[Mes de Fecha]]="Septiembre",9,10),Tabla1[[#This Row],[Día de Fecha]])</f>
        <v>46289</v>
      </c>
      <c r="G4450">
        <v>1067865055</v>
      </c>
      <c r="H4450" t="s">
        <v>638</v>
      </c>
      <c r="I4450">
        <v>73</v>
      </c>
      <c r="J4450">
        <v>0</v>
      </c>
      <c r="K4450" s="1">
        <v>4622859</v>
      </c>
    </row>
    <row r="4451" spans="1:11" x14ac:dyDescent="0.25">
      <c r="A4451" t="s">
        <v>326</v>
      </c>
      <c r="B4451" t="s">
        <v>783</v>
      </c>
      <c r="C4451" t="s">
        <v>869</v>
      </c>
      <c r="D4451" t="s">
        <v>11</v>
      </c>
      <c r="E4451">
        <v>25</v>
      </c>
      <c r="F4451" s="2">
        <f>DATE(2026,IF(Tabla1[[#This Row],[Mes de Fecha]]="Septiembre",9,10),Tabla1[[#This Row],[Día de Fecha]])</f>
        <v>46290</v>
      </c>
      <c r="I4451">
        <v>0</v>
      </c>
      <c r="J4451" s="1">
        <v>15341250</v>
      </c>
      <c r="K4451">
        <v>0</v>
      </c>
    </row>
    <row r="4452" spans="1:11" x14ac:dyDescent="0.25">
      <c r="A4452" t="s">
        <v>326</v>
      </c>
      <c r="B4452" t="s">
        <v>783</v>
      </c>
      <c r="C4452" t="s">
        <v>869</v>
      </c>
      <c r="D4452" t="s">
        <v>11</v>
      </c>
      <c r="E4452">
        <v>25</v>
      </c>
      <c r="F4452" s="2">
        <f>DATE(2026,IF(Tabla1[[#This Row],[Mes de Fecha]]="Septiembre",9,10),Tabla1[[#This Row],[Día de Fecha]])</f>
        <v>46290</v>
      </c>
      <c r="G4452">
        <v>1000660108</v>
      </c>
      <c r="H4452" t="s">
        <v>786</v>
      </c>
      <c r="I4452">
        <v>20</v>
      </c>
      <c r="J4452">
        <v>0</v>
      </c>
      <c r="K4452" s="1">
        <v>1494875</v>
      </c>
    </row>
    <row r="4453" spans="1:11" x14ac:dyDescent="0.25">
      <c r="A4453" t="s">
        <v>326</v>
      </c>
      <c r="B4453" t="s">
        <v>783</v>
      </c>
      <c r="C4453" t="s">
        <v>869</v>
      </c>
      <c r="D4453" t="s">
        <v>11</v>
      </c>
      <c r="E4453">
        <v>25</v>
      </c>
      <c r="F4453" s="2">
        <f>DATE(2026,IF(Tabla1[[#This Row],[Mes de Fecha]]="Septiembre",9,10),Tabla1[[#This Row],[Día de Fecha]])</f>
        <v>46290</v>
      </c>
      <c r="G4453">
        <v>1007674095</v>
      </c>
      <c r="H4453" t="s">
        <v>788</v>
      </c>
      <c r="I4453">
        <v>-1</v>
      </c>
      <c r="J4453">
        <v>0</v>
      </c>
      <c r="K4453" s="1">
        <v>-110874</v>
      </c>
    </row>
    <row r="4454" spans="1:11" x14ac:dyDescent="0.25">
      <c r="A4454" t="s">
        <v>326</v>
      </c>
      <c r="B4454" t="s">
        <v>783</v>
      </c>
      <c r="C4454" t="s">
        <v>869</v>
      </c>
      <c r="D4454" t="s">
        <v>11</v>
      </c>
      <c r="E4454">
        <v>25</v>
      </c>
      <c r="F4454" s="2">
        <f>DATE(2026,IF(Tabla1[[#This Row],[Mes de Fecha]]="Septiembre",9,10),Tabla1[[#This Row],[Día de Fecha]])</f>
        <v>46290</v>
      </c>
      <c r="G4454">
        <v>1017223596</v>
      </c>
      <c r="H4454" t="s">
        <v>787</v>
      </c>
      <c r="I4454">
        <v>18</v>
      </c>
      <c r="J4454">
        <v>0</v>
      </c>
      <c r="K4454" s="1">
        <v>1005506</v>
      </c>
    </row>
    <row r="4455" spans="1:11" x14ac:dyDescent="0.25">
      <c r="A4455" t="s">
        <v>326</v>
      </c>
      <c r="B4455" t="s">
        <v>783</v>
      </c>
      <c r="C4455" t="s">
        <v>869</v>
      </c>
      <c r="D4455" t="s">
        <v>11</v>
      </c>
      <c r="E4455">
        <v>25</v>
      </c>
      <c r="F4455" s="2">
        <f>DATE(2026,IF(Tabla1[[#This Row],[Mes de Fecha]]="Septiembre",9,10),Tabla1[[#This Row],[Día de Fecha]])</f>
        <v>46290</v>
      </c>
      <c r="G4455">
        <v>1025883071</v>
      </c>
      <c r="H4455" t="s">
        <v>784</v>
      </c>
      <c r="I4455">
        <v>69</v>
      </c>
      <c r="J4455">
        <v>0</v>
      </c>
      <c r="K4455" s="1">
        <v>4230211</v>
      </c>
    </row>
    <row r="4456" spans="1:11" x14ac:dyDescent="0.25">
      <c r="A4456" t="s">
        <v>326</v>
      </c>
      <c r="B4456" t="s">
        <v>783</v>
      </c>
      <c r="C4456" t="s">
        <v>869</v>
      </c>
      <c r="D4456" t="s">
        <v>11</v>
      </c>
      <c r="E4456">
        <v>25</v>
      </c>
      <c r="F4456" s="2">
        <f>DATE(2026,IF(Tabla1[[#This Row],[Mes de Fecha]]="Septiembre",9,10),Tabla1[[#This Row],[Día de Fecha]])</f>
        <v>46290</v>
      </c>
      <c r="G4456">
        <v>1040745636</v>
      </c>
      <c r="H4456" t="s">
        <v>757</v>
      </c>
      <c r="I4456">
        <v>-1</v>
      </c>
      <c r="J4456">
        <v>0</v>
      </c>
      <c r="K4456" s="1">
        <v>-37773</v>
      </c>
    </row>
    <row r="4457" spans="1:11" x14ac:dyDescent="0.25">
      <c r="A4457" t="s">
        <v>326</v>
      </c>
      <c r="B4457" t="s">
        <v>783</v>
      </c>
      <c r="C4457" t="s">
        <v>869</v>
      </c>
      <c r="D4457" t="s">
        <v>11</v>
      </c>
      <c r="E4457">
        <v>25</v>
      </c>
      <c r="F4457" s="2">
        <f>DATE(2026,IF(Tabla1[[#This Row],[Mes de Fecha]]="Septiembre",9,10),Tabla1[[#This Row],[Día de Fecha]])</f>
        <v>46290</v>
      </c>
      <c r="G4457">
        <v>1042151904</v>
      </c>
      <c r="H4457" t="s">
        <v>785</v>
      </c>
      <c r="I4457">
        <v>36</v>
      </c>
      <c r="J4457">
        <v>0</v>
      </c>
      <c r="K4457" s="1">
        <v>2212523</v>
      </c>
    </row>
    <row r="4458" spans="1:11" x14ac:dyDescent="0.25">
      <c r="A4458" t="s">
        <v>326</v>
      </c>
      <c r="B4458" t="s">
        <v>783</v>
      </c>
      <c r="C4458" t="s">
        <v>869</v>
      </c>
      <c r="D4458" t="s">
        <v>11</v>
      </c>
      <c r="E4458">
        <v>25</v>
      </c>
      <c r="F4458" s="2">
        <f>DATE(2026,IF(Tabla1[[#This Row],[Mes de Fecha]]="Septiembre",9,10),Tabla1[[#This Row],[Día de Fecha]])</f>
        <v>46290</v>
      </c>
      <c r="G4458">
        <v>1067865055</v>
      </c>
      <c r="H4458" t="s">
        <v>638</v>
      </c>
      <c r="I4458">
        <v>81</v>
      </c>
      <c r="J4458">
        <v>0</v>
      </c>
      <c r="K4458" s="1">
        <v>5473410</v>
      </c>
    </row>
    <row r="4459" spans="1:11" x14ac:dyDescent="0.25">
      <c r="A4459" t="s">
        <v>326</v>
      </c>
      <c r="B4459" t="s">
        <v>783</v>
      </c>
      <c r="C4459" t="s">
        <v>869</v>
      </c>
      <c r="D4459" t="s">
        <v>11</v>
      </c>
      <c r="E4459">
        <v>26</v>
      </c>
      <c r="F4459" s="2">
        <f>DATE(2026,IF(Tabla1[[#This Row],[Mes de Fecha]]="Septiembre",9,10),Tabla1[[#This Row],[Día de Fecha]])</f>
        <v>46291</v>
      </c>
      <c r="I4459">
        <v>0</v>
      </c>
      <c r="J4459" s="1">
        <v>22047584</v>
      </c>
      <c r="K4459">
        <v>0</v>
      </c>
    </row>
    <row r="4460" spans="1:11" x14ac:dyDescent="0.25">
      <c r="A4460" t="s">
        <v>326</v>
      </c>
      <c r="B4460" t="s">
        <v>783</v>
      </c>
      <c r="C4460" t="s">
        <v>869</v>
      </c>
      <c r="D4460" t="s">
        <v>11</v>
      </c>
      <c r="E4460">
        <v>26</v>
      </c>
      <c r="F4460" s="2">
        <f>DATE(2026,IF(Tabla1[[#This Row],[Mes de Fecha]]="Septiembre",9,10),Tabla1[[#This Row],[Día de Fecha]])</f>
        <v>46291</v>
      </c>
      <c r="G4460">
        <v>1000660108</v>
      </c>
      <c r="H4460" t="s">
        <v>786</v>
      </c>
      <c r="I4460">
        <v>30</v>
      </c>
      <c r="J4460">
        <v>0</v>
      </c>
      <c r="K4460" s="1">
        <v>1937731</v>
      </c>
    </row>
    <row r="4461" spans="1:11" x14ac:dyDescent="0.25">
      <c r="A4461" t="s">
        <v>326</v>
      </c>
      <c r="B4461" t="s">
        <v>783</v>
      </c>
      <c r="C4461" t="s">
        <v>869</v>
      </c>
      <c r="D4461" t="s">
        <v>11</v>
      </c>
      <c r="E4461">
        <v>26</v>
      </c>
      <c r="F4461" s="2">
        <f>DATE(2026,IF(Tabla1[[#This Row],[Mes de Fecha]]="Septiembre",9,10),Tabla1[[#This Row],[Día de Fecha]])</f>
        <v>46291</v>
      </c>
      <c r="G4461">
        <v>1017223596</v>
      </c>
      <c r="H4461" t="s">
        <v>787</v>
      </c>
      <c r="I4461">
        <v>31</v>
      </c>
      <c r="J4461">
        <v>0</v>
      </c>
      <c r="K4461" s="1">
        <v>2057524</v>
      </c>
    </row>
    <row r="4462" spans="1:11" x14ac:dyDescent="0.25">
      <c r="A4462" t="s">
        <v>326</v>
      </c>
      <c r="B4462" t="s">
        <v>783</v>
      </c>
      <c r="C4462" t="s">
        <v>869</v>
      </c>
      <c r="D4462" t="s">
        <v>11</v>
      </c>
      <c r="E4462">
        <v>26</v>
      </c>
      <c r="F4462" s="2">
        <f>DATE(2026,IF(Tabla1[[#This Row],[Mes de Fecha]]="Septiembre",9,10),Tabla1[[#This Row],[Día de Fecha]])</f>
        <v>46291</v>
      </c>
      <c r="G4462">
        <v>1025883071</v>
      </c>
      <c r="H4462" t="s">
        <v>784</v>
      </c>
      <c r="I4462">
        <v>115</v>
      </c>
      <c r="J4462">
        <v>0</v>
      </c>
      <c r="K4462" s="1">
        <v>7118742</v>
      </c>
    </row>
    <row r="4463" spans="1:11" x14ac:dyDescent="0.25">
      <c r="A4463" t="s">
        <v>326</v>
      </c>
      <c r="B4463" t="s">
        <v>783</v>
      </c>
      <c r="C4463" t="s">
        <v>869</v>
      </c>
      <c r="D4463" t="s">
        <v>11</v>
      </c>
      <c r="E4463">
        <v>26</v>
      </c>
      <c r="F4463" s="2">
        <f>DATE(2026,IF(Tabla1[[#This Row],[Mes de Fecha]]="Septiembre",9,10),Tabla1[[#This Row],[Día de Fecha]])</f>
        <v>46291</v>
      </c>
      <c r="G4463">
        <v>1042151904</v>
      </c>
      <c r="H4463" t="s">
        <v>785</v>
      </c>
      <c r="I4463">
        <v>29</v>
      </c>
      <c r="J4463">
        <v>0</v>
      </c>
      <c r="K4463" s="1">
        <v>1769793</v>
      </c>
    </row>
    <row r="4464" spans="1:11" x14ac:dyDescent="0.25">
      <c r="A4464" t="s">
        <v>326</v>
      </c>
      <c r="B4464" t="s">
        <v>783</v>
      </c>
      <c r="C4464" t="s">
        <v>869</v>
      </c>
      <c r="D4464" t="s">
        <v>11</v>
      </c>
      <c r="E4464">
        <v>26</v>
      </c>
      <c r="F4464" s="2">
        <f>DATE(2026,IF(Tabla1[[#This Row],[Mes de Fecha]]="Septiembre",9,10),Tabla1[[#This Row],[Día de Fecha]])</f>
        <v>46291</v>
      </c>
      <c r="G4464">
        <v>1067865055</v>
      </c>
      <c r="H4464" t="s">
        <v>638</v>
      </c>
      <c r="I4464">
        <v>123</v>
      </c>
      <c r="J4464">
        <v>0</v>
      </c>
      <c r="K4464" s="1">
        <v>7782320</v>
      </c>
    </row>
    <row r="4465" spans="1:11" x14ac:dyDescent="0.25">
      <c r="A4465" t="s">
        <v>326</v>
      </c>
      <c r="B4465" t="s">
        <v>783</v>
      </c>
      <c r="C4465" t="s">
        <v>869</v>
      </c>
      <c r="D4465" t="s">
        <v>11</v>
      </c>
      <c r="E4465">
        <v>27</v>
      </c>
      <c r="F4465" s="2">
        <f>DATE(2026,IF(Tabla1[[#This Row],[Mes de Fecha]]="Septiembre",9,10),Tabla1[[#This Row],[Día de Fecha]])</f>
        <v>46292</v>
      </c>
      <c r="I4465">
        <v>0</v>
      </c>
      <c r="J4465" s="1">
        <v>17466123</v>
      </c>
      <c r="K4465">
        <v>0</v>
      </c>
    </row>
    <row r="4466" spans="1:11" x14ac:dyDescent="0.25">
      <c r="A4466" t="s">
        <v>326</v>
      </c>
      <c r="B4466" t="s">
        <v>783</v>
      </c>
      <c r="C4466" t="s">
        <v>869</v>
      </c>
      <c r="D4466" t="s">
        <v>11</v>
      </c>
      <c r="E4466">
        <v>27</v>
      </c>
      <c r="F4466" s="2">
        <f>DATE(2026,IF(Tabla1[[#This Row],[Mes de Fecha]]="Septiembre",9,10),Tabla1[[#This Row],[Día de Fecha]])</f>
        <v>46292</v>
      </c>
      <c r="G4466">
        <v>1000660108</v>
      </c>
      <c r="H4466" t="s">
        <v>786</v>
      </c>
      <c r="I4466">
        <v>28</v>
      </c>
      <c r="J4466">
        <v>0</v>
      </c>
      <c r="K4466" s="1">
        <v>1885377</v>
      </c>
    </row>
    <row r="4467" spans="1:11" x14ac:dyDescent="0.25">
      <c r="A4467" t="s">
        <v>326</v>
      </c>
      <c r="B4467" t="s">
        <v>783</v>
      </c>
      <c r="C4467" t="s">
        <v>869</v>
      </c>
      <c r="D4467" t="s">
        <v>11</v>
      </c>
      <c r="E4467">
        <v>27</v>
      </c>
      <c r="F4467" s="2">
        <f>DATE(2026,IF(Tabla1[[#This Row],[Mes de Fecha]]="Septiembre",9,10),Tabla1[[#This Row],[Día de Fecha]])</f>
        <v>46292</v>
      </c>
      <c r="G4467">
        <v>1007222843</v>
      </c>
      <c r="H4467" t="s">
        <v>637</v>
      </c>
      <c r="I4467">
        <v>-1</v>
      </c>
      <c r="J4467">
        <v>0</v>
      </c>
      <c r="K4467" s="1">
        <v>-117563</v>
      </c>
    </row>
    <row r="4468" spans="1:11" x14ac:dyDescent="0.25">
      <c r="A4468" t="s">
        <v>326</v>
      </c>
      <c r="B4468" t="s">
        <v>783</v>
      </c>
      <c r="C4468" t="s">
        <v>869</v>
      </c>
      <c r="D4468" t="s">
        <v>11</v>
      </c>
      <c r="E4468">
        <v>27</v>
      </c>
      <c r="F4468" s="2">
        <f>DATE(2026,IF(Tabla1[[#This Row],[Mes de Fecha]]="Septiembre",9,10),Tabla1[[#This Row],[Día de Fecha]])</f>
        <v>46292</v>
      </c>
      <c r="G4468">
        <v>1017223596</v>
      </c>
      <c r="H4468" t="s">
        <v>787</v>
      </c>
      <c r="I4468">
        <v>34</v>
      </c>
      <c r="J4468">
        <v>0</v>
      </c>
      <c r="K4468" s="1">
        <v>2246389</v>
      </c>
    </row>
    <row r="4469" spans="1:11" x14ac:dyDescent="0.25">
      <c r="A4469" t="s">
        <v>326</v>
      </c>
      <c r="B4469" t="s">
        <v>783</v>
      </c>
      <c r="C4469" t="s">
        <v>869</v>
      </c>
      <c r="D4469" t="s">
        <v>11</v>
      </c>
      <c r="E4469">
        <v>27</v>
      </c>
      <c r="F4469" s="2">
        <f>DATE(2026,IF(Tabla1[[#This Row],[Mes de Fecha]]="Septiembre",9,10),Tabla1[[#This Row],[Día de Fecha]])</f>
        <v>46292</v>
      </c>
      <c r="G4469">
        <v>1025883071</v>
      </c>
      <c r="H4469" t="s">
        <v>784</v>
      </c>
      <c r="I4469">
        <v>91</v>
      </c>
      <c r="J4469">
        <v>0</v>
      </c>
      <c r="K4469" s="1">
        <v>5315168</v>
      </c>
    </row>
    <row r="4470" spans="1:11" x14ac:dyDescent="0.25">
      <c r="A4470" t="s">
        <v>326</v>
      </c>
      <c r="B4470" t="s">
        <v>783</v>
      </c>
      <c r="C4470" t="s">
        <v>869</v>
      </c>
      <c r="D4470" t="s">
        <v>11</v>
      </c>
      <c r="E4470">
        <v>27</v>
      </c>
      <c r="F4470" s="2">
        <f>DATE(2026,IF(Tabla1[[#This Row],[Mes de Fecha]]="Septiembre",9,10),Tabla1[[#This Row],[Día de Fecha]])</f>
        <v>46292</v>
      </c>
      <c r="G4470">
        <v>1042151904</v>
      </c>
      <c r="H4470" t="s">
        <v>785</v>
      </c>
      <c r="I4470">
        <v>51</v>
      </c>
      <c r="J4470">
        <v>0</v>
      </c>
      <c r="K4470" s="1">
        <v>3220548</v>
      </c>
    </row>
    <row r="4471" spans="1:11" x14ac:dyDescent="0.25">
      <c r="A4471" t="s">
        <v>326</v>
      </c>
      <c r="B4471" t="s">
        <v>783</v>
      </c>
      <c r="C4471" t="s">
        <v>869</v>
      </c>
      <c r="D4471" t="s">
        <v>11</v>
      </c>
      <c r="E4471">
        <v>27</v>
      </c>
      <c r="F4471" s="2">
        <f>DATE(2026,IF(Tabla1[[#This Row],[Mes de Fecha]]="Septiembre",9,10),Tabla1[[#This Row],[Día de Fecha]])</f>
        <v>46292</v>
      </c>
      <c r="G4471">
        <v>1067865055</v>
      </c>
      <c r="H4471" t="s">
        <v>638</v>
      </c>
      <c r="I4471">
        <v>110</v>
      </c>
      <c r="J4471">
        <v>0</v>
      </c>
      <c r="K4471" s="1">
        <v>7390093</v>
      </c>
    </row>
    <row r="4472" spans="1:11" x14ac:dyDescent="0.25">
      <c r="A4472" t="s">
        <v>326</v>
      </c>
      <c r="B4472" t="s">
        <v>783</v>
      </c>
      <c r="C4472" t="s">
        <v>869</v>
      </c>
      <c r="D4472" t="s">
        <v>11</v>
      </c>
      <c r="E4472">
        <v>28</v>
      </c>
      <c r="F4472" s="2">
        <f>DATE(2026,IF(Tabla1[[#This Row],[Mes de Fecha]]="Septiembre",9,10),Tabla1[[#This Row],[Día de Fecha]])</f>
        <v>46293</v>
      </c>
      <c r="I4472">
        <v>0</v>
      </c>
      <c r="J4472" s="1">
        <v>9612637</v>
      </c>
      <c r="K4472">
        <v>0</v>
      </c>
    </row>
    <row r="4473" spans="1:11" x14ac:dyDescent="0.25">
      <c r="A4473" t="s">
        <v>326</v>
      </c>
      <c r="B4473" t="s">
        <v>783</v>
      </c>
      <c r="C4473" t="s">
        <v>869</v>
      </c>
      <c r="D4473" t="s">
        <v>11</v>
      </c>
      <c r="E4473">
        <v>28</v>
      </c>
      <c r="F4473" s="2">
        <f>DATE(2026,IF(Tabla1[[#This Row],[Mes de Fecha]]="Septiembre",9,10),Tabla1[[#This Row],[Día de Fecha]])</f>
        <v>46293</v>
      </c>
      <c r="G4473">
        <v>1000660108</v>
      </c>
      <c r="H4473" t="s">
        <v>786</v>
      </c>
      <c r="I4473">
        <v>10</v>
      </c>
      <c r="J4473">
        <v>0</v>
      </c>
      <c r="K4473" s="1">
        <v>587732</v>
      </c>
    </row>
    <row r="4474" spans="1:11" x14ac:dyDescent="0.25">
      <c r="A4474" t="s">
        <v>326</v>
      </c>
      <c r="B4474" t="s">
        <v>783</v>
      </c>
      <c r="C4474" t="s">
        <v>869</v>
      </c>
      <c r="D4474" t="s">
        <v>11</v>
      </c>
      <c r="E4474">
        <v>28</v>
      </c>
      <c r="F4474" s="2">
        <f>DATE(2026,IF(Tabla1[[#This Row],[Mes de Fecha]]="Septiembre",9,10),Tabla1[[#This Row],[Día de Fecha]])</f>
        <v>46293</v>
      </c>
      <c r="G4474">
        <v>1017223596</v>
      </c>
      <c r="H4474" t="s">
        <v>787</v>
      </c>
      <c r="I4474">
        <v>11</v>
      </c>
      <c r="J4474">
        <v>0</v>
      </c>
      <c r="K4474" s="1">
        <v>722227</v>
      </c>
    </row>
    <row r="4475" spans="1:11" x14ac:dyDescent="0.25">
      <c r="A4475" t="s">
        <v>326</v>
      </c>
      <c r="B4475" t="s">
        <v>783</v>
      </c>
      <c r="C4475" t="s">
        <v>869</v>
      </c>
      <c r="D4475" t="s">
        <v>11</v>
      </c>
      <c r="E4475">
        <v>28</v>
      </c>
      <c r="F4475" s="2">
        <f>DATE(2026,IF(Tabla1[[#This Row],[Mes de Fecha]]="Septiembre",9,10),Tabla1[[#This Row],[Día de Fecha]])</f>
        <v>46293</v>
      </c>
      <c r="G4475">
        <v>1025883071</v>
      </c>
      <c r="H4475" t="s">
        <v>784</v>
      </c>
      <c r="I4475">
        <v>37</v>
      </c>
      <c r="J4475">
        <v>0</v>
      </c>
      <c r="K4475" s="1">
        <v>2384958</v>
      </c>
    </row>
    <row r="4476" spans="1:11" x14ac:dyDescent="0.25">
      <c r="A4476" t="s">
        <v>326</v>
      </c>
      <c r="B4476" t="s">
        <v>783</v>
      </c>
      <c r="C4476" t="s">
        <v>869</v>
      </c>
      <c r="D4476" t="s">
        <v>11</v>
      </c>
      <c r="E4476">
        <v>28</v>
      </c>
      <c r="F4476" s="2">
        <f>DATE(2026,IF(Tabla1[[#This Row],[Mes de Fecha]]="Septiembre",9,10),Tabla1[[#This Row],[Día de Fecha]])</f>
        <v>46293</v>
      </c>
      <c r="G4476">
        <v>1042151904</v>
      </c>
      <c r="H4476" t="s">
        <v>785</v>
      </c>
      <c r="I4476">
        <v>10</v>
      </c>
      <c r="J4476">
        <v>0</v>
      </c>
      <c r="K4476" s="1">
        <v>604623</v>
      </c>
    </row>
    <row r="4477" spans="1:11" x14ac:dyDescent="0.25">
      <c r="A4477" t="s">
        <v>326</v>
      </c>
      <c r="B4477" t="s">
        <v>783</v>
      </c>
      <c r="C4477" t="s">
        <v>869</v>
      </c>
      <c r="D4477" t="s">
        <v>11</v>
      </c>
      <c r="E4477">
        <v>28</v>
      </c>
      <c r="F4477" s="2">
        <f>DATE(2026,IF(Tabla1[[#This Row],[Mes de Fecha]]="Septiembre",9,10),Tabla1[[#This Row],[Día de Fecha]])</f>
        <v>46293</v>
      </c>
      <c r="G4477">
        <v>1067865055</v>
      </c>
      <c r="H4477" t="s">
        <v>638</v>
      </c>
      <c r="I4477">
        <v>37</v>
      </c>
      <c r="J4477">
        <v>0</v>
      </c>
      <c r="K4477" s="1">
        <v>2199750</v>
      </c>
    </row>
    <row r="4478" spans="1:11" x14ac:dyDescent="0.25">
      <c r="A4478" t="s">
        <v>326</v>
      </c>
      <c r="B4478" t="s">
        <v>783</v>
      </c>
      <c r="C4478" t="s">
        <v>869</v>
      </c>
      <c r="D4478" t="s">
        <v>11</v>
      </c>
      <c r="E4478">
        <v>29</v>
      </c>
      <c r="F4478" s="2">
        <f>DATE(2026,IF(Tabla1[[#This Row],[Mes de Fecha]]="Septiembre",9,10),Tabla1[[#This Row],[Día de Fecha]])</f>
        <v>46294</v>
      </c>
      <c r="I4478">
        <v>0</v>
      </c>
      <c r="J4478" s="1">
        <v>10268178</v>
      </c>
      <c r="K4478">
        <v>0</v>
      </c>
    </row>
    <row r="4479" spans="1:11" x14ac:dyDescent="0.25">
      <c r="A4479" t="s">
        <v>326</v>
      </c>
      <c r="B4479" t="s">
        <v>783</v>
      </c>
      <c r="C4479" t="s">
        <v>869</v>
      </c>
      <c r="D4479" t="s">
        <v>11</v>
      </c>
      <c r="E4479">
        <v>29</v>
      </c>
      <c r="F4479" s="2">
        <f>DATE(2026,IF(Tabla1[[#This Row],[Mes de Fecha]]="Septiembre",9,10),Tabla1[[#This Row],[Día de Fecha]])</f>
        <v>46294</v>
      </c>
      <c r="G4479">
        <v>1000660108</v>
      </c>
      <c r="H4479" t="s">
        <v>786</v>
      </c>
      <c r="I4479">
        <v>19</v>
      </c>
      <c r="J4479">
        <v>0</v>
      </c>
      <c r="K4479" s="1">
        <v>1156683</v>
      </c>
    </row>
    <row r="4480" spans="1:11" x14ac:dyDescent="0.25">
      <c r="A4480" t="s">
        <v>326</v>
      </c>
      <c r="B4480" t="s">
        <v>783</v>
      </c>
      <c r="C4480" t="s">
        <v>869</v>
      </c>
      <c r="D4480" t="s">
        <v>11</v>
      </c>
      <c r="E4480">
        <v>29</v>
      </c>
      <c r="F4480" s="2">
        <f>DATE(2026,IF(Tabla1[[#This Row],[Mes de Fecha]]="Septiembre",9,10),Tabla1[[#This Row],[Día de Fecha]])</f>
        <v>46294</v>
      </c>
      <c r="G4480">
        <v>1017223596</v>
      </c>
      <c r="H4480" t="s">
        <v>787</v>
      </c>
      <c r="I4480">
        <v>8</v>
      </c>
      <c r="J4480">
        <v>0</v>
      </c>
      <c r="K4480" s="1">
        <v>537437</v>
      </c>
    </row>
    <row r="4481" spans="1:11" x14ac:dyDescent="0.25">
      <c r="A4481" t="s">
        <v>326</v>
      </c>
      <c r="B4481" t="s">
        <v>783</v>
      </c>
      <c r="C4481" t="s">
        <v>869</v>
      </c>
      <c r="D4481" t="s">
        <v>11</v>
      </c>
      <c r="E4481">
        <v>29</v>
      </c>
      <c r="F4481" s="2">
        <f>DATE(2026,IF(Tabla1[[#This Row],[Mes de Fecha]]="Septiembre",9,10),Tabla1[[#This Row],[Día de Fecha]])</f>
        <v>46294</v>
      </c>
      <c r="G4481">
        <v>1025883071</v>
      </c>
      <c r="H4481" t="s">
        <v>784</v>
      </c>
      <c r="I4481">
        <v>33</v>
      </c>
      <c r="J4481">
        <v>0</v>
      </c>
      <c r="K4481" s="1">
        <v>2074119</v>
      </c>
    </row>
    <row r="4482" spans="1:11" x14ac:dyDescent="0.25">
      <c r="A4482" t="s">
        <v>326</v>
      </c>
      <c r="B4482" t="s">
        <v>783</v>
      </c>
      <c r="C4482" t="s">
        <v>869</v>
      </c>
      <c r="D4482" t="s">
        <v>11</v>
      </c>
      <c r="E4482">
        <v>29</v>
      </c>
      <c r="F4482" s="2">
        <f>DATE(2026,IF(Tabla1[[#This Row],[Mes de Fecha]]="Septiembre",9,10),Tabla1[[#This Row],[Día de Fecha]])</f>
        <v>46294</v>
      </c>
      <c r="G4482">
        <v>1042151904</v>
      </c>
      <c r="H4482" t="s">
        <v>785</v>
      </c>
      <c r="I4482">
        <v>13</v>
      </c>
      <c r="J4482">
        <v>0</v>
      </c>
      <c r="K4482" s="1">
        <v>864832</v>
      </c>
    </row>
    <row r="4483" spans="1:11" x14ac:dyDescent="0.25">
      <c r="A4483" t="s">
        <v>326</v>
      </c>
      <c r="B4483" t="s">
        <v>783</v>
      </c>
      <c r="C4483" t="s">
        <v>869</v>
      </c>
      <c r="D4483" t="s">
        <v>11</v>
      </c>
      <c r="E4483">
        <v>29</v>
      </c>
      <c r="F4483" s="2">
        <f>DATE(2026,IF(Tabla1[[#This Row],[Mes de Fecha]]="Septiembre",9,10),Tabla1[[#This Row],[Día de Fecha]])</f>
        <v>46294</v>
      </c>
      <c r="G4483">
        <v>1067865055</v>
      </c>
      <c r="H4483" t="s">
        <v>638</v>
      </c>
      <c r="I4483">
        <v>33</v>
      </c>
      <c r="J4483">
        <v>0</v>
      </c>
      <c r="K4483" s="1">
        <v>2030045</v>
      </c>
    </row>
    <row r="4484" spans="1:11" x14ac:dyDescent="0.25">
      <c r="A4484" t="s">
        <v>326</v>
      </c>
      <c r="B4484" t="s">
        <v>783</v>
      </c>
      <c r="C4484" t="s">
        <v>869</v>
      </c>
      <c r="D4484" t="s">
        <v>11</v>
      </c>
      <c r="E4484">
        <v>30</v>
      </c>
      <c r="F4484" s="2">
        <f>DATE(2026,IF(Tabla1[[#This Row],[Mes de Fecha]]="Septiembre",9,10),Tabla1[[#This Row],[Día de Fecha]])</f>
        <v>46295</v>
      </c>
      <c r="I4484">
        <v>0</v>
      </c>
      <c r="J4484" s="1">
        <v>10607211</v>
      </c>
      <c r="K4484">
        <v>0</v>
      </c>
    </row>
    <row r="4485" spans="1:11" x14ac:dyDescent="0.25">
      <c r="A4485" t="s">
        <v>326</v>
      </c>
      <c r="B4485" t="s">
        <v>783</v>
      </c>
      <c r="C4485" t="s">
        <v>869</v>
      </c>
      <c r="D4485" t="s">
        <v>11</v>
      </c>
      <c r="E4485">
        <v>30</v>
      </c>
      <c r="F4485" s="2">
        <f>DATE(2026,IF(Tabla1[[#This Row],[Mes de Fecha]]="Septiembre",9,10),Tabla1[[#This Row],[Día de Fecha]])</f>
        <v>46295</v>
      </c>
      <c r="G4485">
        <v>1000660108</v>
      </c>
      <c r="H4485" t="s">
        <v>786</v>
      </c>
      <c r="I4485">
        <v>13</v>
      </c>
      <c r="J4485">
        <v>0</v>
      </c>
      <c r="K4485" s="1">
        <v>633867</v>
      </c>
    </row>
    <row r="4486" spans="1:11" x14ac:dyDescent="0.25">
      <c r="A4486" t="s">
        <v>326</v>
      </c>
      <c r="B4486" t="s">
        <v>783</v>
      </c>
      <c r="C4486" t="s">
        <v>869</v>
      </c>
      <c r="D4486" t="s">
        <v>11</v>
      </c>
      <c r="E4486">
        <v>30</v>
      </c>
      <c r="F4486" s="2">
        <f>DATE(2026,IF(Tabla1[[#This Row],[Mes de Fecha]]="Septiembre",9,10),Tabla1[[#This Row],[Día de Fecha]])</f>
        <v>46295</v>
      </c>
      <c r="G4486">
        <v>1017223596</v>
      </c>
      <c r="H4486" t="s">
        <v>787</v>
      </c>
      <c r="I4486">
        <v>12</v>
      </c>
      <c r="J4486">
        <v>0</v>
      </c>
      <c r="K4486" s="1">
        <v>780842</v>
      </c>
    </row>
    <row r="4487" spans="1:11" x14ac:dyDescent="0.25">
      <c r="A4487" t="s">
        <v>326</v>
      </c>
      <c r="B4487" t="s">
        <v>783</v>
      </c>
      <c r="C4487" t="s">
        <v>869</v>
      </c>
      <c r="D4487" t="s">
        <v>11</v>
      </c>
      <c r="E4487">
        <v>30</v>
      </c>
      <c r="F4487" s="2">
        <f>DATE(2026,IF(Tabla1[[#This Row],[Mes de Fecha]]="Septiembre",9,10),Tabla1[[#This Row],[Día de Fecha]])</f>
        <v>46295</v>
      </c>
      <c r="G4487">
        <v>1025883071</v>
      </c>
      <c r="H4487" t="s">
        <v>784</v>
      </c>
      <c r="I4487">
        <v>41</v>
      </c>
      <c r="J4487">
        <v>0</v>
      </c>
      <c r="K4487" s="1">
        <v>2073655</v>
      </c>
    </row>
    <row r="4488" spans="1:11" x14ac:dyDescent="0.25">
      <c r="A4488" t="s">
        <v>326</v>
      </c>
      <c r="B4488" t="s">
        <v>783</v>
      </c>
      <c r="C4488" t="s">
        <v>869</v>
      </c>
      <c r="D4488" t="s">
        <v>11</v>
      </c>
      <c r="E4488">
        <v>30</v>
      </c>
      <c r="F4488" s="2">
        <f>DATE(2026,IF(Tabla1[[#This Row],[Mes de Fecha]]="Septiembre",9,10),Tabla1[[#This Row],[Día de Fecha]])</f>
        <v>46295</v>
      </c>
      <c r="G4488">
        <v>1040745636</v>
      </c>
      <c r="H4488" t="s">
        <v>757</v>
      </c>
      <c r="I4488">
        <v>-1</v>
      </c>
      <c r="J4488">
        <v>0</v>
      </c>
      <c r="K4488" s="1">
        <v>-41975</v>
      </c>
    </row>
    <row r="4489" spans="1:11" x14ac:dyDescent="0.25">
      <c r="A4489" t="s">
        <v>326</v>
      </c>
      <c r="B4489" t="s">
        <v>783</v>
      </c>
      <c r="C4489" t="s">
        <v>869</v>
      </c>
      <c r="D4489" t="s">
        <v>11</v>
      </c>
      <c r="E4489">
        <v>30</v>
      </c>
      <c r="F4489" s="2">
        <f>DATE(2026,IF(Tabla1[[#This Row],[Mes de Fecha]]="Septiembre",9,10),Tabla1[[#This Row],[Día de Fecha]])</f>
        <v>46295</v>
      </c>
      <c r="G4489">
        <v>1042151904</v>
      </c>
      <c r="H4489" t="s">
        <v>785</v>
      </c>
      <c r="I4489">
        <v>9</v>
      </c>
      <c r="J4489">
        <v>0</v>
      </c>
      <c r="K4489" s="1">
        <v>650799</v>
      </c>
    </row>
    <row r="4490" spans="1:11" x14ac:dyDescent="0.25">
      <c r="A4490" t="s">
        <v>326</v>
      </c>
      <c r="B4490" t="s">
        <v>783</v>
      </c>
      <c r="C4490" t="s">
        <v>869</v>
      </c>
      <c r="D4490" t="s">
        <v>11</v>
      </c>
      <c r="E4490">
        <v>30</v>
      </c>
      <c r="F4490" s="2">
        <f>DATE(2026,IF(Tabla1[[#This Row],[Mes de Fecha]]="Septiembre",9,10),Tabla1[[#This Row],[Día de Fecha]])</f>
        <v>46295</v>
      </c>
      <c r="G4490">
        <v>1067865055</v>
      </c>
      <c r="H4490" t="s">
        <v>638</v>
      </c>
      <c r="I4490">
        <v>59</v>
      </c>
      <c r="J4490">
        <v>0</v>
      </c>
      <c r="K4490" s="1">
        <v>3669584</v>
      </c>
    </row>
    <row r="4491" spans="1:11" x14ac:dyDescent="0.25">
      <c r="A4491" t="s">
        <v>326</v>
      </c>
      <c r="B4491" t="s">
        <v>783</v>
      </c>
      <c r="C4491" t="s">
        <v>869</v>
      </c>
      <c r="D4491" t="s">
        <v>14</v>
      </c>
      <c r="E4491">
        <v>1</v>
      </c>
      <c r="F4491" s="2">
        <f>DATE(2026,IF(Tabla1[[#This Row],[Mes de Fecha]]="Septiembre",9,10),Tabla1[[#This Row],[Día de Fecha]])</f>
        <v>46296</v>
      </c>
      <c r="I4491">
        <v>0</v>
      </c>
      <c r="J4491" s="1">
        <v>8510033</v>
      </c>
      <c r="K4491">
        <v>0</v>
      </c>
    </row>
    <row r="4492" spans="1:11" x14ac:dyDescent="0.25">
      <c r="A4492" t="s">
        <v>326</v>
      </c>
      <c r="B4492" t="s">
        <v>783</v>
      </c>
      <c r="C4492" t="s">
        <v>869</v>
      </c>
      <c r="D4492" t="s">
        <v>14</v>
      </c>
      <c r="E4492">
        <v>1</v>
      </c>
      <c r="F4492" s="2">
        <f>DATE(2026,IF(Tabla1[[#This Row],[Mes de Fecha]]="Septiembre",9,10),Tabla1[[#This Row],[Día de Fecha]])</f>
        <v>46296</v>
      </c>
      <c r="G4492">
        <v>1000660108</v>
      </c>
      <c r="H4492" t="s">
        <v>786</v>
      </c>
      <c r="I4492">
        <v>21</v>
      </c>
      <c r="J4492">
        <v>0</v>
      </c>
      <c r="K4492" s="1">
        <v>1116555</v>
      </c>
    </row>
    <row r="4493" spans="1:11" x14ac:dyDescent="0.25">
      <c r="A4493" t="s">
        <v>326</v>
      </c>
      <c r="B4493" t="s">
        <v>783</v>
      </c>
      <c r="C4493" t="s">
        <v>869</v>
      </c>
      <c r="D4493" t="s">
        <v>14</v>
      </c>
      <c r="E4493">
        <v>1</v>
      </c>
      <c r="F4493" s="2">
        <f>DATE(2026,IF(Tabla1[[#This Row],[Mes de Fecha]]="Septiembre",9,10),Tabla1[[#This Row],[Día de Fecha]])</f>
        <v>46296</v>
      </c>
      <c r="G4493">
        <v>1017223596</v>
      </c>
      <c r="H4493" t="s">
        <v>787</v>
      </c>
      <c r="I4493">
        <v>11</v>
      </c>
      <c r="J4493">
        <v>0</v>
      </c>
      <c r="K4493" s="1">
        <v>776849</v>
      </c>
    </row>
    <row r="4494" spans="1:11" x14ac:dyDescent="0.25">
      <c r="A4494" t="s">
        <v>326</v>
      </c>
      <c r="B4494" t="s">
        <v>783</v>
      </c>
      <c r="C4494" t="s">
        <v>869</v>
      </c>
      <c r="D4494" t="s">
        <v>14</v>
      </c>
      <c r="E4494">
        <v>1</v>
      </c>
      <c r="F4494" s="2">
        <f>DATE(2026,IF(Tabla1[[#This Row],[Mes de Fecha]]="Septiembre",9,10),Tabla1[[#This Row],[Día de Fecha]])</f>
        <v>46296</v>
      </c>
      <c r="G4494">
        <v>1025883071</v>
      </c>
      <c r="H4494" t="s">
        <v>784</v>
      </c>
      <c r="I4494">
        <v>53</v>
      </c>
      <c r="J4494">
        <v>0</v>
      </c>
      <c r="K4494" s="1">
        <v>3136183</v>
      </c>
    </row>
    <row r="4495" spans="1:11" x14ac:dyDescent="0.25">
      <c r="A4495" t="s">
        <v>326</v>
      </c>
      <c r="B4495" t="s">
        <v>783</v>
      </c>
      <c r="C4495" t="s">
        <v>869</v>
      </c>
      <c r="D4495" t="s">
        <v>14</v>
      </c>
      <c r="E4495">
        <v>1</v>
      </c>
      <c r="F4495" s="2">
        <f>DATE(2026,IF(Tabla1[[#This Row],[Mes de Fecha]]="Septiembre",9,10),Tabla1[[#This Row],[Día de Fecha]])</f>
        <v>46296</v>
      </c>
      <c r="G4495">
        <v>1042151904</v>
      </c>
      <c r="H4495" t="s">
        <v>785</v>
      </c>
      <c r="I4495">
        <v>12</v>
      </c>
      <c r="J4495">
        <v>0</v>
      </c>
      <c r="K4495" s="1">
        <v>827226</v>
      </c>
    </row>
    <row r="4496" spans="1:11" x14ac:dyDescent="0.25">
      <c r="A4496" t="s">
        <v>326</v>
      </c>
      <c r="B4496" t="s">
        <v>783</v>
      </c>
      <c r="C4496" t="s">
        <v>869</v>
      </c>
      <c r="D4496" t="s">
        <v>14</v>
      </c>
      <c r="E4496">
        <v>1</v>
      </c>
      <c r="F4496" s="2">
        <f>DATE(2026,IF(Tabla1[[#This Row],[Mes de Fecha]]="Septiembre",9,10),Tabla1[[#This Row],[Día de Fecha]])</f>
        <v>46296</v>
      </c>
      <c r="G4496">
        <v>1056785111</v>
      </c>
      <c r="H4496" t="s">
        <v>639</v>
      </c>
      <c r="I4496">
        <v>-1</v>
      </c>
      <c r="J4496">
        <v>0</v>
      </c>
      <c r="K4496" s="1">
        <v>-37773</v>
      </c>
    </row>
    <row r="4497" spans="1:11" x14ac:dyDescent="0.25">
      <c r="A4497" t="s">
        <v>326</v>
      </c>
      <c r="B4497" t="s">
        <v>783</v>
      </c>
      <c r="C4497" t="s">
        <v>869</v>
      </c>
      <c r="D4497" t="s">
        <v>14</v>
      </c>
      <c r="E4497">
        <v>1</v>
      </c>
      <c r="F4497" s="2">
        <f>DATE(2026,IF(Tabla1[[#This Row],[Mes de Fecha]]="Septiembre",9,10),Tabla1[[#This Row],[Día de Fecha]])</f>
        <v>46296</v>
      </c>
      <c r="G4497">
        <v>1067865055</v>
      </c>
      <c r="H4497" t="s">
        <v>638</v>
      </c>
      <c r="I4497">
        <v>48</v>
      </c>
      <c r="J4497">
        <v>0</v>
      </c>
      <c r="K4497" s="1">
        <v>3411728</v>
      </c>
    </row>
    <row r="4498" spans="1:11" x14ac:dyDescent="0.25">
      <c r="A4498" t="s">
        <v>326</v>
      </c>
      <c r="B4498" t="s">
        <v>783</v>
      </c>
      <c r="C4498" t="s">
        <v>869</v>
      </c>
      <c r="D4498" t="s">
        <v>14</v>
      </c>
      <c r="E4498">
        <v>2</v>
      </c>
      <c r="F4498" s="2">
        <f>DATE(2026,IF(Tabla1[[#This Row],[Mes de Fecha]]="Septiembre",9,10),Tabla1[[#This Row],[Día de Fecha]])</f>
        <v>46297</v>
      </c>
      <c r="I4498">
        <v>0</v>
      </c>
      <c r="J4498" s="1">
        <v>8721928</v>
      </c>
      <c r="K4498">
        <v>0</v>
      </c>
    </row>
    <row r="4499" spans="1:11" x14ac:dyDescent="0.25">
      <c r="A4499" t="s">
        <v>326</v>
      </c>
      <c r="B4499" t="s">
        <v>783</v>
      </c>
      <c r="C4499" t="s">
        <v>869</v>
      </c>
      <c r="D4499" t="s">
        <v>14</v>
      </c>
      <c r="E4499">
        <v>2</v>
      </c>
      <c r="F4499" s="2">
        <f>DATE(2026,IF(Tabla1[[#This Row],[Mes de Fecha]]="Septiembre",9,10),Tabla1[[#This Row],[Día de Fecha]])</f>
        <v>46297</v>
      </c>
      <c r="G4499">
        <v>1000660108</v>
      </c>
      <c r="H4499" t="s">
        <v>786</v>
      </c>
      <c r="I4499">
        <v>13</v>
      </c>
      <c r="J4499">
        <v>0</v>
      </c>
      <c r="K4499" s="1">
        <v>881765</v>
      </c>
    </row>
    <row r="4500" spans="1:11" x14ac:dyDescent="0.25">
      <c r="A4500" t="s">
        <v>326</v>
      </c>
      <c r="B4500" t="s">
        <v>783</v>
      </c>
      <c r="C4500" t="s">
        <v>869</v>
      </c>
      <c r="D4500" t="s">
        <v>14</v>
      </c>
      <c r="E4500">
        <v>2</v>
      </c>
      <c r="F4500" s="2">
        <f>DATE(2026,IF(Tabla1[[#This Row],[Mes de Fecha]]="Septiembre",9,10),Tabla1[[#This Row],[Día de Fecha]])</f>
        <v>46297</v>
      </c>
      <c r="G4500">
        <v>1017223596</v>
      </c>
      <c r="H4500" t="s">
        <v>787</v>
      </c>
      <c r="I4500">
        <v>27</v>
      </c>
      <c r="J4500">
        <v>0</v>
      </c>
      <c r="K4500" s="1">
        <v>1826389</v>
      </c>
    </row>
    <row r="4501" spans="1:11" x14ac:dyDescent="0.25">
      <c r="A4501" t="s">
        <v>326</v>
      </c>
      <c r="B4501" t="s">
        <v>783</v>
      </c>
      <c r="C4501" t="s">
        <v>869</v>
      </c>
      <c r="D4501" t="s">
        <v>14</v>
      </c>
      <c r="E4501">
        <v>2</v>
      </c>
      <c r="F4501" s="2">
        <f>DATE(2026,IF(Tabla1[[#This Row],[Mes de Fecha]]="Septiembre",9,10),Tabla1[[#This Row],[Día de Fecha]])</f>
        <v>46297</v>
      </c>
      <c r="G4501">
        <v>1025883071</v>
      </c>
      <c r="H4501" t="s">
        <v>784</v>
      </c>
      <c r="I4501">
        <v>45</v>
      </c>
      <c r="J4501">
        <v>0</v>
      </c>
      <c r="K4501" s="1">
        <v>3014584</v>
      </c>
    </row>
    <row r="4502" spans="1:11" x14ac:dyDescent="0.25">
      <c r="A4502" t="s">
        <v>326</v>
      </c>
      <c r="B4502" t="s">
        <v>783</v>
      </c>
      <c r="C4502" t="s">
        <v>869</v>
      </c>
      <c r="D4502" t="s">
        <v>14</v>
      </c>
      <c r="E4502">
        <v>2</v>
      </c>
      <c r="F4502" s="2">
        <f>DATE(2026,IF(Tabla1[[#This Row],[Mes de Fecha]]="Septiembre",9,10),Tabla1[[#This Row],[Día de Fecha]])</f>
        <v>46297</v>
      </c>
      <c r="G4502">
        <v>1032013463</v>
      </c>
      <c r="H4502" t="s">
        <v>716</v>
      </c>
      <c r="I4502">
        <v>-2</v>
      </c>
      <c r="J4502">
        <v>0</v>
      </c>
      <c r="K4502" s="1">
        <v>-191496</v>
      </c>
    </row>
    <row r="4503" spans="1:11" x14ac:dyDescent="0.25">
      <c r="A4503" t="s">
        <v>326</v>
      </c>
      <c r="B4503" t="s">
        <v>783</v>
      </c>
      <c r="C4503" t="s">
        <v>869</v>
      </c>
      <c r="D4503" t="s">
        <v>14</v>
      </c>
      <c r="E4503">
        <v>2</v>
      </c>
      <c r="F4503" s="2">
        <f>DATE(2026,IF(Tabla1[[#This Row],[Mes de Fecha]]="Septiembre",9,10),Tabla1[[#This Row],[Día de Fecha]])</f>
        <v>46297</v>
      </c>
      <c r="G4503">
        <v>1042151904</v>
      </c>
      <c r="H4503" t="s">
        <v>785</v>
      </c>
      <c r="I4503">
        <v>15</v>
      </c>
      <c r="J4503">
        <v>0</v>
      </c>
      <c r="K4503" s="1">
        <v>967775</v>
      </c>
    </row>
    <row r="4504" spans="1:11" x14ac:dyDescent="0.25">
      <c r="A4504" t="s">
        <v>326</v>
      </c>
      <c r="B4504" t="s">
        <v>783</v>
      </c>
      <c r="C4504" t="s">
        <v>869</v>
      </c>
      <c r="D4504" t="s">
        <v>14</v>
      </c>
      <c r="E4504">
        <v>2</v>
      </c>
      <c r="F4504" s="2">
        <f>DATE(2026,IF(Tabla1[[#This Row],[Mes de Fecha]]="Septiembre",9,10),Tabla1[[#This Row],[Día de Fecha]])</f>
        <v>46297</v>
      </c>
      <c r="G4504">
        <v>1067865055</v>
      </c>
      <c r="H4504" t="s">
        <v>638</v>
      </c>
      <c r="I4504">
        <v>53</v>
      </c>
      <c r="J4504">
        <v>0</v>
      </c>
      <c r="K4504" s="1">
        <v>3209777</v>
      </c>
    </row>
    <row r="4505" spans="1:11" x14ac:dyDescent="0.25">
      <c r="A4505" t="s">
        <v>326</v>
      </c>
      <c r="B4505" t="s">
        <v>783</v>
      </c>
      <c r="C4505" t="s">
        <v>869</v>
      </c>
      <c r="D4505" t="s">
        <v>14</v>
      </c>
      <c r="E4505">
        <v>3</v>
      </c>
      <c r="F4505" s="2">
        <f>DATE(2026,IF(Tabla1[[#This Row],[Mes de Fecha]]="Septiembre",9,10),Tabla1[[#This Row],[Día de Fecha]])</f>
        <v>46298</v>
      </c>
      <c r="I4505">
        <v>0</v>
      </c>
      <c r="J4505" s="1">
        <v>16708222</v>
      </c>
      <c r="K4505">
        <v>0</v>
      </c>
    </row>
    <row r="4506" spans="1:11" x14ac:dyDescent="0.25">
      <c r="A4506" t="s">
        <v>326</v>
      </c>
      <c r="B4506" t="s">
        <v>783</v>
      </c>
      <c r="C4506" t="s">
        <v>869</v>
      </c>
      <c r="D4506" t="s">
        <v>14</v>
      </c>
      <c r="E4506">
        <v>3</v>
      </c>
      <c r="F4506" s="2">
        <f>DATE(2026,IF(Tabla1[[#This Row],[Mes de Fecha]]="Septiembre",9,10),Tabla1[[#This Row],[Día de Fecha]])</f>
        <v>46298</v>
      </c>
      <c r="G4506">
        <v>1000660108</v>
      </c>
      <c r="H4506" t="s">
        <v>786</v>
      </c>
      <c r="I4506">
        <v>30</v>
      </c>
      <c r="J4506">
        <v>0</v>
      </c>
      <c r="K4506" s="1">
        <v>1886960</v>
      </c>
    </row>
    <row r="4507" spans="1:11" x14ac:dyDescent="0.25">
      <c r="A4507" t="s">
        <v>326</v>
      </c>
      <c r="B4507" t="s">
        <v>783</v>
      </c>
      <c r="C4507" t="s">
        <v>869</v>
      </c>
      <c r="D4507" t="s">
        <v>14</v>
      </c>
      <c r="E4507">
        <v>3</v>
      </c>
      <c r="F4507" s="2">
        <f>DATE(2026,IF(Tabla1[[#This Row],[Mes de Fecha]]="Septiembre",9,10),Tabla1[[#This Row],[Día de Fecha]])</f>
        <v>46298</v>
      </c>
      <c r="G4507">
        <v>1017223596</v>
      </c>
      <c r="H4507" t="s">
        <v>787</v>
      </c>
      <c r="I4507">
        <v>54</v>
      </c>
      <c r="J4507">
        <v>0</v>
      </c>
      <c r="K4507" s="1">
        <v>2962186</v>
      </c>
    </row>
    <row r="4508" spans="1:11" x14ac:dyDescent="0.25">
      <c r="A4508" t="s">
        <v>326</v>
      </c>
      <c r="B4508" t="s">
        <v>783</v>
      </c>
      <c r="C4508" t="s">
        <v>869</v>
      </c>
      <c r="D4508" t="s">
        <v>14</v>
      </c>
      <c r="E4508">
        <v>3</v>
      </c>
      <c r="F4508" s="2">
        <f>DATE(2026,IF(Tabla1[[#This Row],[Mes de Fecha]]="Septiembre",9,10),Tabla1[[#This Row],[Día de Fecha]])</f>
        <v>46298</v>
      </c>
      <c r="G4508">
        <v>1025883071</v>
      </c>
      <c r="H4508" t="s">
        <v>784</v>
      </c>
      <c r="I4508">
        <v>97</v>
      </c>
      <c r="J4508">
        <v>0</v>
      </c>
      <c r="K4508" s="1">
        <v>5386978</v>
      </c>
    </row>
    <row r="4509" spans="1:11" x14ac:dyDescent="0.25">
      <c r="A4509" t="s">
        <v>326</v>
      </c>
      <c r="B4509" t="s">
        <v>783</v>
      </c>
      <c r="C4509" t="s">
        <v>869</v>
      </c>
      <c r="D4509" t="s">
        <v>14</v>
      </c>
      <c r="E4509">
        <v>3</v>
      </c>
      <c r="F4509" s="2">
        <f>DATE(2026,IF(Tabla1[[#This Row],[Mes de Fecha]]="Septiembre",9,10),Tabla1[[#This Row],[Día de Fecha]])</f>
        <v>46298</v>
      </c>
      <c r="G4509">
        <v>1042151904</v>
      </c>
      <c r="H4509" t="s">
        <v>785</v>
      </c>
      <c r="I4509">
        <v>20</v>
      </c>
      <c r="J4509">
        <v>0</v>
      </c>
      <c r="K4509" s="1">
        <v>1105464</v>
      </c>
    </row>
    <row r="4510" spans="1:11" x14ac:dyDescent="0.25">
      <c r="A4510" t="s">
        <v>326</v>
      </c>
      <c r="B4510" t="s">
        <v>783</v>
      </c>
      <c r="C4510" t="s">
        <v>869</v>
      </c>
      <c r="D4510" t="s">
        <v>14</v>
      </c>
      <c r="E4510">
        <v>3</v>
      </c>
      <c r="F4510" s="2">
        <f>DATE(2026,IF(Tabla1[[#This Row],[Mes de Fecha]]="Septiembre",9,10),Tabla1[[#This Row],[Día de Fecha]])</f>
        <v>46298</v>
      </c>
      <c r="G4510">
        <v>1067865055</v>
      </c>
      <c r="H4510" t="s">
        <v>638</v>
      </c>
      <c r="I4510">
        <v>82</v>
      </c>
      <c r="J4510">
        <v>0</v>
      </c>
      <c r="K4510" s="1">
        <v>5085390</v>
      </c>
    </row>
    <row r="4511" spans="1:11" x14ac:dyDescent="0.25">
      <c r="A4511" t="s">
        <v>326</v>
      </c>
      <c r="B4511" t="s">
        <v>783</v>
      </c>
      <c r="C4511" t="s">
        <v>869</v>
      </c>
      <c r="D4511" t="s">
        <v>14</v>
      </c>
      <c r="E4511">
        <v>4</v>
      </c>
      <c r="F4511" s="2">
        <f>DATE(2026,IF(Tabla1[[#This Row],[Mes de Fecha]]="Septiembre",9,10),Tabla1[[#This Row],[Día de Fecha]])</f>
        <v>46299</v>
      </c>
      <c r="I4511">
        <v>0</v>
      </c>
      <c r="J4511" s="1">
        <v>13882570</v>
      </c>
      <c r="K4511">
        <v>0</v>
      </c>
    </row>
    <row r="4512" spans="1:11" x14ac:dyDescent="0.25">
      <c r="A4512" t="s">
        <v>326</v>
      </c>
      <c r="B4512" t="s">
        <v>783</v>
      </c>
      <c r="C4512" t="s">
        <v>869</v>
      </c>
      <c r="D4512" t="s">
        <v>14</v>
      </c>
      <c r="E4512">
        <v>4</v>
      </c>
      <c r="F4512" s="2">
        <f>DATE(2026,IF(Tabla1[[#This Row],[Mes de Fecha]]="Septiembre",9,10),Tabla1[[#This Row],[Día de Fecha]])</f>
        <v>46299</v>
      </c>
      <c r="G4512">
        <v>1000660108</v>
      </c>
      <c r="H4512" t="s">
        <v>786</v>
      </c>
      <c r="I4512">
        <v>29</v>
      </c>
      <c r="J4512">
        <v>0</v>
      </c>
      <c r="K4512" s="1">
        <v>1616218</v>
      </c>
    </row>
    <row r="4513" spans="1:11" x14ac:dyDescent="0.25">
      <c r="A4513" t="s">
        <v>326</v>
      </c>
      <c r="B4513" t="s">
        <v>783</v>
      </c>
      <c r="C4513" t="s">
        <v>869</v>
      </c>
      <c r="D4513" t="s">
        <v>14</v>
      </c>
      <c r="E4513">
        <v>4</v>
      </c>
      <c r="F4513" s="2">
        <f>DATE(2026,IF(Tabla1[[#This Row],[Mes de Fecha]]="Septiembre",9,10),Tabla1[[#This Row],[Día de Fecha]])</f>
        <v>46299</v>
      </c>
      <c r="G4513">
        <v>1005706861</v>
      </c>
      <c r="H4513" t="s">
        <v>433</v>
      </c>
      <c r="I4513">
        <v>-1</v>
      </c>
      <c r="J4513">
        <v>0</v>
      </c>
      <c r="K4513" s="1">
        <v>-105000</v>
      </c>
    </row>
    <row r="4514" spans="1:11" x14ac:dyDescent="0.25">
      <c r="A4514" t="s">
        <v>326</v>
      </c>
      <c r="B4514" t="s">
        <v>783</v>
      </c>
      <c r="C4514" t="s">
        <v>869</v>
      </c>
      <c r="D4514" t="s">
        <v>14</v>
      </c>
      <c r="E4514">
        <v>4</v>
      </c>
      <c r="F4514" s="2">
        <f>DATE(2026,IF(Tabla1[[#This Row],[Mes de Fecha]]="Septiembre",9,10),Tabla1[[#This Row],[Día de Fecha]])</f>
        <v>46299</v>
      </c>
      <c r="G4514">
        <v>1017223596</v>
      </c>
      <c r="H4514" t="s">
        <v>787</v>
      </c>
      <c r="I4514">
        <v>45</v>
      </c>
      <c r="J4514">
        <v>0</v>
      </c>
      <c r="K4514" s="1">
        <v>2665926</v>
      </c>
    </row>
    <row r="4515" spans="1:11" x14ac:dyDescent="0.25">
      <c r="A4515" t="s">
        <v>326</v>
      </c>
      <c r="B4515" t="s">
        <v>783</v>
      </c>
      <c r="C4515" t="s">
        <v>869</v>
      </c>
      <c r="D4515" t="s">
        <v>14</v>
      </c>
      <c r="E4515">
        <v>4</v>
      </c>
      <c r="F4515" s="2">
        <f>DATE(2026,IF(Tabla1[[#This Row],[Mes de Fecha]]="Septiembre",9,10),Tabla1[[#This Row],[Día de Fecha]])</f>
        <v>46299</v>
      </c>
      <c r="G4515">
        <v>1025883071</v>
      </c>
      <c r="H4515" t="s">
        <v>784</v>
      </c>
      <c r="I4515">
        <v>56</v>
      </c>
      <c r="J4515">
        <v>0</v>
      </c>
      <c r="K4515" s="1">
        <v>3461599</v>
      </c>
    </row>
    <row r="4516" spans="1:11" x14ac:dyDescent="0.25">
      <c r="A4516" t="s">
        <v>326</v>
      </c>
      <c r="B4516" t="s">
        <v>783</v>
      </c>
      <c r="C4516" t="s">
        <v>869</v>
      </c>
      <c r="D4516" t="s">
        <v>14</v>
      </c>
      <c r="E4516">
        <v>4</v>
      </c>
      <c r="F4516" s="2">
        <f>DATE(2026,IF(Tabla1[[#This Row],[Mes de Fecha]]="Septiembre",9,10),Tabla1[[#This Row],[Día de Fecha]])</f>
        <v>46299</v>
      </c>
      <c r="G4516">
        <v>1042151904</v>
      </c>
      <c r="H4516" t="s">
        <v>785</v>
      </c>
      <c r="I4516">
        <v>37</v>
      </c>
      <c r="J4516">
        <v>0</v>
      </c>
      <c r="K4516" s="1">
        <v>2603449</v>
      </c>
    </row>
    <row r="4517" spans="1:11" x14ac:dyDescent="0.25">
      <c r="A4517" t="s">
        <v>326</v>
      </c>
      <c r="B4517" t="s">
        <v>783</v>
      </c>
      <c r="C4517" t="s">
        <v>869</v>
      </c>
      <c r="D4517" t="s">
        <v>14</v>
      </c>
      <c r="E4517">
        <v>4</v>
      </c>
      <c r="F4517" s="2">
        <f>DATE(2026,IF(Tabla1[[#This Row],[Mes de Fecha]]="Septiembre",9,10),Tabla1[[#This Row],[Día de Fecha]])</f>
        <v>46299</v>
      </c>
      <c r="G4517">
        <v>1067865055</v>
      </c>
      <c r="H4517" t="s">
        <v>638</v>
      </c>
      <c r="I4517">
        <v>59</v>
      </c>
      <c r="J4517">
        <v>0</v>
      </c>
      <c r="K4517" s="1">
        <v>3719792</v>
      </c>
    </row>
    <row r="4518" spans="1:11" x14ac:dyDescent="0.25">
      <c r="A4518" t="s">
        <v>326</v>
      </c>
      <c r="B4518" t="s">
        <v>783</v>
      </c>
      <c r="C4518" t="s">
        <v>869</v>
      </c>
      <c r="D4518" t="s">
        <v>14</v>
      </c>
      <c r="E4518">
        <v>5</v>
      </c>
      <c r="F4518" s="2">
        <f>DATE(2026,IF(Tabla1[[#This Row],[Mes de Fecha]]="Septiembre",9,10),Tabla1[[#This Row],[Día de Fecha]])</f>
        <v>46300</v>
      </c>
      <c r="I4518">
        <v>0</v>
      </c>
      <c r="J4518" s="1">
        <v>5907530</v>
      </c>
      <c r="K4518">
        <v>0</v>
      </c>
    </row>
    <row r="4519" spans="1:11" x14ac:dyDescent="0.25">
      <c r="A4519" t="s">
        <v>326</v>
      </c>
      <c r="B4519" t="s">
        <v>783</v>
      </c>
      <c r="C4519" t="s">
        <v>869</v>
      </c>
      <c r="D4519" t="s">
        <v>14</v>
      </c>
      <c r="E4519">
        <v>5</v>
      </c>
      <c r="F4519" s="2">
        <f>DATE(2026,IF(Tabla1[[#This Row],[Mes de Fecha]]="Septiembre",9,10),Tabla1[[#This Row],[Día de Fecha]])</f>
        <v>46300</v>
      </c>
      <c r="G4519">
        <v>1000660108</v>
      </c>
      <c r="H4519" t="s">
        <v>786</v>
      </c>
      <c r="I4519">
        <v>14</v>
      </c>
      <c r="J4519">
        <v>0</v>
      </c>
      <c r="K4519" s="1">
        <v>877437</v>
      </c>
    </row>
    <row r="4520" spans="1:11" x14ac:dyDescent="0.25">
      <c r="A4520" t="s">
        <v>326</v>
      </c>
      <c r="B4520" t="s">
        <v>783</v>
      </c>
      <c r="C4520" t="s">
        <v>869</v>
      </c>
      <c r="D4520" t="s">
        <v>14</v>
      </c>
      <c r="E4520">
        <v>5</v>
      </c>
      <c r="F4520" s="2">
        <f>DATE(2026,IF(Tabla1[[#This Row],[Mes de Fecha]]="Septiembre",9,10),Tabla1[[#This Row],[Día de Fecha]])</f>
        <v>46300</v>
      </c>
      <c r="G4520">
        <v>1017223596</v>
      </c>
      <c r="H4520" t="s">
        <v>787</v>
      </c>
      <c r="I4520">
        <v>11</v>
      </c>
      <c r="J4520">
        <v>0</v>
      </c>
      <c r="K4520" s="1">
        <v>896598</v>
      </c>
    </row>
    <row r="4521" spans="1:11" x14ac:dyDescent="0.25">
      <c r="A4521" t="s">
        <v>326</v>
      </c>
      <c r="B4521" t="s">
        <v>783</v>
      </c>
      <c r="C4521" t="s">
        <v>869</v>
      </c>
      <c r="D4521" t="s">
        <v>14</v>
      </c>
      <c r="E4521">
        <v>5</v>
      </c>
      <c r="F4521" s="2">
        <f>DATE(2026,IF(Tabla1[[#This Row],[Mes de Fecha]]="Septiembre",9,10),Tabla1[[#This Row],[Día de Fecha]])</f>
        <v>46300</v>
      </c>
      <c r="G4521">
        <v>1025883071</v>
      </c>
      <c r="H4521" t="s">
        <v>784</v>
      </c>
      <c r="I4521">
        <v>0</v>
      </c>
      <c r="J4521">
        <v>0</v>
      </c>
      <c r="K4521" s="1">
        <v>16807</v>
      </c>
    </row>
    <row r="4522" spans="1:11" x14ac:dyDescent="0.25">
      <c r="A4522" t="s">
        <v>326</v>
      </c>
      <c r="B4522" t="s">
        <v>783</v>
      </c>
      <c r="C4522" t="s">
        <v>869</v>
      </c>
      <c r="D4522" t="s">
        <v>14</v>
      </c>
      <c r="E4522">
        <v>5</v>
      </c>
      <c r="F4522" s="2">
        <f>DATE(2026,IF(Tabla1[[#This Row],[Mes de Fecha]]="Septiembre",9,10),Tabla1[[#This Row],[Día de Fecha]])</f>
        <v>46300</v>
      </c>
      <c r="G4522">
        <v>1042151904</v>
      </c>
      <c r="H4522" t="s">
        <v>785</v>
      </c>
      <c r="I4522">
        <v>30</v>
      </c>
      <c r="J4522">
        <v>0</v>
      </c>
      <c r="K4522" s="1">
        <v>1492143</v>
      </c>
    </row>
    <row r="4523" spans="1:11" x14ac:dyDescent="0.25">
      <c r="A4523" t="s">
        <v>326</v>
      </c>
      <c r="B4523" t="s">
        <v>783</v>
      </c>
      <c r="C4523" t="s">
        <v>869</v>
      </c>
      <c r="D4523" t="s">
        <v>14</v>
      </c>
      <c r="E4523">
        <v>5</v>
      </c>
      <c r="F4523" s="2">
        <f>DATE(2026,IF(Tabla1[[#This Row],[Mes de Fecha]]="Septiembre",9,10),Tabla1[[#This Row],[Día de Fecha]])</f>
        <v>46300</v>
      </c>
      <c r="G4523">
        <v>1067865055</v>
      </c>
      <c r="H4523" t="s">
        <v>638</v>
      </c>
      <c r="I4523">
        <v>60</v>
      </c>
      <c r="J4523">
        <v>0</v>
      </c>
      <c r="K4523" s="1">
        <v>3787271</v>
      </c>
    </row>
    <row r="4524" spans="1:11" x14ac:dyDescent="0.25">
      <c r="A4524" t="s">
        <v>326</v>
      </c>
      <c r="B4524" t="s">
        <v>783</v>
      </c>
      <c r="C4524" t="s">
        <v>869</v>
      </c>
      <c r="D4524" t="s">
        <v>14</v>
      </c>
      <c r="E4524">
        <v>6</v>
      </c>
      <c r="F4524" s="2">
        <f>DATE(2026,IF(Tabla1[[#This Row],[Mes de Fecha]]="Septiembre",9,10),Tabla1[[#This Row],[Día de Fecha]])</f>
        <v>46301</v>
      </c>
      <c r="I4524">
        <v>0</v>
      </c>
      <c r="J4524" s="1">
        <v>5260345</v>
      </c>
      <c r="K4524">
        <v>0</v>
      </c>
    </row>
    <row r="4525" spans="1:11" x14ac:dyDescent="0.25">
      <c r="A4525" t="s">
        <v>326</v>
      </c>
      <c r="B4525" t="s">
        <v>783</v>
      </c>
      <c r="C4525" t="s">
        <v>869</v>
      </c>
      <c r="D4525" t="s">
        <v>14</v>
      </c>
      <c r="E4525">
        <v>6</v>
      </c>
      <c r="F4525" s="2">
        <f>DATE(2026,IF(Tabla1[[#This Row],[Mes de Fecha]]="Septiembre",9,10),Tabla1[[#This Row],[Día de Fecha]])</f>
        <v>46301</v>
      </c>
      <c r="G4525">
        <v>1000660108</v>
      </c>
      <c r="H4525" t="s">
        <v>786</v>
      </c>
      <c r="I4525">
        <v>6</v>
      </c>
      <c r="J4525">
        <v>0</v>
      </c>
      <c r="K4525" s="1">
        <v>365338</v>
      </c>
    </row>
    <row r="4526" spans="1:11" x14ac:dyDescent="0.25">
      <c r="A4526" t="s">
        <v>326</v>
      </c>
      <c r="B4526" t="s">
        <v>783</v>
      </c>
      <c r="C4526" t="s">
        <v>869</v>
      </c>
      <c r="D4526" t="s">
        <v>14</v>
      </c>
      <c r="E4526">
        <v>6</v>
      </c>
      <c r="F4526" s="2">
        <f>DATE(2026,IF(Tabla1[[#This Row],[Mes de Fecha]]="Septiembre",9,10),Tabla1[[#This Row],[Día de Fecha]])</f>
        <v>46301</v>
      </c>
      <c r="G4526">
        <v>1017223596</v>
      </c>
      <c r="H4526" t="s">
        <v>787</v>
      </c>
      <c r="I4526">
        <v>3</v>
      </c>
      <c r="J4526">
        <v>0</v>
      </c>
      <c r="K4526" s="1">
        <v>188950</v>
      </c>
    </row>
    <row r="4527" spans="1:11" x14ac:dyDescent="0.25">
      <c r="A4527" t="s">
        <v>326</v>
      </c>
      <c r="B4527" t="s">
        <v>783</v>
      </c>
      <c r="C4527" t="s">
        <v>869</v>
      </c>
      <c r="D4527" t="s">
        <v>14</v>
      </c>
      <c r="E4527">
        <v>6</v>
      </c>
      <c r="F4527" s="2">
        <f>DATE(2026,IF(Tabla1[[#This Row],[Mes de Fecha]]="Septiembre",9,10),Tabla1[[#This Row],[Día de Fecha]])</f>
        <v>46301</v>
      </c>
      <c r="G4527">
        <v>1025883071</v>
      </c>
      <c r="H4527" t="s">
        <v>784</v>
      </c>
      <c r="I4527">
        <v>29</v>
      </c>
      <c r="J4527">
        <v>0</v>
      </c>
      <c r="K4527" s="1">
        <v>1702395</v>
      </c>
    </row>
    <row r="4528" spans="1:11" x14ac:dyDescent="0.25">
      <c r="A4528" t="s">
        <v>326</v>
      </c>
      <c r="B4528" t="s">
        <v>783</v>
      </c>
      <c r="C4528" t="s">
        <v>869</v>
      </c>
      <c r="D4528" t="s">
        <v>14</v>
      </c>
      <c r="E4528">
        <v>6</v>
      </c>
      <c r="F4528" s="2">
        <f>DATE(2026,IF(Tabla1[[#This Row],[Mes de Fecha]]="Septiembre",9,10),Tabla1[[#This Row],[Día de Fecha]])</f>
        <v>46301</v>
      </c>
      <c r="G4528">
        <v>1042151904</v>
      </c>
      <c r="H4528" t="s">
        <v>785</v>
      </c>
      <c r="I4528">
        <v>6</v>
      </c>
      <c r="J4528">
        <v>0</v>
      </c>
      <c r="K4528" s="1">
        <v>302228</v>
      </c>
    </row>
    <row r="4529" spans="1:11" x14ac:dyDescent="0.25">
      <c r="A4529" t="s">
        <v>326</v>
      </c>
      <c r="B4529" t="s">
        <v>783</v>
      </c>
      <c r="C4529" t="s">
        <v>869</v>
      </c>
      <c r="D4529" t="s">
        <v>14</v>
      </c>
      <c r="E4529">
        <v>7</v>
      </c>
      <c r="F4529" s="2">
        <f>DATE(2026,IF(Tabla1[[#This Row],[Mes de Fecha]]="Septiembre",9,10),Tabla1[[#This Row],[Día de Fecha]])</f>
        <v>46302</v>
      </c>
      <c r="I4529">
        <v>0</v>
      </c>
      <c r="J4529" s="1">
        <v>5191133</v>
      </c>
      <c r="K4529">
        <v>0</v>
      </c>
    </row>
    <row r="4530" spans="1:11" x14ac:dyDescent="0.25">
      <c r="A4530" t="s">
        <v>326</v>
      </c>
      <c r="B4530" t="s">
        <v>783</v>
      </c>
      <c r="C4530" t="s">
        <v>869</v>
      </c>
      <c r="D4530" t="s">
        <v>14</v>
      </c>
      <c r="E4530">
        <v>7</v>
      </c>
      <c r="F4530" s="2">
        <f>DATE(2026,IF(Tabla1[[#This Row],[Mes de Fecha]]="Septiembre",9,10),Tabla1[[#This Row],[Día de Fecha]])</f>
        <v>46302</v>
      </c>
      <c r="G4530">
        <v>43595446</v>
      </c>
      <c r="H4530" t="s">
        <v>752</v>
      </c>
      <c r="I4530">
        <v>-1</v>
      </c>
      <c r="J4530">
        <v>0</v>
      </c>
      <c r="K4530" s="1">
        <v>-54580</v>
      </c>
    </row>
    <row r="4531" spans="1:11" x14ac:dyDescent="0.25">
      <c r="A4531" t="s">
        <v>326</v>
      </c>
      <c r="B4531" t="s">
        <v>783</v>
      </c>
      <c r="C4531" t="s">
        <v>869</v>
      </c>
      <c r="D4531" t="s">
        <v>14</v>
      </c>
      <c r="E4531">
        <v>7</v>
      </c>
      <c r="F4531" s="2">
        <f>DATE(2026,IF(Tabla1[[#This Row],[Mes de Fecha]]="Septiembre",9,10),Tabla1[[#This Row],[Día de Fecha]])</f>
        <v>46302</v>
      </c>
      <c r="G4531">
        <v>1000660108</v>
      </c>
      <c r="H4531" t="s">
        <v>786</v>
      </c>
      <c r="I4531">
        <v>9</v>
      </c>
      <c r="J4531">
        <v>0</v>
      </c>
      <c r="K4531" s="1">
        <v>499623</v>
      </c>
    </row>
    <row r="4532" spans="1:11" x14ac:dyDescent="0.25">
      <c r="A4532" t="s">
        <v>326</v>
      </c>
      <c r="B4532" t="s">
        <v>783</v>
      </c>
      <c r="C4532" t="s">
        <v>869</v>
      </c>
      <c r="D4532" t="s">
        <v>14</v>
      </c>
      <c r="E4532">
        <v>7</v>
      </c>
      <c r="F4532" s="2">
        <f>DATE(2026,IF(Tabla1[[#This Row],[Mes de Fecha]]="Septiembre",9,10),Tabla1[[#This Row],[Día de Fecha]])</f>
        <v>46302</v>
      </c>
      <c r="G4532">
        <v>1025883071</v>
      </c>
      <c r="H4532" t="s">
        <v>784</v>
      </c>
      <c r="I4532">
        <v>11</v>
      </c>
      <c r="J4532">
        <v>0</v>
      </c>
      <c r="K4532" s="1">
        <v>549665</v>
      </c>
    </row>
    <row r="4533" spans="1:11" x14ac:dyDescent="0.25">
      <c r="A4533" t="s">
        <v>326</v>
      </c>
      <c r="B4533" t="s">
        <v>783</v>
      </c>
      <c r="C4533" t="s">
        <v>869</v>
      </c>
      <c r="D4533" t="s">
        <v>14</v>
      </c>
      <c r="E4533">
        <v>7</v>
      </c>
      <c r="F4533" s="2">
        <f>DATE(2026,IF(Tabla1[[#This Row],[Mes de Fecha]]="Septiembre",9,10),Tabla1[[#This Row],[Día de Fecha]])</f>
        <v>46302</v>
      </c>
      <c r="G4533">
        <v>1042151904</v>
      </c>
      <c r="H4533" t="s">
        <v>785</v>
      </c>
      <c r="I4533">
        <v>6</v>
      </c>
      <c r="J4533">
        <v>0</v>
      </c>
      <c r="K4533" s="1">
        <v>264371</v>
      </c>
    </row>
    <row r="4534" spans="1:11" x14ac:dyDescent="0.25">
      <c r="A4534" t="s">
        <v>326</v>
      </c>
      <c r="B4534" t="s">
        <v>783</v>
      </c>
      <c r="C4534" t="s">
        <v>869</v>
      </c>
      <c r="D4534" t="s">
        <v>14</v>
      </c>
      <c r="E4534">
        <v>7</v>
      </c>
      <c r="F4534" s="2">
        <f>DATE(2026,IF(Tabla1[[#This Row],[Mes de Fecha]]="Septiembre",9,10),Tabla1[[#This Row],[Día de Fecha]])</f>
        <v>46302</v>
      </c>
      <c r="G4534">
        <v>1056771455</v>
      </c>
      <c r="H4534" t="s">
        <v>642</v>
      </c>
      <c r="I4534">
        <v>-1</v>
      </c>
      <c r="J4534">
        <v>0</v>
      </c>
      <c r="K4534" s="1">
        <v>-31471</v>
      </c>
    </row>
    <row r="4535" spans="1:11" x14ac:dyDescent="0.25">
      <c r="A4535" t="s">
        <v>326</v>
      </c>
      <c r="B4535" t="s">
        <v>783</v>
      </c>
      <c r="C4535" t="s">
        <v>869</v>
      </c>
      <c r="D4535" t="s">
        <v>14</v>
      </c>
      <c r="E4535">
        <v>7</v>
      </c>
      <c r="F4535" s="2">
        <f>DATE(2026,IF(Tabla1[[#This Row],[Mes de Fecha]]="Septiembre",9,10),Tabla1[[#This Row],[Día de Fecha]])</f>
        <v>46302</v>
      </c>
      <c r="G4535">
        <v>1067865055</v>
      </c>
      <c r="H4535" t="s">
        <v>638</v>
      </c>
      <c r="I4535">
        <v>23</v>
      </c>
      <c r="J4535">
        <v>0</v>
      </c>
      <c r="K4535" s="1">
        <v>1322522</v>
      </c>
    </row>
    <row r="4536" spans="1:11" x14ac:dyDescent="0.25">
      <c r="A4536" t="s">
        <v>326</v>
      </c>
      <c r="B4536" t="s">
        <v>841</v>
      </c>
      <c r="C4536" t="s">
        <v>869</v>
      </c>
      <c r="D4536" t="s">
        <v>11</v>
      </c>
      <c r="E4536">
        <v>23</v>
      </c>
      <c r="F4536" s="2">
        <f>DATE(2026,IF(Tabla1[[#This Row],[Mes de Fecha]]="Septiembre",9,10),Tabla1[[#This Row],[Día de Fecha]])</f>
        <v>46288</v>
      </c>
      <c r="I4536">
        <v>0</v>
      </c>
      <c r="J4536" s="1">
        <v>6119148</v>
      </c>
      <c r="K4536">
        <v>0</v>
      </c>
    </row>
    <row r="4537" spans="1:11" x14ac:dyDescent="0.25">
      <c r="A4537" t="s">
        <v>326</v>
      </c>
      <c r="B4537" t="s">
        <v>841</v>
      </c>
      <c r="C4537" t="s">
        <v>869</v>
      </c>
      <c r="D4537" t="s">
        <v>11</v>
      </c>
      <c r="E4537">
        <v>23</v>
      </c>
      <c r="F4537" s="2">
        <f>DATE(2026,IF(Tabla1[[#This Row],[Mes de Fecha]]="Septiembre",9,10),Tabla1[[#This Row],[Día de Fecha]])</f>
        <v>46288</v>
      </c>
      <c r="G4537">
        <v>5384359</v>
      </c>
      <c r="H4537" t="s">
        <v>842</v>
      </c>
      <c r="I4537">
        <v>25</v>
      </c>
      <c r="J4537">
        <v>0</v>
      </c>
      <c r="K4537" s="1">
        <v>1868701</v>
      </c>
    </row>
    <row r="4538" spans="1:11" x14ac:dyDescent="0.25">
      <c r="A4538" t="s">
        <v>326</v>
      </c>
      <c r="B4538" t="s">
        <v>841</v>
      </c>
      <c r="C4538" t="s">
        <v>869</v>
      </c>
      <c r="D4538" t="s">
        <v>11</v>
      </c>
      <c r="E4538">
        <v>23</v>
      </c>
      <c r="F4538" s="2">
        <f>DATE(2026,IF(Tabla1[[#This Row],[Mes de Fecha]]="Septiembre",9,10),Tabla1[[#This Row],[Día de Fecha]])</f>
        <v>46288</v>
      </c>
      <c r="G4538">
        <v>1047239609</v>
      </c>
      <c r="H4538" t="s">
        <v>843</v>
      </c>
      <c r="I4538">
        <v>33</v>
      </c>
      <c r="J4538">
        <v>0</v>
      </c>
      <c r="K4538" s="1">
        <v>2612020</v>
      </c>
    </row>
    <row r="4539" spans="1:11" x14ac:dyDescent="0.25">
      <c r="A4539" t="s">
        <v>326</v>
      </c>
      <c r="B4539" t="s">
        <v>841</v>
      </c>
      <c r="C4539" t="s">
        <v>869</v>
      </c>
      <c r="D4539" t="s">
        <v>11</v>
      </c>
      <c r="E4539">
        <v>23</v>
      </c>
      <c r="F4539" s="2">
        <f>DATE(2026,IF(Tabla1[[#This Row],[Mes de Fecha]]="Septiembre",9,10),Tabla1[[#This Row],[Día de Fecha]])</f>
        <v>46288</v>
      </c>
      <c r="G4539">
        <v>1058968916</v>
      </c>
      <c r="H4539" t="s">
        <v>844</v>
      </c>
      <c r="I4539">
        <v>21</v>
      </c>
      <c r="J4539">
        <v>0</v>
      </c>
      <c r="K4539" s="1">
        <v>1247017</v>
      </c>
    </row>
    <row r="4540" spans="1:11" x14ac:dyDescent="0.25">
      <c r="A4540" t="s">
        <v>326</v>
      </c>
      <c r="B4540" t="s">
        <v>841</v>
      </c>
      <c r="C4540" t="s">
        <v>869</v>
      </c>
      <c r="D4540" t="s">
        <v>11</v>
      </c>
      <c r="E4540">
        <v>24</v>
      </c>
      <c r="F4540" s="2">
        <f>DATE(2026,IF(Tabla1[[#This Row],[Mes de Fecha]]="Septiembre",9,10),Tabla1[[#This Row],[Día de Fecha]])</f>
        <v>46289</v>
      </c>
      <c r="I4540">
        <v>0</v>
      </c>
      <c r="J4540" s="1">
        <v>9347689</v>
      </c>
      <c r="K4540">
        <v>0</v>
      </c>
    </row>
    <row r="4541" spans="1:11" x14ac:dyDescent="0.25">
      <c r="A4541" t="s">
        <v>326</v>
      </c>
      <c r="B4541" t="s">
        <v>841</v>
      </c>
      <c r="C4541" t="s">
        <v>869</v>
      </c>
      <c r="D4541" t="s">
        <v>11</v>
      </c>
      <c r="E4541">
        <v>24</v>
      </c>
      <c r="F4541" s="2">
        <f>DATE(2026,IF(Tabla1[[#This Row],[Mes de Fecha]]="Septiembre",9,10),Tabla1[[#This Row],[Día de Fecha]])</f>
        <v>46289</v>
      </c>
      <c r="G4541">
        <v>5384359</v>
      </c>
      <c r="H4541" t="s">
        <v>842</v>
      </c>
      <c r="I4541">
        <v>36</v>
      </c>
      <c r="J4541">
        <v>0</v>
      </c>
      <c r="K4541" s="1">
        <v>2385000</v>
      </c>
    </row>
    <row r="4542" spans="1:11" x14ac:dyDescent="0.25">
      <c r="A4542" t="s">
        <v>326</v>
      </c>
      <c r="B4542" t="s">
        <v>841</v>
      </c>
      <c r="C4542" t="s">
        <v>869</v>
      </c>
      <c r="D4542" t="s">
        <v>11</v>
      </c>
      <c r="E4542">
        <v>24</v>
      </c>
      <c r="F4542" s="2">
        <f>DATE(2026,IF(Tabla1[[#This Row],[Mes de Fecha]]="Septiembre",9,10),Tabla1[[#This Row],[Día de Fecha]])</f>
        <v>46289</v>
      </c>
      <c r="G4542">
        <v>1047239609</v>
      </c>
      <c r="H4542" t="s">
        <v>843</v>
      </c>
      <c r="I4542">
        <v>36</v>
      </c>
      <c r="J4542">
        <v>0</v>
      </c>
      <c r="K4542" s="1">
        <v>1983782</v>
      </c>
    </row>
    <row r="4543" spans="1:11" x14ac:dyDescent="0.25">
      <c r="A4543" t="s">
        <v>326</v>
      </c>
      <c r="B4543" t="s">
        <v>841</v>
      </c>
      <c r="C4543" t="s">
        <v>869</v>
      </c>
      <c r="D4543" t="s">
        <v>11</v>
      </c>
      <c r="E4543">
        <v>24</v>
      </c>
      <c r="F4543" s="2">
        <f>DATE(2026,IF(Tabla1[[#This Row],[Mes de Fecha]]="Septiembre",9,10),Tabla1[[#This Row],[Día de Fecha]])</f>
        <v>46289</v>
      </c>
      <c r="G4543">
        <v>1058968916</v>
      </c>
      <c r="H4543" t="s">
        <v>844</v>
      </c>
      <c r="I4543">
        <v>14</v>
      </c>
      <c r="J4543">
        <v>0</v>
      </c>
      <c r="K4543" s="1">
        <v>848108</v>
      </c>
    </row>
    <row r="4544" spans="1:11" x14ac:dyDescent="0.25">
      <c r="A4544" t="s">
        <v>326</v>
      </c>
      <c r="B4544" t="s">
        <v>841</v>
      </c>
      <c r="C4544" t="s">
        <v>869</v>
      </c>
      <c r="D4544" t="s">
        <v>11</v>
      </c>
      <c r="E4544">
        <v>25</v>
      </c>
      <c r="F4544" s="2">
        <f>DATE(2026,IF(Tabla1[[#This Row],[Mes de Fecha]]="Septiembre",9,10),Tabla1[[#This Row],[Día de Fecha]])</f>
        <v>46290</v>
      </c>
      <c r="I4544">
        <v>0</v>
      </c>
      <c r="J4544" s="1">
        <v>9326998</v>
      </c>
      <c r="K4544">
        <v>0</v>
      </c>
    </row>
    <row r="4545" spans="1:11" x14ac:dyDescent="0.25">
      <c r="A4545" t="s">
        <v>326</v>
      </c>
      <c r="B4545" t="s">
        <v>841</v>
      </c>
      <c r="C4545" t="s">
        <v>869</v>
      </c>
      <c r="D4545" t="s">
        <v>11</v>
      </c>
      <c r="E4545">
        <v>25</v>
      </c>
      <c r="F4545" s="2">
        <f>DATE(2026,IF(Tabla1[[#This Row],[Mes de Fecha]]="Septiembre",9,10),Tabla1[[#This Row],[Día de Fecha]])</f>
        <v>46290</v>
      </c>
      <c r="G4545">
        <v>5384359</v>
      </c>
      <c r="H4545" t="s">
        <v>842</v>
      </c>
      <c r="I4545">
        <v>15</v>
      </c>
      <c r="J4545">
        <v>0</v>
      </c>
      <c r="K4545" s="1">
        <v>1032984</v>
      </c>
    </row>
    <row r="4546" spans="1:11" x14ac:dyDescent="0.25">
      <c r="A4546" t="s">
        <v>326</v>
      </c>
      <c r="B4546" t="s">
        <v>841</v>
      </c>
      <c r="C4546" t="s">
        <v>869</v>
      </c>
      <c r="D4546" t="s">
        <v>11</v>
      </c>
      <c r="E4546">
        <v>25</v>
      </c>
      <c r="F4546" s="2">
        <f>DATE(2026,IF(Tabla1[[#This Row],[Mes de Fecha]]="Septiembre",9,10),Tabla1[[#This Row],[Día de Fecha]])</f>
        <v>46290</v>
      </c>
      <c r="G4546">
        <v>1047239609</v>
      </c>
      <c r="H4546" t="s">
        <v>843</v>
      </c>
      <c r="I4546">
        <v>18</v>
      </c>
      <c r="J4546">
        <v>0</v>
      </c>
      <c r="K4546" s="1">
        <v>1150506</v>
      </c>
    </row>
    <row r="4547" spans="1:11" x14ac:dyDescent="0.25">
      <c r="A4547" t="s">
        <v>326</v>
      </c>
      <c r="B4547" t="s">
        <v>841</v>
      </c>
      <c r="C4547" t="s">
        <v>869</v>
      </c>
      <c r="D4547" t="s">
        <v>11</v>
      </c>
      <c r="E4547">
        <v>25</v>
      </c>
      <c r="F4547" s="2">
        <f>DATE(2026,IF(Tabla1[[#This Row],[Mes de Fecha]]="Septiembre",9,10),Tabla1[[#This Row],[Día de Fecha]])</f>
        <v>46290</v>
      </c>
      <c r="G4547">
        <v>1058968916</v>
      </c>
      <c r="H4547" t="s">
        <v>844</v>
      </c>
      <c r="I4547">
        <v>18</v>
      </c>
      <c r="J4547">
        <v>0</v>
      </c>
      <c r="K4547" s="1">
        <v>1140001</v>
      </c>
    </row>
    <row r="4548" spans="1:11" x14ac:dyDescent="0.25">
      <c r="A4548" t="s">
        <v>326</v>
      </c>
      <c r="B4548" t="s">
        <v>841</v>
      </c>
      <c r="C4548" t="s">
        <v>869</v>
      </c>
      <c r="D4548" t="s">
        <v>11</v>
      </c>
      <c r="E4548">
        <v>26</v>
      </c>
      <c r="F4548" s="2">
        <f>DATE(2026,IF(Tabla1[[#This Row],[Mes de Fecha]]="Septiembre",9,10),Tabla1[[#This Row],[Día de Fecha]])</f>
        <v>46291</v>
      </c>
      <c r="I4548">
        <v>0</v>
      </c>
      <c r="J4548" s="1">
        <v>13404233</v>
      </c>
      <c r="K4548">
        <v>0</v>
      </c>
    </row>
    <row r="4549" spans="1:11" x14ac:dyDescent="0.25">
      <c r="A4549" t="s">
        <v>326</v>
      </c>
      <c r="B4549" t="s">
        <v>841</v>
      </c>
      <c r="C4549" t="s">
        <v>869</v>
      </c>
      <c r="D4549" t="s">
        <v>11</v>
      </c>
      <c r="E4549">
        <v>26</v>
      </c>
      <c r="F4549" s="2">
        <f>DATE(2026,IF(Tabla1[[#This Row],[Mes de Fecha]]="Septiembre",9,10),Tabla1[[#This Row],[Día de Fecha]])</f>
        <v>46291</v>
      </c>
      <c r="G4549">
        <v>5384359</v>
      </c>
      <c r="H4549" t="s">
        <v>842</v>
      </c>
      <c r="I4549">
        <v>38</v>
      </c>
      <c r="J4549">
        <v>0</v>
      </c>
      <c r="K4549" s="1">
        <v>2552945</v>
      </c>
    </row>
    <row r="4550" spans="1:11" x14ac:dyDescent="0.25">
      <c r="A4550" t="s">
        <v>326</v>
      </c>
      <c r="B4550" t="s">
        <v>841</v>
      </c>
      <c r="C4550" t="s">
        <v>869</v>
      </c>
      <c r="D4550" t="s">
        <v>11</v>
      </c>
      <c r="E4550">
        <v>26</v>
      </c>
      <c r="F4550" s="2">
        <f>DATE(2026,IF(Tabla1[[#This Row],[Mes de Fecha]]="Septiembre",9,10),Tabla1[[#This Row],[Día de Fecha]])</f>
        <v>46291</v>
      </c>
      <c r="G4550">
        <v>1047239609</v>
      </c>
      <c r="H4550" t="s">
        <v>843</v>
      </c>
      <c r="I4550">
        <v>58</v>
      </c>
      <c r="J4550">
        <v>0</v>
      </c>
      <c r="K4550" s="1">
        <v>3480764</v>
      </c>
    </row>
    <row r="4551" spans="1:11" x14ac:dyDescent="0.25">
      <c r="A4551" t="s">
        <v>326</v>
      </c>
      <c r="B4551" t="s">
        <v>841</v>
      </c>
      <c r="C4551" t="s">
        <v>869</v>
      </c>
      <c r="D4551" t="s">
        <v>11</v>
      </c>
      <c r="E4551">
        <v>26</v>
      </c>
      <c r="F4551" s="2">
        <f>DATE(2026,IF(Tabla1[[#This Row],[Mes de Fecha]]="Septiembre",9,10),Tabla1[[#This Row],[Día de Fecha]])</f>
        <v>46291</v>
      </c>
      <c r="G4551">
        <v>1058968916</v>
      </c>
      <c r="H4551" t="s">
        <v>844</v>
      </c>
      <c r="I4551">
        <v>37</v>
      </c>
      <c r="J4551">
        <v>0</v>
      </c>
      <c r="K4551" s="1">
        <v>2395468</v>
      </c>
    </row>
    <row r="4552" spans="1:11" x14ac:dyDescent="0.25">
      <c r="A4552" t="s">
        <v>326</v>
      </c>
      <c r="B4552" t="s">
        <v>841</v>
      </c>
      <c r="C4552" t="s">
        <v>869</v>
      </c>
      <c r="D4552" t="s">
        <v>11</v>
      </c>
      <c r="E4552">
        <v>27</v>
      </c>
      <c r="F4552" s="2">
        <f>DATE(2026,IF(Tabla1[[#This Row],[Mes de Fecha]]="Septiembre",9,10),Tabla1[[#This Row],[Día de Fecha]])</f>
        <v>46292</v>
      </c>
      <c r="I4552">
        <v>0</v>
      </c>
      <c r="J4552" s="1">
        <v>10618851</v>
      </c>
      <c r="K4552">
        <v>0</v>
      </c>
    </row>
    <row r="4553" spans="1:11" x14ac:dyDescent="0.25">
      <c r="A4553" t="s">
        <v>326</v>
      </c>
      <c r="B4553" t="s">
        <v>841</v>
      </c>
      <c r="C4553" t="s">
        <v>869</v>
      </c>
      <c r="D4553" t="s">
        <v>11</v>
      </c>
      <c r="E4553">
        <v>27</v>
      </c>
      <c r="F4553" s="2">
        <f>DATE(2026,IF(Tabla1[[#This Row],[Mes de Fecha]]="Septiembre",9,10),Tabla1[[#This Row],[Día de Fecha]])</f>
        <v>46292</v>
      </c>
      <c r="G4553">
        <v>5384359</v>
      </c>
      <c r="H4553" t="s">
        <v>842</v>
      </c>
      <c r="I4553">
        <v>35</v>
      </c>
      <c r="J4553">
        <v>0</v>
      </c>
      <c r="K4553" s="1">
        <v>2345169</v>
      </c>
    </row>
    <row r="4554" spans="1:11" x14ac:dyDescent="0.25">
      <c r="A4554" t="s">
        <v>326</v>
      </c>
      <c r="B4554" t="s">
        <v>841</v>
      </c>
      <c r="C4554" t="s">
        <v>869</v>
      </c>
      <c r="D4554" t="s">
        <v>11</v>
      </c>
      <c r="E4554">
        <v>27</v>
      </c>
      <c r="F4554" s="2">
        <f>DATE(2026,IF(Tabla1[[#This Row],[Mes de Fecha]]="Septiembre",9,10),Tabla1[[#This Row],[Día de Fecha]])</f>
        <v>46292</v>
      </c>
      <c r="G4554">
        <v>1047239609</v>
      </c>
      <c r="H4554" t="s">
        <v>843</v>
      </c>
      <c r="I4554">
        <v>49</v>
      </c>
      <c r="J4554">
        <v>0</v>
      </c>
      <c r="K4554" s="1">
        <v>3380296</v>
      </c>
    </row>
    <row r="4555" spans="1:11" x14ac:dyDescent="0.25">
      <c r="A4555" t="s">
        <v>326</v>
      </c>
      <c r="B4555" t="s">
        <v>841</v>
      </c>
      <c r="C4555" t="s">
        <v>869</v>
      </c>
      <c r="D4555" t="s">
        <v>11</v>
      </c>
      <c r="E4555">
        <v>27</v>
      </c>
      <c r="F4555" s="2">
        <f>DATE(2026,IF(Tabla1[[#This Row],[Mes de Fecha]]="Septiembre",9,10),Tabla1[[#This Row],[Día de Fecha]])</f>
        <v>46292</v>
      </c>
      <c r="G4555">
        <v>1058968916</v>
      </c>
      <c r="H4555" t="s">
        <v>844</v>
      </c>
      <c r="I4555">
        <v>31</v>
      </c>
      <c r="J4555">
        <v>0</v>
      </c>
      <c r="K4555" s="1">
        <v>1801179</v>
      </c>
    </row>
    <row r="4556" spans="1:11" x14ac:dyDescent="0.25">
      <c r="A4556" t="s">
        <v>326</v>
      </c>
      <c r="B4556" t="s">
        <v>841</v>
      </c>
      <c r="C4556" t="s">
        <v>869</v>
      </c>
      <c r="D4556" t="s">
        <v>11</v>
      </c>
      <c r="E4556">
        <v>28</v>
      </c>
      <c r="F4556" s="2">
        <f>DATE(2026,IF(Tabla1[[#This Row],[Mes de Fecha]]="Septiembre",9,10),Tabla1[[#This Row],[Día de Fecha]])</f>
        <v>46293</v>
      </c>
      <c r="I4556">
        <v>0</v>
      </c>
      <c r="J4556" s="1">
        <v>5844180</v>
      </c>
      <c r="K4556">
        <v>0</v>
      </c>
    </row>
    <row r="4557" spans="1:11" x14ac:dyDescent="0.25">
      <c r="A4557" t="s">
        <v>326</v>
      </c>
      <c r="B4557" t="s">
        <v>841</v>
      </c>
      <c r="C4557" t="s">
        <v>869</v>
      </c>
      <c r="D4557" t="s">
        <v>11</v>
      </c>
      <c r="E4557">
        <v>28</v>
      </c>
      <c r="F4557" s="2">
        <f>DATE(2026,IF(Tabla1[[#This Row],[Mes de Fecha]]="Septiembre",9,10),Tabla1[[#This Row],[Día de Fecha]])</f>
        <v>46293</v>
      </c>
      <c r="G4557">
        <v>5384359</v>
      </c>
      <c r="H4557" t="s">
        <v>842</v>
      </c>
      <c r="I4557">
        <v>14</v>
      </c>
      <c r="J4557">
        <v>0</v>
      </c>
      <c r="K4557" s="1">
        <v>1020422</v>
      </c>
    </row>
    <row r="4558" spans="1:11" x14ac:dyDescent="0.25">
      <c r="A4558" t="s">
        <v>326</v>
      </c>
      <c r="B4558" t="s">
        <v>841</v>
      </c>
      <c r="C4558" t="s">
        <v>869</v>
      </c>
      <c r="D4558" t="s">
        <v>11</v>
      </c>
      <c r="E4558">
        <v>28</v>
      </c>
      <c r="F4558" s="2">
        <f>DATE(2026,IF(Tabla1[[#This Row],[Mes de Fecha]]="Septiembre",9,10),Tabla1[[#This Row],[Día de Fecha]])</f>
        <v>46293</v>
      </c>
      <c r="G4558">
        <v>1047239609</v>
      </c>
      <c r="H4558" t="s">
        <v>843</v>
      </c>
      <c r="I4558">
        <v>26</v>
      </c>
      <c r="J4558">
        <v>0</v>
      </c>
      <c r="K4558" s="1">
        <v>1666976</v>
      </c>
    </row>
    <row r="4559" spans="1:11" x14ac:dyDescent="0.25">
      <c r="A4559" t="s">
        <v>326</v>
      </c>
      <c r="B4559" t="s">
        <v>841</v>
      </c>
      <c r="C4559" t="s">
        <v>869</v>
      </c>
      <c r="D4559" t="s">
        <v>11</v>
      </c>
      <c r="E4559">
        <v>28</v>
      </c>
      <c r="F4559" s="2">
        <f>DATE(2026,IF(Tabla1[[#This Row],[Mes de Fecha]]="Septiembre",9,10),Tabla1[[#This Row],[Día de Fecha]])</f>
        <v>46293</v>
      </c>
      <c r="G4559">
        <v>1058968916</v>
      </c>
      <c r="H4559" t="s">
        <v>844</v>
      </c>
      <c r="I4559">
        <v>13</v>
      </c>
      <c r="J4559">
        <v>0</v>
      </c>
      <c r="K4559" s="1">
        <v>738867</v>
      </c>
    </row>
    <row r="4560" spans="1:11" x14ac:dyDescent="0.25">
      <c r="A4560" t="s">
        <v>326</v>
      </c>
      <c r="B4560" t="s">
        <v>841</v>
      </c>
      <c r="C4560" t="s">
        <v>869</v>
      </c>
      <c r="D4560" t="s">
        <v>11</v>
      </c>
      <c r="E4560">
        <v>29</v>
      </c>
      <c r="F4560" s="2">
        <f>DATE(2026,IF(Tabla1[[#This Row],[Mes de Fecha]]="Septiembre",9,10),Tabla1[[#This Row],[Día de Fecha]])</f>
        <v>46294</v>
      </c>
      <c r="I4560">
        <v>0</v>
      </c>
      <c r="J4560" s="1">
        <v>6242728</v>
      </c>
      <c r="K4560">
        <v>0</v>
      </c>
    </row>
    <row r="4561" spans="1:11" x14ac:dyDescent="0.25">
      <c r="A4561" t="s">
        <v>326</v>
      </c>
      <c r="B4561" t="s">
        <v>841</v>
      </c>
      <c r="C4561" t="s">
        <v>869</v>
      </c>
      <c r="D4561" t="s">
        <v>11</v>
      </c>
      <c r="E4561">
        <v>29</v>
      </c>
      <c r="F4561" s="2">
        <f>DATE(2026,IF(Tabla1[[#This Row],[Mes de Fecha]]="Septiembre",9,10),Tabla1[[#This Row],[Día de Fecha]])</f>
        <v>46294</v>
      </c>
      <c r="G4561">
        <v>5384359</v>
      </c>
      <c r="H4561" t="s">
        <v>842</v>
      </c>
      <c r="I4561">
        <v>19</v>
      </c>
      <c r="J4561">
        <v>0</v>
      </c>
      <c r="K4561" s="1">
        <v>1255464</v>
      </c>
    </row>
    <row r="4562" spans="1:11" x14ac:dyDescent="0.25">
      <c r="A4562" t="s">
        <v>326</v>
      </c>
      <c r="B4562" t="s">
        <v>841</v>
      </c>
      <c r="C4562" t="s">
        <v>869</v>
      </c>
      <c r="D4562" t="s">
        <v>11</v>
      </c>
      <c r="E4562">
        <v>29</v>
      </c>
      <c r="F4562" s="2">
        <f>DATE(2026,IF(Tabla1[[#This Row],[Mes de Fecha]]="Septiembre",9,10),Tabla1[[#This Row],[Día de Fecha]])</f>
        <v>46294</v>
      </c>
      <c r="G4562">
        <v>1047239609</v>
      </c>
      <c r="H4562" t="s">
        <v>843</v>
      </c>
      <c r="I4562">
        <v>24</v>
      </c>
      <c r="J4562">
        <v>0</v>
      </c>
      <c r="K4562" s="1">
        <v>1177523</v>
      </c>
    </row>
    <row r="4563" spans="1:11" x14ac:dyDescent="0.25">
      <c r="A4563" t="s">
        <v>326</v>
      </c>
      <c r="B4563" t="s">
        <v>841</v>
      </c>
      <c r="C4563" t="s">
        <v>869</v>
      </c>
      <c r="D4563" t="s">
        <v>11</v>
      </c>
      <c r="E4563">
        <v>29</v>
      </c>
      <c r="F4563" s="2">
        <f>DATE(2026,IF(Tabla1[[#This Row],[Mes de Fecha]]="Septiembre",9,10),Tabla1[[#This Row],[Día de Fecha]])</f>
        <v>46294</v>
      </c>
      <c r="G4563">
        <v>1058968916</v>
      </c>
      <c r="H4563" t="s">
        <v>844</v>
      </c>
      <c r="I4563">
        <v>24</v>
      </c>
      <c r="J4563">
        <v>0</v>
      </c>
      <c r="K4563" s="1">
        <v>1549415</v>
      </c>
    </row>
    <row r="4564" spans="1:11" x14ac:dyDescent="0.25">
      <c r="A4564" t="s">
        <v>326</v>
      </c>
      <c r="B4564" t="s">
        <v>841</v>
      </c>
      <c r="C4564" t="s">
        <v>869</v>
      </c>
      <c r="D4564" t="s">
        <v>11</v>
      </c>
      <c r="E4564">
        <v>30</v>
      </c>
      <c r="F4564" s="2">
        <f>DATE(2026,IF(Tabla1[[#This Row],[Mes de Fecha]]="Septiembre",9,10),Tabla1[[#This Row],[Día de Fecha]])</f>
        <v>46295</v>
      </c>
      <c r="I4564">
        <v>0</v>
      </c>
      <c r="J4564" s="1">
        <v>6448850</v>
      </c>
      <c r="K4564">
        <v>0</v>
      </c>
    </row>
    <row r="4565" spans="1:11" x14ac:dyDescent="0.25">
      <c r="A4565" t="s">
        <v>326</v>
      </c>
      <c r="B4565" t="s">
        <v>841</v>
      </c>
      <c r="C4565" t="s">
        <v>869</v>
      </c>
      <c r="D4565" t="s">
        <v>11</v>
      </c>
      <c r="E4565">
        <v>30</v>
      </c>
      <c r="F4565" s="2">
        <f>DATE(2026,IF(Tabla1[[#This Row],[Mes de Fecha]]="Septiembre",9,10),Tabla1[[#This Row],[Día de Fecha]])</f>
        <v>46295</v>
      </c>
      <c r="G4565">
        <v>5384359</v>
      </c>
      <c r="H4565" t="s">
        <v>842</v>
      </c>
      <c r="I4565">
        <v>31</v>
      </c>
      <c r="J4565">
        <v>0</v>
      </c>
      <c r="K4565" s="1">
        <v>1977605</v>
      </c>
    </row>
    <row r="4566" spans="1:11" x14ac:dyDescent="0.25">
      <c r="A4566" t="s">
        <v>326</v>
      </c>
      <c r="B4566" t="s">
        <v>841</v>
      </c>
      <c r="C4566" t="s">
        <v>869</v>
      </c>
      <c r="D4566" t="s">
        <v>11</v>
      </c>
      <c r="E4566">
        <v>30</v>
      </c>
      <c r="F4566" s="2">
        <f>DATE(2026,IF(Tabla1[[#This Row],[Mes de Fecha]]="Septiembre",9,10),Tabla1[[#This Row],[Día de Fecha]])</f>
        <v>46295</v>
      </c>
      <c r="G4566">
        <v>1047239609</v>
      </c>
      <c r="H4566" t="s">
        <v>843</v>
      </c>
      <c r="I4566">
        <v>47</v>
      </c>
      <c r="J4566">
        <v>0</v>
      </c>
      <c r="K4566" s="1">
        <v>2896890</v>
      </c>
    </row>
    <row r="4567" spans="1:11" x14ac:dyDescent="0.25">
      <c r="A4567" t="s">
        <v>326</v>
      </c>
      <c r="B4567" t="s">
        <v>841</v>
      </c>
      <c r="C4567" t="s">
        <v>869</v>
      </c>
      <c r="D4567" t="s">
        <v>11</v>
      </c>
      <c r="E4567">
        <v>30</v>
      </c>
      <c r="F4567" s="2">
        <f>DATE(2026,IF(Tabla1[[#This Row],[Mes de Fecha]]="Septiembre",9,10),Tabla1[[#This Row],[Día de Fecha]])</f>
        <v>46295</v>
      </c>
      <c r="G4567">
        <v>1058968916</v>
      </c>
      <c r="H4567" t="s">
        <v>844</v>
      </c>
      <c r="I4567">
        <v>36</v>
      </c>
      <c r="J4567">
        <v>0</v>
      </c>
      <c r="K4567" s="1">
        <v>2151809</v>
      </c>
    </row>
    <row r="4568" spans="1:11" x14ac:dyDescent="0.25">
      <c r="A4568" t="s">
        <v>326</v>
      </c>
      <c r="B4568" t="s">
        <v>841</v>
      </c>
      <c r="C4568" t="s">
        <v>869</v>
      </c>
      <c r="D4568" t="s">
        <v>14</v>
      </c>
      <c r="E4568">
        <v>1</v>
      </c>
      <c r="F4568" s="2">
        <f>DATE(2026,IF(Tabla1[[#This Row],[Mes de Fecha]]="Septiembre",9,10),Tabla1[[#This Row],[Día de Fecha]])</f>
        <v>46296</v>
      </c>
      <c r="I4568">
        <v>0</v>
      </c>
      <c r="J4568" s="1">
        <v>3954161</v>
      </c>
      <c r="K4568">
        <v>0</v>
      </c>
    </row>
    <row r="4569" spans="1:11" x14ac:dyDescent="0.25">
      <c r="A4569" t="s">
        <v>326</v>
      </c>
      <c r="B4569" t="s">
        <v>841</v>
      </c>
      <c r="C4569" t="s">
        <v>869</v>
      </c>
      <c r="D4569" t="s">
        <v>14</v>
      </c>
      <c r="E4569">
        <v>1</v>
      </c>
      <c r="F4569" s="2">
        <f>DATE(2026,IF(Tabla1[[#This Row],[Mes de Fecha]]="Septiembre",9,10),Tabla1[[#This Row],[Día de Fecha]])</f>
        <v>46296</v>
      </c>
      <c r="G4569">
        <v>5384359</v>
      </c>
      <c r="H4569" t="s">
        <v>842</v>
      </c>
      <c r="I4569">
        <v>41</v>
      </c>
      <c r="J4569">
        <v>0</v>
      </c>
      <c r="K4569" s="1">
        <v>2298615</v>
      </c>
    </row>
    <row r="4570" spans="1:11" x14ac:dyDescent="0.25">
      <c r="A4570" t="s">
        <v>326</v>
      </c>
      <c r="B4570" t="s">
        <v>841</v>
      </c>
      <c r="C4570" t="s">
        <v>869</v>
      </c>
      <c r="D4570" t="s">
        <v>14</v>
      </c>
      <c r="E4570">
        <v>1</v>
      </c>
      <c r="F4570" s="2">
        <f>DATE(2026,IF(Tabla1[[#This Row],[Mes de Fecha]]="Septiembre",9,10),Tabla1[[#This Row],[Día de Fecha]])</f>
        <v>46296</v>
      </c>
      <c r="G4570">
        <v>1047239609</v>
      </c>
      <c r="H4570" t="s">
        <v>843</v>
      </c>
      <c r="I4570">
        <v>59</v>
      </c>
      <c r="J4570">
        <v>0</v>
      </c>
      <c r="K4570" s="1">
        <v>3587777</v>
      </c>
    </row>
    <row r="4571" spans="1:11" x14ac:dyDescent="0.25">
      <c r="A4571" t="s">
        <v>326</v>
      </c>
      <c r="B4571" t="s">
        <v>841</v>
      </c>
      <c r="C4571" t="s">
        <v>869</v>
      </c>
      <c r="D4571" t="s">
        <v>14</v>
      </c>
      <c r="E4571">
        <v>1</v>
      </c>
      <c r="F4571" s="2">
        <f>DATE(2026,IF(Tabla1[[#This Row],[Mes de Fecha]]="Septiembre",9,10),Tabla1[[#This Row],[Día de Fecha]])</f>
        <v>46296</v>
      </c>
      <c r="G4571">
        <v>1058968916</v>
      </c>
      <c r="H4571" t="s">
        <v>844</v>
      </c>
      <c r="I4571">
        <v>27</v>
      </c>
      <c r="J4571">
        <v>0</v>
      </c>
      <c r="K4571" s="1">
        <v>1219077</v>
      </c>
    </row>
    <row r="4572" spans="1:11" x14ac:dyDescent="0.25">
      <c r="A4572" t="s">
        <v>326</v>
      </c>
      <c r="B4572" t="s">
        <v>841</v>
      </c>
      <c r="C4572" t="s">
        <v>869</v>
      </c>
      <c r="D4572" t="s">
        <v>14</v>
      </c>
      <c r="E4572">
        <v>2</v>
      </c>
      <c r="F4572" s="2">
        <f>DATE(2026,IF(Tabla1[[#This Row],[Mes de Fecha]]="Septiembre",9,10),Tabla1[[#This Row],[Día de Fecha]])</f>
        <v>46297</v>
      </c>
      <c r="I4572">
        <v>0</v>
      </c>
      <c r="J4572" s="1">
        <v>5808589</v>
      </c>
      <c r="K4572">
        <v>0</v>
      </c>
    </row>
    <row r="4573" spans="1:11" x14ac:dyDescent="0.25">
      <c r="A4573" t="s">
        <v>326</v>
      </c>
      <c r="B4573" t="s">
        <v>841</v>
      </c>
      <c r="C4573" t="s">
        <v>869</v>
      </c>
      <c r="D4573" t="s">
        <v>14</v>
      </c>
      <c r="E4573">
        <v>2</v>
      </c>
      <c r="F4573" s="2">
        <f>DATE(2026,IF(Tabla1[[#This Row],[Mes de Fecha]]="Septiembre",9,10),Tabla1[[#This Row],[Día de Fecha]])</f>
        <v>46297</v>
      </c>
      <c r="G4573">
        <v>5384359</v>
      </c>
      <c r="H4573" t="s">
        <v>842</v>
      </c>
      <c r="I4573">
        <v>39</v>
      </c>
      <c r="J4573">
        <v>0</v>
      </c>
      <c r="K4573" s="1">
        <v>2300884</v>
      </c>
    </row>
    <row r="4574" spans="1:11" x14ac:dyDescent="0.25">
      <c r="A4574" t="s">
        <v>326</v>
      </c>
      <c r="B4574" t="s">
        <v>841</v>
      </c>
      <c r="C4574" t="s">
        <v>869</v>
      </c>
      <c r="D4574" t="s">
        <v>14</v>
      </c>
      <c r="E4574">
        <v>2</v>
      </c>
      <c r="F4574" s="2">
        <f>DATE(2026,IF(Tabla1[[#This Row],[Mes de Fecha]]="Septiembre",9,10),Tabla1[[#This Row],[Día de Fecha]])</f>
        <v>46297</v>
      </c>
      <c r="G4574">
        <v>1047239609</v>
      </c>
      <c r="H4574" t="s">
        <v>843</v>
      </c>
      <c r="I4574">
        <v>51</v>
      </c>
      <c r="J4574">
        <v>0</v>
      </c>
      <c r="K4574" s="1">
        <v>2600212</v>
      </c>
    </row>
    <row r="4575" spans="1:11" x14ac:dyDescent="0.25">
      <c r="A4575" t="s">
        <v>326</v>
      </c>
      <c r="B4575" t="s">
        <v>841</v>
      </c>
      <c r="C4575" t="s">
        <v>869</v>
      </c>
      <c r="D4575" t="s">
        <v>14</v>
      </c>
      <c r="E4575">
        <v>2</v>
      </c>
      <c r="F4575" s="2">
        <f>DATE(2026,IF(Tabla1[[#This Row],[Mes de Fecha]]="Septiembre",9,10),Tabla1[[#This Row],[Día de Fecha]])</f>
        <v>46297</v>
      </c>
      <c r="G4575">
        <v>1058968916</v>
      </c>
      <c r="H4575" t="s">
        <v>844</v>
      </c>
      <c r="I4575">
        <v>27</v>
      </c>
      <c r="J4575">
        <v>0</v>
      </c>
      <c r="K4575" s="1">
        <v>1197984</v>
      </c>
    </row>
    <row r="4576" spans="1:11" x14ac:dyDescent="0.25">
      <c r="A4576" t="s">
        <v>326</v>
      </c>
      <c r="B4576" t="s">
        <v>841</v>
      </c>
      <c r="C4576" t="s">
        <v>869</v>
      </c>
      <c r="D4576" t="s">
        <v>14</v>
      </c>
      <c r="E4576">
        <v>3</v>
      </c>
      <c r="F4576" s="2">
        <f>DATE(2026,IF(Tabla1[[#This Row],[Mes de Fecha]]="Septiembre",9,10),Tabla1[[#This Row],[Día de Fecha]])</f>
        <v>46298</v>
      </c>
      <c r="I4576">
        <v>0</v>
      </c>
      <c r="J4576" s="1">
        <v>12651942</v>
      </c>
      <c r="K4576">
        <v>0</v>
      </c>
    </row>
    <row r="4577" spans="1:11" x14ac:dyDescent="0.25">
      <c r="A4577" t="s">
        <v>326</v>
      </c>
      <c r="B4577" t="s">
        <v>841</v>
      </c>
      <c r="C4577" t="s">
        <v>869</v>
      </c>
      <c r="D4577" t="s">
        <v>14</v>
      </c>
      <c r="E4577">
        <v>3</v>
      </c>
      <c r="F4577" s="2">
        <f>DATE(2026,IF(Tabla1[[#This Row],[Mes de Fecha]]="Septiembre",9,10),Tabla1[[#This Row],[Día de Fecha]])</f>
        <v>46298</v>
      </c>
      <c r="G4577">
        <v>5384359</v>
      </c>
      <c r="H4577" t="s">
        <v>842</v>
      </c>
      <c r="I4577">
        <v>69</v>
      </c>
      <c r="J4577">
        <v>0</v>
      </c>
      <c r="K4577" s="1">
        <v>3452825</v>
      </c>
    </row>
    <row r="4578" spans="1:11" x14ac:dyDescent="0.25">
      <c r="A4578" t="s">
        <v>326</v>
      </c>
      <c r="B4578" t="s">
        <v>841</v>
      </c>
      <c r="C4578" t="s">
        <v>869</v>
      </c>
      <c r="D4578" t="s">
        <v>14</v>
      </c>
      <c r="E4578">
        <v>3</v>
      </c>
      <c r="F4578" s="2">
        <f>DATE(2026,IF(Tabla1[[#This Row],[Mes de Fecha]]="Septiembre",9,10),Tabla1[[#This Row],[Día de Fecha]])</f>
        <v>46298</v>
      </c>
      <c r="G4578">
        <v>1047239609</v>
      </c>
      <c r="H4578" t="s">
        <v>843</v>
      </c>
      <c r="I4578">
        <v>65</v>
      </c>
      <c r="J4578">
        <v>0</v>
      </c>
      <c r="K4578" s="1">
        <v>3905375</v>
      </c>
    </row>
    <row r="4579" spans="1:11" x14ac:dyDescent="0.25">
      <c r="A4579" t="s">
        <v>326</v>
      </c>
      <c r="B4579" t="s">
        <v>841</v>
      </c>
      <c r="C4579" t="s">
        <v>869</v>
      </c>
      <c r="D4579" t="s">
        <v>14</v>
      </c>
      <c r="E4579">
        <v>3</v>
      </c>
      <c r="F4579" s="2">
        <f>DATE(2026,IF(Tabla1[[#This Row],[Mes de Fecha]]="Septiembre",9,10),Tabla1[[#This Row],[Día de Fecha]])</f>
        <v>46298</v>
      </c>
      <c r="G4579">
        <v>1058968916</v>
      </c>
      <c r="H4579" t="s">
        <v>844</v>
      </c>
      <c r="I4579">
        <v>41</v>
      </c>
      <c r="J4579">
        <v>0</v>
      </c>
      <c r="K4579" s="1">
        <v>2360330</v>
      </c>
    </row>
    <row r="4580" spans="1:11" x14ac:dyDescent="0.25">
      <c r="A4580" t="s">
        <v>326</v>
      </c>
      <c r="B4580" t="s">
        <v>841</v>
      </c>
      <c r="C4580" t="s">
        <v>869</v>
      </c>
      <c r="D4580" t="s">
        <v>14</v>
      </c>
      <c r="E4580">
        <v>4</v>
      </c>
      <c r="F4580" s="2">
        <f>DATE(2026,IF(Tabla1[[#This Row],[Mes de Fecha]]="Septiembre",9,10),Tabla1[[#This Row],[Día de Fecha]])</f>
        <v>46299</v>
      </c>
      <c r="I4580">
        <v>0</v>
      </c>
      <c r="J4580" s="1">
        <v>13725678</v>
      </c>
      <c r="K4580">
        <v>0</v>
      </c>
    </row>
    <row r="4581" spans="1:11" x14ac:dyDescent="0.25">
      <c r="A4581" t="s">
        <v>326</v>
      </c>
      <c r="B4581" t="s">
        <v>841</v>
      </c>
      <c r="C4581" t="s">
        <v>869</v>
      </c>
      <c r="D4581" t="s">
        <v>14</v>
      </c>
      <c r="E4581">
        <v>4</v>
      </c>
      <c r="F4581" s="2">
        <f>DATE(2026,IF(Tabla1[[#This Row],[Mes de Fecha]]="Septiembre",9,10),Tabla1[[#This Row],[Día de Fecha]])</f>
        <v>46299</v>
      </c>
      <c r="G4581">
        <v>5384359</v>
      </c>
      <c r="H4581" t="s">
        <v>842</v>
      </c>
      <c r="I4581">
        <v>69</v>
      </c>
      <c r="J4581">
        <v>0</v>
      </c>
      <c r="K4581" s="1">
        <v>4207189</v>
      </c>
    </row>
    <row r="4582" spans="1:11" x14ac:dyDescent="0.25">
      <c r="A4582" t="s">
        <v>326</v>
      </c>
      <c r="B4582" t="s">
        <v>841</v>
      </c>
      <c r="C4582" t="s">
        <v>869</v>
      </c>
      <c r="D4582" t="s">
        <v>14</v>
      </c>
      <c r="E4582">
        <v>4</v>
      </c>
      <c r="F4582" s="2">
        <f>DATE(2026,IF(Tabla1[[#This Row],[Mes de Fecha]]="Septiembre",9,10),Tabla1[[#This Row],[Día de Fecha]])</f>
        <v>46299</v>
      </c>
      <c r="G4582">
        <v>1047239609</v>
      </c>
      <c r="H4582" t="s">
        <v>843</v>
      </c>
      <c r="I4582">
        <v>61</v>
      </c>
      <c r="J4582">
        <v>0</v>
      </c>
      <c r="K4582" s="1">
        <v>3978533</v>
      </c>
    </row>
    <row r="4583" spans="1:11" x14ac:dyDescent="0.25">
      <c r="A4583" t="s">
        <v>326</v>
      </c>
      <c r="B4583" t="s">
        <v>841</v>
      </c>
      <c r="C4583" t="s">
        <v>869</v>
      </c>
      <c r="D4583" t="s">
        <v>14</v>
      </c>
      <c r="E4583">
        <v>4</v>
      </c>
      <c r="F4583" s="2">
        <f>DATE(2026,IF(Tabla1[[#This Row],[Mes de Fecha]]="Septiembre",9,10),Tabla1[[#This Row],[Día de Fecha]])</f>
        <v>46299</v>
      </c>
      <c r="G4583">
        <v>1058968916</v>
      </c>
      <c r="H4583" t="s">
        <v>844</v>
      </c>
      <c r="I4583">
        <v>35</v>
      </c>
      <c r="J4583">
        <v>0</v>
      </c>
      <c r="K4583" s="1">
        <v>2607733</v>
      </c>
    </row>
    <row r="4584" spans="1:11" x14ac:dyDescent="0.25">
      <c r="A4584" t="s">
        <v>326</v>
      </c>
      <c r="B4584" t="s">
        <v>841</v>
      </c>
      <c r="C4584" t="s">
        <v>869</v>
      </c>
      <c r="D4584" t="s">
        <v>14</v>
      </c>
      <c r="E4584">
        <v>5</v>
      </c>
      <c r="F4584" s="2">
        <f>DATE(2026,IF(Tabla1[[#This Row],[Mes de Fecha]]="Septiembre",9,10),Tabla1[[#This Row],[Día de Fecha]])</f>
        <v>46300</v>
      </c>
      <c r="I4584">
        <v>0</v>
      </c>
      <c r="J4584" s="1">
        <v>5319554</v>
      </c>
      <c r="K4584">
        <v>0</v>
      </c>
    </row>
    <row r="4585" spans="1:11" x14ac:dyDescent="0.25">
      <c r="A4585" t="s">
        <v>326</v>
      </c>
      <c r="B4585" t="s">
        <v>841</v>
      </c>
      <c r="C4585" t="s">
        <v>869</v>
      </c>
      <c r="D4585" t="s">
        <v>14</v>
      </c>
      <c r="E4585">
        <v>5</v>
      </c>
      <c r="F4585" s="2">
        <f>DATE(2026,IF(Tabla1[[#This Row],[Mes de Fecha]]="Septiembre",9,10),Tabla1[[#This Row],[Día de Fecha]])</f>
        <v>46300</v>
      </c>
      <c r="G4585">
        <v>5384359</v>
      </c>
      <c r="H4585" t="s">
        <v>842</v>
      </c>
      <c r="I4585">
        <v>46</v>
      </c>
      <c r="J4585">
        <v>0</v>
      </c>
      <c r="K4585" s="1">
        <v>2931255</v>
      </c>
    </row>
    <row r="4586" spans="1:11" x14ac:dyDescent="0.25">
      <c r="A4586" t="s">
        <v>326</v>
      </c>
      <c r="B4586" t="s">
        <v>841</v>
      </c>
      <c r="C4586" t="s">
        <v>869</v>
      </c>
      <c r="D4586" t="s">
        <v>14</v>
      </c>
      <c r="E4586">
        <v>5</v>
      </c>
      <c r="F4586" s="2">
        <f>DATE(2026,IF(Tabla1[[#This Row],[Mes de Fecha]]="Septiembre",9,10),Tabla1[[#This Row],[Día de Fecha]])</f>
        <v>46300</v>
      </c>
      <c r="G4586">
        <v>1047239609</v>
      </c>
      <c r="H4586" t="s">
        <v>843</v>
      </c>
      <c r="I4586">
        <v>33</v>
      </c>
      <c r="J4586">
        <v>0</v>
      </c>
      <c r="K4586" s="1">
        <v>1912439</v>
      </c>
    </row>
    <row r="4587" spans="1:11" x14ac:dyDescent="0.25">
      <c r="A4587" t="s">
        <v>326</v>
      </c>
      <c r="B4587" t="s">
        <v>841</v>
      </c>
      <c r="C4587" t="s">
        <v>869</v>
      </c>
      <c r="D4587" t="s">
        <v>14</v>
      </c>
      <c r="E4587">
        <v>5</v>
      </c>
      <c r="F4587" s="2">
        <f>DATE(2026,IF(Tabla1[[#This Row],[Mes de Fecha]]="Septiembre",9,10),Tabla1[[#This Row],[Día de Fecha]])</f>
        <v>46300</v>
      </c>
      <c r="G4587">
        <v>1058968916</v>
      </c>
      <c r="H4587" t="s">
        <v>844</v>
      </c>
      <c r="I4587">
        <v>41</v>
      </c>
      <c r="J4587">
        <v>0</v>
      </c>
      <c r="K4587" s="1">
        <v>2464665</v>
      </c>
    </row>
    <row r="4588" spans="1:11" x14ac:dyDescent="0.25">
      <c r="A4588" t="s">
        <v>326</v>
      </c>
      <c r="B4588" t="s">
        <v>841</v>
      </c>
      <c r="C4588" t="s">
        <v>869</v>
      </c>
      <c r="D4588" t="s">
        <v>14</v>
      </c>
      <c r="E4588">
        <v>6</v>
      </c>
      <c r="F4588" s="2">
        <f>DATE(2026,IF(Tabla1[[#This Row],[Mes de Fecha]]="Septiembre",9,10),Tabla1[[#This Row],[Día de Fecha]])</f>
        <v>46301</v>
      </c>
      <c r="I4588">
        <v>0</v>
      </c>
      <c r="J4588" s="1">
        <v>4005066</v>
      </c>
      <c r="K4588">
        <v>0</v>
      </c>
    </row>
    <row r="4589" spans="1:11" x14ac:dyDescent="0.25">
      <c r="A4589" t="s">
        <v>326</v>
      </c>
      <c r="B4589" t="s">
        <v>841</v>
      </c>
      <c r="C4589" t="s">
        <v>869</v>
      </c>
      <c r="D4589" t="s">
        <v>14</v>
      </c>
      <c r="E4589">
        <v>6</v>
      </c>
      <c r="F4589" s="2">
        <f>DATE(2026,IF(Tabla1[[#This Row],[Mes de Fecha]]="Septiembre",9,10),Tabla1[[#This Row],[Día de Fecha]])</f>
        <v>46301</v>
      </c>
      <c r="G4589">
        <v>5384359</v>
      </c>
      <c r="H4589" t="s">
        <v>842</v>
      </c>
      <c r="I4589">
        <v>14</v>
      </c>
      <c r="J4589">
        <v>0</v>
      </c>
      <c r="K4589" s="1">
        <v>814454</v>
      </c>
    </row>
    <row r="4590" spans="1:11" x14ac:dyDescent="0.25">
      <c r="A4590" t="s">
        <v>326</v>
      </c>
      <c r="B4590" t="s">
        <v>841</v>
      </c>
      <c r="C4590" t="s">
        <v>869</v>
      </c>
      <c r="D4590" t="s">
        <v>14</v>
      </c>
      <c r="E4590">
        <v>6</v>
      </c>
      <c r="F4590" s="2">
        <f>DATE(2026,IF(Tabla1[[#This Row],[Mes de Fecha]]="Septiembre",9,10),Tabla1[[#This Row],[Día de Fecha]])</f>
        <v>46301</v>
      </c>
      <c r="G4590">
        <v>1047239609</v>
      </c>
      <c r="H4590" t="s">
        <v>843</v>
      </c>
      <c r="I4590">
        <v>14</v>
      </c>
      <c r="J4590">
        <v>0</v>
      </c>
      <c r="K4590" s="1">
        <v>829245</v>
      </c>
    </row>
    <row r="4591" spans="1:11" x14ac:dyDescent="0.25">
      <c r="A4591" t="s">
        <v>326</v>
      </c>
      <c r="B4591" t="s">
        <v>841</v>
      </c>
      <c r="C4591" t="s">
        <v>869</v>
      </c>
      <c r="D4591" t="s">
        <v>14</v>
      </c>
      <c r="E4591">
        <v>6</v>
      </c>
      <c r="F4591" s="2">
        <f>DATE(2026,IF(Tabla1[[#This Row],[Mes de Fecha]]="Septiembre",9,10),Tabla1[[#This Row],[Día de Fecha]])</f>
        <v>46301</v>
      </c>
      <c r="G4591">
        <v>1058968916</v>
      </c>
      <c r="H4591" t="s">
        <v>844</v>
      </c>
      <c r="I4591">
        <v>10</v>
      </c>
      <c r="J4591">
        <v>0</v>
      </c>
      <c r="K4591" s="1">
        <v>680210</v>
      </c>
    </row>
    <row r="4592" spans="1:11" x14ac:dyDescent="0.25">
      <c r="A4592" t="s">
        <v>326</v>
      </c>
      <c r="B4592" t="s">
        <v>841</v>
      </c>
      <c r="C4592" t="s">
        <v>869</v>
      </c>
      <c r="D4592" t="s">
        <v>14</v>
      </c>
      <c r="E4592">
        <v>7</v>
      </c>
      <c r="F4592" s="2">
        <f>DATE(2026,IF(Tabla1[[#This Row],[Mes de Fecha]]="Septiembre",9,10),Tabla1[[#This Row],[Día de Fecha]])</f>
        <v>46302</v>
      </c>
      <c r="I4592">
        <v>0</v>
      </c>
      <c r="J4592" s="1">
        <v>3952369</v>
      </c>
      <c r="K4592">
        <v>0</v>
      </c>
    </row>
    <row r="4593" spans="1:11" x14ac:dyDescent="0.25">
      <c r="A4593" t="s">
        <v>326</v>
      </c>
      <c r="B4593" t="s">
        <v>841</v>
      </c>
      <c r="C4593" t="s">
        <v>869</v>
      </c>
      <c r="D4593" t="s">
        <v>14</v>
      </c>
      <c r="E4593">
        <v>7</v>
      </c>
      <c r="F4593" s="2">
        <f>DATE(2026,IF(Tabla1[[#This Row],[Mes de Fecha]]="Septiembre",9,10),Tabla1[[#This Row],[Día de Fecha]])</f>
        <v>46302</v>
      </c>
      <c r="G4593">
        <v>1047239609</v>
      </c>
      <c r="H4593" t="s">
        <v>843</v>
      </c>
      <c r="I4593">
        <v>36</v>
      </c>
      <c r="J4593">
        <v>0</v>
      </c>
      <c r="K4593" s="1">
        <v>2000462</v>
      </c>
    </row>
    <row r="4594" spans="1:11" x14ac:dyDescent="0.25">
      <c r="A4594" t="s">
        <v>326</v>
      </c>
      <c r="B4594" t="s">
        <v>841</v>
      </c>
      <c r="C4594" t="s">
        <v>869</v>
      </c>
      <c r="D4594" t="s">
        <v>14</v>
      </c>
      <c r="E4594">
        <v>7</v>
      </c>
      <c r="F4594" s="2">
        <f>DATE(2026,IF(Tabla1[[#This Row],[Mes de Fecha]]="Septiembre",9,10),Tabla1[[#This Row],[Día de Fecha]])</f>
        <v>46302</v>
      </c>
      <c r="G4594">
        <v>1058968916</v>
      </c>
      <c r="H4594" t="s">
        <v>844</v>
      </c>
      <c r="I4594">
        <v>17</v>
      </c>
      <c r="J4594">
        <v>0</v>
      </c>
      <c r="K4594" s="1">
        <v>931976</v>
      </c>
    </row>
    <row r="4595" spans="1:11" x14ac:dyDescent="0.25">
      <c r="A4595" t="s">
        <v>326</v>
      </c>
      <c r="B4595" t="s">
        <v>667</v>
      </c>
      <c r="C4595" t="s">
        <v>870</v>
      </c>
      <c r="D4595" t="s">
        <v>11</v>
      </c>
      <c r="E4595">
        <v>23</v>
      </c>
      <c r="F4595" s="2">
        <f>DATE(2026,IF(Tabla1[[#This Row],[Mes de Fecha]]="Septiembre",9,10),Tabla1[[#This Row],[Día de Fecha]])</f>
        <v>46288</v>
      </c>
      <c r="I4595">
        <v>0</v>
      </c>
      <c r="J4595" s="1">
        <v>18534851</v>
      </c>
      <c r="K4595">
        <v>0</v>
      </c>
    </row>
    <row r="4596" spans="1:11" x14ac:dyDescent="0.25">
      <c r="A4596" t="s">
        <v>326</v>
      </c>
      <c r="B4596" t="s">
        <v>667</v>
      </c>
      <c r="C4596" t="s">
        <v>870</v>
      </c>
      <c r="D4596" t="s">
        <v>11</v>
      </c>
      <c r="E4596">
        <v>23</v>
      </c>
      <c r="F4596" s="2">
        <f>DATE(2026,IF(Tabla1[[#This Row],[Mes de Fecha]]="Septiembre",9,10),Tabla1[[#This Row],[Día de Fecha]])</f>
        <v>46288</v>
      </c>
      <c r="G4596">
        <v>1002760100</v>
      </c>
      <c r="H4596" t="s">
        <v>673</v>
      </c>
      <c r="I4596">
        <v>45</v>
      </c>
      <c r="J4596">
        <v>0</v>
      </c>
      <c r="K4596" s="1">
        <v>2722860</v>
      </c>
    </row>
    <row r="4597" spans="1:11" x14ac:dyDescent="0.25">
      <c r="A4597" t="s">
        <v>326</v>
      </c>
      <c r="B4597" t="s">
        <v>667</v>
      </c>
      <c r="C4597" t="s">
        <v>870</v>
      </c>
      <c r="D4597" t="s">
        <v>11</v>
      </c>
      <c r="E4597">
        <v>23</v>
      </c>
      <c r="F4597" s="2">
        <f>DATE(2026,IF(Tabla1[[#This Row],[Mes de Fecha]]="Septiembre",9,10),Tabla1[[#This Row],[Día de Fecha]])</f>
        <v>46288</v>
      </c>
      <c r="G4597">
        <v>1006554137</v>
      </c>
      <c r="H4597" t="s">
        <v>669</v>
      </c>
      <c r="I4597">
        <v>66</v>
      </c>
      <c r="J4597">
        <v>0</v>
      </c>
      <c r="K4597" s="1">
        <v>3705047</v>
      </c>
    </row>
    <row r="4598" spans="1:11" x14ac:dyDescent="0.25">
      <c r="A4598" t="s">
        <v>326</v>
      </c>
      <c r="B4598" t="s">
        <v>667</v>
      </c>
      <c r="C4598" t="s">
        <v>870</v>
      </c>
      <c r="D4598" t="s">
        <v>11</v>
      </c>
      <c r="E4598">
        <v>23</v>
      </c>
      <c r="F4598" s="2">
        <f>DATE(2026,IF(Tabla1[[#This Row],[Mes de Fecha]]="Septiembre",9,10),Tabla1[[#This Row],[Día de Fecha]])</f>
        <v>46288</v>
      </c>
      <c r="G4598">
        <v>1007540210</v>
      </c>
      <c r="H4598" t="s">
        <v>674</v>
      </c>
      <c r="I4598">
        <v>47</v>
      </c>
      <c r="J4598">
        <v>0</v>
      </c>
      <c r="K4598" s="1">
        <v>2638571</v>
      </c>
    </row>
    <row r="4599" spans="1:11" x14ac:dyDescent="0.25">
      <c r="A4599" t="s">
        <v>326</v>
      </c>
      <c r="B4599" t="s">
        <v>667</v>
      </c>
      <c r="C4599" t="s">
        <v>870</v>
      </c>
      <c r="D4599" t="s">
        <v>11</v>
      </c>
      <c r="E4599">
        <v>23</v>
      </c>
      <c r="F4599" s="2">
        <f>DATE(2026,IF(Tabla1[[#This Row],[Mes de Fecha]]="Septiembre",9,10),Tabla1[[#This Row],[Día de Fecha]])</f>
        <v>46288</v>
      </c>
      <c r="G4599">
        <v>1118575599</v>
      </c>
      <c r="H4599" t="s">
        <v>670</v>
      </c>
      <c r="I4599">
        <v>55</v>
      </c>
      <c r="J4599">
        <v>0</v>
      </c>
      <c r="K4599" s="1">
        <v>3367398</v>
      </c>
    </row>
    <row r="4600" spans="1:11" x14ac:dyDescent="0.25">
      <c r="A4600" t="s">
        <v>326</v>
      </c>
      <c r="B4600" t="s">
        <v>667</v>
      </c>
      <c r="C4600" t="s">
        <v>870</v>
      </c>
      <c r="D4600" t="s">
        <v>11</v>
      </c>
      <c r="E4600">
        <v>24</v>
      </c>
      <c r="F4600" s="2">
        <f>DATE(2026,IF(Tabla1[[#This Row],[Mes de Fecha]]="Septiembre",9,10),Tabla1[[#This Row],[Día de Fecha]])</f>
        <v>46289</v>
      </c>
      <c r="I4600">
        <v>0</v>
      </c>
      <c r="J4600" s="1">
        <v>28314068</v>
      </c>
      <c r="K4600">
        <v>0</v>
      </c>
    </row>
    <row r="4601" spans="1:11" x14ac:dyDescent="0.25">
      <c r="A4601" t="s">
        <v>326</v>
      </c>
      <c r="B4601" t="s">
        <v>667</v>
      </c>
      <c r="C4601" t="s">
        <v>870</v>
      </c>
      <c r="D4601" t="s">
        <v>11</v>
      </c>
      <c r="E4601">
        <v>24</v>
      </c>
      <c r="F4601" s="2">
        <f>DATE(2026,IF(Tabla1[[#This Row],[Mes de Fecha]]="Septiembre",9,10),Tabla1[[#This Row],[Día de Fecha]])</f>
        <v>46289</v>
      </c>
      <c r="G4601">
        <v>1006554137</v>
      </c>
      <c r="H4601" t="s">
        <v>669</v>
      </c>
      <c r="I4601">
        <v>52</v>
      </c>
      <c r="J4601">
        <v>0</v>
      </c>
      <c r="K4601" s="1">
        <v>2896893</v>
      </c>
    </row>
    <row r="4602" spans="1:11" x14ac:dyDescent="0.25">
      <c r="A4602" t="s">
        <v>326</v>
      </c>
      <c r="B4602" t="s">
        <v>667</v>
      </c>
      <c r="C4602" t="s">
        <v>870</v>
      </c>
      <c r="D4602" t="s">
        <v>11</v>
      </c>
      <c r="E4602">
        <v>24</v>
      </c>
      <c r="F4602" s="2">
        <f>DATE(2026,IF(Tabla1[[#This Row],[Mes de Fecha]]="Septiembre",9,10),Tabla1[[#This Row],[Día de Fecha]])</f>
        <v>46289</v>
      </c>
      <c r="G4602">
        <v>1006557709</v>
      </c>
      <c r="H4602" t="s">
        <v>675</v>
      </c>
      <c r="I4602">
        <v>63</v>
      </c>
      <c r="J4602">
        <v>0</v>
      </c>
      <c r="K4602" s="1">
        <v>3440590</v>
      </c>
    </row>
    <row r="4603" spans="1:11" x14ac:dyDescent="0.25">
      <c r="A4603" t="s">
        <v>326</v>
      </c>
      <c r="B4603" t="s">
        <v>667</v>
      </c>
      <c r="C4603" t="s">
        <v>870</v>
      </c>
      <c r="D4603" t="s">
        <v>11</v>
      </c>
      <c r="E4603">
        <v>24</v>
      </c>
      <c r="F4603" s="2">
        <f>DATE(2026,IF(Tabla1[[#This Row],[Mes de Fecha]]="Septiembre",9,10),Tabla1[[#This Row],[Día de Fecha]])</f>
        <v>46289</v>
      </c>
      <c r="G4603">
        <v>1057579346</v>
      </c>
      <c r="H4603" t="s">
        <v>676</v>
      </c>
      <c r="I4603">
        <v>68</v>
      </c>
      <c r="J4603">
        <v>0</v>
      </c>
      <c r="K4603" s="1">
        <v>3497021</v>
      </c>
    </row>
    <row r="4604" spans="1:11" x14ac:dyDescent="0.25">
      <c r="A4604" t="s">
        <v>326</v>
      </c>
      <c r="B4604" t="s">
        <v>667</v>
      </c>
      <c r="C4604" t="s">
        <v>870</v>
      </c>
      <c r="D4604" t="s">
        <v>11</v>
      </c>
      <c r="E4604">
        <v>24</v>
      </c>
      <c r="F4604" s="2">
        <f>DATE(2026,IF(Tabla1[[#This Row],[Mes de Fecha]]="Septiembre",9,10),Tabla1[[#This Row],[Día de Fecha]])</f>
        <v>46289</v>
      </c>
      <c r="G4604">
        <v>1118575599</v>
      </c>
      <c r="H4604" t="s">
        <v>670</v>
      </c>
      <c r="I4604">
        <v>131</v>
      </c>
      <c r="J4604">
        <v>0</v>
      </c>
      <c r="K4604" s="1">
        <v>6954161</v>
      </c>
    </row>
    <row r="4605" spans="1:11" x14ac:dyDescent="0.25">
      <c r="A4605" t="s">
        <v>326</v>
      </c>
      <c r="B4605" t="s">
        <v>667</v>
      </c>
      <c r="C4605" t="s">
        <v>870</v>
      </c>
      <c r="D4605" t="s">
        <v>11</v>
      </c>
      <c r="E4605">
        <v>25</v>
      </c>
      <c r="F4605" s="2">
        <f>DATE(2026,IF(Tabla1[[#This Row],[Mes de Fecha]]="Septiembre",9,10),Tabla1[[#This Row],[Día de Fecha]])</f>
        <v>46290</v>
      </c>
      <c r="I4605">
        <v>0</v>
      </c>
      <c r="J4605" s="1">
        <v>28251386</v>
      </c>
      <c r="K4605">
        <v>0</v>
      </c>
    </row>
    <row r="4606" spans="1:11" x14ac:dyDescent="0.25">
      <c r="A4606" t="s">
        <v>326</v>
      </c>
      <c r="B4606" t="s">
        <v>667</v>
      </c>
      <c r="C4606" t="s">
        <v>870</v>
      </c>
      <c r="D4606" t="s">
        <v>11</v>
      </c>
      <c r="E4606">
        <v>25</v>
      </c>
      <c r="F4606" s="2">
        <f>DATE(2026,IF(Tabla1[[#This Row],[Mes de Fecha]]="Septiembre",9,10),Tabla1[[#This Row],[Día de Fecha]])</f>
        <v>46290</v>
      </c>
      <c r="G4606">
        <v>1002760100</v>
      </c>
      <c r="H4606" t="s">
        <v>673</v>
      </c>
      <c r="I4606">
        <v>37</v>
      </c>
      <c r="J4606">
        <v>0</v>
      </c>
      <c r="K4606" s="1">
        <v>1952229</v>
      </c>
    </row>
    <row r="4607" spans="1:11" x14ac:dyDescent="0.25">
      <c r="A4607" t="s">
        <v>326</v>
      </c>
      <c r="B4607" t="s">
        <v>667</v>
      </c>
      <c r="C4607" t="s">
        <v>870</v>
      </c>
      <c r="D4607" t="s">
        <v>11</v>
      </c>
      <c r="E4607">
        <v>25</v>
      </c>
      <c r="F4607" s="2">
        <f>DATE(2026,IF(Tabla1[[#This Row],[Mes de Fecha]]="Septiembre",9,10),Tabla1[[#This Row],[Día de Fecha]])</f>
        <v>46290</v>
      </c>
      <c r="G4607">
        <v>1006554137</v>
      </c>
      <c r="H4607" t="s">
        <v>669</v>
      </c>
      <c r="I4607">
        <v>136</v>
      </c>
      <c r="J4607">
        <v>0</v>
      </c>
      <c r="K4607" s="1">
        <v>7427028</v>
      </c>
    </row>
    <row r="4608" spans="1:11" x14ac:dyDescent="0.25">
      <c r="A4608" t="s">
        <v>326</v>
      </c>
      <c r="B4608" t="s">
        <v>667</v>
      </c>
      <c r="C4608" t="s">
        <v>870</v>
      </c>
      <c r="D4608" t="s">
        <v>11</v>
      </c>
      <c r="E4608">
        <v>25</v>
      </c>
      <c r="F4608" s="2">
        <f>DATE(2026,IF(Tabla1[[#This Row],[Mes de Fecha]]="Septiembre",9,10),Tabla1[[#This Row],[Día de Fecha]])</f>
        <v>46290</v>
      </c>
      <c r="G4608">
        <v>1007540210</v>
      </c>
      <c r="H4608" t="s">
        <v>674</v>
      </c>
      <c r="I4608">
        <v>74</v>
      </c>
      <c r="J4608">
        <v>0</v>
      </c>
      <c r="K4608" s="1">
        <v>4045169</v>
      </c>
    </row>
    <row r="4609" spans="1:11" x14ac:dyDescent="0.25">
      <c r="A4609" t="s">
        <v>326</v>
      </c>
      <c r="B4609" t="s">
        <v>667</v>
      </c>
      <c r="C4609" t="s">
        <v>870</v>
      </c>
      <c r="D4609" t="s">
        <v>11</v>
      </c>
      <c r="E4609">
        <v>25</v>
      </c>
      <c r="F4609" s="2">
        <f>DATE(2026,IF(Tabla1[[#This Row],[Mes de Fecha]]="Septiembre",9,10),Tabla1[[#This Row],[Día de Fecha]])</f>
        <v>46290</v>
      </c>
      <c r="G4609">
        <v>1057579346</v>
      </c>
      <c r="H4609" t="s">
        <v>676</v>
      </c>
      <c r="I4609">
        <v>6</v>
      </c>
      <c r="J4609">
        <v>0</v>
      </c>
      <c r="K4609" s="1">
        <v>293866</v>
      </c>
    </row>
    <row r="4610" spans="1:11" x14ac:dyDescent="0.25">
      <c r="A4610" t="s">
        <v>326</v>
      </c>
      <c r="B4610" t="s">
        <v>667</v>
      </c>
      <c r="C4610" t="s">
        <v>870</v>
      </c>
      <c r="D4610" t="s">
        <v>11</v>
      </c>
      <c r="E4610">
        <v>25</v>
      </c>
      <c r="F4610" s="2">
        <f>DATE(2026,IF(Tabla1[[#This Row],[Mes de Fecha]]="Septiembre",9,10),Tabla1[[#This Row],[Día de Fecha]])</f>
        <v>46290</v>
      </c>
      <c r="G4610">
        <v>1118575599</v>
      </c>
      <c r="H4610" t="s">
        <v>670</v>
      </c>
      <c r="I4610">
        <v>81</v>
      </c>
      <c r="J4610">
        <v>0</v>
      </c>
      <c r="K4610" s="1">
        <v>4252903</v>
      </c>
    </row>
    <row r="4611" spans="1:11" x14ac:dyDescent="0.25">
      <c r="A4611" t="s">
        <v>326</v>
      </c>
      <c r="B4611" t="s">
        <v>667</v>
      </c>
      <c r="C4611" t="s">
        <v>870</v>
      </c>
      <c r="D4611" t="s">
        <v>11</v>
      </c>
      <c r="E4611">
        <v>26</v>
      </c>
      <c r="F4611" s="2">
        <f>DATE(2026,IF(Tabla1[[#This Row],[Mes de Fecha]]="Septiembre",9,10),Tabla1[[#This Row],[Día de Fecha]])</f>
        <v>46291</v>
      </c>
      <c r="I4611">
        <v>0</v>
      </c>
      <c r="J4611" s="1">
        <v>40601303</v>
      </c>
      <c r="K4611">
        <v>0</v>
      </c>
    </row>
    <row r="4612" spans="1:11" x14ac:dyDescent="0.25">
      <c r="A4612" t="s">
        <v>326</v>
      </c>
      <c r="B4612" t="s">
        <v>667</v>
      </c>
      <c r="C4612" t="s">
        <v>870</v>
      </c>
      <c r="D4612" t="s">
        <v>11</v>
      </c>
      <c r="E4612">
        <v>26</v>
      </c>
      <c r="F4612" s="2">
        <f>DATE(2026,IF(Tabla1[[#This Row],[Mes de Fecha]]="Septiembre",9,10),Tabla1[[#This Row],[Día de Fecha]])</f>
        <v>46291</v>
      </c>
      <c r="G4612">
        <v>1006554137</v>
      </c>
      <c r="H4612" t="s">
        <v>669</v>
      </c>
      <c r="I4612">
        <v>190</v>
      </c>
      <c r="J4612">
        <v>0</v>
      </c>
      <c r="K4612" s="1">
        <v>10596902</v>
      </c>
    </row>
    <row r="4613" spans="1:11" x14ac:dyDescent="0.25">
      <c r="A4613" t="s">
        <v>326</v>
      </c>
      <c r="B4613" t="s">
        <v>667</v>
      </c>
      <c r="C4613" t="s">
        <v>870</v>
      </c>
      <c r="D4613" t="s">
        <v>11</v>
      </c>
      <c r="E4613">
        <v>26</v>
      </c>
      <c r="F4613" s="2">
        <f>DATE(2026,IF(Tabla1[[#This Row],[Mes de Fecha]]="Septiembre",9,10),Tabla1[[#This Row],[Día de Fecha]])</f>
        <v>46291</v>
      </c>
      <c r="G4613">
        <v>1006557709</v>
      </c>
      <c r="H4613" t="s">
        <v>675</v>
      </c>
      <c r="I4613">
        <v>83</v>
      </c>
      <c r="J4613">
        <v>0</v>
      </c>
      <c r="K4613" s="1">
        <v>4030003</v>
      </c>
    </row>
    <row r="4614" spans="1:11" x14ac:dyDescent="0.25">
      <c r="A4614" t="s">
        <v>326</v>
      </c>
      <c r="B4614" t="s">
        <v>667</v>
      </c>
      <c r="C4614" t="s">
        <v>870</v>
      </c>
      <c r="D4614" t="s">
        <v>11</v>
      </c>
      <c r="E4614">
        <v>26</v>
      </c>
      <c r="F4614" s="2">
        <f>DATE(2026,IF(Tabla1[[#This Row],[Mes de Fecha]]="Septiembre",9,10),Tabla1[[#This Row],[Día de Fecha]])</f>
        <v>46291</v>
      </c>
      <c r="G4614">
        <v>1057579346</v>
      </c>
      <c r="H4614" t="s">
        <v>676</v>
      </c>
      <c r="I4614">
        <v>94</v>
      </c>
      <c r="J4614">
        <v>0</v>
      </c>
      <c r="K4614" s="1">
        <v>5166185</v>
      </c>
    </row>
    <row r="4615" spans="1:11" x14ac:dyDescent="0.25">
      <c r="A4615" t="s">
        <v>326</v>
      </c>
      <c r="B4615" t="s">
        <v>667</v>
      </c>
      <c r="C4615" t="s">
        <v>870</v>
      </c>
      <c r="D4615" t="s">
        <v>11</v>
      </c>
      <c r="E4615">
        <v>26</v>
      </c>
      <c r="F4615" s="2">
        <f>DATE(2026,IF(Tabla1[[#This Row],[Mes de Fecha]]="Septiembre",9,10),Tabla1[[#This Row],[Día de Fecha]])</f>
        <v>46291</v>
      </c>
      <c r="G4615">
        <v>1118575599</v>
      </c>
      <c r="H4615" t="s">
        <v>670</v>
      </c>
      <c r="I4615">
        <v>152</v>
      </c>
      <c r="J4615">
        <v>0</v>
      </c>
      <c r="K4615" s="1">
        <v>8214087</v>
      </c>
    </row>
    <row r="4616" spans="1:11" x14ac:dyDescent="0.25">
      <c r="A4616" t="s">
        <v>326</v>
      </c>
      <c r="B4616" t="s">
        <v>667</v>
      </c>
      <c r="C4616" t="s">
        <v>870</v>
      </c>
      <c r="D4616" t="s">
        <v>11</v>
      </c>
      <c r="E4616">
        <v>27</v>
      </c>
      <c r="F4616" s="2">
        <f>DATE(2026,IF(Tabla1[[#This Row],[Mes de Fecha]]="Septiembre",9,10),Tabla1[[#This Row],[Día de Fecha]])</f>
        <v>46292</v>
      </c>
      <c r="I4616">
        <v>0</v>
      </c>
      <c r="J4616" s="1">
        <v>32164405</v>
      </c>
      <c r="K4616">
        <v>0</v>
      </c>
    </row>
    <row r="4617" spans="1:11" x14ac:dyDescent="0.25">
      <c r="A4617" t="s">
        <v>326</v>
      </c>
      <c r="B4617" t="s">
        <v>667</v>
      </c>
      <c r="C4617" t="s">
        <v>870</v>
      </c>
      <c r="D4617" t="s">
        <v>11</v>
      </c>
      <c r="E4617">
        <v>27</v>
      </c>
      <c r="F4617" s="2">
        <f>DATE(2026,IF(Tabla1[[#This Row],[Mes de Fecha]]="Septiembre",9,10),Tabla1[[#This Row],[Día de Fecha]])</f>
        <v>46292</v>
      </c>
      <c r="G4617">
        <v>1002760100</v>
      </c>
      <c r="H4617" t="s">
        <v>673</v>
      </c>
      <c r="I4617">
        <v>96</v>
      </c>
      <c r="J4617">
        <v>0</v>
      </c>
      <c r="K4617" s="1">
        <v>5739456</v>
      </c>
    </row>
    <row r="4618" spans="1:11" x14ac:dyDescent="0.25">
      <c r="A4618" t="s">
        <v>326</v>
      </c>
      <c r="B4618" t="s">
        <v>667</v>
      </c>
      <c r="C4618" t="s">
        <v>870</v>
      </c>
      <c r="D4618" t="s">
        <v>11</v>
      </c>
      <c r="E4618">
        <v>27</v>
      </c>
      <c r="F4618" s="2">
        <f>DATE(2026,IF(Tabla1[[#This Row],[Mes de Fecha]]="Septiembre",9,10),Tabla1[[#This Row],[Día de Fecha]])</f>
        <v>46292</v>
      </c>
      <c r="G4618">
        <v>1006554137</v>
      </c>
      <c r="H4618" t="s">
        <v>669</v>
      </c>
      <c r="I4618">
        <v>153</v>
      </c>
      <c r="J4618">
        <v>0</v>
      </c>
      <c r="K4618" s="1">
        <v>9144672</v>
      </c>
    </row>
    <row r="4619" spans="1:11" x14ac:dyDescent="0.25">
      <c r="A4619" t="s">
        <v>326</v>
      </c>
      <c r="B4619" t="s">
        <v>667</v>
      </c>
      <c r="C4619" t="s">
        <v>870</v>
      </c>
      <c r="D4619" t="s">
        <v>11</v>
      </c>
      <c r="E4619">
        <v>27</v>
      </c>
      <c r="F4619" s="2">
        <f>DATE(2026,IF(Tabla1[[#This Row],[Mes de Fecha]]="Septiembre",9,10),Tabla1[[#This Row],[Día de Fecha]])</f>
        <v>46292</v>
      </c>
      <c r="G4619">
        <v>1007540210</v>
      </c>
      <c r="H4619" t="s">
        <v>674</v>
      </c>
      <c r="I4619">
        <v>46</v>
      </c>
      <c r="J4619">
        <v>0</v>
      </c>
      <c r="K4619" s="1">
        <v>2815296</v>
      </c>
    </row>
    <row r="4620" spans="1:11" x14ac:dyDescent="0.25">
      <c r="A4620" t="s">
        <v>326</v>
      </c>
      <c r="B4620" t="s">
        <v>667</v>
      </c>
      <c r="C4620" t="s">
        <v>870</v>
      </c>
      <c r="D4620" t="s">
        <v>11</v>
      </c>
      <c r="E4620">
        <v>27</v>
      </c>
      <c r="F4620" s="2">
        <f>DATE(2026,IF(Tabla1[[#This Row],[Mes de Fecha]]="Septiembre",9,10),Tabla1[[#This Row],[Día de Fecha]])</f>
        <v>46292</v>
      </c>
      <c r="G4620">
        <v>1118575599</v>
      </c>
      <c r="H4620" t="s">
        <v>670</v>
      </c>
      <c r="I4620">
        <v>151</v>
      </c>
      <c r="J4620">
        <v>0</v>
      </c>
      <c r="K4620" s="1">
        <v>9272740</v>
      </c>
    </row>
    <row r="4621" spans="1:11" x14ac:dyDescent="0.25">
      <c r="A4621" t="s">
        <v>326</v>
      </c>
      <c r="B4621" t="s">
        <v>667</v>
      </c>
      <c r="C4621" t="s">
        <v>870</v>
      </c>
      <c r="D4621" t="s">
        <v>11</v>
      </c>
      <c r="E4621">
        <v>28</v>
      </c>
      <c r="F4621" s="2">
        <f>DATE(2026,IF(Tabla1[[#This Row],[Mes de Fecha]]="Septiembre",9,10),Tabla1[[#This Row],[Día de Fecha]])</f>
        <v>46293</v>
      </c>
      <c r="I4621">
        <v>0</v>
      </c>
      <c r="J4621" s="1">
        <v>17701969</v>
      </c>
      <c r="K4621">
        <v>0</v>
      </c>
    </row>
    <row r="4622" spans="1:11" x14ac:dyDescent="0.25">
      <c r="A4622" t="s">
        <v>326</v>
      </c>
      <c r="B4622" t="s">
        <v>667</v>
      </c>
      <c r="C4622" t="s">
        <v>870</v>
      </c>
      <c r="D4622" t="s">
        <v>11</v>
      </c>
      <c r="E4622">
        <v>28</v>
      </c>
      <c r="F4622" s="2">
        <f>DATE(2026,IF(Tabla1[[#This Row],[Mes de Fecha]]="Septiembre",9,10),Tabla1[[#This Row],[Día de Fecha]])</f>
        <v>46293</v>
      </c>
      <c r="G4622">
        <v>1006554137</v>
      </c>
      <c r="H4622" t="s">
        <v>669</v>
      </c>
      <c r="I4622">
        <v>47</v>
      </c>
      <c r="J4622">
        <v>0</v>
      </c>
      <c r="K4622" s="1">
        <v>2750129</v>
      </c>
    </row>
    <row r="4623" spans="1:11" x14ac:dyDescent="0.25">
      <c r="A4623" t="s">
        <v>326</v>
      </c>
      <c r="B4623" t="s">
        <v>667</v>
      </c>
      <c r="C4623" t="s">
        <v>870</v>
      </c>
      <c r="D4623" t="s">
        <v>11</v>
      </c>
      <c r="E4623">
        <v>28</v>
      </c>
      <c r="F4623" s="2">
        <f>DATE(2026,IF(Tabla1[[#This Row],[Mes de Fecha]]="Septiembre",9,10),Tabla1[[#This Row],[Día de Fecha]])</f>
        <v>46293</v>
      </c>
      <c r="G4623">
        <v>1006557709</v>
      </c>
      <c r="H4623" t="s">
        <v>675</v>
      </c>
      <c r="I4623">
        <v>28</v>
      </c>
      <c r="J4623">
        <v>0</v>
      </c>
      <c r="K4623" s="1">
        <v>1687900</v>
      </c>
    </row>
    <row r="4624" spans="1:11" x14ac:dyDescent="0.25">
      <c r="A4624" t="s">
        <v>326</v>
      </c>
      <c r="B4624" t="s">
        <v>667</v>
      </c>
      <c r="C4624" t="s">
        <v>870</v>
      </c>
      <c r="D4624" t="s">
        <v>11</v>
      </c>
      <c r="E4624">
        <v>28</v>
      </c>
      <c r="F4624" s="2">
        <f>DATE(2026,IF(Tabla1[[#This Row],[Mes de Fecha]]="Septiembre",9,10),Tabla1[[#This Row],[Día de Fecha]])</f>
        <v>46293</v>
      </c>
      <c r="G4624">
        <v>1057579346</v>
      </c>
      <c r="H4624" t="s">
        <v>676</v>
      </c>
      <c r="I4624">
        <v>42</v>
      </c>
      <c r="J4624">
        <v>0</v>
      </c>
      <c r="K4624" s="1">
        <v>2208320</v>
      </c>
    </row>
    <row r="4625" spans="1:11" x14ac:dyDescent="0.25">
      <c r="A4625" t="s">
        <v>326</v>
      </c>
      <c r="B4625" t="s">
        <v>667</v>
      </c>
      <c r="C4625" t="s">
        <v>870</v>
      </c>
      <c r="D4625" t="s">
        <v>11</v>
      </c>
      <c r="E4625">
        <v>28</v>
      </c>
      <c r="F4625" s="2">
        <f>DATE(2026,IF(Tabla1[[#This Row],[Mes de Fecha]]="Septiembre",9,10),Tabla1[[#This Row],[Día de Fecha]])</f>
        <v>46293</v>
      </c>
      <c r="G4625">
        <v>1113647023</v>
      </c>
      <c r="H4625" t="s">
        <v>671</v>
      </c>
      <c r="I4625">
        <v>-1</v>
      </c>
      <c r="J4625">
        <v>0</v>
      </c>
      <c r="K4625" s="1">
        <v>-75588</v>
      </c>
    </row>
    <row r="4626" spans="1:11" x14ac:dyDescent="0.25">
      <c r="A4626" t="s">
        <v>326</v>
      </c>
      <c r="B4626" t="s">
        <v>667</v>
      </c>
      <c r="C4626" t="s">
        <v>870</v>
      </c>
      <c r="D4626" t="s">
        <v>11</v>
      </c>
      <c r="E4626">
        <v>28</v>
      </c>
      <c r="F4626" s="2">
        <f>DATE(2026,IF(Tabla1[[#This Row],[Mes de Fecha]]="Septiembre",9,10),Tabla1[[#This Row],[Día de Fecha]])</f>
        <v>46293</v>
      </c>
      <c r="G4626">
        <v>1118575599</v>
      </c>
      <c r="H4626" t="s">
        <v>670</v>
      </c>
      <c r="I4626">
        <v>84</v>
      </c>
      <c r="J4626">
        <v>0</v>
      </c>
      <c r="K4626" s="1">
        <v>5008909</v>
      </c>
    </row>
    <row r="4627" spans="1:11" x14ac:dyDescent="0.25">
      <c r="A4627" t="s">
        <v>326</v>
      </c>
      <c r="B4627" t="s">
        <v>667</v>
      </c>
      <c r="C4627" t="s">
        <v>870</v>
      </c>
      <c r="D4627" t="s">
        <v>11</v>
      </c>
      <c r="E4627">
        <v>29</v>
      </c>
      <c r="F4627" s="2">
        <f>DATE(2026,IF(Tabla1[[#This Row],[Mes de Fecha]]="Septiembre",9,10),Tabla1[[#This Row],[Día de Fecha]])</f>
        <v>46294</v>
      </c>
      <c r="I4627">
        <v>0</v>
      </c>
      <c r="J4627" s="1">
        <v>18909166</v>
      </c>
      <c r="K4627">
        <v>0</v>
      </c>
    </row>
    <row r="4628" spans="1:11" x14ac:dyDescent="0.25">
      <c r="A4628" t="s">
        <v>326</v>
      </c>
      <c r="B4628" t="s">
        <v>667</v>
      </c>
      <c r="C4628" t="s">
        <v>870</v>
      </c>
      <c r="D4628" t="s">
        <v>11</v>
      </c>
      <c r="E4628">
        <v>29</v>
      </c>
      <c r="F4628" s="2">
        <f>DATE(2026,IF(Tabla1[[#This Row],[Mes de Fecha]]="Septiembre",9,10),Tabla1[[#This Row],[Día de Fecha]])</f>
        <v>46294</v>
      </c>
      <c r="G4628">
        <v>1002760100</v>
      </c>
      <c r="H4628" t="s">
        <v>673</v>
      </c>
      <c r="I4628">
        <v>35</v>
      </c>
      <c r="J4628">
        <v>0</v>
      </c>
      <c r="K4628" s="1">
        <v>1788447</v>
      </c>
    </row>
    <row r="4629" spans="1:11" x14ac:dyDescent="0.25">
      <c r="A4629" t="s">
        <v>326</v>
      </c>
      <c r="B4629" t="s">
        <v>667</v>
      </c>
      <c r="C4629" t="s">
        <v>870</v>
      </c>
      <c r="D4629" t="s">
        <v>11</v>
      </c>
      <c r="E4629">
        <v>29</v>
      </c>
      <c r="F4629" s="2">
        <f>DATE(2026,IF(Tabla1[[#This Row],[Mes de Fecha]]="Septiembre",9,10),Tabla1[[#This Row],[Día de Fecha]])</f>
        <v>46294</v>
      </c>
      <c r="G4629">
        <v>1006554137</v>
      </c>
      <c r="H4629" t="s">
        <v>669</v>
      </c>
      <c r="I4629">
        <v>87</v>
      </c>
      <c r="J4629">
        <v>0</v>
      </c>
      <c r="K4629" s="1">
        <v>5197905</v>
      </c>
    </row>
    <row r="4630" spans="1:11" x14ac:dyDescent="0.25">
      <c r="A4630" t="s">
        <v>326</v>
      </c>
      <c r="B4630" t="s">
        <v>667</v>
      </c>
      <c r="C4630" t="s">
        <v>870</v>
      </c>
      <c r="D4630" t="s">
        <v>11</v>
      </c>
      <c r="E4630">
        <v>29</v>
      </c>
      <c r="F4630" s="2">
        <f>DATE(2026,IF(Tabla1[[#This Row],[Mes de Fecha]]="Septiembre",9,10),Tabla1[[#This Row],[Día de Fecha]])</f>
        <v>46294</v>
      </c>
      <c r="G4630">
        <v>1007540210</v>
      </c>
      <c r="H4630" t="s">
        <v>674</v>
      </c>
      <c r="I4630">
        <v>16</v>
      </c>
      <c r="J4630">
        <v>0</v>
      </c>
      <c r="K4630" s="1">
        <v>852271</v>
      </c>
    </row>
    <row r="4631" spans="1:11" x14ac:dyDescent="0.25">
      <c r="A4631" t="s">
        <v>326</v>
      </c>
      <c r="B4631" t="s">
        <v>667</v>
      </c>
      <c r="C4631" t="s">
        <v>870</v>
      </c>
      <c r="D4631" t="s">
        <v>11</v>
      </c>
      <c r="E4631">
        <v>29</v>
      </c>
      <c r="F4631" s="2">
        <f>DATE(2026,IF(Tabla1[[#This Row],[Mes de Fecha]]="Septiembre",9,10),Tabla1[[#This Row],[Día de Fecha]])</f>
        <v>46294</v>
      </c>
      <c r="G4631">
        <v>1118575599</v>
      </c>
      <c r="H4631" t="s">
        <v>670</v>
      </c>
      <c r="I4631">
        <v>62</v>
      </c>
      <c r="J4631">
        <v>0</v>
      </c>
      <c r="K4631" s="1">
        <v>3535173</v>
      </c>
    </row>
    <row r="4632" spans="1:11" x14ac:dyDescent="0.25">
      <c r="A4632" t="s">
        <v>326</v>
      </c>
      <c r="B4632" t="s">
        <v>667</v>
      </c>
      <c r="C4632" t="s">
        <v>870</v>
      </c>
      <c r="D4632" t="s">
        <v>11</v>
      </c>
      <c r="E4632">
        <v>30</v>
      </c>
      <c r="F4632" s="2">
        <f>DATE(2026,IF(Tabla1[[#This Row],[Mes de Fecha]]="Septiembre",9,10),Tabla1[[#This Row],[Día de Fecha]])</f>
        <v>46295</v>
      </c>
      <c r="I4632">
        <v>0</v>
      </c>
      <c r="J4632" s="1">
        <v>19533507</v>
      </c>
      <c r="K4632">
        <v>0</v>
      </c>
    </row>
    <row r="4633" spans="1:11" x14ac:dyDescent="0.25">
      <c r="A4633" t="s">
        <v>326</v>
      </c>
      <c r="B4633" t="s">
        <v>667</v>
      </c>
      <c r="C4633" t="s">
        <v>870</v>
      </c>
      <c r="D4633" t="s">
        <v>11</v>
      </c>
      <c r="E4633">
        <v>30</v>
      </c>
      <c r="F4633" s="2">
        <f>DATE(2026,IF(Tabla1[[#This Row],[Mes de Fecha]]="Septiembre",9,10),Tabla1[[#This Row],[Día de Fecha]])</f>
        <v>46295</v>
      </c>
      <c r="G4633">
        <v>1006554137</v>
      </c>
      <c r="H4633" t="s">
        <v>669</v>
      </c>
      <c r="I4633">
        <v>97</v>
      </c>
      <c r="J4633">
        <v>0</v>
      </c>
      <c r="K4633" s="1">
        <v>5453787</v>
      </c>
    </row>
    <row r="4634" spans="1:11" x14ac:dyDescent="0.25">
      <c r="A4634" t="s">
        <v>326</v>
      </c>
      <c r="B4634" t="s">
        <v>667</v>
      </c>
      <c r="C4634" t="s">
        <v>870</v>
      </c>
      <c r="D4634" t="s">
        <v>11</v>
      </c>
      <c r="E4634">
        <v>30</v>
      </c>
      <c r="F4634" s="2">
        <f>DATE(2026,IF(Tabla1[[#This Row],[Mes de Fecha]]="Septiembre",9,10),Tabla1[[#This Row],[Día de Fecha]])</f>
        <v>46295</v>
      </c>
      <c r="G4634">
        <v>1006557709</v>
      </c>
      <c r="H4634" t="s">
        <v>675</v>
      </c>
      <c r="I4634">
        <v>36</v>
      </c>
      <c r="J4634">
        <v>0</v>
      </c>
      <c r="K4634" s="1">
        <v>1870084</v>
      </c>
    </row>
    <row r="4635" spans="1:11" x14ac:dyDescent="0.25">
      <c r="A4635" t="s">
        <v>326</v>
      </c>
      <c r="B4635" t="s">
        <v>667</v>
      </c>
      <c r="C4635" t="s">
        <v>870</v>
      </c>
      <c r="D4635" t="s">
        <v>11</v>
      </c>
      <c r="E4635">
        <v>30</v>
      </c>
      <c r="F4635" s="2">
        <f>DATE(2026,IF(Tabla1[[#This Row],[Mes de Fecha]]="Septiembre",9,10),Tabla1[[#This Row],[Día de Fecha]])</f>
        <v>46295</v>
      </c>
      <c r="G4635">
        <v>1057579346</v>
      </c>
      <c r="H4635" t="s">
        <v>676</v>
      </c>
      <c r="I4635">
        <v>21</v>
      </c>
      <c r="J4635">
        <v>0</v>
      </c>
      <c r="K4635" s="1">
        <v>1286934</v>
      </c>
    </row>
    <row r="4636" spans="1:11" x14ac:dyDescent="0.25">
      <c r="A4636" t="s">
        <v>326</v>
      </c>
      <c r="B4636" t="s">
        <v>667</v>
      </c>
      <c r="C4636" t="s">
        <v>870</v>
      </c>
      <c r="D4636" t="s">
        <v>11</v>
      </c>
      <c r="E4636">
        <v>30</v>
      </c>
      <c r="F4636" s="2">
        <f>DATE(2026,IF(Tabla1[[#This Row],[Mes de Fecha]]="Septiembre",9,10),Tabla1[[#This Row],[Día de Fecha]])</f>
        <v>46295</v>
      </c>
      <c r="G4636">
        <v>1118575599</v>
      </c>
      <c r="H4636" t="s">
        <v>670</v>
      </c>
      <c r="I4636">
        <v>110</v>
      </c>
      <c r="J4636">
        <v>0</v>
      </c>
      <c r="K4636" s="1">
        <v>5997232</v>
      </c>
    </row>
    <row r="4637" spans="1:11" x14ac:dyDescent="0.25">
      <c r="A4637" t="s">
        <v>326</v>
      </c>
      <c r="B4637" t="s">
        <v>667</v>
      </c>
      <c r="C4637" t="s">
        <v>870</v>
      </c>
      <c r="D4637" t="s">
        <v>14</v>
      </c>
      <c r="E4637">
        <v>1</v>
      </c>
      <c r="F4637" s="2">
        <f>DATE(2026,IF(Tabla1[[#This Row],[Mes de Fecha]]="Septiembre",9,10),Tabla1[[#This Row],[Día de Fecha]])</f>
        <v>46296</v>
      </c>
      <c r="I4637">
        <v>0</v>
      </c>
      <c r="J4637" s="1">
        <v>13413884</v>
      </c>
      <c r="K4637">
        <v>0</v>
      </c>
    </row>
    <row r="4638" spans="1:11" x14ac:dyDescent="0.25">
      <c r="A4638" t="s">
        <v>326</v>
      </c>
      <c r="B4638" t="s">
        <v>667</v>
      </c>
      <c r="C4638" t="s">
        <v>870</v>
      </c>
      <c r="D4638" t="s">
        <v>14</v>
      </c>
      <c r="E4638">
        <v>1</v>
      </c>
      <c r="F4638" s="2">
        <f>DATE(2026,IF(Tabla1[[#This Row],[Mes de Fecha]]="Septiembre",9,10),Tabla1[[#This Row],[Día de Fecha]])</f>
        <v>46296</v>
      </c>
      <c r="G4638">
        <v>1002760100</v>
      </c>
      <c r="H4638" t="s">
        <v>673</v>
      </c>
      <c r="I4638">
        <v>52</v>
      </c>
      <c r="J4638">
        <v>0</v>
      </c>
      <c r="K4638" s="1">
        <v>3155340</v>
      </c>
    </row>
    <row r="4639" spans="1:11" x14ac:dyDescent="0.25">
      <c r="A4639" t="s">
        <v>326</v>
      </c>
      <c r="B4639" t="s">
        <v>667</v>
      </c>
      <c r="C4639" t="s">
        <v>870</v>
      </c>
      <c r="D4639" t="s">
        <v>14</v>
      </c>
      <c r="E4639">
        <v>1</v>
      </c>
      <c r="F4639" s="2">
        <f>DATE(2026,IF(Tabla1[[#This Row],[Mes de Fecha]]="Septiembre",9,10),Tabla1[[#This Row],[Día de Fecha]])</f>
        <v>46296</v>
      </c>
      <c r="G4639">
        <v>1006554137</v>
      </c>
      <c r="H4639" t="s">
        <v>669</v>
      </c>
      <c r="I4639">
        <v>107</v>
      </c>
      <c r="J4639">
        <v>0</v>
      </c>
      <c r="K4639" s="1">
        <v>6106518</v>
      </c>
    </row>
    <row r="4640" spans="1:11" x14ac:dyDescent="0.25">
      <c r="A4640" t="s">
        <v>326</v>
      </c>
      <c r="B4640" t="s">
        <v>667</v>
      </c>
      <c r="C4640" t="s">
        <v>870</v>
      </c>
      <c r="D4640" t="s">
        <v>14</v>
      </c>
      <c r="E4640">
        <v>1</v>
      </c>
      <c r="F4640" s="2">
        <f>DATE(2026,IF(Tabla1[[#This Row],[Mes de Fecha]]="Septiembre",9,10),Tabla1[[#This Row],[Día de Fecha]])</f>
        <v>46296</v>
      </c>
      <c r="G4640">
        <v>1007540210</v>
      </c>
      <c r="H4640" t="s">
        <v>674</v>
      </c>
      <c r="I4640">
        <v>40</v>
      </c>
      <c r="J4640">
        <v>0</v>
      </c>
      <c r="K4640" s="1">
        <v>2168280</v>
      </c>
    </row>
    <row r="4641" spans="1:11" x14ac:dyDescent="0.25">
      <c r="A4641" t="s">
        <v>326</v>
      </c>
      <c r="B4641" t="s">
        <v>667</v>
      </c>
      <c r="C4641" t="s">
        <v>870</v>
      </c>
      <c r="D4641" t="s">
        <v>14</v>
      </c>
      <c r="E4641">
        <v>1</v>
      </c>
      <c r="F4641" s="2">
        <f>DATE(2026,IF(Tabla1[[#This Row],[Mes de Fecha]]="Septiembre",9,10),Tabla1[[#This Row],[Día de Fecha]])</f>
        <v>46296</v>
      </c>
      <c r="G4641">
        <v>1118575599</v>
      </c>
      <c r="H4641" t="s">
        <v>670</v>
      </c>
      <c r="I4641">
        <v>101</v>
      </c>
      <c r="J4641">
        <v>0</v>
      </c>
      <c r="K4641" s="1">
        <v>5415808</v>
      </c>
    </row>
    <row r="4642" spans="1:11" x14ac:dyDescent="0.25">
      <c r="A4642" t="s">
        <v>326</v>
      </c>
      <c r="B4642" t="s">
        <v>667</v>
      </c>
      <c r="C4642" t="s">
        <v>870</v>
      </c>
      <c r="D4642" t="s">
        <v>14</v>
      </c>
      <c r="E4642">
        <v>2</v>
      </c>
      <c r="F4642" s="2">
        <f>DATE(2026,IF(Tabla1[[#This Row],[Mes de Fecha]]="Septiembre",9,10),Tabla1[[#This Row],[Día de Fecha]])</f>
        <v>46297</v>
      </c>
      <c r="I4642">
        <v>0</v>
      </c>
      <c r="J4642" s="1">
        <v>22657028</v>
      </c>
      <c r="K4642">
        <v>0</v>
      </c>
    </row>
    <row r="4643" spans="1:11" x14ac:dyDescent="0.25">
      <c r="A4643" t="s">
        <v>326</v>
      </c>
      <c r="B4643" t="s">
        <v>667</v>
      </c>
      <c r="C4643" t="s">
        <v>870</v>
      </c>
      <c r="D4643" t="s">
        <v>14</v>
      </c>
      <c r="E4643">
        <v>2</v>
      </c>
      <c r="F4643" s="2">
        <f>DATE(2026,IF(Tabla1[[#This Row],[Mes de Fecha]]="Septiembre",9,10),Tabla1[[#This Row],[Día de Fecha]])</f>
        <v>46297</v>
      </c>
      <c r="G4643">
        <v>1006554137</v>
      </c>
      <c r="H4643" t="s">
        <v>669</v>
      </c>
      <c r="I4643">
        <v>96</v>
      </c>
      <c r="J4643">
        <v>0</v>
      </c>
      <c r="K4643" s="1">
        <v>6182777</v>
      </c>
    </row>
    <row r="4644" spans="1:11" x14ac:dyDescent="0.25">
      <c r="A4644" t="s">
        <v>326</v>
      </c>
      <c r="B4644" t="s">
        <v>667</v>
      </c>
      <c r="C4644" t="s">
        <v>870</v>
      </c>
      <c r="D4644" t="s">
        <v>14</v>
      </c>
      <c r="E4644">
        <v>2</v>
      </c>
      <c r="F4644" s="2">
        <f>DATE(2026,IF(Tabla1[[#This Row],[Mes de Fecha]]="Septiembre",9,10),Tabla1[[#This Row],[Día de Fecha]])</f>
        <v>46297</v>
      </c>
      <c r="G4644">
        <v>1006557709</v>
      </c>
      <c r="H4644" t="s">
        <v>675</v>
      </c>
      <c r="I4644">
        <v>43</v>
      </c>
      <c r="J4644">
        <v>0</v>
      </c>
      <c r="K4644" s="1">
        <v>2510716</v>
      </c>
    </row>
    <row r="4645" spans="1:11" x14ac:dyDescent="0.25">
      <c r="A4645" t="s">
        <v>326</v>
      </c>
      <c r="B4645" t="s">
        <v>667</v>
      </c>
      <c r="C4645" t="s">
        <v>870</v>
      </c>
      <c r="D4645" t="s">
        <v>14</v>
      </c>
      <c r="E4645">
        <v>2</v>
      </c>
      <c r="F4645" s="2">
        <f>DATE(2026,IF(Tabla1[[#This Row],[Mes de Fecha]]="Septiembre",9,10),Tabla1[[#This Row],[Día de Fecha]])</f>
        <v>46297</v>
      </c>
      <c r="G4645">
        <v>1057579346</v>
      </c>
      <c r="H4645" t="s">
        <v>676</v>
      </c>
      <c r="I4645">
        <v>55</v>
      </c>
      <c r="J4645">
        <v>0</v>
      </c>
      <c r="K4645" s="1">
        <v>3127904</v>
      </c>
    </row>
    <row r="4646" spans="1:11" x14ac:dyDescent="0.25">
      <c r="A4646" t="s">
        <v>326</v>
      </c>
      <c r="B4646" t="s">
        <v>667</v>
      </c>
      <c r="C4646" t="s">
        <v>870</v>
      </c>
      <c r="D4646" t="s">
        <v>14</v>
      </c>
      <c r="E4646">
        <v>2</v>
      </c>
      <c r="F4646" s="2">
        <f>DATE(2026,IF(Tabla1[[#This Row],[Mes de Fecha]]="Septiembre",9,10),Tabla1[[#This Row],[Día de Fecha]])</f>
        <v>46297</v>
      </c>
      <c r="G4646">
        <v>1118575599</v>
      </c>
      <c r="H4646" t="s">
        <v>670</v>
      </c>
      <c r="I4646">
        <v>102</v>
      </c>
      <c r="J4646">
        <v>0</v>
      </c>
      <c r="K4646" s="1">
        <v>5457734</v>
      </c>
    </row>
    <row r="4647" spans="1:11" x14ac:dyDescent="0.25">
      <c r="A4647" t="s">
        <v>326</v>
      </c>
      <c r="B4647" t="s">
        <v>667</v>
      </c>
      <c r="C4647" t="s">
        <v>870</v>
      </c>
      <c r="D4647" t="s">
        <v>14</v>
      </c>
      <c r="E4647">
        <v>3</v>
      </c>
      <c r="F4647" s="2">
        <f>DATE(2026,IF(Tabla1[[#This Row],[Mes de Fecha]]="Septiembre",9,10),Tabla1[[#This Row],[Día de Fecha]])</f>
        <v>46298</v>
      </c>
      <c r="I4647">
        <v>0</v>
      </c>
      <c r="J4647" s="1">
        <v>30210395</v>
      </c>
      <c r="K4647">
        <v>0</v>
      </c>
    </row>
    <row r="4648" spans="1:11" x14ac:dyDescent="0.25">
      <c r="A4648" t="s">
        <v>326</v>
      </c>
      <c r="B4648" t="s">
        <v>667</v>
      </c>
      <c r="C4648" t="s">
        <v>870</v>
      </c>
      <c r="D4648" t="s">
        <v>14</v>
      </c>
      <c r="E4648">
        <v>3</v>
      </c>
      <c r="F4648" s="2">
        <f>DATE(2026,IF(Tabla1[[#This Row],[Mes de Fecha]]="Septiembre",9,10),Tabla1[[#This Row],[Día de Fecha]])</f>
        <v>46298</v>
      </c>
      <c r="G4648">
        <v>1002760100</v>
      </c>
      <c r="H4648" t="s">
        <v>673</v>
      </c>
      <c r="I4648">
        <v>73</v>
      </c>
      <c r="J4648">
        <v>0</v>
      </c>
      <c r="K4648" s="1">
        <v>3455833</v>
      </c>
    </row>
    <row r="4649" spans="1:11" x14ac:dyDescent="0.25">
      <c r="A4649" t="s">
        <v>326</v>
      </c>
      <c r="B4649" t="s">
        <v>667</v>
      </c>
      <c r="C4649" t="s">
        <v>870</v>
      </c>
      <c r="D4649" t="s">
        <v>14</v>
      </c>
      <c r="E4649">
        <v>3</v>
      </c>
      <c r="F4649" s="2">
        <f>DATE(2026,IF(Tabla1[[#This Row],[Mes de Fecha]]="Septiembre",9,10),Tabla1[[#This Row],[Día de Fecha]])</f>
        <v>46298</v>
      </c>
      <c r="G4649">
        <v>1006554137</v>
      </c>
      <c r="H4649" t="s">
        <v>669</v>
      </c>
      <c r="I4649">
        <v>209</v>
      </c>
      <c r="J4649">
        <v>0</v>
      </c>
      <c r="K4649" s="1">
        <v>10608939</v>
      </c>
    </row>
    <row r="4650" spans="1:11" x14ac:dyDescent="0.25">
      <c r="A4650" t="s">
        <v>326</v>
      </c>
      <c r="B4650" t="s">
        <v>667</v>
      </c>
      <c r="C4650" t="s">
        <v>870</v>
      </c>
      <c r="D4650" t="s">
        <v>14</v>
      </c>
      <c r="E4650">
        <v>3</v>
      </c>
      <c r="F4650" s="2">
        <f>DATE(2026,IF(Tabla1[[#This Row],[Mes de Fecha]]="Septiembre",9,10),Tabla1[[#This Row],[Día de Fecha]])</f>
        <v>46298</v>
      </c>
      <c r="G4650">
        <v>1007540210</v>
      </c>
      <c r="H4650" t="s">
        <v>674</v>
      </c>
      <c r="I4650">
        <v>63</v>
      </c>
      <c r="J4650">
        <v>0</v>
      </c>
      <c r="K4650" s="1">
        <v>3264076</v>
      </c>
    </row>
    <row r="4651" spans="1:11" x14ac:dyDescent="0.25">
      <c r="A4651" t="s">
        <v>326</v>
      </c>
      <c r="B4651" t="s">
        <v>667</v>
      </c>
      <c r="C4651" t="s">
        <v>870</v>
      </c>
      <c r="D4651" t="s">
        <v>14</v>
      </c>
      <c r="E4651">
        <v>3</v>
      </c>
      <c r="F4651" s="2">
        <f>DATE(2026,IF(Tabla1[[#This Row],[Mes de Fecha]]="Septiembre",9,10),Tabla1[[#This Row],[Día de Fecha]])</f>
        <v>46298</v>
      </c>
      <c r="G4651">
        <v>1057579346</v>
      </c>
      <c r="H4651" t="s">
        <v>676</v>
      </c>
      <c r="I4651">
        <v>2</v>
      </c>
      <c r="J4651">
        <v>0</v>
      </c>
      <c r="K4651" s="1">
        <v>182278</v>
      </c>
    </row>
    <row r="4652" spans="1:11" x14ac:dyDescent="0.25">
      <c r="A4652" t="s">
        <v>326</v>
      </c>
      <c r="B4652" t="s">
        <v>667</v>
      </c>
      <c r="C4652" t="s">
        <v>870</v>
      </c>
      <c r="D4652" t="s">
        <v>14</v>
      </c>
      <c r="E4652">
        <v>3</v>
      </c>
      <c r="F4652" s="2">
        <f>DATE(2026,IF(Tabla1[[#This Row],[Mes de Fecha]]="Septiembre",9,10),Tabla1[[#This Row],[Día de Fecha]])</f>
        <v>46298</v>
      </c>
      <c r="G4652">
        <v>1118575599</v>
      </c>
      <c r="H4652" t="s">
        <v>670</v>
      </c>
      <c r="I4652">
        <v>135</v>
      </c>
      <c r="J4652">
        <v>0</v>
      </c>
      <c r="K4652" s="1">
        <v>7208009</v>
      </c>
    </row>
    <row r="4653" spans="1:11" x14ac:dyDescent="0.25">
      <c r="A4653" t="s">
        <v>326</v>
      </c>
      <c r="B4653" t="s">
        <v>667</v>
      </c>
      <c r="C4653" t="s">
        <v>870</v>
      </c>
      <c r="D4653" t="s">
        <v>14</v>
      </c>
      <c r="E4653">
        <v>4</v>
      </c>
      <c r="F4653" s="2">
        <f>DATE(2026,IF(Tabla1[[#This Row],[Mes de Fecha]]="Septiembre",9,10),Tabla1[[#This Row],[Día de Fecha]])</f>
        <v>46299</v>
      </c>
      <c r="I4653">
        <v>0</v>
      </c>
      <c r="J4653" s="1">
        <v>23720870</v>
      </c>
      <c r="K4653">
        <v>0</v>
      </c>
    </row>
    <row r="4654" spans="1:11" x14ac:dyDescent="0.25">
      <c r="A4654" t="s">
        <v>326</v>
      </c>
      <c r="B4654" t="s">
        <v>667</v>
      </c>
      <c r="C4654" t="s">
        <v>870</v>
      </c>
      <c r="D4654" t="s">
        <v>14</v>
      </c>
      <c r="E4654">
        <v>4</v>
      </c>
      <c r="F4654" s="2">
        <f>DATE(2026,IF(Tabla1[[#This Row],[Mes de Fecha]]="Septiembre",9,10),Tabla1[[#This Row],[Día de Fecha]])</f>
        <v>46299</v>
      </c>
      <c r="G4654">
        <v>1006554137</v>
      </c>
      <c r="H4654" t="s">
        <v>669</v>
      </c>
      <c r="I4654">
        <v>96</v>
      </c>
      <c r="J4654">
        <v>0</v>
      </c>
      <c r="K4654" s="1">
        <v>5720550</v>
      </c>
    </row>
    <row r="4655" spans="1:11" x14ac:dyDescent="0.25">
      <c r="A4655" t="s">
        <v>326</v>
      </c>
      <c r="B4655" t="s">
        <v>667</v>
      </c>
      <c r="C4655" t="s">
        <v>870</v>
      </c>
      <c r="D4655" t="s">
        <v>14</v>
      </c>
      <c r="E4655">
        <v>4</v>
      </c>
      <c r="F4655" s="2">
        <f>DATE(2026,IF(Tabla1[[#This Row],[Mes de Fecha]]="Septiembre",9,10),Tabla1[[#This Row],[Día de Fecha]])</f>
        <v>46299</v>
      </c>
      <c r="G4655">
        <v>1006557709</v>
      </c>
      <c r="H4655" t="s">
        <v>675</v>
      </c>
      <c r="I4655">
        <v>64</v>
      </c>
      <c r="J4655">
        <v>0</v>
      </c>
      <c r="K4655" s="1">
        <v>3841512</v>
      </c>
    </row>
    <row r="4656" spans="1:11" x14ac:dyDescent="0.25">
      <c r="A4656" t="s">
        <v>326</v>
      </c>
      <c r="B4656" t="s">
        <v>667</v>
      </c>
      <c r="C4656" t="s">
        <v>870</v>
      </c>
      <c r="D4656" t="s">
        <v>14</v>
      </c>
      <c r="E4656">
        <v>4</v>
      </c>
      <c r="F4656" s="2">
        <f>DATE(2026,IF(Tabla1[[#This Row],[Mes de Fecha]]="Septiembre",9,10),Tabla1[[#This Row],[Día de Fecha]])</f>
        <v>46299</v>
      </c>
      <c r="G4656">
        <v>1057579346</v>
      </c>
      <c r="H4656" t="s">
        <v>676</v>
      </c>
      <c r="I4656">
        <v>68</v>
      </c>
      <c r="J4656">
        <v>0</v>
      </c>
      <c r="K4656" s="1">
        <v>3913072</v>
      </c>
    </row>
    <row r="4657" spans="1:11" x14ac:dyDescent="0.25">
      <c r="A4657" t="s">
        <v>326</v>
      </c>
      <c r="B4657" t="s">
        <v>667</v>
      </c>
      <c r="C4657" t="s">
        <v>870</v>
      </c>
      <c r="D4657" t="s">
        <v>14</v>
      </c>
      <c r="E4657">
        <v>4</v>
      </c>
      <c r="F4657" s="2">
        <f>DATE(2026,IF(Tabla1[[#This Row],[Mes de Fecha]]="Septiembre",9,10),Tabla1[[#This Row],[Día de Fecha]])</f>
        <v>46299</v>
      </c>
      <c r="G4657">
        <v>1115918711</v>
      </c>
      <c r="H4657" t="s">
        <v>672</v>
      </c>
      <c r="I4657">
        <v>93</v>
      </c>
      <c r="J4657">
        <v>0</v>
      </c>
      <c r="K4657" s="1">
        <v>5374127</v>
      </c>
    </row>
    <row r="4658" spans="1:11" x14ac:dyDescent="0.25">
      <c r="A4658" t="s">
        <v>326</v>
      </c>
      <c r="B4658" t="s">
        <v>667</v>
      </c>
      <c r="C4658" t="s">
        <v>870</v>
      </c>
      <c r="D4658" t="s">
        <v>14</v>
      </c>
      <c r="E4658">
        <v>4</v>
      </c>
      <c r="F4658" s="2">
        <f>DATE(2026,IF(Tabla1[[#This Row],[Mes de Fecha]]="Septiembre",9,10),Tabla1[[#This Row],[Día de Fecha]])</f>
        <v>46299</v>
      </c>
      <c r="G4658">
        <v>1118575599</v>
      </c>
      <c r="H4658" t="s">
        <v>670</v>
      </c>
      <c r="I4658">
        <v>85</v>
      </c>
      <c r="J4658">
        <v>0</v>
      </c>
      <c r="K4658" s="1">
        <v>5109629</v>
      </c>
    </row>
    <row r="4659" spans="1:11" x14ac:dyDescent="0.25">
      <c r="A4659" t="s">
        <v>326</v>
      </c>
      <c r="B4659" t="s">
        <v>667</v>
      </c>
      <c r="C4659" t="s">
        <v>870</v>
      </c>
      <c r="D4659" t="s">
        <v>14</v>
      </c>
      <c r="E4659">
        <v>5</v>
      </c>
      <c r="F4659" s="2">
        <f>DATE(2026,IF(Tabla1[[#This Row],[Mes de Fecha]]="Septiembre",9,10),Tabla1[[#This Row],[Día de Fecha]])</f>
        <v>46300</v>
      </c>
      <c r="I4659">
        <v>0</v>
      </c>
      <c r="J4659" s="1">
        <v>10329254</v>
      </c>
      <c r="K4659">
        <v>0</v>
      </c>
    </row>
    <row r="4660" spans="1:11" x14ac:dyDescent="0.25">
      <c r="A4660" t="s">
        <v>326</v>
      </c>
      <c r="B4660" t="s">
        <v>667</v>
      </c>
      <c r="C4660" t="s">
        <v>870</v>
      </c>
      <c r="D4660" t="s">
        <v>14</v>
      </c>
      <c r="E4660">
        <v>5</v>
      </c>
      <c r="F4660" s="2">
        <f>DATE(2026,IF(Tabla1[[#This Row],[Mes de Fecha]]="Septiembre",9,10),Tabla1[[#This Row],[Día de Fecha]])</f>
        <v>46300</v>
      </c>
      <c r="G4660">
        <v>1002760100</v>
      </c>
      <c r="H4660" t="s">
        <v>673</v>
      </c>
      <c r="I4660">
        <v>47</v>
      </c>
      <c r="J4660">
        <v>0</v>
      </c>
      <c r="K4660" s="1">
        <v>2613490</v>
      </c>
    </row>
    <row r="4661" spans="1:11" x14ac:dyDescent="0.25">
      <c r="A4661" t="s">
        <v>326</v>
      </c>
      <c r="B4661" t="s">
        <v>667</v>
      </c>
      <c r="C4661" t="s">
        <v>870</v>
      </c>
      <c r="D4661" t="s">
        <v>14</v>
      </c>
      <c r="E4661">
        <v>5</v>
      </c>
      <c r="F4661" s="2">
        <f>DATE(2026,IF(Tabla1[[#This Row],[Mes de Fecha]]="Septiembre",9,10),Tabla1[[#This Row],[Día de Fecha]])</f>
        <v>46300</v>
      </c>
      <c r="G4661">
        <v>1006554137</v>
      </c>
      <c r="H4661" t="s">
        <v>669</v>
      </c>
      <c r="I4661">
        <v>90</v>
      </c>
      <c r="J4661">
        <v>0</v>
      </c>
      <c r="K4661" s="1">
        <v>5130470</v>
      </c>
    </row>
    <row r="4662" spans="1:11" x14ac:dyDescent="0.25">
      <c r="A4662" t="s">
        <v>326</v>
      </c>
      <c r="B4662" t="s">
        <v>667</v>
      </c>
      <c r="C4662" t="s">
        <v>870</v>
      </c>
      <c r="D4662" t="s">
        <v>14</v>
      </c>
      <c r="E4662">
        <v>5</v>
      </c>
      <c r="F4662" s="2">
        <f>DATE(2026,IF(Tabla1[[#This Row],[Mes de Fecha]]="Septiembre",9,10),Tabla1[[#This Row],[Día de Fecha]])</f>
        <v>46300</v>
      </c>
      <c r="G4662">
        <v>1006557709</v>
      </c>
      <c r="H4662" t="s">
        <v>675</v>
      </c>
      <c r="I4662">
        <v>2</v>
      </c>
      <c r="J4662">
        <v>0</v>
      </c>
      <c r="K4662" s="1">
        <v>75504</v>
      </c>
    </row>
    <row r="4663" spans="1:11" x14ac:dyDescent="0.25">
      <c r="A4663" t="s">
        <v>326</v>
      </c>
      <c r="B4663" t="s">
        <v>667</v>
      </c>
      <c r="C4663" t="s">
        <v>870</v>
      </c>
      <c r="D4663" t="s">
        <v>14</v>
      </c>
      <c r="E4663">
        <v>5</v>
      </c>
      <c r="F4663" s="2">
        <f>DATE(2026,IF(Tabla1[[#This Row],[Mes de Fecha]]="Septiembre",9,10),Tabla1[[#This Row],[Día de Fecha]])</f>
        <v>46300</v>
      </c>
      <c r="G4663">
        <v>1007540210</v>
      </c>
      <c r="H4663" t="s">
        <v>674</v>
      </c>
      <c r="I4663">
        <v>52</v>
      </c>
      <c r="J4663">
        <v>0</v>
      </c>
      <c r="K4663" s="1">
        <v>2735002</v>
      </c>
    </row>
    <row r="4664" spans="1:11" x14ac:dyDescent="0.25">
      <c r="A4664" t="s">
        <v>326</v>
      </c>
      <c r="B4664" t="s">
        <v>667</v>
      </c>
      <c r="C4664" t="s">
        <v>870</v>
      </c>
      <c r="D4664" t="s">
        <v>14</v>
      </c>
      <c r="E4664">
        <v>5</v>
      </c>
      <c r="F4664" s="2">
        <f>DATE(2026,IF(Tabla1[[#This Row],[Mes de Fecha]]="Septiembre",9,10),Tabla1[[#This Row],[Día de Fecha]])</f>
        <v>46300</v>
      </c>
      <c r="G4664">
        <v>1115918711</v>
      </c>
      <c r="H4664" t="s">
        <v>672</v>
      </c>
      <c r="I4664">
        <v>2</v>
      </c>
      <c r="J4664">
        <v>0</v>
      </c>
      <c r="K4664" s="1">
        <v>104916</v>
      </c>
    </row>
    <row r="4665" spans="1:11" x14ac:dyDescent="0.25">
      <c r="A4665" t="s">
        <v>326</v>
      </c>
      <c r="B4665" t="s">
        <v>667</v>
      </c>
      <c r="C4665" t="s">
        <v>870</v>
      </c>
      <c r="D4665" t="s">
        <v>14</v>
      </c>
      <c r="E4665">
        <v>6</v>
      </c>
      <c r="F4665" s="2">
        <f>DATE(2026,IF(Tabla1[[#This Row],[Mes de Fecha]]="Septiembre",9,10),Tabla1[[#This Row],[Día de Fecha]])</f>
        <v>46301</v>
      </c>
      <c r="I4665">
        <v>0</v>
      </c>
      <c r="J4665" s="1">
        <v>8255983</v>
      </c>
      <c r="K4665">
        <v>0</v>
      </c>
    </row>
    <row r="4666" spans="1:11" x14ac:dyDescent="0.25">
      <c r="A4666" t="s">
        <v>326</v>
      </c>
      <c r="B4666" t="s">
        <v>667</v>
      </c>
      <c r="C4666" t="s">
        <v>870</v>
      </c>
      <c r="D4666" t="s">
        <v>14</v>
      </c>
      <c r="E4666">
        <v>6</v>
      </c>
      <c r="F4666" s="2">
        <f>DATE(2026,IF(Tabla1[[#This Row],[Mes de Fecha]]="Septiembre",9,10),Tabla1[[#This Row],[Día de Fecha]])</f>
        <v>46301</v>
      </c>
      <c r="G4666">
        <v>1002760100</v>
      </c>
      <c r="H4666" t="s">
        <v>673</v>
      </c>
      <c r="I4666">
        <v>4</v>
      </c>
      <c r="J4666">
        <v>0</v>
      </c>
      <c r="K4666" s="1">
        <v>163655</v>
      </c>
    </row>
    <row r="4667" spans="1:11" x14ac:dyDescent="0.25">
      <c r="A4667" t="s">
        <v>326</v>
      </c>
      <c r="B4667" t="s">
        <v>667</v>
      </c>
      <c r="C4667" t="s">
        <v>870</v>
      </c>
      <c r="D4667" t="s">
        <v>14</v>
      </c>
      <c r="E4667">
        <v>6</v>
      </c>
      <c r="F4667" s="2">
        <f>DATE(2026,IF(Tabla1[[#This Row],[Mes de Fecha]]="Septiembre",9,10),Tabla1[[#This Row],[Día de Fecha]])</f>
        <v>46301</v>
      </c>
      <c r="G4667">
        <v>1007540210</v>
      </c>
      <c r="H4667" t="s">
        <v>674</v>
      </c>
      <c r="I4667">
        <v>23</v>
      </c>
      <c r="J4667">
        <v>0</v>
      </c>
      <c r="K4667" s="1">
        <v>1284749</v>
      </c>
    </row>
    <row r="4668" spans="1:11" x14ac:dyDescent="0.25">
      <c r="A4668" t="s">
        <v>326</v>
      </c>
      <c r="B4668" t="s">
        <v>667</v>
      </c>
      <c r="C4668" t="s">
        <v>870</v>
      </c>
      <c r="D4668" t="s">
        <v>14</v>
      </c>
      <c r="E4668">
        <v>6</v>
      </c>
      <c r="F4668" s="2">
        <f>DATE(2026,IF(Tabla1[[#This Row],[Mes de Fecha]]="Septiembre",9,10),Tabla1[[#This Row],[Día de Fecha]])</f>
        <v>46301</v>
      </c>
      <c r="G4668">
        <v>1057579346</v>
      </c>
      <c r="H4668" t="s">
        <v>676</v>
      </c>
      <c r="I4668">
        <v>29</v>
      </c>
      <c r="J4668">
        <v>0</v>
      </c>
      <c r="K4668" s="1">
        <v>1494413</v>
      </c>
    </row>
    <row r="4669" spans="1:11" x14ac:dyDescent="0.25">
      <c r="A4669" t="s">
        <v>326</v>
      </c>
      <c r="B4669" t="s">
        <v>667</v>
      </c>
      <c r="C4669" t="s">
        <v>870</v>
      </c>
      <c r="D4669" t="s">
        <v>14</v>
      </c>
      <c r="E4669">
        <v>6</v>
      </c>
      <c r="F4669" s="2">
        <f>DATE(2026,IF(Tabla1[[#This Row],[Mes de Fecha]]="Septiembre",9,10),Tabla1[[#This Row],[Día de Fecha]])</f>
        <v>46301</v>
      </c>
      <c r="G4669">
        <v>1118575599</v>
      </c>
      <c r="H4669" t="s">
        <v>670</v>
      </c>
      <c r="I4669">
        <v>80</v>
      </c>
      <c r="J4669">
        <v>0</v>
      </c>
      <c r="K4669" s="1">
        <v>4811562</v>
      </c>
    </row>
    <row r="4670" spans="1:11" x14ac:dyDescent="0.25">
      <c r="A4670" t="s">
        <v>326</v>
      </c>
      <c r="B4670" t="s">
        <v>667</v>
      </c>
      <c r="C4670" t="s">
        <v>870</v>
      </c>
      <c r="D4670" t="s">
        <v>14</v>
      </c>
      <c r="E4670">
        <v>7</v>
      </c>
      <c r="F4670" s="2">
        <f>DATE(2026,IF(Tabla1[[#This Row],[Mes de Fecha]]="Septiembre",9,10),Tabla1[[#This Row],[Día de Fecha]])</f>
        <v>46302</v>
      </c>
      <c r="I4670">
        <v>0</v>
      </c>
      <c r="J4670" s="1">
        <v>8147351</v>
      </c>
      <c r="K4670">
        <v>0</v>
      </c>
    </row>
    <row r="4671" spans="1:11" x14ac:dyDescent="0.25">
      <c r="A4671" t="s">
        <v>326</v>
      </c>
      <c r="B4671" t="s">
        <v>667</v>
      </c>
      <c r="C4671" t="s">
        <v>870</v>
      </c>
      <c r="D4671" t="s">
        <v>14</v>
      </c>
      <c r="E4671">
        <v>7</v>
      </c>
      <c r="F4671" s="2">
        <f>DATE(2026,IF(Tabla1[[#This Row],[Mes de Fecha]]="Septiembre",9,10),Tabla1[[#This Row],[Día de Fecha]])</f>
        <v>46302</v>
      </c>
      <c r="G4671">
        <v>1002760100</v>
      </c>
      <c r="H4671" t="s">
        <v>673</v>
      </c>
      <c r="I4671">
        <v>20</v>
      </c>
      <c r="J4671">
        <v>0</v>
      </c>
      <c r="K4671" s="1">
        <v>1179791</v>
      </c>
    </row>
    <row r="4672" spans="1:11" x14ac:dyDescent="0.25">
      <c r="A4672" t="s">
        <v>326</v>
      </c>
      <c r="B4672" t="s">
        <v>667</v>
      </c>
      <c r="C4672" t="s">
        <v>870</v>
      </c>
      <c r="D4672" t="s">
        <v>14</v>
      </c>
      <c r="E4672">
        <v>7</v>
      </c>
      <c r="F4672" s="2">
        <f>DATE(2026,IF(Tabla1[[#This Row],[Mes de Fecha]]="Septiembre",9,10),Tabla1[[#This Row],[Día de Fecha]])</f>
        <v>46302</v>
      </c>
      <c r="G4672">
        <v>1006554137</v>
      </c>
      <c r="H4672" t="s">
        <v>669</v>
      </c>
      <c r="I4672">
        <v>65</v>
      </c>
      <c r="J4672">
        <v>0</v>
      </c>
      <c r="K4672" s="1">
        <v>3833071</v>
      </c>
    </row>
    <row r="4673" spans="1:11" x14ac:dyDescent="0.25">
      <c r="A4673" t="s">
        <v>326</v>
      </c>
      <c r="B4673" t="s">
        <v>667</v>
      </c>
      <c r="C4673" t="s">
        <v>870</v>
      </c>
      <c r="D4673" t="s">
        <v>14</v>
      </c>
      <c r="E4673">
        <v>7</v>
      </c>
      <c r="F4673" s="2">
        <f>DATE(2026,IF(Tabla1[[#This Row],[Mes de Fecha]]="Septiembre",9,10),Tabla1[[#This Row],[Día de Fecha]])</f>
        <v>46302</v>
      </c>
      <c r="G4673">
        <v>1057579346</v>
      </c>
      <c r="H4673" t="s">
        <v>676</v>
      </c>
      <c r="I4673">
        <v>25</v>
      </c>
      <c r="J4673">
        <v>0</v>
      </c>
      <c r="K4673" s="1">
        <v>1393867</v>
      </c>
    </row>
    <row r="4674" spans="1:11" x14ac:dyDescent="0.25">
      <c r="A4674" t="s">
        <v>326</v>
      </c>
      <c r="B4674" t="s">
        <v>667</v>
      </c>
      <c r="C4674" t="s">
        <v>870</v>
      </c>
      <c r="D4674" t="s">
        <v>14</v>
      </c>
      <c r="E4674">
        <v>7</v>
      </c>
      <c r="F4674" s="2">
        <f>DATE(2026,IF(Tabla1[[#This Row],[Mes de Fecha]]="Septiembre",9,10),Tabla1[[#This Row],[Día de Fecha]])</f>
        <v>46302</v>
      </c>
      <c r="G4674">
        <v>1118575599</v>
      </c>
      <c r="H4674" t="s">
        <v>670</v>
      </c>
      <c r="I4674">
        <v>72</v>
      </c>
      <c r="J4674">
        <v>0</v>
      </c>
      <c r="K4674" s="1">
        <v>4080678</v>
      </c>
    </row>
    <row r="4675" spans="1:11" x14ac:dyDescent="0.25">
      <c r="A4675" t="s">
        <v>326</v>
      </c>
      <c r="B4675" t="s">
        <v>738</v>
      </c>
      <c r="C4675" t="s">
        <v>870</v>
      </c>
      <c r="D4675" t="s">
        <v>11</v>
      </c>
      <c r="E4675">
        <v>23</v>
      </c>
      <c r="F4675" s="2">
        <f>DATE(2026,IF(Tabla1[[#This Row],[Mes de Fecha]]="Septiembre",9,10),Tabla1[[#This Row],[Día de Fecha]])</f>
        <v>46288</v>
      </c>
      <c r="I4675">
        <v>0</v>
      </c>
      <c r="J4675" s="1">
        <v>7471323</v>
      </c>
      <c r="K4675">
        <v>0</v>
      </c>
    </row>
    <row r="4676" spans="1:11" x14ac:dyDescent="0.25">
      <c r="A4676" t="s">
        <v>326</v>
      </c>
      <c r="B4676" t="s">
        <v>738</v>
      </c>
      <c r="C4676" t="s">
        <v>870</v>
      </c>
      <c r="D4676" t="s">
        <v>11</v>
      </c>
      <c r="E4676">
        <v>23</v>
      </c>
      <c r="F4676" s="2">
        <f>DATE(2026,IF(Tabla1[[#This Row],[Mes de Fecha]]="Septiembre",9,10),Tabla1[[#This Row],[Día de Fecha]])</f>
        <v>46288</v>
      </c>
      <c r="G4676">
        <v>4337936</v>
      </c>
      <c r="H4676" t="s">
        <v>742</v>
      </c>
      <c r="I4676">
        <v>35</v>
      </c>
      <c r="J4676">
        <v>0</v>
      </c>
      <c r="K4676" s="1">
        <v>2338740</v>
      </c>
    </row>
    <row r="4677" spans="1:11" x14ac:dyDescent="0.25">
      <c r="A4677" t="s">
        <v>326</v>
      </c>
      <c r="B4677" t="s">
        <v>738</v>
      </c>
      <c r="C4677" t="s">
        <v>870</v>
      </c>
      <c r="D4677" t="s">
        <v>11</v>
      </c>
      <c r="E4677">
        <v>23</v>
      </c>
      <c r="F4677" s="2">
        <f>DATE(2026,IF(Tabla1[[#This Row],[Mes de Fecha]]="Septiembre",9,10),Tabla1[[#This Row],[Día de Fecha]])</f>
        <v>46288</v>
      </c>
      <c r="G4677">
        <v>1000637944</v>
      </c>
      <c r="H4677" t="s">
        <v>641</v>
      </c>
      <c r="I4677">
        <v>58</v>
      </c>
      <c r="J4677">
        <v>0</v>
      </c>
      <c r="K4677" s="1">
        <v>3512189</v>
      </c>
    </row>
    <row r="4678" spans="1:11" x14ac:dyDescent="0.25">
      <c r="A4678" t="s">
        <v>326</v>
      </c>
      <c r="B4678" t="s">
        <v>738</v>
      </c>
      <c r="C4678" t="s">
        <v>870</v>
      </c>
      <c r="D4678" t="s">
        <v>11</v>
      </c>
      <c r="E4678">
        <v>23</v>
      </c>
      <c r="F4678" s="2">
        <f>DATE(2026,IF(Tabla1[[#This Row],[Mes de Fecha]]="Septiembre",9,10),Tabla1[[#This Row],[Día de Fecha]])</f>
        <v>46288</v>
      </c>
      <c r="G4678">
        <v>1001653261</v>
      </c>
      <c r="H4678" t="s">
        <v>647</v>
      </c>
      <c r="I4678">
        <v>41</v>
      </c>
      <c r="J4678">
        <v>0</v>
      </c>
      <c r="K4678" s="1">
        <v>2878362</v>
      </c>
    </row>
    <row r="4679" spans="1:11" x14ac:dyDescent="0.25">
      <c r="A4679" t="s">
        <v>326</v>
      </c>
      <c r="B4679" t="s">
        <v>738</v>
      </c>
      <c r="C4679" t="s">
        <v>870</v>
      </c>
      <c r="D4679" t="s">
        <v>11</v>
      </c>
      <c r="E4679">
        <v>23</v>
      </c>
      <c r="F4679" s="2">
        <f>DATE(2026,IF(Tabla1[[#This Row],[Mes de Fecha]]="Septiembre",9,10),Tabla1[[#This Row],[Día de Fecha]])</f>
        <v>46288</v>
      </c>
      <c r="G4679">
        <v>1007390161</v>
      </c>
      <c r="H4679" t="s">
        <v>743</v>
      </c>
      <c r="I4679">
        <v>35</v>
      </c>
      <c r="J4679">
        <v>0</v>
      </c>
      <c r="K4679" s="1">
        <v>2023571</v>
      </c>
    </row>
    <row r="4680" spans="1:11" x14ac:dyDescent="0.25">
      <c r="A4680" t="s">
        <v>326</v>
      </c>
      <c r="B4680" t="s">
        <v>738</v>
      </c>
      <c r="C4680" t="s">
        <v>870</v>
      </c>
      <c r="D4680" t="s">
        <v>11</v>
      </c>
      <c r="E4680">
        <v>24</v>
      </c>
      <c r="F4680" s="2">
        <f>DATE(2026,IF(Tabla1[[#This Row],[Mes de Fecha]]="Septiembre",9,10),Tabla1[[#This Row],[Día de Fecha]])</f>
        <v>46289</v>
      </c>
      <c r="I4680">
        <v>0</v>
      </c>
      <c r="J4680" s="1">
        <v>11413285</v>
      </c>
      <c r="K4680">
        <v>0</v>
      </c>
    </row>
    <row r="4681" spans="1:11" x14ac:dyDescent="0.25">
      <c r="A4681" t="s">
        <v>326</v>
      </c>
      <c r="B4681" t="s">
        <v>738</v>
      </c>
      <c r="C4681" t="s">
        <v>870</v>
      </c>
      <c r="D4681" t="s">
        <v>11</v>
      </c>
      <c r="E4681">
        <v>24</v>
      </c>
      <c r="F4681" s="2">
        <f>DATE(2026,IF(Tabla1[[#This Row],[Mes de Fecha]]="Septiembre",9,10),Tabla1[[#This Row],[Día de Fecha]])</f>
        <v>46289</v>
      </c>
      <c r="G4681">
        <v>4337936</v>
      </c>
      <c r="H4681" t="s">
        <v>742</v>
      </c>
      <c r="I4681">
        <v>28</v>
      </c>
      <c r="J4681">
        <v>0</v>
      </c>
      <c r="K4681" s="1">
        <v>1650001</v>
      </c>
    </row>
    <row r="4682" spans="1:11" x14ac:dyDescent="0.25">
      <c r="A4682" t="s">
        <v>326</v>
      </c>
      <c r="B4682" t="s">
        <v>738</v>
      </c>
      <c r="C4682" t="s">
        <v>870</v>
      </c>
      <c r="D4682" t="s">
        <v>11</v>
      </c>
      <c r="E4682">
        <v>24</v>
      </c>
      <c r="F4682" s="2">
        <f>DATE(2026,IF(Tabla1[[#This Row],[Mes de Fecha]]="Septiembre",9,10),Tabla1[[#This Row],[Día de Fecha]])</f>
        <v>46289</v>
      </c>
      <c r="G4682">
        <v>1000637944</v>
      </c>
      <c r="H4682" t="s">
        <v>641</v>
      </c>
      <c r="I4682">
        <v>23</v>
      </c>
      <c r="J4682">
        <v>0</v>
      </c>
      <c r="K4682" s="1">
        <v>1461092</v>
      </c>
    </row>
    <row r="4683" spans="1:11" x14ac:dyDescent="0.25">
      <c r="A4683" t="s">
        <v>326</v>
      </c>
      <c r="B4683" t="s">
        <v>738</v>
      </c>
      <c r="C4683" t="s">
        <v>870</v>
      </c>
      <c r="D4683" t="s">
        <v>11</v>
      </c>
      <c r="E4683">
        <v>24</v>
      </c>
      <c r="F4683" s="2">
        <f>DATE(2026,IF(Tabla1[[#This Row],[Mes de Fecha]]="Septiembre",9,10),Tabla1[[#This Row],[Día de Fecha]])</f>
        <v>46289</v>
      </c>
      <c r="G4683">
        <v>1001653261</v>
      </c>
      <c r="H4683" t="s">
        <v>647</v>
      </c>
      <c r="I4683">
        <v>50</v>
      </c>
      <c r="J4683">
        <v>0</v>
      </c>
      <c r="K4683" s="1">
        <v>2957985</v>
      </c>
    </row>
    <row r="4684" spans="1:11" x14ac:dyDescent="0.25">
      <c r="A4684" t="s">
        <v>326</v>
      </c>
      <c r="B4684" t="s">
        <v>738</v>
      </c>
      <c r="C4684" t="s">
        <v>870</v>
      </c>
      <c r="D4684" t="s">
        <v>11</v>
      </c>
      <c r="E4684">
        <v>24</v>
      </c>
      <c r="F4684" s="2">
        <f>DATE(2026,IF(Tabla1[[#This Row],[Mes de Fecha]]="Septiembre",9,10),Tabla1[[#This Row],[Día de Fecha]])</f>
        <v>46289</v>
      </c>
      <c r="G4684">
        <v>1007390161</v>
      </c>
      <c r="H4684" t="s">
        <v>743</v>
      </c>
      <c r="I4684">
        <v>52</v>
      </c>
      <c r="J4684">
        <v>0</v>
      </c>
      <c r="K4684" s="1">
        <v>3232901</v>
      </c>
    </row>
    <row r="4685" spans="1:11" x14ac:dyDescent="0.25">
      <c r="A4685" t="s">
        <v>326</v>
      </c>
      <c r="B4685" t="s">
        <v>738</v>
      </c>
      <c r="C4685" t="s">
        <v>870</v>
      </c>
      <c r="D4685" t="s">
        <v>11</v>
      </c>
      <c r="E4685">
        <v>25</v>
      </c>
      <c r="F4685" s="2">
        <f>DATE(2026,IF(Tabla1[[#This Row],[Mes de Fecha]]="Septiembre",9,10),Tabla1[[#This Row],[Día de Fecha]])</f>
        <v>46290</v>
      </c>
      <c r="I4685">
        <v>0</v>
      </c>
      <c r="J4685" s="1">
        <v>11388018</v>
      </c>
      <c r="K4685">
        <v>0</v>
      </c>
    </row>
    <row r="4686" spans="1:11" x14ac:dyDescent="0.25">
      <c r="A4686" t="s">
        <v>326</v>
      </c>
      <c r="B4686" t="s">
        <v>738</v>
      </c>
      <c r="C4686" t="s">
        <v>870</v>
      </c>
      <c r="D4686" t="s">
        <v>11</v>
      </c>
      <c r="E4686">
        <v>25</v>
      </c>
      <c r="F4686" s="2">
        <f>DATE(2026,IF(Tabla1[[#This Row],[Mes de Fecha]]="Septiembre",9,10),Tabla1[[#This Row],[Día de Fecha]])</f>
        <v>46290</v>
      </c>
      <c r="G4686">
        <v>4337936</v>
      </c>
      <c r="H4686" t="s">
        <v>742</v>
      </c>
      <c r="I4686">
        <v>29</v>
      </c>
      <c r="J4686">
        <v>0</v>
      </c>
      <c r="K4686" s="1">
        <v>1750798</v>
      </c>
    </row>
    <row r="4687" spans="1:11" x14ac:dyDescent="0.25">
      <c r="A4687" t="s">
        <v>326</v>
      </c>
      <c r="B4687" t="s">
        <v>738</v>
      </c>
      <c r="C4687" t="s">
        <v>870</v>
      </c>
      <c r="D4687" t="s">
        <v>11</v>
      </c>
      <c r="E4687">
        <v>25</v>
      </c>
      <c r="F4687" s="2">
        <f>DATE(2026,IF(Tabla1[[#This Row],[Mes de Fecha]]="Septiembre",9,10),Tabla1[[#This Row],[Día de Fecha]])</f>
        <v>46290</v>
      </c>
      <c r="G4687">
        <v>1000637944</v>
      </c>
      <c r="H4687" t="s">
        <v>641</v>
      </c>
      <c r="I4687">
        <v>34</v>
      </c>
      <c r="J4687">
        <v>0</v>
      </c>
      <c r="K4687" s="1">
        <v>2090882</v>
      </c>
    </row>
    <row r="4688" spans="1:11" x14ac:dyDescent="0.25">
      <c r="A4688" t="s">
        <v>326</v>
      </c>
      <c r="B4688" t="s">
        <v>738</v>
      </c>
      <c r="C4688" t="s">
        <v>870</v>
      </c>
      <c r="D4688" t="s">
        <v>11</v>
      </c>
      <c r="E4688">
        <v>25</v>
      </c>
      <c r="F4688" s="2">
        <f>DATE(2026,IF(Tabla1[[#This Row],[Mes de Fecha]]="Septiembre",9,10),Tabla1[[#This Row],[Día de Fecha]])</f>
        <v>46290</v>
      </c>
      <c r="G4688">
        <v>1001653261</v>
      </c>
      <c r="H4688" t="s">
        <v>647</v>
      </c>
      <c r="I4688">
        <v>43</v>
      </c>
      <c r="J4688">
        <v>0</v>
      </c>
      <c r="K4688" s="1">
        <v>2678741</v>
      </c>
    </row>
    <row r="4689" spans="1:11" x14ac:dyDescent="0.25">
      <c r="A4689" t="s">
        <v>326</v>
      </c>
      <c r="B4689" t="s">
        <v>738</v>
      </c>
      <c r="C4689" t="s">
        <v>870</v>
      </c>
      <c r="D4689" t="s">
        <v>11</v>
      </c>
      <c r="E4689">
        <v>25</v>
      </c>
      <c r="F4689" s="2">
        <f>DATE(2026,IF(Tabla1[[#This Row],[Mes de Fecha]]="Septiembre",9,10),Tabla1[[#This Row],[Día de Fecha]])</f>
        <v>46290</v>
      </c>
      <c r="G4689">
        <v>1007390161</v>
      </c>
      <c r="H4689" t="s">
        <v>743</v>
      </c>
      <c r="I4689">
        <v>23</v>
      </c>
      <c r="J4689">
        <v>0</v>
      </c>
      <c r="K4689" s="1">
        <v>1471638</v>
      </c>
    </row>
    <row r="4690" spans="1:11" x14ac:dyDescent="0.25">
      <c r="A4690" t="s">
        <v>326</v>
      </c>
      <c r="B4690" t="s">
        <v>738</v>
      </c>
      <c r="C4690" t="s">
        <v>870</v>
      </c>
      <c r="D4690" t="s">
        <v>11</v>
      </c>
      <c r="E4690">
        <v>26</v>
      </c>
      <c r="F4690" s="2">
        <f>DATE(2026,IF(Tabla1[[#This Row],[Mes de Fecha]]="Septiembre",9,10),Tabla1[[#This Row],[Día de Fecha]])</f>
        <v>46291</v>
      </c>
      <c r="I4690">
        <v>0</v>
      </c>
      <c r="J4690" s="1">
        <v>16366219</v>
      </c>
      <c r="K4690">
        <v>0</v>
      </c>
    </row>
    <row r="4691" spans="1:11" x14ac:dyDescent="0.25">
      <c r="A4691" t="s">
        <v>326</v>
      </c>
      <c r="B4691" t="s">
        <v>738</v>
      </c>
      <c r="C4691" t="s">
        <v>870</v>
      </c>
      <c r="D4691" t="s">
        <v>11</v>
      </c>
      <c r="E4691">
        <v>26</v>
      </c>
      <c r="F4691" s="2">
        <f>DATE(2026,IF(Tabla1[[#This Row],[Mes de Fecha]]="Septiembre",9,10),Tabla1[[#This Row],[Día de Fecha]])</f>
        <v>46291</v>
      </c>
      <c r="G4691">
        <v>4337936</v>
      </c>
      <c r="H4691" t="s">
        <v>742</v>
      </c>
      <c r="I4691">
        <v>111</v>
      </c>
      <c r="J4691">
        <v>0</v>
      </c>
      <c r="K4691" s="1">
        <v>7242898</v>
      </c>
    </row>
    <row r="4692" spans="1:11" x14ac:dyDescent="0.25">
      <c r="A4692" t="s">
        <v>326</v>
      </c>
      <c r="B4692" t="s">
        <v>738</v>
      </c>
      <c r="C4692" t="s">
        <v>870</v>
      </c>
      <c r="D4692" t="s">
        <v>11</v>
      </c>
      <c r="E4692">
        <v>26</v>
      </c>
      <c r="F4692" s="2">
        <f>DATE(2026,IF(Tabla1[[#This Row],[Mes de Fecha]]="Septiembre",9,10),Tabla1[[#This Row],[Día de Fecha]])</f>
        <v>46291</v>
      </c>
      <c r="G4692">
        <v>1000637944</v>
      </c>
      <c r="H4692" t="s">
        <v>641</v>
      </c>
      <c r="I4692">
        <v>99</v>
      </c>
      <c r="J4692">
        <v>0</v>
      </c>
      <c r="K4692" s="1">
        <v>6781475</v>
      </c>
    </row>
    <row r="4693" spans="1:11" x14ac:dyDescent="0.25">
      <c r="A4693" t="s">
        <v>326</v>
      </c>
      <c r="B4693" t="s">
        <v>738</v>
      </c>
      <c r="C4693" t="s">
        <v>870</v>
      </c>
      <c r="D4693" t="s">
        <v>11</v>
      </c>
      <c r="E4693">
        <v>26</v>
      </c>
      <c r="F4693" s="2">
        <f>DATE(2026,IF(Tabla1[[#This Row],[Mes de Fecha]]="Septiembre",9,10),Tabla1[[#This Row],[Día de Fecha]])</f>
        <v>46291</v>
      </c>
      <c r="G4693">
        <v>1001653261</v>
      </c>
      <c r="H4693" t="s">
        <v>647</v>
      </c>
      <c r="I4693">
        <v>96</v>
      </c>
      <c r="J4693">
        <v>0</v>
      </c>
      <c r="K4693" s="1">
        <v>6243443</v>
      </c>
    </row>
    <row r="4694" spans="1:11" x14ac:dyDescent="0.25">
      <c r="A4694" t="s">
        <v>326</v>
      </c>
      <c r="B4694" t="s">
        <v>738</v>
      </c>
      <c r="C4694" t="s">
        <v>870</v>
      </c>
      <c r="D4694" t="s">
        <v>11</v>
      </c>
      <c r="E4694">
        <v>26</v>
      </c>
      <c r="F4694" s="2">
        <f>DATE(2026,IF(Tabla1[[#This Row],[Mes de Fecha]]="Septiembre",9,10),Tabla1[[#This Row],[Día de Fecha]])</f>
        <v>46291</v>
      </c>
      <c r="G4694">
        <v>1002596138</v>
      </c>
      <c r="H4694" t="s">
        <v>719</v>
      </c>
      <c r="I4694">
        <v>-2</v>
      </c>
      <c r="J4694">
        <v>0</v>
      </c>
      <c r="K4694" s="1">
        <v>-151176</v>
      </c>
    </row>
    <row r="4695" spans="1:11" x14ac:dyDescent="0.25">
      <c r="A4695" t="s">
        <v>326</v>
      </c>
      <c r="B4695" t="s">
        <v>738</v>
      </c>
      <c r="C4695" t="s">
        <v>870</v>
      </c>
      <c r="D4695" t="s">
        <v>11</v>
      </c>
      <c r="E4695">
        <v>26</v>
      </c>
      <c r="F4695" s="2">
        <f>DATE(2026,IF(Tabla1[[#This Row],[Mes de Fecha]]="Septiembre",9,10),Tabla1[[#This Row],[Día de Fecha]])</f>
        <v>46291</v>
      </c>
      <c r="G4695">
        <v>1007390161</v>
      </c>
      <c r="H4695" t="s">
        <v>743</v>
      </c>
      <c r="I4695">
        <v>109</v>
      </c>
      <c r="J4695">
        <v>0</v>
      </c>
      <c r="K4695" s="1">
        <v>6822813</v>
      </c>
    </row>
    <row r="4696" spans="1:11" x14ac:dyDescent="0.25">
      <c r="A4696" t="s">
        <v>326</v>
      </c>
      <c r="B4696" t="s">
        <v>738</v>
      </c>
      <c r="C4696" t="s">
        <v>870</v>
      </c>
      <c r="D4696" t="s">
        <v>11</v>
      </c>
      <c r="E4696">
        <v>26</v>
      </c>
      <c r="F4696" s="2">
        <f>DATE(2026,IF(Tabla1[[#This Row],[Mes de Fecha]]="Septiembre",9,10),Tabla1[[#This Row],[Día de Fecha]])</f>
        <v>46291</v>
      </c>
      <c r="G4696">
        <v>1033426758</v>
      </c>
      <c r="H4696" t="s">
        <v>744</v>
      </c>
      <c r="I4696">
        <v>1</v>
      </c>
      <c r="J4696">
        <v>0</v>
      </c>
      <c r="K4696" s="1">
        <v>75546</v>
      </c>
    </row>
    <row r="4697" spans="1:11" x14ac:dyDescent="0.25">
      <c r="A4697" t="s">
        <v>326</v>
      </c>
      <c r="B4697" t="s">
        <v>738</v>
      </c>
      <c r="C4697" t="s">
        <v>870</v>
      </c>
      <c r="D4697" t="s">
        <v>11</v>
      </c>
      <c r="E4697">
        <v>27</v>
      </c>
      <c r="F4697" s="2">
        <f>DATE(2026,IF(Tabla1[[#This Row],[Mes de Fecha]]="Septiembre",9,10),Tabla1[[#This Row],[Día de Fecha]])</f>
        <v>46292</v>
      </c>
      <c r="I4697">
        <v>0</v>
      </c>
      <c r="J4697" s="1">
        <v>12965341</v>
      </c>
      <c r="K4697">
        <v>0</v>
      </c>
    </row>
    <row r="4698" spans="1:11" x14ac:dyDescent="0.25">
      <c r="A4698" t="s">
        <v>326</v>
      </c>
      <c r="B4698" t="s">
        <v>738</v>
      </c>
      <c r="C4698" t="s">
        <v>870</v>
      </c>
      <c r="D4698" t="s">
        <v>11</v>
      </c>
      <c r="E4698">
        <v>27</v>
      </c>
      <c r="F4698" s="2">
        <f>DATE(2026,IF(Tabla1[[#This Row],[Mes de Fecha]]="Septiembre",9,10),Tabla1[[#This Row],[Día de Fecha]])</f>
        <v>46292</v>
      </c>
      <c r="G4698">
        <v>4337936</v>
      </c>
      <c r="H4698" t="s">
        <v>742</v>
      </c>
      <c r="I4698">
        <v>41</v>
      </c>
      <c r="J4698">
        <v>0</v>
      </c>
      <c r="K4698" s="1">
        <v>2712483</v>
      </c>
    </row>
    <row r="4699" spans="1:11" x14ac:dyDescent="0.25">
      <c r="A4699" t="s">
        <v>326</v>
      </c>
      <c r="B4699" t="s">
        <v>738</v>
      </c>
      <c r="C4699" t="s">
        <v>870</v>
      </c>
      <c r="D4699" t="s">
        <v>11</v>
      </c>
      <c r="E4699">
        <v>27</v>
      </c>
      <c r="F4699" s="2">
        <f>DATE(2026,IF(Tabla1[[#This Row],[Mes de Fecha]]="Septiembre",9,10),Tabla1[[#This Row],[Día de Fecha]])</f>
        <v>46292</v>
      </c>
      <c r="G4699">
        <v>1000637944</v>
      </c>
      <c r="H4699" t="s">
        <v>641</v>
      </c>
      <c r="I4699">
        <v>77</v>
      </c>
      <c r="J4699">
        <v>0</v>
      </c>
      <c r="K4699" s="1">
        <v>5433493</v>
      </c>
    </row>
    <row r="4700" spans="1:11" x14ac:dyDescent="0.25">
      <c r="A4700" t="s">
        <v>326</v>
      </c>
      <c r="B4700" t="s">
        <v>738</v>
      </c>
      <c r="C4700" t="s">
        <v>870</v>
      </c>
      <c r="D4700" t="s">
        <v>11</v>
      </c>
      <c r="E4700">
        <v>27</v>
      </c>
      <c r="F4700" s="2">
        <f>DATE(2026,IF(Tabla1[[#This Row],[Mes de Fecha]]="Septiembre",9,10),Tabla1[[#This Row],[Día de Fecha]])</f>
        <v>46292</v>
      </c>
      <c r="G4700">
        <v>1001653261</v>
      </c>
      <c r="H4700" t="s">
        <v>647</v>
      </c>
      <c r="I4700">
        <v>-3</v>
      </c>
      <c r="J4700">
        <v>0</v>
      </c>
      <c r="K4700" s="1">
        <v>-142731</v>
      </c>
    </row>
    <row r="4701" spans="1:11" x14ac:dyDescent="0.25">
      <c r="A4701" t="s">
        <v>326</v>
      </c>
      <c r="B4701" t="s">
        <v>738</v>
      </c>
      <c r="C4701" t="s">
        <v>870</v>
      </c>
      <c r="D4701" t="s">
        <v>11</v>
      </c>
      <c r="E4701">
        <v>27</v>
      </c>
      <c r="F4701" s="2">
        <f>DATE(2026,IF(Tabla1[[#This Row],[Mes de Fecha]]="Septiembre",9,10),Tabla1[[#This Row],[Día de Fecha]])</f>
        <v>46292</v>
      </c>
      <c r="G4701">
        <v>1007390161</v>
      </c>
      <c r="H4701" t="s">
        <v>743</v>
      </c>
      <c r="I4701">
        <v>74</v>
      </c>
      <c r="J4701">
        <v>0</v>
      </c>
      <c r="K4701" s="1">
        <v>4114371</v>
      </c>
    </row>
    <row r="4702" spans="1:11" x14ac:dyDescent="0.25">
      <c r="A4702" t="s">
        <v>326</v>
      </c>
      <c r="B4702" t="s">
        <v>738</v>
      </c>
      <c r="C4702" t="s">
        <v>870</v>
      </c>
      <c r="D4702" t="s">
        <v>11</v>
      </c>
      <c r="E4702">
        <v>27</v>
      </c>
      <c r="F4702" s="2">
        <f>DATE(2026,IF(Tabla1[[#This Row],[Mes de Fecha]]="Septiembre",9,10),Tabla1[[#This Row],[Día de Fecha]])</f>
        <v>46292</v>
      </c>
      <c r="G4702">
        <v>1033259333</v>
      </c>
      <c r="H4702" t="s">
        <v>745</v>
      </c>
      <c r="I4702">
        <v>28</v>
      </c>
      <c r="J4702">
        <v>0</v>
      </c>
      <c r="K4702" s="1">
        <v>1855884</v>
      </c>
    </row>
    <row r="4703" spans="1:11" x14ac:dyDescent="0.25">
      <c r="A4703" t="s">
        <v>326</v>
      </c>
      <c r="B4703" t="s">
        <v>738</v>
      </c>
      <c r="C4703" t="s">
        <v>870</v>
      </c>
      <c r="D4703" t="s">
        <v>11</v>
      </c>
      <c r="E4703">
        <v>27</v>
      </c>
      <c r="F4703" s="2">
        <f>DATE(2026,IF(Tabla1[[#This Row],[Mes de Fecha]]="Septiembre",9,10),Tabla1[[#This Row],[Día de Fecha]])</f>
        <v>46292</v>
      </c>
      <c r="G4703">
        <v>1056785111</v>
      </c>
      <c r="H4703" t="s">
        <v>639</v>
      </c>
      <c r="I4703">
        <v>-1</v>
      </c>
      <c r="J4703">
        <v>0</v>
      </c>
      <c r="K4703" s="1">
        <v>-79790</v>
      </c>
    </row>
    <row r="4704" spans="1:11" x14ac:dyDescent="0.25">
      <c r="A4704" t="s">
        <v>326</v>
      </c>
      <c r="B4704" t="s">
        <v>738</v>
      </c>
      <c r="C4704" t="s">
        <v>870</v>
      </c>
      <c r="D4704" t="s">
        <v>11</v>
      </c>
      <c r="E4704">
        <v>28</v>
      </c>
      <c r="F4704" s="2">
        <f>DATE(2026,IF(Tabla1[[#This Row],[Mes de Fecha]]="Septiembre",9,10),Tabla1[[#This Row],[Día de Fecha]])</f>
        <v>46293</v>
      </c>
      <c r="I4704">
        <v>0</v>
      </c>
      <c r="J4704" s="1">
        <v>7135591</v>
      </c>
      <c r="K4704">
        <v>0</v>
      </c>
    </row>
    <row r="4705" spans="1:11" x14ac:dyDescent="0.25">
      <c r="A4705" t="s">
        <v>326</v>
      </c>
      <c r="B4705" t="s">
        <v>738</v>
      </c>
      <c r="C4705" t="s">
        <v>870</v>
      </c>
      <c r="D4705" t="s">
        <v>11</v>
      </c>
      <c r="E4705">
        <v>28</v>
      </c>
      <c r="F4705" s="2">
        <f>DATE(2026,IF(Tabla1[[#This Row],[Mes de Fecha]]="Septiembre",9,10),Tabla1[[#This Row],[Día de Fecha]])</f>
        <v>46293</v>
      </c>
      <c r="G4705">
        <v>4337936</v>
      </c>
      <c r="H4705" t="s">
        <v>742</v>
      </c>
      <c r="I4705">
        <v>12</v>
      </c>
      <c r="J4705">
        <v>0</v>
      </c>
      <c r="K4705" s="1">
        <v>801975</v>
      </c>
    </row>
    <row r="4706" spans="1:11" x14ac:dyDescent="0.25">
      <c r="A4706" t="s">
        <v>326</v>
      </c>
      <c r="B4706" t="s">
        <v>738</v>
      </c>
      <c r="C4706" t="s">
        <v>870</v>
      </c>
      <c r="D4706" t="s">
        <v>11</v>
      </c>
      <c r="E4706">
        <v>28</v>
      </c>
      <c r="F4706" s="2">
        <f>DATE(2026,IF(Tabla1[[#This Row],[Mes de Fecha]]="Septiembre",9,10),Tabla1[[#This Row],[Día de Fecha]])</f>
        <v>46293</v>
      </c>
      <c r="G4706">
        <v>1000637944</v>
      </c>
      <c r="H4706" t="s">
        <v>641</v>
      </c>
      <c r="I4706">
        <v>22</v>
      </c>
      <c r="J4706">
        <v>0</v>
      </c>
      <c r="K4706" s="1">
        <v>1440253</v>
      </c>
    </row>
    <row r="4707" spans="1:11" x14ac:dyDescent="0.25">
      <c r="A4707" t="s">
        <v>326</v>
      </c>
      <c r="B4707" t="s">
        <v>738</v>
      </c>
      <c r="C4707" t="s">
        <v>870</v>
      </c>
      <c r="D4707" t="s">
        <v>11</v>
      </c>
      <c r="E4707">
        <v>28</v>
      </c>
      <c r="F4707" s="2">
        <f>DATE(2026,IF(Tabla1[[#This Row],[Mes de Fecha]]="Septiembre",9,10),Tabla1[[#This Row],[Día de Fecha]])</f>
        <v>46293</v>
      </c>
      <c r="G4707">
        <v>1001653261</v>
      </c>
      <c r="H4707" t="s">
        <v>647</v>
      </c>
      <c r="I4707">
        <v>-1</v>
      </c>
      <c r="J4707">
        <v>0</v>
      </c>
      <c r="K4707" s="1">
        <v>-105000</v>
      </c>
    </row>
    <row r="4708" spans="1:11" x14ac:dyDescent="0.25">
      <c r="A4708" t="s">
        <v>326</v>
      </c>
      <c r="B4708" t="s">
        <v>738</v>
      </c>
      <c r="C4708" t="s">
        <v>870</v>
      </c>
      <c r="D4708" t="s">
        <v>11</v>
      </c>
      <c r="E4708">
        <v>28</v>
      </c>
      <c r="F4708" s="2">
        <f>DATE(2026,IF(Tabla1[[#This Row],[Mes de Fecha]]="Septiembre",9,10),Tabla1[[#This Row],[Día de Fecha]])</f>
        <v>46293</v>
      </c>
      <c r="G4708">
        <v>1007390161</v>
      </c>
      <c r="H4708" t="s">
        <v>743</v>
      </c>
      <c r="I4708">
        <v>33</v>
      </c>
      <c r="J4708">
        <v>0</v>
      </c>
      <c r="K4708" s="1">
        <v>2128696</v>
      </c>
    </row>
    <row r="4709" spans="1:11" x14ac:dyDescent="0.25">
      <c r="A4709" t="s">
        <v>326</v>
      </c>
      <c r="B4709" t="s">
        <v>738</v>
      </c>
      <c r="C4709" t="s">
        <v>870</v>
      </c>
      <c r="D4709" t="s">
        <v>11</v>
      </c>
      <c r="E4709">
        <v>28</v>
      </c>
      <c r="F4709" s="2">
        <f>DATE(2026,IF(Tabla1[[#This Row],[Mes de Fecha]]="Septiembre",9,10),Tabla1[[#This Row],[Día de Fecha]])</f>
        <v>46293</v>
      </c>
      <c r="G4709">
        <v>1067865055</v>
      </c>
      <c r="H4709" t="s">
        <v>638</v>
      </c>
      <c r="I4709">
        <v>-1</v>
      </c>
      <c r="J4709">
        <v>0</v>
      </c>
      <c r="K4709" s="1">
        <v>-126008</v>
      </c>
    </row>
    <row r="4710" spans="1:11" x14ac:dyDescent="0.25">
      <c r="A4710" t="s">
        <v>326</v>
      </c>
      <c r="B4710" t="s">
        <v>738</v>
      </c>
      <c r="C4710" t="s">
        <v>870</v>
      </c>
      <c r="D4710" t="s">
        <v>11</v>
      </c>
      <c r="E4710">
        <v>29</v>
      </c>
      <c r="F4710" s="2">
        <f>DATE(2026,IF(Tabla1[[#This Row],[Mes de Fecha]]="Septiembre",9,10),Tabla1[[#This Row],[Día de Fecha]])</f>
        <v>46294</v>
      </c>
      <c r="I4710">
        <v>0</v>
      </c>
      <c r="J4710" s="1">
        <v>7622208</v>
      </c>
      <c r="K4710">
        <v>0</v>
      </c>
    </row>
    <row r="4711" spans="1:11" x14ac:dyDescent="0.25">
      <c r="A4711" t="s">
        <v>326</v>
      </c>
      <c r="B4711" t="s">
        <v>738</v>
      </c>
      <c r="C4711" t="s">
        <v>870</v>
      </c>
      <c r="D4711" t="s">
        <v>11</v>
      </c>
      <c r="E4711">
        <v>29</v>
      </c>
      <c r="F4711" s="2">
        <f>DATE(2026,IF(Tabla1[[#This Row],[Mes de Fecha]]="Septiembre",9,10),Tabla1[[#This Row],[Día de Fecha]])</f>
        <v>46294</v>
      </c>
      <c r="G4711">
        <v>4337936</v>
      </c>
      <c r="H4711" t="s">
        <v>742</v>
      </c>
      <c r="I4711">
        <v>38</v>
      </c>
      <c r="J4711">
        <v>0</v>
      </c>
      <c r="K4711" s="1">
        <v>2468952</v>
      </c>
    </row>
    <row r="4712" spans="1:11" x14ac:dyDescent="0.25">
      <c r="A4712" t="s">
        <v>326</v>
      </c>
      <c r="B4712" t="s">
        <v>738</v>
      </c>
      <c r="C4712" t="s">
        <v>870</v>
      </c>
      <c r="D4712" t="s">
        <v>11</v>
      </c>
      <c r="E4712">
        <v>29</v>
      </c>
      <c r="F4712" s="2">
        <f>DATE(2026,IF(Tabla1[[#This Row],[Mes de Fecha]]="Septiembre",9,10),Tabla1[[#This Row],[Día de Fecha]])</f>
        <v>46294</v>
      </c>
      <c r="G4712">
        <v>1000535103</v>
      </c>
      <c r="H4712" t="s">
        <v>640</v>
      </c>
      <c r="I4712">
        <v>-1</v>
      </c>
      <c r="J4712">
        <v>0</v>
      </c>
      <c r="K4712" s="1">
        <v>-75588</v>
      </c>
    </row>
    <row r="4713" spans="1:11" x14ac:dyDescent="0.25">
      <c r="A4713" t="s">
        <v>326</v>
      </c>
      <c r="B4713" t="s">
        <v>738</v>
      </c>
      <c r="C4713" t="s">
        <v>870</v>
      </c>
      <c r="D4713" t="s">
        <v>11</v>
      </c>
      <c r="E4713">
        <v>29</v>
      </c>
      <c r="F4713" s="2">
        <f>DATE(2026,IF(Tabla1[[#This Row],[Mes de Fecha]]="Septiembre",9,10),Tabla1[[#This Row],[Día de Fecha]])</f>
        <v>46294</v>
      </c>
      <c r="G4713">
        <v>1000637944</v>
      </c>
      <c r="H4713" t="s">
        <v>641</v>
      </c>
      <c r="I4713">
        <v>19</v>
      </c>
      <c r="J4713">
        <v>0</v>
      </c>
      <c r="K4713" s="1">
        <v>1375253</v>
      </c>
    </row>
    <row r="4714" spans="1:11" x14ac:dyDescent="0.25">
      <c r="A4714" t="s">
        <v>326</v>
      </c>
      <c r="B4714" t="s">
        <v>738</v>
      </c>
      <c r="C4714" t="s">
        <v>870</v>
      </c>
      <c r="D4714" t="s">
        <v>11</v>
      </c>
      <c r="E4714">
        <v>29</v>
      </c>
      <c r="F4714" s="2">
        <f>DATE(2026,IF(Tabla1[[#This Row],[Mes de Fecha]]="Septiembre",9,10),Tabla1[[#This Row],[Día de Fecha]])</f>
        <v>46294</v>
      </c>
      <c r="G4714">
        <v>1007390161</v>
      </c>
      <c r="H4714" t="s">
        <v>743</v>
      </c>
      <c r="I4714">
        <v>17</v>
      </c>
      <c r="J4714">
        <v>0</v>
      </c>
      <c r="K4714" s="1">
        <v>1062271</v>
      </c>
    </row>
    <row r="4715" spans="1:11" x14ac:dyDescent="0.25">
      <c r="A4715" t="s">
        <v>326</v>
      </c>
      <c r="B4715" t="s">
        <v>738</v>
      </c>
      <c r="C4715" t="s">
        <v>870</v>
      </c>
      <c r="D4715" t="s">
        <v>11</v>
      </c>
      <c r="E4715">
        <v>30</v>
      </c>
      <c r="F4715" s="2">
        <f>DATE(2026,IF(Tabla1[[#This Row],[Mes de Fecha]]="Septiembre",9,10),Tabla1[[#This Row],[Día de Fecha]])</f>
        <v>46295</v>
      </c>
      <c r="I4715">
        <v>0</v>
      </c>
      <c r="J4715" s="1">
        <v>7873877</v>
      </c>
      <c r="K4715">
        <v>0</v>
      </c>
    </row>
    <row r="4716" spans="1:11" x14ac:dyDescent="0.25">
      <c r="A4716" t="s">
        <v>326</v>
      </c>
      <c r="B4716" t="s">
        <v>738</v>
      </c>
      <c r="C4716" t="s">
        <v>870</v>
      </c>
      <c r="D4716" t="s">
        <v>11</v>
      </c>
      <c r="E4716">
        <v>30</v>
      </c>
      <c r="F4716" s="2">
        <f>DATE(2026,IF(Tabla1[[#This Row],[Mes de Fecha]]="Septiembre",9,10),Tabla1[[#This Row],[Día de Fecha]])</f>
        <v>46295</v>
      </c>
      <c r="G4716">
        <v>4337936</v>
      </c>
      <c r="H4716" t="s">
        <v>742</v>
      </c>
      <c r="I4716">
        <v>59</v>
      </c>
      <c r="J4716">
        <v>0</v>
      </c>
      <c r="K4716" s="1">
        <v>3635926</v>
      </c>
    </row>
    <row r="4717" spans="1:11" x14ac:dyDescent="0.25">
      <c r="A4717" t="s">
        <v>326</v>
      </c>
      <c r="B4717" t="s">
        <v>738</v>
      </c>
      <c r="C4717" t="s">
        <v>870</v>
      </c>
      <c r="D4717" t="s">
        <v>11</v>
      </c>
      <c r="E4717">
        <v>30</v>
      </c>
      <c r="F4717" s="2">
        <f>DATE(2026,IF(Tabla1[[#This Row],[Mes de Fecha]]="Septiembre",9,10),Tabla1[[#This Row],[Día de Fecha]])</f>
        <v>46295</v>
      </c>
      <c r="G4717">
        <v>1000637944</v>
      </c>
      <c r="H4717" t="s">
        <v>641</v>
      </c>
      <c r="I4717">
        <v>16</v>
      </c>
      <c r="J4717">
        <v>0</v>
      </c>
      <c r="K4717" s="1">
        <v>1051723</v>
      </c>
    </row>
    <row r="4718" spans="1:11" x14ac:dyDescent="0.25">
      <c r="A4718" t="s">
        <v>326</v>
      </c>
      <c r="B4718" t="s">
        <v>738</v>
      </c>
      <c r="C4718" t="s">
        <v>870</v>
      </c>
      <c r="D4718" t="s">
        <v>11</v>
      </c>
      <c r="E4718">
        <v>30</v>
      </c>
      <c r="F4718" s="2">
        <f>DATE(2026,IF(Tabla1[[#This Row],[Mes de Fecha]]="Septiembre",9,10),Tabla1[[#This Row],[Día de Fecha]])</f>
        <v>46295</v>
      </c>
      <c r="G4718">
        <v>1007390161</v>
      </c>
      <c r="H4718" t="s">
        <v>743</v>
      </c>
      <c r="I4718">
        <v>45</v>
      </c>
      <c r="J4718">
        <v>0</v>
      </c>
      <c r="K4718" s="1">
        <v>2728908</v>
      </c>
    </row>
    <row r="4719" spans="1:11" x14ac:dyDescent="0.25">
      <c r="A4719" t="s">
        <v>326</v>
      </c>
      <c r="B4719" t="s">
        <v>738</v>
      </c>
      <c r="C4719" t="s">
        <v>870</v>
      </c>
      <c r="D4719" t="s">
        <v>14</v>
      </c>
      <c r="E4719">
        <v>1</v>
      </c>
      <c r="F4719" s="2">
        <f>DATE(2026,IF(Tabla1[[#This Row],[Mes de Fecha]]="Septiembre",9,10),Tabla1[[#This Row],[Día de Fecha]])</f>
        <v>46296</v>
      </c>
      <c r="I4719">
        <v>0</v>
      </c>
      <c r="J4719" s="1">
        <v>8415226</v>
      </c>
      <c r="K4719">
        <v>0</v>
      </c>
    </row>
    <row r="4720" spans="1:11" x14ac:dyDescent="0.25">
      <c r="A4720" t="s">
        <v>326</v>
      </c>
      <c r="B4720" t="s">
        <v>738</v>
      </c>
      <c r="C4720" t="s">
        <v>870</v>
      </c>
      <c r="D4720" t="s">
        <v>14</v>
      </c>
      <c r="E4720">
        <v>1</v>
      </c>
      <c r="F4720" s="2">
        <f>DATE(2026,IF(Tabla1[[#This Row],[Mes de Fecha]]="Septiembre",9,10),Tabla1[[#This Row],[Día de Fecha]])</f>
        <v>46296</v>
      </c>
      <c r="G4720">
        <v>4337936</v>
      </c>
      <c r="H4720" t="s">
        <v>742</v>
      </c>
      <c r="I4720">
        <v>52</v>
      </c>
      <c r="J4720">
        <v>0</v>
      </c>
      <c r="K4720" s="1">
        <v>3001766</v>
      </c>
    </row>
    <row r="4721" spans="1:11" x14ac:dyDescent="0.25">
      <c r="A4721" t="s">
        <v>326</v>
      </c>
      <c r="B4721" t="s">
        <v>738</v>
      </c>
      <c r="C4721" t="s">
        <v>870</v>
      </c>
      <c r="D4721" t="s">
        <v>14</v>
      </c>
      <c r="E4721">
        <v>1</v>
      </c>
      <c r="F4721" s="2">
        <f>DATE(2026,IF(Tabla1[[#This Row],[Mes de Fecha]]="Septiembre",9,10),Tabla1[[#This Row],[Día de Fecha]])</f>
        <v>46296</v>
      </c>
      <c r="G4721">
        <v>1000535103</v>
      </c>
      <c r="H4721" t="s">
        <v>640</v>
      </c>
      <c r="I4721">
        <v>-1</v>
      </c>
      <c r="J4721">
        <v>0</v>
      </c>
      <c r="K4721" s="1">
        <v>-58781</v>
      </c>
    </row>
    <row r="4722" spans="1:11" x14ac:dyDescent="0.25">
      <c r="A4722" t="s">
        <v>326</v>
      </c>
      <c r="B4722" t="s">
        <v>738</v>
      </c>
      <c r="C4722" t="s">
        <v>870</v>
      </c>
      <c r="D4722" t="s">
        <v>14</v>
      </c>
      <c r="E4722">
        <v>1</v>
      </c>
      <c r="F4722" s="2">
        <f>DATE(2026,IF(Tabla1[[#This Row],[Mes de Fecha]]="Septiembre",9,10),Tabla1[[#This Row],[Día de Fecha]])</f>
        <v>46296</v>
      </c>
      <c r="G4722">
        <v>1000637944</v>
      </c>
      <c r="H4722" t="s">
        <v>641</v>
      </c>
      <c r="I4722">
        <v>44</v>
      </c>
      <c r="J4722">
        <v>0</v>
      </c>
      <c r="K4722" s="1">
        <v>2611515</v>
      </c>
    </row>
    <row r="4723" spans="1:11" x14ac:dyDescent="0.25">
      <c r="A4723" t="s">
        <v>326</v>
      </c>
      <c r="B4723" t="s">
        <v>738</v>
      </c>
      <c r="C4723" t="s">
        <v>870</v>
      </c>
      <c r="D4723" t="s">
        <v>14</v>
      </c>
      <c r="E4723">
        <v>1</v>
      </c>
      <c r="F4723" s="2">
        <f>DATE(2026,IF(Tabla1[[#This Row],[Mes de Fecha]]="Septiembre",9,10),Tabla1[[#This Row],[Día de Fecha]])</f>
        <v>46296</v>
      </c>
      <c r="G4723">
        <v>1007390161</v>
      </c>
      <c r="H4723" t="s">
        <v>743</v>
      </c>
      <c r="I4723">
        <v>31</v>
      </c>
      <c r="J4723">
        <v>0</v>
      </c>
      <c r="K4723" s="1">
        <v>2326344</v>
      </c>
    </row>
    <row r="4724" spans="1:11" x14ac:dyDescent="0.25">
      <c r="A4724" t="s">
        <v>326</v>
      </c>
      <c r="B4724" t="s">
        <v>738</v>
      </c>
      <c r="C4724" t="s">
        <v>870</v>
      </c>
      <c r="D4724" t="s">
        <v>14</v>
      </c>
      <c r="E4724">
        <v>2</v>
      </c>
      <c r="F4724" s="2">
        <f>DATE(2026,IF(Tabla1[[#This Row],[Mes de Fecha]]="Septiembre",9,10),Tabla1[[#This Row],[Día de Fecha]])</f>
        <v>46297</v>
      </c>
      <c r="I4724">
        <v>0</v>
      </c>
      <c r="J4724" s="1">
        <v>10891561</v>
      </c>
      <c r="K4724">
        <v>0</v>
      </c>
    </row>
    <row r="4725" spans="1:11" x14ac:dyDescent="0.25">
      <c r="A4725" t="s">
        <v>326</v>
      </c>
      <c r="B4725" t="s">
        <v>738</v>
      </c>
      <c r="C4725" t="s">
        <v>870</v>
      </c>
      <c r="D4725" t="s">
        <v>14</v>
      </c>
      <c r="E4725">
        <v>2</v>
      </c>
      <c r="F4725" s="2">
        <f>DATE(2026,IF(Tabla1[[#This Row],[Mes de Fecha]]="Septiembre",9,10),Tabla1[[#This Row],[Día de Fecha]])</f>
        <v>46297</v>
      </c>
      <c r="G4725">
        <v>4337936</v>
      </c>
      <c r="H4725" t="s">
        <v>742</v>
      </c>
      <c r="I4725">
        <v>36</v>
      </c>
      <c r="J4725">
        <v>0</v>
      </c>
      <c r="K4725" s="1">
        <v>1979330</v>
      </c>
    </row>
    <row r="4726" spans="1:11" x14ac:dyDescent="0.25">
      <c r="A4726" t="s">
        <v>326</v>
      </c>
      <c r="B4726" t="s">
        <v>738</v>
      </c>
      <c r="C4726" t="s">
        <v>870</v>
      </c>
      <c r="D4726" t="s">
        <v>14</v>
      </c>
      <c r="E4726">
        <v>2</v>
      </c>
      <c r="F4726" s="2">
        <f>DATE(2026,IF(Tabla1[[#This Row],[Mes de Fecha]]="Septiembre",9,10),Tabla1[[#This Row],[Día de Fecha]])</f>
        <v>46297</v>
      </c>
      <c r="G4726">
        <v>1000637944</v>
      </c>
      <c r="H4726" t="s">
        <v>641</v>
      </c>
      <c r="I4726">
        <v>16</v>
      </c>
      <c r="J4726">
        <v>0</v>
      </c>
      <c r="K4726" s="1">
        <v>1205212</v>
      </c>
    </row>
    <row r="4727" spans="1:11" x14ac:dyDescent="0.25">
      <c r="A4727" t="s">
        <v>326</v>
      </c>
      <c r="B4727" t="s">
        <v>738</v>
      </c>
      <c r="C4727" t="s">
        <v>870</v>
      </c>
      <c r="D4727" t="s">
        <v>14</v>
      </c>
      <c r="E4727">
        <v>2</v>
      </c>
      <c r="F4727" s="2">
        <f>DATE(2026,IF(Tabla1[[#This Row],[Mes de Fecha]]="Septiembre",9,10),Tabla1[[#This Row],[Día de Fecha]])</f>
        <v>46297</v>
      </c>
      <c r="G4727">
        <v>1001653261</v>
      </c>
      <c r="H4727" t="s">
        <v>647</v>
      </c>
      <c r="I4727">
        <v>64</v>
      </c>
      <c r="J4727">
        <v>0</v>
      </c>
      <c r="K4727" s="1">
        <v>3938274</v>
      </c>
    </row>
    <row r="4728" spans="1:11" x14ac:dyDescent="0.25">
      <c r="A4728" t="s">
        <v>326</v>
      </c>
      <c r="B4728" t="s">
        <v>738</v>
      </c>
      <c r="C4728" t="s">
        <v>870</v>
      </c>
      <c r="D4728" t="s">
        <v>14</v>
      </c>
      <c r="E4728">
        <v>2</v>
      </c>
      <c r="F4728" s="2">
        <f>DATE(2026,IF(Tabla1[[#This Row],[Mes de Fecha]]="Septiembre",9,10),Tabla1[[#This Row],[Día de Fecha]])</f>
        <v>46297</v>
      </c>
      <c r="G4728">
        <v>1007390161</v>
      </c>
      <c r="H4728" t="s">
        <v>743</v>
      </c>
      <c r="I4728">
        <v>64</v>
      </c>
      <c r="J4728">
        <v>0</v>
      </c>
      <c r="K4728" s="1">
        <v>3520169</v>
      </c>
    </row>
    <row r="4729" spans="1:11" x14ac:dyDescent="0.25">
      <c r="A4729" t="s">
        <v>326</v>
      </c>
      <c r="B4729" t="s">
        <v>738</v>
      </c>
      <c r="C4729" t="s">
        <v>870</v>
      </c>
      <c r="D4729" t="s">
        <v>14</v>
      </c>
      <c r="E4729">
        <v>2</v>
      </c>
      <c r="F4729" s="2">
        <f>DATE(2026,IF(Tabla1[[#This Row],[Mes de Fecha]]="Septiembre",9,10),Tabla1[[#This Row],[Día de Fecha]])</f>
        <v>46297</v>
      </c>
      <c r="G4729">
        <v>1033426758</v>
      </c>
      <c r="H4729" t="s">
        <v>744</v>
      </c>
      <c r="I4729">
        <v>2</v>
      </c>
      <c r="J4729">
        <v>0</v>
      </c>
      <c r="K4729" s="1">
        <v>96555</v>
      </c>
    </row>
    <row r="4730" spans="1:11" x14ac:dyDescent="0.25">
      <c r="A4730" t="s">
        <v>326</v>
      </c>
      <c r="B4730" t="s">
        <v>738</v>
      </c>
      <c r="C4730" t="s">
        <v>870</v>
      </c>
      <c r="D4730" t="s">
        <v>14</v>
      </c>
      <c r="E4730">
        <v>2</v>
      </c>
      <c r="F4730" s="2">
        <f>DATE(2026,IF(Tabla1[[#This Row],[Mes de Fecha]]="Septiembre",9,10),Tabla1[[#This Row],[Día de Fecha]])</f>
        <v>46297</v>
      </c>
      <c r="G4730">
        <v>1056785111</v>
      </c>
      <c r="H4730" t="s">
        <v>639</v>
      </c>
      <c r="I4730">
        <v>-1</v>
      </c>
      <c r="J4730">
        <v>0</v>
      </c>
      <c r="K4730" s="1">
        <v>-50378</v>
      </c>
    </row>
    <row r="4731" spans="1:11" x14ac:dyDescent="0.25">
      <c r="A4731" t="s">
        <v>326</v>
      </c>
      <c r="B4731" t="s">
        <v>738</v>
      </c>
      <c r="C4731" t="s">
        <v>870</v>
      </c>
      <c r="D4731" t="s">
        <v>14</v>
      </c>
      <c r="E4731">
        <v>3</v>
      </c>
      <c r="F4731" s="2">
        <f>DATE(2026,IF(Tabla1[[#This Row],[Mes de Fecha]]="Septiembre",9,10),Tabla1[[#This Row],[Día de Fecha]])</f>
        <v>46298</v>
      </c>
      <c r="I4731">
        <v>0</v>
      </c>
      <c r="J4731" s="1">
        <v>17330444</v>
      </c>
      <c r="K4731">
        <v>0</v>
      </c>
    </row>
    <row r="4732" spans="1:11" x14ac:dyDescent="0.25">
      <c r="A4732" t="s">
        <v>326</v>
      </c>
      <c r="B4732" t="s">
        <v>738</v>
      </c>
      <c r="C4732" t="s">
        <v>870</v>
      </c>
      <c r="D4732" t="s">
        <v>14</v>
      </c>
      <c r="E4732">
        <v>3</v>
      </c>
      <c r="F4732" s="2">
        <f>DATE(2026,IF(Tabla1[[#This Row],[Mes de Fecha]]="Septiembre",9,10),Tabla1[[#This Row],[Día de Fecha]])</f>
        <v>46298</v>
      </c>
      <c r="G4732">
        <v>4337936</v>
      </c>
      <c r="H4732" t="s">
        <v>742</v>
      </c>
      <c r="I4732">
        <v>71</v>
      </c>
      <c r="J4732">
        <v>0</v>
      </c>
      <c r="K4732" s="1">
        <v>3862662</v>
      </c>
    </row>
    <row r="4733" spans="1:11" x14ac:dyDescent="0.25">
      <c r="A4733" t="s">
        <v>326</v>
      </c>
      <c r="B4733" t="s">
        <v>738</v>
      </c>
      <c r="C4733" t="s">
        <v>870</v>
      </c>
      <c r="D4733" t="s">
        <v>14</v>
      </c>
      <c r="E4733">
        <v>3</v>
      </c>
      <c r="F4733" s="2">
        <f>DATE(2026,IF(Tabla1[[#This Row],[Mes de Fecha]]="Septiembre",9,10),Tabla1[[#This Row],[Día de Fecha]])</f>
        <v>46298</v>
      </c>
      <c r="G4733">
        <v>1000637944</v>
      </c>
      <c r="H4733" t="s">
        <v>641</v>
      </c>
      <c r="I4733">
        <v>87</v>
      </c>
      <c r="J4733">
        <v>0</v>
      </c>
      <c r="K4733" s="1">
        <v>4682059</v>
      </c>
    </row>
    <row r="4734" spans="1:11" x14ac:dyDescent="0.25">
      <c r="A4734" t="s">
        <v>326</v>
      </c>
      <c r="B4734" t="s">
        <v>738</v>
      </c>
      <c r="C4734" t="s">
        <v>870</v>
      </c>
      <c r="D4734" t="s">
        <v>14</v>
      </c>
      <c r="E4734">
        <v>3</v>
      </c>
      <c r="F4734" s="2">
        <f>DATE(2026,IF(Tabla1[[#This Row],[Mes de Fecha]]="Septiembre",9,10),Tabla1[[#This Row],[Día de Fecha]])</f>
        <v>46298</v>
      </c>
      <c r="G4734">
        <v>1001653261</v>
      </c>
      <c r="H4734" t="s">
        <v>647</v>
      </c>
      <c r="I4734">
        <v>68</v>
      </c>
      <c r="J4734">
        <v>0</v>
      </c>
      <c r="K4734" s="1">
        <v>3489748</v>
      </c>
    </row>
    <row r="4735" spans="1:11" x14ac:dyDescent="0.25">
      <c r="A4735" t="s">
        <v>326</v>
      </c>
      <c r="B4735" t="s">
        <v>738</v>
      </c>
      <c r="C4735" t="s">
        <v>870</v>
      </c>
      <c r="D4735" t="s">
        <v>14</v>
      </c>
      <c r="E4735">
        <v>3</v>
      </c>
      <c r="F4735" s="2">
        <f>DATE(2026,IF(Tabla1[[#This Row],[Mes de Fecha]]="Septiembre",9,10),Tabla1[[#This Row],[Día de Fecha]])</f>
        <v>46298</v>
      </c>
      <c r="G4735">
        <v>1007222843</v>
      </c>
      <c r="H4735" t="s">
        <v>637</v>
      </c>
      <c r="I4735">
        <v>-1</v>
      </c>
      <c r="J4735">
        <v>0</v>
      </c>
      <c r="K4735" s="1">
        <v>-113403</v>
      </c>
    </row>
    <row r="4736" spans="1:11" x14ac:dyDescent="0.25">
      <c r="A4736" t="s">
        <v>326</v>
      </c>
      <c r="B4736" t="s">
        <v>738</v>
      </c>
      <c r="C4736" t="s">
        <v>870</v>
      </c>
      <c r="D4736" t="s">
        <v>14</v>
      </c>
      <c r="E4736">
        <v>3</v>
      </c>
      <c r="F4736" s="2">
        <f>DATE(2026,IF(Tabla1[[#This Row],[Mes de Fecha]]="Septiembre",9,10),Tabla1[[#This Row],[Día de Fecha]])</f>
        <v>46298</v>
      </c>
      <c r="G4736">
        <v>1007390161</v>
      </c>
      <c r="H4736" t="s">
        <v>743</v>
      </c>
      <c r="I4736">
        <v>106</v>
      </c>
      <c r="J4736">
        <v>0</v>
      </c>
      <c r="K4736" s="1">
        <v>5457800</v>
      </c>
    </row>
    <row r="4737" spans="1:11" x14ac:dyDescent="0.25">
      <c r="A4737" t="s">
        <v>326</v>
      </c>
      <c r="B4737" t="s">
        <v>738</v>
      </c>
      <c r="C4737" t="s">
        <v>870</v>
      </c>
      <c r="D4737" t="s">
        <v>14</v>
      </c>
      <c r="E4737">
        <v>3</v>
      </c>
      <c r="F4737" s="2">
        <f>DATE(2026,IF(Tabla1[[#This Row],[Mes de Fecha]]="Septiembre",9,10),Tabla1[[#This Row],[Día de Fecha]])</f>
        <v>46298</v>
      </c>
      <c r="G4737">
        <v>1033426758</v>
      </c>
      <c r="H4737" t="s">
        <v>744</v>
      </c>
      <c r="I4737">
        <v>1</v>
      </c>
      <c r="J4737">
        <v>0</v>
      </c>
      <c r="K4737" s="1">
        <v>41975</v>
      </c>
    </row>
    <row r="4738" spans="1:11" x14ac:dyDescent="0.25">
      <c r="A4738" t="s">
        <v>326</v>
      </c>
      <c r="B4738" t="s">
        <v>738</v>
      </c>
      <c r="C4738" t="s">
        <v>870</v>
      </c>
      <c r="D4738" t="s">
        <v>14</v>
      </c>
      <c r="E4738">
        <v>3</v>
      </c>
      <c r="F4738" s="2">
        <f>DATE(2026,IF(Tabla1[[#This Row],[Mes de Fecha]]="Septiembre",9,10),Tabla1[[#This Row],[Día de Fecha]])</f>
        <v>46298</v>
      </c>
      <c r="G4738">
        <v>1037585001</v>
      </c>
      <c r="H4738" t="s">
        <v>746</v>
      </c>
      <c r="I4738">
        <v>-1</v>
      </c>
      <c r="J4738">
        <v>0</v>
      </c>
      <c r="K4738" s="1">
        <v>-53748</v>
      </c>
    </row>
    <row r="4739" spans="1:11" x14ac:dyDescent="0.25">
      <c r="A4739" t="s">
        <v>326</v>
      </c>
      <c r="B4739" t="s">
        <v>738</v>
      </c>
      <c r="C4739" t="s">
        <v>870</v>
      </c>
      <c r="D4739" t="s">
        <v>14</v>
      </c>
      <c r="E4739">
        <v>3</v>
      </c>
      <c r="F4739" s="2">
        <f>DATE(2026,IF(Tabla1[[#This Row],[Mes de Fecha]]="Septiembre",9,10),Tabla1[[#This Row],[Día de Fecha]])</f>
        <v>46298</v>
      </c>
      <c r="G4739">
        <v>1056785111</v>
      </c>
      <c r="H4739" t="s">
        <v>639</v>
      </c>
      <c r="I4739">
        <v>-1</v>
      </c>
      <c r="J4739">
        <v>0</v>
      </c>
      <c r="K4739" s="1">
        <v>-33572</v>
      </c>
    </row>
    <row r="4740" spans="1:11" x14ac:dyDescent="0.25">
      <c r="A4740" t="s">
        <v>326</v>
      </c>
      <c r="B4740" t="s">
        <v>738</v>
      </c>
      <c r="C4740" t="s">
        <v>870</v>
      </c>
      <c r="D4740" t="s">
        <v>14</v>
      </c>
      <c r="E4740">
        <v>4</v>
      </c>
      <c r="F4740" s="2">
        <f>DATE(2026,IF(Tabla1[[#This Row],[Mes de Fecha]]="Septiembre",9,10),Tabla1[[#This Row],[Día de Fecha]])</f>
        <v>46299</v>
      </c>
      <c r="I4740">
        <v>0</v>
      </c>
      <c r="J4740" s="1">
        <v>14492964</v>
      </c>
      <c r="K4740">
        <v>0</v>
      </c>
    </row>
    <row r="4741" spans="1:11" x14ac:dyDescent="0.25">
      <c r="A4741" t="s">
        <v>326</v>
      </c>
      <c r="B4741" t="s">
        <v>738</v>
      </c>
      <c r="C4741" t="s">
        <v>870</v>
      </c>
      <c r="D4741" t="s">
        <v>14</v>
      </c>
      <c r="E4741">
        <v>4</v>
      </c>
      <c r="F4741" s="2">
        <f>DATE(2026,IF(Tabla1[[#This Row],[Mes de Fecha]]="Septiembre",9,10),Tabla1[[#This Row],[Día de Fecha]])</f>
        <v>46299</v>
      </c>
      <c r="G4741">
        <v>4337936</v>
      </c>
      <c r="H4741" t="s">
        <v>742</v>
      </c>
      <c r="I4741">
        <v>66</v>
      </c>
      <c r="J4741">
        <v>0</v>
      </c>
      <c r="K4741" s="1">
        <v>3948527</v>
      </c>
    </row>
    <row r="4742" spans="1:11" x14ac:dyDescent="0.25">
      <c r="A4742" t="s">
        <v>326</v>
      </c>
      <c r="B4742" t="s">
        <v>738</v>
      </c>
      <c r="C4742" t="s">
        <v>870</v>
      </c>
      <c r="D4742" t="s">
        <v>14</v>
      </c>
      <c r="E4742">
        <v>4</v>
      </c>
      <c r="F4742" s="2">
        <f>DATE(2026,IF(Tabla1[[#This Row],[Mes de Fecha]]="Septiembre",9,10),Tabla1[[#This Row],[Día de Fecha]])</f>
        <v>46299</v>
      </c>
      <c r="G4742">
        <v>1000637944</v>
      </c>
      <c r="H4742" t="s">
        <v>641</v>
      </c>
      <c r="I4742">
        <v>5</v>
      </c>
      <c r="J4742">
        <v>0</v>
      </c>
      <c r="K4742" s="1">
        <v>302353</v>
      </c>
    </row>
    <row r="4743" spans="1:11" x14ac:dyDescent="0.25">
      <c r="A4743" t="s">
        <v>326</v>
      </c>
      <c r="B4743" t="s">
        <v>738</v>
      </c>
      <c r="C4743" t="s">
        <v>870</v>
      </c>
      <c r="D4743" t="s">
        <v>14</v>
      </c>
      <c r="E4743">
        <v>4</v>
      </c>
      <c r="F4743" s="2">
        <f>DATE(2026,IF(Tabla1[[#This Row],[Mes de Fecha]]="Septiembre",9,10),Tabla1[[#This Row],[Día de Fecha]])</f>
        <v>46299</v>
      </c>
      <c r="G4743">
        <v>1001653261</v>
      </c>
      <c r="H4743" t="s">
        <v>647</v>
      </c>
      <c r="I4743">
        <v>73</v>
      </c>
      <c r="J4743">
        <v>0</v>
      </c>
      <c r="K4743" s="1">
        <v>4107775</v>
      </c>
    </row>
    <row r="4744" spans="1:11" x14ac:dyDescent="0.25">
      <c r="A4744" t="s">
        <v>326</v>
      </c>
      <c r="B4744" t="s">
        <v>738</v>
      </c>
      <c r="C4744" t="s">
        <v>870</v>
      </c>
      <c r="D4744" t="s">
        <v>14</v>
      </c>
      <c r="E4744">
        <v>4</v>
      </c>
      <c r="F4744" s="2">
        <f>DATE(2026,IF(Tabla1[[#This Row],[Mes de Fecha]]="Septiembre",9,10),Tabla1[[#This Row],[Día de Fecha]])</f>
        <v>46299</v>
      </c>
      <c r="G4744">
        <v>1007390161</v>
      </c>
      <c r="H4744" t="s">
        <v>743</v>
      </c>
      <c r="I4744">
        <v>81</v>
      </c>
      <c r="J4744">
        <v>0</v>
      </c>
      <c r="K4744" s="1">
        <v>4809565</v>
      </c>
    </row>
    <row r="4745" spans="1:11" x14ac:dyDescent="0.25">
      <c r="A4745" t="s">
        <v>326</v>
      </c>
      <c r="B4745" t="s">
        <v>738</v>
      </c>
      <c r="C4745" t="s">
        <v>870</v>
      </c>
      <c r="D4745" t="s">
        <v>14</v>
      </c>
      <c r="E4745">
        <v>5</v>
      </c>
      <c r="F4745" s="2">
        <f>DATE(2026,IF(Tabla1[[#This Row],[Mes de Fecha]]="Septiembre",9,10),Tabla1[[#This Row],[Día de Fecha]])</f>
        <v>46300</v>
      </c>
      <c r="I4745">
        <v>0</v>
      </c>
      <c r="J4745" s="1">
        <v>7332327</v>
      </c>
      <c r="K4745">
        <v>0</v>
      </c>
    </row>
    <row r="4746" spans="1:11" x14ac:dyDescent="0.25">
      <c r="A4746" t="s">
        <v>326</v>
      </c>
      <c r="B4746" t="s">
        <v>738</v>
      </c>
      <c r="C4746" t="s">
        <v>870</v>
      </c>
      <c r="D4746" t="s">
        <v>14</v>
      </c>
      <c r="E4746">
        <v>5</v>
      </c>
      <c r="F4746" s="2">
        <f>DATE(2026,IF(Tabla1[[#This Row],[Mes de Fecha]]="Septiembre",9,10),Tabla1[[#This Row],[Día de Fecha]])</f>
        <v>46300</v>
      </c>
      <c r="G4746">
        <v>1000637944</v>
      </c>
      <c r="H4746" t="s">
        <v>641</v>
      </c>
      <c r="I4746">
        <v>1</v>
      </c>
      <c r="J4746">
        <v>0</v>
      </c>
      <c r="K4746" s="1">
        <v>41975</v>
      </c>
    </row>
    <row r="4747" spans="1:11" x14ac:dyDescent="0.25">
      <c r="A4747" t="s">
        <v>326</v>
      </c>
      <c r="B4747" t="s">
        <v>738</v>
      </c>
      <c r="C4747" t="s">
        <v>870</v>
      </c>
      <c r="D4747" t="s">
        <v>14</v>
      </c>
      <c r="E4747">
        <v>5</v>
      </c>
      <c r="F4747" s="2">
        <f>DATE(2026,IF(Tabla1[[#This Row],[Mes de Fecha]]="Septiembre",9,10),Tabla1[[#This Row],[Día de Fecha]])</f>
        <v>46300</v>
      </c>
      <c r="G4747">
        <v>1001653261</v>
      </c>
      <c r="H4747" t="s">
        <v>647</v>
      </c>
      <c r="I4747">
        <v>-1</v>
      </c>
      <c r="J4747">
        <v>0</v>
      </c>
      <c r="K4747" s="1">
        <v>-41975</v>
      </c>
    </row>
    <row r="4748" spans="1:11" x14ac:dyDescent="0.25">
      <c r="A4748" t="s">
        <v>326</v>
      </c>
      <c r="B4748" t="s">
        <v>738</v>
      </c>
      <c r="C4748" t="s">
        <v>870</v>
      </c>
      <c r="D4748" t="s">
        <v>14</v>
      </c>
      <c r="E4748">
        <v>5</v>
      </c>
      <c r="F4748" s="2">
        <f>DATE(2026,IF(Tabla1[[#This Row],[Mes de Fecha]]="Septiembre",9,10),Tabla1[[#This Row],[Día de Fecha]])</f>
        <v>46300</v>
      </c>
      <c r="G4748">
        <v>1007390161</v>
      </c>
      <c r="H4748" t="s">
        <v>743</v>
      </c>
      <c r="I4748">
        <v>166</v>
      </c>
      <c r="J4748">
        <v>0</v>
      </c>
      <c r="K4748" s="1">
        <v>9113279</v>
      </c>
    </row>
    <row r="4749" spans="1:11" x14ac:dyDescent="0.25">
      <c r="A4749" t="s">
        <v>326</v>
      </c>
      <c r="B4749" t="s">
        <v>738</v>
      </c>
      <c r="C4749" t="s">
        <v>870</v>
      </c>
      <c r="D4749" t="s">
        <v>14</v>
      </c>
      <c r="E4749">
        <v>5</v>
      </c>
      <c r="F4749" s="2">
        <f>DATE(2026,IF(Tabla1[[#This Row],[Mes de Fecha]]="Septiembre",9,10),Tabla1[[#This Row],[Día de Fecha]])</f>
        <v>46300</v>
      </c>
      <c r="G4749">
        <v>1015066253</v>
      </c>
      <c r="H4749" t="s">
        <v>721</v>
      </c>
      <c r="I4749">
        <v>-5</v>
      </c>
      <c r="J4749">
        <v>0</v>
      </c>
      <c r="K4749" s="1">
        <v>-307378</v>
      </c>
    </row>
    <row r="4750" spans="1:11" x14ac:dyDescent="0.25">
      <c r="A4750" t="s">
        <v>326</v>
      </c>
      <c r="B4750" t="s">
        <v>738</v>
      </c>
      <c r="C4750" t="s">
        <v>870</v>
      </c>
      <c r="D4750" t="s">
        <v>14</v>
      </c>
      <c r="E4750">
        <v>6</v>
      </c>
      <c r="F4750" s="2">
        <f>DATE(2026,IF(Tabla1[[#This Row],[Mes de Fecha]]="Septiembre",9,10),Tabla1[[#This Row],[Día de Fecha]])</f>
        <v>46301</v>
      </c>
      <c r="I4750">
        <v>0</v>
      </c>
      <c r="J4750" s="1">
        <v>5758515</v>
      </c>
      <c r="K4750">
        <v>0</v>
      </c>
    </row>
    <row r="4751" spans="1:11" x14ac:dyDescent="0.25">
      <c r="A4751" t="s">
        <v>326</v>
      </c>
      <c r="B4751" t="s">
        <v>738</v>
      </c>
      <c r="C4751" t="s">
        <v>870</v>
      </c>
      <c r="D4751" t="s">
        <v>14</v>
      </c>
      <c r="E4751">
        <v>6</v>
      </c>
      <c r="F4751" s="2">
        <f>DATE(2026,IF(Tabla1[[#This Row],[Mes de Fecha]]="Septiembre",9,10),Tabla1[[#This Row],[Día de Fecha]])</f>
        <v>46301</v>
      </c>
      <c r="G4751">
        <v>4337936</v>
      </c>
      <c r="H4751" t="s">
        <v>742</v>
      </c>
      <c r="I4751">
        <v>38</v>
      </c>
      <c r="J4751">
        <v>0</v>
      </c>
      <c r="K4751" s="1">
        <v>2178911</v>
      </c>
    </row>
    <row r="4752" spans="1:11" x14ac:dyDescent="0.25">
      <c r="A4752" t="s">
        <v>326</v>
      </c>
      <c r="B4752" t="s">
        <v>738</v>
      </c>
      <c r="C4752" t="s">
        <v>870</v>
      </c>
      <c r="D4752" t="s">
        <v>14</v>
      </c>
      <c r="E4752">
        <v>6</v>
      </c>
      <c r="F4752" s="2">
        <f>DATE(2026,IF(Tabla1[[#This Row],[Mes de Fecha]]="Septiembre",9,10),Tabla1[[#This Row],[Día de Fecha]])</f>
        <v>46301</v>
      </c>
      <c r="G4752">
        <v>1001653261</v>
      </c>
      <c r="H4752" t="s">
        <v>647</v>
      </c>
      <c r="I4752">
        <v>29</v>
      </c>
      <c r="J4752">
        <v>0</v>
      </c>
      <c r="K4752" s="1">
        <v>1263403</v>
      </c>
    </row>
    <row r="4753" spans="1:11" x14ac:dyDescent="0.25">
      <c r="A4753" t="s">
        <v>326</v>
      </c>
      <c r="B4753" t="s">
        <v>738</v>
      </c>
      <c r="C4753" t="s">
        <v>870</v>
      </c>
      <c r="D4753" t="s">
        <v>14</v>
      </c>
      <c r="E4753">
        <v>6</v>
      </c>
      <c r="F4753" s="2">
        <f>DATE(2026,IF(Tabla1[[#This Row],[Mes de Fecha]]="Septiembre",9,10),Tabla1[[#This Row],[Día de Fecha]])</f>
        <v>46301</v>
      </c>
      <c r="G4753">
        <v>1007390161</v>
      </c>
      <c r="H4753" t="s">
        <v>743</v>
      </c>
      <c r="I4753">
        <v>52</v>
      </c>
      <c r="J4753">
        <v>0</v>
      </c>
      <c r="K4753" s="1">
        <v>2543319</v>
      </c>
    </row>
    <row r="4754" spans="1:11" x14ac:dyDescent="0.25">
      <c r="A4754" t="s">
        <v>326</v>
      </c>
      <c r="B4754" t="s">
        <v>738</v>
      </c>
      <c r="C4754" t="s">
        <v>870</v>
      </c>
      <c r="D4754" t="s">
        <v>14</v>
      </c>
      <c r="E4754">
        <v>7</v>
      </c>
      <c r="F4754" s="2">
        <f>DATE(2026,IF(Tabla1[[#This Row],[Mes de Fecha]]="Septiembre",9,10),Tabla1[[#This Row],[Día de Fecha]])</f>
        <v>46302</v>
      </c>
      <c r="I4754">
        <v>0</v>
      </c>
      <c r="J4754" s="1">
        <v>5682744</v>
      </c>
      <c r="K4754">
        <v>0</v>
      </c>
    </row>
    <row r="4755" spans="1:11" x14ac:dyDescent="0.25">
      <c r="A4755" t="s">
        <v>326</v>
      </c>
      <c r="B4755" t="s">
        <v>738</v>
      </c>
      <c r="C4755" t="s">
        <v>870</v>
      </c>
      <c r="D4755" t="s">
        <v>14</v>
      </c>
      <c r="E4755">
        <v>7</v>
      </c>
      <c r="F4755" s="2">
        <f>DATE(2026,IF(Tabla1[[#This Row],[Mes de Fecha]]="Septiembre",9,10),Tabla1[[#This Row],[Día de Fecha]])</f>
        <v>46302</v>
      </c>
      <c r="G4755">
        <v>4337936</v>
      </c>
      <c r="H4755" t="s">
        <v>742</v>
      </c>
      <c r="I4755">
        <v>42</v>
      </c>
      <c r="J4755">
        <v>0</v>
      </c>
      <c r="K4755" s="1">
        <v>2372981</v>
      </c>
    </row>
    <row r="4756" spans="1:11" x14ac:dyDescent="0.25">
      <c r="A4756" t="s">
        <v>326</v>
      </c>
      <c r="B4756" t="s">
        <v>738</v>
      </c>
      <c r="C4756" t="s">
        <v>870</v>
      </c>
      <c r="D4756" t="s">
        <v>14</v>
      </c>
      <c r="E4756">
        <v>7</v>
      </c>
      <c r="F4756" s="2">
        <f>DATE(2026,IF(Tabla1[[#This Row],[Mes de Fecha]]="Septiembre",9,10),Tabla1[[#This Row],[Día de Fecha]])</f>
        <v>46302</v>
      </c>
      <c r="G4756">
        <v>1001653261</v>
      </c>
      <c r="H4756" t="s">
        <v>647</v>
      </c>
      <c r="I4756">
        <v>24</v>
      </c>
      <c r="J4756">
        <v>0</v>
      </c>
      <c r="K4756" s="1">
        <v>1301218</v>
      </c>
    </row>
    <row r="4757" spans="1:11" x14ac:dyDescent="0.25">
      <c r="A4757" t="s">
        <v>326</v>
      </c>
      <c r="B4757" t="s">
        <v>738</v>
      </c>
      <c r="C4757" t="s">
        <v>870</v>
      </c>
      <c r="D4757" t="s">
        <v>14</v>
      </c>
      <c r="E4757">
        <v>7</v>
      </c>
      <c r="F4757" s="2">
        <f>DATE(2026,IF(Tabla1[[#This Row],[Mes de Fecha]]="Septiembre",9,10),Tabla1[[#This Row],[Día de Fecha]])</f>
        <v>46302</v>
      </c>
      <c r="G4757">
        <v>1007390161</v>
      </c>
      <c r="H4757" t="s">
        <v>743</v>
      </c>
      <c r="I4757">
        <v>57</v>
      </c>
      <c r="J4757">
        <v>0</v>
      </c>
      <c r="K4757" s="1">
        <v>2967856</v>
      </c>
    </row>
    <row r="4758" spans="1:11" x14ac:dyDescent="0.25">
      <c r="A4758" t="s">
        <v>326</v>
      </c>
      <c r="B4758" t="s">
        <v>750</v>
      </c>
      <c r="C4758" t="s">
        <v>870</v>
      </c>
      <c r="D4758" t="s">
        <v>11</v>
      </c>
      <c r="E4758">
        <v>23</v>
      </c>
      <c r="F4758" s="2">
        <f>DATE(2026,IF(Tabla1[[#This Row],[Mes de Fecha]]="Septiembre",9,10),Tabla1[[#This Row],[Día de Fecha]])</f>
        <v>46288</v>
      </c>
      <c r="I4758">
        <v>0</v>
      </c>
      <c r="J4758" s="1">
        <v>7303233</v>
      </c>
      <c r="K4758">
        <v>0</v>
      </c>
    </row>
    <row r="4759" spans="1:11" x14ac:dyDescent="0.25">
      <c r="A4759" t="s">
        <v>326</v>
      </c>
      <c r="B4759" t="s">
        <v>750</v>
      </c>
      <c r="C4759" t="s">
        <v>870</v>
      </c>
      <c r="D4759" t="s">
        <v>11</v>
      </c>
      <c r="E4759">
        <v>23</v>
      </c>
      <c r="F4759" s="2">
        <f>DATE(2026,IF(Tabla1[[#This Row],[Mes de Fecha]]="Septiembre",9,10),Tabla1[[#This Row],[Día de Fecha]])</f>
        <v>46288</v>
      </c>
      <c r="G4759">
        <v>1000886426</v>
      </c>
      <c r="H4759" t="s">
        <v>575</v>
      </c>
      <c r="I4759">
        <v>31</v>
      </c>
      <c r="J4759">
        <v>0</v>
      </c>
      <c r="K4759" s="1">
        <v>2128909</v>
      </c>
    </row>
    <row r="4760" spans="1:11" x14ac:dyDescent="0.25">
      <c r="A4760" t="s">
        <v>326</v>
      </c>
      <c r="B4760" t="s">
        <v>750</v>
      </c>
      <c r="C4760" t="s">
        <v>870</v>
      </c>
      <c r="D4760" t="s">
        <v>11</v>
      </c>
      <c r="E4760">
        <v>23</v>
      </c>
      <c r="F4760" s="2">
        <f>DATE(2026,IF(Tabla1[[#This Row],[Mes de Fecha]]="Septiembre",9,10),Tabla1[[#This Row],[Día de Fecha]])</f>
        <v>46288</v>
      </c>
      <c r="G4760">
        <v>1022144573</v>
      </c>
      <c r="H4760" t="s">
        <v>753</v>
      </c>
      <c r="I4760">
        <v>10</v>
      </c>
      <c r="J4760">
        <v>0</v>
      </c>
      <c r="K4760" s="1">
        <v>608825</v>
      </c>
    </row>
    <row r="4761" spans="1:11" x14ac:dyDescent="0.25">
      <c r="A4761" t="s">
        <v>326</v>
      </c>
      <c r="B4761" t="s">
        <v>750</v>
      </c>
      <c r="C4761" t="s">
        <v>870</v>
      </c>
      <c r="D4761" t="s">
        <v>11</v>
      </c>
      <c r="E4761">
        <v>23</v>
      </c>
      <c r="F4761" s="2">
        <f>DATE(2026,IF(Tabla1[[#This Row],[Mes de Fecha]]="Septiembre",9,10),Tabla1[[#This Row],[Día de Fecha]])</f>
        <v>46288</v>
      </c>
      <c r="G4761">
        <v>1128456194</v>
      </c>
      <c r="H4761" t="s">
        <v>754</v>
      </c>
      <c r="I4761">
        <v>1</v>
      </c>
      <c r="J4761">
        <v>0</v>
      </c>
      <c r="K4761" s="1">
        <v>62941</v>
      </c>
    </row>
    <row r="4762" spans="1:11" x14ac:dyDescent="0.25">
      <c r="A4762" t="s">
        <v>326</v>
      </c>
      <c r="B4762" t="s">
        <v>750</v>
      </c>
      <c r="C4762" t="s">
        <v>870</v>
      </c>
      <c r="D4762" t="s">
        <v>11</v>
      </c>
      <c r="E4762">
        <v>23</v>
      </c>
      <c r="F4762" s="2">
        <f>DATE(2026,IF(Tabla1[[#This Row],[Mes de Fecha]]="Septiembre",9,10),Tabla1[[#This Row],[Día de Fecha]])</f>
        <v>46288</v>
      </c>
      <c r="G4762">
        <v>1193155892</v>
      </c>
      <c r="H4762" t="s">
        <v>741</v>
      </c>
      <c r="I4762">
        <v>59</v>
      </c>
      <c r="J4762">
        <v>0</v>
      </c>
      <c r="K4762" s="1">
        <v>3640337</v>
      </c>
    </row>
    <row r="4763" spans="1:11" x14ac:dyDescent="0.25">
      <c r="A4763" t="s">
        <v>326</v>
      </c>
      <c r="B4763" t="s">
        <v>750</v>
      </c>
      <c r="C4763" t="s">
        <v>870</v>
      </c>
      <c r="D4763" t="s">
        <v>11</v>
      </c>
      <c r="E4763">
        <v>23</v>
      </c>
      <c r="F4763" s="2">
        <f>DATE(2026,IF(Tabla1[[#This Row],[Mes de Fecha]]="Septiembre",9,10),Tabla1[[#This Row],[Día de Fecha]])</f>
        <v>46288</v>
      </c>
      <c r="G4763">
        <v>1214718234</v>
      </c>
      <c r="H4763" t="s">
        <v>755</v>
      </c>
      <c r="I4763">
        <v>8</v>
      </c>
      <c r="J4763">
        <v>0</v>
      </c>
      <c r="K4763" s="1">
        <v>516471</v>
      </c>
    </row>
    <row r="4764" spans="1:11" x14ac:dyDescent="0.25">
      <c r="A4764" t="s">
        <v>326</v>
      </c>
      <c r="B4764" t="s">
        <v>750</v>
      </c>
      <c r="C4764" t="s">
        <v>870</v>
      </c>
      <c r="D4764" t="s">
        <v>11</v>
      </c>
      <c r="E4764">
        <v>24</v>
      </c>
      <c r="F4764" s="2">
        <f>DATE(2026,IF(Tabla1[[#This Row],[Mes de Fecha]]="Septiembre",9,10),Tabla1[[#This Row],[Día de Fecha]])</f>
        <v>46289</v>
      </c>
      <c r="I4764">
        <v>0</v>
      </c>
      <c r="J4764" s="1">
        <v>11156513</v>
      </c>
      <c r="K4764">
        <v>0</v>
      </c>
    </row>
    <row r="4765" spans="1:11" x14ac:dyDescent="0.25">
      <c r="A4765" t="s">
        <v>326</v>
      </c>
      <c r="B4765" t="s">
        <v>750</v>
      </c>
      <c r="C4765" t="s">
        <v>870</v>
      </c>
      <c r="D4765" t="s">
        <v>11</v>
      </c>
      <c r="E4765">
        <v>24</v>
      </c>
      <c r="F4765" s="2">
        <f>DATE(2026,IF(Tabla1[[#This Row],[Mes de Fecha]]="Septiembre",9,10),Tabla1[[#This Row],[Día de Fecha]])</f>
        <v>46289</v>
      </c>
      <c r="G4765">
        <v>102876478</v>
      </c>
      <c r="H4765" t="s">
        <v>751</v>
      </c>
      <c r="I4765">
        <v>4</v>
      </c>
      <c r="J4765">
        <v>0</v>
      </c>
      <c r="K4765" s="1">
        <v>176303</v>
      </c>
    </row>
    <row r="4766" spans="1:11" x14ac:dyDescent="0.25">
      <c r="A4766" t="s">
        <v>326</v>
      </c>
      <c r="B4766" t="s">
        <v>750</v>
      </c>
      <c r="C4766" t="s">
        <v>870</v>
      </c>
      <c r="D4766" t="s">
        <v>11</v>
      </c>
      <c r="E4766">
        <v>24</v>
      </c>
      <c r="F4766" s="2">
        <f>DATE(2026,IF(Tabla1[[#This Row],[Mes de Fecha]]="Septiembre",9,10),Tabla1[[#This Row],[Día de Fecha]])</f>
        <v>46289</v>
      </c>
      <c r="G4766">
        <v>1000886426</v>
      </c>
      <c r="H4766" t="s">
        <v>575</v>
      </c>
      <c r="I4766">
        <v>18</v>
      </c>
      <c r="J4766">
        <v>0</v>
      </c>
      <c r="K4766" s="1">
        <v>1507606</v>
      </c>
    </row>
    <row r="4767" spans="1:11" x14ac:dyDescent="0.25">
      <c r="A4767" t="s">
        <v>326</v>
      </c>
      <c r="B4767" t="s">
        <v>750</v>
      </c>
      <c r="C4767" t="s">
        <v>870</v>
      </c>
      <c r="D4767" t="s">
        <v>11</v>
      </c>
      <c r="E4767">
        <v>24</v>
      </c>
      <c r="F4767" s="2">
        <f>DATE(2026,IF(Tabla1[[#This Row],[Mes de Fecha]]="Septiembre",9,10),Tabla1[[#This Row],[Día de Fecha]])</f>
        <v>46289</v>
      </c>
      <c r="G4767">
        <v>1022144573</v>
      </c>
      <c r="H4767" t="s">
        <v>753</v>
      </c>
      <c r="I4767">
        <v>40</v>
      </c>
      <c r="J4767">
        <v>0</v>
      </c>
      <c r="K4767" s="1">
        <v>2197898</v>
      </c>
    </row>
    <row r="4768" spans="1:11" x14ac:dyDescent="0.25">
      <c r="A4768" t="s">
        <v>326</v>
      </c>
      <c r="B4768" t="s">
        <v>750</v>
      </c>
      <c r="C4768" t="s">
        <v>870</v>
      </c>
      <c r="D4768" t="s">
        <v>11</v>
      </c>
      <c r="E4768">
        <v>24</v>
      </c>
      <c r="F4768" s="2">
        <f>DATE(2026,IF(Tabla1[[#This Row],[Mes de Fecha]]="Septiembre",9,10),Tabla1[[#This Row],[Día de Fecha]])</f>
        <v>46289</v>
      </c>
      <c r="G4768">
        <v>1193155892</v>
      </c>
      <c r="H4768" t="s">
        <v>741</v>
      </c>
      <c r="I4768">
        <v>36</v>
      </c>
      <c r="J4768">
        <v>0</v>
      </c>
      <c r="K4768" s="1">
        <v>2288280</v>
      </c>
    </row>
    <row r="4769" spans="1:11" x14ac:dyDescent="0.25">
      <c r="A4769" t="s">
        <v>326</v>
      </c>
      <c r="B4769" t="s">
        <v>750</v>
      </c>
      <c r="C4769" t="s">
        <v>870</v>
      </c>
      <c r="D4769" t="s">
        <v>11</v>
      </c>
      <c r="E4769">
        <v>24</v>
      </c>
      <c r="F4769" s="2">
        <f>DATE(2026,IF(Tabla1[[#This Row],[Mes de Fecha]]="Septiembre",9,10),Tabla1[[#This Row],[Día de Fecha]])</f>
        <v>46289</v>
      </c>
      <c r="G4769">
        <v>1214718234</v>
      </c>
      <c r="H4769" t="s">
        <v>755</v>
      </c>
      <c r="I4769">
        <v>5</v>
      </c>
      <c r="J4769">
        <v>0</v>
      </c>
      <c r="K4769" s="1">
        <v>226681</v>
      </c>
    </row>
    <row r="4770" spans="1:11" x14ac:dyDescent="0.25">
      <c r="A4770" t="s">
        <v>326</v>
      </c>
      <c r="B4770" t="s">
        <v>750</v>
      </c>
      <c r="C4770" t="s">
        <v>870</v>
      </c>
      <c r="D4770" t="s">
        <v>11</v>
      </c>
      <c r="E4770">
        <v>25</v>
      </c>
      <c r="F4770" s="2">
        <f>DATE(2026,IF(Tabla1[[#This Row],[Mes de Fecha]]="Septiembre",9,10),Tabla1[[#This Row],[Día de Fecha]])</f>
        <v>46290</v>
      </c>
      <c r="I4770">
        <v>0</v>
      </c>
      <c r="J4770" s="1">
        <v>11131812</v>
      </c>
      <c r="K4770">
        <v>0</v>
      </c>
    </row>
    <row r="4771" spans="1:11" x14ac:dyDescent="0.25">
      <c r="A4771" t="s">
        <v>326</v>
      </c>
      <c r="B4771" t="s">
        <v>750</v>
      </c>
      <c r="C4771" t="s">
        <v>870</v>
      </c>
      <c r="D4771" t="s">
        <v>11</v>
      </c>
      <c r="E4771">
        <v>25</v>
      </c>
      <c r="F4771" s="2">
        <f>DATE(2026,IF(Tabla1[[#This Row],[Mes de Fecha]]="Septiembre",9,10),Tabla1[[#This Row],[Día de Fecha]])</f>
        <v>46290</v>
      </c>
      <c r="G4771">
        <v>1000886426</v>
      </c>
      <c r="H4771" t="s">
        <v>575</v>
      </c>
      <c r="I4771">
        <v>44</v>
      </c>
      <c r="J4771">
        <v>0</v>
      </c>
      <c r="K4771" s="1">
        <v>2783657</v>
      </c>
    </row>
    <row r="4772" spans="1:11" x14ac:dyDescent="0.25">
      <c r="A4772" t="s">
        <v>326</v>
      </c>
      <c r="B4772" t="s">
        <v>750</v>
      </c>
      <c r="C4772" t="s">
        <v>870</v>
      </c>
      <c r="D4772" t="s">
        <v>11</v>
      </c>
      <c r="E4772">
        <v>25</v>
      </c>
      <c r="F4772" s="2">
        <f>DATE(2026,IF(Tabla1[[#This Row],[Mes de Fecha]]="Septiembre",9,10),Tabla1[[#This Row],[Día de Fecha]])</f>
        <v>46290</v>
      </c>
      <c r="G4772">
        <v>1000888789</v>
      </c>
      <c r="H4772" t="s">
        <v>756</v>
      </c>
      <c r="I4772">
        <v>2</v>
      </c>
      <c r="J4772">
        <v>0</v>
      </c>
      <c r="K4772" s="1">
        <v>155378</v>
      </c>
    </row>
    <row r="4773" spans="1:11" x14ac:dyDescent="0.25">
      <c r="A4773" t="s">
        <v>326</v>
      </c>
      <c r="B4773" t="s">
        <v>750</v>
      </c>
      <c r="C4773" t="s">
        <v>870</v>
      </c>
      <c r="D4773" t="s">
        <v>11</v>
      </c>
      <c r="E4773">
        <v>25</v>
      </c>
      <c r="F4773" s="2">
        <f>DATE(2026,IF(Tabla1[[#This Row],[Mes de Fecha]]="Septiembre",9,10),Tabla1[[#This Row],[Día de Fecha]])</f>
        <v>46290</v>
      </c>
      <c r="G4773">
        <v>1022144573</v>
      </c>
      <c r="H4773" t="s">
        <v>753</v>
      </c>
      <c r="I4773">
        <v>31</v>
      </c>
      <c r="J4773">
        <v>0</v>
      </c>
      <c r="K4773" s="1">
        <v>2069918</v>
      </c>
    </row>
    <row r="4774" spans="1:11" x14ac:dyDescent="0.25">
      <c r="A4774" t="s">
        <v>326</v>
      </c>
      <c r="B4774" t="s">
        <v>750</v>
      </c>
      <c r="C4774" t="s">
        <v>870</v>
      </c>
      <c r="D4774" t="s">
        <v>11</v>
      </c>
      <c r="E4774">
        <v>25</v>
      </c>
      <c r="F4774" s="2">
        <f>DATE(2026,IF(Tabla1[[#This Row],[Mes de Fecha]]="Septiembre",9,10),Tabla1[[#This Row],[Día de Fecha]])</f>
        <v>46290</v>
      </c>
      <c r="G4774">
        <v>1128456194</v>
      </c>
      <c r="H4774" t="s">
        <v>754</v>
      </c>
      <c r="I4774">
        <v>11</v>
      </c>
      <c r="J4774">
        <v>0</v>
      </c>
      <c r="K4774" s="1">
        <v>579369</v>
      </c>
    </row>
    <row r="4775" spans="1:11" x14ac:dyDescent="0.25">
      <c r="A4775" t="s">
        <v>326</v>
      </c>
      <c r="B4775" t="s">
        <v>750</v>
      </c>
      <c r="C4775" t="s">
        <v>870</v>
      </c>
      <c r="D4775" t="s">
        <v>11</v>
      </c>
      <c r="E4775">
        <v>25</v>
      </c>
      <c r="F4775" s="2">
        <f>DATE(2026,IF(Tabla1[[#This Row],[Mes de Fecha]]="Septiembre",9,10),Tabla1[[#This Row],[Día de Fecha]])</f>
        <v>46290</v>
      </c>
      <c r="G4775">
        <v>1193155892</v>
      </c>
      <c r="H4775" t="s">
        <v>741</v>
      </c>
      <c r="I4775">
        <v>76</v>
      </c>
      <c r="J4775">
        <v>0</v>
      </c>
      <c r="K4775" s="1">
        <v>4824329</v>
      </c>
    </row>
    <row r="4776" spans="1:11" x14ac:dyDescent="0.25">
      <c r="A4776" t="s">
        <v>326</v>
      </c>
      <c r="B4776" t="s">
        <v>750</v>
      </c>
      <c r="C4776" t="s">
        <v>870</v>
      </c>
      <c r="D4776" t="s">
        <v>11</v>
      </c>
      <c r="E4776">
        <v>25</v>
      </c>
      <c r="F4776" s="2">
        <f>DATE(2026,IF(Tabla1[[#This Row],[Mes de Fecha]]="Septiembre",9,10),Tabla1[[#This Row],[Día de Fecha]])</f>
        <v>46290</v>
      </c>
      <c r="G4776">
        <v>1214718234</v>
      </c>
      <c r="H4776" t="s">
        <v>755</v>
      </c>
      <c r="I4776">
        <v>7</v>
      </c>
      <c r="J4776">
        <v>0</v>
      </c>
      <c r="K4776" s="1">
        <v>501808</v>
      </c>
    </row>
    <row r="4777" spans="1:11" x14ac:dyDescent="0.25">
      <c r="A4777" t="s">
        <v>326</v>
      </c>
      <c r="B4777" t="s">
        <v>750</v>
      </c>
      <c r="C4777" t="s">
        <v>870</v>
      </c>
      <c r="D4777" t="s">
        <v>11</v>
      </c>
      <c r="E4777">
        <v>26</v>
      </c>
      <c r="F4777" s="2">
        <f>DATE(2026,IF(Tabla1[[#This Row],[Mes de Fecha]]="Septiembre",9,10),Tabla1[[#This Row],[Día de Fecha]])</f>
        <v>46291</v>
      </c>
      <c r="I4777">
        <v>0</v>
      </c>
      <c r="J4777" s="1">
        <v>15998018</v>
      </c>
      <c r="K4777">
        <v>0</v>
      </c>
    </row>
    <row r="4778" spans="1:11" x14ac:dyDescent="0.25">
      <c r="A4778" t="s">
        <v>326</v>
      </c>
      <c r="B4778" t="s">
        <v>750</v>
      </c>
      <c r="C4778" t="s">
        <v>870</v>
      </c>
      <c r="D4778" t="s">
        <v>11</v>
      </c>
      <c r="E4778">
        <v>26</v>
      </c>
      <c r="F4778" s="2">
        <f>DATE(2026,IF(Tabla1[[#This Row],[Mes de Fecha]]="Septiembre",9,10),Tabla1[[#This Row],[Día de Fecha]])</f>
        <v>46291</v>
      </c>
      <c r="G4778">
        <v>1000886426</v>
      </c>
      <c r="H4778" t="s">
        <v>575</v>
      </c>
      <c r="I4778">
        <v>84</v>
      </c>
      <c r="J4778">
        <v>0</v>
      </c>
      <c r="K4778" s="1">
        <v>5611892</v>
      </c>
    </row>
    <row r="4779" spans="1:11" x14ac:dyDescent="0.25">
      <c r="A4779" t="s">
        <v>326</v>
      </c>
      <c r="B4779" t="s">
        <v>750</v>
      </c>
      <c r="C4779" t="s">
        <v>870</v>
      </c>
      <c r="D4779" t="s">
        <v>11</v>
      </c>
      <c r="E4779">
        <v>26</v>
      </c>
      <c r="F4779" s="2">
        <f>DATE(2026,IF(Tabla1[[#This Row],[Mes de Fecha]]="Septiembre",9,10),Tabla1[[#This Row],[Día de Fecha]])</f>
        <v>46291</v>
      </c>
      <c r="G4779">
        <v>1011390630</v>
      </c>
      <c r="H4779" t="s">
        <v>749</v>
      </c>
      <c r="I4779">
        <v>-1</v>
      </c>
      <c r="J4779">
        <v>0</v>
      </c>
      <c r="K4779" s="1">
        <v>-96597</v>
      </c>
    </row>
    <row r="4780" spans="1:11" x14ac:dyDescent="0.25">
      <c r="A4780" t="s">
        <v>326</v>
      </c>
      <c r="B4780" t="s">
        <v>750</v>
      </c>
      <c r="C4780" t="s">
        <v>870</v>
      </c>
      <c r="D4780" t="s">
        <v>11</v>
      </c>
      <c r="E4780">
        <v>26</v>
      </c>
      <c r="F4780" s="2">
        <f>DATE(2026,IF(Tabla1[[#This Row],[Mes de Fecha]]="Septiembre",9,10),Tabla1[[#This Row],[Día de Fecha]])</f>
        <v>46291</v>
      </c>
      <c r="G4780">
        <v>1022144573</v>
      </c>
      <c r="H4780" t="s">
        <v>753</v>
      </c>
      <c r="I4780">
        <v>69</v>
      </c>
      <c r="J4780">
        <v>0</v>
      </c>
      <c r="K4780" s="1">
        <v>4265506</v>
      </c>
    </row>
    <row r="4781" spans="1:11" x14ac:dyDescent="0.25">
      <c r="A4781" t="s">
        <v>326</v>
      </c>
      <c r="B4781" t="s">
        <v>750</v>
      </c>
      <c r="C4781" t="s">
        <v>870</v>
      </c>
      <c r="D4781" t="s">
        <v>11</v>
      </c>
      <c r="E4781">
        <v>26</v>
      </c>
      <c r="F4781" s="2">
        <f>DATE(2026,IF(Tabla1[[#This Row],[Mes de Fecha]]="Septiembre",9,10),Tabla1[[#This Row],[Día de Fecha]])</f>
        <v>46291</v>
      </c>
      <c r="G4781">
        <v>1128456194</v>
      </c>
      <c r="H4781" t="s">
        <v>754</v>
      </c>
      <c r="I4781">
        <v>13</v>
      </c>
      <c r="J4781">
        <v>0</v>
      </c>
      <c r="K4781" s="1">
        <v>640211</v>
      </c>
    </row>
    <row r="4782" spans="1:11" x14ac:dyDescent="0.25">
      <c r="A4782" t="s">
        <v>326</v>
      </c>
      <c r="B4782" t="s">
        <v>750</v>
      </c>
      <c r="C4782" t="s">
        <v>870</v>
      </c>
      <c r="D4782" t="s">
        <v>11</v>
      </c>
      <c r="E4782">
        <v>26</v>
      </c>
      <c r="F4782" s="2">
        <f>DATE(2026,IF(Tabla1[[#This Row],[Mes de Fecha]]="Septiembre",9,10),Tabla1[[#This Row],[Día de Fecha]])</f>
        <v>46291</v>
      </c>
      <c r="G4782">
        <v>1193155892</v>
      </c>
      <c r="H4782" t="s">
        <v>741</v>
      </c>
      <c r="I4782">
        <v>94</v>
      </c>
      <c r="J4782">
        <v>0</v>
      </c>
      <c r="K4782" s="1">
        <v>5896938</v>
      </c>
    </row>
    <row r="4783" spans="1:11" x14ac:dyDescent="0.25">
      <c r="A4783" t="s">
        <v>326</v>
      </c>
      <c r="B4783" t="s">
        <v>750</v>
      </c>
      <c r="C4783" t="s">
        <v>870</v>
      </c>
      <c r="D4783" t="s">
        <v>11</v>
      </c>
      <c r="E4783">
        <v>26</v>
      </c>
      <c r="F4783" s="2">
        <f>DATE(2026,IF(Tabla1[[#This Row],[Mes de Fecha]]="Septiembre",9,10),Tabla1[[#This Row],[Día de Fecha]])</f>
        <v>46291</v>
      </c>
      <c r="G4783">
        <v>1214718234</v>
      </c>
      <c r="H4783" t="s">
        <v>755</v>
      </c>
      <c r="I4783">
        <v>67</v>
      </c>
      <c r="J4783">
        <v>0</v>
      </c>
      <c r="K4783" s="1">
        <v>4416345</v>
      </c>
    </row>
    <row r="4784" spans="1:11" x14ac:dyDescent="0.25">
      <c r="A4784" t="s">
        <v>326</v>
      </c>
      <c r="B4784" t="s">
        <v>750</v>
      </c>
      <c r="C4784" t="s">
        <v>870</v>
      </c>
      <c r="D4784" t="s">
        <v>11</v>
      </c>
      <c r="E4784">
        <v>27</v>
      </c>
      <c r="F4784" s="2">
        <f>DATE(2026,IF(Tabla1[[#This Row],[Mes de Fecha]]="Septiembre",9,10),Tabla1[[#This Row],[Día de Fecha]])</f>
        <v>46292</v>
      </c>
      <c r="I4784">
        <v>0</v>
      </c>
      <c r="J4784" s="1">
        <v>12673652</v>
      </c>
      <c r="K4784">
        <v>0</v>
      </c>
    </row>
    <row r="4785" spans="1:11" x14ac:dyDescent="0.25">
      <c r="A4785" t="s">
        <v>326</v>
      </c>
      <c r="B4785" t="s">
        <v>750</v>
      </c>
      <c r="C4785" t="s">
        <v>870</v>
      </c>
      <c r="D4785" t="s">
        <v>11</v>
      </c>
      <c r="E4785">
        <v>27</v>
      </c>
      <c r="F4785" s="2">
        <f>DATE(2026,IF(Tabla1[[#This Row],[Mes de Fecha]]="Septiembre",9,10),Tabla1[[#This Row],[Día de Fecha]])</f>
        <v>46292</v>
      </c>
      <c r="G4785">
        <v>1000886426</v>
      </c>
      <c r="H4785" t="s">
        <v>575</v>
      </c>
      <c r="I4785">
        <v>124</v>
      </c>
      <c r="J4785">
        <v>0</v>
      </c>
      <c r="K4785" s="1">
        <v>7073787</v>
      </c>
    </row>
    <row r="4786" spans="1:11" x14ac:dyDescent="0.25">
      <c r="A4786" t="s">
        <v>326</v>
      </c>
      <c r="B4786" t="s">
        <v>750</v>
      </c>
      <c r="C4786" t="s">
        <v>870</v>
      </c>
      <c r="D4786" t="s">
        <v>11</v>
      </c>
      <c r="E4786">
        <v>27</v>
      </c>
      <c r="F4786" s="2">
        <f>DATE(2026,IF(Tabla1[[#This Row],[Mes de Fecha]]="Septiembre",9,10),Tabla1[[#This Row],[Día de Fecha]])</f>
        <v>46292</v>
      </c>
      <c r="G4786">
        <v>1022144573</v>
      </c>
      <c r="H4786" t="s">
        <v>753</v>
      </c>
      <c r="I4786">
        <v>73</v>
      </c>
      <c r="J4786">
        <v>0</v>
      </c>
      <c r="K4786" s="1">
        <v>4190803</v>
      </c>
    </row>
    <row r="4787" spans="1:11" x14ac:dyDescent="0.25">
      <c r="A4787" t="s">
        <v>326</v>
      </c>
      <c r="B4787" t="s">
        <v>750</v>
      </c>
      <c r="C4787" t="s">
        <v>870</v>
      </c>
      <c r="D4787" t="s">
        <v>11</v>
      </c>
      <c r="E4787">
        <v>27</v>
      </c>
      <c r="F4787" s="2">
        <f>DATE(2026,IF(Tabla1[[#This Row],[Mes de Fecha]]="Septiembre",9,10),Tabla1[[#This Row],[Día de Fecha]])</f>
        <v>46292</v>
      </c>
      <c r="G4787">
        <v>1128456194</v>
      </c>
      <c r="H4787" t="s">
        <v>754</v>
      </c>
      <c r="I4787">
        <v>15</v>
      </c>
      <c r="J4787">
        <v>0</v>
      </c>
      <c r="K4787" s="1">
        <v>1314496</v>
      </c>
    </row>
    <row r="4788" spans="1:11" x14ac:dyDescent="0.25">
      <c r="A4788" t="s">
        <v>326</v>
      </c>
      <c r="B4788" t="s">
        <v>750</v>
      </c>
      <c r="C4788" t="s">
        <v>870</v>
      </c>
      <c r="D4788" t="s">
        <v>11</v>
      </c>
      <c r="E4788">
        <v>27</v>
      </c>
      <c r="F4788" s="2">
        <f>DATE(2026,IF(Tabla1[[#This Row],[Mes de Fecha]]="Septiembre",9,10),Tabla1[[#This Row],[Día de Fecha]])</f>
        <v>46292</v>
      </c>
      <c r="G4788">
        <v>1193155892</v>
      </c>
      <c r="H4788" t="s">
        <v>741</v>
      </c>
      <c r="I4788">
        <v>118</v>
      </c>
      <c r="J4788">
        <v>0</v>
      </c>
      <c r="K4788" s="1">
        <v>7385381</v>
      </c>
    </row>
    <row r="4789" spans="1:11" x14ac:dyDescent="0.25">
      <c r="A4789" t="s">
        <v>326</v>
      </c>
      <c r="B4789" t="s">
        <v>750</v>
      </c>
      <c r="C4789" t="s">
        <v>870</v>
      </c>
      <c r="D4789" t="s">
        <v>11</v>
      </c>
      <c r="E4789">
        <v>27</v>
      </c>
      <c r="F4789" s="2">
        <f>DATE(2026,IF(Tabla1[[#This Row],[Mes de Fecha]]="Septiembre",9,10),Tabla1[[#This Row],[Día de Fecha]])</f>
        <v>46292</v>
      </c>
      <c r="G4789">
        <v>1214718234</v>
      </c>
      <c r="H4789" t="s">
        <v>755</v>
      </c>
      <c r="I4789">
        <v>22</v>
      </c>
      <c r="J4789">
        <v>0</v>
      </c>
      <c r="K4789" s="1">
        <v>1457059</v>
      </c>
    </row>
    <row r="4790" spans="1:11" x14ac:dyDescent="0.25">
      <c r="A4790" t="s">
        <v>326</v>
      </c>
      <c r="B4790" t="s">
        <v>750</v>
      </c>
      <c r="C4790" t="s">
        <v>870</v>
      </c>
      <c r="D4790" t="s">
        <v>11</v>
      </c>
      <c r="E4790">
        <v>28</v>
      </c>
      <c r="F4790" s="2">
        <f>DATE(2026,IF(Tabla1[[#This Row],[Mes de Fecha]]="Septiembre",9,10),Tabla1[[#This Row],[Día de Fecha]])</f>
        <v>46293</v>
      </c>
      <c r="I4790">
        <v>0</v>
      </c>
      <c r="J4790" s="1">
        <v>6975055</v>
      </c>
      <c r="K4790">
        <v>0</v>
      </c>
    </row>
    <row r="4791" spans="1:11" x14ac:dyDescent="0.25">
      <c r="A4791" t="s">
        <v>326</v>
      </c>
      <c r="B4791" t="s">
        <v>750</v>
      </c>
      <c r="C4791" t="s">
        <v>870</v>
      </c>
      <c r="D4791" t="s">
        <v>11</v>
      </c>
      <c r="E4791">
        <v>28</v>
      </c>
      <c r="F4791" s="2">
        <f>DATE(2026,IF(Tabla1[[#This Row],[Mes de Fecha]]="Septiembre",9,10),Tabla1[[#This Row],[Día de Fecha]])</f>
        <v>46293</v>
      </c>
      <c r="G4791">
        <v>1000886426</v>
      </c>
      <c r="H4791" t="s">
        <v>575</v>
      </c>
      <c r="I4791">
        <v>33</v>
      </c>
      <c r="J4791">
        <v>0</v>
      </c>
      <c r="K4791" s="1">
        <v>2002733</v>
      </c>
    </row>
    <row r="4792" spans="1:11" x14ac:dyDescent="0.25">
      <c r="A4792" t="s">
        <v>326</v>
      </c>
      <c r="B4792" t="s">
        <v>750</v>
      </c>
      <c r="C4792" t="s">
        <v>870</v>
      </c>
      <c r="D4792" t="s">
        <v>11</v>
      </c>
      <c r="E4792">
        <v>28</v>
      </c>
      <c r="F4792" s="2">
        <f>DATE(2026,IF(Tabla1[[#This Row],[Mes de Fecha]]="Septiembre",9,10),Tabla1[[#This Row],[Día de Fecha]])</f>
        <v>46293</v>
      </c>
      <c r="G4792">
        <v>1022144573</v>
      </c>
      <c r="H4792" t="s">
        <v>753</v>
      </c>
      <c r="I4792">
        <v>7</v>
      </c>
      <c r="J4792">
        <v>0</v>
      </c>
      <c r="K4792" s="1">
        <v>512311</v>
      </c>
    </row>
    <row r="4793" spans="1:11" x14ac:dyDescent="0.25">
      <c r="A4793" t="s">
        <v>326</v>
      </c>
      <c r="B4793" t="s">
        <v>750</v>
      </c>
      <c r="C4793" t="s">
        <v>870</v>
      </c>
      <c r="D4793" t="s">
        <v>11</v>
      </c>
      <c r="E4793">
        <v>28</v>
      </c>
      <c r="F4793" s="2">
        <f>DATE(2026,IF(Tabla1[[#This Row],[Mes de Fecha]]="Septiembre",9,10),Tabla1[[#This Row],[Día de Fecha]])</f>
        <v>46293</v>
      </c>
      <c r="G4793">
        <v>1128456194</v>
      </c>
      <c r="H4793" t="s">
        <v>754</v>
      </c>
      <c r="I4793">
        <v>7</v>
      </c>
      <c r="J4793">
        <v>0</v>
      </c>
      <c r="K4793" s="1">
        <v>272690</v>
      </c>
    </row>
    <row r="4794" spans="1:11" x14ac:dyDescent="0.25">
      <c r="A4794" t="s">
        <v>326</v>
      </c>
      <c r="B4794" t="s">
        <v>750</v>
      </c>
      <c r="C4794" t="s">
        <v>870</v>
      </c>
      <c r="D4794" t="s">
        <v>11</v>
      </c>
      <c r="E4794">
        <v>28</v>
      </c>
      <c r="F4794" s="2">
        <f>DATE(2026,IF(Tabla1[[#This Row],[Mes de Fecha]]="Septiembre",9,10),Tabla1[[#This Row],[Día de Fecha]])</f>
        <v>46293</v>
      </c>
      <c r="G4794">
        <v>1193155892</v>
      </c>
      <c r="H4794" t="s">
        <v>741</v>
      </c>
      <c r="I4794">
        <v>40</v>
      </c>
      <c r="J4794">
        <v>0</v>
      </c>
      <c r="K4794" s="1">
        <v>2372059</v>
      </c>
    </row>
    <row r="4795" spans="1:11" x14ac:dyDescent="0.25">
      <c r="A4795" t="s">
        <v>326</v>
      </c>
      <c r="B4795" t="s">
        <v>750</v>
      </c>
      <c r="C4795" t="s">
        <v>870</v>
      </c>
      <c r="D4795" t="s">
        <v>11</v>
      </c>
      <c r="E4795">
        <v>28</v>
      </c>
      <c r="F4795" s="2">
        <f>DATE(2026,IF(Tabla1[[#This Row],[Mes de Fecha]]="Septiembre",9,10),Tabla1[[#This Row],[Día de Fecha]])</f>
        <v>46293</v>
      </c>
      <c r="G4795">
        <v>1214718234</v>
      </c>
      <c r="H4795" t="s">
        <v>755</v>
      </c>
      <c r="I4795">
        <v>11</v>
      </c>
      <c r="J4795">
        <v>0</v>
      </c>
      <c r="K4795" s="1">
        <v>709624</v>
      </c>
    </row>
    <row r="4796" spans="1:11" x14ac:dyDescent="0.25">
      <c r="A4796" t="s">
        <v>326</v>
      </c>
      <c r="B4796" t="s">
        <v>750</v>
      </c>
      <c r="C4796" t="s">
        <v>870</v>
      </c>
      <c r="D4796" t="s">
        <v>11</v>
      </c>
      <c r="E4796">
        <v>29</v>
      </c>
      <c r="F4796" s="2">
        <f>DATE(2026,IF(Tabla1[[#This Row],[Mes de Fecha]]="Septiembre",9,10),Tabla1[[#This Row],[Día de Fecha]])</f>
        <v>46294</v>
      </c>
      <c r="I4796">
        <v>0</v>
      </c>
      <c r="J4796" s="1">
        <v>7450724</v>
      </c>
      <c r="K4796">
        <v>0</v>
      </c>
    </row>
    <row r="4797" spans="1:11" x14ac:dyDescent="0.25">
      <c r="A4797" t="s">
        <v>326</v>
      </c>
      <c r="B4797" t="s">
        <v>750</v>
      </c>
      <c r="C4797" t="s">
        <v>870</v>
      </c>
      <c r="D4797" t="s">
        <v>11</v>
      </c>
      <c r="E4797">
        <v>29</v>
      </c>
      <c r="F4797" s="2">
        <f>DATE(2026,IF(Tabla1[[#This Row],[Mes de Fecha]]="Septiembre",9,10),Tabla1[[#This Row],[Día de Fecha]])</f>
        <v>46294</v>
      </c>
      <c r="G4797">
        <v>1000886426</v>
      </c>
      <c r="H4797" t="s">
        <v>575</v>
      </c>
      <c r="I4797">
        <v>12</v>
      </c>
      <c r="J4797">
        <v>0</v>
      </c>
      <c r="K4797" s="1">
        <v>986891</v>
      </c>
    </row>
    <row r="4798" spans="1:11" x14ac:dyDescent="0.25">
      <c r="A4798" t="s">
        <v>326</v>
      </c>
      <c r="B4798" t="s">
        <v>750</v>
      </c>
      <c r="C4798" t="s">
        <v>870</v>
      </c>
      <c r="D4798" t="s">
        <v>11</v>
      </c>
      <c r="E4798">
        <v>29</v>
      </c>
      <c r="F4798" s="2">
        <f>DATE(2026,IF(Tabla1[[#This Row],[Mes de Fecha]]="Septiembre",9,10),Tabla1[[#This Row],[Día de Fecha]])</f>
        <v>46294</v>
      </c>
      <c r="G4798">
        <v>1022144573</v>
      </c>
      <c r="H4798" t="s">
        <v>753</v>
      </c>
      <c r="I4798">
        <v>1</v>
      </c>
      <c r="J4798">
        <v>0</v>
      </c>
      <c r="K4798" s="1">
        <v>20967</v>
      </c>
    </row>
    <row r="4799" spans="1:11" x14ac:dyDescent="0.25">
      <c r="A4799" t="s">
        <v>326</v>
      </c>
      <c r="B4799" t="s">
        <v>750</v>
      </c>
      <c r="C4799" t="s">
        <v>870</v>
      </c>
      <c r="D4799" t="s">
        <v>11</v>
      </c>
      <c r="E4799">
        <v>29</v>
      </c>
      <c r="F4799" s="2">
        <f>DATE(2026,IF(Tabla1[[#This Row],[Mes de Fecha]]="Septiembre",9,10),Tabla1[[#This Row],[Día de Fecha]])</f>
        <v>46294</v>
      </c>
      <c r="G4799">
        <v>1128456194</v>
      </c>
      <c r="H4799" t="s">
        <v>754</v>
      </c>
      <c r="I4799">
        <v>2</v>
      </c>
      <c r="J4799">
        <v>0</v>
      </c>
      <c r="K4799" s="1">
        <v>113361</v>
      </c>
    </row>
    <row r="4800" spans="1:11" x14ac:dyDescent="0.25">
      <c r="A4800" t="s">
        <v>326</v>
      </c>
      <c r="B4800" t="s">
        <v>750</v>
      </c>
      <c r="C4800" t="s">
        <v>870</v>
      </c>
      <c r="D4800" t="s">
        <v>11</v>
      </c>
      <c r="E4800">
        <v>29</v>
      </c>
      <c r="F4800" s="2">
        <f>DATE(2026,IF(Tabla1[[#This Row],[Mes de Fecha]]="Septiembre",9,10),Tabla1[[#This Row],[Día de Fecha]])</f>
        <v>46294</v>
      </c>
      <c r="G4800">
        <v>1193155892</v>
      </c>
      <c r="H4800" t="s">
        <v>741</v>
      </c>
      <c r="I4800">
        <v>25</v>
      </c>
      <c r="J4800">
        <v>0</v>
      </c>
      <c r="K4800" s="1">
        <v>1313993</v>
      </c>
    </row>
    <row r="4801" spans="1:11" x14ac:dyDescent="0.25">
      <c r="A4801" t="s">
        <v>326</v>
      </c>
      <c r="B4801" t="s">
        <v>750</v>
      </c>
      <c r="C4801" t="s">
        <v>870</v>
      </c>
      <c r="D4801" t="s">
        <v>11</v>
      </c>
      <c r="E4801">
        <v>29</v>
      </c>
      <c r="F4801" s="2">
        <f>DATE(2026,IF(Tabla1[[#This Row],[Mes de Fecha]]="Septiembre",9,10),Tabla1[[#This Row],[Día de Fecha]])</f>
        <v>46294</v>
      </c>
      <c r="G4801">
        <v>1214718234</v>
      </c>
      <c r="H4801" t="s">
        <v>755</v>
      </c>
      <c r="I4801">
        <v>36</v>
      </c>
      <c r="J4801">
        <v>0</v>
      </c>
      <c r="K4801" s="1">
        <v>2361849</v>
      </c>
    </row>
    <row r="4802" spans="1:11" x14ac:dyDescent="0.25">
      <c r="A4802" t="s">
        <v>326</v>
      </c>
      <c r="B4802" t="s">
        <v>750</v>
      </c>
      <c r="C4802" t="s">
        <v>870</v>
      </c>
      <c r="D4802" t="s">
        <v>11</v>
      </c>
      <c r="E4802">
        <v>30</v>
      </c>
      <c r="F4802" s="2">
        <f>DATE(2026,IF(Tabla1[[#This Row],[Mes de Fecha]]="Septiembre",9,10),Tabla1[[#This Row],[Día de Fecha]])</f>
        <v>46295</v>
      </c>
      <c r="I4802">
        <v>0</v>
      </c>
      <c r="J4802" s="1">
        <v>7696734</v>
      </c>
      <c r="K4802">
        <v>0</v>
      </c>
    </row>
    <row r="4803" spans="1:11" x14ac:dyDescent="0.25">
      <c r="A4803" t="s">
        <v>326</v>
      </c>
      <c r="B4803" t="s">
        <v>750</v>
      </c>
      <c r="C4803" t="s">
        <v>870</v>
      </c>
      <c r="D4803" t="s">
        <v>11</v>
      </c>
      <c r="E4803">
        <v>30</v>
      </c>
      <c r="F4803" s="2">
        <f>DATE(2026,IF(Tabla1[[#This Row],[Mes de Fecha]]="Septiembre",9,10),Tabla1[[#This Row],[Día de Fecha]])</f>
        <v>46295</v>
      </c>
      <c r="G4803">
        <v>1000886426</v>
      </c>
      <c r="H4803" t="s">
        <v>575</v>
      </c>
      <c r="I4803">
        <v>17</v>
      </c>
      <c r="J4803">
        <v>0</v>
      </c>
      <c r="K4803" s="1">
        <v>1041263</v>
      </c>
    </row>
    <row r="4804" spans="1:11" x14ac:dyDescent="0.25">
      <c r="A4804" t="s">
        <v>326</v>
      </c>
      <c r="B4804" t="s">
        <v>750</v>
      </c>
      <c r="C4804" t="s">
        <v>870</v>
      </c>
      <c r="D4804" t="s">
        <v>11</v>
      </c>
      <c r="E4804">
        <v>30</v>
      </c>
      <c r="F4804" s="2">
        <f>DATE(2026,IF(Tabla1[[#This Row],[Mes de Fecha]]="Septiembre",9,10),Tabla1[[#This Row],[Día de Fecha]])</f>
        <v>46295</v>
      </c>
      <c r="G4804">
        <v>1001653261</v>
      </c>
      <c r="H4804" t="s">
        <v>647</v>
      </c>
      <c r="I4804">
        <v>-1</v>
      </c>
      <c r="J4804">
        <v>0</v>
      </c>
      <c r="K4804" s="1">
        <v>-71386</v>
      </c>
    </row>
    <row r="4805" spans="1:11" x14ac:dyDescent="0.25">
      <c r="A4805" t="s">
        <v>326</v>
      </c>
      <c r="B4805" t="s">
        <v>750</v>
      </c>
      <c r="C4805" t="s">
        <v>870</v>
      </c>
      <c r="D4805" t="s">
        <v>11</v>
      </c>
      <c r="E4805">
        <v>30</v>
      </c>
      <c r="F4805" s="2">
        <f>DATE(2026,IF(Tabla1[[#This Row],[Mes de Fecha]]="Septiembre",9,10),Tabla1[[#This Row],[Día de Fecha]])</f>
        <v>46295</v>
      </c>
      <c r="G4805">
        <v>1022144573</v>
      </c>
      <c r="H4805" t="s">
        <v>753</v>
      </c>
      <c r="I4805">
        <v>34</v>
      </c>
      <c r="J4805">
        <v>0</v>
      </c>
      <c r="K4805" s="1">
        <v>2027774</v>
      </c>
    </row>
    <row r="4806" spans="1:11" x14ac:dyDescent="0.25">
      <c r="A4806" t="s">
        <v>326</v>
      </c>
      <c r="B4806" t="s">
        <v>750</v>
      </c>
      <c r="C4806" t="s">
        <v>870</v>
      </c>
      <c r="D4806" t="s">
        <v>11</v>
      </c>
      <c r="E4806">
        <v>30</v>
      </c>
      <c r="F4806" s="2">
        <f>DATE(2026,IF(Tabla1[[#This Row],[Mes de Fecha]]="Septiembre",9,10),Tabla1[[#This Row],[Día de Fecha]])</f>
        <v>46295</v>
      </c>
      <c r="G4806">
        <v>1061774213</v>
      </c>
      <c r="H4806" t="s">
        <v>444</v>
      </c>
      <c r="I4806">
        <v>-1</v>
      </c>
      <c r="J4806">
        <v>0</v>
      </c>
      <c r="K4806" s="1">
        <v>-50378</v>
      </c>
    </row>
    <row r="4807" spans="1:11" x14ac:dyDescent="0.25">
      <c r="A4807" t="s">
        <v>326</v>
      </c>
      <c r="B4807" t="s">
        <v>750</v>
      </c>
      <c r="C4807" t="s">
        <v>870</v>
      </c>
      <c r="D4807" t="s">
        <v>11</v>
      </c>
      <c r="E4807">
        <v>30</v>
      </c>
      <c r="F4807" s="2">
        <f>DATE(2026,IF(Tabla1[[#This Row],[Mes de Fecha]]="Septiembre",9,10),Tabla1[[#This Row],[Día de Fecha]])</f>
        <v>46295</v>
      </c>
      <c r="G4807">
        <v>1128456194</v>
      </c>
      <c r="H4807" t="s">
        <v>754</v>
      </c>
      <c r="I4807">
        <v>1</v>
      </c>
      <c r="J4807">
        <v>0</v>
      </c>
      <c r="K4807" s="1">
        <v>37773</v>
      </c>
    </row>
    <row r="4808" spans="1:11" x14ac:dyDescent="0.25">
      <c r="A4808" t="s">
        <v>326</v>
      </c>
      <c r="B4808" t="s">
        <v>750</v>
      </c>
      <c r="C4808" t="s">
        <v>870</v>
      </c>
      <c r="D4808" t="s">
        <v>11</v>
      </c>
      <c r="E4808">
        <v>30</v>
      </c>
      <c r="F4808" s="2">
        <f>DATE(2026,IF(Tabla1[[#This Row],[Mes de Fecha]]="Septiembre",9,10),Tabla1[[#This Row],[Día de Fecha]])</f>
        <v>46295</v>
      </c>
      <c r="G4808">
        <v>1193155892</v>
      </c>
      <c r="H4808" t="s">
        <v>741</v>
      </c>
      <c r="I4808">
        <v>17</v>
      </c>
      <c r="J4808">
        <v>0</v>
      </c>
      <c r="K4808" s="1">
        <v>1049707</v>
      </c>
    </row>
    <row r="4809" spans="1:11" x14ac:dyDescent="0.25">
      <c r="A4809" t="s">
        <v>326</v>
      </c>
      <c r="B4809" t="s">
        <v>750</v>
      </c>
      <c r="C4809" t="s">
        <v>870</v>
      </c>
      <c r="D4809" t="s">
        <v>11</v>
      </c>
      <c r="E4809">
        <v>30</v>
      </c>
      <c r="F4809" s="2">
        <f>DATE(2026,IF(Tabla1[[#This Row],[Mes de Fecha]]="Septiembre",9,10),Tabla1[[#This Row],[Día de Fecha]])</f>
        <v>46295</v>
      </c>
      <c r="G4809">
        <v>1214718234</v>
      </c>
      <c r="H4809" t="s">
        <v>755</v>
      </c>
      <c r="I4809">
        <v>8</v>
      </c>
      <c r="J4809">
        <v>0</v>
      </c>
      <c r="K4809" s="1">
        <v>600464</v>
      </c>
    </row>
    <row r="4810" spans="1:11" x14ac:dyDescent="0.25">
      <c r="A4810" t="s">
        <v>326</v>
      </c>
      <c r="B4810" t="s">
        <v>750</v>
      </c>
      <c r="C4810" t="s">
        <v>870</v>
      </c>
      <c r="D4810" t="s">
        <v>14</v>
      </c>
      <c r="E4810">
        <v>1</v>
      </c>
      <c r="F4810" s="2">
        <f>DATE(2026,IF(Tabla1[[#This Row],[Mes de Fecha]]="Septiembre",9,10),Tabla1[[#This Row],[Día de Fecha]])</f>
        <v>46296</v>
      </c>
      <c r="I4810">
        <v>0</v>
      </c>
      <c r="J4810" s="1">
        <v>9627974</v>
      </c>
      <c r="K4810">
        <v>0</v>
      </c>
    </row>
    <row r="4811" spans="1:11" x14ac:dyDescent="0.25">
      <c r="A4811" t="s">
        <v>326</v>
      </c>
      <c r="B4811" t="s">
        <v>750</v>
      </c>
      <c r="C4811" t="s">
        <v>870</v>
      </c>
      <c r="D4811" t="s">
        <v>14</v>
      </c>
      <c r="E4811">
        <v>1</v>
      </c>
      <c r="F4811" s="2">
        <f>DATE(2026,IF(Tabla1[[#This Row],[Mes de Fecha]]="Septiembre",9,10),Tabla1[[#This Row],[Día de Fecha]])</f>
        <v>46296</v>
      </c>
      <c r="G4811">
        <v>1000886426</v>
      </c>
      <c r="H4811" t="s">
        <v>575</v>
      </c>
      <c r="I4811">
        <v>23</v>
      </c>
      <c r="J4811">
        <v>0</v>
      </c>
      <c r="K4811" s="1">
        <v>1381344</v>
      </c>
    </row>
    <row r="4812" spans="1:11" x14ac:dyDescent="0.25">
      <c r="A4812" t="s">
        <v>326</v>
      </c>
      <c r="B4812" t="s">
        <v>750</v>
      </c>
      <c r="C4812" t="s">
        <v>870</v>
      </c>
      <c r="D4812" t="s">
        <v>14</v>
      </c>
      <c r="E4812">
        <v>1</v>
      </c>
      <c r="F4812" s="2">
        <f>DATE(2026,IF(Tabla1[[#This Row],[Mes de Fecha]]="Septiembre",9,10),Tabla1[[#This Row],[Día de Fecha]])</f>
        <v>46296</v>
      </c>
      <c r="G4812">
        <v>1000888789</v>
      </c>
      <c r="H4812" t="s">
        <v>756</v>
      </c>
      <c r="I4812">
        <v>85</v>
      </c>
      <c r="J4812">
        <v>0</v>
      </c>
      <c r="K4812" s="1">
        <v>4760591</v>
      </c>
    </row>
    <row r="4813" spans="1:11" x14ac:dyDescent="0.25">
      <c r="A4813" t="s">
        <v>326</v>
      </c>
      <c r="B4813" t="s">
        <v>750</v>
      </c>
      <c r="C4813" t="s">
        <v>870</v>
      </c>
      <c r="D4813" t="s">
        <v>14</v>
      </c>
      <c r="E4813">
        <v>1</v>
      </c>
      <c r="F4813" s="2">
        <f>DATE(2026,IF(Tabla1[[#This Row],[Mes de Fecha]]="Septiembre",9,10),Tabla1[[#This Row],[Día de Fecha]])</f>
        <v>46296</v>
      </c>
      <c r="G4813">
        <v>1022144573</v>
      </c>
      <c r="H4813" t="s">
        <v>753</v>
      </c>
      <c r="I4813">
        <v>36</v>
      </c>
      <c r="J4813">
        <v>0</v>
      </c>
      <c r="K4813" s="1">
        <v>1943782</v>
      </c>
    </row>
    <row r="4814" spans="1:11" x14ac:dyDescent="0.25">
      <c r="A4814" t="s">
        <v>326</v>
      </c>
      <c r="B4814" t="s">
        <v>750</v>
      </c>
      <c r="C4814" t="s">
        <v>870</v>
      </c>
      <c r="D4814" t="s">
        <v>14</v>
      </c>
      <c r="E4814">
        <v>1</v>
      </c>
      <c r="F4814" s="2">
        <f>DATE(2026,IF(Tabla1[[#This Row],[Mes de Fecha]]="Septiembre",9,10),Tabla1[[#This Row],[Día de Fecha]])</f>
        <v>46296</v>
      </c>
      <c r="G4814">
        <v>1128456194</v>
      </c>
      <c r="H4814" t="s">
        <v>754</v>
      </c>
      <c r="I4814">
        <v>4</v>
      </c>
      <c r="J4814">
        <v>0</v>
      </c>
      <c r="K4814" s="1">
        <v>193110</v>
      </c>
    </row>
    <row r="4815" spans="1:11" x14ac:dyDescent="0.25">
      <c r="A4815" t="s">
        <v>326</v>
      </c>
      <c r="B4815" t="s">
        <v>750</v>
      </c>
      <c r="C4815" t="s">
        <v>870</v>
      </c>
      <c r="D4815" t="s">
        <v>14</v>
      </c>
      <c r="E4815">
        <v>1</v>
      </c>
      <c r="F4815" s="2">
        <f>DATE(2026,IF(Tabla1[[#This Row],[Mes de Fecha]]="Septiembre",9,10),Tabla1[[#This Row],[Día de Fecha]])</f>
        <v>46296</v>
      </c>
      <c r="G4815">
        <v>1193155892</v>
      </c>
      <c r="H4815" t="s">
        <v>741</v>
      </c>
      <c r="I4815">
        <v>36</v>
      </c>
      <c r="J4815">
        <v>0</v>
      </c>
      <c r="K4815" s="1">
        <v>2246346</v>
      </c>
    </row>
    <row r="4816" spans="1:11" x14ac:dyDescent="0.25">
      <c r="A4816" t="s">
        <v>326</v>
      </c>
      <c r="B4816" t="s">
        <v>750</v>
      </c>
      <c r="C4816" t="s">
        <v>870</v>
      </c>
      <c r="D4816" t="s">
        <v>14</v>
      </c>
      <c r="E4816">
        <v>2</v>
      </c>
      <c r="F4816" s="2">
        <f>DATE(2026,IF(Tabla1[[#This Row],[Mes de Fecha]]="Septiembre",9,10),Tabla1[[#This Row],[Día de Fecha]])</f>
        <v>46297</v>
      </c>
      <c r="I4816">
        <v>0</v>
      </c>
      <c r="J4816" s="1">
        <v>10887938</v>
      </c>
      <c r="K4816">
        <v>0</v>
      </c>
    </row>
    <row r="4817" spans="1:11" x14ac:dyDescent="0.25">
      <c r="A4817" t="s">
        <v>326</v>
      </c>
      <c r="B4817" t="s">
        <v>750</v>
      </c>
      <c r="C4817" t="s">
        <v>870</v>
      </c>
      <c r="D4817" t="s">
        <v>14</v>
      </c>
      <c r="E4817">
        <v>2</v>
      </c>
      <c r="F4817" s="2">
        <f>DATE(2026,IF(Tabla1[[#This Row],[Mes de Fecha]]="Septiembre",9,10),Tabla1[[#This Row],[Día de Fecha]])</f>
        <v>46297</v>
      </c>
      <c r="G4817">
        <v>1000886426</v>
      </c>
      <c r="H4817" t="s">
        <v>575</v>
      </c>
      <c r="I4817">
        <v>42</v>
      </c>
      <c r="J4817">
        <v>0</v>
      </c>
      <c r="K4817" s="1">
        <v>2477101</v>
      </c>
    </row>
    <row r="4818" spans="1:11" x14ac:dyDescent="0.25">
      <c r="A4818" t="s">
        <v>326</v>
      </c>
      <c r="B4818" t="s">
        <v>750</v>
      </c>
      <c r="C4818" t="s">
        <v>870</v>
      </c>
      <c r="D4818" t="s">
        <v>14</v>
      </c>
      <c r="E4818">
        <v>2</v>
      </c>
      <c r="F4818" s="2">
        <f>DATE(2026,IF(Tabla1[[#This Row],[Mes de Fecha]]="Septiembre",9,10),Tabla1[[#This Row],[Día de Fecha]])</f>
        <v>46297</v>
      </c>
      <c r="G4818">
        <v>1000888789</v>
      </c>
      <c r="H4818" t="s">
        <v>756</v>
      </c>
      <c r="I4818">
        <v>39</v>
      </c>
      <c r="J4818">
        <v>0</v>
      </c>
      <c r="K4818" s="1">
        <v>2063240</v>
      </c>
    </row>
    <row r="4819" spans="1:11" x14ac:dyDescent="0.25">
      <c r="A4819" t="s">
        <v>326</v>
      </c>
      <c r="B4819" t="s">
        <v>750</v>
      </c>
      <c r="C4819" t="s">
        <v>870</v>
      </c>
      <c r="D4819" t="s">
        <v>14</v>
      </c>
      <c r="E4819">
        <v>2</v>
      </c>
      <c r="F4819" s="2">
        <f>DATE(2026,IF(Tabla1[[#This Row],[Mes de Fecha]]="Septiembre",9,10),Tabla1[[#This Row],[Día de Fecha]])</f>
        <v>46297</v>
      </c>
      <c r="G4819">
        <v>1022144573</v>
      </c>
      <c r="H4819" t="s">
        <v>753</v>
      </c>
      <c r="I4819">
        <v>58</v>
      </c>
      <c r="J4819">
        <v>0</v>
      </c>
      <c r="K4819" s="1">
        <v>3696936</v>
      </c>
    </row>
    <row r="4820" spans="1:11" x14ac:dyDescent="0.25">
      <c r="A4820" t="s">
        <v>326</v>
      </c>
      <c r="B4820" t="s">
        <v>750</v>
      </c>
      <c r="C4820" t="s">
        <v>870</v>
      </c>
      <c r="D4820" t="s">
        <v>14</v>
      </c>
      <c r="E4820">
        <v>2</v>
      </c>
      <c r="F4820" s="2">
        <f>DATE(2026,IF(Tabla1[[#This Row],[Mes de Fecha]]="Septiembre",9,10),Tabla1[[#This Row],[Día de Fecha]])</f>
        <v>46297</v>
      </c>
      <c r="G4820">
        <v>1040745636</v>
      </c>
      <c r="H4820" t="s">
        <v>757</v>
      </c>
      <c r="I4820">
        <v>-1</v>
      </c>
      <c r="J4820">
        <v>0</v>
      </c>
      <c r="K4820" s="1">
        <v>-58740</v>
      </c>
    </row>
    <row r="4821" spans="1:11" x14ac:dyDescent="0.25">
      <c r="A4821" t="s">
        <v>326</v>
      </c>
      <c r="B4821" t="s">
        <v>750</v>
      </c>
      <c r="C4821" t="s">
        <v>870</v>
      </c>
      <c r="D4821" t="s">
        <v>14</v>
      </c>
      <c r="E4821">
        <v>2</v>
      </c>
      <c r="F4821" s="2">
        <f>DATE(2026,IF(Tabla1[[#This Row],[Mes de Fecha]]="Septiembre",9,10),Tabla1[[#This Row],[Día de Fecha]])</f>
        <v>46297</v>
      </c>
      <c r="G4821">
        <v>1067865055</v>
      </c>
      <c r="H4821" t="s">
        <v>638</v>
      </c>
      <c r="I4821">
        <v>-1</v>
      </c>
      <c r="J4821">
        <v>0</v>
      </c>
      <c r="K4821" s="1">
        <v>-83992</v>
      </c>
    </row>
    <row r="4822" spans="1:11" x14ac:dyDescent="0.25">
      <c r="A4822" t="s">
        <v>326</v>
      </c>
      <c r="B4822" t="s">
        <v>750</v>
      </c>
      <c r="C4822" t="s">
        <v>870</v>
      </c>
      <c r="D4822" t="s">
        <v>14</v>
      </c>
      <c r="E4822">
        <v>2</v>
      </c>
      <c r="F4822" s="2">
        <f>DATE(2026,IF(Tabla1[[#This Row],[Mes de Fecha]]="Septiembre",9,10),Tabla1[[#This Row],[Día de Fecha]])</f>
        <v>46297</v>
      </c>
      <c r="G4822">
        <v>1128456194</v>
      </c>
      <c r="H4822" t="s">
        <v>754</v>
      </c>
      <c r="I4822">
        <v>3</v>
      </c>
      <c r="J4822">
        <v>0</v>
      </c>
      <c r="K4822" s="1">
        <v>130127</v>
      </c>
    </row>
    <row r="4823" spans="1:11" x14ac:dyDescent="0.25">
      <c r="A4823" t="s">
        <v>326</v>
      </c>
      <c r="B4823" t="s">
        <v>750</v>
      </c>
      <c r="C4823" t="s">
        <v>870</v>
      </c>
      <c r="D4823" t="s">
        <v>14</v>
      </c>
      <c r="E4823">
        <v>2</v>
      </c>
      <c r="F4823" s="2">
        <f>DATE(2026,IF(Tabla1[[#This Row],[Mes de Fecha]]="Septiembre",9,10),Tabla1[[#This Row],[Día de Fecha]])</f>
        <v>46297</v>
      </c>
      <c r="G4823">
        <v>1193155892</v>
      </c>
      <c r="H4823" t="s">
        <v>741</v>
      </c>
      <c r="I4823">
        <v>35</v>
      </c>
      <c r="J4823">
        <v>0</v>
      </c>
      <c r="K4823" s="1">
        <v>2317776</v>
      </c>
    </row>
    <row r="4824" spans="1:11" x14ac:dyDescent="0.25">
      <c r="A4824" t="s">
        <v>326</v>
      </c>
      <c r="B4824" t="s">
        <v>750</v>
      </c>
      <c r="C4824" t="s">
        <v>870</v>
      </c>
      <c r="D4824" t="s">
        <v>14</v>
      </c>
      <c r="E4824">
        <v>2</v>
      </c>
      <c r="F4824" s="2">
        <f>DATE(2026,IF(Tabla1[[#This Row],[Mes de Fecha]]="Septiembre",9,10),Tabla1[[#This Row],[Día de Fecha]])</f>
        <v>46297</v>
      </c>
      <c r="G4824">
        <v>1214718234</v>
      </c>
      <c r="H4824" t="s">
        <v>755</v>
      </c>
      <c r="I4824">
        <v>11</v>
      </c>
      <c r="J4824">
        <v>0</v>
      </c>
      <c r="K4824" s="1">
        <v>600294</v>
      </c>
    </row>
    <row r="4825" spans="1:11" x14ac:dyDescent="0.25">
      <c r="A4825" t="s">
        <v>326</v>
      </c>
      <c r="B4825" t="s">
        <v>750</v>
      </c>
      <c r="C4825" t="s">
        <v>870</v>
      </c>
      <c r="D4825" t="s">
        <v>14</v>
      </c>
      <c r="E4825">
        <v>3</v>
      </c>
      <c r="F4825" s="2">
        <f>DATE(2026,IF(Tabla1[[#This Row],[Mes de Fecha]]="Septiembre",9,10),Tabla1[[#This Row],[Día de Fecha]])</f>
        <v>46298</v>
      </c>
      <c r="I4825">
        <v>0</v>
      </c>
      <c r="J4825" s="1">
        <v>16450548</v>
      </c>
      <c r="K4825">
        <v>0</v>
      </c>
    </row>
    <row r="4826" spans="1:11" x14ac:dyDescent="0.25">
      <c r="A4826" t="s">
        <v>326</v>
      </c>
      <c r="B4826" t="s">
        <v>750</v>
      </c>
      <c r="C4826" t="s">
        <v>870</v>
      </c>
      <c r="D4826" t="s">
        <v>14</v>
      </c>
      <c r="E4826">
        <v>3</v>
      </c>
      <c r="F4826" s="2">
        <f>DATE(2026,IF(Tabla1[[#This Row],[Mes de Fecha]]="Septiembre",9,10),Tabla1[[#This Row],[Día de Fecha]])</f>
        <v>46298</v>
      </c>
      <c r="G4826">
        <v>1000886426</v>
      </c>
      <c r="H4826" t="s">
        <v>575</v>
      </c>
      <c r="I4826">
        <v>56</v>
      </c>
      <c r="J4826">
        <v>0</v>
      </c>
      <c r="K4826" s="1">
        <v>3380293</v>
      </c>
    </row>
    <row r="4827" spans="1:11" x14ac:dyDescent="0.25">
      <c r="A4827" t="s">
        <v>326</v>
      </c>
      <c r="B4827" t="s">
        <v>750</v>
      </c>
      <c r="C4827" t="s">
        <v>870</v>
      </c>
      <c r="D4827" t="s">
        <v>14</v>
      </c>
      <c r="E4827">
        <v>3</v>
      </c>
      <c r="F4827" s="2">
        <f>DATE(2026,IF(Tabla1[[#This Row],[Mes de Fecha]]="Septiembre",9,10),Tabla1[[#This Row],[Día de Fecha]])</f>
        <v>46298</v>
      </c>
      <c r="G4827">
        <v>1000888789</v>
      </c>
      <c r="H4827" t="s">
        <v>756</v>
      </c>
      <c r="I4827">
        <v>83</v>
      </c>
      <c r="J4827">
        <v>0</v>
      </c>
      <c r="K4827" s="1">
        <v>5125819</v>
      </c>
    </row>
    <row r="4828" spans="1:11" x14ac:dyDescent="0.25">
      <c r="A4828" t="s">
        <v>326</v>
      </c>
      <c r="B4828" t="s">
        <v>750</v>
      </c>
      <c r="C4828" t="s">
        <v>870</v>
      </c>
      <c r="D4828" t="s">
        <v>14</v>
      </c>
      <c r="E4828">
        <v>3</v>
      </c>
      <c r="F4828" s="2">
        <f>DATE(2026,IF(Tabla1[[#This Row],[Mes de Fecha]]="Septiembre",9,10),Tabla1[[#This Row],[Día de Fecha]])</f>
        <v>46298</v>
      </c>
      <c r="G4828">
        <v>1015402645</v>
      </c>
      <c r="H4828" t="s">
        <v>747</v>
      </c>
      <c r="I4828">
        <v>-1</v>
      </c>
      <c r="J4828">
        <v>0</v>
      </c>
      <c r="K4828" s="1">
        <v>-105000</v>
      </c>
    </row>
    <row r="4829" spans="1:11" x14ac:dyDescent="0.25">
      <c r="A4829" t="s">
        <v>326</v>
      </c>
      <c r="B4829" t="s">
        <v>750</v>
      </c>
      <c r="C4829" t="s">
        <v>870</v>
      </c>
      <c r="D4829" t="s">
        <v>14</v>
      </c>
      <c r="E4829">
        <v>3</v>
      </c>
      <c r="F4829" s="2">
        <f>DATE(2026,IF(Tabla1[[#This Row],[Mes de Fecha]]="Septiembre",9,10),Tabla1[[#This Row],[Día de Fecha]])</f>
        <v>46298</v>
      </c>
      <c r="G4829">
        <v>1022144573</v>
      </c>
      <c r="H4829" t="s">
        <v>753</v>
      </c>
      <c r="I4829">
        <v>58</v>
      </c>
      <c r="J4829">
        <v>0</v>
      </c>
      <c r="K4829" s="1">
        <v>3223112</v>
      </c>
    </row>
    <row r="4830" spans="1:11" x14ac:dyDescent="0.25">
      <c r="A4830" t="s">
        <v>326</v>
      </c>
      <c r="B4830" t="s">
        <v>750</v>
      </c>
      <c r="C4830" t="s">
        <v>870</v>
      </c>
      <c r="D4830" t="s">
        <v>14</v>
      </c>
      <c r="E4830">
        <v>3</v>
      </c>
      <c r="F4830" s="2">
        <f>DATE(2026,IF(Tabla1[[#This Row],[Mes de Fecha]]="Septiembre",9,10),Tabla1[[#This Row],[Día de Fecha]])</f>
        <v>46298</v>
      </c>
      <c r="G4830">
        <v>1033259333</v>
      </c>
      <c r="H4830" t="s">
        <v>745</v>
      </c>
      <c r="I4830">
        <v>-1</v>
      </c>
      <c r="J4830">
        <v>0</v>
      </c>
      <c r="K4830" s="1">
        <v>-79790</v>
      </c>
    </row>
    <row r="4831" spans="1:11" x14ac:dyDescent="0.25">
      <c r="A4831" t="s">
        <v>326</v>
      </c>
      <c r="B4831" t="s">
        <v>750</v>
      </c>
      <c r="C4831" t="s">
        <v>870</v>
      </c>
      <c r="D4831" t="s">
        <v>14</v>
      </c>
      <c r="E4831">
        <v>3</v>
      </c>
      <c r="F4831" s="2">
        <f>DATE(2026,IF(Tabla1[[#This Row],[Mes de Fecha]]="Septiembre",9,10),Tabla1[[#This Row],[Día de Fecha]])</f>
        <v>46298</v>
      </c>
      <c r="G4831">
        <v>1193155892</v>
      </c>
      <c r="H4831" t="s">
        <v>741</v>
      </c>
      <c r="I4831">
        <v>45</v>
      </c>
      <c r="J4831">
        <v>0</v>
      </c>
      <c r="K4831" s="1">
        <v>2588439</v>
      </c>
    </row>
    <row r="4832" spans="1:11" x14ac:dyDescent="0.25">
      <c r="A4832" t="s">
        <v>326</v>
      </c>
      <c r="B4832" t="s">
        <v>750</v>
      </c>
      <c r="C4832" t="s">
        <v>870</v>
      </c>
      <c r="D4832" t="s">
        <v>14</v>
      </c>
      <c r="E4832">
        <v>3</v>
      </c>
      <c r="F4832" s="2">
        <f>DATE(2026,IF(Tabla1[[#This Row],[Mes de Fecha]]="Septiembre",9,10),Tabla1[[#This Row],[Día de Fecha]])</f>
        <v>46298</v>
      </c>
      <c r="G4832">
        <v>1214718234</v>
      </c>
      <c r="H4832" t="s">
        <v>755</v>
      </c>
      <c r="I4832">
        <v>14</v>
      </c>
      <c r="J4832">
        <v>0</v>
      </c>
      <c r="K4832" s="1">
        <v>771680</v>
      </c>
    </row>
    <row r="4833" spans="1:11" x14ac:dyDescent="0.25">
      <c r="A4833" t="s">
        <v>326</v>
      </c>
      <c r="B4833" t="s">
        <v>750</v>
      </c>
      <c r="C4833" t="s">
        <v>870</v>
      </c>
      <c r="D4833" t="s">
        <v>14</v>
      </c>
      <c r="E4833">
        <v>4</v>
      </c>
      <c r="F4833" s="2">
        <f>DATE(2026,IF(Tabla1[[#This Row],[Mes de Fecha]]="Septiembre",9,10),Tabla1[[#This Row],[Día de Fecha]])</f>
        <v>46299</v>
      </c>
      <c r="I4833">
        <v>0</v>
      </c>
      <c r="J4833" s="1">
        <v>20349480</v>
      </c>
      <c r="K4833">
        <v>0</v>
      </c>
    </row>
    <row r="4834" spans="1:11" x14ac:dyDescent="0.25">
      <c r="A4834" t="s">
        <v>326</v>
      </c>
      <c r="B4834" t="s">
        <v>750</v>
      </c>
      <c r="C4834" t="s">
        <v>870</v>
      </c>
      <c r="D4834" t="s">
        <v>14</v>
      </c>
      <c r="E4834">
        <v>4</v>
      </c>
      <c r="F4834" s="2">
        <f>DATE(2026,IF(Tabla1[[#This Row],[Mes de Fecha]]="Septiembre",9,10),Tabla1[[#This Row],[Día de Fecha]])</f>
        <v>46299</v>
      </c>
      <c r="G4834">
        <v>1000886426</v>
      </c>
      <c r="H4834" t="s">
        <v>575</v>
      </c>
      <c r="I4834">
        <v>65</v>
      </c>
      <c r="J4834">
        <v>0</v>
      </c>
      <c r="K4834" s="1">
        <v>4158828</v>
      </c>
    </row>
    <row r="4835" spans="1:11" x14ac:dyDescent="0.25">
      <c r="A4835" t="s">
        <v>326</v>
      </c>
      <c r="B4835" t="s">
        <v>750</v>
      </c>
      <c r="C4835" t="s">
        <v>870</v>
      </c>
      <c r="D4835" t="s">
        <v>14</v>
      </c>
      <c r="E4835">
        <v>4</v>
      </c>
      <c r="F4835" s="2">
        <f>DATE(2026,IF(Tabla1[[#This Row],[Mes de Fecha]]="Septiembre",9,10),Tabla1[[#This Row],[Día de Fecha]])</f>
        <v>46299</v>
      </c>
      <c r="G4835">
        <v>1000888789</v>
      </c>
      <c r="H4835" t="s">
        <v>756</v>
      </c>
      <c r="I4835">
        <v>65</v>
      </c>
      <c r="J4835">
        <v>0</v>
      </c>
      <c r="K4835" s="1">
        <v>3625300</v>
      </c>
    </row>
    <row r="4836" spans="1:11" x14ac:dyDescent="0.25">
      <c r="A4836" t="s">
        <v>326</v>
      </c>
      <c r="B4836" t="s">
        <v>750</v>
      </c>
      <c r="C4836" t="s">
        <v>870</v>
      </c>
      <c r="D4836" t="s">
        <v>14</v>
      </c>
      <c r="E4836">
        <v>4</v>
      </c>
      <c r="F4836" s="2">
        <f>DATE(2026,IF(Tabla1[[#This Row],[Mes de Fecha]]="Septiembre",9,10),Tabla1[[#This Row],[Día de Fecha]])</f>
        <v>46299</v>
      </c>
      <c r="G4836">
        <v>1022144573</v>
      </c>
      <c r="H4836" t="s">
        <v>753</v>
      </c>
      <c r="I4836">
        <v>34</v>
      </c>
      <c r="J4836">
        <v>0</v>
      </c>
      <c r="K4836" s="1">
        <v>2132982</v>
      </c>
    </row>
    <row r="4837" spans="1:11" x14ac:dyDescent="0.25">
      <c r="A4837" t="s">
        <v>326</v>
      </c>
      <c r="B4837" t="s">
        <v>750</v>
      </c>
      <c r="C4837" t="s">
        <v>870</v>
      </c>
      <c r="D4837" t="s">
        <v>14</v>
      </c>
      <c r="E4837">
        <v>4</v>
      </c>
      <c r="F4837" s="2">
        <f>DATE(2026,IF(Tabla1[[#This Row],[Mes de Fecha]]="Septiembre",9,10),Tabla1[[#This Row],[Día de Fecha]])</f>
        <v>46299</v>
      </c>
      <c r="G4837">
        <v>1193155892</v>
      </c>
      <c r="H4837" t="s">
        <v>741</v>
      </c>
      <c r="I4837">
        <v>79</v>
      </c>
      <c r="J4837">
        <v>0</v>
      </c>
      <c r="K4837" s="1">
        <v>5316341</v>
      </c>
    </row>
    <row r="4838" spans="1:11" x14ac:dyDescent="0.25">
      <c r="A4838" t="s">
        <v>326</v>
      </c>
      <c r="B4838" t="s">
        <v>750</v>
      </c>
      <c r="C4838" t="s">
        <v>870</v>
      </c>
      <c r="D4838" t="s">
        <v>14</v>
      </c>
      <c r="E4838">
        <v>4</v>
      </c>
      <c r="F4838" s="2">
        <f>DATE(2026,IF(Tabla1[[#This Row],[Mes de Fecha]]="Septiembre",9,10),Tabla1[[#This Row],[Día de Fecha]])</f>
        <v>46299</v>
      </c>
      <c r="G4838">
        <v>1214718234</v>
      </c>
      <c r="H4838" t="s">
        <v>755</v>
      </c>
      <c r="I4838">
        <v>0</v>
      </c>
      <c r="J4838">
        <v>0</v>
      </c>
      <c r="K4838" s="1">
        <v>50422</v>
      </c>
    </row>
    <row r="4839" spans="1:11" x14ac:dyDescent="0.25">
      <c r="A4839" t="s">
        <v>326</v>
      </c>
      <c r="B4839" t="s">
        <v>750</v>
      </c>
      <c r="C4839" t="s">
        <v>870</v>
      </c>
      <c r="D4839" t="s">
        <v>14</v>
      </c>
      <c r="E4839">
        <v>5</v>
      </c>
      <c r="F4839" s="2">
        <f>DATE(2026,IF(Tabla1[[#This Row],[Mes de Fecha]]="Septiembre",9,10),Tabla1[[#This Row],[Día de Fecha]])</f>
        <v>46300</v>
      </c>
      <c r="I4839">
        <v>0</v>
      </c>
      <c r="J4839" s="1">
        <v>5127993</v>
      </c>
      <c r="K4839">
        <v>0</v>
      </c>
    </row>
    <row r="4840" spans="1:11" x14ac:dyDescent="0.25">
      <c r="A4840" t="s">
        <v>326</v>
      </c>
      <c r="B4840" t="s">
        <v>750</v>
      </c>
      <c r="C4840" t="s">
        <v>870</v>
      </c>
      <c r="D4840" t="s">
        <v>14</v>
      </c>
      <c r="E4840">
        <v>5</v>
      </c>
      <c r="F4840" s="2">
        <f>DATE(2026,IF(Tabla1[[#This Row],[Mes de Fecha]]="Septiembre",9,10),Tabla1[[#This Row],[Día de Fecha]])</f>
        <v>46300</v>
      </c>
      <c r="G4840">
        <v>1000886426</v>
      </c>
      <c r="H4840" t="s">
        <v>575</v>
      </c>
      <c r="I4840">
        <v>2</v>
      </c>
      <c r="J4840">
        <v>0</v>
      </c>
      <c r="K4840" s="1">
        <v>29327</v>
      </c>
    </row>
    <row r="4841" spans="1:11" x14ac:dyDescent="0.25">
      <c r="A4841" t="s">
        <v>326</v>
      </c>
      <c r="B4841" t="s">
        <v>750</v>
      </c>
      <c r="C4841" t="s">
        <v>870</v>
      </c>
      <c r="D4841" t="s">
        <v>14</v>
      </c>
      <c r="E4841">
        <v>5</v>
      </c>
      <c r="F4841" s="2">
        <f>DATE(2026,IF(Tabla1[[#This Row],[Mes de Fecha]]="Septiembre",9,10),Tabla1[[#This Row],[Día de Fecha]])</f>
        <v>46300</v>
      </c>
      <c r="G4841">
        <v>1000888789</v>
      </c>
      <c r="H4841" t="s">
        <v>756</v>
      </c>
      <c r="I4841">
        <v>3</v>
      </c>
      <c r="J4841">
        <v>0</v>
      </c>
      <c r="K4841" s="1">
        <v>247774</v>
      </c>
    </row>
    <row r="4842" spans="1:11" x14ac:dyDescent="0.25">
      <c r="A4842" t="s">
        <v>326</v>
      </c>
      <c r="B4842" t="s">
        <v>750</v>
      </c>
      <c r="C4842" t="s">
        <v>870</v>
      </c>
      <c r="D4842" t="s">
        <v>14</v>
      </c>
      <c r="E4842">
        <v>5</v>
      </c>
      <c r="F4842" s="2">
        <f>DATE(2026,IF(Tabla1[[#This Row],[Mes de Fecha]]="Septiembre",9,10),Tabla1[[#This Row],[Día de Fecha]])</f>
        <v>46300</v>
      </c>
      <c r="G4842">
        <v>1193155892</v>
      </c>
      <c r="H4842" t="s">
        <v>741</v>
      </c>
      <c r="I4842">
        <v>51</v>
      </c>
      <c r="J4842">
        <v>0</v>
      </c>
      <c r="K4842" s="1">
        <v>2833783</v>
      </c>
    </row>
    <row r="4843" spans="1:11" x14ac:dyDescent="0.25">
      <c r="A4843" t="s">
        <v>326</v>
      </c>
      <c r="B4843" t="s">
        <v>750</v>
      </c>
      <c r="C4843" t="s">
        <v>870</v>
      </c>
      <c r="D4843" t="s">
        <v>14</v>
      </c>
      <c r="E4843">
        <v>5</v>
      </c>
      <c r="F4843" s="2">
        <f>DATE(2026,IF(Tabla1[[#This Row],[Mes de Fecha]]="Septiembre",9,10),Tabla1[[#This Row],[Día de Fecha]])</f>
        <v>46300</v>
      </c>
      <c r="G4843">
        <v>1214718234</v>
      </c>
      <c r="H4843" t="s">
        <v>755</v>
      </c>
      <c r="I4843">
        <v>45</v>
      </c>
      <c r="J4843">
        <v>0</v>
      </c>
      <c r="K4843" s="1">
        <v>2806682</v>
      </c>
    </row>
    <row r="4844" spans="1:11" x14ac:dyDescent="0.25">
      <c r="A4844" t="s">
        <v>326</v>
      </c>
      <c r="B4844" t="s">
        <v>750</v>
      </c>
      <c r="C4844" t="s">
        <v>870</v>
      </c>
      <c r="D4844" t="s">
        <v>14</v>
      </c>
      <c r="E4844">
        <v>6</v>
      </c>
      <c r="F4844" s="2">
        <f>DATE(2026,IF(Tabla1[[#This Row],[Mes de Fecha]]="Septiembre",9,10),Tabla1[[#This Row],[Día de Fecha]])</f>
        <v>46301</v>
      </c>
      <c r="I4844">
        <v>0</v>
      </c>
      <c r="J4844" s="1">
        <v>5483059</v>
      </c>
      <c r="K4844">
        <v>0</v>
      </c>
    </row>
    <row r="4845" spans="1:11" x14ac:dyDescent="0.25">
      <c r="A4845" t="s">
        <v>326</v>
      </c>
      <c r="B4845" t="s">
        <v>750</v>
      </c>
      <c r="C4845" t="s">
        <v>870</v>
      </c>
      <c r="D4845" t="s">
        <v>14</v>
      </c>
      <c r="E4845">
        <v>6</v>
      </c>
      <c r="F4845" s="2">
        <f>DATE(2026,IF(Tabla1[[#This Row],[Mes de Fecha]]="Septiembre",9,10),Tabla1[[#This Row],[Día de Fecha]])</f>
        <v>46301</v>
      </c>
      <c r="G4845">
        <v>1000873482</v>
      </c>
      <c r="H4845" t="s">
        <v>740</v>
      </c>
      <c r="I4845">
        <v>-1</v>
      </c>
      <c r="J4845">
        <v>0</v>
      </c>
      <c r="K4845" s="1">
        <v>-96597</v>
      </c>
    </row>
    <row r="4846" spans="1:11" x14ac:dyDescent="0.25">
      <c r="A4846" t="s">
        <v>326</v>
      </c>
      <c r="B4846" t="s">
        <v>750</v>
      </c>
      <c r="C4846" t="s">
        <v>870</v>
      </c>
      <c r="D4846" t="s">
        <v>14</v>
      </c>
      <c r="E4846">
        <v>6</v>
      </c>
      <c r="F4846" s="2">
        <f>DATE(2026,IF(Tabla1[[#This Row],[Mes de Fecha]]="Septiembre",9,10),Tabla1[[#This Row],[Día de Fecha]])</f>
        <v>46301</v>
      </c>
      <c r="G4846">
        <v>1000886426</v>
      </c>
      <c r="H4846" t="s">
        <v>575</v>
      </c>
      <c r="I4846">
        <v>89</v>
      </c>
      <c r="J4846">
        <v>0</v>
      </c>
      <c r="K4846" s="1">
        <v>6075974</v>
      </c>
    </row>
    <row r="4847" spans="1:11" x14ac:dyDescent="0.25">
      <c r="A4847" t="s">
        <v>326</v>
      </c>
      <c r="B4847" t="s">
        <v>750</v>
      </c>
      <c r="C4847" t="s">
        <v>870</v>
      </c>
      <c r="D4847" t="s">
        <v>14</v>
      </c>
      <c r="E4847">
        <v>7</v>
      </c>
      <c r="F4847" s="2">
        <f>DATE(2026,IF(Tabla1[[#This Row],[Mes de Fecha]]="Septiembre",9,10),Tabla1[[#This Row],[Día de Fecha]])</f>
        <v>46302</v>
      </c>
      <c r="I4847">
        <v>0</v>
      </c>
      <c r="J4847" s="1">
        <v>5410911</v>
      </c>
      <c r="K4847">
        <v>0</v>
      </c>
    </row>
    <row r="4848" spans="1:11" x14ac:dyDescent="0.25">
      <c r="A4848" t="s">
        <v>326</v>
      </c>
      <c r="B4848" t="s">
        <v>750</v>
      </c>
      <c r="C4848" t="s">
        <v>870</v>
      </c>
      <c r="D4848" t="s">
        <v>14</v>
      </c>
      <c r="E4848">
        <v>7</v>
      </c>
      <c r="F4848" s="2">
        <f>DATE(2026,IF(Tabla1[[#This Row],[Mes de Fecha]]="Septiembre",9,10),Tabla1[[#This Row],[Día de Fecha]])</f>
        <v>46302</v>
      </c>
      <c r="G4848">
        <v>1000886426</v>
      </c>
      <c r="H4848" t="s">
        <v>575</v>
      </c>
      <c r="I4848">
        <v>44</v>
      </c>
      <c r="J4848">
        <v>0</v>
      </c>
      <c r="K4848" s="1">
        <v>2647060</v>
      </c>
    </row>
    <row r="4849" spans="1:11" x14ac:dyDescent="0.25">
      <c r="A4849" t="s">
        <v>326</v>
      </c>
      <c r="B4849" t="s">
        <v>750</v>
      </c>
      <c r="C4849" t="s">
        <v>870</v>
      </c>
      <c r="D4849" t="s">
        <v>14</v>
      </c>
      <c r="E4849">
        <v>7</v>
      </c>
      <c r="F4849" s="2">
        <f>DATE(2026,IF(Tabla1[[#This Row],[Mes de Fecha]]="Septiembre",9,10),Tabla1[[#This Row],[Día de Fecha]])</f>
        <v>46302</v>
      </c>
      <c r="G4849">
        <v>1000888789</v>
      </c>
      <c r="H4849" t="s">
        <v>756</v>
      </c>
      <c r="I4849">
        <v>16</v>
      </c>
      <c r="J4849">
        <v>0</v>
      </c>
      <c r="K4849" s="1">
        <v>873278</v>
      </c>
    </row>
    <row r="4850" spans="1:11" x14ac:dyDescent="0.25">
      <c r="A4850" t="s">
        <v>326</v>
      </c>
      <c r="B4850" t="s">
        <v>750</v>
      </c>
      <c r="C4850" t="s">
        <v>870</v>
      </c>
      <c r="D4850" t="s">
        <v>14</v>
      </c>
      <c r="E4850">
        <v>7</v>
      </c>
      <c r="F4850" s="2">
        <f>DATE(2026,IF(Tabla1[[#This Row],[Mes de Fecha]]="Septiembre",9,10),Tabla1[[#This Row],[Día de Fecha]])</f>
        <v>46302</v>
      </c>
      <c r="G4850">
        <v>1022144573</v>
      </c>
      <c r="H4850" t="s">
        <v>753</v>
      </c>
      <c r="I4850">
        <v>37</v>
      </c>
      <c r="J4850">
        <v>0</v>
      </c>
      <c r="K4850" s="1">
        <v>2832310</v>
      </c>
    </row>
    <row r="4851" spans="1:11" x14ac:dyDescent="0.25">
      <c r="A4851" t="s">
        <v>326</v>
      </c>
      <c r="B4851" t="s">
        <v>750</v>
      </c>
      <c r="C4851" t="s">
        <v>870</v>
      </c>
      <c r="D4851" t="s">
        <v>14</v>
      </c>
      <c r="E4851">
        <v>7</v>
      </c>
      <c r="F4851" s="2">
        <f>DATE(2026,IF(Tabla1[[#This Row],[Mes de Fecha]]="Septiembre",9,10),Tabla1[[#This Row],[Día de Fecha]])</f>
        <v>46302</v>
      </c>
      <c r="G4851">
        <v>1214718234</v>
      </c>
      <c r="H4851" t="s">
        <v>755</v>
      </c>
      <c r="I4851">
        <v>2</v>
      </c>
      <c r="J4851">
        <v>0</v>
      </c>
      <c r="K4851" s="1">
        <v>176386</v>
      </c>
    </row>
    <row r="4852" spans="1:11" x14ac:dyDescent="0.25">
      <c r="A4852" t="s">
        <v>326</v>
      </c>
      <c r="B4852" t="s">
        <v>793</v>
      </c>
      <c r="C4852" t="s">
        <v>870</v>
      </c>
      <c r="D4852" t="s">
        <v>11</v>
      </c>
      <c r="E4852">
        <v>23</v>
      </c>
      <c r="F4852" s="2">
        <f>DATE(2026,IF(Tabla1[[#This Row],[Mes de Fecha]]="Septiembre",9,10),Tabla1[[#This Row],[Día de Fecha]])</f>
        <v>46288</v>
      </c>
      <c r="I4852">
        <v>0</v>
      </c>
      <c r="J4852" s="1">
        <v>6797581</v>
      </c>
      <c r="K4852">
        <v>0</v>
      </c>
    </row>
    <row r="4853" spans="1:11" x14ac:dyDescent="0.25">
      <c r="A4853" t="s">
        <v>326</v>
      </c>
      <c r="B4853" t="s">
        <v>793</v>
      </c>
      <c r="C4853" t="s">
        <v>870</v>
      </c>
      <c r="D4853" t="s">
        <v>11</v>
      </c>
      <c r="E4853">
        <v>23</v>
      </c>
      <c r="F4853" s="2">
        <f>DATE(2026,IF(Tabla1[[#This Row],[Mes de Fecha]]="Septiembre",9,10),Tabla1[[#This Row],[Día de Fecha]])</f>
        <v>46288</v>
      </c>
      <c r="G4853">
        <v>1023628602</v>
      </c>
      <c r="H4853" t="s">
        <v>794</v>
      </c>
      <c r="I4853">
        <v>17</v>
      </c>
      <c r="J4853">
        <v>0</v>
      </c>
      <c r="K4853" s="1">
        <v>1100126</v>
      </c>
    </row>
    <row r="4854" spans="1:11" x14ac:dyDescent="0.25">
      <c r="A4854" t="s">
        <v>326</v>
      </c>
      <c r="B4854" t="s">
        <v>793</v>
      </c>
      <c r="C4854" t="s">
        <v>870</v>
      </c>
      <c r="D4854" t="s">
        <v>11</v>
      </c>
      <c r="E4854">
        <v>23</v>
      </c>
      <c r="F4854" s="2">
        <f>DATE(2026,IF(Tabla1[[#This Row],[Mes de Fecha]]="Septiembre",9,10),Tabla1[[#This Row],[Día de Fecha]])</f>
        <v>46288</v>
      </c>
      <c r="G4854">
        <v>1037585001</v>
      </c>
      <c r="H4854" t="s">
        <v>746</v>
      </c>
      <c r="I4854">
        <v>24</v>
      </c>
      <c r="J4854">
        <v>0</v>
      </c>
      <c r="K4854" s="1">
        <v>1511599</v>
      </c>
    </row>
    <row r="4855" spans="1:11" x14ac:dyDescent="0.25">
      <c r="A4855" t="s">
        <v>326</v>
      </c>
      <c r="B4855" t="s">
        <v>793</v>
      </c>
      <c r="C4855" t="s">
        <v>870</v>
      </c>
      <c r="D4855" t="s">
        <v>11</v>
      </c>
      <c r="E4855">
        <v>23</v>
      </c>
      <c r="F4855" s="2">
        <f>DATE(2026,IF(Tabla1[[#This Row],[Mes de Fecha]]="Septiembre",9,10),Tabla1[[#This Row],[Día de Fecha]])</f>
        <v>46288</v>
      </c>
      <c r="G4855">
        <v>1039761353</v>
      </c>
      <c r="H4855" t="s">
        <v>759</v>
      </c>
      <c r="I4855">
        <v>30</v>
      </c>
      <c r="J4855">
        <v>0</v>
      </c>
      <c r="K4855" s="1">
        <v>1456725</v>
      </c>
    </row>
    <row r="4856" spans="1:11" x14ac:dyDescent="0.25">
      <c r="A4856" t="s">
        <v>326</v>
      </c>
      <c r="B4856" t="s">
        <v>793</v>
      </c>
      <c r="C4856" t="s">
        <v>870</v>
      </c>
      <c r="D4856" t="s">
        <v>11</v>
      </c>
      <c r="E4856">
        <v>24</v>
      </c>
      <c r="F4856" s="2">
        <f>DATE(2026,IF(Tabla1[[#This Row],[Mes de Fecha]]="Septiembre",9,10),Tabla1[[#This Row],[Día de Fecha]])</f>
        <v>46289</v>
      </c>
      <c r="I4856">
        <v>0</v>
      </c>
      <c r="J4856" s="1">
        <v>10384071</v>
      </c>
      <c r="K4856">
        <v>0</v>
      </c>
    </row>
    <row r="4857" spans="1:11" x14ac:dyDescent="0.25">
      <c r="A4857" t="s">
        <v>326</v>
      </c>
      <c r="B4857" t="s">
        <v>793</v>
      </c>
      <c r="C4857" t="s">
        <v>870</v>
      </c>
      <c r="D4857" t="s">
        <v>11</v>
      </c>
      <c r="E4857">
        <v>24</v>
      </c>
      <c r="F4857" s="2">
        <f>DATE(2026,IF(Tabla1[[#This Row],[Mes de Fecha]]="Septiembre",9,10),Tabla1[[#This Row],[Día de Fecha]])</f>
        <v>46289</v>
      </c>
      <c r="G4857">
        <v>1011390630</v>
      </c>
      <c r="H4857" t="s">
        <v>749</v>
      </c>
      <c r="I4857">
        <v>9</v>
      </c>
      <c r="J4857">
        <v>0</v>
      </c>
      <c r="K4857" s="1">
        <v>671892</v>
      </c>
    </row>
    <row r="4858" spans="1:11" x14ac:dyDescent="0.25">
      <c r="A4858" t="s">
        <v>326</v>
      </c>
      <c r="B4858" t="s">
        <v>793</v>
      </c>
      <c r="C4858" t="s">
        <v>870</v>
      </c>
      <c r="D4858" t="s">
        <v>11</v>
      </c>
      <c r="E4858">
        <v>24</v>
      </c>
      <c r="F4858" s="2">
        <f>DATE(2026,IF(Tabla1[[#This Row],[Mes de Fecha]]="Septiembre",9,10),Tabla1[[#This Row],[Día de Fecha]])</f>
        <v>46289</v>
      </c>
      <c r="G4858">
        <v>1023628602</v>
      </c>
      <c r="H4858" t="s">
        <v>794</v>
      </c>
      <c r="I4858">
        <v>14</v>
      </c>
      <c r="J4858">
        <v>0</v>
      </c>
      <c r="K4858" s="1">
        <v>728404</v>
      </c>
    </row>
    <row r="4859" spans="1:11" x14ac:dyDescent="0.25">
      <c r="A4859" t="s">
        <v>326</v>
      </c>
      <c r="B4859" t="s">
        <v>793</v>
      </c>
      <c r="C4859" t="s">
        <v>870</v>
      </c>
      <c r="D4859" t="s">
        <v>11</v>
      </c>
      <c r="E4859">
        <v>24</v>
      </c>
      <c r="F4859" s="2">
        <f>DATE(2026,IF(Tabla1[[#This Row],[Mes de Fecha]]="Septiembre",9,10),Tabla1[[#This Row],[Día de Fecha]])</f>
        <v>46289</v>
      </c>
      <c r="G4859">
        <v>1037585001</v>
      </c>
      <c r="H4859" t="s">
        <v>746</v>
      </c>
      <c r="I4859">
        <v>20</v>
      </c>
      <c r="J4859">
        <v>0</v>
      </c>
      <c r="K4859" s="1">
        <v>1320591</v>
      </c>
    </row>
    <row r="4860" spans="1:11" x14ac:dyDescent="0.25">
      <c r="A4860" t="s">
        <v>326</v>
      </c>
      <c r="B4860" t="s">
        <v>793</v>
      </c>
      <c r="C4860" t="s">
        <v>870</v>
      </c>
      <c r="D4860" t="s">
        <v>11</v>
      </c>
      <c r="E4860">
        <v>24</v>
      </c>
      <c r="F4860" s="2">
        <f>DATE(2026,IF(Tabla1[[#This Row],[Mes de Fecha]]="Septiembre",9,10),Tabla1[[#This Row],[Día de Fecha]])</f>
        <v>46289</v>
      </c>
      <c r="G4860">
        <v>1039761353</v>
      </c>
      <c r="H4860" t="s">
        <v>759</v>
      </c>
      <c r="I4860">
        <v>27</v>
      </c>
      <c r="J4860">
        <v>0</v>
      </c>
      <c r="K4860" s="1">
        <v>1681598</v>
      </c>
    </row>
    <row r="4861" spans="1:11" x14ac:dyDescent="0.25">
      <c r="A4861" t="s">
        <v>326</v>
      </c>
      <c r="B4861" t="s">
        <v>793</v>
      </c>
      <c r="C4861" t="s">
        <v>870</v>
      </c>
      <c r="D4861" t="s">
        <v>11</v>
      </c>
      <c r="E4861">
        <v>25</v>
      </c>
      <c r="F4861" s="2">
        <f>DATE(2026,IF(Tabla1[[#This Row],[Mes de Fecha]]="Septiembre",9,10),Tabla1[[#This Row],[Día de Fecha]])</f>
        <v>46290</v>
      </c>
      <c r="I4861">
        <v>0</v>
      </c>
      <c r="J4861" s="1">
        <v>10361080</v>
      </c>
      <c r="K4861">
        <v>0</v>
      </c>
    </row>
    <row r="4862" spans="1:11" x14ac:dyDescent="0.25">
      <c r="A4862" t="s">
        <v>326</v>
      </c>
      <c r="B4862" t="s">
        <v>793</v>
      </c>
      <c r="C4862" t="s">
        <v>870</v>
      </c>
      <c r="D4862" t="s">
        <v>11</v>
      </c>
      <c r="E4862">
        <v>25</v>
      </c>
      <c r="F4862" s="2">
        <f>DATE(2026,IF(Tabla1[[#This Row],[Mes de Fecha]]="Septiembre",9,10),Tabla1[[#This Row],[Día de Fecha]])</f>
        <v>46290</v>
      </c>
      <c r="G4862">
        <v>1011390630</v>
      </c>
      <c r="H4862" t="s">
        <v>749</v>
      </c>
      <c r="I4862">
        <v>14</v>
      </c>
      <c r="J4862">
        <v>0</v>
      </c>
      <c r="K4862" s="1">
        <v>885967</v>
      </c>
    </row>
    <row r="4863" spans="1:11" x14ac:dyDescent="0.25">
      <c r="A4863" t="s">
        <v>326</v>
      </c>
      <c r="B4863" t="s">
        <v>793</v>
      </c>
      <c r="C4863" t="s">
        <v>870</v>
      </c>
      <c r="D4863" t="s">
        <v>11</v>
      </c>
      <c r="E4863">
        <v>25</v>
      </c>
      <c r="F4863" s="2">
        <f>DATE(2026,IF(Tabla1[[#This Row],[Mes de Fecha]]="Septiembre",9,10),Tabla1[[#This Row],[Día de Fecha]])</f>
        <v>46290</v>
      </c>
      <c r="G4863">
        <v>1023628602</v>
      </c>
      <c r="H4863" t="s">
        <v>794</v>
      </c>
      <c r="I4863">
        <v>21</v>
      </c>
      <c r="J4863">
        <v>0</v>
      </c>
      <c r="K4863" s="1">
        <v>1209205</v>
      </c>
    </row>
    <row r="4864" spans="1:11" x14ac:dyDescent="0.25">
      <c r="A4864" t="s">
        <v>326</v>
      </c>
      <c r="B4864" t="s">
        <v>793</v>
      </c>
      <c r="C4864" t="s">
        <v>870</v>
      </c>
      <c r="D4864" t="s">
        <v>11</v>
      </c>
      <c r="E4864">
        <v>25</v>
      </c>
      <c r="F4864" s="2">
        <f>DATE(2026,IF(Tabla1[[#This Row],[Mes de Fecha]]="Septiembre",9,10),Tabla1[[#This Row],[Día de Fecha]])</f>
        <v>46290</v>
      </c>
      <c r="G4864">
        <v>1034989462</v>
      </c>
      <c r="H4864" t="s">
        <v>795</v>
      </c>
      <c r="I4864">
        <v>-1</v>
      </c>
      <c r="J4864">
        <v>0</v>
      </c>
      <c r="K4864" s="1">
        <v>-54580</v>
      </c>
    </row>
    <row r="4865" spans="1:11" x14ac:dyDescent="0.25">
      <c r="A4865" t="s">
        <v>326</v>
      </c>
      <c r="B4865" t="s">
        <v>793</v>
      </c>
      <c r="C4865" t="s">
        <v>870</v>
      </c>
      <c r="D4865" t="s">
        <v>11</v>
      </c>
      <c r="E4865">
        <v>25</v>
      </c>
      <c r="F4865" s="2">
        <f>DATE(2026,IF(Tabla1[[#This Row],[Mes de Fecha]]="Septiembre",9,10),Tabla1[[#This Row],[Día de Fecha]])</f>
        <v>46290</v>
      </c>
      <c r="G4865">
        <v>1037585001</v>
      </c>
      <c r="H4865" t="s">
        <v>746</v>
      </c>
      <c r="I4865">
        <v>34</v>
      </c>
      <c r="J4865">
        <v>0</v>
      </c>
      <c r="K4865" s="1">
        <v>1969163</v>
      </c>
    </row>
    <row r="4866" spans="1:11" x14ac:dyDescent="0.25">
      <c r="A4866" t="s">
        <v>326</v>
      </c>
      <c r="B4866" t="s">
        <v>793</v>
      </c>
      <c r="C4866" t="s">
        <v>870</v>
      </c>
      <c r="D4866" t="s">
        <v>11</v>
      </c>
      <c r="E4866">
        <v>25</v>
      </c>
      <c r="F4866" s="2">
        <f>DATE(2026,IF(Tabla1[[#This Row],[Mes de Fecha]]="Septiembre",9,10),Tabla1[[#This Row],[Día de Fecha]])</f>
        <v>46290</v>
      </c>
      <c r="G4866">
        <v>1039761353</v>
      </c>
      <c r="H4866" t="s">
        <v>759</v>
      </c>
      <c r="I4866">
        <v>28</v>
      </c>
      <c r="J4866">
        <v>0</v>
      </c>
      <c r="K4866" s="1">
        <v>1948406</v>
      </c>
    </row>
    <row r="4867" spans="1:11" x14ac:dyDescent="0.25">
      <c r="A4867" t="s">
        <v>326</v>
      </c>
      <c r="B4867" t="s">
        <v>793</v>
      </c>
      <c r="C4867" t="s">
        <v>870</v>
      </c>
      <c r="D4867" t="s">
        <v>11</v>
      </c>
      <c r="E4867">
        <v>26</v>
      </c>
      <c r="F4867" s="2">
        <f>DATE(2026,IF(Tabla1[[#This Row],[Mes de Fecha]]="Septiembre",9,10),Tabla1[[#This Row],[Día de Fecha]])</f>
        <v>46291</v>
      </c>
      <c r="I4867">
        <v>0</v>
      </c>
      <c r="J4867" s="1">
        <v>14890366</v>
      </c>
      <c r="K4867">
        <v>0</v>
      </c>
    </row>
    <row r="4868" spans="1:11" x14ac:dyDescent="0.25">
      <c r="A4868" t="s">
        <v>326</v>
      </c>
      <c r="B4868" t="s">
        <v>793</v>
      </c>
      <c r="C4868" t="s">
        <v>870</v>
      </c>
      <c r="D4868" t="s">
        <v>11</v>
      </c>
      <c r="E4868">
        <v>26</v>
      </c>
      <c r="F4868" s="2">
        <f>DATE(2026,IF(Tabla1[[#This Row],[Mes de Fecha]]="Septiembre",9,10),Tabla1[[#This Row],[Día de Fecha]])</f>
        <v>46291</v>
      </c>
      <c r="G4868">
        <v>1011390630</v>
      </c>
      <c r="H4868" t="s">
        <v>749</v>
      </c>
      <c r="I4868">
        <v>34</v>
      </c>
      <c r="J4868">
        <v>0</v>
      </c>
      <c r="K4868" s="1">
        <v>2166557</v>
      </c>
    </row>
    <row r="4869" spans="1:11" x14ac:dyDescent="0.25">
      <c r="A4869" t="s">
        <v>326</v>
      </c>
      <c r="B4869" t="s">
        <v>793</v>
      </c>
      <c r="C4869" t="s">
        <v>870</v>
      </c>
      <c r="D4869" t="s">
        <v>11</v>
      </c>
      <c r="E4869">
        <v>26</v>
      </c>
      <c r="F4869" s="2">
        <f>DATE(2026,IF(Tabla1[[#This Row],[Mes de Fecha]]="Septiembre",9,10),Tabla1[[#This Row],[Día de Fecha]])</f>
        <v>46291</v>
      </c>
      <c r="G4869">
        <v>1023628602</v>
      </c>
      <c r="H4869" t="s">
        <v>794</v>
      </c>
      <c r="I4869">
        <v>32</v>
      </c>
      <c r="J4869">
        <v>0</v>
      </c>
      <c r="K4869" s="1">
        <v>1941934</v>
      </c>
    </row>
    <row r="4870" spans="1:11" x14ac:dyDescent="0.25">
      <c r="A4870" t="s">
        <v>326</v>
      </c>
      <c r="B4870" t="s">
        <v>793</v>
      </c>
      <c r="C4870" t="s">
        <v>870</v>
      </c>
      <c r="D4870" t="s">
        <v>11</v>
      </c>
      <c r="E4870">
        <v>26</v>
      </c>
      <c r="F4870" s="2">
        <f>DATE(2026,IF(Tabla1[[#This Row],[Mes de Fecha]]="Septiembre",9,10),Tabla1[[#This Row],[Día de Fecha]])</f>
        <v>46291</v>
      </c>
      <c r="G4870">
        <v>1032013463</v>
      </c>
      <c r="H4870" t="s">
        <v>716</v>
      </c>
      <c r="I4870">
        <v>-1</v>
      </c>
      <c r="J4870">
        <v>0</v>
      </c>
      <c r="K4870" s="1">
        <v>-75588</v>
      </c>
    </row>
    <row r="4871" spans="1:11" x14ac:dyDescent="0.25">
      <c r="A4871" t="s">
        <v>326</v>
      </c>
      <c r="B4871" t="s">
        <v>793</v>
      </c>
      <c r="C4871" t="s">
        <v>870</v>
      </c>
      <c r="D4871" t="s">
        <v>11</v>
      </c>
      <c r="E4871">
        <v>26</v>
      </c>
      <c r="F4871" s="2">
        <f>DATE(2026,IF(Tabla1[[#This Row],[Mes de Fecha]]="Septiembre",9,10),Tabla1[[#This Row],[Día de Fecha]])</f>
        <v>46291</v>
      </c>
      <c r="G4871">
        <v>1037585001</v>
      </c>
      <c r="H4871" t="s">
        <v>746</v>
      </c>
      <c r="I4871">
        <v>67</v>
      </c>
      <c r="J4871">
        <v>0</v>
      </c>
      <c r="K4871" s="1">
        <v>4749205</v>
      </c>
    </row>
    <row r="4872" spans="1:11" x14ac:dyDescent="0.25">
      <c r="A4872" t="s">
        <v>326</v>
      </c>
      <c r="B4872" t="s">
        <v>793</v>
      </c>
      <c r="C4872" t="s">
        <v>870</v>
      </c>
      <c r="D4872" t="s">
        <v>11</v>
      </c>
      <c r="E4872">
        <v>26</v>
      </c>
      <c r="F4872" s="2">
        <f>DATE(2026,IF(Tabla1[[#This Row],[Mes de Fecha]]="Septiembre",9,10),Tabla1[[#This Row],[Día de Fecha]])</f>
        <v>46291</v>
      </c>
      <c r="G4872">
        <v>1039761353</v>
      </c>
      <c r="H4872" t="s">
        <v>759</v>
      </c>
      <c r="I4872">
        <v>56</v>
      </c>
      <c r="J4872">
        <v>0</v>
      </c>
      <c r="K4872" s="1">
        <v>2995551</v>
      </c>
    </row>
    <row r="4873" spans="1:11" x14ac:dyDescent="0.25">
      <c r="A4873" t="s">
        <v>326</v>
      </c>
      <c r="B4873" t="s">
        <v>793</v>
      </c>
      <c r="C4873" t="s">
        <v>870</v>
      </c>
      <c r="D4873" t="s">
        <v>11</v>
      </c>
      <c r="E4873">
        <v>27</v>
      </c>
      <c r="F4873" s="2">
        <f>DATE(2026,IF(Tabla1[[#This Row],[Mes de Fecha]]="Septiembre",9,10),Tabla1[[#This Row],[Día de Fecha]])</f>
        <v>46292</v>
      </c>
      <c r="I4873">
        <v>0</v>
      </c>
      <c r="J4873" s="1">
        <v>11796164</v>
      </c>
      <c r="K4873">
        <v>0</v>
      </c>
    </row>
    <row r="4874" spans="1:11" x14ac:dyDescent="0.25">
      <c r="A4874" t="s">
        <v>326</v>
      </c>
      <c r="B4874" t="s">
        <v>793</v>
      </c>
      <c r="C4874" t="s">
        <v>870</v>
      </c>
      <c r="D4874" t="s">
        <v>11</v>
      </c>
      <c r="E4874">
        <v>27</v>
      </c>
      <c r="F4874" s="2">
        <f>DATE(2026,IF(Tabla1[[#This Row],[Mes de Fecha]]="Septiembre",9,10),Tabla1[[#This Row],[Día de Fecha]])</f>
        <v>46292</v>
      </c>
      <c r="G4874">
        <v>1011390630</v>
      </c>
      <c r="H4874" t="s">
        <v>749</v>
      </c>
      <c r="I4874">
        <v>34</v>
      </c>
      <c r="J4874">
        <v>0</v>
      </c>
      <c r="K4874" s="1">
        <v>2565802</v>
      </c>
    </row>
    <row r="4875" spans="1:11" x14ac:dyDescent="0.25">
      <c r="A4875" t="s">
        <v>326</v>
      </c>
      <c r="B4875" t="s">
        <v>793</v>
      </c>
      <c r="C4875" t="s">
        <v>870</v>
      </c>
      <c r="D4875" t="s">
        <v>11</v>
      </c>
      <c r="E4875">
        <v>27</v>
      </c>
      <c r="F4875" s="2">
        <f>DATE(2026,IF(Tabla1[[#This Row],[Mes de Fecha]]="Septiembre",9,10),Tabla1[[#This Row],[Día de Fecha]])</f>
        <v>46292</v>
      </c>
      <c r="G4875">
        <v>1023628602</v>
      </c>
      <c r="H4875" t="s">
        <v>794</v>
      </c>
      <c r="I4875">
        <v>16</v>
      </c>
      <c r="J4875">
        <v>0</v>
      </c>
      <c r="K4875" s="1">
        <v>1207312</v>
      </c>
    </row>
    <row r="4876" spans="1:11" x14ac:dyDescent="0.25">
      <c r="A4876" t="s">
        <v>326</v>
      </c>
      <c r="B4876" t="s">
        <v>793</v>
      </c>
      <c r="C4876" t="s">
        <v>870</v>
      </c>
      <c r="D4876" t="s">
        <v>11</v>
      </c>
      <c r="E4876">
        <v>27</v>
      </c>
      <c r="F4876" s="2">
        <f>DATE(2026,IF(Tabla1[[#This Row],[Mes de Fecha]]="Septiembre",9,10),Tabla1[[#This Row],[Día de Fecha]])</f>
        <v>46292</v>
      </c>
      <c r="G4876">
        <v>1037585001</v>
      </c>
      <c r="H4876" t="s">
        <v>746</v>
      </c>
      <c r="I4876">
        <v>48</v>
      </c>
      <c r="J4876">
        <v>0</v>
      </c>
      <c r="K4876" s="1">
        <v>3037859</v>
      </c>
    </row>
    <row r="4877" spans="1:11" x14ac:dyDescent="0.25">
      <c r="A4877" t="s">
        <v>326</v>
      </c>
      <c r="B4877" t="s">
        <v>793</v>
      </c>
      <c r="C4877" t="s">
        <v>870</v>
      </c>
      <c r="D4877" t="s">
        <v>11</v>
      </c>
      <c r="E4877">
        <v>27</v>
      </c>
      <c r="F4877" s="2">
        <f>DATE(2026,IF(Tabla1[[#This Row],[Mes de Fecha]]="Septiembre",9,10),Tabla1[[#This Row],[Día de Fecha]])</f>
        <v>46292</v>
      </c>
      <c r="G4877">
        <v>1039761353</v>
      </c>
      <c r="H4877" t="s">
        <v>759</v>
      </c>
      <c r="I4877">
        <v>28</v>
      </c>
      <c r="J4877">
        <v>0</v>
      </c>
      <c r="K4877" s="1">
        <v>1975712</v>
      </c>
    </row>
    <row r="4878" spans="1:11" x14ac:dyDescent="0.25">
      <c r="A4878" t="s">
        <v>326</v>
      </c>
      <c r="B4878" t="s">
        <v>793</v>
      </c>
      <c r="C4878" t="s">
        <v>870</v>
      </c>
      <c r="D4878" t="s">
        <v>11</v>
      </c>
      <c r="E4878">
        <v>28</v>
      </c>
      <c r="F4878" s="2">
        <f>DATE(2026,IF(Tabla1[[#This Row],[Mes de Fecha]]="Septiembre",9,10),Tabla1[[#This Row],[Día de Fecha]])</f>
        <v>46293</v>
      </c>
      <c r="I4878">
        <v>0</v>
      </c>
      <c r="J4878" s="1">
        <v>6492126</v>
      </c>
      <c r="K4878">
        <v>0</v>
      </c>
    </row>
    <row r="4879" spans="1:11" x14ac:dyDescent="0.25">
      <c r="A4879" t="s">
        <v>326</v>
      </c>
      <c r="B4879" t="s">
        <v>793</v>
      </c>
      <c r="C4879" t="s">
        <v>870</v>
      </c>
      <c r="D4879" t="s">
        <v>11</v>
      </c>
      <c r="E4879">
        <v>28</v>
      </c>
      <c r="F4879" s="2">
        <f>DATE(2026,IF(Tabla1[[#This Row],[Mes de Fecha]]="Septiembre",9,10),Tabla1[[#This Row],[Día de Fecha]])</f>
        <v>46293</v>
      </c>
      <c r="G4879">
        <v>4337936</v>
      </c>
      <c r="H4879" t="s">
        <v>742</v>
      </c>
      <c r="I4879">
        <v>-2</v>
      </c>
      <c r="J4879">
        <v>0</v>
      </c>
      <c r="K4879" s="1">
        <v>-71344</v>
      </c>
    </row>
    <row r="4880" spans="1:11" x14ac:dyDescent="0.25">
      <c r="A4880" t="s">
        <v>326</v>
      </c>
      <c r="B4880" t="s">
        <v>793</v>
      </c>
      <c r="C4880" t="s">
        <v>870</v>
      </c>
      <c r="D4880" t="s">
        <v>11</v>
      </c>
      <c r="E4880">
        <v>28</v>
      </c>
      <c r="F4880" s="2">
        <f>DATE(2026,IF(Tabla1[[#This Row],[Mes de Fecha]]="Septiembre",9,10),Tabla1[[#This Row],[Día de Fecha]])</f>
        <v>46293</v>
      </c>
      <c r="G4880">
        <v>1011390630</v>
      </c>
      <c r="H4880" t="s">
        <v>749</v>
      </c>
      <c r="I4880">
        <v>3</v>
      </c>
      <c r="J4880">
        <v>0</v>
      </c>
      <c r="K4880" s="1">
        <v>109076</v>
      </c>
    </row>
    <row r="4881" spans="1:11" x14ac:dyDescent="0.25">
      <c r="A4881" t="s">
        <v>326</v>
      </c>
      <c r="B4881" t="s">
        <v>793</v>
      </c>
      <c r="C4881" t="s">
        <v>870</v>
      </c>
      <c r="D4881" t="s">
        <v>11</v>
      </c>
      <c r="E4881">
        <v>28</v>
      </c>
      <c r="F4881" s="2">
        <f>DATE(2026,IF(Tabla1[[#This Row],[Mes de Fecha]]="Septiembre",9,10),Tabla1[[#This Row],[Día de Fecha]])</f>
        <v>46293</v>
      </c>
      <c r="G4881">
        <v>1023628602</v>
      </c>
      <c r="H4881" t="s">
        <v>794</v>
      </c>
      <c r="I4881">
        <v>8</v>
      </c>
      <c r="J4881">
        <v>0</v>
      </c>
      <c r="K4881" s="1">
        <v>547984</v>
      </c>
    </row>
    <row r="4882" spans="1:11" x14ac:dyDescent="0.25">
      <c r="A4882" t="s">
        <v>326</v>
      </c>
      <c r="B4882" t="s">
        <v>793</v>
      </c>
      <c r="C4882" t="s">
        <v>870</v>
      </c>
      <c r="D4882" t="s">
        <v>11</v>
      </c>
      <c r="E4882">
        <v>28</v>
      </c>
      <c r="F4882" s="2">
        <f>DATE(2026,IF(Tabla1[[#This Row],[Mes de Fecha]]="Septiembre",9,10),Tabla1[[#This Row],[Día de Fecha]])</f>
        <v>46293</v>
      </c>
      <c r="G4882">
        <v>1037585001</v>
      </c>
      <c r="H4882" t="s">
        <v>746</v>
      </c>
      <c r="I4882">
        <v>4</v>
      </c>
      <c r="J4882">
        <v>0</v>
      </c>
      <c r="K4882" s="1">
        <v>306554</v>
      </c>
    </row>
    <row r="4883" spans="1:11" x14ac:dyDescent="0.25">
      <c r="A4883" t="s">
        <v>326</v>
      </c>
      <c r="B4883" t="s">
        <v>793</v>
      </c>
      <c r="C4883" t="s">
        <v>870</v>
      </c>
      <c r="D4883" t="s">
        <v>11</v>
      </c>
      <c r="E4883">
        <v>28</v>
      </c>
      <c r="F4883" s="2">
        <f>DATE(2026,IF(Tabla1[[#This Row],[Mes de Fecha]]="Septiembre",9,10),Tabla1[[#This Row],[Día de Fecha]])</f>
        <v>46293</v>
      </c>
      <c r="G4883">
        <v>1039761353</v>
      </c>
      <c r="H4883" t="s">
        <v>759</v>
      </c>
      <c r="I4883">
        <v>12</v>
      </c>
      <c r="J4883">
        <v>0</v>
      </c>
      <c r="K4883" s="1">
        <v>573026</v>
      </c>
    </row>
    <row r="4884" spans="1:11" x14ac:dyDescent="0.25">
      <c r="A4884" t="s">
        <v>326</v>
      </c>
      <c r="B4884" t="s">
        <v>793</v>
      </c>
      <c r="C4884" t="s">
        <v>870</v>
      </c>
      <c r="D4884" t="s">
        <v>11</v>
      </c>
      <c r="E4884">
        <v>29</v>
      </c>
      <c r="F4884" s="2">
        <f>DATE(2026,IF(Tabla1[[#This Row],[Mes de Fecha]]="Septiembre",9,10),Tabla1[[#This Row],[Día de Fecha]])</f>
        <v>46294</v>
      </c>
      <c r="I4884">
        <v>0</v>
      </c>
      <c r="J4884" s="1">
        <v>6934863</v>
      </c>
      <c r="K4884">
        <v>0</v>
      </c>
    </row>
    <row r="4885" spans="1:11" x14ac:dyDescent="0.25">
      <c r="A4885" t="s">
        <v>326</v>
      </c>
      <c r="B4885" t="s">
        <v>793</v>
      </c>
      <c r="C4885" t="s">
        <v>870</v>
      </c>
      <c r="D4885" t="s">
        <v>11</v>
      </c>
      <c r="E4885">
        <v>29</v>
      </c>
      <c r="F4885" s="2">
        <f>DATE(2026,IF(Tabla1[[#This Row],[Mes de Fecha]]="Septiembre",9,10),Tabla1[[#This Row],[Día de Fecha]])</f>
        <v>46294</v>
      </c>
      <c r="G4885">
        <v>1011390630</v>
      </c>
      <c r="H4885" t="s">
        <v>749</v>
      </c>
      <c r="I4885">
        <v>22</v>
      </c>
      <c r="J4885">
        <v>0</v>
      </c>
      <c r="K4885" s="1">
        <v>1068194</v>
      </c>
    </row>
    <row r="4886" spans="1:11" x14ac:dyDescent="0.25">
      <c r="A4886" t="s">
        <v>326</v>
      </c>
      <c r="B4886" t="s">
        <v>793</v>
      </c>
      <c r="C4886" t="s">
        <v>870</v>
      </c>
      <c r="D4886" t="s">
        <v>11</v>
      </c>
      <c r="E4886">
        <v>29</v>
      </c>
      <c r="F4886" s="2">
        <f>DATE(2026,IF(Tabla1[[#This Row],[Mes de Fecha]]="Septiembre",9,10),Tabla1[[#This Row],[Día de Fecha]])</f>
        <v>46294</v>
      </c>
      <c r="G4886">
        <v>1023628602</v>
      </c>
      <c r="H4886" t="s">
        <v>794</v>
      </c>
      <c r="I4886">
        <v>23</v>
      </c>
      <c r="J4886">
        <v>0</v>
      </c>
      <c r="K4886" s="1">
        <v>1295252</v>
      </c>
    </row>
    <row r="4887" spans="1:11" x14ac:dyDescent="0.25">
      <c r="A4887" t="s">
        <v>326</v>
      </c>
      <c r="B4887" t="s">
        <v>793</v>
      </c>
      <c r="C4887" t="s">
        <v>870</v>
      </c>
      <c r="D4887" t="s">
        <v>11</v>
      </c>
      <c r="E4887">
        <v>29</v>
      </c>
      <c r="F4887" s="2">
        <f>DATE(2026,IF(Tabla1[[#This Row],[Mes de Fecha]]="Septiembre",9,10),Tabla1[[#This Row],[Día de Fecha]])</f>
        <v>46294</v>
      </c>
      <c r="G4887">
        <v>1037585001</v>
      </c>
      <c r="H4887" t="s">
        <v>746</v>
      </c>
      <c r="I4887">
        <v>43</v>
      </c>
      <c r="J4887">
        <v>0</v>
      </c>
      <c r="K4887" s="1">
        <v>2523158</v>
      </c>
    </row>
    <row r="4888" spans="1:11" x14ac:dyDescent="0.25">
      <c r="A4888" t="s">
        <v>326</v>
      </c>
      <c r="B4888" t="s">
        <v>793</v>
      </c>
      <c r="C4888" t="s">
        <v>870</v>
      </c>
      <c r="D4888" t="s">
        <v>11</v>
      </c>
      <c r="E4888">
        <v>29</v>
      </c>
      <c r="F4888" s="2">
        <f>DATE(2026,IF(Tabla1[[#This Row],[Mes de Fecha]]="Septiembre",9,10),Tabla1[[#This Row],[Día de Fecha]])</f>
        <v>46294</v>
      </c>
      <c r="G4888">
        <v>1039761353</v>
      </c>
      <c r="H4888" t="s">
        <v>759</v>
      </c>
      <c r="I4888">
        <v>19</v>
      </c>
      <c r="J4888">
        <v>0</v>
      </c>
      <c r="K4888" s="1">
        <v>1268110</v>
      </c>
    </row>
    <row r="4889" spans="1:11" x14ac:dyDescent="0.25">
      <c r="A4889" t="s">
        <v>326</v>
      </c>
      <c r="B4889" t="s">
        <v>793</v>
      </c>
      <c r="C4889" t="s">
        <v>870</v>
      </c>
      <c r="D4889" t="s">
        <v>11</v>
      </c>
      <c r="E4889">
        <v>30</v>
      </c>
      <c r="F4889" s="2">
        <f>DATE(2026,IF(Tabla1[[#This Row],[Mes de Fecha]]="Septiembre",9,10),Tabla1[[#This Row],[Día de Fecha]])</f>
        <v>46295</v>
      </c>
      <c r="I4889">
        <v>0</v>
      </c>
      <c r="J4889" s="1">
        <v>7163834</v>
      </c>
      <c r="K4889">
        <v>0</v>
      </c>
    </row>
    <row r="4890" spans="1:11" x14ac:dyDescent="0.25">
      <c r="A4890" t="s">
        <v>326</v>
      </c>
      <c r="B4890" t="s">
        <v>793</v>
      </c>
      <c r="C4890" t="s">
        <v>870</v>
      </c>
      <c r="D4890" t="s">
        <v>11</v>
      </c>
      <c r="E4890">
        <v>30</v>
      </c>
      <c r="F4890" s="2">
        <f>DATE(2026,IF(Tabla1[[#This Row],[Mes de Fecha]]="Septiembre",9,10),Tabla1[[#This Row],[Día de Fecha]])</f>
        <v>46295</v>
      </c>
      <c r="G4890">
        <v>1011390630</v>
      </c>
      <c r="H4890" t="s">
        <v>749</v>
      </c>
      <c r="I4890">
        <v>22</v>
      </c>
      <c r="J4890">
        <v>0</v>
      </c>
      <c r="K4890" s="1">
        <v>1303615</v>
      </c>
    </row>
    <row r="4891" spans="1:11" x14ac:dyDescent="0.25">
      <c r="A4891" t="s">
        <v>326</v>
      </c>
      <c r="B4891" t="s">
        <v>793</v>
      </c>
      <c r="C4891" t="s">
        <v>870</v>
      </c>
      <c r="D4891" t="s">
        <v>11</v>
      </c>
      <c r="E4891">
        <v>30</v>
      </c>
      <c r="F4891" s="2">
        <f>DATE(2026,IF(Tabla1[[#This Row],[Mes de Fecha]]="Septiembre",9,10),Tabla1[[#This Row],[Día de Fecha]])</f>
        <v>46295</v>
      </c>
      <c r="G4891">
        <v>1023628602</v>
      </c>
      <c r="H4891" t="s">
        <v>794</v>
      </c>
      <c r="I4891">
        <v>29</v>
      </c>
      <c r="J4891">
        <v>0</v>
      </c>
      <c r="K4891" s="1">
        <v>1683615</v>
      </c>
    </row>
    <row r="4892" spans="1:11" x14ac:dyDescent="0.25">
      <c r="A4892" t="s">
        <v>326</v>
      </c>
      <c r="B4892" t="s">
        <v>793</v>
      </c>
      <c r="C4892" t="s">
        <v>870</v>
      </c>
      <c r="D4892" t="s">
        <v>11</v>
      </c>
      <c r="E4892">
        <v>30</v>
      </c>
      <c r="F4892" s="2">
        <f>DATE(2026,IF(Tabla1[[#This Row],[Mes de Fecha]]="Septiembre",9,10),Tabla1[[#This Row],[Día de Fecha]])</f>
        <v>46295</v>
      </c>
      <c r="G4892">
        <v>1037585001</v>
      </c>
      <c r="H4892" t="s">
        <v>746</v>
      </c>
      <c r="I4892">
        <v>34</v>
      </c>
      <c r="J4892">
        <v>0</v>
      </c>
      <c r="K4892" s="1">
        <v>1777903</v>
      </c>
    </row>
    <row r="4893" spans="1:11" x14ac:dyDescent="0.25">
      <c r="A4893" t="s">
        <v>326</v>
      </c>
      <c r="B4893" t="s">
        <v>793</v>
      </c>
      <c r="C4893" t="s">
        <v>870</v>
      </c>
      <c r="D4893" t="s">
        <v>11</v>
      </c>
      <c r="E4893">
        <v>30</v>
      </c>
      <c r="F4893" s="2">
        <f>DATE(2026,IF(Tabla1[[#This Row],[Mes de Fecha]]="Septiembre",9,10),Tabla1[[#This Row],[Día de Fecha]])</f>
        <v>46295</v>
      </c>
      <c r="G4893">
        <v>1039761353</v>
      </c>
      <c r="H4893" t="s">
        <v>759</v>
      </c>
      <c r="I4893">
        <v>23</v>
      </c>
      <c r="J4893">
        <v>0</v>
      </c>
      <c r="K4893" s="1">
        <v>1452775</v>
      </c>
    </row>
    <row r="4894" spans="1:11" x14ac:dyDescent="0.25">
      <c r="A4894" t="s">
        <v>326</v>
      </c>
      <c r="B4894" t="s">
        <v>793</v>
      </c>
      <c r="C4894" t="s">
        <v>870</v>
      </c>
      <c r="D4894" t="s">
        <v>14</v>
      </c>
      <c r="E4894">
        <v>1</v>
      </c>
      <c r="F4894" s="2">
        <f>DATE(2026,IF(Tabla1[[#This Row],[Mes de Fecha]]="Septiembre",9,10),Tabla1[[#This Row],[Día de Fecha]])</f>
        <v>46296</v>
      </c>
      <c r="I4894">
        <v>0</v>
      </c>
      <c r="J4894" s="1">
        <v>9881952</v>
      </c>
      <c r="K4894">
        <v>0</v>
      </c>
    </row>
    <row r="4895" spans="1:11" x14ac:dyDescent="0.25">
      <c r="A4895" t="s">
        <v>326</v>
      </c>
      <c r="B4895" t="s">
        <v>793</v>
      </c>
      <c r="C4895" t="s">
        <v>870</v>
      </c>
      <c r="D4895" t="s">
        <v>14</v>
      </c>
      <c r="E4895">
        <v>1</v>
      </c>
      <c r="F4895" s="2">
        <f>DATE(2026,IF(Tabla1[[#This Row],[Mes de Fecha]]="Septiembre",9,10),Tabla1[[#This Row],[Día de Fecha]])</f>
        <v>46296</v>
      </c>
      <c r="G4895">
        <v>1011390630</v>
      </c>
      <c r="H4895" t="s">
        <v>749</v>
      </c>
      <c r="I4895">
        <v>18</v>
      </c>
      <c r="J4895">
        <v>0</v>
      </c>
      <c r="K4895" s="1">
        <v>814245</v>
      </c>
    </row>
    <row r="4896" spans="1:11" x14ac:dyDescent="0.25">
      <c r="A4896" t="s">
        <v>326</v>
      </c>
      <c r="B4896" t="s">
        <v>793</v>
      </c>
      <c r="C4896" t="s">
        <v>870</v>
      </c>
      <c r="D4896" t="s">
        <v>14</v>
      </c>
      <c r="E4896">
        <v>1</v>
      </c>
      <c r="F4896" s="2">
        <f>DATE(2026,IF(Tabla1[[#This Row],[Mes de Fecha]]="Septiembre",9,10),Tabla1[[#This Row],[Día de Fecha]])</f>
        <v>46296</v>
      </c>
      <c r="G4896">
        <v>1023628602</v>
      </c>
      <c r="H4896" t="s">
        <v>794</v>
      </c>
      <c r="I4896">
        <v>9</v>
      </c>
      <c r="J4896">
        <v>0</v>
      </c>
      <c r="K4896" s="1">
        <v>638278</v>
      </c>
    </row>
    <row r="4897" spans="1:11" x14ac:dyDescent="0.25">
      <c r="A4897" t="s">
        <v>326</v>
      </c>
      <c r="B4897" t="s">
        <v>793</v>
      </c>
      <c r="C4897" t="s">
        <v>870</v>
      </c>
      <c r="D4897" t="s">
        <v>14</v>
      </c>
      <c r="E4897">
        <v>1</v>
      </c>
      <c r="F4897" s="2">
        <f>DATE(2026,IF(Tabla1[[#This Row],[Mes de Fecha]]="Septiembre",9,10),Tabla1[[#This Row],[Día de Fecha]])</f>
        <v>46296</v>
      </c>
      <c r="G4897">
        <v>1037585001</v>
      </c>
      <c r="H4897" t="s">
        <v>746</v>
      </c>
      <c r="I4897">
        <v>26</v>
      </c>
      <c r="J4897">
        <v>0</v>
      </c>
      <c r="K4897" s="1">
        <v>1452690</v>
      </c>
    </row>
    <row r="4898" spans="1:11" x14ac:dyDescent="0.25">
      <c r="A4898" t="s">
        <v>326</v>
      </c>
      <c r="B4898" t="s">
        <v>793</v>
      </c>
      <c r="C4898" t="s">
        <v>870</v>
      </c>
      <c r="D4898" t="s">
        <v>14</v>
      </c>
      <c r="E4898">
        <v>1</v>
      </c>
      <c r="F4898" s="2">
        <f>DATE(2026,IF(Tabla1[[#This Row],[Mes de Fecha]]="Septiembre",9,10),Tabla1[[#This Row],[Día de Fecha]])</f>
        <v>46296</v>
      </c>
      <c r="G4898">
        <v>1039467642</v>
      </c>
      <c r="H4898" t="s">
        <v>796</v>
      </c>
      <c r="I4898">
        <v>-1</v>
      </c>
      <c r="J4898">
        <v>0</v>
      </c>
      <c r="K4898" s="1">
        <v>-79790</v>
      </c>
    </row>
    <row r="4899" spans="1:11" x14ac:dyDescent="0.25">
      <c r="A4899" t="s">
        <v>326</v>
      </c>
      <c r="B4899" t="s">
        <v>793</v>
      </c>
      <c r="C4899" t="s">
        <v>870</v>
      </c>
      <c r="D4899" t="s">
        <v>14</v>
      </c>
      <c r="E4899">
        <v>1</v>
      </c>
      <c r="F4899" s="2">
        <f>DATE(2026,IF(Tabla1[[#This Row],[Mes de Fecha]]="Septiembre",9,10),Tabla1[[#This Row],[Día de Fecha]])</f>
        <v>46296</v>
      </c>
      <c r="G4899">
        <v>1039761353</v>
      </c>
      <c r="H4899" t="s">
        <v>759</v>
      </c>
      <c r="I4899">
        <v>29</v>
      </c>
      <c r="J4899">
        <v>0</v>
      </c>
      <c r="K4899" s="1">
        <v>1624793</v>
      </c>
    </row>
    <row r="4900" spans="1:11" x14ac:dyDescent="0.25">
      <c r="A4900" t="s">
        <v>326</v>
      </c>
      <c r="B4900" t="s">
        <v>793</v>
      </c>
      <c r="C4900" t="s">
        <v>870</v>
      </c>
      <c r="D4900" t="s">
        <v>14</v>
      </c>
      <c r="E4900">
        <v>2</v>
      </c>
      <c r="F4900" s="2">
        <f>DATE(2026,IF(Tabla1[[#This Row],[Mes de Fecha]]="Septiembre",9,10),Tabla1[[#This Row],[Día de Fecha]])</f>
        <v>46297</v>
      </c>
      <c r="I4900">
        <v>0</v>
      </c>
      <c r="J4900" s="1">
        <v>8422408</v>
      </c>
      <c r="K4900">
        <v>0</v>
      </c>
    </row>
    <row r="4901" spans="1:11" x14ac:dyDescent="0.25">
      <c r="A4901" t="s">
        <v>326</v>
      </c>
      <c r="B4901" t="s">
        <v>793</v>
      </c>
      <c r="C4901" t="s">
        <v>870</v>
      </c>
      <c r="D4901" t="s">
        <v>14</v>
      </c>
      <c r="E4901">
        <v>2</v>
      </c>
      <c r="F4901" s="2">
        <f>DATE(2026,IF(Tabla1[[#This Row],[Mes de Fecha]]="Septiembre",9,10),Tabla1[[#This Row],[Día de Fecha]])</f>
        <v>46297</v>
      </c>
      <c r="G4901">
        <v>1011390630</v>
      </c>
      <c r="H4901" t="s">
        <v>749</v>
      </c>
      <c r="I4901">
        <v>12</v>
      </c>
      <c r="J4901">
        <v>0</v>
      </c>
      <c r="K4901" s="1">
        <v>768321</v>
      </c>
    </row>
    <row r="4902" spans="1:11" x14ac:dyDescent="0.25">
      <c r="A4902" t="s">
        <v>326</v>
      </c>
      <c r="B4902" t="s">
        <v>793</v>
      </c>
      <c r="C4902" t="s">
        <v>870</v>
      </c>
      <c r="D4902" t="s">
        <v>14</v>
      </c>
      <c r="E4902">
        <v>2</v>
      </c>
      <c r="F4902" s="2">
        <f>DATE(2026,IF(Tabla1[[#This Row],[Mes de Fecha]]="Septiembre",9,10),Tabla1[[#This Row],[Día de Fecha]])</f>
        <v>46297</v>
      </c>
      <c r="G4902">
        <v>1023628602</v>
      </c>
      <c r="H4902" t="s">
        <v>794</v>
      </c>
      <c r="I4902">
        <v>13</v>
      </c>
      <c r="J4902">
        <v>0</v>
      </c>
      <c r="K4902" s="1">
        <v>806093</v>
      </c>
    </row>
    <row r="4903" spans="1:11" x14ac:dyDescent="0.25">
      <c r="A4903" t="s">
        <v>326</v>
      </c>
      <c r="B4903" t="s">
        <v>793</v>
      </c>
      <c r="C4903" t="s">
        <v>870</v>
      </c>
      <c r="D4903" t="s">
        <v>14</v>
      </c>
      <c r="E4903">
        <v>2</v>
      </c>
      <c r="F4903" s="2">
        <f>DATE(2026,IF(Tabla1[[#This Row],[Mes de Fecha]]="Septiembre",9,10),Tabla1[[#This Row],[Día de Fecha]])</f>
        <v>46297</v>
      </c>
      <c r="G4903">
        <v>1034989462</v>
      </c>
      <c r="H4903" t="s">
        <v>795</v>
      </c>
      <c r="I4903">
        <v>-1</v>
      </c>
      <c r="J4903">
        <v>0</v>
      </c>
      <c r="K4903" s="1">
        <v>-54580</v>
      </c>
    </row>
    <row r="4904" spans="1:11" x14ac:dyDescent="0.25">
      <c r="A4904" t="s">
        <v>326</v>
      </c>
      <c r="B4904" t="s">
        <v>793</v>
      </c>
      <c r="C4904" t="s">
        <v>870</v>
      </c>
      <c r="D4904" t="s">
        <v>14</v>
      </c>
      <c r="E4904">
        <v>2</v>
      </c>
      <c r="F4904" s="2">
        <f>DATE(2026,IF(Tabla1[[#This Row],[Mes de Fecha]]="Septiembre",9,10),Tabla1[[#This Row],[Día de Fecha]])</f>
        <v>46297</v>
      </c>
      <c r="G4904">
        <v>1037585001</v>
      </c>
      <c r="H4904" t="s">
        <v>746</v>
      </c>
      <c r="I4904">
        <v>37</v>
      </c>
      <c r="J4904">
        <v>0</v>
      </c>
      <c r="K4904" s="1">
        <v>2202145</v>
      </c>
    </row>
    <row r="4905" spans="1:11" x14ac:dyDescent="0.25">
      <c r="A4905" t="s">
        <v>326</v>
      </c>
      <c r="B4905" t="s">
        <v>793</v>
      </c>
      <c r="C4905" t="s">
        <v>870</v>
      </c>
      <c r="D4905" t="s">
        <v>14</v>
      </c>
      <c r="E4905">
        <v>2</v>
      </c>
      <c r="F4905" s="2">
        <f>DATE(2026,IF(Tabla1[[#This Row],[Mes de Fecha]]="Septiembre",9,10),Tabla1[[#This Row],[Día de Fecha]])</f>
        <v>46297</v>
      </c>
      <c r="G4905">
        <v>1039761353</v>
      </c>
      <c r="H4905" t="s">
        <v>759</v>
      </c>
      <c r="I4905">
        <v>31</v>
      </c>
      <c r="J4905">
        <v>0</v>
      </c>
      <c r="K4905" s="1">
        <v>1923025</v>
      </c>
    </row>
    <row r="4906" spans="1:11" x14ac:dyDescent="0.25">
      <c r="A4906" t="s">
        <v>326</v>
      </c>
      <c r="B4906" t="s">
        <v>793</v>
      </c>
      <c r="C4906" t="s">
        <v>870</v>
      </c>
      <c r="D4906" t="s">
        <v>14</v>
      </c>
      <c r="E4906">
        <v>3</v>
      </c>
      <c r="F4906" s="2">
        <f>DATE(2026,IF(Tabla1[[#This Row],[Mes de Fecha]]="Septiembre",9,10),Tabla1[[#This Row],[Día de Fecha]])</f>
        <v>46298</v>
      </c>
      <c r="I4906">
        <v>0</v>
      </c>
      <c r="J4906" s="1">
        <v>15558077</v>
      </c>
      <c r="K4906">
        <v>0</v>
      </c>
    </row>
    <row r="4907" spans="1:11" x14ac:dyDescent="0.25">
      <c r="A4907" t="s">
        <v>326</v>
      </c>
      <c r="B4907" t="s">
        <v>793</v>
      </c>
      <c r="C4907" t="s">
        <v>870</v>
      </c>
      <c r="D4907" t="s">
        <v>14</v>
      </c>
      <c r="E4907">
        <v>3</v>
      </c>
      <c r="F4907" s="2">
        <f>DATE(2026,IF(Tabla1[[#This Row],[Mes de Fecha]]="Septiembre",9,10),Tabla1[[#This Row],[Día de Fecha]])</f>
        <v>46298</v>
      </c>
      <c r="G4907">
        <v>1011390630</v>
      </c>
      <c r="H4907" t="s">
        <v>749</v>
      </c>
      <c r="I4907">
        <v>31</v>
      </c>
      <c r="J4907">
        <v>0</v>
      </c>
      <c r="K4907" s="1">
        <v>1681826</v>
      </c>
    </row>
    <row r="4908" spans="1:11" x14ac:dyDescent="0.25">
      <c r="A4908" t="s">
        <v>326</v>
      </c>
      <c r="B4908" t="s">
        <v>793</v>
      </c>
      <c r="C4908" t="s">
        <v>870</v>
      </c>
      <c r="D4908" t="s">
        <v>14</v>
      </c>
      <c r="E4908">
        <v>3</v>
      </c>
      <c r="F4908" s="2">
        <f>DATE(2026,IF(Tabla1[[#This Row],[Mes de Fecha]]="Septiembre",9,10),Tabla1[[#This Row],[Día de Fecha]])</f>
        <v>46298</v>
      </c>
      <c r="G4908">
        <v>1023628602</v>
      </c>
      <c r="H4908" t="s">
        <v>794</v>
      </c>
      <c r="I4908">
        <v>41</v>
      </c>
      <c r="J4908">
        <v>0</v>
      </c>
      <c r="K4908" s="1">
        <v>2505758</v>
      </c>
    </row>
    <row r="4909" spans="1:11" x14ac:dyDescent="0.25">
      <c r="A4909" t="s">
        <v>326</v>
      </c>
      <c r="B4909" t="s">
        <v>793</v>
      </c>
      <c r="C4909" t="s">
        <v>870</v>
      </c>
      <c r="D4909" t="s">
        <v>14</v>
      </c>
      <c r="E4909">
        <v>3</v>
      </c>
      <c r="F4909" s="2">
        <f>DATE(2026,IF(Tabla1[[#This Row],[Mes de Fecha]]="Septiembre",9,10),Tabla1[[#This Row],[Día de Fecha]])</f>
        <v>46298</v>
      </c>
      <c r="G4909">
        <v>1037585001</v>
      </c>
      <c r="H4909" t="s">
        <v>746</v>
      </c>
      <c r="I4909">
        <v>88</v>
      </c>
      <c r="J4909">
        <v>0</v>
      </c>
      <c r="K4909" s="1">
        <v>4431733</v>
      </c>
    </row>
    <row r="4910" spans="1:11" x14ac:dyDescent="0.25">
      <c r="A4910" t="s">
        <v>326</v>
      </c>
      <c r="B4910" t="s">
        <v>793</v>
      </c>
      <c r="C4910" t="s">
        <v>870</v>
      </c>
      <c r="D4910" t="s">
        <v>14</v>
      </c>
      <c r="E4910">
        <v>3</v>
      </c>
      <c r="F4910" s="2">
        <f>DATE(2026,IF(Tabla1[[#This Row],[Mes de Fecha]]="Septiembre",9,10),Tabla1[[#This Row],[Día de Fecha]])</f>
        <v>46298</v>
      </c>
      <c r="G4910">
        <v>1039761353</v>
      </c>
      <c r="H4910" t="s">
        <v>759</v>
      </c>
      <c r="I4910">
        <v>55</v>
      </c>
      <c r="J4910">
        <v>0</v>
      </c>
      <c r="K4910" s="1">
        <v>3081682</v>
      </c>
    </row>
    <row r="4911" spans="1:11" x14ac:dyDescent="0.25">
      <c r="A4911" t="s">
        <v>326</v>
      </c>
      <c r="B4911" t="s">
        <v>793</v>
      </c>
      <c r="C4911" t="s">
        <v>870</v>
      </c>
      <c r="D4911" t="s">
        <v>14</v>
      </c>
      <c r="E4911">
        <v>4</v>
      </c>
      <c r="F4911" s="2">
        <f>DATE(2026,IF(Tabla1[[#This Row],[Mes de Fecha]]="Septiembre",9,10),Tabla1[[#This Row],[Día de Fecha]])</f>
        <v>46299</v>
      </c>
      <c r="I4911">
        <v>0</v>
      </c>
      <c r="J4911" s="1">
        <v>11265090</v>
      </c>
      <c r="K4911">
        <v>0</v>
      </c>
    </row>
    <row r="4912" spans="1:11" x14ac:dyDescent="0.25">
      <c r="A4912" t="s">
        <v>326</v>
      </c>
      <c r="B4912" t="s">
        <v>793</v>
      </c>
      <c r="C4912" t="s">
        <v>870</v>
      </c>
      <c r="D4912" t="s">
        <v>14</v>
      </c>
      <c r="E4912">
        <v>4</v>
      </c>
      <c r="F4912" s="2">
        <f>DATE(2026,IF(Tabla1[[#This Row],[Mes de Fecha]]="Septiembre",9,10),Tabla1[[#This Row],[Día de Fecha]])</f>
        <v>46299</v>
      </c>
      <c r="G4912">
        <v>1011390630</v>
      </c>
      <c r="H4912" t="s">
        <v>749</v>
      </c>
      <c r="I4912">
        <v>29</v>
      </c>
      <c r="J4912">
        <v>0</v>
      </c>
      <c r="K4912" s="1">
        <v>1969370</v>
      </c>
    </row>
    <row r="4913" spans="1:11" x14ac:dyDescent="0.25">
      <c r="A4913" t="s">
        <v>326</v>
      </c>
      <c r="B4913" t="s">
        <v>793</v>
      </c>
      <c r="C4913" t="s">
        <v>870</v>
      </c>
      <c r="D4913" t="s">
        <v>14</v>
      </c>
      <c r="E4913">
        <v>4</v>
      </c>
      <c r="F4913" s="2">
        <f>DATE(2026,IF(Tabla1[[#This Row],[Mes de Fecha]]="Septiembre",9,10),Tabla1[[#This Row],[Día de Fecha]])</f>
        <v>46299</v>
      </c>
      <c r="G4913">
        <v>1023628602</v>
      </c>
      <c r="H4913" t="s">
        <v>794</v>
      </c>
      <c r="I4913">
        <v>43</v>
      </c>
      <c r="J4913">
        <v>0</v>
      </c>
      <c r="K4913" s="1">
        <v>2939288</v>
      </c>
    </row>
    <row r="4914" spans="1:11" x14ac:dyDescent="0.25">
      <c r="A4914" t="s">
        <v>326</v>
      </c>
      <c r="B4914" t="s">
        <v>793</v>
      </c>
      <c r="C4914" t="s">
        <v>870</v>
      </c>
      <c r="D4914" t="s">
        <v>14</v>
      </c>
      <c r="E4914">
        <v>4</v>
      </c>
      <c r="F4914" s="2">
        <f>DATE(2026,IF(Tabla1[[#This Row],[Mes de Fecha]]="Septiembre",9,10),Tabla1[[#This Row],[Día de Fecha]])</f>
        <v>46299</v>
      </c>
      <c r="G4914">
        <v>1037585001</v>
      </c>
      <c r="H4914" t="s">
        <v>746</v>
      </c>
      <c r="I4914">
        <v>51</v>
      </c>
      <c r="J4914">
        <v>0</v>
      </c>
      <c r="K4914" s="1">
        <v>2848574</v>
      </c>
    </row>
    <row r="4915" spans="1:11" x14ac:dyDescent="0.25">
      <c r="A4915" t="s">
        <v>326</v>
      </c>
      <c r="B4915" t="s">
        <v>793</v>
      </c>
      <c r="C4915" t="s">
        <v>870</v>
      </c>
      <c r="D4915" t="s">
        <v>14</v>
      </c>
      <c r="E4915">
        <v>4</v>
      </c>
      <c r="F4915" s="2">
        <f>DATE(2026,IF(Tabla1[[#This Row],[Mes de Fecha]]="Septiembre",9,10),Tabla1[[#This Row],[Día de Fecha]])</f>
        <v>46299</v>
      </c>
      <c r="G4915">
        <v>1039761353</v>
      </c>
      <c r="H4915" t="s">
        <v>759</v>
      </c>
      <c r="I4915">
        <v>32</v>
      </c>
      <c r="J4915">
        <v>0</v>
      </c>
      <c r="K4915" s="1">
        <v>1977651</v>
      </c>
    </row>
    <row r="4916" spans="1:11" x14ac:dyDescent="0.25">
      <c r="A4916" t="s">
        <v>326</v>
      </c>
      <c r="B4916" t="s">
        <v>793</v>
      </c>
      <c r="C4916" t="s">
        <v>870</v>
      </c>
      <c r="D4916" t="s">
        <v>14</v>
      </c>
      <c r="E4916">
        <v>5</v>
      </c>
      <c r="F4916" s="2">
        <f>DATE(2026,IF(Tabla1[[#This Row],[Mes de Fecha]]="Septiembre",9,10),Tabla1[[#This Row],[Día de Fecha]])</f>
        <v>46300</v>
      </c>
      <c r="I4916">
        <v>0</v>
      </c>
      <c r="J4916" s="1">
        <v>7332208</v>
      </c>
      <c r="K4916">
        <v>0</v>
      </c>
    </row>
    <row r="4917" spans="1:11" x14ac:dyDescent="0.25">
      <c r="A4917" t="s">
        <v>326</v>
      </c>
      <c r="B4917" t="s">
        <v>793</v>
      </c>
      <c r="C4917" t="s">
        <v>870</v>
      </c>
      <c r="D4917" t="s">
        <v>14</v>
      </c>
      <c r="E4917">
        <v>5</v>
      </c>
      <c r="F4917" s="2">
        <f>DATE(2026,IF(Tabla1[[#This Row],[Mes de Fecha]]="Septiembre",9,10),Tabla1[[#This Row],[Día de Fecha]])</f>
        <v>46300</v>
      </c>
      <c r="G4917">
        <v>1011390630</v>
      </c>
      <c r="H4917" t="s">
        <v>749</v>
      </c>
      <c r="I4917">
        <v>25</v>
      </c>
      <c r="J4917">
        <v>0</v>
      </c>
      <c r="K4917" s="1">
        <v>1591344</v>
      </c>
    </row>
    <row r="4918" spans="1:11" x14ac:dyDescent="0.25">
      <c r="A4918" t="s">
        <v>326</v>
      </c>
      <c r="B4918" t="s">
        <v>793</v>
      </c>
      <c r="C4918" t="s">
        <v>870</v>
      </c>
      <c r="D4918" t="s">
        <v>14</v>
      </c>
      <c r="E4918">
        <v>5</v>
      </c>
      <c r="F4918" s="2">
        <f>DATE(2026,IF(Tabla1[[#This Row],[Mes de Fecha]]="Septiembre",9,10),Tabla1[[#This Row],[Día de Fecha]])</f>
        <v>46300</v>
      </c>
      <c r="G4918">
        <v>1023628602</v>
      </c>
      <c r="H4918" t="s">
        <v>794</v>
      </c>
      <c r="I4918">
        <v>30</v>
      </c>
      <c r="J4918">
        <v>0</v>
      </c>
      <c r="K4918" s="1">
        <v>1792608</v>
      </c>
    </row>
    <row r="4919" spans="1:11" x14ac:dyDescent="0.25">
      <c r="A4919" t="s">
        <v>326</v>
      </c>
      <c r="B4919" t="s">
        <v>793</v>
      </c>
      <c r="C4919" t="s">
        <v>870</v>
      </c>
      <c r="D4919" t="s">
        <v>14</v>
      </c>
      <c r="E4919">
        <v>5</v>
      </c>
      <c r="F4919" s="2">
        <f>DATE(2026,IF(Tabla1[[#This Row],[Mes de Fecha]]="Septiembre",9,10),Tabla1[[#This Row],[Día de Fecha]])</f>
        <v>46300</v>
      </c>
      <c r="G4919">
        <v>1037585001</v>
      </c>
      <c r="H4919" t="s">
        <v>746</v>
      </c>
      <c r="I4919">
        <v>36</v>
      </c>
      <c r="J4919">
        <v>0</v>
      </c>
      <c r="K4919" s="1">
        <v>2737817</v>
      </c>
    </row>
    <row r="4920" spans="1:11" x14ac:dyDescent="0.25">
      <c r="A4920" t="s">
        <v>326</v>
      </c>
      <c r="B4920" t="s">
        <v>793</v>
      </c>
      <c r="C4920" t="s">
        <v>870</v>
      </c>
      <c r="D4920" t="s">
        <v>14</v>
      </c>
      <c r="E4920">
        <v>6</v>
      </c>
      <c r="F4920" s="2">
        <f>DATE(2026,IF(Tabla1[[#This Row],[Mes de Fecha]]="Septiembre",9,10),Tabla1[[#This Row],[Día de Fecha]])</f>
        <v>46301</v>
      </c>
      <c r="I4920">
        <v>0</v>
      </c>
      <c r="J4920" s="1">
        <v>3027471</v>
      </c>
      <c r="K4920">
        <v>0</v>
      </c>
    </row>
    <row r="4921" spans="1:11" x14ac:dyDescent="0.25">
      <c r="A4921" t="s">
        <v>326</v>
      </c>
      <c r="B4921" t="s">
        <v>793</v>
      </c>
      <c r="C4921" t="s">
        <v>870</v>
      </c>
      <c r="D4921" t="s">
        <v>14</v>
      </c>
      <c r="E4921">
        <v>6</v>
      </c>
      <c r="F4921" s="2">
        <f>DATE(2026,IF(Tabla1[[#This Row],[Mes de Fecha]]="Septiembre",9,10),Tabla1[[#This Row],[Día de Fecha]])</f>
        <v>46301</v>
      </c>
      <c r="G4921">
        <v>1011390630</v>
      </c>
      <c r="H4921" t="s">
        <v>749</v>
      </c>
      <c r="I4921">
        <v>16</v>
      </c>
      <c r="J4921">
        <v>0</v>
      </c>
      <c r="K4921" s="1">
        <v>688109</v>
      </c>
    </row>
    <row r="4922" spans="1:11" x14ac:dyDescent="0.25">
      <c r="A4922" t="s">
        <v>326</v>
      </c>
      <c r="B4922" t="s">
        <v>793</v>
      </c>
      <c r="C4922" t="s">
        <v>870</v>
      </c>
      <c r="D4922" t="s">
        <v>14</v>
      </c>
      <c r="E4922">
        <v>6</v>
      </c>
      <c r="F4922" s="2">
        <f>DATE(2026,IF(Tabla1[[#This Row],[Mes de Fecha]]="Septiembre",9,10),Tabla1[[#This Row],[Día de Fecha]])</f>
        <v>46301</v>
      </c>
      <c r="G4922">
        <v>1023628602</v>
      </c>
      <c r="H4922" t="s">
        <v>794</v>
      </c>
      <c r="I4922">
        <v>18</v>
      </c>
      <c r="J4922">
        <v>0</v>
      </c>
      <c r="K4922" s="1">
        <v>1221764</v>
      </c>
    </row>
    <row r="4923" spans="1:11" x14ac:dyDescent="0.25">
      <c r="A4923" t="s">
        <v>326</v>
      </c>
      <c r="B4923" t="s">
        <v>793</v>
      </c>
      <c r="C4923" t="s">
        <v>870</v>
      </c>
      <c r="D4923" t="s">
        <v>14</v>
      </c>
      <c r="E4923">
        <v>6</v>
      </c>
      <c r="F4923" s="2">
        <f>DATE(2026,IF(Tabla1[[#This Row],[Mes de Fecha]]="Septiembre",9,10),Tabla1[[#This Row],[Día de Fecha]])</f>
        <v>46301</v>
      </c>
      <c r="G4923">
        <v>1039761353</v>
      </c>
      <c r="H4923" t="s">
        <v>759</v>
      </c>
      <c r="I4923">
        <v>31</v>
      </c>
      <c r="J4923">
        <v>0</v>
      </c>
      <c r="K4923" s="1">
        <v>1444034</v>
      </c>
    </row>
    <row r="4924" spans="1:11" x14ac:dyDescent="0.25">
      <c r="A4924" t="s">
        <v>326</v>
      </c>
      <c r="B4924" t="s">
        <v>793</v>
      </c>
      <c r="C4924" t="s">
        <v>870</v>
      </c>
      <c r="D4924" t="s">
        <v>14</v>
      </c>
      <c r="E4924">
        <v>7</v>
      </c>
      <c r="F4924" s="2">
        <f>DATE(2026,IF(Tabla1[[#This Row],[Mes de Fecha]]="Septiembre",9,10),Tabla1[[#This Row],[Día de Fecha]])</f>
        <v>46302</v>
      </c>
      <c r="I4924">
        <v>0</v>
      </c>
      <c r="J4924" s="1">
        <v>2995680</v>
      </c>
      <c r="K4924">
        <v>0</v>
      </c>
    </row>
    <row r="4925" spans="1:11" x14ac:dyDescent="0.25">
      <c r="A4925" t="s">
        <v>326</v>
      </c>
      <c r="B4925" t="s">
        <v>793</v>
      </c>
      <c r="C4925" t="s">
        <v>870</v>
      </c>
      <c r="D4925" t="s">
        <v>14</v>
      </c>
      <c r="E4925">
        <v>7</v>
      </c>
      <c r="F4925" s="2">
        <f>DATE(2026,IF(Tabla1[[#This Row],[Mes de Fecha]]="Septiembre",9,10),Tabla1[[#This Row],[Día de Fecha]])</f>
        <v>46302</v>
      </c>
      <c r="G4925">
        <v>1011390630</v>
      </c>
      <c r="H4925" t="s">
        <v>749</v>
      </c>
      <c r="I4925">
        <v>1</v>
      </c>
      <c r="J4925">
        <v>0</v>
      </c>
      <c r="K4925" s="1">
        <v>117605</v>
      </c>
    </row>
    <row r="4926" spans="1:11" x14ac:dyDescent="0.25">
      <c r="A4926" t="s">
        <v>326</v>
      </c>
      <c r="B4926" t="s">
        <v>793</v>
      </c>
      <c r="C4926" t="s">
        <v>870</v>
      </c>
      <c r="D4926" t="s">
        <v>14</v>
      </c>
      <c r="E4926">
        <v>7</v>
      </c>
      <c r="F4926" s="2">
        <f>DATE(2026,IF(Tabla1[[#This Row],[Mes de Fecha]]="Septiembre",9,10),Tabla1[[#This Row],[Día de Fecha]])</f>
        <v>46302</v>
      </c>
      <c r="G4926">
        <v>1023628602</v>
      </c>
      <c r="H4926" t="s">
        <v>794</v>
      </c>
      <c r="I4926">
        <v>2</v>
      </c>
      <c r="J4926">
        <v>0</v>
      </c>
      <c r="K4926" s="1">
        <v>155378</v>
      </c>
    </row>
    <row r="4927" spans="1:11" x14ac:dyDescent="0.25">
      <c r="A4927" t="s">
        <v>326</v>
      </c>
      <c r="B4927" t="s">
        <v>793</v>
      </c>
      <c r="C4927" t="s">
        <v>870</v>
      </c>
      <c r="D4927" t="s">
        <v>14</v>
      </c>
      <c r="E4927">
        <v>7</v>
      </c>
      <c r="F4927" s="2">
        <f>DATE(2026,IF(Tabla1[[#This Row],[Mes de Fecha]]="Septiembre",9,10),Tabla1[[#This Row],[Día de Fecha]])</f>
        <v>46302</v>
      </c>
      <c r="G4927">
        <v>1037585001</v>
      </c>
      <c r="H4927" t="s">
        <v>746</v>
      </c>
      <c r="I4927">
        <v>25</v>
      </c>
      <c r="J4927">
        <v>0</v>
      </c>
      <c r="K4927" s="1">
        <v>1559791</v>
      </c>
    </row>
    <row r="4928" spans="1:11" x14ac:dyDescent="0.25">
      <c r="A4928" t="s">
        <v>326</v>
      </c>
      <c r="B4928" t="s">
        <v>793</v>
      </c>
      <c r="C4928" t="s">
        <v>870</v>
      </c>
      <c r="D4928" t="s">
        <v>14</v>
      </c>
      <c r="E4928">
        <v>7</v>
      </c>
      <c r="F4928" s="2">
        <f>DATE(2026,IF(Tabla1[[#This Row],[Mes de Fecha]]="Septiembre",9,10),Tabla1[[#This Row],[Día de Fecha]])</f>
        <v>46302</v>
      </c>
      <c r="G4928">
        <v>1039761353</v>
      </c>
      <c r="H4928" t="s">
        <v>759</v>
      </c>
      <c r="I4928">
        <v>20</v>
      </c>
      <c r="J4928">
        <v>0</v>
      </c>
      <c r="K4928" s="1">
        <v>1205003</v>
      </c>
    </row>
    <row r="4929" spans="1:11" x14ac:dyDescent="0.25">
      <c r="A4929" t="s">
        <v>326</v>
      </c>
      <c r="B4929" t="s">
        <v>807</v>
      </c>
      <c r="C4929" t="s">
        <v>870</v>
      </c>
      <c r="D4929" t="s">
        <v>11</v>
      </c>
      <c r="E4929">
        <v>23</v>
      </c>
      <c r="F4929" s="2">
        <f>DATE(2026,IF(Tabla1[[#This Row],[Mes de Fecha]]="Septiembre",9,10),Tabla1[[#This Row],[Día de Fecha]])</f>
        <v>46288</v>
      </c>
      <c r="I4929">
        <v>0</v>
      </c>
      <c r="J4929" s="1">
        <v>10749229</v>
      </c>
      <c r="K4929">
        <v>0</v>
      </c>
    </row>
    <row r="4930" spans="1:11" x14ac:dyDescent="0.25">
      <c r="A4930" t="s">
        <v>326</v>
      </c>
      <c r="B4930" t="s">
        <v>807</v>
      </c>
      <c r="C4930" t="s">
        <v>870</v>
      </c>
      <c r="D4930" t="s">
        <v>11</v>
      </c>
      <c r="E4930">
        <v>23</v>
      </c>
      <c r="F4930" s="2">
        <f>DATE(2026,IF(Tabla1[[#This Row],[Mes de Fecha]]="Septiembre",9,10),Tabla1[[#This Row],[Día de Fecha]])</f>
        <v>46288</v>
      </c>
      <c r="G4930">
        <v>9432076</v>
      </c>
      <c r="H4930" t="s">
        <v>808</v>
      </c>
      <c r="I4930">
        <v>26</v>
      </c>
      <c r="J4930">
        <v>0</v>
      </c>
      <c r="K4930" s="1">
        <v>1385421</v>
      </c>
    </row>
    <row r="4931" spans="1:11" x14ac:dyDescent="0.25">
      <c r="A4931" t="s">
        <v>326</v>
      </c>
      <c r="B4931" t="s">
        <v>807</v>
      </c>
      <c r="C4931" t="s">
        <v>870</v>
      </c>
      <c r="D4931" t="s">
        <v>11</v>
      </c>
      <c r="E4931">
        <v>23</v>
      </c>
      <c r="F4931" s="2">
        <f>DATE(2026,IF(Tabla1[[#This Row],[Mes de Fecha]]="Septiembre",9,10),Tabla1[[#This Row],[Día de Fecha]])</f>
        <v>46288</v>
      </c>
      <c r="G4931">
        <v>1113647023</v>
      </c>
      <c r="H4931" t="s">
        <v>671</v>
      </c>
      <c r="I4931">
        <v>92</v>
      </c>
      <c r="J4931">
        <v>0</v>
      </c>
      <c r="K4931" s="1">
        <v>5590629</v>
      </c>
    </row>
    <row r="4932" spans="1:11" x14ac:dyDescent="0.25">
      <c r="A4932" t="s">
        <v>326</v>
      </c>
      <c r="B4932" t="s">
        <v>807</v>
      </c>
      <c r="C4932" t="s">
        <v>870</v>
      </c>
      <c r="D4932" t="s">
        <v>11</v>
      </c>
      <c r="E4932">
        <v>23</v>
      </c>
      <c r="F4932" s="2">
        <f>DATE(2026,IF(Tabla1[[#This Row],[Mes de Fecha]]="Septiembre",9,10),Tabla1[[#This Row],[Día de Fecha]])</f>
        <v>46288</v>
      </c>
      <c r="G4932">
        <v>1114818097</v>
      </c>
      <c r="H4932" t="s">
        <v>809</v>
      </c>
      <c r="I4932">
        <v>33</v>
      </c>
      <c r="J4932">
        <v>0</v>
      </c>
      <c r="K4932" s="1">
        <v>1830464</v>
      </c>
    </row>
    <row r="4933" spans="1:11" x14ac:dyDescent="0.25">
      <c r="A4933" t="s">
        <v>326</v>
      </c>
      <c r="B4933" t="s">
        <v>807</v>
      </c>
      <c r="C4933" t="s">
        <v>870</v>
      </c>
      <c r="D4933" t="s">
        <v>11</v>
      </c>
      <c r="E4933">
        <v>23</v>
      </c>
      <c r="F4933" s="2">
        <f>DATE(2026,IF(Tabla1[[#This Row],[Mes de Fecha]]="Septiembre",9,10),Tabla1[[#This Row],[Día de Fecha]])</f>
        <v>46288</v>
      </c>
      <c r="G4933">
        <v>1115918711</v>
      </c>
      <c r="H4933" t="s">
        <v>672</v>
      </c>
      <c r="I4933">
        <v>101</v>
      </c>
      <c r="J4933">
        <v>0</v>
      </c>
      <c r="K4933" s="1">
        <v>5201558</v>
      </c>
    </row>
    <row r="4934" spans="1:11" x14ac:dyDescent="0.25">
      <c r="A4934" t="s">
        <v>326</v>
      </c>
      <c r="B4934" t="s">
        <v>807</v>
      </c>
      <c r="C4934" t="s">
        <v>870</v>
      </c>
      <c r="D4934" t="s">
        <v>11</v>
      </c>
      <c r="E4934">
        <v>23</v>
      </c>
      <c r="F4934" s="2">
        <f>DATE(2026,IF(Tabla1[[#This Row],[Mes de Fecha]]="Septiembre",9,10),Tabla1[[#This Row],[Día de Fecha]])</f>
        <v>46288</v>
      </c>
      <c r="G4934">
        <v>1118575599</v>
      </c>
      <c r="H4934" t="s">
        <v>670</v>
      </c>
      <c r="I4934">
        <v>-1</v>
      </c>
      <c r="J4934">
        <v>0</v>
      </c>
      <c r="K4934" s="1">
        <v>-62941</v>
      </c>
    </row>
    <row r="4935" spans="1:11" x14ac:dyDescent="0.25">
      <c r="A4935" t="s">
        <v>326</v>
      </c>
      <c r="B4935" t="s">
        <v>807</v>
      </c>
      <c r="C4935" t="s">
        <v>870</v>
      </c>
      <c r="D4935" t="s">
        <v>11</v>
      </c>
      <c r="E4935">
        <v>24</v>
      </c>
      <c r="F4935" s="2">
        <f>DATE(2026,IF(Tabla1[[#This Row],[Mes de Fecha]]="Septiembre",9,10),Tabla1[[#This Row],[Día de Fecha]])</f>
        <v>46289</v>
      </c>
      <c r="I4935">
        <v>0</v>
      </c>
      <c r="J4935" s="1">
        <v>16420655</v>
      </c>
      <c r="K4935">
        <v>0</v>
      </c>
    </row>
    <row r="4936" spans="1:11" x14ac:dyDescent="0.25">
      <c r="A4936" t="s">
        <v>326</v>
      </c>
      <c r="B4936" t="s">
        <v>807</v>
      </c>
      <c r="C4936" t="s">
        <v>870</v>
      </c>
      <c r="D4936" t="s">
        <v>11</v>
      </c>
      <c r="E4936">
        <v>24</v>
      </c>
      <c r="F4936" s="2">
        <f>DATE(2026,IF(Tabla1[[#This Row],[Mes de Fecha]]="Septiembre",9,10),Tabla1[[#This Row],[Día de Fecha]])</f>
        <v>46289</v>
      </c>
      <c r="G4936">
        <v>1020794973</v>
      </c>
      <c r="H4936" t="s">
        <v>668</v>
      </c>
      <c r="I4936">
        <v>105</v>
      </c>
      <c r="J4936">
        <v>0</v>
      </c>
      <c r="K4936" s="1">
        <v>5871517</v>
      </c>
    </row>
    <row r="4937" spans="1:11" x14ac:dyDescent="0.25">
      <c r="A4937" t="s">
        <v>326</v>
      </c>
      <c r="B4937" t="s">
        <v>807</v>
      </c>
      <c r="C4937" t="s">
        <v>870</v>
      </c>
      <c r="D4937" t="s">
        <v>11</v>
      </c>
      <c r="E4937">
        <v>24</v>
      </c>
      <c r="F4937" s="2">
        <f>DATE(2026,IF(Tabla1[[#This Row],[Mes de Fecha]]="Septiembre",9,10),Tabla1[[#This Row],[Día de Fecha]])</f>
        <v>46289</v>
      </c>
      <c r="G4937">
        <v>1113647023</v>
      </c>
      <c r="H4937" t="s">
        <v>671</v>
      </c>
      <c r="I4937">
        <v>93</v>
      </c>
      <c r="J4937">
        <v>0</v>
      </c>
      <c r="K4937" s="1">
        <v>5477061</v>
      </c>
    </row>
    <row r="4938" spans="1:11" x14ac:dyDescent="0.25">
      <c r="A4938" t="s">
        <v>326</v>
      </c>
      <c r="B4938" t="s">
        <v>807</v>
      </c>
      <c r="C4938" t="s">
        <v>870</v>
      </c>
      <c r="D4938" t="s">
        <v>11</v>
      </c>
      <c r="E4938">
        <v>24</v>
      </c>
      <c r="F4938" s="2">
        <f>DATE(2026,IF(Tabla1[[#This Row],[Mes de Fecha]]="Septiembre",9,10),Tabla1[[#This Row],[Día de Fecha]])</f>
        <v>46289</v>
      </c>
      <c r="G4938">
        <v>1114818097</v>
      </c>
      <c r="H4938" t="s">
        <v>809</v>
      </c>
      <c r="I4938">
        <v>27</v>
      </c>
      <c r="J4938">
        <v>0</v>
      </c>
      <c r="K4938" s="1">
        <v>1515675</v>
      </c>
    </row>
    <row r="4939" spans="1:11" x14ac:dyDescent="0.25">
      <c r="A4939" t="s">
        <v>326</v>
      </c>
      <c r="B4939" t="s">
        <v>807</v>
      </c>
      <c r="C4939" t="s">
        <v>870</v>
      </c>
      <c r="D4939" t="s">
        <v>11</v>
      </c>
      <c r="E4939">
        <v>24</v>
      </c>
      <c r="F4939" s="2">
        <f>DATE(2026,IF(Tabla1[[#This Row],[Mes de Fecha]]="Septiembre",9,10),Tabla1[[#This Row],[Día de Fecha]])</f>
        <v>46289</v>
      </c>
      <c r="G4939">
        <v>1115918711</v>
      </c>
      <c r="H4939" t="s">
        <v>672</v>
      </c>
      <c r="I4939">
        <v>97</v>
      </c>
      <c r="J4939">
        <v>0</v>
      </c>
      <c r="K4939" s="1">
        <v>5890719</v>
      </c>
    </row>
    <row r="4940" spans="1:11" x14ac:dyDescent="0.25">
      <c r="A4940" t="s">
        <v>326</v>
      </c>
      <c r="B4940" t="s">
        <v>807</v>
      </c>
      <c r="C4940" t="s">
        <v>870</v>
      </c>
      <c r="D4940" t="s">
        <v>11</v>
      </c>
      <c r="E4940">
        <v>24</v>
      </c>
      <c r="F4940" s="2">
        <f>DATE(2026,IF(Tabla1[[#This Row],[Mes de Fecha]]="Septiembre",9,10),Tabla1[[#This Row],[Día de Fecha]])</f>
        <v>46289</v>
      </c>
      <c r="G4940">
        <v>1118572264</v>
      </c>
      <c r="H4940" t="s">
        <v>810</v>
      </c>
      <c r="I4940">
        <v>43</v>
      </c>
      <c r="J4940">
        <v>0</v>
      </c>
      <c r="K4940" s="1">
        <v>2092733</v>
      </c>
    </row>
    <row r="4941" spans="1:11" x14ac:dyDescent="0.25">
      <c r="A4941" t="s">
        <v>326</v>
      </c>
      <c r="B4941" t="s">
        <v>807</v>
      </c>
      <c r="C4941" t="s">
        <v>870</v>
      </c>
      <c r="D4941" t="s">
        <v>11</v>
      </c>
      <c r="E4941">
        <v>25</v>
      </c>
      <c r="F4941" s="2">
        <f>DATE(2026,IF(Tabla1[[#This Row],[Mes de Fecha]]="Septiembre",9,10),Tabla1[[#This Row],[Día de Fecha]])</f>
        <v>46290</v>
      </c>
      <c r="I4941">
        <v>0</v>
      </c>
      <c r="J4941" s="1">
        <v>16384304</v>
      </c>
      <c r="K4941">
        <v>0</v>
      </c>
    </row>
    <row r="4942" spans="1:11" x14ac:dyDescent="0.25">
      <c r="A4942" t="s">
        <v>326</v>
      </c>
      <c r="B4942" t="s">
        <v>807</v>
      </c>
      <c r="C4942" t="s">
        <v>870</v>
      </c>
      <c r="D4942" t="s">
        <v>11</v>
      </c>
      <c r="E4942">
        <v>25</v>
      </c>
      <c r="F4942" s="2">
        <f>DATE(2026,IF(Tabla1[[#This Row],[Mes de Fecha]]="Septiembre",9,10),Tabla1[[#This Row],[Día de Fecha]])</f>
        <v>46290</v>
      </c>
      <c r="G4942">
        <v>9432076</v>
      </c>
      <c r="H4942" t="s">
        <v>808</v>
      </c>
      <c r="I4942">
        <v>44</v>
      </c>
      <c r="J4942">
        <v>0</v>
      </c>
      <c r="K4942" s="1">
        <v>2470759</v>
      </c>
    </row>
    <row r="4943" spans="1:11" x14ac:dyDescent="0.25">
      <c r="A4943" t="s">
        <v>326</v>
      </c>
      <c r="B4943" t="s">
        <v>807</v>
      </c>
      <c r="C4943" t="s">
        <v>870</v>
      </c>
      <c r="D4943" t="s">
        <v>11</v>
      </c>
      <c r="E4943">
        <v>25</v>
      </c>
      <c r="F4943" s="2">
        <f>DATE(2026,IF(Tabla1[[#This Row],[Mes de Fecha]]="Septiembre",9,10),Tabla1[[#This Row],[Día de Fecha]])</f>
        <v>46290</v>
      </c>
      <c r="G4943">
        <v>1020794973</v>
      </c>
      <c r="H4943" t="s">
        <v>668</v>
      </c>
      <c r="I4943">
        <v>97</v>
      </c>
      <c r="J4943">
        <v>0</v>
      </c>
      <c r="K4943" s="1">
        <v>5241640</v>
      </c>
    </row>
    <row r="4944" spans="1:11" x14ac:dyDescent="0.25">
      <c r="A4944" t="s">
        <v>326</v>
      </c>
      <c r="B4944" t="s">
        <v>807</v>
      </c>
      <c r="C4944" t="s">
        <v>870</v>
      </c>
      <c r="D4944" t="s">
        <v>11</v>
      </c>
      <c r="E4944">
        <v>25</v>
      </c>
      <c r="F4944" s="2">
        <f>DATE(2026,IF(Tabla1[[#This Row],[Mes de Fecha]]="Septiembre",9,10),Tabla1[[#This Row],[Día de Fecha]])</f>
        <v>46290</v>
      </c>
      <c r="G4944">
        <v>1113647023</v>
      </c>
      <c r="H4944" t="s">
        <v>671</v>
      </c>
      <c r="I4944">
        <v>100</v>
      </c>
      <c r="J4944">
        <v>0</v>
      </c>
      <c r="K4944" s="1">
        <v>6084079</v>
      </c>
    </row>
    <row r="4945" spans="1:11" x14ac:dyDescent="0.25">
      <c r="A4945" t="s">
        <v>326</v>
      </c>
      <c r="B4945" t="s">
        <v>807</v>
      </c>
      <c r="C4945" t="s">
        <v>870</v>
      </c>
      <c r="D4945" t="s">
        <v>11</v>
      </c>
      <c r="E4945">
        <v>25</v>
      </c>
      <c r="F4945" s="2">
        <f>DATE(2026,IF(Tabla1[[#This Row],[Mes de Fecha]]="Septiembre",9,10),Tabla1[[#This Row],[Día de Fecha]])</f>
        <v>46290</v>
      </c>
      <c r="G4945">
        <v>1114818097</v>
      </c>
      <c r="H4945" t="s">
        <v>809</v>
      </c>
      <c r="I4945">
        <v>0</v>
      </c>
      <c r="J4945">
        <v>0</v>
      </c>
      <c r="K4945">
        <v>0</v>
      </c>
    </row>
    <row r="4946" spans="1:11" x14ac:dyDescent="0.25">
      <c r="A4946" t="s">
        <v>326</v>
      </c>
      <c r="B4946" t="s">
        <v>807</v>
      </c>
      <c r="C4946" t="s">
        <v>870</v>
      </c>
      <c r="D4946" t="s">
        <v>11</v>
      </c>
      <c r="E4946">
        <v>25</v>
      </c>
      <c r="F4946" s="2">
        <f>DATE(2026,IF(Tabla1[[#This Row],[Mes de Fecha]]="Septiembre",9,10),Tabla1[[#This Row],[Día de Fecha]])</f>
        <v>46290</v>
      </c>
      <c r="G4946">
        <v>1115918711</v>
      </c>
      <c r="H4946" t="s">
        <v>672</v>
      </c>
      <c r="I4946">
        <v>89</v>
      </c>
      <c r="J4946">
        <v>0</v>
      </c>
      <c r="K4946" s="1">
        <v>5107566</v>
      </c>
    </row>
    <row r="4947" spans="1:11" x14ac:dyDescent="0.25">
      <c r="A4947" t="s">
        <v>326</v>
      </c>
      <c r="B4947" t="s">
        <v>807</v>
      </c>
      <c r="C4947" t="s">
        <v>870</v>
      </c>
      <c r="D4947" t="s">
        <v>11</v>
      </c>
      <c r="E4947">
        <v>25</v>
      </c>
      <c r="F4947" s="2">
        <f>DATE(2026,IF(Tabla1[[#This Row],[Mes de Fecha]]="Septiembre",9,10),Tabla1[[#This Row],[Día de Fecha]])</f>
        <v>46290</v>
      </c>
      <c r="G4947">
        <v>1118572264</v>
      </c>
      <c r="H4947" t="s">
        <v>810</v>
      </c>
      <c r="I4947">
        <v>50</v>
      </c>
      <c r="J4947">
        <v>0</v>
      </c>
      <c r="K4947" s="1">
        <v>2918028</v>
      </c>
    </row>
    <row r="4948" spans="1:11" x14ac:dyDescent="0.25">
      <c r="A4948" t="s">
        <v>326</v>
      </c>
      <c r="B4948" t="s">
        <v>807</v>
      </c>
      <c r="C4948" t="s">
        <v>870</v>
      </c>
      <c r="D4948" t="s">
        <v>11</v>
      </c>
      <c r="E4948">
        <v>26</v>
      </c>
      <c r="F4948" s="2">
        <f>DATE(2026,IF(Tabla1[[#This Row],[Mes de Fecha]]="Septiembre",9,10),Tabla1[[#This Row],[Día de Fecha]])</f>
        <v>46291</v>
      </c>
      <c r="I4948">
        <v>0</v>
      </c>
      <c r="J4948" s="1">
        <v>23546599</v>
      </c>
      <c r="K4948">
        <v>0</v>
      </c>
    </row>
    <row r="4949" spans="1:11" x14ac:dyDescent="0.25">
      <c r="A4949" t="s">
        <v>326</v>
      </c>
      <c r="B4949" t="s">
        <v>807</v>
      </c>
      <c r="C4949" t="s">
        <v>870</v>
      </c>
      <c r="D4949" t="s">
        <v>11</v>
      </c>
      <c r="E4949">
        <v>26</v>
      </c>
      <c r="F4949" s="2">
        <f>DATE(2026,IF(Tabla1[[#This Row],[Mes de Fecha]]="Septiembre",9,10),Tabla1[[#This Row],[Día de Fecha]])</f>
        <v>46291</v>
      </c>
      <c r="G4949">
        <v>9432076</v>
      </c>
      <c r="H4949" t="s">
        <v>808</v>
      </c>
      <c r="I4949">
        <v>34</v>
      </c>
      <c r="J4949">
        <v>0</v>
      </c>
      <c r="K4949" s="1">
        <v>1945884</v>
      </c>
    </row>
    <row r="4950" spans="1:11" x14ac:dyDescent="0.25">
      <c r="A4950" t="s">
        <v>326</v>
      </c>
      <c r="B4950" t="s">
        <v>807</v>
      </c>
      <c r="C4950" t="s">
        <v>870</v>
      </c>
      <c r="D4950" t="s">
        <v>11</v>
      </c>
      <c r="E4950">
        <v>26</v>
      </c>
      <c r="F4950" s="2">
        <f>DATE(2026,IF(Tabla1[[#This Row],[Mes de Fecha]]="Septiembre",9,10),Tabla1[[#This Row],[Día de Fecha]])</f>
        <v>46291</v>
      </c>
      <c r="G4950">
        <v>1020794973</v>
      </c>
      <c r="H4950" t="s">
        <v>668</v>
      </c>
      <c r="I4950">
        <v>149</v>
      </c>
      <c r="J4950">
        <v>0</v>
      </c>
      <c r="K4950" s="1">
        <v>8588113</v>
      </c>
    </row>
    <row r="4951" spans="1:11" x14ac:dyDescent="0.25">
      <c r="A4951" t="s">
        <v>326</v>
      </c>
      <c r="B4951" t="s">
        <v>807</v>
      </c>
      <c r="C4951" t="s">
        <v>870</v>
      </c>
      <c r="D4951" t="s">
        <v>11</v>
      </c>
      <c r="E4951">
        <v>26</v>
      </c>
      <c r="F4951" s="2">
        <f>DATE(2026,IF(Tabla1[[#This Row],[Mes de Fecha]]="Septiembre",9,10),Tabla1[[#This Row],[Día de Fecha]])</f>
        <v>46291</v>
      </c>
      <c r="G4951">
        <v>1113647023</v>
      </c>
      <c r="H4951" t="s">
        <v>671</v>
      </c>
      <c r="I4951">
        <v>138</v>
      </c>
      <c r="J4951">
        <v>0</v>
      </c>
      <c r="K4951" s="1">
        <v>8422487</v>
      </c>
    </row>
    <row r="4952" spans="1:11" x14ac:dyDescent="0.25">
      <c r="A4952" t="s">
        <v>326</v>
      </c>
      <c r="B4952" t="s">
        <v>807</v>
      </c>
      <c r="C4952" t="s">
        <v>870</v>
      </c>
      <c r="D4952" t="s">
        <v>11</v>
      </c>
      <c r="E4952">
        <v>26</v>
      </c>
      <c r="F4952" s="2">
        <f>DATE(2026,IF(Tabla1[[#This Row],[Mes de Fecha]]="Septiembre",9,10),Tabla1[[#This Row],[Día de Fecha]])</f>
        <v>46291</v>
      </c>
      <c r="G4952">
        <v>1114818097</v>
      </c>
      <c r="H4952" t="s">
        <v>809</v>
      </c>
      <c r="I4952">
        <v>95</v>
      </c>
      <c r="J4952">
        <v>0</v>
      </c>
      <c r="K4952" s="1">
        <v>4819204</v>
      </c>
    </row>
    <row r="4953" spans="1:11" x14ac:dyDescent="0.25">
      <c r="A4953" t="s">
        <v>326</v>
      </c>
      <c r="B4953" t="s">
        <v>807</v>
      </c>
      <c r="C4953" t="s">
        <v>870</v>
      </c>
      <c r="D4953" t="s">
        <v>11</v>
      </c>
      <c r="E4953">
        <v>26</v>
      </c>
      <c r="F4953" s="2">
        <f>DATE(2026,IF(Tabla1[[#This Row],[Mes de Fecha]]="Septiembre",9,10),Tabla1[[#This Row],[Día de Fecha]])</f>
        <v>46291</v>
      </c>
      <c r="G4953">
        <v>1115918711</v>
      </c>
      <c r="H4953" t="s">
        <v>672</v>
      </c>
      <c r="I4953">
        <v>174</v>
      </c>
      <c r="J4953">
        <v>0</v>
      </c>
      <c r="K4953" s="1">
        <v>9397652</v>
      </c>
    </row>
    <row r="4954" spans="1:11" x14ac:dyDescent="0.25">
      <c r="A4954" t="s">
        <v>326</v>
      </c>
      <c r="B4954" t="s">
        <v>807</v>
      </c>
      <c r="C4954" t="s">
        <v>870</v>
      </c>
      <c r="D4954" t="s">
        <v>11</v>
      </c>
      <c r="E4954">
        <v>27</v>
      </c>
      <c r="F4954" s="2">
        <f>DATE(2026,IF(Tabla1[[#This Row],[Mes de Fecha]]="Septiembre",9,10),Tabla1[[#This Row],[Día de Fecha]])</f>
        <v>46292</v>
      </c>
      <c r="I4954">
        <v>0</v>
      </c>
      <c r="J4954" s="1">
        <v>18653645</v>
      </c>
      <c r="K4954">
        <v>0</v>
      </c>
    </row>
    <row r="4955" spans="1:11" x14ac:dyDescent="0.25">
      <c r="A4955" t="s">
        <v>326</v>
      </c>
      <c r="B4955" t="s">
        <v>807</v>
      </c>
      <c r="C4955" t="s">
        <v>870</v>
      </c>
      <c r="D4955" t="s">
        <v>11</v>
      </c>
      <c r="E4955">
        <v>27</v>
      </c>
      <c r="F4955" s="2">
        <f>DATE(2026,IF(Tabla1[[#This Row],[Mes de Fecha]]="Septiembre",9,10),Tabla1[[#This Row],[Día de Fecha]])</f>
        <v>46292</v>
      </c>
      <c r="G4955">
        <v>1020794973</v>
      </c>
      <c r="H4955" t="s">
        <v>668</v>
      </c>
      <c r="I4955">
        <v>60</v>
      </c>
      <c r="J4955">
        <v>0</v>
      </c>
      <c r="K4955" s="1">
        <v>4043658</v>
      </c>
    </row>
    <row r="4956" spans="1:11" x14ac:dyDescent="0.25">
      <c r="A4956" t="s">
        <v>326</v>
      </c>
      <c r="B4956" t="s">
        <v>807</v>
      </c>
      <c r="C4956" t="s">
        <v>870</v>
      </c>
      <c r="D4956" t="s">
        <v>11</v>
      </c>
      <c r="E4956">
        <v>27</v>
      </c>
      <c r="F4956" s="2">
        <f>DATE(2026,IF(Tabla1[[#This Row],[Mes de Fecha]]="Septiembre",9,10),Tabla1[[#This Row],[Día de Fecha]])</f>
        <v>46292</v>
      </c>
      <c r="G4956">
        <v>1113647023</v>
      </c>
      <c r="H4956" t="s">
        <v>671</v>
      </c>
      <c r="I4956">
        <v>64</v>
      </c>
      <c r="J4956">
        <v>0</v>
      </c>
      <c r="K4956" s="1">
        <v>4123364</v>
      </c>
    </row>
    <row r="4957" spans="1:11" x14ac:dyDescent="0.25">
      <c r="A4957" t="s">
        <v>326</v>
      </c>
      <c r="B4957" t="s">
        <v>807</v>
      </c>
      <c r="C4957" t="s">
        <v>870</v>
      </c>
      <c r="D4957" t="s">
        <v>11</v>
      </c>
      <c r="E4957">
        <v>27</v>
      </c>
      <c r="F4957" s="2">
        <f>DATE(2026,IF(Tabla1[[#This Row],[Mes de Fecha]]="Septiembre",9,10),Tabla1[[#This Row],[Día de Fecha]])</f>
        <v>46292</v>
      </c>
      <c r="G4957">
        <v>1114818097</v>
      </c>
      <c r="H4957" t="s">
        <v>809</v>
      </c>
      <c r="I4957">
        <v>6</v>
      </c>
      <c r="J4957">
        <v>0</v>
      </c>
      <c r="K4957" s="1">
        <v>411513</v>
      </c>
    </row>
    <row r="4958" spans="1:11" x14ac:dyDescent="0.25">
      <c r="A4958" t="s">
        <v>326</v>
      </c>
      <c r="B4958" t="s">
        <v>807</v>
      </c>
      <c r="C4958" t="s">
        <v>870</v>
      </c>
      <c r="D4958" t="s">
        <v>11</v>
      </c>
      <c r="E4958">
        <v>27</v>
      </c>
      <c r="F4958" s="2">
        <f>DATE(2026,IF(Tabla1[[#This Row],[Mes de Fecha]]="Septiembre",9,10),Tabla1[[#This Row],[Día de Fecha]])</f>
        <v>46292</v>
      </c>
      <c r="G4958">
        <v>1115918711</v>
      </c>
      <c r="H4958" t="s">
        <v>672</v>
      </c>
      <c r="I4958">
        <v>66</v>
      </c>
      <c r="J4958">
        <v>0</v>
      </c>
      <c r="K4958" s="1">
        <v>3707275</v>
      </c>
    </row>
    <row r="4959" spans="1:11" x14ac:dyDescent="0.25">
      <c r="A4959" t="s">
        <v>326</v>
      </c>
      <c r="B4959" t="s">
        <v>807</v>
      </c>
      <c r="C4959" t="s">
        <v>870</v>
      </c>
      <c r="D4959" t="s">
        <v>11</v>
      </c>
      <c r="E4959">
        <v>27</v>
      </c>
      <c r="F4959" s="2">
        <f>DATE(2026,IF(Tabla1[[#This Row],[Mes de Fecha]]="Septiembre",9,10),Tabla1[[#This Row],[Día de Fecha]])</f>
        <v>46292</v>
      </c>
      <c r="G4959">
        <v>1118572264</v>
      </c>
      <c r="H4959" t="s">
        <v>810</v>
      </c>
      <c r="I4959">
        <v>10</v>
      </c>
      <c r="J4959">
        <v>0</v>
      </c>
      <c r="K4959" s="1">
        <v>646596</v>
      </c>
    </row>
    <row r="4960" spans="1:11" x14ac:dyDescent="0.25">
      <c r="A4960" t="s">
        <v>326</v>
      </c>
      <c r="B4960" t="s">
        <v>807</v>
      </c>
      <c r="C4960" t="s">
        <v>870</v>
      </c>
      <c r="D4960" t="s">
        <v>11</v>
      </c>
      <c r="E4960">
        <v>28</v>
      </c>
      <c r="F4960" s="2">
        <f>DATE(2026,IF(Tabla1[[#This Row],[Mes de Fecha]]="Septiembre",9,10),Tabla1[[#This Row],[Día de Fecha]])</f>
        <v>46293</v>
      </c>
      <c r="I4960">
        <v>0</v>
      </c>
      <c r="J4960" s="1">
        <v>10502834</v>
      </c>
      <c r="K4960">
        <v>0</v>
      </c>
    </row>
    <row r="4961" spans="1:11" x14ac:dyDescent="0.25">
      <c r="A4961" t="s">
        <v>326</v>
      </c>
      <c r="B4961" t="s">
        <v>807</v>
      </c>
      <c r="C4961" t="s">
        <v>870</v>
      </c>
      <c r="D4961" t="s">
        <v>11</v>
      </c>
      <c r="E4961">
        <v>28</v>
      </c>
      <c r="F4961" s="2">
        <f>DATE(2026,IF(Tabla1[[#This Row],[Mes de Fecha]]="Septiembre",9,10),Tabla1[[#This Row],[Día de Fecha]])</f>
        <v>46293</v>
      </c>
      <c r="G4961">
        <v>9432076</v>
      </c>
      <c r="H4961" t="s">
        <v>808</v>
      </c>
      <c r="I4961">
        <v>18</v>
      </c>
      <c r="J4961">
        <v>0</v>
      </c>
      <c r="K4961" s="1">
        <v>986599</v>
      </c>
    </row>
    <row r="4962" spans="1:11" x14ac:dyDescent="0.25">
      <c r="A4962" t="s">
        <v>326</v>
      </c>
      <c r="B4962" t="s">
        <v>807</v>
      </c>
      <c r="C4962" t="s">
        <v>870</v>
      </c>
      <c r="D4962" t="s">
        <v>11</v>
      </c>
      <c r="E4962">
        <v>28</v>
      </c>
      <c r="F4962" s="2">
        <f>DATE(2026,IF(Tabla1[[#This Row],[Mes de Fecha]]="Septiembre",9,10),Tabla1[[#This Row],[Día de Fecha]])</f>
        <v>46293</v>
      </c>
      <c r="G4962">
        <v>1006557709</v>
      </c>
      <c r="H4962" t="s">
        <v>675</v>
      </c>
      <c r="I4962">
        <v>-1</v>
      </c>
      <c r="J4962">
        <v>0</v>
      </c>
      <c r="K4962" s="1">
        <v>-105000</v>
      </c>
    </row>
    <row r="4963" spans="1:11" x14ac:dyDescent="0.25">
      <c r="A4963" t="s">
        <v>326</v>
      </c>
      <c r="B4963" t="s">
        <v>807</v>
      </c>
      <c r="C4963" t="s">
        <v>870</v>
      </c>
      <c r="D4963" t="s">
        <v>11</v>
      </c>
      <c r="E4963">
        <v>28</v>
      </c>
      <c r="F4963" s="2">
        <f>DATE(2026,IF(Tabla1[[#This Row],[Mes de Fecha]]="Septiembre",9,10),Tabla1[[#This Row],[Día de Fecha]])</f>
        <v>46293</v>
      </c>
      <c r="G4963">
        <v>1020794973</v>
      </c>
      <c r="H4963" t="s">
        <v>668</v>
      </c>
      <c r="I4963">
        <v>74</v>
      </c>
      <c r="J4963">
        <v>0</v>
      </c>
      <c r="K4963" s="1">
        <v>4547230</v>
      </c>
    </row>
    <row r="4964" spans="1:11" x14ac:dyDescent="0.25">
      <c r="A4964" t="s">
        <v>326</v>
      </c>
      <c r="B4964" t="s">
        <v>807</v>
      </c>
      <c r="C4964" t="s">
        <v>870</v>
      </c>
      <c r="D4964" t="s">
        <v>11</v>
      </c>
      <c r="E4964">
        <v>28</v>
      </c>
      <c r="F4964" s="2">
        <f>DATE(2026,IF(Tabla1[[#This Row],[Mes de Fecha]]="Septiembre",9,10),Tabla1[[#This Row],[Día de Fecha]])</f>
        <v>46293</v>
      </c>
      <c r="G4964">
        <v>1113647023</v>
      </c>
      <c r="H4964" t="s">
        <v>671</v>
      </c>
      <c r="I4964">
        <v>37</v>
      </c>
      <c r="J4964">
        <v>0</v>
      </c>
      <c r="K4964" s="1">
        <v>2118154</v>
      </c>
    </row>
    <row r="4965" spans="1:11" x14ac:dyDescent="0.25">
      <c r="A4965" t="s">
        <v>326</v>
      </c>
      <c r="B4965" t="s">
        <v>807</v>
      </c>
      <c r="C4965" t="s">
        <v>870</v>
      </c>
      <c r="D4965" t="s">
        <v>11</v>
      </c>
      <c r="E4965">
        <v>28</v>
      </c>
      <c r="F4965" s="2">
        <f>DATE(2026,IF(Tabla1[[#This Row],[Mes de Fecha]]="Septiembre",9,10),Tabla1[[#This Row],[Día de Fecha]])</f>
        <v>46293</v>
      </c>
      <c r="G4965">
        <v>1115918711</v>
      </c>
      <c r="H4965" t="s">
        <v>672</v>
      </c>
      <c r="I4965">
        <v>31</v>
      </c>
      <c r="J4965">
        <v>0</v>
      </c>
      <c r="K4965" s="1">
        <v>1868406</v>
      </c>
    </row>
    <row r="4966" spans="1:11" x14ac:dyDescent="0.25">
      <c r="A4966" t="s">
        <v>326</v>
      </c>
      <c r="B4966" t="s">
        <v>807</v>
      </c>
      <c r="C4966" t="s">
        <v>870</v>
      </c>
      <c r="D4966" t="s">
        <v>11</v>
      </c>
      <c r="E4966">
        <v>28</v>
      </c>
      <c r="F4966" s="2">
        <f>DATE(2026,IF(Tabla1[[#This Row],[Mes de Fecha]]="Septiembre",9,10),Tabla1[[#This Row],[Día de Fecha]])</f>
        <v>46293</v>
      </c>
      <c r="G4966">
        <v>1118572264</v>
      </c>
      <c r="H4966" t="s">
        <v>810</v>
      </c>
      <c r="I4966">
        <v>22</v>
      </c>
      <c r="J4966">
        <v>0</v>
      </c>
      <c r="K4966" s="1">
        <v>1274287</v>
      </c>
    </row>
    <row r="4967" spans="1:11" x14ac:dyDescent="0.25">
      <c r="A4967" t="s">
        <v>326</v>
      </c>
      <c r="B4967" t="s">
        <v>807</v>
      </c>
      <c r="C4967" t="s">
        <v>870</v>
      </c>
      <c r="D4967" t="s">
        <v>11</v>
      </c>
      <c r="E4967">
        <v>29</v>
      </c>
      <c r="F4967" s="2">
        <f>DATE(2026,IF(Tabla1[[#This Row],[Mes de Fecha]]="Septiembre",9,10),Tabla1[[#This Row],[Día de Fecha]])</f>
        <v>46294</v>
      </c>
      <c r="I4967">
        <v>0</v>
      </c>
      <c r="J4967" s="1">
        <v>10729681</v>
      </c>
      <c r="K4967">
        <v>0</v>
      </c>
    </row>
    <row r="4968" spans="1:11" x14ac:dyDescent="0.25">
      <c r="A4968" t="s">
        <v>326</v>
      </c>
      <c r="B4968" t="s">
        <v>807</v>
      </c>
      <c r="C4968" t="s">
        <v>870</v>
      </c>
      <c r="D4968" t="s">
        <v>11</v>
      </c>
      <c r="E4968">
        <v>29</v>
      </c>
      <c r="F4968" s="2">
        <f>DATE(2026,IF(Tabla1[[#This Row],[Mes de Fecha]]="Septiembre",9,10),Tabla1[[#This Row],[Día de Fecha]])</f>
        <v>46294</v>
      </c>
      <c r="G4968">
        <v>9432076</v>
      </c>
      <c r="H4968" t="s">
        <v>808</v>
      </c>
      <c r="I4968">
        <v>24</v>
      </c>
      <c r="J4968">
        <v>0</v>
      </c>
      <c r="K4968" s="1">
        <v>1307816</v>
      </c>
    </row>
    <row r="4969" spans="1:11" x14ac:dyDescent="0.25">
      <c r="A4969" t="s">
        <v>326</v>
      </c>
      <c r="B4969" t="s">
        <v>807</v>
      </c>
      <c r="C4969" t="s">
        <v>870</v>
      </c>
      <c r="D4969" t="s">
        <v>11</v>
      </c>
      <c r="E4969">
        <v>29</v>
      </c>
      <c r="F4969" s="2">
        <f>DATE(2026,IF(Tabla1[[#This Row],[Mes de Fecha]]="Septiembre",9,10),Tabla1[[#This Row],[Día de Fecha]])</f>
        <v>46294</v>
      </c>
      <c r="G4969">
        <v>1020794973</v>
      </c>
      <c r="H4969" t="s">
        <v>668</v>
      </c>
      <c r="I4969">
        <v>46</v>
      </c>
      <c r="J4969">
        <v>0</v>
      </c>
      <c r="K4969" s="1">
        <v>2857229</v>
      </c>
    </row>
    <row r="4970" spans="1:11" x14ac:dyDescent="0.25">
      <c r="A4970" t="s">
        <v>326</v>
      </c>
      <c r="B4970" t="s">
        <v>807</v>
      </c>
      <c r="C4970" t="s">
        <v>870</v>
      </c>
      <c r="D4970" t="s">
        <v>11</v>
      </c>
      <c r="E4970">
        <v>29</v>
      </c>
      <c r="F4970" s="2">
        <f>DATE(2026,IF(Tabla1[[#This Row],[Mes de Fecha]]="Septiembre",9,10),Tabla1[[#This Row],[Día de Fecha]])</f>
        <v>46294</v>
      </c>
      <c r="G4970">
        <v>1113647023</v>
      </c>
      <c r="H4970" t="s">
        <v>671</v>
      </c>
      <c r="I4970">
        <v>44</v>
      </c>
      <c r="J4970">
        <v>0</v>
      </c>
      <c r="K4970" s="1">
        <v>2649329</v>
      </c>
    </row>
    <row r="4971" spans="1:11" x14ac:dyDescent="0.25">
      <c r="A4971" t="s">
        <v>326</v>
      </c>
      <c r="B4971" t="s">
        <v>807</v>
      </c>
      <c r="C4971" t="s">
        <v>870</v>
      </c>
      <c r="D4971" t="s">
        <v>11</v>
      </c>
      <c r="E4971">
        <v>29</v>
      </c>
      <c r="F4971" s="2">
        <f>DATE(2026,IF(Tabla1[[#This Row],[Mes de Fecha]]="Septiembre",9,10),Tabla1[[#This Row],[Día de Fecha]])</f>
        <v>46294</v>
      </c>
      <c r="G4971">
        <v>1114818097</v>
      </c>
      <c r="H4971" t="s">
        <v>809</v>
      </c>
      <c r="I4971">
        <v>22</v>
      </c>
      <c r="J4971">
        <v>0</v>
      </c>
      <c r="K4971" s="1">
        <v>1003279</v>
      </c>
    </row>
    <row r="4972" spans="1:11" x14ac:dyDescent="0.25">
      <c r="A4972" t="s">
        <v>326</v>
      </c>
      <c r="B4972" t="s">
        <v>807</v>
      </c>
      <c r="C4972" t="s">
        <v>870</v>
      </c>
      <c r="D4972" t="s">
        <v>11</v>
      </c>
      <c r="E4972">
        <v>29</v>
      </c>
      <c r="F4972" s="2">
        <f>DATE(2026,IF(Tabla1[[#This Row],[Mes de Fecha]]="Septiembre",9,10),Tabla1[[#This Row],[Día de Fecha]])</f>
        <v>46294</v>
      </c>
      <c r="G4972">
        <v>1115918711</v>
      </c>
      <c r="H4972" t="s">
        <v>672</v>
      </c>
      <c r="I4972">
        <v>41</v>
      </c>
      <c r="J4972">
        <v>0</v>
      </c>
      <c r="K4972" s="1">
        <v>2498279</v>
      </c>
    </row>
    <row r="4973" spans="1:11" x14ac:dyDescent="0.25">
      <c r="A4973" t="s">
        <v>326</v>
      </c>
      <c r="B4973" t="s">
        <v>807</v>
      </c>
      <c r="C4973" t="s">
        <v>870</v>
      </c>
      <c r="D4973" t="s">
        <v>11</v>
      </c>
      <c r="E4973">
        <v>30</v>
      </c>
      <c r="F4973" s="2">
        <f>DATE(2026,IF(Tabla1[[#This Row],[Mes de Fecha]]="Septiembre",9,10),Tabla1[[#This Row],[Día de Fecha]])</f>
        <v>46295</v>
      </c>
      <c r="I4973">
        <v>0</v>
      </c>
      <c r="J4973" s="1">
        <v>11328396</v>
      </c>
      <c r="K4973">
        <v>0</v>
      </c>
    </row>
    <row r="4974" spans="1:11" x14ac:dyDescent="0.25">
      <c r="A4974" t="s">
        <v>326</v>
      </c>
      <c r="B4974" t="s">
        <v>807</v>
      </c>
      <c r="C4974" t="s">
        <v>870</v>
      </c>
      <c r="D4974" t="s">
        <v>11</v>
      </c>
      <c r="E4974">
        <v>30</v>
      </c>
      <c r="F4974" s="2">
        <f>DATE(2026,IF(Tabla1[[#This Row],[Mes de Fecha]]="Septiembre",9,10),Tabla1[[#This Row],[Día de Fecha]])</f>
        <v>46295</v>
      </c>
      <c r="G4974">
        <v>1020794973</v>
      </c>
      <c r="H4974" t="s">
        <v>668</v>
      </c>
      <c r="I4974">
        <v>97</v>
      </c>
      <c r="J4974">
        <v>0</v>
      </c>
      <c r="K4974" s="1">
        <v>5676478</v>
      </c>
    </row>
    <row r="4975" spans="1:11" x14ac:dyDescent="0.25">
      <c r="A4975" t="s">
        <v>326</v>
      </c>
      <c r="B4975" t="s">
        <v>807</v>
      </c>
      <c r="C4975" t="s">
        <v>870</v>
      </c>
      <c r="D4975" t="s">
        <v>11</v>
      </c>
      <c r="E4975">
        <v>30</v>
      </c>
      <c r="F4975" s="2">
        <f>DATE(2026,IF(Tabla1[[#This Row],[Mes de Fecha]]="Septiembre",9,10),Tabla1[[#This Row],[Día de Fecha]])</f>
        <v>46295</v>
      </c>
      <c r="G4975">
        <v>1113647023</v>
      </c>
      <c r="H4975" t="s">
        <v>671</v>
      </c>
      <c r="I4975">
        <v>36</v>
      </c>
      <c r="J4975">
        <v>0</v>
      </c>
      <c r="K4975" s="1">
        <v>2158111</v>
      </c>
    </row>
    <row r="4976" spans="1:11" x14ac:dyDescent="0.25">
      <c r="A4976" t="s">
        <v>326</v>
      </c>
      <c r="B4976" t="s">
        <v>807</v>
      </c>
      <c r="C4976" t="s">
        <v>870</v>
      </c>
      <c r="D4976" t="s">
        <v>11</v>
      </c>
      <c r="E4976">
        <v>30</v>
      </c>
      <c r="F4976" s="2">
        <f>DATE(2026,IF(Tabla1[[#This Row],[Mes de Fecha]]="Septiembre",9,10),Tabla1[[#This Row],[Día de Fecha]])</f>
        <v>46295</v>
      </c>
      <c r="G4976">
        <v>1114818097</v>
      </c>
      <c r="H4976" t="s">
        <v>809</v>
      </c>
      <c r="I4976">
        <v>33</v>
      </c>
      <c r="J4976">
        <v>0</v>
      </c>
      <c r="K4976" s="1">
        <v>1807396</v>
      </c>
    </row>
    <row r="4977" spans="1:11" x14ac:dyDescent="0.25">
      <c r="A4977" t="s">
        <v>326</v>
      </c>
      <c r="B4977" t="s">
        <v>807</v>
      </c>
      <c r="C4977" t="s">
        <v>870</v>
      </c>
      <c r="D4977" t="s">
        <v>11</v>
      </c>
      <c r="E4977">
        <v>30</v>
      </c>
      <c r="F4977" s="2">
        <f>DATE(2026,IF(Tabla1[[#This Row],[Mes de Fecha]]="Septiembre",9,10),Tabla1[[#This Row],[Día de Fecha]])</f>
        <v>46295</v>
      </c>
      <c r="G4977">
        <v>1115918711</v>
      </c>
      <c r="H4977" t="s">
        <v>672</v>
      </c>
      <c r="I4977">
        <v>40</v>
      </c>
      <c r="J4977">
        <v>0</v>
      </c>
      <c r="K4977" s="1">
        <v>2088616</v>
      </c>
    </row>
    <row r="4978" spans="1:11" x14ac:dyDescent="0.25">
      <c r="A4978" t="s">
        <v>326</v>
      </c>
      <c r="B4978" t="s">
        <v>807</v>
      </c>
      <c r="C4978" t="s">
        <v>870</v>
      </c>
      <c r="D4978" t="s">
        <v>11</v>
      </c>
      <c r="E4978">
        <v>30</v>
      </c>
      <c r="F4978" s="2">
        <f>DATE(2026,IF(Tabla1[[#This Row],[Mes de Fecha]]="Septiembre",9,10),Tabla1[[#This Row],[Día de Fecha]])</f>
        <v>46295</v>
      </c>
      <c r="G4978">
        <v>1118572264</v>
      </c>
      <c r="H4978" t="s">
        <v>810</v>
      </c>
      <c r="I4978">
        <v>14</v>
      </c>
      <c r="J4978">
        <v>0</v>
      </c>
      <c r="K4978" s="1">
        <v>694791</v>
      </c>
    </row>
    <row r="4979" spans="1:11" x14ac:dyDescent="0.25">
      <c r="A4979" t="s">
        <v>326</v>
      </c>
      <c r="B4979" t="s">
        <v>807</v>
      </c>
      <c r="C4979" t="s">
        <v>870</v>
      </c>
      <c r="D4979" t="s">
        <v>14</v>
      </c>
      <c r="E4979">
        <v>1</v>
      </c>
      <c r="F4979" s="2">
        <f>DATE(2026,IF(Tabla1[[#This Row],[Mes de Fecha]]="Septiembre",9,10),Tabla1[[#This Row],[Día de Fecha]])</f>
        <v>46296</v>
      </c>
      <c r="I4979">
        <v>0</v>
      </c>
      <c r="J4979" s="1">
        <v>12043738</v>
      </c>
      <c r="K4979">
        <v>0</v>
      </c>
    </row>
    <row r="4980" spans="1:11" x14ac:dyDescent="0.25">
      <c r="A4980" t="s">
        <v>326</v>
      </c>
      <c r="B4980" t="s">
        <v>807</v>
      </c>
      <c r="C4980" t="s">
        <v>870</v>
      </c>
      <c r="D4980" t="s">
        <v>14</v>
      </c>
      <c r="E4980">
        <v>1</v>
      </c>
      <c r="F4980" s="2">
        <f>DATE(2026,IF(Tabla1[[#This Row],[Mes de Fecha]]="Septiembre",9,10),Tabla1[[#This Row],[Día de Fecha]])</f>
        <v>46296</v>
      </c>
      <c r="G4980">
        <v>9432076</v>
      </c>
      <c r="H4980" t="s">
        <v>808</v>
      </c>
      <c r="I4980">
        <v>25</v>
      </c>
      <c r="J4980">
        <v>0</v>
      </c>
      <c r="K4980" s="1">
        <v>1230043</v>
      </c>
    </row>
    <row r="4981" spans="1:11" x14ac:dyDescent="0.25">
      <c r="A4981" t="s">
        <v>326</v>
      </c>
      <c r="B4981" t="s">
        <v>807</v>
      </c>
      <c r="C4981" t="s">
        <v>870</v>
      </c>
      <c r="D4981" t="s">
        <v>14</v>
      </c>
      <c r="E4981">
        <v>1</v>
      </c>
      <c r="F4981" s="2">
        <f>DATE(2026,IF(Tabla1[[#This Row],[Mes de Fecha]]="Septiembre",9,10),Tabla1[[#This Row],[Día de Fecha]])</f>
        <v>46296</v>
      </c>
      <c r="G4981">
        <v>1020794973</v>
      </c>
      <c r="H4981" t="s">
        <v>668</v>
      </c>
      <c r="I4981">
        <v>66</v>
      </c>
      <c r="J4981">
        <v>0</v>
      </c>
      <c r="K4981" s="1">
        <v>3862777</v>
      </c>
    </row>
    <row r="4982" spans="1:11" x14ac:dyDescent="0.25">
      <c r="A4982" t="s">
        <v>326</v>
      </c>
      <c r="B4982" t="s">
        <v>807</v>
      </c>
      <c r="C4982" t="s">
        <v>870</v>
      </c>
      <c r="D4982" t="s">
        <v>14</v>
      </c>
      <c r="E4982">
        <v>1</v>
      </c>
      <c r="F4982" s="2">
        <f>DATE(2026,IF(Tabla1[[#This Row],[Mes de Fecha]]="Septiembre",9,10),Tabla1[[#This Row],[Día de Fecha]])</f>
        <v>46296</v>
      </c>
      <c r="G4982">
        <v>1113647023</v>
      </c>
      <c r="H4982" t="s">
        <v>671</v>
      </c>
      <c r="I4982">
        <v>73</v>
      </c>
      <c r="J4982">
        <v>0</v>
      </c>
      <c r="K4982" s="1">
        <v>4652357</v>
      </c>
    </row>
    <row r="4983" spans="1:11" x14ac:dyDescent="0.25">
      <c r="A4983" t="s">
        <v>326</v>
      </c>
      <c r="B4983" t="s">
        <v>807</v>
      </c>
      <c r="C4983" t="s">
        <v>870</v>
      </c>
      <c r="D4983" t="s">
        <v>14</v>
      </c>
      <c r="E4983">
        <v>1</v>
      </c>
      <c r="F4983" s="2">
        <f>DATE(2026,IF(Tabla1[[#This Row],[Mes de Fecha]]="Septiembre",9,10),Tabla1[[#This Row],[Día de Fecha]])</f>
        <v>46296</v>
      </c>
      <c r="G4983">
        <v>1115918711</v>
      </c>
      <c r="H4983" t="s">
        <v>672</v>
      </c>
      <c r="I4983">
        <v>77</v>
      </c>
      <c r="J4983">
        <v>0</v>
      </c>
      <c r="K4983" s="1">
        <v>4490212</v>
      </c>
    </row>
    <row r="4984" spans="1:11" x14ac:dyDescent="0.25">
      <c r="A4984" t="s">
        <v>326</v>
      </c>
      <c r="B4984" t="s">
        <v>807</v>
      </c>
      <c r="C4984" t="s">
        <v>870</v>
      </c>
      <c r="D4984" t="s">
        <v>14</v>
      </c>
      <c r="E4984">
        <v>1</v>
      </c>
      <c r="F4984" s="2">
        <f>DATE(2026,IF(Tabla1[[#This Row],[Mes de Fecha]]="Septiembre",9,10),Tabla1[[#This Row],[Día de Fecha]])</f>
        <v>46296</v>
      </c>
      <c r="G4984">
        <v>1118572264</v>
      </c>
      <c r="H4984" t="s">
        <v>810</v>
      </c>
      <c r="I4984">
        <v>21</v>
      </c>
      <c r="J4984">
        <v>0</v>
      </c>
      <c r="K4984" s="1">
        <v>1192397</v>
      </c>
    </row>
    <row r="4985" spans="1:11" x14ac:dyDescent="0.25">
      <c r="A4985" t="s">
        <v>326</v>
      </c>
      <c r="B4985" t="s">
        <v>807</v>
      </c>
      <c r="C4985" t="s">
        <v>870</v>
      </c>
      <c r="D4985" t="s">
        <v>14</v>
      </c>
      <c r="E4985">
        <v>2</v>
      </c>
      <c r="F4985" s="2">
        <f>DATE(2026,IF(Tabla1[[#This Row],[Mes de Fecha]]="Septiembre",9,10),Tabla1[[#This Row],[Día de Fecha]])</f>
        <v>46297</v>
      </c>
      <c r="I4985">
        <v>0</v>
      </c>
      <c r="J4985" s="1">
        <v>17491110</v>
      </c>
      <c r="K4985">
        <v>0</v>
      </c>
    </row>
    <row r="4986" spans="1:11" x14ac:dyDescent="0.25">
      <c r="A4986" t="s">
        <v>326</v>
      </c>
      <c r="B4986" t="s">
        <v>807</v>
      </c>
      <c r="C4986" t="s">
        <v>870</v>
      </c>
      <c r="D4986" t="s">
        <v>14</v>
      </c>
      <c r="E4986">
        <v>2</v>
      </c>
      <c r="F4986" s="2">
        <f>DATE(2026,IF(Tabla1[[#This Row],[Mes de Fecha]]="Septiembre",9,10),Tabla1[[#This Row],[Día de Fecha]])</f>
        <v>46297</v>
      </c>
      <c r="G4986">
        <v>9432076</v>
      </c>
      <c r="H4986" t="s">
        <v>808</v>
      </c>
      <c r="I4986">
        <v>37</v>
      </c>
      <c r="J4986">
        <v>0</v>
      </c>
      <c r="K4986" s="1">
        <v>1891304</v>
      </c>
    </row>
    <row r="4987" spans="1:11" x14ac:dyDescent="0.25">
      <c r="A4987" t="s">
        <v>326</v>
      </c>
      <c r="B4987" t="s">
        <v>807</v>
      </c>
      <c r="C4987" t="s">
        <v>870</v>
      </c>
      <c r="D4987" t="s">
        <v>14</v>
      </c>
      <c r="E4987">
        <v>2</v>
      </c>
      <c r="F4987" s="2">
        <f>DATE(2026,IF(Tabla1[[#This Row],[Mes de Fecha]]="Septiembre",9,10),Tabla1[[#This Row],[Día de Fecha]])</f>
        <v>46297</v>
      </c>
      <c r="G4987">
        <v>1020794973</v>
      </c>
      <c r="H4987" t="s">
        <v>668</v>
      </c>
      <c r="I4987">
        <v>62</v>
      </c>
      <c r="J4987">
        <v>0</v>
      </c>
      <c r="K4987" s="1">
        <v>3478408</v>
      </c>
    </row>
    <row r="4988" spans="1:11" x14ac:dyDescent="0.25">
      <c r="A4988" t="s">
        <v>326</v>
      </c>
      <c r="B4988" t="s">
        <v>807</v>
      </c>
      <c r="C4988" t="s">
        <v>870</v>
      </c>
      <c r="D4988" t="s">
        <v>14</v>
      </c>
      <c r="E4988">
        <v>2</v>
      </c>
      <c r="F4988" s="2">
        <f>DATE(2026,IF(Tabla1[[#This Row],[Mes de Fecha]]="Septiembre",9,10),Tabla1[[#This Row],[Día de Fecha]])</f>
        <v>46297</v>
      </c>
      <c r="G4988">
        <v>1113647023</v>
      </c>
      <c r="H4988" t="s">
        <v>671</v>
      </c>
      <c r="I4988">
        <v>62</v>
      </c>
      <c r="J4988">
        <v>0</v>
      </c>
      <c r="K4988" s="1">
        <v>3951137</v>
      </c>
    </row>
    <row r="4989" spans="1:11" x14ac:dyDescent="0.25">
      <c r="A4989" t="s">
        <v>326</v>
      </c>
      <c r="B4989" t="s">
        <v>807</v>
      </c>
      <c r="C4989" t="s">
        <v>870</v>
      </c>
      <c r="D4989" t="s">
        <v>14</v>
      </c>
      <c r="E4989">
        <v>2</v>
      </c>
      <c r="F4989" s="2">
        <f>DATE(2026,IF(Tabla1[[#This Row],[Mes de Fecha]]="Septiembre",9,10),Tabla1[[#This Row],[Día de Fecha]])</f>
        <v>46297</v>
      </c>
      <c r="G4989">
        <v>1114818097</v>
      </c>
      <c r="H4989" t="s">
        <v>809</v>
      </c>
      <c r="I4989">
        <v>30</v>
      </c>
      <c r="J4989">
        <v>0</v>
      </c>
      <c r="K4989" s="1">
        <v>1713025</v>
      </c>
    </row>
    <row r="4990" spans="1:11" x14ac:dyDescent="0.25">
      <c r="A4990" t="s">
        <v>326</v>
      </c>
      <c r="B4990" t="s">
        <v>807</v>
      </c>
      <c r="C4990" t="s">
        <v>870</v>
      </c>
      <c r="D4990" t="s">
        <v>14</v>
      </c>
      <c r="E4990">
        <v>2</v>
      </c>
      <c r="F4990" s="2">
        <f>DATE(2026,IF(Tabla1[[#This Row],[Mes de Fecha]]="Septiembre",9,10),Tabla1[[#This Row],[Día de Fecha]])</f>
        <v>46297</v>
      </c>
      <c r="G4990">
        <v>1115918711</v>
      </c>
      <c r="H4990" t="s">
        <v>672</v>
      </c>
      <c r="I4990">
        <v>66</v>
      </c>
      <c r="J4990">
        <v>0</v>
      </c>
      <c r="K4990" s="1">
        <v>3469921</v>
      </c>
    </row>
    <row r="4991" spans="1:11" x14ac:dyDescent="0.25">
      <c r="A4991" t="s">
        <v>326</v>
      </c>
      <c r="B4991" t="s">
        <v>807</v>
      </c>
      <c r="C4991" t="s">
        <v>870</v>
      </c>
      <c r="D4991" t="s">
        <v>14</v>
      </c>
      <c r="E4991">
        <v>2</v>
      </c>
      <c r="F4991" s="2">
        <f>DATE(2026,IF(Tabla1[[#This Row],[Mes de Fecha]]="Septiembre",9,10),Tabla1[[#This Row],[Día de Fecha]])</f>
        <v>46297</v>
      </c>
      <c r="G4991">
        <v>1118572264</v>
      </c>
      <c r="H4991" t="s">
        <v>810</v>
      </c>
      <c r="I4991">
        <v>1</v>
      </c>
      <c r="J4991">
        <v>0</v>
      </c>
      <c r="K4991" s="1">
        <v>138614</v>
      </c>
    </row>
    <row r="4992" spans="1:11" x14ac:dyDescent="0.25">
      <c r="A4992" t="s">
        <v>326</v>
      </c>
      <c r="B4992" t="s">
        <v>807</v>
      </c>
      <c r="C4992" t="s">
        <v>870</v>
      </c>
      <c r="D4992" t="s">
        <v>14</v>
      </c>
      <c r="E4992">
        <v>3</v>
      </c>
      <c r="F4992" s="2">
        <f>DATE(2026,IF(Tabla1[[#This Row],[Mes de Fecha]]="Septiembre",9,10),Tabla1[[#This Row],[Día de Fecha]])</f>
        <v>46298</v>
      </c>
      <c r="I4992">
        <v>0</v>
      </c>
      <c r="J4992" s="1">
        <v>22272766</v>
      </c>
      <c r="K4992">
        <v>0</v>
      </c>
    </row>
    <row r="4993" spans="1:11" x14ac:dyDescent="0.25">
      <c r="A4993" t="s">
        <v>326</v>
      </c>
      <c r="B4993" t="s">
        <v>807</v>
      </c>
      <c r="C4993" t="s">
        <v>870</v>
      </c>
      <c r="D4993" t="s">
        <v>14</v>
      </c>
      <c r="E4993">
        <v>3</v>
      </c>
      <c r="F4993" s="2">
        <f>DATE(2026,IF(Tabla1[[#This Row],[Mes de Fecha]]="Septiembre",9,10),Tabla1[[#This Row],[Día de Fecha]])</f>
        <v>46298</v>
      </c>
      <c r="G4993">
        <v>9432076</v>
      </c>
      <c r="H4993" t="s">
        <v>808</v>
      </c>
      <c r="I4993">
        <v>2</v>
      </c>
      <c r="J4993">
        <v>0</v>
      </c>
      <c r="K4993" s="1">
        <v>83950</v>
      </c>
    </row>
    <row r="4994" spans="1:11" x14ac:dyDescent="0.25">
      <c r="A4994" t="s">
        <v>326</v>
      </c>
      <c r="B4994" t="s">
        <v>807</v>
      </c>
      <c r="C4994" t="s">
        <v>870</v>
      </c>
      <c r="D4994" t="s">
        <v>14</v>
      </c>
      <c r="E4994">
        <v>3</v>
      </c>
      <c r="F4994" s="2">
        <f>DATE(2026,IF(Tabla1[[#This Row],[Mes de Fecha]]="Septiembre",9,10),Tabla1[[#This Row],[Día de Fecha]])</f>
        <v>46298</v>
      </c>
      <c r="G4994">
        <v>1020794973</v>
      </c>
      <c r="H4994" t="s">
        <v>668</v>
      </c>
      <c r="I4994">
        <v>127</v>
      </c>
      <c r="J4994">
        <v>0</v>
      </c>
      <c r="K4994" s="1">
        <v>6136863</v>
      </c>
    </row>
    <row r="4995" spans="1:11" x14ac:dyDescent="0.25">
      <c r="A4995" t="s">
        <v>326</v>
      </c>
      <c r="B4995" t="s">
        <v>807</v>
      </c>
      <c r="C4995" t="s">
        <v>870</v>
      </c>
      <c r="D4995" t="s">
        <v>14</v>
      </c>
      <c r="E4995">
        <v>3</v>
      </c>
      <c r="F4995" s="2">
        <f>DATE(2026,IF(Tabla1[[#This Row],[Mes de Fecha]]="Septiembre",9,10),Tabla1[[#This Row],[Día de Fecha]])</f>
        <v>46298</v>
      </c>
      <c r="G4995">
        <v>1113647023</v>
      </c>
      <c r="H4995" t="s">
        <v>671</v>
      </c>
      <c r="I4995">
        <v>117</v>
      </c>
      <c r="J4995">
        <v>0</v>
      </c>
      <c r="K4995" s="1">
        <v>5621165</v>
      </c>
    </row>
    <row r="4996" spans="1:11" x14ac:dyDescent="0.25">
      <c r="A4996" t="s">
        <v>326</v>
      </c>
      <c r="B4996" t="s">
        <v>807</v>
      </c>
      <c r="C4996" t="s">
        <v>870</v>
      </c>
      <c r="D4996" t="s">
        <v>14</v>
      </c>
      <c r="E4996">
        <v>3</v>
      </c>
      <c r="F4996" s="2">
        <f>DATE(2026,IF(Tabla1[[#This Row],[Mes de Fecha]]="Septiembre",9,10),Tabla1[[#This Row],[Día de Fecha]])</f>
        <v>46298</v>
      </c>
      <c r="G4996">
        <v>1114818097</v>
      </c>
      <c r="H4996" t="s">
        <v>809</v>
      </c>
      <c r="I4996">
        <v>46</v>
      </c>
      <c r="J4996">
        <v>0</v>
      </c>
      <c r="K4996" s="1">
        <v>2602305</v>
      </c>
    </row>
    <row r="4997" spans="1:11" x14ac:dyDescent="0.25">
      <c r="A4997" t="s">
        <v>326</v>
      </c>
      <c r="B4997" t="s">
        <v>807</v>
      </c>
      <c r="C4997" t="s">
        <v>870</v>
      </c>
      <c r="D4997" t="s">
        <v>14</v>
      </c>
      <c r="E4997">
        <v>3</v>
      </c>
      <c r="F4997" s="2">
        <f>DATE(2026,IF(Tabla1[[#This Row],[Mes de Fecha]]="Septiembre",9,10),Tabla1[[#This Row],[Día de Fecha]])</f>
        <v>46298</v>
      </c>
      <c r="G4997">
        <v>1115918711</v>
      </c>
      <c r="H4997" t="s">
        <v>672</v>
      </c>
      <c r="I4997">
        <v>114</v>
      </c>
      <c r="J4997">
        <v>0</v>
      </c>
      <c r="K4997" s="1">
        <v>6114843</v>
      </c>
    </row>
    <row r="4998" spans="1:11" x14ac:dyDescent="0.25">
      <c r="A4998" t="s">
        <v>326</v>
      </c>
      <c r="B4998" t="s">
        <v>807</v>
      </c>
      <c r="C4998" t="s">
        <v>870</v>
      </c>
      <c r="D4998" t="s">
        <v>14</v>
      </c>
      <c r="E4998">
        <v>3</v>
      </c>
      <c r="F4998" s="2">
        <f>DATE(2026,IF(Tabla1[[#This Row],[Mes de Fecha]]="Septiembre",9,10),Tabla1[[#This Row],[Día de Fecha]])</f>
        <v>46298</v>
      </c>
      <c r="G4998">
        <v>1118572264</v>
      </c>
      <c r="H4998" t="s">
        <v>810</v>
      </c>
      <c r="I4998">
        <v>40</v>
      </c>
      <c r="J4998">
        <v>0</v>
      </c>
      <c r="K4998" s="1">
        <v>1821920</v>
      </c>
    </row>
    <row r="4999" spans="1:11" x14ac:dyDescent="0.25">
      <c r="A4999" t="s">
        <v>326</v>
      </c>
      <c r="B4999" t="s">
        <v>807</v>
      </c>
      <c r="C4999" t="s">
        <v>870</v>
      </c>
      <c r="D4999" t="s">
        <v>14</v>
      </c>
      <c r="E4999">
        <v>4</v>
      </c>
      <c r="F4999" s="2">
        <f>DATE(2026,IF(Tabla1[[#This Row],[Mes de Fecha]]="Septiembre",9,10),Tabla1[[#This Row],[Día de Fecha]])</f>
        <v>46299</v>
      </c>
      <c r="I4999">
        <v>0</v>
      </c>
      <c r="J4999" s="1">
        <v>7693244</v>
      </c>
      <c r="K4999">
        <v>0</v>
      </c>
    </row>
    <row r="5000" spans="1:11" x14ac:dyDescent="0.25">
      <c r="A5000" t="s">
        <v>326</v>
      </c>
      <c r="B5000" t="s">
        <v>807</v>
      </c>
      <c r="C5000" t="s">
        <v>870</v>
      </c>
      <c r="D5000" t="s">
        <v>14</v>
      </c>
      <c r="E5000">
        <v>4</v>
      </c>
      <c r="F5000" s="2">
        <f>DATE(2026,IF(Tabla1[[#This Row],[Mes de Fecha]]="Septiembre",9,10),Tabla1[[#This Row],[Día de Fecha]])</f>
        <v>46299</v>
      </c>
      <c r="G5000">
        <v>9432076</v>
      </c>
      <c r="H5000" t="s">
        <v>808</v>
      </c>
      <c r="I5000">
        <v>27</v>
      </c>
      <c r="J5000">
        <v>0</v>
      </c>
      <c r="K5000" s="1">
        <v>1174874</v>
      </c>
    </row>
    <row r="5001" spans="1:11" x14ac:dyDescent="0.25">
      <c r="A5001" t="s">
        <v>326</v>
      </c>
      <c r="B5001" t="s">
        <v>807</v>
      </c>
      <c r="C5001" t="s">
        <v>870</v>
      </c>
      <c r="D5001" t="s">
        <v>14</v>
      </c>
      <c r="E5001">
        <v>4</v>
      </c>
      <c r="F5001" s="2">
        <f>DATE(2026,IF(Tabla1[[#This Row],[Mes de Fecha]]="Septiembre",9,10),Tabla1[[#This Row],[Día de Fecha]])</f>
        <v>46299</v>
      </c>
      <c r="G5001">
        <v>1020794973</v>
      </c>
      <c r="H5001" t="s">
        <v>668</v>
      </c>
      <c r="I5001">
        <v>75</v>
      </c>
      <c r="J5001">
        <v>0</v>
      </c>
      <c r="K5001" s="1">
        <v>3931138</v>
      </c>
    </row>
    <row r="5002" spans="1:11" x14ac:dyDescent="0.25">
      <c r="A5002" t="s">
        <v>326</v>
      </c>
      <c r="B5002" t="s">
        <v>807</v>
      </c>
      <c r="C5002" t="s">
        <v>870</v>
      </c>
      <c r="D5002" t="s">
        <v>14</v>
      </c>
      <c r="E5002">
        <v>4</v>
      </c>
      <c r="F5002" s="2">
        <f>DATE(2026,IF(Tabla1[[#This Row],[Mes de Fecha]]="Septiembre",9,10),Tabla1[[#This Row],[Día de Fecha]])</f>
        <v>46299</v>
      </c>
      <c r="G5002">
        <v>1113647023</v>
      </c>
      <c r="H5002" t="s">
        <v>671</v>
      </c>
      <c r="I5002">
        <v>79</v>
      </c>
      <c r="J5002">
        <v>0</v>
      </c>
      <c r="K5002" s="1">
        <v>4260970</v>
      </c>
    </row>
    <row r="5003" spans="1:11" x14ac:dyDescent="0.25">
      <c r="A5003" t="s">
        <v>326</v>
      </c>
      <c r="B5003" t="s">
        <v>807</v>
      </c>
      <c r="C5003" t="s">
        <v>870</v>
      </c>
      <c r="D5003" t="s">
        <v>14</v>
      </c>
      <c r="E5003">
        <v>4</v>
      </c>
      <c r="F5003" s="2">
        <f>DATE(2026,IF(Tabla1[[#This Row],[Mes de Fecha]]="Septiembre",9,10),Tabla1[[#This Row],[Día de Fecha]])</f>
        <v>46299</v>
      </c>
      <c r="G5003">
        <v>1115917177</v>
      </c>
      <c r="H5003" t="s">
        <v>811</v>
      </c>
      <c r="I5003">
        <v>-1</v>
      </c>
      <c r="J5003">
        <v>0</v>
      </c>
      <c r="K5003" s="1">
        <v>-41975</v>
      </c>
    </row>
    <row r="5004" spans="1:11" x14ac:dyDescent="0.25">
      <c r="A5004" t="s">
        <v>326</v>
      </c>
      <c r="B5004" t="s">
        <v>807</v>
      </c>
      <c r="C5004" t="s">
        <v>870</v>
      </c>
      <c r="D5004" t="s">
        <v>14</v>
      </c>
      <c r="E5004">
        <v>4</v>
      </c>
      <c r="F5004" s="2">
        <f>DATE(2026,IF(Tabla1[[#This Row],[Mes de Fecha]]="Septiembre",9,10),Tabla1[[#This Row],[Día de Fecha]])</f>
        <v>46299</v>
      </c>
      <c r="G5004">
        <v>1115918711</v>
      </c>
      <c r="H5004" t="s">
        <v>672</v>
      </c>
      <c r="I5004">
        <v>4</v>
      </c>
      <c r="J5004">
        <v>0</v>
      </c>
      <c r="K5004" s="1">
        <v>356975</v>
      </c>
    </row>
    <row r="5005" spans="1:11" x14ac:dyDescent="0.25">
      <c r="A5005" t="s">
        <v>326</v>
      </c>
      <c r="B5005" t="s">
        <v>807</v>
      </c>
      <c r="C5005" t="s">
        <v>870</v>
      </c>
      <c r="D5005" t="s">
        <v>14</v>
      </c>
      <c r="E5005">
        <v>4</v>
      </c>
      <c r="F5005" s="2">
        <f>DATE(2026,IF(Tabla1[[#This Row],[Mes de Fecha]]="Septiembre",9,10),Tabla1[[#This Row],[Día de Fecha]])</f>
        <v>46299</v>
      </c>
      <c r="G5005">
        <v>1118572264</v>
      </c>
      <c r="H5005" t="s">
        <v>810</v>
      </c>
      <c r="I5005">
        <v>14</v>
      </c>
      <c r="J5005">
        <v>0</v>
      </c>
      <c r="K5005" s="1">
        <v>999412</v>
      </c>
    </row>
    <row r="5006" spans="1:11" x14ac:dyDescent="0.25">
      <c r="A5006" t="s">
        <v>326</v>
      </c>
      <c r="B5006" t="s">
        <v>807</v>
      </c>
      <c r="C5006" t="s">
        <v>870</v>
      </c>
      <c r="D5006" t="s">
        <v>14</v>
      </c>
      <c r="E5006">
        <v>5</v>
      </c>
      <c r="F5006" s="2">
        <f>DATE(2026,IF(Tabla1[[#This Row],[Mes de Fecha]]="Septiembre",9,10),Tabla1[[#This Row],[Día de Fecha]])</f>
        <v>46300</v>
      </c>
      <c r="I5006">
        <v>0</v>
      </c>
      <c r="J5006" s="1">
        <v>11426454</v>
      </c>
      <c r="K5006">
        <v>0</v>
      </c>
    </row>
    <row r="5007" spans="1:11" x14ac:dyDescent="0.25">
      <c r="A5007" t="s">
        <v>326</v>
      </c>
      <c r="B5007" t="s">
        <v>807</v>
      </c>
      <c r="C5007" t="s">
        <v>870</v>
      </c>
      <c r="D5007" t="s">
        <v>14</v>
      </c>
      <c r="E5007">
        <v>5</v>
      </c>
      <c r="F5007" s="2">
        <f>DATE(2026,IF(Tabla1[[#This Row],[Mes de Fecha]]="Septiembre",9,10),Tabla1[[#This Row],[Día de Fecha]])</f>
        <v>46300</v>
      </c>
      <c r="G5007">
        <v>9432076</v>
      </c>
      <c r="H5007" t="s">
        <v>808</v>
      </c>
      <c r="I5007">
        <v>55</v>
      </c>
      <c r="J5007">
        <v>0</v>
      </c>
      <c r="K5007" s="1">
        <v>2175378</v>
      </c>
    </row>
    <row r="5008" spans="1:11" x14ac:dyDescent="0.25">
      <c r="A5008" t="s">
        <v>326</v>
      </c>
      <c r="B5008" t="s">
        <v>807</v>
      </c>
      <c r="C5008" t="s">
        <v>870</v>
      </c>
      <c r="D5008" t="s">
        <v>14</v>
      </c>
      <c r="E5008">
        <v>5</v>
      </c>
      <c r="F5008" s="2">
        <f>DATE(2026,IF(Tabla1[[#This Row],[Mes de Fecha]]="Septiembre",9,10),Tabla1[[#This Row],[Día de Fecha]])</f>
        <v>46300</v>
      </c>
      <c r="G5008">
        <v>1020794973</v>
      </c>
      <c r="H5008" t="s">
        <v>668</v>
      </c>
      <c r="I5008">
        <v>83</v>
      </c>
      <c r="J5008">
        <v>0</v>
      </c>
      <c r="K5008" s="1">
        <v>4678911</v>
      </c>
    </row>
    <row r="5009" spans="1:11" x14ac:dyDescent="0.25">
      <c r="A5009" t="s">
        <v>326</v>
      </c>
      <c r="B5009" t="s">
        <v>807</v>
      </c>
      <c r="C5009" t="s">
        <v>870</v>
      </c>
      <c r="D5009" t="s">
        <v>14</v>
      </c>
      <c r="E5009">
        <v>5</v>
      </c>
      <c r="F5009" s="2">
        <f>DATE(2026,IF(Tabla1[[#This Row],[Mes de Fecha]]="Septiembre",9,10),Tabla1[[#This Row],[Día de Fecha]])</f>
        <v>46300</v>
      </c>
      <c r="G5009">
        <v>1113647023</v>
      </c>
      <c r="H5009" t="s">
        <v>671</v>
      </c>
      <c r="I5009">
        <v>55</v>
      </c>
      <c r="J5009">
        <v>0</v>
      </c>
      <c r="K5009" s="1">
        <v>2919709</v>
      </c>
    </row>
    <row r="5010" spans="1:11" x14ac:dyDescent="0.25">
      <c r="A5010" t="s">
        <v>326</v>
      </c>
      <c r="B5010" t="s">
        <v>807</v>
      </c>
      <c r="C5010" t="s">
        <v>870</v>
      </c>
      <c r="D5010" t="s">
        <v>14</v>
      </c>
      <c r="E5010">
        <v>5</v>
      </c>
      <c r="F5010" s="2">
        <f>DATE(2026,IF(Tabla1[[#This Row],[Mes de Fecha]]="Septiembre",9,10),Tabla1[[#This Row],[Día de Fecha]])</f>
        <v>46300</v>
      </c>
      <c r="G5010">
        <v>1114818097</v>
      </c>
      <c r="H5010" t="s">
        <v>809</v>
      </c>
      <c r="I5010">
        <v>42</v>
      </c>
      <c r="J5010">
        <v>0</v>
      </c>
      <c r="K5010" s="1">
        <v>2096852</v>
      </c>
    </row>
    <row r="5011" spans="1:11" x14ac:dyDescent="0.25">
      <c r="A5011" t="s">
        <v>326</v>
      </c>
      <c r="B5011" t="s">
        <v>807</v>
      </c>
      <c r="C5011" t="s">
        <v>870</v>
      </c>
      <c r="D5011" t="s">
        <v>14</v>
      </c>
      <c r="E5011">
        <v>5</v>
      </c>
      <c r="F5011" s="2">
        <f>DATE(2026,IF(Tabla1[[#This Row],[Mes de Fecha]]="Septiembre",9,10),Tabla1[[#This Row],[Día de Fecha]])</f>
        <v>46300</v>
      </c>
      <c r="G5011">
        <v>1115918711</v>
      </c>
      <c r="H5011" t="s">
        <v>672</v>
      </c>
      <c r="I5011">
        <v>-2</v>
      </c>
      <c r="J5011">
        <v>0</v>
      </c>
      <c r="K5011" s="1">
        <v>-138572</v>
      </c>
    </row>
    <row r="5012" spans="1:11" x14ac:dyDescent="0.25">
      <c r="A5012" t="s">
        <v>326</v>
      </c>
      <c r="B5012" t="s">
        <v>807</v>
      </c>
      <c r="C5012" t="s">
        <v>870</v>
      </c>
      <c r="D5012" t="s">
        <v>14</v>
      </c>
      <c r="E5012">
        <v>5</v>
      </c>
      <c r="F5012" s="2">
        <f>DATE(2026,IF(Tabla1[[#This Row],[Mes de Fecha]]="Septiembre",9,10),Tabla1[[#This Row],[Día de Fecha]])</f>
        <v>46300</v>
      </c>
      <c r="G5012">
        <v>1118572264</v>
      </c>
      <c r="H5012" t="s">
        <v>810</v>
      </c>
      <c r="I5012">
        <v>7</v>
      </c>
      <c r="J5012">
        <v>0</v>
      </c>
      <c r="K5012" s="1">
        <v>293782</v>
      </c>
    </row>
    <row r="5013" spans="1:11" x14ac:dyDescent="0.25">
      <c r="A5013" t="s">
        <v>326</v>
      </c>
      <c r="B5013" t="s">
        <v>807</v>
      </c>
      <c r="C5013" t="s">
        <v>870</v>
      </c>
      <c r="D5013" t="s">
        <v>14</v>
      </c>
      <c r="E5013">
        <v>6</v>
      </c>
      <c r="F5013" s="2">
        <f>DATE(2026,IF(Tabla1[[#This Row],[Mes de Fecha]]="Septiembre",9,10),Tabla1[[#This Row],[Día de Fecha]])</f>
        <v>46301</v>
      </c>
      <c r="I5013">
        <v>0</v>
      </c>
      <c r="J5013" s="1">
        <v>6703345</v>
      </c>
      <c r="K5013">
        <v>0</v>
      </c>
    </row>
    <row r="5014" spans="1:11" x14ac:dyDescent="0.25">
      <c r="A5014" t="s">
        <v>326</v>
      </c>
      <c r="B5014" t="s">
        <v>807</v>
      </c>
      <c r="C5014" t="s">
        <v>870</v>
      </c>
      <c r="D5014" t="s">
        <v>14</v>
      </c>
      <c r="E5014">
        <v>6</v>
      </c>
      <c r="F5014" s="2">
        <f>DATE(2026,IF(Tabla1[[#This Row],[Mes de Fecha]]="Septiembre",9,10),Tabla1[[#This Row],[Día de Fecha]])</f>
        <v>46301</v>
      </c>
      <c r="G5014">
        <v>9432076</v>
      </c>
      <c r="H5014" t="s">
        <v>808</v>
      </c>
      <c r="I5014">
        <v>14</v>
      </c>
      <c r="J5014">
        <v>0</v>
      </c>
      <c r="K5014" s="1">
        <v>667438</v>
      </c>
    </row>
    <row r="5015" spans="1:11" x14ac:dyDescent="0.25">
      <c r="A5015" t="s">
        <v>326</v>
      </c>
      <c r="B5015" t="s">
        <v>807</v>
      </c>
      <c r="C5015" t="s">
        <v>870</v>
      </c>
      <c r="D5015" t="s">
        <v>14</v>
      </c>
      <c r="E5015">
        <v>6</v>
      </c>
      <c r="F5015" s="2">
        <f>DATE(2026,IF(Tabla1[[#This Row],[Mes de Fecha]]="Septiembre",9,10),Tabla1[[#This Row],[Día de Fecha]])</f>
        <v>46301</v>
      </c>
      <c r="G5015">
        <v>1020794973</v>
      </c>
      <c r="H5015" t="s">
        <v>668</v>
      </c>
      <c r="I5015">
        <v>-2</v>
      </c>
      <c r="J5015">
        <v>0</v>
      </c>
      <c r="K5015" s="1">
        <v>-60841</v>
      </c>
    </row>
    <row r="5016" spans="1:11" x14ac:dyDescent="0.25">
      <c r="A5016" t="s">
        <v>326</v>
      </c>
      <c r="B5016" t="s">
        <v>807</v>
      </c>
      <c r="C5016" t="s">
        <v>870</v>
      </c>
      <c r="D5016" t="s">
        <v>14</v>
      </c>
      <c r="E5016">
        <v>6</v>
      </c>
      <c r="F5016" s="2">
        <f>DATE(2026,IF(Tabla1[[#This Row],[Mes de Fecha]]="Septiembre",9,10),Tabla1[[#This Row],[Día de Fecha]])</f>
        <v>46301</v>
      </c>
      <c r="G5016">
        <v>1113647023</v>
      </c>
      <c r="H5016" t="s">
        <v>671</v>
      </c>
      <c r="I5016">
        <v>53</v>
      </c>
      <c r="J5016">
        <v>0</v>
      </c>
      <c r="K5016" s="1">
        <v>2628877</v>
      </c>
    </row>
    <row r="5017" spans="1:11" x14ac:dyDescent="0.25">
      <c r="A5017" t="s">
        <v>326</v>
      </c>
      <c r="B5017" t="s">
        <v>807</v>
      </c>
      <c r="C5017" t="s">
        <v>870</v>
      </c>
      <c r="D5017" t="s">
        <v>14</v>
      </c>
      <c r="E5017">
        <v>6</v>
      </c>
      <c r="F5017" s="2">
        <f>DATE(2026,IF(Tabla1[[#This Row],[Mes de Fecha]]="Septiembre",9,10),Tabla1[[#This Row],[Día de Fecha]])</f>
        <v>46301</v>
      </c>
      <c r="G5017">
        <v>1114818097</v>
      </c>
      <c r="H5017" t="s">
        <v>809</v>
      </c>
      <c r="I5017">
        <v>20</v>
      </c>
      <c r="J5017">
        <v>0</v>
      </c>
      <c r="K5017" s="1">
        <v>1163026</v>
      </c>
    </row>
    <row r="5018" spans="1:11" x14ac:dyDescent="0.25">
      <c r="A5018" t="s">
        <v>326</v>
      </c>
      <c r="B5018" t="s">
        <v>807</v>
      </c>
      <c r="C5018" t="s">
        <v>870</v>
      </c>
      <c r="D5018" t="s">
        <v>14</v>
      </c>
      <c r="E5018">
        <v>6</v>
      </c>
      <c r="F5018" s="2">
        <f>DATE(2026,IF(Tabla1[[#This Row],[Mes de Fecha]]="Septiembre",9,10),Tabla1[[#This Row],[Día de Fecha]])</f>
        <v>46301</v>
      </c>
      <c r="G5018">
        <v>1115918711</v>
      </c>
      <c r="H5018" t="s">
        <v>672</v>
      </c>
      <c r="I5018">
        <v>-1</v>
      </c>
      <c r="J5018">
        <v>0</v>
      </c>
      <c r="K5018" s="1">
        <v>-83949</v>
      </c>
    </row>
    <row r="5019" spans="1:11" x14ac:dyDescent="0.25">
      <c r="A5019" t="s">
        <v>326</v>
      </c>
      <c r="B5019" t="s">
        <v>807</v>
      </c>
      <c r="C5019" t="s">
        <v>870</v>
      </c>
      <c r="D5019" t="s">
        <v>14</v>
      </c>
      <c r="E5019">
        <v>6</v>
      </c>
      <c r="F5019" s="2">
        <f>DATE(2026,IF(Tabla1[[#This Row],[Mes de Fecha]]="Septiembre",9,10),Tabla1[[#This Row],[Día de Fecha]])</f>
        <v>46301</v>
      </c>
      <c r="G5019">
        <v>1118572264</v>
      </c>
      <c r="H5019" t="s">
        <v>810</v>
      </c>
      <c r="I5019">
        <v>25</v>
      </c>
      <c r="J5019">
        <v>0</v>
      </c>
      <c r="K5019" s="1">
        <v>1192102</v>
      </c>
    </row>
    <row r="5020" spans="1:11" x14ac:dyDescent="0.25">
      <c r="A5020" t="s">
        <v>326</v>
      </c>
      <c r="B5020" t="s">
        <v>807</v>
      </c>
      <c r="C5020" t="s">
        <v>870</v>
      </c>
      <c r="D5020" t="s">
        <v>14</v>
      </c>
      <c r="E5020">
        <v>6</v>
      </c>
      <c r="F5020" s="2">
        <f>DATE(2026,IF(Tabla1[[#This Row],[Mes de Fecha]]="Septiembre",9,10),Tabla1[[#This Row],[Día de Fecha]])</f>
        <v>46301</v>
      </c>
      <c r="G5020">
        <v>1118575599</v>
      </c>
      <c r="H5020" t="s">
        <v>670</v>
      </c>
      <c r="I5020">
        <v>-2</v>
      </c>
      <c r="J5020">
        <v>0</v>
      </c>
      <c r="K5020" s="1">
        <v>-109076</v>
      </c>
    </row>
    <row r="5021" spans="1:11" x14ac:dyDescent="0.25">
      <c r="A5021" t="s">
        <v>326</v>
      </c>
      <c r="B5021" t="s">
        <v>807</v>
      </c>
      <c r="C5021" t="s">
        <v>870</v>
      </c>
      <c r="D5021" t="s">
        <v>14</v>
      </c>
      <c r="E5021">
        <v>7</v>
      </c>
      <c r="F5021" s="2">
        <f>DATE(2026,IF(Tabla1[[#This Row],[Mes de Fecha]]="Septiembre",9,10),Tabla1[[#This Row],[Día de Fecha]])</f>
        <v>46302</v>
      </c>
      <c r="I5021">
        <v>0</v>
      </c>
      <c r="J5021" s="1">
        <v>6615144</v>
      </c>
      <c r="K5021">
        <v>0</v>
      </c>
    </row>
    <row r="5022" spans="1:11" x14ac:dyDescent="0.25">
      <c r="A5022" t="s">
        <v>326</v>
      </c>
      <c r="B5022" t="s">
        <v>807</v>
      </c>
      <c r="C5022" t="s">
        <v>870</v>
      </c>
      <c r="D5022" t="s">
        <v>14</v>
      </c>
      <c r="E5022">
        <v>7</v>
      </c>
      <c r="F5022" s="2">
        <f>DATE(2026,IF(Tabla1[[#This Row],[Mes de Fecha]]="Septiembre",9,10),Tabla1[[#This Row],[Día de Fecha]])</f>
        <v>46302</v>
      </c>
      <c r="G5022">
        <v>9432076</v>
      </c>
      <c r="H5022" t="s">
        <v>808</v>
      </c>
      <c r="I5022">
        <v>7</v>
      </c>
      <c r="J5022">
        <v>0</v>
      </c>
      <c r="K5022" s="1">
        <v>260126</v>
      </c>
    </row>
    <row r="5023" spans="1:11" x14ac:dyDescent="0.25">
      <c r="A5023" t="s">
        <v>326</v>
      </c>
      <c r="B5023" t="s">
        <v>807</v>
      </c>
      <c r="C5023" t="s">
        <v>870</v>
      </c>
      <c r="D5023" t="s">
        <v>14</v>
      </c>
      <c r="E5023">
        <v>7</v>
      </c>
      <c r="F5023" s="2">
        <f>DATE(2026,IF(Tabla1[[#This Row],[Mes de Fecha]]="Septiembre",9,10),Tabla1[[#This Row],[Día de Fecha]])</f>
        <v>46302</v>
      </c>
      <c r="G5023">
        <v>1020794973</v>
      </c>
      <c r="H5023" t="s">
        <v>668</v>
      </c>
      <c r="I5023">
        <v>-1</v>
      </c>
      <c r="J5023">
        <v>0</v>
      </c>
      <c r="K5023" s="1">
        <v>-138614</v>
      </c>
    </row>
    <row r="5024" spans="1:11" x14ac:dyDescent="0.25">
      <c r="A5024" t="s">
        <v>326</v>
      </c>
      <c r="B5024" t="s">
        <v>807</v>
      </c>
      <c r="C5024" t="s">
        <v>870</v>
      </c>
      <c r="D5024" t="s">
        <v>14</v>
      </c>
      <c r="E5024">
        <v>7</v>
      </c>
      <c r="F5024" s="2">
        <f>DATE(2026,IF(Tabla1[[#This Row],[Mes de Fecha]]="Septiembre",9,10),Tabla1[[#This Row],[Día de Fecha]])</f>
        <v>46302</v>
      </c>
      <c r="G5024">
        <v>1113647023</v>
      </c>
      <c r="H5024" t="s">
        <v>671</v>
      </c>
      <c r="I5024">
        <v>38</v>
      </c>
      <c r="J5024">
        <v>0</v>
      </c>
      <c r="K5024" s="1">
        <v>1802818</v>
      </c>
    </row>
    <row r="5025" spans="1:11" x14ac:dyDescent="0.25">
      <c r="A5025" t="s">
        <v>326</v>
      </c>
      <c r="B5025" t="s">
        <v>807</v>
      </c>
      <c r="C5025" t="s">
        <v>870</v>
      </c>
      <c r="D5025" t="s">
        <v>14</v>
      </c>
      <c r="E5025">
        <v>7</v>
      </c>
      <c r="F5025" s="2">
        <f>DATE(2026,IF(Tabla1[[#This Row],[Mes de Fecha]]="Septiembre",9,10),Tabla1[[#This Row],[Día de Fecha]])</f>
        <v>46302</v>
      </c>
      <c r="G5025">
        <v>1114818097</v>
      </c>
      <c r="H5025" t="s">
        <v>809</v>
      </c>
      <c r="I5025">
        <v>2</v>
      </c>
      <c r="J5025">
        <v>0</v>
      </c>
      <c r="K5025" s="1">
        <v>92353</v>
      </c>
    </row>
    <row r="5026" spans="1:11" x14ac:dyDescent="0.25">
      <c r="A5026" t="s">
        <v>326</v>
      </c>
      <c r="B5026" t="s">
        <v>807</v>
      </c>
      <c r="C5026" t="s">
        <v>870</v>
      </c>
      <c r="D5026" t="s">
        <v>14</v>
      </c>
      <c r="E5026">
        <v>7</v>
      </c>
      <c r="F5026" s="2">
        <f>DATE(2026,IF(Tabla1[[#This Row],[Mes de Fecha]]="Septiembre",9,10),Tabla1[[#This Row],[Día de Fecha]])</f>
        <v>46302</v>
      </c>
      <c r="G5026">
        <v>1115918711</v>
      </c>
      <c r="H5026" t="s">
        <v>672</v>
      </c>
      <c r="I5026">
        <v>58</v>
      </c>
      <c r="J5026">
        <v>0</v>
      </c>
      <c r="K5026" s="1">
        <v>2946601</v>
      </c>
    </row>
    <row r="5027" spans="1:11" x14ac:dyDescent="0.25">
      <c r="A5027" t="s">
        <v>326</v>
      </c>
      <c r="B5027" t="s">
        <v>807</v>
      </c>
      <c r="C5027" t="s">
        <v>870</v>
      </c>
      <c r="D5027" t="s">
        <v>14</v>
      </c>
      <c r="E5027">
        <v>7</v>
      </c>
      <c r="F5027" s="2">
        <f>DATE(2026,IF(Tabla1[[#This Row],[Mes de Fecha]]="Septiembre",9,10),Tabla1[[#This Row],[Día de Fecha]])</f>
        <v>46302</v>
      </c>
      <c r="G5027">
        <v>1118572264</v>
      </c>
      <c r="H5027" t="s">
        <v>810</v>
      </c>
      <c r="I5027">
        <v>5</v>
      </c>
      <c r="J5027">
        <v>0</v>
      </c>
      <c r="K5027" s="1">
        <v>222480</v>
      </c>
    </row>
    <row r="5028" spans="1:11" x14ac:dyDescent="0.25">
      <c r="A5028" t="s">
        <v>326</v>
      </c>
      <c r="B5028" t="s">
        <v>821</v>
      </c>
      <c r="C5028" t="s">
        <v>870</v>
      </c>
      <c r="D5028" t="s">
        <v>11</v>
      </c>
      <c r="E5028">
        <v>23</v>
      </c>
      <c r="F5028" s="2">
        <f>DATE(2026,IF(Tabla1[[#This Row],[Mes de Fecha]]="Septiembre",9,10),Tabla1[[#This Row],[Día de Fecha]])</f>
        <v>46288</v>
      </c>
      <c r="I5028">
        <v>0</v>
      </c>
      <c r="J5028" s="1">
        <v>7067145</v>
      </c>
      <c r="K5028">
        <v>0</v>
      </c>
    </row>
    <row r="5029" spans="1:11" x14ac:dyDescent="0.25">
      <c r="A5029" t="s">
        <v>326</v>
      </c>
      <c r="B5029" t="s">
        <v>821</v>
      </c>
      <c r="C5029" t="s">
        <v>870</v>
      </c>
      <c r="D5029" t="s">
        <v>11</v>
      </c>
      <c r="E5029">
        <v>23</v>
      </c>
      <c r="F5029" s="2">
        <f>DATE(2026,IF(Tabla1[[#This Row],[Mes de Fecha]]="Septiembre",9,10),Tabla1[[#This Row],[Día de Fecha]])</f>
        <v>46288</v>
      </c>
      <c r="G5029">
        <v>43595446</v>
      </c>
      <c r="H5029" t="s">
        <v>752</v>
      </c>
      <c r="I5029">
        <v>24</v>
      </c>
      <c r="J5029">
        <v>0</v>
      </c>
      <c r="K5029" s="1">
        <v>1637607</v>
      </c>
    </row>
    <row r="5030" spans="1:11" x14ac:dyDescent="0.25">
      <c r="A5030" t="s">
        <v>326</v>
      </c>
      <c r="B5030" t="s">
        <v>821</v>
      </c>
      <c r="C5030" t="s">
        <v>870</v>
      </c>
      <c r="D5030" t="s">
        <v>11</v>
      </c>
      <c r="E5030">
        <v>23</v>
      </c>
      <c r="F5030" s="2">
        <f>DATE(2026,IF(Tabla1[[#This Row],[Mes de Fecha]]="Septiembre",9,10),Tabla1[[#This Row],[Día de Fecha]])</f>
        <v>46288</v>
      </c>
      <c r="G5030">
        <v>1000873482</v>
      </c>
      <c r="H5030" t="s">
        <v>740</v>
      </c>
      <c r="I5030">
        <v>22</v>
      </c>
      <c r="J5030">
        <v>0</v>
      </c>
      <c r="K5030" s="1">
        <v>1203203</v>
      </c>
    </row>
    <row r="5031" spans="1:11" x14ac:dyDescent="0.25">
      <c r="A5031" t="s">
        <v>326</v>
      </c>
      <c r="B5031" t="s">
        <v>821</v>
      </c>
      <c r="C5031" t="s">
        <v>870</v>
      </c>
      <c r="D5031" t="s">
        <v>11</v>
      </c>
      <c r="E5031">
        <v>23</v>
      </c>
      <c r="F5031" s="2">
        <f>DATE(2026,IF(Tabla1[[#This Row],[Mes de Fecha]]="Septiembre",9,10),Tabla1[[#This Row],[Día de Fecha]])</f>
        <v>46288</v>
      </c>
      <c r="G5031">
        <v>1033259333</v>
      </c>
      <c r="H5031" t="s">
        <v>745</v>
      </c>
      <c r="I5031">
        <v>16</v>
      </c>
      <c r="J5031">
        <v>0</v>
      </c>
      <c r="K5031" s="1">
        <v>940380</v>
      </c>
    </row>
    <row r="5032" spans="1:11" x14ac:dyDescent="0.25">
      <c r="A5032" t="s">
        <v>326</v>
      </c>
      <c r="B5032" t="s">
        <v>821</v>
      </c>
      <c r="C5032" t="s">
        <v>870</v>
      </c>
      <c r="D5032" t="s">
        <v>11</v>
      </c>
      <c r="E5032">
        <v>23</v>
      </c>
      <c r="F5032" s="2">
        <f>DATE(2026,IF(Tabla1[[#This Row],[Mes de Fecha]]="Septiembre",9,10),Tabla1[[#This Row],[Día de Fecha]])</f>
        <v>46288</v>
      </c>
      <c r="G5032">
        <v>1034989462</v>
      </c>
      <c r="H5032" t="s">
        <v>795</v>
      </c>
      <c r="I5032">
        <v>5</v>
      </c>
      <c r="J5032">
        <v>0</v>
      </c>
      <c r="K5032" s="1">
        <v>214034</v>
      </c>
    </row>
    <row r="5033" spans="1:11" x14ac:dyDescent="0.25">
      <c r="A5033" t="s">
        <v>326</v>
      </c>
      <c r="B5033" t="s">
        <v>821</v>
      </c>
      <c r="C5033" t="s">
        <v>870</v>
      </c>
      <c r="D5033" t="s">
        <v>11</v>
      </c>
      <c r="E5033">
        <v>23</v>
      </c>
      <c r="F5033" s="2">
        <f>DATE(2026,IF(Tabla1[[#This Row],[Mes de Fecha]]="Septiembre",9,10),Tabla1[[#This Row],[Día de Fecha]])</f>
        <v>46288</v>
      </c>
      <c r="G5033">
        <v>1039467642</v>
      </c>
      <c r="H5033" t="s">
        <v>796</v>
      </c>
      <c r="I5033">
        <v>12</v>
      </c>
      <c r="J5033">
        <v>0</v>
      </c>
      <c r="K5033" s="1">
        <v>415421</v>
      </c>
    </row>
    <row r="5034" spans="1:11" x14ac:dyDescent="0.25">
      <c r="A5034" t="s">
        <v>326</v>
      </c>
      <c r="B5034" t="s">
        <v>821</v>
      </c>
      <c r="C5034" t="s">
        <v>870</v>
      </c>
      <c r="D5034" t="s">
        <v>11</v>
      </c>
      <c r="E5034">
        <v>23</v>
      </c>
      <c r="F5034" s="2">
        <f>DATE(2026,IF(Tabla1[[#This Row],[Mes de Fecha]]="Septiembre",9,10),Tabla1[[#This Row],[Día de Fecha]])</f>
        <v>46288</v>
      </c>
      <c r="G5034">
        <v>1143413347</v>
      </c>
      <c r="H5034" t="s">
        <v>822</v>
      </c>
      <c r="I5034">
        <v>6</v>
      </c>
      <c r="J5034">
        <v>0</v>
      </c>
      <c r="K5034" s="1">
        <v>310673</v>
      </c>
    </row>
    <row r="5035" spans="1:11" x14ac:dyDescent="0.25">
      <c r="A5035" t="s">
        <v>326</v>
      </c>
      <c r="B5035" t="s">
        <v>821</v>
      </c>
      <c r="C5035" t="s">
        <v>870</v>
      </c>
      <c r="D5035" t="s">
        <v>11</v>
      </c>
      <c r="E5035">
        <v>24</v>
      </c>
      <c r="F5035" s="2">
        <f>DATE(2026,IF(Tabla1[[#This Row],[Mes de Fecha]]="Septiembre",9,10),Tabla1[[#This Row],[Día de Fecha]])</f>
        <v>46289</v>
      </c>
      <c r="I5035">
        <v>0</v>
      </c>
      <c r="J5035" s="1">
        <v>10795857</v>
      </c>
      <c r="K5035">
        <v>0</v>
      </c>
    </row>
    <row r="5036" spans="1:11" x14ac:dyDescent="0.25">
      <c r="A5036" t="s">
        <v>326</v>
      </c>
      <c r="B5036" t="s">
        <v>821</v>
      </c>
      <c r="C5036" t="s">
        <v>870</v>
      </c>
      <c r="D5036" t="s">
        <v>11</v>
      </c>
      <c r="E5036">
        <v>24</v>
      </c>
      <c r="F5036" s="2">
        <f>DATE(2026,IF(Tabla1[[#This Row],[Mes de Fecha]]="Septiembre",9,10),Tabla1[[#This Row],[Día de Fecha]])</f>
        <v>46289</v>
      </c>
      <c r="G5036">
        <v>43595446</v>
      </c>
      <c r="H5036" t="s">
        <v>752</v>
      </c>
      <c r="I5036">
        <v>37</v>
      </c>
      <c r="J5036">
        <v>0</v>
      </c>
      <c r="K5036" s="1">
        <v>2149707</v>
      </c>
    </row>
    <row r="5037" spans="1:11" x14ac:dyDescent="0.25">
      <c r="A5037" t="s">
        <v>326</v>
      </c>
      <c r="B5037" t="s">
        <v>821</v>
      </c>
      <c r="C5037" t="s">
        <v>870</v>
      </c>
      <c r="D5037" t="s">
        <v>11</v>
      </c>
      <c r="E5037">
        <v>24</v>
      </c>
      <c r="F5037" s="2">
        <f>DATE(2026,IF(Tabla1[[#This Row],[Mes de Fecha]]="Septiembre",9,10),Tabla1[[#This Row],[Día de Fecha]])</f>
        <v>46289</v>
      </c>
      <c r="G5037">
        <v>1000873482</v>
      </c>
      <c r="H5037" t="s">
        <v>740</v>
      </c>
      <c r="I5037">
        <v>18</v>
      </c>
      <c r="J5037">
        <v>0</v>
      </c>
      <c r="K5037" s="1">
        <v>1028529</v>
      </c>
    </row>
    <row r="5038" spans="1:11" x14ac:dyDescent="0.25">
      <c r="A5038" t="s">
        <v>326</v>
      </c>
      <c r="B5038" t="s">
        <v>821</v>
      </c>
      <c r="C5038" t="s">
        <v>870</v>
      </c>
      <c r="D5038" t="s">
        <v>11</v>
      </c>
      <c r="E5038">
        <v>24</v>
      </c>
      <c r="F5038" s="2">
        <f>DATE(2026,IF(Tabla1[[#This Row],[Mes de Fecha]]="Septiembre",9,10),Tabla1[[#This Row],[Día de Fecha]])</f>
        <v>46289</v>
      </c>
      <c r="G5038">
        <v>1033259333</v>
      </c>
      <c r="H5038" t="s">
        <v>745</v>
      </c>
      <c r="I5038">
        <v>22</v>
      </c>
      <c r="J5038">
        <v>0</v>
      </c>
      <c r="K5038" s="1">
        <v>1120883</v>
      </c>
    </row>
    <row r="5039" spans="1:11" x14ac:dyDescent="0.25">
      <c r="A5039" t="s">
        <v>326</v>
      </c>
      <c r="B5039" t="s">
        <v>821</v>
      </c>
      <c r="C5039" t="s">
        <v>870</v>
      </c>
      <c r="D5039" t="s">
        <v>11</v>
      </c>
      <c r="E5039">
        <v>24</v>
      </c>
      <c r="F5039" s="2">
        <f>DATE(2026,IF(Tabla1[[#This Row],[Mes de Fecha]]="Septiembre",9,10),Tabla1[[#This Row],[Día de Fecha]])</f>
        <v>46289</v>
      </c>
      <c r="G5039">
        <v>1034989462</v>
      </c>
      <c r="H5039" t="s">
        <v>795</v>
      </c>
      <c r="I5039">
        <v>3</v>
      </c>
      <c r="J5039">
        <v>0</v>
      </c>
      <c r="K5039" s="1">
        <v>176345</v>
      </c>
    </row>
    <row r="5040" spans="1:11" x14ac:dyDescent="0.25">
      <c r="A5040" t="s">
        <v>326</v>
      </c>
      <c r="B5040" t="s">
        <v>821</v>
      </c>
      <c r="C5040" t="s">
        <v>870</v>
      </c>
      <c r="D5040" t="s">
        <v>11</v>
      </c>
      <c r="E5040">
        <v>24</v>
      </c>
      <c r="F5040" s="2">
        <f>DATE(2026,IF(Tabla1[[#This Row],[Mes de Fecha]]="Septiembre",9,10),Tabla1[[#This Row],[Día de Fecha]])</f>
        <v>46289</v>
      </c>
      <c r="G5040">
        <v>1039467642</v>
      </c>
      <c r="H5040" t="s">
        <v>796</v>
      </c>
      <c r="I5040">
        <v>2</v>
      </c>
      <c r="J5040">
        <v>0</v>
      </c>
      <c r="K5040" s="1">
        <v>180588</v>
      </c>
    </row>
    <row r="5041" spans="1:11" x14ac:dyDescent="0.25">
      <c r="A5041" t="s">
        <v>326</v>
      </c>
      <c r="B5041" t="s">
        <v>821</v>
      </c>
      <c r="C5041" t="s">
        <v>870</v>
      </c>
      <c r="D5041" t="s">
        <v>11</v>
      </c>
      <c r="E5041">
        <v>24</v>
      </c>
      <c r="F5041" s="2">
        <f>DATE(2026,IF(Tabla1[[#This Row],[Mes de Fecha]]="Septiembre",9,10),Tabla1[[#This Row],[Día de Fecha]])</f>
        <v>46289</v>
      </c>
      <c r="G5041">
        <v>1143413347</v>
      </c>
      <c r="H5041" t="s">
        <v>822</v>
      </c>
      <c r="I5041">
        <v>3</v>
      </c>
      <c r="J5041">
        <v>0</v>
      </c>
      <c r="K5041" s="1">
        <v>113319</v>
      </c>
    </row>
    <row r="5042" spans="1:11" x14ac:dyDescent="0.25">
      <c r="A5042" t="s">
        <v>326</v>
      </c>
      <c r="B5042" t="s">
        <v>821</v>
      </c>
      <c r="C5042" t="s">
        <v>870</v>
      </c>
      <c r="D5042" t="s">
        <v>11</v>
      </c>
      <c r="E5042">
        <v>25</v>
      </c>
      <c r="F5042" s="2">
        <f>DATE(2026,IF(Tabla1[[#This Row],[Mes de Fecha]]="Septiembre",9,10),Tabla1[[#This Row],[Día de Fecha]])</f>
        <v>46290</v>
      </c>
      <c r="I5042">
        <v>0</v>
      </c>
      <c r="J5042" s="1">
        <v>10771953</v>
      </c>
      <c r="K5042">
        <v>0</v>
      </c>
    </row>
    <row r="5043" spans="1:11" x14ac:dyDescent="0.25">
      <c r="A5043" t="s">
        <v>326</v>
      </c>
      <c r="B5043" t="s">
        <v>821</v>
      </c>
      <c r="C5043" t="s">
        <v>870</v>
      </c>
      <c r="D5043" t="s">
        <v>11</v>
      </c>
      <c r="E5043">
        <v>25</v>
      </c>
      <c r="F5043" s="2">
        <f>DATE(2026,IF(Tabla1[[#This Row],[Mes de Fecha]]="Septiembre",9,10),Tabla1[[#This Row],[Día de Fecha]])</f>
        <v>46290</v>
      </c>
      <c r="G5043">
        <v>43595446</v>
      </c>
      <c r="H5043" t="s">
        <v>752</v>
      </c>
      <c r="I5043">
        <v>28</v>
      </c>
      <c r="J5043">
        <v>0</v>
      </c>
      <c r="K5043" s="1">
        <v>1628699</v>
      </c>
    </row>
    <row r="5044" spans="1:11" x14ac:dyDescent="0.25">
      <c r="A5044" t="s">
        <v>326</v>
      </c>
      <c r="B5044" t="s">
        <v>821</v>
      </c>
      <c r="C5044" t="s">
        <v>870</v>
      </c>
      <c r="D5044" t="s">
        <v>11</v>
      </c>
      <c r="E5044">
        <v>25</v>
      </c>
      <c r="F5044" s="2">
        <f>DATE(2026,IF(Tabla1[[#This Row],[Mes de Fecha]]="Septiembre",9,10),Tabla1[[#This Row],[Día de Fecha]])</f>
        <v>46290</v>
      </c>
      <c r="G5044">
        <v>1000873482</v>
      </c>
      <c r="H5044" t="s">
        <v>740</v>
      </c>
      <c r="I5044">
        <v>17</v>
      </c>
      <c r="J5044">
        <v>0</v>
      </c>
      <c r="K5044" s="1">
        <v>856261</v>
      </c>
    </row>
    <row r="5045" spans="1:11" x14ac:dyDescent="0.25">
      <c r="A5045" t="s">
        <v>326</v>
      </c>
      <c r="B5045" t="s">
        <v>821</v>
      </c>
      <c r="C5045" t="s">
        <v>870</v>
      </c>
      <c r="D5045" t="s">
        <v>11</v>
      </c>
      <c r="E5045">
        <v>25</v>
      </c>
      <c r="F5045" s="2">
        <f>DATE(2026,IF(Tabla1[[#This Row],[Mes de Fecha]]="Septiembre",9,10),Tabla1[[#This Row],[Día de Fecha]])</f>
        <v>46290</v>
      </c>
      <c r="G5045">
        <v>1033259333</v>
      </c>
      <c r="H5045" t="s">
        <v>745</v>
      </c>
      <c r="I5045">
        <v>17</v>
      </c>
      <c r="J5045">
        <v>0</v>
      </c>
      <c r="K5045" s="1">
        <v>1043361</v>
      </c>
    </row>
    <row r="5046" spans="1:11" x14ac:dyDescent="0.25">
      <c r="A5046" t="s">
        <v>326</v>
      </c>
      <c r="B5046" t="s">
        <v>821</v>
      </c>
      <c r="C5046" t="s">
        <v>870</v>
      </c>
      <c r="D5046" t="s">
        <v>11</v>
      </c>
      <c r="E5046">
        <v>25</v>
      </c>
      <c r="F5046" s="2">
        <f>DATE(2026,IF(Tabla1[[#This Row],[Mes de Fecha]]="Septiembre",9,10),Tabla1[[#This Row],[Día de Fecha]])</f>
        <v>46290</v>
      </c>
      <c r="G5046">
        <v>1034989462</v>
      </c>
      <c r="H5046" t="s">
        <v>795</v>
      </c>
      <c r="I5046">
        <v>11</v>
      </c>
      <c r="J5046">
        <v>0</v>
      </c>
      <c r="K5046" s="1">
        <v>596177</v>
      </c>
    </row>
    <row r="5047" spans="1:11" x14ac:dyDescent="0.25">
      <c r="A5047" t="s">
        <v>326</v>
      </c>
      <c r="B5047" t="s">
        <v>821</v>
      </c>
      <c r="C5047" t="s">
        <v>870</v>
      </c>
      <c r="D5047" t="s">
        <v>11</v>
      </c>
      <c r="E5047">
        <v>25</v>
      </c>
      <c r="F5047" s="2">
        <f>DATE(2026,IF(Tabla1[[#This Row],[Mes de Fecha]]="Septiembre",9,10),Tabla1[[#This Row],[Día de Fecha]])</f>
        <v>46290</v>
      </c>
      <c r="G5047">
        <v>1039467642</v>
      </c>
      <c r="H5047" t="s">
        <v>796</v>
      </c>
      <c r="I5047">
        <v>15</v>
      </c>
      <c r="J5047">
        <v>0</v>
      </c>
      <c r="K5047" s="1">
        <v>864918</v>
      </c>
    </row>
    <row r="5048" spans="1:11" x14ac:dyDescent="0.25">
      <c r="A5048" t="s">
        <v>326</v>
      </c>
      <c r="B5048" t="s">
        <v>821</v>
      </c>
      <c r="C5048" t="s">
        <v>870</v>
      </c>
      <c r="D5048" t="s">
        <v>11</v>
      </c>
      <c r="E5048">
        <v>25</v>
      </c>
      <c r="F5048" s="2">
        <f>DATE(2026,IF(Tabla1[[#This Row],[Mes de Fecha]]="Septiembre",9,10),Tabla1[[#This Row],[Día de Fecha]])</f>
        <v>46290</v>
      </c>
      <c r="G5048">
        <v>1143413347</v>
      </c>
      <c r="H5048" t="s">
        <v>822</v>
      </c>
      <c r="I5048">
        <v>38</v>
      </c>
      <c r="J5048">
        <v>0</v>
      </c>
      <c r="K5048" s="1">
        <v>1926934</v>
      </c>
    </row>
    <row r="5049" spans="1:11" x14ac:dyDescent="0.25">
      <c r="A5049" t="s">
        <v>326</v>
      </c>
      <c r="B5049" t="s">
        <v>821</v>
      </c>
      <c r="C5049" t="s">
        <v>870</v>
      </c>
      <c r="D5049" t="s">
        <v>11</v>
      </c>
      <c r="E5049">
        <v>26</v>
      </c>
      <c r="F5049" s="2">
        <f>DATE(2026,IF(Tabla1[[#This Row],[Mes de Fecha]]="Septiembre",9,10),Tabla1[[#This Row],[Día de Fecha]])</f>
        <v>46291</v>
      </c>
      <c r="I5049">
        <v>0</v>
      </c>
      <c r="J5049" s="1">
        <v>15480852</v>
      </c>
      <c r="K5049">
        <v>0</v>
      </c>
    </row>
    <row r="5050" spans="1:11" x14ac:dyDescent="0.25">
      <c r="A5050" t="s">
        <v>326</v>
      </c>
      <c r="B5050" t="s">
        <v>821</v>
      </c>
      <c r="C5050" t="s">
        <v>870</v>
      </c>
      <c r="D5050" t="s">
        <v>11</v>
      </c>
      <c r="E5050">
        <v>26</v>
      </c>
      <c r="F5050" s="2">
        <f>DATE(2026,IF(Tabla1[[#This Row],[Mes de Fecha]]="Septiembre",9,10),Tabla1[[#This Row],[Día de Fecha]])</f>
        <v>46291</v>
      </c>
      <c r="G5050">
        <v>43595446</v>
      </c>
      <c r="H5050" t="s">
        <v>752</v>
      </c>
      <c r="I5050">
        <v>64</v>
      </c>
      <c r="J5050">
        <v>0</v>
      </c>
      <c r="K5050" s="1">
        <v>3669329</v>
      </c>
    </row>
    <row r="5051" spans="1:11" x14ac:dyDescent="0.25">
      <c r="A5051" t="s">
        <v>326</v>
      </c>
      <c r="B5051" t="s">
        <v>821</v>
      </c>
      <c r="C5051" t="s">
        <v>870</v>
      </c>
      <c r="D5051" t="s">
        <v>11</v>
      </c>
      <c r="E5051">
        <v>26</v>
      </c>
      <c r="F5051" s="2">
        <f>DATE(2026,IF(Tabla1[[#This Row],[Mes de Fecha]]="Septiembre",9,10),Tabla1[[#This Row],[Día de Fecha]])</f>
        <v>46291</v>
      </c>
      <c r="G5051">
        <v>1000660108</v>
      </c>
      <c r="H5051" t="s">
        <v>786</v>
      </c>
      <c r="I5051">
        <v>-1</v>
      </c>
      <c r="J5051">
        <v>0</v>
      </c>
      <c r="K5051" s="1">
        <v>-71386</v>
      </c>
    </row>
    <row r="5052" spans="1:11" x14ac:dyDescent="0.25">
      <c r="A5052" t="s">
        <v>326</v>
      </c>
      <c r="B5052" t="s">
        <v>821</v>
      </c>
      <c r="C5052" t="s">
        <v>870</v>
      </c>
      <c r="D5052" t="s">
        <v>11</v>
      </c>
      <c r="E5052">
        <v>26</v>
      </c>
      <c r="F5052" s="2">
        <f>DATE(2026,IF(Tabla1[[#This Row],[Mes de Fecha]]="Septiembre",9,10),Tabla1[[#This Row],[Día de Fecha]])</f>
        <v>46291</v>
      </c>
      <c r="G5052">
        <v>1000873482</v>
      </c>
      <c r="H5052" t="s">
        <v>740</v>
      </c>
      <c r="I5052">
        <v>53</v>
      </c>
      <c r="J5052">
        <v>0</v>
      </c>
      <c r="K5052" s="1">
        <v>2627313</v>
      </c>
    </row>
    <row r="5053" spans="1:11" x14ac:dyDescent="0.25">
      <c r="A5053" t="s">
        <v>326</v>
      </c>
      <c r="B5053" t="s">
        <v>821</v>
      </c>
      <c r="C5053" t="s">
        <v>870</v>
      </c>
      <c r="D5053" t="s">
        <v>11</v>
      </c>
      <c r="E5053">
        <v>26</v>
      </c>
      <c r="F5053" s="2">
        <f>DATE(2026,IF(Tabla1[[#This Row],[Mes de Fecha]]="Septiembre",9,10),Tabla1[[#This Row],[Día de Fecha]])</f>
        <v>46291</v>
      </c>
      <c r="G5053">
        <v>1007053771</v>
      </c>
      <c r="H5053" t="s">
        <v>329</v>
      </c>
      <c r="I5053">
        <v>-1</v>
      </c>
      <c r="J5053">
        <v>0</v>
      </c>
      <c r="K5053" s="1">
        <v>-25126</v>
      </c>
    </row>
    <row r="5054" spans="1:11" x14ac:dyDescent="0.25">
      <c r="A5054" t="s">
        <v>326</v>
      </c>
      <c r="B5054" t="s">
        <v>821</v>
      </c>
      <c r="C5054" t="s">
        <v>870</v>
      </c>
      <c r="D5054" t="s">
        <v>11</v>
      </c>
      <c r="E5054">
        <v>26</v>
      </c>
      <c r="F5054" s="2">
        <f>DATE(2026,IF(Tabla1[[#This Row],[Mes de Fecha]]="Septiembre",9,10),Tabla1[[#This Row],[Día de Fecha]])</f>
        <v>46291</v>
      </c>
      <c r="G5054">
        <v>1033259333</v>
      </c>
      <c r="H5054" t="s">
        <v>745</v>
      </c>
      <c r="I5054">
        <v>45</v>
      </c>
      <c r="J5054">
        <v>0</v>
      </c>
      <c r="K5054" s="1">
        <v>2430505</v>
      </c>
    </row>
    <row r="5055" spans="1:11" x14ac:dyDescent="0.25">
      <c r="A5055" t="s">
        <v>326</v>
      </c>
      <c r="B5055" t="s">
        <v>821</v>
      </c>
      <c r="C5055" t="s">
        <v>870</v>
      </c>
      <c r="D5055" t="s">
        <v>11</v>
      </c>
      <c r="E5055">
        <v>26</v>
      </c>
      <c r="F5055" s="2">
        <f>DATE(2026,IF(Tabla1[[#This Row],[Mes de Fecha]]="Septiembre",9,10),Tabla1[[#This Row],[Día de Fecha]])</f>
        <v>46291</v>
      </c>
      <c r="G5055">
        <v>1034989462</v>
      </c>
      <c r="H5055" t="s">
        <v>795</v>
      </c>
      <c r="I5055">
        <v>11</v>
      </c>
      <c r="J5055">
        <v>0</v>
      </c>
      <c r="K5055" s="1">
        <v>583446</v>
      </c>
    </row>
    <row r="5056" spans="1:11" x14ac:dyDescent="0.25">
      <c r="A5056" t="s">
        <v>326</v>
      </c>
      <c r="B5056" t="s">
        <v>821</v>
      </c>
      <c r="C5056" t="s">
        <v>870</v>
      </c>
      <c r="D5056" t="s">
        <v>11</v>
      </c>
      <c r="E5056">
        <v>26</v>
      </c>
      <c r="F5056" s="2">
        <f>DATE(2026,IF(Tabla1[[#This Row],[Mes de Fecha]]="Septiembre",9,10),Tabla1[[#This Row],[Día de Fecha]])</f>
        <v>46291</v>
      </c>
      <c r="G5056">
        <v>1039467642</v>
      </c>
      <c r="H5056" t="s">
        <v>796</v>
      </c>
      <c r="I5056">
        <v>32</v>
      </c>
      <c r="J5056">
        <v>0</v>
      </c>
      <c r="K5056" s="1">
        <v>1725297</v>
      </c>
    </row>
    <row r="5057" spans="1:11" x14ac:dyDescent="0.25">
      <c r="A5057" t="s">
        <v>326</v>
      </c>
      <c r="B5057" t="s">
        <v>821</v>
      </c>
      <c r="C5057" t="s">
        <v>870</v>
      </c>
      <c r="D5057" t="s">
        <v>11</v>
      </c>
      <c r="E5057">
        <v>26</v>
      </c>
      <c r="F5057" s="2">
        <f>DATE(2026,IF(Tabla1[[#This Row],[Mes de Fecha]]="Septiembre",9,10),Tabla1[[#This Row],[Día de Fecha]])</f>
        <v>46291</v>
      </c>
      <c r="G5057">
        <v>1143413347</v>
      </c>
      <c r="H5057" t="s">
        <v>822</v>
      </c>
      <c r="I5057">
        <v>20</v>
      </c>
      <c r="J5057">
        <v>0</v>
      </c>
      <c r="K5057" s="1">
        <v>1032693</v>
      </c>
    </row>
    <row r="5058" spans="1:11" x14ac:dyDescent="0.25">
      <c r="A5058" t="s">
        <v>326</v>
      </c>
      <c r="B5058" t="s">
        <v>821</v>
      </c>
      <c r="C5058" t="s">
        <v>870</v>
      </c>
      <c r="D5058" t="s">
        <v>11</v>
      </c>
      <c r="E5058">
        <v>27</v>
      </c>
      <c r="F5058" s="2">
        <f>DATE(2026,IF(Tabla1[[#This Row],[Mes de Fecha]]="Septiembre",9,10),Tabla1[[#This Row],[Día de Fecha]])</f>
        <v>46292</v>
      </c>
      <c r="I5058">
        <v>0</v>
      </c>
      <c r="J5058" s="1">
        <v>12263948</v>
      </c>
      <c r="K5058">
        <v>0</v>
      </c>
    </row>
    <row r="5059" spans="1:11" x14ac:dyDescent="0.25">
      <c r="A5059" t="s">
        <v>326</v>
      </c>
      <c r="B5059" t="s">
        <v>821</v>
      </c>
      <c r="C5059" t="s">
        <v>870</v>
      </c>
      <c r="D5059" t="s">
        <v>11</v>
      </c>
      <c r="E5059">
        <v>27</v>
      </c>
      <c r="F5059" s="2">
        <f>DATE(2026,IF(Tabla1[[#This Row],[Mes de Fecha]]="Septiembre",9,10),Tabla1[[#This Row],[Día de Fecha]])</f>
        <v>46292</v>
      </c>
      <c r="G5059">
        <v>43595446</v>
      </c>
      <c r="H5059" t="s">
        <v>752</v>
      </c>
      <c r="I5059">
        <v>102</v>
      </c>
      <c r="J5059">
        <v>0</v>
      </c>
      <c r="K5059" s="1">
        <v>5406559</v>
      </c>
    </row>
    <row r="5060" spans="1:11" x14ac:dyDescent="0.25">
      <c r="A5060" t="s">
        <v>326</v>
      </c>
      <c r="B5060" t="s">
        <v>821</v>
      </c>
      <c r="C5060" t="s">
        <v>870</v>
      </c>
      <c r="D5060" t="s">
        <v>11</v>
      </c>
      <c r="E5060">
        <v>27</v>
      </c>
      <c r="F5060" s="2">
        <f>DATE(2026,IF(Tabla1[[#This Row],[Mes de Fecha]]="Septiembre",9,10),Tabla1[[#This Row],[Día de Fecha]])</f>
        <v>46292</v>
      </c>
      <c r="G5060">
        <v>1000873482</v>
      </c>
      <c r="H5060" t="s">
        <v>740</v>
      </c>
      <c r="I5060">
        <v>79</v>
      </c>
      <c r="J5060">
        <v>0</v>
      </c>
      <c r="K5060" s="1">
        <v>4391011</v>
      </c>
    </row>
    <row r="5061" spans="1:11" x14ac:dyDescent="0.25">
      <c r="A5061" t="s">
        <v>326</v>
      </c>
      <c r="B5061" t="s">
        <v>821</v>
      </c>
      <c r="C5061" t="s">
        <v>870</v>
      </c>
      <c r="D5061" t="s">
        <v>11</v>
      </c>
      <c r="E5061">
        <v>27</v>
      </c>
      <c r="F5061" s="2">
        <f>DATE(2026,IF(Tabla1[[#This Row],[Mes de Fecha]]="Septiembre",9,10),Tabla1[[#This Row],[Día de Fecha]])</f>
        <v>46292</v>
      </c>
      <c r="G5061">
        <v>1033259333</v>
      </c>
      <c r="H5061" t="s">
        <v>745</v>
      </c>
      <c r="I5061">
        <v>1</v>
      </c>
      <c r="J5061">
        <v>0</v>
      </c>
      <c r="K5061" s="1">
        <v>105000</v>
      </c>
    </row>
    <row r="5062" spans="1:11" x14ac:dyDescent="0.25">
      <c r="A5062" t="s">
        <v>326</v>
      </c>
      <c r="B5062" t="s">
        <v>821</v>
      </c>
      <c r="C5062" t="s">
        <v>870</v>
      </c>
      <c r="D5062" t="s">
        <v>11</v>
      </c>
      <c r="E5062">
        <v>27</v>
      </c>
      <c r="F5062" s="2">
        <f>DATE(2026,IF(Tabla1[[#This Row],[Mes de Fecha]]="Septiembre",9,10),Tabla1[[#This Row],[Día de Fecha]])</f>
        <v>46292</v>
      </c>
      <c r="G5062">
        <v>1034989462</v>
      </c>
      <c r="H5062" t="s">
        <v>795</v>
      </c>
      <c r="I5062">
        <v>34</v>
      </c>
      <c r="J5062">
        <v>0</v>
      </c>
      <c r="K5062" s="1">
        <v>1447481</v>
      </c>
    </row>
    <row r="5063" spans="1:11" x14ac:dyDescent="0.25">
      <c r="A5063" t="s">
        <v>326</v>
      </c>
      <c r="B5063" t="s">
        <v>821</v>
      </c>
      <c r="C5063" t="s">
        <v>870</v>
      </c>
      <c r="D5063" t="s">
        <v>11</v>
      </c>
      <c r="E5063">
        <v>27</v>
      </c>
      <c r="F5063" s="2">
        <f>DATE(2026,IF(Tabla1[[#This Row],[Mes de Fecha]]="Septiembre",9,10),Tabla1[[#This Row],[Día de Fecha]])</f>
        <v>46292</v>
      </c>
      <c r="G5063">
        <v>1037585001</v>
      </c>
      <c r="H5063" t="s">
        <v>746</v>
      </c>
      <c r="I5063">
        <v>-1</v>
      </c>
      <c r="J5063">
        <v>0</v>
      </c>
      <c r="K5063" s="1">
        <v>-105000</v>
      </c>
    </row>
    <row r="5064" spans="1:11" x14ac:dyDescent="0.25">
      <c r="A5064" t="s">
        <v>326</v>
      </c>
      <c r="B5064" t="s">
        <v>821</v>
      </c>
      <c r="C5064" t="s">
        <v>870</v>
      </c>
      <c r="D5064" t="s">
        <v>11</v>
      </c>
      <c r="E5064">
        <v>27</v>
      </c>
      <c r="F5064" s="2">
        <f>DATE(2026,IF(Tabla1[[#This Row],[Mes de Fecha]]="Septiembre",9,10),Tabla1[[#This Row],[Día de Fecha]])</f>
        <v>46292</v>
      </c>
      <c r="G5064">
        <v>1039467642</v>
      </c>
      <c r="H5064" t="s">
        <v>796</v>
      </c>
      <c r="I5064">
        <v>37</v>
      </c>
      <c r="J5064">
        <v>0</v>
      </c>
      <c r="K5064" s="1">
        <v>1573701</v>
      </c>
    </row>
    <row r="5065" spans="1:11" x14ac:dyDescent="0.25">
      <c r="A5065" t="s">
        <v>326</v>
      </c>
      <c r="B5065" t="s">
        <v>821</v>
      </c>
      <c r="C5065" t="s">
        <v>870</v>
      </c>
      <c r="D5065" t="s">
        <v>11</v>
      </c>
      <c r="E5065">
        <v>27</v>
      </c>
      <c r="F5065" s="2">
        <f>DATE(2026,IF(Tabla1[[#This Row],[Mes de Fecha]]="Septiembre",9,10),Tabla1[[#This Row],[Día de Fecha]])</f>
        <v>46292</v>
      </c>
      <c r="G5065">
        <v>1039761353</v>
      </c>
      <c r="H5065" t="s">
        <v>759</v>
      </c>
      <c r="I5065">
        <v>-1</v>
      </c>
      <c r="J5065">
        <v>0</v>
      </c>
      <c r="K5065" s="1">
        <v>-109160</v>
      </c>
    </row>
    <row r="5066" spans="1:11" x14ac:dyDescent="0.25">
      <c r="A5066" t="s">
        <v>326</v>
      </c>
      <c r="B5066" t="s">
        <v>821</v>
      </c>
      <c r="C5066" t="s">
        <v>870</v>
      </c>
      <c r="D5066" t="s">
        <v>11</v>
      </c>
      <c r="E5066">
        <v>27</v>
      </c>
      <c r="F5066" s="2">
        <f>DATE(2026,IF(Tabla1[[#This Row],[Mes de Fecha]]="Septiembre",9,10),Tabla1[[#This Row],[Día de Fecha]])</f>
        <v>46292</v>
      </c>
      <c r="G5066">
        <v>1143413347</v>
      </c>
      <c r="H5066" t="s">
        <v>822</v>
      </c>
      <c r="I5066">
        <v>47</v>
      </c>
      <c r="J5066">
        <v>0</v>
      </c>
      <c r="K5066" s="1">
        <v>2720336</v>
      </c>
    </row>
    <row r="5067" spans="1:11" x14ac:dyDescent="0.25">
      <c r="A5067" t="s">
        <v>326</v>
      </c>
      <c r="B5067" t="s">
        <v>821</v>
      </c>
      <c r="C5067" t="s">
        <v>870</v>
      </c>
      <c r="D5067" t="s">
        <v>11</v>
      </c>
      <c r="E5067">
        <v>28</v>
      </c>
      <c r="F5067" s="2">
        <f>DATE(2026,IF(Tabla1[[#This Row],[Mes de Fecha]]="Septiembre",9,10),Tabla1[[#This Row],[Día de Fecha]])</f>
        <v>46293</v>
      </c>
      <c r="I5067">
        <v>0</v>
      </c>
      <c r="J5067" s="1">
        <v>6905151</v>
      </c>
      <c r="K5067">
        <v>0</v>
      </c>
    </row>
    <row r="5068" spans="1:11" x14ac:dyDescent="0.25">
      <c r="A5068" t="s">
        <v>326</v>
      </c>
      <c r="B5068" t="s">
        <v>821</v>
      </c>
      <c r="C5068" t="s">
        <v>870</v>
      </c>
      <c r="D5068" t="s">
        <v>11</v>
      </c>
      <c r="E5068">
        <v>28</v>
      </c>
      <c r="F5068" s="2">
        <f>DATE(2026,IF(Tabla1[[#This Row],[Mes de Fecha]]="Septiembre",9,10),Tabla1[[#This Row],[Día de Fecha]])</f>
        <v>46293</v>
      </c>
      <c r="G5068">
        <v>43595446</v>
      </c>
      <c r="H5068" t="s">
        <v>752</v>
      </c>
      <c r="I5068">
        <v>28</v>
      </c>
      <c r="J5068">
        <v>0</v>
      </c>
      <c r="K5068" s="1">
        <v>1764010</v>
      </c>
    </row>
    <row r="5069" spans="1:11" x14ac:dyDescent="0.25">
      <c r="A5069" t="s">
        <v>326</v>
      </c>
      <c r="B5069" t="s">
        <v>821</v>
      </c>
      <c r="C5069" t="s">
        <v>870</v>
      </c>
      <c r="D5069" t="s">
        <v>11</v>
      </c>
      <c r="E5069">
        <v>28</v>
      </c>
      <c r="F5069" s="2">
        <f>DATE(2026,IF(Tabla1[[#This Row],[Mes de Fecha]]="Septiembre",9,10),Tabla1[[#This Row],[Día de Fecha]])</f>
        <v>46293</v>
      </c>
      <c r="G5069">
        <v>1000873482</v>
      </c>
      <c r="H5069" t="s">
        <v>740</v>
      </c>
      <c r="I5069">
        <v>11</v>
      </c>
      <c r="J5069">
        <v>0</v>
      </c>
      <c r="K5069" s="1">
        <v>570841</v>
      </c>
    </row>
    <row r="5070" spans="1:11" x14ac:dyDescent="0.25">
      <c r="A5070" t="s">
        <v>326</v>
      </c>
      <c r="B5070" t="s">
        <v>821</v>
      </c>
      <c r="C5070" t="s">
        <v>870</v>
      </c>
      <c r="D5070" t="s">
        <v>11</v>
      </c>
      <c r="E5070">
        <v>28</v>
      </c>
      <c r="F5070" s="2">
        <f>DATE(2026,IF(Tabla1[[#This Row],[Mes de Fecha]]="Septiembre",9,10),Tabla1[[#This Row],[Día de Fecha]])</f>
        <v>46293</v>
      </c>
      <c r="G5070">
        <v>1015066253</v>
      </c>
      <c r="H5070" t="s">
        <v>721</v>
      </c>
      <c r="I5070">
        <v>-2</v>
      </c>
      <c r="J5070">
        <v>0</v>
      </c>
      <c r="K5070" s="1">
        <v>-180588</v>
      </c>
    </row>
    <row r="5071" spans="1:11" x14ac:dyDescent="0.25">
      <c r="A5071" t="s">
        <v>326</v>
      </c>
      <c r="B5071" t="s">
        <v>821</v>
      </c>
      <c r="C5071" t="s">
        <v>870</v>
      </c>
      <c r="D5071" t="s">
        <v>11</v>
      </c>
      <c r="E5071">
        <v>28</v>
      </c>
      <c r="F5071" s="2">
        <f>DATE(2026,IF(Tabla1[[#This Row],[Mes de Fecha]]="Septiembre",9,10),Tabla1[[#This Row],[Día de Fecha]])</f>
        <v>46293</v>
      </c>
      <c r="G5071">
        <v>1034989462</v>
      </c>
      <c r="H5071" t="s">
        <v>795</v>
      </c>
      <c r="I5071">
        <v>9</v>
      </c>
      <c r="J5071">
        <v>0</v>
      </c>
      <c r="K5071" s="1">
        <v>398655</v>
      </c>
    </row>
    <row r="5072" spans="1:11" x14ac:dyDescent="0.25">
      <c r="A5072" t="s">
        <v>326</v>
      </c>
      <c r="B5072" t="s">
        <v>821</v>
      </c>
      <c r="C5072" t="s">
        <v>870</v>
      </c>
      <c r="D5072" t="s">
        <v>11</v>
      </c>
      <c r="E5072">
        <v>28</v>
      </c>
      <c r="F5072" s="2">
        <f>DATE(2026,IF(Tabla1[[#This Row],[Mes de Fecha]]="Septiembre",9,10),Tabla1[[#This Row],[Día de Fecha]])</f>
        <v>46293</v>
      </c>
      <c r="G5072">
        <v>1039467642</v>
      </c>
      <c r="H5072" t="s">
        <v>796</v>
      </c>
      <c r="I5072">
        <v>11</v>
      </c>
      <c r="J5072">
        <v>0</v>
      </c>
      <c r="K5072" s="1">
        <v>612816</v>
      </c>
    </row>
    <row r="5073" spans="1:11" x14ac:dyDescent="0.25">
      <c r="A5073" t="s">
        <v>326</v>
      </c>
      <c r="B5073" t="s">
        <v>821</v>
      </c>
      <c r="C5073" t="s">
        <v>870</v>
      </c>
      <c r="D5073" t="s">
        <v>11</v>
      </c>
      <c r="E5073">
        <v>28</v>
      </c>
      <c r="F5073" s="2">
        <f>DATE(2026,IF(Tabla1[[#This Row],[Mes de Fecha]]="Septiembre",9,10),Tabla1[[#This Row],[Día de Fecha]])</f>
        <v>46293</v>
      </c>
      <c r="G5073">
        <v>1042151904</v>
      </c>
      <c r="H5073" t="s">
        <v>785</v>
      </c>
      <c r="I5073">
        <v>-1</v>
      </c>
      <c r="J5073">
        <v>0</v>
      </c>
      <c r="K5073" s="1">
        <v>-46177</v>
      </c>
    </row>
    <row r="5074" spans="1:11" x14ac:dyDescent="0.25">
      <c r="A5074" t="s">
        <v>326</v>
      </c>
      <c r="B5074" t="s">
        <v>821</v>
      </c>
      <c r="C5074" t="s">
        <v>870</v>
      </c>
      <c r="D5074" t="s">
        <v>11</v>
      </c>
      <c r="E5074">
        <v>28</v>
      </c>
      <c r="F5074" s="2">
        <f>DATE(2026,IF(Tabla1[[#This Row],[Mes de Fecha]]="Septiembre",9,10),Tabla1[[#This Row],[Día de Fecha]])</f>
        <v>46293</v>
      </c>
      <c r="G5074">
        <v>1143413347</v>
      </c>
      <c r="H5074" t="s">
        <v>822</v>
      </c>
      <c r="I5074">
        <v>20</v>
      </c>
      <c r="J5074">
        <v>0</v>
      </c>
      <c r="K5074" s="1">
        <v>1267899</v>
      </c>
    </row>
    <row r="5075" spans="1:11" x14ac:dyDescent="0.25">
      <c r="A5075" t="s">
        <v>326</v>
      </c>
      <c r="B5075" t="s">
        <v>821</v>
      </c>
      <c r="C5075" t="s">
        <v>870</v>
      </c>
      <c r="D5075" t="s">
        <v>11</v>
      </c>
      <c r="E5075">
        <v>29</v>
      </c>
      <c r="F5075" s="2">
        <f>DATE(2026,IF(Tabla1[[#This Row],[Mes de Fecha]]="Septiembre",9,10),Tabla1[[#This Row],[Día de Fecha]])</f>
        <v>46294</v>
      </c>
      <c r="I5075">
        <v>0</v>
      </c>
      <c r="J5075" s="1">
        <v>7054295</v>
      </c>
      <c r="K5075">
        <v>0</v>
      </c>
    </row>
    <row r="5076" spans="1:11" x14ac:dyDescent="0.25">
      <c r="A5076" t="s">
        <v>326</v>
      </c>
      <c r="B5076" t="s">
        <v>821</v>
      </c>
      <c r="C5076" t="s">
        <v>870</v>
      </c>
      <c r="D5076" t="s">
        <v>11</v>
      </c>
      <c r="E5076">
        <v>29</v>
      </c>
      <c r="F5076" s="2">
        <f>DATE(2026,IF(Tabla1[[#This Row],[Mes de Fecha]]="Septiembre",9,10),Tabla1[[#This Row],[Día de Fecha]])</f>
        <v>46294</v>
      </c>
      <c r="G5076">
        <v>43595446</v>
      </c>
      <c r="H5076" t="s">
        <v>752</v>
      </c>
      <c r="I5076">
        <v>28</v>
      </c>
      <c r="J5076">
        <v>0</v>
      </c>
      <c r="K5076" s="1">
        <v>1595254</v>
      </c>
    </row>
    <row r="5077" spans="1:11" x14ac:dyDescent="0.25">
      <c r="A5077" t="s">
        <v>326</v>
      </c>
      <c r="B5077" t="s">
        <v>821</v>
      </c>
      <c r="C5077" t="s">
        <v>870</v>
      </c>
      <c r="D5077" t="s">
        <v>11</v>
      </c>
      <c r="E5077">
        <v>29</v>
      </c>
      <c r="F5077" s="2">
        <f>DATE(2026,IF(Tabla1[[#This Row],[Mes de Fecha]]="Septiembre",9,10),Tabla1[[#This Row],[Día de Fecha]])</f>
        <v>46294</v>
      </c>
      <c r="G5077">
        <v>1000873482</v>
      </c>
      <c r="H5077" t="s">
        <v>740</v>
      </c>
      <c r="I5077">
        <v>30</v>
      </c>
      <c r="J5077">
        <v>0</v>
      </c>
      <c r="K5077" s="1">
        <v>1010631</v>
      </c>
    </row>
    <row r="5078" spans="1:11" x14ac:dyDescent="0.25">
      <c r="A5078" t="s">
        <v>326</v>
      </c>
      <c r="B5078" t="s">
        <v>821</v>
      </c>
      <c r="C5078" t="s">
        <v>870</v>
      </c>
      <c r="D5078" t="s">
        <v>11</v>
      </c>
      <c r="E5078">
        <v>29</v>
      </c>
      <c r="F5078" s="2">
        <f>DATE(2026,IF(Tabla1[[#This Row],[Mes de Fecha]]="Septiembre",9,10),Tabla1[[#This Row],[Día de Fecha]])</f>
        <v>46294</v>
      </c>
      <c r="G5078">
        <v>1033259333</v>
      </c>
      <c r="H5078" t="s">
        <v>745</v>
      </c>
      <c r="I5078">
        <v>24</v>
      </c>
      <c r="J5078">
        <v>0</v>
      </c>
      <c r="K5078" s="1">
        <v>1456807</v>
      </c>
    </row>
    <row r="5079" spans="1:11" x14ac:dyDescent="0.25">
      <c r="A5079" t="s">
        <v>326</v>
      </c>
      <c r="B5079" t="s">
        <v>821</v>
      </c>
      <c r="C5079" t="s">
        <v>870</v>
      </c>
      <c r="D5079" t="s">
        <v>11</v>
      </c>
      <c r="E5079">
        <v>29</v>
      </c>
      <c r="F5079" s="2">
        <f>DATE(2026,IF(Tabla1[[#This Row],[Mes de Fecha]]="Septiembre",9,10),Tabla1[[#This Row],[Día de Fecha]])</f>
        <v>46294</v>
      </c>
      <c r="G5079">
        <v>1034989462</v>
      </c>
      <c r="H5079" t="s">
        <v>795</v>
      </c>
      <c r="I5079">
        <v>19</v>
      </c>
      <c r="J5079">
        <v>0</v>
      </c>
      <c r="K5079" s="1">
        <v>1288952</v>
      </c>
    </row>
    <row r="5080" spans="1:11" x14ac:dyDescent="0.25">
      <c r="A5080" t="s">
        <v>326</v>
      </c>
      <c r="B5080" t="s">
        <v>821</v>
      </c>
      <c r="C5080" t="s">
        <v>870</v>
      </c>
      <c r="D5080" t="s">
        <v>11</v>
      </c>
      <c r="E5080">
        <v>29</v>
      </c>
      <c r="F5080" s="2">
        <f>DATE(2026,IF(Tabla1[[#This Row],[Mes de Fecha]]="Septiembre",9,10),Tabla1[[#This Row],[Día de Fecha]])</f>
        <v>46294</v>
      </c>
      <c r="G5080">
        <v>1039467642</v>
      </c>
      <c r="H5080" t="s">
        <v>796</v>
      </c>
      <c r="I5080">
        <v>17</v>
      </c>
      <c r="J5080">
        <v>0</v>
      </c>
      <c r="K5080" s="1">
        <v>755421</v>
      </c>
    </row>
    <row r="5081" spans="1:11" x14ac:dyDescent="0.25">
      <c r="A5081" t="s">
        <v>326</v>
      </c>
      <c r="B5081" t="s">
        <v>821</v>
      </c>
      <c r="C5081" t="s">
        <v>870</v>
      </c>
      <c r="D5081" t="s">
        <v>11</v>
      </c>
      <c r="E5081">
        <v>29</v>
      </c>
      <c r="F5081" s="2">
        <f>DATE(2026,IF(Tabla1[[#This Row],[Mes de Fecha]]="Septiembre",9,10),Tabla1[[#This Row],[Día de Fecha]])</f>
        <v>46294</v>
      </c>
      <c r="G5081">
        <v>1143413347</v>
      </c>
      <c r="H5081" t="s">
        <v>822</v>
      </c>
      <c r="I5081">
        <v>8</v>
      </c>
      <c r="J5081">
        <v>0</v>
      </c>
      <c r="K5081" s="1">
        <v>419790</v>
      </c>
    </row>
    <row r="5082" spans="1:11" x14ac:dyDescent="0.25">
      <c r="A5082" t="s">
        <v>326</v>
      </c>
      <c r="B5082" t="s">
        <v>821</v>
      </c>
      <c r="C5082" t="s">
        <v>870</v>
      </c>
      <c r="D5082" t="s">
        <v>11</v>
      </c>
      <c r="E5082">
        <v>30</v>
      </c>
      <c r="F5082" s="2">
        <f>DATE(2026,IF(Tabla1[[#This Row],[Mes de Fecha]]="Septiembre",9,10),Tabla1[[#This Row],[Día de Fecha]])</f>
        <v>46295</v>
      </c>
      <c r="I5082">
        <v>0</v>
      </c>
      <c r="J5082" s="1">
        <v>7447920</v>
      </c>
      <c r="K5082">
        <v>0</v>
      </c>
    </row>
    <row r="5083" spans="1:11" x14ac:dyDescent="0.25">
      <c r="A5083" t="s">
        <v>326</v>
      </c>
      <c r="B5083" t="s">
        <v>821</v>
      </c>
      <c r="C5083" t="s">
        <v>870</v>
      </c>
      <c r="D5083" t="s">
        <v>11</v>
      </c>
      <c r="E5083">
        <v>30</v>
      </c>
      <c r="F5083" s="2">
        <f>DATE(2026,IF(Tabla1[[#This Row],[Mes de Fecha]]="Septiembre",9,10),Tabla1[[#This Row],[Día de Fecha]])</f>
        <v>46295</v>
      </c>
      <c r="G5083">
        <v>43595446</v>
      </c>
      <c r="H5083" t="s">
        <v>752</v>
      </c>
      <c r="I5083">
        <v>37</v>
      </c>
      <c r="J5083">
        <v>0</v>
      </c>
      <c r="K5083" s="1">
        <v>1863614</v>
      </c>
    </row>
    <row r="5084" spans="1:11" x14ac:dyDescent="0.25">
      <c r="A5084" t="s">
        <v>326</v>
      </c>
      <c r="B5084" t="s">
        <v>821</v>
      </c>
      <c r="C5084" t="s">
        <v>870</v>
      </c>
      <c r="D5084" t="s">
        <v>11</v>
      </c>
      <c r="E5084">
        <v>30</v>
      </c>
      <c r="F5084" s="2">
        <f>DATE(2026,IF(Tabla1[[#This Row],[Mes de Fecha]]="Septiembre",9,10),Tabla1[[#This Row],[Día de Fecha]])</f>
        <v>46295</v>
      </c>
      <c r="G5084">
        <v>1000873482</v>
      </c>
      <c r="H5084" t="s">
        <v>740</v>
      </c>
      <c r="I5084">
        <v>36</v>
      </c>
      <c r="J5084">
        <v>0</v>
      </c>
      <c r="K5084" s="1">
        <v>1722817</v>
      </c>
    </row>
    <row r="5085" spans="1:11" x14ac:dyDescent="0.25">
      <c r="A5085" t="s">
        <v>326</v>
      </c>
      <c r="B5085" t="s">
        <v>821</v>
      </c>
      <c r="C5085" t="s">
        <v>870</v>
      </c>
      <c r="D5085" t="s">
        <v>11</v>
      </c>
      <c r="E5085">
        <v>30</v>
      </c>
      <c r="F5085" s="2">
        <f>DATE(2026,IF(Tabla1[[#This Row],[Mes de Fecha]]="Septiembre",9,10),Tabla1[[#This Row],[Día de Fecha]])</f>
        <v>46295</v>
      </c>
      <c r="G5085">
        <v>1033259333</v>
      </c>
      <c r="H5085" t="s">
        <v>745</v>
      </c>
      <c r="I5085">
        <v>30</v>
      </c>
      <c r="J5085">
        <v>0</v>
      </c>
      <c r="K5085" s="1">
        <v>1342859</v>
      </c>
    </row>
    <row r="5086" spans="1:11" x14ac:dyDescent="0.25">
      <c r="A5086" t="s">
        <v>326</v>
      </c>
      <c r="B5086" t="s">
        <v>821</v>
      </c>
      <c r="C5086" t="s">
        <v>870</v>
      </c>
      <c r="D5086" t="s">
        <v>11</v>
      </c>
      <c r="E5086">
        <v>30</v>
      </c>
      <c r="F5086" s="2">
        <f>DATE(2026,IF(Tabla1[[#This Row],[Mes de Fecha]]="Septiembre",9,10),Tabla1[[#This Row],[Día de Fecha]])</f>
        <v>46295</v>
      </c>
      <c r="G5086">
        <v>1034989462</v>
      </c>
      <c r="H5086" t="s">
        <v>795</v>
      </c>
      <c r="I5086">
        <v>24</v>
      </c>
      <c r="J5086">
        <v>0</v>
      </c>
      <c r="K5086" s="1">
        <v>1015587</v>
      </c>
    </row>
    <row r="5087" spans="1:11" x14ac:dyDescent="0.25">
      <c r="A5087" t="s">
        <v>326</v>
      </c>
      <c r="B5087" t="s">
        <v>821</v>
      </c>
      <c r="C5087" t="s">
        <v>870</v>
      </c>
      <c r="D5087" t="s">
        <v>11</v>
      </c>
      <c r="E5087">
        <v>30</v>
      </c>
      <c r="F5087" s="2">
        <f>DATE(2026,IF(Tabla1[[#This Row],[Mes de Fecha]]="Septiembre",9,10),Tabla1[[#This Row],[Día de Fecha]])</f>
        <v>46295</v>
      </c>
      <c r="G5087">
        <v>1039467642</v>
      </c>
      <c r="H5087" t="s">
        <v>796</v>
      </c>
      <c r="I5087">
        <v>25</v>
      </c>
      <c r="J5087">
        <v>0</v>
      </c>
      <c r="K5087" s="1">
        <v>1444034</v>
      </c>
    </row>
    <row r="5088" spans="1:11" x14ac:dyDescent="0.25">
      <c r="A5088" t="s">
        <v>326</v>
      </c>
      <c r="B5088" t="s">
        <v>821</v>
      </c>
      <c r="C5088" t="s">
        <v>870</v>
      </c>
      <c r="D5088" t="s">
        <v>11</v>
      </c>
      <c r="E5088">
        <v>30</v>
      </c>
      <c r="F5088" s="2">
        <f>DATE(2026,IF(Tabla1[[#This Row],[Mes de Fecha]]="Septiembre",9,10),Tabla1[[#This Row],[Día de Fecha]])</f>
        <v>46295</v>
      </c>
      <c r="G5088">
        <v>1143413347</v>
      </c>
      <c r="H5088" t="s">
        <v>822</v>
      </c>
      <c r="I5088">
        <v>16</v>
      </c>
      <c r="J5088">
        <v>0</v>
      </c>
      <c r="K5088" s="1">
        <v>814286</v>
      </c>
    </row>
    <row r="5089" spans="1:11" x14ac:dyDescent="0.25">
      <c r="A5089" t="s">
        <v>326</v>
      </c>
      <c r="B5089" t="s">
        <v>821</v>
      </c>
      <c r="C5089" t="s">
        <v>870</v>
      </c>
      <c r="D5089" t="s">
        <v>14</v>
      </c>
      <c r="E5089">
        <v>1</v>
      </c>
      <c r="F5089" s="2">
        <f>DATE(2026,IF(Tabla1[[#This Row],[Mes de Fecha]]="Septiembre",9,10),Tabla1[[#This Row],[Día de Fecha]])</f>
        <v>46296</v>
      </c>
      <c r="I5089">
        <v>0</v>
      </c>
      <c r="J5089" s="1">
        <v>10490279</v>
      </c>
      <c r="K5089">
        <v>0</v>
      </c>
    </row>
    <row r="5090" spans="1:11" x14ac:dyDescent="0.25">
      <c r="A5090" t="s">
        <v>326</v>
      </c>
      <c r="B5090" t="s">
        <v>821</v>
      </c>
      <c r="C5090" t="s">
        <v>870</v>
      </c>
      <c r="D5090" t="s">
        <v>14</v>
      </c>
      <c r="E5090">
        <v>1</v>
      </c>
      <c r="F5090" s="2">
        <f>DATE(2026,IF(Tabla1[[#This Row],[Mes de Fecha]]="Septiembre",9,10),Tabla1[[#This Row],[Día de Fecha]])</f>
        <v>46296</v>
      </c>
      <c r="G5090">
        <v>43595446</v>
      </c>
      <c r="H5090" t="s">
        <v>752</v>
      </c>
      <c r="I5090">
        <v>30</v>
      </c>
      <c r="J5090">
        <v>0</v>
      </c>
      <c r="K5090" s="1">
        <v>1439372</v>
      </c>
    </row>
    <row r="5091" spans="1:11" x14ac:dyDescent="0.25">
      <c r="A5091" t="s">
        <v>326</v>
      </c>
      <c r="B5091" t="s">
        <v>821</v>
      </c>
      <c r="C5091" t="s">
        <v>870</v>
      </c>
      <c r="D5091" t="s">
        <v>14</v>
      </c>
      <c r="E5091">
        <v>1</v>
      </c>
      <c r="F5091" s="2">
        <f>DATE(2026,IF(Tabla1[[#This Row],[Mes de Fecha]]="Septiembre",9,10),Tabla1[[#This Row],[Día de Fecha]])</f>
        <v>46296</v>
      </c>
      <c r="G5091">
        <v>1000873482</v>
      </c>
      <c r="H5091" t="s">
        <v>740</v>
      </c>
      <c r="I5091">
        <v>26</v>
      </c>
      <c r="J5091">
        <v>0</v>
      </c>
      <c r="K5091" s="1">
        <v>1452565</v>
      </c>
    </row>
    <row r="5092" spans="1:11" x14ac:dyDescent="0.25">
      <c r="A5092" t="s">
        <v>326</v>
      </c>
      <c r="B5092" t="s">
        <v>821</v>
      </c>
      <c r="C5092" t="s">
        <v>870</v>
      </c>
      <c r="D5092" t="s">
        <v>14</v>
      </c>
      <c r="E5092">
        <v>1</v>
      </c>
      <c r="F5092" s="2">
        <f>DATE(2026,IF(Tabla1[[#This Row],[Mes de Fecha]]="Septiembre",9,10),Tabla1[[#This Row],[Día de Fecha]])</f>
        <v>46296</v>
      </c>
      <c r="G5092">
        <v>1033259333</v>
      </c>
      <c r="H5092" t="s">
        <v>745</v>
      </c>
      <c r="I5092">
        <v>16</v>
      </c>
      <c r="J5092">
        <v>0</v>
      </c>
      <c r="K5092" s="1">
        <v>898195</v>
      </c>
    </row>
    <row r="5093" spans="1:11" x14ac:dyDescent="0.25">
      <c r="A5093" t="s">
        <v>326</v>
      </c>
      <c r="B5093" t="s">
        <v>821</v>
      </c>
      <c r="C5093" t="s">
        <v>870</v>
      </c>
      <c r="D5093" t="s">
        <v>14</v>
      </c>
      <c r="E5093">
        <v>1</v>
      </c>
      <c r="F5093" s="2">
        <f>DATE(2026,IF(Tabla1[[#This Row],[Mes de Fecha]]="Septiembre",9,10),Tabla1[[#This Row],[Día de Fecha]])</f>
        <v>46296</v>
      </c>
      <c r="G5093">
        <v>1034989462</v>
      </c>
      <c r="H5093" t="s">
        <v>795</v>
      </c>
      <c r="I5093">
        <v>13</v>
      </c>
      <c r="J5093">
        <v>0</v>
      </c>
      <c r="K5093" s="1">
        <v>663152</v>
      </c>
    </row>
    <row r="5094" spans="1:11" x14ac:dyDescent="0.25">
      <c r="A5094" t="s">
        <v>326</v>
      </c>
      <c r="B5094" t="s">
        <v>821</v>
      </c>
      <c r="C5094" t="s">
        <v>870</v>
      </c>
      <c r="D5094" t="s">
        <v>14</v>
      </c>
      <c r="E5094">
        <v>1</v>
      </c>
      <c r="F5094" s="2">
        <f>DATE(2026,IF(Tabla1[[#This Row],[Mes de Fecha]]="Septiembre",9,10),Tabla1[[#This Row],[Día de Fecha]])</f>
        <v>46296</v>
      </c>
      <c r="G5094">
        <v>1037585001</v>
      </c>
      <c r="H5094" t="s">
        <v>746</v>
      </c>
      <c r="I5094">
        <v>-1</v>
      </c>
      <c r="J5094">
        <v>0</v>
      </c>
      <c r="K5094" s="1">
        <v>-54580</v>
      </c>
    </row>
    <row r="5095" spans="1:11" x14ac:dyDescent="0.25">
      <c r="A5095" t="s">
        <v>326</v>
      </c>
      <c r="B5095" t="s">
        <v>821</v>
      </c>
      <c r="C5095" t="s">
        <v>870</v>
      </c>
      <c r="D5095" t="s">
        <v>14</v>
      </c>
      <c r="E5095">
        <v>1</v>
      </c>
      <c r="F5095" s="2">
        <f>DATE(2026,IF(Tabla1[[#This Row],[Mes de Fecha]]="Septiembre",9,10),Tabla1[[#This Row],[Día de Fecha]])</f>
        <v>46296</v>
      </c>
      <c r="G5095">
        <v>1039467642</v>
      </c>
      <c r="H5095" t="s">
        <v>796</v>
      </c>
      <c r="I5095">
        <v>26</v>
      </c>
      <c r="J5095">
        <v>0</v>
      </c>
      <c r="K5095" s="1">
        <v>1048740</v>
      </c>
    </row>
    <row r="5096" spans="1:11" x14ac:dyDescent="0.25">
      <c r="A5096" t="s">
        <v>326</v>
      </c>
      <c r="B5096" t="s">
        <v>821</v>
      </c>
      <c r="C5096" t="s">
        <v>870</v>
      </c>
      <c r="D5096" t="s">
        <v>14</v>
      </c>
      <c r="E5096">
        <v>1</v>
      </c>
      <c r="F5096" s="2">
        <f>DATE(2026,IF(Tabla1[[#This Row],[Mes de Fecha]]="Septiembre",9,10),Tabla1[[#This Row],[Día de Fecha]])</f>
        <v>46296</v>
      </c>
      <c r="G5096">
        <v>1143413347</v>
      </c>
      <c r="H5096" t="s">
        <v>822</v>
      </c>
      <c r="I5096">
        <v>22</v>
      </c>
      <c r="J5096">
        <v>0</v>
      </c>
      <c r="K5096" s="1">
        <v>1011516</v>
      </c>
    </row>
    <row r="5097" spans="1:11" x14ac:dyDescent="0.25">
      <c r="A5097" t="s">
        <v>326</v>
      </c>
      <c r="B5097" t="s">
        <v>821</v>
      </c>
      <c r="C5097" t="s">
        <v>870</v>
      </c>
      <c r="D5097" t="s">
        <v>14</v>
      </c>
      <c r="E5097">
        <v>2</v>
      </c>
      <c r="F5097" s="2">
        <f>DATE(2026,IF(Tabla1[[#This Row],[Mes de Fecha]]="Septiembre",9,10),Tabla1[[#This Row],[Día de Fecha]])</f>
        <v>46297</v>
      </c>
      <c r="I5097">
        <v>0</v>
      </c>
      <c r="J5097" s="1">
        <v>9484586</v>
      </c>
      <c r="K5097">
        <v>0</v>
      </c>
    </row>
    <row r="5098" spans="1:11" x14ac:dyDescent="0.25">
      <c r="A5098" t="s">
        <v>326</v>
      </c>
      <c r="B5098" t="s">
        <v>821</v>
      </c>
      <c r="C5098" t="s">
        <v>870</v>
      </c>
      <c r="D5098" t="s">
        <v>14</v>
      </c>
      <c r="E5098">
        <v>2</v>
      </c>
      <c r="F5098" s="2">
        <f>DATE(2026,IF(Tabla1[[#This Row],[Mes de Fecha]]="Septiembre",9,10),Tabla1[[#This Row],[Día de Fecha]])</f>
        <v>46297</v>
      </c>
      <c r="G5098">
        <v>43595446</v>
      </c>
      <c r="H5098" t="s">
        <v>752</v>
      </c>
      <c r="I5098">
        <v>45</v>
      </c>
      <c r="J5098">
        <v>0</v>
      </c>
      <c r="K5098" s="1">
        <v>2632062</v>
      </c>
    </row>
    <row r="5099" spans="1:11" x14ac:dyDescent="0.25">
      <c r="A5099" t="s">
        <v>326</v>
      </c>
      <c r="B5099" t="s">
        <v>821</v>
      </c>
      <c r="C5099" t="s">
        <v>870</v>
      </c>
      <c r="D5099" t="s">
        <v>14</v>
      </c>
      <c r="E5099">
        <v>2</v>
      </c>
      <c r="F5099" s="2">
        <f>DATE(2026,IF(Tabla1[[#This Row],[Mes de Fecha]]="Septiembre",9,10),Tabla1[[#This Row],[Día de Fecha]])</f>
        <v>46297</v>
      </c>
      <c r="G5099">
        <v>1000873482</v>
      </c>
      <c r="H5099" t="s">
        <v>740</v>
      </c>
      <c r="I5099">
        <v>52</v>
      </c>
      <c r="J5099">
        <v>0</v>
      </c>
      <c r="K5099" s="1">
        <v>2623447</v>
      </c>
    </row>
    <row r="5100" spans="1:11" x14ac:dyDescent="0.25">
      <c r="A5100" t="s">
        <v>326</v>
      </c>
      <c r="B5100" t="s">
        <v>821</v>
      </c>
      <c r="C5100" t="s">
        <v>870</v>
      </c>
      <c r="D5100" t="s">
        <v>14</v>
      </c>
      <c r="E5100">
        <v>2</v>
      </c>
      <c r="F5100" s="2">
        <f>DATE(2026,IF(Tabla1[[#This Row],[Mes de Fecha]]="Septiembre",9,10),Tabla1[[#This Row],[Día de Fecha]])</f>
        <v>46297</v>
      </c>
      <c r="G5100">
        <v>1002596138</v>
      </c>
      <c r="H5100" t="s">
        <v>719</v>
      </c>
      <c r="I5100">
        <v>-1</v>
      </c>
      <c r="J5100">
        <v>0</v>
      </c>
      <c r="K5100" s="1">
        <v>-41975</v>
      </c>
    </row>
    <row r="5101" spans="1:11" x14ac:dyDescent="0.25">
      <c r="A5101" t="s">
        <v>326</v>
      </c>
      <c r="B5101" t="s">
        <v>821</v>
      </c>
      <c r="C5101" t="s">
        <v>870</v>
      </c>
      <c r="D5101" t="s">
        <v>14</v>
      </c>
      <c r="E5101">
        <v>2</v>
      </c>
      <c r="F5101" s="2">
        <f>DATE(2026,IF(Tabla1[[#This Row],[Mes de Fecha]]="Septiembre",9,10),Tabla1[[#This Row],[Día de Fecha]])</f>
        <v>46297</v>
      </c>
      <c r="G5101">
        <v>1007390161</v>
      </c>
      <c r="H5101" t="s">
        <v>743</v>
      </c>
      <c r="I5101">
        <v>-1</v>
      </c>
      <c r="J5101">
        <v>0</v>
      </c>
      <c r="K5101" s="1">
        <v>-105000</v>
      </c>
    </row>
    <row r="5102" spans="1:11" x14ac:dyDescent="0.25">
      <c r="A5102" t="s">
        <v>326</v>
      </c>
      <c r="B5102" t="s">
        <v>821</v>
      </c>
      <c r="C5102" t="s">
        <v>870</v>
      </c>
      <c r="D5102" t="s">
        <v>14</v>
      </c>
      <c r="E5102">
        <v>2</v>
      </c>
      <c r="F5102" s="2">
        <f>DATE(2026,IF(Tabla1[[#This Row],[Mes de Fecha]]="Septiembre",9,10),Tabla1[[#This Row],[Día de Fecha]])</f>
        <v>46297</v>
      </c>
      <c r="G5102">
        <v>1033259333</v>
      </c>
      <c r="H5102" t="s">
        <v>745</v>
      </c>
      <c r="I5102">
        <v>49</v>
      </c>
      <c r="J5102">
        <v>0</v>
      </c>
      <c r="K5102" s="1">
        <v>3018656</v>
      </c>
    </row>
    <row r="5103" spans="1:11" x14ac:dyDescent="0.25">
      <c r="A5103" t="s">
        <v>326</v>
      </c>
      <c r="B5103" t="s">
        <v>821</v>
      </c>
      <c r="C5103" t="s">
        <v>870</v>
      </c>
      <c r="D5103" t="s">
        <v>14</v>
      </c>
      <c r="E5103">
        <v>2</v>
      </c>
      <c r="F5103" s="2">
        <f>DATE(2026,IF(Tabla1[[#This Row],[Mes de Fecha]]="Septiembre",9,10),Tabla1[[#This Row],[Día de Fecha]])</f>
        <v>46297</v>
      </c>
      <c r="G5103">
        <v>1034989462</v>
      </c>
      <c r="H5103" t="s">
        <v>795</v>
      </c>
      <c r="I5103">
        <v>10</v>
      </c>
      <c r="J5103">
        <v>0</v>
      </c>
      <c r="K5103" s="1">
        <v>507986</v>
      </c>
    </row>
    <row r="5104" spans="1:11" x14ac:dyDescent="0.25">
      <c r="A5104" t="s">
        <v>326</v>
      </c>
      <c r="B5104" t="s">
        <v>821</v>
      </c>
      <c r="C5104" t="s">
        <v>870</v>
      </c>
      <c r="D5104" t="s">
        <v>14</v>
      </c>
      <c r="E5104">
        <v>2</v>
      </c>
      <c r="F5104" s="2">
        <f>DATE(2026,IF(Tabla1[[#This Row],[Mes de Fecha]]="Septiembre",9,10),Tabla1[[#This Row],[Día de Fecha]])</f>
        <v>46297</v>
      </c>
      <c r="G5104">
        <v>1039467642</v>
      </c>
      <c r="H5104" t="s">
        <v>796</v>
      </c>
      <c r="I5104">
        <v>18</v>
      </c>
      <c r="J5104">
        <v>0</v>
      </c>
      <c r="K5104" s="1">
        <v>1108489</v>
      </c>
    </row>
    <row r="5105" spans="1:11" x14ac:dyDescent="0.25">
      <c r="A5105" t="s">
        <v>326</v>
      </c>
      <c r="B5105" t="s">
        <v>821</v>
      </c>
      <c r="C5105" t="s">
        <v>870</v>
      </c>
      <c r="D5105" t="s">
        <v>14</v>
      </c>
      <c r="E5105">
        <v>2</v>
      </c>
      <c r="F5105" s="2">
        <f>DATE(2026,IF(Tabla1[[#This Row],[Mes de Fecha]]="Septiembre",9,10),Tabla1[[#This Row],[Día de Fecha]])</f>
        <v>46297</v>
      </c>
      <c r="G5105">
        <v>1039761353</v>
      </c>
      <c r="H5105" t="s">
        <v>759</v>
      </c>
      <c r="I5105">
        <v>-1</v>
      </c>
      <c r="J5105">
        <v>0</v>
      </c>
      <c r="K5105" s="1">
        <v>-79790</v>
      </c>
    </row>
    <row r="5106" spans="1:11" x14ac:dyDescent="0.25">
      <c r="A5106" t="s">
        <v>326</v>
      </c>
      <c r="B5106" t="s">
        <v>821</v>
      </c>
      <c r="C5106" t="s">
        <v>870</v>
      </c>
      <c r="D5106" t="s">
        <v>14</v>
      </c>
      <c r="E5106">
        <v>2</v>
      </c>
      <c r="F5106" s="2">
        <f>DATE(2026,IF(Tabla1[[#This Row],[Mes de Fecha]]="Septiembre",9,10),Tabla1[[#This Row],[Día de Fecha]])</f>
        <v>46297</v>
      </c>
      <c r="G5106">
        <v>1070607146</v>
      </c>
      <c r="H5106" t="s">
        <v>739</v>
      </c>
      <c r="I5106">
        <v>-1</v>
      </c>
      <c r="J5106">
        <v>0</v>
      </c>
      <c r="K5106" s="1">
        <v>-75546</v>
      </c>
    </row>
    <row r="5107" spans="1:11" x14ac:dyDescent="0.25">
      <c r="A5107" t="s">
        <v>326</v>
      </c>
      <c r="B5107" t="s">
        <v>821</v>
      </c>
      <c r="C5107" t="s">
        <v>870</v>
      </c>
      <c r="D5107" t="s">
        <v>14</v>
      </c>
      <c r="E5107">
        <v>2</v>
      </c>
      <c r="F5107" s="2">
        <f>DATE(2026,IF(Tabla1[[#This Row],[Mes de Fecha]]="Septiembre",9,10),Tabla1[[#This Row],[Día de Fecha]])</f>
        <v>46297</v>
      </c>
      <c r="G5107">
        <v>1143413347</v>
      </c>
      <c r="H5107" t="s">
        <v>822</v>
      </c>
      <c r="I5107">
        <v>30</v>
      </c>
      <c r="J5107">
        <v>0</v>
      </c>
      <c r="K5107" s="1">
        <v>1506851</v>
      </c>
    </row>
    <row r="5108" spans="1:11" x14ac:dyDescent="0.25">
      <c r="A5108" t="s">
        <v>326</v>
      </c>
      <c r="B5108" t="s">
        <v>821</v>
      </c>
      <c r="C5108" t="s">
        <v>870</v>
      </c>
      <c r="D5108" t="s">
        <v>14</v>
      </c>
      <c r="E5108">
        <v>3</v>
      </c>
      <c r="F5108" s="2">
        <f>DATE(2026,IF(Tabla1[[#This Row],[Mes de Fecha]]="Septiembre",9,10),Tabla1[[#This Row],[Día de Fecha]])</f>
        <v>46298</v>
      </c>
      <c r="I5108">
        <v>0</v>
      </c>
      <c r="J5108" s="1">
        <v>11014605</v>
      </c>
      <c r="K5108">
        <v>0</v>
      </c>
    </row>
    <row r="5109" spans="1:11" x14ac:dyDescent="0.25">
      <c r="A5109" t="s">
        <v>326</v>
      </c>
      <c r="B5109" t="s">
        <v>821</v>
      </c>
      <c r="C5109" t="s">
        <v>870</v>
      </c>
      <c r="D5109" t="s">
        <v>14</v>
      </c>
      <c r="E5109">
        <v>3</v>
      </c>
      <c r="F5109" s="2">
        <f>DATE(2026,IF(Tabla1[[#This Row],[Mes de Fecha]]="Septiembre",9,10),Tabla1[[#This Row],[Día de Fecha]])</f>
        <v>46298</v>
      </c>
      <c r="G5109">
        <v>43595446</v>
      </c>
      <c r="H5109" t="s">
        <v>752</v>
      </c>
      <c r="I5109">
        <v>80</v>
      </c>
      <c r="J5109">
        <v>0</v>
      </c>
      <c r="K5109" s="1">
        <v>4567639</v>
      </c>
    </row>
    <row r="5110" spans="1:11" x14ac:dyDescent="0.25">
      <c r="A5110" t="s">
        <v>326</v>
      </c>
      <c r="B5110" t="s">
        <v>821</v>
      </c>
      <c r="C5110" t="s">
        <v>870</v>
      </c>
      <c r="D5110" t="s">
        <v>14</v>
      </c>
      <c r="E5110">
        <v>3</v>
      </c>
      <c r="F5110" s="2">
        <f>DATE(2026,IF(Tabla1[[#This Row],[Mes de Fecha]]="Septiembre",9,10),Tabla1[[#This Row],[Día de Fecha]])</f>
        <v>46298</v>
      </c>
      <c r="G5110">
        <v>1000873482</v>
      </c>
      <c r="H5110" t="s">
        <v>740</v>
      </c>
      <c r="I5110">
        <v>93</v>
      </c>
      <c r="J5110">
        <v>0</v>
      </c>
      <c r="K5110" s="1">
        <v>4569973</v>
      </c>
    </row>
    <row r="5111" spans="1:11" x14ac:dyDescent="0.25">
      <c r="A5111" t="s">
        <v>326</v>
      </c>
      <c r="B5111" t="s">
        <v>821</v>
      </c>
      <c r="C5111" t="s">
        <v>870</v>
      </c>
      <c r="D5111" t="s">
        <v>14</v>
      </c>
      <c r="E5111">
        <v>3</v>
      </c>
      <c r="F5111" s="2">
        <f>DATE(2026,IF(Tabla1[[#This Row],[Mes de Fecha]]="Septiembre",9,10),Tabla1[[#This Row],[Día de Fecha]])</f>
        <v>46298</v>
      </c>
      <c r="G5111">
        <v>1002596138</v>
      </c>
      <c r="H5111" t="s">
        <v>719</v>
      </c>
      <c r="I5111">
        <v>-1</v>
      </c>
      <c r="J5111">
        <v>0</v>
      </c>
      <c r="K5111" s="1">
        <v>-54580</v>
      </c>
    </row>
    <row r="5112" spans="1:11" x14ac:dyDescent="0.25">
      <c r="A5112" t="s">
        <v>326</v>
      </c>
      <c r="B5112" t="s">
        <v>821</v>
      </c>
      <c r="C5112" t="s">
        <v>870</v>
      </c>
      <c r="D5112" t="s">
        <v>14</v>
      </c>
      <c r="E5112">
        <v>3</v>
      </c>
      <c r="F5112" s="2">
        <f>DATE(2026,IF(Tabla1[[#This Row],[Mes de Fecha]]="Septiembre",9,10),Tabla1[[#This Row],[Día de Fecha]])</f>
        <v>46298</v>
      </c>
      <c r="G5112">
        <v>1033259333</v>
      </c>
      <c r="H5112" t="s">
        <v>745</v>
      </c>
      <c r="I5112">
        <v>56</v>
      </c>
      <c r="J5112">
        <v>0</v>
      </c>
      <c r="K5112" s="1">
        <v>2562137</v>
      </c>
    </row>
    <row r="5113" spans="1:11" x14ac:dyDescent="0.25">
      <c r="A5113" t="s">
        <v>326</v>
      </c>
      <c r="B5113" t="s">
        <v>821</v>
      </c>
      <c r="C5113" t="s">
        <v>870</v>
      </c>
      <c r="D5113" t="s">
        <v>14</v>
      </c>
      <c r="E5113">
        <v>3</v>
      </c>
      <c r="F5113" s="2">
        <f>DATE(2026,IF(Tabla1[[#This Row],[Mes de Fecha]]="Septiembre",9,10),Tabla1[[#This Row],[Día de Fecha]])</f>
        <v>46298</v>
      </c>
      <c r="G5113">
        <v>1033486789</v>
      </c>
      <c r="H5113" t="s">
        <v>538</v>
      </c>
      <c r="I5113">
        <v>-1</v>
      </c>
      <c r="J5113">
        <v>0</v>
      </c>
      <c r="K5113" s="1">
        <v>-33572</v>
      </c>
    </row>
    <row r="5114" spans="1:11" x14ac:dyDescent="0.25">
      <c r="A5114" t="s">
        <v>326</v>
      </c>
      <c r="B5114" t="s">
        <v>821</v>
      </c>
      <c r="C5114" t="s">
        <v>870</v>
      </c>
      <c r="D5114" t="s">
        <v>14</v>
      </c>
      <c r="E5114">
        <v>3</v>
      </c>
      <c r="F5114" s="2">
        <f>DATE(2026,IF(Tabla1[[#This Row],[Mes de Fecha]]="Septiembre",9,10),Tabla1[[#This Row],[Día de Fecha]])</f>
        <v>46298</v>
      </c>
      <c r="G5114">
        <v>1034989462</v>
      </c>
      <c r="H5114" t="s">
        <v>795</v>
      </c>
      <c r="I5114">
        <v>31</v>
      </c>
      <c r="J5114">
        <v>0</v>
      </c>
      <c r="K5114" s="1">
        <v>1592614</v>
      </c>
    </row>
    <row r="5115" spans="1:11" x14ac:dyDescent="0.25">
      <c r="A5115" t="s">
        <v>326</v>
      </c>
      <c r="B5115" t="s">
        <v>821</v>
      </c>
      <c r="C5115" t="s">
        <v>870</v>
      </c>
      <c r="D5115" t="s">
        <v>14</v>
      </c>
      <c r="E5115">
        <v>3</v>
      </c>
      <c r="F5115" s="2">
        <f>DATE(2026,IF(Tabla1[[#This Row],[Mes de Fecha]]="Septiembre",9,10),Tabla1[[#This Row],[Día de Fecha]])</f>
        <v>46298</v>
      </c>
      <c r="G5115">
        <v>1039467642</v>
      </c>
      <c r="H5115" t="s">
        <v>796</v>
      </c>
      <c r="I5115">
        <v>25</v>
      </c>
      <c r="J5115">
        <v>0</v>
      </c>
      <c r="K5115" s="1">
        <v>1456127</v>
      </c>
    </row>
    <row r="5116" spans="1:11" x14ac:dyDescent="0.25">
      <c r="A5116" t="s">
        <v>326</v>
      </c>
      <c r="B5116" t="s">
        <v>821</v>
      </c>
      <c r="C5116" t="s">
        <v>870</v>
      </c>
      <c r="D5116" t="s">
        <v>14</v>
      </c>
      <c r="E5116">
        <v>3</v>
      </c>
      <c r="F5116" s="2">
        <f>DATE(2026,IF(Tabla1[[#This Row],[Mes de Fecha]]="Septiembre",9,10),Tabla1[[#This Row],[Día de Fecha]])</f>
        <v>46298</v>
      </c>
      <c r="G5116">
        <v>1143413347</v>
      </c>
      <c r="H5116" t="s">
        <v>822</v>
      </c>
      <c r="I5116">
        <v>28</v>
      </c>
      <c r="J5116">
        <v>0</v>
      </c>
      <c r="K5116" s="1">
        <v>1432311</v>
      </c>
    </row>
    <row r="5117" spans="1:11" x14ac:dyDescent="0.25">
      <c r="A5117" t="s">
        <v>326</v>
      </c>
      <c r="B5117" t="s">
        <v>821</v>
      </c>
      <c r="C5117" t="s">
        <v>870</v>
      </c>
      <c r="D5117" t="s">
        <v>14</v>
      </c>
      <c r="E5117">
        <v>4</v>
      </c>
      <c r="F5117" s="2">
        <f>DATE(2026,IF(Tabla1[[#This Row],[Mes de Fecha]]="Septiembre",9,10),Tabla1[[#This Row],[Día de Fecha]])</f>
        <v>46299</v>
      </c>
      <c r="I5117">
        <v>0</v>
      </c>
      <c r="J5117" s="1">
        <v>12414516</v>
      </c>
      <c r="K5117">
        <v>0</v>
      </c>
    </row>
    <row r="5118" spans="1:11" x14ac:dyDescent="0.25">
      <c r="A5118" t="s">
        <v>326</v>
      </c>
      <c r="B5118" t="s">
        <v>821</v>
      </c>
      <c r="C5118" t="s">
        <v>870</v>
      </c>
      <c r="D5118" t="s">
        <v>14</v>
      </c>
      <c r="E5118">
        <v>4</v>
      </c>
      <c r="F5118" s="2">
        <f>DATE(2026,IF(Tabla1[[#This Row],[Mes de Fecha]]="Septiembre",9,10),Tabla1[[#This Row],[Día de Fecha]])</f>
        <v>46299</v>
      </c>
      <c r="G5118">
        <v>43595446</v>
      </c>
      <c r="H5118" t="s">
        <v>752</v>
      </c>
      <c r="I5118">
        <v>58</v>
      </c>
      <c r="J5118">
        <v>0</v>
      </c>
      <c r="K5118" s="1">
        <v>2744957</v>
      </c>
    </row>
    <row r="5119" spans="1:11" x14ac:dyDescent="0.25">
      <c r="A5119" t="s">
        <v>326</v>
      </c>
      <c r="B5119" t="s">
        <v>821</v>
      </c>
      <c r="C5119" t="s">
        <v>870</v>
      </c>
      <c r="D5119" t="s">
        <v>14</v>
      </c>
      <c r="E5119">
        <v>4</v>
      </c>
      <c r="F5119" s="2">
        <f>DATE(2026,IF(Tabla1[[#This Row],[Mes de Fecha]]="Septiembre",9,10),Tabla1[[#This Row],[Día de Fecha]])</f>
        <v>46299</v>
      </c>
      <c r="G5119">
        <v>1000873482</v>
      </c>
      <c r="H5119" t="s">
        <v>740</v>
      </c>
      <c r="I5119">
        <v>43</v>
      </c>
      <c r="J5119">
        <v>0</v>
      </c>
      <c r="K5119" s="1">
        <v>1976639</v>
      </c>
    </row>
    <row r="5120" spans="1:11" x14ac:dyDescent="0.25">
      <c r="A5120" t="s">
        <v>326</v>
      </c>
      <c r="B5120" t="s">
        <v>821</v>
      </c>
      <c r="C5120" t="s">
        <v>870</v>
      </c>
      <c r="D5120" t="s">
        <v>14</v>
      </c>
      <c r="E5120">
        <v>4</v>
      </c>
      <c r="F5120" s="2">
        <f>DATE(2026,IF(Tabla1[[#This Row],[Mes de Fecha]]="Septiembre",9,10),Tabla1[[#This Row],[Día de Fecha]])</f>
        <v>46299</v>
      </c>
      <c r="G5120">
        <v>1023628602</v>
      </c>
      <c r="H5120" t="s">
        <v>794</v>
      </c>
      <c r="I5120">
        <v>-1</v>
      </c>
      <c r="J5120">
        <v>0</v>
      </c>
      <c r="K5120" s="1">
        <v>-109202</v>
      </c>
    </row>
    <row r="5121" spans="1:11" x14ac:dyDescent="0.25">
      <c r="A5121" t="s">
        <v>326</v>
      </c>
      <c r="B5121" t="s">
        <v>821</v>
      </c>
      <c r="C5121" t="s">
        <v>870</v>
      </c>
      <c r="D5121" t="s">
        <v>14</v>
      </c>
      <c r="E5121">
        <v>4</v>
      </c>
      <c r="F5121" s="2">
        <f>DATE(2026,IF(Tabla1[[#This Row],[Mes de Fecha]]="Septiembre",9,10),Tabla1[[#This Row],[Día de Fecha]])</f>
        <v>46299</v>
      </c>
      <c r="G5121">
        <v>1033259333</v>
      </c>
      <c r="H5121" t="s">
        <v>745</v>
      </c>
      <c r="I5121">
        <v>44</v>
      </c>
      <c r="J5121">
        <v>0</v>
      </c>
      <c r="K5121" s="1">
        <v>2426386</v>
      </c>
    </row>
    <row r="5122" spans="1:11" x14ac:dyDescent="0.25">
      <c r="A5122" t="s">
        <v>326</v>
      </c>
      <c r="B5122" t="s">
        <v>821</v>
      </c>
      <c r="C5122" t="s">
        <v>870</v>
      </c>
      <c r="D5122" t="s">
        <v>14</v>
      </c>
      <c r="E5122">
        <v>4</v>
      </c>
      <c r="F5122" s="2">
        <f>DATE(2026,IF(Tabla1[[#This Row],[Mes de Fecha]]="Septiembre",9,10),Tabla1[[#This Row],[Día de Fecha]])</f>
        <v>46299</v>
      </c>
      <c r="G5122">
        <v>1034989462</v>
      </c>
      <c r="H5122" t="s">
        <v>795</v>
      </c>
      <c r="I5122">
        <v>-2</v>
      </c>
      <c r="J5122">
        <v>0</v>
      </c>
      <c r="K5122" s="1">
        <v>-142773</v>
      </c>
    </row>
    <row r="5123" spans="1:11" x14ac:dyDescent="0.25">
      <c r="A5123" t="s">
        <v>326</v>
      </c>
      <c r="B5123" t="s">
        <v>821</v>
      </c>
      <c r="C5123" t="s">
        <v>870</v>
      </c>
      <c r="D5123" t="s">
        <v>14</v>
      </c>
      <c r="E5123">
        <v>4</v>
      </c>
      <c r="F5123" s="2">
        <f>DATE(2026,IF(Tabla1[[#This Row],[Mes de Fecha]]="Septiembre",9,10),Tabla1[[#This Row],[Día de Fecha]])</f>
        <v>46299</v>
      </c>
      <c r="G5123">
        <v>1039467642</v>
      </c>
      <c r="H5123" t="s">
        <v>796</v>
      </c>
      <c r="I5123">
        <v>34</v>
      </c>
      <c r="J5123">
        <v>0</v>
      </c>
      <c r="K5123" s="1">
        <v>2231556</v>
      </c>
    </row>
    <row r="5124" spans="1:11" x14ac:dyDescent="0.25">
      <c r="A5124" t="s">
        <v>326</v>
      </c>
      <c r="B5124" t="s">
        <v>821</v>
      </c>
      <c r="C5124" t="s">
        <v>870</v>
      </c>
      <c r="D5124" t="s">
        <v>14</v>
      </c>
      <c r="E5124">
        <v>4</v>
      </c>
      <c r="F5124" s="2">
        <f>DATE(2026,IF(Tabla1[[#This Row],[Mes de Fecha]]="Septiembre",9,10),Tabla1[[#This Row],[Día de Fecha]])</f>
        <v>46299</v>
      </c>
      <c r="G5124">
        <v>1143413347</v>
      </c>
      <c r="H5124" t="s">
        <v>822</v>
      </c>
      <c r="I5124">
        <v>26</v>
      </c>
      <c r="J5124">
        <v>0</v>
      </c>
      <c r="K5124" s="1">
        <v>1683403</v>
      </c>
    </row>
    <row r="5125" spans="1:11" x14ac:dyDescent="0.25">
      <c r="A5125" t="s">
        <v>326</v>
      </c>
      <c r="B5125" t="s">
        <v>821</v>
      </c>
      <c r="C5125" t="s">
        <v>870</v>
      </c>
      <c r="D5125" t="s">
        <v>14</v>
      </c>
      <c r="E5125">
        <v>5</v>
      </c>
      <c r="F5125" s="2">
        <f>DATE(2026,IF(Tabla1[[#This Row],[Mes de Fecha]]="Septiembre",9,10),Tabla1[[#This Row],[Día de Fecha]])</f>
        <v>46300</v>
      </c>
      <c r="I5125">
        <v>0</v>
      </c>
      <c r="J5125" s="1">
        <v>8888007</v>
      </c>
      <c r="K5125">
        <v>0</v>
      </c>
    </row>
    <row r="5126" spans="1:11" x14ac:dyDescent="0.25">
      <c r="A5126" t="s">
        <v>326</v>
      </c>
      <c r="B5126" t="s">
        <v>821</v>
      </c>
      <c r="C5126" t="s">
        <v>870</v>
      </c>
      <c r="D5126" t="s">
        <v>14</v>
      </c>
      <c r="E5126">
        <v>5</v>
      </c>
      <c r="F5126" s="2">
        <f>DATE(2026,IF(Tabla1[[#This Row],[Mes de Fecha]]="Septiembre",9,10),Tabla1[[#This Row],[Día de Fecha]])</f>
        <v>46300</v>
      </c>
      <c r="G5126">
        <v>43595446</v>
      </c>
      <c r="H5126" t="s">
        <v>752</v>
      </c>
      <c r="I5126">
        <v>31</v>
      </c>
      <c r="J5126">
        <v>0</v>
      </c>
      <c r="K5126" s="1">
        <v>1969077</v>
      </c>
    </row>
    <row r="5127" spans="1:11" x14ac:dyDescent="0.25">
      <c r="A5127" t="s">
        <v>326</v>
      </c>
      <c r="B5127" t="s">
        <v>821</v>
      </c>
      <c r="C5127" t="s">
        <v>870</v>
      </c>
      <c r="D5127" t="s">
        <v>14</v>
      </c>
      <c r="E5127">
        <v>5</v>
      </c>
      <c r="F5127" s="2">
        <f>DATE(2026,IF(Tabla1[[#This Row],[Mes de Fecha]]="Septiembre",9,10),Tabla1[[#This Row],[Día de Fecha]])</f>
        <v>46300</v>
      </c>
      <c r="G5127">
        <v>1000873482</v>
      </c>
      <c r="H5127" t="s">
        <v>740</v>
      </c>
      <c r="I5127">
        <v>1</v>
      </c>
      <c r="J5127">
        <v>0</v>
      </c>
      <c r="K5127" s="1">
        <v>12563</v>
      </c>
    </row>
    <row r="5128" spans="1:11" x14ac:dyDescent="0.25">
      <c r="A5128" t="s">
        <v>326</v>
      </c>
      <c r="B5128" t="s">
        <v>821</v>
      </c>
      <c r="C5128" t="s">
        <v>870</v>
      </c>
      <c r="D5128" t="s">
        <v>14</v>
      </c>
      <c r="E5128">
        <v>5</v>
      </c>
      <c r="F5128" s="2">
        <f>DATE(2026,IF(Tabla1[[#This Row],[Mes de Fecha]]="Septiembre",9,10),Tabla1[[#This Row],[Día de Fecha]])</f>
        <v>46300</v>
      </c>
      <c r="G5128">
        <v>1033259333</v>
      </c>
      <c r="H5128" t="s">
        <v>745</v>
      </c>
      <c r="I5128">
        <v>32</v>
      </c>
      <c r="J5128">
        <v>0</v>
      </c>
      <c r="K5128" s="1">
        <v>1897270</v>
      </c>
    </row>
    <row r="5129" spans="1:11" x14ac:dyDescent="0.25">
      <c r="A5129" t="s">
        <v>326</v>
      </c>
      <c r="B5129" t="s">
        <v>821</v>
      </c>
      <c r="C5129" t="s">
        <v>870</v>
      </c>
      <c r="D5129" t="s">
        <v>14</v>
      </c>
      <c r="E5129">
        <v>5</v>
      </c>
      <c r="F5129" s="2">
        <f>DATE(2026,IF(Tabla1[[#This Row],[Mes de Fecha]]="Septiembre",9,10),Tabla1[[#This Row],[Día de Fecha]])</f>
        <v>46300</v>
      </c>
      <c r="G5129">
        <v>1034989462</v>
      </c>
      <c r="H5129" t="s">
        <v>795</v>
      </c>
      <c r="I5129">
        <v>9</v>
      </c>
      <c r="J5129">
        <v>0</v>
      </c>
      <c r="K5129" s="1">
        <v>550043</v>
      </c>
    </row>
    <row r="5130" spans="1:11" x14ac:dyDescent="0.25">
      <c r="A5130" t="s">
        <v>326</v>
      </c>
      <c r="B5130" t="s">
        <v>821</v>
      </c>
      <c r="C5130" t="s">
        <v>870</v>
      </c>
      <c r="D5130" t="s">
        <v>14</v>
      </c>
      <c r="E5130">
        <v>5</v>
      </c>
      <c r="F5130" s="2">
        <f>DATE(2026,IF(Tabla1[[#This Row],[Mes de Fecha]]="Septiembre",9,10),Tabla1[[#This Row],[Día de Fecha]])</f>
        <v>46300</v>
      </c>
      <c r="G5130">
        <v>1039467642</v>
      </c>
      <c r="H5130" t="s">
        <v>796</v>
      </c>
      <c r="I5130">
        <v>9</v>
      </c>
      <c r="J5130">
        <v>0</v>
      </c>
      <c r="K5130" s="1">
        <v>512101</v>
      </c>
    </row>
    <row r="5131" spans="1:11" x14ac:dyDescent="0.25">
      <c r="A5131" t="s">
        <v>326</v>
      </c>
      <c r="B5131" t="s">
        <v>821</v>
      </c>
      <c r="C5131" t="s">
        <v>870</v>
      </c>
      <c r="D5131" t="s">
        <v>14</v>
      </c>
      <c r="E5131">
        <v>6</v>
      </c>
      <c r="F5131" s="2">
        <f>DATE(2026,IF(Tabla1[[#This Row],[Mes de Fecha]]="Septiembre",9,10),Tabla1[[#This Row],[Día de Fecha]])</f>
        <v>46301</v>
      </c>
      <c r="I5131">
        <v>0</v>
      </c>
      <c r="J5131" s="1">
        <v>3303009</v>
      </c>
      <c r="K5131">
        <v>0</v>
      </c>
    </row>
    <row r="5132" spans="1:11" x14ac:dyDescent="0.25">
      <c r="A5132" t="s">
        <v>326</v>
      </c>
      <c r="B5132" t="s">
        <v>821</v>
      </c>
      <c r="C5132" t="s">
        <v>870</v>
      </c>
      <c r="D5132" t="s">
        <v>14</v>
      </c>
      <c r="E5132">
        <v>6</v>
      </c>
      <c r="F5132" s="2">
        <f>DATE(2026,IF(Tabla1[[#This Row],[Mes de Fecha]]="Septiembre",9,10),Tabla1[[#This Row],[Día de Fecha]])</f>
        <v>46301</v>
      </c>
      <c r="G5132">
        <v>43595446</v>
      </c>
      <c r="H5132" t="s">
        <v>752</v>
      </c>
      <c r="I5132">
        <v>45</v>
      </c>
      <c r="J5132">
        <v>0</v>
      </c>
      <c r="K5132" s="1">
        <v>2800382</v>
      </c>
    </row>
    <row r="5133" spans="1:11" x14ac:dyDescent="0.25">
      <c r="A5133" t="s">
        <v>326</v>
      </c>
      <c r="B5133" t="s">
        <v>821</v>
      </c>
      <c r="C5133" t="s">
        <v>870</v>
      </c>
      <c r="D5133" t="s">
        <v>14</v>
      </c>
      <c r="E5133">
        <v>6</v>
      </c>
      <c r="F5133" s="2">
        <f>DATE(2026,IF(Tabla1[[#This Row],[Mes de Fecha]]="Septiembre",9,10),Tabla1[[#This Row],[Día de Fecha]])</f>
        <v>46301</v>
      </c>
      <c r="G5133">
        <v>1023628602</v>
      </c>
      <c r="H5133" t="s">
        <v>794</v>
      </c>
      <c r="I5133">
        <v>-1</v>
      </c>
      <c r="J5133">
        <v>0</v>
      </c>
      <c r="K5133" s="1">
        <v>-105000</v>
      </c>
    </row>
    <row r="5134" spans="1:11" x14ac:dyDescent="0.25">
      <c r="A5134" t="s">
        <v>326</v>
      </c>
      <c r="B5134" t="s">
        <v>821</v>
      </c>
      <c r="C5134" t="s">
        <v>870</v>
      </c>
      <c r="D5134" t="s">
        <v>14</v>
      </c>
      <c r="E5134">
        <v>6</v>
      </c>
      <c r="F5134" s="2">
        <f>DATE(2026,IF(Tabla1[[#This Row],[Mes de Fecha]]="Septiembre",9,10),Tabla1[[#This Row],[Día de Fecha]])</f>
        <v>46301</v>
      </c>
      <c r="G5134">
        <v>1033259333</v>
      </c>
      <c r="H5134" t="s">
        <v>745</v>
      </c>
      <c r="I5134">
        <v>38</v>
      </c>
      <c r="J5134">
        <v>0</v>
      </c>
      <c r="K5134" s="1">
        <v>1968824</v>
      </c>
    </row>
    <row r="5135" spans="1:11" x14ac:dyDescent="0.25">
      <c r="A5135" t="s">
        <v>326</v>
      </c>
      <c r="B5135" t="s">
        <v>821</v>
      </c>
      <c r="C5135" t="s">
        <v>870</v>
      </c>
      <c r="D5135" t="s">
        <v>14</v>
      </c>
      <c r="E5135">
        <v>6</v>
      </c>
      <c r="F5135" s="2">
        <f>DATE(2026,IF(Tabla1[[#This Row],[Mes de Fecha]]="Septiembre",9,10),Tabla1[[#This Row],[Día de Fecha]])</f>
        <v>46301</v>
      </c>
      <c r="G5135">
        <v>1034989462</v>
      </c>
      <c r="H5135" t="s">
        <v>795</v>
      </c>
      <c r="I5135">
        <v>13</v>
      </c>
      <c r="J5135">
        <v>0</v>
      </c>
      <c r="K5135" s="1">
        <v>1033067</v>
      </c>
    </row>
    <row r="5136" spans="1:11" x14ac:dyDescent="0.25">
      <c r="A5136" t="s">
        <v>326</v>
      </c>
      <c r="B5136" t="s">
        <v>821</v>
      </c>
      <c r="C5136" t="s">
        <v>870</v>
      </c>
      <c r="D5136" t="s">
        <v>14</v>
      </c>
      <c r="E5136">
        <v>6</v>
      </c>
      <c r="F5136" s="2">
        <f>DATE(2026,IF(Tabla1[[#This Row],[Mes de Fecha]]="Septiembre",9,10),Tabla1[[#This Row],[Día de Fecha]])</f>
        <v>46301</v>
      </c>
      <c r="G5136">
        <v>1040745636</v>
      </c>
      <c r="H5136" t="s">
        <v>757</v>
      </c>
      <c r="I5136">
        <v>-1</v>
      </c>
      <c r="J5136">
        <v>0</v>
      </c>
      <c r="K5136" s="1">
        <v>-16723</v>
      </c>
    </row>
    <row r="5137" spans="1:11" x14ac:dyDescent="0.25">
      <c r="A5137" t="s">
        <v>326</v>
      </c>
      <c r="B5137" t="s">
        <v>821</v>
      </c>
      <c r="C5137" t="s">
        <v>870</v>
      </c>
      <c r="D5137" t="s">
        <v>14</v>
      </c>
      <c r="E5137">
        <v>7</v>
      </c>
      <c r="F5137" s="2">
        <f>DATE(2026,IF(Tabla1[[#This Row],[Mes de Fecha]]="Septiembre",9,10),Tabla1[[#This Row],[Día de Fecha]])</f>
        <v>46302</v>
      </c>
      <c r="I5137">
        <v>0</v>
      </c>
      <c r="J5137" s="1">
        <v>3277058</v>
      </c>
      <c r="K5137">
        <v>0</v>
      </c>
    </row>
    <row r="5138" spans="1:11" x14ac:dyDescent="0.25">
      <c r="A5138" t="s">
        <v>326</v>
      </c>
      <c r="B5138" t="s">
        <v>821</v>
      </c>
      <c r="C5138" t="s">
        <v>870</v>
      </c>
      <c r="D5138" t="s">
        <v>14</v>
      </c>
      <c r="E5138">
        <v>7</v>
      </c>
      <c r="F5138" s="2">
        <f>DATE(2026,IF(Tabla1[[#This Row],[Mes de Fecha]]="Septiembre",9,10),Tabla1[[#This Row],[Día de Fecha]])</f>
        <v>46302</v>
      </c>
      <c r="G5138">
        <v>1000873482</v>
      </c>
      <c r="H5138" t="s">
        <v>740</v>
      </c>
      <c r="I5138">
        <v>16</v>
      </c>
      <c r="J5138">
        <v>0</v>
      </c>
      <c r="K5138" s="1">
        <v>1291303</v>
      </c>
    </row>
    <row r="5139" spans="1:11" x14ac:dyDescent="0.25">
      <c r="A5139" t="s">
        <v>326</v>
      </c>
      <c r="B5139" t="s">
        <v>821</v>
      </c>
      <c r="C5139" t="s">
        <v>870</v>
      </c>
      <c r="D5139" t="s">
        <v>14</v>
      </c>
      <c r="E5139">
        <v>7</v>
      </c>
      <c r="F5139" s="2">
        <f>DATE(2026,IF(Tabla1[[#This Row],[Mes de Fecha]]="Septiembre",9,10),Tabla1[[#This Row],[Día de Fecha]])</f>
        <v>46302</v>
      </c>
      <c r="G5139">
        <v>1034989462</v>
      </c>
      <c r="H5139" t="s">
        <v>795</v>
      </c>
      <c r="I5139">
        <v>15</v>
      </c>
      <c r="J5139">
        <v>0</v>
      </c>
      <c r="K5139" s="1">
        <v>774456</v>
      </c>
    </row>
    <row r="5140" spans="1:11" x14ac:dyDescent="0.25">
      <c r="A5140" t="s">
        <v>326</v>
      </c>
      <c r="B5140" t="s">
        <v>830</v>
      </c>
      <c r="C5140" t="s">
        <v>870</v>
      </c>
      <c r="D5140" t="s">
        <v>11</v>
      </c>
      <c r="E5140">
        <v>23</v>
      </c>
      <c r="F5140" s="2">
        <f>DATE(2026,IF(Tabla1[[#This Row],[Mes de Fecha]]="Septiembre",9,10),Tabla1[[#This Row],[Día de Fecha]])</f>
        <v>46288</v>
      </c>
      <c r="I5140">
        <v>0</v>
      </c>
      <c r="J5140" s="1">
        <v>8053500</v>
      </c>
      <c r="K5140">
        <v>0</v>
      </c>
    </row>
    <row r="5141" spans="1:11" x14ac:dyDescent="0.25">
      <c r="A5141" t="s">
        <v>326</v>
      </c>
      <c r="B5141" t="s">
        <v>830</v>
      </c>
      <c r="C5141" t="s">
        <v>870</v>
      </c>
      <c r="D5141" t="s">
        <v>11</v>
      </c>
      <c r="E5141">
        <v>23</v>
      </c>
      <c r="F5141" s="2">
        <f>DATE(2026,IF(Tabla1[[#This Row],[Mes de Fecha]]="Septiembre",9,10),Tabla1[[#This Row],[Día de Fecha]])</f>
        <v>46288</v>
      </c>
      <c r="G5141">
        <v>1002596138</v>
      </c>
      <c r="H5141" t="s">
        <v>719</v>
      </c>
      <c r="I5141">
        <v>68</v>
      </c>
      <c r="J5141">
        <v>0</v>
      </c>
      <c r="K5141" s="1">
        <v>3753742</v>
      </c>
    </row>
    <row r="5142" spans="1:11" x14ac:dyDescent="0.25">
      <c r="A5142" t="s">
        <v>326</v>
      </c>
      <c r="B5142" t="s">
        <v>830</v>
      </c>
      <c r="C5142" t="s">
        <v>870</v>
      </c>
      <c r="D5142" t="s">
        <v>11</v>
      </c>
      <c r="E5142">
        <v>23</v>
      </c>
      <c r="F5142" s="2">
        <f>DATE(2026,IF(Tabla1[[#This Row],[Mes de Fecha]]="Septiembre",9,10),Tabla1[[#This Row],[Día de Fecha]])</f>
        <v>46288</v>
      </c>
      <c r="G5142">
        <v>1005327912</v>
      </c>
      <c r="H5142" t="s">
        <v>831</v>
      </c>
      <c r="I5142">
        <v>38</v>
      </c>
      <c r="J5142">
        <v>0</v>
      </c>
      <c r="K5142" s="1">
        <v>2034033</v>
      </c>
    </row>
    <row r="5143" spans="1:11" x14ac:dyDescent="0.25">
      <c r="A5143" t="s">
        <v>326</v>
      </c>
      <c r="B5143" t="s">
        <v>830</v>
      </c>
      <c r="C5143" t="s">
        <v>870</v>
      </c>
      <c r="D5143" t="s">
        <v>11</v>
      </c>
      <c r="E5143">
        <v>23</v>
      </c>
      <c r="F5143" s="2">
        <f>DATE(2026,IF(Tabla1[[#This Row],[Mes de Fecha]]="Septiembre",9,10),Tabla1[[#This Row],[Día de Fecha]])</f>
        <v>46288</v>
      </c>
      <c r="G5143">
        <v>1015402645</v>
      </c>
      <c r="H5143" t="s">
        <v>747</v>
      </c>
      <c r="I5143">
        <v>12</v>
      </c>
      <c r="J5143">
        <v>0</v>
      </c>
      <c r="K5143" s="1">
        <v>713783</v>
      </c>
    </row>
    <row r="5144" spans="1:11" x14ac:dyDescent="0.25">
      <c r="A5144" t="s">
        <v>326</v>
      </c>
      <c r="B5144" t="s">
        <v>830</v>
      </c>
      <c r="C5144" t="s">
        <v>870</v>
      </c>
      <c r="D5144" t="s">
        <v>11</v>
      </c>
      <c r="E5144">
        <v>23</v>
      </c>
      <c r="F5144" s="2">
        <f>DATE(2026,IF(Tabla1[[#This Row],[Mes de Fecha]]="Septiembre",9,10),Tabla1[[#This Row],[Día de Fecha]])</f>
        <v>46288</v>
      </c>
      <c r="G5144">
        <v>1017264739</v>
      </c>
      <c r="H5144" t="s">
        <v>748</v>
      </c>
      <c r="I5144">
        <v>71</v>
      </c>
      <c r="J5144">
        <v>0</v>
      </c>
      <c r="K5144" s="1">
        <v>3496596</v>
      </c>
    </row>
    <row r="5145" spans="1:11" x14ac:dyDescent="0.25">
      <c r="A5145" t="s">
        <v>326</v>
      </c>
      <c r="B5145" t="s">
        <v>830</v>
      </c>
      <c r="C5145" t="s">
        <v>870</v>
      </c>
      <c r="D5145" t="s">
        <v>11</v>
      </c>
      <c r="E5145">
        <v>23</v>
      </c>
      <c r="F5145" s="2">
        <f>DATE(2026,IF(Tabla1[[#This Row],[Mes de Fecha]]="Septiembre",9,10),Tabla1[[#This Row],[Día de Fecha]])</f>
        <v>46288</v>
      </c>
      <c r="G5145">
        <v>1039622506</v>
      </c>
      <c r="H5145" t="s">
        <v>832</v>
      </c>
      <c r="I5145">
        <v>22</v>
      </c>
      <c r="J5145">
        <v>0</v>
      </c>
      <c r="K5145" s="1">
        <v>1154539</v>
      </c>
    </row>
    <row r="5146" spans="1:11" x14ac:dyDescent="0.25">
      <c r="A5146" t="s">
        <v>326</v>
      </c>
      <c r="B5146" t="s">
        <v>830</v>
      </c>
      <c r="C5146" t="s">
        <v>870</v>
      </c>
      <c r="D5146" t="s">
        <v>11</v>
      </c>
      <c r="E5146">
        <v>23</v>
      </c>
      <c r="F5146" s="2">
        <f>DATE(2026,IF(Tabla1[[#This Row],[Mes de Fecha]]="Septiembre",9,10),Tabla1[[#This Row],[Día de Fecha]])</f>
        <v>46288</v>
      </c>
      <c r="G5146">
        <v>1040745636</v>
      </c>
      <c r="H5146" t="s">
        <v>757</v>
      </c>
      <c r="I5146">
        <v>-1</v>
      </c>
      <c r="J5146">
        <v>0</v>
      </c>
      <c r="K5146" s="1">
        <v>-54580</v>
      </c>
    </row>
    <row r="5147" spans="1:11" x14ac:dyDescent="0.25">
      <c r="A5147" t="s">
        <v>326</v>
      </c>
      <c r="B5147" t="s">
        <v>830</v>
      </c>
      <c r="C5147" t="s">
        <v>870</v>
      </c>
      <c r="D5147" t="s">
        <v>11</v>
      </c>
      <c r="E5147">
        <v>23</v>
      </c>
      <c r="F5147" s="2">
        <f>DATE(2026,IF(Tabla1[[#This Row],[Mes de Fecha]]="Septiembre",9,10),Tabla1[[#This Row],[Día de Fecha]])</f>
        <v>46288</v>
      </c>
      <c r="G5147">
        <v>1045490172</v>
      </c>
      <c r="H5147" t="s">
        <v>833</v>
      </c>
      <c r="I5147">
        <v>14</v>
      </c>
      <c r="J5147">
        <v>0</v>
      </c>
      <c r="K5147" s="1">
        <v>818740</v>
      </c>
    </row>
    <row r="5148" spans="1:11" x14ac:dyDescent="0.25">
      <c r="A5148" t="s">
        <v>326</v>
      </c>
      <c r="B5148" t="s">
        <v>830</v>
      </c>
      <c r="C5148" t="s">
        <v>870</v>
      </c>
      <c r="D5148" t="s">
        <v>11</v>
      </c>
      <c r="E5148">
        <v>24</v>
      </c>
      <c r="F5148" s="2">
        <f>DATE(2026,IF(Tabla1[[#This Row],[Mes de Fecha]]="Septiembre",9,10),Tabla1[[#This Row],[Día de Fecha]])</f>
        <v>46289</v>
      </c>
      <c r="I5148">
        <v>0</v>
      </c>
      <c r="J5148" s="1">
        <v>12302626</v>
      </c>
      <c r="K5148">
        <v>0</v>
      </c>
    </row>
    <row r="5149" spans="1:11" x14ac:dyDescent="0.25">
      <c r="A5149" t="s">
        <v>326</v>
      </c>
      <c r="B5149" t="s">
        <v>830</v>
      </c>
      <c r="C5149" t="s">
        <v>870</v>
      </c>
      <c r="D5149" t="s">
        <v>11</v>
      </c>
      <c r="E5149">
        <v>24</v>
      </c>
      <c r="F5149" s="2">
        <f>DATE(2026,IF(Tabla1[[#This Row],[Mes de Fecha]]="Septiembre",9,10),Tabla1[[#This Row],[Día de Fecha]])</f>
        <v>46289</v>
      </c>
      <c r="G5149">
        <v>1000756875</v>
      </c>
      <c r="H5149" t="s">
        <v>834</v>
      </c>
      <c r="I5149">
        <v>0</v>
      </c>
      <c r="J5149">
        <v>0</v>
      </c>
      <c r="K5149">
        <v>0</v>
      </c>
    </row>
    <row r="5150" spans="1:11" x14ac:dyDescent="0.25">
      <c r="A5150" t="s">
        <v>326</v>
      </c>
      <c r="B5150" t="s">
        <v>830</v>
      </c>
      <c r="C5150" t="s">
        <v>870</v>
      </c>
      <c r="D5150" t="s">
        <v>11</v>
      </c>
      <c r="E5150">
        <v>24</v>
      </c>
      <c r="F5150" s="2">
        <f>DATE(2026,IF(Tabla1[[#This Row],[Mes de Fecha]]="Septiembre",9,10),Tabla1[[#This Row],[Día de Fecha]])</f>
        <v>46289</v>
      </c>
      <c r="G5150">
        <v>1002596138</v>
      </c>
      <c r="H5150" t="s">
        <v>719</v>
      </c>
      <c r="I5150">
        <v>36</v>
      </c>
      <c r="J5150">
        <v>0</v>
      </c>
      <c r="K5150" s="1">
        <v>2099243</v>
      </c>
    </row>
    <row r="5151" spans="1:11" x14ac:dyDescent="0.25">
      <c r="A5151" t="s">
        <v>326</v>
      </c>
      <c r="B5151" t="s">
        <v>830</v>
      </c>
      <c r="C5151" t="s">
        <v>870</v>
      </c>
      <c r="D5151" t="s">
        <v>11</v>
      </c>
      <c r="E5151">
        <v>24</v>
      </c>
      <c r="F5151" s="2">
        <f>DATE(2026,IF(Tabla1[[#This Row],[Mes de Fecha]]="Septiembre",9,10),Tabla1[[#This Row],[Día de Fecha]])</f>
        <v>46289</v>
      </c>
      <c r="G5151">
        <v>1005327912</v>
      </c>
      <c r="H5151" t="s">
        <v>831</v>
      </c>
      <c r="I5151">
        <v>25</v>
      </c>
      <c r="J5151">
        <v>0</v>
      </c>
      <c r="K5151" s="1">
        <v>1313993</v>
      </c>
    </row>
    <row r="5152" spans="1:11" x14ac:dyDescent="0.25">
      <c r="A5152" t="s">
        <v>326</v>
      </c>
      <c r="B5152" t="s">
        <v>830</v>
      </c>
      <c r="C5152" t="s">
        <v>870</v>
      </c>
      <c r="D5152" t="s">
        <v>11</v>
      </c>
      <c r="E5152">
        <v>24</v>
      </c>
      <c r="F5152" s="2">
        <f>DATE(2026,IF(Tabla1[[#This Row],[Mes de Fecha]]="Septiembre",9,10),Tabla1[[#This Row],[Día de Fecha]])</f>
        <v>46289</v>
      </c>
      <c r="G5152">
        <v>1015402645</v>
      </c>
      <c r="H5152" t="s">
        <v>747</v>
      </c>
      <c r="I5152">
        <v>31</v>
      </c>
      <c r="J5152">
        <v>0</v>
      </c>
      <c r="K5152" s="1">
        <v>1860000</v>
      </c>
    </row>
    <row r="5153" spans="1:11" x14ac:dyDescent="0.25">
      <c r="A5153" t="s">
        <v>326</v>
      </c>
      <c r="B5153" t="s">
        <v>830</v>
      </c>
      <c r="C5153" t="s">
        <v>870</v>
      </c>
      <c r="D5153" t="s">
        <v>11</v>
      </c>
      <c r="E5153">
        <v>24</v>
      </c>
      <c r="F5153" s="2">
        <f>DATE(2026,IF(Tabla1[[#This Row],[Mes de Fecha]]="Septiembre",9,10),Tabla1[[#This Row],[Día de Fecha]])</f>
        <v>46289</v>
      </c>
      <c r="G5153">
        <v>1017264739</v>
      </c>
      <c r="H5153" t="s">
        <v>748</v>
      </c>
      <c r="I5153">
        <v>42</v>
      </c>
      <c r="J5153">
        <v>0</v>
      </c>
      <c r="K5153" s="1">
        <v>2027608</v>
      </c>
    </row>
    <row r="5154" spans="1:11" x14ac:dyDescent="0.25">
      <c r="A5154" t="s">
        <v>326</v>
      </c>
      <c r="B5154" t="s">
        <v>830</v>
      </c>
      <c r="C5154" t="s">
        <v>870</v>
      </c>
      <c r="D5154" t="s">
        <v>11</v>
      </c>
      <c r="E5154">
        <v>24</v>
      </c>
      <c r="F5154" s="2">
        <f>DATE(2026,IF(Tabla1[[#This Row],[Mes de Fecha]]="Septiembre",9,10),Tabla1[[#This Row],[Día de Fecha]])</f>
        <v>46289</v>
      </c>
      <c r="G5154">
        <v>1036131390</v>
      </c>
      <c r="H5154" t="s">
        <v>720</v>
      </c>
      <c r="I5154">
        <v>7</v>
      </c>
      <c r="J5154">
        <v>0</v>
      </c>
      <c r="K5154" s="1">
        <v>524916</v>
      </c>
    </row>
    <row r="5155" spans="1:11" x14ac:dyDescent="0.25">
      <c r="A5155" t="s">
        <v>326</v>
      </c>
      <c r="B5155" t="s">
        <v>830</v>
      </c>
      <c r="C5155" t="s">
        <v>870</v>
      </c>
      <c r="D5155" t="s">
        <v>11</v>
      </c>
      <c r="E5155">
        <v>24</v>
      </c>
      <c r="F5155" s="2">
        <f>DATE(2026,IF(Tabla1[[#This Row],[Mes de Fecha]]="Septiembre",9,10),Tabla1[[#This Row],[Día de Fecha]])</f>
        <v>46289</v>
      </c>
      <c r="G5155">
        <v>1039622506</v>
      </c>
      <c r="H5155" t="s">
        <v>832</v>
      </c>
      <c r="I5155">
        <v>15</v>
      </c>
      <c r="J5155">
        <v>0</v>
      </c>
      <c r="K5155" s="1">
        <v>864832</v>
      </c>
    </row>
    <row r="5156" spans="1:11" x14ac:dyDescent="0.25">
      <c r="A5156" t="s">
        <v>326</v>
      </c>
      <c r="B5156" t="s">
        <v>830</v>
      </c>
      <c r="C5156" t="s">
        <v>870</v>
      </c>
      <c r="D5156" t="s">
        <v>11</v>
      </c>
      <c r="E5156">
        <v>24</v>
      </c>
      <c r="F5156" s="2">
        <f>DATE(2026,IF(Tabla1[[#This Row],[Mes de Fecha]]="Septiembre",9,10),Tabla1[[#This Row],[Día de Fecha]])</f>
        <v>46289</v>
      </c>
      <c r="G5156">
        <v>1045490172</v>
      </c>
      <c r="H5156" t="s">
        <v>833</v>
      </c>
      <c r="I5156">
        <v>1</v>
      </c>
      <c r="J5156">
        <v>0</v>
      </c>
      <c r="K5156" s="1">
        <v>92395</v>
      </c>
    </row>
    <row r="5157" spans="1:11" x14ac:dyDescent="0.25">
      <c r="A5157" t="s">
        <v>326</v>
      </c>
      <c r="B5157" t="s">
        <v>830</v>
      </c>
      <c r="C5157" t="s">
        <v>870</v>
      </c>
      <c r="D5157" t="s">
        <v>11</v>
      </c>
      <c r="E5157">
        <v>24</v>
      </c>
      <c r="F5157" s="2">
        <f>DATE(2026,IF(Tabla1[[#This Row],[Mes de Fecha]]="Septiembre",9,10),Tabla1[[#This Row],[Día de Fecha]])</f>
        <v>46289</v>
      </c>
      <c r="G5157">
        <v>1193155892</v>
      </c>
      <c r="H5157" t="s">
        <v>741</v>
      </c>
      <c r="I5157">
        <v>-1</v>
      </c>
      <c r="J5157">
        <v>0</v>
      </c>
      <c r="K5157" s="1">
        <v>-41975</v>
      </c>
    </row>
    <row r="5158" spans="1:11" x14ac:dyDescent="0.25">
      <c r="A5158" t="s">
        <v>326</v>
      </c>
      <c r="B5158" t="s">
        <v>830</v>
      </c>
      <c r="C5158" t="s">
        <v>870</v>
      </c>
      <c r="D5158" t="s">
        <v>11</v>
      </c>
      <c r="E5158">
        <v>25</v>
      </c>
      <c r="F5158" s="2">
        <f>DATE(2026,IF(Tabla1[[#This Row],[Mes de Fecha]]="Septiembre",9,10),Tabla1[[#This Row],[Día de Fecha]])</f>
        <v>46290</v>
      </c>
      <c r="I5158">
        <v>0</v>
      </c>
      <c r="J5158" s="1">
        <v>12275390</v>
      </c>
      <c r="K5158">
        <v>0</v>
      </c>
    </row>
    <row r="5159" spans="1:11" x14ac:dyDescent="0.25">
      <c r="A5159" t="s">
        <v>326</v>
      </c>
      <c r="B5159" t="s">
        <v>830</v>
      </c>
      <c r="C5159" t="s">
        <v>870</v>
      </c>
      <c r="D5159" t="s">
        <v>11</v>
      </c>
      <c r="E5159">
        <v>25</v>
      </c>
      <c r="F5159" s="2">
        <f>DATE(2026,IF(Tabla1[[#This Row],[Mes de Fecha]]="Septiembre",9,10),Tabla1[[#This Row],[Día de Fecha]])</f>
        <v>46290</v>
      </c>
      <c r="G5159">
        <v>1002596138</v>
      </c>
      <c r="H5159" t="s">
        <v>719</v>
      </c>
      <c r="I5159">
        <v>51</v>
      </c>
      <c r="J5159">
        <v>0</v>
      </c>
      <c r="K5159" s="1">
        <v>2825506</v>
      </c>
    </row>
    <row r="5160" spans="1:11" x14ac:dyDescent="0.25">
      <c r="A5160" t="s">
        <v>326</v>
      </c>
      <c r="B5160" t="s">
        <v>830</v>
      </c>
      <c r="C5160" t="s">
        <v>870</v>
      </c>
      <c r="D5160" t="s">
        <v>11</v>
      </c>
      <c r="E5160">
        <v>25</v>
      </c>
      <c r="F5160" s="2">
        <f>DATE(2026,IF(Tabla1[[#This Row],[Mes de Fecha]]="Septiembre",9,10),Tabla1[[#This Row],[Día de Fecha]])</f>
        <v>46290</v>
      </c>
      <c r="G5160">
        <v>1005327912</v>
      </c>
      <c r="H5160" t="s">
        <v>831</v>
      </c>
      <c r="I5160">
        <v>25</v>
      </c>
      <c r="J5160">
        <v>0</v>
      </c>
      <c r="K5160" s="1">
        <v>1175296</v>
      </c>
    </row>
    <row r="5161" spans="1:11" x14ac:dyDescent="0.25">
      <c r="A5161" t="s">
        <v>326</v>
      </c>
      <c r="B5161" t="s">
        <v>830</v>
      </c>
      <c r="C5161" t="s">
        <v>870</v>
      </c>
      <c r="D5161" t="s">
        <v>11</v>
      </c>
      <c r="E5161">
        <v>25</v>
      </c>
      <c r="F5161" s="2">
        <f>DATE(2026,IF(Tabla1[[#This Row],[Mes de Fecha]]="Septiembre",9,10),Tabla1[[#This Row],[Día de Fecha]])</f>
        <v>46290</v>
      </c>
      <c r="G5161">
        <v>1015402645</v>
      </c>
      <c r="H5161" t="s">
        <v>747</v>
      </c>
      <c r="I5161">
        <v>38</v>
      </c>
      <c r="J5161">
        <v>0</v>
      </c>
      <c r="K5161" s="1">
        <v>2159579</v>
      </c>
    </row>
    <row r="5162" spans="1:11" x14ac:dyDescent="0.25">
      <c r="A5162" t="s">
        <v>326</v>
      </c>
      <c r="B5162" t="s">
        <v>830</v>
      </c>
      <c r="C5162" t="s">
        <v>870</v>
      </c>
      <c r="D5162" t="s">
        <v>11</v>
      </c>
      <c r="E5162">
        <v>25</v>
      </c>
      <c r="F5162" s="2">
        <f>DATE(2026,IF(Tabla1[[#This Row],[Mes de Fecha]]="Septiembre",9,10),Tabla1[[#This Row],[Día de Fecha]])</f>
        <v>46290</v>
      </c>
      <c r="G5162">
        <v>1017264739</v>
      </c>
      <c r="H5162" t="s">
        <v>748</v>
      </c>
      <c r="I5162">
        <v>71</v>
      </c>
      <c r="J5162">
        <v>0</v>
      </c>
      <c r="K5162" s="1">
        <v>3887399</v>
      </c>
    </row>
    <row r="5163" spans="1:11" x14ac:dyDescent="0.25">
      <c r="A5163" t="s">
        <v>326</v>
      </c>
      <c r="B5163" t="s">
        <v>830</v>
      </c>
      <c r="C5163" t="s">
        <v>870</v>
      </c>
      <c r="D5163" t="s">
        <v>11</v>
      </c>
      <c r="E5163">
        <v>25</v>
      </c>
      <c r="F5163" s="2">
        <f>DATE(2026,IF(Tabla1[[#This Row],[Mes de Fecha]]="Septiembre",9,10),Tabla1[[#This Row],[Día de Fecha]])</f>
        <v>46290</v>
      </c>
      <c r="G5163">
        <v>1026132356</v>
      </c>
      <c r="H5163" t="s">
        <v>835</v>
      </c>
      <c r="I5163">
        <v>7</v>
      </c>
      <c r="J5163">
        <v>0</v>
      </c>
      <c r="K5163" s="1">
        <v>587942</v>
      </c>
    </row>
    <row r="5164" spans="1:11" x14ac:dyDescent="0.25">
      <c r="A5164" t="s">
        <v>326</v>
      </c>
      <c r="B5164" t="s">
        <v>830</v>
      </c>
      <c r="C5164" t="s">
        <v>870</v>
      </c>
      <c r="D5164" t="s">
        <v>11</v>
      </c>
      <c r="E5164">
        <v>25</v>
      </c>
      <c r="F5164" s="2">
        <f>DATE(2026,IF(Tabla1[[#This Row],[Mes de Fecha]]="Septiembre",9,10),Tabla1[[#This Row],[Día de Fecha]])</f>
        <v>46290</v>
      </c>
      <c r="G5164">
        <v>1036131390</v>
      </c>
      <c r="H5164" t="s">
        <v>720</v>
      </c>
      <c r="I5164">
        <v>6</v>
      </c>
      <c r="J5164">
        <v>0</v>
      </c>
      <c r="K5164" s="1">
        <v>403068</v>
      </c>
    </row>
    <row r="5165" spans="1:11" x14ac:dyDescent="0.25">
      <c r="A5165" t="s">
        <v>326</v>
      </c>
      <c r="B5165" t="s">
        <v>830</v>
      </c>
      <c r="C5165" t="s">
        <v>870</v>
      </c>
      <c r="D5165" t="s">
        <v>11</v>
      </c>
      <c r="E5165">
        <v>25</v>
      </c>
      <c r="F5165" s="2">
        <f>DATE(2026,IF(Tabla1[[#This Row],[Mes de Fecha]]="Septiembre",9,10),Tabla1[[#This Row],[Día de Fecha]])</f>
        <v>46290</v>
      </c>
      <c r="G5165">
        <v>1039622506</v>
      </c>
      <c r="H5165" t="s">
        <v>832</v>
      </c>
      <c r="I5165">
        <v>20</v>
      </c>
      <c r="J5165">
        <v>0</v>
      </c>
      <c r="K5165" s="1">
        <v>1213405</v>
      </c>
    </row>
    <row r="5166" spans="1:11" x14ac:dyDescent="0.25">
      <c r="A5166" t="s">
        <v>326</v>
      </c>
      <c r="B5166" t="s">
        <v>830</v>
      </c>
      <c r="C5166" t="s">
        <v>870</v>
      </c>
      <c r="D5166" t="s">
        <v>11</v>
      </c>
      <c r="E5166">
        <v>25</v>
      </c>
      <c r="F5166" s="2">
        <f>DATE(2026,IF(Tabla1[[#This Row],[Mes de Fecha]]="Septiembre",9,10),Tabla1[[#This Row],[Día de Fecha]])</f>
        <v>46290</v>
      </c>
      <c r="G5166">
        <v>1040745636</v>
      </c>
      <c r="H5166" t="s">
        <v>757</v>
      </c>
      <c r="I5166">
        <v>-1</v>
      </c>
      <c r="J5166">
        <v>0</v>
      </c>
      <c r="K5166" s="1">
        <v>-92353</v>
      </c>
    </row>
    <row r="5167" spans="1:11" x14ac:dyDescent="0.25">
      <c r="A5167" t="s">
        <v>326</v>
      </c>
      <c r="B5167" t="s">
        <v>830</v>
      </c>
      <c r="C5167" t="s">
        <v>870</v>
      </c>
      <c r="D5167" t="s">
        <v>11</v>
      </c>
      <c r="E5167">
        <v>25</v>
      </c>
      <c r="F5167" s="2">
        <f>DATE(2026,IF(Tabla1[[#This Row],[Mes de Fecha]]="Septiembre",9,10),Tabla1[[#This Row],[Día de Fecha]])</f>
        <v>46290</v>
      </c>
      <c r="G5167">
        <v>1045490172</v>
      </c>
      <c r="H5167" t="s">
        <v>833</v>
      </c>
      <c r="I5167">
        <v>5</v>
      </c>
      <c r="J5167">
        <v>0</v>
      </c>
      <c r="K5167" s="1">
        <v>340127</v>
      </c>
    </row>
    <row r="5168" spans="1:11" x14ac:dyDescent="0.25">
      <c r="A5168" t="s">
        <v>326</v>
      </c>
      <c r="B5168" t="s">
        <v>830</v>
      </c>
      <c r="C5168" t="s">
        <v>870</v>
      </c>
      <c r="D5168" t="s">
        <v>11</v>
      </c>
      <c r="E5168">
        <v>26</v>
      </c>
      <c r="F5168" s="2">
        <f>DATE(2026,IF(Tabla1[[#This Row],[Mes de Fecha]]="Septiembre",9,10),Tabla1[[#This Row],[Día de Fecha]])</f>
        <v>46291</v>
      </c>
      <c r="I5168">
        <v>0</v>
      </c>
      <c r="J5168" s="1">
        <v>17641502</v>
      </c>
      <c r="K5168">
        <v>0</v>
      </c>
    </row>
    <row r="5169" spans="1:11" x14ac:dyDescent="0.25">
      <c r="A5169" t="s">
        <v>326</v>
      </c>
      <c r="B5169" t="s">
        <v>830</v>
      </c>
      <c r="C5169" t="s">
        <v>870</v>
      </c>
      <c r="D5169" t="s">
        <v>11</v>
      </c>
      <c r="E5169">
        <v>26</v>
      </c>
      <c r="F5169" s="2">
        <f>DATE(2026,IF(Tabla1[[#This Row],[Mes de Fecha]]="Septiembre",9,10),Tabla1[[#This Row],[Día de Fecha]])</f>
        <v>46291</v>
      </c>
      <c r="G5169">
        <v>1002596138</v>
      </c>
      <c r="H5169" t="s">
        <v>719</v>
      </c>
      <c r="I5169">
        <v>51</v>
      </c>
      <c r="J5169">
        <v>0</v>
      </c>
      <c r="K5169" s="1">
        <v>3094330</v>
      </c>
    </row>
    <row r="5170" spans="1:11" x14ac:dyDescent="0.25">
      <c r="A5170" t="s">
        <v>326</v>
      </c>
      <c r="B5170" t="s">
        <v>830</v>
      </c>
      <c r="C5170" t="s">
        <v>870</v>
      </c>
      <c r="D5170" t="s">
        <v>11</v>
      </c>
      <c r="E5170">
        <v>26</v>
      </c>
      <c r="F5170" s="2">
        <f>DATE(2026,IF(Tabla1[[#This Row],[Mes de Fecha]]="Septiembre",9,10),Tabla1[[#This Row],[Día de Fecha]])</f>
        <v>46291</v>
      </c>
      <c r="G5170">
        <v>1005327912</v>
      </c>
      <c r="H5170" t="s">
        <v>831</v>
      </c>
      <c r="I5170">
        <v>64</v>
      </c>
      <c r="J5170">
        <v>0</v>
      </c>
      <c r="K5170" s="1">
        <v>3501346</v>
      </c>
    </row>
    <row r="5171" spans="1:11" x14ac:dyDescent="0.25">
      <c r="A5171" t="s">
        <v>326</v>
      </c>
      <c r="B5171" t="s">
        <v>830</v>
      </c>
      <c r="C5171" t="s">
        <v>870</v>
      </c>
      <c r="D5171" t="s">
        <v>11</v>
      </c>
      <c r="E5171">
        <v>26</v>
      </c>
      <c r="F5171" s="2">
        <f>DATE(2026,IF(Tabla1[[#This Row],[Mes de Fecha]]="Septiembre",9,10),Tabla1[[#This Row],[Día de Fecha]])</f>
        <v>46291</v>
      </c>
      <c r="G5171">
        <v>1015402645</v>
      </c>
      <c r="H5171" t="s">
        <v>747</v>
      </c>
      <c r="I5171">
        <v>53</v>
      </c>
      <c r="J5171">
        <v>0</v>
      </c>
      <c r="K5171" s="1">
        <v>2933991</v>
      </c>
    </row>
    <row r="5172" spans="1:11" x14ac:dyDescent="0.25">
      <c r="A5172" t="s">
        <v>326</v>
      </c>
      <c r="B5172" t="s">
        <v>830</v>
      </c>
      <c r="C5172" t="s">
        <v>870</v>
      </c>
      <c r="D5172" t="s">
        <v>11</v>
      </c>
      <c r="E5172">
        <v>26</v>
      </c>
      <c r="F5172" s="2">
        <f>DATE(2026,IF(Tabla1[[#This Row],[Mes de Fecha]]="Septiembre",9,10),Tabla1[[#This Row],[Día de Fecha]])</f>
        <v>46291</v>
      </c>
      <c r="G5172">
        <v>1017264739</v>
      </c>
      <c r="H5172" t="s">
        <v>748</v>
      </c>
      <c r="I5172">
        <v>84</v>
      </c>
      <c r="J5172">
        <v>0</v>
      </c>
      <c r="K5172" s="1">
        <v>4037692</v>
      </c>
    </row>
    <row r="5173" spans="1:11" x14ac:dyDescent="0.25">
      <c r="A5173" t="s">
        <v>326</v>
      </c>
      <c r="B5173" t="s">
        <v>830</v>
      </c>
      <c r="C5173" t="s">
        <v>870</v>
      </c>
      <c r="D5173" t="s">
        <v>11</v>
      </c>
      <c r="E5173">
        <v>26</v>
      </c>
      <c r="F5173" s="2">
        <f>DATE(2026,IF(Tabla1[[#This Row],[Mes de Fecha]]="Septiembre",9,10),Tabla1[[#This Row],[Día de Fecha]])</f>
        <v>46291</v>
      </c>
      <c r="G5173">
        <v>1026132356</v>
      </c>
      <c r="H5173" t="s">
        <v>835</v>
      </c>
      <c r="I5173">
        <v>13</v>
      </c>
      <c r="J5173">
        <v>0</v>
      </c>
      <c r="K5173" s="1">
        <v>608614</v>
      </c>
    </row>
    <row r="5174" spans="1:11" x14ac:dyDescent="0.25">
      <c r="A5174" t="s">
        <v>326</v>
      </c>
      <c r="B5174" t="s">
        <v>830</v>
      </c>
      <c r="C5174" t="s">
        <v>870</v>
      </c>
      <c r="D5174" t="s">
        <v>11</v>
      </c>
      <c r="E5174">
        <v>26</v>
      </c>
      <c r="F5174" s="2">
        <f>DATE(2026,IF(Tabla1[[#This Row],[Mes de Fecha]]="Septiembre",9,10),Tabla1[[#This Row],[Día de Fecha]])</f>
        <v>46291</v>
      </c>
      <c r="G5174">
        <v>1036131390</v>
      </c>
      <c r="H5174" t="s">
        <v>720</v>
      </c>
      <c r="I5174">
        <v>14</v>
      </c>
      <c r="J5174">
        <v>0</v>
      </c>
      <c r="K5174" s="1">
        <v>923741</v>
      </c>
    </row>
    <row r="5175" spans="1:11" x14ac:dyDescent="0.25">
      <c r="A5175" t="s">
        <v>326</v>
      </c>
      <c r="B5175" t="s">
        <v>830</v>
      </c>
      <c r="C5175" t="s">
        <v>870</v>
      </c>
      <c r="D5175" t="s">
        <v>11</v>
      </c>
      <c r="E5175">
        <v>26</v>
      </c>
      <c r="F5175" s="2">
        <f>DATE(2026,IF(Tabla1[[#This Row],[Mes de Fecha]]="Septiembre",9,10),Tabla1[[#This Row],[Día de Fecha]])</f>
        <v>46291</v>
      </c>
      <c r="G5175">
        <v>1039622506</v>
      </c>
      <c r="H5175" t="s">
        <v>832</v>
      </c>
      <c r="I5175">
        <v>28</v>
      </c>
      <c r="J5175">
        <v>0</v>
      </c>
      <c r="K5175" s="1">
        <v>1914750</v>
      </c>
    </row>
    <row r="5176" spans="1:11" x14ac:dyDescent="0.25">
      <c r="A5176" t="s">
        <v>326</v>
      </c>
      <c r="B5176" t="s">
        <v>830</v>
      </c>
      <c r="C5176" t="s">
        <v>870</v>
      </c>
      <c r="D5176" t="s">
        <v>11</v>
      </c>
      <c r="E5176">
        <v>26</v>
      </c>
      <c r="F5176" s="2">
        <f>DATE(2026,IF(Tabla1[[#This Row],[Mes de Fecha]]="Septiembre",9,10),Tabla1[[#This Row],[Día de Fecha]])</f>
        <v>46291</v>
      </c>
      <c r="G5176">
        <v>1045490172</v>
      </c>
      <c r="H5176" t="s">
        <v>833</v>
      </c>
      <c r="I5176">
        <v>20</v>
      </c>
      <c r="J5176">
        <v>0</v>
      </c>
      <c r="K5176" s="1">
        <v>1354162</v>
      </c>
    </row>
    <row r="5177" spans="1:11" x14ac:dyDescent="0.25">
      <c r="A5177" t="s">
        <v>326</v>
      </c>
      <c r="B5177" t="s">
        <v>830</v>
      </c>
      <c r="C5177" t="s">
        <v>870</v>
      </c>
      <c r="D5177" t="s">
        <v>11</v>
      </c>
      <c r="E5177">
        <v>27</v>
      </c>
      <c r="F5177" s="2">
        <f>DATE(2026,IF(Tabla1[[#This Row],[Mes de Fecha]]="Septiembre",9,10),Tabla1[[#This Row],[Día de Fecha]])</f>
        <v>46292</v>
      </c>
      <c r="I5177">
        <v>0</v>
      </c>
      <c r="J5177" s="1">
        <v>13975621</v>
      </c>
      <c r="K5177">
        <v>0</v>
      </c>
    </row>
    <row r="5178" spans="1:11" x14ac:dyDescent="0.25">
      <c r="A5178" t="s">
        <v>326</v>
      </c>
      <c r="B5178" t="s">
        <v>830</v>
      </c>
      <c r="C5178" t="s">
        <v>870</v>
      </c>
      <c r="D5178" t="s">
        <v>11</v>
      </c>
      <c r="E5178">
        <v>27</v>
      </c>
      <c r="F5178" s="2">
        <f>DATE(2026,IF(Tabla1[[#This Row],[Mes de Fecha]]="Septiembre",9,10),Tabla1[[#This Row],[Día de Fecha]])</f>
        <v>46292</v>
      </c>
      <c r="G5178">
        <v>1002596138</v>
      </c>
      <c r="H5178" t="s">
        <v>719</v>
      </c>
      <c r="I5178">
        <v>11</v>
      </c>
      <c r="J5178">
        <v>0</v>
      </c>
      <c r="K5178" s="1">
        <v>516345</v>
      </c>
    </row>
    <row r="5179" spans="1:11" x14ac:dyDescent="0.25">
      <c r="A5179" t="s">
        <v>326</v>
      </c>
      <c r="B5179" t="s">
        <v>830</v>
      </c>
      <c r="C5179" t="s">
        <v>870</v>
      </c>
      <c r="D5179" t="s">
        <v>11</v>
      </c>
      <c r="E5179">
        <v>27</v>
      </c>
      <c r="F5179" s="2">
        <f>DATE(2026,IF(Tabla1[[#This Row],[Mes de Fecha]]="Septiembre",9,10),Tabla1[[#This Row],[Día de Fecha]])</f>
        <v>46292</v>
      </c>
      <c r="G5179">
        <v>1005327912</v>
      </c>
      <c r="H5179" t="s">
        <v>831</v>
      </c>
      <c r="I5179">
        <v>10</v>
      </c>
      <c r="J5179">
        <v>0</v>
      </c>
      <c r="K5179" s="1">
        <v>495338</v>
      </c>
    </row>
    <row r="5180" spans="1:11" x14ac:dyDescent="0.25">
      <c r="A5180" t="s">
        <v>326</v>
      </c>
      <c r="B5180" t="s">
        <v>830</v>
      </c>
      <c r="C5180" t="s">
        <v>870</v>
      </c>
      <c r="D5180" t="s">
        <v>11</v>
      </c>
      <c r="E5180">
        <v>27</v>
      </c>
      <c r="F5180" s="2">
        <f>DATE(2026,IF(Tabla1[[#This Row],[Mes de Fecha]]="Septiembre",9,10),Tabla1[[#This Row],[Día de Fecha]])</f>
        <v>46292</v>
      </c>
      <c r="G5180">
        <v>1015402645</v>
      </c>
      <c r="H5180" t="s">
        <v>747</v>
      </c>
      <c r="I5180">
        <v>14</v>
      </c>
      <c r="J5180">
        <v>0</v>
      </c>
      <c r="K5180" s="1">
        <v>730337</v>
      </c>
    </row>
    <row r="5181" spans="1:11" x14ac:dyDescent="0.25">
      <c r="A5181" t="s">
        <v>326</v>
      </c>
      <c r="B5181" t="s">
        <v>830</v>
      </c>
      <c r="C5181" t="s">
        <v>870</v>
      </c>
      <c r="D5181" t="s">
        <v>11</v>
      </c>
      <c r="E5181">
        <v>27</v>
      </c>
      <c r="F5181" s="2">
        <f>DATE(2026,IF(Tabla1[[#This Row],[Mes de Fecha]]="Septiembre",9,10),Tabla1[[#This Row],[Día de Fecha]])</f>
        <v>46292</v>
      </c>
      <c r="G5181">
        <v>1017264739</v>
      </c>
      <c r="H5181" t="s">
        <v>748</v>
      </c>
      <c r="I5181">
        <v>35</v>
      </c>
      <c r="J5181">
        <v>0</v>
      </c>
      <c r="K5181" s="1">
        <v>1631177</v>
      </c>
    </row>
    <row r="5182" spans="1:11" x14ac:dyDescent="0.25">
      <c r="A5182" t="s">
        <v>326</v>
      </c>
      <c r="B5182" t="s">
        <v>830</v>
      </c>
      <c r="C5182" t="s">
        <v>870</v>
      </c>
      <c r="D5182" t="s">
        <v>11</v>
      </c>
      <c r="E5182">
        <v>27</v>
      </c>
      <c r="F5182" s="2">
        <f>DATE(2026,IF(Tabla1[[#This Row],[Mes de Fecha]]="Septiembre",9,10),Tabla1[[#This Row],[Día de Fecha]])</f>
        <v>46292</v>
      </c>
      <c r="G5182">
        <v>1026132356</v>
      </c>
      <c r="H5182" t="s">
        <v>835</v>
      </c>
      <c r="I5182">
        <v>3</v>
      </c>
      <c r="J5182">
        <v>0</v>
      </c>
      <c r="K5182" s="1">
        <v>88068</v>
      </c>
    </row>
    <row r="5183" spans="1:11" x14ac:dyDescent="0.25">
      <c r="A5183" t="s">
        <v>326</v>
      </c>
      <c r="B5183" t="s">
        <v>830</v>
      </c>
      <c r="C5183" t="s">
        <v>870</v>
      </c>
      <c r="D5183" t="s">
        <v>11</v>
      </c>
      <c r="E5183">
        <v>27</v>
      </c>
      <c r="F5183" s="2">
        <f>DATE(2026,IF(Tabla1[[#This Row],[Mes de Fecha]]="Septiembre",9,10),Tabla1[[#This Row],[Día de Fecha]])</f>
        <v>46292</v>
      </c>
      <c r="G5183">
        <v>1036131390</v>
      </c>
      <c r="H5183" t="s">
        <v>720</v>
      </c>
      <c r="I5183">
        <v>1</v>
      </c>
      <c r="J5183">
        <v>0</v>
      </c>
      <c r="K5183" s="1">
        <v>75588</v>
      </c>
    </row>
    <row r="5184" spans="1:11" x14ac:dyDescent="0.25">
      <c r="A5184" t="s">
        <v>326</v>
      </c>
      <c r="B5184" t="s">
        <v>830</v>
      </c>
      <c r="C5184" t="s">
        <v>870</v>
      </c>
      <c r="D5184" t="s">
        <v>11</v>
      </c>
      <c r="E5184">
        <v>28</v>
      </c>
      <c r="F5184" s="2">
        <f>DATE(2026,IF(Tabla1[[#This Row],[Mes de Fecha]]="Septiembre",9,10),Tabla1[[#This Row],[Día de Fecha]])</f>
        <v>46293</v>
      </c>
      <c r="I5184">
        <v>0</v>
      </c>
      <c r="J5184" s="1">
        <v>7868899</v>
      </c>
      <c r="K5184">
        <v>0</v>
      </c>
    </row>
    <row r="5185" spans="1:11" x14ac:dyDescent="0.25">
      <c r="A5185" t="s">
        <v>326</v>
      </c>
      <c r="B5185" t="s">
        <v>830</v>
      </c>
      <c r="C5185" t="s">
        <v>870</v>
      </c>
      <c r="D5185" t="s">
        <v>11</v>
      </c>
      <c r="E5185">
        <v>28</v>
      </c>
      <c r="F5185" s="2">
        <f>DATE(2026,IF(Tabla1[[#This Row],[Mes de Fecha]]="Septiembre",9,10),Tabla1[[#This Row],[Día de Fecha]])</f>
        <v>46293</v>
      </c>
      <c r="G5185">
        <v>1002596138</v>
      </c>
      <c r="H5185" t="s">
        <v>719</v>
      </c>
      <c r="I5185">
        <v>24</v>
      </c>
      <c r="J5185">
        <v>0</v>
      </c>
      <c r="K5185" s="1">
        <v>1587060</v>
      </c>
    </row>
    <row r="5186" spans="1:11" x14ac:dyDescent="0.25">
      <c r="A5186" t="s">
        <v>326</v>
      </c>
      <c r="B5186" t="s">
        <v>830</v>
      </c>
      <c r="C5186" t="s">
        <v>870</v>
      </c>
      <c r="D5186" t="s">
        <v>11</v>
      </c>
      <c r="E5186">
        <v>28</v>
      </c>
      <c r="F5186" s="2">
        <f>DATE(2026,IF(Tabla1[[#This Row],[Mes de Fecha]]="Septiembre",9,10),Tabla1[[#This Row],[Día de Fecha]])</f>
        <v>46293</v>
      </c>
      <c r="G5186">
        <v>1005327912</v>
      </c>
      <c r="H5186" t="s">
        <v>831</v>
      </c>
      <c r="I5186">
        <v>31</v>
      </c>
      <c r="J5186">
        <v>0</v>
      </c>
      <c r="K5186" s="1">
        <v>1681094</v>
      </c>
    </row>
    <row r="5187" spans="1:11" x14ac:dyDescent="0.25">
      <c r="A5187" t="s">
        <v>326</v>
      </c>
      <c r="B5187" t="s">
        <v>830</v>
      </c>
      <c r="C5187" t="s">
        <v>870</v>
      </c>
      <c r="D5187" t="s">
        <v>11</v>
      </c>
      <c r="E5187">
        <v>28</v>
      </c>
      <c r="F5187" s="2">
        <f>DATE(2026,IF(Tabla1[[#This Row],[Mes de Fecha]]="Septiembre",9,10),Tabla1[[#This Row],[Día de Fecha]])</f>
        <v>46293</v>
      </c>
      <c r="G5187">
        <v>1015402645</v>
      </c>
      <c r="H5187" t="s">
        <v>747</v>
      </c>
      <c r="I5187">
        <v>12</v>
      </c>
      <c r="J5187">
        <v>0</v>
      </c>
      <c r="K5187" s="1">
        <v>802018</v>
      </c>
    </row>
    <row r="5188" spans="1:11" x14ac:dyDescent="0.25">
      <c r="A5188" t="s">
        <v>326</v>
      </c>
      <c r="B5188" t="s">
        <v>830</v>
      </c>
      <c r="C5188" t="s">
        <v>870</v>
      </c>
      <c r="D5188" t="s">
        <v>11</v>
      </c>
      <c r="E5188">
        <v>28</v>
      </c>
      <c r="F5188" s="2">
        <f>DATE(2026,IF(Tabla1[[#This Row],[Mes de Fecha]]="Septiembre",9,10),Tabla1[[#This Row],[Día de Fecha]])</f>
        <v>46293</v>
      </c>
      <c r="G5188">
        <v>1017264739</v>
      </c>
      <c r="H5188" t="s">
        <v>748</v>
      </c>
      <c r="I5188">
        <v>40</v>
      </c>
      <c r="J5188">
        <v>0</v>
      </c>
      <c r="K5188" s="1">
        <v>1287438</v>
      </c>
    </row>
    <row r="5189" spans="1:11" x14ac:dyDescent="0.25">
      <c r="A5189" t="s">
        <v>326</v>
      </c>
      <c r="B5189" t="s">
        <v>830</v>
      </c>
      <c r="C5189" t="s">
        <v>870</v>
      </c>
      <c r="D5189" t="s">
        <v>11</v>
      </c>
      <c r="E5189">
        <v>28</v>
      </c>
      <c r="F5189" s="2">
        <f>DATE(2026,IF(Tabla1[[#This Row],[Mes de Fecha]]="Septiembre",9,10),Tabla1[[#This Row],[Día de Fecha]])</f>
        <v>46293</v>
      </c>
      <c r="G5189">
        <v>1026132356</v>
      </c>
      <c r="H5189" t="s">
        <v>835</v>
      </c>
      <c r="I5189">
        <v>3</v>
      </c>
      <c r="J5189">
        <v>0</v>
      </c>
      <c r="K5189" s="1">
        <v>201512</v>
      </c>
    </row>
    <row r="5190" spans="1:11" x14ac:dyDescent="0.25">
      <c r="A5190" t="s">
        <v>326</v>
      </c>
      <c r="B5190" t="s">
        <v>830</v>
      </c>
      <c r="C5190" t="s">
        <v>870</v>
      </c>
      <c r="D5190" t="s">
        <v>11</v>
      </c>
      <c r="E5190">
        <v>28</v>
      </c>
      <c r="F5190" s="2">
        <f>DATE(2026,IF(Tabla1[[#This Row],[Mes de Fecha]]="Septiembre",9,10),Tabla1[[#This Row],[Día de Fecha]])</f>
        <v>46293</v>
      </c>
      <c r="G5190">
        <v>1036131390</v>
      </c>
      <c r="H5190" t="s">
        <v>720</v>
      </c>
      <c r="I5190">
        <v>7</v>
      </c>
      <c r="J5190">
        <v>0</v>
      </c>
      <c r="K5190" s="1">
        <v>327396</v>
      </c>
    </row>
    <row r="5191" spans="1:11" x14ac:dyDescent="0.25">
      <c r="A5191" t="s">
        <v>326</v>
      </c>
      <c r="B5191" t="s">
        <v>830</v>
      </c>
      <c r="C5191" t="s">
        <v>870</v>
      </c>
      <c r="D5191" t="s">
        <v>11</v>
      </c>
      <c r="E5191">
        <v>28</v>
      </c>
      <c r="F5191" s="2">
        <f>DATE(2026,IF(Tabla1[[#This Row],[Mes de Fecha]]="Septiembre",9,10),Tabla1[[#This Row],[Día de Fecha]])</f>
        <v>46293</v>
      </c>
      <c r="G5191">
        <v>1039622506</v>
      </c>
      <c r="H5191" t="s">
        <v>832</v>
      </c>
      <c r="I5191">
        <v>17</v>
      </c>
      <c r="J5191">
        <v>0</v>
      </c>
      <c r="K5191" s="1">
        <v>1003404</v>
      </c>
    </row>
    <row r="5192" spans="1:11" x14ac:dyDescent="0.25">
      <c r="A5192" t="s">
        <v>326</v>
      </c>
      <c r="B5192" t="s">
        <v>830</v>
      </c>
      <c r="C5192" t="s">
        <v>870</v>
      </c>
      <c r="D5192" t="s">
        <v>11</v>
      </c>
      <c r="E5192">
        <v>28</v>
      </c>
      <c r="F5192" s="2">
        <f>DATE(2026,IF(Tabla1[[#This Row],[Mes de Fecha]]="Septiembre",9,10),Tabla1[[#This Row],[Día de Fecha]])</f>
        <v>46293</v>
      </c>
      <c r="G5192">
        <v>1045490172</v>
      </c>
      <c r="H5192" t="s">
        <v>833</v>
      </c>
      <c r="I5192">
        <v>4</v>
      </c>
      <c r="J5192">
        <v>0</v>
      </c>
      <c r="K5192" s="1">
        <v>109034</v>
      </c>
    </row>
    <row r="5193" spans="1:11" x14ac:dyDescent="0.25">
      <c r="A5193" t="s">
        <v>326</v>
      </c>
      <c r="B5193" t="s">
        <v>830</v>
      </c>
      <c r="C5193" t="s">
        <v>870</v>
      </c>
      <c r="D5193" t="s">
        <v>11</v>
      </c>
      <c r="E5193">
        <v>28</v>
      </c>
      <c r="F5193" s="2">
        <f>DATE(2026,IF(Tabla1[[#This Row],[Mes de Fecha]]="Septiembre",9,10),Tabla1[[#This Row],[Día de Fecha]])</f>
        <v>46293</v>
      </c>
      <c r="G5193">
        <v>1056785111</v>
      </c>
      <c r="H5193" t="s">
        <v>639</v>
      </c>
      <c r="I5193">
        <v>-1</v>
      </c>
      <c r="J5193">
        <v>0</v>
      </c>
      <c r="K5193" s="1">
        <v>-117605</v>
      </c>
    </row>
    <row r="5194" spans="1:11" x14ac:dyDescent="0.25">
      <c r="A5194" t="s">
        <v>326</v>
      </c>
      <c r="B5194" t="s">
        <v>830</v>
      </c>
      <c r="C5194" t="s">
        <v>870</v>
      </c>
      <c r="D5194" t="s">
        <v>11</v>
      </c>
      <c r="E5194">
        <v>28</v>
      </c>
      <c r="F5194" s="2">
        <f>DATE(2026,IF(Tabla1[[#This Row],[Mes de Fecha]]="Septiembre",9,10),Tabla1[[#This Row],[Día de Fecha]])</f>
        <v>46293</v>
      </c>
      <c r="G5194">
        <v>1110283879</v>
      </c>
      <c r="H5194" t="s">
        <v>645</v>
      </c>
      <c r="I5194">
        <v>-1</v>
      </c>
      <c r="J5194">
        <v>0</v>
      </c>
      <c r="K5194" s="1">
        <v>-54580</v>
      </c>
    </row>
    <row r="5195" spans="1:11" x14ac:dyDescent="0.25">
      <c r="A5195" t="s">
        <v>326</v>
      </c>
      <c r="B5195" t="s">
        <v>830</v>
      </c>
      <c r="C5195" t="s">
        <v>870</v>
      </c>
      <c r="D5195" t="s">
        <v>11</v>
      </c>
      <c r="E5195">
        <v>29</v>
      </c>
      <c r="F5195" s="2">
        <f>DATE(2026,IF(Tabla1[[#This Row],[Mes de Fecha]]="Septiembre",9,10),Tabla1[[#This Row],[Día de Fecha]])</f>
        <v>46294</v>
      </c>
      <c r="I5195">
        <v>0</v>
      </c>
      <c r="J5195" s="1">
        <v>8038856</v>
      </c>
      <c r="K5195">
        <v>0</v>
      </c>
    </row>
    <row r="5196" spans="1:11" x14ac:dyDescent="0.25">
      <c r="A5196" t="s">
        <v>326</v>
      </c>
      <c r="B5196" t="s">
        <v>830</v>
      </c>
      <c r="C5196" t="s">
        <v>870</v>
      </c>
      <c r="D5196" t="s">
        <v>11</v>
      </c>
      <c r="E5196">
        <v>29</v>
      </c>
      <c r="F5196" s="2">
        <f>DATE(2026,IF(Tabla1[[#This Row],[Mes de Fecha]]="Septiembre",9,10),Tabla1[[#This Row],[Día de Fecha]])</f>
        <v>46294</v>
      </c>
      <c r="G5196">
        <v>1002596138</v>
      </c>
      <c r="H5196" t="s">
        <v>719</v>
      </c>
      <c r="I5196">
        <v>13</v>
      </c>
      <c r="J5196">
        <v>0</v>
      </c>
      <c r="K5196" s="1">
        <v>633319</v>
      </c>
    </row>
    <row r="5197" spans="1:11" x14ac:dyDescent="0.25">
      <c r="A5197" t="s">
        <v>326</v>
      </c>
      <c r="B5197" t="s">
        <v>830</v>
      </c>
      <c r="C5197" t="s">
        <v>870</v>
      </c>
      <c r="D5197" t="s">
        <v>11</v>
      </c>
      <c r="E5197">
        <v>29</v>
      </c>
      <c r="F5197" s="2">
        <f>DATE(2026,IF(Tabla1[[#This Row],[Mes de Fecha]]="Septiembre",9,10),Tabla1[[#This Row],[Día de Fecha]])</f>
        <v>46294</v>
      </c>
      <c r="G5197">
        <v>1005327912</v>
      </c>
      <c r="H5197" t="s">
        <v>831</v>
      </c>
      <c r="I5197">
        <v>18</v>
      </c>
      <c r="J5197">
        <v>0</v>
      </c>
      <c r="K5197" s="1">
        <v>1074789</v>
      </c>
    </row>
    <row r="5198" spans="1:11" x14ac:dyDescent="0.25">
      <c r="A5198" t="s">
        <v>326</v>
      </c>
      <c r="B5198" t="s">
        <v>830</v>
      </c>
      <c r="C5198" t="s">
        <v>870</v>
      </c>
      <c r="D5198" t="s">
        <v>11</v>
      </c>
      <c r="E5198">
        <v>29</v>
      </c>
      <c r="F5198" s="2">
        <f>DATE(2026,IF(Tabla1[[#This Row],[Mes de Fecha]]="Septiembre",9,10),Tabla1[[#This Row],[Día de Fecha]])</f>
        <v>46294</v>
      </c>
      <c r="G5198">
        <v>1015402645</v>
      </c>
      <c r="H5198" t="s">
        <v>747</v>
      </c>
      <c r="I5198">
        <v>26</v>
      </c>
      <c r="J5198">
        <v>0</v>
      </c>
      <c r="K5198" s="1">
        <v>1519831</v>
      </c>
    </row>
    <row r="5199" spans="1:11" x14ac:dyDescent="0.25">
      <c r="A5199" t="s">
        <v>326</v>
      </c>
      <c r="B5199" t="s">
        <v>830</v>
      </c>
      <c r="C5199" t="s">
        <v>870</v>
      </c>
      <c r="D5199" t="s">
        <v>11</v>
      </c>
      <c r="E5199">
        <v>29</v>
      </c>
      <c r="F5199" s="2">
        <f>DATE(2026,IF(Tabla1[[#This Row],[Mes de Fecha]]="Septiembre",9,10),Tabla1[[#This Row],[Día de Fecha]])</f>
        <v>46294</v>
      </c>
      <c r="G5199">
        <v>1017264739</v>
      </c>
      <c r="H5199" t="s">
        <v>748</v>
      </c>
      <c r="I5199">
        <v>27</v>
      </c>
      <c r="J5199">
        <v>0</v>
      </c>
      <c r="K5199" s="1">
        <v>1587102</v>
      </c>
    </row>
    <row r="5200" spans="1:11" x14ac:dyDescent="0.25">
      <c r="A5200" t="s">
        <v>326</v>
      </c>
      <c r="B5200" t="s">
        <v>830</v>
      </c>
      <c r="C5200" t="s">
        <v>870</v>
      </c>
      <c r="D5200" t="s">
        <v>11</v>
      </c>
      <c r="E5200">
        <v>29</v>
      </c>
      <c r="F5200" s="2">
        <f>DATE(2026,IF(Tabla1[[#This Row],[Mes de Fecha]]="Septiembre",9,10),Tabla1[[#This Row],[Día de Fecha]])</f>
        <v>46294</v>
      </c>
      <c r="G5200">
        <v>1026132356</v>
      </c>
      <c r="H5200" t="s">
        <v>835</v>
      </c>
      <c r="I5200">
        <v>10</v>
      </c>
      <c r="J5200">
        <v>0</v>
      </c>
      <c r="K5200" s="1">
        <v>449118</v>
      </c>
    </row>
    <row r="5201" spans="1:11" x14ac:dyDescent="0.25">
      <c r="A5201" t="s">
        <v>326</v>
      </c>
      <c r="B5201" t="s">
        <v>830</v>
      </c>
      <c r="C5201" t="s">
        <v>870</v>
      </c>
      <c r="D5201" t="s">
        <v>11</v>
      </c>
      <c r="E5201">
        <v>29</v>
      </c>
      <c r="F5201" s="2">
        <f>DATE(2026,IF(Tabla1[[#This Row],[Mes de Fecha]]="Septiembre",9,10),Tabla1[[#This Row],[Día de Fecha]])</f>
        <v>46294</v>
      </c>
      <c r="G5201">
        <v>1036131390</v>
      </c>
      <c r="H5201" t="s">
        <v>720</v>
      </c>
      <c r="I5201">
        <v>12</v>
      </c>
      <c r="J5201">
        <v>0</v>
      </c>
      <c r="K5201" s="1">
        <v>831429</v>
      </c>
    </row>
    <row r="5202" spans="1:11" x14ac:dyDescent="0.25">
      <c r="A5202" t="s">
        <v>326</v>
      </c>
      <c r="B5202" t="s">
        <v>830</v>
      </c>
      <c r="C5202" t="s">
        <v>870</v>
      </c>
      <c r="D5202" t="s">
        <v>11</v>
      </c>
      <c r="E5202">
        <v>29</v>
      </c>
      <c r="F5202" s="2">
        <f>DATE(2026,IF(Tabla1[[#This Row],[Mes de Fecha]]="Septiembre",9,10),Tabla1[[#This Row],[Día de Fecha]])</f>
        <v>46294</v>
      </c>
      <c r="G5202">
        <v>1039622506</v>
      </c>
      <c r="H5202" t="s">
        <v>832</v>
      </c>
      <c r="I5202">
        <v>4</v>
      </c>
      <c r="J5202">
        <v>0</v>
      </c>
      <c r="K5202" s="1">
        <v>293949</v>
      </c>
    </row>
    <row r="5203" spans="1:11" x14ac:dyDescent="0.25">
      <c r="A5203" t="s">
        <v>326</v>
      </c>
      <c r="B5203" t="s">
        <v>830</v>
      </c>
      <c r="C5203" t="s">
        <v>870</v>
      </c>
      <c r="D5203" t="s">
        <v>11</v>
      </c>
      <c r="E5203">
        <v>29</v>
      </c>
      <c r="F5203" s="2">
        <f>DATE(2026,IF(Tabla1[[#This Row],[Mes de Fecha]]="Septiembre",9,10),Tabla1[[#This Row],[Día de Fecha]])</f>
        <v>46294</v>
      </c>
      <c r="G5203">
        <v>1045490172</v>
      </c>
      <c r="H5203" t="s">
        <v>833</v>
      </c>
      <c r="I5203">
        <v>5</v>
      </c>
      <c r="J5203">
        <v>0</v>
      </c>
      <c r="K5203" s="1">
        <v>209832</v>
      </c>
    </row>
    <row r="5204" spans="1:11" x14ac:dyDescent="0.25">
      <c r="A5204" t="s">
        <v>326</v>
      </c>
      <c r="B5204" t="s">
        <v>830</v>
      </c>
      <c r="C5204" t="s">
        <v>870</v>
      </c>
      <c r="D5204" t="s">
        <v>11</v>
      </c>
      <c r="E5204">
        <v>30</v>
      </c>
      <c r="F5204" s="2">
        <f>DATE(2026,IF(Tabla1[[#This Row],[Mes de Fecha]]="Septiembre",9,10),Tabla1[[#This Row],[Día de Fecha]])</f>
        <v>46295</v>
      </c>
      <c r="I5204">
        <v>0</v>
      </c>
      <c r="J5204" s="1">
        <v>8487423</v>
      </c>
      <c r="K5204">
        <v>0</v>
      </c>
    </row>
    <row r="5205" spans="1:11" x14ac:dyDescent="0.25">
      <c r="A5205" t="s">
        <v>326</v>
      </c>
      <c r="B5205" t="s">
        <v>830</v>
      </c>
      <c r="C5205" t="s">
        <v>870</v>
      </c>
      <c r="D5205" t="s">
        <v>11</v>
      </c>
      <c r="E5205">
        <v>30</v>
      </c>
      <c r="F5205" s="2">
        <f>DATE(2026,IF(Tabla1[[#This Row],[Mes de Fecha]]="Septiembre",9,10),Tabla1[[#This Row],[Día de Fecha]])</f>
        <v>46295</v>
      </c>
      <c r="G5205">
        <v>1002596138</v>
      </c>
      <c r="H5205" t="s">
        <v>719</v>
      </c>
      <c r="I5205">
        <v>33</v>
      </c>
      <c r="J5205">
        <v>0</v>
      </c>
      <c r="K5205" s="1">
        <v>1342817</v>
      </c>
    </row>
    <row r="5206" spans="1:11" x14ac:dyDescent="0.25">
      <c r="A5206" t="s">
        <v>326</v>
      </c>
      <c r="B5206" t="s">
        <v>830</v>
      </c>
      <c r="C5206" t="s">
        <v>870</v>
      </c>
      <c r="D5206" t="s">
        <v>11</v>
      </c>
      <c r="E5206">
        <v>30</v>
      </c>
      <c r="F5206" s="2">
        <f>DATE(2026,IF(Tabla1[[#This Row],[Mes de Fecha]]="Septiembre",9,10),Tabla1[[#This Row],[Día de Fecha]])</f>
        <v>46295</v>
      </c>
      <c r="G5206">
        <v>1005327912</v>
      </c>
      <c r="H5206" t="s">
        <v>831</v>
      </c>
      <c r="I5206">
        <v>74</v>
      </c>
      <c r="J5206">
        <v>0</v>
      </c>
      <c r="K5206" s="1">
        <v>3803031</v>
      </c>
    </row>
    <row r="5207" spans="1:11" x14ac:dyDescent="0.25">
      <c r="A5207" t="s">
        <v>326</v>
      </c>
      <c r="B5207" t="s">
        <v>830</v>
      </c>
      <c r="C5207" t="s">
        <v>870</v>
      </c>
      <c r="D5207" t="s">
        <v>11</v>
      </c>
      <c r="E5207">
        <v>30</v>
      </c>
      <c r="F5207" s="2">
        <f>DATE(2026,IF(Tabla1[[#This Row],[Mes de Fecha]]="Septiembre",9,10),Tabla1[[#This Row],[Día de Fecha]])</f>
        <v>46295</v>
      </c>
      <c r="G5207">
        <v>1007390161</v>
      </c>
      <c r="H5207" t="s">
        <v>743</v>
      </c>
      <c r="I5207">
        <v>-1</v>
      </c>
      <c r="J5207">
        <v>0</v>
      </c>
      <c r="K5207" s="1">
        <v>-20966</v>
      </c>
    </row>
    <row r="5208" spans="1:11" x14ac:dyDescent="0.25">
      <c r="A5208" t="s">
        <v>326</v>
      </c>
      <c r="B5208" t="s">
        <v>830</v>
      </c>
      <c r="C5208" t="s">
        <v>870</v>
      </c>
      <c r="D5208" t="s">
        <v>11</v>
      </c>
      <c r="E5208">
        <v>30</v>
      </c>
      <c r="F5208" s="2">
        <f>DATE(2026,IF(Tabla1[[#This Row],[Mes de Fecha]]="Septiembre",9,10),Tabla1[[#This Row],[Día de Fecha]])</f>
        <v>46295</v>
      </c>
      <c r="G5208">
        <v>1015402645</v>
      </c>
      <c r="H5208" t="s">
        <v>747</v>
      </c>
      <c r="I5208">
        <v>12</v>
      </c>
      <c r="J5208">
        <v>0</v>
      </c>
      <c r="K5208" s="1">
        <v>491050</v>
      </c>
    </row>
    <row r="5209" spans="1:11" x14ac:dyDescent="0.25">
      <c r="A5209" t="s">
        <v>326</v>
      </c>
      <c r="B5209" t="s">
        <v>830</v>
      </c>
      <c r="C5209" t="s">
        <v>870</v>
      </c>
      <c r="D5209" t="s">
        <v>11</v>
      </c>
      <c r="E5209">
        <v>30</v>
      </c>
      <c r="F5209" s="2">
        <f>DATE(2026,IF(Tabla1[[#This Row],[Mes de Fecha]]="Septiembre",9,10),Tabla1[[#This Row],[Día de Fecha]])</f>
        <v>46295</v>
      </c>
      <c r="G5209">
        <v>1017264739</v>
      </c>
      <c r="H5209" t="s">
        <v>748</v>
      </c>
      <c r="I5209">
        <v>34</v>
      </c>
      <c r="J5209">
        <v>0</v>
      </c>
      <c r="K5209" s="1">
        <v>1968867</v>
      </c>
    </row>
    <row r="5210" spans="1:11" x14ac:dyDescent="0.25">
      <c r="A5210" t="s">
        <v>326</v>
      </c>
      <c r="B5210" t="s">
        <v>830</v>
      </c>
      <c r="C5210" t="s">
        <v>870</v>
      </c>
      <c r="D5210" t="s">
        <v>11</v>
      </c>
      <c r="E5210">
        <v>30</v>
      </c>
      <c r="F5210" s="2">
        <f>DATE(2026,IF(Tabla1[[#This Row],[Mes de Fecha]]="Septiembre",9,10),Tabla1[[#This Row],[Día de Fecha]])</f>
        <v>46295</v>
      </c>
      <c r="G5210">
        <v>1026132356</v>
      </c>
      <c r="H5210" t="s">
        <v>835</v>
      </c>
      <c r="I5210">
        <v>8</v>
      </c>
      <c r="J5210">
        <v>0</v>
      </c>
      <c r="K5210" s="1">
        <v>617311</v>
      </c>
    </row>
    <row r="5211" spans="1:11" x14ac:dyDescent="0.25">
      <c r="A5211" t="s">
        <v>326</v>
      </c>
      <c r="B5211" t="s">
        <v>830</v>
      </c>
      <c r="C5211" t="s">
        <v>870</v>
      </c>
      <c r="D5211" t="s">
        <v>11</v>
      </c>
      <c r="E5211">
        <v>30</v>
      </c>
      <c r="F5211" s="2">
        <f>DATE(2026,IF(Tabla1[[#This Row],[Mes de Fecha]]="Septiembre",9,10),Tabla1[[#This Row],[Día de Fecha]])</f>
        <v>46295</v>
      </c>
      <c r="G5211">
        <v>1036131390</v>
      </c>
      <c r="H5211" t="s">
        <v>720</v>
      </c>
      <c r="I5211">
        <v>2</v>
      </c>
      <c r="J5211">
        <v>0</v>
      </c>
      <c r="K5211" s="1">
        <v>146975</v>
      </c>
    </row>
    <row r="5212" spans="1:11" x14ac:dyDescent="0.25">
      <c r="A5212" t="s">
        <v>326</v>
      </c>
      <c r="B5212" t="s">
        <v>830</v>
      </c>
      <c r="C5212" t="s">
        <v>870</v>
      </c>
      <c r="D5212" t="s">
        <v>11</v>
      </c>
      <c r="E5212">
        <v>30</v>
      </c>
      <c r="F5212" s="2">
        <f>DATE(2026,IF(Tabla1[[#This Row],[Mes de Fecha]]="Septiembre",9,10),Tabla1[[#This Row],[Día de Fecha]])</f>
        <v>46295</v>
      </c>
      <c r="G5212">
        <v>1039622506</v>
      </c>
      <c r="H5212" t="s">
        <v>832</v>
      </c>
      <c r="I5212">
        <v>6</v>
      </c>
      <c r="J5212">
        <v>0</v>
      </c>
      <c r="K5212" s="1">
        <v>310673</v>
      </c>
    </row>
    <row r="5213" spans="1:11" x14ac:dyDescent="0.25">
      <c r="A5213" t="s">
        <v>326</v>
      </c>
      <c r="B5213" t="s">
        <v>830</v>
      </c>
      <c r="C5213" t="s">
        <v>870</v>
      </c>
      <c r="D5213" t="s">
        <v>11</v>
      </c>
      <c r="E5213">
        <v>30</v>
      </c>
      <c r="F5213" s="2">
        <f>DATE(2026,IF(Tabla1[[#This Row],[Mes de Fecha]]="Septiembre",9,10),Tabla1[[#This Row],[Día de Fecha]])</f>
        <v>46295</v>
      </c>
      <c r="G5213">
        <v>1045490172</v>
      </c>
      <c r="H5213" t="s">
        <v>833</v>
      </c>
      <c r="I5213">
        <v>7</v>
      </c>
      <c r="J5213">
        <v>0</v>
      </c>
      <c r="K5213" s="1">
        <v>256009</v>
      </c>
    </row>
    <row r="5214" spans="1:11" x14ac:dyDescent="0.25">
      <c r="A5214" t="s">
        <v>326</v>
      </c>
      <c r="B5214" t="s">
        <v>830</v>
      </c>
      <c r="C5214" t="s">
        <v>870</v>
      </c>
      <c r="D5214" t="s">
        <v>14</v>
      </c>
      <c r="E5214">
        <v>1</v>
      </c>
      <c r="F5214" s="2">
        <f>DATE(2026,IF(Tabla1[[#This Row],[Mes de Fecha]]="Septiembre",9,10),Tabla1[[#This Row],[Día de Fecha]])</f>
        <v>46296</v>
      </c>
      <c r="I5214">
        <v>0</v>
      </c>
      <c r="J5214" s="1">
        <v>11681026</v>
      </c>
      <c r="K5214">
        <v>0</v>
      </c>
    </row>
    <row r="5215" spans="1:11" x14ac:dyDescent="0.25">
      <c r="A5215" t="s">
        <v>326</v>
      </c>
      <c r="B5215" t="s">
        <v>830</v>
      </c>
      <c r="C5215" t="s">
        <v>870</v>
      </c>
      <c r="D5215" t="s">
        <v>14</v>
      </c>
      <c r="E5215">
        <v>1</v>
      </c>
      <c r="F5215" s="2">
        <f>DATE(2026,IF(Tabla1[[#This Row],[Mes de Fecha]]="Septiembre",9,10),Tabla1[[#This Row],[Día de Fecha]])</f>
        <v>46296</v>
      </c>
      <c r="G5215">
        <v>1002596138</v>
      </c>
      <c r="H5215" t="s">
        <v>719</v>
      </c>
      <c r="I5215">
        <v>26</v>
      </c>
      <c r="J5215">
        <v>0</v>
      </c>
      <c r="K5215" s="1">
        <v>1452607</v>
      </c>
    </row>
    <row r="5216" spans="1:11" x14ac:dyDescent="0.25">
      <c r="A5216" t="s">
        <v>326</v>
      </c>
      <c r="B5216" t="s">
        <v>830</v>
      </c>
      <c r="C5216" t="s">
        <v>870</v>
      </c>
      <c r="D5216" t="s">
        <v>14</v>
      </c>
      <c r="E5216">
        <v>1</v>
      </c>
      <c r="F5216" s="2">
        <f>DATE(2026,IF(Tabla1[[#This Row],[Mes de Fecha]]="Septiembre",9,10),Tabla1[[#This Row],[Día de Fecha]])</f>
        <v>46296</v>
      </c>
      <c r="G5216">
        <v>1005327912</v>
      </c>
      <c r="H5216" t="s">
        <v>831</v>
      </c>
      <c r="I5216">
        <v>32</v>
      </c>
      <c r="J5216">
        <v>0</v>
      </c>
      <c r="K5216" s="1">
        <v>1553070</v>
      </c>
    </row>
    <row r="5217" spans="1:11" x14ac:dyDescent="0.25">
      <c r="A5217" t="s">
        <v>326</v>
      </c>
      <c r="B5217" t="s">
        <v>830</v>
      </c>
      <c r="C5217" t="s">
        <v>870</v>
      </c>
      <c r="D5217" t="s">
        <v>14</v>
      </c>
      <c r="E5217">
        <v>1</v>
      </c>
      <c r="F5217" s="2">
        <f>DATE(2026,IF(Tabla1[[#This Row],[Mes de Fecha]]="Septiembre",9,10),Tabla1[[#This Row],[Día de Fecha]])</f>
        <v>46296</v>
      </c>
      <c r="G5217">
        <v>1015402645</v>
      </c>
      <c r="H5217" t="s">
        <v>747</v>
      </c>
      <c r="I5217">
        <v>31</v>
      </c>
      <c r="J5217">
        <v>0</v>
      </c>
      <c r="K5217" s="1">
        <v>1040252</v>
      </c>
    </row>
    <row r="5218" spans="1:11" x14ac:dyDescent="0.25">
      <c r="A5218" t="s">
        <v>326</v>
      </c>
      <c r="B5218" t="s">
        <v>830</v>
      </c>
      <c r="C5218" t="s">
        <v>870</v>
      </c>
      <c r="D5218" t="s">
        <v>14</v>
      </c>
      <c r="E5218">
        <v>1</v>
      </c>
      <c r="F5218" s="2">
        <f>DATE(2026,IF(Tabla1[[#This Row],[Mes de Fecha]]="Septiembre",9,10),Tabla1[[#This Row],[Día de Fecha]])</f>
        <v>46296</v>
      </c>
      <c r="G5218">
        <v>1017264739</v>
      </c>
      <c r="H5218" t="s">
        <v>748</v>
      </c>
      <c r="I5218">
        <v>49</v>
      </c>
      <c r="J5218">
        <v>0</v>
      </c>
      <c r="K5218" s="1">
        <v>2506135</v>
      </c>
    </row>
    <row r="5219" spans="1:11" x14ac:dyDescent="0.25">
      <c r="A5219" t="s">
        <v>326</v>
      </c>
      <c r="B5219" t="s">
        <v>830</v>
      </c>
      <c r="C5219" t="s">
        <v>870</v>
      </c>
      <c r="D5219" t="s">
        <v>14</v>
      </c>
      <c r="E5219">
        <v>1</v>
      </c>
      <c r="F5219" s="2">
        <f>DATE(2026,IF(Tabla1[[#This Row],[Mes de Fecha]]="Septiembre",9,10),Tabla1[[#This Row],[Día de Fecha]])</f>
        <v>46296</v>
      </c>
      <c r="G5219">
        <v>1026132356</v>
      </c>
      <c r="H5219" t="s">
        <v>835</v>
      </c>
      <c r="I5219">
        <v>19</v>
      </c>
      <c r="J5219">
        <v>0</v>
      </c>
      <c r="K5219" s="1">
        <v>759538</v>
      </c>
    </row>
    <row r="5220" spans="1:11" x14ac:dyDescent="0.25">
      <c r="A5220" t="s">
        <v>326</v>
      </c>
      <c r="B5220" t="s">
        <v>830</v>
      </c>
      <c r="C5220" t="s">
        <v>870</v>
      </c>
      <c r="D5220" t="s">
        <v>14</v>
      </c>
      <c r="E5220">
        <v>1</v>
      </c>
      <c r="F5220" s="2">
        <f>DATE(2026,IF(Tabla1[[#This Row],[Mes de Fecha]]="Septiembre",9,10),Tabla1[[#This Row],[Día de Fecha]])</f>
        <v>46296</v>
      </c>
      <c r="G5220">
        <v>1036131390</v>
      </c>
      <c r="H5220" t="s">
        <v>720</v>
      </c>
      <c r="I5220">
        <v>11</v>
      </c>
      <c r="J5220">
        <v>0</v>
      </c>
      <c r="K5220" s="1">
        <v>470001</v>
      </c>
    </row>
    <row r="5221" spans="1:11" x14ac:dyDescent="0.25">
      <c r="A5221" t="s">
        <v>326</v>
      </c>
      <c r="B5221" t="s">
        <v>830</v>
      </c>
      <c r="C5221" t="s">
        <v>870</v>
      </c>
      <c r="D5221" t="s">
        <v>14</v>
      </c>
      <c r="E5221">
        <v>1</v>
      </c>
      <c r="F5221" s="2">
        <f>DATE(2026,IF(Tabla1[[#This Row],[Mes de Fecha]]="Septiembre",9,10),Tabla1[[#This Row],[Día de Fecha]])</f>
        <v>46296</v>
      </c>
      <c r="G5221">
        <v>1039622506</v>
      </c>
      <c r="H5221" t="s">
        <v>832</v>
      </c>
      <c r="I5221">
        <v>16</v>
      </c>
      <c r="J5221">
        <v>0</v>
      </c>
      <c r="K5221" s="1">
        <v>692396</v>
      </c>
    </row>
    <row r="5222" spans="1:11" x14ac:dyDescent="0.25">
      <c r="A5222" t="s">
        <v>326</v>
      </c>
      <c r="B5222" t="s">
        <v>830</v>
      </c>
      <c r="C5222" t="s">
        <v>870</v>
      </c>
      <c r="D5222" t="s">
        <v>14</v>
      </c>
      <c r="E5222">
        <v>1</v>
      </c>
      <c r="F5222" s="2">
        <f>DATE(2026,IF(Tabla1[[#This Row],[Mes de Fecha]]="Septiembre",9,10),Tabla1[[#This Row],[Día de Fecha]])</f>
        <v>46296</v>
      </c>
      <c r="G5222">
        <v>1045490172</v>
      </c>
      <c r="H5222" t="s">
        <v>833</v>
      </c>
      <c r="I5222">
        <v>7</v>
      </c>
      <c r="J5222">
        <v>0</v>
      </c>
      <c r="K5222" s="1">
        <v>335841</v>
      </c>
    </row>
    <row r="5223" spans="1:11" x14ac:dyDescent="0.25">
      <c r="A5223" t="s">
        <v>326</v>
      </c>
      <c r="B5223" t="s">
        <v>830</v>
      </c>
      <c r="C5223" t="s">
        <v>870</v>
      </c>
      <c r="D5223" t="s">
        <v>14</v>
      </c>
      <c r="E5223">
        <v>2</v>
      </c>
      <c r="F5223" s="2">
        <f>DATE(2026,IF(Tabla1[[#This Row],[Mes de Fecha]]="Septiembre",9,10),Tabla1[[#This Row],[Día de Fecha]])</f>
        <v>46297</v>
      </c>
      <c r="I5223">
        <v>0</v>
      </c>
      <c r="J5223" s="1">
        <v>16010602</v>
      </c>
      <c r="K5223">
        <v>0</v>
      </c>
    </row>
    <row r="5224" spans="1:11" x14ac:dyDescent="0.25">
      <c r="A5224" t="s">
        <v>326</v>
      </c>
      <c r="B5224" t="s">
        <v>830</v>
      </c>
      <c r="C5224" t="s">
        <v>870</v>
      </c>
      <c r="D5224" t="s">
        <v>14</v>
      </c>
      <c r="E5224">
        <v>2</v>
      </c>
      <c r="F5224" s="2">
        <f>DATE(2026,IF(Tabla1[[#This Row],[Mes de Fecha]]="Septiembre",9,10),Tabla1[[#This Row],[Día de Fecha]])</f>
        <v>46297</v>
      </c>
      <c r="G5224">
        <v>1002596138</v>
      </c>
      <c r="H5224" t="s">
        <v>719</v>
      </c>
      <c r="I5224">
        <v>35</v>
      </c>
      <c r="J5224">
        <v>0</v>
      </c>
      <c r="K5224" s="1">
        <v>2212731</v>
      </c>
    </row>
    <row r="5225" spans="1:11" x14ac:dyDescent="0.25">
      <c r="A5225" t="s">
        <v>326</v>
      </c>
      <c r="B5225" t="s">
        <v>830</v>
      </c>
      <c r="C5225" t="s">
        <v>870</v>
      </c>
      <c r="D5225" t="s">
        <v>14</v>
      </c>
      <c r="E5225">
        <v>2</v>
      </c>
      <c r="F5225" s="2">
        <f>DATE(2026,IF(Tabla1[[#This Row],[Mes de Fecha]]="Septiembre",9,10),Tabla1[[#This Row],[Día de Fecha]])</f>
        <v>46297</v>
      </c>
      <c r="G5225">
        <v>1005327912</v>
      </c>
      <c r="H5225" t="s">
        <v>831</v>
      </c>
      <c r="I5225">
        <v>54</v>
      </c>
      <c r="J5225">
        <v>0</v>
      </c>
      <c r="K5225" s="1">
        <v>3098028</v>
      </c>
    </row>
    <row r="5226" spans="1:11" x14ac:dyDescent="0.25">
      <c r="A5226" t="s">
        <v>326</v>
      </c>
      <c r="B5226" t="s">
        <v>830</v>
      </c>
      <c r="C5226" t="s">
        <v>870</v>
      </c>
      <c r="D5226" t="s">
        <v>14</v>
      </c>
      <c r="E5226">
        <v>2</v>
      </c>
      <c r="F5226" s="2">
        <f>DATE(2026,IF(Tabla1[[#This Row],[Mes de Fecha]]="Septiembre",9,10),Tabla1[[#This Row],[Día de Fecha]])</f>
        <v>46297</v>
      </c>
      <c r="G5226">
        <v>1015402645</v>
      </c>
      <c r="H5226" t="s">
        <v>747</v>
      </c>
      <c r="I5226">
        <v>37</v>
      </c>
      <c r="J5226">
        <v>0</v>
      </c>
      <c r="K5226" s="1">
        <v>2004628</v>
      </c>
    </row>
    <row r="5227" spans="1:11" x14ac:dyDescent="0.25">
      <c r="A5227" t="s">
        <v>326</v>
      </c>
      <c r="B5227" t="s">
        <v>830</v>
      </c>
      <c r="C5227" t="s">
        <v>870</v>
      </c>
      <c r="D5227" t="s">
        <v>14</v>
      </c>
      <c r="E5227">
        <v>2</v>
      </c>
      <c r="F5227" s="2">
        <f>DATE(2026,IF(Tabla1[[#This Row],[Mes de Fecha]]="Septiembre",9,10),Tabla1[[#This Row],[Día de Fecha]])</f>
        <v>46297</v>
      </c>
      <c r="G5227">
        <v>1017264739</v>
      </c>
      <c r="H5227" t="s">
        <v>748</v>
      </c>
      <c r="I5227">
        <v>64</v>
      </c>
      <c r="J5227">
        <v>0</v>
      </c>
      <c r="K5227" s="1">
        <v>3242436</v>
      </c>
    </row>
    <row r="5228" spans="1:11" x14ac:dyDescent="0.25">
      <c r="A5228" t="s">
        <v>326</v>
      </c>
      <c r="B5228" t="s">
        <v>830</v>
      </c>
      <c r="C5228" t="s">
        <v>870</v>
      </c>
      <c r="D5228" t="s">
        <v>14</v>
      </c>
      <c r="E5228">
        <v>2</v>
      </c>
      <c r="F5228" s="2">
        <f>DATE(2026,IF(Tabla1[[#This Row],[Mes de Fecha]]="Septiembre",9,10),Tabla1[[#This Row],[Día de Fecha]])</f>
        <v>46297</v>
      </c>
      <c r="G5228">
        <v>1026132356</v>
      </c>
      <c r="H5228" t="s">
        <v>835</v>
      </c>
      <c r="I5228">
        <v>22</v>
      </c>
      <c r="J5228">
        <v>0</v>
      </c>
      <c r="K5228" s="1">
        <v>1566321</v>
      </c>
    </row>
    <row r="5229" spans="1:11" x14ac:dyDescent="0.25">
      <c r="A5229" t="s">
        <v>326</v>
      </c>
      <c r="B5229" t="s">
        <v>830</v>
      </c>
      <c r="C5229" t="s">
        <v>870</v>
      </c>
      <c r="D5229" t="s">
        <v>14</v>
      </c>
      <c r="E5229">
        <v>2</v>
      </c>
      <c r="F5229" s="2">
        <f>DATE(2026,IF(Tabla1[[#This Row],[Mes de Fecha]]="Septiembre",9,10),Tabla1[[#This Row],[Día de Fecha]])</f>
        <v>46297</v>
      </c>
      <c r="G5229">
        <v>1036131390</v>
      </c>
      <c r="H5229" t="s">
        <v>720</v>
      </c>
      <c r="I5229">
        <v>14</v>
      </c>
      <c r="J5229">
        <v>0</v>
      </c>
      <c r="K5229" s="1">
        <v>785042</v>
      </c>
    </row>
    <row r="5230" spans="1:11" x14ac:dyDescent="0.25">
      <c r="A5230" t="s">
        <v>326</v>
      </c>
      <c r="B5230" t="s">
        <v>830</v>
      </c>
      <c r="C5230" t="s">
        <v>870</v>
      </c>
      <c r="D5230" t="s">
        <v>14</v>
      </c>
      <c r="E5230">
        <v>2</v>
      </c>
      <c r="F5230" s="2">
        <f>DATE(2026,IF(Tabla1[[#This Row],[Mes de Fecha]]="Septiembre",9,10),Tabla1[[#This Row],[Día de Fecha]])</f>
        <v>46297</v>
      </c>
      <c r="G5230">
        <v>1039622506</v>
      </c>
      <c r="H5230" t="s">
        <v>832</v>
      </c>
      <c r="I5230">
        <v>24</v>
      </c>
      <c r="J5230">
        <v>0</v>
      </c>
      <c r="K5230" s="1">
        <v>1423278</v>
      </c>
    </row>
    <row r="5231" spans="1:11" x14ac:dyDescent="0.25">
      <c r="A5231" t="s">
        <v>326</v>
      </c>
      <c r="B5231" t="s">
        <v>830</v>
      </c>
      <c r="C5231" t="s">
        <v>870</v>
      </c>
      <c r="D5231" t="s">
        <v>14</v>
      </c>
      <c r="E5231">
        <v>2</v>
      </c>
      <c r="F5231" s="2">
        <f>DATE(2026,IF(Tabla1[[#This Row],[Mes de Fecha]]="Septiembre",9,10),Tabla1[[#This Row],[Día de Fecha]])</f>
        <v>46297</v>
      </c>
      <c r="G5231">
        <v>1045490172</v>
      </c>
      <c r="H5231" t="s">
        <v>833</v>
      </c>
      <c r="I5231">
        <v>8</v>
      </c>
      <c r="J5231">
        <v>0</v>
      </c>
      <c r="K5231" s="1">
        <v>663530</v>
      </c>
    </row>
    <row r="5232" spans="1:11" x14ac:dyDescent="0.25">
      <c r="A5232" t="s">
        <v>326</v>
      </c>
      <c r="B5232" t="s">
        <v>830</v>
      </c>
      <c r="C5232" t="s">
        <v>870</v>
      </c>
      <c r="D5232" t="s">
        <v>14</v>
      </c>
      <c r="E5232">
        <v>3</v>
      </c>
      <c r="F5232" s="2">
        <f>DATE(2026,IF(Tabla1[[#This Row],[Mes de Fecha]]="Septiembre",9,10),Tabla1[[#This Row],[Día de Fecha]])</f>
        <v>46298</v>
      </c>
      <c r="I5232">
        <v>0</v>
      </c>
      <c r="J5232" s="1">
        <v>20016654</v>
      </c>
      <c r="K5232">
        <v>0</v>
      </c>
    </row>
    <row r="5233" spans="1:11" x14ac:dyDescent="0.25">
      <c r="A5233" t="s">
        <v>326</v>
      </c>
      <c r="B5233" t="s">
        <v>830</v>
      </c>
      <c r="C5233" t="s">
        <v>870</v>
      </c>
      <c r="D5233" t="s">
        <v>14</v>
      </c>
      <c r="E5233">
        <v>3</v>
      </c>
      <c r="F5233" s="2">
        <f>DATE(2026,IF(Tabla1[[#This Row],[Mes de Fecha]]="Septiembre",9,10),Tabla1[[#This Row],[Día de Fecha]])</f>
        <v>46298</v>
      </c>
      <c r="G5233">
        <v>1002596138</v>
      </c>
      <c r="H5233" t="s">
        <v>719</v>
      </c>
      <c r="I5233">
        <v>64</v>
      </c>
      <c r="J5233">
        <v>0</v>
      </c>
      <c r="K5233" s="1">
        <v>3386416</v>
      </c>
    </row>
    <row r="5234" spans="1:11" x14ac:dyDescent="0.25">
      <c r="A5234" t="s">
        <v>326</v>
      </c>
      <c r="B5234" t="s">
        <v>830</v>
      </c>
      <c r="C5234" t="s">
        <v>870</v>
      </c>
      <c r="D5234" t="s">
        <v>14</v>
      </c>
      <c r="E5234">
        <v>3</v>
      </c>
      <c r="F5234" s="2">
        <f>DATE(2026,IF(Tabla1[[#This Row],[Mes de Fecha]]="Septiembre",9,10),Tabla1[[#This Row],[Día de Fecha]])</f>
        <v>46298</v>
      </c>
      <c r="G5234">
        <v>1005327912</v>
      </c>
      <c r="H5234" t="s">
        <v>831</v>
      </c>
      <c r="I5234">
        <v>55</v>
      </c>
      <c r="J5234">
        <v>0</v>
      </c>
      <c r="K5234" s="1">
        <v>2837389</v>
      </c>
    </row>
    <row r="5235" spans="1:11" x14ac:dyDescent="0.25">
      <c r="A5235" t="s">
        <v>326</v>
      </c>
      <c r="B5235" t="s">
        <v>830</v>
      </c>
      <c r="C5235" t="s">
        <v>870</v>
      </c>
      <c r="D5235" t="s">
        <v>14</v>
      </c>
      <c r="E5235">
        <v>3</v>
      </c>
      <c r="F5235" s="2">
        <f>DATE(2026,IF(Tabla1[[#This Row],[Mes de Fecha]]="Septiembre",9,10),Tabla1[[#This Row],[Día de Fecha]])</f>
        <v>46298</v>
      </c>
      <c r="G5235">
        <v>1015066253</v>
      </c>
      <c r="H5235" t="s">
        <v>721</v>
      </c>
      <c r="I5235">
        <v>-1</v>
      </c>
      <c r="J5235">
        <v>0</v>
      </c>
      <c r="K5235" s="1">
        <v>-58781</v>
      </c>
    </row>
    <row r="5236" spans="1:11" x14ac:dyDescent="0.25">
      <c r="A5236" t="s">
        <v>326</v>
      </c>
      <c r="B5236" t="s">
        <v>830</v>
      </c>
      <c r="C5236" t="s">
        <v>870</v>
      </c>
      <c r="D5236" t="s">
        <v>14</v>
      </c>
      <c r="E5236">
        <v>3</v>
      </c>
      <c r="F5236" s="2">
        <f>DATE(2026,IF(Tabla1[[#This Row],[Mes de Fecha]]="Septiembre",9,10),Tabla1[[#This Row],[Día de Fecha]])</f>
        <v>46298</v>
      </c>
      <c r="G5236">
        <v>1015402645</v>
      </c>
      <c r="H5236" t="s">
        <v>747</v>
      </c>
      <c r="I5236">
        <v>78</v>
      </c>
      <c r="J5236">
        <v>0</v>
      </c>
      <c r="K5236" s="1">
        <v>3981720</v>
      </c>
    </row>
    <row r="5237" spans="1:11" x14ac:dyDescent="0.25">
      <c r="A5237" t="s">
        <v>326</v>
      </c>
      <c r="B5237" t="s">
        <v>830</v>
      </c>
      <c r="C5237" t="s">
        <v>870</v>
      </c>
      <c r="D5237" t="s">
        <v>14</v>
      </c>
      <c r="E5237">
        <v>3</v>
      </c>
      <c r="F5237" s="2">
        <f>DATE(2026,IF(Tabla1[[#This Row],[Mes de Fecha]]="Septiembre",9,10),Tabla1[[#This Row],[Día de Fecha]])</f>
        <v>46298</v>
      </c>
      <c r="G5237">
        <v>1017264739</v>
      </c>
      <c r="H5237" t="s">
        <v>748</v>
      </c>
      <c r="I5237">
        <v>77</v>
      </c>
      <c r="J5237">
        <v>0</v>
      </c>
      <c r="K5237" s="1">
        <v>4127749</v>
      </c>
    </row>
    <row r="5238" spans="1:11" x14ac:dyDescent="0.25">
      <c r="A5238" t="s">
        <v>326</v>
      </c>
      <c r="B5238" t="s">
        <v>830</v>
      </c>
      <c r="C5238" t="s">
        <v>870</v>
      </c>
      <c r="D5238" t="s">
        <v>14</v>
      </c>
      <c r="E5238">
        <v>3</v>
      </c>
      <c r="F5238" s="2">
        <f>DATE(2026,IF(Tabla1[[#This Row],[Mes de Fecha]]="Septiembre",9,10),Tabla1[[#This Row],[Día de Fecha]])</f>
        <v>46298</v>
      </c>
      <c r="G5238">
        <v>1026132356</v>
      </c>
      <c r="H5238" t="s">
        <v>835</v>
      </c>
      <c r="I5238">
        <v>27</v>
      </c>
      <c r="J5238">
        <v>0</v>
      </c>
      <c r="K5238" s="1">
        <v>1474548</v>
      </c>
    </row>
    <row r="5239" spans="1:11" x14ac:dyDescent="0.25">
      <c r="A5239" t="s">
        <v>326</v>
      </c>
      <c r="B5239" t="s">
        <v>830</v>
      </c>
      <c r="C5239" t="s">
        <v>870</v>
      </c>
      <c r="D5239" t="s">
        <v>14</v>
      </c>
      <c r="E5239">
        <v>3</v>
      </c>
      <c r="F5239" s="2">
        <f>DATE(2026,IF(Tabla1[[#This Row],[Mes de Fecha]]="Septiembre",9,10),Tabla1[[#This Row],[Día de Fecha]])</f>
        <v>46298</v>
      </c>
      <c r="G5239">
        <v>1036131390</v>
      </c>
      <c r="H5239" t="s">
        <v>720</v>
      </c>
      <c r="I5239">
        <v>26</v>
      </c>
      <c r="J5239">
        <v>0</v>
      </c>
      <c r="K5239" s="1">
        <v>1410634</v>
      </c>
    </row>
    <row r="5240" spans="1:11" x14ac:dyDescent="0.25">
      <c r="A5240" t="s">
        <v>326</v>
      </c>
      <c r="B5240" t="s">
        <v>830</v>
      </c>
      <c r="C5240" t="s">
        <v>870</v>
      </c>
      <c r="D5240" t="s">
        <v>14</v>
      </c>
      <c r="E5240">
        <v>3</v>
      </c>
      <c r="F5240" s="2">
        <f>DATE(2026,IF(Tabla1[[#This Row],[Mes de Fecha]]="Septiembre",9,10),Tabla1[[#This Row],[Día de Fecha]])</f>
        <v>46298</v>
      </c>
      <c r="G5240">
        <v>1039622506</v>
      </c>
      <c r="H5240" t="s">
        <v>832</v>
      </c>
      <c r="I5240">
        <v>36</v>
      </c>
      <c r="J5240">
        <v>0</v>
      </c>
      <c r="K5240" s="1">
        <v>2077572</v>
      </c>
    </row>
    <row r="5241" spans="1:11" x14ac:dyDescent="0.25">
      <c r="A5241" t="s">
        <v>326</v>
      </c>
      <c r="B5241" t="s">
        <v>830</v>
      </c>
      <c r="C5241" t="s">
        <v>870</v>
      </c>
      <c r="D5241" t="s">
        <v>14</v>
      </c>
      <c r="E5241">
        <v>3</v>
      </c>
      <c r="F5241" s="2">
        <f>DATE(2026,IF(Tabla1[[#This Row],[Mes de Fecha]]="Septiembre",9,10),Tabla1[[#This Row],[Día de Fecha]])</f>
        <v>46298</v>
      </c>
      <c r="G5241">
        <v>1045490172</v>
      </c>
      <c r="H5241" t="s">
        <v>833</v>
      </c>
      <c r="I5241">
        <v>27</v>
      </c>
      <c r="J5241">
        <v>0</v>
      </c>
      <c r="K5241" s="1">
        <v>1669473</v>
      </c>
    </row>
    <row r="5242" spans="1:11" x14ac:dyDescent="0.25">
      <c r="A5242" t="s">
        <v>326</v>
      </c>
      <c r="B5242" t="s">
        <v>830</v>
      </c>
      <c r="C5242" t="s">
        <v>870</v>
      </c>
      <c r="D5242" t="s">
        <v>14</v>
      </c>
      <c r="E5242">
        <v>4</v>
      </c>
      <c r="F5242" s="2">
        <f>DATE(2026,IF(Tabla1[[#This Row],[Mes de Fecha]]="Septiembre",9,10),Tabla1[[#This Row],[Día de Fecha]])</f>
        <v>46299</v>
      </c>
      <c r="I5242">
        <v>0</v>
      </c>
      <c r="J5242" s="1">
        <v>9661433</v>
      </c>
      <c r="K5242">
        <v>0</v>
      </c>
    </row>
    <row r="5243" spans="1:11" x14ac:dyDescent="0.25">
      <c r="A5243" t="s">
        <v>326</v>
      </c>
      <c r="B5243" t="s">
        <v>830</v>
      </c>
      <c r="C5243" t="s">
        <v>870</v>
      </c>
      <c r="D5243" t="s">
        <v>14</v>
      </c>
      <c r="E5243">
        <v>4</v>
      </c>
      <c r="F5243" s="2">
        <f>DATE(2026,IF(Tabla1[[#This Row],[Mes de Fecha]]="Septiembre",9,10),Tabla1[[#This Row],[Día de Fecha]])</f>
        <v>46299</v>
      </c>
      <c r="G5243">
        <v>1002596138</v>
      </c>
      <c r="H5243" t="s">
        <v>719</v>
      </c>
      <c r="I5243">
        <v>2</v>
      </c>
      <c r="J5243">
        <v>0</v>
      </c>
      <c r="K5243" s="1">
        <v>67059</v>
      </c>
    </row>
    <row r="5244" spans="1:11" x14ac:dyDescent="0.25">
      <c r="A5244" t="s">
        <v>326</v>
      </c>
      <c r="B5244" t="s">
        <v>830</v>
      </c>
      <c r="C5244" t="s">
        <v>870</v>
      </c>
      <c r="D5244" t="s">
        <v>14</v>
      </c>
      <c r="E5244">
        <v>4</v>
      </c>
      <c r="F5244" s="2">
        <f>DATE(2026,IF(Tabla1[[#This Row],[Mes de Fecha]]="Septiembre",9,10),Tabla1[[#This Row],[Día de Fecha]])</f>
        <v>46299</v>
      </c>
      <c r="G5244">
        <v>1015402645</v>
      </c>
      <c r="H5244" t="s">
        <v>747</v>
      </c>
      <c r="I5244">
        <v>19</v>
      </c>
      <c r="J5244">
        <v>0</v>
      </c>
      <c r="K5244" s="1">
        <v>1162984</v>
      </c>
    </row>
    <row r="5245" spans="1:11" x14ac:dyDescent="0.25">
      <c r="A5245" t="s">
        <v>326</v>
      </c>
      <c r="B5245" t="s">
        <v>830</v>
      </c>
      <c r="C5245" t="s">
        <v>870</v>
      </c>
      <c r="D5245" t="s">
        <v>14</v>
      </c>
      <c r="E5245">
        <v>4</v>
      </c>
      <c r="F5245" s="2">
        <f>DATE(2026,IF(Tabla1[[#This Row],[Mes de Fecha]]="Septiembre",9,10),Tabla1[[#This Row],[Día de Fecha]])</f>
        <v>46299</v>
      </c>
      <c r="G5245">
        <v>1026132356</v>
      </c>
      <c r="H5245" t="s">
        <v>835</v>
      </c>
      <c r="I5245">
        <v>14</v>
      </c>
      <c r="J5245">
        <v>0</v>
      </c>
      <c r="K5245" s="1">
        <v>810296</v>
      </c>
    </row>
    <row r="5246" spans="1:11" x14ac:dyDescent="0.25">
      <c r="A5246" t="s">
        <v>326</v>
      </c>
      <c r="B5246" t="s">
        <v>830</v>
      </c>
      <c r="C5246" t="s">
        <v>870</v>
      </c>
      <c r="D5246" t="s">
        <v>14</v>
      </c>
      <c r="E5246">
        <v>4</v>
      </c>
      <c r="F5246" s="2">
        <f>DATE(2026,IF(Tabla1[[#This Row],[Mes de Fecha]]="Septiembre",9,10),Tabla1[[#This Row],[Día de Fecha]])</f>
        <v>46299</v>
      </c>
      <c r="G5246">
        <v>1036131390</v>
      </c>
      <c r="H5246" t="s">
        <v>720</v>
      </c>
      <c r="I5246">
        <v>12</v>
      </c>
      <c r="J5246">
        <v>0</v>
      </c>
      <c r="K5246" s="1">
        <v>722057</v>
      </c>
    </row>
    <row r="5247" spans="1:11" x14ac:dyDescent="0.25">
      <c r="A5247" t="s">
        <v>326</v>
      </c>
      <c r="B5247" t="s">
        <v>830</v>
      </c>
      <c r="C5247" t="s">
        <v>870</v>
      </c>
      <c r="D5247" t="s">
        <v>14</v>
      </c>
      <c r="E5247">
        <v>4</v>
      </c>
      <c r="F5247" s="2">
        <f>DATE(2026,IF(Tabla1[[#This Row],[Mes de Fecha]]="Septiembre",9,10),Tabla1[[#This Row],[Día de Fecha]])</f>
        <v>46299</v>
      </c>
      <c r="G5247">
        <v>1039622506</v>
      </c>
      <c r="H5247" t="s">
        <v>832</v>
      </c>
      <c r="I5247">
        <v>10</v>
      </c>
      <c r="J5247">
        <v>0</v>
      </c>
      <c r="K5247" s="1">
        <v>768489</v>
      </c>
    </row>
    <row r="5248" spans="1:11" x14ac:dyDescent="0.25">
      <c r="A5248" t="s">
        <v>326</v>
      </c>
      <c r="B5248" t="s">
        <v>830</v>
      </c>
      <c r="C5248" t="s">
        <v>870</v>
      </c>
      <c r="D5248" t="s">
        <v>14</v>
      </c>
      <c r="E5248">
        <v>4</v>
      </c>
      <c r="F5248" s="2">
        <f>DATE(2026,IF(Tabla1[[#This Row],[Mes de Fecha]]="Septiembre",9,10),Tabla1[[#This Row],[Día de Fecha]])</f>
        <v>46299</v>
      </c>
      <c r="G5248">
        <v>1045490172</v>
      </c>
      <c r="H5248" t="s">
        <v>833</v>
      </c>
      <c r="I5248">
        <v>16</v>
      </c>
      <c r="J5248">
        <v>0</v>
      </c>
      <c r="K5248" s="1">
        <v>998909</v>
      </c>
    </row>
    <row r="5249" spans="1:11" x14ac:dyDescent="0.25">
      <c r="A5249" t="s">
        <v>326</v>
      </c>
      <c r="B5249" t="s">
        <v>830</v>
      </c>
      <c r="C5249" t="s">
        <v>870</v>
      </c>
      <c r="D5249" t="s">
        <v>14</v>
      </c>
      <c r="E5249">
        <v>5</v>
      </c>
      <c r="F5249" s="2">
        <f>DATE(2026,IF(Tabla1[[#This Row],[Mes de Fecha]]="Septiembre",9,10),Tabla1[[#This Row],[Día de Fecha]])</f>
        <v>46300</v>
      </c>
      <c r="I5249">
        <v>0</v>
      </c>
      <c r="J5249" s="1">
        <v>14881020</v>
      </c>
      <c r="K5249">
        <v>0</v>
      </c>
    </row>
    <row r="5250" spans="1:11" x14ac:dyDescent="0.25">
      <c r="A5250" t="s">
        <v>326</v>
      </c>
      <c r="B5250" t="s">
        <v>830</v>
      </c>
      <c r="C5250" t="s">
        <v>870</v>
      </c>
      <c r="D5250" t="s">
        <v>14</v>
      </c>
      <c r="E5250">
        <v>5</v>
      </c>
      <c r="F5250" s="2">
        <f>DATE(2026,IF(Tabla1[[#This Row],[Mes de Fecha]]="Septiembre",9,10),Tabla1[[#This Row],[Día de Fecha]])</f>
        <v>46300</v>
      </c>
      <c r="G5250">
        <v>1002596138</v>
      </c>
      <c r="H5250" t="s">
        <v>719</v>
      </c>
      <c r="I5250">
        <v>52</v>
      </c>
      <c r="J5250">
        <v>0</v>
      </c>
      <c r="K5250" s="1">
        <v>3232818</v>
      </c>
    </row>
    <row r="5251" spans="1:11" x14ac:dyDescent="0.25">
      <c r="A5251" t="s">
        <v>326</v>
      </c>
      <c r="B5251" t="s">
        <v>830</v>
      </c>
      <c r="C5251" t="s">
        <v>870</v>
      </c>
      <c r="D5251" t="s">
        <v>14</v>
      </c>
      <c r="E5251">
        <v>5</v>
      </c>
      <c r="F5251" s="2">
        <f>DATE(2026,IF(Tabla1[[#This Row],[Mes de Fecha]]="Septiembre",9,10),Tabla1[[#This Row],[Día de Fecha]])</f>
        <v>46300</v>
      </c>
      <c r="G5251">
        <v>1005327912</v>
      </c>
      <c r="H5251" t="s">
        <v>831</v>
      </c>
      <c r="I5251">
        <v>42</v>
      </c>
      <c r="J5251">
        <v>0</v>
      </c>
      <c r="K5251" s="1">
        <v>1972607</v>
      </c>
    </row>
    <row r="5252" spans="1:11" x14ac:dyDescent="0.25">
      <c r="A5252" t="s">
        <v>326</v>
      </c>
      <c r="B5252" t="s">
        <v>830</v>
      </c>
      <c r="C5252" t="s">
        <v>870</v>
      </c>
      <c r="D5252" t="s">
        <v>14</v>
      </c>
      <c r="E5252">
        <v>5</v>
      </c>
      <c r="F5252" s="2">
        <f>DATE(2026,IF(Tabla1[[#This Row],[Mes de Fecha]]="Septiembre",9,10),Tabla1[[#This Row],[Día de Fecha]])</f>
        <v>46300</v>
      </c>
      <c r="G5252">
        <v>1007390161</v>
      </c>
      <c r="H5252" t="s">
        <v>743</v>
      </c>
      <c r="I5252">
        <v>-1</v>
      </c>
      <c r="J5252">
        <v>0</v>
      </c>
      <c r="K5252" s="1">
        <v>-33529</v>
      </c>
    </row>
    <row r="5253" spans="1:11" x14ac:dyDescent="0.25">
      <c r="A5253" t="s">
        <v>326</v>
      </c>
      <c r="B5253" t="s">
        <v>830</v>
      </c>
      <c r="C5253" t="s">
        <v>870</v>
      </c>
      <c r="D5253" t="s">
        <v>14</v>
      </c>
      <c r="E5253">
        <v>5</v>
      </c>
      <c r="F5253" s="2">
        <f>DATE(2026,IF(Tabla1[[#This Row],[Mes de Fecha]]="Septiembre",9,10),Tabla1[[#This Row],[Día de Fecha]])</f>
        <v>46300</v>
      </c>
      <c r="G5253">
        <v>1017264739</v>
      </c>
      <c r="H5253" t="s">
        <v>748</v>
      </c>
      <c r="I5253">
        <v>1</v>
      </c>
      <c r="J5253">
        <v>0</v>
      </c>
      <c r="K5253" s="1">
        <v>105000</v>
      </c>
    </row>
    <row r="5254" spans="1:11" x14ac:dyDescent="0.25">
      <c r="A5254" t="s">
        <v>326</v>
      </c>
      <c r="B5254" t="s">
        <v>830</v>
      </c>
      <c r="C5254" t="s">
        <v>870</v>
      </c>
      <c r="D5254" t="s">
        <v>14</v>
      </c>
      <c r="E5254">
        <v>5</v>
      </c>
      <c r="F5254" s="2">
        <f>DATE(2026,IF(Tabla1[[#This Row],[Mes de Fecha]]="Septiembre",9,10),Tabla1[[#This Row],[Día de Fecha]])</f>
        <v>46300</v>
      </c>
      <c r="G5254">
        <v>1026132356</v>
      </c>
      <c r="H5254" t="s">
        <v>835</v>
      </c>
      <c r="I5254">
        <v>5</v>
      </c>
      <c r="J5254">
        <v>0</v>
      </c>
      <c r="K5254" s="1">
        <v>209833</v>
      </c>
    </row>
    <row r="5255" spans="1:11" x14ac:dyDescent="0.25">
      <c r="A5255" t="s">
        <v>326</v>
      </c>
      <c r="B5255" t="s">
        <v>830</v>
      </c>
      <c r="C5255" t="s">
        <v>870</v>
      </c>
      <c r="D5255" t="s">
        <v>14</v>
      </c>
      <c r="E5255">
        <v>5</v>
      </c>
      <c r="F5255" s="2">
        <f>DATE(2026,IF(Tabla1[[#This Row],[Mes de Fecha]]="Septiembre",9,10),Tabla1[[#This Row],[Día de Fecha]])</f>
        <v>46300</v>
      </c>
      <c r="G5255">
        <v>1036131390</v>
      </c>
      <c r="H5255" t="s">
        <v>720</v>
      </c>
      <c r="I5255">
        <v>10</v>
      </c>
      <c r="J5255">
        <v>0</v>
      </c>
      <c r="K5255" s="1">
        <v>633909</v>
      </c>
    </row>
    <row r="5256" spans="1:11" x14ac:dyDescent="0.25">
      <c r="A5256" t="s">
        <v>326</v>
      </c>
      <c r="B5256" t="s">
        <v>830</v>
      </c>
      <c r="C5256" t="s">
        <v>870</v>
      </c>
      <c r="D5256" t="s">
        <v>14</v>
      </c>
      <c r="E5256">
        <v>5</v>
      </c>
      <c r="F5256" s="2">
        <f>DATE(2026,IF(Tabla1[[#This Row],[Mes de Fecha]]="Septiembre",9,10),Tabla1[[#This Row],[Día de Fecha]])</f>
        <v>46300</v>
      </c>
      <c r="G5256">
        <v>1039622506</v>
      </c>
      <c r="H5256" t="s">
        <v>832</v>
      </c>
      <c r="I5256">
        <v>15</v>
      </c>
      <c r="J5256">
        <v>0</v>
      </c>
      <c r="K5256" s="1">
        <v>873278</v>
      </c>
    </row>
    <row r="5257" spans="1:11" x14ac:dyDescent="0.25">
      <c r="A5257" t="s">
        <v>326</v>
      </c>
      <c r="B5257" t="s">
        <v>830</v>
      </c>
      <c r="C5257" t="s">
        <v>870</v>
      </c>
      <c r="D5257" t="s">
        <v>14</v>
      </c>
      <c r="E5257">
        <v>5</v>
      </c>
      <c r="F5257" s="2">
        <f>DATE(2026,IF(Tabla1[[#This Row],[Mes de Fecha]]="Septiembre",9,10),Tabla1[[#This Row],[Día de Fecha]])</f>
        <v>46300</v>
      </c>
      <c r="G5257">
        <v>1045490172</v>
      </c>
      <c r="H5257" t="s">
        <v>833</v>
      </c>
      <c r="I5257">
        <v>12</v>
      </c>
      <c r="J5257">
        <v>0</v>
      </c>
      <c r="K5257" s="1">
        <v>696934</v>
      </c>
    </row>
    <row r="5258" spans="1:11" x14ac:dyDescent="0.25">
      <c r="A5258" t="s">
        <v>326</v>
      </c>
      <c r="B5258" t="s">
        <v>830</v>
      </c>
      <c r="C5258" t="s">
        <v>870</v>
      </c>
      <c r="D5258" t="s">
        <v>14</v>
      </c>
      <c r="E5258">
        <v>6</v>
      </c>
      <c r="F5258" s="2">
        <f>DATE(2026,IF(Tabla1[[#This Row],[Mes de Fecha]]="Septiembre",9,10),Tabla1[[#This Row],[Día de Fecha]])</f>
        <v>46301</v>
      </c>
      <c r="I5258">
        <v>0</v>
      </c>
      <c r="J5258" s="1">
        <v>9539514</v>
      </c>
      <c r="K5258">
        <v>0</v>
      </c>
    </row>
    <row r="5259" spans="1:11" x14ac:dyDescent="0.25">
      <c r="A5259" t="s">
        <v>326</v>
      </c>
      <c r="B5259" t="s">
        <v>830</v>
      </c>
      <c r="C5259" t="s">
        <v>870</v>
      </c>
      <c r="D5259" t="s">
        <v>14</v>
      </c>
      <c r="E5259">
        <v>6</v>
      </c>
      <c r="F5259" s="2">
        <f>DATE(2026,IF(Tabla1[[#This Row],[Mes de Fecha]]="Septiembre",9,10),Tabla1[[#This Row],[Día de Fecha]])</f>
        <v>46301</v>
      </c>
      <c r="G5259">
        <v>1002596138</v>
      </c>
      <c r="H5259" t="s">
        <v>719</v>
      </c>
      <c r="I5259">
        <v>40</v>
      </c>
      <c r="J5259">
        <v>0</v>
      </c>
      <c r="K5259" s="1">
        <v>1639522</v>
      </c>
    </row>
    <row r="5260" spans="1:11" x14ac:dyDescent="0.25">
      <c r="A5260" t="s">
        <v>326</v>
      </c>
      <c r="B5260" t="s">
        <v>830</v>
      </c>
      <c r="C5260" t="s">
        <v>870</v>
      </c>
      <c r="D5260" t="s">
        <v>14</v>
      </c>
      <c r="E5260">
        <v>6</v>
      </c>
      <c r="F5260" s="2">
        <f>DATE(2026,IF(Tabla1[[#This Row],[Mes de Fecha]]="Septiembre",9,10),Tabla1[[#This Row],[Día de Fecha]])</f>
        <v>46301</v>
      </c>
      <c r="G5260">
        <v>1005327912</v>
      </c>
      <c r="H5260" t="s">
        <v>831</v>
      </c>
      <c r="I5260">
        <v>0</v>
      </c>
      <c r="J5260">
        <v>0</v>
      </c>
      <c r="K5260" s="1">
        <v>-84034</v>
      </c>
    </row>
    <row r="5261" spans="1:11" x14ac:dyDescent="0.25">
      <c r="A5261" t="s">
        <v>326</v>
      </c>
      <c r="B5261" t="s">
        <v>830</v>
      </c>
      <c r="C5261" t="s">
        <v>870</v>
      </c>
      <c r="D5261" t="s">
        <v>14</v>
      </c>
      <c r="E5261">
        <v>6</v>
      </c>
      <c r="F5261" s="2">
        <f>DATE(2026,IF(Tabla1[[#This Row],[Mes de Fecha]]="Septiembre",9,10),Tabla1[[#This Row],[Día de Fecha]])</f>
        <v>46301</v>
      </c>
      <c r="G5261">
        <v>1015402645</v>
      </c>
      <c r="H5261" t="s">
        <v>747</v>
      </c>
      <c r="I5261">
        <v>26</v>
      </c>
      <c r="J5261">
        <v>0</v>
      </c>
      <c r="K5261" s="1">
        <v>1664747</v>
      </c>
    </row>
    <row r="5262" spans="1:11" x14ac:dyDescent="0.25">
      <c r="A5262" t="s">
        <v>326</v>
      </c>
      <c r="B5262" t="s">
        <v>830</v>
      </c>
      <c r="C5262" t="s">
        <v>870</v>
      </c>
      <c r="D5262" t="s">
        <v>14</v>
      </c>
      <c r="E5262">
        <v>6</v>
      </c>
      <c r="F5262" s="2">
        <f>DATE(2026,IF(Tabla1[[#This Row],[Mes de Fecha]]="Septiembre",9,10),Tabla1[[#This Row],[Día de Fecha]])</f>
        <v>46301</v>
      </c>
      <c r="G5262">
        <v>1017264739</v>
      </c>
      <c r="H5262" t="s">
        <v>748</v>
      </c>
      <c r="I5262">
        <v>57</v>
      </c>
      <c r="J5262">
        <v>0</v>
      </c>
      <c r="K5262" s="1">
        <v>2543109</v>
      </c>
    </row>
    <row r="5263" spans="1:11" x14ac:dyDescent="0.25">
      <c r="A5263" t="s">
        <v>326</v>
      </c>
      <c r="B5263" t="s">
        <v>830</v>
      </c>
      <c r="C5263" t="s">
        <v>870</v>
      </c>
      <c r="D5263" t="s">
        <v>14</v>
      </c>
      <c r="E5263">
        <v>6</v>
      </c>
      <c r="F5263" s="2">
        <f>DATE(2026,IF(Tabla1[[#This Row],[Mes de Fecha]]="Septiembre",9,10),Tabla1[[#This Row],[Día de Fecha]])</f>
        <v>46301</v>
      </c>
      <c r="G5263">
        <v>1026132356</v>
      </c>
      <c r="H5263" t="s">
        <v>835</v>
      </c>
      <c r="I5263">
        <v>10</v>
      </c>
      <c r="J5263">
        <v>0</v>
      </c>
      <c r="K5263" s="1">
        <v>491136</v>
      </c>
    </row>
    <row r="5264" spans="1:11" x14ac:dyDescent="0.25">
      <c r="A5264" t="s">
        <v>326</v>
      </c>
      <c r="B5264" t="s">
        <v>830</v>
      </c>
      <c r="C5264" t="s">
        <v>870</v>
      </c>
      <c r="D5264" t="s">
        <v>14</v>
      </c>
      <c r="E5264">
        <v>6</v>
      </c>
      <c r="F5264" s="2">
        <f>DATE(2026,IF(Tabla1[[#This Row],[Mes de Fecha]]="Septiembre",9,10),Tabla1[[#This Row],[Día de Fecha]])</f>
        <v>46301</v>
      </c>
      <c r="G5264">
        <v>1036131390</v>
      </c>
      <c r="H5264" t="s">
        <v>720</v>
      </c>
      <c r="I5264">
        <v>6</v>
      </c>
      <c r="J5264">
        <v>0</v>
      </c>
      <c r="K5264" s="1">
        <v>260211</v>
      </c>
    </row>
    <row r="5265" spans="1:11" x14ac:dyDescent="0.25">
      <c r="A5265" t="s">
        <v>326</v>
      </c>
      <c r="B5265" t="s">
        <v>830</v>
      </c>
      <c r="C5265" t="s">
        <v>870</v>
      </c>
      <c r="D5265" t="s">
        <v>14</v>
      </c>
      <c r="E5265">
        <v>6</v>
      </c>
      <c r="F5265" s="2">
        <f>DATE(2026,IF(Tabla1[[#This Row],[Mes de Fecha]]="Septiembre",9,10),Tabla1[[#This Row],[Día de Fecha]])</f>
        <v>46301</v>
      </c>
      <c r="G5265">
        <v>1039622506</v>
      </c>
      <c r="H5265" t="s">
        <v>832</v>
      </c>
      <c r="I5265">
        <v>22</v>
      </c>
      <c r="J5265">
        <v>0</v>
      </c>
      <c r="K5265" s="1">
        <v>1167100</v>
      </c>
    </row>
    <row r="5266" spans="1:11" x14ac:dyDescent="0.25">
      <c r="A5266" t="s">
        <v>326</v>
      </c>
      <c r="B5266" t="s">
        <v>830</v>
      </c>
      <c r="C5266" t="s">
        <v>870</v>
      </c>
      <c r="D5266" t="s">
        <v>14</v>
      </c>
      <c r="E5266">
        <v>6</v>
      </c>
      <c r="F5266" s="2">
        <f>DATE(2026,IF(Tabla1[[#This Row],[Mes de Fecha]]="Septiembre",9,10),Tabla1[[#This Row],[Día de Fecha]])</f>
        <v>46301</v>
      </c>
      <c r="G5266">
        <v>1045490172</v>
      </c>
      <c r="H5266" t="s">
        <v>833</v>
      </c>
      <c r="I5266">
        <v>5</v>
      </c>
      <c r="J5266">
        <v>0</v>
      </c>
      <c r="K5266" s="1">
        <v>394707</v>
      </c>
    </row>
    <row r="5267" spans="1:11" x14ac:dyDescent="0.25">
      <c r="A5267" t="s">
        <v>326</v>
      </c>
      <c r="B5267" t="s">
        <v>830</v>
      </c>
      <c r="C5267" t="s">
        <v>870</v>
      </c>
      <c r="D5267" t="s">
        <v>14</v>
      </c>
      <c r="E5267">
        <v>7</v>
      </c>
      <c r="F5267" s="2">
        <f>DATE(2026,IF(Tabla1[[#This Row],[Mes de Fecha]]="Septiembre",9,10),Tabla1[[#This Row],[Día de Fecha]])</f>
        <v>46302</v>
      </c>
      <c r="I5267">
        <v>0</v>
      </c>
      <c r="J5267" s="1">
        <v>9439337</v>
      </c>
      <c r="K5267">
        <v>0</v>
      </c>
    </row>
    <row r="5268" spans="1:11" x14ac:dyDescent="0.25">
      <c r="A5268" t="s">
        <v>326</v>
      </c>
      <c r="B5268" t="s">
        <v>830</v>
      </c>
      <c r="C5268" t="s">
        <v>870</v>
      </c>
      <c r="D5268" t="s">
        <v>14</v>
      </c>
      <c r="E5268">
        <v>7</v>
      </c>
      <c r="F5268" s="2">
        <f>DATE(2026,IF(Tabla1[[#This Row],[Mes de Fecha]]="Septiembre",9,10),Tabla1[[#This Row],[Día de Fecha]])</f>
        <v>46302</v>
      </c>
      <c r="G5268">
        <v>1005327912</v>
      </c>
      <c r="H5268" t="s">
        <v>831</v>
      </c>
      <c r="I5268">
        <v>21</v>
      </c>
      <c r="J5268">
        <v>0</v>
      </c>
      <c r="K5268" s="1">
        <v>1288868</v>
      </c>
    </row>
    <row r="5269" spans="1:11" x14ac:dyDescent="0.25">
      <c r="A5269" t="s">
        <v>326</v>
      </c>
      <c r="B5269" t="s">
        <v>830</v>
      </c>
      <c r="C5269" t="s">
        <v>870</v>
      </c>
      <c r="D5269" t="s">
        <v>14</v>
      </c>
      <c r="E5269">
        <v>7</v>
      </c>
      <c r="F5269" s="2">
        <f>DATE(2026,IF(Tabla1[[#This Row],[Mes de Fecha]]="Septiembre",9,10),Tabla1[[#This Row],[Día de Fecha]])</f>
        <v>46302</v>
      </c>
      <c r="G5269">
        <v>1015402645</v>
      </c>
      <c r="H5269" t="s">
        <v>747</v>
      </c>
      <c r="I5269">
        <v>1</v>
      </c>
      <c r="J5269">
        <v>0</v>
      </c>
      <c r="K5269" s="1">
        <v>8320</v>
      </c>
    </row>
    <row r="5270" spans="1:11" x14ac:dyDescent="0.25">
      <c r="A5270" t="s">
        <v>326</v>
      </c>
      <c r="B5270" t="s">
        <v>830</v>
      </c>
      <c r="C5270" t="s">
        <v>870</v>
      </c>
      <c r="D5270" t="s">
        <v>14</v>
      </c>
      <c r="E5270">
        <v>7</v>
      </c>
      <c r="F5270" s="2">
        <f>DATE(2026,IF(Tabla1[[#This Row],[Mes de Fecha]]="Septiembre",9,10),Tabla1[[#This Row],[Día de Fecha]])</f>
        <v>46302</v>
      </c>
      <c r="G5270">
        <v>1017264739</v>
      </c>
      <c r="H5270" t="s">
        <v>748</v>
      </c>
      <c r="I5270">
        <v>37</v>
      </c>
      <c r="J5270">
        <v>0</v>
      </c>
      <c r="K5270" s="1">
        <v>2161684</v>
      </c>
    </row>
    <row r="5271" spans="1:11" x14ac:dyDescent="0.25">
      <c r="A5271" t="s">
        <v>326</v>
      </c>
      <c r="B5271" t="s">
        <v>830</v>
      </c>
      <c r="C5271" t="s">
        <v>870</v>
      </c>
      <c r="D5271" t="s">
        <v>14</v>
      </c>
      <c r="E5271">
        <v>7</v>
      </c>
      <c r="F5271" s="2">
        <f>DATE(2026,IF(Tabla1[[#This Row],[Mes de Fecha]]="Septiembre",9,10),Tabla1[[#This Row],[Día de Fecha]])</f>
        <v>46302</v>
      </c>
      <c r="G5271">
        <v>1026132356</v>
      </c>
      <c r="H5271" t="s">
        <v>835</v>
      </c>
      <c r="I5271">
        <v>8</v>
      </c>
      <c r="J5271">
        <v>0</v>
      </c>
      <c r="K5271" s="1">
        <v>545799</v>
      </c>
    </row>
    <row r="5272" spans="1:11" x14ac:dyDescent="0.25">
      <c r="A5272" t="s">
        <v>326</v>
      </c>
      <c r="B5272" t="s">
        <v>830</v>
      </c>
      <c r="C5272" t="s">
        <v>870</v>
      </c>
      <c r="D5272" t="s">
        <v>14</v>
      </c>
      <c r="E5272">
        <v>7</v>
      </c>
      <c r="F5272" s="2">
        <f>DATE(2026,IF(Tabla1[[#This Row],[Mes de Fecha]]="Septiembre",9,10),Tabla1[[#This Row],[Día de Fecha]])</f>
        <v>46302</v>
      </c>
      <c r="G5272">
        <v>1036131390</v>
      </c>
      <c r="H5272" t="s">
        <v>720</v>
      </c>
      <c r="I5272">
        <v>6</v>
      </c>
      <c r="J5272">
        <v>0</v>
      </c>
      <c r="K5272" s="1">
        <v>365295</v>
      </c>
    </row>
    <row r="5273" spans="1:11" x14ac:dyDescent="0.25">
      <c r="A5273" t="s">
        <v>326</v>
      </c>
      <c r="B5273" t="s">
        <v>830</v>
      </c>
      <c r="C5273" t="s">
        <v>870</v>
      </c>
      <c r="D5273" t="s">
        <v>14</v>
      </c>
      <c r="E5273">
        <v>7</v>
      </c>
      <c r="F5273" s="2">
        <f>DATE(2026,IF(Tabla1[[#This Row],[Mes de Fecha]]="Septiembre",9,10),Tabla1[[#This Row],[Día de Fecha]])</f>
        <v>46302</v>
      </c>
      <c r="G5273">
        <v>1039622506</v>
      </c>
      <c r="H5273" t="s">
        <v>832</v>
      </c>
      <c r="I5273">
        <v>9</v>
      </c>
      <c r="J5273">
        <v>0</v>
      </c>
      <c r="K5273" s="1">
        <v>596223</v>
      </c>
    </row>
    <row r="5274" spans="1:11" x14ac:dyDescent="0.25">
      <c r="A5274" t="s">
        <v>326</v>
      </c>
      <c r="B5274" t="s">
        <v>830</v>
      </c>
      <c r="C5274" t="s">
        <v>870</v>
      </c>
      <c r="D5274" t="s">
        <v>14</v>
      </c>
      <c r="E5274">
        <v>7</v>
      </c>
      <c r="F5274" s="2">
        <f>DATE(2026,IF(Tabla1[[#This Row],[Mes de Fecha]]="Septiembre",9,10),Tabla1[[#This Row],[Día de Fecha]])</f>
        <v>46302</v>
      </c>
      <c r="G5274">
        <v>1045490172</v>
      </c>
      <c r="H5274" t="s">
        <v>833</v>
      </c>
      <c r="I5274">
        <v>1</v>
      </c>
      <c r="J5274">
        <v>0</v>
      </c>
      <c r="K5274" s="1">
        <v>105000</v>
      </c>
    </row>
    <row r="5275" spans="1:11" x14ac:dyDescent="0.25">
      <c r="A5275" t="s">
        <v>326</v>
      </c>
      <c r="B5275" t="s">
        <v>837</v>
      </c>
      <c r="C5275" t="s">
        <v>870</v>
      </c>
      <c r="D5275" t="s">
        <v>11</v>
      </c>
      <c r="E5275">
        <v>23</v>
      </c>
      <c r="F5275" s="2">
        <f>DATE(2026,IF(Tabla1[[#This Row],[Mes de Fecha]]="Septiembre",9,10),Tabla1[[#This Row],[Día de Fecha]])</f>
        <v>46288</v>
      </c>
      <c r="I5275">
        <v>0</v>
      </c>
      <c r="J5275" s="1">
        <v>4146664</v>
      </c>
      <c r="K5275">
        <v>0</v>
      </c>
    </row>
    <row r="5276" spans="1:11" x14ac:dyDescent="0.25">
      <c r="A5276" t="s">
        <v>326</v>
      </c>
      <c r="B5276" t="s">
        <v>837</v>
      </c>
      <c r="C5276" t="s">
        <v>870</v>
      </c>
      <c r="D5276" t="s">
        <v>11</v>
      </c>
      <c r="E5276">
        <v>23</v>
      </c>
      <c r="F5276" s="2">
        <f>DATE(2026,IF(Tabla1[[#This Row],[Mes de Fecha]]="Septiembre",9,10),Tabla1[[#This Row],[Día de Fecha]])</f>
        <v>46288</v>
      </c>
      <c r="G5276">
        <v>1015066253</v>
      </c>
      <c r="H5276" t="s">
        <v>721</v>
      </c>
      <c r="I5276">
        <v>30</v>
      </c>
      <c r="J5276">
        <v>0</v>
      </c>
      <c r="K5276" s="1">
        <v>1469372</v>
      </c>
    </row>
    <row r="5277" spans="1:11" x14ac:dyDescent="0.25">
      <c r="A5277" t="s">
        <v>326</v>
      </c>
      <c r="B5277" t="s">
        <v>837</v>
      </c>
      <c r="C5277" t="s">
        <v>870</v>
      </c>
      <c r="D5277" t="s">
        <v>11</v>
      </c>
      <c r="E5277">
        <v>23</v>
      </c>
      <c r="F5277" s="2">
        <f>DATE(2026,IF(Tabla1[[#This Row],[Mes de Fecha]]="Septiembre",9,10),Tabla1[[#This Row],[Día de Fecha]])</f>
        <v>46288</v>
      </c>
      <c r="G5277">
        <v>1040745636</v>
      </c>
      <c r="H5277" t="s">
        <v>757</v>
      </c>
      <c r="I5277">
        <v>32</v>
      </c>
      <c r="J5277">
        <v>0</v>
      </c>
      <c r="K5277" s="1">
        <v>1633068</v>
      </c>
    </row>
    <row r="5278" spans="1:11" x14ac:dyDescent="0.25">
      <c r="A5278" t="s">
        <v>326</v>
      </c>
      <c r="B5278" t="s">
        <v>837</v>
      </c>
      <c r="C5278" t="s">
        <v>870</v>
      </c>
      <c r="D5278" t="s">
        <v>11</v>
      </c>
      <c r="E5278">
        <v>23</v>
      </c>
      <c r="F5278" s="2">
        <f>DATE(2026,IF(Tabla1[[#This Row],[Mes de Fecha]]="Septiembre",9,10),Tabla1[[#This Row],[Día de Fecha]])</f>
        <v>46288</v>
      </c>
      <c r="G5278">
        <v>1110283879</v>
      </c>
      <c r="H5278" t="s">
        <v>645</v>
      </c>
      <c r="I5278">
        <v>18</v>
      </c>
      <c r="J5278">
        <v>0</v>
      </c>
      <c r="K5278" s="1">
        <v>1032816</v>
      </c>
    </row>
    <row r="5279" spans="1:11" x14ac:dyDescent="0.25">
      <c r="A5279" t="s">
        <v>326</v>
      </c>
      <c r="B5279" t="s">
        <v>837</v>
      </c>
      <c r="C5279" t="s">
        <v>870</v>
      </c>
      <c r="D5279" t="s">
        <v>11</v>
      </c>
      <c r="E5279">
        <v>24</v>
      </c>
      <c r="F5279" s="2">
        <f>DATE(2026,IF(Tabla1[[#This Row],[Mes de Fecha]]="Septiembre",9,10),Tabla1[[#This Row],[Día de Fecha]])</f>
        <v>46289</v>
      </c>
      <c r="I5279">
        <v>0</v>
      </c>
      <c r="J5279" s="1">
        <v>6334497</v>
      </c>
      <c r="K5279">
        <v>0</v>
      </c>
    </row>
    <row r="5280" spans="1:11" x14ac:dyDescent="0.25">
      <c r="A5280" t="s">
        <v>326</v>
      </c>
      <c r="B5280" t="s">
        <v>837</v>
      </c>
      <c r="C5280" t="s">
        <v>870</v>
      </c>
      <c r="D5280" t="s">
        <v>11</v>
      </c>
      <c r="E5280">
        <v>24</v>
      </c>
      <c r="F5280" s="2">
        <f>DATE(2026,IF(Tabla1[[#This Row],[Mes de Fecha]]="Septiembre",9,10),Tabla1[[#This Row],[Día de Fecha]])</f>
        <v>46289</v>
      </c>
      <c r="G5280">
        <v>1015066253</v>
      </c>
      <c r="H5280" t="s">
        <v>721</v>
      </c>
      <c r="I5280">
        <v>39</v>
      </c>
      <c r="J5280">
        <v>0</v>
      </c>
      <c r="K5280" s="1">
        <v>2471009</v>
      </c>
    </row>
    <row r="5281" spans="1:11" x14ac:dyDescent="0.25">
      <c r="A5281" t="s">
        <v>326</v>
      </c>
      <c r="B5281" t="s">
        <v>837</v>
      </c>
      <c r="C5281" t="s">
        <v>870</v>
      </c>
      <c r="D5281" t="s">
        <v>11</v>
      </c>
      <c r="E5281">
        <v>24</v>
      </c>
      <c r="F5281" s="2">
        <f>DATE(2026,IF(Tabla1[[#This Row],[Mes de Fecha]]="Septiembre",9,10),Tabla1[[#This Row],[Día de Fecha]])</f>
        <v>46289</v>
      </c>
      <c r="G5281">
        <v>1040745636</v>
      </c>
      <c r="H5281" t="s">
        <v>757</v>
      </c>
      <c r="I5281">
        <v>28</v>
      </c>
      <c r="J5281">
        <v>0</v>
      </c>
      <c r="K5281" s="1">
        <v>1647943</v>
      </c>
    </row>
    <row r="5282" spans="1:11" x14ac:dyDescent="0.25">
      <c r="A5282" t="s">
        <v>326</v>
      </c>
      <c r="B5282" t="s">
        <v>837</v>
      </c>
      <c r="C5282" t="s">
        <v>870</v>
      </c>
      <c r="D5282" t="s">
        <v>11</v>
      </c>
      <c r="E5282">
        <v>24</v>
      </c>
      <c r="F5282" s="2">
        <f>DATE(2026,IF(Tabla1[[#This Row],[Mes de Fecha]]="Septiembre",9,10),Tabla1[[#This Row],[Día de Fecha]])</f>
        <v>46289</v>
      </c>
      <c r="G5282">
        <v>1110283879</v>
      </c>
      <c r="H5282" t="s">
        <v>645</v>
      </c>
      <c r="I5282">
        <v>21</v>
      </c>
      <c r="J5282">
        <v>0</v>
      </c>
      <c r="K5282" s="1">
        <v>1246977</v>
      </c>
    </row>
    <row r="5283" spans="1:11" x14ac:dyDescent="0.25">
      <c r="A5283" t="s">
        <v>326</v>
      </c>
      <c r="B5283" t="s">
        <v>837</v>
      </c>
      <c r="C5283" t="s">
        <v>870</v>
      </c>
      <c r="D5283" t="s">
        <v>11</v>
      </c>
      <c r="E5283">
        <v>25</v>
      </c>
      <c r="F5283" s="2">
        <f>DATE(2026,IF(Tabla1[[#This Row],[Mes de Fecha]]="Septiembre",9,10),Tabla1[[#This Row],[Día de Fecha]])</f>
        <v>46290</v>
      </c>
      <c r="I5283">
        <v>0</v>
      </c>
      <c r="J5283" s="1">
        <v>6320473</v>
      </c>
      <c r="K5283">
        <v>0</v>
      </c>
    </row>
    <row r="5284" spans="1:11" x14ac:dyDescent="0.25">
      <c r="A5284" t="s">
        <v>326</v>
      </c>
      <c r="B5284" t="s">
        <v>837</v>
      </c>
      <c r="C5284" t="s">
        <v>870</v>
      </c>
      <c r="D5284" t="s">
        <v>11</v>
      </c>
      <c r="E5284">
        <v>25</v>
      </c>
      <c r="F5284" s="2">
        <f>DATE(2026,IF(Tabla1[[#This Row],[Mes de Fecha]]="Septiembre",9,10),Tabla1[[#This Row],[Día de Fecha]])</f>
        <v>46290</v>
      </c>
      <c r="G5284">
        <v>1015066253</v>
      </c>
      <c r="H5284" t="s">
        <v>721</v>
      </c>
      <c r="I5284">
        <v>56</v>
      </c>
      <c r="J5284">
        <v>0</v>
      </c>
      <c r="K5284" s="1">
        <v>3192624</v>
      </c>
    </row>
    <row r="5285" spans="1:11" x14ac:dyDescent="0.25">
      <c r="A5285" t="s">
        <v>326</v>
      </c>
      <c r="B5285" t="s">
        <v>837</v>
      </c>
      <c r="C5285" t="s">
        <v>870</v>
      </c>
      <c r="D5285" t="s">
        <v>11</v>
      </c>
      <c r="E5285">
        <v>25</v>
      </c>
      <c r="F5285" s="2">
        <f>DATE(2026,IF(Tabla1[[#This Row],[Mes de Fecha]]="Septiembre",9,10),Tabla1[[#This Row],[Día de Fecha]])</f>
        <v>46290</v>
      </c>
      <c r="G5285">
        <v>1040745636</v>
      </c>
      <c r="H5285" t="s">
        <v>757</v>
      </c>
      <c r="I5285">
        <v>53</v>
      </c>
      <c r="J5285">
        <v>0</v>
      </c>
      <c r="K5285" s="1">
        <v>2901095</v>
      </c>
    </row>
    <row r="5286" spans="1:11" x14ac:dyDescent="0.25">
      <c r="A5286" t="s">
        <v>326</v>
      </c>
      <c r="B5286" t="s">
        <v>837</v>
      </c>
      <c r="C5286" t="s">
        <v>870</v>
      </c>
      <c r="D5286" t="s">
        <v>11</v>
      </c>
      <c r="E5286">
        <v>25</v>
      </c>
      <c r="F5286" s="2">
        <f>DATE(2026,IF(Tabla1[[#This Row],[Mes de Fecha]]="Septiembre",9,10),Tabla1[[#This Row],[Día de Fecha]])</f>
        <v>46290</v>
      </c>
      <c r="G5286">
        <v>1110283879</v>
      </c>
      <c r="H5286" t="s">
        <v>645</v>
      </c>
      <c r="I5286">
        <v>35</v>
      </c>
      <c r="J5286">
        <v>0</v>
      </c>
      <c r="K5286" s="1">
        <v>1819960</v>
      </c>
    </row>
    <row r="5287" spans="1:11" x14ac:dyDescent="0.25">
      <c r="A5287" t="s">
        <v>326</v>
      </c>
      <c r="B5287" t="s">
        <v>837</v>
      </c>
      <c r="C5287" t="s">
        <v>870</v>
      </c>
      <c r="D5287" t="s">
        <v>11</v>
      </c>
      <c r="E5287">
        <v>26</v>
      </c>
      <c r="F5287" s="2">
        <f>DATE(2026,IF(Tabla1[[#This Row],[Mes de Fecha]]="Septiembre",9,10),Tabla1[[#This Row],[Día de Fecha]])</f>
        <v>46291</v>
      </c>
      <c r="I5287">
        <v>0</v>
      </c>
      <c r="J5287" s="1">
        <v>9083427</v>
      </c>
      <c r="K5287">
        <v>0</v>
      </c>
    </row>
    <row r="5288" spans="1:11" x14ac:dyDescent="0.25">
      <c r="A5288" t="s">
        <v>326</v>
      </c>
      <c r="B5288" t="s">
        <v>837</v>
      </c>
      <c r="C5288" t="s">
        <v>870</v>
      </c>
      <c r="D5288" t="s">
        <v>11</v>
      </c>
      <c r="E5288">
        <v>26</v>
      </c>
      <c r="F5288" s="2">
        <f>DATE(2026,IF(Tabla1[[#This Row],[Mes de Fecha]]="Septiembre",9,10),Tabla1[[#This Row],[Día de Fecha]])</f>
        <v>46291</v>
      </c>
      <c r="G5288">
        <v>1002596138</v>
      </c>
      <c r="H5288" t="s">
        <v>719</v>
      </c>
      <c r="I5288">
        <v>-1</v>
      </c>
      <c r="J5288">
        <v>0</v>
      </c>
      <c r="K5288" s="1">
        <v>-79790</v>
      </c>
    </row>
    <row r="5289" spans="1:11" x14ac:dyDescent="0.25">
      <c r="A5289" t="s">
        <v>326</v>
      </c>
      <c r="B5289" t="s">
        <v>837</v>
      </c>
      <c r="C5289" t="s">
        <v>870</v>
      </c>
      <c r="D5289" t="s">
        <v>11</v>
      </c>
      <c r="E5289">
        <v>26</v>
      </c>
      <c r="F5289" s="2">
        <f>DATE(2026,IF(Tabla1[[#This Row],[Mes de Fecha]]="Septiembre",9,10),Tabla1[[#This Row],[Día de Fecha]])</f>
        <v>46291</v>
      </c>
      <c r="G5289">
        <v>1015066253</v>
      </c>
      <c r="H5289" t="s">
        <v>721</v>
      </c>
      <c r="I5289">
        <v>57</v>
      </c>
      <c r="J5289">
        <v>0</v>
      </c>
      <c r="K5289" s="1">
        <v>3224328</v>
      </c>
    </row>
    <row r="5290" spans="1:11" x14ac:dyDescent="0.25">
      <c r="A5290" t="s">
        <v>326</v>
      </c>
      <c r="B5290" t="s">
        <v>837</v>
      </c>
      <c r="C5290" t="s">
        <v>870</v>
      </c>
      <c r="D5290" t="s">
        <v>11</v>
      </c>
      <c r="E5290">
        <v>26</v>
      </c>
      <c r="F5290" s="2">
        <f>DATE(2026,IF(Tabla1[[#This Row],[Mes de Fecha]]="Septiembre",9,10),Tabla1[[#This Row],[Día de Fecha]])</f>
        <v>46291</v>
      </c>
      <c r="G5290">
        <v>1018234287</v>
      </c>
      <c r="H5290" t="s">
        <v>838</v>
      </c>
      <c r="I5290">
        <v>1</v>
      </c>
      <c r="J5290">
        <v>0</v>
      </c>
      <c r="K5290" s="1">
        <v>41975</v>
      </c>
    </row>
    <row r="5291" spans="1:11" x14ac:dyDescent="0.25">
      <c r="A5291" t="s">
        <v>326</v>
      </c>
      <c r="B5291" t="s">
        <v>837</v>
      </c>
      <c r="C5291" t="s">
        <v>870</v>
      </c>
      <c r="D5291" t="s">
        <v>11</v>
      </c>
      <c r="E5291">
        <v>26</v>
      </c>
      <c r="F5291" s="2">
        <f>DATE(2026,IF(Tabla1[[#This Row],[Mes de Fecha]]="Septiembre",9,10),Tabla1[[#This Row],[Día de Fecha]])</f>
        <v>46291</v>
      </c>
      <c r="G5291">
        <v>1032010621</v>
      </c>
      <c r="H5291" t="s">
        <v>836</v>
      </c>
      <c r="I5291">
        <v>20</v>
      </c>
      <c r="J5291">
        <v>0</v>
      </c>
      <c r="K5291" s="1">
        <v>1499162</v>
      </c>
    </row>
    <row r="5292" spans="1:11" x14ac:dyDescent="0.25">
      <c r="A5292" t="s">
        <v>326</v>
      </c>
      <c r="B5292" t="s">
        <v>837</v>
      </c>
      <c r="C5292" t="s">
        <v>870</v>
      </c>
      <c r="D5292" t="s">
        <v>11</v>
      </c>
      <c r="E5292">
        <v>26</v>
      </c>
      <c r="F5292" s="2">
        <f>DATE(2026,IF(Tabla1[[#This Row],[Mes de Fecha]]="Septiembre",9,10),Tabla1[[#This Row],[Día de Fecha]])</f>
        <v>46291</v>
      </c>
      <c r="G5292">
        <v>1040745636</v>
      </c>
      <c r="H5292" t="s">
        <v>757</v>
      </c>
      <c r="I5292">
        <v>57</v>
      </c>
      <c r="J5292">
        <v>0</v>
      </c>
      <c r="K5292" s="1">
        <v>3073110</v>
      </c>
    </row>
    <row r="5293" spans="1:11" x14ac:dyDescent="0.25">
      <c r="A5293" t="s">
        <v>326</v>
      </c>
      <c r="B5293" t="s">
        <v>837</v>
      </c>
      <c r="C5293" t="s">
        <v>870</v>
      </c>
      <c r="D5293" t="s">
        <v>11</v>
      </c>
      <c r="E5293">
        <v>26</v>
      </c>
      <c r="F5293" s="2">
        <f>DATE(2026,IF(Tabla1[[#This Row],[Mes de Fecha]]="Septiembre",9,10),Tabla1[[#This Row],[Día de Fecha]])</f>
        <v>46291</v>
      </c>
      <c r="G5293">
        <v>1110283879</v>
      </c>
      <c r="H5293" t="s">
        <v>645</v>
      </c>
      <c r="I5293">
        <v>26</v>
      </c>
      <c r="J5293">
        <v>0</v>
      </c>
      <c r="K5293" s="1">
        <v>1540883</v>
      </c>
    </row>
    <row r="5294" spans="1:11" x14ac:dyDescent="0.25">
      <c r="A5294" t="s">
        <v>326</v>
      </c>
      <c r="B5294" t="s">
        <v>837</v>
      </c>
      <c r="C5294" t="s">
        <v>870</v>
      </c>
      <c r="D5294" t="s">
        <v>11</v>
      </c>
      <c r="E5294">
        <v>27</v>
      </c>
      <c r="F5294" s="2">
        <f>DATE(2026,IF(Tabla1[[#This Row],[Mes de Fecha]]="Septiembre",9,10),Tabla1[[#This Row],[Día de Fecha]])</f>
        <v>46292</v>
      </c>
      <c r="I5294">
        <v>0</v>
      </c>
      <c r="J5294" s="1">
        <v>7195903</v>
      </c>
      <c r="K5294">
        <v>0</v>
      </c>
    </row>
    <row r="5295" spans="1:11" x14ac:dyDescent="0.25">
      <c r="A5295" t="s">
        <v>326</v>
      </c>
      <c r="B5295" t="s">
        <v>837</v>
      </c>
      <c r="C5295" t="s">
        <v>870</v>
      </c>
      <c r="D5295" t="s">
        <v>11</v>
      </c>
      <c r="E5295">
        <v>27</v>
      </c>
      <c r="F5295" s="2">
        <f>DATE(2026,IF(Tabla1[[#This Row],[Mes de Fecha]]="Septiembre",9,10),Tabla1[[#This Row],[Día de Fecha]])</f>
        <v>46292</v>
      </c>
      <c r="G5295">
        <v>1015066253</v>
      </c>
      <c r="H5295" t="s">
        <v>721</v>
      </c>
      <c r="I5295">
        <v>9</v>
      </c>
      <c r="J5295">
        <v>0</v>
      </c>
      <c r="K5295" s="1">
        <v>428193</v>
      </c>
    </row>
    <row r="5296" spans="1:11" x14ac:dyDescent="0.25">
      <c r="A5296" t="s">
        <v>326</v>
      </c>
      <c r="B5296" t="s">
        <v>837</v>
      </c>
      <c r="C5296" t="s">
        <v>870</v>
      </c>
      <c r="D5296" t="s">
        <v>11</v>
      </c>
      <c r="E5296">
        <v>27</v>
      </c>
      <c r="F5296" s="2">
        <f>DATE(2026,IF(Tabla1[[#This Row],[Mes de Fecha]]="Septiembre",9,10),Tabla1[[#This Row],[Día de Fecha]])</f>
        <v>46292</v>
      </c>
      <c r="G5296">
        <v>1032010621</v>
      </c>
      <c r="H5296" t="s">
        <v>836</v>
      </c>
      <c r="I5296">
        <v>1</v>
      </c>
      <c r="J5296">
        <v>0</v>
      </c>
      <c r="K5296" s="1">
        <v>96597</v>
      </c>
    </row>
    <row r="5297" spans="1:11" x14ac:dyDescent="0.25">
      <c r="A5297" t="s">
        <v>326</v>
      </c>
      <c r="B5297" t="s">
        <v>837</v>
      </c>
      <c r="C5297" t="s">
        <v>870</v>
      </c>
      <c r="D5297" t="s">
        <v>11</v>
      </c>
      <c r="E5297">
        <v>27</v>
      </c>
      <c r="F5297" s="2">
        <f>DATE(2026,IF(Tabla1[[#This Row],[Mes de Fecha]]="Septiembre",9,10),Tabla1[[#This Row],[Día de Fecha]])</f>
        <v>46292</v>
      </c>
      <c r="G5297">
        <v>1040745636</v>
      </c>
      <c r="H5297" t="s">
        <v>757</v>
      </c>
      <c r="I5297">
        <v>9</v>
      </c>
      <c r="J5297">
        <v>0</v>
      </c>
      <c r="K5297" s="1">
        <v>524705</v>
      </c>
    </row>
    <row r="5298" spans="1:11" x14ac:dyDescent="0.25">
      <c r="A5298" t="s">
        <v>326</v>
      </c>
      <c r="B5298" t="s">
        <v>837</v>
      </c>
      <c r="C5298" t="s">
        <v>870</v>
      </c>
      <c r="D5298" t="s">
        <v>11</v>
      </c>
      <c r="E5298">
        <v>27</v>
      </c>
      <c r="F5298" s="2">
        <f>DATE(2026,IF(Tabla1[[#This Row],[Mes de Fecha]]="Septiembre",9,10),Tabla1[[#This Row],[Día de Fecha]])</f>
        <v>46292</v>
      </c>
      <c r="G5298">
        <v>1110283879</v>
      </c>
      <c r="H5298" t="s">
        <v>645</v>
      </c>
      <c r="I5298">
        <v>8</v>
      </c>
      <c r="J5298">
        <v>0</v>
      </c>
      <c r="K5298" s="1">
        <v>344202</v>
      </c>
    </row>
    <row r="5299" spans="1:11" x14ac:dyDescent="0.25">
      <c r="A5299" t="s">
        <v>326</v>
      </c>
      <c r="B5299" t="s">
        <v>837</v>
      </c>
      <c r="C5299" t="s">
        <v>870</v>
      </c>
      <c r="D5299" t="s">
        <v>11</v>
      </c>
      <c r="E5299">
        <v>28</v>
      </c>
      <c r="F5299" s="2">
        <f>DATE(2026,IF(Tabla1[[#This Row],[Mes de Fecha]]="Septiembre",9,10),Tabla1[[#This Row],[Día de Fecha]])</f>
        <v>46293</v>
      </c>
      <c r="I5299">
        <v>0</v>
      </c>
      <c r="J5299" s="1">
        <v>4051613</v>
      </c>
      <c r="K5299">
        <v>0</v>
      </c>
    </row>
    <row r="5300" spans="1:11" x14ac:dyDescent="0.25">
      <c r="A5300" t="s">
        <v>326</v>
      </c>
      <c r="B5300" t="s">
        <v>837</v>
      </c>
      <c r="C5300" t="s">
        <v>870</v>
      </c>
      <c r="D5300" t="s">
        <v>11</v>
      </c>
      <c r="E5300">
        <v>28</v>
      </c>
      <c r="F5300" s="2">
        <f>DATE(2026,IF(Tabla1[[#This Row],[Mes de Fecha]]="Septiembre",9,10),Tabla1[[#This Row],[Día de Fecha]])</f>
        <v>46293</v>
      </c>
      <c r="G5300">
        <v>1015066253</v>
      </c>
      <c r="H5300" t="s">
        <v>721</v>
      </c>
      <c r="I5300">
        <v>38</v>
      </c>
      <c r="J5300">
        <v>0</v>
      </c>
      <c r="K5300" s="1">
        <v>2017103</v>
      </c>
    </row>
    <row r="5301" spans="1:11" x14ac:dyDescent="0.25">
      <c r="A5301" t="s">
        <v>326</v>
      </c>
      <c r="B5301" t="s">
        <v>837</v>
      </c>
      <c r="C5301" t="s">
        <v>870</v>
      </c>
      <c r="D5301" t="s">
        <v>11</v>
      </c>
      <c r="E5301">
        <v>28</v>
      </c>
      <c r="F5301" s="2">
        <f>DATE(2026,IF(Tabla1[[#This Row],[Mes de Fecha]]="Septiembre",9,10),Tabla1[[#This Row],[Día de Fecha]])</f>
        <v>46293</v>
      </c>
      <c r="G5301">
        <v>1032010621</v>
      </c>
      <c r="H5301" t="s">
        <v>836</v>
      </c>
      <c r="I5301">
        <v>11</v>
      </c>
      <c r="J5301">
        <v>0</v>
      </c>
      <c r="K5301" s="1">
        <v>570882</v>
      </c>
    </row>
    <row r="5302" spans="1:11" x14ac:dyDescent="0.25">
      <c r="A5302" t="s">
        <v>326</v>
      </c>
      <c r="B5302" t="s">
        <v>837</v>
      </c>
      <c r="C5302" t="s">
        <v>870</v>
      </c>
      <c r="D5302" t="s">
        <v>11</v>
      </c>
      <c r="E5302">
        <v>28</v>
      </c>
      <c r="F5302" s="2">
        <f>DATE(2026,IF(Tabla1[[#This Row],[Mes de Fecha]]="Septiembre",9,10),Tabla1[[#This Row],[Día de Fecha]])</f>
        <v>46293</v>
      </c>
      <c r="G5302">
        <v>1040745636</v>
      </c>
      <c r="H5302" t="s">
        <v>757</v>
      </c>
      <c r="I5302">
        <v>27</v>
      </c>
      <c r="J5302">
        <v>0</v>
      </c>
      <c r="K5302" s="1">
        <v>1416808</v>
      </c>
    </row>
    <row r="5303" spans="1:11" x14ac:dyDescent="0.25">
      <c r="A5303" t="s">
        <v>326</v>
      </c>
      <c r="B5303" t="s">
        <v>837</v>
      </c>
      <c r="C5303" t="s">
        <v>870</v>
      </c>
      <c r="D5303" t="s">
        <v>11</v>
      </c>
      <c r="E5303">
        <v>28</v>
      </c>
      <c r="F5303" s="2">
        <f>DATE(2026,IF(Tabla1[[#This Row],[Mes de Fecha]]="Septiembre",9,10),Tabla1[[#This Row],[Día de Fecha]])</f>
        <v>46293</v>
      </c>
      <c r="G5303">
        <v>1110283879</v>
      </c>
      <c r="H5303" t="s">
        <v>645</v>
      </c>
      <c r="I5303">
        <v>18</v>
      </c>
      <c r="J5303">
        <v>0</v>
      </c>
      <c r="K5303" s="1">
        <v>995044</v>
      </c>
    </row>
    <row r="5304" spans="1:11" x14ac:dyDescent="0.25">
      <c r="A5304" t="s">
        <v>326</v>
      </c>
      <c r="B5304" t="s">
        <v>837</v>
      </c>
      <c r="C5304" t="s">
        <v>870</v>
      </c>
      <c r="D5304" t="s">
        <v>11</v>
      </c>
      <c r="E5304">
        <v>29</v>
      </c>
      <c r="F5304" s="2">
        <f>DATE(2026,IF(Tabla1[[#This Row],[Mes de Fecha]]="Septiembre",9,10),Tabla1[[#This Row],[Día de Fecha]])</f>
        <v>46294</v>
      </c>
      <c r="I5304">
        <v>0</v>
      </c>
      <c r="J5304" s="1">
        <v>4139123</v>
      </c>
      <c r="K5304">
        <v>0</v>
      </c>
    </row>
    <row r="5305" spans="1:11" x14ac:dyDescent="0.25">
      <c r="A5305" t="s">
        <v>326</v>
      </c>
      <c r="B5305" t="s">
        <v>837</v>
      </c>
      <c r="C5305" t="s">
        <v>870</v>
      </c>
      <c r="D5305" t="s">
        <v>11</v>
      </c>
      <c r="E5305">
        <v>29</v>
      </c>
      <c r="F5305" s="2">
        <f>DATE(2026,IF(Tabla1[[#This Row],[Mes de Fecha]]="Septiembre",9,10),Tabla1[[#This Row],[Día de Fecha]])</f>
        <v>46294</v>
      </c>
      <c r="G5305">
        <v>1000439511</v>
      </c>
      <c r="H5305" t="s">
        <v>839</v>
      </c>
      <c r="I5305">
        <v>-1</v>
      </c>
      <c r="J5305">
        <v>0</v>
      </c>
      <c r="K5305" s="1">
        <v>-16723</v>
      </c>
    </row>
    <row r="5306" spans="1:11" x14ac:dyDescent="0.25">
      <c r="A5306" t="s">
        <v>326</v>
      </c>
      <c r="B5306" t="s">
        <v>837</v>
      </c>
      <c r="C5306" t="s">
        <v>870</v>
      </c>
      <c r="D5306" t="s">
        <v>11</v>
      </c>
      <c r="E5306">
        <v>29</v>
      </c>
      <c r="F5306" s="2">
        <f>DATE(2026,IF(Tabla1[[#This Row],[Mes de Fecha]]="Septiembre",9,10),Tabla1[[#This Row],[Día de Fecha]])</f>
        <v>46294</v>
      </c>
      <c r="G5306">
        <v>1015066253</v>
      </c>
      <c r="H5306" t="s">
        <v>721</v>
      </c>
      <c r="I5306">
        <v>40</v>
      </c>
      <c r="J5306">
        <v>0</v>
      </c>
      <c r="K5306" s="1">
        <v>2393235</v>
      </c>
    </row>
    <row r="5307" spans="1:11" x14ac:dyDescent="0.25">
      <c r="A5307" t="s">
        <v>326</v>
      </c>
      <c r="B5307" t="s">
        <v>837</v>
      </c>
      <c r="C5307" t="s">
        <v>870</v>
      </c>
      <c r="D5307" t="s">
        <v>11</v>
      </c>
      <c r="E5307">
        <v>29</v>
      </c>
      <c r="F5307" s="2">
        <f>DATE(2026,IF(Tabla1[[#This Row],[Mes de Fecha]]="Septiembre",9,10),Tabla1[[#This Row],[Día de Fecha]])</f>
        <v>46294</v>
      </c>
      <c r="G5307">
        <v>1032010621</v>
      </c>
      <c r="H5307" t="s">
        <v>836</v>
      </c>
      <c r="I5307">
        <v>14</v>
      </c>
      <c r="J5307">
        <v>0</v>
      </c>
      <c r="K5307" s="1">
        <v>806134</v>
      </c>
    </row>
    <row r="5308" spans="1:11" x14ac:dyDescent="0.25">
      <c r="A5308" t="s">
        <v>326</v>
      </c>
      <c r="B5308" t="s">
        <v>837</v>
      </c>
      <c r="C5308" t="s">
        <v>870</v>
      </c>
      <c r="D5308" t="s">
        <v>11</v>
      </c>
      <c r="E5308">
        <v>29</v>
      </c>
      <c r="F5308" s="2">
        <f>DATE(2026,IF(Tabla1[[#This Row],[Mes de Fecha]]="Septiembre",9,10),Tabla1[[#This Row],[Día de Fecha]])</f>
        <v>46294</v>
      </c>
      <c r="G5308">
        <v>1040745636</v>
      </c>
      <c r="H5308" t="s">
        <v>757</v>
      </c>
      <c r="I5308">
        <v>44</v>
      </c>
      <c r="J5308">
        <v>0</v>
      </c>
      <c r="K5308" s="1">
        <v>2277563</v>
      </c>
    </row>
    <row r="5309" spans="1:11" x14ac:dyDescent="0.25">
      <c r="A5309" t="s">
        <v>326</v>
      </c>
      <c r="B5309" t="s">
        <v>837</v>
      </c>
      <c r="C5309" t="s">
        <v>870</v>
      </c>
      <c r="D5309" t="s">
        <v>11</v>
      </c>
      <c r="E5309">
        <v>29</v>
      </c>
      <c r="F5309" s="2">
        <f>DATE(2026,IF(Tabla1[[#This Row],[Mes de Fecha]]="Septiembre",9,10),Tabla1[[#This Row],[Día de Fecha]])</f>
        <v>46294</v>
      </c>
      <c r="G5309">
        <v>1110283879</v>
      </c>
      <c r="H5309" t="s">
        <v>645</v>
      </c>
      <c r="I5309">
        <v>9</v>
      </c>
      <c r="J5309">
        <v>0</v>
      </c>
      <c r="K5309" s="1">
        <v>596134</v>
      </c>
    </row>
    <row r="5310" spans="1:11" x14ac:dyDescent="0.25">
      <c r="A5310" t="s">
        <v>326</v>
      </c>
      <c r="B5310" t="s">
        <v>837</v>
      </c>
      <c r="C5310" t="s">
        <v>870</v>
      </c>
      <c r="D5310" t="s">
        <v>11</v>
      </c>
      <c r="E5310">
        <v>30</v>
      </c>
      <c r="F5310" s="2">
        <f>DATE(2026,IF(Tabla1[[#This Row],[Mes de Fecha]]="Septiembre",9,10),Tabla1[[#This Row],[Día de Fecha]])</f>
        <v>46295</v>
      </c>
      <c r="I5310">
        <v>0</v>
      </c>
      <c r="J5310" s="1">
        <v>4370087</v>
      </c>
      <c r="K5310">
        <v>0</v>
      </c>
    </row>
    <row r="5311" spans="1:11" x14ac:dyDescent="0.25">
      <c r="A5311" t="s">
        <v>326</v>
      </c>
      <c r="B5311" t="s">
        <v>837</v>
      </c>
      <c r="C5311" t="s">
        <v>870</v>
      </c>
      <c r="D5311" t="s">
        <v>11</v>
      </c>
      <c r="E5311">
        <v>30</v>
      </c>
      <c r="F5311" s="2">
        <f>DATE(2026,IF(Tabla1[[#This Row],[Mes de Fecha]]="Septiembre",9,10),Tabla1[[#This Row],[Día de Fecha]])</f>
        <v>46295</v>
      </c>
      <c r="G5311">
        <v>1000660108</v>
      </c>
      <c r="H5311" t="s">
        <v>786</v>
      </c>
      <c r="I5311">
        <v>-1</v>
      </c>
      <c r="J5311">
        <v>0</v>
      </c>
      <c r="K5311" s="1">
        <v>-33529</v>
      </c>
    </row>
    <row r="5312" spans="1:11" x14ac:dyDescent="0.25">
      <c r="A5312" t="s">
        <v>326</v>
      </c>
      <c r="B5312" t="s">
        <v>837</v>
      </c>
      <c r="C5312" t="s">
        <v>870</v>
      </c>
      <c r="D5312" t="s">
        <v>11</v>
      </c>
      <c r="E5312">
        <v>30</v>
      </c>
      <c r="F5312" s="2">
        <f>DATE(2026,IF(Tabla1[[#This Row],[Mes de Fecha]]="Septiembre",9,10),Tabla1[[#This Row],[Día de Fecha]])</f>
        <v>46295</v>
      </c>
      <c r="G5312">
        <v>1015066253</v>
      </c>
      <c r="H5312" t="s">
        <v>721</v>
      </c>
      <c r="I5312">
        <v>21</v>
      </c>
      <c r="J5312">
        <v>0</v>
      </c>
      <c r="K5312" s="1">
        <v>1204957</v>
      </c>
    </row>
    <row r="5313" spans="1:11" x14ac:dyDescent="0.25">
      <c r="A5313" t="s">
        <v>326</v>
      </c>
      <c r="B5313" t="s">
        <v>837</v>
      </c>
      <c r="C5313" t="s">
        <v>870</v>
      </c>
      <c r="D5313" t="s">
        <v>11</v>
      </c>
      <c r="E5313">
        <v>30</v>
      </c>
      <c r="F5313" s="2">
        <f>DATE(2026,IF(Tabla1[[#This Row],[Mes de Fecha]]="Septiembre",9,10),Tabla1[[#This Row],[Día de Fecha]])</f>
        <v>46295</v>
      </c>
      <c r="G5313">
        <v>1032010621</v>
      </c>
      <c r="H5313" t="s">
        <v>836</v>
      </c>
      <c r="I5313">
        <v>14</v>
      </c>
      <c r="J5313">
        <v>0</v>
      </c>
      <c r="K5313" s="1">
        <v>932184</v>
      </c>
    </row>
    <row r="5314" spans="1:11" x14ac:dyDescent="0.25">
      <c r="A5314" t="s">
        <v>326</v>
      </c>
      <c r="B5314" t="s">
        <v>837</v>
      </c>
      <c r="C5314" t="s">
        <v>870</v>
      </c>
      <c r="D5314" t="s">
        <v>11</v>
      </c>
      <c r="E5314">
        <v>30</v>
      </c>
      <c r="F5314" s="2">
        <f>DATE(2026,IF(Tabla1[[#This Row],[Mes de Fecha]]="Septiembre",9,10),Tabla1[[#This Row],[Día de Fecha]])</f>
        <v>46295</v>
      </c>
      <c r="G5314">
        <v>1040745636</v>
      </c>
      <c r="H5314" t="s">
        <v>757</v>
      </c>
      <c r="I5314">
        <v>25</v>
      </c>
      <c r="J5314">
        <v>0</v>
      </c>
      <c r="K5314" s="1">
        <v>1400000</v>
      </c>
    </row>
    <row r="5315" spans="1:11" x14ac:dyDescent="0.25">
      <c r="A5315" t="s">
        <v>326</v>
      </c>
      <c r="B5315" t="s">
        <v>837</v>
      </c>
      <c r="C5315" t="s">
        <v>870</v>
      </c>
      <c r="D5315" t="s">
        <v>11</v>
      </c>
      <c r="E5315">
        <v>30</v>
      </c>
      <c r="F5315" s="2">
        <f>DATE(2026,IF(Tabla1[[#This Row],[Mes de Fecha]]="Septiembre",9,10),Tabla1[[#This Row],[Día de Fecha]])</f>
        <v>46295</v>
      </c>
      <c r="G5315">
        <v>1110283879</v>
      </c>
      <c r="H5315" t="s">
        <v>645</v>
      </c>
      <c r="I5315">
        <v>23</v>
      </c>
      <c r="J5315">
        <v>0</v>
      </c>
      <c r="K5315" s="1">
        <v>1131347</v>
      </c>
    </row>
    <row r="5316" spans="1:11" x14ac:dyDescent="0.25">
      <c r="A5316" t="s">
        <v>326</v>
      </c>
      <c r="B5316" t="s">
        <v>837</v>
      </c>
      <c r="C5316" t="s">
        <v>870</v>
      </c>
      <c r="D5316" t="s">
        <v>14</v>
      </c>
      <c r="E5316">
        <v>1</v>
      </c>
      <c r="F5316" s="2">
        <f>DATE(2026,IF(Tabla1[[#This Row],[Mes de Fecha]]="Septiembre",9,10),Tabla1[[#This Row],[Día de Fecha]])</f>
        <v>46296</v>
      </c>
      <c r="I5316">
        <v>0</v>
      </c>
      <c r="J5316" s="1">
        <v>5595566</v>
      </c>
      <c r="K5316">
        <v>0</v>
      </c>
    </row>
    <row r="5317" spans="1:11" x14ac:dyDescent="0.25">
      <c r="A5317" t="s">
        <v>326</v>
      </c>
      <c r="B5317" t="s">
        <v>837</v>
      </c>
      <c r="C5317" t="s">
        <v>870</v>
      </c>
      <c r="D5317" t="s">
        <v>14</v>
      </c>
      <c r="E5317">
        <v>1</v>
      </c>
      <c r="F5317" s="2">
        <f>DATE(2026,IF(Tabla1[[#This Row],[Mes de Fecha]]="Septiembre",9,10),Tabla1[[#This Row],[Día de Fecha]])</f>
        <v>46296</v>
      </c>
      <c r="G5317">
        <v>1015066253</v>
      </c>
      <c r="H5317" t="s">
        <v>721</v>
      </c>
      <c r="I5317">
        <v>46</v>
      </c>
      <c r="J5317">
        <v>0</v>
      </c>
      <c r="K5317" s="1">
        <v>3142860</v>
      </c>
    </row>
    <row r="5318" spans="1:11" x14ac:dyDescent="0.25">
      <c r="A5318" t="s">
        <v>326</v>
      </c>
      <c r="B5318" t="s">
        <v>837</v>
      </c>
      <c r="C5318" t="s">
        <v>870</v>
      </c>
      <c r="D5318" t="s">
        <v>14</v>
      </c>
      <c r="E5318">
        <v>1</v>
      </c>
      <c r="F5318" s="2">
        <f>DATE(2026,IF(Tabla1[[#This Row],[Mes de Fecha]]="Septiembre",9,10),Tabla1[[#This Row],[Día de Fecha]])</f>
        <v>46296</v>
      </c>
      <c r="G5318">
        <v>1032010621</v>
      </c>
      <c r="H5318" t="s">
        <v>836</v>
      </c>
      <c r="I5318">
        <v>14</v>
      </c>
      <c r="J5318">
        <v>0</v>
      </c>
      <c r="K5318" s="1">
        <v>633868</v>
      </c>
    </row>
    <row r="5319" spans="1:11" x14ac:dyDescent="0.25">
      <c r="A5319" t="s">
        <v>326</v>
      </c>
      <c r="B5319" t="s">
        <v>837</v>
      </c>
      <c r="C5319" t="s">
        <v>870</v>
      </c>
      <c r="D5319" t="s">
        <v>14</v>
      </c>
      <c r="E5319">
        <v>1</v>
      </c>
      <c r="F5319" s="2">
        <f>DATE(2026,IF(Tabla1[[#This Row],[Mes de Fecha]]="Septiembre",9,10),Tabla1[[#This Row],[Día de Fecha]])</f>
        <v>46296</v>
      </c>
      <c r="G5319">
        <v>1040745636</v>
      </c>
      <c r="H5319" t="s">
        <v>757</v>
      </c>
      <c r="I5319">
        <v>38</v>
      </c>
      <c r="J5319">
        <v>0</v>
      </c>
      <c r="K5319" s="1">
        <v>2153613</v>
      </c>
    </row>
    <row r="5320" spans="1:11" x14ac:dyDescent="0.25">
      <c r="A5320" t="s">
        <v>326</v>
      </c>
      <c r="B5320" t="s">
        <v>837</v>
      </c>
      <c r="C5320" t="s">
        <v>870</v>
      </c>
      <c r="D5320" t="s">
        <v>14</v>
      </c>
      <c r="E5320">
        <v>1</v>
      </c>
      <c r="F5320" s="2">
        <f>DATE(2026,IF(Tabla1[[#This Row],[Mes de Fecha]]="Septiembre",9,10),Tabla1[[#This Row],[Día de Fecha]])</f>
        <v>46296</v>
      </c>
      <c r="G5320">
        <v>1110283879</v>
      </c>
      <c r="H5320" t="s">
        <v>645</v>
      </c>
      <c r="I5320">
        <v>13</v>
      </c>
      <c r="J5320">
        <v>0</v>
      </c>
      <c r="K5320" s="1">
        <v>919581</v>
      </c>
    </row>
    <row r="5321" spans="1:11" x14ac:dyDescent="0.25">
      <c r="A5321" t="s">
        <v>326</v>
      </c>
      <c r="B5321" t="s">
        <v>837</v>
      </c>
      <c r="C5321" t="s">
        <v>870</v>
      </c>
      <c r="D5321" t="s">
        <v>14</v>
      </c>
      <c r="E5321">
        <v>2</v>
      </c>
      <c r="F5321" s="2">
        <f>DATE(2026,IF(Tabla1[[#This Row],[Mes de Fecha]]="Septiembre",9,10),Tabla1[[#This Row],[Día de Fecha]])</f>
        <v>46297</v>
      </c>
      <c r="I5321">
        <v>0</v>
      </c>
      <c r="J5321" s="1">
        <v>5254018</v>
      </c>
      <c r="K5321">
        <v>0</v>
      </c>
    </row>
    <row r="5322" spans="1:11" x14ac:dyDescent="0.25">
      <c r="A5322" t="s">
        <v>326</v>
      </c>
      <c r="B5322" t="s">
        <v>837</v>
      </c>
      <c r="C5322" t="s">
        <v>870</v>
      </c>
      <c r="D5322" t="s">
        <v>14</v>
      </c>
      <c r="E5322">
        <v>2</v>
      </c>
      <c r="F5322" s="2">
        <f>DATE(2026,IF(Tabla1[[#This Row],[Mes de Fecha]]="Septiembre",9,10),Tabla1[[#This Row],[Día de Fecha]])</f>
        <v>46297</v>
      </c>
      <c r="G5322">
        <v>1000439511</v>
      </c>
      <c r="H5322" t="s">
        <v>839</v>
      </c>
      <c r="I5322">
        <v>1</v>
      </c>
      <c r="J5322">
        <v>0</v>
      </c>
      <c r="K5322" s="1">
        <v>20966</v>
      </c>
    </row>
    <row r="5323" spans="1:11" x14ac:dyDescent="0.25">
      <c r="A5323" t="s">
        <v>326</v>
      </c>
      <c r="B5323" t="s">
        <v>837</v>
      </c>
      <c r="C5323" t="s">
        <v>870</v>
      </c>
      <c r="D5323" t="s">
        <v>14</v>
      </c>
      <c r="E5323">
        <v>2</v>
      </c>
      <c r="F5323" s="2">
        <f>DATE(2026,IF(Tabla1[[#This Row],[Mes de Fecha]]="Septiembre",9,10),Tabla1[[#This Row],[Día de Fecha]])</f>
        <v>46297</v>
      </c>
      <c r="G5323">
        <v>1015066253</v>
      </c>
      <c r="H5323" t="s">
        <v>721</v>
      </c>
      <c r="I5323">
        <v>40</v>
      </c>
      <c r="J5323">
        <v>0</v>
      </c>
      <c r="K5323" s="1">
        <v>2775545</v>
      </c>
    </row>
    <row r="5324" spans="1:11" x14ac:dyDescent="0.25">
      <c r="A5324" t="s">
        <v>326</v>
      </c>
      <c r="B5324" t="s">
        <v>837</v>
      </c>
      <c r="C5324" t="s">
        <v>870</v>
      </c>
      <c r="D5324" t="s">
        <v>14</v>
      </c>
      <c r="E5324">
        <v>2</v>
      </c>
      <c r="F5324" s="2">
        <f>DATE(2026,IF(Tabla1[[#This Row],[Mes de Fecha]]="Septiembre",9,10),Tabla1[[#This Row],[Día de Fecha]])</f>
        <v>46297</v>
      </c>
      <c r="G5324">
        <v>1032010621</v>
      </c>
      <c r="H5324" t="s">
        <v>836</v>
      </c>
      <c r="I5324">
        <v>14</v>
      </c>
      <c r="J5324">
        <v>0</v>
      </c>
      <c r="K5324" s="1">
        <v>768237</v>
      </c>
    </row>
    <row r="5325" spans="1:11" x14ac:dyDescent="0.25">
      <c r="A5325" t="s">
        <v>326</v>
      </c>
      <c r="B5325" t="s">
        <v>837</v>
      </c>
      <c r="C5325" t="s">
        <v>870</v>
      </c>
      <c r="D5325" t="s">
        <v>14</v>
      </c>
      <c r="E5325">
        <v>2</v>
      </c>
      <c r="F5325" s="2">
        <f>DATE(2026,IF(Tabla1[[#This Row],[Mes de Fecha]]="Septiembre",9,10),Tabla1[[#This Row],[Día de Fecha]])</f>
        <v>46297</v>
      </c>
      <c r="G5325">
        <v>1040745636</v>
      </c>
      <c r="H5325" t="s">
        <v>757</v>
      </c>
      <c r="I5325">
        <v>39</v>
      </c>
      <c r="J5325">
        <v>0</v>
      </c>
      <c r="K5325" s="1">
        <v>2220925</v>
      </c>
    </row>
    <row r="5326" spans="1:11" x14ac:dyDescent="0.25">
      <c r="A5326" t="s">
        <v>326</v>
      </c>
      <c r="B5326" t="s">
        <v>837</v>
      </c>
      <c r="C5326" t="s">
        <v>870</v>
      </c>
      <c r="D5326" t="s">
        <v>14</v>
      </c>
      <c r="E5326">
        <v>3</v>
      </c>
      <c r="F5326" s="2">
        <f>DATE(2026,IF(Tabla1[[#This Row],[Mes de Fecha]]="Septiembre",9,10),Tabla1[[#This Row],[Día de Fecha]])</f>
        <v>46298</v>
      </c>
      <c r="I5326">
        <v>0</v>
      </c>
      <c r="J5326" s="1">
        <v>7228680</v>
      </c>
      <c r="K5326">
        <v>0</v>
      </c>
    </row>
    <row r="5327" spans="1:11" x14ac:dyDescent="0.25">
      <c r="A5327" t="s">
        <v>326</v>
      </c>
      <c r="B5327" t="s">
        <v>837</v>
      </c>
      <c r="C5327" t="s">
        <v>870</v>
      </c>
      <c r="D5327" t="s">
        <v>14</v>
      </c>
      <c r="E5327">
        <v>3</v>
      </c>
      <c r="F5327" s="2">
        <f>DATE(2026,IF(Tabla1[[#This Row],[Mes de Fecha]]="Septiembre",9,10),Tabla1[[#This Row],[Día de Fecha]])</f>
        <v>46298</v>
      </c>
      <c r="G5327">
        <v>1007418189</v>
      </c>
      <c r="H5327" t="s">
        <v>840</v>
      </c>
      <c r="I5327">
        <v>-1</v>
      </c>
      <c r="J5327">
        <v>0</v>
      </c>
      <c r="K5327" s="1">
        <v>-62983</v>
      </c>
    </row>
    <row r="5328" spans="1:11" x14ac:dyDescent="0.25">
      <c r="A5328" t="s">
        <v>326</v>
      </c>
      <c r="B5328" t="s">
        <v>837</v>
      </c>
      <c r="C5328" t="s">
        <v>870</v>
      </c>
      <c r="D5328" t="s">
        <v>14</v>
      </c>
      <c r="E5328">
        <v>3</v>
      </c>
      <c r="F5328" s="2">
        <f>DATE(2026,IF(Tabla1[[#This Row],[Mes de Fecha]]="Septiembre",9,10),Tabla1[[#This Row],[Día de Fecha]])</f>
        <v>46298</v>
      </c>
      <c r="G5328">
        <v>1015066253</v>
      </c>
      <c r="H5328" t="s">
        <v>721</v>
      </c>
      <c r="I5328">
        <v>61</v>
      </c>
      <c r="J5328">
        <v>0</v>
      </c>
      <c r="K5328" s="1">
        <v>3602954</v>
      </c>
    </row>
    <row r="5329" spans="1:11" x14ac:dyDescent="0.25">
      <c r="A5329" t="s">
        <v>326</v>
      </c>
      <c r="B5329" t="s">
        <v>837</v>
      </c>
      <c r="C5329" t="s">
        <v>870</v>
      </c>
      <c r="D5329" t="s">
        <v>14</v>
      </c>
      <c r="E5329">
        <v>3</v>
      </c>
      <c r="F5329" s="2">
        <f>DATE(2026,IF(Tabla1[[#This Row],[Mes de Fecha]]="Septiembre",9,10),Tabla1[[#This Row],[Día de Fecha]])</f>
        <v>46298</v>
      </c>
      <c r="G5329">
        <v>1032010621</v>
      </c>
      <c r="H5329" t="s">
        <v>836</v>
      </c>
      <c r="I5329">
        <v>34</v>
      </c>
      <c r="J5329">
        <v>0</v>
      </c>
      <c r="K5329" s="1">
        <v>2336380</v>
      </c>
    </row>
    <row r="5330" spans="1:11" x14ac:dyDescent="0.25">
      <c r="A5330" t="s">
        <v>326</v>
      </c>
      <c r="B5330" t="s">
        <v>837</v>
      </c>
      <c r="C5330" t="s">
        <v>870</v>
      </c>
      <c r="D5330" t="s">
        <v>14</v>
      </c>
      <c r="E5330">
        <v>3</v>
      </c>
      <c r="F5330" s="2">
        <f>DATE(2026,IF(Tabla1[[#This Row],[Mes de Fecha]]="Septiembre",9,10),Tabla1[[#This Row],[Día de Fecha]])</f>
        <v>46298</v>
      </c>
      <c r="G5330">
        <v>1040745636</v>
      </c>
      <c r="H5330" t="s">
        <v>757</v>
      </c>
      <c r="I5330">
        <v>64</v>
      </c>
      <c r="J5330">
        <v>0</v>
      </c>
      <c r="K5330" s="1">
        <v>3168828</v>
      </c>
    </row>
    <row r="5331" spans="1:11" x14ac:dyDescent="0.25">
      <c r="A5331" t="s">
        <v>326</v>
      </c>
      <c r="B5331" t="s">
        <v>837</v>
      </c>
      <c r="C5331" t="s">
        <v>870</v>
      </c>
      <c r="D5331" t="s">
        <v>14</v>
      </c>
      <c r="E5331">
        <v>3</v>
      </c>
      <c r="F5331" s="2">
        <f>DATE(2026,IF(Tabla1[[#This Row],[Mes de Fecha]]="Septiembre",9,10),Tabla1[[#This Row],[Día de Fecha]])</f>
        <v>46298</v>
      </c>
      <c r="G5331">
        <v>1110283879</v>
      </c>
      <c r="H5331" t="s">
        <v>645</v>
      </c>
      <c r="I5331">
        <v>34</v>
      </c>
      <c r="J5331">
        <v>0</v>
      </c>
      <c r="K5331" s="1">
        <v>2101959</v>
      </c>
    </row>
    <row r="5332" spans="1:11" x14ac:dyDescent="0.25">
      <c r="A5332" t="s">
        <v>326</v>
      </c>
      <c r="B5332" t="s">
        <v>837</v>
      </c>
      <c r="C5332" t="s">
        <v>870</v>
      </c>
      <c r="D5332" t="s">
        <v>14</v>
      </c>
      <c r="E5332">
        <v>4</v>
      </c>
      <c r="F5332" s="2">
        <f>DATE(2026,IF(Tabla1[[#This Row],[Mes de Fecha]]="Septiembre",9,10),Tabla1[[#This Row],[Día de Fecha]])</f>
        <v>46299</v>
      </c>
      <c r="I5332">
        <v>0</v>
      </c>
      <c r="J5332" s="1">
        <v>1295723</v>
      </c>
      <c r="K5332">
        <v>0</v>
      </c>
    </row>
    <row r="5333" spans="1:11" x14ac:dyDescent="0.25">
      <c r="A5333" t="s">
        <v>326</v>
      </c>
      <c r="B5333" t="s">
        <v>837</v>
      </c>
      <c r="C5333" t="s">
        <v>870</v>
      </c>
      <c r="D5333" t="s">
        <v>14</v>
      </c>
      <c r="E5333">
        <v>4</v>
      </c>
      <c r="F5333" s="2">
        <f>DATE(2026,IF(Tabla1[[#This Row],[Mes de Fecha]]="Septiembre",9,10),Tabla1[[#This Row],[Día de Fecha]])</f>
        <v>46299</v>
      </c>
      <c r="G5333">
        <v>1015066253</v>
      </c>
      <c r="H5333" t="s">
        <v>721</v>
      </c>
      <c r="I5333">
        <v>7</v>
      </c>
      <c r="J5333">
        <v>0</v>
      </c>
      <c r="K5333" s="1">
        <v>483336</v>
      </c>
    </row>
    <row r="5334" spans="1:11" x14ac:dyDescent="0.25">
      <c r="A5334" t="s">
        <v>326</v>
      </c>
      <c r="B5334" t="s">
        <v>837</v>
      </c>
      <c r="C5334" t="s">
        <v>870</v>
      </c>
      <c r="D5334" t="s">
        <v>14</v>
      </c>
      <c r="E5334">
        <v>4</v>
      </c>
      <c r="F5334" s="2">
        <f>DATE(2026,IF(Tabla1[[#This Row],[Mes de Fecha]]="Septiembre",9,10),Tabla1[[#This Row],[Día de Fecha]])</f>
        <v>46299</v>
      </c>
      <c r="G5334">
        <v>1040745636</v>
      </c>
      <c r="H5334" t="s">
        <v>757</v>
      </c>
      <c r="I5334">
        <v>11</v>
      </c>
      <c r="J5334">
        <v>0</v>
      </c>
      <c r="K5334" s="1">
        <v>444873</v>
      </c>
    </row>
    <row r="5335" spans="1:11" x14ac:dyDescent="0.25">
      <c r="A5335" t="s">
        <v>326</v>
      </c>
      <c r="B5335" t="s">
        <v>837</v>
      </c>
      <c r="C5335" t="s">
        <v>870</v>
      </c>
      <c r="D5335" t="s">
        <v>14</v>
      </c>
      <c r="E5335">
        <v>4</v>
      </c>
      <c r="F5335" s="2">
        <f>DATE(2026,IF(Tabla1[[#This Row],[Mes de Fecha]]="Septiembre",9,10),Tabla1[[#This Row],[Día de Fecha]])</f>
        <v>46299</v>
      </c>
      <c r="G5335">
        <v>1110283879</v>
      </c>
      <c r="H5335" t="s">
        <v>645</v>
      </c>
      <c r="I5335">
        <v>3</v>
      </c>
      <c r="J5335">
        <v>0</v>
      </c>
      <c r="K5335" s="1">
        <v>197361</v>
      </c>
    </row>
    <row r="5336" spans="1:11" x14ac:dyDescent="0.25">
      <c r="A5336" t="s">
        <v>326</v>
      </c>
      <c r="B5336" t="s">
        <v>837</v>
      </c>
      <c r="C5336" t="s">
        <v>870</v>
      </c>
      <c r="D5336" t="s">
        <v>14</v>
      </c>
      <c r="E5336">
        <v>5</v>
      </c>
      <c r="F5336" s="2">
        <f>DATE(2026,IF(Tabla1[[#This Row],[Mes de Fecha]]="Septiembre",9,10),Tabla1[[#This Row],[Día de Fecha]])</f>
        <v>46300</v>
      </c>
      <c r="I5336">
        <v>0</v>
      </c>
      <c r="J5336" s="1">
        <v>6314976</v>
      </c>
      <c r="K5336">
        <v>0</v>
      </c>
    </row>
    <row r="5337" spans="1:11" x14ac:dyDescent="0.25">
      <c r="A5337" t="s">
        <v>326</v>
      </c>
      <c r="B5337" t="s">
        <v>837</v>
      </c>
      <c r="C5337" t="s">
        <v>870</v>
      </c>
      <c r="D5337" t="s">
        <v>14</v>
      </c>
      <c r="E5337">
        <v>5</v>
      </c>
      <c r="F5337" s="2">
        <f>DATE(2026,IF(Tabla1[[#This Row],[Mes de Fecha]]="Septiembre",9,10),Tabla1[[#This Row],[Día de Fecha]])</f>
        <v>46300</v>
      </c>
      <c r="G5337">
        <v>1011390630</v>
      </c>
      <c r="H5337" t="s">
        <v>749</v>
      </c>
      <c r="I5337">
        <v>-1</v>
      </c>
      <c r="J5337">
        <v>0</v>
      </c>
      <c r="K5337" s="1">
        <v>-83992</v>
      </c>
    </row>
    <row r="5338" spans="1:11" x14ac:dyDescent="0.25">
      <c r="A5338" t="s">
        <v>326</v>
      </c>
      <c r="B5338" t="s">
        <v>837</v>
      </c>
      <c r="C5338" t="s">
        <v>870</v>
      </c>
      <c r="D5338" t="s">
        <v>14</v>
      </c>
      <c r="E5338">
        <v>5</v>
      </c>
      <c r="F5338" s="2">
        <f>DATE(2026,IF(Tabla1[[#This Row],[Mes de Fecha]]="Septiembre",9,10),Tabla1[[#This Row],[Día de Fecha]])</f>
        <v>46300</v>
      </c>
      <c r="G5338">
        <v>1015066253</v>
      </c>
      <c r="H5338" t="s">
        <v>721</v>
      </c>
      <c r="I5338">
        <v>2</v>
      </c>
      <c r="J5338">
        <v>0</v>
      </c>
      <c r="K5338" s="1">
        <v>37689</v>
      </c>
    </row>
    <row r="5339" spans="1:11" x14ac:dyDescent="0.25">
      <c r="A5339" t="s">
        <v>326</v>
      </c>
      <c r="B5339" t="s">
        <v>837</v>
      </c>
      <c r="C5339" t="s">
        <v>870</v>
      </c>
      <c r="D5339" t="s">
        <v>14</v>
      </c>
      <c r="E5339">
        <v>5</v>
      </c>
      <c r="F5339" s="2">
        <f>DATE(2026,IF(Tabla1[[#This Row],[Mes de Fecha]]="Septiembre",9,10),Tabla1[[#This Row],[Día de Fecha]])</f>
        <v>46300</v>
      </c>
      <c r="G5339">
        <v>1032010621</v>
      </c>
      <c r="H5339" t="s">
        <v>836</v>
      </c>
      <c r="I5339">
        <v>31</v>
      </c>
      <c r="J5339">
        <v>0</v>
      </c>
      <c r="K5339" s="1">
        <v>1582607</v>
      </c>
    </row>
    <row r="5340" spans="1:11" x14ac:dyDescent="0.25">
      <c r="A5340" t="s">
        <v>326</v>
      </c>
      <c r="B5340" t="s">
        <v>837</v>
      </c>
      <c r="C5340" t="s">
        <v>870</v>
      </c>
      <c r="D5340" t="s">
        <v>14</v>
      </c>
      <c r="E5340">
        <v>5</v>
      </c>
      <c r="F5340" s="2">
        <f>DATE(2026,IF(Tabla1[[#This Row],[Mes de Fecha]]="Septiembre",9,10),Tabla1[[#This Row],[Día de Fecha]])</f>
        <v>46300</v>
      </c>
      <c r="G5340">
        <v>1040745636</v>
      </c>
      <c r="H5340" t="s">
        <v>757</v>
      </c>
      <c r="I5340">
        <v>66</v>
      </c>
      <c r="J5340">
        <v>0</v>
      </c>
      <c r="K5340" s="1">
        <v>3494823</v>
      </c>
    </row>
    <row r="5341" spans="1:11" x14ac:dyDescent="0.25">
      <c r="A5341" t="s">
        <v>326</v>
      </c>
      <c r="B5341" t="s">
        <v>837</v>
      </c>
      <c r="C5341" t="s">
        <v>870</v>
      </c>
      <c r="D5341" t="s">
        <v>14</v>
      </c>
      <c r="E5341">
        <v>5</v>
      </c>
      <c r="F5341" s="2">
        <f>DATE(2026,IF(Tabla1[[#This Row],[Mes de Fecha]]="Septiembre",9,10),Tabla1[[#This Row],[Día de Fecha]])</f>
        <v>46300</v>
      </c>
      <c r="G5341">
        <v>1110283879</v>
      </c>
      <c r="H5341" t="s">
        <v>645</v>
      </c>
      <c r="I5341">
        <v>16</v>
      </c>
      <c r="J5341">
        <v>0</v>
      </c>
      <c r="K5341" s="1">
        <v>1087563</v>
      </c>
    </row>
    <row r="5342" spans="1:11" x14ac:dyDescent="0.25">
      <c r="A5342" t="s">
        <v>326</v>
      </c>
      <c r="B5342" t="s">
        <v>837</v>
      </c>
      <c r="C5342" t="s">
        <v>870</v>
      </c>
      <c r="D5342" t="s">
        <v>14</v>
      </c>
      <c r="E5342">
        <v>6</v>
      </c>
      <c r="F5342" s="2">
        <f>DATE(2026,IF(Tabla1[[#This Row],[Mes de Fecha]]="Septiembre",9,10),Tabla1[[#This Row],[Día de Fecha]])</f>
        <v>46301</v>
      </c>
      <c r="I5342">
        <v>0</v>
      </c>
      <c r="J5342" s="1">
        <v>5973687</v>
      </c>
      <c r="K5342">
        <v>0</v>
      </c>
    </row>
    <row r="5343" spans="1:11" x14ac:dyDescent="0.25">
      <c r="A5343" t="s">
        <v>326</v>
      </c>
      <c r="B5343" t="s">
        <v>837</v>
      </c>
      <c r="C5343" t="s">
        <v>870</v>
      </c>
      <c r="D5343" t="s">
        <v>14</v>
      </c>
      <c r="E5343">
        <v>6</v>
      </c>
      <c r="F5343" s="2">
        <f>DATE(2026,IF(Tabla1[[#This Row],[Mes de Fecha]]="Septiembre",9,10),Tabla1[[#This Row],[Día de Fecha]])</f>
        <v>46301</v>
      </c>
      <c r="G5343">
        <v>1023628602</v>
      </c>
      <c r="H5343" t="s">
        <v>794</v>
      </c>
      <c r="I5343">
        <v>-2</v>
      </c>
      <c r="J5343">
        <v>0</v>
      </c>
      <c r="K5343" s="1">
        <v>-92353</v>
      </c>
    </row>
    <row r="5344" spans="1:11" x14ac:dyDescent="0.25">
      <c r="A5344" t="s">
        <v>326</v>
      </c>
      <c r="B5344" t="s">
        <v>837</v>
      </c>
      <c r="C5344" t="s">
        <v>870</v>
      </c>
      <c r="D5344" t="s">
        <v>14</v>
      </c>
      <c r="E5344">
        <v>6</v>
      </c>
      <c r="F5344" s="2">
        <f>DATE(2026,IF(Tabla1[[#This Row],[Mes de Fecha]]="Septiembre",9,10),Tabla1[[#This Row],[Día de Fecha]])</f>
        <v>46301</v>
      </c>
      <c r="G5344">
        <v>1032010621</v>
      </c>
      <c r="H5344" t="s">
        <v>836</v>
      </c>
      <c r="I5344">
        <v>16</v>
      </c>
      <c r="J5344">
        <v>0</v>
      </c>
      <c r="K5344" s="1">
        <v>682304</v>
      </c>
    </row>
    <row r="5345" spans="1:11" x14ac:dyDescent="0.25">
      <c r="A5345" t="s">
        <v>326</v>
      </c>
      <c r="B5345" t="s">
        <v>837</v>
      </c>
      <c r="C5345" t="s">
        <v>870</v>
      </c>
      <c r="D5345" t="s">
        <v>14</v>
      </c>
      <c r="E5345">
        <v>6</v>
      </c>
      <c r="F5345" s="2">
        <f>DATE(2026,IF(Tabla1[[#This Row],[Mes de Fecha]]="Septiembre",9,10),Tabla1[[#This Row],[Día de Fecha]])</f>
        <v>46301</v>
      </c>
      <c r="G5345">
        <v>1040745636</v>
      </c>
      <c r="H5345" t="s">
        <v>757</v>
      </c>
      <c r="I5345">
        <v>58</v>
      </c>
      <c r="J5345">
        <v>0</v>
      </c>
      <c r="K5345" s="1">
        <v>3123141</v>
      </c>
    </row>
    <row r="5346" spans="1:11" x14ac:dyDescent="0.25">
      <c r="A5346" t="s">
        <v>326</v>
      </c>
      <c r="B5346" t="s">
        <v>837</v>
      </c>
      <c r="C5346" t="s">
        <v>870</v>
      </c>
      <c r="D5346" t="s">
        <v>14</v>
      </c>
      <c r="E5346">
        <v>6</v>
      </c>
      <c r="F5346" s="2">
        <f>DATE(2026,IF(Tabla1[[#This Row],[Mes de Fecha]]="Septiembre",9,10),Tabla1[[#This Row],[Día de Fecha]])</f>
        <v>46301</v>
      </c>
      <c r="G5346">
        <v>1045421676</v>
      </c>
      <c r="H5346" t="s">
        <v>717</v>
      </c>
      <c r="I5346">
        <v>-1</v>
      </c>
      <c r="J5346">
        <v>0</v>
      </c>
      <c r="K5346" s="1">
        <v>-54580</v>
      </c>
    </row>
    <row r="5347" spans="1:11" x14ac:dyDescent="0.25">
      <c r="A5347" t="s">
        <v>326</v>
      </c>
      <c r="B5347" t="s">
        <v>837</v>
      </c>
      <c r="C5347" t="s">
        <v>870</v>
      </c>
      <c r="D5347" t="s">
        <v>14</v>
      </c>
      <c r="E5347">
        <v>6</v>
      </c>
      <c r="F5347" s="2">
        <f>DATE(2026,IF(Tabla1[[#This Row],[Mes de Fecha]]="Septiembre",9,10),Tabla1[[#This Row],[Día de Fecha]])</f>
        <v>46301</v>
      </c>
      <c r="G5347">
        <v>1110283879</v>
      </c>
      <c r="H5347" t="s">
        <v>645</v>
      </c>
      <c r="I5347">
        <v>30</v>
      </c>
      <c r="J5347">
        <v>0</v>
      </c>
      <c r="K5347" s="1">
        <v>1266665</v>
      </c>
    </row>
    <row r="5348" spans="1:11" x14ac:dyDescent="0.25">
      <c r="A5348" t="s">
        <v>326</v>
      </c>
      <c r="B5348" t="s">
        <v>837</v>
      </c>
      <c r="C5348" t="s">
        <v>870</v>
      </c>
      <c r="D5348" t="s">
        <v>14</v>
      </c>
      <c r="E5348">
        <v>7</v>
      </c>
      <c r="F5348" s="2">
        <f>DATE(2026,IF(Tabla1[[#This Row],[Mes de Fecha]]="Septiembre",9,10),Tabla1[[#This Row],[Día de Fecha]])</f>
        <v>46302</v>
      </c>
      <c r="I5348">
        <v>0</v>
      </c>
      <c r="J5348" s="1">
        <v>5910959</v>
      </c>
      <c r="K5348">
        <v>0</v>
      </c>
    </row>
    <row r="5349" spans="1:11" x14ac:dyDescent="0.25">
      <c r="A5349" t="s">
        <v>326</v>
      </c>
      <c r="B5349" t="s">
        <v>837</v>
      </c>
      <c r="C5349" t="s">
        <v>870</v>
      </c>
      <c r="D5349" t="s">
        <v>14</v>
      </c>
      <c r="E5349">
        <v>7</v>
      </c>
      <c r="F5349" s="2">
        <f>DATE(2026,IF(Tabla1[[#This Row],[Mes de Fecha]]="Septiembre",9,10),Tabla1[[#This Row],[Día de Fecha]])</f>
        <v>46302</v>
      </c>
      <c r="G5349">
        <v>1015066253</v>
      </c>
      <c r="H5349" t="s">
        <v>721</v>
      </c>
      <c r="I5349">
        <v>42</v>
      </c>
      <c r="J5349">
        <v>0</v>
      </c>
      <c r="K5349" s="1">
        <v>2464456</v>
      </c>
    </row>
    <row r="5350" spans="1:11" x14ac:dyDescent="0.25">
      <c r="A5350" t="s">
        <v>326</v>
      </c>
      <c r="B5350" t="s">
        <v>837</v>
      </c>
      <c r="C5350" t="s">
        <v>870</v>
      </c>
      <c r="D5350" t="s">
        <v>14</v>
      </c>
      <c r="E5350">
        <v>7</v>
      </c>
      <c r="F5350" s="2">
        <f>DATE(2026,IF(Tabla1[[#This Row],[Mes de Fecha]]="Septiembre",9,10),Tabla1[[#This Row],[Día de Fecha]])</f>
        <v>46302</v>
      </c>
      <c r="G5350">
        <v>1040745636</v>
      </c>
      <c r="H5350" t="s">
        <v>757</v>
      </c>
      <c r="I5350">
        <v>1</v>
      </c>
      <c r="J5350">
        <v>0</v>
      </c>
      <c r="K5350" s="1">
        <v>16723</v>
      </c>
    </row>
    <row r="5351" spans="1:11" x14ac:dyDescent="0.25">
      <c r="A5351" t="s">
        <v>326</v>
      </c>
      <c r="B5351" t="s">
        <v>837</v>
      </c>
      <c r="C5351" t="s">
        <v>870</v>
      </c>
      <c r="D5351" t="s">
        <v>14</v>
      </c>
      <c r="E5351">
        <v>7</v>
      </c>
      <c r="F5351" s="2">
        <f>DATE(2026,IF(Tabla1[[#This Row],[Mes de Fecha]]="Septiembre",9,10),Tabla1[[#This Row],[Día de Fecha]])</f>
        <v>46302</v>
      </c>
      <c r="G5351">
        <v>1110283879</v>
      </c>
      <c r="H5351" t="s">
        <v>645</v>
      </c>
      <c r="I5351">
        <v>21</v>
      </c>
      <c r="J5351">
        <v>0</v>
      </c>
      <c r="K5351" s="1">
        <v>885505</v>
      </c>
    </row>
    <row r="5352" spans="1:11" x14ac:dyDescent="0.25">
      <c r="A5352" t="s">
        <v>326</v>
      </c>
      <c r="B5352" t="s">
        <v>852</v>
      </c>
      <c r="C5352" t="s">
        <v>870</v>
      </c>
      <c r="D5352" t="s">
        <v>11</v>
      </c>
      <c r="E5352">
        <v>23</v>
      </c>
      <c r="F5352" s="2">
        <f>DATE(2026,IF(Tabla1[[#This Row],[Mes de Fecha]]="Septiembre",9,10),Tabla1[[#This Row],[Día de Fecha]])</f>
        <v>46288</v>
      </c>
      <c r="I5352">
        <v>0</v>
      </c>
      <c r="J5352" s="1">
        <v>7362231</v>
      </c>
      <c r="K5352">
        <v>0</v>
      </c>
    </row>
    <row r="5353" spans="1:11" x14ac:dyDescent="0.25">
      <c r="A5353" t="s">
        <v>326</v>
      </c>
      <c r="B5353" t="s">
        <v>852</v>
      </c>
      <c r="C5353" t="s">
        <v>870</v>
      </c>
      <c r="D5353" t="s">
        <v>11</v>
      </c>
      <c r="E5353">
        <v>23</v>
      </c>
      <c r="F5353" s="2">
        <f>DATE(2026,IF(Tabla1[[#This Row],[Mes de Fecha]]="Septiembre",9,10),Tabla1[[#This Row],[Día de Fecha]])</f>
        <v>46288</v>
      </c>
      <c r="G5353">
        <v>1000759550</v>
      </c>
      <c r="H5353" t="s">
        <v>853</v>
      </c>
      <c r="I5353">
        <v>1</v>
      </c>
      <c r="J5353">
        <v>0</v>
      </c>
      <c r="K5353" s="1">
        <v>33572</v>
      </c>
    </row>
    <row r="5354" spans="1:11" x14ac:dyDescent="0.25">
      <c r="A5354" t="s">
        <v>326</v>
      </c>
      <c r="B5354" t="s">
        <v>852</v>
      </c>
      <c r="C5354" t="s">
        <v>870</v>
      </c>
      <c r="D5354" t="s">
        <v>11</v>
      </c>
      <c r="E5354">
        <v>23</v>
      </c>
      <c r="F5354" s="2">
        <f>DATE(2026,IF(Tabla1[[#This Row],[Mes de Fecha]]="Septiembre",9,10),Tabla1[[#This Row],[Día de Fecha]])</f>
        <v>46288</v>
      </c>
      <c r="G5354">
        <v>1007222843</v>
      </c>
      <c r="H5354" t="s">
        <v>637</v>
      </c>
      <c r="I5354">
        <v>19</v>
      </c>
      <c r="J5354">
        <v>0</v>
      </c>
      <c r="K5354" s="1">
        <v>1106345</v>
      </c>
    </row>
    <row r="5355" spans="1:11" x14ac:dyDescent="0.25">
      <c r="A5355" t="s">
        <v>326</v>
      </c>
      <c r="B5355" t="s">
        <v>852</v>
      </c>
      <c r="C5355" t="s">
        <v>870</v>
      </c>
      <c r="D5355" t="s">
        <v>11</v>
      </c>
      <c r="E5355">
        <v>23</v>
      </c>
      <c r="F5355" s="2">
        <f>DATE(2026,IF(Tabla1[[#This Row],[Mes de Fecha]]="Septiembre",9,10),Tabla1[[#This Row],[Día de Fecha]])</f>
        <v>46288</v>
      </c>
      <c r="G5355">
        <v>1067856384</v>
      </c>
      <c r="H5355" t="s">
        <v>758</v>
      </c>
      <c r="I5355">
        <v>9</v>
      </c>
      <c r="J5355">
        <v>0</v>
      </c>
      <c r="K5355" s="1">
        <v>409202</v>
      </c>
    </row>
    <row r="5356" spans="1:11" x14ac:dyDescent="0.25">
      <c r="A5356" t="s">
        <v>326</v>
      </c>
      <c r="B5356" t="s">
        <v>852</v>
      </c>
      <c r="C5356" t="s">
        <v>870</v>
      </c>
      <c r="D5356" t="s">
        <v>11</v>
      </c>
      <c r="E5356">
        <v>24</v>
      </c>
      <c r="F5356" s="2">
        <f>DATE(2026,IF(Tabla1[[#This Row],[Mes de Fecha]]="Septiembre",9,10),Tabla1[[#This Row],[Día de Fecha]])</f>
        <v>46289</v>
      </c>
      <c r="I5356">
        <v>0</v>
      </c>
      <c r="J5356" s="1">
        <v>11246637</v>
      </c>
      <c r="K5356">
        <v>0</v>
      </c>
    </row>
    <row r="5357" spans="1:11" x14ac:dyDescent="0.25">
      <c r="A5357" t="s">
        <v>326</v>
      </c>
      <c r="B5357" t="s">
        <v>852</v>
      </c>
      <c r="C5357" t="s">
        <v>870</v>
      </c>
      <c r="D5357" t="s">
        <v>11</v>
      </c>
      <c r="E5357">
        <v>24</v>
      </c>
      <c r="F5357" s="2">
        <f>DATE(2026,IF(Tabla1[[#This Row],[Mes de Fecha]]="Septiembre",9,10),Tabla1[[#This Row],[Día de Fecha]])</f>
        <v>46289</v>
      </c>
      <c r="G5357">
        <v>1000759550</v>
      </c>
      <c r="H5357" t="s">
        <v>853</v>
      </c>
      <c r="I5357">
        <v>5</v>
      </c>
      <c r="J5357">
        <v>0</v>
      </c>
      <c r="K5357" s="1">
        <v>310714</v>
      </c>
    </row>
    <row r="5358" spans="1:11" x14ac:dyDescent="0.25">
      <c r="A5358" t="s">
        <v>326</v>
      </c>
      <c r="B5358" t="s">
        <v>852</v>
      </c>
      <c r="C5358" t="s">
        <v>870</v>
      </c>
      <c r="D5358" t="s">
        <v>11</v>
      </c>
      <c r="E5358">
        <v>24</v>
      </c>
      <c r="F5358" s="2">
        <f>DATE(2026,IF(Tabla1[[#This Row],[Mes de Fecha]]="Septiembre",9,10),Tabla1[[#This Row],[Día de Fecha]])</f>
        <v>46289</v>
      </c>
      <c r="G5358">
        <v>1007222843</v>
      </c>
      <c r="H5358" t="s">
        <v>637</v>
      </c>
      <c r="I5358">
        <v>22</v>
      </c>
      <c r="J5358">
        <v>0</v>
      </c>
      <c r="K5358" s="1">
        <v>1158740</v>
      </c>
    </row>
    <row r="5359" spans="1:11" x14ac:dyDescent="0.25">
      <c r="A5359" t="s">
        <v>326</v>
      </c>
      <c r="B5359" t="s">
        <v>852</v>
      </c>
      <c r="C5359" t="s">
        <v>870</v>
      </c>
      <c r="D5359" t="s">
        <v>11</v>
      </c>
      <c r="E5359">
        <v>24</v>
      </c>
      <c r="F5359" s="2">
        <f>DATE(2026,IF(Tabla1[[#This Row],[Mes de Fecha]]="Septiembre",9,10),Tabla1[[#This Row],[Día de Fecha]])</f>
        <v>46289</v>
      </c>
      <c r="G5359">
        <v>1067856384</v>
      </c>
      <c r="H5359" t="s">
        <v>758</v>
      </c>
      <c r="I5359">
        <v>25</v>
      </c>
      <c r="J5359">
        <v>0</v>
      </c>
      <c r="K5359" s="1">
        <v>1204749</v>
      </c>
    </row>
    <row r="5360" spans="1:11" x14ac:dyDescent="0.25">
      <c r="A5360" t="s">
        <v>326</v>
      </c>
      <c r="B5360" t="s">
        <v>852</v>
      </c>
      <c r="C5360" t="s">
        <v>870</v>
      </c>
      <c r="D5360" t="s">
        <v>11</v>
      </c>
      <c r="E5360">
        <v>25</v>
      </c>
      <c r="F5360" s="2">
        <f>DATE(2026,IF(Tabla1[[#This Row],[Mes de Fecha]]="Septiembre",9,10),Tabla1[[#This Row],[Día de Fecha]])</f>
        <v>46290</v>
      </c>
      <c r="I5360">
        <v>0</v>
      </c>
      <c r="J5360" s="1">
        <v>11221742</v>
      </c>
      <c r="K5360">
        <v>0</v>
      </c>
    </row>
    <row r="5361" spans="1:11" x14ac:dyDescent="0.25">
      <c r="A5361" t="s">
        <v>326</v>
      </c>
      <c r="B5361" t="s">
        <v>852</v>
      </c>
      <c r="C5361" t="s">
        <v>870</v>
      </c>
      <c r="D5361" t="s">
        <v>11</v>
      </c>
      <c r="E5361">
        <v>25</v>
      </c>
      <c r="F5361" s="2">
        <f>DATE(2026,IF(Tabla1[[#This Row],[Mes de Fecha]]="Septiembre",9,10),Tabla1[[#This Row],[Día de Fecha]])</f>
        <v>46290</v>
      </c>
      <c r="G5361">
        <v>42694454</v>
      </c>
      <c r="H5361" t="s">
        <v>854</v>
      </c>
      <c r="I5361">
        <v>3</v>
      </c>
      <c r="J5361">
        <v>0</v>
      </c>
      <c r="K5361" s="1">
        <v>201555</v>
      </c>
    </row>
    <row r="5362" spans="1:11" x14ac:dyDescent="0.25">
      <c r="A5362" t="s">
        <v>326</v>
      </c>
      <c r="B5362" t="s">
        <v>852</v>
      </c>
      <c r="C5362" t="s">
        <v>870</v>
      </c>
      <c r="D5362" t="s">
        <v>11</v>
      </c>
      <c r="E5362">
        <v>25</v>
      </c>
      <c r="F5362" s="2">
        <f>DATE(2026,IF(Tabla1[[#This Row],[Mes de Fecha]]="Septiembre",9,10),Tabla1[[#This Row],[Día de Fecha]])</f>
        <v>46290</v>
      </c>
      <c r="G5362">
        <v>1000759550</v>
      </c>
      <c r="H5362" t="s">
        <v>853</v>
      </c>
      <c r="I5362">
        <v>30</v>
      </c>
      <c r="J5362">
        <v>0</v>
      </c>
      <c r="K5362" s="1">
        <v>1805380</v>
      </c>
    </row>
    <row r="5363" spans="1:11" x14ac:dyDescent="0.25">
      <c r="A5363" t="s">
        <v>326</v>
      </c>
      <c r="B5363" t="s">
        <v>852</v>
      </c>
      <c r="C5363" t="s">
        <v>870</v>
      </c>
      <c r="D5363" t="s">
        <v>11</v>
      </c>
      <c r="E5363">
        <v>25</v>
      </c>
      <c r="F5363" s="2">
        <f>DATE(2026,IF(Tabla1[[#This Row],[Mes de Fecha]]="Septiembre",9,10),Tabla1[[#This Row],[Día de Fecha]])</f>
        <v>46290</v>
      </c>
      <c r="G5363">
        <v>1007222843</v>
      </c>
      <c r="H5363" t="s">
        <v>637</v>
      </c>
      <c r="I5363">
        <v>33</v>
      </c>
      <c r="J5363">
        <v>0</v>
      </c>
      <c r="K5363" s="1">
        <v>2130886</v>
      </c>
    </row>
    <row r="5364" spans="1:11" x14ac:dyDescent="0.25">
      <c r="A5364" t="s">
        <v>326</v>
      </c>
      <c r="B5364" t="s">
        <v>852</v>
      </c>
      <c r="C5364" t="s">
        <v>870</v>
      </c>
      <c r="D5364" t="s">
        <v>11</v>
      </c>
      <c r="E5364">
        <v>25</v>
      </c>
      <c r="F5364" s="2">
        <f>DATE(2026,IF(Tabla1[[#This Row],[Mes de Fecha]]="Septiembre",9,10),Tabla1[[#This Row],[Día de Fecha]])</f>
        <v>46290</v>
      </c>
      <c r="G5364">
        <v>1067856384</v>
      </c>
      <c r="H5364" t="s">
        <v>758</v>
      </c>
      <c r="I5364">
        <v>35</v>
      </c>
      <c r="J5364">
        <v>0</v>
      </c>
      <c r="K5364" s="1">
        <v>2090760</v>
      </c>
    </row>
    <row r="5365" spans="1:11" x14ac:dyDescent="0.25">
      <c r="A5365" t="s">
        <v>326</v>
      </c>
      <c r="B5365" t="s">
        <v>852</v>
      </c>
      <c r="C5365" t="s">
        <v>870</v>
      </c>
      <c r="D5365" t="s">
        <v>11</v>
      </c>
      <c r="E5365">
        <v>26</v>
      </c>
      <c r="F5365" s="2">
        <f>DATE(2026,IF(Tabla1[[#This Row],[Mes de Fecha]]="Septiembre",9,10),Tabla1[[#This Row],[Día de Fecha]])</f>
        <v>46291</v>
      </c>
      <c r="I5365">
        <v>0</v>
      </c>
      <c r="J5365" s="1">
        <v>16127251</v>
      </c>
      <c r="K5365">
        <v>0</v>
      </c>
    </row>
    <row r="5366" spans="1:11" x14ac:dyDescent="0.25">
      <c r="A5366" t="s">
        <v>326</v>
      </c>
      <c r="B5366" t="s">
        <v>852</v>
      </c>
      <c r="C5366" t="s">
        <v>870</v>
      </c>
      <c r="D5366" t="s">
        <v>11</v>
      </c>
      <c r="E5366">
        <v>26</v>
      </c>
      <c r="F5366" s="2">
        <f>DATE(2026,IF(Tabla1[[#This Row],[Mes de Fecha]]="Septiembre",9,10),Tabla1[[#This Row],[Día de Fecha]])</f>
        <v>46291</v>
      </c>
      <c r="G5366">
        <v>1000759550</v>
      </c>
      <c r="H5366" t="s">
        <v>853</v>
      </c>
      <c r="I5366">
        <v>34</v>
      </c>
      <c r="J5366">
        <v>0</v>
      </c>
      <c r="K5366" s="1">
        <v>2105589</v>
      </c>
    </row>
    <row r="5367" spans="1:11" x14ac:dyDescent="0.25">
      <c r="A5367" t="s">
        <v>326</v>
      </c>
      <c r="B5367" t="s">
        <v>852</v>
      </c>
      <c r="C5367" t="s">
        <v>870</v>
      </c>
      <c r="D5367" t="s">
        <v>11</v>
      </c>
      <c r="E5367">
        <v>26</v>
      </c>
      <c r="F5367" s="2">
        <f>DATE(2026,IF(Tabla1[[#This Row],[Mes de Fecha]]="Septiembre",9,10),Tabla1[[#This Row],[Día de Fecha]])</f>
        <v>46291</v>
      </c>
      <c r="G5367">
        <v>1000886426</v>
      </c>
      <c r="H5367" t="s">
        <v>575</v>
      </c>
      <c r="I5367">
        <v>-2</v>
      </c>
      <c r="J5367">
        <v>0</v>
      </c>
      <c r="K5367" s="1">
        <v>-142773</v>
      </c>
    </row>
    <row r="5368" spans="1:11" x14ac:dyDescent="0.25">
      <c r="A5368" t="s">
        <v>326</v>
      </c>
      <c r="B5368" t="s">
        <v>852</v>
      </c>
      <c r="C5368" t="s">
        <v>870</v>
      </c>
      <c r="D5368" t="s">
        <v>11</v>
      </c>
      <c r="E5368">
        <v>26</v>
      </c>
      <c r="F5368" s="2">
        <f>DATE(2026,IF(Tabla1[[#This Row],[Mes de Fecha]]="Septiembre",9,10),Tabla1[[#This Row],[Día de Fecha]])</f>
        <v>46291</v>
      </c>
      <c r="G5368">
        <v>1007222843</v>
      </c>
      <c r="H5368" t="s">
        <v>637</v>
      </c>
      <c r="I5368">
        <v>40</v>
      </c>
      <c r="J5368">
        <v>0</v>
      </c>
      <c r="K5368" s="1">
        <v>2985506</v>
      </c>
    </row>
    <row r="5369" spans="1:11" x14ac:dyDescent="0.25">
      <c r="A5369" t="s">
        <v>326</v>
      </c>
      <c r="B5369" t="s">
        <v>852</v>
      </c>
      <c r="C5369" t="s">
        <v>870</v>
      </c>
      <c r="D5369" t="s">
        <v>11</v>
      </c>
      <c r="E5369">
        <v>26</v>
      </c>
      <c r="F5369" s="2">
        <f>DATE(2026,IF(Tabla1[[#This Row],[Mes de Fecha]]="Septiembre",9,10),Tabla1[[#This Row],[Día de Fecha]])</f>
        <v>46291</v>
      </c>
      <c r="G5369">
        <v>1067856384</v>
      </c>
      <c r="H5369" t="s">
        <v>758</v>
      </c>
      <c r="I5369">
        <v>58</v>
      </c>
      <c r="J5369">
        <v>0</v>
      </c>
      <c r="K5369" s="1">
        <v>3394372</v>
      </c>
    </row>
    <row r="5370" spans="1:11" x14ac:dyDescent="0.25">
      <c r="A5370" t="s">
        <v>326</v>
      </c>
      <c r="B5370" t="s">
        <v>852</v>
      </c>
      <c r="C5370" t="s">
        <v>870</v>
      </c>
      <c r="D5370" t="s">
        <v>11</v>
      </c>
      <c r="E5370">
        <v>27</v>
      </c>
      <c r="F5370" s="2">
        <f>DATE(2026,IF(Tabla1[[#This Row],[Mes de Fecha]]="Septiembre",9,10),Tabla1[[#This Row],[Día de Fecha]])</f>
        <v>46292</v>
      </c>
      <c r="I5370">
        <v>0</v>
      </c>
      <c r="J5370" s="1">
        <v>12776029</v>
      </c>
      <c r="K5370">
        <v>0</v>
      </c>
    </row>
    <row r="5371" spans="1:11" x14ac:dyDescent="0.25">
      <c r="A5371" t="s">
        <v>326</v>
      </c>
      <c r="B5371" t="s">
        <v>852</v>
      </c>
      <c r="C5371" t="s">
        <v>870</v>
      </c>
      <c r="D5371" t="s">
        <v>11</v>
      </c>
      <c r="E5371">
        <v>27</v>
      </c>
      <c r="F5371" s="2">
        <f>DATE(2026,IF(Tabla1[[#This Row],[Mes de Fecha]]="Septiembre",9,10),Tabla1[[#This Row],[Día de Fecha]])</f>
        <v>46292</v>
      </c>
      <c r="G5371">
        <v>1000759550</v>
      </c>
      <c r="H5371" t="s">
        <v>853</v>
      </c>
      <c r="I5371">
        <v>46</v>
      </c>
      <c r="J5371">
        <v>0</v>
      </c>
      <c r="K5371" s="1">
        <v>2861219</v>
      </c>
    </row>
    <row r="5372" spans="1:11" x14ac:dyDescent="0.25">
      <c r="A5372" t="s">
        <v>326</v>
      </c>
      <c r="B5372" t="s">
        <v>852</v>
      </c>
      <c r="C5372" t="s">
        <v>870</v>
      </c>
      <c r="D5372" t="s">
        <v>11</v>
      </c>
      <c r="E5372">
        <v>27</v>
      </c>
      <c r="F5372" s="2">
        <f>DATE(2026,IF(Tabla1[[#This Row],[Mes de Fecha]]="Septiembre",9,10),Tabla1[[#This Row],[Día de Fecha]])</f>
        <v>46292</v>
      </c>
      <c r="G5372">
        <v>1007222843</v>
      </c>
      <c r="H5372" t="s">
        <v>637</v>
      </c>
      <c r="I5372">
        <v>25</v>
      </c>
      <c r="J5372">
        <v>0</v>
      </c>
      <c r="K5372" s="1">
        <v>1582899</v>
      </c>
    </row>
    <row r="5373" spans="1:11" x14ac:dyDescent="0.25">
      <c r="A5373" t="s">
        <v>326</v>
      </c>
      <c r="B5373" t="s">
        <v>852</v>
      </c>
      <c r="C5373" t="s">
        <v>870</v>
      </c>
      <c r="D5373" t="s">
        <v>11</v>
      </c>
      <c r="E5373">
        <v>27</v>
      </c>
      <c r="F5373" s="2">
        <f>DATE(2026,IF(Tabla1[[#This Row],[Mes de Fecha]]="Septiembre",9,10),Tabla1[[#This Row],[Día de Fecha]])</f>
        <v>46292</v>
      </c>
      <c r="G5373">
        <v>1067856384</v>
      </c>
      <c r="H5373" t="s">
        <v>758</v>
      </c>
      <c r="I5373">
        <v>42</v>
      </c>
      <c r="J5373">
        <v>0</v>
      </c>
      <c r="K5373" s="1">
        <v>2485507</v>
      </c>
    </row>
    <row r="5374" spans="1:11" x14ac:dyDescent="0.25">
      <c r="A5374" t="s">
        <v>326</v>
      </c>
      <c r="B5374" t="s">
        <v>852</v>
      </c>
      <c r="C5374" t="s">
        <v>870</v>
      </c>
      <c r="D5374" t="s">
        <v>11</v>
      </c>
      <c r="E5374">
        <v>28</v>
      </c>
      <c r="F5374" s="2">
        <f>DATE(2026,IF(Tabla1[[#This Row],[Mes de Fecha]]="Septiembre",9,10),Tabla1[[#This Row],[Día de Fecha]])</f>
        <v>46293</v>
      </c>
      <c r="I5374">
        <v>0</v>
      </c>
      <c r="J5374" s="1">
        <v>7031405</v>
      </c>
      <c r="K5374">
        <v>0</v>
      </c>
    </row>
    <row r="5375" spans="1:11" x14ac:dyDescent="0.25">
      <c r="A5375" t="s">
        <v>326</v>
      </c>
      <c r="B5375" t="s">
        <v>852</v>
      </c>
      <c r="C5375" t="s">
        <v>870</v>
      </c>
      <c r="D5375" t="s">
        <v>11</v>
      </c>
      <c r="E5375">
        <v>28</v>
      </c>
      <c r="F5375" s="2">
        <f>DATE(2026,IF(Tabla1[[#This Row],[Mes de Fecha]]="Septiembre",9,10),Tabla1[[#This Row],[Día de Fecha]])</f>
        <v>46293</v>
      </c>
      <c r="G5375">
        <v>1000637944</v>
      </c>
      <c r="H5375" t="s">
        <v>641</v>
      </c>
      <c r="I5375">
        <v>-1</v>
      </c>
      <c r="J5375">
        <v>0</v>
      </c>
      <c r="K5375" s="1">
        <v>-105000</v>
      </c>
    </row>
    <row r="5376" spans="1:11" x14ac:dyDescent="0.25">
      <c r="A5376" t="s">
        <v>326</v>
      </c>
      <c r="B5376" t="s">
        <v>852</v>
      </c>
      <c r="C5376" t="s">
        <v>870</v>
      </c>
      <c r="D5376" t="s">
        <v>11</v>
      </c>
      <c r="E5376">
        <v>28</v>
      </c>
      <c r="F5376" s="2">
        <f>DATE(2026,IF(Tabla1[[#This Row],[Mes de Fecha]]="Septiembre",9,10),Tabla1[[#This Row],[Día de Fecha]])</f>
        <v>46293</v>
      </c>
      <c r="G5376">
        <v>1000759550</v>
      </c>
      <c r="H5376" t="s">
        <v>853</v>
      </c>
      <c r="I5376">
        <v>12</v>
      </c>
      <c r="J5376">
        <v>0</v>
      </c>
      <c r="K5376" s="1">
        <v>455379</v>
      </c>
    </row>
    <row r="5377" spans="1:11" x14ac:dyDescent="0.25">
      <c r="A5377" t="s">
        <v>326</v>
      </c>
      <c r="B5377" t="s">
        <v>852</v>
      </c>
      <c r="C5377" t="s">
        <v>870</v>
      </c>
      <c r="D5377" t="s">
        <v>11</v>
      </c>
      <c r="E5377">
        <v>28</v>
      </c>
      <c r="F5377" s="2">
        <f>DATE(2026,IF(Tabla1[[#This Row],[Mes de Fecha]]="Septiembre",9,10),Tabla1[[#This Row],[Día de Fecha]])</f>
        <v>46293</v>
      </c>
      <c r="G5377">
        <v>1007222843</v>
      </c>
      <c r="H5377" t="s">
        <v>637</v>
      </c>
      <c r="I5377">
        <v>27</v>
      </c>
      <c r="J5377">
        <v>0</v>
      </c>
      <c r="K5377" s="1">
        <v>1219412</v>
      </c>
    </row>
    <row r="5378" spans="1:11" x14ac:dyDescent="0.25">
      <c r="A5378" t="s">
        <v>326</v>
      </c>
      <c r="B5378" t="s">
        <v>852</v>
      </c>
      <c r="C5378" t="s">
        <v>870</v>
      </c>
      <c r="D5378" t="s">
        <v>11</v>
      </c>
      <c r="E5378">
        <v>28</v>
      </c>
      <c r="F5378" s="2">
        <f>DATE(2026,IF(Tabla1[[#This Row],[Mes de Fecha]]="Septiembre",9,10),Tabla1[[#This Row],[Día de Fecha]])</f>
        <v>46293</v>
      </c>
      <c r="G5378">
        <v>1067856384</v>
      </c>
      <c r="H5378" t="s">
        <v>758</v>
      </c>
      <c r="I5378">
        <v>48</v>
      </c>
      <c r="J5378">
        <v>0</v>
      </c>
      <c r="K5378" s="1">
        <v>3128113</v>
      </c>
    </row>
    <row r="5379" spans="1:11" x14ac:dyDescent="0.25">
      <c r="A5379" t="s">
        <v>326</v>
      </c>
      <c r="B5379" t="s">
        <v>852</v>
      </c>
      <c r="C5379" t="s">
        <v>870</v>
      </c>
      <c r="D5379" t="s">
        <v>11</v>
      </c>
      <c r="E5379">
        <v>29</v>
      </c>
      <c r="F5379" s="2">
        <f>DATE(2026,IF(Tabla1[[#This Row],[Mes de Fecha]]="Septiembre",9,10),Tabla1[[#This Row],[Día de Fecha]])</f>
        <v>46294</v>
      </c>
      <c r="I5379">
        <v>0</v>
      </c>
      <c r="J5379" s="1">
        <v>7510916</v>
      </c>
      <c r="K5379">
        <v>0</v>
      </c>
    </row>
    <row r="5380" spans="1:11" x14ac:dyDescent="0.25">
      <c r="A5380" t="s">
        <v>326</v>
      </c>
      <c r="B5380" t="s">
        <v>852</v>
      </c>
      <c r="C5380" t="s">
        <v>870</v>
      </c>
      <c r="D5380" t="s">
        <v>11</v>
      </c>
      <c r="E5380">
        <v>29</v>
      </c>
      <c r="F5380" s="2">
        <f>DATE(2026,IF(Tabla1[[#This Row],[Mes de Fecha]]="Septiembre",9,10),Tabla1[[#This Row],[Día de Fecha]])</f>
        <v>46294</v>
      </c>
      <c r="G5380">
        <v>1000759550</v>
      </c>
      <c r="H5380" t="s">
        <v>853</v>
      </c>
      <c r="I5380">
        <v>23</v>
      </c>
      <c r="J5380">
        <v>0</v>
      </c>
      <c r="K5380" s="1">
        <v>1164959</v>
      </c>
    </row>
    <row r="5381" spans="1:11" x14ac:dyDescent="0.25">
      <c r="A5381" t="s">
        <v>326</v>
      </c>
      <c r="B5381" t="s">
        <v>852</v>
      </c>
      <c r="C5381" t="s">
        <v>870</v>
      </c>
      <c r="D5381" t="s">
        <v>11</v>
      </c>
      <c r="E5381">
        <v>29</v>
      </c>
      <c r="F5381" s="2">
        <f>DATE(2026,IF(Tabla1[[#This Row],[Mes de Fecha]]="Septiembre",9,10),Tabla1[[#This Row],[Día de Fecha]])</f>
        <v>46294</v>
      </c>
      <c r="G5381">
        <v>1007222843</v>
      </c>
      <c r="H5381" t="s">
        <v>637</v>
      </c>
      <c r="I5381">
        <v>14</v>
      </c>
      <c r="J5381">
        <v>0</v>
      </c>
      <c r="K5381" s="1">
        <v>764076</v>
      </c>
    </row>
    <row r="5382" spans="1:11" x14ac:dyDescent="0.25">
      <c r="A5382" t="s">
        <v>326</v>
      </c>
      <c r="B5382" t="s">
        <v>852</v>
      </c>
      <c r="C5382" t="s">
        <v>870</v>
      </c>
      <c r="D5382" t="s">
        <v>11</v>
      </c>
      <c r="E5382">
        <v>29</v>
      </c>
      <c r="F5382" s="2">
        <f>DATE(2026,IF(Tabla1[[#This Row],[Mes de Fecha]]="Septiembre",9,10),Tabla1[[#This Row],[Día de Fecha]])</f>
        <v>46294</v>
      </c>
      <c r="G5382">
        <v>1067856384</v>
      </c>
      <c r="H5382" t="s">
        <v>758</v>
      </c>
      <c r="I5382">
        <v>12</v>
      </c>
      <c r="J5382">
        <v>0</v>
      </c>
      <c r="K5382" s="1">
        <v>629707</v>
      </c>
    </row>
    <row r="5383" spans="1:11" x14ac:dyDescent="0.25">
      <c r="A5383" t="s">
        <v>326</v>
      </c>
      <c r="B5383" t="s">
        <v>852</v>
      </c>
      <c r="C5383" t="s">
        <v>870</v>
      </c>
      <c r="D5383" t="s">
        <v>11</v>
      </c>
      <c r="E5383">
        <v>30</v>
      </c>
      <c r="F5383" s="2">
        <f>DATE(2026,IF(Tabla1[[#This Row],[Mes de Fecha]]="Septiembre",9,10),Tabla1[[#This Row],[Día de Fecha]])</f>
        <v>46295</v>
      </c>
      <c r="I5383">
        <v>0</v>
      </c>
      <c r="J5383" s="1">
        <v>7758907</v>
      </c>
      <c r="K5383">
        <v>0</v>
      </c>
    </row>
    <row r="5384" spans="1:11" x14ac:dyDescent="0.25">
      <c r="A5384" t="s">
        <v>326</v>
      </c>
      <c r="B5384" t="s">
        <v>852</v>
      </c>
      <c r="C5384" t="s">
        <v>870</v>
      </c>
      <c r="D5384" t="s">
        <v>11</v>
      </c>
      <c r="E5384">
        <v>30</v>
      </c>
      <c r="F5384" s="2">
        <f>DATE(2026,IF(Tabla1[[#This Row],[Mes de Fecha]]="Septiembre",9,10),Tabla1[[#This Row],[Día de Fecha]])</f>
        <v>46295</v>
      </c>
      <c r="G5384">
        <v>1000759550</v>
      </c>
      <c r="H5384" t="s">
        <v>853</v>
      </c>
      <c r="I5384">
        <v>19</v>
      </c>
      <c r="J5384">
        <v>0</v>
      </c>
      <c r="K5384" s="1">
        <v>1085336</v>
      </c>
    </row>
    <row r="5385" spans="1:11" x14ac:dyDescent="0.25">
      <c r="A5385" t="s">
        <v>326</v>
      </c>
      <c r="B5385" t="s">
        <v>852</v>
      </c>
      <c r="C5385" t="s">
        <v>870</v>
      </c>
      <c r="D5385" t="s">
        <v>11</v>
      </c>
      <c r="E5385">
        <v>30</v>
      </c>
      <c r="F5385" s="2">
        <f>DATE(2026,IF(Tabla1[[#This Row],[Mes de Fecha]]="Septiembre",9,10),Tabla1[[#This Row],[Día de Fecha]])</f>
        <v>46295</v>
      </c>
      <c r="G5385">
        <v>1007222843</v>
      </c>
      <c r="H5385" t="s">
        <v>637</v>
      </c>
      <c r="I5385">
        <v>12</v>
      </c>
      <c r="J5385">
        <v>0</v>
      </c>
      <c r="K5385" s="1">
        <v>629749</v>
      </c>
    </row>
    <row r="5386" spans="1:11" x14ac:dyDescent="0.25">
      <c r="A5386" t="s">
        <v>326</v>
      </c>
      <c r="B5386" t="s">
        <v>852</v>
      </c>
      <c r="C5386" t="s">
        <v>870</v>
      </c>
      <c r="D5386" t="s">
        <v>11</v>
      </c>
      <c r="E5386">
        <v>30</v>
      </c>
      <c r="F5386" s="2">
        <f>DATE(2026,IF(Tabla1[[#This Row],[Mes de Fecha]]="Septiembre",9,10),Tabla1[[#This Row],[Día de Fecha]])</f>
        <v>46295</v>
      </c>
      <c r="G5386">
        <v>1067856384</v>
      </c>
      <c r="H5386" t="s">
        <v>758</v>
      </c>
      <c r="I5386">
        <v>15</v>
      </c>
      <c r="J5386">
        <v>0</v>
      </c>
      <c r="K5386" s="1">
        <v>990967</v>
      </c>
    </row>
    <row r="5387" spans="1:11" x14ac:dyDescent="0.25">
      <c r="A5387" t="s">
        <v>326</v>
      </c>
      <c r="B5387" t="s">
        <v>852</v>
      </c>
      <c r="C5387" t="s">
        <v>870</v>
      </c>
      <c r="D5387" t="s">
        <v>14</v>
      </c>
      <c r="E5387">
        <v>1</v>
      </c>
      <c r="F5387" s="2">
        <f>DATE(2026,IF(Tabla1[[#This Row],[Mes de Fecha]]="Septiembre",9,10),Tabla1[[#This Row],[Día de Fecha]])</f>
        <v>46296</v>
      </c>
      <c r="I5387">
        <v>0</v>
      </c>
      <c r="J5387" s="1">
        <v>3871037</v>
      </c>
      <c r="K5387">
        <v>0</v>
      </c>
    </row>
    <row r="5388" spans="1:11" x14ac:dyDescent="0.25">
      <c r="A5388" t="s">
        <v>326</v>
      </c>
      <c r="B5388" t="s">
        <v>852</v>
      </c>
      <c r="C5388" t="s">
        <v>870</v>
      </c>
      <c r="D5388" t="s">
        <v>14</v>
      </c>
      <c r="E5388">
        <v>1</v>
      </c>
      <c r="F5388" s="2">
        <f>DATE(2026,IF(Tabla1[[#This Row],[Mes de Fecha]]="Septiembre",9,10),Tabla1[[#This Row],[Día de Fecha]])</f>
        <v>46296</v>
      </c>
      <c r="G5388">
        <v>1000759550</v>
      </c>
      <c r="H5388" t="s">
        <v>853</v>
      </c>
      <c r="I5388">
        <v>10</v>
      </c>
      <c r="J5388">
        <v>0</v>
      </c>
      <c r="K5388" s="1">
        <v>503699</v>
      </c>
    </row>
    <row r="5389" spans="1:11" x14ac:dyDescent="0.25">
      <c r="A5389" t="s">
        <v>326</v>
      </c>
      <c r="B5389" t="s">
        <v>852</v>
      </c>
      <c r="C5389" t="s">
        <v>870</v>
      </c>
      <c r="D5389" t="s">
        <v>14</v>
      </c>
      <c r="E5389">
        <v>1</v>
      </c>
      <c r="F5389" s="2">
        <f>DATE(2026,IF(Tabla1[[#This Row],[Mes de Fecha]]="Septiembre",9,10),Tabla1[[#This Row],[Día de Fecha]])</f>
        <v>46296</v>
      </c>
      <c r="G5389">
        <v>1067856384</v>
      </c>
      <c r="H5389" t="s">
        <v>758</v>
      </c>
      <c r="I5389">
        <v>38</v>
      </c>
      <c r="J5389">
        <v>0</v>
      </c>
      <c r="K5389" s="1">
        <v>2283951</v>
      </c>
    </row>
    <row r="5390" spans="1:11" x14ac:dyDescent="0.25">
      <c r="A5390" t="s">
        <v>326</v>
      </c>
      <c r="B5390" t="s">
        <v>852</v>
      </c>
      <c r="C5390" t="s">
        <v>870</v>
      </c>
      <c r="D5390" t="s">
        <v>14</v>
      </c>
      <c r="E5390">
        <v>2</v>
      </c>
      <c r="F5390" s="2">
        <f>DATE(2026,IF(Tabla1[[#This Row],[Mes de Fecha]]="Septiembre",9,10),Tabla1[[#This Row],[Día de Fecha]])</f>
        <v>46297</v>
      </c>
      <c r="I5390">
        <v>0</v>
      </c>
      <c r="J5390" s="1">
        <v>5728415</v>
      </c>
      <c r="K5390">
        <v>0</v>
      </c>
    </row>
    <row r="5391" spans="1:11" x14ac:dyDescent="0.25">
      <c r="A5391" t="s">
        <v>326</v>
      </c>
      <c r="B5391" t="s">
        <v>852</v>
      </c>
      <c r="C5391" t="s">
        <v>870</v>
      </c>
      <c r="D5391" t="s">
        <v>14</v>
      </c>
      <c r="E5391">
        <v>2</v>
      </c>
      <c r="F5391" s="2">
        <f>DATE(2026,IF(Tabla1[[#This Row],[Mes de Fecha]]="Septiembre",9,10),Tabla1[[#This Row],[Día de Fecha]])</f>
        <v>46297</v>
      </c>
      <c r="G5391">
        <v>1000759550</v>
      </c>
      <c r="H5391" t="s">
        <v>853</v>
      </c>
      <c r="I5391">
        <v>24</v>
      </c>
      <c r="J5391">
        <v>0</v>
      </c>
      <c r="K5391" s="1">
        <v>1215380</v>
      </c>
    </row>
    <row r="5392" spans="1:11" x14ac:dyDescent="0.25">
      <c r="A5392" t="s">
        <v>326</v>
      </c>
      <c r="B5392" t="s">
        <v>852</v>
      </c>
      <c r="C5392" t="s">
        <v>870</v>
      </c>
      <c r="D5392" t="s">
        <v>14</v>
      </c>
      <c r="E5392">
        <v>2</v>
      </c>
      <c r="F5392" s="2">
        <f>DATE(2026,IF(Tabla1[[#This Row],[Mes de Fecha]]="Septiembre",9,10),Tabla1[[#This Row],[Día de Fecha]])</f>
        <v>46297</v>
      </c>
      <c r="G5392">
        <v>1067856384</v>
      </c>
      <c r="H5392" t="s">
        <v>758</v>
      </c>
      <c r="I5392">
        <v>27</v>
      </c>
      <c r="J5392">
        <v>0</v>
      </c>
      <c r="K5392" s="1">
        <v>1465252</v>
      </c>
    </row>
    <row r="5393" spans="1:11" x14ac:dyDescent="0.25">
      <c r="A5393" t="s">
        <v>326</v>
      </c>
      <c r="B5393" t="s">
        <v>852</v>
      </c>
      <c r="C5393" t="s">
        <v>870</v>
      </c>
      <c r="D5393" t="s">
        <v>14</v>
      </c>
      <c r="E5393">
        <v>3</v>
      </c>
      <c r="F5393" s="2">
        <f>DATE(2026,IF(Tabla1[[#This Row],[Mes de Fecha]]="Septiembre",9,10),Tabla1[[#This Row],[Día de Fecha]])</f>
        <v>46298</v>
      </c>
      <c r="I5393">
        <v>0</v>
      </c>
      <c r="J5393" s="1">
        <v>9350207</v>
      </c>
      <c r="K5393">
        <v>0</v>
      </c>
    </row>
    <row r="5394" spans="1:11" x14ac:dyDescent="0.25">
      <c r="A5394" t="s">
        <v>326</v>
      </c>
      <c r="B5394" t="s">
        <v>852</v>
      </c>
      <c r="C5394" t="s">
        <v>870</v>
      </c>
      <c r="D5394" t="s">
        <v>14</v>
      </c>
      <c r="E5394">
        <v>3</v>
      </c>
      <c r="F5394" s="2">
        <f>DATE(2026,IF(Tabla1[[#This Row],[Mes de Fecha]]="Septiembre",9,10),Tabla1[[#This Row],[Día de Fecha]])</f>
        <v>46298</v>
      </c>
      <c r="G5394">
        <v>1000759550</v>
      </c>
      <c r="H5394" t="s">
        <v>853</v>
      </c>
      <c r="I5394">
        <v>51</v>
      </c>
      <c r="J5394">
        <v>0</v>
      </c>
      <c r="K5394" s="1">
        <v>2936859</v>
      </c>
    </row>
    <row r="5395" spans="1:11" x14ac:dyDescent="0.25">
      <c r="A5395" t="s">
        <v>326</v>
      </c>
      <c r="B5395" t="s">
        <v>852</v>
      </c>
      <c r="C5395" t="s">
        <v>870</v>
      </c>
      <c r="D5395" t="s">
        <v>14</v>
      </c>
      <c r="E5395">
        <v>3</v>
      </c>
      <c r="F5395" s="2">
        <f>DATE(2026,IF(Tabla1[[#This Row],[Mes de Fecha]]="Septiembre",9,10),Tabla1[[#This Row],[Día de Fecha]])</f>
        <v>46298</v>
      </c>
      <c r="G5395">
        <v>1007222843</v>
      </c>
      <c r="H5395" t="s">
        <v>637</v>
      </c>
      <c r="I5395">
        <v>3</v>
      </c>
      <c r="J5395">
        <v>0</v>
      </c>
      <c r="K5395" s="1">
        <v>323403</v>
      </c>
    </row>
    <row r="5396" spans="1:11" x14ac:dyDescent="0.25">
      <c r="A5396" t="s">
        <v>326</v>
      </c>
      <c r="B5396" t="s">
        <v>852</v>
      </c>
      <c r="C5396" t="s">
        <v>870</v>
      </c>
      <c r="D5396" t="s">
        <v>14</v>
      </c>
      <c r="E5396">
        <v>3</v>
      </c>
      <c r="F5396" s="2">
        <f>DATE(2026,IF(Tabla1[[#This Row],[Mes de Fecha]]="Septiembre",9,10),Tabla1[[#This Row],[Día de Fecha]])</f>
        <v>46298</v>
      </c>
      <c r="G5396">
        <v>1037585001</v>
      </c>
      <c r="H5396" t="s">
        <v>746</v>
      </c>
      <c r="I5396">
        <v>-1</v>
      </c>
      <c r="J5396">
        <v>0</v>
      </c>
      <c r="K5396" s="1">
        <v>-105000</v>
      </c>
    </row>
    <row r="5397" spans="1:11" x14ac:dyDescent="0.25">
      <c r="A5397" t="s">
        <v>326</v>
      </c>
      <c r="B5397" t="s">
        <v>852</v>
      </c>
      <c r="C5397" t="s">
        <v>870</v>
      </c>
      <c r="D5397" t="s">
        <v>14</v>
      </c>
      <c r="E5397">
        <v>3</v>
      </c>
      <c r="F5397" s="2">
        <f>DATE(2026,IF(Tabla1[[#This Row],[Mes de Fecha]]="Septiembre",9,10),Tabla1[[#This Row],[Día de Fecha]])</f>
        <v>46298</v>
      </c>
      <c r="G5397">
        <v>1067856384</v>
      </c>
      <c r="H5397" t="s">
        <v>758</v>
      </c>
      <c r="I5397">
        <v>62</v>
      </c>
      <c r="J5397">
        <v>0</v>
      </c>
      <c r="K5397" s="1">
        <v>3468029</v>
      </c>
    </row>
    <row r="5398" spans="1:11" x14ac:dyDescent="0.25">
      <c r="A5398" t="s">
        <v>326</v>
      </c>
      <c r="B5398" t="s">
        <v>852</v>
      </c>
      <c r="C5398" t="s">
        <v>870</v>
      </c>
      <c r="D5398" t="s">
        <v>14</v>
      </c>
      <c r="E5398">
        <v>4</v>
      </c>
      <c r="F5398" s="2">
        <f>DATE(2026,IF(Tabla1[[#This Row],[Mes de Fecha]]="Septiembre",9,10),Tabla1[[#This Row],[Día de Fecha]])</f>
        <v>46299</v>
      </c>
      <c r="I5398">
        <v>0</v>
      </c>
      <c r="J5398" s="1">
        <v>11663362</v>
      </c>
      <c r="K5398">
        <v>0</v>
      </c>
    </row>
    <row r="5399" spans="1:11" x14ac:dyDescent="0.25">
      <c r="A5399" t="s">
        <v>326</v>
      </c>
      <c r="B5399" t="s">
        <v>852</v>
      </c>
      <c r="C5399" t="s">
        <v>870</v>
      </c>
      <c r="D5399" t="s">
        <v>14</v>
      </c>
      <c r="E5399">
        <v>4</v>
      </c>
      <c r="F5399" s="2">
        <f>DATE(2026,IF(Tabla1[[#This Row],[Mes de Fecha]]="Septiembre",9,10),Tabla1[[#This Row],[Día de Fecha]])</f>
        <v>46299</v>
      </c>
      <c r="G5399">
        <v>1034989462</v>
      </c>
      <c r="H5399" t="s">
        <v>795</v>
      </c>
      <c r="I5399">
        <v>23</v>
      </c>
      <c r="J5399">
        <v>0</v>
      </c>
      <c r="K5399" s="1">
        <v>1314120</v>
      </c>
    </row>
    <row r="5400" spans="1:11" x14ac:dyDescent="0.25">
      <c r="A5400" t="s">
        <v>326</v>
      </c>
      <c r="B5400" t="s">
        <v>852</v>
      </c>
      <c r="C5400" t="s">
        <v>870</v>
      </c>
      <c r="D5400" t="s">
        <v>14</v>
      </c>
      <c r="E5400">
        <v>4</v>
      </c>
      <c r="F5400" s="2">
        <f>DATE(2026,IF(Tabla1[[#This Row],[Mes de Fecha]]="Septiembre",9,10),Tabla1[[#This Row],[Día de Fecha]])</f>
        <v>46299</v>
      </c>
      <c r="G5400">
        <v>1067856384</v>
      </c>
      <c r="H5400" t="s">
        <v>758</v>
      </c>
      <c r="I5400">
        <v>76</v>
      </c>
      <c r="J5400">
        <v>0</v>
      </c>
      <c r="K5400" s="1">
        <v>3932667</v>
      </c>
    </row>
    <row r="5401" spans="1:11" x14ac:dyDescent="0.25">
      <c r="A5401" t="s">
        <v>326</v>
      </c>
      <c r="B5401" t="s">
        <v>852</v>
      </c>
      <c r="C5401" t="s">
        <v>870</v>
      </c>
      <c r="D5401" t="s">
        <v>14</v>
      </c>
      <c r="E5401">
        <v>5</v>
      </c>
      <c r="F5401" s="2">
        <f>DATE(2026,IF(Tabla1[[#This Row],[Mes de Fecha]]="Septiembre",9,10),Tabla1[[#This Row],[Día de Fecha]])</f>
        <v>46300</v>
      </c>
      <c r="I5401">
        <v>0</v>
      </c>
      <c r="J5401" s="1">
        <v>5944154</v>
      </c>
      <c r="K5401">
        <v>0</v>
      </c>
    </row>
    <row r="5402" spans="1:11" x14ac:dyDescent="0.25">
      <c r="A5402" t="s">
        <v>326</v>
      </c>
      <c r="B5402" t="s">
        <v>852</v>
      </c>
      <c r="C5402" t="s">
        <v>870</v>
      </c>
      <c r="D5402" t="s">
        <v>14</v>
      </c>
      <c r="E5402">
        <v>5</v>
      </c>
      <c r="F5402" s="2">
        <f>DATE(2026,IF(Tabla1[[#This Row],[Mes de Fecha]]="Septiembre",9,10),Tabla1[[#This Row],[Día de Fecha]])</f>
        <v>46300</v>
      </c>
      <c r="G5402">
        <v>1000759550</v>
      </c>
      <c r="H5402" t="s">
        <v>853</v>
      </c>
      <c r="I5402">
        <v>41</v>
      </c>
      <c r="J5402">
        <v>0</v>
      </c>
      <c r="K5402" s="1">
        <v>2622856</v>
      </c>
    </row>
    <row r="5403" spans="1:11" x14ac:dyDescent="0.25">
      <c r="A5403" t="s">
        <v>326</v>
      </c>
      <c r="B5403" t="s">
        <v>852</v>
      </c>
      <c r="C5403" t="s">
        <v>870</v>
      </c>
      <c r="D5403" t="s">
        <v>14</v>
      </c>
      <c r="E5403">
        <v>5</v>
      </c>
      <c r="F5403" s="2">
        <f>DATE(2026,IF(Tabla1[[#This Row],[Mes de Fecha]]="Septiembre",9,10),Tabla1[[#This Row],[Día de Fecha]])</f>
        <v>46300</v>
      </c>
      <c r="G5403">
        <v>1007222843</v>
      </c>
      <c r="H5403" t="s">
        <v>637</v>
      </c>
      <c r="I5403">
        <v>-1</v>
      </c>
      <c r="J5403">
        <v>0</v>
      </c>
      <c r="K5403" s="1">
        <v>-109202</v>
      </c>
    </row>
    <row r="5404" spans="1:11" x14ac:dyDescent="0.25">
      <c r="A5404" t="s">
        <v>326</v>
      </c>
      <c r="B5404" t="s">
        <v>852</v>
      </c>
      <c r="C5404" t="s">
        <v>870</v>
      </c>
      <c r="D5404" t="s">
        <v>14</v>
      </c>
      <c r="E5404">
        <v>6</v>
      </c>
      <c r="F5404" s="2">
        <f>DATE(2026,IF(Tabla1[[#This Row],[Mes de Fecha]]="Septiembre",9,10),Tabla1[[#This Row],[Día de Fecha]])</f>
        <v>46301</v>
      </c>
      <c r="I5404">
        <v>0</v>
      </c>
      <c r="J5404" s="1">
        <v>5561048</v>
      </c>
      <c r="K5404">
        <v>0</v>
      </c>
    </row>
    <row r="5405" spans="1:11" x14ac:dyDescent="0.25">
      <c r="A5405" t="s">
        <v>326</v>
      </c>
      <c r="B5405" t="s">
        <v>852</v>
      </c>
      <c r="C5405" t="s">
        <v>870</v>
      </c>
      <c r="D5405" t="s">
        <v>14</v>
      </c>
      <c r="E5405">
        <v>6</v>
      </c>
      <c r="F5405" s="2">
        <f>DATE(2026,IF(Tabla1[[#This Row],[Mes de Fecha]]="Septiembre",9,10),Tabla1[[#This Row],[Día de Fecha]])</f>
        <v>46301</v>
      </c>
      <c r="G5405">
        <v>1000759550</v>
      </c>
      <c r="H5405" t="s">
        <v>853</v>
      </c>
      <c r="I5405">
        <v>22</v>
      </c>
      <c r="J5405">
        <v>0</v>
      </c>
      <c r="K5405" s="1">
        <v>1299414</v>
      </c>
    </row>
    <row r="5406" spans="1:11" x14ac:dyDescent="0.25">
      <c r="A5406" t="s">
        <v>326</v>
      </c>
      <c r="B5406" t="s">
        <v>852</v>
      </c>
      <c r="C5406" t="s">
        <v>870</v>
      </c>
      <c r="D5406" t="s">
        <v>14</v>
      </c>
      <c r="E5406">
        <v>6</v>
      </c>
      <c r="F5406" s="2">
        <f>DATE(2026,IF(Tabla1[[#This Row],[Mes de Fecha]]="Septiembre",9,10),Tabla1[[#This Row],[Día de Fecha]])</f>
        <v>46301</v>
      </c>
      <c r="G5406">
        <v>1001653261</v>
      </c>
      <c r="H5406" t="s">
        <v>647</v>
      </c>
      <c r="I5406">
        <v>-1</v>
      </c>
      <c r="J5406">
        <v>0</v>
      </c>
      <c r="K5406" s="1">
        <v>-109202</v>
      </c>
    </row>
    <row r="5407" spans="1:11" x14ac:dyDescent="0.25">
      <c r="A5407" t="s">
        <v>326</v>
      </c>
      <c r="B5407" t="s">
        <v>852</v>
      </c>
      <c r="C5407" t="s">
        <v>870</v>
      </c>
      <c r="D5407" t="s">
        <v>14</v>
      </c>
      <c r="E5407">
        <v>6</v>
      </c>
      <c r="F5407" s="2">
        <f>DATE(2026,IF(Tabla1[[#This Row],[Mes de Fecha]]="Septiembre",9,10),Tabla1[[#This Row],[Día de Fecha]])</f>
        <v>46301</v>
      </c>
      <c r="G5407">
        <v>1007390161</v>
      </c>
      <c r="H5407" t="s">
        <v>743</v>
      </c>
      <c r="I5407">
        <v>-1</v>
      </c>
      <c r="J5407">
        <v>0</v>
      </c>
      <c r="K5407" s="1">
        <v>-79790</v>
      </c>
    </row>
    <row r="5408" spans="1:11" x14ac:dyDescent="0.25">
      <c r="A5408" t="s">
        <v>326</v>
      </c>
      <c r="B5408" t="s">
        <v>852</v>
      </c>
      <c r="C5408" t="s">
        <v>870</v>
      </c>
      <c r="D5408" t="s">
        <v>14</v>
      </c>
      <c r="E5408">
        <v>6</v>
      </c>
      <c r="F5408" s="2">
        <f>DATE(2026,IF(Tabla1[[#This Row],[Mes de Fecha]]="Septiembre",9,10),Tabla1[[#This Row],[Día de Fecha]])</f>
        <v>46301</v>
      </c>
      <c r="G5408">
        <v>1023522382</v>
      </c>
      <c r="H5408" t="s">
        <v>855</v>
      </c>
      <c r="I5408">
        <v>-1</v>
      </c>
      <c r="J5408">
        <v>0</v>
      </c>
      <c r="K5408" s="1">
        <v>-151177</v>
      </c>
    </row>
    <row r="5409" spans="1:11" x14ac:dyDescent="0.25">
      <c r="A5409" t="s">
        <v>326</v>
      </c>
      <c r="B5409" t="s">
        <v>852</v>
      </c>
      <c r="C5409" t="s">
        <v>870</v>
      </c>
      <c r="D5409" t="s">
        <v>14</v>
      </c>
      <c r="E5409">
        <v>6</v>
      </c>
      <c r="F5409" s="2">
        <f>DATE(2026,IF(Tabla1[[#This Row],[Mes de Fecha]]="Septiembre",9,10),Tabla1[[#This Row],[Día de Fecha]])</f>
        <v>46301</v>
      </c>
      <c r="G5409">
        <v>1067856384</v>
      </c>
      <c r="H5409" t="s">
        <v>758</v>
      </c>
      <c r="I5409">
        <v>46</v>
      </c>
      <c r="J5409">
        <v>0</v>
      </c>
      <c r="K5409" s="1">
        <v>3020970</v>
      </c>
    </row>
    <row r="5410" spans="1:11" x14ac:dyDescent="0.25">
      <c r="A5410" t="s">
        <v>326</v>
      </c>
      <c r="B5410" t="s">
        <v>852</v>
      </c>
      <c r="C5410" t="s">
        <v>870</v>
      </c>
      <c r="D5410" t="s">
        <v>14</v>
      </c>
      <c r="E5410">
        <v>7</v>
      </c>
      <c r="F5410" s="2">
        <f>DATE(2026,IF(Tabla1[[#This Row],[Mes de Fecha]]="Septiembre",9,10),Tabla1[[#This Row],[Día de Fecha]])</f>
        <v>46302</v>
      </c>
      <c r="I5410">
        <v>0</v>
      </c>
      <c r="J5410" s="1">
        <v>5487877</v>
      </c>
      <c r="K5410">
        <v>0</v>
      </c>
    </row>
    <row r="5411" spans="1:11" x14ac:dyDescent="0.25">
      <c r="A5411" t="s">
        <v>326</v>
      </c>
      <c r="B5411" t="s">
        <v>852</v>
      </c>
      <c r="C5411" t="s">
        <v>870</v>
      </c>
      <c r="D5411" t="s">
        <v>14</v>
      </c>
      <c r="E5411">
        <v>7</v>
      </c>
      <c r="F5411" s="2">
        <f>DATE(2026,IF(Tabla1[[#This Row],[Mes de Fecha]]="Septiembre",9,10),Tabla1[[#This Row],[Día de Fecha]])</f>
        <v>46302</v>
      </c>
      <c r="G5411">
        <v>1000759550</v>
      </c>
      <c r="H5411" t="s">
        <v>853</v>
      </c>
      <c r="I5411">
        <v>43</v>
      </c>
      <c r="J5411">
        <v>0</v>
      </c>
      <c r="K5411" s="1">
        <v>2443068</v>
      </c>
    </row>
    <row r="5412" spans="1:11" x14ac:dyDescent="0.25">
      <c r="A5412" t="s">
        <v>326</v>
      </c>
      <c r="B5412" t="s">
        <v>852</v>
      </c>
      <c r="C5412" t="s">
        <v>870</v>
      </c>
      <c r="D5412" t="s">
        <v>14</v>
      </c>
      <c r="E5412">
        <v>7</v>
      </c>
      <c r="F5412" s="2">
        <f>DATE(2026,IF(Tabla1[[#This Row],[Mes de Fecha]]="Septiembre",9,10),Tabla1[[#This Row],[Día de Fecha]])</f>
        <v>46302</v>
      </c>
      <c r="G5412">
        <v>1067856384</v>
      </c>
      <c r="H5412" t="s">
        <v>758</v>
      </c>
      <c r="I5412">
        <v>24</v>
      </c>
      <c r="J5412">
        <v>0</v>
      </c>
      <c r="K5412" s="1">
        <v>992521</v>
      </c>
    </row>
    <row r="5413" spans="1:11" x14ac:dyDescent="0.25">
      <c r="A5413" t="s">
        <v>9</v>
      </c>
      <c r="B5413" t="s">
        <v>47</v>
      </c>
      <c r="C5413" t="s">
        <v>871</v>
      </c>
      <c r="D5413" t="s">
        <v>11</v>
      </c>
      <c r="E5413">
        <v>23</v>
      </c>
      <c r="F5413" s="2">
        <f>DATE(2026,IF(Tabla1[[#This Row],[Mes de Fecha]]="Septiembre",9,10),Tabla1[[#This Row],[Día de Fecha]])</f>
        <v>46288</v>
      </c>
      <c r="I5413">
        <v>0</v>
      </c>
      <c r="J5413" s="1">
        <v>2330974</v>
      </c>
      <c r="K5413">
        <v>0</v>
      </c>
    </row>
    <row r="5414" spans="1:11" x14ac:dyDescent="0.25">
      <c r="A5414" t="s">
        <v>9</v>
      </c>
      <c r="B5414" t="s">
        <v>47</v>
      </c>
      <c r="C5414" t="s">
        <v>871</v>
      </c>
      <c r="D5414" t="s">
        <v>11</v>
      </c>
      <c r="E5414">
        <v>23</v>
      </c>
      <c r="F5414" s="2">
        <f>DATE(2026,IF(Tabla1[[#This Row],[Mes de Fecha]]="Septiembre",9,10),Tabla1[[#This Row],[Día de Fecha]])</f>
        <v>46288</v>
      </c>
      <c r="G5414">
        <v>16899901</v>
      </c>
      <c r="H5414" t="s">
        <v>48</v>
      </c>
      <c r="I5414">
        <v>47</v>
      </c>
      <c r="J5414">
        <v>0</v>
      </c>
      <c r="K5414" s="1">
        <v>2825802</v>
      </c>
    </row>
    <row r="5415" spans="1:11" x14ac:dyDescent="0.25">
      <c r="A5415" t="s">
        <v>9</v>
      </c>
      <c r="B5415" t="s">
        <v>47</v>
      </c>
      <c r="C5415" t="s">
        <v>871</v>
      </c>
      <c r="D5415" t="s">
        <v>11</v>
      </c>
      <c r="E5415">
        <v>24</v>
      </c>
      <c r="F5415" s="2">
        <f>DATE(2026,IF(Tabla1[[#This Row],[Mes de Fecha]]="Septiembre",9,10),Tabla1[[#This Row],[Día de Fecha]])</f>
        <v>46289</v>
      </c>
      <c r="I5415">
        <v>0</v>
      </c>
      <c r="J5415" s="1">
        <v>6028348</v>
      </c>
      <c r="K5415">
        <v>0</v>
      </c>
    </row>
    <row r="5416" spans="1:11" x14ac:dyDescent="0.25">
      <c r="A5416" t="s">
        <v>9</v>
      </c>
      <c r="B5416" t="s">
        <v>47</v>
      </c>
      <c r="C5416" t="s">
        <v>871</v>
      </c>
      <c r="D5416" t="s">
        <v>11</v>
      </c>
      <c r="E5416">
        <v>24</v>
      </c>
      <c r="F5416" s="2">
        <f>DATE(2026,IF(Tabla1[[#This Row],[Mes de Fecha]]="Septiembre",9,10),Tabla1[[#This Row],[Día de Fecha]])</f>
        <v>46289</v>
      </c>
      <c r="G5416">
        <v>16899901</v>
      </c>
      <c r="H5416" t="s">
        <v>48</v>
      </c>
      <c r="I5416">
        <v>76</v>
      </c>
      <c r="J5416">
        <v>0</v>
      </c>
      <c r="K5416" s="1">
        <v>4879164</v>
      </c>
    </row>
    <row r="5417" spans="1:11" x14ac:dyDescent="0.25">
      <c r="A5417" t="s">
        <v>9</v>
      </c>
      <c r="B5417" t="s">
        <v>47</v>
      </c>
      <c r="C5417" t="s">
        <v>871</v>
      </c>
      <c r="D5417" t="s">
        <v>11</v>
      </c>
      <c r="E5417">
        <v>25</v>
      </c>
      <c r="F5417" s="2">
        <f>DATE(2026,IF(Tabla1[[#This Row],[Mes de Fecha]]="Septiembre",9,10),Tabla1[[#This Row],[Día de Fecha]])</f>
        <v>46290</v>
      </c>
      <c r="I5417">
        <v>0</v>
      </c>
      <c r="J5417" s="1">
        <v>6438605</v>
      </c>
      <c r="K5417">
        <v>0</v>
      </c>
    </row>
    <row r="5418" spans="1:11" x14ac:dyDescent="0.25">
      <c r="A5418" t="s">
        <v>9</v>
      </c>
      <c r="B5418" t="s">
        <v>47</v>
      </c>
      <c r="C5418" t="s">
        <v>871</v>
      </c>
      <c r="D5418" t="s">
        <v>11</v>
      </c>
      <c r="E5418">
        <v>25</v>
      </c>
      <c r="F5418" s="2">
        <f>DATE(2026,IF(Tabla1[[#This Row],[Mes de Fecha]]="Septiembre",9,10),Tabla1[[#This Row],[Día de Fecha]])</f>
        <v>46290</v>
      </c>
      <c r="G5418">
        <v>16899901</v>
      </c>
      <c r="H5418" t="s">
        <v>48</v>
      </c>
      <c r="I5418">
        <v>88</v>
      </c>
      <c r="J5418">
        <v>0</v>
      </c>
      <c r="K5418" s="1">
        <v>4464798</v>
      </c>
    </row>
    <row r="5419" spans="1:11" x14ac:dyDescent="0.25">
      <c r="A5419" t="s">
        <v>9</v>
      </c>
      <c r="B5419" t="s">
        <v>47</v>
      </c>
      <c r="C5419" t="s">
        <v>871</v>
      </c>
      <c r="D5419" t="s">
        <v>11</v>
      </c>
      <c r="E5419">
        <v>26</v>
      </c>
      <c r="F5419" s="2">
        <f>DATE(2026,IF(Tabla1[[#This Row],[Mes de Fecha]]="Septiembre",9,10),Tabla1[[#This Row],[Día de Fecha]])</f>
        <v>46291</v>
      </c>
      <c r="I5419">
        <v>0</v>
      </c>
      <c r="J5419" s="1">
        <v>8118919</v>
      </c>
      <c r="K5419">
        <v>0</v>
      </c>
    </row>
    <row r="5420" spans="1:11" x14ac:dyDescent="0.25">
      <c r="A5420" t="s">
        <v>9</v>
      </c>
      <c r="B5420" t="s">
        <v>47</v>
      </c>
      <c r="C5420" t="s">
        <v>871</v>
      </c>
      <c r="D5420" t="s">
        <v>11</v>
      </c>
      <c r="E5420">
        <v>26</v>
      </c>
      <c r="F5420" s="2">
        <f>DATE(2026,IF(Tabla1[[#This Row],[Mes de Fecha]]="Septiembre",9,10),Tabla1[[#This Row],[Día de Fecha]])</f>
        <v>46291</v>
      </c>
      <c r="G5420">
        <v>16899901</v>
      </c>
      <c r="H5420" t="s">
        <v>48</v>
      </c>
      <c r="I5420">
        <v>136</v>
      </c>
      <c r="J5420">
        <v>0</v>
      </c>
      <c r="K5420" s="1">
        <v>7046567</v>
      </c>
    </row>
    <row r="5421" spans="1:11" x14ac:dyDescent="0.25">
      <c r="A5421" t="s">
        <v>9</v>
      </c>
      <c r="B5421" t="s">
        <v>47</v>
      </c>
      <c r="C5421" t="s">
        <v>871</v>
      </c>
      <c r="D5421" t="s">
        <v>11</v>
      </c>
      <c r="E5421">
        <v>27</v>
      </c>
      <c r="F5421" s="2">
        <f>DATE(2026,IF(Tabla1[[#This Row],[Mes de Fecha]]="Septiembre",9,10),Tabla1[[#This Row],[Día de Fecha]])</f>
        <v>46292</v>
      </c>
      <c r="I5421">
        <v>0</v>
      </c>
      <c r="J5421" s="1">
        <v>4286708</v>
      </c>
      <c r="K5421">
        <v>0</v>
      </c>
    </row>
    <row r="5422" spans="1:11" x14ac:dyDescent="0.25">
      <c r="A5422" t="s">
        <v>9</v>
      </c>
      <c r="B5422" t="s">
        <v>47</v>
      </c>
      <c r="C5422" t="s">
        <v>871</v>
      </c>
      <c r="D5422" t="s">
        <v>11</v>
      </c>
      <c r="E5422">
        <v>27</v>
      </c>
      <c r="F5422" s="2">
        <f>DATE(2026,IF(Tabla1[[#This Row],[Mes de Fecha]]="Septiembre",9,10),Tabla1[[#This Row],[Día de Fecha]])</f>
        <v>46292</v>
      </c>
      <c r="G5422">
        <v>16899901</v>
      </c>
      <c r="H5422" t="s">
        <v>48</v>
      </c>
      <c r="I5422">
        <v>56</v>
      </c>
      <c r="J5422">
        <v>0</v>
      </c>
      <c r="K5422" s="1">
        <v>3041223</v>
      </c>
    </row>
    <row r="5423" spans="1:11" x14ac:dyDescent="0.25">
      <c r="A5423" t="s">
        <v>9</v>
      </c>
      <c r="B5423" t="s">
        <v>47</v>
      </c>
      <c r="C5423" t="s">
        <v>871</v>
      </c>
      <c r="D5423" t="s">
        <v>11</v>
      </c>
      <c r="E5423">
        <v>28</v>
      </c>
      <c r="F5423" s="2">
        <f>DATE(2026,IF(Tabla1[[#This Row],[Mes de Fecha]]="Septiembre",9,10),Tabla1[[#This Row],[Día de Fecha]])</f>
        <v>46293</v>
      </c>
      <c r="I5423">
        <v>0</v>
      </c>
      <c r="J5423" s="1">
        <v>3514636</v>
      </c>
      <c r="K5423">
        <v>0</v>
      </c>
    </row>
    <row r="5424" spans="1:11" x14ac:dyDescent="0.25">
      <c r="A5424" t="s">
        <v>9</v>
      </c>
      <c r="B5424" t="s">
        <v>47</v>
      </c>
      <c r="C5424" t="s">
        <v>871</v>
      </c>
      <c r="D5424" t="s">
        <v>11</v>
      </c>
      <c r="E5424">
        <v>28</v>
      </c>
      <c r="F5424" s="2">
        <f>DATE(2026,IF(Tabla1[[#This Row],[Mes de Fecha]]="Septiembre",9,10),Tabla1[[#This Row],[Día de Fecha]])</f>
        <v>46293</v>
      </c>
      <c r="G5424">
        <v>16899901</v>
      </c>
      <c r="H5424" t="s">
        <v>48</v>
      </c>
      <c r="I5424">
        <v>82</v>
      </c>
      <c r="J5424">
        <v>0</v>
      </c>
      <c r="K5424" s="1">
        <v>4376346</v>
      </c>
    </row>
    <row r="5425" spans="1:11" x14ac:dyDescent="0.25">
      <c r="A5425" t="s">
        <v>9</v>
      </c>
      <c r="B5425" t="s">
        <v>47</v>
      </c>
      <c r="C5425" t="s">
        <v>871</v>
      </c>
      <c r="D5425" t="s">
        <v>11</v>
      </c>
      <c r="E5425">
        <v>29</v>
      </c>
      <c r="F5425" s="2">
        <f>DATE(2026,IF(Tabla1[[#This Row],[Mes de Fecha]]="Septiembre",9,10),Tabla1[[#This Row],[Día de Fecha]])</f>
        <v>46294</v>
      </c>
      <c r="I5425">
        <v>0</v>
      </c>
      <c r="J5425" s="1">
        <v>3907236</v>
      </c>
      <c r="K5425">
        <v>0</v>
      </c>
    </row>
    <row r="5426" spans="1:11" x14ac:dyDescent="0.25">
      <c r="A5426" t="s">
        <v>9</v>
      </c>
      <c r="B5426" t="s">
        <v>47</v>
      </c>
      <c r="C5426" t="s">
        <v>871</v>
      </c>
      <c r="D5426" t="s">
        <v>11</v>
      </c>
      <c r="E5426">
        <v>29</v>
      </c>
      <c r="F5426" s="2">
        <f>DATE(2026,IF(Tabla1[[#This Row],[Mes de Fecha]]="Septiembre",9,10),Tabla1[[#This Row],[Día de Fecha]])</f>
        <v>46294</v>
      </c>
      <c r="G5426">
        <v>16899901</v>
      </c>
      <c r="H5426" t="s">
        <v>48</v>
      </c>
      <c r="I5426">
        <v>68</v>
      </c>
      <c r="J5426">
        <v>0</v>
      </c>
      <c r="K5426" s="1">
        <v>3463327</v>
      </c>
    </row>
    <row r="5427" spans="1:11" x14ac:dyDescent="0.25">
      <c r="A5427" t="s">
        <v>9</v>
      </c>
      <c r="B5427" t="s">
        <v>47</v>
      </c>
      <c r="C5427" t="s">
        <v>871</v>
      </c>
      <c r="D5427" t="s">
        <v>11</v>
      </c>
      <c r="E5427">
        <v>30</v>
      </c>
      <c r="F5427" s="2">
        <f>DATE(2026,IF(Tabla1[[#This Row],[Mes de Fecha]]="Septiembre",9,10),Tabla1[[#This Row],[Día de Fecha]])</f>
        <v>46295</v>
      </c>
      <c r="I5427">
        <v>0</v>
      </c>
      <c r="J5427" s="1">
        <v>4137887</v>
      </c>
      <c r="K5427">
        <v>0</v>
      </c>
    </row>
    <row r="5428" spans="1:11" x14ac:dyDescent="0.25">
      <c r="A5428" t="s">
        <v>9</v>
      </c>
      <c r="B5428" t="s">
        <v>47</v>
      </c>
      <c r="C5428" t="s">
        <v>871</v>
      </c>
      <c r="D5428" t="s">
        <v>11</v>
      </c>
      <c r="E5428">
        <v>30</v>
      </c>
      <c r="F5428" s="2">
        <f>DATE(2026,IF(Tabla1[[#This Row],[Mes de Fecha]]="Septiembre",9,10),Tabla1[[#This Row],[Día de Fecha]])</f>
        <v>46295</v>
      </c>
      <c r="G5428">
        <v>16899901</v>
      </c>
      <c r="H5428" t="s">
        <v>48</v>
      </c>
      <c r="I5428">
        <v>64</v>
      </c>
      <c r="J5428">
        <v>0</v>
      </c>
      <c r="K5428" s="1">
        <v>3505550</v>
      </c>
    </row>
    <row r="5429" spans="1:11" x14ac:dyDescent="0.25">
      <c r="A5429" t="s">
        <v>9</v>
      </c>
      <c r="B5429" t="s">
        <v>47</v>
      </c>
      <c r="C5429" t="s">
        <v>871</v>
      </c>
      <c r="D5429" t="s">
        <v>14</v>
      </c>
      <c r="E5429">
        <v>1</v>
      </c>
      <c r="F5429" s="2">
        <f>DATE(2026,IF(Tabla1[[#This Row],[Mes de Fecha]]="Septiembre",9,10),Tabla1[[#This Row],[Día de Fecha]])</f>
        <v>46296</v>
      </c>
      <c r="I5429">
        <v>0</v>
      </c>
      <c r="J5429" s="1">
        <v>3180409</v>
      </c>
      <c r="K5429">
        <v>0</v>
      </c>
    </row>
    <row r="5430" spans="1:11" x14ac:dyDescent="0.25">
      <c r="A5430" t="s">
        <v>9</v>
      </c>
      <c r="B5430" t="s">
        <v>47</v>
      </c>
      <c r="C5430" t="s">
        <v>871</v>
      </c>
      <c r="D5430" t="s">
        <v>14</v>
      </c>
      <c r="E5430">
        <v>1</v>
      </c>
      <c r="F5430" s="2">
        <f>DATE(2026,IF(Tabla1[[#This Row],[Mes de Fecha]]="Septiembre",9,10),Tabla1[[#This Row],[Día de Fecha]])</f>
        <v>46296</v>
      </c>
      <c r="G5430">
        <v>16899901</v>
      </c>
      <c r="H5430" t="s">
        <v>48</v>
      </c>
      <c r="I5430">
        <v>84</v>
      </c>
      <c r="J5430">
        <v>0</v>
      </c>
      <c r="K5430" s="1">
        <v>4769206</v>
      </c>
    </row>
    <row r="5431" spans="1:11" x14ac:dyDescent="0.25">
      <c r="A5431" t="s">
        <v>9</v>
      </c>
      <c r="B5431" t="s">
        <v>47</v>
      </c>
      <c r="C5431" t="s">
        <v>871</v>
      </c>
      <c r="D5431" t="s">
        <v>14</v>
      </c>
      <c r="E5431">
        <v>2</v>
      </c>
      <c r="F5431" s="2">
        <f>DATE(2026,IF(Tabla1[[#This Row],[Mes de Fecha]]="Septiembre",9,10),Tabla1[[#This Row],[Día de Fecha]])</f>
        <v>46297</v>
      </c>
      <c r="I5431">
        <v>0</v>
      </c>
      <c r="J5431" s="1">
        <v>3053406</v>
      </c>
      <c r="K5431">
        <v>0</v>
      </c>
    </row>
    <row r="5432" spans="1:11" x14ac:dyDescent="0.25">
      <c r="A5432" t="s">
        <v>9</v>
      </c>
      <c r="B5432" t="s">
        <v>47</v>
      </c>
      <c r="C5432" t="s">
        <v>871</v>
      </c>
      <c r="D5432" t="s">
        <v>14</v>
      </c>
      <c r="E5432">
        <v>2</v>
      </c>
      <c r="F5432" s="2">
        <f>DATE(2026,IF(Tabla1[[#This Row],[Mes de Fecha]]="Septiembre",9,10),Tabla1[[#This Row],[Día de Fecha]])</f>
        <v>46297</v>
      </c>
      <c r="G5432">
        <v>16899901</v>
      </c>
      <c r="H5432" t="s">
        <v>48</v>
      </c>
      <c r="I5432">
        <v>65</v>
      </c>
      <c r="J5432">
        <v>0</v>
      </c>
      <c r="K5432" s="1">
        <v>3633614</v>
      </c>
    </row>
    <row r="5433" spans="1:11" x14ac:dyDescent="0.25">
      <c r="A5433" t="s">
        <v>9</v>
      </c>
      <c r="B5433" t="s">
        <v>47</v>
      </c>
      <c r="C5433" t="s">
        <v>871</v>
      </c>
      <c r="D5433" t="s">
        <v>14</v>
      </c>
      <c r="E5433">
        <v>3</v>
      </c>
      <c r="F5433" s="2">
        <f>DATE(2026,IF(Tabla1[[#This Row],[Mes de Fecha]]="Septiembre",9,10),Tabla1[[#This Row],[Día de Fecha]])</f>
        <v>46298</v>
      </c>
      <c r="I5433">
        <v>0</v>
      </c>
      <c r="J5433" s="1">
        <v>6553668</v>
      </c>
      <c r="K5433">
        <v>0</v>
      </c>
    </row>
    <row r="5434" spans="1:11" x14ac:dyDescent="0.25">
      <c r="A5434" t="s">
        <v>9</v>
      </c>
      <c r="B5434" t="s">
        <v>47</v>
      </c>
      <c r="C5434" t="s">
        <v>871</v>
      </c>
      <c r="D5434" t="s">
        <v>14</v>
      </c>
      <c r="E5434">
        <v>3</v>
      </c>
      <c r="F5434" s="2">
        <f>DATE(2026,IF(Tabla1[[#This Row],[Mes de Fecha]]="Septiembre",9,10),Tabla1[[#This Row],[Día de Fecha]])</f>
        <v>46298</v>
      </c>
      <c r="G5434">
        <v>16899901</v>
      </c>
      <c r="H5434" t="s">
        <v>48</v>
      </c>
      <c r="I5434">
        <v>172</v>
      </c>
      <c r="J5434">
        <v>0</v>
      </c>
      <c r="K5434" s="1">
        <v>9153714</v>
      </c>
    </row>
    <row r="5435" spans="1:11" x14ac:dyDescent="0.25">
      <c r="A5435" t="s">
        <v>9</v>
      </c>
      <c r="B5435" t="s">
        <v>47</v>
      </c>
      <c r="C5435" t="s">
        <v>871</v>
      </c>
      <c r="D5435" t="s">
        <v>14</v>
      </c>
      <c r="E5435">
        <v>4</v>
      </c>
      <c r="F5435" s="2">
        <f>DATE(2026,IF(Tabla1[[#This Row],[Mes de Fecha]]="Septiembre",9,10),Tabla1[[#This Row],[Día de Fecha]])</f>
        <v>46299</v>
      </c>
      <c r="I5435">
        <v>0</v>
      </c>
      <c r="J5435" s="1">
        <v>3951542</v>
      </c>
      <c r="K5435">
        <v>0</v>
      </c>
    </row>
    <row r="5436" spans="1:11" x14ac:dyDescent="0.25">
      <c r="A5436" t="s">
        <v>9</v>
      </c>
      <c r="B5436" t="s">
        <v>47</v>
      </c>
      <c r="C5436" t="s">
        <v>871</v>
      </c>
      <c r="D5436" t="s">
        <v>14</v>
      </c>
      <c r="E5436">
        <v>4</v>
      </c>
      <c r="F5436" s="2">
        <f>DATE(2026,IF(Tabla1[[#This Row],[Mes de Fecha]]="Septiembre",9,10),Tabla1[[#This Row],[Día de Fecha]])</f>
        <v>46299</v>
      </c>
      <c r="G5436">
        <v>16899901</v>
      </c>
      <c r="H5436" t="s">
        <v>48</v>
      </c>
      <c r="I5436">
        <v>106</v>
      </c>
      <c r="J5436">
        <v>0</v>
      </c>
      <c r="K5436" s="1">
        <v>6196725</v>
      </c>
    </row>
    <row r="5437" spans="1:11" x14ac:dyDescent="0.25">
      <c r="A5437" t="s">
        <v>9</v>
      </c>
      <c r="B5437" t="s">
        <v>47</v>
      </c>
      <c r="C5437" t="s">
        <v>871</v>
      </c>
      <c r="D5437" t="s">
        <v>14</v>
      </c>
      <c r="E5437">
        <v>5</v>
      </c>
      <c r="F5437" s="2">
        <f>DATE(2026,IF(Tabla1[[#This Row],[Mes de Fecha]]="Septiembre",9,10),Tabla1[[#This Row],[Día de Fecha]])</f>
        <v>46300</v>
      </c>
      <c r="I5437">
        <v>0</v>
      </c>
      <c r="J5437" s="1">
        <v>4820472</v>
      </c>
      <c r="K5437">
        <v>0</v>
      </c>
    </row>
    <row r="5438" spans="1:11" x14ac:dyDescent="0.25">
      <c r="A5438" t="s">
        <v>9</v>
      </c>
      <c r="B5438" t="s">
        <v>47</v>
      </c>
      <c r="C5438" t="s">
        <v>871</v>
      </c>
      <c r="D5438" t="s">
        <v>14</v>
      </c>
      <c r="E5438">
        <v>5</v>
      </c>
      <c r="F5438" s="2">
        <f>DATE(2026,IF(Tabla1[[#This Row],[Mes de Fecha]]="Septiembre",9,10),Tabla1[[#This Row],[Día de Fecha]])</f>
        <v>46300</v>
      </c>
      <c r="G5438">
        <v>16899901</v>
      </c>
      <c r="H5438" t="s">
        <v>48</v>
      </c>
      <c r="I5438">
        <v>5</v>
      </c>
      <c r="J5438">
        <v>0</v>
      </c>
      <c r="K5438" s="1">
        <v>180421</v>
      </c>
    </row>
    <row r="5439" spans="1:11" x14ac:dyDescent="0.25">
      <c r="A5439" t="s">
        <v>9</v>
      </c>
      <c r="B5439" t="s">
        <v>47</v>
      </c>
      <c r="C5439" t="s">
        <v>871</v>
      </c>
      <c r="D5439" t="s">
        <v>14</v>
      </c>
      <c r="E5439">
        <v>6</v>
      </c>
      <c r="F5439" s="2">
        <f>DATE(2026,IF(Tabla1[[#This Row],[Mes de Fecha]]="Septiembre",9,10),Tabla1[[#This Row],[Día de Fecha]])</f>
        <v>46301</v>
      </c>
      <c r="I5439">
        <v>0</v>
      </c>
      <c r="J5439" s="1">
        <v>2679190</v>
      </c>
      <c r="K5439">
        <v>0</v>
      </c>
    </row>
    <row r="5440" spans="1:11" x14ac:dyDescent="0.25">
      <c r="A5440" t="s">
        <v>9</v>
      </c>
      <c r="B5440" t="s">
        <v>47</v>
      </c>
      <c r="C5440" t="s">
        <v>871</v>
      </c>
      <c r="D5440" t="s">
        <v>14</v>
      </c>
      <c r="E5440">
        <v>6</v>
      </c>
      <c r="F5440" s="2">
        <f>DATE(2026,IF(Tabla1[[#This Row],[Mes de Fecha]]="Septiembre",9,10),Tabla1[[#This Row],[Día de Fecha]])</f>
        <v>46301</v>
      </c>
      <c r="G5440">
        <v>16899901</v>
      </c>
      <c r="H5440" t="s">
        <v>48</v>
      </c>
      <c r="I5440">
        <v>112</v>
      </c>
      <c r="J5440">
        <v>0</v>
      </c>
      <c r="K5440" s="1">
        <v>6171520</v>
      </c>
    </row>
    <row r="5441" spans="1:11" x14ac:dyDescent="0.25">
      <c r="A5441" t="s">
        <v>9</v>
      </c>
      <c r="B5441" t="s">
        <v>47</v>
      </c>
      <c r="C5441" t="s">
        <v>871</v>
      </c>
      <c r="D5441" t="s">
        <v>14</v>
      </c>
      <c r="E5441">
        <v>7</v>
      </c>
      <c r="F5441" s="2">
        <f>DATE(2026,IF(Tabla1[[#This Row],[Mes de Fecha]]="Septiembre",9,10),Tabla1[[#This Row],[Día de Fecha]])</f>
        <v>46302</v>
      </c>
      <c r="I5441">
        <v>0</v>
      </c>
      <c r="J5441" s="1">
        <v>734526</v>
      </c>
      <c r="K5441">
        <v>0</v>
      </c>
    </row>
    <row r="5442" spans="1:11" x14ac:dyDescent="0.25">
      <c r="A5442" t="s">
        <v>9</v>
      </c>
      <c r="B5442" t="s">
        <v>47</v>
      </c>
      <c r="C5442" t="s">
        <v>871</v>
      </c>
      <c r="D5442" t="s">
        <v>14</v>
      </c>
      <c r="E5442">
        <v>7</v>
      </c>
      <c r="F5442" s="2">
        <f>DATE(2026,IF(Tabla1[[#This Row],[Mes de Fecha]]="Septiembre",9,10),Tabla1[[#This Row],[Día de Fecha]])</f>
        <v>46302</v>
      </c>
      <c r="G5442">
        <v>16899901</v>
      </c>
      <c r="H5442" t="s">
        <v>48</v>
      </c>
      <c r="I5442">
        <v>44</v>
      </c>
      <c r="J5442">
        <v>0</v>
      </c>
      <c r="K5442" s="1">
        <v>2216392</v>
      </c>
    </row>
    <row r="5443" spans="1:11" x14ac:dyDescent="0.25">
      <c r="A5443" t="s">
        <v>9</v>
      </c>
      <c r="B5443" t="s">
        <v>141</v>
      </c>
      <c r="C5443" t="s">
        <v>871</v>
      </c>
      <c r="D5443" t="s">
        <v>11</v>
      </c>
      <c r="E5443">
        <v>23</v>
      </c>
      <c r="F5443" s="2">
        <f>DATE(2026,IF(Tabla1[[#This Row],[Mes de Fecha]]="Septiembre",9,10),Tabla1[[#This Row],[Día de Fecha]])</f>
        <v>46288</v>
      </c>
      <c r="I5443">
        <v>0</v>
      </c>
      <c r="J5443" s="1">
        <v>1677854</v>
      </c>
      <c r="K5443">
        <v>0</v>
      </c>
    </row>
    <row r="5444" spans="1:11" x14ac:dyDescent="0.25">
      <c r="A5444" t="s">
        <v>9</v>
      </c>
      <c r="B5444" t="s">
        <v>141</v>
      </c>
      <c r="C5444" t="s">
        <v>871</v>
      </c>
      <c r="D5444" t="s">
        <v>11</v>
      </c>
      <c r="E5444">
        <v>23</v>
      </c>
      <c r="F5444" s="2">
        <f>DATE(2026,IF(Tabla1[[#This Row],[Mes de Fecha]]="Septiembre",9,10),Tabla1[[#This Row],[Día de Fecha]])</f>
        <v>46288</v>
      </c>
      <c r="G5444">
        <v>1113523315</v>
      </c>
      <c r="H5444" t="s">
        <v>142</v>
      </c>
      <c r="I5444">
        <v>40</v>
      </c>
      <c r="J5444">
        <v>0</v>
      </c>
      <c r="K5444" s="1">
        <v>1905884</v>
      </c>
    </row>
    <row r="5445" spans="1:11" x14ac:dyDescent="0.25">
      <c r="A5445" t="s">
        <v>9</v>
      </c>
      <c r="B5445" t="s">
        <v>141</v>
      </c>
      <c r="C5445" t="s">
        <v>871</v>
      </c>
      <c r="D5445" t="s">
        <v>11</v>
      </c>
      <c r="E5445">
        <v>24</v>
      </c>
      <c r="F5445" s="2">
        <f>DATE(2026,IF(Tabla1[[#This Row],[Mes de Fecha]]="Septiembre",9,10),Tabla1[[#This Row],[Día de Fecha]])</f>
        <v>46289</v>
      </c>
      <c r="I5445">
        <v>0</v>
      </c>
      <c r="J5445" s="1">
        <v>4339257</v>
      </c>
      <c r="K5445">
        <v>0</v>
      </c>
    </row>
    <row r="5446" spans="1:11" x14ac:dyDescent="0.25">
      <c r="A5446" t="s">
        <v>9</v>
      </c>
      <c r="B5446" t="s">
        <v>141</v>
      </c>
      <c r="C5446" t="s">
        <v>871</v>
      </c>
      <c r="D5446" t="s">
        <v>11</v>
      </c>
      <c r="E5446">
        <v>24</v>
      </c>
      <c r="F5446" s="2">
        <f>DATE(2026,IF(Tabla1[[#This Row],[Mes de Fecha]]="Septiembre",9,10),Tabla1[[#This Row],[Día de Fecha]])</f>
        <v>46289</v>
      </c>
      <c r="G5446">
        <v>1113523315</v>
      </c>
      <c r="H5446" t="s">
        <v>142</v>
      </c>
      <c r="I5446">
        <v>25</v>
      </c>
      <c r="J5446">
        <v>0</v>
      </c>
      <c r="K5446" s="1">
        <v>1459034</v>
      </c>
    </row>
    <row r="5447" spans="1:11" x14ac:dyDescent="0.25">
      <c r="A5447" t="s">
        <v>9</v>
      </c>
      <c r="B5447" t="s">
        <v>141</v>
      </c>
      <c r="C5447" t="s">
        <v>871</v>
      </c>
      <c r="D5447" t="s">
        <v>11</v>
      </c>
      <c r="E5447">
        <v>25</v>
      </c>
      <c r="F5447" s="2">
        <f>DATE(2026,IF(Tabla1[[#This Row],[Mes de Fecha]]="Septiembre",9,10),Tabla1[[#This Row],[Día de Fecha]])</f>
        <v>46290</v>
      </c>
      <c r="I5447">
        <v>0</v>
      </c>
      <c r="J5447" s="1">
        <v>4634563</v>
      </c>
      <c r="K5447">
        <v>0</v>
      </c>
    </row>
    <row r="5448" spans="1:11" x14ac:dyDescent="0.25">
      <c r="A5448" t="s">
        <v>9</v>
      </c>
      <c r="B5448" t="s">
        <v>141</v>
      </c>
      <c r="C5448" t="s">
        <v>871</v>
      </c>
      <c r="D5448" t="s">
        <v>11</v>
      </c>
      <c r="E5448">
        <v>25</v>
      </c>
      <c r="F5448" s="2">
        <f>DATE(2026,IF(Tabla1[[#This Row],[Mes de Fecha]]="Septiembre",9,10),Tabla1[[#This Row],[Día de Fecha]])</f>
        <v>46290</v>
      </c>
      <c r="G5448">
        <v>16899901</v>
      </c>
      <c r="H5448" t="s">
        <v>48</v>
      </c>
      <c r="I5448">
        <v>-1</v>
      </c>
      <c r="J5448">
        <v>0</v>
      </c>
      <c r="K5448" s="1">
        <v>-75546</v>
      </c>
    </row>
    <row r="5449" spans="1:11" x14ac:dyDescent="0.25">
      <c r="A5449" t="s">
        <v>9</v>
      </c>
      <c r="B5449" t="s">
        <v>141</v>
      </c>
      <c r="C5449" t="s">
        <v>871</v>
      </c>
      <c r="D5449" t="s">
        <v>11</v>
      </c>
      <c r="E5449">
        <v>25</v>
      </c>
      <c r="F5449" s="2">
        <f>DATE(2026,IF(Tabla1[[#This Row],[Mes de Fecha]]="Septiembre",9,10),Tabla1[[#This Row],[Día de Fecha]])</f>
        <v>46290</v>
      </c>
      <c r="G5449">
        <v>16927832</v>
      </c>
      <c r="H5449" t="s">
        <v>143</v>
      </c>
      <c r="I5449">
        <v>58</v>
      </c>
      <c r="J5449">
        <v>0</v>
      </c>
      <c r="K5449" s="1">
        <v>3035382</v>
      </c>
    </row>
    <row r="5450" spans="1:11" x14ac:dyDescent="0.25">
      <c r="A5450" t="s">
        <v>9</v>
      </c>
      <c r="B5450" t="s">
        <v>141</v>
      </c>
      <c r="C5450" t="s">
        <v>871</v>
      </c>
      <c r="D5450" t="s">
        <v>11</v>
      </c>
      <c r="E5450">
        <v>25</v>
      </c>
      <c r="F5450" s="2">
        <f>DATE(2026,IF(Tabla1[[#This Row],[Mes de Fecha]]="Septiembre",9,10),Tabla1[[#This Row],[Día de Fecha]])</f>
        <v>46290</v>
      </c>
      <c r="G5450">
        <v>1113523315</v>
      </c>
      <c r="H5450" t="s">
        <v>142</v>
      </c>
      <c r="I5450">
        <v>4</v>
      </c>
      <c r="J5450">
        <v>0</v>
      </c>
      <c r="K5450" s="1">
        <v>314958</v>
      </c>
    </row>
    <row r="5451" spans="1:11" x14ac:dyDescent="0.25">
      <c r="A5451" t="s">
        <v>9</v>
      </c>
      <c r="B5451" t="s">
        <v>141</v>
      </c>
      <c r="C5451" t="s">
        <v>871</v>
      </c>
      <c r="D5451" t="s">
        <v>11</v>
      </c>
      <c r="E5451">
        <v>25</v>
      </c>
      <c r="F5451" s="2">
        <f>DATE(2026,IF(Tabla1[[#This Row],[Mes de Fecha]]="Septiembre",9,10),Tabla1[[#This Row],[Día de Fecha]])</f>
        <v>46290</v>
      </c>
      <c r="G5451">
        <v>1113702313</v>
      </c>
      <c r="H5451" t="s">
        <v>144</v>
      </c>
      <c r="I5451">
        <v>3</v>
      </c>
      <c r="J5451">
        <v>0</v>
      </c>
      <c r="K5451" s="1">
        <v>159538</v>
      </c>
    </row>
    <row r="5452" spans="1:11" x14ac:dyDescent="0.25">
      <c r="A5452" t="s">
        <v>9</v>
      </c>
      <c r="B5452" t="s">
        <v>141</v>
      </c>
      <c r="C5452" t="s">
        <v>871</v>
      </c>
      <c r="D5452" t="s">
        <v>11</v>
      </c>
      <c r="E5452">
        <v>26</v>
      </c>
      <c r="F5452" s="2">
        <f>DATE(2026,IF(Tabla1[[#This Row],[Mes de Fecha]]="Septiembre",9,10),Tabla1[[#This Row],[Día de Fecha]])</f>
        <v>46291</v>
      </c>
      <c r="I5452">
        <v>0</v>
      </c>
      <c r="J5452" s="1">
        <v>5844066</v>
      </c>
      <c r="K5452">
        <v>0</v>
      </c>
    </row>
    <row r="5453" spans="1:11" x14ac:dyDescent="0.25">
      <c r="A5453" t="s">
        <v>9</v>
      </c>
      <c r="B5453" t="s">
        <v>141</v>
      </c>
      <c r="C5453" t="s">
        <v>871</v>
      </c>
      <c r="D5453" t="s">
        <v>11</v>
      </c>
      <c r="E5453">
        <v>26</v>
      </c>
      <c r="F5453" s="2">
        <f>DATE(2026,IF(Tabla1[[#This Row],[Mes de Fecha]]="Septiembre",9,10),Tabla1[[#This Row],[Día de Fecha]])</f>
        <v>46291</v>
      </c>
      <c r="G5453">
        <v>16927832</v>
      </c>
      <c r="H5453" t="s">
        <v>143</v>
      </c>
      <c r="I5453">
        <v>-1</v>
      </c>
      <c r="J5453">
        <v>0</v>
      </c>
      <c r="K5453" s="1">
        <v>-41975</v>
      </c>
    </row>
    <row r="5454" spans="1:11" x14ac:dyDescent="0.25">
      <c r="A5454" t="s">
        <v>9</v>
      </c>
      <c r="B5454" t="s">
        <v>141</v>
      </c>
      <c r="C5454" t="s">
        <v>871</v>
      </c>
      <c r="D5454" t="s">
        <v>11</v>
      </c>
      <c r="E5454">
        <v>26</v>
      </c>
      <c r="F5454" s="2">
        <f>DATE(2026,IF(Tabla1[[#This Row],[Mes de Fecha]]="Septiembre",9,10),Tabla1[[#This Row],[Día de Fecha]])</f>
        <v>46291</v>
      </c>
      <c r="G5454">
        <v>1113523315</v>
      </c>
      <c r="H5454" t="s">
        <v>142</v>
      </c>
      <c r="I5454">
        <v>66</v>
      </c>
      <c r="J5454">
        <v>0</v>
      </c>
      <c r="K5454" s="1">
        <v>3540930</v>
      </c>
    </row>
    <row r="5455" spans="1:11" x14ac:dyDescent="0.25">
      <c r="A5455" t="s">
        <v>9</v>
      </c>
      <c r="B5455" t="s">
        <v>141</v>
      </c>
      <c r="C5455" t="s">
        <v>871</v>
      </c>
      <c r="D5455" t="s">
        <v>11</v>
      </c>
      <c r="E5455">
        <v>27</v>
      </c>
      <c r="F5455" s="2">
        <f>DATE(2026,IF(Tabla1[[#This Row],[Mes de Fecha]]="Septiembre",9,10),Tabla1[[#This Row],[Día de Fecha]])</f>
        <v>46292</v>
      </c>
      <c r="I5455">
        <v>0</v>
      </c>
      <c r="J5455" s="1">
        <v>3085612</v>
      </c>
      <c r="K5455">
        <v>0</v>
      </c>
    </row>
    <row r="5456" spans="1:11" x14ac:dyDescent="0.25">
      <c r="A5456" t="s">
        <v>9</v>
      </c>
      <c r="B5456" t="s">
        <v>141</v>
      </c>
      <c r="C5456" t="s">
        <v>871</v>
      </c>
      <c r="D5456" t="s">
        <v>11</v>
      </c>
      <c r="E5456">
        <v>27</v>
      </c>
      <c r="F5456" s="2">
        <f>DATE(2026,IF(Tabla1[[#This Row],[Mes de Fecha]]="Septiembre",9,10),Tabla1[[#This Row],[Día de Fecha]])</f>
        <v>46292</v>
      </c>
      <c r="G5456">
        <v>1113523315</v>
      </c>
      <c r="H5456" t="s">
        <v>142</v>
      </c>
      <c r="I5456">
        <v>24</v>
      </c>
      <c r="J5456">
        <v>0</v>
      </c>
      <c r="K5456" s="1">
        <v>939960</v>
      </c>
    </row>
    <row r="5457" spans="1:11" x14ac:dyDescent="0.25">
      <c r="A5457" t="s">
        <v>9</v>
      </c>
      <c r="B5457" t="s">
        <v>141</v>
      </c>
      <c r="C5457" t="s">
        <v>871</v>
      </c>
      <c r="D5457" t="s">
        <v>11</v>
      </c>
      <c r="E5457">
        <v>28</v>
      </c>
      <c r="F5457" s="2">
        <f>DATE(2026,IF(Tabla1[[#This Row],[Mes de Fecha]]="Septiembre",9,10),Tabla1[[#This Row],[Día de Fecha]])</f>
        <v>46293</v>
      </c>
      <c r="I5457">
        <v>0</v>
      </c>
      <c r="J5457" s="1">
        <v>2529866</v>
      </c>
      <c r="K5457">
        <v>0</v>
      </c>
    </row>
    <row r="5458" spans="1:11" x14ac:dyDescent="0.25">
      <c r="A5458" t="s">
        <v>9</v>
      </c>
      <c r="B5458" t="s">
        <v>141</v>
      </c>
      <c r="C5458" t="s">
        <v>871</v>
      </c>
      <c r="D5458" t="s">
        <v>11</v>
      </c>
      <c r="E5458">
        <v>28</v>
      </c>
      <c r="F5458" s="2">
        <f>DATE(2026,IF(Tabla1[[#This Row],[Mes de Fecha]]="Septiembre",9,10),Tabla1[[#This Row],[Día de Fecha]])</f>
        <v>46293</v>
      </c>
      <c r="G5458">
        <v>1113523315</v>
      </c>
      <c r="H5458" t="s">
        <v>142</v>
      </c>
      <c r="I5458">
        <v>90</v>
      </c>
      <c r="J5458">
        <v>0</v>
      </c>
      <c r="K5458" s="1">
        <v>4059962</v>
      </c>
    </row>
    <row r="5459" spans="1:11" x14ac:dyDescent="0.25">
      <c r="A5459" t="s">
        <v>9</v>
      </c>
      <c r="B5459" t="s">
        <v>141</v>
      </c>
      <c r="C5459" t="s">
        <v>871</v>
      </c>
      <c r="D5459" t="s">
        <v>11</v>
      </c>
      <c r="E5459">
        <v>29</v>
      </c>
      <c r="F5459" s="2">
        <f>DATE(2026,IF(Tabla1[[#This Row],[Mes de Fecha]]="Septiembre",9,10),Tabla1[[#This Row],[Día de Fecha]])</f>
        <v>46294</v>
      </c>
      <c r="I5459">
        <v>0</v>
      </c>
      <c r="J5459" s="1">
        <v>2812466</v>
      </c>
      <c r="K5459">
        <v>0</v>
      </c>
    </row>
    <row r="5460" spans="1:11" x14ac:dyDescent="0.25">
      <c r="A5460" t="s">
        <v>9</v>
      </c>
      <c r="B5460" t="s">
        <v>141</v>
      </c>
      <c r="C5460" t="s">
        <v>871</v>
      </c>
      <c r="D5460" t="s">
        <v>11</v>
      </c>
      <c r="E5460">
        <v>29</v>
      </c>
      <c r="F5460" s="2">
        <f>DATE(2026,IF(Tabla1[[#This Row],[Mes de Fecha]]="Septiembre",9,10),Tabla1[[#This Row],[Día de Fecha]])</f>
        <v>46294</v>
      </c>
      <c r="G5460">
        <v>1113523315</v>
      </c>
      <c r="H5460" t="s">
        <v>142</v>
      </c>
      <c r="I5460">
        <v>65</v>
      </c>
      <c r="J5460">
        <v>0</v>
      </c>
      <c r="K5460" s="1">
        <v>3402270</v>
      </c>
    </row>
    <row r="5461" spans="1:11" x14ac:dyDescent="0.25">
      <c r="A5461" t="s">
        <v>9</v>
      </c>
      <c r="B5461" t="s">
        <v>141</v>
      </c>
      <c r="C5461" t="s">
        <v>871</v>
      </c>
      <c r="D5461" t="s">
        <v>11</v>
      </c>
      <c r="E5461">
        <v>30</v>
      </c>
      <c r="F5461" s="2">
        <f>DATE(2026,IF(Tabla1[[#This Row],[Mes de Fecha]]="Septiembre",9,10),Tabla1[[#This Row],[Día de Fecha]])</f>
        <v>46295</v>
      </c>
      <c r="I5461">
        <v>0</v>
      </c>
      <c r="J5461" s="1">
        <v>2978487</v>
      </c>
      <c r="K5461">
        <v>0</v>
      </c>
    </row>
    <row r="5462" spans="1:11" x14ac:dyDescent="0.25">
      <c r="A5462" t="s">
        <v>9</v>
      </c>
      <c r="B5462" t="s">
        <v>141</v>
      </c>
      <c r="C5462" t="s">
        <v>871</v>
      </c>
      <c r="D5462" t="s">
        <v>11</v>
      </c>
      <c r="E5462">
        <v>30</v>
      </c>
      <c r="F5462" s="2">
        <f>DATE(2026,IF(Tabla1[[#This Row],[Mes de Fecha]]="Septiembre",9,10),Tabla1[[#This Row],[Día de Fecha]])</f>
        <v>46295</v>
      </c>
      <c r="G5462">
        <v>1113523315</v>
      </c>
      <c r="H5462" t="s">
        <v>142</v>
      </c>
      <c r="I5462">
        <v>50</v>
      </c>
      <c r="J5462">
        <v>0</v>
      </c>
      <c r="K5462" s="1">
        <v>2839833</v>
      </c>
    </row>
    <row r="5463" spans="1:11" x14ac:dyDescent="0.25">
      <c r="A5463" t="s">
        <v>9</v>
      </c>
      <c r="B5463" t="s">
        <v>141</v>
      </c>
      <c r="C5463" t="s">
        <v>871</v>
      </c>
      <c r="D5463" t="s">
        <v>14</v>
      </c>
      <c r="E5463">
        <v>1</v>
      </c>
      <c r="F5463" s="2">
        <f>DATE(2026,IF(Tabla1[[#This Row],[Mes de Fecha]]="Septiembre",9,10),Tabla1[[#This Row],[Día de Fecha]])</f>
        <v>46296</v>
      </c>
      <c r="I5463">
        <v>0</v>
      </c>
      <c r="J5463" s="1">
        <v>3886073</v>
      </c>
      <c r="K5463">
        <v>0</v>
      </c>
    </row>
    <row r="5464" spans="1:11" x14ac:dyDescent="0.25">
      <c r="A5464" t="s">
        <v>9</v>
      </c>
      <c r="B5464" t="s">
        <v>141</v>
      </c>
      <c r="C5464" t="s">
        <v>871</v>
      </c>
      <c r="D5464" t="s">
        <v>14</v>
      </c>
      <c r="E5464">
        <v>1</v>
      </c>
      <c r="F5464" s="2">
        <f>DATE(2026,IF(Tabla1[[#This Row],[Mes de Fecha]]="Septiembre",9,10),Tabla1[[#This Row],[Día de Fecha]])</f>
        <v>46296</v>
      </c>
      <c r="G5464">
        <v>1113523315</v>
      </c>
      <c r="H5464" t="s">
        <v>142</v>
      </c>
      <c r="I5464">
        <v>51</v>
      </c>
      <c r="J5464">
        <v>0</v>
      </c>
      <c r="K5464" s="1">
        <v>2894413</v>
      </c>
    </row>
    <row r="5465" spans="1:11" x14ac:dyDescent="0.25">
      <c r="A5465" t="s">
        <v>9</v>
      </c>
      <c r="B5465" t="s">
        <v>141</v>
      </c>
      <c r="C5465" t="s">
        <v>871</v>
      </c>
      <c r="D5465" t="s">
        <v>14</v>
      </c>
      <c r="E5465">
        <v>2</v>
      </c>
      <c r="F5465" s="2">
        <f>DATE(2026,IF(Tabla1[[#This Row],[Mes de Fecha]]="Septiembre",9,10),Tabla1[[#This Row],[Día de Fecha]])</f>
        <v>46297</v>
      </c>
      <c r="I5465">
        <v>0</v>
      </c>
      <c r="J5465" s="1">
        <v>5496655</v>
      </c>
      <c r="K5465">
        <v>0</v>
      </c>
    </row>
    <row r="5466" spans="1:11" x14ac:dyDescent="0.25">
      <c r="A5466" t="s">
        <v>9</v>
      </c>
      <c r="B5466" t="s">
        <v>141</v>
      </c>
      <c r="C5466" t="s">
        <v>871</v>
      </c>
      <c r="D5466" t="s">
        <v>14</v>
      </c>
      <c r="E5466">
        <v>2</v>
      </c>
      <c r="F5466" s="2">
        <f>DATE(2026,IF(Tabla1[[#This Row],[Mes de Fecha]]="Septiembre",9,10),Tabla1[[#This Row],[Día de Fecha]])</f>
        <v>46297</v>
      </c>
      <c r="G5466">
        <v>1113523315</v>
      </c>
      <c r="H5466" t="s">
        <v>142</v>
      </c>
      <c r="I5466">
        <v>58</v>
      </c>
      <c r="J5466">
        <v>0</v>
      </c>
      <c r="K5466" s="1">
        <v>2924113</v>
      </c>
    </row>
    <row r="5467" spans="1:11" x14ac:dyDescent="0.25">
      <c r="A5467" t="s">
        <v>9</v>
      </c>
      <c r="B5467" t="s">
        <v>141</v>
      </c>
      <c r="C5467" t="s">
        <v>871</v>
      </c>
      <c r="D5467" t="s">
        <v>14</v>
      </c>
      <c r="E5467">
        <v>3</v>
      </c>
      <c r="F5467" s="2">
        <f>DATE(2026,IF(Tabla1[[#This Row],[Mes de Fecha]]="Septiembre",9,10),Tabla1[[#This Row],[Día de Fecha]])</f>
        <v>46298</v>
      </c>
      <c r="I5467">
        <v>0</v>
      </c>
      <c r="J5467" s="1">
        <v>5200455</v>
      </c>
      <c r="K5467">
        <v>0</v>
      </c>
    </row>
    <row r="5468" spans="1:11" x14ac:dyDescent="0.25">
      <c r="A5468" t="s">
        <v>9</v>
      </c>
      <c r="B5468" t="s">
        <v>141</v>
      </c>
      <c r="C5468" t="s">
        <v>871</v>
      </c>
      <c r="D5468" t="s">
        <v>14</v>
      </c>
      <c r="E5468">
        <v>3</v>
      </c>
      <c r="F5468" s="2">
        <f>DATE(2026,IF(Tabla1[[#This Row],[Mes de Fecha]]="Septiembre",9,10),Tabla1[[#This Row],[Día de Fecha]])</f>
        <v>46298</v>
      </c>
      <c r="G5468">
        <v>1113523315</v>
      </c>
      <c r="H5468" t="s">
        <v>142</v>
      </c>
      <c r="I5468">
        <v>124</v>
      </c>
      <c r="J5468">
        <v>0</v>
      </c>
      <c r="K5468" s="1">
        <v>6104832</v>
      </c>
    </row>
    <row r="5469" spans="1:11" x14ac:dyDescent="0.25">
      <c r="A5469" t="s">
        <v>9</v>
      </c>
      <c r="B5469" t="s">
        <v>141</v>
      </c>
      <c r="C5469" t="s">
        <v>871</v>
      </c>
      <c r="D5469" t="s">
        <v>14</v>
      </c>
      <c r="E5469">
        <v>4</v>
      </c>
      <c r="F5469" s="2">
        <f>DATE(2026,IF(Tabla1[[#This Row],[Mes de Fecha]]="Septiembre",9,10),Tabla1[[#This Row],[Día de Fecha]])</f>
        <v>46299</v>
      </c>
      <c r="I5469">
        <v>0</v>
      </c>
      <c r="J5469" s="1">
        <v>3849376</v>
      </c>
      <c r="K5469">
        <v>0</v>
      </c>
    </row>
    <row r="5470" spans="1:11" x14ac:dyDescent="0.25">
      <c r="A5470" t="s">
        <v>9</v>
      </c>
      <c r="B5470" t="s">
        <v>141</v>
      </c>
      <c r="C5470" t="s">
        <v>871</v>
      </c>
      <c r="D5470" t="s">
        <v>14</v>
      </c>
      <c r="E5470">
        <v>4</v>
      </c>
      <c r="F5470" s="2">
        <f>DATE(2026,IF(Tabla1[[#This Row],[Mes de Fecha]]="Septiembre",9,10),Tabla1[[#This Row],[Día de Fecha]])</f>
        <v>46299</v>
      </c>
      <c r="G5470">
        <v>1113523315</v>
      </c>
      <c r="H5470" t="s">
        <v>142</v>
      </c>
      <c r="I5470">
        <v>39</v>
      </c>
      <c r="J5470">
        <v>0</v>
      </c>
      <c r="K5470" s="1">
        <v>2020633</v>
      </c>
    </row>
    <row r="5471" spans="1:11" x14ac:dyDescent="0.25">
      <c r="A5471" t="s">
        <v>9</v>
      </c>
      <c r="B5471" t="s">
        <v>141</v>
      </c>
      <c r="C5471" t="s">
        <v>871</v>
      </c>
      <c r="D5471" t="s">
        <v>14</v>
      </c>
      <c r="E5471">
        <v>5</v>
      </c>
      <c r="F5471" s="2">
        <f>DATE(2026,IF(Tabla1[[#This Row],[Mes de Fecha]]="Septiembre",9,10),Tabla1[[#This Row],[Día de Fecha]])</f>
        <v>46300</v>
      </c>
      <c r="I5471">
        <v>0</v>
      </c>
      <c r="J5471" s="1">
        <v>3057856</v>
      </c>
      <c r="K5471">
        <v>0</v>
      </c>
    </row>
    <row r="5472" spans="1:11" x14ac:dyDescent="0.25">
      <c r="A5472" t="s">
        <v>9</v>
      </c>
      <c r="B5472" t="s">
        <v>141</v>
      </c>
      <c r="C5472" t="s">
        <v>871</v>
      </c>
      <c r="D5472" t="s">
        <v>14</v>
      </c>
      <c r="E5472">
        <v>5</v>
      </c>
      <c r="F5472" s="2">
        <f>DATE(2026,IF(Tabla1[[#This Row],[Mes de Fecha]]="Septiembre",9,10),Tabla1[[#This Row],[Día de Fecha]])</f>
        <v>46300</v>
      </c>
      <c r="G5472">
        <v>1113523315</v>
      </c>
      <c r="H5472" t="s">
        <v>142</v>
      </c>
      <c r="I5472">
        <v>77</v>
      </c>
      <c r="J5472">
        <v>0</v>
      </c>
      <c r="K5472" s="1">
        <v>4382194</v>
      </c>
    </row>
    <row r="5473" spans="1:11" x14ac:dyDescent="0.25">
      <c r="A5473" t="s">
        <v>9</v>
      </c>
      <c r="B5473" t="s">
        <v>141</v>
      </c>
      <c r="C5473" t="s">
        <v>871</v>
      </c>
      <c r="D5473" t="s">
        <v>14</v>
      </c>
      <c r="E5473">
        <v>6</v>
      </c>
      <c r="F5473" s="2">
        <f>DATE(2026,IF(Tabla1[[#This Row],[Mes de Fecha]]="Septiembre",9,10),Tabla1[[#This Row],[Día de Fecha]])</f>
        <v>46301</v>
      </c>
      <c r="I5473">
        <v>0</v>
      </c>
      <c r="J5473" s="1">
        <v>3302767</v>
      </c>
      <c r="K5473">
        <v>0</v>
      </c>
    </row>
    <row r="5474" spans="1:11" x14ac:dyDescent="0.25">
      <c r="A5474" t="s">
        <v>9</v>
      </c>
      <c r="B5474" t="s">
        <v>141</v>
      </c>
      <c r="C5474" t="s">
        <v>871</v>
      </c>
      <c r="D5474" t="s">
        <v>14</v>
      </c>
      <c r="E5474">
        <v>6</v>
      </c>
      <c r="F5474" s="2">
        <f>DATE(2026,IF(Tabla1[[#This Row],[Mes de Fecha]]="Septiembre",9,10),Tabla1[[#This Row],[Día de Fecha]])</f>
        <v>46301</v>
      </c>
      <c r="G5474">
        <v>1113523315</v>
      </c>
      <c r="H5474" t="s">
        <v>142</v>
      </c>
      <c r="I5474">
        <v>100</v>
      </c>
      <c r="J5474">
        <v>0</v>
      </c>
      <c r="K5474" s="1">
        <v>5357836</v>
      </c>
    </row>
    <row r="5475" spans="1:11" x14ac:dyDescent="0.25">
      <c r="A5475" t="s">
        <v>9</v>
      </c>
      <c r="B5475" t="s">
        <v>141</v>
      </c>
      <c r="C5475" t="s">
        <v>871</v>
      </c>
      <c r="D5475" t="s">
        <v>14</v>
      </c>
      <c r="E5475">
        <v>7</v>
      </c>
      <c r="F5475" s="2">
        <f>DATE(2026,IF(Tabla1[[#This Row],[Mes de Fecha]]="Septiembre",9,10),Tabla1[[#This Row],[Día de Fecha]])</f>
        <v>46302</v>
      </c>
      <c r="I5475">
        <v>0</v>
      </c>
      <c r="J5475" s="1">
        <v>495164</v>
      </c>
      <c r="K5475">
        <v>0</v>
      </c>
    </row>
    <row r="5476" spans="1:11" x14ac:dyDescent="0.25">
      <c r="A5476" t="s">
        <v>9</v>
      </c>
      <c r="B5476" t="s">
        <v>141</v>
      </c>
      <c r="C5476" t="s">
        <v>871</v>
      </c>
      <c r="D5476" t="s">
        <v>14</v>
      </c>
      <c r="E5476">
        <v>7</v>
      </c>
      <c r="F5476" s="2">
        <f>DATE(2026,IF(Tabla1[[#This Row],[Mes de Fecha]]="Septiembre",9,10),Tabla1[[#This Row],[Día de Fecha]])</f>
        <v>46302</v>
      </c>
      <c r="G5476">
        <v>1113523315</v>
      </c>
      <c r="H5476" t="s">
        <v>142</v>
      </c>
      <c r="I5476">
        <v>35</v>
      </c>
      <c r="J5476">
        <v>0</v>
      </c>
      <c r="K5476" s="1">
        <v>1673506</v>
      </c>
    </row>
    <row r="5477" spans="1:11" x14ac:dyDescent="0.25">
      <c r="A5477" t="s">
        <v>9</v>
      </c>
      <c r="B5477" t="s">
        <v>190</v>
      </c>
      <c r="C5477" t="s">
        <v>871</v>
      </c>
      <c r="D5477" t="s">
        <v>11</v>
      </c>
      <c r="E5477">
        <v>23</v>
      </c>
      <c r="F5477" s="2">
        <f>DATE(2026,IF(Tabla1[[#This Row],[Mes de Fecha]]="Septiembre",9,10),Tabla1[[#This Row],[Día de Fecha]])</f>
        <v>46288</v>
      </c>
      <c r="I5477">
        <v>0</v>
      </c>
      <c r="J5477" s="1">
        <v>1773978</v>
      </c>
      <c r="K5477">
        <v>0</v>
      </c>
    </row>
    <row r="5478" spans="1:11" x14ac:dyDescent="0.25">
      <c r="A5478" t="s">
        <v>9</v>
      </c>
      <c r="B5478" t="s">
        <v>190</v>
      </c>
      <c r="C5478" t="s">
        <v>871</v>
      </c>
      <c r="D5478" t="s">
        <v>11</v>
      </c>
      <c r="E5478">
        <v>23</v>
      </c>
      <c r="F5478" s="2">
        <f>DATE(2026,IF(Tabla1[[#This Row],[Mes de Fecha]]="Septiembre",9,10),Tabla1[[#This Row],[Día de Fecha]])</f>
        <v>46288</v>
      </c>
      <c r="G5478">
        <v>29706315</v>
      </c>
      <c r="H5478" t="s">
        <v>191</v>
      </c>
      <c r="I5478">
        <v>80</v>
      </c>
      <c r="J5478">
        <v>0</v>
      </c>
      <c r="K5478" s="1">
        <v>4301162</v>
      </c>
    </row>
    <row r="5479" spans="1:11" x14ac:dyDescent="0.25">
      <c r="A5479" t="s">
        <v>9</v>
      </c>
      <c r="B5479" t="s">
        <v>190</v>
      </c>
      <c r="C5479" t="s">
        <v>871</v>
      </c>
      <c r="D5479" t="s">
        <v>11</v>
      </c>
      <c r="E5479">
        <v>24</v>
      </c>
      <c r="F5479" s="2">
        <f>DATE(2026,IF(Tabla1[[#This Row],[Mes de Fecha]]="Septiembre",9,10),Tabla1[[#This Row],[Día de Fecha]])</f>
        <v>46289</v>
      </c>
      <c r="I5479">
        <v>0</v>
      </c>
      <c r="J5479" s="1">
        <v>4587848</v>
      </c>
      <c r="K5479">
        <v>0</v>
      </c>
    </row>
    <row r="5480" spans="1:11" x14ac:dyDescent="0.25">
      <c r="A5480" t="s">
        <v>9</v>
      </c>
      <c r="B5480" t="s">
        <v>190</v>
      </c>
      <c r="C5480" t="s">
        <v>871</v>
      </c>
      <c r="D5480" t="s">
        <v>11</v>
      </c>
      <c r="E5480">
        <v>24</v>
      </c>
      <c r="F5480" s="2">
        <f>DATE(2026,IF(Tabla1[[#This Row],[Mes de Fecha]]="Septiembre",9,10),Tabla1[[#This Row],[Día de Fecha]])</f>
        <v>46289</v>
      </c>
      <c r="G5480">
        <v>29706315</v>
      </c>
      <c r="H5480" t="s">
        <v>191</v>
      </c>
      <c r="I5480">
        <v>102</v>
      </c>
      <c r="J5480">
        <v>0</v>
      </c>
      <c r="K5480" s="1">
        <v>5041983</v>
      </c>
    </row>
    <row r="5481" spans="1:11" x14ac:dyDescent="0.25">
      <c r="A5481" t="s">
        <v>9</v>
      </c>
      <c r="B5481" t="s">
        <v>190</v>
      </c>
      <c r="C5481" t="s">
        <v>871</v>
      </c>
      <c r="D5481" t="s">
        <v>11</v>
      </c>
      <c r="E5481">
        <v>25</v>
      </c>
      <c r="F5481" s="2">
        <f>DATE(2026,IF(Tabla1[[#This Row],[Mes de Fecha]]="Septiembre",9,10),Tabla1[[#This Row],[Día de Fecha]])</f>
        <v>46290</v>
      </c>
      <c r="I5481">
        <v>0</v>
      </c>
      <c r="J5481" s="1">
        <v>4900069</v>
      </c>
      <c r="K5481">
        <v>0</v>
      </c>
    </row>
    <row r="5482" spans="1:11" x14ac:dyDescent="0.25">
      <c r="A5482" t="s">
        <v>9</v>
      </c>
      <c r="B5482" t="s">
        <v>190</v>
      </c>
      <c r="C5482" t="s">
        <v>871</v>
      </c>
      <c r="D5482" t="s">
        <v>11</v>
      </c>
      <c r="E5482">
        <v>25</v>
      </c>
      <c r="F5482" s="2">
        <f>DATE(2026,IF(Tabla1[[#This Row],[Mes de Fecha]]="Septiembre",9,10),Tabla1[[#This Row],[Día de Fecha]])</f>
        <v>46290</v>
      </c>
      <c r="G5482">
        <v>29706315</v>
      </c>
      <c r="H5482" t="s">
        <v>191</v>
      </c>
      <c r="I5482">
        <v>54</v>
      </c>
      <c r="J5482">
        <v>0</v>
      </c>
      <c r="K5482" s="1">
        <v>2943111</v>
      </c>
    </row>
    <row r="5483" spans="1:11" x14ac:dyDescent="0.25">
      <c r="A5483" t="s">
        <v>9</v>
      </c>
      <c r="B5483" t="s">
        <v>190</v>
      </c>
      <c r="C5483" t="s">
        <v>871</v>
      </c>
      <c r="D5483" t="s">
        <v>11</v>
      </c>
      <c r="E5483">
        <v>26</v>
      </c>
      <c r="F5483" s="2">
        <f>DATE(2026,IF(Tabla1[[#This Row],[Mes de Fecha]]="Septiembre",9,10),Tabla1[[#This Row],[Día de Fecha]])</f>
        <v>46291</v>
      </c>
      <c r="I5483">
        <v>0</v>
      </c>
      <c r="J5483" s="1">
        <v>6178869</v>
      </c>
      <c r="K5483">
        <v>0</v>
      </c>
    </row>
    <row r="5484" spans="1:11" x14ac:dyDescent="0.25">
      <c r="A5484" t="s">
        <v>9</v>
      </c>
      <c r="B5484" t="s">
        <v>190</v>
      </c>
      <c r="C5484" t="s">
        <v>871</v>
      </c>
      <c r="D5484" t="s">
        <v>11</v>
      </c>
      <c r="E5484">
        <v>26</v>
      </c>
      <c r="F5484" s="2">
        <f>DATE(2026,IF(Tabla1[[#This Row],[Mes de Fecha]]="Septiembre",9,10),Tabla1[[#This Row],[Día de Fecha]])</f>
        <v>46291</v>
      </c>
      <c r="G5484">
        <v>29706315</v>
      </c>
      <c r="H5484" t="s">
        <v>191</v>
      </c>
      <c r="I5484">
        <v>151</v>
      </c>
      <c r="J5484">
        <v>0</v>
      </c>
      <c r="K5484" s="1">
        <v>8510086</v>
      </c>
    </row>
    <row r="5485" spans="1:11" x14ac:dyDescent="0.25">
      <c r="A5485" t="s">
        <v>9</v>
      </c>
      <c r="B5485" t="s">
        <v>190</v>
      </c>
      <c r="C5485" t="s">
        <v>871</v>
      </c>
      <c r="D5485" t="s">
        <v>11</v>
      </c>
      <c r="E5485">
        <v>27</v>
      </c>
      <c r="F5485" s="2">
        <f>DATE(2026,IF(Tabla1[[#This Row],[Mes de Fecha]]="Septiembre",9,10),Tabla1[[#This Row],[Día de Fecha]])</f>
        <v>46292</v>
      </c>
      <c r="I5485">
        <v>0</v>
      </c>
      <c r="J5485" s="1">
        <v>3262380</v>
      </c>
      <c r="K5485">
        <v>0</v>
      </c>
    </row>
    <row r="5486" spans="1:11" x14ac:dyDescent="0.25">
      <c r="A5486" t="s">
        <v>9</v>
      </c>
      <c r="B5486" t="s">
        <v>190</v>
      </c>
      <c r="C5486" t="s">
        <v>871</v>
      </c>
      <c r="D5486" t="s">
        <v>11</v>
      </c>
      <c r="E5486">
        <v>27</v>
      </c>
      <c r="F5486" s="2">
        <f>DATE(2026,IF(Tabla1[[#This Row],[Mes de Fecha]]="Septiembre",9,10),Tabla1[[#This Row],[Día de Fecha]])</f>
        <v>46292</v>
      </c>
      <c r="G5486">
        <v>29706315</v>
      </c>
      <c r="H5486" t="s">
        <v>191</v>
      </c>
      <c r="I5486">
        <v>45</v>
      </c>
      <c r="J5486">
        <v>0</v>
      </c>
      <c r="K5486" s="1">
        <v>2435042</v>
      </c>
    </row>
    <row r="5487" spans="1:11" x14ac:dyDescent="0.25">
      <c r="A5487" t="s">
        <v>9</v>
      </c>
      <c r="B5487" t="s">
        <v>190</v>
      </c>
      <c r="C5487" t="s">
        <v>871</v>
      </c>
      <c r="D5487" t="s">
        <v>11</v>
      </c>
      <c r="E5487">
        <v>28</v>
      </c>
      <c r="F5487" s="2">
        <f>DATE(2026,IF(Tabla1[[#This Row],[Mes de Fecha]]="Septiembre",9,10),Tabla1[[#This Row],[Día de Fecha]])</f>
        <v>46293</v>
      </c>
      <c r="I5487">
        <v>0</v>
      </c>
      <c r="J5487" s="1">
        <v>2674801</v>
      </c>
      <c r="K5487">
        <v>0</v>
      </c>
    </row>
    <row r="5488" spans="1:11" x14ac:dyDescent="0.25">
      <c r="A5488" t="s">
        <v>9</v>
      </c>
      <c r="B5488" t="s">
        <v>190</v>
      </c>
      <c r="C5488" t="s">
        <v>871</v>
      </c>
      <c r="D5488" t="s">
        <v>11</v>
      </c>
      <c r="E5488">
        <v>28</v>
      </c>
      <c r="F5488" s="2">
        <f>DATE(2026,IF(Tabla1[[#This Row],[Mes de Fecha]]="Septiembre",9,10),Tabla1[[#This Row],[Día de Fecha]])</f>
        <v>46293</v>
      </c>
      <c r="G5488">
        <v>29706315</v>
      </c>
      <c r="H5488" t="s">
        <v>191</v>
      </c>
      <c r="I5488">
        <v>68</v>
      </c>
      <c r="J5488">
        <v>0</v>
      </c>
      <c r="K5488" s="1">
        <v>3656684</v>
      </c>
    </row>
    <row r="5489" spans="1:11" x14ac:dyDescent="0.25">
      <c r="A5489" t="s">
        <v>9</v>
      </c>
      <c r="B5489" t="s">
        <v>190</v>
      </c>
      <c r="C5489" t="s">
        <v>871</v>
      </c>
      <c r="D5489" t="s">
        <v>11</v>
      </c>
      <c r="E5489">
        <v>29</v>
      </c>
      <c r="F5489" s="2">
        <f>DATE(2026,IF(Tabla1[[#This Row],[Mes de Fecha]]="Septiembre",9,10),Tabla1[[#This Row],[Día de Fecha]])</f>
        <v>46294</v>
      </c>
      <c r="I5489">
        <v>0</v>
      </c>
      <c r="J5489" s="1">
        <v>2973585</v>
      </c>
      <c r="K5489">
        <v>0</v>
      </c>
    </row>
    <row r="5490" spans="1:11" x14ac:dyDescent="0.25">
      <c r="A5490" t="s">
        <v>9</v>
      </c>
      <c r="B5490" t="s">
        <v>190</v>
      </c>
      <c r="C5490" t="s">
        <v>871</v>
      </c>
      <c r="D5490" t="s">
        <v>11</v>
      </c>
      <c r="E5490">
        <v>29</v>
      </c>
      <c r="F5490" s="2">
        <f>DATE(2026,IF(Tabla1[[#This Row],[Mes de Fecha]]="Septiembre",9,10),Tabla1[[#This Row],[Día de Fecha]])</f>
        <v>46294</v>
      </c>
      <c r="G5490">
        <v>29706315</v>
      </c>
      <c r="H5490" t="s">
        <v>191</v>
      </c>
      <c r="I5490">
        <v>75</v>
      </c>
      <c r="J5490">
        <v>0</v>
      </c>
      <c r="K5490" s="1">
        <v>3931222</v>
      </c>
    </row>
    <row r="5491" spans="1:11" x14ac:dyDescent="0.25">
      <c r="A5491" t="s">
        <v>9</v>
      </c>
      <c r="B5491" t="s">
        <v>190</v>
      </c>
      <c r="C5491" t="s">
        <v>871</v>
      </c>
      <c r="D5491" t="s">
        <v>11</v>
      </c>
      <c r="E5491">
        <v>30</v>
      </c>
      <c r="F5491" s="2">
        <f>DATE(2026,IF(Tabla1[[#This Row],[Mes de Fecha]]="Septiembre",9,10),Tabla1[[#This Row],[Día de Fecha]])</f>
        <v>46295</v>
      </c>
      <c r="I5491">
        <v>0</v>
      </c>
      <c r="J5491" s="1">
        <v>3149124</v>
      </c>
      <c r="K5491">
        <v>0</v>
      </c>
    </row>
    <row r="5492" spans="1:11" x14ac:dyDescent="0.25">
      <c r="A5492" t="s">
        <v>9</v>
      </c>
      <c r="B5492" t="s">
        <v>190</v>
      </c>
      <c r="C5492" t="s">
        <v>871</v>
      </c>
      <c r="D5492" t="s">
        <v>11</v>
      </c>
      <c r="E5492">
        <v>30</v>
      </c>
      <c r="F5492" s="2">
        <f>DATE(2026,IF(Tabla1[[#This Row],[Mes de Fecha]]="Septiembre",9,10),Tabla1[[#This Row],[Día de Fecha]])</f>
        <v>46295</v>
      </c>
      <c r="G5492">
        <v>29706315</v>
      </c>
      <c r="H5492" t="s">
        <v>191</v>
      </c>
      <c r="I5492">
        <v>46</v>
      </c>
      <c r="J5492">
        <v>0</v>
      </c>
      <c r="K5492" s="1">
        <v>2300463</v>
      </c>
    </row>
    <row r="5493" spans="1:11" x14ac:dyDescent="0.25">
      <c r="A5493" t="s">
        <v>9</v>
      </c>
      <c r="B5493" t="s">
        <v>190</v>
      </c>
      <c r="C5493" t="s">
        <v>871</v>
      </c>
      <c r="D5493" t="s">
        <v>14</v>
      </c>
      <c r="E5493">
        <v>1</v>
      </c>
      <c r="F5493" s="2">
        <f>DATE(2026,IF(Tabla1[[#This Row],[Mes de Fecha]]="Septiembre",9,10),Tabla1[[#This Row],[Día de Fecha]])</f>
        <v>46296</v>
      </c>
      <c r="I5493">
        <v>0</v>
      </c>
      <c r="J5493" s="1">
        <v>5121760</v>
      </c>
      <c r="K5493">
        <v>0</v>
      </c>
    </row>
    <row r="5494" spans="1:11" x14ac:dyDescent="0.25">
      <c r="A5494" t="s">
        <v>9</v>
      </c>
      <c r="B5494" t="s">
        <v>190</v>
      </c>
      <c r="C5494" t="s">
        <v>871</v>
      </c>
      <c r="D5494" t="s">
        <v>14</v>
      </c>
      <c r="E5494">
        <v>1</v>
      </c>
      <c r="F5494" s="2">
        <f>DATE(2026,IF(Tabla1[[#This Row],[Mes de Fecha]]="Septiembre",9,10),Tabla1[[#This Row],[Día de Fecha]])</f>
        <v>46296</v>
      </c>
      <c r="G5494">
        <v>29706315</v>
      </c>
      <c r="H5494" t="s">
        <v>191</v>
      </c>
      <c r="I5494">
        <v>54</v>
      </c>
      <c r="J5494">
        <v>0</v>
      </c>
      <c r="K5494" s="1">
        <v>2867315</v>
      </c>
    </row>
    <row r="5495" spans="1:11" x14ac:dyDescent="0.25">
      <c r="A5495" t="s">
        <v>9</v>
      </c>
      <c r="B5495" t="s">
        <v>190</v>
      </c>
      <c r="C5495" t="s">
        <v>871</v>
      </c>
      <c r="D5495" t="s">
        <v>14</v>
      </c>
      <c r="E5495">
        <v>2</v>
      </c>
      <c r="F5495" s="2">
        <f>DATE(2026,IF(Tabla1[[#This Row],[Mes de Fecha]]="Septiembre",9,10),Tabla1[[#This Row],[Día de Fecha]])</f>
        <v>46297</v>
      </c>
      <c r="I5495">
        <v>0</v>
      </c>
      <c r="J5495" s="1">
        <v>4352622</v>
      </c>
      <c r="K5495">
        <v>0</v>
      </c>
    </row>
    <row r="5496" spans="1:11" x14ac:dyDescent="0.25">
      <c r="A5496" t="s">
        <v>9</v>
      </c>
      <c r="B5496" t="s">
        <v>190</v>
      </c>
      <c r="C5496" t="s">
        <v>871</v>
      </c>
      <c r="D5496" t="s">
        <v>14</v>
      </c>
      <c r="E5496">
        <v>2</v>
      </c>
      <c r="F5496" s="2">
        <f>DATE(2026,IF(Tabla1[[#This Row],[Mes de Fecha]]="Septiembre",9,10),Tabla1[[#This Row],[Día de Fecha]])</f>
        <v>46297</v>
      </c>
      <c r="G5496">
        <v>29706315</v>
      </c>
      <c r="H5496" t="s">
        <v>191</v>
      </c>
      <c r="I5496">
        <v>29</v>
      </c>
      <c r="J5496">
        <v>0</v>
      </c>
      <c r="K5496" s="1">
        <v>1668785</v>
      </c>
    </row>
    <row r="5497" spans="1:11" x14ac:dyDescent="0.25">
      <c r="A5497" t="s">
        <v>9</v>
      </c>
      <c r="B5497" t="s">
        <v>190</v>
      </c>
      <c r="C5497" t="s">
        <v>871</v>
      </c>
      <c r="D5497" t="s">
        <v>14</v>
      </c>
      <c r="E5497">
        <v>3</v>
      </c>
      <c r="F5497" s="2">
        <f>DATE(2026,IF(Tabla1[[#This Row],[Mes de Fecha]]="Septiembre",9,10),Tabla1[[#This Row],[Día de Fecha]])</f>
        <v>46298</v>
      </c>
      <c r="I5497">
        <v>0</v>
      </c>
      <c r="J5497" s="1">
        <v>6627438</v>
      </c>
      <c r="K5497">
        <v>0</v>
      </c>
    </row>
    <row r="5498" spans="1:11" x14ac:dyDescent="0.25">
      <c r="A5498" t="s">
        <v>9</v>
      </c>
      <c r="B5498" t="s">
        <v>190</v>
      </c>
      <c r="C5498" t="s">
        <v>871</v>
      </c>
      <c r="D5498" t="s">
        <v>14</v>
      </c>
      <c r="E5498">
        <v>3</v>
      </c>
      <c r="F5498" s="2">
        <f>DATE(2026,IF(Tabla1[[#This Row],[Mes de Fecha]]="Septiembre",9,10),Tabla1[[#This Row],[Día de Fecha]])</f>
        <v>46298</v>
      </c>
      <c r="G5498">
        <v>29706315</v>
      </c>
      <c r="H5498" t="s">
        <v>191</v>
      </c>
      <c r="I5498">
        <v>69</v>
      </c>
      <c r="J5498">
        <v>0</v>
      </c>
      <c r="K5498" s="1">
        <v>3628985</v>
      </c>
    </row>
    <row r="5499" spans="1:11" x14ac:dyDescent="0.25">
      <c r="A5499" t="s">
        <v>9</v>
      </c>
      <c r="B5499" t="s">
        <v>190</v>
      </c>
      <c r="C5499" t="s">
        <v>871</v>
      </c>
      <c r="D5499" t="s">
        <v>14</v>
      </c>
      <c r="E5499">
        <v>4</v>
      </c>
      <c r="F5499" s="2">
        <f>DATE(2026,IF(Tabla1[[#This Row],[Mes de Fecha]]="Septiembre",9,10),Tabla1[[#This Row],[Día de Fecha]])</f>
        <v>46299</v>
      </c>
      <c r="I5499">
        <v>0</v>
      </c>
      <c r="J5499" s="1">
        <v>3374014</v>
      </c>
      <c r="K5499">
        <v>0</v>
      </c>
    </row>
    <row r="5500" spans="1:11" x14ac:dyDescent="0.25">
      <c r="A5500" t="s">
        <v>9</v>
      </c>
      <c r="B5500" t="s">
        <v>190</v>
      </c>
      <c r="C5500" t="s">
        <v>871</v>
      </c>
      <c r="D5500" t="s">
        <v>14</v>
      </c>
      <c r="E5500">
        <v>4</v>
      </c>
      <c r="F5500" s="2">
        <f>DATE(2026,IF(Tabla1[[#This Row],[Mes de Fecha]]="Septiembre",9,10),Tabla1[[#This Row],[Día de Fecha]])</f>
        <v>46299</v>
      </c>
      <c r="G5500">
        <v>29706315</v>
      </c>
      <c r="H5500" t="s">
        <v>191</v>
      </c>
      <c r="I5500">
        <v>83</v>
      </c>
      <c r="J5500">
        <v>0</v>
      </c>
      <c r="K5500" s="1">
        <v>4658029</v>
      </c>
    </row>
    <row r="5501" spans="1:11" x14ac:dyDescent="0.25">
      <c r="A5501" t="s">
        <v>9</v>
      </c>
      <c r="B5501" t="s">
        <v>190</v>
      </c>
      <c r="C5501" t="s">
        <v>871</v>
      </c>
      <c r="D5501" t="s">
        <v>14</v>
      </c>
      <c r="E5501">
        <v>5</v>
      </c>
      <c r="F5501" s="2">
        <f>DATE(2026,IF(Tabla1[[#This Row],[Mes de Fecha]]="Septiembre",9,10),Tabla1[[#This Row],[Día de Fecha]])</f>
        <v>46300</v>
      </c>
      <c r="I5501">
        <v>0</v>
      </c>
      <c r="J5501" s="1">
        <v>3279191</v>
      </c>
      <c r="K5501">
        <v>0</v>
      </c>
    </row>
    <row r="5502" spans="1:11" x14ac:dyDescent="0.25">
      <c r="A5502" t="s">
        <v>9</v>
      </c>
      <c r="B5502" t="s">
        <v>190</v>
      </c>
      <c r="C5502" t="s">
        <v>871</v>
      </c>
      <c r="D5502" t="s">
        <v>14</v>
      </c>
      <c r="E5502">
        <v>5</v>
      </c>
      <c r="F5502" s="2">
        <f>DATE(2026,IF(Tabla1[[#This Row],[Mes de Fecha]]="Septiembre",9,10),Tabla1[[#This Row],[Día de Fecha]])</f>
        <v>46300</v>
      </c>
      <c r="G5502">
        <v>29706315</v>
      </c>
      <c r="H5502" t="s">
        <v>191</v>
      </c>
      <c r="I5502">
        <v>109</v>
      </c>
      <c r="J5502">
        <v>0</v>
      </c>
      <c r="K5502" s="1">
        <v>6188324</v>
      </c>
    </row>
    <row r="5503" spans="1:11" x14ac:dyDescent="0.25">
      <c r="A5503" t="s">
        <v>9</v>
      </c>
      <c r="B5503" t="s">
        <v>190</v>
      </c>
      <c r="C5503" t="s">
        <v>871</v>
      </c>
      <c r="D5503" t="s">
        <v>14</v>
      </c>
      <c r="E5503">
        <v>6</v>
      </c>
      <c r="F5503" s="2">
        <f>DATE(2026,IF(Tabla1[[#This Row],[Mes de Fecha]]="Septiembre",9,10),Tabla1[[#This Row],[Día de Fecha]])</f>
        <v>46301</v>
      </c>
      <c r="I5503">
        <v>0</v>
      </c>
      <c r="J5503" s="1">
        <v>2370117</v>
      </c>
      <c r="K5503">
        <v>0</v>
      </c>
    </row>
    <row r="5504" spans="1:11" x14ac:dyDescent="0.25">
      <c r="A5504" t="s">
        <v>9</v>
      </c>
      <c r="B5504" t="s">
        <v>190</v>
      </c>
      <c r="C5504" t="s">
        <v>871</v>
      </c>
      <c r="D5504" t="s">
        <v>14</v>
      </c>
      <c r="E5504">
        <v>6</v>
      </c>
      <c r="F5504" s="2">
        <f>DATE(2026,IF(Tabla1[[#This Row],[Mes de Fecha]]="Septiembre",9,10),Tabla1[[#This Row],[Día de Fecha]])</f>
        <v>46301</v>
      </c>
      <c r="G5504">
        <v>29706315</v>
      </c>
      <c r="H5504" t="s">
        <v>191</v>
      </c>
      <c r="I5504">
        <v>53</v>
      </c>
      <c r="J5504">
        <v>0</v>
      </c>
      <c r="K5504" s="1">
        <v>2665634</v>
      </c>
    </row>
    <row r="5505" spans="1:11" x14ac:dyDescent="0.25">
      <c r="A5505" t="s">
        <v>9</v>
      </c>
      <c r="B5505" t="s">
        <v>190</v>
      </c>
      <c r="C5505" t="s">
        <v>871</v>
      </c>
      <c r="D5505" t="s">
        <v>14</v>
      </c>
      <c r="E5505">
        <v>7</v>
      </c>
      <c r="F5505" s="2">
        <f>DATE(2026,IF(Tabla1[[#This Row],[Mes de Fecha]]="Septiembre",9,10),Tabla1[[#This Row],[Día de Fecha]])</f>
        <v>46302</v>
      </c>
      <c r="I5505">
        <v>0</v>
      </c>
      <c r="J5505" s="1">
        <v>1271346</v>
      </c>
      <c r="K5505">
        <v>0</v>
      </c>
    </row>
    <row r="5506" spans="1:11" x14ac:dyDescent="0.25">
      <c r="A5506" t="s">
        <v>9</v>
      </c>
      <c r="B5506" t="s">
        <v>190</v>
      </c>
      <c r="C5506" t="s">
        <v>871</v>
      </c>
      <c r="D5506" t="s">
        <v>14</v>
      </c>
      <c r="E5506">
        <v>7</v>
      </c>
      <c r="F5506" s="2">
        <f>DATE(2026,IF(Tabla1[[#This Row],[Mes de Fecha]]="Septiembre",9,10),Tabla1[[#This Row],[Día de Fecha]])</f>
        <v>46302</v>
      </c>
      <c r="G5506">
        <v>29706315</v>
      </c>
      <c r="H5506" t="s">
        <v>191</v>
      </c>
      <c r="I5506">
        <v>40</v>
      </c>
      <c r="J5506">
        <v>0</v>
      </c>
      <c r="K5506" s="1">
        <v>2124330</v>
      </c>
    </row>
    <row r="5507" spans="1:11" x14ac:dyDescent="0.25">
      <c r="A5507" t="s">
        <v>326</v>
      </c>
      <c r="B5507" t="s">
        <v>330</v>
      </c>
      <c r="C5507" t="s">
        <v>871</v>
      </c>
      <c r="D5507" t="s">
        <v>11</v>
      </c>
      <c r="E5507">
        <v>23</v>
      </c>
      <c r="F5507" s="2">
        <f>DATE(2026,IF(Tabla1[[#This Row],[Mes de Fecha]]="Septiembre",9,10),Tabla1[[#This Row],[Día de Fecha]])</f>
        <v>46288</v>
      </c>
      <c r="I5507">
        <v>0</v>
      </c>
      <c r="J5507" s="1">
        <v>5715007</v>
      </c>
      <c r="K5507">
        <v>0</v>
      </c>
    </row>
    <row r="5508" spans="1:11" x14ac:dyDescent="0.25">
      <c r="A5508" t="s">
        <v>326</v>
      </c>
      <c r="B5508" t="s">
        <v>330</v>
      </c>
      <c r="C5508" t="s">
        <v>871</v>
      </c>
      <c r="D5508" t="s">
        <v>11</v>
      </c>
      <c r="E5508">
        <v>23</v>
      </c>
      <c r="F5508" s="2">
        <f>DATE(2026,IF(Tabla1[[#This Row],[Mes de Fecha]]="Septiembre",9,10),Tabla1[[#This Row],[Día de Fecha]])</f>
        <v>46288</v>
      </c>
      <c r="G5508">
        <v>1007729215</v>
      </c>
      <c r="H5508" t="s">
        <v>332</v>
      </c>
      <c r="I5508">
        <v>43</v>
      </c>
      <c r="J5508">
        <v>0</v>
      </c>
      <c r="K5508" s="1">
        <v>2409917</v>
      </c>
    </row>
    <row r="5509" spans="1:11" x14ac:dyDescent="0.25">
      <c r="A5509" t="s">
        <v>326</v>
      </c>
      <c r="B5509" t="s">
        <v>330</v>
      </c>
      <c r="C5509" t="s">
        <v>871</v>
      </c>
      <c r="D5509" t="s">
        <v>11</v>
      </c>
      <c r="E5509">
        <v>23</v>
      </c>
      <c r="F5509" s="2">
        <f>DATE(2026,IF(Tabla1[[#This Row],[Mes de Fecha]]="Septiembre",9,10),Tabla1[[#This Row],[Día de Fecha]])</f>
        <v>46288</v>
      </c>
      <c r="G5509">
        <v>1110040133</v>
      </c>
      <c r="H5509" t="s">
        <v>331</v>
      </c>
      <c r="I5509">
        <v>39</v>
      </c>
      <c r="J5509">
        <v>0</v>
      </c>
      <c r="K5509" s="1">
        <v>2126490</v>
      </c>
    </row>
    <row r="5510" spans="1:11" x14ac:dyDescent="0.25">
      <c r="A5510" t="s">
        <v>326</v>
      </c>
      <c r="B5510" t="s">
        <v>330</v>
      </c>
      <c r="C5510" t="s">
        <v>871</v>
      </c>
      <c r="D5510" t="s">
        <v>11</v>
      </c>
      <c r="E5510">
        <v>23</v>
      </c>
      <c r="F5510" s="2">
        <f>DATE(2026,IF(Tabla1[[#This Row],[Mes de Fecha]]="Septiembre",9,10),Tabla1[[#This Row],[Día de Fecha]])</f>
        <v>46288</v>
      </c>
      <c r="G5510">
        <v>1110292684</v>
      </c>
      <c r="H5510" t="s">
        <v>335</v>
      </c>
      <c r="I5510">
        <v>23</v>
      </c>
      <c r="J5510">
        <v>0</v>
      </c>
      <c r="K5510" s="1">
        <v>975925</v>
      </c>
    </row>
    <row r="5511" spans="1:11" x14ac:dyDescent="0.25">
      <c r="A5511" t="s">
        <v>326</v>
      </c>
      <c r="B5511" t="s">
        <v>330</v>
      </c>
      <c r="C5511" t="s">
        <v>871</v>
      </c>
      <c r="D5511" t="s">
        <v>11</v>
      </c>
      <c r="E5511">
        <v>24</v>
      </c>
      <c r="F5511" s="2">
        <f>DATE(2026,IF(Tabla1[[#This Row],[Mes de Fecha]]="Septiembre",9,10),Tabla1[[#This Row],[Día de Fecha]])</f>
        <v>46289</v>
      </c>
      <c r="I5511">
        <v>0</v>
      </c>
      <c r="J5511" s="1">
        <v>8730320</v>
      </c>
      <c r="K5511">
        <v>0</v>
      </c>
    </row>
    <row r="5512" spans="1:11" x14ac:dyDescent="0.25">
      <c r="A5512" t="s">
        <v>326</v>
      </c>
      <c r="B5512" t="s">
        <v>330</v>
      </c>
      <c r="C5512" t="s">
        <v>871</v>
      </c>
      <c r="D5512" t="s">
        <v>11</v>
      </c>
      <c r="E5512">
        <v>24</v>
      </c>
      <c r="F5512" s="2">
        <f>DATE(2026,IF(Tabla1[[#This Row],[Mes de Fecha]]="Septiembre",9,10),Tabla1[[#This Row],[Día de Fecha]])</f>
        <v>46289</v>
      </c>
      <c r="G5512">
        <v>1007729215</v>
      </c>
      <c r="H5512" t="s">
        <v>332</v>
      </c>
      <c r="I5512">
        <v>55</v>
      </c>
      <c r="J5512">
        <v>0</v>
      </c>
      <c r="K5512" s="1">
        <v>2423740</v>
      </c>
    </row>
    <row r="5513" spans="1:11" x14ac:dyDescent="0.25">
      <c r="A5513" t="s">
        <v>326</v>
      </c>
      <c r="B5513" t="s">
        <v>330</v>
      </c>
      <c r="C5513" t="s">
        <v>871</v>
      </c>
      <c r="D5513" t="s">
        <v>11</v>
      </c>
      <c r="E5513">
        <v>24</v>
      </c>
      <c r="F5513" s="2">
        <f>DATE(2026,IF(Tabla1[[#This Row],[Mes de Fecha]]="Septiembre",9,10),Tabla1[[#This Row],[Día de Fecha]])</f>
        <v>46289</v>
      </c>
      <c r="G5513">
        <v>1110040133</v>
      </c>
      <c r="H5513" t="s">
        <v>331</v>
      </c>
      <c r="I5513">
        <v>58</v>
      </c>
      <c r="J5513">
        <v>0</v>
      </c>
      <c r="K5513" s="1">
        <v>2526641</v>
      </c>
    </row>
    <row r="5514" spans="1:11" x14ac:dyDescent="0.25">
      <c r="A5514" t="s">
        <v>326</v>
      </c>
      <c r="B5514" t="s">
        <v>330</v>
      </c>
      <c r="C5514" t="s">
        <v>871</v>
      </c>
      <c r="D5514" t="s">
        <v>11</v>
      </c>
      <c r="E5514">
        <v>24</v>
      </c>
      <c r="F5514" s="2">
        <f>DATE(2026,IF(Tabla1[[#This Row],[Mes de Fecha]]="Septiembre",9,10),Tabla1[[#This Row],[Día de Fecha]])</f>
        <v>46289</v>
      </c>
      <c r="G5514">
        <v>1110292684</v>
      </c>
      <c r="H5514" t="s">
        <v>335</v>
      </c>
      <c r="I5514">
        <v>21</v>
      </c>
      <c r="J5514">
        <v>0</v>
      </c>
      <c r="K5514" s="1">
        <v>1137732</v>
      </c>
    </row>
    <row r="5515" spans="1:11" x14ac:dyDescent="0.25">
      <c r="A5515" t="s">
        <v>326</v>
      </c>
      <c r="B5515" t="s">
        <v>330</v>
      </c>
      <c r="C5515" t="s">
        <v>871</v>
      </c>
      <c r="D5515" t="s">
        <v>11</v>
      </c>
      <c r="E5515">
        <v>25</v>
      </c>
      <c r="F5515" s="2">
        <f>DATE(2026,IF(Tabla1[[#This Row],[Mes de Fecha]]="Septiembre",9,10),Tabla1[[#This Row],[Día de Fecha]])</f>
        <v>46290</v>
      </c>
      <c r="I5515">
        <v>0</v>
      </c>
      <c r="J5515" s="1">
        <v>8710994</v>
      </c>
      <c r="K5515">
        <v>0</v>
      </c>
    </row>
    <row r="5516" spans="1:11" x14ac:dyDescent="0.25">
      <c r="A5516" t="s">
        <v>326</v>
      </c>
      <c r="B5516" t="s">
        <v>330</v>
      </c>
      <c r="C5516" t="s">
        <v>871</v>
      </c>
      <c r="D5516" t="s">
        <v>11</v>
      </c>
      <c r="E5516">
        <v>25</v>
      </c>
      <c r="F5516" s="2">
        <f>DATE(2026,IF(Tabla1[[#This Row],[Mes de Fecha]]="Septiembre",9,10),Tabla1[[#This Row],[Día de Fecha]])</f>
        <v>46290</v>
      </c>
      <c r="G5516">
        <v>1007729215</v>
      </c>
      <c r="H5516" t="s">
        <v>332</v>
      </c>
      <c r="I5516">
        <v>22</v>
      </c>
      <c r="J5516">
        <v>0</v>
      </c>
      <c r="K5516" s="1">
        <v>1158656</v>
      </c>
    </row>
    <row r="5517" spans="1:11" x14ac:dyDescent="0.25">
      <c r="A5517" t="s">
        <v>326</v>
      </c>
      <c r="B5517" t="s">
        <v>330</v>
      </c>
      <c r="C5517" t="s">
        <v>871</v>
      </c>
      <c r="D5517" t="s">
        <v>11</v>
      </c>
      <c r="E5517">
        <v>25</v>
      </c>
      <c r="F5517" s="2">
        <f>DATE(2026,IF(Tabla1[[#This Row],[Mes de Fecha]]="Septiembre",9,10),Tabla1[[#This Row],[Día de Fecha]])</f>
        <v>46290</v>
      </c>
      <c r="G5517">
        <v>1110040133</v>
      </c>
      <c r="H5517" t="s">
        <v>331</v>
      </c>
      <c r="I5517">
        <v>20</v>
      </c>
      <c r="J5517">
        <v>0</v>
      </c>
      <c r="K5517" s="1">
        <v>1205085</v>
      </c>
    </row>
    <row r="5518" spans="1:11" x14ac:dyDescent="0.25">
      <c r="A5518" t="s">
        <v>326</v>
      </c>
      <c r="B5518" t="s">
        <v>330</v>
      </c>
      <c r="C5518" t="s">
        <v>871</v>
      </c>
      <c r="D5518" t="s">
        <v>11</v>
      </c>
      <c r="E5518">
        <v>25</v>
      </c>
      <c r="F5518" s="2">
        <f>DATE(2026,IF(Tabla1[[#This Row],[Mes de Fecha]]="Septiembre",9,10),Tabla1[[#This Row],[Día de Fecha]])</f>
        <v>46290</v>
      </c>
      <c r="G5518">
        <v>1110292684</v>
      </c>
      <c r="H5518" t="s">
        <v>335</v>
      </c>
      <c r="I5518">
        <v>13</v>
      </c>
      <c r="J5518">
        <v>0</v>
      </c>
      <c r="K5518" s="1">
        <v>577144</v>
      </c>
    </row>
    <row r="5519" spans="1:11" x14ac:dyDescent="0.25">
      <c r="A5519" t="s">
        <v>326</v>
      </c>
      <c r="B5519" t="s">
        <v>330</v>
      </c>
      <c r="C5519" t="s">
        <v>871</v>
      </c>
      <c r="D5519" t="s">
        <v>11</v>
      </c>
      <c r="E5519">
        <v>25</v>
      </c>
      <c r="F5519" s="2">
        <f>DATE(2026,IF(Tabla1[[#This Row],[Mes de Fecha]]="Septiembre",9,10),Tabla1[[#This Row],[Día de Fecha]])</f>
        <v>46290</v>
      </c>
      <c r="G5519">
        <v>1144212178</v>
      </c>
      <c r="H5519" t="s">
        <v>336</v>
      </c>
      <c r="I5519">
        <v>-1</v>
      </c>
      <c r="J5519">
        <v>0</v>
      </c>
      <c r="K5519" s="1">
        <v>-109160</v>
      </c>
    </row>
    <row r="5520" spans="1:11" x14ac:dyDescent="0.25">
      <c r="A5520" t="s">
        <v>326</v>
      </c>
      <c r="B5520" t="s">
        <v>330</v>
      </c>
      <c r="C5520" t="s">
        <v>871</v>
      </c>
      <c r="D5520" t="s">
        <v>11</v>
      </c>
      <c r="E5520">
        <v>26</v>
      </c>
      <c r="F5520" s="2">
        <f>DATE(2026,IF(Tabla1[[#This Row],[Mes de Fecha]]="Septiembre",9,10),Tabla1[[#This Row],[Día de Fecha]])</f>
        <v>46291</v>
      </c>
      <c r="I5520">
        <v>0</v>
      </c>
      <c r="J5520" s="1">
        <v>12518948</v>
      </c>
      <c r="K5520">
        <v>0</v>
      </c>
    </row>
    <row r="5521" spans="1:11" x14ac:dyDescent="0.25">
      <c r="A5521" t="s">
        <v>326</v>
      </c>
      <c r="B5521" t="s">
        <v>330</v>
      </c>
      <c r="C5521" t="s">
        <v>871</v>
      </c>
      <c r="D5521" t="s">
        <v>11</v>
      </c>
      <c r="E5521">
        <v>26</v>
      </c>
      <c r="F5521" s="2">
        <f>DATE(2026,IF(Tabla1[[#This Row],[Mes de Fecha]]="Septiembre",9,10),Tabla1[[#This Row],[Día de Fecha]])</f>
        <v>46291</v>
      </c>
      <c r="G5521">
        <v>1007729215</v>
      </c>
      <c r="H5521" t="s">
        <v>332</v>
      </c>
      <c r="I5521">
        <v>89</v>
      </c>
      <c r="J5521">
        <v>0</v>
      </c>
      <c r="K5521" s="1">
        <v>4224587</v>
      </c>
    </row>
    <row r="5522" spans="1:11" x14ac:dyDescent="0.25">
      <c r="A5522" t="s">
        <v>326</v>
      </c>
      <c r="B5522" t="s">
        <v>330</v>
      </c>
      <c r="C5522" t="s">
        <v>871</v>
      </c>
      <c r="D5522" t="s">
        <v>11</v>
      </c>
      <c r="E5522">
        <v>26</v>
      </c>
      <c r="F5522" s="2">
        <f>DATE(2026,IF(Tabla1[[#This Row],[Mes de Fecha]]="Septiembre",9,10),Tabla1[[#This Row],[Día de Fecha]])</f>
        <v>46291</v>
      </c>
      <c r="G5522">
        <v>1110040133</v>
      </c>
      <c r="H5522" t="s">
        <v>331</v>
      </c>
      <c r="I5522">
        <v>79</v>
      </c>
      <c r="J5522">
        <v>0</v>
      </c>
      <c r="K5522" s="1">
        <v>4311435</v>
      </c>
    </row>
    <row r="5523" spans="1:11" x14ac:dyDescent="0.25">
      <c r="A5523" t="s">
        <v>326</v>
      </c>
      <c r="B5523" t="s">
        <v>330</v>
      </c>
      <c r="C5523" t="s">
        <v>871</v>
      </c>
      <c r="D5523" t="s">
        <v>11</v>
      </c>
      <c r="E5523">
        <v>26</v>
      </c>
      <c r="F5523" s="2">
        <f>DATE(2026,IF(Tabla1[[#This Row],[Mes de Fecha]]="Septiembre",9,10),Tabla1[[#This Row],[Día de Fecha]])</f>
        <v>46291</v>
      </c>
      <c r="G5523">
        <v>1110292684</v>
      </c>
      <c r="H5523" t="s">
        <v>335</v>
      </c>
      <c r="I5523">
        <v>55</v>
      </c>
      <c r="J5523">
        <v>0</v>
      </c>
      <c r="K5523" s="1">
        <v>2348784</v>
      </c>
    </row>
    <row r="5524" spans="1:11" x14ac:dyDescent="0.25">
      <c r="A5524" t="s">
        <v>326</v>
      </c>
      <c r="B5524" t="s">
        <v>330</v>
      </c>
      <c r="C5524" t="s">
        <v>871</v>
      </c>
      <c r="D5524" t="s">
        <v>11</v>
      </c>
      <c r="E5524">
        <v>27</v>
      </c>
      <c r="F5524" s="2">
        <f>DATE(2026,IF(Tabla1[[#This Row],[Mes de Fecha]]="Septiembre",9,10),Tabla1[[#This Row],[Día de Fecha]])</f>
        <v>46292</v>
      </c>
      <c r="I5524">
        <v>0</v>
      </c>
      <c r="J5524" s="1">
        <v>9917526</v>
      </c>
      <c r="K5524">
        <v>0</v>
      </c>
    </row>
    <row r="5525" spans="1:11" x14ac:dyDescent="0.25">
      <c r="A5525" t="s">
        <v>326</v>
      </c>
      <c r="B5525" t="s">
        <v>330</v>
      </c>
      <c r="C5525" t="s">
        <v>871</v>
      </c>
      <c r="D5525" t="s">
        <v>11</v>
      </c>
      <c r="E5525">
        <v>27</v>
      </c>
      <c r="F5525" s="2">
        <f>DATE(2026,IF(Tabla1[[#This Row],[Mes de Fecha]]="Septiembre",9,10),Tabla1[[#This Row],[Día de Fecha]])</f>
        <v>46292</v>
      </c>
      <c r="G5525">
        <v>1007729215</v>
      </c>
      <c r="H5525" t="s">
        <v>332</v>
      </c>
      <c r="I5525">
        <v>19</v>
      </c>
      <c r="J5525">
        <v>0</v>
      </c>
      <c r="K5525" s="1">
        <v>887689</v>
      </c>
    </row>
    <row r="5526" spans="1:11" x14ac:dyDescent="0.25">
      <c r="A5526" t="s">
        <v>326</v>
      </c>
      <c r="B5526" t="s">
        <v>330</v>
      </c>
      <c r="C5526" t="s">
        <v>871</v>
      </c>
      <c r="D5526" t="s">
        <v>11</v>
      </c>
      <c r="E5526">
        <v>27</v>
      </c>
      <c r="F5526" s="2">
        <f>DATE(2026,IF(Tabla1[[#This Row],[Mes de Fecha]]="Septiembre",9,10),Tabla1[[#This Row],[Día de Fecha]])</f>
        <v>46292</v>
      </c>
      <c r="G5526">
        <v>1094265298</v>
      </c>
      <c r="H5526" t="s">
        <v>337</v>
      </c>
      <c r="I5526">
        <v>-1</v>
      </c>
      <c r="J5526">
        <v>0</v>
      </c>
      <c r="K5526" s="1">
        <v>-71386</v>
      </c>
    </row>
    <row r="5527" spans="1:11" x14ac:dyDescent="0.25">
      <c r="A5527" t="s">
        <v>326</v>
      </c>
      <c r="B5527" t="s">
        <v>330</v>
      </c>
      <c r="C5527" t="s">
        <v>871</v>
      </c>
      <c r="D5527" t="s">
        <v>11</v>
      </c>
      <c r="E5527">
        <v>27</v>
      </c>
      <c r="F5527" s="2">
        <f>DATE(2026,IF(Tabla1[[#This Row],[Mes de Fecha]]="Septiembre",9,10),Tabla1[[#This Row],[Día de Fecha]])</f>
        <v>46292</v>
      </c>
      <c r="G5527">
        <v>1110040133</v>
      </c>
      <c r="H5527" t="s">
        <v>331</v>
      </c>
      <c r="I5527">
        <v>27</v>
      </c>
      <c r="J5527">
        <v>0</v>
      </c>
      <c r="K5527" s="1">
        <v>962859</v>
      </c>
    </row>
    <row r="5528" spans="1:11" x14ac:dyDescent="0.25">
      <c r="A5528" t="s">
        <v>326</v>
      </c>
      <c r="B5528" t="s">
        <v>330</v>
      </c>
      <c r="C5528" t="s">
        <v>871</v>
      </c>
      <c r="D5528" t="s">
        <v>11</v>
      </c>
      <c r="E5528">
        <v>28</v>
      </c>
      <c r="F5528" s="2">
        <f>DATE(2026,IF(Tabla1[[#This Row],[Mes de Fecha]]="Septiembre",9,10),Tabla1[[#This Row],[Día de Fecha]])</f>
        <v>46293</v>
      </c>
      <c r="I5528">
        <v>0</v>
      </c>
      <c r="J5528" s="1">
        <v>5584007</v>
      </c>
      <c r="K5528">
        <v>0</v>
      </c>
    </row>
    <row r="5529" spans="1:11" x14ac:dyDescent="0.25">
      <c r="A5529" t="s">
        <v>326</v>
      </c>
      <c r="B5529" t="s">
        <v>330</v>
      </c>
      <c r="C5529" t="s">
        <v>871</v>
      </c>
      <c r="D5529" t="s">
        <v>11</v>
      </c>
      <c r="E5529">
        <v>28</v>
      </c>
      <c r="F5529" s="2">
        <f>DATE(2026,IF(Tabla1[[#This Row],[Mes de Fecha]]="Septiembre",9,10),Tabla1[[#This Row],[Día de Fecha]])</f>
        <v>46293</v>
      </c>
      <c r="G5529">
        <v>1007729215</v>
      </c>
      <c r="H5529" t="s">
        <v>332</v>
      </c>
      <c r="I5529">
        <v>67</v>
      </c>
      <c r="J5529">
        <v>0</v>
      </c>
      <c r="K5529" s="1">
        <v>3370884</v>
      </c>
    </row>
    <row r="5530" spans="1:11" x14ac:dyDescent="0.25">
      <c r="A5530" t="s">
        <v>326</v>
      </c>
      <c r="B5530" t="s">
        <v>330</v>
      </c>
      <c r="C5530" t="s">
        <v>871</v>
      </c>
      <c r="D5530" t="s">
        <v>11</v>
      </c>
      <c r="E5530">
        <v>28</v>
      </c>
      <c r="F5530" s="2">
        <f>DATE(2026,IF(Tabla1[[#This Row],[Mes de Fecha]]="Septiembre",9,10),Tabla1[[#This Row],[Día de Fecha]])</f>
        <v>46293</v>
      </c>
      <c r="G5530">
        <v>1110040133</v>
      </c>
      <c r="H5530" t="s">
        <v>331</v>
      </c>
      <c r="I5530">
        <v>55</v>
      </c>
      <c r="J5530">
        <v>0</v>
      </c>
      <c r="K5530" s="1">
        <v>3125674</v>
      </c>
    </row>
    <row r="5531" spans="1:11" x14ac:dyDescent="0.25">
      <c r="A5531" t="s">
        <v>326</v>
      </c>
      <c r="B5531" t="s">
        <v>330</v>
      </c>
      <c r="C5531" t="s">
        <v>871</v>
      </c>
      <c r="D5531" t="s">
        <v>11</v>
      </c>
      <c r="E5531">
        <v>28</v>
      </c>
      <c r="F5531" s="2">
        <f>DATE(2026,IF(Tabla1[[#This Row],[Mes de Fecha]]="Septiembre",9,10),Tabla1[[#This Row],[Día de Fecha]])</f>
        <v>46293</v>
      </c>
      <c r="G5531">
        <v>1110292684</v>
      </c>
      <c r="H5531" t="s">
        <v>335</v>
      </c>
      <c r="I5531">
        <v>30</v>
      </c>
      <c r="J5531">
        <v>0</v>
      </c>
      <c r="K5531" s="1">
        <v>1721218</v>
      </c>
    </row>
    <row r="5532" spans="1:11" x14ac:dyDescent="0.25">
      <c r="A5532" t="s">
        <v>326</v>
      </c>
      <c r="B5532" t="s">
        <v>330</v>
      </c>
      <c r="C5532" t="s">
        <v>871</v>
      </c>
      <c r="D5532" t="s">
        <v>11</v>
      </c>
      <c r="E5532">
        <v>29</v>
      </c>
      <c r="F5532" s="2">
        <f>DATE(2026,IF(Tabla1[[#This Row],[Mes de Fecha]]="Septiembre",9,10),Tabla1[[#This Row],[Día de Fecha]])</f>
        <v>46294</v>
      </c>
      <c r="I5532">
        <v>0</v>
      </c>
      <c r="J5532" s="1">
        <v>5704619</v>
      </c>
      <c r="K5532">
        <v>0</v>
      </c>
    </row>
    <row r="5533" spans="1:11" x14ac:dyDescent="0.25">
      <c r="A5533" t="s">
        <v>326</v>
      </c>
      <c r="B5533" t="s">
        <v>330</v>
      </c>
      <c r="C5533" t="s">
        <v>871</v>
      </c>
      <c r="D5533" t="s">
        <v>11</v>
      </c>
      <c r="E5533">
        <v>29</v>
      </c>
      <c r="F5533" s="2">
        <f>DATE(2026,IF(Tabla1[[#This Row],[Mes de Fecha]]="Septiembre",9,10),Tabla1[[#This Row],[Día de Fecha]])</f>
        <v>46294</v>
      </c>
      <c r="G5533">
        <v>1007729215</v>
      </c>
      <c r="H5533" t="s">
        <v>332</v>
      </c>
      <c r="I5533">
        <v>50</v>
      </c>
      <c r="J5533">
        <v>0</v>
      </c>
      <c r="K5533" s="1">
        <v>2407271</v>
      </c>
    </row>
    <row r="5534" spans="1:11" x14ac:dyDescent="0.25">
      <c r="A5534" t="s">
        <v>326</v>
      </c>
      <c r="B5534" t="s">
        <v>330</v>
      </c>
      <c r="C5534" t="s">
        <v>871</v>
      </c>
      <c r="D5534" t="s">
        <v>11</v>
      </c>
      <c r="E5534">
        <v>29</v>
      </c>
      <c r="F5534" s="2">
        <f>DATE(2026,IF(Tabla1[[#This Row],[Mes de Fecha]]="Septiembre",9,10),Tabla1[[#This Row],[Día de Fecha]])</f>
        <v>46294</v>
      </c>
      <c r="G5534">
        <v>1102868881</v>
      </c>
      <c r="H5534" t="s">
        <v>338</v>
      </c>
      <c r="I5534">
        <v>-1</v>
      </c>
      <c r="J5534">
        <v>0</v>
      </c>
      <c r="K5534" s="1">
        <v>-105000</v>
      </c>
    </row>
    <row r="5535" spans="1:11" x14ac:dyDescent="0.25">
      <c r="A5535" t="s">
        <v>326</v>
      </c>
      <c r="B5535" t="s">
        <v>330</v>
      </c>
      <c r="C5535" t="s">
        <v>871</v>
      </c>
      <c r="D5535" t="s">
        <v>11</v>
      </c>
      <c r="E5535">
        <v>29</v>
      </c>
      <c r="F5535" s="2">
        <f>DATE(2026,IF(Tabla1[[#This Row],[Mes de Fecha]]="Septiembre",9,10),Tabla1[[#This Row],[Día de Fecha]])</f>
        <v>46294</v>
      </c>
      <c r="G5535">
        <v>1110040133</v>
      </c>
      <c r="H5535" t="s">
        <v>331</v>
      </c>
      <c r="I5535">
        <v>38</v>
      </c>
      <c r="J5535">
        <v>0</v>
      </c>
      <c r="K5535" s="1">
        <v>2208279</v>
      </c>
    </row>
    <row r="5536" spans="1:11" x14ac:dyDescent="0.25">
      <c r="A5536" t="s">
        <v>326</v>
      </c>
      <c r="B5536" t="s">
        <v>330</v>
      </c>
      <c r="C5536" t="s">
        <v>871</v>
      </c>
      <c r="D5536" t="s">
        <v>11</v>
      </c>
      <c r="E5536">
        <v>29</v>
      </c>
      <c r="F5536" s="2">
        <f>DATE(2026,IF(Tabla1[[#This Row],[Mes de Fecha]]="Septiembre",9,10),Tabla1[[#This Row],[Día de Fecha]])</f>
        <v>46294</v>
      </c>
      <c r="G5536">
        <v>1110292684</v>
      </c>
      <c r="H5536" t="s">
        <v>335</v>
      </c>
      <c r="I5536">
        <v>17</v>
      </c>
      <c r="J5536">
        <v>0</v>
      </c>
      <c r="K5536" s="1">
        <v>1066472</v>
      </c>
    </row>
    <row r="5537" spans="1:11" x14ac:dyDescent="0.25">
      <c r="A5537" t="s">
        <v>326</v>
      </c>
      <c r="B5537" t="s">
        <v>330</v>
      </c>
      <c r="C5537" t="s">
        <v>871</v>
      </c>
      <c r="D5537" t="s">
        <v>11</v>
      </c>
      <c r="E5537">
        <v>29</v>
      </c>
      <c r="F5537" s="2">
        <f>DATE(2026,IF(Tabla1[[#This Row],[Mes de Fecha]]="Septiembre",9,10),Tabla1[[#This Row],[Día de Fecha]])</f>
        <v>46294</v>
      </c>
      <c r="G5537">
        <v>1193597754</v>
      </c>
      <c r="H5537" t="s">
        <v>339</v>
      </c>
      <c r="I5537">
        <v>-1</v>
      </c>
      <c r="J5537">
        <v>0</v>
      </c>
      <c r="K5537" s="1">
        <v>-50378</v>
      </c>
    </row>
    <row r="5538" spans="1:11" x14ac:dyDescent="0.25">
      <c r="A5538" t="s">
        <v>326</v>
      </c>
      <c r="B5538" t="s">
        <v>330</v>
      </c>
      <c r="C5538" t="s">
        <v>871</v>
      </c>
      <c r="D5538" t="s">
        <v>11</v>
      </c>
      <c r="E5538">
        <v>30</v>
      </c>
      <c r="F5538" s="2">
        <f>DATE(2026,IF(Tabla1[[#This Row],[Mes de Fecha]]="Septiembre",9,10),Tabla1[[#This Row],[Día de Fecha]])</f>
        <v>46295</v>
      </c>
      <c r="I5538">
        <v>0</v>
      </c>
      <c r="J5538" s="1">
        <v>6022934</v>
      </c>
      <c r="K5538">
        <v>0</v>
      </c>
    </row>
    <row r="5539" spans="1:11" x14ac:dyDescent="0.25">
      <c r="A5539" t="s">
        <v>326</v>
      </c>
      <c r="B5539" t="s">
        <v>330</v>
      </c>
      <c r="C5539" t="s">
        <v>871</v>
      </c>
      <c r="D5539" t="s">
        <v>11</v>
      </c>
      <c r="E5539">
        <v>30</v>
      </c>
      <c r="F5539" s="2">
        <f>DATE(2026,IF(Tabla1[[#This Row],[Mes de Fecha]]="Septiembre",9,10),Tabla1[[#This Row],[Día de Fecha]])</f>
        <v>46295</v>
      </c>
      <c r="G5539">
        <v>1007729215</v>
      </c>
      <c r="H5539" t="s">
        <v>332</v>
      </c>
      <c r="I5539">
        <v>74</v>
      </c>
      <c r="J5539">
        <v>0</v>
      </c>
      <c r="K5539" s="1">
        <v>3454203</v>
      </c>
    </row>
    <row r="5540" spans="1:11" x14ac:dyDescent="0.25">
      <c r="A5540" t="s">
        <v>326</v>
      </c>
      <c r="B5540" t="s">
        <v>330</v>
      </c>
      <c r="C5540" t="s">
        <v>871</v>
      </c>
      <c r="D5540" t="s">
        <v>11</v>
      </c>
      <c r="E5540">
        <v>30</v>
      </c>
      <c r="F5540" s="2">
        <f>DATE(2026,IF(Tabla1[[#This Row],[Mes de Fecha]]="Septiembre",9,10),Tabla1[[#This Row],[Día de Fecha]])</f>
        <v>46295</v>
      </c>
      <c r="G5540">
        <v>1110040133</v>
      </c>
      <c r="H5540" t="s">
        <v>331</v>
      </c>
      <c r="I5540">
        <v>75</v>
      </c>
      <c r="J5540">
        <v>0</v>
      </c>
      <c r="K5540" s="1">
        <v>3474916</v>
      </c>
    </row>
    <row r="5541" spans="1:11" x14ac:dyDescent="0.25">
      <c r="A5541" t="s">
        <v>326</v>
      </c>
      <c r="B5541" t="s">
        <v>330</v>
      </c>
      <c r="C5541" t="s">
        <v>871</v>
      </c>
      <c r="D5541" t="s">
        <v>11</v>
      </c>
      <c r="E5541">
        <v>30</v>
      </c>
      <c r="F5541" s="2">
        <f>DATE(2026,IF(Tabla1[[#This Row],[Mes de Fecha]]="Septiembre",9,10),Tabla1[[#This Row],[Día de Fecha]])</f>
        <v>46295</v>
      </c>
      <c r="G5541">
        <v>1110292684</v>
      </c>
      <c r="H5541" t="s">
        <v>335</v>
      </c>
      <c r="I5541">
        <v>27</v>
      </c>
      <c r="J5541">
        <v>0</v>
      </c>
      <c r="K5541" s="1">
        <v>931220</v>
      </c>
    </row>
    <row r="5542" spans="1:11" x14ac:dyDescent="0.25">
      <c r="A5542" t="s">
        <v>326</v>
      </c>
      <c r="B5542" t="s">
        <v>330</v>
      </c>
      <c r="C5542" t="s">
        <v>871</v>
      </c>
      <c r="D5542" t="s">
        <v>14</v>
      </c>
      <c r="E5542">
        <v>1</v>
      </c>
      <c r="F5542" s="2">
        <f>DATE(2026,IF(Tabla1[[#This Row],[Mes de Fecha]]="Septiembre",9,10),Tabla1[[#This Row],[Día de Fecha]])</f>
        <v>46296</v>
      </c>
      <c r="I5542">
        <v>0</v>
      </c>
      <c r="J5542" s="1">
        <v>5294324</v>
      </c>
      <c r="K5542">
        <v>0</v>
      </c>
    </row>
    <row r="5543" spans="1:11" x14ac:dyDescent="0.25">
      <c r="A5543" t="s">
        <v>326</v>
      </c>
      <c r="B5543" t="s">
        <v>330</v>
      </c>
      <c r="C5543" t="s">
        <v>871</v>
      </c>
      <c r="D5543" t="s">
        <v>14</v>
      </c>
      <c r="E5543">
        <v>1</v>
      </c>
      <c r="F5543" s="2">
        <f>DATE(2026,IF(Tabla1[[#This Row],[Mes de Fecha]]="Septiembre",9,10),Tabla1[[#This Row],[Día de Fecha]])</f>
        <v>46296</v>
      </c>
      <c r="G5543">
        <v>6469923</v>
      </c>
      <c r="H5543" t="s">
        <v>340</v>
      </c>
      <c r="I5543">
        <v>-1</v>
      </c>
      <c r="J5543">
        <v>0</v>
      </c>
      <c r="K5543" s="1">
        <v>-33529</v>
      </c>
    </row>
    <row r="5544" spans="1:11" x14ac:dyDescent="0.25">
      <c r="A5544" t="s">
        <v>326</v>
      </c>
      <c r="B5544" t="s">
        <v>330</v>
      </c>
      <c r="C5544" t="s">
        <v>871</v>
      </c>
      <c r="D5544" t="s">
        <v>14</v>
      </c>
      <c r="E5544">
        <v>1</v>
      </c>
      <c r="F5544" s="2">
        <f>DATE(2026,IF(Tabla1[[#This Row],[Mes de Fecha]]="Septiembre",9,10),Tabla1[[#This Row],[Día de Fecha]])</f>
        <v>46296</v>
      </c>
      <c r="G5544">
        <v>1007729215</v>
      </c>
      <c r="H5544" t="s">
        <v>332</v>
      </c>
      <c r="I5544">
        <v>45</v>
      </c>
      <c r="J5544">
        <v>0</v>
      </c>
      <c r="K5544" s="1">
        <v>2285800</v>
      </c>
    </row>
    <row r="5545" spans="1:11" x14ac:dyDescent="0.25">
      <c r="A5545" t="s">
        <v>326</v>
      </c>
      <c r="B5545" t="s">
        <v>330</v>
      </c>
      <c r="C5545" t="s">
        <v>871</v>
      </c>
      <c r="D5545" t="s">
        <v>14</v>
      </c>
      <c r="E5545">
        <v>1</v>
      </c>
      <c r="F5545" s="2">
        <f>DATE(2026,IF(Tabla1[[#This Row],[Mes de Fecha]]="Septiembre",9,10),Tabla1[[#This Row],[Día de Fecha]])</f>
        <v>46296</v>
      </c>
      <c r="G5545">
        <v>1110040133</v>
      </c>
      <c r="H5545" t="s">
        <v>331</v>
      </c>
      <c r="I5545">
        <v>44</v>
      </c>
      <c r="J5545">
        <v>0</v>
      </c>
      <c r="K5545" s="1">
        <v>2252272</v>
      </c>
    </row>
    <row r="5546" spans="1:11" x14ac:dyDescent="0.25">
      <c r="A5546" t="s">
        <v>326</v>
      </c>
      <c r="B5546" t="s">
        <v>330</v>
      </c>
      <c r="C5546" t="s">
        <v>871</v>
      </c>
      <c r="D5546" t="s">
        <v>14</v>
      </c>
      <c r="E5546">
        <v>1</v>
      </c>
      <c r="F5546" s="2">
        <f>DATE(2026,IF(Tabla1[[#This Row],[Mes de Fecha]]="Septiembre",9,10),Tabla1[[#This Row],[Día de Fecha]])</f>
        <v>46296</v>
      </c>
      <c r="G5546">
        <v>1110292684</v>
      </c>
      <c r="H5546" t="s">
        <v>335</v>
      </c>
      <c r="I5546">
        <v>28</v>
      </c>
      <c r="J5546">
        <v>0</v>
      </c>
      <c r="K5546" s="1">
        <v>1028068</v>
      </c>
    </row>
    <row r="5547" spans="1:11" x14ac:dyDescent="0.25">
      <c r="A5547" t="s">
        <v>326</v>
      </c>
      <c r="B5547" t="s">
        <v>330</v>
      </c>
      <c r="C5547" t="s">
        <v>871</v>
      </c>
      <c r="D5547" t="s">
        <v>14</v>
      </c>
      <c r="E5547">
        <v>2</v>
      </c>
      <c r="F5547" s="2">
        <f>DATE(2026,IF(Tabla1[[#This Row],[Mes de Fecha]]="Septiembre",9,10),Tabla1[[#This Row],[Día de Fecha]])</f>
        <v>46297</v>
      </c>
      <c r="I5547">
        <v>0</v>
      </c>
      <c r="J5547" s="1">
        <v>4973364</v>
      </c>
      <c r="K5547">
        <v>0</v>
      </c>
    </row>
    <row r="5548" spans="1:11" x14ac:dyDescent="0.25">
      <c r="A5548" t="s">
        <v>326</v>
      </c>
      <c r="B5548" t="s">
        <v>330</v>
      </c>
      <c r="C5548" t="s">
        <v>871</v>
      </c>
      <c r="D5548" t="s">
        <v>14</v>
      </c>
      <c r="E5548">
        <v>2</v>
      </c>
      <c r="F5548" s="2">
        <f>DATE(2026,IF(Tabla1[[#This Row],[Mes de Fecha]]="Septiembre",9,10),Tabla1[[#This Row],[Día de Fecha]])</f>
        <v>46297</v>
      </c>
      <c r="G5548">
        <v>1007729215</v>
      </c>
      <c r="H5548" t="s">
        <v>332</v>
      </c>
      <c r="I5548">
        <v>38</v>
      </c>
      <c r="J5548">
        <v>0</v>
      </c>
      <c r="K5548" s="1">
        <v>1804874</v>
      </c>
    </row>
    <row r="5549" spans="1:11" x14ac:dyDescent="0.25">
      <c r="A5549" t="s">
        <v>326</v>
      </c>
      <c r="B5549" t="s">
        <v>330</v>
      </c>
      <c r="C5549" t="s">
        <v>871</v>
      </c>
      <c r="D5549" t="s">
        <v>14</v>
      </c>
      <c r="E5549">
        <v>2</v>
      </c>
      <c r="F5549" s="2">
        <f>DATE(2026,IF(Tabla1[[#This Row],[Mes de Fecha]]="Septiembre",9,10),Tabla1[[#This Row],[Día de Fecha]])</f>
        <v>46297</v>
      </c>
      <c r="G5549">
        <v>1110040133</v>
      </c>
      <c r="H5549" t="s">
        <v>331</v>
      </c>
      <c r="I5549">
        <v>34</v>
      </c>
      <c r="J5549">
        <v>0</v>
      </c>
      <c r="K5549" s="1">
        <v>1819705</v>
      </c>
    </row>
    <row r="5550" spans="1:11" x14ac:dyDescent="0.25">
      <c r="A5550" t="s">
        <v>326</v>
      </c>
      <c r="B5550" t="s">
        <v>330</v>
      </c>
      <c r="C5550" t="s">
        <v>871</v>
      </c>
      <c r="D5550" t="s">
        <v>14</v>
      </c>
      <c r="E5550">
        <v>2</v>
      </c>
      <c r="F5550" s="2">
        <f>DATE(2026,IF(Tabla1[[#This Row],[Mes de Fecha]]="Septiembre",9,10),Tabla1[[#This Row],[Día de Fecha]])</f>
        <v>46297</v>
      </c>
      <c r="G5550">
        <v>1110292684</v>
      </c>
      <c r="H5550" t="s">
        <v>335</v>
      </c>
      <c r="I5550">
        <v>20</v>
      </c>
      <c r="J5550">
        <v>0</v>
      </c>
      <c r="K5550" s="1">
        <v>1070377</v>
      </c>
    </row>
    <row r="5551" spans="1:11" x14ac:dyDescent="0.25">
      <c r="A5551" t="s">
        <v>326</v>
      </c>
      <c r="B5551" t="s">
        <v>330</v>
      </c>
      <c r="C5551" t="s">
        <v>871</v>
      </c>
      <c r="D5551" t="s">
        <v>14</v>
      </c>
      <c r="E5551">
        <v>3</v>
      </c>
      <c r="F5551" s="2">
        <f>DATE(2026,IF(Tabla1[[#This Row],[Mes de Fecha]]="Septiembre",9,10),Tabla1[[#This Row],[Día de Fecha]])</f>
        <v>46298</v>
      </c>
      <c r="I5551">
        <v>0</v>
      </c>
      <c r="J5551" s="1">
        <v>12854705</v>
      </c>
      <c r="K5551">
        <v>0</v>
      </c>
    </row>
    <row r="5552" spans="1:11" x14ac:dyDescent="0.25">
      <c r="A5552" t="s">
        <v>326</v>
      </c>
      <c r="B5552" t="s">
        <v>330</v>
      </c>
      <c r="C5552" t="s">
        <v>871</v>
      </c>
      <c r="D5552" t="s">
        <v>14</v>
      </c>
      <c r="E5552">
        <v>3</v>
      </c>
      <c r="F5552" s="2">
        <f>DATE(2026,IF(Tabla1[[#This Row],[Mes de Fecha]]="Septiembre",9,10),Tabla1[[#This Row],[Día de Fecha]])</f>
        <v>46298</v>
      </c>
      <c r="G5552">
        <v>1006048956</v>
      </c>
      <c r="H5552" t="s">
        <v>341</v>
      </c>
      <c r="I5552">
        <v>-1</v>
      </c>
      <c r="J5552">
        <v>0</v>
      </c>
      <c r="K5552" s="1">
        <v>-75546</v>
      </c>
    </row>
    <row r="5553" spans="1:11" x14ac:dyDescent="0.25">
      <c r="A5553" t="s">
        <v>326</v>
      </c>
      <c r="B5553" t="s">
        <v>330</v>
      </c>
      <c r="C5553" t="s">
        <v>871</v>
      </c>
      <c r="D5553" t="s">
        <v>14</v>
      </c>
      <c r="E5553">
        <v>3</v>
      </c>
      <c r="F5553" s="2">
        <f>DATE(2026,IF(Tabla1[[#This Row],[Mes de Fecha]]="Septiembre",9,10),Tabla1[[#This Row],[Día de Fecha]])</f>
        <v>46298</v>
      </c>
      <c r="G5553">
        <v>1007729215</v>
      </c>
      <c r="H5553" t="s">
        <v>332</v>
      </c>
      <c r="I5553">
        <v>102</v>
      </c>
      <c r="J5553">
        <v>0</v>
      </c>
      <c r="K5553" s="1">
        <v>5103975</v>
      </c>
    </row>
    <row r="5554" spans="1:11" x14ac:dyDescent="0.25">
      <c r="A5554" t="s">
        <v>326</v>
      </c>
      <c r="B5554" t="s">
        <v>330</v>
      </c>
      <c r="C5554" t="s">
        <v>871</v>
      </c>
      <c r="D5554" t="s">
        <v>14</v>
      </c>
      <c r="E5554">
        <v>3</v>
      </c>
      <c r="F5554" s="2">
        <f>DATE(2026,IF(Tabla1[[#This Row],[Mes de Fecha]]="Septiembre",9,10),Tabla1[[#This Row],[Día de Fecha]])</f>
        <v>46298</v>
      </c>
      <c r="G5554">
        <v>1110040133</v>
      </c>
      <c r="H5554" t="s">
        <v>331</v>
      </c>
      <c r="I5554">
        <v>104</v>
      </c>
      <c r="J5554">
        <v>0</v>
      </c>
      <c r="K5554" s="1">
        <v>4772565</v>
      </c>
    </row>
    <row r="5555" spans="1:11" x14ac:dyDescent="0.25">
      <c r="A5555" t="s">
        <v>326</v>
      </c>
      <c r="B5555" t="s">
        <v>330</v>
      </c>
      <c r="C5555" t="s">
        <v>871</v>
      </c>
      <c r="D5555" t="s">
        <v>14</v>
      </c>
      <c r="E5555">
        <v>3</v>
      </c>
      <c r="F5555" s="2">
        <f>DATE(2026,IF(Tabla1[[#This Row],[Mes de Fecha]]="Septiembre",9,10),Tabla1[[#This Row],[Día de Fecha]])</f>
        <v>46298</v>
      </c>
      <c r="G5555">
        <v>1110292684</v>
      </c>
      <c r="H5555" t="s">
        <v>335</v>
      </c>
      <c r="I5555">
        <v>63</v>
      </c>
      <c r="J5555">
        <v>0</v>
      </c>
      <c r="K5555" s="1">
        <v>2425634</v>
      </c>
    </row>
    <row r="5556" spans="1:11" x14ac:dyDescent="0.25">
      <c r="A5556" t="s">
        <v>326</v>
      </c>
      <c r="B5556" t="s">
        <v>330</v>
      </c>
      <c r="C5556" t="s">
        <v>871</v>
      </c>
      <c r="D5556" t="s">
        <v>14</v>
      </c>
      <c r="E5556">
        <v>4</v>
      </c>
      <c r="F5556" s="2">
        <f>DATE(2026,IF(Tabla1[[#This Row],[Mes de Fecha]]="Septiembre",9,10),Tabla1[[#This Row],[Día de Fecha]])</f>
        <v>46299</v>
      </c>
      <c r="I5556">
        <v>0</v>
      </c>
      <c r="J5556" s="1">
        <v>3635740</v>
      </c>
      <c r="K5556">
        <v>0</v>
      </c>
    </row>
    <row r="5557" spans="1:11" x14ac:dyDescent="0.25">
      <c r="A5557" t="s">
        <v>326</v>
      </c>
      <c r="B5557" t="s">
        <v>330</v>
      </c>
      <c r="C5557" t="s">
        <v>871</v>
      </c>
      <c r="D5557" t="s">
        <v>14</v>
      </c>
      <c r="E5557">
        <v>4</v>
      </c>
      <c r="F5557" s="2">
        <f>DATE(2026,IF(Tabla1[[#This Row],[Mes de Fecha]]="Septiembre",9,10),Tabla1[[#This Row],[Día de Fecha]])</f>
        <v>46299</v>
      </c>
      <c r="G5557">
        <v>1007729215</v>
      </c>
      <c r="H5557" t="s">
        <v>332</v>
      </c>
      <c r="I5557">
        <v>22</v>
      </c>
      <c r="J5557">
        <v>0</v>
      </c>
      <c r="K5557" s="1">
        <v>1057774</v>
      </c>
    </row>
    <row r="5558" spans="1:11" x14ac:dyDescent="0.25">
      <c r="A5558" t="s">
        <v>326</v>
      </c>
      <c r="B5558" t="s">
        <v>330</v>
      </c>
      <c r="C5558" t="s">
        <v>871</v>
      </c>
      <c r="D5558" t="s">
        <v>14</v>
      </c>
      <c r="E5558">
        <v>4</v>
      </c>
      <c r="F5558" s="2">
        <f>DATE(2026,IF(Tabla1[[#This Row],[Mes de Fecha]]="Septiembre",9,10),Tabla1[[#This Row],[Día de Fecha]])</f>
        <v>46299</v>
      </c>
      <c r="G5558">
        <v>1110040133</v>
      </c>
      <c r="H5558" t="s">
        <v>331</v>
      </c>
      <c r="I5558">
        <v>32</v>
      </c>
      <c r="J5558">
        <v>0</v>
      </c>
      <c r="K5558" s="1">
        <v>1141302</v>
      </c>
    </row>
    <row r="5559" spans="1:11" x14ac:dyDescent="0.25">
      <c r="A5559" t="s">
        <v>326</v>
      </c>
      <c r="B5559" t="s">
        <v>330</v>
      </c>
      <c r="C5559" t="s">
        <v>871</v>
      </c>
      <c r="D5559" t="s">
        <v>14</v>
      </c>
      <c r="E5559">
        <v>5</v>
      </c>
      <c r="F5559" s="2">
        <f>DATE(2026,IF(Tabla1[[#This Row],[Mes de Fecha]]="Septiembre",9,10),Tabla1[[#This Row],[Día de Fecha]])</f>
        <v>46300</v>
      </c>
      <c r="I5559">
        <v>0</v>
      </c>
      <c r="J5559" s="1">
        <v>10853522</v>
      </c>
      <c r="K5559">
        <v>0</v>
      </c>
    </row>
    <row r="5560" spans="1:11" x14ac:dyDescent="0.25">
      <c r="A5560" t="s">
        <v>326</v>
      </c>
      <c r="B5560" t="s">
        <v>330</v>
      </c>
      <c r="C5560" t="s">
        <v>871</v>
      </c>
      <c r="D5560" t="s">
        <v>14</v>
      </c>
      <c r="E5560">
        <v>5</v>
      </c>
      <c r="F5560" s="2">
        <f>DATE(2026,IF(Tabla1[[#This Row],[Mes de Fecha]]="Septiembre",9,10),Tabla1[[#This Row],[Día de Fecha]])</f>
        <v>46300</v>
      </c>
      <c r="G5560">
        <v>1007729215</v>
      </c>
      <c r="H5560" t="s">
        <v>332</v>
      </c>
      <c r="I5560">
        <v>34</v>
      </c>
      <c r="J5560">
        <v>0</v>
      </c>
      <c r="K5560" s="1">
        <v>1914540</v>
      </c>
    </row>
    <row r="5561" spans="1:11" x14ac:dyDescent="0.25">
      <c r="A5561" t="s">
        <v>326</v>
      </c>
      <c r="B5561" t="s">
        <v>330</v>
      </c>
      <c r="C5561" t="s">
        <v>871</v>
      </c>
      <c r="D5561" t="s">
        <v>14</v>
      </c>
      <c r="E5561">
        <v>5</v>
      </c>
      <c r="F5561" s="2">
        <f>DATE(2026,IF(Tabla1[[#This Row],[Mes de Fecha]]="Septiembre",9,10),Tabla1[[#This Row],[Día de Fecha]])</f>
        <v>46300</v>
      </c>
      <c r="G5561">
        <v>1110040133</v>
      </c>
      <c r="H5561" t="s">
        <v>331</v>
      </c>
      <c r="I5561">
        <v>35</v>
      </c>
      <c r="J5561">
        <v>0</v>
      </c>
      <c r="K5561" s="1">
        <v>2036306</v>
      </c>
    </row>
    <row r="5562" spans="1:11" x14ac:dyDescent="0.25">
      <c r="A5562" t="s">
        <v>326</v>
      </c>
      <c r="B5562" t="s">
        <v>330</v>
      </c>
      <c r="C5562" t="s">
        <v>871</v>
      </c>
      <c r="D5562" t="s">
        <v>14</v>
      </c>
      <c r="E5562">
        <v>5</v>
      </c>
      <c r="F5562" s="2">
        <f>DATE(2026,IF(Tabla1[[#This Row],[Mes de Fecha]]="Septiembre",9,10),Tabla1[[#This Row],[Día de Fecha]])</f>
        <v>46300</v>
      </c>
      <c r="G5562">
        <v>1110292684</v>
      </c>
      <c r="H5562" t="s">
        <v>335</v>
      </c>
      <c r="I5562">
        <v>25</v>
      </c>
      <c r="J5562">
        <v>0</v>
      </c>
      <c r="K5562" s="1">
        <v>1019666</v>
      </c>
    </row>
    <row r="5563" spans="1:11" x14ac:dyDescent="0.25">
      <c r="A5563" t="s">
        <v>326</v>
      </c>
      <c r="B5563" t="s">
        <v>330</v>
      </c>
      <c r="C5563" t="s">
        <v>871</v>
      </c>
      <c r="D5563" t="s">
        <v>14</v>
      </c>
      <c r="E5563">
        <v>6</v>
      </c>
      <c r="F5563" s="2">
        <f>DATE(2026,IF(Tabla1[[#This Row],[Mes de Fecha]]="Septiembre",9,10),Tabla1[[#This Row],[Día de Fecha]])</f>
        <v>46301</v>
      </c>
      <c r="I5563">
        <v>0</v>
      </c>
      <c r="J5563" s="1">
        <v>4734559</v>
      </c>
      <c r="K5563">
        <v>0</v>
      </c>
    </row>
    <row r="5564" spans="1:11" x14ac:dyDescent="0.25">
      <c r="A5564" t="s">
        <v>326</v>
      </c>
      <c r="B5564" t="s">
        <v>330</v>
      </c>
      <c r="C5564" t="s">
        <v>871</v>
      </c>
      <c r="D5564" t="s">
        <v>14</v>
      </c>
      <c r="E5564">
        <v>6</v>
      </c>
      <c r="F5564" s="2">
        <f>DATE(2026,IF(Tabla1[[#This Row],[Mes de Fecha]]="Septiembre",9,10),Tabla1[[#This Row],[Día de Fecha]])</f>
        <v>46301</v>
      </c>
      <c r="G5564">
        <v>1007729215</v>
      </c>
      <c r="H5564" t="s">
        <v>332</v>
      </c>
      <c r="I5564">
        <v>19</v>
      </c>
      <c r="J5564">
        <v>0</v>
      </c>
      <c r="K5564" s="1">
        <v>767567</v>
      </c>
    </row>
    <row r="5565" spans="1:11" x14ac:dyDescent="0.25">
      <c r="A5565" t="s">
        <v>326</v>
      </c>
      <c r="B5565" t="s">
        <v>330</v>
      </c>
      <c r="C5565" t="s">
        <v>871</v>
      </c>
      <c r="D5565" t="s">
        <v>14</v>
      </c>
      <c r="E5565">
        <v>6</v>
      </c>
      <c r="F5565" s="2">
        <f>DATE(2026,IF(Tabla1[[#This Row],[Mes de Fecha]]="Septiembre",9,10),Tabla1[[#This Row],[Día de Fecha]])</f>
        <v>46301</v>
      </c>
      <c r="G5565">
        <v>1110040133</v>
      </c>
      <c r="H5565" t="s">
        <v>331</v>
      </c>
      <c r="I5565">
        <v>22</v>
      </c>
      <c r="J5565">
        <v>0</v>
      </c>
      <c r="K5565" s="1">
        <v>890581</v>
      </c>
    </row>
    <row r="5566" spans="1:11" x14ac:dyDescent="0.25">
      <c r="A5566" t="s">
        <v>326</v>
      </c>
      <c r="B5566" t="s">
        <v>330</v>
      </c>
      <c r="C5566" t="s">
        <v>871</v>
      </c>
      <c r="D5566" t="s">
        <v>14</v>
      </c>
      <c r="E5566">
        <v>6</v>
      </c>
      <c r="F5566" s="2">
        <f>DATE(2026,IF(Tabla1[[#This Row],[Mes de Fecha]]="Septiembre",9,10),Tabla1[[#This Row],[Día de Fecha]])</f>
        <v>46301</v>
      </c>
      <c r="G5566">
        <v>1110292684</v>
      </c>
      <c r="H5566" t="s">
        <v>335</v>
      </c>
      <c r="I5566">
        <v>0</v>
      </c>
      <c r="J5566">
        <v>0</v>
      </c>
      <c r="K5566" s="1">
        <v>-63067</v>
      </c>
    </row>
    <row r="5567" spans="1:11" x14ac:dyDescent="0.25">
      <c r="A5567" t="s">
        <v>326</v>
      </c>
      <c r="B5567" t="s">
        <v>330</v>
      </c>
      <c r="C5567" t="s">
        <v>871</v>
      </c>
      <c r="D5567" t="s">
        <v>14</v>
      </c>
      <c r="E5567">
        <v>6</v>
      </c>
      <c r="F5567" s="2">
        <f>DATE(2026,IF(Tabla1[[#This Row],[Mes de Fecha]]="Septiembre",9,10),Tabla1[[#This Row],[Día de Fecha]])</f>
        <v>46301</v>
      </c>
      <c r="G5567">
        <v>1111665228</v>
      </c>
      <c r="H5567" t="s">
        <v>342</v>
      </c>
      <c r="I5567">
        <v>-1</v>
      </c>
      <c r="J5567">
        <v>0</v>
      </c>
      <c r="K5567" s="1">
        <v>-105000</v>
      </c>
    </row>
    <row r="5568" spans="1:11" x14ac:dyDescent="0.25">
      <c r="A5568" t="s">
        <v>326</v>
      </c>
      <c r="B5568" t="s">
        <v>330</v>
      </c>
      <c r="C5568" t="s">
        <v>871</v>
      </c>
      <c r="D5568" t="s">
        <v>14</v>
      </c>
      <c r="E5568">
        <v>7</v>
      </c>
      <c r="F5568" s="2">
        <f>DATE(2026,IF(Tabla1[[#This Row],[Mes de Fecha]]="Septiembre",9,10),Tabla1[[#This Row],[Día de Fecha]])</f>
        <v>46302</v>
      </c>
      <c r="I5568">
        <v>0</v>
      </c>
      <c r="J5568" s="1">
        <v>4697362</v>
      </c>
      <c r="K5568">
        <v>0</v>
      </c>
    </row>
    <row r="5569" spans="1:11" x14ac:dyDescent="0.25">
      <c r="A5569" t="s">
        <v>326</v>
      </c>
      <c r="B5569" t="s">
        <v>330</v>
      </c>
      <c r="C5569" t="s">
        <v>871</v>
      </c>
      <c r="D5569" t="s">
        <v>14</v>
      </c>
      <c r="E5569">
        <v>7</v>
      </c>
      <c r="F5569" s="2">
        <f>DATE(2026,IF(Tabla1[[#This Row],[Mes de Fecha]]="Septiembre",9,10),Tabla1[[#This Row],[Día de Fecha]])</f>
        <v>46302</v>
      </c>
      <c r="G5569">
        <v>1007729215</v>
      </c>
      <c r="H5569" t="s">
        <v>332</v>
      </c>
      <c r="I5569">
        <v>36</v>
      </c>
      <c r="J5569">
        <v>0</v>
      </c>
      <c r="K5569" s="1">
        <v>1767313</v>
      </c>
    </row>
    <row r="5570" spans="1:11" x14ac:dyDescent="0.25">
      <c r="A5570" t="s">
        <v>326</v>
      </c>
      <c r="B5570" t="s">
        <v>330</v>
      </c>
      <c r="C5570" t="s">
        <v>871</v>
      </c>
      <c r="D5570" t="s">
        <v>14</v>
      </c>
      <c r="E5570">
        <v>7</v>
      </c>
      <c r="F5570" s="2">
        <f>DATE(2026,IF(Tabla1[[#This Row],[Mes de Fecha]]="Septiembre",9,10),Tabla1[[#This Row],[Día de Fecha]])</f>
        <v>46302</v>
      </c>
      <c r="G5570">
        <v>1110040133</v>
      </c>
      <c r="H5570" t="s">
        <v>331</v>
      </c>
      <c r="I5570">
        <v>40</v>
      </c>
      <c r="J5570">
        <v>0</v>
      </c>
      <c r="K5570" s="1">
        <v>1918994</v>
      </c>
    </row>
    <row r="5571" spans="1:11" x14ac:dyDescent="0.25">
      <c r="A5571" t="s">
        <v>326</v>
      </c>
      <c r="B5571" t="s">
        <v>330</v>
      </c>
      <c r="C5571" t="s">
        <v>871</v>
      </c>
      <c r="D5571" t="s">
        <v>14</v>
      </c>
      <c r="E5571">
        <v>7</v>
      </c>
      <c r="F5571" s="2">
        <f>DATE(2026,IF(Tabla1[[#This Row],[Mes de Fecha]]="Septiembre",9,10),Tabla1[[#This Row],[Día de Fecha]])</f>
        <v>46302</v>
      </c>
      <c r="G5571">
        <v>1110292684</v>
      </c>
      <c r="H5571" t="s">
        <v>335</v>
      </c>
      <c r="I5571">
        <v>21</v>
      </c>
      <c r="J5571">
        <v>0</v>
      </c>
      <c r="K5571" s="1">
        <v>908488</v>
      </c>
    </row>
    <row r="5572" spans="1:11" x14ac:dyDescent="0.25">
      <c r="A5572" t="s">
        <v>326</v>
      </c>
      <c r="B5572" t="s">
        <v>351</v>
      </c>
      <c r="C5572" t="s">
        <v>871</v>
      </c>
      <c r="D5572" t="s">
        <v>11</v>
      </c>
      <c r="E5572">
        <v>23</v>
      </c>
      <c r="F5572" s="2">
        <f>DATE(2026,IF(Tabla1[[#This Row],[Mes de Fecha]]="Septiembre",9,10),Tabla1[[#This Row],[Día de Fecha]])</f>
        <v>46288</v>
      </c>
      <c r="I5572">
        <v>0</v>
      </c>
      <c r="J5572" s="1">
        <v>5304382</v>
      </c>
      <c r="K5572">
        <v>0</v>
      </c>
    </row>
    <row r="5573" spans="1:11" x14ac:dyDescent="0.25">
      <c r="A5573" t="s">
        <v>326</v>
      </c>
      <c r="B5573" t="s">
        <v>351</v>
      </c>
      <c r="C5573" t="s">
        <v>871</v>
      </c>
      <c r="D5573" t="s">
        <v>11</v>
      </c>
      <c r="E5573">
        <v>23</v>
      </c>
      <c r="F5573" s="2">
        <f>DATE(2026,IF(Tabla1[[#This Row],[Mes de Fecha]]="Septiembre",9,10),Tabla1[[#This Row],[Día de Fecha]])</f>
        <v>46288</v>
      </c>
      <c r="G5573">
        <v>1005893835</v>
      </c>
      <c r="H5573" t="s">
        <v>355</v>
      </c>
      <c r="I5573">
        <v>15</v>
      </c>
      <c r="J5573">
        <v>0</v>
      </c>
      <c r="K5573" s="1">
        <v>818617</v>
      </c>
    </row>
    <row r="5574" spans="1:11" x14ac:dyDescent="0.25">
      <c r="A5574" t="s">
        <v>326</v>
      </c>
      <c r="B5574" t="s">
        <v>351</v>
      </c>
      <c r="C5574" t="s">
        <v>871</v>
      </c>
      <c r="D5574" t="s">
        <v>11</v>
      </c>
      <c r="E5574">
        <v>23</v>
      </c>
      <c r="F5574" s="2">
        <f>DATE(2026,IF(Tabla1[[#This Row],[Mes de Fecha]]="Septiembre",9,10),Tabla1[[#This Row],[Día de Fecha]])</f>
        <v>46288</v>
      </c>
      <c r="G5574">
        <v>1102868881</v>
      </c>
      <c r="H5574" t="s">
        <v>338</v>
      </c>
      <c r="I5574">
        <v>36</v>
      </c>
      <c r="J5574">
        <v>0</v>
      </c>
      <c r="K5574" s="1">
        <v>1913994</v>
      </c>
    </row>
    <row r="5575" spans="1:11" x14ac:dyDescent="0.25">
      <c r="A5575" t="s">
        <v>326</v>
      </c>
      <c r="B5575" t="s">
        <v>351</v>
      </c>
      <c r="C5575" t="s">
        <v>871</v>
      </c>
      <c r="D5575" t="s">
        <v>11</v>
      </c>
      <c r="E5575">
        <v>23</v>
      </c>
      <c r="F5575" s="2">
        <f>DATE(2026,IF(Tabla1[[#This Row],[Mes de Fecha]]="Septiembre",9,10),Tabla1[[#This Row],[Día de Fecha]])</f>
        <v>46288</v>
      </c>
      <c r="G5575">
        <v>1144159588</v>
      </c>
      <c r="H5575" t="s">
        <v>352</v>
      </c>
      <c r="I5575">
        <v>43</v>
      </c>
      <c r="J5575">
        <v>0</v>
      </c>
      <c r="K5575" s="1">
        <v>2050379</v>
      </c>
    </row>
    <row r="5576" spans="1:11" x14ac:dyDescent="0.25">
      <c r="A5576" t="s">
        <v>326</v>
      </c>
      <c r="B5576" t="s">
        <v>351</v>
      </c>
      <c r="C5576" t="s">
        <v>871</v>
      </c>
      <c r="D5576" t="s">
        <v>11</v>
      </c>
      <c r="E5576">
        <v>24</v>
      </c>
      <c r="F5576" s="2">
        <f>DATE(2026,IF(Tabla1[[#This Row],[Mes de Fecha]]="Septiembre",9,10),Tabla1[[#This Row],[Día de Fecha]])</f>
        <v>46289</v>
      </c>
      <c r="I5576">
        <v>0</v>
      </c>
      <c r="J5576" s="1">
        <v>8103038</v>
      </c>
      <c r="K5576">
        <v>0</v>
      </c>
    </row>
    <row r="5577" spans="1:11" x14ac:dyDescent="0.25">
      <c r="A5577" t="s">
        <v>326</v>
      </c>
      <c r="B5577" t="s">
        <v>351</v>
      </c>
      <c r="C5577" t="s">
        <v>871</v>
      </c>
      <c r="D5577" t="s">
        <v>11</v>
      </c>
      <c r="E5577">
        <v>24</v>
      </c>
      <c r="F5577" s="2">
        <f>DATE(2026,IF(Tabla1[[#This Row],[Mes de Fecha]]="Septiembre",9,10),Tabla1[[#This Row],[Día de Fecha]])</f>
        <v>46289</v>
      </c>
      <c r="G5577">
        <v>1005893835</v>
      </c>
      <c r="H5577" t="s">
        <v>355</v>
      </c>
      <c r="I5577">
        <v>57</v>
      </c>
      <c r="J5577">
        <v>0</v>
      </c>
      <c r="K5577" s="1">
        <v>2715633</v>
      </c>
    </row>
    <row r="5578" spans="1:11" x14ac:dyDescent="0.25">
      <c r="A5578" t="s">
        <v>326</v>
      </c>
      <c r="B5578" t="s">
        <v>351</v>
      </c>
      <c r="C5578" t="s">
        <v>871</v>
      </c>
      <c r="D5578" t="s">
        <v>11</v>
      </c>
      <c r="E5578">
        <v>24</v>
      </c>
      <c r="F5578" s="2">
        <f>DATE(2026,IF(Tabla1[[#This Row],[Mes de Fecha]]="Septiembre",9,10),Tabla1[[#This Row],[Día de Fecha]])</f>
        <v>46289</v>
      </c>
      <c r="G5578">
        <v>1102868881</v>
      </c>
      <c r="H5578" t="s">
        <v>338</v>
      </c>
      <c r="I5578">
        <v>42</v>
      </c>
      <c r="J5578">
        <v>0</v>
      </c>
      <c r="K5578" s="1">
        <v>2128195</v>
      </c>
    </row>
    <row r="5579" spans="1:11" x14ac:dyDescent="0.25">
      <c r="A5579" t="s">
        <v>326</v>
      </c>
      <c r="B5579" t="s">
        <v>351</v>
      </c>
      <c r="C5579" t="s">
        <v>871</v>
      </c>
      <c r="D5579" t="s">
        <v>11</v>
      </c>
      <c r="E5579">
        <v>24</v>
      </c>
      <c r="F5579" s="2">
        <f>DATE(2026,IF(Tabla1[[#This Row],[Mes de Fecha]]="Septiembre",9,10),Tabla1[[#This Row],[Día de Fecha]])</f>
        <v>46289</v>
      </c>
      <c r="G5579">
        <v>1144159588</v>
      </c>
      <c r="H5579" t="s">
        <v>352</v>
      </c>
      <c r="I5579">
        <v>42</v>
      </c>
      <c r="J5579">
        <v>0</v>
      </c>
      <c r="K5579" s="1">
        <v>2154136</v>
      </c>
    </row>
    <row r="5580" spans="1:11" x14ac:dyDescent="0.25">
      <c r="A5580" t="s">
        <v>326</v>
      </c>
      <c r="B5580" t="s">
        <v>351</v>
      </c>
      <c r="C5580" t="s">
        <v>871</v>
      </c>
      <c r="D5580" t="s">
        <v>11</v>
      </c>
      <c r="E5580">
        <v>25</v>
      </c>
      <c r="F5580" s="2">
        <f>DATE(2026,IF(Tabla1[[#This Row],[Mes de Fecha]]="Septiembre",9,10),Tabla1[[#This Row],[Día de Fecha]])</f>
        <v>46290</v>
      </c>
      <c r="I5580">
        <v>0</v>
      </c>
      <c r="J5580" s="1">
        <v>8085102</v>
      </c>
      <c r="K5580">
        <v>0</v>
      </c>
    </row>
    <row r="5581" spans="1:11" x14ac:dyDescent="0.25">
      <c r="A5581" t="s">
        <v>326</v>
      </c>
      <c r="B5581" t="s">
        <v>351</v>
      </c>
      <c r="C5581" t="s">
        <v>871</v>
      </c>
      <c r="D5581" t="s">
        <v>11</v>
      </c>
      <c r="E5581">
        <v>25</v>
      </c>
      <c r="F5581" s="2">
        <f>DATE(2026,IF(Tabla1[[#This Row],[Mes de Fecha]]="Septiembre",9,10),Tabla1[[#This Row],[Día de Fecha]])</f>
        <v>46290</v>
      </c>
      <c r="G5581">
        <v>1005893835</v>
      </c>
      <c r="H5581" t="s">
        <v>355</v>
      </c>
      <c r="I5581">
        <v>75</v>
      </c>
      <c r="J5581">
        <v>0</v>
      </c>
      <c r="K5581" s="1">
        <v>3538367</v>
      </c>
    </row>
    <row r="5582" spans="1:11" x14ac:dyDescent="0.25">
      <c r="A5582" t="s">
        <v>326</v>
      </c>
      <c r="B5582" t="s">
        <v>351</v>
      </c>
      <c r="C5582" t="s">
        <v>871</v>
      </c>
      <c r="D5582" t="s">
        <v>11</v>
      </c>
      <c r="E5582">
        <v>25</v>
      </c>
      <c r="F5582" s="2">
        <f>DATE(2026,IF(Tabla1[[#This Row],[Mes de Fecha]]="Septiembre",9,10),Tabla1[[#This Row],[Día de Fecha]])</f>
        <v>46290</v>
      </c>
      <c r="G5582">
        <v>1102868881</v>
      </c>
      <c r="H5582" t="s">
        <v>338</v>
      </c>
      <c r="I5582">
        <v>53</v>
      </c>
      <c r="J5582">
        <v>0</v>
      </c>
      <c r="K5582" s="1">
        <v>2949246</v>
      </c>
    </row>
    <row r="5583" spans="1:11" x14ac:dyDescent="0.25">
      <c r="A5583" t="s">
        <v>326</v>
      </c>
      <c r="B5583" t="s">
        <v>351</v>
      </c>
      <c r="C5583" t="s">
        <v>871</v>
      </c>
      <c r="D5583" t="s">
        <v>11</v>
      </c>
      <c r="E5583">
        <v>25</v>
      </c>
      <c r="F5583" s="2">
        <f>DATE(2026,IF(Tabla1[[#This Row],[Mes de Fecha]]="Septiembre",9,10),Tabla1[[#This Row],[Día de Fecha]])</f>
        <v>46290</v>
      </c>
      <c r="G5583">
        <v>1144159588</v>
      </c>
      <c r="H5583" t="s">
        <v>352</v>
      </c>
      <c r="I5583">
        <v>59</v>
      </c>
      <c r="J5583">
        <v>0</v>
      </c>
      <c r="K5583" s="1">
        <v>2992943</v>
      </c>
    </row>
    <row r="5584" spans="1:11" x14ac:dyDescent="0.25">
      <c r="A5584" t="s">
        <v>326</v>
      </c>
      <c r="B5584" t="s">
        <v>351</v>
      </c>
      <c r="C5584" t="s">
        <v>871</v>
      </c>
      <c r="D5584" t="s">
        <v>11</v>
      </c>
      <c r="E5584">
        <v>25</v>
      </c>
      <c r="F5584" s="2">
        <f>DATE(2026,IF(Tabla1[[#This Row],[Mes de Fecha]]="Septiembre",9,10),Tabla1[[#This Row],[Día de Fecha]])</f>
        <v>46290</v>
      </c>
      <c r="G5584">
        <v>1144212178</v>
      </c>
      <c r="H5584" t="s">
        <v>336</v>
      </c>
      <c r="I5584">
        <v>-1</v>
      </c>
      <c r="J5584">
        <v>0</v>
      </c>
      <c r="K5584" s="1">
        <v>-41975</v>
      </c>
    </row>
    <row r="5585" spans="1:11" x14ac:dyDescent="0.25">
      <c r="A5585" t="s">
        <v>326</v>
      </c>
      <c r="B5585" t="s">
        <v>351</v>
      </c>
      <c r="C5585" t="s">
        <v>871</v>
      </c>
      <c r="D5585" t="s">
        <v>11</v>
      </c>
      <c r="E5585">
        <v>26</v>
      </c>
      <c r="F5585" s="2">
        <f>DATE(2026,IF(Tabla1[[#This Row],[Mes de Fecha]]="Septiembre",9,10),Tabla1[[#This Row],[Día de Fecha]])</f>
        <v>46291</v>
      </c>
      <c r="I5585">
        <v>0</v>
      </c>
      <c r="J5585" s="1">
        <v>11619454</v>
      </c>
      <c r="K5585">
        <v>0</v>
      </c>
    </row>
    <row r="5586" spans="1:11" x14ac:dyDescent="0.25">
      <c r="A5586" t="s">
        <v>326</v>
      </c>
      <c r="B5586" t="s">
        <v>351</v>
      </c>
      <c r="C5586" t="s">
        <v>871</v>
      </c>
      <c r="D5586" t="s">
        <v>11</v>
      </c>
      <c r="E5586">
        <v>26</v>
      </c>
      <c r="F5586" s="2">
        <f>DATE(2026,IF(Tabla1[[#This Row],[Mes de Fecha]]="Septiembre",9,10),Tabla1[[#This Row],[Día de Fecha]])</f>
        <v>46291</v>
      </c>
      <c r="G5586">
        <v>1005893835</v>
      </c>
      <c r="H5586" t="s">
        <v>355</v>
      </c>
      <c r="I5586">
        <v>71</v>
      </c>
      <c r="J5586">
        <v>0</v>
      </c>
      <c r="K5586" s="1">
        <v>3576529</v>
      </c>
    </row>
    <row r="5587" spans="1:11" x14ac:dyDescent="0.25">
      <c r="A5587" t="s">
        <v>326</v>
      </c>
      <c r="B5587" t="s">
        <v>351</v>
      </c>
      <c r="C5587" t="s">
        <v>871</v>
      </c>
      <c r="D5587" t="s">
        <v>11</v>
      </c>
      <c r="E5587">
        <v>26</v>
      </c>
      <c r="F5587" s="2">
        <f>DATE(2026,IF(Tabla1[[#This Row],[Mes de Fecha]]="Septiembre",9,10),Tabla1[[#This Row],[Día de Fecha]])</f>
        <v>46291</v>
      </c>
      <c r="G5587">
        <v>1102868881</v>
      </c>
      <c r="H5587" t="s">
        <v>338</v>
      </c>
      <c r="I5587">
        <v>79</v>
      </c>
      <c r="J5587">
        <v>0</v>
      </c>
      <c r="K5587" s="1">
        <v>3687565</v>
      </c>
    </row>
    <row r="5588" spans="1:11" x14ac:dyDescent="0.25">
      <c r="A5588" t="s">
        <v>326</v>
      </c>
      <c r="B5588" t="s">
        <v>351</v>
      </c>
      <c r="C5588" t="s">
        <v>871</v>
      </c>
      <c r="D5588" t="s">
        <v>11</v>
      </c>
      <c r="E5588">
        <v>26</v>
      </c>
      <c r="F5588" s="2">
        <f>DATE(2026,IF(Tabla1[[#This Row],[Mes de Fecha]]="Septiembre",9,10),Tabla1[[#This Row],[Día de Fecha]])</f>
        <v>46291</v>
      </c>
      <c r="G5588">
        <v>1107047599</v>
      </c>
      <c r="H5588" t="s">
        <v>356</v>
      </c>
      <c r="I5588">
        <v>-1</v>
      </c>
      <c r="J5588">
        <v>0</v>
      </c>
      <c r="K5588" s="1">
        <v>-46177</v>
      </c>
    </row>
    <row r="5589" spans="1:11" x14ac:dyDescent="0.25">
      <c r="A5589" t="s">
        <v>326</v>
      </c>
      <c r="B5589" t="s">
        <v>351</v>
      </c>
      <c r="C5589" t="s">
        <v>871</v>
      </c>
      <c r="D5589" t="s">
        <v>11</v>
      </c>
      <c r="E5589">
        <v>26</v>
      </c>
      <c r="F5589" s="2">
        <f>DATE(2026,IF(Tabla1[[#This Row],[Mes de Fecha]]="Septiembre",9,10),Tabla1[[#This Row],[Día de Fecha]])</f>
        <v>46291</v>
      </c>
      <c r="G5589">
        <v>1144159588</v>
      </c>
      <c r="H5589" t="s">
        <v>352</v>
      </c>
      <c r="I5589">
        <v>70</v>
      </c>
      <c r="J5589">
        <v>0</v>
      </c>
      <c r="K5589" s="1">
        <v>3566139</v>
      </c>
    </row>
    <row r="5590" spans="1:11" x14ac:dyDescent="0.25">
      <c r="A5590" t="s">
        <v>326</v>
      </c>
      <c r="B5590" t="s">
        <v>351</v>
      </c>
      <c r="C5590" t="s">
        <v>871</v>
      </c>
      <c r="D5590" t="s">
        <v>11</v>
      </c>
      <c r="E5590">
        <v>27</v>
      </c>
      <c r="F5590" s="2">
        <f>DATE(2026,IF(Tabla1[[#This Row],[Mes de Fecha]]="Septiembre",9,10),Tabla1[[#This Row],[Día de Fecha]])</f>
        <v>46292</v>
      </c>
      <c r="I5590">
        <v>0</v>
      </c>
      <c r="J5590" s="1">
        <v>9204946</v>
      </c>
      <c r="K5590">
        <v>0</v>
      </c>
    </row>
    <row r="5591" spans="1:11" x14ac:dyDescent="0.25">
      <c r="A5591" t="s">
        <v>326</v>
      </c>
      <c r="B5591" t="s">
        <v>351</v>
      </c>
      <c r="C5591" t="s">
        <v>871</v>
      </c>
      <c r="D5591" t="s">
        <v>11</v>
      </c>
      <c r="E5591">
        <v>27</v>
      </c>
      <c r="F5591" s="2">
        <f>DATE(2026,IF(Tabla1[[#This Row],[Mes de Fecha]]="Septiembre",9,10),Tabla1[[#This Row],[Día de Fecha]])</f>
        <v>46292</v>
      </c>
      <c r="G5591">
        <v>1102868881</v>
      </c>
      <c r="H5591" t="s">
        <v>338</v>
      </c>
      <c r="I5591">
        <v>23</v>
      </c>
      <c r="J5591">
        <v>0</v>
      </c>
      <c r="K5591" s="1">
        <v>1206849</v>
      </c>
    </row>
    <row r="5592" spans="1:11" x14ac:dyDescent="0.25">
      <c r="A5592" t="s">
        <v>326</v>
      </c>
      <c r="B5592" t="s">
        <v>351</v>
      </c>
      <c r="C5592" t="s">
        <v>871</v>
      </c>
      <c r="D5592" t="s">
        <v>11</v>
      </c>
      <c r="E5592">
        <v>27</v>
      </c>
      <c r="F5592" s="2">
        <f>DATE(2026,IF(Tabla1[[#This Row],[Mes de Fecha]]="Septiembre",9,10),Tabla1[[#This Row],[Día de Fecha]])</f>
        <v>46292</v>
      </c>
      <c r="G5592">
        <v>1110292684</v>
      </c>
      <c r="H5592" t="s">
        <v>335</v>
      </c>
      <c r="I5592">
        <v>-1</v>
      </c>
      <c r="J5592">
        <v>0</v>
      </c>
      <c r="K5592" s="1">
        <v>-41975</v>
      </c>
    </row>
    <row r="5593" spans="1:11" x14ac:dyDescent="0.25">
      <c r="A5593" t="s">
        <v>326</v>
      </c>
      <c r="B5593" t="s">
        <v>351</v>
      </c>
      <c r="C5593" t="s">
        <v>871</v>
      </c>
      <c r="D5593" t="s">
        <v>11</v>
      </c>
      <c r="E5593">
        <v>27</v>
      </c>
      <c r="F5593" s="2">
        <f>DATE(2026,IF(Tabla1[[#This Row],[Mes de Fecha]]="Septiembre",9,10),Tabla1[[#This Row],[Día de Fecha]])</f>
        <v>46292</v>
      </c>
      <c r="G5593">
        <v>1144159588</v>
      </c>
      <c r="H5593" t="s">
        <v>352</v>
      </c>
      <c r="I5593">
        <v>23</v>
      </c>
      <c r="J5593">
        <v>0</v>
      </c>
      <c r="K5593" s="1">
        <v>1125000</v>
      </c>
    </row>
    <row r="5594" spans="1:11" x14ac:dyDescent="0.25">
      <c r="A5594" t="s">
        <v>326</v>
      </c>
      <c r="B5594" t="s">
        <v>351</v>
      </c>
      <c r="C5594" t="s">
        <v>871</v>
      </c>
      <c r="D5594" t="s">
        <v>11</v>
      </c>
      <c r="E5594">
        <v>28</v>
      </c>
      <c r="F5594" s="2">
        <f>DATE(2026,IF(Tabla1[[#This Row],[Mes de Fecha]]="Septiembre",9,10),Tabla1[[#This Row],[Día de Fecha]])</f>
        <v>46293</v>
      </c>
      <c r="I5594">
        <v>0</v>
      </c>
      <c r="J5594" s="1">
        <v>5182796</v>
      </c>
      <c r="K5594">
        <v>0</v>
      </c>
    </row>
    <row r="5595" spans="1:11" x14ac:dyDescent="0.25">
      <c r="A5595" t="s">
        <v>326</v>
      </c>
      <c r="B5595" t="s">
        <v>351</v>
      </c>
      <c r="C5595" t="s">
        <v>871</v>
      </c>
      <c r="D5595" t="s">
        <v>11</v>
      </c>
      <c r="E5595">
        <v>28</v>
      </c>
      <c r="F5595" s="2">
        <f>DATE(2026,IF(Tabla1[[#This Row],[Mes de Fecha]]="Septiembre",9,10),Tabla1[[#This Row],[Día de Fecha]])</f>
        <v>46293</v>
      </c>
      <c r="G5595">
        <v>1001132922</v>
      </c>
      <c r="H5595" t="s">
        <v>357</v>
      </c>
      <c r="I5595">
        <v>-1</v>
      </c>
      <c r="J5595">
        <v>0</v>
      </c>
      <c r="K5595" s="1">
        <v>-109202</v>
      </c>
    </row>
    <row r="5596" spans="1:11" x14ac:dyDescent="0.25">
      <c r="A5596" t="s">
        <v>326</v>
      </c>
      <c r="B5596" t="s">
        <v>351</v>
      </c>
      <c r="C5596" t="s">
        <v>871</v>
      </c>
      <c r="D5596" t="s">
        <v>11</v>
      </c>
      <c r="E5596">
        <v>28</v>
      </c>
      <c r="F5596" s="2">
        <f>DATE(2026,IF(Tabla1[[#This Row],[Mes de Fecha]]="Septiembre",9,10),Tabla1[[#This Row],[Día de Fecha]])</f>
        <v>46293</v>
      </c>
      <c r="G5596">
        <v>1005893835</v>
      </c>
      <c r="H5596" t="s">
        <v>355</v>
      </c>
      <c r="I5596">
        <v>54</v>
      </c>
      <c r="J5596">
        <v>0</v>
      </c>
      <c r="K5596" s="1">
        <v>2180214</v>
      </c>
    </row>
    <row r="5597" spans="1:11" x14ac:dyDescent="0.25">
      <c r="A5597" t="s">
        <v>326</v>
      </c>
      <c r="B5597" t="s">
        <v>351</v>
      </c>
      <c r="C5597" t="s">
        <v>871</v>
      </c>
      <c r="D5597" t="s">
        <v>11</v>
      </c>
      <c r="E5597">
        <v>28</v>
      </c>
      <c r="F5597" s="2">
        <f>DATE(2026,IF(Tabla1[[#This Row],[Mes de Fecha]]="Septiembre",9,10),Tabla1[[#This Row],[Día de Fecha]])</f>
        <v>46293</v>
      </c>
      <c r="G5597">
        <v>1102868881</v>
      </c>
      <c r="H5597" t="s">
        <v>338</v>
      </c>
      <c r="I5597">
        <v>44</v>
      </c>
      <c r="J5597">
        <v>0</v>
      </c>
      <c r="K5597" s="1">
        <v>2869918</v>
      </c>
    </row>
    <row r="5598" spans="1:11" x14ac:dyDescent="0.25">
      <c r="A5598" t="s">
        <v>326</v>
      </c>
      <c r="B5598" t="s">
        <v>351</v>
      </c>
      <c r="C5598" t="s">
        <v>871</v>
      </c>
      <c r="D5598" t="s">
        <v>11</v>
      </c>
      <c r="E5598">
        <v>28</v>
      </c>
      <c r="F5598" s="2">
        <f>DATE(2026,IF(Tabla1[[#This Row],[Mes de Fecha]]="Septiembre",9,10),Tabla1[[#This Row],[Día de Fecha]])</f>
        <v>46293</v>
      </c>
      <c r="G5598">
        <v>1143872360</v>
      </c>
      <c r="H5598" t="s">
        <v>358</v>
      </c>
      <c r="I5598">
        <v>-1</v>
      </c>
      <c r="J5598">
        <v>0</v>
      </c>
      <c r="K5598" s="1">
        <v>-71386</v>
      </c>
    </row>
    <row r="5599" spans="1:11" x14ac:dyDescent="0.25">
      <c r="A5599" t="s">
        <v>326</v>
      </c>
      <c r="B5599" t="s">
        <v>351</v>
      </c>
      <c r="C5599" t="s">
        <v>871</v>
      </c>
      <c r="D5599" t="s">
        <v>11</v>
      </c>
      <c r="E5599">
        <v>28</v>
      </c>
      <c r="F5599" s="2">
        <f>DATE(2026,IF(Tabla1[[#This Row],[Mes de Fecha]]="Septiembre",9,10),Tabla1[[#This Row],[Día de Fecha]])</f>
        <v>46293</v>
      </c>
      <c r="G5599">
        <v>1144159588</v>
      </c>
      <c r="H5599" t="s">
        <v>352</v>
      </c>
      <c r="I5599">
        <v>52</v>
      </c>
      <c r="J5599">
        <v>0</v>
      </c>
      <c r="K5599" s="1">
        <v>2959918</v>
      </c>
    </row>
    <row r="5600" spans="1:11" x14ac:dyDescent="0.25">
      <c r="A5600" t="s">
        <v>326</v>
      </c>
      <c r="B5600" t="s">
        <v>351</v>
      </c>
      <c r="C5600" t="s">
        <v>871</v>
      </c>
      <c r="D5600" t="s">
        <v>11</v>
      </c>
      <c r="E5600">
        <v>29</v>
      </c>
      <c r="F5600" s="2">
        <f>DATE(2026,IF(Tabla1[[#This Row],[Mes de Fecha]]="Septiembre",9,10),Tabla1[[#This Row],[Día de Fecha]])</f>
        <v>46294</v>
      </c>
      <c r="I5600">
        <v>0</v>
      </c>
      <c r="J5600" s="1">
        <v>5294733</v>
      </c>
      <c r="K5600">
        <v>0</v>
      </c>
    </row>
    <row r="5601" spans="1:11" x14ac:dyDescent="0.25">
      <c r="A5601" t="s">
        <v>326</v>
      </c>
      <c r="B5601" t="s">
        <v>351</v>
      </c>
      <c r="C5601" t="s">
        <v>871</v>
      </c>
      <c r="D5601" t="s">
        <v>11</v>
      </c>
      <c r="E5601">
        <v>29</v>
      </c>
      <c r="F5601" s="2">
        <f>DATE(2026,IF(Tabla1[[#This Row],[Mes de Fecha]]="Septiembre",9,10),Tabla1[[#This Row],[Día de Fecha]])</f>
        <v>46294</v>
      </c>
      <c r="G5601">
        <v>1005893835</v>
      </c>
      <c r="H5601" t="s">
        <v>355</v>
      </c>
      <c r="I5601">
        <v>28</v>
      </c>
      <c r="J5601">
        <v>0</v>
      </c>
      <c r="K5601" s="1">
        <v>1490297</v>
      </c>
    </row>
    <row r="5602" spans="1:11" x14ac:dyDescent="0.25">
      <c r="A5602" t="s">
        <v>326</v>
      </c>
      <c r="B5602" t="s">
        <v>351</v>
      </c>
      <c r="C5602" t="s">
        <v>871</v>
      </c>
      <c r="D5602" t="s">
        <v>11</v>
      </c>
      <c r="E5602">
        <v>29</v>
      </c>
      <c r="F5602" s="2">
        <f>DATE(2026,IF(Tabla1[[#This Row],[Mes de Fecha]]="Septiembre",9,10),Tabla1[[#This Row],[Día de Fecha]])</f>
        <v>46294</v>
      </c>
      <c r="G5602">
        <v>1102868881</v>
      </c>
      <c r="H5602" t="s">
        <v>338</v>
      </c>
      <c r="I5602">
        <v>36</v>
      </c>
      <c r="J5602">
        <v>0</v>
      </c>
      <c r="K5602" s="1">
        <v>1981560</v>
      </c>
    </row>
    <row r="5603" spans="1:11" x14ac:dyDescent="0.25">
      <c r="A5603" t="s">
        <v>326</v>
      </c>
      <c r="B5603" t="s">
        <v>351</v>
      </c>
      <c r="C5603" t="s">
        <v>871</v>
      </c>
      <c r="D5603" t="s">
        <v>11</v>
      </c>
      <c r="E5603">
        <v>29</v>
      </c>
      <c r="F5603" s="2">
        <f>DATE(2026,IF(Tabla1[[#This Row],[Mes de Fecha]]="Septiembre",9,10),Tabla1[[#This Row],[Día de Fecha]])</f>
        <v>46294</v>
      </c>
      <c r="G5603">
        <v>1144159588</v>
      </c>
      <c r="H5603" t="s">
        <v>352</v>
      </c>
      <c r="I5603">
        <v>42</v>
      </c>
      <c r="J5603">
        <v>0</v>
      </c>
      <c r="K5603" s="1">
        <v>2306599</v>
      </c>
    </row>
    <row r="5604" spans="1:11" x14ac:dyDescent="0.25">
      <c r="A5604" t="s">
        <v>326</v>
      </c>
      <c r="B5604" t="s">
        <v>351</v>
      </c>
      <c r="C5604" t="s">
        <v>871</v>
      </c>
      <c r="D5604" t="s">
        <v>11</v>
      </c>
      <c r="E5604">
        <v>30</v>
      </c>
      <c r="F5604" s="2">
        <f>DATE(2026,IF(Tabla1[[#This Row],[Mes de Fecha]]="Septiembre",9,10),Tabla1[[#This Row],[Día de Fecha]])</f>
        <v>46295</v>
      </c>
      <c r="I5604">
        <v>0</v>
      </c>
      <c r="J5604" s="1">
        <v>5590182</v>
      </c>
      <c r="K5604">
        <v>0</v>
      </c>
    </row>
    <row r="5605" spans="1:11" x14ac:dyDescent="0.25">
      <c r="A5605" t="s">
        <v>326</v>
      </c>
      <c r="B5605" t="s">
        <v>351</v>
      </c>
      <c r="C5605" t="s">
        <v>871</v>
      </c>
      <c r="D5605" t="s">
        <v>11</v>
      </c>
      <c r="E5605">
        <v>30</v>
      </c>
      <c r="F5605" s="2">
        <f>DATE(2026,IF(Tabla1[[#This Row],[Mes de Fecha]]="Septiembre",9,10),Tabla1[[#This Row],[Día de Fecha]])</f>
        <v>46295</v>
      </c>
      <c r="G5605">
        <v>1005893835</v>
      </c>
      <c r="H5605" t="s">
        <v>355</v>
      </c>
      <c r="I5605">
        <v>13</v>
      </c>
      <c r="J5605">
        <v>0</v>
      </c>
      <c r="K5605" s="1">
        <v>675884</v>
      </c>
    </row>
    <row r="5606" spans="1:11" x14ac:dyDescent="0.25">
      <c r="A5606" t="s">
        <v>326</v>
      </c>
      <c r="B5606" t="s">
        <v>351</v>
      </c>
      <c r="C5606" t="s">
        <v>871</v>
      </c>
      <c r="D5606" t="s">
        <v>11</v>
      </c>
      <c r="E5606">
        <v>30</v>
      </c>
      <c r="F5606" s="2">
        <f>DATE(2026,IF(Tabla1[[#This Row],[Mes de Fecha]]="Septiembre",9,10),Tabla1[[#This Row],[Día de Fecha]])</f>
        <v>46295</v>
      </c>
      <c r="G5606">
        <v>1102868881</v>
      </c>
      <c r="H5606" t="s">
        <v>338</v>
      </c>
      <c r="I5606">
        <v>64</v>
      </c>
      <c r="J5606">
        <v>0</v>
      </c>
      <c r="K5606" s="1">
        <v>3202818</v>
      </c>
    </row>
    <row r="5607" spans="1:11" x14ac:dyDescent="0.25">
      <c r="A5607" t="s">
        <v>326</v>
      </c>
      <c r="B5607" t="s">
        <v>351</v>
      </c>
      <c r="C5607" t="s">
        <v>871</v>
      </c>
      <c r="D5607" t="s">
        <v>11</v>
      </c>
      <c r="E5607">
        <v>30</v>
      </c>
      <c r="F5607" s="2">
        <f>DATE(2026,IF(Tabla1[[#This Row],[Mes de Fecha]]="Septiembre",9,10),Tabla1[[#This Row],[Día de Fecha]])</f>
        <v>46295</v>
      </c>
      <c r="G5607">
        <v>1144159588</v>
      </c>
      <c r="H5607" t="s">
        <v>352</v>
      </c>
      <c r="I5607">
        <v>64</v>
      </c>
      <c r="J5607">
        <v>0</v>
      </c>
      <c r="K5607" s="1">
        <v>3090195</v>
      </c>
    </row>
    <row r="5608" spans="1:11" x14ac:dyDescent="0.25">
      <c r="A5608" t="s">
        <v>326</v>
      </c>
      <c r="B5608" t="s">
        <v>351</v>
      </c>
      <c r="C5608" t="s">
        <v>871</v>
      </c>
      <c r="D5608" t="s">
        <v>14</v>
      </c>
      <c r="E5608">
        <v>1</v>
      </c>
      <c r="F5608" s="2">
        <f>DATE(2026,IF(Tabla1[[#This Row],[Mes de Fecha]]="Septiembre",9,10),Tabla1[[#This Row],[Día de Fecha]])</f>
        <v>46296</v>
      </c>
      <c r="I5608">
        <v>0</v>
      </c>
      <c r="J5608" s="1">
        <v>7581551</v>
      </c>
      <c r="K5608">
        <v>0</v>
      </c>
    </row>
    <row r="5609" spans="1:11" x14ac:dyDescent="0.25">
      <c r="A5609" t="s">
        <v>326</v>
      </c>
      <c r="B5609" t="s">
        <v>351</v>
      </c>
      <c r="C5609" t="s">
        <v>871</v>
      </c>
      <c r="D5609" t="s">
        <v>14</v>
      </c>
      <c r="E5609">
        <v>1</v>
      </c>
      <c r="F5609" s="2">
        <f>DATE(2026,IF(Tabla1[[#This Row],[Mes de Fecha]]="Septiembre",9,10),Tabla1[[#This Row],[Día de Fecha]])</f>
        <v>46296</v>
      </c>
      <c r="G5609">
        <v>1005893835</v>
      </c>
      <c r="H5609" t="s">
        <v>355</v>
      </c>
      <c r="I5609">
        <v>-2</v>
      </c>
      <c r="J5609">
        <v>0</v>
      </c>
      <c r="K5609" s="1">
        <v>-92353</v>
      </c>
    </row>
    <row r="5610" spans="1:11" x14ac:dyDescent="0.25">
      <c r="A5610" t="s">
        <v>326</v>
      </c>
      <c r="B5610" t="s">
        <v>351</v>
      </c>
      <c r="C5610" t="s">
        <v>871</v>
      </c>
      <c r="D5610" t="s">
        <v>14</v>
      </c>
      <c r="E5610">
        <v>1</v>
      </c>
      <c r="F5610" s="2">
        <f>DATE(2026,IF(Tabla1[[#This Row],[Mes de Fecha]]="Septiembre",9,10),Tabla1[[#This Row],[Día de Fecha]])</f>
        <v>46296</v>
      </c>
      <c r="G5610">
        <v>1102868881</v>
      </c>
      <c r="H5610" t="s">
        <v>338</v>
      </c>
      <c r="I5610">
        <v>39</v>
      </c>
      <c r="J5610">
        <v>0</v>
      </c>
      <c r="K5610" s="1">
        <v>2052730</v>
      </c>
    </row>
    <row r="5611" spans="1:11" x14ac:dyDescent="0.25">
      <c r="A5611" t="s">
        <v>326</v>
      </c>
      <c r="B5611" t="s">
        <v>351</v>
      </c>
      <c r="C5611" t="s">
        <v>871</v>
      </c>
      <c r="D5611" t="s">
        <v>14</v>
      </c>
      <c r="E5611">
        <v>1</v>
      </c>
      <c r="F5611" s="2">
        <f>DATE(2026,IF(Tabla1[[#This Row],[Mes de Fecha]]="Septiembre",9,10),Tabla1[[#This Row],[Día de Fecha]])</f>
        <v>46296</v>
      </c>
      <c r="G5611">
        <v>1144159588</v>
      </c>
      <c r="H5611" t="s">
        <v>352</v>
      </c>
      <c r="I5611">
        <v>44</v>
      </c>
      <c r="J5611">
        <v>0</v>
      </c>
      <c r="K5611" s="1">
        <v>2115559</v>
      </c>
    </row>
    <row r="5612" spans="1:11" x14ac:dyDescent="0.25">
      <c r="A5612" t="s">
        <v>326</v>
      </c>
      <c r="B5612" t="s">
        <v>351</v>
      </c>
      <c r="C5612" t="s">
        <v>871</v>
      </c>
      <c r="D5612" t="s">
        <v>14</v>
      </c>
      <c r="E5612">
        <v>2</v>
      </c>
      <c r="F5612" s="2">
        <f>DATE(2026,IF(Tabla1[[#This Row],[Mes de Fecha]]="Septiembre",9,10),Tabla1[[#This Row],[Día de Fecha]])</f>
        <v>46297</v>
      </c>
      <c r="I5612">
        <v>0</v>
      </c>
      <c r="J5612" s="1">
        <v>5885008</v>
      </c>
      <c r="K5612">
        <v>0</v>
      </c>
    </row>
    <row r="5613" spans="1:11" x14ac:dyDescent="0.25">
      <c r="A5613" t="s">
        <v>326</v>
      </c>
      <c r="B5613" t="s">
        <v>351</v>
      </c>
      <c r="C5613" t="s">
        <v>871</v>
      </c>
      <c r="D5613" t="s">
        <v>14</v>
      </c>
      <c r="E5613">
        <v>2</v>
      </c>
      <c r="F5613" s="2">
        <f>DATE(2026,IF(Tabla1[[#This Row],[Mes de Fecha]]="Septiembre",9,10),Tabla1[[#This Row],[Día de Fecha]])</f>
        <v>46297</v>
      </c>
      <c r="G5613">
        <v>1005893835</v>
      </c>
      <c r="H5613" t="s">
        <v>355</v>
      </c>
      <c r="I5613">
        <v>30</v>
      </c>
      <c r="J5613">
        <v>0</v>
      </c>
      <c r="K5613" s="1">
        <v>1187605</v>
      </c>
    </row>
    <row r="5614" spans="1:11" x14ac:dyDescent="0.25">
      <c r="A5614" t="s">
        <v>326</v>
      </c>
      <c r="B5614" t="s">
        <v>351</v>
      </c>
      <c r="C5614" t="s">
        <v>871</v>
      </c>
      <c r="D5614" t="s">
        <v>14</v>
      </c>
      <c r="E5614">
        <v>2</v>
      </c>
      <c r="F5614" s="2">
        <f>DATE(2026,IF(Tabla1[[#This Row],[Mes de Fecha]]="Septiembre",9,10),Tabla1[[#This Row],[Día de Fecha]])</f>
        <v>46297</v>
      </c>
      <c r="G5614">
        <v>1102868881</v>
      </c>
      <c r="H5614" t="s">
        <v>338</v>
      </c>
      <c r="I5614">
        <v>49</v>
      </c>
      <c r="J5614">
        <v>0</v>
      </c>
      <c r="K5614" s="1">
        <v>2121552</v>
      </c>
    </row>
    <row r="5615" spans="1:11" x14ac:dyDescent="0.25">
      <c r="A5615" t="s">
        <v>326</v>
      </c>
      <c r="B5615" t="s">
        <v>351</v>
      </c>
      <c r="C5615" t="s">
        <v>871</v>
      </c>
      <c r="D5615" t="s">
        <v>14</v>
      </c>
      <c r="E5615">
        <v>2</v>
      </c>
      <c r="F5615" s="2">
        <f>DATE(2026,IF(Tabla1[[#This Row],[Mes de Fecha]]="Septiembre",9,10),Tabla1[[#This Row],[Día de Fecha]])</f>
        <v>46297</v>
      </c>
      <c r="G5615">
        <v>1143851967</v>
      </c>
      <c r="H5615" t="s">
        <v>359</v>
      </c>
      <c r="I5615">
        <v>-1</v>
      </c>
      <c r="J5615">
        <v>0</v>
      </c>
      <c r="K5615" s="1">
        <v>-41975</v>
      </c>
    </row>
    <row r="5616" spans="1:11" x14ac:dyDescent="0.25">
      <c r="A5616" t="s">
        <v>326</v>
      </c>
      <c r="B5616" t="s">
        <v>351</v>
      </c>
      <c r="C5616" t="s">
        <v>871</v>
      </c>
      <c r="D5616" t="s">
        <v>14</v>
      </c>
      <c r="E5616">
        <v>2</v>
      </c>
      <c r="F5616" s="2">
        <f>DATE(2026,IF(Tabla1[[#This Row],[Mes de Fecha]]="Septiembre",9,10),Tabla1[[#This Row],[Día de Fecha]])</f>
        <v>46297</v>
      </c>
      <c r="G5616">
        <v>1144159588</v>
      </c>
      <c r="H5616" t="s">
        <v>352</v>
      </c>
      <c r="I5616">
        <v>32</v>
      </c>
      <c r="J5616">
        <v>0</v>
      </c>
      <c r="K5616" s="1">
        <v>1597143</v>
      </c>
    </row>
    <row r="5617" spans="1:11" x14ac:dyDescent="0.25">
      <c r="A5617" t="s">
        <v>326</v>
      </c>
      <c r="B5617" t="s">
        <v>351</v>
      </c>
      <c r="C5617" t="s">
        <v>871</v>
      </c>
      <c r="D5617" t="s">
        <v>14</v>
      </c>
      <c r="E5617">
        <v>3</v>
      </c>
      <c r="F5617" s="2">
        <f>DATE(2026,IF(Tabla1[[#This Row],[Mes de Fecha]]="Septiembre",9,10),Tabla1[[#This Row],[Día de Fecha]])</f>
        <v>46298</v>
      </c>
      <c r="I5617">
        <v>0</v>
      </c>
      <c r="J5617" s="1">
        <v>14681832</v>
      </c>
      <c r="K5617">
        <v>0</v>
      </c>
    </row>
    <row r="5618" spans="1:11" x14ac:dyDescent="0.25">
      <c r="A5618" t="s">
        <v>326</v>
      </c>
      <c r="B5618" t="s">
        <v>351</v>
      </c>
      <c r="C5618" t="s">
        <v>871</v>
      </c>
      <c r="D5618" t="s">
        <v>14</v>
      </c>
      <c r="E5618">
        <v>3</v>
      </c>
      <c r="F5618" s="2">
        <f>DATE(2026,IF(Tabla1[[#This Row],[Mes de Fecha]]="Septiembre",9,10),Tabla1[[#This Row],[Día de Fecha]])</f>
        <v>46298</v>
      </c>
      <c r="G5618">
        <v>1005893835</v>
      </c>
      <c r="H5618" t="s">
        <v>355</v>
      </c>
      <c r="I5618">
        <v>82</v>
      </c>
      <c r="J5618">
        <v>0</v>
      </c>
      <c r="K5618" s="1">
        <v>3464263</v>
      </c>
    </row>
    <row r="5619" spans="1:11" x14ac:dyDescent="0.25">
      <c r="A5619" t="s">
        <v>326</v>
      </c>
      <c r="B5619" t="s">
        <v>351</v>
      </c>
      <c r="C5619" t="s">
        <v>871</v>
      </c>
      <c r="D5619" t="s">
        <v>14</v>
      </c>
      <c r="E5619">
        <v>3</v>
      </c>
      <c r="F5619" s="2">
        <f>DATE(2026,IF(Tabla1[[#This Row],[Mes de Fecha]]="Septiembre",9,10),Tabla1[[#This Row],[Día de Fecha]])</f>
        <v>46298</v>
      </c>
      <c r="G5619">
        <v>1044101083</v>
      </c>
      <c r="H5619" t="s">
        <v>360</v>
      </c>
      <c r="I5619">
        <v>-1</v>
      </c>
      <c r="J5619">
        <v>0</v>
      </c>
      <c r="K5619" s="1">
        <v>-83992</v>
      </c>
    </row>
    <row r="5620" spans="1:11" x14ac:dyDescent="0.25">
      <c r="A5620" t="s">
        <v>326</v>
      </c>
      <c r="B5620" t="s">
        <v>351</v>
      </c>
      <c r="C5620" t="s">
        <v>871</v>
      </c>
      <c r="D5620" t="s">
        <v>14</v>
      </c>
      <c r="E5620">
        <v>3</v>
      </c>
      <c r="F5620" s="2">
        <f>DATE(2026,IF(Tabla1[[#This Row],[Mes de Fecha]]="Septiembre",9,10),Tabla1[[#This Row],[Día de Fecha]])</f>
        <v>46298</v>
      </c>
      <c r="G5620">
        <v>1102868881</v>
      </c>
      <c r="H5620" t="s">
        <v>338</v>
      </c>
      <c r="I5620">
        <v>83</v>
      </c>
      <c r="J5620">
        <v>0</v>
      </c>
      <c r="K5620" s="1">
        <v>4252470</v>
      </c>
    </row>
    <row r="5621" spans="1:11" x14ac:dyDescent="0.25">
      <c r="A5621" t="s">
        <v>326</v>
      </c>
      <c r="B5621" t="s">
        <v>351</v>
      </c>
      <c r="C5621" t="s">
        <v>871</v>
      </c>
      <c r="D5621" t="s">
        <v>14</v>
      </c>
      <c r="E5621">
        <v>3</v>
      </c>
      <c r="F5621" s="2">
        <f>DATE(2026,IF(Tabla1[[#This Row],[Mes de Fecha]]="Septiembre",9,10),Tabla1[[#This Row],[Día de Fecha]])</f>
        <v>46298</v>
      </c>
      <c r="G5621">
        <v>1107530246</v>
      </c>
      <c r="H5621" t="s">
        <v>361</v>
      </c>
      <c r="I5621">
        <v>-1</v>
      </c>
      <c r="J5621">
        <v>0</v>
      </c>
      <c r="K5621" s="1">
        <v>-54580</v>
      </c>
    </row>
    <row r="5622" spans="1:11" x14ac:dyDescent="0.25">
      <c r="A5622" t="s">
        <v>326</v>
      </c>
      <c r="B5622" t="s">
        <v>351</v>
      </c>
      <c r="C5622" t="s">
        <v>871</v>
      </c>
      <c r="D5622" t="s">
        <v>14</v>
      </c>
      <c r="E5622">
        <v>3</v>
      </c>
      <c r="F5622" s="2">
        <f>DATE(2026,IF(Tabla1[[#This Row],[Mes de Fecha]]="Septiembre",9,10),Tabla1[[#This Row],[Día de Fecha]])</f>
        <v>46298</v>
      </c>
      <c r="G5622">
        <v>1144159588</v>
      </c>
      <c r="H5622" t="s">
        <v>352</v>
      </c>
      <c r="I5622">
        <v>82</v>
      </c>
      <c r="J5622">
        <v>0</v>
      </c>
      <c r="K5622" s="1">
        <v>4119025</v>
      </c>
    </row>
    <row r="5623" spans="1:11" x14ac:dyDescent="0.25">
      <c r="A5623" t="s">
        <v>326</v>
      </c>
      <c r="B5623" t="s">
        <v>351</v>
      </c>
      <c r="C5623" t="s">
        <v>871</v>
      </c>
      <c r="D5623" t="s">
        <v>14</v>
      </c>
      <c r="E5623">
        <v>4</v>
      </c>
      <c r="F5623" s="2">
        <f>DATE(2026,IF(Tabla1[[#This Row],[Mes de Fecha]]="Septiembre",9,10),Tabla1[[#This Row],[Día de Fecha]])</f>
        <v>46299</v>
      </c>
      <c r="I5623">
        <v>0</v>
      </c>
      <c r="J5623" s="1">
        <v>3883608</v>
      </c>
      <c r="K5623">
        <v>0</v>
      </c>
    </row>
    <row r="5624" spans="1:11" x14ac:dyDescent="0.25">
      <c r="A5624" t="s">
        <v>326</v>
      </c>
      <c r="B5624" t="s">
        <v>351</v>
      </c>
      <c r="C5624" t="s">
        <v>871</v>
      </c>
      <c r="D5624" t="s">
        <v>14</v>
      </c>
      <c r="E5624">
        <v>4</v>
      </c>
      <c r="F5624" s="2">
        <f>DATE(2026,IF(Tabla1[[#This Row],[Mes de Fecha]]="Septiembre",9,10),Tabla1[[#This Row],[Día de Fecha]])</f>
        <v>46299</v>
      </c>
      <c r="G5624">
        <v>1102868881</v>
      </c>
      <c r="H5624" t="s">
        <v>338</v>
      </c>
      <c r="I5624">
        <v>36</v>
      </c>
      <c r="J5624">
        <v>0</v>
      </c>
      <c r="K5624" s="1">
        <v>1584247</v>
      </c>
    </row>
    <row r="5625" spans="1:11" x14ac:dyDescent="0.25">
      <c r="A5625" t="s">
        <v>326</v>
      </c>
      <c r="B5625" t="s">
        <v>351</v>
      </c>
      <c r="C5625" t="s">
        <v>871</v>
      </c>
      <c r="D5625" t="s">
        <v>14</v>
      </c>
      <c r="E5625">
        <v>5</v>
      </c>
      <c r="F5625" s="2">
        <f>DATE(2026,IF(Tabla1[[#This Row],[Mes de Fecha]]="Septiembre",9,10),Tabla1[[#This Row],[Día de Fecha]])</f>
        <v>46300</v>
      </c>
      <c r="I5625">
        <v>0</v>
      </c>
      <c r="J5625" s="1">
        <v>6631100</v>
      </c>
      <c r="K5625">
        <v>0</v>
      </c>
    </row>
    <row r="5626" spans="1:11" x14ac:dyDescent="0.25">
      <c r="A5626" t="s">
        <v>326</v>
      </c>
      <c r="B5626" t="s">
        <v>351</v>
      </c>
      <c r="C5626" t="s">
        <v>871</v>
      </c>
      <c r="D5626" t="s">
        <v>14</v>
      </c>
      <c r="E5626">
        <v>5</v>
      </c>
      <c r="F5626" s="2">
        <f>DATE(2026,IF(Tabla1[[#This Row],[Mes de Fecha]]="Septiembre",9,10),Tabla1[[#This Row],[Día de Fecha]])</f>
        <v>46300</v>
      </c>
      <c r="G5626">
        <v>1005893835</v>
      </c>
      <c r="H5626" t="s">
        <v>355</v>
      </c>
      <c r="I5626">
        <v>51</v>
      </c>
      <c r="J5626">
        <v>0</v>
      </c>
      <c r="K5626" s="1">
        <v>2098129</v>
      </c>
    </row>
    <row r="5627" spans="1:11" x14ac:dyDescent="0.25">
      <c r="A5627" t="s">
        <v>326</v>
      </c>
      <c r="B5627" t="s">
        <v>351</v>
      </c>
      <c r="C5627" t="s">
        <v>871</v>
      </c>
      <c r="D5627" t="s">
        <v>14</v>
      </c>
      <c r="E5627">
        <v>5</v>
      </c>
      <c r="F5627" s="2">
        <f>DATE(2026,IF(Tabla1[[#This Row],[Mes de Fecha]]="Septiembre",9,10),Tabla1[[#This Row],[Día de Fecha]])</f>
        <v>46300</v>
      </c>
      <c r="G5627">
        <v>1102868881</v>
      </c>
      <c r="H5627" t="s">
        <v>338</v>
      </c>
      <c r="I5627">
        <v>63</v>
      </c>
      <c r="J5627">
        <v>0</v>
      </c>
      <c r="K5627" s="1">
        <v>3019528</v>
      </c>
    </row>
    <row r="5628" spans="1:11" x14ac:dyDescent="0.25">
      <c r="A5628" t="s">
        <v>326</v>
      </c>
      <c r="B5628" t="s">
        <v>351</v>
      </c>
      <c r="C5628" t="s">
        <v>871</v>
      </c>
      <c r="D5628" t="s">
        <v>14</v>
      </c>
      <c r="E5628">
        <v>5</v>
      </c>
      <c r="F5628" s="2">
        <f>DATE(2026,IF(Tabla1[[#This Row],[Mes de Fecha]]="Septiembre",9,10),Tabla1[[#This Row],[Día de Fecha]])</f>
        <v>46300</v>
      </c>
      <c r="G5628">
        <v>1144159588</v>
      </c>
      <c r="H5628" t="s">
        <v>352</v>
      </c>
      <c r="I5628">
        <v>54</v>
      </c>
      <c r="J5628">
        <v>0</v>
      </c>
      <c r="K5628" s="1">
        <v>2854666</v>
      </c>
    </row>
    <row r="5629" spans="1:11" x14ac:dyDescent="0.25">
      <c r="A5629" t="s">
        <v>326</v>
      </c>
      <c r="B5629" t="s">
        <v>351</v>
      </c>
      <c r="C5629" t="s">
        <v>871</v>
      </c>
      <c r="D5629" t="s">
        <v>14</v>
      </c>
      <c r="E5629">
        <v>6</v>
      </c>
      <c r="F5629" s="2">
        <f>DATE(2026,IF(Tabla1[[#This Row],[Mes de Fecha]]="Septiembre",9,10),Tabla1[[#This Row],[Día de Fecha]])</f>
        <v>46301</v>
      </c>
      <c r="I5629">
        <v>0</v>
      </c>
      <c r="J5629" s="1">
        <v>2549067</v>
      </c>
      <c r="K5629">
        <v>0</v>
      </c>
    </row>
    <row r="5630" spans="1:11" x14ac:dyDescent="0.25">
      <c r="A5630" t="s">
        <v>326</v>
      </c>
      <c r="B5630" t="s">
        <v>351</v>
      </c>
      <c r="C5630" t="s">
        <v>871</v>
      </c>
      <c r="D5630" t="s">
        <v>14</v>
      </c>
      <c r="E5630">
        <v>6</v>
      </c>
      <c r="F5630" s="2">
        <f>DATE(2026,IF(Tabla1[[#This Row],[Mes de Fecha]]="Septiembre",9,10),Tabla1[[#This Row],[Día de Fecha]])</f>
        <v>46301</v>
      </c>
      <c r="G5630">
        <v>1005893835</v>
      </c>
      <c r="H5630" t="s">
        <v>355</v>
      </c>
      <c r="I5630">
        <v>38</v>
      </c>
      <c r="J5630">
        <v>0</v>
      </c>
      <c r="K5630" s="1">
        <v>1874246</v>
      </c>
    </row>
    <row r="5631" spans="1:11" x14ac:dyDescent="0.25">
      <c r="A5631" t="s">
        <v>326</v>
      </c>
      <c r="B5631" t="s">
        <v>351</v>
      </c>
      <c r="C5631" t="s">
        <v>871</v>
      </c>
      <c r="D5631" t="s">
        <v>14</v>
      </c>
      <c r="E5631">
        <v>6</v>
      </c>
      <c r="F5631" s="2">
        <f>DATE(2026,IF(Tabla1[[#This Row],[Mes de Fecha]]="Septiembre",9,10),Tabla1[[#This Row],[Día de Fecha]])</f>
        <v>46301</v>
      </c>
      <c r="G5631">
        <v>1107840490</v>
      </c>
      <c r="H5631" t="s">
        <v>353</v>
      </c>
      <c r="I5631">
        <v>-1</v>
      </c>
      <c r="J5631">
        <v>0</v>
      </c>
      <c r="K5631" s="1">
        <v>-71386</v>
      </c>
    </row>
    <row r="5632" spans="1:11" x14ac:dyDescent="0.25">
      <c r="A5632" t="s">
        <v>326</v>
      </c>
      <c r="B5632" t="s">
        <v>351</v>
      </c>
      <c r="C5632" t="s">
        <v>871</v>
      </c>
      <c r="D5632" t="s">
        <v>14</v>
      </c>
      <c r="E5632">
        <v>6</v>
      </c>
      <c r="F5632" s="2">
        <f>DATE(2026,IF(Tabla1[[#This Row],[Mes de Fecha]]="Septiembre",9,10),Tabla1[[#This Row],[Día de Fecha]])</f>
        <v>46301</v>
      </c>
      <c r="G5632">
        <v>1144159588</v>
      </c>
      <c r="H5632" t="s">
        <v>352</v>
      </c>
      <c r="I5632">
        <v>47</v>
      </c>
      <c r="J5632">
        <v>0</v>
      </c>
      <c r="K5632" s="1">
        <v>2495684</v>
      </c>
    </row>
    <row r="5633" spans="1:11" x14ac:dyDescent="0.25">
      <c r="A5633" t="s">
        <v>326</v>
      </c>
      <c r="B5633" t="s">
        <v>351</v>
      </c>
      <c r="C5633" t="s">
        <v>871</v>
      </c>
      <c r="D5633" t="s">
        <v>14</v>
      </c>
      <c r="E5633">
        <v>7</v>
      </c>
      <c r="F5633" s="2">
        <f>DATE(2026,IF(Tabla1[[#This Row],[Mes de Fecha]]="Septiembre",9,10),Tabla1[[#This Row],[Día de Fecha]])</f>
        <v>46302</v>
      </c>
      <c r="I5633">
        <v>0</v>
      </c>
      <c r="J5633" s="1">
        <v>2529039</v>
      </c>
      <c r="K5633">
        <v>0</v>
      </c>
    </row>
    <row r="5634" spans="1:11" x14ac:dyDescent="0.25">
      <c r="A5634" t="s">
        <v>326</v>
      </c>
      <c r="B5634" t="s">
        <v>351</v>
      </c>
      <c r="C5634" t="s">
        <v>871</v>
      </c>
      <c r="D5634" t="s">
        <v>14</v>
      </c>
      <c r="E5634">
        <v>7</v>
      </c>
      <c r="F5634" s="2">
        <f>DATE(2026,IF(Tabla1[[#This Row],[Mes de Fecha]]="Septiembre",9,10),Tabla1[[#This Row],[Día de Fecha]])</f>
        <v>46302</v>
      </c>
      <c r="G5634">
        <v>1005893835</v>
      </c>
      <c r="H5634" t="s">
        <v>355</v>
      </c>
      <c r="I5634">
        <v>41</v>
      </c>
      <c r="J5634">
        <v>0</v>
      </c>
      <c r="K5634" s="1">
        <v>1206584</v>
      </c>
    </row>
    <row r="5635" spans="1:11" x14ac:dyDescent="0.25">
      <c r="A5635" t="s">
        <v>326</v>
      </c>
      <c r="B5635" t="s">
        <v>351</v>
      </c>
      <c r="C5635" t="s">
        <v>871</v>
      </c>
      <c r="D5635" t="s">
        <v>14</v>
      </c>
      <c r="E5635">
        <v>7</v>
      </c>
      <c r="F5635" s="2">
        <f>DATE(2026,IF(Tabla1[[#This Row],[Mes de Fecha]]="Septiembre",9,10),Tabla1[[#This Row],[Día de Fecha]])</f>
        <v>46302</v>
      </c>
      <c r="G5635">
        <v>1044101083</v>
      </c>
      <c r="H5635" t="s">
        <v>360</v>
      </c>
      <c r="I5635">
        <v>-1</v>
      </c>
      <c r="J5635">
        <v>0</v>
      </c>
      <c r="K5635" s="1">
        <v>-46177</v>
      </c>
    </row>
    <row r="5636" spans="1:11" x14ac:dyDescent="0.25">
      <c r="A5636" t="s">
        <v>326</v>
      </c>
      <c r="B5636" t="s">
        <v>351</v>
      </c>
      <c r="C5636" t="s">
        <v>871</v>
      </c>
      <c r="D5636" t="s">
        <v>14</v>
      </c>
      <c r="E5636">
        <v>7</v>
      </c>
      <c r="F5636" s="2">
        <f>DATE(2026,IF(Tabla1[[#This Row],[Mes de Fecha]]="Septiembre",9,10),Tabla1[[#This Row],[Día de Fecha]])</f>
        <v>46302</v>
      </c>
      <c r="G5636">
        <v>1102868881</v>
      </c>
      <c r="H5636" t="s">
        <v>338</v>
      </c>
      <c r="I5636">
        <v>36</v>
      </c>
      <c r="J5636">
        <v>0</v>
      </c>
      <c r="K5636" s="1">
        <v>1872310</v>
      </c>
    </row>
    <row r="5637" spans="1:11" x14ac:dyDescent="0.25">
      <c r="A5637" t="s">
        <v>326</v>
      </c>
      <c r="B5637" t="s">
        <v>351</v>
      </c>
      <c r="C5637" t="s">
        <v>871</v>
      </c>
      <c r="D5637" t="s">
        <v>14</v>
      </c>
      <c r="E5637">
        <v>7</v>
      </c>
      <c r="F5637" s="2">
        <f>DATE(2026,IF(Tabla1[[#This Row],[Mes de Fecha]]="Septiembre",9,10),Tabla1[[#This Row],[Día de Fecha]])</f>
        <v>46302</v>
      </c>
      <c r="G5637">
        <v>1144159588</v>
      </c>
      <c r="H5637" t="s">
        <v>352</v>
      </c>
      <c r="I5637">
        <v>-1</v>
      </c>
      <c r="J5637">
        <v>0</v>
      </c>
      <c r="K5637" s="1">
        <v>-29370</v>
      </c>
    </row>
    <row r="5638" spans="1:11" x14ac:dyDescent="0.25">
      <c r="A5638" t="s">
        <v>326</v>
      </c>
      <c r="B5638" t="s">
        <v>399</v>
      </c>
      <c r="C5638" t="s">
        <v>871</v>
      </c>
      <c r="D5638" t="s">
        <v>11</v>
      </c>
      <c r="E5638">
        <v>23</v>
      </c>
      <c r="F5638" s="2">
        <f>DATE(2026,IF(Tabla1[[#This Row],[Mes de Fecha]]="Septiembre",9,10),Tabla1[[#This Row],[Día de Fecha]])</f>
        <v>46288</v>
      </c>
      <c r="I5638">
        <v>0</v>
      </c>
      <c r="J5638" s="1">
        <v>11777139</v>
      </c>
      <c r="K5638">
        <v>0</v>
      </c>
    </row>
    <row r="5639" spans="1:11" x14ac:dyDescent="0.25">
      <c r="A5639" t="s">
        <v>326</v>
      </c>
      <c r="B5639" t="s">
        <v>399</v>
      </c>
      <c r="C5639" t="s">
        <v>871</v>
      </c>
      <c r="D5639" t="s">
        <v>11</v>
      </c>
      <c r="E5639">
        <v>23</v>
      </c>
      <c r="F5639" s="2">
        <f>DATE(2026,IF(Tabla1[[#This Row],[Mes de Fecha]]="Septiembre",9,10),Tabla1[[#This Row],[Día de Fecha]])</f>
        <v>46288</v>
      </c>
      <c r="G5639">
        <v>1143413580</v>
      </c>
      <c r="H5639" t="s">
        <v>382</v>
      </c>
      <c r="I5639">
        <v>57</v>
      </c>
      <c r="J5639">
        <v>0</v>
      </c>
      <c r="K5639" s="1">
        <v>3531221</v>
      </c>
    </row>
    <row r="5640" spans="1:11" x14ac:dyDescent="0.25">
      <c r="A5640" t="s">
        <v>326</v>
      </c>
      <c r="B5640" t="s">
        <v>399</v>
      </c>
      <c r="C5640" t="s">
        <v>871</v>
      </c>
      <c r="D5640" t="s">
        <v>11</v>
      </c>
      <c r="E5640">
        <v>23</v>
      </c>
      <c r="F5640" s="2">
        <f>DATE(2026,IF(Tabla1[[#This Row],[Mes de Fecha]]="Septiembre",9,10),Tabla1[[#This Row],[Día de Fecha]])</f>
        <v>46288</v>
      </c>
      <c r="G5640">
        <v>1143872360</v>
      </c>
      <c r="H5640" t="s">
        <v>358</v>
      </c>
      <c r="I5640">
        <v>50</v>
      </c>
      <c r="J5640">
        <v>0</v>
      </c>
      <c r="K5640" s="1">
        <v>2865510</v>
      </c>
    </row>
    <row r="5641" spans="1:11" x14ac:dyDescent="0.25">
      <c r="A5641" t="s">
        <v>326</v>
      </c>
      <c r="B5641" t="s">
        <v>399</v>
      </c>
      <c r="C5641" t="s">
        <v>871</v>
      </c>
      <c r="D5641" t="s">
        <v>11</v>
      </c>
      <c r="E5641">
        <v>24</v>
      </c>
      <c r="F5641" s="2">
        <f>DATE(2026,IF(Tabla1[[#This Row],[Mes de Fecha]]="Septiembre",9,10),Tabla1[[#This Row],[Día de Fecha]])</f>
        <v>46289</v>
      </c>
      <c r="I5641">
        <v>0</v>
      </c>
      <c r="J5641" s="1">
        <v>17990909</v>
      </c>
      <c r="K5641">
        <v>0</v>
      </c>
    </row>
    <row r="5642" spans="1:11" x14ac:dyDescent="0.25">
      <c r="A5642" t="s">
        <v>326</v>
      </c>
      <c r="B5642" t="s">
        <v>399</v>
      </c>
      <c r="C5642" t="s">
        <v>871</v>
      </c>
      <c r="D5642" t="s">
        <v>11</v>
      </c>
      <c r="E5642">
        <v>24</v>
      </c>
      <c r="F5642" s="2">
        <f>DATE(2026,IF(Tabla1[[#This Row],[Mes de Fecha]]="Septiembre",9,10),Tabla1[[#This Row],[Día de Fecha]])</f>
        <v>46289</v>
      </c>
      <c r="G5642">
        <v>16919109</v>
      </c>
      <c r="H5642" t="s">
        <v>390</v>
      </c>
      <c r="I5642">
        <v>-1</v>
      </c>
      <c r="J5642">
        <v>0</v>
      </c>
      <c r="K5642" s="1">
        <v>-46177</v>
      </c>
    </row>
    <row r="5643" spans="1:11" x14ac:dyDescent="0.25">
      <c r="A5643" t="s">
        <v>326</v>
      </c>
      <c r="B5643" t="s">
        <v>399</v>
      </c>
      <c r="C5643" t="s">
        <v>871</v>
      </c>
      <c r="D5643" t="s">
        <v>11</v>
      </c>
      <c r="E5643">
        <v>24</v>
      </c>
      <c r="F5643" s="2">
        <f>DATE(2026,IF(Tabla1[[#This Row],[Mes de Fecha]]="Septiembre",9,10),Tabla1[[#This Row],[Día de Fecha]])</f>
        <v>46289</v>
      </c>
      <c r="G5643">
        <v>1006166647</v>
      </c>
      <c r="H5643" t="s">
        <v>400</v>
      </c>
      <c r="I5643">
        <v>31</v>
      </c>
      <c r="J5643">
        <v>0</v>
      </c>
      <c r="K5643" s="1">
        <v>1841093</v>
      </c>
    </row>
    <row r="5644" spans="1:11" x14ac:dyDescent="0.25">
      <c r="A5644" t="s">
        <v>326</v>
      </c>
      <c r="B5644" t="s">
        <v>399</v>
      </c>
      <c r="C5644" t="s">
        <v>871</v>
      </c>
      <c r="D5644" t="s">
        <v>11</v>
      </c>
      <c r="E5644">
        <v>24</v>
      </c>
      <c r="F5644" s="2">
        <f>DATE(2026,IF(Tabla1[[#This Row],[Mes de Fecha]]="Septiembre",9,10),Tabla1[[#This Row],[Día de Fecha]])</f>
        <v>46289</v>
      </c>
      <c r="G5644">
        <v>1143413580</v>
      </c>
      <c r="H5644" t="s">
        <v>382</v>
      </c>
      <c r="I5644">
        <v>164</v>
      </c>
      <c r="J5644">
        <v>0</v>
      </c>
      <c r="K5644" s="1">
        <v>10118995</v>
      </c>
    </row>
    <row r="5645" spans="1:11" x14ac:dyDescent="0.25">
      <c r="A5645" t="s">
        <v>326</v>
      </c>
      <c r="B5645" t="s">
        <v>399</v>
      </c>
      <c r="C5645" t="s">
        <v>871</v>
      </c>
      <c r="D5645" t="s">
        <v>11</v>
      </c>
      <c r="E5645">
        <v>24</v>
      </c>
      <c r="F5645" s="2">
        <f>DATE(2026,IF(Tabla1[[#This Row],[Mes de Fecha]]="Septiembre",9,10),Tabla1[[#This Row],[Día de Fecha]])</f>
        <v>46289</v>
      </c>
      <c r="G5645">
        <v>1143872360</v>
      </c>
      <c r="H5645" t="s">
        <v>358</v>
      </c>
      <c r="I5645">
        <v>87</v>
      </c>
      <c r="J5645">
        <v>0</v>
      </c>
      <c r="K5645" s="1">
        <v>4874290</v>
      </c>
    </row>
    <row r="5646" spans="1:11" x14ac:dyDescent="0.25">
      <c r="A5646" t="s">
        <v>326</v>
      </c>
      <c r="B5646" t="s">
        <v>399</v>
      </c>
      <c r="C5646" t="s">
        <v>871</v>
      </c>
      <c r="D5646" t="s">
        <v>11</v>
      </c>
      <c r="E5646">
        <v>25</v>
      </c>
      <c r="F5646" s="2">
        <f>DATE(2026,IF(Tabla1[[#This Row],[Mes de Fecha]]="Septiembre",9,10),Tabla1[[#This Row],[Día de Fecha]])</f>
        <v>46290</v>
      </c>
      <c r="I5646">
        <v>0</v>
      </c>
      <c r="J5646" s="1">
        <v>17951080</v>
      </c>
      <c r="K5646">
        <v>0</v>
      </c>
    </row>
    <row r="5647" spans="1:11" x14ac:dyDescent="0.25">
      <c r="A5647" t="s">
        <v>326</v>
      </c>
      <c r="B5647" t="s">
        <v>399</v>
      </c>
      <c r="C5647" t="s">
        <v>871</v>
      </c>
      <c r="D5647" t="s">
        <v>11</v>
      </c>
      <c r="E5647">
        <v>25</v>
      </c>
      <c r="F5647" s="2">
        <f>DATE(2026,IF(Tabla1[[#This Row],[Mes de Fecha]]="Septiembre",9,10),Tabla1[[#This Row],[Día de Fecha]])</f>
        <v>46290</v>
      </c>
      <c r="G5647">
        <v>1006166647</v>
      </c>
      <c r="H5647" t="s">
        <v>400</v>
      </c>
      <c r="I5647">
        <v>12</v>
      </c>
      <c r="J5647">
        <v>0</v>
      </c>
      <c r="K5647" s="1">
        <v>604497</v>
      </c>
    </row>
    <row r="5648" spans="1:11" x14ac:dyDescent="0.25">
      <c r="A5648" t="s">
        <v>326</v>
      </c>
      <c r="B5648" t="s">
        <v>399</v>
      </c>
      <c r="C5648" t="s">
        <v>871</v>
      </c>
      <c r="D5648" t="s">
        <v>11</v>
      </c>
      <c r="E5648">
        <v>25</v>
      </c>
      <c r="F5648" s="2">
        <f>DATE(2026,IF(Tabla1[[#This Row],[Mes de Fecha]]="Septiembre",9,10),Tabla1[[#This Row],[Día de Fecha]])</f>
        <v>46290</v>
      </c>
      <c r="G5648">
        <v>1109920243</v>
      </c>
      <c r="H5648" t="s">
        <v>398</v>
      </c>
      <c r="I5648">
        <v>-1</v>
      </c>
      <c r="J5648">
        <v>0</v>
      </c>
      <c r="K5648" s="1">
        <v>-41975</v>
      </c>
    </row>
    <row r="5649" spans="1:11" x14ac:dyDescent="0.25">
      <c r="A5649" t="s">
        <v>326</v>
      </c>
      <c r="B5649" t="s">
        <v>399</v>
      </c>
      <c r="C5649" t="s">
        <v>871</v>
      </c>
      <c r="D5649" t="s">
        <v>11</v>
      </c>
      <c r="E5649">
        <v>25</v>
      </c>
      <c r="F5649" s="2">
        <f>DATE(2026,IF(Tabla1[[#This Row],[Mes de Fecha]]="Septiembre",9,10),Tabla1[[#This Row],[Día de Fecha]])</f>
        <v>46290</v>
      </c>
      <c r="G5649">
        <v>1143413580</v>
      </c>
      <c r="H5649" t="s">
        <v>382</v>
      </c>
      <c r="I5649">
        <v>84</v>
      </c>
      <c r="J5649">
        <v>0</v>
      </c>
      <c r="K5649" s="1">
        <v>4954372</v>
      </c>
    </row>
    <row r="5650" spans="1:11" x14ac:dyDescent="0.25">
      <c r="A5650" t="s">
        <v>326</v>
      </c>
      <c r="B5650" t="s">
        <v>399</v>
      </c>
      <c r="C5650" t="s">
        <v>871</v>
      </c>
      <c r="D5650" t="s">
        <v>11</v>
      </c>
      <c r="E5650">
        <v>25</v>
      </c>
      <c r="F5650" s="2">
        <f>DATE(2026,IF(Tabla1[[#This Row],[Mes de Fecha]]="Septiembre",9,10),Tabla1[[#This Row],[Día de Fecha]])</f>
        <v>46290</v>
      </c>
      <c r="G5650">
        <v>1143872360</v>
      </c>
      <c r="H5650" t="s">
        <v>358</v>
      </c>
      <c r="I5650">
        <v>88</v>
      </c>
      <c r="J5650">
        <v>0</v>
      </c>
      <c r="K5650" s="1">
        <v>5094795</v>
      </c>
    </row>
    <row r="5651" spans="1:11" x14ac:dyDescent="0.25">
      <c r="A5651" t="s">
        <v>326</v>
      </c>
      <c r="B5651" t="s">
        <v>399</v>
      </c>
      <c r="C5651" t="s">
        <v>871</v>
      </c>
      <c r="D5651" t="s">
        <v>11</v>
      </c>
      <c r="E5651">
        <v>26</v>
      </c>
      <c r="F5651" s="2">
        <f>DATE(2026,IF(Tabla1[[#This Row],[Mes de Fecha]]="Septiembre",9,10),Tabla1[[#This Row],[Día de Fecha]])</f>
        <v>46291</v>
      </c>
      <c r="I5651">
        <v>0</v>
      </c>
      <c r="J5651" s="1">
        <v>25798282</v>
      </c>
      <c r="K5651">
        <v>0</v>
      </c>
    </row>
    <row r="5652" spans="1:11" x14ac:dyDescent="0.25">
      <c r="A5652" t="s">
        <v>326</v>
      </c>
      <c r="B5652" t="s">
        <v>399</v>
      </c>
      <c r="C5652" t="s">
        <v>871</v>
      </c>
      <c r="D5652" t="s">
        <v>11</v>
      </c>
      <c r="E5652">
        <v>26</v>
      </c>
      <c r="F5652" s="2">
        <f>DATE(2026,IF(Tabla1[[#This Row],[Mes de Fecha]]="Septiembre",9,10),Tabla1[[#This Row],[Día de Fecha]])</f>
        <v>46291</v>
      </c>
      <c r="G5652">
        <v>1006166647</v>
      </c>
      <c r="H5652" t="s">
        <v>400</v>
      </c>
      <c r="I5652">
        <v>10</v>
      </c>
      <c r="J5652">
        <v>0</v>
      </c>
      <c r="K5652" s="1">
        <v>409160</v>
      </c>
    </row>
    <row r="5653" spans="1:11" x14ac:dyDescent="0.25">
      <c r="A5653" t="s">
        <v>326</v>
      </c>
      <c r="B5653" t="s">
        <v>399</v>
      </c>
      <c r="C5653" t="s">
        <v>871</v>
      </c>
      <c r="D5653" t="s">
        <v>11</v>
      </c>
      <c r="E5653">
        <v>26</v>
      </c>
      <c r="F5653" s="2">
        <f>DATE(2026,IF(Tabla1[[#This Row],[Mes de Fecha]]="Septiembre",9,10),Tabla1[[#This Row],[Día de Fecha]])</f>
        <v>46291</v>
      </c>
      <c r="G5653">
        <v>1109115019</v>
      </c>
      <c r="H5653" t="s">
        <v>401</v>
      </c>
      <c r="I5653">
        <v>-2</v>
      </c>
      <c r="J5653">
        <v>0</v>
      </c>
      <c r="K5653" s="1">
        <v>-109160</v>
      </c>
    </row>
    <row r="5654" spans="1:11" x14ac:dyDescent="0.25">
      <c r="A5654" t="s">
        <v>326</v>
      </c>
      <c r="B5654" t="s">
        <v>399</v>
      </c>
      <c r="C5654" t="s">
        <v>871</v>
      </c>
      <c r="D5654" t="s">
        <v>11</v>
      </c>
      <c r="E5654">
        <v>26</v>
      </c>
      <c r="F5654" s="2">
        <f>DATE(2026,IF(Tabla1[[#This Row],[Mes de Fecha]]="Septiembre",9,10),Tabla1[[#This Row],[Día de Fecha]])</f>
        <v>46291</v>
      </c>
      <c r="G5654">
        <v>1143413580</v>
      </c>
      <c r="H5654" t="s">
        <v>382</v>
      </c>
      <c r="I5654">
        <v>184</v>
      </c>
      <c r="J5654">
        <v>0</v>
      </c>
      <c r="K5654" s="1">
        <v>10214376</v>
      </c>
    </row>
    <row r="5655" spans="1:11" x14ac:dyDescent="0.25">
      <c r="A5655" t="s">
        <v>326</v>
      </c>
      <c r="B5655" t="s">
        <v>399</v>
      </c>
      <c r="C5655" t="s">
        <v>871</v>
      </c>
      <c r="D5655" t="s">
        <v>11</v>
      </c>
      <c r="E5655">
        <v>26</v>
      </c>
      <c r="F5655" s="2">
        <f>DATE(2026,IF(Tabla1[[#This Row],[Mes de Fecha]]="Septiembre",9,10),Tabla1[[#This Row],[Día de Fecha]])</f>
        <v>46291</v>
      </c>
      <c r="G5655">
        <v>1143872360</v>
      </c>
      <c r="H5655" t="s">
        <v>358</v>
      </c>
      <c r="I5655">
        <v>111</v>
      </c>
      <c r="J5655">
        <v>0</v>
      </c>
      <c r="K5655" s="1">
        <v>7062148</v>
      </c>
    </row>
    <row r="5656" spans="1:11" x14ac:dyDescent="0.25">
      <c r="A5656" t="s">
        <v>326</v>
      </c>
      <c r="B5656" t="s">
        <v>399</v>
      </c>
      <c r="C5656" t="s">
        <v>871</v>
      </c>
      <c r="D5656" t="s">
        <v>11</v>
      </c>
      <c r="E5656">
        <v>27</v>
      </c>
      <c r="F5656" s="2">
        <f>DATE(2026,IF(Tabla1[[#This Row],[Mes de Fecha]]="Septiembre",9,10),Tabla1[[#This Row],[Día de Fecha]])</f>
        <v>46292</v>
      </c>
      <c r="I5656">
        <v>0</v>
      </c>
      <c r="J5656" s="1">
        <v>20437432</v>
      </c>
      <c r="K5656">
        <v>0</v>
      </c>
    </row>
    <row r="5657" spans="1:11" x14ac:dyDescent="0.25">
      <c r="A5657" t="s">
        <v>326</v>
      </c>
      <c r="B5657" t="s">
        <v>399</v>
      </c>
      <c r="C5657" t="s">
        <v>871</v>
      </c>
      <c r="D5657" t="s">
        <v>11</v>
      </c>
      <c r="E5657">
        <v>27</v>
      </c>
      <c r="F5657" s="2">
        <f>DATE(2026,IF(Tabla1[[#This Row],[Mes de Fecha]]="Septiembre",9,10),Tabla1[[#This Row],[Día de Fecha]])</f>
        <v>46292</v>
      </c>
      <c r="G5657">
        <v>1006166647</v>
      </c>
      <c r="H5657" t="s">
        <v>400</v>
      </c>
      <c r="I5657">
        <v>65</v>
      </c>
      <c r="J5657">
        <v>0</v>
      </c>
      <c r="K5657" s="1">
        <v>3896054</v>
      </c>
    </row>
    <row r="5658" spans="1:11" x14ac:dyDescent="0.25">
      <c r="A5658" t="s">
        <v>326</v>
      </c>
      <c r="B5658" t="s">
        <v>399</v>
      </c>
      <c r="C5658" t="s">
        <v>871</v>
      </c>
      <c r="D5658" t="s">
        <v>11</v>
      </c>
      <c r="E5658">
        <v>27</v>
      </c>
      <c r="F5658" s="2">
        <f>DATE(2026,IF(Tabla1[[#This Row],[Mes de Fecha]]="Septiembre",9,10),Tabla1[[#This Row],[Día de Fecha]])</f>
        <v>46292</v>
      </c>
      <c r="G5658">
        <v>1143413580</v>
      </c>
      <c r="H5658" t="s">
        <v>382</v>
      </c>
      <c r="I5658">
        <v>218</v>
      </c>
      <c r="J5658">
        <v>0</v>
      </c>
      <c r="K5658" s="1">
        <v>13105680</v>
      </c>
    </row>
    <row r="5659" spans="1:11" x14ac:dyDescent="0.25">
      <c r="A5659" t="s">
        <v>326</v>
      </c>
      <c r="B5659" t="s">
        <v>399</v>
      </c>
      <c r="C5659" t="s">
        <v>871</v>
      </c>
      <c r="D5659" t="s">
        <v>11</v>
      </c>
      <c r="E5659">
        <v>27</v>
      </c>
      <c r="F5659" s="2">
        <f>DATE(2026,IF(Tabla1[[#This Row],[Mes de Fecha]]="Septiembre",9,10),Tabla1[[#This Row],[Día de Fecha]])</f>
        <v>46292</v>
      </c>
      <c r="G5659">
        <v>1143872360</v>
      </c>
      <c r="H5659" t="s">
        <v>358</v>
      </c>
      <c r="I5659">
        <v>184</v>
      </c>
      <c r="J5659">
        <v>0</v>
      </c>
      <c r="K5659" s="1">
        <v>11061101</v>
      </c>
    </row>
    <row r="5660" spans="1:11" x14ac:dyDescent="0.25">
      <c r="A5660" t="s">
        <v>326</v>
      </c>
      <c r="B5660" t="s">
        <v>399</v>
      </c>
      <c r="C5660" t="s">
        <v>871</v>
      </c>
      <c r="D5660" t="s">
        <v>11</v>
      </c>
      <c r="E5660">
        <v>28</v>
      </c>
      <c r="F5660" s="2">
        <f>DATE(2026,IF(Tabla1[[#This Row],[Mes de Fecha]]="Septiembre",9,10),Tabla1[[#This Row],[Día de Fecha]])</f>
        <v>46293</v>
      </c>
      <c r="I5660">
        <v>0</v>
      </c>
      <c r="J5660" s="1">
        <v>11247925</v>
      </c>
      <c r="K5660">
        <v>0</v>
      </c>
    </row>
    <row r="5661" spans="1:11" x14ac:dyDescent="0.25">
      <c r="A5661" t="s">
        <v>326</v>
      </c>
      <c r="B5661" t="s">
        <v>399</v>
      </c>
      <c r="C5661" t="s">
        <v>871</v>
      </c>
      <c r="D5661" t="s">
        <v>11</v>
      </c>
      <c r="E5661">
        <v>28</v>
      </c>
      <c r="F5661" s="2">
        <f>DATE(2026,IF(Tabla1[[#This Row],[Mes de Fecha]]="Septiembre",9,10),Tabla1[[#This Row],[Día de Fecha]])</f>
        <v>46293</v>
      </c>
      <c r="G5661">
        <v>1006166647</v>
      </c>
      <c r="H5661" t="s">
        <v>400</v>
      </c>
      <c r="I5661">
        <v>6</v>
      </c>
      <c r="J5661">
        <v>0</v>
      </c>
      <c r="K5661" s="1">
        <v>365252</v>
      </c>
    </row>
    <row r="5662" spans="1:11" x14ac:dyDescent="0.25">
      <c r="A5662" t="s">
        <v>326</v>
      </c>
      <c r="B5662" t="s">
        <v>399</v>
      </c>
      <c r="C5662" t="s">
        <v>871</v>
      </c>
      <c r="D5662" t="s">
        <v>11</v>
      </c>
      <c r="E5662">
        <v>28</v>
      </c>
      <c r="F5662" s="2">
        <f>DATE(2026,IF(Tabla1[[#This Row],[Mes de Fecha]]="Septiembre",9,10),Tabla1[[#This Row],[Día de Fecha]])</f>
        <v>46293</v>
      </c>
      <c r="G5662">
        <v>1111784310</v>
      </c>
      <c r="H5662" t="s">
        <v>365</v>
      </c>
      <c r="I5662">
        <v>-1</v>
      </c>
      <c r="J5662">
        <v>0</v>
      </c>
      <c r="K5662" s="1">
        <v>-41975</v>
      </c>
    </row>
    <row r="5663" spans="1:11" x14ac:dyDescent="0.25">
      <c r="A5663" t="s">
        <v>326</v>
      </c>
      <c r="B5663" t="s">
        <v>399</v>
      </c>
      <c r="C5663" t="s">
        <v>871</v>
      </c>
      <c r="D5663" t="s">
        <v>11</v>
      </c>
      <c r="E5663">
        <v>28</v>
      </c>
      <c r="F5663" s="2">
        <f>DATE(2026,IF(Tabla1[[#This Row],[Mes de Fecha]]="Septiembre",9,10),Tabla1[[#This Row],[Día de Fecha]])</f>
        <v>46293</v>
      </c>
      <c r="G5663">
        <v>1143413580</v>
      </c>
      <c r="H5663" t="s">
        <v>382</v>
      </c>
      <c r="I5663">
        <v>48</v>
      </c>
      <c r="J5663">
        <v>0</v>
      </c>
      <c r="K5663" s="1">
        <v>2632103</v>
      </c>
    </row>
    <row r="5664" spans="1:11" x14ac:dyDescent="0.25">
      <c r="A5664" t="s">
        <v>326</v>
      </c>
      <c r="B5664" t="s">
        <v>399</v>
      </c>
      <c r="C5664" t="s">
        <v>871</v>
      </c>
      <c r="D5664" t="s">
        <v>11</v>
      </c>
      <c r="E5664">
        <v>28</v>
      </c>
      <c r="F5664" s="2">
        <f>DATE(2026,IF(Tabla1[[#This Row],[Mes de Fecha]]="Septiembre",9,10),Tabla1[[#This Row],[Día de Fecha]])</f>
        <v>46293</v>
      </c>
      <c r="G5664">
        <v>1143872360</v>
      </c>
      <c r="H5664" t="s">
        <v>358</v>
      </c>
      <c r="I5664">
        <v>58</v>
      </c>
      <c r="J5664">
        <v>0</v>
      </c>
      <c r="K5664" s="1">
        <v>3673911</v>
      </c>
    </row>
    <row r="5665" spans="1:11" x14ac:dyDescent="0.25">
      <c r="A5665" t="s">
        <v>326</v>
      </c>
      <c r="B5665" t="s">
        <v>399</v>
      </c>
      <c r="C5665" t="s">
        <v>871</v>
      </c>
      <c r="D5665" t="s">
        <v>11</v>
      </c>
      <c r="E5665">
        <v>29</v>
      </c>
      <c r="F5665" s="2">
        <f>DATE(2026,IF(Tabla1[[#This Row],[Mes de Fecha]]="Septiembre",9,10),Tabla1[[#This Row],[Día de Fecha]])</f>
        <v>46294</v>
      </c>
      <c r="I5665">
        <v>0</v>
      </c>
      <c r="J5665" s="1">
        <v>12014983</v>
      </c>
      <c r="K5665">
        <v>0</v>
      </c>
    </row>
    <row r="5666" spans="1:11" x14ac:dyDescent="0.25">
      <c r="A5666" t="s">
        <v>326</v>
      </c>
      <c r="B5666" t="s">
        <v>399</v>
      </c>
      <c r="C5666" t="s">
        <v>871</v>
      </c>
      <c r="D5666" t="s">
        <v>11</v>
      </c>
      <c r="E5666">
        <v>29</v>
      </c>
      <c r="F5666" s="2">
        <f>DATE(2026,IF(Tabla1[[#This Row],[Mes de Fecha]]="Septiembre",9,10),Tabla1[[#This Row],[Día de Fecha]])</f>
        <v>46294</v>
      </c>
      <c r="G5666">
        <v>1006166647</v>
      </c>
      <c r="H5666" t="s">
        <v>400</v>
      </c>
      <c r="I5666">
        <v>1</v>
      </c>
      <c r="J5666">
        <v>0</v>
      </c>
      <c r="K5666" s="1">
        <v>71387</v>
      </c>
    </row>
    <row r="5667" spans="1:11" x14ac:dyDescent="0.25">
      <c r="A5667" t="s">
        <v>326</v>
      </c>
      <c r="B5667" t="s">
        <v>399</v>
      </c>
      <c r="C5667" t="s">
        <v>871</v>
      </c>
      <c r="D5667" t="s">
        <v>11</v>
      </c>
      <c r="E5667">
        <v>29</v>
      </c>
      <c r="F5667" s="2">
        <f>DATE(2026,IF(Tabla1[[#This Row],[Mes de Fecha]]="Septiembre",9,10),Tabla1[[#This Row],[Día de Fecha]])</f>
        <v>46294</v>
      </c>
      <c r="G5667">
        <v>1107846457</v>
      </c>
      <c r="H5667" t="s">
        <v>402</v>
      </c>
      <c r="I5667">
        <v>-1</v>
      </c>
      <c r="J5667">
        <v>0</v>
      </c>
      <c r="K5667" s="1">
        <v>-126008</v>
      </c>
    </row>
    <row r="5668" spans="1:11" x14ac:dyDescent="0.25">
      <c r="A5668" t="s">
        <v>326</v>
      </c>
      <c r="B5668" t="s">
        <v>399</v>
      </c>
      <c r="C5668" t="s">
        <v>871</v>
      </c>
      <c r="D5668" t="s">
        <v>11</v>
      </c>
      <c r="E5668">
        <v>29</v>
      </c>
      <c r="F5668" s="2">
        <f>DATE(2026,IF(Tabla1[[#This Row],[Mes de Fecha]]="Septiembre",9,10),Tabla1[[#This Row],[Día de Fecha]])</f>
        <v>46294</v>
      </c>
      <c r="G5668">
        <v>1143413580</v>
      </c>
      <c r="H5668" t="s">
        <v>382</v>
      </c>
      <c r="I5668">
        <v>61</v>
      </c>
      <c r="J5668">
        <v>0</v>
      </c>
      <c r="K5668" s="1">
        <v>3387609</v>
      </c>
    </row>
    <row r="5669" spans="1:11" x14ac:dyDescent="0.25">
      <c r="A5669" t="s">
        <v>326</v>
      </c>
      <c r="B5669" t="s">
        <v>399</v>
      </c>
      <c r="C5669" t="s">
        <v>871</v>
      </c>
      <c r="D5669" t="s">
        <v>11</v>
      </c>
      <c r="E5669">
        <v>29</v>
      </c>
      <c r="F5669" s="2">
        <f>DATE(2026,IF(Tabla1[[#This Row],[Mes de Fecha]]="Septiembre",9,10),Tabla1[[#This Row],[Día de Fecha]])</f>
        <v>46294</v>
      </c>
      <c r="G5669">
        <v>1143872360</v>
      </c>
      <c r="H5669" t="s">
        <v>358</v>
      </c>
      <c r="I5669">
        <v>65</v>
      </c>
      <c r="J5669">
        <v>0</v>
      </c>
      <c r="K5669" s="1">
        <v>4055932</v>
      </c>
    </row>
    <row r="5670" spans="1:11" x14ac:dyDescent="0.25">
      <c r="A5670" t="s">
        <v>326</v>
      </c>
      <c r="B5670" t="s">
        <v>399</v>
      </c>
      <c r="C5670" t="s">
        <v>871</v>
      </c>
      <c r="D5670" t="s">
        <v>11</v>
      </c>
      <c r="E5670">
        <v>29</v>
      </c>
      <c r="F5670" s="2">
        <f>DATE(2026,IF(Tabla1[[#This Row],[Mes de Fecha]]="Septiembre",9,10),Tabla1[[#This Row],[Día de Fecha]])</f>
        <v>46294</v>
      </c>
      <c r="G5670">
        <v>1193601115</v>
      </c>
      <c r="H5670" t="s">
        <v>384</v>
      </c>
      <c r="I5670">
        <v>-1</v>
      </c>
      <c r="J5670">
        <v>0</v>
      </c>
      <c r="K5670" s="1">
        <v>-46177</v>
      </c>
    </row>
    <row r="5671" spans="1:11" x14ac:dyDescent="0.25">
      <c r="A5671" t="s">
        <v>326</v>
      </c>
      <c r="B5671" t="s">
        <v>399</v>
      </c>
      <c r="C5671" t="s">
        <v>871</v>
      </c>
      <c r="D5671" t="s">
        <v>11</v>
      </c>
      <c r="E5671">
        <v>30</v>
      </c>
      <c r="F5671" s="2">
        <f>DATE(2026,IF(Tabla1[[#This Row],[Mes de Fecha]]="Septiembre",9,10),Tabla1[[#This Row],[Día de Fecha]])</f>
        <v>46295</v>
      </c>
      <c r="I5671">
        <v>0</v>
      </c>
      <c r="J5671" s="1">
        <v>12411693</v>
      </c>
      <c r="K5671">
        <v>0</v>
      </c>
    </row>
    <row r="5672" spans="1:11" x14ac:dyDescent="0.25">
      <c r="A5672" t="s">
        <v>326</v>
      </c>
      <c r="B5672" t="s">
        <v>399</v>
      </c>
      <c r="C5672" t="s">
        <v>871</v>
      </c>
      <c r="D5672" t="s">
        <v>11</v>
      </c>
      <c r="E5672">
        <v>30</v>
      </c>
      <c r="F5672" s="2">
        <f>DATE(2026,IF(Tabla1[[#This Row],[Mes de Fecha]]="Septiembre",9,10),Tabla1[[#This Row],[Día de Fecha]])</f>
        <v>46295</v>
      </c>
      <c r="G5672">
        <v>1006166647</v>
      </c>
      <c r="H5672" t="s">
        <v>400</v>
      </c>
      <c r="I5672">
        <v>4</v>
      </c>
      <c r="J5672">
        <v>0</v>
      </c>
      <c r="K5672" s="1">
        <v>272942</v>
      </c>
    </row>
    <row r="5673" spans="1:11" x14ac:dyDescent="0.25">
      <c r="A5673" t="s">
        <v>326</v>
      </c>
      <c r="B5673" t="s">
        <v>399</v>
      </c>
      <c r="C5673" t="s">
        <v>871</v>
      </c>
      <c r="D5673" t="s">
        <v>11</v>
      </c>
      <c r="E5673">
        <v>30</v>
      </c>
      <c r="F5673" s="2">
        <f>DATE(2026,IF(Tabla1[[#This Row],[Mes de Fecha]]="Septiembre",9,10),Tabla1[[#This Row],[Día de Fecha]])</f>
        <v>46295</v>
      </c>
      <c r="G5673">
        <v>1143413580</v>
      </c>
      <c r="H5673" t="s">
        <v>382</v>
      </c>
      <c r="I5673">
        <v>64</v>
      </c>
      <c r="J5673">
        <v>0</v>
      </c>
      <c r="K5673" s="1">
        <v>3496641</v>
      </c>
    </row>
    <row r="5674" spans="1:11" x14ac:dyDescent="0.25">
      <c r="A5674" t="s">
        <v>326</v>
      </c>
      <c r="B5674" t="s">
        <v>399</v>
      </c>
      <c r="C5674" t="s">
        <v>871</v>
      </c>
      <c r="D5674" t="s">
        <v>11</v>
      </c>
      <c r="E5674">
        <v>30</v>
      </c>
      <c r="F5674" s="2">
        <f>DATE(2026,IF(Tabla1[[#This Row],[Mes de Fecha]]="Septiembre",9,10),Tabla1[[#This Row],[Día de Fecha]])</f>
        <v>46295</v>
      </c>
      <c r="G5674">
        <v>1143851967</v>
      </c>
      <c r="H5674" t="s">
        <v>359</v>
      </c>
      <c r="I5674">
        <v>-2</v>
      </c>
      <c r="J5674">
        <v>0</v>
      </c>
      <c r="K5674" s="1">
        <v>-167983</v>
      </c>
    </row>
    <row r="5675" spans="1:11" x14ac:dyDescent="0.25">
      <c r="A5675" t="s">
        <v>326</v>
      </c>
      <c r="B5675" t="s">
        <v>399</v>
      </c>
      <c r="C5675" t="s">
        <v>871</v>
      </c>
      <c r="D5675" t="s">
        <v>11</v>
      </c>
      <c r="E5675">
        <v>30</v>
      </c>
      <c r="F5675" s="2">
        <f>DATE(2026,IF(Tabla1[[#This Row],[Mes de Fecha]]="Septiembre",9,10),Tabla1[[#This Row],[Día de Fecha]])</f>
        <v>46295</v>
      </c>
      <c r="G5675">
        <v>1143872360</v>
      </c>
      <c r="H5675" t="s">
        <v>358</v>
      </c>
      <c r="I5675">
        <v>114</v>
      </c>
      <c r="J5675">
        <v>0</v>
      </c>
      <c r="K5675" s="1">
        <v>6444290</v>
      </c>
    </row>
    <row r="5676" spans="1:11" x14ac:dyDescent="0.25">
      <c r="A5676" t="s">
        <v>326</v>
      </c>
      <c r="B5676" t="s">
        <v>399</v>
      </c>
      <c r="C5676" t="s">
        <v>871</v>
      </c>
      <c r="D5676" t="s">
        <v>14</v>
      </c>
      <c r="E5676">
        <v>1</v>
      </c>
      <c r="F5676" s="2">
        <f>DATE(2026,IF(Tabla1[[#This Row],[Mes de Fecha]]="Septiembre",9,10),Tabla1[[#This Row],[Día de Fecha]])</f>
        <v>46296</v>
      </c>
      <c r="I5676">
        <v>0</v>
      </c>
      <c r="J5676" s="1">
        <v>13546354</v>
      </c>
      <c r="K5676">
        <v>0</v>
      </c>
    </row>
    <row r="5677" spans="1:11" x14ac:dyDescent="0.25">
      <c r="A5677" t="s">
        <v>326</v>
      </c>
      <c r="B5677" t="s">
        <v>399</v>
      </c>
      <c r="C5677" t="s">
        <v>871</v>
      </c>
      <c r="D5677" t="s">
        <v>14</v>
      </c>
      <c r="E5677">
        <v>1</v>
      </c>
      <c r="F5677" s="2">
        <f>DATE(2026,IF(Tabla1[[#This Row],[Mes de Fecha]]="Septiembre",9,10),Tabla1[[#This Row],[Día de Fecha]])</f>
        <v>46296</v>
      </c>
      <c r="G5677">
        <v>1006166647</v>
      </c>
      <c r="H5677" t="s">
        <v>400</v>
      </c>
      <c r="I5677">
        <v>5</v>
      </c>
      <c r="J5677">
        <v>0</v>
      </c>
      <c r="K5677" s="1">
        <v>205673</v>
      </c>
    </row>
    <row r="5678" spans="1:11" x14ac:dyDescent="0.25">
      <c r="A5678" t="s">
        <v>326</v>
      </c>
      <c r="B5678" t="s">
        <v>399</v>
      </c>
      <c r="C5678" t="s">
        <v>871</v>
      </c>
      <c r="D5678" t="s">
        <v>14</v>
      </c>
      <c r="E5678">
        <v>1</v>
      </c>
      <c r="F5678" s="2">
        <f>DATE(2026,IF(Tabla1[[#This Row],[Mes de Fecha]]="Septiembre",9,10),Tabla1[[#This Row],[Día de Fecha]])</f>
        <v>46296</v>
      </c>
      <c r="G5678">
        <v>1143413580</v>
      </c>
      <c r="H5678" t="s">
        <v>382</v>
      </c>
      <c r="I5678">
        <v>128</v>
      </c>
      <c r="J5678">
        <v>0</v>
      </c>
      <c r="K5678" s="1">
        <v>7010681</v>
      </c>
    </row>
    <row r="5679" spans="1:11" x14ac:dyDescent="0.25">
      <c r="A5679" t="s">
        <v>326</v>
      </c>
      <c r="B5679" t="s">
        <v>399</v>
      </c>
      <c r="C5679" t="s">
        <v>871</v>
      </c>
      <c r="D5679" t="s">
        <v>14</v>
      </c>
      <c r="E5679">
        <v>1</v>
      </c>
      <c r="F5679" s="2">
        <f>DATE(2026,IF(Tabla1[[#This Row],[Mes de Fecha]]="Septiembre",9,10),Tabla1[[#This Row],[Día de Fecha]])</f>
        <v>46296</v>
      </c>
      <c r="G5679">
        <v>1143872360</v>
      </c>
      <c r="H5679" t="s">
        <v>358</v>
      </c>
      <c r="I5679">
        <v>122</v>
      </c>
      <c r="J5679">
        <v>0</v>
      </c>
      <c r="K5679" s="1">
        <v>6780214</v>
      </c>
    </row>
    <row r="5680" spans="1:11" x14ac:dyDescent="0.25">
      <c r="A5680" t="s">
        <v>326</v>
      </c>
      <c r="B5680" t="s">
        <v>399</v>
      </c>
      <c r="C5680" t="s">
        <v>871</v>
      </c>
      <c r="D5680" t="s">
        <v>14</v>
      </c>
      <c r="E5680">
        <v>2</v>
      </c>
      <c r="F5680" s="2">
        <f>DATE(2026,IF(Tabla1[[#This Row],[Mes de Fecha]]="Septiembre",9,10),Tabla1[[#This Row],[Día de Fecha]])</f>
        <v>46297</v>
      </c>
      <c r="I5680">
        <v>0</v>
      </c>
      <c r="J5680" s="1">
        <v>13384920</v>
      </c>
      <c r="K5680">
        <v>0</v>
      </c>
    </row>
    <row r="5681" spans="1:11" x14ac:dyDescent="0.25">
      <c r="A5681" t="s">
        <v>326</v>
      </c>
      <c r="B5681" t="s">
        <v>399</v>
      </c>
      <c r="C5681" t="s">
        <v>871</v>
      </c>
      <c r="D5681" t="s">
        <v>14</v>
      </c>
      <c r="E5681">
        <v>2</v>
      </c>
      <c r="F5681" s="2">
        <f>DATE(2026,IF(Tabla1[[#This Row],[Mes de Fecha]]="Septiembre",9,10),Tabla1[[#This Row],[Día de Fecha]])</f>
        <v>46297</v>
      </c>
      <c r="G5681">
        <v>1006166647</v>
      </c>
      <c r="H5681" t="s">
        <v>400</v>
      </c>
      <c r="I5681">
        <v>8</v>
      </c>
      <c r="J5681">
        <v>0</v>
      </c>
      <c r="K5681" s="1">
        <v>415505</v>
      </c>
    </row>
    <row r="5682" spans="1:11" x14ac:dyDescent="0.25">
      <c r="A5682" t="s">
        <v>326</v>
      </c>
      <c r="B5682" t="s">
        <v>399</v>
      </c>
      <c r="C5682" t="s">
        <v>871</v>
      </c>
      <c r="D5682" t="s">
        <v>14</v>
      </c>
      <c r="E5682">
        <v>2</v>
      </c>
      <c r="F5682" s="2">
        <f>DATE(2026,IF(Tabla1[[#This Row],[Mes de Fecha]]="Septiembre",9,10),Tabla1[[#This Row],[Día de Fecha]])</f>
        <v>46297</v>
      </c>
      <c r="G5682">
        <v>1143413580</v>
      </c>
      <c r="H5682" t="s">
        <v>382</v>
      </c>
      <c r="I5682">
        <v>111</v>
      </c>
      <c r="J5682">
        <v>0</v>
      </c>
      <c r="K5682" s="1">
        <v>6406184</v>
      </c>
    </row>
    <row r="5683" spans="1:11" x14ac:dyDescent="0.25">
      <c r="A5683" t="s">
        <v>326</v>
      </c>
      <c r="B5683" t="s">
        <v>399</v>
      </c>
      <c r="C5683" t="s">
        <v>871</v>
      </c>
      <c r="D5683" t="s">
        <v>14</v>
      </c>
      <c r="E5683">
        <v>2</v>
      </c>
      <c r="F5683" s="2">
        <f>DATE(2026,IF(Tabla1[[#This Row],[Mes de Fecha]]="Septiembre",9,10),Tabla1[[#This Row],[Día de Fecha]])</f>
        <v>46297</v>
      </c>
      <c r="G5683">
        <v>1143872360</v>
      </c>
      <c r="H5683" t="s">
        <v>358</v>
      </c>
      <c r="I5683">
        <v>105</v>
      </c>
      <c r="J5683">
        <v>0</v>
      </c>
      <c r="K5683" s="1">
        <v>5259415</v>
      </c>
    </row>
    <row r="5684" spans="1:11" x14ac:dyDescent="0.25">
      <c r="A5684" t="s">
        <v>326</v>
      </c>
      <c r="B5684" t="s">
        <v>399</v>
      </c>
      <c r="C5684" t="s">
        <v>871</v>
      </c>
      <c r="D5684" t="s">
        <v>14</v>
      </c>
      <c r="E5684">
        <v>3</v>
      </c>
      <c r="F5684" s="2">
        <f>DATE(2026,IF(Tabla1[[#This Row],[Mes de Fecha]]="Septiembre",9,10),Tabla1[[#This Row],[Día de Fecha]])</f>
        <v>46298</v>
      </c>
      <c r="I5684">
        <v>0</v>
      </c>
      <c r="J5684" s="1">
        <v>25323866</v>
      </c>
      <c r="K5684">
        <v>0</v>
      </c>
    </row>
    <row r="5685" spans="1:11" x14ac:dyDescent="0.25">
      <c r="A5685" t="s">
        <v>326</v>
      </c>
      <c r="B5685" t="s">
        <v>399</v>
      </c>
      <c r="C5685" t="s">
        <v>871</v>
      </c>
      <c r="D5685" t="s">
        <v>14</v>
      </c>
      <c r="E5685">
        <v>3</v>
      </c>
      <c r="F5685" s="2">
        <f>DATE(2026,IF(Tabla1[[#This Row],[Mes de Fecha]]="Septiembre",9,10),Tabla1[[#This Row],[Día de Fecha]])</f>
        <v>46298</v>
      </c>
      <c r="G5685">
        <v>1006166647</v>
      </c>
      <c r="H5685" t="s">
        <v>400</v>
      </c>
      <c r="I5685">
        <v>23</v>
      </c>
      <c r="J5685">
        <v>0</v>
      </c>
      <c r="K5685" s="1">
        <v>1363746</v>
      </c>
    </row>
    <row r="5686" spans="1:11" x14ac:dyDescent="0.25">
      <c r="A5686" t="s">
        <v>326</v>
      </c>
      <c r="B5686" t="s">
        <v>399</v>
      </c>
      <c r="C5686" t="s">
        <v>871</v>
      </c>
      <c r="D5686" t="s">
        <v>14</v>
      </c>
      <c r="E5686">
        <v>3</v>
      </c>
      <c r="F5686" s="2">
        <f>DATE(2026,IF(Tabla1[[#This Row],[Mes de Fecha]]="Septiembre",9,10),Tabla1[[#This Row],[Día de Fecha]])</f>
        <v>46298</v>
      </c>
      <c r="G5686">
        <v>1107530246</v>
      </c>
      <c r="H5686" t="s">
        <v>361</v>
      </c>
      <c r="I5686">
        <v>232</v>
      </c>
      <c r="J5686">
        <v>0</v>
      </c>
      <c r="K5686" s="1">
        <v>11776588</v>
      </c>
    </row>
    <row r="5687" spans="1:11" x14ac:dyDescent="0.25">
      <c r="A5687" t="s">
        <v>326</v>
      </c>
      <c r="B5687" t="s">
        <v>399</v>
      </c>
      <c r="C5687" t="s">
        <v>871</v>
      </c>
      <c r="D5687" t="s">
        <v>14</v>
      </c>
      <c r="E5687">
        <v>3</v>
      </c>
      <c r="F5687" s="2">
        <f>DATE(2026,IF(Tabla1[[#This Row],[Mes de Fecha]]="Septiembre",9,10),Tabla1[[#This Row],[Día de Fecha]])</f>
        <v>46298</v>
      </c>
      <c r="G5687">
        <v>1109920243</v>
      </c>
      <c r="H5687" t="s">
        <v>398</v>
      </c>
      <c r="I5687">
        <v>-1</v>
      </c>
      <c r="J5687">
        <v>0</v>
      </c>
      <c r="K5687" s="1">
        <v>-33572</v>
      </c>
    </row>
    <row r="5688" spans="1:11" x14ac:dyDescent="0.25">
      <c r="A5688" t="s">
        <v>326</v>
      </c>
      <c r="B5688" t="s">
        <v>399</v>
      </c>
      <c r="C5688" t="s">
        <v>871</v>
      </c>
      <c r="D5688" t="s">
        <v>14</v>
      </c>
      <c r="E5688">
        <v>3</v>
      </c>
      <c r="F5688" s="2">
        <f>DATE(2026,IF(Tabla1[[#This Row],[Mes de Fecha]]="Septiembre",9,10),Tabla1[[#This Row],[Día de Fecha]])</f>
        <v>46298</v>
      </c>
      <c r="G5688">
        <v>1143413580</v>
      </c>
      <c r="H5688" t="s">
        <v>382</v>
      </c>
      <c r="I5688">
        <v>-2</v>
      </c>
      <c r="J5688">
        <v>0</v>
      </c>
      <c r="K5688" s="1">
        <v>-130168</v>
      </c>
    </row>
    <row r="5689" spans="1:11" x14ac:dyDescent="0.25">
      <c r="A5689" t="s">
        <v>326</v>
      </c>
      <c r="B5689" t="s">
        <v>399</v>
      </c>
      <c r="C5689" t="s">
        <v>871</v>
      </c>
      <c r="D5689" t="s">
        <v>14</v>
      </c>
      <c r="E5689">
        <v>3</v>
      </c>
      <c r="F5689" s="2">
        <f>DATE(2026,IF(Tabla1[[#This Row],[Mes de Fecha]]="Septiembre",9,10),Tabla1[[#This Row],[Día de Fecha]])</f>
        <v>46298</v>
      </c>
      <c r="G5689">
        <v>1143872360</v>
      </c>
      <c r="H5689" t="s">
        <v>358</v>
      </c>
      <c r="I5689">
        <v>254</v>
      </c>
      <c r="J5689">
        <v>0</v>
      </c>
      <c r="K5689" s="1">
        <v>14287800</v>
      </c>
    </row>
    <row r="5690" spans="1:11" x14ac:dyDescent="0.25">
      <c r="A5690" t="s">
        <v>326</v>
      </c>
      <c r="B5690" t="s">
        <v>399</v>
      </c>
      <c r="C5690" t="s">
        <v>871</v>
      </c>
      <c r="D5690" t="s">
        <v>14</v>
      </c>
      <c r="E5690">
        <v>3</v>
      </c>
      <c r="F5690" s="2">
        <f>DATE(2026,IF(Tabla1[[#This Row],[Mes de Fecha]]="Septiembre",9,10),Tabla1[[#This Row],[Día de Fecha]])</f>
        <v>46298</v>
      </c>
      <c r="G5690">
        <v>1144085357</v>
      </c>
      <c r="H5690" t="s">
        <v>379</v>
      </c>
      <c r="I5690">
        <v>-1</v>
      </c>
      <c r="J5690">
        <v>0</v>
      </c>
      <c r="K5690" s="1">
        <v>-54580</v>
      </c>
    </row>
    <row r="5691" spans="1:11" x14ac:dyDescent="0.25">
      <c r="A5691" t="s">
        <v>326</v>
      </c>
      <c r="B5691" t="s">
        <v>399</v>
      </c>
      <c r="C5691" t="s">
        <v>871</v>
      </c>
      <c r="D5691" t="s">
        <v>14</v>
      </c>
      <c r="E5691">
        <v>3</v>
      </c>
      <c r="F5691" s="2">
        <f>DATE(2026,IF(Tabla1[[#This Row],[Mes de Fecha]]="Septiembre",9,10),Tabla1[[#This Row],[Día de Fecha]])</f>
        <v>46298</v>
      </c>
      <c r="G5691">
        <v>1144158340</v>
      </c>
      <c r="H5691" t="s">
        <v>375</v>
      </c>
      <c r="I5691">
        <v>-2</v>
      </c>
      <c r="J5691">
        <v>0</v>
      </c>
      <c r="K5691" s="1">
        <v>-125966</v>
      </c>
    </row>
    <row r="5692" spans="1:11" x14ac:dyDescent="0.25">
      <c r="A5692" t="s">
        <v>326</v>
      </c>
      <c r="B5692" t="s">
        <v>399</v>
      </c>
      <c r="C5692" t="s">
        <v>871</v>
      </c>
      <c r="D5692" t="s">
        <v>14</v>
      </c>
      <c r="E5692">
        <v>4</v>
      </c>
      <c r="F5692" s="2">
        <f>DATE(2026,IF(Tabla1[[#This Row],[Mes de Fecha]]="Septiembre",9,10),Tabla1[[#This Row],[Día de Fecha]])</f>
        <v>46299</v>
      </c>
      <c r="I5692">
        <v>0</v>
      </c>
      <c r="J5692" s="1">
        <v>22788098</v>
      </c>
      <c r="K5692">
        <v>0</v>
      </c>
    </row>
    <row r="5693" spans="1:11" x14ac:dyDescent="0.25">
      <c r="A5693" t="s">
        <v>326</v>
      </c>
      <c r="B5693" t="s">
        <v>399</v>
      </c>
      <c r="C5693" t="s">
        <v>871</v>
      </c>
      <c r="D5693" t="s">
        <v>14</v>
      </c>
      <c r="E5693">
        <v>4</v>
      </c>
      <c r="F5693" s="2">
        <f>DATE(2026,IF(Tabla1[[#This Row],[Mes de Fecha]]="Septiembre",9,10),Tabla1[[#This Row],[Día de Fecha]])</f>
        <v>46299</v>
      </c>
      <c r="G5693">
        <v>1006166647</v>
      </c>
      <c r="H5693" t="s">
        <v>400</v>
      </c>
      <c r="I5693">
        <v>55</v>
      </c>
      <c r="J5693">
        <v>0</v>
      </c>
      <c r="K5693" s="1">
        <v>3245336</v>
      </c>
    </row>
    <row r="5694" spans="1:11" x14ac:dyDescent="0.25">
      <c r="A5694" t="s">
        <v>326</v>
      </c>
      <c r="B5694" t="s">
        <v>399</v>
      </c>
      <c r="C5694" t="s">
        <v>871</v>
      </c>
      <c r="D5694" t="s">
        <v>14</v>
      </c>
      <c r="E5694">
        <v>4</v>
      </c>
      <c r="F5694" s="2">
        <f>DATE(2026,IF(Tabla1[[#This Row],[Mes de Fecha]]="Septiembre",9,10),Tabla1[[#This Row],[Día de Fecha]])</f>
        <v>46299</v>
      </c>
      <c r="G5694">
        <v>1107530246</v>
      </c>
      <c r="H5694" t="s">
        <v>361</v>
      </c>
      <c r="I5694">
        <v>185</v>
      </c>
      <c r="J5694">
        <v>0</v>
      </c>
      <c r="K5694" s="1">
        <v>10852993</v>
      </c>
    </row>
    <row r="5695" spans="1:11" x14ac:dyDescent="0.25">
      <c r="A5695" t="s">
        <v>326</v>
      </c>
      <c r="B5695" t="s">
        <v>399</v>
      </c>
      <c r="C5695" t="s">
        <v>871</v>
      </c>
      <c r="D5695" t="s">
        <v>14</v>
      </c>
      <c r="E5695">
        <v>4</v>
      </c>
      <c r="F5695" s="2">
        <f>DATE(2026,IF(Tabla1[[#This Row],[Mes de Fecha]]="Septiembre",9,10),Tabla1[[#This Row],[Día de Fecha]])</f>
        <v>46299</v>
      </c>
      <c r="G5695">
        <v>1143872360</v>
      </c>
      <c r="H5695" t="s">
        <v>358</v>
      </c>
      <c r="I5695">
        <v>212</v>
      </c>
      <c r="J5695">
        <v>0</v>
      </c>
      <c r="K5695" s="1">
        <v>12492277</v>
      </c>
    </row>
    <row r="5696" spans="1:11" x14ac:dyDescent="0.25">
      <c r="A5696" t="s">
        <v>326</v>
      </c>
      <c r="B5696" t="s">
        <v>399</v>
      </c>
      <c r="C5696" t="s">
        <v>871</v>
      </c>
      <c r="D5696" t="s">
        <v>14</v>
      </c>
      <c r="E5696">
        <v>5</v>
      </c>
      <c r="F5696" s="2">
        <f>DATE(2026,IF(Tabla1[[#This Row],[Mes de Fecha]]="Septiembre",9,10),Tabla1[[#This Row],[Día de Fecha]])</f>
        <v>46300</v>
      </c>
      <c r="I5696">
        <v>0</v>
      </c>
      <c r="J5696" s="1">
        <v>10050762</v>
      </c>
      <c r="K5696">
        <v>0</v>
      </c>
    </row>
    <row r="5697" spans="1:11" x14ac:dyDescent="0.25">
      <c r="A5697" t="s">
        <v>326</v>
      </c>
      <c r="B5697" t="s">
        <v>399</v>
      </c>
      <c r="C5697" t="s">
        <v>871</v>
      </c>
      <c r="D5697" t="s">
        <v>14</v>
      </c>
      <c r="E5697">
        <v>5</v>
      </c>
      <c r="F5697" s="2">
        <f>DATE(2026,IF(Tabla1[[#This Row],[Mes de Fecha]]="Septiembre",9,10),Tabla1[[#This Row],[Día de Fecha]])</f>
        <v>46300</v>
      </c>
      <c r="G5697">
        <v>1006166647</v>
      </c>
      <c r="H5697" t="s">
        <v>400</v>
      </c>
      <c r="I5697">
        <v>14</v>
      </c>
      <c r="J5697">
        <v>0</v>
      </c>
      <c r="K5697" s="1">
        <v>843950</v>
      </c>
    </row>
    <row r="5698" spans="1:11" x14ac:dyDescent="0.25">
      <c r="A5698" t="s">
        <v>326</v>
      </c>
      <c r="B5698" t="s">
        <v>399</v>
      </c>
      <c r="C5698" t="s">
        <v>871</v>
      </c>
      <c r="D5698" t="s">
        <v>14</v>
      </c>
      <c r="E5698">
        <v>5</v>
      </c>
      <c r="F5698" s="2">
        <f>DATE(2026,IF(Tabla1[[#This Row],[Mes de Fecha]]="Septiembre",9,10),Tabla1[[#This Row],[Día de Fecha]])</f>
        <v>46300</v>
      </c>
      <c r="G5698">
        <v>1085270297</v>
      </c>
      <c r="H5698" t="s">
        <v>364</v>
      </c>
      <c r="I5698">
        <v>-1</v>
      </c>
      <c r="J5698">
        <v>0</v>
      </c>
      <c r="K5698" s="1">
        <v>-50378</v>
      </c>
    </row>
    <row r="5699" spans="1:11" x14ac:dyDescent="0.25">
      <c r="A5699" t="s">
        <v>326</v>
      </c>
      <c r="B5699" t="s">
        <v>399</v>
      </c>
      <c r="C5699" t="s">
        <v>871</v>
      </c>
      <c r="D5699" t="s">
        <v>14</v>
      </c>
      <c r="E5699">
        <v>5</v>
      </c>
      <c r="F5699" s="2">
        <f>DATE(2026,IF(Tabla1[[#This Row],[Mes de Fecha]]="Septiembre",9,10),Tabla1[[#This Row],[Día de Fecha]])</f>
        <v>46300</v>
      </c>
      <c r="G5699">
        <v>1107530246</v>
      </c>
      <c r="H5699" t="s">
        <v>361</v>
      </c>
      <c r="I5699">
        <v>75</v>
      </c>
      <c r="J5699">
        <v>0</v>
      </c>
      <c r="K5699" s="1">
        <v>4196182</v>
      </c>
    </row>
    <row r="5700" spans="1:11" x14ac:dyDescent="0.25">
      <c r="A5700" t="s">
        <v>326</v>
      </c>
      <c r="B5700" t="s">
        <v>399</v>
      </c>
      <c r="C5700" t="s">
        <v>871</v>
      </c>
      <c r="D5700" t="s">
        <v>14</v>
      </c>
      <c r="E5700">
        <v>5</v>
      </c>
      <c r="F5700" s="2">
        <f>DATE(2026,IF(Tabla1[[#This Row],[Mes de Fecha]]="Septiembre",9,10),Tabla1[[#This Row],[Día de Fecha]])</f>
        <v>46300</v>
      </c>
      <c r="G5700">
        <v>1143413580</v>
      </c>
      <c r="H5700" t="s">
        <v>382</v>
      </c>
      <c r="I5700">
        <v>-1</v>
      </c>
      <c r="J5700">
        <v>0</v>
      </c>
      <c r="K5700" s="1">
        <v>-54580</v>
      </c>
    </row>
    <row r="5701" spans="1:11" x14ac:dyDescent="0.25">
      <c r="A5701" t="s">
        <v>326</v>
      </c>
      <c r="B5701" t="s">
        <v>399</v>
      </c>
      <c r="C5701" t="s">
        <v>871</v>
      </c>
      <c r="D5701" t="s">
        <v>14</v>
      </c>
      <c r="E5701">
        <v>5</v>
      </c>
      <c r="F5701" s="2">
        <f>DATE(2026,IF(Tabla1[[#This Row],[Mes de Fecha]]="Septiembre",9,10),Tabla1[[#This Row],[Día de Fecha]])</f>
        <v>46300</v>
      </c>
      <c r="G5701">
        <v>1143872360</v>
      </c>
      <c r="H5701" t="s">
        <v>358</v>
      </c>
      <c r="I5701">
        <v>115</v>
      </c>
      <c r="J5701">
        <v>0</v>
      </c>
      <c r="K5701" s="1">
        <v>7003196</v>
      </c>
    </row>
    <row r="5702" spans="1:11" x14ac:dyDescent="0.25">
      <c r="A5702" t="s">
        <v>326</v>
      </c>
      <c r="B5702" t="s">
        <v>399</v>
      </c>
      <c r="C5702" t="s">
        <v>871</v>
      </c>
      <c r="D5702" t="s">
        <v>14</v>
      </c>
      <c r="E5702">
        <v>6</v>
      </c>
      <c r="F5702" s="2">
        <f>DATE(2026,IF(Tabla1[[#This Row],[Mes de Fecha]]="Septiembre",9,10),Tabla1[[#This Row],[Día de Fecha]])</f>
        <v>46301</v>
      </c>
      <c r="I5702">
        <v>0</v>
      </c>
      <c r="J5702" s="1">
        <v>8032144</v>
      </c>
      <c r="K5702">
        <v>0</v>
      </c>
    </row>
    <row r="5703" spans="1:11" x14ac:dyDescent="0.25">
      <c r="A5703" t="s">
        <v>326</v>
      </c>
      <c r="B5703" t="s">
        <v>399</v>
      </c>
      <c r="C5703" t="s">
        <v>871</v>
      </c>
      <c r="D5703" t="s">
        <v>14</v>
      </c>
      <c r="E5703">
        <v>6</v>
      </c>
      <c r="F5703" s="2">
        <f>DATE(2026,IF(Tabla1[[#This Row],[Mes de Fecha]]="Septiembre",9,10),Tabla1[[#This Row],[Día de Fecha]])</f>
        <v>46301</v>
      </c>
      <c r="G5703">
        <v>1006166647</v>
      </c>
      <c r="H5703" t="s">
        <v>400</v>
      </c>
      <c r="I5703">
        <v>14</v>
      </c>
      <c r="J5703">
        <v>0</v>
      </c>
      <c r="K5703" s="1">
        <v>575044</v>
      </c>
    </row>
    <row r="5704" spans="1:11" x14ac:dyDescent="0.25">
      <c r="A5704" t="s">
        <v>326</v>
      </c>
      <c r="B5704" t="s">
        <v>399</v>
      </c>
      <c r="C5704" t="s">
        <v>871</v>
      </c>
      <c r="D5704" t="s">
        <v>14</v>
      </c>
      <c r="E5704">
        <v>6</v>
      </c>
      <c r="F5704" s="2">
        <f>DATE(2026,IF(Tabla1[[#This Row],[Mes de Fecha]]="Septiembre",9,10),Tabla1[[#This Row],[Día de Fecha]])</f>
        <v>46301</v>
      </c>
      <c r="G5704">
        <v>1061716853</v>
      </c>
      <c r="H5704" t="s">
        <v>333</v>
      </c>
      <c r="I5704">
        <v>-1</v>
      </c>
      <c r="J5704">
        <v>0</v>
      </c>
      <c r="K5704" s="1">
        <v>-33572</v>
      </c>
    </row>
    <row r="5705" spans="1:11" x14ac:dyDescent="0.25">
      <c r="A5705" t="s">
        <v>326</v>
      </c>
      <c r="B5705" t="s">
        <v>399</v>
      </c>
      <c r="C5705" t="s">
        <v>871</v>
      </c>
      <c r="D5705" t="s">
        <v>14</v>
      </c>
      <c r="E5705">
        <v>6</v>
      </c>
      <c r="F5705" s="2">
        <f>DATE(2026,IF(Tabla1[[#This Row],[Mes de Fecha]]="Septiembre",9,10),Tabla1[[#This Row],[Día de Fecha]])</f>
        <v>46301</v>
      </c>
      <c r="G5705">
        <v>1107530246</v>
      </c>
      <c r="H5705" t="s">
        <v>361</v>
      </c>
      <c r="I5705">
        <v>128</v>
      </c>
      <c r="J5705">
        <v>0</v>
      </c>
      <c r="K5705" s="1">
        <v>7481689</v>
      </c>
    </row>
    <row r="5706" spans="1:11" x14ac:dyDescent="0.25">
      <c r="A5706" t="s">
        <v>326</v>
      </c>
      <c r="B5706" t="s">
        <v>399</v>
      </c>
      <c r="C5706" t="s">
        <v>871</v>
      </c>
      <c r="D5706" t="s">
        <v>14</v>
      </c>
      <c r="E5706">
        <v>7</v>
      </c>
      <c r="F5706" s="2">
        <f>DATE(2026,IF(Tabla1[[#This Row],[Mes de Fecha]]="Septiembre",9,10),Tabla1[[#This Row],[Día de Fecha]])</f>
        <v>46302</v>
      </c>
      <c r="I5706">
        <v>0</v>
      </c>
      <c r="J5706" s="1">
        <v>7926460</v>
      </c>
      <c r="K5706">
        <v>0</v>
      </c>
    </row>
    <row r="5707" spans="1:11" x14ac:dyDescent="0.25">
      <c r="A5707" t="s">
        <v>326</v>
      </c>
      <c r="B5707" t="s">
        <v>399</v>
      </c>
      <c r="C5707" t="s">
        <v>871</v>
      </c>
      <c r="D5707" t="s">
        <v>14</v>
      </c>
      <c r="E5707">
        <v>7</v>
      </c>
      <c r="F5707" s="2">
        <f>DATE(2026,IF(Tabla1[[#This Row],[Mes de Fecha]]="Septiembre",9,10),Tabla1[[#This Row],[Día de Fecha]])</f>
        <v>46302</v>
      </c>
      <c r="G5707">
        <v>1006166647</v>
      </c>
      <c r="H5707" t="s">
        <v>400</v>
      </c>
      <c r="I5707">
        <v>2</v>
      </c>
      <c r="J5707">
        <v>0</v>
      </c>
      <c r="K5707" s="1">
        <v>67143</v>
      </c>
    </row>
    <row r="5708" spans="1:11" x14ac:dyDescent="0.25">
      <c r="A5708" t="s">
        <v>326</v>
      </c>
      <c r="B5708" t="s">
        <v>399</v>
      </c>
      <c r="C5708" t="s">
        <v>871</v>
      </c>
      <c r="D5708" t="s">
        <v>14</v>
      </c>
      <c r="E5708">
        <v>7</v>
      </c>
      <c r="F5708" s="2">
        <f>DATE(2026,IF(Tabla1[[#This Row],[Mes de Fecha]]="Septiembre",9,10),Tabla1[[#This Row],[Día de Fecha]])</f>
        <v>46302</v>
      </c>
      <c r="G5708">
        <v>1102868881</v>
      </c>
      <c r="H5708" t="s">
        <v>338</v>
      </c>
      <c r="I5708">
        <v>-1</v>
      </c>
      <c r="J5708">
        <v>0</v>
      </c>
      <c r="K5708" s="1">
        <v>-79790</v>
      </c>
    </row>
    <row r="5709" spans="1:11" x14ac:dyDescent="0.25">
      <c r="A5709" t="s">
        <v>326</v>
      </c>
      <c r="B5709" t="s">
        <v>399</v>
      </c>
      <c r="C5709" t="s">
        <v>871</v>
      </c>
      <c r="D5709" t="s">
        <v>14</v>
      </c>
      <c r="E5709">
        <v>7</v>
      </c>
      <c r="F5709" s="2">
        <f>DATE(2026,IF(Tabla1[[#This Row],[Mes de Fecha]]="Septiembre",9,10),Tabla1[[#This Row],[Día de Fecha]])</f>
        <v>46302</v>
      </c>
      <c r="G5709">
        <v>1107530246</v>
      </c>
      <c r="H5709" t="s">
        <v>361</v>
      </c>
      <c r="I5709">
        <v>67</v>
      </c>
      <c r="J5709">
        <v>0</v>
      </c>
      <c r="K5709" s="1">
        <v>4087315</v>
      </c>
    </row>
    <row r="5710" spans="1:11" x14ac:dyDescent="0.25">
      <c r="A5710" t="s">
        <v>326</v>
      </c>
      <c r="B5710" t="s">
        <v>399</v>
      </c>
      <c r="C5710" t="s">
        <v>871</v>
      </c>
      <c r="D5710" t="s">
        <v>14</v>
      </c>
      <c r="E5710">
        <v>7</v>
      </c>
      <c r="F5710" s="2">
        <f>DATE(2026,IF(Tabla1[[#This Row],[Mes de Fecha]]="Septiembre",9,10),Tabla1[[#This Row],[Día de Fecha]])</f>
        <v>46302</v>
      </c>
      <c r="G5710">
        <v>1109920243</v>
      </c>
      <c r="H5710" t="s">
        <v>398</v>
      </c>
      <c r="I5710">
        <v>-1</v>
      </c>
      <c r="J5710">
        <v>0</v>
      </c>
      <c r="K5710" s="1">
        <v>-29370</v>
      </c>
    </row>
    <row r="5711" spans="1:11" x14ac:dyDescent="0.25">
      <c r="A5711" t="s">
        <v>326</v>
      </c>
      <c r="B5711" t="s">
        <v>399</v>
      </c>
      <c r="C5711" t="s">
        <v>871</v>
      </c>
      <c r="D5711" t="s">
        <v>14</v>
      </c>
      <c r="E5711">
        <v>7</v>
      </c>
      <c r="F5711" s="2">
        <f>DATE(2026,IF(Tabla1[[#This Row],[Mes de Fecha]]="Septiembre",9,10),Tabla1[[#This Row],[Día de Fecha]])</f>
        <v>46302</v>
      </c>
      <c r="G5711">
        <v>1143872360</v>
      </c>
      <c r="H5711" t="s">
        <v>358</v>
      </c>
      <c r="I5711">
        <v>53</v>
      </c>
      <c r="J5711">
        <v>0</v>
      </c>
      <c r="K5711" s="1">
        <v>2978576</v>
      </c>
    </row>
    <row r="5712" spans="1:11" x14ac:dyDescent="0.25">
      <c r="A5712" t="s">
        <v>326</v>
      </c>
      <c r="B5712" t="s">
        <v>399</v>
      </c>
      <c r="C5712" t="s">
        <v>871</v>
      </c>
      <c r="D5712" t="s">
        <v>14</v>
      </c>
      <c r="E5712">
        <v>7</v>
      </c>
      <c r="F5712" s="2">
        <f>DATE(2026,IF(Tabla1[[#This Row],[Mes de Fecha]]="Septiembre",9,10),Tabla1[[#This Row],[Día de Fecha]])</f>
        <v>46302</v>
      </c>
      <c r="G5712">
        <v>1144146047</v>
      </c>
      <c r="H5712" t="s">
        <v>403</v>
      </c>
      <c r="I5712">
        <v>2</v>
      </c>
      <c r="J5712">
        <v>0</v>
      </c>
      <c r="K5712" s="1">
        <v>75504</v>
      </c>
    </row>
    <row r="5713" spans="1:11" x14ac:dyDescent="0.25">
      <c r="A5713" t="s">
        <v>326</v>
      </c>
      <c r="B5713" t="s">
        <v>422</v>
      </c>
      <c r="C5713" t="s">
        <v>871</v>
      </c>
      <c r="D5713" t="s">
        <v>11</v>
      </c>
      <c r="E5713">
        <v>23</v>
      </c>
      <c r="F5713" s="2">
        <f>DATE(2026,IF(Tabla1[[#This Row],[Mes de Fecha]]="Septiembre",9,10),Tabla1[[#This Row],[Día de Fecha]])</f>
        <v>46288</v>
      </c>
      <c r="I5713">
        <v>0</v>
      </c>
      <c r="J5713" s="1">
        <v>9895858</v>
      </c>
      <c r="K5713">
        <v>0</v>
      </c>
    </row>
    <row r="5714" spans="1:11" x14ac:dyDescent="0.25">
      <c r="A5714" t="s">
        <v>326</v>
      </c>
      <c r="B5714" t="s">
        <v>422</v>
      </c>
      <c r="C5714" t="s">
        <v>871</v>
      </c>
      <c r="D5714" t="s">
        <v>11</v>
      </c>
      <c r="E5714">
        <v>23</v>
      </c>
      <c r="F5714" s="2">
        <f>DATE(2026,IF(Tabla1[[#This Row],[Mes de Fecha]]="Septiembre",9,10),Tabla1[[#This Row],[Día de Fecha]])</f>
        <v>46288</v>
      </c>
      <c r="G5714">
        <v>1044101083</v>
      </c>
      <c r="H5714" t="s">
        <v>360</v>
      </c>
      <c r="I5714">
        <v>77</v>
      </c>
      <c r="J5714">
        <v>0</v>
      </c>
      <c r="K5714" s="1">
        <v>4233913</v>
      </c>
    </row>
    <row r="5715" spans="1:11" x14ac:dyDescent="0.25">
      <c r="A5715" t="s">
        <v>326</v>
      </c>
      <c r="B5715" t="s">
        <v>422</v>
      </c>
      <c r="C5715" t="s">
        <v>871</v>
      </c>
      <c r="D5715" t="s">
        <v>11</v>
      </c>
      <c r="E5715">
        <v>23</v>
      </c>
      <c r="F5715" s="2">
        <f>DATE(2026,IF(Tabla1[[#This Row],[Mes de Fecha]]="Septiembre",9,10),Tabla1[[#This Row],[Día de Fecha]])</f>
        <v>46288</v>
      </c>
      <c r="G5715">
        <v>1105360449</v>
      </c>
      <c r="H5715" t="s">
        <v>424</v>
      </c>
      <c r="I5715">
        <v>22</v>
      </c>
      <c r="J5715">
        <v>0</v>
      </c>
      <c r="K5715" s="1">
        <v>767817</v>
      </c>
    </row>
    <row r="5716" spans="1:11" x14ac:dyDescent="0.25">
      <c r="A5716" t="s">
        <v>326</v>
      </c>
      <c r="B5716" t="s">
        <v>422</v>
      </c>
      <c r="C5716" t="s">
        <v>871</v>
      </c>
      <c r="D5716" t="s">
        <v>11</v>
      </c>
      <c r="E5716">
        <v>23</v>
      </c>
      <c r="F5716" s="2">
        <f>DATE(2026,IF(Tabla1[[#This Row],[Mes de Fecha]]="Septiembre",9,10),Tabla1[[#This Row],[Día de Fecha]])</f>
        <v>46288</v>
      </c>
      <c r="G5716">
        <v>1111660535</v>
      </c>
      <c r="H5716" t="s">
        <v>425</v>
      </c>
      <c r="I5716">
        <v>17</v>
      </c>
      <c r="J5716">
        <v>0</v>
      </c>
      <c r="K5716" s="1">
        <v>921512</v>
      </c>
    </row>
    <row r="5717" spans="1:11" x14ac:dyDescent="0.25">
      <c r="A5717" t="s">
        <v>326</v>
      </c>
      <c r="B5717" t="s">
        <v>422</v>
      </c>
      <c r="C5717" t="s">
        <v>871</v>
      </c>
      <c r="D5717" t="s">
        <v>11</v>
      </c>
      <c r="E5717">
        <v>23</v>
      </c>
      <c r="F5717" s="2">
        <f>DATE(2026,IF(Tabla1[[#This Row],[Mes de Fecha]]="Septiembre",9,10),Tabla1[[#This Row],[Día de Fecha]])</f>
        <v>46288</v>
      </c>
      <c r="G5717">
        <v>1114388276</v>
      </c>
      <c r="H5717" t="s">
        <v>426</v>
      </c>
      <c r="I5717">
        <v>10</v>
      </c>
      <c r="J5717">
        <v>0</v>
      </c>
      <c r="K5717" s="1">
        <v>499539</v>
      </c>
    </row>
    <row r="5718" spans="1:11" x14ac:dyDescent="0.25">
      <c r="A5718" t="s">
        <v>326</v>
      </c>
      <c r="B5718" t="s">
        <v>422</v>
      </c>
      <c r="C5718" t="s">
        <v>871</v>
      </c>
      <c r="D5718" t="s">
        <v>11</v>
      </c>
      <c r="E5718">
        <v>23</v>
      </c>
      <c r="F5718" s="2">
        <f>DATE(2026,IF(Tabla1[[#This Row],[Mes de Fecha]]="Septiembre",9,10),Tabla1[[#This Row],[Día de Fecha]])</f>
        <v>46288</v>
      </c>
      <c r="G5718">
        <v>1144190117</v>
      </c>
      <c r="H5718" t="s">
        <v>396</v>
      </c>
      <c r="I5718">
        <v>84</v>
      </c>
      <c r="J5718">
        <v>0</v>
      </c>
      <c r="K5718" s="1">
        <v>4290017</v>
      </c>
    </row>
    <row r="5719" spans="1:11" x14ac:dyDescent="0.25">
      <c r="A5719" t="s">
        <v>326</v>
      </c>
      <c r="B5719" t="s">
        <v>422</v>
      </c>
      <c r="C5719" t="s">
        <v>871</v>
      </c>
      <c r="D5719" t="s">
        <v>11</v>
      </c>
      <c r="E5719">
        <v>24</v>
      </c>
      <c r="F5719" s="2">
        <f>DATE(2026,IF(Tabla1[[#This Row],[Mes de Fecha]]="Septiembre",9,10),Tabla1[[#This Row],[Día de Fecha]])</f>
        <v>46289</v>
      </c>
      <c r="I5719">
        <v>0</v>
      </c>
      <c r="J5719" s="1">
        <v>15117038</v>
      </c>
      <c r="K5719">
        <v>0</v>
      </c>
    </row>
    <row r="5720" spans="1:11" x14ac:dyDescent="0.25">
      <c r="A5720" t="s">
        <v>326</v>
      </c>
      <c r="B5720" t="s">
        <v>422</v>
      </c>
      <c r="C5720" t="s">
        <v>871</v>
      </c>
      <c r="D5720" t="s">
        <v>11</v>
      </c>
      <c r="E5720">
        <v>24</v>
      </c>
      <c r="F5720" s="2">
        <f>DATE(2026,IF(Tabla1[[#This Row],[Mes de Fecha]]="Septiembre",9,10),Tabla1[[#This Row],[Día de Fecha]])</f>
        <v>46289</v>
      </c>
      <c r="G5720">
        <v>1044101083</v>
      </c>
      <c r="H5720" t="s">
        <v>360</v>
      </c>
      <c r="I5720">
        <v>89</v>
      </c>
      <c r="J5720">
        <v>0</v>
      </c>
      <c r="K5720" s="1">
        <v>4195721</v>
      </c>
    </row>
    <row r="5721" spans="1:11" x14ac:dyDescent="0.25">
      <c r="A5721" t="s">
        <v>326</v>
      </c>
      <c r="B5721" t="s">
        <v>422</v>
      </c>
      <c r="C5721" t="s">
        <v>871</v>
      </c>
      <c r="D5721" t="s">
        <v>11</v>
      </c>
      <c r="E5721">
        <v>24</v>
      </c>
      <c r="F5721" s="2">
        <f>DATE(2026,IF(Tabla1[[#This Row],[Mes de Fecha]]="Septiembre",9,10),Tabla1[[#This Row],[Día de Fecha]])</f>
        <v>46289</v>
      </c>
      <c r="G5721">
        <v>1105360449</v>
      </c>
      <c r="H5721" t="s">
        <v>424</v>
      </c>
      <c r="I5721">
        <v>34</v>
      </c>
      <c r="J5721">
        <v>0</v>
      </c>
      <c r="K5721" s="1">
        <v>1683322</v>
      </c>
    </row>
    <row r="5722" spans="1:11" x14ac:dyDescent="0.25">
      <c r="A5722" t="s">
        <v>326</v>
      </c>
      <c r="B5722" t="s">
        <v>422</v>
      </c>
      <c r="C5722" t="s">
        <v>871</v>
      </c>
      <c r="D5722" t="s">
        <v>11</v>
      </c>
      <c r="E5722">
        <v>24</v>
      </c>
      <c r="F5722" s="2">
        <f>DATE(2026,IF(Tabla1[[#This Row],[Mes de Fecha]]="Septiembre",9,10),Tabla1[[#This Row],[Día de Fecha]])</f>
        <v>46289</v>
      </c>
      <c r="G5722">
        <v>1111660535</v>
      </c>
      <c r="H5722" t="s">
        <v>425</v>
      </c>
      <c r="I5722">
        <v>30</v>
      </c>
      <c r="J5722">
        <v>0</v>
      </c>
      <c r="K5722" s="1">
        <v>1582692</v>
      </c>
    </row>
    <row r="5723" spans="1:11" x14ac:dyDescent="0.25">
      <c r="A5723" t="s">
        <v>326</v>
      </c>
      <c r="B5723" t="s">
        <v>422</v>
      </c>
      <c r="C5723" t="s">
        <v>871</v>
      </c>
      <c r="D5723" t="s">
        <v>11</v>
      </c>
      <c r="E5723">
        <v>24</v>
      </c>
      <c r="F5723" s="2">
        <f>DATE(2026,IF(Tabla1[[#This Row],[Mes de Fecha]]="Septiembre",9,10),Tabla1[[#This Row],[Día de Fecha]])</f>
        <v>46289</v>
      </c>
      <c r="G5723">
        <v>1114388276</v>
      </c>
      <c r="H5723" t="s">
        <v>426</v>
      </c>
      <c r="I5723">
        <v>29</v>
      </c>
      <c r="J5723">
        <v>0</v>
      </c>
      <c r="K5723" s="1">
        <v>1360043</v>
      </c>
    </row>
    <row r="5724" spans="1:11" x14ac:dyDescent="0.25">
      <c r="A5724" t="s">
        <v>326</v>
      </c>
      <c r="B5724" t="s">
        <v>422</v>
      </c>
      <c r="C5724" t="s">
        <v>871</v>
      </c>
      <c r="D5724" t="s">
        <v>11</v>
      </c>
      <c r="E5724">
        <v>24</v>
      </c>
      <c r="F5724" s="2">
        <f>DATE(2026,IF(Tabla1[[#This Row],[Mes de Fecha]]="Septiembre",9,10),Tabla1[[#This Row],[Día de Fecha]])</f>
        <v>46289</v>
      </c>
      <c r="G5724">
        <v>1144190117</v>
      </c>
      <c r="H5724" t="s">
        <v>396</v>
      </c>
      <c r="I5724">
        <v>75</v>
      </c>
      <c r="J5724">
        <v>0</v>
      </c>
      <c r="K5724" s="1">
        <v>3952522</v>
      </c>
    </row>
    <row r="5725" spans="1:11" x14ac:dyDescent="0.25">
      <c r="A5725" t="s">
        <v>326</v>
      </c>
      <c r="B5725" t="s">
        <v>422</v>
      </c>
      <c r="C5725" t="s">
        <v>871</v>
      </c>
      <c r="D5725" t="s">
        <v>11</v>
      </c>
      <c r="E5725">
        <v>25</v>
      </c>
      <c r="F5725" s="2">
        <f>DATE(2026,IF(Tabla1[[#This Row],[Mes de Fecha]]="Septiembre",9,10),Tabla1[[#This Row],[Día de Fecha]])</f>
        <v>46290</v>
      </c>
      <c r="I5725">
        <v>0</v>
      </c>
      <c r="J5725" s="1">
        <v>15083571</v>
      </c>
      <c r="K5725">
        <v>0</v>
      </c>
    </row>
    <row r="5726" spans="1:11" x14ac:dyDescent="0.25">
      <c r="A5726" t="s">
        <v>326</v>
      </c>
      <c r="B5726" t="s">
        <v>422</v>
      </c>
      <c r="C5726" t="s">
        <v>871</v>
      </c>
      <c r="D5726" t="s">
        <v>11</v>
      </c>
      <c r="E5726">
        <v>25</v>
      </c>
      <c r="F5726" s="2">
        <f>DATE(2026,IF(Tabla1[[#This Row],[Mes de Fecha]]="Septiembre",9,10),Tabla1[[#This Row],[Día de Fecha]])</f>
        <v>46290</v>
      </c>
      <c r="G5726">
        <v>1006048956</v>
      </c>
      <c r="H5726" t="s">
        <v>341</v>
      </c>
      <c r="I5726">
        <v>-1</v>
      </c>
      <c r="J5726">
        <v>0</v>
      </c>
      <c r="K5726" s="1">
        <v>-50378</v>
      </c>
    </row>
    <row r="5727" spans="1:11" x14ac:dyDescent="0.25">
      <c r="A5727" t="s">
        <v>326</v>
      </c>
      <c r="B5727" t="s">
        <v>422</v>
      </c>
      <c r="C5727" t="s">
        <v>871</v>
      </c>
      <c r="D5727" t="s">
        <v>11</v>
      </c>
      <c r="E5727">
        <v>25</v>
      </c>
      <c r="F5727" s="2">
        <f>DATE(2026,IF(Tabla1[[#This Row],[Mes de Fecha]]="Septiembre",9,10),Tabla1[[#This Row],[Día de Fecha]])</f>
        <v>46290</v>
      </c>
      <c r="G5727">
        <v>1044101083</v>
      </c>
      <c r="H5727" t="s">
        <v>360</v>
      </c>
      <c r="I5727">
        <v>61</v>
      </c>
      <c r="J5727">
        <v>0</v>
      </c>
      <c r="K5727" s="1">
        <v>3266222</v>
      </c>
    </row>
    <row r="5728" spans="1:11" x14ac:dyDescent="0.25">
      <c r="A5728" t="s">
        <v>326</v>
      </c>
      <c r="B5728" t="s">
        <v>422</v>
      </c>
      <c r="C5728" t="s">
        <v>871</v>
      </c>
      <c r="D5728" t="s">
        <v>11</v>
      </c>
      <c r="E5728">
        <v>25</v>
      </c>
      <c r="F5728" s="2">
        <f>DATE(2026,IF(Tabla1[[#This Row],[Mes de Fecha]]="Septiembre",9,10),Tabla1[[#This Row],[Día de Fecha]])</f>
        <v>46290</v>
      </c>
      <c r="G5728">
        <v>1105360449</v>
      </c>
      <c r="H5728" t="s">
        <v>424</v>
      </c>
      <c r="I5728">
        <v>13</v>
      </c>
      <c r="J5728">
        <v>0</v>
      </c>
      <c r="K5728" s="1">
        <v>820840</v>
      </c>
    </row>
    <row r="5729" spans="1:11" x14ac:dyDescent="0.25">
      <c r="A5729" t="s">
        <v>326</v>
      </c>
      <c r="B5729" t="s">
        <v>422</v>
      </c>
      <c r="C5729" t="s">
        <v>871</v>
      </c>
      <c r="D5729" t="s">
        <v>11</v>
      </c>
      <c r="E5729">
        <v>25</v>
      </c>
      <c r="F5729" s="2">
        <f>DATE(2026,IF(Tabla1[[#This Row],[Mes de Fecha]]="Septiembre",9,10),Tabla1[[#This Row],[Día de Fecha]])</f>
        <v>46290</v>
      </c>
      <c r="G5729">
        <v>1111660535</v>
      </c>
      <c r="H5729" t="s">
        <v>425</v>
      </c>
      <c r="I5729">
        <v>44</v>
      </c>
      <c r="J5729">
        <v>0</v>
      </c>
      <c r="K5729" s="1">
        <v>2231177</v>
      </c>
    </row>
    <row r="5730" spans="1:11" x14ac:dyDescent="0.25">
      <c r="A5730" t="s">
        <v>326</v>
      </c>
      <c r="B5730" t="s">
        <v>422</v>
      </c>
      <c r="C5730" t="s">
        <v>871</v>
      </c>
      <c r="D5730" t="s">
        <v>11</v>
      </c>
      <c r="E5730">
        <v>25</v>
      </c>
      <c r="F5730" s="2">
        <f>DATE(2026,IF(Tabla1[[#This Row],[Mes de Fecha]]="Septiembre",9,10),Tabla1[[#This Row],[Día de Fecha]])</f>
        <v>46290</v>
      </c>
      <c r="G5730">
        <v>1111665228</v>
      </c>
      <c r="H5730" t="s">
        <v>342</v>
      </c>
      <c r="I5730">
        <v>-1</v>
      </c>
      <c r="J5730">
        <v>0</v>
      </c>
      <c r="K5730" s="1">
        <v>-79790</v>
      </c>
    </row>
    <row r="5731" spans="1:11" x14ac:dyDescent="0.25">
      <c r="A5731" t="s">
        <v>326</v>
      </c>
      <c r="B5731" t="s">
        <v>422</v>
      </c>
      <c r="C5731" t="s">
        <v>871</v>
      </c>
      <c r="D5731" t="s">
        <v>11</v>
      </c>
      <c r="E5731">
        <v>25</v>
      </c>
      <c r="F5731" s="2">
        <f>DATE(2026,IF(Tabla1[[#This Row],[Mes de Fecha]]="Septiembre",9,10),Tabla1[[#This Row],[Día de Fecha]])</f>
        <v>46290</v>
      </c>
      <c r="G5731">
        <v>1114388276</v>
      </c>
      <c r="H5731" t="s">
        <v>426</v>
      </c>
      <c r="I5731">
        <v>16</v>
      </c>
      <c r="J5731">
        <v>0</v>
      </c>
      <c r="K5731" s="1">
        <v>667396</v>
      </c>
    </row>
    <row r="5732" spans="1:11" x14ac:dyDescent="0.25">
      <c r="A5732" t="s">
        <v>326</v>
      </c>
      <c r="B5732" t="s">
        <v>422</v>
      </c>
      <c r="C5732" t="s">
        <v>871</v>
      </c>
      <c r="D5732" t="s">
        <v>11</v>
      </c>
      <c r="E5732">
        <v>25</v>
      </c>
      <c r="F5732" s="2">
        <f>DATE(2026,IF(Tabla1[[#This Row],[Mes de Fecha]]="Septiembre",9,10),Tabla1[[#This Row],[Día de Fecha]])</f>
        <v>46290</v>
      </c>
      <c r="G5732">
        <v>1144190117</v>
      </c>
      <c r="H5732" t="s">
        <v>396</v>
      </c>
      <c r="I5732">
        <v>63</v>
      </c>
      <c r="J5732">
        <v>0</v>
      </c>
      <c r="K5732" s="1">
        <v>3062233</v>
      </c>
    </row>
    <row r="5733" spans="1:11" x14ac:dyDescent="0.25">
      <c r="A5733" t="s">
        <v>326</v>
      </c>
      <c r="B5733" t="s">
        <v>422</v>
      </c>
      <c r="C5733" t="s">
        <v>871</v>
      </c>
      <c r="D5733" t="s">
        <v>11</v>
      </c>
      <c r="E5733">
        <v>26</v>
      </c>
      <c r="F5733" s="2">
        <f>DATE(2026,IF(Tabla1[[#This Row],[Mes de Fecha]]="Septiembre",9,10),Tabla1[[#This Row],[Día de Fecha]])</f>
        <v>46291</v>
      </c>
      <c r="I5733">
        <v>0</v>
      </c>
      <c r="J5733" s="1">
        <v>21677260</v>
      </c>
      <c r="K5733">
        <v>0</v>
      </c>
    </row>
    <row r="5734" spans="1:11" x14ac:dyDescent="0.25">
      <c r="A5734" t="s">
        <v>326</v>
      </c>
      <c r="B5734" t="s">
        <v>422</v>
      </c>
      <c r="C5734" t="s">
        <v>871</v>
      </c>
      <c r="D5734" t="s">
        <v>11</v>
      </c>
      <c r="E5734">
        <v>26</v>
      </c>
      <c r="F5734" s="2">
        <f>DATE(2026,IF(Tabla1[[#This Row],[Mes de Fecha]]="Septiembre",9,10),Tabla1[[#This Row],[Día de Fecha]])</f>
        <v>46291</v>
      </c>
      <c r="G5734">
        <v>1044101083</v>
      </c>
      <c r="H5734" t="s">
        <v>360</v>
      </c>
      <c r="I5734">
        <v>176</v>
      </c>
      <c r="J5734">
        <v>0</v>
      </c>
      <c r="K5734" s="1">
        <v>8813366</v>
      </c>
    </row>
    <row r="5735" spans="1:11" x14ac:dyDescent="0.25">
      <c r="A5735" t="s">
        <v>326</v>
      </c>
      <c r="B5735" t="s">
        <v>422</v>
      </c>
      <c r="C5735" t="s">
        <v>871</v>
      </c>
      <c r="D5735" t="s">
        <v>11</v>
      </c>
      <c r="E5735">
        <v>26</v>
      </c>
      <c r="F5735" s="2">
        <f>DATE(2026,IF(Tabla1[[#This Row],[Mes de Fecha]]="Septiembre",9,10),Tabla1[[#This Row],[Día de Fecha]])</f>
        <v>46291</v>
      </c>
      <c r="G5735">
        <v>1105360449</v>
      </c>
      <c r="H5735" t="s">
        <v>424</v>
      </c>
      <c r="I5735">
        <v>38</v>
      </c>
      <c r="J5735">
        <v>0</v>
      </c>
      <c r="K5735" s="1">
        <v>1744120</v>
      </c>
    </row>
    <row r="5736" spans="1:11" x14ac:dyDescent="0.25">
      <c r="A5736" t="s">
        <v>326</v>
      </c>
      <c r="B5736" t="s">
        <v>422</v>
      </c>
      <c r="C5736" t="s">
        <v>871</v>
      </c>
      <c r="D5736" t="s">
        <v>11</v>
      </c>
      <c r="E5736">
        <v>26</v>
      </c>
      <c r="F5736" s="2">
        <f>DATE(2026,IF(Tabla1[[#This Row],[Mes de Fecha]]="Septiembre",9,10),Tabla1[[#This Row],[Día de Fecha]])</f>
        <v>46291</v>
      </c>
      <c r="G5736">
        <v>1111660535</v>
      </c>
      <c r="H5736" t="s">
        <v>425</v>
      </c>
      <c r="I5736">
        <v>37</v>
      </c>
      <c r="J5736">
        <v>0</v>
      </c>
      <c r="K5736" s="1">
        <v>1975168</v>
      </c>
    </row>
    <row r="5737" spans="1:11" x14ac:dyDescent="0.25">
      <c r="A5737" t="s">
        <v>326</v>
      </c>
      <c r="B5737" t="s">
        <v>422</v>
      </c>
      <c r="C5737" t="s">
        <v>871</v>
      </c>
      <c r="D5737" t="s">
        <v>11</v>
      </c>
      <c r="E5737">
        <v>26</v>
      </c>
      <c r="F5737" s="2">
        <f>DATE(2026,IF(Tabla1[[#This Row],[Mes de Fecha]]="Septiembre",9,10),Tabla1[[#This Row],[Día de Fecha]])</f>
        <v>46291</v>
      </c>
      <c r="G5737">
        <v>1114388276</v>
      </c>
      <c r="H5737" t="s">
        <v>426</v>
      </c>
      <c r="I5737">
        <v>28</v>
      </c>
      <c r="J5737">
        <v>0</v>
      </c>
      <c r="K5737" s="1">
        <v>1431471</v>
      </c>
    </row>
    <row r="5738" spans="1:11" x14ac:dyDescent="0.25">
      <c r="A5738" t="s">
        <v>326</v>
      </c>
      <c r="B5738" t="s">
        <v>422</v>
      </c>
      <c r="C5738" t="s">
        <v>871</v>
      </c>
      <c r="D5738" t="s">
        <v>11</v>
      </c>
      <c r="E5738">
        <v>26</v>
      </c>
      <c r="F5738" s="2">
        <f>DATE(2026,IF(Tabla1[[#This Row],[Mes de Fecha]]="Septiembre",9,10),Tabla1[[#This Row],[Día de Fecha]])</f>
        <v>46291</v>
      </c>
      <c r="G5738">
        <v>1144190117</v>
      </c>
      <c r="H5738" t="s">
        <v>396</v>
      </c>
      <c r="I5738">
        <v>181</v>
      </c>
      <c r="J5738">
        <v>0</v>
      </c>
      <c r="K5738" s="1">
        <v>9012616</v>
      </c>
    </row>
    <row r="5739" spans="1:11" x14ac:dyDescent="0.25">
      <c r="A5739" t="s">
        <v>326</v>
      </c>
      <c r="B5739" t="s">
        <v>422</v>
      </c>
      <c r="C5739" t="s">
        <v>871</v>
      </c>
      <c r="D5739" t="s">
        <v>11</v>
      </c>
      <c r="E5739">
        <v>27</v>
      </c>
      <c r="F5739" s="2">
        <f>DATE(2026,IF(Tabla1[[#This Row],[Mes de Fecha]]="Septiembre",9,10),Tabla1[[#This Row],[Día de Fecha]])</f>
        <v>46292</v>
      </c>
      <c r="I5739">
        <v>0</v>
      </c>
      <c r="J5739" s="1">
        <v>17172756</v>
      </c>
      <c r="K5739">
        <v>0</v>
      </c>
    </row>
    <row r="5740" spans="1:11" x14ac:dyDescent="0.25">
      <c r="A5740" t="s">
        <v>326</v>
      </c>
      <c r="B5740" t="s">
        <v>422</v>
      </c>
      <c r="C5740" t="s">
        <v>871</v>
      </c>
      <c r="D5740" t="s">
        <v>11</v>
      </c>
      <c r="E5740">
        <v>27</v>
      </c>
      <c r="F5740" s="2">
        <f>DATE(2026,IF(Tabla1[[#This Row],[Mes de Fecha]]="Septiembre",9,10),Tabla1[[#This Row],[Día de Fecha]])</f>
        <v>46292</v>
      </c>
      <c r="G5740">
        <v>1044101083</v>
      </c>
      <c r="H5740" t="s">
        <v>360</v>
      </c>
      <c r="I5740">
        <v>40</v>
      </c>
      <c r="J5740">
        <v>0</v>
      </c>
      <c r="K5740" s="1">
        <v>2118026</v>
      </c>
    </row>
    <row r="5741" spans="1:11" x14ac:dyDescent="0.25">
      <c r="A5741" t="s">
        <v>326</v>
      </c>
      <c r="B5741" t="s">
        <v>422</v>
      </c>
      <c r="C5741" t="s">
        <v>871</v>
      </c>
      <c r="D5741" t="s">
        <v>11</v>
      </c>
      <c r="E5741">
        <v>27</v>
      </c>
      <c r="F5741" s="2">
        <f>DATE(2026,IF(Tabla1[[#This Row],[Mes de Fecha]]="Septiembre",9,10),Tabla1[[#This Row],[Día de Fecha]])</f>
        <v>46292</v>
      </c>
      <c r="G5741">
        <v>1144190117</v>
      </c>
      <c r="H5741" t="s">
        <v>396</v>
      </c>
      <c r="I5741">
        <v>36</v>
      </c>
      <c r="J5741">
        <v>0</v>
      </c>
      <c r="K5741" s="1">
        <v>1937439</v>
      </c>
    </row>
    <row r="5742" spans="1:11" x14ac:dyDescent="0.25">
      <c r="A5742" t="s">
        <v>326</v>
      </c>
      <c r="B5742" t="s">
        <v>422</v>
      </c>
      <c r="C5742" t="s">
        <v>871</v>
      </c>
      <c r="D5742" t="s">
        <v>11</v>
      </c>
      <c r="E5742">
        <v>28</v>
      </c>
      <c r="F5742" s="2">
        <f>DATE(2026,IF(Tabla1[[#This Row],[Mes de Fecha]]="Septiembre",9,10),Tabla1[[#This Row],[Día de Fecha]])</f>
        <v>46293</v>
      </c>
      <c r="I5742">
        <v>0</v>
      </c>
      <c r="J5742" s="1">
        <v>9669025</v>
      </c>
      <c r="K5742">
        <v>0</v>
      </c>
    </row>
    <row r="5743" spans="1:11" x14ac:dyDescent="0.25">
      <c r="A5743" t="s">
        <v>326</v>
      </c>
      <c r="B5743" t="s">
        <v>422</v>
      </c>
      <c r="C5743" t="s">
        <v>871</v>
      </c>
      <c r="D5743" t="s">
        <v>11</v>
      </c>
      <c r="E5743">
        <v>28</v>
      </c>
      <c r="F5743" s="2">
        <f>DATE(2026,IF(Tabla1[[#This Row],[Mes de Fecha]]="Septiembre",9,10),Tabla1[[#This Row],[Día de Fecha]])</f>
        <v>46293</v>
      </c>
      <c r="G5743">
        <v>1044101083</v>
      </c>
      <c r="H5743" t="s">
        <v>360</v>
      </c>
      <c r="I5743">
        <v>79</v>
      </c>
      <c r="J5743">
        <v>0</v>
      </c>
      <c r="K5743" s="1">
        <v>3739919</v>
      </c>
    </row>
    <row r="5744" spans="1:11" x14ac:dyDescent="0.25">
      <c r="A5744" t="s">
        <v>326</v>
      </c>
      <c r="B5744" t="s">
        <v>422</v>
      </c>
      <c r="C5744" t="s">
        <v>871</v>
      </c>
      <c r="D5744" t="s">
        <v>11</v>
      </c>
      <c r="E5744">
        <v>28</v>
      </c>
      <c r="F5744" s="2">
        <f>DATE(2026,IF(Tabla1[[#This Row],[Mes de Fecha]]="Septiembre",9,10),Tabla1[[#This Row],[Día de Fecha]])</f>
        <v>46293</v>
      </c>
      <c r="G5744">
        <v>1105360449</v>
      </c>
      <c r="H5744" t="s">
        <v>424</v>
      </c>
      <c r="I5744">
        <v>19</v>
      </c>
      <c r="J5744">
        <v>0</v>
      </c>
      <c r="K5744" s="1">
        <v>768027</v>
      </c>
    </row>
    <row r="5745" spans="1:11" x14ac:dyDescent="0.25">
      <c r="A5745" t="s">
        <v>326</v>
      </c>
      <c r="B5745" t="s">
        <v>422</v>
      </c>
      <c r="C5745" t="s">
        <v>871</v>
      </c>
      <c r="D5745" t="s">
        <v>11</v>
      </c>
      <c r="E5745">
        <v>28</v>
      </c>
      <c r="F5745" s="2">
        <f>DATE(2026,IF(Tabla1[[#This Row],[Mes de Fecha]]="Septiembre",9,10),Tabla1[[#This Row],[Día de Fecha]])</f>
        <v>46293</v>
      </c>
      <c r="G5745">
        <v>1111660535</v>
      </c>
      <c r="H5745" t="s">
        <v>425</v>
      </c>
      <c r="I5745">
        <v>17</v>
      </c>
      <c r="J5745">
        <v>0</v>
      </c>
      <c r="K5745" s="1">
        <v>839581</v>
      </c>
    </row>
    <row r="5746" spans="1:11" x14ac:dyDescent="0.25">
      <c r="A5746" t="s">
        <v>326</v>
      </c>
      <c r="B5746" t="s">
        <v>422</v>
      </c>
      <c r="C5746" t="s">
        <v>871</v>
      </c>
      <c r="D5746" t="s">
        <v>11</v>
      </c>
      <c r="E5746">
        <v>28</v>
      </c>
      <c r="F5746" s="2">
        <f>DATE(2026,IF(Tabla1[[#This Row],[Mes de Fecha]]="Septiembre",9,10),Tabla1[[#This Row],[Día de Fecha]])</f>
        <v>46293</v>
      </c>
      <c r="G5746">
        <v>1114388276</v>
      </c>
      <c r="H5746" t="s">
        <v>426</v>
      </c>
      <c r="I5746">
        <v>13</v>
      </c>
      <c r="J5746">
        <v>0</v>
      </c>
      <c r="K5746" s="1">
        <v>472058</v>
      </c>
    </row>
    <row r="5747" spans="1:11" x14ac:dyDescent="0.25">
      <c r="A5747" t="s">
        <v>326</v>
      </c>
      <c r="B5747" t="s">
        <v>422</v>
      </c>
      <c r="C5747" t="s">
        <v>871</v>
      </c>
      <c r="D5747" t="s">
        <v>11</v>
      </c>
      <c r="E5747">
        <v>28</v>
      </c>
      <c r="F5747" s="2">
        <f>DATE(2026,IF(Tabla1[[#This Row],[Mes de Fecha]]="Septiembre",9,10),Tabla1[[#This Row],[Día de Fecha]])</f>
        <v>46293</v>
      </c>
      <c r="G5747">
        <v>1144190117</v>
      </c>
      <c r="H5747" t="s">
        <v>396</v>
      </c>
      <c r="I5747">
        <v>72</v>
      </c>
      <c r="J5747">
        <v>0</v>
      </c>
      <c r="K5747" s="1">
        <v>3696349</v>
      </c>
    </row>
    <row r="5748" spans="1:11" x14ac:dyDescent="0.25">
      <c r="A5748" t="s">
        <v>326</v>
      </c>
      <c r="B5748" t="s">
        <v>422</v>
      </c>
      <c r="C5748" t="s">
        <v>871</v>
      </c>
      <c r="D5748" t="s">
        <v>11</v>
      </c>
      <c r="E5748">
        <v>29</v>
      </c>
      <c r="F5748" s="2">
        <f>DATE(2026,IF(Tabla1[[#This Row],[Mes de Fecha]]="Septiembre",9,10),Tabla1[[#This Row],[Día de Fecha]])</f>
        <v>46294</v>
      </c>
      <c r="I5748">
        <v>0</v>
      </c>
      <c r="J5748" s="1">
        <v>9877864</v>
      </c>
      <c r="K5748">
        <v>0</v>
      </c>
    </row>
    <row r="5749" spans="1:11" x14ac:dyDescent="0.25">
      <c r="A5749" t="s">
        <v>326</v>
      </c>
      <c r="B5749" t="s">
        <v>422</v>
      </c>
      <c r="C5749" t="s">
        <v>871</v>
      </c>
      <c r="D5749" t="s">
        <v>11</v>
      </c>
      <c r="E5749">
        <v>29</v>
      </c>
      <c r="F5749" s="2">
        <f>DATE(2026,IF(Tabla1[[#This Row],[Mes de Fecha]]="Septiembre",9,10),Tabla1[[#This Row],[Día de Fecha]])</f>
        <v>46294</v>
      </c>
      <c r="G5749">
        <v>1044101083</v>
      </c>
      <c r="H5749" t="s">
        <v>360</v>
      </c>
      <c r="I5749">
        <v>88</v>
      </c>
      <c r="J5749">
        <v>0</v>
      </c>
      <c r="K5749" s="1">
        <v>4149205</v>
      </c>
    </row>
    <row r="5750" spans="1:11" x14ac:dyDescent="0.25">
      <c r="A5750" t="s">
        <v>326</v>
      </c>
      <c r="B5750" t="s">
        <v>422</v>
      </c>
      <c r="C5750" t="s">
        <v>871</v>
      </c>
      <c r="D5750" t="s">
        <v>11</v>
      </c>
      <c r="E5750">
        <v>29</v>
      </c>
      <c r="F5750" s="2">
        <f>DATE(2026,IF(Tabla1[[#This Row],[Mes de Fecha]]="Septiembre",9,10),Tabla1[[#This Row],[Día de Fecha]])</f>
        <v>46294</v>
      </c>
      <c r="G5750">
        <v>1105360449</v>
      </c>
      <c r="H5750" t="s">
        <v>424</v>
      </c>
      <c r="I5750">
        <v>24</v>
      </c>
      <c r="J5750">
        <v>0</v>
      </c>
      <c r="K5750" s="1">
        <v>975840</v>
      </c>
    </row>
    <row r="5751" spans="1:11" x14ac:dyDescent="0.25">
      <c r="A5751" t="s">
        <v>326</v>
      </c>
      <c r="B5751" t="s">
        <v>422</v>
      </c>
      <c r="C5751" t="s">
        <v>871</v>
      </c>
      <c r="D5751" t="s">
        <v>11</v>
      </c>
      <c r="E5751">
        <v>29</v>
      </c>
      <c r="F5751" s="2">
        <f>DATE(2026,IF(Tabla1[[#This Row],[Mes de Fecha]]="Septiembre",9,10),Tabla1[[#This Row],[Día de Fecha]])</f>
        <v>46294</v>
      </c>
      <c r="G5751">
        <v>1111660535</v>
      </c>
      <c r="H5751" t="s">
        <v>425</v>
      </c>
      <c r="I5751">
        <v>44</v>
      </c>
      <c r="J5751">
        <v>0</v>
      </c>
      <c r="K5751" s="1">
        <v>2346768</v>
      </c>
    </row>
    <row r="5752" spans="1:11" x14ac:dyDescent="0.25">
      <c r="A5752" t="s">
        <v>326</v>
      </c>
      <c r="B5752" t="s">
        <v>422</v>
      </c>
      <c r="C5752" t="s">
        <v>871</v>
      </c>
      <c r="D5752" t="s">
        <v>11</v>
      </c>
      <c r="E5752">
        <v>29</v>
      </c>
      <c r="F5752" s="2">
        <f>DATE(2026,IF(Tabla1[[#This Row],[Mes de Fecha]]="Septiembre",9,10),Tabla1[[#This Row],[Día de Fecha]])</f>
        <v>46294</v>
      </c>
      <c r="G5752">
        <v>1114388276</v>
      </c>
      <c r="H5752" t="s">
        <v>426</v>
      </c>
      <c r="I5752">
        <v>19</v>
      </c>
      <c r="J5752">
        <v>0</v>
      </c>
      <c r="K5752" s="1">
        <v>965546</v>
      </c>
    </row>
    <row r="5753" spans="1:11" x14ac:dyDescent="0.25">
      <c r="A5753" t="s">
        <v>326</v>
      </c>
      <c r="B5753" t="s">
        <v>422</v>
      </c>
      <c r="C5753" t="s">
        <v>871</v>
      </c>
      <c r="D5753" t="s">
        <v>11</v>
      </c>
      <c r="E5753">
        <v>29</v>
      </c>
      <c r="F5753" s="2">
        <f>DATE(2026,IF(Tabla1[[#This Row],[Mes de Fecha]]="Septiembre",9,10),Tabla1[[#This Row],[Día de Fecha]])</f>
        <v>46294</v>
      </c>
      <c r="G5753">
        <v>1144190117</v>
      </c>
      <c r="H5753" t="s">
        <v>396</v>
      </c>
      <c r="I5753">
        <v>69</v>
      </c>
      <c r="J5753">
        <v>0</v>
      </c>
      <c r="K5753" s="1">
        <v>3274207</v>
      </c>
    </row>
    <row r="5754" spans="1:11" x14ac:dyDescent="0.25">
      <c r="A5754" t="s">
        <v>326</v>
      </c>
      <c r="B5754" t="s">
        <v>422</v>
      </c>
      <c r="C5754" t="s">
        <v>871</v>
      </c>
      <c r="D5754" t="s">
        <v>11</v>
      </c>
      <c r="E5754">
        <v>30</v>
      </c>
      <c r="F5754" s="2">
        <f>DATE(2026,IF(Tabla1[[#This Row],[Mes de Fecha]]="Septiembre",9,10),Tabla1[[#This Row],[Día de Fecha]])</f>
        <v>46295</v>
      </c>
      <c r="I5754">
        <v>0</v>
      </c>
      <c r="J5754" s="1">
        <v>10429046</v>
      </c>
      <c r="K5754">
        <v>0</v>
      </c>
    </row>
    <row r="5755" spans="1:11" x14ac:dyDescent="0.25">
      <c r="A5755" t="s">
        <v>326</v>
      </c>
      <c r="B5755" t="s">
        <v>422</v>
      </c>
      <c r="C5755" t="s">
        <v>871</v>
      </c>
      <c r="D5755" t="s">
        <v>11</v>
      </c>
      <c r="E5755">
        <v>30</v>
      </c>
      <c r="F5755" s="2">
        <f>DATE(2026,IF(Tabla1[[#This Row],[Mes de Fecha]]="Septiembre",9,10),Tabla1[[#This Row],[Día de Fecha]])</f>
        <v>46295</v>
      </c>
      <c r="G5755">
        <v>1044101083</v>
      </c>
      <c r="H5755" t="s">
        <v>360</v>
      </c>
      <c r="I5755">
        <v>83</v>
      </c>
      <c r="J5755">
        <v>0</v>
      </c>
      <c r="K5755" s="1">
        <v>3943660</v>
      </c>
    </row>
    <row r="5756" spans="1:11" x14ac:dyDescent="0.25">
      <c r="A5756" t="s">
        <v>326</v>
      </c>
      <c r="B5756" t="s">
        <v>422</v>
      </c>
      <c r="C5756" t="s">
        <v>871</v>
      </c>
      <c r="D5756" t="s">
        <v>11</v>
      </c>
      <c r="E5756">
        <v>30</v>
      </c>
      <c r="F5756" s="2">
        <f>DATE(2026,IF(Tabla1[[#This Row],[Mes de Fecha]]="Septiembre",9,10),Tabla1[[#This Row],[Día de Fecha]])</f>
        <v>46295</v>
      </c>
      <c r="G5756">
        <v>1105360449</v>
      </c>
      <c r="H5756" t="s">
        <v>424</v>
      </c>
      <c r="I5756">
        <v>15</v>
      </c>
      <c r="J5756">
        <v>0</v>
      </c>
      <c r="K5756" s="1">
        <v>667396</v>
      </c>
    </row>
    <row r="5757" spans="1:11" x14ac:dyDescent="0.25">
      <c r="A5757" t="s">
        <v>326</v>
      </c>
      <c r="B5757" t="s">
        <v>422</v>
      </c>
      <c r="C5757" t="s">
        <v>871</v>
      </c>
      <c r="D5757" t="s">
        <v>11</v>
      </c>
      <c r="E5757">
        <v>30</v>
      </c>
      <c r="F5757" s="2">
        <f>DATE(2026,IF(Tabla1[[#This Row],[Mes de Fecha]]="Septiembre",9,10),Tabla1[[#This Row],[Día de Fecha]])</f>
        <v>46295</v>
      </c>
      <c r="G5757">
        <v>1111660535</v>
      </c>
      <c r="H5757" t="s">
        <v>425</v>
      </c>
      <c r="I5757">
        <v>36</v>
      </c>
      <c r="J5757">
        <v>0</v>
      </c>
      <c r="K5757" s="1">
        <v>1826009</v>
      </c>
    </row>
    <row r="5758" spans="1:11" x14ac:dyDescent="0.25">
      <c r="A5758" t="s">
        <v>326</v>
      </c>
      <c r="B5758" t="s">
        <v>422</v>
      </c>
      <c r="C5758" t="s">
        <v>871</v>
      </c>
      <c r="D5758" t="s">
        <v>11</v>
      </c>
      <c r="E5758">
        <v>30</v>
      </c>
      <c r="F5758" s="2">
        <f>DATE(2026,IF(Tabla1[[#This Row],[Mes de Fecha]]="Septiembre",9,10),Tabla1[[#This Row],[Día de Fecha]])</f>
        <v>46295</v>
      </c>
      <c r="G5758">
        <v>1114388276</v>
      </c>
      <c r="H5758" t="s">
        <v>426</v>
      </c>
      <c r="I5758">
        <v>7</v>
      </c>
      <c r="J5758">
        <v>0</v>
      </c>
      <c r="K5758" s="1">
        <v>398867</v>
      </c>
    </row>
    <row r="5759" spans="1:11" x14ac:dyDescent="0.25">
      <c r="A5759" t="s">
        <v>326</v>
      </c>
      <c r="B5759" t="s">
        <v>422</v>
      </c>
      <c r="C5759" t="s">
        <v>871</v>
      </c>
      <c r="D5759" t="s">
        <v>11</v>
      </c>
      <c r="E5759">
        <v>30</v>
      </c>
      <c r="F5759" s="2">
        <f>DATE(2026,IF(Tabla1[[#This Row],[Mes de Fecha]]="Septiembre",9,10),Tabla1[[#This Row],[Día de Fecha]])</f>
        <v>46295</v>
      </c>
      <c r="G5759">
        <v>1144190117</v>
      </c>
      <c r="H5759" t="s">
        <v>396</v>
      </c>
      <c r="I5759">
        <v>86</v>
      </c>
      <c r="J5759">
        <v>0</v>
      </c>
      <c r="K5759" s="1">
        <v>4519331</v>
      </c>
    </row>
    <row r="5760" spans="1:11" x14ac:dyDescent="0.25">
      <c r="A5760" t="s">
        <v>326</v>
      </c>
      <c r="B5760" t="s">
        <v>422</v>
      </c>
      <c r="C5760" t="s">
        <v>871</v>
      </c>
      <c r="D5760" t="s">
        <v>14</v>
      </c>
      <c r="E5760">
        <v>1</v>
      </c>
      <c r="F5760" s="2">
        <f>DATE(2026,IF(Tabla1[[#This Row],[Mes de Fecha]]="Septiembre",9,10),Tabla1[[#This Row],[Día de Fecha]])</f>
        <v>46296</v>
      </c>
      <c r="I5760">
        <v>0</v>
      </c>
      <c r="J5760" s="1">
        <v>13821145</v>
      </c>
      <c r="K5760">
        <v>0</v>
      </c>
    </row>
    <row r="5761" spans="1:11" x14ac:dyDescent="0.25">
      <c r="A5761" t="s">
        <v>326</v>
      </c>
      <c r="B5761" t="s">
        <v>422</v>
      </c>
      <c r="C5761" t="s">
        <v>871</v>
      </c>
      <c r="D5761" t="s">
        <v>14</v>
      </c>
      <c r="E5761">
        <v>1</v>
      </c>
      <c r="F5761" s="2">
        <f>DATE(2026,IF(Tabla1[[#This Row],[Mes de Fecha]]="Septiembre",9,10),Tabla1[[#This Row],[Día de Fecha]])</f>
        <v>46296</v>
      </c>
      <c r="G5761">
        <v>1044101083</v>
      </c>
      <c r="H5761" t="s">
        <v>360</v>
      </c>
      <c r="I5761">
        <v>103</v>
      </c>
      <c r="J5761">
        <v>0</v>
      </c>
      <c r="K5761" s="1">
        <v>5045508</v>
      </c>
    </row>
    <row r="5762" spans="1:11" x14ac:dyDescent="0.25">
      <c r="A5762" t="s">
        <v>326</v>
      </c>
      <c r="B5762" t="s">
        <v>422</v>
      </c>
      <c r="C5762" t="s">
        <v>871</v>
      </c>
      <c r="D5762" t="s">
        <v>14</v>
      </c>
      <c r="E5762">
        <v>1</v>
      </c>
      <c r="F5762" s="2">
        <f>DATE(2026,IF(Tabla1[[#This Row],[Mes de Fecha]]="Septiembre",9,10),Tabla1[[#This Row],[Día de Fecha]])</f>
        <v>46296</v>
      </c>
      <c r="G5762">
        <v>1105360449</v>
      </c>
      <c r="H5762" t="s">
        <v>424</v>
      </c>
      <c r="I5762">
        <v>2</v>
      </c>
      <c r="J5762">
        <v>0</v>
      </c>
      <c r="K5762" s="1">
        <v>167983</v>
      </c>
    </row>
    <row r="5763" spans="1:11" x14ac:dyDescent="0.25">
      <c r="A5763" t="s">
        <v>326</v>
      </c>
      <c r="B5763" t="s">
        <v>422</v>
      </c>
      <c r="C5763" t="s">
        <v>871</v>
      </c>
      <c r="D5763" t="s">
        <v>14</v>
      </c>
      <c r="E5763">
        <v>1</v>
      </c>
      <c r="F5763" s="2">
        <f>DATE(2026,IF(Tabla1[[#This Row],[Mes de Fecha]]="Septiembre",9,10),Tabla1[[#This Row],[Día de Fecha]])</f>
        <v>46296</v>
      </c>
      <c r="G5763">
        <v>1111660535</v>
      </c>
      <c r="H5763" t="s">
        <v>425</v>
      </c>
      <c r="I5763">
        <v>22</v>
      </c>
      <c r="J5763">
        <v>0</v>
      </c>
      <c r="K5763" s="1">
        <v>1164918</v>
      </c>
    </row>
    <row r="5764" spans="1:11" x14ac:dyDescent="0.25">
      <c r="A5764" t="s">
        <v>326</v>
      </c>
      <c r="B5764" t="s">
        <v>422</v>
      </c>
      <c r="C5764" t="s">
        <v>871</v>
      </c>
      <c r="D5764" t="s">
        <v>14</v>
      </c>
      <c r="E5764">
        <v>1</v>
      </c>
      <c r="F5764" s="2">
        <f>DATE(2026,IF(Tabla1[[#This Row],[Mes de Fecha]]="Septiembre",9,10),Tabla1[[#This Row],[Día de Fecha]])</f>
        <v>46296</v>
      </c>
      <c r="G5764">
        <v>1114388276</v>
      </c>
      <c r="H5764" t="s">
        <v>426</v>
      </c>
      <c r="I5764">
        <v>4</v>
      </c>
      <c r="J5764">
        <v>0</v>
      </c>
      <c r="K5764" s="1">
        <v>197227</v>
      </c>
    </row>
    <row r="5765" spans="1:11" x14ac:dyDescent="0.25">
      <c r="A5765" t="s">
        <v>326</v>
      </c>
      <c r="B5765" t="s">
        <v>422</v>
      </c>
      <c r="C5765" t="s">
        <v>871</v>
      </c>
      <c r="D5765" t="s">
        <v>14</v>
      </c>
      <c r="E5765">
        <v>1</v>
      </c>
      <c r="F5765" s="2">
        <f>DATE(2026,IF(Tabla1[[#This Row],[Mes de Fecha]]="Septiembre",9,10),Tabla1[[#This Row],[Día de Fecha]])</f>
        <v>46296</v>
      </c>
      <c r="G5765">
        <v>1143976927</v>
      </c>
      <c r="H5765" t="s">
        <v>423</v>
      </c>
      <c r="I5765">
        <v>1</v>
      </c>
      <c r="J5765">
        <v>0</v>
      </c>
      <c r="K5765" s="1">
        <v>16723</v>
      </c>
    </row>
    <row r="5766" spans="1:11" x14ac:dyDescent="0.25">
      <c r="A5766" t="s">
        <v>326</v>
      </c>
      <c r="B5766" t="s">
        <v>422</v>
      </c>
      <c r="C5766" t="s">
        <v>871</v>
      </c>
      <c r="D5766" t="s">
        <v>14</v>
      </c>
      <c r="E5766">
        <v>1</v>
      </c>
      <c r="F5766" s="2">
        <f>DATE(2026,IF(Tabla1[[#This Row],[Mes de Fecha]]="Septiembre",9,10),Tabla1[[#This Row],[Día de Fecha]])</f>
        <v>46296</v>
      </c>
      <c r="G5766">
        <v>1144190117</v>
      </c>
      <c r="H5766" t="s">
        <v>396</v>
      </c>
      <c r="I5766">
        <v>100</v>
      </c>
      <c r="J5766">
        <v>0</v>
      </c>
      <c r="K5766" s="1">
        <v>4886181</v>
      </c>
    </row>
    <row r="5767" spans="1:11" x14ac:dyDescent="0.25">
      <c r="A5767" t="s">
        <v>326</v>
      </c>
      <c r="B5767" t="s">
        <v>422</v>
      </c>
      <c r="C5767" t="s">
        <v>871</v>
      </c>
      <c r="D5767" t="s">
        <v>14</v>
      </c>
      <c r="E5767">
        <v>1</v>
      </c>
      <c r="F5767" s="2">
        <f>DATE(2026,IF(Tabla1[[#This Row],[Mes de Fecha]]="Septiembre",9,10),Tabla1[[#This Row],[Día de Fecha]])</f>
        <v>46296</v>
      </c>
      <c r="G5767">
        <v>1193597754</v>
      </c>
      <c r="H5767" t="s">
        <v>339</v>
      </c>
      <c r="I5767">
        <v>-2</v>
      </c>
      <c r="J5767">
        <v>0</v>
      </c>
      <c r="K5767" s="1">
        <v>-125966</v>
      </c>
    </row>
    <row r="5768" spans="1:11" x14ac:dyDescent="0.25">
      <c r="A5768" t="s">
        <v>326</v>
      </c>
      <c r="B5768" t="s">
        <v>422</v>
      </c>
      <c r="C5768" t="s">
        <v>871</v>
      </c>
      <c r="D5768" t="s">
        <v>14</v>
      </c>
      <c r="E5768">
        <v>2</v>
      </c>
      <c r="F5768" s="2">
        <f>DATE(2026,IF(Tabla1[[#This Row],[Mes de Fecha]]="Septiembre",9,10),Tabla1[[#This Row],[Día de Fecha]])</f>
        <v>46297</v>
      </c>
      <c r="I5768">
        <v>0</v>
      </c>
      <c r="J5768" s="1">
        <v>10261381</v>
      </c>
      <c r="K5768">
        <v>0</v>
      </c>
    </row>
    <row r="5769" spans="1:11" x14ac:dyDescent="0.25">
      <c r="A5769" t="s">
        <v>326</v>
      </c>
      <c r="B5769" t="s">
        <v>422</v>
      </c>
      <c r="C5769" t="s">
        <v>871</v>
      </c>
      <c r="D5769" t="s">
        <v>14</v>
      </c>
      <c r="E5769">
        <v>2</v>
      </c>
      <c r="F5769" s="2">
        <f>DATE(2026,IF(Tabla1[[#This Row],[Mes de Fecha]]="Septiembre",9,10),Tabla1[[#This Row],[Día de Fecha]])</f>
        <v>46297</v>
      </c>
      <c r="G5769">
        <v>1044101083</v>
      </c>
      <c r="H5769" t="s">
        <v>360</v>
      </c>
      <c r="I5769">
        <v>93</v>
      </c>
      <c r="J5769">
        <v>0</v>
      </c>
      <c r="K5769" s="1">
        <v>4796185</v>
      </c>
    </row>
    <row r="5770" spans="1:11" x14ac:dyDescent="0.25">
      <c r="A5770" t="s">
        <v>326</v>
      </c>
      <c r="B5770" t="s">
        <v>422</v>
      </c>
      <c r="C5770" t="s">
        <v>871</v>
      </c>
      <c r="D5770" t="s">
        <v>14</v>
      </c>
      <c r="E5770">
        <v>2</v>
      </c>
      <c r="F5770" s="2">
        <f>DATE(2026,IF(Tabla1[[#This Row],[Mes de Fecha]]="Septiembre",9,10),Tabla1[[#This Row],[Día de Fecha]])</f>
        <v>46297</v>
      </c>
      <c r="G5770">
        <v>1105360449</v>
      </c>
      <c r="H5770" t="s">
        <v>424</v>
      </c>
      <c r="I5770">
        <v>7</v>
      </c>
      <c r="J5770">
        <v>0</v>
      </c>
      <c r="K5770" s="1">
        <v>255967</v>
      </c>
    </row>
    <row r="5771" spans="1:11" x14ac:dyDescent="0.25">
      <c r="A5771" t="s">
        <v>326</v>
      </c>
      <c r="B5771" t="s">
        <v>422</v>
      </c>
      <c r="C5771" t="s">
        <v>871</v>
      </c>
      <c r="D5771" t="s">
        <v>14</v>
      </c>
      <c r="E5771">
        <v>2</v>
      </c>
      <c r="F5771" s="2">
        <f>DATE(2026,IF(Tabla1[[#This Row],[Mes de Fecha]]="Septiembre",9,10),Tabla1[[#This Row],[Día de Fecha]])</f>
        <v>46297</v>
      </c>
      <c r="G5771">
        <v>1111660535</v>
      </c>
      <c r="H5771" t="s">
        <v>425</v>
      </c>
      <c r="I5771">
        <v>23</v>
      </c>
      <c r="J5771">
        <v>0</v>
      </c>
      <c r="K5771" s="1">
        <v>1167059</v>
      </c>
    </row>
    <row r="5772" spans="1:11" x14ac:dyDescent="0.25">
      <c r="A5772" t="s">
        <v>326</v>
      </c>
      <c r="B5772" t="s">
        <v>422</v>
      </c>
      <c r="C5772" t="s">
        <v>871</v>
      </c>
      <c r="D5772" t="s">
        <v>14</v>
      </c>
      <c r="E5772">
        <v>2</v>
      </c>
      <c r="F5772" s="2">
        <f>DATE(2026,IF(Tabla1[[#This Row],[Mes de Fecha]]="Septiembre",9,10),Tabla1[[#This Row],[Día de Fecha]])</f>
        <v>46297</v>
      </c>
      <c r="G5772">
        <v>1111665228</v>
      </c>
      <c r="H5772" t="s">
        <v>342</v>
      </c>
      <c r="I5772">
        <v>-1</v>
      </c>
      <c r="J5772">
        <v>0</v>
      </c>
      <c r="K5772" s="1">
        <v>-41933</v>
      </c>
    </row>
    <row r="5773" spans="1:11" x14ac:dyDescent="0.25">
      <c r="A5773" t="s">
        <v>326</v>
      </c>
      <c r="B5773" t="s">
        <v>422</v>
      </c>
      <c r="C5773" t="s">
        <v>871</v>
      </c>
      <c r="D5773" t="s">
        <v>14</v>
      </c>
      <c r="E5773">
        <v>2</v>
      </c>
      <c r="F5773" s="2">
        <f>DATE(2026,IF(Tabla1[[#This Row],[Mes de Fecha]]="Septiembre",9,10),Tabla1[[#This Row],[Día de Fecha]])</f>
        <v>46297</v>
      </c>
      <c r="G5773">
        <v>1114388276</v>
      </c>
      <c r="H5773" t="s">
        <v>426</v>
      </c>
      <c r="I5773">
        <v>3</v>
      </c>
      <c r="J5773">
        <v>0</v>
      </c>
      <c r="K5773" s="1">
        <v>69160</v>
      </c>
    </row>
    <row r="5774" spans="1:11" x14ac:dyDescent="0.25">
      <c r="A5774" t="s">
        <v>326</v>
      </c>
      <c r="B5774" t="s">
        <v>422</v>
      </c>
      <c r="C5774" t="s">
        <v>871</v>
      </c>
      <c r="D5774" t="s">
        <v>14</v>
      </c>
      <c r="E5774">
        <v>2</v>
      </c>
      <c r="F5774" s="2">
        <f>DATE(2026,IF(Tabla1[[#This Row],[Mes de Fecha]]="Septiembre",9,10),Tabla1[[#This Row],[Día de Fecha]])</f>
        <v>46297</v>
      </c>
      <c r="G5774">
        <v>1144190117</v>
      </c>
      <c r="H5774" t="s">
        <v>396</v>
      </c>
      <c r="I5774">
        <v>101</v>
      </c>
      <c r="J5774">
        <v>0</v>
      </c>
      <c r="K5774" s="1">
        <v>5224038</v>
      </c>
    </row>
    <row r="5775" spans="1:11" x14ac:dyDescent="0.25">
      <c r="A5775" t="s">
        <v>326</v>
      </c>
      <c r="B5775" t="s">
        <v>422</v>
      </c>
      <c r="C5775" t="s">
        <v>871</v>
      </c>
      <c r="D5775" t="s">
        <v>14</v>
      </c>
      <c r="E5775">
        <v>3</v>
      </c>
      <c r="F5775" s="2">
        <f>DATE(2026,IF(Tabla1[[#This Row],[Mes de Fecha]]="Septiembre",9,10),Tabla1[[#This Row],[Día de Fecha]])</f>
        <v>46298</v>
      </c>
      <c r="I5775">
        <v>0</v>
      </c>
      <c r="J5775" s="1">
        <v>30929371</v>
      </c>
      <c r="K5775">
        <v>0</v>
      </c>
    </row>
    <row r="5776" spans="1:11" x14ac:dyDescent="0.25">
      <c r="A5776" t="s">
        <v>326</v>
      </c>
      <c r="B5776" t="s">
        <v>422</v>
      </c>
      <c r="C5776" t="s">
        <v>871</v>
      </c>
      <c r="D5776" t="s">
        <v>14</v>
      </c>
      <c r="E5776">
        <v>3</v>
      </c>
      <c r="F5776" s="2">
        <f>DATE(2026,IF(Tabla1[[#This Row],[Mes de Fecha]]="Septiembre",9,10),Tabla1[[#This Row],[Día de Fecha]])</f>
        <v>46298</v>
      </c>
      <c r="G5776">
        <v>1007132542</v>
      </c>
      <c r="H5776" t="s">
        <v>386</v>
      </c>
      <c r="I5776">
        <v>-1</v>
      </c>
      <c r="J5776">
        <v>0</v>
      </c>
      <c r="K5776" s="1">
        <v>-75546</v>
      </c>
    </row>
    <row r="5777" spans="1:11" x14ac:dyDescent="0.25">
      <c r="A5777" t="s">
        <v>326</v>
      </c>
      <c r="B5777" t="s">
        <v>422</v>
      </c>
      <c r="C5777" t="s">
        <v>871</v>
      </c>
      <c r="D5777" t="s">
        <v>14</v>
      </c>
      <c r="E5777">
        <v>3</v>
      </c>
      <c r="F5777" s="2">
        <f>DATE(2026,IF(Tabla1[[#This Row],[Mes de Fecha]]="Septiembre",9,10),Tabla1[[#This Row],[Día de Fecha]])</f>
        <v>46298</v>
      </c>
      <c r="G5777">
        <v>1044101083</v>
      </c>
      <c r="H5777" t="s">
        <v>360</v>
      </c>
      <c r="I5777">
        <v>230</v>
      </c>
      <c r="J5777">
        <v>0</v>
      </c>
      <c r="K5777" s="1">
        <v>11314581</v>
      </c>
    </row>
    <row r="5778" spans="1:11" x14ac:dyDescent="0.25">
      <c r="A5778" t="s">
        <v>326</v>
      </c>
      <c r="B5778" t="s">
        <v>422</v>
      </c>
      <c r="C5778" t="s">
        <v>871</v>
      </c>
      <c r="D5778" t="s">
        <v>14</v>
      </c>
      <c r="E5778">
        <v>3</v>
      </c>
      <c r="F5778" s="2">
        <f>DATE(2026,IF(Tabla1[[#This Row],[Mes de Fecha]]="Septiembre",9,10),Tabla1[[#This Row],[Día de Fecha]])</f>
        <v>46298</v>
      </c>
      <c r="G5778">
        <v>1105360449</v>
      </c>
      <c r="H5778" t="s">
        <v>424</v>
      </c>
      <c r="I5778">
        <v>12</v>
      </c>
      <c r="J5778">
        <v>0</v>
      </c>
      <c r="K5778" s="1">
        <v>477151</v>
      </c>
    </row>
    <row r="5779" spans="1:11" x14ac:dyDescent="0.25">
      <c r="A5779" t="s">
        <v>326</v>
      </c>
      <c r="B5779" t="s">
        <v>422</v>
      </c>
      <c r="C5779" t="s">
        <v>871</v>
      </c>
      <c r="D5779" t="s">
        <v>14</v>
      </c>
      <c r="E5779">
        <v>3</v>
      </c>
      <c r="F5779" s="2">
        <f>DATE(2026,IF(Tabla1[[#This Row],[Mes de Fecha]]="Septiembre",9,10),Tabla1[[#This Row],[Día de Fecha]])</f>
        <v>46298</v>
      </c>
      <c r="G5779">
        <v>1111660535</v>
      </c>
      <c r="H5779" t="s">
        <v>425</v>
      </c>
      <c r="I5779">
        <v>26</v>
      </c>
      <c r="J5779">
        <v>0</v>
      </c>
      <c r="K5779" s="1">
        <v>1081144</v>
      </c>
    </row>
    <row r="5780" spans="1:11" x14ac:dyDescent="0.25">
      <c r="A5780" t="s">
        <v>326</v>
      </c>
      <c r="B5780" t="s">
        <v>422</v>
      </c>
      <c r="C5780" t="s">
        <v>871</v>
      </c>
      <c r="D5780" t="s">
        <v>14</v>
      </c>
      <c r="E5780">
        <v>3</v>
      </c>
      <c r="F5780" s="2">
        <f>DATE(2026,IF(Tabla1[[#This Row],[Mes de Fecha]]="Septiembre",9,10),Tabla1[[#This Row],[Día de Fecha]])</f>
        <v>46298</v>
      </c>
      <c r="G5780">
        <v>1114388276</v>
      </c>
      <c r="H5780" t="s">
        <v>426</v>
      </c>
      <c r="I5780">
        <v>10</v>
      </c>
      <c r="J5780">
        <v>0</v>
      </c>
      <c r="K5780" s="1">
        <v>423951</v>
      </c>
    </row>
    <row r="5781" spans="1:11" x14ac:dyDescent="0.25">
      <c r="A5781" t="s">
        <v>326</v>
      </c>
      <c r="B5781" t="s">
        <v>422</v>
      </c>
      <c r="C5781" t="s">
        <v>871</v>
      </c>
      <c r="D5781" t="s">
        <v>14</v>
      </c>
      <c r="E5781">
        <v>3</v>
      </c>
      <c r="F5781" s="2">
        <f>DATE(2026,IF(Tabla1[[#This Row],[Mes de Fecha]]="Septiembre",9,10),Tabla1[[#This Row],[Día de Fecha]])</f>
        <v>46298</v>
      </c>
      <c r="G5781">
        <v>1144190117</v>
      </c>
      <c r="H5781" t="s">
        <v>396</v>
      </c>
      <c r="I5781">
        <v>223</v>
      </c>
      <c r="J5781">
        <v>0</v>
      </c>
      <c r="K5781" s="1">
        <v>11585353</v>
      </c>
    </row>
    <row r="5782" spans="1:11" x14ac:dyDescent="0.25">
      <c r="A5782" t="s">
        <v>326</v>
      </c>
      <c r="B5782" t="s">
        <v>422</v>
      </c>
      <c r="C5782" t="s">
        <v>871</v>
      </c>
      <c r="D5782" t="s">
        <v>14</v>
      </c>
      <c r="E5782">
        <v>4</v>
      </c>
      <c r="F5782" s="2">
        <f>DATE(2026,IF(Tabla1[[#This Row],[Mes de Fecha]]="Septiembre",9,10),Tabla1[[#This Row],[Día de Fecha]])</f>
        <v>46299</v>
      </c>
      <c r="I5782">
        <v>0</v>
      </c>
      <c r="J5782" s="1">
        <v>9169769</v>
      </c>
      <c r="K5782">
        <v>0</v>
      </c>
    </row>
    <row r="5783" spans="1:11" x14ac:dyDescent="0.25">
      <c r="A5783" t="s">
        <v>326</v>
      </c>
      <c r="B5783" t="s">
        <v>422</v>
      </c>
      <c r="C5783" t="s">
        <v>871</v>
      </c>
      <c r="D5783" t="s">
        <v>14</v>
      </c>
      <c r="E5783">
        <v>4</v>
      </c>
      <c r="F5783" s="2">
        <f>DATE(2026,IF(Tabla1[[#This Row],[Mes de Fecha]]="Septiembre",9,10),Tabla1[[#This Row],[Día de Fecha]])</f>
        <v>46299</v>
      </c>
      <c r="G5783">
        <v>1044101083</v>
      </c>
      <c r="H5783" t="s">
        <v>360</v>
      </c>
      <c r="I5783">
        <v>59</v>
      </c>
      <c r="J5783">
        <v>0</v>
      </c>
      <c r="K5783" s="1">
        <v>3039207</v>
      </c>
    </row>
    <row r="5784" spans="1:11" x14ac:dyDescent="0.25">
      <c r="A5784" t="s">
        <v>326</v>
      </c>
      <c r="B5784" t="s">
        <v>422</v>
      </c>
      <c r="C5784" t="s">
        <v>871</v>
      </c>
      <c r="D5784" t="s">
        <v>14</v>
      </c>
      <c r="E5784">
        <v>4</v>
      </c>
      <c r="F5784" s="2">
        <f>DATE(2026,IF(Tabla1[[#This Row],[Mes de Fecha]]="Septiembre",9,10),Tabla1[[#This Row],[Día de Fecha]])</f>
        <v>46299</v>
      </c>
      <c r="G5784">
        <v>1105360449</v>
      </c>
      <c r="H5784" t="s">
        <v>424</v>
      </c>
      <c r="I5784">
        <v>2</v>
      </c>
      <c r="J5784">
        <v>0</v>
      </c>
      <c r="K5784" s="1">
        <v>31429</v>
      </c>
    </row>
    <row r="5785" spans="1:11" x14ac:dyDescent="0.25">
      <c r="A5785" t="s">
        <v>326</v>
      </c>
      <c r="B5785" t="s">
        <v>422</v>
      </c>
      <c r="C5785" t="s">
        <v>871</v>
      </c>
      <c r="D5785" t="s">
        <v>14</v>
      </c>
      <c r="E5785">
        <v>4</v>
      </c>
      <c r="F5785" s="2">
        <f>DATE(2026,IF(Tabla1[[#This Row],[Mes de Fecha]]="Septiembre",9,10),Tabla1[[#This Row],[Día de Fecha]])</f>
        <v>46299</v>
      </c>
      <c r="G5785">
        <v>1144190117</v>
      </c>
      <c r="H5785" t="s">
        <v>396</v>
      </c>
      <c r="I5785">
        <v>62</v>
      </c>
      <c r="J5785">
        <v>0</v>
      </c>
      <c r="K5785" s="1">
        <v>3030757</v>
      </c>
    </row>
    <row r="5786" spans="1:11" x14ac:dyDescent="0.25">
      <c r="A5786" t="s">
        <v>326</v>
      </c>
      <c r="B5786" t="s">
        <v>422</v>
      </c>
      <c r="C5786" t="s">
        <v>871</v>
      </c>
      <c r="D5786" t="s">
        <v>14</v>
      </c>
      <c r="E5786">
        <v>4</v>
      </c>
      <c r="F5786" s="2">
        <f>DATE(2026,IF(Tabla1[[#This Row],[Mes de Fecha]]="Septiembre",9,10),Tabla1[[#This Row],[Día de Fecha]])</f>
        <v>46299</v>
      </c>
      <c r="G5786">
        <v>1193259913</v>
      </c>
      <c r="H5786" t="s">
        <v>354</v>
      </c>
      <c r="I5786">
        <v>-1</v>
      </c>
      <c r="J5786">
        <v>0</v>
      </c>
      <c r="K5786" s="1">
        <v>-50378</v>
      </c>
    </row>
    <row r="5787" spans="1:11" x14ac:dyDescent="0.25">
      <c r="A5787" t="s">
        <v>326</v>
      </c>
      <c r="B5787" t="s">
        <v>422</v>
      </c>
      <c r="C5787" t="s">
        <v>871</v>
      </c>
      <c r="D5787" t="s">
        <v>14</v>
      </c>
      <c r="E5787">
        <v>5</v>
      </c>
      <c r="F5787" s="2">
        <f>DATE(2026,IF(Tabla1[[#This Row],[Mes de Fecha]]="Septiembre",9,10),Tabla1[[#This Row],[Día de Fecha]])</f>
        <v>46300</v>
      </c>
      <c r="I5787">
        <v>0</v>
      </c>
      <c r="J5787" s="1">
        <v>14373755</v>
      </c>
      <c r="K5787">
        <v>0</v>
      </c>
    </row>
    <row r="5788" spans="1:11" x14ac:dyDescent="0.25">
      <c r="A5788" t="s">
        <v>326</v>
      </c>
      <c r="B5788" t="s">
        <v>422</v>
      </c>
      <c r="C5788" t="s">
        <v>871</v>
      </c>
      <c r="D5788" t="s">
        <v>14</v>
      </c>
      <c r="E5788">
        <v>5</v>
      </c>
      <c r="F5788" s="2">
        <f>DATE(2026,IF(Tabla1[[#This Row],[Mes de Fecha]]="Septiembre",9,10),Tabla1[[#This Row],[Día de Fecha]])</f>
        <v>46300</v>
      </c>
      <c r="G5788">
        <v>1004006497</v>
      </c>
      <c r="H5788" t="s">
        <v>383</v>
      </c>
      <c r="I5788">
        <v>-2</v>
      </c>
      <c r="J5788">
        <v>0</v>
      </c>
      <c r="K5788" s="1">
        <v>-125966</v>
      </c>
    </row>
    <row r="5789" spans="1:11" x14ac:dyDescent="0.25">
      <c r="A5789" t="s">
        <v>326</v>
      </c>
      <c r="B5789" t="s">
        <v>422</v>
      </c>
      <c r="C5789" t="s">
        <v>871</v>
      </c>
      <c r="D5789" t="s">
        <v>14</v>
      </c>
      <c r="E5789">
        <v>5</v>
      </c>
      <c r="F5789" s="2">
        <f>DATE(2026,IF(Tabla1[[#This Row],[Mes de Fecha]]="Septiembre",9,10),Tabla1[[#This Row],[Día de Fecha]])</f>
        <v>46300</v>
      </c>
      <c r="G5789">
        <v>1044101083</v>
      </c>
      <c r="H5789" t="s">
        <v>360</v>
      </c>
      <c r="I5789">
        <v>118</v>
      </c>
      <c r="J5789">
        <v>0</v>
      </c>
      <c r="K5789" s="1">
        <v>6643617</v>
      </c>
    </row>
    <row r="5790" spans="1:11" x14ac:dyDescent="0.25">
      <c r="A5790" t="s">
        <v>326</v>
      </c>
      <c r="B5790" t="s">
        <v>422</v>
      </c>
      <c r="C5790" t="s">
        <v>871</v>
      </c>
      <c r="D5790" t="s">
        <v>14</v>
      </c>
      <c r="E5790">
        <v>5</v>
      </c>
      <c r="F5790" s="2">
        <f>DATE(2026,IF(Tabla1[[#This Row],[Mes de Fecha]]="Septiembre",9,10),Tabla1[[#This Row],[Día de Fecha]])</f>
        <v>46300</v>
      </c>
      <c r="G5790">
        <v>1105360449</v>
      </c>
      <c r="H5790" t="s">
        <v>424</v>
      </c>
      <c r="I5790">
        <v>2</v>
      </c>
      <c r="J5790">
        <v>0</v>
      </c>
      <c r="K5790" s="1">
        <v>109160</v>
      </c>
    </row>
    <row r="5791" spans="1:11" x14ac:dyDescent="0.25">
      <c r="A5791" t="s">
        <v>326</v>
      </c>
      <c r="B5791" t="s">
        <v>422</v>
      </c>
      <c r="C5791" t="s">
        <v>871</v>
      </c>
      <c r="D5791" t="s">
        <v>14</v>
      </c>
      <c r="E5791">
        <v>5</v>
      </c>
      <c r="F5791" s="2">
        <f>DATE(2026,IF(Tabla1[[#This Row],[Mes de Fecha]]="Septiembre",9,10),Tabla1[[#This Row],[Día de Fecha]])</f>
        <v>46300</v>
      </c>
      <c r="G5791">
        <v>1111660535</v>
      </c>
      <c r="H5791" t="s">
        <v>425</v>
      </c>
      <c r="I5791">
        <v>5</v>
      </c>
      <c r="J5791">
        <v>0</v>
      </c>
      <c r="K5791" s="1">
        <v>218277</v>
      </c>
    </row>
    <row r="5792" spans="1:11" x14ac:dyDescent="0.25">
      <c r="A5792" t="s">
        <v>326</v>
      </c>
      <c r="B5792" t="s">
        <v>422</v>
      </c>
      <c r="C5792" t="s">
        <v>871</v>
      </c>
      <c r="D5792" t="s">
        <v>14</v>
      </c>
      <c r="E5792">
        <v>5</v>
      </c>
      <c r="F5792" s="2">
        <f>DATE(2026,IF(Tabla1[[#This Row],[Mes de Fecha]]="Septiembre",9,10),Tabla1[[#This Row],[Día de Fecha]])</f>
        <v>46300</v>
      </c>
      <c r="G5792">
        <v>1114388276</v>
      </c>
      <c r="H5792" t="s">
        <v>426</v>
      </c>
      <c r="I5792">
        <v>4</v>
      </c>
      <c r="J5792">
        <v>0</v>
      </c>
      <c r="K5792" s="1">
        <v>106975</v>
      </c>
    </row>
    <row r="5793" spans="1:11" x14ac:dyDescent="0.25">
      <c r="A5793" t="s">
        <v>326</v>
      </c>
      <c r="B5793" t="s">
        <v>422</v>
      </c>
      <c r="C5793" t="s">
        <v>871</v>
      </c>
      <c r="D5793" t="s">
        <v>14</v>
      </c>
      <c r="E5793">
        <v>5</v>
      </c>
      <c r="F5793" s="2">
        <f>DATE(2026,IF(Tabla1[[#This Row],[Mes de Fecha]]="Septiembre",9,10),Tabla1[[#This Row],[Día de Fecha]])</f>
        <v>46300</v>
      </c>
      <c r="G5793">
        <v>1144190117</v>
      </c>
      <c r="H5793" t="s">
        <v>396</v>
      </c>
      <c r="I5793">
        <v>126</v>
      </c>
      <c r="J5793">
        <v>0</v>
      </c>
      <c r="K5793" s="1">
        <v>6500257</v>
      </c>
    </row>
    <row r="5794" spans="1:11" x14ac:dyDescent="0.25">
      <c r="A5794" t="s">
        <v>326</v>
      </c>
      <c r="B5794" t="s">
        <v>422</v>
      </c>
      <c r="C5794" t="s">
        <v>871</v>
      </c>
      <c r="D5794" t="s">
        <v>14</v>
      </c>
      <c r="E5794">
        <v>6</v>
      </c>
      <c r="F5794" s="2">
        <f>DATE(2026,IF(Tabla1[[#This Row],[Mes de Fecha]]="Septiembre",9,10),Tabla1[[#This Row],[Día de Fecha]])</f>
        <v>46301</v>
      </c>
      <c r="I5794">
        <v>0</v>
      </c>
      <c r="J5794" s="1">
        <v>8878744</v>
      </c>
      <c r="K5794">
        <v>0</v>
      </c>
    </row>
    <row r="5795" spans="1:11" x14ac:dyDescent="0.25">
      <c r="A5795" t="s">
        <v>326</v>
      </c>
      <c r="B5795" t="s">
        <v>422</v>
      </c>
      <c r="C5795" t="s">
        <v>871</v>
      </c>
      <c r="D5795" t="s">
        <v>14</v>
      </c>
      <c r="E5795">
        <v>6</v>
      </c>
      <c r="F5795" s="2">
        <f>DATE(2026,IF(Tabla1[[#This Row],[Mes de Fecha]]="Septiembre",9,10),Tabla1[[#This Row],[Día de Fecha]])</f>
        <v>46301</v>
      </c>
      <c r="G5795">
        <v>1006172031</v>
      </c>
      <c r="H5795" t="s">
        <v>427</v>
      </c>
      <c r="I5795">
        <v>-1</v>
      </c>
      <c r="J5795">
        <v>0</v>
      </c>
      <c r="K5795" s="1">
        <v>-41975</v>
      </c>
    </row>
    <row r="5796" spans="1:11" x14ac:dyDescent="0.25">
      <c r="A5796" t="s">
        <v>326</v>
      </c>
      <c r="B5796" t="s">
        <v>422</v>
      </c>
      <c r="C5796" t="s">
        <v>871</v>
      </c>
      <c r="D5796" t="s">
        <v>14</v>
      </c>
      <c r="E5796">
        <v>6</v>
      </c>
      <c r="F5796" s="2">
        <f>DATE(2026,IF(Tabla1[[#This Row],[Mes de Fecha]]="Septiembre",9,10),Tabla1[[#This Row],[Día de Fecha]])</f>
        <v>46301</v>
      </c>
      <c r="G5796">
        <v>1010088636</v>
      </c>
      <c r="H5796" t="s">
        <v>385</v>
      </c>
      <c r="I5796">
        <v>-1</v>
      </c>
      <c r="J5796">
        <v>0</v>
      </c>
      <c r="K5796" s="1">
        <v>-58740</v>
      </c>
    </row>
    <row r="5797" spans="1:11" x14ac:dyDescent="0.25">
      <c r="A5797" t="s">
        <v>326</v>
      </c>
      <c r="B5797" t="s">
        <v>422</v>
      </c>
      <c r="C5797" t="s">
        <v>871</v>
      </c>
      <c r="D5797" t="s">
        <v>14</v>
      </c>
      <c r="E5797">
        <v>6</v>
      </c>
      <c r="F5797" s="2">
        <f>DATE(2026,IF(Tabla1[[#This Row],[Mes de Fecha]]="Septiembre",9,10),Tabla1[[#This Row],[Día de Fecha]])</f>
        <v>46301</v>
      </c>
      <c r="G5797">
        <v>1044101083</v>
      </c>
      <c r="H5797" t="s">
        <v>360</v>
      </c>
      <c r="I5797">
        <v>57</v>
      </c>
      <c r="J5797">
        <v>0</v>
      </c>
      <c r="K5797" s="1">
        <v>2755592</v>
      </c>
    </row>
    <row r="5798" spans="1:11" x14ac:dyDescent="0.25">
      <c r="A5798" t="s">
        <v>326</v>
      </c>
      <c r="B5798" t="s">
        <v>422</v>
      </c>
      <c r="C5798" t="s">
        <v>871</v>
      </c>
      <c r="D5798" t="s">
        <v>14</v>
      </c>
      <c r="E5798">
        <v>6</v>
      </c>
      <c r="F5798" s="2">
        <f>DATE(2026,IF(Tabla1[[#This Row],[Mes de Fecha]]="Septiembre",9,10),Tabla1[[#This Row],[Día de Fecha]])</f>
        <v>46301</v>
      </c>
      <c r="G5798">
        <v>1105360449</v>
      </c>
      <c r="H5798" t="s">
        <v>424</v>
      </c>
      <c r="I5798">
        <v>7</v>
      </c>
      <c r="J5798">
        <v>0</v>
      </c>
      <c r="K5798" s="1">
        <v>289621</v>
      </c>
    </row>
    <row r="5799" spans="1:11" x14ac:dyDescent="0.25">
      <c r="A5799" t="s">
        <v>326</v>
      </c>
      <c r="B5799" t="s">
        <v>422</v>
      </c>
      <c r="C5799" t="s">
        <v>871</v>
      </c>
      <c r="D5799" t="s">
        <v>14</v>
      </c>
      <c r="E5799">
        <v>6</v>
      </c>
      <c r="F5799" s="2">
        <f>DATE(2026,IF(Tabla1[[#This Row],[Mes de Fecha]]="Septiembre",9,10),Tabla1[[#This Row],[Día de Fecha]])</f>
        <v>46301</v>
      </c>
      <c r="G5799">
        <v>1111660535</v>
      </c>
      <c r="H5799" t="s">
        <v>425</v>
      </c>
      <c r="I5799">
        <v>12</v>
      </c>
      <c r="J5799">
        <v>0</v>
      </c>
      <c r="K5799" s="1">
        <v>904504</v>
      </c>
    </row>
    <row r="5800" spans="1:11" x14ac:dyDescent="0.25">
      <c r="A5800" t="s">
        <v>326</v>
      </c>
      <c r="B5800" t="s">
        <v>422</v>
      </c>
      <c r="C5800" t="s">
        <v>871</v>
      </c>
      <c r="D5800" t="s">
        <v>14</v>
      </c>
      <c r="E5800">
        <v>6</v>
      </c>
      <c r="F5800" s="2">
        <f>DATE(2026,IF(Tabla1[[#This Row],[Mes de Fecha]]="Septiembre",9,10),Tabla1[[#This Row],[Día de Fecha]])</f>
        <v>46301</v>
      </c>
      <c r="G5800">
        <v>1114388276</v>
      </c>
      <c r="H5800" t="s">
        <v>426</v>
      </c>
      <c r="I5800">
        <v>6</v>
      </c>
      <c r="J5800">
        <v>0</v>
      </c>
      <c r="K5800" s="1">
        <v>230842</v>
      </c>
    </row>
    <row r="5801" spans="1:11" x14ac:dyDescent="0.25">
      <c r="A5801" t="s">
        <v>326</v>
      </c>
      <c r="B5801" t="s">
        <v>422</v>
      </c>
      <c r="C5801" t="s">
        <v>871</v>
      </c>
      <c r="D5801" t="s">
        <v>14</v>
      </c>
      <c r="E5801">
        <v>6</v>
      </c>
      <c r="F5801" s="2">
        <f>DATE(2026,IF(Tabla1[[#This Row],[Mes de Fecha]]="Septiembre",9,10),Tabla1[[#This Row],[Día de Fecha]])</f>
        <v>46301</v>
      </c>
      <c r="G5801">
        <v>1144190117</v>
      </c>
      <c r="H5801" t="s">
        <v>396</v>
      </c>
      <c r="I5801">
        <v>52</v>
      </c>
      <c r="J5801">
        <v>0</v>
      </c>
      <c r="K5801" s="1">
        <v>2430089</v>
      </c>
    </row>
    <row r="5802" spans="1:11" x14ac:dyDescent="0.25">
      <c r="A5802" t="s">
        <v>326</v>
      </c>
      <c r="B5802" t="s">
        <v>422</v>
      </c>
      <c r="C5802" t="s">
        <v>871</v>
      </c>
      <c r="D5802" t="s">
        <v>14</v>
      </c>
      <c r="E5802">
        <v>7</v>
      </c>
      <c r="F5802" s="2">
        <f>DATE(2026,IF(Tabla1[[#This Row],[Mes de Fecha]]="Septiembre",9,10),Tabla1[[#This Row],[Día de Fecha]])</f>
        <v>46302</v>
      </c>
      <c r="I5802">
        <v>0</v>
      </c>
      <c r="J5802" s="1">
        <v>8785510</v>
      </c>
      <c r="K5802">
        <v>0</v>
      </c>
    </row>
    <row r="5803" spans="1:11" x14ac:dyDescent="0.25">
      <c r="A5803" t="s">
        <v>326</v>
      </c>
      <c r="B5803" t="s">
        <v>422</v>
      </c>
      <c r="C5803" t="s">
        <v>871</v>
      </c>
      <c r="D5803" t="s">
        <v>14</v>
      </c>
      <c r="E5803">
        <v>7</v>
      </c>
      <c r="F5803" s="2">
        <f>DATE(2026,IF(Tabla1[[#This Row],[Mes de Fecha]]="Septiembre",9,10),Tabla1[[#This Row],[Día de Fecha]])</f>
        <v>46302</v>
      </c>
      <c r="G5803">
        <v>1044101083</v>
      </c>
      <c r="H5803" t="s">
        <v>360</v>
      </c>
      <c r="I5803">
        <v>69</v>
      </c>
      <c r="J5803">
        <v>0</v>
      </c>
      <c r="K5803" s="1">
        <v>3341388</v>
      </c>
    </row>
    <row r="5804" spans="1:11" x14ac:dyDescent="0.25">
      <c r="A5804" t="s">
        <v>326</v>
      </c>
      <c r="B5804" t="s">
        <v>422</v>
      </c>
      <c r="C5804" t="s">
        <v>871</v>
      </c>
      <c r="D5804" t="s">
        <v>14</v>
      </c>
      <c r="E5804">
        <v>7</v>
      </c>
      <c r="F5804" s="2">
        <f>DATE(2026,IF(Tabla1[[#This Row],[Mes de Fecha]]="Septiembre",9,10),Tabla1[[#This Row],[Día de Fecha]])</f>
        <v>46302</v>
      </c>
      <c r="G5804">
        <v>1105360449</v>
      </c>
      <c r="H5804" t="s">
        <v>424</v>
      </c>
      <c r="I5804">
        <v>10</v>
      </c>
      <c r="J5804">
        <v>0</v>
      </c>
      <c r="K5804" s="1">
        <v>407100</v>
      </c>
    </row>
    <row r="5805" spans="1:11" x14ac:dyDescent="0.25">
      <c r="A5805" t="s">
        <v>326</v>
      </c>
      <c r="B5805" t="s">
        <v>422</v>
      </c>
      <c r="C5805" t="s">
        <v>871</v>
      </c>
      <c r="D5805" t="s">
        <v>14</v>
      </c>
      <c r="E5805">
        <v>7</v>
      </c>
      <c r="F5805" s="2">
        <f>DATE(2026,IF(Tabla1[[#This Row],[Mes de Fecha]]="Septiembre",9,10),Tabla1[[#This Row],[Día de Fecha]])</f>
        <v>46302</v>
      </c>
      <c r="G5805">
        <v>1111660535</v>
      </c>
      <c r="H5805" t="s">
        <v>425</v>
      </c>
      <c r="I5805">
        <v>7</v>
      </c>
      <c r="J5805">
        <v>0</v>
      </c>
      <c r="K5805" s="1">
        <v>274876</v>
      </c>
    </row>
    <row r="5806" spans="1:11" x14ac:dyDescent="0.25">
      <c r="A5806" t="s">
        <v>326</v>
      </c>
      <c r="B5806" t="s">
        <v>422</v>
      </c>
      <c r="C5806" t="s">
        <v>871</v>
      </c>
      <c r="D5806" t="s">
        <v>14</v>
      </c>
      <c r="E5806">
        <v>7</v>
      </c>
      <c r="F5806" s="2">
        <f>DATE(2026,IF(Tabla1[[#This Row],[Mes de Fecha]]="Septiembre",9,10),Tabla1[[#This Row],[Día de Fecha]])</f>
        <v>46302</v>
      </c>
      <c r="G5806">
        <v>1114388276</v>
      </c>
      <c r="H5806" t="s">
        <v>426</v>
      </c>
      <c r="I5806">
        <v>5</v>
      </c>
      <c r="J5806">
        <v>0</v>
      </c>
      <c r="K5806" s="1">
        <v>239286</v>
      </c>
    </row>
    <row r="5807" spans="1:11" x14ac:dyDescent="0.25">
      <c r="A5807" t="s">
        <v>326</v>
      </c>
      <c r="B5807" t="s">
        <v>422</v>
      </c>
      <c r="C5807" t="s">
        <v>871</v>
      </c>
      <c r="D5807" t="s">
        <v>14</v>
      </c>
      <c r="E5807">
        <v>7</v>
      </c>
      <c r="F5807" s="2">
        <f>DATE(2026,IF(Tabla1[[#This Row],[Mes de Fecha]]="Septiembre",9,10),Tabla1[[#This Row],[Día de Fecha]])</f>
        <v>46302</v>
      </c>
      <c r="G5807">
        <v>1144190117</v>
      </c>
      <c r="H5807" t="s">
        <v>396</v>
      </c>
      <c r="I5807">
        <v>65</v>
      </c>
      <c r="J5807">
        <v>0</v>
      </c>
      <c r="K5807" s="1">
        <v>3572481</v>
      </c>
    </row>
    <row r="5808" spans="1:11" x14ac:dyDescent="0.25">
      <c r="A5808" t="s">
        <v>326</v>
      </c>
      <c r="B5808" t="s">
        <v>458</v>
      </c>
      <c r="C5808" t="s">
        <v>871</v>
      </c>
      <c r="D5808" t="s">
        <v>11</v>
      </c>
      <c r="E5808">
        <v>23</v>
      </c>
      <c r="F5808" s="2">
        <f>DATE(2026,IF(Tabla1[[#This Row],[Mes de Fecha]]="Septiembre",9,10),Tabla1[[#This Row],[Día de Fecha]])</f>
        <v>46288</v>
      </c>
      <c r="I5808">
        <v>0</v>
      </c>
      <c r="J5808" s="1">
        <v>23417882</v>
      </c>
      <c r="K5808">
        <v>0</v>
      </c>
    </row>
    <row r="5809" spans="1:11" x14ac:dyDescent="0.25">
      <c r="A5809" t="s">
        <v>326</v>
      </c>
      <c r="B5809" t="s">
        <v>458</v>
      </c>
      <c r="C5809" t="s">
        <v>871</v>
      </c>
      <c r="D5809" t="s">
        <v>11</v>
      </c>
      <c r="E5809">
        <v>23</v>
      </c>
      <c r="F5809" s="2">
        <f>DATE(2026,IF(Tabla1[[#This Row],[Mes de Fecha]]="Septiembre",9,10),Tabla1[[#This Row],[Día de Fecha]])</f>
        <v>46288</v>
      </c>
      <c r="G5809">
        <v>16919109</v>
      </c>
      <c r="H5809" t="s">
        <v>390</v>
      </c>
      <c r="I5809">
        <v>134</v>
      </c>
      <c r="J5809">
        <v>0</v>
      </c>
      <c r="K5809" s="1">
        <v>7695799</v>
      </c>
    </row>
    <row r="5810" spans="1:11" x14ac:dyDescent="0.25">
      <c r="A5810" t="s">
        <v>326</v>
      </c>
      <c r="B5810" t="s">
        <v>458</v>
      </c>
      <c r="C5810" t="s">
        <v>871</v>
      </c>
      <c r="D5810" t="s">
        <v>11</v>
      </c>
      <c r="E5810">
        <v>23</v>
      </c>
      <c r="F5810" s="2">
        <f>DATE(2026,IF(Tabla1[[#This Row],[Mes de Fecha]]="Septiembre",9,10),Tabla1[[#This Row],[Día de Fecha]])</f>
        <v>46288</v>
      </c>
      <c r="G5810">
        <v>1107846391</v>
      </c>
      <c r="H5810" t="s">
        <v>393</v>
      </c>
      <c r="I5810">
        <v>19</v>
      </c>
      <c r="J5810">
        <v>0</v>
      </c>
      <c r="K5810" s="1">
        <v>1495001</v>
      </c>
    </row>
    <row r="5811" spans="1:11" x14ac:dyDescent="0.25">
      <c r="A5811" t="s">
        <v>326</v>
      </c>
      <c r="B5811" t="s">
        <v>458</v>
      </c>
      <c r="C5811" t="s">
        <v>871</v>
      </c>
      <c r="D5811" t="s">
        <v>11</v>
      </c>
      <c r="E5811">
        <v>23</v>
      </c>
      <c r="F5811" s="2">
        <f>DATE(2026,IF(Tabla1[[#This Row],[Mes de Fecha]]="Septiembre",9,10),Tabla1[[#This Row],[Día de Fecha]])</f>
        <v>46288</v>
      </c>
      <c r="G5811">
        <v>1111662486</v>
      </c>
      <c r="H5811" t="s">
        <v>334</v>
      </c>
      <c r="I5811">
        <v>167</v>
      </c>
      <c r="J5811">
        <v>0</v>
      </c>
      <c r="K5811" s="1">
        <v>9843324</v>
      </c>
    </row>
    <row r="5812" spans="1:11" x14ac:dyDescent="0.25">
      <c r="A5812" t="s">
        <v>326</v>
      </c>
      <c r="B5812" t="s">
        <v>458</v>
      </c>
      <c r="C5812" t="s">
        <v>871</v>
      </c>
      <c r="D5812" t="s">
        <v>11</v>
      </c>
      <c r="E5812">
        <v>23</v>
      </c>
      <c r="F5812" s="2">
        <f>DATE(2026,IF(Tabla1[[#This Row],[Mes de Fecha]]="Septiembre",9,10),Tabla1[[#This Row],[Día de Fecha]])</f>
        <v>46288</v>
      </c>
      <c r="G5812">
        <v>1111784310</v>
      </c>
      <c r="H5812" t="s">
        <v>365</v>
      </c>
      <c r="I5812">
        <v>22</v>
      </c>
      <c r="J5812">
        <v>0</v>
      </c>
      <c r="K5812" s="1">
        <v>1225758</v>
      </c>
    </row>
    <row r="5813" spans="1:11" x14ac:dyDescent="0.25">
      <c r="A5813" t="s">
        <v>326</v>
      </c>
      <c r="B5813" t="s">
        <v>458</v>
      </c>
      <c r="C5813" t="s">
        <v>871</v>
      </c>
      <c r="D5813" t="s">
        <v>11</v>
      </c>
      <c r="E5813">
        <v>23</v>
      </c>
      <c r="F5813" s="2">
        <f>DATE(2026,IF(Tabla1[[#This Row],[Mes de Fecha]]="Septiembre",9,10),Tabla1[[#This Row],[Día de Fecha]])</f>
        <v>46288</v>
      </c>
      <c r="G5813">
        <v>1113689444</v>
      </c>
      <c r="H5813" t="s">
        <v>378</v>
      </c>
      <c r="I5813">
        <v>-1</v>
      </c>
      <c r="J5813">
        <v>0</v>
      </c>
      <c r="K5813" s="1">
        <v>-58740</v>
      </c>
    </row>
    <row r="5814" spans="1:11" x14ac:dyDescent="0.25">
      <c r="A5814" t="s">
        <v>326</v>
      </c>
      <c r="B5814" t="s">
        <v>458</v>
      </c>
      <c r="C5814" t="s">
        <v>871</v>
      </c>
      <c r="D5814" t="s">
        <v>11</v>
      </c>
      <c r="E5814">
        <v>23</v>
      </c>
      <c r="F5814" s="2">
        <f>DATE(2026,IF(Tabla1[[#This Row],[Mes de Fecha]]="Septiembre",9,10),Tabla1[[#This Row],[Día de Fecha]])</f>
        <v>46288</v>
      </c>
      <c r="G5814">
        <v>1143972684</v>
      </c>
      <c r="H5814" t="s">
        <v>461</v>
      </c>
      <c r="I5814">
        <v>22</v>
      </c>
      <c r="J5814">
        <v>0</v>
      </c>
      <c r="K5814" s="1">
        <v>984371</v>
      </c>
    </row>
    <row r="5815" spans="1:11" x14ac:dyDescent="0.25">
      <c r="A5815" t="s">
        <v>326</v>
      </c>
      <c r="B5815" t="s">
        <v>458</v>
      </c>
      <c r="C5815" t="s">
        <v>871</v>
      </c>
      <c r="D5815" t="s">
        <v>11</v>
      </c>
      <c r="E5815">
        <v>23</v>
      </c>
      <c r="F5815" s="2">
        <f>DATE(2026,IF(Tabla1[[#This Row],[Mes de Fecha]]="Septiembre",9,10),Tabla1[[#This Row],[Día de Fecha]])</f>
        <v>46288</v>
      </c>
      <c r="G5815">
        <v>1193259913</v>
      </c>
      <c r="H5815" t="s">
        <v>354</v>
      </c>
      <c r="I5815">
        <v>118</v>
      </c>
      <c r="J5815">
        <v>0</v>
      </c>
      <c r="K5815" s="1">
        <v>6631350</v>
      </c>
    </row>
    <row r="5816" spans="1:11" x14ac:dyDescent="0.25">
      <c r="A5816" t="s">
        <v>326</v>
      </c>
      <c r="B5816" t="s">
        <v>458</v>
      </c>
      <c r="C5816" t="s">
        <v>871</v>
      </c>
      <c r="D5816" t="s">
        <v>11</v>
      </c>
      <c r="E5816">
        <v>23</v>
      </c>
      <c r="F5816" s="2">
        <f>DATE(2026,IF(Tabla1[[#This Row],[Mes de Fecha]]="Septiembre",9,10),Tabla1[[#This Row],[Día de Fecha]])</f>
        <v>46288</v>
      </c>
      <c r="G5816">
        <v>1193597754</v>
      </c>
      <c r="H5816" t="s">
        <v>339</v>
      </c>
      <c r="I5816">
        <v>20</v>
      </c>
      <c r="J5816">
        <v>0</v>
      </c>
      <c r="K5816" s="1">
        <v>1322648</v>
      </c>
    </row>
    <row r="5817" spans="1:11" x14ac:dyDescent="0.25">
      <c r="A5817" t="s">
        <v>326</v>
      </c>
      <c r="B5817" t="s">
        <v>458</v>
      </c>
      <c r="C5817" t="s">
        <v>871</v>
      </c>
      <c r="D5817" t="s">
        <v>11</v>
      </c>
      <c r="E5817">
        <v>24</v>
      </c>
      <c r="F5817" s="2">
        <f>DATE(2026,IF(Tabla1[[#This Row],[Mes de Fecha]]="Septiembre",9,10),Tabla1[[#This Row],[Día de Fecha]])</f>
        <v>46289</v>
      </c>
      <c r="I5817">
        <v>0</v>
      </c>
      <c r="J5817" s="1">
        <v>32396418</v>
      </c>
      <c r="K5817">
        <v>0</v>
      </c>
    </row>
    <row r="5818" spans="1:11" x14ac:dyDescent="0.25">
      <c r="A5818" t="s">
        <v>326</v>
      </c>
      <c r="B5818" t="s">
        <v>458</v>
      </c>
      <c r="C5818" t="s">
        <v>871</v>
      </c>
      <c r="D5818" t="s">
        <v>11</v>
      </c>
      <c r="E5818">
        <v>24</v>
      </c>
      <c r="F5818" s="2">
        <f>DATE(2026,IF(Tabla1[[#This Row],[Mes de Fecha]]="Septiembre",9,10),Tabla1[[#This Row],[Día de Fecha]])</f>
        <v>46289</v>
      </c>
      <c r="G5818">
        <v>16919109</v>
      </c>
      <c r="H5818" t="s">
        <v>390</v>
      </c>
      <c r="I5818">
        <v>187</v>
      </c>
      <c r="J5818">
        <v>0</v>
      </c>
      <c r="K5818" s="1">
        <v>9739883</v>
      </c>
    </row>
    <row r="5819" spans="1:11" x14ac:dyDescent="0.25">
      <c r="A5819" t="s">
        <v>326</v>
      </c>
      <c r="B5819" t="s">
        <v>458</v>
      </c>
      <c r="C5819" t="s">
        <v>871</v>
      </c>
      <c r="D5819" t="s">
        <v>11</v>
      </c>
      <c r="E5819">
        <v>24</v>
      </c>
      <c r="F5819" s="2">
        <f>DATE(2026,IF(Tabla1[[#This Row],[Mes de Fecha]]="Septiembre",9,10),Tabla1[[#This Row],[Día de Fecha]])</f>
        <v>46289</v>
      </c>
      <c r="G5819">
        <v>1010088636</v>
      </c>
      <c r="H5819" t="s">
        <v>385</v>
      </c>
      <c r="I5819">
        <v>-1</v>
      </c>
      <c r="J5819">
        <v>0</v>
      </c>
      <c r="K5819" s="1">
        <v>-64647</v>
      </c>
    </row>
    <row r="5820" spans="1:11" x14ac:dyDescent="0.25">
      <c r="A5820" t="s">
        <v>326</v>
      </c>
      <c r="B5820" t="s">
        <v>458</v>
      </c>
      <c r="C5820" t="s">
        <v>871</v>
      </c>
      <c r="D5820" t="s">
        <v>11</v>
      </c>
      <c r="E5820">
        <v>24</v>
      </c>
      <c r="F5820" s="2">
        <f>DATE(2026,IF(Tabla1[[#This Row],[Mes de Fecha]]="Septiembre",9,10),Tabla1[[#This Row],[Día de Fecha]])</f>
        <v>46289</v>
      </c>
      <c r="G5820">
        <v>1107846391</v>
      </c>
      <c r="H5820" t="s">
        <v>393</v>
      </c>
      <c r="I5820">
        <v>32</v>
      </c>
      <c r="J5820">
        <v>0</v>
      </c>
      <c r="K5820" s="1">
        <v>1771766</v>
      </c>
    </row>
    <row r="5821" spans="1:11" x14ac:dyDescent="0.25">
      <c r="A5821" t="s">
        <v>326</v>
      </c>
      <c r="B5821" t="s">
        <v>458</v>
      </c>
      <c r="C5821" t="s">
        <v>871</v>
      </c>
      <c r="D5821" t="s">
        <v>11</v>
      </c>
      <c r="E5821">
        <v>24</v>
      </c>
      <c r="F5821" s="2">
        <f>DATE(2026,IF(Tabla1[[#This Row],[Mes de Fecha]]="Septiembre",9,10),Tabla1[[#This Row],[Día de Fecha]])</f>
        <v>46289</v>
      </c>
      <c r="G5821">
        <v>1111662486</v>
      </c>
      <c r="H5821" t="s">
        <v>334</v>
      </c>
      <c r="I5821">
        <v>69</v>
      </c>
      <c r="J5821">
        <v>0</v>
      </c>
      <c r="K5821" s="1">
        <v>3602101</v>
      </c>
    </row>
    <row r="5822" spans="1:11" x14ac:dyDescent="0.25">
      <c r="A5822" t="s">
        <v>326</v>
      </c>
      <c r="B5822" t="s">
        <v>458</v>
      </c>
      <c r="C5822" t="s">
        <v>871</v>
      </c>
      <c r="D5822" t="s">
        <v>11</v>
      </c>
      <c r="E5822">
        <v>24</v>
      </c>
      <c r="F5822" s="2">
        <f>DATE(2026,IF(Tabla1[[#This Row],[Mes de Fecha]]="Septiembre",9,10),Tabla1[[#This Row],[Día de Fecha]])</f>
        <v>46289</v>
      </c>
      <c r="G5822">
        <v>1111784310</v>
      </c>
      <c r="H5822" t="s">
        <v>365</v>
      </c>
      <c r="I5822">
        <v>43</v>
      </c>
      <c r="J5822">
        <v>0</v>
      </c>
      <c r="K5822" s="1">
        <v>2556934</v>
      </c>
    </row>
    <row r="5823" spans="1:11" x14ac:dyDescent="0.25">
      <c r="A5823" t="s">
        <v>326</v>
      </c>
      <c r="B5823" t="s">
        <v>458</v>
      </c>
      <c r="C5823" t="s">
        <v>871</v>
      </c>
      <c r="D5823" t="s">
        <v>11</v>
      </c>
      <c r="E5823">
        <v>24</v>
      </c>
      <c r="F5823" s="2">
        <f>DATE(2026,IF(Tabla1[[#This Row],[Mes de Fecha]]="Septiembre",9,10),Tabla1[[#This Row],[Día de Fecha]])</f>
        <v>46289</v>
      </c>
      <c r="G5823">
        <v>1113689444</v>
      </c>
      <c r="H5823" t="s">
        <v>378</v>
      </c>
      <c r="I5823">
        <v>-1</v>
      </c>
      <c r="J5823">
        <v>0</v>
      </c>
      <c r="K5823" s="1">
        <v>-52882</v>
      </c>
    </row>
    <row r="5824" spans="1:11" x14ac:dyDescent="0.25">
      <c r="A5824" t="s">
        <v>326</v>
      </c>
      <c r="B5824" t="s">
        <v>458</v>
      </c>
      <c r="C5824" t="s">
        <v>871</v>
      </c>
      <c r="D5824" t="s">
        <v>11</v>
      </c>
      <c r="E5824">
        <v>24</v>
      </c>
      <c r="F5824" s="2">
        <f>DATE(2026,IF(Tabla1[[#This Row],[Mes de Fecha]]="Septiembre",9,10),Tabla1[[#This Row],[Día de Fecha]])</f>
        <v>46289</v>
      </c>
      <c r="G5824">
        <v>1143972684</v>
      </c>
      <c r="H5824" t="s">
        <v>461</v>
      </c>
      <c r="I5824">
        <v>50</v>
      </c>
      <c r="J5824">
        <v>0</v>
      </c>
      <c r="K5824" s="1">
        <v>3119583</v>
      </c>
    </row>
    <row r="5825" spans="1:11" x14ac:dyDescent="0.25">
      <c r="A5825" t="s">
        <v>326</v>
      </c>
      <c r="B5825" t="s">
        <v>458</v>
      </c>
      <c r="C5825" t="s">
        <v>871</v>
      </c>
      <c r="D5825" t="s">
        <v>11</v>
      </c>
      <c r="E5825">
        <v>24</v>
      </c>
      <c r="F5825" s="2">
        <f>DATE(2026,IF(Tabla1[[#This Row],[Mes de Fecha]]="Septiembre",9,10),Tabla1[[#This Row],[Día de Fecha]])</f>
        <v>46289</v>
      </c>
      <c r="G5825">
        <v>1144159588</v>
      </c>
      <c r="H5825" t="s">
        <v>352</v>
      </c>
      <c r="I5825">
        <v>-1</v>
      </c>
      <c r="J5825">
        <v>0</v>
      </c>
      <c r="K5825" s="1">
        <v>-52882</v>
      </c>
    </row>
    <row r="5826" spans="1:11" x14ac:dyDescent="0.25">
      <c r="A5826" t="s">
        <v>326</v>
      </c>
      <c r="B5826" t="s">
        <v>458</v>
      </c>
      <c r="C5826" t="s">
        <v>871</v>
      </c>
      <c r="D5826" t="s">
        <v>11</v>
      </c>
      <c r="E5826">
        <v>24</v>
      </c>
      <c r="F5826" s="2">
        <f>DATE(2026,IF(Tabla1[[#This Row],[Mes de Fecha]]="Septiembre",9,10),Tabla1[[#This Row],[Día de Fecha]])</f>
        <v>46289</v>
      </c>
      <c r="G5826">
        <v>1193259913</v>
      </c>
      <c r="H5826" t="s">
        <v>354</v>
      </c>
      <c r="I5826">
        <v>166</v>
      </c>
      <c r="J5826">
        <v>0</v>
      </c>
      <c r="K5826" s="1">
        <v>8875007</v>
      </c>
    </row>
    <row r="5827" spans="1:11" x14ac:dyDescent="0.25">
      <c r="A5827" t="s">
        <v>326</v>
      </c>
      <c r="B5827" t="s">
        <v>458</v>
      </c>
      <c r="C5827" t="s">
        <v>871</v>
      </c>
      <c r="D5827" t="s">
        <v>11</v>
      </c>
      <c r="E5827">
        <v>24</v>
      </c>
      <c r="F5827" s="2">
        <f>DATE(2026,IF(Tabla1[[#This Row],[Mes de Fecha]]="Septiembre",9,10),Tabla1[[#This Row],[Día de Fecha]])</f>
        <v>46289</v>
      </c>
      <c r="G5827">
        <v>1193597754</v>
      </c>
      <c r="H5827" t="s">
        <v>339</v>
      </c>
      <c r="I5827">
        <v>40</v>
      </c>
      <c r="J5827">
        <v>0</v>
      </c>
      <c r="K5827" s="1">
        <v>2901555</v>
      </c>
    </row>
    <row r="5828" spans="1:11" x14ac:dyDescent="0.25">
      <c r="A5828" t="s">
        <v>326</v>
      </c>
      <c r="B5828" t="s">
        <v>458</v>
      </c>
      <c r="C5828" t="s">
        <v>871</v>
      </c>
      <c r="D5828" t="s">
        <v>11</v>
      </c>
      <c r="E5828">
        <v>25</v>
      </c>
      <c r="F5828" s="2">
        <f>DATE(2026,IF(Tabla1[[#This Row],[Mes de Fecha]]="Septiembre",9,10),Tabla1[[#This Row],[Día de Fecha]])</f>
        <v>46290</v>
      </c>
      <c r="I5828">
        <v>0</v>
      </c>
      <c r="J5828" s="1">
        <v>25254092</v>
      </c>
      <c r="K5828">
        <v>0</v>
      </c>
    </row>
    <row r="5829" spans="1:11" x14ac:dyDescent="0.25">
      <c r="A5829" t="s">
        <v>326</v>
      </c>
      <c r="B5829" t="s">
        <v>458</v>
      </c>
      <c r="C5829" t="s">
        <v>871</v>
      </c>
      <c r="D5829" t="s">
        <v>11</v>
      </c>
      <c r="E5829">
        <v>25</v>
      </c>
      <c r="F5829" s="2">
        <f>DATE(2026,IF(Tabla1[[#This Row],[Mes de Fecha]]="Septiembre",9,10),Tabla1[[#This Row],[Día de Fecha]])</f>
        <v>46290</v>
      </c>
      <c r="G5829">
        <v>16919109</v>
      </c>
      <c r="H5829" t="s">
        <v>390</v>
      </c>
      <c r="I5829">
        <v>100</v>
      </c>
      <c r="J5829">
        <v>0</v>
      </c>
      <c r="K5829" s="1">
        <v>5844457</v>
      </c>
    </row>
    <row r="5830" spans="1:11" x14ac:dyDescent="0.25">
      <c r="A5830" t="s">
        <v>326</v>
      </c>
      <c r="B5830" t="s">
        <v>458</v>
      </c>
      <c r="C5830" t="s">
        <v>871</v>
      </c>
      <c r="D5830" t="s">
        <v>11</v>
      </c>
      <c r="E5830">
        <v>25</v>
      </c>
      <c r="F5830" s="2">
        <f>DATE(2026,IF(Tabla1[[#This Row],[Mes de Fecha]]="Septiembre",9,10),Tabla1[[#This Row],[Día de Fecha]])</f>
        <v>46290</v>
      </c>
      <c r="G5830">
        <v>1107846391</v>
      </c>
      <c r="H5830" t="s">
        <v>393</v>
      </c>
      <c r="I5830">
        <v>32</v>
      </c>
      <c r="J5830">
        <v>0</v>
      </c>
      <c r="K5830" s="1">
        <v>1912480</v>
      </c>
    </row>
    <row r="5831" spans="1:11" x14ac:dyDescent="0.25">
      <c r="A5831" t="s">
        <v>326</v>
      </c>
      <c r="B5831" t="s">
        <v>458</v>
      </c>
      <c r="C5831" t="s">
        <v>871</v>
      </c>
      <c r="D5831" t="s">
        <v>11</v>
      </c>
      <c r="E5831">
        <v>25</v>
      </c>
      <c r="F5831" s="2">
        <f>DATE(2026,IF(Tabla1[[#This Row],[Mes de Fecha]]="Septiembre",9,10),Tabla1[[#This Row],[Día de Fecha]])</f>
        <v>46290</v>
      </c>
      <c r="G5831">
        <v>1111662486</v>
      </c>
      <c r="H5831" t="s">
        <v>334</v>
      </c>
      <c r="I5831">
        <v>114</v>
      </c>
      <c r="J5831">
        <v>0</v>
      </c>
      <c r="K5831" s="1">
        <v>6583406</v>
      </c>
    </row>
    <row r="5832" spans="1:11" x14ac:dyDescent="0.25">
      <c r="A5832" t="s">
        <v>326</v>
      </c>
      <c r="B5832" t="s">
        <v>458</v>
      </c>
      <c r="C5832" t="s">
        <v>871</v>
      </c>
      <c r="D5832" t="s">
        <v>11</v>
      </c>
      <c r="E5832">
        <v>25</v>
      </c>
      <c r="F5832" s="2">
        <f>DATE(2026,IF(Tabla1[[#This Row],[Mes de Fecha]]="Septiembre",9,10),Tabla1[[#This Row],[Día de Fecha]])</f>
        <v>46290</v>
      </c>
      <c r="G5832">
        <v>1111784310</v>
      </c>
      <c r="H5832" t="s">
        <v>365</v>
      </c>
      <c r="I5832">
        <v>50</v>
      </c>
      <c r="J5832">
        <v>0</v>
      </c>
      <c r="K5832" s="1">
        <v>2779414</v>
      </c>
    </row>
    <row r="5833" spans="1:11" x14ac:dyDescent="0.25">
      <c r="A5833" t="s">
        <v>326</v>
      </c>
      <c r="B5833" t="s">
        <v>458</v>
      </c>
      <c r="C5833" t="s">
        <v>871</v>
      </c>
      <c r="D5833" t="s">
        <v>11</v>
      </c>
      <c r="E5833">
        <v>25</v>
      </c>
      <c r="F5833" s="2">
        <f>DATE(2026,IF(Tabla1[[#This Row],[Mes de Fecha]]="Septiembre",9,10),Tabla1[[#This Row],[Día de Fecha]])</f>
        <v>46290</v>
      </c>
      <c r="G5833">
        <v>1143972684</v>
      </c>
      <c r="H5833" t="s">
        <v>461</v>
      </c>
      <c r="I5833">
        <v>39</v>
      </c>
      <c r="J5833">
        <v>0</v>
      </c>
      <c r="K5833" s="1">
        <v>2292398</v>
      </c>
    </row>
    <row r="5834" spans="1:11" x14ac:dyDescent="0.25">
      <c r="A5834" t="s">
        <v>326</v>
      </c>
      <c r="B5834" t="s">
        <v>458</v>
      </c>
      <c r="C5834" t="s">
        <v>871</v>
      </c>
      <c r="D5834" t="s">
        <v>11</v>
      </c>
      <c r="E5834">
        <v>25</v>
      </c>
      <c r="F5834" s="2">
        <f>DATE(2026,IF(Tabla1[[#This Row],[Mes de Fecha]]="Septiembre",9,10),Tabla1[[#This Row],[Día de Fecha]])</f>
        <v>46290</v>
      </c>
      <c r="G5834">
        <v>1193259913</v>
      </c>
      <c r="H5834" t="s">
        <v>354</v>
      </c>
      <c r="I5834">
        <v>79</v>
      </c>
      <c r="J5834">
        <v>0</v>
      </c>
      <c r="K5834" s="1">
        <v>4183492</v>
      </c>
    </row>
    <row r="5835" spans="1:11" x14ac:dyDescent="0.25">
      <c r="A5835" t="s">
        <v>326</v>
      </c>
      <c r="B5835" t="s">
        <v>458</v>
      </c>
      <c r="C5835" t="s">
        <v>871</v>
      </c>
      <c r="D5835" t="s">
        <v>11</v>
      </c>
      <c r="E5835">
        <v>25</v>
      </c>
      <c r="F5835" s="2">
        <f>DATE(2026,IF(Tabla1[[#This Row],[Mes de Fecha]]="Septiembre",9,10),Tabla1[[#This Row],[Día de Fecha]])</f>
        <v>46290</v>
      </c>
      <c r="G5835">
        <v>1193597754</v>
      </c>
      <c r="H5835" t="s">
        <v>339</v>
      </c>
      <c r="I5835">
        <v>28</v>
      </c>
      <c r="J5835">
        <v>0</v>
      </c>
      <c r="K5835" s="1">
        <v>1658446</v>
      </c>
    </row>
    <row r="5836" spans="1:11" x14ac:dyDescent="0.25">
      <c r="A5836" t="s">
        <v>326</v>
      </c>
      <c r="B5836" t="s">
        <v>458</v>
      </c>
      <c r="C5836" t="s">
        <v>871</v>
      </c>
      <c r="D5836" t="s">
        <v>11</v>
      </c>
      <c r="E5836">
        <v>26</v>
      </c>
      <c r="F5836" s="2">
        <f>DATE(2026,IF(Tabla1[[#This Row],[Mes de Fecha]]="Septiembre",9,10),Tabla1[[#This Row],[Día de Fecha]])</f>
        <v>46291</v>
      </c>
      <c r="I5836">
        <v>0</v>
      </c>
      <c r="J5836" s="1">
        <v>49722310</v>
      </c>
      <c r="K5836">
        <v>0</v>
      </c>
    </row>
    <row r="5837" spans="1:11" x14ac:dyDescent="0.25">
      <c r="A5837" t="s">
        <v>326</v>
      </c>
      <c r="B5837" t="s">
        <v>458</v>
      </c>
      <c r="C5837" t="s">
        <v>871</v>
      </c>
      <c r="D5837" t="s">
        <v>11</v>
      </c>
      <c r="E5837">
        <v>26</v>
      </c>
      <c r="F5837" s="2">
        <f>DATE(2026,IF(Tabla1[[#This Row],[Mes de Fecha]]="Septiembre",9,10),Tabla1[[#This Row],[Día de Fecha]])</f>
        <v>46291</v>
      </c>
      <c r="G5837">
        <v>16919109</v>
      </c>
      <c r="H5837" t="s">
        <v>390</v>
      </c>
      <c r="I5837">
        <v>219</v>
      </c>
      <c r="J5837">
        <v>0</v>
      </c>
      <c r="K5837" s="1">
        <v>12080465</v>
      </c>
    </row>
    <row r="5838" spans="1:11" x14ac:dyDescent="0.25">
      <c r="A5838" t="s">
        <v>326</v>
      </c>
      <c r="B5838" t="s">
        <v>458</v>
      </c>
      <c r="C5838" t="s">
        <v>871</v>
      </c>
      <c r="D5838" t="s">
        <v>11</v>
      </c>
      <c r="E5838">
        <v>26</v>
      </c>
      <c r="F5838" s="2">
        <f>DATE(2026,IF(Tabla1[[#This Row],[Mes de Fecha]]="Septiembre",9,10),Tabla1[[#This Row],[Día de Fecha]])</f>
        <v>46291</v>
      </c>
      <c r="G5838">
        <v>1007666988</v>
      </c>
      <c r="H5838" t="s">
        <v>459</v>
      </c>
      <c r="I5838">
        <v>-1</v>
      </c>
      <c r="J5838">
        <v>0</v>
      </c>
      <c r="K5838" s="1">
        <v>-33529</v>
      </c>
    </row>
    <row r="5839" spans="1:11" x14ac:dyDescent="0.25">
      <c r="A5839" t="s">
        <v>326</v>
      </c>
      <c r="B5839" t="s">
        <v>458</v>
      </c>
      <c r="C5839" t="s">
        <v>871</v>
      </c>
      <c r="D5839" t="s">
        <v>11</v>
      </c>
      <c r="E5839">
        <v>26</v>
      </c>
      <c r="F5839" s="2">
        <f>DATE(2026,IF(Tabla1[[#This Row],[Mes de Fecha]]="Septiembre",9,10),Tabla1[[#This Row],[Día de Fecha]])</f>
        <v>46291</v>
      </c>
      <c r="G5839">
        <v>1104804320</v>
      </c>
      <c r="H5839" t="s">
        <v>389</v>
      </c>
      <c r="I5839">
        <v>-1</v>
      </c>
      <c r="J5839">
        <v>0</v>
      </c>
      <c r="K5839" s="1">
        <v>-210000</v>
      </c>
    </row>
    <row r="5840" spans="1:11" x14ac:dyDescent="0.25">
      <c r="A5840" t="s">
        <v>326</v>
      </c>
      <c r="B5840" t="s">
        <v>458</v>
      </c>
      <c r="C5840" t="s">
        <v>871</v>
      </c>
      <c r="D5840" t="s">
        <v>11</v>
      </c>
      <c r="E5840">
        <v>26</v>
      </c>
      <c r="F5840" s="2">
        <f>DATE(2026,IF(Tabla1[[#This Row],[Mes de Fecha]]="Septiembre",9,10),Tabla1[[#This Row],[Día de Fecha]])</f>
        <v>46291</v>
      </c>
      <c r="G5840">
        <v>1107846391</v>
      </c>
      <c r="H5840" t="s">
        <v>393</v>
      </c>
      <c r="I5840">
        <v>40</v>
      </c>
      <c r="J5840">
        <v>0</v>
      </c>
      <c r="K5840" s="1">
        <v>2367942</v>
      </c>
    </row>
    <row r="5841" spans="1:11" x14ac:dyDescent="0.25">
      <c r="A5841" t="s">
        <v>326</v>
      </c>
      <c r="B5841" t="s">
        <v>458</v>
      </c>
      <c r="C5841" t="s">
        <v>871</v>
      </c>
      <c r="D5841" t="s">
        <v>11</v>
      </c>
      <c r="E5841">
        <v>26</v>
      </c>
      <c r="F5841" s="2">
        <f>DATE(2026,IF(Tabla1[[#This Row],[Mes de Fecha]]="Septiembre",9,10),Tabla1[[#This Row],[Día de Fecha]])</f>
        <v>46291</v>
      </c>
      <c r="G5841">
        <v>1111662486</v>
      </c>
      <c r="H5841" t="s">
        <v>334</v>
      </c>
      <c r="I5841">
        <v>293</v>
      </c>
      <c r="J5841">
        <v>0</v>
      </c>
      <c r="K5841" s="1">
        <v>17134131</v>
      </c>
    </row>
    <row r="5842" spans="1:11" x14ac:dyDescent="0.25">
      <c r="A5842" t="s">
        <v>326</v>
      </c>
      <c r="B5842" t="s">
        <v>458</v>
      </c>
      <c r="C5842" t="s">
        <v>871</v>
      </c>
      <c r="D5842" t="s">
        <v>11</v>
      </c>
      <c r="E5842">
        <v>26</v>
      </c>
      <c r="F5842" s="2">
        <f>DATE(2026,IF(Tabla1[[#This Row],[Mes de Fecha]]="Septiembre",9,10),Tabla1[[#This Row],[Día de Fecha]])</f>
        <v>46291</v>
      </c>
      <c r="G5842">
        <v>1111784310</v>
      </c>
      <c r="H5842" t="s">
        <v>365</v>
      </c>
      <c r="I5842">
        <v>49</v>
      </c>
      <c r="J5842">
        <v>0</v>
      </c>
      <c r="K5842" s="1">
        <v>2796139</v>
      </c>
    </row>
    <row r="5843" spans="1:11" x14ac:dyDescent="0.25">
      <c r="A5843" t="s">
        <v>326</v>
      </c>
      <c r="B5843" t="s">
        <v>458</v>
      </c>
      <c r="C5843" t="s">
        <v>871</v>
      </c>
      <c r="D5843" t="s">
        <v>11</v>
      </c>
      <c r="E5843">
        <v>26</v>
      </c>
      <c r="F5843" s="2">
        <f>DATE(2026,IF(Tabla1[[#This Row],[Mes de Fecha]]="Septiembre",9,10),Tabla1[[#This Row],[Día de Fecha]])</f>
        <v>46291</v>
      </c>
      <c r="G5843">
        <v>1143413580</v>
      </c>
      <c r="H5843" t="s">
        <v>382</v>
      </c>
      <c r="I5843">
        <v>-1</v>
      </c>
      <c r="J5843">
        <v>0</v>
      </c>
      <c r="K5843" s="1">
        <v>-83992</v>
      </c>
    </row>
    <row r="5844" spans="1:11" x14ac:dyDescent="0.25">
      <c r="A5844" t="s">
        <v>326</v>
      </c>
      <c r="B5844" t="s">
        <v>458</v>
      </c>
      <c r="C5844" t="s">
        <v>871</v>
      </c>
      <c r="D5844" t="s">
        <v>11</v>
      </c>
      <c r="E5844">
        <v>26</v>
      </c>
      <c r="F5844" s="2">
        <f>DATE(2026,IF(Tabla1[[#This Row],[Mes de Fecha]]="Septiembre",9,10),Tabla1[[#This Row],[Día de Fecha]])</f>
        <v>46291</v>
      </c>
      <c r="G5844">
        <v>1143972684</v>
      </c>
      <c r="H5844" t="s">
        <v>461</v>
      </c>
      <c r="I5844">
        <v>73</v>
      </c>
      <c r="J5844">
        <v>0</v>
      </c>
      <c r="K5844" s="1">
        <v>4005091</v>
      </c>
    </row>
    <row r="5845" spans="1:11" x14ac:dyDescent="0.25">
      <c r="A5845" t="s">
        <v>326</v>
      </c>
      <c r="B5845" t="s">
        <v>458</v>
      </c>
      <c r="C5845" t="s">
        <v>871</v>
      </c>
      <c r="D5845" t="s">
        <v>11</v>
      </c>
      <c r="E5845">
        <v>26</v>
      </c>
      <c r="F5845" s="2">
        <f>DATE(2026,IF(Tabla1[[#This Row],[Mes de Fecha]]="Septiembre",9,10),Tabla1[[#This Row],[Día de Fecha]])</f>
        <v>46291</v>
      </c>
      <c r="G5845">
        <v>1193259913</v>
      </c>
      <c r="H5845" t="s">
        <v>354</v>
      </c>
      <c r="I5845">
        <v>136</v>
      </c>
      <c r="J5845">
        <v>0</v>
      </c>
      <c r="K5845" s="1">
        <v>7956437</v>
      </c>
    </row>
    <row r="5846" spans="1:11" x14ac:dyDescent="0.25">
      <c r="A5846" t="s">
        <v>326</v>
      </c>
      <c r="B5846" t="s">
        <v>458</v>
      </c>
      <c r="C5846" t="s">
        <v>871</v>
      </c>
      <c r="D5846" t="s">
        <v>11</v>
      </c>
      <c r="E5846">
        <v>26</v>
      </c>
      <c r="F5846" s="2">
        <f>DATE(2026,IF(Tabla1[[#This Row],[Mes de Fecha]]="Septiembre",9,10),Tabla1[[#This Row],[Día de Fecha]])</f>
        <v>46291</v>
      </c>
      <c r="G5846">
        <v>1193597754</v>
      </c>
      <c r="H5846" t="s">
        <v>339</v>
      </c>
      <c r="I5846">
        <v>59</v>
      </c>
      <c r="J5846">
        <v>0</v>
      </c>
      <c r="K5846" s="1">
        <v>3709627</v>
      </c>
    </row>
    <row r="5847" spans="1:11" x14ac:dyDescent="0.25">
      <c r="A5847" t="s">
        <v>326</v>
      </c>
      <c r="B5847" t="s">
        <v>458</v>
      </c>
      <c r="C5847" t="s">
        <v>871</v>
      </c>
      <c r="D5847" t="s">
        <v>11</v>
      </c>
      <c r="E5847">
        <v>27</v>
      </c>
      <c r="F5847" s="2">
        <f>DATE(2026,IF(Tabla1[[#This Row],[Mes de Fecha]]="Septiembre",9,10),Tabla1[[#This Row],[Día de Fecha]])</f>
        <v>46292</v>
      </c>
      <c r="I5847">
        <v>0</v>
      </c>
      <c r="J5847" s="1">
        <v>10582484</v>
      </c>
      <c r="K5847">
        <v>0</v>
      </c>
    </row>
    <row r="5848" spans="1:11" x14ac:dyDescent="0.25">
      <c r="A5848" t="s">
        <v>326</v>
      </c>
      <c r="B5848" t="s">
        <v>458</v>
      </c>
      <c r="C5848" t="s">
        <v>871</v>
      </c>
      <c r="D5848" t="s">
        <v>11</v>
      </c>
      <c r="E5848">
        <v>27</v>
      </c>
      <c r="F5848" s="2">
        <f>DATE(2026,IF(Tabla1[[#This Row],[Mes de Fecha]]="Septiembre",9,10),Tabla1[[#This Row],[Día de Fecha]])</f>
        <v>46292</v>
      </c>
      <c r="G5848">
        <v>16919109</v>
      </c>
      <c r="H5848" t="s">
        <v>390</v>
      </c>
      <c r="I5848">
        <v>39</v>
      </c>
      <c r="J5848">
        <v>0</v>
      </c>
      <c r="K5848" s="1">
        <v>2595044</v>
      </c>
    </row>
    <row r="5849" spans="1:11" x14ac:dyDescent="0.25">
      <c r="A5849" t="s">
        <v>326</v>
      </c>
      <c r="B5849" t="s">
        <v>458</v>
      </c>
      <c r="C5849" t="s">
        <v>871</v>
      </c>
      <c r="D5849" t="s">
        <v>11</v>
      </c>
      <c r="E5849">
        <v>27</v>
      </c>
      <c r="F5849" s="2">
        <f>DATE(2026,IF(Tabla1[[#This Row],[Mes de Fecha]]="Septiembre",9,10),Tabla1[[#This Row],[Día de Fecha]])</f>
        <v>46292</v>
      </c>
      <c r="G5849">
        <v>1107846391</v>
      </c>
      <c r="H5849" t="s">
        <v>393</v>
      </c>
      <c r="I5849">
        <v>11</v>
      </c>
      <c r="J5849">
        <v>0</v>
      </c>
      <c r="K5849" s="1">
        <v>633951</v>
      </c>
    </row>
    <row r="5850" spans="1:11" x14ac:dyDescent="0.25">
      <c r="A5850" t="s">
        <v>326</v>
      </c>
      <c r="B5850" t="s">
        <v>458</v>
      </c>
      <c r="C5850" t="s">
        <v>871</v>
      </c>
      <c r="D5850" t="s">
        <v>11</v>
      </c>
      <c r="E5850">
        <v>27</v>
      </c>
      <c r="F5850" s="2">
        <f>DATE(2026,IF(Tabla1[[#This Row],[Mes de Fecha]]="Septiembre",9,10),Tabla1[[#This Row],[Día de Fecha]])</f>
        <v>46292</v>
      </c>
      <c r="G5850">
        <v>1111662486</v>
      </c>
      <c r="H5850" t="s">
        <v>334</v>
      </c>
      <c r="I5850">
        <v>61</v>
      </c>
      <c r="J5850">
        <v>0</v>
      </c>
      <c r="K5850" s="1">
        <v>3373446</v>
      </c>
    </row>
    <row r="5851" spans="1:11" x14ac:dyDescent="0.25">
      <c r="A5851" t="s">
        <v>326</v>
      </c>
      <c r="B5851" t="s">
        <v>458</v>
      </c>
      <c r="C5851" t="s">
        <v>871</v>
      </c>
      <c r="D5851" t="s">
        <v>11</v>
      </c>
      <c r="E5851">
        <v>27</v>
      </c>
      <c r="F5851" s="2">
        <f>DATE(2026,IF(Tabla1[[#This Row],[Mes de Fecha]]="Septiembre",9,10),Tabla1[[#This Row],[Día de Fecha]])</f>
        <v>46292</v>
      </c>
      <c r="G5851">
        <v>1111784310</v>
      </c>
      <c r="H5851" t="s">
        <v>365</v>
      </c>
      <c r="I5851">
        <v>10</v>
      </c>
      <c r="J5851">
        <v>0</v>
      </c>
      <c r="K5851" s="1">
        <v>528908</v>
      </c>
    </row>
    <row r="5852" spans="1:11" x14ac:dyDescent="0.25">
      <c r="A5852" t="s">
        <v>326</v>
      </c>
      <c r="B5852" t="s">
        <v>458</v>
      </c>
      <c r="C5852" t="s">
        <v>871</v>
      </c>
      <c r="D5852" t="s">
        <v>11</v>
      </c>
      <c r="E5852">
        <v>27</v>
      </c>
      <c r="F5852" s="2">
        <f>DATE(2026,IF(Tabla1[[#This Row],[Mes de Fecha]]="Septiembre",9,10),Tabla1[[#This Row],[Día de Fecha]])</f>
        <v>46292</v>
      </c>
      <c r="G5852">
        <v>1143972684</v>
      </c>
      <c r="H5852" t="s">
        <v>461</v>
      </c>
      <c r="I5852">
        <v>18</v>
      </c>
      <c r="J5852">
        <v>0</v>
      </c>
      <c r="K5852" s="1">
        <v>1167228</v>
      </c>
    </row>
    <row r="5853" spans="1:11" x14ac:dyDescent="0.25">
      <c r="A5853" t="s">
        <v>326</v>
      </c>
      <c r="B5853" t="s">
        <v>458</v>
      </c>
      <c r="C5853" t="s">
        <v>871</v>
      </c>
      <c r="D5853" t="s">
        <v>11</v>
      </c>
      <c r="E5853">
        <v>27</v>
      </c>
      <c r="F5853" s="2">
        <f>DATE(2026,IF(Tabla1[[#This Row],[Mes de Fecha]]="Septiembre",9,10),Tabla1[[#This Row],[Día de Fecha]])</f>
        <v>46292</v>
      </c>
      <c r="G5853">
        <v>1193259913</v>
      </c>
      <c r="H5853" t="s">
        <v>354</v>
      </c>
      <c r="I5853">
        <v>40</v>
      </c>
      <c r="J5853">
        <v>0</v>
      </c>
      <c r="K5853" s="1">
        <v>2283908</v>
      </c>
    </row>
    <row r="5854" spans="1:11" x14ac:dyDescent="0.25">
      <c r="A5854" t="s">
        <v>326</v>
      </c>
      <c r="B5854" t="s">
        <v>458</v>
      </c>
      <c r="C5854" t="s">
        <v>871</v>
      </c>
      <c r="D5854" t="s">
        <v>11</v>
      </c>
      <c r="E5854">
        <v>28</v>
      </c>
      <c r="F5854" s="2">
        <f>DATE(2026,IF(Tabla1[[#This Row],[Mes de Fecha]]="Septiembre",9,10),Tabla1[[#This Row],[Día de Fecha]])</f>
        <v>46293</v>
      </c>
      <c r="I5854">
        <v>0</v>
      </c>
      <c r="J5854" s="1">
        <v>22881096</v>
      </c>
      <c r="K5854">
        <v>0</v>
      </c>
    </row>
    <row r="5855" spans="1:11" x14ac:dyDescent="0.25">
      <c r="A5855" t="s">
        <v>326</v>
      </c>
      <c r="B5855" t="s">
        <v>458</v>
      </c>
      <c r="C5855" t="s">
        <v>871</v>
      </c>
      <c r="D5855" t="s">
        <v>11</v>
      </c>
      <c r="E5855">
        <v>28</v>
      </c>
      <c r="F5855" s="2">
        <f>DATE(2026,IF(Tabla1[[#This Row],[Mes de Fecha]]="Septiembre",9,10),Tabla1[[#This Row],[Día de Fecha]])</f>
        <v>46293</v>
      </c>
      <c r="G5855">
        <v>16919109</v>
      </c>
      <c r="H5855" t="s">
        <v>390</v>
      </c>
      <c r="I5855">
        <v>114</v>
      </c>
      <c r="J5855">
        <v>0</v>
      </c>
      <c r="K5855" s="1">
        <v>6902487</v>
      </c>
    </row>
    <row r="5856" spans="1:11" x14ac:dyDescent="0.25">
      <c r="A5856" t="s">
        <v>326</v>
      </c>
      <c r="B5856" t="s">
        <v>458</v>
      </c>
      <c r="C5856" t="s">
        <v>871</v>
      </c>
      <c r="D5856" t="s">
        <v>11</v>
      </c>
      <c r="E5856">
        <v>28</v>
      </c>
      <c r="F5856" s="2">
        <f>DATE(2026,IF(Tabla1[[#This Row],[Mes de Fecha]]="Septiembre",9,10),Tabla1[[#This Row],[Día de Fecha]])</f>
        <v>46293</v>
      </c>
      <c r="G5856">
        <v>1102868881</v>
      </c>
      <c r="H5856" t="s">
        <v>338</v>
      </c>
      <c r="I5856">
        <v>-1</v>
      </c>
      <c r="J5856">
        <v>0</v>
      </c>
      <c r="K5856" s="1">
        <v>-109202</v>
      </c>
    </row>
    <row r="5857" spans="1:11" x14ac:dyDescent="0.25">
      <c r="A5857" t="s">
        <v>326</v>
      </c>
      <c r="B5857" t="s">
        <v>458</v>
      </c>
      <c r="C5857" t="s">
        <v>871</v>
      </c>
      <c r="D5857" t="s">
        <v>11</v>
      </c>
      <c r="E5857">
        <v>28</v>
      </c>
      <c r="F5857" s="2">
        <f>DATE(2026,IF(Tabla1[[#This Row],[Mes de Fecha]]="Septiembre",9,10),Tabla1[[#This Row],[Día de Fecha]])</f>
        <v>46293</v>
      </c>
      <c r="G5857">
        <v>1111662486</v>
      </c>
      <c r="H5857" t="s">
        <v>334</v>
      </c>
      <c r="I5857">
        <v>110</v>
      </c>
      <c r="J5857">
        <v>0</v>
      </c>
      <c r="K5857" s="1">
        <v>6234669</v>
      </c>
    </row>
    <row r="5858" spans="1:11" x14ac:dyDescent="0.25">
      <c r="A5858" t="s">
        <v>326</v>
      </c>
      <c r="B5858" t="s">
        <v>458</v>
      </c>
      <c r="C5858" t="s">
        <v>871</v>
      </c>
      <c r="D5858" t="s">
        <v>11</v>
      </c>
      <c r="E5858">
        <v>28</v>
      </c>
      <c r="F5858" s="2">
        <f>DATE(2026,IF(Tabla1[[#This Row],[Mes de Fecha]]="Septiembre",9,10),Tabla1[[#This Row],[Día de Fecha]])</f>
        <v>46293</v>
      </c>
      <c r="G5858">
        <v>1111784310</v>
      </c>
      <c r="H5858" t="s">
        <v>365</v>
      </c>
      <c r="I5858">
        <v>70</v>
      </c>
      <c r="J5858">
        <v>0</v>
      </c>
      <c r="K5858" s="1">
        <v>3761601</v>
      </c>
    </row>
    <row r="5859" spans="1:11" x14ac:dyDescent="0.25">
      <c r="A5859" t="s">
        <v>326</v>
      </c>
      <c r="B5859" t="s">
        <v>458</v>
      </c>
      <c r="C5859" t="s">
        <v>871</v>
      </c>
      <c r="D5859" t="s">
        <v>11</v>
      </c>
      <c r="E5859">
        <v>28</v>
      </c>
      <c r="F5859" s="2">
        <f>DATE(2026,IF(Tabla1[[#This Row],[Mes de Fecha]]="Septiembre",9,10),Tabla1[[#This Row],[Día de Fecha]])</f>
        <v>46293</v>
      </c>
      <c r="G5859">
        <v>1143972684</v>
      </c>
      <c r="H5859" t="s">
        <v>461</v>
      </c>
      <c r="I5859">
        <v>0</v>
      </c>
      <c r="J5859">
        <v>0</v>
      </c>
      <c r="K5859" s="1">
        <v>4202</v>
      </c>
    </row>
    <row r="5860" spans="1:11" x14ac:dyDescent="0.25">
      <c r="A5860" t="s">
        <v>326</v>
      </c>
      <c r="B5860" t="s">
        <v>458</v>
      </c>
      <c r="C5860" t="s">
        <v>871</v>
      </c>
      <c r="D5860" t="s">
        <v>11</v>
      </c>
      <c r="E5860">
        <v>28</v>
      </c>
      <c r="F5860" s="2">
        <f>DATE(2026,IF(Tabla1[[#This Row],[Mes de Fecha]]="Septiembre",9,10),Tabla1[[#This Row],[Día de Fecha]])</f>
        <v>46293</v>
      </c>
      <c r="G5860">
        <v>1144158340</v>
      </c>
      <c r="H5860" t="s">
        <v>375</v>
      </c>
      <c r="I5860">
        <v>-1</v>
      </c>
      <c r="J5860">
        <v>0</v>
      </c>
      <c r="K5860" s="1">
        <v>-105000</v>
      </c>
    </row>
    <row r="5861" spans="1:11" x14ac:dyDescent="0.25">
      <c r="A5861" t="s">
        <v>326</v>
      </c>
      <c r="B5861" t="s">
        <v>458</v>
      </c>
      <c r="C5861" t="s">
        <v>871</v>
      </c>
      <c r="D5861" t="s">
        <v>11</v>
      </c>
      <c r="E5861">
        <v>28</v>
      </c>
      <c r="F5861" s="2">
        <f>DATE(2026,IF(Tabla1[[#This Row],[Mes de Fecha]]="Septiembre",9,10),Tabla1[[#This Row],[Día de Fecha]])</f>
        <v>46293</v>
      </c>
      <c r="G5861">
        <v>1193259913</v>
      </c>
      <c r="H5861" t="s">
        <v>354</v>
      </c>
      <c r="I5861">
        <v>93</v>
      </c>
      <c r="J5861">
        <v>0</v>
      </c>
      <c r="K5861" s="1">
        <v>5661900</v>
      </c>
    </row>
    <row r="5862" spans="1:11" x14ac:dyDescent="0.25">
      <c r="A5862" t="s">
        <v>326</v>
      </c>
      <c r="B5862" t="s">
        <v>458</v>
      </c>
      <c r="C5862" t="s">
        <v>871</v>
      </c>
      <c r="D5862" t="s">
        <v>11</v>
      </c>
      <c r="E5862">
        <v>28</v>
      </c>
      <c r="F5862" s="2">
        <f>DATE(2026,IF(Tabla1[[#This Row],[Mes de Fecha]]="Septiembre",9,10),Tabla1[[#This Row],[Día de Fecha]])</f>
        <v>46293</v>
      </c>
      <c r="G5862">
        <v>1193597754</v>
      </c>
      <c r="H5862" t="s">
        <v>339</v>
      </c>
      <c r="I5862">
        <v>60</v>
      </c>
      <c r="J5862">
        <v>0</v>
      </c>
      <c r="K5862" s="1">
        <v>3281008</v>
      </c>
    </row>
    <row r="5863" spans="1:11" x14ac:dyDescent="0.25">
      <c r="A5863" t="s">
        <v>326</v>
      </c>
      <c r="B5863" t="s">
        <v>458</v>
      </c>
      <c r="C5863" t="s">
        <v>871</v>
      </c>
      <c r="D5863" t="s">
        <v>11</v>
      </c>
      <c r="E5863">
        <v>29</v>
      </c>
      <c r="F5863" s="2">
        <f>DATE(2026,IF(Tabla1[[#This Row],[Mes de Fecha]]="Septiembre",9,10),Tabla1[[#This Row],[Día de Fecha]])</f>
        <v>46294</v>
      </c>
      <c r="I5863">
        <v>0</v>
      </c>
      <c r="J5863" s="1">
        <v>22335475</v>
      </c>
      <c r="K5863">
        <v>0</v>
      </c>
    </row>
    <row r="5864" spans="1:11" x14ac:dyDescent="0.25">
      <c r="A5864" t="s">
        <v>326</v>
      </c>
      <c r="B5864" t="s">
        <v>458</v>
      </c>
      <c r="C5864" t="s">
        <v>871</v>
      </c>
      <c r="D5864" t="s">
        <v>11</v>
      </c>
      <c r="E5864">
        <v>29</v>
      </c>
      <c r="F5864" s="2">
        <f>DATE(2026,IF(Tabla1[[#This Row],[Mes de Fecha]]="Septiembre",9,10),Tabla1[[#This Row],[Día de Fecha]])</f>
        <v>46294</v>
      </c>
      <c r="G5864">
        <v>16919109</v>
      </c>
      <c r="H5864" t="s">
        <v>390</v>
      </c>
      <c r="I5864">
        <v>126</v>
      </c>
      <c r="J5864">
        <v>0</v>
      </c>
      <c r="K5864" s="1">
        <v>6985632</v>
      </c>
    </row>
    <row r="5865" spans="1:11" x14ac:dyDescent="0.25">
      <c r="A5865" t="s">
        <v>326</v>
      </c>
      <c r="B5865" t="s">
        <v>458</v>
      </c>
      <c r="C5865" t="s">
        <v>871</v>
      </c>
      <c r="D5865" t="s">
        <v>11</v>
      </c>
      <c r="E5865">
        <v>29</v>
      </c>
      <c r="F5865" s="2">
        <f>DATE(2026,IF(Tabla1[[#This Row],[Mes de Fecha]]="Septiembre",9,10),Tabla1[[#This Row],[Día de Fecha]])</f>
        <v>46294</v>
      </c>
      <c r="G5865">
        <v>1004006497</v>
      </c>
      <c r="H5865" t="s">
        <v>383</v>
      </c>
      <c r="I5865">
        <v>-2</v>
      </c>
      <c r="J5865">
        <v>0</v>
      </c>
      <c r="K5865" s="1">
        <v>-100756</v>
      </c>
    </row>
    <row r="5866" spans="1:11" x14ac:dyDescent="0.25">
      <c r="A5866" t="s">
        <v>326</v>
      </c>
      <c r="B5866" t="s">
        <v>458</v>
      </c>
      <c r="C5866" t="s">
        <v>871</v>
      </c>
      <c r="D5866" t="s">
        <v>11</v>
      </c>
      <c r="E5866">
        <v>29</v>
      </c>
      <c r="F5866" s="2">
        <f>DATE(2026,IF(Tabla1[[#This Row],[Mes de Fecha]]="Septiembre",9,10),Tabla1[[#This Row],[Día de Fecha]])</f>
        <v>46294</v>
      </c>
      <c r="G5866">
        <v>1005707524</v>
      </c>
      <c r="H5866" t="s">
        <v>392</v>
      </c>
      <c r="I5866">
        <v>-1</v>
      </c>
      <c r="J5866">
        <v>0</v>
      </c>
      <c r="K5866" s="1">
        <v>-41975</v>
      </c>
    </row>
    <row r="5867" spans="1:11" x14ac:dyDescent="0.25">
      <c r="A5867" t="s">
        <v>326</v>
      </c>
      <c r="B5867" t="s">
        <v>458</v>
      </c>
      <c r="C5867" t="s">
        <v>871</v>
      </c>
      <c r="D5867" t="s">
        <v>11</v>
      </c>
      <c r="E5867">
        <v>29</v>
      </c>
      <c r="F5867" s="2">
        <f>DATE(2026,IF(Tabla1[[#This Row],[Mes de Fecha]]="Septiembre",9,10),Tabla1[[#This Row],[Día de Fecha]])</f>
        <v>46294</v>
      </c>
      <c r="G5867">
        <v>1094265298</v>
      </c>
      <c r="H5867" t="s">
        <v>337</v>
      </c>
      <c r="I5867">
        <v>-1</v>
      </c>
      <c r="J5867">
        <v>0</v>
      </c>
      <c r="K5867" s="1">
        <v>-67185</v>
      </c>
    </row>
    <row r="5868" spans="1:11" x14ac:dyDescent="0.25">
      <c r="A5868" t="s">
        <v>326</v>
      </c>
      <c r="B5868" t="s">
        <v>458</v>
      </c>
      <c r="C5868" t="s">
        <v>871</v>
      </c>
      <c r="D5868" t="s">
        <v>11</v>
      </c>
      <c r="E5868">
        <v>29</v>
      </c>
      <c r="F5868" s="2">
        <f>DATE(2026,IF(Tabla1[[#This Row],[Mes de Fecha]]="Septiembre",9,10),Tabla1[[#This Row],[Día de Fecha]])</f>
        <v>46294</v>
      </c>
      <c r="G5868">
        <v>1107846391</v>
      </c>
      <c r="H5868" t="s">
        <v>393</v>
      </c>
      <c r="I5868">
        <v>23</v>
      </c>
      <c r="J5868">
        <v>0</v>
      </c>
      <c r="K5868" s="1">
        <v>1444414</v>
      </c>
    </row>
    <row r="5869" spans="1:11" x14ac:dyDescent="0.25">
      <c r="A5869" t="s">
        <v>326</v>
      </c>
      <c r="B5869" t="s">
        <v>458</v>
      </c>
      <c r="C5869" t="s">
        <v>871</v>
      </c>
      <c r="D5869" t="s">
        <v>11</v>
      </c>
      <c r="E5869">
        <v>29</v>
      </c>
      <c r="F5869" s="2">
        <f>DATE(2026,IF(Tabla1[[#This Row],[Mes de Fecha]]="Septiembre",9,10),Tabla1[[#This Row],[Día de Fecha]])</f>
        <v>46294</v>
      </c>
      <c r="G5869">
        <v>1111662486</v>
      </c>
      <c r="H5869" t="s">
        <v>334</v>
      </c>
      <c r="I5869">
        <v>86</v>
      </c>
      <c r="J5869">
        <v>0</v>
      </c>
      <c r="K5869" s="1">
        <v>5092944</v>
      </c>
    </row>
    <row r="5870" spans="1:11" x14ac:dyDescent="0.25">
      <c r="A5870" t="s">
        <v>326</v>
      </c>
      <c r="B5870" t="s">
        <v>458</v>
      </c>
      <c r="C5870" t="s">
        <v>871</v>
      </c>
      <c r="D5870" t="s">
        <v>11</v>
      </c>
      <c r="E5870">
        <v>29</v>
      </c>
      <c r="F5870" s="2">
        <f>DATE(2026,IF(Tabla1[[#This Row],[Mes de Fecha]]="Septiembre",9,10),Tabla1[[#This Row],[Día de Fecha]])</f>
        <v>46294</v>
      </c>
      <c r="G5870">
        <v>1111784310</v>
      </c>
      <c r="H5870" t="s">
        <v>365</v>
      </c>
      <c r="I5870">
        <v>20</v>
      </c>
      <c r="J5870">
        <v>0</v>
      </c>
      <c r="K5870" s="1">
        <v>1125211</v>
      </c>
    </row>
    <row r="5871" spans="1:11" x14ac:dyDescent="0.25">
      <c r="A5871" t="s">
        <v>326</v>
      </c>
      <c r="B5871" t="s">
        <v>458</v>
      </c>
      <c r="C5871" t="s">
        <v>871</v>
      </c>
      <c r="D5871" t="s">
        <v>11</v>
      </c>
      <c r="E5871">
        <v>29</v>
      </c>
      <c r="F5871" s="2">
        <f>DATE(2026,IF(Tabla1[[#This Row],[Mes de Fecha]]="Septiembre",9,10),Tabla1[[#This Row],[Día de Fecha]])</f>
        <v>46294</v>
      </c>
      <c r="G5871">
        <v>1143972684</v>
      </c>
      <c r="H5871" t="s">
        <v>461</v>
      </c>
      <c r="I5871">
        <v>28</v>
      </c>
      <c r="J5871">
        <v>0</v>
      </c>
      <c r="K5871" s="1">
        <v>1799119</v>
      </c>
    </row>
    <row r="5872" spans="1:11" x14ac:dyDescent="0.25">
      <c r="A5872" t="s">
        <v>326</v>
      </c>
      <c r="B5872" t="s">
        <v>458</v>
      </c>
      <c r="C5872" t="s">
        <v>871</v>
      </c>
      <c r="D5872" t="s">
        <v>11</v>
      </c>
      <c r="E5872">
        <v>29</v>
      </c>
      <c r="F5872" s="2">
        <f>DATE(2026,IF(Tabla1[[#This Row],[Mes de Fecha]]="Septiembre",9,10),Tabla1[[#This Row],[Día de Fecha]])</f>
        <v>46294</v>
      </c>
      <c r="G5872">
        <v>1193259913</v>
      </c>
      <c r="H5872" t="s">
        <v>354</v>
      </c>
      <c r="I5872">
        <v>86</v>
      </c>
      <c r="J5872">
        <v>0</v>
      </c>
      <c r="K5872" s="1">
        <v>4798575</v>
      </c>
    </row>
    <row r="5873" spans="1:11" x14ac:dyDescent="0.25">
      <c r="A5873" t="s">
        <v>326</v>
      </c>
      <c r="B5873" t="s">
        <v>458</v>
      </c>
      <c r="C5873" t="s">
        <v>871</v>
      </c>
      <c r="D5873" t="s">
        <v>11</v>
      </c>
      <c r="E5873">
        <v>29</v>
      </c>
      <c r="F5873" s="2">
        <f>DATE(2026,IF(Tabla1[[#This Row],[Mes de Fecha]]="Septiembre",9,10),Tabla1[[#This Row],[Día de Fecha]])</f>
        <v>46294</v>
      </c>
      <c r="G5873">
        <v>1193597754</v>
      </c>
      <c r="H5873" t="s">
        <v>339</v>
      </c>
      <c r="I5873">
        <v>21</v>
      </c>
      <c r="J5873">
        <v>0</v>
      </c>
      <c r="K5873" s="1">
        <v>1299496</v>
      </c>
    </row>
    <row r="5874" spans="1:11" x14ac:dyDescent="0.25">
      <c r="A5874" t="s">
        <v>326</v>
      </c>
      <c r="B5874" t="s">
        <v>458</v>
      </c>
      <c r="C5874" t="s">
        <v>871</v>
      </c>
      <c r="D5874" t="s">
        <v>11</v>
      </c>
      <c r="E5874">
        <v>30</v>
      </c>
      <c r="F5874" s="2">
        <f>DATE(2026,IF(Tabla1[[#This Row],[Mes de Fecha]]="Septiembre",9,10),Tabla1[[#This Row],[Día de Fecha]])</f>
        <v>46295</v>
      </c>
      <c r="I5874">
        <v>0</v>
      </c>
      <c r="J5874" s="1">
        <v>24679639</v>
      </c>
      <c r="K5874">
        <v>0</v>
      </c>
    </row>
    <row r="5875" spans="1:11" x14ac:dyDescent="0.25">
      <c r="A5875" t="s">
        <v>326</v>
      </c>
      <c r="B5875" t="s">
        <v>458</v>
      </c>
      <c r="C5875" t="s">
        <v>871</v>
      </c>
      <c r="D5875" t="s">
        <v>11</v>
      </c>
      <c r="E5875">
        <v>30</v>
      </c>
      <c r="F5875" s="2">
        <f>DATE(2026,IF(Tabla1[[#This Row],[Mes de Fecha]]="Septiembre",9,10),Tabla1[[#This Row],[Día de Fecha]])</f>
        <v>46295</v>
      </c>
      <c r="G5875">
        <v>16919109</v>
      </c>
      <c r="H5875" t="s">
        <v>390</v>
      </c>
      <c r="I5875">
        <v>116</v>
      </c>
      <c r="J5875">
        <v>0</v>
      </c>
      <c r="K5875" s="1">
        <v>6633113</v>
      </c>
    </row>
    <row r="5876" spans="1:11" x14ac:dyDescent="0.25">
      <c r="A5876" t="s">
        <v>326</v>
      </c>
      <c r="B5876" t="s">
        <v>458</v>
      </c>
      <c r="C5876" t="s">
        <v>871</v>
      </c>
      <c r="D5876" t="s">
        <v>11</v>
      </c>
      <c r="E5876">
        <v>30</v>
      </c>
      <c r="F5876" s="2">
        <f>DATE(2026,IF(Tabla1[[#This Row],[Mes de Fecha]]="Septiembre",9,10),Tabla1[[#This Row],[Día de Fecha]])</f>
        <v>46295</v>
      </c>
      <c r="G5876">
        <v>1102868881</v>
      </c>
      <c r="H5876" t="s">
        <v>338</v>
      </c>
      <c r="I5876">
        <v>-1</v>
      </c>
      <c r="J5876">
        <v>0</v>
      </c>
      <c r="K5876" s="1">
        <v>-75588</v>
      </c>
    </row>
    <row r="5877" spans="1:11" x14ac:dyDescent="0.25">
      <c r="A5877" t="s">
        <v>326</v>
      </c>
      <c r="B5877" t="s">
        <v>458</v>
      </c>
      <c r="C5877" t="s">
        <v>871</v>
      </c>
      <c r="D5877" t="s">
        <v>11</v>
      </c>
      <c r="E5877">
        <v>30</v>
      </c>
      <c r="F5877" s="2">
        <f>DATE(2026,IF(Tabla1[[#This Row],[Mes de Fecha]]="Septiembre",9,10),Tabla1[[#This Row],[Día de Fecha]])</f>
        <v>46295</v>
      </c>
      <c r="G5877">
        <v>1107846391</v>
      </c>
      <c r="H5877" t="s">
        <v>393</v>
      </c>
      <c r="I5877">
        <v>39</v>
      </c>
      <c r="J5877">
        <v>0</v>
      </c>
      <c r="K5877" s="1">
        <v>2040255</v>
      </c>
    </row>
    <row r="5878" spans="1:11" x14ac:dyDescent="0.25">
      <c r="A5878" t="s">
        <v>326</v>
      </c>
      <c r="B5878" t="s">
        <v>458</v>
      </c>
      <c r="C5878" t="s">
        <v>871</v>
      </c>
      <c r="D5878" t="s">
        <v>11</v>
      </c>
      <c r="E5878">
        <v>30</v>
      </c>
      <c r="F5878" s="2">
        <f>DATE(2026,IF(Tabla1[[#This Row],[Mes de Fecha]]="Septiembre",9,10),Tabla1[[#This Row],[Día de Fecha]])</f>
        <v>46295</v>
      </c>
      <c r="G5878">
        <v>1111662486</v>
      </c>
      <c r="H5878" t="s">
        <v>334</v>
      </c>
      <c r="I5878">
        <v>91</v>
      </c>
      <c r="J5878">
        <v>0</v>
      </c>
      <c r="K5878" s="1">
        <v>5512647</v>
      </c>
    </row>
    <row r="5879" spans="1:11" x14ac:dyDescent="0.25">
      <c r="A5879" t="s">
        <v>326</v>
      </c>
      <c r="B5879" t="s">
        <v>458</v>
      </c>
      <c r="C5879" t="s">
        <v>871</v>
      </c>
      <c r="D5879" t="s">
        <v>11</v>
      </c>
      <c r="E5879">
        <v>30</v>
      </c>
      <c r="F5879" s="2">
        <f>DATE(2026,IF(Tabla1[[#This Row],[Mes de Fecha]]="Septiembre",9,10),Tabla1[[#This Row],[Día de Fecha]])</f>
        <v>46295</v>
      </c>
      <c r="G5879">
        <v>1143972684</v>
      </c>
      <c r="H5879" t="s">
        <v>461</v>
      </c>
      <c r="I5879">
        <v>48</v>
      </c>
      <c r="J5879">
        <v>0</v>
      </c>
      <c r="K5879" s="1">
        <v>2766726</v>
      </c>
    </row>
    <row r="5880" spans="1:11" x14ac:dyDescent="0.25">
      <c r="A5880" t="s">
        <v>326</v>
      </c>
      <c r="B5880" t="s">
        <v>458</v>
      </c>
      <c r="C5880" t="s">
        <v>871</v>
      </c>
      <c r="D5880" t="s">
        <v>11</v>
      </c>
      <c r="E5880">
        <v>30</v>
      </c>
      <c r="F5880" s="2">
        <f>DATE(2026,IF(Tabla1[[#This Row],[Mes de Fecha]]="Septiembre",9,10),Tabla1[[#This Row],[Día de Fecha]])</f>
        <v>46295</v>
      </c>
      <c r="G5880">
        <v>1193259913</v>
      </c>
      <c r="H5880" t="s">
        <v>354</v>
      </c>
      <c r="I5880">
        <v>114</v>
      </c>
      <c r="J5880">
        <v>0</v>
      </c>
      <c r="K5880" s="1">
        <v>6501013</v>
      </c>
    </row>
    <row r="5881" spans="1:11" x14ac:dyDescent="0.25">
      <c r="A5881" t="s">
        <v>326</v>
      </c>
      <c r="B5881" t="s">
        <v>458</v>
      </c>
      <c r="C5881" t="s">
        <v>871</v>
      </c>
      <c r="D5881" t="s">
        <v>11</v>
      </c>
      <c r="E5881">
        <v>30</v>
      </c>
      <c r="F5881" s="2">
        <f>DATE(2026,IF(Tabla1[[#This Row],[Mes de Fecha]]="Septiembre",9,10),Tabla1[[#This Row],[Día de Fecha]])</f>
        <v>46295</v>
      </c>
      <c r="G5881">
        <v>1193597754</v>
      </c>
      <c r="H5881" t="s">
        <v>339</v>
      </c>
      <c r="I5881">
        <v>43</v>
      </c>
      <c r="J5881">
        <v>0</v>
      </c>
      <c r="K5881" s="1">
        <v>2519074</v>
      </c>
    </row>
    <row r="5882" spans="1:11" x14ac:dyDescent="0.25">
      <c r="A5882" t="s">
        <v>326</v>
      </c>
      <c r="B5882" t="s">
        <v>458</v>
      </c>
      <c r="C5882" t="s">
        <v>871</v>
      </c>
      <c r="D5882" t="s">
        <v>14</v>
      </c>
      <c r="E5882">
        <v>1</v>
      </c>
      <c r="F5882" s="2">
        <f>DATE(2026,IF(Tabla1[[#This Row],[Mes de Fecha]]="Septiembre",9,10),Tabla1[[#This Row],[Día de Fecha]])</f>
        <v>46296</v>
      </c>
      <c r="I5882">
        <v>0</v>
      </c>
      <c r="J5882" s="1">
        <v>33321650</v>
      </c>
      <c r="K5882">
        <v>0</v>
      </c>
    </row>
    <row r="5883" spans="1:11" x14ac:dyDescent="0.25">
      <c r="A5883" t="s">
        <v>326</v>
      </c>
      <c r="B5883" t="s">
        <v>458</v>
      </c>
      <c r="C5883" t="s">
        <v>871</v>
      </c>
      <c r="D5883" t="s">
        <v>14</v>
      </c>
      <c r="E5883">
        <v>1</v>
      </c>
      <c r="F5883" s="2">
        <f>DATE(2026,IF(Tabla1[[#This Row],[Mes de Fecha]]="Septiembre",9,10),Tabla1[[#This Row],[Día de Fecha]])</f>
        <v>46296</v>
      </c>
      <c r="G5883">
        <v>16919109</v>
      </c>
      <c r="H5883" t="s">
        <v>390</v>
      </c>
      <c r="I5883">
        <v>95</v>
      </c>
      <c r="J5883">
        <v>0</v>
      </c>
      <c r="K5883" s="1">
        <v>5735258</v>
      </c>
    </row>
    <row r="5884" spans="1:11" x14ac:dyDescent="0.25">
      <c r="A5884" t="s">
        <v>326</v>
      </c>
      <c r="B5884" t="s">
        <v>458</v>
      </c>
      <c r="C5884" t="s">
        <v>871</v>
      </c>
      <c r="D5884" t="s">
        <v>14</v>
      </c>
      <c r="E5884">
        <v>1</v>
      </c>
      <c r="F5884" s="2">
        <f>DATE(2026,IF(Tabla1[[#This Row],[Mes de Fecha]]="Septiembre",9,10),Tabla1[[#This Row],[Día de Fecha]])</f>
        <v>46296</v>
      </c>
      <c r="G5884">
        <v>1087185324</v>
      </c>
      <c r="H5884" t="s">
        <v>362</v>
      </c>
      <c r="I5884">
        <v>-1</v>
      </c>
      <c r="J5884">
        <v>0</v>
      </c>
      <c r="K5884" s="1">
        <v>-50378</v>
      </c>
    </row>
    <row r="5885" spans="1:11" x14ac:dyDescent="0.25">
      <c r="A5885" t="s">
        <v>326</v>
      </c>
      <c r="B5885" t="s">
        <v>458</v>
      </c>
      <c r="C5885" t="s">
        <v>871</v>
      </c>
      <c r="D5885" t="s">
        <v>14</v>
      </c>
      <c r="E5885">
        <v>1</v>
      </c>
      <c r="F5885" s="2">
        <f>DATE(2026,IF(Tabla1[[#This Row],[Mes de Fecha]]="Septiembre",9,10),Tabla1[[#This Row],[Día de Fecha]])</f>
        <v>46296</v>
      </c>
      <c r="G5885">
        <v>1107846391</v>
      </c>
      <c r="H5885" t="s">
        <v>393</v>
      </c>
      <c r="I5885">
        <v>36</v>
      </c>
      <c r="J5885">
        <v>0</v>
      </c>
      <c r="K5885" s="1">
        <v>2031934</v>
      </c>
    </row>
    <row r="5886" spans="1:11" x14ac:dyDescent="0.25">
      <c r="A5886" t="s">
        <v>326</v>
      </c>
      <c r="B5886" t="s">
        <v>458</v>
      </c>
      <c r="C5886" t="s">
        <v>871</v>
      </c>
      <c r="D5886" t="s">
        <v>14</v>
      </c>
      <c r="E5886">
        <v>1</v>
      </c>
      <c r="F5886" s="2">
        <f>DATE(2026,IF(Tabla1[[#This Row],[Mes de Fecha]]="Septiembre",9,10),Tabla1[[#This Row],[Día de Fecha]])</f>
        <v>46296</v>
      </c>
      <c r="G5886">
        <v>1111662486</v>
      </c>
      <c r="H5886" t="s">
        <v>334</v>
      </c>
      <c r="I5886">
        <v>121</v>
      </c>
      <c r="J5886">
        <v>0</v>
      </c>
      <c r="K5886" s="1">
        <v>7780512</v>
      </c>
    </row>
    <row r="5887" spans="1:11" x14ac:dyDescent="0.25">
      <c r="A5887" t="s">
        <v>326</v>
      </c>
      <c r="B5887" t="s">
        <v>458</v>
      </c>
      <c r="C5887" t="s">
        <v>871</v>
      </c>
      <c r="D5887" t="s">
        <v>14</v>
      </c>
      <c r="E5887">
        <v>1</v>
      </c>
      <c r="F5887" s="2">
        <f>DATE(2026,IF(Tabla1[[#This Row],[Mes de Fecha]]="Septiembre",9,10),Tabla1[[#This Row],[Día de Fecha]])</f>
        <v>46296</v>
      </c>
      <c r="G5887">
        <v>1111665228</v>
      </c>
      <c r="H5887" t="s">
        <v>342</v>
      </c>
      <c r="I5887">
        <v>-1</v>
      </c>
      <c r="J5887">
        <v>0</v>
      </c>
      <c r="K5887" s="1">
        <v>-33572</v>
      </c>
    </row>
    <row r="5888" spans="1:11" x14ac:dyDescent="0.25">
      <c r="A5888" t="s">
        <v>326</v>
      </c>
      <c r="B5888" t="s">
        <v>458</v>
      </c>
      <c r="C5888" t="s">
        <v>871</v>
      </c>
      <c r="D5888" t="s">
        <v>14</v>
      </c>
      <c r="E5888">
        <v>1</v>
      </c>
      <c r="F5888" s="2">
        <f>DATE(2026,IF(Tabla1[[#This Row],[Mes de Fecha]]="Septiembre",9,10),Tabla1[[#This Row],[Día de Fecha]])</f>
        <v>46296</v>
      </c>
      <c r="G5888">
        <v>1111784310</v>
      </c>
      <c r="H5888" t="s">
        <v>365</v>
      </c>
      <c r="I5888">
        <v>33</v>
      </c>
      <c r="J5888">
        <v>0</v>
      </c>
      <c r="K5888" s="1">
        <v>1927188</v>
      </c>
    </row>
    <row r="5889" spans="1:11" x14ac:dyDescent="0.25">
      <c r="A5889" t="s">
        <v>326</v>
      </c>
      <c r="B5889" t="s">
        <v>458</v>
      </c>
      <c r="C5889" t="s">
        <v>871</v>
      </c>
      <c r="D5889" t="s">
        <v>14</v>
      </c>
      <c r="E5889">
        <v>1</v>
      </c>
      <c r="F5889" s="2">
        <f>DATE(2026,IF(Tabla1[[#This Row],[Mes de Fecha]]="Septiembre",9,10),Tabla1[[#This Row],[Día de Fecha]])</f>
        <v>46296</v>
      </c>
      <c r="G5889">
        <v>1130621645</v>
      </c>
      <c r="H5889" t="s">
        <v>462</v>
      </c>
      <c r="I5889">
        <v>1</v>
      </c>
      <c r="J5889">
        <v>0</v>
      </c>
      <c r="K5889" s="1">
        <v>37773</v>
      </c>
    </row>
    <row r="5890" spans="1:11" x14ac:dyDescent="0.25">
      <c r="A5890" t="s">
        <v>326</v>
      </c>
      <c r="B5890" t="s">
        <v>458</v>
      </c>
      <c r="C5890" t="s">
        <v>871</v>
      </c>
      <c r="D5890" t="s">
        <v>14</v>
      </c>
      <c r="E5890">
        <v>1</v>
      </c>
      <c r="F5890" s="2">
        <f>DATE(2026,IF(Tabla1[[#This Row],[Mes de Fecha]]="Septiembre",9,10),Tabla1[[#This Row],[Día de Fecha]])</f>
        <v>46296</v>
      </c>
      <c r="G5890">
        <v>1143972684</v>
      </c>
      <c r="H5890" t="s">
        <v>461</v>
      </c>
      <c r="I5890">
        <v>42</v>
      </c>
      <c r="J5890">
        <v>0</v>
      </c>
      <c r="K5890" s="1">
        <v>2594876</v>
      </c>
    </row>
    <row r="5891" spans="1:11" x14ac:dyDescent="0.25">
      <c r="A5891" t="s">
        <v>326</v>
      </c>
      <c r="B5891" t="s">
        <v>458</v>
      </c>
      <c r="C5891" t="s">
        <v>871</v>
      </c>
      <c r="D5891" t="s">
        <v>14</v>
      </c>
      <c r="E5891">
        <v>1</v>
      </c>
      <c r="F5891" s="2">
        <f>DATE(2026,IF(Tabla1[[#This Row],[Mes de Fecha]]="Septiembre",9,10),Tabla1[[#This Row],[Día de Fecha]])</f>
        <v>46296</v>
      </c>
      <c r="G5891">
        <v>1193259913</v>
      </c>
      <c r="H5891" t="s">
        <v>354</v>
      </c>
      <c r="I5891">
        <v>65</v>
      </c>
      <c r="J5891">
        <v>0</v>
      </c>
      <c r="K5891" s="1">
        <v>3463492</v>
      </c>
    </row>
    <row r="5892" spans="1:11" x14ac:dyDescent="0.25">
      <c r="A5892" t="s">
        <v>326</v>
      </c>
      <c r="B5892" t="s">
        <v>458</v>
      </c>
      <c r="C5892" t="s">
        <v>871</v>
      </c>
      <c r="D5892" t="s">
        <v>14</v>
      </c>
      <c r="E5892">
        <v>1</v>
      </c>
      <c r="F5892" s="2">
        <f>DATE(2026,IF(Tabla1[[#This Row],[Mes de Fecha]]="Septiembre",9,10),Tabla1[[#This Row],[Día de Fecha]])</f>
        <v>46296</v>
      </c>
      <c r="G5892">
        <v>1193597754</v>
      </c>
      <c r="H5892" t="s">
        <v>339</v>
      </c>
      <c r="I5892">
        <v>40</v>
      </c>
      <c r="J5892">
        <v>0</v>
      </c>
      <c r="K5892" s="1">
        <v>2229161</v>
      </c>
    </row>
    <row r="5893" spans="1:11" x14ac:dyDescent="0.25">
      <c r="A5893" t="s">
        <v>326</v>
      </c>
      <c r="B5893" t="s">
        <v>458</v>
      </c>
      <c r="C5893" t="s">
        <v>871</v>
      </c>
      <c r="D5893" t="s">
        <v>14</v>
      </c>
      <c r="E5893">
        <v>2</v>
      </c>
      <c r="F5893" s="2">
        <f>DATE(2026,IF(Tabla1[[#This Row],[Mes de Fecha]]="Septiembre",9,10),Tabla1[[#This Row],[Día de Fecha]])</f>
        <v>46297</v>
      </c>
      <c r="I5893">
        <v>0</v>
      </c>
      <c r="J5893" s="1">
        <v>31203141</v>
      </c>
      <c r="K5893">
        <v>0</v>
      </c>
    </row>
    <row r="5894" spans="1:11" x14ac:dyDescent="0.25">
      <c r="A5894" t="s">
        <v>326</v>
      </c>
      <c r="B5894" t="s">
        <v>458</v>
      </c>
      <c r="C5894" t="s">
        <v>871</v>
      </c>
      <c r="D5894" t="s">
        <v>14</v>
      </c>
      <c r="E5894">
        <v>2</v>
      </c>
      <c r="F5894" s="2">
        <f>DATE(2026,IF(Tabla1[[#This Row],[Mes de Fecha]]="Septiembre",9,10),Tabla1[[#This Row],[Día de Fecha]])</f>
        <v>46297</v>
      </c>
      <c r="G5894">
        <v>16919109</v>
      </c>
      <c r="H5894" t="s">
        <v>390</v>
      </c>
      <c r="I5894">
        <v>106</v>
      </c>
      <c r="J5894">
        <v>0</v>
      </c>
      <c r="K5894" s="1">
        <v>6457530</v>
      </c>
    </row>
    <row r="5895" spans="1:11" x14ac:dyDescent="0.25">
      <c r="A5895" t="s">
        <v>326</v>
      </c>
      <c r="B5895" t="s">
        <v>458</v>
      </c>
      <c r="C5895" t="s">
        <v>871</v>
      </c>
      <c r="D5895" t="s">
        <v>14</v>
      </c>
      <c r="E5895">
        <v>2</v>
      </c>
      <c r="F5895" s="2">
        <f>DATE(2026,IF(Tabla1[[#This Row],[Mes de Fecha]]="Septiembre",9,10),Tabla1[[#This Row],[Día de Fecha]])</f>
        <v>46297</v>
      </c>
      <c r="G5895">
        <v>1061716853</v>
      </c>
      <c r="H5895" t="s">
        <v>333</v>
      </c>
      <c r="I5895">
        <v>-1</v>
      </c>
      <c r="J5895">
        <v>0</v>
      </c>
      <c r="K5895" s="1">
        <v>-62983</v>
      </c>
    </row>
    <row r="5896" spans="1:11" x14ac:dyDescent="0.25">
      <c r="A5896" t="s">
        <v>326</v>
      </c>
      <c r="B5896" t="s">
        <v>458</v>
      </c>
      <c r="C5896" t="s">
        <v>871</v>
      </c>
      <c r="D5896" t="s">
        <v>14</v>
      </c>
      <c r="E5896">
        <v>2</v>
      </c>
      <c r="F5896" s="2">
        <f>DATE(2026,IF(Tabla1[[#This Row],[Mes de Fecha]]="Septiembre",9,10),Tabla1[[#This Row],[Día de Fecha]])</f>
        <v>46297</v>
      </c>
      <c r="G5896">
        <v>1107840490</v>
      </c>
      <c r="H5896" t="s">
        <v>353</v>
      </c>
      <c r="I5896">
        <v>-1</v>
      </c>
      <c r="J5896">
        <v>0</v>
      </c>
      <c r="K5896" s="1">
        <v>-159580</v>
      </c>
    </row>
    <row r="5897" spans="1:11" x14ac:dyDescent="0.25">
      <c r="A5897" t="s">
        <v>326</v>
      </c>
      <c r="B5897" t="s">
        <v>458</v>
      </c>
      <c r="C5897" t="s">
        <v>871</v>
      </c>
      <c r="D5897" t="s">
        <v>14</v>
      </c>
      <c r="E5897">
        <v>2</v>
      </c>
      <c r="F5897" s="2">
        <f>DATE(2026,IF(Tabla1[[#This Row],[Mes de Fecha]]="Septiembre",9,10),Tabla1[[#This Row],[Día de Fecha]])</f>
        <v>46297</v>
      </c>
      <c r="G5897">
        <v>1107846391</v>
      </c>
      <c r="H5897" t="s">
        <v>393</v>
      </c>
      <c r="I5897">
        <v>49</v>
      </c>
      <c r="J5897">
        <v>0</v>
      </c>
      <c r="K5897" s="1">
        <v>2955841</v>
      </c>
    </row>
    <row r="5898" spans="1:11" x14ac:dyDescent="0.25">
      <c r="A5898" t="s">
        <v>326</v>
      </c>
      <c r="B5898" t="s">
        <v>458</v>
      </c>
      <c r="C5898" t="s">
        <v>871</v>
      </c>
      <c r="D5898" t="s">
        <v>14</v>
      </c>
      <c r="E5898">
        <v>2</v>
      </c>
      <c r="F5898" s="2">
        <f>DATE(2026,IF(Tabla1[[#This Row],[Mes de Fecha]]="Septiembre",9,10),Tabla1[[#This Row],[Día de Fecha]])</f>
        <v>46297</v>
      </c>
      <c r="G5898">
        <v>1111662486</v>
      </c>
      <c r="H5898" t="s">
        <v>334</v>
      </c>
      <c r="I5898">
        <v>142</v>
      </c>
      <c r="J5898">
        <v>0</v>
      </c>
      <c r="K5898" s="1">
        <v>8589524</v>
      </c>
    </row>
    <row r="5899" spans="1:11" x14ac:dyDescent="0.25">
      <c r="A5899" t="s">
        <v>326</v>
      </c>
      <c r="B5899" t="s">
        <v>458</v>
      </c>
      <c r="C5899" t="s">
        <v>871</v>
      </c>
      <c r="D5899" t="s">
        <v>14</v>
      </c>
      <c r="E5899">
        <v>2</v>
      </c>
      <c r="F5899" s="2">
        <f>DATE(2026,IF(Tabla1[[#This Row],[Mes de Fecha]]="Septiembre",9,10),Tabla1[[#This Row],[Día de Fecha]])</f>
        <v>46297</v>
      </c>
      <c r="G5899">
        <v>1118312125</v>
      </c>
      <c r="H5899" t="s">
        <v>397</v>
      </c>
      <c r="I5899">
        <v>-2</v>
      </c>
      <c r="J5899">
        <v>0</v>
      </c>
      <c r="K5899" s="1">
        <v>-113361</v>
      </c>
    </row>
    <row r="5900" spans="1:11" x14ac:dyDescent="0.25">
      <c r="A5900" t="s">
        <v>326</v>
      </c>
      <c r="B5900" t="s">
        <v>458</v>
      </c>
      <c r="C5900" t="s">
        <v>871</v>
      </c>
      <c r="D5900" t="s">
        <v>14</v>
      </c>
      <c r="E5900">
        <v>2</v>
      </c>
      <c r="F5900" s="2">
        <f>DATE(2026,IF(Tabla1[[#This Row],[Mes de Fecha]]="Septiembre",9,10),Tabla1[[#This Row],[Día de Fecha]])</f>
        <v>46297</v>
      </c>
      <c r="G5900">
        <v>1143972684</v>
      </c>
      <c r="H5900" t="s">
        <v>461</v>
      </c>
      <c r="I5900">
        <v>9</v>
      </c>
      <c r="J5900">
        <v>0</v>
      </c>
      <c r="K5900" s="1">
        <v>428193</v>
      </c>
    </row>
    <row r="5901" spans="1:11" x14ac:dyDescent="0.25">
      <c r="A5901" t="s">
        <v>326</v>
      </c>
      <c r="B5901" t="s">
        <v>458</v>
      </c>
      <c r="C5901" t="s">
        <v>871</v>
      </c>
      <c r="D5901" t="s">
        <v>14</v>
      </c>
      <c r="E5901">
        <v>2</v>
      </c>
      <c r="F5901" s="2">
        <f>DATE(2026,IF(Tabla1[[#This Row],[Mes de Fecha]]="Septiembre",9,10),Tabla1[[#This Row],[Día de Fecha]])</f>
        <v>46297</v>
      </c>
      <c r="G5901">
        <v>1193259913</v>
      </c>
      <c r="H5901" t="s">
        <v>354</v>
      </c>
      <c r="I5901">
        <v>69</v>
      </c>
      <c r="J5901">
        <v>0</v>
      </c>
      <c r="K5901" s="1">
        <v>3923450</v>
      </c>
    </row>
    <row r="5902" spans="1:11" x14ac:dyDescent="0.25">
      <c r="A5902" t="s">
        <v>326</v>
      </c>
      <c r="B5902" t="s">
        <v>458</v>
      </c>
      <c r="C5902" t="s">
        <v>871</v>
      </c>
      <c r="D5902" t="s">
        <v>14</v>
      </c>
      <c r="E5902">
        <v>2</v>
      </c>
      <c r="F5902" s="2">
        <f>DATE(2026,IF(Tabla1[[#This Row],[Mes de Fecha]]="Septiembre",9,10),Tabla1[[#This Row],[Día de Fecha]])</f>
        <v>46297</v>
      </c>
      <c r="G5902">
        <v>1193597754</v>
      </c>
      <c r="H5902" t="s">
        <v>339</v>
      </c>
      <c r="I5902">
        <v>28</v>
      </c>
      <c r="J5902">
        <v>0</v>
      </c>
      <c r="K5902" s="1">
        <v>1591177</v>
      </c>
    </row>
    <row r="5903" spans="1:11" x14ac:dyDescent="0.25">
      <c r="A5903" t="s">
        <v>326</v>
      </c>
      <c r="B5903" t="s">
        <v>458</v>
      </c>
      <c r="C5903" t="s">
        <v>871</v>
      </c>
      <c r="D5903" t="s">
        <v>14</v>
      </c>
      <c r="E5903">
        <v>3</v>
      </c>
      <c r="F5903" s="2">
        <f>DATE(2026,IF(Tabla1[[#This Row],[Mes de Fecha]]="Septiembre",9,10),Tabla1[[#This Row],[Día de Fecha]])</f>
        <v>46298</v>
      </c>
      <c r="I5903">
        <v>0</v>
      </c>
      <c r="J5903" s="1">
        <v>59181712</v>
      </c>
      <c r="K5903">
        <v>0</v>
      </c>
    </row>
    <row r="5904" spans="1:11" x14ac:dyDescent="0.25">
      <c r="A5904" t="s">
        <v>326</v>
      </c>
      <c r="B5904" t="s">
        <v>458</v>
      </c>
      <c r="C5904" t="s">
        <v>871</v>
      </c>
      <c r="D5904" t="s">
        <v>14</v>
      </c>
      <c r="E5904">
        <v>3</v>
      </c>
      <c r="F5904" s="2">
        <f>DATE(2026,IF(Tabla1[[#This Row],[Mes de Fecha]]="Septiembre",9,10),Tabla1[[#This Row],[Día de Fecha]])</f>
        <v>46298</v>
      </c>
      <c r="G5904">
        <v>16919109</v>
      </c>
      <c r="H5904" t="s">
        <v>390</v>
      </c>
      <c r="I5904">
        <v>276</v>
      </c>
      <c r="J5904">
        <v>0</v>
      </c>
      <c r="K5904" s="1">
        <v>15376082</v>
      </c>
    </row>
    <row r="5905" spans="1:11" x14ac:dyDescent="0.25">
      <c r="A5905" t="s">
        <v>326</v>
      </c>
      <c r="B5905" t="s">
        <v>458</v>
      </c>
      <c r="C5905" t="s">
        <v>871</v>
      </c>
      <c r="D5905" t="s">
        <v>14</v>
      </c>
      <c r="E5905">
        <v>3</v>
      </c>
      <c r="F5905" s="2">
        <f>DATE(2026,IF(Tabla1[[#This Row],[Mes de Fecha]]="Septiembre",9,10),Tabla1[[#This Row],[Día de Fecha]])</f>
        <v>46298</v>
      </c>
      <c r="G5905">
        <v>1107846391</v>
      </c>
      <c r="H5905" t="s">
        <v>393</v>
      </c>
      <c r="I5905">
        <v>105</v>
      </c>
      <c r="J5905">
        <v>0</v>
      </c>
      <c r="K5905" s="1">
        <v>4662619</v>
      </c>
    </row>
    <row r="5906" spans="1:11" x14ac:dyDescent="0.25">
      <c r="A5906" t="s">
        <v>326</v>
      </c>
      <c r="B5906" t="s">
        <v>458</v>
      </c>
      <c r="C5906" t="s">
        <v>871</v>
      </c>
      <c r="D5906" t="s">
        <v>14</v>
      </c>
      <c r="E5906">
        <v>3</v>
      </c>
      <c r="F5906" s="2">
        <f>DATE(2026,IF(Tabla1[[#This Row],[Mes de Fecha]]="Septiembre",9,10),Tabla1[[#This Row],[Día de Fecha]])</f>
        <v>46298</v>
      </c>
      <c r="G5906">
        <v>1111662486</v>
      </c>
      <c r="H5906" t="s">
        <v>334</v>
      </c>
      <c r="I5906">
        <v>267</v>
      </c>
      <c r="J5906">
        <v>0</v>
      </c>
      <c r="K5906" s="1">
        <v>14298609</v>
      </c>
    </row>
    <row r="5907" spans="1:11" x14ac:dyDescent="0.25">
      <c r="A5907" t="s">
        <v>326</v>
      </c>
      <c r="B5907" t="s">
        <v>458</v>
      </c>
      <c r="C5907" t="s">
        <v>871</v>
      </c>
      <c r="D5907" t="s">
        <v>14</v>
      </c>
      <c r="E5907">
        <v>3</v>
      </c>
      <c r="F5907" s="2">
        <f>DATE(2026,IF(Tabla1[[#This Row],[Mes de Fecha]]="Septiembre",9,10),Tabla1[[#This Row],[Día de Fecha]])</f>
        <v>46298</v>
      </c>
      <c r="G5907">
        <v>1143851967</v>
      </c>
      <c r="H5907" t="s">
        <v>359</v>
      </c>
      <c r="I5907">
        <v>-2</v>
      </c>
      <c r="J5907">
        <v>0</v>
      </c>
      <c r="K5907" s="1">
        <v>-176303</v>
      </c>
    </row>
    <row r="5908" spans="1:11" x14ac:dyDescent="0.25">
      <c r="A5908" t="s">
        <v>326</v>
      </c>
      <c r="B5908" t="s">
        <v>458</v>
      </c>
      <c r="C5908" t="s">
        <v>871</v>
      </c>
      <c r="D5908" t="s">
        <v>14</v>
      </c>
      <c r="E5908">
        <v>3</v>
      </c>
      <c r="F5908" s="2">
        <f>DATE(2026,IF(Tabla1[[#This Row],[Mes de Fecha]]="Septiembre",9,10),Tabla1[[#This Row],[Día de Fecha]])</f>
        <v>46298</v>
      </c>
      <c r="G5908">
        <v>1193259913</v>
      </c>
      <c r="H5908" t="s">
        <v>354</v>
      </c>
      <c r="I5908">
        <v>184</v>
      </c>
      <c r="J5908">
        <v>0</v>
      </c>
      <c r="K5908" s="1">
        <v>9521908</v>
      </c>
    </row>
    <row r="5909" spans="1:11" x14ac:dyDescent="0.25">
      <c r="A5909" t="s">
        <v>326</v>
      </c>
      <c r="B5909" t="s">
        <v>458</v>
      </c>
      <c r="C5909" t="s">
        <v>871</v>
      </c>
      <c r="D5909" t="s">
        <v>14</v>
      </c>
      <c r="E5909">
        <v>3</v>
      </c>
      <c r="F5909" s="2">
        <f>DATE(2026,IF(Tabla1[[#This Row],[Mes de Fecha]]="Septiembre",9,10),Tabla1[[#This Row],[Día de Fecha]])</f>
        <v>46298</v>
      </c>
      <c r="G5909">
        <v>1193597754</v>
      </c>
      <c r="H5909" t="s">
        <v>339</v>
      </c>
      <c r="I5909">
        <v>76</v>
      </c>
      <c r="J5909">
        <v>0</v>
      </c>
      <c r="K5909" s="1">
        <v>3758489</v>
      </c>
    </row>
    <row r="5910" spans="1:11" x14ac:dyDescent="0.25">
      <c r="A5910" t="s">
        <v>326</v>
      </c>
      <c r="B5910" t="s">
        <v>458</v>
      </c>
      <c r="C5910" t="s">
        <v>871</v>
      </c>
      <c r="D5910" t="s">
        <v>14</v>
      </c>
      <c r="E5910">
        <v>4</v>
      </c>
      <c r="F5910" s="2">
        <f>DATE(2026,IF(Tabla1[[#This Row],[Mes de Fecha]]="Septiembre",9,10),Tabla1[[#This Row],[Día de Fecha]])</f>
        <v>46299</v>
      </c>
      <c r="I5910">
        <v>0</v>
      </c>
      <c r="J5910" s="1">
        <v>22154597</v>
      </c>
      <c r="K5910">
        <v>0</v>
      </c>
    </row>
    <row r="5911" spans="1:11" x14ac:dyDescent="0.25">
      <c r="A5911" t="s">
        <v>326</v>
      </c>
      <c r="B5911" t="s">
        <v>458</v>
      </c>
      <c r="C5911" t="s">
        <v>871</v>
      </c>
      <c r="D5911" t="s">
        <v>14</v>
      </c>
      <c r="E5911">
        <v>4</v>
      </c>
      <c r="F5911" s="2">
        <f>DATE(2026,IF(Tabla1[[#This Row],[Mes de Fecha]]="Septiembre",9,10),Tabla1[[#This Row],[Día de Fecha]])</f>
        <v>46299</v>
      </c>
      <c r="G5911">
        <v>16919109</v>
      </c>
      <c r="H5911" t="s">
        <v>390</v>
      </c>
      <c r="I5911">
        <v>127</v>
      </c>
      <c r="J5911">
        <v>0</v>
      </c>
      <c r="K5911" s="1">
        <v>7262778</v>
      </c>
    </row>
    <row r="5912" spans="1:11" x14ac:dyDescent="0.25">
      <c r="A5912" t="s">
        <v>326</v>
      </c>
      <c r="B5912" t="s">
        <v>458</v>
      </c>
      <c r="C5912" t="s">
        <v>871</v>
      </c>
      <c r="D5912" t="s">
        <v>14</v>
      </c>
      <c r="E5912">
        <v>4</v>
      </c>
      <c r="F5912" s="2">
        <f>DATE(2026,IF(Tabla1[[#This Row],[Mes de Fecha]]="Septiembre",9,10),Tabla1[[#This Row],[Día de Fecha]])</f>
        <v>46299</v>
      </c>
      <c r="G5912">
        <v>1107846391</v>
      </c>
      <c r="H5912" t="s">
        <v>393</v>
      </c>
      <c r="I5912">
        <v>22</v>
      </c>
      <c r="J5912">
        <v>0</v>
      </c>
      <c r="K5912" s="1">
        <v>1541094</v>
      </c>
    </row>
    <row r="5913" spans="1:11" x14ac:dyDescent="0.25">
      <c r="A5913" t="s">
        <v>326</v>
      </c>
      <c r="B5913" t="s">
        <v>458</v>
      </c>
      <c r="C5913" t="s">
        <v>871</v>
      </c>
      <c r="D5913" t="s">
        <v>14</v>
      </c>
      <c r="E5913">
        <v>4</v>
      </c>
      <c r="F5913" s="2">
        <f>DATE(2026,IF(Tabla1[[#This Row],[Mes de Fecha]]="Septiembre",9,10),Tabla1[[#This Row],[Día de Fecha]])</f>
        <v>46299</v>
      </c>
      <c r="G5913">
        <v>1143972684</v>
      </c>
      <c r="H5913" t="s">
        <v>461</v>
      </c>
      <c r="I5913">
        <v>32</v>
      </c>
      <c r="J5913">
        <v>0</v>
      </c>
      <c r="K5913" s="1">
        <v>1897730</v>
      </c>
    </row>
    <row r="5914" spans="1:11" x14ac:dyDescent="0.25">
      <c r="A5914" t="s">
        <v>326</v>
      </c>
      <c r="B5914" t="s">
        <v>458</v>
      </c>
      <c r="C5914" t="s">
        <v>871</v>
      </c>
      <c r="D5914" t="s">
        <v>14</v>
      </c>
      <c r="E5914">
        <v>4</v>
      </c>
      <c r="F5914" s="2">
        <f>DATE(2026,IF(Tabla1[[#This Row],[Mes de Fecha]]="Septiembre",9,10),Tabla1[[#This Row],[Día de Fecha]])</f>
        <v>46299</v>
      </c>
      <c r="G5914">
        <v>1193259913</v>
      </c>
      <c r="H5914" t="s">
        <v>354</v>
      </c>
      <c r="I5914">
        <v>79</v>
      </c>
      <c r="J5914">
        <v>0</v>
      </c>
      <c r="K5914" s="1">
        <v>5132720</v>
      </c>
    </row>
    <row r="5915" spans="1:11" x14ac:dyDescent="0.25">
      <c r="A5915" t="s">
        <v>326</v>
      </c>
      <c r="B5915" t="s">
        <v>458</v>
      </c>
      <c r="C5915" t="s">
        <v>871</v>
      </c>
      <c r="D5915" t="s">
        <v>14</v>
      </c>
      <c r="E5915">
        <v>5</v>
      </c>
      <c r="F5915" s="2">
        <f>DATE(2026,IF(Tabla1[[#This Row],[Mes de Fecha]]="Septiembre",9,10),Tabla1[[#This Row],[Día de Fecha]])</f>
        <v>46300</v>
      </c>
      <c r="I5915">
        <v>0</v>
      </c>
      <c r="J5915" s="1">
        <v>37003369</v>
      </c>
      <c r="K5915">
        <v>0</v>
      </c>
    </row>
    <row r="5916" spans="1:11" x14ac:dyDescent="0.25">
      <c r="A5916" t="s">
        <v>326</v>
      </c>
      <c r="B5916" t="s">
        <v>458</v>
      </c>
      <c r="C5916" t="s">
        <v>871</v>
      </c>
      <c r="D5916" t="s">
        <v>14</v>
      </c>
      <c r="E5916">
        <v>5</v>
      </c>
      <c r="F5916" s="2">
        <f>DATE(2026,IF(Tabla1[[#This Row],[Mes de Fecha]]="Septiembre",9,10),Tabla1[[#This Row],[Día de Fecha]])</f>
        <v>46300</v>
      </c>
      <c r="G5916">
        <v>16919109</v>
      </c>
      <c r="H5916" t="s">
        <v>390</v>
      </c>
      <c r="I5916">
        <v>3</v>
      </c>
      <c r="J5916">
        <v>0</v>
      </c>
      <c r="K5916" s="1">
        <v>272135</v>
      </c>
    </row>
    <row r="5917" spans="1:11" x14ac:dyDescent="0.25">
      <c r="A5917" t="s">
        <v>326</v>
      </c>
      <c r="B5917" t="s">
        <v>458</v>
      </c>
      <c r="C5917" t="s">
        <v>871</v>
      </c>
      <c r="D5917" t="s">
        <v>14</v>
      </c>
      <c r="E5917">
        <v>5</v>
      </c>
      <c r="F5917" s="2">
        <f>DATE(2026,IF(Tabla1[[#This Row],[Mes de Fecha]]="Septiembre",9,10),Tabla1[[#This Row],[Día de Fecha]])</f>
        <v>46300</v>
      </c>
      <c r="G5917">
        <v>1001132922</v>
      </c>
      <c r="H5917" t="s">
        <v>357</v>
      </c>
      <c r="I5917">
        <v>-1</v>
      </c>
      <c r="J5917">
        <v>0</v>
      </c>
      <c r="K5917" s="1">
        <v>-71386</v>
      </c>
    </row>
    <row r="5918" spans="1:11" x14ac:dyDescent="0.25">
      <c r="A5918" t="s">
        <v>326</v>
      </c>
      <c r="B5918" t="s">
        <v>458</v>
      </c>
      <c r="C5918" t="s">
        <v>871</v>
      </c>
      <c r="D5918" t="s">
        <v>14</v>
      </c>
      <c r="E5918">
        <v>5</v>
      </c>
      <c r="F5918" s="2">
        <f>DATE(2026,IF(Tabla1[[#This Row],[Mes de Fecha]]="Septiembre",9,10),Tabla1[[#This Row],[Día de Fecha]])</f>
        <v>46300</v>
      </c>
      <c r="G5918">
        <v>1007132542</v>
      </c>
      <c r="H5918" t="s">
        <v>386</v>
      </c>
      <c r="I5918">
        <v>-1</v>
      </c>
      <c r="J5918">
        <v>0</v>
      </c>
      <c r="K5918" s="1">
        <v>-105000</v>
      </c>
    </row>
    <row r="5919" spans="1:11" x14ac:dyDescent="0.25">
      <c r="A5919" t="s">
        <v>326</v>
      </c>
      <c r="B5919" t="s">
        <v>458</v>
      </c>
      <c r="C5919" t="s">
        <v>871</v>
      </c>
      <c r="D5919" t="s">
        <v>14</v>
      </c>
      <c r="E5919">
        <v>5</v>
      </c>
      <c r="F5919" s="2">
        <f>DATE(2026,IF(Tabla1[[#This Row],[Mes de Fecha]]="Septiembre",9,10),Tabla1[[#This Row],[Día de Fecha]])</f>
        <v>46300</v>
      </c>
      <c r="G5919">
        <v>1044101083</v>
      </c>
      <c r="H5919" t="s">
        <v>360</v>
      </c>
      <c r="I5919">
        <v>-1</v>
      </c>
      <c r="J5919">
        <v>0</v>
      </c>
      <c r="K5919" s="1">
        <v>-54580</v>
      </c>
    </row>
    <row r="5920" spans="1:11" x14ac:dyDescent="0.25">
      <c r="A5920" t="s">
        <v>326</v>
      </c>
      <c r="B5920" t="s">
        <v>458</v>
      </c>
      <c r="C5920" t="s">
        <v>871</v>
      </c>
      <c r="D5920" t="s">
        <v>14</v>
      </c>
      <c r="E5920">
        <v>5</v>
      </c>
      <c r="F5920" s="2">
        <f>DATE(2026,IF(Tabla1[[#This Row],[Mes de Fecha]]="Septiembre",9,10),Tabla1[[#This Row],[Día de Fecha]])</f>
        <v>46300</v>
      </c>
      <c r="G5920">
        <v>1087805009</v>
      </c>
      <c r="H5920" t="s">
        <v>376</v>
      </c>
      <c r="I5920">
        <v>-1</v>
      </c>
      <c r="J5920">
        <v>0</v>
      </c>
      <c r="K5920" s="1">
        <v>-67185</v>
      </c>
    </row>
    <row r="5921" spans="1:11" x14ac:dyDescent="0.25">
      <c r="A5921" t="s">
        <v>326</v>
      </c>
      <c r="B5921" t="s">
        <v>458</v>
      </c>
      <c r="C5921" t="s">
        <v>871</v>
      </c>
      <c r="D5921" t="s">
        <v>14</v>
      </c>
      <c r="E5921">
        <v>5</v>
      </c>
      <c r="F5921" s="2">
        <f>DATE(2026,IF(Tabla1[[#This Row],[Mes de Fecha]]="Septiembre",9,10),Tabla1[[#This Row],[Día de Fecha]])</f>
        <v>46300</v>
      </c>
      <c r="G5921">
        <v>1107846391</v>
      </c>
      <c r="H5921" t="s">
        <v>393</v>
      </c>
      <c r="I5921">
        <v>16</v>
      </c>
      <c r="J5921">
        <v>0</v>
      </c>
      <c r="K5921" s="1">
        <v>986640</v>
      </c>
    </row>
    <row r="5922" spans="1:11" x14ac:dyDescent="0.25">
      <c r="A5922" t="s">
        <v>326</v>
      </c>
      <c r="B5922" t="s">
        <v>458</v>
      </c>
      <c r="C5922" t="s">
        <v>871</v>
      </c>
      <c r="D5922" t="s">
        <v>14</v>
      </c>
      <c r="E5922">
        <v>5</v>
      </c>
      <c r="F5922" s="2">
        <f>DATE(2026,IF(Tabla1[[#This Row],[Mes de Fecha]]="Septiembre",9,10),Tabla1[[#This Row],[Día de Fecha]])</f>
        <v>46300</v>
      </c>
      <c r="G5922">
        <v>1111662486</v>
      </c>
      <c r="H5922" t="s">
        <v>334</v>
      </c>
      <c r="I5922">
        <v>188</v>
      </c>
      <c r="J5922">
        <v>0</v>
      </c>
      <c r="K5922" s="1">
        <v>10965291</v>
      </c>
    </row>
    <row r="5923" spans="1:11" x14ac:dyDescent="0.25">
      <c r="A5923" t="s">
        <v>326</v>
      </c>
      <c r="B5923" t="s">
        <v>458</v>
      </c>
      <c r="C5923" t="s">
        <v>871</v>
      </c>
      <c r="D5923" t="s">
        <v>14</v>
      </c>
      <c r="E5923">
        <v>5</v>
      </c>
      <c r="F5923" s="2">
        <f>DATE(2026,IF(Tabla1[[#This Row],[Mes de Fecha]]="Septiembre",9,10),Tabla1[[#This Row],[Día de Fecha]])</f>
        <v>46300</v>
      </c>
      <c r="G5923">
        <v>1143972684</v>
      </c>
      <c r="H5923" t="s">
        <v>461</v>
      </c>
      <c r="I5923">
        <v>53</v>
      </c>
      <c r="J5923">
        <v>0</v>
      </c>
      <c r="K5923" s="1">
        <v>3401098</v>
      </c>
    </row>
    <row r="5924" spans="1:11" x14ac:dyDescent="0.25">
      <c r="A5924" t="s">
        <v>326</v>
      </c>
      <c r="B5924" t="s">
        <v>458</v>
      </c>
      <c r="C5924" t="s">
        <v>871</v>
      </c>
      <c r="D5924" t="s">
        <v>14</v>
      </c>
      <c r="E5924">
        <v>5</v>
      </c>
      <c r="F5924" s="2">
        <f>DATE(2026,IF(Tabla1[[#This Row],[Mes de Fecha]]="Septiembre",9,10),Tabla1[[#This Row],[Día de Fecha]])</f>
        <v>46300</v>
      </c>
      <c r="G5924">
        <v>1193259913</v>
      </c>
      <c r="H5924" t="s">
        <v>354</v>
      </c>
      <c r="I5924">
        <v>128</v>
      </c>
      <c r="J5924">
        <v>0</v>
      </c>
      <c r="K5924" s="1">
        <v>7687782</v>
      </c>
    </row>
    <row r="5925" spans="1:11" x14ac:dyDescent="0.25">
      <c r="A5925" t="s">
        <v>326</v>
      </c>
      <c r="B5925" t="s">
        <v>458</v>
      </c>
      <c r="C5925" t="s">
        <v>871</v>
      </c>
      <c r="D5925" t="s">
        <v>14</v>
      </c>
      <c r="E5925">
        <v>5</v>
      </c>
      <c r="F5925" s="2">
        <f>DATE(2026,IF(Tabla1[[#This Row],[Mes de Fecha]]="Septiembre",9,10),Tabla1[[#This Row],[Día de Fecha]])</f>
        <v>46300</v>
      </c>
      <c r="G5925">
        <v>1193597754</v>
      </c>
      <c r="H5925" t="s">
        <v>339</v>
      </c>
      <c r="I5925">
        <v>35</v>
      </c>
      <c r="J5925">
        <v>0</v>
      </c>
      <c r="K5925" s="1">
        <v>1956516</v>
      </c>
    </row>
    <row r="5926" spans="1:11" x14ac:dyDescent="0.25">
      <c r="A5926" t="s">
        <v>326</v>
      </c>
      <c r="B5926" t="s">
        <v>458</v>
      </c>
      <c r="C5926" t="s">
        <v>871</v>
      </c>
      <c r="D5926" t="s">
        <v>14</v>
      </c>
      <c r="E5926">
        <v>6</v>
      </c>
      <c r="F5926" s="2">
        <f>DATE(2026,IF(Tabla1[[#This Row],[Mes de Fecha]]="Septiembre",9,10),Tabla1[[#This Row],[Día de Fecha]])</f>
        <v>46301</v>
      </c>
      <c r="I5926">
        <v>0</v>
      </c>
      <c r="J5926" s="1">
        <v>21136971</v>
      </c>
      <c r="K5926">
        <v>0</v>
      </c>
    </row>
    <row r="5927" spans="1:11" x14ac:dyDescent="0.25">
      <c r="A5927" t="s">
        <v>326</v>
      </c>
      <c r="B5927" t="s">
        <v>458</v>
      </c>
      <c r="C5927" t="s">
        <v>871</v>
      </c>
      <c r="D5927" t="s">
        <v>14</v>
      </c>
      <c r="E5927">
        <v>6</v>
      </c>
      <c r="F5927" s="2">
        <f>DATE(2026,IF(Tabla1[[#This Row],[Mes de Fecha]]="Septiembre",9,10),Tabla1[[#This Row],[Día de Fecha]])</f>
        <v>46301</v>
      </c>
      <c r="G5927">
        <v>16919109</v>
      </c>
      <c r="H5927" t="s">
        <v>390</v>
      </c>
      <c r="I5927">
        <v>87</v>
      </c>
      <c r="J5927">
        <v>0</v>
      </c>
      <c r="K5927" s="1">
        <v>5601140</v>
      </c>
    </row>
    <row r="5928" spans="1:11" x14ac:dyDescent="0.25">
      <c r="A5928" t="s">
        <v>326</v>
      </c>
      <c r="B5928" t="s">
        <v>458</v>
      </c>
      <c r="C5928" t="s">
        <v>871</v>
      </c>
      <c r="D5928" t="s">
        <v>14</v>
      </c>
      <c r="E5928">
        <v>6</v>
      </c>
      <c r="F5928" s="2">
        <f>DATE(2026,IF(Tabla1[[#This Row],[Mes de Fecha]]="Septiembre",9,10),Tabla1[[#This Row],[Día de Fecha]])</f>
        <v>46301</v>
      </c>
      <c r="G5928">
        <v>1107530246</v>
      </c>
      <c r="H5928" t="s">
        <v>361</v>
      </c>
      <c r="I5928">
        <v>-1</v>
      </c>
      <c r="J5928">
        <v>0</v>
      </c>
      <c r="K5928" s="1">
        <v>-37773</v>
      </c>
    </row>
    <row r="5929" spans="1:11" x14ac:dyDescent="0.25">
      <c r="A5929" t="s">
        <v>326</v>
      </c>
      <c r="B5929" t="s">
        <v>458</v>
      </c>
      <c r="C5929" t="s">
        <v>871</v>
      </c>
      <c r="D5929" t="s">
        <v>14</v>
      </c>
      <c r="E5929">
        <v>6</v>
      </c>
      <c r="F5929" s="2">
        <f>DATE(2026,IF(Tabla1[[#This Row],[Mes de Fecha]]="Septiembre",9,10),Tabla1[[#This Row],[Día de Fecha]])</f>
        <v>46301</v>
      </c>
      <c r="G5929">
        <v>1107846391</v>
      </c>
      <c r="H5929" t="s">
        <v>393</v>
      </c>
      <c r="I5929">
        <v>19</v>
      </c>
      <c r="J5929">
        <v>0</v>
      </c>
      <c r="K5929" s="1">
        <v>1288992</v>
      </c>
    </row>
    <row r="5930" spans="1:11" x14ac:dyDescent="0.25">
      <c r="A5930" t="s">
        <v>326</v>
      </c>
      <c r="B5930" t="s">
        <v>458</v>
      </c>
      <c r="C5930" t="s">
        <v>871</v>
      </c>
      <c r="D5930" t="s">
        <v>14</v>
      </c>
      <c r="E5930">
        <v>6</v>
      </c>
      <c r="F5930" s="2">
        <f>DATE(2026,IF(Tabla1[[#This Row],[Mes de Fecha]]="Septiembre",9,10),Tabla1[[#This Row],[Día de Fecha]])</f>
        <v>46301</v>
      </c>
      <c r="G5930">
        <v>1111662486</v>
      </c>
      <c r="H5930" t="s">
        <v>334</v>
      </c>
      <c r="I5930">
        <v>7</v>
      </c>
      <c r="J5930">
        <v>0</v>
      </c>
      <c r="K5930" s="1">
        <v>438782</v>
      </c>
    </row>
    <row r="5931" spans="1:11" x14ac:dyDescent="0.25">
      <c r="A5931" t="s">
        <v>326</v>
      </c>
      <c r="B5931" t="s">
        <v>458</v>
      </c>
      <c r="C5931" t="s">
        <v>871</v>
      </c>
      <c r="D5931" t="s">
        <v>14</v>
      </c>
      <c r="E5931">
        <v>6</v>
      </c>
      <c r="F5931" s="2">
        <f>DATE(2026,IF(Tabla1[[#This Row],[Mes de Fecha]]="Septiembre",9,10),Tabla1[[#This Row],[Día de Fecha]])</f>
        <v>46301</v>
      </c>
      <c r="G5931">
        <v>1144190117</v>
      </c>
      <c r="H5931" t="s">
        <v>396</v>
      </c>
      <c r="I5931">
        <v>-1</v>
      </c>
      <c r="J5931">
        <v>0</v>
      </c>
      <c r="K5931" s="1">
        <v>-54580</v>
      </c>
    </row>
    <row r="5932" spans="1:11" x14ac:dyDescent="0.25">
      <c r="A5932" t="s">
        <v>326</v>
      </c>
      <c r="B5932" t="s">
        <v>458</v>
      </c>
      <c r="C5932" t="s">
        <v>871</v>
      </c>
      <c r="D5932" t="s">
        <v>14</v>
      </c>
      <c r="E5932">
        <v>6</v>
      </c>
      <c r="F5932" s="2">
        <f>DATE(2026,IF(Tabla1[[#This Row],[Mes de Fecha]]="Septiembre",9,10),Tabla1[[#This Row],[Día de Fecha]])</f>
        <v>46301</v>
      </c>
      <c r="G5932">
        <v>1193259913</v>
      </c>
      <c r="H5932" t="s">
        <v>354</v>
      </c>
      <c r="I5932">
        <v>77</v>
      </c>
      <c r="J5932">
        <v>0</v>
      </c>
      <c r="K5932" s="1">
        <v>4462903</v>
      </c>
    </row>
    <row r="5933" spans="1:11" x14ac:dyDescent="0.25">
      <c r="A5933" t="s">
        <v>326</v>
      </c>
      <c r="B5933" t="s">
        <v>458</v>
      </c>
      <c r="C5933" t="s">
        <v>871</v>
      </c>
      <c r="D5933" t="s">
        <v>14</v>
      </c>
      <c r="E5933">
        <v>6</v>
      </c>
      <c r="F5933" s="2">
        <f>DATE(2026,IF(Tabla1[[#This Row],[Mes de Fecha]]="Septiembre",9,10),Tabla1[[#This Row],[Día de Fecha]])</f>
        <v>46301</v>
      </c>
      <c r="G5933">
        <v>1193597754</v>
      </c>
      <c r="H5933" t="s">
        <v>339</v>
      </c>
      <c r="I5933">
        <v>19</v>
      </c>
      <c r="J5933">
        <v>0</v>
      </c>
      <c r="K5933" s="1">
        <v>982355</v>
      </c>
    </row>
    <row r="5934" spans="1:11" x14ac:dyDescent="0.25">
      <c r="A5934" t="s">
        <v>326</v>
      </c>
      <c r="B5934" t="s">
        <v>458</v>
      </c>
      <c r="C5934" t="s">
        <v>871</v>
      </c>
      <c r="D5934" t="s">
        <v>14</v>
      </c>
      <c r="E5934">
        <v>7</v>
      </c>
      <c r="F5934" s="2">
        <f>DATE(2026,IF(Tabla1[[#This Row],[Mes de Fecha]]="Septiembre",9,10),Tabla1[[#This Row],[Día de Fecha]])</f>
        <v>46302</v>
      </c>
      <c r="I5934">
        <v>0</v>
      </c>
      <c r="J5934" s="1">
        <v>20858848</v>
      </c>
      <c r="K5934">
        <v>0</v>
      </c>
    </row>
    <row r="5935" spans="1:11" x14ac:dyDescent="0.25">
      <c r="A5935" t="s">
        <v>326</v>
      </c>
      <c r="B5935" t="s">
        <v>458</v>
      </c>
      <c r="C5935" t="s">
        <v>871</v>
      </c>
      <c r="D5935" t="s">
        <v>14</v>
      </c>
      <c r="E5935">
        <v>7</v>
      </c>
      <c r="F5935" s="2">
        <f>DATE(2026,IF(Tabla1[[#This Row],[Mes de Fecha]]="Septiembre",9,10),Tabla1[[#This Row],[Día de Fecha]])</f>
        <v>46302</v>
      </c>
      <c r="G5935">
        <v>16919109</v>
      </c>
      <c r="H5935" t="s">
        <v>390</v>
      </c>
      <c r="I5935">
        <v>109</v>
      </c>
      <c r="J5935">
        <v>0</v>
      </c>
      <c r="K5935" s="1">
        <v>7096142</v>
      </c>
    </row>
    <row r="5936" spans="1:11" x14ac:dyDescent="0.25">
      <c r="A5936" t="s">
        <v>326</v>
      </c>
      <c r="B5936" t="s">
        <v>458</v>
      </c>
      <c r="C5936" t="s">
        <v>871</v>
      </c>
      <c r="D5936" t="s">
        <v>14</v>
      </c>
      <c r="E5936">
        <v>7</v>
      </c>
      <c r="F5936" s="2">
        <f>DATE(2026,IF(Tabla1[[#This Row],[Mes de Fecha]]="Septiembre",9,10),Tabla1[[#This Row],[Día de Fecha]])</f>
        <v>46302</v>
      </c>
      <c r="G5936">
        <v>1038822751</v>
      </c>
      <c r="H5936" t="s">
        <v>370</v>
      </c>
      <c r="I5936">
        <v>-1</v>
      </c>
      <c r="J5936">
        <v>0</v>
      </c>
      <c r="K5936" s="1">
        <v>-75588</v>
      </c>
    </row>
    <row r="5937" spans="1:11" x14ac:dyDescent="0.25">
      <c r="A5937" t="s">
        <v>326</v>
      </c>
      <c r="B5937" t="s">
        <v>458</v>
      </c>
      <c r="C5937" t="s">
        <v>871</v>
      </c>
      <c r="D5937" t="s">
        <v>14</v>
      </c>
      <c r="E5937">
        <v>7</v>
      </c>
      <c r="F5937" s="2">
        <f>DATE(2026,IF(Tabla1[[#This Row],[Mes de Fecha]]="Septiembre",9,10),Tabla1[[#This Row],[Día de Fecha]])</f>
        <v>46302</v>
      </c>
      <c r="G5937">
        <v>1111662486</v>
      </c>
      <c r="H5937" t="s">
        <v>334</v>
      </c>
      <c r="I5937">
        <v>182</v>
      </c>
      <c r="J5937">
        <v>0</v>
      </c>
      <c r="K5937" s="1">
        <v>9874568</v>
      </c>
    </row>
    <row r="5938" spans="1:11" x14ac:dyDescent="0.25">
      <c r="A5938" t="s">
        <v>326</v>
      </c>
      <c r="B5938" t="s">
        <v>458</v>
      </c>
      <c r="C5938" t="s">
        <v>871</v>
      </c>
      <c r="D5938" t="s">
        <v>14</v>
      </c>
      <c r="E5938">
        <v>7</v>
      </c>
      <c r="F5938" s="2">
        <f>DATE(2026,IF(Tabla1[[#This Row],[Mes de Fecha]]="Septiembre",9,10),Tabla1[[#This Row],[Día de Fecha]])</f>
        <v>46302</v>
      </c>
      <c r="G5938">
        <v>1143972684</v>
      </c>
      <c r="H5938" t="s">
        <v>461</v>
      </c>
      <c r="I5938">
        <v>0</v>
      </c>
      <c r="J5938">
        <v>0</v>
      </c>
      <c r="K5938" s="1">
        <v>16807</v>
      </c>
    </row>
    <row r="5939" spans="1:11" x14ac:dyDescent="0.25">
      <c r="A5939" t="s">
        <v>326</v>
      </c>
      <c r="B5939" t="s">
        <v>458</v>
      </c>
      <c r="C5939" t="s">
        <v>871</v>
      </c>
      <c r="D5939" t="s">
        <v>14</v>
      </c>
      <c r="E5939">
        <v>7</v>
      </c>
      <c r="F5939" s="2">
        <f>DATE(2026,IF(Tabla1[[#This Row],[Mes de Fecha]]="Septiembre",9,10),Tabla1[[#This Row],[Día de Fecha]])</f>
        <v>46302</v>
      </c>
      <c r="G5939">
        <v>1193259913</v>
      </c>
      <c r="H5939" t="s">
        <v>354</v>
      </c>
      <c r="I5939">
        <v>96</v>
      </c>
      <c r="J5939">
        <v>0</v>
      </c>
      <c r="K5939" s="1">
        <v>5453786</v>
      </c>
    </row>
    <row r="5940" spans="1:11" x14ac:dyDescent="0.25">
      <c r="A5940" t="s">
        <v>326</v>
      </c>
      <c r="B5940" t="s">
        <v>518</v>
      </c>
      <c r="C5940" t="s">
        <v>871</v>
      </c>
      <c r="D5940" t="s">
        <v>11</v>
      </c>
      <c r="E5940">
        <v>23</v>
      </c>
      <c r="F5940" s="2">
        <f>DATE(2026,IF(Tabla1[[#This Row],[Mes de Fecha]]="Septiembre",9,10),Tabla1[[#This Row],[Día de Fecha]])</f>
        <v>46288</v>
      </c>
      <c r="I5940">
        <v>0</v>
      </c>
      <c r="J5940" s="1">
        <v>5326107</v>
      </c>
      <c r="K5940">
        <v>0</v>
      </c>
    </row>
    <row r="5941" spans="1:11" x14ac:dyDescent="0.25">
      <c r="A5941" t="s">
        <v>326</v>
      </c>
      <c r="B5941" t="s">
        <v>518</v>
      </c>
      <c r="C5941" t="s">
        <v>871</v>
      </c>
      <c r="D5941" t="s">
        <v>11</v>
      </c>
      <c r="E5941">
        <v>23</v>
      </c>
      <c r="F5941" s="2">
        <f>DATE(2026,IF(Tabla1[[#This Row],[Mes de Fecha]]="Septiembre",9,10),Tabla1[[#This Row],[Día de Fecha]])</f>
        <v>46288</v>
      </c>
      <c r="G5941">
        <v>1006048956</v>
      </c>
      <c r="H5941" t="s">
        <v>341</v>
      </c>
      <c r="I5941">
        <v>41</v>
      </c>
      <c r="J5941">
        <v>0</v>
      </c>
      <c r="K5941" s="1">
        <v>2374760</v>
      </c>
    </row>
    <row r="5942" spans="1:11" x14ac:dyDescent="0.25">
      <c r="A5942" t="s">
        <v>326</v>
      </c>
      <c r="B5942" t="s">
        <v>518</v>
      </c>
      <c r="C5942" t="s">
        <v>871</v>
      </c>
      <c r="D5942" t="s">
        <v>11</v>
      </c>
      <c r="E5942">
        <v>23</v>
      </c>
      <c r="F5942" s="2">
        <f>DATE(2026,IF(Tabla1[[#This Row],[Mes de Fecha]]="Septiembre",9,10),Tabla1[[#This Row],[Día de Fecha]])</f>
        <v>46288</v>
      </c>
      <c r="G5942">
        <v>1109920243</v>
      </c>
      <c r="H5942" t="s">
        <v>398</v>
      </c>
      <c r="I5942">
        <v>57</v>
      </c>
      <c r="J5942">
        <v>0</v>
      </c>
      <c r="K5942" s="1">
        <v>2951347</v>
      </c>
    </row>
    <row r="5943" spans="1:11" x14ac:dyDescent="0.25">
      <c r="A5943" t="s">
        <v>326</v>
      </c>
      <c r="B5943" t="s">
        <v>518</v>
      </c>
      <c r="C5943" t="s">
        <v>871</v>
      </c>
      <c r="D5943" t="s">
        <v>11</v>
      </c>
      <c r="E5943">
        <v>24</v>
      </c>
      <c r="F5943" s="2">
        <f>DATE(2026,IF(Tabla1[[#This Row],[Mes de Fecha]]="Septiembre",9,10),Tabla1[[#This Row],[Día de Fecha]])</f>
        <v>46289</v>
      </c>
      <c r="I5943">
        <v>0</v>
      </c>
      <c r="J5943" s="1">
        <v>5523076</v>
      </c>
      <c r="K5943">
        <v>0</v>
      </c>
    </row>
    <row r="5944" spans="1:11" x14ac:dyDescent="0.25">
      <c r="A5944" t="s">
        <v>326</v>
      </c>
      <c r="B5944" t="s">
        <v>518</v>
      </c>
      <c r="C5944" t="s">
        <v>871</v>
      </c>
      <c r="D5944" t="s">
        <v>11</v>
      </c>
      <c r="E5944">
        <v>24</v>
      </c>
      <c r="F5944" s="2">
        <f>DATE(2026,IF(Tabla1[[#This Row],[Mes de Fecha]]="Septiembre",9,10),Tabla1[[#This Row],[Día de Fecha]])</f>
        <v>46289</v>
      </c>
      <c r="G5944">
        <v>1006048956</v>
      </c>
      <c r="H5944" t="s">
        <v>341</v>
      </c>
      <c r="I5944">
        <v>55</v>
      </c>
      <c r="J5944">
        <v>0</v>
      </c>
      <c r="K5944" s="1">
        <v>3029163</v>
      </c>
    </row>
    <row r="5945" spans="1:11" x14ac:dyDescent="0.25">
      <c r="A5945" t="s">
        <v>326</v>
      </c>
      <c r="B5945" t="s">
        <v>518</v>
      </c>
      <c r="C5945" t="s">
        <v>871</v>
      </c>
      <c r="D5945" t="s">
        <v>11</v>
      </c>
      <c r="E5945">
        <v>24</v>
      </c>
      <c r="F5945" s="2">
        <f>DATE(2026,IF(Tabla1[[#This Row],[Mes de Fecha]]="Septiembre",9,10),Tabla1[[#This Row],[Día de Fecha]])</f>
        <v>46289</v>
      </c>
      <c r="G5945">
        <v>1109541659</v>
      </c>
      <c r="H5945" t="s">
        <v>388</v>
      </c>
      <c r="I5945">
        <v>-1</v>
      </c>
      <c r="J5945">
        <v>0</v>
      </c>
      <c r="K5945" s="1">
        <v>-71386</v>
      </c>
    </row>
    <row r="5946" spans="1:11" x14ac:dyDescent="0.25">
      <c r="A5946" t="s">
        <v>326</v>
      </c>
      <c r="B5946" t="s">
        <v>518</v>
      </c>
      <c r="C5946" t="s">
        <v>871</v>
      </c>
      <c r="D5946" t="s">
        <v>11</v>
      </c>
      <c r="E5946">
        <v>24</v>
      </c>
      <c r="F5946" s="2">
        <f>DATE(2026,IF(Tabla1[[#This Row],[Mes de Fecha]]="Septiembre",9,10),Tabla1[[#This Row],[Día de Fecha]])</f>
        <v>46289</v>
      </c>
      <c r="G5946">
        <v>1109920243</v>
      </c>
      <c r="H5946" t="s">
        <v>398</v>
      </c>
      <c r="I5946">
        <v>48</v>
      </c>
      <c r="J5946">
        <v>0</v>
      </c>
      <c r="K5946" s="1">
        <v>2624040</v>
      </c>
    </row>
    <row r="5947" spans="1:11" x14ac:dyDescent="0.25">
      <c r="A5947" t="s">
        <v>326</v>
      </c>
      <c r="B5947" t="s">
        <v>518</v>
      </c>
      <c r="C5947" t="s">
        <v>871</v>
      </c>
      <c r="D5947" t="s">
        <v>11</v>
      </c>
      <c r="E5947">
        <v>24</v>
      </c>
      <c r="F5947" s="2">
        <f>DATE(2026,IF(Tabla1[[#This Row],[Mes de Fecha]]="Septiembre",9,10),Tabla1[[#This Row],[Día de Fecha]])</f>
        <v>46289</v>
      </c>
      <c r="G5947">
        <v>1113623464</v>
      </c>
      <c r="H5947" t="s">
        <v>519</v>
      </c>
      <c r="I5947">
        <v>-1</v>
      </c>
      <c r="J5947">
        <v>0</v>
      </c>
      <c r="K5947" s="1">
        <v>-58740</v>
      </c>
    </row>
    <row r="5948" spans="1:11" x14ac:dyDescent="0.25">
      <c r="A5948" t="s">
        <v>326</v>
      </c>
      <c r="B5948" t="s">
        <v>518</v>
      </c>
      <c r="C5948" t="s">
        <v>871</v>
      </c>
      <c r="D5948" t="s">
        <v>11</v>
      </c>
      <c r="E5948">
        <v>25</v>
      </c>
      <c r="F5948" s="2">
        <f>DATE(2026,IF(Tabla1[[#This Row],[Mes de Fecha]]="Septiembre",9,10),Tabla1[[#This Row],[Día de Fecha]])</f>
        <v>46290</v>
      </c>
      <c r="I5948">
        <v>0</v>
      </c>
      <c r="J5948" s="1">
        <v>5434881</v>
      </c>
      <c r="K5948">
        <v>0</v>
      </c>
    </row>
    <row r="5949" spans="1:11" x14ac:dyDescent="0.25">
      <c r="A5949" t="s">
        <v>326</v>
      </c>
      <c r="B5949" t="s">
        <v>518</v>
      </c>
      <c r="C5949" t="s">
        <v>871</v>
      </c>
      <c r="D5949" t="s">
        <v>11</v>
      </c>
      <c r="E5949">
        <v>25</v>
      </c>
      <c r="F5949" s="2">
        <f>DATE(2026,IF(Tabla1[[#This Row],[Mes de Fecha]]="Septiembre",9,10),Tabla1[[#This Row],[Día de Fecha]])</f>
        <v>46290</v>
      </c>
      <c r="G5949">
        <v>1006048956</v>
      </c>
      <c r="H5949" t="s">
        <v>341</v>
      </c>
      <c r="I5949">
        <v>58</v>
      </c>
      <c r="J5949">
        <v>0</v>
      </c>
      <c r="K5949" s="1">
        <v>3392442</v>
      </c>
    </row>
    <row r="5950" spans="1:11" x14ac:dyDescent="0.25">
      <c r="A5950" t="s">
        <v>326</v>
      </c>
      <c r="B5950" t="s">
        <v>518</v>
      </c>
      <c r="C5950" t="s">
        <v>871</v>
      </c>
      <c r="D5950" t="s">
        <v>11</v>
      </c>
      <c r="E5950">
        <v>25</v>
      </c>
      <c r="F5950" s="2">
        <f>DATE(2026,IF(Tabla1[[#This Row],[Mes de Fecha]]="Septiembre",9,10),Tabla1[[#This Row],[Día de Fecha]])</f>
        <v>46290</v>
      </c>
      <c r="G5950">
        <v>1109920243</v>
      </c>
      <c r="H5950" t="s">
        <v>398</v>
      </c>
      <c r="I5950">
        <v>40</v>
      </c>
      <c r="J5950">
        <v>0</v>
      </c>
      <c r="K5950" s="1">
        <v>2042439</v>
      </c>
    </row>
    <row r="5951" spans="1:11" x14ac:dyDescent="0.25">
      <c r="A5951" t="s">
        <v>326</v>
      </c>
      <c r="B5951" t="s">
        <v>518</v>
      </c>
      <c r="C5951" t="s">
        <v>871</v>
      </c>
      <c r="D5951" t="s">
        <v>11</v>
      </c>
      <c r="E5951">
        <v>26</v>
      </c>
      <c r="F5951" s="2">
        <f>DATE(2026,IF(Tabla1[[#This Row],[Mes de Fecha]]="Septiembre",9,10),Tabla1[[#This Row],[Día de Fecha]])</f>
        <v>46291</v>
      </c>
      <c r="I5951">
        <v>0</v>
      </c>
      <c r="J5951" s="1">
        <v>14644293</v>
      </c>
      <c r="K5951">
        <v>0</v>
      </c>
    </row>
    <row r="5952" spans="1:11" x14ac:dyDescent="0.25">
      <c r="A5952" t="s">
        <v>326</v>
      </c>
      <c r="B5952" t="s">
        <v>518</v>
      </c>
      <c r="C5952" t="s">
        <v>871</v>
      </c>
      <c r="D5952" t="s">
        <v>11</v>
      </c>
      <c r="E5952">
        <v>26</v>
      </c>
      <c r="F5952" s="2">
        <f>DATE(2026,IF(Tabla1[[#This Row],[Mes de Fecha]]="Septiembre",9,10),Tabla1[[#This Row],[Día de Fecha]])</f>
        <v>46291</v>
      </c>
      <c r="G5952">
        <v>1006048956</v>
      </c>
      <c r="H5952" t="s">
        <v>341</v>
      </c>
      <c r="I5952">
        <v>102</v>
      </c>
      <c r="J5952">
        <v>0</v>
      </c>
      <c r="K5952" s="1">
        <v>5905131</v>
      </c>
    </row>
    <row r="5953" spans="1:11" x14ac:dyDescent="0.25">
      <c r="A5953" t="s">
        <v>326</v>
      </c>
      <c r="B5953" t="s">
        <v>518</v>
      </c>
      <c r="C5953" t="s">
        <v>871</v>
      </c>
      <c r="D5953" t="s">
        <v>11</v>
      </c>
      <c r="E5953">
        <v>26</v>
      </c>
      <c r="F5953" s="2">
        <f>DATE(2026,IF(Tabla1[[#This Row],[Mes de Fecha]]="Septiembre",9,10),Tabla1[[#This Row],[Día de Fecha]])</f>
        <v>46291</v>
      </c>
      <c r="G5953">
        <v>1109920243</v>
      </c>
      <c r="H5953" t="s">
        <v>398</v>
      </c>
      <c r="I5953">
        <v>108</v>
      </c>
      <c r="J5953">
        <v>0</v>
      </c>
      <c r="K5953" s="1">
        <v>5930256</v>
      </c>
    </row>
    <row r="5954" spans="1:11" x14ac:dyDescent="0.25">
      <c r="A5954" t="s">
        <v>326</v>
      </c>
      <c r="B5954" t="s">
        <v>518</v>
      </c>
      <c r="C5954" t="s">
        <v>871</v>
      </c>
      <c r="D5954" t="s">
        <v>11</v>
      </c>
      <c r="E5954">
        <v>26</v>
      </c>
      <c r="F5954" s="2">
        <f>DATE(2026,IF(Tabla1[[#This Row],[Mes de Fecha]]="Septiembre",9,10),Tabla1[[#This Row],[Día de Fecha]])</f>
        <v>46291</v>
      </c>
      <c r="G5954">
        <v>1143838000</v>
      </c>
      <c r="H5954" t="s">
        <v>520</v>
      </c>
      <c r="I5954">
        <v>48</v>
      </c>
      <c r="J5954">
        <v>0</v>
      </c>
      <c r="K5954" s="1">
        <v>2876095</v>
      </c>
    </row>
    <row r="5955" spans="1:11" x14ac:dyDescent="0.25">
      <c r="A5955" t="s">
        <v>326</v>
      </c>
      <c r="B5955" t="s">
        <v>518</v>
      </c>
      <c r="C5955" t="s">
        <v>871</v>
      </c>
      <c r="D5955" t="s">
        <v>11</v>
      </c>
      <c r="E5955">
        <v>26</v>
      </c>
      <c r="F5955" s="2">
        <f>DATE(2026,IF(Tabla1[[#This Row],[Mes de Fecha]]="Septiembre",9,10),Tabla1[[#This Row],[Día de Fecha]])</f>
        <v>46291</v>
      </c>
      <c r="G5955">
        <v>1144158340</v>
      </c>
      <c r="H5955" t="s">
        <v>375</v>
      </c>
      <c r="I5955">
        <v>-1</v>
      </c>
      <c r="J5955">
        <v>0</v>
      </c>
      <c r="K5955" s="1">
        <v>-67185</v>
      </c>
    </row>
    <row r="5956" spans="1:11" x14ac:dyDescent="0.25">
      <c r="A5956" t="s">
        <v>326</v>
      </c>
      <c r="B5956" t="s">
        <v>518</v>
      </c>
      <c r="C5956" t="s">
        <v>871</v>
      </c>
      <c r="D5956" t="s">
        <v>11</v>
      </c>
      <c r="E5956">
        <v>27</v>
      </c>
      <c r="F5956" s="2">
        <f>DATE(2026,IF(Tabla1[[#This Row],[Mes de Fecha]]="Septiembre",9,10),Tabla1[[#This Row],[Día de Fecha]])</f>
        <v>46292</v>
      </c>
      <c r="I5956">
        <v>0</v>
      </c>
      <c r="J5956" s="1">
        <v>10919011</v>
      </c>
      <c r="K5956">
        <v>0</v>
      </c>
    </row>
    <row r="5957" spans="1:11" x14ac:dyDescent="0.25">
      <c r="A5957" t="s">
        <v>326</v>
      </c>
      <c r="B5957" t="s">
        <v>518</v>
      </c>
      <c r="C5957" t="s">
        <v>871</v>
      </c>
      <c r="D5957" t="s">
        <v>11</v>
      </c>
      <c r="E5957">
        <v>27</v>
      </c>
      <c r="F5957" s="2">
        <f>DATE(2026,IF(Tabla1[[#This Row],[Mes de Fecha]]="Septiembre",9,10),Tabla1[[#This Row],[Día de Fecha]])</f>
        <v>46292</v>
      </c>
      <c r="G5957">
        <v>1006048956</v>
      </c>
      <c r="H5957" t="s">
        <v>341</v>
      </c>
      <c r="I5957">
        <v>52</v>
      </c>
      <c r="J5957">
        <v>0</v>
      </c>
      <c r="K5957" s="1">
        <v>3401142</v>
      </c>
    </row>
    <row r="5958" spans="1:11" x14ac:dyDescent="0.25">
      <c r="A5958" t="s">
        <v>326</v>
      </c>
      <c r="B5958" t="s">
        <v>518</v>
      </c>
      <c r="C5958" t="s">
        <v>871</v>
      </c>
      <c r="D5958" t="s">
        <v>11</v>
      </c>
      <c r="E5958">
        <v>27</v>
      </c>
      <c r="F5958" s="2">
        <f>DATE(2026,IF(Tabla1[[#This Row],[Mes de Fecha]]="Septiembre",9,10),Tabla1[[#This Row],[Día de Fecha]])</f>
        <v>46292</v>
      </c>
      <c r="G5958">
        <v>1109920243</v>
      </c>
      <c r="H5958" t="s">
        <v>398</v>
      </c>
      <c r="I5958">
        <v>64</v>
      </c>
      <c r="J5958">
        <v>0</v>
      </c>
      <c r="K5958" s="1">
        <v>3734712</v>
      </c>
    </row>
    <row r="5959" spans="1:11" x14ac:dyDescent="0.25">
      <c r="A5959" t="s">
        <v>326</v>
      </c>
      <c r="B5959" t="s">
        <v>518</v>
      </c>
      <c r="C5959" t="s">
        <v>871</v>
      </c>
      <c r="D5959" t="s">
        <v>11</v>
      </c>
      <c r="E5959">
        <v>27</v>
      </c>
      <c r="F5959" s="2">
        <f>DATE(2026,IF(Tabla1[[#This Row],[Mes de Fecha]]="Septiembre",9,10),Tabla1[[#This Row],[Día de Fecha]])</f>
        <v>46292</v>
      </c>
      <c r="G5959">
        <v>1143838000</v>
      </c>
      <c r="H5959" t="s">
        <v>520</v>
      </c>
      <c r="I5959">
        <v>60</v>
      </c>
      <c r="J5959">
        <v>0</v>
      </c>
      <c r="K5959" s="1">
        <v>3783156</v>
      </c>
    </row>
    <row r="5960" spans="1:11" x14ac:dyDescent="0.25">
      <c r="A5960" t="s">
        <v>326</v>
      </c>
      <c r="B5960" t="s">
        <v>518</v>
      </c>
      <c r="C5960" t="s">
        <v>871</v>
      </c>
      <c r="D5960" t="s">
        <v>11</v>
      </c>
      <c r="E5960">
        <v>28</v>
      </c>
      <c r="F5960" s="2">
        <f>DATE(2026,IF(Tabla1[[#This Row],[Mes de Fecha]]="Septiembre",9,10),Tabla1[[#This Row],[Día de Fecha]])</f>
        <v>46293</v>
      </c>
      <c r="I5960">
        <v>0</v>
      </c>
      <c r="J5960" s="1">
        <v>6584051</v>
      </c>
      <c r="K5960">
        <v>0</v>
      </c>
    </row>
    <row r="5961" spans="1:11" x14ac:dyDescent="0.25">
      <c r="A5961" t="s">
        <v>326</v>
      </c>
      <c r="B5961" t="s">
        <v>518</v>
      </c>
      <c r="C5961" t="s">
        <v>871</v>
      </c>
      <c r="D5961" t="s">
        <v>11</v>
      </c>
      <c r="E5961">
        <v>28</v>
      </c>
      <c r="F5961" s="2">
        <f>DATE(2026,IF(Tabla1[[#This Row],[Mes de Fecha]]="Septiembre",9,10),Tabla1[[#This Row],[Día de Fecha]])</f>
        <v>46293</v>
      </c>
      <c r="G5961">
        <v>1006048956</v>
      </c>
      <c r="H5961" t="s">
        <v>341</v>
      </c>
      <c r="I5961">
        <v>54</v>
      </c>
      <c r="J5961">
        <v>0</v>
      </c>
      <c r="K5961" s="1">
        <v>3220215</v>
      </c>
    </row>
    <row r="5962" spans="1:11" x14ac:dyDescent="0.25">
      <c r="A5962" t="s">
        <v>326</v>
      </c>
      <c r="B5962" t="s">
        <v>518</v>
      </c>
      <c r="C5962" t="s">
        <v>871</v>
      </c>
      <c r="D5962" t="s">
        <v>11</v>
      </c>
      <c r="E5962">
        <v>28</v>
      </c>
      <c r="F5962" s="2">
        <f>DATE(2026,IF(Tabla1[[#This Row],[Mes de Fecha]]="Septiembre",9,10),Tabla1[[#This Row],[Día de Fecha]])</f>
        <v>46293</v>
      </c>
      <c r="G5962">
        <v>1109920243</v>
      </c>
      <c r="H5962" t="s">
        <v>398</v>
      </c>
      <c r="I5962">
        <v>59</v>
      </c>
      <c r="J5962">
        <v>0</v>
      </c>
      <c r="K5962" s="1">
        <v>3533238</v>
      </c>
    </row>
    <row r="5963" spans="1:11" x14ac:dyDescent="0.25">
      <c r="A5963" t="s">
        <v>326</v>
      </c>
      <c r="B5963" t="s">
        <v>518</v>
      </c>
      <c r="C5963" t="s">
        <v>871</v>
      </c>
      <c r="D5963" t="s">
        <v>11</v>
      </c>
      <c r="E5963">
        <v>28</v>
      </c>
      <c r="F5963" s="2">
        <f>DATE(2026,IF(Tabla1[[#This Row],[Mes de Fecha]]="Septiembre",9,10),Tabla1[[#This Row],[Día de Fecha]])</f>
        <v>46293</v>
      </c>
      <c r="G5963">
        <v>1143872360</v>
      </c>
      <c r="H5963" t="s">
        <v>358</v>
      </c>
      <c r="I5963">
        <v>-1</v>
      </c>
      <c r="J5963">
        <v>0</v>
      </c>
      <c r="K5963" s="1">
        <v>-41975</v>
      </c>
    </row>
    <row r="5964" spans="1:11" x14ac:dyDescent="0.25">
      <c r="A5964" t="s">
        <v>326</v>
      </c>
      <c r="B5964" t="s">
        <v>518</v>
      </c>
      <c r="C5964" t="s">
        <v>871</v>
      </c>
      <c r="D5964" t="s">
        <v>11</v>
      </c>
      <c r="E5964">
        <v>29</v>
      </c>
      <c r="F5964" s="2">
        <f>DATE(2026,IF(Tabla1[[#This Row],[Mes de Fecha]]="Septiembre",9,10),Tabla1[[#This Row],[Día de Fecha]])</f>
        <v>46294</v>
      </c>
      <c r="I5964">
        <v>0</v>
      </c>
      <c r="J5964" s="1">
        <v>5616098</v>
      </c>
      <c r="K5964">
        <v>0</v>
      </c>
    </row>
    <row r="5965" spans="1:11" x14ac:dyDescent="0.25">
      <c r="A5965" t="s">
        <v>326</v>
      </c>
      <c r="B5965" t="s">
        <v>518</v>
      </c>
      <c r="C5965" t="s">
        <v>871</v>
      </c>
      <c r="D5965" t="s">
        <v>11</v>
      </c>
      <c r="E5965">
        <v>29</v>
      </c>
      <c r="F5965" s="2">
        <f>DATE(2026,IF(Tabla1[[#This Row],[Mes de Fecha]]="Septiembre",9,10),Tabla1[[#This Row],[Día de Fecha]])</f>
        <v>46294</v>
      </c>
      <c r="G5965">
        <v>1006048956</v>
      </c>
      <c r="H5965" t="s">
        <v>341</v>
      </c>
      <c r="I5965">
        <v>43</v>
      </c>
      <c r="J5965">
        <v>0</v>
      </c>
      <c r="K5965" s="1">
        <v>2874205</v>
      </c>
    </row>
    <row r="5966" spans="1:11" x14ac:dyDescent="0.25">
      <c r="A5966" t="s">
        <v>326</v>
      </c>
      <c r="B5966" t="s">
        <v>518</v>
      </c>
      <c r="C5966" t="s">
        <v>871</v>
      </c>
      <c r="D5966" t="s">
        <v>11</v>
      </c>
      <c r="E5966">
        <v>29</v>
      </c>
      <c r="F5966" s="2">
        <f>DATE(2026,IF(Tabla1[[#This Row],[Mes de Fecha]]="Septiembre",9,10),Tabla1[[#This Row],[Día de Fecha]])</f>
        <v>46294</v>
      </c>
      <c r="G5966">
        <v>1109541659</v>
      </c>
      <c r="H5966" t="s">
        <v>388</v>
      </c>
      <c r="I5966">
        <v>-1</v>
      </c>
      <c r="J5966">
        <v>0</v>
      </c>
      <c r="K5966" s="1">
        <v>-79790</v>
      </c>
    </row>
    <row r="5967" spans="1:11" x14ac:dyDescent="0.25">
      <c r="A5967" t="s">
        <v>326</v>
      </c>
      <c r="B5967" t="s">
        <v>518</v>
      </c>
      <c r="C5967" t="s">
        <v>871</v>
      </c>
      <c r="D5967" t="s">
        <v>11</v>
      </c>
      <c r="E5967">
        <v>29</v>
      </c>
      <c r="F5967" s="2">
        <f>DATE(2026,IF(Tabla1[[#This Row],[Mes de Fecha]]="Septiembre",9,10),Tabla1[[#This Row],[Día de Fecha]])</f>
        <v>46294</v>
      </c>
      <c r="G5967">
        <v>1109920243</v>
      </c>
      <c r="H5967" t="s">
        <v>398</v>
      </c>
      <c r="I5967">
        <v>22</v>
      </c>
      <c r="J5967">
        <v>0</v>
      </c>
      <c r="K5967" s="1">
        <v>1616682</v>
      </c>
    </row>
    <row r="5968" spans="1:11" x14ac:dyDescent="0.25">
      <c r="A5968" t="s">
        <v>326</v>
      </c>
      <c r="B5968" t="s">
        <v>518</v>
      </c>
      <c r="C5968" t="s">
        <v>871</v>
      </c>
      <c r="D5968" t="s">
        <v>11</v>
      </c>
      <c r="E5968">
        <v>29</v>
      </c>
      <c r="F5968" s="2">
        <f>DATE(2026,IF(Tabla1[[#This Row],[Mes de Fecha]]="Septiembre",9,10),Tabla1[[#This Row],[Día de Fecha]])</f>
        <v>46294</v>
      </c>
      <c r="G5968">
        <v>1143838000</v>
      </c>
      <c r="H5968" t="s">
        <v>520</v>
      </c>
      <c r="I5968">
        <v>21</v>
      </c>
      <c r="J5968">
        <v>0</v>
      </c>
      <c r="K5968" s="1">
        <v>1205002</v>
      </c>
    </row>
    <row r="5969" spans="1:11" x14ac:dyDescent="0.25">
      <c r="A5969" t="s">
        <v>326</v>
      </c>
      <c r="B5969" t="s">
        <v>518</v>
      </c>
      <c r="C5969" t="s">
        <v>871</v>
      </c>
      <c r="D5969" t="s">
        <v>11</v>
      </c>
      <c r="E5969">
        <v>30</v>
      </c>
      <c r="F5969" s="2">
        <f>DATE(2026,IF(Tabla1[[#This Row],[Mes de Fecha]]="Septiembre",9,10),Tabla1[[#This Row],[Día de Fecha]])</f>
        <v>46295</v>
      </c>
      <c r="I5969">
        <v>0</v>
      </c>
      <c r="J5969" s="1">
        <v>7265267</v>
      </c>
      <c r="K5969">
        <v>0</v>
      </c>
    </row>
    <row r="5970" spans="1:11" x14ac:dyDescent="0.25">
      <c r="A5970" t="s">
        <v>326</v>
      </c>
      <c r="B5970" t="s">
        <v>518</v>
      </c>
      <c r="C5970" t="s">
        <v>871</v>
      </c>
      <c r="D5970" t="s">
        <v>11</v>
      </c>
      <c r="E5970">
        <v>30</v>
      </c>
      <c r="F5970" s="2">
        <f>DATE(2026,IF(Tabla1[[#This Row],[Mes de Fecha]]="Septiembre",9,10),Tabla1[[#This Row],[Día de Fecha]])</f>
        <v>46295</v>
      </c>
      <c r="G5970">
        <v>1006048956</v>
      </c>
      <c r="H5970" t="s">
        <v>341</v>
      </c>
      <c r="I5970">
        <v>77</v>
      </c>
      <c r="J5970">
        <v>0</v>
      </c>
      <c r="K5970" s="1">
        <v>3975382</v>
      </c>
    </row>
    <row r="5971" spans="1:11" x14ac:dyDescent="0.25">
      <c r="A5971" t="s">
        <v>326</v>
      </c>
      <c r="B5971" t="s">
        <v>518</v>
      </c>
      <c r="C5971" t="s">
        <v>871</v>
      </c>
      <c r="D5971" t="s">
        <v>11</v>
      </c>
      <c r="E5971">
        <v>30</v>
      </c>
      <c r="F5971" s="2">
        <f>DATE(2026,IF(Tabla1[[#This Row],[Mes de Fecha]]="Septiembre",9,10),Tabla1[[#This Row],[Día de Fecha]])</f>
        <v>46295</v>
      </c>
      <c r="G5971">
        <v>1109920243</v>
      </c>
      <c r="H5971" t="s">
        <v>398</v>
      </c>
      <c r="I5971">
        <v>89</v>
      </c>
      <c r="J5971">
        <v>0</v>
      </c>
      <c r="K5971" s="1">
        <v>4531940</v>
      </c>
    </row>
    <row r="5972" spans="1:11" x14ac:dyDescent="0.25">
      <c r="A5972" t="s">
        <v>326</v>
      </c>
      <c r="B5972" t="s">
        <v>518</v>
      </c>
      <c r="C5972" t="s">
        <v>871</v>
      </c>
      <c r="D5972" t="s">
        <v>14</v>
      </c>
      <c r="E5972">
        <v>1</v>
      </c>
      <c r="F5972" s="2">
        <f>DATE(2026,IF(Tabla1[[#This Row],[Mes de Fecha]]="Septiembre",9,10),Tabla1[[#This Row],[Día de Fecha]])</f>
        <v>46296</v>
      </c>
      <c r="I5972">
        <v>0</v>
      </c>
      <c r="J5972" s="1">
        <v>7897013</v>
      </c>
      <c r="K5972">
        <v>0</v>
      </c>
    </row>
    <row r="5973" spans="1:11" x14ac:dyDescent="0.25">
      <c r="A5973" t="s">
        <v>326</v>
      </c>
      <c r="B5973" t="s">
        <v>518</v>
      </c>
      <c r="C5973" t="s">
        <v>871</v>
      </c>
      <c r="D5973" t="s">
        <v>14</v>
      </c>
      <c r="E5973">
        <v>1</v>
      </c>
      <c r="F5973" s="2">
        <f>DATE(2026,IF(Tabla1[[#This Row],[Mes de Fecha]]="Septiembre",9,10),Tabla1[[#This Row],[Día de Fecha]])</f>
        <v>46296</v>
      </c>
      <c r="G5973">
        <v>1006048956</v>
      </c>
      <c r="H5973" t="s">
        <v>341</v>
      </c>
      <c r="I5973">
        <v>63</v>
      </c>
      <c r="J5973">
        <v>0</v>
      </c>
      <c r="K5973" s="1">
        <v>3421726</v>
      </c>
    </row>
    <row r="5974" spans="1:11" x14ac:dyDescent="0.25">
      <c r="A5974" t="s">
        <v>326</v>
      </c>
      <c r="B5974" t="s">
        <v>518</v>
      </c>
      <c r="C5974" t="s">
        <v>871</v>
      </c>
      <c r="D5974" t="s">
        <v>14</v>
      </c>
      <c r="E5974">
        <v>1</v>
      </c>
      <c r="F5974" s="2">
        <f>DATE(2026,IF(Tabla1[[#This Row],[Mes de Fecha]]="Septiembre",9,10),Tabla1[[#This Row],[Día de Fecha]])</f>
        <v>46296</v>
      </c>
      <c r="G5974">
        <v>1109920243</v>
      </c>
      <c r="H5974" t="s">
        <v>398</v>
      </c>
      <c r="I5974">
        <v>65</v>
      </c>
      <c r="J5974">
        <v>0</v>
      </c>
      <c r="K5974" s="1">
        <v>3850085</v>
      </c>
    </row>
    <row r="5975" spans="1:11" x14ac:dyDescent="0.25">
      <c r="A5975" t="s">
        <v>326</v>
      </c>
      <c r="B5975" t="s">
        <v>518</v>
      </c>
      <c r="C5975" t="s">
        <v>871</v>
      </c>
      <c r="D5975" t="s">
        <v>14</v>
      </c>
      <c r="E5975">
        <v>1</v>
      </c>
      <c r="F5975" s="2">
        <f>DATE(2026,IF(Tabla1[[#This Row],[Mes de Fecha]]="Septiembre",9,10),Tabla1[[#This Row],[Día de Fecha]])</f>
        <v>46296</v>
      </c>
      <c r="G5975">
        <v>1143838000</v>
      </c>
      <c r="H5975" t="s">
        <v>520</v>
      </c>
      <c r="I5975">
        <v>17</v>
      </c>
      <c r="J5975">
        <v>0</v>
      </c>
      <c r="K5975" s="1">
        <v>978279</v>
      </c>
    </row>
    <row r="5976" spans="1:11" x14ac:dyDescent="0.25">
      <c r="A5976" t="s">
        <v>326</v>
      </c>
      <c r="B5976" t="s">
        <v>518</v>
      </c>
      <c r="C5976" t="s">
        <v>871</v>
      </c>
      <c r="D5976" t="s">
        <v>14</v>
      </c>
      <c r="E5976">
        <v>2</v>
      </c>
      <c r="F5976" s="2">
        <f>DATE(2026,IF(Tabla1[[#This Row],[Mes de Fecha]]="Septiembre",9,10),Tabla1[[#This Row],[Día de Fecha]])</f>
        <v>46297</v>
      </c>
      <c r="I5976">
        <v>0</v>
      </c>
      <c r="J5976" s="1">
        <v>8423341</v>
      </c>
      <c r="K5976">
        <v>0</v>
      </c>
    </row>
    <row r="5977" spans="1:11" x14ac:dyDescent="0.25">
      <c r="A5977" t="s">
        <v>326</v>
      </c>
      <c r="B5977" t="s">
        <v>518</v>
      </c>
      <c r="C5977" t="s">
        <v>871</v>
      </c>
      <c r="D5977" t="s">
        <v>14</v>
      </c>
      <c r="E5977">
        <v>2</v>
      </c>
      <c r="F5977" s="2">
        <f>DATE(2026,IF(Tabla1[[#This Row],[Mes de Fecha]]="Septiembre",9,10),Tabla1[[#This Row],[Día de Fecha]])</f>
        <v>46297</v>
      </c>
      <c r="G5977">
        <v>1006048956</v>
      </c>
      <c r="H5977" t="s">
        <v>341</v>
      </c>
      <c r="I5977">
        <v>48</v>
      </c>
      <c r="J5977">
        <v>0</v>
      </c>
      <c r="K5977" s="1">
        <v>2981096</v>
      </c>
    </row>
    <row r="5978" spans="1:11" x14ac:dyDescent="0.25">
      <c r="A5978" t="s">
        <v>326</v>
      </c>
      <c r="B5978" t="s">
        <v>518</v>
      </c>
      <c r="C5978" t="s">
        <v>871</v>
      </c>
      <c r="D5978" t="s">
        <v>14</v>
      </c>
      <c r="E5978">
        <v>2</v>
      </c>
      <c r="F5978" s="2">
        <f>DATE(2026,IF(Tabla1[[#This Row],[Mes de Fecha]]="Septiembre",9,10),Tabla1[[#This Row],[Día de Fecha]])</f>
        <v>46297</v>
      </c>
      <c r="G5978">
        <v>1109920243</v>
      </c>
      <c r="H5978" t="s">
        <v>398</v>
      </c>
      <c r="I5978">
        <v>39</v>
      </c>
      <c r="J5978">
        <v>0</v>
      </c>
      <c r="K5978" s="1">
        <v>2477315</v>
      </c>
    </row>
    <row r="5979" spans="1:11" x14ac:dyDescent="0.25">
      <c r="A5979" t="s">
        <v>326</v>
      </c>
      <c r="B5979" t="s">
        <v>518</v>
      </c>
      <c r="C5979" t="s">
        <v>871</v>
      </c>
      <c r="D5979" t="s">
        <v>14</v>
      </c>
      <c r="E5979">
        <v>2</v>
      </c>
      <c r="F5979" s="2">
        <f>DATE(2026,IF(Tabla1[[#This Row],[Mes de Fecha]]="Septiembre",9,10),Tabla1[[#This Row],[Día de Fecha]])</f>
        <v>46297</v>
      </c>
      <c r="G5979">
        <v>1143838000</v>
      </c>
      <c r="H5979" t="s">
        <v>520</v>
      </c>
      <c r="I5979">
        <v>1</v>
      </c>
      <c r="J5979">
        <v>0</v>
      </c>
      <c r="K5979" s="1">
        <v>37773</v>
      </c>
    </row>
    <row r="5980" spans="1:11" x14ac:dyDescent="0.25">
      <c r="A5980" t="s">
        <v>326</v>
      </c>
      <c r="B5980" t="s">
        <v>518</v>
      </c>
      <c r="C5980" t="s">
        <v>871</v>
      </c>
      <c r="D5980" t="s">
        <v>14</v>
      </c>
      <c r="E5980">
        <v>3</v>
      </c>
      <c r="F5980" s="2">
        <f>DATE(2026,IF(Tabla1[[#This Row],[Mes de Fecha]]="Septiembre",9,10),Tabla1[[#This Row],[Día de Fecha]])</f>
        <v>46298</v>
      </c>
      <c r="I5980">
        <v>0</v>
      </c>
      <c r="J5980" s="1">
        <v>17106115</v>
      </c>
      <c r="K5980">
        <v>0</v>
      </c>
    </row>
    <row r="5981" spans="1:11" x14ac:dyDescent="0.25">
      <c r="A5981" t="s">
        <v>326</v>
      </c>
      <c r="B5981" t="s">
        <v>518</v>
      </c>
      <c r="C5981" t="s">
        <v>871</v>
      </c>
      <c r="D5981" t="s">
        <v>14</v>
      </c>
      <c r="E5981">
        <v>3</v>
      </c>
      <c r="F5981" s="2">
        <f>DATE(2026,IF(Tabla1[[#This Row],[Mes de Fecha]]="Septiembre",9,10),Tabla1[[#This Row],[Día de Fecha]])</f>
        <v>46298</v>
      </c>
      <c r="G5981">
        <v>1005707524</v>
      </c>
      <c r="H5981" t="s">
        <v>392</v>
      </c>
      <c r="I5981">
        <v>-1</v>
      </c>
      <c r="J5981">
        <v>0</v>
      </c>
      <c r="K5981" s="1">
        <v>-54580</v>
      </c>
    </row>
    <row r="5982" spans="1:11" x14ac:dyDescent="0.25">
      <c r="A5982" t="s">
        <v>326</v>
      </c>
      <c r="B5982" t="s">
        <v>518</v>
      </c>
      <c r="C5982" t="s">
        <v>871</v>
      </c>
      <c r="D5982" t="s">
        <v>14</v>
      </c>
      <c r="E5982">
        <v>3</v>
      </c>
      <c r="F5982" s="2">
        <f>DATE(2026,IF(Tabla1[[#This Row],[Mes de Fecha]]="Septiembre",9,10),Tabla1[[#This Row],[Día de Fecha]])</f>
        <v>46298</v>
      </c>
      <c r="G5982">
        <v>1006048956</v>
      </c>
      <c r="H5982" t="s">
        <v>341</v>
      </c>
      <c r="I5982">
        <v>83</v>
      </c>
      <c r="J5982">
        <v>0</v>
      </c>
      <c r="K5982" s="1">
        <v>4556961</v>
      </c>
    </row>
    <row r="5983" spans="1:11" x14ac:dyDescent="0.25">
      <c r="A5983" t="s">
        <v>326</v>
      </c>
      <c r="B5983" t="s">
        <v>518</v>
      </c>
      <c r="C5983" t="s">
        <v>871</v>
      </c>
      <c r="D5983" t="s">
        <v>14</v>
      </c>
      <c r="E5983">
        <v>3</v>
      </c>
      <c r="F5983" s="2">
        <f>DATE(2026,IF(Tabla1[[#This Row],[Mes de Fecha]]="Septiembre",9,10),Tabla1[[#This Row],[Día de Fecha]])</f>
        <v>46298</v>
      </c>
      <c r="G5983">
        <v>1007132542</v>
      </c>
      <c r="H5983" t="s">
        <v>386</v>
      </c>
      <c r="I5983">
        <v>-1</v>
      </c>
      <c r="J5983">
        <v>0</v>
      </c>
      <c r="K5983" s="1">
        <v>-58765</v>
      </c>
    </row>
    <row r="5984" spans="1:11" x14ac:dyDescent="0.25">
      <c r="A5984" t="s">
        <v>326</v>
      </c>
      <c r="B5984" t="s">
        <v>518</v>
      </c>
      <c r="C5984" t="s">
        <v>871</v>
      </c>
      <c r="D5984" t="s">
        <v>14</v>
      </c>
      <c r="E5984">
        <v>3</v>
      </c>
      <c r="F5984" s="2">
        <f>DATE(2026,IF(Tabla1[[#This Row],[Mes de Fecha]]="Septiembre",9,10),Tabla1[[#This Row],[Día de Fecha]])</f>
        <v>46298</v>
      </c>
      <c r="G5984">
        <v>1109920243</v>
      </c>
      <c r="H5984" t="s">
        <v>398</v>
      </c>
      <c r="I5984">
        <v>72</v>
      </c>
      <c r="J5984">
        <v>0</v>
      </c>
      <c r="K5984" s="1">
        <v>3977735</v>
      </c>
    </row>
    <row r="5985" spans="1:11" x14ac:dyDescent="0.25">
      <c r="A5985" t="s">
        <v>326</v>
      </c>
      <c r="B5985" t="s">
        <v>518</v>
      </c>
      <c r="C5985" t="s">
        <v>871</v>
      </c>
      <c r="D5985" t="s">
        <v>14</v>
      </c>
      <c r="E5985">
        <v>3</v>
      </c>
      <c r="F5985" s="2">
        <f>DATE(2026,IF(Tabla1[[#This Row],[Mes de Fecha]]="Septiembre",9,10),Tabla1[[#This Row],[Día de Fecha]])</f>
        <v>46298</v>
      </c>
      <c r="G5985">
        <v>1111665228</v>
      </c>
      <c r="H5985" t="s">
        <v>342</v>
      </c>
      <c r="I5985">
        <v>-1</v>
      </c>
      <c r="J5985">
        <v>0</v>
      </c>
      <c r="K5985" s="1">
        <v>-25126</v>
      </c>
    </row>
    <row r="5986" spans="1:11" x14ac:dyDescent="0.25">
      <c r="A5986" t="s">
        <v>326</v>
      </c>
      <c r="B5986" t="s">
        <v>518</v>
      </c>
      <c r="C5986" t="s">
        <v>871</v>
      </c>
      <c r="D5986" t="s">
        <v>14</v>
      </c>
      <c r="E5986">
        <v>3</v>
      </c>
      <c r="F5986" s="2">
        <f>DATE(2026,IF(Tabla1[[#This Row],[Mes de Fecha]]="Septiembre",9,10),Tabla1[[#This Row],[Día de Fecha]])</f>
        <v>46298</v>
      </c>
      <c r="G5986">
        <v>1143838000</v>
      </c>
      <c r="H5986" t="s">
        <v>520</v>
      </c>
      <c r="I5986">
        <v>63</v>
      </c>
      <c r="J5986">
        <v>0</v>
      </c>
      <c r="K5986" s="1">
        <v>3461766</v>
      </c>
    </row>
    <row r="5987" spans="1:11" x14ac:dyDescent="0.25">
      <c r="A5987" t="s">
        <v>326</v>
      </c>
      <c r="B5987" t="s">
        <v>518</v>
      </c>
      <c r="C5987" t="s">
        <v>871</v>
      </c>
      <c r="D5987" t="s">
        <v>14</v>
      </c>
      <c r="E5987">
        <v>4</v>
      </c>
      <c r="F5987" s="2">
        <f>DATE(2026,IF(Tabla1[[#This Row],[Mes de Fecha]]="Septiembre",9,10),Tabla1[[#This Row],[Día de Fecha]])</f>
        <v>46299</v>
      </c>
      <c r="I5987">
        <v>0</v>
      </c>
      <c r="J5987" s="1">
        <v>10155954</v>
      </c>
      <c r="K5987">
        <v>0</v>
      </c>
    </row>
    <row r="5988" spans="1:11" x14ac:dyDescent="0.25">
      <c r="A5988" t="s">
        <v>326</v>
      </c>
      <c r="B5988" t="s">
        <v>518</v>
      </c>
      <c r="C5988" t="s">
        <v>871</v>
      </c>
      <c r="D5988" t="s">
        <v>14</v>
      </c>
      <c r="E5988">
        <v>4</v>
      </c>
      <c r="F5988" s="2">
        <f>DATE(2026,IF(Tabla1[[#This Row],[Mes de Fecha]]="Septiembre",9,10),Tabla1[[#This Row],[Día de Fecha]])</f>
        <v>46299</v>
      </c>
      <c r="G5988">
        <v>1006048956</v>
      </c>
      <c r="H5988" t="s">
        <v>341</v>
      </c>
      <c r="I5988">
        <v>105</v>
      </c>
      <c r="J5988">
        <v>0</v>
      </c>
      <c r="K5988" s="1">
        <v>6560637</v>
      </c>
    </row>
    <row r="5989" spans="1:11" x14ac:dyDescent="0.25">
      <c r="A5989" t="s">
        <v>326</v>
      </c>
      <c r="B5989" t="s">
        <v>518</v>
      </c>
      <c r="C5989" t="s">
        <v>871</v>
      </c>
      <c r="D5989" t="s">
        <v>14</v>
      </c>
      <c r="E5989">
        <v>4</v>
      </c>
      <c r="F5989" s="2">
        <f>DATE(2026,IF(Tabla1[[#This Row],[Mes de Fecha]]="Septiembre",9,10),Tabla1[[#This Row],[Día de Fecha]])</f>
        <v>46299</v>
      </c>
      <c r="G5989">
        <v>1109920243</v>
      </c>
      <c r="H5989" t="s">
        <v>398</v>
      </c>
      <c r="I5989">
        <v>118</v>
      </c>
      <c r="J5989">
        <v>0</v>
      </c>
      <c r="K5989" s="1">
        <v>7492943</v>
      </c>
    </row>
    <row r="5990" spans="1:11" x14ac:dyDescent="0.25">
      <c r="A5990" t="s">
        <v>326</v>
      </c>
      <c r="B5990" t="s">
        <v>518</v>
      </c>
      <c r="C5990" t="s">
        <v>871</v>
      </c>
      <c r="D5990" t="s">
        <v>14</v>
      </c>
      <c r="E5990">
        <v>4</v>
      </c>
      <c r="F5990" s="2">
        <f>DATE(2026,IF(Tabla1[[#This Row],[Mes de Fecha]]="Septiembre",9,10),Tabla1[[#This Row],[Día de Fecha]])</f>
        <v>46299</v>
      </c>
      <c r="G5990">
        <v>1143838000</v>
      </c>
      <c r="H5990" t="s">
        <v>520</v>
      </c>
      <c r="I5990">
        <v>22</v>
      </c>
      <c r="J5990">
        <v>0</v>
      </c>
      <c r="K5990" s="1">
        <v>1230128</v>
      </c>
    </row>
    <row r="5991" spans="1:11" x14ac:dyDescent="0.25">
      <c r="A5991" t="s">
        <v>326</v>
      </c>
      <c r="B5991" t="s">
        <v>518</v>
      </c>
      <c r="C5991" t="s">
        <v>871</v>
      </c>
      <c r="D5991" t="s">
        <v>14</v>
      </c>
      <c r="E5991">
        <v>5</v>
      </c>
      <c r="F5991" s="2">
        <f>DATE(2026,IF(Tabla1[[#This Row],[Mes de Fecha]]="Septiembre",9,10),Tabla1[[#This Row],[Día de Fecha]])</f>
        <v>46300</v>
      </c>
      <c r="I5991">
        <v>0</v>
      </c>
      <c r="J5991" s="1">
        <v>6260904</v>
      </c>
      <c r="K5991">
        <v>0</v>
      </c>
    </row>
    <row r="5992" spans="1:11" x14ac:dyDescent="0.25">
      <c r="A5992" t="s">
        <v>326</v>
      </c>
      <c r="B5992" t="s">
        <v>518</v>
      </c>
      <c r="C5992" t="s">
        <v>871</v>
      </c>
      <c r="D5992" t="s">
        <v>14</v>
      </c>
      <c r="E5992">
        <v>5</v>
      </c>
      <c r="F5992" s="2">
        <f>DATE(2026,IF(Tabla1[[#This Row],[Mes de Fecha]]="Septiembre",9,10),Tabla1[[#This Row],[Día de Fecha]])</f>
        <v>46300</v>
      </c>
      <c r="G5992">
        <v>1006048956</v>
      </c>
      <c r="H5992" t="s">
        <v>341</v>
      </c>
      <c r="I5992">
        <v>87</v>
      </c>
      <c r="J5992">
        <v>0</v>
      </c>
      <c r="K5992" s="1">
        <v>4630675</v>
      </c>
    </row>
    <row r="5993" spans="1:11" x14ac:dyDescent="0.25">
      <c r="A5993" t="s">
        <v>326</v>
      </c>
      <c r="B5993" t="s">
        <v>518</v>
      </c>
      <c r="C5993" t="s">
        <v>871</v>
      </c>
      <c r="D5993" t="s">
        <v>14</v>
      </c>
      <c r="E5993">
        <v>5</v>
      </c>
      <c r="F5993" s="2">
        <f>DATE(2026,IF(Tabla1[[#This Row],[Mes de Fecha]]="Septiembre",9,10),Tabla1[[#This Row],[Día de Fecha]])</f>
        <v>46300</v>
      </c>
      <c r="G5993">
        <v>1109920243</v>
      </c>
      <c r="H5993" t="s">
        <v>398</v>
      </c>
      <c r="I5993">
        <v>66</v>
      </c>
      <c r="J5993">
        <v>0</v>
      </c>
      <c r="K5993" s="1">
        <v>4274544</v>
      </c>
    </row>
    <row r="5994" spans="1:11" x14ac:dyDescent="0.25">
      <c r="A5994" t="s">
        <v>326</v>
      </c>
      <c r="B5994" t="s">
        <v>518</v>
      </c>
      <c r="C5994" t="s">
        <v>871</v>
      </c>
      <c r="D5994" t="s">
        <v>14</v>
      </c>
      <c r="E5994">
        <v>6</v>
      </c>
      <c r="F5994" s="2">
        <f>DATE(2026,IF(Tabla1[[#This Row],[Mes de Fecha]]="Septiembre",9,10),Tabla1[[#This Row],[Día de Fecha]])</f>
        <v>46301</v>
      </c>
      <c r="I5994">
        <v>0</v>
      </c>
      <c r="J5994" s="1">
        <v>4655568</v>
      </c>
      <c r="K5994">
        <v>0</v>
      </c>
    </row>
    <row r="5995" spans="1:11" x14ac:dyDescent="0.25">
      <c r="A5995" t="s">
        <v>326</v>
      </c>
      <c r="B5995" t="s">
        <v>518</v>
      </c>
      <c r="C5995" t="s">
        <v>871</v>
      </c>
      <c r="D5995" t="s">
        <v>14</v>
      </c>
      <c r="E5995">
        <v>6</v>
      </c>
      <c r="F5995" s="2">
        <f>DATE(2026,IF(Tabla1[[#This Row],[Mes de Fecha]]="Septiembre",9,10),Tabla1[[#This Row],[Día de Fecha]])</f>
        <v>46301</v>
      </c>
      <c r="G5995">
        <v>1006048956</v>
      </c>
      <c r="H5995" t="s">
        <v>341</v>
      </c>
      <c r="I5995">
        <v>52</v>
      </c>
      <c r="J5995">
        <v>0</v>
      </c>
      <c r="K5995" s="1">
        <v>3485213</v>
      </c>
    </row>
    <row r="5996" spans="1:11" x14ac:dyDescent="0.25">
      <c r="A5996" t="s">
        <v>326</v>
      </c>
      <c r="B5996" t="s">
        <v>518</v>
      </c>
      <c r="C5996" t="s">
        <v>871</v>
      </c>
      <c r="D5996" t="s">
        <v>14</v>
      </c>
      <c r="E5996">
        <v>6</v>
      </c>
      <c r="F5996" s="2">
        <f>DATE(2026,IF(Tabla1[[#This Row],[Mes de Fecha]]="Septiembre",9,10),Tabla1[[#This Row],[Día de Fecha]])</f>
        <v>46301</v>
      </c>
      <c r="G5996">
        <v>1109920243</v>
      </c>
      <c r="H5996" t="s">
        <v>398</v>
      </c>
      <c r="I5996">
        <v>29</v>
      </c>
      <c r="J5996">
        <v>0</v>
      </c>
      <c r="K5996" s="1">
        <v>1725675</v>
      </c>
    </row>
    <row r="5997" spans="1:11" x14ac:dyDescent="0.25">
      <c r="A5997" t="s">
        <v>326</v>
      </c>
      <c r="B5997" t="s">
        <v>518</v>
      </c>
      <c r="C5997" t="s">
        <v>871</v>
      </c>
      <c r="D5997" t="s">
        <v>14</v>
      </c>
      <c r="E5997">
        <v>7</v>
      </c>
      <c r="F5997" s="2">
        <f>DATE(2026,IF(Tabla1[[#This Row],[Mes de Fecha]]="Septiembre",9,10),Tabla1[[#This Row],[Día de Fecha]])</f>
        <v>46302</v>
      </c>
      <c r="I5997">
        <v>0</v>
      </c>
      <c r="J5997" s="1">
        <v>4594311</v>
      </c>
      <c r="K5997">
        <v>0</v>
      </c>
    </row>
    <row r="5998" spans="1:11" x14ac:dyDescent="0.25">
      <c r="A5998" t="s">
        <v>326</v>
      </c>
      <c r="B5998" t="s">
        <v>518</v>
      </c>
      <c r="C5998" t="s">
        <v>871</v>
      </c>
      <c r="D5998" t="s">
        <v>14</v>
      </c>
      <c r="E5998">
        <v>7</v>
      </c>
      <c r="F5998" s="2">
        <f>DATE(2026,IF(Tabla1[[#This Row],[Mes de Fecha]]="Septiembre",9,10),Tabla1[[#This Row],[Día de Fecha]])</f>
        <v>46302</v>
      </c>
      <c r="G5998">
        <v>1006048956</v>
      </c>
      <c r="H5998" t="s">
        <v>341</v>
      </c>
      <c r="I5998">
        <v>4</v>
      </c>
      <c r="J5998">
        <v>0</v>
      </c>
      <c r="K5998" s="1">
        <v>188909</v>
      </c>
    </row>
    <row r="5999" spans="1:11" x14ac:dyDescent="0.25">
      <c r="A5999" t="s">
        <v>326</v>
      </c>
      <c r="B5999" t="s">
        <v>518</v>
      </c>
      <c r="C5999" t="s">
        <v>871</v>
      </c>
      <c r="D5999" t="s">
        <v>14</v>
      </c>
      <c r="E5999">
        <v>7</v>
      </c>
      <c r="F5999" s="2">
        <f>DATE(2026,IF(Tabla1[[#This Row],[Mes de Fecha]]="Septiembre",9,10),Tabla1[[#This Row],[Día de Fecha]])</f>
        <v>46302</v>
      </c>
      <c r="G5999">
        <v>1109920243</v>
      </c>
      <c r="H5999" t="s">
        <v>398</v>
      </c>
      <c r="I5999">
        <v>20</v>
      </c>
      <c r="J5999">
        <v>0</v>
      </c>
      <c r="K5999" s="1">
        <v>978111</v>
      </c>
    </row>
    <row r="6000" spans="1:11" x14ac:dyDescent="0.25">
      <c r="A6000" t="s">
        <v>326</v>
      </c>
      <c r="B6000" t="s">
        <v>773</v>
      </c>
      <c r="C6000" t="s">
        <v>871</v>
      </c>
      <c r="D6000" t="s">
        <v>11</v>
      </c>
      <c r="E6000">
        <v>23</v>
      </c>
      <c r="F6000" s="2">
        <f>DATE(2026,IF(Tabla1[[#This Row],[Mes de Fecha]]="Septiembre",9,10),Tabla1[[#This Row],[Día de Fecha]])</f>
        <v>46288</v>
      </c>
      <c r="I6000">
        <v>0</v>
      </c>
      <c r="J6000" s="1">
        <v>12712961</v>
      </c>
      <c r="K6000">
        <v>0</v>
      </c>
    </row>
    <row r="6001" spans="1:11" x14ac:dyDescent="0.25">
      <c r="A6001" t="s">
        <v>326</v>
      </c>
      <c r="B6001" t="s">
        <v>773</v>
      </c>
      <c r="C6001" t="s">
        <v>871</v>
      </c>
      <c r="D6001" t="s">
        <v>11</v>
      </c>
      <c r="E6001">
        <v>23</v>
      </c>
      <c r="F6001" s="2">
        <f>DATE(2026,IF(Tabla1[[#This Row],[Mes de Fecha]]="Septiembre",9,10),Tabla1[[#This Row],[Día de Fecha]])</f>
        <v>46288</v>
      </c>
      <c r="G6001">
        <v>1006073270</v>
      </c>
      <c r="H6001" t="s">
        <v>463</v>
      </c>
      <c r="I6001">
        <v>71</v>
      </c>
      <c r="J6001">
        <v>0</v>
      </c>
      <c r="K6001" s="1">
        <v>4845716</v>
      </c>
    </row>
    <row r="6002" spans="1:11" x14ac:dyDescent="0.25">
      <c r="A6002" t="s">
        <v>326</v>
      </c>
      <c r="B6002" t="s">
        <v>773</v>
      </c>
      <c r="C6002" t="s">
        <v>871</v>
      </c>
      <c r="D6002" t="s">
        <v>11</v>
      </c>
      <c r="E6002">
        <v>23</v>
      </c>
      <c r="F6002" s="2">
        <f>DATE(2026,IF(Tabla1[[#This Row],[Mes de Fecha]]="Septiembre",9,10),Tabla1[[#This Row],[Día de Fecha]])</f>
        <v>46288</v>
      </c>
      <c r="G6002">
        <v>1109541659</v>
      </c>
      <c r="H6002" t="s">
        <v>388</v>
      </c>
      <c r="I6002">
        <v>110</v>
      </c>
      <c r="J6002">
        <v>0</v>
      </c>
      <c r="K6002" s="1">
        <v>6372455</v>
      </c>
    </row>
    <row r="6003" spans="1:11" x14ac:dyDescent="0.25">
      <c r="A6003" t="s">
        <v>326</v>
      </c>
      <c r="B6003" t="s">
        <v>773</v>
      </c>
      <c r="C6003" t="s">
        <v>871</v>
      </c>
      <c r="D6003" t="s">
        <v>11</v>
      </c>
      <c r="E6003">
        <v>23</v>
      </c>
      <c r="F6003" s="2">
        <f>DATE(2026,IF(Tabla1[[#This Row],[Mes de Fecha]]="Septiembre",9,10),Tabla1[[#This Row],[Día de Fecha]])</f>
        <v>46288</v>
      </c>
      <c r="G6003">
        <v>1143972684</v>
      </c>
      <c r="H6003" t="s">
        <v>461</v>
      </c>
      <c r="I6003">
        <v>-1</v>
      </c>
      <c r="J6003">
        <v>0</v>
      </c>
      <c r="K6003" s="1">
        <v>-58781</v>
      </c>
    </row>
    <row r="6004" spans="1:11" x14ac:dyDescent="0.25">
      <c r="A6004" t="s">
        <v>326</v>
      </c>
      <c r="B6004" t="s">
        <v>773</v>
      </c>
      <c r="C6004" t="s">
        <v>871</v>
      </c>
      <c r="D6004" t="s">
        <v>11</v>
      </c>
      <c r="E6004">
        <v>24</v>
      </c>
      <c r="F6004" s="2">
        <f>DATE(2026,IF(Tabla1[[#This Row],[Mes de Fecha]]="Septiembre",9,10),Tabla1[[#This Row],[Día de Fecha]])</f>
        <v>46289</v>
      </c>
      <c r="I6004">
        <v>0</v>
      </c>
      <c r="J6004" s="1">
        <v>19420483</v>
      </c>
      <c r="K6004">
        <v>0</v>
      </c>
    </row>
    <row r="6005" spans="1:11" x14ac:dyDescent="0.25">
      <c r="A6005" t="s">
        <v>326</v>
      </c>
      <c r="B6005" t="s">
        <v>773</v>
      </c>
      <c r="C6005" t="s">
        <v>871</v>
      </c>
      <c r="D6005" t="s">
        <v>11</v>
      </c>
      <c r="E6005">
        <v>24</v>
      </c>
      <c r="F6005" s="2">
        <f>DATE(2026,IF(Tabla1[[#This Row],[Mes de Fecha]]="Septiembre",9,10),Tabla1[[#This Row],[Día de Fecha]])</f>
        <v>46289</v>
      </c>
      <c r="G6005">
        <v>1006073270</v>
      </c>
      <c r="H6005" t="s">
        <v>463</v>
      </c>
      <c r="I6005">
        <v>111</v>
      </c>
      <c r="J6005">
        <v>0</v>
      </c>
      <c r="K6005" s="1">
        <v>6822860</v>
      </c>
    </row>
    <row r="6006" spans="1:11" x14ac:dyDescent="0.25">
      <c r="A6006" t="s">
        <v>326</v>
      </c>
      <c r="B6006" t="s">
        <v>773</v>
      </c>
      <c r="C6006" t="s">
        <v>871</v>
      </c>
      <c r="D6006" t="s">
        <v>11</v>
      </c>
      <c r="E6006">
        <v>24</v>
      </c>
      <c r="F6006" s="2">
        <f>DATE(2026,IF(Tabla1[[#This Row],[Mes de Fecha]]="Septiembre",9,10),Tabla1[[#This Row],[Día de Fecha]])</f>
        <v>46289</v>
      </c>
      <c r="G6006">
        <v>1094265298</v>
      </c>
      <c r="H6006" t="s">
        <v>337</v>
      </c>
      <c r="I6006">
        <v>5</v>
      </c>
      <c r="J6006">
        <v>0</v>
      </c>
      <c r="K6006" s="1">
        <v>415756</v>
      </c>
    </row>
    <row r="6007" spans="1:11" x14ac:dyDescent="0.25">
      <c r="A6007" t="s">
        <v>326</v>
      </c>
      <c r="B6007" t="s">
        <v>773</v>
      </c>
      <c r="C6007" t="s">
        <v>871</v>
      </c>
      <c r="D6007" t="s">
        <v>11</v>
      </c>
      <c r="E6007">
        <v>24</v>
      </c>
      <c r="F6007" s="2">
        <f>DATE(2026,IF(Tabla1[[#This Row],[Mes de Fecha]]="Septiembre",9,10),Tabla1[[#This Row],[Día de Fecha]])</f>
        <v>46289</v>
      </c>
      <c r="G6007">
        <v>1109541659</v>
      </c>
      <c r="H6007" t="s">
        <v>388</v>
      </c>
      <c r="I6007">
        <v>155</v>
      </c>
      <c r="J6007">
        <v>0</v>
      </c>
      <c r="K6007" s="1">
        <v>9449617</v>
      </c>
    </row>
    <row r="6008" spans="1:11" x14ac:dyDescent="0.25">
      <c r="A6008" t="s">
        <v>326</v>
      </c>
      <c r="B6008" t="s">
        <v>773</v>
      </c>
      <c r="C6008" t="s">
        <v>871</v>
      </c>
      <c r="D6008" t="s">
        <v>11</v>
      </c>
      <c r="E6008">
        <v>24</v>
      </c>
      <c r="F6008" s="2">
        <f>DATE(2026,IF(Tabla1[[#This Row],[Mes de Fecha]]="Septiembre",9,10),Tabla1[[#This Row],[Día de Fecha]])</f>
        <v>46289</v>
      </c>
      <c r="G6008">
        <v>1143851967</v>
      </c>
      <c r="H6008" t="s">
        <v>359</v>
      </c>
      <c r="I6008">
        <v>-1</v>
      </c>
      <c r="J6008">
        <v>0</v>
      </c>
      <c r="K6008" s="1">
        <v>-58765</v>
      </c>
    </row>
    <row r="6009" spans="1:11" x14ac:dyDescent="0.25">
      <c r="A6009" t="s">
        <v>326</v>
      </c>
      <c r="B6009" t="s">
        <v>773</v>
      </c>
      <c r="C6009" t="s">
        <v>871</v>
      </c>
      <c r="D6009" t="s">
        <v>11</v>
      </c>
      <c r="E6009">
        <v>25</v>
      </c>
      <c r="F6009" s="2">
        <f>DATE(2026,IF(Tabla1[[#This Row],[Mes de Fecha]]="Septiembre",9,10),Tabla1[[#This Row],[Día de Fecha]])</f>
        <v>46290</v>
      </c>
      <c r="I6009">
        <v>0</v>
      </c>
      <c r="J6009" s="1">
        <v>19377489</v>
      </c>
      <c r="K6009">
        <v>0</v>
      </c>
    </row>
    <row r="6010" spans="1:11" x14ac:dyDescent="0.25">
      <c r="A6010" t="s">
        <v>326</v>
      </c>
      <c r="B6010" t="s">
        <v>773</v>
      </c>
      <c r="C6010" t="s">
        <v>871</v>
      </c>
      <c r="D6010" t="s">
        <v>11</v>
      </c>
      <c r="E6010">
        <v>25</v>
      </c>
      <c r="F6010" s="2">
        <f>DATE(2026,IF(Tabla1[[#This Row],[Mes de Fecha]]="Septiembre",9,10),Tabla1[[#This Row],[Día de Fecha]])</f>
        <v>46290</v>
      </c>
      <c r="G6010">
        <v>1006073270</v>
      </c>
      <c r="H6010" t="s">
        <v>463</v>
      </c>
      <c r="I6010">
        <v>84</v>
      </c>
      <c r="J6010">
        <v>0</v>
      </c>
      <c r="K6010" s="1">
        <v>4651849</v>
      </c>
    </row>
    <row r="6011" spans="1:11" x14ac:dyDescent="0.25">
      <c r="A6011" t="s">
        <v>326</v>
      </c>
      <c r="B6011" t="s">
        <v>773</v>
      </c>
      <c r="C6011" t="s">
        <v>871</v>
      </c>
      <c r="D6011" t="s">
        <v>11</v>
      </c>
      <c r="E6011">
        <v>25</v>
      </c>
      <c r="F6011" s="2">
        <f>DATE(2026,IF(Tabla1[[#This Row],[Mes de Fecha]]="Septiembre",9,10),Tabla1[[#This Row],[Día de Fecha]])</f>
        <v>46290</v>
      </c>
      <c r="G6011">
        <v>1094265298</v>
      </c>
      <c r="H6011" t="s">
        <v>337</v>
      </c>
      <c r="I6011">
        <v>14</v>
      </c>
      <c r="J6011">
        <v>0</v>
      </c>
      <c r="K6011" s="1">
        <v>877521</v>
      </c>
    </row>
    <row r="6012" spans="1:11" x14ac:dyDescent="0.25">
      <c r="A6012" t="s">
        <v>326</v>
      </c>
      <c r="B6012" t="s">
        <v>773</v>
      </c>
      <c r="C6012" t="s">
        <v>871</v>
      </c>
      <c r="D6012" t="s">
        <v>11</v>
      </c>
      <c r="E6012">
        <v>25</v>
      </c>
      <c r="F6012" s="2">
        <f>DATE(2026,IF(Tabla1[[#This Row],[Mes de Fecha]]="Septiembre",9,10),Tabla1[[#This Row],[Día de Fecha]])</f>
        <v>46290</v>
      </c>
      <c r="G6012">
        <v>1109541659</v>
      </c>
      <c r="H6012" t="s">
        <v>388</v>
      </c>
      <c r="I6012">
        <v>89</v>
      </c>
      <c r="J6012">
        <v>0</v>
      </c>
      <c r="K6012" s="1">
        <v>5161234</v>
      </c>
    </row>
    <row r="6013" spans="1:11" x14ac:dyDescent="0.25">
      <c r="A6013" t="s">
        <v>326</v>
      </c>
      <c r="B6013" t="s">
        <v>773</v>
      </c>
      <c r="C6013" t="s">
        <v>871</v>
      </c>
      <c r="D6013" t="s">
        <v>11</v>
      </c>
      <c r="E6013">
        <v>25</v>
      </c>
      <c r="F6013" s="2">
        <f>DATE(2026,IF(Tabla1[[#This Row],[Mes de Fecha]]="Septiembre",9,10),Tabla1[[#This Row],[Día de Fecha]])</f>
        <v>46290</v>
      </c>
      <c r="G6013">
        <v>1113689444</v>
      </c>
      <c r="H6013" t="s">
        <v>378</v>
      </c>
      <c r="I6013">
        <v>-1</v>
      </c>
      <c r="J6013">
        <v>0</v>
      </c>
      <c r="K6013" s="1">
        <v>-46177</v>
      </c>
    </row>
    <row r="6014" spans="1:11" x14ac:dyDescent="0.25">
      <c r="A6014" t="s">
        <v>326</v>
      </c>
      <c r="B6014" t="s">
        <v>773</v>
      </c>
      <c r="C6014" t="s">
        <v>871</v>
      </c>
      <c r="D6014" t="s">
        <v>11</v>
      </c>
      <c r="E6014">
        <v>26</v>
      </c>
      <c r="F6014" s="2">
        <f>DATE(2026,IF(Tabla1[[#This Row],[Mes de Fecha]]="Septiembre",9,10),Tabla1[[#This Row],[Día de Fecha]])</f>
        <v>46291</v>
      </c>
      <c r="I6014">
        <v>0</v>
      </c>
      <c r="J6014" s="1">
        <v>27848238</v>
      </c>
      <c r="K6014">
        <v>0</v>
      </c>
    </row>
    <row r="6015" spans="1:11" x14ac:dyDescent="0.25">
      <c r="A6015" t="s">
        <v>326</v>
      </c>
      <c r="B6015" t="s">
        <v>773</v>
      </c>
      <c r="C6015" t="s">
        <v>871</v>
      </c>
      <c r="D6015" t="s">
        <v>11</v>
      </c>
      <c r="E6015">
        <v>26</v>
      </c>
      <c r="F6015" s="2">
        <f>DATE(2026,IF(Tabla1[[#This Row],[Mes de Fecha]]="Septiembre",9,10),Tabla1[[#This Row],[Día de Fecha]])</f>
        <v>46291</v>
      </c>
      <c r="G6015">
        <v>98456222</v>
      </c>
      <c r="H6015" t="s">
        <v>774</v>
      </c>
      <c r="I6015">
        <v>1</v>
      </c>
      <c r="J6015">
        <v>0</v>
      </c>
      <c r="K6015" s="1">
        <v>4118</v>
      </c>
    </row>
    <row r="6016" spans="1:11" x14ac:dyDescent="0.25">
      <c r="A6016" t="s">
        <v>326</v>
      </c>
      <c r="B6016" t="s">
        <v>773</v>
      </c>
      <c r="C6016" t="s">
        <v>871</v>
      </c>
      <c r="D6016" t="s">
        <v>11</v>
      </c>
      <c r="E6016">
        <v>26</v>
      </c>
      <c r="F6016" s="2">
        <f>DATE(2026,IF(Tabla1[[#This Row],[Mes de Fecha]]="Septiembre",9,10),Tabla1[[#This Row],[Día de Fecha]])</f>
        <v>46291</v>
      </c>
      <c r="G6016">
        <v>1006073270</v>
      </c>
      <c r="H6016" t="s">
        <v>463</v>
      </c>
      <c r="I6016">
        <v>181</v>
      </c>
      <c r="J6016">
        <v>0</v>
      </c>
      <c r="K6016" s="1">
        <v>10531091</v>
      </c>
    </row>
    <row r="6017" spans="1:11" x14ac:dyDescent="0.25">
      <c r="A6017" t="s">
        <v>326</v>
      </c>
      <c r="B6017" t="s">
        <v>773</v>
      </c>
      <c r="C6017" t="s">
        <v>871</v>
      </c>
      <c r="D6017" t="s">
        <v>11</v>
      </c>
      <c r="E6017">
        <v>26</v>
      </c>
      <c r="F6017" s="2">
        <f>DATE(2026,IF(Tabla1[[#This Row],[Mes de Fecha]]="Septiembre",9,10),Tabla1[[#This Row],[Día de Fecha]])</f>
        <v>46291</v>
      </c>
      <c r="G6017">
        <v>1094265298</v>
      </c>
      <c r="H6017" t="s">
        <v>337</v>
      </c>
      <c r="I6017">
        <v>40</v>
      </c>
      <c r="J6017">
        <v>0</v>
      </c>
      <c r="K6017" s="1">
        <v>2286011</v>
      </c>
    </row>
    <row r="6018" spans="1:11" x14ac:dyDescent="0.25">
      <c r="A6018" t="s">
        <v>326</v>
      </c>
      <c r="B6018" t="s">
        <v>773</v>
      </c>
      <c r="C6018" t="s">
        <v>871</v>
      </c>
      <c r="D6018" t="s">
        <v>11</v>
      </c>
      <c r="E6018">
        <v>26</v>
      </c>
      <c r="F6018" s="2">
        <f>DATE(2026,IF(Tabla1[[#This Row],[Mes de Fecha]]="Septiembre",9,10),Tabla1[[#This Row],[Día de Fecha]])</f>
        <v>46291</v>
      </c>
      <c r="G6018">
        <v>1109541659</v>
      </c>
      <c r="H6018" t="s">
        <v>388</v>
      </c>
      <c r="I6018">
        <v>247</v>
      </c>
      <c r="J6018">
        <v>0</v>
      </c>
      <c r="K6018" s="1">
        <v>12809706</v>
      </c>
    </row>
    <row r="6019" spans="1:11" x14ac:dyDescent="0.25">
      <c r="A6019" t="s">
        <v>326</v>
      </c>
      <c r="B6019" t="s">
        <v>773</v>
      </c>
      <c r="C6019" t="s">
        <v>871</v>
      </c>
      <c r="D6019" t="s">
        <v>11</v>
      </c>
      <c r="E6019">
        <v>27</v>
      </c>
      <c r="F6019" s="2">
        <f>DATE(2026,IF(Tabla1[[#This Row],[Mes de Fecha]]="Septiembre",9,10),Tabla1[[#This Row],[Día de Fecha]])</f>
        <v>46292</v>
      </c>
      <c r="I6019">
        <v>0</v>
      </c>
      <c r="J6019" s="1">
        <v>22061410</v>
      </c>
      <c r="K6019">
        <v>0</v>
      </c>
    </row>
    <row r="6020" spans="1:11" x14ac:dyDescent="0.25">
      <c r="A6020" t="s">
        <v>326</v>
      </c>
      <c r="B6020" t="s">
        <v>773</v>
      </c>
      <c r="C6020" t="s">
        <v>871</v>
      </c>
      <c r="D6020" t="s">
        <v>11</v>
      </c>
      <c r="E6020">
        <v>27</v>
      </c>
      <c r="F6020" s="2">
        <f>DATE(2026,IF(Tabla1[[#This Row],[Mes de Fecha]]="Septiembre",9,10),Tabla1[[#This Row],[Día de Fecha]])</f>
        <v>46292</v>
      </c>
      <c r="G6020">
        <v>1006073270</v>
      </c>
      <c r="H6020" t="s">
        <v>463</v>
      </c>
      <c r="I6020">
        <v>141</v>
      </c>
      <c r="J6020">
        <v>0</v>
      </c>
      <c r="K6020" s="1">
        <v>7529390</v>
      </c>
    </row>
    <row r="6021" spans="1:11" x14ac:dyDescent="0.25">
      <c r="A6021" t="s">
        <v>326</v>
      </c>
      <c r="B6021" t="s">
        <v>773</v>
      </c>
      <c r="C6021" t="s">
        <v>871</v>
      </c>
      <c r="D6021" t="s">
        <v>11</v>
      </c>
      <c r="E6021">
        <v>27</v>
      </c>
      <c r="F6021" s="2">
        <f>DATE(2026,IF(Tabla1[[#This Row],[Mes de Fecha]]="Septiembre",9,10),Tabla1[[#This Row],[Día de Fecha]])</f>
        <v>46292</v>
      </c>
      <c r="G6021">
        <v>1109541659</v>
      </c>
      <c r="H6021" t="s">
        <v>388</v>
      </c>
      <c r="I6021">
        <v>134</v>
      </c>
      <c r="J6021">
        <v>0</v>
      </c>
      <c r="K6021" s="1">
        <v>7468130</v>
      </c>
    </row>
    <row r="6022" spans="1:11" x14ac:dyDescent="0.25">
      <c r="A6022" t="s">
        <v>326</v>
      </c>
      <c r="B6022" t="s">
        <v>773</v>
      </c>
      <c r="C6022" t="s">
        <v>871</v>
      </c>
      <c r="D6022" t="s">
        <v>11</v>
      </c>
      <c r="E6022">
        <v>28</v>
      </c>
      <c r="F6022" s="2">
        <f>DATE(2026,IF(Tabla1[[#This Row],[Mes de Fecha]]="Septiembre",9,10),Tabla1[[#This Row],[Día de Fecha]])</f>
        <v>46293</v>
      </c>
      <c r="I6022">
        <v>0</v>
      </c>
      <c r="J6022" s="1">
        <v>12421555</v>
      </c>
      <c r="K6022">
        <v>0</v>
      </c>
    </row>
    <row r="6023" spans="1:11" x14ac:dyDescent="0.25">
      <c r="A6023" t="s">
        <v>326</v>
      </c>
      <c r="B6023" t="s">
        <v>773</v>
      </c>
      <c r="C6023" t="s">
        <v>871</v>
      </c>
      <c r="D6023" t="s">
        <v>11</v>
      </c>
      <c r="E6023">
        <v>28</v>
      </c>
      <c r="F6023" s="2">
        <f>DATE(2026,IF(Tabla1[[#This Row],[Mes de Fecha]]="Septiembre",9,10),Tabla1[[#This Row],[Día de Fecha]])</f>
        <v>46293</v>
      </c>
      <c r="G6023">
        <v>1006073270</v>
      </c>
      <c r="H6023" t="s">
        <v>463</v>
      </c>
      <c r="I6023">
        <v>84</v>
      </c>
      <c r="J6023">
        <v>0</v>
      </c>
      <c r="K6023" s="1">
        <v>4903877</v>
      </c>
    </row>
    <row r="6024" spans="1:11" x14ac:dyDescent="0.25">
      <c r="A6024" t="s">
        <v>326</v>
      </c>
      <c r="B6024" t="s">
        <v>773</v>
      </c>
      <c r="C6024" t="s">
        <v>871</v>
      </c>
      <c r="D6024" t="s">
        <v>11</v>
      </c>
      <c r="E6024">
        <v>28</v>
      </c>
      <c r="F6024" s="2">
        <f>DATE(2026,IF(Tabla1[[#This Row],[Mes de Fecha]]="Septiembre",9,10),Tabla1[[#This Row],[Día de Fecha]])</f>
        <v>46293</v>
      </c>
      <c r="G6024">
        <v>1044101083</v>
      </c>
      <c r="H6024" t="s">
        <v>360</v>
      </c>
      <c r="I6024">
        <v>-1</v>
      </c>
      <c r="J6024">
        <v>0</v>
      </c>
      <c r="K6024" s="1">
        <v>-50378</v>
      </c>
    </row>
    <row r="6025" spans="1:11" x14ac:dyDescent="0.25">
      <c r="A6025" t="s">
        <v>326</v>
      </c>
      <c r="B6025" t="s">
        <v>773</v>
      </c>
      <c r="C6025" t="s">
        <v>871</v>
      </c>
      <c r="D6025" t="s">
        <v>11</v>
      </c>
      <c r="E6025">
        <v>28</v>
      </c>
      <c r="F6025" s="2">
        <f>DATE(2026,IF(Tabla1[[#This Row],[Mes de Fecha]]="Septiembre",9,10),Tabla1[[#This Row],[Día de Fecha]])</f>
        <v>46293</v>
      </c>
      <c r="G6025">
        <v>1094265298</v>
      </c>
      <c r="H6025" t="s">
        <v>337</v>
      </c>
      <c r="I6025">
        <v>27</v>
      </c>
      <c r="J6025">
        <v>0</v>
      </c>
      <c r="K6025" s="1">
        <v>1421052</v>
      </c>
    </row>
    <row r="6026" spans="1:11" x14ac:dyDescent="0.25">
      <c r="A6026" t="s">
        <v>326</v>
      </c>
      <c r="B6026" t="s">
        <v>773</v>
      </c>
      <c r="C6026" t="s">
        <v>871</v>
      </c>
      <c r="D6026" t="s">
        <v>11</v>
      </c>
      <c r="E6026">
        <v>28</v>
      </c>
      <c r="F6026" s="2">
        <f>DATE(2026,IF(Tabla1[[#This Row],[Mes de Fecha]]="Septiembre",9,10),Tabla1[[#This Row],[Día de Fecha]])</f>
        <v>46293</v>
      </c>
      <c r="G6026">
        <v>1109541659</v>
      </c>
      <c r="H6026" t="s">
        <v>388</v>
      </c>
      <c r="I6026">
        <v>85</v>
      </c>
      <c r="J6026">
        <v>0</v>
      </c>
      <c r="K6026" s="1">
        <v>4725415</v>
      </c>
    </row>
    <row r="6027" spans="1:11" x14ac:dyDescent="0.25">
      <c r="A6027" t="s">
        <v>326</v>
      </c>
      <c r="B6027" t="s">
        <v>773</v>
      </c>
      <c r="C6027" t="s">
        <v>871</v>
      </c>
      <c r="D6027" t="s">
        <v>11</v>
      </c>
      <c r="E6027">
        <v>28</v>
      </c>
      <c r="F6027" s="2">
        <f>DATE(2026,IF(Tabla1[[#This Row],[Mes de Fecha]]="Septiembre",9,10),Tabla1[[#This Row],[Día de Fecha]])</f>
        <v>46293</v>
      </c>
      <c r="G6027">
        <v>1144190117</v>
      </c>
      <c r="H6027" t="s">
        <v>396</v>
      </c>
      <c r="I6027">
        <v>-1</v>
      </c>
      <c r="J6027">
        <v>0</v>
      </c>
      <c r="K6027" s="1">
        <v>-79790</v>
      </c>
    </row>
    <row r="6028" spans="1:11" x14ac:dyDescent="0.25">
      <c r="A6028" t="s">
        <v>326</v>
      </c>
      <c r="B6028" t="s">
        <v>773</v>
      </c>
      <c r="C6028" t="s">
        <v>871</v>
      </c>
      <c r="D6028" t="s">
        <v>11</v>
      </c>
      <c r="E6028">
        <v>29</v>
      </c>
      <c r="F6028" s="2">
        <f>DATE(2026,IF(Tabla1[[#This Row],[Mes de Fecha]]="Septiembre",9,10),Tabla1[[#This Row],[Día de Fecha]])</f>
        <v>46294</v>
      </c>
      <c r="I6028">
        <v>0</v>
      </c>
      <c r="J6028" s="1">
        <v>12689847</v>
      </c>
      <c r="K6028">
        <v>0</v>
      </c>
    </row>
    <row r="6029" spans="1:11" x14ac:dyDescent="0.25">
      <c r="A6029" t="s">
        <v>326</v>
      </c>
      <c r="B6029" t="s">
        <v>773</v>
      </c>
      <c r="C6029" t="s">
        <v>871</v>
      </c>
      <c r="D6029" t="s">
        <v>11</v>
      </c>
      <c r="E6029">
        <v>29</v>
      </c>
      <c r="F6029" s="2">
        <f>DATE(2026,IF(Tabla1[[#This Row],[Mes de Fecha]]="Septiembre",9,10),Tabla1[[#This Row],[Día de Fecha]])</f>
        <v>46294</v>
      </c>
      <c r="G6029">
        <v>16919109</v>
      </c>
      <c r="H6029" t="s">
        <v>390</v>
      </c>
      <c r="I6029">
        <v>-1</v>
      </c>
      <c r="J6029">
        <v>0</v>
      </c>
      <c r="K6029" s="1">
        <v>-83992</v>
      </c>
    </row>
    <row r="6030" spans="1:11" x14ac:dyDescent="0.25">
      <c r="A6030" t="s">
        <v>326</v>
      </c>
      <c r="B6030" t="s">
        <v>773</v>
      </c>
      <c r="C6030" t="s">
        <v>871</v>
      </c>
      <c r="D6030" t="s">
        <v>11</v>
      </c>
      <c r="E6030">
        <v>29</v>
      </c>
      <c r="F6030" s="2">
        <f>DATE(2026,IF(Tabla1[[#This Row],[Mes de Fecha]]="Septiembre",9,10),Tabla1[[#This Row],[Día de Fecha]])</f>
        <v>46294</v>
      </c>
      <c r="G6030">
        <v>98456222</v>
      </c>
      <c r="H6030" t="s">
        <v>774</v>
      </c>
      <c r="I6030">
        <v>-2</v>
      </c>
      <c r="J6030">
        <v>0</v>
      </c>
      <c r="K6030" s="1">
        <v>-109160</v>
      </c>
    </row>
    <row r="6031" spans="1:11" x14ac:dyDescent="0.25">
      <c r="A6031" t="s">
        <v>326</v>
      </c>
      <c r="B6031" t="s">
        <v>773</v>
      </c>
      <c r="C6031" t="s">
        <v>871</v>
      </c>
      <c r="D6031" t="s">
        <v>11</v>
      </c>
      <c r="E6031">
        <v>29</v>
      </c>
      <c r="F6031" s="2">
        <f>DATE(2026,IF(Tabla1[[#This Row],[Mes de Fecha]]="Septiembre",9,10),Tabla1[[#This Row],[Día de Fecha]])</f>
        <v>46294</v>
      </c>
      <c r="G6031">
        <v>1006073270</v>
      </c>
      <c r="H6031" t="s">
        <v>463</v>
      </c>
      <c r="I6031">
        <v>205</v>
      </c>
      <c r="J6031">
        <v>0</v>
      </c>
      <c r="K6031" s="1">
        <v>8542775</v>
      </c>
    </row>
    <row r="6032" spans="1:11" x14ac:dyDescent="0.25">
      <c r="A6032" t="s">
        <v>326</v>
      </c>
      <c r="B6032" t="s">
        <v>773</v>
      </c>
      <c r="C6032" t="s">
        <v>871</v>
      </c>
      <c r="D6032" t="s">
        <v>11</v>
      </c>
      <c r="E6032">
        <v>29</v>
      </c>
      <c r="F6032" s="2">
        <f>DATE(2026,IF(Tabla1[[#This Row],[Mes de Fecha]]="Septiembre",9,10),Tabla1[[#This Row],[Día de Fecha]])</f>
        <v>46294</v>
      </c>
      <c r="G6032">
        <v>1094265298</v>
      </c>
      <c r="H6032" t="s">
        <v>337</v>
      </c>
      <c r="I6032">
        <v>9</v>
      </c>
      <c r="J6032">
        <v>0</v>
      </c>
      <c r="K6032" s="1">
        <v>596261</v>
      </c>
    </row>
    <row r="6033" spans="1:11" x14ac:dyDescent="0.25">
      <c r="A6033" t="s">
        <v>326</v>
      </c>
      <c r="B6033" t="s">
        <v>773</v>
      </c>
      <c r="C6033" t="s">
        <v>871</v>
      </c>
      <c r="D6033" t="s">
        <v>11</v>
      </c>
      <c r="E6033">
        <v>29</v>
      </c>
      <c r="F6033" s="2">
        <f>DATE(2026,IF(Tabla1[[#This Row],[Mes de Fecha]]="Septiembre",9,10),Tabla1[[#This Row],[Día de Fecha]])</f>
        <v>46294</v>
      </c>
      <c r="G6033">
        <v>1109541659</v>
      </c>
      <c r="H6033" t="s">
        <v>388</v>
      </c>
      <c r="I6033">
        <v>142</v>
      </c>
      <c r="J6033">
        <v>0</v>
      </c>
      <c r="K6033" s="1">
        <v>8136145</v>
      </c>
    </row>
    <row r="6034" spans="1:11" x14ac:dyDescent="0.25">
      <c r="A6034" t="s">
        <v>326</v>
      </c>
      <c r="B6034" t="s">
        <v>773</v>
      </c>
      <c r="C6034" t="s">
        <v>871</v>
      </c>
      <c r="D6034" t="s">
        <v>11</v>
      </c>
      <c r="E6034">
        <v>29</v>
      </c>
      <c r="F6034" s="2">
        <f>DATE(2026,IF(Tabla1[[#This Row],[Mes de Fecha]]="Septiembre",9,10),Tabla1[[#This Row],[Día de Fecha]])</f>
        <v>46294</v>
      </c>
      <c r="G6034">
        <v>1193259913</v>
      </c>
      <c r="H6034" t="s">
        <v>354</v>
      </c>
      <c r="I6034">
        <v>-1</v>
      </c>
      <c r="J6034">
        <v>0</v>
      </c>
      <c r="K6034" s="1">
        <v>-126008</v>
      </c>
    </row>
    <row r="6035" spans="1:11" x14ac:dyDescent="0.25">
      <c r="A6035" t="s">
        <v>326</v>
      </c>
      <c r="B6035" t="s">
        <v>773</v>
      </c>
      <c r="C6035" t="s">
        <v>871</v>
      </c>
      <c r="D6035" t="s">
        <v>11</v>
      </c>
      <c r="E6035">
        <v>30</v>
      </c>
      <c r="F6035" s="2">
        <f>DATE(2026,IF(Tabla1[[#This Row],[Mes de Fecha]]="Septiembre",9,10),Tabla1[[#This Row],[Día de Fecha]])</f>
        <v>46295</v>
      </c>
      <c r="I6035">
        <v>0</v>
      </c>
      <c r="J6035" s="1">
        <v>13397939</v>
      </c>
      <c r="K6035">
        <v>0</v>
      </c>
    </row>
    <row r="6036" spans="1:11" x14ac:dyDescent="0.25">
      <c r="A6036" t="s">
        <v>326</v>
      </c>
      <c r="B6036" t="s">
        <v>773</v>
      </c>
      <c r="C6036" t="s">
        <v>871</v>
      </c>
      <c r="D6036" t="s">
        <v>11</v>
      </c>
      <c r="E6036">
        <v>30</v>
      </c>
      <c r="F6036" s="2">
        <f>DATE(2026,IF(Tabla1[[#This Row],[Mes de Fecha]]="Septiembre",9,10),Tabla1[[#This Row],[Día de Fecha]])</f>
        <v>46295</v>
      </c>
      <c r="G6036">
        <v>1006073270</v>
      </c>
      <c r="H6036" t="s">
        <v>463</v>
      </c>
      <c r="I6036">
        <v>88</v>
      </c>
      <c r="J6036">
        <v>0</v>
      </c>
      <c r="K6036" s="1">
        <v>4443505</v>
      </c>
    </row>
    <row r="6037" spans="1:11" x14ac:dyDescent="0.25">
      <c r="A6037" t="s">
        <v>326</v>
      </c>
      <c r="B6037" t="s">
        <v>773</v>
      </c>
      <c r="C6037" t="s">
        <v>871</v>
      </c>
      <c r="D6037" t="s">
        <v>11</v>
      </c>
      <c r="E6037">
        <v>30</v>
      </c>
      <c r="F6037" s="2">
        <f>DATE(2026,IF(Tabla1[[#This Row],[Mes de Fecha]]="Septiembre",9,10),Tabla1[[#This Row],[Día de Fecha]])</f>
        <v>46295</v>
      </c>
      <c r="G6037">
        <v>1094265298</v>
      </c>
      <c r="H6037" t="s">
        <v>337</v>
      </c>
      <c r="I6037">
        <v>41</v>
      </c>
      <c r="J6037">
        <v>0</v>
      </c>
      <c r="K6037" s="1">
        <v>2515002</v>
      </c>
    </row>
    <row r="6038" spans="1:11" x14ac:dyDescent="0.25">
      <c r="A6038" t="s">
        <v>326</v>
      </c>
      <c r="B6038" t="s">
        <v>773</v>
      </c>
      <c r="C6038" t="s">
        <v>871</v>
      </c>
      <c r="D6038" t="s">
        <v>11</v>
      </c>
      <c r="E6038">
        <v>30</v>
      </c>
      <c r="F6038" s="2">
        <f>DATE(2026,IF(Tabla1[[#This Row],[Mes de Fecha]]="Septiembre",9,10),Tabla1[[#This Row],[Día de Fecha]])</f>
        <v>46295</v>
      </c>
      <c r="G6038">
        <v>1109541659</v>
      </c>
      <c r="H6038" t="s">
        <v>388</v>
      </c>
      <c r="I6038">
        <v>92</v>
      </c>
      <c r="J6038">
        <v>0</v>
      </c>
      <c r="K6038" s="1">
        <v>5403491</v>
      </c>
    </row>
    <row r="6039" spans="1:11" x14ac:dyDescent="0.25">
      <c r="A6039" t="s">
        <v>326</v>
      </c>
      <c r="B6039" t="s">
        <v>773</v>
      </c>
      <c r="C6039" t="s">
        <v>871</v>
      </c>
      <c r="D6039" t="s">
        <v>14</v>
      </c>
      <c r="E6039">
        <v>1</v>
      </c>
      <c r="F6039" s="2">
        <f>DATE(2026,IF(Tabla1[[#This Row],[Mes de Fecha]]="Septiembre",9,10),Tabla1[[#This Row],[Día de Fecha]])</f>
        <v>46296</v>
      </c>
      <c r="I6039">
        <v>0</v>
      </c>
      <c r="J6039" s="1">
        <v>16218024</v>
      </c>
      <c r="K6039">
        <v>0</v>
      </c>
    </row>
    <row r="6040" spans="1:11" x14ac:dyDescent="0.25">
      <c r="A6040" t="s">
        <v>326</v>
      </c>
      <c r="B6040" t="s">
        <v>773</v>
      </c>
      <c r="C6040" t="s">
        <v>871</v>
      </c>
      <c r="D6040" t="s">
        <v>14</v>
      </c>
      <c r="E6040">
        <v>1</v>
      </c>
      <c r="F6040" s="2">
        <f>DATE(2026,IF(Tabla1[[#This Row],[Mes de Fecha]]="Septiembre",9,10),Tabla1[[#This Row],[Día de Fecha]])</f>
        <v>46296</v>
      </c>
      <c r="G6040">
        <v>1006073270</v>
      </c>
      <c r="H6040" t="s">
        <v>463</v>
      </c>
      <c r="I6040">
        <v>117</v>
      </c>
      <c r="J6040">
        <v>0</v>
      </c>
      <c r="K6040" s="1">
        <v>6028373</v>
      </c>
    </row>
    <row r="6041" spans="1:11" x14ac:dyDescent="0.25">
      <c r="A6041" t="s">
        <v>326</v>
      </c>
      <c r="B6041" t="s">
        <v>773</v>
      </c>
      <c r="C6041" t="s">
        <v>871</v>
      </c>
      <c r="D6041" t="s">
        <v>14</v>
      </c>
      <c r="E6041">
        <v>1</v>
      </c>
      <c r="F6041" s="2">
        <f>DATE(2026,IF(Tabla1[[#This Row],[Mes de Fecha]]="Septiembre",9,10),Tabla1[[#This Row],[Día de Fecha]])</f>
        <v>46296</v>
      </c>
      <c r="G6041">
        <v>1094265298</v>
      </c>
      <c r="H6041" t="s">
        <v>337</v>
      </c>
      <c r="I6041">
        <v>13</v>
      </c>
      <c r="J6041">
        <v>0</v>
      </c>
      <c r="K6041" s="1">
        <v>540513</v>
      </c>
    </row>
    <row r="6042" spans="1:11" x14ac:dyDescent="0.25">
      <c r="A6042" t="s">
        <v>326</v>
      </c>
      <c r="B6042" t="s">
        <v>773</v>
      </c>
      <c r="C6042" t="s">
        <v>871</v>
      </c>
      <c r="D6042" t="s">
        <v>14</v>
      </c>
      <c r="E6042">
        <v>1</v>
      </c>
      <c r="F6042" s="2">
        <f>DATE(2026,IF(Tabla1[[#This Row],[Mes de Fecha]]="Septiembre",9,10),Tabla1[[#This Row],[Día de Fecha]])</f>
        <v>46296</v>
      </c>
      <c r="G6042">
        <v>1109541659</v>
      </c>
      <c r="H6042" t="s">
        <v>388</v>
      </c>
      <c r="I6042">
        <v>209</v>
      </c>
      <c r="J6042">
        <v>0</v>
      </c>
      <c r="K6042" s="1">
        <v>9651213</v>
      </c>
    </row>
    <row r="6043" spans="1:11" x14ac:dyDescent="0.25">
      <c r="A6043" t="s">
        <v>326</v>
      </c>
      <c r="B6043" t="s">
        <v>773</v>
      </c>
      <c r="C6043" t="s">
        <v>871</v>
      </c>
      <c r="D6043" t="s">
        <v>14</v>
      </c>
      <c r="E6043">
        <v>1</v>
      </c>
      <c r="F6043" s="2">
        <f>DATE(2026,IF(Tabla1[[#This Row],[Mes de Fecha]]="Septiembre",9,10),Tabla1[[#This Row],[Día de Fecha]])</f>
        <v>46296</v>
      </c>
      <c r="G6043">
        <v>1144159588</v>
      </c>
      <c r="H6043" t="s">
        <v>352</v>
      </c>
      <c r="I6043">
        <v>-2</v>
      </c>
      <c r="J6043">
        <v>0</v>
      </c>
      <c r="K6043" s="1">
        <v>-155378</v>
      </c>
    </row>
    <row r="6044" spans="1:11" x14ac:dyDescent="0.25">
      <c r="A6044" t="s">
        <v>326</v>
      </c>
      <c r="B6044" t="s">
        <v>773</v>
      </c>
      <c r="C6044" t="s">
        <v>871</v>
      </c>
      <c r="D6044" t="s">
        <v>14</v>
      </c>
      <c r="E6044">
        <v>2</v>
      </c>
      <c r="F6044" s="2">
        <f>DATE(2026,IF(Tabla1[[#This Row],[Mes de Fecha]]="Septiembre",9,10),Tabla1[[#This Row],[Día de Fecha]])</f>
        <v>46297</v>
      </c>
      <c r="I6044">
        <v>0</v>
      </c>
      <c r="J6044" s="1">
        <v>13332228</v>
      </c>
      <c r="K6044">
        <v>0</v>
      </c>
    </row>
    <row r="6045" spans="1:11" x14ac:dyDescent="0.25">
      <c r="A6045" t="s">
        <v>326</v>
      </c>
      <c r="B6045" t="s">
        <v>773</v>
      </c>
      <c r="C6045" t="s">
        <v>871</v>
      </c>
      <c r="D6045" t="s">
        <v>14</v>
      </c>
      <c r="E6045">
        <v>2</v>
      </c>
      <c r="F6045" s="2">
        <f>DATE(2026,IF(Tabla1[[#This Row],[Mes de Fecha]]="Septiembre",9,10),Tabla1[[#This Row],[Día de Fecha]])</f>
        <v>46297</v>
      </c>
      <c r="G6045">
        <v>6469923</v>
      </c>
      <c r="H6045" t="s">
        <v>340</v>
      </c>
      <c r="I6045">
        <v>-1</v>
      </c>
      <c r="J6045">
        <v>0</v>
      </c>
      <c r="K6045" s="1">
        <v>-67185</v>
      </c>
    </row>
    <row r="6046" spans="1:11" x14ac:dyDescent="0.25">
      <c r="A6046" t="s">
        <v>326</v>
      </c>
      <c r="B6046" t="s">
        <v>773</v>
      </c>
      <c r="C6046" t="s">
        <v>871</v>
      </c>
      <c r="D6046" t="s">
        <v>14</v>
      </c>
      <c r="E6046">
        <v>2</v>
      </c>
      <c r="F6046" s="2">
        <f>DATE(2026,IF(Tabla1[[#This Row],[Mes de Fecha]]="Septiembre",9,10),Tabla1[[#This Row],[Día de Fecha]])</f>
        <v>46297</v>
      </c>
      <c r="G6046">
        <v>1006073270</v>
      </c>
      <c r="H6046" t="s">
        <v>463</v>
      </c>
      <c r="I6046">
        <v>69</v>
      </c>
      <c r="J6046">
        <v>0</v>
      </c>
      <c r="K6046" s="1">
        <v>3624402</v>
      </c>
    </row>
    <row r="6047" spans="1:11" x14ac:dyDescent="0.25">
      <c r="A6047" t="s">
        <v>326</v>
      </c>
      <c r="B6047" t="s">
        <v>773</v>
      </c>
      <c r="C6047" t="s">
        <v>871</v>
      </c>
      <c r="D6047" t="s">
        <v>14</v>
      </c>
      <c r="E6047">
        <v>2</v>
      </c>
      <c r="F6047" s="2">
        <f>DATE(2026,IF(Tabla1[[#This Row],[Mes de Fecha]]="Septiembre",9,10),Tabla1[[#This Row],[Día de Fecha]])</f>
        <v>46297</v>
      </c>
      <c r="G6047">
        <v>1094265298</v>
      </c>
      <c r="H6047" t="s">
        <v>337</v>
      </c>
      <c r="I6047">
        <v>11</v>
      </c>
      <c r="J6047">
        <v>0</v>
      </c>
      <c r="K6047" s="1">
        <v>600378</v>
      </c>
    </row>
    <row r="6048" spans="1:11" x14ac:dyDescent="0.25">
      <c r="A6048" t="s">
        <v>326</v>
      </c>
      <c r="B6048" t="s">
        <v>773</v>
      </c>
      <c r="C6048" t="s">
        <v>871</v>
      </c>
      <c r="D6048" t="s">
        <v>14</v>
      </c>
      <c r="E6048">
        <v>2</v>
      </c>
      <c r="F6048" s="2">
        <f>DATE(2026,IF(Tabla1[[#This Row],[Mes de Fecha]]="Septiembre",9,10),Tabla1[[#This Row],[Día de Fecha]])</f>
        <v>46297</v>
      </c>
      <c r="G6048">
        <v>1109541659</v>
      </c>
      <c r="H6048" t="s">
        <v>388</v>
      </c>
      <c r="I6048">
        <v>96</v>
      </c>
      <c r="J6048">
        <v>0</v>
      </c>
      <c r="K6048" s="1">
        <v>5464022</v>
      </c>
    </row>
    <row r="6049" spans="1:11" x14ac:dyDescent="0.25">
      <c r="A6049" t="s">
        <v>326</v>
      </c>
      <c r="B6049" t="s">
        <v>773</v>
      </c>
      <c r="C6049" t="s">
        <v>871</v>
      </c>
      <c r="D6049" t="s">
        <v>14</v>
      </c>
      <c r="E6049">
        <v>3</v>
      </c>
      <c r="F6049" s="2">
        <f>DATE(2026,IF(Tabla1[[#This Row],[Mes de Fecha]]="Septiembre",9,10),Tabla1[[#This Row],[Día de Fecha]])</f>
        <v>46298</v>
      </c>
      <c r="I6049">
        <v>0</v>
      </c>
      <c r="J6049" s="1">
        <v>27238014</v>
      </c>
      <c r="K6049">
        <v>0</v>
      </c>
    </row>
    <row r="6050" spans="1:11" x14ac:dyDescent="0.25">
      <c r="A6050" t="s">
        <v>326</v>
      </c>
      <c r="B6050" t="s">
        <v>773</v>
      </c>
      <c r="C6050" t="s">
        <v>871</v>
      </c>
      <c r="D6050" t="s">
        <v>14</v>
      </c>
      <c r="E6050">
        <v>3</v>
      </c>
      <c r="F6050" s="2">
        <f>DATE(2026,IF(Tabla1[[#This Row],[Mes de Fecha]]="Septiembre",9,10),Tabla1[[#This Row],[Día de Fecha]])</f>
        <v>46298</v>
      </c>
      <c r="G6050">
        <v>1006073270</v>
      </c>
      <c r="H6050" t="s">
        <v>463</v>
      </c>
      <c r="I6050">
        <v>183</v>
      </c>
      <c r="J6050">
        <v>0</v>
      </c>
      <c r="K6050" s="1">
        <v>8841380</v>
      </c>
    </row>
    <row r="6051" spans="1:11" x14ac:dyDescent="0.25">
      <c r="A6051" t="s">
        <v>326</v>
      </c>
      <c r="B6051" t="s">
        <v>773</v>
      </c>
      <c r="C6051" t="s">
        <v>871</v>
      </c>
      <c r="D6051" t="s">
        <v>14</v>
      </c>
      <c r="E6051">
        <v>3</v>
      </c>
      <c r="F6051" s="2">
        <f>DATE(2026,IF(Tabla1[[#This Row],[Mes de Fecha]]="Septiembre",9,10),Tabla1[[#This Row],[Día de Fecha]])</f>
        <v>46298</v>
      </c>
      <c r="G6051">
        <v>1094265298</v>
      </c>
      <c r="H6051" t="s">
        <v>337</v>
      </c>
      <c r="I6051">
        <v>39</v>
      </c>
      <c r="J6051">
        <v>0</v>
      </c>
      <c r="K6051" s="1">
        <v>2079866</v>
      </c>
    </row>
    <row r="6052" spans="1:11" x14ac:dyDescent="0.25">
      <c r="A6052" t="s">
        <v>326</v>
      </c>
      <c r="B6052" t="s">
        <v>773</v>
      </c>
      <c r="C6052" t="s">
        <v>871</v>
      </c>
      <c r="D6052" t="s">
        <v>14</v>
      </c>
      <c r="E6052">
        <v>3</v>
      </c>
      <c r="F6052" s="2">
        <f>DATE(2026,IF(Tabla1[[#This Row],[Mes de Fecha]]="Septiembre",9,10),Tabla1[[#This Row],[Día de Fecha]])</f>
        <v>46298</v>
      </c>
      <c r="G6052">
        <v>1107047599</v>
      </c>
      <c r="H6052" t="s">
        <v>356</v>
      </c>
      <c r="I6052">
        <v>-1</v>
      </c>
      <c r="J6052">
        <v>0</v>
      </c>
      <c r="K6052" s="1">
        <v>-67143</v>
      </c>
    </row>
    <row r="6053" spans="1:11" x14ac:dyDescent="0.25">
      <c r="A6053" t="s">
        <v>326</v>
      </c>
      <c r="B6053" t="s">
        <v>773</v>
      </c>
      <c r="C6053" t="s">
        <v>871</v>
      </c>
      <c r="D6053" t="s">
        <v>14</v>
      </c>
      <c r="E6053">
        <v>3</v>
      </c>
      <c r="F6053" s="2">
        <f>DATE(2026,IF(Tabla1[[#This Row],[Mes de Fecha]]="Septiembre",9,10),Tabla1[[#This Row],[Día de Fecha]])</f>
        <v>46298</v>
      </c>
      <c r="G6053">
        <v>1109541659</v>
      </c>
      <c r="H6053" t="s">
        <v>388</v>
      </c>
      <c r="I6053">
        <v>185</v>
      </c>
      <c r="J6053">
        <v>0</v>
      </c>
      <c r="K6053" s="1">
        <v>9729781</v>
      </c>
    </row>
    <row r="6054" spans="1:11" x14ac:dyDescent="0.25">
      <c r="A6054" t="s">
        <v>326</v>
      </c>
      <c r="B6054" t="s">
        <v>773</v>
      </c>
      <c r="C6054" t="s">
        <v>871</v>
      </c>
      <c r="D6054" t="s">
        <v>14</v>
      </c>
      <c r="E6054">
        <v>3</v>
      </c>
      <c r="F6054" s="2">
        <f>DATE(2026,IF(Tabla1[[#This Row],[Mes de Fecha]]="Septiembre",9,10),Tabla1[[#This Row],[Día de Fecha]])</f>
        <v>46298</v>
      </c>
      <c r="G6054">
        <v>1144212178</v>
      </c>
      <c r="H6054" t="s">
        <v>336</v>
      </c>
      <c r="I6054">
        <v>-1</v>
      </c>
      <c r="J6054">
        <v>0</v>
      </c>
      <c r="K6054" s="1">
        <v>-83992</v>
      </c>
    </row>
    <row r="6055" spans="1:11" x14ac:dyDescent="0.25">
      <c r="A6055" t="s">
        <v>326</v>
      </c>
      <c r="B6055" t="s">
        <v>773</v>
      </c>
      <c r="C6055" t="s">
        <v>871</v>
      </c>
      <c r="D6055" t="s">
        <v>14</v>
      </c>
      <c r="E6055">
        <v>4</v>
      </c>
      <c r="F6055" s="2">
        <f>DATE(2026,IF(Tabla1[[#This Row],[Mes de Fecha]]="Septiembre",9,10),Tabla1[[#This Row],[Día de Fecha]])</f>
        <v>46299</v>
      </c>
      <c r="I6055">
        <v>0</v>
      </c>
      <c r="J6055" s="1">
        <v>13676832</v>
      </c>
      <c r="K6055">
        <v>0</v>
      </c>
    </row>
    <row r="6056" spans="1:11" x14ac:dyDescent="0.25">
      <c r="A6056" t="s">
        <v>326</v>
      </c>
      <c r="B6056" t="s">
        <v>773</v>
      </c>
      <c r="C6056" t="s">
        <v>871</v>
      </c>
      <c r="D6056" t="s">
        <v>14</v>
      </c>
      <c r="E6056">
        <v>4</v>
      </c>
      <c r="F6056" s="2">
        <f>DATE(2026,IF(Tabla1[[#This Row],[Mes de Fecha]]="Septiembre",9,10),Tabla1[[#This Row],[Día de Fecha]])</f>
        <v>46299</v>
      </c>
      <c r="G6056">
        <v>98456222</v>
      </c>
      <c r="H6056" t="s">
        <v>774</v>
      </c>
      <c r="I6056">
        <v>-1</v>
      </c>
      <c r="J6056">
        <v>0</v>
      </c>
      <c r="K6056" s="1">
        <v>-33529</v>
      </c>
    </row>
    <row r="6057" spans="1:11" x14ac:dyDescent="0.25">
      <c r="A6057" t="s">
        <v>326</v>
      </c>
      <c r="B6057" t="s">
        <v>773</v>
      </c>
      <c r="C6057" t="s">
        <v>871</v>
      </c>
      <c r="D6057" t="s">
        <v>14</v>
      </c>
      <c r="E6057">
        <v>4</v>
      </c>
      <c r="F6057" s="2">
        <f>DATE(2026,IF(Tabla1[[#This Row],[Mes de Fecha]]="Septiembre",9,10),Tabla1[[#This Row],[Día de Fecha]])</f>
        <v>46299</v>
      </c>
      <c r="G6057">
        <v>1006073270</v>
      </c>
      <c r="H6057" t="s">
        <v>463</v>
      </c>
      <c r="I6057">
        <v>124</v>
      </c>
      <c r="J6057">
        <v>0</v>
      </c>
      <c r="K6057" s="1">
        <v>7080231</v>
      </c>
    </row>
    <row r="6058" spans="1:11" x14ac:dyDescent="0.25">
      <c r="A6058" t="s">
        <v>326</v>
      </c>
      <c r="B6058" t="s">
        <v>773</v>
      </c>
      <c r="C6058" t="s">
        <v>871</v>
      </c>
      <c r="D6058" t="s">
        <v>14</v>
      </c>
      <c r="E6058">
        <v>4</v>
      </c>
      <c r="F6058" s="2">
        <f>DATE(2026,IF(Tabla1[[#This Row],[Mes de Fecha]]="Septiembre",9,10),Tabla1[[#This Row],[Día de Fecha]])</f>
        <v>46299</v>
      </c>
      <c r="G6058">
        <v>1109541659</v>
      </c>
      <c r="H6058" t="s">
        <v>388</v>
      </c>
      <c r="I6058">
        <v>128</v>
      </c>
      <c r="J6058">
        <v>0</v>
      </c>
      <c r="K6058" s="1">
        <v>7267743</v>
      </c>
    </row>
    <row r="6059" spans="1:11" x14ac:dyDescent="0.25">
      <c r="A6059" t="s">
        <v>326</v>
      </c>
      <c r="B6059" t="s">
        <v>773</v>
      </c>
      <c r="C6059" t="s">
        <v>871</v>
      </c>
      <c r="D6059" t="s">
        <v>14</v>
      </c>
      <c r="E6059">
        <v>5</v>
      </c>
      <c r="F6059" s="2">
        <f>DATE(2026,IF(Tabla1[[#This Row],[Mes de Fecha]]="Septiembre",9,10),Tabla1[[#This Row],[Día de Fecha]])</f>
        <v>46300</v>
      </c>
      <c r="I6059">
        <v>0</v>
      </c>
      <c r="J6059" s="1">
        <v>12420964</v>
      </c>
      <c r="K6059">
        <v>0</v>
      </c>
    </row>
    <row r="6060" spans="1:11" x14ac:dyDescent="0.25">
      <c r="A6060" t="s">
        <v>326</v>
      </c>
      <c r="B6060" t="s">
        <v>773</v>
      </c>
      <c r="C6060" t="s">
        <v>871</v>
      </c>
      <c r="D6060" t="s">
        <v>14</v>
      </c>
      <c r="E6060">
        <v>5</v>
      </c>
      <c r="F6060" s="2">
        <f>DATE(2026,IF(Tabla1[[#This Row],[Mes de Fecha]]="Septiembre",9,10),Tabla1[[#This Row],[Día de Fecha]])</f>
        <v>46300</v>
      </c>
      <c r="G6060">
        <v>1006073270</v>
      </c>
      <c r="H6060" t="s">
        <v>463</v>
      </c>
      <c r="I6060">
        <v>190</v>
      </c>
      <c r="J6060">
        <v>0</v>
      </c>
      <c r="K6060" s="1">
        <v>9925697</v>
      </c>
    </row>
    <row r="6061" spans="1:11" x14ac:dyDescent="0.25">
      <c r="A6061" t="s">
        <v>326</v>
      </c>
      <c r="B6061" t="s">
        <v>773</v>
      </c>
      <c r="C6061" t="s">
        <v>871</v>
      </c>
      <c r="D6061" t="s">
        <v>14</v>
      </c>
      <c r="E6061">
        <v>5</v>
      </c>
      <c r="F6061" s="2">
        <f>DATE(2026,IF(Tabla1[[#This Row],[Mes de Fecha]]="Septiembre",9,10),Tabla1[[#This Row],[Día de Fecha]])</f>
        <v>46300</v>
      </c>
      <c r="G6061">
        <v>1094265298</v>
      </c>
      <c r="H6061" t="s">
        <v>337</v>
      </c>
      <c r="I6061">
        <v>28</v>
      </c>
      <c r="J6061">
        <v>0</v>
      </c>
      <c r="K6061" s="1">
        <v>1338993</v>
      </c>
    </row>
    <row r="6062" spans="1:11" x14ac:dyDescent="0.25">
      <c r="A6062" t="s">
        <v>326</v>
      </c>
      <c r="B6062" t="s">
        <v>773</v>
      </c>
      <c r="C6062" t="s">
        <v>871</v>
      </c>
      <c r="D6062" t="s">
        <v>14</v>
      </c>
      <c r="E6062">
        <v>5</v>
      </c>
      <c r="F6062" s="2">
        <f>DATE(2026,IF(Tabla1[[#This Row],[Mes de Fecha]]="Septiembre",9,10),Tabla1[[#This Row],[Día de Fecha]])</f>
        <v>46300</v>
      </c>
      <c r="G6062">
        <v>1109541659</v>
      </c>
      <c r="H6062" t="s">
        <v>388</v>
      </c>
      <c r="I6062">
        <v>6</v>
      </c>
      <c r="J6062">
        <v>0</v>
      </c>
      <c r="K6062" s="1">
        <v>287647</v>
      </c>
    </row>
    <row r="6063" spans="1:11" x14ac:dyDescent="0.25">
      <c r="A6063" t="s">
        <v>326</v>
      </c>
      <c r="B6063" t="s">
        <v>773</v>
      </c>
      <c r="C6063" t="s">
        <v>871</v>
      </c>
      <c r="D6063" t="s">
        <v>14</v>
      </c>
      <c r="E6063">
        <v>6</v>
      </c>
      <c r="F6063" s="2">
        <f>DATE(2026,IF(Tabla1[[#This Row],[Mes de Fecha]]="Septiembre",9,10),Tabla1[[#This Row],[Día de Fecha]])</f>
        <v>46301</v>
      </c>
      <c r="I6063">
        <v>0</v>
      </c>
      <c r="J6063" s="1">
        <v>9032324</v>
      </c>
      <c r="K6063">
        <v>0</v>
      </c>
    </row>
    <row r="6064" spans="1:11" x14ac:dyDescent="0.25">
      <c r="A6064" t="s">
        <v>326</v>
      </c>
      <c r="B6064" t="s">
        <v>773</v>
      </c>
      <c r="C6064" t="s">
        <v>871</v>
      </c>
      <c r="D6064" t="s">
        <v>14</v>
      </c>
      <c r="E6064">
        <v>6</v>
      </c>
      <c r="F6064" s="2">
        <f>DATE(2026,IF(Tabla1[[#This Row],[Mes de Fecha]]="Septiembre",9,10),Tabla1[[#This Row],[Día de Fecha]])</f>
        <v>46301</v>
      </c>
      <c r="G6064">
        <v>98456222</v>
      </c>
      <c r="H6064" t="s">
        <v>774</v>
      </c>
      <c r="I6064">
        <v>-1</v>
      </c>
      <c r="J6064">
        <v>0</v>
      </c>
      <c r="K6064" s="1">
        <v>-37773</v>
      </c>
    </row>
    <row r="6065" spans="1:11" x14ac:dyDescent="0.25">
      <c r="A6065" t="s">
        <v>326</v>
      </c>
      <c r="B6065" t="s">
        <v>773</v>
      </c>
      <c r="C6065" t="s">
        <v>871</v>
      </c>
      <c r="D6065" t="s">
        <v>14</v>
      </c>
      <c r="E6065">
        <v>6</v>
      </c>
      <c r="F6065" s="2">
        <f>DATE(2026,IF(Tabla1[[#This Row],[Mes de Fecha]]="Septiembre",9,10),Tabla1[[#This Row],[Día de Fecha]])</f>
        <v>46301</v>
      </c>
      <c r="G6065">
        <v>1006073270</v>
      </c>
      <c r="H6065" t="s">
        <v>463</v>
      </c>
      <c r="I6065">
        <v>48</v>
      </c>
      <c r="J6065">
        <v>0</v>
      </c>
      <c r="K6065" s="1">
        <v>2110136</v>
      </c>
    </row>
    <row r="6066" spans="1:11" x14ac:dyDescent="0.25">
      <c r="A6066" t="s">
        <v>326</v>
      </c>
      <c r="B6066" t="s">
        <v>773</v>
      </c>
      <c r="C6066" t="s">
        <v>871</v>
      </c>
      <c r="D6066" t="s">
        <v>14</v>
      </c>
      <c r="E6066">
        <v>6</v>
      </c>
      <c r="F6066" s="2">
        <f>DATE(2026,IF(Tabla1[[#This Row],[Mes de Fecha]]="Septiembre",9,10),Tabla1[[#This Row],[Día de Fecha]])</f>
        <v>46301</v>
      </c>
      <c r="G6066">
        <v>1007132542</v>
      </c>
      <c r="H6066" t="s">
        <v>386</v>
      </c>
      <c r="I6066">
        <v>-1</v>
      </c>
      <c r="J6066">
        <v>0</v>
      </c>
      <c r="K6066" s="1">
        <v>-83992</v>
      </c>
    </row>
    <row r="6067" spans="1:11" x14ac:dyDescent="0.25">
      <c r="A6067" t="s">
        <v>326</v>
      </c>
      <c r="B6067" t="s">
        <v>773</v>
      </c>
      <c r="C6067" t="s">
        <v>871</v>
      </c>
      <c r="D6067" t="s">
        <v>14</v>
      </c>
      <c r="E6067">
        <v>6</v>
      </c>
      <c r="F6067" s="2">
        <f>DATE(2026,IF(Tabla1[[#This Row],[Mes de Fecha]]="Septiembre",9,10),Tabla1[[#This Row],[Día de Fecha]])</f>
        <v>46301</v>
      </c>
      <c r="G6067">
        <v>1094265298</v>
      </c>
      <c r="H6067" t="s">
        <v>337</v>
      </c>
      <c r="I6067">
        <v>6</v>
      </c>
      <c r="J6067">
        <v>0</v>
      </c>
      <c r="K6067" s="1">
        <v>209791</v>
      </c>
    </row>
    <row r="6068" spans="1:11" x14ac:dyDescent="0.25">
      <c r="A6068" t="s">
        <v>326</v>
      </c>
      <c r="B6068" t="s">
        <v>773</v>
      </c>
      <c r="C6068" t="s">
        <v>871</v>
      </c>
      <c r="D6068" t="s">
        <v>14</v>
      </c>
      <c r="E6068">
        <v>6</v>
      </c>
      <c r="F6068" s="2">
        <f>DATE(2026,IF(Tabla1[[#This Row],[Mes de Fecha]]="Septiembre",9,10),Tabla1[[#This Row],[Día de Fecha]])</f>
        <v>46301</v>
      </c>
      <c r="G6068">
        <v>1109541659</v>
      </c>
      <c r="H6068" t="s">
        <v>388</v>
      </c>
      <c r="I6068">
        <v>53</v>
      </c>
      <c r="J6068">
        <v>0</v>
      </c>
      <c r="K6068" s="1">
        <v>2474556</v>
      </c>
    </row>
    <row r="6069" spans="1:11" x14ac:dyDescent="0.25">
      <c r="A6069" t="s">
        <v>326</v>
      </c>
      <c r="B6069" t="s">
        <v>773</v>
      </c>
      <c r="C6069" t="s">
        <v>871</v>
      </c>
      <c r="D6069" t="s">
        <v>14</v>
      </c>
      <c r="E6069">
        <v>7</v>
      </c>
      <c r="F6069" s="2">
        <f>DATE(2026,IF(Tabla1[[#This Row],[Mes de Fecha]]="Septiembre",9,10),Tabla1[[#This Row],[Día de Fecha]])</f>
        <v>46302</v>
      </c>
      <c r="I6069">
        <v>0</v>
      </c>
      <c r="J6069" s="1">
        <v>8937476</v>
      </c>
      <c r="K6069">
        <v>0</v>
      </c>
    </row>
    <row r="6070" spans="1:11" x14ac:dyDescent="0.25">
      <c r="A6070" t="s">
        <v>326</v>
      </c>
      <c r="B6070" t="s">
        <v>773</v>
      </c>
      <c r="C6070" t="s">
        <v>871</v>
      </c>
      <c r="D6070" t="s">
        <v>14</v>
      </c>
      <c r="E6070">
        <v>7</v>
      </c>
      <c r="F6070" s="2">
        <f>DATE(2026,IF(Tabla1[[#This Row],[Mes de Fecha]]="Septiembre",9,10),Tabla1[[#This Row],[Día de Fecha]])</f>
        <v>46302</v>
      </c>
      <c r="G6070">
        <v>1006073270</v>
      </c>
      <c r="H6070" t="s">
        <v>463</v>
      </c>
      <c r="I6070">
        <v>46</v>
      </c>
      <c r="J6070">
        <v>0</v>
      </c>
      <c r="K6070" s="1">
        <v>2403440</v>
      </c>
    </row>
    <row r="6071" spans="1:11" x14ac:dyDescent="0.25">
      <c r="A6071" t="s">
        <v>326</v>
      </c>
      <c r="B6071" t="s">
        <v>773</v>
      </c>
      <c r="C6071" t="s">
        <v>871</v>
      </c>
      <c r="D6071" t="s">
        <v>14</v>
      </c>
      <c r="E6071">
        <v>7</v>
      </c>
      <c r="F6071" s="2">
        <f>DATE(2026,IF(Tabla1[[#This Row],[Mes de Fecha]]="Septiembre",9,10),Tabla1[[#This Row],[Día de Fecha]])</f>
        <v>46302</v>
      </c>
      <c r="G6071">
        <v>1109541659</v>
      </c>
      <c r="H6071" t="s">
        <v>388</v>
      </c>
      <c r="I6071">
        <v>38</v>
      </c>
      <c r="J6071">
        <v>0</v>
      </c>
      <c r="K6071" s="1">
        <v>2323911</v>
      </c>
    </row>
    <row r="6072" spans="1:11" x14ac:dyDescent="0.25">
      <c r="A6072" t="s">
        <v>326</v>
      </c>
      <c r="B6072" t="s">
        <v>828</v>
      </c>
      <c r="C6072" t="s">
        <v>871</v>
      </c>
      <c r="D6072" t="s">
        <v>11</v>
      </c>
      <c r="E6072">
        <v>23</v>
      </c>
      <c r="F6072" s="2">
        <f>DATE(2026,IF(Tabla1[[#This Row],[Mes de Fecha]]="Septiembre",9,10),Tabla1[[#This Row],[Día de Fecha]])</f>
        <v>46288</v>
      </c>
      <c r="I6072">
        <v>0</v>
      </c>
      <c r="J6072" s="1">
        <v>3629752</v>
      </c>
      <c r="K6072">
        <v>0</v>
      </c>
    </row>
    <row r="6073" spans="1:11" x14ac:dyDescent="0.25">
      <c r="A6073" t="s">
        <v>326</v>
      </c>
      <c r="B6073" t="s">
        <v>828</v>
      </c>
      <c r="C6073" t="s">
        <v>871</v>
      </c>
      <c r="D6073" t="s">
        <v>11</v>
      </c>
      <c r="E6073">
        <v>23</v>
      </c>
      <c r="F6073" s="2">
        <f>DATE(2026,IF(Tabla1[[#This Row],[Mes de Fecha]]="Septiembre",9,10),Tabla1[[#This Row],[Día de Fecha]])</f>
        <v>46288</v>
      </c>
      <c r="G6073">
        <v>1006100360</v>
      </c>
      <c r="H6073" t="s">
        <v>464</v>
      </c>
      <c r="I6073">
        <v>5</v>
      </c>
      <c r="J6073">
        <v>0</v>
      </c>
      <c r="K6073" s="1">
        <v>264455</v>
      </c>
    </row>
    <row r="6074" spans="1:11" x14ac:dyDescent="0.25">
      <c r="A6074" t="s">
        <v>326</v>
      </c>
      <c r="B6074" t="s">
        <v>828</v>
      </c>
      <c r="C6074" t="s">
        <v>871</v>
      </c>
      <c r="D6074" t="s">
        <v>11</v>
      </c>
      <c r="E6074">
        <v>23</v>
      </c>
      <c r="F6074" s="2">
        <f>DATE(2026,IF(Tabla1[[#This Row],[Mes de Fecha]]="Septiembre",9,10),Tabla1[[#This Row],[Día de Fecha]])</f>
        <v>46288</v>
      </c>
      <c r="G6074">
        <v>1007257651</v>
      </c>
      <c r="H6074" t="s">
        <v>829</v>
      </c>
      <c r="I6074">
        <v>1</v>
      </c>
      <c r="J6074">
        <v>0</v>
      </c>
      <c r="K6074" s="1">
        <v>58782</v>
      </c>
    </row>
    <row r="6075" spans="1:11" x14ac:dyDescent="0.25">
      <c r="A6075" t="s">
        <v>326</v>
      </c>
      <c r="B6075" t="s">
        <v>828</v>
      </c>
      <c r="C6075" t="s">
        <v>871</v>
      </c>
      <c r="D6075" t="s">
        <v>11</v>
      </c>
      <c r="E6075">
        <v>23</v>
      </c>
      <c r="F6075" s="2">
        <f>DATE(2026,IF(Tabla1[[#This Row],[Mes de Fecha]]="Septiembre",9,10),Tabla1[[#This Row],[Día de Fecha]])</f>
        <v>46288</v>
      </c>
      <c r="G6075">
        <v>1087185324</v>
      </c>
      <c r="H6075" t="s">
        <v>362</v>
      </c>
      <c r="I6075">
        <v>29</v>
      </c>
      <c r="J6075">
        <v>0</v>
      </c>
      <c r="K6075" s="1">
        <v>1879036</v>
      </c>
    </row>
    <row r="6076" spans="1:11" x14ac:dyDescent="0.25">
      <c r="A6076" t="s">
        <v>326</v>
      </c>
      <c r="B6076" t="s">
        <v>828</v>
      </c>
      <c r="C6076" t="s">
        <v>871</v>
      </c>
      <c r="D6076" t="s">
        <v>11</v>
      </c>
      <c r="E6076">
        <v>23</v>
      </c>
      <c r="F6076" s="2">
        <f>DATE(2026,IF(Tabla1[[#This Row],[Mes de Fecha]]="Septiembre",9,10),Tabla1[[#This Row],[Día de Fecha]])</f>
        <v>46288</v>
      </c>
      <c r="G6076">
        <v>1107530246</v>
      </c>
      <c r="H6076" t="s">
        <v>361</v>
      </c>
      <c r="I6076">
        <v>25</v>
      </c>
      <c r="J6076">
        <v>0</v>
      </c>
      <c r="K6076" s="1">
        <v>1427479</v>
      </c>
    </row>
    <row r="6077" spans="1:11" x14ac:dyDescent="0.25">
      <c r="A6077" t="s">
        <v>326</v>
      </c>
      <c r="B6077" t="s">
        <v>828</v>
      </c>
      <c r="C6077" t="s">
        <v>871</v>
      </c>
      <c r="D6077" t="s">
        <v>11</v>
      </c>
      <c r="E6077">
        <v>24</v>
      </c>
      <c r="F6077" s="2">
        <f>DATE(2026,IF(Tabla1[[#This Row],[Mes de Fecha]]="Septiembre",9,10),Tabla1[[#This Row],[Día de Fecha]])</f>
        <v>46289</v>
      </c>
      <c r="I6077">
        <v>0</v>
      </c>
      <c r="J6077" s="1">
        <v>3239204</v>
      </c>
      <c r="K6077">
        <v>0</v>
      </c>
    </row>
    <row r="6078" spans="1:11" x14ac:dyDescent="0.25">
      <c r="A6078" t="s">
        <v>326</v>
      </c>
      <c r="B6078" t="s">
        <v>828</v>
      </c>
      <c r="C6078" t="s">
        <v>871</v>
      </c>
      <c r="D6078" t="s">
        <v>11</v>
      </c>
      <c r="E6078">
        <v>24</v>
      </c>
      <c r="F6078" s="2">
        <f>DATE(2026,IF(Tabla1[[#This Row],[Mes de Fecha]]="Septiembre",9,10),Tabla1[[#This Row],[Día de Fecha]])</f>
        <v>46289</v>
      </c>
      <c r="G6078">
        <v>1006100360</v>
      </c>
      <c r="H6078" t="s">
        <v>464</v>
      </c>
      <c r="I6078">
        <v>13</v>
      </c>
      <c r="J6078">
        <v>0</v>
      </c>
      <c r="K6078" s="1">
        <v>770505</v>
      </c>
    </row>
    <row r="6079" spans="1:11" x14ac:dyDescent="0.25">
      <c r="A6079" t="s">
        <v>326</v>
      </c>
      <c r="B6079" t="s">
        <v>828</v>
      </c>
      <c r="C6079" t="s">
        <v>871</v>
      </c>
      <c r="D6079" t="s">
        <v>11</v>
      </c>
      <c r="E6079">
        <v>24</v>
      </c>
      <c r="F6079" s="2">
        <f>DATE(2026,IF(Tabla1[[#This Row],[Mes de Fecha]]="Septiembre",9,10),Tabla1[[#This Row],[Día de Fecha]])</f>
        <v>46289</v>
      </c>
      <c r="G6079">
        <v>1007257651</v>
      </c>
      <c r="H6079" t="s">
        <v>829</v>
      </c>
      <c r="I6079">
        <v>2</v>
      </c>
      <c r="J6079">
        <v>0</v>
      </c>
      <c r="K6079" s="1">
        <v>134370</v>
      </c>
    </row>
    <row r="6080" spans="1:11" x14ac:dyDescent="0.25">
      <c r="A6080" t="s">
        <v>326</v>
      </c>
      <c r="B6080" t="s">
        <v>828</v>
      </c>
      <c r="C6080" t="s">
        <v>871</v>
      </c>
      <c r="D6080" t="s">
        <v>11</v>
      </c>
      <c r="E6080">
        <v>24</v>
      </c>
      <c r="F6080" s="2">
        <f>DATE(2026,IF(Tabla1[[#This Row],[Mes de Fecha]]="Septiembre",9,10),Tabla1[[#This Row],[Día de Fecha]])</f>
        <v>46289</v>
      </c>
      <c r="G6080">
        <v>1087185324</v>
      </c>
      <c r="H6080" t="s">
        <v>362</v>
      </c>
      <c r="I6080">
        <v>21</v>
      </c>
      <c r="J6080">
        <v>0</v>
      </c>
      <c r="K6080" s="1">
        <v>1150380</v>
      </c>
    </row>
    <row r="6081" spans="1:11" x14ac:dyDescent="0.25">
      <c r="A6081" t="s">
        <v>326</v>
      </c>
      <c r="B6081" t="s">
        <v>828</v>
      </c>
      <c r="C6081" t="s">
        <v>871</v>
      </c>
      <c r="D6081" t="s">
        <v>11</v>
      </c>
      <c r="E6081">
        <v>24</v>
      </c>
      <c r="F6081" s="2">
        <f>DATE(2026,IF(Tabla1[[#This Row],[Mes de Fecha]]="Septiembre",9,10),Tabla1[[#This Row],[Día de Fecha]])</f>
        <v>46289</v>
      </c>
      <c r="G6081">
        <v>1107530246</v>
      </c>
      <c r="H6081" t="s">
        <v>361</v>
      </c>
      <c r="I6081">
        <v>22</v>
      </c>
      <c r="J6081">
        <v>0</v>
      </c>
      <c r="K6081" s="1">
        <v>1183949</v>
      </c>
    </row>
    <row r="6082" spans="1:11" x14ac:dyDescent="0.25">
      <c r="A6082" t="s">
        <v>326</v>
      </c>
      <c r="B6082" t="s">
        <v>828</v>
      </c>
      <c r="C6082" t="s">
        <v>871</v>
      </c>
      <c r="D6082" t="s">
        <v>11</v>
      </c>
      <c r="E6082">
        <v>25</v>
      </c>
      <c r="F6082" s="2">
        <f>DATE(2026,IF(Tabla1[[#This Row],[Mes de Fecha]]="Septiembre",9,10),Tabla1[[#This Row],[Día de Fecha]])</f>
        <v>46290</v>
      </c>
      <c r="I6082">
        <v>0</v>
      </c>
      <c r="J6082" s="1">
        <v>1788491</v>
      </c>
      <c r="K6082">
        <v>0</v>
      </c>
    </row>
    <row r="6083" spans="1:11" x14ac:dyDescent="0.25">
      <c r="A6083" t="s">
        <v>326</v>
      </c>
      <c r="B6083" t="s">
        <v>828</v>
      </c>
      <c r="C6083" t="s">
        <v>871</v>
      </c>
      <c r="D6083" t="s">
        <v>11</v>
      </c>
      <c r="E6083">
        <v>25</v>
      </c>
      <c r="F6083" s="2">
        <f>DATE(2026,IF(Tabla1[[#This Row],[Mes de Fecha]]="Septiembre",9,10),Tabla1[[#This Row],[Día de Fecha]])</f>
        <v>46290</v>
      </c>
      <c r="G6083">
        <v>1006100360</v>
      </c>
      <c r="H6083" t="s">
        <v>464</v>
      </c>
      <c r="I6083">
        <v>8</v>
      </c>
      <c r="J6083">
        <v>0</v>
      </c>
      <c r="K6083" s="1">
        <v>365211</v>
      </c>
    </row>
    <row r="6084" spans="1:11" x14ac:dyDescent="0.25">
      <c r="A6084" t="s">
        <v>326</v>
      </c>
      <c r="B6084" t="s">
        <v>828</v>
      </c>
      <c r="C6084" t="s">
        <v>871</v>
      </c>
      <c r="D6084" t="s">
        <v>11</v>
      </c>
      <c r="E6084">
        <v>25</v>
      </c>
      <c r="F6084" s="2">
        <f>DATE(2026,IF(Tabla1[[#This Row],[Mes de Fecha]]="Septiembre",9,10),Tabla1[[#This Row],[Día de Fecha]])</f>
        <v>46290</v>
      </c>
      <c r="G6084">
        <v>1087185324</v>
      </c>
      <c r="H6084" t="s">
        <v>362</v>
      </c>
      <c r="I6084">
        <v>16</v>
      </c>
      <c r="J6084">
        <v>0</v>
      </c>
      <c r="K6084" s="1">
        <v>953069</v>
      </c>
    </row>
    <row r="6085" spans="1:11" x14ac:dyDescent="0.25">
      <c r="A6085" t="s">
        <v>326</v>
      </c>
      <c r="B6085" t="s">
        <v>828</v>
      </c>
      <c r="C6085" t="s">
        <v>871</v>
      </c>
      <c r="D6085" t="s">
        <v>11</v>
      </c>
      <c r="E6085">
        <v>25</v>
      </c>
      <c r="F6085" s="2">
        <f>DATE(2026,IF(Tabla1[[#This Row],[Mes de Fecha]]="Septiembre",9,10),Tabla1[[#This Row],[Día de Fecha]])</f>
        <v>46290</v>
      </c>
      <c r="G6085">
        <v>1107530246</v>
      </c>
      <c r="H6085" t="s">
        <v>361</v>
      </c>
      <c r="I6085">
        <v>8</v>
      </c>
      <c r="J6085">
        <v>0</v>
      </c>
      <c r="K6085" s="1">
        <v>470212</v>
      </c>
    </row>
    <row r="6086" spans="1:11" x14ac:dyDescent="0.25">
      <c r="A6086" t="s">
        <v>326</v>
      </c>
      <c r="B6086" t="s">
        <v>828</v>
      </c>
      <c r="C6086" t="s">
        <v>871</v>
      </c>
      <c r="D6086" t="s">
        <v>11</v>
      </c>
      <c r="E6086">
        <v>26</v>
      </c>
      <c r="F6086" s="2">
        <f>DATE(2026,IF(Tabla1[[#This Row],[Mes de Fecha]]="Septiembre",9,10),Tabla1[[#This Row],[Día de Fecha]])</f>
        <v>46291</v>
      </c>
      <c r="I6086">
        <v>0</v>
      </c>
      <c r="J6086" s="1">
        <v>8692901</v>
      </c>
      <c r="K6086">
        <v>0</v>
      </c>
    </row>
    <row r="6087" spans="1:11" x14ac:dyDescent="0.25">
      <c r="A6087" t="s">
        <v>326</v>
      </c>
      <c r="B6087" t="s">
        <v>828</v>
      </c>
      <c r="C6087" t="s">
        <v>871</v>
      </c>
      <c r="D6087" t="s">
        <v>11</v>
      </c>
      <c r="E6087">
        <v>26</v>
      </c>
      <c r="F6087" s="2">
        <f>DATE(2026,IF(Tabla1[[#This Row],[Mes de Fecha]]="Septiembre",9,10),Tabla1[[#This Row],[Día de Fecha]])</f>
        <v>46291</v>
      </c>
      <c r="G6087">
        <v>1006100360</v>
      </c>
      <c r="H6087" t="s">
        <v>464</v>
      </c>
      <c r="I6087">
        <v>12</v>
      </c>
      <c r="J6087">
        <v>0</v>
      </c>
      <c r="K6087" s="1">
        <v>722143</v>
      </c>
    </row>
    <row r="6088" spans="1:11" x14ac:dyDescent="0.25">
      <c r="A6088" t="s">
        <v>326</v>
      </c>
      <c r="B6088" t="s">
        <v>828</v>
      </c>
      <c r="C6088" t="s">
        <v>871</v>
      </c>
      <c r="D6088" t="s">
        <v>11</v>
      </c>
      <c r="E6088">
        <v>26</v>
      </c>
      <c r="F6088" s="2">
        <f>DATE(2026,IF(Tabla1[[#This Row],[Mes de Fecha]]="Septiembre",9,10),Tabla1[[#This Row],[Día de Fecha]])</f>
        <v>46291</v>
      </c>
      <c r="G6088">
        <v>1087185324</v>
      </c>
      <c r="H6088" t="s">
        <v>362</v>
      </c>
      <c r="I6088">
        <v>84</v>
      </c>
      <c r="J6088">
        <v>0</v>
      </c>
      <c r="K6088" s="1">
        <v>4819917</v>
      </c>
    </row>
    <row r="6089" spans="1:11" x14ac:dyDescent="0.25">
      <c r="A6089" t="s">
        <v>326</v>
      </c>
      <c r="B6089" t="s">
        <v>828</v>
      </c>
      <c r="C6089" t="s">
        <v>871</v>
      </c>
      <c r="D6089" t="s">
        <v>11</v>
      </c>
      <c r="E6089">
        <v>26</v>
      </c>
      <c r="F6089" s="2">
        <f>DATE(2026,IF(Tabla1[[#This Row],[Mes de Fecha]]="Septiembre",9,10),Tabla1[[#This Row],[Día de Fecha]])</f>
        <v>46291</v>
      </c>
      <c r="G6089">
        <v>1107530246</v>
      </c>
      <c r="H6089" t="s">
        <v>361</v>
      </c>
      <c r="I6089">
        <v>57</v>
      </c>
      <c r="J6089">
        <v>0</v>
      </c>
      <c r="K6089" s="1">
        <v>3150843</v>
      </c>
    </row>
    <row r="6090" spans="1:11" x14ac:dyDescent="0.25">
      <c r="A6090" t="s">
        <v>326</v>
      </c>
      <c r="B6090" t="s">
        <v>828</v>
      </c>
      <c r="C6090" t="s">
        <v>871</v>
      </c>
      <c r="D6090" t="s">
        <v>11</v>
      </c>
      <c r="E6090">
        <v>27</v>
      </c>
      <c r="F6090" s="2">
        <f>DATE(2026,IF(Tabla1[[#This Row],[Mes de Fecha]]="Septiembre",9,10),Tabla1[[#This Row],[Día de Fecha]])</f>
        <v>46292</v>
      </c>
      <c r="I6090">
        <v>0</v>
      </c>
      <c r="J6090" s="1">
        <v>7141173</v>
      </c>
      <c r="K6090">
        <v>0</v>
      </c>
    </row>
    <row r="6091" spans="1:11" x14ac:dyDescent="0.25">
      <c r="A6091" t="s">
        <v>326</v>
      </c>
      <c r="B6091" t="s">
        <v>828</v>
      </c>
      <c r="C6091" t="s">
        <v>871</v>
      </c>
      <c r="D6091" t="s">
        <v>11</v>
      </c>
      <c r="E6091">
        <v>27</v>
      </c>
      <c r="F6091" s="2">
        <f>DATE(2026,IF(Tabla1[[#This Row],[Mes de Fecha]]="Septiembre",9,10),Tabla1[[#This Row],[Día de Fecha]])</f>
        <v>46292</v>
      </c>
      <c r="G6091">
        <v>1006100360</v>
      </c>
      <c r="H6091" t="s">
        <v>464</v>
      </c>
      <c r="I6091">
        <v>21</v>
      </c>
      <c r="J6091">
        <v>0</v>
      </c>
      <c r="K6091" s="1">
        <v>1433866</v>
      </c>
    </row>
    <row r="6092" spans="1:11" x14ac:dyDescent="0.25">
      <c r="A6092" t="s">
        <v>326</v>
      </c>
      <c r="B6092" t="s">
        <v>828</v>
      </c>
      <c r="C6092" t="s">
        <v>871</v>
      </c>
      <c r="D6092" t="s">
        <v>11</v>
      </c>
      <c r="E6092">
        <v>27</v>
      </c>
      <c r="F6092" s="2">
        <f>DATE(2026,IF(Tabla1[[#This Row],[Mes de Fecha]]="Septiembre",9,10),Tabla1[[#This Row],[Día de Fecha]])</f>
        <v>46292</v>
      </c>
      <c r="G6092">
        <v>1087185324</v>
      </c>
      <c r="H6092" t="s">
        <v>362</v>
      </c>
      <c r="I6092">
        <v>61</v>
      </c>
      <c r="J6092">
        <v>0</v>
      </c>
      <c r="K6092" s="1">
        <v>3904920</v>
      </c>
    </row>
    <row r="6093" spans="1:11" x14ac:dyDescent="0.25">
      <c r="A6093" t="s">
        <v>326</v>
      </c>
      <c r="B6093" t="s">
        <v>828</v>
      </c>
      <c r="C6093" t="s">
        <v>871</v>
      </c>
      <c r="D6093" t="s">
        <v>11</v>
      </c>
      <c r="E6093">
        <v>27</v>
      </c>
      <c r="F6093" s="2">
        <f>DATE(2026,IF(Tabla1[[#This Row],[Mes de Fecha]]="Septiembre",9,10),Tabla1[[#This Row],[Día de Fecha]])</f>
        <v>46292</v>
      </c>
      <c r="G6093">
        <v>1107530246</v>
      </c>
      <c r="H6093" t="s">
        <v>361</v>
      </c>
      <c r="I6093">
        <v>67</v>
      </c>
      <c r="J6093">
        <v>0</v>
      </c>
      <c r="K6093" s="1">
        <v>4322649</v>
      </c>
    </row>
    <row r="6094" spans="1:11" x14ac:dyDescent="0.25">
      <c r="A6094" t="s">
        <v>326</v>
      </c>
      <c r="B6094" t="s">
        <v>828</v>
      </c>
      <c r="C6094" t="s">
        <v>871</v>
      </c>
      <c r="D6094" t="s">
        <v>11</v>
      </c>
      <c r="E6094">
        <v>27</v>
      </c>
      <c r="F6094" s="2">
        <f>DATE(2026,IF(Tabla1[[#This Row],[Mes de Fecha]]="Septiembre",9,10),Tabla1[[#This Row],[Día de Fecha]])</f>
        <v>46292</v>
      </c>
      <c r="G6094">
        <v>1113689444</v>
      </c>
      <c r="H6094" t="s">
        <v>378</v>
      </c>
      <c r="I6094">
        <v>-1</v>
      </c>
      <c r="J6094">
        <v>0</v>
      </c>
      <c r="K6094" s="1">
        <v>-90706</v>
      </c>
    </row>
    <row r="6095" spans="1:11" x14ac:dyDescent="0.25">
      <c r="A6095" t="s">
        <v>326</v>
      </c>
      <c r="B6095" t="s">
        <v>828</v>
      </c>
      <c r="C6095" t="s">
        <v>871</v>
      </c>
      <c r="D6095" t="s">
        <v>11</v>
      </c>
      <c r="E6095">
        <v>28</v>
      </c>
      <c r="F6095" s="2">
        <f>DATE(2026,IF(Tabla1[[#This Row],[Mes de Fecha]]="Septiembre",9,10),Tabla1[[#This Row],[Día de Fecha]])</f>
        <v>46293</v>
      </c>
      <c r="I6095">
        <v>0</v>
      </c>
      <c r="J6095" s="1">
        <v>3930208</v>
      </c>
      <c r="K6095">
        <v>0</v>
      </c>
    </row>
    <row r="6096" spans="1:11" x14ac:dyDescent="0.25">
      <c r="A6096" t="s">
        <v>326</v>
      </c>
      <c r="B6096" t="s">
        <v>828</v>
      </c>
      <c r="C6096" t="s">
        <v>871</v>
      </c>
      <c r="D6096" t="s">
        <v>11</v>
      </c>
      <c r="E6096">
        <v>28</v>
      </c>
      <c r="F6096" s="2">
        <f>DATE(2026,IF(Tabla1[[#This Row],[Mes de Fecha]]="Septiembre",9,10),Tabla1[[#This Row],[Día de Fecha]])</f>
        <v>46293</v>
      </c>
      <c r="G6096">
        <v>1006100360</v>
      </c>
      <c r="H6096" t="s">
        <v>464</v>
      </c>
      <c r="I6096">
        <v>14</v>
      </c>
      <c r="J6096">
        <v>0</v>
      </c>
      <c r="K6096" s="1">
        <v>734707</v>
      </c>
    </row>
    <row r="6097" spans="1:11" x14ac:dyDescent="0.25">
      <c r="A6097" t="s">
        <v>326</v>
      </c>
      <c r="B6097" t="s">
        <v>828</v>
      </c>
      <c r="C6097" t="s">
        <v>871</v>
      </c>
      <c r="D6097" t="s">
        <v>11</v>
      </c>
      <c r="E6097">
        <v>28</v>
      </c>
      <c r="F6097" s="2">
        <f>DATE(2026,IF(Tabla1[[#This Row],[Mes de Fecha]]="Septiembre",9,10),Tabla1[[#This Row],[Día de Fecha]])</f>
        <v>46293</v>
      </c>
      <c r="G6097">
        <v>1007132542</v>
      </c>
      <c r="H6097" t="s">
        <v>386</v>
      </c>
      <c r="I6097">
        <v>-2</v>
      </c>
      <c r="J6097">
        <v>0</v>
      </c>
      <c r="K6097" s="1">
        <v>-104916</v>
      </c>
    </row>
    <row r="6098" spans="1:11" x14ac:dyDescent="0.25">
      <c r="A6098" t="s">
        <v>326</v>
      </c>
      <c r="B6098" t="s">
        <v>828</v>
      </c>
      <c r="C6098" t="s">
        <v>871</v>
      </c>
      <c r="D6098" t="s">
        <v>11</v>
      </c>
      <c r="E6098">
        <v>28</v>
      </c>
      <c r="F6098" s="2">
        <f>DATE(2026,IF(Tabla1[[#This Row],[Mes de Fecha]]="Septiembre",9,10),Tabla1[[#This Row],[Día de Fecha]])</f>
        <v>46293</v>
      </c>
      <c r="G6098">
        <v>1087185324</v>
      </c>
      <c r="H6098" t="s">
        <v>362</v>
      </c>
      <c r="I6098">
        <v>-2</v>
      </c>
      <c r="J6098">
        <v>0</v>
      </c>
      <c r="K6098" s="1">
        <v>-151092</v>
      </c>
    </row>
    <row r="6099" spans="1:11" x14ac:dyDescent="0.25">
      <c r="A6099" t="s">
        <v>326</v>
      </c>
      <c r="B6099" t="s">
        <v>828</v>
      </c>
      <c r="C6099" t="s">
        <v>871</v>
      </c>
      <c r="D6099" t="s">
        <v>11</v>
      </c>
      <c r="E6099">
        <v>28</v>
      </c>
      <c r="F6099" s="2">
        <f>DATE(2026,IF(Tabla1[[#This Row],[Mes de Fecha]]="Septiembre",9,10),Tabla1[[#This Row],[Día de Fecha]])</f>
        <v>46293</v>
      </c>
      <c r="G6099">
        <v>1107530246</v>
      </c>
      <c r="H6099" t="s">
        <v>361</v>
      </c>
      <c r="I6099">
        <v>94</v>
      </c>
      <c r="J6099">
        <v>0</v>
      </c>
      <c r="K6099" s="1">
        <v>5319247</v>
      </c>
    </row>
    <row r="6100" spans="1:11" x14ac:dyDescent="0.25">
      <c r="A6100" t="s">
        <v>326</v>
      </c>
      <c r="B6100" t="s">
        <v>828</v>
      </c>
      <c r="C6100" t="s">
        <v>871</v>
      </c>
      <c r="D6100" t="s">
        <v>11</v>
      </c>
      <c r="E6100">
        <v>29</v>
      </c>
      <c r="F6100" s="2">
        <f>DATE(2026,IF(Tabla1[[#This Row],[Mes de Fecha]]="Septiembre",9,10),Tabla1[[#This Row],[Día de Fecha]])</f>
        <v>46294</v>
      </c>
      <c r="I6100">
        <v>0</v>
      </c>
      <c r="J6100" s="1">
        <v>2365844</v>
      </c>
      <c r="K6100">
        <v>0</v>
      </c>
    </row>
    <row r="6101" spans="1:11" x14ac:dyDescent="0.25">
      <c r="A6101" t="s">
        <v>326</v>
      </c>
      <c r="B6101" t="s">
        <v>828</v>
      </c>
      <c r="C6101" t="s">
        <v>871</v>
      </c>
      <c r="D6101" t="s">
        <v>11</v>
      </c>
      <c r="E6101">
        <v>29</v>
      </c>
      <c r="F6101" s="2">
        <f>DATE(2026,IF(Tabla1[[#This Row],[Mes de Fecha]]="Septiembre",9,10),Tabla1[[#This Row],[Día de Fecha]])</f>
        <v>46294</v>
      </c>
      <c r="G6101">
        <v>1087185324</v>
      </c>
      <c r="H6101" t="s">
        <v>362</v>
      </c>
      <c r="I6101">
        <v>22</v>
      </c>
      <c r="J6101">
        <v>0</v>
      </c>
      <c r="K6101" s="1">
        <v>1249078</v>
      </c>
    </row>
    <row r="6102" spans="1:11" x14ac:dyDescent="0.25">
      <c r="A6102" t="s">
        <v>326</v>
      </c>
      <c r="B6102" t="s">
        <v>828</v>
      </c>
      <c r="C6102" t="s">
        <v>871</v>
      </c>
      <c r="D6102" t="s">
        <v>11</v>
      </c>
      <c r="E6102">
        <v>29</v>
      </c>
      <c r="F6102" s="2">
        <f>DATE(2026,IF(Tabla1[[#This Row],[Mes de Fecha]]="Septiembre",9,10),Tabla1[[#This Row],[Día de Fecha]])</f>
        <v>46294</v>
      </c>
      <c r="G6102">
        <v>1107530246</v>
      </c>
      <c r="H6102" t="s">
        <v>361</v>
      </c>
      <c r="I6102">
        <v>20</v>
      </c>
      <c r="J6102">
        <v>0</v>
      </c>
      <c r="K6102" s="1">
        <v>1116766</v>
      </c>
    </row>
    <row r="6103" spans="1:11" x14ac:dyDescent="0.25">
      <c r="A6103" t="s">
        <v>326</v>
      </c>
      <c r="B6103" t="s">
        <v>828</v>
      </c>
      <c r="C6103" t="s">
        <v>871</v>
      </c>
      <c r="D6103" t="s">
        <v>11</v>
      </c>
      <c r="E6103">
        <v>30</v>
      </c>
      <c r="F6103" s="2">
        <f>DATE(2026,IF(Tabla1[[#This Row],[Mes de Fecha]]="Septiembre",9,10),Tabla1[[#This Row],[Día de Fecha]])</f>
        <v>46295</v>
      </c>
      <c r="I6103">
        <v>0</v>
      </c>
      <c r="J6103" s="1">
        <v>4336850</v>
      </c>
      <c r="K6103">
        <v>0</v>
      </c>
    </row>
    <row r="6104" spans="1:11" x14ac:dyDescent="0.25">
      <c r="A6104" t="s">
        <v>326</v>
      </c>
      <c r="B6104" t="s">
        <v>828</v>
      </c>
      <c r="C6104" t="s">
        <v>871</v>
      </c>
      <c r="D6104" t="s">
        <v>11</v>
      </c>
      <c r="E6104">
        <v>30</v>
      </c>
      <c r="F6104" s="2">
        <f>DATE(2026,IF(Tabla1[[#This Row],[Mes de Fecha]]="Septiembre",9,10),Tabla1[[#This Row],[Día de Fecha]])</f>
        <v>46295</v>
      </c>
      <c r="G6104">
        <v>1006100360</v>
      </c>
      <c r="H6104" t="s">
        <v>464</v>
      </c>
      <c r="I6104">
        <v>12</v>
      </c>
      <c r="J6104">
        <v>0</v>
      </c>
      <c r="K6104" s="1">
        <v>717942</v>
      </c>
    </row>
    <row r="6105" spans="1:11" x14ac:dyDescent="0.25">
      <c r="A6105" t="s">
        <v>326</v>
      </c>
      <c r="B6105" t="s">
        <v>828</v>
      </c>
      <c r="C6105" t="s">
        <v>871</v>
      </c>
      <c r="D6105" t="s">
        <v>11</v>
      </c>
      <c r="E6105">
        <v>30</v>
      </c>
      <c r="F6105" s="2">
        <f>DATE(2026,IF(Tabla1[[#This Row],[Mes de Fecha]]="Septiembre",9,10),Tabla1[[#This Row],[Día de Fecha]])</f>
        <v>46295</v>
      </c>
      <c r="G6105">
        <v>1087185324</v>
      </c>
      <c r="H6105" t="s">
        <v>362</v>
      </c>
      <c r="I6105">
        <v>44</v>
      </c>
      <c r="J6105">
        <v>0</v>
      </c>
      <c r="K6105" s="1">
        <v>2235466</v>
      </c>
    </row>
    <row r="6106" spans="1:11" x14ac:dyDescent="0.25">
      <c r="A6106" t="s">
        <v>326</v>
      </c>
      <c r="B6106" t="s">
        <v>828</v>
      </c>
      <c r="C6106" t="s">
        <v>871</v>
      </c>
      <c r="D6106" t="s">
        <v>11</v>
      </c>
      <c r="E6106">
        <v>30</v>
      </c>
      <c r="F6106" s="2">
        <f>DATE(2026,IF(Tabla1[[#This Row],[Mes de Fecha]]="Septiembre",9,10),Tabla1[[#This Row],[Día de Fecha]])</f>
        <v>46295</v>
      </c>
      <c r="G6106">
        <v>1107530246</v>
      </c>
      <c r="H6106" t="s">
        <v>361</v>
      </c>
      <c r="I6106">
        <v>59</v>
      </c>
      <c r="J6106">
        <v>0</v>
      </c>
      <c r="K6106" s="1">
        <v>3787353</v>
      </c>
    </row>
    <row r="6107" spans="1:11" x14ac:dyDescent="0.25">
      <c r="A6107" t="s">
        <v>326</v>
      </c>
      <c r="B6107" t="s">
        <v>828</v>
      </c>
      <c r="C6107" t="s">
        <v>871</v>
      </c>
      <c r="D6107" t="s">
        <v>14</v>
      </c>
      <c r="E6107">
        <v>1</v>
      </c>
      <c r="F6107" s="2">
        <f>DATE(2026,IF(Tabla1[[#This Row],[Mes de Fecha]]="Septiembre",9,10),Tabla1[[#This Row],[Día de Fecha]])</f>
        <v>46296</v>
      </c>
      <c r="I6107">
        <v>0</v>
      </c>
      <c r="J6107" s="1">
        <v>4728938</v>
      </c>
      <c r="K6107">
        <v>0</v>
      </c>
    </row>
    <row r="6108" spans="1:11" x14ac:dyDescent="0.25">
      <c r="A6108" t="s">
        <v>326</v>
      </c>
      <c r="B6108" t="s">
        <v>828</v>
      </c>
      <c r="C6108" t="s">
        <v>871</v>
      </c>
      <c r="D6108" t="s">
        <v>14</v>
      </c>
      <c r="E6108">
        <v>1</v>
      </c>
      <c r="F6108" s="2">
        <f>DATE(2026,IF(Tabla1[[#This Row],[Mes de Fecha]]="Septiembre",9,10),Tabla1[[#This Row],[Día de Fecha]])</f>
        <v>46296</v>
      </c>
      <c r="G6108">
        <v>1006100360</v>
      </c>
      <c r="H6108" t="s">
        <v>464</v>
      </c>
      <c r="I6108">
        <v>14</v>
      </c>
      <c r="J6108">
        <v>0</v>
      </c>
      <c r="K6108" s="1">
        <v>919581</v>
      </c>
    </row>
    <row r="6109" spans="1:11" x14ac:dyDescent="0.25">
      <c r="A6109" t="s">
        <v>326</v>
      </c>
      <c r="B6109" t="s">
        <v>828</v>
      </c>
      <c r="C6109" t="s">
        <v>871</v>
      </c>
      <c r="D6109" t="s">
        <v>14</v>
      </c>
      <c r="E6109">
        <v>1</v>
      </c>
      <c r="F6109" s="2">
        <f>DATE(2026,IF(Tabla1[[#This Row],[Mes de Fecha]]="Septiembre",9,10),Tabla1[[#This Row],[Día de Fecha]])</f>
        <v>46296</v>
      </c>
      <c r="G6109">
        <v>1087185324</v>
      </c>
      <c r="H6109" t="s">
        <v>362</v>
      </c>
      <c r="I6109">
        <v>52</v>
      </c>
      <c r="J6109">
        <v>0</v>
      </c>
      <c r="K6109" s="1">
        <v>2884036</v>
      </c>
    </row>
    <row r="6110" spans="1:11" x14ac:dyDescent="0.25">
      <c r="A6110" t="s">
        <v>326</v>
      </c>
      <c r="B6110" t="s">
        <v>828</v>
      </c>
      <c r="C6110" t="s">
        <v>871</v>
      </c>
      <c r="D6110" t="s">
        <v>14</v>
      </c>
      <c r="E6110">
        <v>1</v>
      </c>
      <c r="F6110" s="2">
        <f>DATE(2026,IF(Tabla1[[#This Row],[Mes de Fecha]]="Septiembre",9,10),Tabla1[[#This Row],[Día de Fecha]])</f>
        <v>46296</v>
      </c>
      <c r="G6110">
        <v>1107530246</v>
      </c>
      <c r="H6110" t="s">
        <v>361</v>
      </c>
      <c r="I6110">
        <v>23</v>
      </c>
      <c r="J6110">
        <v>0</v>
      </c>
      <c r="K6110" s="1">
        <v>1465379</v>
      </c>
    </row>
    <row r="6111" spans="1:11" x14ac:dyDescent="0.25">
      <c r="A6111" t="s">
        <v>326</v>
      </c>
      <c r="B6111" t="s">
        <v>828</v>
      </c>
      <c r="C6111" t="s">
        <v>871</v>
      </c>
      <c r="D6111" t="s">
        <v>14</v>
      </c>
      <c r="E6111">
        <v>2</v>
      </c>
      <c r="F6111" s="2">
        <f>DATE(2026,IF(Tabla1[[#This Row],[Mes de Fecha]]="Septiembre",9,10),Tabla1[[#This Row],[Día de Fecha]])</f>
        <v>46297</v>
      </c>
      <c r="I6111">
        <v>0</v>
      </c>
      <c r="J6111" s="1">
        <v>7968848</v>
      </c>
      <c r="K6111">
        <v>0</v>
      </c>
    </row>
    <row r="6112" spans="1:11" x14ac:dyDescent="0.25">
      <c r="A6112" t="s">
        <v>326</v>
      </c>
      <c r="B6112" t="s">
        <v>828</v>
      </c>
      <c r="C6112" t="s">
        <v>871</v>
      </c>
      <c r="D6112" t="s">
        <v>14</v>
      </c>
      <c r="E6112">
        <v>2</v>
      </c>
      <c r="F6112" s="2">
        <f>DATE(2026,IF(Tabla1[[#This Row],[Mes de Fecha]]="Septiembre",9,10),Tabla1[[#This Row],[Día de Fecha]])</f>
        <v>46297</v>
      </c>
      <c r="G6112">
        <v>1005815270</v>
      </c>
      <c r="H6112" t="s">
        <v>509</v>
      </c>
      <c r="I6112">
        <v>-1</v>
      </c>
      <c r="J6112">
        <v>0</v>
      </c>
      <c r="K6112" s="1">
        <v>-52882</v>
      </c>
    </row>
    <row r="6113" spans="1:11" x14ac:dyDescent="0.25">
      <c r="A6113" t="s">
        <v>326</v>
      </c>
      <c r="B6113" t="s">
        <v>828</v>
      </c>
      <c r="C6113" t="s">
        <v>871</v>
      </c>
      <c r="D6113" t="s">
        <v>14</v>
      </c>
      <c r="E6113">
        <v>2</v>
      </c>
      <c r="F6113" s="2">
        <f>DATE(2026,IF(Tabla1[[#This Row],[Mes de Fecha]]="Septiembre",9,10),Tabla1[[#This Row],[Día de Fecha]])</f>
        <v>46297</v>
      </c>
      <c r="G6113">
        <v>1006100360</v>
      </c>
      <c r="H6113" t="s">
        <v>464</v>
      </c>
      <c r="I6113">
        <v>10</v>
      </c>
      <c r="J6113">
        <v>0</v>
      </c>
      <c r="K6113" s="1">
        <v>499581</v>
      </c>
    </row>
    <row r="6114" spans="1:11" x14ac:dyDescent="0.25">
      <c r="A6114" t="s">
        <v>326</v>
      </c>
      <c r="B6114" t="s">
        <v>828</v>
      </c>
      <c r="C6114" t="s">
        <v>871</v>
      </c>
      <c r="D6114" t="s">
        <v>14</v>
      </c>
      <c r="E6114">
        <v>2</v>
      </c>
      <c r="F6114" s="2">
        <f>DATE(2026,IF(Tabla1[[#This Row],[Mes de Fecha]]="Septiembre",9,10),Tabla1[[#This Row],[Día de Fecha]])</f>
        <v>46297</v>
      </c>
      <c r="G6114">
        <v>1087185324</v>
      </c>
      <c r="H6114" t="s">
        <v>362</v>
      </c>
      <c r="I6114">
        <v>20</v>
      </c>
      <c r="J6114">
        <v>0</v>
      </c>
      <c r="K6114" s="1">
        <v>1288950</v>
      </c>
    </row>
    <row r="6115" spans="1:11" x14ac:dyDescent="0.25">
      <c r="A6115" t="s">
        <v>326</v>
      </c>
      <c r="B6115" t="s">
        <v>828</v>
      </c>
      <c r="C6115" t="s">
        <v>871</v>
      </c>
      <c r="D6115" t="s">
        <v>14</v>
      </c>
      <c r="E6115">
        <v>2</v>
      </c>
      <c r="F6115" s="2">
        <f>DATE(2026,IF(Tabla1[[#This Row],[Mes de Fecha]]="Septiembre",9,10),Tabla1[[#This Row],[Día de Fecha]])</f>
        <v>46297</v>
      </c>
      <c r="G6115">
        <v>1107530246</v>
      </c>
      <c r="H6115" t="s">
        <v>361</v>
      </c>
      <c r="I6115">
        <v>16</v>
      </c>
      <c r="J6115">
        <v>0</v>
      </c>
      <c r="K6115" s="1">
        <v>932102</v>
      </c>
    </row>
    <row r="6116" spans="1:11" x14ac:dyDescent="0.25">
      <c r="A6116" t="s">
        <v>326</v>
      </c>
      <c r="B6116" t="s">
        <v>828</v>
      </c>
      <c r="C6116" t="s">
        <v>871</v>
      </c>
      <c r="D6116" t="s">
        <v>14</v>
      </c>
      <c r="E6116">
        <v>3</v>
      </c>
      <c r="F6116" s="2">
        <f>DATE(2026,IF(Tabla1[[#This Row],[Mes de Fecha]]="Septiembre",9,10),Tabla1[[#This Row],[Día de Fecha]])</f>
        <v>46298</v>
      </c>
      <c r="I6116">
        <v>0</v>
      </c>
      <c r="J6116" s="1">
        <v>10674767</v>
      </c>
      <c r="K6116">
        <v>0</v>
      </c>
    </row>
    <row r="6117" spans="1:11" x14ac:dyDescent="0.25">
      <c r="A6117" t="s">
        <v>326</v>
      </c>
      <c r="B6117" t="s">
        <v>828</v>
      </c>
      <c r="C6117" t="s">
        <v>871</v>
      </c>
      <c r="D6117" t="s">
        <v>14</v>
      </c>
      <c r="E6117">
        <v>3</v>
      </c>
      <c r="F6117" s="2">
        <f>DATE(2026,IF(Tabla1[[#This Row],[Mes de Fecha]]="Septiembre",9,10),Tabla1[[#This Row],[Día de Fecha]])</f>
        <v>46298</v>
      </c>
      <c r="G6117">
        <v>1006100360</v>
      </c>
      <c r="H6117" t="s">
        <v>464</v>
      </c>
      <c r="I6117">
        <v>59</v>
      </c>
      <c r="J6117">
        <v>0</v>
      </c>
      <c r="K6117" s="1">
        <v>3346697</v>
      </c>
    </row>
    <row r="6118" spans="1:11" x14ac:dyDescent="0.25">
      <c r="A6118" t="s">
        <v>326</v>
      </c>
      <c r="B6118" t="s">
        <v>828</v>
      </c>
      <c r="C6118" t="s">
        <v>871</v>
      </c>
      <c r="D6118" t="s">
        <v>14</v>
      </c>
      <c r="E6118">
        <v>3</v>
      </c>
      <c r="F6118" s="2">
        <f>DATE(2026,IF(Tabla1[[#This Row],[Mes de Fecha]]="Septiembre",9,10),Tabla1[[#This Row],[Día de Fecha]])</f>
        <v>46298</v>
      </c>
      <c r="G6118">
        <v>1087185324</v>
      </c>
      <c r="H6118" t="s">
        <v>362</v>
      </c>
      <c r="I6118">
        <v>168</v>
      </c>
      <c r="J6118">
        <v>0</v>
      </c>
      <c r="K6118" s="1">
        <v>9200495</v>
      </c>
    </row>
    <row r="6119" spans="1:11" x14ac:dyDescent="0.25">
      <c r="A6119" t="s">
        <v>326</v>
      </c>
      <c r="B6119" t="s">
        <v>828</v>
      </c>
      <c r="C6119" t="s">
        <v>871</v>
      </c>
      <c r="D6119" t="s">
        <v>14</v>
      </c>
      <c r="E6119">
        <v>3</v>
      </c>
      <c r="F6119" s="2">
        <f>DATE(2026,IF(Tabla1[[#This Row],[Mes de Fecha]]="Septiembre",9,10),Tabla1[[#This Row],[Día de Fecha]])</f>
        <v>46298</v>
      </c>
      <c r="G6119">
        <v>1107530246</v>
      </c>
      <c r="H6119" t="s">
        <v>361</v>
      </c>
      <c r="I6119">
        <v>-2</v>
      </c>
      <c r="J6119">
        <v>0</v>
      </c>
      <c r="K6119" s="1">
        <v>-117563</v>
      </c>
    </row>
    <row r="6120" spans="1:11" x14ac:dyDescent="0.25">
      <c r="A6120" t="s">
        <v>326</v>
      </c>
      <c r="B6120" t="s">
        <v>828</v>
      </c>
      <c r="C6120" t="s">
        <v>871</v>
      </c>
      <c r="D6120" t="s">
        <v>14</v>
      </c>
      <c r="E6120">
        <v>3</v>
      </c>
      <c r="F6120" s="2">
        <f>DATE(2026,IF(Tabla1[[#This Row],[Mes de Fecha]]="Septiembre",9,10),Tabla1[[#This Row],[Día de Fecha]])</f>
        <v>46298</v>
      </c>
      <c r="G6120">
        <v>1113675600</v>
      </c>
      <c r="H6120" t="s">
        <v>594</v>
      </c>
      <c r="I6120">
        <v>-1</v>
      </c>
      <c r="J6120">
        <v>0</v>
      </c>
      <c r="K6120" s="1">
        <v>-37773</v>
      </c>
    </row>
    <row r="6121" spans="1:11" x14ac:dyDescent="0.25">
      <c r="A6121" t="s">
        <v>326</v>
      </c>
      <c r="B6121" t="s">
        <v>828</v>
      </c>
      <c r="C6121" t="s">
        <v>871</v>
      </c>
      <c r="D6121" t="s">
        <v>14</v>
      </c>
      <c r="E6121">
        <v>4</v>
      </c>
      <c r="F6121" s="2">
        <f>DATE(2026,IF(Tabla1[[#This Row],[Mes de Fecha]]="Septiembre",9,10),Tabla1[[#This Row],[Día de Fecha]])</f>
        <v>46299</v>
      </c>
      <c r="I6121">
        <v>0</v>
      </c>
      <c r="J6121" s="1">
        <v>11883740</v>
      </c>
      <c r="K6121">
        <v>0</v>
      </c>
    </row>
    <row r="6122" spans="1:11" x14ac:dyDescent="0.25">
      <c r="A6122" t="s">
        <v>326</v>
      </c>
      <c r="B6122" t="s">
        <v>828</v>
      </c>
      <c r="C6122" t="s">
        <v>871</v>
      </c>
      <c r="D6122" t="s">
        <v>14</v>
      </c>
      <c r="E6122">
        <v>4</v>
      </c>
      <c r="F6122" s="2">
        <f>DATE(2026,IF(Tabla1[[#This Row],[Mes de Fecha]]="Septiembre",9,10),Tabla1[[#This Row],[Día de Fecha]])</f>
        <v>46299</v>
      </c>
      <c r="G6122">
        <v>1006100360</v>
      </c>
      <c r="H6122" t="s">
        <v>464</v>
      </c>
      <c r="I6122">
        <v>59</v>
      </c>
      <c r="J6122">
        <v>0</v>
      </c>
      <c r="K6122" s="1">
        <v>3804159</v>
      </c>
    </row>
    <row r="6123" spans="1:11" x14ac:dyDescent="0.25">
      <c r="A6123" t="s">
        <v>326</v>
      </c>
      <c r="B6123" t="s">
        <v>828</v>
      </c>
      <c r="C6123" t="s">
        <v>871</v>
      </c>
      <c r="D6123" t="s">
        <v>14</v>
      </c>
      <c r="E6123">
        <v>4</v>
      </c>
      <c r="F6123" s="2">
        <f>DATE(2026,IF(Tabla1[[#This Row],[Mes de Fecha]]="Septiembre",9,10),Tabla1[[#This Row],[Día de Fecha]])</f>
        <v>46299</v>
      </c>
      <c r="G6123">
        <v>1007132542</v>
      </c>
      <c r="H6123" t="s">
        <v>386</v>
      </c>
      <c r="I6123">
        <v>-1</v>
      </c>
      <c r="J6123">
        <v>0</v>
      </c>
      <c r="K6123" s="1">
        <v>-54580</v>
      </c>
    </row>
    <row r="6124" spans="1:11" x14ac:dyDescent="0.25">
      <c r="A6124" t="s">
        <v>326</v>
      </c>
      <c r="B6124" t="s">
        <v>828</v>
      </c>
      <c r="C6124" t="s">
        <v>871</v>
      </c>
      <c r="D6124" t="s">
        <v>14</v>
      </c>
      <c r="E6124">
        <v>4</v>
      </c>
      <c r="F6124" s="2">
        <f>DATE(2026,IF(Tabla1[[#This Row],[Mes de Fecha]]="Septiembre",9,10),Tabla1[[#This Row],[Día de Fecha]])</f>
        <v>46299</v>
      </c>
      <c r="G6124">
        <v>1087185324</v>
      </c>
      <c r="H6124" t="s">
        <v>362</v>
      </c>
      <c r="I6124">
        <v>123</v>
      </c>
      <c r="J6124">
        <v>0</v>
      </c>
      <c r="K6124" s="1">
        <v>7545131</v>
      </c>
    </row>
    <row r="6125" spans="1:11" x14ac:dyDescent="0.25">
      <c r="A6125" t="s">
        <v>326</v>
      </c>
      <c r="B6125" t="s">
        <v>828</v>
      </c>
      <c r="C6125" t="s">
        <v>871</v>
      </c>
      <c r="D6125" t="s">
        <v>14</v>
      </c>
      <c r="E6125">
        <v>4</v>
      </c>
      <c r="F6125" s="2">
        <f>DATE(2026,IF(Tabla1[[#This Row],[Mes de Fecha]]="Septiembre",9,10),Tabla1[[#This Row],[Día de Fecha]])</f>
        <v>46299</v>
      </c>
      <c r="G6125">
        <v>1107530246</v>
      </c>
      <c r="H6125" t="s">
        <v>361</v>
      </c>
      <c r="I6125">
        <v>-1</v>
      </c>
      <c r="J6125">
        <v>0</v>
      </c>
      <c r="K6125" s="1">
        <v>-75588</v>
      </c>
    </row>
    <row r="6126" spans="1:11" x14ac:dyDescent="0.25">
      <c r="A6126" t="s">
        <v>326</v>
      </c>
      <c r="B6126" t="s">
        <v>828</v>
      </c>
      <c r="C6126" t="s">
        <v>871</v>
      </c>
      <c r="D6126" t="s">
        <v>14</v>
      </c>
      <c r="E6126">
        <v>4</v>
      </c>
      <c r="F6126" s="2">
        <f>DATE(2026,IF(Tabla1[[#This Row],[Mes de Fecha]]="Septiembre",9,10),Tabla1[[#This Row],[Día de Fecha]])</f>
        <v>46299</v>
      </c>
      <c r="G6126">
        <v>1193601115</v>
      </c>
      <c r="H6126" t="s">
        <v>384</v>
      </c>
      <c r="I6126">
        <v>-1</v>
      </c>
      <c r="J6126">
        <v>0</v>
      </c>
      <c r="K6126" s="1">
        <v>-75588</v>
      </c>
    </row>
    <row r="6127" spans="1:11" x14ac:dyDescent="0.25">
      <c r="A6127" t="s">
        <v>326</v>
      </c>
      <c r="B6127" t="s">
        <v>828</v>
      </c>
      <c r="C6127" t="s">
        <v>871</v>
      </c>
      <c r="D6127" t="s">
        <v>14</v>
      </c>
      <c r="E6127">
        <v>5</v>
      </c>
      <c r="F6127" s="2">
        <f>DATE(2026,IF(Tabla1[[#This Row],[Mes de Fecha]]="Septiembre",9,10),Tabla1[[#This Row],[Día de Fecha]])</f>
        <v>46300</v>
      </c>
      <c r="I6127">
        <v>0</v>
      </c>
      <c r="J6127" s="1">
        <v>6099479</v>
      </c>
      <c r="K6127">
        <v>0</v>
      </c>
    </row>
    <row r="6128" spans="1:11" x14ac:dyDescent="0.25">
      <c r="A6128" t="s">
        <v>326</v>
      </c>
      <c r="B6128" t="s">
        <v>828</v>
      </c>
      <c r="C6128" t="s">
        <v>871</v>
      </c>
      <c r="D6128" t="s">
        <v>14</v>
      </c>
      <c r="E6128">
        <v>5</v>
      </c>
      <c r="F6128" s="2">
        <f>DATE(2026,IF(Tabla1[[#This Row],[Mes de Fecha]]="Septiembre",9,10),Tabla1[[#This Row],[Día de Fecha]])</f>
        <v>46300</v>
      </c>
      <c r="G6128">
        <v>1006100360</v>
      </c>
      <c r="H6128" t="s">
        <v>464</v>
      </c>
      <c r="I6128">
        <v>54</v>
      </c>
      <c r="J6128">
        <v>0</v>
      </c>
      <c r="K6128" s="1">
        <v>3247648</v>
      </c>
    </row>
    <row r="6129" spans="1:11" x14ac:dyDescent="0.25">
      <c r="A6129" t="s">
        <v>326</v>
      </c>
      <c r="B6129" t="s">
        <v>828</v>
      </c>
      <c r="C6129" t="s">
        <v>871</v>
      </c>
      <c r="D6129" t="s">
        <v>14</v>
      </c>
      <c r="E6129">
        <v>5</v>
      </c>
      <c r="F6129" s="2">
        <f>DATE(2026,IF(Tabla1[[#This Row],[Mes de Fecha]]="Septiembre",9,10),Tabla1[[#This Row],[Día de Fecha]])</f>
        <v>46300</v>
      </c>
      <c r="G6129">
        <v>1087185324</v>
      </c>
      <c r="H6129" t="s">
        <v>362</v>
      </c>
      <c r="I6129">
        <v>109</v>
      </c>
      <c r="J6129">
        <v>0</v>
      </c>
      <c r="K6129" s="1">
        <v>6461729</v>
      </c>
    </row>
    <row r="6130" spans="1:11" x14ac:dyDescent="0.25">
      <c r="A6130" t="s">
        <v>326</v>
      </c>
      <c r="B6130" t="s">
        <v>828</v>
      </c>
      <c r="C6130" t="s">
        <v>871</v>
      </c>
      <c r="D6130" t="s">
        <v>14</v>
      </c>
      <c r="E6130">
        <v>5</v>
      </c>
      <c r="F6130" s="2">
        <f>DATE(2026,IF(Tabla1[[#This Row],[Mes de Fecha]]="Septiembre",9,10),Tabla1[[#This Row],[Día de Fecha]])</f>
        <v>46300</v>
      </c>
      <c r="G6130">
        <v>1087805009</v>
      </c>
      <c r="H6130" t="s">
        <v>376</v>
      </c>
      <c r="I6130">
        <v>-2</v>
      </c>
      <c r="J6130">
        <v>0</v>
      </c>
      <c r="K6130" s="1">
        <v>-75546</v>
      </c>
    </row>
    <row r="6131" spans="1:11" x14ac:dyDescent="0.25">
      <c r="A6131" t="s">
        <v>326</v>
      </c>
      <c r="B6131" t="s">
        <v>828</v>
      </c>
      <c r="C6131" t="s">
        <v>871</v>
      </c>
      <c r="D6131" t="s">
        <v>14</v>
      </c>
      <c r="E6131">
        <v>6</v>
      </c>
      <c r="F6131" s="2">
        <f>DATE(2026,IF(Tabla1[[#This Row],[Mes de Fecha]]="Septiembre",9,10),Tabla1[[#This Row],[Día de Fecha]])</f>
        <v>46301</v>
      </c>
      <c r="I6131">
        <v>0</v>
      </c>
      <c r="J6131" s="1">
        <v>2078690</v>
      </c>
      <c r="K6131">
        <v>0</v>
      </c>
    </row>
    <row r="6132" spans="1:11" x14ac:dyDescent="0.25">
      <c r="A6132" t="s">
        <v>326</v>
      </c>
      <c r="B6132" t="s">
        <v>828</v>
      </c>
      <c r="C6132" t="s">
        <v>871</v>
      </c>
      <c r="D6132" t="s">
        <v>14</v>
      </c>
      <c r="E6132">
        <v>6</v>
      </c>
      <c r="F6132" s="2">
        <f>DATE(2026,IF(Tabla1[[#This Row],[Mes de Fecha]]="Septiembre",9,10),Tabla1[[#This Row],[Día de Fecha]])</f>
        <v>46301</v>
      </c>
      <c r="G6132">
        <v>1087185324</v>
      </c>
      <c r="H6132" t="s">
        <v>362</v>
      </c>
      <c r="I6132">
        <v>52</v>
      </c>
      <c r="J6132">
        <v>0</v>
      </c>
      <c r="K6132" s="1">
        <v>2968322</v>
      </c>
    </row>
    <row r="6133" spans="1:11" x14ac:dyDescent="0.25">
      <c r="A6133" t="s">
        <v>326</v>
      </c>
      <c r="B6133" t="s">
        <v>828</v>
      </c>
      <c r="C6133" t="s">
        <v>871</v>
      </c>
      <c r="D6133" t="s">
        <v>14</v>
      </c>
      <c r="E6133">
        <v>7</v>
      </c>
      <c r="F6133" s="2">
        <f>DATE(2026,IF(Tabla1[[#This Row],[Mes de Fecha]]="Septiembre",9,10),Tabla1[[#This Row],[Día de Fecha]])</f>
        <v>46302</v>
      </c>
      <c r="I6133">
        <v>0</v>
      </c>
      <c r="J6133" s="1">
        <v>2051340</v>
      </c>
      <c r="K6133">
        <v>0</v>
      </c>
    </row>
    <row r="6134" spans="1:11" x14ac:dyDescent="0.25">
      <c r="A6134" t="s">
        <v>326</v>
      </c>
      <c r="B6134" t="s">
        <v>828</v>
      </c>
      <c r="C6134" t="s">
        <v>871</v>
      </c>
      <c r="D6134" t="s">
        <v>14</v>
      </c>
      <c r="E6134">
        <v>7</v>
      </c>
      <c r="F6134" s="2">
        <f>DATE(2026,IF(Tabla1[[#This Row],[Mes de Fecha]]="Septiembre",9,10),Tabla1[[#This Row],[Día de Fecha]])</f>
        <v>46302</v>
      </c>
      <c r="G6134">
        <v>1085270297</v>
      </c>
      <c r="H6134" t="s">
        <v>364</v>
      </c>
      <c r="I6134">
        <v>-1</v>
      </c>
      <c r="J6134">
        <v>0</v>
      </c>
      <c r="K6134" s="1">
        <v>-105000</v>
      </c>
    </row>
    <row r="6135" spans="1:11" x14ac:dyDescent="0.25">
      <c r="A6135" t="s">
        <v>326</v>
      </c>
      <c r="B6135" t="s">
        <v>828</v>
      </c>
      <c r="C6135" t="s">
        <v>871</v>
      </c>
      <c r="D6135" t="s">
        <v>14</v>
      </c>
      <c r="E6135">
        <v>7</v>
      </c>
      <c r="F6135" s="2">
        <f>DATE(2026,IF(Tabla1[[#This Row],[Mes de Fecha]]="Septiembre",9,10),Tabla1[[#This Row],[Día de Fecha]])</f>
        <v>46302</v>
      </c>
      <c r="G6135">
        <v>1087185324</v>
      </c>
      <c r="H6135" t="s">
        <v>362</v>
      </c>
      <c r="I6135">
        <v>75</v>
      </c>
      <c r="J6135">
        <v>0</v>
      </c>
      <c r="K6135" s="1">
        <v>4355968</v>
      </c>
    </row>
    <row r="6136" spans="1:11" x14ac:dyDescent="0.25">
      <c r="A6136" t="s">
        <v>326</v>
      </c>
      <c r="B6136" t="s">
        <v>828</v>
      </c>
      <c r="C6136" t="s">
        <v>871</v>
      </c>
      <c r="D6136" t="s">
        <v>14</v>
      </c>
      <c r="E6136">
        <v>7</v>
      </c>
      <c r="F6136" s="2">
        <f>DATE(2026,IF(Tabla1[[#This Row],[Mes de Fecha]]="Septiembre",9,10),Tabla1[[#This Row],[Día de Fecha]])</f>
        <v>46302</v>
      </c>
      <c r="G6136">
        <v>1104805189</v>
      </c>
      <c r="H6136" t="s">
        <v>579</v>
      </c>
      <c r="I6136">
        <v>-1</v>
      </c>
      <c r="J6136">
        <v>0</v>
      </c>
      <c r="K6136" s="1">
        <v>-41975</v>
      </c>
    </row>
    <row r="6137" spans="1:11" x14ac:dyDescent="0.25">
      <c r="A6137" t="s">
        <v>326</v>
      </c>
      <c r="B6137" t="s">
        <v>828</v>
      </c>
      <c r="C6137" t="s">
        <v>871</v>
      </c>
      <c r="D6137" t="s">
        <v>14</v>
      </c>
      <c r="E6137">
        <v>7</v>
      </c>
      <c r="F6137" s="2">
        <f>DATE(2026,IF(Tabla1[[#This Row],[Mes de Fecha]]="Septiembre",9,10),Tabla1[[#This Row],[Día de Fecha]])</f>
        <v>46302</v>
      </c>
      <c r="G6137">
        <v>1111665228</v>
      </c>
      <c r="H6137" t="s">
        <v>342</v>
      </c>
      <c r="I6137">
        <v>-1</v>
      </c>
      <c r="J6137">
        <v>0</v>
      </c>
      <c r="K6137" s="1">
        <v>-100756</v>
      </c>
    </row>
    <row r="6138" spans="1:11" x14ac:dyDescent="0.25">
      <c r="A6138" t="s">
        <v>326</v>
      </c>
      <c r="B6138" t="s">
        <v>828</v>
      </c>
      <c r="C6138" t="s">
        <v>871</v>
      </c>
      <c r="D6138" t="s">
        <v>14</v>
      </c>
      <c r="E6138">
        <v>7</v>
      </c>
      <c r="F6138" s="2">
        <f>DATE(2026,IF(Tabla1[[#This Row],[Mes de Fecha]]="Septiembre",9,10),Tabla1[[#This Row],[Día de Fecha]])</f>
        <v>46302</v>
      </c>
      <c r="G6138">
        <v>1143413580</v>
      </c>
      <c r="H6138" t="s">
        <v>382</v>
      </c>
      <c r="I6138">
        <v>-1</v>
      </c>
      <c r="J6138">
        <v>0</v>
      </c>
      <c r="K6138" s="1">
        <v>-62983</v>
      </c>
    </row>
    <row r="6139" spans="1:11" x14ac:dyDescent="0.25">
      <c r="A6139" t="s">
        <v>9</v>
      </c>
      <c r="B6139" t="s">
        <v>80</v>
      </c>
      <c r="C6139" t="s">
        <v>872</v>
      </c>
      <c r="D6139" t="s">
        <v>11</v>
      </c>
      <c r="E6139">
        <v>23</v>
      </c>
      <c r="F6139" s="2">
        <f>DATE(2026,IF(Tabla1[[#This Row],[Mes de Fecha]]="Septiembre",9,10),Tabla1[[#This Row],[Día de Fecha]])</f>
        <v>46288</v>
      </c>
      <c r="I6139">
        <v>0</v>
      </c>
      <c r="J6139" s="1">
        <v>3254558</v>
      </c>
      <c r="K6139">
        <v>0</v>
      </c>
    </row>
    <row r="6140" spans="1:11" x14ac:dyDescent="0.25">
      <c r="A6140" t="s">
        <v>9</v>
      </c>
      <c r="B6140" t="s">
        <v>80</v>
      </c>
      <c r="C6140" t="s">
        <v>872</v>
      </c>
      <c r="D6140" t="s">
        <v>11</v>
      </c>
      <c r="E6140">
        <v>23</v>
      </c>
      <c r="F6140" s="2">
        <f>DATE(2026,IF(Tabla1[[#This Row],[Mes de Fecha]]="Septiembre",9,10),Tabla1[[#This Row],[Día de Fecha]])</f>
        <v>46288</v>
      </c>
      <c r="G6140">
        <v>1006773195</v>
      </c>
      <c r="I6140">
        <v>57</v>
      </c>
      <c r="J6140">
        <v>0</v>
      </c>
      <c r="K6140" s="1">
        <v>3337904</v>
      </c>
    </row>
    <row r="6141" spans="1:11" x14ac:dyDescent="0.25">
      <c r="A6141" t="s">
        <v>9</v>
      </c>
      <c r="B6141" t="s">
        <v>80</v>
      </c>
      <c r="C6141" t="s">
        <v>872</v>
      </c>
      <c r="D6141" t="s">
        <v>11</v>
      </c>
      <c r="E6141">
        <v>23</v>
      </c>
      <c r="F6141" s="2">
        <f>DATE(2026,IF(Tabla1[[#This Row],[Mes de Fecha]]="Septiembre",9,10),Tabla1[[#This Row],[Día de Fecha]])</f>
        <v>46288</v>
      </c>
      <c r="G6141">
        <v>1120361630</v>
      </c>
      <c r="H6141" t="s">
        <v>81</v>
      </c>
      <c r="I6141">
        <v>90</v>
      </c>
      <c r="J6141">
        <v>0</v>
      </c>
      <c r="K6141" s="1">
        <v>4870174</v>
      </c>
    </row>
    <row r="6142" spans="1:11" x14ac:dyDescent="0.25">
      <c r="A6142" t="s">
        <v>9</v>
      </c>
      <c r="B6142" t="s">
        <v>80</v>
      </c>
      <c r="C6142" t="s">
        <v>872</v>
      </c>
      <c r="D6142" t="s">
        <v>11</v>
      </c>
      <c r="E6142">
        <v>24</v>
      </c>
      <c r="F6142" s="2">
        <f>DATE(2026,IF(Tabla1[[#This Row],[Mes de Fecha]]="Septiembre",9,10),Tabla1[[#This Row],[Día de Fecha]])</f>
        <v>46289</v>
      </c>
      <c r="I6142">
        <v>0</v>
      </c>
      <c r="J6142" s="1">
        <v>8416919</v>
      </c>
      <c r="K6142">
        <v>0</v>
      </c>
    </row>
    <row r="6143" spans="1:11" x14ac:dyDescent="0.25">
      <c r="A6143" t="s">
        <v>9</v>
      </c>
      <c r="B6143" t="s">
        <v>80</v>
      </c>
      <c r="C6143" t="s">
        <v>872</v>
      </c>
      <c r="D6143" t="s">
        <v>11</v>
      </c>
      <c r="E6143">
        <v>24</v>
      </c>
      <c r="F6143" s="2">
        <f>DATE(2026,IF(Tabla1[[#This Row],[Mes de Fecha]]="Septiembre",9,10),Tabla1[[#This Row],[Día de Fecha]])</f>
        <v>46289</v>
      </c>
      <c r="G6143">
        <v>1006773195</v>
      </c>
      <c r="I6143">
        <v>106</v>
      </c>
      <c r="J6143">
        <v>0</v>
      </c>
      <c r="K6143" s="1">
        <v>5856897</v>
      </c>
    </row>
    <row r="6144" spans="1:11" x14ac:dyDescent="0.25">
      <c r="A6144" t="s">
        <v>9</v>
      </c>
      <c r="B6144" t="s">
        <v>80</v>
      </c>
      <c r="C6144" t="s">
        <v>872</v>
      </c>
      <c r="D6144" t="s">
        <v>11</v>
      </c>
      <c r="E6144">
        <v>24</v>
      </c>
      <c r="F6144" s="2">
        <f>DATE(2026,IF(Tabla1[[#This Row],[Mes de Fecha]]="Septiembre",9,10),Tabla1[[#This Row],[Día de Fecha]])</f>
        <v>46289</v>
      </c>
      <c r="G6144">
        <v>1120361630</v>
      </c>
      <c r="H6144" t="s">
        <v>81</v>
      </c>
      <c r="I6144">
        <v>83</v>
      </c>
      <c r="J6144">
        <v>0</v>
      </c>
      <c r="K6144" s="1">
        <v>4754965</v>
      </c>
    </row>
    <row r="6145" spans="1:11" x14ac:dyDescent="0.25">
      <c r="A6145" t="s">
        <v>9</v>
      </c>
      <c r="B6145" t="s">
        <v>80</v>
      </c>
      <c r="C6145" t="s">
        <v>872</v>
      </c>
      <c r="D6145" t="s">
        <v>11</v>
      </c>
      <c r="E6145">
        <v>25</v>
      </c>
      <c r="F6145" s="2">
        <f>DATE(2026,IF(Tabla1[[#This Row],[Mes de Fecha]]="Septiembre",9,10),Tabla1[[#This Row],[Día de Fecha]])</f>
        <v>46290</v>
      </c>
      <c r="I6145">
        <v>0</v>
      </c>
      <c r="J6145" s="1">
        <v>8989725</v>
      </c>
      <c r="K6145">
        <v>0</v>
      </c>
    </row>
    <row r="6146" spans="1:11" x14ac:dyDescent="0.25">
      <c r="A6146" t="s">
        <v>9</v>
      </c>
      <c r="B6146" t="s">
        <v>80</v>
      </c>
      <c r="C6146" t="s">
        <v>872</v>
      </c>
      <c r="D6146" t="s">
        <v>11</v>
      </c>
      <c r="E6146">
        <v>25</v>
      </c>
      <c r="F6146" s="2">
        <f>DATE(2026,IF(Tabla1[[#This Row],[Mes de Fecha]]="Septiembre",9,10),Tabla1[[#This Row],[Día de Fecha]])</f>
        <v>46290</v>
      </c>
      <c r="G6146">
        <v>1006773195</v>
      </c>
      <c r="I6146">
        <v>78</v>
      </c>
      <c r="J6146">
        <v>0</v>
      </c>
      <c r="K6146" s="1">
        <v>4076555</v>
      </c>
    </row>
    <row r="6147" spans="1:11" x14ac:dyDescent="0.25">
      <c r="A6147" t="s">
        <v>9</v>
      </c>
      <c r="B6147" t="s">
        <v>80</v>
      </c>
      <c r="C6147" t="s">
        <v>872</v>
      </c>
      <c r="D6147" t="s">
        <v>11</v>
      </c>
      <c r="E6147">
        <v>25</v>
      </c>
      <c r="F6147" s="2">
        <f>DATE(2026,IF(Tabla1[[#This Row],[Mes de Fecha]]="Septiembre",9,10),Tabla1[[#This Row],[Día de Fecha]])</f>
        <v>46290</v>
      </c>
      <c r="G6147">
        <v>1120361630</v>
      </c>
      <c r="H6147" t="s">
        <v>81</v>
      </c>
      <c r="I6147">
        <v>76</v>
      </c>
      <c r="J6147">
        <v>0</v>
      </c>
      <c r="K6147" s="1">
        <v>4530424</v>
      </c>
    </row>
    <row r="6148" spans="1:11" x14ac:dyDescent="0.25">
      <c r="A6148" t="s">
        <v>9</v>
      </c>
      <c r="B6148" t="s">
        <v>80</v>
      </c>
      <c r="C6148" t="s">
        <v>872</v>
      </c>
      <c r="D6148" t="s">
        <v>11</v>
      </c>
      <c r="E6148">
        <v>26</v>
      </c>
      <c r="F6148" s="2">
        <f>DATE(2026,IF(Tabla1[[#This Row],[Mes de Fecha]]="Septiembre",9,10),Tabla1[[#This Row],[Día de Fecha]])</f>
        <v>46291</v>
      </c>
      <c r="I6148">
        <v>0</v>
      </c>
      <c r="J6148" s="1">
        <v>11335819</v>
      </c>
      <c r="K6148">
        <v>0</v>
      </c>
    </row>
    <row r="6149" spans="1:11" x14ac:dyDescent="0.25">
      <c r="A6149" t="s">
        <v>9</v>
      </c>
      <c r="B6149" t="s">
        <v>80</v>
      </c>
      <c r="C6149" t="s">
        <v>872</v>
      </c>
      <c r="D6149" t="s">
        <v>11</v>
      </c>
      <c r="E6149">
        <v>26</v>
      </c>
      <c r="F6149" s="2">
        <f>DATE(2026,IF(Tabla1[[#This Row],[Mes de Fecha]]="Septiembre",9,10),Tabla1[[#This Row],[Día de Fecha]])</f>
        <v>46291</v>
      </c>
      <c r="G6149">
        <v>1006773195</v>
      </c>
      <c r="I6149">
        <v>145</v>
      </c>
      <c r="J6149">
        <v>0</v>
      </c>
      <c r="K6149" s="1">
        <v>8708157</v>
      </c>
    </row>
    <row r="6150" spans="1:11" x14ac:dyDescent="0.25">
      <c r="A6150" t="s">
        <v>9</v>
      </c>
      <c r="B6150" t="s">
        <v>80</v>
      </c>
      <c r="C6150" t="s">
        <v>872</v>
      </c>
      <c r="D6150" t="s">
        <v>11</v>
      </c>
      <c r="E6150">
        <v>26</v>
      </c>
      <c r="F6150" s="2">
        <f>DATE(2026,IF(Tabla1[[#This Row],[Mes de Fecha]]="Septiembre",9,10),Tabla1[[#This Row],[Día de Fecha]])</f>
        <v>46291</v>
      </c>
      <c r="G6150">
        <v>1120361630</v>
      </c>
      <c r="H6150" t="s">
        <v>81</v>
      </c>
      <c r="I6150">
        <v>12</v>
      </c>
      <c r="J6150">
        <v>0</v>
      </c>
      <c r="K6150" s="1">
        <v>675966</v>
      </c>
    </row>
    <row r="6151" spans="1:11" x14ac:dyDescent="0.25">
      <c r="A6151" t="s">
        <v>9</v>
      </c>
      <c r="B6151" t="s">
        <v>80</v>
      </c>
      <c r="C6151" t="s">
        <v>872</v>
      </c>
      <c r="D6151" t="s">
        <v>11</v>
      </c>
      <c r="E6151">
        <v>27</v>
      </c>
      <c r="F6151" s="2">
        <f>DATE(2026,IF(Tabla1[[#This Row],[Mes de Fecha]]="Septiembre",9,10),Tabla1[[#This Row],[Día de Fecha]])</f>
        <v>46292</v>
      </c>
      <c r="I6151">
        <v>0</v>
      </c>
      <c r="J6151" s="1">
        <v>5985205</v>
      </c>
      <c r="K6151">
        <v>0</v>
      </c>
    </row>
    <row r="6152" spans="1:11" x14ac:dyDescent="0.25">
      <c r="A6152" t="s">
        <v>9</v>
      </c>
      <c r="B6152" t="s">
        <v>80</v>
      </c>
      <c r="C6152" t="s">
        <v>872</v>
      </c>
      <c r="D6152" t="s">
        <v>11</v>
      </c>
      <c r="E6152">
        <v>27</v>
      </c>
      <c r="F6152" s="2">
        <f>DATE(2026,IF(Tabla1[[#This Row],[Mes de Fecha]]="Septiembre",9,10),Tabla1[[#This Row],[Día de Fecha]])</f>
        <v>46292</v>
      </c>
      <c r="G6152">
        <v>1006773195</v>
      </c>
      <c r="I6152">
        <v>43</v>
      </c>
      <c r="J6152">
        <v>0</v>
      </c>
      <c r="K6152" s="1">
        <v>2416219</v>
      </c>
    </row>
    <row r="6153" spans="1:11" x14ac:dyDescent="0.25">
      <c r="A6153" t="s">
        <v>9</v>
      </c>
      <c r="B6153" t="s">
        <v>80</v>
      </c>
      <c r="C6153" t="s">
        <v>872</v>
      </c>
      <c r="D6153" t="s">
        <v>11</v>
      </c>
      <c r="E6153">
        <v>27</v>
      </c>
      <c r="F6153" s="2">
        <f>DATE(2026,IF(Tabla1[[#This Row],[Mes de Fecha]]="Septiembre",9,10),Tabla1[[#This Row],[Día de Fecha]])</f>
        <v>46292</v>
      </c>
      <c r="G6153">
        <v>1120361630</v>
      </c>
      <c r="H6153" t="s">
        <v>81</v>
      </c>
      <c r="I6153">
        <v>41</v>
      </c>
      <c r="J6153">
        <v>0</v>
      </c>
      <c r="K6153" s="1">
        <v>2187354</v>
      </c>
    </row>
    <row r="6154" spans="1:11" x14ac:dyDescent="0.25">
      <c r="A6154" t="s">
        <v>9</v>
      </c>
      <c r="B6154" t="s">
        <v>80</v>
      </c>
      <c r="C6154" t="s">
        <v>872</v>
      </c>
      <c r="D6154" t="s">
        <v>11</v>
      </c>
      <c r="E6154">
        <v>28</v>
      </c>
      <c r="F6154" s="2">
        <f>DATE(2026,IF(Tabla1[[#This Row],[Mes de Fecha]]="Septiembre",9,10),Tabla1[[#This Row],[Día de Fecha]])</f>
        <v>46293</v>
      </c>
      <c r="I6154">
        <v>0</v>
      </c>
      <c r="J6154" s="1">
        <v>4907217</v>
      </c>
      <c r="K6154">
        <v>0</v>
      </c>
    </row>
    <row r="6155" spans="1:11" x14ac:dyDescent="0.25">
      <c r="A6155" t="s">
        <v>9</v>
      </c>
      <c r="B6155" t="s">
        <v>80</v>
      </c>
      <c r="C6155" t="s">
        <v>872</v>
      </c>
      <c r="D6155" t="s">
        <v>11</v>
      </c>
      <c r="E6155">
        <v>28</v>
      </c>
      <c r="F6155" s="2">
        <f>DATE(2026,IF(Tabla1[[#This Row],[Mes de Fecha]]="Septiembre",9,10),Tabla1[[#This Row],[Día de Fecha]])</f>
        <v>46293</v>
      </c>
      <c r="G6155">
        <v>1006773195</v>
      </c>
      <c r="I6155">
        <v>34</v>
      </c>
      <c r="J6155">
        <v>0</v>
      </c>
      <c r="K6155" s="1">
        <v>2166641</v>
      </c>
    </row>
    <row r="6156" spans="1:11" x14ac:dyDescent="0.25">
      <c r="A6156" t="s">
        <v>9</v>
      </c>
      <c r="B6156" t="s">
        <v>80</v>
      </c>
      <c r="C6156" t="s">
        <v>872</v>
      </c>
      <c r="D6156" t="s">
        <v>11</v>
      </c>
      <c r="E6156">
        <v>28</v>
      </c>
      <c r="F6156" s="2">
        <f>DATE(2026,IF(Tabla1[[#This Row],[Mes de Fecha]]="Septiembre",9,10),Tabla1[[#This Row],[Día de Fecha]])</f>
        <v>46293</v>
      </c>
      <c r="G6156">
        <v>1120361630</v>
      </c>
      <c r="H6156" t="s">
        <v>81</v>
      </c>
      <c r="I6156">
        <v>71</v>
      </c>
      <c r="J6156">
        <v>0</v>
      </c>
      <c r="K6156" s="1">
        <v>3994878</v>
      </c>
    </row>
    <row r="6157" spans="1:11" x14ac:dyDescent="0.25">
      <c r="A6157" t="s">
        <v>9</v>
      </c>
      <c r="B6157" t="s">
        <v>80</v>
      </c>
      <c r="C6157" t="s">
        <v>872</v>
      </c>
      <c r="D6157" t="s">
        <v>11</v>
      </c>
      <c r="E6157">
        <v>29</v>
      </c>
      <c r="F6157" s="2">
        <f>DATE(2026,IF(Tabla1[[#This Row],[Mes de Fecha]]="Septiembre",9,10),Tabla1[[#This Row],[Día de Fecha]])</f>
        <v>46294</v>
      </c>
      <c r="I6157">
        <v>0</v>
      </c>
      <c r="J6157" s="1">
        <v>5455372</v>
      </c>
      <c r="K6157">
        <v>0</v>
      </c>
    </row>
    <row r="6158" spans="1:11" x14ac:dyDescent="0.25">
      <c r="A6158" t="s">
        <v>9</v>
      </c>
      <c r="B6158" t="s">
        <v>80</v>
      </c>
      <c r="C6158" t="s">
        <v>872</v>
      </c>
      <c r="D6158" t="s">
        <v>11</v>
      </c>
      <c r="E6158">
        <v>29</v>
      </c>
      <c r="F6158" s="2">
        <f>DATE(2026,IF(Tabla1[[#This Row],[Mes de Fecha]]="Septiembre",9,10),Tabla1[[#This Row],[Día de Fecha]])</f>
        <v>46294</v>
      </c>
      <c r="G6158">
        <v>1006773195</v>
      </c>
      <c r="I6158">
        <v>59</v>
      </c>
      <c r="J6158">
        <v>0</v>
      </c>
      <c r="K6158" s="1">
        <v>3552103</v>
      </c>
    </row>
    <row r="6159" spans="1:11" x14ac:dyDescent="0.25">
      <c r="A6159" t="s">
        <v>9</v>
      </c>
      <c r="B6159" t="s">
        <v>80</v>
      </c>
      <c r="C6159" t="s">
        <v>872</v>
      </c>
      <c r="D6159" t="s">
        <v>11</v>
      </c>
      <c r="E6159">
        <v>29</v>
      </c>
      <c r="F6159" s="2">
        <f>DATE(2026,IF(Tabla1[[#This Row],[Mes de Fecha]]="Septiembre",9,10),Tabla1[[#This Row],[Día de Fecha]])</f>
        <v>46294</v>
      </c>
      <c r="G6159">
        <v>1120361630</v>
      </c>
      <c r="H6159" t="s">
        <v>81</v>
      </c>
      <c r="I6159">
        <v>9</v>
      </c>
      <c r="J6159">
        <v>0</v>
      </c>
      <c r="K6159" s="1">
        <v>432352</v>
      </c>
    </row>
    <row r="6160" spans="1:11" x14ac:dyDescent="0.25">
      <c r="A6160" t="s">
        <v>9</v>
      </c>
      <c r="B6160" t="s">
        <v>80</v>
      </c>
      <c r="C6160" t="s">
        <v>872</v>
      </c>
      <c r="D6160" t="s">
        <v>11</v>
      </c>
      <c r="E6160">
        <v>30</v>
      </c>
      <c r="F6160" s="2">
        <f>DATE(2026,IF(Tabla1[[#This Row],[Mes de Fecha]]="Septiembre",9,10),Tabla1[[#This Row],[Día de Fecha]])</f>
        <v>46295</v>
      </c>
      <c r="I6160">
        <v>0</v>
      </c>
      <c r="J6160" s="1">
        <v>5777415</v>
      </c>
      <c r="K6160">
        <v>0</v>
      </c>
    </row>
    <row r="6161" spans="1:11" x14ac:dyDescent="0.25">
      <c r="A6161" t="s">
        <v>9</v>
      </c>
      <c r="B6161" t="s">
        <v>80</v>
      </c>
      <c r="C6161" t="s">
        <v>872</v>
      </c>
      <c r="D6161" t="s">
        <v>11</v>
      </c>
      <c r="E6161">
        <v>30</v>
      </c>
      <c r="F6161" s="2">
        <f>DATE(2026,IF(Tabla1[[#This Row],[Mes de Fecha]]="Septiembre",9,10),Tabla1[[#This Row],[Día de Fecha]])</f>
        <v>46295</v>
      </c>
      <c r="G6161">
        <v>1006773195</v>
      </c>
      <c r="I6161">
        <v>-2</v>
      </c>
      <c r="J6161">
        <v>0</v>
      </c>
      <c r="K6161" s="1">
        <v>-96555</v>
      </c>
    </row>
    <row r="6162" spans="1:11" x14ac:dyDescent="0.25">
      <c r="A6162" t="s">
        <v>9</v>
      </c>
      <c r="B6162" t="s">
        <v>80</v>
      </c>
      <c r="C6162" t="s">
        <v>872</v>
      </c>
      <c r="D6162" t="s">
        <v>11</v>
      </c>
      <c r="E6162">
        <v>30</v>
      </c>
      <c r="F6162" s="2">
        <f>DATE(2026,IF(Tabla1[[#This Row],[Mes de Fecha]]="Septiembre",9,10),Tabla1[[#This Row],[Día de Fecha]])</f>
        <v>46295</v>
      </c>
      <c r="G6162">
        <v>1120361630</v>
      </c>
      <c r="H6162" t="s">
        <v>81</v>
      </c>
      <c r="I6162">
        <v>69</v>
      </c>
      <c r="J6162">
        <v>0</v>
      </c>
      <c r="K6162" s="1">
        <v>3938284</v>
      </c>
    </row>
    <row r="6163" spans="1:11" x14ac:dyDescent="0.25">
      <c r="A6163" t="s">
        <v>9</v>
      </c>
      <c r="B6163" t="s">
        <v>80</v>
      </c>
      <c r="C6163" t="s">
        <v>872</v>
      </c>
      <c r="D6163" t="s">
        <v>14</v>
      </c>
      <c r="E6163">
        <v>1</v>
      </c>
      <c r="F6163" s="2">
        <f>DATE(2026,IF(Tabla1[[#This Row],[Mes de Fecha]]="Septiembre",9,10),Tabla1[[#This Row],[Día de Fecha]])</f>
        <v>46296</v>
      </c>
      <c r="I6163">
        <v>0</v>
      </c>
      <c r="J6163" s="1">
        <v>7880652</v>
      </c>
      <c r="K6163">
        <v>0</v>
      </c>
    </row>
    <row r="6164" spans="1:11" x14ac:dyDescent="0.25">
      <c r="A6164" t="s">
        <v>9</v>
      </c>
      <c r="B6164" t="s">
        <v>80</v>
      </c>
      <c r="C6164" t="s">
        <v>872</v>
      </c>
      <c r="D6164" t="s">
        <v>14</v>
      </c>
      <c r="E6164">
        <v>1</v>
      </c>
      <c r="F6164" s="2">
        <f>DATE(2026,IF(Tabla1[[#This Row],[Mes de Fecha]]="Septiembre",9,10),Tabla1[[#This Row],[Día de Fecha]])</f>
        <v>46296</v>
      </c>
      <c r="G6164">
        <v>1006773195</v>
      </c>
      <c r="I6164">
        <v>35</v>
      </c>
      <c r="J6164">
        <v>0</v>
      </c>
      <c r="K6164" s="1">
        <v>1880841</v>
      </c>
    </row>
    <row r="6165" spans="1:11" x14ac:dyDescent="0.25">
      <c r="A6165" t="s">
        <v>9</v>
      </c>
      <c r="B6165" t="s">
        <v>80</v>
      </c>
      <c r="C6165" t="s">
        <v>872</v>
      </c>
      <c r="D6165" t="s">
        <v>14</v>
      </c>
      <c r="E6165">
        <v>1</v>
      </c>
      <c r="F6165" s="2">
        <f>DATE(2026,IF(Tabla1[[#This Row],[Mes de Fecha]]="Septiembre",9,10),Tabla1[[#This Row],[Día de Fecha]])</f>
        <v>46296</v>
      </c>
      <c r="G6165">
        <v>1120361630</v>
      </c>
      <c r="H6165" t="s">
        <v>81</v>
      </c>
      <c r="I6165">
        <v>45</v>
      </c>
      <c r="J6165">
        <v>0</v>
      </c>
      <c r="K6165" s="1">
        <v>2500210</v>
      </c>
    </row>
    <row r="6166" spans="1:11" x14ac:dyDescent="0.25">
      <c r="A6166" t="s">
        <v>9</v>
      </c>
      <c r="B6166" t="s">
        <v>80</v>
      </c>
      <c r="C6166" t="s">
        <v>872</v>
      </c>
      <c r="D6166" t="s">
        <v>14</v>
      </c>
      <c r="E6166">
        <v>2</v>
      </c>
      <c r="F6166" s="2">
        <f>DATE(2026,IF(Tabla1[[#This Row],[Mes de Fecha]]="Septiembre",9,10),Tabla1[[#This Row],[Día de Fecha]])</f>
        <v>46297</v>
      </c>
      <c r="I6166">
        <v>0</v>
      </c>
      <c r="J6166" s="1">
        <v>7745616</v>
      </c>
      <c r="K6166">
        <v>0</v>
      </c>
    </row>
    <row r="6167" spans="1:11" x14ac:dyDescent="0.25">
      <c r="A6167" t="s">
        <v>9</v>
      </c>
      <c r="B6167" t="s">
        <v>80</v>
      </c>
      <c r="C6167" t="s">
        <v>872</v>
      </c>
      <c r="D6167" t="s">
        <v>14</v>
      </c>
      <c r="E6167">
        <v>2</v>
      </c>
      <c r="F6167" s="2">
        <f>DATE(2026,IF(Tabla1[[#This Row],[Mes de Fecha]]="Septiembre",9,10),Tabla1[[#This Row],[Día de Fecha]])</f>
        <v>46297</v>
      </c>
      <c r="G6167">
        <v>1006773195</v>
      </c>
      <c r="I6167">
        <v>62</v>
      </c>
      <c r="J6167">
        <v>0</v>
      </c>
      <c r="K6167" s="1">
        <v>3768450</v>
      </c>
    </row>
    <row r="6168" spans="1:11" x14ac:dyDescent="0.25">
      <c r="A6168" t="s">
        <v>9</v>
      </c>
      <c r="B6168" t="s">
        <v>80</v>
      </c>
      <c r="C6168" t="s">
        <v>872</v>
      </c>
      <c r="D6168" t="s">
        <v>14</v>
      </c>
      <c r="E6168">
        <v>2</v>
      </c>
      <c r="F6168" s="2">
        <f>DATE(2026,IF(Tabla1[[#This Row],[Mes de Fecha]]="Septiembre",9,10),Tabla1[[#This Row],[Día de Fecha]])</f>
        <v>46297</v>
      </c>
      <c r="G6168">
        <v>1120361630</v>
      </c>
      <c r="H6168" t="s">
        <v>81</v>
      </c>
      <c r="I6168">
        <v>46</v>
      </c>
      <c r="J6168">
        <v>0</v>
      </c>
      <c r="K6168" s="1">
        <v>2739622</v>
      </c>
    </row>
    <row r="6169" spans="1:11" x14ac:dyDescent="0.25">
      <c r="A6169" t="s">
        <v>9</v>
      </c>
      <c r="B6169" t="s">
        <v>80</v>
      </c>
      <c r="C6169" t="s">
        <v>872</v>
      </c>
      <c r="D6169" t="s">
        <v>14</v>
      </c>
      <c r="E6169">
        <v>3</v>
      </c>
      <c r="F6169" s="2">
        <f>DATE(2026,IF(Tabla1[[#This Row],[Mes de Fecha]]="Septiembre",9,10),Tabla1[[#This Row],[Día de Fecha]])</f>
        <v>46298</v>
      </c>
      <c r="I6169">
        <v>0</v>
      </c>
      <c r="J6169" s="1">
        <v>8365703</v>
      </c>
      <c r="K6169">
        <v>0</v>
      </c>
    </row>
    <row r="6170" spans="1:11" x14ac:dyDescent="0.25">
      <c r="A6170" t="s">
        <v>9</v>
      </c>
      <c r="B6170" t="s">
        <v>80</v>
      </c>
      <c r="C6170" t="s">
        <v>872</v>
      </c>
      <c r="D6170" t="s">
        <v>14</v>
      </c>
      <c r="E6170">
        <v>3</v>
      </c>
      <c r="F6170" s="2">
        <f>DATE(2026,IF(Tabla1[[#This Row],[Mes de Fecha]]="Septiembre",9,10),Tabla1[[#This Row],[Día de Fecha]])</f>
        <v>46298</v>
      </c>
      <c r="G6170">
        <v>1006773195</v>
      </c>
      <c r="I6170">
        <v>82</v>
      </c>
      <c r="J6170">
        <v>0</v>
      </c>
      <c r="K6170" s="1">
        <v>4254478</v>
      </c>
    </row>
    <row r="6171" spans="1:11" x14ac:dyDescent="0.25">
      <c r="A6171" t="s">
        <v>9</v>
      </c>
      <c r="B6171" t="s">
        <v>80</v>
      </c>
      <c r="C6171" t="s">
        <v>872</v>
      </c>
      <c r="D6171" t="s">
        <v>14</v>
      </c>
      <c r="E6171">
        <v>3</v>
      </c>
      <c r="F6171" s="2">
        <f>DATE(2026,IF(Tabla1[[#This Row],[Mes de Fecha]]="Septiembre",9,10),Tabla1[[#This Row],[Día de Fecha]])</f>
        <v>46298</v>
      </c>
      <c r="G6171">
        <v>1120361630</v>
      </c>
      <c r="H6171" t="s">
        <v>81</v>
      </c>
      <c r="I6171">
        <v>90</v>
      </c>
      <c r="J6171">
        <v>0</v>
      </c>
      <c r="K6171" s="1">
        <v>4516957</v>
      </c>
    </row>
    <row r="6172" spans="1:11" x14ac:dyDescent="0.25">
      <c r="A6172" t="s">
        <v>9</v>
      </c>
      <c r="B6172" t="s">
        <v>80</v>
      </c>
      <c r="C6172" t="s">
        <v>872</v>
      </c>
      <c r="D6172" t="s">
        <v>14</v>
      </c>
      <c r="E6172">
        <v>4</v>
      </c>
      <c r="F6172" s="2">
        <f>DATE(2026,IF(Tabla1[[#This Row],[Mes de Fecha]]="Septiembre",9,10),Tabla1[[#This Row],[Día de Fecha]])</f>
        <v>46299</v>
      </c>
      <c r="I6172">
        <v>0</v>
      </c>
      <c r="J6172" s="1">
        <v>4802408</v>
      </c>
      <c r="K6172">
        <v>0</v>
      </c>
    </row>
    <row r="6173" spans="1:11" x14ac:dyDescent="0.25">
      <c r="A6173" t="s">
        <v>9</v>
      </c>
      <c r="B6173" t="s">
        <v>80</v>
      </c>
      <c r="C6173" t="s">
        <v>872</v>
      </c>
      <c r="D6173" t="s">
        <v>14</v>
      </c>
      <c r="E6173">
        <v>4</v>
      </c>
      <c r="F6173" s="2">
        <f>DATE(2026,IF(Tabla1[[#This Row],[Mes de Fecha]]="Septiembre",9,10),Tabla1[[#This Row],[Día de Fecha]])</f>
        <v>46299</v>
      </c>
      <c r="G6173">
        <v>1120361630</v>
      </c>
      <c r="H6173" t="s">
        <v>81</v>
      </c>
      <c r="I6173">
        <v>81</v>
      </c>
      <c r="J6173">
        <v>0</v>
      </c>
      <c r="K6173" s="1">
        <v>4504586</v>
      </c>
    </row>
    <row r="6174" spans="1:11" x14ac:dyDescent="0.25">
      <c r="A6174" t="s">
        <v>9</v>
      </c>
      <c r="B6174" t="s">
        <v>80</v>
      </c>
      <c r="C6174" t="s">
        <v>872</v>
      </c>
      <c r="D6174" t="s">
        <v>14</v>
      </c>
      <c r="E6174">
        <v>5</v>
      </c>
      <c r="F6174" s="2">
        <f>DATE(2026,IF(Tabla1[[#This Row],[Mes de Fecha]]="Septiembre",9,10),Tabla1[[#This Row],[Día de Fecha]])</f>
        <v>46300</v>
      </c>
      <c r="I6174">
        <v>0</v>
      </c>
      <c r="J6174" s="1">
        <v>5486380</v>
      </c>
      <c r="K6174">
        <v>0</v>
      </c>
    </row>
    <row r="6175" spans="1:11" x14ac:dyDescent="0.25">
      <c r="A6175" t="s">
        <v>9</v>
      </c>
      <c r="B6175" t="s">
        <v>80</v>
      </c>
      <c r="C6175" t="s">
        <v>872</v>
      </c>
      <c r="D6175" t="s">
        <v>14</v>
      </c>
      <c r="E6175">
        <v>5</v>
      </c>
      <c r="F6175" s="2">
        <f>DATE(2026,IF(Tabla1[[#This Row],[Mes de Fecha]]="Septiembre",9,10),Tabla1[[#This Row],[Día de Fecha]])</f>
        <v>46300</v>
      </c>
      <c r="G6175">
        <v>1006773195</v>
      </c>
      <c r="I6175">
        <v>74</v>
      </c>
      <c r="J6175">
        <v>0</v>
      </c>
      <c r="K6175" s="1">
        <v>4185634</v>
      </c>
    </row>
    <row r="6176" spans="1:11" x14ac:dyDescent="0.25">
      <c r="A6176" t="s">
        <v>9</v>
      </c>
      <c r="B6176" t="s">
        <v>80</v>
      </c>
      <c r="C6176" t="s">
        <v>872</v>
      </c>
      <c r="D6176" t="s">
        <v>14</v>
      </c>
      <c r="E6176">
        <v>5</v>
      </c>
      <c r="F6176" s="2">
        <f>DATE(2026,IF(Tabla1[[#This Row],[Mes de Fecha]]="Septiembre",9,10),Tabla1[[#This Row],[Día de Fecha]])</f>
        <v>46300</v>
      </c>
      <c r="G6176">
        <v>1120361630</v>
      </c>
      <c r="H6176" t="s">
        <v>81</v>
      </c>
      <c r="I6176">
        <v>-6</v>
      </c>
      <c r="J6176">
        <v>0</v>
      </c>
      <c r="K6176" s="1">
        <v>-259000</v>
      </c>
    </row>
    <row r="6177" spans="1:11" x14ac:dyDescent="0.25">
      <c r="A6177" t="s">
        <v>9</v>
      </c>
      <c r="B6177" t="s">
        <v>80</v>
      </c>
      <c r="C6177" t="s">
        <v>872</v>
      </c>
      <c r="D6177" t="s">
        <v>14</v>
      </c>
      <c r="E6177">
        <v>6</v>
      </c>
      <c r="F6177" s="2">
        <f>DATE(2026,IF(Tabla1[[#This Row],[Mes de Fecha]]="Septiembre",9,10),Tabla1[[#This Row],[Día de Fecha]])</f>
        <v>46301</v>
      </c>
      <c r="I6177">
        <v>0</v>
      </c>
      <c r="J6177" s="1">
        <v>1296215</v>
      </c>
      <c r="K6177">
        <v>0</v>
      </c>
    </row>
    <row r="6178" spans="1:11" x14ac:dyDescent="0.25">
      <c r="A6178" t="s">
        <v>9</v>
      </c>
      <c r="B6178" t="s">
        <v>80</v>
      </c>
      <c r="C6178" t="s">
        <v>872</v>
      </c>
      <c r="D6178" t="s">
        <v>14</v>
      </c>
      <c r="E6178">
        <v>6</v>
      </c>
      <c r="F6178" s="2">
        <f>DATE(2026,IF(Tabla1[[#This Row],[Mes de Fecha]]="Septiembre",9,10),Tabla1[[#This Row],[Día de Fecha]])</f>
        <v>46301</v>
      </c>
      <c r="G6178">
        <v>1006773195</v>
      </c>
      <c r="I6178">
        <v>50</v>
      </c>
      <c r="J6178">
        <v>0</v>
      </c>
      <c r="K6178" s="1">
        <v>2999749</v>
      </c>
    </row>
    <row r="6179" spans="1:11" x14ac:dyDescent="0.25">
      <c r="A6179" t="s">
        <v>9</v>
      </c>
      <c r="B6179" t="s">
        <v>80</v>
      </c>
      <c r="C6179" t="s">
        <v>872</v>
      </c>
      <c r="D6179" t="s">
        <v>14</v>
      </c>
      <c r="E6179">
        <v>6</v>
      </c>
      <c r="F6179" s="2">
        <f>DATE(2026,IF(Tabla1[[#This Row],[Mes de Fecha]]="Septiembre",9,10),Tabla1[[#This Row],[Día de Fecha]])</f>
        <v>46301</v>
      </c>
      <c r="G6179">
        <v>1120361630</v>
      </c>
      <c r="H6179" t="s">
        <v>81</v>
      </c>
      <c r="I6179">
        <v>-3</v>
      </c>
      <c r="J6179">
        <v>0</v>
      </c>
      <c r="K6179" s="1">
        <v>-144420</v>
      </c>
    </row>
    <row r="6180" spans="1:11" x14ac:dyDescent="0.25">
      <c r="A6180" t="s">
        <v>9</v>
      </c>
      <c r="B6180" t="s">
        <v>80</v>
      </c>
      <c r="C6180" t="s">
        <v>872</v>
      </c>
      <c r="D6180" t="s">
        <v>14</v>
      </c>
      <c r="E6180">
        <v>7</v>
      </c>
      <c r="F6180" s="2">
        <f>DATE(2026,IF(Tabla1[[#This Row],[Mes de Fecha]]="Septiembre",9,10),Tabla1[[#This Row],[Día de Fecha]])</f>
        <v>46302</v>
      </c>
      <c r="I6180">
        <v>0</v>
      </c>
      <c r="J6180" s="1">
        <v>2272753</v>
      </c>
      <c r="K6180">
        <v>0</v>
      </c>
    </row>
    <row r="6181" spans="1:11" x14ac:dyDescent="0.25">
      <c r="A6181" t="s">
        <v>9</v>
      </c>
      <c r="B6181" t="s">
        <v>80</v>
      </c>
      <c r="C6181" t="s">
        <v>872</v>
      </c>
      <c r="D6181" t="s">
        <v>14</v>
      </c>
      <c r="E6181">
        <v>7</v>
      </c>
      <c r="F6181" s="2">
        <f>DATE(2026,IF(Tabla1[[#This Row],[Mes de Fecha]]="Septiembre",9,10),Tabla1[[#This Row],[Día de Fecha]])</f>
        <v>46302</v>
      </c>
      <c r="G6181">
        <v>1006773195</v>
      </c>
      <c r="I6181">
        <v>8</v>
      </c>
      <c r="J6181">
        <v>0</v>
      </c>
      <c r="K6181" s="1">
        <v>382058</v>
      </c>
    </row>
    <row r="6182" spans="1:11" x14ac:dyDescent="0.25">
      <c r="A6182" t="s">
        <v>9</v>
      </c>
      <c r="B6182" t="s">
        <v>80</v>
      </c>
      <c r="C6182" t="s">
        <v>872</v>
      </c>
      <c r="D6182" t="s">
        <v>14</v>
      </c>
      <c r="E6182">
        <v>7</v>
      </c>
      <c r="F6182" s="2">
        <f>DATE(2026,IF(Tabla1[[#This Row],[Mes de Fecha]]="Septiembre",9,10),Tabla1[[#This Row],[Día de Fecha]])</f>
        <v>46302</v>
      </c>
      <c r="G6182">
        <v>1120361630</v>
      </c>
      <c r="H6182" t="s">
        <v>81</v>
      </c>
      <c r="I6182">
        <v>3</v>
      </c>
      <c r="J6182">
        <v>0</v>
      </c>
      <c r="K6182" s="1">
        <v>197353</v>
      </c>
    </row>
    <row r="6183" spans="1:11" x14ac:dyDescent="0.25">
      <c r="A6183" t="s">
        <v>9</v>
      </c>
      <c r="B6183" t="s">
        <v>100</v>
      </c>
      <c r="C6183" t="s">
        <v>872</v>
      </c>
      <c r="D6183" t="s">
        <v>11</v>
      </c>
      <c r="E6183">
        <v>23</v>
      </c>
      <c r="F6183" s="2">
        <f>DATE(2026,IF(Tabla1[[#This Row],[Mes de Fecha]]="Septiembre",9,10),Tabla1[[#This Row],[Día de Fecha]])</f>
        <v>46288</v>
      </c>
      <c r="I6183">
        <v>0</v>
      </c>
      <c r="J6183" s="1">
        <v>2664855</v>
      </c>
      <c r="K6183">
        <v>0</v>
      </c>
    </row>
    <row r="6184" spans="1:11" x14ac:dyDescent="0.25">
      <c r="A6184" t="s">
        <v>9</v>
      </c>
      <c r="B6184" t="s">
        <v>100</v>
      </c>
      <c r="C6184" t="s">
        <v>872</v>
      </c>
      <c r="D6184" t="s">
        <v>11</v>
      </c>
      <c r="E6184">
        <v>23</v>
      </c>
      <c r="F6184" s="2">
        <f>DATE(2026,IF(Tabla1[[#This Row],[Mes de Fecha]]="Septiembre",9,10),Tabla1[[#This Row],[Día de Fecha]])</f>
        <v>46288</v>
      </c>
      <c r="G6184">
        <v>1121853221</v>
      </c>
      <c r="H6184" t="s">
        <v>101</v>
      </c>
      <c r="I6184">
        <v>25</v>
      </c>
      <c r="J6184">
        <v>0</v>
      </c>
      <c r="K6184" s="1">
        <v>1217460</v>
      </c>
    </row>
    <row r="6185" spans="1:11" x14ac:dyDescent="0.25">
      <c r="A6185" t="s">
        <v>9</v>
      </c>
      <c r="B6185" t="s">
        <v>100</v>
      </c>
      <c r="C6185" t="s">
        <v>872</v>
      </c>
      <c r="D6185" t="s">
        <v>11</v>
      </c>
      <c r="E6185">
        <v>23</v>
      </c>
      <c r="F6185" s="2">
        <f>DATE(2026,IF(Tabla1[[#This Row],[Mes de Fecha]]="Septiembre",9,10),Tabla1[[#This Row],[Día de Fecha]])</f>
        <v>46288</v>
      </c>
      <c r="G6185">
        <v>1121880693</v>
      </c>
      <c r="H6185" t="s">
        <v>102</v>
      </c>
      <c r="I6185">
        <v>29</v>
      </c>
      <c r="J6185">
        <v>0</v>
      </c>
      <c r="K6185" s="1">
        <v>1511387</v>
      </c>
    </row>
    <row r="6186" spans="1:11" x14ac:dyDescent="0.25">
      <c r="A6186" t="s">
        <v>9</v>
      </c>
      <c r="B6186" t="s">
        <v>100</v>
      </c>
      <c r="C6186" t="s">
        <v>872</v>
      </c>
      <c r="D6186" t="s">
        <v>11</v>
      </c>
      <c r="E6186">
        <v>24</v>
      </c>
      <c r="F6186" s="2">
        <f>DATE(2026,IF(Tabla1[[#This Row],[Mes de Fecha]]="Septiembre",9,10),Tabla1[[#This Row],[Día de Fecha]])</f>
        <v>46289</v>
      </c>
      <c r="I6186">
        <v>0</v>
      </c>
      <c r="J6186" s="1">
        <v>6891824</v>
      </c>
      <c r="K6186">
        <v>0</v>
      </c>
    </row>
    <row r="6187" spans="1:11" x14ac:dyDescent="0.25">
      <c r="A6187" t="s">
        <v>9</v>
      </c>
      <c r="B6187" t="s">
        <v>100</v>
      </c>
      <c r="C6187" t="s">
        <v>872</v>
      </c>
      <c r="D6187" t="s">
        <v>11</v>
      </c>
      <c r="E6187">
        <v>24</v>
      </c>
      <c r="F6187" s="2">
        <f>DATE(2026,IF(Tabla1[[#This Row],[Mes de Fecha]]="Septiembre",9,10),Tabla1[[#This Row],[Día de Fecha]])</f>
        <v>46289</v>
      </c>
      <c r="G6187">
        <v>1121853221</v>
      </c>
      <c r="H6187" t="s">
        <v>101</v>
      </c>
      <c r="I6187">
        <v>44</v>
      </c>
      <c r="J6187">
        <v>0</v>
      </c>
      <c r="K6187" s="1">
        <v>2542271</v>
      </c>
    </row>
    <row r="6188" spans="1:11" x14ac:dyDescent="0.25">
      <c r="A6188" t="s">
        <v>9</v>
      </c>
      <c r="B6188" t="s">
        <v>100</v>
      </c>
      <c r="C6188" t="s">
        <v>872</v>
      </c>
      <c r="D6188" t="s">
        <v>11</v>
      </c>
      <c r="E6188">
        <v>24</v>
      </c>
      <c r="F6188" s="2">
        <f>DATE(2026,IF(Tabla1[[#This Row],[Mes de Fecha]]="Septiembre",9,10),Tabla1[[#This Row],[Día de Fecha]])</f>
        <v>46289</v>
      </c>
      <c r="G6188">
        <v>1121880693</v>
      </c>
      <c r="H6188" t="s">
        <v>102</v>
      </c>
      <c r="I6188">
        <v>21</v>
      </c>
      <c r="J6188">
        <v>0</v>
      </c>
      <c r="K6188" s="1">
        <v>1057942</v>
      </c>
    </row>
    <row r="6189" spans="1:11" x14ac:dyDescent="0.25">
      <c r="A6189" t="s">
        <v>9</v>
      </c>
      <c r="B6189" t="s">
        <v>100</v>
      </c>
      <c r="C6189" t="s">
        <v>872</v>
      </c>
      <c r="D6189" t="s">
        <v>11</v>
      </c>
      <c r="E6189">
        <v>25</v>
      </c>
      <c r="F6189" s="2">
        <f>DATE(2026,IF(Tabla1[[#This Row],[Mes de Fecha]]="Septiembre",9,10),Tabla1[[#This Row],[Día de Fecha]])</f>
        <v>46290</v>
      </c>
      <c r="I6189">
        <v>0</v>
      </c>
      <c r="J6189" s="1">
        <v>7360842</v>
      </c>
      <c r="K6189">
        <v>0</v>
      </c>
    </row>
    <row r="6190" spans="1:11" x14ac:dyDescent="0.25">
      <c r="A6190" t="s">
        <v>9</v>
      </c>
      <c r="B6190" t="s">
        <v>100</v>
      </c>
      <c r="C6190" t="s">
        <v>872</v>
      </c>
      <c r="D6190" t="s">
        <v>11</v>
      </c>
      <c r="E6190">
        <v>25</v>
      </c>
      <c r="F6190" s="2">
        <f>DATE(2026,IF(Tabla1[[#This Row],[Mes de Fecha]]="Septiembre",9,10),Tabla1[[#This Row],[Día de Fecha]])</f>
        <v>46290</v>
      </c>
      <c r="G6190">
        <v>1121853221</v>
      </c>
      <c r="H6190" t="s">
        <v>101</v>
      </c>
      <c r="I6190">
        <v>55</v>
      </c>
      <c r="J6190">
        <v>0</v>
      </c>
      <c r="K6190" s="1">
        <v>2854839</v>
      </c>
    </row>
    <row r="6191" spans="1:11" x14ac:dyDescent="0.25">
      <c r="A6191" t="s">
        <v>9</v>
      </c>
      <c r="B6191" t="s">
        <v>100</v>
      </c>
      <c r="C6191" t="s">
        <v>872</v>
      </c>
      <c r="D6191" t="s">
        <v>11</v>
      </c>
      <c r="E6191">
        <v>25</v>
      </c>
      <c r="F6191" s="2">
        <f>DATE(2026,IF(Tabla1[[#This Row],[Mes de Fecha]]="Septiembre",9,10),Tabla1[[#This Row],[Día de Fecha]])</f>
        <v>46290</v>
      </c>
      <c r="G6191">
        <v>1122128372</v>
      </c>
      <c r="H6191" t="s">
        <v>103</v>
      </c>
      <c r="I6191">
        <v>15</v>
      </c>
      <c r="J6191">
        <v>0</v>
      </c>
      <c r="K6191" s="1">
        <v>890126</v>
      </c>
    </row>
    <row r="6192" spans="1:11" x14ac:dyDescent="0.25">
      <c r="A6192" t="s">
        <v>9</v>
      </c>
      <c r="B6192" t="s">
        <v>100</v>
      </c>
      <c r="C6192" t="s">
        <v>872</v>
      </c>
      <c r="D6192" t="s">
        <v>11</v>
      </c>
      <c r="E6192">
        <v>26</v>
      </c>
      <c r="F6192" s="2">
        <f>DATE(2026,IF(Tabla1[[#This Row],[Mes de Fecha]]="Septiembre",9,10),Tabla1[[#This Row],[Día de Fecha]])</f>
        <v>46291</v>
      </c>
      <c r="I6192">
        <v>0</v>
      </c>
      <c r="J6192" s="1">
        <v>9281837</v>
      </c>
      <c r="K6192">
        <v>0</v>
      </c>
    </row>
    <row r="6193" spans="1:11" x14ac:dyDescent="0.25">
      <c r="A6193" t="s">
        <v>9</v>
      </c>
      <c r="B6193" t="s">
        <v>100</v>
      </c>
      <c r="C6193" t="s">
        <v>872</v>
      </c>
      <c r="D6193" t="s">
        <v>11</v>
      </c>
      <c r="E6193">
        <v>26</v>
      </c>
      <c r="F6193" s="2">
        <f>DATE(2026,IF(Tabla1[[#This Row],[Mes de Fecha]]="Septiembre",9,10),Tabla1[[#This Row],[Día de Fecha]])</f>
        <v>46291</v>
      </c>
      <c r="G6193">
        <v>1121853221</v>
      </c>
      <c r="H6193" t="s">
        <v>101</v>
      </c>
      <c r="I6193">
        <v>82</v>
      </c>
      <c r="J6193">
        <v>0</v>
      </c>
      <c r="K6193" s="1">
        <v>3807400</v>
      </c>
    </row>
    <row r="6194" spans="1:11" x14ac:dyDescent="0.25">
      <c r="A6194" t="s">
        <v>9</v>
      </c>
      <c r="B6194" t="s">
        <v>100</v>
      </c>
      <c r="C6194" t="s">
        <v>872</v>
      </c>
      <c r="D6194" t="s">
        <v>11</v>
      </c>
      <c r="E6194">
        <v>26</v>
      </c>
      <c r="F6194" s="2">
        <f>DATE(2026,IF(Tabla1[[#This Row],[Mes de Fecha]]="Septiembre",9,10),Tabla1[[#This Row],[Día de Fecha]])</f>
        <v>46291</v>
      </c>
      <c r="G6194">
        <v>1121880693</v>
      </c>
      <c r="H6194" t="s">
        <v>102</v>
      </c>
      <c r="I6194">
        <v>14</v>
      </c>
      <c r="J6194">
        <v>0</v>
      </c>
      <c r="K6194" s="1">
        <v>789330</v>
      </c>
    </row>
    <row r="6195" spans="1:11" x14ac:dyDescent="0.25">
      <c r="A6195" t="s">
        <v>9</v>
      </c>
      <c r="B6195" t="s">
        <v>100</v>
      </c>
      <c r="C6195" t="s">
        <v>872</v>
      </c>
      <c r="D6195" t="s">
        <v>11</v>
      </c>
      <c r="E6195">
        <v>27</v>
      </c>
      <c r="F6195" s="2">
        <f>DATE(2026,IF(Tabla1[[#This Row],[Mes de Fecha]]="Septiembre",9,10),Tabla1[[#This Row],[Día de Fecha]])</f>
        <v>46292</v>
      </c>
      <c r="I6195">
        <v>0</v>
      </c>
      <c r="J6195" s="1">
        <v>4900723</v>
      </c>
      <c r="K6195">
        <v>0</v>
      </c>
    </row>
    <row r="6196" spans="1:11" x14ac:dyDescent="0.25">
      <c r="A6196" t="s">
        <v>9</v>
      </c>
      <c r="B6196" t="s">
        <v>100</v>
      </c>
      <c r="C6196" t="s">
        <v>872</v>
      </c>
      <c r="D6196" t="s">
        <v>11</v>
      </c>
      <c r="E6196">
        <v>27</v>
      </c>
      <c r="F6196" s="2">
        <f>DATE(2026,IF(Tabla1[[#This Row],[Mes de Fecha]]="Septiembre",9,10),Tabla1[[#This Row],[Día de Fecha]])</f>
        <v>46292</v>
      </c>
      <c r="G6196">
        <v>1121853221</v>
      </c>
      <c r="H6196" t="s">
        <v>101</v>
      </c>
      <c r="I6196">
        <v>45</v>
      </c>
      <c r="J6196">
        <v>0</v>
      </c>
      <c r="K6196" s="1">
        <v>2462356</v>
      </c>
    </row>
    <row r="6197" spans="1:11" x14ac:dyDescent="0.25">
      <c r="A6197" t="s">
        <v>9</v>
      </c>
      <c r="B6197" t="s">
        <v>100</v>
      </c>
      <c r="C6197" t="s">
        <v>872</v>
      </c>
      <c r="D6197" t="s">
        <v>11</v>
      </c>
      <c r="E6197">
        <v>28</v>
      </c>
      <c r="F6197" s="2">
        <f>DATE(2026,IF(Tabla1[[#This Row],[Mes de Fecha]]="Septiembre",9,10),Tabla1[[#This Row],[Día de Fecha]])</f>
        <v>46293</v>
      </c>
      <c r="I6197">
        <v>0</v>
      </c>
      <c r="J6197" s="1">
        <v>4018057</v>
      </c>
      <c r="K6197">
        <v>0</v>
      </c>
    </row>
    <row r="6198" spans="1:11" x14ac:dyDescent="0.25">
      <c r="A6198" t="s">
        <v>9</v>
      </c>
      <c r="B6198" t="s">
        <v>100</v>
      </c>
      <c r="C6198" t="s">
        <v>872</v>
      </c>
      <c r="D6198" t="s">
        <v>11</v>
      </c>
      <c r="E6198">
        <v>28</v>
      </c>
      <c r="F6198" s="2">
        <f>DATE(2026,IF(Tabla1[[#This Row],[Mes de Fecha]]="Septiembre",9,10),Tabla1[[#This Row],[Día de Fecha]])</f>
        <v>46293</v>
      </c>
      <c r="G6198">
        <v>1121853221</v>
      </c>
      <c r="H6198" t="s">
        <v>101</v>
      </c>
      <c r="I6198">
        <v>34</v>
      </c>
      <c r="J6198">
        <v>0</v>
      </c>
      <c r="K6198" s="1">
        <v>2006810</v>
      </c>
    </row>
    <row r="6199" spans="1:11" x14ac:dyDescent="0.25">
      <c r="A6199" t="s">
        <v>9</v>
      </c>
      <c r="B6199" t="s">
        <v>100</v>
      </c>
      <c r="C6199" t="s">
        <v>872</v>
      </c>
      <c r="D6199" t="s">
        <v>11</v>
      </c>
      <c r="E6199">
        <v>29</v>
      </c>
      <c r="F6199" s="2">
        <f>DATE(2026,IF(Tabla1[[#This Row],[Mes de Fecha]]="Septiembre",9,10),Tabla1[[#This Row],[Día de Fecha]])</f>
        <v>46294</v>
      </c>
      <c r="I6199">
        <v>0</v>
      </c>
      <c r="J6199" s="1">
        <v>4466894</v>
      </c>
      <c r="K6199">
        <v>0</v>
      </c>
    </row>
    <row r="6200" spans="1:11" x14ac:dyDescent="0.25">
      <c r="A6200" t="s">
        <v>9</v>
      </c>
      <c r="B6200" t="s">
        <v>100</v>
      </c>
      <c r="C6200" t="s">
        <v>872</v>
      </c>
      <c r="D6200" t="s">
        <v>11</v>
      </c>
      <c r="E6200">
        <v>29</v>
      </c>
      <c r="F6200" s="2">
        <f>DATE(2026,IF(Tabla1[[#This Row],[Mes de Fecha]]="Septiembre",9,10),Tabla1[[#This Row],[Día de Fecha]])</f>
        <v>46294</v>
      </c>
      <c r="G6200">
        <v>1121853221</v>
      </c>
      <c r="H6200" t="s">
        <v>101</v>
      </c>
      <c r="I6200">
        <v>55</v>
      </c>
      <c r="J6200">
        <v>0</v>
      </c>
      <c r="K6200" s="1">
        <v>3172060</v>
      </c>
    </row>
    <row r="6201" spans="1:11" x14ac:dyDescent="0.25">
      <c r="A6201" t="s">
        <v>9</v>
      </c>
      <c r="B6201" t="s">
        <v>100</v>
      </c>
      <c r="C6201" t="s">
        <v>872</v>
      </c>
      <c r="D6201" t="s">
        <v>11</v>
      </c>
      <c r="E6201">
        <v>29</v>
      </c>
      <c r="F6201" s="2">
        <f>DATE(2026,IF(Tabla1[[#This Row],[Mes de Fecha]]="Septiembre",9,10),Tabla1[[#This Row],[Día de Fecha]])</f>
        <v>46294</v>
      </c>
      <c r="G6201">
        <v>1121880693</v>
      </c>
      <c r="H6201" t="s">
        <v>102</v>
      </c>
      <c r="I6201">
        <v>16</v>
      </c>
      <c r="J6201">
        <v>0</v>
      </c>
      <c r="K6201" s="1">
        <v>860674</v>
      </c>
    </row>
    <row r="6202" spans="1:11" x14ac:dyDescent="0.25">
      <c r="A6202" t="s">
        <v>9</v>
      </c>
      <c r="B6202" t="s">
        <v>100</v>
      </c>
      <c r="C6202" t="s">
        <v>872</v>
      </c>
      <c r="D6202" t="s">
        <v>11</v>
      </c>
      <c r="E6202">
        <v>30</v>
      </c>
      <c r="F6202" s="2">
        <f>DATE(2026,IF(Tabla1[[#This Row],[Mes de Fecha]]="Septiembre",9,10),Tabla1[[#This Row],[Día de Fecha]])</f>
        <v>46295</v>
      </c>
      <c r="I6202">
        <v>0</v>
      </c>
      <c r="J6202" s="1">
        <v>4730582</v>
      </c>
      <c r="K6202">
        <v>0</v>
      </c>
    </row>
    <row r="6203" spans="1:11" x14ac:dyDescent="0.25">
      <c r="A6203" t="s">
        <v>9</v>
      </c>
      <c r="B6203" t="s">
        <v>100</v>
      </c>
      <c r="C6203" t="s">
        <v>872</v>
      </c>
      <c r="D6203" t="s">
        <v>11</v>
      </c>
      <c r="E6203">
        <v>30</v>
      </c>
      <c r="F6203" s="2">
        <f>DATE(2026,IF(Tabla1[[#This Row],[Mes de Fecha]]="Septiembre",9,10),Tabla1[[#This Row],[Día de Fecha]])</f>
        <v>46295</v>
      </c>
      <c r="G6203">
        <v>1121853221</v>
      </c>
      <c r="H6203" t="s">
        <v>101</v>
      </c>
      <c r="I6203">
        <v>46</v>
      </c>
      <c r="J6203">
        <v>0</v>
      </c>
      <c r="K6203" s="1">
        <v>2443281</v>
      </c>
    </row>
    <row r="6204" spans="1:11" x14ac:dyDescent="0.25">
      <c r="A6204" t="s">
        <v>9</v>
      </c>
      <c r="B6204" t="s">
        <v>100</v>
      </c>
      <c r="C6204" t="s">
        <v>872</v>
      </c>
      <c r="D6204" t="s">
        <v>11</v>
      </c>
      <c r="E6204">
        <v>30</v>
      </c>
      <c r="F6204" s="2">
        <f>DATE(2026,IF(Tabla1[[#This Row],[Mes de Fecha]]="Septiembre",9,10),Tabla1[[#This Row],[Día de Fecha]])</f>
        <v>46295</v>
      </c>
      <c r="G6204">
        <v>1121880693</v>
      </c>
      <c r="H6204" t="s">
        <v>102</v>
      </c>
      <c r="I6204">
        <v>7</v>
      </c>
      <c r="J6204">
        <v>0</v>
      </c>
      <c r="K6204" s="1">
        <v>377858</v>
      </c>
    </row>
    <row r="6205" spans="1:11" x14ac:dyDescent="0.25">
      <c r="A6205" t="s">
        <v>9</v>
      </c>
      <c r="B6205" t="s">
        <v>100</v>
      </c>
      <c r="C6205" t="s">
        <v>872</v>
      </c>
      <c r="D6205" t="s">
        <v>14</v>
      </c>
      <c r="E6205">
        <v>1</v>
      </c>
      <c r="F6205" s="2">
        <f>DATE(2026,IF(Tabla1[[#This Row],[Mes de Fecha]]="Septiembre",9,10),Tabla1[[#This Row],[Día de Fecha]])</f>
        <v>46296</v>
      </c>
      <c r="I6205">
        <v>0</v>
      </c>
      <c r="J6205" s="1">
        <v>7564342</v>
      </c>
      <c r="K6205">
        <v>0</v>
      </c>
    </row>
    <row r="6206" spans="1:11" x14ac:dyDescent="0.25">
      <c r="A6206" t="s">
        <v>9</v>
      </c>
      <c r="B6206" t="s">
        <v>100</v>
      </c>
      <c r="C6206" t="s">
        <v>872</v>
      </c>
      <c r="D6206" t="s">
        <v>14</v>
      </c>
      <c r="E6206">
        <v>1</v>
      </c>
      <c r="F6206" s="2">
        <f>DATE(2026,IF(Tabla1[[#This Row],[Mes de Fecha]]="Septiembre",9,10),Tabla1[[#This Row],[Día de Fecha]])</f>
        <v>46296</v>
      </c>
      <c r="G6206">
        <v>1121853221</v>
      </c>
      <c r="H6206" t="s">
        <v>101</v>
      </c>
      <c r="I6206">
        <v>69</v>
      </c>
      <c r="J6206">
        <v>0</v>
      </c>
      <c r="K6206" s="1">
        <v>3673365</v>
      </c>
    </row>
    <row r="6207" spans="1:11" x14ac:dyDescent="0.25">
      <c r="A6207" t="s">
        <v>9</v>
      </c>
      <c r="B6207" t="s">
        <v>100</v>
      </c>
      <c r="C6207" t="s">
        <v>872</v>
      </c>
      <c r="D6207" t="s">
        <v>14</v>
      </c>
      <c r="E6207">
        <v>2</v>
      </c>
      <c r="F6207" s="2">
        <f>DATE(2026,IF(Tabla1[[#This Row],[Mes de Fecha]]="Septiembre",9,10),Tabla1[[#This Row],[Día de Fecha]])</f>
        <v>46297</v>
      </c>
      <c r="I6207">
        <v>0</v>
      </c>
      <c r="J6207" s="1">
        <v>6208940</v>
      </c>
      <c r="K6207">
        <v>0</v>
      </c>
    </row>
    <row r="6208" spans="1:11" x14ac:dyDescent="0.25">
      <c r="A6208" t="s">
        <v>9</v>
      </c>
      <c r="B6208" t="s">
        <v>100</v>
      </c>
      <c r="C6208" t="s">
        <v>872</v>
      </c>
      <c r="D6208" t="s">
        <v>14</v>
      </c>
      <c r="E6208">
        <v>2</v>
      </c>
      <c r="F6208" s="2">
        <f>DATE(2026,IF(Tabla1[[#This Row],[Mes de Fecha]]="Septiembre",9,10),Tabla1[[#This Row],[Día de Fecha]])</f>
        <v>46297</v>
      </c>
      <c r="G6208">
        <v>1121853221</v>
      </c>
      <c r="H6208" t="s">
        <v>101</v>
      </c>
      <c r="I6208">
        <v>80</v>
      </c>
      <c r="J6208">
        <v>0</v>
      </c>
      <c r="K6208" s="1">
        <v>4181393</v>
      </c>
    </row>
    <row r="6209" spans="1:11" x14ac:dyDescent="0.25">
      <c r="A6209" t="s">
        <v>9</v>
      </c>
      <c r="B6209" t="s">
        <v>100</v>
      </c>
      <c r="C6209" t="s">
        <v>872</v>
      </c>
      <c r="D6209" t="s">
        <v>14</v>
      </c>
      <c r="E6209">
        <v>3</v>
      </c>
      <c r="F6209" s="2">
        <f>DATE(2026,IF(Tabla1[[#This Row],[Mes de Fecha]]="Septiembre",9,10),Tabla1[[#This Row],[Día de Fecha]])</f>
        <v>46298</v>
      </c>
      <c r="I6209">
        <v>0</v>
      </c>
      <c r="J6209" s="1">
        <v>5881370</v>
      </c>
      <c r="K6209">
        <v>0</v>
      </c>
    </row>
    <row r="6210" spans="1:11" x14ac:dyDescent="0.25">
      <c r="A6210" t="s">
        <v>9</v>
      </c>
      <c r="B6210" t="s">
        <v>100</v>
      </c>
      <c r="C6210" t="s">
        <v>872</v>
      </c>
      <c r="D6210" t="s">
        <v>14</v>
      </c>
      <c r="E6210">
        <v>3</v>
      </c>
      <c r="F6210" s="2">
        <f>DATE(2026,IF(Tabla1[[#This Row],[Mes de Fecha]]="Septiembre",9,10),Tabla1[[#This Row],[Día de Fecha]])</f>
        <v>46298</v>
      </c>
      <c r="G6210">
        <v>1121853221</v>
      </c>
      <c r="H6210" t="s">
        <v>101</v>
      </c>
      <c r="I6210">
        <v>105</v>
      </c>
      <c r="J6210">
        <v>0</v>
      </c>
      <c r="K6210" s="1">
        <v>5269218</v>
      </c>
    </row>
    <row r="6211" spans="1:11" x14ac:dyDescent="0.25">
      <c r="A6211" t="s">
        <v>9</v>
      </c>
      <c r="B6211" t="s">
        <v>100</v>
      </c>
      <c r="C6211" t="s">
        <v>872</v>
      </c>
      <c r="D6211" t="s">
        <v>14</v>
      </c>
      <c r="E6211">
        <v>4</v>
      </c>
      <c r="F6211" s="2">
        <f>DATE(2026,IF(Tabla1[[#This Row],[Mes de Fecha]]="Septiembre",9,10),Tabla1[[#This Row],[Día de Fecha]])</f>
        <v>46299</v>
      </c>
      <c r="I6211">
        <v>0</v>
      </c>
      <c r="J6211" s="1">
        <v>6599029</v>
      </c>
      <c r="K6211">
        <v>0</v>
      </c>
    </row>
    <row r="6212" spans="1:11" x14ac:dyDescent="0.25">
      <c r="A6212" t="s">
        <v>9</v>
      </c>
      <c r="B6212" t="s">
        <v>100</v>
      </c>
      <c r="C6212" t="s">
        <v>872</v>
      </c>
      <c r="D6212" t="s">
        <v>14</v>
      </c>
      <c r="E6212">
        <v>4</v>
      </c>
      <c r="F6212" s="2">
        <f>DATE(2026,IF(Tabla1[[#This Row],[Mes de Fecha]]="Septiembre",9,10),Tabla1[[#This Row],[Día de Fecha]])</f>
        <v>46299</v>
      </c>
      <c r="G6212">
        <v>1121853221</v>
      </c>
      <c r="H6212" t="s">
        <v>101</v>
      </c>
      <c r="I6212">
        <v>28</v>
      </c>
      <c r="J6212">
        <v>0</v>
      </c>
      <c r="K6212" s="1">
        <v>1679412</v>
      </c>
    </row>
    <row r="6213" spans="1:11" x14ac:dyDescent="0.25">
      <c r="A6213" t="s">
        <v>9</v>
      </c>
      <c r="B6213" t="s">
        <v>100</v>
      </c>
      <c r="C6213" t="s">
        <v>872</v>
      </c>
      <c r="D6213" t="s">
        <v>14</v>
      </c>
      <c r="E6213">
        <v>5</v>
      </c>
      <c r="F6213" s="2">
        <f>DATE(2026,IF(Tabla1[[#This Row],[Mes de Fecha]]="Septiembre",9,10),Tabla1[[#This Row],[Día de Fecha]])</f>
        <v>46300</v>
      </c>
      <c r="I6213">
        <v>0</v>
      </c>
      <c r="J6213" s="1">
        <v>1465845</v>
      </c>
      <c r="K6213">
        <v>0</v>
      </c>
    </row>
    <row r="6214" spans="1:11" x14ac:dyDescent="0.25">
      <c r="A6214" t="s">
        <v>9</v>
      </c>
      <c r="B6214" t="s">
        <v>100</v>
      </c>
      <c r="C6214" t="s">
        <v>872</v>
      </c>
      <c r="D6214" t="s">
        <v>14</v>
      </c>
      <c r="E6214">
        <v>5</v>
      </c>
      <c r="F6214" s="2">
        <f>DATE(2026,IF(Tabla1[[#This Row],[Mes de Fecha]]="Septiembre",9,10),Tabla1[[#This Row],[Día de Fecha]])</f>
        <v>46300</v>
      </c>
      <c r="G6214">
        <v>1121853221</v>
      </c>
      <c r="H6214" t="s">
        <v>101</v>
      </c>
      <c r="I6214">
        <v>42</v>
      </c>
      <c r="J6214">
        <v>0</v>
      </c>
      <c r="K6214" s="1">
        <v>2311422</v>
      </c>
    </row>
    <row r="6215" spans="1:11" x14ac:dyDescent="0.25">
      <c r="A6215" t="s">
        <v>9</v>
      </c>
      <c r="B6215" t="s">
        <v>100</v>
      </c>
      <c r="C6215" t="s">
        <v>872</v>
      </c>
      <c r="D6215" t="s">
        <v>14</v>
      </c>
      <c r="E6215">
        <v>5</v>
      </c>
      <c r="F6215" s="2">
        <f>DATE(2026,IF(Tabla1[[#This Row],[Mes de Fecha]]="Septiembre",9,10),Tabla1[[#This Row],[Día de Fecha]])</f>
        <v>46300</v>
      </c>
      <c r="G6215">
        <v>1121880693</v>
      </c>
      <c r="H6215" t="s">
        <v>102</v>
      </c>
      <c r="I6215">
        <v>10</v>
      </c>
      <c r="J6215">
        <v>0</v>
      </c>
      <c r="K6215" s="1">
        <v>562606</v>
      </c>
    </row>
    <row r="6216" spans="1:11" x14ac:dyDescent="0.25">
      <c r="A6216" t="s">
        <v>9</v>
      </c>
      <c r="B6216" t="s">
        <v>100</v>
      </c>
      <c r="C6216" t="s">
        <v>872</v>
      </c>
      <c r="D6216" t="s">
        <v>14</v>
      </c>
      <c r="E6216">
        <v>6</v>
      </c>
      <c r="F6216" s="2">
        <f>DATE(2026,IF(Tabla1[[#This Row],[Mes de Fecha]]="Septiembre",9,10),Tabla1[[#This Row],[Día de Fecha]])</f>
        <v>46301</v>
      </c>
      <c r="I6216">
        <v>0</v>
      </c>
      <c r="J6216" s="1">
        <v>2717392</v>
      </c>
      <c r="K6216">
        <v>0</v>
      </c>
    </row>
    <row r="6217" spans="1:11" x14ac:dyDescent="0.25">
      <c r="A6217" t="s">
        <v>9</v>
      </c>
      <c r="B6217" t="s">
        <v>100</v>
      </c>
      <c r="C6217" t="s">
        <v>872</v>
      </c>
      <c r="D6217" t="s">
        <v>14</v>
      </c>
      <c r="E6217">
        <v>6</v>
      </c>
      <c r="F6217" s="2">
        <f>DATE(2026,IF(Tabla1[[#This Row],[Mes de Fecha]]="Septiembre",9,10),Tabla1[[#This Row],[Día de Fecha]])</f>
        <v>46301</v>
      </c>
      <c r="G6217">
        <v>1121853221</v>
      </c>
      <c r="H6217" t="s">
        <v>101</v>
      </c>
      <c r="I6217">
        <v>33</v>
      </c>
      <c r="J6217">
        <v>0</v>
      </c>
      <c r="K6217" s="1">
        <v>1735969</v>
      </c>
    </row>
    <row r="6218" spans="1:11" x14ac:dyDescent="0.25">
      <c r="A6218" t="s">
        <v>9</v>
      </c>
      <c r="B6218" t="s">
        <v>100</v>
      </c>
      <c r="C6218" t="s">
        <v>872</v>
      </c>
      <c r="D6218" t="s">
        <v>14</v>
      </c>
      <c r="E6218">
        <v>6</v>
      </c>
      <c r="F6218" s="2">
        <f>DATE(2026,IF(Tabla1[[#This Row],[Mes de Fecha]]="Septiembre",9,10),Tabla1[[#This Row],[Día de Fecha]])</f>
        <v>46301</v>
      </c>
      <c r="G6218">
        <v>1121880693</v>
      </c>
      <c r="H6218" t="s">
        <v>102</v>
      </c>
      <c r="I6218">
        <v>-1</v>
      </c>
      <c r="J6218">
        <v>0</v>
      </c>
      <c r="K6218" s="1">
        <v>-54580</v>
      </c>
    </row>
    <row r="6219" spans="1:11" x14ac:dyDescent="0.25">
      <c r="A6219" t="s">
        <v>9</v>
      </c>
      <c r="B6219" t="s">
        <v>100</v>
      </c>
      <c r="C6219" t="s">
        <v>872</v>
      </c>
      <c r="D6219" t="s">
        <v>14</v>
      </c>
      <c r="E6219">
        <v>7</v>
      </c>
      <c r="F6219" s="2">
        <f>DATE(2026,IF(Tabla1[[#This Row],[Mes de Fecha]]="Septiembre",9,10),Tabla1[[#This Row],[Día de Fecha]])</f>
        <v>46302</v>
      </c>
      <c r="I6219">
        <v>0</v>
      </c>
      <c r="J6219" s="1">
        <v>1612742</v>
      </c>
      <c r="K6219">
        <v>0</v>
      </c>
    </row>
    <row r="6220" spans="1:11" x14ac:dyDescent="0.25">
      <c r="A6220" t="s">
        <v>9</v>
      </c>
      <c r="B6220" t="s">
        <v>100</v>
      </c>
      <c r="C6220" t="s">
        <v>872</v>
      </c>
      <c r="D6220" t="s">
        <v>14</v>
      </c>
      <c r="E6220">
        <v>7</v>
      </c>
      <c r="F6220" s="2">
        <f>DATE(2026,IF(Tabla1[[#This Row],[Mes de Fecha]]="Septiembre",9,10),Tabla1[[#This Row],[Día de Fecha]])</f>
        <v>46302</v>
      </c>
      <c r="G6220">
        <v>1121853221</v>
      </c>
      <c r="H6220" t="s">
        <v>101</v>
      </c>
      <c r="I6220">
        <v>34</v>
      </c>
      <c r="J6220">
        <v>0</v>
      </c>
      <c r="K6220" s="1">
        <v>1645506</v>
      </c>
    </row>
    <row r="6221" spans="1:11" x14ac:dyDescent="0.25">
      <c r="A6221" t="s">
        <v>9</v>
      </c>
      <c r="B6221" t="s">
        <v>100</v>
      </c>
      <c r="C6221" t="s">
        <v>872</v>
      </c>
      <c r="D6221" t="s">
        <v>14</v>
      </c>
      <c r="E6221">
        <v>7</v>
      </c>
      <c r="F6221" s="2">
        <f>DATE(2026,IF(Tabla1[[#This Row],[Mes de Fecha]]="Septiembre",9,10),Tabla1[[#This Row],[Día de Fecha]])</f>
        <v>46302</v>
      </c>
      <c r="G6221">
        <v>1121880693</v>
      </c>
      <c r="H6221" t="s">
        <v>102</v>
      </c>
      <c r="I6221">
        <v>2</v>
      </c>
      <c r="J6221">
        <v>0</v>
      </c>
      <c r="K6221" s="1">
        <v>167984</v>
      </c>
    </row>
    <row r="6222" spans="1:11" x14ac:dyDescent="0.25">
      <c r="A6222" t="s">
        <v>9</v>
      </c>
      <c r="B6222" t="s">
        <v>114</v>
      </c>
      <c r="C6222" t="s">
        <v>872</v>
      </c>
      <c r="D6222" t="s">
        <v>11</v>
      </c>
      <c r="E6222">
        <v>23</v>
      </c>
      <c r="F6222" s="2">
        <f>DATE(2026,IF(Tabla1[[#This Row],[Mes de Fecha]]="Septiembre",9,10),Tabla1[[#This Row],[Día de Fecha]])</f>
        <v>46288</v>
      </c>
      <c r="I6222">
        <v>0</v>
      </c>
      <c r="J6222" s="1">
        <v>5850410</v>
      </c>
      <c r="K6222">
        <v>0</v>
      </c>
    </row>
    <row r="6223" spans="1:11" x14ac:dyDescent="0.25">
      <c r="A6223" t="s">
        <v>9</v>
      </c>
      <c r="B6223" t="s">
        <v>114</v>
      </c>
      <c r="C6223" t="s">
        <v>872</v>
      </c>
      <c r="D6223" t="s">
        <v>11</v>
      </c>
      <c r="E6223">
        <v>23</v>
      </c>
      <c r="F6223" s="2">
        <f>DATE(2026,IF(Tabla1[[#This Row],[Mes de Fecha]]="Septiembre",9,10),Tabla1[[#This Row],[Día de Fecha]])</f>
        <v>46288</v>
      </c>
      <c r="G6223">
        <v>1001807290</v>
      </c>
      <c r="H6223" t="s">
        <v>115</v>
      </c>
      <c r="I6223">
        <v>59</v>
      </c>
      <c r="J6223">
        <v>0</v>
      </c>
      <c r="K6223" s="1">
        <v>3419792</v>
      </c>
    </row>
    <row r="6224" spans="1:11" x14ac:dyDescent="0.25">
      <c r="A6224" t="s">
        <v>9</v>
      </c>
      <c r="B6224" t="s">
        <v>114</v>
      </c>
      <c r="C6224" t="s">
        <v>872</v>
      </c>
      <c r="D6224" t="s">
        <v>11</v>
      </c>
      <c r="E6224">
        <v>23</v>
      </c>
      <c r="F6224" s="2">
        <f>DATE(2026,IF(Tabla1[[#This Row],[Mes de Fecha]]="Septiembre",9,10),Tabla1[[#This Row],[Día de Fecha]])</f>
        <v>46288</v>
      </c>
      <c r="G6224">
        <v>1006453393</v>
      </c>
      <c r="H6224" t="s">
        <v>116</v>
      </c>
      <c r="I6224">
        <v>71</v>
      </c>
      <c r="J6224">
        <v>0</v>
      </c>
      <c r="K6224" s="1">
        <v>3652488</v>
      </c>
    </row>
    <row r="6225" spans="1:11" x14ac:dyDescent="0.25">
      <c r="A6225" t="s">
        <v>9</v>
      </c>
      <c r="B6225" t="s">
        <v>114</v>
      </c>
      <c r="C6225" t="s">
        <v>872</v>
      </c>
      <c r="D6225" t="s">
        <v>11</v>
      </c>
      <c r="E6225">
        <v>23</v>
      </c>
      <c r="F6225" s="2">
        <f>DATE(2026,IF(Tabla1[[#This Row],[Mes de Fecha]]="Septiembre",9,10),Tabla1[[#This Row],[Día de Fecha]])</f>
        <v>46288</v>
      </c>
      <c r="G6225">
        <v>1116801557</v>
      </c>
      <c r="H6225" t="s">
        <v>117</v>
      </c>
      <c r="I6225">
        <v>79</v>
      </c>
      <c r="J6225">
        <v>0</v>
      </c>
      <c r="K6225" s="1">
        <v>4561809</v>
      </c>
    </row>
    <row r="6226" spans="1:11" x14ac:dyDescent="0.25">
      <c r="A6226" t="s">
        <v>9</v>
      </c>
      <c r="B6226" t="s">
        <v>114</v>
      </c>
      <c r="C6226" t="s">
        <v>872</v>
      </c>
      <c r="D6226" t="s">
        <v>11</v>
      </c>
      <c r="E6226">
        <v>24</v>
      </c>
      <c r="F6226" s="2">
        <f>DATE(2026,IF(Tabla1[[#This Row],[Mes de Fecha]]="Septiembre",9,10),Tabla1[[#This Row],[Día de Fecha]])</f>
        <v>46289</v>
      </c>
      <c r="I6226">
        <v>0</v>
      </c>
      <c r="J6226" s="1">
        <v>15130280</v>
      </c>
      <c r="K6226">
        <v>0</v>
      </c>
    </row>
    <row r="6227" spans="1:11" x14ac:dyDescent="0.25">
      <c r="A6227" t="s">
        <v>9</v>
      </c>
      <c r="B6227" t="s">
        <v>114</v>
      </c>
      <c r="C6227" t="s">
        <v>872</v>
      </c>
      <c r="D6227" t="s">
        <v>11</v>
      </c>
      <c r="E6227">
        <v>24</v>
      </c>
      <c r="F6227" s="2">
        <f>DATE(2026,IF(Tabla1[[#This Row],[Mes de Fecha]]="Septiembre",9,10),Tabla1[[#This Row],[Día de Fecha]])</f>
        <v>46289</v>
      </c>
      <c r="G6227">
        <v>1001807290</v>
      </c>
      <c r="H6227" t="s">
        <v>115</v>
      </c>
      <c r="I6227">
        <v>67</v>
      </c>
      <c r="J6227">
        <v>0</v>
      </c>
      <c r="K6227" s="1">
        <v>3417358</v>
      </c>
    </row>
    <row r="6228" spans="1:11" x14ac:dyDescent="0.25">
      <c r="A6228" t="s">
        <v>9</v>
      </c>
      <c r="B6228" t="s">
        <v>114</v>
      </c>
      <c r="C6228" t="s">
        <v>872</v>
      </c>
      <c r="D6228" t="s">
        <v>11</v>
      </c>
      <c r="E6228">
        <v>24</v>
      </c>
      <c r="F6228" s="2">
        <f>DATE(2026,IF(Tabla1[[#This Row],[Mes de Fecha]]="Septiembre",9,10),Tabla1[[#This Row],[Día de Fecha]])</f>
        <v>46289</v>
      </c>
      <c r="G6228">
        <v>1006453393</v>
      </c>
      <c r="H6228" t="s">
        <v>116</v>
      </c>
      <c r="I6228">
        <v>69</v>
      </c>
      <c r="J6228">
        <v>0</v>
      </c>
      <c r="K6228" s="1">
        <v>3263918</v>
      </c>
    </row>
    <row r="6229" spans="1:11" x14ac:dyDescent="0.25">
      <c r="A6229" t="s">
        <v>9</v>
      </c>
      <c r="B6229" t="s">
        <v>114</v>
      </c>
      <c r="C6229" t="s">
        <v>872</v>
      </c>
      <c r="D6229" t="s">
        <v>11</v>
      </c>
      <c r="E6229">
        <v>24</v>
      </c>
      <c r="F6229" s="2">
        <f>DATE(2026,IF(Tabla1[[#This Row],[Mes de Fecha]]="Septiembre",9,10),Tabla1[[#This Row],[Día de Fecha]])</f>
        <v>46289</v>
      </c>
      <c r="G6229">
        <v>1116801557</v>
      </c>
      <c r="H6229" t="s">
        <v>117</v>
      </c>
      <c r="I6229">
        <v>58</v>
      </c>
      <c r="J6229">
        <v>0</v>
      </c>
      <c r="K6229" s="1">
        <v>3375717</v>
      </c>
    </row>
    <row r="6230" spans="1:11" x14ac:dyDescent="0.25">
      <c r="A6230" t="s">
        <v>9</v>
      </c>
      <c r="B6230" t="s">
        <v>114</v>
      </c>
      <c r="C6230" t="s">
        <v>872</v>
      </c>
      <c r="D6230" t="s">
        <v>11</v>
      </c>
      <c r="E6230">
        <v>25</v>
      </c>
      <c r="F6230" s="2">
        <f>DATE(2026,IF(Tabla1[[#This Row],[Mes de Fecha]]="Septiembre",9,10),Tabla1[[#This Row],[Día de Fecha]])</f>
        <v>46290</v>
      </c>
      <c r="I6230">
        <v>0</v>
      </c>
      <c r="J6230" s="1">
        <v>16159967</v>
      </c>
      <c r="K6230">
        <v>0</v>
      </c>
    </row>
    <row r="6231" spans="1:11" x14ac:dyDescent="0.25">
      <c r="A6231" t="s">
        <v>9</v>
      </c>
      <c r="B6231" t="s">
        <v>114</v>
      </c>
      <c r="C6231" t="s">
        <v>872</v>
      </c>
      <c r="D6231" t="s">
        <v>11</v>
      </c>
      <c r="E6231">
        <v>25</v>
      </c>
      <c r="F6231" s="2">
        <f>DATE(2026,IF(Tabla1[[#This Row],[Mes de Fecha]]="Septiembre",9,10),Tabla1[[#This Row],[Día de Fecha]])</f>
        <v>46290</v>
      </c>
      <c r="G6231">
        <v>1001807290</v>
      </c>
      <c r="H6231" t="s">
        <v>115</v>
      </c>
      <c r="I6231">
        <v>119</v>
      </c>
      <c r="J6231">
        <v>0</v>
      </c>
      <c r="K6231" s="1">
        <v>6394215</v>
      </c>
    </row>
    <row r="6232" spans="1:11" x14ac:dyDescent="0.25">
      <c r="A6232" t="s">
        <v>9</v>
      </c>
      <c r="B6232" t="s">
        <v>114</v>
      </c>
      <c r="C6232" t="s">
        <v>872</v>
      </c>
      <c r="D6232" t="s">
        <v>11</v>
      </c>
      <c r="E6232">
        <v>25</v>
      </c>
      <c r="F6232" s="2">
        <f>DATE(2026,IF(Tabla1[[#This Row],[Mes de Fecha]]="Septiembre",9,10),Tabla1[[#This Row],[Día de Fecha]])</f>
        <v>46290</v>
      </c>
      <c r="G6232">
        <v>1006453393</v>
      </c>
      <c r="H6232" t="s">
        <v>116</v>
      </c>
      <c r="I6232">
        <v>112</v>
      </c>
      <c r="J6232">
        <v>0</v>
      </c>
      <c r="K6232" s="1">
        <v>6049929</v>
      </c>
    </row>
    <row r="6233" spans="1:11" x14ac:dyDescent="0.25">
      <c r="A6233" t="s">
        <v>9</v>
      </c>
      <c r="B6233" t="s">
        <v>114</v>
      </c>
      <c r="C6233" t="s">
        <v>872</v>
      </c>
      <c r="D6233" t="s">
        <v>11</v>
      </c>
      <c r="E6233">
        <v>25</v>
      </c>
      <c r="F6233" s="2">
        <f>DATE(2026,IF(Tabla1[[#This Row],[Mes de Fecha]]="Septiembre",9,10),Tabla1[[#This Row],[Día de Fecha]])</f>
        <v>46290</v>
      </c>
      <c r="G6233">
        <v>1116801557</v>
      </c>
      <c r="H6233" t="s">
        <v>117</v>
      </c>
      <c r="I6233">
        <v>109</v>
      </c>
      <c r="J6233">
        <v>0</v>
      </c>
      <c r="K6233" s="1">
        <v>6207614</v>
      </c>
    </row>
    <row r="6234" spans="1:11" x14ac:dyDescent="0.25">
      <c r="A6234" t="s">
        <v>9</v>
      </c>
      <c r="B6234" t="s">
        <v>114</v>
      </c>
      <c r="C6234" t="s">
        <v>872</v>
      </c>
      <c r="D6234" t="s">
        <v>11</v>
      </c>
      <c r="E6234">
        <v>26</v>
      </c>
      <c r="F6234" s="2">
        <f>DATE(2026,IF(Tabla1[[#This Row],[Mes de Fecha]]="Septiembre",9,10),Tabla1[[#This Row],[Día de Fecha]])</f>
        <v>46291</v>
      </c>
      <c r="I6234">
        <v>0</v>
      </c>
      <c r="J6234" s="1">
        <v>20377311</v>
      </c>
      <c r="K6234">
        <v>0</v>
      </c>
    </row>
    <row r="6235" spans="1:11" x14ac:dyDescent="0.25">
      <c r="A6235" t="s">
        <v>9</v>
      </c>
      <c r="B6235" t="s">
        <v>114</v>
      </c>
      <c r="C6235" t="s">
        <v>872</v>
      </c>
      <c r="D6235" t="s">
        <v>11</v>
      </c>
      <c r="E6235">
        <v>26</v>
      </c>
      <c r="F6235" s="2">
        <f>DATE(2026,IF(Tabla1[[#This Row],[Mes de Fecha]]="Septiembre",9,10),Tabla1[[#This Row],[Día de Fecha]])</f>
        <v>46291</v>
      </c>
      <c r="G6235">
        <v>1001807290</v>
      </c>
      <c r="H6235" t="s">
        <v>115</v>
      </c>
      <c r="I6235">
        <v>138</v>
      </c>
      <c r="J6235">
        <v>0</v>
      </c>
      <c r="K6235" s="1">
        <v>6634806</v>
      </c>
    </row>
    <row r="6236" spans="1:11" x14ac:dyDescent="0.25">
      <c r="A6236" t="s">
        <v>9</v>
      </c>
      <c r="B6236" t="s">
        <v>114</v>
      </c>
      <c r="C6236" t="s">
        <v>872</v>
      </c>
      <c r="D6236" t="s">
        <v>11</v>
      </c>
      <c r="E6236">
        <v>26</v>
      </c>
      <c r="F6236" s="2">
        <f>DATE(2026,IF(Tabla1[[#This Row],[Mes de Fecha]]="Septiembre",9,10),Tabla1[[#This Row],[Día de Fecha]])</f>
        <v>46291</v>
      </c>
      <c r="G6236">
        <v>1006453393</v>
      </c>
      <c r="H6236" t="s">
        <v>116</v>
      </c>
      <c r="I6236">
        <v>130</v>
      </c>
      <c r="J6236">
        <v>0</v>
      </c>
      <c r="K6236" s="1">
        <v>6599468</v>
      </c>
    </row>
    <row r="6237" spans="1:11" x14ac:dyDescent="0.25">
      <c r="A6237" t="s">
        <v>9</v>
      </c>
      <c r="B6237" t="s">
        <v>114</v>
      </c>
      <c r="C6237" t="s">
        <v>872</v>
      </c>
      <c r="D6237" t="s">
        <v>11</v>
      </c>
      <c r="E6237">
        <v>26</v>
      </c>
      <c r="F6237" s="2">
        <f>DATE(2026,IF(Tabla1[[#This Row],[Mes de Fecha]]="Septiembre",9,10),Tabla1[[#This Row],[Día de Fecha]])</f>
        <v>46291</v>
      </c>
      <c r="G6237">
        <v>1116801557</v>
      </c>
      <c r="H6237" t="s">
        <v>117</v>
      </c>
      <c r="I6237">
        <v>146</v>
      </c>
      <c r="J6237">
        <v>0</v>
      </c>
      <c r="K6237" s="1">
        <v>7838370</v>
      </c>
    </row>
    <row r="6238" spans="1:11" x14ac:dyDescent="0.25">
      <c r="A6238" t="s">
        <v>9</v>
      </c>
      <c r="B6238" t="s">
        <v>114</v>
      </c>
      <c r="C6238" t="s">
        <v>872</v>
      </c>
      <c r="D6238" t="s">
        <v>11</v>
      </c>
      <c r="E6238">
        <v>26</v>
      </c>
      <c r="F6238" s="2">
        <f>DATE(2026,IF(Tabla1[[#This Row],[Mes de Fecha]]="Septiembre",9,10),Tabla1[[#This Row],[Día de Fecha]])</f>
        <v>46291</v>
      </c>
      <c r="G6238">
        <v>11167925556</v>
      </c>
      <c r="H6238" t="s">
        <v>118</v>
      </c>
      <c r="I6238">
        <v>3</v>
      </c>
      <c r="J6238">
        <v>0</v>
      </c>
      <c r="K6238" s="1">
        <v>125925</v>
      </c>
    </row>
    <row r="6239" spans="1:11" x14ac:dyDescent="0.25">
      <c r="A6239" t="s">
        <v>9</v>
      </c>
      <c r="B6239" t="s">
        <v>114</v>
      </c>
      <c r="C6239" t="s">
        <v>872</v>
      </c>
      <c r="D6239" t="s">
        <v>11</v>
      </c>
      <c r="E6239">
        <v>27</v>
      </c>
      <c r="F6239" s="2">
        <f>DATE(2026,IF(Tabla1[[#This Row],[Mes de Fecha]]="Septiembre",9,10),Tabla1[[#This Row],[Día de Fecha]])</f>
        <v>46292</v>
      </c>
      <c r="I6239">
        <v>0</v>
      </c>
      <c r="J6239" s="1">
        <v>10759026</v>
      </c>
      <c r="K6239">
        <v>0</v>
      </c>
    </row>
    <row r="6240" spans="1:11" x14ac:dyDescent="0.25">
      <c r="A6240" t="s">
        <v>9</v>
      </c>
      <c r="B6240" t="s">
        <v>114</v>
      </c>
      <c r="C6240" t="s">
        <v>872</v>
      </c>
      <c r="D6240" t="s">
        <v>11</v>
      </c>
      <c r="E6240">
        <v>27</v>
      </c>
      <c r="F6240" s="2">
        <f>DATE(2026,IF(Tabla1[[#This Row],[Mes de Fecha]]="Septiembre",9,10),Tabla1[[#This Row],[Día de Fecha]])</f>
        <v>46292</v>
      </c>
      <c r="G6240">
        <v>1001807290</v>
      </c>
      <c r="H6240" t="s">
        <v>115</v>
      </c>
      <c r="I6240">
        <v>37</v>
      </c>
      <c r="J6240">
        <v>0</v>
      </c>
      <c r="K6240" s="1">
        <v>1771390</v>
      </c>
    </row>
    <row r="6241" spans="1:11" x14ac:dyDescent="0.25">
      <c r="A6241" t="s">
        <v>9</v>
      </c>
      <c r="B6241" t="s">
        <v>114</v>
      </c>
      <c r="C6241" t="s">
        <v>872</v>
      </c>
      <c r="D6241" t="s">
        <v>11</v>
      </c>
      <c r="E6241">
        <v>27</v>
      </c>
      <c r="F6241" s="2">
        <f>DATE(2026,IF(Tabla1[[#This Row],[Mes de Fecha]]="Septiembre",9,10),Tabla1[[#This Row],[Día de Fecha]])</f>
        <v>46292</v>
      </c>
      <c r="G6241">
        <v>1006453393</v>
      </c>
      <c r="H6241" t="s">
        <v>116</v>
      </c>
      <c r="I6241">
        <v>34</v>
      </c>
      <c r="J6241">
        <v>0</v>
      </c>
      <c r="K6241" s="1">
        <v>1490175</v>
      </c>
    </row>
    <row r="6242" spans="1:11" x14ac:dyDescent="0.25">
      <c r="A6242" t="s">
        <v>9</v>
      </c>
      <c r="B6242" t="s">
        <v>114</v>
      </c>
      <c r="C6242" t="s">
        <v>872</v>
      </c>
      <c r="D6242" t="s">
        <v>11</v>
      </c>
      <c r="E6242">
        <v>27</v>
      </c>
      <c r="F6242" s="2">
        <f>DATE(2026,IF(Tabla1[[#This Row],[Mes de Fecha]]="Septiembre",9,10),Tabla1[[#This Row],[Día de Fecha]])</f>
        <v>46292</v>
      </c>
      <c r="G6242">
        <v>1116801557</v>
      </c>
      <c r="H6242" t="s">
        <v>117</v>
      </c>
      <c r="I6242">
        <v>43</v>
      </c>
      <c r="J6242">
        <v>0</v>
      </c>
      <c r="K6242" s="1">
        <v>1977063</v>
      </c>
    </row>
    <row r="6243" spans="1:11" x14ac:dyDescent="0.25">
      <c r="A6243" t="s">
        <v>9</v>
      </c>
      <c r="B6243" t="s">
        <v>114</v>
      </c>
      <c r="C6243" t="s">
        <v>872</v>
      </c>
      <c r="D6243" t="s">
        <v>11</v>
      </c>
      <c r="E6243">
        <v>27</v>
      </c>
      <c r="F6243" s="2">
        <f>DATE(2026,IF(Tabla1[[#This Row],[Mes de Fecha]]="Septiembre",9,10),Tabla1[[#This Row],[Día de Fecha]])</f>
        <v>46292</v>
      </c>
      <c r="G6243">
        <v>11167925556</v>
      </c>
      <c r="H6243" t="s">
        <v>118</v>
      </c>
      <c r="I6243">
        <v>2</v>
      </c>
      <c r="J6243">
        <v>0</v>
      </c>
      <c r="K6243" s="1">
        <v>79748</v>
      </c>
    </row>
    <row r="6244" spans="1:11" x14ac:dyDescent="0.25">
      <c r="A6244" t="s">
        <v>9</v>
      </c>
      <c r="B6244" t="s">
        <v>114</v>
      </c>
      <c r="C6244" t="s">
        <v>872</v>
      </c>
      <c r="D6244" t="s">
        <v>11</v>
      </c>
      <c r="E6244">
        <v>28</v>
      </c>
      <c r="F6244" s="2">
        <f>DATE(2026,IF(Tabla1[[#This Row],[Mes de Fecha]]="Septiembre",9,10),Tabla1[[#This Row],[Día de Fecha]])</f>
        <v>46293</v>
      </c>
      <c r="I6244">
        <v>0</v>
      </c>
      <c r="J6244" s="1">
        <v>8821231</v>
      </c>
      <c r="K6244">
        <v>0</v>
      </c>
    </row>
    <row r="6245" spans="1:11" x14ac:dyDescent="0.25">
      <c r="A6245" t="s">
        <v>9</v>
      </c>
      <c r="B6245" t="s">
        <v>114</v>
      </c>
      <c r="C6245" t="s">
        <v>872</v>
      </c>
      <c r="D6245" t="s">
        <v>11</v>
      </c>
      <c r="E6245">
        <v>28</v>
      </c>
      <c r="F6245" s="2">
        <f>DATE(2026,IF(Tabla1[[#This Row],[Mes de Fecha]]="Septiembre",9,10),Tabla1[[#This Row],[Día de Fecha]])</f>
        <v>46293</v>
      </c>
      <c r="G6245">
        <v>1001807290</v>
      </c>
      <c r="H6245" t="s">
        <v>115</v>
      </c>
      <c r="I6245">
        <v>38</v>
      </c>
      <c r="J6245">
        <v>0</v>
      </c>
      <c r="K6245" s="1">
        <v>2141054</v>
      </c>
    </row>
    <row r="6246" spans="1:11" x14ac:dyDescent="0.25">
      <c r="A6246" t="s">
        <v>9</v>
      </c>
      <c r="B6246" t="s">
        <v>114</v>
      </c>
      <c r="C6246" t="s">
        <v>872</v>
      </c>
      <c r="D6246" t="s">
        <v>11</v>
      </c>
      <c r="E6246">
        <v>28</v>
      </c>
      <c r="F6246" s="2">
        <f>DATE(2026,IF(Tabla1[[#This Row],[Mes de Fecha]]="Septiembre",9,10),Tabla1[[#This Row],[Día de Fecha]])</f>
        <v>46293</v>
      </c>
      <c r="G6246">
        <v>1006453393</v>
      </c>
      <c r="H6246" t="s">
        <v>116</v>
      </c>
      <c r="I6246">
        <v>46</v>
      </c>
      <c r="J6246">
        <v>0</v>
      </c>
      <c r="K6246" s="1">
        <v>2222736</v>
      </c>
    </row>
    <row r="6247" spans="1:11" x14ac:dyDescent="0.25">
      <c r="A6247" t="s">
        <v>9</v>
      </c>
      <c r="B6247" t="s">
        <v>114</v>
      </c>
      <c r="C6247" t="s">
        <v>872</v>
      </c>
      <c r="D6247" t="s">
        <v>11</v>
      </c>
      <c r="E6247">
        <v>28</v>
      </c>
      <c r="F6247" s="2">
        <f>DATE(2026,IF(Tabla1[[#This Row],[Mes de Fecha]]="Septiembre",9,10),Tabla1[[#This Row],[Día de Fecha]])</f>
        <v>46293</v>
      </c>
      <c r="G6247">
        <v>1116801557</v>
      </c>
      <c r="H6247" t="s">
        <v>117</v>
      </c>
      <c r="I6247">
        <v>44</v>
      </c>
      <c r="J6247">
        <v>0</v>
      </c>
      <c r="K6247" s="1">
        <v>2380426</v>
      </c>
    </row>
    <row r="6248" spans="1:11" x14ac:dyDescent="0.25">
      <c r="A6248" t="s">
        <v>9</v>
      </c>
      <c r="B6248" t="s">
        <v>114</v>
      </c>
      <c r="C6248" t="s">
        <v>872</v>
      </c>
      <c r="D6248" t="s">
        <v>11</v>
      </c>
      <c r="E6248">
        <v>29</v>
      </c>
      <c r="F6248" s="2">
        <f>DATE(2026,IF(Tabla1[[#This Row],[Mes de Fecha]]="Septiembre",9,10),Tabla1[[#This Row],[Día de Fecha]])</f>
        <v>46294</v>
      </c>
      <c r="I6248">
        <v>0</v>
      </c>
      <c r="J6248" s="1">
        <v>9806599</v>
      </c>
      <c r="K6248">
        <v>0</v>
      </c>
    </row>
    <row r="6249" spans="1:11" x14ac:dyDescent="0.25">
      <c r="A6249" t="s">
        <v>9</v>
      </c>
      <c r="B6249" t="s">
        <v>114</v>
      </c>
      <c r="C6249" t="s">
        <v>872</v>
      </c>
      <c r="D6249" t="s">
        <v>11</v>
      </c>
      <c r="E6249">
        <v>29</v>
      </c>
      <c r="F6249" s="2">
        <f>DATE(2026,IF(Tabla1[[#This Row],[Mes de Fecha]]="Septiembre",9,10),Tabla1[[#This Row],[Día de Fecha]])</f>
        <v>46294</v>
      </c>
      <c r="G6249">
        <v>1001807290</v>
      </c>
      <c r="H6249" t="s">
        <v>115</v>
      </c>
      <c r="I6249">
        <v>48</v>
      </c>
      <c r="J6249">
        <v>0</v>
      </c>
      <c r="K6249" s="1">
        <v>2539961</v>
      </c>
    </row>
    <row r="6250" spans="1:11" x14ac:dyDescent="0.25">
      <c r="A6250" t="s">
        <v>9</v>
      </c>
      <c r="B6250" t="s">
        <v>114</v>
      </c>
      <c r="C6250" t="s">
        <v>872</v>
      </c>
      <c r="D6250" t="s">
        <v>11</v>
      </c>
      <c r="E6250">
        <v>29</v>
      </c>
      <c r="F6250" s="2">
        <f>DATE(2026,IF(Tabla1[[#This Row],[Mes de Fecha]]="Septiembre",9,10),Tabla1[[#This Row],[Día de Fecha]])</f>
        <v>46294</v>
      </c>
      <c r="G6250">
        <v>1006453393</v>
      </c>
      <c r="H6250" t="s">
        <v>116</v>
      </c>
      <c r="I6250">
        <v>47</v>
      </c>
      <c r="J6250">
        <v>0</v>
      </c>
      <c r="K6250" s="1">
        <v>2460086</v>
      </c>
    </row>
    <row r="6251" spans="1:11" x14ac:dyDescent="0.25">
      <c r="A6251" t="s">
        <v>9</v>
      </c>
      <c r="B6251" t="s">
        <v>114</v>
      </c>
      <c r="C6251" t="s">
        <v>872</v>
      </c>
      <c r="D6251" t="s">
        <v>11</v>
      </c>
      <c r="E6251">
        <v>29</v>
      </c>
      <c r="F6251" s="2">
        <f>DATE(2026,IF(Tabla1[[#This Row],[Mes de Fecha]]="Septiembre",9,10),Tabla1[[#This Row],[Día de Fecha]])</f>
        <v>46294</v>
      </c>
      <c r="G6251">
        <v>1116801557</v>
      </c>
      <c r="H6251" t="s">
        <v>117</v>
      </c>
      <c r="I6251">
        <v>59</v>
      </c>
      <c r="J6251">
        <v>0</v>
      </c>
      <c r="K6251" s="1">
        <v>3289333</v>
      </c>
    </row>
    <row r="6252" spans="1:11" x14ac:dyDescent="0.25">
      <c r="A6252" t="s">
        <v>9</v>
      </c>
      <c r="B6252" t="s">
        <v>114</v>
      </c>
      <c r="C6252" t="s">
        <v>872</v>
      </c>
      <c r="D6252" t="s">
        <v>11</v>
      </c>
      <c r="E6252">
        <v>30</v>
      </c>
      <c r="F6252" s="2">
        <f>DATE(2026,IF(Tabla1[[#This Row],[Mes de Fecha]]="Septiembre",9,10),Tabla1[[#This Row],[Día de Fecha]])</f>
        <v>46295</v>
      </c>
      <c r="I6252">
        <v>0</v>
      </c>
      <c r="J6252" s="1">
        <v>10385500</v>
      </c>
      <c r="K6252">
        <v>0</v>
      </c>
    </row>
    <row r="6253" spans="1:11" x14ac:dyDescent="0.25">
      <c r="A6253" t="s">
        <v>9</v>
      </c>
      <c r="B6253" t="s">
        <v>114</v>
      </c>
      <c r="C6253" t="s">
        <v>872</v>
      </c>
      <c r="D6253" t="s">
        <v>11</v>
      </c>
      <c r="E6253">
        <v>30</v>
      </c>
      <c r="F6253" s="2">
        <f>DATE(2026,IF(Tabla1[[#This Row],[Mes de Fecha]]="Septiembre",9,10),Tabla1[[#This Row],[Día de Fecha]])</f>
        <v>46295</v>
      </c>
      <c r="G6253">
        <v>1001807290</v>
      </c>
      <c r="H6253" t="s">
        <v>115</v>
      </c>
      <c r="I6253">
        <v>92</v>
      </c>
      <c r="J6253">
        <v>0</v>
      </c>
      <c r="K6253" s="1">
        <v>4508492</v>
      </c>
    </row>
    <row r="6254" spans="1:11" x14ac:dyDescent="0.25">
      <c r="A6254" t="s">
        <v>9</v>
      </c>
      <c r="B6254" t="s">
        <v>114</v>
      </c>
      <c r="C6254" t="s">
        <v>872</v>
      </c>
      <c r="D6254" t="s">
        <v>11</v>
      </c>
      <c r="E6254">
        <v>30</v>
      </c>
      <c r="F6254" s="2">
        <f>DATE(2026,IF(Tabla1[[#This Row],[Mes de Fecha]]="Septiembre",9,10),Tabla1[[#This Row],[Día de Fecha]])</f>
        <v>46295</v>
      </c>
      <c r="G6254">
        <v>1006453393</v>
      </c>
      <c r="H6254" t="s">
        <v>116</v>
      </c>
      <c r="I6254">
        <v>85</v>
      </c>
      <c r="J6254">
        <v>0</v>
      </c>
      <c r="K6254" s="1">
        <v>4420426</v>
      </c>
    </row>
    <row r="6255" spans="1:11" x14ac:dyDescent="0.25">
      <c r="A6255" t="s">
        <v>9</v>
      </c>
      <c r="B6255" t="s">
        <v>114</v>
      </c>
      <c r="C6255" t="s">
        <v>872</v>
      </c>
      <c r="D6255" t="s">
        <v>11</v>
      </c>
      <c r="E6255">
        <v>30</v>
      </c>
      <c r="F6255" s="2">
        <f>DATE(2026,IF(Tabla1[[#This Row],[Mes de Fecha]]="Septiembre",9,10),Tabla1[[#This Row],[Día de Fecha]])</f>
        <v>46295</v>
      </c>
      <c r="G6255">
        <v>1116801557</v>
      </c>
      <c r="H6255" t="s">
        <v>117</v>
      </c>
      <c r="I6255">
        <v>1</v>
      </c>
      <c r="J6255">
        <v>0</v>
      </c>
      <c r="K6255" s="1">
        <v>29370</v>
      </c>
    </row>
    <row r="6256" spans="1:11" x14ac:dyDescent="0.25">
      <c r="A6256" t="s">
        <v>9</v>
      </c>
      <c r="B6256" t="s">
        <v>114</v>
      </c>
      <c r="C6256" t="s">
        <v>872</v>
      </c>
      <c r="D6256" t="s">
        <v>14</v>
      </c>
      <c r="E6256">
        <v>1</v>
      </c>
      <c r="F6256" s="2">
        <f>DATE(2026,IF(Tabla1[[#This Row],[Mes de Fecha]]="Septiembre",9,10),Tabla1[[#This Row],[Día de Fecha]])</f>
        <v>46296</v>
      </c>
      <c r="I6256">
        <v>0</v>
      </c>
      <c r="J6256" s="1">
        <v>9465097</v>
      </c>
      <c r="K6256">
        <v>0</v>
      </c>
    </row>
    <row r="6257" spans="1:11" x14ac:dyDescent="0.25">
      <c r="A6257" t="s">
        <v>9</v>
      </c>
      <c r="B6257" t="s">
        <v>114</v>
      </c>
      <c r="C6257" t="s">
        <v>872</v>
      </c>
      <c r="D6257" t="s">
        <v>14</v>
      </c>
      <c r="E6257">
        <v>1</v>
      </c>
      <c r="F6257" s="2">
        <f>DATE(2026,IF(Tabla1[[#This Row],[Mes de Fecha]]="Septiembre",9,10),Tabla1[[#This Row],[Día de Fecha]])</f>
        <v>46296</v>
      </c>
      <c r="G6257">
        <v>1001807290</v>
      </c>
      <c r="H6257" t="s">
        <v>115</v>
      </c>
      <c r="I6257">
        <v>58</v>
      </c>
      <c r="J6257">
        <v>0</v>
      </c>
      <c r="K6257" s="1">
        <v>2896726</v>
      </c>
    </row>
    <row r="6258" spans="1:11" x14ac:dyDescent="0.25">
      <c r="A6258" t="s">
        <v>9</v>
      </c>
      <c r="B6258" t="s">
        <v>114</v>
      </c>
      <c r="C6258" t="s">
        <v>872</v>
      </c>
      <c r="D6258" t="s">
        <v>14</v>
      </c>
      <c r="E6258">
        <v>1</v>
      </c>
      <c r="F6258" s="2">
        <f>DATE(2026,IF(Tabla1[[#This Row],[Mes de Fecha]]="Septiembre",9,10),Tabla1[[#This Row],[Día de Fecha]])</f>
        <v>46296</v>
      </c>
      <c r="G6258">
        <v>1006453393</v>
      </c>
      <c r="H6258" t="s">
        <v>116</v>
      </c>
      <c r="I6258">
        <v>61</v>
      </c>
      <c r="J6258">
        <v>0</v>
      </c>
      <c r="K6258" s="1">
        <v>2984623</v>
      </c>
    </row>
    <row r="6259" spans="1:11" x14ac:dyDescent="0.25">
      <c r="A6259" t="s">
        <v>9</v>
      </c>
      <c r="B6259" t="s">
        <v>114</v>
      </c>
      <c r="C6259" t="s">
        <v>872</v>
      </c>
      <c r="D6259" t="s">
        <v>14</v>
      </c>
      <c r="E6259">
        <v>1</v>
      </c>
      <c r="F6259" s="2">
        <f>DATE(2026,IF(Tabla1[[#This Row],[Mes de Fecha]]="Septiembre",9,10),Tabla1[[#This Row],[Día de Fecha]])</f>
        <v>46296</v>
      </c>
      <c r="G6259">
        <v>1116801557</v>
      </c>
      <c r="H6259" t="s">
        <v>117</v>
      </c>
      <c r="I6259">
        <v>61</v>
      </c>
      <c r="J6259">
        <v>0</v>
      </c>
      <c r="K6259" s="1">
        <v>3081098</v>
      </c>
    </row>
    <row r="6260" spans="1:11" x14ac:dyDescent="0.25">
      <c r="A6260" t="s">
        <v>9</v>
      </c>
      <c r="B6260" t="s">
        <v>114</v>
      </c>
      <c r="C6260" t="s">
        <v>872</v>
      </c>
      <c r="D6260" t="s">
        <v>14</v>
      </c>
      <c r="E6260">
        <v>2</v>
      </c>
      <c r="F6260" s="2">
        <f>DATE(2026,IF(Tabla1[[#This Row],[Mes de Fecha]]="Septiembre",9,10),Tabla1[[#This Row],[Día de Fecha]])</f>
        <v>46297</v>
      </c>
      <c r="I6260">
        <v>0</v>
      </c>
      <c r="J6260" s="1">
        <v>12521858</v>
      </c>
      <c r="K6260">
        <v>0</v>
      </c>
    </row>
    <row r="6261" spans="1:11" x14ac:dyDescent="0.25">
      <c r="A6261" t="s">
        <v>9</v>
      </c>
      <c r="B6261" t="s">
        <v>114</v>
      </c>
      <c r="C6261" t="s">
        <v>872</v>
      </c>
      <c r="D6261" t="s">
        <v>14</v>
      </c>
      <c r="E6261">
        <v>2</v>
      </c>
      <c r="F6261" s="2">
        <f>DATE(2026,IF(Tabla1[[#This Row],[Mes de Fecha]]="Septiembre",9,10),Tabla1[[#This Row],[Día de Fecha]])</f>
        <v>46297</v>
      </c>
      <c r="G6261">
        <v>1001807290</v>
      </c>
      <c r="H6261" t="s">
        <v>115</v>
      </c>
      <c r="I6261">
        <v>57</v>
      </c>
      <c r="J6261">
        <v>0</v>
      </c>
      <c r="K6261" s="1">
        <v>2997399</v>
      </c>
    </row>
    <row r="6262" spans="1:11" x14ac:dyDescent="0.25">
      <c r="A6262" t="s">
        <v>9</v>
      </c>
      <c r="B6262" t="s">
        <v>114</v>
      </c>
      <c r="C6262" t="s">
        <v>872</v>
      </c>
      <c r="D6262" t="s">
        <v>14</v>
      </c>
      <c r="E6262">
        <v>2</v>
      </c>
      <c r="F6262" s="2">
        <f>DATE(2026,IF(Tabla1[[#This Row],[Mes de Fecha]]="Septiembre",9,10),Tabla1[[#This Row],[Día de Fecha]])</f>
        <v>46297</v>
      </c>
      <c r="G6262">
        <v>1006453393</v>
      </c>
      <c r="H6262" t="s">
        <v>116</v>
      </c>
      <c r="I6262">
        <v>58</v>
      </c>
      <c r="J6262">
        <v>0</v>
      </c>
      <c r="K6262" s="1">
        <v>3062484</v>
      </c>
    </row>
    <row r="6263" spans="1:11" x14ac:dyDescent="0.25">
      <c r="A6263" t="s">
        <v>9</v>
      </c>
      <c r="B6263" t="s">
        <v>114</v>
      </c>
      <c r="C6263" t="s">
        <v>872</v>
      </c>
      <c r="D6263" t="s">
        <v>14</v>
      </c>
      <c r="E6263">
        <v>2</v>
      </c>
      <c r="F6263" s="2">
        <f>DATE(2026,IF(Tabla1[[#This Row],[Mes de Fecha]]="Septiembre",9,10),Tabla1[[#This Row],[Día de Fecha]])</f>
        <v>46297</v>
      </c>
      <c r="G6263">
        <v>1116801557</v>
      </c>
      <c r="H6263" t="s">
        <v>117</v>
      </c>
      <c r="I6263">
        <v>61</v>
      </c>
      <c r="J6263">
        <v>0</v>
      </c>
      <c r="K6263" s="1">
        <v>3320760</v>
      </c>
    </row>
    <row r="6264" spans="1:11" x14ac:dyDescent="0.25">
      <c r="A6264" t="s">
        <v>9</v>
      </c>
      <c r="B6264" t="s">
        <v>114</v>
      </c>
      <c r="C6264" t="s">
        <v>872</v>
      </c>
      <c r="D6264" t="s">
        <v>14</v>
      </c>
      <c r="E6264">
        <v>2</v>
      </c>
      <c r="F6264" s="2">
        <f>DATE(2026,IF(Tabla1[[#This Row],[Mes de Fecha]]="Septiembre",9,10),Tabla1[[#This Row],[Día de Fecha]])</f>
        <v>46297</v>
      </c>
      <c r="G6264">
        <v>11167925556</v>
      </c>
      <c r="H6264" t="s">
        <v>118</v>
      </c>
      <c r="I6264">
        <v>1</v>
      </c>
      <c r="J6264">
        <v>0</v>
      </c>
      <c r="K6264" s="1">
        <v>29370</v>
      </c>
    </row>
    <row r="6265" spans="1:11" x14ac:dyDescent="0.25">
      <c r="A6265" t="s">
        <v>9</v>
      </c>
      <c r="B6265" t="s">
        <v>114</v>
      </c>
      <c r="C6265" t="s">
        <v>872</v>
      </c>
      <c r="D6265" t="s">
        <v>14</v>
      </c>
      <c r="E6265">
        <v>3</v>
      </c>
      <c r="F6265" s="2">
        <f>DATE(2026,IF(Tabla1[[#This Row],[Mes de Fecha]]="Septiembre",9,10),Tabla1[[#This Row],[Día de Fecha]])</f>
        <v>46298</v>
      </c>
      <c r="I6265">
        <v>0</v>
      </c>
      <c r="J6265" s="1">
        <v>11347021</v>
      </c>
      <c r="K6265">
        <v>0</v>
      </c>
    </row>
    <row r="6266" spans="1:11" x14ac:dyDescent="0.25">
      <c r="A6266" t="s">
        <v>9</v>
      </c>
      <c r="B6266" t="s">
        <v>114</v>
      </c>
      <c r="C6266" t="s">
        <v>872</v>
      </c>
      <c r="D6266" t="s">
        <v>14</v>
      </c>
      <c r="E6266">
        <v>3</v>
      </c>
      <c r="F6266" s="2">
        <f>DATE(2026,IF(Tabla1[[#This Row],[Mes de Fecha]]="Septiembre",9,10),Tabla1[[#This Row],[Día de Fecha]])</f>
        <v>46298</v>
      </c>
      <c r="G6266">
        <v>1001807290</v>
      </c>
      <c r="H6266" t="s">
        <v>115</v>
      </c>
      <c r="I6266">
        <v>87</v>
      </c>
      <c r="J6266">
        <v>0</v>
      </c>
      <c r="K6266" s="1">
        <v>4483528</v>
      </c>
    </row>
    <row r="6267" spans="1:11" x14ac:dyDescent="0.25">
      <c r="A6267" t="s">
        <v>9</v>
      </c>
      <c r="B6267" t="s">
        <v>114</v>
      </c>
      <c r="C6267" t="s">
        <v>872</v>
      </c>
      <c r="D6267" t="s">
        <v>14</v>
      </c>
      <c r="E6267">
        <v>3</v>
      </c>
      <c r="F6267" s="2">
        <f>DATE(2026,IF(Tabla1[[#This Row],[Mes de Fecha]]="Septiembre",9,10),Tabla1[[#This Row],[Día de Fecha]])</f>
        <v>46298</v>
      </c>
      <c r="G6267">
        <v>1006453393</v>
      </c>
      <c r="H6267" t="s">
        <v>116</v>
      </c>
      <c r="I6267">
        <v>81</v>
      </c>
      <c r="J6267">
        <v>0</v>
      </c>
      <c r="K6267" s="1">
        <v>4429430</v>
      </c>
    </row>
    <row r="6268" spans="1:11" x14ac:dyDescent="0.25">
      <c r="A6268" t="s">
        <v>9</v>
      </c>
      <c r="B6268" t="s">
        <v>114</v>
      </c>
      <c r="C6268" t="s">
        <v>872</v>
      </c>
      <c r="D6268" t="s">
        <v>14</v>
      </c>
      <c r="E6268">
        <v>3</v>
      </c>
      <c r="F6268" s="2">
        <f>DATE(2026,IF(Tabla1[[#This Row],[Mes de Fecha]]="Septiembre",9,10),Tabla1[[#This Row],[Día de Fecha]])</f>
        <v>46298</v>
      </c>
      <c r="G6268">
        <v>1116801557</v>
      </c>
      <c r="H6268" t="s">
        <v>117</v>
      </c>
      <c r="I6268">
        <v>80</v>
      </c>
      <c r="J6268">
        <v>0</v>
      </c>
      <c r="K6268" s="1">
        <v>4463570</v>
      </c>
    </row>
    <row r="6269" spans="1:11" x14ac:dyDescent="0.25">
      <c r="A6269" t="s">
        <v>9</v>
      </c>
      <c r="B6269" t="s">
        <v>114</v>
      </c>
      <c r="C6269" t="s">
        <v>872</v>
      </c>
      <c r="D6269" t="s">
        <v>14</v>
      </c>
      <c r="E6269">
        <v>4</v>
      </c>
      <c r="F6269" s="2">
        <f>DATE(2026,IF(Tabla1[[#This Row],[Mes de Fecha]]="Septiembre",9,10),Tabla1[[#This Row],[Día de Fecha]])</f>
        <v>46299</v>
      </c>
      <c r="I6269">
        <v>0</v>
      </c>
      <c r="J6269" s="1">
        <v>7516814</v>
      </c>
      <c r="K6269">
        <v>0</v>
      </c>
    </row>
    <row r="6270" spans="1:11" x14ac:dyDescent="0.25">
      <c r="A6270" t="s">
        <v>9</v>
      </c>
      <c r="B6270" t="s">
        <v>114</v>
      </c>
      <c r="C6270" t="s">
        <v>872</v>
      </c>
      <c r="D6270" t="s">
        <v>14</v>
      </c>
      <c r="E6270">
        <v>4</v>
      </c>
      <c r="F6270" s="2">
        <f>DATE(2026,IF(Tabla1[[#This Row],[Mes de Fecha]]="Septiembre",9,10),Tabla1[[#This Row],[Día de Fecha]])</f>
        <v>46299</v>
      </c>
      <c r="G6270">
        <v>1001807290</v>
      </c>
      <c r="H6270" t="s">
        <v>115</v>
      </c>
      <c r="I6270">
        <v>36</v>
      </c>
      <c r="J6270">
        <v>0</v>
      </c>
      <c r="K6270" s="1">
        <v>1836600</v>
      </c>
    </row>
    <row r="6271" spans="1:11" x14ac:dyDescent="0.25">
      <c r="A6271" t="s">
        <v>9</v>
      </c>
      <c r="B6271" t="s">
        <v>114</v>
      </c>
      <c r="C6271" t="s">
        <v>872</v>
      </c>
      <c r="D6271" t="s">
        <v>14</v>
      </c>
      <c r="E6271">
        <v>4</v>
      </c>
      <c r="F6271" s="2">
        <f>DATE(2026,IF(Tabla1[[#This Row],[Mes de Fecha]]="Septiembre",9,10),Tabla1[[#This Row],[Día de Fecha]])</f>
        <v>46299</v>
      </c>
      <c r="G6271">
        <v>1006453393</v>
      </c>
      <c r="H6271" t="s">
        <v>116</v>
      </c>
      <c r="I6271">
        <v>1</v>
      </c>
      <c r="J6271">
        <v>0</v>
      </c>
      <c r="K6271" s="1">
        <v>16723</v>
      </c>
    </row>
    <row r="6272" spans="1:11" x14ac:dyDescent="0.25">
      <c r="A6272" t="s">
        <v>9</v>
      </c>
      <c r="B6272" t="s">
        <v>114</v>
      </c>
      <c r="C6272" t="s">
        <v>872</v>
      </c>
      <c r="D6272" t="s">
        <v>14</v>
      </c>
      <c r="E6272">
        <v>4</v>
      </c>
      <c r="F6272" s="2">
        <f>DATE(2026,IF(Tabla1[[#This Row],[Mes de Fecha]]="Septiembre",9,10),Tabla1[[#This Row],[Día de Fecha]])</f>
        <v>46299</v>
      </c>
      <c r="G6272">
        <v>1116801557</v>
      </c>
      <c r="H6272" t="s">
        <v>117</v>
      </c>
      <c r="I6272">
        <v>38</v>
      </c>
      <c r="J6272">
        <v>0</v>
      </c>
      <c r="K6272" s="1">
        <v>1924626</v>
      </c>
    </row>
    <row r="6273" spans="1:11" x14ac:dyDescent="0.25">
      <c r="A6273" t="s">
        <v>9</v>
      </c>
      <c r="B6273" t="s">
        <v>114</v>
      </c>
      <c r="C6273" t="s">
        <v>872</v>
      </c>
      <c r="D6273" t="s">
        <v>14</v>
      </c>
      <c r="E6273">
        <v>5</v>
      </c>
      <c r="F6273" s="2">
        <f>DATE(2026,IF(Tabla1[[#This Row],[Mes de Fecha]]="Septiembre",9,10),Tabla1[[#This Row],[Día de Fecha]])</f>
        <v>46300</v>
      </c>
      <c r="I6273">
        <v>0</v>
      </c>
      <c r="J6273" s="1">
        <v>7291831</v>
      </c>
      <c r="K6273">
        <v>0</v>
      </c>
    </row>
    <row r="6274" spans="1:11" x14ac:dyDescent="0.25">
      <c r="A6274" t="s">
        <v>9</v>
      </c>
      <c r="B6274" t="s">
        <v>114</v>
      </c>
      <c r="C6274" t="s">
        <v>872</v>
      </c>
      <c r="D6274" t="s">
        <v>14</v>
      </c>
      <c r="E6274">
        <v>5</v>
      </c>
      <c r="F6274" s="2">
        <f>DATE(2026,IF(Tabla1[[#This Row],[Mes de Fecha]]="Septiembre",9,10),Tabla1[[#This Row],[Día de Fecha]])</f>
        <v>46300</v>
      </c>
      <c r="G6274">
        <v>1001807290</v>
      </c>
      <c r="H6274" t="s">
        <v>115</v>
      </c>
      <c r="I6274">
        <v>53</v>
      </c>
      <c r="J6274">
        <v>0</v>
      </c>
      <c r="K6274" s="1">
        <v>3279037</v>
      </c>
    </row>
    <row r="6275" spans="1:11" x14ac:dyDescent="0.25">
      <c r="A6275" t="s">
        <v>9</v>
      </c>
      <c r="B6275" t="s">
        <v>114</v>
      </c>
      <c r="C6275" t="s">
        <v>872</v>
      </c>
      <c r="D6275" t="s">
        <v>14</v>
      </c>
      <c r="E6275">
        <v>5</v>
      </c>
      <c r="F6275" s="2">
        <f>DATE(2026,IF(Tabla1[[#This Row],[Mes de Fecha]]="Septiembre",9,10),Tabla1[[#This Row],[Día de Fecha]])</f>
        <v>46300</v>
      </c>
      <c r="G6275">
        <v>1006453393</v>
      </c>
      <c r="H6275" t="s">
        <v>116</v>
      </c>
      <c r="I6275">
        <v>0</v>
      </c>
      <c r="J6275">
        <v>0</v>
      </c>
      <c r="K6275">
        <v>0</v>
      </c>
    </row>
    <row r="6276" spans="1:11" x14ac:dyDescent="0.25">
      <c r="A6276" t="s">
        <v>9</v>
      </c>
      <c r="B6276" t="s">
        <v>114</v>
      </c>
      <c r="C6276" t="s">
        <v>872</v>
      </c>
      <c r="D6276" t="s">
        <v>14</v>
      </c>
      <c r="E6276">
        <v>5</v>
      </c>
      <c r="F6276" s="2">
        <f>DATE(2026,IF(Tabla1[[#This Row],[Mes de Fecha]]="Septiembre",9,10),Tabla1[[#This Row],[Día de Fecha]])</f>
        <v>46300</v>
      </c>
      <c r="G6276">
        <v>1116801557</v>
      </c>
      <c r="H6276" t="s">
        <v>117</v>
      </c>
      <c r="I6276">
        <v>65</v>
      </c>
      <c r="J6276">
        <v>0</v>
      </c>
      <c r="K6276" s="1">
        <v>3780511</v>
      </c>
    </row>
    <row r="6277" spans="1:11" x14ac:dyDescent="0.25">
      <c r="A6277" t="s">
        <v>9</v>
      </c>
      <c r="B6277" t="s">
        <v>114</v>
      </c>
      <c r="C6277" t="s">
        <v>872</v>
      </c>
      <c r="D6277" t="s">
        <v>14</v>
      </c>
      <c r="E6277">
        <v>6</v>
      </c>
      <c r="F6277" s="2">
        <f>DATE(2026,IF(Tabla1[[#This Row],[Mes de Fecha]]="Septiembre",9,10),Tabla1[[#This Row],[Día de Fecha]])</f>
        <v>46301</v>
      </c>
      <c r="I6277">
        <v>0</v>
      </c>
      <c r="J6277" s="1">
        <v>4387002</v>
      </c>
      <c r="K6277">
        <v>0</v>
      </c>
    </row>
    <row r="6278" spans="1:11" x14ac:dyDescent="0.25">
      <c r="A6278" t="s">
        <v>9</v>
      </c>
      <c r="B6278" t="s">
        <v>114</v>
      </c>
      <c r="C6278" t="s">
        <v>872</v>
      </c>
      <c r="D6278" t="s">
        <v>14</v>
      </c>
      <c r="E6278">
        <v>6</v>
      </c>
      <c r="F6278" s="2">
        <f>DATE(2026,IF(Tabla1[[#This Row],[Mes de Fecha]]="Septiembre",9,10),Tabla1[[#This Row],[Día de Fecha]])</f>
        <v>46301</v>
      </c>
      <c r="G6278">
        <v>1001807290</v>
      </c>
      <c r="H6278" t="s">
        <v>115</v>
      </c>
      <c r="I6278">
        <v>29</v>
      </c>
      <c r="J6278">
        <v>0</v>
      </c>
      <c r="K6278" s="1">
        <v>1414707</v>
      </c>
    </row>
    <row r="6279" spans="1:11" x14ac:dyDescent="0.25">
      <c r="A6279" t="s">
        <v>9</v>
      </c>
      <c r="B6279" t="s">
        <v>114</v>
      </c>
      <c r="C6279" t="s">
        <v>872</v>
      </c>
      <c r="D6279" t="s">
        <v>14</v>
      </c>
      <c r="E6279">
        <v>6</v>
      </c>
      <c r="F6279" s="2">
        <f>DATE(2026,IF(Tabla1[[#This Row],[Mes de Fecha]]="Septiembre",9,10),Tabla1[[#This Row],[Día de Fecha]])</f>
        <v>46301</v>
      </c>
      <c r="G6279">
        <v>1006453393</v>
      </c>
      <c r="H6279" t="s">
        <v>116</v>
      </c>
      <c r="I6279">
        <v>2</v>
      </c>
      <c r="J6279">
        <v>0</v>
      </c>
      <c r="K6279" s="1">
        <v>134370</v>
      </c>
    </row>
    <row r="6280" spans="1:11" x14ac:dyDescent="0.25">
      <c r="A6280" t="s">
        <v>9</v>
      </c>
      <c r="B6280" t="s">
        <v>114</v>
      </c>
      <c r="C6280" t="s">
        <v>872</v>
      </c>
      <c r="D6280" t="s">
        <v>14</v>
      </c>
      <c r="E6280">
        <v>6</v>
      </c>
      <c r="F6280" s="2">
        <f>DATE(2026,IF(Tabla1[[#This Row],[Mes de Fecha]]="Septiembre",9,10),Tabla1[[#This Row],[Día de Fecha]])</f>
        <v>46301</v>
      </c>
      <c r="G6280">
        <v>1116801557</v>
      </c>
      <c r="H6280" t="s">
        <v>117</v>
      </c>
      <c r="I6280">
        <v>31</v>
      </c>
      <c r="J6280">
        <v>0</v>
      </c>
      <c r="K6280" s="1">
        <v>1867158</v>
      </c>
    </row>
    <row r="6281" spans="1:11" x14ac:dyDescent="0.25">
      <c r="A6281" t="s">
        <v>9</v>
      </c>
      <c r="B6281" t="s">
        <v>114</v>
      </c>
      <c r="C6281" t="s">
        <v>872</v>
      </c>
      <c r="D6281" t="s">
        <v>14</v>
      </c>
      <c r="E6281">
        <v>7</v>
      </c>
      <c r="F6281" s="2">
        <f>DATE(2026,IF(Tabla1[[#This Row],[Mes de Fecha]]="Septiembre",9,10),Tabla1[[#This Row],[Día de Fecha]])</f>
        <v>46302</v>
      </c>
      <c r="I6281">
        <v>0</v>
      </c>
      <c r="J6281" s="1">
        <v>4329528</v>
      </c>
      <c r="K6281">
        <v>0</v>
      </c>
    </row>
    <row r="6282" spans="1:11" x14ac:dyDescent="0.25">
      <c r="A6282" t="s">
        <v>9</v>
      </c>
      <c r="B6282" t="s">
        <v>114</v>
      </c>
      <c r="C6282" t="s">
        <v>872</v>
      </c>
      <c r="D6282" t="s">
        <v>14</v>
      </c>
      <c r="E6282">
        <v>7</v>
      </c>
      <c r="F6282" s="2">
        <f>DATE(2026,IF(Tabla1[[#This Row],[Mes de Fecha]]="Septiembre",9,10),Tabla1[[#This Row],[Día de Fecha]])</f>
        <v>46302</v>
      </c>
      <c r="G6282">
        <v>1001807290</v>
      </c>
      <c r="H6282" t="s">
        <v>115</v>
      </c>
      <c r="I6282">
        <v>26</v>
      </c>
      <c r="J6282">
        <v>0</v>
      </c>
      <c r="K6282" s="1">
        <v>1435676</v>
      </c>
    </row>
    <row r="6283" spans="1:11" x14ac:dyDescent="0.25">
      <c r="A6283" t="s">
        <v>9</v>
      </c>
      <c r="B6283" t="s">
        <v>114</v>
      </c>
      <c r="C6283" t="s">
        <v>872</v>
      </c>
      <c r="D6283" t="s">
        <v>14</v>
      </c>
      <c r="E6283">
        <v>7</v>
      </c>
      <c r="F6283" s="2">
        <f>DATE(2026,IF(Tabla1[[#This Row],[Mes de Fecha]]="Septiembre",9,10),Tabla1[[#This Row],[Día de Fecha]])</f>
        <v>46302</v>
      </c>
      <c r="G6283">
        <v>1006453393</v>
      </c>
      <c r="H6283" t="s">
        <v>116</v>
      </c>
      <c r="I6283">
        <v>0</v>
      </c>
      <c r="J6283">
        <v>0</v>
      </c>
      <c r="K6283">
        <v>0</v>
      </c>
    </row>
    <row r="6284" spans="1:11" x14ac:dyDescent="0.25">
      <c r="A6284" t="s">
        <v>9</v>
      </c>
      <c r="B6284" t="s">
        <v>114</v>
      </c>
      <c r="C6284" t="s">
        <v>872</v>
      </c>
      <c r="D6284" t="s">
        <v>14</v>
      </c>
      <c r="E6284">
        <v>7</v>
      </c>
      <c r="F6284" s="2">
        <f>DATE(2026,IF(Tabla1[[#This Row],[Mes de Fecha]]="Septiembre",9,10),Tabla1[[#This Row],[Día de Fecha]])</f>
        <v>46302</v>
      </c>
      <c r="G6284">
        <v>1116801557</v>
      </c>
      <c r="H6284" t="s">
        <v>117</v>
      </c>
      <c r="I6284">
        <v>24</v>
      </c>
      <c r="J6284">
        <v>0</v>
      </c>
      <c r="K6284" s="1">
        <v>1515717</v>
      </c>
    </row>
    <row r="6285" spans="1:11" x14ac:dyDescent="0.25">
      <c r="A6285" t="s">
        <v>9</v>
      </c>
      <c r="B6285" t="s">
        <v>126</v>
      </c>
      <c r="C6285" t="s">
        <v>872</v>
      </c>
      <c r="D6285" t="s">
        <v>11</v>
      </c>
      <c r="E6285">
        <v>23</v>
      </c>
      <c r="F6285" s="2">
        <f>DATE(2026,IF(Tabla1[[#This Row],[Mes de Fecha]]="Septiembre",9,10),Tabla1[[#This Row],[Día de Fecha]])</f>
        <v>46288</v>
      </c>
      <c r="I6285">
        <v>0</v>
      </c>
      <c r="J6285" s="1">
        <v>4918557</v>
      </c>
      <c r="K6285">
        <v>0</v>
      </c>
    </row>
    <row r="6286" spans="1:11" x14ac:dyDescent="0.25">
      <c r="A6286" t="s">
        <v>9</v>
      </c>
      <c r="B6286" t="s">
        <v>126</v>
      </c>
      <c r="C6286" t="s">
        <v>872</v>
      </c>
      <c r="D6286" t="s">
        <v>11</v>
      </c>
      <c r="E6286">
        <v>23</v>
      </c>
      <c r="F6286" s="2">
        <f>DATE(2026,IF(Tabla1[[#This Row],[Mes de Fecha]]="Septiembre",9,10),Tabla1[[#This Row],[Día de Fecha]])</f>
        <v>46288</v>
      </c>
      <c r="G6286">
        <v>80795021</v>
      </c>
      <c r="H6286" t="s">
        <v>127</v>
      </c>
      <c r="I6286">
        <v>127</v>
      </c>
      <c r="J6286">
        <v>0</v>
      </c>
      <c r="K6286" s="1">
        <v>6528258</v>
      </c>
    </row>
    <row r="6287" spans="1:11" x14ac:dyDescent="0.25">
      <c r="A6287" t="s">
        <v>9</v>
      </c>
      <c r="B6287" t="s">
        <v>126</v>
      </c>
      <c r="C6287" t="s">
        <v>872</v>
      </c>
      <c r="D6287" t="s">
        <v>11</v>
      </c>
      <c r="E6287">
        <v>24</v>
      </c>
      <c r="F6287" s="2">
        <f>DATE(2026,IF(Tabla1[[#This Row],[Mes de Fecha]]="Septiembre",9,10),Tabla1[[#This Row],[Día de Fecha]])</f>
        <v>46289</v>
      </c>
      <c r="I6287">
        <v>0</v>
      </c>
      <c r="J6287" s="1">
        <v>12720335</v>
      </c>
      <c r="K6287">
        <v>0</v>
      </c>
    </row>
    <row r="6288" spans="1:11" x14ac:dyDescent="0.25">
      <c r="A6288" t="s">
        <v>9</v>
      </c>
      <c r="B6288" t="s">
        <v>126</v>
      </c>
      <c r="C6288" t="s">
        <v>872</v>
      </c>
      <c r="D6288" t="s">
        <v>11</v>
      </c>
      <c r="E6288">
        <v>24</v>
      </c>
      <c r="F6288" s="2">
        <f>DATE(2026,IF(Tabla1[[#This Row],[Mes de Fecha]]="Septiembre",9,10),Tabla1[[#This Row],[Día de Fecha]])</f>
        <v>46289</v>
      </c>
      <c r="G6288">
        <v>80795021</v>
      </c>
      <c r="H6288" t="s">
        <v>127</v>
      </c>
      <c r="I6288">
        <v>208</v>
      </c>
      <c r="J6288">
        <v>0</v>
      </c>
      <c r="K6288" s="1">
        <v>11291742</v>
      </c>
    </row>
    <row r="6289" spans="1:11" x14ac:dyDescent="0.25">
      <c r="A6289" t="s">
        <v>9</v>
      </c>
      <c r="B6289" t="s">
        <v>126</v>
      </c>
      <c r="C6289" t="s">
        <v>872</v>
      </c>
      <c r="D6289" t="s">
        <v>11</v>
      </c>
      <c r="E6289">
        <v>25</v>
      </c>
      <c r="F6289" s="2">
        <f>DATE(2026,IF(Tabla1[[#This Row],[Mes de Fecha]]="Septiembre",9,10),Tabla1[[#This Row],[Día de Fecha]])</f>
        <v>46290</v>
      </c>
      <c r="I6289">
        <v>0</v>
      </c>
      <c r="J6289" s="1">
        <v>13586009</v>
      </c>
      <c r="K6289">
        <v>0</v>
      </c>
    </row>
    <row r="6290" spans="1:11" x14ac:dyDescent="0.25">
      <c r="A6290" t="s">
        <v>9</v>
      </c>
      <c r="B6290" t="s">
        <v>126</v>
      </c>
      <c r="C6290" t="s">
        <v>872</v>
      </c>
      <c r="D6290" t="s">
        <v>11</v>
      </c>
      <c r="E6290">
        <v>25</v>
      </c>
      <c r="F6290" s="2">
        <f>DATE(2026,IF(Tabla1[[#This Row],[Mes de Fecha]]="Septiembre",9,10),Tabla1[[#This Row],[Día de Fecha]])</f>
        <v>46290</v>
      </c>
      <c r="G6290">
        <v>80795021</v>
      </c>
      <c r="H6290" t="s">
        <v>127</v>
      </c>
      <c r="I6290">
        <v>242</v>
      </c>
      <c r="J6290">
        <v>0</v>
      </c>
      <c r="K6290" s="1">
        <v>12567605</v>
      </c>
    </row>
    <row r="6291" spans="1:11" x14ac:dyDescent="0.25">
      <c r="A6291" t="s">
        <v>9</v>
      </c>
      <c r="B6291" t="s">
        <v>126</v>
      </c>
      <c r="C6291" t="s">
        <v>872</v>
      </c>
      <c r="D6291" t="s">
        <v>11</v>
      </c>
      <c r="E6291">
        <v>26</v>
      </c>
      <c r="F6291" s="2">
        <f>DATE(2026,IF(Tabla1[[#This Row],[Mes de Fecha]]="Septiembre",9,10),Tabla1[[#This Row],[Día de Fecha]])</f>
        <v>46291</v>
      </c>
      <c r="I6291">
        <v>0</v>
      </c>
      <c r="J6291" s="1">
        <v>17131618</v>
      </c>
      <c r="K6291">
        <v>0</v>
      </c>
    </row>
    <row r="6292" spans="1:11" x14ac:dyDescent="0.25">
      <c r="A6292" t="s">
        <v>9</v>
      </c>
      <c r="B6292" t="s">
        <v>126</v>
      </c>
      <c r="C6292" t="s">
        <v>872</v>
      </c>
      <c r="D6292" t="s">
        <v>11</v>
      </c>
      <c r="E6292">
        <v>26</v>
      </c>
      <c r="F6292" s="2">
        <f>DATE(2026,IF(Tabla1[[#This Row],[Mes de Fecha]]="Septiembre",9,10),Tabla1[[#This Row],[Día de Fecha]])</f>
        <v>46291</v>
      </c>
      <c r="G6292">
        <v>80795021</v>
      </c>
      <c r="H6292" t="s">
        <v>127</v>
      </c>
      <c r="I6292">
        <v>258</v>
      </c>
      <c r="J6292">
        <v>0</v>
      </c>
      <c r="K6292" s="1">
        <v>12994598</v>
      </c>
    </row>
    <row r="6293" spans="1:11" x14ac:dyDescent="0.25">
      <c r="A6293" t="s">
        <v>9</v>
      </c>
      <c r="B6293" t="s">
        <v>126</v>
      </c>
      <c r="C6293" t="s">
        <v>872</v>
      </c>
      <c r="D6293" t="s">
        <v>11</v>
      </c>
      <c r="E6293">
        <v>27</v>
      </c>
      <c r="F6293" s="2">
        <f>DATE(2026,IF(Tabla1[[#This Row],[Mes de Fecha]]="Septiembre",9,10),Tabla1[[#This Row],[Día de Fecha]])</f>
        <v>46292</v>
      </c>
      <c r="I6293">
        <v>0</v>
      </c>
      <c r="J6293" s="1">
        <v>9045331</v>
      </c>
      <c r="K6293">
        <v>0</v>
      </c>
    </row>
    <row r="6294" spans="1:11" x14ac:dyDescent="0.25">
      <c r="A6294" t="s">
        <v>9</v>
      </c>
      <c r="B6294" t="s">
        <v>126</v>
      </c>
      <c r="C6294" t="s">
        <v>872</v>
      </c>
      <c r="D6294" t="s">
        <v>11</v>
      </c>
      <c r="E6294">
        <v>27</v>
      </c>
      <c r="F6294" s="2">
        <f>DATE(2026,IF(Tabla1[[#This Row],[Mes de Fecha]]="Septiembre",9,10),Tabla1[[#This Row],[Día de Fecha]])</f>
        <v>46292</v>
      </c>
      <c r="G6294">
        <v>80795021</v>
      </c>
      <c r="H6294" t="s">
        <v>127</v>
      </c>
      <c r="I6294">
        <v>125</v>
      </c>
      <c r="J6294">
        <v>0</v>
      </c>
      <c r="K6294" s="1">
        <v>6903837</v>
      </c>
    </row>
    <row r="6295" spans="1:11" x14ac:dyDescent="0.25">
      <c r="A6295" t="s">
        <v>9</v>
      </c>
      <c r="B6295" t="s">
        <v>126</v>
      </c>
      <c r="C6295" t="s">
        <v>872</v>
      </c>
      <c r="D6295" t="s">
        <v>11</v>
      </c>
      <c r="E6295">
        <v>28</v>
      </c>
      <c r="F6295" s="2">
        <f>DATE(2026,IF(Tabla1[[#This Row],[Mes de Fecha]]="Septiembre",9,10),Tabla1[[#This Row],[Día de Fecha]])</f>
        <v>46293</v>
      </c>
      <c r="I6295">
        <v>0</v>
      </c>
      <c r="J6295" s="1">
        <v>7416189</v>
      </c>
      <c r="K6295">
        <v>0</v>
      </c>
    </row>
    <row r="6296" spans="1:11" x14ac:dyDescent="0.25">
      <c r="A6296" t="s">
        <v>9</v>
      </c>
      <c r="B6296" t="s">
        <v>126</v>
      </c>
      <c r="C6296" t="s">
        <v>872</v>
      </c>
      <c r="D6296" t="s">
        <v>11</v>
      </c>
      <c r="E6296">
        <v>28</v>
      </c>
      <c r="F6296" s="2">
        <f>DATE(2026,IF(Tabla1[[#This Row],[Mes de Fecha]]="Septiembre",9,10),Tabla1[[#This Row],[Día de Fecha]])</f>
        <v>46293</v>
      </c>
      <c r="G6296">
        <v>80795021</v>
      </c>
      <c r="H6296" t="s">
        <v>127</v>
      </c>
      <c r="I6296">
        <v>123</v>
      </c>
      <c r="J6296">
        <v>0</v>
      </c>
      <c r="K6296" s="1">
        <v>6652162</v>
      </c>
    </row>
    <row r="6297" spans="1:11" x14ac:dyDescent="0.25">
      <c r="A6297" t="s">
        <v>9</v>
      </c>
      <c r="B6297" t="s">
        <v>126</v>
      </c>
      <c r="C6297" t="s">
        <v>872</v>
      </c>
      <c r="D6297" t="s">
        <v>11</v>
      </c>
      <c r="E6297">
        <v>29</v>
      </c>
      <c r="F6297" s="2">
        <f>DATE(2026,IF(Tabla1[[#This Row],[Mes de Fecha]]="Septiembre",9,10),Tabla1[[#This Row],[Día de Fecha]])</f>
        <v>46294</v>
      </c>
      <c r="I6297">
        <v>0</v>
      </c>
      <c r="J6297" s="1">
        <v>8244607</v>
      </c>
      <c r="K6297">
        <v>0</v>
      </c>
    </row>
    <row r="6298" spans="1:11" x14ac:dyDescent="0.25">
      <c r="A6298" t="s">
        <v>9</v>
      </c>
      <c r="B6298" t="s">
        <v>126</v>
      </c>
      <c r="C6298" t="s">
        <v>872</v>
      </c>
      <c r="D6298" t="s">
        <v>11</v>
      </c>
      <c r="E6298">
        <v>29</v>
      </c>
      <c r="F6298" s="2">
        <f>DATE(2026,IF(Tabla1[[#This Row],[Mes de Fecha]]="Septiembre",9,10),Tabla1[[#This Row],[Día de Fecha]])</f>
        <v>46294</v>
      </c>
      <c r="G6298">
        <v>80795021</v>
      </c>
      <c r="H6298" t="s">
        <v>127</v>
      </c>
      <c r="I6298">
        <v>102</v>
      </c>
      <c r="J6298">
        <v>0</v>
      </c>
      <c r="K6298" s="1">
        <v>5289316</v>
      </c>
    </row>
    <row r="6299" spans="1:11" x14ac:dyDescent="0.25">
      <c r="A6299" t="s">
        <v>9</v>
      </c>
      <c r="B6299" t="s">
        <v>126</v>
      </c>
      <c r="C6299" t="s">
        <v>872</v>
      </c>
      <c r="D6299" t="s">
        <v>11</v>
      </c>
      <c r="E6299">
        <v>30</v>
      </c>
      <c r="F6299" s="2">
        <f>DATE(2026,IF(Tabla1[[#This Row],[Mes de Fecha]]="Septiembre",9,10),Tabla1[[#This Row],[Día de Fecha]])</f>
        <v>46295</v>
      </c>
      <c r="I6299">
        <v>0</v>
      </c>
      <c r="J6299" s="1">
        <v>8731301</v>
      </c>
      <c r="K6299">
        <v>0</v>
      </c>
    </row>
    <row r="6300" spans="1:11" x14ac:dyDescent="0.25">
      <c r="A6300" t="s">
        <v>9</v>
      </c>
      <c r="B6300" t="s">
        <v>126</v>
      </c>
      <c r="C6300" t="s">
        <v>872</v>
      </c>
      <c r="D6300" t="s">
        <v>11</v>
      </c>
      <c r="E6300">
        <v>30</v>
      </c>
      <c r="F6300" s="2">
        <f>DATE(2026,IF(Tabla1[[#This Row],[Mes de Fecha]]="Septiembre",9,10),Tabla1[[#This Row],[Día de Fecha]])</f>
        <v>46295</v>
      </c>
      <c r="G6300">
        <v>80795021</v>
      </c>
      <c r="H6300" t="s">
        <v>127</v>
      </c>
      <c r="I6300">
        <v>134</v>
      </c>
      <c r="J6300">
        <v>0</v>
      </c>
      <c r="K6300" s="1">
        <v>7451173</v>
      </c>
    </row>
    <row r="6301" spans="1:11" x14ac:dyDescent="0.25">
      <c r="A6301" t="s">
        <v>9</v>
      </c>
      <c r="B6301" t="s">
        <v>126</v>
      </c>
      <c r="C6301" t="s">
        <v>872</v>
      </c>
      <c r="D6301" t="s">
        <v>14</v>
      </c>
      <c r="E6301">
        <v>1</v>
      </c>
      <c r="F6301" s="2">
        <f>DATE(2026,IF(Tabla1[[#This Row],[Mes de Fecha]]="Septiembre",9,10),Tabla1[[#This Row],[Día de Fecha]])</f>
        <v>46296</v>
      </c>
      <c r="I6301">
        <v>0</v>
      </c>
      <c r="J6301" s="1">
        <v>8907582</v>
      </c>
      <c r="K6301">
        <v>0</v>
      </c>
    </row>
    <row r="6302" spans="1:11" x14ac:dyDescent="0.25">
      <c r="A6302" t="s">
        <v>9</v>
      </c>
      <c r="B6302" t="s">
        <v>126</v>
      </c>
      <c r="C6302" t="s">
        <v>872</v>
      </c>
      <c r="D6302" t="s">
        <v>14</v>
      </c>
      <c r="E6302">
        <v>1</v>
      </c>
      <c r="F6302" s="2">
        <f>DATE(2026,IF(Tabla1[[#This Row],[Mes de Fecha]]="Septiembre",9,10),Tabla1[[#This Row],[Día de Fecha]])</f>
        <v>46296</v>
      </c>
      <c r="G6302">
        <v>80795021</v>
      </c>
      <c r="H6302" t="s">
        <v>127</v>
      </c>
      <c r="I6302">
        <v>144</v>
      </c>
      <c r="J6302">
        <v>0</v>
      </c>
      <c r="K6302" s="1">
        <v>7768810</v>
      </c>
    </row>
    <row r="6303" spans="1:11" x14ac:dyDescent="0.25">
      <c r="A6303" t="s">
        <v>9</v>
      </c>
      <c r="B6303" t="s">
        <v>126</v>
      </c>
      <c r="C6303" t="s">
        <v>872</v>
      </c>
      <c r="D6303" t="s">
        <v>14</v>
      </c>
      <c r="E6303">
        <v>2</v>
      </c>
      <c r="F6303" s="2">
        <f>DATE(2026,IF(Tabla1[[#This Row],[Mes de Fecha]]="Septiembre",9,10),Tabla1[[#This Row],[Día de Fecha]])</f>
        <v>46297</v>
      </c>
      <c r="I6303">
        <v>0</v>
      </c>
      <c r="J6303" s="1">
        <v>7518262</v>
      </c>
      <c r="K6303">
        <v>0</v>
      </c>
    </row>
    <row r="6304" spans="1:11" x14ac:dyDescent="0.25">
      <c r="A6304" t="s">
        <v>9</v>
      </c>
      <c r="B6304" t="s">
        <v>126</v>
      </c>
      <c r="C6304" t="s">
        <v>872</v>
      </c>
      <c r="D6304" t="s">
        <v>14</v>
      </c>
      <c r="E6304">
        <v>2</v>
      </c>
      <c r="F6304" s="2">
        <f>DATE(2026,IF(Tabla1[[#This Row],[Mes de Fecha]]="Septiembre",9,10),Tabla1[[#This Row],[Día de Fecha]])</f>
        <v>46297</v>
      </c>
      <c r="G6304">
        <v>80795021</v>
      </c>
      <c r="H6304" t="s">
        <v>127</v>
      </c>
      <c r="I6304">
        <v>168</v>
      </c>
      <c r="J6304">
        <v>0</v>
      </c>
      <c r="K6304" s="1">
        <v>9809680</v>
      </c>
    </row>
    <row r="6305" spans="1:11" x14ac:dyDescent="0.25">
      <c r="A6305" t="s">
        <v>9</v>
      </c>
      <c r="B6305" t="s">
        <v>126</v>
      </c>
      <c r="C6305" t="s">
        <v>872</v>
      </c>
      <c r="D6305" t="s">
        <v>14</v>
      </c>
      <c r="E6305">
        <v>3</v>
      </c>
      <c r="F6305" s="2">
        <f>DATE(2026,IF(Tabla1[[#This Row],[Mes de Fecha]]="Septiembre",9,10),Tabla1[[#This Row],[Día de Fecha]])</f>
        <v>46298</v>
      </c>
      <c r="I6305">
        <v>0</v>
      </c>
      <c r="J6305" s="1">
        <v>9837579</v>
      </c>
      <c r="K6305">
        <v>0</v>
      </c>
    </row>
    <row r="6306" spans="1:11" x14ac:dyDescent="0.25">
      <c r="A6306" t="s">
        <v>9</v>
      </c>
      <c r="B6306" t="s">
        <v>126</v>
      </c>
      <c r="C6306" t="s">
        <v>872</v>
      </c>
      <c r="D6306" t="s">
        <v>14</v>
      </c>
      <c r="E6306">
        <v>3</v>
      </c>
      <c r="F6306" s="2">
        <f>DATE(2026,IF(Tabla1[[#This Row],[Mes de Fecha]]="Septiembre",9,10),Tabla1[[#This Row],[Día de Fecha]])</f>
        <v>46298</v>
      </c>
      <c r="G6306">
        <v>80795021</v>
      </c>
      <c r="H6306" t="s">
        <v>127</v>
      </c>
      <c r="I6306">
        <v>131</v>
      </c>
      <c r="J6306">
        <v>0</v>
      </c>
      <c r="K6306" s="1">
        <v>6980459</v>
      </c>
    </row>
    <row r="6307" spans="1:11" x14ac:dyDescent="0.25">
      <c r="A6307" t="s">
        <v>9</v>
      </c>
      <c r="B6307" t="s">
        <v>126</v>
      </c>
      <c r="C6307" t="s">
        <v>872</v>
      </c>
      <c r="D6307" t="s">
        <v>14</v>
      </c>
      <c r="E6307">
        <v>4</v>
      </c>
      <c r="F6307" s="2">
        <f>DATE(2026,IF(Tabla1[[#This Row],[Mes de Fecha]]="Septiembre",9,10),Tabla1[[#This Row],[Día de Fecha]])</f>
        <v>46299</v>
      </c>
      <c r="I6307">
        <v>0</v>
      </c>
      <c r="J6307" s="1">
        <v>5325916</v>
      </c>
      <c r="K6307">
        <v>0</v>
      </c>
    </row>
    <row r="6308" spans="1:11" x14ac:dyDescent="0.25">
      <c r="A6308" t="s">
        <v>9</v>
      </c>
      <c r="B6308" t="s">
        <v>126</v>
      </c>
      <c r="C6308" t="s">
        <v>872</v>
      </c>
      <c r="D6308" t="s">
        <v>14</v>
      </c>
      <c r="E6308">
        <v>4</v>
      </c>
      <c r="F6308" s="2">
        <f>DATE(2026,IF(Tabla1[[#This Row],[Mes de Fecha]]="Septiembre",9,10),Tabla1[[#This Row],[Día de Fecha]])</f>
        <v>46299</v>
      </c>
      <c r="G6308">
        <v>80795021</v>
      </c>
      <c r="H6308" t="s">
        <v>127</v>
      </c>
      <c r="I6308">
        <v>67</v>
      </c>
      <c r="J6308">
        <v>0</v>
      </c>
      <c r="K6308" s="1">
        <v>3925449</v>
      </c>
    </row>
    <row r="6309" spans="1:11" x14ac:dyDescent="0.25">
      <c r="A6309" t="s">
        <v>9</v>
      </c>
      <c r="B6309" t="s">
        <v>126</v>
      </c>
      <c r="C6309" t="s">
        <v>872</v>
      </c>
      <c r="D6309" t="s">
        <v>14</v>
      </c>
      <c r="E6309">
        <v>5</v>
      </c>
      <c r="F6309" s="2">
        <f>DATE(2026,IF(Tabla1[[#This Row],[Mes de Fecha]]="Septiembre",9,10),Tabla1[[#This Row],[Día de Fecha]])</f>
        <v>46300</v>
      </c>
      <c r="I6309">
        <v>0</v>
      </c>
      <c r="J6309" s="1">
        <v>3747227</v>
      </c>
      <c r="K6309">
        <v>0</v>
      </c>
    </row>
    <row r="6310" spans="1:11" x14ac:dyDescent="0.25">
      <c r="A6310" t="s">
        <v>9</v>
      </c>
      <c r="B6310" t="s">
        <v>126</v>
      </c>
      <c r="C6310" t="s">
        <v>872</v>
      </c>
      <c r="D6310" t="s">
        <v>14</v>
      </c>
      <c r="E6310">
        <v>5</v>
      </c>
      <c r="F6310" s="2">
        <f>DATE(2026,IF(Tabla1[[#This Row],[Mes de Fecha]]="Septiembre",9,10),Tabla1[[#This Row],[Día de Fecha]])</f>
        <v>46300</v>
      </c>
      <c r="G6310">
        <v>80795021</v>
      </c>
      <c r="H6310" t="s">
        <v>127</v>
      </c>
      <c r="I6310">
        <v>109</v>
      </c>
      <c r="J6310">
        <v>0</v>
      </c>
      <c r="K6310" s="1">
        <v>6057629</v>
      </c>
    </row>
    <row r="6311" spans="1:11" x14ac:dyDescent="0.25">
      <c r="A6311" t="s">
        <v>9</v>
      </c>
      <c r="B6311" t="s">
        <v>126</v>
      </c>
      <c r="C6311" t="s">
        <v>872</v>
      </c>
      <c r="D6311" t="s">
        <v>14</v>
      </c>
      <c r="E6311">
        <v>6</v>
      </c>
      <c r="F6311" s="2">
        <f>DATE(2026,IF(Tabla1[[#This Row],[Mes de Fecha]]="Septiembre",9,10),Tabla1[[#This Row],[Día de Fecha]])</f>
        <v>46301</v>
      </c>
      <c r="I6311">
        <v>0</v>
      </c>
      <c r="J6311" s="1">
        <v>6193522</v>
      </c>
      <c r="K6311">
        <v>0</v>
      </c>
    </row>
    <row r="6312" spans="1:11" x14ac:dyDescent="0.25">
      <c r="A6312" t="s">
        <v>9</v>
      </c>
      <c r="B6312" t="s">
        <v>126</v>
      </c>
      <c r="C6312" t="s">
        <v>872</v>
      </c>
      <c r="D6312" t="s">
        <v>14</v>
      </c>
      <c r="E6312">
        <v>6</v>
      </c>
      <c r="F6312" s="2">
        <f>DATE(2026,IF(Tabla1[[#This Row],[Mes de Fecha]]="Septiembre",9,10),Tabla1[[#This Row],[Día de Fecha]])</f>
        <v>46301</v>
      </c>
      <c r="G6312">
        <v>80795021</v>
      </c>
      <c r="H6312" t="s">
        <v>127</v>
      </c>
      <c r="I6312">
        <v>60</v>
      </c>
      <c r="J6312">
        <v>0</v>
      </c>
      <c r="K6312" s="1">
        <v>3181797</v>
      </c>
    </row>
    <row r="6313" spans="1:11" x14ac:dyDescent="0.25">
      <c r="A6313" t="s">
        <v>9</v>
      </c>
      <c r="B6313" t="s">
        <v>126</v>
      </c>
      <c r="C6313" t="s">
        <v>872</v>
      </c>
      <c r="D6313" t="s">
        <v>14</v>
      </c>
      <c r="E6313">
        <v>7</v>
      </c>
      <c r="F6313" s="2">
        <f>DATE(2026,IF(Tabla1[[#This Row],[Mes de Fecha]]="Septiembre",9,10),Tabla1[[#This Row],[Día de Fecha]])</f>
        <v>46302</v>
      </c>
      <c r="I6313">
        <v>0</v>
      </c>
      <c r="J6313" s="1">
        <v>5584042</v>
      </c>
      <c r="K6313">
        <v>0</v>
      </c>
    </row>
    <row r="6314" spans="1:11" x14ac:dyDescent="0.25">
      <c r="A6314" t="s">
        <v>9</v>
      </c>
      <c r="B6314" t="s">
        <v>126</v>
      </c>
      <c r="C6314" t="s">
        <v>872</v>
      </c>
      <c r="D6314" t="s">
        <v>14</v>
      </c>
      <c r="E6314">
        <v>7</v>
      </c>
      <c r="F6314" s="2">
        <f>DATE(2026,IF(Tabla1[[#This Row],[Mes de Fecha]]="Septiembre",9,10),Tabla1[[#This Row],[Día de Fecha]])</f>
        <v>46302</v>
      </c>
      <c r="G6314">
        <v>80795021</v>
      </c>
      <c r="H6314" t="s">
        <v>127</v>
      </c>
      <c r="I6314">
        <v>53</v>
      </c>
      <c r="J6314">
        <v>0</v>
      </c>
      <c r="K6314" s="1">
        <v>3161419</v>
      </c>
    </row>
    <row r="6315" spans="1:11" x14ac:dyDescent="0.25">
      <c r="A6315" t="s">
        <v>9</v>
      </c>
      <c r="B6315" t="s">
        <v>160</v>
      </c>
      <c r="C6315" t="s">
        <v>872</v>
      </c>
      <c r="D6315" t="s">
        <v>11</v>
      </c>
      <c r="E6315">
        <v>23</v>
      </c>
      <c r="F6315" s="2">
        <f>DATE(2026,IF(Tabla1[[#This Row],[Mes de Fecha]]="Septiembre",9,10),Tabla1[[#This Row],[Día de Fecha]])</f>
        <v>46288</v>
      </c>
      <c r="I6315">
        <v>0</v>
      </c>
      <c r="J6315" s="1">
        <v>3424149</v>
      </c>
      <c r="K6315">
        <v>0</v>
      </c>
    </row>
    <row r="6316" spans="1:11" x14ac:dyDescent="0.25">
      <c r="A6316" t="s">
        <v>9</v>
      </c>
      <c r="B6316" t="s">
        <v>160</v>
      </c>
      <c r="C6316" t="s">
        <v>872</v>
      </c>
      <c r="D6316" t="s">
        <v>11</v>
      </c>
      <c r="E6316">
        <v>23</v>
      </c>
      <c r="F6316" s="2">
        <f>DATE(2026,IF(Tabla1[[#This Row],[Mes de Fecha]]="Septiembre",9,10),Tabla1[[#This Row],[Día de Fecha]])</f>
        <v>46288</v>
      </c>
      <c r="G6316">
        <v>1119181302</v>
      </c>
      <c r="H6316" t="s">
        <v>161</v>
      </c>
      <c r="I6316">
        <v>174</v>
      </c>
      <c r="J6316">
        <v>0</v>
      </c>
      <c r="K6316" s="1">
        <v>9704881</v>
      </c>
    </row>
    <row r="6317" spans="1:11" x14ac:dyDescent="0.25">
      <c r="A6317" t="s">
        <v>9</v>
      </c>
      <c r="B6317" t="s">
        <v>160</v>
      </c>
      <c r="C6317" t="s">
        <v>872</v>
      </c>
      <c r="D6317" t="s">
        <v>11</v>
      </c>
      <c r="E6317">
        <v>24</v>
      </c>
      <c r="F6317" s="2">
        <f>DATE(2026,IF(Tabla1[[#This Row],[Mes de Fecha]]="Septiembre",9,10),Tabla1[[#This Row],[Día de Fecha]])</f>
        <v>46289</v>
      </c>
      <c r="I6317">
        <v>0</v>
      </c>
      <c r="J6317" s="1">
        <v>8855516</v>
      </c>
      <c r="K6317">
        <v>0</v>
      </c>
    </row>
    <row r="6318" spans="1:11" x14ac:dyDescent="0.25">
      <c r="A6318" t="s">
        <v>9</v>
      </c>
      <c r="B6318" t="s">
        <v>160</v>
      </c>
      <c r="C6318" t="s">
        <v>872</v>
      </c>
      <c r="D6318" t="s">
        <v>11</v>
      </c>
      <c r="E6318">
        <v>24</v>
      </c>
      <c r="F6318" s="2">
        <f>DATE(2026,IF(Tabla1[[#This Row],[Mes de Fecha]]="Septiembre",9,10),Tabla1[[#This Row],[Día de Fecha]])</f>
        <v>46289</v>
      </c>
      <c r="G6318">
        <v>1119181302</v>
      </c>
      <c r="H6318" t="s">
        <v>161</v>
      </c>
      <c r="I6318">
        <v>168</v>
      </c>
      <c r="J6318">
        <v>0</v>
      </c>
      <c r="K6318" s="1">
        <v>8705177</v>
      </c>
    </row>
    <row r="6319" spans="1:11" x14ac:dyDescent="0.25">
      <c r="A6319" t="s">
        <v>9</v>
      </c>
      <c r="B6319" t="s">
        <v>160</v>
      </c>
      <c r="C6319" t="s">
        <v>872</v>
      </c>
      <c r="D6319" t="s">
        <v>11</v>
      </c>
      <c r="E6319">
        <v>25</v>
      </c>
      <c r="F6319" s="2">
        <f>DATE(2026,IF(Tabla1[[#This Row],[Mes de Fecha]]="Septiembre",9,10),Tabla1[[#This Row],[Día de Fecha]])</f>
        <v>46290</v>
      </c>
      <c r="I6319">
        <v>0</v>
      </c>
      <c r="J6319" s="1">
        <v>9458177</v>
      </c>
      <c r="K6319">
        <v>0</v>
      </c>
    </row>
    <row r="6320" spans="1:11" x14ac:dyDescent="0.25">
      <c r="A6320" t="s">
        <v>9</v>
      </c>
      <c r="B6320" t="s">
        <v>160</v>
      </c>
      <c r="C6320" t="s">
        <v>872</v>
      </c>
      <c r="D6320" t="s">
        <v>11</v>
      </c>
      <c r="E6320">
        <v>25</v>
      </c>
      <c r="F6320" s="2">
        <f>DATE(2026,IF(Tabla1[[#This Row],[Mes de Fecha]]="Septiembre",9,10),Tabla1[[#This Row],[Día de Fecha]])</f>
        <v>46290</v>
      </c>
      <c r="G6320">
        <v>1115721916</v>
      </c>
      <c r="H6320" t="s">
        <v>162</v>
      </c>
      <c r="I6320">
        <v>69</v>
      </c>
      <c r="J6320">
        <v>0</v>
      </c>
      <c r="K6320" s="1">
        <v>3522314</v>
      </c>
    </row>
    <row r="6321" spans="1:11" x14ac:dyDescent="0.25">
      <c r="A6321" t="s">
        <v>9</v>
      </c>
      <c r="B6321" t="s">
        <v>160</v>
      </c>
      <c r="C6321" t="s">
        <v>872</v>
      </c>
      <c r="D6321" t="s">
        <v>11</v>
      </c>
      <c r="E6321">
        <v>25</v>
      </c>
      <c r="F6321" s="2">
        <f>DATE(2026,IF(Tabla1[[#This Row],[Mes de Fecha]]="Septiembre",9,10),Tabla1[[#This Row],[Día de Fecha]])</f>
        <v>46290</v>
      </c>
      <c r="G6321">
        <v>1116868268</v>
      </c>
      <c r="H6321" t="s">
        <v>163</v>
      </c>
      <c r="I6321">
        <v>62</v>
      </c>
      <c r="J6321">
        <v>0</v>
      </c>
      <c r="K6321" s="1">
        <v>3476391</v>
      </c>
    </row>
    <row r="6322" spans="1:11" x14ac:dyDescent="0.25">
      <c r="A6322" t="s">
        <v>9</v>
      </c>
      <c r="B6322" t="s">
        <v>160</v>
      </c>
      <c r="C6322" t="s">
        <v>872</v>
      </c>
      <c r="D6322" t="s">
        <v>11</v>
      </c>
      <c r="E6322">
        <v>25</v>
      </c>
      <c r="F6322" s="2">
        <f>DATE(2026,IF(Tabla1[[#This Row],[Mes de Fecha]]="Septiembre",9,10),Tabla1[[#This Row],[Día de Fecha]])</f>
        <v>46290</v>
      </c>
      <c r="G6322">
        <v>1119181302</v>
      </c>
      <c r="H6322" t="s">
        <v>161</v>
      </c>
      <c r="I6322">
        <v>66</v>
      </c>
      <c r="J6322">
        <v>0</v>
      </c>
      <c r="K6322" s="1">
        <v>3182107</v>
      </c>
    </row>
    <row r="6323" spans="1:11" x14ac:dyDescent="0.25">
      <c r="A6323" t="s">
        <v>9</v>
      </c>
      <c r="B6323" t="s">
        <v>160</v>
      </c>
      <c r="C6323" t="s">
        <v>872</v>
      </c>
      <c r="D6323" t="s">
        <v>11</v>
      </c>
      <c r="E6323">
        <v>26</v>
      </c>
      <c r="F6323" s="2">
        <f>DATE(2026,IF(Tabla1[[#This Row],[Mes de Fecha]]="Septiembre",9,10),Tabla1[[#This Row],[Día de Fecha]])</f>
        <v>46291</v>
      </c>
      <c r="I6323">
        <v>0</v>
      </c>
      <c r="J6323" s="1">
        <v>11926517</v>
      </c>
      <c r="K6323">
        <v>0</v>
      </c>
    </row>
    <row r="6324" spans="1:11" x14ac:dyDescent="0.25">
      <c r="A6324" t="s">
        <v>9</v>
      </c>
      <c r="B6324" t="s">
        <v>160</v>
      </c>
      <c r="C6324" t="s">
        <v>872</v>
      </c>
      <c r="D6324" t="s">
        <v>11</v>
      </c>
      <c r="E6324">
        <v>26</v>
      </c>
      <c r="F6324" s="2">
        <f>DATE(2026,IF(Tabla1[[#This Row],[Mes de Fecha]]="Septiembre",9,10),Tabla1[[#This Row],[Día de Fecha]])</f>
        <v>46291</v>
      </c>
      <c r="G6324">
        <v>1115721916</v>
      </c>
      <c r="H6324" t="s">
        <v>162</v>
      </c>
      <c r="I6324">
        <v>87</v>
      </c>
      <c r="J6324">
        <v>0</v>
      </c>
      <c r="K6324" s="1">
        <v>4328070</v>
      </c>
    </row>
    <row r="6325" spans="1:11" x14ac:dyDescent="0.25">
      <c r="A6325" t="s">
        <v>9</v>
      </c>
      <c r="B6325" t="s">
        <v>160</v>
      </c>
      <c r="C6325" t="s">
        <v>872</v>
      </c>
      <c r="D6325" t="s">
        <v>11</v>
      </c>
      <c r="E6325">
        <v>26</v>
      </c>
      <c r="F6325" s="2">
        <f>DATE(2026,IF(Tabla1[[#This Row],[Mes de Fecha]]="Septiembre",9,10),Tabla1[[#This Row],[Día de Fecha]])</f>
        <v>46291</v>
      </c>
      <c r="G6325">
        <v>1116868268</v>
      </c>
      <c r="H6325" t="s">
        <v>163</v>
      </c>
      <c r="I6325">
        <v>111</v>
      </c>
      <c r="J6325">
        <v>0</v>
      </c>
      <c r="K6325" s="1">
        <v>5509711</v>
      </c>
    </row>
    <row r="6326" spans="1:11" x14ac:dyDescent="0.25">
      <c r="A6326" t="s">
        <v>9</v>
      </c>
      <c r="B6326" t="s">
        <v>160</v>
      </c>
      <c r="C6326" t="s">
        <v>872</v>
      </c>
      <c r="D6326" t="s">
        <v>11</v>
      </c>
      <c r="E6326">
        <v>26</v>
      </c>
      <c r="F6326" s="2">
        <f>DATE(2026,IF(Tabla1[[#This Row],[Mes de Fecha]]="Septiembre",9,10),Tabla1[[#This Row],[Día de Fecha]])</f>
        <v>46291</v>
      </c>
      <c r="G6326">
        <v>1119181302</v>
      </c>
      <c r="H6326" t="s">
        <v>161</v>
      </c>
      <c r="I6326">
        <v>109</v>
      </c>
      <c r="J6326">
        <v>0</v>
      </c>
      <c r="K6326" s="1">
        <v>5644458</v>
      </c>
    </row>
    <row r="6327" spans="1:11" x14ac:dyDescent="0.25">
      <c r="A6327" t="s">
        <v>9</v>
      </c>
      <c r="B6327" t="s">
        <v>160</v>
      </c>
      <c r="C6327" t="s">
        <v>872</v>
      </c>
      <c r="D6327" t="s">
        <v>11</v>
      </c>
      <c r="E6327">
        <v>27</v>
      </c>
      <c r="F6327" s="2">
        <f>DATE(2026,IF(Tabla1[[#This Row],[Mes de Fecha]]="Septiembre",9,10),Tabla1[[#This Row],[Día de Fecha]])</f>
        <v>46292</v>
      </c>
      <c r="I6327">
        <v>0</v>
      </c>
      <c r="J6327" s="1">
        <v>6297090</v>
      </c>
      <c r="K6327">
        <v>0</v>
      </c>
    </row>
    <row r="6328" spans="1:11" x14ac:dyDescent="0.25">
      <c r="A6328" t="s">
        <v>9</v>
      </c>
      <c r="B6328" t="s">
        <v>160</v>
      </c>
      <c r="C6328" t="s">
        <v>872</v>
      </c>
      <c r="D6328" t="s">
        <v>11</v>
      </c>
      <c r="E6328">
        <v>27</v>
      </c>
      <c r="F6328" s="2">
        <f>DATE(2026,IF(Tabla1[[#This Row],[Mes de Fecha]]="Septiembre",9,10),Tabla1[[#This Row],[Día de Fecha]])</f>
        <v>46292</v>
      </c>
      <c r="G6328">
        <v>1116868268</v>
      </c>
      <c r="H6328" t="s">
        <v>163</v>
      </c>
      <c r="I6328">
        <v>66</v>
      </c>
      <c r="J6328">
        <v>0</v>
      </c>
      <c r="K6328" s="1">
        <v>2946226</v>
      </c>
    </row>
    <row r="6329" spans="1:11" x14ac:dyDescent="0.25">
      <c r="A6329" t="s">
        <v>9</v>
      </c>
      <c r="B6329" t="s">
        <v>160</v>
      </c>
      <c r="C6329" t="s">
        <v>872</v>
      </c>
      <c r="D6329" t="s">
        <v>11</v>
      </c>
      <c r="E6329">
        <v>27</v>
      </c>
      <c r="F6329" s="2">
        <f>DATE(2026,IF(Tabla1[[#This Row],[Mes de Fecha]]="Septiembre",9,10),Tabla1[[#This Row],[Día de Fecha]])</f>
        <v>46292</v>
      </c>
      <c r="G6329">
        <v>1119181302</v>
      </c>
      <c r="H6329" t="s">
        <v>161</v>
      </c>
      <c r="I6329">
        <v>52</v>
      </c>
      <c r="J6329">
        <v>0</v>
      </c>
      <c r="K6329" s="1">
        <v>2598450</v>
      </c>
    </row>
    <row r="6330" spans="1:11" x14ac:dyDescent="0.25">
      <c r="A6330" t="s">
        <v>9</v>
      </c>
      <c r="B6330" t="s">
        <v>160</v>
      </c>
      <c r="C6330" t="s">
        <v>872</v>
      </c>
      <c r="D6330" t="s">
        <v>11</v>
      </c>
      <c r="E6330">
        <v>28</v>
      </c>
      <c r="F6330" s="2">
        <f>DATE(2026,IF(Tabla1[[#This Row],[Mes de Fecha]]="Septiembre",9,10),Tabla1[[#This Row],[Día de Fecha]])</f>
        <v>46293</v>
      </c>
      <c r="I6330">
        <v>0</v>
      </c>
      <c r="J6330" s="1">
        <v>5162931</v>
      </c>
      <c r="K6330">
        <v>0</v>
      </c>
    </row>
    <row r="6331" spans="1:11" x14ac:dyDescent="0.25">
      <c r="A6331" t="s">
        <v>9</v>
      </c>
      <c r="B6331" t="s">
        <v>160</v>
      </c>
      <c r="C6331" t="s">
        <v>872</v>
      </c>
      <c r="D6331" t="s">
        <v>11</v>
      </c>
      <c r="E6331">
        <v>28</v>
      </c>
      <c r="F6331" s="2">
        <f>DATE(2026,IF(Tabla1[[#This Row],[Mes de Fecha]]="Septiembre",9,10),Tabla1[[#This Row],[Día de Fecha]])</f>
        <v>46293</v>
      </c>
      <c r="G6331">
        <v>1115721916</v>
      </c>
      <c r="H6331" t="s">
        <v>162</v>
      </c>
      <c r="I6331">
        <v>32</v>
      </c>
      <c r="J6331">
        <v>0</v>
      </c>
      <c r="K6331" s="1">
        <v>1544748</v>
      </c>
    </row>
    <row r="6332" spans="1:11" x14ac:dyDescent="0.25">
      <c r="A6332" t="s">
        <v>9</v>
      </c>
      <c r="B6332" t="s">
        <v>160</v>
      </c>
      <c r="C6332" t="s">
        <v>872</v>
      </c>
      <c r="D6332" t="s">
        <v>11</v>
      </c>
      <c r="E6332">
        <v>28</v>
      </c>
      <c r="F6332" s="2">
        <f>DATE(2026,IF(Tabla1[[#This Row],[Mes de Fecha]]="Septiembre",9,10),Tabla1[[#This Row],[Día de Fecha]])</f>
        <v>46293</v>
      </c>
      <c r="G6332">
        <v>1116868268</v>
      </c>
      <c r="H6332" t="s">
        <v>163</v>
      </c>
      <c r="I6332">
        <v>36</v>
      </c>
      <c r="J6332">
        <v>0</v>
      </c>
      <c r="K6332" s="1">
        <v>1729497</v>
      </c>
    </row>
    <row r="6333" spans="1:11" x14ac:dyDescent="0.25">
      <c r="A6333" t="s">
        <v>9</v>
      </c>
      <c r="B6333" t="s">
        <v>160</v>
      </c>
      <c r="C6333" t="s">
        <v>872</v>
      </c>
      <c r="D6333" t="s">
        <v>11</v>
      </c>
      <c r="E6333">
        <v>28</v>
      </c>
      <c r="F6333" s="2">
        <f>DATE(2026,IF(Tabla1[[#This Row],[Mes de Fecha]]="Septiembre",9,10),Tabla1[[#This Row],[Día de Fecha]])</f>
        <v>46293</v>
      </c>
      <c r="G6333">
        <v>1119181302</v>
      </c>
      <c r="H6333" t="s">
        <v>161</v>
      </c>
      <c r="I6333">
        <v>41</v>
      </c>
      <c r="J6333">
        <v>0</v>
      </c>
      <c r="K6333" s="1">
        <v>1962521</v>
      </c>
    </row>
    <row r="6334" spans="1:11" x14ac:dyDescent="0.25">
      <c r="A6334" t="s">
        <v>9</v>
      </c>
      <c r="B6334" t="s">
        <v>160</v>
      </c>
      <c r="C6334" t="s">
        <v>872</v>
      </c>
      <c r="D6334" t="s">
        <v>11</v>
      </c>
      <c r="E6334">
        <v>29</v>
      </c>
      <c r="F6334" s="2">
        <f>DATE(2026,IF(Tabla1[[#This Row],[Mes de Fecha]]="Septiembre",9,10),Tabla1[[#This Row],[Día de Fecha]])</f>
        <v>46294</v>
      </c>
      <c r="I6334">
        <v>0</v>
      </c>
      <c r="J6334" s="1">
        <v>5739649</v>
      </c>
      <c r="K6334">
        <v>0</v>
      </c>
    </row>
    <row r="6335" spans="1:11" x14ac:dyDescent="0.25">
      <c r="A6335" t="s">
        <v>9</v>
      </c>
      <c r="B6335" t="s">
        <v>160</v>
      </c>
      <c r="C6335" t="s">
        <v>872</v>
      </c>
      <c r="D6335" t="s">
        <v>11</v>
      </c>
      <c r="E6335">
        <v>29</v>
      </c>
      <c r="F6335" s="2">
        <f>DATE(2026,IF(Tabla1[[#This Row],[Mes de Fecha]]="Septiembre",9,10),Tabla1[[#This Row],[Día de Fecha]])</f>
        <v>46294</v>
      </c>
      <c r="G6335">
        <v>1115721916</v>
      </c>
      <c r="H6335" t="s">
        <v>162</v>
      </c>
      <c r="I6335">
        <v>36</v>
      </c>
      <c r="J6335">
        <v>0</v>
      </c>
      <c r="K6335" s="1">
        <v>1924833</v>
      </c>
    </row>
    <row r="6336" spans="1:11" x14ac:dyDescent="0.25">
      <c r="A6336" t="s">
        <v>9</v>
      </c>
      <c r="B6336" t="s">
        <v>160</v>
      </c>
      <c r="C6336" t="s">
        <v>872</v>
      </c>
      <c r="D6336" t="s">
        <v>11</v>
      </c>
      <c r="E6336">
        <v>29</v>
      </c>
      <c r="F6336" s="2">
        <f>DATE(2026,IF(Tabla1[[#This Row],[Mes de Fecha]]="Septiembre",9,10),Tabla1[[#This Row],[Día de Fecha]])</f>
        <v>46294</v>
      </c>
      <c r="G6336">
        <v>1116868268</v>
      </c>
      <c r="H6336" t="s">
        <v>163</v>
      </c>
      <c r="I6336">
        <v>42</v>
      </c>
      <c r="J6336">
        <v>0</v>
      </c>
      <c r="K6336" s="1">
        <v>2048195</v>
      </c>
    </row>
    <row r="6337" spans="1:11" x14ac:dyDescent="0.25">
      <c r="A6337" t="s">
        <v>9</v>
      </c>
      <c r="B6337" t="s">
        <v>160</v>
      </c>
      <c r="C6337" t="s">
        <v>872</v>
      </c>
      <c r="D6337" t="s">
        <v>11</v>
      </c>
      <c r="E6337">
        <v>29</v>
      </c>
      <c r="F6337" s="2">
        <f>DATE(2026,IF(Tabla1[[#This Row],[Mes de Fecha]]="Septiembre",9,10),Tabla1[[#This Row],[Día de Fecha]])</f>
        <v>46294</v>
      </c>
      <c r="G6337">
        <v>1119181302</v>
      </c>
      <c r="H6337" t="s">
        <v>161</v>
      </c>
      <c r="I6337">
        <v>34</v>
      </c>
      <c r="J6337">
        <v>0</v>
      </c>
      <c r="K6337" s="1">
        <v>1630757</v>
      </c>
    </row>
    <row r="6338" spans="1:11" x14ac:dyDescent="0.25">
      <c r="A6338" t="s">
        <v>9</v>
      </c>
      <c r="B6338" t="s">
        <v>160</v>
      </c>
      <c r="C6338" t="s">
        <v>872</v>
      </c>
      <c r="D6338" t="s">
        <v>11</v>
      </c>
      <c r="E6338">
        <v>30</v>
      </c>
      <c r="F6338" s="2">
        <f>DATE(2026,IF(Tabla1[[#This Row],[Mes de Fecha]]="Septiembre",9,10),Tabla1[[#This Row],[Día de Fecha]])</f>
        <v>46295</v>
      </c>
      <c r="I6338">
        <v>0</v>
      </c>
      <c r="J6338" s="1">
        <v>6078472</v>
      </c>
      <c r="K6338">
        <v>0</v>
      </c>
    </row>
    <row r="6339" spans="1:11" x14ac:dyDescent="0.25">
      <c r="A6339" t="s">
        <v>9</v>
      </c>
      <c r="B6339" t="s">
        <v>160</v>
      </c>
      <c r="C6339" t="s">
        <v>872</v>
      </c>
      <c r="D6339" t="s">
        <v>11</v>
      </c>
      <c r="E6339">
        <v>30</v>
      </c>
      <c r="F6339" s="2">
        <f>DATE(2026,IF(Tabla1[[#This Row],[Mes de Fecha]]="Septiembre",9,10),Tabla1[[#This Row],[Día de Fecha]])</f>
        <v>46295</v>
      </c>
      <c r="G6339">
        <v>1115721916</v>
      </c>
      <c r="H6339" t="s">
        <v>162</v>
      </c>
      <c r="I6339">
        <v>53</v>
      </c>
      <c r="J6339">
        <v>0</v>
      </c>
      <c r="K6339" s="1">
        <v>2749284</v>
      </c>
    </row>
    <row r="6340" spans="1:11" x14ac:dyDescent="0.25">
      <c r="A6340" t="s">
        <v>9</v>
      </c>
      <c r="B6340" t="s">
        <v>160</v>
      </c>
      <c r="C6340" t="s">
        <v>872</v>
      </c>
      <c r="D6340" t="s">
        <v>11</v>
      </c>
      <c r="E6340">
        <v>30</v>
      </c>
      <c r="F6340" s="2">
        <f>DATE(2026,IF(Tabla1[[#This Row],[Mes de Fecha]]="Septiembre",9,10),Tabla1[[#This Row],[Día de Fecha]])</f>
        <v>46295</v>
      </c>
      <c r="G6340">
        <v>1116868268</v>
      </c>
      <c r="H6340" t="s">
        <v>163</v>
      </c>
      <c r="I6340">
        <v>36</v>
      </c>
      <c r="J6340">
        <v>0</v>
      </c>
      <c r="K6340" s="1">
        <v>1599036</v>
      </c>
    </row>
    <row r="6341" spans="1:11" x14ac:dyDescent="0.25">
      <c r="A6341" t="s">
        <v>9</v>
      </c>
      <c r="B6341" t="s">
        <v>160</v>
      </c>
      <c r="C6341" t="s">
        <v>872</v>
      </c>
      <c r="D6341" t="s">
        <v>11</v>
      </c>
      <c r="E6341">
        <v>30</v>
      </c>
      <c r="F6341" s="2">
        <f>DATE(2026,IF(Tabla1[[#This Row],[Mes de Fecha]]="Septiembre",9,10),Tabla1[[#This Row],[Día de Fecha]])</f>
        <v>46295</v>
      </c>
      <c r="G6341">
        <v>1119181302</v>
      </c>
      <c r="H6341" t="s">
        <v>161</v>
      </c>
      <c r="I6341">
        <v>64</v>
      </c>
      <c r="J6341">
        <v>0</v>
      </c>
      <c r="K6341" s="1">
        <v>2845801</v>
      </c>
    </row>
    <row r="6342" spans="1:11" x14ac:dyDescent="0.25">
      <c r="A6342" t="s">
        <v>9</v>
      </c>
      <c r="B6342" t="s">
        <v>160</v>
      </c>
      <c r="C6342" t="s">
        <v>872</v>
      </c>
      <c r="D6342" t="s">
        <v>14</v>
      </c>
      <c r="E6342">
        <v>1</v>
      </c>
      <c r="F6342" s="2">
        <f>DATE(2026,IF(Tabla1[[#This Row],[Mes de Fecha]]="Septiembre",9,10),Tabla1[[#This Row],[Día de Fecha]])</f>
        <v>46296</v>
      </c>
      <c r="I6342">
        <v>0</v>
      </c>
      <c r="J6342" s="1">
        <v>5374201</v>
      </c>
      <c r="K6342">
        <v>0</v>
      </c>
    </row>
    <row r="6343" spans="1:11" x14ac:dyDescent="0.25">
      <c r="A6343" t="s">
        <v>9</v>
      </c>
      <c r="B6343" t="s">
        <v>160</v>
      </c>
      <c r="C6343" t="s">
        <v>872</v>
      </c>
      <c r="D6343" t="s">
        <v>14</v>
      </c>
      <c r="E6343">
        <v>1</v>
      </c>
      <c r="F6343" s="2">
        <f>DATE(2026,IF(Tabla1[[#This Row],[Mes de Fecha]]="Septiembre",9,10),Tabla1[[#This Row],[Día de Fecha]])</f>
        <v>46296</v>
      </c>
      <c r="G6343">
        <v>1115721916</v>
      </c>
      <c r="H6343" t="s">
        <v>162</v>
      </c>
      <c r="I6343">
        <v>35</v>
      </c>
      <c r="J6343">
        <v>0</v>
      </c>
      <c r="K6343" s="1">
        <v>1687397</v>
      </c>
    </row>
    <row r="6344" spans="1:11" x14ac:dyDescent="0.25">
      <c r="A6344" t="s">
        <v>9</v>
      </c>
      <c r="B6344" t="s">
        <v>160</v>
      </c>
      <c r="C6344" t="s">
        <v>872</v>
      </c>
      <c r="D6344" t="s">
        <v>14</v>
      </c>
      <c r="E6344">
        <v>1</v>
      </c>
      <c r="F6344" s="2">
        <f>DATE(2026,IF(Tabla1[[#This Row],[Mes de Fecha]]="Septiembre",9,10),Tabla1[[#This Row],[Día de Fecha]])</f>
        <v>46296</v>
      </c>
      <c r="G6344">
        <v>1116868268</v>
      </c>
      <c r="H6344" t="s">
        <v>163</v>
      </c>
      <c r="I6344">
        <v>33</v>
      </c>
      <c r="J6344">
        <v>0</v>
      </c>
      <c r="K6344" s="1">
        <v>2099285</v>
      </c>
    </row>
    <row r="6345" spans="1:11" x14ac:dyDescent="0.25">
      <c r="A6345" t="s">
        <v>9</v>
      </c>
      <c r="B6345" t="s">
        <v>160</v>
      </c>
      <c r="C6345" t="s">
        <v>872</v>
      </c>
      <c r="D6345" t="s">
        <v>14</v>
      </c>
      <c r="E6345">
        <v>1</v>
      </c>
      <c r="F6345" s="2">
        <f>DATE(2026,IF(Tabla1[[#This Row],[Mes de Fecha]]="Septiembre",9,10),Tabla1[[#This Row],[Día de Fecha]])</f>
        <v>46296</v>
      </c>
      <c r="G6345">
        <v>1119181302</v>
      </c>
      <c r="H6345" t="s">
        <v>161</v>
      </c>
      <c r="I6345">
        <v>37</v>
      </c>
      <c r="J6345">
        <v>0</v>
      </c>
      <c r="K6345" s="1">
        <v>1809246</v>
      </c>
    </row>
    <row r="6346" spans="1:11" x14ac:dyDescent="0.25">
      <c r="A6346" t="s">
        <v>9</v>
      </c>
      <c r="B6346" t="s">
        <v>160</v>
      </c>
      <c r="C6346" t="s">
        <v>872</v>
      </c>
      <c r="D6346" t="s">
        <v>14</v>
      </c>
      <c r="E6346">
        <v>2</v>
      </c>
      <c r="F6346" s="2">
        <f>DATE(2026,IF(Tabla1[[#This Row],[Mes de Fecha]]="Septiembre",9,10),Tabla1[[#This Row],[Día de Fecha]])</f>
        <v>46297</v>
      </c>
      <c r="I6346">
        <v>0</v>
      </c>
      <c r="J6346" s="1">
        <v>6579913</v>
      </c>
      <c r="K6346">
        <v>0</v>
      </c>
    </row>
    <row r="6347" spans="1:11" x14ac:dyDescent="0.25">
      <c r="A6347" t="s">
        <v>9</v>
      </c>
      <c r="B6347" t="s">
        <v>160</v>
      </c>
      <c r="C6347" t="s">
        <v>872</v>
      </c>
      <c r="D6347" t="s">
        <v>14</v>
      </c>
      <c r="E6347">
        <v>2</v>
      </c>
      <c r="F6347" s="2">
        <f>DATE(2026,IF(Tabla1[[#This Row],[Mes de Fecha]]="Septiembre",9,10),Tabla1[[#This Row],[Día de Fecha]])</f>
        <v>46297</v>
      </c>
      <c r="G6347">
        <v>1115721916</v>
      </c>
      <c r="H6347" t="s">
        <v>162</v>
      </c>
      <c r="I6347">
        <v>49</v>
      </c>
      <c r="J6347">
        <v>0</v>
      </c>
      <c r="K6347" s="1">
        <v>2257899</v>
      </c>
    </row>
    <row r="6348" spans="1:11" x14ac:dyDescent="0.25">
      <c r="A6348" t="s">
        <v>9</v>
      </c>
      <c r="B6348" t="s">
        <v>160</v>
      </c>
      <c r="C6348" t="s">
        <v>872</v>
      </c>
      <c r="D6348" t="s">
        <v>14</v>
      </c>
      <c r="E6348">
        <v>2</v>
      </c>
      <c r="F6348" s="2">
        <f>DATE(2026,IF(Tabla1[[#This Row],[Mes de Fecha]]="Septiembre",9,10),Tabla1[[#This Row],[Día de Fecha]])</f>
        <v>46297</v>
      </c>
      <c r="G6348">
        <v>1116868268</v>
      </c>
      <c r="H6348" t="s">
        <v>163</v>
      </c>
      <c r="I6348">
        <v>31</v>
      </c>
      <c r="J6348">
        <v>0</v>
      </c>
      <c r="K6348" s="1">
        <v>1574245</v>
      </c>
    </row>
    <row r="6349" spans="1:11" x14ac:dyDescent="0.25">
      <c r="A6349" t="s">
        <v>9</v>
      </c>
      <c r="B6349" t="s">
        <v>160</v>
      </c>
      <c r="C6349" t="s">
        <v>872</v>
      </c>
      <c r="D6349" t="s">
        <v>14</v>
      </c>
      <c r="E6349">
        <v>2</v>
      </c>
      <c r="F6349" s="2">
        <f>DATE(2026,IF(Tabla1[[#This Row],[Mes de Fecha]]="Septiembre",9,10),Tabla1[[#This Row],[Día de Fecha]])</f>
        <v>46297</v>
      </c>
      <c r="G6349">
        <v>1119181302</v>
      </c>
      <c r="H6349" t="s">
        <v>161</v>
      </c>
      <c r="I6349">
        <v>45</v>
      </c>
      <c r="J6349">
        <v>0</v>
      </c>
      <c r="K6349" s="1">
        <v>2020804</v>
      </c>
    </row>
    <row r="6350" spans="1:11" x14ac:dyDescent="0.25">
      <c r="A6350" t="s">
        <v>9</v>
      </c>
      <c r="B6350" t="s">
        <v>160</v>
      </c>
      <c r="C6350" t="s">
        <v>872</v>
      </c>
      <c r="D6350" t="s">
        <v>14</v>
      </c>
      <c r="E6350">
        <v>3</v>
      </c>
      <c r="F6350" s="2">
        <f>DATE(2026,IF(Tabla1[[#This Row],[Mes de Fecha]]="Septiembre",9,10),Tabla1[[#This Row],[Día de Fecha]])</f>
        <v>46298</v>
      </c>
      <c r="I6350">
        <v>0</v>
      </c>
      <c r="J6350" s="1">
        <v>6213832</v>
      </c>
      <c r="K6350">
        <v>0</v>
      </c>
    </row>
    <row r="6351" spans="1:11" x14ac:dyDescent="0.25">
      <c r="A6351" t="s">
        <v>9</v>
      </c>
      <c r="B6351" t="s">
        <v>160</v>
      </c>
      <c r="C6351" t="s">
        <v>872</v>
      </c>
      <c r="D6351" t="s">
        <v>14</v>
      </c>
      <c r="E6351">
        <v>3</v>
      </c>
      <c r="F6351" s="2">
        <f>DATE(2026,IF(Tabla1[[#This Row],[Mes de Fecha]]="Septiembre",9,10),Tabla1[[#This Row],[Día de Fecha]])</f>
        <v>46298</v>
      </c>
      <c r="G6351">
        <v>1115721916</v>
      </c>
      <c r="H6351" t="s">
        <v>162</v>
      </c>
      <c r="I6351">
        <v>43</v>
      </c>
      <c r="J6351">
        <v>0</v>
      </c>
      <c r="K6351" s="1">
        <v>2115479</v>
      </c>
    </row>
    <row r="6352" spans="1:11" x14ac:dyDescent="0.25">
      <c r="A6352" t="s">
        <v>9</v>
      </c>
      <c r="B6352" t="s">
        <v>160</v>
      </c>
      <c r="C6352" t="s">
        <v>872</v>
      </c>
      <c r="D6352" t="s">
        <v>14</v>
      </c>
      <c r="E6352">
        <v>3</v>
      </c>
      <c r="F6352" s="2">
        <f>DATE(2026,IF(Tabla1[[#This Row],[Mes de Fecha]]="Septiembre",9,10),Tabla1[[#This Row],[Día de Fecha]])</f>
        <v>46298</v>
      </c>
      <c r="G6352">
        <v>1116868268</v>
      </c>
      <c r="H6352" t="s">
        <v>163</v>
      </c>
      <c r="I6352">
        <v>44</v>
      </c>
      <c r="J6352">
        <v>0</v>
      </c>
      <c r="K6352" s="1">
        <v>2305849</v>
      </c>
    </row>
    <row r="6353" spans="1:11" x14ac:dyDescent="0.25">
      <c r="A6353" t="s">
        <v>9</v>
      </c>
      <c r="B6353" t="s">
        <v>160</v>
      </c>
      <c r="C6353" t="s">
        <v>872</v>
      </c>
      <c r="D6353" t="s">
        <v>14</v>
      </c>
      <c r="E6353">
        <v>3</v>
      </c>
      <c r="F6353" s="2">
        <f>DATE(2026,IF(Tabla1[[#This Row],[Mes de Fecha]]="Septiembre",9,10),Tabla1[[#This Row],[Día de Fecha]])</f>
        <v>46298</v>
      </c>
      <c r="G6353">
        <v>1119181302</v>
      </c>
      <c r="H6353" t="s">
        <v>161</v>
      </c>
      <c r="I6353">
        <v>51</v>
      </c>
      <c r="J6353">
        <v>0</v>
      </c>
      <c r="K6353" s="1">
        <v>2428825</v>
      </c>
    </row>
    <row r="6354" spans="1:11" x14ac:dyDescent="0.25">
      <c r="A6354" t="s">
        <v>9</v>
      </c>
      <c r="B6354" t="s">
        <v>160</v>
      </c>
      <c r="C6354" t="s">
        <v>872</v>
      </c>
      <c r="D6354" t="s">
        <v>14</v>
      </c>
      <c r="E6354">
        <v>4</v>
      </c>
      <c r="F6354" s="2">
        <f>DATE(2026,IF(Tabla1[[#This Row],[Mes de Fecha]]="Septiembre",9,10),Tabla1[[#This Row],[Día de Fecha]])</f>
        <v>46299</v>
      </c>
      <c r="I6354">
        <v>0</v>
      </c>
      <c r="J6354" s="1">
        <v>5147582</v>
      </c>
      <c r="K6354">
        <v>0</v>
      </c>
    </row>
    <row r="6355" spans="1:11" x14ac:dyDescent="0.25">
      <c r="A6355" t="s">
        <v>9</v>
      </c>
      <c r="B6355" t="s">
        <v>160</v>
      </c>
      <c r="C6355" t="s">
        <v>872</v>
      </c>
      <c r="D6355" t="s">
        <v>14</v>
      </c>
      <c r="E6355">
        <v>4</v>
      </c>
      <c r="F6355" s="2">
        <f>DATE(2026,IF(Tabla1[[#This Row],[Mes de Fecha]]="Septiembre",9,10),Tabla1[[#This Row],[Día de Fecha]])</f>
        <v>46299</v>
      </c>
      <c r="G6355">
        <v>1115721916</v>
      </c>
      <c r="H6355" t="s">
        <v>162</v>
      </c>
      <c r="I6355">
        <v>44</v>
      </c>
      <c r="J6355">
        <v>0</v>
      </c>
      <c r="K6355" s="1">
        <v>2100762</v>
      </c>
    </row>
    <row r="6356" spans="1:11" x14ac:dyDescent="0.25">
      <c r="A6356" t="s">
        <v>9</v>
      </c>
      <c r="B6356" t="s">
        <v>160</v>
      </c>
      <c r="C6356" t="s">
        <v>872</v>
      </c>
      <c r="D6356" t="s">
        <v>14</v>
      </c>
      <c r="E6356">
        <v>4</v>
      </c>
      <c r="F6356" s="2">
        <f>DATE(2026,IF(Tabla1[[#This Row],[Mes de Fecha]]="Septiembre",9,10),Tabla1[[#This Row],[Día de Fecha]])</f>
        <v>46299</v>
      </c>
      <c r="G6356">
        <v>1116868268</v>
      </c>
      <c r="H6356" t="s">
        <v>163</v>
      </c>
      <c r="I6356">
        <v>6</v>
      </c>
      <c r="J6356">
        <v>0</v>
      </c>
      <c r="K6356" s="1">
        <v>314831</v>
      </c>
    </row>
    <row r="6357" spans="1:11" x14ac:dyDescent="0.25">
      <c r="A6357" t="s">
        <v>9</v>
      </c>
      <c r="B6357" t="s">
        <v>160</v>
      </c>
      <c r="C6357" t="s">
        <v>872</v>
      </c>
      <c r="D6357" t="s">
        <v>14</v>
      </c>
      <c r="E6357">
        <v>4</v>
      </c>
      <c r="F6357" s="2">
        <f>DATE(2026,IF(Tabla1[[#This Row],[Mes de Fecha]]="Septiembre",9,10),Tabla1[[#This Row],[Día de Fecha]])</f>
        <v>46299</v>
      </c>
      <c r="G6357">
        <v>1119181302</v>
      </c>
      <c r="H6357" t="s">
        <v>161</v>
      </c>
      <c r="I6357">
        <v>54</v>
      </c>
      <c r="J6357">
        <v>0</v>
      </c>
      <c r="K6357" s="1">
        <v>2520592</v>
      </c>
    </row>
    <row r="6358" spans="1:11" x14ac:dyDescent="0.25">
      <c r="A6358" t="s">
        <v>9</v>
      </c>
      <c r="B6358" t="s">
        <v>160</v>
      </c>
      <c r="C6358" t="s">
        <v>872</v>
      </c>
      <c r="D6358" t="s">
        <v>14</v>
      </c>
      <c r="E6358">
        <v>5</v>
      </c>
      <c r="F6358" s="2">
        <f>DATE(2026,IF(Tabla1[[#This Row],[Mes de Fecha]]="Septiembre",9,10),Tabla1[[#This Row],[Día de Fecha]])</f>
        <v>46300</v>
      </c>
      <c r="I6358">
        <v>0</v>
      </c>
      <c r="J6358" s="1">
        <v>3090384</v>
      </c>
      <c r="K6358">
        <v>0</v>
      </c>
    </row>
    <row r="6359" spans="1:11" x14ac:dyDescent="0.25">
      <c r="A6359" t="s">
        <v>9</v>
      </c>
      <c r="B6359" t="s">
        <v>160</v>
      </c>
      <c r="C6359" t="s">
        <v>872</v>
      </c>
      <c r="D6359" t="s">
        <v>14</v>
      </c>
      <c r="E6359">
        <v>5</v>
      </c>
      <c r="F6359" s="2">
        <f>DATE(2026,IF(Tabla1[[#This Row],[Mes de Fecha]]="Septiembre",9,10),Tabla1[[#This Row],[Día de Fecha]])</f>
        <v>46300</v>
      </c>
      <c r="G6359">
        <v>1115721916</v>
      </c>
      <c r="H6359" t="s">
        <v>162</v>
      </c>
      <c r="I6359">
        <v>26</v>
      </c>
      <c r="J6359">
        <v>0</v>
      </c>
      <c r="K6359" s="1">
        <v>1477817</v>
      </c>
    </row>
    <row r="6360" spans="1:11" x14ac:dyDescent="0.25">
      <c r="A6360" t="s">
        <v>9</v>
      </c>
      <c r="B6360" t="s">
        <v>160</v>
      </c>
      <c r="C6360" t="s">
        <v>872</v>
      </c>
      <c r="D6360" t="s">
        <v>14</v>
      </c>
      <c r="E6360">
        <v>5</v>
      </c>
      <c r="F6360" s="2">
        <f>DATE(2026,IF(Tabla1[[#This Row],[Mes de Fecha]]="Septiembre",9,10),Tabla1[[#This Row],[Día de Fecha]])</f>
        <v>46300</v>
      </c>
      <c r="G6360">
        <v>1116868268</v>
      </c>
      <c r="H6360" t="s">
        <v>163</v>
      </c>
      <c r="I6360">
        <v>30</v>
      </c>
      <c r="J6360">
        <v>0</v>
      </c>
      <c r="K6360" s="1">
        <v>1536553</v>
      </c>
    </row>
    <row r="6361" spans="1:11" x14ac:dyDescent="0.25">
      <c r="A6361" t="s">
        <v>9</v>
      </c>
      <c r="B6361" t="s">
        <v>160</v>
      </c>
      <c r="C6361" t="s">
        <v>872</v>
      </c>
      <c r="D6361" t="s">
        <v>14</v>
      </c>
      <c r="E6361">
        <v>5</v>
      </c>
      <c r="F6361" s="2">
        <f>DATE(2026,IF(Tabla1[[#This Row],[Mes de Fecha]]="Septiembre",9,10),Tabla1[[#This Row],[Día de Fecha]])</f>
        <v>46300</v>
      </c>
      <c r="G6361">
        <v>1119181302</v>
      </c>
      <c r="H6361" t="s">
        <v>161</v>
      </c>
      <c r="I6361">
        <v>38</v>
      </c>
      <c r="J6361">
        <v>0</v>
      </c>
      <c r="K6361" s="1">
        <v>1783655</v>
      </c>
    </row>
    <row r="6362" spans="1:11" x14ac:dyDescent="0.25">
      <c r="A6362" t="s">
        <v>9</v>
      </c>
      <c r="B6362" t="s">
        <v>160</v>
      </c>
      <c r="C6362" t="s">
        <v>872</v>
      </c>
      <c r="D6362" t="s">
        <v>14</v>
      </c>
      <c r="E6362">
        <v>6</v>
      </c>
      <c r="F6362" s="2">
        <f>DATE(2026,IF(Tabla1[[#This Row],[Mes de Fecha]]="Septiembre",9,10),Tabla1[[#This Row],[Día de Fecha]])</f>
        <v>46301</v>
      </c>
      <c r="I6362">
        <v>0</v>
      </c>
      <c r="J6362" s="1">
        <v>2193694</v>
      </c>
      <c r="K6362">
        <v>0</v>
      </c>
    </row>
    <row r="6363" spans="1:11" x14ac:dyDescent="0.25">
      <c r="A6363" t="s">
        <v>9</v>
      </c>
      <c r="B6363" t="s">
        <v>160</v>
      </c>
      <c r="C6363" t="s">
        <v>872</v>
      </c>
      <c r="D6363" t="s">
        <v>14</v>
      </c>
      <c r="E6363">
        <v>6</v>
      </c>
      <c r="F6363" s="2">
        <f>DATE(2026,IF(Tabla1[[#This Row],[Mes de Fecha]]="Septiembre",9,10),Tabla1[[#This Row],[Día de Fecha]])</f>
        <v>46301</v>
      </c>
      <c r="G6363">
        <v>1115721916</v>
      </c>
      <c r="H6363" t="s">
        <v>162</v>
      </c>
      <c r="I6363">
        <v>22</v>
      </c>
      <c r="J6363">
        <v>0</v>
      </c>
      <c r="K6363" s="1">
        <v>1269144</v>
      </c>
    </row>
    <row r="6364" spans="1:11" x14ac:dyDescent="0.25">
      <c r="A6364" t="s">
        <v>9</v>
      </c>
      <c r="B6364" t="s">
        <v>160</v>
      </c>
      <c r="C6364" t="s">
        <v>872</v>
      </c>
      <c r="D6364" t="s">
        <v>14</v>
      </c>
      <c r="E6364">
        <v>6</v>
      </c>
      <c r="F6364" s="2">
        <f>DATE(2026,IF(Tabla1[[#This Row],[Mes de Fecha]]="Septiembre",9,10),Tabla1[[#This Row],[Día de Fecha]])</f>
        <v>46301</v>
      </c>
      <c r="G6364">
        <v>1116868268</v>
      </c>
      <c r="H6364" t="s">
        <v>163</v>
      </c>
      <c r="I6364">
        <v>27</v>
      </c>
      <c r="J6364">
        <v>0</v>
      </c>
      <c r="K6364" s="1">
        <v>1406219</v>
      </c>
    </row>
    <row r="6365" spans="1:11" x14ac:dyDescent="0.25">
      <c r="A6365" t="s">
        <v>9</v>
      </c>
      <c r="B6365" t="s">
        <v>160</v>
      </c>
      <c r="C6365" t="s">
        <v>872</v>
      </c>
      <c r="D6365" t="s">
        <v>14</v>
      </c>
      <c r="E6365">
        <v>6</v>
      </c>
      <c r="F6365" s="2">
        <f>DATE(2026,IF(Tabla1[[#This Row],[Mes de Fecha]]="Septiembre",9,10),Tabla1[[#This Row],[Día de Fecha]])</f>
        <v>46301</v>
      </c>
      <c r="G6365">
        <v>1119181302</v>
      </c>
      <c r="H6365" t="s">
        <v>161</v>
      </c>
      <c r="I6365">
        <v>11</v>
      </c>
      <c r="J6365">
        <v>0</v>
      </c>
      <c r="K6365" s="1">
        <v>570881</v>
      </c>
    </row>
    <row r="6366" spans="1:11" x14ac:dyDescent="0.25">
      <c r="A6366" t="s">
        <v>9</v>
      </c>
      <c r="B6366" t="s">
        <v>160</v>
      </c>
      <c r="C6366" t="s">
        <v>872</v>
      </c>
      <c r="D6366" t="s">
        <v>14</v>
      </c>
      <c r="E6366">
        <v>7</v>
      </c>
      <c r="F6366" s="2">
        <f>DATE(2026,IF(Tabla1[[#This Row],[Mes de Fecha]]="Septiembre",9,10),Tabla1[[#This Row],[Día de Fecha]])</f>
        <v>46302</v>
      </c>
      <c r="I6366">
        <v>0</v>
      </c>
      <c r="J6366" s="1">
        <v>2706494</v>
      </c>
      <c r="K6366">
        <v>0</v>
      </c>
    </row>
    <row r="6367" spans="1:11" x14ac:dyDescent="0.25">
      <c r="A6367" t="s">
        <v>9</v>
      </c>
      <c r="B6367" t="s">
        <v>160</v>
      </c>
      <c r="C6367" t="s">
        <v>872</v>
      </c>
      <c r="D6367" t="s">
        <v>14</v>
      </c>
      <c r="E6367">
        <v>7</v>
      </c>
      <c r="F6367" s="2">
        <f>DATE(2026,IF(Tabla1[[#This Row],[Mes de Fecha]]="Septiembre",9,10),Tabla1[[#This Row],[Día de Fecha]])</f>
        <v>46302</v>
      </c>
      <c r="G6367">
        <v>1116868268</v>
      </c>
      <c r="H6367" t="s">
        <v>163</v>
      </c>
      <c r="I6367">
        <v>47</v>
      </c>
      <c r="J6367">
        <v>0</v>
      </c>
      <c r="K6367" s="1">
        <v>1942903</v>
      </c>
    </row>
    <row r="6368" spans="1:11" x14ac:dyDescent="0.25">
      <c r="A6368" t="s">
        <v>9</v>
      </c>
      <c r="B6368" t="s">
        <v>160</v>
      </c>
      <c r="C6368" t="s">
        <v>872</v>
      </c>
      <c r="D6368" t="s">
        <v>14</v>
      </c>
      <c r="E6368">
        <v>7</v>
      </c>
      <c r="F6368" s="2">
        <f>DATE(2026,IF(Tabla1[[#This Row],[Mes de Fecha]]="Septiembre",9,10),Tabla1[[#This Row],[Día de Fecha]])</f>
        <v>46302</v>
      </c>
      <c r="G6368">
        <v>1119181302</v>
      </c>
      <c r="H6368" t="s">
        <v>161</v>
      </c>
      <c r="I6368">
        <v>40</v>
      </c>
      <c r="J6368">
        <v>0</v>
      </c>
      <c r="K6368" s="1">
        <v>2113490</v>
      </c>
    </row>
    <row r="6369" spans="1:11" x14ac:dyDescent="0.25">
      <c r="A6369" t="s">
        <v>9</v>
      </c>
      <c r="B6369" t="s">
        <v>171</v>
      </c>
      <c r="C6369" t="s">
        <v>872</v>
      </c>
      <c r="D6369" t="s">
        <v>11</v>
      </c>
      <c r="E6369">
        <v>23</v>
      </c>
      <c r="F6369" s="2">
        <f>DATE(2026,IF(Tabla1[[#This Row],[Mes de Fecha]]="Septiembre",9,10),Tabla1[[#This Row],[Día de Fecha]])</f>
        <v>46288</v>
      </c>
      <c r="I6369">
        <v>0</v>
      </c>
      <c r="J6369" s="1">
        <v>3657254</v>
      </c>
      <c r="K6369">
        <v>0</v>
      </c>
    </row>
    <row r="6370" spans="1:11" x14ac:dyDescent="0.25">
      <c r="A6370" t="s">
        <v>9</v>
      </c>
      <c r="B6370" t="s">
        <v>171</v>
      </c>
      <c r="C6370" t="s">
        <v>872</v>
      </c>
      <c r="D6370" t="s">
        <v>11</v>
      </c>
      <c r="E6370">
        <v>23</v>
      </c>
      <c r="F6370" s="2">
        <f>DATE(2026,IF(Tabla1[[#This Row],[Mes de Fecha]]="Septiembre",9,10),Tabla1[[#This Row],[Día de Fecha]])</f>
        <v>46288</v>
      </c>
      <c r="G6370">
        <v>1120375006</v>
      </c>
      <c r="H6370" t="s">
        <v>175</v>
      </c>
      <c r="I6370">
        <v>11</v>
      </c>
      <c r="J6370">
        <v>0</v>
      </c>
      <c r="K6370" s="1">
        <v>545757</v>
      </c>
    </row>
    <row r="6371" spans="1:11" x14ac:dyDescent="0.25">
      <c r="A6371" t="s">
        <v>9</v>
      </c>
      <c r="B6371" t="s">
        <v>171</v>
      </c>
      <c r="C6371" t="s">
        <v>872</v>
      </c>
      <c r="D6371" t="s">
        <v>11</v>
      </c>
      <c r="E6371">
        <v>23</v>
      </c>
      <c r="F6371" s="2">
        <f>DATE(2026,IF(Tabla1[[#This Row],[Mes de Fecha]]="Septiembre",9,10),Tabla1[[#This Row],[Día de Fecha]])</f>
        <v>46288</v>
      </c>
      <c r="G6371">
        <v>1121835267</v>
      </c>
      <c r="H6371" t="s">
        <v>173</v>
      </c>
      <c r="I6371">
        <v>44</v>
      </c>
      <c r="J6371">
        <v>0</v>
      </c>
      <c r="K6371" s="1">
        <v>2386808</v>
      </c>
    </row>
    <row r="6372" spans="1:11" x14ac:dyDescent="0.25">
      <c r="A6372" t="s">
        <v>9</v>
      </c>
      <c r="B6372" t="s">
        <v>171</v>
      </c>
      <c r="C6372" t="s">
        <v>872</v>
      </c>
      <c r="D6372" t="s">
        <v>11</v>
      </c>
      <c r="E6372">
        <v>23</v>
      </c>
      <c r="F6372" s="2">
        <f>DATE(2026,IF(Tabla1[[#This Row],[Mes de Fecha]]="Septiembre",9,10),Tabla1[[#This Row],[Día de Fecha]])</f>
        <v>46288</v>
      </c>
      <c r="G6372">
        <v>1122506891</v>
      </c>
      <c r="H6372" t="s">
        <v>174</v>
      </c>
      <c r="I6372">
        <v>27</v>
      </c>
      <c r="J6372">
        <v>0</v>
      </c>
      <c r="K6372" s="1">
        <v>1414835</v>
      </c>
    </row>
    <row r="6373" spans="1:11" x14ac:dyDescent="0.25">
      <c r="A6373" t="s">
        <v>9</v>
      </c>
      <c r="B6373" t="s">
        <v>171</v>
      </c>
      <c r="C6373" t="s">
        <v>872</v>
      </c>
      <c r="D6373" t="s">
        <v>11</v>
      </c>
      <c r="E6373">
        <v>23</v>
      </c>
      <c r="F6373" s="2">
        <f>DATE(2026,IF(Tabla1[[#This Row],[Mes de Fecha]]="Septiembre",9,10),Tabla1[[#This Row],[Día de Fecha]])</f>
        <v>46288</v>
      </c>
      <c r="G6373">
        <v>1123561438</v>
      </c>
      <c r="H6373" t="s">
        <v>176</v>
      </c>
      <c r="I6373">
        <v>10</v>
      </c>
      <c r="J6373">
        <v>0</v>
      </c>
      <c r="K6373" s="1">
        <v>465967</v>
      </c>
    </row>
    <row r="6374" spans="1:11" x14ac:dyDescent="0.25">
      <c r="A6374" t="s">
        <v>9</v>
      </c>
      <c r="B6374" t="s">
        <v>171</v>
      </c>
      <c r="C6374" t="s">
        <v>872</v>
      </c>
      <c r="D6374" t="s">
        <v>11</v>
      </c>
      <c r="E6374">
        <v>24</v>
      </c>
      <c r="F6374" s="2">
        <f>DATE(2026,IF(Tabla1[[#This Row],[Mes de Fecha]]="Septiembre",9,10),Tabla1[[#This Row],[Día de Fecha]])</f>
        <v>46289</v>
      </c>
      <c r="I6374">
        <v>0</v>
      </c>
      <c r="J6374" s="1">
        <v>9458361</v>
      </c>
      <c r="K6374">
        <v>0</v>
      </c>
    </row>
    <row r="6375" spans="1:11" x14ac:dyDescent="0.25">
      <c r="A6375" t="s">
        <v>9</v>
      </c>
      <c r="B6375" t="s">
        <v>171</v>
      </c>
      <c r="C6375" t="s">
        <v>872</v>
      </c>
      <c r="D6375" t="s">
        <v>11</v>
      </c>
      <c r="E6375">
        <v>24</v>
      </c>
      <c r="F6375" s="2">
        <f>DATE(2026,IF(Tabla1[[#This Row],[Mes de Fecha]]="Septiembre",9,10),Tabla1[[#This Row],[Día de Fecha]])</f>
        <v>46289</v>
      </c>
      <c r="G6375">
        <v>93368493</v>
      </c>
      <c r="H6375" t="s">
        <v>172</v>
      </c>
      <c r="I6375">
        <v>-1</v>
      </c>
      <c r="J6375">
        <v>0</v>
      </c>
      <c r="K6375" s="1">
        <v>-100756</v>
      </c>
    </row>
    <row r="6376" spans="1:11" x14ac:dyDescent="0.25">
      <c r="A6376" t="s">
        <v>9</v>
      </c>
      <c r="B6376" t="s">
        <v>171</v>
      </c>
      <c r="C6376" t="s">
        <v>872</v>
      </c>
      <c r="D6376" t="s">
        <v>11</v>
      </c>
      <c r="E6376">
        <v>24</v>
      </c>
      <c r="F6376" s="2">
        <f>DATE(2026,IF(Tabla1[[#This Row],[Mes de Fecha]]="Septiembre",9,10),Tabla1[[#This Row],[Día de Fecha]])</f>
        <v>46289</v>
      </c>
      <c r="G6376">
        <v>1120375006</v>
      </c>
      <c r="H6376" t="s">
        <v>175</v>
      </c>
      <c r="I6376">
        <v>43</v>
      </c>
      <c r="J6376">
        <v>0</v>
      </c>
      <c r="K6376" s="1">
        <v>2460380</v>
      </c>
    </row>
    <row r="6377" spans="1:11" x14ac:dyDescent="0.25">
      <c r="A6377" t="s">
        <v>9</v>
      </c>
      <c r="B6377" t="s">
        <v>171</v>
      </c>
      <c r="C6377" t="s">
        <v>872</v>
      </c>
      <c r="D6377" t="s">
        <v>11</v>
      </c>
      <c r="E6377">
        <v>24</v>
      </c>
      <c r="F6377" s="2">
        <f>DATE(2026,IF(Tabla1[[#This Row],[Mes de Fecha]]="Septiembre",9,10),Tabla1[[#This Row],[Día de Fecha]])</f>
        <v>46289</v>
      </c>
      <c r="G6377">
        <v>1121835267</v>
      </c>
      <c r="H6377" t="s">
        <v>173</v>
      </c>
      <c r="I6377">
        <v>61</v>
      </c>
      <c r="J6377">
        <v>0</v>
      </c>
      <c r="K6377" s="1">
        <v>3106726</v>
      </c>
    </row>
    <row r="6378" spans="1:11" x14ac:dyDescent="0.25">
      <c r="A6378" t="s">
        <v>9</v>
      </c>
      <c r="B6378" t="s">
        <v>171</v>
      </c>
      <c r="C6378" t="s">
        <v>872</v>
      </c>
      <c r="D6378" t="s">
        <v>11</v>
      </c>
      <c r="E6378">
        <v>24</v>
      </c>
      <c r="F6378" s="2">
        <f>DATE(2026,IF(Tabla1[[#This Row],[Mes de Fecha]]="Septiembre",9,10),Tabla1[[#This Row],[Día de Fecha]])</f>
        <v>46289</v>
      </c>
      <c r="G6378">
        <v>1121869736</v>
      </c>
      <c r="H6378" t="s">
        <v>177</v>
      </c>
      <c r="I6378">
        <v>1</v>
      </c>
      <c r="J6378">
        <v>0</v>
      </c>
      <c r="K6378" s="1">
        <v>105000</v>
      </c>
    </row>
    <row r="6379" spans="1:11" x14ac:dyDescent="0.25">
      <c r="A6379" t="s">
        <v>9</v>
      </c>
      <c r="B6379" t="s">
        <v>171</v>
      </c>
      <c r="C6379" t="s">
        <v>872</v>
      </c>
      <c r="D6379" t="s">
        <v>11</v>
      </c>
      <c r="E6379">
        <v>24</v>
      </c>
      <c r="F6379" s="2">
        <f>DATE(2026,IF(Tabla1[[#This Row],[Mes de Fecha]]="Septiembre",9,10),Tabla1[[#This Row],[Día de Fecha]])</f>
        <v>46289</v>
      </c>
      <c r="G6379">
        <v>1123561438</v>
      </c>
      <c r="H6379" t="s">
        <v>176</v>
      </c>
      <c r="I6379">
        <v>37</v>
      </c>
      <c r="J6379">
        <v>0</v>
      </c>
      <c r="K6379" s="1">
        <v>2380799</v>
      </c>
    </row>
    <row r="6380" spans="1:11" x14ac:dyDescent="0.25">
      <c r="A6380" t="s">
        <v>9</v>
      </c>
      <c r="B6380" t="s">
        <v>171</v>
      </c>
      <c r="C6380" t="s">
        <v>872</v>
      </c>
      <c r="D6380" t="s">
        <v>11</v>
      </c>
      <c r="E6380">
        <v>25</v>
      </c>
      <c r="F6380" s="2">
        <f>DATE(2026,IF(Tabla1[[#This Row],[Mes de Fecha]]="Septiembre",9,10),Tabla1[[#This Row],[Día de Fecha]])</f>
        <v>46290</v>
      </c>
      <c r="I6380">
        <v>0</v>
      </c>
      <c r="J6380" s="1">
        <v>10102045</v>
      </c>
      <c r="K6380">
        <v>0</v>
      </c>
    </row>
    <row r="6381" spans="1:11" x14ac:dyDescent="0.25">
      <c r="A6381" t="s">
        <v>9</v>
      </c>
      <c r="B6381" t="s">
        <v>171</v>
      </c>
      <c r="C6381" t="s">
        <v>872</v>
      </c>
      <c r="D6381" t="s">
        <v>11</v>
      </c>
      <c r="E6381">
        <v>25</v>
      </c>
      <c r="F6381" s="2">
        <f>DATE(2026,IF(Tabla1[[#This Row],[Mes de Fecha]]="Septiembre",9,10),Tabla1[[#This Row],[Día de Fecha]])</f>
        <v>46290</v>
      </c>
      <c r="G6381">
        <v>1120375006</v>
      </c>
      <c r="H6381" t="s">
        <v>175</v>
      </c>
      <c r="I6381">
        <v>38</v>
      </c>
      <c r="J6381">
        <v>0</v>
      </c>
      <c r="K6381" s="1">
        <v>2298827</v>
      </c>
    </row>
    <row r="6382" spans="1:11" x14ac:dyDescent="0.25">
      <c r="A6382" t="s">
        <v>9</v>
      </c>
      <c r="B6382" t="s">
        <v>171</v>
      </c>
      <c r="C6382" t="s">
        <v>872</v>
      </c>
      <c r="D6382" t="s">
        <v>11</v>
      </c>
      <c r="E6382">
        <v>25</v>
      </c>
      <c r="F6382" s="2">
        <f>DATE(2026,IF(Tabla1[[#This Row],[Mes de Fecha]]="Septiembre",9,10),Tabla1[[#This Row],[Día de Fecha]])</f>
        <v>46290</v>
      </c>
      <c r="G6382">
        <v>1121835267</v>
      </c>
      <c r="H6382" t="s">
        <v>173</v>
      </c>
      <c r="I6382">
        <v>46</v>
      </c>
      <c r="J6382">
        <v>0</v>
      </c>
      <c r="K6382" s="1">
        <v>2619918</v>
      </c>
    </row>
    <row r="6383" spans="1:11" x14ac:dyDescent="0.25">
      <c r="A6383" t="s">
        <v>9</v>
      </c>
      <c r="B6383" t="s">
        <v>171</v>
      </c>
      <c r="C6383" t="s">
        <v>872</v>
      </c>
      <c r="D6383" t="s">
        <v>11</v>
      </c>
      <c r="E6383">
        <v>25</v>
      </c>
      <c r="F6383" s="2">
        <f>DATE(2026,IF(Tabla1[[#This Row],[Mes de Fecha]]="Septiembre",9,10),Tabla1[[#This Row],[Día de Fecha]])</f>
        <v>46290</v>
      </c>
      <c r="G6383">
        <v>1121869736</v>
      </c>
      <c r="H6383" t="s">
        <v>177</v>
      </c>
      <c r="I6383">
        <v>3</v>
      </c>
      <c r="J6383">
        <v>0</v>
      </c>
      <c r="K6383" s="1">
        <v>155336</v>
      </c>
    </row>
    <row r="6384" spans="1:11" x14ac:dyDescent="0.25">
      <c r="A6384" t="s">
        <v>9</v>
      </c>
      <c r="B6384" t="s">
        <v>171</v>
      </c>
      <c r="C6384" t="s">
        <v>872</v>
      </c>
      <c r="D6384" t="s">
        <v>11</v>
      </c>
      <c r="E6384">
        <v>25</v>
      </c>
      <c r="F6384" s="2">
        <f>DATE(2026,IF(Tabla1[[#This Row],[Mes de Fecha]]="Septiembre",9,10),Tabla1[[#This Row],[Día de Fecha]])</f>
        <v>46290</v>
      </c>
      <c r="G6384">
        <v>1122506891</v>
      </c>
      <c r="H6384" t="s">
        <v>174</v>
      </c>
      <c r="I6384">
        <v>23</v>
      </c>
      <c r="J6384">
        <v>0</v>
      </c>
      <c r="K6384" s="1">
        <v>1339370</v>
      </c>
    </row>
    <row r="6385" spans="1:11" x14ac:dyDescent="0.25">
      <c r="A6385" t="s">
        <v>9</v>
      </c>
      <c r="B6385" t="s">
        <v>171</v>
      </c>
      <c r="C6385" t="s">
        <v>872</v>
      </c>
      <c r="D6385" t="s">
        <v>11</v>
      </c>
      <c r="E6385">
        <v>25</v>
      </c>
      <c r="F6385" s="2">
        <f>DATE(2026,IF(Tabla1[[#This Row],[Mes de Fecha]]="Septiembre",9,10),Tabla1[[#This Row],[Día de Fecha]])</f>
        <v>46290</v>
      </c>
      <c r="G6385">
        <v>1123561438</v>
      </c>
      <c r="H6385" t="s">
        <v>176</v>
      </c>
      <c r="I6385">
        <v>43</v>
      </c>
      <c r="J6385">
        <v>0</v>
      </c>
      <c r="K6385" s="1">
        <v>2609542</v>
      </c>
    </row>
    <row r="6386" spans="1:11" x14ac:dyDescent="0.25">
      <c r="A6386" t="s">
        <v>9</v>
      </c>
      <c r="B6386" t="s">
        <v>171</v>
      </c>
      <c r="C6386" t="s">
        <v>872</v>
      </c>
      <c r="D6386" t="s">
        <v>11</v>
      </c>
      <c r="E6386">
        <v>26</v>
      </c>
      <c r="F6386" s="2">
        <f>DATE(2026,IF(Tabla1[[#This Row],[Mes de Fecha]]="Septiembre",9,10),Tabla1[[#This Row],[Día de Fecha]])</f>
        <v>46291</v>
      </c>
      <c r="I6386">
        <v>0</v>
      </c>
      <c r="J6386" s="1">
        <v>12738420</v>
      </c>
      <c r="K6386">
        <v>0</v>
      </c>
    </row>
    <row r="6387" spans="1:11" x14ac:dyDescent="0.25">
      <c r="A6387" t="s">
        <v>9</v>
      </c>
      <c r="B6387" t="s">
        <v>171</v>
      </c>
      <c r="C6387" t="s">
        <v>872</v>
      </c>
      <c r="D6387" t="s">
        <v>11</v>
      </c>
      <c r="E6387">
        <v>26</v>
      </c>
      <c r="F6387" s="2">
        <f>DATE(2026,IF(Tabla1[[#This Row],[Mes de Fecha]]="Septiembre",9,10),Tabla1[[#This Row],[Día de Fecha]])</f>
        <v>46291</v>
      </c>
      <c r="G6387">
        <v>1120375006</v>
      </c>
      <c r="H6387" t="s">
        <v>175</v>
      </c>
      <c r="I6387">
        <v>32</v>
      </c>
      <c r="J6387">
        <v>0</v>
      </c>
      <c r="K6387" s="1">
        <v>1683531</v>
      </c>
    </row>
    <row r="6388" spans="1:11" x14ac:dyDescent="0.25">
      <c r="A6388" t="s">
        <v>9</v>
      </c>
      <c r="B6388" t="s">
        <v>171</v>
      </c>
      <c r="C6388" t="s">
        <v>872</v>
      </c>
      <c r="D6388" t="s">
        <v>11</v>
      </c>
      <c r="E6388">
        <v>26</v>
      </c>
      <c r="F6388" s="2">
        <f>DATE(2026,IF(Tabla1[[#This Row],[Mes de Fecha]]="Septiembre",9,10),Tabla1[[#This Row],[Día de Fecha]])</f>
        <v>46291</v>
      </c>
      <c r="G6388">
        <v>1121835267</v>
      </c>
      <c r="H6388" t="s">
        <v>173</v>
      </c>
      <c r="I6388">
        <v>55</v>
      </c>
      <c r="J6388">
        <v>0</v>
      </c>
      <c r="K6388" s="1">
        <v>3195170</v>
      </c>
    </row>
    <row r="6389" spans="1:11" x14ac:dyDescent="0.25">
      <c r="A6389" t="s">
        <v>9</v>
      </c>
      <c r="B6389" t="s">
        <v>171</v>
      </c>
      <c r="C6389" t="s">
        <v>872</v>
      </c>
      <c r="D6389" t="s">
        <v>11</v>
      </c>
      <c r="E6389">
        <v>26</v>
      </c>
      <c r="F6389" s="2">
        <f>DATE(2026,IF(Tabla1[[#This Row],[Mes de Fecha]]="Septiembre",9,10),Tabla1[[#This Row],[Día de Fecha]])</f>
        <v>46291</v>
      </c>
      <c r="G6389">
        <v>1121869736</v>
      </c>
      <c r="H6389" t="s">
        <v>177</v>
      </c>
      <c r="I6389">
        <v>11</v>
      </c>
      <c r="J6389">
        <v>0</v>
      </c>
      <c r="K6389" s="1">
        <v>692817</v>
      </c>
    </row>
    <row r="6390" spans="1:11" x14ac:dyDescent="0.25">
      <c r="A6390" t="s">
        <v>9</v>
      </c>
      <c r="B6390" t="s">
        <v>171</v>
      </c>
      <c r="C6390" t="s">
        <v>872</v>
      </c>
      <c r="D6390" t="s">
        <v>11</v>
      </c>
      <c r="E6390">
        <v>26</v>
      </c>
      <c r="F6390" s="2">
        <f>DATE(2026,IF(Tabla1[[#This Row],[Mes de Fecha]]="Septiembre",9,10),Tabla1[[#This Row],[Día de Fecha]])</f>
        <v>46291</v>
      </c>
      <c r="G6390">
        <v>1122506891</v>
      </c>
      <c r="H6390" t="s">
        <v>174</v>
      </c>
      <c r="I6390">
        <v>56</v>
      </c>
      <c r="J6390">
        <v>0</v>
      </c>
      <c r="K6390" s="1">
        <v>3033407</v>
      </c>
    </row>
    <row r="6391" spans="1:11" x14ac:dyDescent="0.25">
      <c r="A6391" t="s">
        <v>9</v>
      </c>
      <c r="B6391" t="s">
        <v>171</v>
      </c>
      <c r="C6391" t="s">
        <v>872</v>
      </c>
      <c r="D6391" t="s">
        <v>11</v>
      </c>
      <c r="E6391">
        <v>26</v>
      </c>
      <c r="F6391" s="2">
        <f>DATE(2026,IF(Tabla1[[#This Row],[Mes de Fecha]]="Septiembre",9,10),Tabla1[[#This Row],[Día de Fecha]])</f>
        <v>46291</v>
      </c>
      <c r="G6391">
        <v>1123561438</v>
      </c>
      <c r="H6391" t="s">
        <v>176</v>
      </c>
      <c r="I6391">
        <v>37</v>
      </c>
      <c r="J6391">
        <v>0</v>
      </c>
      <c r="K6391" s="1">
        <v>2046767</v>
      </c>
    </row>
    <row r="6392" spans="1:11" x14ac:dyDescent="0.25">
      <c r="A6392" t="s">
        <v>9</v>
      </c>
      <c r="B6392" t="s">
        <v>171</v>
      </c>
      <c r="C6392" t="s">
        <v>872</v>
      </c>
      <c r="D6392" t="s">
        <v>11</v>
      </c>
      <c r="E6392">
        <v>27</v>
      </c>
      <c r="F6392" s="2">
        <f>DATE(2026,IF(Tabla1[[#This Row],[Mes de Fecha]]="Septiembre",9,10),Tabla1[[#This Row],[Día de Fecha]])</f>
        <v>46292</v>
      </c>
      <c r="I6392">
        <v>0</v>
      </c>
      <c r="J6392" s="1">
        <v>6725765</v>
      </c>
      <c r="K6392">
        <v>0</v>
      </c>
    </row>
    <row r="6393" spans="1:11" x14ac:dyDescent="0.25">
      <c r="A6393" t="s">
        <v>9</v>
      </c>
      <c r="B6393" t="s">
        <v>171</v>
      </c>
      <c r="C6393" t="s">
        <v>872</v>
      </c>
      <c r="D6393" t="s">
        <v>11</v>
      </c>
      <c r="E6393">
        <v>27</v>
      </c>
      <c r="F6393" s="2">
        <f>DATE(2026,IF(Tabla1[[#This Row],[Mes de Fecha]]="Septiembre",9,10),Tabla1[[#This Row],[Día de Fecha]])</f>
        <v>46292</v>
      </c>
      <c r="G6393">
        <v>1120375006</v>
      </c>
      <c r="H6393" t="s">
        <v>175</v>
      </c>
      <c r="I6393">
        <v>23</v>
      </c>
      <c r="J6393">
        <v>0</v>
      </c>
      <c r="K6393" s="1">
        <v>1028448</v>
      </c>
    </row>
    <row r="6394" spans="1:11" x14ac:dyDescent="0.25">
      <c r="A6394" t="s">
        <v>9</v>
      </c>
      <c r="B6394" t="s">
        <v>171</v>
      </c>
      <c r="C6394" t="s">
        <v>872</v>
      </c>
      <c r="D6394" t="s">
        <v>11</v>
      </c>
      <c r="E6394">
        <v>27</v>
      </c>
      <c r="F6394" s="2">
        <f>DATE(2026,IF(Tabla1[[#This Row],[Mes de Fecha]]="Septiembre",9,10),Tabla1[[#This Row],[Día de Fecha]])</f>
        <v>46292</v>
      </c>
      <c r="G6394">
        <v>1121869736</v>
      </c>
      <c r="H6394" t="s">
        <v>177</v>
      </c>
      <c r="I6394">
        <v>8</v>
      </c>
      <c r="J6394">
        <v>0</v>
      </c>
      <c r="K6394" s="1">
        <v>499664</v>
      </c>
    </row>
    <row r="6395" spans="1:11" x14ac:dyDescent="0.25">
      <c r="A6395" t="s">
        <v>9</v>
      </c>
      <c r="B6395" t="s">
        <v>171</v>
      </c>
      <c r="C6395" t="s">
        <v>872</v>
      </c>
      <c r="D6395" t="s">
        <v>11</v>
      </c>
      <c r="E6395">
        <v>27</v>
      </c>
      <c r="F6395" s="2">
        <f>DATE(2026,IF(Tabla1[[#This Row],[Mes de Fecha]]="Septiembre",9,10),Tabla1[[#This Row],[Día de Fecha]])</f>
        <v>46292</v>
      </c>
      <c r="G6395">
        <v>1122506891</v>
      </c>
      <c r="H6395" t="s">
        <v>174</v>
      </c>
      <c r="I6395">
        <v>24</v>
      </c>
      <c r="J6395">
        <v>0</v>
      </c>
      <c r="K6395" s="1">
        <v>1482187</v>
      </c>
    </row>
    <row r="6396" spans="1:11" x14ac:dyDescent="0.25">
      <c r="A6396" t="s">
        <v>9</v>
      </c>
      <c r="B6396" t="s">
        <v>171</v>
      </c>
      <c r="C6396" t="s">
        <v>872</v>
      </c>
      <c r="D6396" t="s">
        <v>11</v>
      </c>
      <c r="E6396">
        <v>27</v>
      </c>
      <c r="F6396" s="2">
        <f>DATE(2026,IF(Tabla1[[#This Row],[Mes de Fecha]]="Septiembre",9,10),Tabla1[[#This Row],[Día de Fecha]])</f>
        <v>46292</v>
      </c>
      <c r="G6396">
        <v>1123561438</v>
      </c>
      <c r="H6396" t="s">
        <v>176</v>
      </c>
      <c r="I6396">
        <v>28</v>
      </c>
      <c r="J6396">
        <v>0</v>
      </c>
      <c r="K6396" s="1">
        <v>1736220</v>
      </c>
    </row>
    <row r="6397" spans="1:11" x14ac:dyDescent="0.25">
      <c r="A6397" t="s">
        <v>9</v>
      </c>
      <c r="B6397" t="s">
        <v>171</v>
      </c>
      <c r="C6397" t="s">
        <v>872</v>
      </c>
      <c r="D6397" t="s">
        <v>11</v>
      </c>
      <c r="E6397">
        <v>28</v>
      </c>
      <c r="F6397" s="2">
        <f>DATE(2026,IF(Tabla1[[#This Row],[Mes de Fecha]]="Septiembre",9,10),Tabla1[[#This Row],[Día de Fecha]])</f>
        <v>46293</v>
      </c>
      <c r="I6397">
        <v>0</v>
      </c>
      <c r="J6397" s="1">
        <v>5514394</v>
      </c>
      <c r="K6397">
        <v>0</v>
      </c>
    </row>
    <row r="6398" spans="1:11" x14ac:dyDescent="0.25">
      <c r="A6398" t="s">
        <v>9</v>
      </c>
      <c r="B6398" t="s">
        <v>171</v>
      </c>
      <c r="C6398" t="s">
        <v>872</v>
      </c>
      <c r="D6398" t="s">
        <v>11</v>
      </c>
      <c r="E6398">
        <v>28</v>
      </c>
      <c r="F6398" s="2">
        <f>DATE(2026,IF(Tabla1[[#This Row],[Mes de Fecha]]="Septiembre",9,10),Tabla1[[#This Row],[Día de Fecha]])</f>
        <v>46293</v>
      </c>
      <c r="G6398">
        <v>1120375006</v>
      </c>
      <c r="H6398" t="s">
        <v>175</v>
      </c>
      <c r="I6398">
        <v>12</v>
      </c>
      <c r="J6398">
        <v>0</v>
      </c>
      <c r="K6398" s="1">
        <v>654959</v>
      </c>
    </row>
    <row r="6399" spans="1:11" x14ac:dyDescent="0.25">
      <c r="A6399" t="s">
        <v>9</v>
      </c>
      <c r="B6399" t="s">
        <v>171</v>
      </c>
      <c r="C6399" t="s">
        <v>872</v>
      </c>
      <c r="D6399" t="s">
        <v>11</v>
      </c>
      <c r="E6399">
        <v>28</v>
      </c>
      <c r="F6399" s="2">
        <f>DATE(2026,IF(Tabla1[[#This Row],[Mes de Fecha]]="Septiembre",9,10),Tabla1[[#This Row],[Día de Fecha]])</f>
        <v>46293</v>
      </c>
      <c r="G6399">
        <v>1121835267</v>
      </c>
      <c r="H6399" t="s">
        <v>173</v>
      </c>
      <c r="I6399">
        <v>24</v>
      </c>
      <c r="J6399">
        <v>0</v>
      </c>
      <c r="K6399" s="1">
        <v>1211178</v>
      </c>
    </row>
    <row r="6400" spans="1:11" x14ac:dyDescent="0.25">
      <c r="A6400" t="s">
        <v>9</v>
      </c>
      <c r="B6400" t="s">
        <v>171</v>
      </c>
      <c r="C6400" t="s">
        <v>872</v>
      </c>
      <c r="D6400" t="s">
        <v>11</v>
      </c>
      <c r="E6400">
        <v>28</v>
      </c>
      <c r="F6400" s="2">
        <f>DATE(2026,IF(Tabla1[[#This Row],[Mes de Fecha]]="Septiembre",9,10),Tabla1[[#This Row],[Día de Fecha]])</f>
        <v>46293</v>
      </c>
      <c r="G6400">
        <v>1121869736</v>
      </c>
      <c r="H6400" t="s">
        <v>177</v>
      </c>
      <c r="I6400">
        <v>7</v>
      </c>
      <c r="J6400">
        <v>0</v>
      </c>
      <c r="K6400" s="1">
        <v>382060</v>
      </c>
    </row>
    <row r="6401" spans="1:11" x14ac:dyDescent="0.25">
      <c r="A6401" t="s">
        <v>9</v>
      </c>
      <c r="B6401" t="s">
        <v>171</v>
      </c>
      <c r="C6401" t="s">
        <v>872</v>
      </c>
      <c r="D6401" t="s">
        <v>11</v>
      </c>
      <c r="E6401">
        <v>28</v>
      </c>
      <c r="F6401" s="2">
        <f>DATE(2026,IF(Tabla1[[#This Row],[Mes de Fecha]]="Septiembre",9,10),Tabla1[[#This Row],[Día de Fecha]])</f>
        <v>46293</v>
      </c>
      <c r="G6401">
        <v>1122506891</v>
      </c>
      <c r="H6401" t="s">
        <v>174</v>
      </c>
      <c r="I6401">
        <v>26</v>
      </c>
      <c r="J6401">
        <v>0</v>
      </c>
      <c r="K6401" s="1">
        <v>1643867</v>
      </c>
    </row>
    <row r="6402" spans="1:11" x14ac:dyDescent="0.25">
      <c r="A6402" t="s">
        <v>9</v>
      </c>
      <c r="B6402" t="s">
        <v>171</v>
      </c>
      <c r="C6402" t="s">
        <v>872</v>
      </c>
      <c r="D6402" t="s">
        <v>11</v>
      </c>
      <c r="E6402">
        <v>28</v>
      </c>
      <c r="F6402" s="2">
        <f>DATE(2026,IF(Tabla1[[#This Row],[Mes de Fecha]]="Septiembre",9,10),Tabla1[[#This Row],[Día de Fecha]])</f>
        <v>46293</v>
      </c>
      <c r="G6402">
        <v>1123561438</v>
      </c>
      <c r="H6402" t="s">
        <v>176</v>
      </c>
      <c r="I6402">
        <v>20</v>
      </c>
      <c r="J6402">
        <v>0</v>
      </c>
      <c r="K6402" s="1">
        <v>1347900</v>
      </c>
    </row>
    <row r="6403" spans="1:11" x14ac:dyDescent="0.25">
      <c r="A6403" t="s">
        <v>9</v>
      </c>
      <c r="B6403" t="s">
        <v>171</v>
      </c>
      <c r="C6403" t="s">
        <v>872</v>
      </c>
      <c r="D6403" t="s">
        <v>11</v>
      </c>
      <c r="E6403">
        <v>29</v>
      </c>
      <c r="F6403" s="2">
        <f>DATE(2026,IF(Tabla1[[#This Row],[Mes de Fecha]]="Septiembre",9,10),Tabla1[[#This Row],[Día de Fecha]])</f>
        <v>46294</v>
      </c>
      <c r="I6403">
        <v>0</v>
      </c>
      <c r="J6403" s="1">
        <v>6130379</v>
      </c>
      <c r="K6403">
        <v>0</v>
      </c>
    </row>
    <row r="6404" spans="1:11" x14ac:dyDescent="0.25">
      <c r="A6404" t="s">
        <v>9</v>
      </c>
      <c r="B6404" t="s">
        <v>171</v>
      </c>
      <c r="C6404" t="s">
        <v>872</v>
      </c>
      <c r="D6404" t="s">
        <v>11</v>
      </c>
      <c r="E6404">
        <v>29</v>
      </c>
      <c r="F6404" s="2">
        <f>DATE(2026,IF(Tabla1[[#This Row],[Mes de Fecha]]="Septiembre",9,10),Tabla1[[#This Row],[Día de Fecha]])</f>
        <v>46294</v>
      </c>
      <c r="G6404">
        <v>1120375006</v>
      </c>
      <c r="H6404" t="s">
        <v>175</v>
      </c>
      <c r="I6404">
        <v>19</v>
      </c>
      <c r="J6404">
        <v>0</v>
      </c>
      <c r="K6404" s="1">
        <v>1139959</v>
      </c>
    </row>
    <row r="6405" spans="1:11" x14ac:dyDescent="0.25">
      <c r="A6405" t="s">
        <v>9</v>
      </c>
      <c r="B6405" t="s">
        <v>171</v>
      </c>
      <c r="C6405" t="s">
        <v>872</v>
      </c>
      <c r="D6405" t="s">
        <v>11</v>
      </c>
      <c r="E6405">
        <v>29</v>
      </c>
      <c r="F6405" s="2">
        <f>DATE(2026,IF(Tabla1[[#This Row],[Mes de Fecha]]="Septiembre",9,10),Tabla1[[#This Row],[Día de Fecha]])</f>
        <v>46294</v>
      </c>
      <c r="G6405">
        <v>1121835267</v>
      </c>
      <c r="H6405" t="s">
        <v>173</v>
      </c>
      <c r="I6405">
        <v>33</v>
      </c>
      <c r="J6405">
        <v>0</v>
      </c>
      <c r="K6405" s="1">
        <v>1855714</v>
      </c>
    </row>
    <row r="6406" spans="1:11" x14ac:dyDescent="0.25">
      <c r="A6406" t="s">
        <v>9</v>
      </c>
      <c r="B6406" t="s">
        <v>171</v>
      </c>
      <c r="C6406" t="s">
        <v>872</v>
      </c>
      <c r="D6406" t="s">
        <v>11</v>
      </c>
      <c r="E6406">
        <v>29</v>
      </c>
      <c r="F6406" s="2">
        <f>DATE(2026,IF(Tabla1[[#This Row],[Mes de Fecha]]="Septiembre",9,10),Tabla1[[#This Row],[Día de Fecha]])</f>
        <v>46294</v>
      </c>
      <c r="G6406">
        <v>1121869736</v>
      </c>
      <c r="H6406" t="s">
        <v>177</v>
      </c>
      <c r="I6406">
        <v>2</v>
      </c>
      <c r="J6406">
        <v>0</v>
      </c>
      <c r="K6406" s="1">
        <v>138572</v>
      </c>
    </row>
    <row r="6407" spans="1:11" x14ac:dyDescent="0.25">
      <c r="A6407" t="s">
        <v>9</v>
      </c>
      <c r="B6407" t="s">
        <v>171</v>
      </c>
      <c r="C6407" t="s">
        <v>872</v>
      </c>
      <c r="D6407" t="s">
        <v>11</v>
      </c>
      <c r="E6407">
        <v>29</v>
      </c>
      <c r="F6407" s="2">
        <f>DATE(2026,IF(Tabla1[[#This Row],[Mes de Fecha]]="Septiembre",9,10),Tabla1[[#This Row],[Día de Fecha]])</f>
        <v>46294</v>
      </c>
      <c r="G6407">
        <v>1122506891</v>
      </c>
      <c r="H6407" t="s">
        <v>174</v>
      </c>
      <c r="I6407">
        <v>-1</v>
      </c>
      <c r="J6407">
        <v>0</v>
      </c>
      <c r="K6407" s="1">
        <v>-58781</v>
      </c>
    </row>
    <row r="6408" spans="1:11" x14ac:dyDescent="0.25">
      <c r="A6408" t="s">
        <v>9</v>
      </c>
      <c r="B6408" t="s">
        <v>171</v>
      </c>
      <c r="C6408" t="s">
        <v>872</v>
      </c>
      <c r="D6408" t="s">
        <v>11</v>
      </c>
      <c r="E6408">
        <v>29</v>
      </c>
      <c r="F6408" s="2">
        <f>DATE(2026,IF(Tabla1[[#This Row],[Mes de Fecha]]="Septiembre",9,10),Tabla1[[#This Row],[Día de Fecha]])</f>
        <v>46294</v>
      </c>
      <c r="G6408">
        <v>1123561438</v>
      </c>
      <c r="H6408" t="s">
        <v>176</v>
      </c>
      <c r="I6408">
        <v>19</v>
      </c>
      <c r="J6408">
        <v>0</v>
      </c>
      <c r="K6408" s="1">
        <v>1158867</v>
      </c>
    </row>
    <row r="6409" spans="1:11" x14ac:dyDescent="0.25">
      <c r="A6409" t="s">
        <v>9</v>
      </c>
      <c r="B6409" t="s">
        <v>171</v>
      </c>
      <c r="C6409" t="s">
        <v>872</v>
      </c>
      <c r="D6409" t="s">
        <v>11</v>
      </c>
      <c r="E6409">
        <v>30</v>
      </c>
      <c r="F6409" s="2">
        <f>DATE(2026,IF(Tabla1[[#This Row],[Mes de Fecha]]="Septiembre",9,10),Tabla1[[#This Row],[Día de Fecha]])</f>
        <v>46295</v>
      </c>
      <c r="I6409">
        <v>0</v>
      </c>
      <c r="J6409" s="1">
        <v>6492267</v>
      </c>
      <c r="K6409">
        <v>0</v>
      </c>
    </row>
    <row r="6410" spans="1:11" x14ac:dyDescent="0.25">
      <c r="A6410" t="s">
        <v>9</v>
      </c>
      <c r="B6410" t="s">
        <v>171</v>
      </c>
      <c r="C6410" t="s">
        <v>872</v>
      </c>
      <c r="D6410" t="s">
        <v>11</v>
      </c>
      <c r="E6410">
        <v>30</v>
      </c>
      <c r="F6410" s="2">
        <f>DATE(2026,IF(Tabla1[[#This Row],[Mes de Fecha]]="Septiembre",9,10),Tabla1[[#This Row],[Día de Fecha]])</f>
        <v>46295</v>
      </c>
      <c r="G6410">
        <v>1120375006</v>
      </c>
      <c r="H6410" t="s">
        <v>175</v>
      </c>
      <c r="I6410">
        <v>76</v>
      </c>
      <c r="J6410">
        <v>0</v>
      </c>
      <c r="K6410" s="1">
        <v>4255091</v>
      </c>
    </row>
    <row r="6411" spans="1:11" x14ac:dyDescent="0.25">
      <c r="A6411" t="s">
        <v>9</v>
      </c>
      <c r="B6411" t="s">
        <v>171</v>
      </c>
      <c r="C6411" t="s">
        <v>872</v>
      </c>
      <c r="D6411" t="s">
        <v>11</v>
      </c>
      <c r="E6411">
        <v>30</v>
      </c>
      <c r="F6411" s="2">
        <f>DATE(2026,IF(Tabla1[[#This Row],[Mes de Fecha]]="Septiembre",9,10),Tabla1[[#This Row],[Día de Fecha]])</f>
        <v>46295</v>
      </c>
      <c r="G6411">
        <v>1121869736</v>
      </c>
      <c r="H6411" t="s">
        <v>177</v>
      </c>
      <c r="I6411">
        <v>1</v>
      </c>
      <c r="J6411">
        <v>0</v>
      </c>
      <c r="K6411" s="1">
        <v>92395</v>
      </c>
    </row>
    <row r="6412" spans="1:11" x14ac:dyDescent="0.25">
      <c r="A6412" t="s">
        <v>9</v>
      </c>
      <c r="B6412" t="s">
        <v>171</v>
      </c>
      <c r="C6412" t="s">
        <v>872</v>
      </c>
      <c r="D6412" t="s">
        <v>11</v>
      </c>
      <c r="E6412">
        <v>30</v>
      </c>
      <c r="F6412" s="2">
        <f>DATE(2026,IF(Tabla1[[#This Row],[Mes de Fecha]]="Septiembre",9,10),Tabla1[[#This Row],[Día de Fecha]])</f>
        <v>46295</v>
      </c>
      <c r="G6412">
        <v>1122506891</v>
      </c>
      <c r="H6412" t="s">
        <v>174</v>
      </c>
      <c r="I6412">
        <v>42</v>
      </c>
      <c r="J6412">
        <v>0</v>
      </c>
      <c r="K6412" s="1">
        <v>2464582</v>
      </c>
    </row>
    <row r="6413" spans="1:11" x14ac:dyDescent="0.25">
      <c r="A6413" t="s">
        <v>9</v>
      </c>
      <c r="B6413" t="s">
        <v>171</v>
      </c>
      <c r="C6413" t="s">
        <v>872</v>
      </c>
      <c r="D6413" t="s">
        <v>11</v>
      </c>
      <c r="E6413">
        <v>30</v>
      </c>
      <c r="F6413" s="2">
        <f>DATE(2026,IF(Tabla1[[#This Row],[Mes de Fecha]]="Septiembre",9,10),Tabla1[[#This Row],[Día de Fecha]])</f>
        <v>46295</v>
      </c>
      <c r="G6413">
        <v>1123561438</v>
      </c>
      <c r="H6413" t="s">
        <v>176</v>
      </c>
      <c r="I6413">
        <v>30</v>
      </c>
      <c r="J6413">
        <v>0</v>
      </c>
      <c r="K6413" s="1">
        <v>1631052</v>
      </c>
    </row>
    <row r="6414" spans="1:11" x14ac:dyDescent="0.25">
      <c r="A6414" t="s">
        <v>9</v>
      </c>
      <c r="B6414" t="s">
        <v>171</v>
      </c>
      <c r="C6414" t="s">
        <v>872</v>
      </c>
      <c r="D6414" t="s">
        <v>14</v>
      </c>
      <c r="E6414">
        <v>1</v>
      </c>
      <c r="F6414" s="2">
        <f>DATE(2026,IF(Tabla1[[#This Row],[Mes de Fecha]]="Septiembre",9,10),Tabla1[[#This Row],[Día de Fecha]])</f>
        <v>46296</v>
      </c>
      <c r="I6414">
        <v>0</v>
      </c>
      <c r="J6414" s="1">
        <v>9088589</v>
      </c>
      <c r="K6414">
        <v>0</v>
      </c>
    </row>
    <row r="6415" spans="1:11" x14ac:dyDescent="0.25">
      <c r="A6415" t="s">
        <v>9</v>
      </c>
      <c r="B6415" t="s">
        <v>171</v>
      </c>
      <c r="C6415" t="s">
        <v>872</v>
      </c>
      <c r="D6415" t="s">
        <v>14</v>
      </c>
      <c r="E6415">
        <v>1</v>
      </c>
      <c r="F6415" s="2">
        <f>DATE(2026,IF(Tabla1[[#This Row],[Mes de Fecha]]="Septiembre",9,10),Tabla1[[#This Row],[Día de Fecha]])</f>
        <v>46296</v>
      </c>
      <c r="G6415">
        <v>1120375006</v>
      </c>
      <c r="H6415" t="s">
        <v>175</v>
      </c>
      <c r="I6415">
        <v>29</v>
      </c>
      <c r="J6415">
        <v>0</v>
      </c>
      <c r="K6415" s="1">
        <v>1425258</v>
      </c>
    </row>
    <row r="6416" spans="1:11" x14ac:dyDescent="0.25">
      <c r="A6416" t="s">
        <v>9</v>
      </c>
      <c r="B6416" t="s">
        <v>171</v>
      </c>
      <c r="C6416" t="s">
        <v>872</v>
      </c>
      <c r="D6416" t="s">
        <v>14</v>
      </c>
      <c r="E6416">
        <v>1</v>
      </c>
      <c r="F6416" s="2">
        <f>DATE(2026,IF(Tabla1[[#This Row],[Mes de Fecha]]="Septiembre",9,10),Tabla1[[#This Row],[Día de Fecha]])</f>
        <v>46296</v>
      </c>
      <c r="G6416">
        <v>1121835267</v>
      </c>
      <c r="H6416" t="s">
        <v>173</v>
      </c>
      <c r="I6416">
        <v>29</v>
      </c>
      <c r="J6416">
        <v>0</v>
      </c>
      <c r="K6416" s="1">
        <v>1717229</v>
      </c>
    </row>
    <row r="6417" spans="1:11" x14ac:dyDescent="0.25">
      <c r="A6417" t="s">
        <v>9</v>
      </c>
      <c r="B6417" t="s">
        <v>171</v>
      </c>
      <c r="C6417" t="s">
        <v>872</v>
      </c>
      <c r="D6417" t="s">
        <v>14</v>
      </c>
      <c r="E6417">
        <v>1</v>
      </c>
      <c r="F6417" s="2">
        <f>DATE(2026,IF(Tabla1[[#This Row],[Mes de Fecha]]="Septiembre",9,10),Tabla1[[#This Row],[Día de Fecha]])</f>
        <v>46296</v>
      </c>
      <c r="G6417">
        <v>1122506891</v>
      </c>
      <c r="H6417" t="s">
        <v>174</v>
      </c>
      <c r="I6417">
        <v>41</v>
      </c>
      <c r="J6417">
        <v>0</v>
      </c>
      <c r="K6417" s="1">
        <v>1962481</v>
      </c>
    </row>
    <row r="6418" spans="1:11" x14ac:dyDescent="0.25">
      <c r="A6418" t="s">
        <v>9</v>
      </c>
      <c r="B6418" t="s">
        <v>171</v>
      </c>
      <c r="C6418" t="s">
        <v>872</v>
      </c>
      <c r="D6418" t="s">
        <v>14</v>
      </c>
      <c r="E6418">
        <v>1</v>
      </c>
      <c r="F6418" s="2">
        <f>DATE(2026,IF(Tabla1[[#This Row],[Mes de Fecha]]="Septiembre",9,10),Tabla1[[#This Row],[Día de Fecha]])</f>
        <v>46296</v>
      </c>
      <c r="G6418">
        <v>1123561438</v>
      </c>
      <c r="H6418" t="s">
        <v>176</v>
      </c>
      <c r="I6418">
        <v>31</v>
      </c>
      <c r="J6418">
        <v>0</v>
      </c>
      <c r="K6418" s="1">
        <v>1931474</v>
      </c>
    </row>
    <row r="6419" spans="1:11" x14ac:dyDescent="0.25">
      <c r="A6419" t="s">
        <v>9</v>
      </c>
      <c r="B6419" t="s">
        <v>171</v>
      </c>
      <c r="C6419" t="s">
        <v>872</v>
      </c>
      <c r="D6419" t="s">
        <v>14</v>
      </c>
      <c r="E6419">
        <v>2</v>
      </c>
      <c r="F6419" s="2">
        <f>DATE(2026,IF(Tabla1[[#This Row],[Mes de Fecha]]="Septiembre",9,10),Tabla1[[#This Row],[Día de Fecha]])</f>
        <v>46297</v>
      </c>
      <c r="I6419">
        <v>0</v>
      </c>
      <c r="J6419" s="1">
        <v>7211989</v>
      </c>
      <c r="K6419">
        <v>0</v>
      </c>
    </row>
    <row r="6420" spans="1:11" x14ac:dyDescent="0.25">
      <c r="A6420" t="s">
        <v>9</v>
      </c>
      <c r="B6420" t="s">
        <v>171</v>
      </c>
      <c r="C6420" t="s">
        <v>872</v>
      </c>
      <c r="D6420" t="s">
        <v>14</v>
      </c>
      <c r="E6420">
        <v>2</v>
      </c>
      <c r="F6420" s="2">
        <f>DATE(2026,IF(Tabla1[[#This Row],[Mes de Fecha]]="Septiembre",9,10),Tabla1[[#This Row],[Día de Fecha]])</f>
        <v>46297</v>
      </c>
      <c r="G6420">
        <v>1120375006</v>
      </c>
      <c r="H6420" t="s">
        <v>175</v>
      </c>
      <c r="I6420">
        <v>27</v>
      </c>
      <c r="J6420">
        <v>0</v>
      </c>
      <c r="K6420" s="1">
        <v>1528280</v>
      </c>
    </row>
    <row r="6421" spans="1:11" x14ac:dyDescent="0.25">
      <c r="A6421" t="s">
        <v>9</v>
      </c>
      <c r="B6421" t="s">
        <v>171</v>
      </c>
      <c r="C6421" t="s">
        <v>872</v>
      </c>
      <c r="D6421" t="s">
        <v>14</v>
      </c>
      <c r="E6421">
        <v>2</v>
      </c>
      <c r="F6421" s="2">
        <f>DATE(2026,IF(Tabla1[[#This Row],[Mes de Fecha]]="Septiembre",9,10),Tabla1[[#This Row],[Día de Fecha]])</f>
        <v>46297</v>
      </c>
      <c r="G6421">
        <v>1121835267</v>
      </c>
      <c r="H6421" t="s">
        <v>173</v>
      </c>
      <c r="I6421">
        <v>44</v>
      </c>
      <c r="J6421">
        <v>0</v>
      </c>
      <c r="K6421" s="1">
        <v>2619833</v>
      </c>
    </row>
    <row r="6422" spans="1:11" x14ac:dyDescent="0.25">
      <c r="A6422" t="s">
        <v>9</v>
      </c>
      <c r="B6422" t="s">
        <v>171</v>
      </c>
      <c r="C6422" t="s">
        <v>872</v>
      </c>
      <c r="D6422" t="s">
        <v>14</v>
      </c>
      <c r="E6422">
        <v>2</v>
      </c>
      <c r="F6422" s="2">
        <f>DATE(2026,IF(Tabla1[[#This Row],[Mes de Fecha]]="Septiembre",9,10),Tabla1[[#This Row],[Día de Fecha]])</f>
        <v>46297</v>
      </c>
      <c r="G6422">
        <v>1121869736</v>
      </c>
      <c r="H6422" t="s">
        <v>177</v>
      </c>
      <c r="I6422">
        <v>-1</v>
      </c>
      <c r="J6422">
        <v>0</v>
      </c>
      <c r="K6422" s="1">
        <v>-54580</v>
      </c>
    </row>
    <row r="6423" spans="1:11" x14ac:dyDescent="0.25">
      <c r="A6423" t="s">
        <v>9</v>
      </c>
      <c r="B6423" t="s">
        <v>171</v>
      </c>
      <c r="C6423" t="s">
        <v>872</v>
      </c>
      <c r="D6423" t="s">
        <v>14</v>
      </c>
      <c r="E6423">
        <v>2</v>
      </c>
      <c r="F6423" s="2">
        <f>DATE(2026,IF(Tabla1[[#This Row],[Mes de Fecha]]="Septiembre",9,10),Tabla1[[#This Row],[Día de Fecha]])</f>
        <v>46297</v>
      </c>
      <c r="G6423">
        <v>1122506891</v>
      </c>
      <c r="H6423" t="s">
        <v>174</v>
      </c>
      <c r="I6423">
        <v>40</v>
      </c>
      <c r="J6423">
        <v>0</v>
      </c>
      <c r="K6423" s="1">
        <v>2359670</v>
      </c>
    </row>
    <row r="6424" spans="1:11" x14ac:dyDescent="0.25">
      <c r="A6424" t="s">
        <v>9</v>
      </c>
      <c r="B6424" t="s">
        <v>171</v>
      </c>
      <c r="C6424" t="s">
        <v>872</v>
      </c>
      <c r="D6424" t="s">
        <v>14</v>
      </c>
      <c r="E6424">
        <v>2</v>
      </c>
      <c r="F6424" s="2">
        <f>DATE(2026,IF(Tabla1[[#This Row],[Mes de Fecha]]="Septiembre",9,10),Tabla1[[#This Row],[Día de Fecha]])</f>
        <v>46297</v>
      </c>
      <c r="G6424">
        <v>1123561438</v>
      </c>
      <c r="H6424" t="s">
        <v>176</v>
      </c>
      <c r="I6424">
        <v>41</v>
      </c>
      <c r="J6424">
        <v>0</v>
      </c>
      <c r="K6424" s="1">
        <v>2134752</v>
      </c>
    </row>
    <row r="6425" spans="1:11" x14ac:dyDescent="0.25">
      <c r="A6425" t="s">
        <v>9</v>
      </c>
      <c r="B6425" t="s">
        <v>171</v>
      </c>
      <c r="C6425" t="s">
        <v>872</v>
      </c>
      <c r="D6425" t="s">
        <v>14</v>
      </c>
      <c r="E6425">
        <v>3</v>
      </c>
      <c r="F6425" s="2">
        <f>DATE(2026,IF(Tabla1[[#This Row],[Mes de Fecha]]="Septiembre",9,10),Tabla1[[#This Row],[Día de Fecha]])</f>
        <v>46298</v>
      </c>
      <c r="I6425">
        <v>0</v>
      </c>
      <c r="J6425" s="1">
        <v>11389891</v>
      </c>
      <c r="K6425">
        <v>0</v>
      </c>
    </row>
    <row r="6426" spans="1:11" x14ac:dyDescent="0.25">
      <c r="A6426" t="s">
        <v>9</v>
      </c>
      <c r="B6426" t="s">
        <v>171</v>
      </c>
      <c r="C6426" t="s">
        <v>872</v>
      </c>
      <c r="D6426" t="s">
        <v>14</v>
      </c>
      <c r="E6426">
        <v>3</v>
      </c>
      <c r="F6426" s="2">
        <f>DATE(2026,IF(Tabla1[[#This Row],[Mes de Fecha]]="Septiembre",9,10),Tabla1[[#This Row],[Día de Fecha]])</f>
        <v>46298</v>
      </c>
      <c r="G6426">
        <v>1120375006</v>
      </c>
      <c r="H6426" t="s">
        <v>175</v>
      </c>
      <c r="I6426">
        <v>27</v>
      </c>
      <c r="J6426">
        <v>0</v>
      </c>
      <c r="K6426" s="1">
        <v>1346818</v>
      </c>
    </row>
    <row r="6427" spans="1:11" x14ac:dyDescent="0.25">
      <c r="A6427" t="s">
        <v>9</v>
      </c>
      <c r="B6427" t="s">
        <v>171</v>
      </c>
      <c r="C6427" t="s">
        <v>872</v>
      </c>
      <c r="D6427" t="s">
        <v>14</v>
      </c>
      <c r="E6427">
        <v>3</v>
      </c>
      <c r="F6427" s="2">
        <f>DATE(2026,IF(Tabla1[[#This Row],[Mes de Fecha]]="Septiembre",9,10),Tabla1[[#This Row],[Día de Fecha]])</f>
        <v>46298</v>
      </c>
      <c r="G6427">
        <v>1121835267</v>
      </c>
      <c r="H6427" t="s">
        <v>173</v>
      </c>
      <c r="I6427">
        <v>44</v>
      </c>
      <c r="J6427">
        <v>0</v>
      </c>
      <c r="K6427" s="1">
        <v>2600656</v>
      </c>
    </row>
    <row r="6428" spans="1:11" x14ac:dyDescent="0.25">
      <c r="A6428" t="s">
        <v>9</v>
      </c>
      <c r="B6428" t="s">
        <v>171</v>
      </c>
      <c r="C6428" t="s">
        <v>872</v>
      </c>
      <c r="D6428" t="s">
        <v>14</v>
      </c>
      <c r="E6428">
        <v>3</v>
      </c>
      <c r="F6428" s="2">
        <f>DATE(2026,IF(Tabla1[[#This Row],[Mes de Fecha]]="Septiembre",9,10),Tabla1[[#This Row],[Día de Fecha]])</f>
        <v>46298</v>
      </c>
      <c r="G6428">
        <v>1121869736</v>
      </c>
      <c r="H6428" t="s">
        <v>177</v>
      </c>
      <c r="I6428">
        <v>-1</v>
      </c>
      <c r="J6428">
        <v>0</v>
      </c>
      <c r="K6428" s="1">
        <v>-54580</v>
      </c>
    </row>
    <row r="6429" spans="1:11" x14ac:dyDescent="0.25">
      <c r="A6429" t="s">
        <v>9</v>
      </c>
      <c r="B6429" t="s">
        <v>171</v>
      </c>
      <c r="C6429" t="s">
        <v>872</v>
      </c>
      <c r="D6429" t="s">
        <v>14</v>
      </c>
      <c r="E6429">
        <v>3</v>
      </c>
      <c r="F6429" s="2">
        <f>DATE(2026,IF(Tabla1[[#This Row],[Mes de Fecha]]="Septiembre",9,10),Tabla1[[#This Row],[Día de Fecha]])</f>
        <v>46298</v>
      </c>
      <c r="G6429">
        <v>1122506891</v>
      </c>
      <c r="H6429" t="s">
        <v>174</v>
      </c>
      <c r="I6429">
        <v>51</v>
      </c>
      <c r="J6429">
        <v>0</v>
      </c>
      <c r="K6429" s="1">
        <v>2353852</v>
      </c>
    </row>
    <row r="6430" spans="1:11" x14ac:dyDescent="0.25">
      <c r="A6430" t="s">
        <v>9</v>
      </c>
      <c r="B6430" t="s">
        <v>171</v>
      </c>
      <c r="C6430" t="s">
        <v>872</v>
      </c>
      <c r="D6430" t="s">
        <v>14</v>
      </c>
      <c r="E6430">
        <v>3</v>
      </c>
      <c r="F6430" s="2">
        <f>DATE(2026,IF(Tabla1[[#This Row],[Mes de Fecha]]="Septiembre",9,10),Tabla1[[#This Row],[Día de Fecha]])</f>
        <v>46298</v>
      </c>
      <c r="G6430">
        <v>1123561438</v>
      </c>
      <c r="H6430" t="s">
        <v>176</v>
      </c>
      <c r="I6430">
        <v>46</v>
      </c>
      <c r="J6430">
        <v>0</v>
      </c>
      <c r="K6430" s="1">
        <v>2159442</v>
      </c>
    </row>
    <row r="6431" spans="1:11" x14ac:dyDescent="0.25">
      <c r="A6431" t="s">
        <v>9</v>
      </c>
      <c r="B6431" t="s">
        <v>171</v>
      </c>
      <c r="C6431" t="s">
        <v>872</v>
      </c>
      <c r="D6431" t="s">
        <v>14</v>
      </c>
      <c r="E6431">
        <v>4</v>
      </c>
      <c r="F6431" s="2">
        <f>DATE(2026,IF(Tabla1[[#This Row],[Mes de Fecha]]="Septiembre",9,10),Tabla1[[#This Row],[Día de Fecha]])</f>
        <v>46299</v>
      </c>
      <c r="I6431">
        <v>0</v>
      </c>
      <c r="J6431" s="1">
        <v>6214925</v>
      </c>
      <c r="K6431">
        <v>0</v>
      </c>
    </row>
    <row r="6432" spans="1:11" x14ac:dyDescent="0.25">
      <c r="A6432" t="s">
        <v>9</v>
      </c>
      <c r="B6432" t="s">
        <v>171</v>
      </c>
      <c r="C6432" t="s">
        <v>872</v>
      </c>
      <c r="D6432" t="s">
        <v>14</v>
      </c>
      <c r="E6432">
        <v>4</v>
      </c>
      <c r="F6432" s="2">
        <f>DATE(2026,IF(Tabla1[[#This Row],[Mes de Fecha]]="Septiembre",9,10),Tabla1[[#This Row],[Día de Fecha]])</f>
        <v>46299</v>
      </c>
      <c r="G6432">
        <v>1120375006</v>
      </c>
      <c r="H6432" t="s">
        <v>175</v>
      </c>
      <c r="I6432">
        <v>41</v>
      </c>
      <c r="J6432">
        <v>0</v>
      </c>
      <c r="K6432" s="1">
        <v>2521308</v>
      </c>
    </row>
    <row r="6433" spans="1:11" x14ac:dyDescent="0.25">
      <c r="A6433" t="s">
        <v>9</v>
      </c>
      <c r="B6433" t="s">
        <v>171</v>
      </c>
      <c r="C6433" t="s">
        <v>872</v>
      </c>
      <c r="D6433" t="s">
        <v>14</v>
      </c>
      <c r="E6433">
        <v>4</v>
      </c>
      <c r="F6433" s="2">
        <f>DATE(2026,IF(Tabla1[[#This Row],[Mes de Fecha]]="Septiembre",9,10),Tabla1[[#This Row],[Día de Fecha]])</f>
        <v>46299</v>
      </c>
      <c r="G6433">
        <v>1121835267</v>
      </c>
      <c r="H6433" t="s">
        <v>173</v>
      </c>
      <c r="I6433">
        <v>50</v>
      </c>
      <c r="J6433">
        <v>0</v>
      </c>
      <c r="K6433" s="1">
        <v>2930627</v>
      </c>
    </row>
    <row r="6434" spans="1:11" x14ac:dyDescent="0.25">
      <c r="A6434" t="s">
        <v>9</v>
      </c>
      <c r="B6434" t="s">
        <v>171</v>
      </c>
      <c r="C6434" t="s">
        <v>872</v>
      </c>
      <c r="D6434" t="s">
        <v>14</v>
      </c>
      <c r="E6434">
        <v>4</v>
      </c>
      <c r="F6434" s="2">
        <f>DATE(2026,IF(Tabla1[[#This Row],[Mes de Fecha]]="Septiembre",9,10),Tabla1[[#This Row],[Día de Fecha]])</f>
        <v>46299</v>
      </c>
      <c r="G6434">
        <v>1122506891</v>
      </c>
      <c r="H6434" t="s">
        <v>174</v>
      </c>
      <c r="I6434">
        <v>-2</v>
      </c>
      <c r="J6434">
        <v>0</v>
      </c>
      <c r="K6434" s="1">
        <v>-105807</v>
      </c>
    </row>
    <row r="6435" spans="1:11" x14ac:dyDescent="0.25">
      <c r="A6435" t="s">
        <v>9</v>
      </c>
      <c r="B6435" t="s">
        <v>171</v>
      </c>
      <c r="C6435" t="s">
        <v>872</v>
      </c>
      <c r="D6435" t="s">
        <v>14</v>
      </c>
      <c r="E6435">
        <v>4</v>
      </c>
      <c r="F6435" s="2">
        <f>DATE(2026,IF(Tabla1[[#This Row],[Mes de Fecha]]="Septiembre",9,10),Tabla1[[#This Row],[Día de Fecha]])</f>
        <v>46299</v>
      </c>
      <c r="G6435">
        <v>1123561438</v>
      </c>
      <c r="H6435" t="s">
        <v>176</v>
      </c>
      <c r="I6435">
        <v>32</v>
      </c>
      <c r="J6435">
        <v>0</v>
      </c>
      <c r="K6435" s="1">
        <v>1681431</v>
      </c>
    </row>
    <row r="6436" spans="1:11" x14ac:dyDescent="0.25">
      <c r="A6436" t="s">
        <v>9</v>
      </c>
      <c r="B6436" t="s">
        <v>171</v>
      </c>
      <c r="C6436" t="s">
        <v>872</v>
      </c>
      <c r="D6436" t="s">
        <v>14</v>
      </c>
      <c r="E6436">
        <v>5</v>
      </c>
      <c r="F6436" s="2">
        <f>DATE(2026,IF(Tabla1[[#This Row],[Mes de Fecha]]="Septiembre",9,10),Tabla1[[#This Row],[Día de Fecha]])</f>
        <v>46300</v>
      </c>
      <c r="I6436">
        <v>0</v>
      </c>
      <c r="J6436" s="1">
        <v>7399860</v>
      </c>
      <c r="K6436">
        <v>0</v>
      </c>
    </row>
    <row r="6437" spans="1:11" x14ac:dyDescent="0.25">
      <c r="A6437" t="s">
        <v>9</v>
      </c>
      <c r="B6437" t="s">
        <v>171</v>
      </c>
      <c r="C6437" t="s">
        <v>872</v>
      </c>
      <c r="D6437" t="s">
        <v>14</v>
      </c>
      <c r="E6437">
        <v>5</v>
      </c>
      <c r="F6437" s="2">
        <f>DATE(2026,IF(Tabla1[[#This Row],[Mes de Fecha]]="Septiembre",9,10),Tabla1[[#This Row],[Día de Fecha]])</f>
        <v>46300</v>
      </c>
      <c r="G6437">
        <v>1120375006</v>
      </c>
      <c r="H6437" t="s">
        <v>175</v>
      </c>
      <c r="I6437">
        <v>19</v>
      </c>
      <c r="J6437">
        <v>0</v>
      </c>
      <c r="K6437" s="1">
        <v>1211388</v>
      </c>
    </row>
    <row r="6438" spans="1:11" x14ac:dyDescent="0.25">
      <c r="A6438" t="s">
        <v>9</v>
      </c>
      <c r="B6438" t="s">
        <v>171</v>
      </c>
      <c r="C6438" t="s">
        <v>872</v>
      </c>
      <c r="D6438" t="s">
        <v>14</v>
      </c>
      <c r="E6438">
        <v>5</v>
      </c>
      <c r="F6438" s="2">
        <f>DATE(2026,IF(Tabla1[[#This Row],[Mes de Fecha]]="Septiembre",9,10),Tabla1[[#This Row],[Día de Fecha]])</f>
        <v>46300</v>
      </c>
      <c r="G6438">
        <v>1121835267</v>
      </c>
      <c r="H6438" t="s">
        <v>173</v>
      </c>
      <c r="I6438">
        <v>-2</v>
      </c>
      <c r="J6438">
        <v>0</v>
      </c>
      <c r="K6438" s="1">
        <v>-125966</v>
      </c>
    </row>
    <row r="6439" spans="1:11" x14ac:dyDescent="0.25">
      <c r="A6439" t="s">
        <v>9</v>
      </c>
      <c r="B6439" t="s">
        <v>171</v>
      </c>
      <c r="C6439" t="s">
        <v>872</v>
      </c>
      <c r="D6439" t="s">
        <v>14</v>
      </c>
      <c r="E6439">
        <v>5</v>
      </c>
      <c r="F6439" s="2">
        <f>DATE(2026,IF(Tabla1[[#This Row],[Mes de Fecha]]="Septiembre",9,10),Tabla1[[#This Row],[Día de Fecha]])</f>
        <v>46300</v>
      </c>
      <c r="G6439">
        <v>1122506891</v>
      </c>
      <c r="H6439" t="s">
        <v>174</v>
      </c>
      <c r="I6439">
        <v>33</v>
      </c>
      <c r="J6439">
        <v>0</v>
      </c>
      <c r="K6439" s="1">
        <v>2065801</v>
      </c>
    </row>
    <row r="6440" spans="1:11" x14ac:dyDescent="0.25">
      <c r="A6440" t="s">
        <v>9</v>
      </c>
      <c r="B6440" t="s">
        <v>171</v>
      </c>
      <c r="C6440" t="s">
        <v>872</v>
      </c>
      <c r="D6440" t="s">
        <v>14</v>
      </c>
      <c r="E6440">
        <v>5</v>
      </c>
      <c r="F6440" s="2">
        <f>DATE(2026,IF(Tabla1[[#This Row],[Mes de Fecha]]="Septiembre",9,10),Tabla1[[#This Row],[Día de Fecha]])</f>
        <v>46300</v>
      </c>
      <c r="G6440">
        <v>1123561438</v>
      </c>
      <c r="H6440" t="s">
        <v>176</v>
      </c>
      <c r="I6440">
        <v>44</v>
      </c>
      <c r="J6440">
        <v>0</v>
      </c>
      <c r="K6440" s="1">
        <v>2422481</v>
      </c>
    </row>
    <row r="6441" spans="1:11" x14ac:dyDescent="0.25">
      <c r="A6441" t="s">
        <v>9</v>
      </c>
      <c r="B6441" t="s">
        <v>171</v>
      </c>
      <c r="C6441" t="s">
        <v>872</v>
      </c>
      <c r="D6441" t="s">
        <v>14</v>
      </c>
      <c r="E6441">
        <v>6</v>
      </c>
      <c r="F6441" s="2">
        <f>DATE(2026,IF(Tabla1[[#This Row],[Mes de Fecha]]="Septiembre",9,10),Tabla1[[#This Row],[Día de Fecha]])</f>
        <v>46301</v>
      </c>
      <c r="I6441">
        <v>0</v>
      </c>
      <c r="J6441" s="1">
        <v>6766110</v>
      </c>
      <c r="K6441">
        <v>0</v>
      </c>
    </row>
    <row r="6442" spans="1:11" x14ac:dyDescent="0.25">
      <c r="A6442" t="s">
        <v>9</v>
      </c>
      <c r="B6442" t="s">
        <v>171</v>
      </c>
      <c r="C6442" t="s">
        <v>872</v>
      </c>
      <c r="D6442" t="s">
        <v>14</v>
      </c>
      <c r="E6442">
        <v>6</v>
      </c>
      <c r="F6442" s="2">
        <f>DATE(2026,IF(Tabla1[[#This Row],[Mes de Fecha]]="Septiembre",9,10),Tabla1[[#This Row],[Día de Fecha]])</f>
        <v>46301</v>
      </c>
      <c r="G6442">
        <v>1120375006</v>
      </c>
      <c r="H6442" t="s">
        <v>175</v>
      </c>
      <c r="I6442">
        <v>8</v>
      </c>
      <c r="J6442">
        <v>0</v>
      </c>
      <c r="K6442" s="1">
        <v>451345</v>
      </c>
    </row>
    <row r="6443" spans="1:11" x14ac:dyDescent="0.25">
      <c r="A6443" t="s">
        <v>9</v>
      </c>
      <c r="B6443" t="s">
        <v>171</v>
      </c>
      <c r="C6443" t="s">
        <v>872</v>
      </c>
      <c r="D6443" t="s">
        <v>14</v>
      </c>
      <c r="E6443">
        <v>6</v>
      </c>
      <c r="F6443" s="2">
        <f>DATE(2026,IF(Tabla1[[#This Row],[Mes de Fecha]]="Septiembre",9,10),Tabla1[[#This Row],[Día de Fecha]])</f>
        <v>46301</v>
      </c>
      <c r="G6443">
        <v>1121835267</v>
      </c>
      <c r="H6443" t="s">
        <v>173</v>
      </c>
      <c r="I6443">
        <v>18</v>
      </c>
      <c r="J6443">
        <v>0</v>
      </c>
      <c r="K6443" s="1">
        <v>1009707</v>
      </c>
    </row>
    <row r="6444" spans="1:11" x14ac:dyDescent="0.25">
      <c r="A6444" t="s">
        <v>9</v>
      </c>
      <c r="B6444" t="s">
        <v>171</v>
      </c>
      <c r="C6444" t="s">
        <v>872</v>
      </c>
      <c r="D6444" t="s">
        <v>14</v>
      </c>
      <c r="E6444">
        <v>6</v>
      </c>
      <c r="F6444" s="2">
        <f>DATE(2026,IF(Tabla1[[#This Row],[Mes de Fecha]]="Septiembre",9,10),Tabla1[[#This Row],[Día de Fecha]])</f>
        <v>46301</v>
      </c>
      <c r="G6444">
        <v>1122506891</v>
      </c>
      <c r="H6444" t="s">
        <v>174</v>
      </c>
      <c r="I6444">
        <v>17</v>
      </c>
      <c r="J6444">
        <v>0</v>
      </c>
      <c r="K6444" s="1">
        <v>1058110</v>
      </c>
    </row>
    <row r="6445" spans="1:11" x14ac:dyDescent="0.25">
      <c r="A6445" t="s">
        <v>9</v>
      </c>
      <c r="B6445" t="s">
        <v>171</v>
      </c>
      <c r="C6445" t="s">
        <v>872</v>
      </c>
      <c r="D6445" t="s">
        <v>14</v>
      </c>
      <c r="E6445">
        <v>6</v>
      </c>
      <c r="F6445" s="2">
        <f>DATE(2026,IF(Tabla1[[#This Row],[Mes de Fecha]]="Septiembre",9,10),Tabla1[[#This Row],[Día de Fecha]])</f>
        <v>46301</v>
      </c>
      <c r="G6445">
        <v>1123561438</v>
      </c>
      <c r="H6445" t="s">
        <v>176</v>
      </c>
      <c r="I6445">
        <v>18</v>
      </c>
      <c r="J6445">
        <v>0</v>
      </c>
      <c r="K6445" s="1">
        <v>1077017</v>
      </c>
    </row>
    <row r="6446" spans="1:11" x14ac:dyDescent="0.25">
      <c r="A6446" t="s">
        <v>9</v>
      </c>
      <c r="B6446" t="s">
        <v>171</v>
      </c>
      <c r="C6446" t="s">
        <v>872</v>
      </c>
      <c r="D6446" t="s">
        <v>14</v>
      </c>
      <c r="E6446">
        <v>7</v>
      </c>
      <c r="F6446" s="2">
        <f>DATE(2026,IF(Tabla1[[#This Row],[Mes de Fecha]]="Septiembre",9,10),Tabla1[[#This Row],[Día de Fecha]])</f>
        <v>46302</v>
      </c>
      <c r="I6446">
        <v>0</v>
      </c>
      <c r="J6446" s="1">
        <v>4648000</v>
      </c>
      <c r="K6446">
        <v>0</v>
      </c>
    </row>
    <row r="6447" spans="1:11" x14ac:dyDescent="0.25">
      <c r="A6447" t="s">
        <v>9</v>
      </c>
      <c r="B6447" t="s">
        <v>171</v>
      </c>
      <c r="C6447" t="s">
        <v>872</v>
      </c>
      <c r="D6447" t="s">
        <v>14</v>
      </c>
      <c r="E6447">
        <v>7</v>
      </c>
      <c r="F6447" s="2">
        <f>DATE(2026,IF(Tabla1[[#This Row],[Mes de Fecha]]="Septiembre",9,10),Tabla1[[#This Row],[Día de Fecha]])</f>
        <v>46302</v>
      </c>
      <c r="G6447">
        <v>1120375006</v>
      </c>
      <c r="H6447" t="s">
        <v>175</v>
      </c>
      <c r="I6447">
        <v>4</v>
      </c>
      <c r="J6447">
        <v>0</v>
      </c>
      <c r="K6447" s="1">
        <v>260336</v>
      </c>
    </row>
    <row r="6448" spans="1:11" x14ac:dyDescent="0.25">
      <c r="A6448" t="s">
        <v>9</v>
      </c>
      <c r="B6448" t="s">
        <v>171</v>
      </c>
      <c r="C6448" t="s">
        <v>872</v>
      </c>
      <c r="D6448" t="s">
        <v>14</v>
      </c>
      <c r="E6448">
        <v>7</v>
      </c>
      <c r="F6448" s="2">
        <f>DATE(2026,IF(Tabla1[[#This Row],[Mes de Fecha]]="Septiembre",9,10),Tabla1[[#This Row],[Día de Fecha]])</f>
        <v>46302</v>
      </c>
      <c r="G6448">
        <v>1121835267</v>
      </c>
      <c r="H6448" t="s">
        <v>173</v>
      </c>
      <c r="I6448">
        <v>17</v>
      </c>
      <c r="J6448">
        <v>0</v>
      </c>
      <c r="K6448" s="1">
        <v>1079118</v>
      </c>
    </row>
    <row r="6449" spans="1:11" x14ac:dyDescent="0.25">
      <c r="A6449" t="s">
        <v>9</v>
      </c>
      <c r="B6449" t="s">
        <v>171</v>
      </c>
      <c r="C6449" t="s">
        <v>872</v>
      </c>
      <c r="D6449" t="s">
        <v>14</v>
      </c>
      <c r="E6449">
        <v>7</v>
      </c>
      <c r="F6449" s="2">
        <f>DATE(2026,IF(Tabla1[[#This Row],[Mes de Fecha]]="Septiembre",9,10),Tabla1[[#This Row],[Día de Fecha]])</f>
        <v>46302</v>
      </c>
      <c r="G6449">
        <v>1122506891</v>
      </c>
      <c r="H6449" t="s">
        <v>174</v>
      </c>
      <c r="I6449">
        <v>10</v>
      </c>
      <c r="J6449">
        <v>0</v>
      </c>
      <c r="K6449" s="1">
        <v>577311</v>
      </c>
    </row>
    <row r="6450" spans="1:11" x14ac:dyDescent="0.25">
      <c r="A6450" t="s">
        <v>9</v>
      </c>
      <c r="B6450" t="s">
        <v>171</v>
      </c>
      <c r="C6450" t="s">
        <v>872</v>
      </c>
      <c r="D6450" t="s">
        <v>14</v>
      </c>
      <c r="E6450">
        <v>7</v>
      </c>
      <c r="F6450" s="2">
        <f>DATE(2026,IF(Tabla1[[#This Row],[Mes de Fecha]]="Septiembre",9,10),Tabla1[[#This Row],[Día de Fecha]])</f>
        <v>46302</v>
      </c>
      <c r="G6450">
        <v>1123561438</v>
      </c>
      <c r="H6450" t="s">
        <v>176</v>
      </c>
      <c r="I6450">
        <v>23</v>
      </c>
      <c r="J6450">
        <v>0</v>
      </c>
      <c r="K6450" s="1">
        <v>1188109</v>
      </c>
    </row>
    <row r="6451" spans="1:11" x14ac:dyDescent="0.25">
      <c r="A6451" t="s">
        <v>9</v>
      </c>
      <c r="B6451" t="s">
        <v>192</v>
      </c>
      <c r="C6451" t="s">
        <v>872</v>
      </c>
      <c r="D6451" t="s">
        <v>11</v>
      </c>
      <c r="E6451">
        <v>23</v>
      </c>
      <c r="F6451" s="2">
        <f>DATE(2026,IF(Tabla1[[#This Row],[Mes de Fecha]]="Septiembre",9,10),Tabla1[[#This Row],[Día de Fecha]])</f>
        <v>46288</v>
      </c>
      <c r="I6451">
        <v>0</v>
      </c>
      <c r="J6451" s="1">
        <v>1989980</v>
      </c>
      <c r="K6451">
        <v>0</v>
      </c>
    </row>
    <row r="6452" spans="1:11" x14ac:dyDescent="0.25">
      <c r="A6452" t="s">
        <v>9</v>
      </c>
      <c r="B6452" t="s">
        <v>192</v>
      </c>
      <c r="C6452" t="s">
        <v>872</v>
      </c>
      <c r="D6452" t="s">
        <v>11</v>
      </c>
      <c r="E6452">
        <v>23</v>
      </c>
      <c r="F6452" s="2">
        <f>DATE(2026,IF(Tabla1[[#This Row],[Mes de Fecha]]="Septiembre",9,10),Tabla1[[#This Row],[Día de Fecha]])</f>
        <v>46288</v>
      </c>
      <c r="G6452">
        <v>1000295252</v>
      </c>
      <c r="H6452" t="s">
        <v>193</v>
      </c>
      <c r="I6452">
        <v>5</v>
      </c>
      <c r="J6452">
        <v>0</v>
      </c>
      <c r="K6452" s="1">
        <v>155294</v>
      </c>
    </row>
    <row r="6453" spans="1:11" x14ac:dyDescent="0.25">
      <c r="A6453" t="s">
        <v>9</v>
      </c>
      <c r="B6453" t="s">
        <v>192</v>
      </c>
      <c r="C6453" t="s">
        <v>872</v>
      </c>
      <c r="D6453" t="s">
        <v>11</v>
      </c>
      <c r="E6453">
        <v>23</v>
      </c>
      <c r="F6453" s="2">
        <f>DATE(2026,IF(Tabla1[[#This Row],[Mes de Fecha]]="Septiembre",9,10),Tabla1[[#This Row],[Día de Fecha]])</f>
        <v>46288</v>
      </c>
      <c r="G6453">
        <v>1056769138</v>
      </c>
      <c r="H6453" t="s">
        <v>194</v>
      </c>
      <c r="I6453">
        <v>46</v>
      </c>
      <c r="J6453">
        <v>0</v>
      </c>
      <c r="K6453" s="1">
        <v>2224917</v>
      </c>
    </row>
    <row r="6454" spans="1:11" x14ac:dyDescent="0.25">
      <c r="A6454" t="s">
        <v>9</v>
      </c>
      <c r="B6454" t="s">
        <v>192</v>
      </c>
      <c r="C6454" t="s">
        <v>872</v>
      </c>
      <c r="D6454" t="s">
        <v>11</v>
      </c>
      <c r="E6454">
        <v>23</v>
      </c>
      <c r="F6454" s="2">
        <f>DATE(2026,IF(Tabla1[[#This Row],[Mes de Fecha]]="Septiembre",9,10),Tabla1[[#This Row],[Día de Fecha]])</f>
        <v>46288</v>
      </c>
      <c r="G6454">
        <v>1056777427</v>
      </c>
      <c r="H6454" t="s">
        <v>195</v>
      </c>
      <c r="I6454">
        <v>37</v>
      </c>
      <c r="J6454">
        <v>0</v>
      </c>
      <c r="K6454" s="1">
        <v>1872394</v>
      </c>
    </row>
    <row r="6455" spans="1:11" x14ac:dyDescent="0.25">
      <c r="A6455" t="s">
        <v>9</v>
      </c>
      <c r="B6455" t="s">
        <v>192</v>
      </c>
      <c r="C6455" t="s">
        <v>872</v>
      </c>
      <c r="D6455" t="s">
        <v>11</v>
      </c>
      <c r="E6455">
        <v>24</v>
      </c>
      <c r="F6455" s="2">
        <f>DATE(2026,IF(Tabla1[[#This Row],[Mes de Fecha]]="Septiembre",9,10),Tabla1[[#This Row],[Día de Fecha]])</f>
        <v>46289</v>
      </c>
      <c r="I6455">
        <v>0</v>
      </c>
      <c r="J6455" s="1">
        <v>5146473</v>
      </c>
      <c r="K6455">
        <v>0</v>
      </c>
    </row>
    <row r="6456" spans="1:11" x14ac:dyDescent="0.25">
      <c r="A6456" t="s">
        <v>9</v>
      </c>
      <c r="B6456" t="s">
        <v>192</v>
      </c>
      <c r="C6456" t="s">
        <v>872</v>
      </c>
      <c r="D6456" t="s">
        <v>11</v>
      </c>
      <c r="E6456">
        <v>24</v>
      </c>
      <c r="F6456" s="2">
        <f>DATE(2026,IF(Tabla1[[#This Row],[Mes de Fecha]]="Septiembre",9,10),Tabla1[[#This Row],[Día de Fecha]])</f>
        <v>46289</v>
      </c>
      <c r="G6456">
        <v>1000295252</v>
      </c>
      <c r="H6456" t="s">
        <v>193</v>
      </c>
      <c r="I6456">
        <v>2</v>
      </c>
      <c r="J6456">
        <v>0</v>
      </c>
      <c r="K6456" s="1">
        <v>67144</v>
      </c>
    </row>
    <row r="6457" spans="1:11" x14ac:dyDescent="0.25">
      <c r="A6457" t="s">
        <v>9</v>
      </c>
      <c r="B6457" t="s">
        <v>192</v>
      </c>
      <c r="C6457" t="s">
        <v>872</v>
      </c>
      <c r="D6457" t="s">
        <v>11</v>
      </c>
      <c r="E6457">
        <v>24</v>
      </c>
      <c r="F6457" s="2">
        <f>DATE(2026,IF(Tabla1[[#This Row],[Mes de Fecha]]="Septiembre",9,10),Tabla1[[#This Row],[Día de Fecha]])</f>
        <v>46289</v>
      </c>
      <c r="G6457">
        <v>1056769138</v>
      </c>
      <c r="H6457" t="s">
        <v>194</v>
      </c>
      <c r="I6457">
        <v>16</v>
      </c>
      <c r="J6457">
        <v>0</v>
      </c>
      <c r="K6457" s="1">
        <v>986683</v>
      </c>
    </row>
    <row r="6458" spans="1:11" x14ac:dyDescent="0.25">
      <c r="A6458" t="s">
        <v>9</v>
      </c>
      <c r="B6458" t="s">
        <v>192</v>
      </c>
      <c r="C6458" t="s">
        <v>872</v>
      </c>
      <c r="D6458" t="s">
        <v>11</v>
      </c>
      <c r="E6458">
        <v>24</v>
      </c>
      <c r="F6458" s="2">
        <f>DATE(2026,IF(Tabla1[[#This Row],[Mes de Fecha]]="Septiembre",9,10),Tabla1[[#This Row],[Día de Fecha]])</f>
        <v>46289</v>
      </c>
      <c r="G6458">
        <v>1056777427</v>
      </c>
      <c r="H6458" t="s">
        <v>195</v>
      </c>
      <c r="I6458">
        <v>50</v>
      </c>
      <c r="J6458">
        <v>0</v>
      </c>
      <c r="K6458" s="1">
        <v>2726892</v>
      </c>
    </row>
    <row r="6459" spans="1:11" x14ac:dyDescent="0.25">
      <c r="A6459" t="s">
        <v>9</v>
      </c>
      <c r="B6459" t="s">
        <v>192</v>
      </c>
      <c r="C6459" t="s">
        <v>872</v>
      </c>
      <c r="D6459" t="s">
        <v>11</v>
      </c>
      <c r="E6459">
        <v>25</v>
      </c>
      <c r="F6459" s="2">
        <f>DATE(2026,IF(Tabla1[[#This Row],[Mes de Fecha]]="Septiembre",9,10),Tabla1[[#This Row],[Día de Fecha]])</f>
        <v>46290</v>
      </c>
      <c r="I6459">
        <v>0</v>
      </c>
      <c r="J6459" s="1">
        <v>5496711</v>
      </c>
      <c r="K6459">
        <v>0</v>
      </c>
    </row>
    <row r="6460" spans="1:11" x14ac:dyDescent="0.25">
      <c r="A6460" t="s">
        <v>9</v>
      </c>
      <c r="B6460" t="s">
        <v>192</v>
      </c>
      <c r="C6460" t="s">
        <v>872</v>
      </c>
      <c r="D6460" t="s">
        <v>11</v>
      </c>
      <c r="E6460">
        <v>25</v>
      </c>
      <c r="F6460" s="2">
        <f>DATE(2026,IF(Tabla1[[#This Row],[Mes de Fecha]]="Septiembre",9,10),Tabla1[[#This Row],[Día de Fecha]])</f>
        <v>46290</v>
      </c>
      <c r="G6460">
        <v>1000295252</v>
      </c>
      <c r="H6460" t="s">
        <v>193</v>
      </c>
      <c r="I6460">
        <v>5</v>
      </c>
      <c r="J6460">
        <v>0</v>
      </c>
      <c r="K6460" s="1">
        <v>247690</v>
      </c>
    </row>
    <row r="6461" spans="1:11" x14ac:dyDescent="0.25">
      <c r="A6461" t="s">
        <v>9</v>
      </c>
      <c r="B6461" t="s">
        <v>192</v>
      </c>
      <c r="C6461" t="s">
        <v>872</v>
      </c>
      <c r="D6461" t="s">
        <v>11</v>
      </c>
      <c r="E6461">
        <v>25</v>
      </c>
      <c r="F6461" s="2">
        <f>DATE(2026,IF(Tabla1[[#This Row],[Mes de Fecha]]="Septiembre",9,10),Tabla1[[#This Row],[Día de Fecha]])</f>
        <v>46290</v>
      </c>
      <c r="G6461">
        <v>1056769138</v>
      </c>
      <c r="H6461" t="s">
        <v>194</v>
      </c>
      <c r="I6461">
        <v>24</v>
      </c>
      <c r="J6461">
        <v>0</v>
      </c>
      <c r="K6461" s="1">
        <v>1246889</v>
      </c>
    </row>
    <row r="6462" spans="1:11" x14ac:dyDescent="0.25">
      <c r="A6462" t="s">
        <v>9</v>
      </c>
      <c r="B6462" t="s">
        <v>192</v>
      </c>
      <c r="C6462" t="s">
        <v>872</v>
      </c>
      <c r="D6462" t="s">
        <v>11</v>
      </c>
      <c r="E6462">
        <v>25</v>
      </c>
      <c r="F6462" s="2">
        <f>DATE(2026,IF(Tabla1[[#This Row],[Mes de Fecha]]="Septiembre",9,10),Tabla1[[#This Row],[Día de Fecha]])</f>
        <v>46290</v>
      </c>
      <c r="G6462">
        <v>1056777427</v>
      </c>
      <c r="H6462" t="s">
        <v>195</v>
      </c>
      <c r="I6462">
        <v>17</v>
      </c>
      <c r="J6462">
        <v>0</v>
      </c>
      <c r="K6462" s="1">
        <v>1068615</v>
      </c>
    </row>
    <row r="6463" spans="1:11" x14ac:dyDescent="0.25">
      <c r="A6463" t="s">
        <v>9</v>
      </c>
      <c r="B6463" t="s">
        <v>192</v>
      </c>
      <c r="C6463" t="s">
        <v>872</v>
      </c>
      <c r="D6463" t="s">
        <v>11</v>
      </c>
      <c r="E6463">
        <v>26</v>
      </c>
      <c r="F6463" s="2">
        <f>DATE(2026,IF(Tabla1[[#This Row],[Mes de Fecha]]="Septiembre",9,10),Tabla1[[#This Row],[Día de Fecha]])</f>
        <v>46291</v>
      </c>
      <c r="I6463">
        <v>0</v>
      </c>
      <c r="J6463" s="1">
        <v>6931216</v>
      </c>
      <c r="K6463">
        <v>0</v>
      </c>
    </row>
    <row r="6464" spans="1:11" x14ac:dyDescent="0.25">
      <c r="A6464" t="s">
        <v>9</v>
      </c>
      <c r="B6464" t="s">
        <v>192</v>
      </c>
      <c r="C6464" t="s">
        <v>872</v>
      </c>
      <c r="D6464" t="s">
        <v>11</v>
      </c>
      <c r="E6464">
        <v>26</v>
      </c>
      <c r="F6464" s="2">
        <f>DATE(2026,IF(Tabla1[[#This Row],[Mes de Fecha]]="Septiembre",9,10),Tabla1[[#This Row],[Día de Fecha]])</f>
        <v>46291</v>
      </c>
      <c r="G6464">
        <v>1000295252</v>
      </c>
      <c r="H6464" t="s">
        <v>193</v>
      </c>
      <c r="I6464">
        <v>12</v>
      </c>
      <c r="J6464">
        <v>0</v>
      </c>
      <c r="K6464" s="1">
        <v>604454</v>
      </c>
    </row>
    <row r="6465" spans="1:11" x14ac:dyDescent="0.25">
      <c r="A6465" t="s">
        <v>9</v>
      </c>
      <c r="B6465" t="s">
        <v>192</v>
      </c>
      <c r="C6465" t="s">
        <v>872</v>
      </c>
      <c r="D6465" t="s">
        <v>11</v>
      </c>
      <c r="E6465">
        <v>26</v>
      </c>
      <c r="F6465" s="2">
        <f>DATE(2026,IF(Tabla1[[#This Row],[Mes de Fecha]]="Septiembre",9,10),Tabla1[[#This Row],[Día de Fecha]])</f>
        <v>46291</v>
      </c>
      <c r="G6465">
        <v>1056769138</v>
      </c>
      <c r="H6465" t="s">
        <v>194</v>
      </c>
      <c r="I6465">
        <v>53</v>
      </c>
      <c r="J6465">
        <v>0</v>
      </c>
      <c r="K6465" s="1">
        <v>2381932</v>
      </c>
    </row>
    <row r="6466" spans="1:11" x14ac:dyDescent="0.25">
      <c r="A6466" t="s">
        <v>9</v>
      </c>
      <c r="B6466" t="s">
        <v>192</v>
      </c>
      <c r="C6466" t="s">
        <v>872</v>
      </c>
      <c r="D6466" t="s">
        <v>11</v>
      </c>
      <c r="E6466">
        <v>26</v>
      </c>
      <c r="F6466" s="2">
        <f>DATE(2026,IF(Tabla1[[#This Row],[Mes de Fecha]]="Septiembre",9,10),Tabla1[[#This Row],[Día de Fecha]])</f>
        <v>46291</v>
      </c>
      <c r="G6466">
        <v>1056777427</v>
      </c>
      <c r="H6466" t="s">
        <v>195</v>
      </c>
      <c r="I6466">
        <v>42</v>
      </c>
      <c r="J6466">
        <v>0</v>
      </c>
      <c r="K6466" s="1">
        <v>2239706</v>
      </c>
    </row>
    <row r="6467" spans="1:11" x14ac:dyDescent="0.25">
      <c r="A6467" t="s">
        <v>9</v>
      </c>
      <c r="B6467" t="s">
        <v>192</v>
      </c>
      <c r="C6467" t="s">
        <v>872</v>
      </c>
      <c r="D6467" t="s">
        <v>11</v>
      </c>
      <c r="E6467">
        <v>27</v>
      </c>
      <c r="F6467" s="2">
        <f>DATE(2026,IF(Tabla1[[#This Row],[Mes de Fecha]]="Septiembre",9,10),Tabla1[[#This Row],[Día de Fecha]])</f>
        <v>46292</v>
      </c>
      <c r="I6467">
        <v>0</v>
      </c>
      <c r="J6467" s="1">
        <v>3659616</v>
      </c>
      <c r="K6467">
        <v>0</v>
      </c>
    </row>
    <row r="6468" spans="1:11" x14ac:dyDescent="0.25">
      <c r="A6468" t="s">
        <v>9</v>
      </c>
      <c r="B6468" t="s">
        <v>192</v>
      </c>
      <c r="C6468" t="s">
        <v>872</v>
      </c>
      <c r="D6468" t="s">
        <v>11</v>
      </c>
      <c r="E6468">
        <v>27</v>
      </c>
      <c r="F6468" s="2">
        <f>DATE(2026,IF(Tabla1[[#This Row],[Mes de Fecha]]="Septiembre",9,10),Tabla1[[#This Row],[Día de Fecha]])</f>
        <v>46292</v>
      </c>
      <c r="G6468">
        <v>1000295252</v>
      </c>
      <c r="H6468" t="s">
        <v>193</v>
      </c>
      <c r="I6468">
        <v>35</v>
      </c>
      <c r="J6468">
        <v>0</v>
      </c>
      <c r="K6468" s="1">
        <v>1914288</v>
      </c>
    </row>
    <row r="6469" spans="1:11" x14ac:dyDescent="0.25">
      <c r="A6469" t="s">
        <v>9</v>
      </c>
      <c r="B6469" t="s">
        <v>192</v>
      </c>
      <c r="C6469" t="s">
        <v>872</v>
      </c>
      <c r="D6469" t="s">
        <v>11</v>
      </c>
      <c r="E6469">
        <v>28</v>
      </c>
      <c r="F6469" s="2">
        <f>DATE(2026,IF(Tabla1[[#This Row],[Mes de Fecha]]="Septiembre",9,10),Tabla1[[#This Row],[Día de Fecha]])</f>
        <v>46293</v>
      </c>
      <c r="I6469">
        <v>0</v>
      </c>
      <c r="J6469" s="1">
        <v>3000488</v>
      </c>
      <c r="K6469">
        <v>0</v>
      </c>
    </row>
    <row r="6470" spans="1:11" x14ac:dyDescent="0.25">
      <c r="A6470" t="s">
        <v>9</v>
      </c>
      <c r="B6470" t="s">
        <v>192</v>
      </c>
      <c r="C6470" t="s">
        <v>872</v>
      </c>
      <c r="D6470" t="s">
        <v>11</v>
      </c>
      <c r="E6470">
        <v>28</v>
      </c>
      <c r="F6470" s="2">
        <f>DATE(2026,IF(Tabla1[[#This Row],[Mes de Fecha]]="Septiembre",9,10),Tabla1[[#This Row],[Día de Fecha]])</f>
        <v>46293</v>
      </c>
      <c r="G6470">
        <v>1056769138</v>
      </c>
      <c r="H6470" t="s">
        <v>194</v>
      </c>
      <c r="I6470">
        <v>49</v>
      </c>
      <c r="J6470">
        <v>0</v>
      </c>
      <c r="K6470" s="1">
        <v>2253744</v>
      </c>
    </row>
    <row r="6471" spans="1:11" x14ac:dyDescent="0.25">
      <c r="A6471" t="s">
        <v>9</v>
      </c>
      <c r="B6471" t="s">
        <v>192</v>
      </c>
      <c r="C6471" t="s">
        <v>872</v>
      </c>
      <c r="D6471" t="s">
        <v>11</v>
      </c>
      <c r="E6471">
        <v>29</v>
      </c>
      <c r="F6471" s="2">
        <f>DATE(2026,IF(Tabla1[[#This Row],[Mes de Fecha]]="Septiembre",9,10),Tabla1[[#This Row],[Día de Fecha]])</f>
        <v>46294</v>
      </c>
      <c r="I6471">
        <v>0</v>
      </c>
      <c r="J6471" s="1">
        <v>3335654</v>
      </c>
      <c r="K6471">
        <v>0</v>
      </c>
    </row>
    <row r="6472" spans="1:11" x14ac:dyDescent="0.25">
      <c r="A6472" t="s">
        <v>9</v>
      </c>
      <c r="B6472" t="s">
        <v>192</v>
      </c>
      <c r="C6472" t="s">
        <v>872</v>
      </c>
      <c r="D6472" t="s">
        <v>11</v>
      </c>
      <c r="E6472">
        <v>29</v>
      </c>
      <c r="F6472" s="2">
        <f>DATE(2026,IF(Tabla1[[#This Row],[Mes de Fecha]]="Septiembre",9,10),Tabla1[[#This Row],[Día de Fecha]])</f>
        <v>46294</v>
      </c>
      <c r="G6472">
        <v>1000295252</v>
      </c>
      <c r="H6472" t="s">
        <v>193</v>
      </c>
      <c r="I6472">
        <v>4</v>
      </c>
      <c r="J6472">
        <v>0</v>
      </c>
      <c r="K6472" s="1">
        <v>268614</v>
      </c>
    </row>
    <row r="6473" spans="1:11" x14ac:dyDescent="0.25">
      <c r="A6473" t="s">
        <v>9</v>
      </c>
      <c r="B6473" t="s">
        <v>192</v>
      </c>
      <c r="C6473" t="s">
        <v>872</v>
      </c>
      <c r="D6473" t="s">
        <v>11</v>
      </c>
      <c r="E6473">
        <v>29</v>
      </c>
      <c r="F6473" s="2">
        <f>DATE(2026,IF(Tabla1[[#This Row],[Mes de Fecha]]="Septiembre",9,10),Tabla1[[#This Row],[Día de Fecha]])</f>
        <v>46294</v>
      </c>
      <c r="G6473">
        <v>1056769138</v>
      </c>
      <c r="H6473" t="s">
        <v>194</v>
      </c>
      <c r="I6473">
        <v>57</v>
      </c>
      <c r="J6473">
        <v>0</v>
      </c>
      <c r="K6473" s="1">
        <v>2686264</v>
      </c>
    </row>
    <row r="6474" spans="1:11" x14ac:dyDescent="0.25">
      <c r="A6474" t="s">
        <v>9</v>
      </c>
      <c r="B6474" t="s">
        <v>192</v>
      </c>
      <c r="C6474" t="s">
        <v>872</v>
      </c>
      <c r="D6474" t="s">
        <v>11</v>
      </c>
      <c r="E6474">
        <v>29</v>
      </c>
      <c r="F6474" s="2">
        <f>DATE(2026,IF(Tabla1[[#This Row],[Mes de Fecha]]="Septiembre",9,10),Tabla1[[#This Row],[Día de Fecha]])</f>
        <v>46294</v>
      </c>
      <c r="G6474">
        <v>1056777427</v>
      </c>
      <c r="H6474" t="s">
        <v>195</v>
      </c>
      <c r="I6474">
        <v>1</v>
      </c>
      <c r="J6474">
        <v>0</v>
      </c>
      <c r="K6474" s="1">
        <v>4118</v>
      </c>
    </row>
    <row r="6475" spans="1:11" x14ac:dyDescent="0.25">
      <c r="A6475" t="s">
        <v>9</v>
      </c>
      <c r="B6475" t="s">
        <v>192</v>
      </c>
      <c r="C6475" t="s">
        <v>872</v>
      </c>
      <c r="D6475" t="s">
        <v>11</v>
      </c>
      <c r="E6475">
        <v>30</v>
      </c>
      <c r="F6475" s="2">
        <f>DATE(2026,IF(Tabla1[[#This Row],[Mes de Fecha]]="Septiembre",9,10),Tabla1[[#This Row],[Día de Fecha]])</f>
        <v>46295</v>
      </c>
      <c r="I6475">
        <v>0</v>
      </c>
      <c r="J6475" s="1">
        <v>3532562</v>
      </c>
      <c r="K6475">
        <v>0</v>
      </c>
    </row>
    <row r="6476" spans="1:11" x14ac:dyDescent="0.25">
      <c r="A6476" t="s">
        <v>9</v>
      </c>
      <c r="B6476" t="s">
        <v>192</v>
      </c>
      <c r="C6476" t="s">
        <v>872</v>
      </c>
      <c r="D6476" t="s">
        <v>11</v>
      </c>
      <c r="E6476">
        <v>30</v>
      </c>
      <c r="F6476" s="2">
        <f>DATE(2026,IF(Tabla1[[#This Row],[Mes de Fecha]]="Septiembre",9,10),Tabla1[[#This Row],[Día de Fecha]])</f>
        <v>46295</v>
      </c>
      <c r="G6476">
        <v>1000295252</v>
      </c>
      <c r="H6476" t="s">
        <v>193</v>
      </c>
      <c r="I6476">
        <v>3</v>
      </c>
      <c r="J6476">
        <v>0</v>
      </c>
      <c r="K6476" s="1">
        <v>256176</v>
      </c>
    </row>
    <row r="6477" spans="1:11" x14ac:dyDescent="0.25">
      <c r="A6477" t="s">
        <v>9</v>
      </c>
      <c r="B6477" t="s">
        <v>192</v>
      </c>
      <c r="C6477" t="s">
        <v>872</v>
      </c>
      <c r="D6477" t="s">
        <v>11</v>
      </c>
      <c r="E6477">
        <v>30</v>
      </c>
      <c r="F6477" s="2">
        <f>DATE(2026,IF(Tabla1[[#This Row],[Mes de Fecha]]="Septiembre",9,10),Tabla1[[#This Row],[Día de Fecha]])</f>
        <v>46295</v>
      </c>
      <c r="G6477">
        <v>1056769138</v>
      </c>
      <c r="H6477" t="s">
        <v>194</v>
      </c>
      <c r="I6477">
        <v>43</v>
      </c>
      <c r="J6477">
        <v>0</v>
      </c>
      <c r="K6477" s="1">
        <v>2147019</v>
      </c>
    </row>
    <row r="6478" spans="1:11" x14ac:dyDescent="0.25">
      <c r="A6478" t="s">
        <v>9</v>
      </c>
      <c r="B6478" t="s">
        <v>192</v>
      </c>
      <c r="C6478" t="s">
        <v>872</v>
      </c>
      <c r="D6478" t="s">
        <v>11</v>
      </c>
      <c r="E6478">
        <v>30</v>
      </c>
      <c r="F6478" s="2">
        <f>DATE(2026,IF(Tabla1[[#This Row],[Mes de Fecha]]="Septiembre",9,10),Tabla1[[#This Row],[Día de Fecha]])</f>
        <v>46295</v>
      </c>
      <c r="G6478">
        <v>1056777427</v>
      </c>
      <c r="H6478" t="s">
        <v>195</v>
      </c>
      <c r="I6478">
        <v>3</v>
      </c>
      <c r="J6478">
        <v>0</v>
      </c>
      <c r="K6478">
        <v>-293</v>
      </c>
    </row>
    <row r="6479" spans="1:11" x14ac:dyDescent="0.25">
      <c r="A6479" t="s">
        <v>9</v>
      </c>
      <c r="B6479" t="s">
        <v>192</v>
      </c>
      <c r="C6479" t="s">
        <v>872</v>
      </c>
      <c r="D6479" t="s">
        <v>14</v>
      </c>
      <c r="E6479">
        <v>1</v>
      </c>
      <c r="F6479" s="2">
        <f>DATE(2026,IF(Tabla1[[#This Row],[Mes de Fecha]]="Septiembre",9,10),Tabla1[[#This Row],[Día de Fecha]])</f>
        <v>46296</v>
      </c>
      <c r="I6479">
        <v>0</v>
      </c>
      <c r="J6479" s="1">
        <v>4166343</v>
      </c>
      <c r="K6479">
        <v>0</v>
      </c>
    </row>
    <row r="6480" spans="1:11" x14ac:dyDescent="0.25">
      <c r="A6480" t="s">
        <v>9</v>
      </c>
      <c r="B6480" t="s">
        <v>192</v>
      </c>
      <c r="C6480" t="s">
        <v>872</v>
      </c>
      <c r="D6480" t="s">
        <v>14</v>
      </c>
      <c r="E6480">
        <v>1</v>
      </c>
      <c r="F6480" s="2">
        <f>DATE(2026,IF(Tabla1[[#This Row],[Mes de Fecha]]="Septiembre",9,10),Tabla1[[#This Row],[Día de Fecha]])</f>
        <v>46296</v>
      </c>
      <c r="G6480">
        <v>1000295252</v>
      </c>
      <c r="H6480" t="s">
        <v>193</v>
      </c>
      <c r="I6480">
        <v>37</v>
      </c>
      <c r="J6480">
        <v>0</v>
      </c>
      <c r="K6480" s="1">
        <v>1645942</v>
      </c>
    </row>
    <row r="6481" spans="1:11" x14ac:dyDescent="0.25">
      <c r="A6481" t="s">
        <v>9</v>
      </c>
      <c r="B6481" t="s">
        <v>192</v>
      </c>
      <c r="C6481" t="s">
        <v>872</v>
      </c>
      <c r="D6481" t="s">
        <v>14</v>
      </c>
      <c r="E6481">
        <v>1</v>
      </c>
      <c r="F6481" s="2">
        <f>DATE(2026,IF(Tabla1[[#This Row],[Mes de Fecha]]="Septiembre",9,10),Tabla1[[#This Row],[Día de Fecha]])</f>
        <v>46296</v>
      </c>
      <c r="G6481">
        <v>1056769138</v>
      </c>
      <c r="H6481" t="s">
        <v>194</v>
      </c>
      <c r="I6481">
        <v>39</v>
      </c>
      <c r="J6481">
        <v>0</v>
      </c>
      <c r="K6481" s="1">
        <v>1703785</v>
      </c>
    </row>
    <row r="6482" spans="1:11" x14ac:dyDescent="0.25">
      <c r="A6482" t="s">
        <v>9</v>
      </c>
      <c r="B6482" t="s">
        <v>192</v>
      </c>
      <c r="C6482" t="s">
        <v>872</v>
      </c>
      <c r="D6482" t="s">
        <v>14</v>
      </c>
      <c r="E6482">
        <v>2</v>
      </c>
      <c r="F6482" s="2">
        <f>DATE(2026,IF(Tabla1[[#This Row],[Mes de Fecha]]="Septiembre",9,10),Tabla1[[#This Row],[Día de Fecha]])</f>
        <v>46297</v>
      </c>
      <c r="I6482">
        <v>0</v>
      </c>
      <c r="J6482" s="1">
        <v>2969384</v>
      </c>
      <c r="K6482">
        <v>0</v>
      </c>
    </row>
    <row r="6483" spans="1:11" x14ac:dyDescent="0.25">
      <c r="A6483" t="s">
        <v>9</v>
      </c>
      <c r="B6483" t="s">
        <v>192</v>
      </c>
      <c r="C6483" t="s">
        <v>872</v>
      </c>
      <c r="D6483" t="s">
        <v>14</v>
      </c>
      <c r="E6483">
        <v>2</v>
      </c>
      <c r="F6483" s="2">
        <f>DATE(2026,IF(Tabla1[[#This Row],[Mes de Fecha]]="Septiembre",9,10),Tabla1[[#This Row],[Día de Fecha]])</f>
        <v>46297</v>
      </c>
      <c r="G6483">
        <v>1000295252</v>
      </c>
      <c r="H6483" t="s">
        <v>193</v>
      </c>
      <c r="I6483">
        <v>13</v>
      </c>
      <c r="J6483">
        <v>0</v>
      </c>
      <c r="K6483" s="1">
        <v>717816</v>
      </c>
    </row>
    <row r="6484" spans="1:11" x14ac:dyDescent="0.25">
      <c r="A6484" t="s">
        <v>9</v>
      </c>
      <c r="B6484" t="s">
        <v>192</v>
      </c>
      <c r="C6484" t="s">
        <v>872</v>
      </c>
      <c r="D6484" t="s">
        <v>14</v>
      </c>
      <c r="E6484">
        <v>2</v>
      </c>
      <c r="F6484" s="2">
        <f>DATE(2026,IF(Tabla1[[#This Row],[Mes de Fecha]]="Septiembre",9,10),Tabla1[[#This Row],[Día de Fecha]])</f>
        <v>46297</v>
      </c>
      <c r="G6484">
        <v>1056769138</v>
      </c>
      <c r="H6484" t="s">
        <v>194</v>
      </c>
      <c r="I6484">
        <v>53</v>
      </c>
      <c r="J6484">
        <v>0</v>
      </c>
      <c r="K6484" s="1">
        <v>2419541</v>
      </c>
    </row>
    <row r="6485" spans="1:11" x14ac:dyDescent="0.25">
      <c r="A6485" t="s">
        <v>9</v>
      </c>
      <c r="B6485" t="s">
        <v>192</v>
      </c>
      <c r="C6485" t="s">
        <v>872</v>
      </c>
      <c r="D6485" t="s">
        <v>14</v>
      </c>
      <c r="E6485">
        <v>3</v>
      </c>
      <c r="F6485" s="2">
        <f>DATE(2026,IF(Tabla1[[#This Row],[Mes de Fecha]]="Septiembre",9,10),Tabla1[[#This Row],[Día de Fecha]])</f>
        <v>46298</v>
      </c>
      <c r="I6485">
        <v>0</v>
      </c>
      <c r="J6485" s="1">
        <v>6238556</v>
      </c>
      <c r="K6485">
        <v>0</v>
      </c>
    </row>
    <row r="6486" spans="1:11" x14ac:dyDescent="0.25">
      <c r="A6486" t="s">
        <v>9</v>
      </c>
      <c r="B6486" t="s">
        <v>192</v>
      </c>
      <c r="C6486" t="s">
        <v>872</v>
      </c>
      <c r="D6486" t="s">
        <v>14</v>
      </c>
      <c r="E6486">
        <v>3</v>
      </c>
      <c r="F6486" s="2">
        <f>DATE(2026,IF(Tabla1[[#This Row],[Mes de Fecha]]="Septiembre",9,10),Tabla1[[#This Row],[Día de Fecha]])</f>
        <v>46298</v>
      </c>
      <c r="G6486">
        <v>1000295252</v>
      </c>
      <c r="H6486" t="s">
        <v>193</v>
      </c>
      <c r="I6486">
        <v>49</v>
      </c>
      <c r="J6486">
        <v>0</v>
      </c>
      <c r="K6486" s="1">
        <v>2278356</v>
      </c>
    </row>
    <row r="6487" spans="1:11" x14ac:dyDescent="0.25">
      <c r="A6487" t="s">
        <v>9</v>
      </c>
      <c r="B6487" t="s">
        <v>192</v>
      </c>
      <c r="C6487" t="s">
        <v>872</v>
      </c>
      <c r="D6487" t="s">
        <v>14</v>
      </c>
      <c r="E6487">
        <v>3</v>
      </c>
      <c r="F6487" s="2">
        <f>DATE(2026,IF(Tabla1[[#This Row],[Mes de Fecha]]="Septiembre",9,10),Tabla1[[#This Row],[Día de Fecha]])</f>
        <v>46298</v>
      </c>
      <c r="G6487">
        <v>1056769138</v>
      </c>
      <c r="H6487" t="s">
        <v>194</v>
      </c>
      <c r="I6487">
        <v>56</v>
      </c>
      <c r="J6487">
        <v>0</v>
      </c>
      <c r="K6487" s="1">
        <v>2665529</v>
      </c>
    </row>
    <row r="6488" spans="1:11" x14ac:dyDescent="0.25">
      <c r="A6488" t="s">
        <v>9</v>
      </c>
      <c r="B6488" t="s">
        <v>192</v>
      </c>
      <c r="C6488" t="s">
        <v>872</v>
      </c>
      <c r="D6488" t="s">
        <v>14</v>
      </c>
      <c r="E6488">
        <v>4</v>
      </c>
      <c r="F6488" s="2">
        <f>DATE(2026,IF(Tabla1[[#This Row],[Mes de Fecha]]="Septiembre",9,10),Tabla1[[#This Row],[Día de Fecha]])</f>
        <v>46299</v>
      </c>
      <c r="I6488">
        <v>0</v>
      </c>
      <c r="J6488" s="1">
        <v>4429759</v>
      </c>
      <c r="K6488">
        <v>0</v>
      </c>
    </row>
    <row r="6489" spans="1:11" x14ac:dyDescent="0.25">
      <c r="A6489" t="s">
        <v>9</v>
      </c>
      <c r="B6489" t="s">
        <v>192</v>
      </c>
      <c r="C6489" t="s">
        <v>872</v>
      </c>
      <c r="D6489" t="s">
        <v>14</v>
      </c>
      <c r="E6489">
        <v>4</v>
      </c>
      <c r="F6489" s="2">
        <f>DATE(2026,IF(Tabla1[[#This Row],[Mes de Fecha]]="Septiembre",9,10),Tabla1[[#This Row],[Día de Fecha]])</f>
        <v>46299</v>
      </c>
      <c r="G6489">
        <v>1000295252</v>
      </c>
      <c r="H6489" t="s">
        <v>193</v>
      </c>
      <c r="I6489">
        <v>42</v>
      </c>
      <c r="J6489">
        <v>0</v>
      </c>
      <c r="K6489" s="1">
        <v>1970462</v>
      </c>
    </row>
    <row r="6490" spans="1:11" x14ac:dyDescent="0.25">
      <c r="A6490" t="s">
        <v>9</v>
      </c>
      <c r="B6490" t="s">
        <v>192</v>
      </c>
      <c r="C6490" t="s">
        <v>872</v>
      </c>
      <c r="D6490" t="s">
        <v>14</v>
      </c>
      <c r="E6490">
        <v>4</v>
      </c>
      <c r="F6490" s="2">
        <f>DATE(2026,IF(Tabla1[[#This Row],[Mes de Fecha]]="Septiembre",9,10),Tabla1[[#This Row],[Día de Fecha]])</f>
        <v>46299</v>
      </c>
      <c r="G6490">
        <v>1056769138</v>
      </c>
      <c r="H6490" t="s">
        <v>194</v>
      </c>
      <c r="I6490">
        <v>1</v>
      </c>
      <c r="J6490">
        <v>0</v>
      </c>
      <c r="K6490" s="1">
        <v>31043</v>
      </c>
    </row>
    <row r="6491" spans="1:11" x14ac:dyDescent="0.25">
      <c r="A6491" t="s">
        <v>9</v>
      </c>
      <c r="B6491" t="s">
        <v>192</v>
      </c>
      <c r="C6491" t="s">
        <v>872</v>
      </c>
      <c r="D6491" t="s">
        <v>14</v>
      </c>
      <c r="E6491">
        <v>5</v>
      </c>
      <c r="F6491" s="2">
        <f>DATE(2026,IF(Tabla1[[#This Row],[Mes de Fecha]]="Septiembre",9,10),Tabla1[[#This Row],[Día de Fecha]])</f>
        <v>46300</v>
      </c>
      <c r="I6491">
        <v>0</v>
      </c>
      <c r="J6491" s="1">
        <v>3772415</v>
      </c>
      <c r="K6491">
        <v>0</v>
      </c>
    </row>
    <row r="6492" spans="1:11" x14ac:dyDescent="0.25">
      <c r="A6492" t="s">
        <v>9</v>
      </c>
      <c r="B6492" t="s">
        <v>192</v>
      </c>
      <c r="C6492" t="s">
        <v>872</v>
      </c>
      <c r="D6492" t="s">
        <v>14</v>
      </c>
      <c r="E6492">
        <v>5</v>
      </c>
      <c r="F6492" s="2">
        <f>DATE(2026,IF(Tabla1[[#This Row],[Mes de Fecha]]="Septiembre",9,10),Tabla1[[#This Row],[Día de Fecha]])</f>
        <v>46300</v>
      </c>
      <c r="G6492">
        <v>1000295252</v>
      </c>
      <c r="H6492" t="s">
        <v>193</v>
      </c>
      <c r="I6492">
        <v>16</v>
      </c>
      <c r="J6492">
        <v>0</v>
      </c>
      <c r="K6492" s="1">
        <v>969832</v>
      </c>
    </row>
    <row r="6493" spans="1:11" x14ac:dyDescent="0.25">
      <c r="A6493" t="s">
        <v>9</v>
      </c>
      <c r="B6493" t="s">
        <v>192</v>
      </c>
      <c r="C6493" t="s">
        <v>872</v>
      </c>
      <c r="D6493" t="s">
        <v>14</v>
      </c>
      <c r="E6493">
        <v>5</v>
      </c>
      <c r="F6493" s="2">
        <f>DATE(2026,IF(Tabla1[[#This Row],[Mes de Fecha]]="Septiembre",9,10),Tabla1[[#This Row],[Día de Fecha]])</f>
        <v>46300</v>
      </c>
      <c r="G6493">
        <v>1056769138</v>
      </c>
      <c r="H6493" t="s">
        <v>194</v>
      </c>
      <c r="I6493">
        <v>36</v>
      </c>
      <c r="J6493">
        <v>0</v>
      </c>
      <c r="K6493" s="1">
        <v>1783866</v>
      </c>
    </row>
    <row r="6494" spans="1:11" x14ac:dyDescent="0.25">
      <c r="A6494" t="s">
        <v>9</v>
      </c>
      <c r="B6494" t="s">
        <v>192</v>
      </c>
      <c r="C6494" t="s">
        <v>872</v>
      </c>
      <c r="D6494" t="s">
        <v>14</v>
      </c>
      <c r="E6494">
        <v>6</v>
      </c>
      <c r="F6494" s="2">
        <f>DATE(2026,IF(Tabla1[[#This Row],[Mes de Fecha]]="Septiembre",9,10),Tabla1[[#This Row],[Día de Fecha]])</f>
        <v>46301</v>
      </c>
      <c r="I6494">
        <v>0</v>
      </c>
      <c r="J6494" s="1">
        <v>3397337</v>
      </c>
      <c r="K6494">
        <v>0</v>
      </c>
    </row>
    <row r="6495" spans="1:11" x14ac:dyDescent="0.25">
      <c r="A6495" t="s">
        <v>9</v>
      </c>
      <c r="B6495" t="s">
        <v>192</v>
      </c>
      <c r="C6495" t="s">
        <v>872</v>
      </c>
      <c r="D6495" t="s">
        <v>14</v>
      </c>
      <c r="E6495">
        <v>6</v>
      </c>
      <c r="F6495" s="2">
        <f>DATE(2026,IF(Tabla1[[#This Row],[Mes de Fecha]]="Septiembre",9,10),Tabla1[[#This Row],[Día de Fecha]])</f>
        <v>46301</v>
      </c>
      <c r="G6495">
        <v>1000295252</v>
      </c>
      <c r="H6495" t="s">
        <v>193</v>
      </c>
      <c r="I6495">
        <v>23</v>
      </c>
      <c r="J6495">
        <v>0</v>
      </c>
      <c r="K6495" s="1">
        <v>1026093</v>
      </c>
    </row>
    <row r="6496" spans="1:11" x14ac:dyDescent="0.25">
      <c r="A6496" t="s">
        <v>9</v>
      </c>
      <c r="B6496" t="s">
        <v>192</v>
      </c>
      <c r="C6496" t="s">
        <v>872</v>
      </c>
      <c r="D6496" t="s">
        <v>14</v>
      </c>
      <c r="E6496">
        <v>6</v>
      </c>
      <c r="F6496" s="2">
        <f>DATE(2026,IF(Tabla1[[#This Row],[Mes de Fecha]]="Septiembre",9,10),Tabla1[[#This Row],[Día de Fecha]])</f>
        <v>46301</v>
      </c>
      <c r="G6496">
        <v>1056769138</v>
      </c>
      <c r="H6496" t="s">
        <v>194</v>
      </c>
      <c r="I6496">
        <v>23</v>
      </c>
      <c r="J6496">
        <v>0</v>
      </c>
      <c r="K6496" s="1">
        <v>1206808</v>
      </c>
    </row>
    <row r="6497" spans="1:11" x14ac:dyDescent="0.25">
      <c r="A6497" t="s">
        <v>9</v>
      </c>
      <c r="B6497" t="s">
        <v>192</v>
      </c>
      <c r="C6497" t="s">
        <v>872</v>
      </c>
      <c r="D6497" t="s">
        <v>14</v>
      </c>
      <c r="E6497">
        <v>7</v>
      </c>
      <c r="F6497" s="2">
        <f>DATE(2026,IF(Tabla1[[#This Row],[Mes de Fecha]]="Septiembre",9,10),Tabla1[[#This Row],[Día de Fecha]])</f>
        <v>46302</v>
      </c>
      <c r="I6497">
        <v>0</v>
      </c>
      <c r="J6497" s="1">
        <v>66475</v>
      </c>
      <c r="K6497">
        <v>0</v>
      </c>
    </row>
    <row r="6498" spans="1:11" x14ac:dyDescent="0.25">
      <c r="A6498" t="s">
        <v>9</v>
      </c>
      <c r="B6498" t="s">
        <v>192</v>
      </c>
      <c r="C6498" t="s">
        <v>872</v>
      </c>
      <c r="D6498" t="s">
        <v>14</v>
      </c>
      <c r="E6498">
        <v>7</v>
      </c>
      <c r="F6498" s="2">
        <f>DATE(2026,IF(Tabla1[[#This Row],[Mes de Fecha]]="Septiembre",9,10),Tabla1[[#This Row],[Día de Fecha]])</f>
        <v>46302</v>
      </c>
      <c r="G6498">
        <v>1000295252</v>
      </c>
      <c r="H6498" t="s">
        <v>193</v>
      </c>
      <c r="I6498">
        <v>29</v>
      </c>
      <c r="J6498">
        <v>0</v>
      </c>
      <c r="K6498" s="1">
        <v>1761262</v>
      </c>
    </row>
    <row r="6499" spans="1:11" x14ac:dyDescent="0.25">
      <c r="A6499" t="s">
        <v>9</v>
      </c>
      <c r="B6499" t="s">
        <v>192</v>
      </c>
      <c r="C6499" t="s">
        <v>872</v>
      </c>
      <c r="D6499" t="s">
        <v>14</v>
      </c>
      <c r="E6499">
        <v>7</v>
      </c>
      <c r="F6499" s="2">
        <f>DATE(2026,IF(Tabla1[[#This Row],[Mes de Fecha]]="Septiembre",9,10),Tabla1[[#This Row],[Día de Fecha]])</f>
        <v>46302</v>
      </c>
      <c r="G6499">
        <v>1056769138</v>
      </c>
      <c r="H6499" t="s">
        <v>194</v>
      </c>
      <c r="I6499">
        <v>43</v>
      </c>
      <c r="J6499">
        <v>0</v>
      </c>
      <c r="K6499" s="1">
        <v>1987608</v>
      </c>
    </row>
    <row r="6500" spans="1:11" x14ac:dyDescent="0.25">
      <c r="A6500" t="s">
        <v>9</v>
      </c>
      <c r="B6500" t="s">
        <v>200</v>
      </c>
      <c r="C6500" t="s">
        <v>872</v>
      </c>
      <c r="D6500" t="s">
        <v>11</v>
      </c>
      <c r="E6500">
        <v>23</v>
      </c>
      <c r="F6500" s="2">
        <f>DATE(2026,IF(Tabla1[[#This Row],[Mes de Fecha]]="Septiembre",9,10),Tabla1[[#This Row],[Día de Fecha]])</f>
        <v>46288</v>
      </c>
      <c r="I6500">
        <v>0</v>
      </c>
      <c r="J6500" s="1">
        <v>4161512</v>
      </c>
      <c r="K6500">
        <v>0</v>
      </c>
    </row>
    <row r="6501" spans="1:11" x14ac:dyDescent="0.25">
      <c r="A6501" t="s">
        <v>9</v>
      </c>
      <c r="B6501" t="s">
        <v>200</v>
      </c>
      <c r="C6501" t="s">
        <v>872</v>
      </c>
      <c r="D6501" t="s">
        <v>11</v>
      </c>
      <c r="E6501">
        <v>23</v>
      </c>
      <c r="F6501" s="2">
        <f>DATE(2026,IF(Tabla1[[#This Row],[Mes de Fecha]]="Septiembre",9,10),Tabla1[[#This Row],[Día de Fecha]])</f>
        <v>46288</v>
      </c>
      <c r="G6501">
        <v>40178744</v>
      </c>
      <c r="H6501" t="s">
        <v>202</v>
      </c>
      <c r="I6501">
        <v>28</v>
      </c>
      <c r="J6501">
        <v>0</v>
      </c>
      <c r="K6501" s="1">
        <v>1723611</v>
      </c>
    </row>
    <row r="6502" spans="1:11" x14ac:dyDescent="0.25">
      <c r="A6502" t="s">
        <v>9</v>
      </c>
      <c r="B6502" t="s">
        <v>200</v>
      </c>
      <c r="C6502" t="s">
        <v>872</v>
      </c>
      <c r="D6502" t="s">
        <v>11</v>
      </c>
      <c r="E6502">
        <v>23</v>
      </c>
      <c r="F6502" s="2">
        <f>DATE(2026,IF(Tabla1[[#This Row],[Mes de Fecha]]="Septiembre",9,10),Tabla1[[#This Row],[Día de Fecha]])</f>
        <v>46288</v>
      </c>
      <c r="G6502">
        <v>41059862</v>
      </c>
      <c r="H6502" t="s">
        <v>201</v>
      </c>
      <c r="I6502">
        <v>30</v>
      </c>
      <c r="J6502">
        <v>0</v>
      </c>
      <c r="K6502" s="1">
        <v>1378988</v>
      </c>
    </row>
    <row r="6503" spans="1:11" x14ac:dyDescent="0.25">
      <c r="A6503" t="s">
        <v>9</v>
      </c>
      <c r="B6503" t="s">
        <v>200</v>
      </c>
      <c r="C6503" t="s">
        <v>872</v>
      </c>
      <c r="D6503" t="s">
        <v>11</v>
      </c>
      <c r="E6503">
        <v>24</v>
      </c>
      <c r="F6503" s="2">
        <f>DATE(2026,IF(Tabla1[[#This Row],[Mes de Fecha]]="Septiembre",9,10),Tabla1[[#This Row],[Día de Fecha]])</f>
        <v>46289</v>
      </c>
      <c r="I6503">
        <v>0</v>
      </c>
      <c r="J6503" s="1">
        <v>10762471</v>
      </c>
      <c r="K6503">
        <v>0</v>
      </c>
    </row>
    <row r="6504" spans="1:11" x14ac:dyDescent="0.25">
      <c r="A6504" t="s">
        <v>9</v>
      </c>
      <c r="B6504" t="s">
        <v>200</v>
      </c>
      <c r="C6504" t="s">
        <v>872</v>
      </c>
      <c r="D6504" t="s">
        <v>11</v>
      </c>
      <c r="E6504">
        <v>24</v>
      </c>
      <c r="F6504" s="2">
        <f>DATE(2026,IF(Tabla1[[#This Row],[Mes de Fecha]]="Septiembre",9,10),Tabla1[[#This Row],[Día de Fecha]])</f>
        <v>46289</v>
      </c>
      <c r="G6504">
        <v>40178744</v>
      </c>
      <c r="H6504" t="s">
        <v>202</v>
      </c>
      <c r="I6504">
        <v>33</v>
      </c>
      <c r="J6504">
        <v>0</v>
      </c>
      <c r="K6504" s="1">
        <v>1796928</v>
      </c>
    </row>
    <row r="6505" spans="1:11" x14ac:dyDescent="0.25">
      <c r="A6505" t="s">
        <v>9</v>
      </c>
      <c r="B6505" t="s">
        <v>200</v>
      </c>
      <c r="C6505" t="s">
        <v>872</v>
      </c>
      <c r="D6505" t="s">
        <v>11</v>
      </c>
      <c r="E6505">
        <v>24</v>
      </c>
      <c r="F6505" s="2">
        <f>DATE(2026,IF(Tabla1[[#This Row],[Mes de Fecha]]="Septiembre",9,10),Tabla1[[#This Row],[Día de Fecha]])</f>
        <v>46289</v>
      </c>
      <c r="G6505">
        <v>41059862</v>
      </c>
      <c r="H6505" t="s">
        <v>201</v>
      </c>
      <c r="I6505">
        <v>29</v>
      </c>
      <c r="J6505">
        <v>0</v>
      </c>
      <c r="K6505" s="1">
        <v>1610118</v>
      </c>
    </row>
    <row r="6506" spans="1:11" x14ac:dyDescent="0.25">
      <c r="A6506" t="s">
        <v>9</v>
      </c>
      <c r="B6506" t="s">
        <v>200</v>
      </c>
      <c r="C6506" t="s">
        <v>872</v>
      </c>
      <c r="D6506" t="s">
        <v>11</v>
      </c>
      <c r="E6506">
        <v>25</v>
      </c>
      <c r="F6506" s="2">
        <f>DATE(2026,IF(Tabla1[[#This Row],[Mes de Fecha]]="Septiembre",9,10),Tabla1[[#This Row],[Día de Fecha]])</f>
        <v>46290</v>
      </c>
      <c r="I6506">
        <v>0</v>
      </c>
      <c r="J6506" s="1">
        <v>11494908</v>
      </c>
      <c r="K6506">
        <v>0</v>
      </c>
    </row>
    <row r="6507" spans="1:11" x14ac:dyDescent="0.25">
      <c r="A6507" t="s">
        <v>9</v>
      </c>
      <c r="B6507" t="s">
        <v>200</v>
      </c>
      <c r="C6507" t="s">
        <v>872</v>
      </c>
      <c r="D6507" t="s">
        <v>11</v>
      </c>
      <c r="E6507">
        <v>25</v>
      </c>
      <c r="F6507" s="2">
        <f>DATE(2026,IF(Tabla1[[#This Row],[Mes de Fecha]]="Septiembre",9,10),Tabla1[[#This Row],[Día de Fecha]])</f>
        <v>46290</v>
      </c>
      <c r="G6507">
        <v>40178744</v>
      </c>
      <c r="H6507" t="s">
        <v>202</v>
      </c>
      <c r="I6507">
        <v>48</v>
      </c>
      <c r="J6507">
        <v>0</v>
      </c>
      <c r="K6507" s="1">
        <v>2466466</v>
      </c>
    </row>
    <row r="6508" spans="1:11" x14ac:dyDescent="0.25">
      <c r="A6508" t="s">
        <v>9</v>
      </c>
      <c r="B6508" t="s">
        <v>200</v>
      </c>
      <c r="C6508" t="s">
        <v>872</v>
      </c>
      <c r="D6508" t="s">
        <v>11</v>
      </c>
      <c r="E6508">
        <v>25</v>
      </c>
      <c r="F6508" s="2">
        <f>DATE(2026,IF(Tabla1[[#This Row],[Mes de Fecha]]="Septiembre",9,10),Tabla1[[#This Row],[Día de Fecha]])</f>
        <v>46290</v>
      </c>
      <c r="G6508">
        <v>41059862</v>
      </c>
      <c r="H6508" t="s">
        <v>201</v>
      </c>
      <c r="I6508">
        <v>47</v>
      </c>
      <c r="J6508">
        <v>0</v>
      </c>
      <c r="K6508" s="1">
        <v>2609359</v>
      </c>
    </row>
    <row r="6509" spans="1:11" x14ac:dyDescent="0.25">
      <c r="A6509" t="s">
        <v>9</v>
      </c>
      <c r="B6509" t="s">
        <v>200</v>
      </c>
      <c r="C6509" t="s">
        <v>872</v>
      </c>
      <c r="D6509" t="s">
        <v>11</v>
      </c>
      <c r="E6509">
        <v>26</v>
      </c>
      <c r="F6509" s="2">
        <f>DATE(2026,IF(Tabla1[[#This Row],[Mes de Fecha]]="Septiembre",9,10),Tabla1[[#This Row],[Día de Fecha]])</f>
        <v>46291</v>
      </c>
      <c r="I6509">
        <v>0</v>
      </c>
      <c r="J6509" s="1">
        <v>14494787</v>
      </c>
      <c r="K6509">
        <v>0</v>
      </c>
    </row>
    <row r="6510" spans="1:11" x14ac:dyDescent="0.25">
      <c r="A6510" t="s">
        <v>9</v>
      </c>
      <c r="B6510" t="s">
        <v>200</v>
      </c>
      <c r="C6510" t="s">
        <v>872</v>
      </c>
      <c r="D6510" t="s">
        <v>11</v>
      </c>
      <c r="E6510">
        <v>26</v>
      </c>
      <c r="F6510" s="2">
        <f>DATE(2026,IF(Tabla1[[#This Row],[Mes de Fecha]]="Septiembre",9,10),Tabla1[[#This Row],[Día de Fecha]])</f>
        <v>46291</v>
      </c>
      <c r="G6510">
        <v>40178744</v>
      </c>
      <c r="H6510" t="s">
        <v>202</v>
      </c>
      <c r="I6510">
        <v>123</v>
      </c>
      <c r="J6510">
        <v>0</v>
      </c>
      <c r="K6510" s="1">
        <v>6130388</v>
      </c>
    </row>
    <row r="6511" spans="1:11" x14ac:dyDescent="0.25">
      <c r="A6511" t="s">
        <v>9</v>
      </c>
      <c r="B6511" t="s">
        <v>200</v>
      </c>
      <c r="C6511" t="s">
        <v>872</v>
      </c>
      <c r="D6511" t="s">
        <v>11</v>
      </c>
      <c r="E6511">
        <v>26</v>
      </c>
      <c r="F6511" s="2">
        <f>DATE(2026,IF(Tabla1[[#This Row],[Mes de Fecha]]="Septiembre",9,10),Tabla1[[#This Row],[Día de Fecha]])</f>
        <v>46291</v>
      </c>
      <c r="G6511">
        <v>41059862</v>
      </c>
      <c r="H6511" t="s">
        <v>201</v>
      </c>
      <c r="I6511">
        <v>115</v>
      </c>
      <c r="J6511">
        <v>0</v>
      </c>
      <c r="K6511" s="1">
        <v>5484725</v>
      </c>
    </row>
    <row r="6512" spans="1:11" x14ac:dyDescent="0.25">
      <c r="A6512" t="s">
        <v>9</v>
      </c>
      <c r="B6512" t="s">
        <v>200</v>
      </c>
      <c r="C6512" t="s">
        <v>872</v>
      </c>
      <c r="D6512" t="s">
        <v>11</v>
      </c>
      <c r="E6512">
        <v>27</v>
      </c>
      <c r="F6512" s="2">
        <f>DATE(2026,IF(Tabla1[[#This Row],[Mes de Fecha]]="Septiembre",9,10),Tabla1[[#This Row],[Día de Fecha]])</f>
        <v>46292</v>
      </c>
      <c r="I6512">
        <v>0</v>
      </c>
      <c r="J6512" s="1">
        <v>7653107</v>
      </c>
      <c r="K6512">
        <v>0</v>
      </c>
    </row>
    <row r="6513" spans="1:11" x14ac:dyDescent="0.25">
      <c r="A6513" t="s">
        <v>9</v>
      </c>
      <c r="B6513" t="s">
        <v>200</v>
      </c>
      <c r="C6513" t="s">
        <v>872</v>
      </c>
      <c r="D6513" t="s">
        <v>11</v>
      </c>
      <c r="E6513">
        <v>27</v>
      </c>
      <c r="F6513" s="2">
        <f>DATE(2026,IF(Tabla1[[#This Row],[Mes de Fecha]]="Septiembre",9,10),Tabla1[[#This Row],[Día de Fecha]])</f>
        <v>46292</v>
      </c>
      <c r="G6513">
        <v>40178744</v>
      </c>
      <c r="H6513" t="s">
        <v>202</v>
      </c>
      <c r="I6513">
        <v>46</v>
      </c>
      <c r="J6513">
        <v>0</v>
      </c>
      <c r="K6513" s="1">
        <v>2350357</v>
      </c>
    </row>
    <row r="6514" spans="1:11" x14ac:dyDescent="0.25">
      <c r="A6514" t="s">
        <v>9</v>
      </c>
      <c r="B6514" t="s">
        <v>200</v>
      </c>
      <c r="C6514" t="s">
        <v>872</v>
      </c>
      <c r="D6514" t="s">
        <v>11</v>
      </c>
      <c r="E6514">
        <v>27</v>
      </c>
      <c r="F6514" s="2">
        <f>DATE(2026,IF(Tabla1[[#This Row],[Mes de Fecha]]="Septiembre",9,10),Tabla1[[#This Row],[Día de Fecha]])</f>
        <v>46292</v>
      </c>
      <c r="G6514">
        <v>41059862</v>
      </c>
      <c r="H6514" t="s">
        <v>201</v>
      </c>
      <c r="I6514">
        <v>21</v>
      </c>
      <c r="J6514">
        <v>0</v>
      </c>
      <c r="K6514" s="1">
        <v>1110456</v>
      </c>
    </row>
    <row r="6515" spans="1:11" x14ac:dyDescent="0.25">
      <c r="A6515" t="s">
        <v>9</v>
      </c>
      <c r="B6515" t="s">
        <v>200</v>
      </c>
      <c r="C6515" t="s">
        <v>872</v>
      </c>
      <c r="D6515" t="s">
        <v>11</v>
      </c>
      <c r="E6515">
        <v>28</v>
      </c>
      <c r="F6515" s="2">
        <f>DATE(2026,IF(Tabla1[[#This Row],[Mes de Fecha]]="Septiembre",9,10),Tabla1[[#This Row],[Día de Fecha]])</f>
        <v>46293</v>
      </c>
      <c r="I6515">
        <v>0</v>
      </c>
      <c r="J6515" s="1">
        <v>6274717</v>
      </c>
      <c r="K6515">
        <v>0</v>
      </c>
    </row>
    <row r="6516" spans="1:11" x14ac:dyDescent="0.25">
      <c r="A6516" t="s">
        <v>9</v>
      </c>
      <c r="B6516" t="s">
        <v>200</v>
      </c>
      <c r="C6516" t="s">
        <v>872</v>
      </c>
      <c r="D6516" t="s">
        <v>11</v>
      </c>
      <c r="E6516">
        <v>28</v>
      </c>
      <c r="F6516" s="2">
        <f>DATE(2026,IF(Tabla1[[#This Row],[Mes de Fecha]]="Septiembre",9,10),Tabla1[[#This Row],[Día de Fecha]])</f>
        <v>46293</v>
      </c>
      <c r="G6516">
        <v>40178744</v>
      </c>
      <c r="H6516" t="s">
        <v>202</v>
      </c>
      <c r="I6516">
        <v>72</v>
      </c>
      <c r="J6516">
        <v>0</v>
      </c>
      <c r="K6516" s="1">
        <v>3285206</v>
      </c>
    </row>
    <row r="6517" spans="1:11" x14ac:dyDescent="0.25">
      <c r="A6517" t="s">
        <v>9</v>
      </c>
      <c r="B6517" t="s">
        <v>200</v>
      </c>
      <c r="C6517" t="s">
        <v>872</v>
      </c>
      <c r="D6517" t="s">
        <v>11</v>
      </c>
      <c r="E6517">
        <v>28</v>
      </c>
      <c r="F6517" s="2">
        <f>DATE(2026,IF(Tabla1[[#This Row],[Mes de Fecha]]="Septiembre",9,10),Tabla1[[#This Row],[Día de Fecha]])</f>
        <v>46293</v>
      </c>
      <c r="G6517">
        <v>41059862</v>
      </c>
      <c r="H6517" t="s">
        <v>201</v>
      </c>
      <c r="I6517">
        <v>81</v>
      </c>
      <c r="J6517">
        <v>0</v>
      </c>
      <c r="K6517" s="1">
        <v>3382383</v>
      </c>
    </row>
    <row r="6518" spans="1:11" x14ac:dyDescent="0.25">
      <c r="A6518" t="s">
        <v>9</v>
      </c>
      <c r="B6518" t="s">
        <v>200</v>
      </c>
      <c r="C6518" t="s">
        <v>872</v>
      </c>
      <c r="D6518" t="s">
        <v>11</v>
      </c>
      <c r="E6518">
        <v>29</v>
      </c>
      <c r="F6518" s="2">
        <f>DATE(2026,IF(Tabla1[[#This Row],[Mes de Fecha]]="Septiembre",9,10),Tabla1[[#This Row],[Día de Fecha]])</f>
        <v>46294</v>
      </c>
      <c r="I6518">
        <v>0</v>
      </c>
      <c r="J6518" s="1">
        <v>6975632</v>
      </c>
      <c r="K6518">
        <v>0</v>
      </c>
    </row>
    <row r="6519" spans="1:11" x14ac:dyDescent="0.25">
      <c r="A6519" t="s">
        <v>9</v>
      </c>
      <c r="B6519" t="s">
        <v>200</v>
      </c>
      <c r="C6519" t="s">
        <v>872</v>
      </c>
      <c r="D6519" t="s">
        <v>11</v>
      </c>
      <c r="E6519">
        <v>29</v>
      </c>
      <c r="F6519" s="2">
        <f>DATE(2026,IF(Tabla1[[#This Row],[Mes de Fecha]]="Septiembre",9,10),Tabla1[[#This Row],[Día de Fecha]])</f>
        <v>46294</v>
      </c>
      <c r="G6519">
        <v>40178744</v>
      </c>
      <c r="H6519" t="s">
        <v>202</v>
      </c>
      <c r="I6519">
        <v>69</v>
      </c>
      <c r="J6519">
        <v>0</v>
      </c>
      <c r="K6519" s="1">
        <v>2605862</v>
      </c>
    </row>
    <row r="6520" spans="1:11" x14ac:dyDescent="0.25">
      <c r="A6520" t="s">
        <v>9</v>
      </c>
      <c r="B6520" t="s">
        <v>200</v>
      </c>
      <c r="C6520" t="s">
        <v>872</v>
      </c>
      <c r="D6520" t="s">
        <v>11</v>
      </c>
      <c r="E6520">
        <v>29</v>
      </c>
      <c r="F6520" s="2">
        <f>DATE(2026,IF(Tabla1[[#This Row],[Mes de Fecha]]="Septiembre",9,10),Tabla1[[#This Row],[Día de Fecha]])</f>
        <v>46294</v>
      </c>
      <c r="G6520">
        <v>41059862</v>
      </c>
      <c r="H6520" t="s">
        <v>201</v>
      </c>
      <c r="I6520">
        <v>92</v>
      </c>
      <c r="J6520">
        <v>0</v>
      </c>
      <c r="K6520" s="1">
        <v>4451948</v>
      </c>
    </row>
    <row r="6521" spans="1:11" x14ac:dyDescent="0.25">
      <c r="A6521" t="s">
        <v>9</v>
      </c>
      <c r="B6521" t="s">
        <v>200</v>
      </c>
      <c r="C6521" t="s">
        <v>872</v>
      </c>
      <c r="D6521" t="s">
        <v>11</v>
      </c>
      <c r="E6521">
        <v>30</v>
      </c>
      <c r="F6521" s="2">
        <f>DATE(2026,IF(Tabla1[[#This Row],[Mes de Fecha]]="Septiembre",9,10),Tabla1[[#This Row],[Día de Fecha]])</f>
        <v>46295</v>
      </c>
      <c r="I6521">
        <v>0</v>
      </c>
      <c r="J6521" s="1">
        <v>7387413</v>
      </c>
      <c r="K6521">
        <v>0</v>
      </c>
    </row>
    <row r="6522" spans="1:11" x14ac:dyDescent="0.25">
      <c r="A6522" t="s">
        <v>9</v>
      </c>
      <c r="B6522" t="s">
        <v>200</v>
      </c>
      <c r="C6522" t="s">
        <v>872</v>
      </c>
      <c r="D6522" t="s">
        <v>11</v>
      </c>
      <c r="E6522">
        <v>30</v>
      </c>
      <c r="F6522" s="2">
        <f>DATE(2026,IF(Tabla1[[#This Row],[Mes de Fecha]]="Septiembre",9,10),Tabla1[[#This Row],[Día de Fecha]])</f>
        <v>46295</v>
      </c>
      <c r="G6522">
        <v>40178744</v>
      </c>
      <c r="H6522" t="s">
        <v>202</v>
      </c>
      <c r="I6522">
        <v>112</v>
      </c>
      <c r="J6522">
        <v>0</v>
      </c>
      <c r="K6522" s="1">
        <v>5727667</v>
      </c>
    </row>
    <row r="6523" spans="1:11" x14ac:dyDescent="0.25">
      <c r="A6523" t="s">
        <v>9</v>
      </c>
      <c r="B6523" t="s">
        <v>200</v>
      </c>
      <c r="C6523" t="s">
        <v>872</v>
      </c>
      <c r="D6523" t="s">
        <v>11</v>
      </c>
      <c r="E6523">
        <v>30</v>
      </c>
      <c r="F6523" s="2">
        <f>DATE(2026,IF(Tabla1[[#This Row],[Mes de Fecha]]="Septiembre",9,10),Tabla1[[#This Row],[Día de Fecha]])</f>
        <v>46295</v>
      </c>
      <c r="G6523">
        <v>41059862</v>
      </c>
      <c r="H6523" t="s">
        <v>201</v>
      </c>
      <c r="I6523">
        <v>134</v>
      </c>
      <c r="J6523">
        <v>0</v>
      </c>
      <c r="K6523" s="1">
        <v>6408581</v>
      </c>
    </row>
    <row r="6524" spans="1:11" x14ac:dyDescent="0.25">
      <c r="A6524" t="s">
        <v>9</v>
      </c>
      <c r="B6524" t="s">
        <v>200</v>
      </c>
      <c r="C6524" t="s">
        <v>872</v>
      </c>
      <c r="D6524" t="s">
        <v>14</v>
      </c>
      <c r="E6524">
        <v>1</v>
      </c>
      <c r="F6524" s="2">
        <f>DATE(2026,IF(Tabla1[[#This Row],[Mes de Fecha]]="Septiembre",9,10),Tabla1[[#This Row],[Día de Fecha]])</f>
        <v>46296</v>
      </c>
      <c r="I6524">
        <v>0</v>
      </c>
      <c r="J6524" s="1">
        <v>12542052</v>
      </c>
      <c r="K6524">
        <v>0</v>
      </c>
    </row>
    <row r="6525" spans="1:11" x14ac:dyDescent="0.25">
      <c r="A6525" t="s">
        <v>9</v>
      </c>
      <c r="B6525" t="s">
        <v>200</v>
      </c>
      <c r="C6525" t="s">
        <v>872</v>
      </c>
      <c r="D6525" t="s">
        <v>14</v>
      </c>
      <c r="E6525">
        <v>1</v>
      </c>
      <c r="F6525" s="2">
        <f>DATE(2026,IF(Tabla1[[#This Row],[Mes de Fecha]]="Septiembre",9,10),Tabla1[[#This Row],[Día de Fecha]])</f>
        <v>46296</v>
      </c>
      <c r="G6525">
        <v>40178744</v>
      </c>
      <c r="H6525" t="s">
        <v>202</v>
      </c>
      <c r="I6525">
        <v>81</v>
      </c>
      <c r="J6525">
        <v>0</v>
      </c>
      <c r="K6525" s="1">
        <v>3937881</v>
      </c>
    </row>
    <row r="6526" spans="1:11" x14ac:dyDescent="0.25">
      <c r="A6526" t="s">
        <v>9</v>
      </c>
      <c r="B6526" t="s">
        <v>200</v>
      </c>
      <c r="C6526" t="s">
        <v>872</v>
      </c>
      <c r="D6526" t="s">
        <v>14</v>
      </c>
      <c r="E6526">
        <v>1</v>
      </c>
      <c r="F6526" s="2">
        <f>DATE(2026,IF(Tabla1[[#This Row],[Mes de Fecha]]="Septiembre",9,10),Tabla1[[#This Row],[Día de Fecha]])</f>
        <v>46296</v>
      </c>
      <c r="G6526">
        <v>41059862</v>
      </c>
      <c r="H6526" t="s">
        <v>201</v>
      </c>
      <c r="I6526">
        <v>86</v>
      </c>
      <c r="J6526">
        <v>0</v>
      </c>
      <c r="K6526" s="1">
        <v>4149230</v>
      </c>
    </row>
    <row r="6527" spans="1:11" x14ac:dyDescent="0.25">
      <c r="A6527" t="s">
        <v>9</v>
      </c>
      <c r="B6527" t="s">
        <v>200</v>
      </c>
      <c r="C6527" t="s">
        <v>872</v>
      </c>
      <c r="D6527" t="s">
        <v>14</v>
      </c>
      <c r="E6527">
        <v>2</v>
      </c>
      <c r="F6527" s="2">
        <f>DATE(2026,IF(Tabla1[[#This Row],[Mes de Fecha]]="Septiembre",9,10),Tabla1[[#This Row],[Día de Fecha]])</f>
        <v>46297</v>
      </c>
      <c r="I6527">
        <v>0</v>
      </c>
      <c r="J6527" s="1">
        <v>11953773</v>
      </c>
      <c r="K6527">
        <v>0</v>
      </c>
    </row>
    <row r="6528" spans="1:11" x14ac:dyDescent="0.25">
      <c r="A6528" t="s">
        <v>9</v>
      </c>
      <c r="B6528" t="s">
        <v>200</v>
      </c>
      <c r="C6528" t="s">
        <v>872</v>
      </c>
      <c r="D6528" t="s">
        <v>14</v>
      </c>
      <c r="E6528">
        <v>2</v>
      </c>
      <c r="F6528" s="2">
        <f>DATE(2026,IF(Tabla1[[#This Row],[Mes de Fecha]]="Septiembre",9,10),Tabla1[[#This Row],[Día de Fecha]])</f>
        <v>46297</v>
      </c>
      <c r="G6528">
        <v>40178744</v>
      </c>
      <c r="H6528" t="s">
        <v>202</v>
      </c>
      <c r="I6528">
        <v>85</v>
      </c>
      <c r="J6528">
        <v>0</v>
      </c>
      <c r="K6528" s="1">
        <v>4219865</v>
      </c>
    </row>
    <row r="6529" spans="1:11" x14ac:dyDescent="0.25">
      <c r="A6529" t="s">
        <v>9</v>
      </c>
      <c r="B6529" t="s">
        <v>200</v>
      </c>
      <c r="C6529" t="s">
        <v>872</v>
      </c>
      <c r="D6529" t="s">
        <v>14</v>
      </c>
      <c r="E6529">
        <v>2</v>
      </c>
      <c r="F6529" s="2">
        <f>DATE(2026,IF(Tabla1[[#This Row],[Mes de Fecha]]="Septiembre",9,10),Tabla1[[#This Row],[Día de Fecha]])</f>
        <v>46297</v>
      </c>
      <c r="G6529">
        <v>41059862</v>
      </c>
      <c r="H6529" t="s">
        <v>201</v>
      </c>
      <c r="I6529">
        <v>113</v>
      </c>
      <c r="J6529">
        <v>0</v>
      </c>
      <c r="K6529" s="1">
        <v>5903088</v>
      </c>
    </row>
    <row r="6530" spans="1:11" x14ac:dyDescent="0.25">
      <c r="A6530" t="s">
        <v>9</v>
      </c>
      <c r="B6530" t="s">
        <v>200</v>
      </c>
      <c r="C6530" t="s">
        <v>872</v>
      </c>
      <c r="D6530" t="s">
        <v>14</v>
      </c>
      <c r="E6530">
        <v>3</v>
      </c>
      <c r="F6530" s="2">
        <f>DATE(2026,IF(Tabla1[[#This Row],[Mes de Fecha]]="Septiembre",9,10),Tabla1[[#This Row],[Día de Fecha]])</f>
        <v>46298</v>
      </c>
      <c r="I6530">
        <v>0</v>
      </c>
      <c r="J6530" s="1">
        <v>14604326</v>
      </c>
      <c r="K6530">
        <v>0</v>
      </c>
    </row>
    <row r="6531" spans="1:11" x14ac:dyDescent="0.25">
      <c r="A6531" t="s">
        <v>9</v>
      </c>
      <c r="B6531" t="s">
        <v>200</v>
      </c>
      <c r="C6531" t="s">
        <v>872</v>
      </c>
      <c r="D6531" t="s">
        <v>14</v>
      </c>
      <c r="E6531">
        <v>3</v>
      </c>
      <c r="F6531" s="2">
        <f>DATE(2026,IF(Tabla1[[#This Row],[Mes de Fecha]]="Septiembre",9,10),Tabla1[[#This Row],[Día de Fecha]])</f>
        <v>46298</v>
      </c>
      <c r="G6531">
        <v>40178744</v>
      </c>
      <c r="H6531" t="s">
        <v>202</v>
      </c>
      <c r="I6531">
        <v>117</v>
      </c>
      <c r="J6531">
        <v>0</v>
      </c>
      <c r="K6531" s="1">
        <v>5681807</v>
      </c>
    </row>
    <row r="6532" spans="1:11" x14ac:dyDescent="0.25">
      <c r="A6532" t="s">
        <v>9</v>
      </c>
      <c r="B6532" t="s">
        <v>200</v>
      </c>
      <c r="C6532" t="s">
        <v>872</v>
      </c>
      <c r="D6532" t="s">
        <v>14</v>
      </c>
      <c r="E6532">
        <v>3</v>
      </c>
      <c r="F6532" s="2">
        <f>DATE(2026,IF(Tabla1[[#This Row],[Mes de Fecha]]="Septiembre",9,10),Tabla1[[#This Row],[Día de Fecha]])</f>
        <v>46298</v>
      </c>
      <c r="G6532">
        <v>41059862</v>
      </c>
      <c r="H6532" t="s">
        <v>201</v>
      </c>
      <c r="I6532">
        <v>124</v>
      </c>
      <c r="J6532">
        <v>0</v>
      </c>
      <c r="K6532" s="1">
        <v>5813732</v>
      </c>
    </row>
    <row r="6533" spans="1:11" x14ac:dyDescent="0.25">
      <c r="A6533" t="s">
        <v>9</v>
      </c>
      <c r="B6533" t="s">
        <v>200</v>
      </c>
      <c r="C6533" t="s">
        <v>872</v>
      </c>
      <c r="D6533" t="s">
        <v>14</v>
      </c>
      <c r="E6533">
        <v>3</v>
      </c>
      <c r="F6533" s="2">
        <f>DATE(2026,IF(Tabla1[[#This Row],[Mes de Fecha]]="Septiembre",9,10),Tabla1[[#This Row],[Día de Fecha]])</f>
        <v>46298</v>
      </c>
      <c r="G6533">
        <v>1144145808</v>
      </c>
      <c r="H6533" t="s">
        <v>203</v>
      </c>
      <c r="I6533">
        <v>1</v>
      </c>
      <c r="J6533">
        <v>0</v>
      </c>
      <c r="K6533" s="1">
        <v>58781</v>
      </c>
    </row>
    <row r="6534" spans="1:11" x14ac:dyDescent="0.25">
      <c r="A6534" t="s">
        <v>9</v>
      </c>
      <c r="B6534" t="s">
        <v>200</v>
      </c>
      <c r="C6534" t="s">
        <v>872</v>
      </c>
      <c r="D6534" t="s">
        <v>14</v>
      </c>
      <c r="E6534">
        <v>4</v>
      </c>
      <c r="F6534" s="2">
        <f>DATE(2026,IF(Tabla1[[#This Row],[Mes de Fecha]]="Septiembre",9,10),Tabla1[[#This Row],[Día de Fecha]])</f>
        <v>46299</v>
      </c>
      <c r="I6534">
        <v>0</v>
      </c>
      <c r="J6534" s="1">
        <v>6131901</v>
      </c>
      <c r="K6534">
        <v>0</v>
      </c>
    </row>
    <row r="6535" spans="1:11" x14ac:dyDescent="0.25">
      <c r="A6535" t="s">
        <v>9</v>
      </c>
      <c r="B6535" t="s">
        <v>200</v>
      </c>
      <c r="C6535" t="s">
        <v>872</v>
      </c>
      <c r="D6535" t="s">
        <v>14</v>
      </c>
      <c r="E6535">
        <v>4</v>
      </c>
      <c r="F6535" s="2">
        <f>DATE(2026,IF(Tabla1[[#This Row],[Mes de Fecha]]="Septiembre",9,10),Tabla1[[#This Row],[Día de Fecha]])</f>
        <v>46299</v>
      </c>
      <c r="G6535">
        <v>40178744</v>
      </c>
      <c r="H6535" t="s">
        <v>202</v>
      </c>
      <c r="I6535">
        <v>32</v>
      </c>
      <c r="J6535">
        <v>0</v>
      </c>
      <c r="K6535" s="1">
        <v>1615836</v>
      </c>
    </row>
    <row r="6536" spans="1:11" x14ac:dyDescent="0.25">
      <c r="A6536" t="s">
        <v>9</v>
      </c>
      <c r="B6536" t="s">
        <v>200</v>
      </c>
      <c r="C6536" t="s">
        <v>872</v>
      </c>
      <c r="D6536" t="s">
        <v>14</v>
      </c>
      <c r="E6536">
        <v>4</v>
      </c>
      <c r="F6536" s="2">
        <f>DATE(2026,IF(Tabla1[[#This Row],[Mes de Fecha]]="Septiembre",9,10),Tabla1[[#This Row],[Día de Fecha]])</f>
        <v>46299</v>
      </c>
      <c r="G6536">
        <v>41059862</v>
      </c>
      <c r="H6536" t="s">
        <v>201</v>
      </c>
      <c r="I6536">
        <v>44</v>
      </c>
      <c r="J6536">
        <v>0</v>
      </c>
      <c r="K6536" s="1">
        <v>2445517</v>
      </c>
    </row>
    <row r="6537" spans="1:11" x14ac:dyDescent="0.25">
      <c r="A6537" t="s">
        <v>9</v>
      </c>
      <c r="B6537" t="s">
        <v>200</v>
      </c>
      <c r="C6537" t="s">
        <v>872</v>
      </c>
      <c r="D6537" t="s">
        <v>14</v>
      </c>
      <c r="E6537">
        <v>5</v>
      </c>
      <c r="F6537" s="2">
        <f>DATE(2026,IF(Tabla1[[#This Row],[Mes de Fecha]]="Septiembre",9,10),Tabla1[[#This Row],[Día de Fecha]])</f>
        <v>46300</v>
      </c>
      <c r="I6537">
        <v>0</v>
      </c>
      <c r="J6537" s="1">
        <v>9045218</v>
      </c>
      <c r="K6537">
        <v>0</v>
      </c>
    </row>
    <row r="6538" spans="1:11" x14ac:dyDescent="0.25">
      <c r="A6538" t="s">
        <v>9</v>
      </c>
      <c r="B6538" t="s">
        <v>200</v>
      </c>
      <c r="C6538" t="s">
        <v>872</v>
      </c>
      <c r="D6538" t="s">
        <v>14</v>
      </c>
      <c r="E6538">
        <v>5</v>
      </c>
      <c r="F6538" s="2">
        <f>DATE(2026,IF(Tabla1[[#This Row],[Mes de Fecha]]="Septiembre",9,10),Tabla1[[#This Row],[Día de Fecha]])</f>
        <v>46300</v>
      </c>
      <c r="G6538">
        <v>40178744</v>
      </c>
      <c r="H6538" t="s">
        <v>202</v>
      </c>
      <c r="I6538">
        <v>259</v>
      </c>
      <c r="J6538">
        <v>0</v>
      </c>
      <c r="K6538" s="1">
        <v>12587916</v>
      </c>
    </row>
    <row r="6539" spans="1:11" x14ac:dyDescent="0.25">
      <c r="A6539" t="s">
        <v>9</v>
      </c>
      <c r="B6539" t="s">
        <v>200</v>
      </c>
      <c r="C6539" t="s">
        <v>872</v>
      </c>
      <c r="D6539" t="s">
        <v>14</v>
      </c>
      <c r="E6539">
        <v>5</v>
      </c>
      <c r="F6539" s="2">
        <f>DATE(2026,IF(Tabla1[[#This Row],[Mes de Fecha]]="Septiembre",9,10),Tabla1[[#This Row],[Día de Fecha]])</f>
        <v>46300</v>
      </c>
      <c r="G6539">
        <v>41059862</v>
      </c>
      <c r="H6539" t="s">
        <v>201</v>
      </c>
      <c r="I6539">
        <v>28</v>
      </c>
      <c r="J6539">
        <v>0</v>
      </c>
      <c r="K6539" s="1">
        <v>956802</v>
      </c>
    </row>
    <row r="6540" spans="1:11" x14ac:dyDescent="0.25">
      <c r="A6540" t="s">
        <v>9</v>
      </c>
      <c r="B6540" t="s">
        <v>200</v>
      </c>
      <c r="C6540" t="s">
        <v>872</v>
      </c>
      <c r="D6540" t="s">
        <v>14</v>
      </c>
      <c r="E6540">
        <v>6</v>
      </c>
      <c r="F6540" s="2">
        <f>DATE(2026,IF(Tabla1[[#This Row],[Mes de Fecha]]="Septiembre",9,10),Tabla1[[#This Row],[Día de Fecha]])</f>
        <v>46301</v>
      </c>
      <c r="I6540">
        <v>0</v>
      </c>
      <c r="J6540" s="1">
        <v>7576508</v>
      </c>
      <c r="K6540">
        <v>0</v>
      </c>
    </row>
    <row r="6541" spans="1:11" x14ac:dyDescent="0.25">
      <c r="A6541" t="s">
        <v>9</v>
      </c>
      <c r="B6541" t="s">
        <v>200</v>
      </c>
      <c r="C6541" t="s">
        <v>872</v>
      </c>
      <c r="D6541" t="s">
        <v>14</v>
      </c>
      <c r="E6541">
        <v>6</v>
      </c>
      <c r="F6541" s="2">
        <f>DATE(2026,IF(Tabla1[[#This Row],[Mes de Fecha]]="Septiembre",9,10),Tabla1[[#This Row],[Día de Fecha]])</f>
        <v>46301</v>
      </c>
      <c r="G6541">
        <v>40178744</v>
      </c>
      <c r="H6541" t="s">
        <v>202</v>
      </c>
      <c r="I6541">
        <v>4</v>
      </c>
      <c r="J6541">
        <v>0</v>
      </c>
      <c r="K6541" s="1">
        <v>247688</v>
      </c>
    </row>
    <row r="6542" spans="1:11" x14ac:dyDescent="0.25">
      <c r="A6542" t="s">
        <v>9</v>
      </c>
      <c r="B6542" t="s">
        <v>200</v>
      </c>
      <c r="C6542" t="s">
        <v>872</v>
      </c>
      <c r="D6542" t="s">
        <v>14</v>
      </c>
      <c r="E6542">
        <v>6</v>
      </c>
      <c r="F6542" s="2">
        <f>DATE(2026,IF(Tabla1[[#This Row],[Mes de Fecha]]="Septiembre",9,10),Tabla1[[#This Row],[Día de Fecha]])</f>
        <v>46301</v>
      </c>
      <c r="G6542">
        <v>41059862</v>
      </c>
      <c r="H6542" t="s">
        <v>201</v>
      </c>
      <c r="I6542">
        <v>116</v>
      </c>
      <c r="J6542">
        <v>0</v>
      </c>
      <c r="K6542" s="1">
        <v>6208170</v>
      </c>
    </row>
    <row r="6543" spans="1:11" x14ac:dyDescent="0.25">
      <c r="A6543" t="s">
        <v>9</v>
      </c>
      <c r="B6543" t="s">
        <v>200</v>
      </c>
      <c r="C6543" t="s">
        <v>872</v>
      </c>
      <c r="D6543" t="s">
        <v>14</v>
      </c>
      <c r="E6543">
        <v>7</v>
      </c>
      <c r="F6543" s="2">
        <f>DATE(2026,IF(Tabla1[[#This Row],[Mes de Fecha]]="Septiembre",9,10),Tabla1[[#This Row],[Día de Fecha]])</f>
        <v>46302</v>
      </c>
      <c r="I6543">
        <v>0</v>
      </c>
      <c r="J6543" s="1">
        <v>2839373</v>
      </c>
      <c r="K6543">
        <v>0</v>
      </c>
    </row>
    <row r="6544" spans="1:11" x14ac:dyDescent="0.25">
      <c r="A6544" t="s">
        <v>9</v>
      </c>
      <c r="B6544" t="s">
        <v>200</v>
      </c>
      <c r="C6544" t="s">
        <v>872</v>
      </c>
      <c r="D6544" t="s">
        <v>14</v>
      </c>
      <c r="E6544">
        <v>7</v>
      </c>
      <c r="F6544" s="2">
        <f>DATE(2026,IF(Tabla1[[#This Row],[Mes de Fecha]]="Septiembre",9,10),Tabla1[[#This Row],[Día de Fecha]])</f>
        <v>46302</v>
      </c>
      <c r="G6544">
        <v>40178744</v>
      </c>
      <c r="H6544" t="s">
        <v>202</v>
      </c>
      <c r="I6544">
        <v>66</v>
      </c>
      <c r="J6544">
        <v>0</v>
      </c>
      <c r="K6544" s="1">
        <v>3885653</v>
      </c>
    </row>
    <row r="6545" spans="1:11" x14ac:dyDescent="0.25">
      <c r="A6545" t="s">
        <v>9</v>
      </c>
      <c r="B6545" t="s">
        <v>200</v>
      </c>
      <c r="C6545" t="s">
        <v>872</v>
      </c>
      <c r="D6545" t="s">
        <v>14</v>
      </c>
      <c r="E6545">
        <v>7</v>
      </c>
      <c r="F6545" s="2">
        <f>DATE(2026,IF(Tabla1[[#This Row],[Mes de Fecha]]="Septiembre",9,10),Tabla1[[#This Row],[Día de Fecha]])</f>
        <v>46302</v>
      </c>
      <c r="G6545">
        <v>41059862</v>
      </c>
      <c r="H6545" t="s">
        <v>201</v>
      </c>
      <c r="I6545">
        <v>70</v>
      </c>
      <c r="J6545">
        <v>0</v>
      </c>
      <c r="K6545" s="1">
        <v>3677166</v>
      </c>
    </row>
    <row r="6546" spans="1:11" x14ac:dyDescent="0.25">
      <c r="A6546" t="s">
        <v>9</v>
      </c>
      <c r="B6546" t="s">
        <v>208</v>
      </c>
      <c r="C6546" t="s">
        <v>872</v>
      </c>
      <c r="D6546" t="s">
        <v>11</v>
      </c>
      <c r="E6546">
        <v>23</v>
      </c>
      <c r="F6546" s="2">
        <f>DATE(2026,IF(Tabla1[[#This Row],[Mes de Fecha]]="Septiembre",9,10),Tabla1[[#This Row],[Día de Fecha]])</f>
        <v>46288</v>
      </c>
      <c r="I6546">
        <v>0</v>
      </c>
      <c r="J6546" s="1">
        <v>4930184</v>
      </c>
      <c r="K6546">
        <v>0</v>
      </c>
    </row>
    <row r="6547" spans="1:11" x14ac:dyDescent="0.25">
      <c r="A6547" t="s">
        <v>9</v>
      </c>
      <c r="B6547" t="s">
        <v>208</v>
      </c>
      <c r="C6547" t="s">
        <v>872</v>
      </c>
      <c r="D6547" t="s">
        <v>11</v>
      </c>
      <c r="E6547">
        <v>23</v>
      </c>
      <c r="F6547" s="2">
        <f>DATE(2026,IF(Tabla1[[#This Row],[Mes de Fecha]]="Septiembre",9,10),Tabla1[[#This Row],[Día de Fecha]])</f>
        <v>46288</v>
      </c>
      <c r="G6547">
        <v>5157250</v>
      </c>
      <c r="H6547" t="s">
        <v>209</v>
      </c>
      <c r="I6547">
        <v>87</v>
      </c>
      <c r="J6547">
        <v>0</v>
      </c>
      <c r="K6547" s="1">
        <v>4540508</v>
      </c>
    </row>
    <row r="6548" spans="1:11" x14ac:dyDescent="0.25">
      <c r="A6548" t="s">
        <v>9</v>
      </c>
      <c r="B6548" t="s">
        <v>208</v>
      </c>
      <c r="C6548" t="s">
        <v>872</v>
      </c>
      <c r="D6548" t="s">
        <v>11</v>
      </c>
      <c r="E6548">
        <v>23</v>
      </c>
      <c r="F6548" s="2">
        <f>DATE(2026,IF(Tabla1[[#This Row],[Mes de Fecha]]="Septiembre",9,10),Tabla1[[#This Row],[Día de Fecha]])</f>
        <v>46288</v>
      </c>
      <c r="G6548">
        <v>1007419423</v>
      </c>
      <c r="H6548" t="s">
        <v>211</v>
      </c>
      <c r="I6548">
        <v>36</v>
      </c>
      <c r="J6548">
        <v>0</v>
      </c>
      <c r="K6548" s="1">
        <v>1439708</v>
      </c>
    </row>
    <row r="6549" spans="1:11" x14ac:dyDescent="0.25">
      <c r="A6549" t="s">
        <v>9</v>
      </c>
      <c r="B6549" t="s">
        <v>208</v>
      </c>
      <c r="C6549" t="s">
        <v>872</v>
      </c>
      <c r="D6549" t="s">
        <v>11</v>
      </c>
      <c r="E6549">
        <v>23</v>
      </c>
      <c r="F6549" s="2">
        <f>DATE(2026,IF(Tabla1[[#This Row],[Mes de Fecha]]="Septiembre",9,10),Tabla1[[#This Row],[Día de Fecha]])</f>
        <v>46288</v>
      </c>
      <c r="G6549">
        <v>1049393048</v>
      </c>
      <c r="H6549" t="s">
        <v>210</v>
      </c>
      <c r="I6549">
        <v>78</v>
      </c>
      <c r="J6549">
        <v>0</v>
      </c>
      <c r="K6549" s="1">
        <v>3740462</v>
      </c>
    </row>
    <row r="6550" spans="1:11" x14ac:dyDescent="0.25">
      <c r="A6550" t="s">
        <v>9</v>
      </c>
      <c r="B6550" t="s">
        <v>208</v>
      </c>
      <c r="C6550" t="s">
        <v>872</v>
      </c>
      <c r="D6550" t="s">
        <v>11</v>
      </c>
      <c r="E6550">
        <v>24</v>
      </c>
      <c r="F6550" s="2">
        <f>DATE(2026,IF(Tabla1[[#This Row],[Mes de Fecha]]="Septiembre",9,10),Tabla1[[#This Row],[Día de Fecha]])</f>
        <v>46289</v>
      </c>
      <c r="I6550">
        <v>0</v>
      </c>
      <c r="J6550" s="1">
        <v>12750396</v>
      </c>
      <c r="K6550">
        <v>0</v>
      </c>
    </row>
    <row r="6551" spans="1:11" x14ac:dyDescent="0.25">
      <c r="A6551" t="s">
        <v>9</v>
      </c>
      <c r="B6551" t="s">
        <v>208</v>
      </c>
      <c r="C6551" t="s">
        <v>872</v>
      </c>
      <c r="D6551" t="s">
        <v>11</v>
      </c>
      <c r="E6551">
        <v>24</v>
      </c>
      <c r="F6551" s="2">
        <f>DATE(2026,IF(Tabla1[[#This Row],[Mes de Fecha]]="Septiembre",9,10),Tabla1[[#This Row],[Día de Fecha]])</f>
        <v>46289</v>
      </c>
      <c r="G6551">
        <v>5157250</v>
      </c>
      <c r="H6551" t="s">
        <v>209</v>
      </c>
      <c r="I6551">
        <v>47</v>
      </c>
      <c r="J6551">
        <v>0</v>
      </c>
      <c r="K6551" s="1">
        <v>2477021</v>
      </c>
    </row>
    <row r="6552" spans="1:11" x14ac:dyDescent="0.25">
      <c r="A6552" t="s">
        <v>9</v>
      </c>
      <c r="B6552" t="s">
        <v>208</v>
      </c>
      <c r="C6552" t="s">
        <v>872</v>
      </c>
      <c r="D6552" t="s">
        <v>11</v>
      </c>
      <c r="E6552">
        <v>24</v>
      </c>
      <c r="F6552" s="2">
        <f>DATE(2026,IF(Tabla1[[#This Row],[Mes de Fecha]]="Septiembre",9,10),Tabla1[[#This Row],[Día de Fecha]])</f>
        <v>46289</v>
      </c>
      <c r="G6552">
        <v>1007419423</v>
      </c>
      <c r="H6552" t="s">
        <v>211</v>
      </c>
      <c r="I6552">
        <v>49</v>
      </c>
      <c r="J6552">
        <v>0</v>
      </c>
      <c r="K6552" s="1">
        <v>2504246</v>
      </c>
    </row>
    <row r="6553" spans="1:11" x14ac:dyDescent="0.25">
      <c r="A6553" t="s">
        <v>9</v>
      </c>
      <c r="B6553" t="s">
        <v>208</v>
      </c>
      <c r="C6553" t="s">
        <v>872</v>
      </c>
      <c r="D6553" t="s">
        <v>11</v>
      </c>
      <c r="E6553">
        <v>24</v>
      </c>
      <c r="F6553" s="2">
        <f>DATE(2026,IF(Tabla1[[#This Row],[Mes de Fecha]]="Septiembre",9,10),Tabla1[[#This Row],[Día de Fecha]])</f>
        <v>46289</v>
      </c>
      <c r="G6553">
        <v>1049393048</v>
      </c>
      <c r="H6553" t="s">
        <v>210</v>
      </c>
      <c r="I6553">
        <v>70</v>
      </c>
      <c r="J6553">
        <v>0</v>
      </c>
      <c r="K6553" s="1">
        <v>3726054</v>
      </c>
    </row>
    <row r="6554" spans="1:11" x14ac:dyDescent="0.25">
      <c r="A6554" t="s">
        <v>9</v>
      </c>
      <c r="B6554" t="s">
        <v>208</v>
      </c>
      <c r="C6554" t="s">
        <v>872</v>
      </c>
      <c r="D6554" t="s">
        <v>11</v>
      </c>
      <c r="E6554">
        <v>25</v>
      </c>
      <c r="F6554" s="2">
        <f>DATE(2026,IF(Tabla1[[#This Row],[Mes de Fecha]]="Septiembre",9,10),Tabla1[[#This Row],[Día de Fecha]])</f>
        <v>46290</v>
      </c>
      <c r="I6554">
        <v>0</v>
      </c>
      <c r="J6554" s="1">
        <v>13618121</v>
      </c>
      <c r="K6554">
        <v>0</v>
      </c>
    </row>
    <row r="6555" spans="1:11" x14ac:dyDescent="0.25">
      <c r="A6555" t="s">
        <v>9</v>
      </c>
      <c r="B6555" t="s">
        <v>208</v>
      </c>
      <c r="C6555" t="s">
        <v>872</v>
      </c>
      <c r="D6555" t="s">
        <v>11</v>
      </c>
      <c r="E6555">
        <v>25</v>
      </c>
      <c r="F6555" s="2">
        <f>DATE(2026,IF(Tabla1[[#This Row],[Mes de Fecha]]="Septiembre",9,10),Tabla1[[#This Row],[Día de Fecha]])</f>
        <v>46290</v>
      </c>
      <c r="G6555">
        <v>5157250</v>
      </c>
      <c r="H6555" t="s">
        <v>209</v>
      </c>
      <c r="I6555">
        <v>103</v>
      </c>
      <c r="J6555">
        <v>0</v>
      </c>
      <c r="K6555" s="1">
        <v>4863284</v>
      </c>
    </row>
    <row r="6556" spans="1:11" x14ac:dyDescent="0.25">
      <c r="A6556" t="s">
        <v>9</v>
      </c>
      <c r="B6556" t="s">
        <v>208</v>
      </c>
      <c r="C6556" t="s">
        <v>872</v>
      </c>
      <c r="D6556" t="s">
        <v>11</v>
      </c>
      <c r="E6556">
        <v>25</v>
      </c>
      <c r="F6556" s="2">
        <f>DATE(2026,IF(Tabla1[[#This Row],[Mes de Fecha]]="Septiembre",9,10),Tabla1[[#This Row],[Día de Fecha]])</f>
        <v>46290</v>
      </c>
      <c r="G6556">
        <v>1007419423</v>
      </c>
      <c r="H6556" t="s">
        <v>211</v>
      </c>
      <c r="I6556">
        <v>68</v>
      </c>
      <c r="J6556">
        <v>0</v>
      </c>
      <c r="K6556" s="1">
        <v>3476142</v>
      </c>
    </row>
    <row r="6557" spans="1:11" x14ac:dyDescent="0.25">
      <c r="A6557" t="s">
        <v>9</v>
      </c>
      <c r="B6557" t="s">
        <v>208</v>
      </c>
      <c r="C6557" t="s">
        <v>872</v>
      </c>
      <c r="D6557" t="s">
        <v>11</v>
      </c>
      <c r="E6557">
        <v>25</v>
      </c>
      <c r="F6557" s="2">
        <f>DATE(2026,IF(Tabla1[[#This Row],[Mes de Fecha]]="Septiembre",9,10),Tabla1[[#This Row],[Día de Fecha]])</f>
        <v>46290</v>
      </c>
      <c r="G6557">
        <v>1049393048</v>
      </c>
      <c r="H6557" t="s">
        <v>210</v>
      </c>
      <c r="I6557">
        <v>80</v>
      </c>
      <c r="J6557">
        <v>0</v>
      </c>
      <c r="K6557" s="1">
        <v>4131100</v>
      </c>
    </row>
    <row r="6558" spans="1:11" x14ac:dyDescent="0.25">
      <c r="A6558" t="s">
        <v>9</v>
      </c>
      <c r="B6558" t="s">
        <v>208</v>
      </c>
      <c r="C6558" t="s">
        <v>872</v>
      </c>
      <c r="D6558" t="s">
        <v>11</v>
      </c>
      <c r="E6558">
        <v>26</v>
      </c>
      <c r="F6558" s="2">
        <f>DATE(2026,IF(Tabla1[[#This Row],[Mes de Fecha]]="Septiembre",9,10),Tabla1[[#This Row],[Día de Fecha]])</f>
        <v>46291</v>
      </c>
      <c r="I6558">
        <v>0</v>
      </c>
      <c r="J6558" s="1">
        <v>17172112</v>
      </c>
      <c r="K6558">
        <v>0</v>
      </c>
    </row>
    <row r="6559" spans="1:11" x14ac:dyDescent="0.25">
      <c r="A6559" t="s">
        <v>9</v>
      </c>
      <c r="B6559" t="s">
        <v>208</v>
      </c>
      <c r="C6559" t="s">
        <v>872</v>
      </c>
      <c r="D6559" t="s">
        <v>11</v>
      </c>
      <c r="E6559">
        <v>26</v>
      </c>
      <c r="F6559" s="2">
        <f>DATE(2026,IF(Tabla1[[#This Row],[Mes de Fecha]]="Septiembre",9,10),Tabla1[[#This Row],[Día de Fecha]])</f>
        <v>46291</v>
      </c>
      <c r="G6559">
        <v>5157250</v>
      </c>
      <c r="H6559" t="s">
        <v>209</v>
      </c>
      <c r="I6559">
        <v>104</v>
      </c>
      <c r="J6559">
        <v>0</v>
      </c>
      <c r="K6559" s="1">
        <v>5092101</v>
      </c>
    </row>
    <row r="6560" spans="1:11" x14ac:dyDescent="0.25">
      <c r="A6560" t="s">
        <v>9</v>
      </c>
      <c r="B6560" t="s">
        <v>208</v>
      </c>
      <c r="C6560" t="s">
        <v>872</v>
      </c>
      <c r="D6560" t="s">
        <v>11</v>
      </c>
      <c r="E6560">
        <v>26</v>
      </c>
      <c r="F6560" s="2">
        <f>DATE(2026,IF(Tabla1[[#This Row],[Mes de Fecha]]="Septiembre",9,10),Tabla1[[#This Row],[Día de Fecha]])</f>
        <v>46291</v>
      </c>
      <c r="G6560">
        <v>1007419423</v>
      </c>
      <c r="H6560" t="s">
        <v>211</v>
      </c>
      <c r="I6560">
        <v>91</v>
      </c>
      <c r="J6560">
        <v>0</v>
      </c>
      <c r="K6560" s="1">
        <v>4500382</v>
      </c>
    </row>
    <row r="6561" spans="1:11" x14ac:dyDescent="0.25">
      <c r="A6561" t="s">
        <v>9</v>
      </c>
      <c r="B6561" t="s">
        <v>208</v>
      </c>
      <c r="C6561" t="s">
        <v>872</v>
      </c>
      <c r="D6561" t="s">
        <v>11</v>
      </c>
      <c r="E6561">
        <v>26</v>
      </c>
      <c r="F6561" s="2">
        <f>DATE(2026,IF(Tabla1[[#This Row],[Mes de Fecha]]="Septiembre",9,10),Tabla1[[#This Row],[Día de Fecha]])</f>
        <v>46291</v>
      </c>
      <c r="G6561">
        <v>1049393048</v>
      </c>
      <c r="H6561" t="s">
        <v>210</v>
      </c>
      <c r="I6561">
        <v>106</v>
      </c>
      <c r="J6561">
        <v>0</v>
      </c>
      <c r="K6561" s="1">
        <v>4927941</v>
      </c>
    </row>
    <row r="6562" spans="1:11" x14ac:dyDescent="0.25">
      <c r="A6562" t="s">
        <v>9</v>
      </c>
      <c r="B6562" t="s">
        <v>208</v>
      </c>
      <c r="C6562" t="s">
        <v>872</v>
      </c>
      <c r="D6562" t="s">
        <v>11</v>
      </c>
      <c r="E6562">
        <v>27</v>
      </c>
      <c r="F6562" s="2">
        <f>DATE(2026,IF(Tabla1[[#This Row],[Mes de Fecha]]="Septiembre",9,10),Tabla1[[#This Row],[Día de Fecha]])</f>
        <v>46292</v>
      </c>
      <c r="I6562">
        <v>0</v>
      </c>
      <c r="J6562" s="1">
        <v>9066710</v>
      </c>
      <c r="K6562">
        <v>0</v>
      </c>
    </row>
    <row r="6563" spans="1:11" x14ac:dyDescent="0.25">
      <c r="A6563" t="s">
        <v>9</v>
      </c>
      <c r="B6563" t="s">
        <v>208</v>
      </c>
      <c r="C6563" t="s">
        <v>872</v>
      </c>
      <c r="D6563" t="s">
        <v>11</v>
      </c>
      <c r="E6563">
        <v>27</v>
      </c>
      <c r="F6563" s="2">
        <f>DATE(2026,IF(Tabla1[[#This Row],[Mes de Fecha]]="Septiembre",9,10),Tabla1[[#This Row],[Día de Fecha]])</f>
        <v>46292</v>
      </c>
      <c r="G6563">
        <v>5157250</v>
      </c>
      <c r="H6563" t="s">
        <v>209</v>
      </c>
      <c r="I6563">
        <v>60</v>
      </c>
      <c r="J6563">
        <v>0</v>
      </c>
      <c r="K6563" s="1">
        <v>3245378</v>
      </c>
    </row>
    <row r="6564" spans="1:11" x14ac:dyDescent="0.25">
      <c r="A6564" t="s">
        <v>9</v>
      </c>
      <c r="B6564" t="s">
        <v>208</v>
      </c>
      <c r="C6564" t="s">
        <v>872</v>
      </c>
      <c r="D6564" t="s">
        <v>11</v>
      </c>
      <c r="E6564">
        <v>27</v>
      </c>
      <c r="F6564" s="2">
        <f>DATE(2026,IF(Tabla1[[#This Row],[Mes de Fecha]]="Septiembre",9,10),Tabla1[[#This Row],[Día de Fecha]])</f>
        <v>46292</v>
      </c>
      <c r="G6564">
        <v>1049393048</v>
      </c>
      <c r="H6564" t="s">
        <v>210</v>
      </c>
      <c r="I6564">
        <v>61</v>
      </c>
      <c r="J6564">
        <v>0</v>
      </c>
      <c r="K6564" s="1">
        <v>2807900</v>
      </c>
    </row>
    <row r="6565" spans="1:11" x14ac:dyDescent="0.25">
      <c r="A6565" t="s">
        <v>9</v>
      </c>
      <c r="B6565" t="s">
        <v>208</v>
      </c>
      <c r="C6565" t="s">
        <v>872</v>
      </c>
      <c r="D6565" t="s">
        <v>11</v>
      </c>
      <c r="E6565">
        <v>28</v>
      </c>
      <c r="F6565" s="2">
        <f>DATE(2026,IF(Tabla1[[#This Row],[Mes de Fecha]]="Septiembre",9,10),Tabla1[[#This Row],[Día de Fecha]])</f>
        <v>46293</v>
      </c>
      <c r="I6565">
        <v>0</v>
      </c>
      <c r="J6565" s="1">
        <v>7433714</v>
      </c>
      <c r="K6565">
        <v>0</v>
      </c>
    </row>
    <row r="6566" spans="1:11" x14ac:dyDescent="0.25">
      <c r="A6566" t="s">
        <v>9</v>
      </c>
      <c r="B6566" t="s">
        <v>208</v>
      </c>
      <c r="C6566" t="s">
        <v>872</v>
      </c>
      <c r="D6566" t="s">
        <v>11</v>
      </c>
      <c r="E6566">
        <v>28</v>
      </c>
      <c r="F6566" s="2">
        <f>DATE(2026,IF(Tabla1[[#This Row],[Mes de Fecha]]="Septiembre",9,10),Tabla1[[#This Row],[Día de Fecha]])</f>
        <v>46293</v>
      </c>
      <c r="G6566">
        <v>5157250</v>
      </c>
      <c r="H6566" t="s">
        <v>209</v>
      </c>
      <c r="I6566">
        <v>40</v>
      </c>
      <c r="J6566">
        <v>0</v>
      </c>
      <c r="K6566" s="1">
        <v>1830255</v>
      </c>
    </row>
    <row r="6567" spans="1:11" x14ac:dyDescent="0.25">
      <c r="A6567" t="s">
        <v>9</v>
      </c>
      <c r="B6567" t="s">
        <v>208</v>
      </c>
      <c r="C6567" t="s">
        <v>872</v>
      </c>
      <c r="D6567" t="s">
        <v>11</v>
      </c>
      <c r="E6567">
        <v>28</v>
      </c>
      <c r="F6567" s="2">
        <f>DATE(2026,IF(Tabla1[[#This Row],[Mes de Fecha]]="Septiembre",9,10),Tabla1[[#This Row],[Día de Fecha]])</f>
        <v>46293</v>
      </c>
      <c r="G6567">
        <v>1007419423</v>
      </c>
      <c r="H6567" t="s">
        <v>211</v>
      </c>
      <c r="I6567">
        <v>41</v>
      </c>
      <c r="J6567">
        <v>0</v>
      </c>
      <c r="K6567" s="1">
        <v>2061265</v>
      </c>
    </row>
    <row r="6568" spans="1:11" x14ac:dyDescent="0.25">
      <c r="A6568" t="s">
        <v>9</v>
      </c>
      <c r="B6568" t="s">
        <v>208</v>
      </c>
      <c r="C6568" t="s">
        <v>872</v>
      </c>
      <c r="D6568" t="s">
        <v>11</v>
      </c>
      <c r="E6568">
        <v>28</v>
      </c>
      <c r="F6568" s="2">
        <f>DATE(2026,IF(Tabla1[[#This Row],[Mes de Fecha]]="Septiembre",9,10),Tabla1[[#This Row],[Día de Fecha]])</f>
        <v>46293</v>
      </c>
      <c r="G6568">
        <v>1049393048</v>
      </c>
      <c r="H6568" t="s">
        <v>210</v>
      </c>
      <c r="I6568">
        <v>47</v>
      </c>
      <c r="J6568">
        <v>0</v>
      </c>
      <c r="K6568" s="1">
        <v>2540040</v>
      </c>
    </row>
    <row r="6569" spans="1:11" x14ac:dyDescent="0.25">
      <c r="A6569" t="s">
        <v>9</v>
      </c>
      <c r="B6569" t="s">
        <v>208</v>
      </c>
      <c r="C6569" t="s">
        <v>872</v>
      </c>
      <c r="D6569" t="s">
        <v>11</v>
      </c>
      <c r="E6569">
        <v>29</v>
      </c>
      <c r="F6569" s="2">
        <f>DATE(2026,IF(Tabla1[[#This Row],[Mes de Fecha]]="Septiembre",9,10),Tabla1[[#This Row],[Día de Fecha]])</f>
        <v>46294</v>
      </c>
      <c r="I6569">
        <v>0</v>
      </c>
      <c r="J6569" s="1">
        <v>8264092</v>
      </c>
      <c r="K6569">
        <v>0</v>
      </c>
    </row>
    <row r="6570" spans="1:11" x14ac:dyDescent="0.25">
      <c r="A6570" t="s">
        <v>9</v>
      </c>
      <c r="B6570" t="s">
        <v>208</v>
      </c>
      <c r="C6570" t="s">
        <v>872</v>
      </c>
      <c r="D6570" t="s">
        <v>11</v>
      </c>
      <c r="E6570">
        <v>29</v>
      </c>
      <c r="F6570" s="2">
        <f>DATE(2026,IF(Tabla1[[#This Row],[Mes de Fecha]]="Septiembre",9,10),Tabla1[[#This Row],[Día de Fecha]])</f>
        <v>46294</v>
      </c>
      <c r="G6570">
        <v>5157250</v>
      </c>
      <c r="H6570" t="s">
        <v>209</v>
      </c>
      <c r="I6570">
        <v>41</v>
      </c>
      <c r="J6570">
        <v>0</v>
      </c>
      <c r="K6570" s="1">
        <v>1909961</v>
      </c>
    </row>
    <row r="6571" spans="1:11" x14ac:dyDescent="0.25">
      <c r="A6571" t="s">
        <v>9</v>
      </c>
      <c r="B6571" t="s">
        <v>208</v>
      </c>
      <c r="C6571" t="s">
        <v>872</v>
      </c>
      <c r="D6571" t="s">
        <v>11</v>
      </c>
      <c r="E6571">
        <v>29</v>
      </c>
      <c r="F6571" s="2">
        <f>DATE(2026,IF(Tabla1[[#This Row],[Mes de Fecha]]="Septiembre",9,10),Tabla1[[#This Row],[Día de Fecha]])</f>
        <v>46294</v>
      </c>
      <c r="G6571">
        <v>1007419423</v>
      </c>
      <c r="H6571" t="s">
        <v>211</v>
      </c>
      <c r="I6571">
        <v>29</v>
      </c>
      <c r="J6571">
        <v>0</v>
      </c>
      <c r="K6571" s="1">
        <v>1534454</v>
      </c>
    </row>
    <row r="6572" spans="1:11" x14ac:dyDescent="0.25">
      <c r="A6572" t="s">
        <v>9</v>
      </c>
      <c r="B6572" t="s">
        <v>208</v>
      </c>
      <c r="C6572" t="s">
        <v>872</v>
      </c>
      <c r="D6572" t="s">
        <v>11</v>
      </c>
      <c r="E6572">
        <v>29</v>
      </c>
      <c r="F6572" s="2">
        <f>DATE(2026,IF(Tabla1[[#This Row],[Mes de Fecha]]="Septiembre",9,10),Tabla1[[#This Row],[Día de Fecha]])</f>
        <v>46294</v>
      </c>
      <c r="G6572">
        <v>1049393048</v>
      </c>
      <c r="H6572" t="s">
        <v>210</v>
      </c>
      <c r="I6572">
        <v>54</v>
      </c>
      <c r="J6572">
        <v>0</v>
      </c>
      <c r="K6572" s="1">
        <v>2850504</v>
      </c>
    </row>
    <row r="6573" spans="1:11" x14ac:dyDescent="0.25">
      <c r="A6573" t="s">
        <v>9</v>
      </c>
      <c r="B6573" t="s">
        <v>208</v>
      </c>
      <c r="C6573" t="s">
        <v>872</v>
      </c>
      <c r="D6573" t="s">
        <v>11</v>
      </c>
      <c r="E6573">
        <v>30</v>
      </c>
      <c r="F6573" s="2">
        <f>DATE(2026,IF(Tabla1[[#This Row],[Mes de Fecha]]="Septiembre",9,10),Tabla1[[#This Row],[Día de Fecha]])</f>
        <v>46295</v>
      </c>
      <c r="I6573">
        <v>0</v>
      </c>
      <c r="J6573" s="1">
        <v>8751936</v>
      </c>
      <c r="K6573">
        <v>0</v>
      </c>
    </row>
    <row r="6574" spans="1:11" x14ac:dyDescent="0.25">
      <c r="A6574" t="s">
        <v>9</v>
      </c>
      <c r="B6574" t="s">
        <v>208</v>
      </c>
      <c r="C6574" t="s">
        <v>872</v>
      </c>
      <c r="D6574" t="s">
        <v>11</v>
      </c>
      <c r="E6574">
        <v>30</v>
      </c>
      <c r="F6574" s="2">
        <f>DATE(2026,IF(Tabla1[[#This Row],[Mes de Fecha]]="Septiembre",9,10),Tabla1[[#This Row],[Día de Fecha]])</f>
        <v>46295</v>
      </c>
      <c r="G6574">
        <v>5157250</v>
      </c>
      <c r="H6574" t="s">
        <v>209</v>
      </c>
      <c r="I6574">
        <v>38</v>
      </c>
      <c r="J6574">
        <v>0</v>
      </c>
      <c r="K6574" s="1">
        <v>1956389</v>
      </c>
    </row>
    <row r="6575" spans="1:11" x14ac:dyDescent="0.25">
      <c r="A6575" t="s">
        <v>9</v>
      </c>
      <c r="B6575" t="s">
        <v>208</v>
      </c>
      <c r="C6575" t="s">
        <v>872</v>
      </c>
      <c r="D6575" t="s">
        <v>11</v>
      </c>
      <c r="E6575">
        <v>30</v>
      </c>
      <c r="F6575" s="2">
        <f>DATE(2026,IF(Tabla1[[#This Row],[Mes de Fecha]]="Septiembre",9,10),Tabla1[[#This Row],[Día de Fecha]])</f>
        <v>46295</v>
      </c>
      <c r="G6575">
        <v>1007419423</v>
      </c>
      <c r="H6575" t="s">
        <v>211</v>
      </c>
      <c r="I6575">
        <v>23</v>
      </c>
      <c r="J6575">
        <v>0</v>
      </c>
      <c r="K6575" s="1">
        <v>1070465</v>
      </c>
    </row>
    <row r="6576" spans="1:11" x14ac:dyDescent="0.25">
      <c r="A6576" t="s">
        <v>9</v>
      </c>
      <c r="B6576" t="s">
        <v>208</v>
      </c>
      <c r="C6576" t="s">
        <v>872</v>
      </c>
      <c r="D6576" t="s">
        <v>11</v>
      </c>
      <c r="E6576">
        <v>30</v>
      </c>
      <c r="F6576" s="2">
        <f>DATE(2026,IF(Tabla1[[#This Row],[Mes de Fecha]]="Septiembre",9,10),Tabla1[[#This Row],[Día de Fecha]])</f>
        <v>46295</v>
      </c>
      <c r="G6576">
        <v>1049393048</v>
      </c>
      <c r="H6576" t="s">
        <v>210</v>
      </c>
      <c r="I6576">
        <v>51</v>
      </c>
      <c r="J6576">
        <v>0</v>
      </c>
      <c r="K6576" s="1">
        <v>2655419</v>
      </c>
    </row>
    <row r="6577" spans="1:11" x14ac:dyDescent="0.25">
      <c r="A6577" t="s">
        <v>9</v>
      </c>
      <c r="B6577" t="s">
        <v>208</v>
      </c>
      <c r="C6577" t="s">
        <v>872</v>
      </c>
      <c r="D6577" t="s">
        <v>14</v>
      </c>
      <c r="E6577">
        <v>1</v>
      </c>
      <c r="F6577" s="2">
        <f>DATE(2026,IF(Tabla1[[#This Row],[Mes de Fecha]]="Septiembre",9,10),Tabla1[[#This Row],[Día de Fecha]])</f>
        <v>46296</v>
      </c>
      <c r="I6577">
        <v>0</v>
      </c>
      <c r="J6577" s="1">
        <v>7244381</v>
      </c>
      <c r="K6577">
        <v>0</v>
      </c>
    </row>
    <row r="6578" spans="1:11" x14ac:dyDescent="0.25">
      <c r="A6578" t="s">
        <v>9</v>
      </c>
      <c r="B6578" t="s">
        <v>208</v>
      </c>
      <c r="C6578" t="s">
        <v>872</v>
      </c>
      <c r="D6578" t="s">
        <v>14</v>
      </c>
      <c r="E6578">
        <v>1</v>
      </c>
      <c r="F6578" s="2">
        <f>DATE(2026,IF(Tabla1[[#This Row],[Mes de Fecha]]="Septiembre",9,10),Tabla1[[#This Row],[Día de Fecha]])</f>
        <v>46296</v>
      </c>
      <c r="G6578">
        <v>5157250</v>
      </c>
      <c r="H6578" t="s">
        <v>209</v>
      </c>
      <c r="I6578">
        <v>40</v>
      </c>
      <c r="J6578">
        <v>0</v>
      </c>
      <c r="K6578" s="1">
        <v>1779789</v>
      </c>
    </row>
    <row r="6579" spans="1:11" x14ac:dyDescent="0.25">
      <c r="A6579" t="s">
        <v>9</v>
      </c>
      <c r="B6579" t="s">
        <v>208</v>
      </c>
      <c r="C6579" t="s">
        <v>872</v>
      </c>
      <c r="D6579" t="s">
        <v>14</v>
      </c>
      <c r="E6579">
        <v>1</v>
      </c>
      <c r="F6579" s="2">
        <f>DATE(2026,IF(Tabla1[[#This Row],[Mes de Fecha]]="Septiembre",9,10),Tabla1[[#This Row],[Día de Fecha]])</f>
        <v>46296</v>
      </c>
      <c r="G6579">
        <v>1007419423</v>
      </c>
      <c r="H6579" t="s">
        <v>211</v>
      </c>
      <c r="I6579">
        <v>60</v>
      </c>
      <c r="J6579">
        <v>0</v>
      </c>
      <c r="K6579" s="1">
        <v>3022648</v>
      </c>
    </row>
    <row r="6580" spans="1:11" x14ac:dyDescent="0.25">
      <c r="A6580" t="s">
        <v>9</v>
      </c>
      <c r="B6580" t="s">
        <v>208</v>
      </c>
      <c r="C6580" t="s">
        <v>872</v>
      </c>
      <c r="D6580" t="s">
        <v>14</v>
      </c>
      <c r="E6580">
        <v>1</v>
      </c>
      <c r="F6580" s="2">
        <f>DATE(2026,IF(Tabla1[[#This Row],[Mes de Fecha]]="Septiembre",9,10),Tabla1[[#This Row],[Día de Fecha]])</f>
        <v>46296</v>
      </c>
      <c r="G6580">
        <v>1049393048</v>
      </c>
      <c r="H6580" t="s">
        <v>210</v>
      </c>
      <c r="I6580">
        <v>44</v>
      </c>
      <c r="J6580">
        <v>0</v>
      </c>
      <c r="K6580" s="1">
        <v>2327902</v>
      </c>
    </row>
    <row r="6581" spans="1:11" x14ac:dyDescent="0.25">
      <c r="A6581" t="s">
        <v>9</v>
      </c>
      <c r="B6581" t="s">
        <v>208</v>
      </c>
      <c r="C6581" t="s">
        <v>872</v>
      </c>
      <c r="D6581" t="s">
        <v>14</v>
      </c>
      <c r="E6581">
        <v>2</v>
      </c>
      <c r="F6581" s="2">
        <f>DATE(2026,IF(Tabla1[[#This Row],[Mes de Fecha]]="Septiembre",9,10),Tabla1[[#This Row],[Día de Fecha]])</f>
        <v>46297</v>
      </c>
      <c r="I6581">
        <v>0</v>
      </c>
      <c r="J6581" s="1">
        <v>10351877</v>
      </c>
      <c r="K6581">
        <v>0</v>
      </c>
    </row>
    <row r="6582" spans="1:11" x14ac:dyDescent="0.25">
      <c r="A6582" t="s">
        <v>9</v>
      </c>
      <c r="B6582" t="s">
        <v>208</v>
      </c>
      <c r="C6582" t="s">
        <v>872</v>
      </c>
      <c r="D6582" t="s">
        <v>14</v>
      </c>
      <c r="E6582">
        <v>2</v>
      </c>
      <c r="F6582" s="2">
        <f>DATE(2026,IF(Tabla1[[#This Row],[Mes de Fecha]]="Septiembre",9,10),Tabla1[[#This Row],[Día de Fecha]])</f>
        <v>46297</v>
      </c>
      <c r="G6582">
        <v>5157250</v>
      </c>
      <c r="H6582" t="s">
        <v>209</v>
      </c>
      <c r="I6582">
        <v>53</v>
      </c>
      <c r="J6582">
        <v>0</v>
      </c>
      <c r="K6582" s="1">
        <v>2697270</v>
      </c>
    </row>
    <row r="6583" spans="1:11" x14ac:dyDescent="0.25">
      <c r="A6583" t="s">
        <v>9</v>
      </c>
      <c r="B6583" t="s">
        <v>208</v>
      </c>
      <c r="C6583" t="s">
        <v>872</v>
      </c>
      <c r="D6583" t="s">
        <v>14</v>
      </c>
      <c r="E6583">
        <v>2</v>
      </c>
      <c r="F6583" s="2">
        <f>DATE(2026,IF(Tabla1[[#This Row],[Mes de Fecha]]="Septiembre",9,10),Tabla1[[#This Row],[Día de Fecha]])</f>
        <v>46297</v>
      </c>
      <c r="G6583">
        <v>1007419423</v>
      </c>
      <c r="H6583" t="s">
        <v>211</v>
      </c>
      <c r="I6583">
        <v>61</v>
      </c>
      <c r="J6583">
        <v>0</v>
      </c>
      <c r="K6583" s="1">
        <v>2669623</v>
      </c>
    </row>
    <row r="6584" spans="1:11" x14ac:dyDescent="0.25">
      <c r="A6584" t="s">
        <v>9</v>
      </c>
      <c r="B6584" t="s">
        <v>208</v>
      </c>
      <c r="C6584" t="s">
        <v>872</v>
      </c>
      <c r="D6584" t="s">
        <v>14</v>
      </c>
      <c r="E6584">
        <v>2</v>
      </c>
      <c r="F6584" s="2">
        <f>DATE(2026,IF(Tabla1[[#This Row],[Mes de Fecha]]="Septiembre",9,10),Tabla1[[#This Row],[Día de Fecha]])</f>
        <v>46297</v>
      </c>
      <c r="G6584">
        <v>1049393048</v>
      </c>
      <c r="H6584" t="s">
        <v>210</v>
      </c>
      <c r="I6584">
        <v>71</v>
      </c>
      <c r="J6584">
        <v>0</v>
      </c>
      <c r="K6584" s="1">
        <v>4089201</v>
      </c>
    </row>
    <row r="6585" spans="1:11" x14ac:dyDescent="0.25">
      <c r="A6585" t="s">
        <v>9</v>
      </c>
      <c r="B6585" t="s">
        <v>208</v>
      </c>
      <c r="C6585" t="s">
        <v>872</v>
      </c>
      <c r="D6585" t="s">
        <v>14</v>
      </c>
      <c r="E6585">
        <v>3</v>
      </c>
      <c r="F6585" s="2">
        <f>DATE(2026,IF(Tabla1[[#This Row],[Mes de Fecha]]="Septiembre",9,10),Tabla1[[#This Row],[Día de Fecha]])</f>
        <v>46298</v>
      </c>
      <c r="I6585">
        <v>0</v>
      </c>
      <c r="J6585" s="1">
        <v>11729156</v>
      </c>
      <c r="K6585">
        <v>0</v>
      </c>
    </row>
    <row r="6586" spans="1:11" x14ac:dyDescent="0.25">
      <c r="A6586" t="s">
        <v>9</v>
      </c>
      <c r="B6586" t="s">
        <v>208</v>
      </c>
      <c r="C6586" t="s">
        <v>872</v>
      </c>
      <c r="D6586" t="s">
        <v>14</v>
      </c>
      <c r="E6586">
        <v>3</v>
      </c>
      <c r="F6586" s="2">
        <f>DATE(2026,IF(Tabla1[[#This Row],[Mes de Fecha]]="Septiembre",9,10),Tabla1[[#This Row],[Día de Fecha]])</f>
        <v>46298</v>
      </c>
      <c r="G6586">
        <v>5157250</v>
      </c>
      <c r="H6586" t="s">
        <v>209</v>
      </c>
      <c r="I6586">
        <v>58</v>
      </c>
      <c r="J6586">
        <v>0</v>
      </c>
      <c r="K6586" s="1">
        <v>2929472</v>
      </c>
    </row>
    <row r="6587" spans="1:11" x14ac:dyDescent="0.25">
      <c r="A6587" t="s">
        <v>9</v>
      </c>
      <c r="B6587" t="s">
        <v>208</v>
      </c>
      <c r="C6587" t="s">
        <v>872</v>
      </c>
      <c r="D6587" t="s">
        <v>14</v>
      </c>
      <c r="E6587">
        <v>3</v>
      </c>
      <c r="F6587" s="2">
        <f>DATE(2026,IF(Tabla1[[#This Row],[Mes de Fecha]]="Septiembre",9,10),Tabla1[[#This Row],[Día de Fecha]])</f>
        <v>46298</v>
      </c>
      <c r="G6587">
        <v>1007419423</v>
      </c>
      <c r="H6587" t="s">
        <v>211</v>
      </c>
      <c r="I6587">
        <v>111</v>
      </c>
      <c r="J6587">
        <v>0</v>
      </c>
      <c r="K6587" s="1">
        <v>5278400</v>
      </c>
    </row>
    <row r="6588" spans="1:11" x14ac:dyDescent="0.25">
      <c r="A6588" t="s">
        <v>9</v>
      </c>
      <c r="B6588" t="s">
        <v>208</v>
      </c>
      <c r="C6588" t="s">
        <v>872</v>
      </c>
      <c r="D6588" t="s">
        <v>14</v>
      </c>
      <c r="E6588">
        <v>3</v>
      </c>
      <c r="F6588" s="2">
        <f>DATE(2026,IF(Tabla1[[#This Row],[Mes de Fecha]]="Septiembre",9,10),Tabla1[[#This Row],[Día de Fecha]])</f>
        <v>46298</v>
      </c>
      <c r="G6588">
        <v>1049393048</v>
      </c>
      <c r="H6588" t="s">
        <v>210</v>
      </c>
      <c r="I6588">
        <v>61</v>
      </c>
      <c r="J6588">
        <v>0</v>
      </c>
      <c r="K6588" s="1">
        <v>2947031</v>
      </c>
    </row>
    <row r="6589" spans="1:11" x14ac:dyDescent="0.25">
      <c r="A6589" t="s">
        <v>9</v>
      </c>
      <c r="B6589" t="s">
        <v>208</v>
      </c>
      <c r="C6589" t="s">
        <v>872</v>
      </c>
      <c r="D6589" t="s">
        <v>14</v>
      </c>
      <c r="E6589">
        <v>4</v>
      </c>
      <c r="F6589" s="2">
        <f>DATE(2026,IF(Tabla1[[#This Row],[Mes de Fecha]]="Septiembre",9,10),Tabla1[[#This Row],[Día de Fecha]])</f>
        <v>46299</v>
      </c>
      <c r="I6589">
        <v>0</v>
      </c>
      <c r="J6589" s="1">
        <v>6288953</v>
      </c>
      <c r="K6589">
        <v>0</v>
      </c>
    </row>
    <row r="6590" spans="1:11" x14ac:dyDescent="0.25">
      <c r="A6590" t="s">
        <v>9</v>
      </c>
      <c r="B6590" t="s">
        <v>208</v>
      </c>
      <c r="C6590" t="s">
        <v>872</v>
      </c>
      <c r="D6590" t="s">
        <v>14</v>
      </c>
      <c r="E6590">
        <v>4</v>
      </c>
      <c r="F6590" s="2">
        <f>DATE(2026,IF(Tabla1[[#This Row],[Mes de Fecha]]="Septiembre",9,10),Tabla1[[#This Row],[Día de Fecha]])</f>
        <v>46299</v>
      </c>
      <c r="G6590">
        <v>5157250</v>
      </c>
      <c r="H6590" t="s">
        <v>209</v>
      </c>
      <c r="I6590">
        <v>52</v>
      </c>
      <c r="J6590">
        <v>0</v>
      </c>
      <c r="K6590" s="1">
        <v>2766684</v>
      </c>
    </row>
    <row r="6591" spans="1:11" x14ac:dyDescent="0.25">
      <c r="A6591" t="s">
        <v>9</v>
      </c>
      <c r="B6591" t="s">
        <v>208</v>
      </c>
      <c r="C6591" t="s">
        <v>872</v>
      </c>
      <c r="D6591" t="s">
        <v>14</v>
      </c>
      <c r="E6591">
        <v>4</v>
      </c>
      <c r="F6591" s="2">
        <f>DATE(2026,IF(Tabla1[[#This Row],[Mes de Fecha]]="Septiembre",9,10),Tabla1[[#This Row],[Día de Fecha]])</f>
        <v>46299</v>
      </c>
      <c r="G6591">
        <v>1007419423</v>
      </c>
      <c r="H6591" t="s">
        <v>211</v>
      </c>
      <c r="I6591">
        <v>0</v>
      </c>
      <c r="J6591">
        <v>0</v>
      </c>
      <c r="K6591" s="1">
        <v>8403</v>
      </c>
    </row>
    <row r="6592" spans="1:11" x14ac:dyDescent="0.25">
      <c r="A6592" t="s">
        <v>9</v>
      </c>
      <c r="B6592" t="s">
        <v>208</v>
      </c>
      <c r="C6592" t="s">
        <v>872</v>
      </c>
      <c r="D6592" t="s">
        <v>14</v>
      </c>
      <c r="E6592">
        <v>4</v>
      </c>
      <c r="F6592" s="2">
        <f>DATE(2026,IF(Tabla1[[#This Row],[Mes de Fecha]]="Septiembre",9,10),Tabla1[[#This Row],[Día de Fecha]])</f>
        <v>46299</v>
      </c>
      <c r="G6592">
        <v>1049393048</v>
      </c>
      <c r="H6592" t="s">
        <v>210</v>
      </c>
      <c r="I6592">
        <v>57</v>
      </c>
      <c r="J6592">
        <v>0</v>
      </c>
      <c r="K6592" s="1">
        <v>2724415</v>
      </c>
    </row>
    <row r="6593" spans="1:11" x14ac:dyDescent="0.25">
      <c r="A6593" t="s">
        <v>9</v>
      </c>
      <c r="B6593" t="s">
        <v>208</v>
      </c>
      <c r="C6593" t="s">
        <v>872</v>
      </c>
      <c r="D6593" t="s">
        <v>14</v>
      </c>
      <c r="E6593">
        <v>5</v>
      </c>
      <c r="F6593" s="2">
        <f>DATE(2026,IF(Tabla1[[#This Row],[Mes de Fecha]]="Septiembre",9,10),Tabla1[[#This Row],[Día de Fecha]])</f>
        <v>46300</v>
      </c>
      <c r="I6593">
        <v>0</v>
      </c>
      <c r="J6593" s="1">
        <v>5136028</v>
      </c>
      <c r="K6593">
        <v>0</v>
      </c>
    </row>
    <row r="6594" spans="1:11" x14ac:dyDescent="0.25">
      <c r="A6594" t="s">
        <v>9</v>
      </c>
      <c r="B6594" t="s">
        <v>208</v>
      </c>
      <c r="C6594" t="s">
        <v>872</v>
      </c>
      <c r="D6594" t="s">
        <v>14</v>
      </c>
      <c r="E6594">
        <v>5</v>
      </c>
      <c r="F6594" s="2">
        <f>DATE(2026,IF(Tabla1[[#This Row],[Mes de Fecha]]="Septiembre",9,10),Tabla1[[#This Row],[Día de Fecha]])</f>
        <v>46300</v>
      </c>
      <c r="G6594">
        <v>5157250</v>
      </c>
      <c r="H6594" t="s">
        <v>209</v>
      </c>
      <c r="I6594">
        <v>42</v>
      </c>
      <c r="J6594">
        <v>0</v>
      </c>
      <c r="K6594" s="1">
        <v>2330043</v>
      </c>
    </row>
    <row r="6595" spans="1:11" x14ac:dyDescent="0.25">
      <c r="A6595" t="s">
        <v>9</v>
      </c>
      <c r="B6595" t="s">
        <v>208</v>
      </c>
      <c r="C6595" t="s">
        <v>872</v>
      </c>
      <c r="D6595" t="s">
        <v>14</v>
      </c>
      <c r="E6595">
        <v>5</v>
      </c>
      <c r="F6595" s="2">
        <f>DATE(2026,IF(Tabla1[[#This Row],[Mes de Fecha]]="Septiembre",9,10),Tabla1[[#This Row],[Día de Fecha]])</f>
        <v>46300</v>
      </c>
      <c r="G6595">
        <v>1007419423</v>
      </c>
      <c r="H6595" t="s">
        <v>211</v>
      </c>
      <c r="I6595">
        <v>39</v>
      </c>
      <c r="J6595">
        <v>0</v>
      </c>
      <c r="K6595" s="1">
        <v>2073954</v>
      </c>
    </row>
    <row r="6596" spans="1:11" x14ac:dyDescent="0.25">
      <c r="A6596" t="s">
        <v>9</v>
      </c>
      <c r="B6596" t="s">
        <v>208</v>
      </c>
      <c r="C6596" t="s">
        <v>872</v>
      </c>
      <c r="D6596" t="s">
        <v>14</v>
      </c>
      <c r="E6596">
        <v>5</v>
      </c>
      <c r="F6596" s="2">
        <f>DATE(2026,IF(Tabla1[[#This Row],[Mes de Fecha]]="Septiembre",9,10),Tabla1[[#This Row],[Día de Fecha]])</f>
        <v>46300</v>
      </c>
      <c r="G6596">
        <v>1049393048</v>
      </c>
      <c r="H6596" t="s">
        <v>210</v>
      </c>
      <c r="I6596">
        <v>49</v>
      </c>
      <c r="J6596">
        <v>0</v>
      </c>
      <c r="K6596" s="1">
        <v>2628110</v>
      </c>
    </row>
    <row r="6597" spans="1:11" x14ac:dyDescent="0.25">
      <c r="A6597" t="s">
        <v>9</v>
      </c>
      <c r="B6597" t="s">
        <v>208</v>
      </c>
      <c r="C6597" t="s">
        <v>872</v>
      </c>
      <c r="D6597" t="s">
        <v>14</v>
      </c>
      <c r="E6597">
        <v>6</v>
      </c>
      <c r="F6597" s="2">
        <f>DATE(2026,IF(Tabla1[[#This Row],[Mes de Fecha]]="Septiembre",9,10),Tabla1[[#This Row],[Día de Fecha]])</f>
        <v>46301</v>
      </c>
      <c r="I6597">
        <v>0</v>
      </c>
      <c r="J6597" s="1">
        <v>4243071</v>
      </c>
      <c r="K6597">
        <v>0</v>
      </c>
    </row>
    <row r="6598" spans="1:11" x14ac:dyDescent="0.25">
      <c r="A6598" t="s">
        <v>9</v>
      </c>
      <c r="B6598" t="s">
        <v>208</v>
      </c>
      <c r="C6598" t="s">
        <v>872</v>
      </c>
      <c r="D6598" t="s">
        <v>14</v>
      </c>
      <c r="E6598">
        <v>6</v>
      </c>
      <c r="F6598" s="2">
        <f>DATE(2026,IF(Tabla1[[#This Row],[Mes de Fecha]]="Septiembre",9,10),Tabla1[[#This Row],[Día de Fecha]])</f>
        <v>46301</v>
      </c>
      <c r="G6598">
        <v>5157250</v>
      </c>
      <c r="H6598" t="s">
        <v>209</v>
      </c>
      <c r="I6598">
        <v>11</v>
      </c>
      <c r="J6598">
        <v>0</v>
      </c>
      <c r="K6598" s="1">
        <v>596177</v>
      </c>
    </row>
    <row r="6599" spans="1:11" x14ac:dyDescent="0.25">
      <c r="A6599" t="s">
        <v>9</v>
      </c>
      <c r="B6599" t="s">
        <v>208</v>
      </c>
      <c r="C6599" t="s">
        <v>872</v>
      </c>
      <c r="D6599" t="s">
        <v>14</v>
      </c>
      <c r="E6599">
        <v>6</v>
      </c>
      <c r="F6599" s="2">
        <f>DATE(2026,IF(Tabla1[[#This Row],[Mes de Fecha]]="Septiembre",9,10),Tabla1[[#This Row],[Día de Fecha]])</f>
        <v>46301</v>
      </c>
      <c r="G6599">
        <v>1007419423</v>
      </c>
      <c r="H6599" t="s">
        <v>211</v>
      </c>
      <c r="I6599">
        <v>22</v>
      </c>
      <c r="J6599">
        <v>0</v>
      </c>
      <c r="K6599" s="1">
        <v>1082982</v>
      </c>
    </row>
    <row r="6600" spans="1:11" x14ac:dyDescent="0.25">
      <c r="A6600" t="s">
        <v>9</v>
      </c>
      <c r="B6600" t="s">
        <v>208</v>
      </c>
      <c r="C6600" t="s">
        <v>872</v>
      </c>
      <c r="D6600" t="s">
        <v>14</v>
      </c>
      <c r="E6600">
        <v>6</v>
      </c>
      <c r="F6600" s="2">
        <f>DATE(2026,IF(Tabla1[[#This Row],[Mes de Fecha]]="Septiembre",9,10),Tabla1[[#This Row],[Día de Fecha]])</f>
        <v>46301</v>
      </c>
      <c r="G6600">
        <v>1049393048</v>
      </c>
      <c r="H6600" t="s">
        <v>210</v>
      </c>
      <c r="I6600">
        <v>17</v>
      </c>
      <c r="J6600">
        <v>0</v>
      </c>
      <c r="K6600" s="1">
        <v>1066472</v>
      </c>
    </row>
    <row r="6601" spans="1:11" x14ac:dyDescent="0.25">
      <c r="A6601" t="s">
        <v>9</v>
      </c>
      <c r="B6601" t="s">
        <v>208</v>
      </c>
      <c r="C6601" t="s">
        <v>872</v>
      </c>
      <c r="D6601" t="s">
        <v>14</v>
      </c>
      <c r="E6601">
        <v>7</v>
      </c>
      <c r="F6601" s="2">
        <f>DATE(2026,IF(Tabla1[[#This Row],[Mes de Fecha]]="Septiembre",9,10),Tabla1[[#This Row],[Día de Fecha]])</f>
        <v>46302</v>
      </c>
      <c r="I6601">
        <v>0</v>
      </c>
      <c r="J6601" s="1">
        <v>3312463</v>
      </c>
      <c r="K6601">
        <v>0</v>
      </c>
    </row>
    <row r="6602" spans="1:11" x14ac:dyDescent="0.25">
      <c r="A6602" t="s">
        <v>9</v>
      </c>
      <c r="B6602" t="s">
        <v>208</v>
      </c>
      <c r="C6602" t="s">
        <v>872</v>
      </c>
      <c r="D6602" t="s">
        <v>14</v>
      </c>
      <c r="E6602">
        <v>7</v>
      </c>
      <c r="F6602" s="2">
        <f>DATE(2026,IF(Tabla1[[#This Row],[Mes de Fecha]]="Septiembre",9,10),Tabla1[[#This Row],[Día de Fecha]])</f>
        <v>46302</v>
      </c>
      <c r="G6602">
        <v>5157250</v>
      </c>
      <c r="H6602" t="s">
        <v>209</v>
      </c>
      <c r="I6602">
        <v>43</v>
      </c>
      <c r="J6602">
        <v>0</v>
      </c>
      <c r="K6602" s="1">
        <v>2182649</v>
      </c>
    </row>
    <row r="6603" spans="1:11" x14ac:dyDescent="0.25">
      <c r="A6603" t="s">
        <v>9</v>
      </c>
      <c r="B6603" t="s">
        <v>208</v>
      </c>
      <c r="C6603" t="s">
        <v>872</v>
      </c>
      <c r="D6603" t="s">
        <v>14</v>
      </c>
      <c r="E6603">
        <v>7</v>
      </c>
      <c r="F6603" s="2">
        <f>DATE(2026,IF(Tabla1[[#This Row],[Mes de Fecha]]="Septiembre",9,10),Tabla1[[#This Row],[Día de Fecha]])</f>
        <v>46302</v>
      </c>
      <c r="G6603">
        <v>1007419423</v>
      </c>
      <c r="H6603" t="s">
        <v>211</v>
      </c>
      <c r="I6603">
        <v>19</v>
      </c>
      <c r="J6603">
        <v>0</v>
      </c>
      <c r="K6603" s="1">
        <v>1301683</v>
      </c>
    </row>
    <row r="6604" spans="1:11" x14ac:dyDescent="0.25">
      <c r="A6604" t="s">
        <v>9</v>
      </c>
      <c r="B6604" t="s">
        <v>208</v>
      </c>
      <c r="C6604" t="s">
        <v>872</v>
      </c>
      <c r="D6604" t="s">
        <v>14</v>
      </c>
      <c r="E6604">
        <v>7</v>
      </c>
      <c r="F6604" s="2">
        <f>DATE(2026,IF(Tabla1[[#This Row],[Mes de Fecha]]="Septiembre",9,10),Tabla1[[#This Row],[Día de Fecha]])</f>
        <v>46302</v>
      </c>
      <c r="G6604">
        <v>1049393048</v>
      </c>
      <c r="H6604" t="s">
        <v>210</v>
      </c>
      <c r="I6604">
        <v>27</v>
      </c>
      <c r="J6604">
        <v>0</v>
      </c>
      <c r="K6604" s="1">
        <v>1551262</v>
      </c>
    </row>
    <row r="6605" spans="1:11" x14ac:dyDescent="0.25">
      <c r="A6605" t="s">
        <v>9</v>
      </c>
      <c r="B6605" t="s">
        <v>228</v>
      </c>
      <c r="C6605" t="s">
        <v>872</v>
      </c>
      <c r="D6605" t="s">
        <v>11</v>
      </c>
      <c r="E6605">
        <v>23</v>
      </c>
      <c r="F6605" s="2">
        <f>DATE(2026,IF(Tabla1[[#This Row],[Mes de Fecha]]="Septiembre",9,10),Tabla1[[#This Row],[Día de Fecha]])</f>
        <v>46288</v>
      </c>
      <c r="I6605">
        <v>0</v>
      </c>
      <c r="J6605" s="1">
        <v>1993906</v>
      </c>
      <c r="K6605">
        <v>0</v>
      </c>
    </row>
    <row r="6606" spans="1:11" x14ac:dyDescent="0.25">
      <c r="A6606" t="s">
        <v>9</v>
      </c>
      <c r="B6606" t="s">
        <v>228</v>
      </c>
      <c r="C6606" t="s">
        <v>872</v>
      </c>
      <c r="D6606" t="s">
        <v>11</v>
      </c>
      <c r="E6606">
        <v>23</v>
      </c>
      <c r="F6606" s="2">
        <f>DATE(2026,IF(Tabla1[[#This Row],[Mes de Fecha]]="Septiembre",9,10),Tabla1[[#This Row],[Día de Fecha]])</f>
        <v>46288</v>
      </c>
      <c r="G6606">
        <v>39619108</v>
      </c>
      <c r="H6606" t="s">
        <v>229</v>
      </c>
      <c r="I6606">
        <v>55</v>
      </c>
      <c r="J6606">
        <v>0</v>
      </c>
      <c r="K6606" s="1">
        <v>2829664</v>
      </c>
    </row>
    <row r="6607" spans="1:11" x14ac:dyDescent="0.25">
      <c r="A6607" t="s">
        <v>9</v>
      </c>
      <c r="B6607" t="s">
        <v>228</v>
      </c>
      <c r="C6607" t="s">
        <v>872</v>
      </c>
      <c r="D6607" t="s">
        <v>11</v>
      </c>
      <c r="E6607">
        <v>24</v>
      </c>
      <c r="F6607" s="2">
        <f>DATE(2026,IF(Tabla1[[#This Row],[Mes de Fecha]]="Septiembre",9,10),Tabla1[[#This Row],[Día de Fecha]])</f>
        <v>46289</v>
      </c>
      <c r="I6607">
        <v>0</v>
      </c>
      <c r="J6607" s="1">
        <v>5156627</v>
      </c>
      <c r="K6607">
        <v>0</v>
      </c>
    </row>
    <row r="6608" spans="1:11" x14ac:dyDescent="0.25">
      <c r="A6608" t="s">
        <v>9</v>
      </c>
      <c r="B6608" t="s">
        <v>228</v>
      </c>
      <c r="C6608" t="s">
        <v>872</v>
      </c>
      <c r="D6608" t="s">
        <v>11</v>
      </c>
      <c r="E6608">
        <v>24</v>
      </c>
      <c r="F6608" s="2">
        <f>DATE(2026,IF(Tabla1[[#This Row],[Mes de Fecha]]="Septiembre",9,10),Tabla1[[#This Row],[Día de Fecha]])</f>
        <v>46289</v>
      </c>
      <c r="G6608">
        <v>39619108</v>
      </c>
      <c r="H6608" t="s">
        <v>229</v>
      </c>
      <c r="I6608">
        <v>115</v>
      </c>
      <c r="J6608">
        <v>0</v>
      </c>
      <c r="K6608" s="1">
        <v>6154751</v>
      </c>
    </row>
    <row r="6609" spans="1:11" x14ac:dyDescent="0.25">
      <c r="A6609" t="s">
        <v>9</v>
      </c>
      <c r="B6609" t="s">
        <v>228</v>
      </c>
      <c r="C6609" t="s">
        <v>872</v>
      </c>
      <c r="D6609" t="s">
        <v>11</v>
      </c>
      <c r="E6609">
        <v>25</v>
      </c>
      <c r="F6609" s="2">
        <f>DATE(2026,IF(Tabla1[[#This Row],[Mes de Fecha]]="Septiembre",9,10),Tabla1[[#This Row],[Día de Fecha]])</f>
        <v>46290</v>
      </c>
      <c r="I6609">
        <v>0</v>
      </c>
      <c r="J6609" s="1">
        <v>5507558</v>
      </c>
      <c r="K6609">
        <v>0</v>
      </c>
    </row>
    <row r="6610" spans="1:11" x14ac:dyDescent="0.25">
      <c r="A6610" t="s">
        <v>9</v>
      </c>
      <c r="B6610" t="s">
        <v>228</v>
      </c>
      <c r="C6610" t="s">
        <v>872</v>
      </c>
      <c r="D6610" t="s">
        <v>11</v>
      </c>
      <c r="E6610">
        <v>25</v>
      </c>
      <c r="F6610" s="2">
        <f>DATE(2026,IF(Tabla1[[#This Row],[Mes de Fecha]]="Septiembre",9,10),Tabla1[[#This Row],[Día de Fecha]])</f>
        <v>46290</v>
      </c>
      <c r="G6610">
        <v>39619108</v>
      </c>
      <c r="H6610" t="s">
        <v>229</v>
      </c>
      <c r="I6610">
        <v>48</v>
      </c>
      <c r="J6610">
        <v>0</v>
      </c>
      <c r="K6610" s="1">
        <v>2294203</v>
      </c>
    </row>
    <row r="6611" spans="1:11" x14ac:dyDescent="0.25">
      <c r="A6611" t="s">
        <v>9</v>
      </c>
      <c r="B6611" t="s">
        <v>228</v>
      </c>
      <c r="C6611" t="s">
        <v>872</v>
      </c>
      <c r="D6611" t="s">
        <v>11</v>
      </c>
      <c r="E6611">
        <v>26</v>
      </c>
      <c r="F6611" s="2">
        <f>DATE(2026,IF(Tabla1[[#This Row],[Mes de Fecha]]="Septiembre",9,10),Tabla1[[#This Row],[Día de Fecha]])</f>
        <v>46291</v>
      </c>
      <c r="I6611">
        <v>0</v>
      </c>
      <c r="J6611" s="1">
        <v>6944891</v>
      </c>
      <c r="K6611">
        <v>0</v>
      </c>
    </row>
    <row r="6612" spans="1:11" x14ac:dyDescent="0.25">
      <c r="A6612" t="s">
        <v>9</v>
      </c>
      <c r="B6612" t="s">
        <v>228</v>
      </c>
      <c r="C6612" t="s">
        <v>872</v>
      </c>
      <c r="D6612" t="s">
        <v>11</v>
      </c>
      <c r="E6612">
        <v>26</v>
      </c>
      <c r="F6612" s="2">
        <f>DATE(2026,IF(Tabla1[[#This Row],[Mes de Fecha]]="Septiembre",9,10),Tabla1[[#This Row],[Día de Fecha]])</f>
        <v>46291</v>
      </c>
      <c r="G6612">
        <v>39619108</v>
      </c>
      <c r="H6612" t="s">
        <v>229</v>
      </c>
      <c r="I6612">
        <v>115</v>
      </c>
      <c r="J6612">
        <v>0</v>
      </c>
      <c r="K6612" s="1">
        <v>6341729</v>
      </c>
    </row>
    <row r="6613" spans="1:11" x14ac:dyDescent="0.25">
      <c r="A6613" t="s">
        <v>9</v>
      </c>
      <c r="B6613" t="s">
        <v>228</v>
      </c>
      <c r="C6613" t="s">
        <v>872</v>
      </c>
      <c r="D6613" t="s">
        <v>11</v>
      </c>
      <c r="E6613">
        <v>27</v>
      </c>
      <c r="F6613" s="2">
        <f>DATE(2026,IF(Tabla1[[#This Row],[Mes de Fecha]]="Septiembre",9,10),Tabla1[[#This Row],[Día de Fecha]])</f>
        <v>46292</v>
      </c>
      <c r="I6613">
        <v>0</v>
      </c>
      <c r="J6613" s="1">
        <v>3666835</v>
      </c>
      <c r="K6613">
        <v>0</v>
      </c>
    </row>
    <row r="6614" spans="1:11" x14ac:dyDescent="0.25">
      <c r="A6614" t="s">
        <v>9</v>
      </c>
      <c r="B6614" t="s">
        <v>228</v>
      </c>
      <c r="C6614" t="s">
        <v>872</v>
      </c>
      <c r="D6614" t="s">
        <v>11</v>
      </c>
      <c r="E6614">
        <v>27</v>
      </c>
      <c r="F6614" s="2">
        <f>DATE(2026,IF(Tabla1[[#This Row],[Mes de Fecha]]="Septiembre",9,10),Tabla1[[#This Row],[Día de Fecha]])</f>
        <v>46292</v>
      </c>
      <c r="G6614">
        <v>39619108</v>
      </c>
      <c r="H6614" t="s">
        <v>229</v>
      </c>
      <c r="I6614">
        <v>67</v>
      </c>
      <c r="J6614">
        <v>0</v>
      </c>
      <c r="K6614" s="1">
        <v>3729962</v>
      </c>
    </row>
    <row r="6615" spans="1:11" x14ac:dyDescent="0.25">
      <c r="A6615" t="s">
        <v>9</v>
      </c>
      <c r="B6615" t="s">
        <v>228</v>
      </c>
      <c r="C6615" t="s">
        <v>872</v>
      </c>
      <c r="D6615" t="s">
        <v>11</v>
      </c>
      <c r="E6615">
        <v>28</v>
      </c>
      <c r="F6615" s="2">
        <f>DATE(2026,IF(Tabla1[[#This Row],[Mes de Fecha]]="Septiembre",9,10),Tabla1[[#This Row],[Día de Fecha]])</f>
        <v>46293</v>
      </c>
      <c r="I6615">
        <v>0</v>
      </c>
      <c r="J6615" s="1">
        <v>3006407</v>
      </c>
      <c r="K6615">
        <v>0</v>
      </c>
    </row>
    <row r="6616" spans="1:11" x14ac:dyDescent="0.25">
      <c r="A6616" t="s">
        <v>9</v>
      </c>
      <c r="B6616" t="s">
        <v>228</v>
      </c>
      <c r="C6616" t="s">
        <v>872</v>
      </c>
      <c r="D6616" t="s">
        <v>11</v>
      </c>
      <c r="E6616">
        <v>28</v>
      </c>
      <c r="F6616" s="2">
        <f>DATE(2026,IF(Tabla1[[#This Row],[Mes de Fecha]]="Septiembre",9,10),Tabla1[[#This Row],[Día de Fecha]])</f>
        <v>46293</v>
      </c>
      <c r="G6616">
        <v>39619108</v>
      </c>
      <c r="H6616" t="s">
        <v>229</v>
      </c>
      <c r="I6616">
        <v>61</v>
      </c>
      <c r="J6616">
        <v>0</v>
      </c>
      <c r="K6616" s="1">
        <v>3940506</v>
      </c>
    </row>
    <row r="6617" spans="1:11" x14ac:dyDescent="0.25">
      <c r="A6617" t="s">
        <v>9</v>
      </c>
      <c r="B6617" t="s">
        <v>228</v>
      </c>
      <c r="C6617" t="s">
        <v>872</v>
      </c>
      <c r="D6617" t="s">
        <v>11</v>
      </c>
      <c r="E6617">
        <v>29</v>
      </c>
      <c r="F6617" s="2">
        <f>DATE(2026,IF(Tabla1[[#This Row],[Mes de Fecha]]="Septiembre",9,10),Tabla1[[#This Row],[Día de Fecha]])</f>
        <v>46294</v>
      </c>
      <c r="I6617">
        <v>0</v>
      </c>
      <c r="J6617" s="1">
        <v>3342235</v>
      </c>
      <c r="K6617">
        <v>0</v>
      </c>
    </row>
    <row r="6618" spans="1:11" x14ac:dyDescent="0.25">
      <c r="A6618" t="s">
        <v>9</v>
      </c>
      <c r="B6618" t="s">
        <v>228</v>
      </c>
      <c r="C6618" t="s">
        <v>872</v>
      </c>
      <c r="D6618" t="s">
        <v>11</v>
      </c>
      <c r="E6618">
        <v>29</v>
      </c>
      <c r="F6618" s="2">
        <f>DATE(2026,IF(Tabla1[[#This Row],[Mes de Fecha]]="Septiembre",9,10),Tabla1[[#This Row],[Día de Fecha]])</f>
        <v>46294</v>
      </c>
      <c r="G6618">
        <v>39619108</v>
      </c>
      <c r="H6618" t="s">
        <v>229</v>
      </c>
      <c r="I6618">
        <v>73</v>
      </c>
      <c r="J6618">
        <v>0</v>
      </c>
      <c r="K6618" s="1">
        <v>4589287</v>
      </c>
    </row>
    <row r="6619" spans="1:11" x14ac:dyDescent="0.25">
      <c r="A6619" t="s">
        <v>9</v>
      </c>
      <c r="B6619" t="s">
        <v>228</v>
      </c>
      <c r="C6619" t="s">
        <v>872</v>
      </c>
      <c r="D6619" t="s">
        <v>11</v>
      </c>
      <c r="E6619">
        <v>30</v>
      </c>
      <c r="F6619" s="2">
        <f>DATE(2026,IF(Tabla1[[#This Row],[Mes de Fecha]]="Septiembre",9,10),Tabla1[[#This Row],[Día de Fecha]])</f>
        <v>46295</v>
      </c>
      <c r="I6619">
        <v>0</v>
      </c>
      <c r="J6619" s="1">
        <v>3539533</v>
      </c>
      <c r="K6619">
        <v>0</v>
      </c>
    </row>
    <row r="6620" spans="1:11" x14ac:dyDescent="0.25">
      <c r="A6620" t="s">
        <v>9</v>
      </c>
      <c r="B6620" t="s">
        <v>228</v>
      </c>
      <c r="C6620" t="s">
        <v>872</v>
      </c>
      <c r="D6620" t="s">
        <v>11</v>
      </c>
      <c r="E6620">
        <v>30</v>
      </c>
      <c r="F6620" s="2">
        <f>DATE(2026,IF(Tabla1[[#This Row],[Mes de Fecha]]="Septiembre",9,10),Tabla1[[#This Row],[Día de Fecha]])</f>
        <v>46295</v>
      </c>
      <c r="G6620">
        <v>39619108</v>
      </c>
      <c r="H6620" t="s">
        <v>229</v>
      </c>
      <c r="I6620">
        <v>50</v>
      </c>
      <c r="J6620">
        <v>0</v>
      </c>
      <c r="K6620" s="1">
        <v>3222694</v>
      </c>
    </row>
    <row r="6621" spans="1:11" x14ac:dyDescent="0.25">
      <c r="A6621" t="s">
        <v>9</v>
      </c>
      <c r="B6621" t="s">
        <v>228</v>
      </c>
      <c r="C6621" t="s">
        <v>872</v>
      </c>
      <c r="D6621" t="s">
        <v>14</v>
      </c>
      <c r="E6621">
        <v>1</v>
      </c>
      <c r="F6621" s="2">
        <f>DATE(2026,IF(Tabla1[[#This Row],[Mes de Fecha]]="Septiembre",9,10),Tabla1[[#This Row],[Día de Fecha]])</f>
        <v>46296</v>
      </c>
      <c r="I6621">
        <v>0</v>
      </c>
      <c r="J6621" s="1">
        <v>3470108</v>
      </c>
      <c r="K6621">
        <v>0</v>
      </c>
    </row>
    <row r="6622" spans="1:11" x14ac:dyDescent="0.25">
      <c r="A6622" t="s">
        <v>9</v>
      </c>
      <c r="B6622" t="s">
        <v>228</v>
      </c>
      <c r="C6622" t="s">
        <v>872</v>
      </c>
      <c r="D6622" t="s">
        <v>14</v>
      </c>
      <c r="E6622">
        <v>1</v>
      </c>
      <c r="F6622" s="2">
        <f>DATE(2026,IF(Tabla1[[#This Row],[Mes de Fecha]]="Septiembre",9,10),Tabla1[[#This Row],[Día de Fecha]])</f>
        <v>46296</v>
      </c>
      <c r="G6622">
        <v>39619108</v>
      </c>
      <c r="H6622" t="s">
        <v>229</v>
      </c>
      <c r="I6622">
        <v>42</v>
      </c>
      <c r="J6622">
        <v>0</v>
      </c>
      <c r="K6622" s="1">
        <v>2321639</v>
      </c>
    </row>
    <row r="6623" spans="1:11" x14ac:dyDescent="0.25">
      <c r="A6623" t="s">
        <v>9</v>
      </c>
      <c r="B6623" t="s">
        <v>228</v>
      </c>
      <c r="C6623" t="s">
        <v>872</v>
      </c>
      <c r="D6623" t="s">
        <v>14</v>
      </c>
      <c r="E6623">
        <v>2</v>
      </c>
      <c r="F6623" s="2">
        <f>DATE(2026,IF(Tabla1[[#This Row],[Mes de Fecha]]="Septiembre",9,10),Tabla1[[#This Row],[Día de Fecha]])</f>
        <v>46297</v>
      </c>
      <c r="I6623">
        <v>0</v>
      </c>
      <c r="J6623" s="1">
        <v>6049780</v>
      </c>
      <c r="K6623">
        <v>0</v>
      </c>
    </row>
    <row r="6624" spans="1:11" x14ac:dyDescent="0.25">
      <c r="A6624" t="s">
        <v>9</v>
      </c>
      <c r="B6624" t="s">
        <v>228</v>
      </c>
      <c r="C6624" t="s">
        <v>872</v>
      </c>
      <c r="D6624" t="s">
        <v>14</v>
      </c>
      <c r="E6624">
        <v>2</v>
      </c>
      <c r="F6624" s="2">
        <f>DATE(2026,IF(Tabla1[[#This Row],[Mes de Fecha]]="Septiembre",9,10),Tabla1[[#This Row],[Día de Fecha]])</f>
        <v>46297</v>
      </c>
      <c r="G6624">
        <v>39619108</v>
      </c>
      <c r="H6624" t="s">
        <v>229</v>
      </c>
      <c r="I6624">
        <v>53</v>
      </c>
      <c r="J6624">
        <v>0</v>
      </c>
      <c r="K6624" s="1">
        <v>2993407</v>
      </c>
    </row>
    <row r="6625" spans="1:11" x14ac:dyDescent="0.25">
      <c r="A6625" t="s">
        <v>9</v>
      </c>
      <c r="B6625" t="s">
        <v>228</v>
      </c>
      <c r="C6625" t="s">
        <v>872</v>
      </c>
      <c r="D6625" t="s">
        <v>14</v>
      </c>
      <c r="E6625">
        <v>3</v>
      </c>
      <c r="F6625" s="2">
        <f>DATE(2026,IF(Tabla1[[#This Row],[Mes de Fecha]]="Septiembre",9,10),Tabla1[[#This Row],[Día de Fecha]])</f>
        <v>46298</v>
      </c>
      <c r="I6625">
        <v>0</v>
      </c>
      <c r="J6625" s="1">
        <v>5522922</v>
      </c>
      <c r="K6625">
        <v>0</v>
      </c>
    </row>
    <row r="6626" spans="1:11" x14ac:dyDescent="0.25">
      <c r="A6626" t="s">
        <v>9</v>
      </c>
      <c r="B6626" t="s">
        <v>228</v>
      </c>
      <c r="C6626" t="s">
        <v>872</v>
      </c>
      <c r="D6626" t="s">
        <v>14</v>
      </c>
      <c r="E6626">
        <v>3</v>
      </c>
      <c r="F6626" s="2">
        <f>DATE(2026,IF(Tabla1[[#This Row],[Mes de Fecha]]="Septiembre",9,10),Tabla1[[#This Row],[Día de Fecha]])</f>
        <v>46298</v>
      </c>
      <c r="G6626">
        <v>39619108</v>
      </c>
      <c r="H6626" t="s">
        <v>229</v>
      </c>
      <c r="I6626">
        <v>49</v>
      </c>
      <c r="J6626">
        <v>0</v>
      </c>
      <c r="K6626" s="1">
        <v>2748140</v>
      </c>
    </row>
    <row r="6627" spans="1:11" x14ac:dyDescent="0.25">
      <c r="A6627" t="s">
        <v>9</v>
      </c>
      <c r="B6627" t="s">
        <v>228</v>
      </c>
      <c r="C6627" t="s">
        <v>872</v>
      </c>
      <c r="D6627" t="s">
        <v>14</v>
      </c>
      <c r="E6627">
        <v>4</v>
      </c>
      <c r="F6627" s="2">
        <f>DATE(2026,IF(Tabla1[[#This Row],[Mes de Fecha]]="Septiembre",9,10),Tabla1[[#This Row],[Día de Fecha]])</f>
        <v>46299</v>
      </c>
      <c r="I6627">
        <v>0</v>
      </c>
      <c r="J6627" s="1">
        <v>4376115</v>
      </c>
      <c r="K6627">
        <v>0</v>
      </c>
    </row>
    <row r="6628" spans="1:11" x14ac:dyDescent="0.25">
      <c r="A6628" t="s">
        <v>9</v>
      </c>
      <c r="B6628" t="s">
        <v>228</v>
      </c>
      <c r="C6628" t="s">
        <v>872</v>
      </c>
      <c r="D6628" t="s">
        <v>14</v>
      </c>
      <c r="E6628">
        <v>4</v>
      </c>
      <c r="F6628" s="2">
        <f>DATE(2026,IF(Tabla1[[#This Row],[Mes de Fecha]]="Septiembre",9,10),Tabla1[[#This Row],[Día de Fecha]])</f>
        <v>46299</v>
      </c>
      <c r="G6628">
        <v>39619108</v>
      </c>
      <c r="H6628" t="s">
        <v>229</v>
      </c>
      <c r="I6628">
        <v>98</v>
      </c>
      <c r="J6628">
        <v>0</v>
      </c>
      <c r="K6628" s="1">
        <v>5669959</v>
      </c>
    </row>
    <row r="6629" spans="1:11" x14ac:dyDescent="0.25">
      <c r="A6629" t="s">
        <v>9</v>
      </c>
      <c r="B6629" t="s">
        <v>228</v>
      </c>
      <c r="C6629" t="s">
        <v>872</v>
      </c>
      <c r="D6629" t="s">
        <v>14</v>
      </c>
      <c r="E6629">
        <v>5</v>
      </c>
      <c r="F6629" s="2">
        <f>DATE(2026,IF(Tabla1[[#This Row],[Mes de Fecha]]="Septiembre",9,10),Tabla1[[#This Row],[Día de Fecha]])</f>
        <v>46300</v>
      </c>
      <c r="I6629">
        <v>0</v>
      </c>
      <c r="J6629" s="1">
        <v>2996716</v>
      </c>
      <c r="K6629">
        <v>0</v>
      </c>
    </row>
    <row r="6630" spans="1:11" x14ac:dyDescent="0.25">
      <c r="A6630" t="s">
        <v>9</v>
      </c>
      <c r="B6630" t="s">
        <v>228</v>
      </c>
      <c r="C6630" t="s">
        <v>872</v>
      </c>
      <c r="D6630" t="s">
        <v>14</v>
      </c>
      <c r="E6630">
        <v>5</v>
      </c>
      <c r="F6630" s="2">
        <f>DATE(2026,IF(Tabla1[[#This Row],[Mes de Fecha]]="Septiembre",9,10),Tabla1[[#This Row],[Día de Fecha]])</f>
        <v>46300</v>
      </c>
      <c r="G6630">
        <v>39619108</v>
      </c>
      <c r="H6630" t="s">
        <v>229</v>
      </c>
      <c r="I6630">
        <v>53</v>
      </c>
      <c r="J6630">
        <v>0</v>
      </c>
      <c r="K6630" s="1">
        <v>3203236</v>
      </c>
    </row>
    <row r="6631" spans="1:11" x14ac:dyDescent="0.25">
      <c r="A6631" t="s">
        <v>9</v>
      </c>
      <c r="B6631" t="s">
        <v>228</v>
      </c>
      <c r="C6631" t="s">
        <v>872</v>
      </c>
      <c r="D6631" t="s">
        <v>14</v>
      </c>
      <c r="E6631">
        <v>6</v>
      </c>
      <c r="F6631" s="2">
        <f>DATE(2026,IF(Tabla1[[#This Row],[Mes de Fecha]]="Septiembre",9,10),Tabla1[[#This Row],[Día de Fecha]])</f>
        <v>46301</v>
      </c>
      <c r="I6631">
        <v>0</v>
      </c>
      <c r="J6631" s="1">
        <v>2932134</v>
      </c>
      <c r="K6631">
        <v>0</v>
      </c>
    </row>
    <row r="6632" spans="1:11" x14ac:dyDescent="0.25">
      <c r="A6632" t="s">
        <v>9</v>
      </c>
      <c r="B6632" t="s">
        <v>228</v>
      </c>
      <c r="C6632" t="s">
        <v>872</v>
      </c>
      <c r="D6632" t="s">
        <v>14</v>
      </c>
      <c r="E6632">
        <v>6</v>
      </c>
      <c r="F6632" s="2">
        <f>DATE(2026,IF(Tabla1[[#This Row],[Mes de Fecha]]="Septiembre",9,10),Tabla1[[#This Row],[Día de Fecha]])</f>
        <v>46301</v>
      </c>
      <c r="G6632">
        <v>39619108</v>
      </c>
      <c r="H6632" t="s">
        <v>229</v>
      </c>
      <c r="I6632">
        <v>30</v>
      </c>
      <c r="J6632">
        <v>0</v>
      </c>
      <c r="K6632" s="1">
        <v>1441934</v>
      </c>
    </row>
    <row r="6633" spans="1:11" x14ac:dyDescent="0.25">
      <c r="A6633" t="s">
        <v>9</v>
      </c>
      <c r="B6633" t="s">
        <v>228</v>
      </c>
      <c r="C6633" t="s">
        <v>872</v>
      </c>
      <c r="D6633" t="s">
        <v>14</v>
      </c>
      <c r="E6633">
        <v>7</v>
      </c>
      <c r="F6633" s="2">
        <f>DATE(2026,IF(Tabla1[[#This Row],[Mes de Fecha]]="Septiembre",9,10),Tabla1[[#This Row],[Día de Fecha]])</f>
        <v>46302</v>
      </c>
      <c r="I6633">
        <v>0</v>
      </c>
      <c r="J6633" s="1">
        <v>2559440</v>
      </c>
      <c r="K6633">
        <v>0</v>
      </c>
    </row>
    <row r="6634" spans="1:11" x14ac:dyDescent="0.25">
      <c r="A6634" t="s">
        <v>9</v>
      </c>
      <c r="B6634" t="s">
        <v>228</v>
      </c>
      <c r="C6634" t="s">
        <v>872</v>
      </c>
      <c r="D6634" t="s">
        <v>14</v>
      </c>
      <c r="E6634">
        <v>7</v>
      </c>
      <c r="F6634" s="2">
        <f>DATE(2026,IF(Tabla1[[#This Row],[Mes de Fecha]]="Septiembre",9,10),Tabla1[[#This Row],[Día de Fecha]])</f>
        <v>46302</v>
      </c>
      <c r="G6634">
        <v>39619108</v>
      </c>
      <c r="H6634" t="s">
        <v>229</v>
      </c>
      <c r="I6634">
        <v>9</v>
      </c>
      <c r="J6634">
        <v>0</v>
      </c>
      <c r="K6634" s="1">
        <v>570924</v>
      </c>
    </row>
    <row r="6635" spans="1:11" x14ac:dyDescent="0.25">
      <c r="A6635" t="s">
        <v>9</v>
      </c>
      <c r="B6635" t="s">
        <v>270</v>
      </c>
      <c r="C6635" t="s">
        <v>872</v>
      </c>
      <c r="D6635" t="s">
        <v>11</v>
      </c>
      <c r="E6635">
        <v>23</v>
      </c>
      <c r="F6635" s="2">
        <f>DATE(2026,IF(Tabla1[[#This Row],[Mes de Fecha]]="Septiembre",9,10),Tabla1[[#This Row],[Día de Fecha]])</f>
        <v>46288</v>
      </c>
      <c r="I6635">
        <v>0</v>
      </c>
      <c r="J6635" s="1">
        <v>2519346</v>
      </c>
      <c r="K6635">
        <v>0</v>
      </c>
    </row>
    <row r="6636" spans="1:11" x14ac:dyDescent="0.25">
      <c r="A6636" t="s">
        <v>9</v>
      </c>
      <c r="B6636" t="s">
        <v>270</v>
      </c>
      <c r="C6636" t="s">
        <v>872</v>
      </c>
      <c r="D6636" t="s">
        <v>11</v>
      </c>
      <c r="E6636">
        <v>23</v>
      </c>
      <c r="F6636" s="2">
        <f>DATE(2026,IF(Tabla1[[#This Row],[Mes de Fecha]]="Septiembre",9,10),Tabla1[[#This Row],[Día de Fecha]])</f>
        <v>46288</v>
      </c>
      <c r="G6636">
        <v>1120964208</v>
      </c>
      <c r="H6636" t="s">
        <v>271</v>
      </c>
      <c r="I6636">
        <v>92</v>
      </c>
      <c r="J6636">
        <v>0</v>
      </c>
      <c r="K6636" s="1">
        <v>5548465</v>
      </c>
    </row>
    <row r="6637" spans="1:11" x14ac:dyDescent="0.25">
      <c r="A6637" t="s">
        <v>9</v>
      </c>
      <c r="B6637" t="s">
        <v>270</v>
      </c>
      <c r="C6637" t="s">
        <v>872</v>
      </c>
      <c r="D6637" t="s">
        <v>11</v>
      </c>
      <c r="E6637">
        <v>24</v>
      </c>
      <c r="F6637" s="2">
        <f>DATE(2026,IF(Tabla1[[#This Row],[Mes de Fecha]]="Septiembre",9,10),Tabla1[[#This Row],[Día de Fecha]])</f>
        <v>46289</v>
      </c>
      <c r="I6637">
        <v>0</v>
      </c>
      <c r="J6637" s="1">
        <v>6515503</v>
      </c>
      <c r="K6637">
        <v>0</v>
      </c>
    </row>
    <row r="6638" spans="1:11" x14ac:dyDescent="0.25">
      <c r="A6638" t="s">
        <v>9</v>
      </c>
      <c r="B6638" t="s">
        <v>270</v>
      </c>
      <c r="C6638" t="s">
        <v>872</v>
      </c>
      <c r="D6638" t="s">
        <v>11</v>
      </c>
      <c r="E6638">
        <v>24</v>
      </c>
      <c r="F6638" s="2">
        <f>DATE(2026,IF(Tabla1[[#This Row],[Mes de Fecha]]="Septiembre",9,10),Tabla1[[#This Row],[Día de Fecha]])</f>
        <v>46289</v>
      </c>
      <c r="G6638">
        <v>1120964208</v>
      </c>
      <c r="H6638" t="s">
        <v>271</v>
      </c>
      <c r="I6638">
        <v>83</v>
      </c>
      <c r="J6638">
        <v>0</v>
      </c>
      <c r="K6638" s="1">
        <v>4435482</v>
      </c>
    </row>
    <row r="6639" spans="1:11" x14ac:dyDescent="0.25">
      <c r="A6639" t="s">
        <v>9</v>
      </c>
      <c r="B6639" t="s">
        <v>270</v>
      </c>
      <c r="C6639" t="s">
        <v>872</v>
      </c>
      <c r="D6639" t="s">
        <v>11</v>
      </c>
      <c r="E6639">
        <v>25</v>
      </c>
      <c r="F6639" s="2">
        <f>DATE(2026,IF(Tabla1[[#This Row],[Mes de Fecha]]="Septiembre",9,10),Tabla1[[#This Row],[Día de Fecha]])</f>
        <v>46290</v>
      </c>
      <c r="I6639">
        <v>0</v>
      </c>
      <c r="J6639" s="1">
        <v>6958917</v>
      </c>
      <c r="K6639">
        <v>0</v>
      </c>
    </row>
    <row r="6640" spans="1:11" x14ac:dyDescent="0.25">
      <c r="A6640" t="s">
        <v>9</v>
      </c>
      <c r="B6640" t="s">
        <v>270</v>
      </c>
      <c r="C6640" t="s">
        <v>872</v>
      </c>
      <c r="D6640" t="s">
        <v>11</v>
      </c>
      <c r="E6640">
        <v>25</v>
      </c>
      <c r="F6640" s="2">
        <f>DATE(2026,IF(Tabla1[[#This Row],[Mes de Fecha]]="Septiembre",9,10),Tabla1[[#This Row],[Día de Fecha]])</f>
        <v>46290</v>
      </c>
      <c r="G6640">
        <v>1120964208</v>
      </c>
      <c r="H6640" t="s">
        <v>271</v>
      </c>
      <c r="I6640">
        <v>131</v>
      </c>
      <c r="J6640">
        <v>0</v>
      </c>
      <c r="K6640" s="1">
        <v>6242060</v>
      </c>
    </row>
    <row r="6641" spans="1:11" x14ac:dyDescent="0.25">
      <c r="A6641" t="s">
        <v>9</v>
      </c>
      <c r="B6641" t="s">
        <v>270</v>
      </c>
      <c r="C6641" t="s">
        <v>872</v>
      </c>
      <c r="D6641" t="s">
        <v>11</v>
      </c>
      <c r="E6641">
        <v>26</v>
      </c>
      <c r="F6641" s="2">
        <f>DATE(2026,IF(Tabla1[[#This Row],[Mes de Fecha]]="Septiembre",9,10),Tabla1[[#This Row],[Día de Fecha]])</f>
        <v>46291</v>
      </c>
      <c r="I6641">
        <v>0</v>
      </c>
      <c r="J6641" s="1">
        <v>8775016</v>
      </c>
      <c r="K6641">
        <v>0</v>
      </c>
    </row>
    <row r="6642" spans="1:11" x14ac:dyDescent="0.25">
      <c r="A6642" t="s">
        <v>9</v>
      </c>
      <c r="B6642" t="s">
        <v>270</v>
      </c>
      <c r="C6642" t="s">
        <v>872</v>
      </c>
      <c r="D6642" t="s">
        <v>11</v>
      </c>
      <c r="E6642">
        <v>26</v>
      </c>
      <c r="F6642" s="2">
        <f>DATE(2026,IF(Tabla1[[#This Row],[Mes de Fecha]]="Septiembre",9,10),Tabla1[[#This Row],[Día de Fecha]])</f>
        <v>46291</v>
      </c>
      <c r="G6642">
        <v>1120964208</v>
      </c>
      <c r="H6642" t="s">
        <v>271</v>
      </c>
      <c r="I6642">
        <v>91</v>
      </c>
      <c r="J6642">
        <v>0</v>
      </c>
      <c r="K6642" s="1">
        <v>4825612</v>
      </c>
    </row>
    <row r="6643" spans="1:11" x14ac:dyDescent="0.25">
      <c r="A6643" t="s">
        <v>9</v>
      </c>
      <c r="B6643" t="s">
        <v>270</v>
      </c>
      <c r="C6643" t="s">
        <v>872</v>
      </c>
      <c r="D6643" t="s">
        <v>11</v>
      </c>
      <c r="E6643">
        <v>27</v>
      </c>
      <c r="F6643" s="2">
        <f>DATE(2026,IF(Tabla1[[#This Row],[Mes de Fecha]]="Septiembre",9,10),Tabla1[[#This Row],[Día de Fecha]])</f>
        <v>46292</v>
      </c>
      <c r="I6643">
        <v>0</v>
      </c>
      <c r="J6643" s="1">
        <v>4633125</v>
      </c>
      <c r="K6643">
        <v>0</v>
      </c>
    </row>
    <row r="6644" spans="1:11" x14ac:dyDescent="0.25">
      <c r="A6644" t="s">
        <v>9</v>
      </c>
      <c r="B6644" t="s">
        <v>270</v>
      </c>
      <c r="C6644" t="s">
        <v>872</v>
      </c>
      <c r="D6644" t="s">
        <v>11</v>
      </c>
      <c r="E6644">
        <v>27</v>
      </c>
      <c r="F6644" s="2">
        <f>DATE(2026,IF(Tabla1[[#This Row],[Mes de Fecha]]="Septiembre",9,10),Tabla1[[#This Row],[Día de Fecha]])</f>
        <v>46292</v>
      </c>
      <c r="G6644">
        <v>1120964208</v>
      </c>
      <c r="H6644" t="s">
        <v>271</v>
      </c>
      <c r="I6644">
        <v>22</v>
      </c>
      <c r="J6644">
        <v>0</v>
      </c>
      <c r="K6644" s="1">
        <v>1005204</v>
      </c>
    </row>
    <row r="6645" spans="1:11" x14ac:dyDescent="0.25">
      <c r="A6645" t="s">
        <v>9</v>
      </c>
      <c r="B6645" t="s">
        <v>270</v>
      </c>
      <c r="C6645" t="s">
        <v>872</v>
      </c>
      <c r="D6645" t="s">
        <v>11</v>
      </c>
      <c r="E6645">
        <v>28</v>
      </c>
      <c r="F6645" s="2">
        <f>DATE(2026,IF(Tabla1[[#This Row],[Mes de Fecha]]="Septiembre",9,10),Tabla1[[#This Row],[Día de Fecha]])</f>
        <v>46293</v>
      </c>
      <c r="I6645">
        <v>0</v>
      </c>
      <c r="J6645" s="1">
        <v>3798661</v>
      </c>
      <c r="K6645">
        <v>0</v>
      </c>
    </row>
    <row r="6646" spans="1:11" x14ac:dyDescent="0.25">
      <c r="A6646" t="s">
        <v>9</v>
      </c>
      <c r="B6646" t="s">
        <v>270</v>
      </c>
      <c r="C6646" t="s">
        <v>872</v>
      </c>
      <c r="D6646" t="s">
        <v>11</v>
      </c>
      <c r="E6646">
        <v>28</v>
      </c>
      <c r="F6646" s="2">
        <f>DATE(2026,IF(Tabla1[[#This Row],[Mes de Fecha]]="Septiembre",9,10),Tabla1[[#This Row],[Día de Fecha]])</f>
        <v>46293</v>
      </c>
      <c r="G6646">
        <v>1120964208</v>
      </c>
      <c r="H6646" t="s">
        <v>271</v>
      </c>
      <c r="I6646">
        <v>52</v>
      </c>
      <c r="J6646">
        <v>0</v>
      </c>
      <c r="K6646" s="1">
        <v>2743468</v>
      </c>
    </row>
    <row r="6647" spans="1:11" x14ac:dyDescent="0.25">
      <c r="A6647" t="s">
        <v>9</v>
      </c>
      <c r="B6647" t="s">
        <v>270</v>
      </c>
      <c r="C6647" t="s">
        <v>872</v>
      </c>
      <c r="D6647" t="s">
        <v>11</v>
      </c>
      <c r="E6647">
        <v>29</v>
      </c>
      <c r="F6647" s="2">
        <f>DATE(2026,IF(Tabla1[[#This Row],[Mes de Fecha]]="Septiembre",9,10),Tabla1[[#This Row],[Día de Fecha]])</f>
        <v>46294</v>
      </c>
      <c r="I6647">
        <v>0</v>
      </c>
      <c r="J6647" s="1">
        <v>4222984</v>
      </c>
      <c r="K6647">
        <v>0</v>
      </c>
    </row>
    <row r="6648" spans="1:11" x14ac:dyDescent="0.25">
      <c r="A6648" t="s">
        <v>9</v>
      </c>
      <c r="B6648" t="s">
        <v>270</v>
      </c>
      <c r="C6648" t="s">
        <v>872</v>
      </c>
      <c r="D6648" t="s">
        <v>11</v>
      </c>
      <c r="E6648">
        <v>29</v>
      </c>
      <c r="F6648" s="2">
        <f>DATE(2026,IF(Tabla1[[#This Row],[Mes de Fecha]]="Septiembre",9,10),Tabla1[[#This Row],[Día de Fecha]])</f>
        <v>46294</v>
      </c>
      <c r="G6648">
        <v>1120964208</v>
      </c>
      <c r="H6648" t="s">
        <v>271</v>
      </c>
      <c r="I6648">
        <v>62</v>
      </c>
      <c r="J6648">
        <v>0</v>
      </c>
      <c r="K6648" s="1">
        <v>3295318</v>
      </c>
    </row>
    <row r="6649" spans="1:11" x14ac:dyDescent="0.25">
      <c r="A6649" t="s">
        <v>9</v>
      </c>
      <c r="B6649" t="s">
        <v>270</v>
      </c>
      <c r="C6649" t="s">
        <v>872</v>
      </c>
      <c r="D6649" t="s">
        <v>11</v>
      </c>
      <c r="E6649">
        <v>30</v>
      </c>
      <c r="F6649" s="2">
        <f>DATE(2026,IF(Tabla1[[#This Row],[Mes de Fecha]]="Septiembre",9,10),Tabla1[[#This Row],[Día de Fecha]])</f>
        <v>46295</v>
      </c>
      <c r="I6649">
        <v>0</v>
      </c>
      <c r="J6649" s="1">
        <v>4472276</v>
      </c>
      <c r="K6649">
        <v>0</v>
      </c>
    </row>
    <row r="6650" spans="1:11" x14ac:dyDescent="0.25">
      <c r="A6650" t="s">
        <v>9</v>
      </c>
      <c r="B6650" t="s">
        <v>270</v>
      </c>
      <c r="C6650" t="s">
        <v>872</v>
      </c>
      <c r="D6650" t="s">
        <v>11</v>
      </c>
      <c r="E6650">
        <v>30</v>
      </c>
      <c r="F6650" s="2">
        <f>DATE(2026,IF(Tabla1[[#This Row],[Mes de Fecha]]="Septiembre",9,10),Tabla1[[#This Row],[Día de Fecha]])</f>
        <v>46295</v>
      </c>
      <c r="G6650">
        <v>1120964208</v>
      </c>
      <c r="H6650" t="s">
        <v>271</v>
      </c>
      <c r="I6650">
        <v>58</v>
      </c>
      <c r="J6650">
        <v>0</v>
      </c>
      <c r="K6650" s="1">
        <v>3108596</v>
      </c>
    </row>
    <row r="6651" spans="1:11" x14ac:dyDescent="0.25">
      <c r="A6651" t="s">
        <v>9</v>
      </c>
      <c r="B6651" t="s">
        <v>270</v>
      </c>
      <c r="C6651" t="s">
        <v>872</v>
      </c>
      <c r="D6651" t="s">
        <v>14</v>
      </c>
      <c r="E6651">
        <v>1</v>
      </c>
      <c r="F6651" s="2">
        <f>DATE(2026,IF(Tabla1[[#This Row],[Mes de Fecha]]="Septiembre",9,10),Tabla1[[#This Row],[Día de Fecha]])</f>
        <v>46296</v>
      </c>
      <c r="I6651">
        <v>0</v>
      </c>
      <c r="J6651" s="1">
        <v>4085781</v>
      </c>
      <c r="K6651">
        <v>0</v>
      </c>
    </row>
    <row r="6652" spans="1:11" x14ac:dyDescent="0.25">
      <c r="A6652" t="s">
        <v>9</v>
      </c>
      <c r="B6652" t="s">
        <v>270</v>
      </c>
      <c r="C6652" t="s">
        <v>872</v>
      </c>
      <c r="D6652" t="s">
        <v>14</v>
      </c>
      <c r="E6652">
        <v>1</v>
      </c>
      <c r="F6652" s="2">
        <f>DATE(2026,IF(Tabla1[[#This Row],[Mes de Fecha]]="Septiembre",9,10),Tabla1[[#This Row],[Día de Fecha]])</f>
        <v>46296</v>
      </c>
      <c r="G6652">
        <v>1120964208</v>
      </c>
      <c r="H6652" t="s">
        <v>271</v>
      </c>
      <c r="I6652">
        <v>112</v>
      </c>
      <c r="J6652">
        <v>0</v>
      </c>
      <c r="K6652" s="1">
        <v>5887187</v>
      </c>
    </row>
    <row r="6653" spans="1:11" x14ac:dyDescent="0.25">
      <c r="A6653" t="s">
        <v>9</v>
      </c>
      <c r="B6653" t="s">
        <v>270</v>
      </c>
      <c r="C6653" t="s">
        <v>872</v>
      </c>
      <c r="D6653" t="s">
        <v>14</v>
      </c>
      <c r="E6653">
        <v>2</v>
      </c>
      <c r="F6653" s="2">
        <f>DATE(2026,IF(Tabla1[[#This Row],[Mes de Fecha]]="Septiembre",9,10),Tabla1[[#This Row],[Día de Fecha]])</f>
        <v>46297</v>
      </c>
      <c r="I6653">
        <v>0</v>
      </c>
      <c r="J6653" s="1">
        <v>7936742</v>
      </c>
      <c r="K6653">
        <v>0</v>
      </c>
    </row>
    <row r="6654" spans="1:11" x14ac:dyDescent="0.25">
      <c r="A6654" t="s">
        <v>9</v>
      </c>
      <c r="B6654" t="s">
        <v>270</v>
      </c>
      <c r="C6654" t="s">
        <v>872</v>
      </c>
      <c r="D6654" t="s">
        <v>14</v>
      </c>
      <c r="E6654">
        <v>2</v>
      </c>
      <c r="F6654" s="2">
        <f>DATE(2026,IF(Tabla1[[#This Row],[Mes de Fecha]]="Septiembre",9,10),Tabla1[[#This Row],[Día de Fecha]])</f>
        <v>46297</v>
      </c>
      <c r="G6654">
        <v>1120964208</v>
      </c>
      <c r="H6654" t="s">
        <v>271</v>
      </c>
      <c r="I6654">
        <v>86</v>
      </c>
      <c r="J6654">
        <v>0</v>
      </c>
      <c r="K6654" s="1">
        <v>4384998</v>
      </c>
    </row>
    <row r="6655" spans="1:11" x14ac:dyDescent="0.25">
      <c r="A6655" t="s">
        <v>9</v>
      </c>
      <c r="B6655" t="s">
        <v>270</v>
      </c>
      <c r="C6655" t="s">
        <v>872</v>
      </c>
      <c r="D6655" t="s">
        <v>14</v>
      </c>
      <c r="E6655">
        <v>3</v>
      </c>
      <c r="F6655" s="2">
        <f>DATE(2026,IF(Tabla1[[#This Row],[Mes de Fecha]]="Septiembre",9,10),Tabla1[[#This Row],[Día de Fecha]])</f>
        <v>46298</v>
      </c>
      <c r="I6655">
        <v>0</v>
      </c>
      <c r="J6655" s="1">
        <v>7806109</v>
      </c>
      <c r="K6655">
        <v>0</v>
      </c>
    </row>
    <row r="6656" spans="1:11" x14ac:dyDescent="0.25">
      <c r="A6656" t="s">
        <v>9</v>
      </c>
      <c r="B6656" t="s">
        <v>270</v>
      </c>
      <c r="C6656" t="s">
        <v>872</v>
      </c>
      <c r="D6656" t="s">
        <v>14</v>
      </c>
      <c r="E6656">
        <v>3</v>
      </c>
      <c r="F6656" s="2">
        <f>DATE(2026,IF(Tabla1[[#This Row],[Mes de Fecha]]="Septiembre",9,10),Tabla1[[#This Row],[Día de Fecha]])</f>
        <v>46298</v>
      </c>
      <c r="G6656">
        <v>1120964208</v>
      </c>
      <c r="H6656" t="s">
        <v>271</v>
      </c>
      <c r="I6656">
        <v>83</v>
      </c>
      <c r="J6656">
        <v>0</v>
      </c>
      <c r="K6656" s="1">
        <v>3905617</v>
      </c>
    </row>
    <row r="6657" spans="1:11" x14ac:dyDescent="0.25">
      <c r="A6657" t="s">
        <v>9</v>
      </c>
      <c r="B6657" t="s">
        <v>270</v>
      </c>
      <c r="C6657" t="s">
        <v>872</v>
      </c>
      <c r="D6657" t="s">
        <v>14</v>
      </c>
      <c r="E6657">
        <v>4</v>
      </c>
      <c r="F6657" s="2">
        <f>DATE(2026,IF(Tabla1[[#This Row],[Mes de Fecha]]="Septiembre",9,10),Tabla1[[#This Row],[Día de Fecha]])</f>
        <v>46299</v>
      </c>
      <c r="I6657">
        <v>0</v>
      </c>
      <c r="J6657" s="1">
        <v>7892905</v>
      </c>
      <c r="K6657">
        <v>0</v>
      </c>
    </row>
    <row r="6658" spans="1:11" x14ac:dyDescent="0.25">
      <c r="A6658" t="s">
        <v>9</v>
      </c>
      <c r="B6658" t="s">
        <v>270</v>
      </c>
      <c r="C6658" t="s">
        <v>872</v>
      </c>
      <c r="D6658" t="s">
        <v>14</v>
      </c>
      <c r="E6658">
        <v>4</v>
      </c>
      <c r="F6658" s="2">
        <f>DATE(2026,IF(Tabla1[[#This Row],[Mes de Fecha]]="Septiembre",9,10),Tabla1[[#This Row],[Día de Fecha]])</f>
        <v>46299</v>
      </c>
      <c r="G6658">
        <v>1120964208</v>
      </c>
      <c r="H6658" t="s">
        <v>271</v>
      </c>
      <c r="I6658">
        <v>47</v>
      </c>
      <c r="J6658">
        <v>0</v>
      </c>
      <c r="K6658" s="1">
        <v>2274476</v>
      </c>
    </row>
    <row r="6659" spans="1:11" x14ac:dyDescent="0.25">
      <c r="A6659" t="s">
        <v>9</v>
      </c>
      <c r="B6659" t="s">
        <v>270</v>
      </c>
      <c r="C6659" t="s">
        <v>872</v>
      </c>
      <c r="D6659" t="s">
        <v>14</v>
      </c>
      <c r="E6659">
        <v>5</v>
      </c>
      <c r="F6659" s="2">
        <f>DATE(2026,IF(Tabla1[[#This Row],[Mes de Fecha]]="Septiembre",9,10),Tabla1[[#This Row],[Día de Fecha]])</f>
        <v>46300</v>
      </c>
      <c r="I6659">
        <v>0</v>
      </c>
      <c r="J6659" s="1">
        <v>10118752</v>
      </c>
      <c r="K6659">
        <v>0</v>
      </c>
    </row>
    <row r="6660" spans="1:11" x14ac:dyDescent="0.25">
      <c r="A6660" t="s">
        <v>9</v>
      </c>
      <c r="B6660" t="s">
        <v>270</v>
      </c>
      <c r="C6660" t="s">
        <v>872</v>
      </c>
      <c r="D6660" t="s">
        <v>14</v>
      </c>
      <c r="E6660">
        <v>5</v>
      </c>
      <c r="F6660" s="2">
        <f>DATE(2026,IF(Tabla1[[#This Row],[Mes de Fecha]]="Septiembre",9,10),Tabla1[[#This Row],[Día de Fecha]])</f>
        <v>46300</v>
      </c>
      <c r="G6660">
        <v>1120964208</v>
      </c>
      <c r="H6660" t="s">
        <v>271</v>
      </c>
      <c r="I6660">
        <v>62</v>
      </c>
      <c r="J6660">
        <v>0</v>
      </c>
      <c r="K6660" s="1">
        <v>3108387</v>
      </c>
    </row>
    <row r="6661" spans="1:11" x14ac:dyDescent="0.25">
      <c r="A6661" t="s">
        <v>9</v>
      </c>
      <c r="B6661" t="s">
        <v>270</v>
      </c>
      <c r="C6661" t="s">
        <v>872</v>
      </c>
      <c r="D6661" t="s">
        <v>14</v>
      </c>
      <c r="E6661">
        <v>6</v>
      </c>
      <c r="F6661" s="2">
        <f>DATE(2026,IF(Tabla1[[#This Row],[Mes de Fecha]]="Septiembre",9,10),Tabla1[[#This Row],[Día de Fecha]])</f>
        <v>46301</v>
      </c>
      <c r="I6661">
        <v>0</v>
      </c>
      <c r="J6661" s="1">
        <v>4980363</v>
      </c>
      <c r="K6661">
        <v>0</v>
      </c>
    </row>
    <row r="6662" spans="1:11" x14ac:dyDescent="0.25">
      <c r="A6662" t="s">
        <v>9</v>
      </c>
      <c r="B6662" t="s">
        <v>270</v>
      </c>
      <c r="C6662" t="s">
        <v>872</v>
      </c>
      <c r="D6662" t="s">
        <v>14</v>
      </c>
      <c r="E6662">
        <v>6</v>
      </c>
      <c r="F6662" s="2">
        <f>DATE(2026,IF(Tabla1[[#This Row],[Mes de Fecha]]="Septiembre",9,10),Tabla1[[#This Row],[Día de Fecha]])</f>
        <v>46301</v>
      </c>
      <c r="G6662">
        <v>1120964208</v>
      </c>
      <c r="H6662" t="s">
        <v>271</v>
      </c>
      <c r="I6662">
        <v>41</v>
      </c>
      <c r="J6662">
        <v>0</v>
      </c>
      <c r="K6662" s="1">
        <v>2289605</v>
      </c>
    </row>
    <row r="6663" spans="1:11" x14ac:dyDescent="0.25">
      <c r="A6663" t="s">
        <v>9</v>
      </c>
      <c r="B6663" t="s">
        <v>270</v>
      </c>
      <c r="C6663" t="s">
        <v>872</v>
      </c>
      <c r="D6663" t="s">
        <v>14</v>
      </c>
      <c r="E6663">
        <v>7</v>
      </c>
      <c r="F6663" s="2">
        <f>DATE(2026,IF(Tabla1[[#This Row],[Mes de Fecha]]="Septiembre",9,10),Tabla1[[#This Row],[Día de Fecha]])</f>
        <v>46302</v>
      </c>
      <c r="I6663">
        <v>0</v>
      </c>
      <c r="J6663" s="1">
        <v>2947603</v>
      </c>
      <c r="K6663">
        <v>0</v>
      </c>
    </row>
    <row r="6664" spans="1:11" x14ac:dyDescent="0.25">
      <c r="A6664" t="s">
        <v>9</v>
      </c>
      <c r="B6664" t="s">
        <v>270</v>
      </c>
      <c r="C6664" t="s">
        <v>872</v>
      </c>
      <c r="D6664" t="s">
        <v>14</v>
      </c>
      <c r="E6664">
        <v>7</v>
      </c>
      <c r="F6664" s="2">
        <f>DATE(2026,IF(Tabla1[[#This Row],[Mes de Fecha]]="Septiembre",9,10),Tabla1[[#This Row],[Día de Fecha]])</f>
        <v>46302</v>
      </c>
      <c r="G6664">
        <v>1120964208</v>
      </c>
      <c r="H6664" t="s">
        <v>271</v>
      </c>
      <c r="I6664">
        <v>36</v>
      </c>
      <c r="J6664">
        <v>0</v>
      </c>
      <c r="K6664" s="1">
        <v>1505721</v>
      </c>
    </row>
    <row r="6665" spans="1:11" x14ac:dyDescent="0.25">
      <c r="A6665" t="s">
        <v>9</v>
      </c>
      <c r="B6665" t="s">
        <v>23</v>
      </c>
      <c r="C6665" t="s">
        <v>872</v>
      </c>
      <c r="D6665" t="s">
        <v>11</v>
      </c>
      <c r="E6665">
        <v>23</v>
      </c>
      <c r="F6665" s="2">
        <f>DATE(2026,IF(Tabla1[[#This Row],[Mes de Fecha]]="Septiembre",9,10),Tabla1[[#This Row],[Día de Fecha]])</f>
        <v>46288</v>
      </c>
      <c r="I6665">
        <v>0</v>
      </c>
      <c r="J6665" s="1">
        <v>1165570</v>
      </c>
      <c r="K6665">
        <v>0</v>
      </c>
    </row>
    <row r="6666" spans="1:11" x14ac:dyDescent="0.25">
      <c r="A6666" t="s">
        <v>9</v>
      </c>
      <c r="B6666" t="s">
        <v>23</v>
      </c>
      <c r="C6666" t="s">
        <v>872</v>
      </c>
      <c r="D6666" t="s">
        <v>11</v>
      </c>
      <c r="E6666">
        <v>23</v>
      </c>
      <c r="F6666" s="2">
        <f>DATE(2026,IF(Tabla1[[#This Row],[Mes de Fecha]]="Septiembre",9,10),Tabla1[[#This Row],[Día de Fecha]])</f>
        <v>46288</v>
      </c>
      <c r="G6666">
        <v>1044429355</v>
      </c>
      <c r="H6666" t="s">
        <v>24</v>
      </c>
      <c r="I6666">
        <v>17</v>
      </c>
      <c r="J6666">
        <v>0</v>
      </c>
      <c r="K6666" s="1">
        <v>948887</v>
      </c>
    </row>
    <row r="6667" spans="1:11" x14ac:dyDescent="0.25">
      <c r="A6667" t="s">
        <v>9</v>
      </c>
      <c r="B6667" t="s">
        <v>23</v>
      </c>
      <c r="C6667" t="s">
        <v>872</v>
      </c>
      <c r="D6667" t="s">
        <v>11</v>
      </c>
      <c r="E6667">
        <v>23</v>
      </c>
      <c r="F6667" s="2">
        <f>DATE(2026,IF(Tabla1[[#This Row],[Mes de Fecha]]="Septiembre",9,10),Tabla1[[#This Row],[Día de Fecha]])</f>
        <v>46288</v>
      </c>
      <c r="G6667">
        <v>1057597569</v>
      </c>
      <c r="H6667" t="s">
        <v>25</v>
      </c>
      <c r="I6667">
        <v>9</v>
      </c>
      <c r="J6667">
        <v>0</v>
      </c>
      <c r="K6667" s="1">
        <v>587857</v>
      </c>
    </row>
    <row r="6668" spans="1:11" x14ac:dyDescent="0.25">
      <c r="A6668" t="s">
        <v>9</v>
      </c>
      <c r="B6668" t="s">
        <v>23</v>
      </c>
      <c r="C6668" t="s">
        <v>872</v>
      </c>
      <c r="D6668" t="s">
        <v>11</v>
      </c>
      <c r="E6668">
        <v>24</v>
      </c>
      <c r="F6668" s="2">
        <f>DATE(2026,IF(Tabla1[[#This Row],[Mes de Fecha]]="Septiembre",9,10),Tabla1[[#This Row],[Día de Fecha]])</f>
        <v>46289</v>
      </c>
      <c r="I6668">
        <v>0</v>
      </c>
      <c r="J6668" s="1">
        <v>3014396</v>
      </c>
      <c r="K6668">
        <v>0</v>
      </c>
    </row>
    <row r="6669" spans="1:11" x14ac:dyDescent="0.25">
      <c r="A6669" t="s">
        <v>9</v>
      </c>
      <c r="B6669" t="s">
        <v>23</v>
      </c>
      <c r="C6669" t="s">
        <v>872</v>
      </c>
      <c r="D6669" t="s">
        <v>11</v>
      </c>
      <c r="E6669">
        <v>24</v>
      </c>
      <c r="F6669" s="2">
        <f>DATE(2026,IF(Tabla1[[#This Row],[Mes de Fecha]]="Septiembre",9,10),Tabla1[[#This Row],[Día de Fecha]])</f>
        <v>46289</v>
      </c>
      <c r="G6669">
        <v>1044429355</v>
      </c>
      <c r="H6669" t="s">
        <v>24</v>
      </c>
      <c r="I6669">
        <v>14</v>
      </c>
      <c r="J6669">
        <v>0</v>
      </c>
      <c r="K6669" s="1">
        <v>894370</v>
      </c>
    </row>
    <row r="6670" spans="1:11" x14ac:dyDescent="0.25">
      <c r="A6670" t="s">
        <v>9</v>
      </c>
      <c r="B6670" t="s">
        <v>23</v>
      </c>
      <c r="C6670" t="s">
        <v>872</v>
      </c>
      <c r="D6670" t="s">
        <v>11</v>
      </c>
      <c r="E6670">
        <v>24</v>
      </c>
      <c r="F6670" s="2">
        <f>DATE(2026,IF(Tabla1[[#This Row],[Mes de Fecha]]="Septiembre",9,10),Tabla1[[#This Row],[Día de Fecha]])</f>
        <v>46289</v>
      </c>
      <c r="G6670">
        <v>1057597569</v>
      </c>
      <c r="H6670" t="s">
        <v>25</v>
      </c>
      <c r="I6670">
        <v>4</v>
      </c>
      <c r="J6670">
        <v>0</v>
      </c>
      <c r="K6670" s="1">
        <v>230925</v>
      </c>
    </row>
    <row r="6671" spans="1:11" x14ac:dyDescent="0.25">
      <c r="A6671" t="s">
        <v>9</v>
      </c>
      <c r="B6671" t="s">
        <v>23</v>
      </c>
      <c r="C6671" t="s">
        <v>872</v>
      </c>
      <c r="D6671" t="s">
        <v>11</v>
      </c>
      <c r="E6671">
        <v>25</v>
      </c>
      <c r="F6671" s="2">
        <f>DATE(2026,IF(Tabla1[[#This Row],[Mes de Fecha]]="Septiembre",9,10),Tabla1[[#This Row],[Día de Fecha]])</f>
        <v>46290</v>
      </c>
      <c r="I6671">
        <v>0</v>
      </c>
      <c r="J6671" s="1">
        <v>3219538</v>
      </c>
      <c r="K6671">
        <v>0</v>
      </c>
    </row>
    <row r="6672" spans="1:11" x14ac:dyDescent="0.25">
      <c r="A6672" t="s">
        <v>9</v>
      </c>
      <c r="B6672" t="s">
        <v>23</v>
      </c>
      <c r="C6672" t="s">
        <v>872</v>
      </c>
      <c r="D6672" t="s">
        <v>11</v>
      </c>
      <c r="E6672">
        <v>25</v>
      </c>
      <c r="F6672" s="2">
        <f>DATE(2026,IF(Tabla1[[#This Row],[Mes de Fecha]]="Septiembre",9,10),Tabla1[[#This Row],[Día de Fecha]])</f>
        <v>46290</v>
      </c>
      <c r="G6672">
        <v>1044429355</v>
      </c>
      <c r="H6672" t="s">
        <v>24</v>
      </c>
      <c r="I6672">
        <v>16</v>
      </c>
      <c r="J6672">
        <v>0</v>
      </c>
      <c r="K6672" s="1">
        <v>919497</v>
      </c>
    </row>
    <row r="6673" spans="1:11" x14ac:dyDescent="0.25">
      <c r="A6673" t="s">
        <v>9</v>
      </c>
      <c r="B6673" t="s">
        <v>23</v>
      </c>
      <c r="C6673" t="s">
        <v>872</v>
      </c>
      <c r="D6673" t="s">
        <v>11</v>
      </c>
      <c r="E6673">
        <v>25</v>
      </c>
      <c r="F6673" s="2">
        <f>DATE(2026,IF(Tabla1[[#This Row],[Mes de Fecha]]="Septiembre",9,10),Tabla1[[#This Row],[Día de Fecha]])</f>
        <v>46290</v>
      </c>
      <c r="G6673">
        <v>1057597569</v>
      </c>
      <c r="H6673" t="s">
        <v>25</v>
      </c>
      <c r="I6673">
        <v>27</v>
      </c>
      <c r="J6673">
        <v>0</v>
      </c>
      <c r="K6673" s="1">
        <v>1603910</v>
      </c>
    </row>
    <row r="6674" spans="1:11" x14ac:dyDescent="0.25">
      <c r="A6674" t="s">
        <v>9</v>
      </c>
      <c r="B6674" t="s">
        <v>23</v>
      </c>
      <c r="C6674" t="s">
        <v>872</v>
      </c>
      <c r="D6674" t="s">
        <v>11</v>
      </c>
      <c r="E6674">
        <v>26</v>
      </c>
      <c r="F6674" s="2">
        <f>DATE(2026,IF(Tabla1[[#This Row],[Mes de Fecha]]="Septiembre",9,10),Tabla1[[#This Row],[Día de Fecha]])</f>
        <v>46291</v>
      </c>
      <c r="I6674">
        <v>0</v>
      </c>
      <c r="J6674" s="1">
        <v>4059762</v>
      </c>
      <c r="K6674">
        <v>0</v>
      </c>
    </row>
    <row r="6675" spans="1:11" x14ac:dyDescent="0.25">
      <c r="A6675" t="s">
        <v>9</v>
      </c>
      <c r="B6675" t="s">
        <v>23</v>
      </c>
      <c r="C6675" t="s">
        <v>872</v>
      </c>
      <c r="D6675" t="s">
        <v>11</v>
      </c>
      <c r="E6675">
        <v>26</v>
      </c>
      <c r="F6675" s="2">
        <f>DATE(2026,IF(Tabla1[[#This Row],[Mes de Fecha]]="Septiembre",9,10),Tabla1[[#This Row],[Día de Fecha]])</f>
        <v>46291</v>
      </c>
      <c r="G6675">
        <v>1044429355</v>
      </c>
      <c r="H6675" t="s">
        <v>24</v>
      </c>
      <c r="I6675">
        <v>27</v>
      </c>
      <c r="J6675">
        <v>0</v>
      </c>
      <c r="K6675" s="1">
        <v>1864371</v>
      </c>
    </row>
    <row r="6676" spans="1:11" x14ac:dyDescent="0.25">
      <c r="A6676" t="s">
        <v>9</v>
      </c>
      <c r="B6676" t="s">
        <v>23</v>
      </c>
      <c r="C6676" t="s">
        <v>872</v>
      </c>
      <c r="D6676" t="s">
        <v>11</v>
      </c>
      <c r="E6676">
        <v>26</v>
      </c>
      <c r="F6676" s="2">
        <f>DATE(2026,IF(Tabla1[[#This Row],[Mes de Fecha]]="Septiembre",9,10),Tabla1[[#This Row],[Día de Fecha]])</f>
        <v>46291</v>
      </c>
      <c r="G6676">
        <v>1057597569</v>
      </c>
      <c r="H6676" t="s">
        <v>25</v>
      </c>
      <c r="I6676">
        <v>57</v>
      </c>
      <c r="J6676">
        <v>0</v>
      </c>
      <c r="K6676" s="1">
        <v>2577019</v>
      </c>
    </row>
    <row r="6677" spans="1:11" x14ac:dyDescent="0.25">
      <c r="A6677" t="s">
        <v>9</v>
      </c>
      <c r="B6677" t="s">
        <v>23</v>
      </c>
      <c r="C6677" t="s">
        <v>872</v>
      </c>
      <c r="D6677" t="s">
        <v>11</v>
      </c>
      <c r="E6677">
        <v>27</v>
      </c>
      <c r="F6677" s="2">
        <f>DATE(2026,IF(Tabla1[[#This Row],[Mes de Fecha]]="Septiembre",9,10),Tabla1[[#This Row],[Día de Fecha]])</f>
        <v>46292</v>
      </c>
      <c r="I6677">
        <v>0</v>
      </c>
      <c r="J6677" s="1">
        <v>2143511</v>
      </c>
      <c r="K6677">
        <v>0</v>
      </c>
    </row>
    <row r="6678" spans="1:11" x14ac:dyDescent="0.25">
      <c r="A6678" t="s">
        <v>9</v>
      </c>
      <c r="B6678" t="s">
        <v>23</v>
      </c>
      <c r="C6678" t="s">
        <v>872</v>
      </c>
      <c r="D6678" t="s">
        <v>11</v>
      </c>
      <c r="E6678">
        <v>27</v>
      </c>
      <c r="F6678" s="2">
        <f>DATE(2026,IF(Tabla1[[#This Row],[Mes de Fecha]]="Septiembre",9,10),Tabla1[[#This Row],[Día de Fecha]])</f>
        <v>46292</v>
      </c>
      <c r="G6678">
        <v>1044429355</v>
      </c>
      <c r="H6678" t="s">
        <v>24</v>
      </c>
      <c r="I6678">
        <v>35</v>
      </c>
      <c r="J6678">
        <v>0</v>
      </c>
      <c r="K6678" s="1">
        <v>1870168</v>
      </c>
    </row>
    <row r="6679" spans="1:11" x14ac:dyDescent="0.25">
      <c r="A6679" t="s">
        <v>9</v>
      </c>
      <c r="B6679" t="s">
        <v>23</v>
      </c>
      <c r="C6679" t="s">
        <v>872</v>
      </c>
      <c r="D6679" t="s">
        <v>11</v>
      </c>
      <c r="E6679">
        <v>28</v>
      </c>
      <c r="F6679" s="2">
        <f>DATE(2026,IF(Tabla1[[#This Row],[Mes de Fecha]]="Septiembre",9,10),Tabla1[[#This Row],[Día de Fecha]])</f>
        <v>46293</v>
      </c>
      <c r="I6679">
        <v>0</v>
      </c>
      <c r="J6679" s="1">
        <v>1757448</v>
      </c>
      <c r="K6679">
        <v>0</v>
      </c>
    </row>
    <row r="6680" spans="1:11" x14ac:dyDescent="0.25">
      <c r="A6680" t="s">
        <v>9</v>
      </c>
      <c r="B6680" t="s">
        <v>23</v>
      </c>
      <c r="C6680" t="s">
        <v>872</v>
      </c>
      <c r="D6680" t="s">
        <v>11</v>
      </c>
      <c r="E6680">
        <v>28</v>
      </c>
      <c r="F6680" s="2">
        <f>DATE(2026,IF(Tabla1[[#This Row],[Mes de Fecha]]="Septiembre",9,10),Tabla1[[#This Row],[Día de Fecha]])</f>
        <v>46293</v>
      </c>
      <c r="G6680">
        <v>1044429355</v>
      </c>
      <c r="H6680" t="s">
        <v>24</v>
      </c>
      <c r="I6680">
        <v>37</v>
      </c>
      <c r="J6680">
        <v>0</v>
      </c>
      <c r="K6680" s="1">
        <v>1817690</v>
      </c>
    </row>
    <row r="6681" spans="1:11" x14ac:dyDescent="0.25">
      <c r="A6681" t="s">
        <v>9</v>
      </c>
      <c r="B6681" t="s">
        <v>23</v>
      </c>
      <c r="C6681" t="s">
        <v>872</v>
      </c>
      <c r="D6681" t="s">
        <v>11</v>
      </c>
      <c r="E6681">
        <v>28</v>
      </c>
      <c r="F6681" s="2">
        <f>DATE(2026,IF(Tabla1[[#This Row],[Mes de Fecha]]="Septiembre",9,10),Tabla1[[#This Row],[Día de Fecha]])</f>
        <v>46293</v>
      </c>
      <c r="G6681">
        <v>1057597569</v>
      </c>
      <c r="H6681" t="s">
        <v>25</v>
      </c>
      <c r="I6681">
        <v>17</v>
      </c>
      <c r="J6681">
        <v>0</v>
      </c>
      <c r="K6681" s="1">
        <v>826767</v>
      </c>
    </row>
    <row r="6682" spans="1:11" x14ac:dyDescent="0.25">
      <c r="A6682" t="s">
        <v>9</v>
      </c>
      <c r="B6682" t="s">
        <v>23</v>
      </c>
      <c r="C6682" t="s">
        <v>872</v>
      </c>
      <c r="D6682" t="s">
        <v>11</v>
      </c>
      <c r="E6682">
        <v>29</v>
      </c>
      <c r="F6682" s="2">
        <f>DATE(2026,IF(Tabla1[[#This Row],[Mes de Fecha]]="Septiembre",9,10),Tabla1[[#This Row],[Día de Fecha]])</f>
        <v>46294</v>
      </c>
      <c r="I6682">
        <v>0</v>
      </c>
      <c r="J6682" s="1">
        <v>1953762</v>
      </c>
      <c r="K6682">
        <v>0</v>
      </c>
    </row>
    <row r="6683" spans="1:11" x14ac:dyDescent="0.25">
      <c r="A6683" t="s">
        <v>9</v>
      </c>
      <c r="B6683" t="s">
        <v>23</v>
      </c>
      <c r="C6683" t="s">
        <v>872</v>
      </c>
      <c r="D6683" t="s">
        <v>11</v>
      </c>
      <c r="E6683">
        <v>29</v>
      </c>
      <c r="F6683" s="2">
        <f>DATE(2026,IF(Tabla1[[#This Row],[Mes de Fecha]]="Septiembre",9,10),Tabla1[[#This Row],[Día de Fecha]])</f>
        <v>46294</v>
      </c>
      <c r="G6683">
        <v>1044429355</v>
      </c>
      <c r="H6683" t="s">
        <v>24</v>
      </c>
      <c r="I6683">
        <v>29</v>
      </c>
      <c r="J6683">
        <v>0</v>
      </c>
      <c r="K6683" s="1">
        <v>1649876</v>
      </c>
    </row>
    <row r="6684" spans="1:11" x14ac:dyDescent="0.25">
      <c r="A6684" t="s">
        <v>9</v>
      </c>
      <c r="B6684" t="s">
        <v>23</v>
      </c>
      <c r="C6684" t="s">
        <v>872</v>
      </c>
      <c r="D6684" t="s">
        <v>11</v>
      </c>
      <c r="E6684">
        <v>29</v>
      </c>
      <c r="F6684" s="2">
        <f>DATE(2026,IF(Tabla1[[#This Row],[Mes de Fecha]]="Septiembre",9,10),Tabla1[[#This Row],[Día de Fecha]])</f>
        <v>46294</v>
      </c>
      <c r="G6684">
        <v>1057597569</v>
      </c>
      <c r="H6684" t="s">
        <v>25</v>
      </c>
      <c r="I6684">
        <v>24</v>
      </c>
      <c r="J6684">
        <v>0</v>
      </c>
      <c r="K6684" s="1">
        <v>1322396</v>
      </c>
    </row>
    <row r="6685" spans="1:11" x14ac:dyDescent="0.25">
      <c r="A6685" t="s">
        <v>9</v>
      </c>
      <c r="B6685" t="s">
        <v>23</v>
      </c>
      <c r="C6685" t="s">
        <v>872</v>
      </c>
      <c r="D6685" t="s">
        <v>11</v>
      </c>
      <c r="E6685">
        <v>30</v>
      </c>
      <c r="F6685" s="2">
        <f>DATE(2026,IF(Tabla1[[#This Row],[Mes de Fecha]]="Septiembre",9,10),Tabla1[[#This Row],[Día de Fecha]])</f>
        <v>46295</v>
      </c>
      <c r="I6685">
        <v>0</v>
      </c>
      <c r="J6685" s="1">
        <v>2069098</v>
      </c>
      <c r="K6685">
        <v>0</v>
      </c>
    </row>
    <row r="6686" spans="1:11" x14ac:dyDescent="0.25">
      <c r="A6686" t="s">
        <v>9</v>
      </c>
      <c r="B6686" t="s">
        <v>23</v>
      </c>
      <c r="C6686" t="s">
        <v>872</v>
      </c>
      <c r="D6686" t="s">
        <v>11</v>
      </c>
      <c r="E6686">
        <v>30</v>
      </c>
      <c r="F6686" s="2">
        <f>DATE(2026,IF(Tabla1[[#This Row],[Mes de Fecha]]="Septiembre",9,10),Tabla1[[#This Row],[Día de Fecha]])</f>
        <v>46295</v>
      </c>
      <c r="G6686">
        <v>1044429355</v>
      </c>
      <c r="H6686" t="s">
        <v>24</v>
      </c>
      <c r="I6686">
        <v>26</v>
      </c>
      <c r="J6686">
        <v>0</v>
      </c>
      <c r="K6686" s="1">
        <v>1183487</v>
      </c>
    </row>
    <row r="6687" spans="1:11" x14ac:dyDescent="0.25">
      <c r="A6687" t="s">
        <v>9</v>
      </c>
      <c r="B6687" t="s">
        <v>23</v>
      </c>
      <c r="C6687" t="s">
        <v>872</v>
      </c>
      <c r="D6687" t="s">
        <v>11</v>
      </c>
      <c r="E6687">
        <v>30</v>
      </c>
      <c r="F6687" s="2">
        <f>DATE(2026,IF(Tabla1[[#This Row],[Mes de Fecha]]="Septiembre",9,10),Tabla1[[#This Row],[Día de Fecha]])</f>
        <v>46295</v>
      </c>
      <c r="G6687">
        <v>1057597569</v>
      </c>
      <c r="H6687" t="s">
        <v>25</v>
      </c>
      <c r="I6687">
        <v>13</v>
      </c>
      <c r="J6687">
        <v>0</v>
      </c>
      <c r="K6687" s="1">
        <v>848025</v>
      </c>
    </row>
    <row r="6688" spans="1:11" x14ac:dyDescent="0.25">
      <c r="A6688" t="s">
        <v>9</v>
      </c>
      <c r="B6688" t="s">
        <v>23</v>
      </c>
      <c r="C6688" t="s">
        <v>872</v>
      </c>
      <c r="D6688" t="s">
        <v>14</v>
      </c>
      <c r="E6688">
        <v>1</v>
      </c>
      <c r="F6688" s="2">
        <f>DATE(2026,IF(Tabla1[[#This Row],[Mes de Fecha]]="Septiembre",9,10),Tabla1[[#This Row],[Día de Fecha]])</f>
        <v>46296</v>
      </c>
      <c r="I6688">
        <v>0</v>
      </c>
      <c r="J6688" s="1">
        <v>2344321</v>
      </c>
      <c r="K6688">
        <v>0</v>
      </c>
    </row>
    <row r="6689" spans="1:11" x14ac:dyDescent="0.25">
      <c r="A6689" t="s">
        <v>9</v>
      </c>
      <c r="B6689" t="s">
        <v>23</v>
      </c>
      <c r="C6689" t="s">
        <v>872</v>
      </c>
      <c r="D6689" t="s">
        <v>14</v>
      </c>
      <c r="E6689">
        <v>1</v>
      </c>
      <c r="F6689" s="2">
        <f>DATE(2026,IF(Tabla1[[#This Row],[Mes de Fecha]]="Septiembre",9,10),Tabla1[[#This Row],[Día de Fecha]])</f>
        <v>46296</v>
      </c>
      <c r="G6689">
        <v>1002536132</v>
      </c>
      <c r="H6689" t="s">
        <v>26</v>
      </c>
      <c r="I6689">
        <v>4</v>
      </c>
      <c r="J6689">
        <v>0</v>
      </c>
      <c r="K6689" s="1">
        <v>201471</v>
      </c>
    </row>
    <row r="6690" spans="1:11" x14ac:dyDescent="0.25">
      <c r="A6690" t="s">
        <v>9</v>
      </c>
      <c r="B6690" t="s">
        <v>23</v>
      </c>
      <c r="C6690" t="s">
        <v>872</v>
      </c>
      <c r="D6690" t="s">
        <v>14</v>
      </c>
      <c r="E6690">
        <v>1</v>
      </c>
      <c r="F6690" s="2">
        <f>DATE(2026,IF(Tabla1[[#This Row],[Mes de Fecha]]="Septiembre",9,10),Tabla1[[#This Row],[Día de Fecha]])</f>
        <v>46296</v>
      </c>
      <c r="G6690">
        <v>1044429355</v>
      </c>
      <c r="H6690" t="s">
        <v>24</v>
      </c>
      <c r="I6690">
        <v>17</v>
      </c>
      <c r="J6690">
        <v>0</v>
      </c>
      <c r="K6690" s="1">
        <v>805923</v>
      </c>
    </row>
    <row r="6691" spans="1:11" x14ac:dyDescent="0.25">
      <c r="A6691" t="s">
        <v>9</v>
      </c>
      <c r="B6691" t="s">
        <v>23</v>
      </c>
      <c r="C6691" t="s">
        <v>872</v>
      </c>
      <c r="D6691" t="s">
        <v>14</v>
      </c>
      <c r="E6691">
        <v>1</v>
      </c>
      <c r="F6691" s="2">
        <f>DATE(2026,IF(Tabla1[[#This Row],[Mes de Fecha]]="Septiembre",9,10),Tabla1[[#This Row],[Día de Fecha]])</f>
        <v>46296</v>
      </c>
      <c r="G6691">
        <v>1057597569</v>
      </c>
      <c r="H6691" t="s">
        <v>25</v>
      </c>
      <c r="I6691">
        <v>26</v>
      </c>
      <c r="J6691">
        <v>0</v>
      </c>
      <c r="K6691" s="1">
        <v>1242395</v>
      </c>
    </row>
    <row r="6692" spans="1:11" x14ac:dyDescent="0.25">
      <c r="A6692" t="s">
        <v>9</v>
      </c>
      <c r="B6692" t="s">
        <v>23</v>
      </c>
      <c r="C6692" t="s">
        <v>872</v>
      </c>
      <c r="D6692" t="s">
        <v>14</v>
      </c>
      <c r="E6692">
        <v>2</v>
      </c>
      <c r="F6692" s="2">
        <f>DATE(2026,IF(Tabla1[[#This Row],[Mes de Fecha]]="Septiembre",9,10),Tabla1[[#This Row],[Día de Fecha]])</f>
        <v>46297</v>
      </c>
      <c r="I6692">
        <v>0</v>
      </c>
      <c r="J6692" s="1">
        <v>3526212</v>
      </c>
      <c r="K6692">
        <v>0</v>
      </c>
    </row>
    <row r="6693" spans="1:11" x14ac:dyDescent="0.25">
      <c r="A6693" t="s">
        <v>9</v>
      </c>
      <c r="B6693" t="s">
        <v>23</v>
      </c>
      <c r="C6693" t="s">
        <v>872</v>
      </c>
      <c r="D6693" t="s">
        <v>14</v>
      </c>
      <c r="E6693">
        <v>2</v>
      </c>
      <c r="F6693" s="2">
        <f>DATE(2026,IF(Tabla1[[#This Row],[Mes de Fecha]]="Septiembre",9,10),Tabla1[[#This Row],[Día de Fecha]])</f>
        <v>46297</v>
      </c>
      <c r="G6693">
        <v>1002536132</v>
      </c>
      <c r="H6693" t="s">
        <v>26</v>
      </c>
      <c r="I6693">
        <v>2</v>
      </c>
      <c r="J6693">
        <v>0</v>
      </c>
      <c r="K6693" s="1">
        <v>210000</v>
      </c>
    </row>
    <row r="6694" spans="1:11" x14ac:dyDescent="0.25">
      <c r="A6694" t="s">
        <v>9</v>
      </c>
      <c r="B6694" t="s">
        <v>23</v>
      </c>
      <c r="C6694" t="s">
        <v>872</v>
      </c>
      <c r="D6694" t="s">
        <v>14</v>
      </c>
      <c r="E6694">
        <v>2</v>
      </c>
      <c r="F6694" s="2">
        <f>DATE(2026,IF(Tabla1[[#This Row],[Mes de Fecha]]="Septiembre",9,10),Tabla1[[#This Row],[Día de Fecha]])</f>
        <v>46297</v>
      </c>
      <c r="G6694">
        <v>1044429355</v>
      </c>
      <c r="H6694" t="s">
        <v>24</v>
      </c>
      <c r="I6694">
        <v>33</v>
      </c>
      <c r="J6694">
        <v>0</v>
      </c>
      <c r="K6694" s="1">
        <v>1859622</v>
      </c>
    </row>
    <row r="6695" spans="1:11" x14ac:dyDescent="0.25">
      <c r="A6695" t="s">
        <v>9</v>
      </c>
      <c r="B6695" t="s">
        <v>23</v>
      </c>
      <c r="C6695" t="s">
        <v>872</v>
      </c>
      <c r="D6695" t="s">
        <v>14</v>
      </c>
      <c r="E6695">
        <v>2</v>
      </c>
      <c r="F6695" s="2">
        <f>DATE(2026,IF(Tabla1[[#This Row],[Mes de Fecha]]="Septiembre",9,10),Tabla1[[#This Row],[Día de Fecha]])</f>
        <v>46297</v>
      </c>
      <c r="G6695">
        <v>1057597569</v>
      </c>
      <c r="H6695" t="s">
        <v>25</v>
      </c>
      <c r="I6695">
        <v>20</v>
      </c>
      <c r="J6695">
        <v>0</v>
      </c>
      <c r="K6695" s="1">
        <v>1087144</v>
      </c>
    </row>
    <row r="6696" spans="1:11" x14ac:dyDescent="0.25">
      <c r="A6696" t="s">
        <v>9</v>
      </c>
      <c r="B6696" t="s">
        <v>23</v>
      </c>
      <c r="C6696" t="s">
        <v>872</v>
      </c>
      <c r="D6696" t="s">
        <v>14</v>
      </c>
      <c r="E6696">
        <v>3</v>
      </c>
      <c r="F6696" s="2">
        <f>DATE(2026,IF(Tabla1[[#This Row],[Mes de Fecha]]="Septiembre",9,10),Tabla1[[#This Row],[Día de Fecha]])</f>
        <v>46298</v>
      </c>
      <c r="I6696">
        <v>0</v>
      </c>
      <c r="J6696" s="1">
        <v>6034169</v>
      </c>
      <c r="K6696">
        <v>0</v>
      </c>
    </row>
    <row r="6697" spans="1:11" x14ac:dyDescent="0.25">
      <c r="A6697" t="s">
        <v>9</v>
      </c>
      <c r="B6697" t="s">
        <v>23</v>
      </c>
      <c r="C6697" t="s">
        <v>872</v>
      </c>
      <c r="D6697" t="s">
        <v>14</v>
      </c>
      <c r="E6697">
        <v>3</v>
      </c>
      <c r="F6697" s="2">
        <f>DATE(2026,IF(Tabla1[[#This Row],[Mes de Fecha]]="Septiembre",9,10),Tabla1[[#This Row],[Día de Fecha]])</f>
        <v>46298</v>
      </c>
      <c r="G6697">
        <v>1002536132</v>
      </c>
      <c r="H6697" t="s">
        <v>26</v>
      </c>
      <c r="I6697">
        <v>16</v>
      </c>
      <c r="J6697">
        <v>0</v>
      </c>
      <c r="K6697" s="1">
        <v>1043078</v>
      </c>
    </row>
    <row r="6698" spans="1:11" x14ac:dyDescent="0.25">
      <c r="A6698" t="s">
        <v>9</v>
      </c>
      <c r="B6698" t="s">
        <v>23</v>
      </c>
      <c r="C6698" t="s">
        <v>872</v>
      </c>
      <c r="D6698" t="s">
        <v>14</v>
      </c>
      <c r="E6698">
        <v>3</v>
      </c>
      <c r="F6698" s="2">
        <f>DATE(2026,IF(Tabla1[[#This Row],[Mes de Fecha]]="Septiembre",9,10),Tabla1[[#This Row],[Día de Fecha]])</f>
        <v>46298</v>
      </c>
      <c r="G6698">
        <v>1044429355</v>
      </c>
      <c r="H6698" t="s">
        <v>24</v>
      </c>
      <c r="I6698">
        <v>15</v>
      </c>
      <c r="J6698">
        <v>0</v>
      </c>
      <c r="K6698" s="1">
        <v>882161</v>
      </c>
    </row>
    <row r="6699" spans="1:11" x14ac:dyDescent="0.25">
      <c r="A6699" t="s">
        <v>9</v>
      </c>
      <c r="B6699" t="s">
        <v>23</v>
      </c>
      <c r="C6699" t="s">
        <v>872</v>
      </c>
      <c r="D6699" t="s">
        <v>14</v>
      </c>
      <c r="E6699">
        <v>3</v>
      </c>
      <c r="F6699" s="2">
        <f>DATE(2026,IF(Tabla1[[#This Row],[Mes de Fecha]]="Septiembre",9,10),Tabla1[[#This Row],[Día de Fecha]])</f>
        <v>46298</v>
      </c>
      <c r="G6699">
        <v>1057597569</v>
      </c>
      <c r="H6699" t="s">
        <v>25</v>
      </c>
      <c r="I6699">
        <v>81</v>
      </c>
      <c r="J6699">
        <v>0</v>
      </c>
      <c r="K6699" s="1">
        <v>4089196</v>
      </c>
    </row>
    <row r="6700" spans="1:11" x14ac:dyDescent="0.25">
      <c r="A6700" t="s">
        <v>9</v>
      </c>
      <c r="B6700" t="s">
        <v>23</v>
      </c>
      <c r="C6700" t="s">
        <v>872</v>
      </c>
      <c r="D6700" t="s">
        <v>14</v>
      </c>
      <c r="E6700">
        <v>4</v>
      </c>
      <c r="F6700" s="2">
        <f>DATE(2026,IF(Tabla1[[#This Row],[Mes de Fecha]]="Septiembre",9,10),Tabla1[[#This Row],[Día de Fecha]])</f>
        <v>46299</v>
      </c>
      <c r="I6700">
        <v>0</v>
      </c>
      <c r="J6700" s="1">
        <v>5663436</v>
      </c>
      <c r="K6700">
        <v>0</v>
      </c>
    </row>
    <row r="6701" spans="1:11" x14ac:dyDescent="0.25">
      <c r="A6701" t="s">
        <v>9</v>
      </c>
      <c r="B6701" t="s">
        <v>23</v>
      </c>
      <c r="C6701" t="s">
        <v>872</v>
      </c>
      <c r="D6701" t="s">
        <v>14</v>
      </c>
      <c r="E6701">
        <v>4</v>
      </c>
      <c r="F6701" s="2">
        <f>DATE(2026,IF(Tabla1[[#This Row],[Mes de Fecha]]="Septiembre",9,10),Tabla1[[#This Row],[Día de Fecha]])</f>
        <v>46299</v>
      </c>
      <c r="G6701">
        <v>1002536132</v>
      </c>
      <c r="H6701" t="s">
        <v>26</v>
      </c>
      <c r="I6701">
        <v>13</v>
      </c>
      <c r="J6701">
        <v>0</v>
      </c>
      <c r="K6701" s="1">
        <v>795633</v>
      </c>
    </row>
    <row r="6702" spans="1:11" x14ac:dyDescent="0.25">
      <c r="A6702" t="s">
        <v>9</v>
      </c>
      <c r="B6702" t="s">
        <v>23</v>
      </c>
      <c r="C6702" t="s">
        <v>872</v>
      </c>
      <c r="D6702" t="s">
        <v>14</v>
      </c>
      <c r="E6702">
        <v>4</v>
      </c>
      <c r="F6702" s="2">
        <f>DATE(2026,IF(Tabla1[[#This Row],[Mes de Fecha]]="Septiembre",9,10),Tabla1[[#This Row],[Día de Fecha]])</f>
        <v>46299</v>
      </c>
      <c r="G6702">
        <v>1057597569</v>
      </c>
      <c r="H6702" t="s">
        <v>25</v>
      </c>
      <c r="I6702">
        <v>44</v>
      </c>
      <c r="J6702">
        <v>0</v>
      </c>
      <c r="K6702" s="1">
        <v>2298282</v>
      </c>
    </row>
    <row r="6703" spans="1:11" x14ac:dyDescent="0.25">
      <c r="A6703" t="s">
        <v>9</v>
      </c>
      <c r="B6703" t="s">
        <v>23</v>
      </c>
      <c r="C6703" t="s">
        <v>872</v>
      </c>
      <c r="D6703" t="s">
        <v>14</v>
      </c>
      <c r="E6703">
        <v>5</v>
      </c>
      <c r="F6703" s="2">
        <f>DATE(2026,IF(Tabla1[[#This Row],[Mes de Fecha]]="Septiembre",9,10),Tabla1[[#This Row],[Día de Fecha]])</f>
        <v>46300</v>
      </c>
      <c r="I6703">
        <v>0</v>
      </c>
      <c r="J6703" s="1">
        <v>4118150</v>
      </c>
      <c r="K6703">
        <v>0</v>
      </c>
    </row>
    <row r="6704" spans="1:11" x14ac:dyDescent="0.25">
      <c r="A6704" t="s">
        <v>9</v>
      </c>
      <c r="B6704" t="s">
        <v>23</v>
      </c>
      <c r="C6704" t="s">
        <v>872</v>
      </c>
      <c r="D6704" t="s">
        <v>14</v>
      </c>
      <c r="E6704">
        <v>5</v>
      </c>
      <c r="F6704" s="2">
        <f>DATE(2026,IF(Tabla1[[#This Row],[Mes de Fecha]]="Septiembre",9,10),Tabla1[[#This Row],[Día de Fecha]])</f>
        <v>46300</v>
      </c>
      <c r="G6704">
        <v>1002536132</v>
      </c>
      <c r="H6704" t="s">
        <v>26</v>
      </c>
      <c r="I6704">
        <v>6</v>
      </c>
      <c r="J6704">
        <v>0</v>
      </c>
      <c r="K6704" s="1">
        <v>407269</v>
      </c>
    </row>
    <row r="6705" spans="1:11" x14ac:dyDescent="0.25">
      <c r="A6705" t="s">
        <v>9</v>
      </c>
      <c r="B6705" t="s">
        <v>23</v>
      </c>
      <c r="C6705" t="s">
        <v>872</v>
      </c>
      <c r="D6705" t="s">
        <v>14</v>
      </c>
      <c r="E6705">
        <v>5</v>
      </c>
      <c r="F6705" s="2">
        <f>DATE(2026,IF(Tabla1[[#This Row],[Mes de Fecha]]="Septiembre",9,10),Tabla1[[#This Row],[Día de Fecha]])</f>
        <v>46300</v>
      </c>
      <c r="G6705">
        <v>1044429355</v>
      </c>
      <c r="H6705" t="s">
        <v>24</v>
      </c>
      <c r="I6705">
        <v>8</v>
      </c>
      <c r="J6705">
        <v>0</v>
      </c>
      <c r="K6705" s="1">
        <v>403026</v>
      </c>
    </row>
    <row r="6706" spans="1:11" x14ac:dyDescent="0.25">
      <c r="A6706" t="s">
        <v>9</v>
      </c>
      <c r="B6706" t="s">
        <v>23</v>
      </c>
      <c r="C6706" t="s">
        <v>872</v>
      </c>
      <c r="D6706" t="s">
        <v>14</v>
      </c>
      <c r="E6706">
        <v>5</v>
      </c>
      <c r="F6706" s="2">
        <f>DATE(2026,IF(Tabla1[[#This Row],[Mes de Fecha]]="Septiembre",9,10),Tabla1[[#This Row],[Día de Fecha]])</f>
        <v>46300</v>
      </c>
      <c r="G6706">
        <v>1057597569</v>
      </c>
      <c r="H6706" t="s">
        <v>25</v>
      </c>
      <c r="I6706">
        <v>22</v>
      </c>
      <c r="J6706">
        <v>0</v>
      </c>
      <c r="K6706" s="1">
        <v>1089330</v>
      </c>
    </row>
    <row r="6707" spans="1:11" x14ac:dyDescent="0.25">
      <c r="A6707" t="s">
        <v>9</v>
      </c>
      <c r="B6707" t="s">
        <v>23</v>
      </c>
      <c r="C6707" t="s">
        <v>872</v>
      </c>
      <c r="D6707" t="s">
        <v>14</v>
      </c>
      <c r="E6707">
        <v>6</v>
      </c>
      <c r="F6707" s="2">
        <f>DATE(2026,IF(Tabla1[[#This Row],[Mes de Fecha]]="Septiembre",9,10),Tabla1[[#This Row],[Día de Fecha]])</f>
        <v>46301</v>
      </c>
      <c r="I6707">
        <v>0</v>
      </c>
      <c r="J6707" s="1">
        <v>3283329</v>
      </c>
      <c r="K6707">
        <v>0</v>
      </c>
    </row>
    <row r="6708" spans="1:11" x14ac:dyDescent="0.25">
      <c r="A6708" t="s">
        <v>9</v>
      </c>
      <c r="B6708" t="s">
        <v>23</v>
      </c>
      <c r="C6708" t="s">
        <v>872</v>
      </c>
      <c r="D6708" t="s">
        <v>14</v>
      </c>
      <c r="E6708">
        <v>6</v>
      </c>
      <c r="F6708" s="2">
        <f>DATE(2026,IF(Tabla1[[#This Row],[Mes de Fecha]]="Septiembre",9,10),Tabla1[[#This Row],[Día de Fecha]])</f>
        <v>46301</v>
      </c>
      <c r="G6708">
        <v>1002536132</v>
      </c>
      <c r="H6708" t="s">
        <v>26</v>
      </c>
      <c r="I6708">
        <v>10</v>
      </c>
      <c r="J6708">
        <v>0</v>
      </c>
      <c r="K6708" s="1">
        <v>524814</v>
      </c>
    </row>
    <row r="6709" spans="1:11" x14ac:dyDescent="0.25">
      <c r="A6709" t="s">
        <v>9</v>
      </c>
      <c r="B6709" t="s">
        <v>23</v>
      </c>
      <c r="C6709" t="s">
        <v>872</v>
      </c>
      <c r="D6709" t="s">
        <v>14</v>
      </c>
      <c r="E6709">
        <v>6</v>
      </c>
      <c r="F6709" s="2">
        <f>DATE(2026,IF(Tabla1[[#This Row],[Mes de Fecha]]="Septiembre",9,10),Tabla1[[#This Row],[Día de Fecha]])</f>
        <v>46301</v>
      </c>
      <c r="G6709">
        <v>1044429355</v>
      </c>
      <c r="H6709" t="s">
        <v>24</v>
      </c>
      <c r="I6709">
        <v>5</v>
      </c>
      <c r="J6709">
        <v>0</v>
      </c>
      <c r="K6709" s="1">
        <v>273723</v>
      </c>
    </row>
    <row r="6710" spans="1:11" x14ac:dyDescent="0.25">
      <c r="A6710" t="s">
        <v>9</v>
      </c>
      <c r="B6710" t="s">
        <v>23</v>
      </c>
      <c r="C6710" t="s">
        <v>872</v>
      </c>
      <c r="D6710" t="s">
        <v>14</v>
      </c>
      <c r="E6710">
        <v>6</v>
      </c>
      <c r="F6710" s="2">
        <f>DATE(2026,IF(Tabla1[[#This Row],[Mes de Fecha]]="Septiembre",9,10),Tabla1[[#This Row],[Día de Fecha]])</f>
        <v>46301</v>
      </c>
      <c r="G6710">
        <v>1057597569</v>
      </c>
      <c r="H6710" t="s">
        <v>25</v>
      </c>
      <c r="I6710">
        <v>9</v>
      </c>
      <c r="J6710">
        <v>0</v>
      </c>
      <c r="K6710" s="1">
        <v>585778</v>
      </c>
    </row>
    <row r="6711" spans="1:11" x14ac:dyDescent="0.25">
      <c r="A6711" t="s">
        <v>9</v>
      </c>
      <c r="B6711" t="s">
        <v>23</v>
      </c>
      <c r="C6711" t="s">
        <v>872</v>
      </c>
      <c r="D6711" t="s">
        <v>14</v>
      </c>
      <c r="E6711">
        <v>7</v>
      </c>
      <c r="F6711" s="2">
        <f>DATE(2026,IF(Tabla1[[#This Row],[Mes de Fecha]]="Septiembre",9,10),Tabla1[[#This Row],[Día de Fecha]])</f>
        <v>46302</v>
      </c>
      <c r="I6711">
        <v>0</v>
      </c>
      <c r="J6711" s="1">
        <v>892900</v>
      </c>
      <c r="K6711">
        <v>0</v>
      </c>
    </row>
    <row r="6712" spans="1:11" x14ac:dyDescent="0.25">
      <c r="A6712" t="s">
        <v>9</v>
      </c>
      <c r="B6712" t="s">
        <v>23</v>
      </c>
      <c r="C6712" t="s">
        <v>872</v>
      </c>
      <c r="D6712" t="s">
        <v>14</v>
      </c>
      <c r="E6712">
        <v>7</v>
      </c>
      <c r="F6712" s="2">
        <f>DATE(2026,IF(Tabla1[[#This Row],[Mes de Fecha]]="Septiembre",9,10),Tabla1[[#This Row],[Día de Fecha]])</f>
        <v>46302</v>
      </c>
      <c r="G6712">
        <v>1044429355</v>
      </c>
      <c r="H6712" t="s">
        <v>24</v>
      </c>
      <c r="I6712">
        <v>22</v>
      </c>
      <c r="J6712">
        <v>0</v>
      </c>
      <c r="K6712" s="1">
        <v>1356134</v>
      </c>
    </row>
    <row r="6713" spans="1:11" x14ac:dyDescent="0.25">
      <c r="A6713" t="s">
        <v>9</v>
      </c>
      <c r="B6713" t="s">
        <v>23</v>
      </c>
      <c r="C6713" t="s">
        <v>872</v>
      </c>
      <c r="D6713" t="s">
        <v>14</v>
      </c>
      <c r="E6713">
        <v>7</v>
      </c>
      <c r="F6713" s="2">
        <f>DATE(2026,IF(Tabla1[[#This Row],[Mes de Fecha]]="Septiembre",9,10),Tabla1[[#This Row],[Día de Fecha]])</f>
        <v>46302</v>
      </c>
      <c r="G6713">
        <v>1057597569</v>
      </c>
      <c r="H6713" t="s">
        <v>25</v>
      </c>
      <c r="I6713">
        <v>46</v>
      </c>
      <c r="J6713">
        <v>0</v>
      </c>
      <c r="K6713" s="1">
        <v>2932862</v>
      </c>
    </row>
    <row r="6714" spans="1:11" x14ac:dyDescent="0.25">
      <c r="A6714" t="s">
        <v>9</v>
      </c>
      <c r="B6714" t="s">
        <v>43</v>
      </c>
      <c r="C6714" t="s">
        <v>872</v>
      </c>
      <c r="D6714" t="s">
        <v>11</v>
      </c>
      <c r="E6714">
        <v>23</v>
      </c>
      <c r="F6714" s="2">
        <f>DATE(2026,IF(Tabla1[[#This Row],[Mes de Fecha]]="Septiembre",9,10),Tabla1[[#This Row],[Día de Fecha]])</f>
        <v>46288</v>
      </c>
      <c r="I6714">
        <v>0</v>
      </c>
      <c r="J6714" s="1">
        <v>1669587</v>
      </c>
      <c r="K6714">
        <v>0</v>
      </c>
    </row>
    <row r="6715" spans="1:11" x14ac:dyDescent="0.25">
      <c r="A6715" t="s">
        <v>9</v>
      </c>
      <c r="B6715" t="s">
        <v>43</v>
      </c>
      <c r="C6715" t="s">
        <v>872</v>
      </c>
      <c r="D6715" t="s">
        <v>11</v>
      </c>
      <c r="E6715">
        <v>23</v>
      </c>
      <c r="F6715" s="2">
        <f>DATE(2026,IF(Tabla1[[#This Row],[Mes de Fecha]]="Septiembre",9,10),Tabla1[[#This Row],[Día de Fecha]])</f>
        <v>46288</v>
      </c>
      <c r="G6715">
        <v>1117324500</v>
      </c>
      <c r="H6715" t="s">
        <v>44</v>
      </c>
      <c r="I6715">
        <v>5</v>
      </c>
      <c r="J6715">
        <v>0</v>
      </c>
      <c r="K6715" s="1">
        <v>239286</v>
      </c>
    </row>
    <row r="6716" spans="1:11" x14ac:dyDescent="0.25">
      <c r="A6716" t="s">
        <v>9</v>
      </c>
      <c r="B6716" t="s">
        <v>43</v>
      </c>
      <c r="C6716" t="s">
        <v>872</v>
      </c>
      <c r="D6716" t="s">
        <v>11</v>
      </c>
      <c r="E6716">
        <v>23</v>
      </c>
      <c r="F6716" s="2">
        <f>DATE(2026,IF(Tabla1[[#This Row],[Mes de Fecha]]="Septiembre",9,10),Tabla1[[#This Row],[Día de Fecha]])</f>
        <v>46288</v>
      </c>
      <c r="G6716">
        <v>1124819077</v>
      </c>
      <c r="H6716" t="s">
        <v>46</v>
      </c>
      <c r="I6716">
        <v>9</v>
      </c>
      <c r="J6716">
        <v>0</v>
      </c>
      <c r="K6716" s="1">
        <v>423991</v>
      </c>
    </row>
    <row r="6717" spans="1:11" x14ac:dyDescent="0.25">
      <c r="A6717" t="s">
        <v>9</v>
      </c>
      <c r="B6717" t="s">
        <v>43</v>
      </c>
      <c r="C6717" t="s">
        <v>872</v>
      </c>
      <c r="D6717" t="s">
        <v>11</v>
      </c>
      <c r="E6717">
        <v>23</v>
      </c>
      <c r="F6717" s="2">
        <f>DATE(2026,IF(Tabla1[[#This Row],[Mes de Fecha]]="Septiembre",9,10),Tabla1[[#This Row],[Día de Fecha]])</f>
        <v>46288</v>
      </c>
      <c r="G6717">
        <v>1124822850</v>
      </c>
      <c r="H6717" t="s">
        <v>45</v>
      </c>
      <c r="I6717">
        <v>7</v>
      </c>
      <c r="J6717">
        <v>0</v>
      </c>
      <c r="K6717" s="1">
        <v>314832</v>
      </c>
    </row>
    <row r="6718" spans="1:11" x14ac:dyDescent="0.25">
      <c r="A6718" t="s">
        <v>9</v>
      </c>
      <c r="B6718" t="s">
        <v>43</v>
      </c>
      <c r="C6718" t="s">
        <v>872</v>
      </c>
      <c r="D6718" t="s">
        <v>11</v>
      </c>
      <c r="E6718">
        <v>24</v>
      </c>
      <c r="F6718" s="2">
        <f>DATE(2026,IF(Tabla1[[#This Row],[Mes de Fecha]]="Septiembre",9,10),Tabla1[[#This Row],[Día de Fecha]])</f>
        <v>46289</v>
      </c>
      <c r="I6718">
        <v>0</v>
      </c>
      <c r="J6718" s="1">
        <v>4317873</v>
      </c>
      <c r="K6718">
        <v>0</v>
      </c>
    </row>
    <row r="6719" spans="1:11" x14ac:dyDescent="0.25">
      <c r="A6719" t="s">
        <v>9</v>
      </c>
      <c r="B6719" t="s">
        <v>43</v>
      </c>
      <c r="C6719" t="s">
        <v>872</v>
      </c>
      <c r="D6719" t="s">
        <v>11</v>
      </c>
      <c r="E6719">
        <v>24</v>
      </c>
      <c r="F6719" s="2">
        <f>DATE(2026,IF(Tabla1[[#This Row],[Mes de Fecha]]="Septiembre",9,10),Tabla1[[#This Row],[Día de Fecha]])</f>
        <v>46289</v>
      </c>
      <c r="G6719">
        <v>1117324500</v>
      </c>
      <c r="H6719" t="s">
        <v>44</v>
      </c>
      <c r="I6719">
        <v>28</v>
      </c>
      <c r="J6719">
        <v>0</v>
      </c>
      <c r="K6719" s="1">
        <v>1484078</v>
      </c>
    </row>
    <row r="6720" spans="1:11" x14ac:dyDescent="0.25">
      <c r="A6720" t="s">
        <v>9</v>
      </c>
      <c r="B6720" t="s">
        <v>43</v>
      </c>
      <c r="C6720" t="s">
        <v>872</v>
      </c>
      <c r="D6720" t="s">
        <v>11</v>
      </c>
      <c r="E6720">
        <v>24</v>
      </c>
      <c r="F6720" s="2">
        <f>DATE(2026,IF(Tabla1[[#This Row],[Mes de Fecha]]="Septiembre",9,10),Tabla1[[#This Row],[Día de Fecha]])</f>
        <v>46289</v>
      </c>
      <c r="G6720">
        <v>1124819077</v>
      </c>
      <c r="H6720" t="s">
        <v>46</v>
      </c>
      <c r="I6720">
        <v>47</v>
      </c>
      <c r="J6720">
        <v>0</v>
      </c>
      <c r="K6720" s="1">
        <v>2216471</v>
      </c>
    </row>
    <row r="6721" spans="1:11" x14ac:dyDescent="0.25">
      <c r="A6721" t="s">
        <v>9</v>
      </c>
      <c r="B6721" t="s">
        <v>43</v>
      </c>
      <c r="C6721" t="s">
        <v>872</v>
      </c>
      <c r="D6721" t="s">
        <v>11</v>
      </c>
      <c r="E6721">
        <v>25</v>
      </c>
      <c r="F6721" s="2">
        <f>DATE(2026,IF(Tabla1[[#This Row],[Mes de Fecha]]="Septiembre",9,10),Tabla1[[#This Row],[Día de Fecha]])</f>
        <v>46290</v>
      </c>
      <c r="I6721">
        <v>0</v>
      </c>
      <c r="J6721" s="1">
        <v>4611724</v>
      </c>
      <c r="K6721">
        <v>0</v>
      </c>
    </row>
    <row r="6722" spans="1:11" x14ac:dyDescent="0.25">
      <c r="A6722" t="s">
        <v>9</v>
      </c>
      <c r="B6722" t="s">
        <v>43</v>
      </c>
      <c r="C6722" t="s">
        <v>872</v>
      </c>
      <c r="D6722" t="s">
        <v>11</v>
      </c>
      <c r="E6722">
        <v>25</v>
      </c>
      <c r="F6722" s="2">
        <f>DATE(2026,IF(Tabla1[[#This Row],[Mes de Fecha]]="Septiembre",9,10),Tabla1[[#This Row],[Día de Fecha]])</f>
        <v>46290</v>
      </c>
      <c r="G6722">
        <v>1117324500</v>
      </c>
      <c r="H6722" t="s">
        <v>44</v>
      </c>
      <c r="I6722">
        <v>27</v>
      </c>
      <c r="J6722">
        <v>0</v>
      </c>
      <c r="K6722" s="1">
        <v>1654245</v>
      </c>
    </row>
    <row r="6723" spans="1:11" x14ac:dyDescent="0.25">
      <c r="A6723" t="s">
        <v>9</v>
      </c>
      <c r="B6723" t="s">
        <v>43</v>
      </c>
      <c r="C6723" t="s">
        <v>872</v>
      </c>
      <c r="D6723" t="s">
        <v>11</v>
      </c>
      <c r="E6723">
        <v>25</v>
      </c>
      <c r="F6723" s="2">
        <f>DATE(2026,IF(Tabla1[[#This Row],[Mes de Fecha]]="Septiembre",9,10),Tabla1[[#This Row],[Día de Fecha]])</f>
        <v>46290</v>
      </c>
      <c r="G6723">
        <v>1124819077</v>
      </c>
      <c r="H6723" t="s">
        <v>46</v>
      </c>
      <c r="I6723">
        <v>35</v>
      </c>
      <c r="J6723">
        <v>0</v>
      </c>
      <c r="K6723" s="1">
        <v>1824162</v>
      </c>
    </row>
    <row r="6724" spans="1:11" x14ac:dyDescent="0.25">
      <c r="A6724" t="s">
        <v>9</v>
      </c>
      <c r="B6724" t="s">
        <v>43</v>
      </c>
      <c r="C6724" t="s">
        <v>872</v>
      </c>
      <c r="D6724" t="s">
        <v>11</v>
      </c>
      <c r="E6724">
        <v>26</v>
      </c>
      <c r="F6724" s="2">
        <f>DATE(2026,IF(Tabla1[[#This Row],[Mes de Fecha]]="Septiembre",9,10),Tabla1[[#This Row],[Día de Fecha]])</f>
        <v>46291</v>
      </c>
      <c r="I6724">
        <v>0</v>
      </c>
      <c r="J6724" s="1">
        <v>5815266</v>
      </c>
      <c r="K6724">
        <v>0</v>
      </c>
    </row>
    <row r="6725" spans="1:11" x14ac:dyDescent="0.25">
      <c r="A6725" t="s">
        <v>9</v>
      </c>
      <c r="B6725" t="s">
        <v>43</v>
      </c>
      <c r="C6725" t="s">
        <v>872</v>
      </c>
      <c r="D6725" t="s">
        <v>11</v>
      </c>
      <c r="E6725">
        <v>26</v>
      </c>
      <c r="F6725" s="2">
        <f>DATE(2026,IF(Tabla1[[#This Row],[Mes de Fecha]]="Septiembre",9,10),Tabla1[[#This Row],[Día de Fecha]])</f>
        <v>46291</v>
      </c>
      <c r="G6725">
        <v>1117324500</v>
      </c>
      <c r="H6725" t="s">
        <v>44</v>
      </c>
      <c r="I6725">
        <v>87</v>
      </c>
      <c r="J6725">
        <v>0</v>
      </c>
      <c r="K6725" s="1">
        <v>4275679</v>
      </c>
    </row>
    <row r="6726" spans="1:11" x14ac:dyDescent="0.25">
      <c r="A6726" t="s">
        <v>9</v>
      </c>
      <c r="B6726" t="s">
        <v>43</v>
      </c>
      <c r="C6726" t="s">
        <v>872</v>
      </c>
      <c r="D6726" t="s">
        <v>11</v>
      </c>
      <c r="E6726">
        <v>27</v>
      </c>
      <c r="F6726" s="2">
        <f>DATE(2026,IF(Tabla1[[#This Row],[Mes de Fecha]]="Septiembre",9,10),Tabla1[[#This Row],[Día de Fecha]])</f>
        <v>46292</v>
      </c>
      <c r="I6726">
        <v>0</v>
      </c>
      <c r="J6726" s="1">
        <v>3070406</v>
      </c>
      <c r="K6726">
        <v>0</v>
      </c>
    </row>
    <row r="6727" spans="1:11" x14ac:dyDescent="0.25">
      <c r="A6727" t="s">
        <v>9</v>
      </c>
      <c r="B6727" t="s">
        <v>43</v>
      </c>
      <c r="C6727" t="s">
        <v>872</v>
      </c>
      <c r="D6727" t="s">
        <v>11</v>
      </c>
      <c r="E6727">
        <v>27</v>
      </c>
      <c r="F6727" s="2">
        <f>DATE(2026,IF(Tabla1[[#This Row],[Mes de Fecha]]="Septiembre",9,10),Tabla1[[#This Row],[Día de Fecha]])</f>
        <v>46292</v>
      </c>
      <c r="G6727">
        <v>1117324500</v>
      </c>
      <c r="H6727" t="s">
        <v>44</v>
      </c>
      <c r="I6727">
        <v>51</v>
      </c>
      <c r="J6727">
        <v>0</v>
      </c>
      <c r="K6727" s="1">
        <v>2472232</v>
      </c>
    </row>
    <row r="6728" spans="1:11" x14ac:dyDescent="0.25">
      <c r="A6728" t="s">
        <v>9</v>
      </c>
      <c r="B6728" t="s">
        <v>43</v>
      </c>
      <c r="C6728" t="s">
        <v>872</v>
      </c>
      <c r="D6728" t="s">
        <v>11</v>
      </c>
      <c r="E6728">
        <v>27</v>
      </c>
      <c r="F6728" s="2">
        <f>DATE(2026,IF(Tabla1[[#This Row],[Mes de Fecha]]="Septiembre",9,10),Tabla1[[#This Row],[Día de Fecha]])</f>
        <v>46292</v>
      </c>
      <c r="G6728">
        <v>1124819077</v>
      </c>
      <c r="H6728" t="s">
        <v>46</v>
      </c>
      <c r="I6728">
        <v>26</v>
      </c>
      <c r="J6728">
        <v>0</v>
      </c>
      <c r="K6728" s="1">
        <v>1381220</v>
      </c>
    </row>
    <row r="6729" spans="1:11" x14ac:dyDescent="0.25">
      <c r="A6729" t="s">
        <v>9</v>
      </c>
      <c r="B6729" t="s">
        <v>43</v>
      </c>
      <c r="C6729" t="s">
        <v>872</v>
      </c>
      <c r="D6729" t="s">
        <v>11</v>
      </c>
      <c r="E6729">
        <v>28</v>
      </c>
      <c r="F6729" s="2">
        <f>DATE(2026,IF(Tabla1[[#This Row],[Mes de Fecha]]="Septiembre",9,10),Tabla1[[#This Row],[Día de Fecha]])</f>
        <v>46293</v>
      </c>
      <c r="I6729">
        <v>0</v>
      </c>
      <c r="J6729" s="1">
        <v>2517402</v>
      </c>
      <c r="K6729">
        <v>0</v>
      </c>
    </row>
    <row r="6730" spans="1:11" x14ac:dyDescent="0.25">
      <c r="A6730" t="s">
        <v>9</v>
      </c>
      <c r="B6730" t="s">
        <v>43</v>
      </c>
      <c r="C6730" t="s">
        <v>872</v>
      </c>
      <c r="D6730" t="s">
        <v>11</v>
      </c>
      <c r="E6730">
        <v>28</v>
      </c>
      <c r="F6730" s="2">
        <f>DATE(2026,IF(Tabla1[[#This Row],[Mes de Fecha]]="Septiembre",9,10),Tabla1[[#This Row],[Día de Fecha]])</f>
        <v>46293</v>
      </c>
      <c r="G6730">
        <v>1117324500</v>
      </c>
      <c r="H6730" t="s">
        <v>44</v>
      </c>
      <c r="I6730">
        <v>40</v>
      </c>
      <c r="J6730">
        <v>0</v>
      </c>
      <c r="K6730" s="1">
        <v>2573699</v>
      </c>
    </row>
    <row r="6731" spans="1:11" x14ac:dyDescent="0.25">
      <c r="A6731" t="s">
        <v>9</v>
      </c>
      <c r="B6731" t="s">
        <v>43</v>
      </c>
      <c r="C6731" t="s">
        <v>872</v>
      </c>
      <c r="D6731" t="s">
        <v>11</v>
      </c>
      <c r="E6731">
        <v>28</v>
      </c>
      <c r="F6731" s="2">
        <f>DATE(2026,IF(Tabla1[[#This Row],[Mes de Fecha]]="Septiembre",9,10),Tabla1[[#This Row],[Día de Fecha]])</f>
        <v>46293</v>
      </c>
      <c r="G6731">
        <v>1124819077</v>
      </c>
      <c r="H6731" t="s">
        <v>46</v>
      </c>
      <c r="I6731">
        <v>29</v>
      </c>
      <c r="J6731">
        <v>0</v>
      </c>
      <c r="K6731" s="1">
        <v>1372646</v>
      </c>
    </row>
    <row r="6732" spans="1:11" x14ac:dyDescent="0.25">
      <c r="A6732" t="s">
        <v>9</v>
      </c>
      <c r="B6732" t="s">
        <v>43</v>
      </c>
      <c r="C6732" t="s">
        <v>872</v>
      </c>
      <c r="D6732" t="s">
        <v>11</v>
      </c>
      <c r="E6732">
        <v>29</v>
      </c>
      <c r="F6732" s="2">
        <f>DATE(2026,IF(Tabla1[[#This Row],[Mes de Fecha]]="Septiembre",9,10),Tabla1[[#This Row],[Día de Fecha]])</f>
        <v>46294</v>
      </c>
      <c r="I6732">
        <v>0</v>
      </c>
      <c r="J6732" s="1">
        <v>2798603</v>
      </c>
      <c r="K6732">
        <v>0</v>
      </c>
    </row>
    <row r="6733" spans="1:11" x14ac:dyDescent="0.25">
      <c r="A6733" t="s">
        <v>9</v>
      </c>
      <c r="B6733" t="s">
        <v>43</v>
      </c>
      <c r="C6733" t="s">
        <v>872</v>
      </c>
      <c r="D6733" t="s">
        <v>11</v>
      </c>
      <c r="E6733">
        <v>29</v>
      </c>
      <c r="F6733" s="2">
        <f>DATE(2026,IF(Tabla1[[#This Row],[Mes de Fecha]]="Septiembre",9,10),Tabla1[[#This Row],[Día de Fecha]])</f>
        <v>46294</v>
      </c>
      <c r="G6733">
        <v>1117324500</v>
      </c>
      <c r="H6733" t="s">
        <v>44</v>
      </c>
      <c r="I6733">
        <v>22</v>
      </c>
      <c r="J6733">
        <v>0</v>
      </c>
      <c r="K6733" s="1">
        <v>1141935</v>
      </c>
    </row>
    <row r="6734" spans="1:11" x14ac:dyDescent="0.25">
      <c r="A6734" t="s">
        <v>9</v>
      </c>
      <c r="B6734" t="s">
        <v>43</v>
      </c>
      <c r="C6734" t="s">
        <v>872</v>
      </c>
      <c r="D6734" t="s">
        <v>11</v>
      </c>
      <c r="E6734">
        <v>29</v>
      </c>
      <c r="F6734" s="2">
        <f>DATE(2026,IF(Tabla1[[#This Row],[Mes de Fecha]]="Septiembre",9,10),Tabla1[[#This Row],[Día de Fecha]])</f>
        <v>46294</v>
      </c>
      <c r="G6734">
        <v>1124819077</v>
      </c>
      <c r="H6734" t="s">
        <v>46</v>
      </c>
      <c r="I6734">
        <v>57</v>
      </c>
      <c r="J6734">
        <v>0</v>
      </c>
      <c r="K6734" s="1">
        <v>2581390</v>
      </c>
    </row>
    <row r="6735" spans="1:11" x14ac:dyDescent="0.25">
      <c r="A6735" t="s">
        <v>9</v>
      </c>
      <c r="B6735" t="s">
        <v>43</v>
      </c>
      <c r="C6735" t="s">
        <v>872</v>
      </c>
      <c r="D6735" t="s">
        <v>11</v>
      </c>
      <c r="E6735">
        <v>30</v>
      </c>
      <c r="F6735" s="2">
        <f>DATE(2026,IF(Tabla1[[#This Row],[Mes de Fecha]]="Septiembre",9,10),Tabla1[[#This Row],[Día de Fecha]])</f>
        <v>46295</v>
      </c>
      <c r="I6735">
        <v>0</v>
      </c>
      <c r="J6735" s="1">
        <v>2963808</v>
      </c>
      <c r="K6735">
        <v>0</v>
      </c>
    </row>
    <row r="6736" spans="1:11" x14ac:dyDescent="0.25">
      <c r="A6736" t="s">
        <v>9</v>
      </c>
      <c r="B6736" t="s">
        <v>43</v>
      </c>
      <c r="C6736" t="s">
        <v>872</v>
      </c>
      <c r="D6736" t="s">
        <v>11</v>
      </c>
      <c r="E6736">
        <v>30</v>
      </c>
      <c r="F6736" s="2">
        <f>DATE(2026,IF(Tabla1[[#This Row],[Mes de Fecha]]="Septiembre",9,10),Tabla1[[#This Row],[Día de Fecha]])</f>
        <v>46295</v>
      </c>
      <c r="G6736">
        <v>1117324500</v>
      </c>
      <c r="H6736" t="s">
        <v>44</v>
      </c>
      <c r="I6736">
        <v>57</v>
      </c>
      <c r="J6736">
        <v>0</v>
      </c>
      <c r="K6736" s="1">
        <v>2654918</v>
      </c>
    </row>
    <row r="6737" spans="1:11" x14ac:dyDescent="0.25">
      <c r="A6737" t="s">
        <v>9</v>
      </c>
      <c r="B6737" t="s">
        <v>43</v>
      </c>
      <c r="C6737" t="s">
        <v>872</v>
      </c>
      <c r="D6737" t="s">
        <v>11</v>
      </c>
      <c r="E6737">
        <v>30</v>
      </c>
      <c r="F6737" s="2">
        <f>DATE(2026,IF(Tabla1[[#This Row],[Mes de Fecha]]="Septiembre",9,10),Tabla1[[#This Row],[Día de Fecha]])</f>
        <v>46295</v>
      </c>
      <c r="G6737">
        <v>1124819077</v>
      </c>
      <c r="H6737" t="s">
        <v>46</v>
      </c>
      <c r="I6737">
        <v>102</v>
      </c>
      <c r="J6737">
        <v>0</v>
      </c>
      <c r="K6737" s="1">
        <v>5266267</v>
      </c>
    </row>
    <row r="6738" spans="1:11" x14ac:dyDescent="0.25">
      <c r="A6738" t="s">
        <v>9</v>
      </c>
      <c r="B6738" t="s">
        <v>43</v>
      </c>
      <c r="C6738" t="s">
        <v>872</v>
      </c>
      <c r="D6738" t="s">
        <v>11</v>
      </c>
      <c r="E6738">
        <v>30</v>
      </c>
      <c r="F6738" s="2">
        <f>DATE(2026,IF(Tabla1[[#This Row],[Mes de Fecha]]="Septiembre",9,10),Tabla1[[#This Row],[Día de Fecha]])</f>
        <v>46295</v>
      </c>
      <c r="G6738">
        <v>1124822850</v>
      </c>
      <c r="H6738" t="s">
        <v>45</v>
      </c>
      <c r="I6738">
        <v>4</v>
      </c>
      <c r="J6738">
        <v>0</v>
      </c>
      <c r="K6738" s="1">
        <v>188908</v>
      </c>
    </row>
    <row r="6739" spans="1:11" x14ac:dyDescent="0.25">
      <c r="A6739" t="s">
        <v>9</v>
      </c>
      <c r="B6739" t="s">
        <v>43</v>
      </c>
      <c r="C6739" t="s">
        <v>872</v>
      </c>
      <c r="D6739" t="s">
        <v>14</v>
      </c>
      <c r="E6739">
        <v>1</v>
      </c>
      <c r="F6739" s="2">
        <f>DATE(2026,IF(Tabla1[[#This Row],[Mes de Fecha]]="Septiembre",9,10),Tabla1[[#This Row],[Día de Fecha]])</f>
        <v>46296</v>
      </c>
      <c r="I6739">
        <v>0</v>
      </c>
      <c r="J6739" s="1">
        <v>8145356</v>
      </c>
      <c r="K6739">
        <v>0</v>
      </c>
    </row>
    <row r="6740" spans="1:11" x14ac:dyDescent="0.25">
      <c r="A6740" t="s">
        <v>9</v>
      </c>
      <c r="B6740" t="s">
        <v>43</v>
      </c>
      <c r="C6740" t="s">
        <v>872</v>
      </c>
      <c r="D6740" t="s">
        <v>14</v>
      </c>
      <c r="E6740">
        <v>1</v>
      </c>
      <c r="F6740" s="2">
        <f>DATE(2026,IF(Tabla1[[#This Row],[Mes de Fecha]]="Septiembre",9,10),Tabla1[[#This Row],[Día de Fecha]])</f>
        <v>46296</v>
      </c>
      <c r="G6740">
        <v>1124819077</v>
      </c>
      <c r="H6740" t="s">
        <v>46</v>
      </c>
      <c r="I6740">
        <v>123</v>
      </c>
      <c r="J6740">
        <v>0</v>
      </c>
      <c r="K6740" s="1">
        <v>5876436</v>
      </c>
    </row>
    <row r="6741" spans="1:11" x14ac:dyDescent="0.25">
      <c r="A6741" t="s">
        <v>9</v>
      </c>
      <c r="B6741" t="s">
        <v>43</v>
      </c>
      <c r="C6741" t="s">
        <v>872</v>
      </c>
      <c r="D6741" t="s">
        <v>14</v>
      </c>
      <c r="E6741">
        <v>1</v>
      </c>
      <c r="F6741" s="2">
        <f>DATE(2026,IF(Tabla1[[#This Row],[Mes de Fecha]]="Septiembre",9,10),Tabla1[[#This Row],[Día de Fecha]])</f>
        <v>46296</v>
      </c>
      <c r="G6741">
        <v>1124822850</v>
      </c>
      <c r="H6741" t="s">
        <v>45</v>
      </c>
      <c r="I6741">
        <v>44</v>
      </c>
      <c r="J6741">
        <v>0</v>
      </c>
      <c r="K6741" s="1">
        <v>2235297</v>
      </c>
    </row>
    <row r="6742" spans="1:11" x14ac:dyDescent="0.25">
      <c r="A6742" t="s">
        <v>9</v>
      </c>
      <c r="B6742" t="s">
        <v>43</v>
      </c>
      <c r="C6742" t="s">
        <v>872</v>
      </c>
      <c r="D6742" t="s">
        <v>14</v>
      </c>
      <c r="E6742">
        <v>2</v>
      </c>
      <c r="F6742" s="2">
        <f>DATE(2026,IF(Tabla1[[#This Row],[Mes de Fecha]]="Septiembre",9,10),Tabla1[[#This Row],[Día de Fecha]])</f>
        <v>46297</v>
      </c>
      <c r="I6742">
        <v>0</v>
      </c>
      <c r="J6742" s="1">
        <v>10871656</v>
      </c>
      <c r="K6742">
        <v>0</v>
      </c>
    </row>
    <row r="6743" spans="1:11" x14ac:dyDescent="0.25">
      <c r="A6743" t="s">
        <v>9</v>
      </c>
      <c r="B6743" t="s">
        <v>43</v>
      </c>
      <c r="C6743" t="s">
        <v>872</v>
      </c>
      <c r="D6743" t="s">
        <v>14</v>
      </c>
      <c r="E6743">
        <v>2</v>
      </c>
      <c r="F6743" s="2">
        <f>DATE(2026,IF(Tabla1[[#This Row],[Mes de Fecha]]="Septiembre",9,10),Tabla1[[#This Row],[Día de Fecha]])</f>
        <v>46297</v>
      </c>
      <c r="G6743">
        <v>1124819077</v>
      </c>
      <c r="H6743" t="s">
        <v>46</v>
      </c>
      <c r="I6743">
        <v>95</v>
      </c>
      <c r="J6743">
        <v>0</v>
      </c>
      <c r="K6743" s="1">
        <v>4590048</v>
      </c>
    </row>
    <row r="6744" spans="1:11" x14ac:dyDescent="0.25">
      <c r="A6744" t="s">
        <v>9</v>
      </c>
      <c r="B6744" t="s">
        <v>43</v>
      </c>
      <c r="C6744" t="s">
        <v>872</v>
      </c>
      <c r="D6744" t="s">
        <v>14</v>
      </c>
      <c r="E6744">
        <v>2</v>
      </c>
      <c r="F6744" s="2">
        <f>DATE(2026,IF(Tabla1[[#This Row],[Mes de Fecha]]="Septiembre",9,10),Tabla1[[#This Row],[Día de Fecha]])</f>
        <v>46297</v>
      </c>
      <c r="G6744">
        <v>1124822850</v>
      </c>
      <c r="H6744" t="s">
        <v>45</v>
      </c>
      <c r="I6744">
        <v>43</v>
      </c>
      <c r="J6744">
        <v>0</v>
      </c>
      <c r="K6744" s="1">
        <v>1972778</v>
      </c>
    </row>
    <row r="6745" spans="1:11" x14ac:dyDescent="0.25">
      <c r="A6745" t="s">
        <v>9</v>
      </c>
      <c r="B6745" t="s">
        <v>43</v>
      </c>
      <c r="C6745" t="s">
        <v>872</v>
      </c>
      <c r="D6745" t="s">
        <v>14</v>
      </c>
      <c r="E6745">
        <v>3</v>
      </c>
      <c r="F6745" s="2">
        <f>DATE(2026,IF(Tabla1[[#This Row],[Mes de Fecha]]="Septiembre",9,10),Tabla1[[#This Row],[Día de Fecha]])</f>
        <v>46298</v>
      </c>
      <c r="I6745">
        <v>0</v>
      </c>
      <c r="J6745" s="1">
        <v>5855242</v>
      </c>
      <c r="K6745">
        <v>0</v>
      </c>
    </row>
    <row r="6746" spans="1:11" x14ac:dyDescent="0.25">
      <c r="A6746" t="s">
        <v>9</v>
      </c>
      <c r="B6746" t="s">
        <v>43</v>
      </c>
      <c r="C6746" t="s">
        <v>872</v>
      </c>
      <c r="D6746" t="s">
        <v>14</v>
      </c>
      <c r="E6746">
        <v>3</v>
      </c>
      <c r="F6746" s="2">
        <f>DATE(2026,IF(Tabla1[[#This Row],[Mes de Fecha]]="Septiembre",9,10),Tabla1[[#This Row],[Día de Fecha]])</f>
        <v>46298</v>
      </c>
      <c r="G6746">
        <v>1124822850</v>
      </c>
      <c r="H6746" t="s">
        <v>45</v>
      </c>
      <c r="I6746">
        <v>80</v>
      </c>
      <c r="J6746">
        <v>0</v>
      </c>
      <c r="K6746" s="1">
        <v>3552781</v>
      </c>
    </row>
    <row r="6747" spans="1:11" x14ac:dyDescent="0.25">
      <c r="A6747" t="s">
        <v>9</v>
      </c>
      <c r="B6747" t="s">
        <v>43</v>
      </c>
      <c r="C6747" t="s">
        <v>872</v>
      </c>
      <c r="D6747" t="s">
        <v>14</v>
      </c>
      <c r="E6747">
        <v>4</v>
      </c>
      <c r="F6747" s="2">
        <f>DATE(2026,IF(Tabla1[[#This Row],[Mes de Fecha]]="Septiembre",9,10),Tabla1[[#This Row],[Día de Fecha]])</f>
        <v>46299</v>
      </c>
      <c r="I6747">
        <v>0</v>
      </c>
      <c r="J6747" s="1">
        <v>2118835</v>
      </c>
      <c r="K6747">
        <v>0</v>
      </c>
    </row>
    <row r="6748" spans="1:11" x14ac:dyDescent="0.25">
      <c r="A6748" t="s">
        <v>9</v>
      </c>
      <c r="B6748" t="s">
        <v>43</v>
      </c>
      <c r="C6748" t="s">
        <v>872</v>
      </c>
      <c r="D6748" t="s">
        <v>14</v>
      </c>
      <c r="E6748">
        <v>4</v>
      </c>
      <c r="F6748" s="2">
        <f>DATE(2026,IF(Tabla1[[#This Row],[Mes de Fecha]]="Septiembre",9,10),Tabla1[[#This Row],[Día de Fecha]])</f>
        <v>46299</v>
      </c>
      <c r="G6748">
        <v>1124819077</v>
      </c>
      <c r="H6748" t="s">
        <v>46</v>
      </c>
      <c r="I6748">
        <v>35</v>
      </c>
      <c r="J6748">
        <v>0</v>
      </c>
      <c r="K6748" s="1">
        <v>1670759</v>
      </c>
    </row>
    <row r="6749" spans="1:11" x14ac:dyDescent="0.25">
      <c r="A6749" t="s">
        <v>9</v>
      </c>
      <c r="B6749" t="s">
        <v>43</v>
      </c>
      <c r="C6749" t="s">
        <v>872</v>
      </c>
      <c r="D6749" t="s">
        <v>14</v>
      </c>
      <c r="E6749">
        <v>4</v>
      </c>
      <c r="F6749" s="2">
        <f>DATE(2026,IF(Tabla1[[#This Row],[Mes de Fecha]]="Septiembre",9,10),Tabla1[[#This Row],[Día de Fecha]])</f>
        <v>46299</v>
      </c>
      <c r="G6749">
        <v>1124822850</v>
      </c>
      <c r="H6749" t="s">
        <v>45</v>
      </c>
      <c r="I6749">
        <v>49</v>
      </c>
      <c r="J6749">
        <v>0</v>
      </c>
      <c r="K6749" s="1">
        <v>2285505</v>
      </c>
    </row>
    <row r="6750" spans="1:11" x14ac:dyDescent="0.25">
      <c r="A6750" t="s">
        <v>9</v>
      </c>
      <c r="B6750" t="s">
        <v>43</v>
      </c>
      <c r="C6750" t="s">
        <v>872</v>
      </c>
      <c r="D6750" t="s">
        <v>14</v>
      </c>
      <c r="E6750">
        <v>5</v>
      </c>
      <c r="F6750" s="2">
        <f>DATE(2026,IF(Tabla1[[#This Row],[Mes de Fecha]]="Septiembre",9,10),Tabla1[[#This Row],[Día de Fecha]])</f>
        <v>46300</v>
      </c>
      <c r="I6750">
        <v>0</v>
      </c>
      <c r="J6750" s="1">
        <v>6819206</v>
      </c>
      <c r="K6750">
        <v>0</v>
      </c>
    </row>
    <row r="6751" spans="1:11" x14ac:dyDescent="0.25">
      <c r="A6751" t="s">
        <v>9</v>
      </c>
      <c r="B6751" t="s">
        <v>43</v>
      </c>
      <c r="C6751" t="s">
        <v>872</v>
      </c>
      <c r="D6751" t="s">
        <v>14</v>
      </c>
      <c r="E6751">
        <v>5</v>
      </c>
      <c r="F6751" s="2">
        <f>DATE(2026,IF(Tabla1[[#This Row],[Mes de Fecha]]="Septiembre",9,10),Tabla1[[#This Row],[Día de Fecha]])</f>
        <v>46300</v>
      </c>
      <c r="G6751">
        <v>1124819077</v>
      </c>
      <c r="H6751" t="s">
        <v>46</v>
      </c>
      <c r="I6751">
        <v>51</v>
      </c>
      <c r="J6751">
        <v>0</v>
      </c>
      <c r="K6751" s="1">
        <v>2648786</v>
      </c>
    </row>
    <row r="6752" spans="1:11" x14ac:dyDescent="0.25">
      <c r="A6752" t="s">
        <v>9</v>
      </c>
      <c r="B6752" t="s">
        <v>43</v>
      </c>
      <c r="C6752" t="s">
        <v>872</v>
      </c>
      <c r="D6752" t="s">
        <v>14</v>
      </c>
      <c r="E6752">
        <v>5</v>
      </c>
      <c r="F6752" s="2">
        <f>DATE(2026,IF(Tabla1[[#This Row],[Mes de Fecha]]="Septiembre",9,10),Tabla1[[#This Row],[Día de Fecha]])</f>
        <v>46300</v>
      </c>
      <c r="G6752">
        <v>1124822850</v>
      </c>
      <c r="H6752" t="s">
        <v>45</v>
      </c>
      <c r="I6752">
        <v>26</v>
      </c>
      <c r="J6752">
        <v>0</v>
      </c>
      <c r="K6752" s="1">
        <v>1196303</v>
      </c>
    </row>
    <row r="6753" spans="1:11" x14ac:dyDescent="0.25">
      <c r="A6753" t="s">
        <v>9</v>
      </c>
      <c r="B6753" t="s">
        <v>43</v>
      </c>
      <c r="C6753" t="s">
        <v>872</v>
      </c>
      <c r="D6753" t="s">
        <v>14</v>
      </c>
      <c r="E6753">
        <v>6</v>
      </c>
      <c r="F6753" s="2">
        <f>DATE(2026,IF(Tabla1[[#This Row],[Mes de Fecha]]="Septiembre",9,10),Tabla1[[#This Row],[Día de Fecha]])</f>
        <v>46301</v>
      </c>
      <c r="I6753">
        <v>0</v>
      </c>
      <c r="J6753" s="1">
        <v>4838764</v>
      </c>
      <c r="K6753">
        <v>0</v>
      </c>
    </row>
    <row r="6754" spans="1:11" x14ac:dyDescent="0.25">
      <c r="A6754" t="s">
        <v>9</v>
      </c>
      <c r="B6754" t="s">
        <v>43</v>
      </c>
      <c r="C6754" t="s">
        <v>872</v>
      </c>
      <c r="D6754" t="s">
        <v>14</v>
      </c>
      <c r="E6754">
        <v>6</v>
      </c>
      <c r="F6754" s="2">
        <f>DATE(2026,IF(Tabla1[[#This Row],[Mes de Fecha]]="Septiembre",9,10),Tabla1[[#This Row],[Día de Fecha]])</f>
        <v>46301</v>
      </c>
      <c r="G6754">
        <v>1124819077</v>
      </c>
      <c r="H6754" t="s">
        <v>46</v>
      </c>
      <c r="I6754">
        <v>23</v>
      </c>
      <c r="J6754">
        <v>0</v>
      </c>
      <c r="K6754" s="1">
        <v>1001094</v>
      </c>
    </row>
    <row r="6755" spans="1:11" x14ac:dyDescent="0.25">
      <c r="A6755" t="s">
        <v>9</v>
      </c>
      <c r="B6755" t="s">
        <v>43</v>
      </c>
      <c r="C6755" t="s">
        <v>872</v>
      </c>
      <c r="D6755" t="s">
        <v>14</v>
      </c>
      <c r="E6755">
        <v>6</v>
      </c>
      <c r="F6755" s="2">
        <f>DATE(2026,IF(Tabla1[[#This Row],[Mes de Fecha]]="Septiembre",9,10),Tabla1[[#This Row],[Día de Fecha]])</f>
        <v>46301</v>
      </c>
      <c r="G6755">
        <v>1124822850</v>
      </c>
      <c r="H6755" t="s">
        <v>45</v>
      </c>
      <c r="I6755">
        <v>18</v>
      </c>
      <c r="J6755">
        <v>0</v>
      </c>
      <c r="K6755" s="1">
        <v>1343741</v>
      </c>
    </row>
    <row r="6756" spans="1:11" x14ac:dyDescent="0.25">
      <c r="A6756" t="s">
        <v>9</v>
      </c>
      <c r="B6756" t="s">
        <v>43</v>
      </c>
      <c r="C6756" t="s">
        <v>872</v>
      </c>
      <c r="D6756" t="s">
        <v>14</v>
      </c>
      <c r="E6756">
        <v>7</v>
      </c>
      <c r="F6756" s="2">
        <f>DATE(2026,IF(Tabla1[[#This Row],[Mes de Fecha]]="Septiembre",9,10),Tabla1[[#This Row],[Día de Fecha]])</f>
        <v>46302</v>
      </c>
      <c r="I6756">
        <v>0</v>
      </c>
      <c r="J6756" s="1">
        <v>1264496</v>
      </c>
      <c r="K6756">
        <v>0</v>
      </c>
    </row>
    <row r="6757" spans="1:11" x14ac:dyDescent="0.25">
      <c r="A6757" t="s">
        <v>9</v>
      </c>
      <c r="B6757" t="s">
        <v>43</v>
      </c>
      <c r="C6757" t="s">
        <v>872</v>
      </c>
      <c r="D6757" t="s">
        <v>14</v>
      </c>
      <c r="E6757">
        <v>7</v>
      </c>
      <c r="F6757" s="2">
        <f>DATE(2026,IF(Tabla1[[#This Row],[Mes de Fecha]]="Septiembre",9,10),Tabla1[[#This Row],[Día de Fecha]])</f>
        <v>46302</v>
      </c>
      <c r="G6757">
        <v>1124819077</v>
      </c>
      <c r="H6757" t="s">
        <v>46</v>
      </c>
      <c r="I6757">
        <v>12</v>
      </c>
      <c r="J6757">
        <v>0</v>
      </c>
      <c r="K6757" s="1">
        <v>587648</v>
      </c>
    </row>
    <row r="6758" spans="1:11" x14ac:dyDescent="0.25">
      <c r="A6758" t="s">
        <v>9</v>
      </c>
      <c r="B6758" t="s">
        <v>43</v>
      </c>
      <c r="C6758" t="s">
        <v>872</v>
      </c>
      <c r="D6758" t="s">
        <v>14</v>
      </c>
      <c r="E6758">
        <v>7</v>
      </c>
      <c r="F6758" s="2">
        <f>DATE(2026,IF(Tabla1[[#This Row],[Mes de Fecha]]="Septiembre",9,10),Tabla1[[#This Row],[Día de Fecha]])</f>
        <v>46302</v>
      </c>
      <c r="G6758">
        <v>1124822850</v>
      </c>
      <c r="H6758" t="s">
        <v>45</v>
      </c>
      <c r="I6758">
        <v>23</v>
      </c>
      <c r="J6758">
        <v>0</v>
      </c>
      <c r="K6758" s="1">
        <v>1274118</v>
      </c>
    </row>
    <row r="6759" spans="1:11" x14ac:dyDescent="0.25">
      <c r="A6759" t="s">
        <v>326</v>
      </c>
      <c r="B6759" t="s">
        <v>627</v>
      </c>
      <c r="C6759" t="s">
        <v>872</v>
      </c>
      <c r="D6759" t="s">
        <v>11</v>
      </c>
      <c r="E6759">
        <v>23</v>
      </c>
      <c r="F6759" s="2">
        <f>DATE(2026,IF(Tabla1[[#This Row],[Mes de Fecha]]="Septiembre",9,10),Tabla1[[#This Row],[Día de Fecha]])</f>
        <v>46288</v>
      </c>
      <c r="I6759">
        <v>0</v>
      </c>
      <c r="J6759" s="1">
        <v>14514813</v>
      </c>
      <c r="K6759">
        <v>0</v>
      </c>
    </row>
    <row r="6760" spans="1:11" x14ac:dyDescent="0.25">
      <c r="A6760" t="s">
        <v>326</v>
      </c>
      <c r="B6760" t="s">
        <v>627</v>
      </c>
      <c r="C6760" t="s">
        <v>872</v>
      </c>
      <c r="D6760" t="s">
        <v>11</v>
      </c>
      <c r="E6760">
        <v>23</v>
      </c>
      <c r="F6760" s="2">
        <f>DATE(2026,IF(Tabla1[[#This Row],[Mes de Fecha]]="Septiembre",9,10),Tabla1[[#This Row],[Día de Fecha]])</f>
        <v>46288</v>
      </c>
      <c r="G6760">
        <v>1005584151</v>
      </c>
      <c r="H6760" t="s">
        <v>628</v>
      </c>
      <c r="I6760">
        <v>78</v>
      </c>
      <c r="J6760">
        <v>0</v>
      </c>
      <c r="K6760" s="1">
        <v>3216434</v>
      </c>
    </row>
    <row r="6761" spans="1:11" x14ac:dyDescent="0.25">
      <c r="A6761" t="s">
        <v>326</v>
      </c>
      <c r="B6761" t="s">
        <v>627</v>
      </c>
      <c r="C6761" t="s">
        <v>872</v>
      </c>
      <c r="D6761" t="s">
        <v>11</v>
      </c>
      <c r="E6761">
        <v>23</v>
      </c>
      <c r="F6761" s="2">
        <f>DATE(2026,IF(Tabla1[[#This Row],[Mes de Fecha]]="Septiembre",9,10),Tabla1[[#This Row],[Día de Fecha]])</f>
        <v>46288</v>
      </c>
      <c r="G6761">
        <v>1121854340</v>
      </c>
      <c r="H6761" t="s">
        <v>629</v>
      </c>
      <c r="I6761">
        <v>80</v>
      </c>
      <c r="J6761">
        <v>0</v>
      </c>
      <c r="K6761" s="1">
        <v>3193361</v>
      </c>
    </row>
    <row r="6762" spans="1:11" x14ac:dyDescent="0.25">
      <c r="A6762" t="s">
        <v>326</v>
      </c>
      <c r="B6762" t="s">
        <v>627</v>
      </c>
      <c r="C6762" t="s">
        <v>872</v>
      </c>
      <c r="D6762" t="s">
        <v>11</v>
      </c>
      <c r="E6762">
        <v>23</v>
      </c>
      <c r="F6762" s="2">
        <f>DATE(2026,IF(Tabla1[[#This Row],[Mes de Fecha]]="Septiembre",9,10),Tabla1[[#This Row],[Día de Fecha]])</f>
        <v>46288</v>
      </c>
      <c r="G6762">
        <v>1122924164</v>
      </c>
      <c r="H6762" t="s">
        <v>630</v>
      </c>
      <c r="I6762">
        <v>73</v>
      </c>
      <c r="J6762">
        <v>0</v>
      </c>
      <c r="K6762" s="1">
        <v>3156030</v>
      </c>
    </row>
    <row r="6763" spans="1:11" x14ac:dyDescent="0.25">
      <c r="A6763" t="s">
        <v>326</v>
      </c>
      <c r="B6763" t="s">
        <v>627</v>
      </c>
      <c r="C6763" t="s">
        <v>872</v>
      </c>
      <c r="D6763" t="s">
        <v>11</v>
      </c>
      <c r="E6763">
        <v>24</v>
      </c>
      <c r="F6763" s="2">
        <f>DATE(2026,IF(Tabla1[[#This Row],[Mes de Fecha]]="Septiembre",9,10),Tabla1[[#This Row],[Día de Fecha]])</f>
        <v>46289</v>
      </c>
      <c r="I6763">
        <v>0</v>
      </c>
      <c r="J6763" s="1">
        <v>22173009</v>
      </c>
      <c r="K6763">
        <v>0</v>
      </c>
    </row>
    <row r="6764" spans="1:11" x14ac:dyDescent="0.25">
      <c r="A6764" t="s">
        <v>326</v>
      </c>
      <c r="B6764" t="s">
        <v>627</v>
      </c>
      <c r="C6764" t="s">
        <v>872</v>
      </c>
      <c r="D6764" t="s">
        <v>11</v>
      </c>
      <c r="E6764">
        <v>24</v>
      </c>
      <c r="F6764" s="2">
        <f>DATE(2026,IF(Tabla1[[#This Row],[Mes de Fecha]]="Septiembre",9,10),Tabla1[[#This Row],[Día de Fecha]])</f>
        <v>46289</v>
      </c>
      <c r="G6764">
        <v>1005584151</v>
      </c>
      <c r="H6764" t="s">
        <v>628</v>
      </c>
      <c r="I6764">
        <v>39</v>
      </c>
      <c r="J6764">
        <v>0</v>
      </c>
      <c r="K6764" s="1">
        <v>2065212</v>
      </c>
    </row>
    <row r="6765" spans="1:11" x14ac:dyDescent="0.25">
      <c r="A6765" t="s">
        <v>326</v>
      </c>
      <c r="B6765" t="s">
        <v>627</v>
      </c>
      <c r="C6765" t="s">
        <v>872</v>
      </c>
      <c r="D6765" t="s">
        <v>11</v>
      </c>
      <c r="E6765">
        <v>24</v>
      </c>
      <c r="F6765" s="2">
        <f>DATE(2026,IF(Tabla1[[#This Row],[Mes de Fecha]]="Septiembre",9,10),Tabla1[[#This Row],[Día de Fecha]])</f>
        <v>46289</v>
      </c>
      <c r="G6765">
        <v>1010123104</v>
      </c>
      <c r="H6765" t="s">
        <v>632</v>
      </c>
      <c r="I6765">
        <v>54</v>
      </c>
      <c r="J6765">
        <v>0</v>
      </c>
      <c r="K6765" s="1">
        <v>2396136</v>
      </c>
    </row>
    <row r="6766" spans="1:11" x14ac:dyDescent="0.25">
      <c r="A6766" t="s">
        <v>326</v>
      </c>
      <c r="B6766" t="s">
        <v>627</v>
      </c>
      <c r="C6766" t="s">
        <v>872</v>
      </c>
      <c r="D6766" t="s">
        <v>11</v>
      </c>
      <c r="E6766">
        <v>24</v>
      </c>
      <c r="F6766" s="2">
        <f>DATE(2026,IF(Tabla1[[#This Row],[Mes de Fecha]]="Septiembre",9,10),Tabla1[[#This Row],[Día de Fecha]])</f>
        <v>46289</v>
      </c>
      <c r="G6766">
        <v>1016010865</v>
      </c>
      <c r="H6766" t="s">
        <v>633</v>
      </c>
      <c r="I6766">
        <v>48</v>
      </c>
      <c r="J6766">
        <v>0</v>
      </c>
      <c r="K6766" s="1">
        <v>2144579</v>
      </c>
    </row>
    <row r="6767" spans="1:11" x14ac:dyDescent="0.25">
      <c r="A6767" t="s">
        <v>326</v>
      </c>
      <c r="B6767" t="s">
        <v>627</v>
      </c>
      <c r="C6767" t="s">
        <v>872</v>
      </c>
      <c r="D6767" t="s">
        <v>11</v>
      </c>
      <c r="E6767">
        <v>24</v>
      </c>
      <c r="F6767" s="2">
        <f>DATE(2026,IF(Tabla1[[#This Row],[Mes de Fecha]]="Septiembre",9,10),Tabla1[[#This Row],[Día de Fecha]])</f>
        <v>46289</v>
      </c>
      <c r="G6767">
        <v>1094282665</v>
      </c>
      <c r="H6767" t="s">
        <v>634</v>
      </c>
      <c r="I6767">
        <v>34</v>
      </c>
      <c r="J6767">
        <v>0</v>
      </c>
      <c r="K6767" s="1">
        <v>1792397</v>
      </c>
    </row>
    <row r="6768" spans="1:11" x14ac:dyDescent="0.25">
      <c r="A6768" t="s">
        <v>326</v>
      </c>
      <c r="B6768" t="s">
        <v>627</v>
      </c>
      <c r="C6768" t="s">
        <v>872</v>
      </c>
      <c r="D6768" t="s">
        <v>11</v>
      </c>
      <c r="E6768">
        <v>24</v>
      </c>
      <c r="F6768" s="2">
        <f>DATE(2026,IF(Tabla1[[#This Row],[Mes de Fecha]]="Septiembre",9,10),Tabla1[[#This Row],[Día de Fecha]])</f>
        <v>46289</v>
      </c>
      <c r="G6768">
        <v>1121854340</v>
      </c>
      <c r="H6768" t="s">
        <v>629</v>
      </c>
      <c r="I6768">
        <v>32</v>
      </c>
      <c r="J6768">
        <v>0</v>
      </c>
      <c r="K6768" s="1">
        <v>1460549</v>
      </c>
    </row>
    <row r="6769" spans="1:11" x14ac:dyDescent="0.25">
      <c r="A6769" t="s">
        <v>326</v>
      </c>
      <c r="B6769" t="s">
        <v>627</v>
      </c>
      <c r="C6769" t="s">
        <v>872</v>
      </c>
      <c r="D6769" t="s">
        <v>11</v>
      </c>
      <c r="E6769">
        <v>24</v>
      </c>
      <c r="F6769" s="2">
        <f>DATE(2026,IF(Tabla1[[#This Row],[Mes de Fecha]]="Septiembre",9,10),Tabla1[[#This Row],[Día de Fecha]])</f>
        <v>46289</v>
      </c>
      <c r="G6769">
        <v>1122924164</v>
      </c>
      <c r="H6769" t="s">
        <v>630</v>
      </c>
      <c r="I6769">
        <v>56</v>
      </c>
      <c r="J6769">
        <v>0</v>
      </c>
      <c r="K6769" s="1">
        <v>2316137</v>
      </c>
    </row>
    <row r="6770" spans="1:11" x14ac:dyDescent="0.25">
      <c r="A6770" t="s">
        <v>326</v>
      </c>
      <c r="B6770" t="s">
        <v>627</v>
      </c>
      <c r="C6770" t="s">
        <v>872</v>
      </c>
      <c r="D6770" t="s">
        <v>11</v>
      </c>
      <c r="E6770">
        <v>25</v>
      </c>
      <c r="F6770" s="2">
        <f>DATE(2026,IF(Tabla1[[#This Row],[Mes de Fecha]]="Septiembre",9,10),Tabla1[[#This Row],[Día de Fecha]])</f>
        <v>46290</v>
      </c>
      <c r="I6770">
        <v>0</v>
      </c>
      <c r="J6770" s="1">
        <v>22123922</v>
      </c>
      <c r="K6770">
        <v>0</v>
      </c>
    </row>
    <row r="6771" spans="1:11" x14ac:dyDescent="0.25">
      <c r="A6771" t="s">
        <v>326</v>
      </c>
      <c r="B6771" t="s">
        <v>627</v>
      </c>
      <c r="C6771" t="s">
        <v>872</v>
      </c>
      <c r="D6771" t="s">
        <v>11</v>
      </c>
      <c r="E6771">
        <v>25</v>
      </c>
      <c r="F6771" s="2">
        <f>DATE(2026,IF(Tabla1[[#This Row],[Mes de Fecha]]="Septiembre",9,10),Tabla1[[#This Row],[Día de Fecha]])</f>
        <v>46290</v>
      </c>
      <c r="G6771">
        <v>1005584151</v>
      </c>
      <c r="H6771" t="s">
        <v>628</v>
      </c>
      <c r="I6771">
        <v>89</v>
      </c>
      <c r="J6771">
        <v>0</v>
      </c>
      <c r="K6771" s="1">
        <v>3738788</v>
      </c>
    </row>
    <row r="6772" spans="1:11" x14ac:dyDescent="0.25">
      <c r="A6772" t="s">
        <v>326</v>
      </c>
      <c r="B6772" t="s">
        <v>627</v>
      </c>
      <c r="C6772" t="s">
        <v>872</v>
      </c>
      <c r="D6772" t="s">
        <v>11</v>
      </c>
      <c r="E6772">
        <v>25</v>
      </c>
      <c r="F6772" s="2">
        <f>DATE(2026,IF(Tabla1[[#This Row],[Mes de Fecha]]="Septiembre",9,10),Tabla1[[#This Row],[Día de Fecha]])</f>
        <v>46290</v>
      </c>
      <c r="G6772">
        <v>1010123104</v>
      </c>
      <c r="H6772" t="s">
        <v>632</v>
      </c>
      <c r="I6772">
        <v>54</v>
      </c>
      <c r="J6772">
        <v>0</v>
      </c>
      <c r="K6772" s="1">
        <v>1862329</v>
      </c>
    </row>
    <row r="6773" spans="1:11" x14ac:dyDescent="0.25">
      <c r="A6773" t="s">
        <v>326</v>
      </c>
      <c r="B6773" t="s">
        <v>627</v>
      </c>
      <c r="C6773" t="s">
        <v>872</v>
      </c>
      <c r="D6773" t="s">
        <v>11</v>
      </c>
      <c r="E6773">
        <v>25</v>
      </c>
      <c r="F6773" s="2">
        <f>DATE(2026,IF(Tabla1[[#This Row],[Mes de Fecha]]="Septiembre",9,10),Tabla1[[#This Row],[Día de Fecha]])</f>
        <v>46290</v>
      </c>
      <c r="G6773">
        <v>1016010865</v>
      </c>
      <c r="H6773" t="s">
        <v>633</v>
      </c>
      <c r="I6773">
        <v>36</v>
      </c>
      <c r="J6773">
        <v>0</v>
      </c>
      <c r="K6773" s="1">
        <v>1702062</v>
      </c>
    </row>
    <row r="6774" spans="1:11" x14ac:dyDescent="0.25">
      <c r="A6774" t="s">
        <v>326</v>
      </c>
      <c r="B6774" t="s">
        <v>627</v>
      </c>
      <c r="C6774" t="s">
        <v>872</v>
      </c>
      <c r="D6774" t="s">
        <v>11</v>
      </c>
      <c r="E6774">
        <v>25</v>
      </c>
      <c r="F6774" s="2">
        <f>DATE(2026,IF(Tabla1[[#This Row],[Mes de Fecha]]="Septiembre",9,10),Tabla1[[#This Row],[Día de Fecha]])</f>
        <v>46290</v>
      </c>
      <c r="G6774">
        <v>1094282665</v>
      </c>
      <c r="H6774" t="s">
        <v>634</v>
      </c>
      <c r="I6774">
        <v>34</v>
      </c>
      <c r="J6774">
        <v>0</v>
      </c>
      <c r="K6774" s="1">
        <v>1746096</v>
      </c>
    </row>
    <row r="6775" spans="1:11" x14ac:dyDescent="0.25">
      <c r="A6775" t="s">
        <v>326</v>
      </c>
      <c r="B6775" t="s">
        <v>627</v>
      </c>
      <c r="C6775" t="s">
        <v>872</v>
      </c>
      <c r="D6775" t="s">
        <v>11</v>
      </c>
      <c r="E6775">
        <v>25</v>
      </c>
      <c r="F6775" s="2">
        <f>DATE(2026,IF(Tabla1[[#This Row],[Mes de Fecha]]="Septiembre",9,10),Tabla1[[#This Row],[Día de Fecha]])</f>
        <v>46290</v>
      </c>
      <c r="G6775">
        <v>1121854340</v>
      </c>
      <c r="H6775" t="s">
        <v>629</v>
      </c>
      <c r="I6775">
        <v>94</v>
      </c>
      <c r="J6775">
        <v>0</v>
      </c>
      <c r="K6775" s="1">
        <v>3582836</v>
      </c>
    </row>
    <row r="6776" spans="1:11" x14ac:dyDescent="0.25">
      <c r="A6776" t="s">
        <v>326</v>
      </c>
      <c r="B6776" t="s">
        <v>627</v>
      </c>
      <c r="C6776" t="s">
        <v>872</v>
      </c>
      <c r="D6776" t="s">
        <v>11</v>
      </c>
      <c r="E6776">
        <v>25</v>
      </c>
      <c r="F6776" s="2">
        <f>DATE(2026,IF(Tabla1[[#This Row],[Mes de Fecha]]="Septiembre",9,10),Tabla1[[#This Row],[Día de Fecha]])</f>
        <v>46290</v>
      </c>
      <c r="G6776">
        <v>1122924164</v>
      </c>
      <c r="H6776" t="s">
        <v>630</v>
      </c>
      <c r="I6776">
        <v>82</v>
      </c>
      <c r="J6776">
        <v>0</v>
      </c>
      <c r="K6776" s="1">
        <v>3608870</v>
      </c>
    </row>
    <row r="6777" spans="1:11" x14ac:dyDescent="0.25">
      <c r="A6777" t="s">
        <v>326</v>
      </c>
      <c r="B6777" t="s">
        <v>627</v>
      </c>
      <c r="C6777" t="s">
        <v>872</v>
      </c>
      <c r="D6777" t="s">
        <v>11</v>
      </c>
      <c r="E6777">
        <v>26</v>
      </c>
      <c r="F6777" s="2">
        <f>DATE(2026,IF(Tabla1[[#This Row],[Mes de Fecha]]="Septiembre",9,10),Tabla1[[#This Row],[Día de Fecha]])</f>
        <v>46291</v>
      </c>
      <c r="I6777">
        <v>0</v>
      </c>
      <c r="J6777" s="1">
        <v>31795260</v>
      </c>
      <c r="K6777">
        <v>0</v>
      </c>
    </row>
    <row r="6778" spans="1:11" x14ac:dyDescent="0.25">
      <c r="A6778" t="s">
        <v>326</v>
      </c>
      <c r="B6778" t="s">
        <v>627</v>
      </c>
      <c r="C6778" t="s">
        <v>872</v>
      </c>
      <c r="D6778" t="s">
        <v>11</v>
      </c>
      <c r="E6778">
        <v>26</v>
      </c>
      <c r="F6778" s="2">
        <f>DATE(2026,IF(Tabla1[[#This Row],[Mes de Fecha]]="Septiembre",9,10),Tabla1[[#This Row],[Día de Fecha]])</f>
        <v>46291</v>
      </c>
      <c r="G6778">
        <v>1005584151</v>
      </c>
      <c r="H6778" t="s">
        <v>628</v>
      </c>
      <c r="I6778">
        <v>134</v>
      </c>
      <c r="J6778">
        <v>0</v>
      </c>
      <c r="K6778" s="1">
        <v>6221856</v>
      </c>
    </row>
    <row r="6779" spans="1:11" x14ac:dyDescent="0.25">
      <c r="A6779" t="s">
        <v>326</v>
      </c>
      <c r="B6779" t="s">
        <v>627</v>
      </c>
      <c r="C6779" t="s">
        <v>872</v>
      </c>
      <c r="D6779" t="s">
        <v>11</v>
      </c>
      <c r="E6779">
        <v>26</v>
      </c>
      <c r="F6779" s="2">
        <f>DATE(2026,IF(Tabla1[[#This Row],[Mes de Fecha]]="Septiembre",9,10),Tabla1[[#This Row],[Día de Fecha]])</f>
        <v>46291</v>
      </c>
      <c r="G6779">
        <v>1010123104</v>
      </c>
      <c r="H6779" t="s">
        <v>632</v>
      </c>
      <c r="I6779">
        <v>91</v>
      </c>
      <c r="J6779">
        <v>0</v>
      </c>
      <c r="K6779" s="1">
        <v>4482876</v>
      </c>
    </row>
    <row r="6780" spans="1:11" x14ac:dyDescent="0.25">
      <c r="A6780" t="s">
        <v>326</v>
      </c>
      <c r="B6780" t="s">
        <v>627</v>
      </c>
      <c r="C6780" t="s">
        <v>872</v>
      </c>
      <c r="D6780" t="s">
        <v>11</v>
      </c>
      <c r="E6780">
        <v>26</v>
      </c>
      <c r="F6780" s="2">
        <f>DATE(2026,IF(Tabla1[[#This Row],[Mes de Fecha]]="Septiembre",9,10),Tabla1[[#This Row],[Día de Fecha]])</f>
        <v>46291</v>
      </c>
      <c r="G6780">
        <v>1016010865</v>
      </c>
      <c r="H6780" t="s">
        <v>633</v>
      </c>
      <c r="I6780">
        <v>78</v>
      </c>
      <c r="J6780">
        <v>0</v>
      </c>
      <c r="K6780" s="1">
        <v>3851137</v>
      </c>
    </row>
    <row r="6781" spans="1:11" x14ac:dyDescent="0.25">
      <c r="A6781" t="s">
        <v>326</v>
      </c>
      <c r="B6781" t="s">
        <v>627</v>
      </c>
      <c r="C6781" t="s">
        <v>872</v>
      </c>
      <c r="D6781" t="s">
        <v>11</v>
      </c>
      <c r="E6781">
        <v>26</v>
      </c>
      <c r="F6781" s="2">
        <f>DATE(2026,IF(Tabla1[[#This Row],[Mes de Fecha]]="Septiembre",9,10),Tabla1[[#This Row],[Día de Fecha]])</f>
        <v>46291</v>
      </c>
      <c r="G6781">
        <v>1094282665</v>
      </c>
      <c r="H6781" t="s">
        <v>634</v>
      </c>
      <c r="I6781">
        <v>82</v>
      </c>
      <c r="J6781">
        <v>0</v>
      </c>
      <c r="K6781" s="1">
        <v>3941305</v>
      </c>
    </row>
    <row r="6782" spans="1:11" x14ac:dyDescent="0.25">
      <c r="A6782" t="s">
        <v>326</v>
      </c>
      <c r="B6782" t="s">
        <v>627</v>
      </c>
      <c r="C6782" t="s">
        <v>872</v>
      </c>
      <c r="D6782" t="s">
        <v>11</v>
      </c>
      <c r="E6782">
        <v>26</v>
      </c>
      <c r="F6782" s="2">
        <f>DATE(2026,IF(Tabla1[[#This Row],[Mes de Fecha]]="Septiembre",9,10),Tabla1[[#This Row],[Día de Fecha]])</f>
        <v>46291</v>
      </c>
      <c r="G6782">
        <v>1121854340</v>
      </c>
      <c r="H6782" t="s">
        <v>629</v>
      </c>
      <c r="I6782">
        <v>135</v>
      </c>
      <c r="J6782">
        <v>0</v>
      </c>
      <c r="K6782" s="1">
        <v>6323501</v>
      </c>
    </row>
    <row r="6783" spans="1:11" x14ac:dyDescent="0.25">
      <c r="A6783" t="s">
        <v>326</v>
      </c>
      <c r="B6783" t="s">
        <v>627</v>
      </c>
      <c r="C6783" t="s">
        <v>872</v>
      </c>
      <c r="D6783" t="s">
        <v>11</v>
      </c>
      <c r="E6783">
        <v>26</v>
      </c>
      <c r="F6783" s="2">
        <f>DATE(2026,IF(Tabla1[[#This Row],[Mes de Fecha]]="Septiembre",9,10),Tabla1[[#This Row],[Día de Fecha]])</f>
        <v>46291</v>
      </c>
      <c r="G6783">
        <v>1122924164</v>
      </c>
      <c r="H6783" t="s">
        <v>630</v>
      </c>
      <c r="I6783">
        <v>139</v>
      </c>
      <c r="J6783">
        <v>0</v>
      </c>
      <c r="K6783" s="1">
        <v>6333834</v>
      </c>
    </row>
    <row r="6784" spans="1:11" x14ac:dyDescent="0.25">
      <c r="A6784" t="s">
        <v>326</v>
      </c>
      <c r="B6784" t="s">
        <v>627</v>
      </c>
      <c r="C6784" t="s">
        <v>872</v>
      </c>
      <c r="D6784" t="s">
        <v>11</v>
      </c>
      <c r="E6784">
        <v>27</v>
      </c>
      <c r="F6784" s="2">
        <f>DATE(2026,IF(Tabla1[[#This Row],[Mes de Fecha]]="Septiembre",9,10),Tabla1[[#This Row],[Día de Fecha]])</f>
        <v>46292</v>
      </c>
      <c r="I6784">
        <v>0</v>
      </c>
      <c r="J6784" s="1">
        <v>25188244</v>
      </c>
      <c r="K6784">
        <v>0</v>
      </c>
    </row>
    <row r="6785" spans="1:11" x14ac:dyDescent="0.25">
      <c r="A6785" t="s">
        <v>326</v>
      </c>
      <c r="B6785" t="s">
        <v>627</v>
      </c>
      <c r="C6785" t="s">
        <v>872</v>
      </c>
      <c r="D6785" t="s">
        <v>11</v>
      </c>
      <c r="E6785">
        <v>27</v>
      </c>
      <c r="F6785" s="2">
        <f>DATE(2026,IF(Tabla1[[#This Row],[Mes de Fecha]]="Septiembre",9,10),Tabla1[[#This Row],[Día de Fecha]])</f>
        <v>46292</v>
      </c>
      <c r="G6785">
        <v>1005584151</v>
      </c>
      <c r="H6785" t="s">
        <v>628</v>
      </c>
      <c r="I6785">
        <v>136</v>
      </c>
      <c r="J6785">
        <v>0</v>
      </c>
      <c r="K6785" s="1">
        <v>7257775</v>
      </c>
    </row>
    <row r="6786" spans="1:11" x14ac:dyDescent="0.25">
      <c r="A6786" t="s">
        <v>326</v>
      </c>
      <c r="B6786" t="s">
        <v>627</v>
      </c>
      <c r="C6786" t="s">
        <v>872</v>
      </c>
      <c r="D6786" t="s">
        <v>11</v>
      </c>
      <c r="E6786">
        <v>27</v>
      </c>
      <c r="F6786" s="2">
        <f>DATE(2026,IF(Tabla1[[#This Row],[Mes de Fecha]]="Septiembre",9,10),Tabla1[[#This Row],[Día de Fecha]])</f>
        <v>46292</v>
      </c>
      <c r="G6786">
        <v>1010123104</v>
      </c>
      <c r="H6786" t="s">
        <v>632</v>
      </c>
      <c r="I6786">
        <v>79</v>
      </c>
      <c r="J6786">
        <v>0</v>
      </c>
      <c r="K6786" s="1">
        <v>3477119</v>
      </c>
    </row>
    <row r="6787" spans="1:11" x14ac:dyDescent="0.25">
      <c r="A6787" t="s">
        <v>326</v>
      </c>
      <c r="B6787" t="s">
        <v>627</v>
      </c>
      <c r="C6787" t="s">
        <v>872</v>
      </c>
      <c r="D6787" t="s">
        <v>11</v>
      </c>
      <c r="E6787">
        <v>27</v>
      </c>
      <c r="F6787" s="2">
        <f>DATE(2026,IF(Tabla1[[#This Row],[Mes de Fecha]]="Septiembre",9,10),Tabla1[[#This Row],[Día de Fecha]])</f>
        <v>46292</v>
      </c>
      <c r="G6787">
        <v>1016010865</v>
      </c>
      <c r="H6787" t="s">
        <v>633</v>
      </c>
      <c r="I6787">
        <v>77</v>
      </c>
      <c r="J6787">
        <v>0</v>
      </c>
      <c r="K6787" s="1">
        <v>3647526</v>
      </c>
    </row>
    <row r="6788" spans="1:11" x14ac:dyDescent="0.25">
      <c r="A6788" t="s">
        <v>326</v>
      </c>
      <c r="B6788" t="s">
        <v>627</v>
      </c>
      <c r="C6788" t="s">
        <v>872</v>
      </c>
      <c r="D6788" t="s">
        <v>11</v>
      </c>
      <c r="E6788">
        <v>27</v>
      </c>
      <c r="F6788" s="2">
        <f>DATE(2026,IF(Tabla1[[#This Row],[Mes de Fecha]]="Septiembre",9,10),Tabla1[[#This Row],[Día de Fecha]])</f>
        <v>46292</v>
      </c>
      <c r="G6788">
        <v>1094282665</v>
      </c>
      <c r="H6788" t="s">
        <v>634</v>
      </c>
      <c r="I6788">
        <v>65</v>
      </c>
      <c r="J6788">
        <v>0</v>
      </c>
      <c r="K6788" s="1">
        <v>3299374</v>
      </c>
    </row>
    <row r="6789" spans="1:11" x14ac:dyDescent="0.25">
      <c r="A6789" t="s">
        <v>326</v>
      </c>
      <c r="B6789" t="s">
        <v>627</v>
      </c>
      <c r="C6789" t="s">
        <v>872</v>
      </c>
      <c r="D6789" t="s">
        <v>11</v>
      </c>
      <c r="E6789">
        <v>27</v>
      </c>
      <c r="F6789" s="2">
        <f>DATE(2026,IF(Tabla1[[#This Row],[Mes de Fecha]]="Septiembre",9,10),Tabla1[[#This Row],[Día de Fecha]])</f>
        <v>46292</v>
      </c>
      <c r="G6789">
        <v>1121854340</v>
      </c>
      <c r="H6789" t="s">
        <v>629</v>
      </c>
      <c r="I6789">
        <v>146</v>
      </c>
      <c r="J6789">
        <v>0</v>
      </c>
      <c r="K6789" s="1">
        <v>6668793</v>
      </c>
    </row>
    <row r="6790" spans="1:11" x14ac:dyDescent="0.25">
      <c r="A6790" t="s">
        <v>326</v>
      </c>
      <c r="B6790" t="s">
        <v>627</v>
      </c>
      <c r="C6790" t="s">
        <v>872</v>
      </c>
      <c r="D6790" t="s">
        <v>11</v>
      </c>
      <c r="E6790">
        <v>27</v>
      </c>
      <c r="F6790" s="2">
        <f>DATE(2026,IF(Tabla1[[#This Row],[Mes de Fecha]]="Septiembre",9,10),Tabla1[[#This Row],[Día de Fecha]])</f>
        <v>46292</v>
      </c>
      <c r="G6790">
        <v>1122924164</v>
      </c>
      <c r="H6790" t="s">
        <v>630</v>
      </c>
      <c r="I6790">
        <v>156</v>
      </c>
      <c r="J6790">
        <v>0</v>
      </c>
      <c r="K6790" s="1">
        <v>6766605</v>
      </c>
    </row>
    <row r="6791" spans="1:11" x14ac:dyDescent="0.25">
      <c r="A6791" t="s">
        <v>326</v>
      </c>
      <c r="B6791" t="s">
        <v>627</v>
      </c>
      <c r="C6791" t="s">
        <v>872</v>
      </c>
      <c r="D6791" t="s">
        <v>11</v>
      </c>
      <c r="E6791">
        <v>28</v>
      </c>
      <c r="F6791" s="2">
        <f>DATE(2026,IF(Tabla1[[#This Row],[Mes de Fecha]]="Septiembre",9,10),Tabla1[[#This Row],[Día de Fecha]])</f>
        <v>46293</v>
      </c>
      <c r="I6791">
        <v>0</v>
      </c>
      <c r="J6791" s="1">
        <v>13862575</v>
      </c>
      <c r="K6791">
        <v>0</v>
      </c>
    </row>
    <row r="6792" spans="1:11" x14ac:dyDescent="0.25">
      <c r="A6792" t="s">
        <v>326</v>
      </c>
      <c r="B6792" t="s">
        <v>627</v>
      </c>
      <c r="C6792" t="s">
        <v>872</v>
      </c>
      <c r="D6792" t="s">
        <v>11</v>
      </c>
      <c r="E6792">
        <v>28</v>
      </c>
      <c r="F6792" s="2">
        <f>DATE(2026,IF(Tabla1[[#This Row],[Mes de Fecha]]="Septiembre",9,10),Tabla1[[#This Row],[Día de Fecha]])</f>
        <v>46293</v>
      </c>
      <c r="G6792">
        <v>1005584151</v>
      </c>
      <c r="H6792" t="s">
        <v>628</v>
      </c>
      <c r="I6792">
        <v>98</v>
      </c>
      <c r="J6792">
        <v>0</v>
      </c>
      <c r="K6792" s="1">
        <v>4015760</v>
      </c>
    </row>
    <row r="6793" spans="1:11" x14ac:dyDescent="0.25">
      <c r="A6793" t="s">
        <v>326</v>
      </c>
      <c r="B6793" t="s">
        <v>627</v>
      </c>
      <c r="C6793" t="s">
        <v>872</v>
      </c>
      <c r="D6793" t="s">
        <v>11</v>
      </c>
      <c r="E6793">
        <v>28</v>
      </c>
      <c r="F6793" s="2">
        <f>DATE(2026,IF(Tabla1[[#This Row],[Mes de Fecha]]="Septiembre",9,10),Tabla1[[#This Row],[Día de Fecha]])</f>
        <v>46293</v>
      </c>
      <c r="G6793">
        <v>1010123104</v>
      </c>
      <c r="H6793" t="s">
        <v>632</v>
      </c>
      <c r="I6793">
        <v>36</v>
      </c>
      <c r="J6793">
        <v>0</v>
      </c>
      <c r="K6793" s="1">
        <v>1779539</v>
      </c>
    </row>
    <row r="6794" spans="1:11" x14ac:dyDescent="0.25">
      <c r="A6794" t="s">
        <v>326</v>
      </c>
      <c r="B6794" t="s">
        <v>627</v>
      </c>
      <c r="C6794" t="s">
        <v>872</v>
      </c>
      <c r="D6794" t="s">
        <v>11</v>
      </c>
      <c r="E6794">
        <v>28</v>
      </c>
      <c r="F6794" s="2">
        <f>DATE(2026,IF(Tabla1[[#This Row],[Mes de Fecha]]="Septiembre",9,10),Tabla1[[#This Row],[Día de Fecha]])</f>
        <v>46293</v>
      </c>
      <c r="G6794">
        <v>1016010865</v>
      </c>
      <c r="H6794" t="s">
        <v>633</v>
      </c>
      <c r="I6794">
        <v>27</v>
      </c>
      <c r="J6794">
        <v>0</v>
      </c>
      <c r="K6794" s="1">
        <v>1555338</v>
      </c>
    </row>
    <row r="6795" spans="1:11" x14ac:dyDescent="0.25">
      <c r="A6795" t="s">
        <v>326</v>
      </c>
      <c r="B6795" t="s">
        <v>627</v>
      </c>
      <c r="C6795" t="s">
        <v>872</v>
      </c>
      <c r="D6795" t="s">
        <v>11</v>
      </c>
      <c r="E6795">
        <v>28</v>
      </c>
      <c r="F6795" s="2">
        <f>DATE(2026,IF(Tabla1[[#This Row],[Mes de Fecha]]="Septiembre",9,10),Tabla1[[#This Row],[Día de Fecha]])</f>
        <v>46293</v>
      </c>
      <c r="G6795">
        <v>1094282665</v>
      </c>
      <c r="H6795" t="s">
        <v>634</v>
      </c>
      <c r="I6795">
        <v>28</v>
      </c>
      <c r="J6795">
        <v>0</v>
      </c>
      <c r="K6795" s="1">
        <v>1412354</v>
      </c>
    </row>
    <row r="6796" spans="1:11" x14ac:dyDescent="0.25">
      <c r="A6796" t="s">
        <v>326</v>
      </c>
      <c r="B6796" t="s">
        <v>627</v>
      </c>
      <c r="C6796" t="s">
        <v>872</v>
      </c>
      <c r="D6796" t="s">
        <v>11</v>
      </c>
      <c r="E6796">
        <v>28</v>
      </c>
      <c r="F6796" s="2">
        <f>DATE(2026,IF(Tabla1[[#This Row],[Mes de Fecha]]="Septiembre",9,10),Tabla1[[#This Row],[Día de Fecha]])</f>
        <v>46293</v>
      </c>
      <c r="G6796">
        <v>1121854340</v>
      </c>
      <c r="H6796" t="s">
        <v>629</v>
      </c>
      <c r="I6796">
        <v>104</v>
      </c>
      <c r="J6796">
        <v>0</v>
      </c>
      <c r="K6796" s="1">
        <v>3632272</v>
      </c>
    </row>
    <row r="6797" spans="1:11" x14ac:dyDescent="0.25">
      <c r="A6797" t="s">
        <v>326</v>
      </c>
      <c r="B6797" t="s">
        <v>627</v>
      </c>
      <c r="C6797" t="s">
        <v>872</v>
      </c>
      <c r="D6797" t="s">
        <v>11</v>
      </c>
      <c r="E6797">
        <v>28</v>
      </c>
      <c r="F6797" s="2">
        <f>DATE(2026,IF(Tabla1[[#This Row],[Mes de Fecha]]="Septiembre",9,10),Tabla1[[#This Row],[Día de Fecha]])</f>
        <v>46293</v>
      </c>
      <c r="G6797">
        <v>1122924164</v>
      </c>
      <c r="H6797" t="s">
        <v>630</v>
      </c>
      <c r="I6797">
        <v>81</v>
      </c>
      <c r="J6797">
        <v>0</v>
      </c>
      <c r="K6797" s="1">
        <v>4044114</v>
      </c>
    </row>
    <row r="6798" spans="1:11" x14ac:dyDescent="0.25">
      <c r="A6798" t="s">
        <v>326</v>
      </c>
      <c r="B6798" t="s">
        <v>627</v>
      </c>
      <c r="C6798" t="s">
        <v>872</v>
      </c>
      <c r="D6798" t="s">
        <v>11</v>
      </c>
      <c r="E6798">
        <v>29</v>
      </c>
      <c r="F6798" s="2">
        <f>DATE(2026,IF(Tabla1[[#This Row],[Mes de Fecha]]="Septiembre",9,10),Tabla1[[#This Row],[Día de Fecha]])</f>
        <v>46294</v>
      </c>
      <c r="I6798">
        <v>0</v>
      </c>
      <c r="J6798" s="1">
        <v>14807945</v>
      </c>
      <c r="K6798">
        <v>0</v>
      </c>
    </row>
    <row r="6799" spans="1:11" x14ac:dyDescent="0.25">
      <c r="A6799" t="s">
        <v>326</v>
      </c>
      <c r="B6799" t="s">
        <v>627</v>
      </c>
      <c r="C6799" t="s">
        <v>872</v>
      </c>
      <c r="D6799" t="s">
        <v>11</v>
      </c>
      <c r="E6799">
        <v>29</v>
      </c>
      <c r="F6799" s="2">
        <f>DATE(2026,IF(Tabla1[[#This Row],[Mes de Fecha]]="Septiembre",9,10),Tabla1[[#This Row],[Día de Fecha]])</f>
        <v>46294</v>
      </c>
      <c r="G6799">
        <v>1005584151</v>
      </c>
      <c r="H6799" t="s">
        <v>628</v>
      </c>
      <c r="I6799">
        <v>84</v>
      </c>
      <c r="J6799">
        <v>0</v>
      </c>
      <c r="K6799" s="1">
        <v>3907316</v>
      </c>
    </row>
    <row r="6800" spans="1:11" x14ac:dyDescent="0.25">
      <c r="A6800" t="s">
        <v>326</v>
      </c>
      <c r="B6800" t="s">
        <v>627</v>
      </c>
      <c r="C6800" t="s">
        <v>872</v>
      </c>
      <c r="D6800" t="s">
        <v>11</v>
      </c>
      <c r="E6800">
        <v>29</v>
      </c>
      <c r="F6800" s="2">
        <f>DATE(2026,IF(Tabla1[[#This Row],[Mes de Fecha]]="Septiembre",9,10),Tabla1[[#This Row],[Día de Fecha]])</f>
        <v>46294</v>
      </c>
      <c r="G6800">
        <v>1006822002</v>
      </c>
      <c r="H6800" t="s">
        <v>635</v>
      </c>
      <c r="I6800">
        <v>-1</v>
      </c>
      <c r="J6800">
        <v>0</v>
      </c>
      <c r="K6800" s="1">
        <v>-31471</v>
      </c>
    </row>
    <row r="6801" spans="1:11" x14ac:dyDescent="0.25">
      <c r="A6801" t="s">
        <v>326</v>
      </c>
      <c r="B6801" t="s">
        <v>627</v>
      </c>
      <c r="C6801" t="s">
        <v>872</v>
      </c>
      <c r="D6801" t="s">
        <v>11</v>
      </c>
      <c r="E6801">
        <v>29</v>
      </c>
      <c r="F6801" s="2">
        <f>DATE(2026,IF(Tabla1[[#This Row],[Mes de Fecha]]="Septiembre",9,10),Tabla1[[#This Row],[Día de Fecha]])</f>
        <v>46294</v>
      </c>
      <c r="G6801">
        <v>1010123104</v>
      </c>
      <c r="H6801" t="s">
        <v>632</v>
      </c>
      <c r="I6801">
        <v>10</v>
      </c>
      <c r="J6801">
        <v>0</v>
      </c>
      <c r="K6801" s="1">
        <v>646555</v>
      </c>
    </row>
    <row r="6802" spans="1:11" x14ac:dyDescent="0.25">
      <c r="A6802" t="s">
        <v>326</v>
      </c>
      <c r="B6802" t="s">
        <v>627</v>
      </c>
      <c r="C6802" t="s">
        <v>872</v>
      </c>
      <c r="D6802" t="s">
        <v>11</v>
      </c>
      <c r="E6802">
        <v>29</v>
      </c>
      <c r="F6802" s="2">
        <f>DATE(2026,IF(Tabla1[[#This Row],[Mes de Fecha]]="Septiembre",9,10),Tabla1[[#This Row],[Día de Fecha]])</f>
        <v>46294</v>
      </c>
      <c r="G6802">
        <v>1016010865</v>
      </c>
      <c r="H6802" t="s">
        <v>633</v>
      </c>
      <c r="I6802">
        <v>14</v>
      </c>
      <c r="J6802">
        <v>0</v>
      </c>
      <c r="K6802" s="1">
        <v>667269</v>
      </c>
    </row>
    <row r="6803" spans="1:11" x14ac:dyDescent="0.25">
      <c r="A6803" t="s">
        <v>326</v>
      </c>
      <c r="B6803" t="s">
        <v>627</v>
      </c>
      <c r="C6803" t="s">
        <v>872</v>
      </c>
      <c r="D6803" t="s">
        <v>11</v>
      </c>
      <c r="E6803">
        <v>29</v>
      </c>
      <c r="F6803" s="2">
        <f>DATE(2026,IF(Tabla1[[#This Row],[Mes de Fecha]]="Septiembre",9,10),Tabla1[[#This Row],[Día de Fecha]])</f>
        <v>46294</v>
      </c>
      <c r="G6803">
        <v>1094282665</v>
      </c>
      <c r="H6803" t="s">
        <v>634</v>
      </c>
      <c r="I6803">
        <v>22</v>
      </c>
      <c r="J6803">
        <v>0</v>
      </c>
      <c r="K6803" s="1">
        <v>763529</v>
      </c>
    </row>
    <row r="6804" spans="1:11" x14ac:dyDescent="0.25">
      <c r="A6804" t="s">
        <v>326</v>
      </c>
      <c r="B6804" t="s">
        <v>627</v>
      </c>
      <c r="C6804" t="s">
        <v>872</v>
      </c>
      <c r="D6804" t="s">
        <v>11</v>
      </c>
      <c r="E6804">
        <v>29</v>
      </c>
      <c r="F6804" s="2">
        <f>DATE(2026,IF(Tabla1[[#This Row],[Mes de Fecha]]="Septiembre",9,10),Tabla1[[#This Row],[Día de Fecha]])</f>
        <v>46294</v>
      </c>
      <c r="G6804">
        <v>1121854340</v>
      </c>
      <c r="H6804" t="s">
        <v>629</v>
      </c>
      <c r="I6804">
        <v>86</v>
      </c>
      <c r="J6804">
        <v>0</v>
      </c>
      <c r="K6804" s="1">
        <v>4119476</v>
      </c>
    </row>
    <row r="6805" spans="1:11" x14ac:dyDescent="0.25">
      <c r="A6805" t="s">
        <v>326</v>
      </c>
      <c r="B6805" t="s">
        <v>627</v>
      </c>
      <c r="C6805" t="s">
        <v>872</v>
      </c>
      <c r="D6805" t="s">
        <v>11</v>
      </c>
      <c r="E6805">
        <v>29</v>
      </c>
      <c r="F6805" s="2">
        <f>DATE(2026,IF(Tabla1[[#This Row],[Mes de Fecha]]="Septiembre",9,10),Tabla1[[#This Row],[Día de Fecha]])</f>
        <v>46294</v>
      </c>
      <c r="G6805">
        <v>1122924164</v>
      </c>
      <c r="H6805" t="s">
        <v>630</v>
      </c>
      <c r="I6805">
        <v>16</v>
      </c>
      <c r="J6805">
        <v>0</v>
      </c>
      <c r="K6805" s="1">
        <v>761807</v>
      </c>
    </row>
    <row r="6806" spans="1:11" x14ac:dyDescent="0.25">
      <c r="A6806" t="s">
        <v>326</v>
      </c>
      <c r="B6806" t="s">
        <v>627</v>
      </c>
      <c r="C6806" t="s">
        <v>872</v>
      </c>
      <c r="D6806" t="s">
        <v>11</v>
      </c>
      <c r="E6806">
        <v>30</v>
      </c>
      <c r="F6806" s="2">
        <f>DATE(2026,IF(Tabla1[[#This Row],[Mes de Fecha]]="Septiembre",9,10),Tabla1[[#This Row],[Día de Fecha]])</f>
        <v>46295</v>
      </c>
      <c r="I6806">
        <v>0</v>
      </c>
      <c r="J6806" s="1">
        <v>15296870</v>
      </c>
      <c r="K6806">
        <v>0</v>
      </c>
    </row>
    <row r="6807" spans="1:11" x14ac:dyDescent="0.25">
      <c r="A6807" t="s">
        <v>326</v>
      </c>
      <c r="B6807" t="s">
        <v>627</v>
      </c>
      <c r="C6807" t="s">
        <v>872</v>
      </c>
      <c r="D6807" t="s">
        <v>11</v>
      </c>
      <c r="E6807">
        <v>30</v>
      </c>
      <c r="F6807" s="2">
        <f>DATE(2026,IF(Tabla1[[#This Row],[Mes de Fecha]]="Septiembre",9,10),Tabla1[[#This Row],[Día de Fecha]])</f>
        <v>46295</v>
      </c>
      <c r="G6807">
        <v>1005584151</v>
      </c>
      <c r="H6807" t="s">
        <v>628</v>
      </c>
      <c r="I6807">
        <v>100</v>
      </c>
      <c r="J6807">
        <v>0</v>
      </c>
      <c r="K6807" s="1">
        <v>4253029</v>
      </c>
    </row>
    <row r="6808" spans="1:11" x14ac:dyDescent="0.25">
      <c r="A6808" t="s">
        <v>326</v>
      </c>
      <c r="B6808" t="s">
        <v>627</v>
      </c>
      <c r="C6808" t="s">
        <v>872</v>
      </c>
      <c r="D6808" t="s">
        <v>11</v>
      </c>
      <c r="E6808">
        <v>30</v>
      </c>
      <c r="F6808" s="2">
        <f>DATE(2026,IF(Tabla1[[#This Row],[Mes de Fecha]]="Septiembre",9,10),Tabla1[[#This Row],[Día de Fecha]])</f>
        <v>46295</v>
      </c>
      <c r="G6808">
        <v>1016010865</v>
      </c>
      <c r="H6808" t="s">
        <v>633</v>
      </c>
      <c r="I6808">
        <v>5</v>
      </c>
      <c r="J6808">
        <v>0</v>
      </c>
      <c r="K6808" s="1">
        <v>272773</v>
      </c>
    </row>
    <row r="6809" spans="1:11" x14ac:dyDescent="0.25">
      <c r="A6809" t="s">
        <v>326</v>
      </c>
      <c r="B6809" t="s">
        <v>627</v>
      </c>
      <c r="C6809" t="s">
        <v>872</v>
      </c>
      <c r="D6809" t="s">
        <v>11</v>
      </c>
      <c r="E6809">
        <v>30</v>
      </c>
      <c r="F6809" s="2">
        <f>DATE(2026,IF(Tabla1[[#This Row],[Mes de Fecha]]="Septiembre",9,10),Tabla1[[#This Row],[Día de Fecha]])</f>
        <v>46295</v>
      </c>
      <c r="G6809">
        <v>1094282665</v>
      </c>
      <c r="H6809" t="s">
        <v>634</v>
      </c>
      <c r="I6809">
        <v>16</v>
      </c>
      <c r="J6809">
        <v>0</v>
      </c>
      <c r="K6809" s="1">
        <v>822606</v>
      </c>
    </row>
    <row r="6810" spans="1:11" x14ac:dyDescent="0.25">
      <c r="A6810" t="s">
        <v>326</v>
      </c>
      <c r="B6810" t="s">
        <v>627</v>
      </c>
      <c r="C6810" t="s">
        <v>872</v>
      </c>
      <c r="D6810" t="s">
        <v>11</v>
      </c>
      <c r="E6810">
        <v>30</v>
      </c>
      <c r="F6810" s="2">
        <f>DATE(2026,IF(Tabla1[[#This Row],[Mes de Fecha]]="Septiembre",9,10),Tabla1[[#This Row],[Día de Fecha]])</f>
        <v>46295</v>
      </c>
      <c r="G6810">
        <v>1121854340</v>
      </c>
      <c r="H6810" t="s">
        <v>629</v>
      </c>
      <c r="I6810">
        <v>90</v>
      </c>
      <c r="J6810">
        <v>0</v>
      </c>
      <c r="K6810" s="1">
        <v>4047373</v>
      </c>
    </row>
    <row r="6811" spans="1:11" x14ac:dyDescent="0.25">
      <c r="A6811" t="s">
        <v>326</v>
      </c>
      <c r="B6811" t="s">
        <v>627</v>
      </c>
      <c r="C6811" t="s">
        <v>872</v>
      </c>
      <c r="D6811" t="s">
        <v>11</v>
      </c>
      <c r="E6811">
        <v>30</v>
      </c>
      <c r="F6811" s="2">
        <f>DATE(2026,IF(Tabla1[[#This Row],[Mes de Fecha]]="Septiembre",9,10),Tabla1[[#This Row],[Día de Fecha]])</f>
        <v>46295</v>
      </c>
      <c r="G6811">
        <v>1122924164</v>
      </c>
      <c r="H6811" t="s">
        <v>630</v>
      </c>
      <c r="I6811">
        <v>96</v>
      </c>
      <c r="J6811">
        <v>0</v>
      </c>
      <c r="K6811" s="1">
        <v>4164726</v>
      </c>
    </row>
    <row r="6812" spans="1:11" x14ac:dyDescent="0.25">
      <c r="A6812" t="s">
        <v>326</v>
      </c>
      <c r="B6812" t="s">
        <v>627</v>
      </c>
      <c r="C6812" t="s">
        <v>872</v>
      </c>
      <c r="D6812" t="s">
        <v>14</v>
      </c>
      <c r="E6812">
        <v>1</v>
      </c>
      <c r="F6812" s="2">
        <f>DATE(2026,IF(Tabla1[[#This Row],[Mes de Fecha]]="Septiembre",9,10),Tabla1[[#This Row],[Día de Fecha]])</f>
        <v>46296</v>
      </c>
      <c r="I6812">
        <v>0</v>
      </c>
      <c r="J6812" s="1">
        <v>13888589</v>
      </c>
      <c r="K6812">
        <v>0</v>
      </c>
    </row>
    <row r="6813" spans="1:11" x14ac:dyDescent="0.25">
      <c r="A6813" t="s">
        <v>326</v>
      </c>
      <c r="B6813" t="s">
        <v>627</v>
      </c>
      <c r="C6813" t="s">
        <v>872</v>
      </c>
      <c r="D6813" t="s">
        <v>14</v>
      </c>
      <c r="E6813">
        <v>1</v>
      </c>
      <c r="F6813" s="2">
        <f>DATE(2026,IF(Tabla1[[#This Row],[Mes de Fecha]]="Septiembre",9,10),Tabla1[[#This Row],[Día de Fecha]])</f>
        <v>46296</v>
      </c>
      <c r="G6813">
        <v>1005584151</v>
      </c>
      <c r="H6813" t="s">
        <v>628</v>
      </c>
      <c r="I6813">
        <v>110</v>
      </c>
      <c r="J6813">
        <v>0</v>
      </c>
      <c r="K6813" s="1">
        <v>4420468</v>
      </c>
    </row>
    <row r="6814" spans="1:11" x14ac:dyDescent="0.25">
      <c r="A6814" t="s">
        <v>326</v>
      </c>
      <c r="B6814" t="s">
        <v>627</v>
      </c>
      <c r="C6814" t="s">
        <v>872</v>
      </c>
      <c r="D6814" t="s">
        <v>14</v>
      </c>
      <c r="E6814">
        <v>1</v>
      </c>
      <c r="F6814" s="2">
        <f>DATE(2026,IF(Tabla1[[#This Row],[Mes de Fecha]]="Septiembre",9,10),Tabla1[[#This Row],[Día de Fecha]])</f>
        <v>46296</v>
      </c>
      <c r="G6814">
        <v>1010123104</v>
      </c>
      <c r="H6814" t="s">
        <v>632</v>
      </c>
      <c r="I6814">
        <v>25</v>
      </c>
      <c r="J6814">
        <v>0</v>
      </c>
      <c r="K6814" s="1">
        <v>1204412</v>
      </c>
    </row>
    <row r="6815" spans="1:11" x14ac:dyDescent="0.25">
      <c r="A6815" t="s">
        <v>326</v>
      </c>
      <c r="B6815" t="s">
        <v>627</v>
      </c>
      <c r="C6815" t="s">
        <v>872</v>
      </c>
      <c r="D6815" t="s">
        <v>14</v>
      </c>
      <c r="E6815">
        <v>1</v>
      </c>
      <c r="F6815" s="2">
        <f>DATE(2026,IF(Tabla1[[#This Row],[Mes de Fecha]]="Septiembre",9,10),Tabla1[[#This Row],[Día de Fecha]])</f>
        <v>46296</v>
      </c>
      <c r="G6815">
        <v>1016010865</v>
      </c>
      <c r="H6815" t="s">
        <v>633</v>
      </c>
      <c r="I6815">
        <v>22</v>
      </c>
      <c r="J6815">
        <v>0</v>
      </c>
      <c r="K6815" s="1">
        <v>1103990</v>
      </c>
    </row>
    <row r="6816" spans="1:11" x14ac:dyDescent="0.25">
      <c r="A6816" t="s">
        <v>326</v>
      </c>
      <c r="B6816" t="s">
        <v>627</v>
      </c>
      <c r="C6816" t="s">
        <v>872</v>
      </c>
      <c r="D6816" t="s">
        <v>14</v>
      </c>
      <c r="E6816">
        <v>1</v>
      </c>
      <c r="F6816" s="2">
        <f>DATE(2026,IF(Tabla1[[#This Row],[Mes de Fecha]]="Septiembre",9,10),Tabla1[[#This Row],[Día de Fecha]])</f>
        <v>46296</v>
      </c>
      <c r="G6816">
        <v>1094282665</v>
      </c>
      <c r="H6816" t="s">
        <v>634</v>
      </c>
      <c r="I6816">
        <v>27</v>
      </c>
      <c r="J6816">
        <v>0</v>
      </c>
      <c r="K6816" s="1">
        <v>1103656</v>
      </c>
    </row>
    <row r="6817" spans="1:11" x14ac:dyDescent="0.25">
      <c r="A6817" t="s">
        <v>326</v>
      </c>
      <c r="B6817" t="s">
        <v>627</v>
      </c>
      <c r="C6817" t="s">
        <v>872</v>
      </c>
      <c r="D6817" t="s">
        <v>14</v>
      </c>
      <c r="E6817">
        <v>1</v>
      </c>
      <c r="F6817" s="2">
        <f>DATE(2026,IF(Tabla1[[#This Row],[Mes de Fecha]]="Septiembre",9,10),Tabla1[[#This Row],[Día de Fecha]])</f>
        <v>46296</v>
      </c>
      <c r="G6817">
        <v>1121854340</v>
      </c>
      <c r="H6817" t="s">
        <v>629</v>
      </c>
      <c r="I6817">
        <v>97</v>
      </c>
      <c r="J6817">
        <v>0</v>
      </c>
      <c r="K6817" s="1">
        <v>4286726</v>
      </c>
    </row>
    <row r="6818" spans="1:11" x14ac:dyDescent="0.25">
      <c r="A6818" t="s">
        <v>326</v>
      </c>
      <c r="B6818" t="s">
        <v>627</v>
      </c>
      <c r="C6818" t="s">
        <v>872</v>
      </c>
      <c r="D6818" t="s">
        <v>14</v>
      </c>
      <c r="E6818">
        <v>1</v>
      </c>
      <c r="F6818" s="2">
        <f>DATE(2026,IF(Tabla1[[#This Row],[Mes de Fecha]]="Septiembre",9,10),Tabla1[[#This Row],[Día de Fecha]])</f>
        <v>46296</v>
      </c>
      <c r="G6818">
        <v>1122924164</v>
      </c>
      <c r="H6818" t="s">
        <v>630</v>
      </c>
      <c r="I6818">
        <v>104</v>
      </c>
      <c r="J6818">
        <v>0</v>
      </c>
      <c r="K6818" s="1">
        <v>4359685</v>
      </c>
    </row>
    <row r="6819" spans="1:11" x14ac:dyDescent="0.25">
      <c r="A6819" t="s">
        <v>326</v>
      </c>
      <c r="B6819" t="s">
        <v>627</v>
      </c>
      <c r="C6819" t="s">
        <v>872</v>
      </c>
      <c r="D6819" t="s">
        <v>14</v>
      </c>
      <c r="E6819">
        <v>2</v>
      </c>
      <c r="F6819" s="2">
        <f>DATE(2026,IF(Tabla1[[#This Row],[Mes de Fecha]]="Septiembre",9,10),Tabla1[[#This Row],[Día de Fecha]])</f>
        <v>46297</v>
      </c>
      <c r="I6819">
        <v>0</v>
      </c>
      <c r="J6819" s="1">
        <v>16709809</v>
      </c>
      <c r="K6819">
        <v>0</v>
      </c>
    </row>
    <row r="6820" spans="1:11" x14ac:dyDescent="0.25">
      <c r="A6820" t="s">
        <v>326</v>
      </c>
      <c r="B6820" t="s">
        <v>627</v>
      </c>
      <c r="C6820" t="s">
        <v>872</v>
      </c>
      <c r="D6820" t="s">
        <v>14</v>
      </c>
      <c r="E6820">
        <v>2</v>
      </c>
      <c r="F6820" s="2">
        <f>DATE(2026,IF(Tabla1[[#This Row],[Mes de Fecha]]="Septiembre",9,10),Tabla1[[#This Row],[Día de Fecha]])</f>
        <v>46297</v>
      </c>
      <c r="G6820">
        <v>1005584151</v>
      </c>
      <c r="H6820" t="s">
        <v>628</v>
      </c>
      <c r="I6820">
        <v>98</v>
      </c>
      <c r="J6820">
        <v>0</v>
      </c>
      <c r="K6820" s="1">
        <v>3906049</v>
      </c>
    </row>
    <row r="6821" spans="1:11" x14ac:dyDescent="0.25">
      <c r="A6821" t="s">
        <v>326</v>
      </c>
      <c r="B6821" t="s">
        <v>627</v>
      </c>
      <c r="C6821" t="s">
        <v>872</v>
      </c>
      <c r="D6821" t="s">
        <v>14</v>
      </c>
      <c r="E6821">
        <v>2</v>
      </c>
      <c r="F6821" s="2">
        <f>DATE(2026,IF(Tabla1[[#This Row],[Mes de Fecha]]="Septiembre",9,10),Tabla1[[#This Row],[Día de Fecha]])</f>
        <v>46297</v>
      </c>
      <c r="G6821">
        <v>1010123104</v>
      </c>
      <c r="H6821" t="s">
        <v>632</v>
      </c>
      <c r="I6821">
        <v>39</v>
      </c>
      <c r="J6821">
        <v>0</v>
      </c>
      <c r="K6821" s="1">
        <v>1523254</v>
      </c>
    </row>
    <row r="6822" spans="1:11" x14ac:dyDescent="0.25">
      <c r="A6822" t="s">
        <v>326</v>
      </c>
      <c r="B6822" t="s">
        <v>627</v>
      </c>
      <c r="C6822" t="s">
        <v>872</v>
      </c>
      <c r="D6822" t="s">
        <v>14</v>
      </c>
      <c r="E6822">
        <v>2</v>
      </c>
      <c r="F6822" s="2">
        <f>DATE(2026,IF(Tabla1[[#This Row],[Mes de Fecha]]="Septiembre",9,10),Tabla1[[#This Row],[Día de Fecha]])</f>
        <v>46297</v>
      </c>
      <c r="G6822">
        <v>1016010865</v>
      </c>
      <c r="H6822" t="s">
        <v>633</v>
      </c>
      <c r="I6822">
        <v>27</v>
      </c>
      <c r="J6822">
        <v>0</v>
      </c>
      <c r="K6822" s="1">
        <v>1445883</v>
      </c>
    </row>
    <row r="6823" spans="1:11" x14ac:dyDescent="0.25">
      <c r="A6823" t="s">
        <v>326</v>
      </c>
      <c r="B6823" t="s">
        <v>627</v>
      </c>
      <c r="C6823" t="s">
        <v>872</v>
      </c>
      <c r="D6823" t="s">
        <v>14</v>
      </c>
      <c r="E6823">
        <v>2</v>
      </c>
      <c r="F6823" s="2">
        <f>DATE(2026,IF(Tabla1[[#This Row],[Mes de Fecha]]="Septiembre",9,10),Tabla1[[#This Row],[Día de Fecha]])</f>
        <v>46297</v>
      </c>
      <c r="G6823">
        <v>1094282665</v>
      </c>
      <c r="H6823" t="s">
        <v>634</v>
      </c>
      <c r="I6823">
        <v>37</v>
      </c>
      <c r="J6823">
        <v>0</v>
      </c>
      <c r="K6823" s="1">
        <v>1514784</v>
      </c>
    </row>
    <row r="6824" spans="1:11" x14ac:dyDescent="0.25">
      <c r="A6824" t="s">
        <v>326</v>
      </c>
      <c r="B6824" t="s">
        <v>627</v>
      </c>
      <c r="C6824" t="s">
        <v>872</v>
      </c>
      <c r="D6824" t="s">
        <v>14</v>
      </c>
      <c r="E6824">
        <v>2</v>
      </c>
      <c r="F6824" s="2">
        <f>DATE(2026,IF(Tabla1[[#This Row],[Mes de Fecha]]="Septiembre",9,10),Tabla1[[#This Row],[Día de Fecha]])</f>
        <v>46297</v>
      </c>
      <c r="G6824">
        <v>1121854340</v>
      </c>
      <c r="H6824" t="s">
        <v>629</v>
      </c>
      <c r="I6824">
        <v>98</v>
      </c>
      <c r="J6824">
        <v>0</v>
      </c>
      <c r="K6824" s="1">
        <v>3788965</v>
      </c>
    </row>
    <row r="6825" spans="1:11" x14ac:dyDescent="0.25">
      <c r="A6825" t="s">
        <v>326</v>
      </c>
      <c r="B6825" t="s">
        <v>627</v>
      </c>
      <c r="C6825" t="s">
        <v>872</v>
      </c>
      <c r="D6825" t="s">
        <v>14</v>
      </c>
      <c r="E6825">
        <v>2</v>
      </c>
      <c r="F6825" s="2">
        <f>DATE(2026,IF(Tabla1[[#This Row],[Mes de Fecha]]="Septiembre",9,10),Tabla1[[#This Row],[Día de Fecha]])</f>
        <v>46297</v>
      </c>
      <c r="G6825">
        <v>1122924164</v>
      </c>
      <c r="H6825" t="s">
        <v>630</v>
      </c>
      <c r="I6825">
        <v>101</v>
      </c>
      <c r="J6825">
        <v>0</v>
      </c>
      <c r="K6825" s="1">
        <v>3981658</v>
      </c>
    </row>
    <row r="6826" spans="1:11" x14ac:dyDescent="0.25">
      <c r="A6826" t="s">
        <v>326</v>
      </c>
      <c r="B6826" t="s">
        <v>627</v>
      </c>
      <c r="C6826" t="s">
        <v>872</v>
      </c>
      <c r="D6826" t="s">
        <v>14</v>
      </c>
      <c r="E6826">
        <v>2</v>
      </c>
      <c r="F6826" s="2">
        <f>DATE(2026,IF(Tabla1[[#This Row],[Mes de Fecha]]="Septiembre",9,10),Tabla1[[#This Row],[Día de Fecha]])</f>
        <v>46297</v>
      </c>
      <c r="G6826">
        <v>1123059086</v>
      </c>
      <c r="H6826" t="s">
        <v>631</v>
      </c>
      <c r="I6826">
        <v>-2</v>
      </c>
      <c r="J6826">
        <v>0</v>
      </c>
      <c r="K6826" s="1">
        <v>-163782</v>
      </c>
    </row>
    <row r="6827" spans="1:11" x14ac:dyDescent="0.25">
      <c r="A6827" t="s">
        <v>326</v>
      </c>
      <c r="B6827" t="s">
        <v>627</v>
      </c>
      <c r="C6827" t="s">
        <v>872</v>
      </c>
      <c r="D6827" t="s">
        <v>14</v>
      </c>
      <c r="E6827">
        <v>3</v>
      </c>
      <c r="F6827" s="2">
        <f>DATE(2026,IF(Tabla1[[#This Row],[Mes de Fecha]]="Septiembre",9,10),Tabla1[[#This Row],[Día de Fecha]])</f>
        <v>46298</v>
      </c>
      <c r="I6827">
        <v>0</v>
      </c>
      <c r="J6827" s="1">
        <v>28519113</v>
      </c>
      <c r="K6827">
        <v>0</v>
      </c>
    </row>
    <row r="6828" spans="1:11" x14ac:dyDescent="0.25">
      <c r="A6828" t="s">
        <v>326</v>
      </c>
      <c r="B6828" t="s">
        <v>627</v>
      </c>
      <c r="C6828" t="s">
        <v>872</v>
      </c>
      <c r="D6828" t="s">
        <v>14</v>
      </c>
      <c r="E6828">
        <v>3</v>
      </c>
      <c r="F6828" s="2">
        <f>DATE(2026,IF(Tabla1[[#This Row],[Mes de Fecha]]="Septiembre",9,10),Tabla1[[#This Row],[Día de Fecha]])</f>
        <v>46298</v>
      </c>
      <c r="G6828">
        <v>1005584151</v>
      </c>
      <c r="H6828" t="s">
        <v>628</v>
      </c>
      <c r="I6828">
        <v>131</v>
      </c>
      <c r="J6828">
        <v>0</v>
      </c>
      <c r="K6828" s="1">
        <v>5452061</v>
      </c>
    </row>
    <row r="6829" spans="1:11" x14ac:dyDescent="0.25">
      <c r="A6829" t="s">
        <v>326</v>
      </c>
      <c r="B6829" t="s">
        <v>627</v>
      </c>
      <c r="C6829" t="s">
        <v>872</v>
      </c>
      <c r="D6829" t="s">
        <v>14</v>
      </c>
      <c r="E6829">
        <v>3</v>
      </c>
      <c r="F6829" s="2">
        <f>DATE(2026,IF(Tabla1[[#This Row],[Mes de Fecha]]="Septiembre",9,10),Tabla1[[#This Row],[Día de Fecha]])</f>
        <v>46298</v>
      </c>
      <c r="G6829">
        <v>1010123104</v>
      </c>
      <c r="H6829" t="s">
        <v>632</v>
      </c>
      <c r="I6829">
        <v>42</v>
      </c>
      <c r="J6829">
        <v>0</v>
      </c>
      <c r="K6829" s="1">
        <v>1708782</v>
      </c>
    </row>
    <row r="6830" spans="1:11" x14ac:dyDescent="0.25">
      <c r="A6830" t="s">
        <v>326</v>
      </c>
      <c r="B6830" t="s">
        <v>627</v>
      </c>
      <c r="C6830" t="s">
        <v>872</v>
      </c>
      <c r="D6830" t="s">
        <v>14</v>
      </c>
      <c r="E6830">
        <v>3</v>
      </c>
      <c r="F6830" s="2">
        <f>DATE(2026,IF(Tabla1[[#This Row],[Mes de Fecha]]="Septiembre",9,10),Tabla1[[#This Row],[Día de Fecha]])</f>
        <v>46298</v>
      </c>
      <c r="G6830">
        <v>1016010865</v>
      </c>
      <c r="H6830" t="s">
        <v>633</v>
      </c>
      <c r="I6830">
        <v>42</v>
      </c>
      <c r="J6830">
        <v>0</v>
      </c>
      <c r="K6830" s="1">
        <v>1717169</v>
      </c>
    </row>
    <row r="6831" spans="1:11" x14ac:dyDescent="0.25">
      <c r="A6831" t="s">
        <v>326</v>
      </c>
      <c r="B6831" t="s">
        <v>627</v>
      </c>
      <c r="C6831" t="s">
        <v>872</v>
      </c>
      <c r="D6831" t="s">
        <v>14</v>
      </c>
      <c r="E6831">
        <v>3</v>
      </c>
      <c r="F6831" s="2">
        <f>DATE(2026,IF(Tabla1[[#This Row],[Mes de Fecha]]="Septiembre",9,10),Tabla1[[#This Row],[Día de Fecha]])</f>
        <v>46298</v>
      </c>
      <c r="G6831">
        <v>1094282665</v>
      </c>
      <c r="H6831" t="s">
        <v>634</v>
      </c>
      <c r="I6831">
        <v>41</v>
      </c>
      <c r="J6831">
        <v>0</v>
      </c>
      <c r="K6831" s="1">
        <v>1807625</v>
      </c>
    </row>
    <row r="6832" spans="1:11" x14ac:dyDescent="0.25">
      <c r="A6832" t="s">
        <v>326</v>
      </c>
      <c r="B6832" t="s">
        <v>627</v>
      </c>
      <c r="C6832" t="s">
        <v>872</v>
      </c>
      <c r="D6832" t="s">
        <v>14</v>
      </c>
      <c r="E6832">
        <v>3</v>
      </c>
      <c r="F6832" s="2">
        <f>DATE(2026,IF(Tabla1[[#This Row],[Mes de Fecha]]="Septiembre",9,10),Tabla1[[#This Row],[Día de Fecha]])</f>
        <v>46298</v>
      </c>
      <c r="G6832">
        <v>1121854340</v>
      </c>
      <c r="H6832" t="s">
        <v>629</v>
      </c>
      <c r="I6832">
        <v>128</v>
      </c>
      <c r="J6832">
        <v>0</v>
      </c>
      <c r="K6832" s="1">
        <v>5460018</v>
      </c>
    </row>
    <row r="6833" spans="1:11" x14ac:dyDescent="0.25">
      <c r="A6833" t="s">
        <v>326</v>
      </c>
      <c r="B6833" t="s">
        <v>627</v>
      </c>
      <c r="C6833" t="s">
        <v>872</v>
      </c>
      <c r="D6833" t="s">
        <v>14</v>
      </c>
      <c r="E6833">
        <v>3</v>
      </c>
      <c r="F6833" s="2">
        <f>DATE(2026,IF(Tabla1[[#This Row],[Mes de Fecha]]="Septiembre",9,10),Tabla1[[#This Row],[Día de Fecha]])</f>
        <v>46298</v>
      </c>
      <c r="G6833">
        <v>1122924164</v>
      </c>
      <c r="H6833" t="s">
        <v>630</v>
      </c>
      <c r="I6833">
        <v>127</v>
      </c>
      <c r="J6833">
        <v>0</v>
      </c>
      <c r="K6833" s="1">
        <v>5299709</v>
      </c>
    </row>
    <row r="6834" spans="1:11" x14ac:dyDescent="0.25">
      <c r="A6834" t="s">
        <v>326</v>
      </c>
      <c r="B6834" t="s">
        <v>627</v>
      </c>
      <c r="C6834" t="s">
        <v>872</v>
      </c>
      <c r="D6834" t="s">
        <v>14</v>
      </c>
      <c r="E6834">
        <v>4</v>
      </c>
      <c r="F6834" s="2">
        <f>DATE(2026,IF(Tabla1[[#This Row],[Mes de Fecha]]="Septiembre",9,10),Tabla1[[#This Row],[Día de Fecha]])</f>
        <v>46299</v>
      </c>
      <c r="I6834">
        <v>0</v>
      </c>
      <c r="J6834" s="1">
        <v>24082888</v>
      </c>
      <c r="K6834">
        <v>0</v>
      </c>
    </row>
    <row r="6835" spans="1:11" x14ac:dyDescent="0.25">
      <c r="A6835" t="s">
        <v>326</v>
      </c>
      <c r="B6835" t="s">
        <v>627</v>
      </c>
      <c r="C6835" t="s">
        <v>872</v>
      </c>
      <c r="D6835" t="s">
        <v>14</v>
      </c>
      <c r="E6835">
        <v>4</v>
      </c>
      <c r="F6835" s="2">
        <f>DATE(2026,IF(Tabla1[[#This Row],[Mes de Fecha]]="Septiembre",9,10),Tabla1[[#This Row],[Día de Fecha]])</f>
        <v>46299</v>
      </c>
      <c r="G6835">
        <v>1005584151</v>
      </c>
      <c r="H6835" t="s">
        <v>628</v>
      </c>
      <c r="I6835">
        <v>107</v>
      </c>
      <c r="J6835">
        <v>0</v>
      </c>
      <c r="K6835" s="1">
        <v>5109954</v>
      </c>
    </row>
    <row r="6836" spans="1:11" x14ac:dyDescent="0.25">
      <c r="A6836" t="s">
        <v>326</v>
      </c>
      <c r="B6836" t="s">
        <v>627</v>
      </c>
      <c r="C6836" t="s">
        <v>872</v>
      </c>
      <c r="D6836" t="s">
        <v>14</v>
      </c>
      <c r="E6836">
        <v>4</v>
      </c>
      <c r="F6836" s="2">
        <f>DATE(2026,IF(Tabla1[[#This Row],[Mes de Fecha]]="Septiembre",9,10),Tabla1[[#This Row],[Día de Fecha]])</f>
        <v>46299</v>
      </c>
      <c r="G6836">
        <v>1010123104</v>
      </c>
      <c r="H6836" t="s">
        <v>632</v>
      </c>
      <c r="I6836">
        <v>48</v>
      </c>
      <c r="J6836">
        <v>0</v>
      </c>
      <c r="K6836" s="1">
        <v>2213886</v>
      </c>
    </row>
    <row r="6837" spans="1:11" x14ac:dyDescent="0.25">
      <c r="A6837" t="s">
        <v>326</v>
      </c>
      <c r="B6837" t="s">
        <v>627</v>
      </c>
      <c r="C6837" t="s">
        <v>872</v>
      </c>
      <c r="D6837" t="s">
        <v>14</v>
      </c>
      <c r="E6837">
        <v>4</v>
      </c>
      <c r="F6837" s="2">
        <f>DATE(2026,IF(Tabla1[[#This Row],[Mes de Fecha]]="Septiembre",9,10),Tabla1[[#This Row],[Día de Fecha]])</f>
        <v>46299</v>
      </c>
      <c r="G6837">
        <v>1016010865</v>
      </c>
      <c r="H6837" t="s">
        <v>633</v>
      </c>
      <c r="I6837">
        <v>44</v>
      </c>
      <c r="J6837">
        <v>0</v>
      </c>
      <c r="K6837" s="1">
        <v>1913404</v>
      </c>
    </row>
    <row r="6838" spans="1:11" x14ac:dyDescent="0.25">
      <c r="A6838" t="s">
        <v>326</v>
      </c>
      <c r="B6838" t="s">
        <v>627</v>
      </c>
      <c r="C6838" t="s">
        <v>872</v>
      </c>
      <c r="D6838" t="s">
        <v>14</v>
      </c>
      <c r="E6838">
        <v>4</v>
      </c>
      <c r="F6838" s="2">
        <f>DATE(2026,IF(Tabla1[[#This Row],[Mes de Fecha]]="Septiembre",9,10),Tabla1[[#This Row],[Día de Fecha]])</f>
        <v>46299</v>
      </c>
      <c r="G6838">
        <v>1094282665</v>
      </c>
      <c r="H6838" t="s">
        <v>634</v>
      </c>
      <c r="I6838">
        <v>42</v>
      </c>
      <c r="J6838">
        <v>0</v>
      </c>
      <c r="K6838" s="1">
        <v>1985337</v>
      </c>
    </row>
    <row r="6839" spans="1:11" x14ac:dyDescent="0.25">
      <c r="A6839" t="s">
        <v>326</v>
      </c>
      <c r="B6839" t="s">
        <v>627</v>
      </c>
      <c r="C6839" t="s">
        <v>872</v>
      </c>
      <c r="D6839" t="s">
        <v>14</v>
      </c>
      <c r="E6839">
        <v>4</v>
      </c>
      <c r="F6839" s="2">
        <f>DATE(2026,IF(Tabla1[[#This Row],[Mes de Fecha]]="Septiembre",9,10),Tabla1[[#This Row],[Día de Fecha]])</f>
        <v>46299</v>
      </c>
      <c r="G6839">
        <v>1121854340</v>
      </c>
      <c r="H6839" t="s">
        <v>629</v>
      </c>
      <c r="I6839">
        <v>114</v>
      </c>
      <c r="J6839">
        <v>0</v>
      </c>
      <c r="K6839" s="1">
        <v>5094601</v>
      </c>
    </row>
    <row r="6840" spans="1:11" x14ac:dyDescent="0.25">
      <c r="A6840" t="s">
        <v>326</v>
      </c>
      <c r="B6840" t="s">
        <v>627</v>
      </c>
      <c r="C6840" t="s">
        <v>872</v>
      </c>
      <c r="D6840" t="s">
        <v>14</v>
      </c>
      <c r="E6840">
        <v>4</v>
      </c>
      <c r="F6840" s="2">
        <f>DATE(2026,IF(Tabla1[[#This Row],[Mes de Fecha]]="Septiembre",9,10),Tabla1[[#This Row],[Día de Fecha]])</f>
        <v>46299</v>
      </c>
      <c r="G6840">
        <v>1122924164</v>
      </c>
      <c r="H6840" t="s">
        <v>630</v>
      </c>
      <c r="I6840">
        <v>108</v>
      </c>
      <c r="J6840">
        <v>0</v>
      </c>
      <c r="K6840" s="1">
        <v>5271699</v>
      </c>
    </row>
    <row r="6841" spans="1:11" x14ac:dyDescent="0.25">
      <c r="A6841" t="s">
        <v>326</v>
      </c>
      <c r="B6841" t="s">
        <v>627</v>
      </c>
      <c r="C6841" t="s">
        <v>872</v>
      </c>
      <c r="D6841" t="s">
        <v>14</v>
      </c>
      <c r="E6841">
        <v>5</v>
      </c>
      <c r="F6841" s="2">
        <f>DATE(2026,IF(Tabla1[[#This Row],[Mes de Fecha]]="Septiembre",9,10),Tabla1[[#This Row],[Día de Fecha]])</f>
        <v>46300</v>
      </c>
      <c r="I6841">
        <v>0</v>
      </c>
      <c r="J6841" s="1">
        <v>8687873</v>
      </c>
      <c r="K6841">
        <v>0</v>
      </c>
    </row>
    <row r="6842" spans="1:11" x14ac:dyDescent="0.25">
      <c r="A6842" t="s">
        <v>326</v>
      </c>
      <c r="B6842" t="s">
        <v>627</v>
      </c>
      <c r="C6842" t="s">
        <v>872</v>
      </c>
      <c r="D6842" t="s">
        <v>14</v>
      </c>
      <c r="E6842">
        <v>5</v>
      </c>
      <c r="F6842" s="2">
        <f>DATE(2026,IF(Tabla1[[#This Row],[Mes de Fecha]]="Septiembre",9,10),Tabla1[[#This Row],[Día de Fecha]])</f>
        <v>46300</v>
      </c>
      <c r="G6842">
        <v>1005584151</v>
      </c>
      <c r="H6842" t="s">
        <v>628</v>
      </c>
      <c r="I6842">
        <v>52</v>
      </c>
      <c r="J6842">
        <v>0</v>
      </c>
      <c r="K6842" s="1">
        <v>2362693</v>
      </c>
    </row>
    <row r="6843" spans="1:11" x14ac:dyDescent="0.25">
      <c r="A6843" t="s">
        <v>326</v>
      </c>
      <c r="B6843" t="s">
        <v>627</v>
      </c>
      <c r="C6843" t="s">
        <v>872</v>
      </c>
      <c r="D6843" t="s">
        <v>14</v>
      </c>
      <c r="E6843">
        <v>5</v>
      </c>
      <c r="F6843" s="2">
        <f>DATE(2026,IF(Tabla1[[#This Row],[Mes de Fecha]]="Septiembre",9,10),Tabla1[[#This Row],[Día de Fecha]])</f>
        <v>46300</v>
      </c>
      <c r="G6843">
        <v>1010123104</v>
      </c>
      <c r="H6843" t="s">
        <v>632</v>
      </c>
      <c r="I6843">
        <v>14</v>
      </c>
      <c r="J6843">
        <v>0</v>
      </c>
      <c r="K6843" s="1">
        <v>637815</v>
      </c>
    </row>
    <row r="6844" spans="1:11" x14ac:dyDescent="0.25">
      <c r="A6844" t="s">
        <v>326</v>
      </c>
      <c r="B6844" t="s">
        <v>627</v>
      </c>
      <c r="C6844" t="s">
        <v>872</v>
      </c>
      <c r="D6844" t="s">
        <v>14</v>
      </c>
      <c r="E6844">
        <v>5</v>
      </c>
      <c r="F6844" s="2">
        <f>DATE(2026,IF(Tabla1[[#This Row],[Mes de Fecha]]="Septiembre",9,10),Tabla1[[#This Row],[Día de Fecha]])</f>
        <v>46300</v>
      </c>
      <c r="G6844">
        <v>1016010865</v>
      </c>
      <c r="H6844" t="s">
        <v>633</v>
      </c>
      <c r="I6844">
        <v>16</v>
      </c>
      <c r="J6844">
        <v>0</v>
      </c>
      <c r="K6844" s="1">
        <v>528632</v>
      </c>
    </row>
    <row r="6845" spans="1:11" x14ac:dyDescent="0.25">
      <c r="A6845" t="s">
        <v>326</v>
      </c>
      <c r="B6845" t="s">
        <v>627</v>
      </c>
      <c r="C6845" t="s">
        <v>872</v>
      </c>
      <c r="D6845" t="s">
        <v>14</v>
      </c>
      <c r="E6845">
        <v>5</v>
      </c>
      <c r="F6845" s="2">
        <f>DATE(2026,IF(Tabla1[[#This Row],[Mes de Fecha]]="Septiembre",9,10),Tabla1[[#This Row],[Día de Fecha]])</f>
        <v>46300</v>
      </c>
      <c r="G6845">
        <v>1094282665</v>
      </c>
      <c r="H6845" t="s">
        <v>634</v>
      </c>
      <c r="I6845">
        <v>9</v>
      </c>
      <c r="J6845">
        <v>0</v>
      </c>
      <c r="K6845" s="1">
        <v>530538</v>
      </c>
    </row>
    <row r="6846" spans="1:11" x14ac:dyDescent="0.25">
      <c r="A6846" t="s">
        <v>326</v>
      </c>
      <c r="B6846" t="s">
        <v>627</v>
      </c>
      <c r="C6846" t="s">
        <v>872</v>
      </c>
      <c r="D6846" t="s">
        <v>14</v>
      </c>
      <c r="E6846">
        <v>5</v>
      </c>
      <c r="F6846" s="2">
        <f>DATE(2026,IF(Tabla1[[#This Row],[Mes de Fecha]]="Septiembre",9,10),Tabla1[[#This Row],[Día de Fecha]])</f>
        <v>46300</v>
      </c>
      <c r="G6846">
        <v>1121854340</v>
      </c>
      <c r="H6846" t="s">
        <v>629</v>
      </c>
      <c r="I6846">
        <v>56</v>
      </c>
      <c r="J6846">
        <v>0</v>
      </c>
      <c r="K6846" s="1">
        <v>2522220</v>
      </c>
    </row>
    <row r="6847" spans="1:11" x14ac:dyDescent="0.25">
      <c r="A6847" t="s">
        <v>326</v>
      </c>
      <c r="B6847" t="s">
        <v>627</v>
      </c>
      <c r="C6847" t="s">
        <v>872</v>
      </c>
      <c r="D6847" t="s">
        <v>14</v>
      </c>
      <c r="E6847">
        <v>5</v>
      </c>
      <c r="F6847" s="2">
        <f>DATE(2026,IF(Tabla1[[#This Row],[Mes de Fecha]]="Septiembre",9,10),Tabla1[[#This Row],[Día de Fecha]])</f>
        <v>46300</v>
      </c>
      <c r="G6847">
        <v>1122924164</v>
      </c>
      <c r="H6847" t="s">
        <v>630</v>
      </c>
      <c r="I6847">
        <v>52</v>
      </c>
      <c r="J6847">
        <v>0</v>
      </c>
      <c r="K6847" s="1">
        <v>2282824</v>
      </c>
    </row>
    <row r="6848" spans="1:11" x14ac:dyDescent="0.25">
      <c r="A6848" t="s">
        <v>326</v>
      </c>
      <c r="B6848" t="s">
        <v>627</v>
      </c>
      <c r="C6848" t="s">
        <v>872</v>
      </c>
      <c r="D6848" t="s">
        <v>14</v>
      </c>
      <c r="E6848">
        <v>6</v>
      </c>
      <c r="F6848" s="2">
        <f>DATE(2026,IF(Tabla1[[#This Row],[Mes de Fecha]]="Septiembre",9,10),Tabla1[[#This Row],[Día de Fecha]])</f>
        <v>46301</v>
      </c>
      <c r="I6848">
        <v>0</v>
      </c>
      <c r="J6848" s="1">
        <v>6974916</v>
      </c>
      <c r="K6848">
        <v>0</v>
      </c>
    </row>
    <row r="6849" spans="1:11" x14ac:dyDescent="0.25">
      <c r="A6849" t="s">
        <v>326</v>
      </c>
      <c r="B6849" t="s">
        <v>627</v>
      </c>
      <c r="C6849" t="s">
        <v>872</v>
      </c>
      <c r="D6849" t="s">
        <v>14</v>
      </c>
      <c r="E6849">
        <v>6</v>
      </c>
      <c r="F6849" s="2">
        <f>DATE(2026,IF(Tabla1[[#This Row],[Mes de Fecha]]="Septiembre",9,10),Tabla1[[#This Row],[Día de Fecha]])</f>
        <v>46301</v>
      </c>
      <c r="G6849">
        <v>1005584151</v>
      </c>
      <c r="H6849" t="s">
        <v>628</v>
      </c>
      <c r="I6849">
        <v>43</v>
      </c>
      <c r="J6849">
        <v>0</v>
      </c>
      <c r="K6849" s="1">
        <v>1817145</v>
      </c>
    </row>
    <row r="6850" spans="1:11" x14ac:dyDescent="0.25">
      <c r="A6850" t="s">
        <v>326</v>
      </c>
      <c r="B6850" t="s">
        <v>627</v>
      </c>
      <c r="C6850" t="s">
        <v>872</v>
      </c>
      <c r="D6850" t="s">
        <v>14</v>
      </c>
      <c r="E6850">
        <v>6</v>
      </c>
      <c r="F6850" s="2">
        <f>DATE(2026,IF(Tabla1[[#This Row],[Mes de Fecha]]="Septiembre",9,10),Tabla1[[#This Row],[Día de Fecha]])</f>
        <v>46301</v>
      </c>
      <c r="G6850">
        <v>1010123104</v>
      </c>
      <c r="H6850" t="s">
        <v>632</v>
      </c>
      <c r="I6850">
        <v>23</v>
      </c>
      <c r="J6850">
        <v>0</v>
      </c>
      <c r="K6850" s="1">
        <v>519497</v>
      </c>
    </row>
    <row r="6851" spans="1:11" x14ac:dyDescent="0.25">
      <c r="A6851" t="s">
        <v>326</v>
      </c>
      <c r="B6851" t="s">
        <v>627</v>
      </c>
      <c r="C6851" t="s">
        <v>872</v>
      </c>
      <c r="D6851" t="s">
        <v>14</v>
      </c>
      <c r="E6851">
        <v>6</v>
      </c>
      <c r="F6851" s="2">
        <f>DATE(2026,IF(Tabla1[[#This Row],[Mes de Fecha]]="Septiembre",9,10),Tabla1[[#This Row],[Día de Fecha]])</f>
        <v>46301</v>
      </c>
      <c r="G6851">
        <v>1016010865</v>
      </c>
      <c r="H6851" t="s">
        <v>633</v>
      </c>
      <c r="I6851">
        <v>16</v>
      </c>
      <c r="J6851">
        <v>0</v>
      </c>
      <c r="K6851" s="1">
        <v>599915</v>
      </c>
    </row>
    <row r="6852" spans="1:11" x14ac:dyDescent="0.25">
      <c r="A6852" t="s">
        <v>326</v>
      </c>
      <c r="B6852" t="s">
        <v>627</v>
      </c>
      <c r="C6852" t="s">
        <v>872</v>
      </c>
      <c r="D6852" t="s">
        <v>14</v>
      </c>
      <c r="E6852">
        <v>6</v>
      </c>
      <c r="F6852" s="2">
        <f>DATE(2026,IF(Tabla1[[#This Row],[Mes de Fecha]]="Septiembre",9,10),Tabla1[[#This Row],[Día de Fecha]])</f>
        <v>46301</v>
      </c>
      <c r="G6852">
        <v>1094282665</v>
      </c>
      <c r="H6852" t="s">
        <v>634</v>
      </c>
      <c r="I6852">
        <v>16</v>
      </c>
      <c r="J6852">
        <v>0</v>
      </c>
      <c r="K6852" s="1">
        <v>889834</v>
      </c>
    </row>
    <row r="6853" spans="1:11" x14ac:dyDescent="0.25">
      <c r="A6853" t="s">
        <v>326</v>
      </c>
      <c r="B6853" t="s">
        <v>627</v>
      </c>
      <c r="C6853" t="s">
        <v>872</v>
      </c>
      <c r="D6853" t="s">
        <v>14</v>
      </c>
      <c r="E6853">
        <v>6</v>
      </c>
      <c r="F6853" s="2">
        <f>DATE(2026,IF(Tabla1[[#This Row],[Mes de Fecha]]="Septiembre",9,10),Tabla1[[#This Row],[Día de Fecha]])</f>
        <v>46301</v>
      </c>
      <c r="G6853">
        <v>1121854340</v>
      </c>
      <c r="H6853" t="s">
        <v>629</v>
      </c>
      <c r="I6853">
        <v>52</v>
      </c>
      <c r="J6853">
        <v>0</v>
      </c>
      <c r="K6853" s="1">
        <v>1989782</v>
      </c>
    </row>
    <row r="6854" spans="1:11" x14ac:dyDescent="0.25">
      <c r="A6854" t="s">
        <v>326</v>
      </c>
      <c r="B6854" t="s">
        <v>627</v>
      </c>
      <c r="C6854" t="s">
        <v>872</v>
      </c>
      <c r="D6854" t="s">
        <v>14</v>
      </c>
      <c r="E6854">
        <v>6</v>
      </c>
      <c r="F6854" s="2">
        <f>DATE(2026,IF(Tabla1[[#This Row],[Mes de Fecha]]="Septiembre",9,10),Tabla1[[#This Row],[Día de Fecha]])</f>
        <v>46301</v>
      </c>
      <c r="G6854">
        <v>1122924164</v>
      </c>
      <c r="H6854" t="s">
        <v>630</v>
      </c>
      <c r="I6854">
        <v>63</v>
      </c>
      <c r="J6854">
        <v>0</v>
      </c>
      <c r="K6854" s="1">
        <v>2271952</v>
      </c>
    </row>
    <row r="6855" spans="1:11" x14ac:dyDescent="0.25">
      <c r="A6855" t="s">
        <v>326</v>
      </c>
      <c r="B6855" t="s">
        <v>627</v>
      </c>
      <c r="C6855" t="s">
        <v>872</v>
      </c>
      <c r="D6855" t="s">
        <v>14</v>
      </c>
      <c r="E6855">
        <v>7</v>
      </c>
      <c r="F6855" s="2">
        <f>DATE(2026,IF(Tabla1[[#This Row],[Mes de Fecha]]="Septiembre",9,10),Tabla1[[#This Row],[Día de Fecha]])</f>
        <v>46302</v>
      </c>
      <c r="I6855">
        <v>0</v>
      </c>
      <c r="J6855" s="1">
        <v>6920118</v>
      </c>
      <c r="K6855">
        <v>0</v>
      </c>
    </row>
    <row r="6856" spans="1:11" x14ac:dyDescent="0.25">
      <c r="A6856" t="s">
        <v>326</v>
      </c>
      <c r="B6856" t="s">
        <v>627</v>
      </c>
      <c r="C6856" t="s">
        <v>872</v>
      </c>
      <c r="D6856" t="s">
        <v>14</v>
      </c>
      <c r="E6856">
        <v>7</v>
      </c>
      <c r="F6856" s="2">
        <f>DATE(2026,IF(Tabla1[[#This Row],[Mes de Fecha]]="Septiembre",9,10),Tabla1[[#This Row],[Día de Fecha]])</f>
        <v>46302</v>
      </c>
      <c r="G6856">
        <v>1005584151</v>
      </c>
      <c r="H6856" t="s">
        <v>628</v>
      </c>
      <c r="I6856">
        <v>56</v>
      </c>
      <c r="J6856">
        <v>0</v>
      </c>
      <c r="K6856" s="1">
        <v>2219497</v>
      </c>
    </row>
    <row r="6857" spans="1:11" x14ac:dyDescent="0.25">
      <c r="A6857" t="s">
        <v>326</v>
      </c>
      <c r="B6857" t="s">
        <v>627</v>
      </c>
      <c r="C6857" t="s">
        <v>872</v>
      </c>
      <c r="D6857" t="s">
        <v>14</v>
      </c>
      <c r="E6857">
        <v>7</v>
      </c>
      <c r="F6857" s="2">
        <f>DATE(2026,IF(Tabla1[[#This Row],[Mes de Fecha]]="Septiembre",9,10),Tabla1[[#This Row],[Día de Fecha]])</f>
        <v>46302</v>
      </c>
      <c r="G6857">
        <v>1010123104</v>
      </c>
      <c r="H6857" t="s">
        <v>632</v>
      </c>
      <c r="I6857">
        <v>9</v>
      </c>
      <c r="J6857">
        <v>0</v>
      </c>
      <c r="K6857" s="1">
        <v>394497</v>
      </c>
    </row>
    <row r="6858" spans="1:11" x14ac:dyDescent="0.25">
      <c r="A6858" t="s">
        <v>326</v>
      </c>
      <c r="B6858" t="s">
        <v>627</v>
      </c>
      <c r="C6858" t="s">
        <v>872</v>
      </c>
      <c r="D6858" t="s">
        <v>14</v>
      </c>
      <c r="E6858">
        <v>7</v>
      </c>
      <c r="F6858" s="2">
        <f>DATE(2026,IF(Tabla1[[#This Row],[Mes de Fecha]]="Septiembre",9,10),Tabla1[[#This Row],[Día de Fecha]])</f>
        <v>46302</v>
      </c>
      <c r="G6858">
        <v>1016010865</v>
      </c>
      <c r="H6858" t="s">
        <v>633</v>
      </c>
      <c r="I6858">
        <v>23</v>
      </c>
      <c r="J6858">
        <v>0</v>
      </c>
      <c r="K6858" s="1">
        <v>864119</v>
      </c>
    </row>
    <row r="6859" spans="1:11" x14ac:dyDescent="0.25">
      <c r="A6859" t="s">
        <v>326</v>
      </c>
      <c r="B6859" t="s">
        <v>627</v>
      </c>
      <c r="C6859" t="s">
        <v>872</v>
      </c>
      <c r="D6859" t="s">
        <v>14</v>
      </c>
      <c r="E6859">
        <v>7</v>
      </c>
      <c r="F6859" s="2">
        <f>DATE(2026,IF(Tabla1[[#This Row],[Mes de Fecha]]="Septiembre",9,10),Tabla1[[#This Row],[Día de Fecha]])</f>
        <v>46302</v>
      </c>
      <c r="G6859">
        <v>1094282665</v>
      </c>
      <c r="H6859" t="s">
        <v>634</v>
      </c>
      <c r="I6859">
        <v>12</v>
      </c>
      <c r="J6859">
        <v>0</v>
      </c>
      <c r="K6859" s="1">
        <v>383697</v>
      </c>
    </row>
    <row r="6860" spans="1:11" x14ac:dyDescent="0.25">
      <c r="A6860" t="s">
        <v>326</v>
      </c>
      <c r="B6860" t="s">
        <v>627</v>
      </c>
      <c r="C6860" t="s">
        <v>872</v>
      </c>
      <c r="D6860" t="s">
        <v>14</v>
      </c>
      <c r="E6860">
        <v>7</v>
      </c>
      <c r="F6860" s="2">
        <f>DATE(2026,IF(Tabla1[[#This Row],[Mes de Fecha]]="Septiembre",9,10),Tabla1[[#This Row],[Día de Fecha]])</f>
        <v>46302</v>
      </c>
      <c r="G6860">
        <v>1121854340</v>
      </c>
      <c r="H6860" t="s">
        <v>629</v>
      </c>
      <c r="I6860">
        <v>51</v>
      </c>
      <c r="J6860">
        <v>0</v>
      </c>
      <c r="K6860" s="1">
        <v>2261640</v>
      </c>
    </row>
    <row r="6861" spans="1:11" x14ac:dyDescent="0.25">
      <c r="A6861" t="s">
        <v>326</v>
      </c>
      <c r="B6861" t="s">
        <v>627</v>
      </c>
      <c r="C6861" t="s">
        <v>872</v>
      </c>
      <c r="D6861" t="s">
        <v>14</v>
      </c>
      <c r="E6861">
        <v>7</v>
      </c>
      <c r="F6861" s="2">
        <f>DATE(2026,IF(Tabla1[[#This Row],[Mes de Fecha]]="Septiembre",9,10),Tabla1[[#This Row],[Día de Fecha]])</f>
        <v>46302</v>
      </c>
      <c r="G6861">
        <v>1122924164</v>
      </c>
      <c r="H6861" t="s">
        <v>630</v>
      </c>
      <c r="I6861">
        <v>41</v>
      </c>
      <c r="J6861">
        <v>0</v>
      </c>
      <c r="K6861" s="1">
        <v>1750103</v>
      </c>
    </row>
    <row r="6862" spans="1:11" x14ac:dyDescent="0.25">
      <c r="A6862" t="s">
        <v>326</v>
      </c>
      <c r="B6862" t="s">
        <v>686</v>
      </c>
      <c r="C6862" t="s">
        <v>872</v>
      </c>
      <c r="D6862" t="s">
        <v>11</v>
      </c>
      <c r="E6862">
        <v>23</v>
      </c>
      <c r="F6862" s="2">
        <f>DATE(2026,IF(Tabla1[[#This Row],[Mes de Fecha]]="Septiembre",9,10),Tabla1[[#This Row],[Día de Fecha]])</f>
        <v>46288</v>
      </c>
      <c r="I6862">
        <v>0</v>
      </c>
      <c r="J6862" s="1">
        <v>9085253</v>
      </c>
      <c r="K6862">
        <v>0</v>
      </c>
    </row>
    <row r="6863" spans="1:11" x14ac:dyDescent="0.25">
      <c r="A6863" t="s">
        <v>326</v>
      </c>
      <c r="B6863" t="s">
        <v>686</v>
      </c>
      <c r="C6863" t="s">
        <v>872</v>
      </c>
      <c r="D6863" t="s">
        <v>11</v>
      </c>
      <c r="E6863">
        <v>23</v>
      </c>
      <c r="F6863" s="2">
        <f>DATE(2026,IF(Tabla1[[#This Row],[Mes de Fecha]]="Septiembre",9,10),Tabla1[[#This Row],[Día de Fecha]])</f>
        <v>46288</v>
      </c>
      <c r="G6863">
        <v>1072394323</v>
      </c>
      <c r="H6863" t="s">
        <v>687</v>
      </c>
      <c r="I6863">
        <v>93</v>
      </c>
      <c r="J6863">
        <v>0</v>
      </c>
      <c r="K6863" s="1">
        <v>5208069</v>
      </c>
    </row>
    <row r="6864" spans="1:11" x14ac:dyDescent="0.25">
      <c r="A6864" t="s">
        <v>326</v>
      </c>
      <c r="B6864" t="s">
        <v>686</v>
      </c>
      <c r="C6864" t="s">
        <v>872</v>
      </c>
      <c r="D6864" t="s">
        <v>11</v>
      </c>
      <c r="E6864">
        <v>23</v>
      </c>
      <c r="F6864" s="2">
        <f>DATE(2026,IF(Tabla1[[#This Row],[Mes de Fecha]]="Septiembre",9,10),Tabla1[[#This Row],[Día de Fecha]])</f>
        <v>46288</v>
      </c>
      <c r="G6864">
        <v>1123059086</v>
      </c>
      <c r="H6864" t="s">
        <v>631</v>
      </c>
      <c r="I6864">
        <v>83</v>
      </c>
      <c r="J6864">
        <v>0</v>
      </c>
      <c r="K6864" s="1">
        <v>4494121</v>
      </c>
    </row>
    <row r="6865" spans="1:11" x14ac:dyDescent="0.25">
      <c r="A6865" t="s">
        <v>326</v>
      </c>
      <c r="B6865" t="s">
        <v>686</v>
      </c>
      <c r="C6865" t="s">
        <v>872</v>
      </c>
      <c r="D6865" t="s">
        <v>11</v>
      </c>
      <c r="E6865">
        <v>24</v>
      </c>
      <c r="F6865" s="2">
        <f>DATE(2026,IF(Tabla1[[#This Row],[Mes de Fecha]]="Septiembre",9,10),Tabla1[[#This Row],[Día de Fecha]])</f>
        <v>46289</v>
      </c>
      <c r="I6865">
        <v>0</v>
      </c>
      <c r="J6865" s="1">
        <v>13878744</v>
      </c>
      <c r="K6865">
        <v>0</v>
      </c>
    </row>
    <row r="6866" spans="1:11" x14ac:dyDescent="0.25">
      <c r="A6866" t="s">
        <v>326</v>
      </c>
      <c r="B6866" t="s">
        <v>686</v>
      </c>
      <c r="C6866" t="s">
        <v>872</v>
      </c>
      <c r="D6866" t="s">
        <v>11</v>
      </c>
      <c r="E6866">
        <v>24</v>
      </c>
      <c r="F6866" s="2">
        <f>DATE(2026,IF(Tabla1[[#This Row],[Mes de Fecha]]="Septiembre",9,10),Tabla1[[#This Row],[Día de Fecha]])</f>
        <v>46289</v>
      </c>
      <c r="G6866">
        <v>1006822002</v>
      </c>
      <c r="H6866" t="s">
        <v>635</v>
      </c>
      <c r="I6866">
        <v>6</v>
      </c>
      <c r="J6866">
        <v>0</v>
      </c>
      <c r="K6866" s="1">
        <v>352689</v>
      </c>
    </row>
    <row r="6867" spans="1:11" x14ac:dyDescent="0.25">
      <c r="A6867" t="s">
        <v>326</v>
      </c>
      <c r="B6867" t="s">
        <v>686</v>
      </c>
      <c r="C6867" t="s">
        <v>872</v>
      </c>
      <c r="D6867" t="s">
        <v>11</v>
      </c>
      <c r="E6867">
        <v>24</v>
      </c>
      <c r="F6867" s="2">
        <f>DATE(2026,IF(Tabla1[[#This Row],[Mes de Fecha]]="Septiembre",9,10),Tabla1[[#This Row],[Día de Fecha]])</f>
        <v>46289</v>
      </c>
      <c r="G6867">
        <v>1072394323</v>
      </c>
      <c r="H6867" t="s">
        <v>687</v>
      </c>
      <c r="I6867">
        <v>53</v>
      </c>
      <c r="J6867">
        <v>0</v>
      </c>
      <c r="K6867" s="1">
        <v>3157312</v>
      </c>
    </row>
    <row r="6868" spans="1:11" x14ac:dyDescent="0.25">
      <c r="A6868" t="s">
        <v>326</v>
      </c>
      <c r="B6868" t="s">
        <v>686</v>
      </c>
      <c r="C6868" t="s">
        <v>872</v>
      </c>
      <c r="D6868" t="s">
        <v>11</v>
      </c>
      <c r="E6868">
        <v>24</v>
      </c>
      <c r="F6868" s="2">
        <f>DATE(2026,IF(Tabla1[[#This Row],[Mes de Fecha]]="Septiembre",9,10),Tabla1[[#This Row],[Día de Fecha]])</f>
        <v>46289</v>
      </c>
      <c r="G6868">
        <v>1106394656</v>
      </c>
      <c r="H6868" t="s">
        <v>688</v>
      </c>
      <c r="I6868">
        <v>13</v>
      </c>
      <c r="J6868">
        <v>0</v>
      </c>
      <c r="K6868" s="1">
        <v>705296</v>
      </c>
    </row>
    <row r="6869" spans="1:11" x14ac:dyDescent="0.25">
      <c r="A6869" t="s">
        <v>326</v>
      </c>
      <c r="B6869" t="s">
        <v>686</v>
      </c>
      <c r="C6869" t="s">
        <v>872</v>
      </c>
      <c r="D6869" t="s">
        <v>11</v>
      </c>
      <c r="E6869">
        <v>24</v>
      </c>
      <c r="F6869" s="2">
        <f>DATE(2026,IF(Tabla1[[#This Row],[Mes de Fecha]]="Septiembre",9,10),Tabla1[[#This Row],[Día de Fecha]])</f>
        <v>46289</v>
      </c>
      <c r="G6869">
        <v>1123059086</v>
      </c>
      <c r="H6869" t="s">
        <v>631</v>
      </c>
      <c r="I6869">
        <v>76</v>
      </c>
      <c r="J6869">
        <v>0</v>
      </c>
      <c r="K6869" s="1">
        <v>3544499</v>
      </c>
    </row>
    <row r="6870" spans="1:11" x14ac:dyDescent="0.25">
      <c r="A6870" t="s">
        <v>326</v>
      </c>
      <c r="B6870" t="s">
        <v>686</v>
      </c>
      <c r="C6870" t="s">
        <v>872</v>
      </c>
      <c r="D6870" t="s">
        <v>11</v>
      </c>
      <c r="E6870">
        <v>25</v>
      </c>
      <c r="F6870" s="2">
        <f>DATE(2026,IF(Tabla1[[#This Row],[Mes de Fecha]]="Septiembre",9,10),Tabla1[[#This Row],[Día de Fecha]])</f>
        <v>46290</v>
      </c>
      <c r="I6870">
        <v>0</v>
      </c>
      <c r="J6870" s="1">
        <v>13848019</v>
      </c>
      <c r="K6870">
        <v>0</v>
      </c>
    </row>
    <row r="6871" spans="1:11" x14ac:dyDescent="0.25">
      <c r="A6871" t="s">
        <v>326</v>
      </c>
      <c r="B6871" t="s">
        <v>686</v>
      </c>
      <c r="C6871" t="s">
        <v>872</v>
      </c>
      <c r="D6871" t="s">
        <v>11</v>
      </c>
      <c r="E6871">
        <v>25</v>
      </c>
      <c r="F6871" s="2">
        <f>DATE(2026,IF(Tabla1[[#This Row],[Mes de Fecha]]="Septiembre",9,10),Tabla1[[#This Row],[Día de Fecha]])</f>
        <v>46290</v>
      </c>
      <c r="G6871">
        <v>1006822002</v>
      </c>
      <c r="H6871" t="s">
        <v>635</v>
      </c>
      <c r="I6871">
        <v>33</v>
      </c>
      <c r="J6871">
        <v>0</v>
      </c>
      <c r="K6871" s="1">
        <v>1807357</v>
      </c>
    </row>
    <row r="6872" spans="1:11" x14ac:dyDescent="0.25">
      <c r="A6872" t="s">
        <v>326</v>
      </c>
      <c r="B6872" t="s">
        <v>686</v>
      </c>
      <c r="C6872" t="s">
        <v>872</v>
      </c>
      <c r="D6872" t="s">
        <v>11</v>
      </c>
      <c r="E6872">
        <v>25</v>
      </c>
      <c r="F6872" s="2">
        <f>DATE(2026,IF(Tabla1[[#This Row],[Mes de Fecha]]="Septiembre",9,10),Tabla1[[#This Row],[Día de Fecha]])</f>
        <v>46290</v>
      </c>
      <c r="G6872">
        <v>1072394323</v>
      </c>
      <c r="H6872" t="s">
        <v>687</v>
      </c>
      <c r="I6872">
        <v>90</v>
      </c>
      <c r="J6872">
        <v>0</v>
      </c>
      <c r="K6872" s="1">
        <v>4678620</v>
      </c>
    </row>
    <row r="6873" spans="1:11" x14ac:dyDescent="0.25">
      <c r="A6873" t="s">
        <v>326</v>
      </c>
      <c r="B6873" t="s">
        <v>686</v>
      </c>
      <c r="C6873" t="s">
        <v>872</v>
      </c>
      <c r="D6873" t="s">
        <v>11</v>
      </c>
      <c r="E6873">
        <v>25</v>
      </c>
      <c r="F6873" s="2">
        <f>DATE(2026,IF(Tabla1[[#This Row],[Mes de Fecha]]="Septiembre",9,10),Tabla1[[#This Row],[Día de Fecha]])</f>
        <v>46290</v>
      </c>
      <c r="G6873">
        <v>1106394656</v>
      </c>
      <c r="H6873" t="s">
        <v>688</v>
      </c>
      <c r="I6873">
        <v>29</v>
      </c>
      <c r="J6873">
        <v>0</v>
      </c>
      <c r="K6873" s="1">
        <v>1515505</v>
      </c>
    </row>
    <row r="6874" spans="1:11" x14ac:dyDescent="0.25">
      <c r="A6874" t="s">
        <v>326</v>
      </c>
      <c r="B6874" t="s">
        <v>686</v>
      </c>
      <c r="C6874" t="s">
        <v>872</v>
      </c>
      <c r="D6874" t="s">
        <v>11</v>
      </c>
      <c r="E6874">
        <v>25</v>
      </c>
      <c r="F6874" s="2">
        <f>DATE(2026,IF(Tabla1[[#This Row],[Mes de Fecha]]="Septiembre",9,10),Tabla1[[#This Row],[Día de Fecha]])</f>
        <v>46290</v>
      </c>
      <c r="G6874">
        <v>1123059086</v>
      </c>
      <c r="H6874" t="s">
        <v>631</v>
      </c>
      <c r="I6874">
        <v>82</v>
      </c>
      <c r="J6874">
        <v>0</v>
      </c>
      <c r="K6874" s="1">
        <v>4870468</v>
      </c>
    </row>
    <row r="6875" spans="1:11" x14ac:dyDescent="0.25">
      <c r="A6875" t="s">
        <v>326</v>
      </c>
      <c r="B6875" t="s">
        <v>686</v>
      </c>
      <c r="C6875" t="s">
        <v>872</v>
      </c>
      <c r="D6875" t="s">
        <v>11</v>
      </c>
      <c r="E6875">
        <v>26</v>
      </c>
      <c r="F6875" s="2">
        <f>DATE(2026,IF(Tabla1[[#This Row],[Mes de Fecha]]="Septiembre",9,10),Tabla1[[#This Row],[Día de Fecha]])</f>
        <v>46291</v>
      </c>
      <c r="I6875">
        <v>0</v>
      </c>
      <c r="J6875" s="1">
        <v>19901593</v>
      </c>
      <c r="K6875">
        <v>0</v>
      </c>
    </row>
    <row r="6876" spans="1:11" x14ac:dyDescent="0.25">
      <c r="A6876" t="s">
        <v>326</v>
      </c>
      <c r="B6876" t="s">
        <v>686</v>
      </c>
      <c r="C6876" t="s">
        <v>872</v>
      </c>
      <c r="D6876" t="s">
        <v>11</v>
      </c>
      <c r="E6876">
        <v>26</v>
      </c>
      <c r="F6876" s="2">
        <f>DATE(2026,IF(Tabla1[[#This Row],[Mes de Fecha]]="Septiembre",9,10),Tabla1[[#This Row],[Día de Fecha]])</f>
        <v>46291</v>
      </c>
      <c r="G6876">
        <v>1006822002</v>
      </c>
      <c r="H6876" t="s">
        <v>635</v>
      </c>
      <c r="I6876">
        <v>27</v>
      </c>
      <c r="J6876">
        <v>0</v>
      </c>
      <c r="K6876" s="1">
        <v>1082733</v>
      </c>
    </row>
    <row r="6877" spans="1:11" x14ac:dyDescent="0.25">
      <c r="A6877" t="s">
        <v>326</v>
      </c>
      <c r="B6877" t="s">
        <v>686</v>
      </c>
      <c r="C6877" t="s">
        <v>872</v>
      </c>
      <c r="D6877" t="s">
        <v>11</v>
      </c>
      <c r="E6877">
        <v>26</v>
      </c>
      <c r="F6877" s="2">
        <f>DATE(2026,IF(Tabla1[[#This Row],[Mes de Fecha]]="Septiembre",9,10),Tabla1[[#This Row],[Día de Fecha]])</f>
        <v>46291</v>
      </c>
      <c r="G6877">
        <v>1072394323</v>
      </c>
      <c r="H6877" t="s">
        <v>687</v>
      </c>
      <c r="I6877">
        <v>102</v>
      </c>
      <c r="J6877">
        <v>0</v>
      </c>
      <c r="K6877" s="1">
        <v>5793831</v>
      </c>
    </row>
    <row r="6878" spans="1:11" x14ac:dyDescent="0.25">
      <c r="A6878" t="s">
        <v>326</v>
      </c>
      <c r="B6878" t="s">
        <v>686</v>
      </c>
      <c r="C6878" t="s">
        <v>872</v>
      </c>
      <c r="D6878" t="s">
        <v>11</v>
      </c>
      <c r="E6878">
        <v>26</v>
      </c>
      <c r="F6878" s="2">
        <f>DATE(2026,IF(Tabla1[[#This Row],[Mes de Fecha]]="Septiembre",9,10),Tabla1[[#This Row],[Día de Fecha]])</f>
        <v>46291</v>
      </c>
      <c r="G6878">
        <v>1106394656</v>
      </c>
      <c r="H6878" t="s">
        <v>688</v>
      </c>
      <c r="I6878">
        <v>43</v>
      </c>
      <c r="J6878">
        <v>0</v>
      </c>
      <c r="K6878" s="1">
        <v>2363699</v>
      </c>
    </row>
    <row r="6879" spans="1:11" x14ac:dyDescent="0.25">
      <c r="A6879" t="s">
        <v>326</v>
      </c>
      <c r="B6879" t="s">
        <v>686</v>
      </c>
      <c r="C6879" t="s">
        <v>872</v>
      </c>
      <c r="D6879" t="s">
        <v>11</v>
      </c>
      <c r="E6879">
        <v>26</v>
      </c>
      <c r="F6879" s="2">
        <f>DATE(2026,IF(Tabla1[[#This Row],[Mes de Fecha]]="Septiembre",9,10),Tabla1[[#This Row],[Día de Fecha]])</f>
        <v>46291</v>
      </c>
      <c r="G6879">
        <v>1123059086</v>
      </c>
      <c r="H6879" t="s">
        <v>631</v>
      </c>
      <c r="I6879">
        <v>106</v>
      </c>
      <c r="J6879">
        <v>0</v>
      </c>
      <c r="K6879" s="1">
        <v>5772610</v>
      </c>
    </row>
    <row r="6880" spans="1:11" x14ac:dyDescent="0.25">
      <c r="A6880" t="s">
        <v>326</v>
      </c>
      <c r="B6880" t="s">
        <v>686</v>
      </c>
      <c r="C6880" t="s">
        <v>872</v>
      </c>
      <c r="D6880" t="s">
        <v>11</v>
      </c>
      <c r="E6880">
        <v>27</v>
      </c>
      <c r="F6880" s="2">
        <f>DATE(2026,IF(Tabla1[[#This Row],[Mes de Fecha]]="Septiembre",9,10),Tabla1[[#This Row],[Día de Fecha]])</f>
        <v>46292</v>
      </c>
      <c r="I6880">
        <v>0</v>
      </c>
      <c r="J6880" s="1">
        <v>15766070</v>
      </c>
      <c r="K6880">
        <v>0</v>
      </c>
    </row>
    <row r="6881" spans="1:11" x14ac:dyDescent="0.25">
      <c r="A6881" t="s">
        <v>326</v>
      </c>
      <c r="B6881" t="s">
        <v>686</v>
      </c>
      <c r="C6881" t="s">
        <v>872</v>
      </c>
      <c r="D6881" t="s">
        <v>11</v>
      </c>
      <c r="E6881">
        <v>27</v>
      </c>
      <c r="F6881" s="2">
        <f>DATE(2026,IF(Tabla1[[#This Row],[Mes de Fecha]]="Septiembre",9,10),Tabla1[[#This Row],[Día de Fecha]])</f>
        <v>46292</v>
      </c>
      <c r="G6881">
        <v>1006822002</v>
      </c>
      <c r="H6881" t="s">
        <v>635</v>
      </c>
      <c r="I6881">
        <v>28</v>
      </c>
      <c r="J6881">
        <v>0</v>
      </c>
      <c r="K6881" s="1">
        <v>1624792</v>
      </c>
    </row>
    <row r="6882" spans="1:11" x14ac:dyDescent="0.25">
      <c r="A6882" t="s">
        <v>326</v>
      </c>
      <c r="B6882" t="s">
        <v>686</v>
      </c>
      <c r="C6882" t="s">
        <v>872</v>
      </c>
      <c r="D6882" t="s">
        <v>11</v>
      </c>
      <c r="E6882">
        <v>27</v>
      </c>
      <c r="F6882" s="2">
        <f>DATE(2026,IF(Tabla1[[#This Row],[Mes de Fecha]]="Septiembre",9,10),Tabla1[[#This Row],[Día de Fecha]])</f>
        <v>46292</v>
      </c>
      <c r="G6882">
        <v>1072394323</v>
      </c>
      <c r="H6882" t="s">
        <v>687</v>
      </c>
      <c r="I6882">
        <v>112</v>
      </c>
      <c r="J6882">
        <v>0</v>
      </c>
      <c r="K6882" s="1">
        <v>6203156</v>
      </c>
    </row>
    <row r="6883" spans="1:11" x14ac:dyDescent="0.25">
      <c r="A6883" t="s">
        <v>326</v>
      </c>
      <c r="B6883" t="s">
        <v>686</v>
      </c>
      <c r="C6883" t="s">
        <v>872</v>
      </c>
      <c r="D6883" t="s">
        <v>11</v>
      </c>
      <c r="E6883">
        <v>27</v>
      </c>
      <c r="F6883" s="2">
        <f>DATE(2026,IF(Tabla1[[#This Row],[Mes de Fecha]]="Septiembre",9,10),Tabla1[[#This Row],[Día de Fecha]])</f>
        <v>46292</v>
      </c>
      <c r="G6883">
        <v>1106394656</v>
      </c>
      <c r="H6883" t="s">
        <v>688</v>
      </c>
      <c r="I6883">
        <v>35</v>
      </c>
      <c r="J6883">
        <v>0</v>
      </c>
      <c r="K6883" s="1">
        <v>2267313</v>
      </c>
    </row>
    <row r="6884" spans="1:11" x14ac:dyDescent="0.25">
      <c r="A6884" t="s">
        <v>326</v>
      </c>
      <c r="B6884" t="s">
        <v>686</v>
      </c>
      <c r="C6884" t="s">
        <v>872</v>
      </c>
      <c r="D6884" t="s">
        <v>11</v>
      </c>
      <c r="E6884">
        <v>27</v>
      </c>
      <c r="F6884" s="2">
        <f>DATE(2026,IF(Tabla1[[#This Row],[Mes de Fecha]]="Septiembre",9,10),Tabla1[[#This Row],[Día de Fecha]])</f>
        <v>46292</v>
      </c>
      <c r="G6884">
        <v>1123059086</v>
      </c>
      <c r="H6884" t="s">
        <v>631</v>
      </c>
      <c r="I6884">
        <v>100</v>
      </c>
      <c r="J6884">
        <v>0</v>
      </c>
      <c r="K6884" s="1">
        <v>6268615</v>
      </c>
    </row>
    <row r="6885" spans="1:11" x14ac:dyDescent="0.25">
      <c r="A6885" t="s">
        <v>326</v>
      </c>
      <c r="B6885" t="s">
        <v>686</v>
      </c>
      <c r="C6885" t="s">
        <v>872</v>
      </c>
      <c r="D6885" t="s">
        <v>11</v>
      </c>
      <c r="E6885">
        <v>28</v>
      </c>
      <c r="F6885" s="2">
        <f>DATE(2026,IF(Tabla1[[#This Row],[Mes de Fecha]]="Septiembre",9,10),Tabla1[[#This Row],[Día de Fecha]])</f>
        <v>46293</v>
      </c>
      <c r="I6885">
        <v>0</v>
      </c>
      <c r="J6885" s="1">
        <v>8676997</v>
      </c>
      <c r="K6885">
        <v>0</v>
      </c>
    </row>
    <row r="6886" spans="1:11" x14ac:dyDescent="0.25">
      <c r="A6886" t="s">
        <v>326</v>
      </c>
      <c r="B6886" t="s">
        <v>686</v>
      </c>
      <c r="C6886" t="s">
        <v>872</v>
      </c>
      <c r="D6886" t="s">
        <v>11</v>
      </c>
      <c r="E6886">
        <v>28</v>
      </c>
      <c r="F6886" s="2">
        <f>DATE(2026,IF(Tabla1[[#This Row],[Mes de Fecha]]="Septiembre",9,10),Tabla1[[#This Row],[Día de Fecha]])</f>
        <v>46293</v>
      </c>
      <c r="G6886">
        <v>1006822002</v>
      </c>
      <c r="H6886" t="s">
        <v>635</v>
      </c>
      <c r="I6886">
        <v>11</v>
      </c>
      <c r="J6886">
        <v>0</v>
      </c>
      <c r="K6886" s="1">
        <v>633992</v>
      </c>
    </row>
    <row r="6887" spans="1:11" x14ac:dyDescent="0.25">
      <c r="A6887" t="s">
        <v>326</v>
      </c>
      <c r="B6887" t="s">
        <v>686</v>
      </c>
      <c r="C6887" t="s">
        <v>872</v>
      </c>
      <c r="D6887" t="s">
        <v>11</v>
      </c>
      <c r="E6887">
        <v>28</v>
      </c>
      <c r="F6887" s="2">
        <f>DATE(2026,IF(Tabla1[[#This Row],[Mes de Fecha]]="Septiembre",9,10),Tabla1[[#This Row],[Día de Fecha]])</f>
        <v>46293</v>
      </c>
      <c r="G6887">
        <v>1072394323</v>
      </c>
      <c r="H6887" t="s">
        <v>687</v>
      </c>
      <c r="I6887">
        <v>47</v>
      </c>
      <c r="J6887">
        <v>0</v>
      </c>
      <c r="K6887" s="1">
        <v>2384330</v>
      </c>
    </row>
    <row r="6888" spans="1:11" x14ac:dyDescent="0.25">
      <c r="A6888" t="s">
        <v>326</v>
      </c>
      <c r="B6888" t="s">
        <v>686</v>
      </c>
      <c r="C6888" t="s">
        <v>872</v>
      </c>
      <c r="D6888" t="s">
        <v>11</v>
      </c>
      <c r="E6888">
        <v>28</v>
      </c>
      <c r="F6888" s="2">
        <f>DATE(2026,IF(Tabla1[[#This Row],[Mes de Fecha]]="Septiembre",9,10),Tabla1[[#This Row],[Día de Fecha]])</f>
        <v>46293</v>
      </c>
      <c r="G6888">
        <v>1106394656</v>
      </c>
      <c r="H6888" t="s">
        <v>688</v>
      </c>
      <c r="I6888">
        <v>2</v>
      </c>
      <c r="J6888">
        <v>0</v>
      </c>
      <c r="K6888" s="1">
        <v>113362</v>
      </c>
    </row>
    <row r="6889" spans="1:11" x14ac:dyDescent="0.25">
      <c r="A6889" t="s">
        <v>326</v>
      </c>
      <c r="B6889" t="s">
        <v>686</v>
      </c>
      <c r="C6889" t="s">
        <v>872</v>
      </c>
      <c r="D6889" t="s">
        <v>11</v>
      </c>
      <c r="E6889">
        <v>28</v>
      </c>
      <c r="F6889" s="2">
        <f>DATE(2026,IF(Tabla1[[#This Row],[Mes de Fecha]]="Septiembre",9,10),Tabla1[[#This Row],[Día de Fecha]])</f>
        <v>46293</v>
      </c>
      <c r="G6889">
        <v>1123059086</v>
      </c>
      <c r="H6889" t="s">
        <v>631</v>
      </c>
      <c r="I6889">
        <v>47</v>
      </c>
      <c r="J6889">
        <v>0</v>
      </c>
      <c r="K6889" s="1">
        <v>2432775</v>
      </c>
    </row>
    <row r="6890" spans="1:11" x14ac:dyDescent="0.25">
      <c r="A6890" t="s">
        <v>326</v>
      </c>
      <c r="B6890" t="s">
        <v>686</v>
      </c>
      <c r="C6890" t="s">
        <v>872</v>
      </c>
      <c r="D6890" t="s">
        <v>11</v>
      </c>
      <c r="E6890">
        <v>29</v>
      </c>
      <c r="F6890" s="2">
        <f>DATE(2026,IF(Tabla1[[#This Row],[Mes de Fecha]]="Septiembre",9,10),Tabla1[[#This Row],[Día de Fecha]])</f>
        <v>46294</v>
      </c>
      <c r="I6890">
        <v>0</v>
      </c>
      <c r="J6890" s="1">
        <v>9268732</v>
      </c>
      <c r="K6890">
        <v>0</v>
      </c>
    </row>
    <row r="6891" spans="1:11" x14ac:dyDescent="0.25">
      <c r="A6891" t="s">
        <v>326</v>
      </c>
      <c r="B6891" t="s">
        <v>686</v>
      </c>
      <c r="C6891" t="s">
        <v>872</v>
      </c>
      <c r="D6891" t="s">
        <v>11</v>
      </c>
      <c r="E6891">
        <v>29</v>
      </c>
      <c r="F6891" s="2">
        <f>DATE(2026,IF(Tabla1[[#This Row],[Mes de Fecha]]="Septiembre",9,10),Tabla1[[#This Row],[Día de Fecha]])</f>
        <v>46294</v>
      </c>
      <c r="G6891">
        <v>1006822002</v>
      </c>
      <c r="H6891" t="s">
        <v>635</v>
      </c>
      <c r="I6891">
        <v>10</v>
      </c>
      <c r="J6891">
        <v>0</v>
      </c>
      <c r="K6891" s="1">
        <v>524708</v>
      </c>
    </row>
    <row r="6892" spans="1:11" x14ac:dyDescent="0.25">
      <c r="A6892" t="s">
        <v>326</v>
      </c>
      <c r="B6892" t="s">
        <v>686</v>
      </c>
      <c r="C6892" t="s">
        <v>872</v>
      </c>
      <c r="D6892" t="s">
        <v>11</v>
      </c>
      <c r="E6892">
        <v>29</v>
      </c>
      <c r="F6892" s="2">
        <f>DATE(2026,IF(Tabla1[[#This Row],[Mes de Fecha]]="Septiembre",9,10),Tabla1[[#This Row],[Día de Fecha]])</f>
        <v>46294</v>
      </c>
      <c r="G6892">
        <v>1072394323</v>
      </c>
      <c r="H6892" t="s">
        <v>687</v>
      </c>
      <c r="I6892">
        <v>65</v>
      </c>
      <c r="J6892">
        <v>0</v>
      </c>
      <c r="K6892" s="1">
        <v>3667232</v>
      </c>
    </row>
    <row r="6893" spans="1:11" x14ac:dyDescent="0.25">
      <c r="A6893" t="s">
        <v>326</v>
      </c>
      <c r="B6893" t="s">
        <v>686</v>
      </c>
      <c r="C6893" t="s">
        <v>872</v>
      </c>
      <c r="D6893" t="s">
        <v>11</v>
      </c>
      <c r="E6893">
        <v>29</v>
      </c>
      <c r="F6893" s="2">
        <f>DATE(2026,IF(Tabla1[[#This Row],[Mes de Fecha]]="Septiembre",9,10),Tabla1[[#This Row],[Día de Fecha]])</f>
        <v>46294</v>
      </c>
      <c r="G6893">
        <v>1106394656</v>
      </c>
      <c r="H6893" t="s">
        <v>688</v>
      </c>
      <c r="I6893">
        <v>28</v>
      </c>
      <c r="J6893">
        <v>0</v>
      </c>
      <c r="K6893" s="1">
        <v>1347522</v>
      </c>
    </row>
    <row r="6894" spans="1:11" x14ac:dyDescent="0.25">
      <c r="A6894" t="s">
        <v>326</v>
      </c>
      <c r="B6894" t="s">
        <v>686</v>
      </c>
      <c r="C6894" t="s">
        <v>872</v>
      </c>
      <c r="D6894" t="s">
        <v>11</v>
      </c>
      <c r="E6894">
        <v>30</v>
      </c>
      <c r="F6894" s="2">
        <f>DATE(2026,IF(Tabla1[[#This Row],[Mes de Fecha]]="Septiembre",9,10),Tabla1[[#This Row],[Día de Fecha]])</f>
        <v>46295</v>
      </c>
      <c r="I6894">
        <v>0</v>
      </c>
      <c r="J6894" s="1">
        <v>9574765</v>
      </c>
      <c r="K6894">
        <v>0</v>
      </c>
    </row>
    <row r="6895" spans="1:11" x14ac:dyDescent="0.25">
      <c r="A6895" t="s">
        <v>326</v>
      </c>
      <c r="B6895" t="s">
        <v>686</v>
      </c>
      <c r="C6895" t="s">
        <v>872</v>
      </c>
      <c r="D6895" t="s">
        <v>11</v>
      </c>
      <c r="E6895">
        <v>30</v>
      </c>
      <c r="F6895" s="2">
        <f>DATE(2026,IF(Tabla1[[#This Row],[Mes de Fecha]]="Septiembre",9,10),Tabla1[[#This Row],[Día de Fecha]])</f>
        <v>46295</v>
      </c>
      <c r="G6895">
        <v>1006822002</v>
      </c>
      <c r="H6895" t="s">
        <v>635</v>
      </c>
      <c r="I6895">
        <v>23</v>
      </c>
      <c r="J6895">
        <v>0</v>
      </c>
      <c r="K6895" s="1">
        <v>1221474</v>
      </c>
    </row>
    <row r="6896" spans="1:11" x14ac:dyDescent="0.25">
      <c r="A6896" t="s">
        <v>326</v>
      </c>
      <c r="B6896" t="s">
        <v>686</v>
      </c>
      <c r="C6896" t="s">
        <v>872</v>
      </c>
      <c r="D6896" t="s">
        <v>11</v>
      </c>
      <c r="E6896">
        <v>30</v>
      </c>
      <c r="F6896" s="2">
        <f>DATE(2026,IF(Tabla1[[#This Row],[Mes de Fecha]]="Septiembre",9,10),Tabla1[[#This Row],[Día de Fecha]])</f>
        <v>46295</v>
      </c>
      <c r="G6896">
        <v>1072394323</v>
      </c>
      <c r="H6896" t="s">
        <v>687</v>
      </c>
      <c r="I6896">
        <v>11</v>
      </c>
      <c r="J6896">
        <v>0</v>
      </c>
      <c r="K6896" s="1">
        <v>541471</v>
      </c>
    </row>
    <row r="6897" spans="1:11" x14ac:dyDescent="0.25">
      <c r="A6897" t="s">
        <v>326</v>
      </c>
      <c r="B6897" t="s">
        <v>686</v>
      </c>
      <c r="C6897" t="s">
        <v>872</v>
      </c>
      <c r="D6897" t="s">
        <v>11</v>
      </c>
      <c r="E6897">
        <v>30</v>
      </c>
      <c r="F6897" s="2">
        <f>DATE(2026,IF(Tabla1[[#This Row],[Mes de Fecha]]="Septiembre",9,10),Tabla1[[#This Row],[Día de Fecha]])</f>
        <v>46295</v>
      </c>
      <c r="G6897">
        <v>1106394656</v>
      </c>
      <c r="H6897" t="s">
        <v>688</v>
      </c>
      <c r="I6897">
        <v>18</v>
      </c>
      <c r="J6897">
        <v>0</v>
      </c>
      <c r="K6897" s="1">
        <v>1032774</v>
      </c>
    </row>
    <row r="6898" spans="1:11" x14ac:dyDescent="0.25">
      <c r="A6898" t="s">
        <v>326</v>
      </c>
      <c r="B6898" t="s">
        <v>686</v>
      </c>
      <c r="C6898" t="s">
        <v>872</v>
      </c>
      <c r="D6898" t="s">
        <v>11</v>
      </c>
      <c r="E6898">
        <v>30</v>
      </c>
      <c r="F6898" s="2">
        <f>DATE(2026,IF(Tabla1[[#This Row],[Mes de Fecha]]="Septiembre",9,10),Tabla1[[#This Row],[Día de Fecha]])</f>
        <v>46295</v>
      </c>
      <c r="G6898">
        <v>1123059086</v>
      </c>
      <c r="H6898" t="s">
        <v>631</v>
      </c>
      <c r="I6898">
        <v>57</v>
      </c>
      <c r="J6898">
        <v>0</v>
      </c>
      <c r="K6898" s="1">
        <v>3535215</v>
      </c>
    </row>
    <row r="6899" spans="1:11" x14ac:dyDescent="0.25">
      <c r="A6899" t="s">
        <v>326</v>
      </c>
      <c r="B6899" t="s">
        <v>686</v>
      </c>
      <c r="C6899" t="s">
        <v>872</v>
      </c>
      <c r="D6899" t="s">
        <v>14</v>
      </c>
      <c r="E6899">
        <v>1</v>
      </c>
      <c r="F6899" s="2">
        <f>DATE(2026,IF(Tabla1[[#This Row],[Mes de Fecha]]="Septiembre",9,10),Tabla1[[#This Row],[Día de Fecha]])</f>
        <v>46296</v>
      </c>
      <c r="I6899">
        <v>0</v>
      </c>
      <c r="J6899" s="1">
        <v>9610750</v>
      </c>
      <c r="K6899">
        <v>0</v>
      </c>
    </row>
    <row r="6900" spans="1:11" x14ac:dyDescent="0.25">
      <c r="A6900" t="s">
        <v>326</v>
      </c>
      <c r="B6900" t="s">
        <v>686</v>
      </c>
      <c r="C6900" t="s">
        <v>872</v>
      </c>
      <c r="D6900" t="s">
        <v>14</v>
      </c>
      <c r="E6900">
        <v>1</v>
      </c>
      <c r="F6900" s="2">
        <f>DATE(2026,IF(Tabla1[[#This Row],[Mes de Fecha]]="Septiembre",9,10),Tabla1[[#This Row],[Día de Fecha]])</f>
        <v>46296</v>
      </c>
      <c r="G6900">
        <v>1006822002</v>
      </c>
      <c r="H6900" t="s">
        <v>635</v>
      </c>
      <c r="I6900">
        <v>16</v>
      </c>
      <c r="J6900">
        <v>0</v>
      </c>
      <c r="K6900" s="1">
        <v>793364</v>
      </c>
    </row>
    <row r="6901" spans="1:11" x14ac:dyDescent="0.25">
      <c r="A6901" t="s">
        <v>326</v>
      </c>
      <c r="B6901" t="s">
        <v>686</v>
      </c>
      <c r="C6901" t="s">
        <v>872</v>
      </c>
      <c r="D6901" t="s">
        <v>14</v>
      </c>
      <c r="E6901">
        <v>1</v>
      </c>
      <c r="F6901" s="2">
        <f>DATE(2026,IF(Tabla1[[#This Row],[Mes de Fecha]]="Septiembre",9,10),Tabla1[[#This Row],[Día de Fecha]])</f>
        <v>46296</v>
      </c>
      <c r="G6901">
        <v>1072394323</v>
      </c>
      <c r="H6901" t="s">
        <v>687</v>
      </c>
      <c r="I6901">
        <v>40</v>
      </c>
      <c r="J6901">
        <v>0</v>
      </c>
      <c r="K6901" s="1">
        <v>2290129</v>
      </c>
    </row>
    <row r="6902" spans="1:11" x14ac:dyDescent="0.25">
      <c r="A6902" t="s">
        <v>326</v>
      </c>
      <c r="B6902" t="s">
        <v>686</v>
      </c>
      <c r="C6902" t="s">
        <v>872</v>
      </c>
      <c r="D6902" t="s">
        <v>14</v>
      </c>
      <c r="E6902">
        <v>1</v>
      </c>
      <c r="F6902" s="2">
        <f>DATE(2026,IF(Tabla1[[#This Row],[Mes de Fecha]]="Septiembre",9,10),Tabla1[[#This Row],[Día de Fecha]])</f>
        <v>46296</v>
      </c>
      <c r="G6902">
        <v>1094282665</v>
      </c>
      <c r="H6902" t="s">
        <v>634</v>
      </c>
      <c r="I6902">
        <v>-1</v>
      </c>
      <c r="J6902">
        <v>0</v>
      </c>
      <c r="K6902" s="1">
        <v>-46177</v>
      </c>
    </row>
    <row r="6903" spans="1:11" x14ac:dyDescent="0.25">
      <c r="A6903" t="s">
        <v>326</v>
      </c>
      <c r="B6903" t="s">
        <v>686</v>
      </c>
      <c r="C6903" t="s">
        <v>872</v>
      </c>
      <c r="D6903" t="s">
        <v>14</v>
      </c>
      <c r="E6903">
        <v>1</v>
      </c>
      <c r="F6903" s="2">
        <f>DATE(2026,IF(Tabla1[[#This Row],[Mes de Fecha]]="Septiembre",9,10),Tabla1[[#This Row],[Día de Fecha]])</f>
        <v>46296</v>
      </c>
      <c r="G6903">
        <v>1106394656</v>
      </c>
      <c r="H6903" t="s">
        <v>688</v>
      </c>
      <c r="I6903">
        <v>21</v>
      </c>
      <c r="J6903">
        <v>0</v>
      </c>
      <c r="K6903" s="1">
        <v>1263825</v>
      </c>
    </row>
    <row r="6904" spans="1:11" x14ac:dyDescent="0.25">
      <c r="A6904" t="s">
        <v>326</v>
      </c>
      <c r="B6904" t="s">
        <v>686</v>
      </c>
      <c r="C6904" t="s">
        <v>872</v>
      </c>
      <c r="D6904" t="s">
        <v>14</v>
      </c>
      <c r="E6904">
        <v>1</v>
      </c>
      <c r="F6904" s="2">
        <f>DATE(2026,IF(Tabla1[[#This Row],[Mes de Fecha]]="Septiembre",9,10),Tabla1[[#This Row],[Día de Fecha]])</f>
        <v>46296</v>
      </c>
      <c r="G6904">
        <v>1123059086</v>
      </c>
      <c r="H6904" t="s">
        <v>631</v>
      </c>
      <c r="I6904">
        <v>43</v>
      </c>
      <c r="J6904">
        <v>0</v>
      </c>
      <c r="K6904" s="1">
        <v>2241809</v>
      </c>
    </row>
    <row r="6905" spans="1:11" x14ac:dyDescent="0.25">
      <c r="A6905" t="s">
        <v>326</v>
      </c>
      <c r="B6905" t="s">
        <v>686</v>
      </c>
      <c r="C6905" t="s">
        <v>872</v>
      </c>
      <c r="D6905" t="s">
        <v>14</v>
      </c>
      <c r="E6905">
        <v>2</v>
      </c>
      <c r="F6905" s="2">
        <f>DATE(2026,IF(Tabla1[[#This Row],[Mes de Fecha]]="Septiembre",9,10),Tabla1[[#This Row],[Día de Fecha]])</f>
        <v>46297</v>
      </c>
      <c r="I6905">
        <v>0</v>
      </c>
      <c r="J6905" s="1">
        <v>9992707</v>
      </c>
      <c r="K6905">
        <v>0</v>
      </c>
    </row>
    <row r="6906" spans="1:11" x14ac:dyDescent="0.25">
      <c r="A6906" t="s">
        <v>326</v>
      </c>
      <c r="B6906" t="s">
        <v>686</v>
      </c>
      <c r="C6906" t="s">
        <v>872</v>
      </c>
      <c r="D6906" t="s">
        <v>14</v>
      </c>
      <c r="E6906">
        <v>2</v>
      </c>
      <c r="F6906" s="2">
        <f>DATE(2026,IF(Tabla1[[#This Row],[Mes de Fecha]]="Septiembre",9,10),Tabla1[[#This Row],[Día de Fecha]])</f>
        <v>46297</v>
      </c>
      <c r="G6906">
        <v>1006822002</v>
      </c>
      <c r="H6906" t="s">
        <v>635</v>
      </c>
      <c r="I6906">
        <v>18</v>
      </c>
      <c r="J6906">
        <v>0</v>
      </c>
      <c r="K6906" s="1">
        <v>1041094</v>
      </c>
    </row>
    <row r="6907" spans="1:11" x14ac:dyDescent="0.25">
      <c r="A6907" t="s">
        <v>326</v>
      </c>
      <c r="B6907" t="s">
        <v>686</v>
      </c>
      <c r="C6907" t="s">
        <v>872</v>
      </c>
      <c r="D6907" t="s">
        <v>14</v>
      </c>
      <c r="E6907">
        <v>2</v>
      </c>
      <c r="F6907" s="2">
        <f>DATE(2026,IF(Tabla1[[#This Row],[Mes de Fecha]]="Septiembre",9,10),Tabla1[[#This Row],[Día de Fecha]])</f>
        <v>46297</v>
      </c>
      <c r="G6907">
        <v>1072394323</v>
      </c>
      <c r="H6907" t="s">
        <v>687</v>
      </c>
      <c r="I6907">
        <v>62</v>
      </c>
      <c r="J6907">
        <v>0</v>
      </c>
      <c r="K6907" s="1">
        <v>3724082</v>
      </c>
    </row>
    <row r="6908" spans="1:11" x14ac:dyDescent="0.25">
      <c r="A6908" t="s">
        <v>326</v>
      </c>
      <c r="B6908" t="s">
        <v>686</v>
      </c>
      <c r="C6908" t="s">
        <v>872</v>
      </c>
      <c r="D6908" t="s">
        <v>14</v>
      </c>
      <c r="E6908">
        <v>2</v>
      </c>
      <c r="F6908" s="2">
        <f>DATE(2026,IF(Tabla1[[#This Row],[Mes de Fecha]]="Septiembre",9,10),Tabla1[[#This Row],[Día de Fecha]])</f>
        <v>46297</v>
      </c>
      <c r="G6908">
        <v>1106394656</v>
      </c>
      <c r="H6908" t="s">
        <v>688</v>
      </c>
      <c r="I6908">
        <v>17</v>
      </c>
      <c r="J6908">
        <v>0</v>
      </c>
      <c r="K6908" s="1">
        <v>999163</v>
      </c>
    </row>
    <row r="6909" spans="1:11" x14ac:dyDescent="0.25">
      <c r="A6909" t="s">
        <v>326</v>
      </c>
      <c r="B6909" t="s">
        <v>686</v>
      </c>
      <c r="C6909" t="s">
        <v>872</v>
      </c>
      <c r="D6909" t="s">
        <v>14</v>
      </c>
      <c r="E6909">
        <v>2</v>
      </c>
      <c r="F6909" s="2">
        <f>DATE(2026,IF(Tabla1[[#This Row],[Mes de Fecha]]="Septiembre",9,10),Tabla1[[#This Row],[Día de Fecha]])</f>
        <v>46297</v>
      </c>
      <c r="G6909">
        <v>1123059086</v>
      </c>
      <c r="H6909" t="s">
        <v>631</v>
      </c>
      <c r="I6909">
        <v>82</v>
      </c>
      <c r="J6909">
        <v>0</v>
      </c>
      <c r="K6909" s="1">
        <v>4487902</v>
      </c>
    </row>
    <row r="6910" spans="1:11" x14ac:dyDescent="0.25">
      <c r="A6910" t="s">
        <v>326</v>
      </c>
      <c r="B6910" t="s">
        <v>686</v>
      </c>
      <c r="C6910" t="s">
        <v>872</v>
      </c>
      <c r="D6910" t="s">
        <v>14</v>
      </c>
      <c r="E6910">
        <v>3</v>
      </c>
      <c r="F6910" s="2">
        <f>DATE(2026,IF(Tabla1[[#This Row],[Mes de Fecha]]="Septiembre",9,10),Tabla1[[#This Row],[Día de Fecha]])</f>
        <v>46298</v>
      </c>
      <c r="I6910">
        <v>0</v>
      </c>
      <c r="J6910" s="1">
        <v>16052233</v>
      </c>
      <c r="K6910">
        <v>0</v>
      </c>
    </row>
    <row r="6911" spans="1:11" x14ac:dyDescent="0.25">
      <c r="A6911" t="s">
        <v>326</v>
      </c>
      <c r="B6911" t="s">
        <v>686</v>
      </c>
      <c r="C6911" t="s">
        <v>872</v>
      </c>
      <c r="D6911" t="s">
        <v>14</v>
      </c>
      <c r="E6911">
        <v>3</v>
      </c>
      <c r="F6911" s="2">
        <f>DATE(2026,IF(Tabla1[[#This Row],[Mes de Fecha]]="Septiembre",9,10),Tabla1[[#This Row],[Día de Fecha]])</f>
        <v>46298</v>
      </c>
      <c r="G6911">
        <v>52805111</v>
      </c>
      <c r="H6911" t="s">
        <v>689</v>
      </c>
      <c r="I6911">
        <v>-4</v>
      </c>
      <c r="J6911">
        <v>0</v>
      </c>
      <c r="K6911" s="1">
        <v>-197269</v>
      </c>
    </row>
    <row r="6912" spans="1:11" x14ac:dyDescent="0.25">
      <c r="A6912" t="s">
        <v>326</v>
      </c>
      <c r="B6912" t="s">
        <v>686</v>
      </c>
      <c r="C6912" t="s">
        <v>872</v>
      </c>
      <c r="D6912" t="s">
        <v>14</v>
      </c>
      <c r="E6912">
        <v>3</v>
      </c>
      <c r="F6912" s="2">
        <f>DATE(2026,IF(Tabla1[[#This Row],[Mes de Fecha]]="Septiembre",9,10),Tabla1[[#This Row],[Día de Fecha]])</f>
        <v>46298</v>
      </c>
      <c r="G6912">
        <v>1006822002</v>
      </c>
      <c r="H6912" t="s">
        <v>635</v>
      </c>
      <c r="I6912">
        <v>31</v>
      </c>
      <c r="J6912">
        <v>0</v>
      </c>
      <c r="K6912" s="1">
        <v>1661624</v>
      </c>
    </row>
    <row r="6913" spans="1:11" x14ac:dyDescent="0.25">
      <c r="A6913" t="s">
        <v>326</v>
      </c>
      <c r="B6913" t="s">
        <v>686</v>
      </c>
      <c r="C6913" t="s">
        <v>872</v>
      </c>
      <c r="D6913" t="s">
        <v>14</v>
      </c>
      <c r="E6913">
        <v>3</v>
      </c>
      <c r="F6913" s="2">
        <f>DATE(2026,IF(Tabla1[[#This Row],[Mes de Fecha]]="Septiembre",9,10),Tabla1[[#This Row],[Día de Fecha]])</f>
        <v>46298</v>
      </c>
      <c r="G6913">
        <v>1072394323</v>
      </c>
      <c r="H6913" t="s">
        <v>687</v>
      </c>
      <c r="I6913">
        <v>97</v>
      </c>
      <c r="J6913">
        <v>0</v>
      </c>
      <c r="K6913" s="1">
        <v>5356509</v>
      </c>
    </row>
    <row r="6914" spans="1:11" x14ac:dyDescent="0.25">
      <c r="A6914" t="s">
        <v>326</v>
      </c>
      <c r="B6914" t="s">
        <v>686</v>
      </c>
      <c r="C6914" t="s">
        <v>872</v>
      </c>
      <c r="D6914" t="s">
        <v>14</v>
      </c>
      <c r="E6914">
        <v>3</v>
      </c>
      <c r="F6914" s="2">
        <f>DATE(2026,IF(Tabla1[[#This Row],[Mes de Fecha]]="Septiembre",9,10),Tabla1[[#This Row],[Día de Fecha]])</f>
        <v>46298</v>
      </c>
      <c r="G6914">
        <v>1106394656</v>
      </c>
      <c r="H6914" t="s">
        <v>688</v>
      </c>
      <c r="I6914">
        <v>54</v>
      </c>
      <c r="J6914">
        <v>0</v>
      </c>
      <c r="K6914" s="1">
        <v>2809135</v>
      </c>
    </row>
    <row r="6915" spans="1:11" x14ac:dyDescent="0.25">
      <c r="A6915" t="s">
        <v>326</v>
      </c>
      <c r="B6915" t="s">
        <v>686</v>
      </c>
      <c r="C6915" t="s">
        <v>872</v>
      </c>
      <c r="D6915" t="s">
        <v>14</v>
      </c>
      <c r="E6915">
        <v>3</v>
      </c>
      <c r="F6915" s="2">
        <f>DATE(2026,IF(Tabla1[[#This Row],[Mes de Fecha]]="Septiembre",9,10),Tabla1[[#This Row],[Día de Fecha]])</f>
        <v>46298</v>
      </c>
      <c r="G6915">
        <v>1123059086</v>
      </c>
      <c r="H6915" t="s">
        <v>631</v>
      </c>
      <c r="I6915">
        <v>105</v>
      </c>
      <c r="J6915">
        <v>0</v>
      </c>
      <c r="K6915" s="1">
        <v>5412127</v>
      </c>
    </row>
    <row r="6916" spans="1:11" x14ac:dyDescent="0.25">
      <c r="A6916" t="s">
        <v>326</v>
      </c>
      <c r="B6916" t="s">
        <v>686</v>
      </c>
      <c r="C6916" t="s">
        <v>872</v>
      </c>
      <c r="D6916" t="s">
        <v>14</v>
      </c>
      <c r="E6916">
        <v>4</v>
      </c>
      <c r="F6916" s="2">
        <f>DATE(2026,IF(Tabla1[[#This Row],[Mes de Fecha]]="Septiembre",9,10),Tabla1[[#This Row],[Día de Fecha]])</f>
        <v>46299</v>
      </c>
      <c r="I6916">
        <v>0</v>
      </c>
      <c r="J6916" s="1">
        <v>10053513</v>
      </c>
      <c r="K6916">
        <v>0</v>
      </c>
    </row>
    <row r="6917" spans="1:11" x14ac:dyDescent="0.25">
      <c r="A6917" t="s">
        <v>326</v>
      </c>
      <c r="B6917" t="s">
        <v>686</v>
      </c>
      <c r="C6917" t="s">
        <v>872</v>
      </c>
      <c r="D6917" t="s">
        <v>14</v>
      </c>
      <c r="E6917">
        <v>4</v>
      </c>
      <c r="F6917" s="2">
        <f>DATE(2026,IF(Tabla1[[#This Row],[Mes de Fecha]]="Septiembre",9,10),Tabla1[[#This Row],[Día de Fecha]])</f>
        <v>46299</v>
      </c>
      <c r="G6917">
        <v>1006822002</v>
      </c>
      <c r="H6917" t="s">
        <v>635</v>
      </c>
      <c r="I6917">
        <v>21</v>
      </c>
      <c r="J6917">
        <v>0</v>
      </c>
      <c r="K6917" s="1">
        <v>1067136</v>
      </c>
    </row>
    <row r="6918" spans="1:11" x14ac:dyDescent="0.25">
      <c r="A6918" t="s">
        <v>326</v>
      </c>
      <c r="B6918" t="s">
        <v>686</v>
      </c>
      <c r="C6918" t="s">
        <v>872</v>
      </c>
      <c r="D6918" t="s">
        <v>14</v>
      </c>
      <c r="E6918">
        <v>4</v>
      </c>
      <c r="F6918" s="2">
        <f>DATE(2026,IF(Tabla1[[#This Row],[Mes de Fecha]]="Septiembre",9,10),Tabla1[[#This Row],[Día de Fecha]])</f>
        <v>46299</v>
      </c>
      <c r="G6918">
        <v>1072394323</v>
      </c>
      <c r="H6918" t="s">
        <v>687</v>
      </c>
      <c r="I6918">
        <v>100</v>
      </c>
      <c r="J6918">
        <v>0</v>
      </c>
      <c r="K6918" s="1">
        <v>5728870</v>
      </c>
    </row>
    <row r="6919" spans="1:11" x14ac:dyDescent="0.25">
      <c r="A6919" t="s">
        <v>326</v>
      </c>
      <c r="B6919" t="s">
        <v>686</v>
      </c>
      <c r="C6919" t="s">
        <v>872</v>
      </c>
      <c r="D6919" t="s">
        <v>14</v>
      </c>
      <c r="E6919">
        <v>4</v>
      </c>
      <c r="F6919" s="2">
        <f>DATE(2026,IF(Tabla1[[#This Row],[Mes de Fecha]]="Septiembre",9,10),Tabla1[[#This Row],[Día de Fecha]])</f>
        <v>46299</v>
      </c>
      <c r="G6919">
        <v>1106394656</v>
      </c>
      <c r="H6919" t="s">
        <v>688</v>
      </c>
      <c r="I6919">
        <v>9</v>
      </c>
      <c r="J6919">
        <v>0</v>
      </c>
      <c r="K6919" s="1">
        <v>596177</v>
      </c>
    </row>
    <row r="6920" spans="1:11" x14ac:dyDescent="0.25">
      <c r="A6920" t="s">
        <v>326</v>
      </c>
      <c r="B6920" t="s">
        <v>686</v>
      </c>
      <c r="C6920" t="s">
        <v>872</v>
      </c>
      <c r="D6920" t="s">
        <v>14</v>
      </c>
      <c r="E6920">
        <v>4</v>
      </c>
      <c r="F6920" s="2">
        <f>DATE(2026,IF(Tabla1[[#This Row],[Mes de Fecha]]="Septiembre",9,10),Tabla1[[#This Row],[Día de Fecha]])</f>
        <v>46299</v>
      </c>
      <c r="G6920">
        <v>1123059086</v>
      </c>
      <c r="H6920" t="s">
        <v>631</v>
      </c>
      <c r="I6920">
        <v>108</v>
      </c>
      <c r="J6920">
        <v>0</v>
      </c>
      <c r="K6920" s="1">
        <v>5774669</v>
      </c>
    </row>
    <row r="6921" spans="1:11" x14ac:dyDescent="0.25">
      <c r="A6921" t="s">
        <v>326</v>
      </c>
      <c r="B6921" t="s">
        <v>686</v>
      </c>
      <c r="C6921" t="s">
        <v>872</v>
      </c>
      <c r="D6921" t="s">
        <v>14</v>
      </c>
      <c r="E6921">
        <v>5</v>
      </c>
      <c r="F6921" s="2">
        <f>DATE(2026,IF(Tabla1[[#This Row],[Mes de Fecha]]="Septiembre",9,10),Tabla1[[#This Row],[Día de Fecha]])</f>
        <v>46300</v>
      </c>
      <c r="I6921">
        <v>0</v>
      </c>
      <c r="J6921" s="1">
        <v>6464783</v>
      </c>
      <c r="K6921">
        <v>0</v>
      </c>
    </row>
    <row r="6922" spans="1:11" x14ac:dyDescent="0.25">
      <c r="A6922" t="s">
        <v>326</v>
      </c>
      <c r="B6922" t="s">
        <v>686</v>
      </c>
      <c r="C6922" t="s">
        <v>872</v>
      </c>
      <c r="D6922" t="s">
        <v>14</v>
      </c>
      <c r="E6922">
        <v>5</v>
      </c>
      <c r="F6922" s="2">
        <f>DATE(2026,IF(Tabla1[[#This Row],[Mes de Fecha]]="Septiembre",9,10),Tabla1[[#This Row],[Día de Fecha]])</f>
        <v>46300</v>
      </c>
      <c r="G6922">
        <v>1005584151</v>
      </c>
      <c r="H6922" t="s">
        <v>628</v>
      </c>
      <c r="I6922">
        <v>-1</v>
      </c>
      <c r="J6922">
        <v>0</v>
      </c>
      <c r="K6922" s="1">
        <v>-105000</v>
      </c>
    </row>
    <row r="6923" spans="1:11" x14ac:dyDescent="0.25">
      <c r="A6923" t="s">
        <v>326</v>
      </c>
      <c r="B6923" t="s">
        <v>686</v>
      </c>
      <c r="C6923" t="s">
        <v>872</v>
      </c>
      <c r="D6923" t="s">
        <v>14</v>
      </c>
      <c r="E6923">
        <v>5</v>
      </c>
      <c r="F6923" s="2">
        <f>DATE(2026,IF(Tabla1[[#This Row],[Mes de Fecha]]="Septiembre",9,10),Tabla1[[#This Row],[Día de Fecha]])</f>
        <v>46300</v>
      </c>
      <c r="G6923">
        <v>1006822002</v>
      </c>
      <c r="H6923" t="s">
        <v>635</v>
      </c>
      <c r="I6923">
        <v>25</v>
      </c>
      <c r="J6923">
        <v>0</v>
      </c>
      <c r="K6923" s="1">
        <v>1047146</v>
      </c>
    </row>
    <row r="6924" spans="1:11" x14ac:dyDescent="0.25">
      <c r="A6924" t="s">
        <v>326</v>
      </c>
      <c r="B6924" t="s">
        <v>686</v>
      </c>
      <c r="C6924" t="s">
        <v>872</v>
      </c>
      <c r="D6924" t="s">
        <v>14</v>
      </c>
      <c r="E6924">
        <v>5</v>
      </c>
      <c r="F6924" s="2">
        <f>DATE(2026,IF(Tabla1[[#This Row],[Mes de Fecha]]="Septiembre",9,10),Tabla1[[#This Row],[Día de Fecha]])</f>
        <v>46300</v>
      </c>
      <c r="G6924">
        <v>1072394323</v>
      </c>
      <c r="H6924" t="s">
        <v>687</v>
      </c>
      <c r="I6924">
        <v>45</v>
      </c>
      <c r="J6924">
        <v>0</v>
      </c>
      <c r="K6924" s="1">
        <v>2487354</v>
      </c>
    </row>
    <row r="6925" spans="1:11" x14ac:dyDescent="0.25">
      <c r="A6925" t="s">
        <v>326</v>
      </c>
      <c r="B6925" t="s">
        <v>686</v>
      </c>
      <c r="C6925" t="s">
        <v>872</v>
      </c>
      <c r="D6925" t="s">
        <v>14</v>
      </c>
      <c r="E6925">
        <v>5</v>
      </c>
      <c r="F6925" s="2">
        <f>DATE(2026,IF(Tabla1[[#This Row],[Mes de Fecha]]="Septiembre",9,10),Tabla1[[#This Row],[Día de Fecha]])</f>
        <v>46300</v>
      </c>
      <c r="G6925">
        <v>1106394656</v>
      </c>
      <c r="H6925" t="s">
        <v>688</v>
      </c>
      <c r="I6925">
        <v>18</v>
      </c>
      <c r="J6925">
        <v>0</v>
      </c>
      <c r="K6925" s="1">
        <v>1167314</v>
      </c>
    </row>
    <row r="6926" spans="1:11" x14ac:dyDescent="0.25">
      <c r="A6926" t="s">
        <v>326</v>
      </c>
      <c r="B6926" t="s">
        <v>686</v>
      </c>
      <c r="C6926" t="s">
        <v>872</v>
      </c>
      <c r="D6926" t="s">
        <v>14</v>
      </c>
      <c r="E6926">
        <v>5</v>
      </c>
      <c r="F6926" s="2">
        <f>DATE(2026,IF(Tabla1[[#This Row],[Mes de Fecha]]="Septiembre",9,10),Tabla1[[#This Row],[Día de Fecha]])</f>
        <v>46300</v>
      </c>
      <c r="G6926">
        <v>1123059086</v>
      </c>
      <c r="H6926" t="s">
        <v>631</v>
      </c>
      <c r="I6926">
        <v>41</v>
      </c>
      <c r="J6926">
        <v>0</v>
      </c>
      <c r="K6926" s="1">
        <v>2334160</v>
      </c>
    </row>
    <row r="6927" spans="1:11" x14ac:dyDescent="0.25">
      <c r="A6927" t="s">
        <v>326</v>
      </c>
      <c r="B6927" t="s">
        <v>686</v>
      </c>
      <c r="C6927" t="s">
        <v>872</v>
      </c>
      <c r="D6927" t="s">
        <v>14</v>
      </c>
      <c r="E6927">
        <v>6</v>
      </c>
      <c r="F6927" s="2">
        <f>DATE(2026,IF(Tabla1[[#This Row],[Mes de Fecha]]="Septiembre",9,10),Tabla1[[#This Row],[Día de Fecha]])</f>
        <v>46301</v>
      </c>
      <c r="I6927">
        <v>0</v>
      </c>
      <c r="J6927" s="1">
        <v>4880165</v>
      </c>
      <c r="K6927">
        <v>0</v>
      </c>
    </row>
    <row r="6928" spans="1:11" x14ac:dyDescent="0.25">
      <c r="A6928" t="s">
        <v>326</v>
      </c>
      <c r="B6928" t="s">
        <v>686</v>
      </c>
      <c r="C6928" t="s">
        <v>872</v>
      </c>
      <c r="D6928" t="s">
        <v>14</v>
      </c>
      <c r="E6928">
        <v>6</v>
      </c>
      <c r="F6928" s="2">
        <f>DATE(2026,IF(Tabla1[[#This Row],[Mes de Fecha]]="Septiembre",9,10),Tabla1[[#This Row],[Día de Fecha]])</f>
        <v>46301</v>
      </c>
      <c r="G6928">
        <v>1072394323</v>
      </c>
      <c r="H6928" t="s">
        <v>687</v>
      </c>
      <c r="I6928">
        <v>26</v>
      </c>
      <c r="J6928">
        <v>0</v>
      </c>
      <c r="K6928" s="1">
        <v>1494707</v>
      </c>
    </row>
    <row r="6929" spans="1:11" x14ac:dyDescent="0.25">
      <c r="A6929" t="s">
        <v>326</v>
      </c>
      <c r="B6929" t="s">
        <v>686</v>
      </c>
      <c r="C6929" t="s">
        <v>872</v>
      </c>
      <c r="D6929" t="s">
        <v>14</v>
      </c>
      <c r="E6929">
        <v>6</v>
      </c>
      <c r="F6929" s="2">
        <f>DATE(2026,IF(Tabla1[[#This Row],[Mes de Fecha]]="Septiembre",9,10),Tabla1[[#This Row],[Día de Fecha]])</f>
        <v>46301</v>
      </c>
      <c r="G6929">
        <v>1106394656</v>
      </c>
      <c r="H6929" t="s">
        <v>688</v>
      </c>
      <c r="I6929">
        <v>17</v>
      </c>
      <c r="J6929">
        <v>0</v>
      </c>
      <c r="K6929" s="1">
        <v>913027</v>
      </c>
    </row>
    <row r="6930" spans="1:11" x14ac:dyDescent="0.25">
      <c r="A6930" t="s">
        <v>326</v>
      </c>
      <c r="B6930" t="s">
        <v>686</v>
      </c>
      <c r="C6930" t="s">
        <v>872</v>
      </c>
      <c r="D6930" t="s">
        <v>14</v>
      </c>
      <c r="E6930">
        <v>6</v>
      </c>
      <c r="F6930" s="2">
        <f>DATE(2026,IF(Tabla1[[#This Row],[Mes de Fecha]]="Septiembre",9,10),Tabla1[[#This Row],[Día de Fecha]])</f>
        <v>46301</v>
      </c>
      <c r="G6930">
        <v>1123059086</v>
      </c>
      <c r="H6930" t="s">
        <v>631</v>
      </c>
      <c r="I6930">
        <v>23</v>
      </c>
      <c r="J6930">
        <v>0</v>
      </c>
      <c r="K6930" s="1">
        <v>1471725</v>
      </c>
    </row>
    <row r="6931" spans="1:11" x14ac:dyDescent="0.25">
      <c r="A6931" t="s">
        <v>326</v>
      </c>
      <c r="B6931" t="s">
        <v>686</v>
      </c>
      <c r="C6931" t="s">
        <v>872</v>
      </c>
      <c r="D6931" t="s">
        <v>14</v>
      </c>
      <c r="E6931">
        <v>7</v>
      </c>
      <c r="F6931" s="2">
        <f>DATE(2026,IF(Tabla1[[#This Row],[Mes de Fecha]]="Septiembre",9,10),Tabla1[[#This Row],[Día de Fecha]])</f>
        <v>46302</v>
      </c>
      <c r="I6931">
        <v>0</v>
      </c>
      <c r="J6931" s="1">
        <v>4815952</v>
      </c>
      <c r="K6931">
        <v>0</v>
      </c>
    </row>
    <row r="6932" spans="1:11" x14ac:dyDescent="0.25">
      <c r="A6932" t="s">
        <v>326</v>
      </c>
      <c r="B6932" t="s">
        <v>686</v>
      </c>
      <c r="C6932" t="s">
        <v>872</v>
      </c>
      <c r="D6932" t="s">
        <v>14</v>
      </c>
      <c r="E6932">
        <v>7</v>
      </c>
      <c r="F6932" s="2">
        <f>DATE(2026,IF(Tabla1[[#This Row],[Mes de Fecha]]="Septiembre",9,10),Tabla1[[#This Row],[Día de Fecha]])</f>
        <v>46302</v>
      </c>
      <c r="G6932">
        <v>1072394323</v>
      </c>
      <c r="H6932" t="s">
        <v>687</v>
      </c>
      <c r="I6932">
        <v>45</v>
      </c>
      <c r="J6932">
        <v>0</v>
      </c>
      <c r="K6932" s="1">
        <v>2262438</v>
      </c>
    </row>
    <row r="6933" spans="1:11" x14ac:dyDescent="0.25">
      <c r="A6933" t="s">
        <v>326</v>
      </c>
      <c r="B6933" t="s">
        <v>686</v>
      </c>
      <c r="C6933" t="s">
        <v>872</v>
      </c>
      <c r="D6933" t="s">
        <v>14</v>
      </c>
      <c r="E6933">
        <v>7</v>
      </c>
      <c r="F6933" s="2">
        <f>DATE(2026,IF(Tabla1[[#This Row],[Mes de Fecha]]="Septiembre",9,10),Tabla1[[#This Row],[Día de Fecha]])</f>
        <v>46302</v>
      </c>
      <c r="G6933">
        <v>1106394656</v>
      </c>
      <c r="H6933" t="s">
        <v>688</v>
      </c>
      <c r="I6933">
        <v>3</v>
      </c>
      <c r="J6933">
        <v>0</v>
      </c>
      <c r="K6933" s="1">
        <v>159538</v>
      </c>
    </row>
    <row r="6934" spans="1:11" x14ac:dyDescent="0.25">
      <c r="A6934" t="s">
        <v>326</v>
      </c>
      <c r="B6934" t="s">
        <v>686</v>
      </c>
      <c r="C6934" t="s">
        <v>872</v>
      </c>
      <c r="D6934" t="s">
        <v>14</v>
      </c>
      <c r="E6934">
        <v>7</v>
      </c>
      <c r="F6934" s="2">
        <f>DATE(2026,IF(Tabla1[[#This Row],[Mes de Fecha]]="Septiembre",9,10),Tabla1[[#This Row],[Día de Fecha]])</f>
        <v>46302</v>
      </c>
      <c r="G6934">
        <v>1123059086</v>
      </c>
      <c r="H6934" t="s">
        <v>631</v>
      </c>
      <c r="I6934">
        <v>35</v>
      </c>
      <c r="J6934">
        <v>0</v>
      </c>
      <c r="K6934" s="1">
        <v>1987903</v>
      </c>
    </row>
    <row r="6935" spans="1:11" x14ac:dyDescent="0.25">
      <c r="A6935" t="s">
        <v>326</v>
      </c>
      <c r="B6935" t="s">
        <v>776</v>
      </c>
      <c r="C6935" t="s">
        <v>872</v>
      </c>
      <c r="D6935" t="s">
        <v>11</v>
      </c>
      <c r="E6935">
        <v>23</v>
      </c>
      <c r="F6935" s="2">
        <f>DATE(2026,IF(Tabla1[[#This Row],[Mes de Fecha]]="Septiembre",9,10),Tabla1[[#This Row],[Día de Fecha]])</f>
        <v>46288</v>
      </c>
      <c r="I6935">
        <v>0</v>
      </c>
      <c r="J6935" s="1">
        <v>5995227</v>
      </c>
      <c r="K6935">
        <v>0</v>
      </c>
    </row>
    <row r="6936" spans="1:11" x14ac:dyDescent="0.25">
      <c r="A6936" t="s">
        <v>326</v>
      </c>
      <c r="B6936" t="s">
        <v>776</v>
      </c>
      <c r="C6936" t="s">
        <v>872</v>
      </c>
      <c r="D6936" t="s">
        <v>11</v>
      </c>
      <c r="E6936">
        <v>23</v>
      </c>
      <c r="F6936" s="2">
        <f>DATE(2026,IF(Tabla1[[#This Row],[Mes de Fecha]]="Septiembre",9,10),Tabla1[[#This Row],[Día de Fecha]])</f>
        <v>46288</v>
      </c>
      <c r="G6936">
        <v>1019988315</v>
      </c>
      <c r="H6936" t="s">
        <v>779</v>
      </c>
      <c r="I6936">
        <v>15</v>
      </c>
      <c r="J6936">
        <v>0</v>
      </c>
      <c r="K6936" s="1">
        <v>623278</v>
      </c>
    </row>
    <row r="6937" spans="1:11" x14ac:dyDescent="0.25">
      <c r="A6937" t="s">
        <v>326</v>
      </c>
      <c r="B6937" t="s">
        <v>776</v>
      </c>
      <c r="C6937" t="s">
        <v>872</v>
      </c>
      <c r="D6937" t="s">
        <v>11</v>
      </c>
      <c r="E6937">
        <v>23</v>
      </c>
      <c r="F6937" s="2">
        <f>DATE(2026,IF(Tabla1[[#This Row],[Mes de Fecha]]="Septiembre",9,10),Tabla1[[#This Row],[Día de Fecha]])</f>
        <v>46288</v>
      </c>
      <c r="G6937">
        <v>1023005185</v>
      </c>
      <c r="H6937" t="s">
        <v>777</v>
      </c>
      <c r="I6937">
        <v>8</v>
      </c>
      <c r="J6937">
        <v>0</v>
      </c>
      <c r="K6937" s="1">
        <v>449204</v>
      </c>
    </row>
    <row r="6938" spans="1:11" x14ac:dyDescent="0.25">
      <c r="A6938" t="s">
        <v>326</v>
      </c>
      <c r="B6938" t="s">
        <v>776</v>
      </c>
      <c r="C6938" t="s">
        <v>872</v>
      </c>
      <c r="D6938" t="s">
        <v>11</v>
      </c>
      <c r="E6938">
        <v>23</v>
      </c>
      <c r="F6938" s="2">
        <f>DATE(2026,IF(Tabla1[[#This Row],[Mes de Fecha]]="Septiembre",9,10),Tabla1[[#This Row],[Día de Fecha]])</f>
        <v>46288</v>
      </c>
      <c r="G6938">
        <v>1058968780</v>
      </c>
      <c r="H6938" t="s">
        <v>778</v>
      </c>
      <c r="I6938">
        <v>17</v>
      </c>
      <c r="J6938">
        <v>0</v>
      </c>
      <c r="K6938" s="1">
        <v>942353</v>
      </c>
    </row>
    <row r="6939" spans="1:11" x14ac:dyDescent="0.25">
      <c r="A6939" t="s">
        <v>326</v>
      </c>
      <c r="B6939" t="s">
        <v>776</v>
      </c>
      <c r="C6939" t="s">
        <v>872</v>
      </c>
      <c r="D6939" t="s">
        <v>11</v>
      </c>
      <c r="E6939">
        <v>23</v>
      </c>
      <c r="F6939" s="2">
        <f>DATE(2026,IF(Tabla1[[#This Row],[Mes de Fecha]]="Septiembre",9,10),Tabla1[[#This Row],[Día de Fecha]])</f>
        <v>46288</v>
      </c>
      <c r="G6939">
        <v>1122510706</v>
      </c>
      <c r="H6939" t="s">
        <v>780</v>
      </c>
      <c r="I6939">
        <v>9</v>
      </c>
      <c r="J6939">
        <v>0</v>
      </c>
      <c r="K6939" s="1">
        <v>722311</v>
      </c>
    </row>
    <row r="6940" spans="1:11" x14ac:dyDescent="0.25">
      <c r="A6940" t="s">
        <v>326</v>
      </c>
      <c r="B6940" t="s">
        <v>776</v>
      </c>
      <c r="C6940" t="s">
        <v>872</v>
      </c>
      <c r="D6940" t="s">
        <v>11</v>
      </c>
      <c r="E6940">
        <v>24</v>
      </c>
      <c r="F6940" s="2">
        <f>DATE(2026,IF(Tabla1[[#This Row],[Mes de Fecha]]="Septiembre",9,10),Tabla1[[#This Row],[Día de Fecha]])</f>
        <v>46289</v>
      </c>
      <c r="I6940">
        <v>0</v>
      </c>
      <c r="J6940" s="1">
        <v>9158384</v>
      </c>
      <c r="K6940">
        <v>0</v>
      </c>
    </row>
    <row r="6941" spans="1:11" x14ac:dyDescent="0.25">
      <c r="A6941" t="s">
        <v>326</v>
      </c>
      <c r="B6941" t="s">
        <v>776</v>
      </c>
      <c r="C6941" t="s">
        <v>872</v>
      </c>
      <c r="D6941" t="s">
        <v>11</v>
      </c>
      <c r="E6941">
        <v>24</v>
      </c>
      <c r="F6941" s="2">
        <f>DATE(2026,IF(Tabla1[[#This Row],[Mes de Fecha]]="Septiembre",9,10),Tabla1[[#This Row],[Día de Fecha]])</f>
        <v>46289</v>
      </c>
      <c r="G6941">
        <v>1019988315</v>
      </c>
      <c r="H6941" t="s">
        <v>779</v>
      </c>
      <c r="I6941">
        <v>30</v>
      </c>
      <c r="J6941">
        <v>0</v>
      </c>
      <c r="K6941" s="1">
        <v>2141555</v>
      </c>
    </row>
    <row r="6942" spans="1:11" x14ac:dyDescent="0.25">
      <c r="A6942" t="s">
        <v>326</v>
      </c>
      <c r="B6942" t="s">
        <v>776</v>
      </c>
      <c r="C6942" t="s">
        <v>872</v>
      </c>
      <c r="D6942" t="s">
        <v>11</v>
      </c>
      <c r="E6942">
        <v>24</v>
      </c>
      <c r="F6942" s="2">
        <f>DATE(2026,IF(Tabla1[[#This Row],[Mes de Fecha]]="Septiembre",9,10),Tabla1[[#This Row],[Día de Fecha]])</f>
        <v>46289</v>
      </c>
      <c r="G6942">
        <v>1023005185</v>
      </c>
      <c r="H6942" t="s">
        <v>777</v>
      </c>
      <c r="I6942">
        <v>17</v>
      </c>
      <c r="J6942">
        <v>0</v>
      </c>
      <c r="K6942" s="1">
        <v>1125336</v>
      </c>
    </row>
    <row r="6943" spans="1:11" x14ac:dyDescent="0.25">
      <c r="A6943" t="s">
        <v>326</v>
      </c>
      <c r="B6943" t="s">
        <v>776</v>
      </c>
      <c r="C6943" t="s">
        <v>872</v>
      </c>
      <c r="D6943" t="s">
        <v>11</v>
      </c>
      <c r="E6943">
        <v>24</v>
      </c>
      <c r="F6943" s="2">
        <f>DATE(2026,IF(Tabla1[[#This Row],[Mes de Fecha]]="Septiembre",9,10),Tabla1[[#This Row],[Día de Fecha]])</f>
        <v>46289</v>
      </c>
      <c r="G6943">
        <v>1058968780</v>
      </c>
      <c r="H6943" t="s">
        <v>778</v>
      </c>
      <c r="I6943">
        <v>26</v>
      </c>
      <c r="J6943">
        <v>0</v>
      </c>
      <c r="K6943" s="1">
        <v>1612185</v>
      </c>
    </row>
    <row r="6944" spans="1:11" x14ac:dyDescent="0.25">
      <c r="A6944" t="s">
        <v>326</v>
      </c>
      <c r="B6944" t="s">
        <v>776</v>
      </c>
      <c r="C6944" t="s">
        <v>872</v>
      </c>
      <c r="D6944" t="s">
        <v>11</v>
      </c>
      <c r="E6944">
        <v>24</v>
      </c>
      <c r="F6944" s="2">
        <f>DATE(2026,IF(Tabla1[[#This Row],[Mes de Fecha]]="Septiembre",9,10),Tabla1[[#This Row],[Día de Fecha]])</f>
        <v>46289</v>
      </c>
      <c r="G6944">
        <v>1122510706</v>
      </c>
      <c r="H6944" t="s">
        <v>780</v>
      </c>
      <c r="I6944">
        <v>6</v>
      </c>
      <c r="J6944">
        <v>0</v>
      </c>
      <c r="K6944" s="1">
        <v>478739</v>
      </c>
    </row>
    <row r="6945" spans="1:11" x14ac:dyDescent="0.25">
      <c r="A6945" t="s">
        <v>326</v>
      </c>
      <c r="B6945" t="s">
        <v>776</v>
      </c>
      <c r="C6945" t="s">
        <v>872</v>
      </c>
      <c r="D6945" t="s">
        <v>11</v>
      </c>
      <c r="E6945">
        <v>25</v>
      </c>
      <c r="F6945" s="2">
        <f>DATE(2026,IF(Tabla1[[#This Row],[Mes de Fecha]]="Septiembre",9,10),Tabla1[[#This Row],[Día de Fecha]])</f>
        <v>46290</v>
      </c>
      <c r="I6945">
        <v>0</v>
      </c>
      <c r="J6945" s="1">
        <v>9138109</v>
      </c>
      <c r="K6945">
        <v>0</v>
      </c>
    </row>
    <row r="6946" spans="1:11" x14ac:dyDescent="0.25">
      <c r="A6946" t="s">
        <v>326</v>
      </c>
      <c r="B6946" t="s">
        <v>776</v>
      </c>
      <c r="C6946" t="s">
        <v>872</v>
      </c>
      <c r="D6946" t="s">
        <v>11</v>
      </c>
      <c r="E6946">
        <v>25</v>
      </c>
      <c r="F6946" s="2">
        <f>DATE(2026,IF(Tabla1[[#This Row],[Mes de Fecha]]="Septiembre",9,10),Tabla1[[#This Row],[Día de Fecha]])</f>
        <v>46290</v>
      </c>
      <c r="G6946">
        <v>1019988315</v>
      </c>
      <c r="H6946" t="s">
        <v>779</v>
      </c>
      <c r="I6946">
        <v>17</v>
      </c>
      <c r="J6946">
        <v>0</v>
      </c>
      <c r="K6946" s="1">
        <v>1037060</v>
      </c>
    </row>
    <row r="6947" spans="1:11" x14ac:dyDescent="0.25">
      <c r="A6947" t="s">
        <v>326</v>
      </c>
      <c r="B6947" t="s">
        <v>776</v>
      </c>
      <c r="C6947" t="s">
        <v>872</v>
      </c>
      <c r="D6947" t="s">
        <v>11</v>
      </c>
      <c r="E6947">
        <v>25</v>
      </c>
      <c r="F6947" s="2">
        <f>DATE(2026,IF(Tabla1[[#This Row],[Mes de Fecha]]="Septiembre",9,10),Tabla1[[#This Row],[Día de Fecha]])</f>
        <v>46290</v>
      </c>
      <c r="G6947">
        <v>1023005185</v>
      </c>
      <c r="H6947" t="s">
        <v>777</v>
      </c>
      <c r="I6947">
        <v>30</v>
      </c>
      <c r="J6947">
        <v>0</v>
      </c>
      <c r="K6947" s="1">
        <v>2076304</v>
      </c>
    </row>
    <row r="6948" spans="1:11" x14ac:dyDescent="0.25">
      <c r="A6948" t="s">
        <v>326</v>
      </c>
      <c r="B6948" t="s">
        <v>776</v>
      </c>
      <c r="C6948" t="s">
        <v>872</v>
      </c>
      <c r="D6948" t="s">
        <v>11</v>
      </c>
      <c r="E6948">
        <v>25</v>
      </c>
      <c r="F6948" s="2">
        <f>DATE(2026,IF(Tabla1[[#This Row],[Mes de Fecha]]="Septiembre",9,10),Tabla1[[#This Row],[Día de Fecha]])</f>
        <v>46290</v>
      </c>
      <c r="G6948">
        <v>1058968780</v>
      </c>
      <c r="H6948" t="s">
        <v>778</v>
      </c>
      <c r="I6948">
        <v>30</v>
      </c>
      <c r="J6948">
        <v>0</v>
      </c>
      <c r="K6948" s="1">
        <v>1863993</v>
      </c>
    </row>
    <row r="6949" spans="1:11" x14ac:dyDescent="0.25">
      <c r="A6949" t="s">
        <v>326</v>
      </c>
      <c r="B6949" t="s">
        <v>776</v>
      </c>
      <c r="C6949" t="s">
        <v>872</v>
      </c>
      <c r="D6949" t="s">
        <v>11</v>
      </c>
      <c r="E6949">
        <v>25</v>
      </c>
      <c r="F6949" s="2">
        <f>DATE(2026,IF(Tabla1[[#This Row],[Mes de Fecha]]="Septiembre",9,10),Tabla1[[#This Row],[Día de Fecha]])</f>
        <v>46290</v>
      </c>
      <c r="G6949">
        <v>1122510706</v>
      </c>
      <c r="H6949" t="s">
        <v>780</v>
      </c>
      <c r="I6949">
        <v>24</v>
      </c>
      <c r="J6949">
        <v>0</v>
      </c>
      <c r="K6949" s="1">
        <v>1295172</v>
      </c>
    </row>
    <row r="6950" spans="1:11" x14ac:dyDescent="0.25">
      <c r="A6950" t="s">
        <v>326</v>
      </c>
      <c r="B6950" t="s">
        <v>776</v>
      </c>
      <c r="C6950" t="s">
        <v>872</v>
      </c>
      <c r="D6950" t="s">
        <v>11</v>
      </c>
      <c r="E6950">
        <v>26</v>
      </c>
      <c r="F6950" s="2">
        <f>DATE(2026,IF(Tabla1[[#This Row],[Mes de Fecha]]="Septiembre",9,10),Tabla1[[#This Row],[Día de Fecha]])</f>
        <v>46291</v>
      </c>
      <c r="I6950">
        <v>0</v>
      </c>
      <c r="J6950" s="1">
        <v>13132775</v>
      </c>
      <c r="K6950">
        <v>0</v>
      </c>
    </row>
    <row r="6951" spans="1:11" x14ac:dyDescent="0.25">
      <c r="A6951" t="s">
        <v>326</v>
      </c>
      <c r="B6951" t="s">
        <v>776</v>
      </c>
      <c r="C6951" t="s">
        <v>872</v>
      </c>
      <c r="D6951" t="s">
        <v>11</v>
      </c>
      <c r="E6951">
        <v>26</v>
      </c>
      <c r="F6951" s="2">
        <f>DATE(2026,IF(Tabla1[[#This Row],[Mes de Fecha]]="Septiembre",9,10),Tabla1[[#This Row],[Día de Fecha]])</f>
        <v>46291</v>
      </c>
      <c r="G6951">
        <v>1019988315</v>
      </c>
      <c r="H6951" t="s">
        <v>779</v>
      </c>
      <c r="I6951">
        <v>34</v>
      </c>
      <c r="J6951">
        <v>0</v>
      </c>
      <c r="K6951" s="1">
        <v>1992144</v>
      </c>
    </row>
    <row r="6952" spans="1:11" x14ac:dyDescent="0.25">
      <c r="A6952" t="s">
        <v>326</v>
      </c>
      <c r="B6952" t="s">
        <v>776</v>
      </c>
      <c r="C6952" t="s">
        <v>872</v>
      </c>
      <c r="D6952" t="s">
        <v>11</v>
      </c>
      <c r="E6952">
        <v>26</v>
      </c>
      <c r="F6952" s="2">
        <f>DATE(2026,IF(Tabla1[[#This Row],[Mes de Fecha]]="Septiembre",9,10),Tabla1[[#This Row],[Día de Fecha]])</f>
        <v>46291</v>
      </c>
      <c r="G6952">
        <v>1023005185</v>
      </c>
      <c r="H6952" t="s">
        <v>777</v>
      </c>
      <c r="I6952">
        <v>46</v>
      </c>
      <c r="J6952">
        <v>0</v>
      </c>
      <c r="K6952" s="1">
        <v>2901138</v>
      </c>
    </row>
    <row r="6953" spans="1:11" x14ac:dyDescent="0.25">
      <c r="A6953" t="s">
        <v>326</v>
      </c>
      <c r="B6953" t="s">
        <v>776</v>
      </c>
      <c r="C6953" t="s">
        <v>872</v>
      </c>
      <c r="D6953" t="s">
        <v>11</v>
      </c>
      <c r="E6953">
        <v>26</v>
      </c>
      <c r="F6953" s="2">
        <f>DATE(2026,IF(Tabla1[[#This Row],[Mes de Fecha]]="Septiembre",9,10),Tabla1[[#This Row],[Día de Fecha]])</f>
        <v>46291</v>
      </c>
      <c r="G6953">
        <v>1058968780</v>
      </c>
      <c r="H6953" t="s">
        <v>778</v>
      </c>
      <c r="I6953">
        <v>18</v>
      </c>
      <c r="J6953">
        <v>0</v>
      </c>
      <c r="K6953" s="1">
        <v>814118</v>
      </c>
    </row>
    <row r="6954" spans="1:11" x14ac:dyDescent="0.25">
      <c r="A6954" t="s">
        <v>326</v>
      </c>
      <c r="B6954" t="s">
        <v>776</v>
      </c>
      <c r="C6954" t="s">
        <v>872</v>
      </c>
      <c r="D6954" t="s">
        <v>11</v>
      </c>
      <c r="E6954">
        <v>26</v>
      </c>
      <c r="F6954" s="2">
        <f>DATE(2026,IF(Tabla1[[#This Row],[Mes de Fecha]]="Septiembre",9,10),Tabla1[[#This Row],[Día de Fecha]])</f>
        <v>46291</v>
      </c>
      <c r="G6954">
        <v>1122510706</v>
      </c>
      <c r="H6954" t="s">
        <v>780</v>
      </c>
      <c r="I6954">
        <v>48</v>
      </c>
      <c r="J6954">
        <v>0</v>
      </c>
      <c r="K6954" s="1">
        <v>2543741</v>
      </c>
    </row>
    <row r="6955" spans="1:11" x14ac:dyDescent="0.25">
      <c r="A6955" t="s">
        <v>326</v>
      </c>
      <c r="B6955" t="s">
        <v>776</v>
      </c>
      <c r="C6955" t="s">
        <v>872</v>
      </c>
      <c r="D6955" t="s">
        <v>11</v>
      </c>
      <c r="E6955">
        <v>27</v>
      </c>
      <c r="F6955" s="2">
        <f>DATE(2026,IF(Tabla1[[#This Row],[Mes de Fecha]]="Septiembre",9,10),Tabla1[[#This Row],[Día de Fecha]])</f>
        <v>46292</v>
      </c>
      <c r="I6955">
        <v>0</v>
      </c>
      <c r="J6955" s="1">
        <v>10403801</v>
      </c>
      <c r="K6955">
        <v>0</v>
      </c>
    </row>
    <row r="6956" spans="1:11" x14ac:dyDescent="0.25">
      <c r="A6956" t="s">
        <v>326</v>
      </c>
      <c r="B6956" t="s">
        <v>776</v>
      </c>
      <c r="C6956" t="s">
        <v>872</v>
      </c>
      <c r="D6956" t="s">
        <v>11</v>
      </c>
      <c r="E6956">
        <v>27</v>
      </c>
      <c r="F6956" s="2">
        <f>DATE(2026,IF(Tabla1[[#This Row],[Mes de Fecha]]="Septiembre",9,10),Tabla1[[#This Row],[Día de Fecha]])</f>
        <v>46292</v>
      </c>
      <c r="G6956">
        <v>1019988315</v>
      </c>
      <c r="H6956" t="s">
        <v>779</v>
      </c>
      <c r="I6956">
        <v>30</v>
      </c>
      <c r="J6956">
        <v>0</v>
      </c>
      <c r="K6956" s="1">
        <v>1933363</v>
      </c>
    </row>
    <row r="6957" spans="1:11" x14ac:dyDescent="0.25">
      <c r="A6957" t="s">
        <v>326</v>
      </c>
      <c r="B6957" t="s">
        <v>776</v>
      </c>
      <c r="C6957" t="s">
        <v>872</v>
      </c>
      <c r="D6957" t="s">
        <v>11</v>
      </c>
      <c r="E6957">
        <v>27</v>
      </c>
      <c r="F6957" s="2">
        <f>DATE(2026,IF(Tabla1[[#This Row],[Mes de Fecha]]="Septiembre",9,10),Tabla1[[#This Row],[Día de Fecha]])</f>
        <v>46292</v>
      </c>
      <c r="G6957">
        <v>1023005185</v>
      </c>
      <c r="H6957" t="s">
        <v>777</v>
      </c>
      <c r="I6957">
        <v>31</v>
      </c>
      <c r="J6957">
        <v>0</v>
      </c>
      <c r="K6957" s="1">
        <v>2112102</v>
      </c>
    </row>
    <row r="6958" spans="1:11" x14ac:dyDescent="0.25">
      <c r="A6958" t="s">
        <v>326</v>
      </c>
      <c r="B6958" t="s">
        <v>776</v>
      </c>
      <c r="C6958" t="s">
        <v>872</v>
      </c>
      <c r="D6958" t="s">
        <v>11</v>
      </c>
      <c r="E6958">
        <v>27</v>
      </c>
      <c r="F6958" s="2">
        <f>DATE(2026,IF(Tabla1[[#This Row],[Mes de Fecha]]="Septiembre",9,10),Tabla1[[#This Row],[Día de Fecha]])</f>
        <v>46292</v>
      </c>
      <c r="G6958">
        <v>1058968780</v>
      </c>
      <c r="H6958" t="s">
        <v>778</v>
      </c>
      <c r="I6958">
        <v>43</v>
      </c>
      <c r="J6958">
        <v>0</v>
      </c>
      <c r="K6958" s="1">
        <v>1720589</v>
      </c>
    </row>
    <row r="6959" spans="1:11" x14ac:dyDescent="0.25">
      <c r="A6959" t="s">
        <v>326</v>
      </c>
      <c r="B6959" t="s">
        <v>776</v>
      </c>
      <c r="C6959" t="s">
        <v>872</v>
      </c>
      <c r="D6959" t="s">
        <v>11</v>
      </c>
      <c r="E6959">
        <v>27</v>
      </c>
      <c r="F6959" s="2">
        <f>DATE(2026,IF(Tabla1[[#This Row],[Mes de Fecha]]="Septiembre",9,10),Tabla1[[#This Row],[Día de Fecha]])</f>
        <v>46292</v>
      </c>
      <c r="G6959">
        <v>1122510706</v>
      </c>
      <c r="H6959" t="s">
        <v>780</v>
      </c>
      <c r="I6959">
        <v>42</v>
      </c>
      <c r="J6959">
        <v>0</v>
      </c>
      <c r="K6959" s="1">
        <v>2653364</v>
      </c>
    </row>
    <row r="6960" spans="1:11" x14ac:dyDescent="0.25">
      <c r="A6960" t="s">
        <v>326</v>
      </c>
      <c r="B6960" t="s">
        <v>776</v>
      </c>
      <c r="C6960" t="s">
        <v>872</v>
      </c>
      <c r="D6960" t="s">
        <v>11</v>
      </c>
      <c r="E6960">
        <v>28</v>
      </c>
      <c r="F6960" s="2">
        <f>DATE(2026,IF(Tabla1[[#This Row],[Mes de Fecha]]="Septiembre",9,10),Tabla1[[#This Row],[Día de Fecha]])</f>
        <v>46293</v>
      </c>
      <c r="I6960">
        <v>0</v>
      </c>
      <c r="J6960" s="1">
        <v>5725825</v>
      </c>
      <c r="K6960">
        <v>0</v>
      </c>
    </row>
    <row r="6961" spans="1:11" x14ac:dyDescent="0.25">
      <c r="A6961" t="s">
        <v>326</v>
      </c>
      <c r="B6961" t="s">
        <v>776</v>
      </c>
      <c r="C6961" t="s">
        <v>872</v>
      </c>
      <c r="D6961" t="s">
        <v>11</v>
      </c>
      <c r="E6961">
        <v>28</v>
      </c>
      <c r="F6961" s="2">
        <f>DATE(2026,IF(Tabla1[[#This Row],[Mes de Fecha]]="Septiembre",9,10),Tabla1[[#This Row],[Día de Fecha]])</f>
        <v>46293</v>
      </c>
      <c r="G6961">
        <v>1019988315</v>
      </c>
      <c r="H6961" t="s">
        <v>779</v>
      </c>
      <c r="I6961">
        <v>14</v>
      </c>
      <c r="J6961">
        <v>0</v>
      </c>
      <c r="K6961" s="1">
        <v>1125337</v>
      </c>
    </row>
    <row r="6962" spans="1:11" x14ac:dyDescent="0.25">
      <c r="A6962" t="s">
        <v>326</v>
      </c>
      <c r="B6962" t="s">
        <v>776</v>
      </c>
      <c r="C6962" t="s">
        <v>872</v>
      </c>
      <c r="D6962" t="s">
        <v>11</v>
      </c>
      <c r="E6962">
        <v>28</v>
      </c>
      <c r="F6962" s="2">
        <f>DATE(2026,IF(Tabla1[[#This Row],[Mes de Fecha]]="Septiembre",9,10),Tabla1[[#This Row],[Día de Fecha]])</f>
        <v>46293</v>
      </c>
      <c r="G6962">
        <v>1023005185</v>
      </c>
      <c r="H6962" t="s">
        <v>777</v>
      </c>
      <c r="I6962">
        <v>16</v>
      </c>
      <c r="J6962">
        <v>0</v>
      </c>
      <c r="K6962" s="1">
        <v>1268068</v>
      </c>
    </row>
    <row r="6963" spans="1:11" x14ac:dyDescent="0.25">
      <c r="A6963" t="s">
        <v>326</v>
      </c>
      <c r="B6963" t="s">
        <v>776</v>
      </c>
      <c r="C6963" t="s">
        <v>872</v>
      </c>
      <c r="D6963" t="s">
        <v>11</v>
      </c>
      <c r="E6963">
        <v>28</v>
      </c>
      <c r="F6963" s="2">
        <f>DATE(2026,IF(Tabla1[[#This Row],[Mes de Fecha]]="Septiembre",9,10),Tabla1[[#This Row],[Día de Fecha]])</f>
        <v>46293</v>
      </c>
      <c r="G6963">
        <v>1058968780</v>
      </c>
      <c r="H6963" t="s">
        <v>778</v>
      </c>
      <c r="I6963">
        <v>-1</v>
      </c>
      <c r="J6963">
        <v>0</v>
      </c>
      <c r="K6963" s="1">
        <v>-130210</v>
      </c>
    </row>
    <row r="6964" spans="1:11" x14ac:dyDescent="0.25">
      <c r="A6964" t="s">
        <v>326</v>
      </c>
      <c r="B6964" t="s">
        <v>776</v>
      </c>
      <c r="C6964" t="s">
        <v>872</v>
      </c>
      <c r="D6964" t="s">
        <v>11</v>
      </c>
      <c r="E6964">
        <v>28</v>
      </c>
      <c r="F6964" s="2">
        <f>DATE(2026,IF(Tabla1[[#This Row],[Mes de Fecha]]="Septiembre",9,10),Tabla1[[#This Row],[Día de Fecha]])</f>
        <v>46293</v>
      </c>
      <c r="G6964">
        <v>1122510706</v>
      </c>
      <c r="H6964" t="s">
        <v>780</v>
      </c>
      <c r="I6964">
        <v>21</v>
      </c>
      <c r="J6964">
        <v>0</v>
      </c>
      <c r="K6964" s="1">
        <v>1263824</v>
      </c>
    </row>
    <row r="6965" spans="1:11" x14ac:dyDescent="0.25">
      <c r="A6965" t="s">
        <v>326</v>
      </c>
      <c r="B6965" t="s">
        <v>776</v>
      </c>
      <c r="C6965" t="s">
        <v>872</v>
      </c>
      <c r="D6965" t="s">
        <v>11</v>
      </c>
      <c r="E6965">
        <v>29</v>
      </c>
      <c r="F6965" s="2">
        <f>DATE(2026,IF(Tabla1[[#This Row],[Mes de Fecha]]="Septiembre",9,10),Tabla1[[#This Row],[Día de Fecha]])</f>
        <v>46294</v>
      </c>
      <c r="I6965">
        <v>0</v>
      </c>
      <c r="J6965" s="1">
        <v>6116303</v>
      </c>
      <c r="K6965">
        <v>0</v>
      </c>
    </row>
    <row r="6966" spans="1:11" x14ac:dyDescent="0.25">
      <c r="A6966" t="s">
        <v>326</v>
      </c>
      <c r="B6966" t="s">
        <v>776</v>
      </c>
      <c r="C6966" t="s">
        <v>872</v>
      </c>
      <c r="D6966" t="s">
        <v>11</v>
      </c>
      <c r="E6966">
        <v>29</v>
      </c>
      <c r="F6966" s="2">
        <f>DATE(2026,IF(Tabla1[[#This Row],[Mes de Fecha]]="Septiembre",9,10),Tabla1[[#This Row],[Día de Fecha]])</f>
        <v>46294</v>
      </c>
      <c r="G6966">
        <v>1019988315</v>
      </c>
      <c r="H6966" t="s">
        <v>779</v>
      </c>
      <c r="I6966">
        <v>33</v>
      </c>
      <c r="J6966">
        <v>0</v>
      </c>
      <c r="K6966" s="1">
        <v>2334665</v>
      </c>
    </row>
    <row r="6967" spans="1:11" x14ac:dyDescent="0.25">
      <c r="A6967" t="s">
        <v>326</v>
      </c>
      <c r="B6967" t="s">
        <v>776</v>
      </c>
      <c r="C6967" t="s">
        <v>872</v>
      </c>
      <c r="D6967" t="s">
        <v>11</v>
      </c>
      <c r="E6967">
        <v>29</v>
      </c>
      <c r="F6967" s="2">
        <f>DATE(2026,IF(Tabla1[[#This Row],[Mes de Fecha]]="Septiembre",9,10),Tabla1[[#This Row],[Día de Fecha]])</f>
        <v>46294</v>
      </c>
      <c r="G6967">
        <v>1023005185</v>
      </c>
      <c r="H6967" t="s">
        <v>777</v>
      </c>
      <c r="I6967">
        <v>3</v>
      </c>
      <c r="J6967">
        <v>0</v>
      </c>
      <c r="K6967" s="1">
        <v>289790</v>
      </c>
    </row>
    <row r="6968" spans="1:11" x14ac:dyDescent="0.25">
      <c r="A6968" t="s">
        <v>326</v>
      </c>
      <c r="B6968" t="s">
        <v>776</v>
      </c>
      <c r="C6968" t="s">
        <v>872</v>
      </c>
      <c r="D6968" t="s">
        <v>11</v>
      </c>
      <c r="E6968">
        <v>29</v>
      </c>
      <c r="F6968" s="2">
        <f>DATE(2026,IF(Tabla1[[#This Row],[Mes de Fecha]]="Septiembre",9,10),Tabla1[[#This Row],[Día de Fecha]])</f>
        <v>46294</v>
      </c>
      <c r="G6968">
        <v>1122510706</v>
      </c>
      <c r="H6968" t="s">
        <v>780</v>
      </c>
      <c r="I6968">
        <v>21</v>
      </c>
      <c r="J6968">
        <v>0</v>
      </c>
      <c r="K6968" s="1">
        <v>1343615</v>
      </c>
    </row>
    <row r="6969" spans="1:11" x14ac:dyDescent="0.25">
      <c r="A6969" t="s">
        <v>326</v>
      </c>
      <c r="B6969" t="s">
        <v>776</v>
      </c>
      <c r="C6969" t="s">
        <v>872</v>
      </c>
      <c r="D6969" t="s">
        <v>11</v>
      </c>
      <c r="E6969">
        <v>30</v>
      </c>
      <c r="F6969" s="2">
        <f>DATE(2026,IF(Tabla1[[#This Row],[Mes de Fecha]]="Septiembre",9,10),Tabla1[[#This Row],[Día de Fecha]])</f>
        <v>46295</v>
      </c>
      <c r="I6969">
        <v>0</v>
      </c>
      <c r="J6969" s="1">
        <v>6318249</v>
      </c>
      <c r="K6969">
        <v>0</v>
      </c>
    </row>
    <row r="6970" spans="1:11" x14ac:dyDescent="0.25">
      <c r="A6970" t="s">
        <v>326</v>
      </c>
      <c r="B6970" t="s">
        <v>776</v>
      </c>
      <c r="C6970" t="s">
        <v>872</v>
      </c>
      <c r="D6970" t="s">
        <v>11</v>
      </c>
      <c r="E6970">
        <v>30</v>
      </c>
      <c r="F6970" s="2">
        <f>DATE(2026,IF(Tabla1[[#This Row],[Mes de Fecha]]="Septiembre",9,10),Tabla1[[#This Row],[Día de Fecha]])</f>
        <v>46295</v>
      </c>
      <c r="G6970">
        <v>1019988315</v>
      </c>
      <c r="H6970" t="s">
        <v>779</v>
      </c>
      <c r="I6970">
        <v>30</v>
      </c>
      <c r="J6970">
        <v>0</v>
      </c>
      <c r="K6970" s="1">
        <v>1649793</v>
      </c>
    </row>
    <row r="6971" spans="1:11" x14ac:dyDescent="0.25">
      <c r="A6971" t="s">
        <v>326</v>
      </c>
      <c r="B6971" t="s">
        <v>776</v>
      </c>
      <c r="C6971" t="s">
        <v>872</v>
      </c>
      <c r="D6971" t="s">
        <v>11</v>
      </c>
      <c r="E6971">
        <v>30</v>
      </c>
      <c r="F6971" s="2">
        <f>DATE(2026,IF(Tabla1[[#This Row],[Mes de Fecha]]="Septiembre",9,10),Tabla1[[#This Row],[Día de Fecha]])</f>
        <v>46295</v>
      </c>
      <c r="G6971">
        <v>1023005185</v>
      </c>
      <c r="H6971" t="s">
        <v>777</v>
      </c>
      <c r="I6971">
        <v>2</v>
      </c>
      <c r="J6971">
        <v>0</v>
      </c>
      <c r="K6971" s="1">
        <v>125925</v>
      </c>
    </row>
    <row r="6972" spans="1:11" x14ac:dyDescent="0.25">
      <c r="A6972" t="s">
        <v>326</v>
      </c>
      <c r="B6972" t="s">
        <v>776</v>
      </c>
      <c r="C6972" t="s">
        <v>872</v>
      </c>
      <c r="D6972" t="s">
        <v>11</v>
      </c>
      <c r="E6972">
        <v>30</v>
      </c>
      <c r="F6972" s="2">
        <f>DATE(2026,IF(Tabla1[[#This Row],[Mes de Fecha]]="Septiembre",9,10),Tabla1[[#This Row],[Día de Fecha]])</f>
        <v>46295</v>
      </c>
      <c r="G6972">
        <v>1058968780</v>
      </c>
      <c r="H6972" t="s">
        <v>778</v>
      </c>
      <c r="I6972">
        <v>3</v>
      </c>
      <c r="J6972">
        <v>0</v>
      </c>
      <c r="K6972" s="1">
        <v>138487</v>
      </c>
    </row>
    <row r="6973" spans="1:11" x14ac:dyDescent="0.25">
      <c r="A6973" t="s">
        <v>326</v>
      </c>
      <c r="B6973" t="s">
        <v>776</v>
      </c>
      <c r="C6973" t="s">
        <v>872</v>
      </c>
      <c r="D6973" t="s">
        <v>11</v>
      </c>
      <c r="E6973">
        <v>30</v>
      </c>
      <c r="F6973" s="2">
        <f>DATE(2026,IF(Tabla1[[#This Row],[Mes de Fecha]]="Septiembre",9,10),Tabla1[[#This Row],[Día de Fecha]])</f>
        <v>46295</v>
      </c>
      <c r="G6973">
        <v>1122510706</v>
      </c>
      <c r="H6973" t="s">
        <v>780</v>
      </c>
      <c r="I6973">
        <v>15</v>
      </c>
      <c r="J6973">
        <v>0</v>
      </c>
      <c r="K6973" s="1">
        <v>911051</v>
      </c>
    </row>
    <row r="6974" spans="1:11" x14ac:dyDescent="0.25">
      <c r="A6974" t="s">
        <v>326</v>
      </c>
      <c r="B6974" t="s">
        <v>776</v>
      </c>
      <c r="C6974" t="s">
        <v>872</v>
      </c>
      <c r="D6974" t="s">
        <v>14</v>
      </c>
      <c r="E6974">
        <v>1</v>
      </c>
      <c r="F6974" s="2">
        <f>DATE(2026,IF(Tabla1[[#This Row],[Mes de Fecha]]="Septiembre",9,10),Tabla1[[#This Row],[Día de Fecha]])</f>
        <v>46296</v>
      </c>
      <c r="I6974">
        <v>0</v>
      </c>
      <c r="J6974" s="1">
        <v>7079880</v>
      </c>
      <c r="K6974">
        <v>0</v>
      </c>
    </row>
    <row r="6975" spans="1:11" x14ac:dyDescent="0.25">
      <c r="A6975" t="s">
        <v>326</v>
      </c>
      <c r="B6975" t="s">
        <v>776</v>
      </c>
      <c r="C6975" t="s">
        <v>872</v>
      </c>
      <c r="D6975" t="s">
        <v>14</v>
      </c>
      <c r="E6975">
        <v>1</v>
      </c>
      <c r="F6975" s="2">
        <f>DATE(2026,IF(Tabla1[[#This Row],[Mes de Fecha]]="Septiembre",9,10),Tabla1[[#This Row],[Día de Fecha]])</f>
        <v>46296</v>
      </c>
      <c r="G6975">
        <v>1019988315</v>
      </c>
      <c r="H6975" t="s">
        <v>779</v>
      </c>
      <c r="I6975">
        <v>16</v>
      </c>
      <c r="J6975">
        <v>0</v>
      </c>
      <c r="K6975" s="1">
        <v>902689</v>
      </c>
    </row>
    <row r="6976" spans="1:11" x14ac:dyDescent="0.25">
      <c r="A6976" t="s">
        <v>326</v>
      </c>
      <c r="B6976" t="s">
        <v>776</v>
      </c>
      <c r="C6976" t="s">
        <v>872</v>
      </c>
      <c r="D6976" t="s">
        <v>14</v>
      </c>
      <c r="E6976">
        <v>1</v>
      </c>
      <c r="F6976" s="2">
        <f>DATE(2026,IF(Tabla1[[#This Row],[Mes de Fecha]]="Septiembre",9,10),Tabla1[[#This Row],[Día de Fecha]])</f>
        <v>46296</v>
      </c>
      <c r="G6976">
        <v>1023005185</v>
      </c>
      <c r="H6976" t="s">
        <v>777</v>
      </c>
      <c r="I6976">
        <v>12</v>
      </c>
      <c r="J6976">
        <v>0</v>
      </c>
      <c r="K6976" s="1">
        <v>746841</v>
      </c>
    </row>
    <row r="6977" spans="1:11" x14ac:dyDescent="0.25">
      <c r="A6977" t="s">
        <v>326</v>
      </c>
      <c r="B6977" t="s">
        <v>776</v>
      </c>
      <c r="C6977" t="s">
        <v>872</v>
      </c>
      <c r="D6977" t="s">
        <v>14</v>
      </c>
      <c r="E6977">
        <v>1</v>
      </c>
      <c r="F6977" s="2">
        <f>DATE(2026,IF(Tabla1[[#This Row],[Mes de Fecha]]="Septiembre",9,10),Tabla1[[#This Row],[Día de Fecha]])</f>
        <v>46296</v>
      </c>
      <c r="G6977">
        <v>1058968780</v>
      </c>
      <c r="H6977" t="s">
        <v>778</v>
      </c>
      <c r="I6977">
        <v>10</v>
      </c>
      <c r="J6977">
        <v>0</v>
      </c>
      <c r="K6977" s="1">
        <v>629707</v>
      </c>
    </row>
    <row r="6978" spans="1:11" x14ac:dyDescent="0.25">
      <c r="A6978" t="s">
        <v>326</v>
      </c>
      <c r="B6978" t="s">
        <v>776</v>
      </c>
      <c r="C6978" t="s">
        <v>872</v>
      </c>
      <c r="D6978" t="s">
        <v>14</v>
      </c>
      <c r="E6978">
        <v>1</v>
      </c>
      <c r="F6978" s="2">
        <f>DATE(2026,IF(Tabla1[[#This Row],[Mes de Fecha]]="Septiembre",9,10),Tabla1[[#This Row],[Día de Fecha]])</f>
        <v>46296</v>
      </c>
      <c r="G6978">
        <v>1122510706</v>
      </c>
      <c r="H6978" t="s">
        <v>780</v>
      </c>
      <c r="I6978">
        <v>9</v>
      </c>
      <c r="J6978">
        <v>0</v>
      </c>
      <c r="K6978" s="1">
        <v>709707</v>
      </c>
    </row>
    <row r="6979" spans="1:11" x14ac:dyDescent="0.25">
      <c r="A6979" t="s">
        <v>326</v>
      </c>
      <c r="B6979" t="s">
        <v>776</v>
      </c>
      <c r="C6979" t="s">
        <v>872</v>
      </c>
      <c r="D6979" t="s">
        <v>14</v>
      </c>
      <c r="E6979">
        <v>2</v>
      </c>
      <c r="F6979" s="2">
        <f>DATE(2026,IF(Tabla1[[#This Row],[Mes de Fecha]]="Septiembre",9,10),Tabla1[[#This Row],[Día de Fecha]])</f>
        <v>46297</v>
      </c>
      <c r="I6979">
        <v>0</v>
      </c>
      <c r="J6979" s="1">
        <v>7663272</v>
      </c>
      <c r="K6979">
        <v>0</v>
      </c>
    </row>
    <row r="6980" spans="1:11" x14ac:dyDescent="0.25">
      <c r="A6980" t="s">
        <v>326</v>
      </c>
      <c r="B6980" t="s">
        <v>776</v>
      </c>
      <c r="C6980" t="s">
        <v>872</v>
      </c>
      <c r="D6980" t="s">
        <v>14</v>
      </c>
      <c r="E6980">
        <v>2</v>
      </c>
      <c r="F6980" s="2">
        <f>DATE(2026,IF(Tabla1[[#This Row],[Mes de Fecha]]="Septiembre",9,10),Tabla1[[#This Row],[Día de Fecha]])</f>
        <v>46297</v>
      </c>
      <c r="G6980">
        <v>1019988315</v>
      </c>
      <c r="H6980" t="s">
        <v>779</v>
      </c>
      <c r="I6980">
        <v>31</v>
      </c>
      <c r="J6980">
        <v>0</v>
      </c>
      <c r="K6980" s="1">
        <v>2179328</v>
      </c>
    </row>
    <row r="6981" spans="1:11" x14ac:dyDescent="0.25">
      <c r="A6981" t="s">
        <v>326</v>
      </c>
      <c r="B6981" t="s">
        <v>776</v>
      </c>
      <c r="C6981" t="s">
        <v>872</v>
      </c>
      <c r="D6981" t="s">
        <v>14</v>
      </c>
      <c r="E6981">
        <v>2</v>
      </c>
      <c r="F6981" s="2">
        <f>DATE(2026,IF(Tabla1[[#This Row],[Mes de Fecha]]="Septiembre",9,10),Tabla1[[#This Row],[Día de Fecha]])</f>
        <v>46297</v>
      </c>
      <c r="G6981">
        <v>1023005185</v>
      </c>
      <c r="H6981" t="s">
        <v>777</v>
      </c>
      <c r="I6981">
        <v>46</v>
      </c>
      <c r="J6981">
        <v>0</v>
      </c>
      <c r="K6981" s="1">
        <v>2502184</v>
      </c>
    </row>
    <row r="6982" spans="1:11" x14ac:dyDescent="0.25">
      <c r="A6982" t="s">
        <v>326</v>
      </c>
      <c r="B6982" t="s">
        <v>776</v>
      </c>
      <c r="C6982" t="s">
        <v>872</v>
      </c>
      <c r="D6982" t="s">
        <v>14</v>
      </c>
      <c r="E6982">
        <v>2</v>
      </c>
      <c r="F6982" s="2">
        <f>DATE(2026,IF(Tabla1[[#This Row],[Mes de Fecha]]="Septiembre",9,10),Tabla1[[#This Row],[Día de Fecha]])</f>
        <v>46297</v>
      </c>
      <c r="G6982">
        <v>1058968780</v>
      </c>
      <c r="H6982" t="s">
        <v>778</v>
      </c>
      <c r="I6982">
        <v>48</v>
      </c>
      <c r="J6982">
        <v>0</v>
      </c>
      <c r="K6982" s="1">
        <v>2526754</v>
      </c>
    </row>
    <row r="6983" spans="1:11" x14ac:dyDescent="0.25">
      <c r="A6983" t="s">
        <v>326</v>
      </c>
      <c r="B6983" t="s">
        <v>776</v>
      </c>
      <c r="C6983" t="s">
        <v>872</v>
      </c>
      <c r="D6983" t="s">
        <v>14</v>
      </c>
      <c r="E6983">
        <v>2</v>
      </c>
      <c r="F6983" s="2">
        <f>DATE(2026,IF(Tabla1[[#This Row],[Mes de Fecha]]="Septiembre",9,10),Tabla1[[#This Row],[Día de Fecha]])</f>
        <v>46297</v>
      </c>
      <c r="G6983">
        <v>1122510706</v>
      </c>
      <c r="H6983" t="s">
        <v>780</v>
      </c>
      <c r="I6983">
        <v>13</v>
      </c>
      <c r="J6983">
        <v>0</v>
      </c>
      <c r="K6983" s="1">
        <v>873405</v>
      </c>
    </row>
    <row r="6984" spans="1:11" x14ac:dyDescent="0.25">
      <c r="A6984" t="s">
        <v>326</v>
      </c>
      <c r="B6984" t="s">
        <v>776</v>
      </c>
      <c r="C6984" t="s">
        <v>872</v>
      </c>
      <c r="D6984" t="s">
        <v>14</v>
      </c>
      <c r="E6984">
        <v>3</v>
      </c>
      <c r="F6984" s="2">
        <f>DATE(2026,IF(Tabla1[[#This Row],[Mes de Fecha]]="Septiembre",9,10),Tabla1[[#This Row],[Día de Fecha]])</f>
        <v>46298</v>
      </c>
      <c r="I6984">
        <v>0</v>
      </c>
      <c r="J6984" s="1">
        <v>10522466</v>
      </c>
      <c r="K6984">
        <v>0</v>
      </c>
    </row>
    <row r="6985" spans="1:11" x14ac:dyDescent="0.25">
      <c r="A6985" t="s">
        <v>326</v>
      </c>
      <c r="B6985" t="s">
        <v>776</v>
      </c>
      <c r="C6985" t="s">
        <v>872</v>
      </c>
      <c r="D6985" t="s">
        <v>14</v>
      </c>
      <c r="E6985">
        <v>3</v>
      </c>
      <c r="F6985" s="2">
        <f>DATE(2026,IF(Tabla1[[#This Row],[Mes de Fecha]]="Septiembre",9,10),Tabla1[[#This Row],[Día de Fecha]])</f>
        <v>46298</v>
      </c>
      <c r="G6985">
        <v>1019988315</v>
      </c>
      <c r="H6985" t="s">
        <v>779</v>
      </c>
      <c r="I6985">
        <v>66</v>
      </c>
      <c r="J6985">
        <v>0</v>
      </c>
      <c r="K6985" s="1">
        <v>3335902</v>
      </c>
    </row>
    <row r="6986" spans="1:11" x14ac:dyDescent="0.25">
      <c r="A6986" t="s">
        <v>326</v>
      </c>
      <c r="B6986" t="s">
        <v>776</v>
      </c>
      <c r="C6986" t="s">
        <v>872</v>
      </c>
      <c r="D6986" t="s">
        <v>14</v>
      </c>
      <c r="E6986">
        <v>3</v>
      </c>
      <c r="F6986" s="2">
        <f>DATE(2026,IF(Tabla1[[#This Row],[Mes de Fecha]]="Septiembre",9,10),Tabla1[[#This Row],[Día de Fecha]])</f>
        <v>46298</v>
      </c>
      <c r="G6986">
        <v>1023005185</v>
      </c>
      <c r="H6986" t="s">
        <v>777</v>
      </c>
      <c r="I6986">
        <v>52</v>
      </c>
      <c r="J6986">
        <v>0</v>
      </c>
      <c r="K6986" s="1">
        <v>3339992</v>
      </c>
    </row>
    <row r="6987" spans="1:11" x14ac:dyDescent="0.25">
      <c r="A6987" t="s">
        <v>326</v>
      </c>
      <c r="B6987" t="s">
        <v>776</v>
      </c>
      <c r="C6987" t="s">
        <v>872</v>
      </c>
      <c r="D6987" t="s">
        <v>14</v>
      </c>
      <c r="E6987">
        <v>3</v>
      </c>
      <c r="F6987" s="2">
        <f>DATE(2026,IF(Tabla1[[#This Row],[Mes de Fecha]]="Septiembre",9,10),Tabla1[[#This Row],[Día de Fecha]])</f>
        <v>46298</v>
      </c>
      <c r="G6987">
        <v>1122510706</v>
      </c>
      <c r="H6987" t="s">
        <v>780</v>
      </c>
      <c r="I6987">
        <v>74</v>
      </c>
      <c r="J6987">
        <v>0</v>
      </c>
      <c r="K6987" s="1">
        <v>4356364</v>
      </c>
    </row>
    <row r="6988" spans="1:11" x14ac:dyDescent="0.25">
      <c r="A6988" t="s">
        <v>326</v>
      </c>
      <c r="B6988" t="s">
        <v>776</v>
      </c>
      <c r="C6988" t="s">
        <v>872</v>
      </c>
      <c r="D6988" t="s">
        <v>14</v>
      </c>
      <c r="E6988">
        <v>4</v>
      </c>
      <c r="F6988" s="2">
        <f>DATE(2026,IF(Tabla1[[#This Row],[Mes de Fecha]]="Septiembre",9,10),Tabla1[[#This Row],[Día de Fecha]])</f>
        <v>46299</v>
      </c>
      <c r="I6988">
        <v>0</v>
      </c>
      <c r="J6988" s="1">
        <v>13287419</v>
      </c>
      <c r="K6988">
        <v>0</v>
      </c>
    </row>
    <row r="6989" spans="1:11" x14ac:dyDescent="0.25">
      <c r="A6989" t="s">
        <v>326</v>
      </c>
      <c r="B6989" t="s">
        <v>776</v>
      </c>
      <c r="C6989" t="s">
        <v>872</v>
      </c>
      <c r="D6989" t="s">
        <v>14</v>
      </c>
      <c r="E6989">
        <v>4</v>
      </c>
      <c r="F6989" s="2">
        <f>DATE(2026,IF(Tabla1[[#This Row],[Mes de Fecha]]="Septiembre",9,10),Tabla1[[#This Row],[Día de Fecha]])</f>
        <v>46299</v>
      </c>
      <c r="G6989">
        <v>1005716262</v>
      </c>
      <c r="H6989" t="s">
        <v>517</v>
      </c>
      <c r="I6989">
        <v>-1</v>
      </c>
      <c r="J6989">
        <v>0</v>
      </c>
      <c r="K6989" s="1">
        <v>-105000</v>
      </c>
    </row>
    <row r="6990" spans="1:11" x14ac:dyDescent="0.25">
      <c r="A6990" t="s">
        <v>326</v>
      </c>
      <c r="B6990" t="s">
        <v>776</v>
      </c>
      <c r="C6990" t="s">
        <v>872</v>
      </c>
      <c r="D6990" t="s">
        <v>14</v>
      </c>
      <c r="E6990">
        <v>4</v>
      </c>
      <c r="F6990" s="2">
        <f>DATE(2026,IF(Tabla1[[#This Row],[Mes de Fecha]]="Septiembre",9,10),Tabla1[[#This Row],[Día de Fecha]])</f>
        <v>46299</v>
      </c>
      <c r="G6990">
        <v>1019988315</v>
      </c>
      <c r="H6990" t="s">
        <v>779</v>
      </c>
      <c r="I6990">
        <v>59</v>
      </c>
      <c r="J6990">
        <v>0</v>
      </c>
      <c r="K6990" s="1">
        <v>3325029</v>
      </c>
    </row>
    <row r="6991" spans="1:11" x14ac:dyDescent="0.25">
      <c r="A6991" t="s">
        <v>326</v>
      </c>
      <c r="B6991" t="s">
        <v>776</v>
      </c>
      <c r="C6991" t="s">
        <v>872</v>
      </c>
      <c r="D6991" t="s">
        <v>14</v>
      </c>
      <c r="E6991">
        <v>4</v>
      </c>
      <c r="F6991" s="2">
        <f>DATE(2026,IF(Tabla1[[#This Row],[Mes de Fecha]]="Septiembre",9,10),Tabla1[[#This Row],[Día de Fecha]])</f>
        <v>46299</v>
      </c>
      <c r="G6991">
        <v>1023005185</v>
      </c>
      <c r="H6991" t="s">
        <v>777</v>
      </c>
      <c r="I6991">
        <v>50</v>
      </c>
      <c r="J6991">
        <v>0</v>
      </c>
      <c r="K6991" s="1">
        <v>3005354</v>
      </c>
    </row>
    <row r="6992" spans="1:11" x14ac:dyDescent="0.25">
      <c r="A6992" t="s">
        <v>326</v>
      </c>
      <c r="B6992" t="s">
        <v>776</v>
      </c>
      <c r="C6992" t="s">
        <v>872</v>
      </c>
      <c r="D6992" t="s">
        <v>14</v>
      </c>
      <c r="E6992">
        <v>4</v>
      </c>
      <c r="F6992" s="2">
        <f>DATE(2026,IF(Tabla1[[#This Row],[Mes de Fecha]]="Septiembre",9,10),Tabla1[[#This Row],[Día de Fecha]])</f>
        <v>46299</v>
      </c>
      <c r="G6992">
        <v>1122510706</v>
      </c>
      <c r="H6992" t="s">
        <v>780</v>
      </c>
      <c r="I6992">
        <v>53</v>
      </c>
      <c r="J6992">
        <v>0</v>
      </c>
      <c r="K6992" s="1">
        <v>3525322</v>
      </c>
    </row>
    <row r="6993" spans="1:11" x14ac:dyDescent="0.25">
      <c r="A6993" t="s">
        <v>326</v>
      </c>
      <c r="B6993" t="s">
        <v>776</v>
      </c>
      <c r="C6993" t="s">
        <v>872</v>
      </c>
      <c r="D6993" t="s">
        <v>14</v>
      </c>
      <c r="E6993">
        <v>5</v>
      </c>
      <c r="F6993" s="2">
        <f>DATE(2026,IF(Tabla1[[#This Row],[Mes de Fecha]]="Septiembre",9,10),Tabla1[[#This Row],[Día de Fecha]])</f>
        <v>46300</v>
      </c>
      <c r="I6993">
        <v>0</v>
      </c>
      <c r="J6993" s="1">
        <v>6206019</v>
      </c>
      <c r="K6993">
        <v>0</v>
      </c>
    </row>
    <row r="6994" spans="1:11" x14ac:dyDescent="0.25">
      <c r="A6994" t="s">
        <v>326</v>
      </c>
      <c r="B6994" t="s">
        <v>776</v>
      </c>
      <c r="C6994" t="s">
        <v>872</v>
      </c>
      <c r="D6994" t="s">
        <v>14</v>
      </c>
      <c r="E6994">
        <v>5</v>
      </c>
      <c r="F6994" s="2">
        <f>DATE(2026,IF(Tabla1[[#This Row],[Mes de Fecha]]="Septiembre",9,10),Tabla1[[#This Row],[Día de Fecha]])</f>
        <v>46300</v>
      </c>
      <c r="G6994">
        <v>1019988315</v>
      </c>
      <c r="H6994" t="s">
        <v>779</v>
      </c>
      <c r="I6994">
        <v>13</v>
      </c>
      <c r="J6994">
        <v>0</v>
      </c>
      <c r="K6994" s="1">
        <v>738823</v>
      </c>
    </row>
    <row r="6995" spans="1:11" x14ac:dyDescent="0.25">
      <c r="A6995" t="s">
        <v>326</v>
      </c>
      <c r="B6995" t="s">
        <v>776</v>
      </c>
      <c r="C6995" t="s">
        <v>872</v>
      </c>
      <c r="D6995" t="s">
        <v>14</v>
      </c>
      <c r="E6995">
        <v>5</v>
      </c>
      <c r="F6995" s="2">
        <f>DATE(2026,IF(Tabla1[[#This Row],[Mes de Fecha]]="Septiembre",9,10),Tabla1[[#This Row],[Día de Fecha]])</f>
        <v>46300</v>
      </c>
      <c r="G6995">
        <v>1023005185</v>
      </c>
      <c r="H6995" t="s">
        <v>777</v>
      </c>
      <c r="I6995">
        <v>6</v>
      </c>
      <c r="J6995">
        <v>0</v>
      </c>
      <c r="K6995" s="1">
        <v>533362</v>
      </c>
    </row>
    <row r="6996" spans="1:11" x14ac:dyDescent="0.25">
      <c r="A6996" t="s">
        <v>326</v>
      </c>
      <c r="B6996" t="s">
        <v>776</v>
      </c>
      <c r="C6996" t="s">
        <v>872</v>
      </c>
      <c r="D6996" t="s">
        <v>14</v>
      </c>
      <c r="E6996">
        <v>5</v>
      </c>
      <c r="F6996" s="2">
        <f>DATE(2026,IF(Tabla1[[#This Row],[Mes de Fecha]]="Septiembre",9,10),Tabla1[[#This Row],[Día de Fecha]])</f>
        <v>46300</v>
      </c>
      <c r="G6996">
        <v>1058968780</v>
      </c>
      <c r="H6996" t="s">
        <v>778</v>
      </c>
      <c r="I6996">
        <v>3</v>
      </c>
      <c r="J6996">
        <v>0</v>
      </c>
      <c r="K6996" s="1">
        <v>209958</v>
      </c>
    </row>
    <row r="6997" spans="1:11" x14ac:dyDescent="0.25">
      <c r="A6997" t="s">
        <v>326</v>
      </c>
      <c r="B6997" t="s">
        <v>776</v>
      </c>
      <c r="C6997" t="s">
        <v>872</v>
      </c>
      <c r="D6997" t="s">
        <v>14</v>
      </c>
      <c r="E6997">
        <v>5</v>
      </c>
      <c r="F6997" s="2">
        <f>DATE(2026,IF(Tabla1[[#This Row],[Mes de Fecha]]="Septiembre",9,10),Tabla1[[#This Row],[Día de Fecha]])</f>
        <v>46300</v>
      </c>
      <c r="G6997">
        <v>1122510706</v>
      </c>
      <c r="H6997" t="s">
        <v>780</v>
      </c>
      <c r="I6997">
        <v>26</v>
      </c>
      <c r="J6997">
        <v>0</v>
      </c>
      <c r="K6997" s="1">
        <v>1461009</v>
      </c>
    </row>
    <row r="6998" spans="1:11" x14ac:dyDescent="0.25">
      <c r="A6998" t="s">
        <v>326</v>
      </c>
      <c r="B6998" t="s">
        <v>776</v>
      </c>
      <c r="C6998" t="s">
        <v>872</v>
      </c>
      <c r="D6998" t="s">
        <v>14</v>
      </c>
      <c r="E6998">
        <v>6</v>
      </c>
      <c r="F6998" s="2">
        <f>DATE(2026,IF(Tabla1[[#This Row],[Mes de Fecha]]="Septiembre",9,10),Tabla1[[#This Row],[Día de Fecha]])</f>
        <v>46301</v>
      </c>
      <c r="I6998">
        <v>0</v>
      </c>
      <c r="J6998" s="1">
        <v>3279916</v>
      </c>
      <c r="K6998">
        <v>0</v>
      </c>
    </row>
    <row r="6999" spans="1:11" x14ac:dyDescent="0.25">
      <c r="A6999" t="s">
        <v>326</v>
      </c>
      <c r="B6999" t="s">
        <v>776</v>
      </c>
      <c r="C6999" t="s">
        <v>872</v>
      </c>
      <c r="D6999" t="s">
        <v>14</v>
      </c>
      <c r="E6999">
        <v>6</v>
      </c>
      <c r="F6999" s="2">
        <f>DATE(2026,IF(Tabla1[[#This Row],[Mes de Fecha]]="Septiembre",9,10),Tabla1[[#This Row],[Día de Fecha]])</f>
        <v>46301</v>
      </c>
      <c r="G6999">
        <v>1019988315</v>
      </c>
      <c r="H6999" t="s">
        <v>779</v>
      </c>
      <c r="I6999">
        <v>10</v>
      </c>
      <c r="J6999">
        <v>0</v>
      </c>
      <c r="K6999" s="1">
        <v>671850</v>
      </c>
    </row>
    <row r="7000" spans="1:11" x14ac:dyDescent="0.25">
      <c r="A7000" t="s">
        <v>326</v>
      </c>
      <c r="B7000" t="s">
        <v>776</v>
      </c>
      <c r="C7000" t="s">
        <v>872</v>
      </c>
      <c r="D7000" t="s">
        <v>14</v>
      </c>
      <c r="E7000">
        <v>6</v>
      </c>
      <c r="F7000" s="2">
        <f>DATE(2026,IF(Tabla1[[#This Row],[Mes de Fecha]]="Septiembre",9,10),Tabla1[[#This Row],[Día de Fecha]])</f>
        <v>46301</v>
      </c>
      <c r="G7000">
        <v>1058968780</v>
      </c>
      <c r="H7000" t="s">
        <v>778</v>
      </c>
      <c r="I7000">
        <v>9</v>
      </c>
      <c r="J7000">
        <v>0</v>
      </c>
      <c r="K7000" s="1">
        <v>730673</v>
      </c>
    </row>
    <row r="7001" spans="1:11" x14ac:dyDescent="0.25">
      <c r="A7001" t="s">
        <v>326</v>
      </c>
      <c r="B7001" t="s">
        <v>776</v>
      </c>
      <c r="C7001" t="s">
        <v>872</v>
      </c>
      <c r="D7001" t="s">
        <v>14</v>
      </c>
      <c r="E7001">
        <v>6</v>
      </c>
      <c r="F7001" s="2">
        <f>DATE(2026,IF(Tabla1[[#This Row],[Mes de Fecha]]="Septiembre",9,10),Tabla1[[#This Row],[Día de Fecha]])</f>
        <v>46301</v>
      </c>
      <c r="G7001">
        <v>1122510706</v>
      </c>
      <c r="H7001" t="s">
        <v>780</v>
      </c>
      <c r="I7001">
        <v>8</v>
      </c>
      <c r="J7001">
        <v>0</v>
      </c>
      <c r="K7001" s="1">
        <v>571092</v>
      </c>
    </row>
    <row r="7002" spans="1:11" x14ac:dyDescent="0.25">
      <c r="A7002" t="s">
        <v>326</v>
      </c>
      <c r="B7002" t="s">
        <v>776</v>
      </c>
      <c r="C7002" t="s">
        <v>872</v>
      </c>
      <c r="D7002" t="s">
        <v>14</v>
      </c>
      <c r="E7002">
        <v>7</v>
      </c>
      <c r="F7002" s="2">
        <f>DATE(2026,IF(Tabla1[[#This Row],[Mes de Fecha]]="Septiembre",9,10),Tabla1[[#This Row],[Día de Fecha]])</f>
        <v>46302</v>
      </c>
      <c r="I7002">
        <v>0</v>
      </c>
      <c r="J7002" s="1">
        <v>3245473</v>
      </c>
      <c r="K7002">
        <v>0</v>
      </c>
    </row>
    <row r="7003" spans="1:11" x14ac:dyDescent="0.25">
      <c r="A7003" t="s">
        <v>326</v>
      </c>
      <c r="B7003" t="s">
        <v>776</v>
      </c>
      <c r="C7003" t="s">
        <v>872</v>
      </c>
      <c r="D7003" t="s">
        <v>14</v>
      </c>
      <c r="E7003">
        <v>7</v>
      </c>
      <c r="F7003" s="2">
        <f>DATE(2026,IF(Tabla1[[#This Row],[Mes de Fecha]]="Septiembre",9,10),Tabla1[[#This Row],[Día de Fecha]])</f>
        <v>46302</v>
      </c>
      <c r="G7003">
        <v>1019988315</v>
      </c>
      <c r="H7003" t="s">
        <v>779</v>
      </c>
      <c r="I7003">
        <v>28</v>
      </c>
      <c r="J7003">
        <v>0</v>
      </c>
      <c r="K7003" s="1">
        <v>1376891</v>
      </c>
    </row>
    <row r="7004" spans="1:11" x14ac:dyDescent="0.25">
      <c r="A7004" t="s">
        <v>326</v>
      </c>
      <c r="B7004" t="s">
        <v>776</v>
      </c>
      <c r="C7004" t="s">
        <v>872</v>
      </c>
      <c r="D7004" t="s">
        <v>14</v>
      </c>
      <c r="E7004">
        <v>7</v>
      </c>
      <c r="F7004" s="2">
        <f>DATE(2026,IF(Tabla1[[#This Row],[Mes de Fecha]]="Septiembre",9,10),Tabla1[[#This Row],[Día de Fecha]])</f>
        <v>46302</v>
      </c>
      <c r="G7004">
        <v>1023005185</v>
      </c>
      <c r="H7004" t="s">
        <v>777</v>
      </c>
      <c r="I7004">
        <v>17</v>
      </c>
      <c r="J7004">
        <v>0</v>
      </c>
      <c r="K7004" s="1">
        <v>1335379</v>
      </c>
    </row>
    <row r="7005" spans="1:11" x14ac:dyDescent="0.25">
      <c r="A7005" t="s">
        <v>326</v>
      </c>
      <c r="B7005" t="s">
        <v>776</v>
      </c>
      <c r="C7005" t="s">
        <v>872</v>
      </c>
      <c r="D7005" t="s">
        <v>14</v>
      </c>
      <c r="E7005">
        <v>7</v>
      </c>
      <c r="F7005" s="2">
        <f>DATE(2026,IF(Tabla1[[#This Row],[Mes de Fecha]]="Septiembre",9,10),Tabla1[[#This Row],[Día de Fecha]])</f>
        <v>46302</v>
      </c>
      <c r="G7005">
        <v>1058968780</v>
      </c>
      <c r="H7005" t="s">
        <v>778</v>
      </c>
      <c r="I7005">
        <v>-1</v>
      </c>
      <c r="J7005">
        <v>0</v>
      </c>
      <c r="K7005" s="1">
        <v>-105000</v>
      </c>
    </row>
    <row r="7006" spans="1:11" x14ac:dyDescent="0.25">
      <c r="A7006" t="s">
        <v>326</v>
      </c>
      <c r="B7006" t="s">
        <v>776</v>
      </c>
      <c r="C7006" t="s">
        <v>872</v>
      </c>
      <c r="D7006" t="s">
        <v>14</v>
      </c>
      <c r="E7006">
        <v>7</v>
      </c>
      <c r="F7006" s="2">
        <f>DATE(2026,IF(Tabla1[[#This Row],[Mes de Fecha]]="Septiembre",9,10),Tabla1[[#This Row],[Día de Fecha]])</f>
        <v>46302</v>
      </c>
      <c r="G7006">
        <v>1122510706</v>
      </c>
      <c r="H7006" t="s">
        <v>780</v>
      </c>
      <c r="I7006">
        <v>27</v>
      </c>
      <c r="J7006">
        <v>0</v>
      </c>
      <c r="K7006" s="1">
        <v>2116385</v>
      </c>
    </row>
    <row r="7007" spans="1:11" x14ac:dyDescent="0.25">
      <c r="A7007" t="s">
        <v>326</v>
      </c>
      <c r="B7007" t="s">
        <v>800</v>
      </c>
      <c r="C7007" t="s">
        <v>872</v>
      </c>
      <c r="D7007" t="s">
        <v>11</v>
      </c>
      <c r="E7007">
        <v>23</v>
      </c>
      <c r="F7007" s="2">
        <f>DATE(2026,IF(Tabla1[[#This Row],[Mes de Fecha]]="Septiembre",9,10),Tabla1[[#This Row],[Día de Fecha]])</f>
        <v>46288</v>
      </c>
      <c r="I7007">
        <v>0</v>
      </c>
      <c r="J7007" s="1">
        <v>5354339</v>
      </c>
      <c r="K7007">
        <v>0</v>
      </c>
    </row>
    <row r="7008" spans="1:11" x14ac:dyDescent="0.25">
      <c r="A7008" t="s">
        <v>326</v>
      </c>
      <c r="B7008" t="s">
        <v>800</v>
      </c>
      <c r="C7008" t="s">
        <v>872</v>
      </c>
      <c r="D7008" t="s">
        <v>11</v>
      </c>
      <c r="E7008">
        <v>23</v>
      </c>
      <c r="F7008" s="2">
        <f>DATE(2026,IF(Tabla1[[#This Row],[Mes de Fecha]]="Septiembre",9,10),Tabla1[[#This Row],[Día de Fecha]])</f>
        <v>46288</v>
      </c>
      <c r="G7008">
        <v>1012337582</v>
      </c>
      <c r="H7008" t="s">
        <v>801</v>
      </c>
      <c r="I7008">
        <v>15</v>
      </c>
      <c r="J7008">
        <v>0</v>
      </c>
      <c r="K7008" s="1">
        <v>839706</v>
      </c>
    </row>
    <row r="7009" spans="1:11" x14ac:dyDescent="0.25">
      <c r="A7009" t="s">
        <v>326</v>
      </c>
      <c r="B7009" t="s">
        <v>800</v>
      </c>
      <c r="C7009" t="s">
        <v>872</v>
      </c>
      <c r="D7009" t="s">
        <v>11</v>
      </c>
      <c r="E7009">
        <v>23</v>
      </c>
      <c r="F7009" s="2">
        <f>DATE(2026,IF(Tabla1[[#This Row],[Mes de Fecha]]="Septiembre",9,10),Tabla1[[#This Row],[Día de Fecha]])</f>
        <v>46288</v>
      </c>
      <c r="G7009">
        <v>1016834696</v>
      </c>
      <c r="H7009" t="s">
        <v>782</v>
      </c>
      <c r="I7009">
        <v>18</v>
      </c>
      <c r="J7009">
        <v>0</v>
      </c>
      <c r="K7009" s="1">
        <v>1335379</v>
      </c>
    </row>
    <row r="7010" spans="1:11" x14ac:dyDescent="0.25">
      <c r="A7010" t="s">
        <v>326</v>
      </c>
      <c r="B7010" t="s">
        <v>800</v>
      </c>
      <c r="C7010" t="s">
        <v>872</v>
      </c>
      <c r="D7010" t="s">
        <v>11</v>
      </c>
      <c r="E7010">
        <v>23</v>
      </c>
      <c r="F7010" s="2">
        <f>DATE(2026,IF(Tabla1[[#This Row],[Mes de Fecha]]="Septiembre",9,10),Tabla1[[#This Row],[Día de Fecha]])</f>
        <v>46288</v>
      </c>
      <c r="G7010">
        <v>1121960419</v>
      </c>
      <c r="H7010" t="s">
        <v>781</v>
      </c>
      <c r="I7010">
        <v>16</v>
      </c>
      <c r="J7010">
        <v>0</v>
      </c>
      <c r="K7010" s="1">
        <v>1201010</v>
      </c>
    </row>
    <row r="7011" spans="1:11" x14ac:dyDescent="0.25">
      <c r="A7011" t="s">
        <v>326</v>
      </c>
      <c r="B7011" t="s">
        <v>800</v>
      </c>
      <c r="C7011" t="s">
        <v>872</v>
      </c>
      <c r="D7011" t="s">
        <v>11</v>
      </c>
      <c r="E7011">
        <v>24</v>
      </c>
      <c r="F7011" s="2">
        <f>DATE(2026,IF(Tabla1[[#This Row],[Mes de Fecha]]="Septiembre",9,10),Tabla1[[#This Row],[Día de Fecha]])</f>
        <v>46289</v>
      </c>
      <c r="I7011">
        <v>0</v>
      </c>
      <c r="J7011" s="1">
        <v>8179358</v>
      </c>
      <c r="K7011">
        <v>0</v>
      </c>
    </row>
    <row r="7012" spans="1:11" x14ac:dyDescent="0.25">
      <c r="A7012" t="s">
        <v>326</v>
      </c>
      <c r="B7012" t="s">
        <v>800</v>
      </c>
      <c r="C7012" t="s">
        <v>872</v>
      </c>
      <c r="D7012" t="s">
        <v>11</v>
      </c>
      <c r="E7012">
        <v>24</v>
      </c>
      <c r="F7012" s="2">
        <f>DATE(2026,IF(Tabla1[[#This Row],[Mes de Fecha]]="Septiembre",9,10),Tabla1[[#This Row],[Día de Fecha]])</f>
        <v>46289</v>
      </c>
      <c r="G7012">
        <v>1011324433</v>
      </c>
      <c r="H7012" t="s">
        <v>802</v>
      </c>
      <c r="I7012">
        <v>12</v>
      </c>
      <c r="J7012">
        <v>0</v>
      </c>
      <c r="K7012" s="1">
        <v>577226</v>
      </c>
    </row>
    <row r="7013" spans="1:11" x14ac:dyDescent="0.25">
      <c r="A7013" t="s">
        <v>326</v>
      </c>
      <c r="B7013" t="s">
        <v>800</v>
      </c>
      <c r="C7013" t="s">
        <v>872</v>
      </c>
      <c r="D7013" t="s">
        <v>11</v>
      </c>
      <c r="E7013">
        <v>24</v>
      </c>
      <c r="F7013" s="2">
        <f>DATE(2026,IF(Tabla1[[#This Row],[Mes de Fecha]]="Septiembre",9,10),Tabla1[[#This Row],[Día de Fecha]])</f>
        <v>46289</v>
      </c>
      <c r="G7013">
        <v>1012337582</v>
      </c>
      <c r="H7013" t="s">
        <v>801</v>
      </c>
      <c r="I7013">
        <v>14</v>
      </c>
      <c r="J7013">
        <v>0</v>
      </c>
      <c r="K7013" s="1">
        <v>1075042</v>
      </c>
    </row>
    <row r="7014" spans="1:11" x14ac:dyDescent="0.25">
      <c r="A7014" t="s">
        <v>326</v>
      </c>
      <c r="B7014" t="s">
        <v>800</v>
      </c>
      <c r="C7014" t="s">
        <v>872</v>
      </c>
      <c r="D7014" t="s">
        <v>11</v>
      </c>
      <c r="E7014">
        <v>24</v>
      </c>
      <c r="F7014" s="2">
        <f>DATE(2026,IF(Tabla1[[#This Row],[Mes de Fecha]]="Septiembre",9,10),Tabla1[[#This Row],[Día de Fecha]])</f>
        <v>46289</v>
      </c>
      <c r="G7014">
        <v>1016834696</v>
      </c>
      <c r="H7014" t="s">
        <v>782</v>
      </c>
      <c r="I7014">
        <v>33</v>
      </c>
      <c r="J7014">
        <v>0</v>
      </c>
      <c r="K7014" s="1">
        <v>2261221</v>
      </c>
    </row>
    <row r="7015" spans="1:11" x14ac:dyDescent="0.25">
      <c r="A7015" t="s">
        <v>326</v>
      </c>
      <c r="B7015" t="s">
        <v>800</v>
      </c>
      <c r="C7015" t="s">
        <v>872</v>
      </c>
      <c r="D7015" t="s">
        <v>11</v>
      </c>
      <c r="E7015">
        <v>24</v>
      </c>
      <c r="F7015" s="2">
        <f>DATE(2026,IF(Tabla1[[#This Row],[Mes de Fecha]]="Septiembre",9,10),Tabla1[[#This Row],[Día de Fecha]])</f>
        <v>46289</v>
      </c>
      <c r="G7015">
        <v>1121960419</v>
      </c>
      <c r="H7015" t="s">
        <v>781</v>
      </c>
      <c r="I7015">
        <v>43</v>
      </c>
      <c r="J7015">
        <v>0</v>
      </c>
      <c r="K7015" s="1">
        <v>2956216</v>
      </c>
    </row>
    <row r="7016" spans="1:11" x14ac:dyDescent="0.25">
      <c r="A7016" t="s">
        <v>326</v>
      </c>
      <c r="B7016" t="s">
        <v>800</v>
      </c>
      <c r="C7016" t="s">
        <v>872</v>
      </c>
      <c r="D7016" t="s">
        <v>11</v>
      </c>
      <c r="E7016">
        <v>25</v>
      </c>
      <c r="F7016" s="2">
        <f>DATE(2026,IF(Tabla1[[#This Row],[Mes de Fecha]]="Septiembre",9,10),Tabla1[[#This Row],[Día de Fecha]])</f>
        <v>46290</v>
      </c>
      <c r="I7016">
        <v>0</v>
      </c>
      <c r="J7016" s="1">
        <v>8161248</v>
      </c>
      <c r="K7016">
        <v>0</v>
      </c>
    </row>
    <row r="7017" spans="1:11" x14ac:dyDescent="0.25">
      <c r="A7017" t="s">
        <v>326</v>
      </c>
      <c r="B7017" t="s">
        <v>800</v>
      </c>
      <c r="C7017" t="s">
        <v>872</v>
      </c>
      <c r="D7017" t="s">
        <v>11</v>
      </c>
      <c r="E7017">
        <v>25</v>
      </c>
      <c r="F7017" s="2">
        <f>DATE(2026,IF(Tabla1[[#This Row],[Mes de Fecha]]="Septiembre",9,10),Tabla1[[#This Row],[Día de Fecha]])</f>
        <v>46290</v>
      </c>
      <c r="G7017">
        <v>1011324433</v>
      </c>
      <c r="H7017" t="s">
        <v>802</v>
      </c>
      <c r="I7017">
        <v>7</v>
      </c>
      <c r="J7017">
        <v>0</v>
      </c>
      <c r="K7017" s="1">
        <v>524916</v>
      </c>
    </row>
    <row r="7018" spans="1:11" x14ac:dyDescent="0.25">
      <c r="A7018" t="s">
        <v>326</v>
      </c>
      <c r="B7018" t="s">
        <v>800</v>
      </c>
      <c r="C7018" t="s">
        <v>872</v>
      </c>
      <c r="D7018" t="s">
        <v>11</v>
      </c>
      <c r="E7018">
        <v>25</v>
      </c>
      <c r="F7018" s="2">
        <f>DATE(2026,IF(Tabla1[[#This Row],[Mes de Fecha]]="Septiembre",9,10),Tabla1[[#This Row],[Día de Fecha]])</f>
        <v>46290</v>
      </c>
      <c r="G7018">
        <v>1012337582</v>
      </c>
      <c r="H7018" t="s">
        <v>801</v>
      </c>
      <c r="I7018">
        <v>16</v>
      </c>
      <c r="J7018">
        <v>0</v>
      </c>
      <c r="K7018" s="1">
        <v>951009</v>
      </c>
    </row>
    <row r="7019" spans="1:11" x14ac:dyDescent="0.25">
      <c r="A7019" t="s">
        <v>326</v>
      </c>
      <c r="B7019" t="s">
        <v>800</v>
      </c>
      <c r="C7019" t="s">
        <v>872</v>
      </c>
      <c r="D7019" t="s">
        <v>11</v>
      </c>
      <c r="E7019">
        <v>25</v>
      </c>
      <c r="F7019" s="2">
        <f>DATE(2026,IF(Tabla1[[#This Row],[Mes de Fecha]]="Septiembre",9,10),Tabla1[[#This Row],[Día de Fecha]])</f>
        <v>46290</v>
      </c>
      <c r="G7019">
        <v>1016834696</v>
      </c>
      <c r="H7019" t="s">
        <v>782</v>
      </c>
      <c r="I7019">
        <v>26</v>
      </c>
      <c r="J7019">
        <v>0</v>
      </c>
      <c r="K7019" s="1">
        <v>1751009</v>
      </c>
    </row>
    <row r="7020" spans="1:11" x14ac:dyDescent="0.25">
      <c r="A7020" t="s">
        <v>326</v>
      </c>
      <c r="B7020" t="s">
        <v>800</v>
      </c>
      <c r="C7020" t="s">
        <v>872</v>
      </c>
      <c r="D7020" t="s">
        <v>11</v>
      </c>
      <c r="E7020">
        <v>25</v>
      </c>
      <c r="F7020" s="2">
        <f>DATE(2026,IF(Tabla1[[#This Row],[Mes de Fecha]]="Septiembre",9,10),Tabla1[[#This Row],[Día de Fecha]])</f>
        <v>46290</v>
      </c>
      <c r="G7020">
        <v>1121960419</v>
      </c>
      <c r="H7020" t="s">
        <v>781</v>
      </c>
      <c r="I7020">
        <v>25</v>
      </c>
      <c r="J7020">
        <v>0</v>
      </c>
      <c r="K7020" s="1">
        <v>1772017</v>
      </c>
    </row>
    <row r="7021" spans="1:11" x14ac:dyDescent="0.25">
      <c r="A7021" t="s">
        <v>326</v>
      </c>
      <c r="B7021" t="s">
        <v>800</v>
      </c>
      <c r="C7021" t="s">
        <v>872</v>
      </c>
      <c r="D7021" t="s">
        <v>11</v>
      </c>
      <c r="E7021">
        <v>26</v>
      </c>
      <c r="F7021" s="2">
        <f>DATE(2026,IF(Tabla1[[#This Row],[Mes de Fecha]]="Septiembre",9,10),Tabla1[[#This Row],[Día de Fecha]])</f>
        <v>46291</v>
      </c>
      <c r="I7021">
        <v>0</v>
      </c>
      <c r="J7021" s="1">
        <v>11728889</v>
      </c>
      <c r="K7021">
        <v>0</v>
      </c>
    </row>
    <row r="7022" spans="1:11" x14ac:dyDescent="0.25">
      <c r="A7022" t="s">
        <v>326</v>
      </c>
      <c r="B7022" t="s">
        <v>800</v>
      </c>
      <c r="C7022" t="s">
        <v>872</v>
      </c>
      <c r="D7022" t="s">
        <v>11</v>
      </c>
      <c r="E7022">
        <v>26</v>
      </c>
      <c r="F7022" s="2">
        <f>DATE(2026,IF(Tabla1[[#This Row],[Mes de Fecha]]="Septiembre",9,10),Tabla1[[#This Row],[Día de Fecha]])</f>
        <v>46291</v>
      </c>
      <c r="G7022">
        <v>1011324433</v>
      </c>
      <c r="H7022" t="s">
        <v>802</v>
      </c>
      <c r="I7022">
        <v>33</v>
      </c>
      <c r="J7022">
        <v>0</v>
      </c>
      <c r="K7022" s="1">
        <v>1965001</v>
      </c>
    </row>
    <row r="7023" spans="1:11" x14ac:dyDescent="0.25">
      <c r="A7023" t="s">
        <v>326</v>
      </c>
      <c r="B7023" t="s">
        <v>800</v>
      </c>
      <c r="C7023" t="s">
        <v>872</v>
      </c>
      <c r="D7023" t="s">
        <v>11</v>
      </c>
      <c r="E7023">
        <v>26</v>
      </c>
      <c r="F7023" s="2">
        <f>DATE(2026,IF(Tabla1[[#This Row],[Mes de Fecha]]="Septiembre",9,10),Tabla1[[#This Row],[Día de Fecha]])</f>
        <v>46291</v>
      </c>
      <c r="G7023">
        <v>1012337582</v>
      </c>
      <c r="H7023" t="s">
        <v>801</v>
      </c>
      <c r="I7023">
        <v>33</v>
      </c>
      <c r="J7023">
        <v>0</v>
      </c>
      <c r="K7023" s="1">
        <v>2456598</v>
      </c>
    </row>
    <row r="7024" spans="1:11" x14ac:dyDescent="0.25">
      <c r="A7024" t="s">
        <v>326</v>
      </c>
      <c r="B7024" t="s">
        <v>800</v>
      </c>
      <c r="C7024" t="s">
        <v>872</v>
      </c>
      <c r="D7024" t="s">
        <v>11</v>
      </c>
      <c r="E7024">
        <v>26</v>
      </c>
      <c r="F7024" s="2">
        <f>DATE(2026,IF(Tabla1[[#This Row],[Mes de Fecha]]="Septiembre",9,10),Tabla1[[#This Row],[Día de Fecha]])</f>
        <v>46291</v>
      </c>
      <c r="G7024">
        <v>1016834696</v>
      </c>
      <c r="H7024" t="s">
        <v>782</v>
      </c>
      <c r="I7024">
        <v>43</v>
      </c>
      <c r="J7024">
        <v>0</v>
      </c>
      <c r="K7024" s="1">
        <v>3056973</v>
      </c>
    </row>
    <row r="7025" spans="1:11" x14ac:dyDescent="0.25">
      <c r="A7025" t="s">
        <v>326</v>
      </c>
      <c r="B7025" t="s">
        <v>800</v>
      </c>
      <c r="C7025" t="s">
        <v>872</v>
      </c>
      <c r="D7025" t="s">
        <v>11</v>
      </c>
      <c r="E7025">
        <v>26</v>
      </c>
      <c r="F7025" s="2">
        <f>DATE(2026,IF(Tabla1[[#This Row],[Mes de Fecha]]="Septiembre",9,10),Tabla1[[#This Row],[Día de Fecha]])</f>
        <v>46291</v>
      </c>
      <c r="G7025">
        <v>1121960419</v>
      </c>
      <c r="H7025" t="s">
        <v>781</v>
      </c>
      <c r="I7025">
        <v>69</v>
      </c>
      <c r="J7025">
        <v>0</v>
      </c>
      <c r="K7025" s="1">
        <v>4408868</v>
      </c>
    </row>
    <row r="7026" spans="1:11" x14ac:dyDescent="0.25">
      <c r="A7026" t="s">
        <v>326</v>
      </c>
      <c r="B7026" t="s">
        <v>800</v>
      </c>
      <c r="C7026" t="s">
        <v>872</v>
      </c>
      <c r="D7026" t="s">
        <v>11</v>
      </c>
      <c r="E7026">
        <v>27</v>
      </c>
      <c r="F7026" s="2">
        <f>DATE(2026,IF(Tabla1[[#This Row],[Mes de Fecha]]="Septiembre",9,10),Tabla1[[#This Row],[Día de Fecha]])</f>
        <v>46292</v>
      </c>
      <c r="I7026">
        <v>0</v>
      </c>
      <c r="J7026" s="1">
        <v>9291641</v>
      </c>
      <c r="K7026">
        <v>0</v>
      </c>
    </row>
    <row r="7027" spans="1:11" x14ac:dyDescent="0.25">
      <c r="A7027" t="s">
        <v>326</v>
      </c>
      <c r="B7027" t="s">
        <v>800</v>
      </c>
      <c r="C7027" t="s">
        <v>872</v>
      </c>
      <c r="D7027" t="s">
        <v>11</v>
      </c>
      <c r="E7027">
        <v>27</v>
      </c>
      <c r="F7027" s="2">
        <f>DATE(2026,IF(Tabla1[[#This Row],[Mes de Fecha]]="Septiembre",9,10),Tabla1[[#This Row],[Día de Fecha]])</f>
        <v>46292</v>
      </c>
      <c r="G7027">
        <v>1011324433</v>
      </c>
      <c r="H7027" t="s">
        <v>802</v>
      </c>
      <c r="I7027">
        <v>31</v>
      </c>
      <c r="J7027">
        <v>0</v>
      </c>
      <c r="K7027" s="1">
        <v>2114244</v>
      </c>
    </row>
    <row r="7028" spans="1:11" x14ac:dyDescent="0.25">
      <c r="A7028" t="s">
        <v>326</v>
      </c>
      <c r="B7028" t="s">
        <v>800</v>
      </c>
      <c r="C7028" t="s">
        <v>872</v>
      </c>
      <c r="D7028" t="s">
        <v>11</v>
      </c>
      <c r="E7028">
        <v>27</v>
      </c>
      <c r="F7028" s="2">
        <f>DATE(2026,IF(Tabla1[[#This Row],[Mes de Fecha]]="Septiembre",9,10),Tabla1[[#This Row],[Día de Fecha]])</f>
        <v>46292</v>
      </c>
      <c r="G7028">
        <v>1012337582</v>
      </c>
      <c r="H7028" t="s">
        <v>801</v>
      </c>
      <c r="I7028">
        <v>62</v>
      </c>
      <c r="J7028">
        <v>0</v>
      </c>
      <c r="K7028" s="1">
        <v>4465885</v>
      </c>
    </row>
    <row r="7029" spans="1:11" x14ac:dyDescent="0.25">
      <c r="A7029" t="s">
        <v>326</v>
      </c>
      <c r="B7029" t="s">
        <v>800</v>
      </c>
      <c r="C7029" t="s">
        <v>872</v>
      </c>
      <c r="D7029" t="s">
        <v>11</v>
      </c>
      <c r="E7029">
        <v>27</v>
      </c>
      <c r="F7029" s="2">
        <f>DATE(2026,IF(Tabla1[[#This Row],[Mes de Fecha]]="Septiembre",9,10),Tabla1[[#This Row],[Día de Fecha]])</f>
        <v>46292</v>
      </c>
      <c r="G7029">
        <v>1121960419</v>
      </c>
      <c r="H7029" t="s">
        <v>781</v>
      </c>
      <c r="I7029">
        <v>93</v>
      </c>
      <c r="J7029">
        <v>0</v>
      </c>
      <c r="K7029" s="1">
        <v>6674666</v>
      </c>
    </row>
    <row r="7030" spans="1:11" x14ac:dyDescent="0.25">
      <c r="A7030" t="s">
        <v>326</v>
      </c>
      <c r="B7030" t="s">
        <v>800</v>
      </c>
      <c r="C7030" t="s">
        <v>872</v>
      </c>
      <c r="D7030" t="s">
        <v>11</v>
      </c>
      <c r="E7030">
        <v>28</v>
      </c>
      <c r="F7030" s="2">
        <f>DATE(2026,IF(Tabla1[[#This Row],[Mes de Fecha]]="Septiembre",9,10),Tabla1[[#This Row],[Día de Fecha]])</f>
        <v>46293</v>
      </c>
      <c r="I7030">
        <v>0</v>
      </c>
      <c r="J7030" s="1">
        <v>5113736</v>
      </c>
      <c r="K7030">
        <v>0</v>
      </c>
    </row>
    <row r="7031" spans="1:11" x14ac:dyDescent="0.25">
      <c r="A7031" t="s">
        <v>326</v>
      </c>
      <c r="B7031" t="s">
        <v>800</v>
      </c>
      <c r="C7031" t="s">
        <v>872</v>
      </c>
      <c r="D7031" t="s">
        <v>11</v>
      </c>
      <c r="E7031">
        <v>28</v>
      </c>
      <c r="F7031" s="2">
        <f>DATE(2026,IF(Tabla1[[#This Row],[Mes de Fecha]]="Septiembre",9,10),Tabla1[[#This Row],[Día de Fecha]])</f>
        <v>46293</v>
      </c>
      <c r="G7031">
        <v>1011324433</v>
      </c>
      <c r="H7031" t="s">
        <v>802</v>
      </c>
      <c r="I7031">
        <v>4</v>
      </c>
      <c r="J7031">
        <v>0</v>
      </c>
      <c r="K7031" s="1">
        <v>382186</v>
      </c>
    </row>
    <row r="7032" spans="1:11" x14ac:dyDescent="0.25">
      <c r="A7032" t="s">
        <v>326</v>
      </c>
      <c r="B7032" t="s">
        <v>800</v>
      </c>
      <c r="C7032" t="s">
        <v>872</v>
      </c>
      <c r="D7032" t="s">
        <v>11</v>
      </c>
      <c r="E7032">
        <v>28</v>
      </c>
      <c r="F7032" s="2">
        <f>DATE(2026,IF(Tabla1[[#This Row],[Mes de Fecha]]="Septiembre",9,10),Tabla1[[#This Row],[Día de Fecha]])</f>
        <v>46293</v>
      </c>
      <c r="G7032">
        <v>1012337582</v>
      </c>
      <c r="H7032" t="s">
        <v>801</v>
      </c>
      <c r="I7032">
        <v>6</v>
      </c>
      <c r="J7032">
        <v>0</v>
      </c>
      <c r="K7032" s="1">
        <v>436722</v>
      </c>
    </row>
    <row r="7033" spans="1:11" x14ac:dyDescent="0.25">
      <c r="A7033" t="s">
        <v>326</v>
      </c>
      <c r="B7033" t="s">
        <v>800</v>
      </c>
      <c r="C7033" t="s">
        <v>872</v>
      </c>
      <c r="D7033" t="s">
        <v>11</v>
      </c>
      <c r="E7033">
        <v>28</v>
      </c>
      <c r="F7033" s="2">
        <f>DATE(2026,IF(Tabla1[[#This Row],[Mes de Fecha]]="Septiembre",9,10),Tabla1[[#This Row],[Día de Fecha]])</f>
        <v>46293</v>
      </c>
      <c r="G7033">
        <v>1016834696</v>
      </c>
      <c r="H7033" t="s">
        <v>782</v>
      </c>
      <c r="I7033">
        <v>12</v>
      </c>
      <c r="J7033">
        <v>0</v>
      </c>
      <c r="K7033" s="1">
        <v>764201</v>
      </c>
    </row>
    <row r="7034" spans="1:11" x14ac:dyDescent="0.25">
      <c r="A7034" t="s">
        <v>326</v>
      </c>
      <c r="B7034" t="s">
        <v>800</v>
      </c>
      <c r="C7034" t="s">
        <v>872</v>
      </c>
      <c r="D7034" t="s">
        <v>11</v>
      </c>
      <c r="E7034">
        <v>28</v>
      </c>
      <c r="F7034" s="2">
        <f>DATE(2026,IF(Tabla1[[#This Row],[Mes de Fecha]]="Septiembre",9,10),Tabla1[[#This Row],[Día de Fecha]])</f>
        <v>46293</v>
      </c>
      <c r="G7034">
        <v>1121960419</v>
      </c>
      <c r="H7034" t="s">
        <v>781</v>
      </c>
      <c r="I7034">
        <v>23</v>
      </c>
      <c r="J7034">
        <v>0</v>
      </c>
      <c r="K7034" s="1">
        <v>1213321</v>
      </c>
    </row>
    <row r="7035" spans="1:11" x14ac:dyDescent="0.25">
      <c r="A7035" t="s">
        <v>326</v>
      </c>
      <c r="B7035" t="s">
        <v>800</v>
      </c>
      <c r="C7035" t="s">
        <v>872</v>
      </c>
      <c r="D7035" t="s">
        <v>11</v>
      </c>
      <c r="E7035">
        <v>29</v>
      </c>
      <c r="F7035" s="2">
        <f>DATE(2026,IF(Tabla1[[#This Row],[Mes de Fecha]]="Septiembre",9,10),Tabla1[[#This Row],[Día de Fecha]])</f>
        <v>46294</v>
      </c>
      <c r="I7035">
        <v>0</v>
      </c>
      <c r="J7035" s="1">
        <v>5462475</v>
      </c>
      <c r="K7035">
        <v>0</v>
      </c>
    </row>
    <row r="7036" spans="1:11" x14ac:dyDescent="0.25">
      <c r="A7036" t="s">
        <v>326</v>
      </c>
      <c r="B7036" t="s">
        <v>800</v>
      </c>
      <c r="C7036" t="s">
        <v>872</v>
      </c>
      <c r="D7036" t="s">
        <v>11</v>
      </c>
      <c r="E7036">
        <v>29</v>
      </c>
      <c r="F7036" s="2">
        <f>DATE(2026,IF(Tabla1[[#This Row],[Mes de Fecha]]="Septiembre",9,10),Tabla1[[#This Row],[Día de Fecha]])</f>
        <v>46294</v>
      </c>
      <c r="G7036">
        <v>1011324433</v>
      </c>
      <c r="H7036" t="s">
        <v>802</v>
      </c>
      <c r="I7036">
        <v>8</v>
      </c>
      <c r="J7036">
        <v>0</v>
      </c>
      <c r="K7036" s="1">
        <v>369412</v>
      </c>
    </row>
    <row r="7037" spans="1:11" x14ac:dyDescent="0.25">
      <c r="A7037" t="s">
        <v>326</v>
      </c>
      <c r="B7037" t="s">
        <v>800</v>
      </c>
      <c r="C7037" t="s">
        <v>872</v>
      </c>
      <c r="D7037" t="s">
        <v>11</v>
      </c>
      <c r="E7037">
        <v>29</v>
      </c>
      <c r="F7037" s="2">
        <f>DATE(2026,IF(Tabla1[[#This Row],[Mes de Fecha]]="Septiembre",9,10),Tabla1[[#This Row],[Día de Fecha]])</f>
        <v>46294</v>
      </c>
      <c r="G7037">
        <v>1012337582</v>
      </c>
      <c r="H7037" t="s">
        <v>801</v>
      </c>
      <c r="I7037">
        <v>6</v>
      </c>
      <c r="J7037">
        <v>0</v>
      </c>
      <c r="K7037" s="1">
        <v>419916</v>
      </c>
    </row>
    <row r="7038" spans="1:11" x14ac:dyDescent="0.25">
      <c r="A7038" t="s">
        <v>326</v>
      </c>
      <c r="B7038" t="s">
        <v>800</v>
      </c>
      <c r="C7038" t="s">
        <v>872</v>
      </c>
      <c r="D7038" t="s">
        <v>11</v>
      </c>
      <c r="E7038">
        <v>29</v>
      </c>
      <c r="F7038" s="2">
        <f>DATE(2026,IF(Tabla1[[#This Row],[Mes de Fecha]]="Septiembre",9,10),Tabla1[[#This Row],[Día de Fecha]])</f>
        <v>46294</v>
      </c>
      <c r="G7038">
        <v>1016834696</v>
      </c>
      <c r="H7038" t="s">
        <v>782</v>
      </c>
      <c r="I7038">
        <v>3</v>
      </c>
      <c r="J7038">
        <v>0</v>
      </c>
      <c r="K7038" s="1">
        <v>201554</v>
      </c>
    </row>
    <row r="7039" spans="1:11" x14ac:dyDescent="0.25">
      <c r="A7039" t="s">
        <v>326</v>
      </c>
      <c r="B7039" t="s">
        <v>800</v>
      </c>
      <c r="C7039" t="s">
        <v>872</v>
      </c>
      <c r="D7039" t="s">
        <v>11</v>
      </c>
      <c r="E7039">
        <v>29</v>
      </c>
      <c r="F7039" s="2">
        <f>DATE(2026,IF(Tabla1[[#This Row],[Mes de Fecha]]="Septiembre",9,10),Tabla1[[#This Row],[Día de Fecha]])</f>
        <v>46294</v>
      </c>
      <c r="G7039">
        <v>1121960419</v>
      </c>
      <c r="H7039" t="s">
        <v>781</v>
      </c>
      <c r="I7039">
        <v>10</v>
      </c>
      <c r="J7039">
        <v>0</v>
      </c>
      <c r="K7039" s="1">
        <v>545799</v>
      </c>
    </row>
    <row r="7040" spans="1:11" x14ac:dyDescent="0.25">
      <c r="A7040" t="s">
        <v>326</v>
      </c>
      <c r="B7040" t="s">
        <v>800</v>
      </c>
      <c r="C7040" t="s">
        <v>872</v>
      </c>
      <c r="D7040" t="s">
        <v>11</v>
      </c>
      <c r="E7040">
        <v>30</v>
      </c>
      <c r="F7040" s="2">
        <f>DATE(2026,IF(Tabla1[[#This Row],[Mes de Fecha]]="Septiembre",9,10),Tabla1[[#This Row],[Día de Fecha]])</f>
        <v>46295</v>
      </c>
      <c r="I7040">
        <v>0</v>
      </c>
      <c r="J7040" s="1">
        <v>5642829</v>
      </c>
      <c r="K7040">
        <v>0</v>
      </c>
    </row>
    <row r="7041" spans="1:11" x14ac:dyDescent="0.25">
      <c r="A7041" t="s">
        <v>326</v>
      </c>
      <c r="B7041" t="s">
        <v>800</v>
      </c>
      <c r="C7041" t="s">
        <v>872</v>
      </c>
      <c r="D7041" t="s">
        <v>11</v>
      </c>
      <c r="E7041">
        <v>30</v>
      </c>
      <c r="F7041" s="2">
        <f>DATE(2026,IF(Tabla1[[#This Row],[Mes de Fecha]]="Septiembre",9,10),Tabla1[[#This Row],[Día de Fecha]])</f>
        <v>46295</v>
      </c>
      <c r="G7041">
        <v>1011324433</v>
      </c>
      <c r="H7041" t="s">
        <v>802</v>
      </c>
      <c r="I7041">
        <v>5</v>
      </c>
      <c r="J7041">
        <v>0</v>
      </c>
      <c r="K7041" s="1">
        <v>298109</v>
      </c>
    </row>
    <row r="7042" spans="1:11" x14ac:dyDescent="0.25">
      <c r="A7042" t="s">
        <v>326</v>
      </c>
      <c r="B7042" t="s">
        <v>800</v>
      </c>
      <c r="C7042" t="s">
        <v>872</v>
      </c>
      <c r="D7042" t="s">
        <v>11</v>
      </c>
      <c r="E7042">
        <v>30</v>
      </c>
      <c r="F7042" s="2">
        <f>DATE(2026,IF(Tabla1[[#This Row],[Mes de Fecha]]="Septiembre",9,10),Tabla1[[#This Row],[Día de Fecha]])</f>
        <v>46295</v>
      </c>
      <c r="G7042">
        <v>1012337582</v>
      </c>
      <c r="H7042" t="s">
        <v>801</v>
      </c>
      <c r="I7042">
        <v>10</v>
      </c>
      <c r="J7042">
        <v>0</v>
      </c>
      <c r="K7042" s="1">
        <v>657143</v>
      </c>
    </row>
    <row r="7043" spans="1:11" x14ac:dyDescent="0.25">
      <c r="A7043" t="s">
        <v>326</v>
      </c>
      <c r="B7043" t="s">
        <v>800</v>
      </c>
      <c r="C7043" t="s">
        <v>872</v>
      </c>
      <c r="D7043" t="s">
        <v>11</v>
      </c>
      <c r="E7043">
        <v>30</v>
      </c>
      <c r="F7043" s="2">
        <f>DATE(2026,IF(Tabla1[[#This Row],[Mes de Fecha]]="Septiembre",9,10),Tabla1[[#This Row],[Día de Fecha]])</f>
        <v>46295</v>
      </c>
      <c r="G7043">
        <v>1016834696</v>
      </c>
      <c r="H7043" t="s">
        <v>782</v>
      </c>
      <c r="I7043">
        <v>27</v>
      </c>
      <c r="J7043">
        <v>0</v>
      </c>
      <c r="K7043" s="1">
        <v>1797143</v>
      </c>
    </row>
    <row r="7044" spans="1:11" x14ac:dyDescent="0.25">
      <c r="A7044" t="s">
        <v>326</v>
      </c>
      <c r="B7044" t="s">
        <v>800</v>
      </c>
      <c r="C7044" t="s">
        <v>872</v>
      </c>
      <c r="D7044" t="s">
        <v>11</v>
      </c>
      <c r="E7044">
        <v>30</v>
      </c>
      <c r="F7044" s="2">
        <f>DATE(2026,IF(Tabla1[[#This Row],[Mes de Fecha]]="Septiembre",9,10),Tabla1[[#This Row],[Día de Fecha]])</f>
        <v>46295</v>
      </c>
      <c r="G7044">
        <v>1121960419</v>
      </c>
      <c r="H7044" t="s">
        <v>781</v>
      </c>
      <c r="I7044">
        <v>33</v>
      </c>
      <c r="J7044">
        <v>0</v>
      </c>
      <c r="K7044" s="1">
        <v>1849413</v>
      </c>
    </row>
    <row r="7045" spans="1:11" x14ac:dyDescent="0.25">
      <c r="A7045" t="s">
        <v>326</v>
      </c>
      <c r="B7045" t="s">
        <v>800</v>
      </c>
      <c r="C7045" t="s">
        <v>872</v>
      </c>
      <c r="D7045" t="s">
        <v>14</v>
      </c>
      <c r="E7045">
        <v>1</v>
      </c>
      <c r="F7045" s="2">
        <f>DATE(2026,IF(Tabla1[[#This Row],[Mes de Fecha]]="Septiembre",9,10),Tabla1[[#This Row],[Día de Fecha]])</f>
        <v>46296</v>
      </c>
      <c r="I7045">
        <v>0</v>
      </c>
      <c r="J7045" s="1">
        <v>4009737</v>
      </c>
      <c r="K7045">
        <v>0</v>
      </c>
    </row>
    <row r="7046" spans="1:11" x14ac:dyDescent="0.25">
      <c r="A7046" t="s">
        <v>326</v>
      </c>
      <c r="B7046" t="s">
        <v>800</v>
      </c>
      <c r="C7046" t="s">
        <v>872</v>
      </c>
      <c r="D7046" t="s">
        <v>14</v>
      </c>
      <c r="E7046">
        <v>1</v>
      </c>
      <c r="F7046" s="2">
        <f>DATE(2026,IF(Tabla1[[#This Row],[Mes de Fecha]]="Septiembre",9,10),Tabla1[[#This Row],[Día de Fecha]])</f>
        <v>46296</v>
      </c>
      <c r="G7046">
        <v>1011324433</v>
      </c>
      <c r="H7046" t="s">
        <v>802</v>
      </c>
      <c r="I7046">
        <v>22</v>
      </c>
      <c r="J7046">
        <v>0</v>
      </c>
      <c r="K7046" s="1">
        <v>1450674</v>
      </c>
    </row>
    <row r="7047" spans="1:11" x14ac:dyDescent="0.25">
      <c r="A7047" t="s">
        <v>326</v>
      </c>
      <c r="B7047" t="s">
        <v>800</v>
      </c>
      <c r="C7047" t="s">
        <v>872</v>
      </c>
      <c r="D7047" t="s">
        <v>14</v>
      </c>
      <c r="E7047">
        <v>1</v>
      </c>
      <c r="F7047" s="2">
        <f>DATE(2026,IF(Tabla1[[#This Row],[Mes de Fecha]]="Septiembre",9,10),Tabla1[[#This Row],[Día de Fecha]])</f>
        <v>46296</v>
      </c>
      <c r="G7047">
        <v>1012337582</v>
      </c>
      <c r="H7047" t="s">
        <v>801</v>
      </c>
      <c r="I7047">
        <v>8</v>
      </c>
      <c r="J7047">
        <v>0</v>
      </c>
      <c r="K7047" s="1">
        <v>445043</v>
      </c>
    </row>
    <row r="7048" spans="1:11" x14ac:dyDescent="0.25">
      <c r="A7048" t="s">
        <v>326</v>
      </c>
      <c r="B7048" t="s">
        <v>800</v>
      </c>
      <c r="C7048" t="s">
        <v>872</v>
      </c>
      <c r="D7048" t="s">
        <v>14</v>
      </c>
      <c r="E7048">
        <v>1</v>
      </c>
      <c r="F7048" s="2">
        <f>DATE(2026,IF(Tabla1[[#This Row],[Mes de Fecha]]="Septiembre",9,10),Tabla1[[#This Row],[Día de Fecha]])</f>
        <v>46296</v>
      </c>
      <c r="G7048">
        <v>1016834696</v>
      </c>
      <c r="H7048" t="s">
        <v>782</v>
      </c>
      <c r="I7048">
        <v>34</v>
      </c>
      <c r="J7048">
        <v>0</v>
      </c>
      <c r="K7048" s="1">
        <v>2097311</v>
      </c>
    </row>
    <row r="7049" spans="1:11" x14ac:dyDescent="0.25">
      <c r="A7049" t="s">
        <v>326</v>
      </c>
      <c r="B7049" t="s">
        <v>800</v>
      </c>
      <c r="C7049" t="s">
        <v>872</v>
      </c>
      <c r="D7049" t="s">
        <v>14</v>
      </c>
      <c r="E7049">
        <v>1</v>
      </c>
      <c r="F7049" s="2">
        <f>DATE(2026,IF(Tabla1[[#This Row],[Mes de Fecha]]="Septiembre",9,10),Tabla1[[#This Row],[Día de Fecha]])</f>
        <v>46296</v>
      </c>
      <c r="G7049">
        <v>1121960419</v>
      </c>
      <c r="H7049" t="s">
        <v>781</v>
      </c>
      <c r="I7049">
        <v>18</v>
      </c>
      <c r="J7049">
        <v>0</v>
      </c>
      <c r="K7049" s="1">
        <v>1175714</v>
      </c>
    </row>
    <row r="7050" spans="1:11" x14ac:dyDescent="0.25">
      <c r="A7050" t="s">
        <v>326</v>
      </c>
      <c r="B7050" t="s">
        <v>800</v>
      </c>
      <c r="C7050" t="s">
        <v>872</v>
      </c>
      <c r="D7050" t="s">
        <v>14</v>
      </c>
      <c r="E7050">
        <v>2</v>
      </c>
      <c r="F7050" s="2">
        <f>DATE(2026,IF(Tabla1[[#This Row],[Mes de Fecha]]="Septiembre",9,10),Tabla1[[#This Row],[Día de Fecha]])</f>
        <v>46297</v>
      </c>
      <c r="I7050">
        <v>0</v>
      </c>
      <c r="J7050" s="1">
        <v>7328428</v>
      </c>
      <c r="K7050">
        <v>0</v>
      </c>
    </row>
    <row r="7051" spans="1:11" x14ac:dyDescent="0.25">
      <c r="A7051" t="s">
        <v>326</v>
      </c>
      <c r="B7051" t="s">
        <v>800</v>
      </c>
      <c r="C7051" t="s">
        <v>872</v>
      </c>
      <c r="D7051" t="s">
        <v>14</v>
      </c>
      <c r="E7051">
        <v>2</v>
      </c>
      <c r="F7051" s="2">
        <f>DATE(2026,IF(Tabla1[[#This Row],[Mes de Fecha]]="Septiembre",9,10),Tabla1[[#This Row],[Día de Fecha]])</f>
        <v>46297</v>
      </c>
      <c r="G7051">
        <v>1011324433</v>
      </c>
      <c r="H7051" t="s">
        <v>802</v>
      </c>
      <c r="I7051">
        <v>19</v>
      </c>
      <c r="J7051">
        <v>0</v>
      </c>
      <c r="K7051" s="1">
        <v>999202</v>
      </c>
    </row>
    <row r="7052" spans="1:11" x14ac:dyDescent="0.25">
      <c r="A7052" t="s">
        <v>326</v>
      </c>
      <c r="B7052" t="s">
        <v>800</v>
      </c>
      <c r="C7052" t="s">
        <v>872</v>
      </c>
      <c r="D7052" t="s">
        <v>14</v>
      </c>
      <c r="E7052">
        <v>2</v>
      </c>
      <c r="F7052" s="2">
        <f>DATE(2026,IF(Tabla1[[#This Row],[Mes de Fecha]]="Septiembre",9,10),Tabla1[[#This Row],[Día de Fecha]])</f>
        <v>46297</v>
      </c>
      <c r="G7052">
        <v>1012337582</v>
      </c>
      <c r="H7052" t="s">
        <v>801</v>
      </c>
      <c r="I7052">
        <v>36</v>
      </c>
      <c r="J7052">
        <v>0</v>
      </c>
      <c r="K7052" s="1">
        <v>2301009</v>
      </c>
    </row>
    <row r="7053" spans="1:11" x14ac:dyDescent="0.25">
      <c r="A7053" t="s">
        <v>326</v>
      </c>
      <c r="B7053" t="s">
        <v>800</v>
      </c>
      <c r="C7053" t="s">
        <v>872</v>
      </c>
      <c r="D7053" t="s">
        <v>14</v>
      </c>
      <c r="E7053">
        <v>2</v>
      </c>
      <c r="F7053" s="2">
        <f>DATE(2026,IF(Tabla1[[#This Row],[Mes de Fecha]]="Septiembre",9,10),Tabla1[[#This Row],[Día de Fecha]])</f>
        <v>46297</v>
      </c>
      <c r="G7053">
        <v>1016834696</v>
      </c>
      <c r="H7053" t="s">
        <v>782</v>
      </c>
      <c r="I7053">
        <v>25</v>
      </c>
      <c r="J7053">
        <v>0</v>
      </c>
      <c r="K7053" s="1">
        <v>1461135</v>
      </c>
    </row>
    <row r="7054" spans="1:11" x14ac:dyDescent="0.25">
      <c r="A7054" t="s">
        <v>326</v>
      </c>
      <c r="B7054" t="s">
        <v>800</v>
      </c>
      <c r="C7054" t="s">
        <v>872</v>
      </c>
      <c r="D7054" t="s">
        <v>14</v>
      </c>
      <c r="E7054">
        <v>2</v>
      </c>
      <c r="F7054" s="2">
        <f>DATE(2026,IF(Tabla1[[#This Row],[Mes de Fecha]]="Septiembre",9,10),Tabla1[[#This Row],[Día de Fecha]])</f>
        <v>46297</v>
      </c>
      <c r="G7054">
        <v>1121960419</v>
      </c>
      <c r="H7054" t="s">
        <v>781</v>
      </c>
      <c r="I7054">
        <v>13</v>
      </c>
      <c r="J7054">
        <v>0</v>
      </c>
      <c r="K7054" s="1">
        <v>577060</v>
      </c>
    </row>
    <row r="7055" spans="1:11" x14ac:dyDescent="0.25">
      <c r="A7055" t="s">
        <v>326</v>
      </c>
      <c r="B7055" t="s">
        <v>800</v>
      </c>
      <c r="C7055" t="s">
        <v>872</v>
      </c>
      <c r="D7055" t="s">
        <v>14</v>
      </c>
      <c r="E7055">
        <v>3</v>
      </c>
      <c r="F7055" s="2">
        <f>DATE(2026,IF(Tabla1[[#This Row],[Mes de Fecha]]="Septiembre",9,10),Tabla1[[#This Row],[Día de Fecha]])</f>
        <v>46298</v>
      </c>
      <c r="I7055">
        <v>0</v>
      </c>
      <c r="J7055" s="1">
        <v>12213002</v>
      </c>
      <c r="K7055">
        <v>0</v>
      </c>
    </row>
    <row r="7056" spans="1:11" x14ac:dyDescent="0.25">
      <c r="A7056" t="s">
        <v>326</v>
      </c>
      <c r="B7056" t="s">
        <v>800</v>
      </c>
      <c r="C7056" t="s">
        <v>872</v>
      </c>
      <c r="D7056" t="s">
        <v>14</v>
      </c>
      <c r="E7056">
        <v>3</v>
      </c>
      <c r="F7056" s="2">
        <f>DATE(2026,IF(Tabla1[[#This Row],[Mes de Fecha]]="Septiembre",9,10),Tabla1[[#This Row],[Día de Fecha]])</f>
        <v>46298</v>
      </c>
      <c r="G7056">
        <v>1011324433</v>
      </c>
      <c r="H7056" t="s">
        <v>802</v>
      </c>
      <c r="I7056">
        <v>21</v>
      </c>
      <c r="J7056">
        <v>0</v>
      </c>
      <c r="K7056" s="1">
        <v>1299505</v>
      </c>
    </row>
    <row r="7057" spans="1:11" x14ac:dyDescent="0.25">
      <c r="A7057" t="s">
        <v>326</v>
      </c>
      <c r="B7057" t="s">
        <v>800</v>
      </c>
      <c r="C7057" t="s">
        <v>872</v>
      </c>
      <c r="D7057" t="s">
        <v>14</v>
      </c>
      <c r="E7057">
        <v>3</v>
      </c>
      <c r="F7057" s="2">
        <f>DATE(2026,IF(Tabla1[[#This Row],[Mes de Fecha]]="Septiembre",9,10),Tabla1[[#This Row],[Día de Fecha]])</f>
        <v>46298</v>
      </c>
      <c r="G7057">
        <v>1012337582</v>
      </c>
      <c r="H7057" t="s">
        <v>801</v>
      </c>
      <c r="I7057">
        <v>47</v>
      </c>
      <c r="J7057">
        <v>0</v>
      </c>
      <c r="K7057" s="1">
        <v>2522389</v>
      </c>
    </row>
    <row r="7058" spans="1:11" x14ac:dyDescent="0.25">
      <c r="A7058" t="s">
        <v>326</v>
      </c>
      <c r="B7058" t="s">
        <v>800</v>
      </c>
      <c r="C7058" t="s">
        <v>872</v>
      </c>
      <c r="D7058" t="s">
        <v>14</v>
      </c>
      <c r="E7058">
        <v>3</v>
      </c>
      <c r="F7058" s="2">
        <f>DATE(2026,IF(Tabla1[[#This Row],[Mes de Fecha]]="Septiembre",9,10),Tabla1[[#This Row],[Día de Fecha]])</f>
        <v>46298</v>
      </c>
      <c r="G7058">
        <v>1016834696</v>
      </c>
      <c r="H7058" t="s">
        <v>782</v>
      </c>
      <c r="I7058">
        <v>55</v>
      </c>
      <c r="J7058">
        <v>0</v>
      </c>
      <c r="K7058" s="1">
        <v>3346540</v>
      </c>
    </row>
    <row r="7059" spans="1:11" x14ac:dyDescent="0.25">
      <c r="A7059" t="s">
        <v>326</v>
      </c>
      <c r="B7059" t="s">
        <v>800</v>
      </c>
      <c r="C7059" t="s">
        <v>872</v>
      </c>
      <c r="D7059" t="s">
        <v>14</v>
      </c>
      <c r="E7059">
        <v>3</v>
      </c>
      <c r="F7059" s="2">
        <f>DATE(2026,IF(Tabla1[[#This Row],[Mes de Fecha]]="Septiembre",9,10),Tabla1[[#This Row],[Día de Fecha]])</f>
        <v>46298</v>
      </c>
      <c r="G7059">
        <v>1121960419</v>
      </c>
      <c r="H7059" t="s">
        <v>781</v>
      </c>
      <c r="I7059">
        <v>106</v>
      </c>
      <c r="J7059">
        <v>0</v>
      </c>
      <c r="K7059" s="1">
        <v>5849611</v>
      </c>
    </row>
    <row r="7060" spans="1:11" x14ac:dyDescent="0.25">
      <c r="A7060" t="s">
        <v>326</v>
      </c>
      <c r="B7060" t="s">
        <v>800</v>
      </c>
      <c r="C7060" t="s">
        <v>872</v>
      </c>
      <c r="D7060" t="s">
        <v>14</v>
      </c>
      <c r="E7060">
        <v>4</v>
      </c>
      <c r="F7060" s="2">
        <f>DATE(2026,IF(Tabla1[[#This Row],[Mes de Fecha]]="Septiembre",9,10),Tabla1[[#This Row],[Día de Fecha]])</f>
        <v>46299</v>
      </c>
      <c r="I7060">
        <v>0</v>
      </c>
      <c r="J7060" s="1">
        <v>11470125</v>
      </c>
      <c r="K7060">
        <v>0</v>
      </c>
    </row>
    <row r="7061" spans="1:11" x14ac:dyDescent="0.25">
      <c r="A7061" t="s">
        <v>326</v>
      </c>
      <c r="B7061" t="s">
        <v>800</v>
      </c>
      <c r="C7061" t="s">
        <v>872</v>
      </c>
      <c r="D7061" t="s">
        <v>14</v>
      </c>
      <c r="E7061">
        <v>4</v>
      </c>
      <c r="F7061" s="2">
        <f>DATE(2026,IF(Tabla1[[#This Row],[Mes de Fecha]]="Septiembre",9,10),Tabla1[[#This Row],[Día de Fecha]])</f>
        <v>46299</v>
      </c>
      <c r="G7061">
        <v>1011324433</v>
      </c>
      <c r="H7061" t="s">
        <v>802</v>
      </c>
      <c r="I7061">
        <v>29</v>
      </c>
      <c r="J7061">
        <v>0</v>
      </c>
      <c r="K7061" s="1">
        <v>1734075</v>
      </c>
    </row>
    <row r="7062" spans="1:11" x14ac:dyDescent="0.25">
      <c r="A7062" t="s">
        <v>326</v>
      </c>
      <c r="B7062" t="s">
        <v>800</v>
      </c>
      <c r="C7062" t="s">
        <v>872</v>
      </c>
      <c r="D7062" t="s">
        <v>14</v>
      </c>
      <c r="E7062">
        <v>4</v>
      </c>
      <c r="F7062" s="2">
        <f>DATE(2026,IF(Tabla1[[#This Row],[Mes de Fecha]]="Septiembre",9,10),Tabla1[[#This Row],[Día de Fecha]])</f>
        <v>46299</v>
      </c>
      <c r="G7062">
        <v>1012337582</v>
      </c>
      <c r="H7062" t="s">
        <v>801</v>
      </c>
      <c r="I7062">
        <v>29</v>
      </c>
      <c r="J7062">
        <v>0</v>
      </c>
      <c r="K7062" s="1">
        <v>1742437</v>
      </c>
    </row>
    <row r="7063" spans="1:11" x14ac:dyDescent="0.25">
      <c r="A7063" t="s">
        <v>326</v>
      </c>
      <c r="B7063" t="s">
        <v>800</v>
      </c>
      <c r="C7063" t="s">
        <v>872</v>
      </c>
      <c r="D7063" t="s">
        <v>14</v>
      </c>
      <c r="E7063">
        <v>4</v>
      </c>
      <c r="F7063" s="2">
        <f>DATE(2026,IF(Tabla1[[#This Row],[Mes de Fecha]]="Septiembre",9,10),Tabla1[[#This Row],[Día de Fecha]])</f>
        <v>46299</v>
      </c>
      <c r="G7063">
        <v>1016834696</v>
      </c>
      <c r="H7063" t="s">
        <v>782</v>
      </c>
      <c r="I7063">
        <v>43</v>
      </c>
      <c r="J7063">
        <v>0</v>
      </c>
      <c r="K7063" s="1">
        <v>2668321</v>
      </c>
    </row>
    <row r="7064" spans="1:11" x14ac:dyDescent="0.25">
      <c r="A7064" t="s">
        <v>326</v>
      </c>
      <c r="B7064" t="s">
        <v>800</v>
      </c>
      <c r="C7064" t="s">
        <v>872</v>
      </c>
      <c r="D7064" t="s">
        <v>14</v>
      </c>
      <c r="E7064">
        <v>4</v>
      </c>
      <c r="F7064" s="2">
        <f>DATE(2026,IF(Tabla1[[#This Row],[Mes de Fecha]]="Septiembre",9,10),Tabla1[[#This Row],[Día de Fecha]])</f>
        <v>46299</v>
      </c>
      <c r="G7064">
        <v>1121960419</v>
      </c>
      <c r="H7064" t="s">
        <v>781</v>
      </c>
      <c r="I7064">
        <v>36</v>
      </c>
      <c r="J7064">
        <v>0</v>
      </c>
      <c r="K7064" s="1">
        <v>2046807</v>
      </c>
    </row>
    <row r="7065" spans="1:11" x14ac:dyDescent="0.25">
      <c r="A7065" t="s">
        <v>326</v>
      </c>
      <c r="B7065" t="s">
        <v>800</v>
      </c>
      <c r="C7065" t="s">
        <v>872</v>
      </c>
      <c r="D7065" t="s">
        <v>14</v>
      </c>
      <c r="E7065">
        <v>5</v>
      </c>
      <c r="F7065" s="2">
        <f>DATE(2026,IF(Tabla1[[#This Row],[Mes de Fecha]]="Septiembre",9,10),Tabla1[[#This Row],[Día de Fecha]])</f>
        <v>46300</v>
      </c>
      <c r="I7065">
        <v>0</v>
      </c>
      <c r="J7065" s="1">
        <v>2861721</v>
      </c>
      <c r="K7065">
        <v>0</v>
      </c>
    </row>
    <row r="7066" spans="1:11" x14ac:dyDescent="0.25">
      <c r="A7066" t="s">
        <v>326</v>
      </c>
      <c r="B7066" t="s">
        <v>800</v>
      </c>
      <c r="C7066" t="s">
        <v>872</v>
      </c>
      <c r="D7066" t="s">
        <v>14</v>
      </c>
      <c r="E7066">
        <v>5</v>
      </c>
      <c r="F7066" s="2">
        <f>DATE(2026,IF(Tabla1[[#This Row],[Mes de Fecha]]="Septiembre",9,10),Tabla1[[#This Row],[Día de Fecha]])</f>
        <v>46300</v>
      </c>
      <c r="G7066">
        <v>1011324433</v>
      </c>
      <c r="H7066" t="s">
        <v>802</v>
      </c>
      <c r="I7066">
        <v>13</v>
      </c>
      <c r="J7066">
        <v>0</v>
      </c>
      <c r="K7066" s="1">
        <v>978404</v>
      </c>
    </row>
    <row r="7067" spans="1:11" x14ac:dyDescent="0.25">
      <c r="A7067" t="s">
        <v>326</v>
      </c>
      <c r="B7067" t="s">
        <v>800</v>
      </c>
      <c r="C7067" t="s">
        <v>872</v>
      </c>
      <c r="D7067" t="s">
        <v>14</v>
      </c>
      <c r="E7067">
        <v>5</v>
      </c>
      <c r="F7067" s="2">
        <f>DATE(2026,IF(Tabla1[[#This Row],[Mes de Fecha]]="Septiembre",9,10),Tabla1[[#This Row],[Día de Fecha]])</f>
        <v>46300</v>
      </c>
      <c r="G7067">
        <v>1012337582</v>
      </c>
      <c r="H7067" t="s">
        <v>801</v>
      </c>
      <c r="I7067">
        <v>19</v>
      </c>
      <c r="J7067">
        <v>0</v>
      </c>
      <c r="K7067" s="1">
        <v>1331135</v>
      </c>
    </row>
    <row r="7068" spans="1:11" x14ac:dyDescent="0.25">
      <c r="A7068" t="s">
        <v>326</v>
      </c>
      <c r="B7068" t="s">
        <v>800</v>
      </c>
      <c r="C7068" t="s">
        <v>872</v>
      </c>
      <c r="D7068" t="s">
        <v>14</v>
      </c>
      <c r="E7068">
        <v>5</v>
      </c>
      <c r="F7068" s="2">
        <f>DATE(2026,IF(Tabla1[[#This Row],[Mes de Fecha]]="Septiembre",9,10),Tabla1[[#This Row],[Día de Fecha]])</f>
        <v>46300</v>
      </c>
      <c r="G7068">
        <v>1016834696</v>
      </c>
      <c r="H7068" t="s">
        <v>782</v>
      </c>
      <c r="I7068">
        <v>13</v>
      </c>
      <c r="J7068">
        <v>0</v>
      </c>
      <c r="K7068" s="1">
        <v>730546</v>
      </c>
    </row>
    <row r="7069" spans="1:11" x14ac:dyDescent="0.25">
      <c r="A7069" t="s">
        <v>326</v>
      </c>
      <c r="B7069" t="s">
        <v>800</v>
      </c>
      <c r="C7069" t="s">
        <v>872</v>
      </c>
      <c r="D7069" t="s">
        <v>14</v>
      </c>
      <c r="E7069">
        <v>5</v>
      </c>
      <c r="F7069" s="2">
        <f>DATE(2026,IF(Tabla1[[#This Row],[Mes de Fecha]]="Septiembre",9,10),Tabla1[[#This Row],[Día de Fecha]])</f>
        <v>46300</v>
      </c>
      <c r="G7069">
        <v>1121960419</v>
      </c>
      <c r="H7069" t="s">
        <v>781</v>
      </c>
      <c r="I7069">
        <v>12</v>
      </c>
      <c r="J7069">
        <v>0</v>
      </c>
      <c r="K7069" s="1">
        <v>692773</v>
      </c>
    </row>
    <row r="7070" spans="1:11" x14ac:dyDescent="0.25">
      <c r="A7070" t="s">
        <v>326</v>
      </c>
      <c r="B7070" t="s">
        <v>800</v>
      </c>
      <c r="C7070" t="s">
        <v>872</v>
      </c>
      <c r="D7070" t="s">
        <v>14</v>
      </c>
      <c r="E7070">
        <v>6</v>
      </c>
      <c r="F7070" s="2">
        <f>DATE(2026,IF(Tabla1[[#This Row],[Mes de Fecha]]="Septiembre",9,10),Tabla1[[#This Row],[Día de Fecha]])</f>
        <v>46301</v>
      </c>
      <c r="I7070">
        <v>0</v>
      </c>
      <c r="J7070" s="1">
        <v>4322113</v>
      </c>
      <c r="K7070">
        <v>0</v>
      </c>
    </row>
    <row r="7071" spans="1:11" x14ac:dyDescent="0.25">
      <c r="A7071" t="s">
        <v>326</v>
      </c>
      <c r="B7071" t="s">
        <v>800</v>
      </c>
      <c r="C7071" t="s">
        <v>872</v>
      </c>
      <c r="D7071" t="s">
        <v>14</v>
      </c>
      <c r="E7071">
        <v>6</v>
      </c>
      <c r="F7071" s="2">
        <f>DATE(2026,IF(Tabla1[[#This Row],[Mes de Fecha]]="Septiembre",9,10),Tabla1[[#This Row],[Día de Fecha]])</f>
        <v>46301</v>
      </c>
      <c r="G7071">
        <v>1011324433</v>
      </c>
      <c r="H7071" t="s">
        <v>802</v>
      </c>
      <c r="I7071">
        <v>7</v>
      </c>
      <c r="J7071">
        <v>0</v>
      </c>
      <c r="K7071" s="1">
        <v>533319</v>
      </c>
    </row>
    <row r="7072" spans="1:11" x14ac:dyDescent="0.25">
      <c r="A7072" t="s">
        <v>326</v>
      </c>
      <c r="B7072" t="s">
        <v>800</v>
      </c>
      <c r="C7072" t="s">
        <v>872</v>
      </c>
      <c r="D7072" t="s">
        <v>14</v>
      </c>
      <c r="E7072">
        <v>6</v>
      </c>
      <c r="F7072" s="2">
        <f>DATE(2026,IF(Tabla1[[#This Row],[Mes de Fecha]]="Septiembre",9,10),Tabla1[[#This Row],[Día de Fecha]])</f>
        <v>46301</v>
      </c>
      <c r="G7072">
        <v>1012337582</v>
      </c>
      <c r="H7072" t="s">
        <v>801</v>
      </c>
      <c r="I7072">
        <v>1</v>
      </c>
      <c r="J7072">
        <v>0</v>
      </c>
      <c r="K7072" s="1">
        <v>96597</v>
      </c>
    </row>
    <row r="7073" spans="1:11" x14ac:dyDescent="0.25">
      <c r="A7073" t="s">
        <v>326</v>
      </c>
      <c r="B7073" t="s">
        <v>800</v>
      </c>
      <c r="C7073" t="s">
        <v>872</v>
      </c>
      <c r="D7073" t="s">
        <v>14</v>
      </c>
      <c r="E7073">
        <v>6</v>
      </c>
      <c r="F7073" s="2">
        <f>DATE(2026,IF(Tabla1[[#This Row],[Mes de Fecha]]="Septiembre",9,10),Tabla1[[#This Row],[Día de Fecha]])</f>
        <v>46301</v>
      </c>
      <c r="G7073">
        <v>1016834696</v>
      </c>
      <c r="H7073" t="s">
        <v>782</v>
      </c>
      <c r="I7073">
        <v>7</v>
      </c>
      <c r="J7073">
        <v>0</v>
      </c>
      <c r="K7073" s="1">
        <v>394664</v>
      </c>
    </row>
    <row r="7074" spans="1:11" x14ac:dyDescent="0.25">
      <c r="A7074" t="s">
        <v>326</v>
      </c>
      <c r="B7074" t="s">
        <v>800</v>
      </c>
      <c r="C7074" t="s">
        <v>872</v>
      </c>
      <c r="D7074" t="s">
        <v>14</v>
      </c>
      <c r="E7074">
        <v>6</v>
      </c>
      <c r="F7074" s="2">
        <f>DATE(2026,IF(Tabla1[[#This Row],[Mes de Fecha]]="Septiembre",9,10),Tabla1[[#This Row],[Día de Fecha]])</f>
        <v>46301</v>
      </c>
      <c r="G7074">
        <v>1121960419</v>
      </c>
      <c r="H7074" t="s">
        <v>781</v>
      </c>
      <c r="I7074">
        <v>5</v>
      </c>
      <c r="J7074">
        <v>0</v>
      </c>
      <c r="K7074" s="1">
        <v>214075</v>
      </c>
    </row>
    <row r="7075" spans="1:11" x14ac:dyDescent="0.25">
      <c r="A7075" t="s">
        <v>326</v>
      </c>
      <c r="B7075" t="s">
        <v>800</v>
      </c>
      <c r="C7075" t="s">
        <v>872</v>
      </c>
      <c r="D7075" t="s">
        <v>14</v>
      </c>
      <c r="E7075">
        <v>7</v>
      </c>
      <c r="F7075" s="2">
        <f>DATE(2026,IF(Tabla1[[#This Row],[Mes de Fecha]]="Septiembre",9,10),Tabla1[[#This Row],[Día de Fecha]])</f>
        <v>46302</v>
      </c>
      <c r="I7075">
        <v>0</v>
      </c>
      <c r="J7075" s="1">
        <v>4265240</v>
      </c>
      <c r="K7075">
        <v>0</v>
      </c>
    </row>
    <row r="7076" spans="1:11" x14ac:dyDescent="0.25">
      <c r="A7076" t="s">
        <v>326</v>
      </c>
      <c r="B7076" t="s">
        <v>800</v>
      </c>
      <c r="C7076" t="s">
        <v>872</v>
      </c>
      <c r="D7076" t="s">
        <v>14</v>
      </c>
      <c r="E7076">
        <v>7</v>
      </c>
      <c r="F7076" s="2">
        <f>DATE(2026,IF(Tabla1[[#This Row],[Mes de Fecha]]="Septiembre",9,10),Tabla1[[#This Row],[Día de Fecha]])</f>
        <v>46302</v>
      </c>
      <c r="G7076">
        <v>1011324433</v>
      </c>
      <c r="H7076" t="s">
        <v>802</v>
      </c>
      <c r="I7076">
        <v>13</v>
      </c>
      <c r="J7076">
        <v>0</v>
      </c>
      <c r="K7076" s="1">
        <v>881808</v>
      </c>
    </row>
    <row r="7077" spans="1:11" x14ac:dyDescent="0.25">
      <c r="A7077" t="s">
        <v>326</v>
      </c>
      <c r="B7077" t="s">
        <v>800</v>
      </c>
      <c r="C7077" t="s">
        <v>872</v>
      </c>
      <c r="D7077" t="s">
        <v>14</v>
      </c>
      <c r="E7077">
        <v>7</v>
      </c>
      <c r="F7077" s="2">
        <f>DATE(2026,IF(Tabla1[[#This Row],[Mes de Fecha]]="Septiembre",9,10),Tabla1[[#This Row],[Día de Fecha]])</f>
        <v>46302</v>
      </c>
      <c r="G7077">
        <v>1012337582</v>
      </c>
      <c r="H7077" t="s">
        <v>801</v>
      </c>
      <c r="I7077">
        <v>11</v>
      </c>
      <c r="J7077">
        <v>0</v>
      </c>
      <c r="K7077" s="1">
        <v>617186</v>
      </c>
    </row>
    <row r="7078" spans="1:11" x14ac:dyDescent="0.25">
      <c r="A7078" t="s">
        <v>326</v>
      </c>
      <c r="B7078" t="s">
        <v>800</v>
      </c>
      <c r="C7078" t="s">
        <v>872</v>
      </c>
      <c r="D7078" t="s">
        <v>14</v>
      </c>
      <c r="E7078">
        <v>7</v>
      </c>
      <c r="F7078" s="2">
        <f>DATE(2026,IF(Tabla1[[#This Row],[Mes de Fecha]]="Septiembre",9,10),Tabla1[[#This Row],[Día de Fecha]])</f>
        <v>46302</v>
      </c>
      <c r="G7078">
        <v>1016834696</v>
      </c>
      <c r="H7078" t="s">
        <v>782</v>
      </c>
      <c r="I7078">
        <v>7</v>
      </c>
      <c r="J7078">
        <v>0</v>
      </c>
      <c r="K7078" s="1">
        <v>600546</v>
      </c>
    </row>
    <row r="7079" spans="1:11" x14ac:dyDescent="0.25">
      <c r="A7079" t="s">
        <v>326</v>
      </c>
      <c r="B7079" t="s">
        <v>848</v>
      </c>
      <c r="C7079" t="s">
        <v>872</v>
      </c>
      <c r="D7079" t="s">
        <v>11</v>
      </c>
      <c r="E7079">
        <v>23</v>
      </c>
      <c r="F7079" s="2">
        <f>DATE(2026,IF(Tabla1[[#This Row],[Mes de Fecha]]="Septiembre",9,10),Tabla1[[#This Row],[Día de Fecha]])</f>
        <v>46288</v>
      </c>
      <c r="I7079">
        <v>0</v>
      </c>
      <c r="J7079" s="1">
        <v>9326402</v>
      </c>
      <c r="K7079">
        <v>0</v>
      </c>
    </row>
    <row r="7080" spans="1:11" x14ac:dyDescent="0.25">
      <c r="A7080" t="s">
        <v>326</v>
      </c>
      <c r="B7080" t="s">
        <v>848</v>
      </c>
      <c r="C7080" t="s">
        <v>872</v>
      </c>
      <c r="D7080" t="s">
        <v>11</v>
      </c>
      <c r="E7080">
        <v>23</v>
      </c>
      <c r="F7080" s="2">
        <f>DATE(2026,IF(Tabla1[[#This Row],[Mes de Fecha]]="Septiembre",9,10),Tabla1[[#This Row],[Día de Fecha]])</f>
        <v>46288</v>
      </c>
      <c r="G7080">
        <v>52324929</v>
      </c>
      <c r="H7080" t="s">
        <v>555</v>
      </c>
      <c r="I7080">
        <v>66</v>
      </c>
      <c r="J7080">
        <v>0</v>
      </c>
      <c r="K7080" s="1">
        <v>2824412</v>
      </c>
    </row>
    <row r="7081" spans="1:11" x14ac:dyDescent="0.25">
      <c r="A7081" t="s">
        <v>326</v>
      </c>
      <c r="B7081" t="s">
        <v>848</v>
      </c>
      <c r="C7081" t="s">
        <v>872</v>
      </c>
      <c r="D7081" t="s">
        <v>11</v>
      </c>
      <c r="E7081">
        <v>23</v>
      </c>
      <c r="F7081" s="2">
        <f>DATE(2026,IF(Tabla1[[#This Row],[Mes de Fecha]]="Septiembre",9,10),Tabla1[[#This Row],[Día de Fecha]])</f>
        <v>46288</v>
      </c>
      <c r="G7081">
        <v>52805111</v>
      </c>
      <c r="H7081" t="s">
        <v>689</v>
      </c>
      <c r="I7081">
        <v>17</v>
      </c>
      <c r="J7081">
        <v>0</v>
      </c>
      <c r="K7081" s="1">
        <v>730168</v>
      </c>
    </row>
    <row r="7082" spans="1:11" x14ac:dyDescent="0.25">
      <c r="A7082" t="s">
        <v>326</v>
      </c>
      <c r="B7082" t="s">
        <v>848</v>
      </c>
      <c r="C7082" t="s">
        <v>872</v>
      </c>
      <c r="D7082" t="s">
        <v>11</v>
      </c>
      <c r="E7082">
        <v>23</v>
      </c>
      <c r="F7082" s="2">
        <f>DATE(2026,IF(Tabla1[[#This Row],[Mes de Fecha]]="Septiembre",9,10),Tabla1[[#This Row],[Día de Fecha]])</f>
        <v>46288</v>
      </c>
      <c r="G7082">
        <v>1012357095</v>
      </c>
      <c r="H7082" t="s">
        <v>849</v>
      </c>
      <c r="I7082">
        <v>21</v>
      </c>
      <c r="J7082">
        <v>0</v>
      </c>
      <c r="K7082" s="1">
        <v>1209076</v>
      </c>
    </row>
    <row r="7083" spans="1:11" x14ac:dyDescent="0.25">
      <c r="A7083" t="s">
        <v>326</v>
      </c>
      <c r="B7083" t="s">
        <v>848</v>
      </c>
      <c r="C7083" t="s">
        <v>872</v>
      </c>
      <c r="D7083" t="s">
        <v>11</v>
      </c>
      <c r="E7083">
        <v>23</v>
      </c>
      <c r="F7083" s="2">
        <f>DATE(2026,IF(Tabla1[[#This Row],[Mes de Fecha]]="Septiembre",9,10),Tabla1[[#This Row],[Día de Fecha]])</f>
        <v>46288</v>
      </c>
      <c r="G7083">
        <v>1013099328</v>
      </c>
      <c r="H7083" t="s">
        <v>850</v>
      </c>
      <c r="I7083">
        <v>2</v>
      </c>
      <c r="J7083">
        <v>0</v>
      </c>
      <c r="K7083" s="1">
        <v>50294</v>
      </c>
    </row>
    <row r="7084" spans="1:11" x14ac:dyDescent="0.25">
      <c r="A7084" t="s">
        <v>326</v>
      </c>
      <c r="B7084" t="s">
        <v>848</v>
      </c>
      <c r="C7084" t="s">
        <v>872</v>
      </c>
      <c r="D7084" t="s">
        <v>11</v>
      </c>
      <c r="E7084">
        <v>24</v>
      </c>
      <c r="F7084" s="2">
        <f>DATE(2026,IF(Tabla1[[#This Row],[Mes de Fecha]]="Septiembre",9,10),Tabla1[[#This Row],[Día de Fecha]])</f>
        <v>46289</v>
      </c>
      <c r="I7084">
        <v>0</v>
      </c>
      <c r="J7084" s="1">
        <v>14247129</v>
      </c>
      <c r="K7084">
        <v>0</v>
      </c>
    </row>
    <row r="7085" spans="1:11" x14ac:dyDescent="0.25">
      <c r="A7085" t="s">
        <v>326</v>
      </c>
      <c r="B7085" t="s">
        <v>848</v>
      </c>
      <c r="C7085" t="s">
        <v>872</v>
      </c>
      <c r="D7085" t="s">
        <v>11</v>
      </c>
      <c r="E7085">
        <v>24</v>
      </c>
      <c r="F7085" s="2">
        <f>DATE(2026,IF(Tabla1[[#This Row],[Mes de Fecha]]="Septiembre",9,10),Tabla1[[#This Row],[Día de Fecha]])</f>
        <v>46289</v>
      </c>
      <c r="G7085">
        <v>52324929</v>
      </c>
      <c r="H7085" t="s">
        <v>555</v>
      </c>
      <c r="I7085">
        <v>15</v>
      </c>
      <c r="J7085">
        <v>0</v>
      </c>
      <c r="K7085" s="1">
        <v>574705</v>
      </c>
    </row>
    <row r="7086" spans="1:11" x14ac:dyDescent="0.25">
      <c r="A7086" t="s">
        <v>326</v>
      </c>
      <c r="B7086" t="s">
        <v>848</v>
      </c>
      <c r="C7086" t="s">
        <v>872</v>
      </c>
      <c r="D7086" t="s">
        <v>11</v>
      </c>
      <c r="E7086">
        <v>24</v>
      </c>
      <c r="F7086" s="2">
        <f>DATE(2026,IF(Tabla1[[#This Row],[Mes de Fecha]]="Septiembre",9,10),Tabla1[[#This Row],[Día de Fecha]])</f>
        <v>46289</v>
      </c>
      <c r="G7086">
        <v>52805111</v>
      </c>
      <c r="H7086" t="s">
        <v>689</v>
      </c>
      <c r="I7086">
        <v>22</v>
      </c>
      <c r="J7086">
        <v>0</v>
      </c>
      <c r="K7086" s="1">
        <v>1225673</v>
      </c>
    </row>
    <row r="7087" spans="1:11" x14ac:dyDescent="0.25">
      <c r="A7087" t="s">
        <v>326</v>
      </c>
      <c r="B7087" t="s">
        <v>848</v>
      </c>
      <c r="C7087" t="s">
        <v>872</v>
      </c>
      <c r="D7087" t="s">
        <v>11</v>
      </c>
      <c r="E7087">
        <v>24</v>
      </c>
      <c r="F7087" s="2">
        <f>DATE(2026,IF(Tabla1[[#This Row],[Mes de Fecha]]="Septiembre",9,10),Tabla1[[#This Row],[Día de Fecha]])</f>
        <v>46289</v>
      </c>
      <c r="G7087">
        <v>1000130743</v>
      </c>
      <c r="H7087" t="s">
        <v>851</v>
      </c>
      <c r="I7087">
        <v>10</v>
      </c>
      <c r="J7087">
        <v>0</v>
      </c>
      <c r="K7087" s="1">
        <v>554118</v>
      </c>
    </row>
    <row r="7088" spans="1:11" x14ac:dyDescent="0.25">
      <c r="A7088" t="s">
        <v>326</v>
      </c>
      <c r="B7088" t="s">
        <v>848</v>
      </c>
      <c r="C7088" t="s">
        <v>872</v>
      </c>
      <c r="D7088" t="s">
        <v>11</v>
      </c>
      <c r="E7088">
        <v>24</v>
      </c>
      <c r="F7088" s="2">
        <f>DATE(2026,IF(Tabla1[[#This Row],[Mes de Fecha]]="Septiembre",9,10),Tabla1[[#This Row],[Día de Fecha]])</f>
        <v>46289</v>
      </c>
      <c r="G7088">
        <v>1012357095</v>
      </c>
      <c r="H7088" t="s">
        <v>849</v>
      </c>
      <c r="I7088">
        <v>14</v>
      </c>
      <c r="J7088">
        <v>0</v>
      </c>
      <c r="K7088" s="1">
        <v>654873</v>
      </c>
    </row>
    <row r="7089" spans="1:11" x14ac:dyDescent="0.25">
      <c r="A7089" t="s">
        <v>326</v>
      </c>
      <c r="B7089" t="s">
        <v>848</v>
      </c>
      <c r="C7089" t="s">
        <v>872</v>
      </c>
      <c r="D7089" t="s">
        <v>11</v>
      </c>
      <c r="E7089">
        <v>24</v>
      </c>
      <c r="F7089" s="2">
        <f>DATE(2026,IF(Tabla1[[#This Row],[Mes de Fecha]]="Septiembre",9,10),Tabla1[[#This Row],[Día de Fecha]])</f>
        <v>46289</v>
      </c>
      <c r="G7089">
        <v>1013099328</v>
      </c>
      <c r="H7089" t="s">
        <v>850</v>
      </c>
      <c r="I7089">
        <v>12</v>
      </c>
      <c r="J7089">
        <v>0</v>
      </c>
      <c r="K7089" s="1">
        <v>545589</v>
      </c>
    </row>
    <row r="7090" spans="1:11" x14ac:dyDescent="0.25">
      <c r="A7090" t="s">
        <v>326</v>
      </c>
      <c r="B7090" t="s">
        <v>848</v>
      </c>
      <c r="C7090" t="s">
        <v>872</v>
      </c>
      <c r="D7090" t="s">
        <v>11</v>
      </c>
      <c r="E7090">
        <v>25</v>
      </c>
      <c r="F7090" s="2">
        <f>DATE(2026,IF(Tabla1[[#This Row],[Mes de Fecha]]="Septiembre",9,10),Tabla1[[#This Row],[Día de Fecha]])</f>
        <v>46290</v>
      </c>
      <c r="I7090">
        <v>0</v>
      </c>
      <c r="J7090" s="1">
        <v>14215590</v>
      </c>
      <c r="K7090">
        <v>0</v>
      </c>
    </row>
    <row r="7091" spans="1:11" x14ac:dyDescent="0.25">
      <c r="A7091" t="s">
        <v>326</v>
      </c>
      <c r="B7091" t="s">
        <v>848</v>
      </c>
      <c r="C7091" t="s">
        <v>872</v>
      </c>
      <c r="D7091" t="s">
        <v>11</v>
      </c>
      <c r="E7091">
        <v>25</v>
      </c>
      <c r="F7091" s="2">
        <f>DATE(2026,IF(Tabla1[[#This Row],[Mes de Fecha]]="Septiembre",9,10),Tabla1[[#This Row],[Día de Fecha]])</f>
        <v>46290</v>
      </c>
      <c r="G7091">
        <v>52324929</v>
      </c>
      <c r="H7091" t="s">
        <v>555</v>
      </c>
      <c r="I7091">
        <v>28</v>
      </c>
      <c r="J7091">
        <v>0</v>
      </c>
      <c r="K7091" s="1">
        <v>1080294</v>
      </c>
    </row>
    <row r="7092" spans="1:11" x14ac:dyDescent="0.25">
      <c r="A7092" t="s">
        <v>326</v>
      </c>
      <c r="B7092" t="s">
        <v>848</v>
      </c>
      <c r="C7092" t="s">
        <v>872</v>
      </c>
      <c r="D7092" t="s">
        <v>11</v>
      </c>
      <c r="E7092">
        <v>25</v>
      </c>
      <c r="F7092" s="2">
        <f>DATE(2026,IF(Tabla1[[#This Row],[Mes de Fecha]]="Septiembre",9,10),Tabla1[[#This Row],[Día de Fecha]])</f>
        <v>46290</v>
      </c>
      <c r="G7092">
        <v>52805111</v>
      </c>
      <c r="H7092" t="s">
        <v>689</v>
      </c>
      <c r="I7092">
        <v>18</v>
      </c>
      <c r="J7092">
        <v>0</v>
      </c>
      <c r="K7092" s="1">
        <v>654622</v>
      </c>
    </row>
    <row r="7093" spans="1:11" x14ac:dyDescent="0.25">
      <c r="A7093" t="s">
        <v>326</v>
      </c>
      <c r="B7093" t="s">
        <v>848</v>
      </c>
      <c r="C7093" t="s">
        <v>872</v>
      </c>
      <c r="D7093" t="s">
        <v>11</v>
      </c>
      <c r="E7093">
        <v>25</v>
      </c>
      <c r="F7093" s="2">
        <f>DATE(2026,IF(Tabla1[[#This Row],[Mes de Fecha]]="Septiembre",9,10),Tabla1[[#This Row],[Día de Fecha]])</f>
        <v>46290</v>
      </c>
      <c r="G7093">
        <v>1000130743</v>
      </c>
      <c r="H7093" t="s">
        <v>851</v>
      </c>
      <c r="I7093">
        <v>25</v>
      </c>
      <c r="J7093">
        <v>0</v>
      </c>
      <c r="K7093" s="1">
        <v>1061765</v>
      </c>
    </row>
    <row r="7094" spans="1:11" x14ac:dyDescent="0.25">
      <c r="A7094" t="s">
        <v>326</v>
      </c>
      <c r="B7094" t="s">
        <v>848</v>
      </c>
      <c r="C7094" t="s">
        <v>872</v>
      </c>
      <c r="D7094" t="s">
        <v>11</v>
      </c>
      <c r="E7094">
        <v>25</v>
      </c>
      <c r="F7094" s="2">
        <f>DATE(2026,IF(Tabla1[[#This Row],[Mes de Fecha]]="Septiembre",9,10),Tabla1[[#This Row],[Día de Fecha]])</f>
        <v>46290</v>
      </c>
      <c r="G7094">
        <v>1012357095</v>
      </c>
      <c r="H7094" t="s">
        <v>849</v>
      </c>
      <c r="I7094">
        <v>10</v>
      </c>
      <c r="J7094">
        <v>0</v>
      </c>
      <c r="K7094" s="1">
        <v>596051</v>
      </c>
    </row>
    <row r="7095" spans="1:11" x14ac:dyDescent="0.25">
      <c r="A7095" t="s">
        <v>326</v>
      </c>
      <c r="B7095" t="s">
        <v>848</v>
      </c>
      <c r="C7095" t="s">
        <v>872</v>
      </c>
      <c r="D7095" t="s">
        <v>11</v>
      </c>
      <c r="E7095">
        <v>25</v>
      </c>
      <c r="F7095" s="2">
        <f>DATE(2026,IF(Tabla1[[#This Row],[Mes de Fecha]]="Septiembre",9,10),Tabla1[[#This Row],[Día de Fecha]])</f>
        <v>46290</v>
      </c>
      <c r="G7095">
        <v>1013099328</v>
      </c>
      <c r="H7095" t="s">
        <v>850</v>
      </c>
      <c r="I7095">
        <v>10</v>
      </c>
      <c r="J7095">
        <v>0</v>
      </c>
      <c r="K7095" s="1">
        <v>459665</v>
      </c>
    </row>
    <row r="7096" spans="1:11" x14ac:dyDescent="0.25">
      <c r="A7096" t="s">
        <v>326</v>
      </c>
      <c r="B7096" t="s">
        <v>848</v>
      </c>
      <c r="C7096" t="s">
        <v>872</v>
      </c>
      <c r="D7096" t="s">
        <v>11</v>
      </c>
      <c r="E7096">
        <v>26</v>
      </c>
      <c r="F7096" s="2">
        <f>DATE(2026,IF(Tabla1[[#This Row],[Mes de Fecha]]="Septiembre",9,10),Tabla1[[#This Row],[Día de Fecha]])</f>
        <v>46291</v>
      </c>
      <c r="I7096">
        <v>0</v>
      </c>
      <c r="J7096" s="1">
        <v>20429847</v>
      </c>
      <c r="K7096">
        <v>0</v>
      </c>
    </row>
    <row r="7097" spans="1:11" x14ac:dyDescent="0.25">
      <c r="A7097" t="s">
        <v>326</v>
      </c>
      <c r="B7097" t="s">
        <v>848</v>
      </c>
      <c r="C7097" t="s">
        <v>872</v>
      </c>
      <c r="D7097" t="s">
        <v>11</v>
      </c>
      <c r="E7097">
        <v>26</v>
      </c>
      <c r="F7097" s="2">
        <f>DATE(2026,IF(Tabla1[[#This Row],[Mes de Fecha]]="Septiembre",9,10),Tabla1[[#This Row],[Día de Fecha]])</f>
        <v>46291</v>
      </c>
      <c r="G7097">
        <v>52324929</v>
      </c>
      <c r="H7097" t="s">
        <v>555</v>
      </c>
      <c r="I7097">
        <v>27</v>
      </c>
      <c r="J7097">
        <v>0</v>
      </c>
      <c r="K7097" s="1">
        <v>1276050</v>
      </c>
    </row>
    <row r="7098" spans="1:11" x14ac:dyDescent="0.25">
      <c r="A7098" t="s">
        <v>326</v>
      </c>
      <c r="B7098" t="s">
        <v>848</v>
      </c>
      <c r="C7098" t="s">
        <v>872</v>
      </c>
      <c r="D7098" t="s">
        <v>11</v>
      </c>
      <c r="E7098">
        <v>26</v>
      </c>
      <c r="F7098" s="2">
        <f>DATE(2026,IF(Tabla1[[#This Row],[Mes de Fecha]]="Septiembre",9,10),Tabla1[[#This Row],[Día de Fecha]])</f>
        <v>46291</v>
      </c>
      <c r="G7098">
        <v>52805111</v>
      </c>
      <c r="H7098" t="s">
        <v>689</v>
      </c>
      <c r="I7098">
        <v>47</v>
      </c>
      <c r="J7098">
        <v>0</v>
      </c>
      <c r="K7098" s="1">
        <v>2136178</v>
      </c>
    </row>
    <row r="7099" spans="1:11" x14ac:dyDescent="0.25">
      <c r="A7099" t="s">
        <v>326</v>
      </c>
      <c r="B7099" t="s">
        <v>848</v>
      </c>
      <c r="C7099" t="s">
        <v>872</v>
      </c>
      <c r="D7099" t="s">
        <v>11</v>
      </c>
      <c r="E7099">
        <v>26</v>
      </c>
      <c r="F7099" s="2">
        <f>DATE(2026,IF(Tabla1[[#This Row],[Mes de Fecha]]="Septiembre",9,10),Tabla1[[#This Row],[Día de Fecha]])</f>
        <v>46291</v>
      </c>
      <c r="G7099">
        <v>1000130743</v>
      </c>
      <c r="H7099" t="s">
        <v>851</v>
      </c>
      <c r="I7099">
        <v>18</v>
      </c>
      <c r="J7099">
        <v>0</v>
      </c>
      <c r="K7099" s="1">
        <v>826851</v>
      </c>
    </row>
    <row r="7100" spans="1:11" x14ac:dyDescent="0.25">
      <c r="A7100" t="s">
        <v>326</v>
      </c>
      <c r="B7100" t="s">
        <v>848</v>
      </c>
      <c r="C7100" t="s">
        <v>872</v>
      </c>
      <c r="D7100" t="s">
        <v>11</v>
      </c>
      <c r="E7100">
        <v>26</v>
      </c>
      <c r="F7100" s="2">
        <f>DATE(2026,IF(Tabla1[[#This Row],[Mes de Fecha]]="Septiembre",9,10),Tabla1[[#This Row],[Día de Fecha]])</f>
        <v>46291</v>
      </c>
      <c r="G7100">
        <v>1012357095</v>
      </c>
      <c r="H7100" t="s">
        <v>849</v>
      </c>
      <c r="I7100">
        <v>37</v>
      </c>
      <c r="J7100">
        <v>0</v>
      </c>
      <c r="K7100" s="1">
        <v>2073824</v>
      </c>
    </row>
    <row r="7101" spans="1:11" x14ac:dyDescent="0.25">
      <c r="A7101" t="s">
        <v>326</v>
      </c>
      <c r="B7101" t="s">
        <v>848</v>
      </c>
      <c r="C7101" t="s">
        <v>872</v>
      </c>
      <c r="D7101" t="s">
        <v>11</v>
      </c>
      <c r="E7101">
        <v>26</v>
      </c>
      <c r="F7101" s="2">
        <f>DATE(2026,IF(Tabla1[[#This Row],[Mes de Fecha]]="Septiembre",9,10),Tabla1[[#This Row],[Día de Fecha]])</f>
        <v>46291</v>
      </c>
      <c r="G7101">
        <v>1013099328</v>
      </c>
      <c r="H7101" t="s">
        <v>850</v>
      </c>
      <c r="I7101">
        <v>31</v>
      </c>
      <c r="J7101">
        <v>0</v>
      </c>
      <c r="K7101" s="1">
        <v>1435462</v>
      </c>
    </row>
    <row r="7102" spans="1:11" x14ac:dyDescent="0.25">
      <c r="A7102" t="s">
        <v>326</v>
      </c>
      <c r="B7102" t="s">
        <v>848</v>
      </c>
      <c r="C7102" t="s">
        <v>872</v>
      </c>
      <c r="D7102" t="s">
        <v>11</v>
      </c>
      <c r="E7102">
        <v>27</v>
      </c>
      <c r="F7102" s="2">
        <f>DATE(2026,IF(Tabla1[[#This Row],[Mes de Fecha]]="Septiembre",9,10),Tabla1[[#This Row],[Día de Fecha]])</f>
        <v>46292</v>
      </c>
      <c r="I7102">
        <v>0</v>
      </c>
      <c r="J7102" s="1">
        <v>16184551</v>
      </c>
      <c r="K7102">
        <v>0</v>
      </c>
    </row>
    <row r="7103" spans="1:11" x14ac:dyDescent="0.25">
      <c r="A7103" t="s">
        <v>326</v>
      </c>
      <c r="B7103" t="s">
        <v>848</v>
      </c>
      <c r="C7103" t="s">
        <v>872</v>
      </c>
      <c r="D7103" t="s">
        <v>11</v>
      </c>
      <c r="E7103">
        <v>27</v>
      </c>
      <c r="F7103" s="2">
        <f>DATE(2026,IF(Tabla1[[#This Row],[Mes de Fecha]]="Septiembre",9,10),Tabla1[[#This Row],[Día de Fecha]])</f>
        <v>46292</v>
      </c>
      <c r="G7103">
        <v>52324929</v>
      </c>
      <c r="H7103" t="s">
        <v>555</v>
      </c>
      <c r="I7103">
        <v>91</v>
      </c>
      <c r="J7103">
        <v>0</v>
      </c>
      <c r="K7103" s="1">
        <v>5621723</v>
      </c>
    </row>
    <row r="7104" spans="1:11" x14ac:dyDescent="0.25">
      <c r="A7104" t="s">
        <v>326</v>
      </c>
      <c r="B7104" t="s">
        <v>848</v>
      </c>
      <c r="C7104" t="s">
        <v>872</v>
      </c>
      <c r="D7104" t="s">
        <v>11</v>
      </c>
      <c r="E7104">
        <v>27</v>
      </c>
      <c r="F7104" s="2">
        <f>DATE(2026,IF(Tabla1[[#This Row],[Mes de Fecha]]="Septiembre",9,10),Tabla1[[#This Row],[Día de Fecha]])</f>
        <v>46292</v>
      </c>
      <c r="G7104">
        <v>52805111</v>
      </c>
      <c r="H7104" t="s">
        <v>689</v>
      </c>
      <c r="I7104">
        <v>70</v>
      </c>
      <c r="J7104">
        <v>0</v>
      </c>
      <c r="K7104" s="1">
        <v>3046809</v>
      </c>
    </row>
    <row r="7105" spans="1:11" x14ac:dyDescent="0.25">
      <c r="A7105" t="s">
        <v>326</v>
      </c>
      <c r="B7105" t="s">
        <v>848</v>
      </c>
      <c r="C7105" t="s">
        <v>872</v>
      </c>
      <c r="D7105" t="s">
        <v>11</v>
      </c>
      <c r="E7105">
        <v>27</v>
      </c>
      <c r="F7105" s="2">
        <f>DATE(2026,IF(Tabla1[[#This Row],[Mes de Fecha]]="Septiembre",9,10),Tabla1[[#This Row],[Día de Fecha]])</f>
        <v>46292</v>
      </c>
      <c r="G7105">
        <v>1000130743</v>
      </c>
      <c r="H7105" t="s">
        <v>851</v>
      </c>
      <c r="I7105">
        <v>43</v>
      </c>
      <c r="J7105">
        <v>0</v>
      </c>
      <c r="K7105" s="1">
        <v>2739666</v>
      </c>
    </row>
    <row r="7106" spans="1:11" x14ac:dyDescent="0.25">
      <c r="A7106" t="s">
        <v>326</v>
      </c>
      <c r="B7106" t="s">
        <v>848</v>
      </c>
      <c r="C7106" t="s">
        <v>872</v>
      </c>
      <c r="D7106" t="s">
        <v>11</v>
      </c>
      <c r="E7106">
        <v>27</v>
      </c>
      <c r="F7106" s="2">
        <f>DATE(2026,IF(Tabla1[[#This Row],[Mes de Fecha]]="Septiembre",9,10),Tabla1[[#This Row],[Día de Fecha]])</f>
        <v>46292</v>
      </c>
      <c r="G7106">
        <v>1012357095</v>
      </c>
      <c r="H7106" t="s">
        <v>849</v>
      </c>
      <c r="I7106">
        <v>45</v>
      </c>
      <c r="J7106">
        <v>0</v>
      </c>
      <c r="K7106" s="1">
        <v>2149035</v>
      </c>
    </row>
    <row r="7107" spans="1:11" x14ac:dyDescent="0.25">
      <c r="A7107" t="s">
        <v>326</v>
      </c>
      <c r="B7107" t="s">
        <v>848</v>
      </c>
      <c r="C7107" t="s">
        <v>872</v>
      </c>
      <c r="D7107" t="s">
        <v>11</v>
      </c>
      <c r="E7107">
        <v>27</v>
      </c>
      <c r="F7107" s="2">
        <f>DATE(2026,IF(Tabla1[[#This Row],[Mes de Fecha]]="Septiembre",9,10),Tabla1[[#This Row],[Día de Fecha]])</f>
        <v>46292</v>
      </c>
      <c r="G7107">
        <v>1013099328</v>
      </c>
      <c r="H7107" t="s">
        <v>850</v>
      </c>
      <c r="I7107">
        <v>38</v>
      </c>
      <c r="J7107">
        <v>0</v>
      </c>
      <c r="K7107" s="1">
        <v>1653740</v>
      </c>
    </row>
    <row r="7108" spans="1:11" x14ac:dyDescent="0.25">
      <c r="A7108" t="s">
        <v>326</v>
      </c>
      <c r="B7108" t="s">
        <v>848</v>
      </c>
      <c r="C7108" t="s">
        <v>872</v>
      </c>
      <c r="D7108" t="s">
        <v>11</v>
      </c>
      <c r="E7108">
        <v>28</v>
      </c>
      <c r="F7108" s="2">
        <f>DATE(2026,IF(Tabla1[[#This Row],[Mes de Fecha]]="Septiembre",9,10),Tabla1[[#This Row],[Día de Fecha]])</f>
        <v>46293</v>
      </c>
      <c r="I7108">
        <v>0</v>
      </c>
      <c r="J7108" s="1">
        <v>9112620</v>
      </c>
      <c r="K7108">
        <v>0</v>
      </c>
    </row>
    <row r="7109" spans="1:11" x14ac:dyDescent="0.25">
      <c r="A7109" t="s">
        <v>326</v>
      </c>
      <c r="B7109" t="s">
        <v>848</v>
      </c>
      <c r="C7109" t="s">
        <v>872</v>
      </c>
      <c r="D7109" t="s">
        <v>11</v>
      </c>
      <c r="E7109">
        <v>28</v>
      </c>
      <c r="F7109" s="2">
        <f>DATE(2026,IF(Tabla1[[#This Row],[Mes de Fecha]]="Septiembre",9,10),Tabla1[[#This Row],[Día de Fecha]])</f>
        <v>46293</v>
      </c>
      <c r="G7109">
        <v>52324929</v>
      </c>
      <c r="H7109" t="s">
        <v>555</v>
      </c>
      <c r="I7109">
        <v>6</v>
      </c>
      <c r="J7109">
        <v>0</v>
      </c>
      <c r="K7109" s="1">
        <v>369454</v>
      </c>
    </row>
    <row r="7110" spans="1:11" x14ac:dyDescent="0.25">
      <c r="A7110" t="s">
        <v>326</v>
      </c>
      <c r="B7110" t="s">
        <v>848</v>
      </c>
      <c r="C7110" t="s">
        <v>872</v>
      </c>
      <c r="D7110" t="s">
        <v>11</v>
      </c>
      <c r="E7110">
        <v>28</v>
      </c>
      <c r="F7110" s="2">
        <f>DATE(2026,IF(Tabla1[[#This Row],[Mes de Fecha]]="Septiembre",9,10),Tabla1[[#This Row],[Día de Fecha]])</f>
        <v>46293</v>
      </c>
      <c r="G7110">
        <v>52805111</v>
      </c>
      <c r="H7110" t="s">
        <v>689</v>
      </c>
      <c r="I7110">
        <v>37</v>
      </c>
      <c r="J7110">
        <v>0</v>
      </c>
      <c r="K7110" s="1">
        <v>1737647</v>
      </c>
    </row>
    <row r="7111" spans="1:11" x14ac:dyDescent="0.25">
      <c r="A7111" t="s">
        <v>326</v>
      </c>
      <c r="B7111" t="s">
        <v>848</v>
      </c>
      <c r="C7111" t="s">
        <v>872</v>
      </c>
      <c r="D7111" t="s">
        <v>11</v>
      </c>
      <c r="E7111">
        <v>28</v>
      </c>
      <c r="F7111" s="2">
        <f>DATE(2026,IF(Tabla1[[#This Row],[Mes de Fecha]]="Septiembre",9,10),Tabla1[[#This Row],[Día de Fecha]])</f>
        <v>46293</v>
      </c>
      <c r="G7111">
        <v>1000130743</v>
      </c>
      <c r="H7111" t="s">
        <v>851</v>
      </c>
      <c r="I7111">
        <v>6</v>
      </c>
      <c r="J7111">
        <v>0</v>
      </c>
      <c r="K7111" s="1">
        <v>201429</v>
      </c>
    </row>
    <row r="7112" spans="1:11" x14ac:dyDescent="0.25">
      <c r="A7112" t="s">
        <v>326</v>
      </c>
      <c r="B7112" t="s">
        <v>848</v>
      </c>
      <c r="C7112" t="s">
        <v>872</v>
      </c>
      <c r="D7112" t="s">
        <v>11</v>
      </c>
      <c r="E7112">
        <v>28</v>
      </c>
      <c r="F7112" s="2">
        <f>DATE(2026,IF(Tabla1[[#This Row],[Mes de Fecha]]="Septiembre",9,10),Tabla1[[#This Row],[Día de Fecha]])</f>
        <v>46293</v>
      </c>
      <c r="G7112">
        <v>1012357095</v>
      </c>
      <c r="H7112" t="s">
        <v>849</v>
      </c>
      <c r="I7112">
        <v>16</v>
      </c>
      <c r="J7112">
        <v>0</v>
      </c>
      <c r="K7112" s="1">
        <v>805967</v>
      </c>
    </row>
    <row r="7113" spans="1:11" x14ac:dyDescent="0.25">
      <c r="A7113" t="s">
        <v>326</v>
      </c>
      <c r="B7113" t="s">
        <v>848</v>
      </c>
      <c r="C7113" t="s">
        <v>872</v>
      </c>
      <c r="D7113" t="s">
        <v>11</v>
      </c>
      <c r="E7113">
        <v>29</v>
      </c>
      <c r="F7113" s="2">
        <f>DATE(2026,IF(Tabla1[[#This Row],[Mes de Fecha]]="Septiembre",9,10),Tabla1[[#This Row],[Día de Fecha]])</f>
        <v>46294</v>
      </c>
      <c r="I7113">
        <v>0</v>
      </c>
      <c r="J7113" s="1">
        <v>9309444</v>
      </c>
      <c r="K7113">
        <v>0</v>
      </c>
    </row>
    <row r="7114" spans="1:11" x14ac:dyDescent="0.25">
      <c r="A7114" t="s">
        <v>326</v>
      </c>
      <c r="B7114" t="s">
        <v>848</v>
      </c>
      <c r="C7114" t="s">
        <v>872</v>
      </c>
      <c r="D7114" t="s">
        <v>11</v>
      </c>
      <c r="E7114">
        <v>29</v>
      </c>
      <c r="F7114" s="2">
        <f>DATE(2026,IF(Tabla1[[#This Row],[Mes de Fecha]]="Septiembre",9,10),Tabla1[[#This Row],[Día de Fecha]])</f>
        <v>46294</v>
      </c>
      <c r="G7114">
        <v>52324929</v>
      </c>
      <c r="H7114" t="s">
        <v>555</v>
      </c>
      <c r="I7114">
        <v>20</v>
      </c>
      <c r="J7114">
        <v>0</v>
      </c>
      <c r="K7114" s="1">
        <v>1053740</v>
      </c>
    </row>
    <row r="7115" spans="1:11" x14ac:dyDescent="0.25">
      <c r="A7115" t="s">
        <v>326</v>
      </c>
      <c r="B7115" t="s">
        <v>848</v>
      </c>
      <c r="C7115" t="s">
        <v>872</v>
      </c>
      <c r="D7115" t="s">
        <v>11</v>
      </c>
      <c r="E7115">
        <v>29</v>
      </c>
      <c r="F7115" s="2">
        <f>DATE(2026,IF(Tabla1[[#This Row],[Mes de Fecha]]="Septiembre",9,10),Tabla1[[#This Row],[Día de Fecha]])</f>
        <v>46294</v>
      </c>
      <c r="G7115">
        <v>52805111</v>
      </c>
      <c r="H7115" t="s">
        <v>689</v>
      </c>
      <c r="I7115">
        <v>48</v>
      </c>
      <c r="J7115">
        <v>0</v>
      </c>
      <c r="K7115" s="1">
        <v>1736302</v>
      </c>
    </row>
    <row r="7116" spans="1:11" x14ac:dyDescent="0.25">
      <c r="A7116" t="s">
        <v>326</v>
      </c>
      <c r="B7116" t="s">
        <v>848</v>
      </c>
      <c r="C7116" t="s">
        <v>872</v>
      </c>
      <c r="D7116" t="s">
        <v>11</v>
      </c>
      <c r="E7116">
        <v>29</v>
      </c>
      <c r="F7116" s="2">
        <f>DATE(2026,IF(Tabla1[[#This Row],[Mes de Fecha]]="Septiembre",9,10),Tabla1[[#This Row],[Día de Fecha]])</f>
        <v>46294</v>
      </c>
      <c r="G7116">
        <v>1000130743</v>
      </c>
      <c r="H7116" t="s">
        <v>851</v>
      </c>
      <c r="I7116">
        <v>10</v>
      </c>
      <c r="J7116">
        <v>0</v>
      </c>
      <c r="K7116" s="1">
        <v>516387</v>
      </c>
    </row>
    <row r="7117" spans="1:11" x14ac:dyDescent="0.25">
      <c r="A7117" t="s">
        <v>326</v>
      </c>
      <c r="B7117" t="s">
        <v>848</v>
      </c>
      <c r="C7117" t="s">
        <v>872</v>
      </c>
      <c r="D7117" t="s">
        <v>11</v>
      </c>
      <c r="E7117">
        <v>29</v>
      </c>
      <c r="F7117" s="2">
        <f>DATE(2026,IF(Tabla1[[#This Row],[Mes de Fecha]]="Septiembre",9,10),Tabla1[[#This Row],[Día de Fecha]])</f>
        <v>46294</v>
      </c>
      <c r="G7117">
        <v>1012357095</v>
      </c>
      <c r="H7117" t="s">
        <v>849</v>
      </c>
      <c r="I7117">
        <v>23</v>
      </c>
      <c r="J7117">
        <v>0</v>
      </c>
      <c r="K7117" s="1">
        <v>876891</v>
      </c>
    </row>
    <row r="7118" spans="1:11" x14ac:dyDescent="0.25">
      <c r="A7118" t="s">
        <v>326</v>
      </c>
      <c r="B7118" t="s">
        <v>848</v>
      </c>
      <c r="C7118" t="s">
        <v>872</v>
      </c>
      <c r="D7118" t="s">
        <v>11</v>
      </c>
      <c r="E7118">
        <v>30</v>
      </c>
      <c r="F7118" s="2">
        <f>DATE(2026,IF(Tabla1[[#This Row],[Mes de Fecha]]="Septiembre",9,10),Tabla1[[#This Row],[Día de Fecha]])</f>
        <v>46295</v>
      </c>
      <c r="I7118">
        <v>0</v>
      </c>
      <c r="J7118" s="1">
        <v>9828910</v>
      </c>
      <c r="K7118">
        <v>0</v>
      </c>
    </row>
    <row r="7119" spans="1:11" x14ac:dyDescent="0.25">
      <c r="A7119" t="s">
        <v>326</v>
      </c>
      <c r="B7119" t="s">
        <v>848</v>
      </c>
      <c r="C7119" t="s">
        <v>872</v>
      </c>
      <c r="D7119" t="s">
        <v>11</v>
      </c>
      <c r="E7119">
        <v>30</v>
      </c>
      <c r="F7119" s="2">
        <f>DATE(2026,IF(Tabla1[[#This Row],[Mes de Fecha]]="Septiembre",9,10),Tabla1[[#This Row],[Día de Fecha]])</f>
        <v>46295</v>
      </c>
      <c r="G7119">
        <v>52324929</v>
      </c>
      <c r="H7119" t="s">
        <v>555</v>
      </c>
      <c r="I7119">
        <v>41</v>
      </c>
      <c r="J7119">
        <v>0</v>
      </c>
      <c r="K7119" s="1">
        <v>1300210</v>
      </c>
    </row>
    <row r="7120" spans="1:11" x14ac:dyDescent="0.25">
      <c r="A7120" t="s">
        <v>326</v>
      </c>
      <c r="B7120" t="s">
        <v>848</v>
      </c>
      <c r="C7120" t="s">
        <v>872</v>
      </c>
      <c r="D7120" t="s">
        <v>11</v>
      </c>
      <c r="E7120">
        <v>30</v>
      </c>
      <c r="F7120" s="2">
        <f>DATE(2026,IF(Tabla1[[#This Row],[Mes de Fecha]]="Septiembre",9,10),Tabla1[[#This Row],[Día de Fecha]])</f>
        <v>46295</v>
      </c>
      <c r="G7120">
        <v>52805111</v>
      </c>
      <c r="H7120" t="s">
        <v>689</v>
      </c>
      <c r="I7120">
        <v>27</v>
      </c>
      <c r="J7120">
        <v>0</v>
      </c>
      <c r="K7120" s="1">
        <v>1170755</v>
      </c>
    </row>
    <row r="7121" spans="1:11" x14ac:dyDescent="0.25">
      <c r="A7121" t="s">
        <v>326</v>
      </c>
      <c r="B7121" t="s">
        <v>848</v>
      </c>
      <c r="C7121" t="s">
        <v>872</v>
      </c>
      <c r="D7121" t="s">
        <v>11</v>
      </c>
      <c r="E7121">
        <v>30</v>
      </c>
      <c r="F7121" s="2">
        <f>DATE(2026,IF(Tabla1[[#This Row],[Mes de Fecha]]="Septiembre",9,10),Tabla1[[#This Row],[Día de Fecha]])</f>
        <v>46295</v>
      </c>
      <c r="G7121">
        <v>1000130743</v>
      </c>
      <c r="H7121" t="s">
        <v>851</v>
      </c>
      <c r="I7121">
        <v>40</v>
      </c>
      <c r="J7121">
        <v>0</v>
      </c>
      <c r="K7121" s="1">
        <v>1834161</v>
      </c>
    </row>
    <row r="7122" spans="1:11" x14ac:dyDescent="0.25">
      <c r="A7122" t="s">
        <v>326</v>
      </c>
      <c r="B7122" t="s">
        <v>848</v>
      </c>
      <c r="C7122" t="s">
        <v>872</v>
      </c>
      <c r="D7122" t="s">
        <v>11</v>
      </c>
      <c r="E7122">
        <v>30</v>
      </c>
      <c r="F7122" s="2">
        <f>DATE(2026,IF(Tabla1[[#This Row],[Mes de Fecha]]="Septiembre",9,10),Tabla1[[#This Row],[Día de Fecha]])</f>
        <v>46295</v>
      </c>
      <c r="G7122">
        <v>1012357095</v>
      </c>
      <c r="H7122" t="s">
        <v>849</v>
      </c>
      <c r="I7122">
        <v>3</v>
      </c>
      <c r="J7122">
        <v>0</v>
      </c>
      <c r="K7122" s="1">
        <v>159538</v>
      </c>
    </row>
    <row r="7123" spans="1:11" x14ac:dyDescent="0.25">
      <c r="A7123" t="s">
        <v>326</v>
      </c>
      <c r="B7123" t="s">
        <v>848</v>
      </c>
      <c r="C7123" t="s">
        <v>872</v>
      </c>
      <c r="D7123" t="s">
        <v>11</v>
      </c>
      <c r="E7123">
        <v>30</v>
      </c>
      <c r="F7123" s="2">
        <f>DATE(2026,IF(Tabla1[[#This Row],[Mes de Fecha]]="Septiembre",9,10),Tabla1[[#This Row],[Día de Fecha]])</f>
        <v>46295</v>
      </c>
      <c r="G7123">
        <v>1013099328</v>
      </c>
      <c r="H7123" t="s">
        <v>850</v>
      </c>
      <c r="I7123">
        <v>4</v>
      </c>
      <c r="J7123">
        <v>0</v>
      </c>
      <c r="K7123" s="1">
        <v>108992</v>
      </c>
    </row>
    <row r="7124" spans="1:11" x14ac:dyDescent="0.25">
      <c r="A7124" t="s">
        <v>326</v>
      </c>
      <c r="B7124" t="s">
        <v>848</v>
      </c>
      <c r="C7124" t="s">
        <v>872</v>
      </c>
      <c r="D7124" t="s">
        <v>14</v>
      </c>
      <c r="E7124">
        <v>1</v>
      </c>
      <c r="F7124" s="2">
        <f>DATE(2026,IF(Tabla1[[#This Row],[Mes de Fecha]]="Septiembre",9,10),Tabla1[[#This Row],[Día de Fecha]])</f>
        <v>46296</v>
      </c>
      <c r="I7124">
        <v>0</v>
      </c>
      <c r="J7124" s="1">
        <v>3561519</v>
      </c>
      <c r="K7124">
        <v>0</v>
      </c>
    </row>
    <row r="7125" spans="1:11" x14ac:dyDescent="0.25">
      <c r="A7125" t="s">
        <v>326</v>
      </c>
      <c r="B7125" t="s">
        <v>848</v>
      </c>
      <c r="C7125" t="s">
        <v>872</v>
      </c>
      <c r="D7125" t="s">
        <v>14</v>
      </c>
      <c r="E7125">
        <v>1</v>
      </c>
      <c r="F7125" s="2">
        <f>DATE(2026,IF(Tabla1[[#This Row],[Mes de Fecha]]="Septiembre",9,10),Tabla1[[#This Row],[Día de Fecha]])</f>
        <v>46296</v>
      </c>
      <c r="G7125">
        <v>52324929</v>
      </c>
      <c r="H7125" t="s">
        <v>555</v>
      </c>
      <c r="I7125">
        <v>44</v>
      </c>
      <c r="J7125">
        <v>0</v>
      </c>
      <c r="K7125" s="1">
        <v>1888447</v>
      </c>
    </row>
    <row r="7126" spans="1:11" x14ac:dyDescent="0.25">
      <c r="A7126" t="s">
        <v>326</v>
      </c>
      <c r="B7126" t="s">
        <v>848</v>
      </c>
      <c r="C7126" t="s">
        <v>872</v>
      </c>
      <c r="D7126" t="s">
        <v>14</v>
      </c>
      <c r="E7126">
        <v>1</v>
      </c>
      <c r="F7126" s="2">
        <f>DATE(2026,IF(Tabla1[[#This Row],[Mes de Fecha]]="Septiembre",9,10),Tabla1[[#This Row],[Día de Fecha]])</f>
        <v>46296</v>
      </c>
      <c r="G7126">
        <v>1000130743</v>
      </c>
      <c r="H7126" t="s">
        <v>851</v>
      </c>
      <c r="I7126">
        <v>19</v>
      </c>
      <c r="J7126">
        <v>0</v>
      </c>
      <c r="K7126" s="1">
        <v>1125168</v>
      </c>
    </row>
    <row r="7127" spans="1:11" x14ac:dyDescent="0.25">
      <c r="A7127" t="s">
        <v>326</v>
      </c>
      <c r="B7127" t="s">
        <v>848</v>
      </c>
      <c r="C7127" t="s">
        <v>872</v>
      </c>
      <c r="D7127" t="s">
        <v>14</v>
      </c>
      <c r="E7127">
        <v>1</v>
      </c>
      <c r="F7127" s="2">
        <f>DATE(2026,IF(Tabla1[[#This Row],[Mes de Fecha]]="Septiembre",9,10),Tabla1[[#This Row],[Día de Fecha]])</f>
        <v>46296</v>
      </c>
      <c r="G7127">
        <v>1012357095</v>
      </c>
      <c r="H7127" t="s">
        <v>849</v>
      </c>
      <c r="I7127">
        <v>10</v>
      </c>
      <c r="J7127">
        <v>0</v>
      </c>
      <c r="K7127" s="1">
        <v>369326</v>
      </c>
    </row>
    <row r="7128" spans="1:11" x14ac:dyDescent="0.25">
      <c r="A7128" t="s">
        <v>326</v>
      </c>
      <c r="B7128" t="s">
        <v>848</v>
      </c>
      <c r="C7128" t="s">
        <v>872</v>
      </c>
      <c r="D7128" t="s">
        <v>14</v>
      </c>
      <c r="E7128">
        <v>1</v>
      </c>
      <c r="F7128" s="2">
        <f>DATE(2026,IF(Tabla1[[#This Row],[Mes de Fecha]]="Septiembre",9,10),Tabla1[[#This Row],[Día de Fecha]])</f>
        <v>46296</v>
      </c>
      <c r="G7128">
        <v>1013099328</v>
      </c>
      <c r="H7128" t="s">
        <v>850</v>
      </c>
      <c r="I7128">
        <v>14</v>
      </c>
      <c r="J7128">
        <v>0</v>
      </c>
      <c r="K7128" s="1">
        <v>488741</v>
      </c>
    </row>
    <row r="7129" spans="1:11" x14ac:dyDescent="0.25">
      <c r="A7129" t="s">
        <v>326</v>
      </c>
      <c r="B7129" t="s">
        <v>848</v>
      </c>
      <c r="C7129" t="s">
        <v>872</v>
      </c>
      <c r="D7129" t="s">
        <v>14</v>
      </c>
      <c r="E7129">
        <v>2</v>
      </c>
      <c r="F7129" s="2">
        <f>DATE(2026,IF(Tabla1[[#This Row],[Mes de Fecha]]="Septiembre",9,10),Tabla1[[#This Row],[Día de Fecha]])</f>
        <v>46297</v>
      </c>
      <c r="I7129">
        <v>0</v>
      </c>
      <c r="J7129" s="1">
        <v>4786054</v>
      </c>
      <c r="K7129">
        <v>0</v>
      </c>
    </row>
    <row r="7130" spans="1:11" x14ac:dyDescent="0.25">
      <c r="A7130" t="s">
        <v>326</v>
      </c>
      <c r="B7130" t="s">
        <v>848</v>
      </c>
      <c r="C7130" t="s">
        <v>872</v>
      </c>
      <c r="D7130" t="s">
        <v>14</v>
      </c>
      <c r="E7130">
        <v>2</v>
      </c>
      <c r="F7130" s="2">
        <f>DATE(2026,IF(Tabla1[[#This Row],[Mes de Fecha]]="Septiembre",9,10),Tabla1[[#This Row],[Día de Fecha]])</f>
        <v>46297</v>
      </c>
      <c r="G7130">
        <v>52324929</v>
      </c>
      <c r="H7130" t="s">
        <v>555</v>
      </c>
      <c r="I7130">
        <v>19</v>
      </c>
      <c r="J7130">
        <v>0</v>
      </c>
      <c r="K7130" s="1">
        <v>868781</v>
      </c>
    </row>
    <row r="7131" spans="1:11" x14ac:dyDescent="0.25">
      <c r="A7131" t="s">
        <v>326</v>
      </c>
      <c r="B7131" t="s">
        <v>848</v>
      </c>
      <c r="C7131" t="s">
        <v>872</v>
      </c>
      <c r="D7131" t="s">
        <v>14</v>
      </c>
      <c r="E7131">
        <v>2</v>
      </c>
      <c r="F7131" s="2">
        <f>DATE(2026,IF(Tabla1[[#This Row],[Mes de Fecha]]="Septiembre",9,10),Tabla1[[#This Row],[Día de Fecha]])</f>
        <v>46297</v>
      </c>
      <c r="G7131">
        <v>52805111</v>
      </c>
      <c r="H7131" t="s">
        <v>689</v>
      </c>
      <c r="I7131">
        <v>-1</v>
      </c>
      <c r="J7131">
        <v>0</v>
      </c>
      <c r="K7131" s="1">
        <v>-131042</v>
      </c>
    </row>
    <row r="7132" spans="1:11" x14ac:dyDescent="0.25">
      <c r="A7132" t="s">
        <v>326</v>
      </c>
      <c r="B7132" t="s">
        <v>848</v>
      </c>
      <c r="C7132" t="s">
        <v>872</v>
      </c>
      <c r="D7132" t="s">
        <v>14</v>
      </c>
      <c r="E7132">
        <v>2</v>
      </c>
      <c r="F7132" s="2">
        <f>DATE(2026,IF(Tabla1[[#This Row],[Mes de Fecha]]="Septiembre",9,10),Tabla1[[#This Row],[Día de Fecha]])</f>
        <v>46297</v>
      </c>
      <c r="G7132">
        <v>1000130743</v>
      </c>
      <c r="H7132" t="s">
        <v>851</v>
      </c>
      <c r="I7132">
        <v>16</v>
      </c>
      <c r="J7132">
        <v>0</v>
      </c>
      <c r="K7132" s="1">
        <v>797523</v>
      </c>
    </row>
    <row r="7133" spans="1:11" x14ac:dyDescent="0.25">
      <c r="A7133" t="s">
        <v>326</v>
      </c>
      <c r="B7133" t="s">
        <v>848</v>
      </c>
      <c r="C7133" t="s">
        <v>872</v>
      </c>
      <c r="D7133" t="s">
        <v>14</v>
      </c>
      <c r="E7133">
        <v>2</v>
      </c>
      <c r="F7133" s="2">
        <f>DATE(2026,IF(Tabla1[[#This Row],[Mes de Fecha]]="Septiembre",9,10),Tabla1[[#This Row],[Día de Fecha]])</f>
        <v>46297</v>
      </c>
      <c r="G7133">
        <v>1012357095</v>
      </c>
      <c r="H7133" t="s">
        <v>849</v>
      </c>
      <c r="I7133">
        <v>21</v>
      </c>
      <c r="J7133">
        <v>0</v>
      </c>
      <c r="K7133" s="1">
        <v>1076681</v>
      </c>
    </row>
    <row r="7134" spans="1:11" x14ac:dyDescent="0.25">
      <c r="A7134" t="s">
        <v>326</v>
      </c>
      <c r="B7134" t="s">
        <v>848</v>
      </c>
      <c r="C7134" t="s">
        <v>872</v>
      </c>
      <c r="D7134" t="s">
        <v>14</v>
      </c>
      <c r="E7134">
        <v>2</v>
      </c>
      <c r="F7134" s="2">
        <f>DATE(2026,IF(Tabla1[[#This Row],[Mes de Fecha]]="Septiembre",9,10),Tabla1[[#This Row],[Día de Fecha]])</f>
        <v>46297</v>
      </c>
      <c r="G7134">
        <v>1013099328</v>
      </c>
      <c r="H7134" t="s">
        <v>850</v>
      </c>
      <c r="I7134">
        <v>17</v>
      </c>
      <c r="J7134">
        <v>0</v>
      </c>
      <c r="K7134" s="1">
        <v>1066385</v>
      </c>
    </row>
    <row r="7135" spans="1:11" x14ac:dyDescent="0.25">
      <c r="A7135" t="s">
        <v>326</v>
      </c>
      <c r="B7135" t="s">
        <v>848</v>
      </c>
      <c r="C7135" t="s">
        <v>872</v>
      </c>
      <c r="D7135" t="s">
        <v>14</v>
      </c>
      <c r="E7135">
        <v>2</v>
      </c>
      <c r="F7135" s="2">
        <f>DATE(2026,IF(Tabla1[[#This Row],[Mes de Fecha]]="Septiembre",9,10),Tabla1[[#This Row],[Día de Fecha]])</f>
        <v>46297</v>
      </c>
      <c r="G7135">
        <v>1016834696</v>
      </c>
      <c r="H7135" t="s">
        <v>782</v>
      </c>
      <c r="I7135">
        <v>-1</v>
      </c>
      <c r="J7135">
        <v>0</v>
      </c>
      <c r="K7135" s="1">
        <v>-75588</v>
      </c>
    </row>
    <row r="7136" spans="1:11" x14ac:dyDescent="0.25">
      <c r="A7136" t="s">
        <v>326</v>
      </c>
      <c r="B7136" t="s">
        <v>848</v>
      </c>
      <c r="C7136" t="s">
        <v>872</v>
      </c>
      <c r="D7136" t="s">
        <v>14</v>
      </c>
      <c r="E7136">
        <v>3</v>
      </c>
      <c r="F7136" s="2">
        <f>DATE(2026,IF(Tabla1[[#This Row],[Mes de Fecha]]="Septiembre",9,10),Tabla1[[#This Row],[Día de Fecha]])</f>
        <v>46298</v>
      </c>
      <c r="I7136">
        <v>0</v>
      </c>
      <c r="J7136" s="1">
        <v>7194287</v>
      </c>
      <c r="K7136">
        <v>0</v>
      </c>
    </row>
    <row r="7137" spans="1:11" x14ac:dyDescent="0.25">
      <c r="A7137" t="s">
        <v>326</v>
      </c>
      <c r="B7137" t="s">
        <v>848</v>
      </c>
      <c r="C7137" t="s">
        <v>872</v>
      </c>
      <c r="D7137" t="s">
        <v>14</v>
      </c>
      <c r="E7137">
        <v>3</v>
      </c>
      <c r="F7137" s="2">
        <f>DATE(2026,IF(Tabla1[[#This Row],[Mes de Fecha]]="Septiembre",9,10),Tabla1[[#This Row],[Día de Fecha]])</f>
        <v>46298</v>
      </c>
      <c r="G7137">
        <v>52324929</v>
      </c>
      <c r="H7137" t="s">
        <v>555</v>
      </c>
      <c r="I7137">
        <v>44</v>
      </c>
      <c r="J7137">
        <v>0</v>
      </c>
      <c r="K7137" s="1">
        <v>1876614</v>
      </c>
    </row>
    <row r="7138" spans="1:11" x14ac:dyDescent="0.25">
      <c r="A7138" t="s">
        <v>326</v>
      </c>
      <c r="B7138" t="s">
        <v>848</v>
      </c>
      <c r="C7138" t="s">
        <v>872</v>
      </c>
      <c r="D7138" t="s">
        <v>14</v>
      </c>
      <c r="E7138">
        <v>3</v>
      </c>
      <c r="F7138" s="2">
        <f>DATE(2026,IF(Tabla1[[#This Row],[Mes de Fecha]]="Septiembre",9,10),Tabla1[[#This Row],[Día de Fecha]])</f>
        <v>46298</v>
      </c>
      <c r="G7138">
        <v>1000130743</v>
      </c>
      <c r="H7138" t="s">
        <v>851</v>
      </c>
      <c r="I7138">
        <v>47</v>
      </c>
      <c r="J7138">
        <v>0</v>
      </c>
      <c r="K7138" s="1">
        <v>2397278</v>
      </c>
    </row>
    <row r="7139" spans="1:11" x14ac:dyDescent="0.25">
      <c r="A7139" t="s">
        <v>326</v>
      </c>
      <c r="B7139" t="s">
        <v>848</v>
      </c>
      <c r="C7139" t="s">
        <v>872</v>
      </c>
      <c r="D7139" t="s">
        <v>14</v>
      </c>
      <c r="E7139">
        <v>3</v>
      </c>
      <c r="F7139" s="2">
        <f>DATE(2026,IF(Tabla1[[#This Row],[Mes de Fecha]]="Septiembre",9,10),Tabla1[[#This Row],[Día de Fecha]])</f>
        <v>46298</v>
      </c>
      <c r="G7139">
        <v>1012357095</v>
      </c>
      <c r="H7139" t="s">
        <v>849</v>
      </c>
      <c r="I7139">
        <v>31</v>
      </c>
      <c r="J7139">
        <v>0</v>
      </c>
      <c r="K7139" s="1">
        <v>1442185</v>
      </c>
    </row>
    <row r="7140" spans="1:11" x14ac:dyDescent="0.25">
      <c r="A7140" t="s">
        <v>326</v>
      </c>
      <c r="B7140" t="s">
        <v>848</v>
      </c>
      <c r="C7140" t="s">
        <v>872</v>
      </c>
      <c r="D7140" t="s">
        <v>14</v>
      </c>
      <c r="E7140">
        <v>3</v>
      </c>
      <c r="F7140" s="2">
        <f>DATE(2026,IF(Tabla1[[#This Row],[Mes de Fecha]]="Septiembre",9,10),Tabla1[[#This Row],[Día de Fecha]])</f>
        <v>46298</v>
      </c>
      <c r="G7140">
        <v>1013099328</v>
      </c>
      <c r="H7140" t="s">
        <v>850</v>
      </c>
      <c r="I7140">
        <v>27</v>
      </c>
      <c r="J7140">
        <v>0</v>
      </c>
      <c r="K7140" s="1">
        <v>1252439</v>
      </c>
    </row>
    <row r="7141" spans="1:11" x14ac:dyDescent="0.25">
      <c r="A7141" t="s">
        <v>326</v>
      </c>
      <c r="B7141" t="s">
        <v>848</v>
      </c>
      <c r="C7141" t="s">
        <v>872</v>
      </c>
      <c r="D7141" t="s">
        <v>14</v>
      </c>
      <c r="E7141">
        <v>4</v>
      </c>
      <c r="F7141" s="2">
        <f>DATE(2026,IF(Tabla1[[#This Row],[Mes de Fecha]]="Septiembre",9,10),Tabla1[[#This Row],[Día de Fecha]])</f>
        <v>46299</v>
      </c>
      <c r="I7141">
        <v>0</v>
      </c>
      <c r="J7141" s="1">
        <v>7788329</v>
      </c>
      <c r="K7141">
        <v>0</v>
      </c>
    </row>
    <row r="7142" spans="1:11" x14ac:dyDescent="0.25">
      <c r="A7142" t="s">
        <v>326</v>
      </c>
      <c r="B7142" t="s">
        <v>848</v>
      </c>
      <c r="C7142" t="s">
        <v>872</v>
      </c>
      <c r="D7142" t="s">
        <v>14</v>
      </c>
      <c r="E7142">
        <v>4</v>
      </c>
      <c r="F7142" s="2">
        <f>DATE(2026,IF(Tabla1[[#This Row],[Mes de Fecha]]="Septiembre",9,10),Tabla1[[#This Row],[Día de Fecha]])</f>
        <v>46299</v>
      </c>
      <c r="G7142">
        <v>52324929</v>
      </c>
      <c r="H7142" t="s">
        <v>555</v>
      </c>
      <c r="I7142">
        <v>53</v>
      </c>
      <c r="J7142">
        <v>0</v>
      </c>
      <c r="K7142" s="1">
        <v>2164935</v>
      </c>
    </row>
    <row r="7143" spans="1:11" x14ac:dyDescent="0.25">
      <c r="A7143" t="s">
        <v>326</v>
      </c>
      <c r="B7143" t="s">
        <v>848</v>
      </c>
      <c r="C7143" t="s">
        <v>872</v>
      </c>
      <c r="D7143" t="s">
        <v>14</v>
      </c>
      <c r="E7143">
        <v>4</v>
      </c>
      <c r="F7143" s="2">
        <f>DATE(2026,IF(Tabla1[[#This Row],[Mes de Fecha]]="Septiembre",9,10),Tabla1[[#This Row],[Día de Fecha]])</f>
        <v>46299</v>
      </c>
      <c r="G7143">
        <v>52805111</v>
      </c>
      <c r="H7143" t="s">
        <v>689</v>
      </c>
      <c r="I7143">
        <v>-1</v>
      </c>
      <c r="J7143">
        <v>0</v>
      </c>
      <c r="K7143" s="1">
        <v>-117605</v>
      </c>
    </row>
    <row r="7144" spans="1:11" x14ac:dyDescent="0.25">
      <c r="A7144" t="s">
        <v>326</v>
      </c>
      <c r="B7144" t="s">
        <v>848</v>
      </c>
      <c r="C7144" t="s">
        <v>872</v>
      </c>
      <c r="D7144" t="s">
        <v>14</v>
      </c>
      <c r="E7144">
        <v>4</v>
      </c>
      <c r="F7144" s="2">
        <f>DATE(2026,IF(Tabla1[[#This Row],[Mes de Fecha]]="Septiembre",9,10),Tabla1[[#This Row],[Día de Fecha]])</f>
        <v>46299</v>
      </c>
      <c r="G7144">
        <v>1000130743</v>
      </c>
      <c r="H7144" t="s">
        <v>851</v>
      </c>
      <c r="I7144">
        <v>76</v>
      </c>
      <c r="J7144">
        <v>0</v>
      </c>
      <c r="K7144" s="1">
        <v>3857695</v>
      </c>
    </row>
    <row r="7145" spans="1:11" x14ac:dyDescent="0.25">
      <c r="A7145" t="s">
        <v>326</v>
      </c>
      <c r="B7145" t="s">
        <v>848</v>
      </c>
      <c r="C7145" t="s">
        <v>872</v>
      </c>
      <c r="D7145" t="s">
        <v>14</v>
      </c>
      <c r="E7145">
        <v>4</v>
      </c>
      <c r="F7145" s="2">
        <f>DATE(2026,IF(Tabla1[[#This Row],[Mes de Fecha]]="Septiembre",9,10),Tabla1[[#This Row],[Día de Fecha]])</f>
        <v>46299</v>
      </c>
      <c r="G7145">
        <v>1013099328</v>
      </c>
      <c r="H7145" t="s">
        <v>850</v>
      </c>
      <c r="I7145">
        <v>50</v>
      </c>
      <c r="J7145">
        <v>0</v>
      </c>
      <c r="K7145" s="1">
        <v>2388150</v>
      </c>
    </row>
    <row r="7146" spans="1:11" x14ac:dyDescent="0.25">
      <c r="A7146" t="s">
        <v>326</v>
      </c>
      <c r="B7146" t="s">
        <v>848</v>
      </c>
      <c r="C7146" t="s">
        <v>872</v>
      </c>
      <c r="D7146" t="s">
        <v>14</v>
      </c>
      <c r="E7146">
        <v>5</v>
      </c>
      <c r="F7146" s="2">
        <f>DATE(2026,IF(Tabla1[[#This Row],[Mes de Fecha]]="Septiembre",9,10),Tabla1[[#This Row],[Día de Fecha]])</f>
        <v>46300</v>
      </c>
      <c r="I7146">
        <v>0</v>
      </c>
      <c r="J7146" s="1">
        <v>2180177</v>
      </c>
      <c r="K7146">
        <v>0</v>
      </c>
    </row>
    <row r="7147" spans="1:11" x14ac:dyDescent="0.25">
      <c r="A7147" t="s">
        <v>326</v>
      </c>
      <c r="B7147" t="s">
        <v>848</v>
      </c>
      <c r="C7147" t="s">
        <v>872</v>
      </c>
      <c r="D7147" t="s">
        <v>14</v>
      </c>
      <c r="E7147">
        <v>5</v>
      </c>
      <c r="F7147" s="2">
        <f>DATE(2026,IF(Tabla1[[#This Row],[Mes de Fecha]]="Septiembre",9,10),Tabla1[[#This Row],[Día de Fecha]])</f>
        <v>46300</v>
      </c>
      <c r="G7147">
        <v>52324929</v>
      </c>
      <c r="H7147" t="s">
        <v>555</v>
      </c>
      <c r="I7147">
        <v>5</v>
      </c>
      <c r="J7147">
        <v>0</v>
      </c>
      <c r="K7147" s="1">
        <v>214034</v>
      </c>
    </row>
    <row r="7148" spans="1:11" x14ac:dyDescent="0.25">
      <c r="A7148" t="s">
        <v>326</v>
      </c>
      <c r="B7148" t="s">
        <v>848</v>
      </c>
      <c r="C7148" t="s">
        <v>872</v>
      </c>
      <c r="D7148" t="s">
        <v>14</v>
      </c>
      <c r="E7148">
        <v>5</v>
      </c>
      <c r="F7148" s="2">
        <f>DATE(2026,IF(Tabla1[[#This Row],[Mes de Fecha]]="Septiembre",9,10),Tabla1[[#This Row],[Día de Fecha]])</f>
        <v>46300</v>
      </c>
      <c r="G7148">
        <v>1000130743</v>
      </c>
      <c r="H7148" t="s">
        <v>851</v>
      </c>
      <c r="I7148">
        <v>26</v>
      </c>
      <c r="J7148">
        <v>0</v>
      </c>
      <c r="K7148" s="1">
        <v>1120588</v>
      </c>
    </row>
    <row r="7149" spans="1:11" x14ac:dyDescent="0.25">
      <c r="A7149" t="s">
        <v>326</v>
      </c>
      <c r="B7149" t="s">
        <v>848</v>
      </c>
      <c r="C7149" t="s">
        <v>872</v>
      </c>
      <c r="D7149" t="s">
        <v>14</v>
      </c>
      <c r="E7149">
        <v>5</v>
      </c>
      <c r="F7149" s="2">
        <f>DATE(2026,IF(Tabla1[[#This Row],[Mes de Fecha]]="Septiembre",9,10),Tabla1[[#This Row],[Día de Fecha]])</f>
        <v>46300</v>
      </c>
      <c r="G7149">
        <v>1012357095</v>
      </c>
      <c r="H7149" t="s">
        <v>849</v>
      </c>
      <c r="I7149">
        <v>19</v>
      </c>
      <c r="J7149">
        <v>0</v>
      </c>
      <c r="K7149" s="1">
        <v>717521</v>
      </c>
    </row>
    <row r="7150" spans="1:11" x14ac:dyDescent="0.25">
      <c r="A7150" t="s">
        <v>326</v>
      </c>
      <c r="B7150" t="s">
        <v>848</v>
      </c>
      <c r="C7150" t="s">
        <v>872</v>
      </c>
      <c r="D7150" t="s">
        <v>14</v>
      </c>
      <c r="E7150">
        <v>5</v>
      </c>
      <c r="F7150" s="2">
        <f>DATE(2026,IF(Tabla1[[#This Row],[Mes de Fecha]]="Septiembre",9,10),Tabla1[[#This Row],[Día de Fecha]])</f>
        <v>46300</v>
      </c>
      <c r="G7150">
        <v>1013099328</v>
      </c>
      <c r="H7150" t="s">
        <v>850</v>
      </c>
      <c r="I7150">
        <v>20</v>
      </c>
      <c r="J7150">
        <v>0</v>
      </c>
      <c r="K7150" s="1">
        <v>919119</v>
      </c>
    </row>
    <row r="7151" spans="1:11" x14ac:dyDescent="0.25">
      <c r="A7151" t="s">
        <v>326</v>
      </c>
      <c r="B7151" t="s">
        <v>848</v>
      </c>
      <c r="C7151" t="s">
        <v>872</v>
      </c>
      <c r="D7151" t="s">
        <v>14</v>
      </c>
      <c r="E7151">
        <v>6</v>
      </c>
      <c r="F7151" s="2">
        <f>DATE(2026,IF(Tabla1[[#This Row],[Mes de Fecha]]="Septiembre",9,10),Tabla1[[#This Row],[Día de Fecha]])</f>
        <v>46301</v>
      </c>
      <c r="I7151">
        <v>0</v>
      </c>
      <c r="J7151" s="1">
        <v>2786239</v>
      </c>
      <c r="K7151">
        <v>0</v>
      </c>
    </row>
    <row r="7152" spans="1:11" x14ac:dyDescent="0.25">
      <c r="A7152" t="s">
        <v>326</v>
      </c>
      <c r="B7152" t="s">
        <v>848</v>
      </c>
      <c r="C7152" t="s">
        <v>872</v>
      </c>
      <c r="D7152" t="s">
        <v>14</v>
      </c>
      <c r="E7152">
        <v>6</v>
      </c>
      <c r="F7152" s="2">
        <f>DATE(2026,IF(Tabla1[[#This Row],[Mes de Fecha]]="Septiembre",9,10),Tabla1[[#This Row],[Día de Fecha]])</f>
        <v>46301</v>
      </c>
      <c r="G7152">
        <v>52324929</v>
      </c>
      <c r="H7152" t="s">
        <v>555</v>
      </c>
      <c r="I7152">
        <v>9</v>
      </c>
      <c r="J7152">
        <v>0</v>
      </c>
      <c r="K7152" s="1">
        <v>520546</v>
      </c>
    </row>
    <row r="7153" spans="1:11" x14ac:dyDescent="0.25">
      <c r="A7153" t="s">
        <v>326</v>
      </c>
      <c r="B7153" t="s">
        <v>848</v>
      </c>
      <c r="C7153" t="s">
        <v>872</v>
      </c>
      <c r="D7153" t="s">
        <v>14</v>
      </c>
      <c r="E7153">
        <v>6</v>
      </c>
      <c r="F7153" s="2">
        <f>DATE(2026,IF(Tabla1[[#This Row],[Mes de Fecha]]="Septiembre",9,10),Tabla1[[#This Row],[Día de Fecha]])</f>
        <v>46301</v>
      </c>
      <c r="G7153">
        <v>1000130743</v>
      </c>
      <c r="H7153" t="s">
        <v>851</v>
      </c>
      <c r="I7153">
        <v>10</v>
      </c>
      <c r="J7153">
        <v>0</v>
      </c>
      <c r="K7153" s="1">
        <v>581428</v>
      </c>
    </row>
    <row r="7154" spans="1:11" x14ac:dyDescent="0.25">
      <c r="A7154" t="s">
        <v>326</v>
      </c>
      <c r="B7154" t="s">
        <v>848</v>
      </c>
      <c r="C7154" t="s">
        <v>872</v>
      </c>
      <c r="D7154" t="s">
        <v>14</v>
      </c>
      <c r="E7154">
        <v>6</v>
      </c>
      <c r="F7154" s="2">
        <f>DATE(2026,IF(Tabla1[[#This Row],[Mes de Fecha]]="Septiembre",9,10),Tabla1[[#This Row],[Día de Fecha]])</f>
        <v>46301</v>
      </c>
      <c r="G7154">
        <v>1012357095</v>
      </c>
      <c r="H7154" t="s">
        <v>849</v>
      </c>
      <c r="I7154">
        <v>14</v>
      </c>
      <c r="J7154">
        <v>0</v>
      </c>
      <c r="K7154" s="1">
        <v>532942</v>
      </c>
    </row>
    <row r="7155" spans="1:11" x14ac:dyDescent="0.25">
      <c r="A7155" t="s">
        <v>326</v>
      </c>
      <c r="B7155" t="s">
        <v>848</v>
      </c>
      <c r="C7155" t="s">
        <v>872</v>
      </c>
      <c r="D7155" t="s">
        <v>14</v>
      </c>
      <c r="E7155">
        <v>6</v>
      </c>
      <c r="F7155" s="2">
        <f>DATE(2026,IF(Tabla1[[#This Row],[Mes de Fecha]]="Septiembre",9,10),Tabla1[[#This Row],[Día de Fecha]])</f>
        <v>46301</v>
      </c>
      <c r="G7155">
        <v>1013099328</v>
      </c>
      <c r="H7155" t="s">
        <v>850</v>
      </c>
      <c r="I7155">
        <v>0</v>
      </c>
      <c r="J7155">
        <v>0</v>
      </c>
      <c r="K7155" s="1">
        <v>10505</v>
      </c>
    </row>
    <row r="7156" spans="1:11" x14ac:dyDescent="0.25">
      <c r="A7156" t="s">
        <v>326</v>
      </c>
      <c r="B7156" t="s">
        <v>848</v>
      </c>
      <c r="C7156" t="s">
        <v>872</v>
      </c>
      <c r="D7156" t="s">
        <v>14</v>
      </c>
      <c r="E7156">
        <v>7</v>
      </c>
      <c r="F7156" s="2">
        <f>DATE(2026,IF(Tabla1[[#This Row],[Mes de Fecha]]="Septiembre",9,10),Tabla1[[#This Row],[Día de Fecha]])</f>
        <v>46302</v>
      </c>
      <c r="I7156">
        <v>0</v>
      </c>
      <c r="J7156" s="1">
        <v>2764347</v>
      </c>
      <c r="K7156">
        <v>0</v>
      </c>
    </row>
    <row r="7157" spans="1:11" x14ac:dyDescent="0.25">
      <c r="A7157" t="s">
        <v>326</v>
      </c>
      <c r="B7157" t="s">
        <v>848</v>
      </c>
      <c r="C7157" t="s">
        <v>872</v>
      </c>
      <c r="D7157" t="s">
        <v>14</v>
      </c>
      <c r="E7157">
        <v>7</v>
      </c>
      <c r="F7157" s="2">
        <f>DATE(2026,IF(Tabla1[[#This Row],[Mes de Fecha]]="Septiembre",9,10),Tabla1[[#This Row],[Día de Fecha]])</f>
        <v>46302</v>
      </c>
      <c r="G7157">
        <v>52324929</v>
      </c>
      <c r="H7157" t="s">
        <v>555</v>
      </c>
      <c r="I7157">
        <v>28</v>
      </c>
      <c r="J7157">
        <v>0</v>
      </c>
      <c r="K7157" s="1">
        <v>1490294</v>
      </c>
    </row>
    <row r="7158" spans="1:11" x14ac:dyDescent="0.25">
      <c r="A7158" t="s">
        <v>326</v>
      </c>
      <c r="B7158" t="s">
        <v>848</v>
      </c>
      <c r="C7158" t="s">
        <v>872</v>
      </c>
      <c r="D7158" t="s">
        <v>14</v>
      </c>
      <c r="E7158">
        <v>7</v>
      </c>
      <c r="F7158" s="2">
        <f>DATE(2026,IF(Tabla1[[#This Row],[Mes de Fecha]]="Septiembre",9,10),Tabla1[[#This Row],[Día de Fecha]])</f>
        <v>46302</v>
      </c>
      <c r="G7158">
        <v>1000130743</v>
      </c>
      <c r="H7158" t="s">
        <v>851</v>
      </c>
      <c r="I7158">
        <v>22</v>
      </c>
      <c r="J7158">
        <v>0</v>
      </c>
      <c r="K7158" s="1">
        <v>1217523</v>
      </c>
    </row>
    <row r="7159" spans="1:11" x14ac:dyDescent="0.25">
      <c r="A7159" t="s">
        <v>9</v>
      </c>
      <c r="B7159" t="s">
        <v>66</v>
      </c>
      <c r="C7159" t="s">
        <v>873</v>
      </c>
      <c r="D7159" t="s">
        <v>11</v>
      </c>
      <c r="E7159">
        <v>23</v>
      </c>
      <c r="F7159" s="2">
        <f>DATE(2026,IF(Tabla1[[#This Row],[Mes de Fecha]]="Septiembre",9,10),Tabla1[[#This Row],[Día de Fecha]])</f>
        <v>46288</v>
      </c>
      <c r="I7159">
        <v>0</v>
      </c>
      <c r="J7159" s="1">
        <v>2807844</v>
      </c>
      <c r="K7159">
        <v>0</v>
      </c>
    </row>
    <row r="7160" spans="1:11" x14ac:dyDescent="0.25">
      <c r="A7160" t="s">
        <v>9</v>
      </c>
      <c r="B7160" t="s">
        <v>66</v>
      </c>
      <c r="C7160" t="s">
        <v>873</v>
      </c>
      <c r="D7160" t="s">
        <v>11</v>
      </c>
      <c r="E7160">
        <v>23</v>
      </c>
      <c r="F7160" s="2">
        <f>DATE(2026,IF(Tabla1[[#This Row],[Mes de Fecha]]="Septiembre",9,10),Tabla1[[#This Row],[Día de Fecha]])</f>
        <v>46288</v>
      </c>
      <c r="G7160">
        <v>1077437469</v>
      </c>
      <c r="H7160" t="s">
        <v>67</v>
      </c>
      <c r="I7160">
        <v>60</v>
      </c>
      <c r="J7160">
        <v>0</v>
      </c>
      <c r="K7160" s="1">
        <v>3860883</v>
      </c>
    </row>
    <row r="7161" spans="1:11" x14ac:dyDescent="0.25">
      <c r="A7161" t="s">
        <v>9</v>
      </c>
      <c r="B7161" t="s">
        <v>66</v>
      </c>
      <c r="C7161" t="s">
        <v>873</v>
      </c>
      <c r="D7161" t="s">
        <v>11</v>
      </c>
      <c r="E7161">
        <v>24</v>
      </c>
      <c r="F7161" s="2">
        <f>DATE(2026,IF(Tabla1[[#This Row],[Mes de Fecha]]="Septiembre",9,10),Tabla1[[#This Row],[Día de Fecha]])</f>
        <v>46289</v>
      </c>
      <c r="I7161">
        <v>0</v>
      </c>
      <c r="J7161" s="1">
        <v>7261624</v>
      </c>
      <c r="K7161">
        <v>0</v>
      </c>
    </row>
    <row r="7162" spans="1:11" x14ac:dyDescent="0.25">
      <c r="A7162" t="s">
        <v>9</v>
      </c>
      <c r="B7162" t="s">
        <v>66</v>
      </c>
      <c r="C7162" t="s">
        <v>873</v>
      </c>
      <c r="D7162" t="s">
        <v>11</v>
      </c>
      <c r="E7162">
        <v>24</v>
      </c>
      <c r="F7162" s="2">
        <f>DATE(2026,IF(Tabla1[[#This Row],[Mes de Fecha]]="Septiembre",9,10),Tabla1[[#This Row],[Día de Fecha]])</f>
        <v>46289</v>
      </c>
      <c r="G7162">
        <v>1077437469</v>
      </c>
      <c r="H7162" t="s">
        <v>67</v>
      </c>
      <c r="I7162">
        <v>125</v>
      </c>
      <c r="J7162">
        <v>0</v>
      </c>
      <c r="K7162" s="1">
        <v>7024087</v>
      </c>
    </row>
    <row r="7163" spans="1:11" x14ac:dyDescent="0.25">
      <c r="A7163" t="s">
        <v>9</v>
      </c>
      <c r="B7163" t="s">
        <v>66</v>
      </c>
      <c r="C7163" t="s">
        <v>873</v>
      </c>
      <c r="D7163" t="s">
        <v>11</v>
      </c>
      <c r="E7163">
        <v>25</v>
      </c>
      <c r="F7163" s="2">
        <f>DATE(2026,IF(Tabla1[[#This Row],[Mes de Fecha]]="Septiembre",9,10),Tabla1[[#This Row],[Día de Fecha]])</f>
        <v>46290</v>
      </c>
      <c r="I7163">
        <v>0</v>
      </c>
      <c r="J7163" s="1">
        <v>7755811</v>
      </c>
      <c r="K7163">
        <v>0</v>
      </c>
    </row>
    <row r="7164" spans="1:11" x14ac:dyDescent="0.25">
      <c r="A7164" t="s">
        <v>9</v>
      </c>
      <c r="B7164" t="s">
        <v>66</v>
      </c>
      <c r="C7164" t="s">
        <v>873</v>
      </c>
      <c r="D7164" t="s">
        <v>11</v>
      </c>
      <c r="E7164">
        <v>25</v>
      </c>
      <c r="F7164" s="2">
        <f>DATE(2026,IF(Tabla1[[#This Row],[Mes de Fecha]]="Septiembre",9,10),Tabla1[[#This Row],[Día de Fecha]])</f>
        <v>46290</v>
      </c>
      <c r="G7164">
        <v>1077437469</v>
      </c>
      <c r="H7164" t="s">
        <v>67</v>
      </c>
      <c r="I7164">
        <v>143</v>
      </c>
      <c r="J7164">
        <v>0</v>
      </c>
      <c r="K7164" s="1">
        <v>7601096</v>
      </c>
    </row>
    <row r="7165" spans="1:11" x14ac:dyDescent="0.25">
      <c r="A7165" t="s">
        <v>9</v>
      </c>
      <c r="B7165" t="s">
        <v>66</v>
      </c>
      <c r="C7165" t="s">
        <v>873</v>
      </c>
      <c r="D7165" t="s">
        <v>11</v>
      </c>
      <c r="E7165">
        <v>26</v>
      </c>
      <c r="F7165" s="2">
        <f>DATE(2026,IF(Tabla1[[#This Row],[Mes de Fecha]]="Septiembre",9,10),Tabla1[[#This Row],[Día de Fecha]])</f>
        <v>46291</v>
      </c>
      <c r="I7165">
        <v>0</v>
      </c>
      <c r="J7165" s="1">
        <v>9779881</v>
      </c>
      <c r="K7165">
        <v>0</v>
      </c>
    </row>
    <row r="7166" spans="1:11" x14ac:dyDescent="0.25">
      <c r="A7166" t="s">
        <v>9</v>
      </c>
      <c r="B7166" t="s">
        <v>66</v>
      </c>
      <c r="C7166" t="s">
        <v>873</v>
      </c>
      <c r="D7166" t="s">
        <v>11</v>
      </c>
      <c r="E7166">
        <v>26</v>
      </c>
      <c r="F7166" s="2">
        <f>DATE(2026,IF(Tabla1[[#This Row],[Mes de Fecha]]="Septiembre",9,10),Tabla1[[#This Row],[Día de Fecha]])</f>
        <v>46291</v>
      </c>
      <c r="G7166">
        <v>1077437469</v>
      </c>
      <c r="H7166" t="s">
        <v>67</v>
      </c>
      <c r="I7166">
        <v>181</v>
      </c>
      <c r="J7166">
        <v>0</v>
      </c>
      <c r="K7166" s="1">
        <v>9099385</v>
      </c>
    </row>
    <row r="7167" spans="1:11" x14ac:dyDescent="0.25">
      <c r="A7167" t="s">
        <v>9</v>
      </c>
      <c r="B7167" t="s">
        <v>66</v>
      </c>
      <c r="C7167" t="s">
        <v>873</v>
      </c>
      <c r="D7167" t="s">
        <v>11</v>
      </c>
      <c r="E7167">
        <v>27</v>
      </c>
      <c r="F7167" s="2">
        <f>DATE(2026,IF(Tabla1[[#This Row],[Mes de Fecha]]="Septiembre",9,10),Tabla1[[#This Row],[Día de Fecha]])</f>
        <v>46292</v>
      </c>
      <c r="I7167">
        <v>0</v>
      </c>
      <c r="J7167" s="1">
        <v>5163683</v>
      </c>
      <c r="K7167">
        <v>0</v>
      </c>
    </row>
    <row r="7168" spans="1:11" x14ac:dyDescent="0.25">
      <c r="A7168" t="s">
        <v>9</v>
      </c>
      <c r="B7168" t="s">
        <v>66</v>
      </c>
      <c r="C7168" t="s">
        <v>873</v>
      </c>
      <c r="D7168" t="s">
        <v>11</v>
      </c>
      <c r="E7168">
        <v>27</v>
      </c>
      <c r="F7168" s="2">
        <f>DATE(2026,IF(Tabla1[[#This Row],[Mes de Fecha]]="Septiembre",9,10),Tabla1[[#This Row],[Día de Fecha]])</f>
        <v>46292</v>
      </c>
      <c r="G7168">
        <v>1077437469</v>
      </c>
      <c r="H7168" t="s">
        <v>67</v>
      </c>
      <c r="I7168">
        <v>51</v>
      </c>
      <c r="J7168">
        <v>0</v>
      </c>
      <c r="K7168" s="1">
        <v>2701514</v>
      </c>
    </row>
    <row r="7169" spans="1:11" x14ac:dyDescent="0.25">
      <c r="A7169" t="s">
        <v>9</v>
      </c>
      <c r="B7169" t="s">
        <v>66</v>
      </c>
      <c r="C7169" t="s">
        <v>873</v>
      </c>
      <c r="D7169" t="s">
        <v>11</v>
      </c>
      <c r="E7169">
        <v>28</v>
      </c>
      <c r="F7169" s="2">
        <f>DATE(2026,IF(Tabla1[[#This Row],[Mes de Fecha]]="Septiembre",9,10),Tabla1[[#This Row],[Día de Fecha]])</f>
        <v>46293</v>
      </c>
      <c r="I7169">
        <v>0</v>
      </c>
      <c r="J7169" s="1">
        <v>4233661</v>
      </c>
      <c r="K7169">
        <v>0</v>
      </c>
    </row>
    <row r="7170" spans="1:11" x14ac:dyDescent="0.25">
      <c r="A7170" t="s">
        <v>9</v>
      </c>
      <c r="B7170" t="s">
        <v>66</v>
      </c>
      <c r="C7170" t="s">
        <v>873</v>
      </c>
      <c r="D7170" t="s">
        <v>11</v>
      </c>
      <c r="E7170">
        <v>28</v>
      </c>
      <c r="F7170" s="2">
        <f>DATE(2026,IF(Tabla1[[#This Row],[Mes de Fecha]]="Septiembre",9,10),Tabla1[[#This Row],[Día de Fecha]])</f>
        <v>46293</v>
      </c>
      <c r="G7170">
        <v>1010101553</v>
      </c>
      <c r="H7170" t="s">
        <v>68</v>
      </c>
      <c r="I7170">
        <v>42</v>
      </c>
      <c r="J7170">
        <v>0</v>
      </c>
      <c r="K7170" s="1">
        <v>2040212</v>
      </c>
    </row>
    <row r="7171" spans="1:11" x14ac:dyDescent="0.25">
      <c r="A7171" t="s">
        <v>9</v>
      </c>
      <c r="B7171" t="s">
        <v>66</v>
      </c>
      <c r="C7171" t="s">
        <v>873</v>
      </c>
      <c r="D7171" t="s">
        <v>11</v>
      </c>
      <c r="E7171">
        <v>28</v>
      </c>
      <c r="F7171" s="2">
        <f>DATE(2026,IF(Tabla1[[#This Row],[Mes de Fecha]]="Septiembre",9,10),Tabla1[[#This Row],[Día de Fecha]])</f>
        <v>46293</v>
      </c>
      <c r="G7171">
        <v>1077435441</v>
      </c>
      <c r="H7171" t="s">
        <v>69</v>
      </c>
      <c r="I7171">
        <v>52</v>
      </c>
      <c r="J7171">
        <v>0</v>
      </c>
      <c r="K7171" s="1">
        <v>2705673</v>
      </c>
    </row>
    <row r="7172" spans="1:11" x14ac:dyDescent="0.25">
      <c r="A7172" t="s">
        <v>9</v>
      </c>
      <c r="B7172" t="s">
        <v>66</v>
      </c>
      <c r="C7172" t="s">
        <v>873</v>
      </c>
      <c r="D7172" t="s">
        <v>11</v>
      </c>
      <c r="E7172">
        <v>28</v>
      </c>
      <c r="F7172" s="2">
        <f>DATE(2026,IF(Tabla1[[#This Row],[Mes de Fecha]]="Septiembre",9,10),Tabla1[[#This Row],[Día de Fecha]])</f>
        <v>46293</v>
      </c>
      <c r="G7172">
        <v>1077437469</v>
      </c>
      <c r="H7172" t="s">
        <v>67</v>
      </c>
      <c r="I7172">
        <v>31</v>
      </c>
      <c r="J7172">
        <v>0</v>
      </c>
      <c r="K7172" s="1">
        <v>1456640</v>
      </c>
    </row>
    <row r="7173" spans="1:11" x14ac:dyDescent="0.25">
      <c r="A7173" t="s">
        <v>9</v>
      </c>
      <c r="B7173" t="s">
        <v>66</v>
      </c>
      <c r="C7173" t="s">
        <v>873</v>
      </c>
      <c r="D7173" t="s">
        <v>11</v>
      </c>
      <c r="E7173">
        <v>29</v>
      </c>
      <c r="F7173" s="2">
        <f>DATE(2026,IF(Tabla1[[#This Row],[Mes de Fecha]]="Septiembre",9,10),Tabla1[[#This Row],[Día de Fecha]])</f>
        <v>46294</v>
      </c>
      <c r="I7173">
        <v>0</v>
      </c>
      <c r="J7173" s="1">
        <v>4706578</v>
      </c>
      <c r="K7173">
        <v>0</v>
      </c>
    </row>
    <row r="7174" spans="1:11" x14ac:dyDescent="0.25">
      <c r="A7174" t="s">
        <v>9</v>
      </c>
      <c r="B7174" t="s">
        <v>66</v>
      </c>
      <c r="C7174" t="s">
        <v>873</v>
      </c>
      <c r="D7174" t="s">
        <v>11</v>
      </c>
      <c r="E7174">
        <v>29</v>
      </c>
      <c r="F7174" s="2">
        <f>DATE(2026,IF(Tabla1[[#This Row],[Mes de Fecha]]="Septiembre",9,10),Tabla1[[#This Row],[Día de Fecha]])</f>
        <v>46294</v>
      </c>
      <c r="G7174">
        <v>1010101553</v>
      </c>
      <c r="H7174" t="s">
        <v>68</v>
      </c>
      <c r="I7174">
        <v>42</v>
      </c>
      <c r="J7174">
        <v>0</v>
      </c>
      <c r="K7174" s="1">
        <v>2245841</v>
      </c>
    </row>
    <row r="7175" spans="1:11" x14ac:dyDescent="0.25">
      <c r="A7175" t="s">
        <v>9</v>
      </c>
      <c r="B7175" t="s">
        <v>66</v>
      </c>
      <c r="C7175" t="s">
        <v>873</v>
      </c>
      <c r="D7175" t="s">
        <v>11</v>
      </c>
      <c r="E7175">
        <v>29</v>
      </c>
      <c r="F7175" s="2">
        <f>DATE(2026,IF(Tabla1[[#This Row],[Mes de Fecha]]="Septiembre",9,10),Tabla1[[#This Row],[Día de Fecha]])</f>
        <v>46294</v>
      </c>
      <c r="G7175">
        <v>1077435441</v>
      </c>
      <c r="H7175" t="s">
        <v>69</v>
      </c>
      <c r="I7175">
        <v>96</v>
      </c>
      <c r="J7175">
        <v>0</v>
      </c>
      <c r="K7175" s="1">
        <v>3050715</v>
      </c>
    </row>
    <row r="7176" spans="1:11" x14ac:dyDescent="0.25">
      <c r="A7176" t="s">
        <v>9</v>
      </c>
      <c r="B7176" t="s">
        <v>66</v>
      </c>
      <c r="C7176" t="s">
        <v>873</v>
      </c>
      <c r="D7176" t="s">
        <v>11</v>
      </c>
      <c r="E7176">
        <v>29</v>
      </c>
      <c r="F7176" s="2">
        <f>DATE(2026,IF(Tabla1[[#This Row],[Mes de Fecha]]="Septiembre",9,10),Tabla1[[#This Row],[Día de Fecha]])</f>
        <v>46294</v>
      </c>
      <c r="G7176">
        <v>1077437469</v>
      </c>
      <c r="H7176" t="s">
        <v>67</v>
      </c>
      <c r="I7176">
        <v>29</v>
      </c>
      <c r="J7176">
        <v>0</v>
      </c>
      <c r="K7176" s="1">
        <v>878318</v>
      </c>
    </row>
    <row r="7177" spans="1:11" x14ac:dyDescent="0.25">
      <c r="A7177" t="s">
        <v>9</v>
      </c>
      <c r="B7177" t="s">
        <v>66</v>
      </c>
      <c r="C7177" t="s">
        <v>873</v>
      </c>
      <c r="D7177" t="s">
        <v>11</v>
      </c>
      <c r="E7177">
        <v>30</v>
      </c>
      <c r="F7177" s="2">
        <f>DATE(2026,IF(Tabla1[[#This Row],[Mes de Fecha]]="Septiembre",9,10),Tabla1[[#This Row],[Día de Fecha]])</f>
        <v>46295</v>
      </c>
      <c r="I7177">
        <v>0</v>
      </c>
      <c r="J7177" s="1">
        <v>4984413</v>
      </c>
      <c r="K7177">
        <v>0</v>
      </c>
    </row>
    <row r="7178" spans="1:11" x14ac:dyDescent="0.25">
      <c r="A7178" t="s">
        <v>9</v>
      </c>
      <c r="B7178" t="s">
        <v>66</v>
      </c>
      <c r="C7178" t="s">
        <v>873</v>
      </c>
      <c r="D7178" t="s">
        <v>11</v>
      </c>
      <c r="E7178">
        <v>30</v>
      </c>
      <c r="F7178" s="2">
        <f>DATE(2026,IF(Tabla1[[#This Row],[Mes de Fecha]]="Septiembre",9,10),Tabla1[[#This Row],[Día de Fecha]])</f>
        <v>46295</v>
      </c>
      <c r="G7178">
        <v>1010101553</v>
      </c>
      <c r="H7178" t="s">
        <v>68</v>
      </c>
      <c r="I7178">
        <v>34</v>
      </c>
      <c r="J7178">
        <v>0</v>
      </c>
      <c r="K7178" s="1">
        <v>1723153</v>
      </c>
    </row>
    <row r="7179" spans="1:11" x14ac:dyDescent="0.25">
      <c r="A7179" t="s">
        <v>9</v>
      </c>
      <c r="B7179" t="s">
        <v>66</v>
      </c>
      <c r="C7179" t="s">
        <v>873</v>
      </c>
      <c r="D7179" t="s">
        <v>11</v>
      </c>
      <c r="E7179">
        <v>30</v>
      </c>
      <c r="F7179" s="2">
        <f>DATE(2026,IF(Tabla1[[#This Row],[Mes de Fecha]]="Septiembre",9,10),Tabla1[[#This Row],[Día de Fecha]])</f>
        <v>46295</v>
      </c>
      <c r="G7179">
        <v>1077435441</v>
      </c>
      <c r="H7179" t="s">
        <v>69</v>
      </c>
      <c r="I7179">
        <v>8</v>
      </c>
      <c r="J7179">
        <v>0</v>
      </c>
      <c r="K7179" s="1">
        <v>520672</v>
      </c>
    </row>
    <row r="7180" spans="1:11" x14ac:dyDescent="0.25">
      <c r="A7180" t="s">
        <v>9</v>
      </c>
      <c r="B7180" t="s">
        <v>66</v>
      </c>
      <c r="C7180" t="s">
        <v>873</v>
      </c>
      <c r="D7180" t="s">
        <v>11</v>
      </c>
      <c r="E7180">
        <v>30</v>
      </c>
      <c r="F7180" s="2">
        <f>DATE(2026,IF(Tabla1[[#This Row],[Mes de Fecha]]="Septiembre",9,10),Tabla1[[#This Row],[Día de Fecha]])</f>
        <v>46295</v>
      </c>
      <c r="G7180">
        <v>1077437469</v>
      </c>
      <c r="H7180" t="s">
        <v>67</v>
      </c>
      <c r="I7180">
        <v>40</v>
      </c>
      <c r="J7180">
        <v>0</v>
      </c>
      <c r="K7180" s="1">
        <v>1743864</v>
      </c>
    </row>
    <row r="7181" spans="1:11" x14ac:dyDescent="0.25">
      <c r="A7181" t="s">
        <v>9</v>
      </c>
      <c r="B7181" t="s">
        <v>66</v>
      </c>
      <c r="C7181" t="s">
        <v>873</v>
      </c>
      <c r="D7181" t="s">
        <v>14</v>
      </c>
      <c r="E7181">
        <v>1</v>
      </c>
      <c r="F7181" s="2">
        <f>DATE(2026,IF(Tabla1[[#This Row],[Mes de Fecha]]="Septiembre",9,10),Tabla1[[#This Row],[Día de Fecha]])</f>
        <v>46296</v>
      </c>
      <c r="I7181">
        <v>0</v>
      </c>
      <c r="J7181" s="1">
        <v>9302080</v>
      </c>
      <c r="K7181">
        <v>0</v>
      </c>
    </row>
    <row r="7182" spans="1:11" x14ac:dyDescent="0.25">
      <c r="A7182" t="s">
        <v>9</v>
      </c>
      <c r="B7182" t="s">
        <v>66</v>
      </c>
      <c r="C7182" t="s">
        <v>873</v>
      </c>
      <c r="D7182" t="s">
        <v>14</v>
      </c>
      <c r="E7182">
        <v>1</v>
      </c>
      <c r="F7182" s="2">
        <f>DATE(2026,IF(Tabla1[[#This Row],[Mes de Fecha]]="Septiembre",9,10),Tabla1[[#This Row],[Día de Fecha]])</f>
        <v>46296</v>
      </c>
      <c r="G7182">
        <v>1010101553</v>
      </c>
      <c r="H7182" t="s">
        <v>68</v>
      </c>
      <c r="I7182">
        <v>26</v>
      </c>
      <c r="J7182">
        <v>0</v>
      </c>
      <c r="K7182" s="1">
        <v>1347521</v>
      </c>
    </row>
    <row r="7183" spans="1:11" x14ac:dyDescent="0.25">
      <c r="A7183" t="s">
        <v>9</v>
      </c>
      <c r="B7183" t="s">
        <v>66</v>
      </c>
      <c r="C7183" t="s">
        <v>873</v>
      </c>
      <c r="D7183" t="s">
        <v>14</v>
      </c>
      <c r="E7183">
        <v>1</v>
      </c>
      <c r="F7183" s="2">
        <f>DATE(2026,IF(Tabla1[[#This Row],[Mes de Fecha]]="Septiembre",9,10),Tabla1[[#This Row],[Día de Fecha]])</f>
        <v>46296</v>
      </c>
      <c r="G7183">
        <v>1077435441</v>
      </c>
      <c r="H7183" t="s">
        <v>69</v>
      </c>
      <c r="I7183">
        <v>38</v>
      </c>
      <c r="J7183">
        <v>0</v>
      </c>
      <c r="K7183" s="1">
        <v>1861724</v>
      </c>
    </row>
    <row r="7184" spans="1:11" x14ac:dyDescent="0.25">
      <c r="A7184" t="s">
        <v>9</v>
      </c>
      <c r="B7184" t="s">
        <v>66</v>
      </c>
      <c r="C7184" t="s">
        <v>873</v>
      </c>
      <c r="D7184" t="s">
        <v>14</v>
      </c>
      <c r="E7184">
        <v>1</v>
      </c>
      <c r="F7184" s="2">
        <f>DATE(2026,IF(Tabla1[[#This Row],[Mes de Fecha]]="Septiembre",9,10),Tabla1[[#This Row],[Día de Fecha]])</f>
        <v>46296</v>
      </c>
      <c r="G7184">
        <v>1077437469</v>
      </c>
      <c r="H7184" t="s">
        <v>67</v>
      </c>
      <c r="I7184">
        <v>43</v>
      </c>
      <c r="J7184">
        <v>0</v>
      </c>
      <c r="K7184" s="1">
        <v>2157729</v>
      </c>
    </row>
    <row r="7185" spans="1:11" x14ac:dyDescent="0.25">
      <c r="A7185" t="s">
        <v>9</v>
      </c>
      <c r="B7185" t="s">
        <v>66</v>
      </c>
      <c r="C7185" t="s">
        <v>873</v>
      </c>
      <c r="D7185" t="s">
        <v>14</v>
      </c>
      <c r="E7185">
        <v>2</v>
      </c>
      <c r="F7185" s="2">
        <f>DATE(2026,IF(Tabla1[[#This Row],[Mes de Fecha]]="Septiembre",9,10),Tabla1[[#This Row],[Día de Fecha]])</f>
        <v>46297</v>
      </c>
      <c r="I7185">
        <v>0</v>
      </c>
      <c r="J7185" s="1">
        <v>12200166</v>
      </c>
      <c r="K7185">
        <v>0</v>
      </c>
    </row>
    <row r="7186" spans="1:11" x14ac:dyDescent="0.25">
      <c r="A7186" t="s">
        <v>9</v>
      </c>
      <c r="B7186" t="s">
        <v>66</v>
      </c>
      <c r="C7186" t="s">
        <v>873</v>
      </c>
      <c r="D7186" t="s">
        <v>14</v>
      </c>
      <c r="E7186">
        <v>2</v>
      </c>
      <c r="F7186" s="2">
        <f>DATE(2026,IF(Tabla1[[#This Row],[Mes de Fecha]]="Septiembre",9,10),Tabla1[[#This Row],[Día de Fecha]])</f>
        <v>46297</v>
      </c>
      <c r="G7186">
        <v>1010101553</v>
      </c>
      <c r="H7186" t="s">
        <v>68</v>
      </c>
      <c r="I7186">
        <v>56</v>
      </c>
      <c r="J7186">
        <v>0</v>
      </c>
      <c r="K7186" s="1">
        <v>2694833</v>
      </c>
    </row>
    <row r="7187" spans="1:11" x14ac:dyDescent="0.25">
      <c r="A7187" t="s">
        <v>9</v>
      </c>
      <c r="B7187" t="s">
        <v>66</v>
      </c>
      <c r="C7187" t="s">
        <v>873</v>
      </c>
      <c r="D7187" t="s">
        <v>14</v>
      </c>
      <c r="E7187">
        <v>2</v>
      </c>
      <c r="F7187" s="2">
        <f>DATE(2026,IF(Tabla1[[#This Row],[Mes de Fecha]]="Septiembre",9,10),Tabla1[[#This Row],[Día de Fecha]])</f>
        <v>46297</v>
      </c>
      <c r="G7187">
        <v>1077435441</v>
      </c>
      <c r="H7187" t="s">
        <v>69</v>
      </c>
      <c r="I7187">
        <v>51</v>
      </c>
      <c r="J7187">
        <v>0</v>
      </c>
      <c r="K7187" s="1">
        <v>2602689</v>
      </c>
    </row>
    <row r="7188" spans="1:11" x14ac:dyDescent="0.25">
      <c r="A7188" t="s">
        <v>9</v>
      </c>
      <c r="B7188" t="s">
        <v>66</v>
      </c>
      <c r="C7188" t="s">
        <v>873</v>
      </c>
      <c r="D7188" t="s">
        <v>14</v>
      </c>
      <c r="E7188">
        <v>2</v>
      </c>
      <c r="F7188" s="2">
        <f>DATE(2026,IF(Tabla1[[#This Row],[Mes de Fecha]]="Septiembre",9,10),Tabla1[[#This Row],[Día de Fecha]])</f>
        <v>46297</v>
      </c>
      <c r="G7188">
        <v>1077437469</v>
      </c>
      <c r="H7188" t="s">
        <v>67</v>
      </c>
      <c r="I7188">
        <v>65</v>
      </c>
      <c r="J7188">
        <v>0</v>
      </c>
      <c r="K7188" s="1">
        <v>3583152</v>
      </c>
    </row>
    <row r="7189" spans="1:11" x14ac:dyDescent="0.25">
      <c r="A7189" t="s">
        <v>9</v>
      </c>
      <c r="B7189" t="s">
        <v>66</v>
      </c>
      <c r="C7189" t="s">
        <v>873</v>
      </c>
      <c r="D7189" t="s">
        <v>14</v>
      </c>
      <c r="E7189">
        <v>3</v>
      </c>
      <c r="F7189" s="2">
        <f>DATE(2026,IF(Tabla1[[#This Row],[Mes de Fecha]]="Septiembre",9,10),Tabla1[[#This Row],[Día de Fecha]])</f>
        <v>46298</v>
      </c>
      <c r="I7189">
        <v>0</v>
      </c>
      <c r="J7189" s="1">
        <v>6335337</v>
      </c>
      <c r="K7189">
        <v>0</v>
      </c>
    </row>
    <row r="7190" spans="1:11" x14ac:dyDescent="0.25">
      <c r="A7190" t="s">
        <v>9</v>
      </c>
      <c r="B7190" t="s">
        <v>66</v>
      </c>
      <c r="C7190" t="s">
        <v>873</v>
      </c>
      <c r="D7190" t="s">
        <v>14</v>
      </c>
      <c r="E7190">
        <v>3</v>
      </c>
      <c r="F7190" s="2">
        <f>DATE(2026,IF(Tabla1[[#This Row],[Mes de Fecha]]="Septiembre",9,10),Tabla1[[#This Row],[Día de Fecha]])</f>
        <v>46298</v>
      </c>
      <c r="G7190">
        <v>1010101553</v>
      </c>
      <c r="H7190" t="s">
        <v>68</v>
      </c>
      <c r="I7190">
        <v>28</v>
      </c>
      <c r="J7190">
        <v>0</v>
      </c>
      <c r="K7190" s="1">
        <v>1536521</v>
      </c>
    </row>
    <row r="7191" spans="1:11" x14ac:dyDescent="0.25">
      <c r="A7191" t="s">
        <v>9</v>
      </c>
      <c r="B7191" t="s">
        <v>66</v>
      </c>
      <c r="C7191" t="s">
        <v>873</v>
      </c>
      <c r="D7191" t="s">
        <v>14</v>
      </c>
      <c r="E7191">
        <v>3</v>
      </c>
      <c r="F7191" s="2">
        <f>DATE(2026,IF(Tabla1[[#This Row],[Mes de Fecha]]="Septiembre",9,10),Tabla1[[#This Row],[Día de Fecha]])</f>
        <v>46298</v>
      </c>
      <c r="G7191">
        <v>1077435441</v>
      </c>
      <c r="H7191" t="s">
        <v>69</v>
      </c>
      <c r="I7191">
        <v>64</v>
      </c>
      <c r="J7191">
        <v>0</v>
      </c>
      <c r="K7191" s="1">
        <v>2952729</v>
      </c>
    </row>
    <row r="7192" spans="1:11" x14ac:dyDescent="0.25">
      <c r="A7192" t="s">
        <v>9</v>
      </c>
      <c r="B7192" t="s">
        <v>66</v>
      </c>
      <c r="C7192" t="s">
        <v>873</v>
      </c>
      <c r="D7192" t="s">
        <v>14</v>
      </c>
      <c r="E7192">
        <v>3</v>
      </c>
      <c r="F7192" s="2">
        <f>DATE(2026,IF(Tabla1[[#This Row],[Mes de Fecha]]="Septiembre",9,10),Tabla1[[#This Row],[Día de Fecha]])</f>
        <v>46298</v>
      </c>
      <c r="G7192">
        <v>1077437469</v>
      </c>
      <c r="H7192" t="s">
        <v>67</v>
      </c>
      <c r="I7192">
        <v>61</v>
      </c>
      <c r="J7192">
        <v>0</v>
      </c>
      <c r="K7192" s="1">
        <v>2659621</v>
      </c>
    </row>
    <row r="7193" spans="1:11" x14ac:dyDescent="0.25">
      <c r="A7193" t="s">
        <v>9</v>
      </c>
      <c r="B7193" t="s">
        <v>66</v>
      </c>
      <c r="C7193" t="s">
        <v>873</v>
      </c>
      <c r="D7193" t="s">
        <v>14</v>
      </c>
      <c r="E7193">
        <v>4</v>
      </c>
      <c r="F7193" s="2">
        <f>DATE(2026,IF(Tabla1[[#This Row],[Mes de Fecha]]="Septiembre",9,10),Tabla1[[#This Row],[Día de Fecha]])</f>
        <v>46299</v>
      </c>
      <c r="I7193">
        <v>0</v>
      </c>
      <c r="J7193" s="1">
        <v>2188472</v>
      </c>
      <c r="K7193">
        <v>0</v>
      </c>
    </row>
    <row r="7194" spans="1:11" x14ac:dyDescent="0.25">
      <c r="A7194" t="s">
        <v>9</v>
      </c>
      <c r="B7194" t="s">
        <v>66</v>
      </c>
      <c r="C7194" t="s">
        <v>873</v>
      </c>
      <c r="D7194" t="s">
        <v>14</v>
      </c>
      <c r="E7194">
        <v>4</v>
      </c>
      <c r="F7194" s="2">
        <f>DATE(2026,IF(Tabla1[[#This Row],[Mes de Fecha]]="Septiembre",9,10),Tabla1[[#This Row],[Día de Fecha]])</f>
        <v>46299</v>
      </c>
      <c r="G7194">
        <v>1010101553</v>
      </c>
      <c r="H7194" t="s">
        <v>68</v>
      </c>
      <c r="I7194">
        <v>7</v>
      </c>
      <c r="J7194">
        <v>0</v>
      </c>
      <c r="K7194" s="1">
        <v>377858</v>
      </c>
    </row>
    <row r="7195" spans="1:11" x14ac:dyDescent="0.25">
      <c r="A7195" t="s">
        <v>9</v>
      </c>
      <c r="B7195" t="s">
        <v>66</v>
      </c>
      <c r="C7195" t="s">
        <v>873</v>
      </c>
      <c r="D7195" t="s">
        <v>14</v>
      </c>
      <c r="E7195">
        <v>4</v>
      </c>
      <c r="F7195" s="2">
        <f>DATE(2026,IF(Tabla1[[#This Row],[Mes de Fecha]]="Septiembre",9,10),Tabla1[[#This Row],[Día de Fecha]])</f>
        <v>46299</v>
      </c>
      <c r="G7195">
        <v>1077435441</v>
      </c>
      <c r="H7195" t="s">
        <v>69</v>
      </c>
      <c r="I7195">
        <v>51</v>
      </c>
      <c r="J7195">
        <v>0</v>
      </c>
      <c r="K7195" s="1">
        <v>2634120</v>
      </c>
    </row>
    <row r="7196" spans="1:11" x14ac:dyDescent="0.25">
      <c r="A7196" t="s">
        <v>9</v>
      </c>
      <c r="B7196" t="s">
        <v>66</v>
      </c>
      <c r="C7196" t="s">
        <v>873</v>
      </c>
      <c r="D7196" t="s">
        <v>14</v>
      </c>
      <c r="E7196">
        <v>4</v>
      </c>
      <c r="F7196" s="2">
        <f>DATE(2026,IF(Tabla1[[#This Row],[Mes de Fecha]]="Septiembre",9,10),Tabla1[[#This Row],[Día de Fecha]])</f>
        <v>46299</v>
      </c>
      <c r="G7196">
        <v>1077437469</v>
      </c>
      <c r="H7196" t="s">
        <v>67</v>
      </c>
      <c r="I7196">
        <v>50</v>
      </c>
      <c r="J7196">
        <v>0</v>
      </c>
      <c r="K7196" s="1">
        <v>2405212</v>
      </c>
    </row>
    <row r="7197" spans="1:11" x14ac:dyDescent="0.25">
      <c r="A7197" t="s">
        <v>9</v>
      </c>
      <c r="B7197" t="s">
        <v>66</v>
      </c>
      <c r="C7197" t="s">
        <v>873</v>
      </c>
      <c r="D7197" t="s">
        <v>14</v>
      </c>
      <c r="E7197">
        <v>5</v>
      </c>
      <c r="F7197" s="2">
        <f>DATE(2026,IF(Tabla1[[#This Row],[Mes de Fecha]]="Septiembre",9,10),Tabla1[[#This Row],[Día de Fecha]])</f>
        <v>46300</v>
      </c>
      <c r="I7197">
        <v>0</v>
      </c>
      <c r="J7197" s="1">
        <v>5413928</v>
      </c>
      <c r="K7197">
        <v>0</v>
      </c>
    </row>
    <row r="7198" spans="1:11" x14ac:dyDescent="0.25">
      <c r="A7198" t="s">
        <v>9</v>
      </c>
      <c r="B7198" t="s">
        <v>66</v>
      </c>
      <c r="C7198" t="s">
        <v>873</v>
      </c>
      <c r="D7198" t="s">
        <v>14</v>
      </c>
      <c r="E7198">
        <v>5</v>
      </c>
      <c r="F7198" s="2">
        <f>DATE(2026,IF(Tabla1[[#This Row],[Mes de Fecha]]="Septiembre",9,10),Tabla1[[#This Row],[Día de Fecha]])</f>
        <v>46300</v>
      </c>
      <c r="G7198">
        <v>1010101553</v>
      </c>
      <c r="H7198" t="s">
        <v>68</v>
      </c>
      <c r="I7198">
        <v>5</v>
      </c>
      <c r="J7198">
        <v>0</v>
      </c>
      <c r="K7198" s="1">
        <v>340084</v>
      </c>
    </row>
    <row r="7199" spans="1:11" x14ac:dyDescent="0.25">
      <c r="A7199" t="s">
        <v>9</v>
      </c>
      <c r="B7199" t="s">
        <v>66</v>
      </c>
      <c r="C7199" t="s">
        <v>873</v>
      </c>
      <c r="D7199" t="s">
        <v>14</v>
      </c>
      <c r="E7199">
        <v>5</v>
      </c>
      <c r="F7199" s="2">
        <f>DATE(2026,IF(Tabla1[[#This Row],[Mes de Fecha]]="Septiembre",9,10),Tabla1[[#This Row],[Día de Fecha]])</f>
        <v>46300</v>
      </c>
      <c r="G7199">
        <v>1077435441</v>
      </c>
      <c r="H7199" t="s">
        <v>69</v>
      </c>
      <c r="I7199">
        <v>29</v>
      </c>
      <c r="J7199">
        <v>0</v>
      </c>
      <c r="K7199" s="1">
        <v>1649958</v>
      </c>
    </row>
    <row r="7200" spans="1:11" x14ac:dyDescent="0.25">
      <c r="A7200" t="s">
        <v>9</v>
      </c>
      <c r="B7200" t="s">
        <v>66</v>
      </c>
      <c r="C7200" t="s">
        <v>873</v>
      </c>
      <c r="D7200" t="s">
        <v>14</v>
      </c>
      <c r="E7200">
        <v>5</v>
      </c>
      <c r="F7200" s="2">
        <f>DATE(2026,IF(Tabla1[[#This Row],[Mes de Fecha]]="Septiembre",9,10),Tabla1[[#This Row],[Día de Fecha]])</f>
        <v>46300</v>
      </c>
      <c r="G7200">
        <v>1077437469</v>
      </c>
      <c r="H7200" t="s">
        <v>67</v>
      </c>
      <c r="I7200">
        <v>53</v>
      </c>
      <c r="J7200">
        <v>0</v>
      </c>
      <c r="K7200" s="1">
        <v>2833783</v>
      </c>
    </row>
    <row r="7201" spans="1:11" x14ac:dyDescent="0.25">
      <c r="A7201" t="s">
        <v>9</v>
      </c>
      <c r="B7201" t="s">
        <v>66</v>
      </c>
      <c r="C7201" t="s">
        <v>873</v>
      </c>
      <c r="D7201" t="s">
        <v>14</v>
      </c>
      <c r="E7201">
        <v>6</v>
      </c>
      <c r="F7201" s="2">
        <f>DATE(2026,IF(Tabla1[[#This Row],[Mes de Fecha]]="Septiembre",9,10),Tabla1[[#This Row],[Día de Fecha]])</f>
        <v>46301</v>
      </c>
      <c r="I7201">
        <v>0</v>
      </c>
      <c r="J7201" s="1">
        <v>3192878</v>
      </c>
      <c r="K7201">
        <v>0</v>
      </c>
    </row>
    <row r="7202" spans="1:11" x14ac:dyDescent="0.25">
      <c r="A7202" t="s">
        <v>9</v>
      </c>
      <c r="B7202" t="s">
        <v>66</v>
      </c>
      <c r="C7202" t="s">
        <v>873</v>
      </c>
      <c r="D7202" t="s">
        <v>14</v>
      </c>
      <c r="E7202">
        <v>6</v>
      </c>
      <c r="F7202" s="2">
        <f>DATE(2026,IF(Tabla1[[#This Row],[Mes de Fecha]]="Septiembre",9,10),Tabla1[[#This Row],[Día de Fecha]])</f>
        <v>46301</v>
      </c>
      <c r="G7202">
        <v>1010101553</v>
      </c>
      <c r="H7202" t="s">
        <v>68</v>
      </c>
      <c r="I7202">
        <v>33</v>
      </c>
      <c r="J7202">
        <v>0</v>
      </c>
      <c r="K7202" s="1">
        <v>1750591</v>
      </c>
    </row>
    <row r="7203" spans="1:11" x14ac:dyDescent="0.25">
      <c r="A7203" t="s">
        <v>9</v>
      </c>
      <c r="B7203" t="s">
        <v>66</v>
      </c>
      <c r="C7203" t="s">
        <v>873</v>
      </c>
      <c r="D7203" t="s">
        <v>14</v>
      </c>
      <c r="E7203">
        <v>6</v>
      </c>
      <c r="F7203" s="2">
        <f>DATE(2026,IF(Tabla1[[#This Row],[Mes de Fecha]]="Septiembre",9,10),Tabla1[[#This Row],[Día de Fecha]])</f>
        <v>46301</v>
      </c>
      <c r="G7203">
        <v>1077435441</v>
      </c>
      <c r="H7203" t="s">
        <v>69</v>
      </c>
      <c r="I7203">
        <v>52</v>
      </c>
      <c r="J7203">
        <v>0</v>
      </c>
      <c r="K7203" s="1">
        <v>3050170</v>
      </c>
    </row>
    <row r="7204" spans="1:11" x14ac:dyDescent="0.25">
      <c r="A7204" t="s">
        <v>9</v>
      </c>
      <c r="B7204" t="s">
        <v>66</v>
      </c>
      <c r="C7204" t="s">
        <v>873</v>
      </c>
      <c r="D7204" t="s">
        <v>14</v>
      </c>
      <c r="E7204">
        <v>6</v>
      </c>
      <c r="F7204" s="2">
        <f>DATE(2026,IF(Tabla1[[#This Row],[Mes de Fecha]]="Septiembre",9,10),Tabla1[[#This Row],[Día de Fecha]])</f>
        <v>46301</v>
      </c>
      <c r="G7204">
        <v>1077437469</v>
      </c>
      <c r="H7204" t="s">
        <v>67</v>
      </c>
      <c r="I7204">
        <v>13</v>
      </c>
      <c r="J7204">
        <v>0</v>
      </c>
      <c r="K7204" s="1">
        <v>709369</v>
      </c>
    </row>
    <row r="7205" spans="1:11" x14ac:dyDescent="0.25">
      <c r="A7205" t="s">
        <v>9</v>
      </c>
      <c r="B7205" t="s">
        <v>66</v>
      </c>
      <c r="C7205" t="s">
        <v>873</v>
      </c>
      <c r="D7205" t="s">
        <v>14</v>
      </c>
      <c r="E7205">
        <v>7</v>
      </c>
      <c r="F7205" s="2">
        <f>DATE(2026,IF(Tabla1[[#This Row],[Mes de Fecha]]="Septiembre",9,10),Tabla1[[#This Row],[Día de Fecha]])</f>
        <v>46302</v>
      </c>
      <c r="I7205">
        <v>0</v>
      </c>
      <c r="J7205" s="1">
        <v>4179908</v>
      </c>
      <c r="K7205">
        <v>0</v>
      </c>
    </row>
    <row r="7206" spans="1:11" x14ac:dyDescent="0.25">
      <c r="A7206" t="s">
        <v>9</v>
      </c>
      <c r="B7206" t="s">
        <v>66</v>
      </c>
      <c r="C7206" t="s">
        <v>873</v>
      </c>
      <c r="D7206" t="s">
        <v>14</v>
      </c>
      <c r="E7206">
        <v>7</v>
      </c>
      <c r="F7206" s="2">
        <f>DATE(2026,IF(Tabla1[[#This Row],[Mes de Fecha]]="Septiembre",9,10),Tabla1[[#This Row],[Día de Fecha]])</f>
        <v>46302</v>
      </c>
      <c r="G7206">
        <v>1010101553</v>
      </c>
      <c r="H7206" t="s">
        <v>68</v>
      </c>
      <c r="I7206">
        <v>33</v>
      </c>
      <c r="J7206">
        <v>0</v>
      </c>
      <c r="K7206" s="1">
        <v>1767437</v>
      </c>
    </row>
    <row r="7207" spans="1:11" x14ac:dyDescent="0.25">
      <c r="A7207" t="s">
        <v>9</v>
      </c>
      <c r="B7207" t="s">
        <v>66</v>
      </c>
      <c r="C7207" t="s">
        <v>873</v>
      </c>
      <c r="D7207" t="s">
        <v>14</v>
      </c>
      <c r="E7207">
        <v>7</v>
      </c>
      <c r="F7207" s="2">
        <f>DATE(2026,IF(Tabla1[[#This Row],[Mes de Fecha]]="Septiembre",9,10),Tabla1[[#This Row],[Día de Fecha]])</f>
        <v>46302</v>
      </c>
      <c r="G7207">
        <v>1077435441</v>
      </c>
      <c r="H7207" t="s">
        <v>69</v>
      </c>
      <c r="I7207">
        <v>38</v>
      </c>
      <c r="J7207">
        <v>0</v>
      </c>
      <c r="K7207" s="1">
        <v>1882733</v>
      </c>
    </row>
    <row r="7208" spans="1:11" x14ac:dyDescent="0.25">
      <c r="A7208" t="s">
        <v>9</v>
      </c>
      <c r="B7208" t="s">
        <v>66</v>
      </c>
      <c r="C7208" t="s">
        <v>873</v>
      </c>
      <c r="D7208" t="s">
        <v>14</v>
      </c>
      <c r="E7208">
        <v>7</v>
      </c>
      <c r="F7208" s="2">
        <f>DATE(2026,IF(Tabla1[[#This Row],[Mes de Fecha]]="Septiembre",9,10),Tabla1[[#This Row],[Día de Fecha]])</f>
        <v>46302</v>
      </c>
      <c r="G7208">
        <v>1077437469</v>
      </c>
      <c r="H7208" t="s">
        <v>67</v>
      </c>
      <c r="I7208">
        <v>22</v>
      </c>
      <c r="J7208">
        <v>0</v>
      </c>
      <c r="K7208" s="1">
        <v>1040967</v>
      </c>
    </row>
    <row r="7209" spans="1:11" x14ac:dyDescent="0.25">
      <c r="A7209" t="s">
        <v>9</v>
      </c>
      <c r="B7209" t="s">
        <v>178</v>
      </c>
      <c r="C7209" t="s">
        <v>873</v>
      </c>
      <c r="D7209" t="s">
        <v>11</v>
      </c>
      <c r="E7209">
        <v>23</v>
      </c>
      <c r="F7209" s="2">
        <f>DATE(2026,IF(Tabla1[[#This Row],[Mes de Fecha]]="Septiembre",9,10),Tabla1[[#This Row],[Día de Fecha]])</f>
        <v>46288</v>
      </c>
      <c r="I7209">
        <v>0</v>
      </c>
      <c r="J7209" s="1">
        <v>2283033</v>
      </c>
      <c r="K7209">
        <v>0</v>
      </c>
    </row>
    <row r="7210" spans="1:11" x14ac:dyDescent="0.25">
      <c r="A7210" t="s">
        <v>9</v>
      </c>
      <c r="B7210" t="s">
        <v>178</v>
      </c>
      <c r="C7210" t="s">
        <v>873</v>
      </c>
      <c r="D7210" t="s">
        <v>11</v>
      </c>
      <c r="E7210">
        <v>23</v>
      </c>
      <c r="F7210" s="2">
        <f>DATE(2026,IF(Tabla1[[#This Row],[Mes de Fecha]]="Septiembre",9,10),Tabla1[[#This Row],[Día de Fecha]])</f>
        <v>46288</v>
      </c>
      <c r="G7210">
        <v>1128395413</v>
      </c>
      <c r="H7210" t="s">
        <v>179</v>
      </c>
      <c r="I7210">
        <v>63</v>
      </c>
      <c r="J7210">
        <v>0</v>
      </c>
      <c r="K7210" s="1">
        <v>3738975</v>
      </c>
    </row>
    <row r="7211" spans="1:11" x14ac:dyDescent="0.25">
      <c r="A7211" t="s">
        <v>9</v>
      </c>
      <c r="B7211" t="s">
        <v>178</v>
      </c>
      <c r="C7211" t="s">
        <v>873</v>
      </c>
      <c r="D7211" t="s">
        <v>11</v>
      </c>
      <c r="E7211">
        <v>24</v>
      </c>
      <c r="F7211" s="2">
        <f>DATE(2026,IF(Tabla1[[#This Row],[Mes de Fecha]]="Septiembre",9,10),Tabla1[[#This Row],[Día de Fecha]])</f>
        <v>46289</v>
      </c>
      <c r="I7211">
        <v>0</v>
      </c>
      <c r="J7211" s="1">
        <v>5904362</v>
      </c>
      <c r="K7211">
        <v>0</v>
      </c>
    </row>
    <row r="7212" spans="1:11" x14ac:dyDescent="0.25">
      <c r="A7212" t="s">
        <v>9</v>
      </c>
      <c r="B7212" t="s">
        <v>178</v>
      </c>
      <c r="C7212" t="s">
        <v>873</v>
      </c>
      <c r="D7212" t="s">
        <v>11</v>
      </c>
      <c r="E7212">
        <v>24</v>
      </c>
      <c r="F7212" s="2">
        <f>DATE(2026,IF(Tabla1[[#This Row],[Mes de Fecha]]="Septiembre",9,10),Tabla1[[#This Row],[Día de Fecha]])</f>
        <v>46289</v>
      </c>
      <c r="G7212">
        <v>1128395413</v>
      </c>
      <c r="H7212" t="s">
        <v>179</v>
      </c>
      <c r="I7212">
        <v>100</v>
      </c>
      <c r="J7212">
        <v>0</v>
      </c>
      <c r="K7212" s="1">
        <v>5430680</v>
      </c>
    </row>
    <row r="7213" spans="1:11" x14ac:dyDescent="0.25">
      <c r="A7213" t="s">
        <v>9</v>
      </c>
      <c r="B7213" t="s">
        <v>178</v>
      </c>
      <c r="C7213" t="s">
        <v>873</v>
      </c>
      <c r="D7213" t="s">
        <v>11</v>
      </c>
      <c r="E7213">
        <v>25</v>
      </c>
      <c r="F7213" s="2">
        <f>DATE(2026,IF(Tabla1[[#This Row],[Mes de Fecha]]="Septiembre",9,10),Tabla1[[#This Row],[Día de Fecha]])</f>
        <v>46290</v>
      </c>
      <c r="I7213">
        <v>0</v>
      </c>
      <c r="J7213" s="1">
        <v>6306180</v>
      </c>
      <c r="K7213">
        <v>0</v>
      </c>
    </row>
    <row r="7214" spans="1:11" x14ac:dyDescent="0.25">
      <c r="A7214" t="s">
        <v>9</v>
      </c>
      <c r="B7214" t="s">
        <v>178</v>
      </c>
      <c r="C7214" t="s">
        <v>873</v>
      </c>
      <c r="D7214" t="s">
        <v>11</v>
      </c>
      <c r="E7214">
        <v>25</v>
      </c>
      <c r="F7214" s="2">
        <f>DATE(2026,IF(Tabla1[[#This Row],[Mes de Fecha]]="Septiembre",9,10),Tabla1[[#This Row],[Día de Fecha]])</f>
        <v>46290</v>
      </c>
      <c r="G7214">
        <v>1128395413</v>
      </c>
      <c r="H7214" t="s">
        <v>179</v>
      </c>
      <c r="I7214">
        <v>116</v>
      </c>
      <c r="J7214">
        <v>0</v>
      </c>
      <c r="K7214" s="1">
        <v>6095968</v>
      </c>
    </row>
    <row r="7215" spans="1:11" x14ac:dyDescent="0.25">
      <c r="A7215" t="s">
        <v>9</v>
      </c>
      <c r="B7215" t="s">
        <v>178</v>
      </c>
      <c r="C7215" t="s">
        <v>873</v>
      </c>
      <c r="D7215" t="s">
        <v>11</v>
      </c>
      <c r="E7215">
        <v>26</v>
      </c>
      <c r="F7215" s="2">
        <f>DATE(2026,IF(Tabla1[[#This Row],[Mes de Fecha]]="Septiembre",9,10),Tabla1[[#This Row],[Día de Fecha]])</f>
        <v>46291</v>
      </c>
      <c r="I7215">
        <v>0</v>
      </c>
      <c r="J7215" s="1">
        <v>7951937</v>
      </c>
      <c r="K7215">
        <v>0</v>
      </c>
    </row>
    <row r="7216" spans="1:11" x14ac:dyDescent="0.25">
      <c r="A7216" t="s">
        <v>9</v>
      </c>
      <c r="B7216" t="s">
        <v>178</v>
      </c>
      <c r="C7216" t="s">
        <v>873</v>
      </c>
      <c r="D7216" t="s">
        <v>11</v>
      </c>
      <c r="E7216">
        <v>26</v>
      </c>
      <c r="F7216" s="2">
        <f>DATE(2026,IF(Tabla1[[#This Row],[Mes de Fecha]]="Septiembre",9,10),Tabla1[[#This Row],[Día de Fecha]])</f>
        <v>46291</v>
      </c>
      <c r="G7216">
        <v>1014180332</v>
      </c>
      <c r="H7216" t="s">
        <v>180</v>
      </c>
      <c r="I7216">
        <v>114</v>
      </c>
      <c r="J7216">
        <v>0</v>
      </c>
      <c r="K7216" s="1">
        <v>6734540</v>
      </c>
    </row>
    <row r="7217" spans="1:11" x14ac:dyDescent="0.25">
      <c r="A7217" t="s">
        <v>9</v>
      </c>
      <c r="B7217" t="s">
        <v>178</v>
      </c>
      <c r="C7217" t="s">
        <v>873</v>
      </c>
      <c r="D7217" t="s">
        <v>11</v>
      </c>
      <c r="E7217">
        <v>26</v>
      </c>
      <c r="F7217" s="2">
        <f>DATE(2026,IF(Tabla1[[#This Row],[Mes de Fecha]]="Septiembre",9,10),Tabla1[[#This Row],[Día de Fecha]])</f>
        <v>46291</v>
      </c>
      <c r="G7217">
        <v>1128395413</v>
      </c>
      <c r="H7217" t="s">
        <v>179</v>
      </c>
      <c r="I7217">
        <v>62</v>
      </c>
      <c r="J7217">
        <v>0</v>
      </c>
      <c r="K7217" s="1">
        <v>3003576</v>
      </c>
    </row>
    <row r="7218" spans="1:11" x14ac:dyDescent="0.25">
      <c r="A7218" t="s">
        <v>9</v>
      </c>
      <c r="B7218" t="s">
        <v>178</v>
      </c>
      <c r="C7218" t="s">
        <v>873</v>
      </c>
      <c r="D7218" t="s">
        <v>11</v>
      </c>
      <c r="E7218">
        <v>27</v>
      </c>
      <c r="F7218" s="2">
        <f>DATE(2026,IF(Tabla1[[#This Row],[Mes de Fecha]]="Septiembre",9,10),Tabla1[[#This Row],[Día de Fecha]])</f>
        <v>46292</v>
      </c>
      <c r="I7218">
        <v>0</v>
      </c>
      <c r="J7218" s="1">
        <v>4198545</v>
      </c>
      <c r="K7218">
        <v>0</v>
      </c>
    </row>
    <row r="7219" spans="1:11" x14ac:dyDescent="0.25">
      <c r="A7219" t="s">
        <v>9</v>
      </c>
      <c r="B7219" t="s">
        <v>178</v>
      </c>
      <c r="C7219" t="s">
        <v>873</v>
      </c>
      <c r="D7219" t="s">
        <v>11</v>
      </c>
      <c r="E7219">
        <v>27</v>
      </c>
      <c r="F7219" s="2">
        <f>DATE(2026,IF(Tabla1[[#This Row],[Mes de Fecha]]="Septiembre",9,10),Tabla1[[#This Row],[Día de Fecha]])</f>
        <v>46292</v>
      </c>
      <c r="G7219">
        <v>1014180332</v>
      </c>
      <c r="H7219" t="s">
        <v>180</v>
      </c>
      <c r="I7219">
        <v>60</v>
      </c>
      <c r="J7219">
        <v>0</v>
      </c>
      <c r="K7219" s="1">
        <v>3568658</v>
      </c>
    </row>
    <row r="7220" spans="1:11" x14ac:dyDescent="0.25">
      <c r="A7220" t="s">
        <v>9</v>
      </c>
      <c r="B7220" t="s">
        <v>178</v>
      </c>
      <c r="C7220" t="s">
        <v>873</v>
      </c>
      <c r="D7220" t="s">
        <v>11</v>
      </c>
      <c r="E7220">
        <v>28</v>
      </c>
      <c r="F7220" s="2">
        <f>DATE(2026,IF(Tabla1[[#This Row],[Mes de Fecha]]="Septiembre",9,10),Tabla1[[#This Row],[Día de Fecha]])</f>
        <v>46293</v>
      </c>
      <c r="I7220">
        <v>0</v>
      </c>
      <c r="J7220" s="1">
        <v>3442353</v>
      </c>
      <c r="K7220">
        <v>0</v>
      </c>
    </row>
    <row r="7221" spans="1:11" x14ac:dyDescent="0.25">
      <c r="A7221" t="s">
        <v>9</v>
      </c>
      <c r="B7221" t="s">
        <v>178</v>
      </c>
      <c r="C7221" t="s">
        <v>873</v>
      </c>
      <c r="D7221" t="s">
        <v>11</v>
      </c>
      <c r="E7221">
        <v>28</v>
      </c>
      <c r="F7221" s="2">
        <f>DATE(2026,IF(Tabla1[[#This Row],[Mes de Fecha]]="Septiembre",9,10),Tabla1[[#This Row],[Día de Fecha]])</f>
        <v>46293</v>
      </c>
      <c r="G7221">
        <v>1014180332</v>
      </c>
      <c r="H7221" t="s">
        <v>180</v>
      </c>
      <c r="I7221">
        <v>70</v>
      </c>
      <c r="J7221">
        <v>0</v>
      </c>
      <c r="K7221" s="1">
        <v>3824372</v>
      </c>
    </row>
    <row r="7222" spans="1:11" x14ac:dyDescent="0.25">
      <c r="A7222" t="s">
        <v>9</v>
      </c>
      <c r="B7222" t="s">
        <v>178</v>
      </c>
      <c r="C7222" t="s">
        <v>873</v>
      </c>
      <c r="D7222" t="s">
        <v>11</v>
      </c>
      <c r="E7222">
        <v>28</v>
      </c>
      <c r="F7222" s="2">
        <f>DATE(2026,IF(Tabla1[[#This Row],[Mes de Fecha]]="Septiembre",9,10),Tabla1[[#This Row],[Día de Fecha]])</f>
        <v>46293</v>
      </c>
      <c r="G7222">
        <v>1128395413</v>
      </c>
      <c r="H7222" t="s">
        <v>179</v>
      </c>
      <c r="I7222">
        <v>36</v>
      </c>
      <c r="J7222">
        <v>0</v>
      </c>
      <c r="K7222" s="1">
        <v>2506808</v>
      </c>
    </row>
    <row r="7223" spans="1:11" x14ac:dyDescent="0.25">
      <c r="A7223" t="s">
        <v>9</v>
      </c>
      <c r="B7223" t="s">
        <v>178</v>
      </c>
      <c r="C7223" t="s">
        <v>873</v>
      </c>
      <c r="D7223" t="s">
        <v>11</v>
      </c>
      <c r="E7223">
        <v>29</v>
      </c>
      <c r="F7223" s="2">
        <f>DATE(2026,IF(Tabla1[[#This Row],[Mes de Fecha]]="Septiembre",9,10),Tabla1[[#This Row],[Día de Fecha]])</f>
        <v>46294</v>
      </c>
      <c r="I7223">
        <v>0</v>
      </c>
      <c r="J7223" s="1">
        <v>3826875</v>
      </c>
      <c r="K7223">
        <v>0</v>
      </c>
    </row>
    <row r="7224" spans="1:11" x14ac:dyDescent="0.25">
      <c r="A7224" t="s">
        <v>9</v>
      </c>
      <c r="B7224" t="s">
        <v>178</v>
      </c>
      <c r="C7224" t="s">
        <v>873</v>
      </c>
      <c r="D7224" t="s">
        <v>11</v>
      </c>
      <c r="E7224">
        <v>29</v>
      </c>
      <c r="F7224" s="2">
        <f>DATE(2026,IF(Tabla1[[#This Row],[Mes de Fecha]]="Septiembre",9,10),Tabla1[[#This Row],[Día de Fecha]])</f>
        <v>46294</v>
      </c>
      <c r="G7224">
        <v>1014180332</v>
      </c>
      <c r="H7224" t="s">
        <v>180</v>
      </c>
      <c r="I7224">
        <v>80</v>
      </c>
      <c r="J7224">
        <v>0</v>
      </c>
      <c r="K7224" s="1">
        <v>4011011</v>
      </c>
    </row>
    <row r="7225" spans="1:11" x14ac:dyDescent="0.25">
      <c r="A7225" t="s">
        <v>9</v>
      </c>
      <c r="B7225" t="s">
        <v>178</v>
      </c>
      <c r="C7225" t="s">
        <v>873</v>
      </c>
      <c r="D7225" t="s">
        <v>11</v>
      </c>
      <c r="E7225">
        <v>29</v>
      </c>
      <c r="F7225" s="2">
        <f>DATE(2026,IF(Tabla1[[#This Row],[Mes de Fecha]]="Septiembre",9,10),Tabla1[[#This Row],[Día de Fecha]])</f>
        <v>46294</v>
      </c>
      <c r="G7225">
        <v>1128395413</v>
      </c>
      <c r="H7225" t="s">
        <v>179</v>
      </c>
      <c r="I7225">
        <v>1</v>
      </c>
      <c r="J7225">
        <v>0</v>
      </c>
      <c r="K7225" s="1">
        <v>54580</v>
      </c>
    </row>
    <row r="7226" spans="1:11" x14ac:dyDescent="0.25">
      <c r="A7226" t="s">
        <v>9</v>
      </c>
      <c r="B7226" t="s">
        <v>178</v>
      </c>
      <c r="C7226" t="s">
        <v>873</v>
      </c>
      <c r="D7226" t="s">
        <v>11</v>
      </c>
      <c r="E7226">
        <v>30</v>
      </c>
      <c r="F7226" s="2">
        <f>DATE(2026,IF(Tabla1[[#This Row],[Mes de Fecha]]="Septiembre",9,10),Tabla1[[#This Row],[Día de Fecha]])</f>
        <v>46295</v>
      </c>
      <c r="I7226">
        <v>0</v>
      </c>
      <c r="J7226" s="1">
        <v>4052781</v>
      </c>
      <c r="K7226">
        <v>0</v>
      </c>
    </row>
    <row r="7227" spans="1:11" x14ac:dyDescent="0.25">
      <c r="A7227" t="s">
        <v>9</v>
      </c>
      <c r="B7227" t="s">
        <v>178</v>
      </c>
      <c r="C7227" t="s">
        <v>873</v>
      </c>
      <c r="D7227" t="s">
        <v>11</v>
      </c>
      <c r="E7227">
        <v>30</v>
      </c>
      <c r="F7227" s="2">
        <f>DATE(2026,IF(Tabla1[[#This Row],[Mes de Fecha]]="Septiembre",9,10),Tabla1[[#This Row],[Día de Fecha]])</f>
        <v>46295</v>
      </c>
      <c r="G7227">
        <v>1014180332</v>
      </c>
      <c r="H7227" t="s">
        <v>180</v>
      </c>
      <c r="I7227">
        <v>39</v>
      </c>
      <c r="J7227">
        <v>0</v>
      </c>
      <c r="K7227" s="1">
        <v>2170380</v>
      </c>
    </row>
    <row r="7228" spans="1:11" x14ac:dyDescent="0.25">
      <c r="A7228" t="s">
        <v>9</v>
      </c>
      <c r="B7228" t="s">
        <v>178</v>
      </c>
      <c r="C7228" t="s">
        <v>873</v>
      </c>
      <c r="D7228" t="s">
        <v>11</v>
      </c>
      <c r="E7228">
        <v>30</v>
      </c>
      <c r="F7228" s="2">
        <f>DATE(2026,IF(Tabla1[[#This Row],[Mes de Fecha]]="Septiembre",9,10),Tabla1[[#This Row],[Día de Fecha]])</f>
        <v>46295</v>
      </c>
      <c r="G7228">
        <v>1128395413</v>
      </c>
      <c r="H7228" t="s">
        <v>179</v>
      </c>
      <c r="I7228">
        <v>39</v>
      </c>
      <c r="J7228">
        <v>0</v>
      </c>
      <c r="K7228" s="1">
        <v>2094918</v>
      </c>
    </row>
    <row r="7229" spans="1:11" x14ac:dyDescent="0.25">
      <c r="A7229" t="s">
        <v>9</v>
      </c>
      <c r="B7229" t="s">
        <v>178</v>
      </c>
      <c r="C7229" t="s">
        <v>873</v>
      </c>
      <c r="D7229" t="s">
        <v>14</v>
      </c>
      <c r="E7229">
        <v>1</v>
      </c>
      <c r="F7229" s="2">
        <f>DATE(2026,IF(Tabla1[[#This Row],[Mes de Fecha]]="Septiembre",9,10),Tabla1[[#This Row],[Día de Fecha]])</f>
        <v>46296</v>
      </c>
      <c r="I7229">
        <v>0</v>
      </c>
      <c r="J7229" s="1">
        <v>5503859</v>
      </c>
      <c r="K7229">
        <v>0</v>
      </c>
    </row>
    <row r="7230" spans="1:11" x14ac:dyDescent="0.25">
      <c r="A7230" t="s">
        <v>9</v>
      </c>
      <c r="B7230" t="s">
        <v>178</v>
      </c>
      <c r="C7230" t="s">
        <v>873</v>
      </c>
      <c r="D7230" t="s">
        <v>14</v>
      </c>
      <c r="E7230">
        <v>1</v>
      </c>
      <c r="F7230" s="2">
        <f>DATE(2026,IF(Tabla1[[#This Row],[Mes de Fecha]]="Septiembre",9,10),Tabla1[[#This Row],[Día de Fecha]])</f>
        <v>46296</v>
      </c>
      <c r="G7230">
        <v>1014180332</v>
      </c>
      <c r="H7230" t="s">
        <v>180</v>
      </c>
      <c r="I7230">
        <v>30</v>
      </c>
      <c r="J7230">
        <v>0</v>
      </c>
      <c r="K7230" s="1">
        <v>1746597</v>
      </c>
    </row>
    <row r="7231" spans="1:11" x14ac:dyDescent="0.25">
      <c r="A7231" t="s">
        <v>9</v>
      </c>
      <c r="B7231" t="s">
        <v>178</v>
      </c>
      <c r="C7231" t="s">
        <v>873</v>
      </c>
      <c r="D7231" t="s">
        <v>14</v>
      </c>
      <c r="E7231">
        <v>1</v>
      </c>
      <c r="F7231" s="2">
        <f>DATE(2026,IF(Tabla1[[#This Row],[Mes de Fecha]]="Septiembre",9,10),Tabla1[[#This Row],[Día de Fecha]])</f>
        <v>46296</v>
      </c>
      <c r="G7231">
        <v>1128395413</v>
      </c>
      <c r="H7231" t="s">
        <v>179</v>
      </c>
      <c r="I7231">
        <v>23</v>
      </c>
      <c r="J7231">
        <v>0</v>
      </c>
      <c r="K7231" s="1">
        <v>1250968</v>
      </c>
    </row>
    <row r="7232" spans="1:11" x14ac:dyDescent="0.25">
      <c r="A7232" t="s">
        <v>9</v>
      </c>
      <c r="B7232" t="s">
        <v>178</v>
      </c>
      <c r="C7232" t="s">
        <v>873</v>
      </c>
      <c r="D7232" t="s">
        <v>14</v>
      </c>
      <c r="E7232">
        <v>2</v>
      </c>
      <c r="F7232" s="2">
        <f>DATE(2026,IF(Tabla1[[#This Row],[Mes de Fecha]]="Septiembre",9,10),Tabla1[[#This Row],[Día de Fecha]])</f>
        <v>46297</v>
      </c>
      <c r="I7232">
        <v>0</v>
      </c>
      <c r="J7232" s="1">
        <v>5281711</v>
      </c>
      <c r="K7232">
        <v>0</v>
      </c>
    </row>
    <row r="7233" spans="1:11" x14ac:dyDescent="0.25">
      <c r="A7233" t="s">
        <v>9</v>
      </c>
      <c r="B7233" t="s">
        <v>178</v>
      </c>
      <c r="C7233" t="s">
        <v>873</v>
      </c>
      <c r="D7233" t="s">
        <v>14</v>
      </c>
      <c r="E7233">
        <v>2</v>
      </c>
      <c r="F7233" s="2">
        <f>DATE(2026,IF(Tabla1[[#This Row],[Mes de Fecha]]="Septiembre",9,10),Tabla1[[#This Row],[Día de Fecha]])</f>
        <v>46297</v>
      </c>
      <c r="G7233">
        <v>1014180332</v>
      </c>
      <c r="H7233" t="s">
        <v>180</v>
      </c>
      <c r="I7233">
        <v>24</v>
      </c>
      <c r="J7233">
        <v>0</v>
      </c>
      <c r="K7233" s="1">
        <v>1309748</v>
      </c>
    </row>
    <row r="7234" spans="1:11" x14ac:dyDescent="0.25">
      <c r="A7234" t="s">
        <v>9</v>
      </c>
      <c r="B7234" t="s">
        <v>178</v>
      </c>
      <c r="C7234" t="s">
        <v>873</v>
      </c>
      <c r="D7234" t="s">
        <v>14</v>
      </c>
      <c r="E7234">
        <v>2</v>
      </c>
      <c r="F7234" s="2">
        <f>DATE(2026,IF(Tabla1[[#This Row],[Mes de Fecha]]="Septiembre",9,10),Tabla1[[#This Row],[Día de Fecha]])</f>
        <v>46297</v>
      </c>
      <c r="G7234">
        <v>1128395413</v>
      </c>
      <c r="H7234" t="s">
        <v>179</v>
      </c>
      <c r="I7234">
        <v>26</v>
      </c>
      <c r="J7234">
        <v>0</v>
      </c>
      <c r="K7234" s="1">
        <v>1065923</v>
      </c>
    </row>
    <row r="7235" spans="1:11" x14ac:dyDescent="0.25">
      <c r="A7235" t="s">
        <v>9</v>
      </c>
      <c r="B7235" t="s">
        <v>178</v>
      </c>
      <c r="C7235" t="s">
        <v>873</v>
      </c>
      <c r="D7235" t="s">
        <v>14</v>
      </c>
      <c r="E7235">
        <v>3</v>
      </c>
      <c r="F7235" s="2">
        <f>DATE(2026,IF(Tabla1[[#This Row],[Mes de Fecha]]="Septiembre",9,10),Tabla1[[#This Row],[Día de Fecha]])</f>
        <v>46298</v>
      </c>
      <c r="I7235">
        <v>0</v>
      </c>
      <c r="J7235" s="1">
        <v>11304346</v>
      </c>
      <c r="K7235">
        <v>0</v>
      </c>
    </row>
    <row r="7236" spans="1:11" x14ac:dyDescent="0.25">
      <c r="A7236" t="s">
        <v>9</v>
      </c>
      <c r="B7236" t="s">
        <v>178</v>
      </c>
      <c r="C7236" t="s">
        <v>873</v>
      </c>
      <c r="D7236" t="s">
        <v>14</v>
      </c>
      <c r="E7236">
        <v>3</v>
      </c>
      <c r="F7236" s="2">
        <f>DATE(2026,IF(Tabla1[[#This Row],[Mes de Fecha]]="Septiembre",9,10),Tabla1[[#This Row],[Día de Fecha]])</f>
        <v>46298</v>
      </c>
      <c r="G7236">
        <v>1014180332</v>
      </c>
      <c r="H7236" t="s">
        <v>180</v>
      </c>
      <c r="I7236">
        <v>90</v>
      </c>
      <c r="J7236">
        <v>0</v>
      </c>
      <c r="K7236" s="1">
        <v>4201273</v>
      </c>
    </row>
    <row r="7237" spans="1:11" x14ac:dyDescent="0.25">
      <c r="A7237" t="s">
        <v>9</v>
      </c>
      <c r="B7237" t="s">
        <v>178</v>
      </c>
      <c r="C7237" t="s">
        <v>873</v>
      </c>
      <c r="D7237" t="s">
        <v>14</v>
      </c>
      <c r="E7237">
        <v>3</v>
      </c>
      <c r="F7237" s="2">
        <f>DATE(2026,IF(Tabla1[[#This Row],[Mes de Fecha]]="Septiembre",9,10),Tabla1[[#This Row],[Día de Fecha]])</f>
        <v>46298</v>
      </c>
      <c r="G7237">
        <v>1128395413</v>
      </c>
      <c r="H7237" t="s">
        <v>179</v>
      </c>
      <c r="I7237">
        <v>101</v>
      </c>
      <c r="J7237">
        <v>0</v>
      </c>
      <c r="K7237" s="1">
        <v>4872910</v>
      </c>
    </row>
    <row r="7238" spans="1:11" x14ac:dyDescent="0.25">
      <c r="A7238" t="s">
        <v>9</v>
      </c>
      <c r="B7238" t="s">
        <v>178</v>
      </c>
      <c r="C7238" t="s">
        <v>873</v>
      </c>
      <c r="D7238" t="s">
        <v>14</v>
      </c>
      <c r="E7238">
        <v>4</v>
      </c>
      <c r="F7238" s="2">
        <f>DATE(2026,IF(Tabla1[[#This Row],[Mes de Fecha]]="Septiembre",9,10),Tabla1[[#This Row],[Día de Fecha]])</f>
        <v>46299</v>
      </c>
      <c r="I7238">
        <v>0</v>
      </c>
      <c r="J7238" s="1">
        <v>7621386</v>
      </c>
      <c r="K7238">
        <v>0</v>
      </c>
    </row>
    <row r="7239" spans="1:11" x14ac:dyDescent="0.25">
      <c r="A7239" t="s">
        <v>9</v>
      </c>
      <c r="B7239" t="s">
        <v>178</v>
      </c>
      <c r="C7239" t="s">
        <v>873</v>
      </c>
      <c r="D7239" t="s">
        <v>14</v>
      </c>
      <c r="E7239">
        <v>4</v>
      </c>
      <c r="F7239" s="2">
        <f>DATE(2026,IF(Tabla1[[#This Row],[Mes de Fecha]]="Septiembre",9,10),Tabla1[[#This Row],[Día de Fecha]])</f>
        <v>46299</v>
      </c>
      <c r="G7239">
        <v>1014180332</v>
      </c>
      <c r="H7239" t="s">
        <v>180</v>
      </c>
      <c r="I7239">
        <v>69</v>
      </c>
      <c r="J7239">
        <v>0</v>
      </c>
      <c r="K7239" s="1">
        <v>3379372</v>
      </c>
    </row>
    <row r="7240" spans="1:11" x14ac:dyDescent="0.25">
      <c r="A7240" t="s">
        <v>9</v>
      </c>
      <c r="B7240" t="s">
        <v>178</v>
      </c>
      <c r="C7240" t="s">
        <v>873</v>
      </c>
      <c r="D7240" t="s">
        <v>14</v>
      </c>
      <c r="E7240">
        <v>4</v>
      </c>
      <c r="F7240" s="2">
        <f>DATE(2026,IF(Tabla1[[#This Row],[Mes de Fecha]]="Septiembre",9,10),Tabla1[[#This Row],[Día de Fecha]])</f>
        <v>46299</v>
      </c>
      <c r="G7240">
        <v>1128395413</v>
      </c>
      <c r="H7240" t="s">
        <v>179</v>
      </c>
      <c r="I7240">
        <v>44</v>
      </c>
      <c r="J7240">
        <v>0</v>
      </c>
      <c r="K7240" s="1">
        <v>2054749</v>
      </c>
    </row>
    <row r="7241" spans="1:11" x14ac:dyDescent="0.25">
      <c r="A7241" t="s">
        <v>9</v>
      </c>
      <c r="B7241" t="s">
        <v>178</v>
      </c>
      <c r="C7241" t="s">
        <v>873</v>
      </c>
      <c r="D7241" t="s">
        <v>14</v>
      </c>
      <c r="E7241">
        <v>5</v>
      </c>
      <c r="F7241" s="2">
        <f>DATE(2026,IF(Tabla1[[#This Row],[Mes de Fecha]]="Septiembre",9,10),Tabla1[[#This Row],[Día de Fecha]])</f>
        <v>46300</v>
      </c>
      <c r="I7241">
        <v>0</v>
      </c>
      <c r="J7241" s="1">
        <v>7696569</v>
      </c>
      <c r="K7241">
        <v>0</v>
      </c>
    </row>
    <row r="7242" spans="1:11" x14ac:dyDescent="0.25">
      <c r="A7242" t="s">
        <v>9</v>
      </c>
      <c r="B7242" t="s">
        <v>178</v>
      </c>
      <c r="C7242" t="s">
        <v>873</v>
      </c>
      <c r="D7242" t="s">
        <v>14</v>
      </c>
      <c r="E7242">
        <v>5</v>
      </c>
      <c r="F7242" s="2">
        <f>DATE(2026,IF(Tabla1[[#This Row],[Mes de Fecha]]="Septiembre",9,10),Tabla1[[#This Row],[Día de Fecha]])</f>
        <v>46300</v>
      </c>
      <c r="G7242">
        <v>1014180332</v>
      </c>
      <c r="H7242" t="s">
        <v>180</v>
      </c>
      <c r="I7242">
        <v>49</v>
      </c>
      <c r="J7242">
        <v>0</v>
      </c>
      <c r="K7242" s="1">
        <v>2632271</v>
      </c>
    </row>
    <row r="7243" spans="1:11" x14ac:dyDescent="0.25">
      <c r="A7243" t="s">
        <v>9</v>
      </c>
      <c r="B7243" t="s">
        <v>178</v>
      </c>
      <c r="C7243" t="s">
        <v>873</v>
      </c>
      <c r="D7243" t="s">
        <v>14</v>
      </c>
      <c r="E7243">
        <v>5</v>
      </c>
      <c r="F7243" s="2">
        <f>DATE(2026,IF(Tabla1[[#This Row],[Mes de Fecha]]="Septiembre",9,10),Tabla1[[#This Row],[Día de Fecha]])</f>
        <v>46300</v>
      </c>
      <c r="G7243">
        <v>1128395413</v>
      </c>
      <c r="H7243" t="s">
        <v>179</v>
      </c>
      <c r="I7243">
        <v>53</v>
      </c>
      <c r="J7243">
        <v>0</v>
      </c>
      <c r="K7243" s="1">
        <v>2724328</v>
      </c>
    </row>
    <row r="7244" spans="1:11" x14ac:dyDescent="0.25">
      <c r="A7244" t="s">
        <v>9</v>
      </c>
      <c r="B7244" t="s">
        <v>178</v>
      </c>
      <c r="C7244" t="s">
        <v>873</v>
      </c>
      <c r="D7244" t="s">
        <v>14</v>
      </c>
      <c r="E7244">
        <v>6</v>
      </c>
      <c r="F7244" s="2">
        <f>DATE(2026,IF(Tabla1[[#This Row],[Mes de Fecha]]="Septiembre",9,10),Tabla1[[#This Row],[Día de Fecha]])</f>
        <v>46301</v>
      </c>
      <c r="I7244">
        <v>0</v>
      </c>
      <c r="J7244" s="1">
        <v>5940318</v>
      </c>
      <c r="K7244">
        <v>0</v>
      </c>
    </row>
    <row r="7245" spans="1:11" x14ac:dyDescent="0.25">
      <c r="A7245" t="s">
        <v>9</v>
      </c>
      <c r="B7245" t="s">
        <v>178</v>
      </c>
      <c r="C7245" t="s">
        <v>873</v>
      </c>
      <c r="D7245" t="s">
        <v>14</v>
      </c>
      <c r="E7245">
        <v>6</v>
      </c>
      <c r="F7245" s="2">
        <f>DATE(2026,IF(Tabla1[[#This Row],[Mes de Fecha]]="Septiembre",9,10),Tabla1[[#This Row],[Día de Fecha]])</f>
        <v>46301</v>
      </c>
      <c r="G7245">
        <v>1014180332</v>
      </c>
      <c r="H7245" t="s">
        <v>180</v>
      </c>
      <c r="I7245">
        <v>45</v>
      </c>
      <c r="J7245">
        <v>0</v>
      </c>
      <c r="K7245" s="1">
        <v>1997818</v>
      </c>
    </row>
    <row r="7246" spans="1:11" x14ac:dyDescent="0.25">
      <c r="A7246" t="s">
        <v>9</v>
      </c>
      <c r="B7246" t="s">
        <v>178</v>
      </c>
      <c r="C7246" t="s">
        <v>873</v>
      </c>
      <c r="D7246" t="s">
        <v>14</v>
      </c>
      <c r="E7246">
        <v>6</v>
      </c>
      <c r="F7246" s="2">
        <f>DATE(2026,IF(Tabla1[[#This Row],[Mes de Fecha]]="Septiembre",9,10),Tabla1[[#This Row],[Día de Fecha]])</f>
        <v>46301</v>
      </c>
      <c r="G7246">
        <v>1128395413</v>
      </c>
      <c r="H7246" t="s">
        <v>179</v>
      </c>
      <c r="I7246">
        <v>29</v>
      </c>
      <c r="J7246">
        <v>0</v>
      </c>
      <c r="K7246" s="1">
        <v>1471346</v>
      </c>
    </row>
    <row r="7247" spans="1:11" x14ac:dyDescent="0.25">
      <c r="A7247" t="s">
        <v>9</v>
      </c>
      <c r="B7247" t="s">
        <v>178</v>
      </c>
      <c r="C7247" t="s">
        <v>873</v>
      </c>
      <c r="D7247" t="s">
        <v>14</v>
      </c>
      <c r="E7247">
        <v>7</v>
      </c>
      <c r="F7247" s="2">
        <f>DATE(2026,IF(Tabla1[[#This Row],[Mes de Fecha]]="Septiembre",9,10),Tabla1[[#This Row],[Día de Fecha]])</f>
        <v>46302</v>
      </c>
      <c r="I7247">
        <v>0</v>
      </c>
      <c r="J7247" s="1">
        <v>1422153</v>
      </c>
      <c r="K7247">
        <v>0</v>
      </c>
    </row>
    <row r="7248" spans="1:11" x14ac:dyDescent="0.25">
      <c r="A7248" t="s">
        <v>9</v>
      </c>
      <c r="B7248" t="s">
        <v>178</v>
      </c>
      <c r="C7248" t="s">
        <v>873</v>
      </c>
      <c r="D7248" t="s">
        <v>14</v>
      </c>
      <c r="E7248">
        <v>7</v>
      </c>
      <c r="F7248" s="2">
        <f>DATE(2026,IF(Tabla1[[#This Row],[Mes de Fecha]]="Septiembre",9,10),Tabla1[[#This Row],[Día de Fecha]])</f>
        <v>46302</v>
      </c>
      <c r="G7248">
        <v>1014180332</v>
      </c>
      <c r="H7248" t="s">
        <v>180</v>
      </c>
      <c r="I7248">
        <v>16</v>
      </c>
      <c r="J7248">
        <v>0</v>
      </c>
      <c r="K7248" s="1">
        <v>984583</v>
      </c>
    </row>
    <row r="7249" spans="1:11" x14ac:dyDescent="0.25">
      <c r="A7249" t="s">
        <v>9</v>
      </c>
      <c r="B7249" t="s">
        <v>178</v>
      </c>
      <c r="C7249" t="s">
        <v>873</v>
      </c>
      <c r="D7249" t="s">
        <v>14</v>
      </c>
      <c r="E7249">
        <v>7</v>
      </c>
      <c r="F7249" s="2">
        <f>DATE(2026,IF(Tabla1[[#This Row],[Mes de Fecha]]="Septiembre",9,10),Tabla1[[#This Row],[Día de Fecha]])</f>
        <v>46302</v>
      </c>
      <c r="G7249">
        <v>1128395413</v>
      </c>
      <c r="H7249" t="s">
        <v>179</v>
      </c>
      <c r="I7249">
        <v>20</v>
      </c>
      <c r="J7249">
        <v>0</v>
      </c>
      <c r="K7249" s="1">
        <v>1078992</v>
      </c>
    </row>
    <row r="7250" spans="1:11" x14ac:dyDescent="0.25">
      <c r="A7250" t="s">
        <v>9</v>
      </c>
      <c r="B7250" t="s">
        <v>181</v>
      </c>
      <c r="C7250" t="s">
        <v>873</v>
      </c>
      <c r="D7250" t="s">
        <v>11</v>
      </c>
      <c r="E7250">
        <v>23</v>
      </c>
      <c r="F7250" s="2">
        <f>DATE(2026,IF(Tabla1[[#This Row],[Mes de Fecha]]="Septiembre",9,10),Tabla1[[#This Row],[Día de Fecha]])</f>
        <v>46288</v>
      </c>
      <c r="I7250">
        <v>0</v>
      </c>
      <c r="J7250" s="1">
        <v>4446621</v>
      </c>
      <c r="K7250">
        <v>0</v>
      </c>
    </row>
    <row r="7251" spans="1:11" x14ac:dyDescent="0.25">
      <c r="A7251" t="s">
        <v>9</v>
      </c>
      <c r="B7251" t="s">
        <v>181</v>
      </c>
      <c r="C7251" t="s">
        <v>873</v>
      </c>
      <c r="D7251" t="s">
        <v>11</v>
      </c>
      <c r="E7251">
        <v>23</v>
      </c>
      <c r="F7251" s="2">
        <f>DATE(2026,IF(Tabla1[[#This Row],[Mes de Fecha]]="Septiembre",9,10),Tabla1[[#This Row],[Día de Fecha]])</f>
        <v>46288</v>
      </c>
      <c r="G7251">
        <v>1006022341</v>
      </c>
      <c r="H7251" t="s">
        <v>184</v>
      </c>
      <c r="I7251">
        <v>74</v>
      </c>
      <c r="J7251">
        <v>0</v>
      </c>
      <c r="K7251" s="1">
        <v>4020005</v>
      </c>
    </row>
    <row r="7252" spans="1:11" x14ac:dyDescent="0.25">
      <c r="A7252" t="s">
        <v>9</v>
      </c>
      <c r="B7252" t="s">
        <v>181</v>
      </c>
      <c r="C7252" t="s">
        <v>873</v>
      </c>
      <c r="D7252" t="s">
        <v>11</v>
      </c>
      <c r="E7252">
        <v>23</v>
      </c>
      <c r="F7252" s="2">
        <f>DATE(2026,IF(Tabla1[[#This Row],[Mes de Fecha]]="Septiembre",9,10),Tabla1[[#This Row],[Día de Fecha]])</f>
        <v>46288</v>
      </c>
      <c r="G7252">
        <v>1054683161</v>
      </c>
      <c r="H7252" t="s">
        <v>182</v>
      </c>
      <c r="I7252">
        <v>20</v>
      </c>
      <c r="J7252">
        <v>0</v>
      </c>
      <c r="K7252" s="1">
        <v>822691</v>
      </c>
    </row>
    <row r="7253" spans="1:11" x14ac:dyDescent="0.25">
      <c r="A7253" t="s">
        <v>9</v>
      </c>
      <c r="B7253" t="s">
        <v>181</v>
      </c>
      <c r="C7253" t="s">
        <v>873</v>
      </c>
      <c r="D7253" t="s">
        <v>11</v>
      </c>
      <c r="E7253">
        <v>23</v>
      </c>
      <c r="F7253" s="2">
        <f>DATE(2026,IF(Tabla1[[#This Row],[Mes de Fecha]]="Septiembre",9,10),Tabla1[[#This Row],[Día de Fecha]])</f>
        <v>46288</v>
      </c>
      <c r="G7253">
        <v>1093226259</v>
      </c>
      <c r="H7253" t="s">
        <v>183</v>
      </c>
      <c r="I7253">
        <v>57</v>
      </c>
      <c r="J7253">
        <v>0</v>
      </c>
      <c r="K7253" s="1">
        <v>3451346</v>
      </c>
    </row>
    <row r="7254" spans="1:11" x14ac:dyDescent="0.25">
      <c r="A7254" t="s">
        <v>9</v>
      </c>
      <c r="B7254" t="s">
        <v>181</v>
      </c>
      <c r="C7254" t="s">
        <v>873</v>
      </c>
      <c r="D7254" t="s">
        <v>11</v>
      </c>
      <c r="E7254">
        <v>24</v>
      </c>
      <c r="F7254" s="2">
        <f>DATE(2026,IF(Tabla1[[#This Row],[Mes de Fecha]]="Septiembre",9,10),Tabla1[[#This Row],[Día de Fecha]])</f>
        <v>46289</v>
      </c>
      <c r="I7254">
        <v>0</v>
      </c>
      <c r="J7254" s="1">
        <v>11499811</v>
      </c>
      <c r="K7254">
        <v>0</v>
      </c>
    </row>
    <row r="7255" spans="1:11" x14ac:dyDescent="0.25">
      <c r="A7255" t="s">
        <v>9</v>
      </c>
      <c r="B7255" t="s">
        <v>181</v>
      </c>
      <c r="C7255" t="s">
        <v>873</v>
      </c>
      <c r="D7255" t="s">
        <v>11</v>
      </c>
      <c r="E7255">
        <v>24</v>
      </c>
      <c r="F7255" s="2">
        <f>DATE(2026,IF(Tabla1[[#This Row],[Mes de Fecha]]="Septiembre",9,10),Tabla1[[#This Row],[Día de Fecha]])</f>
        <v>46289</v>
      </c>
      <c r="G7255">
        <v>1006022341</v>
      </c>
      <c r="H7255" t="s">
        <v>184</v>
      </c>
      <c r="I7255">
        <v>78</v>
      </c>
      <c r="J7255">
        <v>0</v>
      </c>
      <c r="K7255" s="1">
        <v>4555635</v>
      </c>
    </row>
    <row r="7256" spans="1:11" x14ac:dyDescent="0.25">
      <c r="A7256" t="s">
        <v>9</v>
      </c>
      <c r="B7256" t="s">
        <v>181</v>
      </c>
      <c r="C7256" t="s">
        <v>873</v>
      </c>
      <c r="D7256" t="s">
        <v>11</v>
      </c>
      <c r="E7256">
        <v>24</v>
      </c>
      <c r="F7256" s="2">
        <f>DATE(2026,IF(Tabla1[[#This Row],[Mes de Fecha]]="Septiembre",9,10),Tabla1[[#This Row],[Día de Fecha]])</f>
        <v>46289</v>
      </c>
      <c r="G7256">
        <v>1054683161</v>
      </c>
      <c r="H7256" t="s">
        <v>182</v>
      </c>
      <c r="I7256">
        <v>21</v>
      </c>
      <c r="J7256">
        <v>0</v>
      </c>
      <c r="K7256" s="1">
        <v>1162942</v>
      </c>
    </row>
    <row r="7257" spans="1:11" x14ac:dyDescent="0.25">
      <c r="A7257" t="s">
        <v>9</v>
      </c>
      <c r="B7257" t="s">
        <v>181</v>
      </c>
      <c r="C7257" t="s">
        <v>873</v>
      </c>
      <c r="D7257" t="s">
        <v>11</v>
      </c>
      <c r="E7257">
        <v>24</v>
      </c>
      <c r="F7257" s="2">
        <f>DATE(2026,IF(Tabla1[[#This Row],[Mes de Fecha]]="Septiembre",9,10),Tabla1[[#This Row],[Día de Fecha]])</f>
        <v>46289</v>
      </c>
      <c r="G7257">
        <v>1093226259</v>
      </c>
      <c r="H7257" t="s">
        <v>183</v>
      </c>
      <c r="I7257">
        <v>56</v>
      </c>
      <c r="J7257">
        <v>0</v>
      </c>
      <c r="K7257" s="1">
        <v>3503952</v>
      </c>
    </row>
    <row r="7258" spans="1:11" x14ac:dyDescent="0.25">
      <c r="A7258" t="s">
        <v>9</v>
      </c>
      <c r="B7258" t="s">
        <v>181</v>
      </c>
      <c r="C7258" t="s">
        <v>873</v>
      </c>
      <c r="D7258" t="s">
        <v>11</v>
      </c>
      <c r="E7258">
        <v>25</v>
      </c>
      <c r="F7258" s="2">
        <f>DATE(2026,IF(Tabla1[[#This Row],[Mes de Fecha]]="Septiembre",9,10),Tabla1[[#This Row],[Día de Fecha]])</f>
        <v>46290</v>
      </c>
      <c r="I7258">
        <v>0</v>
      </c>
      <c r="J7258" s="1">
        <v>12282425</v>
      </c>
      <c r="K7258">
        <v>0</v>
      </c>
    </row>
    <row r="7259" spans="1:11" x14ac:dyDescent="0.25">
      <c r="A7259" t="s">
        <v>9</v>
      </c>
      <c r="B7259" t="s">
        <v>181</v>
      </c>
      <c r="C7259" t="s">
        <v>873</v>
      </c>
      <c r="D7259" t="s">
        <v>11</v>
      </c>
      <c r="E7259">
        <v>25</v>
      </c>
      <c r="F7259" s="2">
        <f>DATE(2026,IF(Tabla1[[#This Row],[Mes de Fecha]]="Septiembre",9,10),Tabla1[[#This Row],[Día de Fecha]])</f>
        <v>46290</v>
      </c>
      <c r="G7259">
        <v>1006022341</v>
      </c>
      <c r="H7259" t="s">
        <v>184</v>
      </c>
      <c r="I7259">
        <v>76</v>
      </c>
      <c r="J7259">
        <v>0</v>
      </c>
      <c r="K7259" s="1">
        <v>4528239</v>
      </c>
    </row>
    <row r="7260" spans="1:11" x14ac:dyDescent="0.25">
      <c r="A7260" t="s">
        <v>9</v>
      </c>
      <c r="B7260" t="s">
        <v>181</v>
      </c>
      <c r="C7260" t="s">
        <v>873</v>
      </c>
      <c r="D7260" t="s">
        <v>11</v>
      </c>
      <c r="E7260">
        <v>25</v>
      </c>
      <c r="F7260" s="2">
        <f>DATE(2026,IF(Tabla1[[#This Row],[Mes de Fecha]]="Septiembre",9,10),Tabla1[[#This Row],[Día de Fecha]])</f>
        <v>46290</v>
      </c>
      <c r="G7260">
        <v>1054683161</v>
      </c>
      <c r="H7260" t="s">
        <v>182</v>
      </c>
      <c r="I7260">
        <v>21</v>
      </c>
      <c r="J7260">
        <v>0</v>
      </c>
      <c r="K7260" s="1">
        <v>1087313</v>
      </c>
    </row>
    <row r="7261" spans="1:11" x14ac:dyDescent="0.25">
      <c r="A7261" t="s">
        <v>9</v>
      </c>
      <c r="B7261" t="s">
        <v>181</v>
      </c>
      <c r="C7261" t="s">
        <v>873</v>
      </c>
      <c r="D7261" t="s">
        <v>11</v>
      </c>
      <c r="E7261">
        <v>25</v>
      </c>
      <c r="F7261" s="2">
        <f>DATE(2026,IF(Tabla1[[#This Row],[Mes de Fecha]]="Septiembre",9,10),Tabla1[[#This Row],[Día de Fecha]])</f>
        <v>46290</v>
      </c>
      <c r="G7261">
        <v>1093226259</v>
      </c>
      <c r="H7261" t="s">
        <v>183</v>
      </c>
      <c r="I7261">
        <v>58</v>
      </c>
      <c r="J7261">
        <v>0</v>
      </c>
      <c r="K7261" s="1">
        <v>3629832</v>
      </c>
    </row>
    <row r="7262" spans="1:11" x14ac:dyDescent="0.25">
      <c r="A7262" t="s">
        <v>9</v>
      </c>
      <c r="B7262" t="s">
        <v>181</v>
      </c>
      <c r="C7262" t="s">
        <v>873</v>
      </c>
      <c r="D7262" t="s">
        <v>11</v>
      </c>
      <c r="E7262">
        <v>26</v>
      </c>
      <c r="F7262" s="2">
        <f>DATE(2026,IF(Tabla1[[#This Row],[Mes de Fecha]]="Septiembre",9,10),Tabla1[[#This Row],[Día de Fecha]])</f>
        <v>46291</v>
      </c>
      <c r="I7262">
        <v>0</v>
      </c>
      <c r="J7262" s="1">
        <v>15487828</v>
      </c>
      <c r="K7262">
        <v>0</v>
      </c>
    </row>
    <row r="7263" spans="1:11" x14ac:dyDescent="0.25">
      <c r="A7263" t="s">
        <v>9</v>
      </c>
      <c r="B7263" t="s">
        <v>181</v>
      </c>
      <c r="C7263" t="s">
        <v>873</v>
      </c>
      <c r="D7263" t="s">
        <v>11</v>
      </c>
      <c r="E7263">
        <v>26</v>
      </c>
      <c r="F7263" s="2">
        <f>DATE(2026,IF(Tabla1[[#This Row],[Mes de Fecha]]="Septiembre",9,10),Tabla1[[#This Row],[Día de Fecha]])</f>
        <v>46291</v>
      </c>
      <c r="G7263">
        <v>1006022341</v>
      </c>
      <c r="H7263" t="s">
        <v>184</v>
      </c>
      <c r="I7263">
        <v>123</v>
      </c>
      <c r="J7263">
        <v>0</v>
      </c>
      <c r="K7263" s="1">
        <v>7565932</v>
      </c>
    </row>
    <row r="7264" spans="1:11" x14ac:dyDescent="0.25">
      <c r="A7264" t="s">
        <v>9</v>
      </c>
      <c r="B7264" t="s">
        <v>181</v>
      </c>
      <c r="C7264" t="s">
        <v>873</v>
      </c>
      <c r="D7264" t="s">
        <v>11</v>
      </c>
      <c r="E7264">
        <v>26</v>
      </c>
      <c r="F7264" s="2">
        <f>DATE(2026,IF(Tabla1[[#This Row],[Mes de Fecha]]="Septiembre",9,10),Tabla1[[#This Row],[Día de Fecha]])</f>
        <v>46291</v>
      </c>
      <c r="G7264">
        <v>1054683161</v>
      </c>
      <c r="H7264" t="s">
        <v>182</v>
      </c>
      <c r="I7264">
        <v>31</v>
      </c>
      <c r="J7264">
        <v>0</v>
      </c>
      <c r="K7264" s="1">
        <v>1515508</v>
      </c>
    </row>
    <row r="7265" spans="1:11" x14ac:dyDescent="0.25">
      <c r="A7265" t="s">
        <v>9</v>
      </c>
      <c r="B7265" t="s">
        <v>181</v>
      </c>
      <c r="C7265" t="s">
        <v>873</v>
      </c>
      <c r="D7265" t="s">
        <v>11</v>
      </c>
      <c r="E7265">
        <v>26</v>
      </c>
      <c r="F7265" s="2">
        <f>DATE(2026,IF(Tabla1[[#This Row],[Mes de Fecha]]="Septiembre",9,10),Tabla1[[#This Row],[Día de Fecha]])</f>
        <v>46291</v>
      </c>
      <c r="G7265">
        <v>1093226259</v>
      </c>
      <c r="H7265" t="s">
        <v>183</v>
      </c>
      <c r="I7265">
        <v>92</v>
      </c>
      <c r="J7265">
        <v>0</v>
      </c>
      <c r="K7265" s="1">
        <v>5428494</v>
      </c>
    </row>
    <row r="7266" spans="1:11" x14ac:dyDescent="0.25">
      <c r="A7266" t="s">
        <v>9</v>
      </c>
      <c r="B7266" t="s">
        <v>181</v>
      </c>
      <c r="C7266" t="s">
        <v>873</v>
      </c>
      <c r="D7266" t="s">
        <v>11</v>
      </c>
      <c r="E7266">
        <v>27</v>
      </c>
      <c r="F7266" s="2">
        <f>DATE(2026,IF(Tabla1[[#This Row],[Mes de Fecha]]="Septiembre",9,10),Tabla1[[#This Row],[Día de Fecha]])</f>
        <v>46292</v>
      </c>
      <c r="I7266">
        <v>0</v>
      </c>
      <c r="J7266" s="1">
        <v>8177427</v>
      </c>
      <c r="K7266">
        <v>0</v>
      </c>
    </row>
    <row r="7267" spans="1:11" x14ac:dyDescent="0.25">
      <c r="A7267" t="s">
        <v>9</v>
      </c>
      <c r="B7267" t="s">
        <v>181</v>
      </c>
      <c r="C7267" t="s">
        <v>873</v>
      </c>
      <c r="D7267" t="s">
        <v>11</v>
      </c>
      <c r="E7267">
        <v>27</v>
      </c>
      <c r="F7267" s="2">
        <f>DATE(2026,IF(Tabla1[[#This Row],[Mes de Fecha]]="Septiembre",9,10),Tabla1[[#This Row],[Día de Fecha]])</f>
        <v>46292</v>
      </c>
      <c r="G7267">
        <v>1006022341</v>
      </c>
      <c r="H7267" t="s">
        <v>184</v>
      </c>
      <c r="I7267">
        <v>4</v>
      </c>
      <c r="J7267">
        <v>0</v>
      </c>
      <c r="K7267" s="1">
        <v>285546</v>
      </c>
    </row>
    <row r="7268" spans="1:11" x14ac:dyDescent="0.25">
      <c r="A7268" t="s">
        <v>9</v>
      </c>
      <c r="B7268" t="s">
        <v>181</v>
      </c>
      <c r="C7268" t="s">
        <v>873</v>
      </c>
      <c r="D7268" t="s">
        <v>11</v>
      </c>
      <c r="E7268">
        <v>27</v>
      </c>
      <c r="F7268" s="2">
        <f>DATE(2026,IF(Tabla1[[#This Row],[Mes de Fecha]]="Septiembre",9,10),Tabla1[[#This Row],[Día de Fecha]])</f>
        <v>46292</v>
      </c>
      <c r="G7268">
        <v>1054683161</v>
      </c>
      <c r="H7268" t="s">
        <v>182</v>
      </c>
      <c r="I7268">
        <v>78</v>
      </c>
      <c r="J7268">
        <v>0</v>
      </c>
      <c r="K7268" s="1">
        <v>4252651</v>
      </c>
    </row>
    <row r="7269" spans="1:11" x14ac:dyDescent="0.25">
      <c r="A7269" t="s">
        <v>9</v>
      </c>
      <c r="B7269" t="s">
        <v>181</v>
      </c>
      <c r="C7269" t="s">
        <v>873</v>
      </c>
      <c r="D7269" t="s">
        <v>11</v>
      </c>
      <c r="E7269">
        <v>27</v>
      </c>
      <c r="F7269" s="2">
        <f>DATE(2026,IF(Tabla1[[#This Row],[Mes de Fecha]]="Septiembre",9,10),Tabla1[[#This Row],[Día de Fecha]])</f>
        <v>46292</v>
      </c>
      <c r="G7269">
        <v>1093226259</v>
      </c>
      <c r="H7269" t="s">
        <v>183</v>
      </c>
      <c r="I7269">
        <v>89</v>
      </c>
      <c r="J7269">
        <v>0</v>
      </c>
      <c r="K7269" s="1">
        <v>5369835</v>
      </c>
    </row>
    <row r="7270" spans="1:11" x14ac:dyDescent="0.25">
      <c r="A7270" t="s">
        <v>9</v>
      </c>
      <c r="B7270" t="s">
        <v>181</v>
      </c>
      <c r="C7270" t="s">
        <v>873</v>
      </c>
      <c r="D7270" t="s">
        <v>11</v>
      </c>
      <c r="E7270">
        <v>28</v>
      </c>
      <c r="F7270" s="2">
        <f>DATE(2026,IF(Tabla1[[#This Row],[Mes de Fecha]]="Septiembre",9,10),Tabla1[[#This Row],[Día de Fecha]])</f>
        <v>46293</v>
      </c>
      <c r="I7270">
        <v>0</v>
      </c>
      <c r="J7270" s="1">
        <v>6704599</v>
      </c>
      <c r="K7270">
        <v>0</v>
      </c>
    </row>
    <row r="7271" spans="1:11" x14ac:dyDescent="0.25">
      <c r="A7271" t="s">
        <v>9</v>
      </c>
      <c r="B7271" t="s">
        <v>181</v>
      </c>
      <c r="C7271" t="s">
        <v>873</v>
      </c>
      <c r="D7271" t="s">
        <v>11</v>
      </c>
      <c r="E7271">
        <v>28</v>
      </c>
      <c r="F7271" s="2">
        <f>DATE(2026,IF(Tabla1[[#This Row],[Mes de Fecha]]="Septiembre",9,10),Tabla1[[#This Row],[Día de Fecha]])</f>
        <v>46293</v>
      </c>
      <c r="G7271">
        <v>1006022341</v>
      </c>
      <c r="H7271" t="s">
        <v>184</v>
      </c>
      <c r="I7271">
        <v>88</v>
      </c>
      <c r="J7271">
        <v>0</v>
      </c>
      <c r="K7271" s="1">
        <v>4487486</v>
      </c>
    </row>
    <row r="7272" spans="1:11" x14ac:dyDescent="0.25">
      <c r="A7272" t="s">
        <v>9</v>
      </c>
      <c r="B7272" t="s">
        <v>181</v>
      </c>
      <c r="C7272" t="s">
        <v>873</v>
      </c>
      <c r="D7272" t="s">
        <v>11</v>
      </c>
      <c r="E7272">
        <v>28</v>
      </c>
      <c r="F7272" s="2">
        <f>DATE(2026,IF(Tabla1[[#This Row],[Mes de Fecha]]="Septiembre",9,10),Tabla1[[#This Row],[Día de Fecha]])</f>
        <v>46293</v>
      </c>
      <c r="G7272">
        <v>1054683161</v>
      </c>
      <c r="H7272" t="s">
        <v>182</v>
      </c>
      <c r="I7272">
        <v>1</v>
      </c>
      <c r="J7272">
        <v>0</v>
      </c>
      <c r="K7272" s="1">
        <v>96597</v>
      </c>
    </row>
    <row r="7273" spans="1:11" x14ac:dyDescent="0.25">
      <c r="A7273" t="s">
        <v>9</v>
      </c>
      <c r="B7273" t="s">
        <v>181</v>
      </c>
      <c r="C7273" t="s">
        <v>873</v>
      </c>
      <c r="D7273" t="s">
        <v>11</v>
      </c>
      <c r="E7273">
        <v>29</v>
      </c>
      <c r="F7273" s="2">
        <f>DATE(2026,IF(Tabla1[[#This Row],[Mes de Fecha]]="Septiembre",9,10),Tabla1[[#This Row],[Día de Fecha]])</f>
        <v>46294</v>
      </c>
      <c r="I7273">
        <v>0</v>
      </c>
      <c r="J7273" s="1">
        <v>7453531</v>
      </c>
      <c r="K7273">
        <v>0</v>
      </c>
    </row>
    <row r="7274" spans="1:11" x14ac:dyDescent="0.25">
      <c r="A7274" t="s">
        <v>9</v>
      </c>
      <c r="B7274" t="s">
        <v>181</v>
      </c>
      <c r="C7274" t="s">
        <v>873</v>
      </c>
      <c r="D7274" t="s">
        <v>11</v>
      </c>
      <c r="E7274">
        <v>29</v>
      </c>
      <c r="F7274" s="2">
        <f>DATE(2026,IF(Tabla1[[#This Row],[Mes de Fecha]]="Septiembre",9,10),Tabla1[[#This Row],[Día de Fecha]])</f>
        <v>46294</v>
      </c>
      <c r="G7274">
        <v>1006022341</v>
      </c>
      <c r="H7274" t="s">
        <v>184</v>
      </c>
      <c r="I7274">
        <v>53</v>
      </c>
      <c r="J7274">
        <v>0</v>
      </c>
      <c r="K7274" s="1">
        <v>2997522</v>
      </c>
    </row>
    <row r="7275" spans="1:11" x14ac:dyDescent="0.25">
      <c r="A7275" t="s">
        <v>9</v>
      </c>
      <c r="B7275" t="s">
        <v>181</v>
      </c>
      <c r="C7275" t="s">
        <v>873</v>
      </c>
      <c r="D7275" t="s">
        <v>11</v>
      </c>
      <c r="E7275">
        <v>29</v>
      </c>
      <c r="F7275" s="2">
        <f>DATE(2026,IF(Tabla1[[#This Row],[Mes de Fecha]]="Septiembre",9,10),Tabla1[[#This Row],[Día de Fecha]])</f>
        <v>46294</v>
      </c>
      <c r="G7275">
        <v>1054683161</v>
      </c>
      <c r="H7275" t="s">
        <v>182</v>
      </c>
      <c r="I7275">
        <v>10</v>
      </c>
      <c r="J7275">
        <v>0</v>
      </c>
      <c r="K7275" s="1">
        <v>440632</v>
      </c>
    </row>
    <row r="7276" spans="1:11" x14ac:dyDescent="0.25">
      <c r="A7276" t="s">
        <v>9</v>
      </c>
      <c r="B7276" t="s">
        <v>181</v>
      </c>
      <c r="C7276" t="s">
        <v>873</v>
      </c>
      <c r="D7276" t="s">
        <v>11</v>
      </c>
      <c r="E7276">
        <v>29</v>
      </c>
      <c r="F7276" s="2">
        <f>DATE(2026,IF(Tabla1[[#This Row],[Mes de Fecha]]="Septiembre",9,10),Tabla1[[#This Row],[Día de Fecha]])</f>
        <v>46294</v>
      </c>
      <c r="G7276">
        <v>1093226259</v>
      </c>
      <c r="H7276" t="s">
        <v>183</v>
      </c>
      <c r="I7276">
        <v>37</v>
      </c>
      <c r="J7276">
        <v>0</v>
      </c>
      <c r="K7276" s="1">
        <v>1888784</v>
      </c>
    </row>
    <row r="7277" spans="1:11" x14ac:dyDescent="0.25">
      <c r="A7277" t="s">
        <v>9</v>
      </c>
      <c r="B7277" t="s">
        <v>181</v>
      </c>
      <c r="C7277" t="s">
        <v>873</v>
      </c>
      <c r="D7277" t="s">
        <v>11</v>
      </c>
      <c r="E7277">
        <v>30</v>
      </c>
      <c r="F7277" s="2">
        <f>DATE(2026,IF(Tabla1[[#This Row],[Mes de Fecha]]="Septiembre",9,10),Tabla1[[#This Row],[Día de Fecha]])</f>
        <v>46295</v>
      </c>
      <c r="I7277">
        <v>0</v>
      </c>
      <c r="J7277" s="1">
        <v>7893529</v>
      </c>
      <c r="K7277">
        <v>0</v>
      </c>
    </row>
    <row r="7278" spans="1:11" x14ac:dyDescent="0.25">
      <c r="A7278" t="s">
        <v>9</v>
      </c>
      <c r="B7278" t="s">
        <v>181</v>
      </c>
      <c r="C7278" t="s">
        <v>873</v>
      </c>
      <c r="D7278" t="s">
        <v>11</v>
      </c>
      <c r="E7278">
        <v>30</v>
      </c>
      <c r="F7278" s="2">
        <f>DATE(2026,IF(Tabla1[[#This Row],[Mes de Fecha]]="Septiembre",9,10),Tabla1[[#This Row],[Día de Fecha]])</f>
        <v>46295</v>
      </c>
      <c r="G7278">
        <v>1006022341</v>
      </c>
      <c r="H7278" t="s">
        <v>184</v>
      </c>
      <c r="I7278">
        <v>45</v>
      </c>
      <c r="J7278">
        <v>0</v>
      </c>
      <c r="K7278" s="1">
        <v>2529333</v>
      </c>
    </row>
    <row r="7279" spans="1:11" x14ac:dyDescent="0.25">
      <c r="A7279" t="s">
        <v>9</v>
      </c>
      <c r="B7279" t="s">
        <v>181</v>
      </c>
      <c r="C7279" t="s">
        <v>873</v>
      </c>
      <c r="D7279" t="s">
        <v>11</v>
      </c>
      <c r="E7279">
        <v>30</v>
      </c>
      <c r="F7279" s="2">
        <f>DATE(2026,IF(Tabla1[[#This Row],[Mes de Fecha]]="Septiembre",9,10),Tabla1[[#This Row],[Día de Fecha]])</f>
        <v>46295</v>
      </c>
      <c r="G7279">
        <v>1054683161</v>
      </c>
      <c r="H7279" t="s">
        <v>182</v>
      </c>
      <c r="I7279">
        <v>17</v>
      </c>
      <c r="J7279">
        <v>0</v>
      </c>
      <c r="K7279" s="1">
        <v>784960</v>
      </c>
    </row>
    <row r="7280" spans="1:11" x14ac:dyDescent="0.25">
      <c r="A7280" t="s">
        <v>9</v>
      </c>
      <c r="B7280" t="s">
        <v>181</v>
      </c>
      <c r="C7280" t="s">
        <v>873</v>
      </c>
      <c r="D7280" t="s">
        <v>11</v>
      </c>
      <c r="E7280">
        <v>30</v>
      </c>
      <c r="F7280" s="2">
        <f>DATE(2026,IF(Tabla1[[#This Row],[Mes de Fecha]]="Septiembre",9,10),Tabla1[[#This Row],[Día de Fecha]])</f>
        <v>46295</v>
      </c>
      <c r="G7280">
        <v>1093226259</v>
      </c>
      <c r="H7280" t="s">
        <v>183</v>
      </c>
      <c r="I7280">
        <v>34</v>
      </c>
      <c r="J7280">
        <v>0</v>
      </c>
      <c r="K7280" s="1">
        <v>1973112</v>
      </c>
    </row>
    <row r="7281" spans="1:11" x14ac:dyDescent="0.25">
      <c r="A7281" t="s">
        <v>9</v>
      </c>
      <c r="B7281" t="s">
        <v>181</v>
      </c>
      <c r="C7281" t="s">
        <v>873</v>
      </c>
      <c r="D7281" t="s">
        <v>14</v>
      </c>
      <c r="E7281">
        <v>1</v>
      </c>
      <c r="F7281" s="2">
        <f>DATE(2026,IF(Tabla1[[#This Row],[Mes de Fecha]]="Septiembre",9,10),Tabla1[[#This Row],[Día de Fecha]])</f>
        <v>46296</v>
      </c>
      <c r="I7281">
        <v>0</v>
      </c>
      <c r="J7281" s="1">
        <v>7597612</v>
      </c>
      <c r="K7281">
        <v>0</v>
      </c>
    </row>
    <row r="7282" spans="1:11" x14ac:dyDescent="0.25">
      <c r="A7282" t="s">
        <v>9</v>
      </c>
      <c r="B7282" t="s">
        <v>181</v>
      </c>
      <c r="C7282" t="s">
        <v>873</v>
      </c>
      <c r="D7282" t="s">
        <v>14</v>
      </c>
      <c r="E7282">
        <v>1</v>
      </c>
      <c r="F7282" s="2">
        <f>DATE(2026,IF(Tabla1[[#This Row],[Mes de Fecha]]="Septiembre",9,10),Tabla1[[#This Row],[Día de Fecha]])</f>
        <v>46296</v>
      </c>
      <c r="G7282">
        <v>1006022341</v>
      </c>
      <c r="H7282" t="s">
        <v>184</v>
      </c>
      <c r="I7282">
        <v>67</v>
      </c>
      <c r="J7282">
        <v>0</v>
      </c>
      <c r="K7282" s="1">
        <v>3794288</v>
      </c>
    </row>
    <row r="7283" spans="1:11" x14ac:dyDescent="0.25">
      <c r="A7283" t="s">
        <v>9</v>
      </c>
      <c r="B7283" t="s">
        <v>181</v>
      </c>
      <c r="C7283" t="s">
        <v>873</v>
      </c>
      <c r="D7283" t="s">
        <v>14</v>
      </c>
      <c r="E7283">
        <v>1</v>
      </c>
      <c r="F7283" s="2">
        <f>DATE(2026,IF(Tabla1[[#This Row],[Mes de Fecha]]="Septiembre",9,10),Tabla1[[#This Row],[Día de Fecha]])</f>
        <v>46296</v>
      </c>
      <c r="G7283">
        <v>1054683161</v>
      </c>
      <c r="H7283" t="s">
        <v>182</v>
      </c>
      <c r="I7283">
        <v>18</v>
      </c>
      <c r="J7283">
        <v>0</v>
      </c>
      <c r="K7283" s="1">
        <v>948700</v>
      </c>
    </row>
    <row r="7284" spans="1:11" x14ac:dyDescent="0.25">
      <c r="A7284" t="s">
        <v>9</v>
      </c>
      <c r="B7284" t="s">
        <v>181</v>
      </c>
      <c r="C7284" t="s">
        <v>873</v>
      </c>
      <c r="D7284" t="s">
        <v>14</v>
      </c>
      <c r="E7284">
        <v>1</v>
      </c>
      <c r="F7284" s="2">
        <f>DATE(2026,IF(Tabla1[[#This Row],[Mes de Fecha]]="Septiembre",9,10),Tabla1[[#This Row],[Día de Fecha]])</f>
        <v>46296</v>
      </c>
      <c r="G7284">
        <v>1093226259</v>
      </c>
      <c r="H7284" t="s">
        <v>183</v>
      </c>
      <c r="I7284">
        <v>51</v>
      </c>
      <c r="J7284">
        <v>0</v>
      </c>
      <c r="K7284" s="1">
        <v>2737107</v>
      </c>
    </row>
    <row r="7285" spans="1:11" x14ac:dyDescent="0.25">
      <c r="A7285" t="s">
        <v>9</v>
      </c>
      <c r="B7285" t="s">
        <v>181</v>
      </c>
      <c r="C7285" t="s">
        <v>873</v>
      </c>
      <c r="D7285" t="s">
        <v>14</v>
      </c>
      <c r="E7285">
        <v>2</v>
      </c>
      <c r="F7285" s="2">
        <f>DATE(2026,IF(Tabla1[[#This Row],[Mes de Fecha]]="Septiembre",9,10),Tabla1[[#This Row],[Día de Fecha]])</f>
        <v>46297</v>
      </c>
      <c r="I7285">
        <v>0</v>
      </c>
      <c r="J7285" s="1">
        <v>9738853</v>
      </c>
      <c r="K7285">
        <v>0</v>
      </c>
    </row>
    <row r="7286" spans="1:11" x14ac:dyDescent="0.25">
      <c r="A7286" t="s">
        <v>9</v>
      </c>
      <c r="B7286" t="s">
        <v>181</v>
      </c>
      <c r="C7286" t="s">
        <v>873</v>
      </c>
      <c r="D7286" t="s">
        <v>14</v>
      </c>
      <c r="E7286">
        <v>2</v>
      </c>
      <c r="F7286" s="2">
        <f>DATE(2026,IF(Tabla1[[#This Row],[Mes de Fecha]]="Septiembre",9,10),Tabla1[[#This Row],[Día de Fecha]])</f>
        <v>46297</v>
      </c>
      <c r="G7286">
        <v>1006022341</v>
      </c>
      <c r="H7286" t="s">
        <v>184</v>
      </c>
      <c r="I7286">
        <v>43</v>
      </c>
      <c r="J7286">
        <v>0</v>
      </c>
      <c r="K7286" s="1">
        <v>2518952</v>
      </c>
    </row>
    <row r="7287" spans="1:11" x14ac:dyDescent="0.25">
      <c r="A7287" t="s">
        <v>9</v>
      </c>
      <c r="B7287" t="s">
        <v>181</v>
      </c>
      <c r="C7287" t="s">
        <v>873</v>
      </c>
      <c r="D7287" t="s">
        <v>14</v>
      </c>
      <c r="E7287">
        <v>2</v>
      </c>
      <c r="F7287" s="2">
        <f>DATE(2026,IF(Tabla1[[#This Row],[Mes de Fecha]]="Septiembre",9,10),Tabla1[[#This Row],[Día de Fecha]])</f>
        <v>46297</v>
      </c>
      <c r="G7287">
        <v>1054683161</v>
      </c>
      <c r="H7287" t="s">
        <v>182</v>
      </c>
      <c r="I7287">
        <v>21</v>
      </c>
      <c r="J7287">
        <v>0</v>
      </c>
      <c r="K7287" s="1">
        <v>912733</v>
      </c>
    </row>
    <row r="7288" spans="1:11" x14ac:dyDescent="0.25">
      <c r="A7288" t="s">
        <v>9</v>
      </c>
      <c r="B7288" t="s">
        <v>181</v>
      </c>
      <c r="C7288" t="s">
        <v>873</v>
      </c>
      <c r="D7288" t="s">
        <v>14</v>
      </c>
      <c r="E7288">
        <v>2</v>
      </c>
      <c r="F7288" s="2">
        <f>DATE(2026,IF(Tabla1[[#This Row],[Mes de Fecha]]="Septiembre",9,10),Tabla1[[#This Row],[Día de Fecha]])</f>
        <v>46297</v>
      </c>
      <c r="G7288">
        <v>1093226259</v>
      </c>
      <c r="H7288" t="s">
        <v>183</v>
      </c>
      <c r="I7288">
        <v>41</v>
      </c>
      <c r="J7288">
        <v>0</v>
      </c>
      <c r="K7288" s="1">
        <v>2180716</v>
      </c>
    </row>
    <row r="7289" spans="1:11" x14ac:dyDescent="0.25">
      <c r="A7289" t="s">
        <v>9</v>
      </c>
      <c r="B7289" t="s">
        <v>181</v>
      </c>
      <c r="C7289" t="s">
        <v>873</v>
      </c>
      <c r="D7289" t="s">
        <v>14</v>
      </c>
      <c r="E7289">
        <v>3</v>
      </c>
      <c r="F7289" s="2">
        <f>DATE(2026,IF(Tabla1[[#This Row],[Mes de Fecha]]="Septiembre",9,10),Tabla1[[#This Row],[Día de Fecha]])</f>
        <v>46298</v>
      </c>
      <c r="I7289">
        <v>0</v>
      </c>
      <c r="J7289" s="1">
        <v>9339083</v>
      </c>
      <c r="K7289">
        <v>0</v>
      </c>
    </row>
    <row r="7290" spans="1:11" x14ac:dyDescent="0.25">
      <c r="A7290" t="s">
        <v>9</v>
      </c>
      <c r="B7290" t="s">
        <v>181</v>
      </c>
      <c r="C7290" t="s">
        <v>873</v>
      </c>
      <c r="D7290" t="s">
        <v>14</v>
      </c>
      <c r="E7290">
        <v>3</v>
      </c>
      <c r="F7290" s="2">
        <f>DATE(2026,IF(Tabla1[[#This Row],[Mes de Fecha]]="Septiembre",9,10),Tabla1[[#This Row],[Día de Fecha]])</f>
        <v>46298</v>
      </c>
      <c r="G7290">
        <v>1006022341</v>
      </c>
      <c r="H7290" t="s">
        <v>184</v>
      </c>
      <c r="I7290">
        <v>87</v>
      </c>
      <c r="J7290">
        <v>0</v>
      </c>
      <c r="K7290" s="1">
        <v>4720806</v>
      </c>
    </row>
    <row r="7291" spans="1:11" x14ac:dyDescent="0.25">
      <c r="A7291" t="s">
        <v>9</v>
      </c>
      <c r="B7291" t="s">
        <v>181</v>
      </c>
      <c r="C7291" t="s">
        <v>873</v>
      </c>
      <c r="D7291" t="s">
        <v>14</v>
      </c>
      <c r="E7291">
        <v>3</v>
      </c>
      <c r="F7291" s="2">
        <f>DATE(2026,IF(Tabla1[[#This Row],[Mes de Fecha]]="Septiembre",9,10),Tabla1[[#This Row],[Día de Fecha]])</f>
        <v>46298</v>
      </c>
      <c r="G7291">
        <v>1054683161</v>
      </c>
      <c r="H7291" t="s">
        <v>182</v>
      </c>
      <c r="I7291">
        <v>33</v>
      </c>
      <c r="J7291">
        <v>0</v>
      </c>
      <c r="K7291" s="1">
        <v>1345346</v>
      </c>
    </row>
    <row r="7292" spans="1:11" x14ac:dyDescent="0.25">
      <c r="A7292" t="s">
        <v>9</v>
      </c>
      <c r="B7292" t="s">
        <v>181</v>
      </c>
      <c r="C7292" t="s">
        <v>873</v>
      </c>
      <c r="D7292" t="s">
        <v>14</v>
      </c>
      <c r="E7292">
        <v>3</v>
      </c>
      <c r="F7292" s="2">
        <f>DATE(2026,IF(Tabla1[[#This Row],[Mes de Fecha]]="Septiembre",9,10),Tabla1[[#This Row],[Día de Fecha]])</f>
        <v>46298</v>
      </c>
      <c r="G7292">
        <v>1093226259</v>
      </c>
      <c r="H7292" t="s">
        <v>183</v>
      </c>
      <c r="I7292">
        <v>66</v>
      </c>
      <c r="J7292">
        <v>0</v>
      </c>
      <c r="K7292" s="1">
        <v>3825539</v>
      </c>
    </row>
    <row r="7293" spans="1:11" x14ac:dyDescent="0.25">
      <c r="A7293" t="s">
        <v>9</v>
      </c>
      <c r="B7293" t="s">
        <v>181</v>
      </c>
      <c r="C7293" t="s">
        <v>873</v>
      </c>
      <c r="D7293" t="s">
        <v>14</v>
      </c>
      <c r="E7293">
        <v>4</v>
      </c>
      <c r="F7293" s="2">
        <f>DATE(2026,IF(Tabla1[[#This Row],[Mes de Fecha]]="Septiembre",9,10),Tabla1[[#This Row],[Día de Fecha]])</f>
        <v>46299</v>
      </c>
      <c r="I7293">
        <v>0</v>
      </c>
      <c r="J7293" s="1">
        <v>9529146</v>
      </c>
      <c r="K7293">
        <v>0</v>
      </c>
    </row>
    <row r="7294" spans="1:11" x14ac:dyDescent="0.25">
      <c r="A7294" t="s">
        <v>9</v>
      </c>
      <c r="B7294" t="s">
        <v>181</v>
      </c>
      <c r="C7294" t="s">
        <v>873</v>
      </c>
      <c r="D7294" t="s">
        <v>14</v>
      </c>
      <c r="E7294">
        <v>4</v>
      </c>
      <c r="F7294" s="2">
        <f>DATE(2026,IF(Tabla1[[#This Row],[Mes de Fecha]]="Septiembre",9,10),Tabla1[[#This Row],[Día de Fecha]])</f>
        <v>46299</v>
      </c>
      <c r="G7294">
        <v>1006022341</v>
      </c>
      <c r="H7294" t="s">
        <v>184</v>
      </c>
      <c r="I7294">
        <v>125</v>
      </c>
      <c r="J7294">
        <v>0</v>
      </c>
      <c r="K7294" s="1">
        <v>6876559</v>
      </c>
    </row>
    <row r="7295" spans="1:11" x14ac:dyDescent="0.25">
      <c r="A7295" t="s">
        <v>9</v>
      </c>
      <c r="B7295" t="s">
        <v>181</v>
      </c>
      <c r="C7295" t="s">
        <v>873</v>
      </c>
      <c r="D7295" t="s">
        <v>14</v>
      </c>
      <c r="E7295">
        <v>4</v>
      </c>
      <c r="F7295" s="2">
        <f>DATE(2026,IF(Tabla1[[#This Row],[Mes de Fecha]]="Septiembre",9,10),Tabla1[[#This Row],[Día de Fecha]])</f>
        <v>46299</v>
      </c>
      <c r="G7295">
        <v>1054683161</v>
      </c>
      <c r="H7295" t="s">
        <v>182</v>
      </c>
      <c r="I7295">
        <v>54</v>
      </c>
      <c r="J7295">
        <v>0</v>
      </c>
      <c r="K7295" s="1">
        <v>2831345</v>
      </c>
    </row>
    <row r="7296" spans="1:11" x14ac:dyDescent="0.25">
      <c r="A7296" t="s">
        <v>9</v>
      </c>
      <c r="B7296" t="s">
        <v>181</v>
      </c>
      <c r="C7296" t="s">
        <v>873</v>
      </c>
      <c r="D7296" t="s">
        <v>14</v>
      </c>
      <c r="E7296">
        <v>5</v>
      </c>
      <c r="F7296" s="2">
        <f>DATE(2026,IF(Tabla1[[#This Row],[Mes de Fecha]]="Septiembre",9,10),Tabla1[[#This Row],[Día de Fecha]])</f>
        <v>46300</v>
      </c>
      <c r="I7296">
        <v>0</v>
      </c>
      <c r="J7296" s="1">
        <v>8200569</v>
      </c>
      <c r="K7296">
        <v>0</v>
      </c>
    </row>
    <row r="7297" spans="1:11" x14ac:dyDescent="0.25">
      <c r="A7297" t="s">
        <v>9</v>
      </c>
      <c r="B7297" t="s">
        <v>181</v>
      </c>
      <c r="C7297" t="s">
        <v>873</v>
      </c>
      <c r="D7297" t="s">
        <v>14</v>
      </c>
      <c r="E7297">
        <v>5</v>
      </c>
      <c r="F7297" s="2">
        <f>DATE(2026,IF(Tabla1[[#This Row],[Mes de Fecha]]="Septiembre",9,10),Tabla1[[#This Row],[Día de Fecha]])</f>
        <v>46300</v>
      </c>
      <c r="G7297">
        <v>1006022341</v>
      </c>
      <c r="H7297" t="s">
        <v>184</v>
      </c>
      <c r="I7297">
        <v>38</v>
      </c>
      <c r="J7297">
        <v>0</v>
      </c>
      <c r="K7297" s="1">
        <v>2136684</v>
      </c>
    </row>
    <row r="7298" spans="1:11" x14ac:dyDescent="0.25">
      <c r="A7298" t="s">
        <v>9</v>
      </c>
      <c r="B7298" t="s">
        <v>181</v>
      </c>
      <c r="C7298" t="s">
        <v>873</v>
      </c>
      <c r="D7298" t="s">
        <v>14</v>
      </c>
      <c r="E7298">
        <v>5</v>
      </c>
      <c r="F7298" s="2">
        <f>DATE(2026,IF(Tabla1[[#This Row],[Mes de Fecha]]="Septiembre",9,10),Tabla1[[#This Row],[Día de Fecha]])</f>
        <v>46300</v>
      </c>
      <c r="G7298">
        <v>1054683161</v>
      </c>
      <c r="H7298" t="s">
        <v>182</v>
      </c>
      <c r="I7298">
        <v>9</v>
      </c>
      <c r="J7298">
        <v>0</v>
      </c>
      <c r="K7298" s="1">
        <v>688614</v>
      </c>
    </row>
    <row r="7299" spans="1:11" x14ac:dyDescent="0.25">
      <c r="A7299" t="s">
        <v>9</v>
      </c>
      <c r="B7299" t="s">
        <v>181</v>
      </c>
      <c r="C7299" t="s">
        <v>873</v>
      </c>
      <c r="D7299" t="s">
        <v>14</v>
      </c>
      <c r="E7299">
        <v>5</v>
      </c>
      <c r="F7299" s="2">
        <f>DATE(2026,IF(Tabla1[[#This Row],[Mes de Fecha]]="Septiembre",9,10),Tabla1[[#This Row],[Día de Fecha]])</f>
        <v>46300</v>
      </c>
      <c r="G7299">
        <v>1093226259</v>
      </c>
      <c r="H7299" t="s">
        <v>183</v>
      </c>
      <c r="I7299">
        <v>33</v>
      </c>
      <c r="J7299">
        <v>0</v>
      </c>
      <c r="K7299" s="1">
        <v>1903868</v>
      </c>
    </row>
    <row r="7300" spans="1:11" x14ac:dyDescent="0.25">
      <c r="A7300" t="s">
        <v>9</v>
      </c>
      <c r="B7300" t="s">
        <v>181</v>
      </c>
      <c r="C7300" t="s">
        <v>873</v>
      </c>
      <c r="D7300" t="s">
        <v>14</v>
      </c>
      <c r="E7300">
        <v>6</v>
      </c>
      <c r="F7300" s="2">
        <f>DATE(2026,IF(Tabla1[[#This Row],[Mes de Fecha]]="Septiembre",9,10),Tabla1[[#This Row],[Día de Fecha]])</f>
        <v>46301</v>
      </c>
      <c r="I7300">
        <v>0</v>
      </c>
      <c r="J7300" s="1">
        <v>5668422</v>
      </c>
      <c r="K7300">
        <v>0</v>
      </c>
    </row>
    <row r="7301" spans="1:11" x14ac:dyDescent="0.25">
      <c r="A7301" t="s">
        <v>9</v>
      </c>
      <c r="B7301" t="s">
        <v>181</v>
      </c>
      <c r="C7301" t="s">
        <v>873</v>
      </c>
      <c r="D7301" t="s">
        <v>14</v>
      </c>
      <c r="E7301">
        <v>6</v>
      </c>
      <c r="F7301" s="2">
        <f>DATE(2026,IF(Tabla1[[#This Row],[Mes de Fecha]]="Septiembre",9,10),Tabla1[[#This Row],[Día de Fecha]])</f>
        <v>46301</v>
      </c>
      <c r="G7301">
        <v>1006022341</v>
      </c>
      <c r="H7301" t="s">
        <v>184</v>
      </c>
      <c r="I7301">
        <v>0</v>
      </c>
      <c r="J7301">
        <v>0</v>
      </c>
      <c r="K7301" s="1">
        <v>-12605</v>
      </c>
    </row>
    <row r="7302" spans="1:11" x14ac:dyDescent="0.25">
      <c r="A7302" t="s">
        <v>9</v>
      </c>
      <c r="B7302" t="s">
        <v>181</v>
      </c>
      <c r="C7302" t="s">
        <v>873</v>
      </c>
      <c r="D7302" t="s">
        <v>14</v>
      </c>
      <c r="E7302">
        <v>6</v>
      </c>
      <c r="F7302" s="2">
        <f>DATE(2026,IF(Tabla1[[#This Row],[Mes de Fecha]]="Septiembre",9,10),Tabla1[[#This Row],[Día de Fecha]])</f>
        <v>46301</v>
      </c>
      <c r="G7302">
        <v>1054683161</v>
      </c>
      <c r="H7302" t="s">
        <v>182</v>
      </c>
      <c r="I7302">
        <v>13</v>
      </c>
      <c r="J7302">
        <v>0</v>
      </c>
      <c r="K7302" s="1">
        <v>570800</v>
      </c>
    </row>
    <row r="7303" spans="1:11" x14ac:dyDescent="0.25">
      <c r="A7303" t="s">
        <v>9</v>
      </c>
      <c r="B7303" t="s">
        <v>181</v>
      </c>
      <c r="C7303" t="s">
        <v>873</v>
      </c>
      <c r="D7303" t="s">
        <v>14</v>
      </c>
      <c r="E7303">
        <v>6</v>
      </c>
      <c r="F7303" s="2">
        <f>DATE(2026,IF(Tabla1[[#This Row],[Mes de Fecha]]="Septiembre",9,10),Tabla1[[#This Row],[Día de Fecha]])</f>
        <v>46301</v>
      </c>
      <c r="G7303">
        <v>1093226259</v>
      </c>
      <c r="H7303" t="s">
        <v>183</v>
      </c>
      <c r="I7303">
        <v>46</v>
      </c>
      <c r="J7303">
        <v>0</v>
      </c>
      <c r="K7303" s="1">
        <v>2802442</v>
      </c>
    </row>
    <row r="7304" spans="1:11" x14ac:dyDescent="0.25">
      <c r="A7304" t="s">
        <v>9</v>
      </c>
      <c r="B7304" t="s">
        <v>181</v>
      </c>
      <c r="C7304" t="s">
        <v>873</v>
      </c>
      <c r="D7304" t="s">
        <v>14</v>
      </c>
      <c r="E7304">
        <v>7</v>
      </c>
      <c r="F7304" s="2">
        <f>DATE(2026,IF(Tabla1[[#This Row],[Mes de Fecha]]="Septiembre",9,10),Tabla1[[#This Row],[Día de Fecha]])</f>
        <v>46302</v>
      </c>
      <c r="I7304">
        <v>0</v>
      </c>
      <c r="J7304" s="1">
        <v>3326049</v>
      </c>
      <c r="K7304">
        <v>0</v>
      </c>
    </row>
    <row r="7305" spans="1:11" x14ac:dyDescent="0.25">
      <c r="A7305" t="s">
        <v>9</v>
      </c>
      <c r="B7305" t="s">
        <v>181</v>
      </c>
      <c r="C7305" t="s">
        <v>873</v>
      </c>
      <c r="D7305" t="s">
        <v>14</v>
      </c>
      <c r="E7305">
        <v>7</v>
      </c>
      <c r="F7305" s="2">
        <f>DATE(2026,IF(Tabla1[[#This Row],[Mes de Fecha]]="Septiembre",9,10),Tabla1[[#This Row],[Día de Fecha]])</f>
        <v>46302</v>
      </c>
      <c r="G7305">
        <v>1006022341</v>
      </c>
      <c r="H7305" t="s">
        <v>184</v>
      </c>
      <c r="I7305">
        <v>18</v>
      </c>
      <c r="J7305">
        <v>0</v>
      </c>
      <c r="K7305" s="1">
        <v>927524</v>
      </c>
    </row>
    <row r="7306" spans="1:11" x14ac:dyDescent="0.25">
      <c r="A7306" t="s">
        <v>9</v>
      </c>
      <c r="B7306" t="s">
        <v>181</v>
      </c>
      <c r="C7306" t="s">
        <v>873</v>
      </c>
      <c r="D7306" t="s">
        <v>14</v>
      </c>
      <c r="E7306">
        <v>7</v>
      </c>
      <c r="F7306" s="2">
        <f>DATE(2026,IF(Tabla1[[#This Row],[Mes de Fecha]]="Septiembre",9,10),Tabla1[[#This Row],[Día de Fecha]])</f>
        <v>46302</v>
      </c>
      <c r="G7306">
        <v>1054683161</v>
      </c>
      <c r="H7306" t="s">
        <v>182</v>
      </c>
      <c r="I7306">
        <v>2</v>
      </c>
      <c r="J7306">
        <v>0</v>
      </c>
      <c r="K7306" s="1">
        <v>100715</v>
      </c>
    </row>
    <row r="7307" spans="1:11" x14ac:dyDescent="0.25">
      <c r="A7307" t="s">
        <v>9</v>
      </c>
      <c r="B7307" t="s">
        <v>181</v>
      </c>
      <c r="C7307" t="s">
        <v>873</v>
      </c>
      <c r="D7307" t="s">
        <v>14</v>
      </c>
      <c r="E7307">
        <v>7</v>
      </c>
      <c r="F7307" s="2">
        <f>DATE(2026,IF(Tabla1[[#This Row],[Mes de Fecha]]="Septiembre",9,10),Tabla1[[#This Row],[Día de Fecha]])</f>
        <v>46302</v>
      </c>
      <c r="G7307">
        <v>1093226259</v>
      </c>
      <c r="H7307" t="s">
        <v>183</v>
      </c>
      <c r="I7307">
        <v>12</v>
      </c>
      <c r="J7307">
        <v>0</v>
      </c>
      <c r="K7307" s="1">
        <v>755672</v>
      </c>
    </row>
    <row r="7308" spans="1:11" x14ac:dyDescent="0.25">
      <c r="A7308" t="s">
        <v>9</v>
      </c>
      <c r="B7308" t="s">
        <v>196</v>
      </c>
      <c r="C7308" t="s">
        <v>873</v>
      </c>
      <c r="D7308" t="s">
        <v>11</v>
      </c>
      <c r="E7308">
        <v>23</v>
      </c>
      <c r="F7308" s="2">
        <f>DATE(2026,IF(Tabla1[[#This Row],[Mes de Fecha]]="Septiembre",9,10),Tabla1[[#This Row],[Día de Fecha]])</f>
        <v>46288</v>
      </c>
      <c r="I7308">
        <v>0</v>
      </c>
      <c r="J7308" s="1">
        <v>2097101</v>
      </c>
      <c r="K7308">
        <v>0</v>
      </c>
    </row>
    <row r="7309" spans="1:11" x14ac:dyDescent="0.25">
      <c r="A7309" t="s">
        <v>9</v>
      </c>
      <c r="B7309" t="s">
        <v>196</v>
      </c>
      <c r="C7309" t="s">
        <v>873</v>
      </c>
      <c r="D7309" t="s">
        <v>11</v>
      </c>
      <c r="E7309">
        <v>23</v>
      </c>
      <c r="F7309" s="2">
        <f>DATE(2026,IF(Tabla1[[#This Row],[Mes de Fecha]]="Septiembre",9,10),Tabla1[[#This Row],[Día de Fecha]])</f>
        <v>46288</v>
      </c>
      <c r="G7309">
        <v>1097402102</v>
      </c>
      <c r="H7309" t="s">
        <v>197</v>
      </c>
      <c r="I7309">
        <v>41</v>
      </c>
      <c r="J7309">
        <v>0</v>
      </c>
      <c r="K7309" s="1">
        <v>2227272</v>
      </c>
    </row>
    <row r="7310" spans="1:11" x14ac:dyDescent="0.25">
      <c r="A7310" t="s">
        <v>9</v>
      </c>
      <c r="B7310" t="s">
        <v>196</v>
      </c>
      <c r="C7310" t="s">
        <v>873</v>
      </c>
      <c r="D7310" t="s">
        <v>11</v>
      </c>
      <c r="E7310">
        <v>23</v>
      </c>
      <c r="F7310" s="2">
        <f>DATE(2026,IF(Tabla1[[#This Row],[Mes de Fecha]]="Septiembre",9,10),Tabla1[[#This Row],[Día de Fecha]])</f>
        <v>46288</v>
      </c>
      <c r="G7310">
        <v>1097402451</v>
      </c>
      <c r="H7310" t="s">
        <v>198</v>
      </c>
      <c r="I7310">
        <v>56</v>
      </c>
      <c r="J7310">
        <v>0</v>
      </c>
      <c r="K7310" s="1">
        <v>2949329</v>
      </c>
    </row>
    <row r="7311" spans="1:11" x14ac:dyDescent="0.25">
      <c r="A7311" t="s">
        <v>9</v>
      </c>
      <c r="B7311" t="s">
        <v>196</v>
      </c>
      <c r="C7311" t="s">
        <v>873</v>
      </c>
      <c r="D7311" t="s">
        <v>11</v>
      </c>
      <c r="E7311">
        <v>24</v>
      </c>
      <c r="F7311" s="2">
        <f>DATE(2026,IF(Tabla1[[#This Row],[Mes de Fecha]]="Septiembre",9,10),Tabla1[[#This Row],[Día de Fecha]])</f>
        <v>46289</v>
      </c>
      <c r="I7311">
        <v>0</v>
      </c>
      <c r="J7311" s="1">
        <v>5423503</v>
      </c>
      <c r="K7311">
        <v>0</v>
      </c>
    </row>
    <row r="7312" spans="1:11" x14ac:dyDescent="0.25">
      <c r="A7312" t="s">
        <v>9</v>
      </c>
      <c r="B7312" t="s">
        <v>196</v>
      </c>
      <c r="C7312" t="s">
        <v>873</v>
      </c>
      <c r="D7312" t="s">
        <v>11</v>
      </c>
      <c r="E7312">
        <v>24</v>
      </c>
      <c r="F7312" s="2">
        <f>DATE(2026,IF(Tabla1[[#This Row],[Mes de Fecha]]="Septiembre",9,10),Tabla1[[#This Row],[Día de Fecha]])</f>
        <v>46289</v>
      </c>
      <c r="G7312">
        <v>1097402102</v>
      </c>
      <c r="H7312" t="s">
        <v>197</v>
      </c>
      <c r="I7312">
        <v>21</v>
      </c>
      <c r="J7312">
        <v>0</v>
      </c>
      <c r="K7312" s="1">
        <v>1053782</v>
      </c>
    </row>
    <row r="7313" spans="1:11" x14ac:dyDescent="0.25">
      <c r="A7313" t="s">
        <v>9</v>
      </c>
      <c r="B7313" t="s">
        <v>196</v>
      </c>
      <c r="C7313" t="s">
        <v>873</v>
      </c>
      <c r="D7313" t="s">
        <v>11</v>
      </c>
      <c r="E7313">
        <v>24</v>
      </c>
      <c r="F7313" s="2">
        <f>DATE(2026,IF(Tabla1[[#This Row],[Mes de Fecha]]="Septiembre",9,10),Tabla1[[#This Row],[Día de Fecha]])</f>
        <v>46289</v>
      </c>
      <c r="G7313">
        <v>1097402451</v>
      </c>
      <c r="H7313" t="s">
        <v>198</v>
      </c>
      <c r="I7313">
        <v>22</v>
      </c>
      <c r="J7313">
        <v>0</v>
      </c>
      <c r="K7313" s="1">
        <v>1425504</v>
      </c>
    </row>
    <row r="7314" spans="1:11" x14ac:dyDescent="0.25">
      <c r="A7314" t="s">
        <v>9</v>
      </c>
      <c r="B7314" t="s">
        <v>196</v>
      </c>
      <c r="C7314" t="s">
        <v>873</v>
      </c>
      <c r="D7314" t="s">
        <v>11</v>
      </c>
      <c r="E7314">
        <v>24</v>
      </c>
      <c r="F7314" s="2">
        <f>DATE(2026,IF(Tabla1[[#This Row],[Mes de Fecha]]="Septiembre",9,10),Tabla1[[#This Row],[Día de Fecha]])</f>
        <v>46289</v>
      </c>
      <c r="G7314">
        <v>1116440683</v>
      </c>
      <c r="H7314" t="s">
        <v>199</v>
      </c>
      <c r="I7314">
        <v>27</v>
      </c>
      <c r="J7314">
        <v>0</v>
      </c>
      <c r="K7314" s="1">
        <v>1677437</v>
      </c>
    </row>
    <row r="7315" spans="1:11" x14ac:dyDescent="0.25">
      <c r="A7315" t="s">
        <v>9</v>
      </c>
      <c r="B7315" t="s">
        <v>196</v>
      </c>
      <c r="C7315" t="s">
        <v>873</v>
      </c>
      <c r="D7315" t="s">
        <v>11</v>
      </c>
      <c r="E7315">
        <v>25</v>
      </c>
      <c r="F7315" s="2">
        <f>DATE(2026,IF(Tabla1[[#This Row],[Mes de Fecha]]="Septiembre",9,10),Tabla1[[#This Row],[Día de Fecha]])</f>
        <v>46290</v>
      </c>
      <c r="I7315">
        <v>0</v>
      </c>
      <c r="J7315" s="1">
        <v>5792599</v>
      </c>
      <c r="K7315">
        <v>0</v>
      </c>
    </row>
    <row r="7316" spans="1:11" x14ac:dyDescent="0.25">
      <c r="A7316" t="s">
        <v>9</v>
      </c>
      <c r="B7316" t="s">
        <v>196</v>
      </c>
      <c r="C7316" t="s">
        <v>873</v>
      </c>
      <c r="D7316" t="s">
        <v>11</v>
      </c>
      <c r="E7316">
        <v>25</v>
      </c>
      <c r="F7316" s="2">
        <f>DATE(2026,IF(Tabla1[[#This Row],[Mes de Fecha]]="Septiembre",9,10),Tabla1[[#This Row],[Día de Fecha]])</f>
        <v>46290</v>
      </c>
      <c r="G7316">
        <v>1097402102</v>
      </c>
      <c r="H7316" t="s">
        <v>197</v>
      </c>
      <c r="I7316">
        <v>27</v>
      </c>
      <c r="J7316">
        <v>0</v>
      </c>
      <c r="K7316" s="1">
        <v>1408531</v>
      </c>
    </row>
    <row r="7317" spans="1:11" x14ac:dyDescent="0.25">
      <c r="A7317" t="s">
        <v>9</v>
      </c>
      <c r="B7317" t="s">
        <v>196</v>
      </c>
      <c r="C7317" t="s">
        <v>873</v>
      </c>
      <c r="D7317" t="s">
        <v>11</v>
      </c>
      <c r="E7317">
        <v>25</v>
      </c>
      <c r="F7317" s="2">
        <f>DATE(2026,IF(Tabla1[[#This Row],[Mes de Fecha]]="Septiembre",9,10),Tabla1[[#This Row],[Día de Fecha]])</f>
        <v>46290</v>
      </c>
      <c r="G7317">
        <v>1097402451</v>
      </c>
      <c r="H7317" t="s">
        <v>198</v>
      </c>
      <c r="I7317">
        <v>18</v>
      </c>
      <c r="J7317">
        <v>0</v>
      </c>
      <c r="K7317" s="1">
        <v>801766</v>
      </c>
    </row>
    <row r="7318" spans="1:11" x14ac:dyDescent="0.25">
      <c r="A7318" t="s">
        <v>9</v>
      </c>
      <c r="B7318" t="s">
        <v>196</v>
      </c>
      <c r="C7318" t="s">
        <v>873</v>
      </c>
      <c r="D7318" t="s">
        <v>11</v>
      </c>
      <c r="E7318">
        <v>25</v>
      </c>
      <c r="F7318" s="2">
        <f>DATE(2026,IF(Tabla1[[#This Row],[Mes de Fecha]]="Septiembre",9,10),Tabla1[[#This Row],[Día de Fecha]])</f>
        <v>46290</v>
      </c>
      <c r="G7318">
        <v>1116440683</v>
      </c>
      <c r="H7318" t="s">
        <v>199</v>
      </c>
      <c r="I7318">
        <v>21</v>
      </c>
      <c r="J7318">
        <v>0</v>
      </c>
      <c r="K7318" s="1">
        <v>1087356</v>
      </c>
    </row>
    <row r="7319" spans="1:11" x14ac:dyDescent="0.25">
      <c r="A7319" t="s">
        <v>9</v>
      </c>
      <c r="B7319" t="s">
        <v>196</v>
      </c>
      <c r="C7319" t="s">
        <v>873</v>
      </c>
      <c r="D7319" t="s">
        <v>11</v>
      </c>
      <c r="E7319">
        <v>26</v>
      </c>
      <c r="F7319" s="2">
        <f>DATE(2026,IF(Tabla1[[#This Row],[Mes de Fecha]]="Septiembre",9,10),Tabla1[[#This Row],[Día de Fecha]])</f>
        <v>46291</v>
      </c>
      <c r="I7319">
        <v>0</v>
      </c>
      <c r="J7319" s="1">
        <v>7304319</v>
      </c>
      <c r="K7319">
        <v>0</v>
      </c>
    </row>
    <row r="7320" spans="1:11" x14ac:dyDescent="0.25">
      <c r="A7320" t="s">
        <v>9</v>
      </c>
      <c r="B7320" t="s">
        <v>196</v>
      </c>
      <c r="C7320" t="s">
        <v>873</v>
      </c>
      <c r="D7320" t="s">
        <v>11</v>
      </c>
      <c r="E7320">
        <v>26</v>
      </c>
      <c r="F7320" s="2">
        <f>DATE(2026,IF(Tabla1[[#This Row],[Mes de Fecha]]="Septiembre",9,10),Tabla1[[#This Row],[Día de Fecha]])</f>
        <v>46291</v>
      </c>
      <c r="G7320">
        <v>1097402102</v>
      </c>
      <c r="H7320" t="s">
        <v>197</v>
      </c>
      <c r="I7320">
        <v>45</v>
      </c>
      <c r="J7320">
        <v>0</v>
      </c>
      <c r="K7320" s="1">
        <v>2346434</v>
      </c>
    </row>
    <row r="7321" spans="1:11" x14ac:dyDescent="0.25">
      <c r="A7321" t="s">
        <v>9</v>
      </c>
      <c r="B7321" t="s">
        <v>196</v>
      </c>
      <c r="C7321" t="s">
        <v>873</v>
      </c>
      <c r="D7321" t="s">
        <v>11</v>
      </c>
      <c r="E7321">
        <v>26</v>
      </c>
      <c r="F7321" s="2">
        <f>DATE(2026,IF(Tabla1[[#This Row],[Mes de Fecha]]="Septiembre",9,10),Tabla1[[#This Row],[Día de Fecha]])</f>
        <v>46291</v>
      </c>
      <c r="G7321">
        <v>1097402451</v>
      </c>
      <c r="H7321" t="s">
        <v>198</v>
      </c>
      <c r="I7321">
        <v>42</v>
      </c>
      <c r="J7321">
        <v>0</v>
      </c>
      <c r="K7321" s="1">
        <v>2180717</v>
      </c>
    </row>
    <row r="7322" spans="1:11" x14ac:dyDescent="0.25">
      <c r="A7322" t="s">
        <v>9</v>
      </c>
      <c r="B7322" t="s">
        <v>196</v>
      </c>
      <c r="C7322" t="s">
        <v>873</v>
      </c>
      <c r="D7322" t="s">
        <v>11</v>
      </c>
      <c r="E7322">
        <v>26</v>
      </c>
      <c r="F7322" s="2">
        <f>DATE(2026,IF(Tabla1[[#This Row],[Mes de Fecha]]="Septiembre",9,10),Tabla1[[#This Row],[Día de Fecha]])</f>
        <v>46291</v>
      </c>
      <c r="G7322">
        <v>1116440683</v>
      </c>
      <c r="H7322" t="s">
        <v>199</v>
      </c>
      <c r="I7322">
        <v>24</v>
      </c>
      <c r="J7322">
        <v>0</v>
      </c>
      <c r="K7322" s="1">
        <v>1068320</v>
      </c>
    </row>
    <row r="7323" spans="1:11" x14ac:dyDescent="0.25">
      <c r="A7323" t="s">
        <v>9</v>
      </c>
      <c r="B7323" t="s">
        <v>196</v>
      </c>
      <c r="C7323" t="s">
        <v>873</v>
      </c>
      <c r="D7323" t="s">
        <v>11</v>
      </c>
      <c r="E7323">
        <v>27</v>
      </c>
      <c r="F7323" s="2">
        <f>DATE(2026,IF(Tabla1[[#This Row],[Mes de Fecha]]="Septiembre",9,10),Tabla1[[#This Row],[Día de Fecha]])</f>
        <v>46292</v>
      </c>
      <c r="I7323">
        <v>0</v>
      </c>
      <c r="J7323" s="1">
        <v>3856611</v>
      </c>
      <c r="K7323">
        <v>0</v>
      </c>
    </row>
    <row r="7324" spans="1:11" x14ac:dyDescent="0.25">
      <c r="A7324" t="s">
        <v>9</v>
      </c>
      <c r="B7324" t="s">
        <v>196</v>
      </c>
      <c r="C7324" t="s">
        <v>873</v>
      </c>
      <c r="D7324" t="s">
        <v>11</v>
      </c>
      <c r="E7324">
        <v>27</v>
      </c>
      <c r="F7324" s="2">
        <f>DATE(2026,IF(Tabla1[[#This Row],[Mes de Fecha]]="Septiembre",9,10),Tabla1[[#This Row],[Día de Fecha]])</f>
        <v>46292</v>
      </c>
      <c r="G7324">
        <v>1097402102</v>
      </c>
      <c r="H7324" t="s">
        <v>197</v>
      </c>
      <c r="I7324">
        <v>29</v>
      </c>
      <c r="J7324">
        <v>0</v>
      </c>
      <c r="K7324" s="1">
        <v>1508992</v>
      </c>
    </row>
    <row r="7325" spans="1:11" x14ac:dyDescent="0.25">
      <c r="A7325" t="s">
        <v>9</v>
      </c>
      <c r="B7325" t="s">
        <v>196</v>
      </c>
      <c r="C7325" t="s">
        <v>873</v>
      </c>
      <c r="D7325" t="s">
        <v>11</v>
      </c>
      <c r="E7325">
        <v>27</v>
      </c>
      <c r="F7325" s="2">
        <f>DATE(2026,IF(Tabla1[[#This Row],[Mes de Fecha]]="Septiembre",9,10),Tabla1[[#This Row],[Día de Fecha]])</f>
        <v>46292</v>
      </c>
      <c r="G7325">
        <v>1097402451</v>
      </c>
      <c r="H7325" t="s">
        <v>198</v>
      </c>
      <c r="I7325">
        <v>19</v>
      </c>
      <c r="J7325">
        <v>0</v>
      </c>
      <c r="K7325" s="1">
        <v>1259538</v>
      </c>
    </row>
    <row r="7326" spans="1:11" x14ac:dyDescent="0.25">
      <c r="A7326" t="s">
        <v>9</v>
      </c>
      <c r="B7326" t="s">
        <v>196</v>
      </c>
      <c r="C7326" t="s">
        <v>873</v>
      </c>
      <c r="D7326" t="s">
        <v>11</v>
      </c>
      <c r="E7326">
        <v>28</v>
      </c>
      <c r="F7326" s="2">
        <f>DATE(2026,IF(Tabla1[[#This Row],[Mes de Fecha]]="Septiembre",9,10),Tabla1[[#This Row],[Día de Fecha]])</f>
        <v>46293</v>
      </c>
      <c r="I7326">
        <v>0</v>
      </c>
      <c r="J7326" s="1">
        <v>3162002</v>
      </c>
      <c r="K7326">
        <v>0</v>
      </c>
    </row>
    <row r="7327" spans="1:11" x14ac:dyDescent="0.25">
      <c r="A7327" t="s">
        <v>9</v>
      </c>
      <c r="B7327" t="s">
        <v>196</v>
      </c>
      <c r="C7327" t="s">
        <v>873</v>
      </c>
      <c r="D7327" t="s">
        <v>11</v>
      </c>
      <c r="E7327">
        <v>28</v>
      </c>
      <c r="F7327" s="2">
        <f>DATE(2026,IF(Tabla1[[#This Row],[Mes de Fecha]]="Septiembre",9,10),Tabla1[[#This Row],[Día de Fecha]])</f>
        <v>46293</v>
      </c>
      <c r="G7327">
        <v>1097402102</v>
      </c>
      <c r="H7327" t="s">
        <v>197</v>
      </c>
      <c r="I7327">
        <v>22</v>
      </c>
      <c r="J7327">
        <v>0</v>
      </c>
      <c r="K7327" s="1">
        <v>1190252</v>
      </c>
    </row>
    <row r="7328" spans="1:11" x14ac:dyDescent="0.25">
      <c r="A7328" t="s">
        <v>9</v>
      </c>
      <c r="B7328" t="s">
        <v>196</v>
      </c>
      <c r="C7328" t="s">
        <v>873</v>
      </c>
      <c r="D7328" t="s">
        <v>11</v>
      </c>
      <c r="E7328">
        <v>28</v>
      </c>
      <c r="F7328" s="2">
        <f>DATE(2026,IF(Tabla1[[#This Row],[Mes de Fecha]]="Septiembre",9,10),Tabla1[[#This Row],[Día de Fecha]])</f>
        <v>46293</v>
      </c>
      <c r="G7328">
        <v>1116440683</v>
      </c>
      <c r="H7328" t="s">
        <v>199</v>
      </c>
      <c r="I7328">
        <v>23</v>
      </c>
      <c r="J7328">
        <v>0</v>
      </c>
      <c r="K7328" s="1">
        <v>1368698</v>
      </c>
    </row>
    <row r="7329" spans="1:11" x14ac:dyDescent="0.25">
      <c r="A7329" t="s">
        <v>9</v>
      </c>
      <c r="B7329" t="s">
        <v>196</v>
      </c>
      <c r="C7329" t="s">
        <v>873</v>
      </c>
      <c r="D7329" t="s">
        <v>11</v>
      </c>
      <c r="E7329">
        <v>29</v>
      </c>
      <c r="F7329" s="2">
        <f>DATE(2026,IF(Tabla1[[#This Row],[Mes de Fecha]]="Septiembre",9,10),Tabla1[[#This Row],[Día de Fecha]])</f>
        <v>46294</v>
      </c>
      <c r="I7329">
        <v>0</v>
      </c>
      <c r="J7329" s="1">
        <v>3515208</v>
      </c>
      <c r="K7329">
        <v>0</v>
      </c>
    </row>
    <row r="7330" spans="1:11" x14ac:dyDescent="0.25">
      <c r="A7330" t="s">
        <v>9</v>
      </c>
      <c r="B7330" t="s">
        <v>196</v>
      </c>
      <c r="C7330" t="s">
        <v>873</v>
      </c>
      <c r="D7330" t="s">
        <v>11</v>
      </c>
      <c r="E7330">
        <v>29</v>
      </c>
      <c r="F7330" s="2">
        <f>DATE(2026,IF(Tabla1[[#This Row],[Mes de Fecha]]="Septiembre",9,10),Tabla1[[#This Row],[Día de Fecha]])</f>
        <v>46294</v>
      </c>
      <c r="G7330">
        <v>1097402451</v>
      </c>
      <c r="H7330" t="s">
        <v>198</v>
      </c>
      <c r="I7330">
        <v>17</v>
      </c>
      <c r="J7330">
        <v>0</v>
      </c>
      <c r="K7330" s="1">
        <v>700675</v>
      </c>
    </row>
    <row r="7331" spans="1:11" x14ac:dyDescent="0.25">
      <c r="A7331" t="s">
        <v>9</v>
      </c>
      <c r="B7331" t="s">
        <v>196</v>
      </c>
      <c r="C7331" t="s">
        <v>873</v>
      </c>
      <c r="D7331" t="s">
        <v>11</v>
      </c>
      <c r="E7331">
        <v>29</v>
      </c>
      <c r="F7331" s="2">
        <f>DATE(2026,IF(Tabla1[[#This Row],[Mes de Fecha]]="Septiembre",9,10),Tabla1[[#This Row],[Día de Fecha]])</f>
        <v>46294</v>
      </c>
      <c r="G7331">
        <v>1116440683</v>
      </c>
      <c r="H7331" t="s">
        <v>199</v>
      </c>
      <c r="I7331">
        <v>20</v>
      </c>
      <c r="J7331">
        <v>0</v>
      </c>
      <c r="K7331" s="1">
        <v>1141809</v>
      </c>
    </row>
    <row r="7332" spans="1:11" x14ac:dyDescent="0.25">
      <c r="A7332" t="s">
        <v>9</v>
      </c>
      <c r="B7332" t="s">
        <v>196</v>
      </c>
      <c r="C7332" t="s">
        <v>873</v>
      </c>
      <c r="D7332" t="s">
        <v>11</v>
      </c>
      <c r="E7332">
        <v>30</v>
      </c>
      <c r="F7332" s="2">
        <f>DATE(2026,IF(Tabla1[[#This Row],[Mes de Fecha]]="Septiembre",9,10),Tabla1[[#This Row],[Día de Fecha]])</f>
        <v>46295</v>
      </c>
      <c r="I7332">
        <v>0</v>
      </c>
      <c r="J7332" s="1">
        <v>3722722</v>
      </c>
      <c r="K7332">
        <v>0</v>
      </c>
    </row>
    <row r="7333" spans="1:11" x14ac:dyDescent="0.25">
      <c r="A7333" t="s">
        <v>9</v>
      </c>
      <c r="B7333" t="s">
        <v>196</v>
      </c>
      <c r="C7333" t="s">
        <v>873</v>
      </c>
      <c r="D7333" t="s">
        <v>11</v>
      </c>
      <c r="E7333">
        <v>30</v>
      </c>
      <c r="F7333" s="2">
        <f>DATE(2026,IF(Tabla1[[#This Row],[Mes de Fecha]]="Septiembre",9,10),Tabla1[[#This Row],[Día de Fecha]])</f>
        <v>46295</v>
      </c>
      <c r="G7333">
        <v>1097402102</v>
      </c>
      <c r="H7333" t="s">
        <v>197</v>
      </c>
      <c r="I7333">
        <v>22</v>
      </c>
      <c r="J7333">
        <v>0</v>
      </c>
      <c r="K7333" s="1">
        <v>1419202</v>
      </c>
    </row>
    <row r="7334" spans="1:11" x14ac:dyDescent="0.25">
      <c r="A7334" t="s">
        <v>9</v>
      </c>
      <c r="B7334" t="s">
        <v>196</v>
      </c>
      <c r="C7334" t="s">
        <v>873</v>
      </c>
      <c r="D7334" t="s">
        <v>11</v>
      </c>
      <c r="E7334">
        <v>30</v>
      </c>
      <c r="F7334" s="2">
        <f>DATE(2026,IF(Tabla1[[#This Row],[Mes de Fecha]]="Septiembre",9,10),Tabla1[[#This Row],[Día de Fecha]])</f>
        <v>46295</v>
      </c>
      <c r="G7334">
        <v>1097402451</v>
      </c>
      <c r="H7334" t="s">
        <v>198</v>
      </c>
      <c r="I7334">
        <v>23</v>
      </c>
      <c r="J7334">
        <v>0</v>
      </c>
      <c r="K7334" s="1">
        <v>1368658</v>
      </c>
    </row>
    <row r="7335" spans="1:11" x14ac:dyDescent="0.25">
      <c r="A7335" t="s">
        <v>9</v>
      </c>
      <c r="B7335" t="s">
        <v>196</v>
      </c>
      <c r="C7335" t="s">
        <v>873</v>
      </c>
      <c r="D7335" t="s">
        <v>14</v>
      </c>
      <c r="E7335">
        <v>1</v>
      </c>
      <c r="F7335" s="2">
        <f>DATE(2026,IF(Tabla1[[#This Row],[Mes de Fecha]]="Septiembre",9,10),Tabla1[[#This Row],[Día de Fecha]])</f>
        <v>46296</v>
      </c>
      <c r="I7335">
        <v>0</v>
      </c>
      <c r="J7335" s="1">
        <v>6279712</v>
      </c>
      <c r="K7335">
        <v>0</v>
      </c>
    </row>
    <row r="7336" spans="1:11" x14ac:dyDescent="0.25">
      <c r="A7336" t="s">
        <v>9</v>
      </c>
      <c r="B7336" t="s">
        <v>196</v>
      </c>
      <c r="C7336" t="s">
        <v>873</v>
      </c>
      <c r="D7336" t="s">
        <v>14</v>
      </c>
      <c r="E7336">
        <v>1</v>
      </c>
      <c r="F7336" s="2">
        <f>DATE(2026,IF(Tabla1[[#This Row],[Mes de Fecha]]="Septiembre",9,10),Tabla1[[#This Row],[Día de Fecha]])</f>
        <v>46296</v>
      </c>
      <c r="G7336">
        <v>1097402451</v>
      </c>
      <c r="H7336" t="s">
        <v>198</v>
      </c>
      <c r="I7336">
        <v>57</v>
      </c>
      <c r="J7336">
        <v>0</v>
      </c>
      <c r="K7336" s="1">
        <v>3219919</v>
      </c>
    </row>
    <row r="7337" spans="1:11" x14ac:dyDescent="0.25">
      <c r="A7337" t="s">
        <v>9</v>
      </c>
      <c r="B7337" t="s">
        <v>196</v>
      </c>
      <c r="C7337" t="s">
        <v>873</v>
      </c>
      <c r="D7337" t="s">
        <v>14</v>
      </c>
      <c r="E7337">
        <v>2</v>
      </c>
      <c r="F7337" s="2">
        <f>DATE(2026,IF(Tabla1[[#This Row],[Mes de Fecha]]="Septiembre",9,10),Tabla1[[#This Row],[Día de Fecha]])</f>
        <v>46297</v>
      </c>
      <c r="I7337">
        <v>0</v>
      </c>
      <c r="J7337" s="1">
        <v>6521103</v>
      </c>
      <c r="K7337">
        <v>0</v>
      </c>
    </row>
    <row r="7338" spans="1:11" x14ac:dyDescent="0.25">
      <c r="A7338" t="s">
        <v>9</v>
      </c>
      <c r="B7338" t="s">
        <v>196</v>
      </c>
      <c r="C7338" t="s">
        <v>873</v>
      </c>
      <c r="D7338" t="s">
        <v>14</v>
      </c>
      <c r="E7338">
        <v>2</v>
      </c>
      <c r="F7338" s="2">
        <f>DATE(2026,IF(Tabla1[[#This Row],[Mes de Fecha]]="Septiembre",9,10),Tabla1[[#This Row],[Día de Fecha]])</f>
        <v>46297</v>
      </c>
      <c r="G7338">
        <v>1097402451</v>
      </c>
      <c r="H7338" t="s">
        <v>198</v>
      </c>
      <c r="I7338">
        <v>46</v>
      </c>
      <c r="J7338">
        <v>0</v>
      </c>
      <c r="K7338" s="1">
        <v>2638572</v>
      </c>
    </row>
    <row r="7339" spans="1:11" x14ac:dyDescent="0.25">
      <c r="A7339" t="s">
        <v>9</v>
      </c>
      <c r="B7339" t="s">
        <v>196</v>
      </c>
      <c r="C7339" t="s">
        <v>873</v>
      </c>
      <c r="D7339" t="s">
        <v>14</v>
      </c>
      <c r="E7339">
        <v>2</v>
      </c>
      <c r="F7339" s="2">
        <f>DATE(2026,IF(Tabla1[[#This Row],[Mes de Fecha]]="Septiembre",9,10),Tabla1[[#This Row],[Día de Fecha]])</f>
        <v>46297</v>
      </c>
      <c r="G7339">
        <v>1116440683</v>
      </c>
      <c r="H7339" t="s">
        <v>199</v>
      </c>
      <c r="I7339">
        <v>17</v>
      </c>
      <c r="J7339">
        <v>0</v>
      </c>
      <c r="K7339" s="1">
        <v>1095757</v>
      </c>
    </row>
    <row r="7340" spans="1:11" x14ac:dyDescent="0.25">
      <c r="A7340" t="s">
        <v>9</v>
      </c>
      <c r="B7340" t="s">
        <v>196</v>
      </c>
      <c r="C7340" t="s">
        <v>873</v>
      </c>
      <c r="D7340" t="s">
        <v>14</v>
      </c>
      <c r="E7340">
        <v>3</v>
      </c>
      <c r="F7340" s="2">
        <f>DATE(2026,IF(Tabla1[[#This Row],[Mes de Fecha]]="Septiembre",9,10),Tabla1[[#This Row],[Día de Fecha]])</f>
        <v>46298</v>
      </c>
      <c r="I7340">
        <v>0</v>
      </c>
      <c r="J7340" s="1">
        <v>7038478</v>
      </c>
      <c r="K7340">
        <v>0</v>
      </c>
    </row>
    <row r="7341" spans="1:11" x14ac:dyDescent="0.25">
      <c r="A7341" t="s">
        <v>9</v>
      </c>
      <c r="B7341" t="s">
        <v>196</v>
      </c>
      <c r="C7341" t="s">
        <v>873</v>
      </c>
      <c r="D7341" t="s">
        <v>14</v>
      </c>
      <c r="E7341">
        <v>3</v>
      </c>
      <c r="F7341" s="2">
        <f>DATE(2026,IF(Tabla1[[#This Row],[Mes de Fecha]]="Septiembre",9,10),Tabla1[[#This Row],[Día de Fecha]])</f>
        <v>46298</v>
      </c>
      <c r="G7341">
        <v>1097402451</v>
      </c>
      <c r="H7341" t="s">
        <v>198</v>
      </c>
      <c r="I7341">
        <v>48</v>
      </c>
      <c r="J7341">
        <v>0</v>
      </c>
      <c r="K7341" s="1">
        <v>2726877</v>
      </c>
    </row>
    <row r="7342" spans="1:11" x14ac:dyDescent="0.25">
      <c r="A7342" t="s">
        <v>9</v>
      </c>
      <c r="B7342" t="s">
        <v>196</v>
      </c>
      <c r="C7342" t="s">
        <v>873</v>
      </c>
      <c r="D7342" t="s">
        <v>14</v>
      </c>
      <c r="E7342">
        <v>3</v>
      </c>
      <c r="F7342" s="2">
        <f>DATE(2026,IF(Tabla1[[#This Row],[Mes de Fecha]]="Septiembre",9,10),Tabla1[[#This Row],[Día de Fecha]])</f>
        <v>46298</v>
      </c>
      <c r="G7342">
        <v>1116440683</v>
      </c>
      <c r="H7342" t="s">
        <v>199</v>
      </c>
      <c r="I7342">
        <v>44</v>
      </c>
      <c r="J7342">
        <v>0</v>
      </c>
      <c r="K7342" s="1">
        <v>2326567</v>
      </c>
    </row>
    <row r="7343" spans="1:11" x14ac:dyDescent="0.25">
      <c r="A7343" t="s">
        <v>9</v>
      </c>
      <c r="B7343" t="s">
        <v>196</v>
      </c>
      <c r="C7343" t="s">
        <v>873</v>
      </c>
      <c r="D7343" t="s">
        <v>14</v>
      </c>
      <c r="E7343">
        <v>4</v>
      </c>
      <c r="F7343" s="2">
        <f>DATE(2026,IF(Tabla1[[#This Row],[Mes de Fecha]]="Septiembre",9,10),Tabla1[[#This Row],[Día de Fecha]])</f>
        <v>46299</v>
      </c>
      <c r="I7343">
        <v>0</v>
      </c>
      <c r="J7343" s="1">
        <v>3817433</v>
      </c>
      <c r="K7343">
        <v>0</v>
      </c>
    </row>
    <row r="7344" spans="1:11" x14ac:dyDescent="0.25">
      <c r="A7344" t="s">
        <v>9</v>
      </c>
      <c r="B7344" t="s">
        <v>196</v>
      </c>
      <c r="C7344" t="s">
        <v>873</v>
      </c>
      <c r="D7344" t="s">
        <v>14</v>
      </c>
      <c r="E7344">
        <v>4</v>
      </c>
      <c r="F7344" s="2">
        <f>DATE(2026,IF(Tabla1[[#This Row],[Mes de Fecha]]="Septiembre",9,10),Tabla1[[#This Row],[Día de Fecha]])</f>
        <v>46299</v>
      </c>
      <c r="G7344">
        <v>1097402451</v>
      </c>
      <c r="H7344" t="s">
        <v>198</v>
      </c>
      <c r="I7344">
        <v>1</v>
      </c>
      <c r="J7344">
        <v>0</v>
      </c>
      <c r="K7344" s="1">
        <v>67185</v>
      </c>
    </row>
    <row r="7345" spans="1:11" x14ac:dyDescent="0.25">
      <c r="A7345" t="s">
        <v>9</v>
      </c>
      <c r="B7345" t="s">
        <v>196</v>
      </c>
      <c r="C7345" t="s">
        <v>873</v>
      </c>
      <c r="D7345" t="s">
        <v>14</v>
      </c>
      <c r="E7345">
        <v>4</v>
      </c>
      <c r="F7345" s="2">
        <f>DATE(2026,IF(Tabla1[[#This Row],[Mes de Fecha]]="Septiembre",9,10),Tabla1[[#This Row],[Día de Fecha]])</f>
        <v>46299</v>
      </c>
      <c r="G7345">
        <v>1116440683</v>
      </c>
      <c r="H7345" t="s">
        <v>199</v>
      </c>
      <c r="I7345">
        <v>45</v>
      </c>
      <c r="J7345">
        <v>0</v>
      </c>
      <c r="K7345" s="1">
        <v>2684708</v>
      </c>
    </row>
    <row r="7346" spans="1:11" x14ac:dyDescent="0.25">
      <c r="A7346" t="s">
        <v>9</v>
      </c>
      <c r="B7346" t="s">
        <v>196</v>
      </c>
      <c r="C7346" t="s">
        <v>873</v>
      </c>
      <c r="D7346" t="s">
        <v>14</v>
      </c>
      <c r="E7346">
        <v>5</v>
      </c>
      <c r="F7346" s="2">
        <f>DATE(2026,IF(Tabla1[[#This Row],[Mes de Fecha]]="Septiembre",9,10),Tabla1[[#This Row],[Día de Fecha]])</f>
        <v>46300</v>
      </c>
      <c r="I7346">
        <v>0</v>
      </c>
      <c r="J7346" s="1">
        <v>4110087</v>
      </c>
      <c r="K7346">
        <v>0</v>
      </c>
    </row>
    <row r="7347" spans="1:11" x14ac:dyDescent="0.25">
      <c r="A7347" t="s">
        <v>9</v>
      </c>
      <c r="B7347" t="s">
        <v>196</v>
      </c>
      <c r="C7347" t="s">
        <v>873</v>
      </c>
      <c r="D7347" t="s">
        <v>14</v>
      </c>
      <c r="E7347">
        <v>5</v>
      </c>
      <c r="F7347" s="2">
        <f>DATE(2026,IF(Tabla1[[#This Row],[Mes de Fecha]]="Septiembre",9,10),Tabla1[[#This Row],[Día de Fecha]])</f>
        <v>46300</v>
      </c>
      <c r="G7347">
        <v>1097402451</v>
      </c>
      <c r="H7347" t="s">
        <v>198</v>
      </c>
      <c r="I7347">
        <v>50</v>
      </c>
      <c r="J7347">
        <v>0</v>
      </c>
      <c r="K7347" s="1">
        <v>2920245</v>
      </c>
    </row>
    <row r="7348" spans="1:11" x14ac:dyDescent="0.25">
      <c r="A7348" t="s">
        <v>9</v>
      </c>
      <c r="B7348" t="s">
        <v>196</v>
      </c>
      <c r="C7348" t="s">
        <v>873</v>
      </c>
      <c r="D7348" t="s">
        <v>14</v>
      </c>
      <c r="E7348">
        <v>5</v>
      </c>
      <c r="F7348" s="2">
        <f>DATE(2026,IF(Tabla1[[#This Row],[Mes de Fecha]]="Septiembre",9,10),Tabla1[[#This Row],[Día de Fecha]])</f>
        <v>46300</v>
      </c>
      <c r="G7348">
        <v>1116440683</v>
      </c>
      <c r="H7348" t="s">
        <v>199</v>
      </c>
      <c r="I7348">
        <v>29</v>
      </c>
      <c r="J7348">
        <v>0</v>
      </c>
      <c r="K7348" s="1">
        <v>1481851</v>
      </c>
    </row>
    <row r="7349" spans="1:11" x14ac:dyDescent="0.25">
      <c r="A7349" t="s">
        <v>9</v>
      </c>
      <c r="B7349" t="s">
        <v>196</v>
      </c>
      <c r="C7349" t="s">
        <v>873</v>
      </c>
      <c r="D7349" t="s">
        <v>14</v>
      </c>
      <c r="E7349">
        <v>6</v>
      </c>
      <c r="F7349" s="2">
        <f>DATE(2026,IF(Tabla1[[#This Row],[Mes de Fecha]]="Septiembre",9,10),Tabla1[[#This Row],[Día de Fecha]])</f>
        <v>46301</v>
      </c>
      <c r="I7349">
        <v>0</v>
      </c>
      <c r="J7349" s="1">
        <v>1807215</v>
      </c>
      <c r="K7349">
        <v>0</v>
      </c>
    </row>
    <row r="7350" spans="1:11" x14ac:dyDescent="0.25">
      <c r="A7350" t="s">
        <v>9</v>
      </c>
      <c r="B7350" t="s">
        <v>196</v>
      </c>
      <c r="C7350" t="s">
        <v>873</v>
      </c>
      <c r="D7350" t="s">
        <v>14</v>
      </c>
      <c r="E7350">
        <v>6</v>
      </c>
      <c r="F7350" s="2">
        <f>DATE(2026,IF(Tabla1[[#This Row],[Mes de Fecha]]="Septiembre",9,10),Tabla1[[#This Row],[Día de Fecha]])</f>
        <v>46301</v>
      </c>
      <c r="G7350">
        <v>1097402451</v>
      </c>
      <c r="H7350" t="s">
        <v>198</v>
      </c>
      <c r="I7350">
        <v>43</v>
      </c>
      <c r="J7350">
        <v>0</v>
      </c>
      <c r="K7350" s="1">
        <v>2329352</v>
      </c>
    </row>
    <row r="7351" spans="1:11" x14ac:dyDescent="0.25">
      <c r="A7351" t="s">
        <v>9</v>
      </c>
      <c r="B7351" t="s">
        <v>196</v>
      </c>
      <c r="C7351" t="s">
        <v>873</v>
      </c>
      <c r="D7351" t="s">
        <v>14</v>
      </c>
      <c r="E7351">
        <v>6</v>
      </c>
      <c r="F7351" s="2">
        <f>DATE(2026,IF(Tabla1[[#This Row],[Mes de Fecha]]="Septiembre",9,10),Tabla1[[#This Row],[Día de Fecha]])</f>
        <v>46301</v>
      </c>
      <c r="G7351">
        <v>1116440683</v>
      </c>
      <c r="H7351" t="s">
        <v>199</v>
      </c>
      <c r="I7351">
        <v>20</v>
      </c>
      <c r="J7351">
        <v>0</v>
      </c>
      <c r="K7351" s="1">
        <v>1014606</v>
      </c>
    </row>
    <row r="7352" spans="1:11" x14ac:dyDescent="0.25">
      <c r="A7352" t="s">
        <v>9</v>
      </c>
      <c r="B7352" t="s">
        <v>196</v>
      </c>
      <c r="C7352" t="s">
        <v>873</v>
      </c>
      <c r="D7352" t="s">
        <v>14</v>
      </c>
      <c r="E7352">
        <v>7</v>
      </c>
      <c r="F7352" s="2">
        <f>DATE(2026,IF(Tabla1[[#This Row],[Mes de Fecha]]="Septiembre",9,10),Tabla1[[#This Row],[Día de Fecha]])</f>
        <v>46302</v>
      </c>
      <c r="I7352">
        <v>0</v>
      </c>
      <c r="J7352" s="1">
        <v>1429400</v>
      </c>
      <c r="K7352">
        <v>0</v>
      </c>
    </row>
    <row r="7353" spans="1:11" x14ac:dyDescent="0.25">
      <c r="A7353" t="s">
        <v>9</v>
      </c>
      <c r="B7353" t="s">
        <v>196</v>
      </c>
      <c r="C7353" t="s">
        <v>873</v>
      </c>
      <c r="D7353" t="s">
        <v>14</v>
      </c>
      <c r="E7353">
        <v>7</v>
      </c>
      <c r="F7353" s="2">
        <f>DATE(2026,IF(Tabla1[[#This Row],[Mes de Fecha]]="Septiembre",9,10),Tabla1[[#This Row],[Día de Fecha]])</f>
        <v>46302</v>
      </c>
      <c r="G7353">
        <v>1097402451</v>
      </c>
      <c r="H7353" t="s">
        <v>198</v>
      </c>
      <c r="I7353">
        <v>35</v>
      </c>
      <c r="J7353">
        <v>0</v>
      </c>
      <c r="K7353" s="1">
        <v>1718908</v>
      </c>
    </row>
    <row r="7354" spans="1:11" x14ac:dyDescent="0.25">
      <c r="A7354" t="s">
        <v>9</v>
      </c>
      <c r="B7354" t="s">
        <v>196</v>
      </c>
      <c r="C7354" t="s">
        <v>873</v>
      </c>
      <c r="D7354" t="s">
        <v>14</v>
      </c>
      <c r="E7354">
        <v>7</v>
      </c>
      <c r="F7354" s="2">
        <f>DATE(2026,IF(Tabla1[[#This Row],[Mes de Fecha]]="Septiembre",9,10),Tabla1[[#This Row],[Día de Fecha]])</f>
        <v>46302</v>
      </c>
      <c r="G7354">
        <v>1116440683</v>
      </c>
      <c r="H7354" t="s">
        <v>199</v>
      </c>
      <c r="I7354">
        <v>37</v>
      </c>
      <c r="J7354">
        <v>0</v>
      </c>
      <c r="K7354" s="1">
        <v>2065548</v>
      </c>
    </row>
    <row r="7355" spans="1:11" x14ac:dyDescent="0.25">
      <c r="A7355" t="s">
        <v>9</v>
      </c>
      <c r="B7355" t="s">
        <v>250</v>
      </c>
      <c r="C7355" t="s">
        <v>873</v>
      </c>
      <c r="D7355" t="s">
        <v>11</v>
      </c>
      <c r="E7355">
        <v>23</v>
      </c>
      <c r="F7355" s="2">
        <f>DATE(2026,IF(Tabla1[[#This Row],[Mes de Fecha]]="Septiembre",9,10),Tabla1[[#This Row],[Día de Fecha]])</f>
        <v>46288</v>
      </c>
      <c r="I7355">
        <v>0</v>
      </c>
      <c r="J7355" s="1">
        <v>2683900</v>
      </c>
      <c r="K7355">
        <v>0</v>
      </c>
    </row>
    <row r="7356" spans="1:11" x14ac:dyDescent="0.25">
      <c r="A7356" t="s">
        <v>9</v>
      </c>
      <c r="B7356" t="s">
        <v>250</v>
      </c>
      <c r="C7356" t="s">
        <v>873</v>
      </c>
      <c r="D7356" t="s">
        <v>11</v>
      </c>
      <c r="E7356">
        <v>23</v>
      </c>
      <c r="F7356" s="2">
        <f>DATE(2026,IF(Tabla1[[#This Row],[Mes de Fecha]]="Septiembre",9,10),Tabla1[[#This Row],[Día de Fecha]])</f>
        <v>46288</v>
      </c>
      <c r="G7356">
        <v>1087549195</v>
      </c>
      <c r="H7356" t="s">
        <v>253</v>
      </c>
      <c r="I7356">
        <v>51</v>
      </c>
      <c r="J7356">
        <v>0</v>
      </c>
      <c r="K7356" s="1">
        <v>2546219</v>
      </c>
    </row>
    <row r="7357" spans="1:11" x14ac:dyDescent="0.25">
      <c r="A7357" t="s">
        <v>9</v>
      </c>
      <c r="B7357" t="s">
        <v>250</v>
      </c>
      <c r="C7357" t="s">
        <v>873</v>
      </c>
      <c r="D7357" t="s">
        <v>11</v>
      </c>
      <c r="E7357">
        <v>23</v>
      </c>
      <c r="F7357" s="2">
        <f>DATE(2026,IF(Tabla1[[#This Row],[Mes de Fecha]]="Septiembre",9,10),Tabla1[[#This Row],[Día de Fecha]])</f>
        <v>46288</v>
      </c>
      <c r="G7357">
        <v>1087553241</v>
      </c>
      <c r="H7357" t="s">
        <v>251</v>
      </c>
      <c r="I7357">
        <v>33</v>
      </c>
      <c r="J7357">
        <v>0</v>
      </c>
      <c r="K7357" s="1">
        <v>1492355</v>
      </c>
    </row>
    <row r="7358" spans="1:11" x14ac:dyDescent="0.25">
      <c r="A7358" t="s">
        <v>9</v>
      </c>
      <c r="B7358" t="s">
        <v>250</v>
      </c>
      <c r="C7358" t="s">
        <v>873</v>
      </c>
      <c r="D7358" t="s">
        <v>11</v>
      </c>
      <c r="E7358">
        <v>23</v>
      </c>
      <c r="F7358" s="2">
        <f>DATE(2026,IF(Tabla1[[#This Row],[Mes de Fecha]]="Septiembre",9,10),Tabla1[[#This Row],[Día de Fecha]])</f>
        <v>46288</v>
      </c>
      <c r="G7358">
        <v>1087556533</v>
      </c>
      <c r="H7358" t="s">
        <v>252</v>
      </c>
      <c r="I7358">
        <v>31</v>
      </c>
      <c r="J7358">
        <v>0</v>
      </c>
      <c r="K7358" s="1">
        <v>1853783</v>
      </c>
    </row>
    <row r="7359" spans="1:11" x14ac:dyDescent="0.25">
      <c r="A7359" t="s">
        <v>9</v>
      </c>
      <c r="B7359" t="s">
        <v>250</v>
      </c>
      <c r="C7359" t="s">
        <v>873</v>
      </c>
      <c r="D7359" t="s">
        <v>11</v>
      </c>
      <c r="E7359">
        <v>24</v>
      </c>
      <c r="F7359" s="2">
        <f>DATE(2026,IF(Tabla1[[#This Row],[Mes de Fecha]]="Septiembre",9,10),Tabla1[[#This Row],[Día de Fecha]])</f>
        <v>46289</v>
      </c>
      <c r="I7359">
        <v>0</v>
      </c>
      <c r="J7359" s="1">
        <v>6941084</v>
      </c>
      <c r="K7359">
        <v>0</v>
      </c>
    </row>
    <row r="7360" spans="1:11" x14ac:dyDescent="0.25">
      <c r="A7360" t="s">
        <v>9</v>
      </c>
      <c r="B7360" t="s">
        <v>250</v>
      </c>
      <c r="C7360" t="s">
        <v>873</v>
      </c>
      <c r="D7360" t="s">
        <v>11</v>
      </c>
      <c r="E7360">
        <v>24</v>
      </c>
      <c r="F7360" s="2">
        <f>DATE(2026,IF(Tabla1[[#This Row],[Mes de Fecha]]="Septiembre",9,10),Tabla1[[#This Row],[Día de Fecha]])</f>
        <v>46289</v>
      </c>
      <c r="G7360">
        <v>1087549195</v>
      </c>
      <c r="H7360" t="s">
        <v>253</v>
      </c>
      <c r="I7360">
        <v>41</v>
      </c>
      <c r="J7360">
        <v>0</v>
      </c>
      <c r="K7360" s="1">
        <v>2288194</v>
      </c>
    </row>
    <row r="7361" spans="1:11" x14ac:dyDescent="0.25">
      <c r="A7361" t="s">
        <v>9</v>
      </c>
      <c r="B7361" t="s">
        <v>250</v>
      </c>
      <c r="C7361" t="s">
        <v>873</v>
      </c>
      <c r="D7361" t="s">
        <v>11</v>
      </c>
      <c r="E7361">
        <v>24</v>
      </c>
      <c r="F7361" s="2">
        <f>DATE(2026,IF(Tabla1[[#This Row],[Mes de Fecha]]="Septiembre",9,10),Tabla1[[#This Row],[Día de Fecha]])</f>
        <v>46289</v>
      </c>
      <c r="G7361">
        <v>1087553241</v>
      </c>
      <c r="H7361" t="s">
        <v>251</v>
      </c>
      <c r="I7361">
        <v>40</v>
      </c>
      <c r="J7361">
        <v>0</v>
      </c>
      <c r="K7361" s="1">
        <v>2179035</v>
      </c>
    </row>
    <row r="7362" spans="1:11" x14ac:dyDescent="0.25">
      <c r="A7362" t="s">
        <v>9</v>
      </c>
      <c r="B7362" t="s">
        <v>250</v>
      </c>
      <c r="C7362" t="s">
        <v>873</v>
      </c>
      <c r="D7362" t="s">
        <v>11</v>
      </c>
      <c r="E7362">
        <v>24</v>
      </c>
      <c r="F7362" s="2">
        <f>DATE(2026,IF(Tabla1[[#This Row],[Mes de Fecha]]="Septiembre",9,10),Tabla1[[#This Row],[Día de Fecha]])</f>
        <v>46289</v>
      </c>
      <c r="G7362">
        <v>1087556533</v>
      </c>
      <c r="H7362" t="s">
        <v>252</v>
      </c>
      <c r="I7362">
        <v>12</v>
      </c>
      <c r="J7362">
        <v>0</v>
      </c>
      <c r="K7362" s="1">
        <v>663362</v>
      </c>
    </row>
    <row r="7363" spans="1:11" x14ac:dyDescent="0.25">
      <c r="A7363" t="s">
        <v>9</v>
      </c>
      <c r="B7363" t="s">
        <v>250</v>
      </c>
      <c r="C7363" t="s">
        <v>873</v>
      </c>
      <c r="D7363" t="s">
        <v>11</v>
      </c>
      <c r="E7363">
        <v>25</v>
      </c>
      <c r="F7363" s="2">
        <f>DATE(2026,IF(Tabla1[[#This Row],[Mes de Fecha]]="Septiembre",9,10),Tabla1[[#This Row],[Día de Fecha]])</f>
        <v>46290</v>
      </c>
      <c r="I7363">
        <v>0</v>
      </c>
      <c r="J7363" s="1">
        <v>7413457</v>
      </c>
      <c r="K7363">
        <v>0</v>
      </c>
    </row>
    <row r="7364" spans="1:11" x14ac:dyDescent="0.25">
      <c r="A7364" t="s">
        <v>9</v>
      </c>
      <c r="B7364" t="s">
        <v>250</v>
      </c>
      <c r="C7364" t="s">
        <v>873</v>
      </c>
      <c r="D7364" t="s">
        <v>11</v>
      </c>
      <c r="E7364">
        <v>25</v>
      </c>
      <c r="F7364" s="2">
        <f>DATE(2026,IF(Tabla1[[#This Row],[Mes de Fecha]]="Septiembre",9,10),Tabla1[[#This Row],[Día de Fecha]])</f>
        <v>46290</v>
      </c>
      <c r="G7364">
        <v>1087549195</v>
      </c>
      <c r="H7364" t="s">
        <v>253</v>
      </c>
      <c r="I7364">
        <v>58</v>
      </c>
      <c r="J7364">
        <v>0</v>
      </c>
      <c r="K7364" s="1">
        <v>3119412</v>
      </c>
    </row>
    <row r="7365" spans="1:11" x14ac:dyDescent="0.25">
      <c r="A7365" t="s">
        <v>9</v>
      </c>
      <c r="B7365" t="s">
        <v>250</v>
      </c>
      <c r="C7365" t="s">
        <v>873</v>
      </c>
      <c r="D7365" t="s">
        <v>11</v>
      </c>
      <c r="E7365">
        <v>25</v>
      </c>
      <c r="F7365" s="2">
        <f>DATE(2026,IF(Tabla1[[#This Row],[Mes de Fecha]]="Septiembre",9,10),Tabla1[[#This Row],[Día de Fecha]])</f>
        <v>46290</v>
      </c>
      <c r="G7365">
        <v>1087556533</v>
      </c>
      <c r="H7365" t="s">
        <v>252</v>
      </c>
      <c r="I7365">
        <v>38</v>
      </c>
      <c r="J7365">
        <v>0</v>
      </c>
      <c r="K7365" s="1">
        <v>1603489</v>
      </c>
    </row>
    <row r="7366" spans="1:11" x14ac:dyDescent="0.25">
      <c r="A7366" t="s">
        <v>9</v>
      </c>
      <c r="B7366" t="s">
        <v>250</v>
      </c>
      <c r="C7366" t="s">
        <v>873</v>
      </c>
      <c r="D7366" t="s">
        <v>11</v>
      </c>
      <c r="E7366">
        <v>26</v>
      </c>
      <c r="F7366" s="2">
        <f>DATE(2026,IF(Tabla1[[#This Row],[Mes de Fecha]]="Septiembre",9,10),Tabla1[[#This Row],[Día de Fecha]])</f>
        <v>46291</v>
      </c>
      <c r="I7366">
        <v>0</v>
      </c>
      <c r="J7366" s="1">
        <v>9348180</v>
      </c>
      <c r="K7366">
        <v>0</v>
      </c>
    </row>
    <row r="7367" spans="1:11" x14ac:dyDescent="0.25">
      <c r="A7367" t="s">
        <v>9</v>
      </c>
      <c r="B7367" t="s">
        <v>250</v>
      </c>
      <c r="C7367" t="s">
        <v>873</v>
      </c>
      <c r="D7367" t="s">
        <v>11</v>
      </c>
      <c r="E7367">
        <v>26</v>
      </c>
      <c r="F7367" s="2">
        <f>DATE(2026,IF(Tabla1[[#This Row],[Mes de Fecha]]="Septiembre",9,10),Tabla1[[#This Row],[Día de Fecha]])</f>
        <v>46291</v>
      </c>
      <c r="G7367">
        <v>1087549195</v>
      </c>
      <c r="H7367" t="s">
        <v>253</v>
      </c>
      <c r="I7367">
        <v>72</v>
      </c>
      <c r="J7367">
        <v>0</v>
      </c>
      <c r="K7367" s="1">
        <v>3566183</v>
      </c>
    </row>
    <row r="7368" spans="1:11" x14ac:dyDescent="0.25">
      <c r="A7368" t="s">
        <v>9</v>
      </c>
      <c r="B7368" t="s">
        <v>250</v>
      </c>
      <c r="C7368" t="s">
        <v>873</v>
      </c>
      <c r="D7368" t="s">
        <v>11</v>
      </c>
      <c r="E7368">
        <v>26</v>
      </c>
      <c r="F7368" s="2">
        <f>DATE(2026,IF(Tabla1[[#This Row],[Mes de Fecha]]="Septiembre",9,10),Tabla1[[#This Row],[Día de Fecha]])</f>
        <v>46291</v>
      </c>
      <c r="G7368">
        <v>1087556533</v>
      </c>
      <c r="H7368" t="s">
        <v>252</v>
      </c>
      <c r="I7368">
        <v>59</v>
      </c>
      <c r="J7368">
        <v>0</v>
      </c>
      <c r="K7368" s="1">
        <v>3526770</v>
      </c>
    </row>
    <row r="7369" spans="1:11" x14ac:dyDescent="0.25">
      <c r="A7369" t="s">
        <v>9</v>
      </c>
      <c r="B7369" t="s">
        <v>250</v>
      </c>
      <c r="C7369" t="s">
        <v>873</v>
      </c>
      <c r="D7369" t="s">
        <v>11</v>
      </c>
      <c r="E7369">
        <v>27</v>
      </c>
      <c r="F7369" s="2">
        <f>DATE(2026,IF(Tabla1[[#This Row],[Mes de Fecha]]="Septiembre",9,10),Tabla1[[#This Row],[Día de Fecha]])</f>
        <v>46292</v>
      </c>
      <c r="I7369">
        <v>0</v>
      </c>
      <c r="J7369" s="1">
        <v>4935750</v>
      </c>
      <c r="K7369">
        <v>0</v>
      </c>
    </row>
    <row r="7370" spans="1:11" x14ac:dyDescent="0.25">
      <c r="A7370" t="s">
        <v>9</v>
      </c>
      <c r="B7370" t="s">
        <v>250</v>
      </c>
      <c r="C7370" t="s">
        <v>873</v>
      </c>
      <c r="D7370" t="s">
        <v>11</v>
      </c>
      <c r="E7370">
        <v>27</v>
      </c>
      <c r="F7370" s="2">
        <f>DATE(2026,IF(Tabla1[[#This Row],[Mes de Fecha]]="Septiembre",9,10),Tabla1[[#This Row],[Día de Fecha]])</f>
        <v>46292</v>
      </c>
      <c r="G7370">
        <v>1087549195</v>
      </c>
      <c r="H7370" t="s">
        <v>253</v>
      </c>
      <c r="I7370">
        <v>14</v>
      </c>
      <c r="J7370">
        <v>0</v>
      </c>
      <c r="K7370" s="1">
        <v>709412</v>
      </c>
    </row>
    <row r="7371" spans="1:11" x14ac:dyDescent="0.25">
      <c r="A7371" t="s">
        <v>9</v>
      </c>
      <c r="B7371" t="s">
        <v>250</v>
      </c>
      <c r="C7371" t="s">
        <v>873</v>
      </c>
      <c r="D7371" t="s">
        <v>11</v>
      </c>
      <c r="E7371">
        <v>27</v>
      </c>
      <c r="F7371" s="2">
        <f>DATE(2026,IF(Tabla1[[#This Row],[Mes de Fecha]]="Septiembre",9,10),Tabla1[[#This Row],[Día de Fecha]])</f>
        <v>46292</v>
      </c>
      <c r="G7371">
        <v>1087556533</v>
      </c>
      <c r="H7371" t="s">
        <v>252</v>
      </c>
      <c r="I7371">
        <v>59</v>
      </c>
      <c r="J7371">
        <v>0</v>
      </c>
      <c r="K7371" s="1">
        <v>3379710</v>
      </c>
    </row>
    <row r="7372" spans="1:11" x14ac:dyDescent="0.25">
      <c r="A7372" t="s">
        <v>9</v>
      </c>
      <c r="B7372" t="s">
        <v>250</v>
      </c>
      <c r="C7372" t="s">
        <v>873</v>
      </c>
      <c r="D7372" t="s">
        <v>11</v>
      </c>
      <c r="E7372">
        <v>28</v>
      </c>
      <c r="F7372" s="2">
        <f>DATE(2026,IF(Tabla1[[#This Row],[Mes de Fecha]]="Septiembre",9,10),Tabla1[[#This Row],[Día de Fecha]])</f>
        <v>46293</v>
      </c>
      <c r="I7372">
        <v>0</v>
      </c>
      <c r="J7372" s="1">
        <v>4046779</v>
      </c>
      <c r="K7372">
        <v>0</v>
      </c>
    </row>
    <row r="7373" spans="1:11" x14ac:dyDescent="0.25">
      <c r="A7373" t="s">
        <v>9</v>
      </c>
      <c r="B7373" t="s">
        <v>250</v>
      </c>
      <c r="C7373" t="s">
        <v>873</v>
      </c>
      <c r="D7373" t="s">
        <v>11</v>
      </c>
      <c r="E7373">
        <v>28</v>
      </c>
      <c r="F7373" s="2">
        <f>DATE(2026,IF(Tabla1[[#This Row],[Mes de Fecha]]="Septiembre",9,10),Tabla1[[#This Row],[Día de Fecha]])</f>
        <v>46293</v>
      </c>
      <c r="G7373">
        <v>1087549195</v>
      </c>
      <c r="H7373" t="s">
        <v>253</v>
      </c>
      <c r="I7373">
        <v>39</v>
      </c>
      <c r="J7373">
        <v>0</v>
      </c>
      <c r="K7373" s="1">
        <v>1952063</v>
      </c>
    </row>
    <row r="7374" spans="1:11" x14ac:dyDescent="0.25">
      <c r="A7374" t="s">
        <v>9</v>
      </c>
      <c r="B7374" t="s">
        <v>250</v>
      </c>
      <c r="C7374" t="s">
        <v>873</v>
      </c>
      <c r="D7374" t="s">
        <v>11</v>
      </c>
      <c r="E7374">
        <v>28</v>
      </c>
      <c r="F7374" s="2">
        <f>DATE(2026,IF(Tabla1[[#This Row],[Mes de Fecha]]="Septiembre",9,10),Tabla1[[#This Row],[Día de Fecha]])</f>
        <v>46293</v>
      </c>
      <c r="G7374">
        <v>1087553241</v>
      </c>
      <c r="H7374" t="s">
        <v>251</v>
      </c>
      <c r="I7374">
        <v>43</v>
      </c>
      <c r="J7374">
        <v>0</v>
      </c>
      <c r="K7374" s="1">
        <v>2365799</v>
      </c>
    </row>
    <row r="7375" spans="1:11" x14ac:dyDescent="0.25">
      <c r="A7375" t="s">
        <v>9</v>
      </c>
      <c r="B7375" t="s">
        <v>250</v>
      </c>
      <c r="C7375" t="s">
        <v>873</v>
      </c>
      <c r="D7375" t="s">
        <v>11</v>
      </c>
      <c r="E7375">
        <v>29</v>
      </c>
      <c r="F7375" s="2">
        <f>DATE(2026,IF(Tabla1[[#This Row],[Mes de Fecha]]="Septiembre",9,10),Tabla1[[#This Row],[Día de Fecha]])</f>
        <v>46294</v>
      </c>
      <c r="I7375">
        <v>0</v>
      </c>
      <c r="J7375" s="1">
        <v>4498822</v>
      </c>
      <c r="K7375">
        <v>0</v>
      </c>
    </row>
    <row r="7376" spans="1:11" x14ac:dyDescent="0.25">
      <c r="A7376" t="s">
        <v>9</v>
      </c>
      <c r="B7376" t="s">
        <v>250</v>
      </c>
      <c r="C7376" t="s">
        <v>873</v>
      </c>
      <c r="D7376" t="s">
        <v>11</v>
      </c>
      <c r="E7376">
        <v>29</v>
      </c>
      <c r="F7376" s="2">
        <f>DATE(2026,IF(Tabla1[[#This Row],[Mes de Fecha]]="Septiembre",9,10),Tabla1[[#This Row],[Día de Fecha]])</f>
        <v>46294</v>
      </c>
      <c r="G7376">
        <v>1087549195</v>
      </c>
      <c r="H7376" t="s">
        <v>253</v>
      </c>
      <c r="I7376">
        <v>35</v>
      </c>
      <c r="J7376">
        <v>0</v>
      </c>
      <c r="K7376" s="1">
        <v>1649579</v>
      </c>
    </row>
    <row r="7377" spans="1:11" x14ac:dyDescent="0.25">
      <c r="A7377" t="s">
        <v>9</v>
      </c>
      <c r="B7377" t="s">
        <v>250</v>
      </c>
      <c r="C7377" t="s">
        <v>873</v>
      </c>
      <c r="D7377" t="s">
        <v>11</v>
      </c>
      <c r="E7377">
        <v>29</v>
      </c>
      <c r="F7377" s="2">
        <f>DATE(2026,IF(Tabla1[[#This Row],[Mes de Fecha]]="Septiembre",9,10),Tabla1[[#This Row],[Día de Fecha]])</f>
        <v>46294</v>
      </c>
      <c r="G7377">
        <v>1087553241</v>
      </c>
      <c r="H7377" t="s">
        <v>251</v>
      </c>
      <c r="I7377">
        <v>11</v>
      </c>
      <c r="J7377">
        <v>0</v>
      </c>
      <c r="K7377" s="1">
        <v>596176</v>
      </c>
    </row>
    <row r="7378" spans="1:11" x14ac:dyDescent="0.25">
      <c r="A7378" t="s">
        <v>9</v>
      </c>
      <c r="B7378" t="s">
        <v>250</v>
      </c>
      <c r="C7378" t="s">
        <v>873</v>
      </c>
      <c r="D7378" t="s">
        <v>11</v>
      </c>
      <c r="E7378">
        <v>29</v>
      </c>
      <c r="F7378" s="2">
        <f>DATE(2026,IF(Tabla1[[#This Row],[Mes de Fecha]]="Septiembre",9,10),Tabla1[[#This Row],[Día de Fecha]])</f>
        <v>46294</v>
      </c>
      <c r="G7378">
        <v>1087556533</v>
      </c>
      <c r="H7378" t="s">
        <v>252</v>
      </c>
      <c r="I7378">
        <v>15</v>
      </c>
      <c r="J7378">
        <v>0</v>
      </c>
      <c r="K7378" s="1">
        <v>826934</v>
      </c>
    </row>
    <row r="7379" spans="1:11" x14ac:dyDescent="0.25">
      <c r="A7379" t="s">
        <v>9</v>
      </c>
      <c r="B7379" t="s">
        <v>250</v>
      </c>
      <c r="C7379" t="s">
        <v>873</v>
      </c>
      <c r="D7379" t="s">
        <v>11</v>
      </c>
      <c r="E7379">
        <v>30</v>
      </c>
      <c r="F7379" s="2">
        <f>DATE(2026,IF(Tabla1[[#This Row],[Mes de Fecha]]="Septiembre",9,10),Tabla1[[#This Row],[Día de Fecha]])</f>
        <v>46295</v>
      </c>
      <c r="I7379">
        <v>0</v>
      </c>
      <c r="J7379" s="1">
        <v>4764395</v>
      </c>
      <c r="K7379">
        <v>0</v>
      </c>
    </row>
    <row r="7380" spans="1:11" x14ac:dyDescent="0.25">
      <c r="A7380" t="s">
        <v>9</v>
      </c>
      <c r="B7380" t="s">
        <v>250</v>
      </c>
      <c r="C7380" t="s">
        <v>873</v>
      </c>
      <c r="D7380" t="s">
        <v>11</v>
      </c>
      <c r="E7380">
        <v>30</v>
      </c>
      <c r="F7380" s="2">
        <f>DATE(2026,IF(Tabla1[[#This Row],[Mes de Fecha]]="Septiembre",9,10),Tabla1[[#This Row],[Día de Fecha]])</f>
        <v>46295</v>
      </c>
      <c r="G7380">
        <v>1087549195</v>
      </c>
      <c r="H7380" t="s">
        <v>253</v>
      </c>
      <c r="I7380">
        <v>36</v>
      </c>
      <c r="J7380">
        <v>0</v>
      </c>
      <c r="K7380" s="1">
        <v>1880715</v>
      </c>
    </row>
    <row r="7381" spans="1:11" x14ac:dyDescent="0.25">
      <c r="A7381" t="s">
        <v>9</v>
      </c>
      <c r="B7381" t="s">
        <v>250</v>
      </c>
      <c r="C7381" t="s">
        <v>873</v>
      </c>
      <c r="D7381" t="s">
        <v>11</v>
      </c>
      <c r="E7381">
        <v>30</v>
      </c>
      <c r="F7381" s="2">
        <f>DATE(2026,IF(Tabla1[[#This Row],[Mes de Fecha]]="Septiembre",9,10),Tabla1[[#This Row],[Día de Fecha]])</f>
        <v>46295</v>
      </c>
      <c r="G7381">
        <v>1087553241</v>
      </c>
      <c r="H7381" t="s">
        <v>251</v>
      </c>
      <c r="I7381">
        <v>32</v>
      </c>
      <c r="J7381">
        <v>0</v>
      </c>
      <c r="K7381" s="1">
        <v>1693995</v>
      </c>
    </row>
    <row r="7382" spans="1:11" x14ac:dyDescent="0.25">
      <c r="A7382" t="s">
        <v>9</v>
      </c>
      <c r="B7382" t="s">
        <v>250</v>
      </c>
      <c r="C7382" t="s">
        <v>873</v>
      </c>
      <c r="D7382" t="s">
        <v>11</v>
      </c>
      <c r="E7382">
        <v>30</v>
      </c>
      <c r="F7382" s="2">
        <f>DATE(2026,IF(Tabla1[[#This Row],[Mes de Fecha]]="Septiembre",9,10),Tabla1[[#This Row],[Día de Fecha]])</f>
        <v>46295</v>
      </c>
      <c r="G7382">
        <v>1087556533</v>
      </c>
      <c r="H7382" t="s">
        <v>252</v>
      </c>
      <c r="I7382">
        <v>25</v>
      </c>
      <c r="J7382">
        <v>0</v>
      </c>
      <c r="K7382" s="1">
        <v>1521892</v>
      </c>
    </row>
    <row r="7383" spans="1:11" x14ac:dyDescent="0.25">
      <c r="A7383" t="s">
        <v>9</v>
      </c>
      <c r="B7383" t="s">
        <v>250</v>
      </c>
      <c r="C7383" t="s">
        <v>873</v>
      </c>
      <c r="D7383" t="s">
        <v>14</v>
      </c>
      <c r="E7383">
        <v>1</v>
      </c>
      <c r="F7383" s="2">
        <f>DATE(2026,IF(Tabla1[[#This Row],[Mes de Fecha]]="Septiembre",9,10),Tabla1[[#This Row],[Día de Fecha]])</f>
        <v>46296</v>
      </c>
      <c r="I7383">
        <v>0</v>
      </c>
      <c r="J7383" s="1">
        <v>4380254</v>
      </c>
      <c r="K7383">
        <v>0</v>
      </c>
    </row>
    <row r="7384" spans="1:11" x14ac:dyDescent="0.25">
      <c r="A7384" t="s">
        <v>9</v>
      </c>
      <c r="B7384" t="s">
        <v>250</v>
      </c>
      <c r="C7384" t="s">
        <v>873</v>
      </c>
      <c r="D7384" t="s">
        <v>14</v>
      </c>
      <c r="E7384">
        <v>1</v>
      </c>
      <c r="F7384" s="2">
        <f>DATE(2026,IF(Tabla1[[#This Row],[Mes de Fecha]]="Septiembre",9,10),Tabla1[[#This Row],[Día de Fecha]])</f>
        <v>46296</v>
      </c>
      <c r="G7384">
        <v>1087549195</v>
      </c>
      <c r="H7384" t="s">
        <v>253</v>
      </c>
      <c r="I7384">
        <v>52</v>
      </c>
      <c r="J7384">
        <v>0</v>
      </c>
      <c r="K7384" s="1">
        <v>3245633</v>
      </c>
    </row>
    <row r="7385" spans="1:11" x14ac:dyDescent="0.25">
      <c r="A7385" t="s">
        <v>9</v>
      </c>
      <c r="B7385" t="s">
        <v>250</v>
      </c>
      <c r="C7385" t="s">
        <v>873</v>
      </c>
      <c r="D7385" t="s">
        <v>14</v>
      </c>
      <c r="E7385">
        <v>1</v>
      </c>
      <c r="F7385" s="2">
        <f>DATE(2026,IF(Tabla1[[#This Row],[Mes de Fecha]]="Septiembre",9,10),Tabla1[[#This Row],[Día de Fecha]])</f>
        <v>46296</v>
      </c>
      <c r="G7385">
        <v>1087553241</v>
      </c>
      <c r="H7385" t="s">
        <v>251</v>
      </c>
      <c r="I7385">
        <v>31</v>
      </c>
      <c r="J7385">
        <v>0</v>
      </c>
      <c r="K7385" s="1">
        <v>1555381</v>
      </c>
    </row>
    <row r="7386" spans="1:11" x14ac:dyDescent="0.25">
      <c r="A7386" t="s">
        <v>9</v>
      </c>
      <c r="B7386" t="s">
        <v>250</v>
      </c>
      <c r="C7386" t="s">
        <v>873</v>
      </c>
      <c r="D7386" t="s">
        <v>14</v>
      </c>
      <c r="E7386">
        <v>1</v>
      </c>
      <c r="F7386" s="2">
        <f>DATE(2026,IF(Tabla1[[#This Row],[Mes de Fecha]]="Septiembre",9,10),Tabla1[[#This Row],[Día de Fecha]])</f>
        <v>46296</v>
      </c>
      <c r="G7386">
        <v>1087556533</v>
      </c>
      <c r="H7386" t="s">
        <v>252</v>
      </c>
      <c r="I7386">
        <v>39</v>
      </c>
      <c r="J7386">
        <v>0</v>
      </c>
      <c r="K7386" s="1">
        <v>1710464</v>
      </c>
    </row>
    <row r="7387" spans="1:11" x14ac:dyDescent="0.25">
      <c r="A7387" t="s">
        <v>9</v>
      </c>
      <c r="B7387" t="s">
        <v>250</v>
      </c>
      <c r="C7387" t="s">
        <v>873</v>
      </c>
      <c r="D7387" t="s">
        <v>14</v>
      </c>
      <c r="E7387">
        <v>2</v>
      </c>
      <c r="F7387" s="2">
        <f>DATE(2026,IF(Tabla1[[#This Row],[Mes de Fecha]]="Septiembre",9,10),Tabla1[[#This Row],[Día de Fecha]])</f>
        <v>46297</v>
      </c>
      <c r="I7387">
        <v>0</v>
      </c>
      <c r="J7387" s="1">
        <v>5506829</v>
      </c>
      <c r="K7387">
        <v>0</v>
      </c>
    </row>
    <row r="7388" spans="1:11" x14ac:dyDescent="0.25">
      <c r="A7388" t="s">
        <v>9</v>
      </c>
      <c r="B7388" t="s">
        <v>250</v>
      </c>
      <c r="C7388" t="s">
        <v>873</v>
      </c>
      <c r="D7388" t="s">
        <v>14</v>
      </c>
      <c r="E7388">
        <v>2</v>
      </c>
      <c r="F7388" s="2">
        <f>DATE(2026,IF(Tabla1[[#This Row],[Mes de Fecha]]="Septiembre",9,10),Tabla1[[#This Row],[Día de Fecha]])</f>
        <v>46297</v>
      </c>
      <c r="G7388">
        <v>1087549195</v>
      </c>
      <c r="H7388" t="s">
        <v>253</v>
      </c>
      <c r="I7388">
        <v>20</v>
      </c>
      <c r="J7388">
        <v>0</v>
      </c>
      <c r="K7388" s="1">
        <v>1146220</v>
      </c>
    </row>
    <row r="7389" spans="1:11" x14ac:dyDescent="0.25">
      <c r="A7389" t="s">
        <v>9</v>
      </c>
      <c r="B7389" t="s">
        <v>250</v>
      </c>
      <c r="C7389" t="s">
        <v>873</v>
      </c>
      <c r="D7389" t="s">
        <v>14</v>
      </c>
      <c r="E7389">
        <v>2</v>
      </c>
      <c r="F7389" s="2">
        <f>DATE(2026,IF(Tabla1[[#This Row],[Mes de Fecha]]="Septiembre",9,10),Tabla1[[#This Row],[Día de Fecha]])</f>
        <v>46297</v>
      </c>
      <c r="G7389">
        <v>1087553241</v>
      </c>
      <c r="H7389" t="s">
        <v>251</v>
      </c>
      <c r="I7389">
        <v>17</v>
      </c>
      <c r="J7389">
        <v>0</v>
      </c>
      <c r="K7389" s="1">
        <v>868868</v>
      </c>
    </row>
    <row r="7390" spans="1:11" x14ac:dyDescent="0.25">
      <c r="A7390" t="s">
        <v>9</v>
      </c>
      <c r="B7390" t="s">
        <v>250</v>
      </c>
      <c r="C7390" t="s">
        <v>873</v>
      </c>
      <c r="D7390" t="s">
        <v>14</v>
      </c>
      <c r="E7390">
        <v>2</v>
      </c>
      <c r="F7390" s="2">
        <f>DATE(2026,IF(Tabla1[[#This Row],[Mes de Fecha]]="Septiembre",9,10),Tabla1[[#This Row],[Día de Fecha]])</f>
        <v>46297</v>
      </c>
      <c r="G7390">
        <v>1087556533</v>
      </c>
      <c r="H7390" t="s">
        <v>252</v>
      </c>
      <c r="I7390">
        <v>11</v>
      </c>
      <c r="J7390">
        <v>0</v>
      </c>
      <c r="K7390" s="1">
        <v>678067</v>
      </c>
    </row>
    <row r="7391" spans="1:11" x14ac:dyDescent="0.25">
      <c r="A7391" t="s">
        <v>9</v>
      </c>
      <c r="B7391" t="s">
        <v>250</v>
      </c>
      <c r="C7391" t="s">
        <v>873</v>
      </c>
      <c r="D7391" t="s">
        <v>14</v>
      </c>
      <c r="E7391">
        <v>3</v>
      </c>
      <c r="F7391" s="2">
        <f>DATE(2026,IF(Tabla1[[#This Row],[Mes de Fecha]]="Septiembre",9,10),Tabla1[[#This Row],[Día de Fecha]])</f>
        <v>46298</v>
      </c>
      <c r="I7391">
        <v>0</v>
      </c>
      <c r="J7391" s="1">
        <v>8352250</v>
      </c>
      <c r="K7391">
        <v>0</v>
      </c>
    </row>
    <row r="7392" spans="1:11" x14ac:dyDescent="0.25">
      <c r="A7392" t="s">
        <v>9</v>
      </c>
      <c r="B7392" t="s">
        <v>250</v>
      </c>
      <c r="C7392" t="s">
        <v>873</v>
      </c>
      <c r="D7392" t="s">
        <v>14</v>
      </c>
      <c r="E7392">
        <v>3</v>
      </c>
      <c r="F7392" s="2">
        <f>DATE(2026,IF(Tabla1[[#This Row],[Mes de Fecha]]="Septiembre",9,10),Tabla1[[#This Row],[Día de Fecha]])</f>
        <v>46298</v>
      </c>
      <c r="G7392">
        <v>1087549195</v>
      </c>
      <c r="H7392" t="s">
        <v>253</v>
      </c>
      <c r="I7392">
        <v>41</v>
      </c>
      <c r="J7392">
        <v>0</v>
      </c>
      <c r="K7392" s="1">
        <v>2104684</v>
      </c>
    </row>
    <row r="7393" spans="1:11" x14ac:dyDescent="0.25">
      <c r="A7393" t="s">
        <v>9</v>
      </c>
      <c r="B7393" t="s">
        <v>250</v>
      </c>
      <c r="C7393" t="s">
        <v>873</v>
      </c>
      <c r="D7393" t="s">
        <v>14</v>
      </c>
      <c r="E7393">
        <v>3</v>
      </c>
      <c r="F7393" s="2">
        <f>DATE(2026,IF(Tabla1[[#This Row],[Mes de Fecha]]="Septiembre",9,10),Tabla1[[#This Row],[Día de Fecha]])</f>
        <v>46298</v>
      </c>
      <c r="G7393">
        <v>1087553241</v>
      </c>
      <c r="H7393" t="s">
        <v>251</v>
      </c>
      <c r="I7393">
        <v>45</v>
      </c>
      <c r="J7393">
        <v>0</v>
      </c>
      <c r="K7393" s="1">
        <v>2639273</v>
      </c>
    </row>
    <row r="7394" spans="1:11" x14ac:dyDescent="0.25">
      <c r="A7394" t="s">
        <v>9</v>
      </c>
      <c r="B7394" t="s">
        <v>250</v>
      </c>
      <c r="C7394" t="s">
        <v>873</v>
      </c>
      <c r="D7394" t="s">
        <v>14</v>
      </c>
      <c r="E7394">
        <v>3</v>
      </c>
      <c r="F7394" s="2">
        <f>DATE(2026,IF(Tabla1[[#This Row],[Mes de Fecha]]="Septiembre",9,10),Tabla1[[#This Row],[Día de Fecha]])</f>
        <v>46298</v>
      </c>
      <c r="G7394">
        <v>1087556533</v>
      </c>
      <c r="H7394" t="s">
        <v>252</v>
      </c>
      <c r="I7394">
        <v>42</v>
      </c>
      <c r="J7394">
        <v>0</v>
      </c>
      <c r="K7394" s="1">
        <v>2446917</v>
      </c>
    </row>
    <row r="7395" spans="1:11" x14ac:dyDescent="0.25">
      <c r="A7395" t="s">
        <v>9</v>
      </c>
      <c r="B7395" t="s">
        <v>250</v>
      </c>
      <c r="C7395" t="s">
        <v>873</v>
      </c>
      <c r="D7395" t="s">
        <v>14</v>
      </c>
      <c r="E7395">
        <v>4</v>
      </c>
      <c r="F7395" s="2">
        <f>DATE(2026,IF(Tabla1[[#This Row],[Mes de Fecha]]="Septiembre",9,10),Tabla1[[#This Row],[Día de Fecha]])</f>
        <v>46299</v>
      </c>
      <c r="I7395">
        <v>0</v>
      </c>
      <c r="J7395" s="1">
        <v>4148413</v>
      </c>
      <c r="K7395">
        <v>0</v>
      </c>
    </row>
    <row r="7396" spans="1:11" x14ac:dyDescent="0.25">
      <c r="A7396" t="s">
        <v>9</v>
      </c>
      <c r="B7396" t="s">
        <v>250</v>
      </c>
      <c r="C7396" t="s">
        <v>873</v>
      </c>
      <c r="D7396" t="s">
        <v>14</v>
      </c>
      <c r="E7396">
        <v>4</v>
      </c>
      <c r="F7396" s="2">
        <f>DATE(2026,IF(Tabla1[[#This Row],[Mes de Fecha]]="Septiembre",9,10),Tabla1[[#This Row],[Día de Fecha]])</f>
        <v>46299</v>
      </c>
      <c r="G7396">
        <v>1087549195</v>
      </c>
      <c r="H7396" t="s">
        <v>253</v>
      </c>
      <c r="I7396">
        <v>39</v>
      </c>
      <c r="J7396">
        <v>0</v>
      </c>
      <c r="K7396" s="1">
        <v>1857268</v>
      </c>
    </row>
    <row r="7397" spans="1:11" x14ac:dyDescent="0.25">
      <c r="A7397" t="s">
        <v>9</v>
      </c>
      <c r="B7397" t="s">
        <v>250</v>
      </c>
      <c r="C7397" t="s">
        <v>873</v>
      </c>
      <c r="D7397" t="s">
        <v>14</v>
      </c>
      <c r="E7397">
        <v>4</v>
      </c>
      <c r="F7397" s="2">
        <f>DATE(2026,IF(Tabla1[[#This Row],[Mes de Fecha]]="Septiembre",9,10),Tabla1[[#This Row],[Día de Fecha]])</f>
        <v>46299</v>
      </c>
      <c r="G7397">
        <v>1087553241</v>
      </c>
      <c r="H7397" t="s">
        <v>251</v>
      </c>
      <c r="I7397">
        <v>24</v>
      </c>
      <c r="J7397">
        <v>0</v>
      </c>
      <c r="K7397" s="1">
        <v>1358193</v>
      </c>
    </row>
    <row r="7398" spans="1:11" x14ac:dyDescent="0.25">
      <c r="A7398" t="s">
        <v>9</v>
      </c>
      <c r="B7398" t="s">
        <v>250</v>
      </c>
      <c r="C7398" t="s">
        <v>873</v>
      </c>
      <c r="D7398" t="s">
        <v>14</v>
      </c>
      <c r="E7398">
        <v>5</v>
      </c>
      <c r="F7398" s="2">
        <f>DATE(2026,IF(Tabla1[[#This Row],[Mes de Fecha]]="Septiembre",9,10),Tabla1[[#This Row],[Día de Fecha]])</f>
        <v>46300</v>
      </c>
      <c r="I7398">
        <v>0</v>
      </c>
      <c r="J7398" s="1">
        <v>4155879</v>
      </c>
      <c r="K7398">
        <v>0</v>
      </c>
    </row>
    <row r="7399" spans="1:11" x14ac:dyDescent="0.25">
      <c r="A7399" t="s">
        <v>9</v>
      </c>
      <c r="B7399" t="s">
        <v>250</v>
      </c>
      <c r="C7399" t="s">
        <v>873</v>
      </c>
      <c r="D7399" t="s">
        <v>14</v>
      </c>
      <c r="E7399">
        <v>5</v>
      </c>
      <c r="F7399" s="2">
        <f>DATE(2026,IF(Tabla1[[#This Row],[Mes de Fecha]]="Septiembre",9,10),Tabla1[[#This Row],[Día de Fecha]])</f>
        <v>46300</v>
      </c>
      <c r="G7399">
        <v>1087549195</v>
      </c>
      <c r="H7399" t="s">
        <v>253</v>
      </c>
      <c r="I7399">
        <v>33</v>
      </c>
      <c r="J7399">
        <v>0</v>
      </c>
      <c r="K7399" s="1">
        <v>1855548</v>
      </c>
    </row>
    <row r="7400" spans="1:11" x14ac:dyDescent="0.25">
      <c r="A7400" t="s">
        <v>9</v>
      </c>
      <c r="B7400" t="s">
        <v>250</v>
      </c>
      <c r="C7400" t="s">
        <v>873</v>
      </c>
      <c r="D7400" t="s">
        <v>14</v>
      </c>
      <c r="E7400">
        <v>5</v>
      </c>
      <c r="F7400" s="2">
        <f>DATE(2026,IF(Tabla1[[#This Row],[Mes de Fecha]]="Septiembre",9,10),Tabla1[[#This Row],[Día de Fecha]])</f>
        <v>46300</v>
      </c>
      <c r="G7400">
        <v>1087553241</v>
      </c>
      <c r="H7400" t="s">
        <v>251</v>
      </c>
      <c r="I7400">
        <v>18</v>
      </c>
      <c r="J7400">
        <v>0</v>
      </c>
      <c r="K7400" s="1">
        <v>944538</v>
      </c>
    </row>
    <row r="7401" spans="1:11" x14ac:dyDescent="0.25">
      <c r="A7401" t="s">
        <v>9</v>
      </c>
      <c r="B7401" t="s">
        <v>250</v>
      </c>
      <c r="C7401" t="s">
        <v>873</v>
      </c>
      <c r="D7401" t="s">
        <v>14</v>
      </c>
      <c r="E7401">
        <v>5</v>
      </c>
      <c r="F7401" s="2">
        <f>DATE(2026,IF(Tabla1[[#This Row],[Mes de Fecha]]="Septiembre",9,10),Tabla1[[#This Row],[Día de Fecha]])</f>
        <v>46300</v>
      </c>
      <c r="G7401">
        <v>1087556533</v>
      </c>
      <c r="H7401" t="s">
        <v>252</v>
      </c>
      <c r="I7401">
        <v>6</v>
      </c>
      <c r="J7401">
        <v>0</v>
      </c>
      <c r="K7401" s="1">
        <v>218193</v>
      </c>
    </row>
    <row r="7402" spans="1:11" x14ac:dyDescent="0.25">
      <c r="A7402" t="s">
        <v>9</v>
      </c>
      <c r="B7402" t="s">
        <v>250</v>
      </c>
      <c r="C7402" t="s">
        <v>873</v>
      </c>
      <c r="D7402" t="s">
        <v>14</v>
      </c>
      <c r="E7402">
        <v>6</v>
      </c>
      <c r="F7402" s="2">
        <f>DATE(2026,IF(Tabla1[[#This Row],[Mes de Fecha]]="Septiembre",9,10),Tabla1[[#This Row],[Día de Fecha]])</f>
        <v>46301</v>
      </c>
      <c r="I7402">
        <v>0</v>
      </c>
      <c r="J7402" s="1">
        <v>3094309</v>
      </c>
      <c r="K7402">
        <v>0</v>
      </c>
    </row>
    <row r="7403" spans="1:11" x14ac:dyDescent="0.25">
      <c r="A7403" t="s">
        <v>9</v>
      </c>
      <c r="B7403" t="s">
        <v>250</v>
      </c>
      <c r="C7403" t="s">
        <v>873</v>
      </c>
      <c r="D7403" t="s">
        <v>14</v>
      </c>
      <c r="E7403">
        <v>6</v>
      </c>
      <c r="F7403" s="2">
        <f>DATE(2026,IF(Tabla1[[#This Row],[Mes de Fecha]]="Septiembre",9,10),Tabla1[[#This Row],[Día de Fecha]])</f>
        <v>46301</v>
      </c>
      <c r="G7403">
        <v>1087549195</v>
      </c>
      <c r="H7403" t="s">
        <v>253</v>
      </c>
      <c r="I7403">
        <v>28</v>
      </c>
      <c r="J7403">
        <v>0</v>
      </c>
      <c r="K7403" s="1">
        <v>1620630</v>
      </c>
    </row>
    <row r="7404" spans="1:11" x14ac:dyDescent="0.25">
      <c r="A7404" t="s">
        <v>9</v>
      </c>
      <c r="B7404" t="s">
        <v>250</v>
      </c>
      <c r="C7404" t="s">
        <v>873</v>
      </c>
      <c r="D7404" t="s">
        <v>14</v>
      </c>
      <c r="E7404">
        <v>6</v>
      </c>
      <c r="F7404" s="2">
        <f>DATE(2026,IF(Tabla1[[#This Row],[Mes de Fecha]]="Septiembre",9,10),Tabla1[[#This Row],[Día de Fecha]])</f>
        <v>46301</v>
      </c>
      <c r="G7404">
        <v>1087556533</v>
      </c>
      <c r="H7404" t="s">
        <v>252</v>
      </c>
      <c r="I7404">
        <v>15</v>
      </c>
      <c r="J7404">
        <v>0</v>
      </c>
      <c r="K7404" s="1">
        <v>852271</v>
      </c>
    </row>
    <row r="7405" spans="1:11" x14ac:dyDescent="0.25">
      <c r="A7405" t="s">
        <v>9</v>
      </c>
      <c r="B7405" t="s">
        <v>250</v>
      </c>
      <c r="C7405" t="s">
        <v>873</v>
      </c>
      <c r="D7405" t="s">
        <v>14</v>
      </c>
      <c r="E7405">
        <v>7</v>
      </c>
      <c r="F7405" s="2">
        <f>DATE(2026,IF(Tabla1[[#This Row],[Mes de Fecha]]="Septiembre",9,10),Tabla1[[#This Row],[Día de Fecha]])</f>
        <v>46302</v>
      </c>
      <c r="I7405">
        <v>0</v>
      </c>
      <c r="J7405" s="1">
        <v>2122953</v>
      </c>
      <c r="K7405">
        <v>0</v>
      </c>
    </row>
    <row r="7406" spans="1:11" x14ac:dyDescent="0.25">
      <c r="A7406" t="s">
        <v>9</v>
      </c>
      <c r="B7406" t="s">
        <v>250</v>
      </c>
      <c r="C7406" t="s">
        <v>873</v>
      </c>
      <c r="D7406" t="s">
        <v>14</v>
      </c>
      <c r="E7406">
        <v>7</v>
      </c>
      <c r="F7406" s="2">
        <f>DATE(2026,IF(Tabla1[[#This Row],[Mes de Fecha]]="Septiembre",9,10),Tabla1[[#This Row],[Día de Fecha]])</f>
        <v>46302</v>
      </c>
      <c r="G7406">
        <v>1087549195</v>
      </c>
      <c r="H7406" t="s">
        <v>253</v>
      </c>
      <c r="I7406">
        <v>10</v>
      </c>
      <c r="J7406">
        <v>0</v>
      </c>
      <c r="K7406" s="1">
        <v>596177</v>
      </c>
    </row>
    <row r="7407" spans="1:11" x14ac:dyDescent="0.25">
      <c r="A7407" t="s">
        <v>9</v>
      </c>
      <c r="B7407" t="s">
        <v>250</v>
      </c>
      <c r="C7407" t="s">
        <v>873</v>
      </c>
      <c r="D7407" t="s">
        <v>14</v>
      </c>
      <c r="E7407">
        <v>7</v>
      </c>
      <c r="F7407" s="2">
        <f>DATE(2026,IF(Tabla1[[#This Row],[Mes de Fecha]]="Septiembre",9,10),Tabla1[[#This Row],[Día de Fecha]])</f>
        <v>46302</v>
      </c>
      <c r="G7407">
        <v>1087553241</v>
      </c>
      <c r="H7407" t="s">
        <v>251</v>
      </c>
      <c r="I7407">
        <v>10</v>
      </c>
      <c r="J7407">
        <v>0</v>
      </c>
      <c r="K7407" s="1">
        <v>709664</v>
      </c>
    </row>
    <row r="7408" spans="1:11" x14ac:dyDescent="0.25">
      <c r="A7408" t="s">
        <v>9</v>
      </c>
      <c r="B7408" t="s">
        <v>250</v>
      </c>
      <c r="C7408" t="s">
        <v>873</v>
      </c>
      <c r="D7408" t="s">
        <v>14</v>
      </c>
      <c r="E7408">
        <v>7</v>
      </c>
      <c r="F7408" s="2">
        <f>DATE(2026,IF(Tabla1[[#This Row],[Mes de Fecha]]="Septiembre",9,10),Tabla1[[#This Row],[Día de Fecha]])</f>
        <v>46302</v>
      </c>
      <c r="G7408">
        <v>1087556533</v>
      </c>
      <c r="H7408" t="s">
        <v>252</v>
      </c>
      <c r="I7408">
        <v>17</v>
      </c>
      <c r="J7408">
        <v>0</v>
      </c>
      <c r="K7408" s="1">
        <v>805882</v>
      </c>
    </row>
    <row r="7409" spans="1:11" x14ac:dyDescent="0.25">
      <c r="A7409" t="s">
        <v>9</v>
      </c>
      <c r="B7409" t="s">
        <v>254</v>
      </c>
      <c r="C7409" t="s">
        <v>873</v>
      </c>
      <c r="D7409" t="s">
        <v>11</v>
      </c>
      <c r="E7409">
        <v>23</v>
      </c>
      <c r="F7409" s="2">
        <f>DATE(2026,IF(Tabla1[[#This Row],[Mes de Fecha]]="Septiembre",9,10),Tabla1[[#This Row],[Día de Fecha]])</f>
        <v>46288</v>
      </c>
      <c r="I7409">
        <v>0</v>
      </c>
      <c r="J7409" s="1">
        <v>1788650</v>
      </c>
      <c r="K7409">
        <v>0</v>
      </c>
    </row>
    <row r="7410" spans="1:11" x14ac:dyDescent="0.25">
      <c r="A7410" t="s">
        <v>9</v>
      </c>
      <c r="B7410" t="s">
        <v>254</v>
      </c>
      <c r="C7410" t="s">
        <v>873</v>
      </c>
      <c r="D7410" t="s">
        <v>11</v>
      </c>
      <c r="E7410">
        <v>23</v>
      </c>
      <c r="F7410" s="2">
        <f>DATE(2026,IF(Tabla1[[#This Row],[Mes de Fecha]]="Septiembre",9,10),Tabla1[[#This Row],[Día de Fecha]])</f>
        <v>46288</v>
      </c>
      <c r="G7410">
        <v>1076326561</v>
      </c>
      <c r="H7410" t="s">
        <v>255</v>
      </c>
      <c r="I7410">
        <v>47</v>
      </c>
      <c r="J7410">
        <v>0</v>
      </c>
      <c r="K7410" s="1">
        <v>2195549</v>
      </c>
    </row>
    <row r="7411" spans="1:11" x14ac:dyDescent="0.25">
      <c r="A7411" t="s">
        <v>9</v>
      </c>
      <c r="B7411" t="s">
        <v>254</v>
      </c>
      <c r="C7411" t="s">
        <v>873</v>
      </c>
      <c r="D7411" t="s">
        <v>11</v>
      </c>
      <c r="E7411">
        <v>23</v>
      </c>
      <c r="F7411" s="2">
        <f>DATE(2026,IF(Tabla1[[#This Row],[Mes de Fecha]]="Septiembre",9,10),Tabla1[[#This Row],[Día de Fecha]])</f>
        <v>46288</v>
      </c>
      <c r="G7411">
        <v>1077477819</v>
      </c>
      <c r="H7411" t="s">
        <v>256</v>
      </c>
      <c r="I7411">
        <v>35</v>
      </c>
      <c r="J7411">
        <v>0</v>
      </c>
      <c r="K7411" s="1">
        <v>1851598</v>
      </c>
    </row>
    <row r="7412" spans="1:11" x14ac:dyDescent="0.25">
      <c r="A7412" t="s">
        <v>9</v>
      </c>
      <c r="B7412" t="s">
        <v>254</v>
      </c>
      <c r="C7412" t="s">
        <v>873</v>
      </c>
      <c r="D7412" t="s">
        <v>11</v>
      </c>
      <c r="E7412">
        <v>24</v>
      </c>
      <c r="F7412" s="2">
        <f>DATE(2026,IF(Tabla1[[#This Row],[Mes de Fecha]]="Septiembre",9,10),Tabla1[[#This Row],[Día de Fecha]])</f>
        <v>46289</v>
      </c>
      <c r="I7412">
        <v>0</v>
      </c>
      <c r="J7412" s="1">
        <v>4625790</v>
      </c>
      <c r="K7412">
        <v>0</v>
      </c>
    </row>
    <row r="7413" spans="1:11" x14ac:dyDescent="0.25">
      <c r="A7413" t="s">
        <v>9</v>
      </c>
      <c r="B7413" t="s">
        <v>254</v>
      </c>
      <c r="C7413" t="s">
        <v>873</v>
      </c>
      <c r="D7413" t="s">
        <v>11</v>
      </c>
      <c r="E7413">
        <v>24</v>
      </c>
      <c r="F7413" s="2">
        <f>DATE(2026,IF(Tabla1[[#This Row],[Mes de Fecha]]="Septiembre",9,10),Tabla1[[#This Row],[Día de Fecha]])</f>
        <v>46289</v>
      </c>
      <c r="G7413">
        <v>1076326561</v>
      </c>
      <c r="H7413" t="s">
        <v>255</v>
      </c>
      <c r="I7413">
        <v>53</v>
      </c>
      <c r="J7413">
        <v>0</v>
      </c>
      <c r="K7413" s="1">
        <v>2722605</v>
      </c>
    </row>
    <row r="7414" spans="1:11" x14ac:dyDescent="0.25">
      <c r="A7414" t="s">
        <v>9</v>
      </c>
      <c r="B7414" t="s">
        <v>254</v>
      </c>
      <c r="C7414" t="s">
        <v>873</v>
      </c>
      <c r="D7414" t="s">
        <v>11</v>
      </c>
      <c r="E7414">
        <v>24</v>
      </c>
      <c r="F7414" s="2">
        <f>DATE(2026,IF(Tabla1[[#This Row],[Mes de Fecha]]="Septiembre",9,10),Tabla1[[#This Row],[Día de Fecha]])</f>
        <v>46289</v>
      </c>
      <c r="G7414">
        <v>1077477819</v>
      </c>
      <c r="H7414" t="s">
        <v>256</v>
      </c>
      <c r="I7414">
        <v>50</v>
      </c>
      <c r="J7414">
        <v>0</v>
      </c>
      <c r="K7414" s="1">
        <v>2416052</v>
      </c>
    </row>
    <row r="7415" spans="1:11" x14ac:dyDescent="0.25">
      <c r="A7415" t="s">
        <v>9</v>
      </c>
      <c r="B7415" t="s">
        <v>254</v>
      </c>
      <c r="C7415" t="s">
        <v>873</v>
      </c>
      <c r="D7415" t="s">
        <v>11</v>
      </c>
      <c r="E7415">
        <v>25</v>
      </c>
      <c r="F7415" s="2">
        <f>DATE(2026,IF(Tabla1[[#This Row],[Mes de Fecha]]="Septiembre",9,10),Tabla1[[#This Row],[Día de Fecha]])</f>
        <v>46290</v>
      </c>
      <c r="I7415">
        <v>0</v>
      </c>
      <c r="J7415" s="1">
        <v>4940597</v>
      </c>
      <c r="K7415">
        <v>0</v>
      </c>
    </row>
    <row r="7416" spans="1:11" x14ac:dyDescent="0.25">
      <c r="A7416" t="s">
        <v>9</v>
      </c>
      <c r="B7416" t="s">
        <v>254</v>
      </c>
      <c r="C7416" t="s">
        <v>873</v>
      </c>
      <c r="D7416" t="s">
        <v>11</v>
      </c>
      <c r="E7416">
        <v>25</v>
      </c>
      <c r="F7416" s="2">
        <f>DATE(2026,IF(Tabla1[[#This Row],[Mes de Fecha]]="Septiembre",9,10),Tabla1[[#This Row],[Día de Fecha]])</f>
        <v>46290</v>
      </c>
      <c r="G7416">
        <v>1076326561</v>
      </c>
      <c r="H7416" t="s">
        <v>255</v>
      </c>
      <c r="I7416">
        <v>32</v>
      </c>
      <c r="J7416">
        <v>0</v>
      </c>
      <c r="K7416" s="1">
        <v>1265546</v>
      </c>
    </row>
    <row r="7417" spans="1:11" x14ac:dyDescent="0.25">
      <c r="A7417" t="s">
        <v>9</v>
      </c>
      <c r="B7417" t="s">
        <v>254</v>
      </c>
      <c r="C7417" t="s">
        <v>873</v>
      </c>
      <c r="D7417" t="s">
        <v>11</v>
      </c>
      <c r="E7417">
        <v>25</v>
      </c>
      <c r="F7417" s="2">
        <f>DATE(2026,IF(Tabla1[[#This Row],[Mes de Fecha]]="Septiembre",9,10),Tabla1[[#This Row],[Día de Fecha]])</f>
        <v>46290</v>
      </c>
      <c r="G7417">
        <v>1077477819</v>
      </c>
      <c r="H7417" t="s">
        <v>256</v>
      </c>
      <c r="I7417">
        <v>42</v>
      </c>
      <c r="J7417">
        <v>0</v>
      </c>
      <c r="K7417" s="1">
        <v>1933237</v>
      </c>
    </row>
    <row r="7418" spans="1:11" x14ac:dyDescent="0.25">
      <c r="A7418" t="s">
        <v>9</v>
      </c>
      <c r="B7418" t="s">
        <v>254</v>
      </c>
      <c r="C7418" t="s">
        <v>873</v>
      </c>
      <c r="D7418" t="s">
        <v>11</v>
      </c>
      <c r="E7418">
        <v>26</v>
      </c>
      <c r="F7418" s="2">
        <f>DATE(2026,IF(Tabla1[[#This Row],[Mes de Fecha]]="Septiembre",9,10),Tabla1[[#This Row],[Día de Fecha]])</f>
        <v>46291</v>
      </c>
      <c r="I7418">
        <v>0</v>
      </c>
      <c r="J7418" s="1">
        <v>6229969</v>
      </c>
      <c r="K7418">
        <v>0</v>
      </c>
    </row>
    <row r="7419" spans="1:11" x14ac:dyDescent="0.25">
      <c r="A7419" t="s">
        <v>9</v>
      </c>
      <c r="B7419" t="s">
        <v>254</v>
      </c>
      <c r="C7419" t="s">
        <v>873</v>
      </c>
      <c r="D7419" t="s">
        <v>11</v>
      </c>
      <c r="E7419">
        <v>26</v>
      </c>
      <c r="F7419" s="2">
        <f>DATE(2026,IF(Tabla1[[#This Row],[Mes de Fecha]]="Septiembre",9,10),Tabla1[[#This Row],[Día de Fecha]])</f>
        <v>46291</v>
      </c>
      <c r="G7419">
        <v>1076326561</v>
      </c>
      <c r="H7419" t="s">
        <v>255</v>
      </c>
      <c r="I7419">
        <v>54</v>
      </c>
      <c r="J7419">
        <v>0</v>
      </c>
      <c r="K7419" s="1">
        <v>2720044</v>
      </c>
    </row>
    <row r="7420" spans="1:11" x14ac:dyDescent="0.25">
      <c r="A7420" t="s">
        <v>9</v>
      </c>
      <c r="B7420" t="s">
        <v>254</v>
      </c>
      <c r="C7420" t="s">
        <v>873</v>
      </c>
      <c r="D7420" t="s">
        <v>11</v>
      </c>
      <c r="E7420">
        <v>26</v>
      </c>
      <c r="F7420" s="2">
        <f>DATE(2026,IF(Tabla1[[#This Row],[Mes de Fecha]]="Septiembre",9,10),Tabla1[[#This Row],[Día de Fecha]])</f>
        <v>46291</v>
      </c>
      <c r="G7420">
        <v>1077477819</v>
      </c>
      <c r="H7420" t="s">
        <v>256</v>
      </c>
      <c r="I7420">
        <v>57</v>
      </c>
      <c r="J7420">
        <v>0</v>
      </c>
      <c r="K7420" s="1">
        <v>1836976</v>
      </c>
    </row>
    <row r="7421" spans="1:11" x14ac:dyDescent="0.25">
      <c r="A7421" t="s">
        <v>9</v>
      </c>
      <c r="B7421" t="s">
        <v>254</v>
      </c>
      <c r="C7421" t="s">
        <v>873</v>
      </c>
      <c r="D7421" t="s">
        <v>11</v>
      </c>
      <c r="E7421">
        <v>27</v>
      </c>
      <c r="F7421" s="2">
        <f>DATE(2026,IF(Tabla1[[#This Row],[Mes de Fecha]]="Septiembre",9,10),Tabla1[[#This Row],[Día de Fecha]])</f>
        <v>46292</v>
      </c>
      <c r="I7421">
        <v>0</v>
      </c>
      <c r="J7421" s="1">
        <v>3289363</v>
      </c>
      <c r="K7421">
        <v>0</v>
      </c>
    </row>
    <row r="7422" spans="1:11" x14ac:dyDescent="0.25">
      <c r="A7422" t="s">
        <v>9</v>
      </c>
      <c r="B7422" t="s">
        <v>254</v>
      </c>
      <c r="C7422" t="s">
        <v>873</v>
      </c>
      <c r="D7422" t="s">
        <v>11</v>
      </c>
      <c r="E7422">
        <v>27</v>
      </c>
      <c r="F7422" s="2">
        <f>DATE(2026,IF(Tabla1[[#This Row],[Mes de Fecha]]="Septiembre",9,10),Tabla1[[#This Row],[Día de Fecha]])</f>
        <v>46292</v>
      </c>
      <c r="G7422">
        <v>1077477819</v>
      </c>
      <c r="H7422" t="s">
        <v>256</v>
      </c>
      <c r="I7422">
        <v>39</v>
      </c>
      <c r="J7422">
        <v>0</v>
      </c>
      <c r="K7422" s="1">
        <v>1808910</v>
      </c>
    </row>
    <row r="7423" spans="1:11" x14ac:dyDescent="0.25">
      <c r="A7423" t="s">
        <v>9</v>
      </c>
      <c r="B7423" t="s">
        <v>254</v>
      </c>
      <c r="C7423" t="s">
        <v>873</v>
      </c>
      <c r="D7423" t="s">
        <v>11</v>
      </c>
      <c r="E7423">
        <v>28</v>
      </c>
      <c r="F7423" s="2">
        <f>DATE(2026,IF(Tabla1[[#This Row],[Mes de Fecha]]="Septiembre",9,10),Tabla1[[#This Row],[Día de Fecha]])</f>
        <v>46293</v>
      </c>
      <c r="I7423">
        <v>0</v>
      </c>
      <c r="J7423" s="1">
        <v>2696923</v>
      </c>
      <c r="K7423">
        <v>0</v>
      </c>
    </row>
    <row r="7424" spans="1:11" x14ac:dyDescent="0.25">
      <c r="A7424" t="s">
        <v>9</v>
      </c>
      <c r="B7424" t="s">
        <v>254</v>
      </c>
      <c r="C7424" t="s">
        <v>873</v>
      </c>
      <c r="D7424" t="s">
        <v>11</v>
      </c>
      <c r="E7424">
        <v>28</v>
      </c>
      <c r="F7424" s="2">
        <f>DATE(2026,IF(Tabla1[[#This Row],[Mes de Fecha]]="Septiembre",9,10),Tabla1[[#This Row],[Día de Fecha]])</f>
        <v>46293</v>
      </c>
      <c r="G7424">
        <v>1077477819</v>
      </c>
      <c r="H7424" t="s">
        <v>256</v>
      </c>
      <c r="I7424">
        <v>56</v>
      </c>
      <c r="J7424">
        <v>0</v>
      </c>
      <c r="K7424" s="1">
        <v>2654834</v>
      </c>
    </row>
    <row r="7425" spans="1:11" x14ac:dyDescent="0.25">
      <c r="A7425" t="s">
        <v>9</v>
      </c>
      <c r="B7425" t="s">
        <v>254</v>
      </c>
      <c r="C7425" t="s">
        <v>873</v>
      </c>
      <c r="D7425" t="s">
        <v>11</v>
      </c>
      <c r="E7425">
        <v>29</v>
      </c>
      <c r="F7425" s="2">
        <f>DATE(2026,IF(Tabla1[[#This Row],[Mes de Fecha]]="Septiembre",9,10),Tabla1[[#This Row],[Día de Fecha]])</f>
        <v>46294</v>
      </c>
      <c r="I7425">
        <v>0</v>
      </c>
      <c r="J7425" s="1">
        <v>2998179</v>
      </c>
      <c r="K7425">
        <v>0</v>
      </c>
    </row>
    <row r="7426" spans="1:11" x14ac:dyDescent="0.25">
      <c r="A7426" t="s">
        <v>9</v>
      </c>
      <c r="B7426" t="s">
        <v>254</v>
      </c>
      <c r="C7426" t="s">
        <v>873</v>
      </c>
      <c r="D7426" t="s">
        <v>11</v>
      </c>
      <c r="E7426">
        <v>29</v>
      </c>
      <c r="F7426" s="2">
        <f>DATE(2026,IF(Tabla1[[#This Row],[Mes de Fecha]]="Septiembre",9,10),Tabla1[[#This Row],[Día de Fecha]])</f>
        <v>46294</v>
      </c>
      <c r="G7426">
        <v>1076326561</v>
      </c>
      <c r="H7426" t="s">
        <v>255</v>
      </c>
      <c r="I7426">
        <v>57</v>
      </c>
      <c r="J7426">
        <v>0</v>
      </c>
      <c r="K7426" s="1">
        <v>2566557</v>
      </c>
    </row>
    <row r="7427" spans="1:11" x14ac:dyDescent="0.25">
      <c r="A7427" t="s">
        <v>9</v>
      </c>
      <c r="B7427" t="s">
        <v>254</v>
      </c>
      <c r="C7427" t="s">
        <v>873</v>
      </c>
      <c r="D7427" t="s">
        <v>11</v>
      </c>
      <c r="E7427">
        <v>29</v>
      </c>
      <c r="F7427" s="2">
        <f>DATE(2026,IF(Tabla1[[#This Row],[Mes de Fecha]]="Septiembre",9,10),Tabla1[[#This Row],[Día de Fecha]])</f>
        <v>46294</v>
      </c>
      <c r="G7427">
        <v>1077477819</v>
      </c>
      <c r="H7427" t="s">
        <v>256</v>
      </c>
      <c r="I7427">
        <v>29</v>
      </c>
      <c r="J7427">
        <v>0</v>
      </c>
      <c r="K7427" s="1">
        <v>1885253</v>
      </c>
    </row>
    <row r="7428" spans="1:11" x14ac:dyDescent="0.25">
      <c r="A7428" t="s">
        <v>9</v>
      </c>
      <c r="B7428" t="s">
        <v>254</v>
      </c>
      <c r="C7428" t="s">
        <v>873</v>
      </c>
      <c r="D7428" t="s">
        <v>11</v>
      </c>
      <c r="E7428">
        <v>30</v>
      </c>
      <c r="F7428" s="2">
        <f>DATE(2026,IF(Tabla1[[#This Row],[Mes de Fecha]]="Septiembre",9,10),Tabla1[[#This Row],[Día de Fecha]])</f>
        <v>46295</v>
      </c>
      <c r="I7428">
        <v>0</v>
      </c>
      <c r="J7428" s="1">
        <v>3175168</v>
      </c>
      <c r="K7428">
        <v>0</v>
      </c>
    </row>
    <row r="7429" spans="1:11" x14ac:dyDescent="0.25">
      <c r="A7429" t="s">
        <v>9</v>
      </c>
      <c r="B7429" t="s">
        <v>254</v>
      </c>
      <c r="C7429" t="s">
        <v>873</v>
      </c>
      <c r="D7429" t="s">
        <v>11</v>
      </c>
      <c r="E7429">
        <v>30</v>
      </c>
      <c r="F7429" s="2">
        <f>DATE(2026,IF(Tabla1[[#This Row],[Mes de Fecha]]="Septiembre",9,10),Tabla1[[#This Row],[Día de Fecha]])</f>
        <v>46295</v>
      </c>
      <c r="G7429">
        <v>1076326561</v>
      </c>
      <c r="H7429" t="s">
        <v>255</v>
      </c>
      <c r="I7429">
        <v>36</v>
      </c>
      <c r="J7429">
        <v>0</v>
      </c>
      <c r="K7429" s="1">
        <v>2027774</v>
      </c>
    </row>
    <row r="7430" spans="1:11" x14ac:dyDescent="0.25">
      <c r="A7430" t="s">
        <v>9</v>
      </c>
      <c r="B7430" t="s">
        <v>254</v>
      </c>
      <c r="C7430" t="s">
        <v>873</v>
      </c>
      <c r="D7430" t="s">
        <v>11</v>
      </c>
      <c r="E7430">
        <v>30</v>
      </c>
      <c r="F7430" s="2">
        <f>DATE(2026,IF(Tabla1[[#This Row],[Mes de Fecha]]="Septiembre",9,10),Tabla1[[#This Row],[Día de Fecha]])</f>
        <v>46295</v>
      </c>
      <c r="G7430">
        <v>1077477819</v>
      </c>
      <c r="H7430" t="s">
        <v>256</v>
      </c>
      <c r="I7430">
        <v>18</v>
      </c>
      <c r="J7430">
        <v>0</v>
      </c>
      <c r="K7430" s="1">
        <v>877269</v>
      </c>
    </row>
    <row r="7431" spans="1:11" x14ac:dyDescent="0.25">
      <c r="A7431" t="s">
        <v>9</v>
      </c>
      <c r="B7431" t="s">
        <v>254</v>
      </c>
      <c r="C7431" t="s">
        <v>873</v>
      </c>
      <c r="D7431" t="s">
        <v>14</v>
      </c>
      <c r="E7431">
        <v>1</v>
      </c>
      <c r="F7431" s="2">
        <f>DATE(2026,IF(Tabla1[[#This Row],[Mes de Fecha]]="Septiembre",9,10),Tabla1[[#This Row],[Día de Fecha]])</f>
        <v>46296</v>
      </c>
      <c r="I7431">
        <v>0</v>
      </c>
      <c r="J7431" s="1">
        <v>3276495</v>
      </c>
      <c r="K7431">
        <v>0</v>
      </c>
    </row>
    <row r="7432" spans="1:11" x14ac:dyDescent="0.25">
      <c r="A7432" t="s">
        <v>9</v>
      </c>
      <c r="B7432" t="s">
        <v>254</v>
      </c>
      <c r="C7432" t="s">
        <v>873</v>
      </c>
      <c r="D7432" t="s">
        <v>14</v>
      </c>
      <c r="E7432">
        <v>1</v>
      </c>
      <c r="F7432" s="2">
        <f>DATE(2026,IF(Tabla1[[#This Row],[Mes de Fecha]]="Septiembre",9,10),Tabla1[[#This Row],[Día de Fecha]])</f>
        <v>46296</v>
      </c>
      <c r="G7432">
        <v>1076326561</v>
      </c>
      <c r="H7432" t="s">
        <v>255</v>
      </c>
      <c r="I7432">
        <v>26</v>
      </c>
      <c r="J7432">
        <v>0</v>
      </c>
      <c r="K7432" s="1">
        <v>1435928</v>
      </c>
    </row>
    <row r="7433" spans="1:11" x14ac:dyDescent="0.25">
      <c r="A7433" t="s">
        <v>9</v>
      </c>
      <c r="B7433" t="s">
        <v>254</v>
      </c>
      <c r="C7433" t="s">
        <v>873</v>
      </c>
      <c r="D7433" t="s">
        <v>14</v>
      </c>
      <c r="E7433">
        <v>1</v>
      </c>
      <c r="F7433" s="2">
        <f>DATE(2026,IF(Tabla1[[#This Row],[Mes de Fecha]]="Septiembre",9,10),Tabla1[[#This Row],[Día de Fecha]])</f>
        <v>46296</v>
      </c>
      <c r="G7433">
        <v>1077477819</v>
      </c>
      <c r="H7433" t="s">
        <v>256</v>
      </c>
      <c r="I7433">
        <v>36</v>
      </c>
      <c r="J7433">
        <v>0</v>
      </c>
      <c r="K7433" s="1">
        <v>1856363</v>
      </c>
    </row>
    <row r="7434" spans="1:11" x14ac:dyDescent="0.25">
      <c r="A7434" t="s">
        <v>9</v>
      </c>
      <c r="B7434" t="s">
        <v>254</v>
      </c>
      <c r="C7434" t="s">
        <v>873</v>
      </c>
      <c r="D7434" t="s">
        <v>14</v>
      </c>
      <c r="E7434">
        <v>2</v>
      </c>
      <c r="F7434" s="2">
        <f>DATE(2026,IF(Tabla1[[#This Row],[Mes de Fecha]]="Septiembre",9,10),Tabla1[[#This Row],[Día de Fecha]])</f>
        <v>46297</v>
      </c>
      <c r="I7434">
        <v>0</v>
      </c>
      <c r="J7434" s="1">
        <v>3008128</v>
      </c>
      <c r="K7434">
        <v>0</v>
      </c>
    </row>
    <row r="7435" spans="1:11" x14ac:dyDescent="0.25">
      <c r="A7435" t="s">
        <v>9</v>
      </c>
      <c r="B7435" t="s">
        <v>254</v>
      </c>
      <c r="C7435" t="s">
        <v>873</v>
      </c>
      <c r="D7435" t="s">
        <v>14</v>
      </c>
      <c r="E7435">
        <v>2</v>
      </c>
      <c r="F7435" s="2">
        <f>DATE(2026,IF(Tabla1[[#This Row],[Mes de Fecha]]="Septiembre",9,10),Tabla1[[#This Row],[Día de Fecha]])</f>
        <v>46297</v>
      </c>
      <c r="G7435">
        <v>1076326561</v>
      </c>
      <c r="H7435" t="s">
        <v>255</v>
      </c>
      <c r="I7435">
        <v>41</v>
      </c>
      <c r="J7435">
        <v>0</v>
      </c>
      <c r="K7435" s="1">
        <v>2140797</v>
      </c>
    </row>
    <row r="7436" spans="1:11" x14ac:dyDescent="0.25">
      <c r="A7436" t="s">
        <v>9</v>
      </c>
      <c r="B7436" t="s">
        <v>254</v>
      </c>
      <c r="C7436" t="s">
        <v>873</v>
      </c>
      <c r="D7436" t="s">
        <v>14</v>
      </c>
      <c r="E7436">
        <v>2</v>
      </c>
      <c r="F7436" s="2">
        <f>DATE(2026,IF(Tabla1[[#This Row],[Mes de Fecha]]="Septiembre",9,10),Tabla1[[#This Row],[Día de Fecha]])</f>
        <v>46297</v>
      </c>
      <c r="G7436">
        <v>1077477819</v>
      </c>
      <c r="H7436" t="s">
        <v>256</v>
      </c>
      <c r="I7436">
        <v>32</v>
      </c>
      <c r="J7436">
        <v>0</v>
      </c>
      <c r="K7436" s="1">
        <v>1422648</v>
      </c>
    </row>
    <row r="7437" spans="1:11" x14ac:dyDescent="0.25">
      <c r="A7437" t="s">
        <v>9</v>
      </c>
      <c r="B7437" t="s">
        <v>254</v>
      </c>
      <c r="C7437" t="s">
        <v>873</v>
      </c>
      <c r="D7437" t="s">
        <v>14</v>
      </c>
      <c r="E7437">
        <v>3</v>
      </c>
      <c r="F7437" s="2">
        <f>DATE(2026,IF(Tabla1[[#This Row],[Mes de Fecha]]="Septiembre",9,10),Tabla1[[#This Row],[Día de Fecha]])</f>
        <v>46298</v>
      </c>
      <c r="I7437">
        <v>0</v>
      </c>
      <c r="J7437" s="1">
        <v>2225487</v>
      </c>
      <c r="K7437">
        <v>0</v>
      </c>
    </row>
    <row r="7438" spans="1:11" x14ac:dyDescent="0.25">
      <c r="A7438" t="s">
        <v>9</v>
      </c>
      <c r="B7438" t="s">
        <v>254</v>
      </c>
      <c r="C7438" t="s">
        <v>873</v>
      </c>
      <c r="D7438" t="s">
        <v>14</v>
      </c>
      <c r="E7438">
        <v>3</v>
      </c>
      <c r="F7438" s="2">
        <f>DATE(2026,IF(Tabla1[[#This Row],[Mes de Fecha]]="Septiembre",9,10),Tabla1[[#This Row],[Día de Fecha]])</f>
        <v>46298</v>
      </c>
      <c r="G7438">
        <v>1076326561</v>
      </c>
      <c r="H7438" t="s">
        <v>255</v>
      </c>
      <c r="I7438">
        <v>52</v>
      </c>
      <c r="J7438">
        <v>0</v>
      </c>
      <c r="K7438" s="1">
        <v>2010420</v>
      </c>
    </row>
    <row r="7439" spans="1:11" x14ac:dyDescent="0.25">
      <c r="A7439" t="s">
        <v>9</v>
      </c>
      <c r="B7439" t="s">
        <v>254</v>
      </c>
      <c r="C7439" t="s">
        <v>873</v>
      </c>
      <c r="D7439" t="s">
        <v>14</v>
      </c>
      <c r="E7439">
        <v>3</v>
      </c>
      <c r="F7439" s="2">
        <f>DATE(2026,IF(Tabla1[[#This Row],[Mes de Fecha]]="Septiembre",9,10),Tabla1[[#This Row],[Día de Fecha]])</f>
        <v>46298</v>
      </c>
      <c r="G7439">
        <v>1077477819</v>
      </c>
      <c r="H7439" t="s">
        <v>256</v>
      </c>
      <c r="I7439">
        <v>35</v>
      </c>
      <c r="J7439">
        <v>0</v>
      </c>
      <c r="K7439" s="1">
        <v>1657573</v>
      </c>
    </row>
    <row r="7440" spans="1:11" x14ac:dyDescent="0.25">
      <c r="A7440" t="s">
        <v>9</v>
      </c>
      <c r="B7440" t="s">
        <v>254</v>
      </c>
      <c r="C7440" t="s">
        <v>873</v>
      </c>
      <c r="D7440" t="s">
        <v>14</v>
      </c>
      <c r="E7440">
        <v>4</v>
      </c>
      <c r="F7440" s="2">
        <f>DATE(2026,IF(Tabla1[[#This Row],[Mes de Fecha]]="Septiembre",9,10),Tabla1[[#This Row],[Día de Fecha]])</f>
        <v>46299</v>
      </c>
      <c r="I7440">
        <v>0</v>
      </c>
      <c r="J7440" s="1">
        <v>2236906</v>
      </c>
      <c r="K7440">
        <v>0</v>
      </c>
    </row>
    <row r="7441" spans="1:11" x14ac:dyDescent="0.25">
      <c r="A7441" t="s">
        <v>9</v>
      </c>
      <c r="B7441" t="s">
        <v>254</v>
      </c>
      <c r="C7441" t="s">
        <v>873</v>
      </c>
      <c r="D7441" t="s">
        <v>14</v>
      </c>
      <c r="E7441">
        <v>4</v>
      </c>
      <c r="F7441" s="2">
        <f>DATE(2026,IF(Tabla1[[#This Row],[Mes de Fecha]]="Septiembre",9,10),Tabla1[[#This Row],[Día de Fecha]])</f>
        <v>46299</v>
      </c>
      <c r="G7441">
        <v>1076326561</v>
      </c>
      <c r="H7441" t="s">
        <v>255</v>
      </c>
      <c r="I7441">
        <v>68</v>
      </c>
      <c r="J7441">
        <v>0</v>
      </c>
      <c r="K7441" s="1">
        <v>3099752</v>
      </c>
    </row>
    <row r="7442" spans="1:11" x14ac:dyDescent="0.25">
      <c r="A7442" t="s">
        <v>9</v>
      </c>
      <c r="B7442" t="s">
        <v>254</v>
      </c>
      <c r="C7442" t="s">
        <v>873</v>
      </c>
      <c r="D7442" t="s">
        <v>14</v>
      </c>
      <c r="E7442">
        <v>5</v>
      </c>
      <c r="F7442" s="2">
        <f>DATE(2026,IF(Tabla1[[#This Row],[Mes de Fecha]]="Septiembre",9,10),Tabla1[[#This Row],[Día de Fecha]])</f>
        <v>46300</v>
      </c>
      <c r="I7442">
        <v>0</v>
      </c>
      <c r="J7442" s="1">
        <v>3694100</v>
      </c>
      <c r="K7442">
        <v>0</v>
      </c>
    </row>
    <row r="7443" spans="1:11" x14ac:dyDescent="0.25">
      <c r="A7443" t="s">
        <v>9</v>
      </c>
      <c r="B7443" t="s">
        <v>254</v>
      </c>
      <c r="C7443" t="s">
        <v>873</v>
      </c>
      <c r="D7443" t="s">
        <v>14</v>
      </c>
      <c r="E7443">
        <v>5</v>
      </c>
      <c r="F7443" s="2">
        <f>DATE(2026,IF(Tabla1[[#This Row],[Mes de Fecha]]="Septiembre",9,10),Tabla1[[#This Row],[Día de Fecha]])</f>
        <v>46300</v>
      </c>
      <c r="G7443">
        <v>1077477819</v>
      </c>
      <c r="H7443" t="s">
        <v>256</v>
      </c>
      <c r="I7443">
        <v>79</v>
      </c>
      <c r="J7443">
        <v>0</v>
      </c>
      <c r="K7443" s="1">
        <v>4681180</v>
      </c>
    </row>
    <row r="7444" spans="1:11" x14ac:dyDescent="0.25">
      <c r="A7444" t="s">
        <v>9</v>
      </c>
      <c r="B7444" t="s">
        <v>254</v>
      </c>
      <c r="C7444" t="s">
        <v>873</v>
      </c>
      <c r="D7444" t="s">
        <v>14</v>
      </c>
      <c r="E7444">
        <v>6</v>
      </c>
      <c r="F7444" s="2">
        <f>DATE(2026,IF(Tabla1[[#This Row],[Mes de Fecha]]="Septiembre",9,10),Tabla1[[#This Row],[Día de Fecha]])</f>
        <v>46301</v>
      </c>
      <c r="I7444">
        <v>0</v>
      </c>
      <c r="J7444" s="1">
        <v>1562069</v>
      </c>
      <c r="K7444">
        <v>0</v>
      </c>
    </row>
    <row r="7445" spans="1:11" x14ac:dyDescent="0.25">
      <c r="A7445" t="s">
        <v>9</v>
      </c>
      <c r="B7445" t="s">
        <v>254</v>
      </c>
      <c r="C7445" t="s">
        <v>873</v>
      </c>
      <c r="D7445" t="s">
        <v>14</v>
      </c>
      <c r="E7445">
        <v>6</v>
      </c>
      <c r="F7445" s="2">
        <f>DATE(2026,IF(Tabla1[[#This Row],[Mes de Fecha]]="Septiembre",9,10),Tabla1[[#This Row],[Día de Fecha]])</f>
        <v>46301</v>
      </c>
      <c r="G7445">
        <v>1076326561</v>
      </c>
      <c r="H7445" t="s">
        <v>255</v>
      </c>
      <c r="I7445">
        <v>42</v>
      </c>
      <c r="J7445">
        <v>0</v>
      </c>
      <c r="K7445" s="1">
        <v>1683678</v>
      </c>
    </row>
    <row r="7446" spans="1:11" x14ac:dyDescent="0.25">
      <c r="A7446" t="s">
        <v>9</v>
      </c>
      <c r="B7446" t="s">
        <v>254</v>
      </c>
      <c r="C7446" t="s">
        <v>873</v>
      </c>
      <c r="D7446" t="s">
        <v>14</v>
      </c>
      <c r="E7446">
        <v>6</v>
      </c>
      <c r="F7446" s="2">
        <f>DATE(2026,IF(Tabla1[[#This Row],[Mes de Fecha]]="Septiembre",9,10),Tabla1[[#This Row],[Día de Fecha]])</f>
        <v>46301</v>
      </c>
      <c r="G7446">
        <v>1077477819</v>
      </c>
      <c r="H7446" t="s">
        <v>256</v>
      </c>
      <c r="I7446">
        <v>37</v>
      </c>
      <c r="J7446">
        <v>0</v>
      </c>
      <c r="K7446" s="1">
        <v>1604270</v>
      </c>
    </row>
    <row r="7447" spans="1:11" x14ac:dyDescent="0.25">
      <c r="A7447" t="s">
        <v>9</v>
      </c>
      <c r="B7447" t="s">
        <v>254</v>
      </c>
      <c r="C7447" t="s">
        <v>873</v>
      </c>
      <c r="D7447" t="s">
        <v>14</v>
      </c>
      <c r="E7447">
        <v>7</v>
      </c>
      <c r="F7447" s="2">
        <f>DATE(2026,IF(Tabla1[[#This Row],[Mes de Fecha]]="Septiembre",9,10),Tabla1[[#This Row],[Día de Fecha]])</f>
        <v>46302</v>
      </c>
      <c r="I7447">
        <v>0</v>
      </c>
      <c r="J7447" s="1">
        <v>4168531</v>
      </c>
      <c r="K7447">
        <v>0</v>
      </c>
    </row>
    <row r="7448" spans="1:11" x14ac:dyDescent="0.25">
      <c r="A7448" t="s">
        <v>9</v>
      </c>
      <c r="B7448" t="s">
        <v>254</v>
      </c>
      <c r="C7448" t="s">
        <v>873</v>
      </c>
      <c r="D7448" t="s">
        <v>14</v>
      </c>
      <c r="E7448">
        <v>7</v>
      </c>
      <c r="F7448" s="2">
        <f>DATE(2026,IF(Tabla1[[#This Row],[Mes de Fecha]]="Septiembre",9,10),Tabla1[[#This Row],[Día de Fecha]])</f>
        <v>46302</v>
      </c>
      <c r="G7448">
        <v>1076326561</v>
      </c>
      <c r="H7448" t="s">
        <v>255</v>
      </c>
      <c r="I7448">
        <v>37</v>
      </c>
      <c r="J7448">
        <v>0</v>
      </c>
      <c r="K7448" s="1">
        <v>1388825</v>
      </c>
    </row>
    <row r="7449" spans="1:11" x14ac:dyDescent="0.25">
      <c r="A7449" t="s">
        <v>9</v>
      </c>
      <c r="B7449" t="s">
        <v>254</v>
      </c>
      <c r="C7449" t="s">
        <v>873</v>
      </c>
      <c r="D7449" t="s">
        <v>14</v>
      </c>
      <c r="E7449">
        <v>7</v>
      </c>
      <c r="F7449" s="2">
        <f>DATE(2026,IF(Tabla1[[#This Row],[Mes de Fecha]]="Septiembre",9,10),Tabla1[[#This Row],[Día de Fecha]])</f>
        <v>46302</v>
      </c>
      <c r="G7449">
        <v>1077477819</v>
      </c>
      <c r="H7449" t="s">
        <v>256</v>
      </c>
      <c r="I7449">
        <v>28</v>
      </c>
      <c r="J7449">
        <v>0</v>
      </c>
      <c r="K7449" s="1">
        <v>1183448</v>
      </c>
    </row>
    <row r="7450" spans="1:11" x14ac:dyDescent="0.25">
      <c r="A7450" t="s">
        <v>326</v>
      </c>
      <c r="B7450" t="s">
        <v>493</v>
      </c>
      <c r="C7450" t="s">
        <v>873</v>
      </c>
      <c r="D7450" t="s">
        <v>11</v>
      </c>
      <c r="E7450">
        <v>23</v>
      </c>
      <c r="F7450" s="2">
        <f>DATE(2026,IF(Tabla1[[#This Row],[Mes de Fecha]]="Septiembre",9,10),Tabla1[[#This Row],[Día de Fecha]])</f>
        <v>46288</v>
      </c>
      <c r="I7450">
        <v>0</v>
      </c>
      <c r="J7450" s="1">
        <v>6379278</v>
      </c>
      <c r="K7450">
        <v>0</v>
      </c>
    </row>
    <row r="7451" spans="1:11" x14ac:dyDescent="0.25">
      <c r="A7451" t="s">
        <v>326</v>
      </c>
      <c r="B7451" t="s">
        <v>493</v>
      </c>
      <c r="C7451" t="s">
        <v>873</v>
      </c>
      <c r="D7451" t="s">
        <v>11</v>
      </c>
      <c r="E7451">
        <v>23</v>
      </c>
      <c r="F7451" s="2">
        <f>DATE(2026,IF(Tabla1[[#This Row],[Mes de Fecha]]="Septiembre",9,10),Tabla1[[#This Row],[Día de Fecha]])</f>
        <v>46288</v>
      </c>
      <c r="G7451">
        <v>1002491256</v>
      </c>
      <c r="H7451" t="s">
        <v>501</v>
      </c>
      <c r="I7451">
        <v>48</v>
      </c>
      <c r="J7451">
        <v>0</v>
      </c>
      <c r="K7451" s="1">
        <v>2310589</v>
      </c>
    </row>
    <row r="7452" spans="1:11" x14ac:dyDescent="0.25">
      <c r="A7452" t="s">
        <v>326</v>
      </c>
      <c r="B7452" t="s">
        <v>493</v>
      </c>
      <c r="C7452" t="s">
        <v>873</v>
      </c>
      <c r="D7452" t="s">
        <v>11</v>
      </c>
      <c r="E7452">
        <v>23</v>
      </c>
      <c r="F7452" s="2">
        <f>DATE(2026,IF(Tabla1[[#This Row],[Mes de Fecha]]="Septiembre",9,10),Tabla1[[#This Row],[Día de Fecha]])</f>
        <v>46288</v>
      </c>
      <c r="G7452">
        <v>1004520656</v>
      </c>
      <c r="H7452" t="s">
        <v>502</v>
      </c>
      <c r="I7452">
        <v>22</v>
      </c>
      <c r="J7452">
        <v>0</v>
      </c>
      <c r="K7452" s="1">
        <v>1473825</v>
      </c>
    </row>
    <row r="7453" spans="1:11" x14ac:dyDescent="0.25">
      <c r="A7453" t="s">
        <v>326</v>
      </c>
      <c r="B7453" t="s">
        <v>493</v>
      </c>
      <c r="C7453" t="s">
        <v>873</v>
      </c>
      <c r="D7453" t="s">
        <v>11</v>
      </c>
      <c r="E7453">
        <v>23</v>
      </c>
      <c r="F7453" s="2">
        <f>DATE(2026,IF(Tabla1[[#This Row],[Mes de Fecha]]="Septiembre",9,10),Tabla1[[#This Row],[Día de Fecha]])</f>
        <v>46288</v>
      </c>
      <c r="G7453">
        <v>1088333747</v>
      </c>
      <c r="H7453" t="s">
        <v>495</v>
      </c>
      <c r="I7453">
        <v>60</v>
      </c>
      <c r="J7453">
        <v>0</v>
      </c>
      <c r="K7453" s="1">
        <v>3509877</v>
      </c>
    </row>
    <row r="7454" spans="1:11" x14ac:dyDescent="0.25">
      <c r="A7454" t="s">
        <v>326</v>
      </c>
      <c r="B7454" t="s">
        <v>493</v>
      </c>
      <c r="C7454" t="s">
        <v>873</v>
      </c>
      <c r="D7454" t="s">
        <v>11</v>
      </c>
      <c r="E7454">
        <v>23</v>
      </c>
      <c r="F7454" s="2">
        <f>DATE(2026,IF(Tabla1[[#This Row],[Mes de Fecha]]="Septiembre",9,10),Tabla1[[#This Row],[Día de Fecha]])</f>
        <v>46288</v>
      </c>
      <c r="G7454">
        <v>1112760066</v>
      </c>
      <c r="H7454" t="s">
        <v>496</v>
      </c>
      <c r="I7454">
        <v>73</v>
      </c>
      <c r="J7454">
        <v>0</v>
      </c>
      <c r="K7454" s="1">
        <v>4172901</v>
      </c>
    </row>
    <row r="7455" spans="1:11" x14ac:dyDescent="0.25">
      <c r="A7455" t="s">
        <v>326</v>
      </c>
      <c r="B7455" t="s">
        <v>493</v>
      </c>
      <c r="C7455" t="s">
        <v>873</v>
      </c>
      <c r="D7455" t="s">
        <v>11</v>
      </c>
      <c r="E7455">
        <v>24</v>
      </c>
      <c r="F7455" s="2">
        <f>DATE(2026,IF(Tabla1[[#This Row],[Mes de Fecha]]="Septiembre",9,10),Tabla1[[#This Row],[Día de Fecha]])</f>
        <v>46289</v>
      </c>
      <c r="I7455">
        <v>0</v>
      </c>
      <c r="J7455" s="1">
        <v>9745069</v>
      </c>
      <c r="K7455">
        <v>0</v>
      </c>
    </row>
    <row r="7456" spans="1:11" x14ac:dyDescent="0.25">
      <c r="A7456" t="s">
        <v>326</v>
      </c>
      <c r="B7456" t="s">
        <v>493</v>
      </c>
      <c r="C7456" t="s">
        <v>873</v>
      </c>
      <c r="D7456" t="s">
        <v>11</v>
      </c>
      <c r="E7456">
        <v>24</v>
      </c>
      <c r="F7456" s="2">
        <f>DATE(2026,IF(Tabla1[[#This Row],[Mes de Fecha]]="Septiembre",9,10),Tabla1[[#This Row],[Día de Fecha]])</f>
        <v>46289</v>
      </c>
      <c r="G7456">
        <v>1002491256</v>
      </c>
      <c r="H7456" t="s">
        <v>501</v>
      </c>
      <c r="I7456">
        <v>36</v>
      </c>
      <c r="J7456">
        <v>0</v>
      </c>
      <c r="K7456" s="1">
        <v>1514875</v>
      </c>
    </row>
    <row r="7457" spans="1:11" x14ac:dyDescent="0.25">
      <c r="A7457" t="s">
        <v>326</v>
      </c>
      <c r="B7457" t="s">
        <v>493</v>
      </c>
      <c r="C7457" t="s">
        <v>873</v>
      </c>
      <c r="D7457" t="s">
        <v>11</v>
      </c>
      <c r="E7457">
        <v>24</v>
      </c>
      <c r="F7457" s="2">
        <f>DATE(2026,IF(Tabla1[[#This Row],[Mes de Fecha]]="Septiembre",9,10),Tabla1[[#This Row],[Día de Fecha]])</f>
        <v>46289</v>
      </c>
      <c r="G7457">
        <v>1004520656</v>
      </c>
      <c r="H7457" t="s">
        <v>502</v>
      </c>
      <c r="I7457">
        <v>25</v>
      </c>
      <c r="J7457">
        <v>0</v>
      </c>
      <c r="K7457" s="1">
        <v>1204513</v>
      </c>
    </row>
    <row r="7458" spans="1:11" x14ac:dyDescent="0.25">
      <c r="A7458" t="s">
        <v>326</v>
      </c>
      <c r="B7458" t="s">
        <v>493</v>
      </c>
      <c r="C7458" t="s">
        <v>873</v>
      </c>
      <c r="D7458" t="s">
        <v>11</v>
      </c>
      <c r="E7458">
        <v>24</v>
      </c>
      <c r="F7458" s="2">
        <f>DATE(2026,IF(Tabla1[[#This Row],[Mes de Fecha]]="Septiembre",9,10),Tabla1[[#This Row],[Día de Fecha]])</f>
        <v>46289</v>
      </c>
      <c r="G7458">
        <v>1088333747</v>
      </c>
      <c r="H7458" t="s">
        <v>495</v>
      </c>
      <c r="I7458">
        <v>63</v>
      </c>
      <c r="J7458">
        <v>0</v>
      </c>
      <c r="K7458" s="1">
        <v>2635590</v>
      </c>
    </row>
    <row r="7459" spans="1:11" x14ac:dyDescent="0.25">
      <c r="A7459" t="s">
        <v>326</v>
      </c>
      <c r="B7459" t="s">
        <v>493</v>
      </c>
      <c r="C7459" t="s">
        <v>873</v>
      </c>
      <c r="D7459" t="s">
        <v>11</v>
      </c>
      <c r="E7459">
        <v>24</v>
      </c>
      <c r="F7459" s="2">
        <f>DATE(2026,IF(Tabla1[[#This Row],[Mes de Fecha]]="Septiembre",9,10),Tabla1[[#This Row],[Día de Fecha]])</f>
        <v>46289</v>
      </c>
      <c r="G7459">
        <v>1112760066</v>
      </c>
      <c r="H7459" t="s">
        <v>496</v>
      </c>
      <c r="I7459">
        <v>80</v>
      </c>
      <c r="J7459">
        <v>0</v>
      </c>
      <c r="K7459" s="1">
        <v>3937188</v>
      </c>
    </row>
    <row r="7460" spans="1:11" x14ac:dyDescent="0.25">
      <c r="A7460" t="s">
        <v>326</v>
      </c>
      <c r="B7460" t="s">
        <v>493</v>
      </c>
      <c r="C7460" t="s">
        <v>873</v>
      </c>
      <c r="D7460" t="s">
        <v>11</v>
      </c>
      <c r="E7460">
        <v>25</v>
      </c>
      <c r="F7460" s="2">
        <f>DATE(2026,IF(Tabla1[[#This Row],[Mes de Fecha]]="Septiembre",9,10),Tabla1[[#This Row],[Día de Fecha]])</f>
        <v>46290</v>
      </c>
      <c r="I7460">
        <v>0</v>
      </c>
      <c r="J7460" s="1">
        <v>9723491</v>
      </c>
      <c r="K7460">
        <v>0</v>
      </c>
    </row>
    <row r="7461" spans="1:11" x14ac:dyDescent="0.25">
      <c r="A7461" t="s">
        <v>326</v>
      </c>
      <c r="B7461" t="s">
        <v>493</v>
      </c>
      <c r="C7461" t="s">
        <v>873</v>
      </c>
      <c r="D7461" t="s">
        <v>11</v>
      </c>
      <c r="E7461">
        <v>25</v>
      </c>
      <c r="F7461" s="2">
        <f>DATE(2026,IF(Tabla1[[#This Row],[Mes de Fecha]]="Septiembre",9,10),Tabla1[[#This Row],[Día de Fecha]])</f>
        <v>46290</v>
      </c>
      <c r="G7461">
        <v>1002491256</v>
      </c>
      <c r="H7461" t="s">
        <v>501</v>
      </c>
      <c r="I7461">
        <v>39</v>
      </c>
      <c r="J7461">
        <v>0</v>
      </c>
      <c r="K7461" s="1">
        <v>2816893</v>
      </c>
    </row>
    <row r="7462" spans="1:11" x14ac:dyDescent="0.25">
      <c r="A7462" t="s">
        <v>326</v>
      </c>
      <c r="B7462" t="s">
        <v>493</v>
      </c>
      <c r="C7462" t="s">
        <v>873</v>
      </c>
      <c r="D7462" t="s">
        <v>11</v>
      </c>
      <c r="E7462">
        <v>25</v>
      </c>
      <c r="F7462" s="2">
        <f>DATE(2026,IF(Tabla1[[#This Row],[Mes de Fecha]]="Septiembre",9,10),Tabla1[[#This Row],[Día de Fecha]])</f>
        <v>46290</v>
      </c>
      <c r="G7462">
        <v>1004520656</v>
      </c>
      <c r="H7462" t="s">
        <v>502</v>
      </c>
      <c r="I7462">
        <v>30</v>
      </c>
      <c r="J7462">
        <v>0</v>
      </c>
      <c r="K7462" s="1">
        <v>1805294</v>
      </c>
    </row>
    <row r="7463" spans="1:11" x14ac:dyDescent="0.25">
      <c r="A7463" t="s">
        <v>326</v>
      </c>
      <c r="B7463" t="s">
        <v>493</v>
      </c>
      <c r="C7463" t="s">
        <v>873</v>
      </c>
      <c r="D7463" t="s">
        <v>11</v>
      </c>
      <c r="E7463">
        <v>25</v>
      </c>
      <c r="F7463" s="2">
        <f>DATE(2026,IF(Tabla1[[#This Row],[Mes de Fecha]]="Septiembre",9,10),Tabla1[[#This Row],[Día de Fecha]])</f>
        <v>46290</v>
      </c>
      <c r="G7463">
        <v>1005654398</v>
      </c>
      <c r="H7463" t="s">
        <v>494</v>
      </c>
      <c r="I7463">
        <v>-1</v>
      </c>
      <c r="J7463">
        <v>0</v>
      </c>
      <c r="K7463" s="1">
        <v>-37773</v>
      </c>
    </row>
    <row r="7464" spans="1:11" x14ac:dyDescent="0.25">
      <c r="A7464" t="s">
        <v>326</v>
      </c>
      <c r="B7464" t="s">
        <v>493</v>
      </c>
      <c r="C7464" t="s">
        <v>873</v>
      </c>
      <c r="D7464" t="s">
        <v>11</v>
      </c>
      <c r="E7464">
        <v>25</v>
      </c>
      <c r="F7464" s="2">
        <f>DATE(2026,IF(Tabla1[[#This Row],[Mes de Fecha]]="Septiembre",9,10),Tabla1[[#This Row],[Día de Fecha]])</f>
        <v>46290</v>
      </c>
      <c r="G7464">
        <v>1088333747</v>
      </c>
      <c r="H7464" t="s">
        <v>495</v>
      </c>
      <c r="I7464">
        <v>96</v>
      </c>
      <c r="J7464">
        <v>0</v>
      </c>
      <c r="K7464" s="1">
        <v>4211808</v>
      </c>
    </row>
    <row r="7465" spans="1:11" x14ac:dyDescent="0.25">
      <c r="A7465" t="s">
        <v>326</v>
      </c>
      <c r="B7465" t="s">
        <v>493</v>
      </c>
      <c r="C7465" t="s">
        <v>873</v>
      </c>
      <c r="D7465" t="s">
        <v>11</v>
      </c>
      <c r="E7465">
        <v>25</v>
      </c>
      <c r="F7465" s="2">
        <f>DATE(2026,IF(Tabla1[[#This Row],[Mes de Fecha]]="Septiembre",9,10),Tabla1[[#This Row],[Día de Fecha]])</f>
        <v>46290</v>
      </c>
      <c r="G7465">
        <v>1112760066</v>
      </c>
      <c r="H7465" t="s">
        <v>496</v>
      </c>
      <c r="I7465">
        <v>101</v>
      </c>
      <c r="J7465">
        <v>0</v>
      </c>
      <c r="K7465" s="1">
        <v>8740466</v>
      </c>
    </row>
    <row r="7466" spans="1:11" x14ac:dyDescent="0.25">
      <c r="A7466" t="s">
        <v>326</v>
      </c>
      <c r="B7466" t="s">
        <v>493</v>
      </c>
      <c r="C7466" t="s">
        <v>873</v>
      </c>
      <c r="D7466" t="s">
        <v>11</v>
      </c>
      <c r="E7466">
        <v>26</v>
      </c>
      <c r="F7466" s="2">
        <f>DATE(2026,IF(Tabla1[[#This Row],[Mes de Fecha]]="Septiembre",9,10),Tabla1[[#This Row],[Día de Fecha]])</f>
        <v>46291</v>
      </c>
      <c r="I7466">
        <v>0</v>
      </c>
      <c r="J7466" s="1">
        <v>13974058</v>
      </c>
      <c r="K7466">
        <v>0</v>
      </c>
    </row>
    <row r="7467" spans="1:11" x14ac:dyDescent="0.25">
      <c r="A7467" t="s">
        <v>326</v>
      </c>
      <c r="B7467" t="s">
        <v>493</v>
      </c>
      <c r="C7467" t="s">
        <v>873</v>
      </c>
      <c r="D7467" t="s">
        <v>11</v>
      </c>
      <c r="E7467">
        <v>26</v>
      </c>
      <c r="F7467" s="2">
        <f>DATE(2026,IF(Tabla1[[#This Row],[Mes de Fecha]]="Septiembre",9,10),Tabla1[[#This Row],[Día de Fecha]])</f>
        <v>46291</v>
      </c>
      <c r="G7467">
        <v>1002491256</v>
      </c>
      <c r="H7467" t="s">
        <v>501</v>
      </c>
      <c r="I7467">
        <v>16</v>
      </c>
      <c r="J7467">
        <v>0</v>
      </c>
      <c r="K7467" s="1">
        <v>620966</v>
      </c>
    </row>
    <row r="7468" spans="1:11" x14ac:dyDescent="0.25">
      <c r="A7468" t="s">
        <v>326</v>
      </c>
      <c r="B7468" t="s">
        <v>493</v>
      </c>
      <c r="C7468" t="s">
        <v>873</v>
      </c>
      <c r="D7468" t="s">
        <v>11</v>
      </c>
      <c r="E7468">
        <v>26</v>
      </c>
      <c r="F7468" s="2">
        <f>DATE(2026,IF(Tabla1[[#This Row],[Mes de Fecha]]="Septiembre",9,10),Tabla1[[#This Row],[Día de Fecha]])</f>
        <v>46291</v>
      </c>
      <c r="G7468">
        <v>1004520656</v>
      </c>
      <c r="H7468" t="s">
        <v>502</v>
      </c>
      <c r="I7468">
        <v>13</v>
      </c>
      <c r="J7468">
        <v>0</v>
      </c>
      <c r="K7468" s="1">
        <v>742816</v>
      </c>
    </row>
    <row r="7469" spans="1:11" x14ac:dyDescent="0.25">
      <c r="A7469" t="s">
        <v>326</v>
      </c>
      <c r="B7469" t="s">
        <v>493</v>
      </c>
      <c r="C7469" t="s">
        <v>873</v>
      </c>
      <c r="D7469" t="s">
        <v>11</v>
      </c>
      <c r="E7469">
        <v>26</v>
      </c>
      <c r="F7469" s="2">
        <f>DATE(2026,IF(Tabla1[[#This Row],[Mes de Fecha]]="Septiembre",9,10),Tabla1[[#This Row],[Día de Fecha]])</f>
        <v>46291</v>
      </c>
      <c r="G7469">
        <v>1088333747</v>
      </c>
      <c r="H7469" t="s">
        <v>495</v>
      </c>
      <c r="I7469">
        <v>101</v>
      </c>
      <c r="J7469">
        <v>0</v>
      </c>
      <c r="K7469" s="1">
        <v>5746645</v>
      </c>
    </row>
    <row r="7470" spans="1:11" x14ac:dyDescent="0.25">
      <c r="A7470" t="s">
        <v>326</v>
      </c>
      <c r="B7470" t="s">
        <v>493</v>
      </c>
      <c r="C7470" t="s">
        <v>873</v>
      </c>
      <c r="D7470" t="s">
        <v>11</v>
      </c>
      <c r="E7470">
        <v>26</v>
      </c>
      <c r="F7470" s="2">
        <f>DATE(2026,IF(Tabla1[[#This Row],[Mes de Fecha]]="Septiembre",9,10),Tabla1[[#This Row],[Día de Fecha]])</f>
        <v>46291</v>
      </c>
      <c r="G7470">
        <v>1089598192</v>
      </c>
      <c r="H7470" t="s">
        <v>498</v>
      </c>
      <c r="I7470">
        <v>125</v>
      </c>
      <c r="J7470">
        <v>0</v>
      </c>
      <c r="K7470" s="1">
        <v>6435129</v>
      </c>
    </row>
    <row r="7471" spans="1:11" x14ac:dyDescent="0.25">
      <c r="A7471" t="s">
        <v>326</v>
      </c>
      <c r="B7471" t="s">
        <v>493</v>
      </c>
      <c r="C7471" t="s">
        <v>873</v>
      </c>
      <c r="D7471" t="s">
        <v>11</v>
      </c>
      <c r="E7471">
        <v>26</v>
      </c>
      <c r="F7471" s="2">
        <f>DATE(2026,IF(Tabla1[[#This Row],[Mes de Fecha]]="Septiembre",9,10),Tabla1[[#This Row],[Día de Fecha]])</f>
        <v>46291</v>
      </c>
      <c r="G7471">
        <v>1112760066</v>
      </c>
      <c r="H7471" t="s">
        <v>496</v>
      </c>
      <c r="I7471">
        <v>112</v>
      </c>
      <c r="J7471">
        <v>0</v>
      </c>
      <c r="K7471" s="1">
        <v>6549245</v>
      </c>
    </row>
    <row r="7472" spans="1:11" x14ac:dyDescent="0.25">
      <c r="A7472" t="s">
        <v>326</v>
      </c>
      <c r="B7472" t="s">
        <v>493</v>
      </c>
      <c r="C7472" t="s">
        <v>873</v>
      </c>
      <c r="D7472" t="s">
        <v>11</v>
      </c>
      <c r="E7472">
        <v>27</v>
      </c>
      <c r="F7472" s="2">
        <f>DATE(2026,IF(Tabla1[[#This Row],[Mes de Fecha]]="Septiembre",9,10),Tabla1[[#This Row],[Día de Fecha]])</f>
        <v>46292</v>
      </c>
      <c r="I7472">
        <v>0</v>
      </c>
      <c r="J7472" s="1">
        <v>11070265</v>
      </c>
      <c r="K7472">
        <v>0</v>
      </c>
    </row>
    <row r="7473" spans="1:11" x14ac:dyDescent="0.25">
      <c r="A7473" t="s">
        <v>326</v>
      </c>
      <c r="B7473" t="s">
        <v>493</v>
      </c>
      <c r="C7473" t="s">
        <v>873</v>
      </c>
      <c r="D7473" t="s">
        <v>11</v>
      </c>
      <c r="E7473">
        <v>27</v>
      </c>
      <c r="F7473" s="2">
        <f>DATE(2026,IF(Tabla1[[#This Row],[Mes de Fecha]]="Septiembre",9,10),Tabla1[[#This Row],[Día de Fecha]])</f>
        <v>46292</v>
      </c>
      <c r="G7473">
        <v>1002491256</v>
      </c>
      <c r="H7473" t="s">
        <v>501</v>
      </c>
      <c r="I7473">
        <v>22</v>
      </c>
      <c r="J7473">
        <v>0</v>
      </c>
      <c r="K7473" s="1">
        <v>994624</v>
      </c>
    </row>
    <row r="7474" spans="1:11" x14ac:dyDescent="0.25">
      <c r="A7474" t="s">
        <v>326</v>
      </c>
      <c r="B7474" t="s">
        <v>493</v>
      </c>
      <c r="C7474" t="s">
        <v>873</v>
      </c>
      <c r="D7474" t="s">
        <v>11</v>
      </c>
      <c r="E7474">
        <v>27</v>
      </c>
      <c r="F7474" s="2">
        <f>DATE(2026,IF(Tabla1[[#This Row],[Mes de Fecha]]="Septiembre",9,10),Tabla1[[#This Row],[Día de Fecha]])</f>
        <v>46292</v>
      </c>
      <c r="G7474">
        <v>1004520656</v>
      </c>
      <c r="H7474" t="s">
        <v>502</v>
      </c>
      <c r="I7474">
        <v>48</v>
      </c>
      <c r="J7474">
        <v>0</v>
      </c>
      <c r="K7474" s="1">
        <v>2251892</v>
      </c>
    </row>
    <row r="7475" spans="1:11" x14ac:dyDescent="0.25">
      <c r="A7475" t="s">
        <v>326</v>
      </c>
      <c r="B7475" t="s">
        <v>493</v>
      </c>
      <c r="C7475" t="s">
        <v>873</v>
      </c>
      <c r="D7475" t="s">
        <v>11</v>
      </c>
      <c r="E7475">
        <v>27</v>
      </c>
      <c r="F7475" s="2">
        <f>DATE(2026,IF(Tabla1[[#This Row],[Mes de Fecha]]="Septiembre",9,10),Tabla1[[#This Row],[Día de Fecha]])</f>
        <v>46292</v>
      </c>
      <c r="G7475">
        <v>1088333747</v>
      </c>
      <c r="H7475" t="s">
        <v>495</v>
      </c>
      <c r="I7475">
        <v>82</v>
      </c>
      <c r="J7475">
        <v>0</v>
      </c>
      <c r="K7475" s="1">
        <v>4674371</v>
      </c>
    </row>
    <row r="7476" spans="1:11" x14ac:dyDescent="0.25">
      <c r="A7476" t="s">
        <v>326</v>
      </c>
      <c r="B7476" t="s">
        <v>493</v>
      </c>
      <c r="C7476" t="s">
        <v>873</v>
      </c>
      <c r="D7476" t="s">
        <v>11</v>
      </c>
      <c r="E7476">
        <v>27</v>
      </c>
      <c r="F7476" s="2">
        <f>DATE(2026,IF(Tabla1[[#This Row],[Mes de Fecha]]="Septiembre",9,10),Tabla1[[#This Row],[Día de Fecha]])</f>
        <v>46292</v>
      </c>
      <c r="G7476">
        <v>1089598192</v>
      </c>
      <c r="H7476" t="s">
        <v>498</v>
      </c>
      <c r="I7476">
        <v>79</v>
      </c>
      <c r="J7476">
        <v>0</v>
      </c>
      <c r="K7476" s="1">
        <v>3772750</v>
      </c>
    </row>
    <row r="7477" spans="1:11" x14ac:dyDescent="0.25">
      <c r="A7477" t="s">
        <v>326</v>
      </c>
      <c r="B7477" t="s">
        <v>493</v>
      </c>
      <c r="C7477" t="s">
        <v>873</v>
      </c>
      <c r="D7477" t="s">
        <v>11</v>
      </c>
      <c r="E7477">
        <v>27</v>
      </c>
      <c r="F7477" s="2">
        <f>DATE(2026,IF(Tabla1[[#This Row],[Mes de Fecha]]="Septiembre",9,10),Tabla1[[#This Row],[Día de Fecha]])</f>
        <v>46292</v>
      </c>
      <c r="G7477">
        <v>1112760066</v>
      </c>
      <c r="H7477" t="s">
        <v>496</v>
      </c>
      <c r="I7477">
        <v>102</v>
      </c>
      <c r="J7477">
        <v>0</v>
      </c>
      <c r="K7477" s="1">
        <v>5391978</v>
      </c>
    </row>
    <row r="7478" spans="1:11" x14ac:dyDescent="0.25">
      <c r="A7478" t="s">
        <v>326</v>
      </c>
      <c r="B7478" t="s">
        <v>493</v>
      </c>
      <c r="C7478" t="s">
        <v>873</v>
      </c>
      <c r="D7478" t="s">
        <v>11</v>
      </c>
      <c r="E7478">
        <v>28</v>
      </c>
      <c r="F7478" s="2">
        <f>DATE(2026,IF(Tabla1[[#This Row],[Mes de Fecha]]="Septiembre",9,10),Tabla1[[#This Row],[Día de Fecha]])</f>
        <v>46293</v>
      </c>
      <c r="I7478">
        <v>0</v>
      </c>
      <c r="J7478" s="1">
        <v>6092618</v>
      </c>
      <c r="K7478">
        <v>0</v>
      </c>
    </row>
    <row r="7479" spans="1:11" x14ac:dyDescent="0.25">
      <c r="A7479" t="s">
        <v>326</v>
      </c>
      <c r="B7479" t="s">
        <v>493</v>
      </c>
      <c r="C7479" t="s">
        <v>873</v>
      </c>
      <c r="D7479" t="s">
        <v>11</v>
      </c>
      <c r="E7479">
        <v>28</v>
      </c>
      <c r="F7479" s="2">
        <f>DATE(2026,IF(Tabla1[[#This Row],[Mes de Fecha]]="Septiembre",9,10),Tabla1[[#This Row],[Día de Fecha]])</f>
        <v>46293</v>
      </c>
      <c r="G7479">
        <v>1002491256</v>
      </c>
      <c r="H7479" t="s">
        <v>501</v>
      </c>
      <c r="I7479">
        <v>28</v>
      </c>
      <c r="J7479">
        <v>0</v>
      </c>
      <c r="K7479" s="1">
        <v>1187564</v>
      </c>
    </row>
    <row r="7480" spans="1:11" x14ac:dyDescent="0.25">
      <c r="A7480" t="s">
        <v>326</v>
      </c>
      <c r="B7480" t="s">
        <v>493</v>
      </c>
      <c r="C7480" t="s">
        <v>873</v>
      </c>
      <c r="D7480" t="s">
        <v>11</v>
      </c>
      <c r="E7480">
        <v>28</v>
      </c>
      <c r="F7480" s="2">
        <f>DATE(2026,IF(Tabla1[[#This Row],[Mes de Fecha]]="Septiembre",9,10),Tabla1[[#This Row],[Día de Fecha]])</f>
        <v>46293</v>
      </c>
      <c r="G7480">
        <v>1088286603</v>
      </c>
      <c r="H7480" t="s">
        <v>500</v>
      </c>
      <c r="I7480">
        <v>-1</v>
      </c>
      <c r="J7480">
        <v>0</v>
      </c>
      <c r="K7480" s="1">
        <v>-55412</v>
      </c>
    </row>
    <row r="7481" spans="1:11" x14ac:dyDescent="0.25">
      <c r="A7481" t="s">
        <v>326</v>
      </c>
      <c r="B7481" t="s">
        <v>493</v>
      </c>
      <c r="C7481" t="s">
        <v>873</v>
      </c>
      <c r="D7481" t="s">
        <v>11</v>
      </c>
      <c r="E7481">
        <v>28</v>
      </c>
      <c r="F7481" s="2">
        <f>DATE(2026,IF(Tabla1[[#This Row],[Mes de Fecha]]="Septiembre",9,10),Tabla1[[#This Row],[Día de Fecha]])</f>
        <v>46293</v>
      </c>
      <c r="G7481">
        <v>1088333747</v>
      </c>
      <c r="H7481" t="s">
        <v>495</v>
      </c>
      <c r="I7481">
        <v>90</v>
      </c>
      <c r="J7481">
        <v>0</v>
      </c>
      <c r="K7481" s="1">
        <v>4200923</v>
      </c>
    </row>
    <row r="7482" spans="1:11" x14ac:dyDescent="0.25">
      <c r="A7482" t="s">
        <v>326</v>
      </c>
      <c r="B7482" t="s">
        <v>493</v>
      </c>
      <c r="C7482" t="s">
        <v>873</v>
      </c>
      <c r="D7482" t="s">
        <v>11</v>
      </c>
      <c r="E7482">
        <v>28</v>
      </c>
      <c r="F7482" s="2">
        <f>DATE(2026,IF(Tabla1[[#This Row],[Mes de Fecha]]="Septiembre",9,10),Tabla1[[#This Row],[Día de Fecha]])</f>
        <v>46293</v>
      </c>
      <c r="G7482">
        <v>1089598192</v>
      </c>
      <c r="H7482" t="s">
        <v>498</v>
      </c>
      <c r="I7482">
        <v>-2</v>
      </c>
      <c r="J7482">
        <v>0</v>
      </c>
      <c r="K7482" s="1">
        <v>-96555</v>
      </c>
    </row>
    <row r="7483" spans="1:11" x14ac:dyDescent="0.25">
      <c r="A7483" t="s">
        <v>326</v>
      </c>
      <c r="B7483" t="s">
        <v>493</v>
      </c>
      <c r="C7483" t="s">
        <v>873</v>
      </c>
      <c r="D7483" t="s">
        <v>11</v>
      </c>
      <c r="E7483">
        <v>28</v>
      </c>
      <c r="F7483" s="2">
        <f>DATE(2026,IF(Tabla1[[#This Row],[Mes de Fecha]]="Septiembre",9,10),Tabla1[[#This Row],[Día de Fecha]])</f>
        <v>46293</v>
      </c>
      <c r="G7483">
        <v>1112760066</v>
      </c>
      <c r="H7483" t="s">
        <v>496</v>
      </c>
      <c r="I7483">
        <v>0</v>
      </c>
      <c r="J7483">
        <v>0</v>
      </c>
      <c r="K7483">
        <v>0</v>
      </c>
    </row>
    <row r="7484" spans="1:11" x14ac:dyDescent="0.25">
      <c r="A7484" t="s">
        <v>326</v>
      </c>
      <c r="B7484" t="s">
        <v>493</v>
      </c>
      <c r="C7484" t="s">
        <v>873</v>
      </c>
      <c r="D7484" t="s">
        <v>11</v>
      </c>
      <c r="E7484">
        <v>29</v>
      </c>
      <c r="F7484" s="2">
        <f>DATE(2026,IF(Tabla1[[#This Row],[Mes de Fecha]]="Septiembre",9,10),Tabla1[[#This Row],[Día de Fecha]])</f>
        <v>46294</v>
      </c>
      <c r="I7484">
        <v>0</v>
      </c>
      <c r="J7484" s="1">
        <v>6508113</v>
      </c>
      <c r="K7484">
        <v>0</v>
      </c>
    </row>
    <row r="7485" spans="1:11" x14ac:dyDescent="0.25">
      <c r="A7485" t="s">
        <v>326</v>
      </c>
      <c r="B7485" t="s">
        <v>493</v>
      </c>
      <c r="C7485" t="s">
        <v>873</v>
      </c>
      <c r="D7485" t="s">
        <v>11</v>
      </c>
      <c r="E7485">
        <v>29</v>
      </c>
      <c r="F7485" s="2">
        <f>DATE(2026,IF(Tabla1[[#This Row],[Mes de Fecha]]="Septiembre",9,10),Tabla1[[#This Row],[Día de Fecha]])</f>
        <v>46294</v>
      </c>
      <c r="G7485">
        <v>1002491256</v>
      </c>
      <c r="H7485" t="s">
        <v>501</v>
      </c>
      <c r="I7485">
        <v>32</v>
      </c>
      <c r="J7485">
        <v>0</v>
      </c>
      <c r="K7485" s="1">
        <v>1645464</v>
      </c>
    </row>
    <row r="7486" spans="1:11" x14ac:dyDescent="0.25">
      <c r="A7486" t="s">
        <v>326</v>
      </c>
      <c r="B7486" t="s">
        <v>493</v>
      </c>
      <c r="C7486" t="s">
        <v>873</v>
      </c>
      <c r="D7486" t="s">
        <v>11</v>
      </c>
      <c r="E7486">
        <v>29</v>
      </c>
      <c r="F7486" s="2">
        <f>DATE(2026,IF(Tabla1[[#This Row],[Mes de Fecha]]="Septiembre",9,10),Tabla1[[#This Row],[Día de Fecha]])</f>
        <v>46294</v>
      </c>
      <c r="G7486">
        <v>1004520656</v>
      </c>
      <c r="H7486" t="s">
        <v>502</v>
      </c>
      <c r="I7486">
        <v>45</v>
      </c>
      <c r="J7486">
        <v>0</v>
      </c>
      <c r="K7486" s="1">
        <v>1944836</v>
      </c>
    </row>
    <row r="7487" spans="1:11" x14ac:dyDescent="0.25">
      <c r="A7487" t="s">
        <v>326</v>
      </c>
      <c r="B7487" t="s">
        <v>493</v>
      </c>
      <c r="C7487" t="s">
        <v>873</v>
      </c>
      <c r="D7487" t="s">
        <v>11</v>
      </c>
      <c r="E7487">
        <v>29</v>
      </c>
      <c r="F7487" s="2">
        <f>DATE(2026,IF(Tabla1[[#This Row],[Mes de Fecha]]="Septiembre",9,10),Tabla1[[#This Row],[Día de Fecha]])</f>
        <v>46294</v>
      </c>
      <c r="G7487">
        <v>1088333747</v>
      </c>
      <c r="H7487" t="s">
        <v>495</v>
      </c>
      <c r="I7487">
        <v>0</v>
      </c>
      <c r="J7487">
        <v>0</v>
      </c>
      <c r="K7487" s="1">
        <v>6302</v>
      </c>
    </row>
    <row r="7488" spans="1:11" x14ac:dyDescent="0.25">
      <c r="A7488" t="s">
        <v>326</v>
      </c>
      <c r="B7488" t="s">
        <v>493</v>
      </c>
      <c r="C7488" t="s">
        <v>873</v>
      </c>
      <c r="D7488" t="s">
        <v>11</v>
      </c>
      <c r="E7488">
        <v>29</v>
      </c>
      <c r="F7488" s="2">
        <f>DATE(2026,IF(Tabla1[[#This Row],[Mes de Fecha]]="Septiembre",9,10),Tabla1[[#This Row],[Día de Fecha]])</f>
        <v>46294</v>
      </c>
      <c r="G7488">
        <v>1089598192</v>
      </c>
      <c r="H7488" t="s">
        <v>498</v>
      </c>
      <c r="I7488">
        <v>-1</v>
      </c>
      <c r="J7488">
        <v>0</v>
      </c>
      <c r="K7488" s="1">
        <v>-83950</v>
      </c>
    </row>
    <row r="7489" spans="1:11" x14ac:dyDescent="0.25">
      <c r="A7489" t="s">
        <v>326</v>
      </c>
      <c r="B7489" t="s">
        <v>493</v>
      </c>
      <c r="C7489" t="s">
        <v>873</v>
      </c>
      <c r="D7489" t="s">
        <v>11</v>
      </c>
      <c r="E7489">
        <v>29</v>
      </c>
      <c r="F7489" s="2">
        <f>DATE(2026,IF(Tabla1[[#This Row],[Mes de Fecha]]="Septiembre",9,10),Tabla1[[#This Row],[Día de Fecha]])</f>
        <v>46294</v>
      </c>
      <c r="G7489">
        <v>1112760066</v>
      </c>
      <c r="H7489" t="s">
        <v>496</v>
      </c>
      <c r="I7489">
        <v>67</v>
      </c>
      <c r="J7489">
        <v>0</v>
      </c>
      <c r="K7489" s="1">
        <v>3237900</v>
      </c>
    </row>
    <row r="7490" spans="1:11" x14ac:dyDescent="0.25">
      <c r="A7490" t="s">
        <v>326</v>
      </c>
      <c r="B7490" t="s">
        <v>493</v>
      </c>
      <c r="C7490" t="s">
        <v>873</v>
      </c>
      <c r="D7490" t="s">
        <v>11</v>
      </c>
      <c r="E7490">
        <v>29</v>
      </c>
      <c r="F7490" s="2">
        <f>DATE(2026,IF(Tabla1[[#This Row],[Mes de Fecha]]="Septiembre",9,10),Tabla1[[#This Row],[Día de Fecha]])</f>
        <v>46294</v>
      </c>
      <c r="G7490">
        <v>1116280441</v>
      </c>
      <c r="H7490" t="s">
        <v>348</v>
      </c>
      <c r="I7490">
        <v>-1</v>
      </c>
      <c r="J7490">
        <v>0</v>
      </c>
      <c r="K7490" s="1">
        <v>-50378</v>
      </c>
    </row>
    <row r="7491" spans="1:11" x14ac:dyDescent="0.25">
      <c r="A7491" t="s">
        <v>326</v>
      </c>
      <c r="B7491" t="s">
        <v>493</v>
      </c>
      <c r="C7491" t="s">
        <v>873</v>
      </c>
      <c r="D7491" t="s">
        <v>11</v>
      </c>
      <c r="E7491">
        <v>30</v>
      </c>
      <c r="F7491" s="2">
        <f>DATE(2026,IF(Tabla1[[#This Row],[Mes de Fecha]]="Septiembre",9,10),Tabla1[[#This Row],[Día de Fecha]])</f>
        <v>46295</v>
      </c>
      <c r="I7491">
        <v>0</v>
      </c>
      <c r="J7491" s="1">
        <v>6722993</v>
      </c>
      <c r="K7491">
        <v>0</v>
      </c>
    </row>
    <row r="7492" spans="1:11" x14ac:dyDescent="0.25">
      <c r="A7492" t="s">
        <v>326</v>
      </c>
      <c r="B7492" t="s">
        <v>493</v>
      </c>
      <c r="C7492" t="s">
        <v>873</v>
      </c>
      <c r="D7492" t="s">
        <v>11</v>
      </c>
      <c r="E7492">
        <v>30</v>
      </c>
      <c r="F7492" s="2">
        <f>DATE(2026,IF(Tabla1[[#This Row],[Mes de Fecha]]="Septiembre",9,10),Tabla1[[#This Row],[Día de Fecha]])</f>
        <v>46295</v>
      </c>
      <c r="G7492">
        <v>1002491256</v>
      </c>
      <c r="H7492" t="s">
        <v>501</v>
      </c>
      <c r="I7492">
        <v>0</v>
      </c>
      <c r="J7492">
        <v>0</v>
      </c>
      <c r="K7492" s="1">
        <v>12606</v>
      </c>
    </row>
    <row r="7493" spans="1:11" x14ac:dyDescent="0.25">
      <c r="A7493" t="s">
        <v>326</v>
      </c>
      <c r="B7493" t="s">
        <v>493</v>
      </c>
      <c r="C7493" t="s">
        <v>873</v>
      </c>
      <c r="D7493" t="s">
        <v>11</v>
      </c>
      <c r="E7493">
        <v>30</v>
      </c>
      <c r="F7493" s="2">
        <f>DATE(2026,IF(Tabla1[[#This Row],[Mes de Fecha]]="Septiembre",9,10),Tabla1[[#This Row],[Día de Fecha]])</f>
        <v>46295</v>
      </c>
      <c r="G7493">
        <v>1004520656</v>
      </c>
      <c r="H7493" t="s">
        <v>502</v>
      </c>
      <c r="I7493">
        <v>27</v>
      </c>
      <c r="J7493">
        <v>0</v>
      </c>
      <c r="K7493" s="1">
        <v>1006807</v>
      </c>
    </row>
    <row r="7494" spans="1:11" x14ac:dyDescent="0.25">
      <c r="A7494" t="s">
        <v>326</v>
      </c>
      <c r="B7494" t="s">
        <v>493</v>
      </c>
      <c r="C7494" t="s">
        <v>873</v>
      </c>
      <c r="D7494" t="s">
        <v>11</v>
      </c>
      <c r="E7494">
        <v>30</v>
      </c>
      <c r="F7494" s="2">
        <f>DATE(2026,IF(Tabla1[[#This Row],[Mes de Fecha]]="Septiembre",9,10),Tabla1[[#This Row],[Día de Fecha]])</f>
        <v>46295</v>
      </c>
      <c r="G7494">
        <v>1088333747</v>
      </c>
      <c r="H7494" t="s">
        <v>495</v>
      </c>
      <c r="I7494">
        <v>138</v>
      </c>
      <c r="J7494">
        <v>0</v>
      </c>
      <c r="K7494" s="1">
        <v>7089503</v>
      </c>
    </row>
    <row r="7495" spans="1:11" x14ac:dyDescent="0.25">
      <c r="A7495" t="s">
        <v>326</v>
      </c>
      <c r="B7495" t="s">
        <v>493</v>
      </c>
      <c r="C7495" t="s">
        <v>873</v>
      </c>
      <c r="D7495" t="s">
        <v>11</v>
      </c>
      <c r="E7495">
        <v>30</v>
      </c>
      <c r="F7495" s="2">
        <f>DATE(2026,IF(Tabla1[[#This Row],[Mes de Fecha]]="Septiembre",9,10),Tabla1[[#This Row],[Día de Fecha]])</f>
        <v>46295</v>
      </c>
      <c r="G7495">
        <v>1112760066</v>
      </c>
      <c r="H7495" t="s">
        <v>496</v>
      </c>
      <c r="I7495">
        <v>30</v>
      </c>
      <c r="J7495">
        <v>0</v>
      </c>
      <c r="K7495" s="1">
        <v>1766933</v>
      </c>
    </row>
    <row r="7496" spans="1:11" x14ac:dyDescent="0.25">
      <c r="A7496" t="s">
        <v>326</v>
      </c>
      <c r="B7496" t="s">
        <v>493</v>
      </c>
      <c r="C7496" t="s">
        <v>873</v>
      </c>
      <c r="D7496" t="s">
        <v>14</v>
      </c>
      <c r="E7496">
        <v>1</v>
      </c>
      <c r="F7496" s="2">
        <f>DATE(2026,IF(Tabla1[[#This Row],[Mes de Fecha]]="Septiembre",9,10),Tabla1[[#This Row],[Día de Fecha]])</f>
        <v>46296</v>
      </c>
      <c r="I7496">
        <v>0</v>
      </c>
      <c r="J7496" s="1">
        <v>7463596</v>
      </c>
      <c r="K7496">
        <v>0</v>
      </c>
    </row>
    <row r="7497" spans="1:11" x14ac:dyDescent="0.25">
      <c r="A7497" t="s">
        <v>326</v>
      </c>
      <c r="B7497" t="s">
        <v>493</v>
      </c>
      <c r="C7497" t="s">
        <v>873</v>
      </c>
      <c r="D7497" t="s">
        <v>14</v>
      </c>
      <c r="E7497">
        <v>1</v>
      </c>
      <c r="F7497" s="2">
        <f>DATE(2026,IF(Tabla1[[#This Row],[Mes de Fecha]]="Septiembre",9,10),Tabla1[[#This Row],[Día de Fecha]])</f>
        <v>46296</v>
      </c>
      <c r="G7497">
        <v>1002491256</v>
      </c>
      <c r="H7497" t="s">
        <v>501</v>
      </c>
      <c r="I7497">
        <v>18</v>
      </c>
      <c r="J7497">
        <v>0</v>
      </c>
      <c r="K7497" s="1">
        <v>961346</v>
      </c>
    </row>
    <row r="7498" spans="1:11" x14ac:dyDescent="0.25">
      <c r="A7498" t="s">
        <v>326</v>
      </c>
      <c r="B7498" t="s">
        <v>493</v>
      </c>
      <c r="C7498" t="s">
        <v>873</v>
      </c>
      <c r="D7498" t="s">
        <v>14</v>
      </c>
      <c r="E7498">
        <v>1</v>
      </c>
      <c r="F7498" s="2">
        <f>DATE(2026,IF(Tabla1[[#This Row],[Mes de Fecha]]="Septiembre",9,10),Tabla1[[#This Row],[Día de Fecha]])</f>
        <v>46296</v>
      </c>
      <c r="G7498">
        <v>1002743905</v>
      </c>
      <c r="H7498" t="s">
        <v>503</v>
      </c>
      <c r="I7498">
        <v>51</v>
      </c>
      <c r="J7498">
        <v>0</v>
      </c>
      <c r="K7498" s="1">
        <v>2843534</v>
      </c>
    </row>
    <row r="7499" spans="1:11" x14ac:dyDescent="0.25">
      <c r="A7499" t="s">
        <v>326</v>
      </c>
      <c r="B7499" t="s">
        <v>493</v>
      </c>
      <c r="C7499" t="s">
        <v>873</v>
      </c>
      <c r="D7499" t="s">
        <v>14</v>
      </c>
      <c r="E7499">
        <v>1</v>
      </c>
      <c r="F7499" s="2">
        <f>DATE(2026,IF(Tabla1[[#This Row],[Mes de Fecha]]="Septiembre",9,10),Tabla1[[#This Row],[Día de Fecha]])</f>
        <v>46296</v>
      </c>
      <c r="G7499">
        <v>1004520656</v>
      </c>
      <c r="H7499" t="s">
        <v>502</v>
      </c>
      <c r="I7499">
        <v>26</v>
      </c>
      <c r="J7499">
        <v>0</v>
      </c>
      <c r="K7499" s="1">
        <v>1208857</v>
      </c>
    </row>
    <row r="7500" spans="1:11" x14ac:dyDescent="0.25">
      <c r="A7500" t="s">
        <v>326</v>
      </c>
      <c r="B7500" t="s">
        <v>493</v>
      </c>
      <c r="C7500" t="s">
        <v>873</v>
      </c>
      <c r="D7500" t="s">
        <v>14</v>
      </c>
      <c r="E7500">
        <v>1</v>
      </c>
      <c r="F7500" s="2">
        <f>DATE(2026,IF(Tabla1[[#This Row],[Mes de Fecha]]="Septiembre",9,10),Tabla1[[#This Row],[Día de Fecha]])</f>
        <v>46296</v>
      </c>
      <c r="G7500">
        <v>1088333747</v>
      </c>
      <c r="H7500" t="s">
        <v>495</v>
      </c>
      <c r="I7500">
        <v>102</v>
      </c>
      <c r="J7500">
        <v>0</v>
      </c>
      <c r="K7500" s="1">
        <v>5804963</v>
      </c>
    </row>
    <row r="7501" spans="1:11" x14ac:dyDescent="0.25">
      <c r="A7501" t="s">
        <v>326</v>
      </c>
      <c r="B7501" t="s">
        <v>493</v>
      </c>
      <c r="C7501" t="s">
        <v>873</v>
      </c>
      <c r="D7501" t="s">
        <v>14</v>
      </c>
      <c r="E7501">
        <v>1</v>
      </c>
      <c r="F7501" s="2">
        <f>DATE(2026,IF(Tabla1[[#This Row],[Mes de Fecha]]="Septiembre",9,10),Tabla1[[#This Row],[Día de Fecha]])</f>
        <v>46296</v>
      </c>
      <c r="G7501">
        <v>1112760066</v>
      </c>
      <c r="H7501" t="s">
        <v>496</v>
      </c>
      <c r="I7501">
        <v>2</v>
      </c>
      <c r="J7501">
        <v>0</v>
      </c>
      <c r="K7501" s="1">
        <v>12436</v>
      </c>
    </row>
    <row r="7502" spans="1:11" x14ac:dyDescent="0.25">
      <c r="A7502" t="s">
        <v>326</v>
      </c>
      <c r="B7502" t="s">
        <v>493</v>
      </c>
      <c r="C7502" t="s">
        <v>873</v>
      </c>
      <c r="D7502" t="s">
        <v>14</v>
      </c>
      <c r="E7502">
        <v>2</v>
      </c>
      <c r="F7502" s="2">
        <f>DATE(2026,IF(Tabla1[[#This Row],[Mes de Fecha]]="Septiembre",9,10),Tabla1[[#This Row],[Día de Fecha]])</f>
        <v>46297</v>
      </c>
      <c r="I7502">
        <v>0</v>
      </c>
      <c r="J7502" s="1">
        <v>9201677</v>
      </c>
      <c r="K7502">
        <v>0</v>
      </c>
    </row>
    <row r="7503" spans="1:11" x14ac:dyDescent="0.25">
      <c r="A7503" t="s">
        <v>326</v>
      </c>
      <c r="B7503" t="s">
        <v>493</v>
      </c>
      <c r="C7503" t="s">
        <v>873</v>
      </c>
      <c r="D7503" t="s">
        <v>14</v>
      </c>
      <c r="E7503">
        <v>2</v>
      </c>
      <c r="F7503" s="2">
        <f>DATE(2026,IF(Tabla1[[#This Row],[Mes de Fecha]]="Septiembre",9,10),Tabla1[[#This Row],[Día de Fecha]])</f>
        <v>46297</v>
      </c>
      <c r="G7503">
        <v>1002491256</v>
      </c>
      <c r="H7503" t="s">
        <v>501</v>
      </c>
      <c r="I7503">
        <v>24</v>
      </c>
      <c r="J7503">
        <v>0</v>
      </c>
      <c r="K7503" s="1">
        <v>965252</v>
      </c>
    </row>
    <row r="7504" spans="1:11" x14ac:dyDescent="0.25">
      <c r="A7504" t="s">
        <v>326</v>
      </c>
      <c r="B7504" t="s">
        <v>493</v>
      </c>
      <c r="C7504" t="s">
        <v>873</v>
      </c>
      <c r="D7504" t="s">
        <v>14</v>
      </c>
      <c r="E7504">
        <v>2</v>
      </c>
      <c r="F7504" s="2">
        <f>DATE(2026,IF(Tabla1[[#This Row],[Mes de Fecha]]="Septiembre",9,10),Tabla1[[#This Row],[Día de Fecha]])</f>
        <v>46297</v>
      </c>
      <c r="G7504">
        <v>1002743905</v>
      </c>
      <c r="H7504" t="s">
        <v>503</v>
      </c>
      <c r="I7504">
        <v>83</v>
      </c>
      <c r="J7504">
        <v>0</v>
      </c>
      <c r="K7504" s="1">
        <v>4709455</v>
      </c>
    </row>
    <row r="7505" spans="1:11" x14ac:dyDescent="0.25">
      <c r="A7505" t="s">
        <v>326</v>
      </c>
      <c r="B7505" t="s">
        <v>493</v>
      </c>
      <c r="C7505" t="s">
        <v>873</v>
      </c>
      <c r="D7505" t="s">
        <v>14</v>
      </c>
      <c r="E7505">
        <v>2</v>
      </c>
      <c r="F7505" s="2">
        <f>DATE(2026,IF(Tabla1[[#This Row],[Mes de Fecha]]="Septiembre",9,10),Tabla1[[#This Row],[Día de Fecha]])</f>
        <v>46297</v>
      </c>
      <c r="G7505">
        <v>1004520656</v>
      </c>
      <c r="H7505" t="s">
        <v>502</v>
      </c>
      <c r="I7505">
        <v>24</v>
      </c>
      <c r="J7505">
        <v>0</v>
      </c>
      <c r="K7505" s="1">
        <v>1145925</v>
      </c>
    </row>
    <row r="7506" spans="1:11" x14ac:dyDescent="0.25">
      <c r="A7506" t="s">
        <v>326</v>
      </c>
      <c r="B7506" t="s">
        <v>493</v>
      </c>
      <c r="C7506" t="s">
        <v>873</v>
      </c>
      <c r="D7506" t="s">
        <v>14</v>
      </c>
      <c r="E7506">
        <v>2</v>
      </c>
      <c r="F7506" s="2">
        <f>DATE(2026,IF(Tabla1[[#This Row],[Mes de Fecha]]="Septiembre",9,10),Tabla1[[#This Row],[Día de Fecha]])</f>
        <v>46297</v>
      </c>
      <c r="G7506">
        <v>1088333747</v>
      </c>
      <c r="H7506" t="s">
        <v>495</v>
      </c>
      <c r="I7506">
        <v>57</v>
      </c>
      <c r="J7506">
        <v>0</v>
      </c>
      <c r="K7506" s="1">
        <v>2952355</v>
      </c>
    </row>
    <row r="7507" spans="1:11" x14ac:dyDescent="0.25">
      <c r="A7507" t="s">
        <v>326</v>
      </c>
      <c r="B7507" t="s">
        <v>493</v>
      </c>
      <c r="C7507" t="s">
        <v>873</v>
      </c>
      <c r="D7507" t="s">
        <v>14</v>
      </c>
      <c r="E7507">
        <v>2</v>
      </c>
      <c r="F7507" s="2">
        <f>DATE(2026,IF(Tabla1[[#This Row],[Mes de Fecha]]="Septiembre",9,10),Tabla1[[#This Row],[Día de Fecha]])</f>
        <v>46297</v>
      </c>
      <c r="G7507">
        <v>1089598192</v>
      </c>
      <c r="H7507" t="s">
        <v>498</v>
      </c>
      <c r="I7507">
        <v>-1</v>
      </c>
      <c r="J7507">
        <v>0</v>
      </c>
      <c r="K7507" s="1">
        <v>-79790</v>
      </c>
    </row>
    <row r="7508" spans="1:11" x14ac:dyDescent="0.25">
      <c r="A7508" t="s">
        <v>326</v>
      </c>
      <c r="B7508" t="s">
        <v>493</v>
      </c>
      <c r="C7508" t="s">
        <v>873</v>
      </c>
      <c r="D7508" t="s">
        <v>14</v>
      </c>
      <c r="E7508">
        <v>3</v>
      </c>
      <c r="F7508" s="2">
        <f>DATE(2026,IF(Tabla1[[#This Row],[Mes de Fecha]]="Septiembre",9,10),Tabla1[[#This Row],[Día de Fecha]])</f>
        <v>46298</v>
      </c>
      <c r="I7508">
        <v>0</v>
      </c>
      <c r="J7508" s="1">
        <v>17492964</v>
      </c>
      <c r="K7508">
        <v>0</v>
      </c>
    </row>
    <row r="7509" spans="1:11" x14ac:dyDescent="0.25">
      <c r="A7509" t="s">
        <v>326</v>
      </c>
      <c r="B7509" t="s">
        <v>493</v>
      </c>
      <c r="C7509" t="s">
        <v>873</v>
      </c>
      <c r="D7509" t="s">
        <v>14</v>
      </c>
      <c r="E7509">
        <v>3</v>
      </c>
      <c r="F7509" s="2">
        <f>DATE(2026,IF(Tabla1[[#This Row],[Mes de Fecha]]="Septiembre",9,10),Tabla1[[#This Row],[Día de Fecha]])</f>
        <v>46298</v>
      </c>
      <c r="G7509">
        <v>1002491256</v>
      </c>
      <c r="H7509" t="s">
        <v>501</v>
      </c>
      <c r="I7509">
        <v>13</v>
      </c>
      <c r="J7509">
        <v>0</v>
      </c>
      <c r="K7509" s="1">
        <v>636320</v>
      </c>
    </row>
    <row r="7510" spans="1:11" x14ac:dyDescent="0.25">
      <c r="A7510" t="s">
        <v>326</v>
      </c>
      <c r="B7510" t="s">
        <v>493</v>
      </c>
      <c r="C7510" t="s">
        <v>873</v>
      </c>
      <c r="D7510" t="s">
        <v>14</v>
      </c>
      <c r="E7510">
        <v>3</v>
      </c>
      <c r="F7510" s="2">
        <f>DATE(2026,IF(Tabla1[[#This Row],[Mes de Fecha]]="Septiembre",9,10),Tabla1[[#This Row],[Día de Fecha]])</f>
        <v>46298</v>
      </c>
      <c r="G7510">
        <v>1002743905</v>
      </c>
      <c r="H7510" t="s">
        <v>503</v>
      </c>
      <c r="I7510">
        <v>101</v>
      </c>
      <c r="J7510">
        <v>0</v>
      </c>
      <c r="K7510" s="1">
        <v>4613314</v>
      </c>
    </row>
    <row r="7511" spans="1:11" x14ac:dyDescent="0.25">
      <c r="A7511" t="s">
        <v>326</v>
      </c>
      <c r="B7511" t="s">
        <v>493</v>
      </c>
      <c r="C7511" t="s">
        <v>873</v>
      </c>
      <c r="D7511" t="s">
        <v>14</v>
      </c>
      <c r="E7511">
        <v>3</v>
      </c>
      <c r="F7511" s="2">
        <f>DATE(2026,IF(Tabla1[[#This Row],[Mes de Fecha]]="Septiembre",9,10),Tabla1[[#This Row],[Día de Fecha]])</f>
        <v>46298</v>
      </c>
      <c r="G7511">
        <v>1004520656</v>
      </c>
      <c r="H7511" t="s">
        <v>502</v>
      </c>
      <c r="I7511">
        <v>50</v>
      </c>
      <c r="J7511">
        <v>0</v>
      </c>
      <c r="K7511" s="1">
        <v>2276188</v>
      </c>
    </row>
    <row r="7512" spans="1:11" x14ac:dyDescent="0.25">
      <c r="A7512" t="s">
        <v>326</v>
      </c>
      <c r="B7512" t="s">
        <v>493</v>
      </c>
      <c r="C7512" t="s">
        <v>873</v>
      </c>
      <c r="D7512" t="s">
        <v>14</v>
      </c>
      <c r="E7512">
        <v>3</v>
      </c>
      <c r="F7512" s="2">
        <f>DATE(2026,IF(Tabla1[[#This Row],[Mes de Fecha]]="Septiembre",9,10),Tabla1[[#This Row],[Día de Fecha]])</f>
        <v>46298</v>
      </c>
      <c r="G7512">
        <v>1088333747</v>
      </c>
      <c r="H7512" t="s">
        <v>495</v>
      </c>
      <c r="I7512">
        <v>136</v>
      </c>
      <c r="J7512">
        <v>0</v>
      </c>
      <c r="K7512" s="1">
        <v>6920470</v>
      </c>
    </row>
    <row r="7513" spans="1:11" x14ac:dyDescent="0.25">
      <c r="A7513" t="s">
        <v>326</v>
      </c>
      <c r="B7513" t="s">
        <v>493</v>
      </c>
      <c r="C7513" t="s">
        <v>873</v>
      </c>
      <c r="D7513" t="s">
        <v>14</v>
      </c>
      <c r="E7513">
        <v>4</v>
      </c>
      <c r="F7513" s="2">
        <f>DATE(2026,IF(Tabla1[[#This Row],[Mes de Fecha]]="Septiembre",9,10),Tabla1[[#This Row],[Día de Fecha]])</f>
        <v>46299</v>
      </c>
      <c r="I7513">
        <v>0</v>
      </c>
      <c r="J7513" s="1">
        <v>14766053</v>
      </c>
      <c r="K7513">
        <v>0</v>
      </c>
    </row>
    <row r="7514" spans="1:11" x14ac:dyDescent="0.25">
      <c r="A7514" t="s">
        <v>326</v>
      </c>
      <c r="B7514" t="s">
        <v>493</v>
      </c>
      <c r="C7514" t="s">
        <v>873</v>
      </c>
      <c r="D7514" t="s">
        <v>14</v>
      </c>
      <c r="E7514">
        <v>4</v>
      </c>
      <c r="F7514" s="2">
        <f>DATE(2026,IF(Tabla1[[#This Row],[Mes de Fecha]]="Septiembre",9,10),Tabla1[[#This Row],[Día de Fecha]])</f>
        <v>46299</v>
      </c>
      <c r="G7514">
        <v>1002491256</v>
      </c>
      <c r="H7514" t="s">
        <v>501</v>
      </c>
      <c r="I7514">
        <v>17</v>
      </c>
      <c r="J7514">
        <v>0</v>
      </c>
      <c r="K7514" s="1">
        <v>675590</v>
      </c>
    </row>
    <row r="7515" spans="1:11" x14ac:dyDescent="0.25">
      <c r="A7515" t="s">
        <v>326</v>
      </c>
      <c r="B7515" t="s">
        <v>493</v>
      </c>
      <c r="C7515" t="s">
        <v>873</v>
      </c>
      <c r="D7515" t="s">
        <v>14</v>
      </c>
      <c r="E7515">
        <v>4</v>
      </c>
      <c r="F7515" s="2">
        <f>DATE(2026,IF(Tabla1[[#This Row],[Mes de Fecha]]="Septiembre",9,10),Tabla1[[#This Row],[Día de Fecha]])</f>
        <v>46299</v>
      </c>
      <c r="G7515">
        <v>1002743905</v>
      </c>
      <c r="H7515" t="s">
        <v>503</v>
      </c>
      <c r="I7515">
        <v>96</v>
      </c>
      <c r="J7515">
        <v>0</v>
      </c>
      <c r="K7515" s="1">
        <v>4801685</v>
      </c>
    </row>
    <row r="7516" spans="1:11" x14ac:dyDescent="0.25">
      <c r="A7516" t="s">
        <v>326</v>
      </c>
      <c r="B7516" t="s">
        <v>493</v>
      </c>
      <c r="C7516" t="s">
        <v>873</v>
      </c>
      <c r="D7516" t="s">
        <v>14</v>
      </c>
      <c r="E7516">
        <v>4</v>
      </c>
      <c r="F7516" s="2">
        <f>DATE(2026,IF(Tabla1[[#This Row],[Mes de Fecha]]="Septiembre",9,10),Tabla1[[#This Row],[Día de Fecha]])</f>
        <v>46299</v>
      </c>
      <c r="G7516">
        <v>1004520656</v>
      </c>
      <c r="H7516" t="s">
        <v>502</v>
      </c>
      <c r="I7516">
        <v>25</v>
      </c>
      <c r="J7516">
        <v>0</v>
      </c>
      <c r="K7516" s="1">
        <v>1326346</v>
      </c>
    </row>
    <row r="7517" spans="1:11" x14ac:dyDescent="0.25">
      <c r="A7517" t="s">
        <v>326</v>
      </c>
      <c r="B7517" t="s">
        <v>493</v>
      </c>
      <c r="C7517" t="s">
        <v>873</v>
      </c>
      <c r="D7517" t="s">
        <v>14</v>
      </c>
      <c r="E7517">
        <v>4</v>
      </c>
      <c r="F7517" s="2">
        <f>DATE(2026,IF(Tabla1[[#This Row],[Mes de Fecha]]="Septiembre",9,10),Tabla1[[#This Row],[Día de Fecha]])</f>
        <v>46299</v>
      </c>
      <c r="G7517">
        <v>1088017254</v>
      </c>
      <c r="H7517" t="s">
        <v>504</v>
      </c>
      <c r="I7517">
        <v>-1</v>
      </c>
      <c r="J7517">
        <v>0</v>
      </c>
      <c r="K7517" s="1">
        <v>-46177</v>
      </c>
    </row>
    <row r="7518" spans="1:11" x14ac:dyDescent="0.25">
      <c r="A7518" t="s">
        <v>326</v>
      </c>
      <c r="B7518" t="s">
        <v>493</v>
      </c>
      <c r="C7518" t="s">
        <v>873</v>
      </c>
      <c r="D7518" t="s">
        <v>14</v>
      </c>
      <c r="E7518">
        <v>4</v>
      </c>
      <c r="F7518" s="2">
        <f>DATE(2026,IF(Tabla1[[#This Row],[Mes de Fecha]]="Septiembre",9,10),Tabla1[[#This Row],[Día de Fecha]])</f>
        <v>46299</v>
      </c>
      <c r="G7518">
        <v>1088333747</v>
      </c>
      <c r="H7518" t="s">
        <v>495</v>
      </c>
      <c r="I7518">
        <v>120</v>
      </c>
      <c r="J7518">
        <v>0</v>
      </c>
      <c r="K7518" s="1">
        <v>5197108</v>
      </c>
    </row>
    <row r="7519" spans="1:11" x14ac:dyDescent="0.25">
      <c r="A7519" t="s">
        <v>326</v>
      </c>
      <c r="B7519" t="s">
        <v>493</v>
      </c>
      <c r="C7519" t="s">
        <v>873</v>
      </c>
      <c r="D7519" t="s">
        <v>14</v>
      </c>
      <c r="E7519">
        <v>4</v>
      </c>
      <c r="F7519" s="2">
        <f>DATE(2026,IF(Tabla1[[#This Row],[Mes de Fecha]]="Septiembre",9,10),Tabla1[[#This Row],[Día de Fecha]])</f>
        <v>46299</v>
      </c>
      <c r="G7519">
        <v>1112760066</v>
      </c>
      <c r="H7519" t="s">
        <v>496</v>
      </c>
      <c r="I7519">
        <v>-1</v>
      </c>
      <c r="J7519">
        <v>0</v>
      </c>
      <c r="K7519" s="1">
        <v>-50336</v>
      </c>
    </row>
    <row r="7520" spans="1:11" x14ac:dyDescent="0.25">
      <c r="A7520" t="s">
        <v>326</v>
      </c>
      <c r="B7520" t="s">
        <v>493</v>
      </c>
      <c r="C7520" t="s">
        <v>873</v>
      </c>
      <c r="D7520" t="s">
        <v>14</v>
      </c>
      <c r="E7520">
        <v>5</v>
      </c>
      <c r="F7520" s="2">
        <f>DATE(2026,IF(Tabla1[[#This Row],[Mes de Fecha]]="Septiembre",9,10),Tabla1[[#This Row],[Día de Fecha]])</f>
        <v>46300</v>
      </c>
      <c r="I7520">
        <v>0</v>
      </c>
      <c r="J7520" s="1">
        <v>5418303</v>
      </c>
      <c r="K7520">
        <v>0</v>
      </c>
    </row>
    <row r="7521" spans="1:11" x14ac:dyDescent="0.25">
      <c r="A7521" t="s">
        <v>326</v>
      </c>
      <c r="B7521" t="s">
        <v>493</v>
      </c>
      <c r="C7521" t="s">
        <v>873</v>
      </c>
      <c r="D7521" t="s">
        <v>14</v>
      </c>
      <c r="E7521">
        <v>5</v>
      </c>
      <c r="F7521" s="2">
        <f>DATE(2026,IF(Tabla1[[#This Row],[Mes de Fecha]]="Septiembre",9,10),Tabla1[[#This Row],[Día de Fecha]])</f>
        <v>46300</v>
      </c>
      <c r="G7521">
        <v>4883683</v>
      </c>
      <c r="H7521" t="s">
        <v>505</v>
      </c>
      <c r="I7521">
        <v>-1</v>
      </c>
      <c r="J7521">
        <v>0</v>
      </c>
      <c r="K7521" s="1">
        <v>-37773</v>
      </c>
    </row>
    <row r="7522" spans="1:11" x14ac:dyDescent="0.25">
      <c r="A7522" t="s">
        <v>326</v>
      </c>
      <c r="B7522" t="s">
        <v>493</v>
      </c>
      <c r="C7522" t="s">
        <v>873</v>
      </c>
      <c r="D7522" t="s">
        <v>14</v>
      </c>
      <c r="E7522">
        <v>5</v>
      </c>
      <c r="F7522" s="2">
        <f>DATE(2026,IF(Tabla1[[#This Row],[Mes de Fecha]]="Septiembre",9,10),Tabla1[[#This Row],[Día de Fecha]])</f>
        <v>46300</v>
      </c>
      <c r="G7522">
        <v>1002491256</v>
      </c>
      <c r="H7522" t="s">
        <v>501</v>
      </c>
      <c r="I7522">
        <v>23</v>
      </c>
      <c r="J7522">
        <v>0</v>
      </c>
      <c r="K7522" s="1">
        <v>1108109</v>
      </c>
    </row>
    <row r="7523" spans="1:11" x14ac:dyDescent="0.25">
      <c r="A7523" t="s">
        <v>326</v>
      </c>
      <c r="B7523" t="s">
        <v>493</v>
      </c>
      <c r="C7523" t="s">
        <v>873</v>
      </c>
      <c r="D7523" t="s">
        <v>14</v>
      </c>
      <c r="E7523">
        <v>5</v>
      </c>
      <c r="F7523" s="2">
        <f>DATE(2026,IF(Tabla1[[#This Row],[Mes de Fecha]]="Septiembre",9,10),Tabla1[[#This Row],[Día de Fecha]])</f>
        <v>46300</v>
      </c>
      <c r="G7523">
        <v>1002743905</v>
      </c>
      <c r="H7523" t="s">
        <v>503</v>
      </c>
      <c r="I7523">
        <v>94</v>
      </c>
      <c r="J7523">
        <v>0</v>
      </c>
      <c r="K7523" s="1">
        <v>4316475</v>
      </c>
    </row>
    <row r="7524" spans="1:11" x14ac:dyDescent="0.25">
      <c r="A7524" t="s">
        <v>326</v>
      </c>
      <c r="B7524" t="s">
        <v>493</v>
      </c>
      <c r="C7524" t="s">
        <v>873</v>
      </c>
      <c r="D7524" t="s">
        <v>14</v>
      </c>
      <c r="E7524">
        <v>5</v>
      </c>
      <c r="F7524" s="2">
        <f>DATE(2026,IF(Tabla1[[#This Row],[Mes de Fecha]]="Septiembre",9,10),Tabla1[[#This Row],[Día de Fecha]])</f>
        <v>46300</v>
      </c>
      <c r="G7524">
        <v>1004520656</v>
      </c>
      <c r="H7524" t="s">
        <v>502</v>
      </c>
      <c r="I7524">
        <v>41</v>
      </c>
      <c r="J7524">
        <v>0</v>
      </c>
      <c r="K7524" s="1">
        <v>2197062</v>
      </c>
    </row>
    <row r="7525" spans="1:11" x14ac:dyDescent="0.25">
      <c r="A7525" t="s">
        <v>326</v>
      </c>
      <c r="B7525" t="s">
        <v>493</v>
      </c>
      <c r="C7525" t="s">
        <v>873</v>
      </c>
      <c r="D7525" t="s">
        <v>14</v>
      </c>
      <c r="E7525">
        <v>6</v>
      </c>
      <c r="F7525" s="2">
        <f>DATE(2026,IF(Tabla1[[#This Row],[Mes de Fecha]]="Septiembre",9,10),Tabla1[[#This Row],[Día de Fecha]])</f>
        <v>46301</v>
      </c>
      <c r="I7525">
        <v>0</v>
      </c>
      <c r="J7525" s="1">
        <v>3291793</v>
      </c>
      <c r="K7525">
        <v>0</v>
      </c>
    </row>
    <row r="7526" spans="1:11" x14ac:dyDescent="0.25">
      <c r="A7526" t="s">
        <v>326</v>
      </c>
      <c r="B7526" t="s">
        <v>493</v>
      </c>
      <c r="C7526" t="s">
        <v>873</v>
      </c>
      <c r="D7526" t="s">
        <v>14</v>
      </c>
      <c r="E7526">
        <v>6</v>
      </c>
      <c r="F7526" s="2">
        <f>DATE(2026,IF(Tabla1[[#This Row],[Mes de Fecha]]="Septiembre",9,10),Tabla1[[#This Row],[Día de Fecha]])</f>
        <v>46301</v>
      </c>
      <c r="G7526">
        <v>1002491256</v>
      </c>
      <c r="H7526" t="s">
        <v>501</v>
      </c>
      <c r="I7526">
        <v>49</v>
      </c>
      <c r="J7526">
        <v>0</v>
      </c>
      <c r="K7526" s="1">
        <v>2331302</v>
      </c>
    </row>
    <row r="7527" spans="1:11" x14ac:dyDescent="0.25">
      <c r="A7527" t="s">
        <v>326</v>
      </c>
      <c r="B7527" t="s">
        <v>493</v>
      </c>
      <c r="C7527" t="s">
        <v>873</v>
      </c>
      <c r="D7527" t="s">
        <v>14</v>
      </c>
      <c r="E7527">
        <v>6</v>
      </c>
      <c r="F7527" s="2">
        <f>DATE(2026,IF(Tabla1[[#This Row],[Mes de Fecha]]="Septiembre",9,10),Tabla1[[#This Row],[Día de Fecha]])</f>
        <v>46301</v>
      </c>
      <c r="G7527">
        <v>1004789966</v>
      </c>
      <c r="H7527" t="s">
        <v>506</v>
      </c>
      <c r="I7527">
        <v>-1</v>
      </c>
      <c r="J7527">
        <v>0</v>
      </c>
      <c r="K7527" s="1">
        <v>-33529</v>
      </c>
    </row>
    <row r="7528" spans="1:11" x14ac:dyDescent="0.25">
      <c r="A7528" t="s">
        <v>326</v>
      </c>
      <c r="B7528" t="s">
        <v>493</v>
      </c>
      <c r="C7528" t="s">
        <v>873</v>
      </c>
      <c r="D7528" t="s">
        <v>14</v>
      </c>
      <c r="E7528">
        <v>6</v>
      </c>
      <c r="F7528" s="2">
        <f>DATE(2026,IF(Tabla1[[#This Row],[Mes de Fecha]]="Septiembre",9,10),Tabla1[[#This Row],[Día de Fecha]])</f>
        <v>46301</v>
      </c>
      <c r="G7528">
        <v>1088333747</v>
      </c>
      <c r="H7528" t="s">
        <v>495</v>
      </c>
      <c r="I7528">
        <v>105</v>
      </c>
      <c r="J7528">
        <v>0</v>
      </c>
      <c r="K7528" s="1">
        <v>5449880</v>
      </c>
    </row>
    <row r="7529" spans="1:11" x14ac:dyDescent="0.25">
      <c r="A7529" t="s">
        <v>326</v>
      </c>
      <c r="B7529" t="s">
        <v>493</v>
      </c>
      <c r="C7529" t="s">
        <v>873</v>
      </c>
      <c r="D7529" t="s">
        <v>14</v>
      </c>
      <c r="E7529">
        <v>7</v>
      </c>
      <c r="F7529" s="2">
        <f>DATE(2026,IF(Tabla1[[#This Row],[Mes de Fecha]]="Septiembre",9,10),Tabla1[[#This Row],[Día de Fecha]])</f>
        <v>46302</v>
      </c>
      <c r="I7529">
        <v>0</v>
      </c>
      <c r="J7529" s="1">
        <v>3257230</v>
      </c>
      <c r="K7529">
        <v>0</v>
      </c>
    </row>
    <row r="7530" spans="1:11" x14ac:dyDescent="0.25">
      <c r="A7530" t="s">
        <v>326</v>
      </c>
      <c r="B7530" t="s">
        <v>493</v>
      </c>
      <c r="C7530" t="s">
        <v>873</v>
      </c>
      <c r="D7530" t="s">
        <v>14</v>
      </c>
      <c r="E7530">
        <v>7</v>
      </c>
      <c r="F7530" s="2">
        <f>DATE(2026,IF(Tabla1[[#This Row],[Mes de Fecha]]="Septiembre",9,10),Tabla1[[#This Row],[Día de Fecha]])</f>
        <v>46302</v>
      </c>
      <c r="G7530">
        <v>1002491256</v>
      </c>
      <c r="H7530" t="s">
        <v>501</v>
      </c>
      <c r="I7530">
        <v>19</v>
      </c>
      <c r="J7530">
        <v>0</v>
      </c>
      <c r="K7530" s="1">
        <v>755171</v>
      </c>
    </row>
    <row r="7531" spans="1:11" x14ac:dyDescent="0.25">
      <c r="A7531" t="s">
        <v>326</v>
      </c>
      <c r="B7531" t="s">
        <v>493</v>
      </c>
      <c r="C7531" t="s">
        <v>873</v>
      </c>
      <c r="D7531" t="s">
        <v>14</v>
      </c>
      <c r="E7531">
        <v>7</v>
      </c>
      <c r="F7531" s="2">
        <f>DATE(2026,IF(Tabla1[[#This Row],[Mes de Fecha]]="Septiembre",9,10),Tabla1[[#This Row],[Día de Fecha]])</f>
        <v>46302</v>
      </c>
      <c r="G7531">
        <v>1002743905</v>
      </c>
      <c r="H7531" t="s">
        <v>503</v>
      </c>
      <c r="I7531">
        <v>49</v>
      </c>
      <c r="J7531">
        <v>0</v>
      </c>
      <c r="K7531" s="1">
        <v>2801891</v>
      </c>
    </row>
    <row r="7532" spans="1:11" x14ac:dyDescent="0.25">
      <c r="A7532" t="s">
        <v>326</v>
      </c>
      <c r="B7532" t="s">
        <v>493</v>
      </c>
      <c r="C7532" t="s">
        <v>873</v>
      </c>
      <c r="D7532" t="s">
        <v>14</v>
      </c>
      <c r="E7532">
        <v>7</v>
      </c>
      <c r="F7532" s="2">
        <f>DATE(2026,IF(Tabla1[[#This Row],[Mes de Fecha]]="Septiembre",9,10),Tabla1[[#This Row],[Día de Fecha]])</f>
        <v>46302</v>
      </c>
      <c r="G7532">
        <v>1088333747</v>
      </c>
      <c r="H7532" t="s">
        <v>495</v>
      </c>
      <c r="I7532">
        <v>60</v>
      </c>
      <c r="J7532">
        <v>0</v>
      </c>
      <c r="K7532" s="1">
        <v>3080775</v>
      </c>
    </row>
    <row r="7533" spans="1:11" x14ac:dyDescent="0.25">
      <c r="A7533" t="s">
        <v>326</v>
      </c>
      <c r="B7533" t="s">
        <v>493</v>
      </c>
      <c r="C7533" t="s">
        <v>873</v>
      </c>
      <c r="D7533" t="s">
        <v>14</v>
      </c>
      <c r="E7533">
        <v>7</v>
      </c>
      <c r="F7533" s="2">
        <f>DATE(2026,IF(Tabla1[[#This Row],[Mes de Fecha]]="Septiembre",9,10),Tabla1[[#This Row],[Día de Fecha]])</f>
        <v>46302</v>
      </c>
      <c r="G7533">
        <v>1112760066</v>
      </c>
      <c r="H7533" t="s">
        <v>496</v>
      </c>
      <c r="I7533">
        <v>-1</v>
      </c>
      <c r="J7533">
        <v>0</v>
      </c>
      <c r="K7533" s="1">
        <v>-20966</v>
      </c>
    </row>
    <row r="7534" spans="1:11" x14ac:dyDescent="0.25">
      <c r="A7534" t="s">
        <v>326</v>
      </c>
      <c r="B7534" t="s">
        <v>541</v>
      </c>
      <c r="C7534" t="s">
        <v>873</v>
      </c>
      <c r="D7534" t="s">
        <v>11</v>
      </c>
      <c r="E7534">
        <v>23</v>
      </c>
      <c r="F7534" s="2">
        <f>DATE(2026,IF(Tabla1[[#This Row],[Mes de Fecha]]="Septiembre",9,10),Tabla1[[#This Row],[Día de Fecha]])</f>
        <v>46288</v>
      </c>
      <c r="I7534">
        <v>0</v>
      </c>
      <c r="J7534" s="1">
        <v>13033271</v>
      </c>
      <c r="K7534">
        <v>0</v>
      </c>
    </row>
    <row r="7535" spans="1:11" x14ac:dyDescent="0.25">
      <c r="A7535" t="s">
        <v>326</v>
      </c>
      <c r="B7535" t="s">
        <v>541</v>
      </c>
      <c r="C7535" t="s">
        <v>873</v>
      </c>
      <c r="D7535" t="s">
        <v>11</v>
      </c>
      <c r="E7535">
        <v>23</v>
      </c>
      <c r="F7535" s="2">
        <f>DATE(2026,IF(Tabla1[[#This Row],[Mes de Fecha]]="Septiembre",9,10),Tabla1[[#This Row],[Día de Fecha]])</f>
        <v>46288</v>
      </c>
      <c r="G7535">
        <v>4883683</v>
      </c>
      <c r="H7535" t="s">
        <v>505</v>
      </c>
      <c r="I7535">
        <v>37</v>
      </c>
      <c r="J7535">
        <v>0</v>
      </c>
      <c r="K7535" s="1">
        <v>1634792</v>
      </c>
    </row>
    <row r="7536" spans="1:11" x14ac:dyDescent="0.25">
      <c r="A7536" t="s">
        <v>326</v>
      </c>
      <c r="B7536" t="s">
        <v>541</v>
      </c>
      <c r="C7536" t="s">
        <v>873</v>
      </c>
      <c r="D7536" t="s">
        <v>11</v>
      </c>
      <c r="E7536">
        <v>23</v>
      </c>
      <c r="F7536" s="2">
        <f>DATE(2026,IF(Tabla1[[#This Row],[Mes de Fecha]]="Septiembre",9,10),Tabla1[[#This Row],[Día de Fecha]])</f>
        <v>46288</v>
      </c>
      <c r="G7536">
        <v>1006535971</v>
      </c>
      <c r="H7536" t="s">
        <v>542</v>
      </c>
      <c r="I7536">
        <v>84</v>
      </c>
      <c r="J7536">
        <v>0</v>
      </c>
      <c r="K7536" s="1">
        <v>5361597</v>
      </c>
    </row>
    <row r="7537" spans="1:11" x14ac:dyDescent="0.25">
      <c r="A7537" t="s">
        <v>326</v>
      </c>
      <c r="B7537" t="s">
        <v>541</v>
      </c>
      <c r="C7537" t="s">
        <v>873</v>
      </c>
      <c r="D7537" t="s">
        <v>11</v>
      </c>
      <c r="E7537">
        <v>23</v>
      </c>
      <c r="F7537" s="2">
        <f>DATE(2026,IF(Tabla1[[#This Row],[Mes de Fecha]]="Septiembre",9,10),Tabla1[[#This Row],[Día de Fecha]])</f>
        <v>46288</v>
      </c>
      <c r="G7537">
        <v>1088017254</v>
      </c>
      <c r="H7537" t="s">
        <v>504</v>
      </c>
      <c r="I7537">
        <v>-1</v>
      </c>
      <c r="J7537">
        <v>0</v>
      </c>
      <c r="K7537" s="1">
        <v>-88193</v>
      </c>
    </row>
    <row r="7538" spans="1:11" x14ac:dyDescent="0.25">
      <c r="A7538" t="s">
        <v>326</v>
      </c>
      <c r="B7538" t="s">
        <v>541</v>
      </c>
      <c r="C7538" t="s">
        <v>873</v>
      </c>
      <c r="D7538" t="s">
        <v>11</v>
      </c>
      <c r="E7538">
        <v>23</v>
      </c>
      <c r="F7538" s="2">
        <f>DATE(2026,IF(Tabla1[[#This Row],[Mes de Fecha]]="Septiembre",9,10),Tabla1[[#This Row],[Día de Fecha]])</f>
        <v>46288</v>
      </c>
      <c r="G7538">
        <v>1088017991</v>
      </c>
      <c r="H7538" t="s">
        <v>499</v>
      </c>
      <c r="I7538">
        <v>64</v>
      </c>
      <c r="J7538">
        <v>0</v>
      </c>
      <c r="K7538" s="1">
        <v>4147819</v>
      </c>
    </row>
    <row r="7539" spans="1:11" x14ac:dyDescent="0.25">
      <c r="A7539" t="s">
        <v>326</v>
      </c>
      <c r="B7539" t="s">
        <v>541</v>
      </c>
      <c r="C7539" t="s">
        <v>873</v>
      </c>
      <c r="D7539" t="s">
        <v>11</v>
      </c>
      <c r="E7539">
        <v>23</v>
      </c>
      <c r="F7539" s="2">
        <f>DATE(2026,IF(Tabla1[[#This Row],[Mes de Fecha]]="Septiembre",9,10),Tabla1[[#This Row],[Día de Fecha]])</f>
        <v>46288</v>
      </c>
      <c r="G7539">
        <v>1088286603</v>
      </c>
      <c r="H7539" t="s">
        <v>500</v>
      </c>
      <c r="I7539">
        <v>77</v>
      </c>
      <c r="J7539">
        <v>0</v>
      </c>
      <c r="K7539" s="1">
        <v>4171008</v>
      </c>
    </row>
    <row r="7540" spans="1:11" x14ac:dyDescent="0.25">
      <c r="A7540" t="s">
        <v>326</v>
      </c>
      <c r="B7540" t="s">
        <v>541</v>
      </c>
      <c r="C7540" t="s">
        <v>873</v>
      </c>
      <c r="D7540" t="s">
        <v>11</v>
      </c>
      <c r="E7540">
        <v>23</v>
      </c>
      <c r="F7540" s="2">
        <f>DATE(2026,IF(Tabla1[[#This Row],[Mes de Fecha]]="Septiembre",9,10),Tabla1[[#This Row],[Día de Fecha]])</f>
        <v>46288</v>
      </c>
      <c r="G7540">
        <v>1127536836</v>
      </c>
      <c r="H7540" t="s">
        <v>544</v>
      </c>
      <c r="I7540">
        <v>15</v>
      </c>
      <c r="J7540">
        <v>0</v>
      </c>
      <c r="K7540" s="1">
        <v>831195</v>
      </c>
    </row>
    <row r="7541" spans="1:11" x14ac:dyDescent="0.25">
      <c r="A7541" t="s">
        <v>326</v>
      </c>
      <c r="B7541" t="s">
        <v>541</v>
      </c>
      <c r="C7541" t="s">
        <v>873</v>
      </c>
      <c r="D7541" t="s">
        <v>11</v>
      </c>
      <c r="E7541">
        <v>24</v>
      </c>
      <c r="F7541" s="2">
        <f>DATE(2026,IF(Tabla1[[#This Row],[Mes de Fecha]]="Septiembre",9,10),Tabla1[[#This Row],[Día de Fecha]])</f>
        <v>46289</v>
      </c>
      <c r="I7541">
        <v>0</v>
      </c>
      <c r="J7541" s="1">
        <v>19909787</v>
      </c>
      <c r="K7541">
        <v>0</v>
      </c>
    </row>
    <row r="7542" spans="1:11" x14ac:dyDescent="0.25">
      <c r="A7542" t="s">
        <v>326</v>
      </c>
      <c r="B7542" t="s">
        <v>541</v>
      </c>
      <c r="C7542" t="s">
        <v>873</v>
      </c>
      <c r="D7542" t="s">
        <v>11</v>
      </c>
      <c r="E7542">
        <v>24</v>
      </c>
      <c r="F7542" s="2">
        <f>DATE(2026,IF(Tabla1[[#This Row],[Mes de Fecha]]="Septiembre",9,10),Tabla1[[#This Row],[Día de Fecha]])</f>
        <v>46289</v>
      </c>
      <c r="G7542">
        <v>4883683</v>
      </c>
      <c r="H7542" t="s">
        <v>505</v>
      </c>
      <c r="I7542">
        <v>13</v>
      </c>
      <c r="J7542">
        <v>0</v>
      </c>
      <c r="K7542" s="1">
        <v>818783</v>
      </c>
    </row>
    <row r="7543" spans="1:11" x14ac:dyDescent="0.25">
      <c r="A7543" t="s">
        <v>326</v>
      </c>
      <c r="B7543" t="s">
        <v>541</v>
      </c>
      <c r="C7543" t="s">
        <v>873</v>
      </c>
      <c r="D7543" t="s">
        <v>11</v>
      </c>
      <c r="E7543">
        <v>24</v>
      </c>
      <c r="F7543" s="2">
        <f>DATE(2026,IF(Tabla1[[#This Row],[Mes de Fecha]]="Septiembre",9,10),Tabla1[[#This Row],[Día de Fecha]])</f>
        <v>46289</v>
      </c>
      <c r="G7543">
        <v>6300471</v>
      </c>
      <c r="H7543" t="s">
        <v>545</v>
      </c>
      <c r="I7543">
        <v>34</v>
      </c>
      <c r="J7543">
        <v>0</v>
      </c>
      <c r="K7543" s="1">
        <v>1796809</v>
      </c>
    </row>
    <row r="7544" spans="1:11" x14ac:dyDescent="0.25">
      <c r="A7544" t="s">
        <v>326</v>
      </c>
      <c r="B7544" t="s">
        <v>541</v>
      </c>
      <c r="C7544" t="s">
        <v>873</v>
      </c>
      <c r="D7544" t="s">
        <v>11</v>
      </c>
      <c r="E7544">
        <v>24</v>
      </c>
      <c r="F7544" s="2">
        <f>DATE(2026,IF(Tabla1[[#This Row],[Mes de Fecha]]="Septiembre",9,10),Tabla1[[#This Row],[Día de Fecha]])</f>
        <v>46289</v>
      </c>
      <c r="G7544">
        <v>1006535971</v>
      </c>
      <c r="H7544" t="s">
        <v>542</v>
      </c>
      <c r="I7544">
        <v>58</v>
      </c>
      <c r="J7544">
        <v>0</v>
      </c>
      <c r="K7544" s="1">
        <v>3401732</v>
      </c>
    </row>
    <row r="7545" spans="1:11" x14ac:dyDescent="0.25">
      <c r="A7545" t="s">
        <v>326</v>
      </c>
      <c r="B7545" t="s">
        <v>541</v>
      </c>
      <c r="C7545" t="s">
        <v>873</v>
      </c>
      <c r="D7545" t="s">
        <v>11</v>
      </c>
      <c r="E7545">
        <v>24</v>
      </c>
      <c r="F7545" s="2">
        <f>DATE(2026,IF(Tabla1[[#This Row],[Mes de Fecha]]="Septiembre",9,10),Tabla1[[#This Row],[Día de Fecha]])</f>
        <v>46289</v>
      </c>
      <c r="G7545">
        <v>1088017991</v>
      </c>
      <c r="H7545" t="s">
        <v>499</v>
      </c>
      <c r="I7545">
        <v>107</v>
      </c>
      <c r="J7545">
        <v>0</v>
      </c>
      <c r="K7545" s="1">
        <v>5746939</v>
      </c>
    </row>
    <row r="7546" spans="1:11" x14ac:dyDescent="0.25">
      <c r="A7546" t="s">
        <v>326</v>
      </c>
      <c r="B7546" t="s">
        <v>541</v>
      </c>
      <c r="C7546" t="s">
        <v>873</v>
      </c>
      <c r="D7546" t="s">
        <v>11</v>
      </c>
      <c r="E7546">
        <v>24</v>
      </c>
      <c r="F7546" s="2">
        <f>DATE(2026,IF(Tabla1[[#This Row],[Mes de Fecha]]="Septiembre",9,10),Tabla1[[#This Row],[Día de Fecha]])</f>
        <v>46289</v>
      </c>
      <c r="G7546">
        <v>1088286603</v>
      </c>
      <c r="H7546" t="s">
        <v>500</v>
      </c>
      <c r="I7546">
        <v>57</v>
      </c>
      <c r="J7546">
        <v>0</v>
      </c>
      <c r="K7546" s="1">
        <v>3478028</v>
      </c>
    </row>
    <row r="7547" spans="1:11" x14ac:dyDescent="0.25">
      <c r="A7547" t="s">
        <v>326</v>
      </c>
      <c r="B7547" t="s">
        <v>541</v>
      </c>
      <c r="C7547" t="s">
        <v>873</v>
      </c>
      <c r="D7547" t="s">
        <v>11</v>
      </c>
      <c r="E7547">
        <v>24</v>
      </c>
      <c r="F7547" s="2">
        <f>DATE(2026,IF(Tabla1[[#This Row],[Mes de Fecha]]="Septiembre",9,10),Tabla1[[#This Row],[Día de Fecha]])</f>
        <v>46289</v>
      </c>
      <c r="G7547">
        <v>1127536836</v>
      </c>
      <c r="H7547" t="s">
        <v>544</v>
      </c>
      <c r="I7547">
        <v>14</v>
      </c>
      <c r="J7547">
        <v>0</v>
      </c>
      <c r="K7547" s="1">
        <v>881806</v>
      </c>
    </row>
    <row r="7548" spans="1:11" x14ac:dyDescent="0.25">
      <c r="A7548" t="s">
        <v>326</v>
      </c>
      <c r="B7548" t="s">
        <v>541</v>
      </c>
      <c r="C7548" t="s">
        <v>873</v>
      </c>
      <c r="D7548" t="s">
        <v>11</v>
      </c>
      <c r="E7548">
        <v>25</v>
      </c>
      <c r="F7548" s="2">
        <f>DATE(2026,IF(Tabla1[[#This Row],[Mes de Fecha]]="Septiembre",9,10),Tabla1[[#This Row],[Día de Fecha]])</f>
        <v>46290</v>
      </c>
      <c r="I7548">
        <v>0</v>
      </c>
      <c r="J7548" s="1">
        <v>19865708</v>
      </c>
      <c r="K7548">
        <v>0</v>
      </c>
    </row>
    <row r="7549" spans="1:11" x14ac:dyDescent="0.25">
      <c r="A7549" t="s">
        <v>326</v>
      </c>
      <c r="B7549" t="s">
        <v>541</v>
      </c>
      <c r="C7549" t="s">
        <v>873</v>
      </c>
      <c r="D7549" t="s">
        <v>11</v>
      </c>
      <c r="E7549">
        <v>25</v>
      </c>
      <c r="F7549" s="2">
        <f>DATE(2026,IF(Tabla1[[#This Row],[Mes de Fecha]]="Septiembre",9,10),Tabla1[[#This Row],[Día de Fecha]])</f>
        <v>46290</v>
      </c>
      <c r="G7549">
        <v>4883683</v>
      </c>
      <c r="H7549" t="s">
        <v>505</v>
      </c>
      <c r="I7549">
        <v>34</v>
      </c>
      <c r="J7549">
        <v>0</v>
      </c>
      <c r="K7549" s="1">
        <v>2282188</v>
      </c>
    </row>
    <row r="7550" spans="1:11" x14ac:dyDescent="0.25">
      <c r="A7550" t="s">
        <v>326</v>
      </c>
      <c r="B7550" t="s">
        <v>541</v>
      </c>
      <c r="C7550" t="s">
        <v>873</v>
      </c>
      <c r="D7550" t="s">
        <v>11</v>
      </c>
      <c r="E7550">
        <v>25</v>
      </c>
      <c r="F7550" s="2">
        <f>DATE(2026,IF(Tabla1[[#This Row],[Mes de Fecha]]="Septiembre",9,10),Tabla1[[#This Row],[Día de Fecha]])</f>
        <v>46290</v>
      </c>
      <c r="G7550">
        <v>6300471</v>
      </c>
      <c r="H7550" t="s">
        <v>545</v>
      </c>
      <c r="I7550">
        <v>77</v>
      </c>
      <c r="J7550">
        <v>0</v>
      </c>
      <c r="K7550" s="1">
        <v>6587439</v>
      </c>
    </row>
    <row r="7551" spans="1:11" x14ac:dyDescent="0.25">
      <c r="A7551" t="s">
        <v>326</v>
      </c>
      <c r="B7551" t="s">
        <v>541</v>
      </c>
      <c r="C7551" t="s">
        <v>873</v>
      </c>
      <c r="D7551" t="s">
        <v>11</v>
      </c>
      <c r="E7551">
        <v>25</v>
      </c>
      <c r="F7551" s="2">
        <f>DATE(2026,IF(Tabla1[[#This Row],[Mes de Fecha]]="Septiembre",9,10),Tabla1[[#This Row],[Día de Fecha]])</f>
        <v>46290</v>
      </c>
      <c r="G7551">
        <v>1006535971</v>
      </c>
      <c r="H7551" t="s">
        <v>542</v>
      </c>
      <c r="I7551">
        <v>66</v>
      </c>
      <c r="J7551">
        <v>0</v>
      </c>
      <c r="K7551" s="1">
        <v>5491979</v>
      </c>
    </row>
    <row r="7552" spans="1:11" x14ac:dyDescent="0.25">
      <c r="A7552" t="s">
        <v>326</v>
      </c>
      <c r="B7552" t="s">
        <v>541</v>
      </c>
      <c r="C7552" t="s">
        <v>873</v>
      </c>
      <c r="D7552" t="s">
        <v>11</v>
      </c>
      <c r="E7552">
        <v>25</v>
      </c>
      <c r="F7552" s="2">
        <f>DATE(2026,IF(Tabla1[[#This Row],[Mes de Fecha]]="Septiembre",9,10),Tabla1[[#This Row],[Día de Fecha]])</f>
        <v>46290</v>
      </c>
      <c r="G7552">
        <v>1088017991</v>
      </c>
      <c r="H7552" t="s">
        <v>499</v>
      </c>
      <c r="I7552">
        <v>86</v>
      </c>
      <c r="J7552">
        <v>0</v>
      </c>
      <c r="K7552" s="1">
        <v>5368912</v>
      </c>
    </row>
    <row r="7553" spans="1:11" x14ac:dyDescent="0.25">
      <c r="A7553" t="s">
        <v>326</v>
      </c>
      <c r="B7553" t="s">
        <v>541</v>
      </c>
      <c r="C7553" t="s">
        <v>873</v>
      </c>
      <c r="D7553" t="s">
        <v>11</v>
      </c>
      <c r="E7553">
        <v>25</v>
      </c>
      <c r="F7553" s="2">
        <f>DATE(2026,IF(Tabla1[[#This Row],[Mes de Fecha]]="Septiembre",9,10),Tabla1[[#This Row],[Día de Fecha]])</f>
        <v>46290</v>
      </c>
      <c r="G7553">
        <v>1088286603</v>
      </c>
      <c r="H7553" t="s">
        <v>500</v>
      </c>
      <c r="I7553">
        <v>70</v>
      </c>
      <c r="J7553">
        <v>0</v>
      </c>
      <c r="K7553" s="1">
        <v>4731728</v>
      </c>
    </row>
    <row r="7554" spans="1:11" x14ac:dyDescent="0.25">
      <c r="A7554" t="s">
        <v>326</v>
      </c>
      <c r="B7554" t="s">
        <v>541</v>
      </c>
      <c r="C7554" t="s">
        <v>873</v>
      </c>
      <c r="D7554" t="s">
        <v>11</v>
      </c>
      <c r="E7554">
        <v>25</v>
      </c>
      <c r="F7554" s="2">
        <f>DATE(2026,IF(Tabla1[[#This Row],[Mes de Fecha]]="Septiembre",9,10),Tabla1[[#This Row],[Día de Fecha]])</f>
        <v>46290</v>
      </c>
      <c r="G7554">
        <v>1094971574</v>
      </c>
      <c r="H7554" t="s">
        <v>546</v>
      </c>
      <c r="I7554">
        <v>-1</v>
      </c>
      <c r="J7554">
        <v>0</v>
      </c>
      <c r="K7554" s="1">
        <v>-83949</v>
      </c>
    </row>
    <row r="7555" spans="1:11" x14ac:dyDescent="0.25">
      <c r="A7555" t="s">
        <v>326</v>
      </c>
      <c r="B7555" t="s">
        <v>541</v>
      </c>
      <c r="C7555" t="s">
        <v>873</v>
      </c>
      <c r="D7555" t="s">
        <v>11</v>
      </c>
      <c r="E7555">
        <v>25</v>
      </c>
      <c r="F7555" s="2">
        <f>DATE(2026,IF(Tabla1[[#This Row],[Mes de Fecha]]="Septiembre",9,10),Tabla1[[#This Row],[Día de Fecha]])</f>
        <v>46290</v>
      </c>
      <c r="G7555">
        <v>1127536836</v>
      </c>
      <c r="H7555" t="s">
        <v>544</v>
      </c>
      <c r="I7555">
        <v>36</v>
      </c>
      <c r="J7555">
        <v>0</v>
      </c>
      <c r="K7555" s="1">
        <v>1742062</v>
      </c>
    </row>
    <row r="7556" spans="1:11" x14ac:dyDescent="0.25">
      <c r="A7556" t="s">
        <v>326</v>
      </c>
      <c r="B7556" t="s">
        <v>541</v>
      </c>
      <c r="C7556" t="s">
        <v>873</v>
      </c>
      <c r="D7556" t="s">
        <v>11</v>
      </c>
      <c r="E7556">
        <v>26</v>
      </c>
      <c r="F7556" s="2">
        <f>DATE(2026,IF(Tabla1[[#This Row],[Mes de Fecha]]="Septiembre",9,10),Tabla1[[#This Row],[Día de Fecha]])</f>
        <v>46291</v>
      </c>
      <c r="I7556">
        <v>0</v>
      </c>
      <c r="J7556" s="1">
        <v>28549881</v>
      </c>
      <c r="K7556">
        <v>0</v>
      </c>
    </row>
    <row r="7557" spans="1:11" x14ac:dyDescent="0.25">
      <c r="A7557" t="s">
        <v>326</v>
      </c>
      <c r="B7557" t="s">
        <v>541</v>
      </c>
      <c r="C7557" t="s">
        <v>873</v>
      </c>
      <c r="D7557" t="s">
        <v>11</v>
      </c>
      <c r="E7557">
        <v>26</v>
      </c>
      <c r="F7557" s="2">
        <f>DATE(2026,IF(Tabla1[[#This Row],[Mes de Fecha]]="Septiembre",9,10),Tabla1[[#This Row],[Día de Fecha]])</f>
        <v>46291</v>
      </c>
      <c r="G7557">
        <v>4883683</v>
      </c>
      <c r="H7557" t="s">
        <v>505</v>
      </c>
      <c r="I7557">
        <v>75</v>
      </c>
      <c r="J7557">
        <v>0</v>
      </c>
      <c r="K7557" s="1">
        <v>4603663</v>
      </c>
    </row>
    <row r="7558" spans="1:11" x14ac:dyDescent="0.25">
      <c r="A7558" t="s">
        <v>326</v>
      </c>
      <c r="B7558" t="s">
        <v>541</v>
      </c>
      <c r="C7558" t="s">
        <v>873</v>
      </c>
      <c r="D7558" t="s">
        <v>11</v>
      </c>
      <c r="E7558">
        <v>26</v>
      </c>
      <c r="F7558" s="2">
        <f>DATE(2026,IF(Tabla1[[#This Row],[Mes de Fecha]]="Septiembre",9,10),Tabla1[[#This Row],[Día de Fecha]])</f>
        <v>46291</v>
      </c>
      <c r="G7558">
        <v>6300471</v>
      </c>
      <c r="H7558" t="s">
        <v>545</v>
      </c>
      <c r="I7558">
        <v>107</v>
      </c>
      <c r="J7558">
        <v>0</v>
      </c>
      <c r="K7558" s="1">
        <v>5820763</v>
      </c>
    </row>
    <row r="7559" spans="1:11" x14ac:dyDescent="0.25">
      <c r="A7559" t="s">
        <v>326</v>
      </c>
      <c r="B7559" t="s">
        <v>541</v>
      </c>
      <c r="C7559" t="s">
        <v>873</v>
      </c>
      <c r="D7559" t="s">
        <v>11</v>
      </c>
      <c r="E7559">
        <v>26</v>
      </c>
      <c r="F7559" s="2">
        <f>DATE(2026,IF(Tabla1[[#This Row],[Mes de Fecha]]="Septiembre",9,10),Tabla1[[#This Row],[Día de Fecha]])</f>
        <v>46291</v>
      </c>
      <c r="G7559">
        <v>1006535971</v>
      </c>
      <c r="H7559" t="s">
        <v>542</v>
      </c>
      <c r="I7559">
        <v>116</v>
      </c>
      <c r="J7559">
        <v>0</v>
      </c>
      <c r="K7559" s="1">
        <v>6478484</v>
      </c>
    </row>
    <row r="7560" spans="1:11" x14ac:dyDescent="0.25">
      <c r="A7560" t="s">
        <v>326</v>
      </c>
      <c r="B7560" t="s">
        <v>541</v>
      </c>
      <c r="C7560" t="s">
        <v>873</v>
      </c>
      <c r="D7560" t="s">
        <v>11</v>
      </c>
      <c r="E7560">
        <v>26</v>
      </c>
      <c r="F7560" s="2">
        <f>DATE(2026,IF(Tabla1[[#This Row],[Mes de Fecha]]="Septiembre",9,10),Tabla1[[#This Row],[Día de Fecha]])</f>
        <v>46291</v>
      </c>
      <c r="G7560">
        <v>1088017991</v>
      </c>
      <c r="H7560" t="s">
        <v>499</v>
      </c>
      <c r="I7560">
        <v>115</v>
      </c>
      <c r="J7560">
        <v>0</v>
      </c>
      <c r="K7560" s="1">
        <v>6891450</v>
      </c>
    </row>
    <row r="7561" spans="1:11" x14ac:dyDescent="0.25">
      <c r="A7561" t="s">
        <v>326</v>
      </c>
      <c r="B7561" t="s">
        <v>541</v>
      </c>
      <c r="C7561" t="s">
        <v>873</v>
      </c>
      <c r="D7561" t="s">
        <v>11</v>
      </c>
      <c r="E7561">
        <v>26</v>
      </c>
      <c r="F7561" s="2">
        <f>DATE(2026,IF(Tabla1[[#This Row],[Mes de Fecha]]="Septiembre",9,10),Tabla1[[#This Row],[Día de Fecha]])</f>
        <v>46291</v>
      </c>
      <c r="G7561">
        <v>1088286603</v>
      </c>
      <c r="H7561" t="s">
        <v>500</v>
      </c>
      <c r="I7561">
        <v>95</v>
      </c>
      <c r="J7561">
        <v>0</v>
      </c>
      <c r="K7561" s="1">
        <v>5550379</v>
      </c>
    </row>
    <row r="7562" spans="1:11" x14ac:dyDescent="0.25">
      <c r="A7562" t="s">
        <v>326</v>
      </c>
      <c r="B7562" t="s">
        <v>541</v>
      </c>
      <c r="C7562" t="s">
        <v>873</v>
      </c>
      <c r="D7562" t="s">
        <v>11</v>
      </c>
      <c r="E7562">
        <v>26</v>
      </c>
      <c r="F7562" s="2">
        <f>DATE(2026,IF(Tabla1[[#This Row],[Mes de Fecha]]="Septiembre",9,10),Tabla1[[#This Row],[Día de Fecha]])</f>
        <v>46291</v>
      </c>
      <c r="G7562">
        <v>1088333564</v>
      </c>
      <c r="H7562" t="s">
        <v>543</v>
      </c>
      <c r="I7562">
        <v>71</v>
      </c>
      <c r="J7562">
        <v>0</v>
      </c>
      <c r="K7562" s="1">
        <v>4284462</v>
      </c>
    </row>
    <row r="7563" spans="1:11" x14ac:dyDescent="0.25">
      <c r="A7563" t="s">
        <v>326</v>
      </c>
      <c r="B7563" t="s">
        <v>541</v>
      </c>
      <c r="C7563" t="s">
        <v>873</v>
      </c>
      <c r="D7563" t="s">
        <v>11</v>
      </c>
      <c r="E7563">
        <v>26</v>
      </c>
      <c r="F7563" s="2">
        <f>DATE(2026,IF(Tabla1[[#This Row],[Mes de Fecha]]="Septiembre",9,10),Tabla1[[#This Row],[Día de Fecha]])</f>
        <v>46291</v>
      </c>
      <c r="G7563">
        <v>1127536836</v>
      </c>
      <c r="H7563" t="s">
        <v>544</v>
      </c>
      <c r="I7563">
        <v>25</v>
      </c>
      <c r="J7563">
        <v>0</v>
      </c>
      <c r="K7563" s="1">
        <v>1603996</v>
      </c>
    </row>
    <row r="7564" spans="1:11" x14ac:dyDescent="0.25">
      <c r="A7564" t="s">
        <v>326</v>
      </c>
      <c r="B7564" t="s">
        <v>541</v>
      </c>
      <c r="C7564" t="s">
        <v>873</v>
      </c>
      <c r="D7564" t="s">
        <v>11</v>
      </c>
      <c r="E7564">
        <v>27</v>
      </c>
      <c r="F7564" s="2">
        <f>DATE(2026,IF(Tabla1[[#This Row],[Mes de Fecha]]="Septiembre",9,10),Tabla1[[#This Row],[Día de Fecha]])</f>
        <v>46292</v>
      </c>
      <c r="I7564">
        <v>0</v>
      </c>
      <c r="J7564" s="1">
        <v>22617256</v>
      </c>
      <c r="K7564">
        <v>0</v>
      </c>
    </row>
    <row r="7565" spans="1:11" x14ac:dyDescent="0.25">
      <c r="A7565" t="s">
        <v>326</v>
      </c>
      <c r="B7565" t="s">
        <v>541</v>
      </c>
      <c r="C7565" t="s">
        <v>873</v>
      </c>
      <c r="D7565" t="s">
        <v>11</v>
      </c>
      <c r="E7565">
        <v>27</v>
      </c>
      <c r="F7565" s="2">
        <f>DATE(2026,IF(Tabla1[[#This Row],[Mes de Fecha]]="Septiembre",9,10),Tabla1[[#This Row],[Día de Fecha]])</f>
        <v>46292</v>
      </c>
      <c r="G7565">
        <v>4883683</v>
      </c>
      <c r="H7565" t="s">
        <v>505</v>
      </c>
      <c r="I7565">
        <v>79</v>
      </c>
      <c r="J7565">
        <v>0</v>
      </c>
      <c r="K7565" s="1">
        <v>4479582</v>
      </c>
    </row>
    <row r="7566" spans="1:11" x14ac:dyDescent="0.25">
      <c r="A7566" t="s">
        <v>326</v>
      </c>
      <c r="B7566" t="s">
        <v>541</v>
      </c>
      <c r="C7566" t="s">
        <v>873</v>
      </c>
      <c r="D7566" t="s">
        <v>11</v>
      </c>
      <c r="E7566">
        <v>27</v>
      </c>
      <c r="F7566" s="2">
        <f>DATE(2026,IF(Tabla1[[#This Row],[Mes de Fecha]]="Septiembre",9,10),Tabla1[[#This Row],[Día de Fecha]])</f>
        <v>46292</v>
      </c>
      <c r="G7566">
        <v>6300471</v>
      </c>
      <c r="H7566" t="s">
        <v>545</v>
      </c>
      <c r="I7566">
        <v>105</v>
      </c>
      <c r="J7566">
        <v>0</v>
      </c>
      <c r="K7566" s="1">
        <v>5999584</v>
      </c>
    </row>
    <row r="7567" spans="1:11" x14ac:dyDescent="0.25">
      <c r="A7567" t="s">
        <v>326</v>
      </c>
      <c r="B7567" t="s">
        <v>541</v>
      </c>
      <c r="C7567" t="s">
        <v>873</v>
      </c>
      <c r="D7567" t="s">
        <v>11</v>
      </c>
      <c r="E7567">
        <v>27</v>
      </c>
      <c r="F7567" s="2">
        <f>DATE(2026,IF(Tabla1[[#This Row],[Mes de Fecha]]="Septiembre",9,10),Tabla1[[#This Row],[Día de Fecha]])</f>
        <v>46292</v>
      </c>
      <c r="G7567">
        <v>1005134195</v>
      </c>
      <c r="H7567" t="s">
        <v>497</v>
      </c>
      <c r="I7567">
        <v>-2</v>
      </c>
      <c r="J7567">
        <v>0</v>
      </c>
      <c r="K7567" s="1">
        <v>-167899</v>
      </c>
    </row>
    <row r="7568" spans="1:11" x14ac:dyDescent="0.25">
      <c r="A7568" t="s">
        <v>326</v>
      </c>
      <c r="B7568" t="s">
        <v>541</v>
      </c>
      <c r="C7568" t="s">
        <v>873</v>
      </c>
      <c r="D7568" t="s">
        <v>11</v>
      </c>
      <c r="E7568">
        <v>27</v>
      </c>
      <c r="F7568" s="2">
        <f>DATE(2026,IF(Tabla1[[#This Row],[Mes de Fecha]]="Septiembre",9,10),Tabla1[[#This Row],[Día de Fecha]])</f>
        <v>46292</v>
      </c>
      <c r="G7568">
        <v>1006535971</v>
      </c>
      <c r="H7568" t="s">
        <v>542</v>
      </c>
      <c r="I7568">
        <v>130</v>
      </c>
      <c r="J7568">
        <v>0</v>
      </c>
      <c r="K7568" s="1">
        <v>7273325</v>
      </c>
    </row>
    <row r="7569" spans="1:11" x14ac:dyDescent="0.25">
      <c r="A7569" t="s">
        <v>326</v>
      </c>
      <c r="B7569" t="s">
        <v>541</v>
      </c>
      <c r="C7569" t="s">
        <v>873</v>
      </c>
      <c r="D7569" t="s">
        <v>11</v>
      </c>
      <c r="E7569">
        <v>27</v>
      </c>
      <c r="F7569" s="2">
        <f>DATE(2026,IF(Tabla1[[#This Row],[Mes de Fecha]]="Septiembre",9,10),Tabla1[[#This Row],[Día de Fecha]])</f>
        <v>46292</v>
      </c>
      <c r="G7569">
        <v>1088017991</v>
      </c>
      <c r="H7569" t="s">
        <v>499</v>
      </c>
      <c r="I7569">
        <v>125</v>
      </c>
      <c r="J7569">
        <v>0</v>
      </c>
      <c r="K7569" s="1">
        <v>6574127</v>
      </c>
    </row>
    <row r="7570" spans="1:11" x14ac:dyDescent="0.25">
      <c r="A7570" t="s">
        <v>326</v>
      </c>
      <c r="B7570" t="s">
        <v>541</v>
      </c>
      <c r="C7570" t="s">
        <v>873</v>
      </c>
      <c r="D7570" t="s">
        <v>11</v>
      </c>
      <c r="E7570">
        <v>27</v>
      </c>
      <c r="F7570" s="2">
        <f>DATE(2026,IF(Tabla1[[#This Row],[Mes de Fecha]]="Septiembre",9,10),Tabla1[[#This Row],[Día de Fecha]])</f>
        <v>46292</v>
      </c>
      <c r="G7570">
        <v>1088286603</v>
      </c>
      <c r="H7570" t="s">
        <v>500</v>
      </c>
      <c r="I7570">
        <v>112</v>
      </c>
      <c r="J7570">
        <v>0</v>
      </c>
      <c r="K7570" s="1">
        <v>5956066</v>
      </c>
    </row>
    <row r="7571" spans="1:11" x14ac:dyDescent="0.25">
      <c r="A7571" t="s">
        <v>326</v>
      </c>
      <c r="B7571" t="s">
        <v>541</v>
      </c>
      <c r="C7571" t="s">
        <v>873</v>
      </c>
      <c r="D7571" t="s">
        <v>11</v>
      </c>
      <c r="E7571">
        <v>27</v>
      </c>
      <c r="F7571" s="2">
        <f>DATE(2026,IF(Tabla1[[#This Row],[Mes de Fecha]]="Septiembre",9,10),Tabla1[[#This Row],[Día de Fecha]])</f>
        <v>46292</v>
      </c>
      <c r="G7571">
        <v>1088333564</v>
      </c>
      <c r="H7571" t="s">
        <v>543</v>
      </c>
      <c r="I7571">
        <v>83</v>
      </c>
      <c r="J7571">
        <v>0</v>
      </c>
      <c r="K7571" s="1">
        <v>4842654</v>
      </c>
    </row>
    <row r="7572" spans="1:11" x14ac:dyDescent="0.25">
      <c r="A7572" t="s">
        <v>326</v>
      </c>
      <c r="B7572" t="s">
        <v>541</v>
      </c>
      <c r="C7572" t="s">
        <v>873</v>
      </c>
      <c r="D7572" t="s">
        <v>11</v>
      </c>
      <c r="E7572">
        <v>27</v>
      </c>
      <c r="F7572" s="2">
        <f>DATE(2026,IF(Tabla1[[#This Row],[Mes de Fecha]]="Septiembre",9,10),Tabla1[[#This Row],[Día de Fecha]])</f>
        <v>46292</v>
      </c>
      <c r="G7572">
        <v>1127536836</v>
      </c>
      <c r="H7572" t="s">
        <v>544</v>
      </c>
      <c r="I7572">
        <v>0</v>
      </c>
      <c r="J7572">
        <v>0</v>
      </c>
      <c r="K7572" s="1">
        <v>12605</v>
      </c>
    </row>
    <row r="7573" spans="1:11" x14ac:dyDescent="0.25">
      <c r="A7573" t="s">
        <v>326</v>
      </c>
      <c r="B7573" t="s">
        <v>541</v>
      </c>
      <c r="C7573" t="s">
        <v>873</v>
      </c>
      <c r="D7573" t="s">
        <v>11</v>
      </c>
      <c r="E7573">
        <v>28</v>
      </c>
      <c r="F7573" s="2">
        <f>DATE(2026,IF(Tabla1[[#This Row],[Mes de Fecha]]="Septiembre",9,10),Tabla1[[#This Row],[Día de Fecha]])</f>
        <v>46293</v>
      </c>
      <c r="I7573">
        <v>0</v>
      </c>
      <c r="J7573" s="1">
        <v>12447606</v>
      </c>
      <c r="K7573">
        <v>0</v>
      </c>
    </row>
    <row r="7574" spans="1:11" x14ac:dyDescent="0.25">
      <c r="A7574" t="s">
        <v>326</v>
      </c>
      <c r="B7574" t="s">
        <v>541</v>
      </c>
      <c r="C7574" t="s">
        <v>873</v>
      </c>
      <c r="D7574" t="s">
        <v>11</v>
      </c>
      <c r="E7574">
        <v>28</v>
      </c>
      <c r="F7574" s="2">
        <f>DATE(2026,IF(Tabla1[[#This Row],[Mes de Fecha]]="Septiembre",9,10),Tabla1[[#This Row],[Día de Fecha]])</f>
        <v>46293</v>
      </c>
      <c r="G7574">
        <v>4883683</v>
      </c>
      <c r="H7574" t="s">
        <v>505</v>
      </c>
      <c r="I7574">
        <v>29</v>
      </c>
      <c r="J7574">
        <v>0</v>
      </c>
      <c r="K7574" s="1">
        <v>1282312</v>
      </c>
    </row>
    <row r="7575" spans="1:11" x14ac:dyDescent="0.25">
      <c r="A7575" t="s">
        <v>326</v>
      </c>
      <c r="B7575" t="s">
        <v>541</v>
      </c>
      <c r="C7575" t="s">
        <v>873</v>
      </c>
      <c r="D7575" t="s">
        <v>11</v>
      </c>
      <c r="E7575">
        <v>28</v>
      </c>
      <c r="F7575" s="2">
        <f>DATE(2026,IF(Tabla1[[#This Row],[Mes de Fecha]]="Septiembre",9,10),Tabla1[[#This Row],[Día de Fecha]])</f>
        <v>46293</v>
      </c>
      <c r="G7575">
        <v>1006535971</v>
      </c>
      <c r="H7575" t="s">
        <v>542</v>
      </c>
      <c r="I7575">
        <v>22</v>
      </c>
      <c r="J7575">
        <v>0</v>
      </c>
      <c r="K7575" s="1">
        <v>1326700</v>
      </c>
    </row>
    <row r="7576" spans="1:11" x14ac:dyDescent="0.25">
      <c r="A7576" t="s">
        <v>326</v>
      </c>
      <c r="B7576" t="s">
        <v>541</v>
      </c>
      <c r="C7576" t="s">
        <v>873</v>
      </c>
      <c r="D7576" t="s">
        <v>11</v>
      </c>
      <c r="E7576">
        <v>28</v>
      </c>
      <c r="F7576" s="2">
        <f>DATE(2026,IF(Tabla1[[#This Row],[Mes de Fecha]]="Septiembre",9,10),Tabla1[[#This Row],[Día de Fecha]])</f>
        <v>46293</v>
      </c>
      <c r="G7576">
        <v>1088017991</v>
      </c>
      <c r="H7576" t="s">
        <v>499</v>
      </c>
      <c r="I7576">
        <v>68</v>
      </c>
      <c r="J7576">
        <v>0</v>
      </c>
      <c r="K7576" s="1">
        <v>4190914</v>
      </c>
    </row>
    <row r="7577" spans="1:11" x14ac:dyDescent="0.25">
      <c r="A7577" t="s">
        <v>326</v>
      </c>
      <c r="B7577" t="s">
        <v>541</v>
      </c>
      <c r="C7577" t="s">
        <v>873</v>
      </c>
      <c r="D7577" t="s">
        <v>11</v>
      </c>
      <c r="E7577">
        <v>28</v>
      </c>
      <c r="F7577" s="2">
        <f>DATE(2026,IF(Tabla1[[#This Row],[Mes de Fecha]]="Septiembre",9,10),Tabla1[[#This Row],[Día de Fecha]])</f>
        <v>46293</v>
      </c>
      <c r="G7577">
        <v>1088286603</v>
      </c>
      <c r="H7577" t="s">
        <v>500</v>
      </c>
      <c r="I7577">
        <v>75</v>
      </c>
      <c r="J7577">
        <v>0</v>
      </c>
      <c r="K7577" s="1">
        <v>5869286</v>
      </c>
    </row>
    <row r="7578" spans="1:11" x14ac:dyDescent="0.25">
      <c r="A7578" t="s">
        <v>326</v>
      </c>
      <c r="B7578" t="s">
        <v>541</v>
      </c>
      <c r="C7578" t="s">
        <v>873</v>
      </c>
      <c r="D7578" t="s">
        <v>11</v>
      </c>
      <c r="E7578">
        <v>28</v>
      </c>
      <c r="F7578" s="2">
        <f>DATE(2026,IF(Tabla1[[#This Row],[Mes de Fecha]]="Septiembre",9,10),Tabla1[[#This Row],[Día de Fecha]])</f>
        <v>46293</v>
      </c>
      <c r="G7578">
        <v>1127536836</v>
      </c>
      <c r="H7578" t="s">
        <v>544</v>
      </c>
      <c r="I7578">
        <v>29</v>
      </c>
      <c r="J7578">
        <v>0</v>
      </c>
      <c r="K7578" s="1">
        <v>1463066</v>
      </c>
    </row>
    <row r="7579" spans="1:11" x14ac:dyDescent="0.25">
      <c r="A7579" t="s">
        <v>326</v>
      </c>
      <c r="B7579" t="s">
        <v>541</v>
      </c>
      <c r="C7579" t="s">
        <v>873</v>
      </c>
      <c r="D7579" t="s">
        <v>11</v>
      </c>
      <c r="E7579">
        <v>29</v>
      </c>
      <c r="F7579" s="2">
        <f>DATE(2026,IF(Tabla1[[#This Row],[Mes de Fecha]]="Septiembre",9,10),Tabla1[[#This Row],[Día de Fecha]])</f>
        <v>46294</v>
      </c>
      <c r="I7579">
        <v>0</v>
      </c>
      <c r="J7579" s="1">
        <v>13296484</v>
      </c>
      <c r="K7579">
        <v>0</v>
      </c>
    </row>
    <row r="7580" spans="1:11" x14ac:dyDescent="0.25">
      <c r="A7580" t="s">
        <v>326</v>
      </c>
      <c r="B7580" t="s">
        <v>541</v>
      </c>
      <c r="C7580" t="s">
        <v>873</v>
      </c>
      <c r="D7580" t="s">
        <v>11</v>
      </c>
      <c r="E7580">
        <v>29</v>
      </c>
      <c r="F7580" s="2">
        <f>DATE(2026,IF(Tabla1[[#This Row],[Mes de Fecha]]="Septiembre",9,10),Tabla1[[#This Row],[Día de Fecha]])</f>
        <v>46294</v>
      </c>
      <c r="G7580">
        <v>6300471</v>
      </c>
      <c r="H7580" t="s">
        <v>545</v>
      </c>
      <c r="I7580">
        <v>-2</v>
      </c>
      <c r="J7580">
        <v>0</v>
      </c>
      <c r="K7580" s="1">
        <v>-83907</v>
      </c>
    </row>
    <row r="7581" spans="1:11" x14ac:dyDescent="0.25">
      <c r="A7581" t="s">
        <v>326</v>
      </c>
      <c r="B7581" t="s">
        <v>541</v>
      </c>
      <c r="C7581" t="s">
        <v>873</v>
      </c>
      <c r="D7581" t="s">
        <v>11</v>
      </c>
      <c r="E7581">
        <v>29</v>
      </c>
      <c r="F7581" s="2">
        <f>DATE(2026,IF(Tabla1[[#This Row],[Mes de Fecha]]="Septiembre",9,10),Tabla1[[#This Row],[Día de Fecha]])</f>
        <v>46294</v>
      </c>
      <c r="G7581">
        <v>1006535971</v>
      </c>
      <c r="H7581" t="s">
        <v>542</v>
      </c>
      <c r="I7581">
        <v>86</v>
      </c>
      <c r="J7581">
        <v>0</v>
      </c>
      <c r="K7581" s="1">
        <v>3938404</v>
      </c>
    </row>
    <row r="7582" spans="1:11" x14ac:dyDescent="0.25">
      <c r="A7582" t="s">
        <v>326</v>
      </c>
      <c r="B7582" t="s">
        <v>541</v>
      </c>
      <c r="C7582" t="s">
        <v>873</v>
      </c>
      <c r="D7582" t="s">
        <v>11</v>
      </c>
      <c r="E7582">
        <v>29</v>
      </c>
      <c r="F7582" s="2">
        <f>DATE(2026,IF(Tabla1[[#This Row],[Mes de Fecha]]="Septiembre",9,10),Tabla1[[#This Row],[Día de Fecha]])</f>
        <v>46294</v>
      </c>
      <c r="G7582">
        <v>1088017991</v>
      </c>
      <c r="H7582" t="s">
        <v>499</v>
      </c>
      <c r="I7582">
        <v>114</v>
      </c>
      <c r="J7582">
        <v>0</v>
      </c>
      <c r="K7582" s="1">
        <v>4251100</v>
      </c>
    </row>
    <row r="7583" spans="1:11" x14ac:dyDescent="0.25">
      <c r="A7583" t="s">
        <v>326</v>
      </c>
      <c r="B7583" t="s">
        <v>541</v>
      </c>
      <c r="C7583" t="s">
        <v>873</v>
      </c>
      <c r="D7583" t="s">
        <v>11</v>
      </c>
      <c r="E7583">
        <v>29</v>
      </c>
      <c r="F7583" s="2">
        <f>DATE(2026,IF(Tabla1[[#This Row],[Mes de Fecha]]="Septiembre",9,10),Tabla1[[#This Row],[Día de Fecha]])</f>
        <v>46294</v>
      </c>
      <c r="G7583">
        <v>1088286603</v>
      </c>
      <c r="H7583" t="s">
        <v>500</v>
      </c>
      <c r="I7583">
        <v>66</v>
      </c>
      <c r="J7583">
        <v>0</v>
      </c>
      <c r="K7583" s="1">
        <v>2564811</v>
      </c>
    </row>
    <row r="7584" spans="1:11" x14ac:dyDescent="0.25">
      <c r="A7584" t="s">
        <v>326</v>
      </c>
      <c r="B7584" t="s">
        <v>541</v>
      </c>
      <c r="C7584" t="s">
        <v>873</v>
      </c>
      <c r="D7584" t="s">
        <v>11</v>
      </c>
      <c r="E7584">
        <v>29</v>
      </c>
      <c r="F7584" s="2">
        <f>DATE(2026,IF(Tabla1[[#This Row],[Mes de Fecha]]="Septiembre",9,10),Tabla1[[#This Row],[Día de Fecha]])</f>
        <v>46294</v>
      </c>
      <c r="G7584">
        <v>1127536836</v>
      </c>
      <c r="H7584" t="s">
        <v>544</v>
      </c>
      <c r="I7584">
        <v>56</v>
      </c>
      <c r="J7584">
        <v>0</v>
      </c>
      <c r="K7584" s="1">
        <v>2635674</v>
      </c>
    </row>
    <row r="7585" spans="1:11" x14ac:dyDescent="0.25">
      <c r="A7585" t="s">
        <v>326</v>
      </c>
      <c r="B7585" t="s">
        <v>541</v>
      </c>
      <c r="C7585" t="s">
        <v>873</v>
      </c>
      <c r="D7585" t="s">
        <v>11</v>
      </c>
      <c r="E7585">
        <v>30</v>
      </c>
      <c r="F7585" s="2">
        <f>DATE(2026,IF(Tabla1[[#This Row],[Mes de Fecha]]="Septiembre",9,10),Tabla1[[#This Row],[Día de Fecha]])</f>
        <v>46295</v>
      </c>
      <c r="I7585">
        <v>0</v>
      </c>
      <c r="J7585" s="1">
        <v>13735503</v>
      </c>
      <c r="K7585">
        <v>0</v>
      </c>
    </row>
    <row r="7586" spans="1:11" x14ac:dyDescent="0.25">
      <c r="A7586" t="s">
        <v>326</v>
      </c>
      <c r="B7586" t="s">
        <v>541</v>
      </c>
      <c r="C7586" t="s">
        <v>873</v>
      </c>
      <c r="D7586" t="s">
        <v>11</v>
      </c>
      <c r="E7586">
        <v>30</v>
      </c>
      <c r="F7586" s="2">
        <f>DATE(2026,IF(Tabla1[[#This Row],[Mes de Fecha]]="Septiembre",9,10),Tabla1[[#This Row],[Día de Fecha]])</f>
        <v>46295</v>
      </c>
      <c r="G7586">
        <v>4883683</v>
      </c>
      <c r="H7586" t="s">
        <v>505</v>
      </c>
      <c r="I7586">
        <v>45</v>
      </c>
      <c r="J7586">
        <v>0</v>
      </c>
      <c r="K7586" s="1">
        <v>2268657</v>
      </c>
    </row>
    <row r="7587" spans="1:11" x14ac:dyDescent="0.25">
      <c r="A7587" t="s">
        <v>326</v>
      </c>
      <c r="B7587" t="s">
        <v>541</v>
      </c>
      <c r="C7587" t="s">
        <v>873</v>
      </c>
      <c r="D7587" t="s">
        <v>11</v>
      </c>
      <c r="E7587">
        <v>30</v>
      </c>
      <c r="F7587" s="2">
        <f>DATE(2026,IF(Tabla1[[#This Row],[Mes de Fecha]]="Septiembre",9,10),Tabla1[[#This Row],[Día de Fecha]])</f>
        <v>46295</v>
      </c>
      <c r="G7587">
        <v>1004789966</v>
      </c>
      <c r="H7587" t="s">
        <v>506</v>
      </c>
      <c r="I7587">
        <v>-1</v>
      </c>
      <c r="J7587">
        <v>0</v>
      </c>
      <c r="K7587" s="1">
        <v>-71386</v>
      </c>
    </row>
    <row r="7588" spans="1:11" x14ac:dyDescent="0.25">
      <c r="A7588" t="s">
        <v>326</v>
      </c>
      <c r="B7588" t="s">
        <v>541</v>
      </c>
      <c r="C7588" t="s">
        <v>873</v>
      </c>
      <c r="D7588" t="s">
        <v>11</v>
      </c>
      <c r="E7588">
        <v>30</v>
      </c>
      <c r="F7588" s="2">
        <f>DATE(2026,IF(Tabla1[[#This Row],[Mes de Fecha]]="Septiembre",9,10),Tabla1[[#This Row],[Día de Fecha]])</f>
        <v>46295</v>
      </c>
      <c r="G7588">
        <v>1006535971</v>
      </c>
      <c r="H7588" t="s">
        <v>542</v>
      </c>
      <c r="I7588">
        <v>85</v>
      </c>
      <c r="J7588">
        <v>0</v>
      </c>
      <c r="K7588" s="1">
        <v>3906638</v>
      </c>
    </row>
    <row r="7589" spans="1:11" x14ac:dyDescent="0.25">
      <c r="A7589" t="s">
        <v>326</v>
      </c>
      <c r="B7589" t="s">
        <v>541</v>
      </c>
      <c r="C7589" t="s">
        <v>873</v>
      </c>
      <c r="D7589" t="s">
        <v>11</v>
      </c>
      <c r="E7589">
        <v>30</v>
      </c>
      <c r="F7589" s="2">
        <f>DATE(2026,IF(Tabla1[[#This Row],[Mes de Fecha]]="Septiembre",9,10),Tabla1[[#This Row],[Día de Fecha]])</f>
        <v>46295</v>
      </c>
      <c r="G7589">
        <v>1088017991</v>
      </c>
      <c r="H7589" t="s">
        <v>499</v>
      </c>
      <c r="I7589">
        <v>187</v>
      </c>
      <c r="J7589">
        <v>0</v>
      </c>
      <c r="K7589" s="1">
        <v>7290717</v>
      </c>
    </row>
    <row r="7590" spans="1:11" x14ac:dyDescent="0.25">
      <c r="A7590" t="s">
        <v>326</v>
      </c>
      <c r="B7590" t="s">
        <v>541</v>
      </c>
      <c r="C7590" t="s">
        <v>873</v>
      </c>
      <c r="D7590" t="s">
        <v>11</v>
      </c>
      <c r="E7590">
        <v>30</v>
      </c>
      <c r="F7590" s="2">
        <f>DATE(2026,IF(Tabla1[[#This Row],[Mes de Fecha]]="Septiembre",9,10),Tabla1[[#This Row],[Día de Fecha]])</f>
        <v>46295</v>
      </c>
      <c r="G7590">
        <v>1088286603</v>
      </c>
      <c r="H7590" t="s">
        <v>500</v>
      </c>
      <c r="I7590">
        <v>83</v>
      </c>
      <c r="J7590">
        <v>0</v>
      </c>
      <c r="K7590" s="1">
        <v>5019325</v>
      </c>
    </row>
    <row r="7591" spans="1:11" x14ac:dyDescent="0.25">
      <c r="A7591" t="s">
        <v>326</v>
      </c>
      <c r="B7591" t="s">
        <v>541</v>
      </c>
      <c r="C7591" t="s">
        <v>873</v>
      </c>
      <c r="D7591" t="s">
        <v>11</v>
      </c>
      <c r="E7591">
        <v>30</v>
      </c>
      <c r="F7591" s="2">
        <f>DATE(2026,IF(Tabla1[[#This Row],[Mes de Fecha]]="Septiembre",9,10),Tabla1[[#This Row],[Día de Fecha]])</f>
        <v>46295</v>
      </c>
      <c r="G7591">
        <v>1088333564</v>
      </c>
      <c r="H7591" t="s">
        <v>543</v>
      </c>
      <c r="I7591">
        <v>2</v>
      </c>
      <c r="J7591">
        <v>0</v>
      </c>
      <c r="K7591" s="1">
        <v>33446</v>
      </c>
    </row>
    <row r="7592" spans="1:11" x14ac:dyDescent="0.25">
      <c r="A7592" t="s">
        <v>326</v>
      </c>
      <c r="B7592" t="s">
        <v>541</v>
      </c>
      <c r="C7592" t="s">
        <v>873</v>
      </c>
      <c r="D7592" t="s">
        <v>11</v>
      </c>
      <c r="E7592">
        <v>30</v>
      </c>
      <c r="F7592" s="2">
        <f>DATE(2026,IF(Tabla1[[#This Row],[Mes de Fecha]]="Septiembre",9,10),Tabla1[[#This Row],[Día de Fecha]])</f>
        <v>46295</v>
      </c>
      <c r="G7592">
        <v>1127536836</v>
      </c>
      <c r="H7592" t="s">
        <v>544</v>
      </c>
      <c r="I7592">
        <v>65</v>
      </c>
      <c r="J7592">
        <v>0</v>
      </c>
      <c r="K7592" s="1">
        <v>3145820</v>
      </c>
    </row>
    <row r="7593" spans="1:11" x14ac:dyDescent="0.25">
      <c r="A7593" t="s">
        <v>326</v>
      </c>
      <c r="B7593" t="s">
        <v>541</v>
      </c>
      <c r="C7593" t="s">
        <v>873</v>
      </c>
      <c r="D7593" t="s">
        <v>14</v>
      </c>
      <c r="E7593">
        <v>1</v>
      </c>
      <c r="F7593" s="2">
        <f>DATE(2026,IF(Tabla1[[#This Row],[Mes de Fecha]]="Septiembre",9,10),Tabla1[[#This Row],[Día de Fecha]])</f>
        <v>46296</v>
      </c>
      <c r="I7593">
        <v>0</v>
      </c>
      <c r="J7593" s="1">
        <v>15468729</v>
      </c>
      <c r="K7593">
        <v>0</v>
      </c>
    </row>
    <row r="7594" spans="1:11" x14ac:dyDescent="0.25">
      <c r="A7594" t="s">
        <v>326</v>
      </c>
      <c r="B7594" t="s">
        <v>541</v>
      </c>
      <c r="C7594" t="s">
        <v>873</v>
      </c>
      <c r="D7594" t="s">
        <v>14</v>
      </c>
      <c r="E7594">
        <v>1</v>
      </c>
      <c r="F7594" s="2">
        <f>DATE(2026,IF(Tabla1[[#This Row],[Mes de Fecha]]="Septiembre",9,10),Tabla1[[#This Row],[Día de Fecha]])</f>
        <v>46296</v>
      </c>
      <c r="G7594">
        <v>4883683</v>
      </c>
      <c r="H7594" t="s">
        <v>505</v>
      </c>
      <c r="I7594">
        <v>46</v>
      </c>
      <c r="J7594">
        <v>0</v>
      </c>
      <c r="K7594" s="1">
        <v>2192481</v>
      </c>
    </row>
    <row r="7595" spans="1:11" x14ac:dyDescent="0.25">
      <c r="A7595" t="s">
        <v>326</v>
      </c>
      <c r="B7595" t="s">
        <v>541</v>
      </c>
      <c r="C7595" t="s">
        <v>873</v>
      </c>
      <c r="D7595" t="s">
        <v>14</v>
      </c>
      <c r="E7595">
        <v>1</v>
      </c>
      <c r="F7595" s="2">
        <f>DATE(2026,IF(Tabla1[[#This Row],[Mes de Fecha]]="Septiembre",9,10),Tabla1[[#This Row],[Día de Fecha]])</f>
        <v>46296</v>
      </c>
      <c r="G7595">
        <v>1006535971</v>
      </c>
      <c r="H7595" t="s">
        <v>542</v>
      </c>
      <c r="I7595">
        <v>163</v>
      </c>
      <c r="J7595">
        <v>0</v>
      </c>
      <c r="K7595" s="1">
        <v>7223447</v>
      </c>
    </row>
    <row r="7596" spans="1:11" x14ac:dyDescent="0.25">
      <c r="A7596" t="s">
        <v>326</v>
      </c>
      <c r="B7596" t="s">
        <v>541</v>
      </c>
      <c r="C7596" t="s">
        <v>873</v>
      </c>
      <c r="D7596" t="s">
        <v>14</v>
      </c>
      <c r="E7596">
        <v>1</v>
      </c>
      <c r="F7596" s="2">
        <f>DATE(2026,IF(Tabla1[[#This Row],[Mes de Fecha]]="Septiembre",9,10),Tabla1[[#This Row],[Día de Fecha]])</f>
        <v>46296</v>
      </c>
      <c r="G7596">
        <v>1088017991</v>
      </c>
      <c r="H7596" t="s">
        <v>499</v>
      </c>
      <c r="I7596">
        <v>1</v>
      </c>
      <c r="J7596">
        <v>0</v>
      </c>
      <c r="K7596" s="1">
        <v>117689</v>
      </c>
    </row>
    <row r="7597" spans="1:11" x14ac:dyDescent="0.25">
      <c r="A7597" t="s">
        <v>326</v>
      </c>
      <c r="B7597" t="s">
        <v>541</v>
      </c>
      <c r="C7597" t="s">
        <v>873</v>
      </c>
      <c r="D7597" t="s">
        <v>14</v>
      </c>
      <c r="E7597">
        <v>1</v>
      </c>
      <c r="F7597" s="2">
        <f>DATE(2026,IF(Tabla1[[#This Row],[Mes de Fecha]]="Septiembre",9,10),Tabla1[[#This Row],[Día de Fecha]])</f>
        <v>46296</v>
      </c>
      <c r="G7597">
        <v>1088286603</v>
      </c>
      <c r="H7597" t="s">
        <v>500</v>
      </c>
      <c r="I7597">
        <v>146</v>
      </c>
      <c r="J7597">
        <v>0</v>
      </c>
      <c r="K7597" s="1">
        <v>6440258</v>
      </c>
    </row>
    <row r="7598" spans="1:11" x14ac:dyDescent="0.25">
      <c r="A7598" t="s">
        <v>326</v>
      </c>
      <c r="B7598" t="s">
        <v>541</v>
      </c>
      <c r="C7598" t="s">
        <v>873</v>
      </c>
      <c r="D7598" t="s">
        <v>14</v>
      </c>
      <c r="E7598">
        <v>1</v>
      </c>
      <c r="F7598" s="2">
        <f>DATE(2026,IF(Tabla1[[#This Row],[Mes de Fecha]]="Septiembre",9,10),Tabla1[[#This Row],[Día de Fecha]])</f>
        <v>46296</v>
      </c>
      <c r="G7598">
        <v>1088303391</v>
      </c>
      <c r="H7598" t="s">
        <v>547</v>
      </c>
      <c r="I7598">
        <v>-1</v>
      </c>
      <c r="J7598">
        <v>0</v>
      </c>
      <c r="K7598" s="1">
        <v>-29370</v>
      </c>
    </row>
    <row r="7599" spans="1:11" x14ac:dyDescent="0.25">
      <c r="A7599" t="s">
        <v>326</v>
      </c>
      <c r="B7599" t="s">
        <v>541</v>
      </c>
      <c r="C7599" t="s">
        <v>873</v>
      </c>
      <c r="D7599" t="s">
        <v>14</v>
      </c>
      <c r="E7599">
        <v>1</v>
      </c>
      <c r="F7599" s="2">
        <f>DATE(2026,IF(Tabla1[[#This Row],[Mes de Fecha]]="Septiembre",9,10),Tabla1[[#This Row],[Día de Fecha]])</f>
        <v>46296</v>
      </c>
      <c r="G7599">
        <v>1089598192</v>
      </c>
      <c r="H7599" t="s">
        <v>498</v>
      </c>
      <c r="I7599">
        <v>-1</v>
      </c>
      <c r="J7599">
        <v>0</v>
      </c>
      <c r="K7599" s="1">
        <v>-71386</v>
      </c>
    </row>
    <row r="7600" spans="1:11" x14ac:dyDescent="0.25">
      <c r="A7600" t="s">
        <v>326</v>
      </c>
      <c r="B7600" t="s">
        <v>541</v>
      </c>
      <c r="C7600" t="s">
        <v>873</v>
      </c>
      <c r="D7600" t="s">
        <v>14</v>
      </c>
      <c r="E7600">
        <v>1</v>
      </c>
      <c r="F7600" s="2">
        <f>DATE(2026,IF(Tabla1[[#This Row],[Mes de Fecha]]="Septiembre",9,10),Tabla1[[#This Row],[Día de Fecha]])</f>
        <v>46296</v>
      </c>
      <c r="G7600">
        <v>1127536836</v>
      </c>
      <c r="H7600" t="s">
        <v>544</v>
      </c>
      <c r="I7600">
        <v>91</v>
      </c>
      <c r="J7600">
        <v>0</v>
      </c>
      <c r="K7600" s="1">
        <v>3740465</v>
      </c>
    </row>
    <row r="7601" spans="1:11" x14ac:dyDescent="0.25">
      <c r="A7601" t="s">
        <v>326</v>
      </c>
      <c r="B7601" t="s">
        <v>541</v>
      </c>
      <c r="C7601" t="s">
        <v>873</v>
      </c>
      <c r="D7601" t="s">
        <v>14</v>
      </c>
      <c r="E7601">
        <v>2</v>
      </c>
      <c r="F7601" s="2">
        <f>DATE(2026,IF(Tabla1[[#This Row],[Mes de Fecha]]="Septiembre",9,10),Tabla1[[#This Row],[Día de Fecha]])</f>
        <v>46297</v>
      </c>
      <c r="I7601">
        <v>0</v>
      </c>
      <c r="J7601" s="1">
        <v>22132018</v>
      </c>
      <c r="K7601">
        <v>0</v>
      </c>
    </row>
    <row r="7602" spans="1:11" x14ac:dyDescent="0.25">
      <c r="A7602" t="s">
        <v>326</v>
      </c>
      <c r="B7602" t="s">
        <v>541</v>
      </c>
      <c r="C7602" t="s">
        <v>873</v>
      </c>
      <c r="D7602" t="s">
        <v>14</v>
      </c>
      <c r="E7602">
        <v>2</v>
      </c>
      <c r="F7602" s="2">
        <f>DATE(2026,IF(Tabla1[[#This Row],[Mes de Fecha]]="Septiembre",9,10),Tabla1[[#This Row],[Día de Fecha]])</f>
        <v>46297</v>
      </c>
      <c r="G7602">
        <v>4883683</v>
      </c>
      <c r="H7602" t="s">
        <v>505</v>
      </c>
      <c r="I7602">
        <v>58</v>
      </c>
      <c r="J7602">
        <v>0</v>
      </c>
      <c r="K7602" s="1">
        <v>2852018</v>
      </c>
    </row>
    <row r="7603" spans="1:11" x14ac:dyDescent="0.25">
      <c r="A7603" t="s">
        <v>326</v>
      </c>
      <c r="B7603" t="s">
        <v>541</v>
      </c>
      <c r="C7603" t="s">
        <v>873</v>
      </c>
      <c r="D7603" t="s">
        <v>14</v>
      </c>
      <c r="E7603">
        <v>2</v>
      </c>
      <c r="F7603" s="2">
        <f>DATE(2026,IF(Tabla1[[#This Row],[Mes de Fecha]]="Septiembre",9,10),Tabla1[[#This Row],[Día de Fecha]])</f>
        <v>46297</v>
      </c>
      <c r="G7603">
        <v>1006535971</v>
      </c>
      <c r="H7603" t="s">
        <v>542</v>
      </c>
      <c r="I7603">
        <v>109</v>
      </c>
      <c r="J7603">
        <v>0</v>
      </c>
      <c r="K7603" s="1">
        <v>7697144</v>
      </c>
    </row>
    <row r="7604" spans="1:11" x14ac:dyDescent="0.25">
      <c r="A7604" t="s">
        <v>326</v>
      </c>
      <c r="B7604" t="s">
        <v>541</v>
      </c>
      <c r="C7604" t="s">
        <v>873</v>
      </c>
      <c r="D7604" t="s">
        <v>14</v>
      </c>
      <c r="E7604">
        <v>2</v>
      </c>
      <c r="F7604" s="2">
        <f>DATE(2026,IF(Tabla1[[#This Row],[Mes de Fecha]]="Septiembre",9,10),Tabla1[[#This Row],[Día de Fecha]])</f>
        <v>46297</v>
      </c>
      <c r="G7604">
        <v>1088017991</v>
      </c>
      <c r="H7604" t="s">
        <v>499</v>
      </c>
      <c r="I7604">
        <v>36</v>
      </c>
      <c r="J7604">
        <v>0</v>
      </c>
      <c r="K7604" s="1">
        <v>1395002</v>
      </c>
    </row>
    <row r="7605" spans="1:11" x14ac:dyDescent="0.25">
      <c r="A7605" t="s">
        <v>326</v>
      </c>
      <c r="B7605" t="s">
        <v>541</v>
      </c>
      <c r="C7605" t="s">
        <v>873</v>
      </c>
      <c r="D7605" t="s">
        <v>14</v>
      </c>
      <c r="E7605">
        <v>2</v>
      </c>
      <c r="F7605" s="2">
        <f>DATE(2026,IF(Tabla1[[#This Row],[Mes de Fecha]]="Septiembre",9,10),Tabla1[[#This Row],[Día de Fecha]])</f>
        <v>46297</v>
      </c>
      <c r="G7605">
        <v>1088286603</v>
      </c>
      <c r="H7605" t="s">
        <v>500</v>
      </c>
      <c r="I7605">
        <v>62</v>
      </c>
      <c r="J7605">
        <v>0</v>
      </c>
      <c r="K7605" s="1">
        <v>3143869</v>
      </c>
    </row>
    <row r="7606" spans="1:11" x14ac:dyDescent="0.25">
      <c r="A7606" t="s">
        <v>326</v>
      </c>
      <c r="B7606" t="s">
        <v>541</v>
      </c>
      <c r="C7606" t="s">
        <v>873</v>
      </c>
      <c r="D7606" t="s">
        <v>14</v>
      </c>
      <c r="E7606">
        <v>2</v>
      </c>
      <c r="F7606" s="2">
        <f>DATE(2026,IF(Tabla1[[#This Row],[Mes de Fecha]]="Septiembre",9,10),Tabla1[[#This Row],[Día de Fecha]])</f>
        <v>46297</v>
      </c>
      <c r="G7606">
        <v>1127536836</v>
      </c>
      <c r="H7606" t="s">
        <v>544</v>
      </c>
      <c r="I7606">
        <v>89</v>
      </c>
      <c r="J7606">
        <v>0</v>
      </c>
      <c r="K7606" s="1">
        <v>4606389</v>
      </c>
    </row>
    <row r="7607" spans="1:11" x14ac:dyDescent="0.25">
      <c r="A7607" t="s">
        <v>326</v>
      </c>
      <c r="B7607" t="s">
        <v>541</v>
      </c>
      <c r="C7607" t="s">
        <v>873</v>
      </c>
      <c r="D7607" t="s">
        <v>14</v>
      </c>
      <c r="E7607">
        <v>3</v>
      </c>
      <c r="F7607" s="2">
        <f>DATE(2026,IF(Tabla1[[#This Row],[Mes de Fecha]]="Septiembre",9,10),Tabla1[[#This Row],[Día de Fecha]])</f>
        <v>46298</v>
      </c>
      <c r="I7607">
        <v>0</v>
      </c>
      <c r="J7607" s="1">
        <v>39915786</v>
      </c>
      <c r="K7607">
        <v>0</v>
      </c>
    </row>
    <row r="7608" spans="1:11" x14ac:dyDescent="0.25">
      <c r="A7608" t="s">
        <v>326</v>
      </c>
      <c r="B7608" t="s">
        <v>541</v>
      </c>
      <c r="C7608" t="s">
        <v>873</v>
      </c>
      <c r="D7608" t="s">
        <v>14</v>
      </c>
      <c r="E7608">
        <v>3</v>
      </c>
      <c r="F7608" s="2">
        <f>DATE(2026,IF(Tabla1[[#This Row],[Mes de Fecha]]="Septiembre",9,10),Tabla1[[#This Row],[Día de Fecha]])</f>
        <v>46298</v>
      </c>
      <c r="G7608">
        <v>4883683</v>
      </c>
      <c r="H7608" t="s">
        <v>505</v>
      </c>
      <c r="I7608">
        <v>53</v>
      </c>
      <c r="J7608">
        <v>0</v>
      </c>
      <c r="K7608" s="1">
        <v>2375853</v>
      </c>
    </row>
    <row r="7609" spans="1:11" x14ac:dyDescent="0.25">
      <c r="A7609" t="s">
        <v>326</v>
      </c>
      <c r="B7609" t="s">
        <v>541</v>
      </c>
      <c r="C7609" t="s">
        <v>873</v>
      </c>
      <c r="D7609" t="s">
        <v>14</v>
      </c>
      <c r="E7609">
        <v>3</v>
      </c>
      <c r="F7609" s="2">
        <f>DATE(2026,IF(Tabla1[[#This Row],[Mes de Fecha]]="Septiembre",9,10),Tabla1[[#This Row],[Día de Fecha]])</f>
        <v>46298</v>
      </c>
      <c r="G7609">
        <v>6300471</v>
      </c>
      <c r="H7609" t="s">
        <v>545</v>
      </c>
      <c r="I7609">
        <v>-1</v>
      </c>
      <c r="J7609">
        <v>0</v>
      </c>
      <c r="K7609" s="1">
        <v>-50378</v>
      </c>
    </row>
    <row r="7610" spans="1:11" x14ac:dyDescent="0.25">
      <c r="A7610" t="s">
        <v>326</v>
      </c>
      <c r="B7610" t="s">
        <v>541</v>
      </c>
      <c r="C7610" t="s">
        <v>873</v>
      </c>
      <c r="D7610" t="s">
        <v>14</v>
      </c>
      <c r="E7610">
        <v>3</v>
      </c>
      <c r="F7610" s="2">
        <f>DATE(2026,IF(Tabla1[[#This Row],[Mes de Fecha]]="Septiembre",9,10),Tabla1[[#This Row],[Día de Fecha]])</f>
        <v>46298</v>
      </c>
      <c r="G7610">
        <v>1006535971</v>
      </c>
      <c r="H7610" t="s">
        <v>542</v>
      </c>
      <c r="I7610">
        <v>171</v>
      </c>
      <c r="J7610">
        <v>0</v>
      </c>
      <c r="K7610" s="1">
        <v>9078169</v>
      </c>
    </row>
    <row r="7611" spans="1:11" x14ac:dyDescent="0.25">
      <c r="A7611" t="s">
        <v>326</v>
      </c>
      <c r="B7611" t="s">
        <v>541</v>
      </c>
      <c r="C7611" t="s">
        <v>873</v>
      </c>
      <c r="D7611" t="s">
        <v>14</v>
      </c>
      <c r="E7611">
        <v>3</v>
      </c>
      <c r="F7611" s="2">
        <f>DATE(2026,IF(Tabla1[[#This Row],[Mes de Fecha]]="Septiembre",9,10),Tabla1[[#This Row],[Día de Fecha]])</f>
        <v>46298</v>
      </c>
      <c r="G7611">
        <v>1088286603</v>
      </c>
      <c r="H7611" t="s">
        <v>500</v>
      </c>
      <c r="I7611">
        <v>286</v>
      </c>
      <c r="J7611">
        <v>0</v>
      </c>
      <c r="K7611" s="1">
        <v>12916888</v>
      </c>
    </row>
    <row r="7612" spans="1:11" x14ac:dyDescent="0.25">
      <c r="A7612" t="s">
        <v>326</v>
      </c>
      <c r="B7612" t="s">
        <v>541</v>
      </c>
      <c r="C7612" t="s">
        <v>873</v>
      </c>
      <c r="D7612" t="s">
        <v>14</v>
      </c>
      <c r="E7612">
        <v>3</v>
      </c>
      <c r="F7612" s="2">
        <f>DATE(2026,IF(Tabla1[[#This Row],[Mes de Fecha]]="Septiembre",9,10),Tabla1[[#This Row],[Día de Fecha]])</f>
        <v>46298</v>
      </c>
      <c r="G7612">
        <v>1088333747</v>
      </c>
      <c r="H7612" t="s">
        <v>495</v>
      </c>
      <c r="I7612">
        <v>-1</v>
      </c>
      <c r="J7612">
        <v>0</v>
      </c>
      <c r="K7612" s="1">
        <v>-37773</v>
      </c>
    </row>
    <row r="7613" spans="1:11" x14ac:dyDescent="0.25">
      <c r="A7613" t="s">
        <v>326</v>
      </c>
      <c r="B7613" t="s">
        <v>541</v>
      </c>
      <c r="C7613" t="s">
        <v>873</v>
      </c>
      <c r="D7613" t="s">
        <v>14</v>
      </c>
      <c r="E7613">
        <v>3</v>
      </c>
      <c r="F7613" s="2">
        <f>DATE(2026,IF(Tabla1[[#This Row],[Mes de Fecha]]="Septiembre",9,10),Tabla1[[#This Row],[Día de Fecha]])</f>
        <v>46298</v>
      </c>
      <c r="G7613">
        <v>1112620904</v>
      </c>
      <c r="H7613" t="s">
        <v>548</v>
      </c>
      <c r="I7613">
        <v>-1</v>
      </c>
      <c r="J7613">
        <v>0</v>
      </c>
      <c r="K7613" s="1">
        <v>-50336</v>
      </c>
    </row>
    <row r="7614" spans="1:11" x14ac:dyDescent="0.25">
      <c r="A7614" t="s">
        <v>326</v>
      </c>
      <c r="B7614" t="s">
        <v>541</v>
      </c>
      <c r="C7614" t="s">
        <v>873</v>
      </c>
      <c r="D7614" t="s">
        <v>14</v>
      </c>
      <c r="E7614">
        <v>3</v>
      </c>
      <c r="F7614" s="2">
        <f>DATE(2026,IF(Tabla1[[#This Row],[Mes de Fecha]]="Septiembre",9,10),Tabla1[[#This Row],[Día de Fecha]])</f>
        <v>46298</v>
      </c>
      <c r="G7614">
        <v>1127536836</v>
      </c>
      <c r="H7614" t="s">
        <v>544</v>
      </c>
      <c r="I7614">
        <v>126</v>
      </c>
      <c r="J7614">
        <v>0</v>
      </c>
      <c r="K7614" s="1">
        <v>5851501</v>
      </c>
    </row>
    <row r="7615" spans="1:11" x14ac:dyDescent="0.25">
      <c r="A7615" t="s">
        <v>326</v>
      </c>
      <c r="B7615" t="s">
        <v>541</v>
      </c>
      <c r="C7615" t="s">
        <v>873</v>
      </c>
      <c r="D7615" t="s">
        <v>14</v>
      </c>
      <c r="E7615">
        <v>4</v>
      </c>
      <c r="F7615" s="2">
        <f>DATE(2026,IF(Tabla1[[#This Row],[Mes de Fecha]]="Septiembre",9,10),Tabla1[[#This Row],[Día de Fecha]])</f>
        <v>46299</v>
      </c>
      <c r="I7615">
        <v>0</v>
      </c>
      <c r="J7615" s="1">
        <v>37807238</v>
      </c>
      <c r="K7615">
        <v>0</v>
      </c>
    </row>
    <row r="7616" spans="1:11" x14ac:dyDescent="0.25">
      <c r="A7616" t="s">
        <v>326</v>
      </c>
      <c r="B7616" t="s">
        <v>541</v>
      </c>
      <c r="C7616" t="s">
        <v>873</v>
      </c>
      <c r="D7616" t="s">
        <v>14</v>
      </c>
      <c r="E7616">
        <v>4</v>
      </c>
      <c r="F7616" s="2">
        <f>DATE(2026,IF(Tabla1[[#This Row],[Mes de Fecha]]="Septiembre",9,10),Tabla1[[#This Row],[Día de Fecha]])</f>
        <v>46299</v>
      </c>
      <c r="G7616">
        <v>4883683</v>
      </c>
      <c r="H7616" t="s">
        <v>505</v>
      </c>
      <c r="I7616">
        <v>40</v>
      </c>
      <c r="J7616">
        <v>0</v>
      </c>
      <c r="K7616" s="1">
        <v>2249879</v>
      </c>
    </row>
    <row r="7617" spans="1:11" x14ac:dyDescent="0.25">
      <c r="A7617" t="s">
        <v>326</v>
      </c>
      <c r="B7617" t="s">
        <v>541</v>
      </c>
      <c r="C7617" t="s">
        <v>873</v>
      </c>
      <c r="D7617" t="s">
        <v>14</v>
      </c>
      <c r="E7617">
        <v>4</v>
      </c>
      <c r="F7617" s="2">
        <f>DATE(2026,IF(Tabla1[[#This Row],[Mes de Fecha]]="Septiembre",9,10),Tabla1[[#This Row],[Día de Fecha]])</f>
        <v>46299</v>
      </c>
      <c r="G7617">
        <v>1006535971</v>
      </c>
      <c r="H7617" t="s">
        <v>542</v>
      </c>
      <c r="I7617">
        <v>150</v>
      </c>
      <c r="J7617">
        <v>0</v>
      </c>
      <c r="K7617" s="1">
        <v>7047274</v>
      </c>
    </row>
    <row r="7618" spans="1:11" x14ac:dyDescent="0.25">
      <c r="A7618" t="s">
        <v>326</v>
      </c>
      <c r="B7618" t="s">
        <v>541</v>
      </c>
      <c r="C7618" t="s">
        <v>873</v>
      </c>
      <c r="D7618" t="s">
        <v>14</v>
      </c>
      <c r="E7618">
        <v>4</v>
      </c>
      <c r="F7618" s="2">
        <f>DATE(2026,IF(Tabla1[[#This Row],[Mes de Fecha]]="Septiembre",9,10),Tabla1[[#This Row],[Día de Fecha]])</f>
        <v>46299</v>
      </c>
      <c r="G7618">
        <v>1088017991</v>
      </c>
      <c r="H7618" t="s">
        <v>499</v>
      </c>
      <c r="I7618">
        <v>-2</v>
      </c>
      <c r="J7618">
        <v>0</v>
      </c>
      <c r="K7618" s="1">
        <v>-88109</v>
      </c>
    </row>
    <row r="7619" spans="1:11" x14ac:dyDescent="0.25">
      <c r="A7619" t="s">
        <v>326</v>
      </c>
      <c r="B7619" t="s">
        <v>541</v>
      </c>
      <c r="C7619" t="s">
        <v>873</v>
      </c>
      <c r="D7619" t="s">
        <v>14</v>
      </c>
      <c r="E7619">
        <v>4</v>
      </c>
      <c r="F7619" s="2">
        <f>DATE(2026,IF(Tabla1[[#This Row],[Mes de Fecha]]="Septiembre",9,10),Tabla1[[#This Row],[Día de Fecha]])</f>
        <v>46299</v>
      </c>
      <c r="G7619">
        <v>1088286603</v>
      </c>
      <c r="H7619" t="s">
        <v>500</v>
      </c>
      <c r="I7619">
        <v>237</v>
      </c>
      <c r="J7619">
        <v>0</v>
      </c>
      <c r="K7619" s="1">
        <v>11616428</v>
      </c>
    </row>
    <row r="7620" spans="1:11" x14ac:dyDescent="0.25">
      <c r="A7620" t="s">
        <v>326</v>
      </c>
      <c r="B7620" t="s">
        <v>541</v>
      </c>
      <c r="C7620" t="s">
        <v>873</v>
      </c>
      <c r="D7620" t="s">
        <v>14</v>
      </c>
      <c r="E7620">
        <v>4</v>
      </c>
      <c r="F7620" s="2">
        <f>DATE(2026,IF(Tabla1[[#This Row],[Mes de Fecha]]="Septiembre",9,10),Tabla1[[#This Row],[Día de Fecha]])</f>
        <v>46299</v>
      </c>
      <c r="G7620">
        <v>1112760066</v>
      </c>
      <c r="H7620" t="s">
        <v>496</v>
      </c>
      <c r="I7620">
        <v>-2</v>
      </c>
      <c r="J7620">
        <v>0</v>
      </c>
      <c r="K7620" s="1">
        <v>-83949</v>
      </c>
    </row>
    <row r="7621" spans="1:11" x14ac:dyDescent="0.25">
      <c r="A7621" t="s">
        <v>326</v>
      </c>
      <c r="B7621" t="s">
        <v>541</v>
      </c>
      <c r="C7621" t="s">
        <v>873</v>
      </c>
      <c r="D7621" t="s">
        <v>14</v>
      </c>
      <c r="E7621">
        <v>4</v>
      </c>
      <c r="F7621" s="2">
        <f>DATE(2026,IF(Tabla1[[#This Row],[Mes de Fecha]]="Septiembre",9,10),Tabla1[[#This Row],[Día de Fecha]])</f>
        <v>46299</v>
      </c>
      <c r="G7621">
        <v>1127536836</v>
      </c>
      <c r="H7621" t="s">
        <v>544</v>
      </c>
      <c r="I7621">
        <v>118</v>
      </c>
      <c r="J7621">
        <v>0</v>
      </c>
      <c r="K7621" s="1">
        <v>6395694</v>
      </c>
    </row>
    <row r="7622" spans="1:11" x14ac:dyDescent="0.25">
      <c r="A7622" t="s">
        <v>326</v>
      </c>
      <c r="B7622" t="s">
        <v>541</v>
      </c>
      <c r="C7622" t="s">
        <v>873</v>
      </c>
      <c r="D7622" t="s">
        <v>14</v>
      </c>
      <c r="E7622">
        <v>5</v>
      </c>
      <c r="F7622" s="2">
        <f>DATE(2026,IF(Tabla1[[#This Row],[Mes de Fecha]]="Septiembre",9,10),Tabla1[[#This Row],[Día de Fecha]])</f>
        <v>46300</v>
      </c>
      <c r="I7622">
        <v>0</v>
      </c>
      <c r="J7622" s="1">
        <v>14258516</v>
      </c>
      <c r="K7622">
        <v>0</v>
      </c>
    </row>
    <row r="7623" spans="1:11" x14ac:dyDescent="0.25">
      <c r="A7623" t="s">
        <v>326</v>
      </c>
      <c r="B7623" t="s">
        <v>541</v>
      </c>
      <c r="C7623" t="s">
        <v>873</v>
      </c>
      <c r="D7623" t="s">
        <v>14</v>
      </c>
      <c r="E7623">
        <v>5</v>
      </c>
      <c r="F7623" s="2">
        <f>DATE(2026,IF(Tabla1[[#This Row],[Mes de Fecha]]="Septiembre",9,10),Tabla1[[#This Row],[Día de Fecha]])</f>
        <v>46300</v>
      </c>
      <c r="G7623">
        <v>4883683</v>
      </c>
      <c r="H7623" t="s">
        <v>505</v>
      </c>
      <c r="I7623">
        <v>33</v>
      </c>
      <c r="J7623">
        <v>0</v>
      </c>
      <c r="K7623" s="1">
        <v>1325882</v>
      </c>
    </row>
    <row r="7624" spans="1:11" x14ac:dyDescent="0.25">
      <c r="A7624" t="s">
        <v>326</v>
      </c>
      <c r="B7624" t="s">
        <v>541</v>
      </c>
      <c r="C7624" t="s">
        <v>873</v>
      </c>
      <c r="D7624" t="s">
        <v>14</v>
      </c>
      <c r="E7624">
        <v>5</v>
      </c>
      <c r="F7624" s="2">
        <f>DATE(2026,IF(Tabla1[[#This Row],[Mes de Fecha]]="Septiembre",9,10),Tabla1[[#This Row],[Día de Fecha]])</f>
        <v>46300</v>
      </c>
      <c r="G7624">
        <v>1006535971</v>
      </c>
      <c r="H7624" t="s">
        <v>542</v>
      </c>
      <c r="I7624">
        <v>82</v>
      </c>
      <c r="J7624">
        <v>0</v>
      </c>
      <c r="K7624" s="1">
        <v>4623700</v>
      </c>
    </row>
    <row r="7625" spans="1:11" x14ac:dyDescent="0.25">
      <c r="A7625" t="s">
        <v>326</v>
      </c>
      <c r="B7625" t="s">
        <v>541</v>
      </c>
      <c r="C7625" t="s">
        <v>873</v>
      </c>
      <c r="D7625" t="s">
        <v>14</v>
      </c>
      <c r="E7625">
        <v>5</v>
      </c>
      <c r="F7625" s="2">
        <f>DATE(2026,IF(Tabla1[[#This Row],[Mes de Fecha]]="Septiembre",9,10),Tabla1[[#This Row],[Día de Fecha]])</f>
        <v>46300</v>
      </c>
      <c r="G7625">
        <v>1088286603</v>
      </c>
      <c r="H7625" t="s">
        <v>500</v>
      </c>
      <c r="I7625">
        <v>94</v>
      </c>
      <c r="J7625">
        <v>0</v>
      </c>
      <c r="K7625" s="1">
        <v>4687901</v>
      </c>
    </row>
    <row r="7626" spans="1:11" x14ac:dyDescent="0.25">
      <c r="A7626" t="s">
        <v>326</v>
      </c>
      <c r="B7626" t="s">
        <v>541</v>
      </c>
      <c r="C7626" t="s">
        <v>873</v>
      </c>
      <c r="D7626" t="s">
        <v>14</v>
      </c>
      <c r="E7626">
        <v>5</v>
      </c>
      <c r="F7626" s="2">
        <f>DATE(2026,IF(Tabla1[[#This Row],[Mes de Fecha]]="Septiembre",9,10),Tabla1[[#This Row],[Día de Fecha]])</f>
        <v>46300</v>
      </c>
      <c r="G7626">
        <v>1127536836</v>
      </c>
      <c r="H7626" t="s">
        <v>544</v>
      </c>
      <c r="I7626">
        <v>68</v>
      </c>
      <c r="J7626">
        <v>0</v>
      </c>
      <c r="K7626" s="1">
        <v>3389557</v>
      </c>
    </row>
    <row r="7627" spans="1:11" x14ac:dyDescent="0.25">
      <c r="A7627" t="s">
        <v>326</v>
      </c>
      <c r="B7627" t="s">
        <v>541</v>
      </c>
      <c r="C7627" t="s">
        <v>873</v>
      </c>
      <c r="D7627" t="s">
        <v>14</v>
      </c>
      <c r="E7627">
        <v>6</v>
      </c>
      <c r="F7627" s="2">
        <f>DATE(2026,IF(Tabla1[[#This Row],[Mes de Fecha]]="Septiembre",9,10),Tabla1[[#This Row],[Día de Fecha]])</f>
        <v>46301</v>
      </c>
      <c r="I7627">
        <v>0</v>
      </c>
      <c r="J7627" s="1">
        <v>8691020</v>
      </c>
      <c r="K7627">
        <v>0</v>
      </c>
    </row>
    <row r="7628" spans="1:11" x14ac:dyDescent="0.25">
      <c r="A7628" t="s">
        <v>326</v>
      </c>
      <c r="B7628" t="s">
        <v>541</v>
      </c>
      <c r="C7628" t="s">
        <v>873</v>
      </c>
      <c r="D7628" t="s">
        <v>14</v>
      </c>
      <c r="E7628">
        <v>6</v>
      </c>
      <c r="F7628" s="2">
        <f>DATE(2026,IF(Tabla1[[#This Row],[Mes de Fecha]]="Septiembre",9,10),Tabla1[[#This Row],[Día de Fecha]])</f>
        <v>46301</v>
      </c>
      <c r="G7628">
        <v>4883683</v>
      </c>
      <c r="H7628" t="s">
        <v>505</v>
      </c>
      <c r="I7628">
        <v>38</v>
      </c>
      <c r="J7628">
        <v>0</v>
      </c>
      <c r="K7628" s="1">
        <v>1741680</v>
      </c>
    </row>
    <row r="7629" spans="1:11" x14ac:dyDescent="0.25">
      <c r="A7629" t="s">
        <v>326</v>
      </c>
      <c r="B7629" t="s">
        <v>541</v>
      </c>
      <c r="C7629" t="s">
        <v>873</v>
      </c>
      <c r="D7629" t="s">
        <v>14</v>
      </c>
      <c r="E7629">
        <v>6</v>
      </c>
      <c r="F7629" s="2">
        <f>DATE(2026,IF(Tabla1[[#This Row],[Mes de Fecha]]="Septiembre",9,10),Tabla1[[#This Row],[Día de Fecha]])</f>
        <v>46301</v>
      </c>
      <c r="G7629">
        <v>1006535971</v>
      </c>
      <c r="H7629" t="s">
        <v>542</v>
      </c>
      <c r="I7629">
        <v>-1</v>
      </c>
      <c r="J7629">
        <v>0</v>
      </c>
      <c r="K7629" s="1">
        <v>-65044</v>
      </c>
    </row>
    <row r="7630" spans="1:11" x14ac:dyDescent="0.25">
      <c r="A7630" t="s">
        <v>326</v>
      </c>
      <c r="B7630" t="s">
        <v>541</v>
      </c>
      <c r="C7630" t="s">
        <v>873</v>
      </c>
      <c r="D7630" t="s">
        <v>14</v>
      </c>
      <c r="E7630">
        <v>6</v>
      </c>
      <c r="F7630" s="2">
        <f>DATE(2026,IF(Tabla1[[#This Row],[Mes de Fecha]]="Septiembre",9,10),Tabla1[[#This Row],[Día de Fecha]])</f>
        <v>46301</v>
      </c>
      <c r="G7630">
        <v>1088286603</v>
      </c>
      <c r="H7630" t="s">
        <v>500</v>
      </c>
      <c r="I7630">
        <v>98</v>
      </c>
      <c r="J7630">
        <v>0</v>
      </c>
      <c r="K7630" s="1">
        <v>4952776</v>
      </c>
    </row>
    <row r="7631" spans="1:11" x14ac:dyDescent="0.25">
      <c r="A7631" t="s">
        <v>326</v>
      </c>
      <c r="B7631" t="s">
        <v>541</v>
      </c>
      <c r="C7631" t="s">
        <v>873</v>
      </c>
      <c r="D7631" t="s">
        <v>14</v>
      </c>
      <c r="E7631">
        <v>6</v>
      </c>
      <c r="F7631" s="2">
        <f>DATE(2026,IF(Tabla1[[#This Row],[Mes de Fecha]]="Septiembre",9,10),Tabla1[[#This Row],[Día de Fecha]])</f>
        <v>46301</v>
      </c>
      <c r="G7631">
        <v>1127536836</v>
      </c>
      <c r="H7631" t="s">
        <v>544</v>
      </c>
      <c r="I7631">
        <v>63</v>
      </c>
      <c r="J7631">
        <v>0</v>
      </c>
      <c r="K7631" s="1">
        <v>2610086</v>
      </c>
    </row>
    <row r="7632" spans="1:11" x14ac:dyDescent="0.25">
      <c r="A7632" t="s">
        <v>326</v>
      </c>
      <c r="B7632" t="s">
        <v>541</v>
      </c>
      <c r="C7632" t="s">
        <v>873</v>
      </c>
      <c r="D7632" t="s">
        <v>14</v>
      </c>
      <c r="E7632">
        <v>7</v>
      </c>
      <c r="F7632" s="2">
        <f>DATE(2026,IF(Tabla1[[#This Row],[Mes de Fecha]]="Septiembre",9,10),Tabla1[[#This Row],[Día de Fecha]])</f>
        <v>46302</v>
      </c>
      <c r="I7632">
        <v>0</v>
      </c>
      <c r="J7632" s="1">
        <v>8622738</v>
      </c>
      <c r="K7632">
        <v>0</v>
      </c>
    </row>
    <row r="7633" spans="1:11" x14ac:dyDescent="0.25">
      <c r="A7633" t="s">
        <v>326</v>
      </c>
      <c r="B7633" t="s">
        <v>541</v>
      </c>
      <c r="C7633" t="s">
        <v>873</v>
      </c>
      <c r="D7633" t="s">
        <v>14</v>
      </c>
      <c r="E7633">
        <v>7</v>
      </c>
      <c r="F7633" s="2">
        <f>DATE(2026,IF(Tabla1[[#This Row],[Mes de Fecha]]="Septiembre",9,10),Tabla1[[#This Row],[Día de Fecha]])</f>
        <v>46302</v>
      </c>
      <c r="G7633">
        <v>4883683</v>
      </c>
      <c r="H7633" t="s">
        <v>505</v>
      </c>
      <c r="I7633">
        <v>27</v>
      </c>
      <c r="J7633">
        <v>0</v>
      </c>
      <c r="K7633" s="1">
        <v>1246639</v>
      </c>
    </row>
    <row r="7634" spans="1:11" x14ac:dyDescent="0.25">
      <c r="A7634" t="s">
        <v>326</v>
      </c>
      <c r="B7634" t="s">
        <v>541</v>
      </c>
      <c r="C7634" t="s">
        <v>873</v>
      </c>
      <c r="D7634" t="s">
        <v>14</v>
      </c>
      <c r="E7634">
        <v>7</v>
      </c>
      <c r="F7634" s="2">
        <f>DATE(2026,IF(Tabla1[[#This Row],[Mes de Fecha]]="Septiembre",9,10),Tabla1[[#This Row],[Día de Fecha]])</f>
        <v>46302</v>
      </c>
      <c r="G7634">
        <v>1002743905</v>
      </c>
      <c r="H7634" t="s">
        <v>503</v>
      </c>
      <c r="I7634">
        <v>-1</v>
      </c>
      <c r="J7634">
        <v>0</v>
      </c>
      <c r="K7634" s="1">
        <v>-54580</v>
      </c>
    </row>
    <row r="7635" spans="1:11" x14ac:dyDescent="0.25">
      <c r="A7635" t="s">
        <v>326</v>
      </c>
      <c r="B7635" t="s">
        <v>541</v>
      </c>
      <c r="C7635" t="s">
        <v>873</v>
      </c>
      <c r="D7635" t="s">
        <v>14</v>
      </c>
      <c r="E7635">
        <v>7</v>
      </c>
      <c r="F7635" s="2">
        <f>DATE(2026,IF(Tabla1[[#This Row],[Mes de Fecha]]="Septiembre",9,10),Tabla1[[#This Row],[Día de Fecha]])</f>
        <v>46302</v>
      </c>
      <c r="G7635">
        <v>1004801651</v>
      </c>
      <c r="H7635" t="s">
        <v>549</v>
      </c>
      <c r="I7635">
        <v>-1</v>
      </c>
      <c r="J7635">
        <v>0</v>
      </c>
      <c r="K7635" s="1">
        <v>-41975</v>
      </c>
    </row>
    <row r="7636" spans="1:11" x14ac:dyDescent="0.25">
      <c r="A7636" t="s">
        <v>326</v>
      </c>
      <c r="B7636" t="s">
        <v>541</v>
      </c>
      <c r="C7636" t="s">
        <v>873</v>
      </c>
      <c r="D7636" t="s">
        <v>14</v>
      </c>
      <c r="E7636">
        <v>7</v>
      </c>
      <c r="F7636" s="2">
        <f>DATE(2026,IF(Tabla1[[#This Row],[Mes de Fecha]]="Septiembre",9,10),Tabla1[[#This Row],[Día de Fecha]])</f>
        <v>46302</v>
      </c>
      <c r="G7636">
        <v>1006535971</v>
      </c>
      <c r="H7636" t="s">
        <v>542</v>
      </c>
      <c r="I7636">
        <v>91</v>
      </c>
      <c r="J7636">
        <v>0</v>
      </c>
      <c r="K7636" s="1">
        <v>4800172</v>
      </c>
    </row>
    <row r="7637" spans="1:11" x14ac:dyDescent="0.25">
      <c r="A7637" t="s">
        <v>326</v>
      </c>
      <c r="B7637" t="s">
        <v>541</v>
      </c>
      <c r="C7637" t="s">
        <v>873</v>
      </c>
      <c r="D7637" t="s">
        <v>14</v>
      </c>
      <c r="E7637">
        <v>7</v>
      </c>
      <c r="F7637" s="2">
        <f>DATE(2026,IF(Tabla1[[#This Row],[Mes de Fecha]]="Septiembre",9,10),Tabla1[[#This Row],[Día de Fecha]])</f>
        <v>46302</v>
      </c>
      <c r="G7637">
        <v>1088286603</v>
      </c>
      <c r="H7637" t="s">
        <v>500</v>
      </c>
      <c r="I7637">
        <v>0</v>
      </c>
      <c r="J7637">
        <v>0</v>
      </c>
      <c r="K7637" s="1">
        <v>16849</v>
      </c>
    </row>
    <row r="7638" spans="1:11" x14ac:dyDescent="0.25">
      <c r="A7638" t="s">
        <v>326</v>
      </c>
      <c r="B7638" t="s">
        <v>541</v>
      </c>
      <c r="C7638" t="s">
        <v>873</v>
      </c>
      <c r="D7638" t="s">
        <v>14</v>
      </c>
      <c r="E7638">
        <v>7</v>
      </c>
      <c r="F7638" s="2">
        <f>DATE(2026,IF(Tabla1[[#This Row],[Mes de Fecha]]="Septiembre",9,10),Tabla1[[#This Row],[Día de Fecha]])</f>
        <v>46302</v>
      </c>
      <c r="G7638">
        <v>1105670101</v>
      </c>
      <c r="H7638" t="s">
        <v>550</v>
      </c>
      <c r="I7638">
        <v>-1</v>
      </c>
      <c r="J7638">
        <v>0</v>
      </c>
      <c r="K7638" s="1">
        <v>-105000</v>
      </c>
    </row>
    <row r="7639" spans="1:11" x14ac:dyDescent="0.25">
      <c r="A7639" t="s">
        <v>326</v>
      </c>
      <c r="B7639" t="s">
        <v>541</v>
      </c>
      <c r="C7639" t="s">
        <v>873</v>
      </c>
      <c r="D7639" t="s">
        <v>14</v>
      </c>
      <c r="E7639">
        <v>7</v>
      </c>
      <c r="F7639" s="2">
        <f>DATE(2026,IF(Tabla1[[#This Row],[Mes de Fecha]]="Septiembre",9,10),Tabla1[[#This Row],[Día de Fecha]])</f>
        <v>46302</v>
      </c>
      <c r="G7639">
        <v>1127536836</v>
      </c>
      <c r="H7639" t="s">
        <v>544</v>
      </c>
      <c r="I7639">
        <v>30</v>
      </c>
      <c r="J7639">
        <v>0</v>
      </c>
      <c r="K7639" s="1">
        <v>1372563</v>
      </c>
    </row>
    <row r="7640" spans="1:11" x14ac:dyDescent="0.25">
      <c r="A7640" t="s">
        <v>326</v>
      </c>
      <c r="B7640" t="s">
        <v>586</v>
      </c>
      <c r="C7640" t="s">
        <v>873</v>
      </c>
      <c r="D7640" t="s">
        <v>11</v>
      </c>
      <c r="E7640">
        <v>23</v>
      </c>
      <c r="F7640" s="2">
        <f>DATE(2026,IF(Tabla1[[#This Row],[Mes de Fecha]]="Septiembre",9,10),Tabla1[[#This Row],[Día de Fecha]])</f>
        <v>46288</v>
      </c>
      <c r="I7640">
        <v>0</v>
      </c>
      <c r="J7640" s="1">
        <v>15347481</v>
      </c>
      <c r="K7640">
        <v>0</v>
      </c>
    </row>
    <row r="7641" spans="1:11" x14ac:dyDescent="0.25">
      <c r="A7641" t="s">
        <v>326</v>
      </c>
      <c r="B7641" t="s">
        <v>586</v>
      </c>
      <c r="C7641" t="s">
        <v>873</v>
      </c>
      <c r="D7641" t="s">
        <v>11</v>
      </c>
      <c r="E7641">
        <v>23</v>
      </c>
      <c r="F7641" s="2">
        <f>DATE(2026,IF(Tabla1[[#This Row],[Mes de Fecha]]="Septiembre",9,10),Tabla1[[#This Row],[Día de Fecha]])</f>
        <v>46288</v>
      </c>
      <c r="G7641">
        <v>1004680283</v>
      </c>
      <c r="H7641" t="s">
        <v>587</v>
      </c>
      <c r="I7641">
        <v>16</v>
      </c>
      <c r="J7641">
        <v>0</v>
      </c>
      <c r="K7641" s="1">
        <v>982437</v>
      </c>
    </row>
    <row r="7642" spans="1:11" x14ac:dyDescent="0.25">
      <c r="A7642" t="s">
        <v>326</v>
      </c>
      <c r="B7642" t="s">
        <v>586</v>
      </c>
      <c r="C7642" t="s">
        <v>873</v>
      </c>
      <c r="D7642" t="s">
        <v>11</v>
      </c>
      <c r="E7642">
        <v>23</v>
      </c>
      <c r="F7642" s="2">
        <f>DATE(2026,IF(Tabla1[[#This Row],[Mes de Fecha]]="Septiembre",9,10),Tabla1[[#This Row],[Día de Fecha]])</f>
        <v>46288</v>
      </c>
      <c r="G7642">
        <v>1004789966</v>
      </c>
      <c r="H7642" t="s">
        <v>506</v>
      </c>
      <c r="I7642">
        <v>54</v>
      </c>
      <c r="J7642">
        <v>0</v>
      </c>
      <c r="K7642" s="1">
        <v>3743068</v>
      </c>
    </row>
    <row r="7643" spans="1:11" x14ac:dyDescent="0.25">
      <c r="A7643" t="s">
        <v>326</v>
      </c>
      <c r="B7643" t="s">
        <v>586</v>
      </c>
      <c r="C7643" t="s">
        <v>873</v>
      </c>
      <c r="D7643" t="s">
        <v>11</v>
      </c>
      <c r="E7643">
        <v>23</v>
      </c>
      <c r="F7643" s="2">
        <f>DATE(2026,IF(Tabla1[[#This Row],[Mes de Fecha]]="Septiembre",9,10),Tabla1[[#This Row],[Día de Fecha]])</f>
        <v>46288</v>
      </c>
      <c r="G7643">
        <v>1005654398</v>
      </c>
      <c r="H7643" t="s">
        <v>494</v>
      </c>
      <c r="I7643">
        <v>3</v>
      </c>
      <c r="J7643">
        <v>0</v>
      </c>
      <c r="K7643" s="1">
        <v>58824</v>
      </c>
    </row>
    <row r="7644" spans="1:11" x14ac:dyDescent="0.25">
      <c r="A7644" t="s">
        <v>326</v>
      </c>
      <c r="B7644" t="s">
        <v>586</v>
      </c>
      <c r="C7644" t="s">
        <v>873</v>
      </c>
      <c r="D7644" t="s">
        <v>11</v>
      </c>
      <c r="E7644">
        <v>23</v>
      </c>
      <c r="F7644" s="2">
        <f>DATE(2026,IF(Tabla1[[#This Row],[Mes de Fecha]]="Septiembre",9,10),Tabla1[[#This Row],[Día de Fecha]])</f>
        <v>46288</v>
      </c>
      <c r="G7644">
        <v>1088017254</v>
      </c>
      <c r="H7644" t="s">
        <v>504</v>
      </c>
      <c r="I7644">
        <v>78</v>
      </c>
      <c r="J7644">
        <v>0</v>
      </c>
      <c r="K7644" s="1">
        <v>5447904</v>
      </c>
    </row>
    <row r="7645" spans="1:11" x14ac:dyDescent="0.25">
      <c r="A7645" t="s">
        <v>326</v>
      </c>
      <c r="B7645" t="s">
        <v>586</v>
      </c>
      <c r="C7645" t="s">
        <v>873</v>
      </c>
      <c r="D7645" t="s">
        <v>11</v>
      </c>
      <c r="E7645">
        <v>23</v>
      </c>
      <c r="F7645" s="2">
        <f>DATE(2026,IF(Tabla1[[#This Row],[Mes de Fecha]]="Septiembre",9,10),Tabla1[[#This Row],[Día de Fecha]])</f>
        <v>46288</v>
      </c>
      <c r="G7645">
        <v>1088286603</v>
      </c>
      <c r="H7645" t="s">
        <v>500</v>
      </c>
      <c r="I7645">
        <v>-1</v>
      </c>
      <c r="J7645">
        <v>0</v>
      </c>
      <c r="K7645" s="1">
        <v>-131042</v>
      </c>
    </row>
    <row r="7646" spans="1:11" x14ac:dyDescent="0.25">
      <c r="A7646" t="s">
        <v>326</v>
      </c>
      <c r="B7646" t="s">
        <v>586</v>
      </c>
      <c r="C7646" t="s">
        <v>873</v>
      </c>
      <c r="D7646" t="s">
        <v>11</v>
      </c>
      <c r="E7646">
        <v>23</v>
      </c>
      <c r="F7646" s="2">
        <f>DATE(2026,IF(Tabla1[[#This Row],[Mes de Fecha]]="Septiembre",9,10),Tabla1[[#This Row],[Día de Fecha]])</f>
        <v>46288</v>
      </c>
      <c r="G7646">
        <v>1105670101</v>
      </c>
      <c r="H7646" t="s">
        <v>550</v>
      </c>
      <c r="I7646">
        <v>30</v>
      </c>
      <c r="J7646">
        <v>0</v>
      </c>
      <c r="K7646" s="1">
        <v>2733488</v>
      </c>
    </row>
    <row r="7647" spans="1:11" x14ac:dyDescent="0.25">
      <c r="A7647" t="s">
        <v>326</v>
      </c>
      <c r="B7647" t="s">
        <v>586</v>
      </c>
      <c r="C7647" t="s">
        <v>873</v>
      </c>
      <c r="D7647" t="s">
        <v>11</v>
      </c>
      <c r="E7647">
        <v>24</v>
      </c>
      <c r="F7647" s="2">
        <f>DATE(2026,IF(Tabla1[[#This Row],[Mes de Fecha]]="Septiembre",9,10),Tabla1[[#This Row],[Día de Fecha]])</f>
        <v>46289</v>
      </c>
      <c r="I7647">
        <v>0</v>
      </c>
      <c r="J7647" s="1">
        <v>23445004</v>
      </c>
      <c r="K7647">
        <v>0</v>
      </c>
    </row>
    <row r="7648" spans="1:11" x14ac:dyDescent="0.25">
      <c r="A7648" t="s">
        <v>326</v>
      </c>
      <c r="B7648" t="s">
        <v>586</v>
      </c>
      <c r="C7648" t="s">
        <v>873</v>
      </c>
      <c r="D7648" t="s">
        <v>11</v>
      </c>
      <c r="E7648">
        <v>24</v>
      </c>
      <c r="F7648" s="2">
        <f>DATE(2026,IF(Tabla1[[#This Row],[Mes de Fecha]]="Septiembre",9,10),Tabla1[[#This Row],[Día de Fecha]])</f>
        <v>46289</v>
      </c>
      <c r="G7648">
        <v>1004680283</v>
      </c>
      <c r="H7648" t="s">
        <v>587</v>
      </c>
      <c r="I7648">
        <v>-1</v>
      </c>
      <c r="J7648">
        <v>0</v>
      </c>
      <c r="K7648" s="1">
        <v>-37773</v>
      </c>
    </row>
    <row r="7649" spans="1:11" x14ac:dyDescent="0.25">
      <c r="A7649" t="s">
        <v>326</v>
      </c>
      <c r="B7649" t="s">
        <v>586</v>
      </c>
      <c r="C7649" t="s">
        <v>873</v>
      </c>
      <c r="D7649" t="s">
        <v>11</v>
      </c>
      <c r="E7649">
        <v>24</v>
      </c>
      <c r="F7649" s="2">
        <f>DATE(2026,IF(Tabla1[[#This Row],[Mes de Fecha]]="Septiembre",9,10),Tabla1[[#This Row],[Día de Fecha]])</f>
        <v>46289</v>
      </c>
      <c r="G7649">
        <v>1004789966</v>
      </c>
      <c r="H7649" t="s">
        <v>506</v>
      </c>
      <c r="I7649">
        <v>109</v>
      </c>
      <c r="J7649">
        <v>0</v>
      </c>
      <c r="K7649" s="1">
        <v>9342101</v>
      </c>
    </row>
    <row r="7650" spans="1:11" x14ac:dyDescent="0.25">
      <c r="A7650" t="s">
        <v>326</v>
      </c>
      <c r="B7650" t="s">
        <v>586</v>
      </c>
      <c r="C7650" t="s">
        <v>873</v>
      </c>
      <c r="D7650" t="s">
        <v>11</v>
      </c>
      <c r="E7650">
        <v>24</v>
      </c>
      <c r="F7650" s="2">
        <f>DATE(2026,IF(Tabla1[[#This Row],[Mes de Fecha]]="Septiembre",9,10),Tabla1[[#This Row],[Día de Fecha]])</f>
        <v>46289</v>
      </c>
      <c r="G7650">
        <v>1005654398</v>
      </c>
      <c r="H7650" t="s">
        <v>494</v>
      </c>
      <c r="I7650">
        <v>121</v>
      </c>
      <c r="J7650">
        <v>0</v>
      </c>
      <c r="K7650" s="1">
        <v>9954792</v>
      </c>
    </row>
    <row r="7651" spans="1:11" x14ac:dyDescent="0.25">
      <c r="A7651" t="s">
        <v>326</v>
      </c>
      <c r="B7651" t="s">
        <v>586</v>
      </c>
      <c r="C7651" t="s">
        <v>873</v>
      </c>
      <c r="D7651" t="s">
        <v>11</v>
      </c>
      <c r="E7651">
        <v>24</v>
      </c>
      <c r="F7651" s="2">
        <f>DATE(2026,IF(Tabla1[[#This Row],[Mes de Fecha]]="Septiembre",9,10),Tabla1[[#This Row],[Día de Fecha]])</f>
        <v>46289</v>
      </c>
      <c r="G7651">
        <v>1088017254</v>
      </c>
      <c r="H7651" t="s">
        <v>504</v>
      </c>
      <c r="I7651">
        <v>76</v>
      </c>
      <c r="J7651">
        <v>0</v>
      </c>
      <c r="K7651" s="1">
        <v>6979034</v>
      </c>
    </row>
    <row r="7652" spans="1:11" x14ac:dyDescent="0.25">
      <c r="A7652" t="s">
        <v>326</v>
      </c>
      <c r="B7652" t="s">
        <v>586</v>
      </c>
      <c r="C7652" t="s">
        <v>873</v>
      </c>
      <c r="D7652" t="s">
        <v>11</v>
      </c>
      <c r="E7652">
        <v>24</v>
      </c>
      <c r="F7652" s="2">
        <f>DATE(2026,IF(Tabla1[[#This Row],[Mes de Fecha]]="Septiembre",9,10),Tabla1[[#This Row],[Día de Fecha]])</f>
        <v>46289</v>
      </c>
      <c r="G7652">
        <v>1105670101</v>
      </c>
      <c r="H7652" t="s">
        <v>550</v>
      </c>
      <c r="I7652">
        <v>55</v>
      </c>
      <c r="J7652">
        <v>0</v>
      </c>
      <c r="K7652" s="1">
        <v>3335802</v>
      </c>
    </row>
    <row r="7653" spans="1:11" x14ac:dyDescent="0.25">
      <c r="A7653" t="s">
        <v>326</v>
      </c>
      <c r="B7653" t="s">
        <v>586</v>
      </c>
      <c r="C7653" t="s">
        <v>873</v>
      </c>
      <c r="D7653" t="s">
        <v>11</v>
      </c>
      <c r="E7653">
        <v>25</v>
      </c>
      <c r="F7653" s="2">
        <f>DATE(2026,IF(Tabla1[[#This Row],[Mes de Fecha]]="Septiembre",9,10),Tabla1[[#This Row],[Día de Fecha]])</f>
        <v>46290</v>
      </c>
      <c r="I7653">
        <v>0</v>
      </c>
      <c r="J7653" s="1">
        <v>23393100</v>
      </c>
      <c r="K7653">
        <v>0</v>
      </c>
    </row>
    <row r="7654" spans="1:11" x14ac:dyDescent="0.25">
      <c r="A7654" t="s">
        <v>326</v>
      </c>
      <c r="B7654" t="s">
        <v>586</v>
      </c>
      <c r="C7654" t="s">
        <v>873</v>
      </c>
      <c r="D7654" t="s">
        <v>11</v>
      </c>
      <c r="E7654">
        <v>25</v>
      </c>
      <c r="F7654" s="2">
        <f>DATE(2026,IF(Tabla1[[#This Row],[Mes de Fecha]]="Septiembre",9,10),Tabla1[[#This Row],[Día de Fecha]])</f>
        <v>46290</v>
      </c>
      <c r="G7654">
        <v>1004789966</v>
      </c>
      <c r="H7654" t="s">
        <v>506</v>
      </c>
      <c r="I7654">
        <v>71</v>
      </c>
      <c r="J7654">
        <v>0</v>
      </c>
      <c r="K7654" s="1">
        <v>4311730</v>
      </c>
    </row>
    <row r="7655" spans="1:11" x14ac:dyDescent="0.25">
      <c r="A7655" t="s">
        <v>326</v>
      </c>
      <c r="B7655" t="s">
        <v>586</v>
      </c>
      <c r="C7655" t="s">
        <v>873</v>
      </c>
      <c r="D7655" t="s">
        <v>11</v>
      </c>
      <c r="E7655">
        <v>25</v>
      </c>
      <c r="F7655" s="2">
        <f>DATE(2026,IF(Tabla1[[#This Row],[Mes de Fecha]]="Septiembre",9,10),Tabla1[[#This Row],[Día de Fecha]])</f>
        <v>46290</v>
      </c>
      <c r="G7655">
        <v>1005654398</v>
      </c>
      <c r="H7655" t="s">
        <v>494</v>
      </c>
      <c r="I7655">
        <v>79</v>
      </c>
      <c r="J7655">
        <v>0</v>
      </c>
      <c r="K7655" s="1">
        <v>6697272</v>
      </c>
    </row>
    <row r="7656" spans="1:11" x14ac:dyDescent="0.25">
      <c r="A7656" t="s">
        <v>326</v>
      </c>
      <c r="B7656" t="s">
        <v>586</v>
      </c>
      <c r="C7656" t="s">
        <v>873</v>
      </c>
      <c r="D7656" t="s">
        <v>11</v>
      </c>
      <c r="E7656">
        <v>25</v>
      </c>
      <c r="F7656" s="2">
        <f>DATE(2026,IF(Tabla1[[#This Row],[Mes de Fecha]]="Septiembre",9,10),Tabla1[[#This Row],[Día de Fecha]])</f>
        <v>46290</v>
      </c>
      <c r="G7656">
        <v>1088017254</v>
      </c>
      <c r="H7656" t="s">
        <v>504</v>
      </c>
      <c r="I7656">
        <v>93</v>
      </c>
      <c r="J7656">
        <v>0</v>
      </c>
      <c r="K7656" s="1">
        <v>5067274</v>
      </c>
    </row>
    <row r="7657" spans="1:11" x14ac:dyDescent="0.25">
      <c r="A7657" t="s">
        <v>326</v>
      </c>
      <c r="B7657" t="s">
        <v>586</v>
      </c>
      <c r="C7657" t="s">
        <v>873</v>
      </c>
      <c r="D7657" t="s">
        <v>11</v>
      </c>
      <c r="E7657">
        <v>25</v>
      </c>
      <c r="F7657" s="2">
        <f>DATE(2026,IF(Tabla1[[#This Row],[Mes de Fecha]]="Septiembre",9,10),Tabla1[[#This Row],[Día de Fecha]])</f>
        <v>46290</v>
      </c>
      <c r="G7657">
        <v>1088310787</v>
      </c>
      <c r="H7657" t="s">
        <v>588</v>
      </c>
      <c r="I7657">
        <v>22</v>
      </c>
      <c r="J7657">
        <v>0</v>
      </c>
      <c r="K7657" s="1">
        <v>1360379</v>
      </c>
    </row>
    <row r="7658" spans="1:11" x14ac:dyDescent="0.25">
      <c r="A7658" t="s">
        <v>326</v>
      </c>
      <c r="B7658" t="s">
        <v>586</v>
      </c>
      <c r="C7658" t="s">
        <v>873</v>
      </c>
      <c r="D7658" t="s">
        <v>11</v>
      </c>
      <c r="E7658">
        <v>25</v>
      </c>
      <c r="F7658" s="2">
        <f>DATE(2026,IF(Tabla1[[#This Row],[Mes de Fecha]]="Septiembre",9,10),Tabla1[[#This Row],[Día de Fecha]])</f>
        <v>46290</v>
      </c>
      <c r="G7658">
        <v>1105670101</v>
      </c>
      <c r="H7658" t="s">
        <v>550</v>
      </c>
      <c r="I7658">
        <v>30</v>
      </c>
      <c r="J7658">
        <v>0</v>
      </c>
      <c r="K7658" s="1">
        <v>1717146</v>
      </c>
    </row>
    <row r="7659" spans="1:11" x14ac:dyDescent="0.25">
      <c r="A7659" t="s">
        <v>326</v>
      </c>
      <c r="B7659" t="s">
        <v>586</v>
      </c>
      <c r="C7659" t="s">
        <v>873</v>
      </c>
      <c r="D7659" t="s">
        <v>11</v>
      </c>
      <c r="E7659">
        <v>26</v>
      </c>
      <c r="F7659" s="2">
        <f>DATE(2026,IF(Tabla1[[#This Row],[Mes de Fecha]]="Septiembre",9,10),Tabla1[[#This Row],[Día de Fecha]])</f>
        <v>46291</v>
      </c>
      <c r="I7659">
        <v>0</v>
      </c>
      <c r="J7659" s="1">
        <v>33619249</v>
      </c>
      <c r="K7659">
        <v>0</v>
      </c>
    </row>
    <row r="7660" spans="1:11" x14ac:dyDescent="0.25">
      <c r="A7660" t="s">
        <v>326</v>
      </c>
      <c r="B7660" t="s">
        <v>586</v>
      </c>
      <c r="C7660" t="s">
        <v>873</v>
      </c>
      <c r="D7660" t="s">
        <v>11</v>
      </c>
      <c r="E7660">
        <v>26</v>
      </c>
      <c r="F7660" s="2">
        <f>DATE(2026,IF(Tabla1[[#This Row],[Mes de Fecha]]="Septiembre",9,10),Tabla1[[#This Row],[Día de Fecha]])</f>
        <v>46291</v>
      </c>
      <c r="G7660">
        <v>1004789966</v>
      </c>
      <c r="H7660" t="s">
        <v>506</v>
      </c>
      <c r="I7660">
        <v>127</v>
      </c>
      <c r="J7660">
        <v>0</v>
      </c>
      <c r="K7660" s="1">
        <v>7363664</v>
      </c>
    </row>
    <row r="7661" spans="1:11" x14ac:dyDescent="0.25">
      <c r="A7661" t="s">
        <v>326</v>
      </c>
      <c r="B7661" t="s">
        <v>586</v>
      </c>
      <c r="C7661" t="s">
        <v>873</v>
      </c>
      <c r="D7661" t="s">
        <v>11</v>
      </c>
      <c r="E7661">
        <v>26</v>
      </c>
      <c r="F7661" s="2">
        <f>DATE(2026,IF(Tabla1[[#This Row],[Mes de Fecha]]="Septiembre",9,10),Tabla1[[#This Row],[Día de Fecha]])</f>
        <v>46291</v>
      </c>
      <c r="G7661">
        <v>1005654398</v>
      </c>
      <c r="H7661" t="s">
        <v>494</v>
      </c>
      <c r="I7661">
        <v>124</v>
      </c>
      <c r="J7661">
        <v>0</v>
      </c>
      <c r="K7661" s="1">
        <v>8670089</v>
      </c>
    </row>
    <row r="7662" spans="1:11" x14ac:dyDescent="0.25">
      <c r="A7662" t="s">
        <v>326</v>
      </c>
      <c r="B7662" t="s">
        <v>586</v>
      </c>
      <c r="C7662" t="s">
        <v>873</v>
      </c>
      <c r="D7662" t="s">
        <v>11</v>
      </c>
      <c r="E7662">
        <v>26</v>
      </c>
      <c r="F7662" s="2">
        <f>DATE(2026,IF(Tabla1[[#This Row],[Mes de Fecha]]="Septiembre",9,10),Tabla1[[#This Row],[Día de Fecha]])</f>
        <v>46291</v>
      </c>
      <c r="G7662">
        <v>1088017254</v>
      </c>
      <c r="H7662" t="s">
        <v>504</v>
      </c>
      <c r="I7662">
        <v>121</v>
      </c>
      <c r="J7662">
        <v>0</v>
      </c>
      <c r="K7662" s="1">
        <v>8092734</v>
      </c>
    </row>
    <row r="7663" spans="1:11" x14ac:dyDescent="0.25">
      <c r="A7663" t="s">
        <v>326</v>
      </c>
      <c r="B7663" t="s">
        <v>586</v>
      </c>
      <c r="C7663" t="s">
        <v>873</v>
      </c>
      <c r="D7663" t="s">
        <v>11</v>
      </c>
      <c r="E7663">
        <v>26</v>
      </c>
      <c r="F7663" s="2">
        <f>DATE(2026,IF(Tabla1[[#This Row],[Mes de Fecha]]="Septiembre",9,10),Tabla1[[#This Row],[Día de Fecha]])</f>
        <v>46291</v>
      </c>
      <c r="G7663">
        <v>1088310787</v>
      </c>
      <c r="H7663" t="s">
        <v>588</v>
      </c>
      <c r="I7663">
        <v>42</v>
      </c>
      <c r="J7663">
        <v>0</v>
      </c>
      <c r="K7663" s="1">
        <v>2615506</v>
      </c>
    </row>
    <row r="7664" spans="1:11" x14ac:dyDescent="0.25">
      <c r="A7664" t="s">
        <v>326</v>
      </c>
      <c r="B7664" t="s">
        <v>586</v>
      </c>
      <c r="C7664" t="s">
        <v>873</v>
      </c>
      <c r="D7664" t="s">
        <v>11</v>
      </c>
      <c r="E7664">
        <v>26</v>
      </c>
      <c r="F7664" s="2">
        <f>DATE(2026,IF(Tabla1[[#This Row],[Mes de Fecha]]="Septiembre",9,10),Tabla1[[#This Row],[Día de Fecha]])</f>
        <v>46291</v>
      </c>
      <c r="G7664">
        <v>1105670101</v>
      </c>
      <c r="H7664" t="s">
        <v>550</v>
      </c>
      <c r="I7664">
        <v>40</v>
      </c>
      <c r="J7664">
        <v>0</v>
      </c>
      <c r="K7664" s="1">
        <v>2867689</v>
      </c>
    </row>
    <row r="7665" spans="1:11" x14ac:dyDescent="0.25">
      <c r="A7665" t="s">
        <v>326</v>
      </c>
      <c r="B7665" t="s">
        <v>586</v>
      </c>
      <c r="C7665" t="s">
        <v>873</v>
      </c>
      <c r="D7665" t="s">
        <v>11</v>
      </c>
      <c r="E7665">
        <v>27</v>
      </c>
      <c r="F7665" s="2">
        <f>DATE(2026,IF(Tabla1[[#This Row],[Mes de Fecha]]="Septiembre",9,10),Tabla1[[#This Row],[Día de Fecha]])</f>
        <v>46292</v>
      </c>
      <c r="I7665">
        <v>0</v>
      </c>
      <c r="J7665" s="1">
        <v>26633213</v>
      </c>
      <c r="K7665">
        <v>0</v>
      </c>
    </row>
    <row r="7666" spans="1:11" x14ac:dyDescent="0.25">
      <c r="A7666" t="s">
        <v>326</v>
      </c>
      <c r="B7666" t="s">
        <v>586</v>
      </c>
      <c r="C7666" t="s">
        <v>873</v>
      </c>
      <c r="D7666" t="s">
        <v>11</v>
      </c>
      <c r="E7666">
        <v>27</v>
      </c>
      <c r="F7666" s="2">
        <f>DATE(2026,IF(Tabla1[[#This Row],[Mes de Fecha]]="Septiembre",9,10),Tabla1[[#This Row],[Día de Fecha]])</f>
        <v>46292</v>
      </c>
      <c r="G7666">
        <v>1004789966</v>
      </c>
      <c r="H7666" t="s">
        <v>506</v>
      </c>
      <c r="I7666">
        <v>100</v>
      </c>
      <c r="J7666">
        <v>0</v>
      </c>
      <c r="K7666" s="1">
        <v>6262358</v>
      </c>
    </row>
    <row r="7667" spans="1:11" x14ac:dyDescent="0.25">
      <c r="A7667" t="s">
        <v>326</v>
      </c>
      <c r="B7667" t="s">
        <v>586</v>
      </c>
      <c r="C7667" t="s">
        <v>873</v>
      </c>
      <c r="D7667" t="s">
        <v>11</v>
      </c>
      <c r="E7667">
        <v>27</v>
      </c>
      <c r="F7667" s="2">
        <f>DATE(2026,IF(Tabla1[[#This Row],[Mes de Fecha]]="Septiembre",9,10),Tabla1[[#This Row],[Día de Fecha]])</f>
        <v>46292</v>
      </c>
      <c r="G7667">
        <v>1005654398</v>
      </c>
      <c r="H7667" t="s">
        <v>494</v>
      </c>
      <c r="I7667">
        <v>104</v>
      </c>
      <c r="J7667">
        <v>0</v>
      </c>
      <c r="K7667" s="1">
        <v>7089877</v>
      </c>
    </row>
    <row r="7668" spans="1:11" x14ac:dyDescent="0.25">
      <c r="A7668" t="s">
        <v>326</v>
      </c>
      <c r="B7668" t="s">
        <v>586</v>
      </c>
      <c r="C7668" t="s">
        <v>873</v>
      </c>
      <c r="D7668" t="s">
        <v>11</v>
      </c>
      <c r="E7668">
        <v>27</v>
      </c>
      <c r="F7668" s="2">
        <f>DATE(2026,IF(Tabla1[[#This Row],[Mes de Fecha]]="Septiembre",9,10),Tabla1[[#This Row],[Día de Fecha]])</f>
        <v>46292</v>
      </c>
      <c r="G7668">
        <v>1088017254</v>
      </c>
      <c r="H7668" t="s">
        <v>504</v>
      </c>
      <c r="I7668">
        <v>96</v>
      </c>
      <c r="J7668">
        <v>0</v>
      </c>
      <c r="K7668" s="1">
        <v>6789456</v>
      </c>
    </row>
    <row r="7669" spans="1:11" x14ac:dyDescent="0.25">
      <c r="A7669" t="s">
        <v>326</v>
      </c>
      <c r="B7669" t="s">
        <v>586</v>
      </c>
      <c r="C7669" t="s">
        <v>873</v>
      </c>
      <c r="D7669" t="s">
        <v>11</v>
      </c>
      <c r="E7669">
        <v>28</v>
      </c>
      <c r="F7669" s="2">
        <f>DATE(2026,IF(Tabla1[[#This Row],[Mes de Fecha]]="Septiembre",9,10),Tabla1[[#This Row],[Día de Fecha]])</f>
        <v>46293</v>
      </c>
      <c r="I7669">
        <v>0</v>
      </c>
      <c r="J7669" s="1">
        <v>14657826</v>
      </c>
      <c r="K7669">
        <v>0</v>
      </c>
    </row>
    <row r="7670" spans="1:11" x14ac:dyDescent="0.25">
      <c r="A7670" t="s">
        <v>326</v>
      </c>
      <c r="B7670" t="s">
        <v>586</v>
      </c>
      <c r="C7670" t="s">
        <v>873</v>
      </c>
      <c r="D7670" t="s">
        <v>11</v>
      </c>
      <c r="E7670">
        <v>28</v>
      </c>
      <c r="F7670" s="2">
        <f>DATE(2026,IF(Tabla1[[#This Row],[Mes de Fecha]]="Septiembre",9,10),Tabla1[[#This Row],[Día de Fecha]])</f>
        <v>46293</v>
      </c>
      <c r="G7670">
        <v>1004789966</v>
      </c>
      <c r="H7670" t="s">
        <v>506</v>
      </c>
      <c r="I7670">
        <v>47</v>
      </c>
      <c r="J7670">
        <v>0</v>
      </c>
      <c r="K7670" s="1">
        <v>3468028</v>
      </c>
    </row>
    <row r="7671" spans="1:11" x14ac:dyDescent="0.25">
      <c r="A7671" t="s">
        <v>326</v>
      </c>
      <c r="B7671" t="s">
        <v>586</v>
      </c>
      <c r="C7671" t="s">
        <v>873</v>
      </c>
      <c r="D7671" t="s">
        <v>11</v>
      </c>
      <c r="E7671">
        <v>28</v>
      </c>
      <c r="F7671" s="2">
        <f>DATE(2026,IF(Tabla1[[#This Row],[Mes de Fecha]]="Septiembre",9,10),Tabla1[[#This Row],[Día de Fecha]])</f>
        <v>46293</v>
      </c>
      <c r="G7671">
        <v>1005134195</v>
      </c>
      <c r="H7671" t="s">
        <v>497</v>
      </c>
      <c r="I7671">
        <v>-1</v>
      </c>
      <c r="J7671">
        <v>0</v>
      </c>
      <c r="K7671" s="1">
        <v>-92353</v>
      </c>
    </row>
    <row r="7672" spans="1:11" x14ac:dyDescent="0.25">
      <c r="A7672" t="s">
        <v>326</v>
      </c>
      <c r="B7672" t="s">
        <v>586</v>
      </c>
      <c r="C7672" t="s">
        <v>873</v>
      </c>
      <c r="D7672" t="s">
        <v>11</v>
      </c>
      <c r="E7672">
        <v>28</v>
      </c>
      <c r="F7672" s="2">
        <f>DATE(2026,IF(Tabla1[[#This Row],[Mes de Fecha]]="Septiembre",9,10),Tabla1[[#This Row],[Día de Fecha]])</f>
        <v>46293</v>
      </c>
      <c r="G7672">
        <v>1005654398</v>
      </c>
      <c r="H7672" t="s">
        <v>494</v>
      </c>
      <c r="I7672">
        <v>53</v>
      </c>
      <c r="J7672">
        <v>0</v>
      </c>
      <c r="K7672" s="1">
        <v>3674035</v>
      </c>
    </row>
    <row r="7673" spans="1:11" x14ac:dyDescent="0.25">
      <c r="A7673" t="s">
        <v>326</v>
      </c>
      <c r="B7673" t="s">
        <v>586</v>
      </c>
      <c r="C7673" t="s">
        <v>873</v>
      </c>
      <c r="D7673" t="s">
        <v>11</v>
      </c>
      <c r="E7673">
        <v>28</v>
      </c>
      <c r="F7673" s="2">
        <f>DATE(2026,IF(Tabla1[[#This Row],[Mes de Fecha]]="Septiembre",9,10),Tabla1[[#This Row],[Día de Fecha]])</f>
        <v>46293</v>
      </c>
      <c r="G7673">
        <v>1088017254</v>
      </c>
      <c r="H7673" t="s">
        <v>504</v>
      </c>
      <c r="I7673">
        <v>52</v>
      </c>
      <c r="J7673">
        <v>0</v>
      </c>
      <c r="K7673" s="1">
        <v>3497145</v>
      </c>
    </row>
    <row r="7674" spans="1:11" x14ac:dyDescent="0.25">
      <c r="A7674" t="s">
        <v>326</v>
      </c>
      <c r="B7674" t="s">
        <v>586</v>
      </c>
      <c r="C7674" t="s">
        <v>873</v>
      </c>
      <c r="D7674" t="s">
        <v>11</v>
      </c>
      <c r="E7674">
        <v>28</v>
      </c>
      <c r="F7674" s="2">
        <f>DATE(2026,IF(Tabla1[[#This Row],[Mes de Fecha]]="Septiembre",9,10),Tabla1[[#This Row],[Día de Fecha]])</f>
        <v>46293</v>
      </c>
      <c r="G7674">
        <v>1088017991</v>
      </c>
      <c r="H7674" t="s">
        <v>499</v>
      </c>
      <c r="I7674">
        <v>-1</v>
      </c>
      <c r="J7674">
        <v>0</v>
      </c>
      <c r="K7674" s="1">
        <v>-50336</v>
      </c>
    </row>
    <row r="7675" spans="1:11" x14ac:dyDescent="0.25">
      <c r="A7675" t="s">
        <v>326</v>
      </c>
      <c r="B7675" t="s">
        <v>586</v>
      </c>
      <c r="C7675" t="s">
        <v>873</v>
      </c>
      <c r="D7675" t="s">
        <v>11</v>
      </c>
      <c r="E7675">
        <v>28</v>
      </c>
      <c r="F7675" s="2">
        <f>DATE(2026,IF(Tabla1[[#This Row],[Mes de Fecha]]="Septiembre",9,10),Tabla1[[#This Row],[Día de Fecha]])</f>
        <v>46293</v>
      </c>
      <c r="G7675">
        <v>1105670101</v>
      </c>
      <c r="H7675" t="s">
        <v>550</v>
      </c>
      <c r="I7675">
        <v>34</v>
      </c>
      <c r="J7675">
        <v>0</v>
      </c>
      <c r="K7675" s="1">
        <v>2298952</v>
      </c>
    </row>
    <row r="7676" spans="1:11" x14ac:dyDescent="0.25">
      <c r="A7676" t="s">
        <v>326</v>
      </c>
      <c r="B7676" t="s">
        <v>586</v>
      </c>
      <c r="C7676" t="s">
        <v>873</v>
      </c>
      <c r="D7676" t="s">
        <v>11</v>
      </c>
      <c r="E7676">
        <v>29</v>
      </c>
      <c r="F7676" s="2">
        <f>DATE(2026,IF(Tabla1[[#This Row],[Mes de Fecha]]="Septiembre",9,10),Tabla1[[#This Row],[Día de Fecha]])</f>
        <v>46294</v>
      </c>
      <c r="I7676">
        <v>0</v>
      </c>
      <c r="J7676" s="1">
        <v>15657429</v>
      </c>
      <c r="K7676">
        <v>0</v>
      </c>
    </row>
    <row r="7677" spans="1:11" x14ac:dyDescent="0.25">
      <c r="A7677" t="s">
        <v>326</v>
      </c>
      <c r="B7677" t="s">
        <v>586</v>
      </c>
      <c r="C7677" t="s">
        <v>873</v>
      </c>
      <c r="D7677" t="s">
        <v>11</v>
      </c>
      <c r="E7677">
        <v>29</v>
      </c>
      <c r="F7677" s="2">
        <f>DATE(2026,IF(Tabla1[[#This Row],[Mes de Fecha]]="Septiembre",9,10),Tabla1[[#This Row],[Día de Fecha]])</f>
        <v>46294</v>
      </c>
      <c r="G7677">
        <v>1004789966</v>
      </c>
      <c r="H7677" t="s">
        <v>506</v>
      </c>
      <c r="I7677">
        <v>35</v>
      </c>
      <c r="J7677">
        <v>0</v>
      </c>
      <c r="K7677" s="1">
        <v>2842606</v>
      </c>
    </row>
    <row r="7678" spans="1:11" x14ac:dyDescent="0.25">
      <c r="A7678" t="s">
        <v>326</v>
      </c>
      <c r="B7678" t="s">
        <v>586</v>
      </c>
      <c r="C7678" t="s">
        <v>873</v>
      </c>
      <c r="D7678" t="s">
        <v>11</v>
      </c>
      <c r="E7678">
        <v>29</v>
      </c>
      <c r="F7678" s="2">
        <f>DATE(2026,IF(Tabla1[[#This Row],[Mes de Fecha]]="Septiembre",9,10),Tabla1[[#This Row],[Día de Fecha]])</f>
        <v>46294</v>
      </c>
      <c r="G7678">
        <v>1005654398</v>
      </c>
      <c r="H7678" t="s">
        <v>494</v>
      </c>
      <c r="I7678">
        <v>37</v>
      </c>
      <c r="J7678">
        <v>0</v>
      </c>
      <c r="K7678" s="1">
        <v>3455674</v>
      </c>
    </row>
    <row r="7679" spans="1:11" x14ac:dyDescent="0.25">
      <c r="A7679" t="s">
        <v>326</v>
      </c>
      <c r="B7679" t="s">
        <v>586</v>
      </c>
      <c r="C7679" t="s">
        <v>873</v>
      </c>
      <c r="D7679" t="s">
        <v>11</v>
      </c>
      <c r="E7679">
        <v>29</v>
      </c>
      <c r="F7679" s="2">
        <f>DATE(2026,IF(Tabla1[[#This Row],[Mes de Fecha]]="Septiembre",9,10),Tabla1[[#This Row],[Día de Fecha]])</f>
        <v>46294</v>
      </c>
      <c r="G7679">
        <v>1088017254</v>
      </c>
      <c r="H7679" t="s">
        <v>504</v>
      </c>
      <c r="I7679">
        <v>41</v>
      </c>
      <c r="J7679">
        <v>0</v>
      </c>
      <c r="K7679" s="1">
        <v>3377817</v>
      </c>
    </row>
    <row r="7680" spans="1:11" x14ac:dyDescent="0.25">
      <c r="A7680" t="s">
        <v>326</v>
      </c>
      <c r="B7680" t="s">
        <v>586</v>
      </c>
      <c r="C7680" t="s">
        <v>873</v>
      </c>
      <c r="D7680" t="s">
        <v>11</v>
      </c>
      <c r="E7680">
        <v>29</v>
      </c>
      <c r="F7680" s="2">
        <f>DATE(2026,IF(Tabla1[[#This Row],[Mes de Fecha]]="Septiembre",9,10),Tabla1[[#This Row],[Día de Fecha]])</f>
        <v>46294</v>
      </c>
      <c r="G7680">
        <v>1105670101</v>
      </c>
      <c r="H7680" t="s">
        <v>550</v>
      </c>
      <c r="I7680">
        <v>32</v>
      </c>
      <c r="J7680">
        <v>0</v>
      </c>
      <c r="K7680" s="1">
        <v>1906221</v>
      </c>
    </row>
    <row r="7681" spans="1:11" x14ac:dyDescent="0.25">
      <c r="A7681" t="s">
        <v>326</v>
      </c>
      <c r="B7681" t="s">
        <v>586</v>
      </c>
      <c r="C7681" t="s">
        <v>873</v>
      </c>
      <c r="D7681" t="s">
        <v>11</v>
      </c>
      <c r="E7681">
        <v>30</v>
      </c>
      <c r="F7681" s="2">
        <f>DATE(2026,IF(Tabla1[[#This Row],[Mes de Fecha]]="Septiembre",9,10),Tabla1[[#This Row],[Día de Fecha]])</f>
        <v>46295</v>
      </c>
      <c r="I7681">
        <v>0</v>
      </c>
      <c r="J7681" s="1">
        <v>16174402</v>
      </c>
      <c r="K7681">
        <v>0</v>
      </c>
    </row>
    <row r="7682" spans="1:11" x14ac:dyDescent="0.25">
      <c r="A7682" t="s">
        <v>326</v>
      </c>
      <c r="B7682" t="s">
        <v>586</v>
      </c>
      <c r="C7682" t="s">
        <v>873</v>
      </c>
      <c r="D7682" t="s">
        <v>11</v>
      </c>
      <c r="E7682">
        <v>30</v>
      </c>
      <c r="F7682" s="2">
        <f>DATE(2026,IF(Tabla1[[#This Row],[Mes de Fecha]]="Septiembre",9,10),Tabla1[[#This Row],[Día de Fecha]])</f>
        <v>46295</v>
      </c>
      <c r="G7682">
        <v>1004789966</v>
      </c>
      <c r="H7682" t="s">
        <v>506</v>
      </c>
      <c r="I7682">
        <v>88</v>
      </c>
      <c r="J7682">
        <v>0</v>
      </c>
      <c r="K7682" s="1">
        <v>8901390</v>
      </c>
    </row>
    <row r="7683" spans="1:11" x14ac:dyDescent="0.25">
      <c r="A7683" t="s">
        <v>326</v>
      </c>
      <c r="B7683" t="s">
        <v>586</v>
      </c>
      <c r="C7683" t="s">
        <v>873</v>
      </c>
      <c r="D7683" t="s">
        <v>11</v>
      </c>
      <c r="E7683">
        <v>30</v>
      </c>
      <c r="F7683" s="2">
        <f>DATE(2026,IF(Tabla1[[#This Row],[Mes de Fecha]]="Septiembre",9,10),Tabla1[[#This Row],[Día de Fecha]])</f>
        <v>46295</v>
      </c>
      <c r="G7683">
        <v>1005654398</v>
      </c>
      <c r="H7683" t="s">
        <v>494</v>
      </c>
      <c r="I7683">
        <v>107</v>
      </c>
      <c r="J7683">
        <v>0</v>
      </c>
      <c r="K7683" s="1">
        <v>8056346</v>
      </c>
    </row>
    <row r="7684" spans="1:11" x14ac:dyDescent="0.25">
      <c r="A7684" t="s">
        <v>326</v>
      </c>
      <c r="B7684" t="s">
        <v>586</v>
      </c>
      <c r="C7684" t="s">
        <v>873</v>
      </c>
      <c r="D7684" t="s">
        <v>11</v>
      </c>
      <c r="E7684">
        <v>30</v>
      </c>
      <c r="F7684" s="2">
        <f>DATE(2026,IF(Tabla1[[#This Row],[Mes de Fecha]]="Septiembre",9,10),Tabla1[[#This Row],[Día de Fecha]])</f>
        <v>46295</v>
      </c>
      <c r="G7684">
        <v>1088017254</v>
      </c>
      <c r="H7684" t="s">
        <v>504</v>
      </c>
      <c r="I7684">
        <v>73</v>
      </c>
      <c r="J7684">
        <v>0</v>
      </c>
      <c r="K7684" s="1">
        <v>6923953</v>
      </c>
    </row>
    <row r="7685" spans="1:11" x14ac:dyDescent="0.25">
      <c r="A7685" t="s">
        <v>326</v>
      </c>
      <c r="B7685" t="s">
        <v>586</v>
      </c>
      <c r="C7685" t="s">
        <v>873</v>
      </c>
      <c r="D7685" t="s">
        <v>11</v>
      </c>
      <c r="E7685">
        <v>30</v>
      </c>
      <c r="F7685" s="2">
        <f>DATE(2026,IF(Tabla1[[#This Row],[Mes de Fecha]]="Septiembre",9,10),Tabla1[[#This Row],[Día de Fecha]])</f>
        <v>46295</v>
      </c>
      <c r="G7685">
        <v>1088333564</v>
      </c>
      <c r="H7685" t="s">
        <v>543</v>
      </c>
      <c r="I7685">
        <v>-1</v>
      </c>
      <c r="J7685">
        <v>0</v>
      </c>
      <c r="K7685" s="1">
        <v>-25126</v>
      </c>
    </row>
    <row r="7686" spans="1:11" x14ac:dyDescent="0.25">
      <c r="A7686" t="s">
        <v>326</v>
      </c>
      <c r="B7686" t="s">
        <v>586</v>
      </c>
      <c r="C7686" t="s">
        <v>873</v>
      </c>
      <c r="D7686" t="s">
        <v>11</v>
      </c>
      <c r="E7686">
        <v>30</v>
      </c>
      <c r="F7686" s="2">
        <f>DATE(2026,IF(Tabla1[[#This Row],[Mes de Fecha]]="Septiembre",9,10),Tabla1[[#This Row],[Día de Fecha]])</f>
        <v>46295</v>
      </c>
      <c r="G7686">
        <v>1105670101</v>
      </c>
      <c r="H7686" t="s">
        <v>550</v>
      </c>
      <c r="I7686">
        <v>46</v>
      </c>
      <c r="J7686">
        <v>0</v>
      </c>
      <c r="K7686" s="1">
        <v>3342187</v>
      </c>
    </row>
    <row r="7687" spans="1:11" x14ac:dyDescent="0.25">
      <c r="A7687" t="s">
        <v>326</v>
      </c>
      <c r="B7687" t="s">
        <v>586</v>
      </c>
      <c r="C7687" t="s">
        <v>873</v>
      </c>
      <c r="D7687" t="s">
        <v>14</v>
      </c>
      <c r="E7687">
        <v>1</v>
      </c>
      <c r="F7687" s="2">
        <f>DATE(2026,IF(Tabla1[[#This Row],[Mes de Fecha]]="Septiembre",9,10),Tabla1[[#This Row],[Día de Fecha]])</f>
        <v>46296</v>
      </c>
      <c r="I7687">
        <v>0</v>
      </c>
      <c r="J7687" s="1">
        <v>17034558</v>
      </c>
      <c r="K7687">
        <v>0</v>
      </c>
    </row>
    <row r="7688" spans="1:11" x14ac:dyDescent="0.25">
      <c r="A7688" t="s">
        <v>326</v>
      </c>
      <c r="B7688" t="s">
        <v>586</v>
      </c>
      <c r="C7688" t="s">
        <v>873</v>
      </c>
      <c r="D7688" t="s">
        <v>14</v>
      </c>
      <c r="E7688">
        <v>1</v>
      </c>
      <c r="F7688" s="2">
        <f>DATE(2026,IF(Tabla1[[#This Row],[Mes de Fecha]]="Septiembre",9,10),Tabla1[[#This Row],[Día de Fecha]])</f>
        <v>46296</v>
      </c>
      <c r="G7688">
        <v>6300471</v>
      </c>
      <c r="H7688" t="s">
        <v>545</v>
      </c>
      <c r="I7688">
        <v>-1</v>
      </c>
      <c r="J7688">
        <v>0</v>
      </c>
      <c r="K7688" s="1">
        <v>-58781</v>
      </c>
    </row>
    <row r="7689" spans="1:11" x14ac:dyDescent="0.25">
      <c r="A7689" t="s">
        <v>326</v>
      </c>
      <c r="B7689" t="s">
        <v>586</v>
      </c>
      <c r="C7689" t="s">
        <v>873</v>
      </c>
      <c r="D7689" t="s">
        <v>14</v>
      </c>
      <c r="E7689">
        <v>1</v>
      </c>
      <c r="F7689" s="2">
        <f>DATE(2026,IF(Tabla1[[#This Row],[Mes de Fecha]]="Septiembre",9,10),Tabla1[[#This Row],[Día de Fecha]])</f>
        <v>46296</v>
      </c>
      <c r="G7689">
        <v>1004789966</v>
      </c>
      <c r="H7689" t="s">
        <v>506</v>
      </c>
      <c r="I7689">
        <v>78</v>
      </c>
      <c r="J7689">
        <v>0</v>
      </c>
      <c r="K7689" s="1">
        <v>5432103</v>
      </c>
    </row>
    <row r="7690" spans="1:11" x14ac:dyDescent="0.25">
      <c r="A7690" t="s">
        <v>326</v>
      </c>
      <c r="B7690" t="s">
        <v>586</v>
      </c>
      <c r="C7690" t="s">
        <v>873</v>
      </c>
      <c r="D7690" t="s">
        <v>14</v>
      </c>
      <c r="E7690">
        <v>1</v>
      </c>
      <c r="F7690" s="2">
        <f>DATE(2026,IF(Tabla1[[#This Row],[Mes de Fecha]]="Septiembre",9,10),Tabla1[[#This Row],[Día de Fecha]])</f>
        <v>46296</v>
      </c>
      <c r="G7690">
        <v>1005654398</v>
      </c>
      <c r="H7690" t="s">
        <v>494</v>
      </c>
      <c r="I7690">
        <v>101</v>
      </c>
      <c r="J7690">
        <v>0</v>
      </c>
      <c r="K7690" s="1">
        <v>6501433</v>
      </c>
    </row>
    <row r="7691" spans="1:11" x14ac:dyDescent="0.25">
      <c r="A7691" t="s">
        <v>326</v>
      </c>
      <c r="B7691" t="s">
        <v>586</v>
      </c>
      <c r="C7691" t="s">
        <v>873</v>
      </c>
      <c r="D7691" t="s">
        <v>14</v>
      </c>
      <c r="E7691">
        <v>1</v>
      </c>
      <c r="F7691" s="2">
        <f>DATE(2026,IF(Tabla1[[#This Row],[Mes de Fecha]]="Septiembre",9,10),Tabla1[[#This Row],[Día de Fecha]])</f>
        <v>46296</v>
      </c>
      <c r="G7691">
        <v>1088017254</v>
      </c>
      <c r="H7691" t="s">
        <v>504</v>
      </c>
      <c r="I7691">
        <v>71</v>
      </c>
      <c r="J7691">
        <v>0</v>
      </c>
      <c r="K7691" s="1">
        <v>5428742</v>
      </c>
    </row>
    <row r="7692" spans="1:11" x14ac:dyDescent="0.25">
      <c r="A7692" t="s">
        <v>326</v>
      </c>
      <c r="B7692" t="s">
        <v>586</v>
      </c>
      <c r="C7692" t="s">
        <v>873</v>
      </c>
      <c r="D7692" t="s">
        <v>14</v>
      </c>
      <c r="E7692">
        <v>1</v>
      </c>
      <c r="F7692" s="2">
        <f>DATE(2026,IF(Tabla1[[#This Row],[Mes de Fecha]]="Septiembre",9,10),Tabla1[[#This Row],[Día de Fecha]])</f>
        <v>46296</v>
      </c>
      <c r="G7692">
        <v>1105670101</v>
      </c>
      <c r="H7692" t="s">
        <v>550</v>
      </c>
      <c r="I7692">
        <v>37</v>
      </c>
      <c r="J7692">
        <v>0</v>
      </c>
      <c r="K7692" s="1">
        <v>2493869</v>
      </c>
    </row>
    <row r="7693" spans="1:11" x14ac:dyDescent="0.25">
      <c r="A7693" t="s">
        <v>326</v>
      </c>
      <c r="B7693" t="s">
        <v>586</v>
      </c>
      <c r="C7693" t="s">
        <v>873</v>
      </c>
      <c r="D7693" t="s">
        <v>14</v>
      </c>
      <c r="E7693">
        <v>1</v>
      </c>
      <c r="F7693" s="2">
        <f>DATE(2026,IF(Tabla1[[#This Row],[Mes de Fecha]]="Septiembre",9,10),Tabla1[[#This Row],[Día de Fecha]])</f>
        <v>46296</v>
      </c>
      <c r="G7693">
        <v>1140064596</v>
      </c>
      <c r="H7693" t="s">
        <v>589</v>
      </c>
      <c r="I7693">
        <v>10</v>
      </c>
      <c r="J7693">
        <v>0</v>
      </c>
      <c r="K7693" s="1">
        <v>596220</v>
      </c>
    </row>
    <row r="7694" spans="1:11" x14ac:dyDescent="0.25">
      <c r="A7694" t="s">
        <v>326</v>
      </c>
      <c r="B7694" t="s">
        <v>586</v>
      </c>
      <c r="C7694" t="s">
        <v>873</v>
      </c>
      <c r="D7694" t="s">
        <v>14</v>
      </c>
      <c r="E7694">
        <v>2</v>
      </c>
      <c r="F7694" s="2">
        <f>DATE(2026,IF(Tabla1[[#This Row],[Mes de Fecha]]="Septiembre",9,10),Tabla1[[#This Row],[Día de Fecha]])</f>
        <v>46297</v>
      </c>
      <c r="I7694">
        <v>0</v>
      </c>
      <c r="J7694" s="1">
        <v>19570581</v>
      </c>
      <c r="K7694">
        <v>0</v>
      </c>
    </row>
    <row r="7695" spans="1:11" x14ac:dyDescent="0.25">
      <c r="A7695" t="s">
        <v>326</v>
      </c>
      <c r="B7695" t="s">
        <v>586</v>
      </c>
      <c r="C7695" t="s">
        <v>873</v>
      </c>
      <c r="D7695" t="s">
        <v>14</v>
      </c>
      <c r="E7695">
        <v>2</v>
      </c>
      <c r="F7695" s="2">
        <f>DATE(2026,IF(Tabla1[[#This Row],[Mes de Fecha]]="Septiembre",9,10),Tabla1[[#This Row],[Día de Fecha]])</f>
        <v>46297</v>
      </c>
      <c r="G7695">
        <v>1004789966</v>
      </c>
      <c r="H7695" t="s">
        <v>506</v>
      </c>
      <c r="I7695">
        <v>47</v>
      </c>
      <c r="J7695">
        <v>0</v>
      </c>
      <c r="K7695" s="1">
        <v>3203572</v>
      </c>
    </row>
    <row r="7696" spans="1:11" x14ac:dyDescent="0.25">
      <c r="A7696" t="s">
        <v>326</v>
      </c>
      <c r="B7696" t="s">
        <v>586</v>
      </c>
      <c r="C7696" t="s">
        <v>873</v>
      </c>
      <c r="D7696" t="s">
        <v>14</v>
      </c>
      <c r="E7696">
        <v>2</v>
      </c>
      <c r="F7696" s="2">
        <f>DATE(2026,IF(Tabla1[[#This Row],[Mes de Fecha]]="Septiembre",9,10),Tabla1[[#This Row],[Día de Fecha]])</f>
        <v>46297</v>
      </c>
      <c r="G7696">
        <v>1005654398</v>
      </c>
      <c r="H7696" t="s">
        <v>494</v>
      </c>
      <c r="I7696">
        <v>109</v>
      </c>
      <c r="J7696">
        <v>0</v>
      </c>
      <c r="K7696" s="1">
        <v>7563617</v>
      </c>
    </row>
    <row r="7697" spans="1:11" x14ac:dyDescent="0.25">
      <c r="A7697" t="s">
        <v>326</v>
      </c>
      <c r="B7697" t="s">
        <v>586</v>
      </c>
      <c r="C7697" t="s">
        <v>873</v>
      </c>
      <c r="D7697" t="s">
        <v>14</v>
      </c>
      <c r="E7697">
        <v>2</v>
      </c>
      <c r="F7697" s="2">
        <f>DATE(2026,IF(Tabla1[[#This Row],[Mes de Fecha]]="Septiembre",9,10),Tabla1[[#This Row],[Día de Fecha]])</f>
        <v>46297</v>
      </c>
      <c r="G7697">
        <v>1088017254</v>
      </c>
      <c r="H7697" t="s">
        <v>504</v>
      </c>
      <c r="I7697">
        <v>78</v>
      </c>
      <c r="J7697">
        <v>0</v>
      </c>
      <c r="K7697" s="1">
        <v>4953744</v>
      </c>
    </row>
    <row r="7698" spans="1:11" x14ac:dyDescent="0.25">
      <c r="A7698" t="s">
        <v>326</v>
      </c>
      <c r="B7698" t="s">
        <v>586</v>
      </c>
      <c r="C7698" t="s">
        <v>873</v>
      </c>
      <c r="D7698" t="s">
        <v>14</v>
      </c>
      <c r="E7698">
        <v>2</v>
      </c>
      <c r="F7698" s="2">
        <f>DATE(2026,IF(Tabla1[[#This Row],[Mes de Fecha]]="Septiembre",9,10),Tabla1[[#This Row],[Día de Fecha]])</f>
        <v>46297</v>
      </c>
      <c r="G7698">
        <v>1088310787</v>
      </c>
      <c r="H7698" t="s">
        <v>588</v>
      </c>
      <c r="I7698">
        <v>-1</v>
      </c>
      <c r="J7698">
        <v>0</v>
      </c>
      <c r="K7698" s="1">
        <v>-75588</v>
      </c>
    </row>
    <row r="7699" spans="1:11" x14ac:dyDescent="0.25">
      <c r="A7699" t="s">
        <v>326</v>
      </c>
      <c r="B7699" t="s">
        <v>586</v>
      </c>
      <c r="C7699" t="s">
        <v>873</v>
      </c>
      <c r="D7699" t="s">
        <v>14</v>
      </c>
      <c r="E7699">
        <v>2</v>
      </c>
      <c r="F7699" s="2">
        <f>DATE(2026,IF(Tabla1[[#This Row],[Mes de Fecha]]="Septiembre",9,10),Tabla1[[#This Row],[Día de Fecha]])</f>
        <v>46297</v>
      </c>
      <c r="G7699">
        <v>1105670101</v>
      </c>
      <c r="H7699" t="s">
        <v>550</v>
      </c>
      <c r="I7699">
        <v>18</v>
      </c>
      <c r="J7699">
        <v>0</v>
      </c>
      <c r="K7699" s="1">
        <v>1234494</v>
      </c>
    </row>
    <row r="7700" spans="1:11" x14ac:dyDescent="0.25">
      <c r="A7700" t="s">
        <v>326</v>
      </c>
      <c r="B7700" t="s">
        <v>586</v>
      </c>
      <c r="C7700" t="s">
        <v>873</v>
      </c>
      <c r="D7700" t="s">
        <v>14</v>
      </c>
      <c r="E7700">
        <v>2</v>
      </c>
      <c r="F7700" s="2">
        <f>DATE(2026,IF(Tabla1[[#This Row],[Mes de Fecha]]="Septiembre",9,10),Tabla1[[#This Row],[Día de Fecha]])</f>
        <v>46297</v>
      </c>
      <c r="G7700">
        <v>1140064596</v>
      </c>
      <c r="H7700" t="s">
        <v>589</v>
      </c>
      <c r="I7700">
        <v>18</v>
      </c>
      <c r="J7700">
        <v>0</v>
      </c>
      <c r="K7700" s="1">
        <v>1104245</v>
      </c>
    </row>
    <row r="7701" spans="1:11" x14ac:dyDescent="0.25">
      <c r="A7701" t="s">
        <v>326</v>
      </c>
      <c r="B7701" t="s">
        <v>586</v>
      </c>
      <c r="C7701" t="s">
        <v>873</v>
      </c>
      <c r="D7701" t="s">
        <v>14</v>
      </c>
      <c r="E7701">
        <v>3</v>
      </c>
      <c r="F7701" s="2">
        <f>DATE(2026,IF(Tabla1[[#This Row],[Mes de Fecha]]="Septiembre",9,10),Tabla1[[#This Row],[Día de Fecha]])</f>
        <v>46298</v>
      </c>
      <c r="I7701">
        <v>0</v>
      </c>
      <c r="J7701" s="1">
        <v>21952444</v>
      </c>
      <c r="K7701">
        <v>0</v>
      </c>
    </row>
    <row r="7702" spans="1:11" x14ac:dyDescent="0.25">
      <c r="A7702" t="s">
        <v>326</v>
      </c>
      <c r="B7702" t="s">
        <v>586</v>
      </c>
      <c r="C7702" t="s">
        <v>873</v>
      </c>
      <c r="D7702" t="s">
        <v>14</v>
      </c>
      <c r="E7702">
        <v>3</v>
      </c>
      <c r="F7702" s="2">
        <f>DATE(2026,IF(Tabla1[[#This Row],[Mes de Fecha]]="Septiembre",9,10),Tabla1[[#This Row],[Día de Fecha]])</f>
        <v>46298</v>
      </c>
      <c r="G7702">
        <v>1004789966</v>
      </c>
      <c r="H7702" t="s">
        <v>506</v>
      </c>
      <c r="I7702">
        <v>149</v>
      </c>
      <c r="J7702">
        <v>0</v>
      </c>
      <c r="K7702" s="1">
        <v>8649690</v>
      </c>
    </row>
    <row r="7703" spans="1:11" x14ac:dyDescent="0.25">
      <c r="A7703" t="s">
        <v>326</v>
      </c>
      <c r="B7703" t="s">
        <v>586</v>
      </c>
      <c r="C7703" t="s">
        <v>873</v>
      </c>
      <c r="D7703" t="s">
        <v>14</v>
      </c>
      <c r="E7703">
        <v>3</v>
      </c>
      <c r="F7703" s="2">
        <f>DATE(2026,IF(Tabla1[[#This Row],[Mes de Fecha]]="Septiembre",9,10),Tabla1[[#This Row],[Día de Fecha]])</f>
        <v>46298</v>
      </c>
      <c r="G7703">
        <v>1005654398</v>
      </c>
      <c r="H7703" t="s">
        <v>494</v>
      </c>
      <c r="I7703">
        <v>139</v>
      </c>
      <c r="J7703">
        <v>0</v>
      </c>
      <c r="K7703" s="1">
        <v>9015843</v>
      </c>
    </row>
    <row r="7704" spans="1:11" x14ac:dyDescent="0.25">
      <c r="A7704" t="s">
        <v>326</v>
      </c>
      <c r="B7704" t="s">
        <v>586</v>
      </c>
      <c r="C7704" t="s">
        <v>873</v>
      </c>
      <c r="D7704" t="s">
        <v>14</v>
      </c>
      <c r="E7704">
        <v>3</v>
      </c>
      <c r="F7704" s="2">
        <f>DATE(2026,IF(Tabla1[[#This Row],[Mes de Fecha]]="Septiembre",9,10),Tabla1[[#This Row],[Día de Fecha]])</f>
        <v>46298</v>
      </c>
      <c r="G7704">
        <v>1088017254</v>
      </c>
      <c r="H7704" t="s">
        <v>504</v>
      </c>
      <c r="I7704">
        <v>128</v>
      </c>
      <c r="J7704">
        <v>0</v>
      </c>
      <c r="K7704" s="1">
        <v>8226022</v>
      </c>
    </row>
    <row r="7705" spans="1:11" x14ac:dyDescent="0.25">
      <c r="A7705" t="s">
        <v>326</v>
      </c>
      <c r="B7705" t="s">
        <v>586</v>
      </c>
      <c r="C7705" t="s">
        <v>873</v>
      </c>
      <c r="D7705" t="s">
        <v>14</v>
      </c>
      <c r="E7705">
        <v>3</v>
      </c>
      <c r="F7705" s="2">
        <f>DATE(2026,IF(Tabla1[[#This Row],[Mes de Fecha]]="Septiembre",9,10),Tabla1[[#This Row],[Día de Fecha]])</f>
        <v>46298</v>
      </c>
      <c r="G7705">
        <v>1089598192</v>
      </c>
      <c r="H7705" t="s">
        <v>498</v>
      </c>
      <c r="I7705">
        <v>-1</v>
      </c>
      <c r="J7705">
        <v>0</v>
      </c>
      <c r="K7705" s="1">
        <v>-151177</v>
      </c>
    </row>
    <row r="7706" spans="1:11" x14ac:dyDescent="0.25">
      <c r="A7706" t="s">
        <v>326</v>
      </c>
      <c r="B7706" t="s">
        <v>586</v>
      </c>
      <c r="C7706" t="s">
        <v>873</v>
      </c>
      <c r="D7706" t="s">
        <v>14</v>
      </c>
      <c r="E7706">
        <v>3</v>
      </c>
      <c r="F7706" s="2">
        <f>DATE(2026,IF(Tabla1[[#This Row],[Mes de Fecha]]="Septiembre",9,10),Tabla1[[#This Row],[Día de Fecha]])</f>
        <v>46298</v>
      </c>
      <c r="G7706">
        <v>1105670101</v>
      </c>
      <c r="H7706" t="s">
        <v>550</v>
      </c>
      <c r="I7706">
        <v>12</v>
      </c>
      <c r="J7706">
        <v>0</v>
      </c>
      <c r="K7706" s="1">
        <v>1054033</v>
      </c>
    </row>
    <row r="7707" spans="1:11" x14ac:dyDescent="0.25">
      <c r="A7707" t="s">
        <v>326</v>
      </c>
      <c r="B7707" t="s">
        <v>586</v>
      </c>
      <c r="C7707" t="s">
        <v>873</v>
      </c>
      <c r="D7707" t="s">
        <v>14</v>
      </c>
      <c r="E7707">
        <v>3</v>
      </c>
      <c r="F7707" s="2">
        <f>DATE(2026,IF(Tabla1[[#This Row],[Mes de Fecha]]="Septiembre",9,10),Tabla1[[#This Row],[Día de Fecha]])</f>
        <v>46298</v>
      </c>
      <c r="G7707">
        <v>1112620904</v>
      </c>
      <c r="H7707" t="s">
        <v>548</v>
      </c>
      <c r="I7707">
        <v>-1</v>
      </c>
      <c r="J7707">
        <v>0</v>
      </c>
      <c r="K7707" s="1">
        <v>-75588</v>
      </c>
    </row>
    <row r="7708" spans="1:11" x14ac:dyDescent="0.25">
      <c r="A7708" t="s">
        <v>326</v>
      </c>
      <c r="B7708" t="s">
        <v>586</v>
      </c>
      <c r="C7708" t="s">
        <v>873</v>
      </c>
      <c r="D7708" t="s">
        <v>14</v>
      </c>
      <c r="E7708">
        <v>3</v>
      </c>
      <c r="F7708" s="2">
        <f>DATE(2026,IF(Tabla1[[#This Row],[Mes de Fecha]]="Septiembre",9,10),Tabla1[[#This Row],[Día de Fecha]])</f>
        <v>46298</v>
      </c>
      <c r="G7708">
        <v>1140064596</v>
      </c>
      <c r="H7708" t="s">
        <v>589</v>
      </c>
      <c r="I7708">
        <v>19</v>
      </c>
      <c r="J7708">
        <v>0</v>
      </c>
      <c r="K7708" s="1">
        <v>1169556</v>
      </c>
    </row>
    <row r="7709" spans="1:11" x14ac:dyDescent="0.25">
      <c r="A7709" t="s">
        <v>326</v>
      </c>
      <c r="B7709" t="s">
        <v>586</v>
      </c>
      <c r="C7709" t="s">
        <v>873</v>
      </c>
      <c r="D7709" t="s">
        <v>14</v>
      </c>
      <c r="E7709">
        <v>4</v>
      </c>
      <c r="F7709" s="2">
        <f>DATE(2026,IF(Tabla1[[#This Row],[Mes de Fecha]]="Septiembre",9,10),Tabla1[[#This Row],[Día de Fecha]])</f>
        <v>46299</v>
      </c>
      <c r="I7709">
        <v>0</v>
      </c>
      <c r="J7709" s="1">
        <v>14321547</v>
      </c>
      <c r="K7709">
        <v>0</v>
      </c>
    </row>
    <row r="7710" spans="1:11" x14ac:dyDescent="0.25">
      <c r="A7710" t="s">
        <v>326</v>
      </c>
      <c r="B7710" t="s">
        <v>586</v>
      </c>
      <c r="C7710" t="s">
        <v>873</v>
      </c>
      <c r="D7710" t="s">
        <v>14</v>
      </c>
      <c r="E7710">
        <v>4</v>
      </c>
      <c r="F7710" s="2">
        <f>DATE(2026,IF(Tabla1[[#This Row],[Mes de Fecha]]="Septiembre",9,10),Tabla1[[#This Row],[Día de Fecha]])</f>
        <v>46299</v>
      </c>
      <c r="G7710">
        <v>1004789966</v>
      </c>
      <c r="H7710" t="s">
        <v>506</v>
      </c>
      <c r="I7710">
        <v>48</v>
      </c>
      <c r="J7710">
        <v>0</v>
      </c>
      <c r="K7710" s="1">
        <v>3472229</v>
      </c>
    </row>
    <row r="7711" spans="1:11" x14ac:dyDescent="0.25">
      <c r="A7711" t="s">
        <v>326</v>
      </c>
      <c r="B7711" t="s">
        <v>586</v>
      </c>
      <c r="C7711" t="s">
        <v>873</v>
      </c>
      <c r="D7711" t="s">
        <v>14</v>
      </c>
      <c r="E7711">
        <v>4</v>
      </c>
      <c r="F7711" s="2">
        <f>DATE(2026,IF(Tabla1[[#This Row],[Mes de Fecha]]="Septiembre",9,10),Tabla1[[#This Row],[Día de Fecha]])</f>
        <v>46299</v>
      </c>
      <c r="G7711">
        <v>1005654398</v>
      </c>
      <c r="H7711" t="s">
        <v>494</v>
      </c>
      <c r="I7711">
        <v>65</v>
      </c>
      <c r="J7711">
        <v>0</v>
      </c>
      <c r="K7711" s="1">
        <v>4049709</v>
      </c>
    </row>
    <row r="7712" spans="1:11" x14ac:dyDescent="0.25">
      <c r="A7712" t="s">
        <v>326</v>
      </c>
      <c r="B7712" t="s">
        <v>586</v>
      </c>
      <c r="C7712" t="s">
        <v>873</v>
      </c>
      <c r="D7712" t="s">
        <v>14</v>
      </c>
      <c r="E7712">
        <v>4</v>
      </c>
      <c r="F7712" s="2">
        <f>DATE(2026,IF(Tabla1[[#This Row],[Mes de Fecha]]="Septiembre",9,10),Tabla1[[#This Row],[Día de Fecha]])</f>
        <v>46299</v>
      </c>
      <c r="G7712">
        <v>1006535971</v>
      </c>
      <c r="H7712" t="s">
        <v>542</v>
      </c>
      <c r="I7712">
        <v>-1</v>
      </c>
      <c r="J7712">
        <v>0</v>
      </c>
      <c r="K7712" s="1">
        <v>-50378</v>
      </c>
    </row>
    <row r="7713" spans="1:11" x14ac:dyDescent="0.25">
      <c r="A7713" t="s">
        <v>326</v>
      </c>
      <c r="B7713" t="s">
        <v>586</v>
      </c>
      <c r="C7713" t="s">
        <v>873</v>
      </c>
      <c r="D7713" t="s">
        <v>14</v>
      </c>
      <c r="E7713">
        <v>4</v>
      </c>
      <c r="F7713" s="2">
        <f>DATE(2026,IF(Tabla1[[#This Row],[Mes de Fecha]]="Septiembre",9,10),Tabla1[[#This Row],[Día de Fecha]])</f>
        <v>46299</v>
      </c>
      <c r="G7713">
        <v>1088017254</v>
      </c>
      <c r="H7713" t="s">
        <v>504</v>
      </c>
      <c r="I7713">
        <v>69</v>
      </c>
      <c r="J7713">
        <v>0</v>
      </c>
      <c r="K7713" s="1">
        <v>4511599</v>
      </c>
    </row>
    <row r="7714" spans="1:11" x14ac:dyDescent="0.25">
      <c r="A7714" t="s">
        <v>326</v>
      </c>
      <c r="B7714" t="s">
        <v>586</v>
      </c>
      <c r="C7714" t="s">
        <v>873</v>
      </c>
      <c r="D7714" t="s">
        <v>14</v>
      </c>
      <c r="E7714">
        <v>4</v>
      </c>
      <c r="F7714" s="2">
        <f>DATE(2026,IF(Tabla1[[#This Row],[Mes de Fecha]]="Septiembre",9,10),Tabla1[[#This Row],[Día de Fecha]])</f>
        <v>46299</v>
      </c>
      <c r="G7714">
        <v>1105670101</v>
      </c>
      <c r="H7714" t="s">
        <v>550</v>
      </c>
      <c r="I7714">
        <v>20</v>
      </c>
      <c r="J7714">
        <v>0</v>
      </c>
      <c r="K7714" s="1">
        <v>1053700</v>
      </c>
    </row>
    <row r="7715" spans="1:11" x14ac:dyDescent="0.25">
      <c r="A7715" t="s">
        <v>326</v>
      </c>
      <c r="B7715" t="s">
        <v>586</v>
      </c>
      <c r="C7715" t="s">
        <v>873</v>
      </c>
      <c r="D7715" t="s">
        <v>14</v>
      </c>
      <c r="E7715">
        <v>4</v>
      </c>
      <c r="F7715" s="2">
        <f>DATE(2026,IF(Tabla1[[#This Row],[Mes de Fecha]]="Septiembre",9,10),Tabla1[[#This Row],[Día de Fecha]])</f>
        <v>46299</v>
      </c>
      <c r="G7715">
        <v>1140064596</v>
      </c>
      <c r="H7715" t="s">
        <v>589</v>
      </c>
      <c r="I7715">
        <v>13</v>
      </c>
      <c r="J7715">
        <v>0</v>
      </c>
      <c r="K7715" s="1">
        <v>581347</v>
      </c>
    </row>
    <row r="7716" spans="1:11" x14ac:dyDescent="0.25">
      <c r="A7716" t="s">
        <v>326</v>
      </c>
      <c r="B7716" t="s">
        <v>586</v>
      </c>
      <c r="C7716" t="s">
        <v>873</v>
      </c>
      <c r="D7716" t="s">
        <v>14</v>
      </c>
      <c r="E7716">
        <v>5</v>
      </c>
      <c r="F7716" s="2">
        <f>DATE(2026,IF(Tabla1[[#This Row],[Mes de Fecha]]="Septiembre",9,10),Tabla1[[#This Row],[Día de Fecha]])</f>
        <v>46300</v>
      </c>
      <c r="I7716">
        <v>0</v>
      </c>
      <c r="J7716" s="1">
        <v>12095883</v>
      </c>
      <c r="K7716">
        <v>0</v>
      </c>
    </row>
    <row r="7717" spans="1:11" x14ac:dyDescent="0.25">
      <c r="A7717" t="s">
        <v>326</v>
      </c>
      <c r="B7717" t="s">
        <v>586</v>
      </c>
      <c r="C7717" t="s">
        <v>873</v>
      </c>
      <c r="D7717" t="s">
        <v>14</v>
      </c>
      <c r="E7717">
        <v>5</v>
      </c>
      <c r="F7717" s="2">
        <f>DATE(2026,IF(Tabla1[[#This Row],[Mes de Fecha]]="Septiembre",9,10),Tabla1[[#This Row],[Día de Fecha]])</f>
        <v>46300</v>
      </c>
      <c r="G7717">
        <v>6300471</v>
      </c>
      <c r="H7717" t="s">
        <v>545</v>
      </c>
      <c r="I7717">
        <v>-1</v>
      </c>
      <c r="J7717">
        <v>0</v>
      </c>
      <c r="K7717" s="1">
        <v>-33529</v>
      </c>
    </row>
    <row r="7718" spans="1:11" x14ac:dyDescent="0.25">
      <c r="A7718" t="s">
        <v>326</v>
      </c>
      <c r="B7718" t="s">
        <v>586</v>
      </c>
      <c r="C7718" t="s">
        <v>873</v>
      </c>
      <c r="D7718" t="s">
        <v>14</v>
      </c>
      <c r="E7718">
        <v>5</v>
      </c>
      <c r="F7718" s="2">
        <f>DATE(2026,IF(Tabla1[[#This Row],[Mes de Fecha]]="Septiembre",9,10),Tabla1[[#This Row],[Día de Fecha]])</f>
        <v>46300</v>
      </c>
      <c r="G7718">
        <v>1004789966</v>
      </c>
      <c r="H7718" t="s">
        <v>506</v>
      </c>
      <c r="I7718">
        <v>0</v>
      </c>
      <c r="J7718">
        <v>0</v>
      </c>
      <c r="K7718" s="1">
        <v>12604</v>
      </c>
    </row>
    <row r="7719" spans="1:11" x14ac:dyDescent="0.25">
      <c r="A7719" t="s">
        <v>326</v>
      </c>
      <c r="B7719" t="s">
        <v>586</v>
      </c>
      <c r="C7719" t="s">
        <v>873</v>
      </c>
      <c r="D7719" t="s">
        <v>14</v>
      </c>
      <c r="E7719">
        <v>5</v>
      </c>
      <c r="F7719" s="2">
        <f>DATE(2026,IF(Tabla1[[#This Row],[Mes de Fecha]]="Septiembre",9,10),Tabla1[[#This Row],[Día de Fecha]])</f>
        <v>46300</v>
      </c>
      <c r="G7719">
        <v>1005654398</v>
      </c>
      <c r="H7719" t="s">
        <v>494</v>
      </c>
      <c r="I7719">
        <v>87</v>
      </c>
      <c r="J7719">
        <v>0</v>
      </c>
      <c r="K7719" s="1">
        <v>5763822</v>
      </c>
    </row>
    <row r="7720" spans="1:11" x14ac:dyDescent="0.25">
      <c r="A7720" t="s">
        <v>326</v>
      </c>
      <c r="B7720" t="s">
        <v>586</v>
      </c>
      <c r="C7720" t="s">
        <v>873</v>
      </c>
      <c r="D7720" t="s">
        <v>14</v>
      </c>
      <c r="E7720">
        <v>5</v>
      </c>
      <c r="F7720" s="2">
        <f>DATE(2026,IF(Tabla1[[#This Row],[Mes de Fecha]]="Septiembre",9,10),Tabla1[[#This Row],[Día de Fecha]])</f>
        <v>46300</v>
      </c>
      <c r="G7720">
        <v>1088017254</v>
      </c>
      <c r="H7720" t="s">
        <v>504</v>
      </c>
      <c r="I7720">
        <v>86</v>
      </c>
      <c r="J7720">
        <v>0</v>
      </c>
      <c r="K7720" s="1">
        <v>6027063</v>
      </c>
    </row>
    <row r="7721" spans="1:11" x14ac:dyDescent="0.25">
      <c r="A7721" t="s">
        <v>326</v>
      </c>
      <c r="B7721" t="s">
        <v>586</v>
      </c>
      <c r="C7721" t="s">
        <v>873</v>
      </c>
      <c r="D7721" t="s">
        <v>14</v>
      </c>
      <c r="E7721">
        <v>5</v>
      </c>
      <c r="F7721" s="2">
        <f>DATE(2026,IF(Tabla1[[#This Row],[Mes de Fecha]]="Septiembre",9,10),Tabla1[[#This Row],[Día de Fecha]])</f>
        <v>46300</v>
      </c>
      <c r="G7721">
        <v>1105670101</v>
      </c>
      <c r="H7721" t="s">
        <v>550</v>
      </c>
      <c r="I7721">
        <v>44</v>
      </c>
      <c r="J7721">
        <v>0</v>
      </c>
      <c r="K7721" s="1">
        <v>2676469</v>
      </c>
    </row>
    <row r="7722" spans="1:11" x14ac:dyDescent="0.25">
      <c r="A7722" t="s">
        <v>326</v>
      </c>
      <c r="B7722" t="s">
        <v>586</v>
      </c>
      <c r="C7722" t="s">
        <v>873</v>
      </c>
      <c r="D7722" t="s">
        <v>14</v>
      </c>
      <c r="E7722">
        <v>5</v>
      </c>
      <c r="F7722" s="2">
        <f>DATE(2026,IF(Tabla1[[#This Row],[Mes de Fecha]]="Septiembre",9,10),Tabla1[[#This Row],[Día de Fecha]])</f>
        <v>46300</v>
      </c>
      <c r="G7722">
        <v>1112620904</v>
      </c>
      <c r="H7722" t="s">
        <v>548</v>
      </c>
      <c r="I7722">
        <v>-1</v>
      </c>
      <c r="J7722">
        <v>0</v>
      </c>
      <c r="K7722" s="1">
        <v>-30219</v>
      </c>
    </row>
    <row r="7723" spans="1:11" x14ac:dyDescent="0.25">
      <c r="A7723" t="s">
        <v>326</v>
      </c>
      <c r="B7723" t="s">
        <v>586</v>
      </c>
      <c r="C7723" t="s">
        <v>873</v>
      </c>
      <c r="D7723" t="s">
        <v>14</v>
      </c>
      <c r="E7723">
        <v>5</v>
      </c>
      <c r="F7723" s="2">
        <f>DATE(2026,IF(Tabla1[[#This Row],[Mes de Fecha]]="Septiembre",9,10),Tabla1[[#This Row],[Día de Fecha]])</f>
        <v>46300</v>
      </c>
      <c r="G7723">
        <v>1140064596</v>
      </c>
      <c r="H7723" t="s">
        <v>589</v>
      </c>
      <c r="I7723">
        <v>16</v>
      </c>
      <c r="J7723">
        <v>0</v>
      </c>
      <c r="K7723" s="1">
        <v>852145</v>
      </c>
    </row>
    <row r="7724" spans="1:11" x14ac:dyDescent="0.25">
      <c r="A7724" t="s">
        <v>326</v>
      </c>
      <c r="B7724" t="s">
        <v>586</v>
      </c>
      <c r="C7724" t="s">
        <v>873</v>
      </c>
      <c r="D7724" t="s">
        <v>14</v>
      </c>
      <c r="E7724">
        <v>6</v>
      </c>
      <c r="F7724" s="2">
        <f>DATE(2026,IF(Tabla1[[#This Row],[Mes de Fecha]]="Septiembre",9,10),Tabla1[[#This Row],[Día de Fecha]])</f>
        <v>46301</v>
      </c>
      <c r="I7724">
        <v>0</v>
      </c>
      <c r="J7724" s="1">
        <v>5961563</v>
      </c>
      <c r="K7724">
        <v>0</v>
      </c>
    </row>
    <row r="7725" spans="1:11" x14ac:dyDescent="0.25">
      <c r="A7725" t="s">
        <v>326</v>
      </c>
      <c r="B7725" t="s">
        <v>586</v>
      </c>
      <c r="C7725" t="s">
        <v>873</v>
      </c>
      <c r="D7725" t="s">
        <v>14</v>
      </c>
      <c r="E7725">
        <v>6</v>
      </c>
      <c r="F7725" s="2">
        <f>DATE(2026,IF(Tabla1[[#This Row],[Mes de Fecha]]="Septiembre",9,10),Tabla1[[#This Row],[Día de Fecha]])</f>
        <v>46301</v>
      </c>
      <c r="G7725">
        <v>1004789966</v>
      </c>
      <c r="H7725" t="s">
        <v>506</v>
      </c>
      <c r="I7725">
        <v>99</v>
      </c>
      <c r="J7725">
        <v>0</v>
      </c>
      <c r="K7725" s="1">
        <v>5780761</v>
      </c>
    </row>
    <row r="7726" spans="1:11" x14ac:dyDescent="0.25">
      <c r="A7726" t="s">
        <v>326</v>
      </c>
      <c r="B7726" t="s">
        <v>586</v>
      </c>
      <c r="C7726" t="s">
        <v>873</v>
      </c>
      <c r="D7726" t="s">
        <v>14</v>
      </c>
      <c r="E7726">
        <v>6</v>
      </c>
      <c r="F7726" s="2">
        <f>DATE(2026,IF(Tabla1[[#This Row],[Mes de Fecha]]="Septiembre",9,10),Tabla1[[#This Row],[Día de Fecha]])</f>
        <v>46301</v>
      </c>
      <c r="G7726">
        <v>1005654398</v>
      </c>
      <c r="H7726" t="s">
        <v>494</v>
      </c>
      <c r="I7726">
        <v>0</v>
      </c>
      <c r="J7726">
        <v>0</v>
      </c>
      <c r="K7726" s="1">
        <v>-4202</v>
      </c>
    </row>
    <row r="7727" spans="1:11" x14ac:dyDescent="0.25">
      <c r="A7727" t="s">
        <v>326</v>
      </c>
      <c r="B7727" t="s">
        <v>586</v>
      </c>
      <c r="C7727" t="s">
        <v>873</v>
      </c>
      <c r="D7727" t="s">
        <v>14</v>
      </c>
      <c r="E7727">
        <v>6</v>
      </c>
      <c r="F7727" s="2">
        <f>DATE(2026,IF(Tabla1[[#This Row],[Mes de Fecha]]="Septiembre",9,10),Tabla1[[#This Row],[Día de Fecha]])</f>
        <v>46301</v>
      </c>
      <c r="G7727">
        <v>1088017254</v>
      </c>
      <c r="H7727" t="s">
        <v>504</v>
      </c>
      <c r="I7727">
        <v>2</v>
      </c>
      <c r="J7727">
        <v>0</v>
      </c>
      <c r="K7727" s="1">
        <v>125925</v>
      </c>
    </row>
    <row r="7728" spans="1:11" x14ac:dyDescent="0.25">
      <c r="A7728" t="s">
        <v>326</v>
      </c>
      <c r="B7728" t="s">
        <v>586</v>
      </c>
      <c r="C7728" t="s">
        <v>873</v>
      </c>
      <c r="D7728" t="s">
        <v>14</v>
      </c>
      <c r="E7728">
        <v>6</v>
      </c>
      <c r="F7728" s="2">
        <f>DATE(2026,IF(Tabla1[[#This Row],[Mes de Fecha]]="Septiembre",9,10),Tabla1[[#This Row],[Día de Fecha]])</f>
        <v>46301</v>
      </c>
      <c r="G7728">
        <v>1105670101</v>
      </c>
      <c r="H7728" t="s">
        <v>550</v>
      </c>
      <c r="I7728">
        <v>40</v>
      </c>
      <c r="J7728">
        <v>0</v>
      </c>
      <c r="K7728" s="1">
        <v>2357355</v>
      </c>
    </row>
    <row r="7729" spans="1:11" x14ac:dyDescent="0.25">
      <c r="A7729" t="s">
        <v>326</v>
      </c>
      <c r="B7729" t="s">
        <v>586</v>
      </c>
      <c r="C7729" t="s">
        <v>873</v>
      </c>
      <c r="D7729" t="s">
        <v>14</v>
      </c>
      <c r="E7729">
        <v>6</v>
      </c>
      <c r="F7729" s="2">
        <f>DATE(2026,IF(Tabla1[[#This Row],[Mes de Fecha]]="Septiembre",9,10),Tabla1[[#This Row],[Día de Fecha]])</f>
        <v>46301</v>
      </c>
      <c r="G7729">
        <v>1140064596</v>
      </c>
      <c r="H7729" t="s">
        <v>589</v>
      </c>
      <c r="I7729">
        <v>36</v>
      </c>
      <c r="J7729">
        <v>0</v>
      </c>
      <c r="K7729" s="1">
        <v>1870169</v>
      </c>
    </row>
    <row r="7730" spans="1:11" x14ac:dyDescent="0.25">
      <c r="A7730" t="s">
        <v>326</v>
      </c>
      <c r="B7730" t="s">
        <v>586</v>
      </c>
      <c r="C7730" t="s">
        <v>873</v>
      </c>
      <c r="D7730" t="s">
        <v>14</v>
      </c>
      <c r="E7730">
        <v>7</v>
      </c>
      <c r="F7730" s="2">
        <f>DATE(2026,IF(Tabla1[[#This Row],[Mes de Fecha]]="Septiembre",9,10),Tabla1[[#This Row],[Día de Fecha]])</f>
        <v>46302</v>
      </c>
      <c r="I7730">
        <v>0</v>
      </c>
      <c r="J7730" s="1">
        <v>5883121</v>
      </c>
      <c r="K7730">
        <v>0</v>
      </c>
    </row>
    <row r="7731" spans="1:11" x14ac:dyDescent="0.25">
      <c r="A7731" t="s">
        <v>326</v>
      </c>
      <c r="B7731" t="s">
        <v>586</v>
      </c>
      <c r="C7731" t="s">
        <v>873</v>
      </c>
      <c r="D7731" t="s">
        <v>14</v>
      </c>
      <c r="E7731">
        <v>7</v>
      </c>
      <c r="F7731" s="2">
        <f>DATE(2026,IF(Tabla1[[#This Row],[Mes de Fecha]]="Septiembre",9,10),Tabla1[[#This Row],[Día de Fecha]])</f>
        <v>46302</v>
      </c>
      <c r="G7731">
        <v>1004789966</v>
      </c>
      <c r="H7731" t="s">
        <v>506</v>
      </c>
      <c r="I7731">
        <v>30</v>
      </c>
      <c r="J7731">
        <v>0</v>
      </c>
      <c r="K7731" s="1">
        <v>1870213</v>
      </c>
    </row>
    <row r="7732" spans="1:11" x14ac:dyDescent="0.25">
      <c r="A7732" t="s">
        <v>326</v>
      </c>
      <c r="B7732" t="s">
        <v>586</v>
      </c>
      <c r="C7732" t="s">
        <v>873</v>
      </c>
      <c r="D7732" t="s">
        <v>14</v>
      </c>
      <c r="E7732">
        <v>7</v>
      </c>
      <c r="F7732" s="2">
        <f>DATE(2026,IF(Tabla1[[#This Row],[Mes de Fecha]]="Septiembre",9,10),Tabla1[[#This Row],[Día de Fecha]])</f>
        <v>46302</v>
      </c>
      <c r="G7732">
        <v>1005654398</v>
      </c>
      <c r="H7732" t="s">
        <v>494</v>
      </c>
      <c r="I7732">
        <v>34</v>
      </c>
      <c r="J7732">
        <v>0</v>
      </c>
      <c r="K7732" s="1">
        <v>2166556</v>
      </c>
    </row>
    <row r="7733" spans="1:11" x14ac:dyDescent="0.25">
      <c r="A7733" t="s">
        <v>326</v>
      </c>
      <c r="B7733" t="s">
        <v>586</v>
      </c>
      <c r="C7733" t="s">
        <v>873</v>
      </c>
      <c r="D7733" t="s">
        <v>14</v>
      </c>
      <c r="E7733">
        <v>7</v>
      </c>
      <c r="F7733" s="2">
        <f>DATE(2026,IF(Tabla1[[#This Row],[Mes de Fecha]]="Septiembre",9,10),Tabla1[[#This Row],[Día de Fecha]])</f>
        <v>46302</v>
      </c>
      <c r="G7733">
        <v>1088017254</v>
      </c>
      <c r="H7733" t="s">
        <v>504</v>
      </c>
      <c r="I7733">
        <v>31</v>
      </c>
      <c r="J7733">
        <v>0</v>
      </c>
      <c r="K7733" s="1">
        <v>2275800</v>
      </c>
    </row>
    <row r="7734" spans="1:11" x14ac:dyDescent="0.25">
      <c r="A7734" t="s">
        <v>326</v>
      </c>
      <c r="B7734" t="s">
        <v>586</v>
      </c>
      <c r="C7734" t="s">
        <v>873</v>
      </c>
      <c r="D7734" t="s">
        <v>14</v>
      </c>
      <c r="E7734">
        <v>7</v>
      </c>
      <c r="F7734" s="2">
        <f>DATE(2026,IF(Tabla1[[#This Row],[Mes de Fecha]]="Septiembre",9,10),Tabla1[[#This Row],[Día de Fecha]])</f>
        <v>46302</v>
      </c>
      <c r="G7734">
        <v>1088017991</v>
      </c>
      <c r="H7734" t="s">
        <v>499</v>
      </c>
      <c r="I7734">
        <v>-2</v>
      </c>
      <c r="J7734">
        <v>0</v>
      </c>
      <c r="K7734" s="1">
        <v>-79748</v>
      </c>
    </row>
    <row r="7735" spans="1:11" x14ac:dyDescent="0.25">
      <c r="A7735" t="s">
        <v>326</v>
      </c>
      <c r="B7735" t="s">
        <v>586</v>
      </c>
      <c r="C7735" t="s">
        <v>873</v>
      </c>
      <c r="D7735" t="s">
        <v>14</v>
      </c>
      <c r="E7735">
        <v>7</v>
      </c>
      <c r="F7735" s="2">
        <f>DATE(2026,IF(Tabla1[[#This Row],[Mes de Fecha]]="Septiembre",9,10),Tabla1[[#This Row],[Día de Fecha]])</f>
        <v>46302</v>
      </c>
      <c r="G7735">
        <v>1105670101</v>
      </c>
      <c r="H7735" t="s">
        <v>550</v>
      </c>
      <c r="I7735">
        <v>5</v>
      </c>
      <c r="J7735">
        <v>0</v>
      </c>
      <c r="K7735" s="1">
        <v>472479</v>
      </c>
    </row>
    <row r="7736" spans="1:11" x14ac:dyDescent="0.25">
      <c r="A7736" t="s">
        <v>326</v>
      </c>
      <c r="B7736" t="s">
        <v>586</v>
      </c>
      <c r="C7736" t="s">
        <v>873</v>
      </c>
      <c r="D7736" t="s">
        <v>14</v>
      </c>
      <c r="E7736">
        <v>7</v>
      </c>
      <c r="F7736" s="2">
        <f>DATE(2026,IF(Tabla1[[#This Row],[Mes de Fecha]]="Septiembre",9,10),Tabla1[[#This Row],[Día de Fecha]])</f>
        <v>46302</v>
      </c>
      <c r="G7736">
        <v>1140064596</v>
      </c>
      <c r="H7736" t="s">
        <v>589</v>
      </c>
      <c r="I7736">
        <v>1</v>
      </c>
      <c r="J7736">
        <v>0</v>
      </c>
      <c r="K7736" s="1">
        <v>31471</v>
      </c>
    </row>
    <row r="7737" spans="1:11" x14ac:dyDescent="0.25">
      <c r="A7737" t="s">
        <v>326</v>
      </c>
      <c r="B7737" t="s">
        <v>590</v>
      </c>
      <c r="C7737" t="s">
        <v>873</v>
      </c>
      <c r="D7737" t="s">
        <v>11</v>
      </c>
      <c r="E7737">
        <v>23</v>
      </c>
      <c r="F7737" s="2">
        <f>DATE(2026,IF(Tabla1[[#This Row],[Mes de Fecha]]="Septiembre",9,10),Tabla1[[#This Row],[Día de Fecha]])</f>
        <v>46288</v>
      </c>
      <c r="I7737">
        <v>0</v>
      </c>
      <c r="J7737" s="1">
        <v>14306111</v>
      </c>
      <c r="K7737">
        <v>0</v>
      </c>
    </row>
    <row r="7738" spans="1:11" x14ac:dyDescent="0.25">
      <c r="A7738" t="s">
        <v>326</v>
      </c>
      <c r="B7738" t="s">
        <v>590</v>
      </c>
      <c r="C7738" t="s">
        <v>873</v>
      </c>
      <c r="D7738" t="s">
        <v>11</v>
      </c>
      <c r="E7738">
        <v>23</v>
      </c>
      <c r="F7738" s="2">
        <f>DATE(2026,IF(Tabla1[[#This Row],[Mes de Fecha]]="Septiembre",9,10),Tabla1[[#This Row],[Día de Fecha]])</f>
        <v>46288</v>
      </c>
      <c r="G7738">
        <v>1092850523</v>
      </c>
      <c r="H7738" t="s">
        <v>591</v>
      </c>
      <c r="I7738">
        <v>146</v>
      </c>
      <c r="J7738">
        <v>0</v>
      </c>
      <c r="K7738" s="1">
        <v>8831730</v>
      </c>
    </row>
    <row r="7739" spans="1:11" x14ac:dyDescent="0.25">
      <c r="A7739" t="s">
        <v>326</v>
      </c>
      <c r="B7739" t="s">
        <v>590</v>
      </c>
      <c r="C7739" t="s">
        <v>873</v>
      </c>
      <c r="D7739" t="s">
        <v>11</v>
      </c>
      <c r="E7739">
        <v>23</v>
      </c>
      <c r="F7739" s="2">
        <f>DATE(2026,IF(Tabla1[[#This Row],[Mes de Fecha]]="Septiembre",9,10),Tabla1[[#This Row],[Día de Fecha]])</f>
        <v>46288</v>
      </c>
      <c r="G7739">
        <v>1094971574</v>
      </c>
      <c r="H7739" t="s">
        <v>546</v>
      </c>
      <c r="I7739">
        <v>111</v>
      </c>
      <c r="J7739">
        <v>0</v>
      </c>
      <c r="K7739" s="1">
        <v>6452986</v>
      </c>
    </row>
    <row r="7740" spans="1:11" x14ac:dyDescent="0.25">
      <c r="A7740" t="s">
        <v>326</v>
      </c>
      <c r="B7740" t="s">
        <v>590</v>
      </c>
      <c r="C7740" t="s">
        <v>873</v>
      </c>
      <c r="D7740" t="s">
        <v>11</v>
      </c>
      <c r="E7740">
        <v>24</v>
      </c>
      <c r="F7740" s="2">
        <f>DATE(2026,IF(Tabla1[[#This Row],[Mes de Fecha]]="Septiembre",9,10),Tabla1[[#This Row],[Día de Fecha]])</f>
        <v>46289</v>
      </c>
      <c r="I7740">
        <v>0</v>
      </c>
      <c r="J7740" s="1">
        <v>21854193</v>
      </c>
      <c r="K7740">
        <v>0</v>
      </c>
    </row>
    <row r="7741" spans="1:11" x14ac:dyDescent="0.25">
      <c r="A7741" t="s">
        <v>326</v>
      </c>
      <c r="B7741" t="s">
        <v>590</v>
      </c>
      <c r="C7741" t="s">
        <v>873</v>
      </c>
      <c r="D7741" t="s">
        <v>11</v>
      </c>
      <c r="E7741">
        <v>24</v>
      </c>
      <c r="F7741" s="2">
        <f>DATE(2026,IF(Tabla1[[#This Row],[Mes de Fecha]]="Septiembre",9,10),Tabla1[[#This Row],[Día de Fecha]])</f>
        <v>46289</v>
      </c>
      <c r="G7741">
        <v>1000190054</v>
      </c>
      <c r="H7741" t="s">
        <v>597</v>
      </c>
      <c r="I7741">
        <v>25</v>
      </c>
      <c r="J7741">
        <v>0</v>
      </c>
      <c r="K7741" s="1">
        <v>1023870</v>
      </c>
    </row>
    <row r="7742" spans="1:11" x14ac:dyDescent="0.25">
      <c r="A7742" t="s">
        <v>326</v>
      </c>
      <c r="B7742" t="s">
        <v>590</v>
      </c>
      <c r="C7742" t="s">
        <v>873</v>
      </c>
      <c r="D7742" t="s">
        <v>11</v>
      </c>
      <c r="E7742">
        <v>24</v>
      </c>
      <c r="F7742" s="2">
        <f>DATE(2026,IF(Tabla1[[#This Row],[Mes de Fecha]]="Septiembre",9,10),Tabla1[[#This Row],[Día de Fecha]])</f>
        <v>46289</v>
      </c>
      <c r="G7742">
        <v>1092850523</v>
      </c>
      <c r="H7742" t="s">
        <v>591</v>
      </c>
      <c r="I7742">
        <v>76</v>
      </c>
      <c r="J7742">
        <v>0</v>
      </c>
      <c r="K7742" s="1">
        <v>4227696</v>
      </c>
    </row>
    <row r="7743" spans="1:11" x14ac:dyDescent="0.25">
      <c r="A7743" t="s">
        <v>326</v>
      </c>
      <c r="B7743" t="s">
        <v>590</v>
      </c>
      <c r="C7743" t="s">
        <v>873</v>
      </c>
      <c r="D7743" t="s">
        <v>11</v>
      </c>
      <c r="E7743">
        <v>24</v>
      </c>
      <c r="F7743" s="2">
        <f>DATE(2026,IF(Tabla1[[#This Row],[Mes de Fecha]]="Septiembre",9,10),Tabla1[[#This Row],[Día de Fecha]])</f>
        <v>46289</v>
      </c>
      <c r="G7743">
        <v>1094905873</v>
      </c>
      <c r="H7743" t="s">
        <v>598</v>
      </c>
      <c r="I7743">
        <v>29</v>
      </c>
      <c r="J7743">
        <v>0</v>
      </c>
      <c r="K7743" s="1">
        <v>1710844</v>
      </c>
    </row>
    <row r="7744" spans="1:11" x14ac:dyDescent="0.25">
      <c r="A7744" t="s">
        <v>326</v>
      </c>
      <c r="B7744" t="s">
        <v>590</v>
      </c>
      <c r="C7744" t="s">
        <v>873</v>
      </c>
      <c r="D7744" t="s">
        <v>11</v>
      </c>
      <c r="E7744">
        <v>24</v>
      </c>
      <c r="F7744" s="2">
        <f>DATE(2026,IF(Tabla1[[#This Row],[Mes de Fecha]]="Septiembre",9,10),Tabla1[[#This Row],[Día de Fecha]])</f>
        <v>46289</v>
      </c>
      <c r="G7744">
        <v>1094971574</v>
      </c>
      <c r="H7744" t="s">
        <v>546</v>
      </c>
      <c r="I7744">
        <v>61</v>
      </c>
      <c r="J7744">
        <v>0</v>
      </c>
      <c r="K7744" s="1">
        <v>3944792</v>
      </c>
    </row>
    <row r="7745" spans="1:11" x14ac:dyDescent="0.25">
      <c r="A7745" t="s">
        <v>326</v>
      </c>
      <c r="B7745" t="s">
        <v>590</v>
      </c>
      <c r="C7745" t="s">
        <v>873</v>
      </c>
      <c r="D7745" t="s">
        <v>11</v>
      </c>
      <c r="E7745">
        <v>24</v>
      </c>
      <c r="F7745" s="2">
        <f>DATE(2026,IF(Tabla1[[#This Row],[Mes de Fecha]]="Septiembre",9,10),Tabla1[[#This Row],[Día de Fecha]])</f>
        <v>46289</v>
      </c>
      <c r="G7745">
        <v>1097391531</v>
      </c>
      <c r="H7745" t="s">
        <v>595</v>
      </c>
      <c r="I7745">
        <v>-1</v>
      </c>
      <c r="J7745">
        <v>0</v>
      </c>
      <c r="K7745" s="1">
        <v>-75546</v>
      </c>
    </row>
    <row r="7746" spans="1:11" x14ac:dyDescent="0.25">
      <c r="A7746" t="s">
        <v>326</v>
      </c>
      <c r="B7746" t="s">
        <v>590</v>
      </c>
      <c r="C7746" t="s">
        <v>873</v>
      </c>
      <c r="D7746" t="s">
        <v>11</v>
      </c>
      <c r="E7746">
        <v>24</v>
      </c>
      <c r="F7746" s="2">
        <f>DATE(2026,IF(Tabla1[[#This Row],[Mes de Fecha]]="Septiembre",9,10),Tabla1[[#This Row],[Día de Fecha]])</f>
        <v>46289</v>
      </c>
      <c r="G7746">
        <v>1149934620</v>
      </c>
      <c r="H7746" t="s">
        <v>551</v>
      </c>
      <c r="I7746">
        <v>24</v>
      </c>
      <c r="J7746">
        <v>0</v>
      </c>
      <c r="K7746" s="1">
        <v>1368699</v>
      </c>
    </row>
    <row r="7747" spans="1:11" x14ac:dyDescent="0.25">
      <c r="A7747" t="s">
        <v>326</v>
      </c>
      <c r="B7747" t="s">
        <v>590</v>
      </c>
      <c r="C7747" t="s">
        <v>873</v>
      </c>
      <c r="D7747" t="s">
        <v>11</v>
      </c>
      <c r="E7747">
        <v>25</v>
      </c>
      <c r="F7747" s="2">
        <f>DATE(2026,IF(Tabla1[[#This Row],[Mes de Fecha]]="Septiembre",9,10),Tabla1[[#This Row],[Día de Fecha]])</f>
        <v>46290</v>
      </c>
      <c r="I7747">
        <v>0</v>
      </c>
      <c r="J7747" s="1">
        <v>21805813</v>
      </c>
      <c r="K7747">
        <v>0</v>
      </c>
    </row>
    <row r="7748" spans="1:11" x14ac:dyDescent="0.25">
      <c r="A7748" t="s">
        <v>326</v>
      </c>
      <c r="B7748" t="s">
        <v>590</v>
      </c>
      <c r="C7748" t="s">
        <v>873</v>
      </c>
      <c r="D7748" t="s">
        <v>11</v>
      </c>
      <c r="E7748">
        <v>25</v>
      </c>
      <c r="F7748" s="2">
        <f>DATE(2026,IF(Tabla1[[#This Row],[Mes de Fecha]]="Septiembre",9,10),Tabla1[[#This Row],[Día de Fecha]])</f>
        <v>46290</v>
      </c>
      <c r="G7748">
        <v>1000190054</v>
      </c>
      <c r="H7748" t="s">
        <v>597</v>
      </c>
      <c r="I7748">
        <v>32</v>
      </c>
      <c r="J7748">
        <v>0</v>
      </c>
      <c r="K7748" s="1">
        <v>1820085</v>
      </c>
    </row>
    <row r="7749" spans="1:11" x14ac:dyDescent="0.25">
      <c r="A7749" t="s">
        <v>326</v>
      </c>
      <c r="B7749" t="s">
        <v>590</v>
      </c>
      <c r="C7749" t="s">
        <v>873</v>
      </c>
      <c r="D7749" t="s">
        <v>11</v>
      </c>
      <c r="E7749">
        <v>25</v>
      </c>
      <c r="F7749" s="2">
        <f>DATE(2026,IF(Tabla1[[#This Row],[Mes de Fecha]]="Septiembre",9,10),Tabla1[[#This Row],[Día de Fecha]])</f>
        <v>46290</v>
      </c>
      <c r="G7749">
        <v>1092850523</v>
      </c>
      <c r="H7749" t="s">
        <v>591</v>
      </c>
      <c r="I7749">
        <v>36</v>
      </c>
      <c r="J7749">
        <v>0</v>
      </c>
      <c r="K7749" s="1">
        <v>1990043</v>
      </c>
    </row>
    <row r="7750" spans="1:11" x14ac:dyDescent="0.25">
      <c r="A7750" t="s">
        <v>326</v>
      </c>
      <c r="B7750" t="s">
        <v>590</v>
      </c>
      <c r="C7750" t="s">
        <v>873</v>
      </c>
      <c r="D7750" t="s">
        <v>11</v>
      </c>
      <c r="E7750">
        <v>25</v>
      </c>
      <c r="F7750" s="2">
        <f>DATE(2026,IF(Tabla1[[#This Row],[Mes de Fecha]]="Septiembre",9,10),Tabla1[[#This Row],[Día de Fecha]])</f>
        <v>46290</v>
      </c>
      <c r="G7750">
        <v>1094905873</v>
      </c>
      <c r="H7750" t="s">
        <v>598</v>
      </c>
      <c r="I7750">
        <v>34</v>
      </c>
      <c r="J7750">
        <v>0</v>
      </c>
      <c r="K7750" s="1">
        <v>2599287</v>
      </c>
    </row>
    <row r="7751" spans="1:11" x14ac:dyDescent="0.25">
      <c r="A7751" t="s">
        <v>326</v>
      </c>
      <c r="B7751" t="s">
        <v>590</v>
      </c>
      <c r="C7751" t="s">
        <v>873</v>
      </c>
      <c r="D7751" t="s">
        <v>11</v>
      </c>
      <c r="E7751">
        <v>25</v>
      </c>
      <c r="F7751" s="2">
        <f>DATE(2026,IF(Tabla1[[#This Row],[Mes de Fecha]]="Septiembre",9,10),Tabla1[[#This Row],[Día de Fecha]])</f>
        <v>46290</v>
      </c>
      <c r="G7751">
        <v>1094968844</v>
      </c>
      <c r="H7751" t="s">
        <v>599</v>
      </c>
      <c r="I7751">
        <v>-1</v>
      </c>
      <c r="J7751">
        <v>0</v>
      </c>
      <c r="K7751" s="1">
        <v>-52882</v>
      </c>
    </row>
    <row r="7752" spans="1:11" x14ac:dyDescent="0.25">
      <c r="A7752" t="s">
        <v>326</v>
      </c>
      <c r="B7752" t="s">
        <v>590</v>
      </c>
      <c r="C7752" t="s">
        <v>873</v>
      </c>
      <c r="D7752" t="s">
        <v>11</v>
      </c>
      <c r="E7752">
        <v>25</v>
      </c>
      <c r="F7752" s="2">
        <f>DATE(2026,IF(Tabla1[[#This Row],[Mes de Fecha]]="Septiembre",9,10),Tabla1[[#This Row],[Día de Fecha]])</f>
        <v>46290</v>
      </c>
      <c r="G7752">
        <v>1094971574</v>
      </c>
      <c r="H7752" t="s">
        <v>546</v>
      </c>
      <c r="I7752">
        <v>39</v>
      </c>
      <c r="J7752">
        <v>0</v>
      </c>
      <c r="K7752" s="1">
        <v>2353322</v>
      </c>
    </row>
    <row r="7753" spans="1:11" x14ac:dyDescent="0.25">
      <c r="A7753" t="s">
        <v>326</v>
      </c>
      <c r="B7753" t="s">
        <v>590</v>
      </c>
      <c r="C7753" t="s">
        <v>873</v>
      </c>
      <c r="D7753" t="s">
        <v>11</v>
      </c>
      <c r="E7753">
        <v>25</v>
      </c>
      <c r="F7753" s="2">
        <f>DATE(2026,IF(Tabla1[[#This Row],[Mes de Fecha]]="Septiembre",9,10),Tabla1[[#This Row],[Día de Fecha]])</f>
        <v>46290</v>
      </c>
      <c r="G7753">
        <v>1149934620</v>
      </c>
      <c r="H7753" t="s">
        <v>551</v>
      </c>
      <c r="I7753">
        <v>34</v>
      </c>
      <c r="J7753">
        <v>0</v>
      </c>
      <c r="K7753" s="1">
        <v>2212816</v>
      </c>
    </row>
    <row r="7754" spans="1:11" x14ac:dyDescent="0.25">
      <c r="A7754" t="s">
        <v>326</v>
      </c>
      <c r="B7754" t="s">
        <v>590</v>
      </c>
      <c r="C7754" t="s">
        <v>873</v>
      </c>
      <c r="D7754" t="s">
        <v>11</v>
      </c>
      <c r="E7754">
        <v>26</v>
      </c>
      <c r="F7754" s="2">
        <f>DATE(2026,IF(Tabla1[[#This Row],[Mes de Fecha]]="Septiembre",9,10),Tabla1[[#This Row],[Día de Fecha]])</f>
        <v>46291</v>
      </c>
      <c r="I7754">
        <v>0</v>
      </c>
      <c r="J7754" s="1">
        <v>31338087</v>
      </c>
      <c r="K7754">
        <v>0</v>
      </c>
    </row>
    <row r="7755" spans="1:11" x14ac:dyDescent="0.25">
      <c r="A7755" t="s">
        <v>326</v>
      </c>
      <c r="B7755" t="s">
        <v>590</v>
      </c>
      <c r="C7755" t="s">
        <v>873</v>
      </c>
      <c r="D7755" t="s">
        <v>11</v>
      </c>
      <c r="E7755">
        <v>26</v>
      </c>
      <c r="F7755" s="2">
        <f>DATE(2026,IF(Tabla1[[#This Row],[Mes de Fecha]]="Septiembre",9,10),Tabla1[[#This Row],[Día de Fecha]])</f>
        <v>46291</v>
      </c>
      <c r="G7755">
        <v>33355697</v>
      </c>
      <c r="H7755" t="s">
        <v>592</v>
      </c>
      <c r="I7755">
        <v>-1</v>
      </c>
      <c r="J7755">
        <v>0</v>
      </c>
      <c r="K7755" s="1">
        <v>-58781</v>
      </c>
    </row>
    <row r="7756" spans="1:11" x14ac:dyDescent="0.25">
      <c r="A7756" t="s">
        <v>326</v>
      </c>
      <c r="B7756" t="s">
        <v>590</v>
      </c>
      <c r="C7756" t="s">
        <v>873</v>
      </c>
      <c r="D7756" t="s">
        <v>11</v>
      </c>
      <c r="E7756">
        <v>26</v>
      </c>
      <c r="F7756" s="2">
        <f>DATE(2026,IF(Tabla1[[#This Row],[Mes de Fecha]]="Septiembre",9,10),Tabla1[[#This Row],[Día de Fecha]])</f>
        <v>46291</v>
      </c>
      <c r="G7756">
        <v>1000190054</v>
      </c>
      <c r="H7756" t="s">
        <v>597</v>
      </c>
      <c r="I7756">
        <v>42</v>
      </c>
      <c r="J7756">
        <v>0</v>
      </c>
      <c r="K7756" s="1">
        <v>2199456</v>
      </c>
    </row>
    <row r="7757" spans="1:11" x14ac:dyDescent="0.25">
      <c r="A7757" t="s">
        <v>326</v>
      </c>
      <c r="B7757" t="s">
        <v>590</v>
      </c>
      <c r="C7757" t="s">
        <v>873</v>
      </c>
      <c r="D7757" t="s">
        <v>11</v>
      </c>
      <c r="E7757">
        <v>26</v>
      </c>
      <c r="F7757" s="2">
        <f>DATE(2026,IF(Tabla1[[#This Row],[Mes de Fecha]]="Septiembre",9,10),Tabla1[[#This Row],[Día de Fecha]])</f>
        <v>46291</v>
      </c>
      <c r="G7757">
        <v>1092850523</v>
      </c>
      <c r="H7757" t="s">
        <v>591</v>
      </c>
      <c r="I7757">
        <v>117</v>
      </c>
      <c r="J7757">
        <v>0</v>
      </c>
      <c r="K7757" s="1">
        <v>6629085</v>
      </c>
    </row>
    <row r="7758" spans="1:11" x14ac:dyDescent="0.25">
      <c r="A7758" t="s">
        <v>326</v>
      </c>
      <c r="B7758" t="s">
        <v>590</v>
      </c>
      <c r="C7758" t="s">
        <v>873</v>
      </c>
      <c r="D7758" t="s">
        <v>11</v>
      </c>
      <c r="E7758">
        <v>26</v>
      </c>
      <c r="F7758" s="2">
        <f>DATE(2026,IF(Tabla1[[#This Row],[Mes de Fecha]]="Septiembre",9,10),Tabla1[[#This Row],[Día de Fecha]])</f>
        <v>46291</v>
      </c>
      <c r="G7758">
        <v>1094905873</v>
      </c>
      <c r="H7758" t="s">
        <v>598</v>
      </c>
      <c r="I7758">
        <v>39</v>
      </c>
      <c r="J7758">
        <v>0</v>
      </c>
      <c r="K7758" s="1">
        <v>2246180</v>
      </c>
    </row>
    <row r="7759" spans="1:11" x14ac:dyDescent="0.25">
      <c r="A7759" t="s">
        <v>326</v>
      </c>
      <c r="B7759" t="s">
        <v>590</v>
      </c>
      <c r="C7759" t="s">
        <v>873</v>
      </c>
      <c r="D7759" t="s">
        <v>11</v>
      </c>
      <c r="E7759">
        <v>26</v>
      </c>
      <c r="F7759" s="2">
        <f>DATE(2026,IF(Tabla1[[#This Row],[Mes de Fecha]]="Septiembre",9,10),Tabla1[[#This Row],[Día de Fecha]])</f>
        <v>46291</v>
      </c>
      <c r="G7759">
        <v>1094971574</v>
      </c>
      <c r="H7759" t="s">
        <v>546</v>
      </c>
      <c r="I7759">
        <v>90</v>
      </c>
      <c r="J7759">
        <v>0</v>
      </c>
      <c r="K7759" s="1">
        <v>4924544</v>
      </c>
    </row>
    <row r="7760" spans="1:11" x14ac:dyDescent="0.25">
      <c r="A7760" t="s">
        <v>326</v>
      </c>
      <c r="B7760" t="s">
        <v>590</v>
      </c>
      <c r="C7760" t="s">
        <v>873</v>
      </c>
      <c r="D7760" t="s">
        <v>11</v>
      </c>
      <c r="E7760">
        <v>26</v>
      </c>
      <c r="F7760" s="2">
        <f>DATE(2026,IF(Tabla1[[#This Row],[Mes de Fecha]]="Septiembre",9,10),Tabla1[[#This Row],[Día de Fecha]])</f>
        <v>46291</v>
      </c>
      <c r="G7760">
        <v>1097391531</v>
      </c>
      <c r="H7760" t="s">
        <v>595</v>
      </c>
      <c r="I7760">
        <v>-1</v>
      </c>
      <c r="J7760">
        <v>0</v>
      </c>
      <c r="K7760" s="1">
        <v>-41975</v>
      </c>
    </row>
    <row r="7761" spans="1:11" x14ac:dyDescent="0.25">
      <c r="A7761" t="s">
        <v>326</v>
      </c>
      <c r="B7761" t="s">
        <v>590</v>
      </c>
      <c r="C7761" t="s">
        <v>873</v>
      </c>
      <c r="D7761" t="s">
        <v>11</v>
      </c>
      <c r="E7761">
        <v>26</v>
      </c>
      <c r="F7761" s="2">
        <f>DATE(2026,IF(Tabla1[[#This Row],[Mes de Fecha]]="Septiembre",9,10),Tabla1[[#This Row],[Día de Fecha]])</f>
        <v>46291</v>
      </c>
      <c r="G7761">
        <v>1149934620</v>
      </c>
      <c r="H7761" t="s">
        <v>551</v>
      </c>
      <c r="I7761">
        <v>46</v>
      </c>
      <c r="J7761">
        <v>0</v>
      </c>
      <c r="K7761" s="1">
        <v>2214160</v>
      </c>
    </row>
    <row r="7762" spans="1:11" x14ac:dyDescent="0.25">
      <c r="A7762" t="s">
        <v>326</v>
      </c>
      <c r="B7762" t="s">
        <v>590</v>
      </c>
      <c r="C7762" t="s">
        <v>873</v>
      </c>
      <c r="D7762" t="s">
        <v>11</v>
      </c>
      <c r="E7762">
        <v>27</v>
      </c>
      <c r="F7762" s="2">
        <f>DATE(2026,IF(Tabla1[[#This Row],[Mes de Fecha]]="Septiembre",9,10),Tabla1[[#This Row],[Día de Fecha]])</f>
        <v>46292</v>
      </c>
      <c r="I7762">
        <v>0</v>
      </c>
      <c r="J7762" s="1">
        <v>24826075</v>
      </c>
      <c r="K7762">
        <v>0</v>
      </c>
    </row>
    <row r="7763" spans="1:11" x14ac:dyDescent="0.25">
      <c r="A7763" t="s">
        <v>326</v>
      </c>
      <c r="B7763" t="s">
        <v>590</v>
      </c>
      <c r="C7763" t="s">
        <v>873</v>
      </c>
      <c r="D7763" t="s">
        <v>11</v>
      </c>
      <c r="E7763">
        <v>27</v>
      </c>
      <c r="F7763" s="2">
        <f>DATE(2026,IF(Tabla1[[#This Row],[Mes de Fecha]]="Septiembre",9,10),Tabla1[[#This Row],[Día de Fecha]])</f>
        <v>46292</v>
      </c>
      <c r="G7763">
        <v>1000190054</v>
      </c>
      <c r="H7763" t="s">
        <v>597</v>
      </c>
      <c r="I7763">
        <v>37</v>
      </c>
      <c r="J7763">
        <v>0</v>
      </c>
      <c r="K7763" s="1">
        <v>1916347</v>
      </c>
    </row>
    <row r="7764" spans="1:11" x14ac:dyDescent="0.25">
      <c r="A7764" t="s">
        <v>326</v>
      </c>
      <c r="B7764" t="s">
        <v>590</v>
      </c>
      <c r="C7764" t="s">
        <v>873</v>
      </c>
      <c r="D7764" t="s">
        <v>11</v>
      </c>
      <c r="E7764">
        <v>27</v>
      </c>
      <c r="F7764" s="2">
        <f>DATE(2026,IF(Tabla1[[#This Row],[Mes de Fecha]]="Septiembre",9,10),Tabla1[[#This Row],[Día de Fecha]])</f>
        <v>46292</v>
      </c>
      <c r="G7764">
        <v>1092850523</v>
      </c>
      <c r="H7764" t="s">
        <v>591</v>
      </c>
      <c r="I7764">
        <v>123</v>
      </c>
      <c r="J7764">
        <v>0</v>
      </c>
      <c r="K7764" s="1">
        <v>8473330</v>
      </c>
    </row>
    <row r="7765" spans="1:11" x14ac:dyDescent="0.25">
      <c r="A7765" t="s">
        <v>326</v>
      </c>
      <c r="B7765" t="s">
        <v>590</v>
      </c>
      <c r="C7765" t="s">
        <v>873</v>
      </c>
      <c r="D7765" t="s">
        <v>11</v>
      </c>
      <c r="E7765">
        <v>27</v>
      </c>
      <c r="F7765" s="2">
        <f>DATE(2026,IF(Tabla1[[#This Row],[Mes de Fecha]]="Septiembre",9,10),Tabla1[[#This Row],[Día de Fecha]])</f>
        <v>46292</v>
      </c>
      <c r="G7765">
        <v>1094905873</v>
      </c>
      <c r="H7765" t="s">
        <v>598</v>
      </c>
      <c r="I7765">
        <v>51</v>
      </c>
      <c r="J7765">
        <v>0</v>
      </c>
      <c r="K7765" s="1">
        <v>2705632</v>
      </c>
    </row>
    <row r="7766" spans="1:11" x14ac:dyDescent="0.25">
      <c r="A7766" t="s">
        <v>326</v>
      </c>
      <c r="B7766" t="s">
        <v>590</v>
      </c>
      <c r="C7766" t="s">
        <v>873</v>
      </c>
      <c r="D7766" t="s">
        <v>11</v>
      </c>
      <c r="E7766">
        <v>27</v>
      </c>
      <c r="F7766" s="2">
        <f>DATE(2026,IF(Tabla1[[#This Row],[Mes de Fecha]]="Septiembre",9,10),Tabla1[[#This Row],[Día de Fecha]])</f>
        <v>46292</v>
      </c>
      <c r="G7766">
        <v>1094957784</v>
      </c>
      <c r="H7766" t="s">
        <v>593</v>
      </c>
      <c r="I7766">
        <v>-1</v>
      </c>
      <c r="J7766">
        <v>0</v>
      </c>
      <c r="K7766" s="1">
        <v>-37773</v>
      </c>
    </row>
    <row r="7767" spans="1:11" x14ac:dyDescent="0.25">
      <c r="A7767" t="s">
        <v>326</v>
      </c>
      <c r="B7767" t="s">
        <v>590</v>
      </c>
      <c r="C7767" t="s">
        <v>873</v>
      </c>
      <c r="D7767" t="s">
        <v>11</v>
      </c>
      <c r="E7767">
        <v>27</v>
      </c>
      <c r="F7767" s="2">
        <f>DATE(2026,IF(Tabla1[[#This Row],[Mes de Fecha]]="Septiembre",9,10),Tabla1[[#This Row],[Día de Fecha]])</f>
        <v>46292</v>
      </c>
      <c r="G7767">
        <v>1094971574</v>
      </c>
      <c r="H7767" t="s">
        <v>546</v>
      </c>
      <c r="I7767">
        <v>86</v>
      </c>
      <c r="J7767">
        <v>0</v>
      </c>
      <c r="K7767" s="1">
        <v>4920512</v>
      </c>
    </row>
    <row r="7768" spans="1:11" x14ac:dyDescent="0.25">
      <c r="A7768" t="s">
        <v>326</v>
      </c>
      <c r="B7768" t="s">
        <v>590</v>
      </c>
      <c r="C7768" t="s">
        <v>873</v>
      </c>
      <c r="D7768" t="s">
        <v>11</v>
      </c>
      <c r="E7768">
        <v>27</v>
      </c>
      <c r="F7768" s="2">
        <f>DATE(2026,IF(Tabla1[[#This Row],[Mes de Fecha]]="Septiembre",9,10),Tabla1[[#This Row],[Día de Fecha]])</f>
        <v>46292</v>
      </c>
      <c r="G7768">
        <v>1149934620</v>
      </c>
      <c r="H7768" t="s">
        <v>551</v>
      </c>
      <c r="I7768">
        <v>48</v>
      </c>
      <c r="J7768">
        <v>0</v>
      </c>
      <c r="K7768" s="1">
        <v>2884499</v>
      </c>
    </row>
    <row r="7769" spans="1:11" x14ac:dyDescent="0.25">
      <c r="A7769" t="s">
        <v>326</v>
      </c>
      <c r="B7769" t="s">
        <v>590</v>
      </c>
      <c r="C7769" t="s">
        <v>873</v>
      </c>
      <c r="D7769" t="s">
        <v>11</v>
      </c>
      <c r="E7769">
        <v>28</v>
      </c>
      <c r="F7769" s="2">
        <f>DATE(2026,IF(Tabla1[[#This Row],[Mes de Fecha]]="Septiembre",9,10),Tabla1[[#This Row],[Día de Fecha]])</f>
        <v>46293</v>
      </c>
      <c r="I7769">
        <v>0</v>
      </c>
      <c r="J7769" s="1">
        <v>13663252</v>
      </c>
      <c r="K7769">
        <v>0</v>
      </c>
    </row>
    <row r="7770" spans="1:11" x14ac:dyDescent="0.25">
      <c r="A7770" t="s">
        <v>326</v>
      </c>
      <c r="B7770" t="s">
        <v>590</v>
      </c>
      <c r="C7770" t="s">
        <v>873</v>
      </c>
      <c r="D7770" t="s">
        <v>11</v>
      </c>
      <c r="E7770">
        <v>28</v>
      </c>
      <c r="F7770" s="2">
        <f>DATE(2026,IF(Tabla1[[#This Row],[Mes de Fecha]]="Septiembre",9,10),Tabla1[[#This Row],[Día de Fecha]])</f>
        <v>46293</v>
      </c>
      <c r="G7770">
        <v>1000190054</v>
      </c>
      <c r="H7770" t="s">
        <v>597</v>
      </c>
      <c r="I7770">
        <v>11</v>
      </c>
      <c r="J7770">
        <v>0</v>
      </c>
      <c r="K7770" s="1">
        <v>612987</v>
      </c>
    </row>
    <row r="7771" spans="1:11" x14ac:dyDescent="0.25">
      <c r="A7771" t="s">
        <v>326</v>
      </c>
      <c r="B7771" t="s">
        <v>590</v>
      </c>
      <c r="C7771" t="s">
        <v>873</v>
      </c>
      <c r="D7771" t="s">
        <v>11</v>
      </c>
      <c r="E7771">
        <v>28</v>
      </c>
      <c r="F7771" s="2">
        <f>DATE(2026,IF(Tabla1[[#This Row],[Mes de Fecha]]="Septiembre",9,10),Tabla1[[#This Row],[Día de Fecha]])</f>
        <v>46293</v>
      </c>
      <c r="G7771">
        <v>1092850523</v>
      </c>
      <c r="H7771" t="s">
        <v>591</v>
      </c>
      <c r="I7771">
        <v>63</v>
      </c>
      <c r="J7771">
        <v>0</v>
      </c>
      <c r="K7771" s="1">
        <v>4016013</v>
      </c>
    </row>
    <row r="7772" spans="1:11" x14ac:dyDescent="0.25">
      <c r="A7772" t="s">
        <v>326</v>
      </c>
      <c r="B7772" t="s">
        <v>590</v>
      </c>
      <c r="C7772" t="s">
        <v>873</v>
      </c>
      <c r="D7772" t="s">
        <v>11</v>
      </c>
      <c r="E7772">
        <v>28</v>
      </c>
      <c r="F7772" s="2">
        <f>DATE(2026,IF(Tabla1[[#This Row],[Mes de Fecha]]="Septiembre",9,10),Tabla1[[#This Row],[Día de Fecha]])</f>
        <v>46293</v>
      </c>
      <c r="G7772">
        <v>1094905873</v>
      </c>
      <c r="H7772" t="s">
        <v>598</v>
      </c>
      <c r="I7772">
        <v>15</v>
      </c>
      <c r="J7772">
        <v>0</v>
      </c>
      <c r="K7772" s="1">
        <v>644160</v>
      </c>
    </row>
    <row r="7773" spans="1:11" x14ac:dyDescent="0.25">
      <c r="A7773" t="s">
        <v>326</v>
      </c>
      <c r="B7773" t="s">
        <v>590</v>
      </c>
      <c r="C7773" t="s">
        <v>873</v>
      </c>
      <c r="D7773" t="s">
        <v>11</v>
      </c>
      <c r="E7773">
        <v>28</v>
      </c>
      <c r="F7773" s="2">
        <f>DATE(2026,IF(Tabla1[[#This Row],[Mes de Fecha]]="Septiembre",9,10),Tabla1[[#This Row],[Día de Fecha]])</f>
        <v>46293</v>
      </c>
      <c r="G7773">
        <v>1094971574</v>
      </c>
      <c r="H7773" t="s">
        <v>546</v>
      </c>
      <c r="I7773">
        <v>46</v>
      </c>
      <c r="J7773">
        <v>0</v>
      </c>
      <c r="K7773" s="1">
        <v>2447484</v>
      </c>
    </row>
    <row r="7774" spans="1:11" x14ac:dyDescent="0.25">
      <c r="A7774" t="s">
        <v>326</v>
      </c>
      <c r="B7774" t="s">
        <v>590</v>
      </c>
      <c r="C7774" t="s">
        <v>873</v>
      </c>
      <c r="D7774" t="s">
        <v>11</v>
      </c>
      <c r="E7774">
        <v>28</v>
      </c>
      <c r="F7774" s="2">
        <f>DATE(2026,IF(Tabla1[[#This Row],[Mes de Fecha]]="Septiembre",9,10),Tabla1[[#This Row],[Día de Fecha]])</f>
        <v>46293</v>
      </c>
      <c r="G7774">
        <v>1149934620</v>
      </c>
      <c r="H7774" t="s">
        <v>551</v>
      </c>
      <c r="I7774">
        <v>28</v>
      </c>
      <c r="J7774">
        <v>0</v>
      </c>
      <c r="K7774" s="1">
        <v>1349497</v>
      </c>
    </row>
    <row r="7775" spans="1:11" x14ac:dyDescent="0.25">
      <c r="A7775" t="s">
        <v>326</v>
      </c>
      <c r="B7775" t="s">
        <v>590</v>
      </c>
      <c r="C7775" t="s">
        <v>873</v>
      </c>
      <c r="D7775" t="s">
        <v>11</v>
      </c>
      <c r="E7775">
        <v>29</v>
      </c>
      <c r="F7775" s="2">
        <f>DATE(2026,IF(Tabla1[[#This Row],[Mes de Fecha]]="Septiembre",9,10),Tabla1[[#This Row],[Día de Fecha]])</f>
        <v>46294</v>
      </c>
      <c r="I7775">
        <v>0</v>
      </c>
      <c r="J7775" s="1">
        <v>14595025</v>
      </c>
      <c r="K7775">
        <v>0</v>
      </c>
    </row>
    <row r="7776" spans="1:11" x14ac:dyDescent="0.25">
      <c r="A7776" t="s">
        <v>326</v>
      </c>
      <c r="B7776" t="s">
        <v>590</v>
      </c>
      <c r="C7776" t="s">
        <v>873</v>
      </c>
      <c r="D7776" t="s">
        <v>11</v>
      </c>
      <c r="E7776">
        <v>29</v>
      </c>
      <c r="F7776" s="2">
        <f>DATE(2026,IF(Tabla1[[#This Row],[Mes de Fecha]]="Septiembre",9,10),Tabla1[[#This Row],[Día de Fecha]])</f>
        <v>46294</v>
      </c>
      <c r="G7776">
        <v>1000190054</v>
      </c>
      <c r="H7776" t="s">
        <v>597</v>
      </c>
      <c r="I7776">
        <v>28</v>
      </c>
      <c r="J7776">
        <v>0</v>
      </c>
      <c r="K7776" s="1">
        <v>1679287</v>
      </c>
    </row>
    <row r="7777" spans="1:11" x14ac:dyDescent="0.25">
      <c r="A7777" t="s">
        <v>326</v>
      </c>
      <c r="B7777" t="s">
        <v>590</v>
      </c>
      <c r="C7777" t="s">
        <v>873</v>
      </c>
      <c r="D7777" t="s">
        <v>11</v>
      </c>
      <c r="E7777">
        <v>29</v>
      </c>
      <c r="F7777" s="2">
        <f>DATE(2026,IF(Tabla1[[#This Row],[Mes de Fecha]]="Septiembre",9,10),Tabla1[[#This Row],[Día de Fecha]])</f>
        <v>46294</v>
      </c>
      <c r="G7777">
        <v>1092850523</v>
      </c>
      <c r="H7777" t="s">
        <v>591</v>
      </c>
      <c r="I7777">
        <v>43</v>
      </c>
      <c r="J7777">
        <v>0</v>
      </c>
      <c r="K7777" s="1">
        <v>2401431</v>
      </c>
    </row>
    <row r="7778" spans="1:11" x14ac:dyDescent="0.25">
      <c r="A7778" t="s">
        <v>326</v>
      </c>
      <c r="B7778" t="s">
        <v>590</v>
      </c>
      <c r="C7778" t="s">
        <v>873</v>
      </c>
      <c r="D7778" t="s">
        <v>11</v>
      </c>
      <c r="E7778">
        <v>29</v>
      </c>
      <c r="F7778" s="2">
        <f>DATE(2026,IF(Tabla1[[#This Row],[Mes de Fecha]]="Septiembre",9,10),Tabla1[[#This Row],[Día de Fecha]])</f>
        <v>46294</v>
      </c>
      <c r="G7778">
        <v>1094905873</v>
      </c>
      <c r="H7778" t="s">
        <v>598</v>
      </c>
      <c r="I7778">
        <v>23</v>
      </c>
      <c r="J7778">
        <v>0</v>
      </c>
      <c r="K7778" s="1">
        <v>1454792</v>
      </c>
    </row>
    <row r="7779" spans="1:11" x14ac:dyDescent="0.25">
      <c r="A7779" t="s">
        <v>326</v>
      </c>
      <c r="B7779" t="s">
        <v>590</v>
      </c>
      <c r="C7779" t="s">
        <v>873</v>
      </c>
      <c r="D7779" t="s">
        <v>11</v>
      </c>
      <c r="E7779">
        <v>29</v>
      </c>
      <c r="F7779" s="2">
        <f>DATE(2026,IF(Tabla1[[#This Row],[Mes de Fecha]]="Septiembre",9,10),Tabla1[[#This Row],[Día de Fecha]])</f>
        <v>46294</v>
      </c>
      <c r="G7779">
        <v>1094971574</v>
      </c>
      <c r="H7779" t="s">
        <v>546</v>
      </c>
      <c r="I7779">
        <v>39</v>
      </c>
      <c r="J7779">
        <v>0</v>
      </c>
      <c r="K7779" s="1">
        <v>1932904</v>
      </c>
    </row>
    <row r="7780" spans="1:11" x14ac:dyDescent="0.25">
      <c r="A7780" t="s">
        <v>326</v>
      </c>
      <c r="B7780" t="s">
        <v>590</v>
      </c>
      <c r="C7780" t="s">
        <v>873</v>
      </c>
      <c r="D7780" t="s">
        <v>11</v>
      </c>
      <c r="E7780">
        <v>29</v>
      </c>
      <c r="F7780" s="2">
        <f>DATE(2026,IF(Tabla1[[#This Row],[Mes de Fecha]]="Septiembre",9,10),Tabla1[[#This Row],[Día de Fecha]])</f>
        <v>46294</v>
      </c>
      <c r="G7780">
        <v>1149934620</v>
      </c>
      <c r="H7780" t="s">
        <v>551</v>
      </c>
      <c r="I7780">
        <v>27</v>
      </c>
      <c r="J7780">
        <v>0</v>
      </c>
      <c r="K7780" s="1">
        <v>1612186</v>
      </c>
    </row>
    <row r="7781" spans="1:11" x14ac:dyDescent="0.25">
      <c r="A7781" t="s">
        <v>326</v>
      </c>
      <c r="B7781" t="s">
        <v>590</v>
      </c>
      <c r="C7781" t="s">
        <v>873</v>
      </c>
      <c r="D7781" t="s">
        <v>11</v>
      </c>
      <c r="E7781">
        <v>30</v>
      </c>
      <c r="F7781" s="2">
        <f>DATE(2026,IF(Tabla1[[#This Row],[Mes de Fecha]]="Septiembre",9,10),Tabla1[[#This Row],[Día de Fecha]])</f>
        <v>46295</v>
      </c>
      <c r="I7781">
        <v>0</v>
      </c>
      <c r="J7781" s="1">
        <v>15076925</v>
      </c>
      <c r="K7781">
        <v>0</v>
      </c>
    </row>
    <row r="7782" spans="1:11" x14ac:dyDescent="0.25">
      <c r="A7782" t="s">
        <v>326</v>
      </c>
      <c r="B7782" t="s">
        <v>590</v>
      </c>
      <c r="C7782" t="s">
        <v>873</v>
      </c>
      <c r="D7782" t="s">
        <v>11</v>
      </c>
      <c r="E7782">
        <v>30</v>
      </c>
      <c r="F7782" s="2">
        <f>DATE(2026,IF(Tabla1[[#This Row],[Mes de Fecha]]="Septiembre",9,10),Tabla1[[#This Row],[Día de Fecha]])</f>
        <v>46295</v>
      </c>
      <c r="G7782">
        <v>1000190054</v>
      </c>
      <c r="H7782" t="s">
        <v>597</v>
      </c>
      <c r="I7782">
        <v>1</v>
      </c>
      <c r="J7782">
        <v>0</v>
      </c>
      <c r="K7782" s="1">
        <v>37774</v>
      </c>
    </row>
    <row r="7783" spans="1:11" x14ac:dyDescent="0.25">
      <c r="A7783" t="s">
        <v>326</v>
      </c>
      <c r="B7783" t="s">
        <v>590</v>
      </c>
      <c r="C7783" t="s">
        <v>873</v>
      </c>
      <c r="D7783" t="s">
        <v>11</v>
      </c>
      <c r="E7783">
        <v>30</v>
      </c>
      <c r="F7783" s="2">
        <f>DATE(2026,IF(Tabla1[[#This Row],[Mes de Fecha]]="Septiembre",9,10),Tabla1[[#This Row],[Día de Fecha]])</f>
        <v>46295</v>
      </c>
      <c r="G7783">
        <v>1092850523</v>
      </c>
      <c r="H7783" t="s">
        <v>591</v>
      </c>
      <c r="I7783">
        <v>153</v>
      </c>
      <c r="J7783">
        <v>0</v>
      </c>
      <c r="K7783" s="1">
        <v>8648246</v>
      </c>
    </row>
    <row r="7784" spans="1:11" x14ac:dyDescent="0.25">
      <c r="A7784" t="s">
        <v>326</v>
      </c>
      <c r="B7784" t="s">
        <v>590</v>
      </c>
      <c r="C7784" t="s">
        <v>873</v>
      </c>
      <c r="D7784" t="s">
        <v>11</v>
      </c>
      <c r="E7784">
        <v>30</v>
      </c>
      <c r="F7784" s="2">
        <f>DATE(2026,IF(Tabla1[[#This Row],[Mes de Fecha]]="Septiembre",9,10),Tabla1[[#This Row],[Día de Fecha]])</f>
        <v>46295</v>
      </c>
      <c r="G7784">
        <v>1094905873</v>
      </c>
      <c r="H7784" t="s">
        <v>598</v>
      </c>
      <c r="I7784">
        <v>14</v>
      </c>
      <c r="J7784">
        <v>0</v>
      </c>
      <c r="K7784" s="1">
        <v>827100</v>
      </c>
    </row>
    <row r="7785" spans="1:11" x14ac:dyDescent="0.25">
      <c r="A7785" t="s">
        <v>326</v>
      </c>
      <c r="B7785" t="s">
        <v>590</v>
      </c>
      <c r="C7785" t="s">
        <v>873</v>
      </c>
      <c r="D7785" t="s">
        <v>11</v>
      </c>
      <c r="E7785">
        <v>30</v>
      </c>
      <c r="F7785" s="2">
        <f>DATE(2026,IF(Tabla1[[#This Row],[Mes de Fecha]]="Septiembre",9,10),Tabla1[[#This Row],[Día de Fecha]])</f>
        <v>46295</v>
      </c>
      <c r="G7785">
        <v>1094971574</v>
      </c>
      <c r="H7785" t="s">
        <v>546</v>
      </c>
      <c r="I7785">
        <v>0</v>
      </c>
      <c r="J7785">
        <v>0</v>
      </c>
      <c r="K7785">
        <v>0</v>
      </c>
    </row>
    <row r="7786" spans="1:11" x14ac:dyDescent="0.25">
      <c r="A7786" t="s">
        <v>326</v>
      </c>
      <c r="B7786" t="s">
        <v>590</v>
      </c>
      <c r="C7786" t="s">
        <v>873</v>
      </c>
      <c r="D7786" t="s">
        <v>11</v>
      </c>
      <c r="E7786">
        <v>30</v>
      </c>
      <c r="F7786" s="2">
        <f>DATE(2026,IF(Tabla1[[#This Row],[Mes de Fecha]]="Septiembre",9,10),Tabla1[[#This Row],[Día de Fecha]])</f>
        <v>46295</v>
      </c>
      <c r="G7786">
        <v>1097391531</v>
      </c>
      <c r="H7786" t="s">
        <v>595</v>
      </c>
      <c r="I7786">
        <v>-1</v>
      </c>
      <c r="J7786">
        <v>0</v>
      </c>
      <c r="K7786" s="1">
        <v>-67143</v>
      </c>
    </row>
    <row r="7787" spans="1:11" x14ac:dyDescent="0.25">
      <c r="A7787" t="s">
        <v>326</v>
      </c>
      <c r="B7787" t="s">
        <v>590</v>
      </c>
      <c r="C7787" t="s">
        <v>873</v>
      </c>
      <c r="D7787" t="s">
        <v>11</v>
      </c>
      <c r="E7787">
        <v>30</v>
      </c>
      <c r="F7787" s="2">
        <f>DATE(2026,IF(Tabla1[[#This Row],[Mes de Fecha]]="Septiembre",9,10),Tabla1[[#This Row],[Día de Fecha]])</f>
        <v>46295</v>
      </c>
      <c r="G7787">
        <v>1149934620</v>
      </c>
      <c r="H7787" t="s">
        <v>551</v>
      </c>
      <c r="I7787">
        <v>4</v>
      </c>
      <c r="J7787">
        <v>0</v>
      </c>
      <c r="K7787" s="1">
        <v>266639</v>
      </c>
    </row>
    <row r="7788" spans="1:11" x14ac:dyDescent="0.25">
      <c r="A7788" t="s">
        <v>326</v>
      </c>
      <c r="B7788" t="s">
        <v>590</v>
      </c>
      <c r="C7788" t="s">
        <v>873</v>
      </c>
      <c r="D7788" t="s">
        <v>14</v>
      </c>
      <c r="E7788">
        <v>1</v>
      </c>
      <c r="F7788" s="2">
        <f>DATE(2026,IF(Tabla1[[#This Row],[Mes de Fecha]]="Septiembre",9,10),Tabla1[[#This Row],[Día de Fecha]])</f>
        <v>46296</v>
      </c>
      <c r="I7788">
        <v>0</v>
      </c>
      <c r="J7788" s="1">
        <v>14431709</v>
      </c>
      <c r="K7788">
        <v>0</v>
      </c>
    </row>
    <row r="7789" spans="1:11" x14ac:dyDescent="0.25">
      <c r="A7789" t="s">
        <v>326</v>
      </c>
      <c r="B7789" t="s">
        <v>590</v>
      </c>
      <c r="C7789" t="s">
        <v>873</v>
      </c>
      <c r="D7789" t="s">
        <v>14</v>
      </c>
      <c r="E7789">
        <v>1</v>
      </c>
      <c r="F7789" s="2">
        <f>DATE(2026,IF(Tabla1[[#This Row],[Mes de Fecha]]="Septiembre",9,10),Tabla1[[#This Row],[Día de Fecha]])</f>
        <v>46296</v>
      </c>
      <c r="G7789">
        <v>1000190054</v>
      </c>
      <c r="H7789" t="s">
        <v>597</v>
      </c>
      <c r="I7789">
        <v>31</v>
      </c>
      <c r="J7789">
        <v>0</v>
      </c>
      <c r="K7789" s="1">
        <v>1826433</v>
      </c>
    </row>
    <row r="7790" spans="1:11" x14ac:dyDescent="0.25">
      <c r="A7790" t="s">
        <v>326</v>
      </c>
      <c r="B7790" t="s">
        <v>590</v>
      </c>
      <c r="C7790" t="s">
        <v>873</v>
      </c>
      <c r="D7790" t="s">
        <v>14</v>
      </c>
      <c r="E7790">
        <v>1</v>
      </c>
      <c r="F7790" s="2">
        <f>DATE(2026,IF(Tabla1[[#This Row],[Mes de Fecha]]="Septiembre",9,10),Tabla1[[#This Row],[Día de Fecha]])</f>
        <v>46296</v>
      </c>
      <c r="G7790">
        <v>1092850523</v>
      </c>
      <c r="H7790" t="s">
        <v>591</v>
      </c>
      <c r="I7790">
        <v>49</v>
      </c>
      <c r="J7790">
        <v>0</v>
      </c>
      <c r="K7790" s="1">
        <v>2481014</v>
      </c>
    </row>
    <row r="7791" spans="1:11" x14ac:dyDescent="0.25">
      <c r="A7791" t="s">
        <v>326</v>
      </c>
      <c r="B7791" t="s">
        <v>590</v>
      </c>
      <c r="C7791" t="s">
        <v>873</v>
      </c>
      <c r="D7791" t="s">
        <v>14</v>
      </c>
      <c r="E7791">
        <v>1</v>
      </c>
      <c r="F7791" s="2">
        <f>DATE(2026,IF(Tabla1[[#This Row],[Mes de Fecha]]="Septiembre",9,10),Tabla1[[#This Row],[Día de Fecha]])</f>
        <v>46296</v>
      </c>
      <c r="G7791">
        <v>1094905873</v>
      </c>
      <c r="H7791" t="s">
        <v>598</v>
      </c>
      <c r="I7791">
        <v>44</v>
      </c>
      <c r="J7791">
        <v>0</v>
      </c>
      <c r="K7791" s="1">
        <v>2548363</v>
      </c>
    </row>
    <row r="7792" spans="1:11" x14ac:dyDescent="0.25">
      <c r="A7792" t="s">
        <v>326</v>
      </c>
      <c r="B7792" t="s">
        <v>590</v>
      </c>
      <c r="C7792" t="s">
        <v>873</v>
      </c>
      <c r="D7792" t="s">
        <v>14</v>
      </c>
      <c r="E7792">
        <v>1</v>
      </c>
      <c r="F7792" s="2">
        <f>DATE(2026,IF(Tabla1[[#This Row],[Mes de Fecha]]="Septiembre",9,10),Tabla1[[#This Row],[Día de Fecha]])</f>
        <v>46296</v>
      </c>
      <c r="G7792">
        <v>1094971574</v>
      </c>
      <c r="H7792" t="s">
        <v>546</v>
      </c>
      <c r="I7792">
        <v>34</v>
      </c>
      <c r="J7792">
        <v>0</v>
      </c>
      <c r="K7792" s="1">
        <v>1998403</v>
      </c>
    </row>
    <row r="7793" spans="1:11" x14ac:dyDescent="0.25">
      <c r="A7793" t="s">
        <v>326</v>
      </c>
      <c r="B7793" t="s">
        <v>590</v>
      </c>
      <c r="C7793" t="s">
        <v>873</v>
      </c>
      <c r="D7793" t="s">
        <v>14</v>
      </c>
      <c r="E7793">
        <v>1</v>
      </c>
      <c r="F7793" s="2">
        <f>DATE(2026,IF(Tabla1[[#This Row],[Mes de Fecha]]="Septiembre",9,10),Tabla1[[#This Row],[Día de Fecha]])</f>
        <v>46296</v>
      </c>
      <c r="G7793">
        <v>1149934620</v>
      </c>
      <c r="H7793" t="s">
        <v>551</v>
      </c>
      <c r="I7793">
        <v>42</v>
      </c>
      <c r="J7793">
        <v>0</v>
      </c>
      <c r="K7793" s="1">
        <v>2439203</v>
      </c>
    </row>
    <row r="7794" spans="1:11" x14ac:dyDescent="0.25">
      <c r="A7794" t="s">
        <v>326</v>
      </c>
      <c r="B7794" t="s">
        <v>590</v>
      </c>
      <c r="C7794" t="s">
        <v>873</v>
      </c>
      <c r="D7794" t="s">
        <v>14</v>
      </c>
      <c r="E7794">
        <v>2</v>
      </c>
      <c r="F7794" s="2">
        <f>DATE(2026,IF(Tabla1[[#This Row],[Mes de Fecha]]="Septiembre",9,10),Tabla1[[#This Row],[Día de Fecha]])</f>
        <v>46297</v>
      </c>
      <c r="I7794">
        <v>0</v>
      </c>
      <c r="J7794" s="1">
        <v>13531382</v>
      </c>
      <c r="K7794">
        <v>0</v>
      </c>
    </row>
    <row r="7795" spans="1:11" x14ac:dyDescent="0.25">
      <c r="A7795" t="s">
        <v>326</v>
      </c>
      <c r="B7795" t="s">
        <v>590</v>
      </c>
      <c r="C7795" t="s">
        <v>873</v>
      </c>
      <c r="D7795" t="s">
        <v>14</v>
      </c>
      <c r="E7795">
        <v>2</v>
      </c>
      <c r="F7795" s="2">
        <f>DATE(2026,IF(Tabla1[[#This Row],[Mes de Fecha]]="Septiembre",9,10),Tabla1[[#This Row],[Día de Fecha]])</f>
        <v>46297</v>
      </c>
      <c r="G7795">
        <v>1000190054</v>
      </c>
      <c r="H7795" t="s">
        <v>597</v>
      </c>
      <c r="I7795">
        <v>-1</v>
      </c>
      <c r="J7795">
        <v>0</v>
      </c>
      <c r="K7795" s="1">
        <v>-67185</v>
      </c>
    </row>
    <row r="7796" spans="1:11" x14ac:dyDescent="0.25">
      <c r="A7796" t="s">
        <v>326</v>
      </c>
      <c r="B7796" t="s">
        <v>590</v>
      </c>
      <c r="C7796" t="s">
        <v>873</v>
      </c>
      <c r="D7796" t="s">
        <v>14</v>
      </c>
      <c r="E7796">
        <v>2</v>
      </c>
      <c r="F7796" s="2">
        <f>DATE(2026,IF(Tabla1[[#This Row],[Mes de Fecha]]="Septiembre",9,10),Tabla1[[#This Row],[Día de Fecha]])</f>
        <v>46297</v>
      </c>
      <c r="G7796">
        <v>1092850523</v>
      </c>
      <c r="H7796" t="s">
        <v>591</v>
      </c>
      <c r="I7796">
        <v>44</v>
      </c>
      <c r="J7796">
        <v>0</v>
      </c>
      <c r="K7796" s="1">
        <v>2395006</v>
      </c>
    </row>
    <row r="7797" spans="1:11" x14ac:dyDescent="0.25">
      <c r="A7797" t="s">
        <v>326</v>
      </c>
      <c r="B7797" t="s">
        <v>590</v>
      </c>
      <c r="C7797" t="s">
        <v>873</v>
      </c>
      <c r="D7797" t="s">
        <v>14</v>
      </c>
      <c r="E7797">
        <v>2</v>
      </c>
      <c r="F7797" s="2">
        <f>DATE(2026,IF(Tabla1[[#This Row],[Mes de Fecha]]="Septiembre",9,10),Tabla1[[#This Row],[Día de Fecha]])</f>
        <v>46297</v>
      </c>
      <c r="G7797">
        <v>1094905873</v>
      </c>
      <c r="H7797" t="s">
        <v>598</v>
      </c>
      <c r="I7797">
        <v>71</v>
      </c>
      <c r="J7797">
        <v>0</v>
      </c>
      <c r="K7797" s="1">
        <v>4116265</v>
      </c>
    </row>
    <row r="7798" spans="1:11" x14ac:dyDescent="0.25">
      <c r="A7798" t="s">
        <v>326</v>
      </c>
      <c r="B7798" t="s">
        <v>590</v>
      </c>
      <c r="C7798" t="s">
        <v>873</v>
      </c>
      <c r="D7798" t="s">
        <v>14</v>
      </c>
      <c r="E7798">
        <v>2</v>
      </c>
      <c r="F7798" s="2">
        <f>DATE(2026,IF(Tabla1[[#This Row],[Mes de Fecha]]="Septiembre",9,10),Tabla1[[#This Row],[Día de Fecha]])</f>
        <v>46297</v>
      </c>
      <c r="G7798">
        <v>1094971574</v>
      </c>
      <c r="H7798" t="s">
        <v>546</v>
      </c>
      <c r="I7798">
        <v>44</v>
      </c>
      <c r="J7798">
        <v>0</v>
      </c>
      <c r="K7798" s="1">
        <v>2543996</v>
      </c>
    </row>
    <row r="7799" spans="1:11" x14ac:dyDescent="0.25">
      <c r="A7799" t="s">
        <v>326</v>
      </c>
      <c r="B7799" t="s">
        <v>590</v>
      </c>
      <c r="C7799" t="s">
        <v>873</v>
      </c>
      <c r="D7799" t="s">
        <v>14</v>
      </c>
      <c r="E7799">
        <v>2</v>
      </c>
      <c r="F7799" s="2">
        <f>DATE(2026,IF(Tabla1[[#This Row],[Mes de Fecha]]="Septiembre",9,10),Tabla1[[#This Row],[Día de Fecha]])</f>
        <v>46297</v>
      </c>
      <c r="G7799">
        <v>1149934620</v>
      </c>
      <c r="H7799" t="s">
        <v>551</v>
      </c>
      <c r="I7799">
        <v>41</v>
      </c>
      <c r="J7799">
        <v>0</v>
      </c>
      <c r="K7799" s="1">
        <v>2540214</v>
      </c>
    </row>
    <row r="7800" spans="1:11" x14ac:dyDescent="0.25">
      <c r="A7800" t="s">
        <v>326</v>
      </c>
      <c r="B7800" t="s">
        <v>590</v>
      </c>
      <c r="C7800" t="s">
        <v>873</v>
      </c>
      <c r="D7800" t="s">
        <v>14</v>
      </c>
      <c r="E7800">
        <v>3</v>
      </c>
      <c r="F7800" s="2">
        <f>DATE(2026,IF(Tabla1[[#This Row],[Mes de Fecha]]="Septiembre",9,10),Tabla1[[#This Row],[Día de Fecha]])</f>
        <v>46298</v>
      </c>
      <c r="I7800">
        <v>0</v>
      </c>
      <c r="J7800" s="1">
        <v>19701964</v>
      </c>
      <c r="K7800">
        <v>0</v>
      </c>
    </row>
    <row r="7801" spans="1:11" x14ac:dyDescent="0.25">
      <c r="A7801" t="s">
        <v>326</v>
      </c>
      <c r="B7801" t="s">
        <v>590</v>
      </c>
      <c r="C7801" t="s">
        <v>873</v>
      </c>
      <c r="D7801" t="s">
        <v>14</v>
      </c>
      <c r="E7801">
        <v>3</v>
      </c>
      <c r="F7801" s="2">
        <f>DATE(2026,IF(Tabla1[[#This Row],[Mes de Fecha]]="Septiembre",9,10),Tabla1[[#This Row],[Día de Fecha]])</f>
        <v>46298</v>
      </c>
      <c r="G7801">
        <v>1092850523</v>
      </c>
      <c r="H7801" t="s">
        <v>591</v>
      </c>
      <c r="I7801">
        <v>41</v>
      </c>
      <c r="J7801">
        <v>0</v>
      </c>
      <c r="K7801" s="1">
        <v>1943012</v>
      </c>
    </row>
    <row r="7802" spans="1:11" x14ac:dyDescent="0.25">
      <c r="A7802" t="s">
        <v>326</v>
      </c>
      <c r="B7802" t="s">
        <v>590</v>
      </c>
      <c r="C7802" t="s">
        <v>873</v>
      </c>
      <c r="D7802" t="s">
        <v>14</v>
      </c>
      <c r="E7802">
        <v>3</v>
      </c>
      <c r="F7802" s="2">
        <f>DATE(2026,IF(Tabla1[[#This Row],[Mes de Fecha]]="Septiembre",9,10),Tabla1[[#This Row],[Día de Fecha]])</f>
        <v>46298</v>
      </c>
      <c r="G7802">
        <v>1094905873</v>
      </c>
      <c r="H7802" t="s">
        <v>598</v>
      </c>
      <c r="I7802">
        <v>138</v>
      </c>
      <c r="J7802">
        <v>0</v>
      </c>
      <c r="K7802" s="1">
        <v>7483177</v>
      </c>
    </row>
    <row r="7803" spans="1:11" x14ac:dyDescent="0.25">
      <c r="A7803" t="s">
        <v>326</v>
      </c>
      <c r="B7803" t="s">
        <v>590</v>
      </c>
      <c r="C7803" t="s">
        <v>873</v>
      </c>
      <c r="D7803" t="s">
        <v>14</v>
      </c>
      <c r="E7803">
        <v>3</v>
      </c>
      <c r="F7803" s="2">
        <f>DATE(2026,IF(Tabla1[[#This Row],[Mes de Fecha]]="Septiembre",9,10),Tabla1[[#This Row],[Día de Fecha]])</f>
        <v>46298</v>
      </c>
      <c r="G7803">
        <v>1094971574</v>
      </c>
      <c r="H7803" t="s">
        <v>546</v>
      </c>
      <c r="I7803">
        <v>120</v>
      </c>
      <c r="J7803">
        <v>0</v>
      </c>
      <c r="K7803" s="1">
        <v>6250431</v>
      </c>
    </row>
    <row r="7804" spans="1:11" x14ac:dyDescent="0.25">
      <c r="A7804" t="s">
        <v>326</v>
      </c>
      <c r="B7804" t="s">
        <v>590</v>
      </c>
      <c r="C7804" t="s">
        <v>873</v>
      </c>
      <c r="D7804" t="s">
        <v>14</v>
      </c>
      <c r="E7804">
        <v>3</v>
      </c>
      <c r="F7804" s="2">
        <f>DATE(2026,IF(Tabla1[[#This Row],[Mes de Fecha]]="Septiembre",9,10),Tabla1[[#This Row],[Día de Fecha]])</f>
        <v>46298</v>
      </c>
      <c r="G7804">
        <v>1097391531</v>
      </c>
      <c r="H7804" t="s">
        <v>595</v>
      </c>
      <c r="I7804">
        <v>-1</v>
      </c>
      <c r="J7804">
        <v>0</v>
      </c>
      <c r="K7804" s="1">
        <v>-58781</v>
      </c>
    </row>
    <row r="7805" spans="1:11" x14ac:dyDescent="0.25">
      <c r="A7805" t="s">
        <v>326</v>
      </c>
      <c r="B7805" t="s">
        <v>590</v>
      </c>
      <c r="C7805" t="s">
        <v>873</v>
      </c>
      <c r="D7805" t="s">
        <v>14</v>
      </c>
      <c r="E7805">
        <v>3</v>
      </c>
      <c r="F7805" s="2">
        <f>DATE(2026,IF(Tabla1[[#This Row],[Mes de Fecha]]="Septiembre",9,10),Tabla1[[#This Row],[Día de Fecha]])</f>
        <v>46298</v>
      </c>
      <c r="G7805">
        <v>1149934620</v>
      </c>
      <c r="H7805" t="s">
        <v>551</v>
      </c>
      <c r="I7805">
        <v>81</v>
      </c>
      <c r="J7805">
        <v>0</v>
      </c>
      <c r="K7805" s="1">
        <v>4196210</v>
      </c>
    </row>
    <row r="7806" spans="1:11" x14ac:dyDescent="0.25">
      <c r="A7806" t="s">
        <v>326</v>
      </c>
      <c r="B7806" t="s">
        <v>590</v>
      </c>
      <c r="C7806" t="s">
        <v>873</v>
      </c>
      <c r="D7806" t="s">
        <v>14</v>
      </c>
      <c r="E7806">
        <v>4</v>
      </c>
      <c r="F7806" s="2">
        <f>DATE(2026,IF(Tabla1[[#This Row],[Mes de Fecha]]="Septiembre",9,10),Tabla1[[#This Row],[Día de Fecha]])</f>
        <v>46299</v>
      </c>
      <c r="I7806">
        <v>0</v>
      </c>
      <c r="J7806" s="1">
        <v>16983025</v>
      </c>
      <c r="K7806">
        <v>0</v>
      </c>
    </row>
    <row r="7807" spans="1:11" x14ac:dyDescent="0.25">
      <c r="A7807" t="s">
        <v>326</v>
      </c>
      <c r="B7807" t="s">
        <v>590</v>
      </c>
      <c r="C7807" t="s">
        <v>873</v>
      </c>
      <c r="D7807" t="s">
        <v>14</v>
      </c>
      <c r="E7807">
        <v>4</v>
      </c>
      <c r="F7807" s="2">
        <f>DATE(2026,IF(Tabla1[[#This Row],[Mes de Fecha]]="Septiembre",9,10),Tabla1[[#This Row],[Día de Fecha]])</f>
        <v>46299</v>
      </c>
      <c r="G7807">
        <v>1000190054</v>
      </c>
      <c r="H7807" t="s">
        <v>597</v>
      </c>
      <c r="I7807">
        <v>-1</v>
      </c>
      <c r="J7807">
        <v>0</v>
      </c>
      <c r="K7807" s="1">
        <v>-33572</v>
      </c>
    </row>
    <row r="7808" spans="1:11" x14ac:dyDescent="0.25">
      <c r="A7808" t="s">
        <v>326</v>
      </c>
      <c r="B7808" t="s">
        <v>590</v>
      </c>
      <c r="C7808" t="s">
        <v>873</v>
      </c>
      <c r="D7808" t="s">
        <v>14</v>
      </c>
      <c r="E7808">
        <v>4</v>
      </c>
      <c r="F7808" s="2">
        <f>DATE(2026,IF(Tabla1[[#This Row],[Mes de Fecha]]="Septiembre",9,10),Tabla1[[#This Row],[Día de Fecha]])</f>
        <v>46299</v>
      </c>
      <c r="G7808">
        <v>1004826334</v>
      </c>
      <c r="H7808" t="s">
        <v>600</v>
      </c>
      <c r="I7808">
        <v>-1</v>
      </c>
      <c r="J7808">
        <v>0</v>
      </c>
      <c r="K7808" s="1">
        <v>-83992</v>
      </c>
    </row>
    <row r="7809" spans="1:11" x14ac:dyDescent="0.25">
      <c r="A7809" t="s">
        <v>326</v>
      </c>
      <c r="B7809" t="s">
        <v>590</v>
      </c>
      <c r="C7809" t="s">
        <v>873</v>
      </c>
      <c r="D7809" t="s">
        <v>14</v>
      </c>
      <c r="E7809">
        <v>4</v>
      </c>
      <c r="F7809" s="2">
        <f>DATE(2026,IF(Tabla1[[#This Row],[Mes de Fecha]]="Septiembre",9,10),Tabla1[[#This Row],[Día de Fecha]])</f>
        <v>46299</v>
      </c>
      <c r="G7809">
        <v>1007466983</v>
      </c>
      <c r="H7809" t="s">
        <v>601</v>
      </c>
      <c r="I7809">
        <v>-1</v>
      </c>
      <c r="J7809">
        <v>0</v>
      </c>
      <c r="K7809" s="1">
        <v>-29370</v>
      </c>
    </row>
    <row r="7810" spans="1:11" x14ac:dyDescent="0.25">
      <c r="A7810" t="s">
        <v>326</v>
      </c>
      <c r="B7810" t="s">
        <v>590</v>
      </c>
      <c r="C7810" t="s">
        <v>873</v>
      </c>
      <c r="D7810" t="s">
        <v>14</v>
      </c>
      <c r="E7810">
        <v>4</v>
      </c>
      <c r="F7810" s="2">
        <f>DATE(2026,IF(Tabla1[[#This Row],[Mes de Fecha]]="Septiembre",9,10),Tabla1[[#This Row],[Día de Fecha]])</f>
        <v>46299</v>
      </c>
      <c r="G7810">
        <v>1092850523</v>
      </c>
      <c r="H7810" t="s">
        <v>591</v>
      </c>
      <c r="I7810">
        <v>104</v>
      </c>
      <c r="J7810">
        <v>0</v>
      </c>
      <c r="K7810" s="1">
        <v>5921978</v>
      </c>
    </row>
    <row r="7811" spans="1:11" x14ac:dyDescent="0.25">
      <c r="A7811" t="s">
        <v>326</v>
      </c>
      <c r="B7811" t="s">
        <v>590</v>
      </c>
      <c r="C7811" t="s">
        <v>873</v>
      </c>
      <c r="D7811" t="s">
        <v>14</v>
      </c>
      <c r="E7811">
        <v>4</v>
      </c>
      <c r="F7811" s="2">
        <f>DATE(2026,IF(Tabla1[[#This Row],[Mes de Fecha]]="Septiembre",9,10),Tabla1[[#This Row],[Día de Fecha]])</f>
        <v>46299</v>
      </c>
      <c r="G7811">
        <v>1094905873</v>
      </c>
      <c r="H7811" t="s">
        <v>598</v>
      </c>
      <c r="I7811">
        <v>1</v>
      </c>
      <c r="J7811">
        <v>0</v>
      </c>
      <c r="K7811" s="1">
        <v>121849</v>
      </c>
    </row>
    <row r="7812" spans="1:11" x14ac:dyDescent="0.25">
      <c r="A7812" t="s">
        <v>326</v>
      </c>
      <c r="B7812" t="s">
        <v>590</v>
      </c>
      <c r="C7812" t="s">
        <v>873</v>
      </c>
      <c r="D7812" t="s">
        <v>14</v>
      </c>
      <c r="E7812">
        <v>4</v>
      </c>
      <c r="F7812" s="2">
        <f>DATE(2026,IF(Tabla1[[#This Row],[Mes de Fecha]]="Septiembre",9,10),Tabla1[[#This Row],[Día de Fecha]])</f>
        <v>46299</v>
      </c>
      <c r="G7812">
        <v>1094957784</v>
      </c>
      <c r="H7812" t="s">
        <v>593</v>
      </c>
      <c r="I7812">
        <v>-1</v>
      </c>
      <c r="J7812">
        <v>0</v>
      </c>
      <c r="K7812" s="1">
        <v>-41975</v>
      </c>
    </row>
    <row r="7813" spans="1:11" x14ac:dyDescent="0.25">
      <c r="A7813" t="s">
        <v>326</v>
      </c>
      <c r="B7813" t="s">
        <v>590</v>
      </c>
      <c r="C7813" t="s">
        <v>873</v>
      </c>
      <c r="D7813" t="s">
        <v>14</v>
      </c>
      <c r="E7813">
        <v>4</v>
      </c>
      <c r="F7813" s="2">
        <f>DATE(2026,IF(Tabla1[[#This Row],[Mes de Fecha]]="Septiembre",9,10),Tabla1[[#This Row],[Día de Fecha]])</f>
        <v>46299</v>
      </c>
      <c r="G7813">
        <v>1094971574</v>
      </c>
      <c r="H7813" t="s">
        <v>546</v>
      </c>
      <c r="I7813">
        <v>125</v>
      </c>
      <c r="J7813">
        <v>0</v>
      </c>
      <c r="K7813" s="1">
        <v>7414918</v>
      </c>
    </row>
    <row r="7814" spans="1:11" x14ac:dyDescent="0.25">
      <c r="A7814" t="s">
        <v>326</v>
      </c>
      <c r="B7814" t="s">
        <v>590</v>
      </c>
      <c r="C7814" t="s">
        <v>873</v>
      </c>
      <c r="D7814" t="s">
        <v>14</v>
      </c>
      <c r="E7814">
        <v>4</v>
      </c>
      <c r="F7814" s="2">
        <f>DATE(2026,IF(Tabla1[[#This Row],[Mes de Fecha]]="Septiembre",9,10),Tabla1[[#This Row],[Día de Fecha]])</f>
        <v>46299</v>
      </c>
      <c r="G7814">
        <v>1149934620</v>
      </c>
      <c r="H7814" t="s">
        <v>551</v>
      </c>
      <c r="I7814">
        <v>99</v>
      </c>
      <c r="J7814">
        <v>0</v>
      </c>
      <c r="K7814" s="1">
        <v>6208231</v>
      </c>
    </row>
    <row r="7815" spans="1:11" x14ac:dyDescent="0.25">
      <c r="A7815" t="s">
        <v>326</v>
      </c>
      <c r="B7815" t="s">
        <v>590</v>
      </c>
      <c r="C7815" t="s">
        <v>873</v>
      </c>
      <c r="D7815" t="s">
        <v>14</v>
      </c>
      <c r="E7815">
        <v>5</v>
      </c>
      <c r="F7815" s="2">
        <f>DATE(2026,IF(Tabla1[[#This Row],[Mes de Fecha]]="Septiembre",9,10),Tabla1[[#This Row],[Día de Fecha]])</f>
        <v>46300</v>
      </c>
      <c r="I7815">
        <v>0</v>
      </c>
      <c r="J7815" s="1">
        <v>10913617</v>
      </c>
      <c r="K7815">
        <v>0</v>
      </c>
    </row>
    <row r="7816" spans="1:11" x14ac:dyDescent="0.25">
      <c r="A7816" t="s">
        <v>326</v>
      </c>
      <c r="B7816" t="s">
        <v>590</v>
      </c>
      <c r="C7816" t="s">
        <v>873</v>
      </c>
      <c r="D7816" t="s">
        <v>14</v>
      </c>
      <c r="E7816">
        <v>5</v>
      </c>
      <c r="F7816" s="2">
        <f>DATE(2026,IF(Tabla1[[#This Row],[Mes de Fecha]]="Septiembre",9,10),Tabla1[[#This Row],[Día de Fecha]])</f>
        <v>46300</v>
      </c>
      <c r="G7816">
        <v>33355697</v>
      </c>
      <c r="H7816" t="s">
        <v>592</v>
      </c>
      <c r="I7816">
        <v>-2</v>
      </c>
      <c r="J7816">
        <v>0</v>
      </c>
      <c r="K7816" s="1">
        <v>-142773</v>
      </c>
    </row>
    <row r="7817" spans="1:11" x14ac:dyDescent="0.25">
      <c r="A7817" t="s">
        <v>326</v>
      </c>
      <c r="B7817" t="s">
        <v>590</v>
      </c>
      <c r="C7817" t="s">
        <v>873</v>
      </c>
      <c r="D7817" t="s">
        <v>14</v>
      </c>
      <c r="E7817">
        <v>5</v>
      </c>
      <c r="F7817" s="2">
        <f>DATE(2026,IF(Tabla1[[#This Row],[Mes de Fecha]]="Septiembre",9,10),Tabla1[[#This Row],[Día de Fecha]])</f>
        <v>46300</v>
      </c>
      <c r="G7817">
        <v>1000190054</v>
      </c>
      <c r="H7817" t="s">
        <v>597</v>
      </c>
      <c r="I7817">
        <v>36</v>
      </c>
      <c r="J7817">
        <v>0</v>
      </c>
      <c r="K7817" s="1">
        <v>1809329</v>
      </c>
    </row>
    <row r="7818" spans="1:11" x14ac:dyDescent="0.25">
      <c r="A7818" t="s">
        <v>326</v>
      </c>
      <c r="B7818" t="s">
        <v>590</v>
      </c>
      <c r="C7818" t="s">
        <v>873</v>
      </c>
      <c r="D7818" t="s">
        <v>14</v>
      </c>
      <c r="E7818">
        <v>5</v>
      </c>
      <c r="F7818" s="2">
        <f>DATE(2026,IF(Tabla1[[#This Row],[Mes de Fecha]]="Septiembre",9,10),Tabla1[[#This Row],[Día de Fecha]])</f>
        <v>46300</v>
      </c>
      <c r="G7818">
        <v>1092850523</v>
      </c>
      <c r="H7818" t="s">
        <v>591</v>
      </c>
      <c r="I7818">
        <v>-1</v>
      </c>
      <c r="J7818">
        <v>0</v>
      </c>
      <c r="K7818" s="1">
        <v>-67185</v>
      </c>
    </row>
    <row r="7819" spans="1:11" x14ac:dyDescent="0.25">
      <c r="A7819" t="s">
        <v>326</v>
      </c>
      <c r="B7819" t="s">
        <v>590</v>
      </c>
      <c r="C7819" t="s">
        <v>873</v>
      </c>
      <c r="D7819" t="s">
        <v>14</v>
      </c>
      <c r="E7819">
        <v>5</v>
      </c>
      <c r="F7819" s="2">
        <f>DATE(2026,IF(Tabla1[[#This Row],[Mes de Fecha]]="Septiembre",9,10),Tabla1[[#This Row],[Día de Fecha]])</f>
        <v>46300</v>
      </c>
      <c r="G7819">
        <v>1094905873</v>
      </c>
      <c r="H7819" t="s">
        <v>598</v>
      </c>
      <c r="I7819">
        <v>69</v>
      </c>
      <c r="J7819">
        <v>0</v>
      </c>
      <c r="K7819" s="1">
        <v>3803450</v>
      </c>
    </row>
    <row r="7820" spans="1:11" x14ac:dyDescent="0.25">
      <c r="A7820" t="s">
        <v>326</v>
      </c>
      <c r="B7820" t="s">
        <v>590</v>
      </c>
      <c r="C7820" t="s">
        <v>873</v>
      </c>
      <c r="D7820" t="s">
        <v>14</v>
      </c>
      <c r="E7820">
        <v>5</v>
      </c>
      <c r="F7820" s="2">
        <f>DATE(2026,IF(Tabla1[[#This Row],[Mes de Fecha]]="Septiembre",9,10),Tabla1[[#This Row],[Día de Fecha]])</f>
        <v>46300</v>
      </c>
      <c r="G7820">
        <v>1094971574</v>
      </c>
      <c r="H7820" t="s">
        <v>546</v>
      </c>
      <c r="I7820">
        <v>58</v>
      </c>
      <c r="J7820">
        <v>0</v>
      </c>
      <c r="K7820" s="1">
        <v>3490972</v>
      </c>
    </row>
    <row r="7821" spans="1:11" x14ac:dyDescent="0.25">
      <c r="A7821" t="s">
        <v>326</v>
      </c>
      <c r="B7821" t="s">
        <v>590</v>
      </c>
      <c r="C7821" t="s">
        <v>873</v>
      </c>
      <c r="D7821" t="s">
        <v>14</v>
      </c>
      <c r="E7821">
        <v>5</v>
      </c>
      <c r="F7821" s="2">
        <f>DATE(2026,IF(Tabla1[[#This Row],[Mes de Fecha]]="Septiembre",9,10),Tabla1[[#This Row],[Día de Fecha]])</f>
        <v>46300</v>
      </c>
      <c r="G7821">
        <v>1097391531</v>
      </c>
      <c r="H7821" t="s">
        <v>595</v>
      </c>
      <c r="I7821">
        <v>-1</v>
      </c>
      <c r="J7821">
        <v>0</v>
      </c>
      <c r="K7821" s="1">
        <v>-40302</v>
      </c>
    </row>
    <row r="7822" spans="1:11" x14ac:dyDescent="0.25">
      <c r="A7822" t="s">
        <v>326</v>
      </c>
      <c r="B7822" t="s">
        <v>590</v>
      </c>
      <c r="C7822" t="s">
        <v>873</v>
      </c>
      <c r="D7822" t="s">
        <v>14</v>
      </c>
      <c r="E7822">
        <v>5</v>
      </c>
      <c r="F7822" s="2">
        <f>DATE(2026,IF(Tabla1[[#This Row],[Mes de Fecha]]="Septiembre",9,10),Tabla1[[#This Row],[Día de Fecha]])</f>
        <v>46300</v>
      </c>
      <c r="G7822">
        <v>1149934620</v>
      </c>
      <c r="H7822" t="s">
        <v>551</v>
      </c>
      <c r="I7822">
        <v>56</v>
      </c>
      <c r="J7822">
        <v>0</v>
      </c>
      <c r="K7822" s="1">
        <v>3014114</v>
      </c>
    </row>
    <row r="7823" spans="1:11" x14ac:dyDescent="0.25">
      <c r="A7823" t="s">
        <v>326</v>
      </c>
      <c r="B7823" t="s">
        <v>590</v>
      </c>
      <c r="C7823" t="s">
        <v>873</v>
      </c>
      <c r="D7823" t="s">
        <v>14</v>
      </c>
      <c r="E7823">
        <v>6</v>
      </c>
      <c r="F7823" s="2">
        <f>DATE(2026,IF(Tabla1[[#This Row],[Mes de Fecha]]="Septiembre",9,10),Tabla1[[#This Row],[Día de Fecha]])</f>
        <v>46301</v>
      </c>
      <c r="I7823">
        <v>0</v>
      </c>
      <c r="J7823" s="1">
        <v>4772903</v>
      </c>
      <c r="K7823">
        <v>0</v>
      </c>
    </row>
    <row r="7824" spans="1:11" x14ac:dyDescent="0.25">
      <c r="A7824" t="s">
        <v>326</v>
      </c>
      <c r="B7824" t="s">
        <v>590</v>
      </c>
      <c r="C7824" t="s">
        <v>873</v>
      </c>
      <c r="D7824" t="s">
        <v>14</v>
      </c>
      <c r="E7824">
        <v>6</v>
      </c>
      <c r="F7824" s="2">
        <f>DATE(2026,IF(Tabla1[[#This Row],[Mes de Fecha]]="Septiembre",9,10),Tabla1[[#This Row],[Día de Fecha]])</f>
        <v>46301</v>
      </c>
      <c r="G7824">
        <v>1000190054</v>
      </c>
      <c r="H7824" t="s">
        <v>597</v>
      </c>
      <c r="I7824">
        <v>-1</v>
      </c>
      <c r="J7824">
        <v>0</v>
      </c>
      <c r="K7824" s="1">
        <v>-46177</v>
      </c>
    </row>
    <row r="7825" spans="1:11" x14ac:dyDescent="0.25">
      <c r="A7825" t="s">
        <v>326</v>
      </c>
      <c r="B7825" t="s">
        <v>590</v>
      </c>
      <c r="C7825" t="s">
        <v>873</v>
      </c>
      <c r="D7825" t="s">
        <v>14</v>
      </c>
      <c r="E7825">
        <v>6</v>
      </c>
      <c r="F7825" s="2">
        <f>DATE(2026,IF(Tabla1[[#This Row],[Mes de Fecha]]="Septiembre",9,10),Tabla1[[#This Row],[Día de Fecha]])</f>
        <v>46301</v>
      </c>
      <c r="G7825">
        <v>1004826334</v>
      </c>
      <c r="H7825" t="s">
        <v>600</v>
      </c>
      <c r="I7825">
        <v>-2</v>
      </c>
      <c r="J7825">
        <v>0</v>
      </c>
      <c r="K7825" s="1">
        <v>-117563</v>
      </c>
    </row>
    <row r="7826" spans="1:11" x14ac:dyDescent="0.25">
      <c r="A7826" t="s">
        <v>326</v>
      </c>
      <c r="B7826" t="s">
        <v>590</v>
      </c>
      <c r="C7826" t="s">
        <v>873</v>
      </c>
      <c r="D7826" t="s">
        <v>14</v>
      </c>
      <c r="E7826">
        <v>6</v>
      </c>
      <c r="F7826" s="2">
        <f>DATE(2026,IF(Tabla1[[#This Row],[Mes de Fecha]]="Septiembre",9,10),Tabla1[[#This Row],[Día de Fecha]])</f>
        <v>46301</v>
      </c>
      <c r="G7826">
        <v>1092850523</v>
      </c>
      <c r="H7826" t="s">
        <v>591</v>
      </c>
      <c r="I7826">
        <v>-2</v>
      </c>
      <c r="J7826">
        <v>0</v>
      </c>
      <c r="K7826" s="1">
        <v>-146975</v>
      </c>
    </row>
    <row r="7827" spans="1:11" x14ac:dyDescent="0.25">
      <c r="A7827" t="s">
        <v>326</v>
      </c>
      <c r="B7827" t="s">
        <v>590</v>
      </c>
      <c r="C7827" t="s">
        <v>873</v>
      </c>
      <c r="D7827" t="s">
        <v>14</v>
      </c>
      <c r="E7827">
        <v>6</v>
      </c>
      <c r="F7827" s="2">
        <f>DATE(2026,IF(Tabla1[[#This Row],[Mes de Fecha]]="Septiembre",9,10),Tabla1[[#This Row],[Día de Fecha]])</f>
        <v>46301</v>
      </c>
      <c r="G7827">
        <v>1094905873</v>
      </c>
      <c r="H7827" t="s">
        <v>598</v>
      </c>
      <c r="I7827">
        <v>64</v>
      </c>
      <c r="J7827">
        <v>0</v>
      </c>
      <c r="K7827" s="1">
        <v>3700845</v>
      </c>
    </row>
    <row r="7828" spans="1:11" x14ac:dyDescent="0.25">
      <c r="A7828" t="s">
        <v>326</v>
      </c>
      <c r="B7828" t="s">
        <v>590</v>
      </c>
      <c r="C7828" t="s">
        <v>873</v>
      </c>
      <c r="D7828" t="s">
        <v>14</v>
      </c>
      <c r="E7828">
        <v>6</v>
      </c>
      <c r="F7828" s="2">
        <f>DATE(2026,IF(Tabla1[[#This Row],[Mes de Fecha]]="Septiembre",9,10),Tabla1[[#This Row],[Día de Fecha]])</f>
        <v>46301</v>
      </c>
      <c r="G7828">
        <v>1094971574</v>
      </c>
      <c r="H7828" t="s">
        <v>546</v>
      </c>
      <c r="I7828">
        <v>81</v>
      </c>
      <c r="J7828">
        <v>0</v>
      </c>
      <c r="K7828" s="1">
        <v>3907815</v>
      </c>
    </row>
    <row r="7829" spans="1:11" x14ac:dyDescent="0.25">
      <c r="A7829" t="s">
        <v>326</v>
      </c>
      <c r="B7829" t="s">
        <v>590</v>
      </c>
      <c r="C7829" t="s">
        <v>873</v>
      </c>
      <c r="D7829" t="s">
        <v>14</v>
      </c>
      <c r="E7829">
        <v>7</v>
      </c>
      <c r="F7829" s="2">
        <f>DATE(2026,IF(Tabla1[[#This Row],[Mes de Fecha]]="Septiembre",9,10),Tabla1[[#This Row],[Día de Fecha]])</f>
        <v>46302</v>
      </c>
      <c r="I7829">
        <v>0</v>
      </c>
      <c r="J7829" s="1">
        <v>4710099</v>
      </c>
      <c r="K7829">
        <v>0</v>
      </c>
    </row>
    <row r="7830" spans="1:11" x14ac:dyDescent="0.25">
      <c r="A7830" t="s">
        <v>326</v>
      </c>
      <c r="B7830" t="s">
        <v>590</v>
      </c>
      <c r="C7830" t="s">
        <v>873</v>
      </c>
      <c r="D7830" t="s">
        <v>14</v>
      </c>
      <c r="E7830">
        <v>7</v>
      </c>
      <c r="F7830" s="2">
        <f>DATE(2026,IF(Tabla1[[#This Row],[Mes de Fecha]]="Septiembre",9,10),Tabla1[[#This Row],[Día de Fecha]])</f>
        <v>46302</v>
      </c>
      <c r="G7830">
        <v>1094905873</v>
      </c>
      <c r="H7830" t="s">
        <v>598</v>
      </c>
      <c r="I7830">
        <v>25</v>
      </c>
      <c r="J7830">
        <v>0</v>
      </c>
      <c r="K7830" s="1">
        <v>1372689</v>
      </c>
    </row>
    <row r="7831" spans="1:11" x14ac:dyDescent="0.25">
      <c r="A7831" t="s">
        <v>326</v>
      </c>
      <c r="B7831" t="s">
        <v>590</v>
      </c>
      <c r="C7831" t="s">
        <v>873</v>
      </c>
      <c r="D7831" t="s">
        <v>14</v>
      </c>
      <c r="E7831">
        <v>7</v>
      </c>
      <c r="F7831" s="2">
        <f>DATE(2026,IF(Tabla1[[#This Row],[Mes de Fecha]]="Septiembre",9,10),Tabla1[[#This Row],[Día de Fecha]])</f>
        <v>46302</v>
      </c>
      <c r="G7831">
        <v>1094971574</v>
      </c>
      <c r="H7831" t="s">
        <v>546</v>
      </c>
      <c r="I7831">
        <v>71</v>
      </c>
      <c r="J7831">
        <v>0</v>
      </c>
      <c r="K7831" s="1">
        <v>3742357</v>
      </c>
    </row>
    <row r="7832" spans="1:11" x14ac:dyDescent="0.25">
      <c r="A7832" t="s">
        <v>326</v>
      </c>
      <c r="B7832" t="s">
        <v>590</v>
      </c>
      <c r="C7832" t="s">
        <v>873</v>
      </c>
      <c r="D7832" t="s">
        <v>14</v>
      </c>
      <c r="E7832">
        <v>7</v>
      </c>
      <c r="F7832" s="2">
        <f>DATE(2026,IF(Tabla1[[#This Row],[Mes de Fecha]]="Septiembre",9,10),Tabla1[[#This Row],[Día de Fecha]])</f>
        <v>46302</v>
      </c>
      <c r="G7832">
        <v>1097391531</v>
      </c>
      <c r="H7832" t="s">
        <v>595</v>
      </c>
      <c r="I7832">
        <v>-1</v>
      </c>
      <c r="J7832">
        <v>0</v>
      </c>
      <c r="K7832" s="1">
        <v>-109202</v>
      </c>
    </row>
    <row r="7833" spans="1:11" x14ac:dyDescent="0.25">
      <c r="A7833" t="s">
        <v>326</v>
      </c>
      <c r="B7833" t="s">
        <v>590</v>
      </c>
      <c r="C7833" t="s">
        <v>873</v>
      </c>
      <c r="D7833" t="s">
        <v>14</v>
      </c>
      <c r="E7833">
        <v>7</v>
      </c>
      <c r="F7833" s="2">
        <f>DATE(2026,IF(Tabla1[[#This Row],[Mes de Fecha]]="Septiembre",9,10),Tabla1[[#This Row],[Día de Fecha]])</f>
        <v>46302</v>
      </c>
      <c r="G7833">
        <v>1149934620</v>
      </c>
      <c r="H7833" t="s">
        <v>551</v>
      </c>
      <c r="I7833">
        <v>55</v>
      </c>
      <c r="J7833">
        <v>0</v>
      </c>
      <c r="K7833" s="1">
        <v>2837651</v>
      </c>
    </row>
    <row r="7834" spans="1:11" x14ac:dyDescent="0.25">
      <c r="A7834" t="s">
        <v>326</v>
      </c>
      <c r="B7834" t="s">
        <v>710</v>
      </c>
      <c r="C7834" t="s">
        <v>873</v>
      </c>
      <c r="D7834" t="s">
        <v>11</v>
      </c>
      <c r="E7834">
        <v>23</v>
      </c>
      <c r="F7834" s="2">
        <f>DATE(2026,IF(Tabla1[[#This Row],[Mes de Fecha]]="Septiembre",9,10),Tabla1[[#This Row],[Día de Fecha]])</f>
        <v>46288</v>
      </c>
      <c r="I7834">
        <v>0</v>
      </c>
      <c r="J7834" s="1">
        <v>8312748</v>
      </c>
      <c r="K7834">
        <v>0</v>
      </c>
    </row>
    <row r="7835" spans="1:11" x14ac:dyDescent="0.25">
      <c r="A7835" t="s">
        <v>326</v>
      </c>
      <c r="B7835" t="s">
        <v>710</v>
      </c>
      <c r="C7835" t="s">
        <v>873</v>
      </c>
      <c r="D7835" t="s">
        <v>11</v>
      </c>
      <c r="E7835">
        <v>23</v>
      </c>
      <c r="F7835" s="2">
        <f>DATE(2026,IF(Tabla1[[#This Row],[Mes de Fecha]]="Septiembre",9,10),Tabla1[[#This Row],[Día de Fecha]])</f>
        <v>46288</v>
      </c>
      <c r="G7835">
        <v>1094957784</v>
      </c>
      <c r="H7835" t="s">
        <v>593</v>
      </c>
      <c r="I7835">
        <v>59</v>
      </c>
      <c r="J7835">
        <v>0</v>
      </c>
      <c r="K7835" s="1">
        <v>3447019</v>
      </c>
    </row>
    <row r="7836" spans="1:11" x14ac:dyDescent="0.25">
      <c r="A7836" t="s">
        <v>326</v>
      </c>
      <c r="B7836" t="s">
        <v>710</v>
      </c>
      <c r="C7836" t="s">
        <v>873</v>
      </c>
      <c r="D7836" t="s">
        <v>11</v>
      </c>
      <c r="E7836">
        <v>23</v>
      </c>
      <c r="F7836" s="2">
        <f>DATE(2026,IF(Tabla1[[#This Row],[Mes de Fecha]]="Septiembre",9,10),Tabla1[[#This Row],[Día de Fecha]])</f>
        <v>46288</v>
      </c>
      <c r="G7836">
        <v>1097391531</v>
      </c>
      <c r="H7836" t="s">
        <v>595</v>
      </c>
      <c r="I7836">
        <v>80</v>
      </c>
      <c r="J7836">
        <v>0</v>
      </c>
      <c r="K7836" s="1">
        <v>4937692</v>
      </c>
    </row>
    <row r="7837" spans="1:11" x14ac:dyDescent="0.25">
      <c r="A7837" t="s">
        <v>326</v>
      </c>
      <c r="B7837" t="s">
        <v>710</v>
      </c>
      <c r="C7837" t="s">
        <v>873</v>
      </c>
      <c r="D7837" t="s">
        <v>11</v>
      </c>
      <c r="E7837">
        <v>24</v>
      </c>
      <c r="F7837" s="2">
        <f>DATE(2026,IF(Tabla1[[#This Row],[Mes de Fecha]]="Septiembre",9,10),Tabla1[[#This Row],[Día de Fecha]])</f>
        <v>46289</v>
      </c>
      <c r="I7837">
        <v>0</v>
      </c>
      <c r="J7837" s="1">
        <v>12698660</v>
      </c>
      <c r="K7837">
        <v>0</v>
      </c>
    </row>
    <row r="7838" spans="1:11" x14ac:dyDescent="0.25">
      <c r="A7838" t="s">
        <v>326</v>
      </c>
      <c r="B7838" t="s">
        <v>710</v>
      </c>
      <c r="C7838" t="s">
        <v>873</v>
      </c>
      <c r="D7838" t="s">
        <v>11</v>
      </c>
      <c r="E7838">
        <v>24</v>
      </c>
      <c r="F7838" s="2">
        <f>DATE(2026,IF(Tabla1[[#This Row],[Mes de Fecha]]="Septiembre",9,10),Tabla1[[#This Row],[Día de Fecha]])</f>
        <v>46289</v>
      </c>
      <c r="G7838">
        <v>33355697</v>
      </c>
      <c r="H7838" t="s">
        <v>592</v>
      </c>
      <c r="I7838">
        <v>-1</v>
      </c>
      <c r="J7838">
        <v>0</v>
      </c>
      <c r="K7838" s="1">
        <v>-75546</v>
      </c>
    </row>
    <row r="7839" spans="1:11" x14ac:dyDescent="0.25">
      <c r="A7839" t="s">
        <v>326</v>
      </c>
      <c r="B7839" t="s">
        <v>710</v>
      </c>
      <c r="C7839" t="s">
        <v>873</v>
      </c>
      <c r="D7839" t="s">
        <v>11</v>
      </c>
      <c r="E7839">
        <v>24</v>
      </c>
      <c r="F7839" s="2">
        <f>DATE(2026,IF(Tabla1[[#This Row],[Mes de Fecha]]="Septiembre",9,10),Tabla1[[#This Row],[Día de Fecha]])</f>
        <v>46289</v>
      </c>
      <c r="G7839">
        <v>1005089852</v>
      </c>
      <c r="H7839" t="s">
        <v>522</v>
      </c>
      <c r="I7839">
        <v>41</v>
      </c>
      <c r="J7839">
        <v>0</v>
      </c>
      <c r="K7839" s="1">
        <v>2636767</v>
      </c>
    </row>
    <row r="7840" spans="1:11" x14ac:dyDescent="0.25">
      <c r="A7840" t="s">
        <v>326</v>
      </c>
      <c r="B7840" t="s">
        <v>710</v>
      </c>
      <c r="C7840" t="s">
        <v>873</v>
      </c>
      <c r="D7840" t="s">
        <v>11</v>
      </c>
      <c r="E7840">
        <v>24</v>
      </c>
      <c r="F7840" s="2">
        <f>DATE(2026,IF(Tabla1[[#This Row],[Mes de Fecha]]="Septiembre",9,10),Tabla1[[#This Row],[Día de Fecha]])</f>
        <v>46289</v>
      </c>
      <c r="G7840">
        <v>1094957784</v>
      </c>
      <c r="H7840" t="s">
        <v>593</v>
      </c>
      <c r="I7840">
        <v>53</v>
      </c>
      <c r="J7840">
        <v>0</v>
      </c>
      <c r="K7840" s="1">
        <v>2711897</v>
      </c>
    </row>
    <row r="7841" spans="1:11" x14ac:dyDescent="0.25">
      <c r="A7841" t="s">
        <v>326</v>
      </c>
      <c r="B7841" t="s">
        <v>710</v>
      </c>
      <c r="C7841" t="s">
        <v>873</v>
      </c>
      <c r="D7841" t="s">
        <v>11</v>
      </c>
      <c r="E7841">
        <v>24</v>
      </c>
      <c r="F7841" s="2">
        <f>DATE(2026,IF(Tabla1[[#This Row],[Mes de Fecha]]="Septiembre",9,10),Tabla1[[#This Row],[Día de Fecha]])</f>
        <v>46289</v>
      </c>
      <c r="G7841">
        <v>1097391531</v>
      </c>
      <c r="H7841" t="s">
        <v>595</v>
      </c>
      <c r="I7841">
        <v>52</v>
      </c>
      <c r="J7841">
        <v>0</v>
      </c>
      <c r="K7841" s="1">
        <v>3033365</v>
      </c>
    </row>
    <row r="7842" spans="1:11" x14ac:dyDescent="0.25">
      <c r="A7842" t="s">
        <v>326</v>
      </c>
      <c r="B7842" t="s">
        <v>710</v>
      </c>
      <c r="C7842" t="s">
        <v>873</v>
      </c>
      <c r="D7842" t="s">
        <v>11</v>
      </c>
      <c r="E7842">
        <v>25</v>
      </c>
      <c r="F7842" s="2">
        <f>DATE(2026,IF(Tabla1[[#This Row],[Mes de Fecha]]="Septiembre",9,10),Tabla1[[#This Row],[Día de Fecha]])</f>
        <v>46290</v>
      </c>
      <c r="I7842">
        <v>0</v>
      </c>
      <c r="J7842" s="1">
        <v>12670550</v>
      </c>
      <c r="K7842">
        <v>0</v>
      </c>
    </row>
    <row r="7843" spans="1:11" x14ac:dyDescent="0.25">
      <c r="A7843" t="s">
        <v>326</v>
      </c>
      <c r="B7843" t="s">
        <v>710</v>
      </c>
      <c r="C7843" t="s">
        <v>873</v>
      </c>
      <c r="D7843" t="s">
        <v>11</v>
      </c>
      <c r="E7843">
        <v>25</v>
      </c>
      <c r="F7843" s="2">
        <f>DATE(2026,IF(Tabla1[[#This Row],[Mes de Fecha]]="Septiembre",9,10),Tabla1[[#This Row],[Día de Fecha]])</f>
        <v>46290</v>
      </c>
      <c r="G7843">
        <v>33355697</v>
      </c>
      <c r="H7843" t="s">
        <v>592</v>
      </c>
      <c r="I7843">
        <v>-1</v>
      </c>
      <c r="J7843">
        <v>0</v>
      </c>
      <c r="K7843" s="1">
        <v>-67185</v>
      </c>
    </row>
    <row r="7844" spans="1:11" x14ac:dyDescent="0.25">
      <c r="A7844" t="s">
        <v>326</v>
      </c>
      <c r="B7844" t="s">
        <v>710</v>
      </c>
      <c r="C7844" t="s">
        <v>873</v>
      </c>
      <c r="D7844" t="s">
        <v>11</v>
      </c>
      <c r="E7844">
        <v>25</v>
      </c>
      <c r="F7844" s="2">
        <f>DATE(2026,IF(Tabla1[[#This Row],[Mes de Fecha]]="Septiembre",9,10),Tabla1[[#This Row],[Día de Fecha]])</f>
        <v>46290</v>
      </c>
      <c r="G7844">
        <v>1005089852</v>
      </c>
      <c r="H7844" t="s">
        <v>522</v>
      </c>
      <c r="I7844">
        <v>49</v>
      </c>
      <c r="J7844">
        <v>0</v>
      </c>
      <c r="K7844" s="1">
        <v>2665926</v>
      </c>
    </row>
    <row r="7845" spans="1:11" x14ac:dyDescent="0.25">
      <c r="A7845" t="s">
        <v>326</v>
      </c>
      <c r="B7845" t="s">
        <v>710</v>
      </c>
      <c r="C7845" t="s">
        <v>873</v>
      </c>
      <c r="D7845" t="s">
        <v>11</v>
      </c>
      <c r="E7845">
        <v>25</v>
      </c>
      <c r="F7845" s="2">
        <f>DATE(2026,IF(Tabla1[[#This Row],[Mes de Fecha]]="Septiembre",9,10),Tabla1[[#This Row],[Día de Fecha]])</f>
        <v>46290</v>
      </c>
      <c r="G7845">
        <v>1094957784</v>
      </c>
      <c r="H7845" t="s">
        <v>593</v>
      </c>
      <c r="I7845">
        <v>55</v>
      </c>
      <c r="J7845">
        <v>0</v>
      </c>
      <c r="K7845" s="1">
        <v>2884038</v>
      </c>
    </row>
    <row r="7846" spans="1:11" x14ac:dyDescent="0.25">
      <c r="A7846" t="s">
        <v>326</v>
      </c>
      <c r="B7846" t="s">
        <v>710</v>
      </c>
      <c r="C7846" t="s">
        <v>873</v>
      </c>
      <c r="D7846" t="s">
        <v>11</v>
      </c>
      <c r="E7846">
        <v>25</v>
      </c>
      <c r="F7846" s="2">
        <f>DATE(2026,IF(Tabla1[[#This Row],[Mes de Fecha]]="Septiembre",9,10),Tabla1[[#This Row],[Día de Fecha]])</f>
        <v>46290</v>
      </c>
      <c r="G7846">
        <v>1097391531</v>
      </c>
      <c r="H7846" t="s">
        <v>595</v>
      </c>
      <c r="I7846">
        <v>53</v>
      </c>
      <c r="J7846">
        <v>0</v>
      </c>
      <c r="K7846" s="1">
        <v>3031262</v>
      </c>
    </row>
    <row r="7847" spans="1:11" x14ac:dyDescent="0.25">
      <c r="A7847" t="s">
        <v>326</v>
      </c>
      <c r="B7847" t="s">
        <v>710</v>
      </c>
      <c r="C7847" t="s">
        <v>873</v>
      </c>
      <c r="D7847" t="s">
        <v>11</v>
      </c>
      <c r="E7847">
        <v>26</v>
      </c>
      <c r="F7847" s="2">
        <f>DATE(2026,IF(Tabla1[[#This Row],[Mes de Fecha]]="Septiembre",9,10),Tabla1[[#This Row],[Día de Fecha]])</f>
        <v>46291</v>
      </c>
      <c r="I7847">
        <v>0</v>
      </c>
      <c r="J7847" s="1">
        <v>18209401</v>
      </c>
      <c r="K7847">
        <v>0</v>
      </c>
    </row>
    <row r="7848" spans="1:11" x14ac:dyDescent="0.25">
      <c r="A7848" t="s">
        <v>326</v>
      </c>
      <c r="B7848" t="s">
        <v>710</v>
      </c>
      <c r="C7848" t="s">
        <v>873</v>
      </c>
      <c r="D7848" t="s">
        <v>11</v>
      </c>
      <c r="E7848">
        <v>26</v>
      </c>
      <c r="F7848" s="2">
        <f>DATE(2026,IF(Tabla1[[#This Row],[Mes de Fecha]]="Septiembre",9,10),Tabla1[[#This Row],[Día de Fecha]])</f>
        <v>46291</v>
      </c>
      <c r="G7848">
        <v>1005089852</v>
      </c>
      <c r="H7848" t="s">
        <v>522</v>
      </c>
      <c r="I7848">
        <v>80</v>
      </c>
      <c r="J7848">
        <v>0</v>
      </c>
      <c r="K7848" s="1">
        <v>4530087</v>
      </c>
    </row>
    <row r="7849" spans="1:11" x14ac:dyDescent="0.25">
      <c r="A7849" t="s">
        <v>326</v>
      </c>
      <c r="B7849" t="s">
        <v>710</v>
      </c>
      <c r="C7849" t="s">
        <v>873</v>
      </c>
      <c r="D7849" t="s">
        <v>11</v>
      </c>
      <c r="E7849">
        <v>26</v>
      </c>
      <c r="F7849" s="2">
        <f>DATE(2026,IF(Tabla1[[#This Row],[Mes de Fecha]]="Septiembre",9,10),Tabla1[[#This Row],[Día de Fecha]])</f>
        <v>46291</v>
      </c>
      <c r="G7849">
        <v>1094957784</v>
      </c>
      <c r="H7849" t="s">
        <v>593</v>
      </c>
      <c r="I7849">
        <v>98</v>
      </c>
      <c r="J7849">
        <v>0</v>
      </c>
      <c r="K7849" s="1">
        <v>6399119</v>
      </c>
    </row>
    <row r="7850" spans="1:11" x14ac:dyDescent="0.25">
      <c r="A7850" t="s">
        <v>326</v>
      </c>
      <c r="B7850" t="s">
        <v>710</v>
      </c>
      <c r="C7850" t="s">
        <v>873</v>
      </c>
      <c r="D7850" t="s">
        <v>11</v>
      </c>
      <c r="E7850">
        <v>26</v>
      </c>
      <c r="F7850" s="2">
        <f>DATE(2026,IF(Tabla1[[#This Row],[Mes de Fecha]]="Septiembre",9,10),Tabla1[[#This Row],[Día de Fecha]])</f>
        <v>46291</v>
      </c>
      <c r="G7850">
        <v>1097391531</v>
      </c>
      <c r="H7850" t="s">
        <v>595</v>
      </c>
      <c r="I7850">
        <v>128</v>
      </c>
      <c r="J7850">
        <v>0</v>
      </c>
      <c r="K7850" s="1">
        <v>7889294</v>
      </c>
    </row>
    <row r="7851" spans="1:11" x14ac:dyDescent="0.25">
      <c r="A7851" t="s">
        <v>326</v>
      </c>
      <c r="B7851" t="s">
        <v>710</v>
      </c>
      <c r="C7851" t="s">
        <v>873</v>
      </c>
      <c r="D7851" t="s">
        <v>11</v>
      </c>
      <c r="E7851">
        <v>26</v>
      </c>
      <c r="F7851" s="2">
        <f>DATE(2026,IF(Tabla1[[#This Row],[Mes de Fecha]]="Septiembre",9,10),Tabla1[[#This Row],[Día de Fecha]])</f>
        <v>46291</v>
      </c>
      <c r="G7851">
        <v>1114148923</v>
      </c>
      <c r="H7851" t="s">
        <v>711</v>
      </c>
      <c r="I7851">
        <v>-3</v>
      </c>
      <c r="J7851">
        <v>0</v>
      </c>
      <c r="K7851" s="1">
        <v>-104916</v>
      </c>
    </row>
    <row r="7852" spans="1:11" x14ac:dyDescent="0.25">
      <c r="A7852" t="s">
        <v>326</v>
      </c>
      <c r="B7852" t="s">
        <v>710</v>
      </c>
      <c r="C7852" t="s">
        <v>873</v>
      </c>
      <c r="D7852" t="s">
        <v>11</v>
      </c>
      <c r="E7852">
        <v>27</v>
      </c>
      <c r="F7852" s="2">
        <f>DATE(2026,IF(Tabla1[[#This Row],[Mes de Fecha]]="Septiembre",9,10),Tabla1[[#This Row],[Día de Fecha]])</f>
        <v>46292</v>
      </c>
      <c r="I7852">
        <v>0</v>
      </c>
      <c r="J7852" s="1">
        <v>14425513</v>
      </c>
      <c r="K7852">
        <v>0</v>
      </c>
    </row>
    <row r="7853" spans="1:11" x14ac:dyDescent="0.25">
      <c r="A7853" t="s">
        <v>326</v>
      </c>
      <c r="B7853" t="s">
        <v>710</v>
      </c>
      <c r="C7853" t="s">
        <v>873</v>
      </c>
      <c r="D7853" t="s">
        <v>11</v>
      </c>
      <c r="E7853">
        <v>27</v>
      </c>
      <c r="F7853" s="2">
        <f>DATE(2026,IF(Tabla1[[#This Row],[Mes de Fecha]]="Septiembre",9,10),Tabla1[[#This Row],[Día de Fecha]])</f>
        <v>46292</v>
      </c>
      <c r="G7853">
        <v>1005089852</v>
      </c>
      <c r="H7853" t="s">
        <v>522</v>
      </c>
      <c r="I7853">
        <v>25</v>
      </c>
      <c r="J7853">
        <v>0</v>
      </c>
      <c r="K7853" s="1">
        <v>1486263</v>
      </c>
    </row>
    <row r="7854" spans="1:11" x14ac:dyDescent="0.25">
      <c r="A7854" t="s">
        <v>326</v>
      </c>
      <c r="B7854" t="s">
        <v>710</v>
      </c>
      <c r="C7854" t="s">
        <v>873</v>
      </c>
      <c r="D7854" t="s">
        <v>11</v>
      </c>
      <c r="E7854">
        <v>27</v>
      </c>
      <c r="F7854" s="2">
        <f>DATE(2026,IF(Tabla1[[#This Row],[Mes de Fecha]]="Septiembre",9,10),Tabla1[[#This Row],[Día de Fecha]])</f>
        <v>46292</v>
      </c>
      <c r="G7854">
        <v>1094957784</v>
      </c>
      <c r="H7854" t="s">
        <v>593</v>
      </c>
      <c r="I7854">
        <v>35</v>
      </c>
      <c r="J7854">
        <v>0</v>
      </c>
      <c r="K7854" s="1">
        <v>1758910</v>
      </c>
    </row>
    <row r="7855" spans="1:11" x14ac:dyDescent="0.25">
      <c r="A7855" t="s">
        <v>326</v>
      </c>
      <c r="B7855" t="s">
        <v>710</v>
      </c>
      <c r="C7855" t="s">
        <v>873</v>
      </c>
      <c r="D7855" t="s">
        <v>11</v>
      </c>
      <c r="E7855">
        <v>27</v>
      </c>
      <c r="F7855" s="2">
        <f>DATE(2026,IF(Tabla1[[#This Row],[Mes de Fecha]]="Septiembre",9,10),Tabla1[[#This Row],[Día de Fecha]])</f>
        <v>46292</v>
      </c>
      <c r="G7855">
        <v>1097391531</v>
      </c>
      <c r="H7855" t="s">
        <v>595</v>
      </c>
      <c r="I7855">
        <v>39</v>
      </c>
      <c r="J7855">
        <v>0</v>
      </c>
      <c r="K7855" s="1">
        <v>2099162</v>
      </c>
    </row>
    <row r="7856" spans="1:11" x14ac:dyDescent="0.25">
      <c r="A7856" t="s">
        <v>326</v>
      </c>
      <c r="B7856" t="s">
        <v>710</v>
      </c>
      <c r="C7856" t="s">
        <v>873</v>
      </c>
      <c r="D7856" t="s">
        <v>11</v>
      </c>
      <c r="E7856">
        <v>28</v>
      </c>
      <c r="F7856" s="2">
        <f>DATE(2026,IF(Tabla1[[#This Row],[Mes de Fecha]]="Septiembre",9,10),Tabla1[[#This Row],[Día de Fecha]])</f>
        <v>46293</v>
      </c>
      <c r="I7856">
        <v>0</v>
      </c>
      <c r="J7856" s="1">
        <v>8122204</v>
      </c>
      <c r="K7856">
        <v>0</v>
      </c>
    </row>
    <row r="7857" spans="1:11" x14ac:dyDescent="0.25">
      <c r="A7857" t="s">
        <v>326</v>
      </c>
      <c r="B7857" t="s">
        <v>710</v>
      </c>
      <c r="C7857" t="s">
        <v>873</v>
      </c>
      <c r="D7857" t="s">
        <v>11</v>
      </c>
      <c r="E7857">
        <v>28</v>
      </c>
      <c r="F7857" s="2">
        <f>DATE(2026,IF(Tabla1[[#This Row],[Mes de Fecha]]="Septiembre",9,10),Tabla1[[#This Row],[Día de Fecha]])</f>
        <v>46293</v>
      </c>
      <c r="G7857">
        <v>1005089852</v>
      </c>
      <c r="H7857" t="s">
        <v>522</v>
      </c>
      <c r="I7857">
        <v>35</v>
      </c>
      <c r="J7857">
        <v>0</v>
      </c>
      <c r="K7857" s="1">
        <v>2103322</v>
      </c>
    </row>
    <row r="7858" spans="1:11" x14ac:dyDescent="0.25">
      <c r="A7858" t="s">
        <v>326</v>
      </c>
      <c r="B7858" t="s">
        <v>710</v>
      </c>
      <c r="C7858" t="s">
        <v>873</v>
      </c>
      <c r="D7858" t="s">
        <v>11</v>
      </c>
      <c r="E7858">
        <v>28</v>
      </c>
      <c r="F7858" s="2">
        <f>DATE(2026,IF(Tabla1[[#This Row],[Mes de Fecha]]="Septiembre",9,10),Tabla1[[#This Row],[Día de Fecha]])</f>
        <v>46293</v>
      </c>
      <c r="G7858">
        <v>1094957784</v>
      </c>
      <c r="H7858" t="s">
        <v>593</v>
      </c>
      <c r="I7858">
        <v>46</v>
      </c>
      <c r="J7858">
        <v>0</v>
      </c>
      <c r="K7858" s="1">
        <v>2565211</v>
      </c>
    </row>
    <row r="7859" spans="1:11" x14ac:dyDescent="0.25">
      <c r="A7859" t="s">
        <v>326</v>
      </c>
      <c r="B7859" t="s">
        <v>710</v>
      </c>
      <c r="C7859" t="s">
        <v>873</v>
      </c>
      <c r="D7859" t="s">
        <v>11</v>
      </c>
      <c r="E7859">
        <v>28</v>
      </c>
      <c r="F7859" s="2">
        <f>DATE(2026,IF(Tabla1[[#This Row],[Mes de Fecha]]="Septiembre",9,10),Tabla1[[#This Row],[Día de Fecha]])</f>
        <v>46293</v>
      </c>
      <c r="G7859">
        <v>1097391531</v>
      </c>
      <c r="H7859" t="s">
        <v>595</v>
      </c>
      <c r="I7859">
        <v>56</v>
      </c>
      <c r="J7859">
        <v>0</v>
      </c>
      <c r="K7859" s="1">
        <v>3005759</v>
      </c>
    </row>
    <row r="7860" spans="1:11" x14ac:dyDescent="0.25">
      <c r="A7860" t="s">
        <v>326</v>
      </c>
      <c r="B7860" t="s">
        <v>710</v>
      </c>
      <c r="C7860" t="s">
        <v>873</v>
      </c>
      <c r="D7860" t="s">
        <v>11</v>
      </c>
      <c r="E7860">
        <v>29</v>
      </c>
      <c r="F7860" s="2">
        <f>DATE(2026,IF(Tabla1[[#This Row],[Mes de Fecha]]="Septiembre",9,10),Tabla1[[#This Row],[Día de Fecha]])</f>
        <v>46294</v>
      </c>
      <c r="I7860">
        <v>0</v>
      </c>
      <c r="J7860" s="1">
        <v>8297636</v>
      </c>
      <c r="K7860">
        <v>0</v>
      </c>
    </row>
    <row r="7861" spans="1:11" x14ac:dyDescent="0.25">
      <c r="A7861" t="s">
        <v>326</v>
      </c>
      <c r="B7861" t="s">
        <v>710</v>
      </c>
      <c r="C7861" t="s">
        <v>873</v>
      </c>
      <c r="D7861" t="s">
        <v>11</v>
      </c>
      <c r="E7861">
        <v>29</v>
      </c>
      <c r="F7861" s="2">
        <f>DATE(2026,IF(Tabla1[[#This Row],[Mes de Fecha]]="Septiembre",9,10),Tabla1[[#This Row],[Día de Fecha]])</f>
        <v>46294</v>
      </c>
      <c r="G7861">
        <v>1005089852</v>
      </c>
      <c r="H7861" t="s">
        <v>522</v>
      </c>
      <c r="I7861">
        <v>7</v>
      </c>
      <c r="J7861">
        <v>0</v>
      </c>
      <c r="K7861" s="1">
        <v>491302</v>
      </c>
    </row>
    <row r="7862" spans="1:11" x14ac:dyDescent="0.25">
      <c r="A7862" t="s">
        <v>326</v>
      </c>
      <c r="B7862" t="s">
        <v>710</v>
      </c>
      <c r="C7862" t="s">
        <v>873</v>
      </c>
      <c r="D7862" t="s">
        <v>11</v>
      </c>
      <c r="E7862">
        <v>29</v>
      </c>
      <c r="F7862" s="2">
        <f>DATE(2026,IF(Tabla1[[#This Row],[Mes de Fecha]]="Septiembre",9,10),Tabla1[[#This Row],[Día de Fecha]])</f>
        <v>46294</v>
      </c>
      <c r="G7862">
        <v>1092850523</v>
      </c>
      <c r="H7862" t="s">
        <v>591</v>
      </c>
      <c r="I7862">
        <v>-1</v>
      </c>
      <c r="J7862">
        <v>0</v>
      </c>
      <c r="K7862" s="1">
        <v>-31471</v>
      </c>
    </row>
    <row r="7863" spans="1:11" x14ac:dyDescent="0.25">
      <c r="A7863" t="s">
        <v>326</v>
      </c>
      <c r="B7863" t="s">
        <v>710</v>
      </c>
      <c r="C7863" t="s">
        <v>873</v>
      </c>
      <c r="D7863" t="s">
        <v>11</v>
      </c>
      <c r="E7863">
        <v>29</v>
      </c>
      <c r="F7863" s="2">
        <f>DATE(2026,IF(Tabla1[[#This Row],[Mes de Fecha]]="Septiembre",9,10),Tabla1[[#This Row],[Día de Fecha]])</f>
        <v>46294</v>
      </c>
      <c r="G7863">
        <v>1094957784</v>
      </c>
      <c r="H7863" t="s">
        <v>593</v>
      </c>
      <c r="I7863">
        <v>75</v>
      </c>
      <c r="J7863">
        <v>0</v>
      </c>
      <c r="K7863" s="1">
        <v>4130465</v>
      </c>
    </row>
    <row r="7864" spans="1:11" x14ac:dyDescent="0.25">
      <c r="A7864" t="s">
        <v>326</v>
      </c>
      <c r="B7864" t="s">
        <v>710</v>
      </c>
      <c r="C7864" t="s">
        <v>873</v>
      </c>
      <c r="D7864" t="s">
        <v>11</v>
      </c>
      <c r="E7864">
        <v>29</v>
      </c>
      <c r="F7864" s="2">
        <f>DATE(2026,IF(Tabla1[[#This Row],[Mes de Fecha]]="Septiembre",9,10),Tabla1[[#This Row],[Día de Fecha]])</f>
        <v>46294</v>
      </c>
      <c r="G7864">
        <v>1097391531</v>
      </c>
      <c r="H7864" t="s">
        <v>595</v>
      </c>
      <c r="I7864">
        <v>74</v>
      </c>
      <c r="J7864">
        <v>0</v>
      </c>
      <c r="K7864" s="1">
        <v>4353702</v>
      </c>
    </row>
    <row r="7865" spans="1:11" x14ac:dyDescent="0.25">
      <c r="A7865" t="s">
        <v>326</v>
      </c>
      <c r="B7865" t="s">
        <v>710</v>
      </c>
      <c r="C7865" t="s">
        <v>873</v>
      </c>
      <c r="D7865" t="s">
        <v>11</v>
      </c>
      <c r="E7865">
        <v>30</v>
      </c>
      <c r="F7865" s="2">
        <f>DATE(2026,IF(Tabla1[[#This Row],[Mes de Fecha]]="Septiembre",9,10),Tabla1[[#This Row],[Día de Fecha]])</f>
        <v>46295</v>
      </c>
      <c r="I7865">
        <v>0</v>
      </c>
      <c r="J7865" s="1">
        <v>8760642</v>
      </c>
      <c r="K7865">
        <v>0</v>
      </c>
    </row>
    <row r="7866" spans="1:11" x14ac:dyDescent="0.25">
      <c r="A7866" t="s">
        <v>326</v>
      </c>
      <c r="B7866" t="s">
        <v>710</v>
      </c>
      <c r="C7866" t="s">
        <v>873</v>
      </c>
      <c r="D7866" t="s">
        <v>11</v>
      </c>
      <c r="E7866">
        <v>30</v>
      </c>
      <c r="F7866" s="2">
        <f>DATE(2026,IF(Tabla1[[#This Row],[Mes de Fecha]]="Septiembre",9,10),Tabla1[[#This Row],[Día de Fecha]])</f>
        <v>46295</v>
      </c>
      <c r="G7866">
        <v>1005089852</v>
      </c>
      <c r="H7866" t="s">
        <v>522</v>
      </c>
      <c r="I7866">
        <v>24</v>
      </c>
      <c r="J7866">
        <v>0</v>
      </c>
      <c r="K7866" s="1">
        <v>1482102</v>
      </c>
    </row>
    <row r="7867" spans="1:11" x14ac:dyDescent="0.25">
      <c r="A7867" t="s">
        <v>326</v>
      </c>
      <c r="B7867" t="s">
        <v>710</v>
      </c>
      <c r="C7867" t="s">
        <v>873</v>
      </c>
      <c r="D7867" t="s">
        <v>11</v>
      </c>
      <c r="E7867">
        <v>30</v>
      </c>
      <c r="F7867" s="2">
        <f>DATE(2026,IF(Tabla1[[#This Row],[Mes de Fecha]]="Septiembre",9,10),Tabla1[[#This Row],[Día de Fecha]])</f>
        <v>46295</v>
      </c>
      <c r="G7867">
        <v>1094957784</v>
      </c>
      <c r="H7867" t="s">
        <v>593</v>
      </c>
      <c r="I7867">
        <v>59</v>
      </c>
      <c r="J7867">
        <v>0</v>
      </c>
      <c r="K7867" s="1">
        <v>3291562</v>
      </c>
    </row>
    <row r="7868" spans="1:11" x14ac:dyDescent="0.25">
      <c r="A7868" t="s">
        <v>326</v>
      </c>
      <c r="B7868" t="s">
        <v>710</v>
      </c>
      <c r="C7868" t="s">
        <v>873</v>
      </c>
      <c r="D7868" t="s">
        <v>11</v>
      </c>
      <c r="E7868">
        <v>30</v>
      </c>
      <c r="F7868" s="2">
        <f>DATE(2026,IF(Tabla1[[#This Row],[Mes de Fecha]]="Septiembre",9,10),Tabla1[[#This Row],[Día de Fecha]])</f>
        <v>46295</v>
      </c>
      <c r="G7868">
        <v>1097391531</v>
      </c>
      <c r="H7868" t="s">
        <v>595</v>
      </c>
      <c r="I7868">
        <v>70</v>
      </c>
      <c r="J7868">
        <v>0</v>
      </c>
      <c r="K7868" s="1">
        <v>4760847</v>
      </c>
    </row>
    <row r="7869" spans="1:11" x14ac:dyDescent="0.25">
      <c r="A7869" t="s">
        <v>326</v>
      </c>
      <c r="B7869" t="s">
        <v>710</v>
      </c>
      <c r="C7869" t="s">
        <v>873</v>
      </c>
      <c r="D7869" t="s">
        <v>14</v>
      </c>
      <c r="E7869">
        <v>1</v>
      </c>
      <c r="F7869" s="2">
        <f>DATE(2026,IF(Tabla1[[#This Row],[Mes de Fecha]]="Septiembre",9,10),Tabla1[[#This Row],[Día de Fecha]])</f>
        <v>46296</v>
      </c>
      <c r="I7869">
        <v>0</v>
      </c>
      <c r="J7869" s="1">
        <v>8116591</v>
      </c>
      <c r="K7869">
        <v>0</v>
      </c>
    </row>
    <row r="7870" spans="1:11" x14ac:dyDescent="0.25">
      <c r="A7870" t="s">
        <v>326</v>
      </c>
      <c r="B7870" t="s">
        <v>710</v>
      </c>
      <c r="C7870" t="s">
        <v>873</v>
      </c>
      <c r="D7870" t="s">
        <v>14</v>
      </c>
      <c r="E7870">
        <v>1</v>
      </c>
      <c r="F7870" s="2">
        <f>DATE(2026,IF(Tabla1[[#This Row],[Mes de Fecha]]="Septiembre",9,10),Tabla1[[#This Row],[Día de Fecha]])</f>
        <v>46296</v>
      </c>
      <c r="G7870">
        <v>1005089852</v>
      </c>
      <c r="H7870" t="s">
        <v>522</v>
      </c>
      <c r="I7870">
        <v>27</v>
      </c>
      <c r="J7870">
        <v>0</v>
      </c>
      <c r="K7870" s="1">
        <v>1387478</v>
      </c>
    </row>
    <row r="7871" spans="1:11" x14ac:dyDescent="0.25">
      <c r="A7871" t="s">
        <v>326</v>
      </c>
      <c r="B7871" t="s">
        <v>710</v>
      </c>
      <c r="C7871" t="s">
        <v>873</v>
      </c>
      <c r="D7871" t="s">
        <v>14</v>
      </c>
      <c r="E7871">
        <v>1</v>
      </c>
      <c r="F7871" s="2">
        <f>DATE(2026,IF(Tabla1[[#This Row],[Mes de Fecha]]="Septiembre",9,10),Tabla1[[#This Row],[Día de Fecha]])</f>
        <v>46296</v>
      </c>
      <c r="G7871">
        <v>1094957784</v>
      </c>
      <c r="H7871" t="s">
        <v>593</v>
      </c>
      <c r="I7871">
        <v>52</v>
      </c>
      <c r="J7871">
        <v>0</v>
      </c>
      <c r="K7871" s="1">
        <v>2842313</v>
      </c>
    </row>
    <row r="7872" spans="1:11" x14ac:dyDescent="0.25">
      <c r="A7872" t="s">
        <v>326</v>
      </c>
      <c r="B7872" t="s">
        <v>710</v>
      </c>
      <c r="C7872" t="s">
        <v>873</v>
      </c>
      <c r="D7872" t="s">
        <v>14</v>
      </c>
      <c r="E7872">
        <v>1</v>
      </c>
      <c r="F7872" s="2">
        <f>DATE(2026,IF(Tabla1[[#This Row],[Mes de Fecha]]="Septiembre",9,10),Tabla1[[#This Row],[Día de Fecha]])</f>
        <v>46296</v>
      </c>
      <c r="G7872">
        <v>1097391531</v>
      </c>
      <c r="H7872" t="s">
        <v>595</v>
      </c>
      <c r="I7872">
        <v>35</v>
      </c>
      <c r="J7872">
        <v>0</v>
      </c>
      <c r="K7872" s="1">
        <v>2035969</v>
      </c>
    </row>
    <row r="7873" spans="1:11" x14ac:dyDescent="0.25">
      <c r="A7873" t="s">
        <v>326</v>
      </c>
      <c r="B7873" t="s">
        <v>710</v>
      </c>
      <c r="C7873" t="s">
        <v>873</v>
      </c>
      <c r="D7873" t="s">
        <v>14</v>
      </c>
      <c r="E7873">
        <v>2</v>
      </c>
      <c r="F7873" s="2">
        <f>DATE(2026,IF(Tabla1[[#This Row],[Mes de Fecha]]="Septiembre",9,10),Tabla1[[#This Row],[Día de Fecha]])</f>
        <v>46297</v>
      </c>
      <c r="I7873">
        <v>0</v>
      </c>
      <c r="J7873" s="1">
        <v>9178759</v>
      </c>
      <c r="K7873">
        <v>0</v>
      </c>
    </row>
    <row r="7874" spans="1:11" x14ac:dyDescent="0.25">
      <c r="A7874" t="s">
        <v>326</v>
      </c>
      <c r="B7874" t="s">
        <v>710</v>
      </c>
      <c r="C7874" t="s">
        <v>873</v>
      </c>
      <c r="D7874" t="s">
        <v>14</v>
      </c>
      <c r="E7874">
        <v>2</v>
      </c>
      <c r="F7874" s="2">
        <f>DATE(2026,IF(Tabla1[[#This Row],[Mes de Fecha]]="Septiembre",9,10),Tabla1[[#This Row],[Día de Fecha]])</f>
        <v>46297</v>
      </c>
      <c r="G7874">
        <v>1005089852</v>
      </c>
      <c r="H7874" t="s">
        <v>522</v>
      </c>
      <c r="I7874">
        <v>30</v>
      </c>
      <c r="J7874">
        <v>0</v>
      </c>
      <c r="K7874" s="1">
        <v>1654079</v>
      </c>
    </row>
    <row r="7875" spans="1:11" x14ac:dyDescent="0.25">
      <c r="A7875" t="s">
        <v>326</v>
      </c>
      <c r="B7875" t="s">
        <v>710</v>
      </c>
      <c r="C7875" t="s">
        <v>873</v>
      </c>
      <c r="D7875" t="s">
        <v>14</v>
      </c>
      <c r="E7875">
        <v>2</v>
      </c>
      <c r="F7875" s="2">
        <f>DATE(2026,IF(Tabla1[[#This Row],[Mes de Fecha]]="Septiembre",9,10),Tabla1[[#This Row],[Día de Fecha]])</f>
        <v>46297</v>
      </c>
      <c r="G7875">
        <v>1005654398</v>
      </c>
      <c r="H7875" t="s">
        <v>494</v>
      </c>
      <c r="I7875">
        <v>-1</v>
      </c>
      <c r="J7875">
        <v>0</v>
      </c>
      <c r="K7875" s="1">
        <v>-105000</v>
      </c>
    </row>
    <row r="7876" spans="1:11" x14ac:dyDescent="0.25">
      <c r="A7876" t="s">
        <v>326</v>
      </c>
      <c r="B7876" t="s">
        <v>710</v>
      </c>
      <c r="C7876" t="s">
        <v>873</v>
      </c>
      <c r="D7876" t="s">
        <v>14</v>
      </c>
      <c r="E7876">
        <v>2</v>
      </c>
      <c r="F7876" s="2">
        <f>DATE(2026,IF(Tabla1[[#This Row],[Mes de Fecha]]="Septiembre",9,10),Tabla1[[#This Row],[Día de Fecha]])</f>
        <v>46297</v>
      </c>
      <c r="G7876">
        <v>1094957784</v>
      </c>
      <c r="H7876" t="s">
        <v>593</v>
      </c>
      <c r="I7876">
        <v>57</v>
      </c>
      <c r="J7876">
        <v>0</v>
      </c>
      <c r="K7876" s="1">
        <v>3202949</v>
      </c>
    </row>
    <row r="7877" spans="1:11" x14ac:dyDescent="0.25">
      <c r="A7877" t="s">
        <v>326</v>
      </c>
      <c r="B7877" t="s">
        <v>710</v>
      </c>
      <c r="C7877" t="s">
        <v>873</v>
      </c>
      <c r="D7877" t="s">
        <v>14</v>
      </c>
      <c r="E7877">
        <v>2</v>
      </c>
      <c r="F7877" s="2">
        <f>DATE(2026,IF(Tabla1[[#This Row],[Mes de Fecha]]="Septiembre",9,10),Tabla1[[#This Row],[Día de Fecha]])</f>
        <v>46297</v>
      </c>
      <c r="G7877">
        <v>1094971574</v>
      </c>
      <c r="H7877" t="s">
        <v>546</v>
      </c>
      <c r="I7877">
        <v>-1</v>
      </c>
      <c r="J7877">
        <v>0</v>
      </c>
      <c r="K7877" s="1">
        <v>-37773</v>
      </c>
    </row>
    <row r="7878" spans="1:11" x14ac:dyDescent="0.25">
      <c r="A7878" t="s">
        <v>326</v>
      </c>
      <c r="B7878" t="s">
        <v>710</v>
      </c>
      <c r="C7878" t="s">
        <v>873</v>
      </c>
      <c r="D7878" t="s">
        <v>14</v>
      </c>
      <c r="E7878">
        <v>2</v>
      </c>
      <c r="F7878" s="2">
        <f>DATE(2026,IF(Tabla1[[#This Row],[Mes de Fecha]]="Septiembre",9,10),Tabla1[[#This Row],[Día de Fecha]])</f>
        <v>46297</v>
      </c>
      <c r="G7878">
        <v>1097391531</v>
      </c>
      <c r="H7878" t="s">
        <v>595</v>
      </c>
      <c r="I7878">
        <v>80</v>
      </c>
      <c r="J7878">
        <v>0</v>
      </c>
      <c r="K7878" s="1">
        <v>4597317</v>
      </c>
    </row>
    <row r="7879" spans="1:11" x14ac:dyDescent="0.25">
      <c r="A7879" t="s">
        <v>326</v>
      </c>
      <c r="B7879" t="s">
        <v>710</v>
      </c>
      <c r="C7879" t="s">
        <v>873</v>
      </c>
      <c r="D7879" t="s">
        <v>14</v>
      </c>
      <c r="E7879">
        <v>3</v>
      </c>
      <c r="F7879" s="2">
        <f>DATE(2026,IF(Tabla1[[#This Row],[Mes de Fecha]]="Septiembre",9,10),Tabla1[[#This Row],[Día de Fecha]])</f>
        <v>46298</v>
      </c>
      <c r="I7879">
        <v>0</v>
      </c>
      <c r="J7879" s="1">
        <v>18093051</v>
      </c>
      <c r="K7879">
        <v>0</v>
      </c>
    </row>
    <row r="7880" spans="1:11" x14ac:dyDescent="0.25">
      <c r="A7880" t="s">
        <v>326</v>
      </c>
      <c r="B7880" t="s">
        <v>710</v>
      </c>
      <c r="C7880" t="s">
        <v>873</v>
      </c>
      <c r="D7880" t="s">
        <v>14</v>
      </c>
      <c r="E7880">
        <v>3</v>
      </c>
      <c r="F7880" s="2">
        <f>DATE(2026,IF(Tabla1[[#This Row],[Mes de Fecha]]="Septiembre",9,10),Tabla1[[#This Row],[Día de Fecha]])</f>
        <v>46298</v>
      </c>
      <c r="G7880">
        <v>1005089852</v>
      </c>
      <c r="H7880" t="s">
        <v>522</v>
      </c>
      <c r="I7880">
        <v>41</v>
      </c>
      <c r="J7880">
        <v>0</v>
      </c>
      <c r="K7880" s="1">
        <v>2316817</v>
      </c>
    </row>
    <row r="7881" spans="1:11" x14ac:dyDescent="0.25">
      <c r="A7881" t="s">
        <v>326</v>
      </c>
      <c r="B7881" t="s">
        <v>710</v>
      </c>
      <c r="C7881" t="s">
        <v>873</v>
      </c>
      <c r="D7881" t="s">
        <v>14</v>
      </c>
      <c r="E7881">
        <v>3</v>
      </c>
      <c r="F7881" s="2">
        <f>DATE(2026,IF(Tabla1[[#This Row],[Mes de Fecha]]="Septiembre",9,10),Tabla1[[#This Row],[Día de Fecha]])</f>
        <v>46298</v>
      </c>
      <c r="G7881">
        <v>1094957784</v>
      </c>
      <c r="H7881" t="s">
        <v>593</v>
      </c>
      <c r="I7881">
        <v>98</v>
      </c>
      <c r="J7881">
        <v>0</v>
      </c>
      <c r="K7881" s="1">
        <v>4899170</v>
      </c>
    </row>
    <row r="7882" spans="1:11" x14ac:dyDescent="0.25">
      <c r="A7882" t="s">
        <v>326</v>
      </c>
      <c r="B7882" t="s">
        <v>710</v>
      </c>
      <c r="C7882" t="s">
        <v>873</v>
      </c>
      <c r="D7882" t="s">
        <v>14</v>
      </c>
      <c r="E7882">
        <v>3</v>
      </c>
      <c r="F7882" s="2">
        <f>DATE(2026,IF(Tabla1[[#This Row],[Mes de Fecha]]="Septiembre",9,10),Tabla1[[#This Row],[Día de Fecha]])</f>
        <v>46298</v>
      </c>
      <c r="G7882">
        <v>1097391531</v>
      </c>
      <c r="H7882" t="s">
        <v>595</v>
      </c>
      <c r="I7882">
        <v>116</v>
      </c>
      <c r="J7882">
        <v>0</v>
      </c>
      <c r="K7882" s="1">
        <v>5801056</v>
      </c>
    </row>
    <row r="7883" spans="1:11" x14ac:dyDescent="0.25">
      <c r="A7883" t="s">
        <v>326</v>
      </c>
      <c r="B7883" t="s">
        <v>710</v>
      </c>
      <c r="C7883" t="s">
        <v>873</v>
      </c>
      <c r="D7883" t="s">
        <v>14</v>
      </c>
      <c r="E7883">
        <v>4</v>
      </c>
      <c r="F7883" s="2">
        <f>DATE(2026,IF(Tabla1[[#This Row],[Mes de Fecha]]="Septiembre",9,10),Tabla1[[#This Row],[Día de Fecha]])</f>
        <v>46299</v>
      </c>
      <c r="I7883">
        <v>0</v>
      </c>
      <c r="J7883" s="1">
        <v>7282284</v>
      </c>
      <c r="K7883">
        <v>0</v>
      </c>
    </row>
    <row r="7884" spans="1:11" x14ac:dyDescent="0.25">
      <c r="A7884" t="s">
        <v>326</v>
      </c>
      <c r="B7884" t="s">
        <v>710</v>
      </c>
      <c r="C7884" t="s">
        <v>873</v>
      </c>
      <c r="D7884" t="s">
        <v>14</v>
      </c>
      <c r="E7884">
        <v>4</v>
      </c>
      <c r="F7884" s="2">
        <f>DATE(2026,IF(Tabla1[[#This Row],[Mes de Fecha]]="Septiembre",9,10),Tabla1[[#This Row],[Día de Fecha]])</f>
        <v>46299</v>
      </c>
      <c r="G7884">
        <v>1005089852</v>
      </c>
      <c r="H7884" t="s">
        <v>522</v>
      </c>
      <c r="I7884">
        <v>24</v>
      </c>
      <c r="J7884">
        <v>0</v>
      </c>
      <c r="K7884" s="1">
        <v>1135379</v>
      </c>
    </row>
    <row r="7885" spans="1:11" x14ac:dyDescent="0.25">
      <c r="A7885" t="s">
        <v>326</v>
      </c>
      <c r="B7885" t="s">
        <v>710</v>
      </c>
      <c r="C7885" t="s">
        <v>873</v>
      </c>
      <c r="D7885" t="s">
        <v>14</v>
      </c>
      <c r="E7885">
        <v>4</v>
      </c>
      <c r="F7885" s="2">
        <f>DATE(2026,IF(Tabla1[[#This Row],[Mes de Fecha]]="Septiembre",9,10),Tabla1[[#This Row],[Día de Fecha]])</f>
        <v>46299</v>
      </c>
      <c r="G7885">
        <v>1094957784</v>
      </c>
      <c r="H7885" t="s">
        <v>593</v>
      </c>
      <c r="I7885">
        <v>24</v>
      </c>
      <c r="J7885">
        <v>0</v>
      </c>
      <c r="K7885" s="1">
        <v>1447303</v>
      </c>
    </row>
    <row r="7886" spans="1:11" x14ac:dyDescent="0.25">
      <c r="A7886" t="s">
        <v>326</v>
      </c>
      <c r="B7886" t="s">
        <v>710</v>
      </c>
      <c r="C7886" t="s">
        <v>873</v>
      </c>
      <c r="D7886" t="s">
        <v>14</v>
      </c>
      <c r="E7886">
        <v>4</v>
      </c>
      <c r="F7886" s="2">
        <f>DATE(2026,IF(Tabla1[[#This Row],[Mes de Fecha]]="Septiembre",9,10),Tabla1[[#This Row],[Día de Fecha]])</f>
        <v>46299</v>
      </c>
      <c r="G7886">
        <v>1097391531</v>
      </c>
      <c r="H7886" t="s">
        <v>595</v>
      </c>
      <c r="I7886">
        <v>26</v>
      </c>
      <c r="J7886">
        <v>0</v>
      </c>
      <c r="K7886" s="1">
        <v>1671094</v>
      </c>
    </row>
    <row r="7887" spans="1:11" x14ac:dyDescent="0.25">
      <c r="A7887" t="s">
        <v>326</v>
      </c>
      <c r="B7887" t="s">
        <v>710</v>
      </c>
      <c r="C7887" t="s">
        <v>873</v>
      </c>
      <c r="D7887" t="s">
        <v>14</v>
      </c>
      <c r="E7887">
        <v>5</v>
      </c>
      <c r="F7887" s="2">
        <f>DATE(2026,IF(Tabla1[[#This Row],[Mes de Fecha]]="Septiembre",9,10),Tabla1[[#This Row],[Día de Fecha]])</f>
        <v>46300</v>
      </c>
      <c r="I7887">
        <v>0</v>
      </c>
      <c r="J7887" s="1">
        <v>7036120</v>
      </c>
      <c r="K7887">
        <v>0</v>
      </c>
    </row>
    <row r="7888" spans="1:11" x14ac:dyDescent="0.25">
      <c r="A7888" t="s">
        <v>326</v>
      </c>
      <c r="B7888" t="s">
        <v>710</v>
      </c>
      <c r="C7888" t="s">
        <v>873</v>
      </c>
      <c r="D7888" t="s">
        <v>14</v>
      </c>
      <c r="E7888">
        <v>5</v>
      </c>
      <c r="F7888" s="2">
        <f>DATE(2026,IF(Tabla1[[#This Row],[Mes de Fecha]]="Septiembre",9,10),Tabla1[[#This Row],[Día de Fecha]])</f>
        <v>46300</v>
      </c>
      <c r="G7888">
        <v>1005089852</v>
      </c>
      <c r="H7888" t="s">
        <v>522</v>
      </c>
      <c r="I7888">
        <v>47</v>
      </c>
      <c r="J7888">
        <v>0</v>
      </c>
      <c r="K7888" s="1">
        <v>3012103</v>
      </c>
    </row>
    <row r="7889" spans="1:11" x14ac:dyDescent="0.25">
      <c r="A7889" t="s">
        <v>326</v>
      </c>
      <c r="B7889" t="s">
        <v>710</v>
      </c>
      <c r="C7889" t="s">
        <v>873</v>
      </c>
      <c r="D7889" t="s">
        <v>14</v>
      </c>
      <c r="E7889">
        <v>5</v>
      </c>
      <c r="F7889" s="2">
        <f>DATE(2026,IF(Tabla1[[#This Row],[Mes de Fecha]]="Septiembre",9,10),Tabla1[[#This Row],[Día de Fecha]])</f>
        <v>46300</v>
      </c>
      <c r="G7889">
        <v>1094957784</v>
      </c>
      <c r="H7889" t="s">
        <v>593</v>
      </c>
      <c r="I7889">
        <v>52</v>
      </c>
      <c r="J7889">
        <v>0</v>
      </c>
      <c r="K7889" s="1">
        <v>2701262</v>
      </c>
    </row>
    <row r="7890" spans="1:11" x14ac:dyDescent="0.25">
      <c r="A7890" t="s">
        <v>326</v>
      </c>
      <c r="B7890" t="s">
        <v>710</v>
      </c>
      <c r="C7890" t="s">
        <v>873</v>
      </c>
      <c r="D7890" t="s">
        <v>14</v>
      </c>
      <c r="E7890">
        <v>5</v>
      </c>
      <c r="F7890" s="2">
        <f>DATE(2026,IF(Tabla1[[#This Row],[Mes de Fecha]]="Septiembre",9,10),Tabla1[[#This Row],[Día de Fecha]])</f>
        <v>46300</v>
      </c>
      <c r="G7890">
        <v>1097391531</v>
      </c>
      <c r="H7890" t="s">
        <v>595</v>
      </c>
      <c r="I7890">
        <v>44</v>
      </c>
      <c r="J7890">
        <v>0</v>
      </c>
      <c r="K7890" s="1">
        <v>2519035</v>
      </c>
    </row>
    <row r="7891" spans="1:11" x14ac:dyDescent="0.25">
      <c r="A7891" t="s">
        <v>326</v>
      </c>
      <c r="B7891" t="s">
        <v>710</v>
      </c>
      <c r="C7891" t="s">
        <v>873</v>
      </c>
      <c r="D7891" t="s">
        <v>14</v>
      </c>
      <c r="E7891">
        <v>6</v>
      </c>
      <c r="F7891" s="2">
        <f>DATE(2026,IF(Tabla1[[#This Row],[Mes de Fecha]]="Septiembre",9,10),Tabla1[[#This Row],[Día de Fecha]])</f>
        <v>46301</v>
      </c>
      <c r="I7891">
        <v>0</v>
      </c>
      <c r="J7891" s="1">
        <v>3440551</v>
      </c>
      <c r="K7891">
        <v>0</v>
      </c>
    </row>
    <row r="7892" spans="1:11" x14ac:dyDescent="0.25">
      <c r="A7892" t="s">
        <v>326</v>
      </c>
      <c r="B7892" t="s">
        <v>710</v>
      </c>
      <c r="C7892" t="s">
        <v>873</v>
      </c>
      <c r="D7892" t="s">
        <v>14</v>
      </c>
      <c r="E7892">
        <v>6</v>
      </c>
      <c r="F7892" s="2">
        <f>DATE(2026,IF(Tabla1[[#This Row],[Mes de Fecha]]="Septiembre",9,10),Tabla1[[#This Row],[Día de Fecha]])</f>
        <v>46301</v>
      </c>
      <c r="G7892">
        <v>1005089852</v>
      </c>
      <c r="H7892" t="s">
        <v>522</v>
      </c>
      <c r="I7892">
        <v>20</v>
      </c>
      <c r="J7892">
        <v>0</v>
      </c>
      <c r="K7892" s="1">
        <v>1259623</v>
      </c>
    </row>
    <row r="7893" spans="1:11" x14ac:dyDescent="0.25">
      <c r="A7893" t="s">
        <v>326</v>
      </c>
      <c r="B7893" t="s">
        <v>710</v>
      </c>
      <c r="C7893" t="s">
        <v>873</v>
      </c>
      <c r="D7893" t="s">
        <v>14</v>
      </c>
      <c r="E7893">
        <v>6</v>
      </c>
      <c r="F7893" s="2">
        <f>DATE(2026,IF(Tabla1[[#This Row],[Mes de Fecha]]="Septiembre",9,10),Tabla1[[#This Row],[Día de Fecha]])</f>
        <v>46301</v>
      </c>
      <c r="G7893">
        <v>1007466983</v>
      </c>
      <c r="H7893" t="s">
        <v>601</v>
      </c>
      <c r="I7893">
        <v>-1</v>
      </c>
      <c r="J7893">
        <v>0</v>
      </c>
      <c r="K7893" s="1">
        <v>-67193</v>
      </c>
    </row>
    <row r="7894" spans="1:11" x14ac:dyDescent="0.25">
      <c r="A7894" t="s">
        <v>326</v>
      </c>
      <c r="B7894" t="s">
        <v>710</v>
      </c>
      <c r="C7894" t="s">
        <v>873</v>
      </c>
      <c r="D7894" t="s">
        <v>14</v>
      </c>
      <c r="E7894">
        <v>6</v>
      </c>
      <c r="F7894" s="2">
        <f>DATE(2026,IF(Tabla1[[#This Row],[Mes de Fecha]]="Septiembre",9,10),Tabla1[[#This Row],[Día de Fecha]])</f>
        <v>46301</v>
      </c>
      <c r="G7894">
        <v>1092850523</v>
      </c>
      <c r="H7894" t="s">
        <v>591</v>
      </c>
      <c r="I7894">
        <v>21</v>
      </c>
      <c r="J7894">
        <v>0</v>
      </c>
      <c r="K7894" s="1">
        <v>898236</v>
      </c>
    </row>
    <row r="7895" spans="1:11" x14ac:dyDescent="0.25">
      <c r="A7895" t="s">
        <v>326</v>
      </c>
      <c r="B7895" t="s">
        <v>710</v>
      </c>
      <c r="C7895" t="s">
        <v>873</v>
      </c>
      <c r="D7895" t="s">
        <v>14</v>
      </c>
      <c r="E7895">
        <v>6</v>
      </c>
      <c r="F7895" s="2">
        <f>DATE(2026,IF(Tabla1[[#This Row],[Mes de Fecha]]="Septiembre",9,10),Tabla1[[#This Row],[Día de Fecha]])</f>
        <v>46301</v>
      </c>
      <c r="G7895">
        <v>1094957784</v>
      </c>
      <c r="H7895" t="s">
        <v>593</v>
      </c>
      <c r="I7895">
        <v>59</v>
      </c>
      <c r="J7895">
        <v>0</v>
      </c>
      <c r="K7895" s="1">
        <v>2658952</v>
      </c>
    </row>
    <row r="7896" spans="1:11" x14ac:dyDescent="0.25">
      <c r="A7896" t="s">
        <v>326</v>
      </c>
      <c r="B7896" t="s">
        <v>710</v>
      </c>
      <c r="C7896" t="s">
        <v>873</v>
      </c>
      <c r="D7896" t="s">
        <v>14</v>
      </c>
      <c r="E7896">
        <v>7</v>
      </c>
      <c r="F7896" s="2">
        <f>DATE(2026,IF(Tabla1[[#This Row],[Mes de Fecha]]="Septiembre",9,10),Tabla1[[#This Row],[Día de Fecha]])</f>
        <v>46302</v>
      </c>
      <c r="I7896">
        <v>0</v>
      </c>
      <c r="J7896" s="1">
        <v>3395283</v>
      </c>
      <c r="K7896">
        <v>0</v>
      </c>
    </row>
    <row r="7897" spans="1:11" x14ac:dyDescent="0.25">
      <c r="A7897" t="s">
        <v>326</v>
      </c>
      <c r="B7897" t="s">
        <v>710</v>
      </c>
      <c r="C7897" t="s">
        <v>873</v>
      </c>
      <c r="D7897" t="s">
        <v>14</v>
      </c>
      <c r="E7897">
        <v>7</v>
      </c>
      <c r="F7897" s="2">
        <f>DATE(2026,IF(Tabla1[[#This Row],[Mes de Fecha]]="Septiembre",9,10),Tabla1[[#This Row],[Día de Fecha]])</f>
        <v>46302</v>
      </c>
      <c r="G7897">
        <v>24606628</v>
      </c>
      <c r="H7897" t="s">
        <v>596</v>
      </c>
      <c r="I7897">
        <v>-1</v>
      </c>
      <c r="J7897">
        <v>0</v>
      </c>
      <c r="K7897" s="1">
        <v>-33529</v>
      </c>
    </row>
    <row r="7898" spans="1:11" x14ac:dyDescent="0.25">
      <c r="A7898" t="s">
        <v>326</v>
      </c>
      <c r="B7898" t="s">
        <v>710</v>
      </c>
      <c r="C7898" t="s">
        <v>873</v>
      </c>
      <c r="D7898" t="s">
        <v>14</v>
      </c>
      <c r="E7898">
        <v>7</v>
      </c>
      <c r="F7898" s="2">
        <f>DATE(2026,IF(Tabla1[[#This Row],[Mes de Fecha]]="Septiembre",9,10),Tabla1[[#This Row],[Día de Fecha]])</f>
        <v>46302</v>
      </c>
      <c r="G7898">
        <v>1005089852</v>
      </c>
      <c r="H7898" t="s">
        <v>522</v>
      </c>
      <c r="I7898">
        <v>32</v>
      </c>
      <c r="J7898">
        <v>0</v>
      </c>
      <c r="K7898" s="1">
        <v>1651893</v>
      </c>
    </row>
    <row r="7899" spans="1:11" x14ac:dyDescent="0.25">
      <c r="A7899" t="s">
        <v>326</v>
      </c>
      <c r="B7899" t="s">
        <v>710</v>
      </c>
      <c r="C7899" t="s">
        <v>873</v>
      </c>
      <c r="D7899" t="s">
        <v>14</v>
      </c>
      <c r="E7899">
        <v>7</v>
      </c>
      <c r="F7899" s="2">
        <f>DATE(2026,IF(Tabla1[[#This Row],[Mes de Fecha]]="Septiembre",9,10),Tabla1[[#This Row],[Día de Fecha]])</f>
        <v>46302</v>
      </c>
      <c r="G7899">
        <v>1092850523</v>
      </c>
      <c r="H7899" t="s">
        <v>591</v>
      </c>
      <c r="I7899">
        <v>31</v>
      </c>
      <c r="J7899">
        <v>0</v>
      </c>
      <c r="K7899" s="1">
        <v>1628868</v>
      </c>
    </row>
    <row r="7900" spans="1:11" x14ac:dyDescent="0.25">
      <c r="A7900" t="s">
        <v>326</v>
      </c>
      <c r="B7900" t="s">
        <v>710</v>
      </c>
      <c r="C7900" t="s">
        <v>873</v>
      </c>
      <c r="D7900" t="s">
        <v>14</v>
      </c>
      <c r="E7900">
        <v>7</v>
      </c>
      <c r="F7900" s="2">
        <f>DATE(2026,IF(Tabla1[[#This Row],[Mes de Fecha]]="Septiembre",9,10),Tabla1[[#This Row],[Día de Fecha]])</f>
        <v>46302</v>
      </c>
      <c r="G7900">
        <v>1094957784</v>
      </c>
      <c r="H7900" t="s">
        <v>593</v>
      </c>
      <c r="I7900">
        <v>27</v>
      </c>
      <c r="J7900">
        <v>0</v>
      </c>
      <c r="K7900" s="1">
        <v>1358029</v>
      </c>
    </row>
    <row r="7901" spans="1:11" x14ac:dyDescent="0.25">
      <c r="A7901" t="s">
        <v>326</v>
      </c>
      <c r="B7901" t="s">
        <v>710</v>
      </c>
      <c r="C7901" t="s">
        <v>873</v>
      </c>
      <c r="D7901" t="s">
        <v>14</v>
      </c>
      <c r="E7901">
        <v>7</v>
      </c>
      <c r="F7901" s="2">
        <f>DATE(2026,IF(Tabla1[[#This Row],[Mes de Fecha]]="Septiembre",9,10),Tabla1[[#This Row],[Día de Fecha]])</f>
        <v>46302</v>
      </c>
      <c r="G7901">
        <v>1097391531</v>
      </c>
      <c r="H7901" t="s">
        <v>595</v>
      </c>
      <c r="I7901">
        <v>-1</v>
      </c>
      <c r="J7901">
        <v>0</v>
      </c>
      <c r="K7901" s="1">
        <v>-33529</v>
      </c>
    </row>
    <row r="7902" spans="1:11" x14ac:dyDescent="0.25">
      <c r="A7902" t="s">
        <v>326</v>
      </c>
      <c r="B7902" t="s">
        <v>722</v>
      </c>
      <c r="C7902" t="s">
        <v>873</v>
      </c>
      <c r="D7902" t="s">
        <v>11</v>
      </c>
      <c r="E7902">
        <v>23</v>
      </c>
      <c r="F7902" s="2">
        <f>DATE(2026,IF(Tabla1[[#This Row],[Mes de Fecha]]="Septiembre",9,10),Tabla1[[#This Row],[Día de Fecha]])</f>
        <v>46288</v>
      </c>
      <c r="I7902">
        <v>0</v>
      </c>
      <c r="J7902" s="1">
        <v>5767847</v>
      </c>
      <c r="K7902">
        <v>0</v>
      </c>
    </row>
    <row r="7903" spans="1:11" x14ac:dyDescent="0.25">
      <c r="A7903" t="s">
        <v>326</v>
      </c>
      <c r="B7903" t="s">
        <v>722</v>
      </c>
      <c r="C7903" t="s">
        <v>873</v>
      </c>
      <c r="D7903" t="s">
        <v>11</v>
      </c>
      <c r="E7903">
        <v>23</v>
      </c>
      <c r="F7903" s="2">
        <f>DATE(2026,IF(Tabla1[[#This Row],[Mes de Fecha]]="Septiembre",9,10),Tabla1[[#This Row],[Día de Fecha]])</f>
        <v>46288</v>
      </c>
      <c r="G7903">
        <v>1007375030</v>
      </c>
      <c r="H7903" t="s">
        <v>723</v>
      </c>
      <c r="I7903">
        <v>9</v>
      </c>
      <c r="J7903">
        <v>0</v>
      </c>
      <c r="K7903" s="1">
        <v>507942</v>
      </c>
    </row>
    <row r="7904" spans="1:11" x14ac:dyDescent="0.25">
      <c r="A7904" t="s">
        <v>326</v>
      </c>
      <c r="B7904" t="s">
        <v>722</v>
      </c>
      <c r="C7904" t="s">
        <v>873</v>
      </c>
      <c r="D7904" t="s">
        <v>11</v>
      </c>
      <c r="E7904">
        <v>23</v>
      </c>
      <c r="F7904" s="2">
        <f>DATE(2026,IF(Tabla1[[#This Row],[Mes de Fecha]]="Septiembre",9,10),Tabla1[[#This Row],[Día de Fecha]])</f>
        <v>46288</v>
      </c>
      <c r="G7904">
        <v>1088291704</v>
      </c>
      <c r="H7904" t="s">
        <v>724</v>
      </c>
      <c r="I7904">
        <v>-1</v>
      </c>
      <c r="J7904">
        <v>0</v>
      </c>
      <c r="K7904" s="1">
        <v>-58740</v>
      </c>
    </row>
    <row r="7905" spans="1:11" x14ac:dyDescent="0.25">
      <c r="A7905" t="s">
        <v>326</v>
      </c>
      <c r="B7905" t="s">
        <v>722</v>
      </c>
      <c r="C7905" t="s">
        <v>873</v>
      </c>
      <c r="D7905" t="s">
        <v>11</v>
      </c>
      <c r="E7905">
        <v>23</v>
      </c>
      <c r="F7905" s="2">
        <f>DATE(2026,IF(Tabla1[[#This Row],[Mes de Fecha]]="Septiembre",9,10),Tabla1[[#This Row],[Día de Fecha]])</f>
        <v>46288</v>
      </c>
      <c r="G7905">
        <v>1114148923</v>
      </c>
      <c r="H7905" t="s">
        <v>711</v>
      </c>
      <c r="I7905">
        <v>91</v>
      </c>
      <c r="J7905">
        <v>0</v>
      </c>
      <c r="K7905" s="1">
        <v>4935086</v>
      </c>
    </row>
    <row r="7906" spans="1:11" x14ac:dyDescent="0.25">
      <c r="A7906" t="s">
        <v>326</v>
      </c>
      <c r="B7906" t="s">
        <v>722</v>
      </c>
      <c r="C7906" t="s">
        <v>873</v>
      </c>
      <c r="D7906" t="s">
        <v>11</v>
      </c>
      <c r="E7906">
        <v>23</v>
      </c>
      <c r="F7906" s="2">
        <f>DATE(2026,IF(Tabla1[[#This Row],[Mes de Fecha]]="Septiembre",9,10),Tabla1[[#This Row],[Día de Fecha]])</f>
        <v>46288</v>
      </c>
      <c r="G7906">
        <v>1114149755</v>
      </c>
      <c r="H7906" t="s">
        <v>507</v>
      </c>
      <c r="I7906">
        <v>69</v>
      </c>
      <c r="J7906">
        <v>0</v>
      </c>
      <c r="K7906" s="1">
        <v>4202942</v>
      </c>
    </row>
    <row r="7907" spans="1:11" x14ac:dyDescent="0.25">
      <c r="A7907" t="s">
        <v>326</v>
      </c>
      <c r="B7907" t="s">
        <v>722</v>
      </c>
      <c r="C7907" t="s">
        <v>873</v>
      </c>
      <c r="D7907" t="s">
        <v>11</v>
      </c>
      <c r="E7907">
        <v>23</v>
      </c>
      <c r="F7907" s="2">
        <f>DATE(2026,IF(Tabla1[[#This Row],[Mes de Fecha]]="Septiembre",9,10),Tabla1[[#This Row],[Día de Fecha]])</f>
        <v>46288</v>
      </c>
      <c r="G7907">
        <v>1137977751</v>
      </c>
      <c r="H7907" t="s">
        <v>725</v>
      </c>
      <c r="I7907">
        <v>4</v>
      </c>
      <c r="J7907">
        <v>0</v>
      </c>
      <c r="K7907" s="1">
        <v>218277</v>
      </c>
    </row>
    <row r="7908" spans="1:11" x14ac:dyDescent="0.25">
      <c r="A7908" t="s">
        <v>326</v>
      </c>
      <c r="B7908" t="s">
        <v>722</v>
      </c>
      <c r="C7908" t="s">
        <v>873</v>
      </c>
      <c r="D7908" t="s">
        <v>11</v>
      </c>
      <c r="E7908">
        <v>24</v>
      </c>
      <c r="F7908" s="2">
        <f>DATE(2026,IF(Tabla1[[#This Row],[Mes de Fecha]]="Septiembre",9,10),Tabla1[[#This Row],[Día de Fecha]])</f>
        <v>46289</v>
      </c>
      <c r="I7908">
        <v>0</v>
      </c>
      <c r="J7908" s="1">
        <v>8811032</v>
      </c>
      <c r="K7908">
        <v>0</v>
      </c>
    </row>
    <row r="7909" spans="1:11" x14ac:dyDescent="0.25">
      <c r="A7909" t="s">
        <v>326</v>
      </c>
      <c r="B7909" t="s">
        <v>722</v>
      </c>
      <c r="C7909" t="s">
        <v>873</v>
      </c>
      <c r="D7909" t="s">
        <v>11</v>
      </c>
      <c r="E7909">
        <v>24</v>
      </c>
      <c r="F7909" s="2">
        <f>DATE(2026,IF(Tabla1[[#This Row],[Mes de Fecha]]="Septiembre",9,10),Tabla1[[#This Row],[Día de Fecha]])</f>
        <v>46289</v>
      </c>
      <c r="G7909">
        <v>1007375030</v>
      </c>
      <c r="H7909" t="s">
        <v>723</v>
      </c>
      <c r="I7909">
        <v>18</v>
      </c>
      <c r="J7909">
        <v>0</v>
      </c>
      <c r="K7909" s="1">
        <v>763825</v>
      </c>
    </row>
    <row r="7910" spans="1:11" x14ac:dyDescent="0.25">
      <c r="A7910" t="s">
        <v>326</v>
      </c>
      <c r="B7910" t="s">
        <v>722</v>
      </c>
      <c r="C7910" t="s">
        <v>873</v>
      </c>
      <c r="D7910" t="s">
        <v>11</v>
      </c>
      <c r="E7910">
        <v>24</v>
      </c>
      <c r="F7910" s="2">
        <f>DATE(2026,IF(Tabla1[[#This Row],[Mes de Fecha]]="Septiembre",9,10),Tabla1[[#This Row],[Día de Fecha]])</f>
        <v>46289</v>
      </c>
      <c r="G7910">
        <v>1114148923</v>
      </c>
      <c r="H7910" t="s">
        <v>711</v>
      </c>
      <c r="I7910">
        <v>119</v>
      </c>
      <c r="J7910">
        <v>0</v>
      </c>
      <c r="K7910" s="1">
        <v>6358026</v>
      </c>
    </row>
    <row r="7911" spans="1:11" x14ac:dyDescent="0.25">
      <c r="A7911" t="s">
        <v>326</v>
      </c>
      <c r="B7911" t="s">
        <v>722</v>
      </c>
      <c r="C7911" t="s">
        <v>873</v>
      </c>
      <c r="D7911" t="s">
        <v>11</v>
      </c>
      <c r="E7911">
        <v>24</v>
      </c>
      <c r="F7911" s="2">
        <f>DATE(2026,IF(Tabla1[[#This Row],[Mes de Fecha]]="Septiembre",9,10),Tabla1[[#This Row],[Día de Fecha]])</f>
        <v>46289</v>
      </c>
      <c r="G7911">
        <v>1114149755</v>
      </c>
      <c r="H7911" t="s">
        <v>507</v>
      </c>
      <c r="I7911">
        <v>106</v>
      </c>
      <c r="J7911">
        <v>0</v>
      </c>
      <c r="K7911" s="1">
        <v>5608405</v>
      </c>
    </row>
    <row r="7912" spans="1:11" x14ac:dyDescent="0.25">
      <c r="A7912" t="s">
        <v>326</v>
      </c>
      <c r="B7912" t="s">
        <v>722</v>
      </c>
      <c r="C7912" t="s">
        <v>873</v>
      </c>
      <c r="D7912" t="s">
        <v>11</v>
      </c>
      <c r="E7912">
        <v>24</v>
      </c>
      <c r="F7912" s="2">
        <f>DATE(2026,IF(Tabla1[[#This Row],[Mes de Fecha]]="Septiembre",9,10),Tabla1[[#This Row],[Día de Fecha]])</f>
        <v>46289</v>
      </c>
      <c r="G7912">
        <v>1137977751</v>
      </c>
      <c r="H7912" t="s">
        <v>725</v>
      </c>
      <c r="I7912">
        <v>12</v>
      </c>
      <c r="J7912">
        <v>0</v>
      </c>
      <c r="K7912" s="1">
        <v>547773</v>
      </c>
    </row>
    <row r="7913" spans="1:11" x14ac:dyDescent="0.25">
      <c r="A7913" t="s">
        <v>326</v>
      </c>
      <c r="B7913" t="s">
        <v>722</v>
      </c>
      <c r="C7913" t="s">
        <v>873</v>
      </c>
      <c r="D7913" t="s">
        <v>11</v>
      </c>
      <c r="E7913">
        <v>25</v>
      </c>
      <c r="F7913" s="2">
        <f>DATE(2026,IF(Tabla1[[#This Row],[Mes de Fecha]]="Septiembre",9,10),Tabla1[[#This Row],[Día de Fecha]])</f>
        <v>46290</v>
      </c>
      <c r="I7913">
        <v>0</v>
      </c>
      <c r="J7913" s="1">
        <v>8791528</v>
      </c>
      <c r="K7913">
        <v>0</v>
      </c>
    </row>
    <row r="7914" spans="1:11" x14ac:dyDescent="0.25">
      <c r="A7914" t="s">
        <v>326</v>
      </c>
      <c r="B7914" t="s">
        <v>722</v>
      </c>
      <c r="C7914" t="s">
        <v>873</v>
      </c>
      <c r="D7914" t="s">
        <v>11</v>
      </c>
      <c r="E7914">
        <v>25</v>
      </c>
      <c r="F7914" s="2">
        <f>DATE(2026,IF(Tabla1[[#This Row],[Mes de Fecha]]="Septiembre",9,10),Tabla1[[#This Row],[Día de Fecha]])</f>
        <v>46290</v>
      </c>
      <c r="G7914">
        <v>1007375030</v>
      </c>
      <c r="H7914" t="s">
        <v>723</v>
      </c>
      <c r="I7914">
        <v>34</v>
      </c>
      <c r="J7914">
        <v>0</v>
      </c>
      <c r="K7914" s="1">
        <v>1561475</v>
      </c>
    </row>
    <row r="7915" spans="1:11" x14ac:dyDescent="0.25">
      <c r="A7915" t="s">
        <v>326</v>
      </c>
      <c r="B7915" t="s">
        <v>722</v>
      </c>
      <c r="C7915" t="s">
        <v>873</v>
      </c>
      <c r="D7915" t="s">
        <v>11</v>
      </c>
      <c r="E7915">
        <v>25</v>
      </c>
      <c r="F7915" s="2">
        <f>DATE(2026,IF(Tabla1[[#This Row],[Mes de Fecha]]="Septiembre",9,10),Tabla1[[#This Row],[Día de Fecha]])</f>
        <v>46290</v>
      </c>
      <c r="G7915">
        <v>1114148923</v>
      </c>
      <c r="H7915" t="s">
        <v>711</v>
      </c>
      <c r="I7915">
        <v>80</v>
      </c>
      <c r="J7915">
        <v>0</v>
      </c>
      <c r="K7915" s="1">
        <v>4845129</v>
      </c>
    </row>
    <row r="7916" spans="1:11" x14ac:dyDescent="0.25">
      <c r="A7916" t="s">
        <v>326</v>
      </c>
      <c r="B7916" t="s">
        <v>722</v>
      </c>
      <c r="C7916" t="s">
        <v>873</v>
      </c>
      <c r="D7916" t="s">
        <v>11</v>
      </c>
      <c r="E7916">
        <v>25</v>
      </c>
      <c r="F7916" s="2">
        <f>DATE(2026,IF(Tabla1[[#This Row],[Mes de Fecha]]="Septiembre",9,10),Tabla1[[#This Row],[Día de Fecha]])</f>
        <v>46290</v>
      </c>
      <c r="G7916">
        <v>1114149755</v>
      </c>
      <c r="H7916" t="s">
        <v>507</v>
      </c>
      <c r="I7916">
        <v>73</v>
      </c>
      <c r="J7916">
        <v>0</v>
      </c>
      <c r="K7916" s="1">
        <v>4061809</v>
      </c>
    </row>
    <row r="7917" spans="1:11" x14ac:dyDescent="0.25">
      <c r="A7917" t="s">
        <v>326</v>
      </c>
      <c r="B7917" t="s">
        <v>722</v>
      </c>
      <c r="C7917" t="s">
        <v>873</v>
      </c>
      <c r="D7917" t="s">
        <v>11</v>
      </c>
      <c r="E7917">
        <v>25</v>
      </c>
      <c r="F7917" s="2">
        <f>DATE(2026,IF(Tabla1[[#This Row],[Mes de Fecha]]="Septiembre",9,10),Tabla1[[#This Row],[Día de Fecha]])</f>
        <v>46290</v>
      </c>
      <c r="G7917">
        <v>1137977751</v>
      </c>
      <c r="H7917" t="s">
        <v>725</v>
      </c>
      <c r="I7917">
        <v>10</v>
      </c>
      <c r="J7917">
        <v>0</v>
      </c>
      <c r="K7917" s="1">
        <v>411344</v>
      </c>
    </row>
    <row r="7918" spans="1:11" x14ac:dyDescent="0.25">
      <c r="A7918" t="s">
        <v>326</v>
      </c>
      <c r="B7918" t="s">
        <v>722</v>
      </c>
      <c r="C7918" t="s">
        <v>873</v>
      </c>
      <c r="D7918" t="s">
        <v>11</v>
      </c>
      <c r="E7918">
        <v>26</v>
      </c>
      <c r="F7918" s="2">
        <f>DATE(2026,IF(Tabla1[[#This Row],[Mes de Fecha]]="Septiembre",9,10),Tabla1[[#This Row],[Día de Fecha]])</f>
        <v>46291</v>
      </c>
      <c r="I7918">
        <v>0</v>
      </c>
      <c r="J7918" s="1">
        <v>12634690</v>
      </c>
      <c r="K7918">
        <v>0</v>
      </c>
    </row>
    <row r="7919" spans="1:11" x14ac:dyDescent="0.25">
      <c r="A7919" t="s">
        <v>326</v>
      </c>
      <c r="B7919" t="s">
        <v>722</v>
      </c>
      <c r="C7919" t="s">
        <v>873</v>
      </c>
      <c r="D7919" t="s">
        <v>11</v>
      </c>
      <c r="E7919">
        <v>26</v>
      </c>
      <c r="F7919" s="2">
        <f>DATE(2026,IF(Tabla1[[#This Row],[Mes de Fecha]]="Septiembre",9,10),Tabla1[[#This Row],[Día de Fecha]])</f>
        <v>46291</v>
      </c>
      <c r="G7919">
        <v>1007375030</v>
      </c>
      <c r="H7919" t="s">
        <v>723</v>
      </c>
      <c r="I7919">
        <v>44</v>
      </c>
      <c r="J7919">
        <v>0</v>
      </c>
      <c r="K7919" s="1">
        <v>1563030</v>
      </c>
    </row>
    <row r="7920" spans="1:11" x14ac:dyDescent="0.25">
      <c r="A7920" t="s">
        <v>326</v>
      </c>
      <c r="B7920" t="s">
        <v>722</v>
      </c>
      <c r="C7920" t="s">
        <v>873</v>
      </c>
      <c r="D7920" t="s">
        <v>11</v>
      </c>
      <c r="E7920">
        <v>26</v>
      </c>
      <c r="F7920" s="2">
        <f>DATE(2026,IF(Tabla1[[#This Row],[Mes de Fecha]]="Septiembre",9,10),Tabla1[[#This Row],[Día de Fecha]])</f>
        <v>46291</v>
      </c>
      <c r="G7920">
        <v>1114148923</v>
      </c>
      <c r="H7920" t="s">
        <v>711</v>
      </c>
      <c r="I7920">
        <v>144</v>
      </c>
      <c r="J7920">
        <v>0</v>
      </c>
      <c r="K7920" s="1">
        <v>7238953</v>
      </c>
    </row>
    <row r="7921" spans="1:11" x14ac:dyDescent="0.25">
      <c r="A7921" t="s">
        <v>326</v>
      </c>
      <c r="B7921" t="s">
        <v>722</v>
      </c>
      <c r="C7921" t="s">
        <v>873</v>
      </c>
      <c r="D7921" t="s">
        <v>11</v>
      </c>
      <c r="E7921">
        <v>26</v>
      </c>
      <c r="F7921" s="2">
        <f>DATE(2026,IF(Tabla1[[#This Row],[Mes de Fecha]]="Septiembre",9,10),Tabla1[[#This Row],[Día de Fecha]])</f>
        <v>46291</v>
      </c>
      <c r="G7921">
        <v>1114149755</v>
      </c>
      <c r="H7921" t="s">
        <v>507</v>
      </c>
      <c r="I7921">
        <v>119</v>
      </c>
      <c r="J7921">
        <v>0</v>
      </c>
      <c r="K7921" s="1">
        <v>6248324</v>
      </c>
    </row>
    <row r="7922" spans="1:11" x14ac:dyDescent="0.25">
      <c r="A7922" t="s">
        <v>326</v>
      </c>
      <c r="B7922" t="s">
        <v>722</v>
      </c>
      <c r="C7922" t="s">
        <v>873</v>
      </c>
      <c r="D7922" t="s">
        <v>11</v>
      </c>
      <c r="E7922">
        <v>26</v>
      </c>
      <c r="F7922" s="2">
        <f>DATE(2026,IF(Tabla1[[#This Row],[Mes de Fecha]]="Septiembre",9,10),Tabla1[[#This Row],[Día de Fecha]])</f>
        <v>46291</v>
      </c>
      <c r="G7922">
        <v>1137977751</v>
      </c>
      <c r="H7922" t="s">
        <v>725</v>
      </c>
      <c r="I7922">
        <v>17</v>
      </c>
      <c r="J7922">
        <v>0</v>
      </c>
      <c r="K7922" s="1">
        <v>894120</v>
      </c>
    </row>
    <row r="7923" spans="1:11" x14ac:dyDescent="0.25">
      <c r="A7923" t="s">
        <v>326</v>
      </c>
      <c r="B7923" t="s">
        <v>722</v>
      </c>
      <c r="C7923" t="s">
        <v>873</v>
      </c>
      <c r="D7923" t="s">
        <v>11</v>
      </c>
      <c r="E7923">
        <v>27</v>
      </c>
      <c r="F7923" s="2">
        <f>DATE(2026,IF(Tabla1[[#This Row],[Mes de Fecha]]="Septiembre",9,10),Tabla1[[#This Row],[Día de Fecha]])</f>
        <v>46292</v>
      </c>
      <c r="I7923">
        <v>0</v>
      </c>
      <c r="J7923" s="1">
        <v>10009217</v>
      </c>
      <c r="K7923">
        <v>0</v>
      </c>
    </row>
    <row r="7924" spans="1:11" x14ac:dyDescent="0.25">
      <c r="A7924" t="s">
        <v>326</v>
      </c>
      <c r="B7924" t="s">
        <v>722</v>
      </c>
      <c r="C7924" t="s">
        <v>873</v>
      </c>
      <c r="D7924" t="s">
        <v>11</v>
      </c>
      <c r="E7924">
        <v>27</v>
      </c>
      <c r="F7924" s="2">
        <f>DATE(2026,IF(Tabla1[[#This Row],[Mes de Fecha]]="Septiembre",9,10),Tabla1[[#This Row],[Día de Fecha]])</f>
        <v>46292</v>
      </c>
      <c r="G7924">
        <v>1007375030</v>
      </c>
      <c r="H7924" t="s">
        <v>723</v>
      </c>
      <c r="I7924">
        <v>12</v>
      </c>
      <c r="J7924">
        <v>0</v>
      </c>
      <c r="K7924" s="1">
        <v>730590</v>
      </c>
    </row>
    <row r="7925" spans="1:11" x14ac:dyDescent="0.25">
      <c r="A7925" t="s">
        <v>326</v>
      </c>
      <c r="B7925" t="s">
        <v>722</v>
      </c>
      <c r="C7925" t="s">
        <v>873</v>
      </c>
      <c r="D7925" t="s">
        <v>11</v>
      </c>
      <c r="E7925">
        <v>27</v>
      </c>
      <c r="F7925" s="2">
        <f>DATE(2026,IF(Tabla1[[#This Row],[Mes de Fecha]]="Septiembre",9,10),Tabla1[[#This Row],[Día de Fecha]])</f>
        <v>46292</v>
      </c>
      <c r="G7925">
        <v>1114148923</v>
      </c>
      <c r="H7925" t="s">
        <v>711</v>
      </c>
      <c r="I7925">
        <v>35</v>
      </c>
      <c r="J7925">
        <v>0</v>
      </c>
      <c r="K7925" s="1">
        <v>2019244</v>
      </c>
    </row>
    <row r="7926" spans="1:11" x14ac:dyDescent="0.25">
      <c r="A7926" t="s">
        <v>326</v>
      </c>
      <c r="B7926" t="s">
        <v>722</v>
      </c>
      <c r="C7926" t="s">
        <v>873</v>
      </c>
      <c r="D7926" t="s">
        <v>11</v>
      </c>
      <c r="E7926">
        <v>27</v>
      </c>
      <c r="F7926" s="2">
        <f>DATE(2026,IF(Tabla1[[#This Row],[Mes de Fecha]]="Septiembre",9,10),Tabla1[[#This Row],[Día de Fecha]])</f>
        <v>46292</v>
      </c>
      <c r="G7926">
        <v>1114149755</v>
      </c>
      <c r="H7926" t="s">
        <v>507</v>
      </c>
      <c r="I7926">
        <v>39</v>
      </c>
      <c r="J7926">
        <v>0</v>
      </c>
      <c r="K7926" s="1">
        <v>2189284</v>
      </c>
    </row>
    <row r="7927" spans="1:11" x14ac:dyDescent="0.25">
      <c r="A7927" t="s">
        <v>326</v>
      </c>
      <c r="B7927" t="s">
        <v>722</v>
      </c>
      <c r="C7927" t="s">
        <v>873</v>
      </c>
      <c r="D7927" t="s">
        <v>11</v>
      </c>
      <c r="E7927">
        <v>27</v>
      </c>
      <c r="F7927" s="2">
        <f>DATE(2026,IF(Tabla1[[#This Row],[Mes de Fecha]]="Septiembre",9,10),Tabla1[[#This Row],[Día de Fecha]])</f>
        <v>46292</v>
      </c>
      <c r="G7927">
        <v>1137977751</v>
      </c>
      <c r="H7927" t="s">
        <v>725</v>
      </c>
      <c r="I7927">
        <v>8</v>
      </c>
      <c r="J7927">
        <v>0</v>
      </c>
      <c r="K7927" s="1">
        <v>367311</v>
      </c>
    </row>
    <row r="7928" spans="1:11" x14ac:dyDescent="0.25">
      <c r="A7928" t="s">
        <v>326</v>
      </c>
      <c r="B7928" t="s">
        <v>722</v>
      </c>
      <c r="C7928" t="s">
        <v>873</v>
      </c>
      <c r="D7928" t="s">
        <v>11</v>
      </c>
      <c r="E7928">
        <v>28</v>
      </c>
      <c r="F7928" s="2">
        <f>DATE(2026,IF(Tabla1[[#This Row],[Mes de Fecha]]="Septiembre",9,10),Tabla1[[#This Row],[Día de Fecha]])</f>
        <v>46293</v>
      </c>
      <c r="I7928">
        <v>0</v>
      </c>
      <c r="J7928" s="1">
        <v>5635635</v>
      </c>
      <c r="K7928">
        <v>0</v>
      </c>
    </row>
    <row r="7929" spans="1:11" x14ac:dyDescent="0.25">
      <c r="A7929" t="s">
        <v>326</v>
      </c>
      <c r="B7929" t="s">
        <v>722</v>
      </c>
      <c r="C7929" t="s">
        <v>873</v>
      </c>
      <c r="D7929" t="s">
        <v>11</v>
      </c>
      <c r="E7929">
        <v>28</v>
      </c>
      <c r="F7929" s="2">
        <f>DATE(2026,IF(Tabla1[[#This Row],[Mes de Fecha]]="Septiembre",9,10),Tabla1[[#This Row],[Día de Fecha]])</f>
        <v>46293</v>
      </c>
      <c r="G7929">
        <v>1007375030</v>
      </c>
      <c r="H7929" t="s">
        <v>723</v>
      </c>
      <c r="I7929">
        <v>24</v>
      </c>
      <c r="J7929">
        <v>0</v>
      </c>
      <c r="K7929" s="1">
        <v>1301219</v>
      </c>
    </row>
    <row r="7930" spans="1:11" x14ac:dyDescent="0.25">
      <c r="A7930" t="s">
        <v>326</v>
      </c>
      <c r="B7930" t="s">
        <v>722</v>
      </c>
      <c r="C7930" t="s">
        <v>873</v>
      </c>
      <c r="D7930" t="s">
        <v>11</v>
      </c>
      <c r="E7930">
        <v>28</v>
      </c>
      <c r="F7930" s="2">
        <f>DATE(2026,IF(Tabla1[[#This Row],[Mes de Fecha]]="Septiembre",9,10),Tabla1[[#This Row],[Día de Fecha]])</f>
        <v>46293</v>
      </c>
      <c r="G7930">
        <v>1114148923</v>
      </c>
      <c r="H7930" t="s">
        <v>711</v>
      </c>
      <c r="I7930">
        <v>44</v>
      </c>
      <c r="J7930">
        <v>0</v>
      </c>
      <c r="K7930" s="1">
        <v>2483322</v>
      </c>
    </row>
    <row r="7931" spans="1:11" x14ac:dyDescent="0.25">
      <c r="A7931" t="s">
        <v>326</v>
      </c>
      <c r="B7931" t="s">
        <v>722</v>
      </c>
      <c r="C7931" t="s">
        <v>873</v>
      </c>
      <c r="D7931" t="s">
        <v>11</v>
      </c>
      <c r="E7931">
        <v>28</v>
      </c>
      <c r="F7931" s="2">
        <f>DATE(2026,IF(Tabla1[[#This Row],[Mes de Fecha]]="Septiembre",9,10),Tabla1[[#This Row],[Día de Fecha]])</f>
        <v>46293</v>
      </c>
      <c r="G7931">
        <v>1114149755</v>
      </c>
      <c r="H7931" t="s">
        <v>507</v>
      </c>
      <c r="I7931">
        <v>43</v>
      </c>
      <c r="J7931">
        <v>0</v>
      </c>
      <c r="K7931" s="1">
        <v>2275336</v>
      </c>
    </row>
    <row r="7932" spans="1:11" x14ac:dyDescent="0.25">
      <c r="A7932" t="s">
        <v>326</v>
      </c>
      <c r="B7932" t="s">
        <v>722</v>
      </c>
      <c r="C7932" t="s">
        <v>873</v>
      </c>
      <c r="D7932" t="s">
        <v>11</v>
      </c>
      <c r="E7932">
        <v>28</v>
      </c>
      <c r="F7932" s="2">
        <f>DATE(2026,IF(Tabla1[[#This Row],[Mes de Fecha]]="Septiembre",9,10),Tabla1[[#This Row],[Día de Fecha]])</f>
        <v>46293</v>
      </c>
      <c r="G7932">
        <v>1137977751</v>
      </c>
      <c r="H7932" t="s">
        <v>725</v>
      </c>
      <c r="I7932">
        <v>21</v>
      </c>
      <c r="J7932">
        <v>0</v>
      </c>
      <c r="K7932" s="1">
        <v>822271</v>
      </c>
    </row>
    <row r="7933" spans="1:11" x14ac:dyDescent="0.25">
      <c r="A7933" t="s">
        <v>326</v>
      </c>
      <c r="B7933" t="s">
        <v>722</v>
      </c>
      <c r="C7933" t="s">
        <v>873</v>
      </c>
      <c r="D7933" t="s">
        <v>11</v>
      </c>
      <c r="E7933">
        <v>29</v>
      </c>
      <c r="F7933" s="2">
        <f>DATE(2026,IF(Tabla1[[#This Row],[Mes de Fecha]]="Septiembre",9,10),Tabla1[[#This Row],[Día de Fecha]])</f>
        <v>46294</v>
      </c>
      <c r="I7933">
        <v>0</v>
      </c>
      <c r="J7933" s="1">
        <v>5757359</v>
      </c>
      <c r="K7933">
        <v>0</v>
      </c>
    </row>
    <row r="7934" spans="1:11" x14ac:dyDescent="0.25">
      <c r="A7934" t="s">
        <v>326</v>
      </c>
      <c r="B7934" t="s">
        <v>722</v>
      </c>
      <c r="C7934" t="s">
        <v>873</v>
      </c>
      <c r="D7934" t="s">
        <v>11</v>
      </c>
      <c r="E7934">
        <v>29</v>
      </c>
      <c r="F7934" s="2">
        <f>DATE(2026,IF(Tabla1[[#This Row],[Mes de Fecha]]="Septiembre",9,10),Tabla1[[#This Row],[Día de Fecha]])</f>
        <v>46294</v>
      </c>
      <c r="G7934">
        <v>1007375030</v>
      </c>
      <c r="H7934" t="s">
        <v>723</v>
      </c>
      <c r="I7934">
        <v>23</v>
      </c>
      <c r="J7934">
        <v>0</v>
      </c>
      <c r="K7934" s="1">
        <v>1305588</v>
      </c>
    </row>
    <row r="7935" spans="1:11" x14ac:dyDescent="0.25">
      <c r="A7935" t="s">
        <v>326</v>
      </c>
      <c r="B7935" t="s">
        <v>722</v>
      </c>
      <c r="C7935" t="s">
        <v>873</v>
      </c>
      <c r="D7935" t="s">
        <v>11</v>
      </c>
      <c r="E7935">
        <v>29</v>
      </c>
      <c r="F7935" s="2">
        <f>DATE(2026,IF(Tabla1[[#This Row],[Mes de Fecha]]="Septiembre",9,10),Tabla1[[#This Row],[Día de Fecha]])</f>
        <v>46294</v>
      </c>
      <c r="G7935">
        <v>1114148923</v>
      </c>
      <c r="H7935" t="s">
        <v>711</v>
      </c>
      <c r="I7935">
        <v>50</v>
      </c>
      <c r="J7935">
        <v>0</v>
      </c>
      <c r="K7935" s="1">
        <v>2550210</v>
      </c>
    </row>
    <row r="7936" spans="1:11" x14ac:dyDescent="0.25">
      <c r="A7936" t="s">
        <v>326</v>
      </c>
      <c r="B7936" t="s">
        <v>722</v>
      </c>
      <c r="C7936" t="s">
        <v>873</v>
      </c>
      <c r="D7936" t="s">
        <v>11</v>
      </c>
      <c r="E7936">
        <v>29</v>
      </c>
      <c r="F7936" s="2">
        <f>DATE(2026,IF(Tabla1[[#This Row],[Mes de Fecha]]="Septiembre",9,10),Tabla1[[#This Row],[Día de Fecha]])</f>
        <v>46294</v>
      </c>
      <c r="G7936">
        <v>1114149755</v>
      </c>
      <c r="H7936" t="s">
        <v>507</v>
      </c>
      <c r="I7936">
        <v>32</v>
      </c>
      <c r="J7936">
        <v>0</v>
      </c>
      <c r="K7936" s="1">
        <v>1502732</v>
      </c>
    </row>
    <row r="7937" spans="1:11" x14ac:dyDescent="0.25">
      <c r="A7937" t="s">
        <v>326</v>
      </c>
      <c r="B7937" t="s">
        <v>722</v>
      </c>
      <c r="C7937" t="s">
        <v>873</v>
      </c>
      <c r="D7937" t="s">
        <v>11</v>
      </c>
      <c r="E7937">
        <v>29</v>
      </c>
      <c r="F7937" s="2">
        <f>DATE(2026,IF(Tabla1[[#This Row],[Mes de Fecha]]="Septiembre",9,10),Tabla1[[#This Row],[Día de Fecha]])</f>
        <v>46294</v>
      </c>
      <c r="G7937">
        <v>1137977751</v>
      </c>
      <c r="H7937" t="s">
        <v>725</v>
      </c>
      <c r="I7937">
        <v>10</v>
      </c>
      <c r="J7937">
        <v>0</v>
      </c>
      <c r="K7937" s="1">
        <v>587816</v>
      </c>
    </row>
    <row r="7938" spans="1:11" x14ac:dyDescent="0.25">
      <c r="A7938" t="s">
        <v>326</v>
      </c>
      <c r="B7938" t="s">
        <v>722</v>
      </c>
      <c r="C7938" t="s">
        <v>873</v>
      </c>
      <c r="D7938" t="s">
        <v>11</v>
      </c>
      <c r="E7938">
        <v>30</v>
      </c>
      <c r="F7938" s="2">
        <f>DATE(2026,IF(Tabla1[[#This Row],[Mes de Fecha]]="Septiembre",9,10),Tabla1[[#This Row],[Día de Fecha]])</f>
        <v>46295</v>
      </c>
      <c r="I7938">
        <v>0</v>
      </c>
      <c r="J7938" s="1">
        <v>6078618</v>
      </c>
      <c r="K7938">
        <v>0</v>
      </c>
    </row>
    <row r="7939" spans="1:11" x14ac:dyDescent="0.25">
      <c r="A7939" t="s">
        <v>326</v>
      </c>
      <c r="B7939" t="s">
        <v>722</v>
      </c>
      <c r="C7939" t="s">
        <v>873</v>
      </c>
      <c r="D7939" t="s">
        <v>11</v>
      </c>
      <c r="E7939">
        <v>30</v>
      </c>
      <c r="F7939" s="2">
        <f>DATE(2026,IF(Tabla1[[#This Row],[Mes de Fecha]]="Septiembre",9,10),Tabla1[[#This Row],[Día de Fecha]])</f>
        <v>46295</v>
      </c>
      <c r="G7939">
        <v>1007375030</v>
      </c>
      <c r="H7939" t="s">
        <v>723</v>
      </c>
      <c r="I7939">
        <v>34</v>
      </c>
      <c r="J7939">
        <v>0</v>
      </c>
      <c r="K7939" s="1">
        <v>1731597</v>
      </c>
    </row>
    <row r="7940" spans="1:11" x14ac:dyDescent="0.25">
      <c r="A7940" t="s">
        <v>326</v>
      </c>
      <c r="B7940" t="s">
        <v>722</v>
      </c>
      <c r="C7940" t="s">
        <v>873</v>
      </c>
      <c r="D7940" t="s">
        <v>11</v>
      </c>
      <c r="E7940">
        <v>30</v>
      </c>
      <c r="F7940" s="2">
        <f>DATE(2026,IF(Tabla1[[#This Row],[Mes de Fecha]]="Septiembre",9,10),Tabla1[[#This Row],[Día de Fecha]])</f>
        <v>46295</v>
      </c>
      <c r="G7940">
        <v>1114148923</v>
      </c>
      <c r="H7940" t="s">
        <v>711</v>
      </c>
      <c r="I7940">
        <v>54</v>
      </c>
      <c r="J7940">
        <v>0</v>
      </c>
      <c r="K7940" s="1">
        <v>2730757</v>
      </c>
    </row>
    <row r="7941" spans="1:11" x14ac:dyDescent="0.25">
      <c r="A7941" t="s">
        <v>326</v>
      </c>
      <c r="B7941" t="s">
        <v>722</v>
      </c>
      <c r="C7941" t="s">
        <v>873</v>
      </c>
      <c r="D7941" t="s">
        <v>11</v>
      </c>
      <c r="E7941">
        <v>30</v>
      </c>
      <c r="F7941" s="2">
        <f>DATE(2026,IF(Tabla1[[#This Row],[Mes de Fecha]]="Septiembre",9,10),Tabla1[[#This Row],[Día de Fecha]])</f>
        <v>46295</v>
      </c>
      <c r="G7941">
        <v>1114149755</v>
      </c>
      <c r="H7941" t="s">
        <v>507</v>
      </c>
      <c r="I7941">
        <v>71</v>
      </c>
      <c r="J7941">
        <v>0</v>
      </c>
      <c r="K7941" s="1">
        <v>3653743</v>
      </c>
    </row>
    <row r="7942" spans="1:11" x14ac:dyDescent="0.25">
      <c r="A7942" t="s">
        <v>326</v>
      </c>
      <c r="B7942" t="s">
        <v>722</v>
      </c>
      <c r="C7942" t="s">
        <v>873</v>
      </c>
      <c r="D7942" t="s">
        <v>11</v>
      </c>
      <c r="E7942">
        <v>30</v>
      </c>
      <c r="F7942" s="2">
        <f>DATE(2026,IF(Tabla1[[#This Row],[Mes de Fecha]]="Septiembre",9,10),Tabla1[[#This Row],[Día de Fecha]])</f>
        <v>46295</v>
      </c>
      <c r="G7942">
        <v>1137977751</v>
      </c>
      <c r="H7942" t="s">
        <v>725</v>
      </c>
      <c r="I7942">
        <v>15</v>
      </c>
      <c r="J7942">
        <v>0</v>
      </c>
      <c r="K7942" s="1">
        <v>738824</v>
      </c>
    </row>
    <row r="7943" spans="1:11" x14ac:dyDescent="0.25">
      <c r="A7943" t="s">
        <v>326</v>
      </c>
      <c r="B7943" t="s">
        <v>722</v>
      </c>
      <c r="C7943" t="s">
        <v>873</v>
      </c>
      <c r="D7943" t="s">
        <v>14</v>
      </c>
      <c r="E7943">
        <v>1</v>
      </c>
      <c r="F7943" s="2">
        <f>DATE(2026,IF(Tabla1[[#This Row],[Mes de Fecha]]="Septiembre",9,10),Tabla1[[#This Row],[Día de Fecha]])</f>
        <v>46296</v>
      </c>
      <c r="I7943">
        <v>0</v>
      </c>
      <c r="J7943" s="1">
        <v>6848563</v>
      </c>
      <c r="K7943">
        <v>0</v>
      </c>
    </row>
    <row r="7944" spans="1:11" x14ac:dyDescent="0.25">
      <c r="A7944" t="s">
        <v>326</v>
      </c>
      <c r="B7944" t="s">
        <v>722</v>
      </c>
      <c r="C7944" t="s">
        <v>873</v>
      </c>
      <c r="D7944" t="s">
        <v>14</v>
      </c>
      <c r="E7944">
        <v>1</v>
      </c>
      <c r="F7944" s="2">
        <f>DATE(2026,IF(Tabla1[[#This Row],[Mes de Fecha]]="Septiembre",9,10),Tabla1[[#This Row],[Día de Fecha]])</f>
        <v>46296</v>
      </c>
      <c r="G7944">
        <v>1007375030</v>
      </c>
      <c r="H7944" t="s">
        <v>723</v>
      </c>
      <c r="I7944">
        <v>33</v>
      </c>
      <c r="J7944">
        <v>0</v>
      </c>
      <c r="K7944" s="1">
        <v>1727312</v>
      </c>
    </row>
    <row r="7945" spans="1:11" x14ac:dyDescent="0.25">
      <c r="A7945" t="s">
        <v>326</v>
      </c>
      <c r="B7945" t="s">
        <v>722</v>
      </c>
      <c r="C7945" t="s">
        <v>873</v>
      </c>
      <c r="D7945" t="s">
        <v>14</v>
      </c>
      <c r="E7945">
        <v>1</v>
      </c>
      <c r="F7945" s="2">
        <f>DATE(2026,IF(Tabla1[[#This Row],[Mes de Fecha]]="Septiembre",9,10),Tabla1[[#This Row],[Día de Fecha]])</f>
        <v>46296</v>
      </c>
      <c r="G7945">
        <v>1114148923</v>
      </c>
      <c r="H7945" t="s">
        <v>711</v>
      </c>
      <c r="I7945">
        <v>52</v>
      </c>
      <c r="J7945">
        <v>0</v>
      </c>
      <c r="K7945" s="1">
        <v>2602773</v>
      </c>
    </row>
    <row r="7946" spans="1:11" x14ac:dyDescent="0.25">
      <c r="A7946" t="s">
        <v>326</v>
      </c>
      <c r="B7946" t="s">
        <v>722</v>
      </c>
      <c r="C7946" t="s">
        <v>873</v>
      </c>
      <c r="D7946" t="s">
        <v>14</v>
      </c>
      <c r="E7946">
        <v>1</v>
      </c>
      <c r="F7946" s="2">
        <f>DATE(2026,IF(Tabla1[[#This Row],[Mes de Fecha]]="Septiembre",9,10),Tabla1[[#This Row],[Día de Fecha]])</f>
        <v>46296</v>
      </c>
      <c r="G7946">
        <v>1114149755</v>
      </c>
      <c r="H7946" t="s">
        <v>507</v>
      </c>
      <c r="I7946">
        <v>45</v>
      </c>
      <c r="J7946">
        <v>0</v>
      </c>
      <c r="K7946" s="1">
        <v>2165969</v>
      </c>
    </row>
    <row r="7947" spans="1:11" x14ac:dyDescent="0.25">
      <c r="A7947" t="s">
        <v>326</v>
      </c>
      <c r="B7947" t="s">
        <v>722</v>
      </c>
      <c r="C7947" t="s">
        <v>873</v>
      </c>
      <c r="D7947" t="s">
        <v>14</v>
      </c>
      <c r="E7947">
        <v>1</v>
      </c>
      <c r="F7947" s="2">
        <f>DATE(2026,IF(Tabla1[[#This Row],[Mes de Fecha]]="Septiembre",9,10),Tabla1[[#This Row],[Día de Fecha]])</f>
        <v>46296</v>
      </c>
      <c r="G7947">
        <v>1137977751</v>
      </c>
      <c r="H7947" t="s">
        <v>725</v>
      </c>
      <c r="I7947">
        <v>15</v>
      </c>
      <c r="J7947">
        <v>0</v>
      </c>
      <c r="K7947" s="1">
        <v>544707</v>
      </c>
    </row>
    <row r="7948" spans="1:11" x14ac:dyDescent="0.25">
      <c r="A7948" t="s">
        <v>326</v>
      </c>
      <c r="B7948" t="s">
        <v>722</v>
      </c>
      <c r="C7948" t="s">
        <v>873</v>
      </c>
      <c r="D7948" t="s">
        <v>14</v>
      </c>
      <c r="E7948">
        <v>2</v>
      </c>
      <c r="F7948" s="2">
        <f>DATE(2026,IF(Tabla1[[#This Row],[Mes de Fecha]]="Septiembre",9,10),Tabla1[[#This Row],[Día de Fecha]])</f>
        <v>46297</v>
      </c>
      <c r="I7948">
        <v>0</v>
      </c>
      <c r="J7948" s="1">
        <v>5397642</v>
      </c>
      <c r="K7948">
        <v>0</v>
      </c>
    </row>
    <row r="7949" spans="1:11" x14ac:dyDescent="0.25">
      <c r="A7949" t="s">
        <v>326</v>
      </c>
      <c r="B7949" t="s">
        <v>722</v>
      </c>
      <c r="C7949" t="s">
        <v>873</v>
      </c>
      <c r="D7949" t="s">
        <v>14</v>
      </c>
      <c r="E7949">
        <v>2</v>
      </c>
      <c r="F7949" s="2">
        <f>DATE(2026,IF(Tabla1[[#This Row],[Mes de Fecha]]="Septiembre",9,10),Tabla1[[#This Row],[Día de Fecha]])</f>
        <v>46297</v>
      </c>
      <c r="G7949">
        <v>1007375030</v>
      </c>
      <c r="H7949" t="s">
        <v>723</v>
      </c>
      <c r="I7949">
        <v>38</v>
      </c>
      <c r="J7949">
        <v>0</v>
      </c>
      <c r="K7949" s="1">
        <v>1971010</v>
      </c>
    </row>
    <row r="7950" spans="1:11" x14ac:dyDescent="0.25">
      <c r="A7950" t="s">
        <v>326</v>
      </c>
      <c r="B7950" t="s">
        <v>722</v>
      </c>
      <c r="C7950" t="s">
        <v>873</v>
      </c>
      <c r="D7950" t="s">
        <v>14</v>
      </c>
      <c r="E7950">
        <v>2</v>
      </c>
      <c r="F7950" s="2">
        <f>DATE(2026,IF(Tabla1[[#This Row],[Mes de Fecha]]="Septiembre",9,10),Tabla1[[#This Row],[Día de Fecha]])</f>
        <v>46297</v>
      </c>
      <c r="G7950">
        <v>1088291704</v>
      </c>
      <c r="H7950" t="s">
        <v>724</v>
      </c>
      <c r="I7950">
        <v>-1</v>
      </c>
      <c r="J7950">
        <v>0</v>
      </c>
      <c r="K7950" s="1">
        <v>-109160</v>
      </c>
    </row>
    <row r="7951" spans="1:11" x14ac:dyDescent="0.25">
      <c r="A7951" t="s">
        <v>326</v>
      </c>
      <c r="B7951" t="s">
        <v>722</v>
      </c>
      <c r="C7951" t="s">
        <v>873</v>
      </c>
      <c r="D7951" t="s">
        <v>14</v>
      </c>
      <c r="E7951">
        <v>2</v>
      </c>
      <c r="F7951" s="2">
        <f>DATE(2026,IF(Tabla1[[#This Row],[Mes de Fecha]]="Septiembre",9,10),Tabla1[[#This Row],[Día de Fecha]])</f>
        <v>46297</v>
      </c>
      <c r="G7951">
        <v>1113860425</v>
      </c>
      <c r="H7951" t="s">
        <v>726</v>
      </c>
      <c r="I7951">
        <v>-1</v>
      </c>
      <c r="J7951">
        <v>0</v>
      </c>
      <c r="K7951" s="1">
        <v>-83992</v>
      </c>
    </row>
    <row r="7952" spans="1:11" x14ac:dyDescent="0.25">
      <c r="A7952" t="s">
        <v>326</v>
      </c>
      <c r="B7952" t="s">
        <v>722</v>
      </c>
      <c r="C7952" t="s">
        <v>873</v>
      </c>
      <c r="D7952" t="s">
        <v>14</v>
      </c>
      <c r="E7952">
        <v>2</v>
      </c>
      <c r="F7952" s="2">
        <f>DATE(2026,IF(Tabla1[[#This Row],[Mes de Fecha]]="Septiembre",9,10),Tabla1[[#This Row],[Día de Fecha]])</f>
        <v>46297</v>
      </c>
      <c r="G7952">
        <v>1114148923</v>
      </c>
      <c r="H7952" t="s">
        <v>711</v>
      </c>
      <c r="I7952">
        <v>56</v>
      </c>
      <c r="J7952">
        <v>0</v>
      </c>
      <c r="K7952" s="1">
        <v>3030927</v>
      </c>
    </row>
    <row r="7953" spans="1:11" x14ac:dyDescent="0.25">
      <c r="A7953" t="s">
        <v>326</v>
      </c>
      <c r="B7953" t="s">
        <v>722</v>
      </c>
      <c r="C7953" t="s">
        <v>873</v>
      </c>
      <c r="D7953" t="s">
        <v>14</v>
      </c>
      <c r="E7953">
        <v>2</v>
      </c>
      <c r="F7953" s="2">
        <f>DATE(2026,IF(Tabla1[[#This Row],[Mes de Fecha]]="Septiembre",9,10),Tabla1[[#This Row],[Día de Fecha]])</f>
        <v>46297</v>
      </c>
      <c r="G7953">
        <v>1114149755</v>
      </c>
      <c r="H7953" t="s">
        <v>507</v>
      </c>
      <c r="I7953">
        <v>62</v>
      </c>
      <c r="J7953">
        <v>0</v>
      </c>
      <c r="K7953" s="1">
        <v>2833030</v>
      </c>
    </row>
    <row r="7954" spans="1:11" x14ac:dyDescent="0.25">
      <c r="A7954" t="s">
        <v>326</v>
      </c>
      <c r="B7954" t="s">
        <v>722</v>
      </c>
      <c r="C7954" t="s">
        <v>873</v>
      </c>
      <c r="D7954" t="s">
        <v>14</v>
      </c>
      <c r="E7954">
        <v>2</v>
      </c>
      <c r="F7954" s="2">
        <f>DATE(2026,IF(Tabla1[[#This Row],[Mes de Fecha]]="Septiembre",9,10),Tabla1[[#This Row],[Día de Fecha]])</f>
        <v>46297</v>
      </c>
      <c r="G7954">
        <v>1137977751</v>
      </c>
      <c r="H7954" t="s">
        <v>725</v>
      </c>
      <c r="I7954">
        <v>8</v>
      </c>
      <c r="J7954">
        <v>0</v>
      </c>
      <c r="K7954" s="1">
        <v>323193</v>
      </c>
    </row>
    <row r="7955" spans="1:11" x14ac:dyDescent="0.25">
      <c r="A7955" t="s">
        <v>326</v>
      </c>
      <c r="B7955" t="s">
        <v>722</v>
      </c>
      <c r="C7955" t="s">
        <v>873</v>
      </c>
      <c r="D7955" t="s">
        <v>14</v>
      </c>
      <c r="E7955">
        <v>3</v>
      </c>
      <c r="F7955" s="2">
        <f>DATE(2026,IF(Tabla1[[#This Row],[Mes de Fecha]]="Septiembre",9,10),Tabla1[[#This Row],[Día de Fecha]])</f>
        <v>46298</v>
      </c>
      <c r="I7955">
        <v>0</v>
      </c>
      <c r="J7955" s="1">
        <v>14133639</v>
      </c>
      <c r="K7955">
        <v>0</v>
      </c>
    </row>
    <row r="7956" spans="1:11" x14ac:dyDescent="0.25">
      <c r="A7956" t="s">
        <v>326</v>
      </c>
      <c r="B7956" t="s">
        <v>722</v>
      </c>
      <c r="C7956" t="s">
        <v>873</v>
      </c>
      <c r="D7956" t="s">
        <v>14</v>
      </c>
      <c r="E7956">
        <v>3</v>
      </c>
      <c r="F7956" s="2">
        <f>DATE(2026,IF(Tabla1[[#This Row],[Mes de Fecha]]="Septiembre",9,10),Tabla1[[#This Row],[Día de Fecha]])</f>
        <v>46298</v>
      </c>
      <c r="G7956">
        <v>1003533393</v>
      </c>
      <c r="H7956" t="s">
        <v>727</v>
      </c>
      <c r="I7956">
        <v>-2</v>
      </c>
      <c r="J7956">
        <v>0</v>
      </c>
      <c r="K7956" s="1">
        <v>-88151</v>
      </c>
    </row>
    <row r="7957" spans="1:11" x14ac:dyDescent="0.25">
      <c r="A7957" t="s">
        <v>326</v>
      </c>
      <c r="B7957" t="s">
        <v>722</v>
      </c>
      <c r="C7957" t="s">
        <v>873</v>
      </c>
      <c r="D7957" t="s">
        <v>14</v>
      </c>
      <c r="E7957">
        <v>3</v>
      </c>
      <c r="F7957" s="2">
        <f>DATE(2026,IF(Tabla1[[#This Row],[Mes de Fecha]]="Septiembre",9,10),Tabla1[[#This Row],[Día de Fecha]])</f>
        <v>46298</v>
      </c>
      <c r="G7957">
        <v>1007375030</v>
      </c>
      <c r="H7957" t="s">
        <v>723</v>
      </c>
      <c r="I7957">
        <v>64</v>
      </c>
      <c r="J7957">
        <v>0</v>
      </c>
      <c r="K7957" s="1">
        <v>2598473</v>
      </c>
    </row>
    <row r="7958" spans="1:11" x14ac:dyDescent="0.25">
      <c r="A7958" t="s">
        <v>326</v>
      </c>
      <c r="B7958" t="s">
        <v>722</v>
      </c>
      <c r="C7958" t="s">
        <v>873</v>
      </c>
      <c r="D7958" t="s">
        <v>14</v>
      </c>
      <c r="E7958">
        <v>3</v>
      </c>
      <c r="F7958" s="2">
        <f>DATE(2026,IF(Tabla1[[#This Row],[Mes de Fecha]]="Septiembre",9,10),Tabla1[[#This Row],[Día de Fecha]])</f>
        <v>46298</v>
      </c>
      <c r="G7958">
        <v>1088017991</v>
      </c>
      <c r="H7958" t="s">
        <v>499</v>
      </c>
      <c r="I7958">
        <v>-1</v>
      </c>
      <c r="J7958">
        <v>0</v>
      </c>
      <c r="K7958" s="1">
        <v>-54580</v>
      </c>
    </row>
    <row r="7959" spans="1:11" x14ac:dyDescent="0.25">
      <c r="A7959" t="s">
        <v>326</v>
      </c>
      <c r="B7959" t="s">
        <v>722</v>
      </c>
      <c r="C7959" t="s">
        <v>873</v>
      </c>
      <c r="D7959" t="s">
        <v>14</v>
      </c>
      <c r="E7959">
        <v>3</v>
      </c>
      <c r="F7959" s="2">
        <f>DATE(2026,IF(Tabla1[[#This Row],[Mes de Fecha]]="Septiembre",9,10),Tabla1[[#This Row],[Día de Fecha]])</f>
        <v>46298</v>
      </c>
      <c r="G7959">
        <v>1114148923</v>
      </c>
      <c r="H7959" t="s">
        <v>711</v>
      </c>
      <c r="I7959">
        <v>70</v>
      </c>
      <c r="J7959">
        <v>0</v>
      </c>
      <c r="K7959" s="1">
        <v>3322865</v>
      </c>
    </row>
    <row r="7960" spans="1:11" x14ac:dyDescent="0.25">
      <c r="A7960" t="s">
        <v>326</v>
      </c>
      <c r="B7960" t="s">
        <v>722</v>
      </c>
      <c r="C7960" t="s">
        <v>873</v>
      </c>
      <c r="D7960" t="s">
        <v>14</v>
      </c>
      <c r="E7960">
        <v>3</v>
      </c>
      <c r="F7960" s="2">
        <f>DATE(2026,IF(Tabla1[[#This Row],[Mes de Fecha]]="Septiembre",9,10),Tabla1[[#This Row],[Día de Fecha]])</f>
        <v>46298</v>
      </c>
      <c r="G7960">
        <v>1114149755</v>
      </c>
      <c r="H7960" t="s">
        <v>507</v>
      </c>
      <c r="I7960">
        <v>91</v>
      </c>
      <c r="J7960">
        <v>0</v>
      </c>
      <c r="K7960" s="1">
        <v>4341173</v>
      </c>
    </row>
    <row r="7961" spans="1:11" x14ac:dyDescent="0.25">
      <c r="A7961" t="s">
        <v>326</v>
      </c>
      <c r="B7961" t="s">
        <v>722</v>
      </c>
      <c r="C7961" t="s">
        <v>873</v>
      </c>
      <c r="D7961" t="s">
        <v>14</v>
      </c>
      <c r="E7961">
        <v>3</v>
      </c>
      <c r="F7961" s="2">
        <f>DATE(2026,IF(Tabla1[[#This Row],[Mes de Fecha]]="Septiembre",9,10),Tabla1[[#This Row],[Día de Fecha]])</f>
        <v>46298</v>
      </c>
      <c r="G7961">
        <v>1137977751</v>
      </c>
      <c r="H7961" t="s">
        <v>725</v>
      </c>
      <c r="I7961">
        <v>28</v>
      </c>
      <c r="J7961">
        <v>0</v>
      </c>
      <c r="K7961" s="1">
        <v>947867</v>
      </c>
    </row>
    <row r="7962" spans="1:11" x14ac:dyDescent="0.25">
      <c r="A7962" t="s">
        <v>326</v>
      </c>
      <c r="B7962" t="s">
        <v>722</v>
      </c>
      <c r="C7962" t="s">
        <v>873</v>
      </c>
      <c r="D7962" t="s">
        <v>14</v>
      </c>
      <c r="E7962">
        <v>4</v>
      </c>
      <c r="F7962" s="2">
        <f>DATE(2026,IF(Tabla1[[#This Row],[Mes de Fecha]]="Septiembre",9,10),Tabla1[[#This Row],[Día de Fecha]])</f>
        <v>46299</v>
      </c>
      <c r="I7962">
        <v>0</v>
      </c>
      <c r="J7962" s="1">
        <v>4568620</v>
      </c>
      <c r="K7962">
        <v>0</v>
      </c>
    </row>
    <row r="7963" spans="1:11" x14ac:dyDescent="0.25">
      <c r="A7963" t="s">
        <v>326</v>
      </c>
      <c r="B7963" t="s">
        <v>722</v>
      </c>
      <c r="C7963" t="s">
        <v>873</v>
      </c>
      <c r="D7963" t="s">
        <v>14</v>
      </c>
      <c r="E7963">
        <v>4</v>
      </c>
      <c r="F7963" s="2">
        <f>DATE(2026,IF(Tabla1[[#This Row],[Mes de Fecha]]="Septiembre",9,10),Tabla1[[#This Row],[Día de Fecha]])</f>
        <v>46299</v>
      </c>
      <c r="G7963">
        <v>1007375030</v>
      </c>
      <c r="H7963" t="s">
        <v>723</v>
      </c>
      <c r="I7963">
        <v>21</v>
      </c>
      <c r="J7963">
        <v>0</v>
      </c>
      <c r="K7963" s="1">
        <v>965253</v>
      </c>
    </row>
    <row r="7964" spans="1:11" x14ac:dyDescent="0.25">
      <c r="A7964" t="s">
        <v>326</v>
      </c>
      <c r="B7964" t="s">
        <v>722</v>
      </c>
      <c r="C7964" t="s">
        <v>873</v>
      </c>
      <c r="D7964" t="s">
        <v>14</v>
      </c>
      <c r="E7964">
        <v>4</v>
      </c>
      <c r="F7964" s="2">
        <f>DATE(2026,IF(Tabla1[[#This Row],[Mes de Fecha]]="Septiembre",9,10),Tabla1[[#This Row],[Día de Fecha]])</f>
        <v>46299</v>
      </c>
      <c r="G7964">
        <v>1114148923</v>
      </c>
      <c r="H7964" t="s">
        <v>711</v>
      </c>
      <c r="I7964">
        <v>32</v>
      </c>
      <c r="J7964">
        <v>0</v>
      </c>
      <c r="K7964" s="1">
        <v>1462523</v>
      </c>
    </row>
    <row r="7965" spans="1:11" x14ac:dyDescent="0.25">
      <c r="A7965" t="s">
        <v>326</v>
      </c>
      <c r="B7965" t="s">
        <v>722</v>
      </c>
      <c r="C7965" t="s">
        <v>873</v>
      </c>
      <c r="D7965" t="s">
        <v>14</v>
      </c>
      <c r="E7965">
        <v>4</v>
      </c>
      <c r="F7965" s="2">
        <f>DATE(2026,IF(Tabla1[[#This Row],[Mes de Fecha]]="Septiembre",9,10),Tabla1[[#This Row],[Día de Fecha]])</f>
        <v>46299</v>
      </c>
      <c r="G7965">
        <v>1114149755</v>
      </c>
      <c r="H7965" t="s">
        <v>507</v>
      </c>
      <c r="I7965">
        <v>21</v>
      </c>
      <c r="J7965">
        <v>0</v>
      </c>
      <c r="K7965" s="1">
        <v>1156598</v>
      </c>
    </row>
    <row r="7966" spans="1:11" x14ac:dyDescent="0.25">
      <c r="A7966" t="s">
        <v>326</v>
      </c>
      <c r="B7966" t="s">
        <v>722</v>
      </c>
      <c r="C7966" t="s">
        <v>873</v>
      </c>
      <c r="D7966" t="s">
        <v>14</v>
      </c>
      <c r="E7966">
        <v>4</v>
      </c>
      <c r="F7966" s="2">
        <f>DATE(2026,IF(Tabla1[[#This Row],[Mes de Fecha]]="Septiembre",9,10),Tabla1[[#This Row],[Día de Fecha]])</f>
        <v>46299</v>
      </c>
      <c r="G7966">
        <v>1137977751</v>
      </c>
      <c r="H7966" t="s">
        <v>725</v>
      </c>
      <c r="I7966">
        <v>9</v>
      </c>
      <c r="J7966">
        <v>0</v>
      </c>
      <c r="K7966" s="1">
        <v>272731</v>
      </c>
    </row>
    <row r="7967" spans="1:11" x14ac:dyDescent="0.25">
      <c r="A7967" t="s">
        <v>326</v>
      </c>
      <c r="B7967" t="s">
        <v>722</v>
      </c>
      <c r="C7967" t="s">
        <v>873</v>
      </c>
      <c r="D7967" t="s">
        <v>14</v>
      </c>
      <c r="E7967">
        <v>5</v>
      </c>
      <c r="F7967" s="2">
        <f>DATE(2026,IF(Tabla1[[#This Row],[Mes de Fecha]]="Septiembre",9,10),Tabla1[[#This Row],[Día de Fecha]])</f>
        <v>46300</v>
      </c>
      <c r="I7967">
        <v>0</v>
      </c>
      <c r="J7967" s="1">
        <v>5328570</v>
      </c>
      <c r="K7967">
        <v>0</v>
      </c>
    </row>
    <row r="7968" spans="1:11" x14ac:dyDescent="0.25">
      <c r="A7968" t="s">
        <v>326</v>
      </c>
      <c r="B7968" t="s">
        <v>722</v>
      </c>
      <c r="C7968" t="s">
        <v>873</v>
      </c>
      <c r="D7968" t="s">
        <v>14</v>
      </c>
      <c r="E7968">
        <v>5</v>
      </c>
      <c r="F7968" s="2">
        <f>DATE(2026,IF(Tabla1[[#This Row],[Mes de Fecha]]="Septiembre",9,10),Tabla1[[#This Row],[Día de Fecha]])</f>
        <v>46300</v>
      </c>
      <c r="G7968">
        <v>1007375030</v>
      </c>
      <c r="H7968" t="s">
        <v>723</v>
      </c>
      <c r="I7968">
        <v>43</v>
      </c>
      <c r="J7968">
        <v>0</v>
      </c>
      <c r="K7968" s="1">
        <v>2237440</v>
      </c>
    </row>
    <row r="7969" spans="1:11" x14ac:dyDescent="0.25">
      <c r="A7969" t="s">
        <v>326</v>
      </c>
      <c r="B7969" t="s">
        <v>722</v>
      </c>
      <c r="C7969" t="s">
        <v>873</v>
      </c>
      <c r="D7969" t="s">
        <v>14</v>
      </c>
      <c r="E7969">
        <v>5</v>
      </c>
      <c r="F7969" s="2">
        <f>DATE(2026,IF(Tabla1[[#This Row],[Mes de Fecha]]="Septiembre",9,10),Tabla1[[#This Row],[Día de Fecha]])</f>
        <v>46300</v>
      </c>
      <c r="G7969">
        <v>1114148923</v>
      </c>
      <c r="H7969" t="s">
        <v>711</v>
      </c>
      <c r="I7969">
        <v>78</v>
      </c>
      <c r="J7969">
        <v>0</v>
      </c>
      <c r="K7969" s="1">
        <v>3835803</v>
      </c>
    </row>
    <row r="7970" spans="1:11" x14ac:dyDescent="0.25">
      <c r="A7970" t="s">
        <v>326</v>
      </c>
      <c r="B7970" t="s">
        <v>722</v>
      </c>
      <c r="C7970" t="s">
        <v>873</v>
      </c>
      <c r="D7970" t="s">
        <v>14</v>
      </c>
      <c r="E7970">
        <v>5</v>
      </c>
      <c r="F7970" s="2">
        <f>DATE(2026,IF(Tabla1[[#This Row],[Mes de Fecha]]="Septiembre",9,10),Tabla1[[#This Row],[Día de Fecha]])</f>
        <v>46300</v>
      </c>
      <c r="G7970">
        <v>1114149755</v>
      </c>
      <c r="H7970" t="s">
        <v>507</v>
      </c>
      <c r="I7970">
        <v>49</v>
      </c>
      <c r="J7970">
        <v>0</v>
      </c>
      <c r="K7970" s="1">
        <v>2335590</v>
      </c>
    </row>
    <row r="7971" spans="1:11" x14ac:dyDescent="0.25">
      <c r="A7971" t="s">
        <v>326</v>
      </c>
      <c r="B7971" t="s">
        <v>722</v>
      </c>
      <c r="C7971" t="s">
        <v>873</v>
      </c>
      <c r="D7971" t="s">
        <v>14</v>
      </c>
      <c r="E7971">
        <v>5</v>
      </c>
      <c r="F7971" s="2">
        <f>DATE(2026,IF(Tabla1[[#This Row],[Mes de Fecha]]="Septiembre",9,10),Tabla1[[#This Row],[Día de Fecha]])</f>
        <v>46300</v>
      </c>
      <c r="G7971">
        <v>1137977751</v>
      </c>
      <c r="H7971" t="s">
        <v>725</v>
      </c>
      <c r="I7971">
        <v>16</v>
      </c>
      <c r="J7971">
        <v>0</v>
      </c>
      <c r="K7971" s="1">
        <v>793361</v>
      </c>
    </row>
    <row r="7972" spans="1:11" x14ac:dyDescent="0.25">
      <c r="A7972" t="s">
        <v>326</v>
      </c>
      <c r="B7972" t="s">
        <v>722</v>
      </c>
      <c r="C7972" t="s">
        <v>873</v>
      </c>
      <c r="D7972" t="s">
        <v>14</v>
      </c>
      <c r="E7972">
        <v>6</v>
      </c>
      <c r="F7972" s="2">
        <f>DATE(2026,IF(Tabla1[[#This Row],[Mes de Fecha]]="Septiembre",9,10),Tabla1[[#This Row],[Día de Fecha]])</f>
        <v>46301</v>
      </c>
      <c r="I7972">
        <v>0</v>
      </c>
      <c r="J7972" s="1">
        <v>6050209</v>
      </c>
      <c r="K7972">
        <v>0</v>
      </c>
    </row>
    <row r="7973" spans="1:11" x14ac:dyDescent="0.25">
      <c r="A7973" t="s">
        <v>326</v>
      </c>
      <c r="B7973" t="s">
        <v>722</v>
      </c>
      <c r="C7973" t="s">
        <v>873</v>
      </c>
      <c r="D7973" t="s">
        <v>14</v>
      </c>
      <c r="E7973">
        <v>6</v>
      </c>
      <c r="F7973" s="2">
        <f>DATE(2026,IF(Tabla1[[#This Row],[Mes de Fecha]]="Septiembre",9,10),Tabla1[[#This Row],[Día de Fecha]])</f>
        <v>46301</v>
      </c>
      <c r="G7973">
        <v>1007375030</v>
      </c>
      <c r="H7973" t="s">
        <v>723</v>
      </c>
      <c r="I7973">
        <v>19</v>
      </c>
      <c r="J7973">
        <v>0</v>
      </c>
      <c r="K7973" s="1">
        <v>1030630</v>
      </c>
    </row>
    <row r="7974" spans="1:11" x14ac:dyDescent="0.25">
      <c r="A7974" t="s">
        <v>326</v>
      </c>
      <c r="B7974" t="s">
        <v>722</v>
      </c>
      <c r="C7974" t="s">
        <v>873</v>
      </c>
      <c r="D7974" t="s">
        <v>14</v>
      </c>
      <c r="E7974">
        <v>6</v>
      </c>
      <c r="F7974" s="2">
        <f>DATE(2026,IF(Tabla1[[#This Row],[Mes de Fecha]]="Septiembre",9,10),Tabla1[[#This Row],[Día de Fecha]])</f>
        <v>46301</v>
      </c>
      <c r="G7974">
        <v>1065614711</v>
      </c>
      <c r="H7974" t="s">
        <v>660</v>
      </c>
      <c r="I7974">
        <v>-1</v>
      </c>
      <c r="J7974">
        <v>0</v>
      </c>
      <c r="K7974" s="1">
        <v>-41988</v>
      </c>
    </row>
    <row r="7975" spans="1:11" x14ac:dyDescent="0.25">
      <c r="A7975" t="s">
        <v>326</v>
      </c>
      <c r="B7975" t="s">
        <v>722</v>
      </c>
      <c r="C7975" t="s">
        <v>873</v>
      </c>
      <c r="D7975" t="s">
        <v>14</v>
      </c>
      <c r="E7975">
        <v>6</v>
      </c>
      <c r="F7975" s="2">
        <f>DATE(2026,IF(Tabla1[[#This Row],[Mes de Fecha]]="Septiembre",9,10),Tabla1[[#This Row],[Día de Fecha]])</f>
        <v>46301</v>
      </c>
      <c r="G7975">
        <v>1114148923</v>
      </c>
      <c r="H7975" t="s">
        <v>711</v>
      </c>
      <c r="I7975">
        <v>27</v>
      </c>
      <c r="J7975">
        <v>0</v>
      </c>
      <c r="K7975" s="1">
        <v>1637144</v>
      </c>
    </row>
    <row r="7976" spans="1:11" x14ac:dyDescent="0.25">
      <c r="A7976" t="s">
        <v>326</v>
      </c>
      <c r="B7976" t="s">
        <v>722</v>
      </c>
      <c r="C7976" t="s">
        <v>873</v>
      </c>
      <c r="D7976" t="s">
        <v>14</v>
      </c>
      <c r="E7976">
        <v>6</v>
      </c>
      <c r="F7976" s="2">
        <f>DATE(2026,IF(Tabla1[[#This Row],[Mes de Fecha]]="Septiembre",9,10),Tabla1[[#This Row],[Día de Fecha]])</f>
        <v>46301</v>
      </c>
      <c r="G7976">
        <v>1114149755</v>
      </c>
      <c r="H7976" t="s">
        <v>507</v>
      </c>
      <c r="I7976">
        <v>21</v>
      </c>
      <c r="J7976">
        <v>0</v>
      </c>
      <c r="K7976" s="1">
        <v>1213363</v>
      </c>
    </row>
    <row r="7977" spans="1:11" x14ac:dyDescent="0.25">
      <c r="A7977" t="s">
        <v>326</v>
      </c>
      <c r="B7977" t="s">
        <v>722</v>
      </c>
      <c r="C7977" t="s">
        <v>873</v>
      </c>
      <c r="D7977" t="s">
        <v>14</v>
      </c>
      <c r="E7977">
        <v>6</v>
      </c>
      <c r="F7977" s="2">
        <f>DATE(2026,IF(Tabla1[[#This Row],[Mes de Fecha]]="Septiembre",9,10),Tabla1[[#This Row],[Día de Fecha]])</f>
        <v>46301</v>
      </c>
      <c r="G7977">
        <v>1137977751</v>
      </c>
      <c r="H7977" t="s">
        <v>725</v>
      </c>
      <c r="I7977">
        <v>9</v>
      </c>
      <c r="J7977">
        <v>0</v>
      </c>
      <c r="K7977" s="1">
        <v>373446</v>
      </c>
    </row>
    <row r="7978" spans="1:11" x14ac:dyDescent="0.25">
      <c r="A7978" t="s">
        <v>326</v>
      </c>
      <c r="B7978" t="s">
        <v>722</v>
      </c>
      <c r="C7978" t="s">
        <v>873</v>
      </c>
      <c r="D7978" t="s">
        <v>14</v>
      </c>
      <c r="E7978">
        <v>7</v>
      </c>
      <c r="F7978" s="2">
        <f>DATE(2026,IF(Tabla1[[#This Row],[Mes de Fecha]]="Septiembre",9,10),Tabla1[[#This Row],[Día de Fecha]])</f>
        <v>46302</v>
      </c>
      <c r="I7978">
        <v>0</v>
      </c>
      <c r="J7978" s="1">
        <v>5986677</v>
      </c>
      <c r="K7978">
        <v>0</v>
      </c>
    </row>
    <row r="7979" spans="1:11" x14ac:dyDescent="0.25">
      <c r="A7979" t="s">
        <v>326</v>
      </c>
      <c r="B7979" t="s">
        <v>722</v>
      </c>
      <c r="C7979" t="s">
        <v>873</v>
      </c>
      <c r="D7979" t="s">
        <v>14</v>
      </c>
      <c r="E7979">
        <v>7</v>
      </c>
      <c r="F7979" s="2">
        <f>DATE(2026,IF(Tabla1[[#This Row],[Mes de Fecha]]="Septiembre",9,10),Tabla1[[#This Row],[Día de Fecha]])</f>
        <v>46302</v>
      </c>
      <c r="G7979">
        <v>1004754146</v>
      </c>
      <c r="H7979" t="s">
        <v>728</v>
      </c>
      <c r="I7979">
        <v>-1</v>
      </c>
      <c r="J7979">
        <v>0</v>
      </c>
      <c r="K7979" s="1">
        <v>-54580</v>
      </c>
    </row>
    <row r="7980" spans="1:11" x14ac:dyDescent="0.25">
      <c r="A7980" t="s">
        <v>326</v>
      </c>
      <c r="B7980" t="s">
        <v>722</v>
      </c>
      <c r="C7980" t="s">
        <v>873</v>
      </c>
      <c r="D7980" t="s">
        <v>14</v>
      </c>
      <c r="E7980">
        <v>7</v>
      </c>
      <c r="F7980" s="2">
        <f>DATE(2026,IF(Tabla1[[#This Row],[Mes de Fecha]]="Septiembre",9,10),Tabla1[[#This Row],[Día de Fecha]])</f>
        <v>46302</v>
      </c>
      <c r="G7980">
        <v>1007375030</v>
      </c>
      <c r="H7980" t="s">
        <v>723</v>
      </c>
      <c r="I7980">
        <v>30</v>
      </c>
      <c r="J7980">
        <v>0</v>
      </c>
      <c r="K7980" s="1">
        <v>1164414</v>
      </c>
    </row>
    <row r="7981" spans="1:11" x14ac:dyDescent="0.25">
      <c r="A7981" t="s">
        <v>326</v>
      </c>
      <c r="B7981" t="s">
        <v>722</v>
      </c>
      <c r="C7981" t="s">
        <v>873</v>
      </c>
      <c r="D7981" t="s">
        <v>14</v>
      </c>
      <c r="E7981">
        <v>7</v>
      </c>
      <c r="F7981" s="2">
        <f>DATE(2026,IF(Tabla1[[#This Row],[Mes de Fecha]]="Septiembre",9,10),Tabla1[[#This Row],[Día de Fecha]])</f>
        <v>46302</v>
      </c>
      <c r="G7981">
        <v>1114148923</v>
      </c>
      <c r="H7981" t="s">
        <v>711</v>
      </c>
      <c r="I7981">
        <v>27</v>
      </c>
      <c r="J7981">
        <v>0</v>
      </c>
      <c r="K7981" s="1">
        <v>1513404</v>
      </c>
    </row>
    <row r="7982" spans="1:11" x14ac:dyDescent="0.25">
      <c r="A7982" t="s">
        <v>326</v>
      </c>
      <c r="B7982" t="s">
        <v>722</v>
      </c>
      <c r="C7982" t="s">
        <v>873</v>
      </c>
      <c r="D7982" t="s">
        <v>14</v>
      </c>
      <c r="E7982">
        <v>7</v>
      </c>
      <c r="F7982" s="2">
        <f>DATE(2026,IF(Tabla1[[#This Row],[Mes de Fecha]]="Septiembre",9,10),Tabla1[[#This Row],[Día de Fecha]])</f>
        <v>46302</v>
      </c>
      <c r="G7982">
        <v>1114149755</v>
      </c>
      <c r="H7982" t="s">
        <v>507</v>
      </c>
      <c r="I7982">
        <v>45</v>
      </c>
      <c r="J7982">
        <v>0</v>
      </c>
      <c r="K7982" s="1">
        <v>2575802</v>
      </c>
    </row>
    <row r="7983" spans="1:11" x14ac:dyDescent="0.25">
      <c r="A7983" t="s">
        <v>326</v>
      </c>
      <c r="B7983" t="s">
        <v>722</v>
      </c>
      <c r="C7983" t="s">
        <v>873</v>
      </c>
      <c r="D7983" t="s">
        <v>14</v>
      </c>
      <c r="E7983">
        <v>7</v>
      </c>
      <c r="F7983" s="2">
        <f>DATE(2026,IF(Tabla1[[#This Row],[Mes de Fecha]]="Septiembre",9,10),Tabla1[[#This Row],[Día de Fecha]])</f>
        <v>46302</v>
      </c>
      <c r="G7983">
        <v>1137977751</v>
      </c>
      <c r="H7983" t="s">
        <v>725</v>
      </c>
      <c r="I7983">
        <v>10</v>
      </c>
      <c r="J7983">
        <v>0</v>
      </c>
      <c r="K7983" s="1">
        <v>425966</v>
      </c>
    </row>
    <row r="7984" spans="1:11" x14ac:dyDescent="0.25">
      <c r="A7984" t="s">
        <v>326</v>
      </c>
      <c r="B7984" t="s">
        <v>765</v>
      </c>
      <c r="C7984" t="s">
        <v>873</v>
      </c>
      <c r="D7984" t="s">
        <v>11</v>
      </c>
      <c r="E7984">
        <v>23</v>
      </c>
      <c r="F7984" s="2">
        <f>DATE(2026,IF(Tabla1[[#This Row],[Mes de Fecha]]="Septiembre",9,10),Tabla1[[#This Row],[Día de Fecha]])</f>
        <v>46288</v>
      </c>
      <c r="I7984">
        <v>0</v>
      </c>
      <c r="J7984" s="1">
        <v>13458254</v>
      </c>
      <c r="K7984">
        <v>0</v>
      </c>
    </row>
    <row r="7985" spans="1:11" x14ac:dyDescent="0.25">
      <c r="A7985" t="s">
        <v>326</v>
      </c>
      <c r="B7985" t="s">
        <v>765</v>
      </c>
      <c r="C7985" t="s">
        <v>873</v>
      </c>
      <c r="D7985" t="s">
        <v>11</v>
      </c>
      <c r="E7985">
        <v>23</v>
      </c>
      <c r="F7985" s="2">
        <f>DATE(2026,IF(Tabla1[[#This Row],[Mes de Fecha]]="Septiembre",9,10),Tabla1[[#This Row],[Día de Fecha]])</f>
        <v>46288</v>
      </c>
      <c r="G7985">
        <v>1004754146</v>
      </c>
      <c r="H7985" t="s">
        <v>728</v>
      </c>
      <c r="I7985">
        <v>70</v>
      </c>
      <c r="J7985">
        <v>0</v>
      </c>
      <c r="K7985" s="1">
        <v>4223869</v>
      </c>
    </row>
    <row r="7986" spans="1:11" x14ac:dyDescent="0.25">
      <c r="A7986" t="s">
        <v>326</v>
      </c>
      <c r="B7986" t="s">
        <v>765</v>
      </c>
      <c r="C7986" t="s">
        <v>873</v>
      </c>
      <c r="D7986" t="s">
        <v>11</v>
      </c>
      <c r="E7986">
        <v>23</v>
      </c>
      <c r="F7986" s="2">
        <f>DATE(2026,IF(Tabla1[[#This Row],[Mes de Fecha]]="Septiembre",9,10),Tabla1[[#This Row],[Día de Fecha]])</f>
        <v>46288</v>
      </c>
      <c r="G7986">
        <v>1088291704</v>
      </c>
      <c r="H7986" t="s">
        <v>724</v>
      </c>
      <c r="I7986">
        <v>56</v>
      </c>
      <c r="J7986">
        <v>0</v>
      </c>
      <c r="K7986" s="1">
        <v>2953365</v>
      </c>
    </row>
    <row r="7987" spans="1:11" x14ac:dyDescent="0.25">
      <c r="A7987" t="s">
        <v>326</v>
      </c>
      <c r="B7987" t="s">
        <v>765</v>
      </c>
      <c r="C7987" t="s">
        <v>873</v>
      </c>
      <c r="D7987" t="s">
        <v>11</v>
      </c>
      <c r="E7987">
        <v>24</v>
      </c>
      <c r="F7987" s="2">
        <f>DATE(2026,IF(Tabla1[[#This Row],[Mes de Fecha]]="Septiembre",9,10),Tabla1[[#This Row],[Día de Fecha]])</f>
        <v>46289</v>
      </c>
      <c r="I7987">
        <v>0</v>
      </c>
      <c r="J7987" s="1">
        <v>20559002</v>
      </c>
      <c r="K7987">
        <v>0</v>
      </c>
    </row>
    <row r="7988" spans="1:11" x14ac:dyDescent="0.25">
      <c r="A7988" t="s">
        <v>326</v>
      </c>
      <c r="B7988" t="s">
        <v>765</v>
      </c>
      <c r="C7988" t="s">
        <v>873</v>
      </c>
      <c r="D7988" t="s">
        <v>11</v>
      </c>
      <c r="E7988">
        <v>24</v>
      </c>
      <c r="F7988" s="2">
        <f>DATE(2026,IF(Tabla1[[#This Row],[Mes de Fecha]]="Septiembre",9,10),Tabla1[[#This Row],[Día de Fecha]])</f>
        <v>46289</v>
      </c>
      <c r="G7988">
        <v>1003533393</v>
      </c>
      <c r="H7988" t="s">
        <v>727</v>
      </c>
      <c r="I7988">
        <v>21</v>
      </c>
      <c r="J7988">
        <v>0</v>
      </c>
      <c r="K7988" s="1">
        <v>1018024</v>
      </c>
    </row>
    <row r="7989" spans="1:11" x14ac:dyDescent="0.25">
      <c r="A7989" t="s">
        <v>326</v>
      </c>
      <c r="B7989" t="s">
        <v>765</v>
      </c>
      <c r="C7989" t="s">
        <v>873</v>
      </c>
      <c r="D7989" t="s">
        <v>11</v>
      </c>
      <c r="E7989">
        <v>24</v>
      </c>
      <c r="F7989" s="2">
        <f>DATE(2026,IF(Tabla1[[#This Row],[Mes de Fecha]]="Septiembre",9,10),Tabla1[[#This Row],[Día de Fecha]])</f>
        <v>46289</v>
      </c>
      <c r="G7989">
        <v>1004754146</v>
      </c>
      <c r="H7989" t="s">
        <v>728</v>
      </c>
      <c r="I7989">
        <v>83</v>
      </c>
      <c r="J7989">
        <v>0</v>
      </c>
      <c r="K7989" s="1">
        <v>4494288</v>
      </c>
    </row>
    <row r="7990" spans="1:11" x14ac:dyDescent="0.25">
      <c r="A7990" t="s">
        <v>326</v>
      </c>
      <c r="B7990" t="s">
        <v>765</v>
      </c>
      <c r="C7990" t="s">
        <v>873</v>
      </c>
      <c r="D7990" t="s">
        <v>11</v>
      </c>
      <c r="E7990">
        <v>24</v>
      </c>
      <c r="F7990" s="2">
        <f>DATE(2026,IF(Tabla1[[#This Row],[Mes de Fecha]]="Septiembre",9,10),Tabla1[[#This Row],[Día de Fecha]])</f>
        <v>46289</v>
      </c>
      <c r="G7990">
        <v>1088291704</v>
      </c>
      <c r="H7990" t="s">
        <v>724</v>
      </c>
      <c r="I7990">
        <v>122</v>
      </c>
      <c r="J7990">
        <v>0</v>
      </c>
      <c r="K7990" s="1">
        <v>6897901</v>
      </c>
    </row>
    <row r="7991" spans="1:11" x14ac:dyDescent="0.25">
      <c r="A7991" t="s">
        <v>326</v>
      </c>
      <c r="B7991" t="s">
        <v>765</v>
      </c>
      <c r="C7991" t="s">
        <v>873</v>
      </c>
      <c r="D7991" t="s">
        <v>11</v>
      </c>
      <c r="E7991">
        <v>24</v>
      </c>
      <c r="F7991" s="2">
        <f>DATE(2026,IF(Tabla1[[#This Row],[Mes de Fecha]]="Septiembre",9,10),Tabla1[[#This Row],[Día de Fecha]])</f>
        <v>46289</v>
      </c>
      <c r="G7991">
        <v>1113860425</v>
      </c>
      <c r="H7991" t="s">
        <v>726</v>
      </c>
      <c r="I7991">
        <v>75</v>
      </c>
      <c r="J7991">
        <v>0</v>
      </c>
      <c r="K7991" s="1">
        <v>4084877</v>
      </c>
    </row>
    <row r="7992" spans="1:11" x14ac:dyDescent="0.25">
      <c r="A7992" t="s">
        <v>326</v>
      </c>
      <c r="B7992" t="s">
        <v>765</v>
      </c>
      <c r="C7992" t="s">
        <v>873</v>
      </c>
      <c r="D7992" t="s">
        <v>11</v>
      </c>
      <c r="E7992">
        <v>25</v>
      </c>
      <c r="F7992" s="2">
        <f>DATE(2026,IF(Tabla1[[#This Row],[Mes de Fecha]]="Septiembre",9,10),Tabla1[[#This Row],[Día de Fecha]])</f>
        <v>46290</v>
      </c>
      <c r="I7992">
        <v>0</v>
      </c>
      <c r="J7992" s="1">
        <v>20513487</v>
      </c>
      <c r="K7992">
        <v>0</v>
      </c>
    </row>
    <row r="7993" spans="1:11" x14ac:dyDescent="0.25">
      <c r="A7993" t="s">
        <v>326</v>
      </c>
      <c r="B7993" t="s">
        <v>765</v>
      </c>
      <c r="C7993" t="s">
        <v>873</v>
      </c>
      <c r="D7993" t="s">
        <v>11</v>
      </c>
      <c r="E7993">
        <v>25</v>
      </c>
      <c r="F7993" s="2">
        <f>DATE(2026,IF(Tabla1[[#This Row],[Mes de Fecha]]="Septiembre",9,10),Tabla1[[#This Row],[Día de Fecha]])</f>
        <v>46290</v>
      </c>
      <c r="G7993">
        <v>1003533393</v>
      </c>
      <c r="H7993" t="s">
        <v>727</v>
      </c>
      <c r="I7993">
        <v>23</v>
      </c>
      <c r="J7993">
        <v>0</v>
      </c>
      <c r="K7993" s="1">
        <v>1339289</v>
      </c>
    </row>
    <row r="7994" spans="1:11" x14ac:dyDescent="0.25">
      <c r="A7994" t="s">
        <v>326</v>
      </c>
      <c r="B7994" t="s">
        <v>765</v>
      </c>
      <c r="C7994" t="s">
        <v>873</v>
      </c>
      <c r="D7994" t="s">
        <v>11</v>
      </c>
      <c r="E7994">
        <v>25</v>
      </c>
      <c r="F7994" s="2">
        <f>DATE(2026,IF(Tabla1[[#This Row],[Mes de Fecha]]="Septiembre",9,10),Tabla1[[#This Row],[Día de Fecha]])</f>
        <v>46290</v>
      </c>
      <c r="G7994">
        <v>1004754146</v>
      </c>
      <c r="H7994" t="s">
        <v>728</v>
      </c>
      <c r="I7994">
        <v>77</v>
      </c>
      <c r="J7994">
        <v>0</v>
      </c>
      <c r="K7994" s="1">
        <v>4605803</v>
      </c>
    </row>
    <row r="7995" spans="1:11" x14ac:dyDescent="0.25">
      <c r="A7995" t="s">
        <v>326</v>
      </c>
      <c r="B7995" t="s">
        <v>765</v>
      </c>
      <c r="C7995" t="s">
        <v>873</v>
      </c>
      <c r="D7995" t="s">
        <v>11</v>
      </c>
      <c r="E7995">
        <v>25</v>
      </c>
      <c r="F7995" s="2">
        <f>DATE(2026,IF(Tabla1[[#This Row],[Mes de Fecha]]="Septiembre",9,10),Tabla1[[#This Row],[Día de Fecha]])</f>
        <v>46290</v>
      </c>
      <c r="G7995">
        <v>1088291704</v>
      </c>
      <c r="H7995" t="s">
        <v>724</v>
      </c>
      <c r="I7995">
        <v>39</v>
      </c>
      <c r="J7995">
        <v>0</v>
      </c>
      <c r="K7995" s="1">
        <v>2237859</v>
      </c>
    </row>
    <row r="7996" spans="1:11" x14ac:dyDescent="0.25">
      <c r="A7996" t="s">
        <v>326</v>
      </c>
      <c r="B7996" t="s">
        <v>765</v>
      </c>
      <c r="C7996" t="s">
        <v>873</v>
      </c>
      <c r="D7996" t="s">
        <v>11</v>
      </c>
      <c r="E7996">
        <v>25</v>
      </c>
      <c r="F7996" s="2">
        <f>DATE(2026,IF(Tabla1[[#This Row],[Mes de Fecha]]="Septiembre",9,10),Tabla1[[#This Row],[Día de Fecha]])</f>
        <v>46290</v>
      </c>
      <c r="G7996">
        <v>1113860425</v>
      </c>
      <c r="H7996" t="s">
        <v>726</v>
      </c>
      <c r="I7996">
        <v>42</v>
      </c>
      <c r="J7996">
        <v>0</v>
      </c>
      <c r="K7996" s="1">
        <v>2273406</v>
      </c>
    </row>
    <row r="7997" spans="1:11" x14ac:dyDescent="0.25">
      <c r="A7997" t="s">
        <v>326</v>
      </c>
      <c r="B7997" t="s">
        <v>765</v>
      </c>
      <c r="C7997" t="s">
        <v>873</v>
      </c>
      <c r="D7997" t="s">
        <v>11</v>
      </c>
      <c r="E7997">
        <v>26</v>
      </c>
      <c r="F7997" s="2">
        <f>DATE(2026,IF(Tabla1[[#This Row],[Mes de Fecha]]="Septiembre",9,10),Tabla1[[#This Row],[Día de Fecha]])</f>
        <v>46291</v>
      </c>
      <c r="I7997">
        <v>0</v>
      </c>
      <c r="J7997" s="1">
        <v>29480829</v>
      </c>
      <c r="K7997">
        <v>0</v>
      </c>
    </row>
    <row r="7998" spans="1:11" x14ac:dyDescent="0.25">
      <c r="A7998" t="s">
        <v>326</v>
      </c>
      <c r="B7998" t="s">
        <v>765</v>
      </c>
      <c r="C7998" t="s">
        <v>873</v>
      </c>
      <c r="D7998" t="s">
        <v>11</v>
      </c>
      <c r="E7998">
        <v>26</v>
      </c>
      <c r="F7998" s="2">
        <f>DATE(2026,IF(Tabla1[[#This Row],[Mes de Fecha]]="Septiembre",9,10),Tabla1[[#This Row],[Día de Fecha]])</f>
        <v>46291</v>
      </c>
      <c r="G7998">
        <v>1003533393</v>
      </c>
      <c r="H7998" t="s">
        <v>727</v>
      </c>
      <c r="I7998">
        <v>54</v>
      </c>
      <c r="J7998">
        <v>0</v>
      </c>
      <c r="K7998" s="1">
        <v>3522819</v>
      </c>
    </row>
    <row r="7999" spans="1:11" x14ac:dyDescent="0.25">
      <c r="A7999" t="s">
        <v>326</v>
      </c>
      <c r="B7999" t="s">
        <v>765</v>
      </c>
      <c r="C7999" t="s">
        <v>873</v>
      </c>
      <c r="D7999" t="s">
        <v>11</v>
      </c>
      <c r="E7999">
        <v>26</v>
      </c>
      <c r="F7999" s="2">
        <f>DATE(2026,IF(Tabla1[[#This Row],[Mes de Fecha]]="Septiembre",9,10),Tabla1[[#This Row],[Día de Fecha]])</f>
        <v>46291</v>
      </c>
      <c r="G7999">
        <v>1004754146</v>
      </c>
      <c r="H7999" t="s">
        <v>728</v>
      </c>
      <c r="I7999">
        <v>131</v>
      </c>
      <c r="J7999">
        <v>0</v>
      </c>
      <c r="K7999" s="1">
        <v>6985554</v>
      </c>
    </row>
    <row r="8000" spans="1:11" x14ac:dyDescent="0.25">
      <c r="A8000" t="s">
        <v>326</v>
      </c>
      <c r="B8000" t="s">
        <v>765</v>
      </c>
      <c r="C8000" t="s">
        <v>873</v>
      </c>
      <c r="D8000" t="s">
        <v>11</v>
      </c>
      <c r="E8000">
        <v>26</v>
      </c>
      <c r="F8000" s="2">
        <f>DATE(2026,IF(Tabla1[[#This Row],[Mes de Fecha]]="Septiembre",9,10),Tabla1[[#This Row],[Día de Fecha]])</f>
        <v>46291</v>
      </c>
      <c r="G8000">
        <v>1088291704</v>
      </c>
      <c r="H8000" t="s">
        <v>724</v>
      </c>
      <c r="I8000">
        <v>100</v>
      </c>
      <c r="J8000">
        <v>0</v>
      </c>
      <c r="K8000" s="1">
        <v>6333787</v>
      </c>
    </row>
    <row r="8001" spans="1:11" x14ac:dyDescent="0.25">
      <c r="A8001" t="s">
        <v>326</v>
      </c>
      <c r="B8001" t="s">
        <v>765</v>
      </c>
      <c r="C8001" t="s">
        <v>873</v>
      </c>
      <c r="D8001" t="s">
        <v>11</v>
      </c>
      <c r="E8001">
        <v>26</v>
      </c>
      <c r="F8001" s="2">
        <f>DATE(2026,IF(Tabla1[[#This Row],[Mes de Fecha]]="Septiembre",9,10),Tabla1[[#This Row],[Día de Fecha]])</f>
        <v>46291</v>
      </c>
      <c r="G8001">
        <v>1113860425</v>
      </c>
      <c r="H8001" t="s">
        <v>726</v>
      </c>
      <c r="I8001">
        <v>98</v>
      </c>
      <c r="J8001">
        <v>0</v>
      </c>
      <c r="K8001" s="1">
        <v>5678281</v>
      </c>
    </row>
    <row r="8002" spans="1:11" x14ac:dyDescent="0.25">
      <c r="A8002" t="s">
        <v>326</v>
      </c>
      <c r="B8002" t="s">
        <v>765</v>
      </c>
      <c r="C8002" t="s">
        <v>873</v>
      </c>
      <c r="D8002" t="s">
        <v>11</v>
      </c>
      <c r="E8002">
        <v>27</v>
      </c>
      <c r="F8002" s="2">
        <f>DATE(2026,IF(Tabla1[[#This Row],[Mes de Fecha]]="Septiembre",9,10),Tabla1[[#This Row],[Día de Fecha]])</f>
        <v>46292</v>
      </c>
      <c r="I8002">
        <v>0</v>
      </c>
      <c r="J8002" s="1">
        <v>23354751</v>
      </c>
      <c r="K8002">
        <v>0</v>
      </c>
    </row>
    <row r="8003" spans="1:11" x14ac:dyDescent="0.25">
      <c r="A8003" t="s">
        <v>326</v>
      </c>
      <c r="B8003" t="s">
        <v>765</v>
      </c>
      <c r="C8003" t="s">
        <v>873</v>
      </c>
      <c r="D8003" t="s">
        <v>11</v>
      </c>
      <c r="E8003">
        <v>27</v>
      </c>
      <c r="F8003" s="2">
        <f>DATE(2026,IF(Tabla1[[#This Row],[Mes de Fecha]]="Septiembre",9,10),Tabla1[[#This Row],[Día de Fecha]])</f>
        <v>46292</v>
      </c>
      <c r="G8003">
        <v>1003533393</v>
      </c>
      <c r="H8003" t="s">
        <v>727</v>
      </c>
      <c r="I8003">
        <v>45</v>
      </c>
      <c r="J8003">
        <v>0</v>
      </c>
      <c r="K8003" s="1">
        <v>2884582</v>
      </c>
    </row>
    <row r="8004" spans="1:11" x14ac:dyDescent="0.25">
      <c r="A8004" t="s">
        <v>326</v>
      </c>
      <c r="B8004" t="s">
        <v>765</v>
      </c>
      <c r="C8004" t="s">
        <v>873</v>
      </c>
      <c r="D8004" t="s">
        <v>11</v>
      </c>
      <c r="E8004">
        <v>27</v>
      </c>
      <c r="F8004" s="2">
        <f>DATE(2026,IF(Tabla1[[#This Row],[Mes de Fecha]]="Septiembre",9,10),Tabla1[[#This Row],[Día de Fecha]])</f>
        <v>46292</v>
      </c>
      <c r="G8004">
        <v>1004754146</v>
      </c>
      <c r="H8004" t="s">
        <v>728</v>
      </c>
      <c r="I8004">
        <v>151</v>
      </c>
      <c r="J8004">
        <v>0</v>
      </c>
      <c r="K8004" s="1">
        <v>9111052</v>
      </c>
    </row>
    <row r="8005" spans="1:11" x14ac:dyDescent="0.25">
      <c r="A8005" t="s">
        <v>326</v>
      </c>
      <c r="B8005" t="s">
        <v>765</v>
      </c>
      <c r="C8005" t="s">
        <v>873</v>
      </c>
      <c r="D8005" t="s">
        <v>11</v>
      </c>
      <c r="E8005">
        <v>27</v>
      </c>
      <c r="F8005" s="2">
        <f>DATE(2026,IF(Tabla1[[#This Row],[Mes de Fecha]]="Septiembre",9,10),Tabla1[[#This Row],[Día de Fecha]])</f>
        <v>46292</v>
      </c>
      <c r="G8005">
        <v>1088286603</v>
      </c>
      <c r="H8005" t="s">
        <v>500</v>
      </c>
      <c r="I8005">
        <v>-1</v>
      </c>
      <c r="J8005">
        <v>0</v>
      </c>
      <c r="K8005" s="1">
        <v>-54580</v>
      </c>
    </row>
    <row r="8006" spans="1:11" x14ac:dyDescent="0.25">
      <c r="A8006" t="s">
        <v>326</v>
      </c>
      <c r="B8006" t="s">
        <v>765</v>
      </c>
      <c r="C8006" t="s">
        <v>873</v>
      </c>
      <c r="D8006" t="s">
        <v>11</v>
      </c>
      <c r="E8006">
        <v>27</v>
      </c>
      <c r="F8006" s="2">
        <f>DATE(2026,IF(Tabla1[[#This Row],[Mes de Fecha]]="Septiembre",9,10),Tabla1[[#This Row],[Día de Fecha]])</f>
        <v>46292</v>
      </c>
      <c r="G8006">
        <v>1088291704</v>
      </c>
      <c r="H8006" t="s">
        <v>724</v>
      </c>
      <c r="I8006">
        <v>100</v>
      </c>
      <c r="J8006">
        <v>0</v>
      </c>
      <c r="K8006" s="1">
        <v>6495635</v>
      </c>
    </row>
    <row r="8007" spans="1:11" x14ac:dyDescent="0.25">
      <c r="A8007" t="s">
        <v>326</v>
      </c>
      <c r="B8007" t="s">
        <v>765</v>
      </c>
      <c r="C8007" t="s">
        <v>873</v>
      </c>
      <c r="D8007" t="s">
        <v>11</v>
      </c>
      <c r="E8007">
        <v>27</v>
      </c>
      <c r="F8007" s="2">
        <f>DATE(2026,IF(Tabla1[[#This Row],[Mes de Fecha]]="Septiembre",9,10),Tabla1[[#This Row],[Día de Fecha]])</f>
        <v>46292</v>
      </c>
      <c r="G8007">
        <v>1113860425</v>
      </c>
      <c r="H8007" t="s">
        <v>726</v>
      </c>
      <c r="I8007">
        <v>97</v>
      </c>
      <c r="J8007">
        <v>0</v>
      </c>
      <c r="K8007" s="1">
        <v>5575298</v>
      </c>
    </row>
    <row r="8008" spans="1:11" x14ac:dyDescent="0.25">
      <c r="A8008" t="s">
        <v>326</v>
      </c>
      <c r="B8008" t="s">
        <v>765</v>
      </c>
      <c r="C8008" t="s">
        <v>873</v>
      </c>
      <c r="D8008" t="s">
        <v>11</v>
      </c>
      <c r="E8008">
        <v>28</v>
      </c>
      <c r="F8008" s="2">
        <f>DATE(2026,IF(Tabla1[[#This Row],[Mes de Fecha]]="Septiembre",9,10),Tabla1[[#This Row],[Día de Fecha]])</f>
        <v>46293</v>
      </c>
      <c r="I8008">
        <v>0</v>
      </c>
      <c r="J8008" s="1">
        <v>12853496</v>
      </c>
      <c r="K8008">
        <v>0</v>
      </c>
    </row>
    <row r="8009" spans="1:11" x14ac:dyDescent="0.25">
      <c r="A8009" t="s">
        <v>326</v>
      </c>
      <c r="B8009" t="s">
        <v>765</v>
      </c>
      <c r="C8009" t="s">
        <v>873</v>
      </c>
      <c r="D8009" t="s">
        <v>11</v>
      </c>
      <c r="E8009">
        <v>28</v>
      </c>
      <c r="F8009" s="2">
        <f>DATE(2026,IF(Tabla1[[#This Row],[Mes de Fecha]]="Septiembre",9,10),Tabla1[[#This Row],[Día de Fecha]])</f>
        <v>46293</v>
      </c>
      <c r="G8009">
        <v>1003533393</v>
      </c>
      <c r="H8009" t="s">
        <v>727</v>
      </c>
      <c r="I8009">
        <v>30</v>
      </c>
      <c r="J8009">
        <v>0</v>
      </c>
      <c r="K8009" s="1">
        <v>1746556</v>
      </c>
    </row>
    <row r="8010" spans="1:11" x14ac:dyDescent="0.25">
      <c r="A8010" t="s">
        <v>326</v>
      </c>
      <c r="B8010" t="s">
        <v>765</v>
      </c>
      <c r="C8010" t="s">
        <v>873</v>
      </c>
      <c r="D8010" t="s">
        <v>11</v>
      </c>
      <c r="E8010">
        <v>28</v>
      </c>
      <c r="F8010" s="2">
        <f>DATE(2026,IF(Tabla1[[#This Row],[Mes de Fecha]]="Septiembre",9,10),Tabla1[[#This Row],[Día de Fecha]])</f>
        <v>46293</v>
      </c>
      <c r="G8010">
        <v>1004754146</v>
      </c>
      <c r="H8010" t="s">
        <v>728</v>
      </c>
      <c r="I8010">
        <v>39</v>
      </c>
      <c r="J8010">
        <v>0</v>
      </c>
      <c r="K8010" s="1">
        <v>1960463</v>
      </c>
    </row>
    <row r="8011" spans="1:11" x14ac:dyDescent="0.25">
      <c r="A8011" t="s">
        <v>326</v>
      </c>
      <c r="B8011" t="s">
        <v>765</v>
      </c>
      <c r="C8011" t="s">
        <v>873</v>
      </c>
      <c r="D8011" t="s">
        <v>11</v>
      </c>
      <c r="E8011">
        <v>28</v>
      </c>
      <c r="F8011" s="2">
        <f>DATE(2026,IF(Tabla1[[#This Row],[Mes de Fecha]]="Septiembre",9,10),Tabla1[[#This Row],[Día de Fecha]])</f>
        <v>46293</v>
      </c>
      <c r="G8011">
        <v>1088291704</v>
      </c>
      <c r="H8011" t="s">
        <v>724</v>
      </c>
      <c r="I8011">
        <v>36</v>
      </c>
      <c r="J8011">
        <v>0</v>
      </c>
      <c r="K8011" s="1">
        <v>2025757</v>
      </c>
    </row>
    <row r="8012" spans="1:11" x14ac:dyDescent="0.25">
      <c r="A8012" t="s">
        <v>326</v>
      </c>
      <c r="B8012" t="s">
        <v>765</v>
      </c>
      <c r="C8012" t="s">
        <v>873</v>
      </c>
      <c r="D8012" t="s">
        <v>11</v>
      </c>
      <c r="E8012">
        <v>28</v>
      </c>
      <c r="F8012" s="2">
        <f>DATE(2026,IF(Tabla1[[#This Row],[Mes de Fecha]]="Septiembre",9,10),Tabla1[[#This Row],[Día de Fecha]])</f>
        <v>46293</v>
      </c>
      <c r="G8012">
        <v>1113860425</v>
      </c>
      <c r="H8012" t="s">
        <v>726</v>
      </c>
      <c r="I8012">
        <v>52</v>
      </c>
      <c r="J8012">
        <v>0</v>
      </c>
      <c r="K8012" s="1">
        <v>3052314</v>
      </c>
    </row>
    <row r="8013" spans="1:11" x14ac:dyDescent="0.25">
      <c r="A8013" t="s">
        <v>326</v>
      </c>
      <c r="B8013" t="s">
        <v>765</v>
      </c>
      <c r="C8013" t="s">
        <v>873</v>
      </c>
      <c r="D8013" t="s">
        <v>11</v>
      </c>
      <c r="E8013">
        <v>29</v>
      </c>
      <c r="F8013" s="2">
        <f>DATE(2026,IF(Tabla1[[#This Row],[Mes de Fecha]]="Septiembre",9,10),Tabla1[[#This Row],[Día de Fecha]])</f>
        <v>46294</v>
      </c>
      <c r="I8013">
        <v>0</v>
      </c>
      <c r="J8013" s="1">
        <v>13730048</v>
      </c>
      <c r="K8013">
        <v>0</v>
      </c>
    </row>
    <row r="8014" spans="1:11" x14ac:dyDescent="0.25">
      <c r="A8014" t="s">
        <v>326</v>
      </c>
      <c r="B8014" t="s">
        <v>765</v>
      </c>
      <c r="C8014" t="s">
        <v>873</v>
      </c>
      <c r="D8014" t="s">
        <v>11</v>
      </c>
      <c r="E8014">
        <v>29</v>
      </c>
      <c r="F8014" s="2">
        <f>DATE(2026,IF(Tabla1[[#This Row],[Mes de Fecha]]="Septiembre",9,10),Tabla1[[#This Row],[Día de Fecha]])</f>
        <v>46294</v>
      </c>
      <c r="G8014">
        <v>1003533393</v>
      </c>
      <c r="H8014" t="s">
        <v>727</v>
      </c>
      <c r="I8014">
        <v>42</v>
      </c>
      <c r="J8014">
        <v>0</v>
      </c>
      <c r="K8014" s="1">
        <v>2460380</v>
      </c>
    </row>
    <row r="8015" spans="1:11" x14ac:dyDescent="0.25">
      <c r="A8015" t="s">
        <v>326</v>
      </c>
      <c r="B8015" t="s">
        <v>765</v>
      </c>
      <c r="C8015" t="s">
        <v>873</v>
      </c>
      <c r="D8015" t="s">
        <v>11</v>
      </c>
      <c r="E8015">
        <v>29</v>
      </c>
      <c r="F8015" s="2">
        <f>DATE(2026,IF(Tabla1[[#This Row],[Mes de Fecha]]="Septiembre",9,10),Tabla1[[#This Row],[Día de Fecha]])</f>
        <v>46294</v>
      </c>
      <c r="G8015">
        <v>1004754146</v>
      </c>
      <c r="H8015" t="s">
        <v>728</v>
      </c>
      <c r="I8015">
        <v>56</v>
      </c>
      <c r="J8015">
        <v>0</v>
      </c>
      <c r="K8015" s="1">
        <v>3198782</v>
      </c>
    </row>
    <row r="8016" spans="1:11" x14ac:dyDescent="0.25">
      <c r="A8016" t="s">
        <v>326</v>
      </c>
      <c r="B8016" t="s">
        <v>765</v>
      </c>
      <c r="C8016" t="s">
        <v>873</v>
      </c>
      <c r="D8016" t="s">
        <v>11</v>
      </c>
      <c r="E8016">
        <v>29</v>
      </c>
      <c r="F8016" s="2">
        <f>DATE(2026,IF(Tabla1[[#This Row],[Mes de Fecha]]="Septiembre",9,10),Tabla1[[#This Row],[Día de Fecha]])</f>
        <v>46294</v>
      </c>
      <c r="G8016">
        <v>1088291704</v>
      </c>
      <c r="H8016" t="s">
        <v>724</v>
      </c>
      <c r="I8016">
        <v>51</v>
      </c>
      <c r="J8016">
        <v>0</v>
      </c>
      <c r="K8016" s="1">
        <v>3016766</v>
      </c>
    </row>
    <row r="8017" spans="1:11" x14ac:dyDescent="0.25">
      <c r="A8017" t="s">
        <v>326</v>
      </c>
      <c r="B8017" t="s">
        <v>765</v>
      </c>
      <c r="C8017" t="s">
        <v>873</v>
      </c>
      <c r="D8017" t="s">
        <v>11</v>
      </c>
      <c r="E8017">
        <v>29</v>
      </c>
      <c r="F8017" s="2">
        <f>DATE(2026,IF(Tabla1[[#This Row],[Mes de Fecha]]="Septiembre",9,10),Tabla1[[#This Row],[Día de Fecha]])</f>
        <v>46294</v>
      </c>
      <c r="G8017">
        <v>1113860425</v>
      </c>
      <c r="H8017" t="s">
        <v>726</v>
      </c>
      <c r="I8017">
        <v>40</v>
      </c>
      <c r="J8017">
        <v>0</v>
      </c>
      <c r="K8017" s="1">
        <v>2708236</v>
      </c>
    </row>
    <row r="8018" spans="1:11" x14ac:dyDescent="0.25">
      <c r="A8018" t="s">
        <v>326</v>
      </c>
      <c r="B8018" t="s">
        <v>765</v>
      </c>
      <c r="C8018" t="s">
        <v>873</v>
      </c>
      <c r="D8018" t="s">
        <v>11</v>
      </c>
      <c r="E8018">
        <v>30</v>
      </c>
      <c r="F8018" s="2">
        <f>DATE(2026,IF(Tabla1[[#This Row],[Mes de Fecha]]="Septiembre",9,10),Tabla1[[#This Row],[Día de Fecha]])</f>
        <v>46295</v>
      </c>
      <c r="I8018">
        <v>0</v>
      </c>
      <c r="J8018" s="1">
        <v>14183387</v>
      </c>
      <c r="K8018">
        <v>0</v>
      </c>
    </row>
    <row r="8019" spans="1:11" x14ac:dyDescent="0.25">
      <c r="A8019" t="s">
        <v>326</v>
      </c>
      <c r="B8019" t="s">
        <v>765</v>
      </c>
      <c r="C8019" t="s">
        <v>873</v>
      </c>
      <c r="D8019" t="s">
        <v>11</v>
      </c>
      <c r="E8019">
        <v>30</v>
      </c>
      <c r="F8019" s="2">
        <f>DATE(2026,IF(Tabla1[[#This Row],[Mes de Fecha]]="Septiembre",9,10),Tabla1[[#This Row],[Día de Fecha]])</f>
        <v>46295</v>
      </c>
      <c r="G8019">
        <v>1003533393</v>
      </c>
      <c r="H8019" t="s">
        <v>727</v>
      </c>
      <c r="I8019">
        <v>34</v>
      </c>
      <c r="J8019">
        <v>0</v>
      </c>
      <c r="K8019" s="1">
        <v>2042523</v>
      </c>
    </row>
    <row r="8020" spans="1:11" x14ac:dyDescent="0.25">
      <c r="A8020" t="s">
        <v>326</v>
      </c>
      <c r="B8020" t="s">
        <v>765</v>
      </c>
      <c r="C8020" t="s">
        <v>873</v>
      </c>
      <c r="D8020" t="s">
        <v>11</v>
      </c>
      <c r="E8020">
        <v>30</v>
      </c>
      <c r="F8020" s="2">
        <f>DATE(2026,IF(Tabla1[[#This Row],[Mes de Fecha]]="Septiembre",9,10),Tabla1[[#This Row],[Día de Fecha]])</f>
        <v>46295</v>
      </c>
      <c r="G8020">
        <v>1004754146</v>
      </c>
      <c r="H8020" t="s">
        <v>728</v>
      </c>
      <c r="I8020">
        <v>43</v>
      </c>
      <c r="J8020">
        <v>0</v>
      </c>
      <c r="K8020" s="1">
        <v>2489539</v>
      </c>
    </row>
    <row r="8021" spans="1:11" x14ac:dyDescent="0.25">
      <c r="A8021" t="s">
        <v>326</v>
      </c>
      <c r="B8021" t="s">
        <v>765</v>
      </c>
      <c r="C8021" t="s">
        <v>873</v>
      </c>
      <c r="D8021" t="s">
        <v>11</v>
      </c>
      <c r="E8021">
        <v>30</v>
      </c>
      <c r="F8021" s="2">
        <f>DATE(2026,IF(Tabla1[[#This Row],[Mes de Fecha]]="Septiembre",9,10),Tabla1[[#This Row],[Día de Fecha]])</f>
        <v>46295</v>
      </c>
      <c r="G8021">
        <v>1088291704</v>
      </c>
      <c r="H8021" t="s">
        <v>724</v>
      </c>
      <c r="I8021">
        <v>41</v>
      </c>
      <c r="J8021">
        <v>0</v>
      </c>
      <c r="K8021" s="1">
        <v>2247987</v>
      </c>
    </row>
    <row r="8022" spans="1:11" x14ac:dyDescent="0.25">
      <c r="A8022" t="s">
        <v>326</v>
      </c>
      <c r="B8022" t="s">
        <v>765</v>
      </c>
      <c r="C8022" t="s">
        <v>873</v>
      </c>
      <c r="D8022" t="s">
        <v>11</v>
      </c>
      <c r="E8022">
        <v>30</v>
      </c>
      <c r="F8022" s="2">
        <f>DATE(2026,IF(Tabla1[[#This Row],[Mes de Fecha]]="Septiembre",9,10),Tabla1[[#This Row],[Día de Fecha]])</f>
        <v>46295</v>
      </c>
      <c r="G8022">
        <v>1113860425</v>
      </c>
      <c r="H8022" t="s">
        <v>726</v>
      </c>
      <c r="I8022">
        <v>55</v>
      </c>
      <c r="J8022">
        <v>0</v>
      </c>
      <c r="K8022" s="1">
        <v>3241096</v>
      </c>
    </row>
    <row r="8023" spans="1:11" x14ac:dyDescent="0.25">
      <c r="A8023" t="s">
        <v>326</v>
      </c>
      <c r="B8023" t="s">
        <v>765</v>
      </c>
      <c r="C8023" t="s">
        <v>873</v>
      </c>
      <c r="D8023" t="s">
        <v>14</v>
      </c>
      <c r="E8023">
        <v>1</v>
      </c>
      <c r="F8023" s="2">
        <f>DATE(2026,IF(Tabla1[[#This Row],[Mes de Fecha]]="Septiembre",9,10),Tabla1[[#This Row],[Día de Fecha]])</f>
        <v>46296</v>
      </c>
      <c r="I8023">
        <v>0</v>
      </c>
      <c r="J8023" s="1">
        <v>9554550</v>
      </c>
      <c r="K8023">
        <v>0</v>
      </c>
    </row>
    <row r="8024" spans="1:11" x14ac:dyDescent="0.25">
      <c r="A8024" t="s">
        <v>326</v>
      </c>
      <c r="B8024" t="s">
        <v>765</v>
      </c>
      <c r="C8024" t="s">
        <v>873</v>
      </c>
      <c r="D8024" t="s">
        <v>14</v>
      </c>
      <c r="E8024">
        <v>1</v>
      </c>
      <c r="F8024" s="2">
        <f>DATE(2026,IF(Tabla1[[#This Row],[Mes de Fecha]]="Septiembre",9,10),Tabla1[[#This Row],[Día de Fecha]])</f>
        <v>46296</v>
      </c>
      <c r="G8024">
        <v>1003533393</v>
      </c>
      <c r="H8024" t="s">
        <v>727</v>
      </c>
      <c r="I8024">
        <v>41</v>
      </c>
      <c r="J8024">
        <v>0</v>
      </c>
      <c r="K8024" s="1">
        <v>2477228</v>
      </c>
    </row>
    <row r="8025" spans="1:11" x14ac:dyDescent="0.25">
      <c r="A8025" t="s">
        <v>326</v>
      </c>
      <c r="B8025" t="s">
        <v>765</v>
      </c>
      <c r="C8025" t="s">
        <v>873</v>
      </c>
      <c r="D8025" t="s">
        <v>14</v>
      </c>
      <c r="E8025">
        <v>1</v>
      </c>
      <c r="F8025" s="2">
        <f>DATE(2026,IF(Tabla1[[#This Row],[Mes de Fecha]]="Septiembre",9,10),Tabla1[[#This Row],[Día de Fecha]])</f>
        <v>46296</v>
      </c>
      <c r="G8025">
        <v>1004754146</v>
      </c>
      <c r="H8025" t="s">
        <v>728</v>
      </c>
      <c r="I8025">
        <v>74</v>
      </c>
      <c r="J8025">
        <v>0</v>
      </c>
      <c r="K8025" s="1">
        <v>3944252</v>
      </c>
    </row>
    <row r="8026" spans="1:11" x14ac:dyDescent="0.25">
      <c r="A8026" t="s">
        <v>326</v>
      </c>
      <c r="B8026" t="s">
        <v>765</v>
      </c>
      <c r="C8026" t="s">
        <v>873</v>
      </c>
      <c r="D8026" t="s">
        <v>14</v>
      </c>
      <c r="E8026">
        <v>1</v>
      </c>
      <c r="F8026" s="2">
        <f>DATE(2026,IF(Tabla1[[#This Row],[Mes de Fecha]]="Septiembre",9,10),Tabla1[[#This Row],[Día de Fecha]])</f>
        <v>46296</v>
      </c>
      <c r="G8026">
        <v>1007375030</v>
      </c>
      <c r="H8026" t="s">
        <v>723</v>
      </c>
      <c r="I8026">
        <v>-1</v>
      </c>
      <c r="J8026">
        <v>0</v>
      </c>
      <c r="K8026" s="1">
        <v>-54580</v>
      </c>
    </row>
    <row r="8027" spans="1:11" x14ac:dyDescent="0.25">
      <c r="A8027" t="s">
        <v>326</v>
      </c>
      <c r="B8027" t="s">
        <v>765</v>
      </c>
      <c r="C8027" t="s">
        <v>873</v>
      </c>
      <c r="D8027" t="s">
        <v>14</v>
      </c>
      <c r="E8027">
        <v>1</v>
      </c>
      <c r="F8027" s="2">
        <f>DATE(2026,IF(Tabla1[[#This Row],[Mes de Fecha]]="Septiembre",9,10),Tabla1[[#This Row],[Día de Fecha]])</f>
        <v>46296</v>
      </c>
      <c r="G8027">
        <v>1088291704</v>
      </c>
      <c r="H8027" t="s">
        <v>724</v>
      </c>
      <c r="I8027">
        <v>51</v>
      </c>
      <c r="J8027">
        <v>0</v>
      </c>
      <c r="K8027" s="1">
        <v>2781350</v>
      </c>
    </row>
    <row r="8028" spans="1:11" x14ac:dyDescent="0.25">
      <c r="A8028" t="s">
        <v>326</v>
      </c>
      <c r="B8028" t="s">
        <v>765</v>
      </c>
      <c r="C8028" t="s">
        <v>873</v>
      </c>
      <c r="D8028" t="s">
        <v>14</v>
      </c>
      <c r="E8028">
        <v>1</v>
      </c>
      <c r="F8028" s="2">
        <f>DATE(2026,IF(Tabla1[[#This Row],[Mes de Fecha]]="Septiembre",9,10),Tabla1[[#This Row],[Día de Fecha]])</f>
        <v>46296</v>
      </c>
      <c r="G8028">
        <v>1113860425</v>
      </c>
      <c r="H8028" t="s">
        <v>726</v>
      </c>
      <c r="I8028">
        <v>59</v>
      </c>
      <c r="J8028">
        <v>0</v>
      </c>
      <c r="K8028" s="1">
        <v>3098070</v>
      </c>
    </row>
    <row r="8029" spans="1:11" x14ac:dyDescent="0.25">
      <c r="A8029" t="s">
        <v>326</v>
      </c>
      <c r="B8029" t="s">
        <v>765</v>
      </c>
      <c r="C8029" t="s">
        <v>873</v>
      </c>
      <c r="D8029" t="s">
        <v>14</v>
      </c>
      <c r="E8029">
        <v>2</v>
      </c>
      <c r="F8029" s="2">
        <f>DATE(2026,IF(Tabla1[[#This Row],[Mes de Fecha]]="Septiembre",9,10),Tabla1[[#This Row],[Día de Fecha]])</f>
        <v>46297</v>
      </c>
      <c r="I8029">
        <v>0</v>
      </c>
      <c r="J8029" s="1">
        <v>6927234</v>
      </c>
      <c r="K8029">
        <v>0</v>
      </c>
    </row>
    <row r="8030" spans="1:11" x14ac:dyDescent="0.25">
      <c r="A8030" t="s">
        <v>326</v>
      </c>
      <c r="B8030" t="s">
        <v>765</v>
      </c>
      <c r="C8030" t="s">
        <v>873</v>
      </c>
      <c r="D8030" t="s">
        <v>14</v>
      </c>
      <c r="E8030">
        <v>2</v>
      </c>
      <c r="F8030" s="2">
        <f>DATE(2026,IF(Tabla1[[#This Row],[Mes de Fecha]]="Septiembre",9,10),Tabla1[[#This Row],[Día de Fecha]])</f>
        <v>46297</v>
      </c>
      <c r="G8030">
        <v>1003533393</v>
      </c>
      <c r="H8030" t="s">
        <v>727</v>
      </c>
      <c r="I8030">
        <v>33</v>
      </c>
      <c r="J8030">
        <v>0</v>
      </c>
      <c r="K8030" s="1">
        <v>1565757</v>
      </c>
    </row>
    <row r="8031" spans="1:11" x14ac:dyDescent="0.25">
      <c r="A8031" t="s">
        <v>326</v>
      </c>
      <c r="B8031" t="s">
        <v>765</v>
      </c>
      <c r="C8031" t="s">
        <v>873</v>
      </c>
      <c r="D8031" t="s">
        <v>14</v>
      </c>
      <c r="E8031">
        <v>2</v>
      </c>
      <c r="F8031" s="2">
        <f>DATE(2026,IF(Tabla1[[#This Row],[Mes de Fecha]]="Septiembre",9,10),Tabla1[[#This Row],[Día de Fecha]])</f>
        <v>46297</v>
      </c>
      <c r="G8031">
        <v>1004754146</v>
      </c>
      <c r="H8031" t="s">
        <v>728</v>
      </c>
      <c r="I8031">
        <v>16</v>
      </c>
      <c r="J8031">
        <v>0</v>
      </c>
      <c r="K8031" s="1">
        <v>801850</v>
      </c>
    </row>
    <row r="8032" spans="1:11" x14ac:dyDescent="0.25">
      <c r="A8032" t="s">
        <v>326</v>
      </c>
      <c r="B8032" t="s">
        <v>765</v>
      </c>
      <c r="C8032" t="s">
        <v>873</v>
      </c>
      <c r="D8032" t="s">
        <v>14</v>
      </c>
      <c r="E8032">
        <v>2</v>
      </c>
      <c r="F8032" s="2">
        <f>DATE(2026,IF(Tabla1[[#This Row],[Mes de Fecha]]="Septiembre",9,10),Tabla1[[#This Row],[Día de Fecha]])</f>
        <v>46297</v>
      </c>
      <c r="G8032">
        <v>1088291704</v>
      </c>
      <c r="H8032" t="s">
        <v>724</v>
      </c>
      <c r="I8032">
        <v>32</v>
      </c>
      <c r="J8032">
        <v>0</v>
      </c>
      <c r="K8032" s="1">
        <v>1647773</v>
      </c>
    </row>
    <row r="8033" spans="1:11" x14ac:dyDescent="0.25">
      <c r="A8033" t="s">
        <v>326</v>
      </c>
      <c r="B8033" t="s">
        <v>765</v>
      </c>
      <c r="C8033" t="s">
        <v>873</v>
      </c>
      <c r="D8033" t="s">
        <v>14</v>
      </c>
      <c r="E8033">
        <v>2</v>
      </c>
      <c r="F8033" s="2">
        <f>DATE(2026,IF(Tabla1[[#This Row],[Mes de Fecha]]="Septiembre",9,10),Tabla1[[#This Row],[Día de Fecha]])</f>
        <v>46297</v>
      </c>
      <c r="G8033">
        <v>1113860425</v>
      </c>
      <c r="H8033" t="s">
        <v>726</v>
      </c>
      <c r="I8033">
        <v>43</v>
      </c>
      <c r="J8033">
        <v>0</v>
      </c>
      <c r="K8033" s="1">
        <v>2329836</v>
      </c>
    </row>
    <row r="8034" spans="1:11" x14ac:dyDescent="0.25">
      <c r="A8034" t="s">
        <v>326</v>
      </c>
      <c r="B8034" t="s">
        <v>765</v>
      </c>
      <c r="C8034" t="s">
        <v>873</v>
      </c>
      <c r="D8034" t="s">
        <v>14</v>
      </c>
      <c r="E8034">
        <v>2</v>
      </c>
      <c r="F8034" s="2">
        <f>DATE(2026,IF(Tabla1[[#This Row],[Mes de Fecha]]="Septiembre",9,10),Tabla1[[#This Row],[Día de Fecha]])</f>
        <v>46297</v>
      </c>
      <c r="G8034">
        <v>1114149755</v>
      </c>
      <c r="H8034" t="s">
        <v>507</v>
      </c>
      <c r="I8034">
        <v>-1</v>
      </c>
      <c r="J8034">
        <v>0</v>
      </c>
      <c r="K8034" s="1">
        <v>-83992</v>
      </c>
    </row>
    <row r="8035" spans="1:11" x14ac:dyDescent="0.25">
      <c r="A8035" t="s">
        <v>326</v>
      </c>
      <c r="B8035" t="s">
        <v>765</v>
      </c>
      <c r="C8035" t="s">
        <v>873</v>
      </c>
      <c r="D8035" t="s">
        <v>14</v>
      </c>
      <c r="E8035">
        <v>3</v>
      </c>
      <c r="F8035" s="2">
        <f>DATE(2026,IF(Tabla1[[#This Row],[Mes de Fecha]]="Septiembre",9,10),Tabla1[[#This Row],[Día de Fecha]])</f>
        <v>46298</v>
      </c>
      <c r="I8035">
        <v>0</v>
      </c>
      <c r="J8035" s="1">
        <v>15102247</v>
      </c>
      <c r="K8035">
        <v>0</v>
      </c>
    </row>
    <row r="8036" spans="1:11" x14ac:dyDescent="0.25">
      <c r="A8036" t="s">
        <v>326</v>
      </c>
      <c r="B8036" t="s">
        <v>765</v>
      </c>
      <c r="C8036" t="s">
        <v>873</v>
      </c>
      <c r="D8036" t="s">
        <v>14</v>
      </c>
      <c r="E8036">
        <v>3</v>
      </c>
      <c r="F8036" s="2">
        <f>DATE(2026,IF(Tabla1[[#This Row],[Mes de Fecha]]="Septiembre",9,10),Tabla1[[#This Row],[Día de Fecha]])</f>
        <v>46298</v>
      </c>
      <c r="G8036">
        <v>1003533393</v>
      </c>
      <c r="H8036" t="s">
        <v>727</v>
      </c>
      <c r="I8036">
        <v>25</v>
      </c>
      <c r="J8036">
        <v>0</v>
      </c>
      <c r="K8036" s="1">
        <v>1457414</v>
      </c>
    </row>
    <row r="8037" spans="1:11" x14ac:dyDescent="0.25">
      <c r="A8037" t="s">
        <v>326</v>
      </c>
      <c r="B8037" t="s">
        <v>765</v>
      </c>
      <c r="C8037" t="s">
        <v>873</v>
      </c>
      <c r="D8037" t="s">
        <v>14</v>
      </c>
      <c r="E8037">
        <v>3</v>
      </c>
      <c r="F8037" s="2">
        <f>DATE(2026,IF(Tabla1[[#This Row],[Mes de Fecha]]="Septiembre",9,10),Tabla1[[#This Row],[Día de Fecha]])</f>
        <v>46298</v>
      </c>
      <c r="G8037">
        <v>1004754146</v>
      </c>
      <c r="H8037" t="s">
        <v>728</v>
      </c>
      <c r="I8037">
        <v>77</v>
      </c>
      <c r="J8037">
        <v>0</v>
      </c>
      <c r="K8037" s="1">
        <v>3975002</v>
      </c>
    </row>
    <row r="8038" spans="1:11" x14ac:dyDescent="0.25">
      <c r="A8038" t="s">
        <v>326</v>
      </c>
      <c r="B8038" t="s">
        <v>765</v>
      </c>
      <c r="C8038" t="s">
        <v>873</v>
      </c>
      <c r="D8038" t="s">
        <v>14</v>
      </c>
      <c r="E8038">
        <v>3</v>
      </c>
      <c r="F8038" s="2">
        <f>DATE(2026,IF(Tabla1[[#This Row],[Mes de Fecha]]="Septiembre",9,10),Tabla1[[#This Row],[Día de Fecha]])</f>
        <v>46298</v>
      </c>
      <c r="G8038">
        <v>1088291704</v>
      </c>
      <c r="H8038" t="s">
        <v>724</v>
      </c>
      <c r="I8038">
        <v>58</v>
      </c>
      <c r="J8038">
        <v>0</v>
      </c>
      <c r="K8038" s="1">
        <v>3177448</v>
      </c>
    </row>
    <row r="8039" spans="1:11" x14ac:dyDescent="0.25">
      <c r="A8039" t="s">
        <v>326</v>
      </c>
      <c r="B8039" t="s">
        <v>765</v>
      </c>
      <c r="C8039" t="s">
        <v>873</v>
      </c>
      <c r="D8039" t="s">
        <v>14</v>
      </c>
      <c r="E8039">
        <v>3</v>
      </c>
      <c r="F8039" s="2">
        <f>DATE(2026,IF(Tabla1[[#This Row],[Mes de Fecha]]="Septiembre",9,10),Tabla1[[#This Row],[Día de Fecha]])</f>
        <v>46298</v>
      </c>
      <c r="G8039">
        <v>1113860425</v>
      </c>
      <c r="H8039" t="s">
        <v>726</v>
      </c>
      <c r="I8039">
        <v>53</v>
      </c>
      <c r="J8039">
        <v>0</v>
      </c>
      <c r="K8039" s="1">
        <v>2836028</v>
      </c>
    </row>
    <row r="8040" spans="1:11" x14ac:dyDescent="0.25">
      <c r="A8040" t="s">
        <v>326</v>
      </c>
      <c r="B8040" t="s">
        <v>765</v>
      </c>
      <c r="C8040" t="s">
        <v>873</v>
      </c>
      <c r="D8040" t="s">
        <v>14</v>
      </c>
      <c r="E8040">
        <v>4</v>
      </c>
      <c r="F8040" s="2">
        <f>DATE(2026,IF(Tabla1[[#This Row],[Mes de Fecha]]="Septiembre",9,10),Tabla1[[#This Row],[Día de Fecha]])</f>
        <v>46299</v>
      </c>
      <c r="I8040">
        <v>0</v>
      </c>
      <c r="J8040" s="1">
        <v>16907597</v>
      </c>
      <c r="K8040">
        <v>0</v>
      </c>
    </row>
    <row r="8041" spans="1:11" x14ac:dyDescent="0.25">
      <c r="A8041" t="s">
        <v>326</v>
      </c>
      <c r="B8041" t="s">
        <v>765</v>
      </c>
      <c r="C8041" t="s">
        <v>873</v>
      </c>
      <c r="D8041" t="s">
        <v>14</v>
      </c>
      <c r="E8041">
        <v>4</v>
      </c>
      <c r="F8041" s="2">
        <f>DATE(2026,IF(Tabla1[[#This Row],[Mes de Fecha]]="Septiembre",9,10),Tabla1[[#This Row],[Día de Fecha]])</f>
        <v>46299</v>
      </c>
      <c r="G8041">
        <v>1003533393</v>
      </c>
      <c r="H8041" t="s">
        <v>727</v>
      </c>
      <c r="I8041">
        <v>65</v>
      </c>
      <c r="J8041">
        <v>0</v>
      </c>
      <c r="K8041" s="1">
        <v>4014079</v>
      </c>
    </row>
    <row r="8042" spans="1:11" x14ac:dyDescent="0.25">
      <c r="A8042" t="s">
        <v>326</v>
      </c>
      <c r="B8042" t="s">
        <v>765</v>
      </c>
      <c r="C8042" t="s">
        <v>873</v>
      </c>
      <c r="D8042" t="s">
        <v>14</v>
      </c>
      <c r="E8042">
        <v>4</v>
      </c>
      <c r="F8042" s="2">
        <f>DATE(2026,IF(Tabla1[[#This Row],[Mes de Fecha]]="Septiembre",9,10),Tabla1[[#This Row],[Día de Fecha]])</f>
        <v>46299</v>
      </c>
      <c r="G8042">
        <v>1004754146</v>
      </c>
      <c r="H8042" t="s">
        <v>728</v>
      </c>
      <c r="I8042">
        <v>71</v>
      </c>
      <c r="J8042">
        <v>0</v>
      </c>
      <c r="K8042" s="1">
        <v>4164838</v>
      </c>
    </row>
    <row r="8043" spans="1:11" x14ac:dyDescent="0.25">
      <c r="A8043" t="s">
        <v>326</v>
      </c>
      <c r="B8043" t="s">
        <v>765</v>
      </c>
      <c r="C8043" t="s">
        <v>873</v>
      </c>
      <c r="D8043" t="s">
        <v>14</v>
      </c>
      <c r="E8043">
        <v>4</v>
      </c>
      <c r="F8043" s="2">
        <f>DATE(2026,IF(Tabla1[[#This Row],[Mes de Fecha]]="Septiembre",9,10),Tabla1[[#This Row],[Día de Fecha]])</f>
        <v>46299</v>
      </c>
      <c r="G8043">
        <v>1088291704</v>
      </c>
      <c r="H8043" t="s">
        <v>724</v>
      </c>
      <c r="I8043">
        <v>61</v>
      </c>
      <c r="J8043">
        <v>0</v>
      </c>
      <c r="K8043" s="1">
        <v>3661222</v>
      </c>
    </row>
    <row r="8044" spans="1:11" x14ac:dyDescent="0.25">
      <c r="A8044" t="s">
        <v>326</v>
      </c>
      <c r="B8044" t="s">
        <v>765</v>
      </c>
      <c r="C8044" t="s">
        <v>873</v>
      </c>
      <c r="D8044" t="s">
        <v>14</v>
      </c>
      <c r="E8044">
        <v>4</v>
      </c>
      <c r="F8044" s="2">
        <f>DATE(2026,IF(Tabla1[[#This Row],[Mes de Fecha]]="Septiembre",9,10),Tabla1[[#This Row],[Día de Fecha]])</f>
        <v>46299</v>
      </c>
      <c r="G8044">
        <v>1113860425</v>
      </c>
      <c r="H8044" t="s">
        <v>726</v>
      </c>
      <c r="I8044">
        <v>72</v>
      </c>
      <c r="J8044">
        <v>0</v>
      </c>
      <c r="K8044" s="1">
        <v>4477986</v>
      </c>
    </row>
    <row r="8045" spans="1:11" x14ac:dyDescent="0.25">
      <c r="A8045" t="s">
        <v>326</v>
      </c>
      <c r="B8045" t="s">
        <v>765</v>
      </c>
      <c r="C8045" t="s">
        <v>873</v>
      </c>
      <c r="D8045" t="s">
        <v>14</v>
      </c>
      <c r="E8045">
        <v>5</v>
      </c>
      <c r="F8045" s="2">
        <f>DATE(2026,IF(Tabla1[[#This Row],[Mes de Fecha]]="Septiembre",9,10),Tabla1[[#This Row],[Día de Fecha]])</f>
        <v>46300</v>
      </c>
      <c r="I8045">
        <v>0</v>
      </c>
      <c r="J8045" s="1">
        <v>6167866</v>
      </c>
      <c r="K8045">
        <v>0</v>
      </c>
    </row>
    <row r="8046" spans="1:11" x14ac:dyDescent="0.25">
      <c r="A8046" t="s">
        <v>326</v>
      </c>
      <c r="B8046" t="s">
        <v>765</v>
      </c>
      <c r="C8046" t="s">
        <v>873</v>
      </c>
      <c r="D8046" t="s">
        <v>14</v>
      </c>
      <c r="E8046">
        <v>5</v>
      </c>
      <c r="F8046" s="2">
        <f>DATE(2026,IF(Tabla1[[#This Row],[Mes de Fecha]]="Septiembre",9,10),Tabla1[[#This Row],[Día de Fecha]])</f>
        <v>46300</v>
      </c>
      <c r="G8046">
        <v>1003533393</v>
      </c>
      <c r="H8046" t="s">
        <v>727</v>
      </c>
      <c r="I8046">
        <v>20</v>
      </c>
      <c r="J8046">
        <v>0</v>
      </c>
      <c r="K8046" s="1">
        <v>1026427</v>
      </c>
    </row>
    <row r="8047" spans="1:11" x14ac:dyDescent="0.25">
      <c r="A8047" t="s">
        <v>326</v>
      </c>
      <c r="B8047" t="s">
        <v>765</v>
      </c>
      <c r="C8047" t="s">
        <v>873</v>
      </c>
      <c r="D8047" t="s">
        <v>14</v>
      </c>
      <c r="E8047">
        <v>5</v>
      </c>
      <c r="F8047" s="2">
        <f>DATE(2026,IF(Tabla1[[#This Row],[Mes de Fecha]]="Septiembre",9,10),Tabla1[[#This Row],[Día de Fecha]])</f>
        <v>46300</v>
      </c>
      <c r="G8047">
        <v>1004754146</v>
      </c>
      <c r="H8047" t="s">
        <v>728</v>
      </c>
      <c r="I8047">
        <v>5</v>
      </c>
      <c r="J8047">
        <v>0</v>
      </c>
      <c r="K8047" s="1">
        <v>287606</v>
      </c>
    </row>
    <row r="8048" spans="1:11" x14ac:dyDescent="0.25">
      <c r="A8048" t="s">
        <v>326</v>
      </c>
      <c r="B8048" t="s">
        <v>765</v>
      </c>
      <c r="C8048" t="s">
        <v>873</v>
      </c>
      <c r="D8048" t="s">
        <v>14</v>
      </c>
      <c r="E8048">
        <v>5</v>
      </c>
      <c r="F8048" s="2">
        <f>DATE(2026,IF(Tabla1[[#This Row],[Mes de Fecha]]="Septiembre",9,10),Tabla1[[#This Row],[Día de Fecha]])</f>
        <v>46300</v>
      </c>
      <c r="G8048">
        <v>1088291704</v>
      </c>
      <c r="H8048" t="s">
        <v>724</v>
      </c>
      <c r="I8048">
        <v>21</v>
      </c>
      <c r="J8048">
        <v>0</v>
      </c>
      <c r="K8048" s="1">
        <v>1227682</v>
      </c>
    </row>
    <row r="8049" spans="1:11" x14ac:dyDescent="0.25">
      <c r="A8049" t="s">
        <v>326</v>
      </c>
      <c r="B8049" t="s">
        <v>765</v>
      </c>
      <c r="C8049" t="s">
        <v>873</v>
      </c>
      <c r="D8049" t="s">
        <v>14</v>
      </c>
      <c r="E8049">
        <v>5</v>
      </c>
      <c r="F8049" s="2">
        <f>DATE(2026,IF(Tabla1[[#This Row],[Mes de Fecha]]="Septiembre",9,10),Tabla1[[#This Row],[Día de Fecha]])</f>
        <v>46300</v>
      </c>
      <c r="G8049">
        <v>1113860425</v>
      </c>
      <c r="H8049" t="s">
        <v>726</v>
      </c>
      <c r="I8049">
        <v>33</v>
      </c>
      <c r="J8049">
        <v>0</v>
      </c>
      <c r="K8049" s="1">
        <v>2006934</v>
      </c>
    </row>
    <row r="8050" spans="1:11" x14ac:dyDescent="0.25">
      <c r="A8050" t="s">
        <v>326</v>
      </c>
      <c r="B8050" t="s">
        <v>765</v>
      </c>
      <c r="C8050" t="s">
        <v>873</v>
      </c>
      <c r="D8050" t="s">
        <v>14</v>
      </c>
      <c r="E8050">
        <v>5</v>
      </c>
      <c r="F8050" s="2">
        <f>DATE(2026,IF(Tabla1[[#This Row],[Mes de Fecha]]="Septiembre",9,10),Tabla1[[#This Row],[Día de Fecha]])</f>
        <v>46300</v>
      </c>
      <c r="G8050">
        <v>1137977751</v>
      </c>
      <c r="H8050" t="s">
        <v>725</v>
      </c>
      <c r="I8050">
        <v>-2</v>
      </c>
      <c r="J8050">
        <v>0</v>
      </c>
      <c r="K8050" s="1">
        <v>-79748</v>
      </c>
    </row>
    <row r="8051" spans="1:11" x14ac:dyDescent="0.25">
      <c r="A8051" t="s">
        <v>326</v>
      </c>
      <c r="B8051" t="s">
        <v>765</v>
      </c>
      <c r="C8051" t="s">
        <v>873</v>
      </c>
      <c r="D8051" t="s">
        <v>14</v>
      </c>
      <c r="E8051">
        <v>6</v>
      </c>
      <c r="F8051" s="2">
        <f>DATE(2026,IF(Tabla1[[#This Row],[Mes de Fecha]]="Septiembre",9,10),Tabla1[[#This Row],[Día de Fecha]])</f>
        <v>46301</v>
      </c>
      <c r="I8051">
        <v>0</v>
      </c>
      <c r="J8051" s="1">
        <v>3377240</v>
      </c>
      <c r="K8051">
        <v>0</v>
      </c>
    </row>
    <row r="8052" spans="1:11" x14ac:dyDescent="0.25">
      <c r="A8052" t="s">
        <v>326</v>
      </c>
      <c r="B8052" t="s">
        <v>765</v>
      </c>
      <c r="C8052" t="s">
        <v>873</v>
      </c>
      <c r="D8052" t="s">
        <v>14</v>
      </c>
      <c r="E8052">
        <v>6</v>
      </c>
      <c r="F8052" s="2">
        <f>DATE(2026,IF(Tabla1[[#This Row],[Mes de Fecha]]="Septiembre",9,10),Tabla1[[#This Row],[Día de Fecha]])</f>
        <v>46301</v>
      </c>
      <c r="G8052">
        <v>1003533393</v>
      </c>
      <c r="H8052" t="s">
        <v>727</v>
      </c>
      <c r="I8052">
        <v>11</v>
      </c>
      <c r="J8052">
        <v>0</v>
      </c>
      <c r="K8052" s="1">
        <v>667606</v>
      </c>
    </row>
    <row r="8053" spans="1:11" x14ac:dyDescent="0.25">
      <c r="A8053" t="s">
        <v>326</v>
      </c>
      <c r="B8053" t="s">
        <v>765</v>
      </c>
      <c r="C8053" t="s">
        <v>873</v>
      </c>
      <c r="D8053" t="s">
        <v>14</v>
      </c>
      <c r="E8053">
        <v>6</v>
      </c>
      <c r="F8053" s="2">
        <f>DATE(2026,IF(Tabla1[[#This Row],[Mes de Fecha]]="Septiembre",9,10),Tabla1[[#This Row],[Día de Fecha]])</f>
        <v>46301</v>
      </c>
      <c r="G8053">
        <v>1004754146</v>
      </c>
      <c r="H8053" t="s">
        <v>728</v>
      </c>
      <c r="I8053">
        <v>18</v>
      </c>
      <c r="J8053">
        <v>0</v>
      </c>
      <c r="K8053" s="1">
        <v>856386</v>
      </c>
    </row>
    <row r="8054" spans="1:11" x14ac:dyDescent="0.25">
      <c r="A8054" t="s">
        <v>326</v>
      </c>
      <c r="B8054" t="s">
        <v>765</v>
      </c>
      <c r="C8054" t="s">
        <v>873</v>
      </c>
      <c r="D8054" t="s">
        <v>14</v>
      </c>
      <c r="E8054">
        <v>6</v>
      </c>
      <c r="F8054" s="2">
        <f>DATE(2026,IF(Tabla1[[#This Row],[Mes de Fecha]]="Septiembre",9,10),Tabla1[[#This Row],[Día de Fecha]])</f>
        <v>46301</v>
      </c>
      <c r="G8054">
        <v>1088291704</v>
      </c>
      <c r="H8054" t="s">
        <v>724</v>
      </c>
      <c r="I8054">
        <v>16</v>
      </c>
      <c r="J8054">
        <v>0</v>
      </c>
      <c r="K8054" s="1">
        <v>1289161</v>
      </c>
    </row>
    <row r="8055" spans="1:11" x14ac:dyDescent="0.25">
      <c r="A8055" t="s">
        <v>326</v>
      </c>
      <c r="B8055" t="s">
        <v>765</v>
      </c>
      <c r="C8055" t="s">
        <v>873</v>
      </c>
      <c r="D8055" t="s">
        <v>14</v>
      </c>
      <c r="E8055">
        <v>6</v>
      </c>
      <c r="F8055" s="2">
        <f>DATE(2026,IF(Tabla1[[#This Row],[Mes de Fecha]]="Septiembre",9,10),Tabla1[[#This Row],[Día de Fecha]])</f>
        <v>46301</v>
      </c>
      <c r="G8055">
        <v>1113860425</v>
      </c>
      <c r="H8055" t="s">
        <v>726</v>
      </c>
      <c r="I8055">
        <v>7</v>
      </c>
      <c r="J8055">
        <v>0</v>
      </c>
      <c r="K8055" s="1">
        <v>461849</v>
      </c>
    </row>
    <row r="8056" spans="1:11" x14ac:dyDescent="0.25">
      <c r="A8056" t="s">
        <v>326</v>
      </c>
      <c r="B8056" t="s">
        <v>765</v>
      </c>
      <c r="C8056" t="s">
        <v>873</v>
      </c>
      <c r="D8056" t="s">
        <v>14</v>
      </c>
      <c r="E8056">
        <v>6</v>
      </c>
      <c r="F8056" s="2">
        <f>DATE(2026,IF(Tabla1[[#This Row],[Mes de Fecha]]="Septiembre",9,10),Tabla1[[#This Row],[Día de Fecha]])</f>
        <v>46301</v>
      </c>
      <c r="G8056">
        <v>1114148923</v>
      </c>
      <c r="H8056" t="s">
        <v>711</v>
      </c>
      <c r="I8056">
        <v>-2</v>
      </c>
      <c r="J8056">
        <v>0</v>
      </c>
      <c r="K8056" s="1">
        <v>-75546</v>
      </c>
    </row>
    <row r="8057" spans="1:11" x14ac:dyDescent="0.25">
      <c r="A8057" t="s">
        <v>326</v>
      </c>
      <c r="B8057" t="s">
        <v>765</v>
      </c>
      <c r="C8057" t="s">
        <v>873</v>
      </c>
      <c r="D8057" t="s">
        <v>14</v>
      </c>
      <c r="E8057">
        <v>7</v>
      </c>
      <c r="F8057" s="2">
        <f>DATE(2026,IF(Tabla1[[#This Row],[Mes de Fecha]]="Septiembre",9,10),Tabla1[[#This Row],[Día de Fecha]])</f>
        <v>46302</v>
      </c>
      <c r="I8057">
        <v>0</v>
      </c>
      <c r="J8057" s="1">
        <v>3332805</v>
      </c>
      <c r="K8057">
        <v>0</v>
      </c>
    </row>
    <row r="8058" spans="1:11" x14ac:dyDescent="0.25">
      <c r="A8058" t="s">
        <v>326</v>
      </c>
      <c r="B8058" t="s">
        <v>765</v>
      </c>
      <c r="C8058" t="s">
        <v>873</v>
      </c>
      <c r="D8058" t="s">
        <v>14</v>
      </c>
      <c r="E8058">
        <v>7</v>
      </c>
      <c r="F8058" s="2">
        <f>DATE(2026,IF(Tabla1[[#This Row],[Mes de Fecha]]="Septiembre",9,10),Tabla1[[#This Row],[Día de Fecha]])</f>
        <v>46302</v>
      </c>
      <c r="G8058">
        <v>1004754146</v>
      </c>
      <c r="H8058" t="s">
        <v>728</v>
      </c>
      <c r="I8058">
        <v>22</v>
      </c>
      <c r="J8058">
        <v>0</v>
      </c>
      <c r="K8058" s="1">
        <v>1022060</v>
      </c>
    </row>
    <row r="8059" spans="1:11" x14ac:dyDescent="0.25">
      <c r="A8059" t="s">
        <v>326</v>
      </c>
      <c r="B8059" t="s">
        <v>765</v>
      </c>
      <c r="C8059" t="s">
        <v>873</v>
      </c>
      <c r="D8059" t="s">
        <v>14</v>
      </c>
      <c r="E8059">
        <v>7</v>
      </c>
      <c r="F8059" s="2">
        <f>DATE(2026,IF(Tabla1[[#This Row],[Mes de Fecha]]="Septiembre",9,10),Tabla1[[#This Row],[Día de Fecha]])</f>
        <v>46302</v>
      </c>
      <c r="G8059">
        <v>1088291704</v>
      </c>
      <c r="H8059" t="s">
        <v>724</v>
      </c>
      <c r="I8059">
        <v>26</v>
      </c>
      <c r="J8059">
        <v>0</v>
      </c>
      <c r="K8059" s="1">
        <v>1273866</v>
      </c>
    </row>
    <row r="8060" spans="1:11" x14ac:dyDescent="0.25">
      <c r="A8060" t="s">
        <v>326</v>
      </c>
      <c r="B8060" t="s">
        <v>765</v>
      </c>
      <c r="C8060" t="s">
        <v>873</v>
      </c>
      <c r="D8060" t="s">
        <v>14</v>
      </c>
      <c r="E8060">
        <v>7</v>
      </c>
      <c r="F8060" s="2">
        <f>DATE(2026,IF(Tabla1[[#This Row],[Mes de Fecha]]="Septiembre",9,10),Tabla1[[#This Row],[Día de Fecha]])</f>
        <v>46302</v>
      </c>
      <c r="G8060">
        <v>1113860425</v>
      </c>
      <c r="H8060" t="s">
        <v>726</v>
      </c>
      <c r="I8060">
        <v>8</v>
      </c>
      <c r="J8060">
        <v>0</v>
      </c>
      <c r="K8060" s="1">
        <v>550042</v>
      </c>
    </row>
    <row r="8061" spans="1:11" x14ac:dyDescent="0.25">
      <c r="A8061" t="s">
        <v>326</v>
      </c>
      <c r="B8061" t="s">
        <v>812</v>
      </c>
      <c r="C8061" t="s">
        <v>873</v>
      </c>
      <c r="D8061" t="s">
        <v>11</v>
      </c>
      <c r="E8061">
        <v>23</v>
      </c>
      <c r="F8061" s="2">
        <f>DATE(2026,IF(Tabla1[[#This Row],[Mes de Fecha]]="Septiembre",9,10),Tabla1[[#This Row],[Día de Fecha]])</f>
        <v>46288</v>
      </c>
      <c r="I8061">
        <v>0</v>
      </c>
      <c r="J8061" s="1">
        <v>4864804</v>
      </c>
      <c r="K8061">
        <v>0</v>
      </c>
    </row>
    <row r="8062" spans="1:11" x14ac:dyDescent="0.25">
      <c r="A8062" t="s">
        <v>326</v>
      </c>
      <c r="B8062" t="s">
        <v>812</v>
      </c>
      <c r="C8062" t="s">
        <v>873</v>
      </c>
      <c r="D8062" t="s">
        <v>11</v>
      </c>
      <c r="E8062">
        <v>23</v>
      </c>
      <c r="F8062" s="2">
        <f>DATE(2026,IF(Tabla1[[#This Row],[Mes de Fecha]]="Septiembre",9,10),Tabla1[[#This Row],[Día de Fecha]])</f>
        <v>46288</v>
      </c>
      <c r="G8062">
        <v>1002591302</v>
      </c>
      <c r="H8062" t="s">
        <v>815</v>
      </c>
      <c r="I8062">
        <v>24</v>
      </c>
      <c r="J8062">
        <v>0</v>
      </c>
      <c r="K8062" s="1">
        <v>1309916</v>
      </c>
    </row>
    <row r="8063" spans="1:11" x14ac:dyDescent="0.25">
      <c r="A8063" t="s">
        <v>326</v>
      </c>
      <c r="B8063" t="s">
        <v>812</v>
      </c>
      <c r="C8063" t="s">
        <v>873</v>
      </c>
      <c r="D8063" t="s">
        <v>11</v>
      </c>
      <c r="E8063">
        <v>23</v>
      </c>
      <c r="F8063" s="2">
        <f>DATE(2026,IF(Tabla1[[#This Row],[Mes de Fecha]]="Septiembre",9,10),Tabla1[[#This Row],[Día de Fecha]])</f>
        <v>46288</v>
      </c>
      <c r="G8063">
        <v>1006410542</v>
      </c>
      <c r="H8063" t="s">
        <v>816</v>
      </c>
      <c r="I8063">
        <v>13</v>
      </c>
      <c r="J8063">
        <v>0</v>
      </c>
      <c r="K8063" s="1">
        <v>949034</v>
      </c>
    </row>
    <row r="8064" spans="1:11" x14ac:dyDescent="0.25">
      <c r="A8064" t="s">
        <v>326</v>
      </c>
      <c r="B8064" t="s">
        <v>812</v>
      </c>
      <c r="C8064" t="s">
        <v>873</v>
      </c>
      <c r="D8064" t="s">
        <v>11</v>
      </c>
      <c r="E8064">
        <v>23</v>
      </c>
      <c r="F8064" s="2">
        <f>DATE(2026,IF(Tabla1[[#This Row],[Mes de Fecha]]="Septiembre",9,10),Tabla1[[#This Row],[Día de Fecha]])</f>
        <v>46288</v>
      </c>
      <c r="G8064">
        <v>1053836534</v>
      </c>
      <c r="H8064" t="s">
        <v>813</v>
      </c>
      <c r="I8064">
        <v>30</v>
      </c>
      <c r="J8064">
        <v>0</v>
      </c>
      <c r="K8064" s="1">
        <v>1408361</v>
      </c>
    </row>
    <row r="8065" spans="1:11" x14ac:dyDescent="0.25">
      <c r="A8065" t="s">
        <v>326</v>
      </c>
      <c r="B8065" t="s">
        <v>812</v>
      </c>
      <c r="C8065" t="s">
        <v>873</v>
      </c>
      <c r="D8065" t="s">
        <v>11</v>
      </c>
      <c r="E8065">
        <v>24</v>
      </c>
      <c r="F8065" s="2">
        <f>DATE(2026,IF(Tabla1[[#This Row],[Mes de Fecha]]="Septiembre",9,10),Tabla1[[#This Row],[Día de Fecha]])</f>
        <v>46289</v>
      </c>
      <c r="I8065">
        <v>0</v>
      </c>
      <c r="J8065" s="1">
        <v>7431536</v>
      </c>
      <c r="K8065">
        <v>0</v>
      </c>
    </row>
    <row r="8066" spans="1:11" x14ac:dyDescent="0.25">
      <c r="A8066" t="s">
        <v>326</v>
      </c>
      <c r="B8066" t="s">
        <v>812</v>
      </c>
      <c r="C8066" t="s">
        <v>873</v>
      </c>
      <c r="D8066" t="s">
        <v>11</v>
      </c>
      <c r="E8066">
        <v>24</v>
      </c>
      <c r="F8066" s="2">
        <f>DATE(2026,IF(Tabla1[[#This Row],[Mes de Fecha]]="Septiembre",9,10),Tabla1[[#This Row],[Día de Fecha]])</f>
        <v>46289</v>
      </c>
      <c r="G8066">
        <v>1006410542</v>
      </c>
      <c r="H8066" t="s">
        <v>816</v>
      </c>
      <c r="I8066">
        <v>47</v>
      </c>
      <c r="J8066">
        <v>0</v>
      </c>
      <c r="K8066" s="1">
        <v>2422397</v>
      </c>
    </row>
    <row r="8067" spans="1:11" x14ac:dyDescent="0.25">
      <c r="A8067" t="s">
        <v>326</v>
      </c>
      <c r="B8067" t="s">
        <v>812</v>
      </c>
      <c r="C8067" t="s">
        <v>873</v>
      </c>
      <c r="D8067" t="s">
        <v>11</v>
      </c>
      <c r="E8067">
        <v>24</v>
      </c>
      <c r="F8067" s="2">
        <f>DATE(2026,IF(Tabla1[[#This Row],[Mes de Fecha]]="Septiembre",9,10),Tabla1[[#This Row],[Día de Fecha]])</f>
        <v>46289</v>
      </c>
      <c r="G8067">
        <v>1033486789</v>
      </c>
      <c r="H8067" t="s">
        <v>538</v>
      </c>
      <c r="I8067">
        <v>87</v>
      </c>
      <c r="J8067">
        <v>0</v>
      </c>
      <c r="K8067" s="1">
        <v>4571845</v>
      </c>
    </row>
    <row r="8068" spans="1:11" x14ac:dyDescent="0.25">
      <c r="A8068" t="s">
        <v>326</v>
      </c>
      <c r="B8068" t="s">
        <v>812</v>
      </c>
      <c r="C8068" t="s">
        <v>873</v>
      </c>
      <c r="D8068" t="s">
        <v>11</v>
      </c>
      <c r="E8068">
        <v>25</v>
      </c>
      <c r="F8068" s="2">
        <f>DATE(2026,IF(Tabla1[[#This Row],[Mes de Fecha]]="Septiembre",9,10),Tabla1[[#This Row],[Día de Fecha]])</f>
        <v>46290</v>
      </c>
      <c r="I8068">
        <v>0</v>
      </c>
      <c r="J8068" s="1">
        <v>7415085</v>
      </c>
      <c r="K8068">
        <v>0</v>
      </c>
    </row>
    <row r="8069" spans="1:11" x14ac:dyDescent="0.25">
      <c r="A8069" t="s">
        <v>326</v>
      </c>
      <c r="B8069" t="s">
        <v>812</v>
      </c>
      <c r="C8069" t="s">
        <v>873</v>
      </c>
      <c r="D8069" t="s">
        <v>11</v>
      </c>
      <c r="E8069">
        <v>25</v>
      </c>
      <c r="F8069" s="2">
        <f>DATE(2026,IF(Tabla1[[#This Row],[Mes de Fecha]]="Septiembre",9,10),Tabla1[[#This Row],[Día de Fecha]])</f>
        <v>46290</v>
      </c>
      <c r="G8069">
        <v>1006410542</v>
      </c>
      <c r="H8069" t="s">
        <v>816</v>
      </c>
      <c r="I8069">
        <v>50</v>
      </c>
      <c r="J8069">
        <v>0</v>
      </c>
      <c r="K8069" s="1">
        <v>2712188</v>
      </c>
    </row>
    <row r="8070" spans="1:11" x14ac:dyDescent="0.25">
      <c r="A8070" t="s">
        <v>326</v>
      </c>
      <c r="B8070" t="s">
        <v>812</v>
      </c>
      <c r="C8070" t="s">
        <v>873</v>
      </c>
      <c r="D8070" t="s">
        <v>11</v>
      </c>
      <c r="E8070">
        <v>25</v>
      </c>
      <c r="F8070" s="2">
        <f>DATE(2026,IF(Tabla1[[#This Row],[Mes de Fecha]]="Septiembre",9,10),Tabla1[[#This Row],[Día de Fecha]])</f>
        <v>46290</v>
      </c>
      <c r="G8070">
        <v>1033486789</v>
      </c>
      <c r="H8070" t="s">
        <v>538</v>
      </c>
      <c r="I8070">
        <v>38</v>
      </c>
      <c r="J8070">
        <v>0</v>
      </c>
      <c r="K8070" s="1">
        <v>2254707</v>
      </c>
    </row>
    <row r="8071" spans="1:11" x14ac:dyDescent="0.25">
      <c r="A8071" t="s">
        <v>326</v>
      </c>
      <c r="B8071" t="s">
        <v>812</v>
      </c>
      <c r="C8071" t="s">
        <v>873</v>
      </c>
      <c r="D8071" t="s">
        <v>11</v>
      </c>
      <c r="E8071">
        <v>25</v>
      </c>
      <c r="F8071" s="2">
        <f>DATE(2026,IF(Tabla1[[#This Row],[Mes de Fecha]]="Septiembre",9,10),Tabla1[[#This Row],[Día de Fecha]])</f>
        <v>46290</v>
      </c>
      <c r="G8071">
        <v>1053836534</v>
      </c>
      <c r="H8071" t="s">
        <v>813</v>
      </c>
      <c r="I8071">
        <v>40</v>
      </c>
      <c r="J8071">
        <v>0</v>
      </c>
      <c r="K8071" s="1">
        <v>2323950</v>
      </c>
    </row>
    <row r="8072" spans="1:11" x14ac:dyDescent="0.25">
      <c r="A8072" t="s">
        <v>326</v>
      </c>
      <c r="B8072" t="s">
        <v>812</v>
      </c>
      <c r="C8072" t="s">
        <v>873</v>
      </c>
      <c r="D8072" t="s">
        <v>11</v>
      </c>
      <c r="E8072">
        <v>26</v>
      </c>
      <c r="F8072" s="2">
        <f>DATE(2026,IF(Tabla1[[#This Row],[Mes de Fecha]]="Septiembre",9,10),Tabla1[[#This Row],[Día de Fecha]])</f>
        <v>46291</v>
      </c>
      <c r="I8072">
        <v>0</v>
      </c>
      <c r="J8072" s="1">
        <v>10656540</v>
      </c>
      <c r="K8072">
        <v>0</v>
      </c>
    </row>
    <row r="8073" spans="1:11" x14ac:dyDescent="0.25">
      <c r="A8073" t="s">
        <v>326</v>
      </c>
      <c r="B8073" t="s">
        <v>812</v>
      </c>
      <c r="C8073" t="s">
        <v>873</v>
      </c>
      <c r="D8073" t="s">
        <v>11</v>
      </c>
      <c r="E8073">
        <v>26</v>
      </c>
      <c r="F8073" s="2">
        <f>DATE(2026,IF(Tabla1[[#This Row],[Mes de Fecha]]="Septiembre",9,10),Tabla1[[#This Row],[Día de Fecha]])</f>
        <v>46291</v>
      </c>
      <c r="G8073">
        <v>1006410542</v>
      </c>
      <c r="H8073" t="s">
        <v>816</v>
      </c>
      <c r="I8073">
        <v>58</v>
      </c>
      <c r="J8073">
        <v>0</v>
      </c>
      <c r="K8073" s="1">
        <v>3484875</v>
      </c>
    </row>
    <row r="8074" spans="1:11" x14ac:dyDescent="0.25">
      <c r="A8074" t="s">
        <v>326</v>
      </c>
      <c r="B8074" t="s">
        <v>812</v>
      </c>
      <c r="C8074" t="s">
        <v>873</v>
      </c>
      <c r="D8074" t="s">
        <v>11</v>
      </c>
      <c r="E8074">
        <v>26</v>
      </c>
      <c r="F8074" s="2">
        <f>DATE(2026,IF(Tabla1[[#This Row],[Mes de Fecha]]="Septiembre",9,10),Tabla1[[#This Row],[Día de Fecha]])</f>
        <v>46291</v>
      </c>
      <c r="G8074">
        <v>1033486789</v>
      </c>
      <c r="H8074" t="s">
        <v>538</v>
      </c>
      <c r="I8074">
        <v>67</v>
      </c>
      <c r="J8074">
        <v>0</v>
      </c>
      <c r="K8074" s="1">
        <v>3457142</v>
      </c>
    </row>
    <row r="8075" spans="1:11" x14ac:dyDescent="0.25">
      <c r="A8075" t="s">
        <v>326</v>
      </c>
      <c r="B8075" t="s">
        <v>812</v>
      </c>
      <c r="C8075" t="s">
        <v>873</v>
      </c>
      <c r="D8075" t="s">
        <v>11</v>
      </c>
      <c r="E8075">
        <v>26</v>
      </c>
      <c r="F8075" s="2">
        <f>DATE(2026,IF(Tabla1[[#This Row],[Mes de Fecha]]="Septiembre",9,10),Tabla1[[#This Row],[Día de Fecha]])</f>
        <v>46291</v>
      </c>
      <c r="G8075">
        <v>1053836534</v>
      </c>
      <c r="H8075" t="s">
        <v>813</v>
      </c>
      <c r="I8075">
        <v>106</v>
      </c>
      <c r="J8075">
        <v>0</v>
      </c>
      <c r="K8075" s="1">
        <v>5345000</v>
      </c>
    </row>
    <row r="8076" spans="1:11" x14ac:dyDescent="0.25">
      <c r="A8076" t="s">
        <v>326</v>
      </c>
      <c r="B8076" t="s">
        <v>812</v>
      </c>
      <c r="C8076" t="s">
        <v>873</v>
      </c>
      <c r="D8076" t="s">
        <v>11</v>
      </c>
      <c r="E8076">
        <v>27</v>
      </c>
      <c r="F8076" s="2">
        <f>DATE(2026,IF(Tabla1[[#This Row],[Mes de Fecha]]="Septiembre",9,10),Tabla1[[#This Row],[Día de Fecha]])</f>
        <v>46292</v>
      </c>
      <c r="I8076">
        <v>0</v>
      </c>
      <c r="J8076" s="1">
        <v>8442125</v>
      </c>
      <c r="K8076">
        <v>0</v>
      </c>
    </row>
    <row r="8077" spans="1:11" x14ac:dyDescent="0.25">
      <c r="A8077" t="s">
        <v>326</v>
      </c>
      <c r="B8077" t="s">
        <v>812</v>
      </c>
      <c r="C8077" t="s">
        <v>873</v>
      </c>
      <c r="D8077" t="s">
        <v>11</v>
      </c>
      <c r="E8077">
        <v>27</v>
      </c>
      <c r="F8077" s="2">
        <f>DATE(2026,IF(Tabla1[[#This Row],[Mes de Fecha]]="Septiembre",9,10),Tabla1[[#This Row],[Día de Fecha]])</f>
        <v>46292</v>
      </c>
      <c r="G8077">
        <v>1006410542</v>
      </c>
      <c r="H8077" t="s">
        <v>816</v>
      </c>
      <c r="I8077">
        <v>44</v>
      </c>
      <c r="J8077">
        <v>0</v>
      </c>
      <c r="K8077" s="1">
        <v>2504288</v>
      </c>
    </row>
    <row r="8078" spans="1:11" x14ac:dyDescent="0.25">
      <c r="A8078" t="s">
        <v>326</v>
      </c>
      <c r="B8078" t="s">
        <v>812</v>
      </c>
      <c r="C8078" t="s">
        <v>873</v>
      </c>
      <c r="D8078" t="s">
        <v>11</v>
      </c>
      <c r="E8078">
        <v>27</v>
      </c>
      <c r="F8078" s="2">
        <f>DATE(2026,IF(Tabla1[[#This Row],[Mes de Fecha]]="Septiembre",9,10),Tabla1[[#This Row],[Día de Fecha]])</f>
        <v>46292</v>
      </c>
      <c r="G8078">
        <v>1033486789</v>
      </c>
      <c r="H8078" t="s">
        <v>538</v>
      </c>
      <c r="I8078">
        <v>40</v>
      </c>
      <c r="J8078">
        <v>0</v>
      </c>
      <c r="K8078" s="1">
        <v>2816805</v>
      </c>
    </row>
    <row r="8079" spans="1:11" x14ac:dyDescent="0.25">
      <c r="A8079" t="s">
        <v>326</v>
      </c>
      <c r="B8079" t="s">
        <v>812</v>
      </c>
      <c r="C8079" t="s">
        <v>873</v>
      </c>
      <c r="D8079" t="s">
        <v>11</v>
      </c>
      <c r="E8079">
        <v>27</v>
      </c>
      <c r="F8079" s="2">
        <f>DATE(2026,IF(Tabla1[[#This Row],[Mes de Fecha]]="Septiembre",9,10),Tabla1[[#This Row],[Día de Fecha]])</f>
        <v>46292</v>
      </c>
      <c r="G8079">
        <v>1053836534</v>
      </c>
      <c r="H8079" t="s">
        <v>813</v>
      </c>
      <c r="I8079">
        <v>77</v>
      </c>
      <c r="J8079">
        <v>0</v>
      </c>
      <c r="K8079" s="1">
        <v>4671011</v>
      </c>
    </row>
    <row r="8080" spans="1:11" x14ac:dyDescent="0.25">
      <c r="A8080" t="s">
        <v>326</v>
      </c>
      <c r="B8080" t="s">
        <v>812</v>
      </c>
      <c r="C8080" t="s">
        <v>873</v>
      </c>
      <c r="D8080" t="s">
        <v>11</v>
      </c>
      <c r="E8080">
        <v>28</v>
      </c>
      <c r="F8080" s="2">
        <f>DATE(2026,IF(Tabla1[[#This Row],[Mes de Fecha]]="Septiembre",9,10),Tabla1[[#This Row],[Día de Fecha]])</f>
        <v>46293</v>
      </c>
      <c r="I8080">
        <v>0</v>
      </c>
      <c r="J8080" s="1">
        <v>4646200</v>
      </c>
      <c r="K8080">
        <v>0</v>
      </c>
    </row>
    <row r="8081" spans="1:11" x14ac:dyDescent="0.25">
      <c r="A8081" t="s">
        <v>326</v>
      </c>
      <c r="B8081" t="s">
        <v>812</v>
      </c>
      <c r="C8081" t="s">
        <v>873</v>
      </c>
      <c r="D8081" t="s">
        <v>11</v>
      </c>
      <c r="E8081">
        <v>28</v>
      </c>
      <c r="F8081" s="2">
        <f>DATE(2026,IF(Tabla1[[#This Row],[Mes de Fecha]]="Septiembre",9,10),Tabla1[[#This Row],[Día de Fecha]])</f>
        <v>46293</v>
      </c>
      <c r="G8081">
        <v>1006410542</v>
      </c>
      <c r="H8081" t="s">
        <v>816</v>
      </c>
      <c r="I8081">
        <v>3</v>
      </c>
      <c r="J8081">
        <v>0</v>
      </c>
      <c r="K8081" s="1">
        <v>167899</v>
      </c>
    </row>
    <row r="8082" spans="1:11" x14ac:dyDescent="0.25">
      <c r="A8082" t="s">
        <v>326</v>
      </c>
      <c r="B8082" t="s">
        <v>812</v>
      </c>
      <c r="C8082" t="s">
        <v>873</v>
      </c>
      <c r="D8082" t="s">
        <v>11</v>
      </c>
      <c r="E8082">
        <v>28</v>
      </c>
      <c r="F8082" s="2">
        <f>DATE(2026,IF(Tabla1[[#This Row],[Mes de Fecha]]="Septiembre",9,10),Tabla1[[#This Row],[Día de Fecha]])</f>
        <v>46293</v>
      </c>
      <c r="G8082">
        <v>1033486789</v>
      </c>
      <c r="H8082" t="s">
        <v>538</v>
      </c>
      <c r="I8082">
        <v>53</v>
      </c>
      <c r="J8082">
        <v>0</v>
      </c>
      <c r="K8082" s="1">
        <v>2711891</v>
      </c>
    </row>
    <row r="8083" spans="1:11" x14ac:dyDescent="0.25">
      <c r="A8083" t="s">
        <v>326</v>
      </c>
      <c r="B8083" t="s">
        <v>812</v>
      </c>
      <c r="C8083" t="s">
        <v>873</v>
      </c>
      <c r="D8083" t="s">
        <v>11</v>
      </c>
      <c r="E8083">
        <v>28</v>
      </c>
      <c r="F8083" s="2">
        <f>DATE(2026,IF(Tabla1[[#This Row],[Mes de Fecha]]="Septiembre",9,10),Tabla1[[#This Row],[Día de Fecha]])</f>
        <v>46293</v>
      </c>
      <c r="G8083">
        <v>1053836534</v>
      </c>
      <c r="H8083" t="s">
        <v>813</v>
      </c>
      <c r="I8083">
        <v>49</v>
      </c>
      <c r="J8083">
        <v>0</v>
      </c>
      <c r="K8083" s="1">
        <v>2469581</v>
      </c>
    </row>
    <row r="8084" spans="1:11" x14ac:dyDescent="0.25">
      <c r="A8084" t="s">
        <v>326</v>
      </c>
      <c r="B8084" t="s">
        <v>812</v>
      </c>
      <c r="C8084" t="s">
        <v>873</v>
      </c>
      <c r="D8084" t="s">
        <v>11</v>
      </c>
      <c r="E8084">
        <v>29</v>
      </c>
      <c r="F8084" s="2">
        <f>DATE(2026,IF(Tabla1[[#This Row],[Mes de Fecha]]="Septiembre",9,10),Tabla1[[#This Row],[Día de Fecha]])</f>
        <v>46294</v>
      </c>
      <c r="I8084">
        <v>0</v>
      </c>
      <c r="J8084" s="1">
        <v>4963050</v>
      </c>
      <c r="K8084">
        <v>0</v>
      </c>
    </row>
    <row r="8085" spans="1:11" x14ac:dyDescent="0.25">
      <c r="A8085" t="s">
        <v>326</v>
      </c>
      <c r="B8085" t="s">
        <v>812</v>
      </c>
      <c r="C8085" t="s">
        <v>873</v>
      </c>
      <c r="D8085" t="s">
        <v>11</v>
      </c>
      <c r="E8085">
        <v>29</v>
      </c>
      <c r="F8085" s="2">
        <f>DATE(2026,IF(Tabla1[[#This Row],[Mes de Fecha]]="Septiembre",9,10),Tabla1[[#This Row],[Día de Fecha]])</f>
        <v>46294</v>
      </c>
      <c r="G8085">
        <v>1006410542</v>
      </c>
      <c r="H8085" t="s">
        <v>816</v>
      </c>
      <c r="I8085">
        <v>33</v>
      </c>
      <c r="J8085">
        <v>0</v>
      </c>
      <c r="K8085" s="1">
        <v>1644792</v>
      </c>
    </row>
    <row r="8086" spans="1:11" x14ac:dyDescent="0.25">
      <c r="A8086" t="s">
        <v>326</v>
      </c>
      <c r="B8086" t="s">
        <v>812</v>
      </c>
      <c r="C8086" t="s">
        <v>873</v>
      </c>
      <c r="D8086" t="s">
        <v>11</v>
      </c>
      <c r="E8086">
        <v>29</v>
      </c>
      <c r="F8086" s="2">
        <f>DATE(2026,IF(Tabla1[[#This Row],[Mes de Fecha]]="Septiembre",9,10),Tabla1[[#This Row],[Día de Fecha]])</f>
        <v>46294</v>
      </c>
      <c r="G8086">
        <v>1033486789</v>
      </c>
      <c r="H8086" t="s">
        <v>538</v>
      </c>
      <c r="I8086">
        <v>29</v>
      </c>
      <c r="J8086">
        <v>0</v>
      </c>
      <c r="K8086" s="1">
        <v>1469160</v>
      </c>
    </row>
    <row r="8087" spans="1:11" x14ac:dyDescent="0.25">
      <c r="A8087" t="s">
        <v>326</v>
      </c>
      <c r="B8087" t="s">
        <v>812</v>
      </c>
      <c r="C8087" t="s">
        <v>873</v>
      </c>
      <c r="D8087" t="s">
        <v>11</v>
      </c>
      <c r="E8087">
        <v>29</v>
      </c>
      <c r="F8087" s="2">
        <f>DATE(2026,IF(Tabla1[[#This Row],[Mes de Fecha]]="Septiembre",9,10),Tabla1[[#This Row],[Día de Fecha]])</f>
        <v>46294</v>
      </c>
      <c r="G8087">
        <v>1053836534</v>
      </c>
      <c r="H8087" t="s">
        <v>813</v>
      </c>
      <c r="I8087">
        <v>40</v>
      </c>
      <c r="J8087">
        <v>0</v>
      </c>
      <c r="K8087" s="1">
        <v>2262861</v>
      </c>
    </row>
    <row r="8088" spans="1:11" x14ac:dyDescent="0.25">
      <c r="A8088" t="s">
        <v>326</v>
      </c>
      <c r="B8088" t="s">
        <v>812</v>
      </c>
      <c r="C8088" t="s">
        <v>873</v>
      </c>
      <c r="D8088" t="s">
        <v>11</v>
      </c>
      <c r="E8088">
        <v>30</v>
      </c>
      <c r="F8088" s="2">
        <f>DATE(2026,IF(Tabla1[[#This Row],[Mes de Fecha]]="Septiembre",9,10),Tabla1[[#This Row],[Día de Fecha]])</f>
        <v>46295</v>
      </c>
      <c r="I8088">
        <v>0</v>
      </c>
      <c r="J8088" s="1">
        <v>5126920</v>
      </c>
      <c r="K8088">
        <v>0</v>
      </c>
    </row>
    <row r="8089" spans="1:11" x14ac:dyDescent="0.25">
      <c r="A8089" t="s">
        <v>326</v>
      </c>
      <c r="B8089" t="s">
        <v>812</v>
      </c>
      <c r="C8089" t="s">
        <v>873</v>
      </c>
      <c r="D8089" t="s">
        <v>11</v>
      </c>
      <c r="E8089">
        <v>30</v>
      </c>
      <c r="F8089" s="2">
        <f>DATE(2026,IF(Tabla1[[#This Row],[Mes de Fecha]]="Septiembre",9,10),Tabla1[[#This Row],[Día de Fecha]])</f>
        <v>46295</v>
      </c>
      <c r="G8089">
        <v>1006410542</v>
      </c>
      <c r="H8089" t="s">
        <v>816</v>
      </c>
      <c r="I8089">
        <v>50</v>
      </c>
      <c r="J8089">
        <v>0</v>
      </c>
      <c r="K8089" s="1">
        <v>2719499</v>
      </c>
    </row>
    <row r="8090" spans="1:11" x14ac:dyDescent="0.25">
      <c r="A8090" t="s">
        <v>326</v>
      </c>
      <c r="B8090" t="s">
        <v>812</v>
      </c>
      <c r="C8090" t="s">
        <v>873</v>
      </c>
      <c r="D8090" t="s">
        <v>11</v>
      </c>
      <c r="E8090">
        <v>30</v>
      </c>
      <c r="F8090" s="2">
        <f>DATE(2026,IF(Tabla1[[#This Row],[Mes de Fecha]]="Septiembre",9,10),Tabla1[[#This Row],[Día de Fecha]])</f>
        <v>46295</v>
      </c>
      <c r="G8090">
        <v>1033486789</v>
      </c>
      <c r="H8090" t="s">
        <v>538</v>
      </c>
      <c r="I8090">
        <v>51</v>
      </c>
      <c r="J8090">
        <v>0</v>
      </c>
      <c r="K8090" s="1">
        <v>3281295</v>
      </c>
    </row>
    <row r="8091" spans="1:11" x14ac:dyDescent="0.25">
      <c r="A8091" t="s">
        <v>326</v>
      </c>
      <c r="B8091" t="s">
        <v>812</v>
      </c>
      <c r="C8091" t="s">
        <v>873</v>
      </c>
      <c r="D8091" t="s">
        <v>11</v>
      </c>
      <c r="E8091">
        <v>30</v>
      </c>
      <c r="F8091" s="2">
        <f>DATE(2026,IF(Tabla1[[#This Row],[Mes de Fecha]]="Septiembre",9,10),Tabla1[[#This Row],[Día de Fecha]])</f>
        <v>46295</v>
      </c>
      <c r="G8091">
        <v>1053836534</v>
      </c>
      <c r="H8091" t="s">
        <v>813</v>
      </c>
      <c r="I8091">
        <v>1</v>
      </c>
      <c r="J8091">
        <v>0</v>
      </c>
      <c r="K8091" s="1">
        <v>37773</v>
      </c>
    </row>
    <row r="8092" spans="1:11" x14ac:dyDescent="0.25">
      <c r="A8092" t="s">
        <v>326</v>
      </c>
      <c r="B8092" t="s">
        <v>812</v>
      </c>
      <c r="C8092" t="s">
        <v>873</v>
      </c>
      <c r="D8092" t="s">
        <v>14</v>
      </c>
      <c r="E8092">
        <v>1</v>
      </c>
      <c r="F8092" s="2">
        <f>DATE(2026,IF(Tabla1[[#This Row],[Mes de Fecha]]="Septiembre",9,10),Tabla1[[#This Row],[Día de Fecha]])</f>
        <v>46296</v>
      </c>
      <c r="I8092">
        <v>0</v>
      </c>
      <c r="J8092" s="1">
        <v>5056310</v>
      </c>
      <c r="K8092">
        <v>0</v>
      </c>
    </row>
    <row r="8093" spans="1:11" x14ac:dyDescent="0.25">
      <c r="A8093" t="s">
        <v>326</v>
      </c>
      <c r="B8093" t="s">
        <v>812</v>
      </c>
      <c r="C8093" t="s">
        <v>873</v>
      </c>
      <c r="D8093" t="s">
        <v>14</v>
      </c>
      <c r="E8093">
        <v>1</v>
      </c>
      <c r="F8093" s="2">
        <f>DATE(2026,IF(Tabla1[[#This Row],[Mes de Fecha]]="Septiembre",9,10),Tabla1[[#This Row],[Día de Fecha]])</f>
        <v>46296</v>
      </c>
      <c r="G8093">
        <v>1002546365</v>
      </c>
      <c r="H8093" t="s">
        <v>817</v>
      </c>
      <c r="I8093">
        <v>27</v>
      </c>
      <c r="J8093">
        <v>0</v>
      </c>
      <c r="K8093" s="1">
        <v>1440002</v>
      </c>
    </row>
    <row r="8094" spans="1:11" x14ac:dyDescent="0.25">
      <c r="A8094" t="s">
        <v>326</v>
      </c>
      <c r="B8094" t="s">
        <v>812</v>
      </c>
      <c r="C8094" t="s">
        <v>873</v>
      </c>
      <c r="D8094" t="s">
        <v>14</v>
      </c>
      <c r="E8094">
        <v>1</v>
      </c>
      <c r="F8094" s="2">
        <f>DATE(2026,IF(Tabla1[[#This Row],[Mes de Fecha]]="Septiembre",9,10),Tabla1[[#This Row],[Día de Fecha]])</f>
        <v>46296</v>
      </c>
      <c r="G8094">
        <v>1006410542</v>
      </c>
      <c r="H8094" t="s">
        <v>816</v>
      </c>
      <c r="I8094">
        <v>36</v>
      </c>
      <c r="J8094">
        <v>0</v>
      </c>
      <c r="K8094" s="1">
        <v>2378698</v>
      </c>
    </row>
    <row r="8095" spans="1:11" x14ac:dyDescent="0.25">
      <c r="A8095" t="s">
        <v>326</v>
      </c>
      <c r="B8095" t="s">
        <v>812</v>
      </c>
      <c r="C8095" t="s">
        <v>873</v>
      </c>
      <c r="D8095" t="s">
        <v>14</v>
      </c>
      <c r="E8095">
        <v>1</v>
      </c>
      <c r="F8095" s="2">
        <f>DATE(2026,IF(Tabla1[[#This Row],[Mes de Fecha]]="Septiembre",9,10),Tabla1[[#This Row],[Día de Fecha]])</f>
        <v>46296</v>
      </c>
      <c r="G8095">
        <v>1053836534</v>
      </c>
      <c r="H8095" t="s">
        <v>813</v>
      </c>
      <c r="I8095">
        <v>27</v>
      </c>
      <c r="J8095">
        <v>0</v>
      </c>
      <c r="K8095" s="1">
        <v>1591178</v>
      </c>
    </row>
    <row r="8096" spans="1:11" x14ac:dyDescent="0.25">
      <c r="A8096" t="s">
        <v>326</v>
      </c>
      <c r="B8096" t="s">
        <v>812</v>
      </c>
      <c r="C8096" t="s">
        <v>873</v>
      </c>
      <c r="D8096" t="s">
        <v>14</v>
      </c>
      <c r="E8096">
        <v>2</v>
      </c>
      <c r="F8096" s="2">
        <f>DATE(2026,IF(Tabla1[[#This Row],[Mes de Fecha]]="Septiembre",9,10),Tabla1[[#This Row],[Día de Fecha]])</f>
        <v>46297</v>
      </c>
      <c r="I8096">
        <v>0</v>
      </c>
      <c r="J8096" s="1">
        <v>5805214</v>
      </c>
      <c r="K8096">
        <v>0</v>
      </c>
    </row>
    <row r="8097" spans="1:11" x14ac:dyDescent="0.25">
      <c r="A8097" t="s">
        <v>326</v>
      </c>
      <c r="B8097" t="s">
        <v>812</v>
      </c>
      <c r="C8097" t="s">
        <v>873</v>
      </c>
      <c r="D8097" t="s">
        <v>14</v>
      </c>
      <c r="E8097">
        <v>2</v>
      </c>
      <c r="F8097" s="2">
        <f>DATE(2026,IF(Tabla1[[#This Row],[Mes de Fecha]]="Septiembre",9,10),Tabla1[[#This Row],[Día de Fecha]])</f>
        <v>46297</v>
      </c>
      <c r="G8097">
        <v>1002546365</v>
      </c>
      <c r="H8097" t="s">
        <v>817</v>
      </c>
      <c r="I8097">
        <v>58</v>
      </c>
      <c r="J8097">
        <v>0</v>
      </c>
      <c r="K8097" s="1">
        <v>3207480</v>
      </c>
    </row>
    <row r="8098" spans="1:11" x14ac:dyDescent="0.25">
      <c r="A8098" t="s">
        <v>326</v>
      </c>
      <c r="B8098" t="s">
        <v>812</v>
      </c>
      <c r="C8098" t="s">
        <v>873</v>
      </c>
      <c r="D8098" t="s">
        <v>14</v>
      </c>
      <c r="E8098">
        <v>2</v>
      </c>
      <c r="F8098" s="2">
        <f>DATE(2026,IF(Tabla1[[#This Row],[Mes de Fecha]]="Septiembre",9,10),Tabla1[[#This Row],[Día de Fecha]])</f>
        <v>46297</v>
      </c>
      <c r="G8098">
        <v>1006410542</v>
      </c>
      <c r="H8098" t="s">
        <v>816</v>
      </c>
      <c r="I8098">
        <v>45</v>
      </c>
      <c r="J8098">
        <v>0</v>
      </c>
      <c r="K8098" s="1">
        <v>2794204</v>
      </c>
    </row>
    <row r="8099" spans="1:11" x14ac:dyDescent="0.25">
      <c r="A8099" t="s">
        <v>326</v>
      </c>
      <c r="B8099" t="s">
        <v>812</v>
      </c>
      <c r="C8099" t="s">
        <v>873</v>
      </c>
      <c r="D8099" t="s">
        <v>14</v>
      </c>
      <c r="E8099">
        <v>2</v>
      </c>
      <c r="F8099" s="2">
        <f>DATE(2026,IF(Tabla1[[#This Row],[Mes de Fecha]]="Septiembre",9,10),Tabla1[[#This Row],[Día de Fecha]])</f>
        <v>46297</v>
      </c>
      <c r="G8099">
        <v>1033486789</v>
      </c>
      <c r="H8099" t="s">
        <v>538</v>
      </c>
      <c r="I8099">
        <v>35</v>
      </c>
      <c r="J8099">
        <v>0</v>
      </c>
      <c r="K8099" s="1">
        <v>2029960</v>
      </c>
    </row>
    <row r="8100" spans="1:11" x14ac:dyDescent="0.25">
      <c r="A8100" t="s">
        <v>326</v>
      </c>
      <c r="B8100" t="s">
        <v>812</v>
      </c>
      <c r="C8100" t="s">
        <v>873</v>
      </c>
      <c r="D8100" t="s">
        <v>14</v>
      </c>
      <c r="E8100">
        <v>2</v>
      </c>
      <c r="F8100" s="2">
        <f>DATE(2026,IF(Tabla1[[#This Row],[Mes de Fecha]]="Septiembre",9,10),Tabla1[[#This Row],[Día de Fecha]])</f>
        <v>46297</v>
      </c>
      <c r="G8100">
        <v>1053836534</v>
      </c>
      <c r="H8100" t="s">
        <v>813</v>
      </c>
      <c r="I8100">
        <v>36</v>
      </c>
      <c r="J8100">
        <v>0</v>
      </c>
      <c r="K8100" s="1">
        <v>1884959</v>
      </c>
    </row>
    <row r="8101" spans="1:11" x14ac:dyDescent="0.25">
      <c r="A8101" t="s">
        <v>326</v>
      </c>
      <c r="B8101" t="s">
        <v>812</v>
      </c>
      <c r="C8101" t="s">
        <v>873</v>
      </c>
      <c r="D8101" t="s">
        <v>14</v>
      </c>
      <c r="E8101">
        <v>3</v>
      </c>
      <c r="F8101" s="2">
        <f>DATE(2026,IF(Tabla1[[#This Row],[Mes de Fecha]]="Septiembre",9,10),Tabla1[[#This Row],[Día de Fecha]])</f>
        <v>46298</v>
      </c>
      <c r="I8101">
        <v>0</v>
      </c>
      <c r="J8101" s="1">
        <v>11543468</v>
      </c>
      <c r="K8101">
        <v>0</v>
      </c>
    </row>
    <row r="8102" spans="1:11" x14ac:dyDescent="0.25">
      <c r="A8102" t="s">
        <v>326</v>
      </c>
      <c r="B8102" t="s">
        <v>812</v>
      </c>
      <c r="C8102" t="s">
        <v>873</v>
      </c>
      <c r="D8102" t="s">
        <v>14</v>
      </c>
      <c r="E8102">
        <v>3</v>
      </c>
      <c r="F8102" s="2">
        <f>DATE(2026,IF(Tabla1[[#This Row],[Mes de Fecha]]="Septiembre",9,10),Tabla1[[#This Row],[Día de Fecha]])</f>
        <v>46298</v>
      </c>
      <c r="G8102">
        <v>1002546365</v>
      </c>
      <c r="H8102" t="s">
        <v>817</v>
      </c>
      <c r="I8102">
        <v>52</v>
      </c>
      <c r="J8102">
        <v>0</v>
      </c>
      <c r="K8102" s="1">
        <v>2756541</v>
      </c>
    </row>
    <row r="8103" spans="1:11" x14ac:dyDescent="0.25">
      <c r="A8103" t="s">
        <v>326</v>
      </c>
      <c r="B8103" t="s">
        <v>812</v>
      </c>
      <c r="C8103" t="s">
        <v>873</v>
      </c>
      <c r="D8103" t="s">
        <v>14</v>
      </c>
      <c r="E8103">
        <v>3</v>
      </c>
      <c r="F8103" s="2">
        <f>DATE(2026,IF(Tabla1[[#This Row],[Mes de Fecha]]="Septiembre",9,10),Tabla1[[#This Row],[Día de Fecha]])</f>
        <v>46298</v>
      </c>
      <c r="G8103">
        <v>1006410542</v>
      </c>
      <c r="H8103" t="s">
        <v>816</v>
      </c>
      <c r="I8103">
        <v>49</v>
      </c>
      <c r="J8103">
        <v>0</v>
      </c>
      <c r="K8103" s="1">
        <v>2648321</v>
      </c>
    </row>
    <row r="8104" spans="1:11" x14ac:dyDescent="0.25">
      <c r="A8104" t="s">
        <v>326</v>
      </c>
      <c r="B8104" t="s">
        <v>812</v>
      </c>
      <c r="C8104" t="s">
        <v>873</v>
      </c>
      <c r="D8104" t="s">
        <v>14</v>
      </c>
      <c r="E8104">
        <v>3</v>
      </c>
      <c r="F8104" s="2">
        <f>DATE(2026,IF(Tabla1[[#This Row],[Mes de Fecha]]="Septiembre",9,10),Tabla1[[#This Row],[Día de Fecha]])</f>
        <v>46298</v>
      </c>
      <c r="G8104">
        <v>1033486789</v>
      </c>
      <c r="H8104" t="s">
        <v>538</v>
      </c>
      <c r="I8104">
        <v>37</v>
      </c>
      <c r="J8104">
        <v>0</v>
      </c>
      <c r="K8104" s="1">
        <v>1830003</v>
      </c>
    </row>
    <row r="8105" spans="1:11" x14ac:dyDescent="0.25">
      <c r="A8105" t="s">
        <v>326</v>
      </c>
      <c r="B8105" t="s">
        <v>812</v>
      </c>
      <c r="C8105" t="s">
        <v>873</v>
      </c>
      <c r="D8105" t="s">
        <v>14</v>
      </c>
      <c r="E8105">
        <v>3</v>
      </c>
      <c r="F8105" s="2">
        <f>DATE(2026,IF(Tabla1[[#This Row],[Mes de Fecha]]="Septiembre",9,10),Tabla1[[#This Row],[Día de Fecha]])</f>
        <v>46298</v>
      </c>
      <c r="G8105">
        <v>1053836534</v>
      </c>
      <c r="H8105" t="s">
        <v>813</v>
      </c>
      <c r="I8105">
        <v>48</v>
      </c>
      <c r="J8105">
        <v>0</v>
      </c>
      <c r="K8105" s="1">
        <v>2687018</v>
      </c>
    </row>
    <row r="8106" spans="1:11" x14ac:dyDescent="0.25">
      <c r="A8106" t="s">
        <v>326</v>
      </c>
      <c r="B8106" t="s">
        <v>812</v>
      </c>
      <c r="C8106" t="s">
        <v>873</v>
      </c>
      <c r="D8106" t="s">
        <v>14</v>
      </c>
      <c r="E8106">
        <v>3</v>
      </c>
      <c r="F8106" s="2">
        <f>DATE(2026,IF(Tabla1[[#This Row],[Mes de Fecha]]="Septiembre",9,10),Tabla1[[#This Row],[Día de Fecha]])</f>
        <v>46298</v>
      </c>
      <c r="G8106">
        <v>1074810079</v>
      </c>
      <c r="H8106" t="s">
        <v>814</v>
      </c>
      <c r="I8106">
        <v>-1</v>
      </c>
      <c r="J8106">
        <v>0</v>
      </c>
      <c r="K8106" s="1">
        <v>-75546</v>
      </c>
    </row>
    <row r="8107" spans="1:11" x14ac:dyDescent="0.25">
      <c r="A8107" t="s">
        <v>326</v>
      </c>
      <c r="B8107" t="s">
        <v>812</v>
      </c>
      <c r="C8107" t="s">
        <v>873</v>
      </c>
      <c r="D8107" t="s">
        <v>14</v>
      </c>
      <c r="E8107">
        <v>4</v>
      </c>
      <c r="F8107" s="2">
        <f>DATE(2026,IF(Tabla1[[#This Row],[Mes de Fecha]]="Septiembre",9,10),Tabla1[[#This Row],[Día de Fecha]])</f>
        <v>46299</v>
      </c>
      <c r="I8107">
        <v>0</v>
      </c>
      <c r="J8107" s="1">
        <v>4590931</v>
      </c>
      <c r="K8107">
        <v>0</v>
      </c>
    </row>
    <row r="8108" spans="1:11" x14ac:dyDescent="0.25">
      <c r="A8108" t="s">
        <v>326</v>
      </c>
      <c r="B8108" t="s">
        <v>812</v>
      </c>
      <c r="C8108" t="s">
        <v>873</v>
      </c>
      <c r="D8108" t="s">
        <v>14</v>
      </c>
      <c r="E8108">
        <v>4</v>
      </c>
      <c r="F8108" s="2">
        <f>DATE(2026,IF(Tabla1[[#This Row],[Mes de Fecha]]="Septiembre",9,10),Tabla1[[#This Row],[Día de Fecha]])</f>
        <v>46299</v>
      </c>
      <c r="G8108">
        <v>1002546365</v>
      </c>
      <c r="H8108" t="s">
        <v>817</v>
      </c>
      <c r="I8108">
        <v>36</v>
      </c>
      <c r="J8108">
        <v>0</v>
      </c>
      <c r="K8108" s="1">
        <v>2008570</v>
      </c>
    </row>
    <row r="8109" spans="1:11" x14ac:dyDescent="0.25">
      <c r="A8109" t="s">
        <v>326</v>
      </c>
      <c r="B8109" t="s">
        <v>812</v>
      </c>
      <c r="C8109" t="s">
        <v>873</v>
      </c>
      <c r="D8109" t="s">
        <v>14</v>
      </c>
      <c r="E8109">
        <v>4</v>
      </c>
      <c r="F8109" s="2">
        <f>DATE(2026,IF(Tabla1[[#This Row],[Mes de Fecha]]="Septiembre",9,10),Tabla1[[#This Row],[Día de Fecha]])</f>
        <v>46299</v>
      </c>
      <c r="G8109">
        <v>1006410542</v>
      </c>
      <c r="H8109" t="s">
        <v>816</v>
      </c>
      <c r="I8109">
        <v>36</v>
      </c>
      <c r="J8109">
        <v>0</v>
      </c>
      <c r="K8109" s="1">
        <v>1973025</v>
      </c>
    </row>
    <row r="8110" spans="1:11" x14ac:dyDescent="0.25">
      <c r="A8110" t="s">
        <v>326</v>
      </c>
      <c r="B8110" t="s">
        <v>812</v>
      </c>
      <c r="C8110" t="s">
        <v>873</v>
      </c>
      <c r="D8110" t="s">
        <v>14</v>
      </c>
      <c r="E8110">
        <v>4</v>
      </c>
      <c r="F8110" s="2">
        <f>DATE(2026,IF(Tabla1[[#This Row],[Mes de Fecha]]="Septiembre",9,10),Tabla1[[#This Row],[Día de Fecha]])</f>
        <v>46299</v>
      </c>
      <c r="G8110">
        <v>1033486789</v>
      </c>
      <c r="H8110" t="s">
        <v>538</v>
      </c>
      <c r="I8110">
        <v>48</v>
      </c>
      <c r="J8110">
        <v>0</v>
      </c>
      <c r="K8110" s="1">
        <v>2901175</v>
      </c>
    </row>
    <row r="8111" spans="1:11" x14ac:dyDescent="0.25">
      <c r="A8111" t="s">
        <v>326</v>
      </c>
      <c r="B8111" t="s">
        <v>812</v>
      </c>
      <c r="C8111" t="s">
        <v>873</v>
      </c>
      <c r="D8111" t="s">
        <v>14</v>
      </c>
      <c r="E8111">
        <v>4</v>
      </c>
      <c r="F8111" s="2">
        <f>DATE(2026,IF(Tabla1[[#This Row],[Mes de Fecha]]="Septiembre",9,10),Tabla1[[#This Row],[Día de Fecha]])</f>
        <v>46299</v>
      </c>
      <c r="G8111">
        <v>1053836534</v>
      </c>
      <c r="H8111" t="s">
        <v>813</v>
      </c>
      <c r="I8111">
        <v>44</v>
      </c>
      <c r="J8111">
        <v>0</v>
      </c>
      <c r="K8111" s="1">
        <v>2228781</v>
      </c>
    </row>
    <row r="8112" spans="1:11" x14ac:dyDescent="0.25">
      <c r="A8112" t="s">
        <v>326</v>
      </c>
      <c r="B8112" t="s">
        <v>812</v>
      </c>
      <c r="C8112" t="s">
        <v>873</v>
      </c>
      <c r="D8112" t="s">
        <v>14</v>
      </c>
      <c r="E8112">
        <v>5</v>
      </c>
      <c r="F8112" s="2">
        <f>DATE(2026,IF(Tabla1[[#This Row],[Mes de Fecha]]="Septiembre",9,10),Tabla1[[#This Row],[Día de Fecha]])</f>
        <v>46300</v>
      </c>
      <c r="I8112">
        <v>0</v>
      </c>
      <c r="J8112" s="1">
        <v>3868858</v>
      </c>
      <c r="K8112">
        <v>0</v>
      </c>
    </row>
    <row r="8113" spans="1:11" x14ac:dyDescent="0.25">
      <c r="A8113" t="s">
        <v>326</v>
      </c>
      <c r="B8113" t="s">
        <v>812</v>
      </c>
      <c r="C8113" t="s">
        <v>873</v>
      </c>
      <c r="D8113" t="s">
        <v>14</v>
      </c>
      <c r="E8113">
        <v>5</v>
      </c>
      <c r="F8113" s="2">
        <f>DATE(2026,IF(Tabla1[[#This Row],[Mes de Fecha]]="Septiembre",9,10),Tabla1[[#This Row],[Día de Fecha]])</f>
        <v>46300</v>
      </c>
      <c r="G8113">
        <v>1002546365</v>
      </c>
      <c r="H8113" t="s">
        <v>817</v>
      </c>
      <c r="I8113">
        <v>30</v>
      </c>
      <c r="J8113">
        <v>0</v>
      </c>
      <c r="K8113" s="1">
        <v>1494371</v>
      </c>
    </row>
    <row r="8114" spans="1:11" x14ac:dyDescent="0.25">
      <c r="A8114" t="s">
        <v>326</v>
      </c>
      <c r="B8114" t="s">
        <v>812</v>
      </c>
      <c r="C8114" t="s">
        <v>873</v>
      </c>
      <c r="D8114" t="s">
        <v>14</v>
      </c>
      <c r="E8114">
        <v>5</v>
      </c>
      <c r="F8114" s="2">
        <f>DATE(2026,IF(Tabla1[[#This Row],[Mes de Fecha]]="Septiembre",9,10),Tabla1[[#This Row],[Día de Fecha]])</f>
        <v>46300</v>
      </c>
      <c r="G8114">
        <v>1006410542</v>
      </c>
      <c r="H8114" t="s">
        <v>816</v>
      </c>
      <c r="I8114">
        <v>25</v>
      </c>
      <c r="J8114">
        <v>0</v>
      </c>
      <c r="K8114" s="1">
        <v>1561935</v>
      </c>
    </row>
    <row r="8115" spans="1:11" x14ac:dyDescent="0.25">
      <c r="A8115" t="s">
        <v>326</v>
      </c>
      <c r="B8115" t="s">
        <v>812</v>
      </c>
      <c r="C8115" t="s">
        <v>873</v>
      </c>
      <c r="D8115" t="s">
        <v>14</v>
      </c>
      <c r="E8115">
        <v>5</v>
      </c>
      <c r="F8115" s="2">
        <f>DATE(2026,IF(Tabla1[[#This Row],[Mes de Fecha]]="Septiembre",9,10),Tabla1[[#This Row],[Día de Fecha]])</f>
        <v>46300</v>
      </c>
      <c r="G8115">
        <v>1033486789</v>
      </c>
      <c r="H8115" t="s">
        <v>538</v>
      </c>
      <c r="I8115">
        <v>15</v>
      </c>
      <c r="J8115">
        <v>0</v>
      </c>
      <c r="K8115" s="1">
        <v>873279</v>
      </c>
    </row>
    <row r="8116" spans="1:11" x14ac:dyDescent="0.25">
      <c r="A8116" t="s">
        <v>326</v>
      </c>
      <c r="B8116" t="s">
        <v>812</v>
      </c>
      <c r="C8116" t="s">
        <v>873</v>
      </c>
      <c r="D8116" t="s">
        <v>14</v>
      </c>
      <c r="E8116">
        <v>5</v>
      </c>
      <c r="F8116" s="2">
        <f>DATE(2026,IF(Tabla1[[#This Row],[Mes de Fecha]]="Septiembre",9,10),Tabla1[[#This Row],[Día de Fecha]])</f>
        <v>46300</v>
      </c>
      <c r="G8116">
        <v>1053836534</v>
      </c>
      <c r="H8116" t="s">
        <v>813</v>
      </c>
      <c r="I8116">
        <v>-2</v>
      </c>
      <c r="J8116">
        <v>0</v>
      </c>
      <c r="K8116" s="1">
        <v>-104958</v>
      </c>
    </row>
    <row r="8117" spans="1:11" x14ac:dyDescent="0.25">
      <c r="A8117" t="s">
        <v>326</v>
      </c>
      <c r="B8117" t="s">
        <v>812</v>
      </c>
      <c r="C8117" t="s">
        <v>873</v>
      </c>
      <c r="D8117" t="s">
        <v>14</v>
      </c>
      <c r="E8117">
        <v>5</v>
      </c>
      <c r="F8117" s="2">
        <f>DATE(2026,IF(Tabla1[[#This Row],[Mes de Fecha]]="Septiembre",9,10),Tabla1[[#This Row],[Día de Fecha]])</f>
        <v>46300</v>
      </c>
      <c r="G8117">
        <v>1088286603</v>
      </c>
      <c r="H8117" t="s">
        <v>500</v>
      </c>
      <c r="I8117">
        <v>-1</v>
      </c>
      <c r="J8117">
        <v>0</v>
      </c>
      <c r="K8117" s="1">
        <v>-71386</v>
      </c>
    </row>
    <row r="8118" spans="1:11" x14ac:dyDescent="0.25">
      <c r="A8118" t="s">
        <v>326</v>
      </c>
      <c r="B8118" t="s">
        <v>812</v>
      </c>
      <c r="C8118" t="s">
        <v>873</v>
      </c>
      <c r="D8118" t="s">
        <v>14</v>
      </c>
      <c r="E8118">
        <v>6</v>
      </c>
      <c r="F8118" s="2">
        <f>DATE(2026,IF(Tabla1[[#This Row],[Mes de Fecha]]="Septiembre",9,10),Tabla1[[#This Row],[Día de Fecha]])</f>
        <v>46301</v>
      </c>
      <c r="I8118">
        <v>0</v>
      </c>
      <c r="J8118" s="1">
        <v>2116006</v>
      </c>
      <c r="K8118">
        <v>0</v>
      </c>
    </row>
    <row r="8119" spans="1:11" x14ac:dyDescent="0.25">
      <c r="A8119" t="s">
        <v>326</v>
      </c>
      <c r="B8119" t="s">
        <v>812</v>
      </c>
      <c r="C8119" t="s">
        <v>873</v>
      </c>
      <c r="D8119" t="s">
        <v>14</v>
      </c>
      <c r="E8119">
        <v>6</v>
      </c>
      <c r="F8119" s="2">
        <f>DATE(2026,IF(Tabla1[[#This Row],[Mes de Fecha]]="Septiembre",9,10),Tabla1[[#This Row],[Día de Fecha]])</f>
        <v>46301</v>
      </c>
      <c r="G8119">
        <v>1002546365</v>
      </c>
      <c r="H8119" t="s">
        <v>817</v>
      </c>
      <c r="I8119">
        <v>19</v>
      </c>
      <c r="J8119">
        <v>0</v>
      </c>
      <c r="K8119" s="1">
        <v>959202</v>
      </c>
    </row>
    <row r="8120" spans="1:11" x14ac:dyDescent="0.25">
      <c r="A8120" t="s">
        <v>326</v>
      </c>
      <c r="B8120" t="s">
        <v>812</v>
      </c>
      <c r="C8120" t="s">
        <v>873</v>
      </c>
      <c r="D8120" t="s">
        <v>14</v>
      </c>
      <c r="E8120">
        <v>6</v>
      </c>
      <c r="F8120" s="2">
        <f>DATE(2026,IF(Tabla1[[#This Row],[Mes de Fecha]]="Septiembre",9,10),Tabla1[[#This Row],[Día de Fecha]])</f>
        <v>46301</v>
      </c>
      <c r="G8120">
        <v>1006410542</v>
      </c>
      <c r="H8120" t="s">
        <v>816</v>
      </c>
      <c r="I8120">
        <v>18</v>
      </c>
      <c r="J8120">
        <v>0</v>
      </c>
      <c r="K8120" s="1">
        <v>1003363</v>
      </c>
    </row>
    <row r="8121" spans="1:11" x14ac:dyDescent="0.25">
      <c r="A8121" t="s">
        <v>326</v>
      </c>
      <c r="B8121" t="s">
        <v>812</v>
      </c>
      <c r="C8121" t="s">
        <v>873</v>
      </c>
      <c r="D8121" t="s">
        <v>14</v>
      </c>
      <c r="E8121">
        <v>6</v>
      </c>
      <c r="F8121" s="2">
        <f>DATE(2026,IF(Tabla1[[#This Row],[Mes de Fecha]]="Septiembre",9,10),Tabla1[[#This Row],[Día de Fecha]])</f>
        <v>46301</v>
      </c>
      <c r="G8121">
        <v>1053836534</v>
      </c>
      <c r="H8121" t="s">
        <v>813</v>
      </c>
      <c r="I8121">
        <v>9</v>
      </c>
      <c r="J8121">
        <v>0</v>
      </c>
      <c r="K8121" s="1">
        <v>478615</v>
      </c>
    </row>
    <row r="8122" spans="1:11" x14ac:dyDescent="0.25">
      <c r="A8122" t="s">
        <v>326</v>
      </c>
      <c r="B8122" t="s">
        <v>812</v>
      </c>
      <c r="C8122" t="s">
        <v>873</v>
      </c>
      <c r="D8122" t="s">
        <v>14</v>
      </c>
      <c r="E8122">
        <v>7</v>
      </c>
      <c r="F8122" s="2">
        <f>DATE(2026,IF(Tabla1[[#This Row],[Mes de Fecha]]="Septiembre",9,10),Tabla1[[#This Row],[Día de Fecha]])</f>
        <v>46302</v>
      </c>
      <c r="I8122">
        <v>0</v>
      </c>
      <c r="J8122" s="1">
        <v>2088164</v>
      </c>
      <c r="K8122">
        <v>0</v>
      </c>
    </row>
    <row r="8123" spans="1:11" x14ac:dyDescent="0.25">
      <c r="A8123" t="s">
        <v>326</v>
      </c>
      <c r="B8123" t="s">
        <v>812</v>
      </c>
      <c r="C8123" t="s">
        <v>873</v>
      </c>
      <c r="D8123" t="s">
        <v>14</v>
      </c>
      <c r="E8123">
        <v>7</v>
      </c>
      <c r="F8123" s="2">
        <f>DATE(2026,IF(Tabla1[[#This Row],[Mes de Fecha]]="Septiembre",9,10),Tabla1[[#This Row],[Día de Fecha]])</f>
        <v>46302</v>
      </c>
      <c r="G8123">
        <v>1002546365</v>
      </c>
      <c r="H8123" t="s">
        <v>817</v>
      </c>
      <c r="I8123">
        <v>15</v>
      </c>
      <c r="J8123">
        <v>0</v>
      </c>
      <c r="K8123" s="1">
        <v>822773</v>
      </c>
    </row>
    <row r="8124" spans="1:11" x14ac:dyDescent="0.25">
      <c r="A8124" t="s">
        <v>326</v>
      </c>
      <c r="B8124" t="s">
        <v>812</v>
      </c>
      <c r="C8124" t="s">
        <v>873</v>
      </c>
      <c r="D8124" t="s">
        <v>14</v>
      </c>
      <c r="E8124">
        <v>7</v>
      </c>
      <c r="F8124" s="2">
        <f>DATE(2026,IF(Tabla1[[#This Row],[Mes de Fecha]]="Septiembre",9,10),Tabla1[[#This Row],[Día de Fecha]])</f>
        <v>46302</v>
      </c>
      <c r="G8124">
        <v>1005654398</v>
      </c>
      <c r="H8124" t="s">
        <v>494</v>
      </c>
      <c r="I8124">
        <v>-3</v>
      </c>
      <c r="J8124">
        <v>0</v>
      </c>
      <c r="K8124" s="1">
        <v>-373823</v>
      </c>
    </row>
    <row r="8125" spans="1:11" x14ac:dyDescent="0.25">
      <c r="A8125" t="s">
        <v>326</v>
      </c>
      <c r="B8125" t="s">
        <v>812</v>
      </c>
      <c r="C8125" t="s">
        <v>873</v>
      </c>
      <c r="D8125" t="s">
        <v>14</v>
      </c>
      <c r="E8125">
        <v>7</v>
      </c>
      <c r="F8125" s="2">
        <f>DATE(2026,IF(Tabla1[[#This Row],[Mes de Fecha]]="Septiembre",9,10),Tabla1[[#This Row],[Día de Fecha]])</f>
        <v>46302</v>
      </c>
      <c r="G8125">
        <v>1006410542</v>
      </c>
      <c r="H8125" t="s">
        <v>816</v>
      </c>
      <c r="I8125">
        <v>14</v>
      </c>
      <c r="J8125">
        <v>0</v>
      </c>
      <c r="K8125" s="1">
        <v>801891</v>
      </c>
    </row>
    <row r="8126" spans="1:11" x14ac:dyDescent="0.25">
      <c r="A8126" t="s">
        <v>326</v>
      </c>
      <c r="B8126" t="s">
        <v>812</v>
      </c>
      <c r="C8126" t="s">
        <v>873</v>
      </c>
      <c r="D8126" t="s">
        <v>14</v>
      </c>
      <c r="E8126">
        <v>7</v>
      </c>
      <c r="F8126" s="2">
        <f>DATE(2026,IF(Tabla1[[#This Row],[Mes de Fecha]]="Septiembre",9,10),Tabla1[[#This Row],[Día de Fecha]])</f>
        <v>46302</v>
      </c>
      <c r="G8126">
        <v>1033486789</v>
      </c>
      <c r="H8126" t="s">
        <v>538</v>
      </c>
      <c r="I8126">
        <v>21</v>
      </c>
      <c r="J8126">
        <v>0</v>
      </c>
      <c r="K8126" s="1">
        <v>1246934</v>
      </c>
    </row>
    <row r="8127" spans="1:11" x14ac:dyDescent="0.25">
      <c r="A8127" t="s">
        <v>326</v>
      </c>
      <c r="B8127" t="s">
        <v>812</v>
      </c>
      <c r="C8127" t="s">
        <v>873</v>
      </c>
      <c r="D8127" t="s">
        <v>14</v>
      </c>
      <c r="E8127">
        <v>7</v>
      </c>
      <c r="F8127" s="2">
        <f>DATE(2026,IF(Tabla1[[#This Row],[Mes de Fecha]]="Septiembre",9,10),Tabla1[[#This Row],[Día de Fecha]])</f>
        <v>46302</v>
      </c>
      <c r="G8127">
        <v>1053836534</v>
      </c>
      <c r="H8127" t="s">
        <v>813</v>
      </c>
      <c r="I8127">
        <v>16</v>
      </c>
      <c r="J8127">
        <v>0</v>
      </c>
      <c r="K8127" s="1">
        <v>1137899</v>
      </c>
    </row>
    <row r="8128" spans="1:11" x14ac:dyDescent="0.25">
      <c r="A8128" t="s">
        <v>326</v>
      </c>
      <c r="B8128" t="s">
        <v>818</v>
      </c>
      <c r="C8128" t="s">
        <v>873</v>
      </c>
      <c r="D8128" t="s">
        <v>11</v>
      </c>
      <c r="E8128">
        <v>23</v>
      </c>
      <c r="F8128" s="2">
        <f>DATE(2026,IF(Tabla1[[#This Row],[Mes de Fecha]]="Septiembre",9,10),Tabla1[[#This Row],[Día de Fecha]])</f>
        <v>46288</v>
      </c>
      <c r="I8128">
        <v>0</v>
      </c>
      <c r="J8128" s="1">
        <v>11396338</v>
      </c>
      <c r="K8128">
        <v>0</v>
      </c>
    </row>
    <row r="8129" spans="1:11" x14ac:dyDescent="0.25">
      <c r="A8129" t="s">
        <v>326</v>
      </c>
      <c r="B8129" t="s">
        <v>818</v>
      </c>
      <c r="C8129" t="s">
        <v>873</v>
      </c>
      <c r="D8129" t="s">
        <v>11</v>
      </c>
      <c r="E8129">
        <v>23</v>
      </c>
      <c r="F8129" s="2">
        <f>DATE(2026,IF(Tabla1[[#This Row],[Mes de Fecha]]="Septiembre",9,10),Tabla1[[#This Row],[Día de Fecha]])</f>
        <v>46288</v>
      </c>
      <c r="G8129">
        <v>24606628</v>
      </c>
      <c r="H8129" t="s">
        <v>596</v>
      </c>
      <c r="I8129">
        <v>89</v>
      </c>
      <c r="J8129">
        <v>0</v>
      </c>
      <c r="K8129" s="1">
        <v>5412103</v>
      </c>
    </row>
    <row r="8130" spans="1:11" x14ac:dyDescent="0.25">
      <c r="A8130" t="s">
        <v>326</v>
      </c>
      <c r="B8130" t="s">
        <v>818</v>
      </c>
      <c r="C8130" t="s">
        <v>873</v>
      </c>
      <c r="D8130" t="s">
        <v>11</v>
      </c>
      <c r="E8130">
        <v>23</v>
      </c>
      <c r="F8130" s="2">
        <f>DATE(2026,IF(Tabla1[[#This Row],[Mes de Fecha]]="Septiembre",9,10),Tabla1[[#This Row],[Día de Fecha]])</f>
        <v>46288</v>
      </c>
      <c r="G8130">
        <v>33355697</v>
      </c>
      <c r="H8130" t="s">
        <v>592</v>
      </c>
      <c r="I8130">
        <v>80</v>
      </c>
      <c r="J8130">
        <v>0</v>
      </c>
      <c r="K8130" s="1">
        <v>4679373</v>
      </c>
    </row>
    <row r="8131" spans="1:11" x14ac:dyDescent="0.25">
      <c r="A8131" t="s">
        <v>326</v>
      </c>
      <c r="B8131" t="s">
        <v>818</v>
      </c>
      <c r="C8131" t="s">
        <v>873</v>
      </c>
      <c r="D8131" t="s">
        <v>11</v>
      </c>
      <c r="E8131">
        <v>23</v>
      </c>
      <c r="F8131" s="2">
        <f>DATE(2026,IF(Tabla1[[#This Row],[Mes de Fecha]]="Septiembre",9,10),Tabla1[[#This Row],[Día de Fecha]])</f>
        <v>46288</v>
      </c>
      <c r="G8131">
        <v>1004826334</v>
      </c>
      <c r="H8131" t="s">
        <v>600</v>
      </c>
      <c r="I8131">
        <v>21</v>
      </c>
      <c r="J8131">
        <v>0</v>
      </c>
      <c r="K8131" s="1">
        <v>1125170</v>
      </c>
    </row>
    <row r="8132" spans="1:11" x14ac:dyDescent="0.25">
      <c r="A8132" t="s">
        <v>326</v>
      </c>
      <c r="B8132" t="s">
        <v>818</v>
      </c>
      <c r="C8132" t="s">
        <v>873</v>
      </c>
      <c r="D8132" t="s">
        <v>11</v>
      </c>
      <c r="E8132">
        <v>23</v>
      </c>
      <c r="F8132" s="2">
        <f>DATE(2026,IF(Tabla1[[#This Row],[Mes de Fecha]]="Septiembre",9,10),Tabla1[[#This Row],[Día de Fecha]])</f>
        <v>46288</v>
      </c>
      <c r="G8132">
        <v>1007466983</v>
      </c>
      <c r="H8132" t="s">
        <v>601</v>
      </c>
      <c r="I8132">
        <v>21</v>
      </c>
      <c r="J8132">
        <v>0</v>
      </c>
      <c r="K8132" s="1">
        <v>1324749</v>
      </c>
    </row>
    <row r="8133" spans="1:11" x14ac:dyDescent="0.25">
      <c r="A8133" t="s">
        <v>326</v>
      </c>
      <c r="B8133" t="s">
        <v>818</v>
      </c>
      <c r="C8133" t="s">
        <v>873</v>
      </c>
      <c r="D8133" t="s">
        <v>11</v>
      </c>
      <c r="E8133">
        <v>24</v>
      </c>
      <c r="F8133" s="2">
        <f>DATE(2026,IF(Tabla1[[#This Row],[Mes de Fecha]]="Septiembre",9,10),Tabla1[[#This Row],[Día de Fecha]])</f>
        <v>46289</v>
      </c>
      <c r="I8133">
        <v>0</v>
      </c>
      <c r="J8133" s="1">
        <v>17409191</v>
      </c>
      <c r="K8133">
        <v>0</v>
      </c>
    </row>
    <row r="8134" spans="1:11" x14ac:dyDescent="0.25">
      <c r="A8134" t="s">
        <v>326</v>
      </c>
      <c r="B8134" t="s">
        <v>818</v>
      </c>
      <c r="C8134" t="s">
        <v>873</v>
      </c>
      <c r="D8134" t="s">
        <v>11</v>
      </c>
      <c r="E8134">
        <v>24</v>
      </c>
      <c r="F8134" s="2">
        <f>DATE(2026,IF(Tabla1[[#This Row],[Mes de Fecha]]="Septiembre",9,10),Tabla1[[#This Row],[Día de Fecha]])</f>
        <v>46289</v>
      </c>
      <c r="G8134">
        <v>24606628</v>
      </c>
      <c r="H8134" t="s">
        <v>596</v>
      </c>
      <c r="I8134">
        <v>61</v>
      </c>
      <c r="J8134">
        <v>0</v>
      </c>
      <c r="K8134" s="1">
        <v>4037356</v>
      </c>
    </row>
    <row r="8135" spans="1:11" x14ac:dyDescent="0.25">
      <c r="A8135" t="s">
        <v>326</v>
      </c>
      <c r="B8135" t="s">
        <v>818</v>
      </c>
      <c r="C8135" t="s">
        <v>873</v>
      </c>
      <c r="D8135" t="s">
        <v>11</v>
      </c>
      <c r="E8135">
        <v>24</v>
      </c>
      <c r="F8135" s="2">
        <f>DATE(2026,IF(Tabla1[[#This Row],[Mes de Fecha]]="Septiembre",9,10),Tabla1[[#This Row],[Día de Fecha]])</f>
        <v>46289</v>
      </c>
      <c r="G8135">
        <v>33355697</v>
      </c>
      <c r="H8135" t="s">
        <v>592</v>
      </c>
      <c r="I8135">
        <v>121</v>
      </c>
      <c r="J8135">
        <v>0</v>
      </c>
      <c r="K8135" s="1">
        <v>7146098</v>
      </c>
    </row>
    <row r="8136" spans="1:11" x14ac:dyDescent="0.25">
      <c r="A8136" t="s">
        <v>326</v>
      </c>
      <c r="B8136" t="s">
        <v>818</v>
      </c>
      <c r="C8136" t="s">
        <v>873</v>
      </c>
      <c r="D8136" t="s">
        <v>11</v>
      </c>
      <c r="E8136">
        <v>24</v>
      </c>
      <c r="F8136" s="2">
        <f>DATE(2026,IF(Tabla1[[#This Row],[Mes de Fecha]]="Septiembre",9,10),Tabla1[[#This Row],[Día de Fecha]])</f>
        <v>46289</v>
      </c>
      <c r="G8136">
        <v>1004826334</v>
      </c>
      <c r="H8136" t="s">
        <v>600</v>
      </c>
      <c r="I8136">
        <v>47</v>
      </c>
      <c r="J8136">
        <v>0</v>
      </c>
      <c r="K8136" s="1">
        <v>2943405</v>
      </c>
    </row>
    <row r="8137" spans="1:11" x14ac:dyDescent="0.25">
      <c r="A8137" t="s">
        <v>326</v>
      </c>
      <c r="B8137" t="s">
        <v>818</v>
      </c>
      <c r="C8137" t="s">
        <v>873</v>
      </c>
      <c r="D8137" t="s">
        <v>11</v>
      </c>
      <c r="E8137">
        <v>24</v>
      </c>
      <c r="F8137" s="2">
        <f>DATE(2026,IF(Tabla1[[#This Row],[Mes de Fecha]]="Septiembre",9,10),Tabla1[[#This Row],[Día de Fecha]])</f>
        <v>46289</v>
      </c>
      <c r="G8137">
        <v>1007466983</v>
      </c>
      <c r="H8137" t="s">
        <v>601</v>
      </c>
      <c r="I8137">
        <v>42</v>
      </c>
      <c r="J8137">
        <v>0</v>
      </c>
      <c r="K8137" s="1">
        <v>2575885</v>
      </c>
    </row>
    <row r="8138" spans="1:11" x14ac:dyDescent="0.25">
      <c r="A8138" t="s">
        <v>326</v>
      </c>
      <c r="B8138" t="s">
        <v>818</v>
      </c>
      <c r="C8138" t="s">
        <v>873</v>
      </c>
      <c r="D8138" t="s">
        <v>11</v>
      </c>
      <c r="E8138">
        <v>25</v>
      </c>
      <c r="F8138" s="2">
        <f>DATE(2026,IF(Tabla1[[#This Row],[Mes de Fecha]]="Septiembre",9,10),Tabla1[[#This Row],[Día de Fecha]])</f>
        <v>46290</v>
      </c>
      <c r="I8138">
        <v>0</v>
      </c>
      <c r="J8138" s="1">
        <v>17370652</v>
      </c>
      <c r="K8138">
        <v>0</v>
      </c>
    </row>
    <row r="8139" spans="1:11" x14ac:dyDescent="0.25">
      <c r="A8139" t="s">
        <v>326</v>
      </c>
      <c r="B8139" t="s">
        <v>818</v>
      </c>
      <c r="C8139" t="s">
        <v>873</v>
      </c>
      <c r="D8139" t="s">
        <v>11</v>
      </c>
      <c r="E8139">
        <v>25</v>
      </c>
      <c r="F8139" s="2">
        <f>DATE(2026,IF(Tabla1[[#This Row],[Mes de Fecha]]="Septiembre",9,10),Tabla1[[#This Row],[Día de Fecha]])</f>
        <v>46290</v>
      </c>
      <c r="G8139">
        <v>24606628</v>
      </c>
      <c r="H8139" t="s">
        <v>596</v>
      </c>
      <c r="I8139">
        <v>44</v>
      </c>
      <c r="J8139">
        <v>0</v>
      </c>
      <c r="K8139" s="1">
        <v>2859455</v>
      </c>
    </row>
    <row r="8140" spans="1:11" x14ac:dyDescent="0.25">
      <c r="A8140" t="s">
        <v>326</v>
      </c>
      <c r="B8140" t="s">
        <v>818</v>
      </c>
      <c r="C8140" t="s">
        <v>873</v>
      </c>
      <c r="D8140" t="s">
        <v>11</v>
      </c>
      <c r="E8140">
        <v>25</v>
      </c>
      <c r="F8140" s="2">
        <f>DATE(2026,IF(Tabla1[[#This Row],[Mes de Fecha]]="Septiembre",9,10),Tabla1[[#This Row],[Día de Fecha]])</f>
        <v>46290</v>
      </c>
      <c r="G8140">
        <v>33355697</v>
      </c>
      <c r="H8140" t="s">
        <v>592</v>
      </c>
      <c r="I8140">
        <v>58</v>
      </c>
      <c r="J8140">
        <v>0</v>
      </c>
      <c r="K8140" s="1">
        <v>3440841</v>
      </c>
    </row>
    <row r="8141" spans="1:11" x14ac:dyDescent="0.25">
      <c r="A8141" t="s">
        <v>326</v>
      </c>
      <c r="B8141" t="s">
        <v>818</v>
      </c>
      <c r="C8141" t="s">
        <v>873</v>
      </c>
      <c r="D8141" t="s">
        <v>11</v>
      </c>
      <c r="E8141">
        <v>25</v>
      </c>
      <c r="F8141" s="2">
        <f>DATE(2026,IF(Tabla1[[#This Row],[Mes de Fecha]]="Septiembre",9,10),Tabla1[[#This Row],[Día de Fecha]])</f>
        <v>46290</v>
      </c>
      <c r="G8141">
        <v>1004826334</v>
      </c>
      <c r="H8141" t="s">
        <v>600</v>
      </c>
      <c r="I8141">
        <v>34</v>
      </c>
      <c r="J8141">
        <v>0</v>
      </c>
      <c r="K8141" s="1">
        <v>2212775</v>
      </c>
    </row>
    <row r="8142" spans="1:11" x14ac:dyDescent="0.25">
      <c r="A8142" t="s">
        <v>326</v>
      </c>
      <c r="B8142" t="s">
        <v>818</v>
      </c>
      <c r="C8142" t="s">
        <v>873</v>
      </c>
      <c r="D8142" t="s">
        <v>11</v>
      </c>
      <c r="E8142">
        <v>25</v>
      </c>
      <c r="F8142" s="2">
        <f>DATE(2026,IF(Tabla1[[#This Row],[Mes de Fecha]]="Septiembre",9,10),Tabla1[[#This Row],[Día de Fecha]])</f>
        <v>46290</v>
      </c>
      <c r="G8142">
        <v>1007466983</v>
      </c>
      <c r="H8142" t="s">
        <v>601</v>
      </c>
      <c r="I8142">
        <v>44</v>
      </c>
      <c r="J8142">
        <v>0</v>
      </c>
      <c r="K8142" s="1">
        <v>2641010</v>
      </c>
    </row>
    <row r="8143" spans="1:11" x14ac:dyDescent="0.25">
      <c r="A8143" t="s">
        <v>326</v>
      </c>
      <c r="B8143" t="s">
        <v>818</v>
      </c>
      <c r="C8143" t="s">
        <v>873</v>
      </c>
      <c r="D8143" t="s">
        <v>11</v>
      </c>
      <c r="E8143">
        <v>26</v>
      </c>
      <c r="F8143" s="2">
        <f>DATE(2026,IF(Tabla1[[#This Row],[Mes de Fecha]]="Septiembre",9,10),Tabla1[[#This Row],[Día de Fecha]])</f>
        <v>46291</v>
      </c>
      <c r="I8143">
        <v>0</v>
      </c>
      <c r="J8143" s="1">
        <v>24964125</v>
      </c>
      <c r="K8143">
        <v>0</v>
      </c>
    </row>
    <row r="8144" spans="1:11" x14ac:dyDescent="0.25">
      <c r="A8144" t="s">
        <v>326</v>
      </c>
      <c r="B8144" t="s">
        <v>818</v>
      </c>
      <c r="C8144" t="s">
        <v>873</v>
      </c>
      <c r="D8144" t="s">
        <v>11</v>
      </c>
      <c r="E8144">
        <v>26</v>
      </c>
      <c r="F8144" s="2">
        <f>DATE(2026,IF(Tabla1[[#This Row],[Mes de Fecha]]="Septiembre",9,10),Tabla1[[#This Row],[Día de Fecha]])</f>
        <v>46291</v>
      </c>
      <c r="G8144">
        <v>24606628</v>
      </c>
      <c r="H8144" t="s">
        <v>596</v>
      </c>
      <c r="I8144">
        <v>101</v>
      </c>
      <c r="J8144">
        <v>0</v>
      </c>
      <c r="K8144" s="1">
        <v>6476722</v>
      </c>
    </row>
    <row r="8145" spans="1:11" x14ac:dyDescent="0.25">
      <c r="A8145" t="s">
        <v>326</v>
      </c>
      <c r="B8145" t="s">
        <v>818</v>
      </c>
      <c r="C8145" t="s">
        <v>873</v>
      </c>
      <c r="D8145" t="s">
        <v>11</v>
      </c>
      <c r="E8145">
        <v>26</v>
      </c>
      <c r="F8145" s="2">
        <f>DATE(2026,IF(Tabla1[[#This Row],[Mes de Fecha]]="Septiembre",9,10),Tabla1[[#This Row],[Día de Fecha]])</f>
        <v>46291</v>
      </c>
      <c r="G8145">
        <v>33355697</v>
      </c>
      <c r="H8145" t="s">
        <v>592</v>
      </c>
      <c r="I8145">
        <v>112</v>
      </c>
      <c r="J8145">
        <v>0</v>
      </c>
      <c r="K8145" s="1">
        <v>7553873</v>
      </c>
    </row>
    <row r="8146" spans="1:11" x14ac:dyDescent="0.25">
      <c r="A8146" t="s">
        <v>326</v>
      </c>
      <c r="B8146" t="s">
        <v>818</v>
      </c>
      <c r="C8146" t="s">
        <v>873</v>
      </c>
      <c r="D8146" t="s">
        <v>11</v>
      </c>
      <c r="E8146">
        <v>26</v>
      </c>
      <c r="F8146" s="2">
        <f>DATE(2026,IF(Tabla1[[#This Row],[Mes de Fecha]]="Septiembre",9,10),Tabla1[[#This Row],[Día de Fecha]])</f>
        <v>46291</v>
      </c>
      <c r="G8146">
        <v>1004826334</v>
      </c>
      <c r="H8146" t="s">
        <v>600</v>
      </c>
      <c r="I8146">
        <v>65</v>
      </c>
      <c r="J8146">
        <v>0</v>
      </c>
      <c r="K8146" s="1">
        <v>4198868</v>
      </c>
    </row>
    <row r="8147" spans="1:11" x14ac:dyDescent="0.25">
      <c r="A8147" t="s">
        <v>326</v>
      </c>
      <c r="B8147" t="s">
        <v>818</v>
      </c>
      <c r="C8147" t="s">
        <v>873</v>
      </c>
      <c r="D8147" t="s">
        <v>11</v>
      </c>
      <c r="E8147">
        <v>26</v>
      </c>
      <c r="F8147" s="2">
        <f>DATE(2026,IF(Tabla1[[#This Row],[Mes de Fecha]]="Septiembre",9,10),Tabla1[[#This Row],[Día de Fecha]])</f>
        <v>46291</v>
      </c>
      <c r="G8147">
        <v>1007466983</v>
      </c>
      <c r="H8147" t="s">
        <v>601</v>
      </c>
      <c r="I8147">
        <v>48</v>
      </c>
      <c r="J8147">
        <v>0</v>
      </c>
      <c r="K8147" s="1">
        <v>2928490</v>
      </c>
    </row>
    <row r="8148" spans="1:11" x14ac:dyDescent="0.25">
      <c r="A8148" t="s">
        <v>326</v>
      </c>
      <c r="B8148" t="s">
        <v>818</v>
      </c>
      <c r="C8148" t="s">
        <v>873</v>
      </c>
      <c r="D8148" t="s">
        <v>11</v>
      </c>
      <c r="E8148">
        <v>26</v>
      </c>
      <c r="F8148" s="2">
        <f>DATE(2026,IF(Tabla1[[#This Row],[Mes de Fecha]]="Septiembre",9,10),Tabla1[[#This Row],[Día de Fecha]])</f>
        <v>46291</v>
      </c>
      <c r="G8148">
        <v>1094905873</v>
      </c>
      <c r="H8148" t="s">
        <v>598</v>
      </c>
      <c r="I8148">
        <v>-2</v>
      </c>
      <c r="J8148">
        <v>0</v>
      </c>
      <c r="K8148" s="1">
        <v>-125966</v>
      </c>
    </row>
    <row r="8149" spans="1:11" x14ac:dyDescent="0.25">
      <c r="A8149" t="s">
        <v>326</v>
      </c>
      <c r="B8149" t="s">
        <v>818</v>
      </c>
      <c r="C8149" t="s">
        <v>873</v>
      </c>
      <c r="D8149" t="s">
        <v>11</v>
      </c>
      <c r="E8149">
        <v>26</v>
      </c>
      <c r="F8149" s="2">
        <f>DATE(2026,IF(Tabla1[[#This Row],[Mes de Fecha]]="Septiembre",9,10),Tabla1[[#This Row],[Día de Fecha]])</f>
        <v>46291</v>
      </c>
      <c r="G8149">
        <v>1094957784</v>
      </c>
      <c r="H8149" t="s">
        <v>593</v>
      </c>
      <c r="I8149">
        <v>-1</v>
      </c>
      <c r="J8149">
        <v>0</v>
      </c>
      <c r="K8149" s="1">
        <v>-46177</v>
      </c>
    </row>
    <row r="8150" spans="1:11" x14ac:dyDescent="0.25">
      <c r="A8150" t="s">
        <v>326</v>
      </c>
      <c r="B8150" t="s">
        <v>818</v>
      </c>
      <c r="C8150" t="s">
        <v>873</v>
      </c>
      <c r="D8150" t="s">
        <v>11</v>
      </c>
      <c r="E8150">
        <v>27</v>
      </c>
      <c r="F8150" s="2">
        <f>DATE(2026,IF(Tabla1[[#This Row],[Mes de Fecha]]="Septiembre",9,10),Tabla1[[#This Row],[Día de Fecha]])</f>
        <v>46292</v>
      </c>
      <c r="I8150">
        <v>0</v>
      </c>
      <c r="J8150" s="1">
        <v>19776609</v>
      </c>
      <c r="K8150">
        <v>0</v>
      </c>
    </row>
    <row r="8151" spans="1:11" x14ac:dyDescent="0.25">
      <c r="A8151" t="s">
        <v>326</v>
      </c>
      <c r="B8151" t="s">
        <v>818</v>
      </c>
      <c r="C8151" t="s">
        <v>873</v>
      </c>
      <c r="D8151" t="s">
        <v>11</v>
      </c>
      <c r="E8151">
        <v>27</v>
      </c>
      <c r="F8151" s="2">
        <f>DATE(2026,IF(Tabla1[[#This Row],[Mes de Fecha]]="Septiembre",9,10),Tabla1[[#This Row],[Día de Fecha]])</f>
        <v>46292</v>
      </c>
      <c r="G8151">
        <v>24606628</v>
      </c>
      <c r="H8151" t="s">
        <v>596</v>
      </c>
      <c r="I8151">
        <v>51</v>
      </c>
      <c r="J8151">
        <v>0</v>
      </c>
      <c r="K8151" s="1">
        <v>2959916</v>
      </c>
    </row>
    <row r="8152" spans="1:11" x14ac:dyDescent="0.25">
      <c r="A8152" t="s">
        <v>326</v>
      </c>
      <c r="B8152" t="s">
        <v>818</v>
      </c>
      <c r="C8152" t="s">
        <v>873</v>
      </c>
      <c r="D8152" t="s">
        <v>11</v>
      </c>
      <c r="E8152">
        <v>27</v>
      </c>
      <c r="F8152" s="2">
        <f>DATE(2026,IF(Tabla1[[#This Row],[Mes de Fecha]]="Septiembre",9,10),Tabla1[[#This Row],[Día de Fecha]])</f>
        <v>46292</v>
      </c>
      <c r="G8152">
        <v>33355697</v>
      </c>
      <c r="H8152" t="s">
        <v>592</v>
      </c>
      <c r="I8152">
        <v>48</v>
      </c>
      <c r="J8152">
        <v>0</v>
      </c>
      <c r="K8152" s="1">
        <v>3098826</v>
      </c>
    </row>
    <row r="8153" spans="1:11" x14ac:dyDescent="0.25">
      <c r="A8153" t="s">
        <v>326</v>
      </c>
      <c r="B8153" t="s">
        <v>818</v>
      </c>
      <c r="C8153" t="s">
        <v>873</v>
      </c>
      <c r="D8153" t="s">
        <v>11</v>
      </c>
      <c r="E8153">
        <v>27</v>
      </c>
      <c r="F8153" s="2">
        <f>DATE(2026,IF(Tabla1[[#This Row],[Mes de Fecha]]="Septiembre",9,10),Tabla1[[#This Row],[Día de Fecha]])</f>
        <v>46292</v>
      </c>
      <c r="G8153">
        <v>1004826334</v>
      </c>
      <c r="H8153" t="s">
        <v>600</v>
      </c>
      <c r="I8153">
        <v>15</v>
      </c>
      <c r="J8153">
        <v>0</v>
      </c>
      <c r="K8153" s="1">
        <v>917312</v>
      </c>
    </row>
    <row r="8154" spans="1:11" x14ac:dyDescent="0.25">
      <c r="A8154" t="s">
        <v>326</v>
      </c>
      <c r="B8154" t="s">
        <v>818</v>
      </c>
      <c r="C8154" t="s">
        <v>873</v>
      </c>
      <c r="D8154" t="s">
        <v>11</v>
      </c>
      <c r="E8154">
        <v>27</v>
      </c>
      <c r="F8154" s="2">
        <f>DATE(2026,IF(Tabla1[[#This Row],[Mes de Fecha]]="Septiembre",9,10),Tabla1[[#This Row],[Día de Fecha]])</f>
        <v>46292</v>
      </c>
      <c r="G8154">
        <v>1007466983</v>
      </c>
      <c r="H8154" t="s">
        <v>601</v>
      </c>
      <c r="I8154">
        <v>15</v>
      </c>
      <c r="J8154">
        <v>0</v>
      </c>
      <c r="K8154" s="1">
        <v>776598</v>
      </c>
    </row>
    <row r="8155" spans="1:11" x14ac:dyDescent="0.25">
      <c r="A8155" t="s">
        <v>326</v>
      </c>
      <c r="B8155" t="s">
        <v>818</v>
      </c>
      <c r="C8155" t="s">
        <v>873</v>
      </c>
      <c r="D8155" t="s">
        <v>11</v>
      </c>
      <c r="E8155">
        <v>28</v>
      </c>
      <c r="F8155" s="2">
        <f>DATE(2026,IF(Tabla1[[#This Row],[Mes de Fecha]]="Septiembre",9,10),Tabla1[[#This Row],[Día de Fecha]])</f>
        <v>46293</v>
      </c>
      <c r="I8155">
        <v>0</v>
      </c>
      <c r="J8155" s="1">
        <v>11135112</v>
      </c>
      <c r="K8155">
        <v>0</v>
      </c>
    </row>
    <row r="8156" spans="1:11" x14ac:dyDescent="0.25">
      <c r="A8156" t="s">
        <v>326</v>
      </c>
      <c r="B8156" t="s">
        <v>818</v>
      </c>
      <c r="C8156" t="s">
        <v>873</v>
      </c>
      <c r="D8156" t="s">
        <v>11</v>
      </c>
      <c r="E8156">
        <v>28</v>
      </c>
      <c r="F8156" s="2">
        <f>DATE(2026,IF(Tabla1[[#This Row],[Mes de Fecha]]="Septiembre",9,10),Tabla1[[#This Row],[Día de Fecha]])</f>
        <v>46293</v>
      </c>
      <c r="G8156">
        <v>24606628</v>
      </c>
      <c r="H8156" t="s">
        <v>596</v>
      </c>
      <c r="I8156">
        <v>49</v>
      </c>
      <c r="J8156">
        <v>0</v>
      </c>
      <c r="K8156" s="1">
        <v>2911681</v>
      </c>
    </row>
    <row r="8157" spans="1:11" x14ac:dyDescent="0.25">
      <c r="A8157" t="s">
        <v>326</v>
      </c>
      <c r="B8157" t="s">
        <v>818</v>
      </c>
      <c r="C8157" t="s">
        <v>873</v>
      </c>
      <c r="D8157" t="s">
        <v>11</v>
      </c>
      <c r="E8157">
        <v>28</v>
      </c>
      <c r="F8157" s="2">
        <f>DATE(2026,IF(Tabla1[[#This Row],[Mes de Fecha]]="Septiembre",9,10),Tabla1[[#This Row],[Día de Fecha]])</f>
        <v>46293</v>
      </c>
      <c r="G8157">
        <v>33355697</v>
      </c>
      <c r="H8157" t="s">
        <v>592</v>
      </c>
      <c r="I8157">
        <v>62</v>
      </c>
      <c r="J8157">
        <v>0</v>
      </c>
      <c r="K8157" s="1">
        <v>3520467</v>
      </c>
    </row>
    <row r="8158" spans="1:11" x14ac:dyDescent="0.25">
      <c r="A8158" t="s">
        <v>326</v>
      </c>
      <c r="B8158" t="s">
        <v>818</v>
      </c>
      <c r="C8158" t="s">
        <v>873</v>
      </c>
      <c r="D8158" t="s">
        <v>11</v>
      </c>
      <c r="E8158">
        <v>28</v>
      </c>
      <c r="F8158" s="2">
        <f>DATE(2026,IF(Tabla1[[#This Row],[Mes de Fecha]]="Septiembre",9,10),Tabla1[[#This Row],[Día de Fecha]])</f>
        <v>46293</v>
      </c>
      <c r="G8158">
        <v>1004826334</v>
      </c>
      <c r="H8158" t="s">
        <v>600</v>
      </c>
      <c r="I8158">
        <v>35</v>
      </c>
      <c r="J8158">
        <v>0</v>
      </c>
      <c r="K8158" s="1">
        <v>2111640</v>
      </c>
    </row>
    <row r="8159" spans="1:11" x14ac:dyDescent="0.25">
      <c r="A8159" t="s">
        <v>326</v>
      </c>
      <c r="B8159" t="s">
        <v>818</v>
      </c>
      <c r="C8159" t="s">
        <v>873</v>
      </c>
      <c r="D8159" t="s">
        <v>11</v>
      </c>
      <c r="E8159">
        <v>28</v>
      </c>
      <c r="F8159" s="2">
        <f>DATE(2026,IF(Tabla1[[#This Row],[Mes de Fecha]]="Septiembre",9,10),Tabla1[[#This Row],[Día de Fecha]])</f>
        <v>46293</v>
      </c>
      <c r="G8159">
        <v>1007466983</v>
      </c>
      <c r="H8159" t="s">
        <v>601</v>
      </c>
      <c r="I8159">
        <v>38</v>
      </c>
      <c r="J8159">
        <v>0</v>
      </c>
      <c r="K8159" s="1">
        <v>2410171</v>
      </c>
    </row>
    <row r="8160" spans="1:11" x14ac:dyDescent="0.25">
      <c r="A8160" t="s">
        <v>326</v>
      </c>
      <c r="B8160" t="s">
        <v>818</v>
      </c>
      <c r="C8160" t="s">
        <v>873</v>
      </c>
      <c r="D8160" t="s">
        <v>11</v>
      </c>
      <c r="E8160">
        <v>28</v>
      </c>
      <c r="F8160" s="2">
        <f>DATE(2026,IF(Tabla1[[#This Row],[Mes de Fecha]]="Septiembre",9,10),Tabla1[[#This Row],[Día de Fecha]])</f>
        <v>46293</v>
      </c>
      <c r="G8160">
        <v>1092850523</v>
      </c>
      <c r="H8160" t="s">
        <v>591</v>
      </c>
      <c r="I8160">
        <v>-1</v>
      </c>
      <c r="J8160">
        <v>0</v>
      </c>
      <c r="K8160" s="1">
        <v>-41933</v>
      </c>
    </row>
    <row r="8161" spans="1:11" x14ac:dyDescent="0.25">
      <c r="A8161" t="s">
        <v>326</v>
      </c>
      <c r="B8161" t="s">
        <v>818</v>
      </c>
      <c r="C8161" t="s">
        <v>873</v>
      </c>
      <c r="D8161" t="s">
        <v>11</v>
      </c>
      <c r="E8161">
        <v>29</v>
      </c>
      <c r="F8161" s="2">
        <f>DATE(2026,IF(Tabla1[[#This Row],[Mes de Fecha]]="Septiembre",9,10),Tabla1[[#This Row],[Día de Fecha]])</f>
        <v>46294</v>
      </c>
      <c r="I8161">
        <v>0</v>
      </c>
      <c r="J8161" s="1">
        <v>11375617</v>
      </c>
      <c r="K8161">
        <v>0</v>
      </c>
    </row>
    <row r="8162" spans="1:11" x14ac:dyDescent="0.25">
      <c r="A8162" t="s">
        <v>326</v>
      </c>
      <c r="B8162" t="s">
        <v>818</v>
      </c>
      <c r="C8162" t="s">
        <v>873</v>
      </c>
      <c r="D8162" t="s">
        <v>11</v>
      </c>
      <c r="E8162">
        <v>29</v>
      </c>
      <c r="F8162" s="2">
        <f>DATE(2026,IF(Tabla1[[#This Row],[Mes de Fecha]]="Septiembre",9,10),Tabla1[[#This Row],[Día de Fecha]])</f>
        <v>46294</v>
      </c>
      <c r="G8162">
        <v>24606628</v>
      </c>
      <c r="H8162" t="s">
        <v>596</v>
      </c>
      <c r="I8162">
        <v>35</v>
      </c>
      <c r="J8162">
        <v>0</v>
      </c>
      <c r="K8162" s="1">
        <v>2221179</v>
      </c>
    </row>
    <row r="8163" spans="1:11" x14ac:dyDescent="0.25">
      <c r="A8163" t="s">
        <v>326</v>
      </c>
      <c r="B8163" t="s">
        <v>818</v>
      </c>
      <c r="C8163" t="s">
        <v>873</v>
      </c>
      <c r="D8163" t="s">
        <v>11</v>
      </c>
      <c r="E8163">
        <v>29</v>
      </c>
      <c r="F8163" s="2">
        <f>DATE(2026,IF(Tabla1[[#This Row],[Mes de Fecha]]="Septiembre",9,10),Tabla1[[#This Row],[Día de Fecha]])</f>
        <v>46294</v>
      </c>
      <c r="G8163">
        <v>33355697</v>
      </c>
      <c r="H8163" t="s">
        <v>592</v>
      </c>
      <c r="I8163">
        <v>57</v>
      </c>
      <c r="J8163">
        <v>0</v>
      </c>
      <c r="K8163" s="1">
        <v>3913487</v>
      </c>
    </row>
    <row r="8164" spans="1:11" x14ac:dyDescent="0.25">
      <c r="A8164" t="s">
        <v>326</v>
      </c>
      <c r="B8164" t="s">
        <v>818</v>
      </c>
      <c r="C8164" t="s">
        <v>873</v>
      </c>
      <c r="D8164" t="s">
        <v>11</v>
      </c>
      <c r="E8164">
        <v>29</v>
      </c>
      <c r="F8164" s="2">
        <f>DATE(2026,IF(Tabla1[[#This Row],[Mes de Fecha]]="Septiembre",9,10),Tabla1[[#This Row],[Día de Fecha]])</f>
        <v>46294</v>
      </c>
      <c r="G8164">
        <v>1004826334</v>
      </c>
      <c r="H8164" t="s">
        <v>600</v>
      </c>
      <c r="I8164">
        <v>27</v>
      </c>
      <c r="J8164">
        <v>0</v>
      </c>
      <c r="K8164" s="1">
        <v>1568110</v>
      </c>
    </row>
    <row r="8165" spans="1:11" x14ac:dyDescent="0.25">
      <c r="A8165" t="s">
        <v>326</v>
      </c>
      <c r="B8165" t="s">
        <v>818</v>
      </c>
      <c r="C8165" t="s">
        <v>873</v>
      </c>
      <c r="D8165" t="s">
        <v>11</v>
      </c>
      <c r="E8165">
        <v>29</v>
      </c>
      <c r="F8165" s="2">
        <f>DATE(2026,IF(Tabla1[[#This Row],[Mes de Fecha]]="Septiembre",9,10),Tabla1[[#This Row],[Día de Fecha]])</f>
        <v>46294</v>
      </c>
      <c r="G8165">
        <v>1007466983</v>
      </c>
      <c r="H8165" t="s">
        <v>601</v>
      </c>
      <c r="I8165">
        <v>38</v>
      </c>
      <c r="J8165">
        <v>0</v>
      </c>
      <c r="K8165" s="1">
        <v>2414245</v>
      </c>
    </row>
    <row r="8166" spans="1:11" x14ac:dyDescent="0.25">
      <c r="A8166" t="s">
        <v>326</v>
      </c>
      <c r="B8166" t="s">
        <v>818</v>
      </c>
      <c r="C8166" t="s">
        <v>873</v>
      </c>
      <c r="D8166" t="s">
        <v>11</v>
      </c>
      <c r="E8166">
        <v>30</v>
      </c>
      <c r="F8166" s="2">
        <f>DATE(2026,IF(Tabla1[[#This Row],[Mes de Fecha]]="Septiembre",9,10),Tabla1[[#This Row],[Día de Fecha]])</f>
        <v>46295</v>
      </c>
      <c r="I8166">
        <v>0</v>
      </c>
      <c r="J8166" s="1">
        <v>12010374</v>
      </c>
      <c r="K8166">
        <v>0</v>
      </c>
    </row>
    <row r="8167" spans="1:11" x14ac:dyDescent="0.25">
      <c r="A8167" t="s">
        <v>326</v>
      </c>
      <c r="B8167" t="s">
        <v>818</v>
      </c>
      <c r="C8167" t="s">
        <v>873</v>
      </c>
      <c r="D8167" t="s">
        <v>11</v>
      </c>
      <c r="E8167">
        <v>30</v>
      </c>
      <c r="F8167" s="2">
        <f>DATE(2026,IF(Tabla1[[#This Row],[Mes de Fecha]]="Septiembre",9,10),Tabla1[[#This Row],[Día de Fecha]])</f>
        <v>46295</v>
      </c>
      <c r="G8167">
        <v>24606628</v>
      </c>
      <c r="H8167" t="s">
        <v>596</v>
      </c>
      <c r="I8167">
        <v>58</v>
      </c>
      <c r="J8167">
        <v>0</v>
      </c>
      <c r="K8167" s="1">
        <v>3331513</v>
      </c>
    </row>
    <row r="8168" spans="1:11" x14ac:dyDescent="0.25">
      <c r="A8168" t="s">
        <v>326</v>
      </c>
      <c r="B8168" t="s">
        <v>818</v>
      </c>
      <c r="C8168" t="s">
        <v>873</v>
      </c>
      <c r="D8168" t="s">
        <v>11</v>
      </c>
      <c r="E8168">
        <v>30</v>
      </c>
      <c r="F8168" s="2">
        <f>DATE(2026,IF(Tabla1[[#This Row],[Mes de Fecha]]="Septiembre",9,10),Tabla1[[#This Row],[Día de Fecha]])</f>
        <v>46295</v>
      </c>
      <c r="G8168">
        <v>33355697</v>
      </c>
      <c r="H8168" t="s">
        <v>592</v>
      </c>
      <c r="I8168">
        <v>54</v>
      </c>
      <c r="J8168">
        <v>0</v>
      </c>
      <c r="K8168" s="1">
        <v>3014456</v>
      </c>
    </row>
    <row r="8169" spans="1:11" x14ac:dyDescent="0.25">
      <c r="A8169" t="s">
        <v>326</v>
      </c>
      <c r="B8169" t="s">
        <v>818</v>
      </c>
      <c r="C8169" t="s">
        <v>873</v>
      </c>
      <c r="D8169" t="s">
        <v>11</v>
      </c>
      <c r="E8169">
        <v>30</v>
      </c>
      <c r="F8169" s="2">
        <f>DATE(2026,IF(Tabla1[[#This Row],[Mes de Fecha]]="Septiembre",9,10),Tabla1[[#This Row],[Día de Fecha]])</f>
        <v>46295</v>
      </c>
      <c r="G8169">
        <v>1004826334</v>
      </c>
      <c r="H8169" t="s">
        <v>600</v>
      </c>
      <c r="I8169">
        <v>41</v>
      </c>
      <c r="J8169">
        <v>0</v>
      </c>
      <c r="K8169" s="1">
        <v>2617988</v>
      </c>
    </row>
    <row r="8170" spans="1:11" x14ac:dyDescent="0.25">
      <c r="A8170" t="s">
        <v>326</v>
      </c>
      <c r="B8170" t="s">
        <v>818</v>
      </c>
      <c r="C8170" t="s">
        <v>873</v>
      </c>
      <c r="D8170" t="s">
        <v>11</v>
      </c>
      <c r="E8170">
        <v>30</v>
      </c>
      <c r="F8170" s="2">
        <f>DATE(2026,IF(Tabla1[[#This Row],[Mes de Fecha]]="Septiembre",9,10),Tabla1[[#This Row],[Día de Fecha]])</f>
        <v>46295</v>
      </c>
      <c r="G8170">
        <v>1007466983</v>
      </c>
      <c r="H8170" t="s">
        <v>601</v>
      </c>
      <c r="I8170">
        <v>35</v>
      </c>
      <c r="J8170">
        <v>0</v>
      </c>
      <c r="K8170" s="1">
        <v>2111976</v>
      </c>
    </row>
    <row r="8171" spans="1:11" x14ac:dyDescent="0.25">
      <c r="A8171" t="s">
        <v>326</v>
      </c>
      <c r="B8171" t="s">
        <v>818</v>
      </c>
      <c r="C8171" t="s">
        <v>873</v>
      </c>
      <c r="D8171" t="s">
        <v>11</v>
      </c>
      <c r="E8171">
        <v>30</v>
      </c>
      <c r="F8171" s="2">
        <f>DATE(2026,IF(Tabla1[[#This Row],[Mes de Fecha]]="Septiembre",9,10),Tabla1[[#This Row],[Día de Fecha]])</f>
        <v>46295</v>
      </c>
      <c r="G8171">
        <v>1094971574</v>
      </c>
      <c r="H8171" t="s">
        <v>546</v>
      </c>
      <c r="I8171">
        <v>-1</v>
      </c>
      <c r="J8171">
        <v>0</v>
      </c>
      <c r="K8171" s="1">
        <v>-125966</v>
      </c>
    </row>
    <row r="8172" spans="1:11" x14ac:dyDescent="0.25">
      <c r="A8172" t="s">
        <v>326</v>
      </c>
      <c r="B8172" t="s">
        <v>818</v>
      </c>
      <c r="C8172" t="s">
        <v>873</v>
      </c>
      <c r="D8172" t="s">
        <v>14</v>
      </c>
      <c r="E8172">
        <v>1</v>
      </c>
      <c r="F8172" s="2">
        <f>DATE(2026,IF(Tabla1[[#This Row],[Mes de Fecha]]="Septiembre",9,10),Tabla1[[#This Row],[Día de Fecha]])</f>
        <v>46296</v>
      </c>
      <c r="I8172">
        <v>0</v>
      </c>
      <c r="J8172" s="1">
        <v>14633666</v>
      </c>
      <c r="K8172">
        <v>0</v>
      </c>
    </row>
    <row r="8173" spans="1:11" x14ac:dyDescent="0.25">
      <c r="A8173" t="s">
        <v>326</v>
      </c>
      <c r="B8173" t="s">
        <v>818</v>
      </c>
      <c r="C8173" t="s">
        <v>873</v>
      </c>
      <c r="D8173" t="s">
        <v>14</v>
      </c>
      <c r="E8173">
        <v>1</v>
      </c>
      <c r="F8173" s="2">
        <f>DATE(2026,IF(Tabla1[[#This Row],[Mes de Fecha]]="Septiembre",9,10),Tabla1[[#This Row],[Día de Fecha]])</f>
        <v>46296</v>
      </c>
      <c r="G8173">
        <v>24606628</v>
      </c>
      <c r="H8173" t="s">
        <v>596</v>
      </c>
      <c r="I8173">
        <v>30</v>
      </c>
      <c r="J8173">
        <v>0</v>
      </c>
      <c r="K8173" s="1">
        <v>1977691</v>
      </c>
    </row>
    <row r="8174" spans="1:11" x14ac:dyDescent="0.25">
      <c r="A8174" t="s">
        <v>326</v>
      </c>
      <c r="B8174" t="s">
        <v>818</v>
      </c>
      <c r="C8174" t="s">
        <v>873</v>
      </c>
      <c r="D8174" t="s">
        <v>14</v>
      </c>
      <c r="E8174">
        <v>1</v>
      </c>
      <c r="F8174" s="2">
        <f>DATE(2026,IF(Tabla1[[#This Row],[Mes de Fecha]]="Septiembre",9,10),Tabla1[[#This Row],[Día de Fecha]])</f>
        <v>46296</v>
      </c>
      <c r="G8174">
        <v>33355697</v>
      </c>
      <c r="H8174" t="s">
        <v>592</v>
      </c>
      <c r="I8174">
        <v>38</v>
      </c>
      <c r="J8174">
        <v>0</v>
      </c>
      <c r="K8174" s="1">
        <v>2244160</v>
      </c>
    </row>
    <row r="8175" spans="1:11" x14ac:dyDescent="0.25">
      <c r="A8175" t="s">
        <v>326</v>
      </c>
      <c r="B8175" t="s">
        <v>818</v>
      </c>
      <c r="C8175" t="s">
        <v>873</v>
      </c>
      <c r="D8175" t="s">
        <v>14</v>
      </c>
      <c r="E8175">
        <v>1</v>
      </c>
      <c r="F8175" s="2">
        <f>DATE(2026,IF(Tabla1[[#This Row],[Mes de Fecha]]="Septiembre",9,10),Tabla1[[#This Row],[Día de Fecha]])</f>
        <v>46296</v>
      </c>
      <c r="G8175">
        <v>1004826334</v>
      </c>
      <c r="H8175" t="s">
        <v>600</v>
      </c>
      <c r="I8175">
        <v>48</v>
      </c>
      <c r="J8175">
        <v>0</v>
      </c>
      <c r="K8175" s="1">
        <v>3056808</v>
      </c>
    </row>
    <row r="8176" spans="1:11" x14ac:dyDescent="0.25">
      <c r="A8176" t="s">
        <v>326</v>
      </c>
      <c r="B8176" t="s">
        <v>818</v>
      </c>
      <c r="C8176" t="s">
        <v>873</v>
      </c>
      <c r="D8176" t="s">
        <v>14</v>
      </c>
      <c r="E8176">
        <v>1</v>
      </c>
      <c r="F8176" s="2">
        <f>DATE(2026,IF(Tabla1[[#This Row],[Mes de Fecha]]="Septiembre",9,10),Tabla1[[#This Row],[Día de Fecha]])</f>
        <v>46296</v>
      </c>
      <c r="G8176">
        <v>1007466983</v>
      </c>
      <c r="H8176" t="s">
        <v>601</v>
      </c>
      <c r="I8176">
        <v>55</v>
      </c>
      <c r="J8176">
        <v>0</v>
      </c>
      <c r="K8176" s="1">
        <v>3291766</v>
      </c>
    </row>
    <row r="8177" spans="1:11" x14ac:dyDescent="0.25">
      <c r="A8177" t="s">
        <v>326</v>
      </c>
      <c r="B8177" t="s">
        <v>818</v>
      </c>
      <c r="C8177" t="s">
        <v>873</v>
      </c>
      <c r="D8177" t="s">
        <v>14</v>
      </c>
      <c r="E8177">
        <v>1</v>
      </c>
      <c r="F8177" s="2">
        <f>DATE(2026,IF(Tabla1[[#This Row],[Mes de Fecha]]="Septiembre",9,10),Tabla1[[#This Row],[Día de Fecha]])</f>
        <v>46296</v>
      </c>
      <c r="G8177">
        <v>1094957784</v>
      </c>
      <c r="H8177" t="s">
        <v>593</v>
      </c>
      <c r="I8177">
        <v>-2</v>
      </c>
      <c r="J8177">
        <v>0</v>
      </c>
      <c r="K8177" s="1">
        <v>-79748</v>
      </c>
    </row>
    <row r="8178" spans="1:11" x14ac:dyDescent="0.25">
      <c r="A8178" t="s">
        <v>326</v>
      </c>
      <c r="B8178" t="s">
        <v>818</v>
      </c>
      <c r="C8178" t="s">
        <v>873</v>
      </c>
      <c r="D8178" t="s">
        <v>14</v>
      </c>
      <c r="E8178">
        <v>1</v>
      </c>
      <c r="F8178" s="2">
        <f>DATE(2026,IF(Tabla1[[#This Row],[Mes de Fecha]]="Septiembre",9,10),Tabla1[[#This Row],[Día de Fecha]])</f>
        <v>46296</v>
      </c>
      <c r="G8178">
        <v>1097391531</v>
      </c>
      <c r="H8178" t="s">
        <v>595</v>
      </c>
      <c r="I8178">
        <v>-1</v>
      </c>
      <c r="J8178">
        <v>0</v>
      </c>
      <c r="K8178" s="1">
        <v>-50336</v>
      </c>
    </row>
    <row r="8179" spans="1:11" x14ac:dyDescent="0.25">
      <c r="A8179" t="s">
        <v>326</v>
      </c>
      <c r="B8179" t="s">
        <v>818</v>
      </c>
      <c r="C8179" t="s">
        <v>873</v>
      </c>
      <c r="D8179" t="s">
        <v>14</v>
      </c>
      <c r="E8179">
        <v>2</v>
      </c>
      <c r="F8179" s="2">
        <f>DATE(2026,IF(Tabla1[[#This Row],[Mes de Fecha]]="Septiembre",9,10),Tabla1[[#This Row],[Día de Fecha]])</f>
        <v>46297</v>
      </c>
      <c r="I8179">
        <v>0</v>
      </c>
      <c r="J8179" s="1">
        <v>12485516</v>
      </c>
      <c r="K8179">
        <v>0</v>
      </c>
    </row>
    <row r="8180" spans="1:11" x14ac:dyDescent="0.25">
      <c r="A8180" t="s">
        <v>326</v>
      </c>
      <c r="B8180" t="s">
        <v>818</v>
      </c>
      <c r="C8180" t="s">
        <v>873</v>
      </c>
      <c r="D8180" t="s">
        <v>14</v>
      </c>
      <c r="E8180">
        <v>2</v>
      </c>
      <c r="F8180" s="2">
        <f>DATE(2026,IF(Tabla1[[#This Row],[Mes de Fecha]]="Septiembre",9,10),Tabla1[[#This Row],[Día de Fecha]])</f>
        <v>46297</v>
      </c>
      <c r="G8180">
        <v>24606628</v>
      </c>
      <c r="H8180" t="s">
        <v>596</v>
      </c>
      <c r="I8180">
        <v>0</v>
      </c>
      <c r="J8180">
        <v>0</v>
      </c>
      <c r="K8180" s="1">
        <v>8403</v>
      </c>
    </row>
    <row r="8181" spans="1:11" x14ac:dyDescent="0.25">
      <c r="A8181" t="s">
        <v>326</v>
      </c>
      <c r="B8181" t="s">
        <v>818</v>
      </c>
      <c r="C8181" t="s">
        <v>873</v>
      </c>
      <c r="D8181" t="s">
        <v>14</v>
      </c>
      <c r="E8181">
        <v>2</v>
      </c>
      <c r="F8181" s="2">
        <f>DATE(2026,IF(Tabla1[[#This Row],[Mes de Fecha]]="Septiembre",9,10),Tabla1[[#This Row],[Día de Fecha]])</f>
        <v>46297</v>
      </c>
      <c r="G8181">
        <v>33355697</v>
      </c>
      <c r="H8181" t="s">
        <v>592</v>
      </c>
      <c r="I8181">
        <v>82</v>
      </c>
      <c r="J8181">
        <v>0</v>
      </c>
      <c r="K8181" s="1">
        <v>4872528</v>
      </c>
    </row>
    <row r="8182" spans="1:11" x14ac:dyDescent="0.25">
      <c r="A8182" t="s">
        <v>326</v>
      </c>
      <c r="B8182" t="s">
        <v>818</v>
      </c>
      <c r="C8182" t="s">
        <v>873</v>
      </c>
      <c r="D8182" t="s">
        <v>14</v>
      </c>
      <c r="E8182">
        <v>2</v>
      </c>
      <c r="F8182" s="2">
        <f>DATE(2026,IF(Tabla1[[#This Row],[Mes de Fecha]]="Septiembre",9,10),Tabla1[[#This Row],[Día de Fecha]])</f>
        <v>46297</v>
      </c>
      <c r="G8182">
        <v>1000190054</v>
      </c>
      <c r="H8182" t="s">
        <v>597</v>
      </c>
      <c r="I8182">
        <v>30</v>
      </c>
      <c r="J8182">
        <v>0</v>
      </c>
      <c r="K8182" s="1">
        <v>1931473</v>
      </c>
    </row>
    <row r="8183" spans="1:11" x14ac:dyDescent="0.25">
      <c r="A8183" t="s">
        <v>326</v>
      </c>
      <c r="B8183" t="s">
        <v>818</v>
      </c>
      <c r="C8183" t="s">
        <v>873</v>
      </c>
      <c r="D8183" t="s">
        <v>14</v>
      </c>
      <c r="E8183">
        <v>2</v>
      </c>
      <c r="F8183" s="2">
        <f>DATE(2026,IF(Tabla1[[#This Row],[Mes de Fecha]]="Septiembre",9,10),Tabla1[[#This Row],[Día de Fecha]])</f>
        <v>46297</v>
      </c>
      <c r="G8183">
        <v>1004826334</v>
      </c>
      <c r="H8183" t="s">
        <v>600</v>
      </c>
      <c r="I8183">
        <v>44</v>
      </c>
      <c r="J8183">
        <v>0</v>
      </c>
      <c r="K8183" s="1">
        <v>2652351</v>
      </c>
    </row>
    <row r="8184" spans="1:11" x14ac:dyDescent="0.25">
      <c r="A8184" t="s">
        <v>326</v>
      </c>
      <c r="B8184" t="s">
        <v>818</v>
      </c>
      <c r="C8184" t="s">
        <v>873</v>
      </c>
      <c r="D8184" t="s">
        <v>14</v>
      </c>
      <c r="E8184">
        <v>2</v>
      </c>
      <c r="F8184" s="2">
        <f>DATE(2026,IF(Tabla1[[#This Row],[Mes de Fecha]]="Septiembre",9,10),Tabla1[[#This Row],[Día de Fecha]])</f>
        <v>46297</v>
      </c>
      <c r="G8184">
        <v>1007466983</v>
      </c>
      <c r="H8184" t="s">
        <v>601</v>
      </c>
      <c r="I8184">
        <v>53</v>
      </c>
      <c r="J8184">
        <v>0</v>
      </c>
      <c r="K8184" s="1">
        <v>3157272</v>
      </c>
    </row>
    <row r="8185" spans="1:11" x14ac:dyDescent="0.25">
      <c r="A8185" t="s">
        <v>326</v>
      </c>
      <c r="B8185" t="s">
        <v>818</v>
      </c>
      <c r="C8185" t="s">
        <v>873</v>
      </c>
      <c r="D8185" t="s">
        <v>14</v>
      </c>
      <c r="E8185">
        <v>3</v>
      </c>
      <c r="F8185" s="2">
        <f>DATE(2026,IF(Tabla1[[#This Row],[Mes de Fecha]]="Septiembre",9,10),Tabla1[[#This Row],[Día de Fecha]])</f>
        <v>46298</v>
      </c>
      <c r="I8185">
        <v>0</v>
      </c>
      <c r="J8185" s="1">
        <v>21573840</v>
      </c>
      <c r="K8185">
        <v>0</v>
      </c>
    </row>
    <row r="8186" spans="1:11" x14ac:dyDescent="0.25">
      <c r="A8186" t="s">
        <v>326</v>
      </c>
      <c r="B8186" t="s">
        <v>818</v>
      </c>
      <c r="C8186" t="s">
        <v>873</v>
      </c>
      <c r="D8186" t="s">
        <v>14</v>
      </c>
      <c r="E8186">
        <v>3</v>
      </c>
      <c r="F8186" s="2">
        <f>DATE(2026,IF(Tabla1[[#This Row],[Mes de Fecha]]="Septiembre",9,10),Tabla1[[#This Row],[Día de Fecha]])</f>
        <v>46298</v>
      </c>
      <c r="G8186">
        <v>33355697</v>
      </c>
      <c r="H8186" t="s">
        <v>592</v>
      </c>
      <c r="I8186">
        <v>141</v>
      </c>
      <c r="J8186">
        <v>0</v>
      </c>
      <c r="K8186" s="1">
        <v>8000804</v>
      </c>
    </row>
    <row r="8187" spans="1:11" x14ac:dyDescent="0.25">
      <c r="A8187" t="s">
        <v>326</v>
      </c>
      <c r="B8187" t="s">
        <v>818</v>
      </c>
      <c r="C8187" t="s">
        <v>873</v>
      </c>
      <c r="D8187" t="s">
        <v>14</v>
      </c>
      <c r="E8187">
        <v>3</v>
      </c>
      <c r="F8187" s="2">
        <f>DATE(2026,IF(Tabla1[[#This Row],[Mes de Fecha]]="Septiembre",9,10),Tabla1[[#This Row],[Día de Fecha]])</f>
        <v>46298</v>
      </c>
      <c r="G8187">
        <v>1000190054</v>
      </c>
      <c r="H8187" t="s">
        <v>597</v>
      </c>
      <c r="I8187">
        <v>100</v>
      </c>
      <c r="J8187">
        <v>0</v>
      </c>
      <c r="K8187" s="1">
        <v>4890073</v>
      </c>
    </row>
    <row r="8188" spans="1:11" x14ac:dyDescent="0.25">
      <c r="A8188" t="s">
        <v>326</v>
      </c>
      <c r="B8188" t="s">
        <v>818</v>
      </c>
      <c r="C8188" t="s">
        <v>873</v>
      </c>
      <c r="D8188" t="s">
        <v>14</v>
      </c>
      <c r="E8188">
        <v>3</v>
      </c>
      <c r="F8188" s="2">
        <f>DATE(2026,IF(Tabla1[[#This Row],[Mes de Fecha]]="Septiembre",9,10),Tabla1[[#This Row],[Día de Fecha]])</f>
        <v>46298</v>
      </c>
      <c r="G8188">
        <v>1004826334</v>
      </c>
      <c r="H8188" t="s">
        <v>600</v>
      </c>
      <c r="I8188">
        <v>69</v>
      </c>
      <c r="J8188">
        <v>0</v>
      </c>
      <c r="K8188" s="1">
        <v>3877824</v>
      </c>
    </row>
    <row r="8189" spans="1:11" x14ac:dyDescent="0.25">
      <c r="A8189" t="s">
        <v>326</v>
      </c>
      <c r="B8189" t="s">
        <v>818</v>
      </c>
      <c r="C8189" t="s">
        <v>873</v>
      </c>
      <c r="D8189" t="s">
        <v>14</v>
      </c>
      <c r="E8189">
        <v>3</v>
      </c>
      <c r="F8189" s="2">
        <f>DATE(2026,IF(Tabla1[[#This Row],[Mes de Fecha]]="Septiembre",9,10),Tabla1[[#This Row],[Día de Fecha]])</f>
        <v>46298</v>
      </c>
      <c r="G8189">
        <v>1007466983</v>
      </c>
      <c r="H8189" t="s">
        <v>601</v>
      </c>
      <c r="I8189">
        <v>103</v>
      </c>
      <c r="J8189">
        <v>0</v>
      </c>
      <c r="K8189" s="1">
        <v>5757714</v>
      </c>
    </row>
    <row r="8190" spans="1:11" x14ac:dyDescent="0.25">
      <c r="A8190" t="s">
        <v>326</v>
      </c>
      <c r="B8190" t="s">
        <v>818</v>
      </c>
      <c r="C8190" t="s">
        <v>873</v>
      </c>
      <c r="D8190" t="s">
        <v>14</v>
      </c>
      <c r="E8190">
        <v>3</v>
      </c>
      <c r="F8190" s="2">
        <f>DATE(2026,IF(Tabla1[[#This Row],[Mes de Fecha]]="Septiembre",9,10),Tabla1[[#This Row],[Día de Fecha]])</f>
        <v>46298</v>
      </c>
      <c r="G8190">
        <v>1094971574</v>
      </c>
      <c r="H8190" t="s">
        <v>546</v>
      </c>
      <c r="I8190">
        <v>-1</v>
      </c>
      <c r="J8190">
        <v>0</v>
      </c>
      <c r="K8190" s="1">
        <v>-41975</v>
      </c>
    </row>
    <row r="8191" spans="1:11" x14ac:dyDescent="0.25">
      <c r="A8191" t="s">
        <v>326</v>
      </c>
      <c r="B8191" t="s">
        <v>818</v>
      </c>
      <c r="C8191" t="s">
        <v>873</v>
      </c>
      <c r="D8191" t="s">
        <v>14</v>
      </c>
      <c r="E8191">
        <v>4</v>
      </c>
      <c r="F8191" s="2">
        <f>DATE(2026,IF(Tabla1[[#This Row],[Mes de Fecha]]="Septiembre",9,10),Tabla1[[#This Row],[Día de Fecha]])</f>
        <v>46299</v>
      </c>
      <c r="I8191">
        <v>0</v>
      </c>
      <c r="J8191" s="1">
        <v>8707134</v>
      </c>
      <c r="K8191">
        <v>0</v>
      </c>
    </row>
    <row r="8192" spans="1:11" x14ac:dyDescent="0.25">
      <c r="A8192" t="s">
        <v>326</v>
      </c>
      <c r="B8192" t="s">
        <v>818</v>
      </c>
      <c r="C8192" t="s">
        <v>873</v>
      </c>
      <c r="D8192" t="s">
        <v>14</v>
      </c>
      <c r="E8192">
        <v>4</v>
      </c>
      <c r="F8192" s="2">
        <f>DATE(2026,IF(Tabla1[[#This Row],[Mes de Fecha]]="Septiembre",9,10),Tabla1[[#This Row],[Día de Fecha]])</f>
        <v>46299</v>
      </c>
      <c r="G8192">
        <v>24606628</v>
      </c>
      <c r="H8192" t="s">
        <v>596</v>
      </c>
      <c r="I8192">
        <v>-2</v>
      </c>
      <c r="J8192">
        <v>0</v>
      </c>
      <c r="K8192" s="1">
        <v>-100672</v>
      </c>
    </row>
    <row r="8193" spans="1:11" x14ac:dyDescent="0.25">
      <c r="A8193" t="s">
        <v>326</v>
      </c>
      <c r="B8193" t="s">
        <v>818</v>
      </c>
      <c r="C8193" t="s">
        <v>873</v>
      </c>
      <c r="D8193" t="s">
        <v>14</v>
      </c>
      <c r="E8193">
        <v>4</v>
      </c>
      <c r="F8193" s="2">
        <f>DATE(2026,IF(Tabla1[[#This Row],[Mes de Fecha]]="Septiembre",9,10),Tabla1[[#This Row],[Día de Fecha]])</f>
        <v>46299</v>
      </c>
      <c r="G8193">
        <v>33355697</v>
      </c>
      <c r="H8193" t="s">
        <v>592</v>
      </c>
      <c r="I8193">
        <v>52</v>
      </c>
      <c r="J8193">
        <v>0</v>
      </c>
      <c r="K8193" s="1">
        <v>3359037</v>
      </c>
    </row>
    <row r="8194" spans="1:11" x14ac:dyDescent="0.25">
      <c r="A8194" t="s">
        <v>326</v>
      </c>
      <c r="B8194" t="s">
        <v>818</v>
      </c>
      <c r="C8194" t="s">
        <v>873</v>
      </c>
      <c r="D8194" t="s">
        <v>14</v>
      </c>
      <c r="E8194">
        <v>4</v>
      </c>
      <c r="F8194" s="2">
        <f>DATE(2026,IF(Tabla1[[#This Row],[Mes de Fecha]]="Septiembre",9,10),Tabla1[[#This Row],[Día de Fecha]])</f>
        <v>46299</v>
      </c>
      <c r="G8194">
        <v>1000190054</v>
      </c>
      <c r="H8194" t="s">
        <v>597</v>
      </c>
      <c r="I8194">
        <v>13</v>
      </c>
      <c r="J8194">
        <v>0</v>
      </c>
      <c r="K8194" s="1">
        <v>789329</v>
      </c>
    </row>
    <row r="8195" spans="1:11" x14ac:dyDescent="0.25">
      <c r="A8195" t="s">
        <v>326</v>
      </c>
      <c r="B8195" t="s">
        <v>818</v>
      </c>
      <c r="C8195" t="s">
        <v>873</v>
      </c>
      <c r="D8195" t="s">
        <v>14</v>
      </c>
      <c r="E8195">
        <v>4</v>
      </c>
      <c r="F8195" s="2">
        <f>DATE(2026,IF(Tabla1[[#This Row],[Mes de Fecha]]="Septiembre",9,10),Tabla1[[#This Row],[Día de Fecha]])</f>
        <v>46299</v>
      </c>
      <c r="G8195">
        <v>1004826334</v>
      </c>
      <c r="H8195" t="s">
        <v>600</v>
      </c>
      <c r="I8195">
        <v>32</v>
      </c>
      <c r="J8195">
        <v>0</v>
      </c>
      <c r="K8195" s="1">
        <v>1796892</v>
      </c>
    </row>
    <row r="8196" spans="1:11" x14ac:dyDescent="0.25">
      <c r="A8196" t="s">
        <v>326</v>
      </c>
      <c r="B8196" t="s">
        <v>818</v>
      </c>
      <c r="C8196" t="s">
        <v>873</v>
      </c>
      <c r="D8196" t="s">
        <v>14</v>
      </c>
      <c r="E8196">
        <v>4</v>
      </c>
      <c r="F8196" s="2">
        <f>DATE(2026,IF(Tabla1[[#This Row],[Mes de Fecha]]="Septiembre",9,10),Tabla1[[#This Row],[Día de Fecha]])</f>
        <v>46299</v>
      </c>
      <c r="G8196">
        <v>1007466983</v>
      </c>
      <c r="H8196" t="s">
        <v>601</v>
      </c>
      <c r="I8196">
        <v>42</v>
      </c>
      <c r="J8196">
        <v>0</v>
      </c>
      <c r="K8196" s="1">
        <v>2527651</v>
      </c>
    </row>
    <row r="8197" spans="1:11" x14ac:dyDescent="0.25">
      <c r="A8197" t="s">
        <v>326</v>
      </c>
      <c r="B8197" t="s">
        <v>818</v>
      </c>
      <c r="C8197" t="s">
        <v>873</v>
      </c>
      <c r="D8197" t="s">
        <v>14</v>
      </c>
      <c r="E8197">
        <v>5</v>
      </c>
      <c r="F8197" s="2">
        <f>DATE(2026,IF(Tabla1[[#This Row],[Mes de Fecha]]="Septiembre",9,10),Tabla1[[#This Row],[Día de Fecha]])</f>
        <v>46300</v>
      </c>
      <c r="I8197">
        <v>0</v>
      </c>
      <c r="J8197" s="1">
        <v>8414994</v>
      </c>
      <c r="K8197">
        <v>0</v>
      </c>
    </row>
    <row r="8198" spans="1:11" x14ac:dyDescent="0.25">
      <c r="A8198" t="s">
        <v>326</v>
      </c>
      <c r="B8198" t="s">
        <v>818</v>
      </c>
      <c r="C8198" t="s">
        <v>873</v>
      </c>
      <c r="D8198" t="s">
        <v>14</v>
      </c>
      <c r="E8198">
        <v>5</v>
      </c>
      <c r="F8198" s="2">
        <f>DATE(2026,IF(Tabla1[[#This Row],[Mes de Fecha]]="Septiembre",9,10),Tabla1[[#This Row],[Día de Fecha]])</f>
        <v>46300</v>
      </c>
      <c r="G8198">
        <v>33355697</v>
      </c>
      <c r="H8198" t="s">
        <v>592</v>
      </c>
      <c r="I8198">
        <v>89</v>
      </c>
      <c r="J8198">
        <v>0</v>
      </c>
      <c r="K8198" s="1">
        <v>5254612</v>
      </c>
    </row>
    <row r="8199" spans="1:11" x14ac:dyDescent="0.25">
      <c r="A8199" t="s">
        <v>326</v>
      </c>
      <c r="B8199" t="s">
        <v>818</v>
      </c>
      <c r="C8199" t="s">
        <v>873</v>
      </c>
      <c r="D8199" t="s">
        <v>14</v>
      </c>
      <c r="E8199">
        <v>5</v>
      </c>
      <c r="F8199" s="2">
        <f>DATE(2026,IF(Tabla1[[#This Row],[Mes de Fecha]]="Septiembre",9,10),Tabla1[[#This Row],[Día de Fecha]])</f>
        <v>46300</v>
      </c>
      <c r="G8199">
        <v>1000190054</v>
      </c>
      <c r="H8199" t="s">
        <v>597</v>
      </c>
      <c r="I8199">
        <v>-1</v>
      </c>
      <c r="J8199">
        <v>0</v>
      </c>
      <c r="K8199" s="1">
        <v>-41975</v>
      </c>
    </row>
    <row r="8200" spans="1:11" x14ac:dyDescent="0.25">
      <c r="A8200" t="s">
        <v>326</v>
      </c>
      <c r="B8200" t="s">
        <v>818</v>
      </c>
      <c r="C8200" t="s">
        <v>873</v>
      </c>
      <c r="D8200" t="s">
        <v>14</v>
      </c>
      <c r="E8200">
        <v>5</v>
      </c>
      <c r="F8200" s="2">
        <f>DATE(2026,IF(Tabla1[[#This Row],[Mes de Fecha]]="Septiembre",9,10),Tabla1[[#This Row],[Día de Fecha]])</f>
        <v>46300</v>
      </c>
      <c r="G8200">
        <v>1004826334</v>
      </c>
      <c r="H8200" t="s">
        <v>600</v>
      </c>
      <c r="I8200">
        <v>64</v>
      </c>
      <c r="J8200">
        <v>0</v>
      </c>
      <c r="K8200" s="1">
        <v>3833112</v>
      </c>
    </row>
    <row r="8201" spans="1:11" x14ac:dyDescent="0.25">
      <c r="A8201" t="s">
        <v>326</v>
      </c>
      <c r="B8201" t="s">
        <v>818</v>
      </c>
      <c r="C8201" t="s">
        <v>873</v>
      </c>
      <c r="D8201" t="s">
        <v>14</v>
      </c>
      <c r="E8201">
        <v>5</v>
      </c>
      <c r="F8201" s="2">
        <f>DATE(2026,IF(Tabla1[[#This Row],[Mes de Fecha]]="Septiembre",9,10),Tabla1[[#This Row],[Día de Fecha]])</f>
        <v>46300</v>
      </c>
      <c r="G8201">
        <v>1007466983</v>
      </c>
      <c r="H8201" t="s">
        <v>601</v>
      </c>
      <c r="I8201">
        <v>79</v>
      </c>
      <c r="J8201">
        <v>0</v>
      </c>
      <c r="K8201" s="1">
        <v>4904164</v>
      </c>
    </row>
    <row r="8202" spans="1:11" x14ac:dyDescent="0.25">
      <c r="A8202" t="s">
        <v>326</v>
      </c>
      <c r="B8202" t="s">
        <v>818</v>
      </c>
      <c r="C8202" t="s">
        <v>873</v>
      </c>
      <c r="D8202" t="s">
        <v>14</v>
      </c>
      <c r="E8202">
        <v>5</v>
      </c>
      <c r="F8202" s="2">
        <f>DATE(2026,IF(Tabla1[[#This Row],[Mes de Fecha]]="Septiembre",9,10),Tabla1[[#This Row],[Día de Fecha]])</f>
        <v>46300</v>
      </c>
      <c r="G8202">
        <v>1092850523</v>
      </c>
      <c r="H8202" t="s">
        <v>591</v>
      </c>
      <c r="I8202">
        <v>-1</v>
      </c>
      <c r="J8202">
        <v>0</v>
      </c>
      <c r="K8202" s="1">
        <v>-54580</v>
      </c>
    </row>
    <row r="8203" spans="1:11" x14ac:dyDescent="0.25">
      <c r="A8203" t="s">
        <v>326</v>
      </c>
      <c r="B8203" t="s">
        <v>818</v>
      </c>
      <c r="C8203" t="s">
        <v>873</v>
      </c>
      <c r="D8203" t="s">
        <v>14</v>
      </c>
      <c r="E8203">
        <v>6</v>
      </c>
      <c r="F8203" s="2">
        <f>DATE(2026,IF(Tabla1[[#This Row],[Mes de Fecha]]="Septiembre",9,10),Tabla1[[#This Row],[Día de Fecha]])</f>
        <v>46301</v>
      </c>
      <c r="I8203">
        <v>0</v>
      </c>
      <c r="J8203" s="1">
        <v>7070188</v>
      </c>
      <c r="K8203">
        <v>0</v>
      </c>
    </row>
    <row r="8204" spans="1:11" x14ac:dyDescent="0.25">
      <c r="A8204" t="s">
        <v>326</v>
      </c>
      <c r="B8204" t="s">
        <v>818</v>
      </c>
      <c r="C8204" t="s">
        <v>873</v>
      </c>
      <c r="D8204" t="s">
        <v>14</v>
      </c>
      <c r="E8204">
        <v>6</v>
      </c>
      <c r="F8204" s="2">
        <f>DATE(2026,IF(Tabla1[[#This Row],[Mes de Fecha]]="Septiembre",9,10),Tabla1[[#This Row],[Día de Fecha]])</f>
        <v>46301</v>
      </c>
      <c r="G8204">
        <v>33355697</v>
      </c>
      <c r="H8204" t="s">
        <v>592</v>
      </c>
      <c r="I8204">
        <v>44</v>
      </c>
      <c r="J8204">
        <v>0</v>
      </c>
      <c r="K8204" s="1">
        <v>2579962</v>
      </c>
    </row>
    <row r="8205" spans="1:11" x14ac:dyDescent="0.25">
      <c r="A8205" t="s">
        <v>326</v>
      </c>
      <c r="B8205" t="s">
        <v>818</v>
      </c>
      <c r="C8205" t="s">
        <v>873</v>
      </c>
      <c r="D8205" t="s">
        <v>14</v>
      </c>
      <c r="E8205">
        <v>6</v>
      </c>
      <c r="F8205" s="2">
        <f>DATE(2026,IF(Tabla1[[#This Row],[Mes de Fecha]]="Septiembre",9,10),Tabla1[[#This Row],[Día de Fecha]])</f>
        <v>46301</v>
      </c>
      <c r="G8205">
        <v>1000190054</v>
      </c>
      <c r="H8205" t="s">
        <v>597</v>
      </c>
      <c r="I8205">
        <v>-2</v>
      </c>
      <c r="J8205">
        <v>0</v>
      </c>
      <c r="K8205" s="1">
        <v>-92361</v>
      </c>
    </row>
    <row r="8206" spans="1:11" x14ac:dyDescent="0.25">
      <c r="A8206" t="s">
        <v>326</v>
      </c>
      <c r="B8206" t="s">
        <v>818</v>
      </c>
      <c r="C8206" t="s">
        <v>873</v>
      </c>
      <c r="D8206" t="s">
        <v>14</v>
      </c>
      <c r="E8206">
        <v>6</v>
      </c>
      <c r="F8206" s="2">
        <f>DATE(2026,IF(Tabla1[[#This Row],[Mes de Fecha]]="Septiembre",9,10),Tabla1[[#This Row],[Día de Fecha]])</f>
        <v>46301</v>
      </c>
      <c r="G8206">
        <v>1004826334</v>
      </c>
      <c r="H8206" t="s">
        <v>600</v>
      </c>
      <c r="I8206">
        <v>34</v>
      </c>
      <c r="J8206">
        <v>0</v>
      </c>
      <c r="K8206" s="1">
        <v>1962856</v>
      </c>
    </row>
    <row r="8207" spans="1:11" x14ac:dyDescent="0.25">
      <c r="A8207" t="s">
        <v>326</v>
      </c>
      <c r="B8207" t="s">
        <v>818</v>
      </c>
      <c r="C8207" t="s">
        <v>873</v>
      </c>
      <c r="D8207" t="s">
        <v>14</v>
      </c>
      <c r="E8207">
        <v>6</v>
      </c>
      <c r="F8207" s="2">
        <f>DATE(2026,IF(Tabla1[[#This Row],[Mes de Fecha]]="Septiembre",9,10),Tabla1[[#This Row],[Día de Fecha]])</f>
        <v>46301</v>
      </c>
      <c r="G8207">
        <v>1007466983</v>
      </c>
      <c r="H8207" t="s">
        <v>601</v>
      </c>
      <c r="I8207">
        <v>45</v>
      </c>
      <c r="J8207">
        <v>0</v>
      </c>
      <c r="K8207" s="1">
        <v>2655507</v>
      </c>
    </row>
    <row r="8208" spans="1:11" x14ac:dyDescent="0.25">
      <c r="A8208" t="s">
        <v>326</v>
      </c>
      <c r="B8208" t="s">
        <v>818</v>
      </c>
      <c r="C8208" t="s">
        <v>873</v>
      </c>
      <c r="D8208" t="s">
        <v>14</v>
      </c>
      <c r="E8208">
        <v>7</v>
      </c>
      <c r="F8208" s="2">
        <f>DATE(2026,IF(Tabla1[[#This Row],[Mes de Fecha]]="Septiembre",9,10),Tabla1[[#This Row],[Día de Fecha]])</f>
        <v>46302</v>
      </c>
      <c r="I8208">
        <v>0</v>
      </c>
      <c r="J8208" s="1">
        <v>6977158</v>
      </c>
      <c r="K8208">
        <v>0</v>
      </c>
    </row>
    <row r="8209" spans="1:11" x14ac:dyDescent="0.25">
      <c r="A8209" t="s">
        <v>326</v>
      </c>
      <c r="B8209" t="s">
        <v>818</v>
      </c>
      <c r="C8209" t="s">
        <v>873</v>
      </c>
      <c r="D8209" t="s">
        <v>14</v>
      </c>
      <c r="E8209">
        <v>7</v>
      </c>
      <c r="F8209" s="2">
        <f>DATE(2026,IF(Tabla1[[#This Row],[Mes de Fecha]]="Septiembre",9,10),Tabla1[[#This Row],[Día de Fecha]])</f>
        <v>46302</v>
      </c>
      <c r="G8209">
        <v>24606628</v>
      </c>
      <c r="H8209" t="s">
        <v>596</v>
      </c>
      <c r="I8209">
        <v>-1</v>
      </c>
      <c r="J8209">
        <v>0</v>
      </c>
      <c r="K8209" s="1">
        <v>-79790</v>
      </c>
    </row>
    <row r="8210" spans="1:11" x14ac:dyDescent="0.25">
      <c r="A8210" t="s">
        <v>326</v>
      </c>
      <c r="B8210" t="s">
        <v>818</v>
      </c>
      <c r="C8210" t="s">
        <v>873</v>
      </c>
      <c r="D8210" t="s">
        <v>14</v>
      </c>
      <c r="E8210">
        <v>7</v>
      </c>
      <c r="F8210" s="2">
        <f>DATE(2026,IF(Tabla1[[#This Row],[Mes de Fecha]]="Septiembre",9,10),Tabla1[[#This Row],[Día de Fecha]])</f>
        <v>46302</v>
      </c>
      <c r="G8210">
        <v>33355697</v>
      </c>
      <c r="H8210" t="s">
        <v>592</v>
      </c>
      <c r="I8210">
        <v>55</v>
      </c>
      <c r="J8210">
        <v>0</v>
      </c>
      <c r="K8210" s="1">
        <v>3468028</v>
      </c>
    </row>
    <row r="8211" spans="1:11" x14ac:dyDescent="0.25">
      <c r="A8211" t="s">
        <v>326</v>
      </c>
      <c r="B8211" t="s">
        <v>818</v>
      </c>
      <c r="C8211" t="s">
        <v>873</v>
      </c>
      <c r="D8211" t="s">
        <v>14</v>
      </c>
      <c r="E8211">
        <v>7</v>
      </c>
      <c r="F8211" s="2">
        <f>DATE(2026,IF(Tabla1[[#This Row],[Mes de Fecha]]="Septiembre",9,10),Tabla1[[#This Row],[Día de Fecha]])</f>
        <v>46302</v>
      </c>
      <c r="G8211">
        <v>1004826334</v>
      </c>
      <c r="H8211" t="s">
        <v>600</v>
      </c>
      <c r="I8211">
        <v>31</v>
      </c>
      <c r="J8211">
        <v>0</v>
      </c>
      <c r="K8211" s="1">
        <v>1925129</v>
      </c>
    </row>
    <row r="8212" spans="1:11" x14ac:dyDescent="0.25">
      <c r="A8212" t="s">
        <v>326</v>
      </c>
      <c r="B8212" t="s">
        <v>818</v>
      </c>
      <c r="C8212" t="s">
        <v>873</v>
      </c>
      <c r="D8212" t="s">
        <v>14</v>
      </c>
      <c r="E8212">
        <v>7</v>
      </c>
      <c r="F8212" s="2">
        <f>DATE(2026,IF(Tabla1[[#This Row],[Mes de Fecha]]="Septiembre",9,10),Tabla1[[#This Row],[Día de Fecha]])</f>
        <v>46302</v>
      </c>
      <c r="G8212">
        <v>1007466983</v>
      </c>
      <c r="H8212" t="s">
        <v>601</v>
      </c>
      <c r="I8212">
        <v>64</v>
      </c>
      <c r="J8212">
        <v>0</v>
      </c>
      <c r="K8212" s="1">
        <v>3883698</v>
      </c>
    </row>
    <row r="8213" spans="1:11" x14ac:dyDescent="0.25">
      <c r="A8213" t="s">
        <v>326</v>
      </c>
      <c r="B8213" t="s">
        <v>818</v>
      </c>
      <c r="C8213" t="s">
        <v>873</v>
      </c>
      <c r="D8213" t="s">
        <v>14</v>
      </c>
      <c r="E8213">
        <v>7</v>
      </c>
      <c r="F8213" s="2">
        <f>DATE(2026,IF(Tabla1[[#This Row],[Mes de Fecha]]="Septiembre",9,10),Tabla1[[#This Row],[Día de Fecha]])</f>
        <v>46302</v>
      </c>
      <c r="G8213">
        <v>1094905873</v>
      </c>
      <c r="H8213" t="s">
        <v>598</v>
      </c>
      <c r="I8213">
        <v>-1</v>
      </c>
      <c r="J8213">
        <v>0</v>
      </c>
      <c r="K8213" s="1">
        <v>-58740</v>
      </c>
    </row>
    <row r="8214" spans="1:11" x14ac:dyDescent="0.25">
      <c r="A8214" t="s">
        <v>9</v>
      </c>
      <c r="B8214" t="s">
        <v>85</v>
      </c>
      <c r="C8214" t="s">
        <v>874</v>
      </c>
      <c r="D8214" t="s">
        <v>11</v>
      </c>
      <c r="E8214">
        <v>23</v>
      </c>
      <c r="F8214" s="2">
        <f>DATE(2026,IF(Tabla1[[#This Row],[Mes de Fecha]]="Septiembre",9,10),Tabla1[[#This Row],[Día de Fecha]])</f>
        <v>46288</v>
      </c>
      <c r="I8214">
        <v>0</v>
      </c>
      <c r="J8214" s="1">
        <v>2415533</v>
      </c>
      <c r="K8214">
        <v>0</v>
      </c>
    </row>
    <row r="8215" spans="1:11" x14ac:dyDescent="0.25">
      <c r="A8215" t="s">
        <v>9</v>
      </c>
      <c r="B8215" t="s">
        <v>85</v>
      </c>
      <c r="C8215" t="s">
        <v>874</v>
      </c>
      <c r="D8215" t="s">
        <v>11</v>
      </c>
      <c r="E8215">
        <v>23</v>
      </c>
      <c r="F8215" s="2">
        <f>DATE(2026,IF(Tabla1[[#This Row],[Mes de Fecha]]="Septiembre",9,10),Tabla1[[#This Row],[Día de Fecha]])</f>
        <v>46288</v>
      </c>
      <c r="G8215">
        <v>5168766</v>
      </c>
      <c r="H8215" t="s">
        <v>88</v>
      </c>
      <c r="I8215">
        <v>30</v>
      </c>
      <c r="J8215">
        <v>0</v>
      </c>
      <c r="K8215" s="1">
        <v>1834876</v>
      </c>
    </row>
    <row r="8216" spans="1:11" x14ac:dyDescent="0.25">
      <c r="A8216" t="s">
        <v>9</v>
      </c>
      <c r="B8216" t="s">
        <v>85</v>
      </c>
      <c r="C8216" t="s">
        <v>874</v>
      </c>
      <c r="D8216" t="s">
        <v>11</v>
      </c>
      <c r="E8216">
        <v>23</v>
      </c>
      <c r="F8216" s="2">
        <f>DATE(2026,IF(Tabla1[[#This Row],[Mes de Fecha]]="Septiembre",9,10),Tabla1[[#This Row],[Día de Fecha]])</f>
        <v>46288</v>
      </c>
      <c r="G8216">
        <v>87067735</v>
      </c>
      <c r="H8216" t="s">
        <v>86</v>
      </c>
      <c r="I8216">
        <v>28</v>
      </c>
      <c r="J8216">
        <v>0</v>
      </c>
      <c r="K8216" s="1">
        <v>1994625</v>
      </c>
    </row>
    <row r="8217" spans="1:11" x14ac:dyDescent="0.25">
      <c r="A8217" t="s">
        <v>9</v>
      </c>
      <c r="B8217" t="s">
        <v>85</v>
      </c>
      <c r="C8217" t="s">
        <v>874</v>
      </c>
      <c r="D8217" t="s">
        <v>11</v>
      </c>
      <c r="E8217">
        <v>23</v>
      </c>
      <c r="F8217" s="2">
        <f>DATE(2026,IF(Tabla1[[#This Row],[Mes de Fecha]]="Septiembre",9,10),Tabla1[[#This Row],[Día de Fecha]])</f>
        <v>46288</v>
      </c>
      <c r="G8217">
        <v>1085332711</v>
      </c>
      <c r="H8217" t="s">
        <v>87</v>
      </c>
      <c r="I8217">
        <v>1</v>
      </c>
      <c r="J8217">
        <v>0</v>
      </c>
      <c r="K8217" s="1">
        <v>54580</v>
      </c>
    </row>
    <row r="8218" spans="1:11" x14ac:dyDescent="0.25">
      <c r="A8218" t="s">
        <v>9</v>
      </c>
      <c r="B8218" t="s">
        <v>85</v>
      </c>
      <c r="C8218" t="s">
        <v>874</v>
      </c>
      <c r="D8218" t="s">
        <v>11</v>
      </c>
      <c r="E8218">
        <v>24</v>
      </c>
      <c r="F8218" s="2">
        <f>DATE(2026,IF(Tabla1[[#This Row],[Mes de Fecha]]="Septiembre",9,10),Tabla1[[#This Row],[Día de Fecha]])</f>
        <v>46289</v>
      </c>
      <c r="I8218">
        <v>0</v>
      </c>
      <c r="J8218" s="1">
        <v>6247037</v>
      </c>
      <c r="K8218">
        <v>0</v>
      </c>
    </row>
    <row r="8219" spans="1:11" x14ac:dyDescent="0.25">
      <c r="A8219" t="s">
        <v>9</v>
      </c>
      <c r="B8219" t="s">
        <v>85</v>
      </c>
      <c r="C8219" t="s">
        <v>874</v>
      </c>
      <c r="D8219" t="s">
        <v>11</v>
      </c>
      <c r="E8219">
        <v>24</v>
      </c>
      <c r="F8219" s="2">
        <f>DATE(2026,IF(Tabla1[[#This Row],[Mes de Fecha]]="Septiembre",9,10),Tabla1[[#This Row],[Día de Fecha]])</f>
        <v>46289</v>
      </c>
      <c r="G8219">
        <v>5168766</v>
      </c>
      <c r="H8219" t="s">
        <v>88</v>
      </c>
      <c r="I8219">
        <v>33</v>
      </c>
      <c r="J8219">
        <v>0</v>
      </c>
      <c r="K8219" s="1">
        <v>2078448</v>
      </c>
    </row>
    <row r="8220" spans="1:11" x14ac:dyDescent="0.25">
      <c r="A8220" t="s">
        <v>9</v>
      </c>
      <c r="B8220" t="s">
        <v>85</v>
      </c>
      <c r="C8220" t="s">
        <v>874</v>
      </c>
      <c r="D8220" t="s">
        <v>11</v>
      </c>
      <c r="E8220">
        <v>24</v>
      </c>
      <c r="F8220" s="2">
        <f>DATE(2026,IF(Tabla1[[#This Row],[Mes de Fecha]]="Septiembre",9,10),Tabla1[[#This Row],[Día de Fecha]])</f>
        <v>46289</v>
      </c>
      <c r="G8220">
        <v>87067735</v>
      </c>
      <c r="H8220" t="s">
        <v>86</v>
      </c>
      <c r="I8220">
        <v>37</v>
      </c>
      <c r="J8220">
        <v>0</v>
      </c>
      <c r="K8220" s="1">
        <v>2044670</v>
      </c>
    </row>
    <row r="8221" spans="1:11" x14ac:dyDescent="0.25">
      <c r="A8221" t="s">
        <v>9</v>
      </c>
      <c r="B8221" t="s">
        <v>85</v>
      </c>
      <c r="C8221" t="s">
        <v>874</v>
      </c>
      <c r="D8221" t="s">
        <v>11</v>
      </c>
      <c r="E8221">
        <v>24</v>
      </c>
      <c r="F8221" s="2">
        <f>DATE(2026,IF(Tabla1[[#This Row],[Mes de Fecha]]="Septiembre",9,10),Tabla1[[#This Row],[Día de Fecha]])</f>
        <v>46289</v>
      </c>
      <c r="G8221">
        <v>1085332711</v>
      </c>
      <c r="H8221" t="s">
        <v>87</v>
      </c>
      <c r="I8221">
        <v>-1</v>
      </c>
      <c r="J8221">
        <v>0</v>
      </c>
      <c r="K8221" s="1">
        <v>-67143</v>
      </c>
    </row>
    <row r="8222" spans="1:11" x14ac:dyDescent="0.25">
      <c r="A8222" t="s">
        <v>9</v>
      </c>
      <c r="B8222" t="s">
        <v>85</v>
      </c>
      <c r="C8222" t="s">
        <v>874</v>
      </c>
      <c r="D8222" t="s">
        <v>11</v>
      </c>
      <c r="E8222">
        <v>25</v>
      </c>
      <c r="F8222" s="2">
        <f>DATE(2026,IF(Tabla1[[#This Row],[Mes de Fecha]]="Septiembre",9,10),Tabla1[[#This Row],[Día de Fecha]])</f>
        <v>46290</v>
      </c>
      <c r="I8222">
        <v>0</v>
      </c>
      <c r="J8222" s="1">
        <v>6672173</v>
      </c>
      <c r="K8222">
        <v>0</v>
      </c>
    </row>
    <row r="8223" spans="1:11" x14ac:dyDescent="0.25">
      <c r="A8223" t="s">
        <v>9</v>
      </c>
      <c r="B8223" t="s">
        <v>85</v>
      </c>
      <c r="C8223" t="s">
        <v>874</v>
      </c>
      <c r="D8223" t="s">
        <v>11</v>
      </c>
      <c r="E8223">
        <v>25</v>
      </c>
      <c r="F8223" s="2">
        <f>DATE(2026,IF(Tabla1[[#This Row],[Mes de Fecha]]="Septiembre",9,10),Tabla1[[#This Row],[Día de Fecha]])</f>
        <v>46290</v>
      </c>
      <c r="G8223">
        <v>5168766</v>
      </c>
      <c r="H8223" t="s">
        <v>88</v>
      </c>
      <c r="I8223">
        <v>30</v>
      </c>
      <c r="J8223">
        <v>0</v>
      </c>
      <c r="K8223" s="1">
        <v>1996639</v>
      </c>
    </row>
    <row r="8224" spans="1:11" x14ac:dyDescent="0.25">
      <c r="A8224" t="s">
        <v>9</v>
      </c>
      <c r="B8224" t="s">
        <v>85</v>
      </c>
      <c r="C8224" t="s">
        <v>874</v>
      </c>
      <c r="D8224" t="s">
        <v>11</v>
      </c>
      <c r="E8224">
        <v>25</v>
      </c>
      <c r="F8224" s="2">
        <f>DATE(2026,IF(Tabla1[[#This Row],[Mes de Fecha]]="Septiembre",9,10),Tabla1[[#This Row],[Día de Fecha]])</f>
        <v>46290</v>
      </c>
      <c r="G8224">
        <v>87067735</v>
      </c>
      <c r="H8224" t="s">
        <v>86</v>
      </c>
      <c r="I8224">
        <v>68</v>
      </c>
      <c r="J8224">
        <v>0</v>
      </c>
      <c r="K8224" s="1">
        <v>3917313</v>
      </c>
    </row>
    <row r="8225" spans="1:11" x14ac:dyDescent="0.25">
      <c r="A8225" t="s">
        <v>9</v>
      </c>
      <c r="B8225" t="s">
        <v>85</v>
      </c>
      <c r="C8225" t="s">
        <v>874</v>
      </c>
      <c r="D8225" t="s">
        <v>11</v>
      </c>
      <c r="E8225">
        <v>25</v>
      </c>
      <c r="F8225" s="2">
        <f>DATE(2026,IF(Tabla1[[#This Row],[Mes de Fecha]]="Septiembre",9,10),Tabla1[[#This Row],[Día de Fecha]])</f>
        <v>46290</v>
      </c>
      <c r="G8225">
        <v>1085314352</v>
      </c>
      <c r="H8225" t="s">
        <v>89</v>
      </c>
      <c r="I8225">
        <v>13</v>
      </c>
      <c r="J8225">
        <v>0</v>
      </c>
      <c r="K8225" s="1">
        <v>995252</v>
      </c>
    </row>
    <row r="8226" spans="1:11" x14ac:dyDescent="0.25">
      <c r="A8226" t="s">
        <v>9</v>
      </c>
      <c r="B8226" t="s">
        <v>85</v>
      </c>
      <c r="C8226" t="s">
        <v>874</v>
      </c>
      <c r="D8226" t="s">
        <v>11</v>
      </c>
      <c r="E8226">
        <v>26</v>
      </c>
      <c r="F8226" s="2">
        <f>DATE(2026,IF(Tabla1[[#This Row],[Mes de Fecha]]="Septiembre",9,10),Tabla1[[#This Row],[Día de Fecha]])</f>
        <v>46291</v>
      </c>
      <c r="I8226">
        <v>0</v>
      </c>
      <c r="J8226" s="1">
        <v>8413444</v>
      </c>
      <c r="K8226">
        <v>0</v>
      </c>
    </row>
    <row r="8227" spans="1:11" x14ac:dyDescent="0.25">
      <c r="A8227" t="s">
        <v>9</v>
      </c>
      <c r="B8227" t="s">
        <v>85</v>
      </c>
      <c r="C8227" t="s">
        <v>874</v>
      </c>
      <c r="D8227" t="s">
        <v>11</v>
      </c>
      <c r="E8227">
        <v>26</v>
      </c>
      <c r="F8227" s="2">
        <f>DATE(2026,IF(Tabla1[[#This Row],[Mes de Fecha]]="Septiembre",9,10),Tabla1[[#This Row],[Día de Fecha]])</f>
        <v>46291</v>
      </c>
      <c r="G8227">
        <v>5168766</v>
      </c>
      <c r="H8227" t="s">
        <v>88</v>
      </c>
      <c r="I8227">
        <v>111</v>
      </c>
      <c r="J8227">
        <v>0</v>
      </c>
      <c r="K8227" s="1">
        <v>3182496</v>
      </c>
    </row>
    <row r="8228" spans="1:11" x14ac:dyDescent="0.25">
      <c r="A8228" t="s">
        <v>9</v>
      </c>
      <c r="B8228" t="s">
        <v>85</v>
      </c>
      <c r="C8228" t="s">
        <v>874</v>
      </c>
      <c r="D8228" t="s">
        <v>11</v>
      </c>
      <c r="E8228">
        <v>26</v>
      </c>
      <c r="F8228" s="2">
        <f>DATE(2026,IF(Tabla1[[#This Row],[Mes de Fecha]]="Septiembre",9,10),Tabla1[[#This Row],[Día de Fecha]])</f>
        <v>46291</v>
      </c>
      <c r="G8228">
        <v>87067735</v>
      </c>
      <c r="H8228" t="s">
        <v>86</v>
      </c>
      <c r="I8228">
        <v>214</v>
      </c>
      <c r="J8228">
        <v>0</v>
      </c>
      <c r="K8228" s="1">
        <v>6450081</v>
      </c>
    </row>
    <row r="8229" spans="1:11" x14ac:dyDescent="0.25">
      <c r="A8229" t="s">
        <v>9</v>
      </c>
      <c r="B8229" t="s">
        <v>85</v>
      </c>
      <c r="C8229" t="s">
        <v>874</v>
      </c>
      <c r="D8229" t="s">
        <v>11</v>
      </c>
      <c r="E8229">
        <v>26</v>
      </c>
      <c r="F8229" s="2">
        <f>DATE(2026,IF(Tabla1[[#This Row],[Mes de Fecha]]="Septiembre",9,10),Tabla1[[#This Row],[Día de Fecha]])</f>
        <v>46291</v>
      </c>
      <c r="G8229">
        <v>1085314352</v>
      </c>
      <c r="H8229" t="s">
        <v>89</v>
      </c>
      <c r="I8229">
        <v>153</v>
      </c>
      <c r="J8229">
        <v>0</v>
      </c>
      <c r="K8229" s="1">
        <v>4436744</v>
      </c>
    </row>
    <row r="8230" spans="1:11" x14ac:dyDescent="0.25">
      <c r="A8230" t="s">
        <v>9</v>
      </c>
      <c r="B8230" t="s">
        <v>85</v>
      </c>
      <c r="C8230" t="s">
        <v>874</v>
      </c>
      <c r="D8230" t="s">
        <v>11</v>
      </c>
      <c r="E8230">
        <v>27</v>
      </c>
      <c r="F8230" s="2">
        <f>DATE(2026,IF(Tabla1[[#This Row],[Mes de Fecha]]="Septiembre",9,10),Tabla1[[#This Row],[Día de Fecha]])</f>
        <v>46292</v>
      </c>
      <c r="I8230">
        <v>0</v>
      </c>
      <c r="J8230" s="1">
        <v>4442218</v>
      </c>
      <c r="K8230">
        <v>0</v>
      </c>
    </row>
    <row r="8231" spans="1:11" x14ac:dyDescent="0.25">
      <c r="A8231" t="s">
        <v>9</v>
      </c>
      <c r="B8231" t="s">
        <v>85</v>
      </c>
      <c r="C8231" t="s">
        <v>874</v>
      </c>
      <c r="D8231" t="s">
        <v>11</v>
      </c>
      <c r="E8231">
        <v>27</v>
      </c>
      <c r="F8231" s="2">
        <f>DATE(2026,IF(Tabla1[[#This Row],[Mes de Fecha]]="Septiembre",9,10),Tabla1[[#This Row],[Día de Fecha]])</f>
        <v>46292</v>
      </c>
      <c r="G8231">
        <v>5168766</v>
      </c>
      <c r="H8231" t="s">
        <v>88</v>
      </c>
      <c r="I8231">
        <v>11</v>
      </c>
      <c r="J8231">
        <v>0</v>
      </c>
      <c r="K8231" s="1">
        <v>701177</v>
      </c>
    </row>
    <row r="8232" spans="1:11" x14ac:dyDescent="0.25">
      <c r="A8232" t="s">
        <v>9</v>
      </c>
      <c r="B8232" t="s">
        <v>85</v>
      </c>
      <c r="C8232" t="s">
        <v>874</v>
      </c>
      <c r="D8232" t="s">
        <v>11</v>
      </c>
      <c r="E8232">
        <v>27</v>
      </c>
      <c r="F8232" s="2">
        <f>DATE(2026,IF(Tabla1[[#This Row],[Mes de Fecha]]="Septiembre",9,10),Tabla1[[#This Row],[Día de Fecha]])</f>
        <v>46292</v>
      </c>
      <c r="G8232">
        <v>87067735</v>
      </c>
      <c r="H8232" t="s">
        <v>86</v>
      </c>
      <c r="I8232">
        <v>7</v>
      </c>
      <c r="J8232">
        <v>0</v>
      </c>
      <c r="K8232" s="1">
        <v>398824</v>
      </c>
    </row>
    <row r="8233" spans="1:11" x14ac:dyDescent="0.25">
      <c r="A8233" t="s">
        <v>9</v>
      </c>
      <c r="B8233" t="s">
        <v>85</v>
      </c>
      <c r="C8233" t="s">
        <v>874</v>
      </c>
      <c r="D8233" t="s">
        <v>11</v>
      </c>
      <c r="E8233">
        <v>28</v>
      </c>
      <c r="F8233" s="2">
        <f>DATE(2026,IF(Tabla1[[#This Row],[Mes de Fecha]]="Septiembre",9,10),Tabla1[[#This Row],[Día de Fecha]])</f>
        <v>46293</v>
      </c>
      <c r="I8233">
        <v>0</v>
      </c>
      <c r="J8233" s="1">
        <v>3642135</v>
      </c>
      <c r="K8233">
        <v>0</v>
      </c>
    </row>
    <row r="8234" spans="1:11" x14ac:dyDescent="0.25">
      <c r="A8234" t="s">
        <v>9</v>
      </c>
      <c r="B8234" t="s">
        <v>85</v>
      </c>
      <c r="C8234" t="s">
        <v>874</v>
      </c>
      <c r="D8234" t="s">
        <v>11</v>
      </c>
      <c r="E8234">
        <v>28</v>
      </c>
      <c r="F8234" s="2">
        <f>DATE(2026,IF(Tabla1[[#This Row],[Mes de Fecha]]="Septiembre",9,10),Tabla1[[#This Row],[Día de Fecha]])</f>
        <v>46293</v>
      </c>
      <c r="G8234">
        <v>5168766</v>
      </c>
      <c r="H8234" t="s">
        <v>88</v>
      </c>
      <c r="I8234">
        <v>24</v>
      </c>
      <c r="J8234">
        <v>0</v>
      </c>
      <c r="K8234" s="1">
        <v>1528405</v>
      </c>
    </row>
    <row r="8235" spans="1:11" x14ac:dyDescent="0.25">
      <c r="A8235" t="s">
        <v>9</v>
      </c>
      <c r="B8235" t="s">
        <v>85</v>
      </c>
      <c r="C8235" t="s">
        <v>874</v>
      </c>
      <c r="D8235" t="s">
        <v>11</v>
      </c>
      <c r="E8235">
        <v>28</v>
      </c>
      <c r="F8235" s="2">
        <f>DATE(2026,IF(Tabla1[[#This Row],[Mes de Fecha]]="Septiembre",9,10),Tabla1[[#This Row],[Día de Fecha]])</f>
        <v>46293</v>
      </c>
      <c r="G8235">
        <v>87067735</v>
      </c>
      <c r="H8235" t="s">
        <v>86</v>
      </c>
      <c r="I8235">
        <v>27</v>
      </c>
      <c r="J8235">
        <v>0</v>
      </c>
      <c r="K8235" s="1">
        <v>1687818</v>
      </c>
    </row>
    <row r="8236" spans="1:11" x14ac:dyDescent="0.25">
      <c r="A8236" t="s">
        <v>9</v>
      </c>
      <c r="B8236" t="s">
        <v>85</v>
      </c>
      <c r="C8236" t="s">
        <v>874</v>
      </c>
      <c r="D8236" t="s">
        <v>11</v>
      </c>
      <c r="E8236">
        <v>28</v>
      </c>
      <c r="F8236" s="2">
        <f>DATE(2026,IF(Tabla1[[#This Row],[Mes de Fecha]]="Septiembre",9,10),Tabla1[[#This Row],[Día de Fecha]])</f>
        <v>46293</v>
      </c>
      <c r="G8236">
        <v>1085314352</v>
      </c>
      <c r="H8236" t="s">
        <v>89</v>
      </c>
      <c r="I8236">
        <v>3</v>
      </c>
      <c r="J8236">
        <v>0</v>
      </c>
      <c r="K8236" s="1">
        <v>107018</v>
      </c>
    </row>
    <row r="8237" spans="1:11" x14ac:dyDescent="0.25">
      <c r="A8237" t="s">
        <v>9</v>
      </c>
      <c r="B8237" t="s">
        <v>85</v>
      </c>
      <c r="C8237" t="s">
        <v>874</v>
      </c>
      <c r="D8237" t="s">
        <v>11</v>
      </c>
      <c r="E8237">
        <v>29</v>
      </c>
      <c r="F8237" s="2">
        <f>DATE(2026,IF(Tabla1[[#This Row],[Mes de Fecha]]="Septiembre",9,10),Tabla1[[#This Row],[Día de Fecha]])</f>
        <v>46294</v>
      </c>
      <c r="I8237">
        <v>0</v>
      </c>
      <c r="J8237" s="1">
        <v>4048977</v>
      </c>
      <c r="K8237">
        <v>0</v>
      </c>
    </row>
    <row r="8238" spans="1:11" x14ac:dyDescent="0.25">
      <c r="A8238" t="s">
        <v>9</v>
      </c>
      <c r="B8238" t="s">
        <v>85</v>
      </c>
      <c r="C8238" t="s">
        <v>874</v>
      </c>
      <c r="D8238" t="s">
        <v>11</v>
      </c>
      <c r="E8238">
        <v>29</v>
      </c>
      <c r="F8238" s="2">
        <f>DATE(2026,IF(Tabla1[[#This Row],[Mes de Fecha]]="Septiembre",9,10),Tabla1[[#This Row],[Día de Fecha]])</f>
        <v>46294</v>
      </c>
      <c r="G8238">
        <v>5168766</v>
      </c>
      <c r="H8238" t="s">
        <v>88</v>
      </c>
      <c r="I8238">
        <v>29</v>
      </c>
      <c r="J8238">
        <v>0</v>
      </c>
      <c r="K8238" s="1">
        <v>1614330</v>
      </c>
    </row>
    <row r="8239" spans="1:11" x14ac:dyDescent="0.25">
      <c r="A8239" t="s">
        <v>9</v>
      </c>
      <c r="B8239" t="s">
        <v>85</v>
      </c>
      <c r="C8239" t="s">
        <v>874</v>
      </c>
      <c r="D8239" t="s">
        <v>11</v>
      </c>
      <c r="E8239">
        <v>29</v>
      </c>
      <c r="F8239" s="2">
        <f>DATE(2026,IF(Tabla1[[#This Row],[Mes de Fecha]]="Septiembre",9,10),Tabla1[[#This Row],[Día de Fecha]])</f>
        <v>46294</v>
      </c>
      <c r="G8239">
        <v>87067735</v>
      </c>
      <c r="H8239" t="s">
        <v>86</v>
      </c>
      <c r="I8239">
        <v>31</v>
      </c>
      <c r="J8239">
        <v>0</v>
      </c>
      <c r="K8239" s="1">
        <v>1975463</v>
      </c>
    </row>
    <row r="8240" spans="1:11" x14ac:dyDescent="0.25">
      <c r="A8240" t="s">
        <v>9</v>
      </c>
      <c r="B8240" t="s">
        <v>85</v>
      </c>
      <c r="C8240" t="s">
        <v>874</v>
      </c>
      <c r="D8240" t="s">
        <v>11</v>
      </c>
      <c r="E8240">
        <v>30</v>
      </c>
      <c r="F8240" s="2">
        <f>DATE(2026,IF(Tabla1[[#This Row],[Mes de Fecha]]="Septiembre",9,10),Tabla1[[#This Row],[Día de Fecha]])</f>
        <v>46295</v>
      </c>
      <c r="I8240">
        <v>0</v>
      </c>
      <c r="J8240" s="1">
        <v>4287995</v>
      </c>
      <c r="K8240">
        <v>0</v>
      </c>
    </row>
    <row r="8241" spans="1:11" x14ac:dyDescent="0.25">
      <c r="A8241" t="s">
        <v>9</v>
      </c>
      <c r="B8241" t="s">
        <v>85</v>
      </c>
      <c r="C8241" t="s">
        <v>874</v>
      </c>
      <c r="D8241" t="s">
        <v>11</v>
      </c>
      <c r="E8241">
        <v>30</v>
      </c>
      <c r="F8241" s="2">
        <f>DATE(2026,IF(Tabla1[[#This Row],[Mes de Fecha]]="Septiembre",9,10),Tabla1[[#This Row],[Día de Fecha]])</f>
        <v>46295</v>
      </c>
      <c r="G8241">
        <v>5168766</v>
      </c>
      <c r="H8241" t="s">
        <v>88</v>
      </c>
      <c r="I8241">
        <v>38</v>
      </c>
      <c r="J8241">
        <v>0</v>
      </c>
      <c r="K8241" s="1">
        <v>2935211</v>
      </c>
    </row>
    <row r="8242" spans="1:11" x14ac:dyDescent="0.25">
      <c r="A8242" t="s">
        <v>9</v>
      </c>
      <c r="B8242" t="s">
        <v>85</v>
      </c>
      <c r="C8242" t="s">
        <v>874</v>
      </c>
      <c r="D8242" t="s">
        <v>11</v>
      </c>
      <c r="E8242">
        <v>30</v>
      </c>
      <c r="F8242" s="2">
        <f>DATE(2026,IF(Tabla1[[#This Row],[Mes de Fecha]]="Septiembre",9,10),Tabla1[[#This Row],[Día de Fecha]])</f>
        <v>46295</v>
      </c>
      <c r="G8242">
        <v>87067735</v>
      </c>
      <c r="H8242" t="s">
        <v>86</v>
      </c>
      <c r="I8242">
        <v>53</v>
      </c>
      <c r="J8242">
        <v>0</v>
      </c>
      <c r="K8242" s="1">
        <v>3167400</v>
      </c>
    </row>
    <row r="8243" spans="1:11" x14ac:dyDescent="0.25">
      <c r="A8243" t="s">
        <v>9</v>
      </c>
      <c r="B8243" t="s">
        <v>85</v>
      </c>
      <c r="C8243" t="s">
        <v>874</v>
      </c>
      <c r="D8243" t="s">
        <v>14</v>
      </c>
      <c r="E8243">
        <v>1</v>
      </c>
      <c r="F8243" s="2">
        <f>DATE(2026,IF(Tabla1[[#This Row],[Mes de Fecha]]="Septiembre",9,10),Tabla1[[#This Row],[Día de Fecha]])</f>
        <v>46296</v>
      </c>
      <c r="I8243">
        <v>0</v>
      </c>
      <c r="J8243" s="1">
        <v>5653013</v>
      </c>
      <c r="K8243">
        <v>0</v>
      </c>
    </row>
    <row r="8244" spans="1:11" x14ac:dyDescent="0.25">
      <c r="A8244" t="s">
        <v>9</v>
      </c>
      <c r="B8244" t="s">
        <v>85</v>
      </c>
      <c r="C8244" t="s">
        <v>874</v>
      </c>
      <c r="D8244" t="s">
        <v>14</v>
      </c>
      <c r="E8244">
        <v>1</v>
      </c>
      <c r="F8244" s="2">
        <f>DATE(2026,IF(Tabla1[[#This Row],[Mes de Fecha]]="Septiembre",9,10),Tabla1[[#This Row],[Día de Fecha]])</f>
        <v>46296</v>
      </c>
      <c r="G8244">
        <v>5168766</v>
      </c>
      <c r="H8244" t="s">
        <v>88</v>
      </c>
      <c r="I8244">
        <v>37</v>
      </c>
      <c r="J8244">
        <v>0</v>
      </c>
      <c r="K8244" s="1">
        <v>2126471</v>
      </c>
    </row>
    <row r="8245" spans="1:11" x14ac:dyDescent="0.25">
      <c r="A8245" t="s">
        <v>9</v>
      </c>
      <c r="B8245" t="s">
        <v>85</v>
      </c>
      <c r="C8245" t="s">
        <v>874</v>
      </c>
      <c r="D8245" t="s">
        <v>14</v>
      </c>
      <c r="E8245">
        <v>1</v>
      </c>
      <c r="F8245" s="2">
        <f>DATE(2026,IF(Tabla1[[#This Row],[Mes de Fecha]]="Septiembre",9,10),Tabla1[[#This Row],[Día de Fecha]])</f>
        <v>46296</v>
      </c>
      <c r="G8245">
        <v>87067735</v>
      </c>
      <c r="H8245" t="s">
        <v>86</v>
      </c>
      <c r="I8245">
        <v>39</v>
      </c>
      <c r="J8245">
        <v>0</v>
      </c>
      <c r="K8245" s="1">
        <v>2569578</v>
      </c>
    </row>
    <row r="8246" spans="1:11" x14ac:dyDescent="0.25">
      <c r="A8246" t="s">
        <v>9</v>
      </c>
      <c r="B8246" t="s">
        <v>85</v>
      </c>
      <c r="C8246" t="s">
        <v>874</v>
      </c>
      <c r="D8246" t="s">
        <v>14</v>
      </c>
      <c r="E8246">
        <v>2</v>
      </c>
      <c r="F8246" s="2">
        <f>DATE(2026,IF(Tabla1[[#This Row],[Mes de Fecha]]="Septiembre",9,10),Tabla1[[#This Row],[Día de Fecha]])</f>
        <v>46297</v>
      </c>
      <c r="I8246">
        <v>0</v>
      </c>
      <c r="J8246" s="1">
        <v>4942785</v>
      </c>
      <c r="K8246">
        <v>0</v>
      </c>
    </row>
    <row r="8247" spans="1:11" x14ac:dyDescent="0.25">
      <c r="A8247" t="s">
        <v>9</v>
      </c>
      <c r="B8247" t="s">
        <v>85</v>
      </c>
      <c r="C8247" t="s">
        <v>874</v>
      </c>
      <c r="D8247" t="s">
        <v>14</v>
      </c>
      <c r="E8247">
        <v>2</v>
      </c>
      <c r="F8247" s="2">
        <f>DATE(2026,IF(Tabla1[[#This Row],[Mes de Fecha]]="Septiembre",9,10),Tabla1[[#This Row],[Día de Fecha]])</f>
        <v>46297</v>
      </c>
      <c r="G8247">
        <v>5168766</v>
      </c>
      <c r="H8247" t="s">
        <v>88</v>
      </c>
      <c r="I8247">
        <v>41</v>
      </c>
      <c r="J8247">
        <v>0</v>
      </c>
      <c r="K8247" s="1">
        <v>2615885</v>
      </c>
    </row>
    <row r="8248" spans="1:11" x14ac:dyDescent="0.25">
      <c r="A8248" t="s">
        <v>9</v>
      </c>
      <c r="B8248" t="s">
        <v>85</v>
      </c>
      <c r="C8248" t="s">
        <v>874</v>
      </c>
      <c r="D8248" t="s">
        <v>14</v>
      </c>
      <c r="E8248">
        <v>2</v>
      </c>
      <c r="F8248" s="2">
        <f>DATE(2026,IF(Tabla1[[#This Row],[Mes de Fecha]]="Septiembre",9,10),Tabla1[[#This Row],[Día de Fecha]])</f>
        <v>46297</v>
      </c>
      <c r="G8248">
        <v>87067735</v>
      </c>
      <c r="H8248" t="s">
        <v>86</v>
      </c>
      <c r="I8248">
        <v>36</v>
      </c>
      <c r="J8248">
        <v>0</v>
      </c>
      <c r="K8248" s="1">
        <v>2017398</v>
      </c>
    </row>
    <row r="8249" spans="1:11" x14ac:dyDescent="0.25">
      <c r="A8249" t="s">
        <v>9</v>
      </c>
      <c r="B8249" t="s">
        <v>85</v>
      </c>
      <c r="C8249" t="s">
        <v>874</v>
      </c>
      <c r="D8249" t="s">
        <v>14</v>
      </c>
      <c r="E8249">
        <v>3</v>
      </c>
      <c r="F8249" s="2">
        <f>DATE(2026,IF(Tabla1[[#This Row],[Mes de Fecha]]="Septiembre",9,10),Tabla1[[#This Row],[Día de Fecha]])</f>
        <v>46298</v>
      </c>
      <c r="I8249">
        <v>0</v>
      </c>
      <c r="J8249" s="1">
        <v>5342885</v>
      </c>
      <c r="K8249">
        <v>0</v>
      </c>
    </row>
    <row r="8250" spans="1:11" x14ac:dyDescent="0.25">
      <c r="A8250" t="s">
        <v>9</v>
      </c>
      <c r="B8250" t="s">
        <v>85</v>
      </c>
      <c r="C8250" t="s">
        <v>874</v>
      </c>
      <c r="D8250" t="s">
        <v>14</v>
      </c>
      <c r="E8250">
        <v>3</v>
      </c>
      <c r="F8250" s="2">
        <f>DATE(2026,IF(Tabla1[[#This Row],[Mes de Fecha]]="Septiembre",9,10),Tabla1[[#This Row],[Día de Fecha]])</f>
        <v>46298</v>
      </c>
      <c r="G8250">
        <v>5168766</v>
      </c>
      <c r="H8250" t="s">
        <v>88</v>
      </c>
      <c r="I8250">
        <v>38</v>
      </c>
      <c r="J8250">
        <v>0</v>
      </c>
      <c r="K8250" s="1">
        <v>2157280</v>
      </c>
    </row>
    <row r="8251" spans="1:11" x14ac:dyDescent="0.25">
      <c r="A8251" t="s">
        <v>9</v>
      </c>
      <c r="B8251" t="s">
        <v>85</v>
      </c>
      <c r="C8251" t="s">
        <v>874</v>
      </c>
      <c r="D8251" t="s">
        <v>14</v>
      </c>
      <c r="E8251">
        <v>3</v>
      </c>
      <c r="F8251" s="2">
        <f>DATE(2026,IF(Tabla1[[#This Row],[Mes de Fecha]]="Septiembre",9,10),Tabla1[[#This Row],[Día de Fecha]])</f>
        <v>46298</v>
      </c>
      <c r="G8251">
        <v>87067735</v>
      </c>
      <c r="H8251" t="s">
        <v>86</v>
      </c>
      <c r="I8251">
        <v>46</v>
      </c>
      <c r="J8251">
        <v>0</v>
      </c>
      <c r="K8251" s="1">
        <v>2587060</v>
      </c>
    </row>
    <row r="8252" spans="1:11" x14ac:dyDescent="0.25">
      <c r="A8252" t="s">
        <v>9</v>
      </c>
      <c r="B8252" t="s">
        <v>85</v>
      </c>
      <c r="C8252" t="s">
        <v>874</v>
      </c>
      <c r="D8252" t="s">
        <v>14</v>
      </c>
      <c r="E8252">
        <v>4</v>
      </c>
      <c r="F8252" s="2">
        <f>DATE(2026,IF(Tabla1[[#This Row],[Mes de Fecha]]="Septiembre",9,10),Tabla1[[#This Row],[Día de Fecha]])</f>
        <v>46299</v>
      </c>
      <c r="I8252">
        <v>0</v>
      </c>
      <c r="J8252" s="1">
        <v>753171</v>
      </c>
      <c r="K8252">
        <v>0</v>
      </c>
    </row>
    <row r="8253" spans="1:11" x14ac:dyDescent="0.25">
      <c r="A8253" t="s">
        <v>9</v>
      </c>
      <c r="B8253" t="s">
        <v>85</v>
      </c>
      <c r="C8253" t="s">
        <v>874</v>
      </c>
      <c r="D8253" t="s">
        <v>14</v>
      </c>
      <c r="E8253">
        <v>4</v>
      </c>
      <c r="F8253" s="2">
        <f>DATE(2026,IF(Tabla1[[#This Row],[Mes de Fecha]]="Septiembre",9,10),Tabla1[[#This Row],[Día de Fecha]])</f>
        <v>46299</v>
      </c>
      <c r="G8253">
        <v>87067735</v>
      </c>
      <c r="H8253" t="s">
        <v>86</v>
      </c>
      <c r="I8253">
        <v>20</v>
      </c>
      <c r="J8253">
        <v>0</v>
      </c>
      <c r="K8253" s="1">
        <v>1528488</v>
      </c>
    </row>
    <row r="8254" spans="1:11" x14ac:dyDescent="0.25">
      <c r="A8254" t="s">
        <v>9</v>
      </c>
      <c r="B8254" t="s">
        <v>85</v>
      </c>
      <c r="C8254" t="s">
        <v>874</v>
      </c>
      <c r="D8254" t="s">
        <v>14</v>
      </c>
      <c r="E8254">
        <v>4</v>
      </c>
      <c r="F8254" s="2">
        <f>DATE(2026,IF(Tabla1[[#This Row],[Mes de Fecha]]="Septiembre",9,10),Tabla1[[#This Row],[Día de Fecha]])</f>
        <v>46299</v>
      </c>
      <c r="G8254">
        <v>1085314352</v>
      </c>
      <c r="H8254" t="s">
        <v>89</v>
      </c>
      <c r="I8254">
        <v>11</v>
      </c>
      <c r="J8254">
        <v>0</v>
      </c>
      <c r="K8254" s="1">
        <v>818824</v>
      </c>
    </row>
    <row r="8255" spans="1:11" x14ac:dyDescent="0.25">
      <c r="A8255" t="s">
        <v>9</v>
      </c>
      <c r="B8255" t="s">
        <v>85</v>
      </c>
      <c r="C8255" t="s">
        <v>874</v>
      </c>
      <c r="D8255" t="s">
        <v>14</v>
      </c>
      <c r="E8255">
        <v>5</v>
      </c>
      <c r="F8255" s="2">
        <f>DATE(2026,IF(Tabla1[[#This Row],[Mes de Fecha]]="Septiembre",9,10),Tabla1[[#This Row],[Día de Fecha]])</f>
        <v>46300</v>
      </c>
      <c r="I8255">
        <v>0</v>
      </c>
      <c r="J8255" s="1">
        <v>3699222</v>
      </c>
      <c r="K8255">
        <v>0</v>
      </c>
    </row>
    <row r="8256" spans="1:11" x14ac:dyDescent="0.25">
      <c r="A8256" t="s">
        <v>9</v>
      </c>
      <c r="B8256" t="s">
        <v>85</v>
      </c>
      <c r="C8256" t="s">
        <v>874</v>
      </c>
      <c r="D8256" t="s">
        <v>14</v>
      </c>
      <c r="E8256">
        <v>5</v>
      </c>
      <c r="F8256" s="2">
        <f>DATE(2026,IF(Tabla1[[#This Row],[Mes de Fecha]]="Septiembre",9,10),Tabla1[[#This Row],[Día de Fecha]])</f>
        <v>46300</v>
      </c>
      <c r="G8256">
        <v>5168766</v>
      </c>
      <c r="H8256" t="s">
        <v>88</v>
      </c>
      <c r="I8256">
        <v>30</v>
      </c>
      <c r="J8256">
        <v>0</v>
      </c>
      <c r="K8256" s="1">
        <v>1973192</v>
      </c>
    </row>
    <row r="8257" spans="1:11" x14ac:dyDescent="0.25">
      <c r="A8257" t="s">
        <v>9</v>
      </c>
      <c r="B8257" t="s">
        <v>85</v>
      </c>
      <c r="C8257" t="s">
        <v>874</v>
      </c>
      <c r="D8257" t="s">
        <v>14</v>
      </c>
      <c r="E8257">
        <v>5</v>
      </c>
      <c r="F8257" s="2">
        <f>DATE(2026,IF(Tabla1[[#This Row],[Mes de Fecha]]="Septiembre",9,10),Tabla1[[#This Row],[Día de Fecha]])</f>
        <v>46300</v>
      </c>
      <c r="G8257">
        <v>87067735</v>
      </c>
      <c r="H8257" t="s">
        <v>86</v>
      </c>
      <c r="I8257">
        <v>33</v>
      </c>
      <c r="J8257">
        <v>0</v>
      </c>
      <c r="K8257" s="1">
        <v>2099375</v>
      </c>
    </row>
    <row r="8258" spans="1:11" x14ac:dyDescent="0.25">
      <c r="A8258" t="s">
        <v>9</v>
      </c>
      <c r="B8258" t="s">
        <v>85</v>
      </c>
      <c r="C8258" t="s">
        <v>874</v>
      </c>
      <c r="D8258" t="s">
        <v>14</v>
      </c>
      <c r="E8258">
        <v>6</v>
      </c>
      <c r="F8258" s="2">
        <f>DATE(2026,IF(Tabla1[[#This Row],[Mes de Fecha]]="Septiembre",9,10),Tabla1[[#This Row],[Día de Fecha]])</f>
        <v>46301</v>
      </c>
      <c r="I8258">
        <v>0</v>
      </c>
      <c r="J8258" s="1">
        <v>3836679</v>
      </c>
      <c r="K8258">
        <v>0</v>
      </c>
    </row>
    <row r="8259" spans="1:11" x14ac:dyDescent="0.25">
      <c r="A8259" t="s">
        <v>9</v>
      </c>
      <c r="B8259" t="s">
        <v>85</v>
      </c>
      <c r="C8259" t="s">
        <v>874</v>
      </c>
      <c r="D8259" t="s">
        <v>14</v>
      </c>
      <c r="E8259">
        <v>6</v>
      </c>
      <c r="F8259" s="2">
        <f>DATE(2026,IF(Tabla1[[#This Row],[Mes de Fecha]]="Septiembre",9,10),Tabla1[[#This Row],[Día de Fecha]])</f>
        <v>46301</v>
      </c>
      <c r="G8259">
        <v>5168766</v>
      </c>
      <c r="H8259" t="s">
        <v>88</v>
      </c>
      <c r="I8259">
        <v>18</v>
      </c>
      <c r="J8259">
        <v>0</v>
      </c>
      <c r="K8259" s="1">
        <v>1062270</v>
      </c>
    </row>
    <row r="8260" spans="1:11" x14ac:dyDescent="0.25">
      <c r="A8260" t="s">
        <v>9</v>
      </c>
      <c r="B8260" t="s">
        <v>85</v>
      </c>
      <c r="C8260" t="s">
        <v>874</v>
      </c>
      <c r="D8260" t="s">
        <v>14</v>
      </c>
      <c r="E8260">
        <v>6</v>
      </c>
      <c r="F8260" s="2">
        <f>DATE(2026,IF(Tabla1[[#This Row],[Mes de Fecha]]="Septiembre",9,10),Tabla1[[#This Row],[Día de Fecha]])</f>
        <v>46301</v>
      </c>
      <c r="G8260">
        <v>87067735</v>
      </c>
      <c r="H8260" t="s">
        <v>86</v>
      </c>
      <c r="I8260">
        <v>32</v>
      </c>
      <c r="J8260">
        <v>0</v>
      </c>
      <c r="K8260" s="1">
        <v>2376555</v>
      </c>
    </row>
    <row r="8261" spans="1:11" x14ac:dyDescent="0.25">
      <c r="A8261" t="s">
        <v>9</v>
      </c>
      <c r="B8261" t="s">
        <v>85</v>
      </c>
      <c r="C8261" t="s">
        <v>874</v>
      </c>
      <c r="D8261" t="s">
        <v>14</v>
      </c>
      <c r="E8261">
        <v>7</v>
      </c>
      <c r="F8261" s="2">
        <f>DATE(2026,IF(Tabla1[[#This Row],[Mes de Fecha]]="Septiembre",9,10),Tabla1[[#This Row],[Día de Fecha]])</f>
        <v>46302</v>
      </c>
      <c r="I8261">
        <v>0</v>
      </c>
      <c r="J8261" s="1">
        <v>1666742</v>
      </c>
      <c r="K8261">
        <v>0</v>
      </c>
    </row>
    <row r="8262" spans="1:11" x14ac:dyDescent="0.25">
      <c r="A8262" t="s">
        <v>9</v>
      </c>
      <c r="B8262" t="s">
        <v>85</v>
      </c>
      <c r="C8262" t="s">
        <v>874</v>
      </c>
      <c r="D8262" t="s">
        <v>14</v>
      </c>
      <c r="E8262">
        <v>7</v>
      </c>
      <c r="F8262" s="2">
        <f>DATE(2026,IF(Tabla1[[#This Row],[Mes de Fecha]]="Septiembre",9,10),Tabla1[[#This Row],[Día de Fecha]])</f>
        <v>46302</v>
      </c>
      <c r="G8262">
        <v>5168766</v>
      </c>
      <c r="H8262" t="s">
        <v>88</v>
      </c>
      <c r="I8262">
        <v>24</v>
      </c>
      <c r="J8262">
        <v>0</v>
      </c>
      <c r="K8262" s="1">
        <v>1738363</v>
      </c>
    </row>
    <row r="8263" spans="1:11" x14ac:dyDescent="0.25">
      <c r="A8263" t="s">
        <v>9</v>
      </c>
      <c r="B8263" t="s">
        <v>85</v>
      </c>
      <c r="C8263" t="s">
        <v>874</v>
      </c>
      <c r="D8263" t="s">
        <v>14</v>
      </c>
      <c r="E8263">
        <v>7</v>
      </c>
      <c r="F8263" s="2">
        <f>DATE(2026,IF(Tabla1[[#This Row],[Mes de Fecha]]="Septiembre",9,10),Tabla1[[#This Row],[Día de Fecha]])</f>
        <v>46302</v>
      </c>
      <c r="G8263">
        <v>87067735</v>
      </c>
      <c r="H8263" t="s">
        <v>86</v>
      </c>
      <c r="I8263">
        <v>19</v>
      </c>
      <c r="J8263">
        <v>0</v>
      </c>
      <c r="K8263" s="1">
        <v>1137817</v>
      </c>
    </row>
    <row r="8264" spans="1:11" x14ac:dyDescent="0.25">
      <c r="A8264" t="s">
        <v>9</v>
      </c>
      <c r="B8264" t="s">
        <v>104</v>
      </c>
      <c r="C8264" t="s">
        <v>874</v>
      </c>
      <c r="D8264" t="s">
        <v>11</v>
      </c>
      <c r="E8264">
        <v>23</v>
      </c>
      <c r="F8264" s="2">
        <f>DATE(2026,IF(Tabla1[[#This Row],[Mes de Fecha]]="Septiembre",9,10),Tabla1[[#This Row],[Día de Fecha]])</f>
        <v>46288</v>
      </c>
      <c r="I8264">
        <v>0</v>
      </c>
      <c r="J8264" s="1">
        <v>5339560</v>
      </c>
      <c r="K8264">
        <v>0</v>
      </c>
    </row>
    <row r="8265" spans="1:11" x14ac:dyDescent="0.25">
      <c r="A8265" t="s">
        <v>9</v>
      </c>
      <c r="B8265" t="s">
        <v>104</v>
      </c>
      <c r="C8265" t="s">
        <v>874</v>
      </c>
      <c r="D8265" t="s">
        <v>11</v>
      </c>
      <c r="E8265">
        <v>23</v>
      </c>
      <c r="F8265" s="2">
        <f>DATE(2026,IF(Tabla1[[#This Row],[Mes de Fecha]]="Septiembre",9,10),Tabla1[[#This Row],[Día de Fecha]])</f>
        <v>46288</v>
      </c>
      <c r="G8265">
        <v>1059900042</v>
      </c>
      <c r="H8265" t="s">
        <v>105</v>
      </c>
      <c r="I8265">
        <v>146</v>
      </c>
      <c r="J8265">
        <v>0</v>
      </c>
      <c r="K8265" s="1">
        <v>7886684</v>
      </c>
    </row>
    <row r="8266" spans="1:11" x14ac:dyDescent="0.25">
      <c r="A8266" t="s">
        <v>9</v>
      </c>
      <c r="B8266" t="s">
        <v>104</v>
      </c>
      <c r="C8266" t="s">
        <v>874</v>
      </c>
      <c r="D8266" t="s">
        <v>11</v>
      </c>
      <c r="E8266">
        <v>24</v>
      </c>
      <c r="F8266" s="2">
        <f>DATE(2026,IF(Tabla1[[#This Row],[Mes de Fecha]]="Septiembre",9,10),Tabla1[[#This Row],[Día de Fecha]])</f>
        <v>46289</v>
      </c>
      <c r="I8266">
        <v>0</v>
      </c>
      <c r="J8266" s="1">
        <v>13809127</v>
      </c>
      <c r="K8266">
        <v>0</v>
      </c>
    </row>
    <row r="8267" spans="1:11" x14ac:dyDescent="0.25">
      <c r="A8267" t="s">
        <v>9</v>
      </c>
      <c r="B8267" t="s">
        <v>104</v>
      </c>
      <c r="C8267" t="s">
        <v>874</v>
      </c>
      <c r="D8267" t="s">
        <v>11</v>
      </c>
      <c r="E8267">
        <v>24</v>
      </c>
      <c r="F8267" s="2">
        <f>DATE(2026,IF(Tabla1[[#This Row],[Mes de Fecha]]="Septiembre",9,10),Tabla1[[#This Row],[Día de Fecha]])</f>
        <v>46289</v>
      </c>
      <c r="G8267">
        <v>1059900042</v>
      </c>
      <c r="H8267" t="s">
        <v>105</v>
      </c>
      <c r="I8267">
        <v>283</v>
      </c>
      <c r="J8267">
        <v>0</v>
      </c>
      <c r="K8267" s="1">
        <v>16441902</v>
      </c>
    </row>
    <row r="8268" spans="1:11" x14ac:dyDescent="0.25">
      <c r="A8268" t="s">
        <v>9</v>
      </c>
      <c r="B8268" t="s">
        <v>104</v>
      </c>
      <c r="C8268" t="s">
        <v>874</v>
      </c>
      <c r="D8268" t="s">
        <v>11</v>
      </c>
      <c r="E8268">
        <v>25</v>
      </c>
      <c r="F8268" s="2">
        <f>DATE(2026,IF(Tabla1[[#This Row],[Mes de Fecha]]="Septiembre",9,10),Tabla1[[#This Row],[Día de Fecha]])</f>
        <v>46290</v>
      </c>
      <c r="I8268">
        <v>0</v>
      </c>
      <c r="J8268" s="1">
        <v>14748902</v>
      </c>
      <c r="K8268">
        <v>0</v>
      </c>
    </row>
    <row r="8269" spans="1:11" x14ac:dyDescent="0.25">
      <c r="A8269" t="s">
        <v>9</v>
      </c>
      <c r="B8269" t="s">
        <v>104</v>
      </c>
      <c r="C8269" t="s">
        <v>874</v>
      </c>
      <c r="D8269" t="s">
        <v>11</v>
      </c>
      <c r="E8269">
        <v>25</v>
      </c>
      <c r="F8269" s="2">
        <f>DATE(2026,IF(Tabla1[[#This Row],[Mes de Fecha]]="Septiembre",9,10),Tabla1[[#This Row],[Día de Fecha]])</f>
        <v>46290</v>
      </c>
      <c r="G8269">
        <v>1059900042</v>
      </c>
      <c r="H8269" t="s">
        <v>105</v>
      </c>
      <c r="I8269">
        <v>351</v>
      </c>
      <c r="J8269">
        <v>0</v>
      </c>
      <c r="K8269" s="1">
        <v>19340306</v>
      </c>
    </row>
    <row r="8270" spans="1:11" x14ac:dyDescent="0.25">
      <c r="A8270" t="s">
        <v>9</v>
      </c>
      <c r="B8270" t="s">
        <v>104</v>
      </c>
      <c r="C8270" t="s">
        <v>874</v>
      </c>
      <c r="D8270" t="s">
        <v>11</v>
      </c>
      <c r="E8270">
        <v>26</v>
      </c>
      <c r="F8270" s="2">
        <f>DATE(2026,IF(Tabla1[[#This Row],[Mes de Fecha]]="Septiembre",9,10),Tabla1[[#This Row],[Día de Fecha]])</f>
        <v>46291</v>
      </c>
      <c r="I8270">
        <v>0</v>
      </c>
      <c r="J8270" s="1">
        <v>18597992</v>
      </c>
      <c r="K8270">
        <v>0</v>
      </c>
    </row>
    <row r="8271" spans="1:11" x14ac:dyDescent="0.25">
      <c r="A8271" t="s">
        <v>9</v>
      </c>
      <c r="B8271" t="s">
        <v>104</v>
      </c>
      <c r="C8271" t="s">
        <v>874</v>
      </c>
      <c r="D8271" t="s">
        <v>11</v>
      </c>
      <c r="E8271">
        <v>26</v>
      </c>
      <c r="F8271" s="2">
        <f>DATE(2026,IF(Tabla1[[#This Row],[Mes de Fecha]]="Septiembre",9,10),Tabla1[[#This Row],[Día de Fecha]])</f>
        <v>46291</v>
      </c>
      <c r="G8271">
        <v>87101928</v>
      </c>
      <c r="H8271" t="s">
        <v>106</v>
      </c>
      <c r="I8271">
        <v>1</v>
      </c>
      <c r="J8271">
        <v>0</v>
      </c>
      <c r="K8271" s="1">
        <v>62983</v>
      </c>
    </row>
    <row r="8272" spans="1:11" x14ac:dyDescent="0.25">
      <c r="A8272" t="s">
        <v>9</v>
      </c>
      <c r="B8272" t="s">
        <v>104</v>
      </c>
      <c r="C8272" t="s">
        <v>874</v>
      </c>
      <c r="D8272" t="s">
        <v>11</v>
      </c>
      <c r="E8272">
        <v>26</v>
      </c>
      <c r="F8272" s="2">
        <f>DATE(2026,IF(Tabla1[[#This Row],[Mes de Fecha]]="Septiembre",9,10),Tabla1[[#This Row],[Día de Fecha]])</f>
        <v>46291</v>
      </c>
      <c r="G8272">
        <v>1059900042</v>
      </c>
      <c r="H8272" t="s">
        <v>105</v>
      </c>
      <c r="I8272">
        <v>233</v>
      </c>
      <c r="J8272">
        <v>0</v>
      </c>
      <c r="K8272" s="1">
        <v>12956614</v>
      </c>
    </row>
    <row r="8273" spans="1:11" x14ac:dyDescent="0.25">
      <c r="A8273" t="s">
        <v>9</v>
      </c>
      <c r="B8273" t="s">
        <v>104</v>
      </c>
      <c r="C8273" t="s">
        <v>874</v>
      </c>
      <c r="D8273" t="s">
        <v>11</v>
      </c>
      <c r="E8273">
        <v>27</v>
      </c>
      <c r="F8273" s="2">
        <f>DATE(2026,IF(Tabla1[[#This Row],[Mes de Fecha]]="Septiembre",9,10),Tabla1[[#This Row],[Día de Fecha]])</f>
        <v>46292</v>
      </c>
      <c r="I8273">
        <v>0</v>
      </c>
      <c r="J8273" s="1">
        <v>9819566</v>
      </c>
      <c r="K8273">
        <v>0</v>
      </c>
    </row>
    <row r="8274" spans="1:11" x14ac:dyDescent="0.25">
      <c r="A8274" t="s">
        <v>9</v>
      </c>
      <c r="B8274" t="s">
        <v>104</v>
      </c>
      <c r="C8274" t="s">
        <v>874</v>
      </c>
      <c r="D8274" t="s">
        <v>11</v>
      </c>
      <c r="E8274">
        <v>27</v>
      </c>
      <c r="F8274" s="2">
        <f>DATE(2026,IF(Tabla1[[#This Row],[Mes de Fecha]]="Septiembre",9,10),Tabla1[[#This Row],[Día de Fecha]])</f>
        <v>46292</v>
      </c>
      <c r="G8274">
        <v>1059900042</v>
      </c>
      <c r="H8274" t="s">
        <v>105</v>
      </c>
      <c r="I8274">
        <v>48</v>
      </c>
      <c r="J8274">
        <v>0</v>
      </c>
      <c r="K8274" s="1">
        <v>2550419</v>
      </c>
    </row>
    <row r="8275" spans="1:11" x14ac:dyDescent="0.25">
      <c r="A8275" t="s">
        <v>9</v>
      </c>
      <c r="B8275" t="s">
        <v>104</v>
      </c>
      <c r="C8275" t="s">
        <v>874</v>
      </c>
      <c r="D8275" t="s">
        <v>11</v>
      </c>
      <c r="E8275">
        <v>28</v>
      </c>
      <c r="F8275" s="2">
        <f>DATE(2026,IF(Tabla1[[#This Row],[Mes de Fecha]]="Septiembre",9,10),Tabla1[[#This Row],[Día de Fecha]])</f>
        <v>46293</v>
      </c>
      <c r="I8275">
        <v>0</v>
      </c>
      <c r="J8275" s="1">
        <v>8050973</v>
      </c>
      <c r="K8275">
        <v>0</v>
      </c>
    </row>
    <row r="8276" spans="1:11" x14ac:dyDescent="0.25">
      <c r="A8276" t="s">
        <v>9</v>
      </c>
      <c r="B8276" t="s">
        <v>104</v>
      </c>
      <c r="C8276" t="s">
        <v>874</v>
      </c>
      <c r="D8276" t="s">
        <v>11</v>
      </c>
      <c r="E8276">
        <v>28</v>
      </c>
      <c r="F8276" s="2">
        <f>DATE(2026,IF(Tabla1[[#This Row],[Mes de Fecha]]="Septiembre",9,10),Tabla1[[#This Row],[Día de Fecha]])</f>
        <v>46293</v>
      </c>
      <c r="G8276">
        <v>1059900042</v>
      </c>
      <c r="H8276" t="s">
        <v>105</v>
      </c>
      <c r="I8276">
        <v>123</v>
      </c>
      <c r="J8276">
        <v>0</v>
      </c>
      <c r="K8276" s="1">
        <v>7154334</v>
      </c>
    </row>
    <row r="8277" spans="1:11" x14ac:dyDescent="0.25">
      <c r="A8277" t="s">
        <v>9</v>
      </c>
      <c r="B8277" t="s">
        <v>104</v>
      </c>
      <c r="C8277" t="s">
        <v>874</v>
      </c>
      <c r="D8277" t="s">
        <v>11</v>
      </c>
      <c r="E8277">
        <v>29</v>
      </c>
      <c r="F8277" s="2">
        <f>DATE(2026,IF(Tabla1[[#This Row],[Mes de Fecha]]="Septiembre",9,10),Tabla1[[#This Row],[Día de Fecha]])</f>
        <v>46294</v>
      </c>
      <c r="I8277">
        <v>0</v>
      </c>
      <c r="J8277" s="1">
        <v>8950303</v>
      </c>
      <c r="K8277">
        <v>0</v>
      </c>
    </row>
    <row r="8278" spans="1:11" x14ac:dyDescent="0.25">
      <c r="A8278" t="s">
        <v>9</v>
      </c>
      <c r="B8278" t="s">
        <v>104</v>
      </c>
      <c r="C8278" t="s">
        <v>874</v>
      </c>
      <c r="D8278" t="s">
        <v>11</v>
      </c>
      <c r="E8278">
        <v>29</v>
      </c>
      <c r="F8278" s="2">
        <f>DATE(2026,IF(Tabla1[[#This Row],[Mes de Fecha]]="Septiembre",9,10),Tabla1[[#This Row],[Día de Fecha]])</f>
        <v>46294</v>
      </c>
      <c r="G8278">
        <v>1059900042</v>
      </c>
      <c r="H8278" t="s">
        <v>105</v>
      </c>
      <c r="I8278">
        <v>133</v>
      </c>
      <c r="J8278">
        <v>0</v>
      </c>
      <c r="K8278" s="1">
        <v>7670516</v>
      </c>
    </row>
    <row r="8279" spans="1:11" x14ac:dyDescent="0.25">
      <c r="A8279" t="s">
        <v>9</v>
      </c>
      <c r="B8279" t="s">
        <v>104</v>
      </c>
      <c r="C8279" t="s">
        <v>874</v>
      </c>
      <c r="D8279" t="s">
        <v>11</v>
      </c>
      <c r="E8279">
        <v>30</v>
      </c>
      <c r="F8279" s="2">
        <f>DATE(2026,IF(Tabla1[[#This Row],[Mes de Fecha]]="Septiembre",9,10),Tabla1[[#This Row],[Día de Fecha]])</f>
        <v>46295</v>
      </c>
      <c r="I8279">
        <v>0</v>
      </c>
      <c r="J8279" s="1">
        <v>9478653</v>
      </c>
      <c r="K8279">
        <v>0</v>
      </c>
    </row>
    <row r="8280" spans="1:11" x14ac:dyDescent="0.25">
      <c r="A8280" t="s">
        <v>9</v>
      </c>
      <c r="B8280" t="s">
        <v>104</v>
      </c>
      <c r="C8280" t="s">
        <v>874</v>
      </c>
      <c r="D8280" t="s">
        <v>11</v>
      </c>
      <c r="E8280">
        <v>30</v>
      </c>
      <c r="F8280" s="2">
        <f>DATE(2026,IF(Tabla1[[#This Row],[Mes de Fecha]]="Septiembre",9,10),Tabla1[[#This Row],[Día de Fecha]])</f>
        <v>46295</v>
      </c>
      <c r="G8280">
        <v>1059900042</v>
      </c>
      <c r="H8280" t="s">
        <v>105</v>
      </c>
      <c r="I8280">
        <v>155</v>
      </c>
      <c r="J8280">
        <v>0</v>
      </c>
      <c r="K8280" s="1">
        <v>8446823</v>
      </c>
    </row>
    <row r="8281" spans="1:11" x14ac:dyDescent="0.25">
      <c r="A8281" t="s">
        <v>9</v>
      </c>
      <c r="B8281" t="s">
        <v>104</v>
      </c>
      <c r="C8281" t="s">
        <v>874</v>
      </c>
      <c r="D8281" t="s">
        <v>14</v>
      </c>
      <c r="E8281">
        <v>1</v>
      </c>
      <c r="F8281" s="2">
        <f>DATE(2026,IF(Tabla1[[#This Row],[Mes de Fecha]]="Septiembre",9,10),Tabla1[[#This Row],[Día de Fecha]])</f>
        <v>46296</v>
      </c>
      <c r="I8281">
        <v>0</v>
      </c>
      <c r="J8281" s="1">
        <v>16457617</v>
      </c>
      <c r="K8281">
        <v>0</v>
      </c>
    </row>
    <row r="8282" spans="1:11" x14ac:dyDescent="0.25">
      <c r="A8282" t="s">
        <v>9</v>
      </c>
      <c r="B8282" t="s">
        <v>104</v>
      </c>
      <c r="C8282" t="s">
        <v>874</v>
      </c>
      <c r="D8282" t="s">
        <v>14</v>
      </c>
      <c r="E8282">
        <v>1</v>
      </c>
      <c r="F8282" s="2">
        <f>DATE(2026,IF(Tabla1[[#This Row],[Mes de Fecha]]="Septiembre",9,10),Tabla1[[#This Row],[Día de Fecha]])</f>
        <v>46296</v>
      </c>
      <c r="G8282">
        <v>59682208</v>
      </c>
      <c r="H8282" t="s">
        <v>107</v>
      </c>
      <c r="I8282">
        <v>4</v>
      </c>
      <c r="J8282">
        <v>0</v>
      </c>
      <c r="K8282" s="1">
        <v>205714</v>
      </c>
    </row>
    <row r="8283" spans="1:11" x14ac:dyDescent="0.25">
      <c r="A8283" t="s">
        <v>9</v>
      </c>
      <c r="B8283" t="s">
        <v>104</v>
      </c>
      <c r="C8283" t="s">
        <v>874</v>
      </c>
      <c r="D8283" t="s">
        <v>14</v>
      </c>
      <c r="E8283">
        <v>1</v>
      </c>
      <c r="F8283" s="2">
        <f>DATE(2026,IF(Tabla1[[#This Row],[Mes de Fecha]]="Septiembre",9,10),Tabla1[[#This Row],[Día de Fecha]])</f>
        <v>46296</v>
      </c>
      <c r="G8283">
        <v>1059900042</v>
      </c>
      <c r="H8283" t="s">
        <v>105</v>
      </c>
      <c r="I8283">
        <v>186</v>
      </c>
      <c r="J8283">
        <v>0</v>
      </c>
      <c r="K8283" s="1">
        <v>10645093</v>
      </c>
    </row>
    <row r="8284" spans="1:11" x14ac:dyDescent="0.25">
      <c r="A8284" t="s">
        <v>9</v>
      </c>
      <c r="B8284" t="s">
        <v>104</v>
      </c>
      <c r="C8284" t="s">
        <v>874</v>
      </c>
      <c r="D8284" t="s">
        <v>14</v>
      </c>
      <c r="E8284">
        <v>2</v>
      </c>
      <c r="F8284" s="2">
        <f>DATE(2026,IF(Tabla1[[#This Row],[Mes de Fecha]]="Septiembre",9,10),Tabla1[[#This Row],[Día de Fecha]])</f>
        <v>46297</v>
      </c>
      <c r="I8284">
        <v>0</v>
      </c>
      <c r="J8284" s="1">
        <v>18594521</v>
      </c>
      <c r="K8284">
        <v>0</v>
      </c>
    </row>
    <row r="8285" spans="1:11" x14ac:dyDescent="0.25">
      <c r="A8285" t="s">
        <v>9</v>
      </c>
      <c r="B8285" t="s">
        <v>104</v>
      </c>
      <c r="C8285" t="s">
        <v>874</v>
      </c>
      <c r="D8285" t="s">
        <v>14</v>
      </c>
      <c r="E8285">
        <v>2</v>
      </c>
      <c r="F8285" s="2">
        <f>DATE(2026,IF(Tabla1[[#This Row],[Mes de Fecha]]="Septiembre",9,10),Tabla1[[#This Row],[Día de Fecha]])</f>
        <v>46297</v>
      </c>
      <c r="G8285">
        <v>1059900042</v>
      </c>
      <c r="H8285" t="s">
        <v>105</v>
      </c>
      <c r="I8285">
        <v>137</v>
      </c>
      <c r="J8285">
        <v>0</v>
      </c>
      <c r="K8285" s="1">
        <v>7546478</v>
      </c>
    </row>
    <row r="8286" spans="1:11" x14ac:dyDescent="0.25">
      <c r="A8286" t="s">
        <v>9</v>
      </c>
      <c r="B8286" t="s">
        <v>104</v>
      </c>
      <c r="C8286" t="s">
        <v>874</v>
      </c>
      <c r="D8286" t="s">
        <v>14</v>
      </c>
      <c r="E8286">
        <v>3</v>
      </c>
      <c r="F8286" s="2">
        <f>DATE(2026,IF(Tabla1[[#This Row],[Mes de Fecha]]="Septiembre",9,10),Tabla1[[#This Row],[Día de Fecha]])</f>
        <v>46298</v>
      </c>
      <c r="I8286">
        <v>0</v>
      </c>
      <c r="J8286" s="1">
        <v>16432875</v>
      </c>
      <c r="K8286">
        <v>0</v>
      </c>
    </row>
    <row r="8287" spans="1:11" x14ac:dyDescent="0.25">
      <c r="A8287" t="s">
        <v>9</v>
      </c>
      <c r="B8287" t="s">
        <v>104</v>
      </c>
      <c r="C8287" t="s">
        <v>874</v>
      </c>
      <c r="D8287" t="s">
        <v>14</v>
      </c>
      <c r="E8287">
        <v>3</v>
      </c>
      <c r="F8287" s="2">
        <f>DATE(2026,IF(Tabla1[[#This Row],[Mes de Fecha]]="Septiembre",9,10),Tabla1[[#This Row],[Día de Fecha]])</f>
        <v>46298</v>
      </c>
      <c r="G8287">
        <v>1059900042</v>
      </c>
      <c r="H8287" t="s">
        <v>105</v>
      </c>
      <c r="I8287">
        <v>266</v>
      </c>
      <c r="J8287">
        <v>0</v>
      </c>
      <c r="K8287" s="1">
        <v>15388327</v>
      </c>
    </row>
    <row r="8288" spans="1:11" x14ac:dyDescent="0.25">
      <c r="A8288" t="s">
        <v>9</v>
      </c>
      <c r="B8288" t="s">
        <v>104</v>
      </c>
      <c r="C8288" t="s">
        <v>874</v>
      </c>
      <c r="D8288" t="s">
        <v>14</v>
      </c>
      <c r="E8288">
        <v>4</v>
      </c>
      <c r="F8288" s="2">
        <f>DATE(2026,IF(Tabla1[[#This Row],[Mes de Fecha]]="Septiembre",9,10),Tabla1[[#This Row],[Día de Fecha]])</f>
        <v>46299</v>
      </c>
      <c r="I8288">
        <v>0</v>
      </c>
      <c r="J8288" s="1">
        <v>7124265</v>
      </c>
      <c r="K8288">
        <v>0</v>
      </c>
    </row>
    <row r="8289" spans="1:11" x14ac:dyDescent="0.25">
      <c r="A8289" t="s">
        <v>9</v>
      </c>
      <c r="B8289" t="s">
        <v>104</v>
      </c>
      <c r="C8289" t="s">
        <v>874</v>
      </c>
      <c r="D8289" t="s">
        <v>14</v>
      </c>
      <c r="E8289">
        <v>4</v>
      </c>
      <c r="F8289" s="2">
        <f>DATE(2026,IF(Tabla1[[#This Row],[Mes de Fecha]]="Septiembre",9,10),Tabla1[[#This Row],[Día de Fecha]])</f>
        <v>46299</v>
      </c>
      <c r="G8289">
        <v>1059900042</v>
      </c>
      <c r="H8289" t="s">
        <v>105</v>
      </c>
      <c r="I8289">
        <v>53</v>
      </c>
      <c r="J8289">
        <v>0</v>
      </c>
      <c r="K8289" s="1">
        <v>3260751</v>
      </c>
    </row>
    <row r="8290" spans="1:11" x14ac:dyDescent="0.25">
      <c r="A8290" t="s">
        <v>9</v>
      </c>
      <c r="B8290" t="s">
        <v>104</v>
      </c>
      <c r="C8290" t="s">
        <v>874</v>
      </c>
      <c r="D8290" t="s">
        <v>14</v>
      </c>
      <c r="E8290">
        <v>5</v>
      </c>
      <c r="F8290" s="2">
        <f>DATE(2026,IF(Tabla1[[#This Row],[Mes de Fecha]]="Septiembre",9,10),Tabla1[[#This Row],[Día de Fecha]])</f>
        <v>46300</v>
      </c>
      <c r="I8290">
        <v>0</v>
      </c>
      <c r="J8290" s="1">
        <v>7418838</v>
      </c>
      <c r="K8290">
        <v>0</v>
      </c>
    </row>
    <row r="8291" spans="1:11" x14ac:dyDescent="0.25">
      <c r="A8291" t="s">
        <v>9</v>
      </c>
      <c r="B8291" t="s">
        <v>104</v>
      </c>
      <c r="C8291" t="s">
        <v>874</v>
      </c>
      <c r="D8291" t="s">
        <v>14</v>
      </c>
      <c r="E8291">
        <v>5</v>
      </c>
      <c r="F8291" s="2">
        <f>DATE(2026,IF(Tabla1[[#This Row],[Mes de Fecha]]="Septiembre",9,10),Tabla1[[#This Row],[Día de Fecha]])</f>
        <v>46300</v>
      </c>
      <c r="G8291">
        <v>1059900042</v>
      </c>
      <c r="H8291" t="s">
        <v>105</v>
      </c>
      <c r="I8291">
        <v>184</v>
      </c>
      <c r="J8291">
        <v>0</v>
      </c>
      <c r="K8291" s="1">
        <v>10628656</v>
      </c>
    </row>
    <row r="8292" spans="1:11" x14ac:dyDescent="0.25">
      <c r="A8292" t="s">
        <v>9</v>
      </c>
      <c r="B8292" t="s">
        <v>104</v>
      </c>
      <c r="C8292" t="s">
        <v>874</v>
      </c>
      <c r="D8292" t="s">
        <v>14</v>
      </c>
      <c r="E8292">
        <v>6</v>
      </c>
      <c r="F8292" s="2">
        <f>DATE(2026,IF(Tabla1[[#This Row],[Mes de Fecha]]="Septiembre",9,10),Tabla1[[#This Row],[Día de Fecha]])</f>
        <v>46301</v>
      </c>
      <c r="I8292">
        <v>0</v>
      </c>
      <c r="J8292" s="1">
        <v>5330942</v>
      </c>
      <c r="K8292">
        <v>0</v>
      </c>
    </row>
    <row r="8293" spans="1:11" x14ac:dyDescent="0.25">
      <c r="A8293" t="s">
        <v>9</v>
      </c>
      <c r="B8293" t="s">
        <v>104</v>
      </c>
      <c r="C8293" t="s">
        <v>874</v>
      </c>
      <c r="D8293" t="s">
        <v>14</v>
      </c>
      <c r="E8293">
        <v>6</v>
      </c>
      <c r="F8293" s="2">
        <f>DATE(2026,IF(Tabla1[[#This Row],[Mes de Fecha]]="Septiembre",9,10),Tabla1[[#This Row],[Día de Fecha]])</f>
        <v>46301</v>
      </c>
      <c r="G8293">
        <v>1059900042</v>
      </c>
      <c r="H8293" t="s">
        <v>105</v>
      </c>
      <c r="I8293">
        <v>66</v>
      </c>
      <c r="J8293">
        <v>0</v>
      </c>
      <c r="K8293" s="1">
        <v>4110594</v>
      </c>
    </row>
    <row r="8294" spans="1:11" x14ac:dyDescent="0.25">
      <c r="A8294" t="s">
        <v>9</v>
      </c>
      <c r="B8294" t="s">
        <v>104</v>
      </c>
      <c r="C8294" t="s">
        <v>874</v>
      </c>
      <c r="D8294" t="s">
        <v>14</v>
      </c>
      <c r="E8294">
        <v>7</v>
      </c>
      <c r="F8294" s="2">
        <f>DATE(2026,IF(Tabla1[[#This Row],[Mes de Fecha]]="Septiembre",9,10),Tabla1[[#This Row],[Día de Fecha]])</f>
        <v>46302</v>
      </c>
      <c r="I8294">
        <v>0</v>
      </c>
      <c r="J8294" s="1">
        <v>2116887</v>
      </c>
      <c r="K8294">
        <v>0</v>
      </c>
    </row>
    <row r="8295" spans="1:11" x14ac:dyDescent="0.25">
      <c r="A8295" t="s">
        <v>9</v>
      </c>
      <c r="B8295" t="s">
        <v>104</v>
      </c>
      <c r="C8295" t="s">
        <v>874</v>
      </c>
      <c r="D8295" t="s">
        <v>14</v>
      </c>
      <c r="E8295">
        <v>7</v>
      </c>
      <c r="F8295" s="2">
        <f>DATE(2026,IF(Tabla1[[#This Row],[Mes de Fecha]]="Septiembre",9,10),Tabla1[[#This Row],[Día de Fecha]])</f>
        <v>46302</v>
      </c>
      <c r="G8295">
        <v>1059900042</v>
      </c>
      <c r="H8295" t="s">
        <v>105</v>
      </c>
      <c r="I8295">
        <v>58</v>
      </c>
      <c r="J8295">
        <v>0</v>
      </c>
      <c r="K8295" s="1">
        <v>3379543</v>
      </c>
    </row>
    <row r="8296" spans="1:11" x14ac:dyDescent="0.25">
      <c r="A8296" t="s">
        <v>9</v>
      </c>
      <c r="B8296" t="s">
        <v>119</v>
      </c>
      <c r="C8296" t="s">
        <v>874</v>
      </c>
      <c r="D8296" t="s">
        <v>11</v>
      </c>
      <c r="E8296">
        <v>23</v>
      </c>
      <c r="F8296" s="2">
        <f>DATE(2026,IF(Tabla1[[#This Row],[Mes de Fecha]]="Septiembre",9,10),Tabla1[[#This Row],[Día de Fecha]])</f>
        <v>46288</v>
      </c>
      <c r="I8296">
        <v>0</v>
      </c>
      <c r="J8296" s="1">
        <v>3725643</v>
      </c>
      <c r="K8296">
        <v>0</v>
      </c>
    </row>
    <row r="8297" spans="1:11" x14ac:dyDescent="0.25">
      <c r="A8297" t="s">
        <v>9</v>
      </c>
      <c r="B8297" t="s">
        <v>119</v>
      </c>
      <c r="C8297" t="s">
        <v>874</v>
      </c>
      <c r="D8297" t="s">
        <v>11</v>
      </c>
      <c r="E8297">
        <v>23</v>
      </c>
      <c r="F8297" s="2">
        <f>DATE(2026,IF(Tabla1[[#This Row],[Mes de Fecha]]="Septiembre",9,10),Tabla1[[#This Row],[Día de Fecha]])</f>
        <v>46288</v>
      </c>
      <c r="G8297">
        <v>52448582</v>
      </c>
      <c r="H8297" t="s">
        <v>121</v>
      </c>
      <c r="I8297">
        <v>268</v>
      </c>
      <c r="J8297">
        <v>0</v>
      </c>
      <c r="K8297" s="1">
        <v>14881614</v>
      </c>
    </row>
    <row r="8298" spans="1:11" x14ac:dyDescent="0.25">
      <c r="A8298" t="s">
        <v>9</v>
      </c>
      <c r="B8298" t="s">
        <v>119</v>
      </c>
      <c r="C8298" t="s">
        <v>874</v>
      </c>
      <c r="D8298" t="s">
        <v>11</v>
      </c>
      <c r="E8298">
        <v>23</v>
      </c>
      <c r="F8298" s="2">
        <f>DATE(2026,IF(Tabla1[[#This Row],[Mes de Fecha]]="Septiembre",9,10),Tabla1[[#This Row],[Día de Fecha]])</f>
        <v>46288</v>
      </c>
      <c r="G8298">
        <v>1123207741</v>
      </c>
      <c r="H8298" t="s">
        <v>120</v>
      </c>
      <c r="I8298">
        <v>152</v>
      </c>
      <c r="J8298">
        <v>0</v>
      </c>
      <c r="K8298" s="1">
        <v>8325631</v>
      </c>
    </row>
    <row r="8299" spans="1:11" x14ac:dyDescent="0.25">
      <c r="A8299" t="s">
        <v>9</v>
      </c>
      <c r="B8299" t="s">
        <v>119</v>
      </c>
      <c r="C8299" t="s">
        <v>874</v>
      </c>
      <c r="D8299" t="s">
        <v>11</v>
      </c>
      <c r="E8299">
        <v>24</v>
      </c>
      <c r="F8299" s="2">
        <f>DATE(2026,IF(Tabla1[[#This Row],[Mes de Fecha]]="Septiembre",9,10),Tabla1[[#This Row],[Día de Fecha]])</f>
        <v>46289</v>
      </c>
      <c r="I8299">
        <v>0</v>
      </c>
      <c r="J8299" s="1">
        <v>9635223</v>
      </c>
      <c r="K8299">
        <v>0</v>
      </c>
    </row>
    <row r="8300" spans="1:11" x14ac:dyDescent="0.25">
      <c r="A8300" t="s">
        <v>9</v>
      </c>
      <c r="B8300" t="s">
        <v>119</v>
      </c>
      <c r="C8300" t="s">
        <v>874</v>
      </c>
      <c r="D8300" t="s">
        <v>11</v>
      </c>
      <c r="E8300">
        <v>24</v>
      </c>
      <c r="F8300" s="2">
        <f>DATE(2026,IF(Tabla1[[#This Row],[Mes de Fecha]]="Septiembre",9,10),Tabla1[[#This Row],[Día de Fecha]])</f>
        <v>46289</v>
      </c>
      <c r="G8300">
        <v>52448582</v>
      </c>
      <c r="H8300" t="s">
        <v>121</v>
      </c>
      <c r="I8300">
        <v>209</v>
      </c>
      <c r="J8300">
        <v>0</v>
      </c>
      <c r="K8300" s="1">
        <v>10466024</v>
      </c>
    </row>
    <row r="8301" spans="1:11" x14ac:dyDescent="0.25">
      <c r="A8301" t="s">
        <v>9</v>
      </c>
      <c r="B8301" t="s">
        <v>119</v>
      </c>
      <c r="C8301" t="s">
        <v>874</v>
      </c>
      <c r="D8301" t="s">
        <v>11</v>
      </c>
      <c r="E8301">
        <v>24</v>
      </c>
      <c r="F8301" s="2">
        <f>DATE(2026,IF(Tabla1[[#This Row],[Mes de Fecha]]="Septiembre",9,10),Tabla1[[#This Row],[Día de Fecha]])</f>
        <v>46289</v>
      </c>
      <c r="G8301">
        <v>1123207741</v>
      </c>
      <c r="H8301" t="s">
        <v>120</v>
      </c>
      <c r="I8301">
        <v>64</v>
      </c>
      <c r="J8301">
        <v>0</v>
      </c>
      <c r="K8301" s="1">
        <v>3751558</v>
      </c>
    </row>
    <row r="8302" spans="1:11" x14ac:dyDescent="0.25">
      <c r="A8302" t="s">
        <v>9</v>
      </c>
      <c r="B8302" t="s">
        <v>119</v>
      </c>
      <c r="C8302" t="s">
        <v>874</v>
      </c>
      <c r="D8302" t="s">
        <v>11</v>
      </c>
      <c r="E8302">
        <v>25</v>
      </c>
      <c r="F8302" s="2">
        <f>DATE(2026,IF(Tabla1[[#This Row],[Mes de Fecha]]="Septiembre",9,10),Tabla1[[#This Row],[Día de Fecha]])</f>
        <v>46290</v>
      </c>
      <c r="I8302">
        <v>0</v>
      </c>
      <c r="J8302" s="1">
        <v>10290942</v>
      </c>
      <c r="K8302">
        <v>0</v>
      </c>
    </row>
    <row r="8303" spans="1:11" x14ac:dyDescent="0.25">
      <c r="A8303" t="s">
        <v>9</v>
      </c>
      <c r="B8303" t="s">
        <v>119</v>
      </c>
      <c r="C8303" t="s">
        <v>874</v>
      </c>
      <c r="D8303" t="s">
        <v>11</v>
      </c>
      <c r="E8303">
        <v>25</v>
      </c>
      <c r="F8303" s="2">
        <f>DATE(2026,IF(Tabla1[[#This Row],[Mes de Fecha]]="Septiembre",9,10),Tabla1[[#This Row],[Día de Fecha]])</f>
        <v>46290</v>
      </c>
      <c r="G8303">
        <v>52448582</v>
      </c>
      <c r="H8303" t="s">
        <v>121</v>
      </c>
      <c r="I8303">
        <v>114</v>
      </c>
      <c r="J8303">
        <v>0</v>
      </c>
      <c r="K8303" s="1">
        <v>6675847</v>
      </c>
    </row>
    <row r="8304" spans="1:11" x14ac:dyDescent="0.25">
      <c r="A8304" t="s">
        <v>9</v>
      </c>
      <c r="B8304" t="s">
        <v>119</v>
      </c>
      <c r="C8304" t="s">
        <v>874</v>
      </c>
      <c r="D8304" t="s">
        <v>11</v>
      </c>
      <c r="E8304">
        <v>25</v>
      </c>
      <c r="F8304" s="2">
        <f>DATE(2026,IF(Tabla1[[#This Row],[Mes de Fecha]]="Septiembre",9,10),Tabla1[[#This Row],[Día de Fecha]])</f>
        <v>46290</v>
      </c>
      <c r="G8304">
        <v>1123207741</v>
      </c>
      <c r="H8304" t="s">
        <v>120</v>
      </c>
      <c r="I8304">
        <v>108</v>
      </c>
      <c r="J8304">
        <v>0</v>
      </c>
      <c r="K8304" s="1">
        <v>5448847</v>
      </c>
    </row>
    <row r="8305" spans="1:11" x14ac:dyDescent="0.25">
      <c r="A8305" t="s">
        <v>9</v>
      </c>
      <c r="B8305" t="s">
        <v>119</v>
      </c>
      <c r="C8305" t="s">
        <v>874</v>
      </c>
      <c r="D8305" t="s">
        <v>11</v>
      </c>
      <c r="E8305">
        <v>26</v>
      </c>
      <c r="F8305" s="2">
        <f>DATE(2026,IF(Tabla1[[#This Row],[Mes de Fecha]]="Septiembre",9,10),Tabla1[[#This Row],[Día de Fecha]])</f>
        <v>46291</v>
      </c>
      <c r="I8305">
        <v>0</v>
      </c>
      <c r="J8305" s="1">
        <v>12976620</v>
      </c>
      <c r="K8305">
        <v>0</v>
      </c>
    </row>
    <row r="8306" spans="1:11" x14ac:dyDescent="0.25">
      <c r="A8306" t="s">
        <v>9</v>
      </c>
      <c r="B8306" t="s">
        <v>119</v>
      </c>
      <c r="C8306" t="s">
        <v>874</v>
      </c>
      <c r="D8306" t="s">
        <v>11</v>
      </c>
      <c r="E8306">
        <v>26</v>
      </c>
      <c r="F8306" s="2">
        <f>DATE(2026,IF(Tabla1[[#This Row],[Mes de Fecha]]="Septiembre",9,10),Tabla1[[#This Row],[Día de Fecha]])</f>
        <v>46291</v>
      </c>
      <c r="G8306">
        <v>52448582</v>
      </c>
      <c r="H8306" t="s">
        <v>121</v>
      </c>
      <c r="I8306">
        <v>189</v>
      </c>
      <c r="J8306">
        <v>0</v>
      </c>
      <c r="K8306" s="1">
        <v>10071398</v>
      </c>
    </row>
    <row r="8307" spans="1:11" x14ac:dyDescent="0.25">
      <c r="A8307" t="s">
        <v>9</v>
      </c>
      <c r="B8307" t="s">
        <v>119</v>
      </c>
      <c r="C8307" t="s">
        <v>874</v>
      </c>
      <c r="D8307" t="s">
        <v>11</v>
      </c>
      <c r="E8307">
        <v>26</v>
      </c>
      <c r="F8307" s="2">
        <f>DATE(2026,IF(Tabla1[[#This Row],[Mes de Fecha]]="Septiembre",9,10),Tabla1[[#This Row],[Día de Fecha]])</f>
        <v>46291</v>
      </c>
      <c r="G8307">
        <v>1123207741</v>
      </c>
      <c r="H8307" t="s">
        <v>120</v>
      </c>
      <c r="I8307">
        <v>129</v>
      </c>
      <c r="J8307">
        <v>0</v>
      </c>
      <c r="K8307" s="1">
        <v>6339040</v>
      </c>
    </row>
    <row r="8308" spans="1:11" x14ac:dyDescent="0.25">
      <c r="A8308" t="s">
        <v>9</v>
      </c>
      <c r="B8308" t="s">
        <v>119</v>
      </c>
      <c r="C8308" t="s">
        <v>874</v>
      </c>
      <c r="D8308" t="s">
        <v>11</v>
      </c>
      <c r="E8308">
        <v>27</v>
      </c>
      <c r="F8308" s="2">
        <f>DATE(2026,IF(Tabla1[[#This Row],[Mes de Fecha]]="Septiembre",9,10),Tabla1[[#This Row],[Día de Fecha]])</f>
        <v>46292</v>
      </c>
      <c r="I8308">
        <v>0</v>
      </c>
      <c r="J8308" s="1">
        <v>6851532</v>
      </c>
      <c r="K8308">
        <v>0</v>
      </c>
    </row>
    <row r="8309" spans="1:11" x14ac:dyDescent="0.25">
      <c r="A8309" t="s">
        <v>9</v>
      </c>
      <c r="B8309" t="s">
        <v>119</v>
      </c>
      <c r="C8309" t="s">
        <v>874</v>
      </c>
      <c r="D8309" t="s">
        <v>11</v>
      </c>
      <c r="E8309">
        <v>27</v>
      </c>
      <c r="F8309" s="2">
        <f>DATE(2026,IF(Tabla1[[#This Row],[Mes de Fecha]]="Septiembre",9,10),Tabla1[[#This Row],[Día de Fecha]])</f>
        <v>46292</v>
      </c>
      <c r="G8309">
        <v>52448582</v>
      </c>
      <c r="H8309" t="s">
        <v>121</v>
      </c>
      <c r="I8309">
        <v>39</v>
      </c>
      <c r="J8309">
        <v>0</v>
      </c>
      <c r="K8309" s="1">
        <v>2466724</v>
      </c>
    </row>
    <row r="8310" spans="1:11" x14ac:dyDescent="0.25">
      <c r="A8310" t="s">
        <v>9</v>
      </c>
      <c r="B8310" t="s">
        <v>119</v>
      </c>
      <c r="C8310" t="s">
        <v>874</v>
      </c>
      <c r="D8310" t="s">
        <v>11</v>
      </c>
      <c r="E8310">
        <v>27</v>
      </c>
      <c r="F8310" s="2">
        <f>DATE(2026,IF(Tabla1[[#This Row],[Mes de Fecha]]="Septiembre",9,10),Tabla1[[#This Row],[Día de Fecha]])</f>
        <v>46292</v>
      </c>
      <c r="G8310">
        <v>1123207741</v>
      </c>
      <c r="H8310" t="s">
        <v>120</v>
      </c>
      <c r="I8310">
        <v>195</v>
      </c>
      <c r="J8310">
        <v>0</v>
      </c>
      <c r="K8310" s="1">
        <v>11081734</v>
      </c>
    </row>
    <row r="8311" spans="1:11" x14ac:dyDescent="0.25">
      <c r="A8311" t="s">
        <v>9</v>
      </c>
      <c r="B8311" t="s">
        <v>119</v>
      </c>
      <c r="C8311" t="s">
        <v>874</v>
      </c>
      <c r="D8311" t="s">
        <v>11</v>
      </c>
      <c r="E8311">
        <v>28</v>
      </c>
      <c r="F8311" s="2">
        <f>DATE(2026,IF(Tabla1[[#This Row],[Mes de Fecha]]="Septiembre",9,10),Tabla1[[#This Row],[Día de Fecha]])</f>
        <v>46293</v>
      </c>
      <c r="I8311">
        <v>0</v>
      </c>
      <c r="J8311" s="1">
        <v>5617512</v>
      </c>
      <c r="K8311">
        <v>0</v>
      </c>
    </row>
    <row r="8312" spans="1:11" x14ac:dyDescent="0.25">
      <c r="A8312" t="s">
        <v>9</v>
      </c>
      <c r="B8312" t="s">
        <v>119</v>
      </c>
      <c r="C8312" t="s">
        <v>874</v>
      </c>
      <c r="D8312" t="s">
        <v>11</v>
      </c>
      <c r="E8312">
        <v>28</v>
      </c>
      <c r="F8312" s="2">
        <f>DATE(2026,IF(Tabla1[[#This Row],[Mes de Fecha]]="Septiembre",9,10),Tabla1[[#This Row],[Día de Fecha]])</f>
        <v>46293</v>
      </c>
      <c r="G8312">
        <v>52448582</v>
      </c>
      <c r="H8312" t="s">
        <v>121</v>
      </c>
      <c r="I8312">
        <v>44</v>
      </c>
      <c r="J8312">
        <v>0</v>
      </c>
      <c r="K8312" s="1">
        <v>2191224</v>
      </c>
    </row>
    <row r="8313" spans="1:11" x14ac:dyDescent="0.25">
      <c r="A8313" t="s">
        <v>9</v>
      </c>
      <c r="B8313" t="s">
        <v>119</v>
      </c>
      <c r="C8313" t="s">
        <v>874</v>
      </c>
      <c r="D8313" t="s">
        <v>11</v>
      </c>
      <c r="E8313">
        <v>28</v>
      </c>
      <c r="F8313" s="2">
        <f>DATE(2026,IF(Tabla1[[#This Row],[Mes de Fecha]]="Septiembre",9,10),Tabla1[[#This Row],[Día de Fecha]])</f>
        <v>46293</v>
      </c>
      <c r="G8313">
        <v>1123207741</v>
      </c>
      <c r="H8313" t="s">
        <v>120</v>
      </c>
      <c r="I8313">
        <v>99</v>
      </c>
      <c r="J8313">
        <v>0</v>
      </c>
      <c r="K8313" s="1">
        <v>5337987</v>
      </c>
    </row>
    <row r="8314" spans="1:11" x14ac:dyDescent="0.25">
      <c r="A8314" t="s">
        <v>9</v>
      </c>
      <c r="B8314" t="s">
        <v>119</v>
      </c>
      <c r="C8314" t="s">
        <v>874</v>
      </c>
      <c r="D8314" t="s">
        <v>11</v>
      </c>
      <c r="E8314">
        <v>29</v>
      </c>
      <c r="F8314" s="2">
        <f>DATE(2026,IF(Tabla1[[#This Row],[Mes de Fecha]]="Septiembre",9,10),Tabla1[[#This Row],[Día de Fecha]])</f>
        <v>46294</v>
      </c>
      <c r="I8314">
        <v>0</v>
      </c>
      <c r="J8314" s="1">
        <v>6245011</v>
      </c>
      <c r="K8314">
        <v>0</v>
      </c>
    </row>
    <row r="8315" spans="1:11" x14ac:dyDescent="0.25">
      <c r="A8315" t="s">
        <v>9</v>
      </c>
      <c r="B8315" t="s">
        <v>119</v>
      </c>
      <c r="C8315" t="s">
        <v>874</v>
      </c>
      <c r="D8315" t="s">
        <v>11</v>
      </c>
      <c r="E8315">
        <v>29</v>
      </c>
      <c r="F8315" s="2">
        <f>DATE(2026,IF(Tabla1[[#This Row],[Mes de Fecha]]="Septiembre",9,10),Tabla1[[#This Row],[Día de Fecha]])</f>
        <v>46294</v>
      </c>
      <c r="G8315">
        <v>52448582</v>
      </c>
      <c r="H8315" t="s">
        <v>121</v>
      </c>
      <c r="I8315">
        <v>72</v>
      </c>
      <c r="J8315">
        <v>0</v>
      </c>
      <c r="K8315" s="1">
        <v>3442063</v>
      </c>
    </row>
    <row r="8316" spans="1:11" x14ac:dyDescent="0.25">
      <c r="A8316" t="s">
        <v>9</v>
      </c>
      <c r="B8316" t="s">
        <v>119</v>
      </c>
      <c r="C8316" t="s">
        <v>874</v>
      </c>
      <c r="D8316" t="s">
        <v>11</v>
      </c>
      <c r="E8316">
        <v>29</v>
      </c>
      <c r="F8316" s="2">
        <f>DATE(2026,IF(Tabla1[[#This Row],[Mes de Fecha]]="Septiembre",9,10),Tabla1[[#This Row],[Día de Fecha]])</f>
        <v>46294</v>
      </c>
      <c r="G8316">
        <v>1120097323</v>
      </c>
      <c r="H8316" t="s">
        <v>122</v>
      </c>
      <c r="I8316">
        <v>-1</v>
      </c>
      <c r="J8316">
        <v>0</v>
      </c>
      <c r="K8316" s="1">
        <v>-41933</v>
      </c>
    </row>
    <row r="8317" spans="1:11" x14ac:dyDescent="0.25">
      <c r="A8317" t="s">
        <v>9</v>
      </c>
      <c r="B8317" t="s">
        <v>119</v>
      </c>
      <c r="C8317" t="s">
        <v>874</v>
      </c>
      <c r="D8317" t="s">
        <v>11</v>
      </c>
      <c r="E8317">
        <v>29</v>
      </c>
      <c r="F8317" s="2">
        <f>DATE(2026,IF(Tabla1[[#This Row],[Mes de Fecha]]="Septiembre",9,10),Tabla1[[#This Row],[Día de Fecha]])</f>
        <v>46294</v>
      </c>
      <c r="G8317">
        <v>1123207741</v>
      </c>
      <c r="H8317" t="s">
        <v>120</v>
      </c>
      <c r="I8317">
        <v>95</v>
      </c>
      <c r="J8317">
        <v>0</v>
      </c>
      <c r="K8317" s="1">
        <v>4697527</v>
      </c>
    </row>
    <row r="8318" spans="1:11" x14ac:dyDescent="0.25">
      <c r="A8318" t="s">
        <v>9</v>
      </c>
      <c r="B8318" t="s">
        <v>119</v>
      </c>
      <c r="C8318" t="s">
        <v>874</v>
      </c>
      <c r="D8318" t="s">
        <v>11</v>
      </c>
      <c r="E8318">
        <v>30</v>
      </c>
      <c r="F8318" s="2">
        <f>DATE(2026,IF(Tabla1[[#This Row],[Mes de Fecha]]="Septiembre",9,10),Tabla1[[#This Row],[Día de Fecha]])</f>
        <v>46295</v>
      </c>
      <c r="I8318">
        <v>0</v>
      </c>
      <c r="J8318" s="1">
        <v>6613664</v>
      </c>
      <c r="K8318">
        <v>0</v>
      </c>
    </row>
    <row r="8319" spans="1:11" x14ac:dyDescent="0.25">
      <c r="A8319" t="s">
        <v>9</v>
      </c>
      <c r="B8319" t="s">
        <v>119</v>
      </c>
      <c r="C8319" t="s">
        <v>874</v>
      </c>
      <c r="D8319" t="s">
        <v>11</v>
      </c>
      <c r="E8319">
        <v>30</v>
      </c>
      <c r="F8319" s="2">
        <f>DATE(2026,IF(Tabla1[[#This Row],[Mes de Fecha]]="Septiembre",9,10),Tabla1[[#This Row],[Día de Fecha]])</f>
        <v>46295</v>
      </c>
      <c r="G8319">
        <v>52448582</v>
      </c>
      <c r="H8319" t="s">
        <v>121</v>
      </c>
      <c r="I8319">
        <v>31</v>
      </c>
      <c r="J8319">
        <v>0</v>
      </c>
      <c r="K8319" s="1">
        <v>1603530</v>
      </c>
    </row>
    <row r="8320" spans="1:11" x14ac:dyDescent="0.25">
      <c r="A8320" t="s">
        <v>9</v>
      </c>
      <c r="B8320" t="s">
        <v>119</v>
      </c>
      <c r="C8320" t="s">
        <v>874</v>
      </c>
      <c r="D8320" t="s">
        <v>11</v>
      </c>
      <c r="E8320">
        <v>30</v>
      </c>
      <c r="F8320" s="2">
        <f>DATE(2026,IF(Tabla1[[#This Row],[Mes de Fecha]]="Septiembre",9,10),Tabla1[[#This Row],[Día de Fecha]])</f>
        <v>46295</v>
      </c>
      <c r="G8320">
        <v>1123207741</v>
      </c>
      <c r="H8320" t="s">
        <v>120</v>
      </c>
      <c r="I8320">
        <v>145</v>
      </c>
      <c r="J8320">
        <v>0</v>
      </c>
      <c r="K8320" s="1">
        <v>7165768</v>
      </c>
    </row>
    <row r="8321" spans="1:11" x14ac:dyDescent="0.25">
      <c r="A8321" t="s">
        <v>9</v>
      </c>
      <c r="B8321" t="s">
        <v>119</v>
      </c>
      <c r="C8321" t="s">
        <v>874</v>
      </c>
      <c r="D8321" t="s">
        <v>14</v>
      </c>
      <c r="E8321">
        <v>1</v>
      </c>
      <c r="F8321" s="2">
        <f>DATE(2026,IF(Tabla1[[#This Row],[Mes de Fecha]]="Septiembre",9,10),Tabla1[[#This Row],[Día de Fecha]])</f>
        <v>46296</v>
      </c>
      <c r="I8321">
        <v>0</v>
      </c>
      <c r="J8321" s="1">
        <v>10829691</v>
      </c>
      <c r="K8321">
        <v>0</v>
      </c>
    </row>
    <row r="8322" spans="1:11" x14ac:dyDescent="0.25">
      <c r="A8322" t="s">
        <v>9</v>
      </c>
      <c r="B8322" t="s">
        <v>119</v>
      </c>
      <c r="C8322" t="s">
        <v>874</v>
      </c>
      <c r="D8322" t="s">
        <v>14</v>
      </c>
      <c r="E8322">
        <v>1</v>
      </c>
      <c r="F8322" s="2">
        <f>DATE(2026,IF(Tabla1[[#This Row],[Mes de Fecha]]="Septiembre",9,10),Tabla1[[#This Row],[Día de Fecha]])</f>
        <v>46296</v>
      </c>
      <c r="G8322">
        <v>52448582</v>
      </c>
      <c r="H8322" t="s">
        <v>121</v>
      </c>
      <c r="I8322">
        <v>81</v>
      </c>
      <c r="J8322">
        <v>0</v>
      </c>
      <c r="K8322" s="1">
        <v>4189542</v>
      </c>
    </row>
    <row r="8323" spans="1:11" x14ac:dyDescent="0.25">
      <c r="A8323" t="s">
        <v>9</v>
      </c>
      <c r="B8323" t="s">
        <v>119</v>
      </c>
      <c r="C8323" t="s">
        <v>874</v>
      </c>
      <c r="D8323" t="s">
        <v>14</v>
      </c>
      <c r="E8323">
        <v>1</v>
      </c>
      <c r="F8323" s="2">
        <f>DATE(2026,IF(Tabla1[[#This Row],[Mes de Fecha]]="Septiembre",9,10),Tabla1[[#This Row],[Día de Fecha]])</f>
        <v>46296</v>
      </c>
      <c r="G8323">
        <v>1123207741</v>
      </c>
      <c r="H8323" t="s">
        <v>120</v>
      </c>
      <c r="I8323">
        <v>87</v>
      </c>
      <c r="J8323">
        <v>0</v>
      </c>
      <c r="K8323" s="1">
        <v>4485551</v>
      </c>
    </row>
    <row r="8324" spans="1:11" x14ac:dyDescent="0.25">
      <c r="A8324" t="s">
        <v>9</v>
      </c>
      <c r="B8324" t="s">
        <v>119</v>
      </c>
      <c r="C8324" t="s">
        <v>874</v>
      </c>
      <c r="D8324" t="s">
        <v>14</v>
      </c>
      <c r="E8324">
        <v>2</v>
      </c>
      <c r="F8324" s="2">
        <f>DATE(2026,IF(Tabla1[[#This Row],[Mes de Fecha]]="Septiembre",9,10),Tabla1[[#This Row],[Día de Fecha]])</f>
        <v>46297</v>
      </c>
      <c r="I8324">
        <v>0</v>
      </c>
      <c r="J8324" s="1">
        <v>8889522</v>
      </c>
      <c r="K8324">
        <v>0</v>
      </c>
    </row>
    <row r="8325" spans="1:11" x14ac:dyDescent="0.25">
      <c r="A8325" t="s">
        <v>9</v>
      </c>
      <c r="B8325" t="s">
        <v>119</v>
      </c>
      <c r="C8325" t="s">
        <v>874</v>
      </c>
      <c r="D8325" t="s">
        <v>14</v>
      </c>
      <c r="E8325">
        <v>2</v>
      </c>
      <c r="F8325" s="2">
        <f>DATE(2026,IF(Tabla1[[#This Row],[Mes de Fecha]]="Septiembre",9,10),Tabla1[[#This Row],[Día de Fecha]])</f>
        <v>46297</v>
      </c>
      <c r="G8325">
        <v>52448582</v>
      </c>
      <c r="H8325" t="s">
        <v>121</v>
      </c>
      <c r="I8325">
        <v>76</v>
      </c>
      <c r="J8325">
        <v>0</v>
      </c>
      <c r="K8325" s="1">
        <v>3643407</v>
      </c>
    </row>
    <row r="8326" spans="1:11" x14ac:dyDescent="0.25">
      <c r="A8326" t="s">
        <v>9</v>
      </c>
      <c r="B8326" t="s">
        <v>119</v>
      </c>
      <c r="C8326" t="s">
        <v>874</v>
      </c>
      <c r="D8326" t="s">
        <v>14</v>
      </c>
      <c r="E8326">
        <v>2</v>
      </c>
      <c r="F8326" s="2">
        <f>DATE(2026,IF(Tabla1[[#This Row],[Mes de Fecha]]="Septiembre",9,10),Tabla1[[#This Row],[Día de Fecha]])</f>
        <v>46297</v>
      </c>
      <c r="G8326">
        <v>1123207741</v>
      </c>
      <c r="H8326" t="s">
        <v>120</v>
      </c>
      <c r="I8326">
        <v>107</v>
      </c>
      <c r="J8326">
        <v>0</v>
      </c>
      <c r="K8326" s="1">
        <v>5461513</v>
      </c>
    </row>
    <row r="8327" spans="1:11" x14ac:dyDescent="0.25">
      <c r="A8327" t="s">
        <v>9</v>
      </c>
      <c r="B8327" t="s">
        <v>119</v>
      </c>
      <c r="C8327" t="s">
        <v>874</v>
      </c>
      <c r="D8327" t="s">
        <v>14</v>
      </c>
      <c r="E8327">
        <v>3</v>
      </c>
      <c r="F8327" s="2">
        <f>DATE(2026,IF(Tabla1[[#This Row],[Mes de Fecha]]="Septiembre",9,10),Tabla1[[#This Row],[Día de Fecha]])</f>
        <v>46298</v>
      </c>
      <c r="I8327">
        <v>0</v>
      </c>
      <c r="J8327" s="1">
        <v>10054378</v>
      </c>
      <c r="K8327">
        <v>0</v>
      </c>
    </row>
    <row r="8328" spans="1:11" x14ac:dyDescent="0.25">
      <c r="A8328" t="s">
        <v>9</v>
      </c>
      <c r="B8328" t="s">
        <v>119</v>
      </c>
      <c r="C8328" t="s">
        <v>874</v>
      </c>
      <c r="D8328" t="s">
        <v>14</v>
      </c>
      <c r="E8328">
        <v>3</v>
      </c>
      <c r="F8328" s="2">
        <f>DATE(2026,IF(Tabla1[[#This Row],[Mes de Fecha]]="Septiembre",9,10),Tabla1[[#This Row],[Día de Fecha]])</f>
        <v>46298</v>
      </c>
      <c r="G8328">
        <v>52448582</v>
      </c>
      <c r="H8328" t="s">
        <v>121</v>
      </c>
      <c r="I8328">
        <v>170</v>
      </c>
      <c r="J8328">
        <v>0</v>
      </c>
      <c r="K8328" s="1">
        <v>7666127</v>
      </c>
    </row>
    <row r="8329" spans="1:11" x14ac:dyDescent="0.25">
      <c r="A8329" t="s">
        <v>9</v>
      </c>
      <c r="B8329" t="s">
        <v>119</v>
      </c>
      <c r="C8329" t="s">
        <v>874</v>
      </c>
      <c r="D8329" t="s">
        <v>14</v>
      </c>
      <c r="E8329">
        <v>3</v>
      </c>
      <c r="F8329" s="2">
        <f>DATE(2026,IF(Tabla1[[#This Row],[Mes de Fecha]]="Septiembre",9,10),Tabla1[[#This Row],[Día de Fecha]])</f>
        <v>46298</v>
      </c>
      <c r="G8329">
        <v>1123207741</v>
      </c>
      <c r="H8329" t="s">
        <v>120</v>
      </c>
      <c r="I8329">
        <v>124</v>
      </c>
      <c r="J8329">
        <v>0</v>
      </c>
      <c r="K8329" s="1">
        <v>5553610</v>
      </c>
    </row>
    <row r="8330" spans="1:11" x14ac:dyDescent="0.25">
      <c r="A8330" t="s">
        <v>9</v>
      </c>
      <c r="B8330" t="s">
        <v>119</v>
      </c>
      <c r="C8330" t="s">
        <v>874</v>
      </c>
      <c r="D8330" t="s">
        <v>14</v>
      </c>
      <c r="E8330">
        <v>4</v>
      </c>
      <c r="F8330" s="2">
        <f>DATE(2026,IF(Tabla1[[#This Row],[Mes de Fecha]]="Septiembre",9,10),Tabla1[[#This Row],[Día de Fecha]])</f>
        <v>46299</v>
      </c>
      <c r="I8330">
        <v>0</v>
      </c>
      <c r="J8330" s="1">
        <v>2909815</v>
      </c>
      <c r="K8330">
        <v>0</v>
      </c>
    </row>
    <row r="8331" spans="1:11" x14ac:dyDescent="0.25">
      <c r="A8331" t="s">
        <v>9</v>
      </c>
      <c r="B8331" t="s">
        <v>119</v>
      </c>
      <c r="C8331" t="s">
        <v>874</v>
      </c>
      <c r="D8331" t="s">
        <v>14</v>
      </c>
      <c r="E8331">
        <v>4</v>
      </c>
      <c r="F8331" s="2">
        <f>DATE(2026,IF(Tabla1[[#This Row],[Mes de Fecha]]="Septiembre",9,10),Tabla1[[#This Row],[Día de Fecha]])</f>
        <v>46299</v>
      </c>
      <c r="G8331">
        <v>52448582</v>
      </c>
      <c r="H8331" t="s">
        <v>121</v>
      </c>
      <c r="I8331">
        <v>122</v>
      </c>
      <c r="J8331">
        <v>0</v>
      </c>
      <c r="K8331" s="1">
        <v>5241641</v>
      </c>
    </row>
    <row r="8332" spans="1:11" x14ac:dyDescent="0.25">
      <c r="A8332" t="s">
        <v>9</v>
      </c>
      <c r="B8332" t="s">
        <v>119</v>
      </c>
      <c r="C8332" t="s">
        <v>874</v>
      </c>
      <c r="D8332" t="s">
        <v>14</v>
      </c>
      <c r="E8332">
        <v>4</v>
      </c>
      <c r="F8332" s="2">
        <f>DATE(2026,IF(Tabla1[[#This Row],[Mes de Fecha]]="Septiembre",9,10),Tabla1[[#This Row],[Día de Fecha]])</f>
        <v>46299</v>
      </c>
      <c r="G8332">
        <v>1123207741</v>
      </c>
      <c r="H8332" t="s">
        <v>120</v>
      </c>
      <c r="I8332">
        <v>-4</v>
      </c>
      <c r="J8332">
        <v>0</v>
      </c>
      <c r="K8332" s="1">
        <v>-193109</v>
      </c>
    </row>
    <row r="8333" spans="1:11" x14ac:dyDescent="0.25">
      <c r="A8333" t="s">
        <v>9</v>
      </c>
      <c r="B8333" t="s">
        <v>119</v>
      </c>
      <c r="C8333" t="s">
        <v>874</v>
      </c>
      <c r="D8333" t="s">
        <v>14</v>
      </c>
      <c r="E8333">
        <v>5</v>
      </c>
      <c r="F8333" s="2">
        <f>DATE(2026,IF(Tabla1[[#This Row],[Mes de Fecha]]="Septiembre",9,10),Tabla1[[#This Row],[Día de Fecha]])</f>
        <v>46300</v>
      </c>
      <c r="I8333">
        <v>0</v>
      </c>
      <c r="J8333" s="1">
        <v>7581556</v>
      </c>
      <c r="K8333">
        <v>0</v>
      </c>
    </row>
    <row r="8334" spans="1:11" x14ac:dyDescent="0.25">
      <c r="A8334" t="s">
        <v>9</v>
      </c>
      <c r="B8334" t="s">
        <v>119</v>
      </c>
      <c r="C8334" t="s">
        <v>874</v>
      </c>
      <c r="D8334" t="s">
        <v>14</v>
      </c>
      <c r="E8334">
        <v>5</v>
      </c>
      <c r="F8334" s="2">
        <f>DATE(2026,IF(Tabla1[[#This Row],[Mes de Fecha]]="Septiembre",9,10),Tabla1[[#This Row],[Día de Fecha]])</f>
        <v>46300</v>
      </c>
      <c r="G8334">
        <v>52448582</v>
      </c>
      <c r="H8334" t="s">
        <v>121</v>
      </c>
      <c r="I8334">
        <v>149</v>
      </c>
      <c r="J8334">
        <v>0</v>
      </c>
      <c r="K8334" s="1">
        <v>5949606</v>
      </c>
    </row>
    <row r="8335" spans="1:11" x14ac:dyDescent="0.25">
      <c r="A8335" t="s">
        <v>9</v>
      </c>
      <c r="B8335" t="s">
        <v>119</v>
      </c>
      <c r="C8335" t="s">
        <v>874</v>
      </c>
      <c r="D8335" t="s">
        <v>14</v>
      </c>
      <c r="E8335">
        <v>5</v>
      </c>
      <c r="F8335" s="2">
        <f>DATE(2026,IF(Tabla1[[#This Row],[Mes de Fecha]]="Septiembre",9,10),Tabla1[[#This Row],[Día de Fecha]])</f>
        <v>46300</v>
      </c>
      <c r="G8335">
        <v>1123207741</v>
      </c>
      <c r="H8335" t="s">
        <v>120</v>
      </c>
      <c r="I8335">
        <v>-7</v>
      </c>
      <c r="J8335">
        <v>0</v>
      </c>
      <c r="K8335" s="1">
        <v>-434168</v>
      </c>
    </row>
    <row r="8336" spans="1:11" x14ac:dyDescent="0.25">
      <c r="A8336" t="s">
        <v>9</v>
      </c>
      <c r="B8336" t="s">
        <v>119</v>
      </c>
      <c r="C8336" t="s">
        <v>874</v>
      </c>
      <c r="D8336" t="s">
        <v>14</v>
      </c>
      <c r="E8336">
        <v>6</v>
      </c>
      <c r="F8336" s="2">
        <f>DATE(2026,IF(Tabla1[[#This Row],[Mes de Fecha]]="Septiembre",9,10),Tabla1[[#This Row],[Día de Fecha]])</f>
        <v>46301</v>
      </c>
      <c r="I8336">
        <v>0</v>
      </c>
      <c r="J8336" s="1">
        <v>5065602</v>
      </c>
      <c r="K8336">
        <v>0</v>
      </c>
    </row>
    <row r="8337" spans="1:11" x14ac:dyDescent="0.25">
      <c r="A8337" t="s">
        <v>9</v>
      </c>
      <c r="B8337" t="s">
        <v>119</v>
      </c>
      <c r="C8337" t="s">
        <v>874</v>
      </c>
      <c r="D8337" t="s">
        <v>14</v>
      </c>
      <c r="E8337">
        <v>6</v>
      </c>
      <c r="F8337" s="2">
        <f>DATE(2026,IF(Tabla1[[#This Row],[Mes de Fecha]]="Septiembre",9,10),Tabla1[[#This Row],[Día de Fecha]])</f>
        <v>46301</v>
      </c>
      <c r="G8337">
        <v>52448582</v>
      </c>
      <c r="H8337" t="s">
        <v>121</v>
      </c>
      <c r="I8337">
        <v>35</v>
      </c>
      <c r="J8337">
        <v>0</v>
      </c>
      <c r="K8337" s="1">
        <v>1456012</v>
      </c>
    </row>
    <row r="8338" spans="1:11" x14ac:dyDescent="0.25">
      <c r="A8338" t="s">
        <v>9</v>
      </c>
      <c r="B8338" t="s">
        <v>119</v>
      </c>
      <c r="C8338" t="s">
        <v>874</v>
      </c>
      <c r="D8338" t="s">
        <v>14</v>
      </c>
      <c r="E8338">
        <v>6</v>
      </c>
      <c r="F8338" s="2">
        <f>DATE(2026,IF(Tabla1[[#This Row],[Mes de Fecha]]="Septiembre",9,10),Tabla1[[#This Row],[Día de Fecha]])</f>
        <v>46301</v>
      </c>
      <c r="G8338">
        <v>1123207741</v>
      </c>
      <c r="H8338" t="s">
        <v>120</v>
      </c>
      <c r="I8338">
        <v>54</v>
      </c>
      <c r="J8338">
        <v>0</v>
      </c>
      <c r="K8338" s="1">
        <v>2465628</v>
      </c>
    </row>
    <row r="8339" spans="1:11" x14ac:dyDescent="0.25">
      <c r="A8339" t="s">
        <v>9</v>
      </c>
      <c r="B8339" t="s">
        <v>119</v>
      </c>
      <c r="C8339" t="s">
        <v>874</v>
      </c>
      <c r="D8339" t="s">
        <v>14</v>
      </c>
      <c r="E8339">
        <v>7</v>
      </c>
      <c r="F8339" s="2">
        <f>DATE(2026,IF(Tabla1[[#This Row],[Mes de Fecha]]="Septiembre",9,10),Tabla1[[#This Row],[Día de Fecha]])</f>
        <v>46302</v>
      </c>
      <c r="I8339">
        <v>0</v>
      </c>
      <c r="J8339" s="1">
        <v>2656096</v>
      </c>
      <c r="K8339">
        <v>0</v>
      </c>
    </row>
    <row r="8340" spans="1:11" x14ac:dyDescent="0.25">
      <c r="A8340" t="s">
        <v>9</v>
      </c>
      <c r="B8340" t="s">
        <v>119</v>
      </c>
      <c r="C8340" t="s">
        <v>874</v>
      </c>
      <c r="D8340" t="s">
        <v>14</v>
      </c>
      <c r="E8340">
        <v>7</v>
      </c>
      <c r="F8340" s="2">
        <f>DATE(2026,IF(Tabla1[[#This Row],[Mes de Fecha]]="Septiembre",9,10),Tabla1[[#This Row],[Día de Fecha]])</f>
        <v>46302</v>
      </c>
      <c r="G8340">
        <v>52448582</v>
      </c>
      <c r="H8340" t="s">
        <v>121</v>
      </c>
      <c r="I8340">
        <v>0</v>
      </c>
      <c r="J8340">
        <v>0</v>
      </c>
      <c r="K8340" s="1">
        <v>83992</v>
      </c>
    </row>
    <row r="8341" spans="1:11" x14ac:dyDescent="0.25">
      <c r="A8341" t="s">
        <v>9</v>
      </c>
      <c r="B8341" t="s">
        <v>119</v>
      </c>
      <c r="C8341" t="s">
        <v>874</v>
      </c>
      <c r="D8341" t="s">
        <v>14</v>
      </c>
      <c r="E8341">
        <v>7</v>
      </c>
      <c r="F8341" s="2">
        <f>DATE(2026,IF(Tabla1[[#This Row],[Mes de Fecha]]="Septiembre",9,10),Tabla1[[#This Row],[Día de Fecha]])</f>
        <v>46302</v>
      </c>
      <c r="G8341">
        <v>1123207741</v>
      </c>
      <c r="H8341" t="s">
        <v>120</v>
      </c>
      <c r="I8341">
        <v>136</v>
      </c>
      <c r="J8341">
        <v>0</v>
      </c>
      <c r="K8341" s="1">
        <v>6656476</v>
      </c>
    </row>
    <row r="8342" spans="1:11" x14ac:dyDescent="0.25">
      <c r="A8342" t="s">
        <v>9</v>
      </c>
      <c r="B8342" t="s">
        <v>128</v>
      </c>
      <c r="C8342" t="s">
        <v>874</v>
      </c>
      <c r="D8342" t="s">
        <v>11</v>
      </c>
      <c r="E8342">
        <v>23</v>
      </c>
      <c r="F8342" s="2">
        <f>DATE(2026,IF(Tabla1[[#This Row],[Mes de Fecha]]="Septiembre",9,10),Tabla1[[#This Row],[Día de Fecha]])</f>
        <v>46288</v>
      </c>
      <c r="I8342">
        <v>0</v>
      </c>
      <c r="J8342" s="1">
        <v>6997650</v>
      </c>
      <c r="K8342">
        <v>0</v>
      </c>
    </row>
    <row r="8343" spans="1:11" x14ac:dyDescent="0.25">
      <c r="A8343" t="s">
        <v>9</v>
      </c>
      <c r="B8343" t="s">
        <v>128</v>
      </c>
      <c r="C8343" t="s">
        <v>874</v>
      </c>
      <c r="D8343" t="s">
        <v>11</v>
      </c>
      <c r="E8343">
        <v>23</v>
      </c>
      <c r="F8343" s="2">
        <f>DATE(2026,IF(Tabla1[[#This Row],[Mes de Fecha]]="Septiembre",9,10),Tabla1[[#This Row],[Día de Fecha]])</f>
        <v>46288</v>
      </c>
      <c r="G8343">
        <v>69006846</v>
      </c>
      <c r="H8343" t="s">
        <v>129</v>
      </c>
      <c r="I8343">
        <v>4</v>
      </c>
      <c r="J8343">
        <v>0</v>
      </c>
      <c r="K8343" s="1">
        <v>193109</v>
      </c>
    </row>
    <row r="8344" spans="1:11" x14ac:dyDescent="0.25">
      <c r="A8344" t="s">
        <v>9</v>
      </c>
      <c r="B8344" t="s">
        <v>128</v>
      </c>
      <c r="C8344" t="s">
        <v>874</v>
      </c>
      <c r="D8344" t="s">
        <v>11</v>
      </c>
      <c r="E8344">
        <v>23</v>
      </c>
      <c r="F8344" s="2">
        <f>DATE(2026,IF(Tabla1[[#This Row],[Mes de Fecha]]="Septiembre",9,10),Tabla1[[#This Row],[Día de Fecha]])</f>
        <v>46288</v>
      </c>
      <c r="G8344">
        <v>98400453</v>
      </c>
      <c r="H8344" t="s">
        <v>134</v>
      </c>
      <c r="I8344">
        <v>1</v>
      </c>
      <c r="J8344">
        <v>0</v>
      </c>
      <c r="K8344" s="1">
        <v>33572</v>
      </c>
    </row>
    <row r="8345" spans="1:11" x14ac:dyDescent="0.25">
      <c r="A8345" t="s">
        <v>9</v>
      </c>
      <c r="B8345" t="s">
        <v>128</v>
      </c>
      <c r="C8345" t="s">
        <v>874</v>
      </c>
      <c r="D8345" t="s">
        <v>11</v>
      </c>
      <c r="E8345">
        <v>23</v>
      </c>
      <c r="F8345" s="2">
        <f>DATE(2026,IF(Tabla1[[#This Row],[Mes de Fecha]]="Septiembre",9,10),Tabla1[[#This Row],[Día de Fecha]])</f>
        <v>46288</v>
      </c>
      <c r="G8345">
        <v>1006180343</v>
      </c>
      <c r="H8345" t="s">
        <v>135</v>
      </c>
      <c r="I8345">
        <v>74</v>
      </c>
      <c r="J8345">
        <v>0</v>
      </c>
      <c r="K8345" s="1">
        <v>3379246</v>
      </c>
    </row>
    <row r="8346" spans="1:11" x14ac:dyDescent="0.25">
      <c r="A8346" t="s">
        <v>9</v>
      </c>
      <c r="B8346" t="s">
        <v>128</v>
      </c>
      <c r="C8346" t="s">
        <v>874</v>
      </c>
      <c r="D8346" t="s">
        <v>11</v>
      </c>
      <c r="E8346">
        <v>23</v>
      </c>
      <c r="F8346" s="2">
        <f>DATE(2026,IF(Tabla1[[#This Row],[Mes de Fecha]]="Septiembre",9,10),Tabla1[[#This Row],[Día de Fecha]])</f>
        <v>46288</v>
      </c>
      <c r="G8346">
        <v>1006849022</v>
      </c>
      <c r="H8346" t="s">
        <v>130</v>
      </c>
      <c r="I8346">
        <v>26</v>
      </c>
      <c r="J8346">
        <v>0</v>
      </c>
      <c r="K8346" s="1">
        <v>1414916</v>
      </c>
    </row>
    <row r="8347" spans="1:11" x14ac:dyDescent="0.25">
      <c r="A8347" t="s">
        <v>9</v>
      </c>
      <c r="B8347" t="s">
        <v>128</v>
      </c>
      <c r="C8347" t="s">
        <v>874</v>
      </c>
      <c r="D8347" t="s">
        <v>11</v>
      </c>
      <c r="E8347">
        <v>23</v>
      </c>
      <c r="F8347" s="2">
        <f>DATE(2026,IF(Tabla1[[#This Row],[Mes de Fecha]]="Septiembre",9,10),Tabla1[[#This Row],[Día de Fecha]])</f>
        <v>46288</v>
      </c>
      <c r="G8347">
        <v>1006947645</v>
      </c>
      <c r="H8347" t="s">
        <v>136</v>
      </c>
      <c r="I8347">
        <v>115</v>
      </c>
      <c r="J8347">
        <v>0</v>
      </c>
      <c r="K8347" s="1">
        <v>6295595</v>
      </c>
    </row>
    <row r="8348" spans="1:11" x14ac:dyDescent="0.25">
      <c r="A8348" t="s">
        <v>9</v>
      </c>
      <c r="B8348" t="s">
        <v>128</v>
      </c>
      <c r="C8348" t="s">
        <v>874</v>
      </c>
      <c r="D8348" t="s">
        <v>11</v>
      </c>
      <c r="E8348">
        <v>23</v>
      </c>
      <c r="F8348" s="2">
        <f>DATE(2026,IF(Tabla1[[#This Row],[Mes de Fecha]]="Septiembre",9,10),Tabla1[[#This Row],[Día de Fecha]])</f>
        <v>46288</v>
      </c>
      <c r="G8348">
        <v>1085305990</v>
      </c>
      <c r="H8348" t="s">
        <v>132</v>
      </c>
      <c r="I8348">
        <v>130</v>
      </c>
      <c r="J8348">
        <v>0</v>
      </c>
      <c r="K8348" s="1">
        <v>6232062</v>
      </c>
    </row>
    <row r="8349" spans="1:11" x14ac:dyDescent="0.25">
      <c r="A8349" t="s">
        <v>9</v>
      </c>
      <c r="B8349" t="s">
        <v>128</v>
      </c>
      <c r="C8349" t="s">
        <v>874</v>
      </c>
      <c r="D8349" t="s">
        <v>11</v>
      </c>
      <c r="E8349">
        <v>23</v>
      </c>
      <c r="F8349" s="2">
        <f>DATE(2026,IF(Tabla1[[#This Row],[Mes de Fecha]]="Septiembre",9,10),Tabla1[[#This Row],[Día de Fecha]])</f>
        <v>46288</v>
      </c>
      <c r="G8349">
        <v>1124866497</v>
      </c>
      <c r="H8349" t="s">
        <v>137</v>
      </c>
      <c r="I8349">
        <v>78</v>
      </c>
      <c r="J8349">
        <v>0</v>
      </c>
      <c r="K8349" s="1">
        <v>4221525</v>
      </c>
    </row>
    <row r="8350" spans="1:11" x14ac:dyDescent="0.25">
      <c r="A8350" t="s">
        <v>9</v>
      </c>
      <c r="B8350" t="s">
        <v>128</v>
      </c>
      <c r="C8350" t="s">
        <v>874</v>
      </c>
      <c r="D8350" t="s">
        <v>11</v>
      </c>
      <c r="E8350">
        <v>23</v>
      </c>
      <c r="F8350" s="2">
        <f>DATE(2026,IF(Tabla1[[#This Row],[Mes de Fecha]]="Septiembre",9,10),Tabla1[[#This Row],[Día de Fecha]])</f>
        <v>46288</v>
      </c>
      <c r="G8350">
        <v>1127077969</v>
      </c>
      <c r="H8350" t="s">
        <v>133</v>
      </c>
      <c r="I8350">
        <v>157</v>
      </c>
      <c r="J8350">
        <v>0</v>
      </c>
      <c r="K8350" s="1">
        <v>8585842</v>
      </c>
    </row>
    <row r="8351" spans="1:11" x14ac:dyDescent="0.25">
      <c r="A8351" t="s">
        <v>9</v>
      </c>
      <c r="B8351" t="s">
        <v>128</v>
      </c>
      <c r="C8351" t="s">
        <v>874</v>
      </c>
      <c r="D8351" t="s">
        <v>11</v>
      </c>
      <c r="E8351">
        <v>24</v>
      </c>
      <c r="F8351" s="2">
        <f>DATE(2026,IF(Tabla1[[#This Row],[Mes de Fecha]]="Septiembre",9,10),Tabla1[[#This Row],[Día de Fecha]])</f>
        <v>46289</v>
      </c>
      <c r="I8351">
        <v>0</v>
      </c>
      <c r="J8351" s="1">
        <v>18097259</v>
      </c>
      <c r="K8351">
        <v>0</v>
      </c>
    </row>
    <row r="8352" spans="1:11" x14ac:dyDescent="0.25">
      <c r="A8352" t="s">
        <v>9</v>
      </c>
      <c r="B8352" t="s">
        <v>128</v>
      </c>
      <c r="C8352" t="s">
        <v>874</v>
      </c>
      <c r="D8352" t="s">
        <v>11</v>
      </c>
      <c r="E8352">
        <v>24</v>
      </c>
      <c r="F8352" s="2">
        <f>DATE(2026,IF(Tabla1[[#This Row],[Mes de Fecha]]="Septiembre",9,10),Tabla1[[#This Row],[Día de Fecha]])</f>
        <v>46289</v>
      </c>
      <c r="G8352">
        <v>69006846</v>
      </c>
      <c r="H8352" t="s">
        <v>129</v>
      </c>
      <c r="I8352">
        <v>22</v>
      </c>
      <c r="J8352">
        <v>0</v>
      </c>
      <c r="K8352" s="1">
        <v>1263868</v>
      </c>
    </row>
    <row r="8353" spans="1:11" x14ac:dyDescent="0.25">
      <c r="A8353" t="s">
        <v>9</v>
      </c>
      <c r="B8353" t="s">
        <v>128</v>
      </c>
      <c r="C8353" t="s">
        <v>874</v>
      </c>
      <c r="D8353" t="s">
        <v>11</v>
      </c>
      <c r="E8353">
        <v>24</v>
      </c>
      <c r="F8353" s="2">
        <f>DATE(2026,IF(Tabla1[[#This Row],[Mes de Fecha]]="Septiembre",9,10),Tabla1[[#This Row],[Día de Fecha]])</f>
        <v>46289</v>
      </c>
      <c r="G8353">
        <v>1006180343</v>
      </c>
      <c r="H8353" t="s">
        <v>135</v>
      </c>
      <c r="I8353">
        <v>59</v>
      </c>
      <c r="J8353">
        <v>0</v>
      </c>
      <c r="K8353" s="1">
        <v>3064755</v>
      </c>
    </row>
    <row r="8354" spans="1:11" x14ac:dyDescent="0.25">
      <c r="A8354" t="s">
        <v>9</v>
      </c>
      <c r="B8354" t="s">
        <v>128</v>
      </c>
      <c r="C8354" t="s">
        <v>874</v>
      </c>
      <c r="D8354" t="s">
        <v>11</v>
      </c>
      <c r="E8354">
        <v>24</v>
      </c>
      <c r="F8354" s="2">
        <f>DATE(2026,IF(Tabla1[[#This Row],[Mes de Fecha]]="Septiembre",9,10),Tabla1[[#This Row],[Día de Fecha]])</f>
        <v>46289</v>
      </c>
      <c r="G8354">
        <v>1006849022</v>
      </c>
      <c r="H8354" t="s">
        <v>130</v>
      </c>
      <c r="I8354">
        <v>57</v>
      </c>
      <c r="J8354">
        <v>0</v>
      </c>
      <c r="K8354" s="1">
        <v>3090041</v>
      </c>
    </row>
    <row r="8355" spans="1:11" x14ac:dyDescent="0.25">
      <c r="A8355" t="s">
        <v>9</v>
      </c>
      <c r="B8355" t="s">
        <v>128</v>
      </c>
      <c r="C8355" t="s">
        <v>874</v>
      </c>
      <c r="D8355" t="s">
        <v>11</v>
      </c>
      <c r="E8355">
        <v>24</v>
      </c>
      <c r="F8355" s="2">
        <f>DATE(2026,IF(Tabla1[[#This Row],[Mes de Fecha]]="Septiembre",9,10),Tabla1[[#This Row],[Día de Fecha]])</f>
        <v>46289</v>
      </c>
      <c r="G8355">
        <v>1006947645</v>
      </c>
      <c r="H8355" t="s">
        <v>136</v>
      </c>
      <c r="I8355">
        <v>80</v>
      </c>
      <c r="J8355">
        <v>0</v>
      </c>
      <c r="K8355" s="1">
        <v>4448324</v>
      </c>
    </row>
    <row r="8356" spans="1:11" x14ac:dyDescent="0.25">
      <c r="A8356" t="s">
        <v>9</v>
      </c>
      <c r="B8356" t="s">
        <v>128</v>
      </c>
      <c r="C8356" t="s">
        <v>874</v>
      </c>
      <c r="D8356" t="s">
        <v>11</v>
      </c>
      <c r="E8356">
        <v>24</v>
      </c>
      <c r="F8356" s="2">
        <f>DATE(2026,IF(Tabla1[[#This Row],[Mes de Fecha]]="Septiembre",9,10),Tabla1[[#This Row],[Día de Fecha]])</f>
        <v>46289</v>
      </c>
      <c r="G8356">
        <v>1085305990</v>
      </c>
      <c r="H8356" t="s">
        <v>132</v>
      </c>
      <c r="I8356">
        <v>91</v>
      </c>
      <c r="J8356">
        <v>0</v>
      </c>
      <c r="K8356" s="1">
        <v>4439506</v>
      </c>
    </row>
    <row r="8357" spans="1:11" x14ac:dyDescent="0.25">
      <c r="A8357" t="s">
        <v>9</v>
      </c>
      <c r="B8357" t="s">
        <v>128</v>
      </c>
      <c r="C8357" t="s">
        <v>874</v>
      </c>
      <c r="D8357" t="s">
        <v>11</v>
      </c>
      <c r="E8357">
        <v>24</v>
      </c>
      <c r="F8357" s="2">
        <f>DATE(2026,IF(Tabla1[[#This Row],[Mes de Fecha]]="Septiembre",9,10),Tabla1[[#This Row],[Día de Fecha]])</f>
        <v>46289</v>
      </c>
      <c r="G8357">
        <v>1124866497</v>
      </c>
      <c r="H8357" t="s">
        <v>137</v>
      </c>
      <c r="I8357">
        <v>91</v>
      </c>
      <c r="J8357">
        <v>0</v>
      </c>
      <c r="K8357" s="1">
        <v>4981476</v>
      </c>
    </row>
    <row r="8358" spans="1:11" x14ac:dyDescent="0.25">
      <c r="A8358" t="s">
        <v>9</v>
      </c>
      <c r="B8358" t="s">
        <v>128</v>
      </c>
      <c r="C8358" t="s">
        <v>874</v>
      </c>
      <c r="D8358" t="s">
        <v>11</v>
      </c>
      <c r="E8358">
        <v>24</v>
      </c>
      <c r="F8358" s="2">
        <f>DATE(2026,IF(Tabla1[[#This Row],[Mes de Fecha]]="Septiembre",9,10),Tabla1[[#This Row],[Día de Fecha]])</f>
        <v>46289</v>
      </c>
      <c r="G8358">
        <v>1127077969</v>
      </c>
      <c r="H8358" t="s">
        <v>133</v>
      </c>
      <c r="I8358">
        <v>79</v>
      </c>
      <c r="J8358">
        <v>0</v>
      </c>
      <c r="K8358" s="1">
        <v>4933655</v>
      </c>
    </row>
    <row r="8359" spans="1:11" x14ac:dyDescent="0.25">
      <c r="A8359" t="s">
        <v>9</v>
      </c>
      <c r="B8359" t="s">
        <v>128</v>
      </c>
      <c r="C8359" t="s">
        <v>874</v>
      </c>
      <c r="D8359" t="s">
        <v>11</v>
      </c>
      <c r="E8359">
        <v>25</v>
      </c>
      <c r="F8359" s="2">
        <f>DATE(2026,IF(Tabla1[[#This Row],[Mes de Fecha]]="Septiembre",9,10),Tabla1[[#This Row],[Día de Fecha]])</f>
        <v>46290</v>
      </c>
      <c r="I8359">
        <v>0</v>
      </c>
      <c r="J8359" s="1">
        <v>19328862</v>
      </c>
      <c r="K8359">
        <v>0</v>
      </c>
    </row>
    <row r="8360" spans="1:11" x14ac:dyDescent="0.25">
      <c r="A8360" t="s">
        <v>9</v>
      </c>
      <c r="B8360" t="s">
        <v>128</v>
      </c>
      <c r="C8360" t="s">
        <v>874</v>
      </c>
      <c r="D8360" t="s">
        <v>11</v>
      </c>
      <c r="E8360">
        <v>25</v>
      </c>
      <c r="F8360" s="2">
        <f>DATE(2026,IF(Tabla1[[#This Row],[Mes de Fecha]]="Septiembre",9,10),Tabla1[[#This Row],[Día de Fecha]])</f>
        <v>46290</v>
      </c>
      <c r="G8360">
        <v>69006846</v>
      </c>
      <c r="H8360" t="s">
        <v>129</v>
      </c>
      <c r="I8360">
        <v>62</v>
      </c>
      <c r="J8360">
        <v>0</v>
      </c>
      <c r="K8360" s="1">
        <v>3140260</v>
      </c>
    </row>
    <row r="8361" spans="1:11" x14ac:dyDescent="0.25">
      <c r="A8361" t="s">
        <v>9</v>
      </c>
      <c r="B8361" t="s">
        <v>128</v>
      </c>
      <c r="C8361" t="s">
        <v>874</v>
      </c>
      <c r="D8361" t="s">
        <v>11</v>
      </c>
      <c r="E8361">
        <v>25</v>
      </c>
      <c r="F8361" s="2">
        <f>DATE(2026,IF(Tabla1[[#This Row],[Mes de Fecha]]="Septiembre",9,10),Tabla1[[#This Row],[Día de Fecha]])</f>
        <v>46290</v>
      </c>
      <c r="G8361">
        <v>1006180343</v>
      </c>
      <c r="H8361" t="s">
        <v>135</v>
      </c>
      <c r="I8361">
        <v>43</v>
      </c>
      <c r="J8361">
        <v>0</v>
      </c>
      <c r="K8361" s="1">
        <v>2376346</v>
      </c>
    </row>
    <row r="8362" spans="1:11" x14ac:dyDescent="0.25">
      <c r="A8362" t="s">
        <v>9</v>
      </c>
      <c r="B8362" t="s">
        <v>128</v>
      </c>
      <c r="C8362" t="s">
        <v>874</v>
      </c>
      <c r="D8362" t="s">
        <v>11</v>
      </c>
      <c r="E8362">
        <v>25</v>
      </c>
      <c r="F8362" s="2">
        <f>DATE(2026,IF(Tabla1[[#This Row],[Mes de Fecha]]="Septiembre",9,10),Tabla1[[#This Row],[Día de Fecha]])</f>
        <v>46290</v>
      </c>
      <c r="G8362">
        <v>1006849022</v>
      </c>
      <c r="H8362" t="s">
        <v>130</v>
      </c>
      <c r="I8362">
        <v>58</v>
      </c>
      <c r="J8362">
        <v>0</v>
      </c>
      <c r="K8362" s="1">
        <v>3398870</v>
      </c>
    </row>
    <row r="8363" spans="1:11" x14ac:dyDescent="0.25">
      <c r="A8363" t="s">
        <v>9</v>
      </c>
      <c r="B8363" t="s">
        <v>128</v>
      </c>
      <c r="C8363" t="s">
        <v>874</v>
      </c>
      <c r="D8363" t="s">
        <v>11</v>
      </c>
      <c r="E8363">
        <v>25</v>
      </c>
      <c r="F8363" s="2">
        <f>DATE(2026,IF(Tabla1[[#This Row],[Mes de Fecha]]="Septiembre",9,10),Tabla1[[#This Row],[Día de Fecha]])</f>
        <v>46290</v>
      </c>
      <c r="G8363">
        <v>1006947645</v>
      </c>
      <c r="H8363" t="s">
        <v>136</v>
      </c>
      <c r="I8363">
        <v>90</v>
      </c>
      <c r="J8363">
        <v>0</v>
      </c>
      <c r="K8363" s="1">
        <v>5668491</v>
      </c>
    </row>
    <row r="8364" spans="1:11" x14ac:dyDescent="0.25">
      <c r="A8364" t="s">
        <v>9</v>
      </c>
      <c r="B8364" t="s">
        <v>128</v>
      </c>
      <c r="C8364" t="s">
        <v>874</v>
      </c>
      <c r="D8364" t="s">
        <v>11</v>
      </c>
      <c r="E8364">
        <v>25</v>
      </c>
      <c r="F8364" s="2">
        <f>DATE(2026,IF(Tabla1[[#This Row],[Mes de Fecha]]="Septiembre",9,10),Tabla1[[#This Row],[Día de Fecha]])</f>
        <v>46290</v>
      </c>
      <c r="G8364">
        <v>1026289163</v>
      </c>
      <c r="H8364" t="s">
        <v>131</v>
      </c>
      <c r="I8364">
        <v>14</v>
      </c>
      <c r="J8364">
        <v>0</v>
      </c>
      <c r="K8364" s="1">
        <v>799833</v>
      </c>
    </row>
    <row r="8365" spans="1:11" x14ac:dyDescent="0.25">
      <c r="A8365" t="s">
        <v>9</v>
      </c>
      <c r="B8365" t="s">
        <v>128</v>
      </c>
      <c r="C8365" t="s">
        <v>874</v>
      </c>
      <c r="D8365" t="s">
        <v>11</v>
      </c>
      <c r="E8365">
        <v>25</v>
      </c>
      <c r="F8365" s="2">
        <f>DATE(2026,IF(Tabla1[[#This Row],[Mes de Fecha]]="Septiembre",9,10),Tabla1[[#This Row],[Día de Fecha]])</f>
        <v>46290</v>
      </c>
      <c r="G8365">
        <v>1085305990</v>
      </c>
      <c r="H8365" t="s">
        <v>132</v>
      </c>
      <c r="I8365">
        <v>84</v>
      </c>
      <c r="J8365">
        <v>0</v>
      </c>
      <c r="K8365" s="1">
        <v>5103403</v>
      </c>
    </row>
    <row r="8366" spans="1:11" x14ac:dyDescent="0.25">
      <c r="A8366" t="s">
        <v>9</v>
      </c>
      <c r="B8366" t="s">
        <v>128</v>
      </c>
      <c r="C8366" t="s">
        <v>874</v>
      </c>
      <c r="D8366" t="s">
        <v>11</v>
      </c>
      <c r="E8366">
        <v>25</v>
      </c>
      <c r="F8366" s="2">
        <f>DATE(2026,IF(Tabla1[[#This Row],[Mes de Fecha]]="Septiembre",9,10),Tabla1[[#This Row],[Día de Fecha]])</f>
        <v>46290</v>
      </c>
      <c r="G8366">
        <v>1124866497</v>
      </c>
      <c r="H8366" t="s">
        <v>137</v>
      </c>
      <c r="I8366">
        <v>61</v>
      </c>
      <c r="J8366">
        <v>0</v>
      </c>
      <c r="K8366" s="1">
        <v>3369287</v>
      </c>
    </row>
    <row r="8367" spans="1:11" x14ac:dyDescent="0.25">
      <c r="A8367" t="s">
        <v>9</v>
      </c>
      <c r="B8367" t="s">
        <v>128</v>
      </c>
      <c r="C8367" t="s">
        <v>874</v>
      </c>
      <c r="D8367" t="s">
        <v>11</v>
      </c>
      <c r="E8367">
        <v>25</v>
      </c>
      <c r="F8367" s="2">
        <f>DATE(2026,IF(Tabla1[[#This Row],[Mes de Fecha]]="Septiembre",9,10),Tabla1[[#This Row],[Día de Fecha]])</f>
        <v>46290</v>
      </c>
      <c r="G8367">
        <v>1127077969</v>
      </c>
      <c r="H8367" t="s">
        <v>133</v>
      </c>
      <c r="I8367">
        <v>86</v>
      </c>
      <c r="J8367">
        <v>0</v>
      </c>
      <c r="K8367" s="1">
        <v>4496392</v>
      </c>
    </row>
    <row r="8368" spans="1:11" x14ac:dyDescent="0.25">
      <c r="A8368" t="s">
        <v>9</v>
      </c>
      <c r="B8368" t="s">
        <v>128</v>
      </c>
      <c r="C8368" t="s">
        <v>874</v>
      </c>
      <c r="D8368" t="s">
        <v>11</v>
      </c>
      <c r="E8368">
        <v>26</v>
      </c>
      <c r="F8368" s="2">
        <f>DATE(2026,IF(Tabla1[[#This Row],[Mes de Fecha]]="Septiembre",9,10),Tabla1[[#This Row],[Día de Fecha]])</f>
        <v>46291</v>
      </c>
      <c r="I8368">
        <v>0</v>
      </c>
      <c r="J8368" s="1">
        <v>24373210</v>
      </c>
      <c r="K8368">
        <v>0</v>
      </c>
    </row>
    <row r="8369" spans="1:11" x14ac:dyDescent="0.25">
      <c r="A8369" t="s">
        <v>9</v>
      </c>
      <c r="B8369" t="s">
        <v>128</v>
      </c>
      <c r="C8369" t="s">
        <v>874</v>
      </c>
      <c r="D8369" t="s">
        <v>11</v>
      </c>
      <c r="E8369">
        <v>26</v>
      </c>
      <c r="F8369" s="2">
        <f>DATE(2026,IF(Tabla1[[#This Row],[Mes de Fecha]]="Septiembre",9,10),Tabla1[[#This Row],[Día de Fecha]])</f>
        <v>46291</v>
      </c>
      <c r="G8369">
        <v>69006846</v>
      </c>
      <c r="H8369" t="s">
        <v>129</v>
      </c>
      <c r="I8369">
        <v>83</v>
      </c>
      <c r="J8369">
        <v>0</v>
      </c>
      <c r="K8369" s="1">
        <v>4177189</v>
      </c>
    </row>
    <row r="8370" spans="1:11" x14ac:dyDescent="0.25">
      <c r="A8370" t="s">
        <v>9</v>
      </c>
      <c r="B8370" t="s">
        <v>128</v>
      </c>
      <c r="C8370" t="s">
        <v>874</v>
      </c>
      <c r="D8370" t="s">
        <v>11</v>
      </c>
      <c r="E8370">
        <v>26</v>
      </c>
      <c r="F8370" s="2">
        <f>DATE(2026,IF(Tabla1[[#This Row],[Mes de Fecha]]="Septiembre",9,10),Tabla1[[#This Row],[Día de Fecha]])</f>
        <v>46291</v>
      </c>
      <c r="G8370">
        <v>1006180343</v>
      </c>
      <c r="H8370" t="s">
        <v>135</v>
      </c>
      <c r="I8370">
        <v>62</v>
      </c>
      <c r="J8370">
        <v>0</v>
      </c>
      <c r="K8370" s="1">
        <v>2991013</v>
      </c>
    </row>
    <row r="8371" spans="1:11" x14ac:dyDescent="0.25">
      <c r="A8371" t="s">
        <v>9</v>
      </c>
      <c r="B8371" t="s">
        <v>128</v>
      </c>
      <c r="C8371" t="s">
        <v>874</v>
      </c>
      <c r="D8371" t="s">
        <v>11</v>
      </c>
      <c r="E8371">
        <v>26</v>
      </c>
      <c r="F8371" s="2">
        <f>DATE(2026,IF(Tabla1[[#This Row],[Mes de Fecha]]="Septiembre",9,10),Tabla1[[#This Row],[Día de Fecha]])</f>
        <v>46291</v>
      </c>
      <c r="G8371">
        <v>1006849022</v>
      </c>
      <c r="H8371" t="s">
        <v>130</v>
      </c>
      <c r="I8371">
        <v>80</v>
      </c>
      <c r="J8371">
        <v>0</v>
      </c>
      <c r="K8371" s="1">
        <v>3719292</v>
      </c>
    </row>
    <row r="8372" spans="1:11" x14ac:dyDescent="0.25">
      <c r="A8372" t="s">
        <v>9</v>
      </c>
      <c r="B8372" t="s">
        <v>128</v>
      </c>
      <c r="C8372" t="s">
        <v>874</v>
      </c>
      <c r="D8372" t="s">
        <v>11</v>
      </c>
      <c r="E8372">
        <v>26</v>
      </c>
      <c r="F8372" s="2">
        <f>DATE(2026,IF(Tabla1[[#This Row],[Mes de Fecha]]="Septiembre",9,10),Tabla1[[#This Row],[Día de Fecha]])</f>
        <v>46291</v>
      </c>
      <c r="G8372">
        <v>1006947645</v>
      </c>
      <c r="H8372" t="s">
        <v>136</v>
      </c>
      <c r="I8372">
        <v>1</v>
      </c>
      <c r="J8372">
        <v>0</v>
      </c>
      <c r="K8372" s="1">
        <v>46177</v>
      </c>
    </row>
    <row r="8373" spans="1:11" x14ac:dyDescent="0.25">
      <c r="A8373" t="s">
        <v>9</v>
      </c>
      <c r="B8373" t="s">
        <v>128</v>
      </c>
      <c r="C8373" t="s">
        <v>874</v>
      </c>
      <c r="D8373" t="s">
        <v>11</v>
      </c>
      <c r="E8373">
        <v>26</v>
      </c>
      <c r="F8373" s="2">
        <f>DATE(2026,IF(Tabla1[[#This Row],[Mes de Fecha]]="Septiembre",9,10),Tabla1[[#This Row],[Día de Fecha]])</f>
        <v>46291</v>
      </c>
      <c r="G8373">
        <v>1026289163</v>
      </c>
      <c r="H8373" t="s">
        <v>131</v>
      </c>
      <c r="I8373">
        <v>4</v>
      </c>
      <c r="J8373">
        <v>0</v>
      </c>
      <c r="K8373" s="1">
        <v>41934</v>
      </c>
    </row>
    <row r="8374" spans="1:11" x14ac:dyDescent="0.25">
      <c r="A8374" t="s">
        <v>9</v>
      </c>
      <c r="B8374" t="s">
        <v>128</v>
      </c>
      <c r="C8374" t="s">
        <v>874</v>
      </c>
      <c r="D8374" t="s">
        <v>11</v>
      </c>
      <c r="E8374">
        <v>26</v>
      </c>
      <c r="F8374" s="2">
        <f>DATE(2026,IF(Tabla1[[#This Row],[Mes de Fecha]]="Septiembre",9,10),Tabla1[[#This Row],[Día de Fecha]])</f>
        <v>46291</v>
      </c>
      <c r="G8374">
        <v>1085305990</v>
      </c>
      <c r="H8374" t="s">
        <v>132</v>
      </c>
      <c r="I8374">
        <v>97</v>
      </c>
      <c r="J8374">
        <v>0</v>
      </c>
      <c r="K8374" s="1">
        <v>5153407</v>
      </c>
    </row>
    <row r="8375" spans="1:11" x14ac:dyDescent="0.25">
      <c r="A8375" t="s">
        <v>9</v>
      </c>
      <c r="B8375" t="s">
        <v>128</v>
      </c>
      <c r="C8375" t="s">
        <v>874</v>
      </c>
      <c r="D8375" t="s">
        <v>11</v>
      </c>
      <c r="E8375">
        <v>26</v>
      </c>
      <c r="F8375" s="2">
        <f>DATE(2026,IF(Tabla1[[#This Row],[Mes de Fecha]]="Septiembre",9,10),Tabla1[[#This Row],[Día de Fecha]])</f>
        <v>46291</v>
      </c>
      <c r="G8375">
        <v>1124866497</v>
      </c>
      <c r="H8375" t="s">
        <v>137</v>
      </c>
      <c r="I8375">
        <v>88</v>
      </c>
      <c r="J8375">
        <v>0</v>
      </c>
      <c r="K8375" s="1">
        <v>4998368</v>
      </c>
    </row>
    <row r="8376" spans="1:11" x14ac:dyDescent="0.25">
      <c r="A8376" t="s">
        <v>9</v>
      </c>
      <c r="B8376" t="s">
        <v>128</v>
      </c>
      <c r="C8376" t="s">
        <v>874</v>
      </c>
      <c r="D8376" t="s">
        <v>11</v>
      </c>
      <c r="E8376">
        <v>26</v>
      </c>
      <c r="F8376" s="2">
        <f>DATE(2026,IF(Tabla1[[#This Row],[Mes de Fecha]]="Septiembre",9,10),Tabla1[[#This Row],[Día de Fecha]])</f>
        <v>46291</v>
      </c>
      <c r="G8376">
        <v>1127077969</v>
      </c>
      <c r="H8376" t="s">
        <v>133</v>
      </c>
      <c r="I8376">
        <v>74</v>
      </c>
      <c r="J8376">
        <v>0</v>
      </c>
      <c r="K8376" s="1">
        <v>4419121</v>
      </c>
    </row>
    <row r="8377" spans="1:11" x14ac:dyDescent="0.25">
      <c r="A8377" t="s">
        <v>9</v>
      </c>
      <c r="B8377" t="s">
        <v>128</v>
      </c>
      <c r="C8377" t="s">
        <v>874</v>
      </c>
      <c r="D8377" t="s">
        <v>11</v>
      </c>
      <c r="E8377">
        <v>27</v>
      </c>
      <c r="F8377" s="2">
        <f>DATE(2026,IF(Tabla1[[#This Row],[Mes de Fecha]]="Septiembre",9,10),Tabla1[[#This Row],[Día de Fecha]])</f>
        <v>46292</v>
      </c>
      <c r="I8377">
        <v>0</v>
      </c>
      <c r="J8377" s="1">
        <v>12868823</v>
      </c>
      <c r="K8377">
        <v>0</v>
      </c>
    </row>
    <row r="8378" spans="1:11" x14ac:dyDescent="0.25">
      <c r="A8378" t="s">
        <v>9</v>
      </c>
      <c r="B8378" t="s">
        <v>128</v>
      </c>
      <c r="C8378" t="s">
        <v>874</v>
      </c>
      <c r="D8378" t="s">
        <v>11</v>
      </c>
      <c r="E8378">
        <v>27</v>
      </c>
      <c r="F8378" s="2">
        <f>DATE(2026,IF(Tabla1[[#This Row],[Mes de Fecha]]="Septiembre",9,10),Tabla1[[#This Row],[Día de Fecha]])</f>
        <v>46292</v>
      </c>
      <c r="G8378">
        <v>69006846</v>
      </c>
      <c r="H8378" t="s">
        <v>129</v>
      </c>
      <c r="I8378">
        <v>47</v>
      </c>
      <c r="J8378">
        <v>0</v>
      </c>
      <c r="K8378" s="1">
        <v>2289875</v>
      </c>
    </row>
    <row r="8379" spans="1:11" x14ac:dyDescent="0.25">
      <c r="A8379" t="s">
        <v>9</v>
      </c>
      <c r="B8379" t="s">
        <v>128</v>
      </c>
      <c r="C8379" t="s">
        <v>874</v>
      </c>
      <c r="D8379" t="s">
        <v>11</v>
      </c>
      <c r="E8379">
        <v>27</v>
      </c>
      <c r="F8379" s="2">
        <f>DATE(2026,IF(Tabla1[[#This Row],[Mes de Fecha]]="Septiembre",9,10),Tabla1[[#This Row],[Día de Fecha]])</f>
        <v>46292</v>
      </c>
      <c r="G8379">
        <v>1006180343</v>
      </c>
      <c r="H8379" t="s">
        <v>135</v>
      </c>
      <c r="I8379">
        <v>10</v>
      </c>
      <c r="J8379">
        <v>0</v>
      </c>
      <c r="K8379" s="1">
        <v>633991</v>
      </c>
    </row>
    <row r="8380" spans="1:11" x14ac:dyDescent="0.25">
      <c r="A8380" t="s">
        <v>9</v>
      </c>
      <c r="B8380" t="s">
        <v>128</v>
      </c>
      <c r="C8380" t="s">
        <v>874</v>
      </c>
      <c r="D8380" t="s">
        <v>11</v>
      </c>
      <c r="E8380">
        <v>27</v>
      </c>
      <c r="F8380" s="2">
        <f>DATE(2026,IF(Tabla1[[#This Row],[Mes de Fecha]]="Septiembre",9,10),Tabla1[[#This Row],[Día de Fecha]])</f>
        <v>46292</v>
      </c>
      <c r="G8380">
        <v>1006849022</v>
      </c>
      <c r="H8380" t="s">
        <v>130</v>
      </c>
      <c r="I8380">
        <v>25</v>
      </c>
      <c r="J8380">
        <v>0</v>
      </c>
      <c r="K8380" s="1">
        <v>1391809</v>
      </c>
    </row>
    <row r="8381" spans="1:11" x14ac:dyDescent="0.25">
      <c r="A8381" t="s">
        <v>9</v>
      </c>
      <c r="B8381" t="s">
        <v>128</v>
      </c>
      <c r="C8381" t="s">
        <v>874</v>
      </c>
      <c r="D8381" t="s">
        <v>11</v>
      </c>
      <c r="E8381">
        <v>27</v>
      </c>
      <c r="F8381" s="2">
        <f>DATE(2026,IF(Tabla1[[#This Row],[Mes de Fecha]]="Septiembre",9,10),Tabla1[[#This Row],[Día de Fecha]])</f>
        <v>46292</v>
      </c>
      <c r="G8381">
        <v>1026289163</v>
      </c>
      <c r="H8381" t="s">
        <v>131</v>
      </c>
      <c r="I8381">
        <v>3</v>
      </c>
      <c r="J8381">
        <v>0</v>
      </c>
      <c r="K8381" s="1">
        <v>134328</v>
      </c>
    </row>
    <row r="8382" spans="1:11" x14ac:dyDescent="0.25">
      <c r="A8382" t="s">
        <v>9</v>
      </c>
      <c r="B8382" t="s">
        <v>128</v>
      </c>
      <c r="C8382" t="s">
        <v>874</v>
      </c>
      <c r="D8382" t="s">
        <v>11</v>
      </c>
      <c r="E8382">
        <v>27</v>
      </c>
      <c r="F8382" s="2">
        <f>DATE(2026,IF(Tabla1[[#This Row],[Mes de Fecha]]="Septiembre",9,10),Tabla1[[#This Row],[Día de Fecha]])</f>
        <v>46292</v>
      </c>
      <c r="G8382">
        <v>1085305990</v>
      </c>
      <c r="H8382" t="s">
        <v>132</v>
      </c>
      <c r="I8382">
        <v>80</v>
      </c>
      <c r="J8382">
        <v>0</v>
      </c>
      <c r="K8382" s="1">
        <v>4565887</v>
      </c>
    </row>
    <row r="8383" spans="1:11" x14ac:dyDescent="0.25">
      <c r="A8383" t="s">
        <v>9</v>
      </c>
      <c r="B8383" t="s">
        <v>128</v>
      </c>
      <c r="C8383" t="s">
        <v>874</v>
      </c>
      <c r="D8383" t="s">
        <v>11</v>
      </c>
      <c r="E8383">
        <v>27</v>
      </c>
      <c r="F8383" s="2">
        <f>DATE(2026,IF(Tabla1[[#This Row],[Mes de Fecha]]="Septiembre",9,10),Tabla1[[#This Row],[Día de Fecha]])</f>
        <v>46292</v>
      </c>
      <c r="G8383">
        <v>1124866497</v>
      </c>
      <c r="H8383" t="s">
        <v>137</v>
      </c>
      <c r="I8383">
        <v>41</v>
      </c>
      <c r="J8383">
        <v>0</v>
      </c>
      <c r="K8383" s="1">
        <v>2073912</v>
      </c>
    </row>
    <row r="8384" spans="1:11" x14ac:dyDescent="0.25">
      <c r="A8384" t="s">
        <v>9</v>
      </c>
      <c r="B8384" t="s">
        <v>128</v>
      </c>
      <c r="C8384" t="s">
        <v>874</v>
      </c>
      <c r="D8384" t="s">
        <v>11</v>
      </c>
      <c r="E8384">
        <v>27</v>
      </c>
      <c r="F8384" s="2">
        <f>DATE(2026,IF(Tabla1[[#This Row],[Mes de Fecha]]="Septiembre",9,10),Tabla1[[#This Row],[Día de Fecha]])</f>
        <v>46292</v>
      </c>
      <c r="G8384">
        <v>1127077969</v>
      </c>
      <c r="H8384" t="s">
        <v>133</v>
      </c>
      <c r="I8384">
        <v>53</v>
      </c>
      <c r="J8384">
        <v>0</v>
      </c>
      <c r="K8384" s="1">
        <v>3031390</v>
      </c>
    </row>
    <row r="8385" spans="1:11" x14ac:dyDescent="0.25">
      <c r="A8385" t="s">
        <v>9</v>
      </c>
      <c r="B8385" t="s">
        <v>128</v>
      </c>
      <c r="C8385" t="s">
        <v>874</v>
      </c>
      <c r="D8385" t="s">
        <v>11</v>
      </c>
      <c r="E8385">
        <v>28</v>
      </c>
      <c r="F8385" s="2">
        <f>DATE(2026,IF(Tabla1[[#This Row],[Mes de Fecha]]="Septiembre",9,10),Tabla1[[#This Row],[Día de Fecha]])</f>
        <v>46293</v>
      </c>
      <c r="I8385">
        <v>0</v>
      </c>
      <c r="J8385" s="1">
        <v>10551034</v>
      </c>
      <c r="K8385">
        <v>0</v>
      </c>
    </row>
    <row r="8386" spans="1:11" x14ac:dyDescent="0.25">
      <c r="A8386" t="s">
        <v>9</v>
      </c>
      <c r="B8386" t="s">
        <v>128</v>
      </c>
      <c r="C8386" t="s">
        <v>874</v>
      </c>
      <c r="D8386" t="s">
        <v>11</v>
      </c>
      <c r="E8386">
        <v>28</v>
      </c>
      <c r="F8386" s="2">
        <f>DATE(2026,IF(Tabla1[[#This Row],[Mes de Fecha]]="Septiembre",9,10),Tabla1[[#This Row],[Día de Fecha]])</f>
        <v>46293</v>
      </c>
      <c r="G8386">
        <v>69006846</v>
      </c>
      <c r="H8386" t="s">
        <v>129</v>
      </c>
      <c r="I8386">
        <v>1</v>
      </c>
      <c r="J8386">
        <v>0</v>
      </c>
      <c r="K8386" s="1">
        <v>20967</v>
      </c>
    </row>
    <row r="8387" spans="1:11" x14ac:dyDescent="0.25">
      <c r="A8387" t="s">
        <v>9</v>
      </c>
      <c r="B8387" t="s">
        <v>128</v>
      </c>
      <c r="C8387" t="s">
        <v>874</v>
      </c>
      <c r="D8387" t="s">
        <v>11</v>
      </c>
      <c r="E8387">
        <v>28</v>
      </c>
      <c r="F8387" s="2">
        <f>DATE(2026,IF(Tabla1[[#This Row],[Mes de Fecha]]="Septiembre",9,10),Tabla1[[#This Row],[Día de Fecha]])</f>
        <v>46293</v>
      </c>
      <c r="G8387">
        <v>1006180343</v>
      </c>
      <c r="H8387" t="s">
        <v>135</v>
      </c>
      <c r="I8387">
        <v>36</v>
      </c>
      <c r="J8387">
        <v>0</v>
      </c>
      <c r="K8387" s="1">
        <v>1616054</v>
      </c>
    </row>
    <row r="8388" spans="1:11" x14ac:dyDescent="0.25">
      <c r="A8388" t="s">
        <v>9</v>
      </c>
      <c r="B8388" t="s">
        <v>128</v>
      </c>
      <c r="C8388" t="s">
        <v>874</v>
      </c>
      <c r="D8388" t="s">
        <v>11</v>
      </c>
      <c r="E8388">
        <v>28</v>
      </c>
      <c r="F8388" s="2">
        <f>DATE(2026,IF(Tabla1[[#This Row],[Mes de Fecha]]="Septiembre",9,10),Tabla1[[#This Row],[Día de Fecha]])</f>
        <v>46293</v>
      </c>
      <c r="G8388">
        <v>1006849022</v>
      </c>
      <c r="H8388" t="s">
        <v>130</v>
      </c>
      <c r="I8388">
        <v>43</v>
      </c>
      <c r="J8388">
        <v>0</v>
      </c>
      <c r="K8388" s="1">
        <v>2117733</v>
      </c>
    </row>
    <row r="8389" spans="1:11" x14ac:dyDescent="0.25">
      <c r="A8389" t="s">
        <v>9</v>
      </c>
      <c r="B8389" t="s">
        <v>128</v>
      </c>
      <c r="C8389" t="s">
        <v>874</v>
      </c>
      <c r="D8389" t="s">
        <v>11</v>
      </c>
      <c r="E8389">
        <v>28</v>
      </c>
      <c r="F8389" s="2">
        <f>DATE(2026,IF(Tabla1[[#This Row],[Mes de Fecha]]="Septiembre",9,10),Tabla1[[#This Row],[Día de Fecha]])</f>
        <v>46293</v>
      </c>
      <c r="G8389">
        <v>1006947645</v>
      </c>
      <c r="H8389" t="s">
        <v>136</v>
      </c>
      <c r="I8389">
        <v>71</v>
      </c>
      <c r="J8389">
        <v>0</v>
      </c>
      <c r="K8389" s="1">
        <v>4000925</v>
      </c>
    </row>
    <row r="8390" spans="1:11" x14ac:dyDescent="0.25">
      <c r="A8390" t="s">
        <v>9</v>
      </c>
      <c r="B8390" t="s">
        <v>128</v>
      </c>
      <c r="C8390" t="s">
        <v>874</v>
      </c>
      <c r="D8390" t="s">
        <v>11</v>
      </c>
      <c r="E8390">
        <v>28</v>
      </c>
      <c r="F8390" s="2">
        <f>DATE(2026,IF(Tabla1[[#This Row],[Mes de Fecha]]="Septiembre",9,10),Tabla1[[#This Row],[Día de Fecha]])</f>
        <v>46293</v>
      </c>
      <c r="G8390">
        <v>1085305990</v>
      </c>
      <c r="H8390" t="s">
        <v>132</v>
      </c>
      <c r="I8390">
        <v>0</v>
      </c>
      <c r="J8390">
        <v>0</v>
      </c>
      <c r="K8390" s="1">
        <v>12603</v>
      </c>
    </row>
    <row r="8391" spans="1:11" x14ac:dyDescent="0.25">
      <c r="A8391" t="s">
        <v>9</v>
      </c>
      <c r="B8391" t="s">
        <v>128</v>
      </c>
      <c r="C8391" t="s">
        <v>874</v>
      </c>
      <c r="D8391" t="s">
        <v>11</v>
      </c>
      <c r="E8391">
        <v>28</v>
      </c>
      <c r="F8391" s="2">
        <f>DATE(2026,IF(Tabla1[[#This Row],[Mes de Fecha]]="Septiembre",9,10),Tabla1[[#This Row],[Día de Fecha]])</f>
        <v>46293</v>
      </c>
      <c r="G8391">
        <v>1124866497</v>
      </c>
      <c r="H8391" t="s">
        <v>137</v>
      </c>
      <c r="I8391">
        <v>50</v>
      </c>
      <c r="J8391">
        <v>0</v>
      </c>
      <c r="K8391" s="1">
        <v>2535510</v>
      </c>
    </row>
    <row r="8392" spans="1:11" x14ac:dyDescent="0.25">
      <c r="A8392" t="s">
        <v>9</v>
      </c>
      <c r="B8392" t="s">
        <v>128</v>
      </c>
      <c r="C8392" t="s">
        <v>874</v>
      </c>
      <c r="D8392" t="s">
        <v>11</v>
      </c>
      <c r="E8392">
        <v>28</v>
      </c>
      <c r="F8392" s="2">
        <f>DATE(2026,IF(Tabla1[[#This Row],[Mes de Fecha]]="Septiembre",9,10),Tabla1[[#This Row],[Día de Fecha]])</f>
        <v>46293</v>
      </c>
      <c r="G8392">
        <v>1127077969</v>
      </c>
      <c r="H8392" t="s">
        <v>133</v>
      </c>
      <c r="I8392">
        <v>44</v>
      </c>
      <c r="J8392">
        <v>0</v>
      </c>
      <c r="K8392" s="1">
        <v>2193239</v>
      </c>
    </row>
    <row r="8393" spans="1:11" x14ac:dyDescent="0.25">
      <c r="A8393" t="s">
        <v>9</v>
      </c>
      <c r="B8393" t="s">
        <v>128</v>
      </c>
      <c r="C8393" t="s">
        <v>874</v>
      </c>
      <c r="D8393" t="s">
        <v>11</v>
      </c>
      <c r="E8393">
        <v>29</v>
      </c>
      <c r="F8393" s="2">
        <f>DATE(2026,IF(Tabla1[[#This Row],[Mes de Fecha]]="Septiembre",9,10),Tabla1[[#This Row],[Día de Fecha]])</f>
        <v>46294</v>
      </c>
      <c r="I8393">
        <v>0</v>
      </c>
      <c r="J8393" s="1">
        <v>11729628</v>
      </c>
      <c r="K8393">
        <v>0</v>
      </c>
    </row>
    <row r="8394" spans="1:11" x14ac:dyDescent="0.25">
      <c r="A8394" t="s">
        <v>9</v>
      </c>
      <c r="B8394" t="s">
        <v>128</v>
      </c>
      <c r="C8394" t="s">
        <v>874</v>
      </c>
      <c r="D8394" t="s">
        <v>11</v>
      </c>
      <c r="E8394">
        <v>29</v>
      </c>
      <c r="F8394" s="2">
        <f>DATE(2026,IF(Tabla1[[#This Row],[Mes de Fecha]]="Septiembre",9,10),Tabla1[[#This Row],[Día de Fecha]])</f>
        <v>46294</v>
      </c>
      <c r="G8394">
        <v>69006846</v>
      </c>
      <c r="H8394" t="s">
        <v>129</v>
      </c>
      <c r="I8394">
        <v>0</v>
      </c>
      <c r="J8394">
        <v>0</v>
      </c>
      <c r="K8394" s="1">
        <v>12605</v>
      </c>
    </row>
    <row r="8395" spans="1:11" x14ac:dyDescent="0.25">
      <c r="A8395" t="s">
        <v>9</v>
      </c>
      <c r="B8395" t="s">
        <v>128</v>
      </c>
      <c r="C8395" t="s">
        <v>874</v>
      </c>
      <c r="D8395" t="s">
        <v>11</v>
      </c>
      <c r="E8395">
        <v>29</v>
      </c>
      <c r="F8395" s="2">
        <f>DATE(2026,IF(Tabla1[[#This Row],[Mes de Fecha]]="Septiembre",9,10),Tabla1[[#This Row],[Día de Fecha]])</f>
        <v>46294</v>
      </c>
      <c r="G8395">
        <v>1006180343</v>
      </c>
      <c r="H8395" t="s">
        <v>135</v>
      </c>
      <c r="I8395">
        <v>38</v>
      </c>
      <c r="J8395">
        <v>0</v>
      </c>
      <c r="K8395" s="1">
        <v>1836601</v>
      </c>
    </row>
    <row r="8396" spans="1:11" x14ac:dyDescent="0.25">
      <c r="A8396" t="s">
        <v>9</v>
      </c>
      <c r="B8396" t="s">
        <v>128</v>
      </c>
      <c r="C8396" t="s">
        <v>874</v>
      </c>
      <c r="D8396" t="s">
        <v>11</v>
      </c>
      <c r="E8396">
        <v>29</v>
      </c>
      <c r="F8396" s="2">
        <f>DATE(2026,IF(Tabla1[[#This Row],[Mes de Fecha]]="Septiembre",9,10),Tabla1[[#This Row],[Día de Fecha]])</f>
        <v>46294</v>
      </c>
      <c r="G8396">
        <v>1006849022</v>
      </c>
      <c r="H8396" t="s">
        <v>130</v>
      </c>
      <c r="I8396">
        <v>30</v>
      </c>
      <c r="J8396">
        <v>0</v>
      </c>
      <c r="K8396" s="1">
        <v>1488193</v>
      </c>
    </row>
    <row r="8397" spans="1:11" x14ac:dyDescent="0.25">
      <c r="A8397" t="s">
        <v>9</v>
      </c>
      <c r="B8397" t="s">
        <v>128</v>
      </c>
      <c r="C8397" t="s">
        <v>874</v>
      </c>
      <c r="D8397" t="s">
        <v>11</v>
      </c>
      <c r="E8397">
        <v>29</v>
      </c>
      <c r="F8397" s="2">
        <f>DATE(2026,IF(Tabla1[[#This Row],[Mes de Fecha]]="Septiembre",9,10),Tabla1[[#This Row],[Día de Fecha]])</f>
        <v>46294</v>
      </c>
      <c r="G8397">
        <v>1006947645</v>
      </c>
      <c r="H8397" t="s">
        <v>136</v>
      </c>
      <c r="I8397">
        <v>58</v>
      </c>
      <c r="J8397">
        <v>0</v>
      </c>
      <c r="K8397" s="1">
        <v>3289583</v>
      </c>
    </row>
    <row r="8398" spans="1:11" x14ac:dyDescent="0.25">
      <c r="A8398" t="s">
        <v>9</v>
      </c>
      <c r="B8398" t="s">
        <v>128</v>
      </c>
      <c r="C8398" t="s">
        <v>874</v>
      </c>
      <c r="D8398" t="s">
        <v>11</v>
      </c>
      <c r="E8398">
        <v>29</v>
      </c>
      <c r="F8398" s="2">
        <f>DATE(2026,IF(Tabla1[[#This Row],[Mes de Fecha]]="Septiembre",9,10),Tabla1[[#This Row],[Día de Fecha]])</f>
        <v>46294</v>
      </c>
      <c r="G8398">
        <v>1085305990</v>
      </c>
      <c r="H8398" t="s">
        <v>132</v>
      </c>
      <c r="I8398">
        <v>36</v>
      </c>
      <c r="J8398">
        <v>0</v>
      </c>
      <c r="K8398" s="1">
        <v>2143407</v>
      </c>
    </row>
    <row r="8399" spans="1:11" x14ac:dyDescent="0.25">
      <c r="A8399" t="s">
        <v>9</v>
      </c>
      <c r="B8399" t="s">
        <v>128</v>
      </c>
      <c r="C8399" t="s">
        <v>874</v>
      </c>
      <c r="D8399" t="s">
        <v>11</v>
      </c>
      <c r="E8399">
        <v>29</v>
      </c>
      <c r="F8399" s="2">
        <f>DATE(2026,IF(Tabla1[[#This Row],[Mes de Fecha]]="Septiembre",9,10),Tabla1[[#This Row],[Día de Fecha]])</f>
        <v>46294</v>
      </c>
      <c r="G8399">
        <v>1124866497</v>
      </c>
      <c r="H8399" t="s">
        <v>137</v>
      </c>
      <c r="I8399">
        <v>17</v>
      </c>
      <c r="J8399">
        <v>0</v>
      </c>
      <c r="K8399" s="1">
        <v>793320</v>
      </c>
    </row>
    <row r="8400" spans="1:11" x14ac:dyDescent="0.25">
      <c r="A8400" t="s">
        <v>9</v>
      </c>
      <c r="B8400" t="s">
        <v>128</v>
      </c>
      <c r="C8400" t="s">
        <v>874</v>
      </c>
      <c r="D8400" t="s">
        <v>11</v>
      </c>
      <c r="E8400">
        <v>29</v>
      </c>
      <c r="F8400" s="2">
        <f>DATE(2026,IF(Tabla1[[#This Row],[Mes de Fecha]]="Septiembre",9,10),Tabla1[[#This Row],[Día de Fecha]])</f>
        <v>46294</v>
      </c>
      <c r="G8400">
        <v>1127077969</v>
      </c>
      <c r="H8400" t="s">
        <v>133</v>
      </c>
      <c r="I8400">
        <v>67</v>
      </c>
      <c r="J8400">
        <v>0</v>
      </c>
      <c r="K8400" s="1">
        <v>3650467</v>
      </c>
    </row>
    <row r="8401" spans="1:11" x14ac:dyDescent="0.25">
      <c r="A8401" t="s">
        <v>9</v>
      </c>
      <c r="B8401" t="s">
        <v>128</v>
      </c>
      <c r="C8401" t="s">
        <v>874</v>
      </c>
      <c r="D8401" t="s">
        <v>11</v>
      </c>
      <c r="E8401">
        <v>30</v>
      </c>
      <c r="F8401" s="2">
        <f>DATE(2026,IF(Tabla1[[#This Row],[Mes de Fecha]]="Septiembre",9,10),Tabla1[[#This Row],[Día de Fecha]])</f>
        <v>46295</v>
      </c>
      <c r="I8401">
        <v>0</v>
      </c>
      <c r="J8401" s="1">
        <v>12422050</v>
      </c>
      <c r="K8401">
        <v>0</v>
      </c>
    </row>
    <row r="8402" spans="1:11" x14ac:dyDescent="0.25">
      <c r="A8402" t="s">
        <v>9</v>
      </c>
      <c r="B8402" t="s">
        <v>128</v>
      </c>
      <c r="C8402" t="s">
        <v>874</v>
      </c>
      <c r="D8402" t="s">
        <v>11</v>
      </c>
      <c r="E8402">
        <v>30</v>
      </c>
      <c r="F8402" s="2">
        <f>DATE(2026,IF(Tabla1[[#This Row],[Mes de Fecha]]="Septiembre",9,10),Tabla1[[#This Row],[Día de Fecha]])</f>
        <v>46295</v>
      </c>
      <c r="G8402">
        <v>69006846</v>
      </c>
      <c r="H8402" t="s">
        <v>129</v>
      </c>
      <c r="I8402">
        <v>1</v>
      </c>
      <c r="J8402">
        <v>0</v>
      </c>
      <c r="K8402" s="1">
        <v>20966</v>
      </c>
    </row>
    <row r="8403" spans="1:11" x14ac:dyDescent="0.25">
      <c r="A8403" t="s">
        <v>9</v>
      </c>
      <c r="B8403" t="s">
        <v>128</v>
      </c>
      <c r="C8403" t="s">
        <v>874</v>
      </c>
      <c r="D8403" t="s">
        <v>11</v>
      </c>
      <c r="E8403">
        <v>30</v>
      </c>
      <c r="F8403" s="2">
        <f>DATE(2026,IF(Tabla1[[#This Row],[Mes de Fecha]]="Septiembre",9,10),Tabla1[[#This Row],[Día de Fecha]])</f>
        <v>46295</v>
      </c>
      <c r="G8403">
        <v>1006180343</v>
      </c>
      <c r="H8403" t="s">
        <v>135</v>
      </c>
      <c r="I8403">
        <v>20</v>
      </c>
      <c r="J8403">
        <v>0</v>
      </c>
      <c r="K8403" s="1">
        <v>660548</v>
      </c>
    </row>
    <row r="8404" spans="1:11" x14ac:dyDescent="0.25">
      <c r="A8404" t="s">
        <v>9</v>
      </c>
      <c r="B8404" t="s">
        <v>128</v>
      </c>
      <c r="C8404" t="s">
        <v>874</v>
      </c>
      <c r="D8404" t="s">
        <v>11</v>
      </c>
      <c r="E8404">
        <v>30</v>
      </c>
      <c r="F8404" s="2">
        <f>DATE(2026,IF(Tabla1[[#This Row],[Mes de Fecha]]="Septiembre",9,10),Tabla1[[#This Row],[Día de Fecha]])</f>
        <v>46295</v>
      </c>
      <c r="G8404">
        <v>1006849022</v>
      </c>
      <c r="H8404" t="s">
        <v>130</v>
      </c>
      <c r="I8404">
        <v>13</v>
      </c>
      <c r="J8404">
        <v>0</v>
      </c>
      <c r="K8404" s="1">
        <v>682100</v>
      </c>
    </row>
    <row r="8405" spans="1:11" x14ac:dyDescent="0.25">
      <c r="A8405" t="s">
        <v>9</v>
      </c>
      <c r="B8405" t="s">
        <v>128</v>
      </c>
      <c r="C8405" t="s">
        <v>874</v>
      </c>
      <c r="D8405" t="s">
        <v>11</v>
      </c>
      <c r="E8405">
        <v>30</v>
      </c>
      <c r="F8405" s="2">
        <f>DATE(2026,IF(Tabla1[[#This Row],[Mes de Fecha]]="Septiembre",9,10),Tabla1[[#This Row],[Día de Fecha]])</f>
        <v>46295</v>
      </c>
      <c r="G8405">
        <v>1006947645</v>
      </c>
      <c r="H8405" t="s">
        <v>136</v>
      </c>
      <c r="I8405">
        <v>72</v>
      </c>
      <c r="J8405">
        <v>0</v>
      </c>
      <c r="K8405" s="1">
        <v>3383238</v>
      </c>
    </row>
    <row r="8406" spans="1:11" x14ac:dyDescent="0.25">
      <c r="A8406" t="s">
        <v>9</v>
      </c>
      <c r="B8406" t="s">
        <v>128</v>
      </c>
      <c r="C8406" t="s">
        <v>874</v>
      </c>
      <c r="D8406" t="s">
        <v>11</v>
      </c>
      <c r="E8406">
        <v>30</v>
      </c>
      <c r="F8406" s="2">
        <f>DATE(2026,IF(Tabla1[[#This Row],[Mes de Fecha]]="Septiembre",9,10),Tabla1[[#This Row],[Día de Fecha]])</f>
        <v>46295</v>
      </c>
      <c r="G8406">
        <v>1085305990</v>
      </c>
      <c r="H8406" t="s">
        <v>132</v>
      </c>
      <c r="I8406">
        <v>79</v>
      </c>
      <c r="J8406">
        <v>0</v>
      </c>
      <c r="K8406" s="1">
        <v>3367819</v>
      </c>
    </row>
    <row r="8407" spans="1:11" x14ac:dyDescent="0.25">
      <c r="A8407" t="s">
        <v>9</v>
      </c>
      <c r="B8407" t="s">
        <v>128</v>
      </c>
      <c r="C8407" t="s">
        <v>874</v>
      </c>
      <c r="D8407" t="s">
        <v>11</v>
      </c>
      <c r="E8407">
        <v>30</v>
      </c>
      <c r="F8407" s="2">
        <f>DATE(2026,IF(Tabla1[[#This Row],[Mes de Fecha]]="Septiembre",9,10),Tabla1[[#This Row],[Día de Fecha]])</f>
        <v>46295</v>
      </c>
      <c r="G8407">
        <v>1124866497</v>
      </c>
      <c r="H8407" t="s">
        <v>137</v>
      </c>
      <c r="I8407">
        <v>3</v>
      </c>
      <c r="J8407">
        <v>0</v>
      </c>
      <c r="K8407" s="1">
        <v>138531</v>
      </c>
    </row>
    <row r="8408" spans="1:11" x14ac:dyDescent="0.25">
      <c r="A8408" t="s">
        <v>9</v>
      </c>
      <c r="B8408" t="s">
        <v>128</v>
      </c>
      <c r="C8408" t="s">
        <v>874</v>
      </c>
      <c r="D8408" t="s">
        <v>11</v>
      </c>
      <c r="E8408">
        <v>30</v>
      </c>
      <c r="F8408" s="2">
        <f>DATE(2026,IF(Tabla1[[#This Row],[Mes de Fecha]]="Septiembre",9,10),Tabla1[[#This Row],[Día de Fecha]])</f>
        <v>46295</v>
      </c>
      <c r="G8408">
        <v>1127077969</v>
      </c>
      <c r="H8408" t="s">
        <v>133</v>
      </c>
      <c r="I8408">
        <v>36</v>
      </c>
      <c r="J8408">
        <v>0</v>
      </c>
      <c r="K8408" s="1">
        <v>1842733</v>
      </c>
    </row>
    <row r="8409" spans="1:11" x14ac:dyDescent="0.25">
      <c r="A8409" t="s">
        <v>9</v>
      </c>
      <c r="B8409" t="s">
        <v>128</v>
      </c>
      <c r="C8409" t="s">
        <v>874</v>
      </c>
      <c r="D8409" t="s">
        <v>14</v>
      </c>
      <c r="E8409">
        <v>1</v>
      </c>
      <c r="F8409" s="2">
        <f>DATE(2026,IF(Tabla1[[#This Row],[Mes de Fecha]]="Septiembre",9,10),Tabla1[[#This Row],[Día de Fecha]])</f>
        <v>46296</v>
      </c>
      <c r="I8409">
        <v>0</v>
      </c>
      <c r="J8409" s="1">
        <v>25594771</v>
      </c>
      <c r="K8409">
        <v>0</v>
      </c>
    </row>
    <row r="8410" spans="1:11" x14ac:dyDescent="0.25">
      <c r="A8410" t="s">
        <v>9</v>
      </c>
      <c r="B8410" t="s">
        <v>128</v>
      </c>
      <c r="C8410" t="s">
        <v>874</v>
      </c>
      <c r="D8410" t="s">
        <v>14</v>
      </c>
      <c r="E8410">
        <v>1</v>
      </c>
      <c r="F8410" s="2">
        <f>DATE(2026,IF(Tabla1[[#This Row],[Mes de Fecha]]="Septiembre",9,10),Tabla1[[#This Row],[Día de Fecha]])</f>
        <v>46296</v>
      </c>
      <c r="G8410">
        <v>1006180343</v>
      </c>
      <c r="H8410" t="s">
        <v>135</v>
      </c>
      <c r="I8410">
        <v>35</v>
      </c>
      <c r="J8410">
        <v>0</v>
      </c>
      <c r="K8410" s="1">
        <v>1720966</v>
      </c>
    </row>
    <row r="8411" spans="1:11" x14ac:dyDescent="0.25">
      <c r="A8411" t="s">
        <v>9</v>
      </c>
      <c r="B8411" t="s">
        <v>128</v>
      </c>
      <c r="C8411" t="s">
        <v>874</v>
      </c>
      <c r="D8411" t="s">
        <v>14</v>
      </c>
      <c r="E8411">
        <v>1</v>
      </c>
      <c r="F8411" s="2">
        <f>DATE(2026,IF(Tabla1[[#This Row],[Mes de Fecha]]="Septiembre",9,10),Tabla1[[#This Row],[Día de Fecha]])</f>
        <v>46296</v>
      </c>
      <c r="G8411">
        <v>1006849022</v>
      </c>
      <c r="H8411" t="s">
        <v>130</v>
      </c>
      <c r="I8411">
        <v>49</v>
      </c>
      <c r="J8411">
        <v>0</v>
      </c>
      <c r="K8411" s="1">
        <v>2652944</v>
      </c>
    </row>
    <row r="8412" spans="1:11" x14ac:dyDescent="0.25">
      <c r="A8412" t="s">
        <v>9</v>
      </c>
      <c r="B8412" t="s">
        <v>128</v>
      </c>
      <c r="C8412" t="s">
        <v>874</v>
      </c>
      <c r="D8412" t="s">
        <v>14</v>
      </c>
      <c r="E8412">
        <v>1</v>
      </c>
      <c r="F8412" s="2">
        <f>DATE(2026,IF(Tabla1[[#This Row],[Mes de Fecha]]="Septiembre",9,10),Tabla1[[#This Row],[Día de Fecha]])</f>
        <v>46296</v>
      </c>
      <c r="G8412">
        <v>1006947645</v>
      </c>
      <c r="H8412" t="s">
        <v>136</v>
      </c>
      <c r="I8412">
        <v>70</v>
      </c>
      <c r="J8412">
        <v>0</v>
      </c>
      <c r="K8412" s="1">
        <v>3517777</v>
      </c>
    </row>
    <row r="8413" spans="1:11" x14ac:dyDescent="0.25">
      <c r="A8413" t="s">
        <v>9</v>
      </c>
      <c r="B8413" t="s">
        <v>128</v>
      </c>
      <c r="C8413" t="s">
        <v>874</v>
      </c>
      <c r="D8413" t="s">
        <v>14</v>
      </c>
      <c r="E8413">
        <v>1</v>
      </c>
      <c r="F8413" s="2">
        <f>DATE(2026,IF(Tabla1[[#This Row],[Mes de Fecha]]="Septiembre",9,10),Tabla1[[#This Row],[Día de Fecha]])</f>
        <v>46296</v>
      </c>
      <c r="G8413">
        <v>1085305990</v>
      </c>
      <c r="H8413" t="s">
        <v>132</v>
      </c>
      <c r="I8413">
        <v>60</v>
      </c>
      <c r="J8413">
        <v>0</v>
      </c>
      <c r="K8413" s="1">
        <v>3009666</v>
      </c>
    </row>
    <row r="8414" spans="1:11" x14ac:dyDescent="0.25">
      <c r="A8414" t="s">
        <v>9</v>
      </c>
      <c r="B8414" t="s">
        <v>128</v>
      </c>
      <c r="C8414" t="s">
        <v>874</v>
      </c>
      <c r="D8414" t="s">
        <v>14</v>
      </c>
      <c r="E8414">
        <v>1</v>
      </c>
      <c r="F8414" s="2">
        <f>DATE(2026,IF(Tabla1[[#This Row],[Mes de Fecha]]="Septiembre",9,10),Tabla1[[#This Row],[Día de Fecha]])</f>
        <v>46296</v>
      </c>
      <c r="G8414">
        <v>1124866497</v>
      </c>
      <c r="H8414" t="s">
        <v>137</v>
      </c>
      <c r="I8414">
        <v>30</v>
      </c>
      <c r="J8414">
        <v>0</v>
      </c>
      <c r="K8414" s="1">
        <v>1447984</v>
      </c>
    </row>
    <row r="8415" spans="1:11" x14ac:dyDescent="0.25">
      <c r="A8415" t="s">
        <v>9</v>
      </c>
      <c r="B8415" t="s">
        <v>128</v>
      </c>
      <c r="C8415" t="s">
        <v>874</v>
      </c>
      <c r="D8415" t="s">
        <v>14</v>
      </c>
      <c r="E8415">
        <v>1</v>
      </c>
      <c r="F8415" s="2">
        <f>DATE(2026,IF(Tabla1[[#This Row],[Mes de Fecha]]="Septiembre",9,10),Tabla1[[#This Row],[Día de Fecha]])</f>
        <v>46296</v>
      </c>
      <c r="G8415">
        <v>1127077969</v>
      </c>
      <c r="H8415" t="s">
        <v>133</v>
      </c>
      <c r="I8415">
        <v>64</v>
      </c>
      <c r="J8415">
        <v>0</v>
      </c>
      <c r="K8415" s="1">
        <v>3370927</v>
      </c>
    </row>
    <row r="8416" spans="1:11" x14ac:dyDescent="0.25">
      <c r="A8416" t="s">
        <v>9</v>
      </c>
      <c r="B8416" t="s">
        <v>128</v>
      </c>
      <c r="C8416" t="s">
        <v>874</v>
      </c>
      <c r="D8416" t="s">
        <v>14</v>
      </c>
      <c r="E8416">
        <v>2</v>
      </c>
      <c r="F8416" s="2">
        <f>DATE(2026,IF(Tabla1[[#This Row],[Mes de Fecha]]="Septiembre",9,10),Tabla1[[#This Row],[Día de Fecha]])</f>
        <v>46297</v>
      </c>
      <c r="I8416">
        <v>0</v>
      </c>
      <c r="J8416" s="1">
        <v>22365167</v>
      </c>
      <c r="K8416">
        <v>0</v>
      </c>
    </row>
    <row r="8417" spans="1:11" x14ac:dyDescent="0.25">
      <c r="A8417" t="s">
        <v>9</v>
      </c>
      <c r="B8417" t="s">
        <v>128</v>
      </c>
      <c r="C8417" t="s">
        <v>874</v>
      </c>
      <c r="D8417" t="s">
        <v>14</v>
      </c>
      <c r="E8417">
        <v>2</v>
      </c>
      <c r="F8417" s="2">
        <f>DATE(2026,IF(Tabla1[[#This Row],[Mes de Fecha]]="Septiembre",9,10),Tabla1[[#This Row],[Día de Fecha]])</f>
        <v>46297</v>
      </c>
      <c r="G8417">
        <v>69006846</v>
      </c>
      <c r="H8417" t="s">
        <v>129</v>
      </c>
      <c r="I8417">
        <v>18</v>
      </c>
      <c r="J8417">
        <v>0</v>
      </c>
      <c r="K8417" s="1">
        <v>898363</v>
      </c>
    </row>
    <row r="8418" spans="1:11" x14ac:dyDescent="0.25">
      <c r="A8418" t="s">
        <v>9</v>
      </c>
      <c r="B8418" t="s">
        <v>128</v>
      </c>
      <c r="C8418" t="s">
        <v>874</v>
      </c>
      <c r="D8418" t="s">
        <v>14</v>
      </c>
      <c r="E8418">
        <v>2</v>
      </c>
      <c r="F8418" s="2">
        <f>DATE(2026,IF(Tabla1[[#This Row],[Mes de Fecha]]="Septiembre",9,10),Tabla1[[#This Row],[Día de Fecha]])</f>
        <v>46297</v>
      </c>
      <c r="G8418">
        <v>1006180343</v>
      </c>
      <c r="H8418" t="s">
        <v>135</v>
      </c>
      <c r="I8418">
        <v>23</v>
      </c>
      <c r="J8418">
        <v>0</v>
      </c>
      <c r="K8418" s="1">
        <v>1246808</v>
      </c>
    </row>
    <row r="8419" spans="1:11" x14ac:dyDescent="0.25">
      <c r="A8419" t="s">
        <v>9</v>
      </c>
      <c r="B8419" t="s">
        <v>128</v>
      </c>
      <c r="C8419" t="s">
        <v>874</v>
      </c>
      <c r="D8419" t="s">
        <v>14</v>
      </c>
      <c r="E8419">
        <v>2</v>
      </c>
      <c r="F8419" s="2">
        <f>DATE(2026,IF(Tabla1[[#This Row],[Mes de Fecha]]="Septiembre",9,10),Tabla1[[#This Row],[Día de Fecha]])</f>
        <v>46297</v>
      </c>
      <c r="G8419">
        <v>1006849022</v>
      </c>
      <c r="H8419" t="s">
        <v>130</v>
      </c>
      <c r="I8419">
        <v>26</v>
      </c>
      <c r="J8419">
        <v>0</v>
      </c>
      <c r="K8419" s="1">
        <v>1252944</v>
      </c>
    </row>
    <row r="8420" spans="1:11" x14ac:dyDescent="0.25">
      <c r="A8420" t="s">
        <v>9</v>
      </c>
      <c r="B8420" t="s">
        <v>128</v>
      </c>
      <c r="C8420" t="s">
        <v>874</v>
      </c>
      <c r="D8420" t="s">
        <v>14</v>
      </c>
      <c r="E8420">
        <v>2</v>
      </c>
      <c r="F8420" s="2">
        <f>DATE(2026,IF(Tabla1[[#This Row],[Mes de Fecha]]="Septiembre",9,10),Tabla1[[#This Row],[Día de Fecha]])</f>
        <v>46297</v>
      </c>
      <c r="G8420">
        <v>1006947645</v>
      </c>
      <c r="H8420" t="s">
        <v>136</v>
      </c>
      <c r="I8420">
        <v>39</v>
      </c>
      <c r="J8420">
        <v>0</v>
      </c>
      <c r="K8420" s="1">
        <v>2275463</v>
      </c>
    </row>
    <row r="8421" spans="1:11" x14ac:dyDescent="0.25">
      <c r="A8421" t="s">
        <v>9</v>
      </c>
      <c r="B8421" t="s">
        <v>128</v>
      </c>
      <c r="C8421" t="s">
        <v>874</v>
      </c>
      <c r="D8421" t="s">
        <v>14</v>
      </c>
      <c r="E8421">
        <v>2</v>
      </c>
      <c r="F8421" s="2">
        <f>DATE(2026,IF(Tabla1[[#This Row],[Mes de Fecha]]="Septiembre",9,10),Tabla1[[#This Row],[Día de Fecha]])</f>
        <v>46297</v>
      </c>
      <c r="G8421">
        <v>1085305990</v>
      </c>
      <c r="H8421" t="s">
        <v>132</v>
      </c>
      <c r="I8421">
        <v>61</v>
      </c>
      <c r="J8421">
        <v>0</v>
      </c>
      <c r="K8421" s="1">
        <v>3232481</v>
      </c>
    </row>
    <row r="8422" spans="1:11" x14ac:dyDescent="0.25">
      <c r="A8422" t="s">
        <v>9</v>
      </c>
      <c r="B8422" t="s">
        <v>128</v>
      </c>
      <c r="C8422" t="s">
        <v>874</v>
      </c>
      <c r="D8422" t="s">
        <v>14</v>
      </c>
      <c r="E8422">
        <v>2</v>
      </c>
      <c r="F8422" s="2">
        <f>DATE(2026,IF(Tabla1[[#This Row],[Mes de Fecha]]="Septiembre",9,10),Tabla1[[#This Row],[Día de Fecha]])</f>
        <v>46297</v>
      </c>
      <c r="G8422">
        <v>1127077969</v>
      </c>
      <c r="H8422" t="s">
        <v>133</v>
      </c>
      <c r="I8422">
        <v>31</v>
      </c>
      <c r="J8422">
        <v>0</v>
      </c>
      <c r="K8422" s="1">
        <v>1824117</v>
      </c>
    </row>
    <row r="8423" spans="1:11" x14ac:dyDescent="0.25">
      <c r="A8423" t="s">
        <v>9</v>
      </c>
      <c r="B8423" t="s">
        <v>128</v>
      </c>
      <c r="C8423" t="s">
        <v>874</v>
      </c>
      <c r="D8423" t="s">
        <v>14</v>
      </c>
      <c r="E8423">
        <v>3</v>
      </c>
      <c r="F8423" s="2">
        <f>DATE(2026,IF(Tabla1[[#This Row],[Mes de Fecha]]="Septiembre",9,10),Tabla1[[#This Row],[Día de Fecha]])</f>
        <v>46298</v>
      </c>
      <c r="I8423">
        <v>0</v>
      </c>
      <c r="J8423" s="1">
        <v>29444336</v>
      </c>
      <c r="K8423">
        <v>0</v>
      </c>
    </row>
    <row r="8424" spans="1:11" x14ac:dyDescent="0.25">
      <c r="A8424" t="s">
        <v>9</v>
      </c>
      <c r="B8424" t="s">
        <v>128</v>
      </c>
      <c r="C8424" t="s">
        <v>874</v>
      </c>
      <c r="D8424" t="s">
        <v>14</v>
      </c>
      <c r="E8424">
        <v>3</v>
      </c>
      <c r="F8424" s="2">
        <f>DATE(2026,IF(Tabla1[[#This Row],[Mes de Fecha]]="Septiembre",9,10),Tabla1[[#This Row],[Día de Fecha]])</f>
        <v>46298</v>
      </c>
      <c r="G8424">
        <v>69006846</v>
      </c>
      <c r="H8424" t="s">
        <v>129</v>
      </c>
      <c r="I8424">
        <v>105</v>
      </c>
      <c r="J8424">
        <v>0</v>
      </c>
      <c r="K8424" s="1">
        <v>5185128</v>
      </c>
    </row>
    <row r="8425" spans="1:11" x14ac:dyDescent="0.25">
      <c r="A8425" t="s">
        <v>9</v>
      </c>
      <c r="B8425" t="s">
        <v>128</v>
      </c>
      <c r="C8425" t="s">
        <v>874</v>
      </c>
      <c r="D8425" t="s">
        <v>14</v>
      </c>
      <c r="E8425">
        <v>3</v>
      </c>
      <c r="F8425" s="2">
        <f>DATE(2026,IF(Tabla1[[#This Row],[Mes de Fecha]]="Septiembre",9,10),Tabla1[[#This Row],[Día de Fecha]])</f>
        <v>46298</v>
      </c>
      <c r="G8425">
        <v>1006180343</v>
      </c>
      <c r="H8425" t="s">
        <v>135</v>
      </c>
      <c r="I8425">
        <v>78</v>
      </c>
      <c r="J8425">
        <v>0</v>
      </c>
      <c r="K8425" s="1">
        <v>3947178</v>
      </c>
    </row>
    <row r="8426" spans="1:11" x14ac:dyDescent="0.25">
      <c r="A8426" t="s">
        <v>9</v>
      </c>
      <c r="B8426" t="s">
        <v>128</v>
      </c>
      <c r="C8426" t="s">
        <v>874</v>
      </c>
      <c r="D8426" t="s">
        <v>14</v>
      </c>
      <c r="E8426">
        <v>3</v>
      </c>
      <c r="F8426" s="2">
        <f>DATE(2026,IF(Tabla1[[#This Row],[Mes de Fecha]]="Septiembre",9,10),Tabla1[[#This Row],[Día de Fecha]])</f>
        <v>46298</v>
      </c>
      <c r="G8426">
        <v>1006849022</v>
      </c>
      <c r="H8426" t="s">
        <v>130</v>
      </c>
      <c r="I8426">
        <v>46</v>
      </c>
      <c r="J8426">
        <v>0</v>
      </c>
      <c r="K8426" s="1">
        <v>2360767</v>
      </c>
    </row>
    <row r="8427" spans="1:11" x14ac:dyDescent="0.25">
      <c r="A8427" t="s">
        <v>9</v>
      </c>
      <c r="B8427" t="s">
        <v>128</v>
      </c>
      <c r="C8427" t="s">
        <v>874</v>
      </c>
      <c r="D8427" t="s">
        <v>14</v>
      </c>
      <c r="E8427">
        <v>3</v>
      </c>
      <c r="F8427" s="2">
        <f>DATE(2026,IF(Tabla1[[#This Row],[Mes de Fecha]]="Septiembre",9,10),Tabla1[[#This Row],[Día de Fecha]])</f>
        <v>46298</v>
      </c>
      <c r="G8427">
        <v>1006947645</v>
      </c>
      <c r="H8427" t="s">
        <v>136</v>
      </c>
      <c r="I8427">
        <v>2</v>
      </c>
      <c r="J8427">
        <v>0</v>
      </c>
      <c r="K8427" s="1">
        <v>69681</v>
      </c>
    </row>
    <row r="8428" spans="1:11" x14ac:dyDescent="0.25">
      <c r="A8428" t="s">
        <v>9</v>
      </c>
      <c r="B8428" t="s">
        <v>128</v>
      </c>
      <c r="C8428" t="s">
        <v>874</v>
      </c>
      <c r="D8428" t="s">
        <v>14</v>
      </c>
      <c r="E8428">
        <v>3</v>
      </c>
      <c r="F8428" s="2">
        <f>DATE(2026,IF(Tabla1[[#This Row],[Mes de Fecha]]="Septiembre",9,10),Tabla1[[#This Row],[Día de Fecha]])</f>
        <v>46298</v>
      </c>
      <c r="G8428">
        <v>1085305990</v>
      </c>
      <c r="H8428" t="s">
        <v>132</v>
      </c>
      <c r="I8428">
        <v>117</v>
      </c>
      <c r="J8428">
        <v>0</v>
      </c>
      <c r="K8428" s="1">
        <v>5997575</v>
      </c>
    </row>
    <row r="8429" spans="1:11" x14ac:dyDescent="0.25">
      <c r="A8429" t="s">
        <v>9</v>
      </c>
      <c r="B8429" t="s">
        <v>128</v>
      </c>
      <c r="C8429" t="s">
        <v>874</v>
      </c>
      <c r="D8429" t="s">
        <v>14</v>
      </c>
      <c r="E8429">
        <v>3</v>
      </c>
      <c r="F8429" s="2">
        <f>DATE(2026,IF(Tabla1[[#This Row],[Mes de Fecha]]="Septiembre",9,10),Tabla1[[#This Row],[Día de Fecha]])</f>
        <v>46298</v>
      </c>
      <c r="G8429">
        <v>1124866497</v>
      </c>
      <c r="H8429" t="s">
        <v>137</v>
      </c>
      <c r="I8429">
        <v>87</v>
      </c>
      <c r="J8429">
        <v>0</v>
      </c>
      <c r="K8429" s="1">
        <v>4140486</v>
      </c>
    </row>
    <row r="8430" spans="1:11" x14ac:dyDescent="0.25">
      <c r="A8430" t="s">
        <v>9</v>
      </c>
      <c r="B8430" t="s">
        <v>128</v>
      </c>
      <c r="C8430" t="s">
        <v>874</v>
      </c>
      <c r="D8430" t="s">
        <v>14</v>
      </c>
      <c r="E8430">
        <v>3</v>
      </c>
      <c r="F8430" s="2">
        <f>DATE(2026,IF(Tabla1[[#This Row],[Mes de Fecha]]="Septiembre",9,10),Tabla1[[#This Row],[Día de Fecha]])</f>
        <v>46298</v>
      </c>
      <c r="G8430">
        <v>1127077969</v>
      </c>
      <c r="H8430" t="s">
        <v>133</v>
      </c>
      <c r="I8430">
        <v>95</v>
      </c>
      <c r="J8430">
        <v>0</v>
      </c>
      <c r="K8430" s="1">
        <v>4655130</v>
      </c>
    </row>
    <row r="8431" spans="1:11" x14ac:dyDescent="0.25">
      <c r="A8431" t="s">
        <v>9</v>
      </c>
      <c r="B8431" t="s">
        <v>128</v>
      </c>
      <c r="C8431" t="s">
        <v>874</v>
      </c>
      <c r="D8431" t="s">
        <v>14</v>
      </c>
      <c r="E8431">
        <v>4</v>
      </c>
      <c r="F8431" s="2">
        <f>DATE(2026,IF(Tabla1[[#This Row],[Mes de Fecha]]="Septiembre",9,10),Tabla1[[#This Row],[Día de Fecha]])</f>
        <v>46299</v>
      </c>
      <c r="I8431">
        <v>0</v>
      </c>
      <c r="J8431" s="1">
        <v>28228250</v>
      </c>
      <c r="K8431">
        <v>0</v>
      </c>
    </row>
    <row r="8432" spans="1:11" x14ac:dyDescent="0.25">
      <c r="A8432" t="s">
        <v>9</v>
      </c>
      <c r="B8432" t="s">
        <v>128</v>
      </c>
      <c r="C8432" t="s">
        <v>874</v>
      </c>
      <c r="D8432" t="s">
        <v>14</v>
      </c>
      <c r="E8432">
        <v>4</v>
      </c>
      <c r="F8432" s="2">
        <f>DATE(2026,IF(Tabla1[[#This Row],[Mes de Fecha]]="Septiembre",9,10),Tabla1[[#This Row],[Día de Fecha]])</f>
        <v>46299</v>
      </c>
      <c r="G8432">
        <v>69006846</v>
      </c>
      <c r="H8432" t="s">
        <v>129</v>
      </c>
      <c r="I8432">
        <v>25</v>
      </c>
      <c r="J8432">
        <v>0</v>
      </c>
      <c r="K8432" s="1">
        <v>1292094</v>
      </c>
    </row>
    <row r="8433" spans="1:11" x14ac:dyDescent="0.25">
      <c r="A8433" t="s">
        <v>9</v>
      </c>
      <c r="B8433" t="s">
        <v>128</v>
      </c>
      <c r="C8433" t="s">
        <v>874</v>
      </c>
      <c r="D8433" t="s">
        <v>14</v>
      </c>
      <c r="E8433">
        <v>4</v>
      </c>
      <c r="F8433" s="2">
        <f>DATE(2026,IF(Tabla1[[#This Row],[Mes de Fecha]]="Septiembre",9,10),Tabla1[[#This Row],[Día de Fecha]])</f>
        <v>46299</v>
      </c>
      <c r="G8433">
        <v>1006180343</v>
      </c>
      <c r="H8433" t="s">
        <v>135</v>
      </c>
      <c r="I8433">
        <v>21</v>
      </c>
      <c r="J8433">
        <v>0</v>
      </c>
      <c r="K8433" s="1">
        <v>1141807</v>
      </c>
    </row>
    <row r="8434" spans="1:11" x14ac:dyDescent="0.25">
      <c r="A8434" t="s">
        <v>9</v>
      </c>
      <c r="B8434" t="s">
        <v>128</v>
      </c>
      <c r="C8434" t="s">
        <v>874</v>
      </c>
      <c r="D8434" t="s">
        <v>14</v>
      </c>
      <c r="E8434">
        <v>4</v>
      </c>
      <c r="F8434" s="2">
        <f>DATE(2026,IF(Tabla1[[#This Row],[Mes de Fecha]]="Septiembre",9,10),Tabla1[[#This Row],[Día de Fecha]])</f>
        <v>46299</v>
      </c>
      <c r="G8434">
        <v>1006849022</v>
      </c>
      <c r="H8434" t="s">
        <v>130</v>
      </c>
      <c r="I8434">
        <v>18</v>
      </c>
      <c r="J8434">
        <v>0</v>
      </c>
      <c r="K8434" s="1">
        <v>863513</v>
      </c>
    </row>
    <row r="8435" spans="1:11" x14ac:dyDescent="0.25">
      <c r="A8435" t="s">
        <v>9</v>
      </c>
      <c r="B8435" t="s">
        <v>128</v>
      </c>
      <c r="C8435" t="s">
        <v>874</v>
      </c>
      <c r="D8435" t="s">
        <v>14</v>
      </c>
      <c r="E8435">
        <v>4</v>
      </c>
      <c r="F8435" s="2">
        <f>DATE(2026,IF(Tabla1[[#This Row],[Mes de Fecha]]="Septiembre",9,10),Tabla1[[#This Row],[Día de Fecha]])</f>
        <v>46299</v>
      </c>
      <c r="G8435">
        <v>1026289163</v>
      </c>
      <c r="H8435" t="s">
        <v>131</v>
      </c>
      <c r="I8435">
        <v>5</v>
      </c>
      <c r="J8435">
        <v>0</v>
      </c>
      <c r="K8435" s="1">
        <v>306513</v>
      </c>
    </row>
    <row r="8436" spans="1:11" x14ac:dyDescent="0.25">
      <c r="A8436" t="s">
        <v>9</v>
      </c>
      <c r="B8436" t="s">
        <v>128</v>
      </c>
      <c r="C8436" t="s">
        <v>874</v>
      </c>
      <c r="D8436" t="s">
        <v>14</v>
      </c>
      <c r="E8436">
        <v>4</v>
      </c>
      <c r="F8436" s="2">
        <f>DATE(2026,IF(Tabla1[[#This Row],[Mes de Fecha]]="Septiembre",9,10),Tabla1[[#This Row],[Día de Fecha]])</f>
        <v>46299</v>
      </c>
      <c r="G8436">
        <v>1085305990</v>
      </c>
      <c r="H8436" t="s">
        <v>132</v>
      </c>
      <c r="I8436">
        <v>60</v>
      </c>
      <c r="J8436">
        <v>0</v>
      </c>
      <c r="K8436" s="1">
        <v>3394289</v>
      </c>
    </row>
    <row r="8437" spans="1:11" x14ac:dyDescent="0.25">
      <c r="A8437" t="s">
        <v>9</v>
      </c>
      <c r="B8437" t="s">
        <v>128</v>
      </c>
      <c r="C8437" t="s">
        <v>874</v>
      </c>
      <c r="D8437" t="s">
        <v>14</v>
      </c>
      <c r="E8437">
        <v>4</v>
      </c>
      <c r="F8437" s="2">
        <f>DATE(2026,IF(Tabla1[[#This Row],[Mes de Fecha]]="Septiembre",9,10),Tabla1[[#This Row],[Día de Fecha]])</f>
        <v>46299</v>
      </c>
      <c r="G8437">
        <v>1124866497</v>
      </c>
      <c r="H8437" t="s">
        <v>137</v>
      </c>
      <c r="I8437">
        <v>29</v>
      </c>
      <c r="J8437">
        <v>0</v>
      </c>
      <c r="K8437" s="1">
        <v>1563909</v>
      </c>
    </row>
    <row r="8438" spans="1:11" x14ac:dyDescent="0.25">
      <c r="A8438" t="s">
        <v>9</v>
      </c>
      <c r="B8438" t="s">
        <v>128</v>
      </c>
      <c r="C8438" t="s">
        <v>874</v>
      </c>
      <c r="D8438" t="s">
        <v>14</v>
      </c>
      <c r="E8438">
        <v>4</v>
      </c>
      <c r="F8438" s="2">
        <f>DATE(2026,IF(Tabla1[[#This Row],[Mes de Fecha]]="Septiembre",9,10),Tabla1[[#This Row],[Día de Fecha]])</f>
        <v>46299</v>
      </c>
      <c r="G8438">
        <v>1127077969</v>
      </c>
      <c r="H8438" t="s">
        <v>133</v>
      </c>
      <c r="I8438">
        <v>29</v>
      </c>
      <c r="J8438">
        <v>0</v>
      </c>
      <c r="K8438" s="1">
        <v>1930615</v>
      </c>
    </row>
    <row r="8439" spans="1:11" x14ac:dyDescent="0.25">
      <c r="A8439" t="s">
        <v>9</v>
      </c>
      <c r="B8439" t="s">
        <v>128</v>
      </c>
      <c r="C8439" t="s">
        <v>874</v>
      </c>
      <c r="D8439" t="s">
        <v>14</v>
      </c>
      <c r="E8439">
        <v>5</v>
      </c>
      <c r="F8439" s="2">
        <f>DATE(2026,IF(Tabla1[[#This Row],[Mes de Fecha]]="Septiembre",9,10),Tabla1[[#This Row],[Día de Fecha]])</f>
        <v>46300</v>
      </c>
      <c r="I8439">
        <v>0</v>
      </c>
      <c r="J8439" s="1">
        <v>24638902</v>
      </c>
      <c r="K8439">
        <v>0</v>
      </c>
    </row>
    <row r="8440" spans="1:11" x14ac:dyDescent="0.25">
      <c r="A8440" t="s">
        <v>9</v>
      </c>
      <c r="B8440" t="s">
        <v>128</v>
      </c>
      <c r="C8440" t="s">
        <v>874</v>
      </c>
      <c r="D8440" t="s">
        <v>14</v>
      </c>
      <c r="E8440">
        <v>5</v>
      </c>
      <c r="F8440" s="2">
        <f>DATE(2026,IF(Tabla1[[#This Row],[Mes de Fecha]]="Septiembre",9,10),Tabla1[[#This Row],[Día de Fecha]])</f>
        <v>46300</v>
      </c>
      <c r="G8440">
        <v>1006180343</v>
      </c>
      <c r="H8440" t="s">
        <v>135</v>
      </c>
      <c r="I8440">
        <v>18</v>
      </c>
      <c r="J8440">
        <v>0</v>
      </c>
      <c r="K8440" s="1">
        <v>782732</v>
      </c>
    </row>
    <row r="8441" spans="1:11" x14ac:dyDescent="0.25">
      <c r="A8441" t="s">
        <v>9</v>
      </c>
      <c r="B8441" t="s">
        <v>128</v>
      </c>
      <c r="C8441" t="s">
        <v>874</v>
      </c>
      <c r="D8441" t="s">
        <v>14</v>
      </c>
      <c r="E8441">
        <v>5</v>
      </c>
      <c r="F8441" s="2">
        <f>DATE(2026,IF(Tabla1[[#This Row],[Mes de Fecha]]="Septiembre",9,10),Tabla1[[#This Row],[Día de Fecha]])</f>
        <v>46300</v>
      </c>
      <c r="G8441">
        <v>1006849022</v>
      </c>
      <c r="H8441" t="s">
        <v>130</v>
      </c>
      <c r="I8441">
        <v>20</v>
      </c>
      <c r="J8441">
        <v>0</v>
      </c>
      <c r="K8441" s="1">
        <v>1139832</v>
      </c>
    </row>
    <row r="8442" spans="1:11" x14ac:dyDescent="0.25">
      <c r="A8442" t="s">
        <v>9</v>
      </c>
      <c r="B8442" t="s">
        <v>128</v>
      </c>
      <c r="C8442" t="s">
        <v>874</v>
      </c>
      <c r="D8442" t="s">
        <v>14</v>
      </c>
      <c r="E8442">
        <v>5</v>
      </c>
      <c r="F8442" s="2">
        <f>DATE(2026,IF(Tabla1[[#This Row],[Mes de Fecha]]="Septiembre",9,10),Tabla1[[#This Row],[Día de Fecha]])</f>
        <v>46300</v>
      </c>
      <c r="G8442">
        <v>1006947645</v>
      </c>
      <c r="H8442" t="s">
        <v>136</v>
      </c>
      <c r="I8442">
        <v>92</v>
      </c>
      <c r="J8442">
        <v>0</v>
      </c>
      <c r="K8442" s="1">
        <v>4615428</v>
      </c>
    </row>
    <row r="8443" spans="1:11" x14ac:dyDescent="0.25">
      <c r="A8443" t="s">
        <v>9</v>
      </c>
      <c r="B8443" t="s">
        <v>128</v>
      </c>
      <c r="C8443" t="s">
        <v>874</v>
      </c>
      <c r="D8443" t="s">
        <v>14</v>
      </c>
      <c r="E8443">
        <v>5</v>
      </c>
      <c r="F8443" s="2">
        <f>DATE(2026,IF(Tabla1[[#This Row],[Mes de Fecha]]="Septiembre",9,10),Tabla1[[#This Row],[Día de Fecha]])</f>
        <v>46300</v>
      </c>
      <c r="G8443">
        <v>1085305990</v>
      </c>
      <c r="H8443" t="s">
        <v>132</v>
      </c>
      <c r="I8443">
        <v>114</v>
      </c>
      <c r="J8443">
        <v>0</v>
      </c>
      <c r="K8443" s="1">
        <v>5655415</v>
      </c>
    </row>
    <row r="8444" spans="1:11" x14ac:dyDescent="0.25">
      <c r="A8444" t="s">
        <v>9</v>
      </c>
      <c r="B8444" t="s">
        <v>128</v>
      </c>
      <c r="C8444" t="s">
        <v>874</v>
      </c>
      <c r="D8444" t="s">
        <v>14</v>
      </c>
      <c r="E8444">
        <v>5</v>
      </c>
      <c r="F8444" s="2">
        <f>DATE(2026,IF(Tabla1[[#This Row],[Mes de Fecha]]="Septiembre",9,10),Tabla1[[#This Row],[Día de Fecha]])</f>
        <v>46300</v>
      </c>
      <c r="G8444">
        <v>1124866497</v>
      </c>
      <c r="H8444" t="s">
        <v>137</v>
      </c>
      <c r="I8444">
        <v>26</v>
      </c>
      <c r="J8444">
        <v>0</v>
      </c>
      <c r="K8444" s="1">
        <v>1217227</v>
      </c>
    </row>
    <row r="8445" spans="1:11" x14ac:dyDescent="0.25">
      <c r="A8445" t="s">
        <v>9</v>
      </c>
      <c r="B8445" t="s">
        <v>128</v>
      </c>
      <c r="C8445" t="s">
        <v>874</v>
      </c>
      <c r="D8445" t="s">
        <v>14</v>
      </c>
      <c r="E8445">
        <v>5</v>
      </c>
      <c r="F8445" s="2">
        <f>DATE(2026,IF(Tabla1[[#This Row],[Mes de Fecha]]="Septiembre",9,10),Tabla1[[#This Row],[Día de Fecha]])</f>
        <v>46300</v>
      </c>
      <c r="G8445">
        <v>1127077969</v>
      </c>
      <c r="H8445" t="s">
        <v>133</v>
      </c>
      <c r="I8445">
        <v>26</v>
      </c>
      <c r="J8445">
        <v>0</v>
      </c>
      <c r="K8445" s="1">
        <v>1305545</v>
      </c>
    </row>
    <row r="8446" spans="1:11" x14ac:dyDescent="0.25">
      <c r="A8446" t="s">
        <v>9</v>
      </c>
      <c r="B8446" t="s">
        <v>128</v>
      </c>
      <c r="C8446" t="s">
        <v>874</v>
      </c>
      <c r="D8446" t="s">
        <v>14</v>
      </c>
      <c r="E8446">
        <v>6</v>
      </c>
      <c r="F8446" s="2">
        <f>DATE(2026,IF(Tabla1[[#This Row],[Mes de Fecha]]="Septiembre",9,10),Tabla1[[#This Row],[Día de Fecha]])</f>
        <v>46301</v>
      </c>
      <c r="I8446">
        <v>0</v>
      </c>
      <c r="J8446" s="1">
        <v>11387146</v>
      </c>
      <c r="K8446">
        <v>0</v>
      </c>
    </row>
    <row r="8447" spans="1:11" x14ac:dyDescent="0.25">
      <c r="A8447" t="s">
        <v>9</v>
      </c>
      <c r="B8447" t="s">
        <v>128</v>
      </c>
      <c r="C8447" t="s">
        <v>874</v>
      </c>
      <c r="D8447" t="s">
        <v>14</v>
      </c>
      <c r="E8447">
        <v>6</v>
      </c>
      <c r="F8447" s="2">
        <f>DATE(2026,IF(Tabla1[[#This Row],[Mes de Fecha]]="Septiembre",9,10),Tabla1[[#This Row],[Día de Fecha]])</f>
        <v>46301</v>
      </c>
      <c r="G8447">
        <v>69006846</v>
      </c>
      <c r="H8447" t="s">
        <v>129</v>
      </c>
      <c r="I8447">
        <v>0</v>
      </c>
      <c r="J8447">
        <v>0</v>
      </c>
      <c r="K8447">
        <v>0</v>
      </c>
    </row>
    <row r="8448" spans="1:11" x14ac:dyDescent="0.25">
      <c r="A8448" t="s">
        <v>9</v>
      </c>
      <c r="B8448" t="s">
        <v>128</v>
      </c>
      <c r="C8448" t="s">
        <v>874</v>
      </c>
      <c r="D8448" t="s">
        <v>14</v>
      </c>
      <c r="E8448">
        <v>6</v>
      </c>
      <c r="F8448" s="2">
        <f>DATE(2026,IF(Tabla1[[#This Row],[Mes de Fecha]]="Septiembre",9,10),Tabla1[[#This Row],[Día de Fecha]])</f>
        <v>46301</v>
      </c>
      <c r="G8448">
        <v>1006180343</v>
      </c>
      <c r="H8448" t="s">
        <v>135</v>
      </c>
      <c r="I8448">
        <v>1</v>
      </c>
      <c r="J8448">
        <v>0</v>
      </c>
      <c r="K8448" s="1">
        <v>8319</v>
      </c>
    </row>
    <row r="8449" spans="1:11" x14ac:dyDescent="0.25">
      <c r="A8449" t="s">
        <v>9</v>
      </c>
      <c r="B8449" t="s">
        <v>128</v>
      </c>
      <c r="C8449" t="s">
        <v>874</v>
      </c>
      <c r="D8449" t="s">
        <v>14</v>
      </c>
      <c r="E8449">
        <v>6</v>
      </c>
      <c r="F8449" s="2">
        <f>DATE(2026,IF(Tabla1[[#This Row],[Mes de Fecha]]="Septiembre",9,10),Tabla1[[#This Row],[Día de Fecha]])</f>
        <v>46301</v>
      </c>
      <c r="G8449">
        <v>1006849022</v>
      </c>
      <c r="H8449" t="s">
        <v>130</v>
      </c>
      <c r="I8449">
        <v>14</v>
      </c>
      <c r="J8449">
        <v>0</v>
      </c>
      <c r="K8449" s="1">
        <v>467816</v>
      </c>
    </row>
    <row r="8450" spans="1:11" x14ac:dyDescent="0.25">
      <c r="A8450" t="s">
        <v>9</v>
      </c>
      <c r="B8450" t="s">
        <v>128</v>
      </c>
      <c r="C8450" t="s">
        <v>874</v>
      </c>
      <c r="D8450" t="s">
        <v>14</v>
      </c>
      <c r="E8450">
        <v>6</v>
      </c>
      <c r="F8450" s="2">
        <f>DATE(2026,IF(Tabla1[[#This Row],[Mes de Fecha]]="Septiembre",9,10),Tabla1[[#This Row],[Día de Fecha]])</f>
        <v>46301</v>
      </c>
      <c r="G8450">
        <v>1006947645</v>
      </c>
      <c r="H8450" t="s">
        <v>136</v>
      </c>
      <c r="I8450">
        <v>62</v>
      </c>
      <c r="J8450">
        <v>0</v>
      </c>
      <c r="K8450" s="1">
        <v>2883699</v>
      </c>
    </row>
    <row r="8451" spans="1:11" x14ac:dyDescent="0.25">
      <c r="A8451" t="s">
        <v>9</v>
      </c>
      <c r="B8451" t="s">
        <v>128</v>
      </c>
      <c r="C8451" t="s">
        <v>874</v>
      </c>
      <c r="D8451" t="s">
        <v>14</v>
      </c>
      <c r="E8451">
        <v>6</v>
      </c>
      <c r="F8451" s="2">
        <f>DATE(2026,IF(Tabla1[[#This Row],[Mes de Fecha]]="Septiembre",9,10),Tabla1[[#This Row],[Día de Fecha]])</f>
        <v>46301</v>
      </c>
      <c r="G8451">
        <v>1085305990</v>
      </c>
      <c r="H8451" t="s">
        <v>132</v>
      </c>
      <c r="I8451">
        <v>57</v>
      </c>
      <c r="J8451">
        <v>0</v>
      </c>
      <c r="K8451" s="1">
        <v>2900797</v>
      </c>
    </row>
    <row r="8452" spans="1:11" x14ac:dyDescent="0.25">
      <c r="A8452" t="s">
        <v>9</v>
      </c>
      <c r="B8452" t="s">
        <v>128</v>
      </c>
      <c r="C8452" t="s">
        <v>874</v>
      </c>
      <c r="D8452" t="s">
        <v>14</v>
      </c>
      <c r="E8452">
        <v>6</v>
      </c>
      <c r="F8452" s="2">
        <f>DATE(2026,IF(Tabla1[[#This Row],[Mes de Fecha]]="Septiembre",9,10),Tabla1[[#This Row],[Día de Fecha]])</f>
        <v>46301</v>
      </c>
      <c r="G8452">
        <v>1124866497</v>
      </c>
      <c r="H8452" t="s">
        <v>137</v>
      </c>
      <c r="I8452">
        <v>8</v>
      </c>
      <c r="J8452">
        <v>0</v>
      </c>
      <c r="K8452" s="1">
        <v>451345</v>
      </c>
    </row>
    <row r="8453" spans="1:11" x14ac:dyDescent="0.25">
      <c r="A8453" t="s">
        <v>9</v>
      </c>
      <c r="B8453" t="s">
        <v>128</v>
      </c>
      <c r="C8453" t="s">
        <v>874</v>
      </c>
      <c r="D8453" t="s">
        <v>14</v>
      </c>
      <c r="E8453">
        <v>6</v>
      </c>
      <c r="F8453" s="2">
        <f>DATE(2026,IF(Tabla1[[#This Row],[Mes de Fecha]]="Septiembre",9,10),Tabla1[[#This Row],[Día de Fecha]])</f>
        <v>46301</v>
      </c>
      <c r="G8453">
        <v>1127077969</v>
      </c>
      <c r="H8453" t="s">
        <v>133</v>
      </c>
      <c r="I8453">
        <v>11</v>
      </c>
      <c r="J8453">
        <v>0</v>
      </c>
      <c r="K8453" s="1">
        <v>423907</v>
      </c>
    </row>
    <row r="8454" spans="1:11" x14ac:dyDescent="0.25">
      <c r="A8454" t="s">
        <v>9</v>
      </c>
      <c r="B8454" t="s">
        <v>128</v>
      </c>
      <c r="C8454" t="s">
        <v>874</v>
      </c>
      <c r="D8454" t="s">
        <v>14</v>
      </c>
      <c r="E8454">
        <v>7</v>
      </c>
      <c r="F8454" s="2">
        <f>DATE(2026,IF(Tabla1[[#This Row],[Mes de Fecha]]="Septiembre",9,10),Tabla1[[#This Row],[Día de Fecha]])</f>
        <v>46302</v>
      </c>
      <c r="I8454">
        <v>0</v>
      </c>
      <c r="J8454" s="1">
        <v>1221555</v>
      </c>
      <c r="K8454">
        <v>0</v>
      </c>
    </row>
    <row r="8455" spans="1:11" x14ac:dyDescent="0.25">
      <c r="A8455" t="s">
        <v>9</v>
      </c>
      <c r="B8455" t="s">
        <v>128</v>
      </c>
      <c r="C8455" t="s">
        <v>874</v>
      </c>
      <c r="D8455" t="s">
        <v>14</v>
      </c>
      <c r="E8455">
        <v>7</v>
      </c>
      <c r="F8455" s="2">
        <f>DATE(2026,IF(Tabla1[[#This Row],[Mes de Fecha]]="Septiembre",9,10),Tabla1[[#This Row],[Día de Fecha]])</f>
        <v>46302</v>
      </c>
      <c r="G8455">
        <v>1006180343</v>
      </c>
      <c r="H8455" t="s">
        <v>135</v>
      </c>
      <c r="I8455">
        <v>45</v>
      </c>
      <c r="J8455">
        <v>0</v>
      </c>
      <c r="K8455" s="1">
        <v>2184746</v>
      </c>
    </row>
    <row r="8456" spans="1:11" x14ac:dyDescent="0.25">
      <c r="A8456" t="s">
        <v>9</v>
      </c>
      <c r="B8456" t="s">
        <v>128</v>
      </c>
      <c r="C8456" t="s">
        <v>874</v>
      </c>
      <c r="D8456" t="s">
        <v>14</v>
      </c>
      <c r="E8456">
        <v>7</v>
      </c>
      <c r="F8456" s="2">
        <f>DATE(2026,IF(Tabla1[[#This Row],[Mes de Fecha]]="Septiembre",9,10),Tabla1[[#This Row],[Día de Fecha]])</f>
        <v>46302</v>
      </c>
      <c r="G8456">
        <v>1006849022</v>
      </c>
      <c r="H8456" t="s">
        <v>130</v>
      </c>
      <c r="I8456">
        <v>40</v>
      </c>
      <c r="J8456">
        <v>0</v>
      </c>
      <c r="K8456" s="1">
        <v>1718570</v>
      </c>
    </row>
    <row r="8457" spans="1:11" x14ac:dyDescent="0.25">
      <c r="A8457" t="s">
        <v>9</v>
      </c>
      <c r="B8457" t="s">
        <v>128</v>
      </c>
      <c r="C8457" t="s">
        <v>874</v>
      </c>
      <c r="D8457" t="s">
        <v>14</v>
      </c>
      <c r="E8457">
        <v>7</v>
      </c>
      <c r="F8457" s="2">
        <f>DATE(2026,IF(Tabla1[[#This Row],[Mes de Fecha]]="Septiembre",9,10),Tabla1[[#This Row],[Día de Fecha]])</f>
        <v>46302</v>
      </c>
      <c r="G8457">
        <v>1006947645</v>
      </c>
      <c r="H8457" t="s">
        <v>136</v>
      </c>
      <c r="I8457">
        <v>67</v>
      </c>
      <c r="J8457">
        <v>0</v>
      </c>
      <c r="K8457" s="1">
        <v>2975757</v>
      </c>
    </row>
    <row r="8458" spans="1:11" x14ac:dyDescent="0.25">
      <c r="A8458" t="s">
        <v>9</v>
      </c>
      <c r="B8458" t="s">
        <v>128</v>
      </c>
      <c r="C8458" t="s">
        <v>874</v>
      </c>
      <c r="D8458" t="s">
        <v>14</v>
      </c>
      <c r="E8458">
        <v>7</v>
      </c>
      <c r="F8458" s="2">
        <f>DATE(2026,IF(Tabla1[[#This Row],[Mes de Fecha]]="Septiembre",9,10),Tabla1[[#This Row],[Día de Fecha]])</f>
        <v>46302</v>
      </c>
      <c r="G8458">
        <v>1085305990</v>
      </c>
      <c r="H8458" t="s">
        <v>132</v>
      </c>
      <c r="I8458">
        <v>15</v>
      </c>
      <c r="J8458">
        <v>0</v>
      </c>
      <c r="K8458" s="1">
        <v>794983</v>
      </c>
    </row>
    <row r="8459" spans="1:11" x14ac:dyDescent="0.25">
      <c r="A8459" t="s">
        <v>9</v>
      </c>
      <c r="B8459" t="s">
        <v>128</v>
      </c>
      <c r="C8459" t="s">
        <v>874</v>
      </c>
      <c r="D8459" t="s">
        <v>14</v>
      </c>
      <c r="E8459">
        <v>7</v>
      </c>
      <c r="F8459" s="2">
        <f>DATE(2026,IF(Tabla1[[#This Row],[Mes de Fecha]]="Septiembre",9,10),Tabla1[[#This Row],[Día de Fecha]])</f>
        <v>46302</v>
      </c>
      <c r="G8459">
        <v>1124866497</v>
      </c>
      <c r="H8459" t="s">
        <v>137</v>
      </c>
      <c r="I8459">
        <v>18</v>
      </c>
      <c r="J8459">
        <v>0</v>
      </c>
      <c r="K8459" s="1">
        <v>856344</v>
      </c>
    </row>
    <row r="8460" spans="1:11" x14ac:dyDescent="0.25">
      <c r="A8460" t="s">
        <v>9</v>
      </c>
      <c r="B8460" t="s">
        <v>128</v>
      </c>
      <c r="C8460" t="s">
        <v>874</v>
      </c>
      <c r="D8460" t="s">
        <v>14</v>
      </c>
      <c r="E8460">
        <v>7</v>
      </c>
      <c r="F8460" s="2">
        <f>DATE(2026,IF(Tabla1[[#This Row],[Mes de Fecha]]="Septiembre",9,10),Tabla1[[#This Row],[Día de Fecha]])</f>
        <v>46302</v>
      </c>
      <c r="G8460">
        <v>1127077969</v>
      </c>
      <c r="H8460" t="s">
        <v>133</v>
      </c>
      <c r="I8460">
        <v>39</v>
      </c>
      <c r="J8460">
        <v>0</v>
      </c>
      <c r="K8460" s="1">
        <v>1933070</v>
      </c>
    </row>
    <row r="8461" spans="1:11" x14ac:dyDescent="0.25">
      <c r="A8461" t="s">
        <v>9</v>
      </c>
      <c r="B8461" t="s">
        <v>290</v>
      </c>
      <c r="C8461" t="s">
        <v>874</v>
      </c>
      <c r="D8461" t="s">
        <v>11</v>
      </c>
      <c r="E8461">
        <v>23</v>
      </c>
      <c r="F8461" s="2">
        <f>DATE(2026,IF(Tabla1[[#This Row],[Mes de Fecha]]="Septiembre",9,10),Tabla1[[#This Row],[Día de Fecha]])</f>
        <v>46288</v>
      </c>
      <c r="I8461">
        <v>0</v>
      </c>
      <c r="J8461" s="1">
        <v>1516007</v>
      </c>
      <c r="K8461">
        <v>0</v>
      </c>
    </row>
    <row r="8462" spans="1:11" x14ac:dyDescent="0.25">
      <c r="A8462" t="s">
        <v>9</v>
      </c>
      <c r="B8462" t="s">
        <v>290</v>
      </c>
      <c r="C8462" t="s">
        <v>874</v>
      </c>
      <c r="D8462" t="s">
        <v>11</v>
      </c>
      <c r="E8462">
        <v>23</v>
      </c>
      <c r="F8462" s="2">
        <f>DATE(2026,IF(Tabla1[[#This Row],[Mes de Fecha]]="Septiembre",9,10),Tabla1[[#This Row],[Día de Fecha]])</f>
        <v>46288</v>
      </c>
      <c r="G8462">
        <v>1122342386</v>
      </c>
      <c r="H8462" t="s">
        <v>291</v>
      </c>
      <c r="I8462">
        <v>99</v>
      </c>
      <c r="J8462">
        <v>0</v>
      </c>
      <c r="K8462" s="1">
        <v>5012648</v>
      </c>
    </row>
    <row r="8463" spans="1:11" x14ac:dyDescent="0.25">
      <c r="A8463" t="s">
        <v>9</v>
      </c>
      <c r="B8463" t="s">
        <v>290</v>
      </c>
      <c r="C8463" t="s">
        <v>874</v>
      </c>
      <c r="D8463" t="s">
        <v>11</v>
      </c>
      <c r="E8463">
        <v>23</v>
      </c>
      <c r="F8463" s="2">
        <f>DATE(2026,IF(Tabla1[[#This Row],[Mes de Fecha]]="Septiembre",9,10),Tabla1[[#This Row],[Día de Fecha]])</f>
        <v>46288</v>
      </c>
      <c r="G8463">
        <v>1123321967</v>
      </c>
      <c r="H8463" t="s">
        <v>292</v>
      </c>
      <c r="I8463">
        <v>22</v>
      </c>
      <c r="J8463">
        <v>0</v>
      </c>
      <c r="K8463" s="1">
        <v>1097818</v>
      </c>
    </row>
    <row r="8464" spans="1:11" x14ac:dyDescent="0.25">
      <c r="A8464" t="s">
        <v>9</v>
      </c>
      <c r="B8464" t="s">
        <v>290</v>
      </c>
      <c r="C8464" t="s">
        <v>874</v>
      </c>
      <c r="D8464" t="s">
        <v>11</v>
      </c>
      <c r="E8464">
        <v>24</v>
      </c>
      <c r="F8464" s="2">
        <f>DATE(2026,IF(Tabla1[[#This Row],[Mes de Fecha]]="Septiembre",9,10),Tabla1[[#This Row],[Día de Fecha]])</f>
        <v>46289</v>
      </c>
      <c r="I8464">
        <v>0</v>
      </c>
      <c r="J8464" s="1">
        <v>3920683</v>
      </c>
      <c r="K8464">
        <v>0</v>
      </c>
    </row>
    <row r="8465" spans="1:11" x14ac:dyDescent="0.25">
      <c r="A8465" t="s">
        <v>9</v>
      </c>
      <c r="B8465" t="s">
        <v>290</v>
      </c>
      <c r="C8465" t="s">
        <v>874</v>
      </c>
      <c r="D8465" t="s">
        <v>11</v>
      </c>
      <c r="E8465">
        <v>24</v>
      </c>
      <c r="F8465" s="2">
        <f>DATE(2026,IF(Tabla1[[#This Row],[Mes de Fecha]]="Septiembre",9,10),Tabla1[[#This Row],[Día de Fecha]])</f>
        <v>46289</v>
      </c>
      <c r="G8465">
        <v>1122342386</v>
      </c>
      <c r="H8465" t="s">
        <v>291</v>
      </c>
      <c r="I8465">
        <v>122</v>
      </c>
      <c r="J8465">
        <v>0</v>
      </c>
      <c r="K8465" s="1">
        <v>6244880</v>
      </c>
    </row>
    <row r="8466" spans="1:11" x14ac:dyDescent="0.25">
      <c r="A8466" t="s">
        <v>9</v>
      </c>
      <c r="B8466" t="s">
        <v>290</v>
      </c>
      <c r="C8466" t="s">
        <v>874</v>
      </c>
      <c r="D8466" t="s">
        <v>11</v>
      </c>
      <c r="E8466">
        <v>24</v>
      </c>
      <c r="F8466" s="2">
        <f>DATE(2026,IF(Tabla1[[#This Row],[Mes de Fecha]]="Septiembre",9,10),Tabla1[[#This Row],[Día de Fecha]])</f>
        <v>46289</v>
      </c>
      <c r="G8466">
        <v>1123321967</v>
      </c>
      <c r="H8466" t="s">
        <v>292</v>
      </c>
      <c r="I8466">
        <v>34</v>
      </c>
      <c r="J8466">
        <v>0</v>
      </c>
      <c r="K8466" s="1">
        <v>1641473</v>
      </c>
    </row>
    <row r="8467" spans="1:11" x14ac:dyDescent="0.25">
      <c r="A8467" t="s">
        <v>9</v>
      </c>
      <c r="B8467" t="s">
        <v>290</v>
      </c>
      <c r="C8467" t="s">
        <v>874</v>
      </c>
      <c r="D8467" t="s">
        <v>11</v>
      </c>
      <c r="E8467">
        <v>25</v>
      </c>
      <c r="F8467" s="2">
        <f>DATE(2026,IF(Tabla1[[#This Row],[Mes de Fecha]]="Septiembre",9,10),Tabla1[[#This Row],[Día de Fecha]])</f>
        <v>46290</v>
      </c>
      <c r="I8467">
        <v>0</v>
      </c>
      <c r="J8467" s="1">
        <v>4187505</v>
      </c>
      <c r="K8467">
        <v>0</v>
      </c>
    </row>
    <row r="8468" spans="1:11" x14ac:dyDescent="0.25">
      <c r="A8468" t="s">
        <v>9</v>
      </c>
      <c r="B8468" t="s">
        <v>290</v>
      </c>
      <c r="C8468" t="s">
        <v>874</v>
      </c>
      <c r="D8468" t="s">
        <v>11</v>
      </c>
      <c r="E8468">
        <v>25</v>
      </c>
      <c r="F8468" s="2">
        <f>DATE(2026,IF(Tabla1[[#This Row],[Mes de Fecha]]="Septiembre",9,10),Tabla1[[#This Row],[Día de Fecha]])</f>
        <v>46290</v>
      </c>
      <c r="G8468">
        <v>1122342386</v>
      </c>
      <c r="H8468" t="s">
        <v>291</v>
      </c>
      <c r="I8468">
        <v>58</v>
      </c>
      <c r="J8468">
        <v>0</v>
      </c>
      <c r="K8468" s="1">
        <v>3150926</v>
      </c>
    </row>
    <row r="8469" spans="1:11" x14ac:dyDescent="0.25">
      <c r="A8469" t="s">
        <v>9</v>
      </c>
      <c r="B8469" t="s">
        <v>290</v>
      </c>
      <c r="C8469" t="s">
        <v>874</v>
      </c>
      <c r="D8469" t="s">
        <v>11</v>
      </c>
      <c r="E8469">
        <v>25</v>
      </c>
      <c r="F8469" s="2">
        <f>DATE(2026,IF(Tabla1[[#This Row],[Mes de Fecha]]="Septiembre",9,10),Tabla1[[#This Row],[Día de Fecha]])</f>
        <v>46290</v>
      </c>
      <c r="G8469">
        <v>1123321967</v>
      </c>
      <c r="H8469" t="s">
        <v>292</v>
      </c>
      <c r="I8469">
        <v>38</v>
      </c>
      <c r="J8469">
        <v>0</v>
      </c>
      <c r="K8469" s="1">
        <v>1700129</v>
      </c>
    </row>
    <row r="8470" spans="1:11" x14ac:dyDescent="0.25">
      <c r="A8470" t="s">
        <v>9</v>
      </c>
      <c r="B8470" t="s">
        <v>290</v>
      </c>
      <c r="C8470" t="s">
        <v>874</v>
      </c>
      <c r="D8470" t="s">
        <v>11</v>
      </c>
      <c r="E8470">
        <v>26</v>
      </c>
      <c r="F8470" s="2">
        <f>DATE(2026,IF(Tabla1[[#This Row],[Mes de Fecha]]="Septiembre",9,10),Tabla1[[#This Row],[Día de Fecha]])</f>
        <v>46291</v>
      </c>
      <c r="I8470">
        <v>0</v>
      </c>
      <c r="J8470" s="1">
        <v>5280336</v>
      </c>
      <c r="K8470">
        <v>0</v>
      </c>
    </row>
    <row r="8471" spans="1:11" x14ac:dyDescent="0.25">
      <c r="A8471" t="s">
        <v>9</v>
      </c>
      <c r="B8471" t="s">
        <v>290</v>
      </c>
      <c r="C8471" t="s">
        <v>874</v>
      </c>
      <c r="D8471" t="s">
        <v>11</v>
      </c>
      <c r="E8471">
        <v>26</v>
      </c>
      <c r="F8471" s="2">
        <f>DATE(2026,IF(Tabla1[[#This Row],[Mes de Fecha]]="Septiembre",9,10),Tabla1[[#This Row],[Día de Fecha]])</f>
        <v>46291</v>
      </c>
      <c r="G8471">
        <v>1122342386</v>
      </c>
      <c r="H8471" t="s">
        <v>291</v>
      </c>
      <c r="I8471">
        <v>141</v>
      </c>
      <c r="J8471">
        <v>0</v>
      </c>
      <c r="K8471" s="1">
        <v>7517236</v>
      </c>
    </row>
    <row r="8472" spans="1:11" x14ac:dyDescent="0.25">
      <c r="A8472" t="s">
        <v>9</v>
      </c>
      <c r="B8472" t="s">
        <v>290</v>
      </c>
      <c r="C8472" t="s">
        <v>874</v>
      </c>
      <c r="D8472" t="s">
        <v>11</v>
      </c>
      <c r="E8472">
        <v>26</v>
      </c>
      <c r="F8472" s="2">
        <f>DATE(2026,IF(Tabla1[[#This Row],[Mes de Fecha]]="Septiembre",9,10),Tabla1[[#This Row],[Día de Fecha]])</f>
        <v>46291</v>
      </c>
      <c r="G8472">
        <v>1123321967</v>
      </c>
      <c r="H8472" t="s">
        <v>292</v>
      </c>
      <c r="I8472">
        <v>28</v>
      </c>
      <c r="J8472">
        <v>0</v>
      </c>
      <c r="K8472" s="1">
        <v>1528238</v>
      </c>
    </row>
    <row r="8473" spans="1:11" x14ac:dyDescent="0.25">
      <c r="A8473" t="s">
        <v>9</v>
      </c>
      <c r="B8473" t="s">
        <v>290</v>
      </c>
      <c r="C8473" t="s">
        <v>874</v>
      </c>
      <c r="D8473" t="s">
        <v>11</v>
      </c>
      <c r="E8473">
        <v>27</v>
      </c>
      <c r="F8473" s="2">
        <f>DATE(2026,IF(Tabla1[[#This Row],[Mes de Fecha]]="Septiembre",9,10),Tabla1[[#This Row],[Día de Fecha]])</f>
        <v>46292</v>
      </c>
      <c r="I8473">
        <v>0</v>
      </c>
      <c r="J8473" s="1">
        <v>2787969</v>
      </c>
      <c r="K8473">
        <v>0</v>
      </c>
    </row>
    <row r="8474" spans="1:11" x14ac:dyDescent="0.25">
      <c r="A8474" t="s">
        <v>9</v>
      </c>
      <c r="B8474" t="s">
        <v>290</v>
      </c>
      <c r="C8474" t="s">
        <v>874</v>
      </c>
      <c r="D8474" t="s">
        <v>11</v>
      </c>
      <c r="E8474">
        <v>27</v>
      </c>
      <c r="F8474" s="2">
        <f>DATE(2026,IF(Tabla1[[#This Row],[Mes de Fecha]]="Septiembre",9,10),Tabla1[[#This Row],[Día de Fecha]])</f>
        <v>46292</v>
      </c>
      <c r="G8474">
        <v>1122342386</v>
      </c>
      <c r="H8474" t="s">
        <v>291</v>
      </c>
      <c r="I8474">
        <v>35</v>
      </c>
      <c r="J8474">
        <v>0</v>
      </c>
      <c r="K8474" s="1">
        <v>1805086</v>
      </c>
    </row>
    <row r="8475" spans="1:11" x14ac:dyDescent="0.25">
      <c r="A8475" t="s">
        <v>9</v>
      </c>
      <c r="B8475" t="s">
        <v>290</v>
      </c>
      <c r="C8475" t="s">
        <v>874</v>
      </c>
      <c r="D8475" t="s">
        <v>11</v>
      </c>
      <c r="E8475">
        <v>27</v>
      </c>
      <c r="F8475" s="2">
        <f>DATE(2026,IF(Tabla1[[#This Row],[Mes de Fecha]]="Septiembre",9,10),Tabla1[[#This Row],[Día de Fecha]])</f>
        <v>46292</v>
      </c>
      <c r="G8475">
        <v>1123321967</v>
      </c>
      <c r="H8475" t="s">
        <v>292</v>
      </c>
      <c r="I8475">
        <v>12</v>
      </c>
      <c r="J8475">
        <v>0</v>
      </c>
      <c r="K8475" s="1">
        <v>785169</v>
      </c>
    </row>
    <row r="8476" spans="1:11" x14ac:dyDescent="0.25">
      <c r="A8476" t="s">
        <v>9</v>
      </c>
      <c r="B8476" t="s">
        <v>290</v>
      </c>
      <c r="C8476" t="s">
        <v>874</v>
      </c>
      <c r="D8476" t="s">
        <v>11</v>
      </c>
      <c r="E8476">
        <v>28</v>
      </c>
      <c r="F8476" s="2">
        <f>DATE(2026,IF(Tabla1[[#This Row],[Mes de Fecha]]="Septiembre",9,10),Tabla1[[#This Row],[Día de Fecha]])</f>
        <v>46293</v>
      </c>
      <c r="I8476">
        <v>0</v>
      </c>
      <c r="J8476" s="1">
        <v>2285831</v>
      </c>
      <c r="K8476">
        <v>0</v>
      </c>
    </row>
    <row r="8477" spans="1:11" x14ac:dyDescent="0.25">
      <c r="A8477" t="s">
        <v>9</v>
      </c>
      <c r="B8477" t="s">
        <v>290</v>
      </c>
      <c r="C8477" t="s">
        <v>874</v>
      </c>
      <c r="D8477" t="s">
        <v>11</v>
      </c>
      <c r="E8477">
        <v>28</v>
      </c>
      <c r="F8477" s="2">
        <f>DATE(2026,IF(Tabla1[[#This Row],[Mes de Fecha]]="Septiembre",9,10),Tabla1[[#This Row],[Día de Fecha]])</f>
        <v>46293</v>
      </c>
      <c r="G8477">
        <v>1122342386</v>
      </c>
      <c r="H8477" t="s">
        <v>291</v>
      </c>
      <c r="I8477">
        <v>-8</v>
      </c>
      <c r="J8477">
        <v>0</v>
      </c>
      <c r="K8477" s="1">
        <v>-466009</v>
      </c>
    </row>
    <row r="8478" spans="1:11" x14ac:dyDescent="0.25">
      <c r="A8478" t="s">
        <v>9</v>
      </c>
      <c r="B8478" t="s">
        <v>290</v>
      </c>
      <c r="C8478" t="s">
        <v>874</v>
      </c>
      <c r="D8478" t="s">
        <v>11</v>
      </c>
      <c r="E8478">
        <v>28</v>
      </c>
      <c r="F8478" s="2">
        <f>DATE(2026,IF(Tabla1[[#This Row],[Mes de Fecha]]="Septiembre",9,10),Tabla1[[#This Row],[Día de Fecha]])</f>
        <v>46293</v>
      </c>
      <c r="G8478">
        <v>1123321967</v>
      </c>
      <c r="H8478" t="s">
        <v>292</v>
      </c>
      <c r="I8478">
        <v>44</v>
      </c>
      <c r="J8478">
        <v>0</v>
      </c>
      <c r="K8478" s="1">
        <v>2439161</v>
      </c>
    </row>
    <row r="8479" spans="1:11" x14ac:dyDescent="0.25">
      <c r="A8479" t="s">
        <v>9</v>
      </c>
      <c r="B8479" t="s">
        <v>290</v>
      </c>
      <c r="C8479" t="s">
        <v>874</v>
      </c>
      <c r="D8479" t="s">
        <v>11</v>
      </c>
      <c r="E8479">
        <v>29</v>
      </c>
      <c r="F8479" s="2">
        <f>DATE(2026,IF(Tabla1[[#This Row],[Mes de Fecha]]="Septiembre",9,10),Tabla1[[#This Row],[Día de Fecha]])</f>
        <v>46294</v>
      </c>
      <c r="I8479">
        <v>0</v>
      </c>
      <c r="J8479" s="1">
        <v>2541169</v>
      </c>
      <c r="K8479">
        <v>0</v>
      </c>
    </row>
    <row r="8480" spans="1:11" x14ac:dyDescent="0.25">
      <c r="A8480" t="s">
        <v>9</v>
      </c>
      <c r="B8480" t="s">
        <v>290</v>
      </c>
      <c r="C8480" t="s">
        <v>874</v>
      </c>
      <c r="D8480" t="s">
        <v>11</v>
      </c>
      <c r="E8480">
        <v>29</v>
      </c>
      <c r="F8480" s="2">
        <f>DATE(2026,IF(Tabla1[[#This Row],[Mes de Fecha]]="Septiembre",9,10),Tabla1[[#This Row],[Día de Fecha]])</f>
        <v>46294</v>
      </c>
      <c r="G8480">
        <v>1122342386</v>
      </c>
      <c r="H8480" t="s">
        <v>291</v>
      </c>
      <c r="I8480">
        <v>53</v>
      </c>
      <c r="J8480">
        <v>0</v>
      </c>
      <c r="K8480" s="1">
        <v>2798028</v>
      </c>
    </row>
    <row r="8481" spans="1:11" x14ac:dyDescent="0.25">
      <c r="A8481" t="s">
        <v>9</v>
      </c>
      <c r="B8481" t="s">
        <v>290</v>
      </c>
      <c r="C8481" t="s">
        <v>874</v>
      </c>
      <c r="D8481" t="s">
        <v>11</v>
      </c>
      <c r="E8481">
        <v>30</v>
      </c>
      <c r="F8481" s="2">
        <f>DATE(2026,IF(Tabla1[[#This Row],[Mes de Fecha]]="Septiembre",9,10),Tabla1[[#This Row],[Día de Fecha]])</f>
        <v>46295</v>
      </c>
      <c r="I8481">
        <v>0</v>
      </c>
      <c r="J8481" s="1">
        <v>2691176</v>
      </c>
      <c r="K8481">
        <v>0</v>
      </c>
    </row>
    <row r="8482" spans="1:11" x14ac:dyDescent="0.25">
      <c r="A8482" t="s">
        <v>9</v>
      </c>
      <c r="B8482" t="s">
        <v>290</v>
      </c>
      <c r="C8482" t="s">
        <v>874</v>
      </c>
      <c r="D8482" t="s">
        <v>11</v>
      </c>
      <c r="E8482">
        <v>30</v>
      </c>
      <c r="F8482" s="2">
        <f>DATE(2026,IF(Tabla1[[#This Row],[Mes de Fecha]]="Septiembre",9,10),Tabla1[[#This Row],[Día de Fecha]])</f>
        <v>46295</v>
      </c>
      <c r="G8482">
        <v>1122342386</v>
      </c>
      <c r="H8482" t="s">
        <v>291</v>
      </c>
      <c r="I8482">
        <v>24</v>
      </c>
      <c r="J8482">
        <v>0</v>
      </c>
      <c r="K8482" s="1">
        <v>1206891</v>
      </c>
    </row>
    <row r="8483" spans="1:11" x14ac:dyDescent="0.25">
      <c r="A8483" t="s">
        <v>9</v>
      </c>
      <c r="B8483" t="s">
        <v>290</v>
      </c>
      <c r="C8483" t="s">
        <v>874</v>
      </c>
      <c r="D8483" t="s">
        <v>11</v>
      </c>
      <c r="E8483">
        <v>30</v>
      </c>
      <c r="F8483" s="2">
        <f>DATE(2026,IF(Tabla1[[#This Row],[Mes de Fecha]]="Septiembre",9,10),Tabla1[[#This Row],[Día de Fecha]])</f>
        <v>46295</v>
      </c>
      <c r="G8483">
        <v>1123321967</v>
      </c>
      <c r="H8483" t="s">
        <v>292</v>
      </c>
      <c r="I8483">
        <v>31</v>
      </c>
      <c r="J8483">
        <v>0</v>
      </c>
      <c r="K8483" s="1">
        <v>1603700</v>
      </c>
    </row>
    <row r="8484" spans="1:11" x14ac:dyDescent="0.25">
      <c r="A8484" t="s">
        <v>9</v>
      </c>
      <c r="B8484" t="s">
        <v>290</v>
      </c>
      <c r="C8484" t="s">
        <v>874</v>
      </c>
      <c r="D8484" t="s">
        <v>14</v>
      </c>
      <c r="E8484">
        <v>1</v>
      </c>
      <c r="F8484" s="2">
        <f>DATE(2026,IF(Tabla1[[#This Row],[Mes de Fecha]]="Septiembre",9,10),Tabla1[[#This Row],[Día de Fecha]])</f>
        <v>46296</v>
      </c>
      <c r="I8484">
        <v>0</v>
      </c>
      <c r="J8484" s="1">
        <v>3709433</v>
      </c>
      <c r="K8484">
        <v>0</v>
      </c>
    </row>
    <row r="8485" spans="1:11" x14ac:dyDescent="0.25">
      <c r="A8485" t="s">
        <v>9</v>
      </c>
      <c r="B8485" t="s">
        <v>290</v>
      </c>
      <c r="C8485" t="s">
        <v>874</v>
      </c>
      <c r="D8485" t="s">
        <v>14</v>
      </c>
      <c r="E8485">
        <v>1</v>
      </c>
      <c r="F8485" s="2">
        <f>DATE(2026,IF(Tabla1[[#This Row],[Mes de Fecha]]="Septiembre",9,10),Tabla1[[#This Row],[Día de Fecha]])</f>
        <v>46296</v>
      </c>
      <c r="G8485">
        <v>1122342386</v>
      </c>
      <c r="H8485" t="s">
        <v>291</v>
      </c>
      <c r="I8485">
        <v>51</v>
      </c>
      <c r="J8485">
        <v>0</v>
      </c>
      <c r="K8485" s="1">
        <v>2800254</v>
      </c>
    </row>
    <row r="8486" spans="1:11" x14ac:dyDescent="0.25">
      <c r="A8486" t="s">
        <v>9</v>
      </c>
      <c r="B8486" t="s">
        <v>290</v>
      </c>
      <c r="C8486" t="s">
        <v>874</v>
      </c>
      <c r="D8486" t="s">
        <v>14</v>
      </c>
      <c r="E8486">
        <v>1</v>
      </c>
      <c r="F8486" s="2">
        <f>DATE(2026,IF(Tabla1[[#This Row],[Mes de Fecha]]="Septiembre",9,10),Tabla1[[#This Row],[Día de Fecha]])</f>
        <v>46296</v>
      </c>
      <c r="G8486">
        <v>1123321967</v>
      </c>
      <c r="H8486" t="s">
        <v>292</v>
      </c>
      <c r="I8486">
        <v>18</v>
      </c>
      <c r="J8486">
        <v>0</v>
      </c>
      <c r="K8486" s="1">
        <v>818532</v>
      </c>
    </row>
    <row r="8487" spans="1:11" x14ac:dyDescent="0.25">
      <c r="A8487" t="s">
        <v>9</v>
      </c>
      <c r="B8487" t="s">
        <v>290</v>
      </c>
      <c r="C8487" t="s">
        <v>874</v>
      </c>
      <c r="D8487" t="s">
        <v>14</v>
      </c>
      <c r="E8487">
        <v>2</v>
      </c>
      <c r="F8487" s="2">
        <f>DATE(2026,IF(Tabla1[[#This Row],[Mes de Fecha]]="Septiembre",9,10),Tabla1[[#This Row],[Día de Fecha]])</f>
        <v>46297</v>
      </c>
      <c r="I8487">
        <v>0</v>
      </c>
      <c r="J8487" s="1">
        <v>4195070</v>
      </c>
      <c r="K8487">
        <v>0</v>
      </c>
    </row>
    <row r="8488" spans="1:11" x14ac:dyDescent="0.25">
      <c r="A8488" t="s">
        <v>9</v>
      </c>
      <c r="B8488" t="s">
        <v>290</v>
      </c>
      <c r="C8488" t="s">
        <v>874</v>
      </c>
      <c r="D8488" t="s">
        <v>14</v>
      </c>
      <c r="E8488">
        <v>2</v>
      </c>
      <c r="F8488" s="2">
        <f>DATE(2026,IF(Tabla1[[#This Row],[Mes de Fecha]]="Septiembre",9,10),Tabla1[[#This Row],[Día de Fecha]])</f>
        <v>46297</v>
      </c>
      <c r="G8488">
        <v>1122342386</v>
      </c>
      <c r="H8488" t="s">
        <v>291</v>
      </c>
      <c r="I8488">
        <v>49</v>
      </c>
      <c r="J8488">
        <v>0</v>
      </c>
      <c r="K8488" s="1">
        <v>2808572</v>
      </c>
    </row>
    <row r="8489" spans="1:11" x14ac:dyDescent="0.25">
      <c r="A8489" t="s">
        <v>9</v>
      </c>
      <c r="B8489" t="s">
        <v>290</v>
      </c>
      <c r="C8489" t="s">
        <v>874</v>
      </c>
      <c r="D8489" t="s">
        <v>14</v>
      </c>
      <c r="E8489">
        <v>2</v>
      </c>
      <c r="F8489" s="2">
        <f>DATE(2026,IF(Tabla1[[#This Row],[Mes de Fecha]]="Septiembre",9,10),Tabla1[[#This Row],[Día de Fecha]])</f>
        <v>46297</v>
      </c>
      <c r="G8489">
        <v>1123321967</v>
      </c>
      <c r="H8489" t="s">
        <v>292</v>
      </c>
      <c r="I8489">
        <v>48</v>
      </c>
      <c r="J8489">
        <v>0</v>
      </c>
      <c r="K8489" s="1">
        <v>2586010</v>
      </c>
    </row>
    <row r="8490" spans="1:11" x14ac:dyDescent="0.25">
      <c r="A8490" t="s">
        <v>9</v>
      </c>
      <c r="B8490" t="s">
        <v>290</v>
      </c>
      <c r="C8490" t="s">
        <v>874</v>
      </c>
      <c r="D8490" t="s">
        <v>14</v>
      </c>
      <c r="E8490">
        <v>3</v>
      </c>
      <c r="F8490" s="2">
        <f>DATE(2026,IF(Tabla1[[#This Row],[Mes de Fecha]]="Septiembre",9,10),Tabla1[[#This Row],[Día de Fecha]])</f>
        <v>46298</v>
      </c>
      <c r="I8490">
        <v>0</v>
      </c>
      <c r="J8490" s="1">
        <v>4179234</v>
      </c>
      <c r="K8490">
        <v>0</v>
      </c>
    </row>
    <row r="8491" spans="1:11" x14ac:dyDescent="0.25">
      <c r="A8491" t="s">
        <v>9</v>
      </c>
      <c r="B8491" t="s">
        <v>290</v>
      </c>
      <c r="C8491" t="s">
        <v>874</v>
      </c>
      <c r="D8491" t="s">
        <v>14</v>
      </c>
      <c r="E8491">
        <v>3</v>
      </c>
      <c r="F8491" s="2">
        <f>DATE(2026,IF(Tabla1[[#This Row],[Mes de Fecha]]="Septiembre",9,10),Tabla1[[#This Row],[Día de Fecha]])</f>
        <v>46298</v>
      </c>
      <c r="G8491">
        <v>1122342386</v>
      </c>
      <c r="H8491" t="s">
        <v>291</v>
      </c>
      <c r="I8491">
        <v>59</v>
      </c>
      <c r="J8491">
        <v>0</v>
      </c>
      <c r="K8491" s="1">
        <v>2891661</v>
      </c>
    </row>
    <row r="8492" spans="1:11" x14ac:dyDescent="0.25">
      <c r="A8492" t="s">
        <v>9</v>
      </c>
      <c r="B8492" t="s">
        <v>290</v>
      </c>
      <c r="C8492" t="s">
        <v>874</v>
      </c>
      <c r="D8492" t="s">
        <v>14</v>
      </c>
      <c r="E8492">
        <v>3</v>
      </c>
      <c r="F8492" s="2">
        <f>DATE(2026,IF(Tabla1[[#This Row],[Mes de Fecha]]="Septiembre",9,10),Tabla1[[#This Row],[Día de Fecha]])</f>
        <v>46298</v>
      </c>
      <c r="G8492">
        <v>1123321967</v>
      </c>
      <c r="H8492" t="s">
        <v>292</v>
      </c>
      <c r="I8492">
        <v>36</v>
      </c>
      <c r="J8492">
        <v>0</v>
      </c>
      <c r="K8492" s="1">
        <v>1813768</v>
      </c>
    </row>
    <row r="8493" spans="1:11" x14ac:dyDescent="0.25">
      <c r="A8493" t="s">
        <v>9</v>
      </c>
      <c r="B8493" t="s">
        <v>290</v>
      </c>
      <c r="C8493" t="s">
        <v>874</v>
      </c>
      <c r="D8493" t="s">
        <v>14</v>
      </c>
      <c r="E8493">
        <v>4</v>
      </c>
      <c r="F8493" s="2">
        <f>DATE(2026,IF(Tabla1[[#This Row],[Mes de Fecha]]="Septiembre",9,10),Tabla1[[#This Row],[Día de Fecha]])</f>
        <v>46299</v>
      </c>
      <c r="I8493">
        <v>0</v>
      </c>
      <c r="J8493" s="1">
        <v>1355335</v>
      </c>
      <c r="K8493">
        <v>0</v>
      </c>
    </row>
    <row r="8494" spans="1:11" x14ac:dyDescent="0.25">
      <c r="A8494" t="s">
        <v>9</v>
      </c>
      <c r="B8494" t="s">
        <v>290</v>
      </c>
      <c r="C8494" t="s">
        <v>874</v>
      </c>
      <c r="D8494" t="s">
        <v>14</v>
      </c>
      <c r="E8494">
        <v>4</v>
      </c>
      <c r="F8494" s="2">
        <f>DATE(2026,IF(Tabla1[[#This Row],[Mes de Fecha]]="Septiembre",9,10),Tabla1[[#This Row],[Día de Fecha]])</f>
        <v>46299</v>
      </c>
      <c r="G8494">
        <v>1122342386</v>
      </c>
      <c r="H8494" t="s">
        <v>291</v>
      </c>
      <c r="I8494">
        <v>38</v>
      </c>
      <c r="J8494">
        <v>0</v>
      </c>
      <c r="K8494" s="1">
        <v>1905968</v>
      </c>
    </row>
    <row r="8495" spans="1:11" x14ac:dyDescent="0.25">
      <c r="A8495" t="s">
        <v>9</v>
      </c>
      <c r="B8495" t="s">
        <v>290</v>
      </c>
      <c r="C8495" t="s">
        <v>874</v>
      </c>
      <c r="D8495" t="s">
        <v>14</v>
      </c>
      <c r="E8495">
        <v>4</v>
      </c>
      <c r="F8495" s="2">
        <f>DATE(2026,IF(Tabla1[[#This Row],[Mes de Fecha]]="Septiembre",9,10),Tabla1[[#This Row],[Día de Fecha]])</f>
        <v>46299</v>
      </c>
      <c r="G8495">
        <v>1123321967</v>
      </c>
      <c r="H8495" t="s">
        <v>292</v>
      </c>
      <c r="I8495">
        <v>27</v>
      </c>
      <c r="J8495">
        <v>0</v>
      </c>
      <c r="K8495" s="1">
        <v>1510623</v>
      </c>
    </row>
    <row r="8496" spans="1:11" x14ac:dyDescent="0.25">
      <c r="A8496" t="s">
        <v>9</v>
      </c>
      <c r="B8496" t="s">
        <v>290</v>
      </c>
      <c r="C8496" t="s">
        <v>874</v>
      </c>
      <c r="D8496" t="s">
        <v>14</v>
      </c>
      <c r="E8496">
        <v>5</v>
      </c>
      <c r="F8496" s="2">
        <f>DATE(2026,IF(Tabla1[[#This Row],[Mes de Fecha]]="Septiembre",9,10),Tabla1[[#This Row],[Día de Fecha]])</f>
        <v>46300</v>
      </c>
      <c r="I8496">
        <v>0</v>
      </c>
      <c r="J8496" s="1">
        <v>3346607</v>
      </c>
      <c r="K8496">
        <v>0</v>
      </c>
    </row>
    <row r="8497" spans="1:11" x14ac:dyDescent="0.25">
      <c r="A8497" t="s">
        <v>9</v>
      </c>
      <c r="B8497" t="s">
        <v>290</v>
      </c>
      <c r="C8497" t="s">
        <v>874</v>
      </c>
      <c r="D8497" t="s">
        <v>14</v>
      </c>
      <c r="E8497">
        <v>5</v>
      </c>
      <c r="F8497" s="2">
        <f>DATE(2026,IF(Tabla1[[#This Row],[Mes de Fecha]]="Septiembre",9,10),Tabla1[[#This Row],[Día de Fecha]])</f>
        <v>46300</v>
      </c>
      <c r="G8497">
        <v>1122342386</v>
      </c>
      <c r="H8497" t="s">
        <v>291</v>
      </c>
      <c r="I8497">
        <v>24</v>
      </c>
      <c r="J8497">
        <v>0</v>
      </c>
      <c r="K8497" s="1">
        <v>1018104</v>
      </c>
    </row>
    <row r="8498" spans="1:11" x14ac:dyDescent="0.25">
      <c r="A8498" t="s">
        <v>9</v>
      </c>
      <c r="B8498" t="s">
        <v>290</v>
      </c>
      <c r="C8498" t="s">
        <v>874</v>
      </c>
      <c r="D8498" t="s">
        <v>14</v>
      </c>
      <c r="E8498">
        <v>5</v>
      </c>
      <c r="F8498" s="2">
        <f>DATE(2026,IF(Tabla1[[#This Row],[Mes de Fecha]]="Septiembre",9,10),Tabla1[[#This Row],[Día de Fecha]])</f>
        <v>46300</v>
      </c>
      <c r="G8498">
        <v>1123321967</v>
      </c>
      <c r="H8498" t="s">
        <v>292</v>
      </c>
      <c r="I8498">
        <v>34</v>
      </c>
      <c r="J8498">
        <v>0</v>
      </c>
      <c r="K8498" s="1">
        <v>1763069</v>
      </c>
    </row>
    <row r="8499" spans="1:11" x14ac:dyDescent="0.25">
      <c r="A8499" t="s">
        <v>9</v>
      </c>
      <c r="B8499" t="s">
        <v>290</v>
      </c>
      <c r="C8499" t="s">
        <v>874</v>
      </c>
      <c r="D8499" t="s">
        <v>14</v>
      </c>
      <c r="E8499">
        <v>6</v>
      </c>
      <c r="F8499" s="2">
        <f>DATE(2026,IF(Tabla1[[#This Row],[Mes de Fecha]]="Septiembre",9,10),Tabla1[[#This Row],[Día de Fecha]])</f>
        <v>46301</v>
      </c>
      <c r="I8499">
        <v>0</v>
      </c>
      <c r="J8499" s="1">
        <v>1297330</v>
      </c>
      <c r="K8499">
        <v>0</v>
      </c>
    </row>
    <row r="8500" spans="1:11" x14ac:dyDescent="0.25">
      <c r="A8500" t="s">
        <v>9</v>
      </c>
      <c r="B8500" t="s">
        <v>290</v>
      </c>
      <c r="C8500" t="s">
        <v>874</v>
      </c>
      <c r="D8500" t="s">
        <v>14</v>
      </c>
      <c r="E8500">
        <v>6</v>
      </c>
      <c r="F8500" s="2">
        <f>DATE(2026,IF(Tabla1[[#This Row],[Mes de Fecha]]="Septiembre",9,10),Tabla1[[#This Row],[Día de Fecha]])</f>
        <v>46301</v>
      </c>
      <c r="G8500">
        <v>1122342386</v>
      </c>
      <c r="H8500" t="s">
        <v>291</v>
      </c>
      <c r="I8500">
        <v>41</v>
      </c>
      <c r="J8500">
        <v>0</v>
      </c>
      <c r="K8500" s="1">
        <v>2241725</v>
      </c>
    </row>
    <row r="8501" spans="1:11" x14ac:dyDescent="0.25">
      <c r="A8501" t="s">
        <v>9</v>
      </c>
      <c r="B8501" t="s">
        <v>290</v>
      </c>
      <c r="C8501" t="s">
        <v>874</v>
      </c>
      <c r="D8501" t="s">
        <v>14</v>
      </c>
      <c r="E8501">
        <v>6</v>
      </c>
      <c r="F8501" s="2">
        <f>DATE(2026,IF(Tabla1[[#This Row],[Mes de Fecha]]="Septiembre",9,10),Tabla1[[#This Row],[Día de Fecha]])</f>
        <v>46301</v>
      </c>
      <c r="G8501">
        <v>1123321967</v>
      </c>
      <c r="H8501" t="s">
        <v>292</v>
      </c>
      <c r="I8501">
        <v>-4</v>
      </c>
      <c r="J8501">
        <v>0</v>
      </c>
      <c r="K8501" s="1">
        <v>-177950</v>
      </c>
    </row>
    <row r="8502" spans="1:11" x14ac:dyDescent="0.25">
      <c r="A8502" t="s">
        <v>9</v>
      </c>
      <c r="B8502" t="s">
        <v>290</v>
      </c>
      <c r="C8502" t="s">
        <v>874</v>
      </c>
      <c r="D8502" t="s">
        <v>14</v>
      </c>
      <c r="E8502">
        <v>7</v>
      </c>
      <c r="F8502" s="2">
        <f>DATE(2026,IF(Tabla1[[#This Row],[Mes de Fecha]]="Septiembre",9,10),Tabla1[[#This Row],[Día de Fecha]])</f>
        <v>46302</v>
      </c>
      <c r="I8502">
        <v>0</v>
      </c>
      <c r="J8502" s="1">
        <v>776754</v>
      </c>
      <c r="K8502">
        <v>0</v>
      </c>
    </row>
    <row r="8503" spans="1:11" x14ac:dyDescent="0.25">
      <c r="A8503" t="s">
        <v>9</v>
      </c>
      <c r="B8503" t="s">
        <v>290</v>
      </c>
      <c r="C8503" t="s">
        <v>874</v>
      </c>
      <c r="D8503" t="s">
        <v>14</v>
      </c>
      <c r="E8503">
        <v>7</v>
      </c>
      <c r="F8503" s="2">
        <f>DATE(2026,IF(Tabla1[[#This Row],[Mes de Fecha]]="Septiembre",9,10),Tabla1[[#This Row],[Día de Fecha]])</f>
        <v>46302</v>
      </c>
      <c r="G8503">
        <v>1123321967</v>
      </c>
      <c r="H8503" t="s">
        <v>292</v>
      </c>
      <c r="I8503">
        <v>22</v>
      </c>
      <c r="J8503">
        <v>0</v>
      </c>
      <c r="K8503" s="1">
        <v>1267858</v>
      </c>
    </row>
    <row r="8504" spans="1:11" x14ac:dyDescent="0.25">
      <c r="A8504" t="s">
        <v>9</v>
      </c>
      <c r="B8504" t="s">
        <v>17</v>
      </c>
      <c r="C8504" t="s">
        <v>874</v>
      </c>
      <c r="D8504" t="s">
        <v>11</v>
      </c>
      <c r="E8504">
        <v>23</v>
      </c>
      <c r="F8504" s="2">
        <f>DATE(2026,IF(Tabla1[[#This Row],[Mes de Fecha]]="Septiembre",9,10),Tabla1[[#This Row],[Día de Fecha]])</f>
        <v>46288</v>
      </c>
      <c r="I8504">
        <v>0</v>
      </c>
      <c r="J8504" s="1">
        <v>2549111</v>
      </c>
      <c r="K8504">
        <v>0</v>
      </c>
    </row>
    <row r="8505" spans="1:11" x14ac:dyDescent="0.25">
      <c r="A8505" t="s">
        <v>9</v>
      </c>
      <c r="B8505" t="s">
        <v>17</v>
      </c>
      <c r="C8505" t="s">
        <v>874</v>
      </c>
      <c r="D8505" t="s">
        <v>11</v>
      </c>
      <c r="E8505">
        <v>23</v>
      </c>
      <c r="F8505" s="2">
        <f>DATE(2026,IF(Tabla1[[#This Row],[Mes de Fecha]]="Septiembre",9,10),Tabla1[[#This Row],[Día de Fecha]])</f>
        <v>46288</v>
      </c>
      <c r="G8505">
        <v>1089479144</v>
      </c>
      <c r="H8505" t="s">
        <v>18</v>
      </c>
      <c r="I8505">
        <v>57</v>
      </c>
      <c r="J8505">
        <v>0</v>
      </c>
      <c r="K8505" s="1">
        <v>2711850</v>
      </c>
    </row>
    <row r="8506" spans="1:11" x14ac:dyDescent="0.25">
      <c r="A8506" t="s">
        <v>9</v>
      </c>
      <c r="B8506" t="s">
        <v>17</v>
      </c>
      <c r="C8506" t="s">
        <v>874</v>
      </c>
      <c r="D8506" t="s">
        <v>11</v>
      </c>
      <c r="E8506">
        <v>23</v>
      </c>
      <c r="F8506" s="2">
        <f>DATE(2026,IF(Tabla1[[#This Row],[Mes de Fecha]]="Septiembre",9,10),Tabla1[[#This Row],[Día de Fecha]])</f>
        <v>46288</v>
      </c>
      <c r="G8506">
        <v>1114837522</v>
      </c>
      <c r="H8506" t="s">
        <v>19</v>
      </c>
      <c r="I8506">
        <v>45</v>
      </c>
      <c r="J8506">
        <v>0</v>
      </c>
      <c r="K8506" s="1">
        <v>2767061</v>
      </c>
    </row>
    <row r="8507" spans="1:11" x14ac:dyDescent="0.25">
      <c r="A8507" t="s">
        <v>9</v>
      </c>
      <c r="B8507" t="s">
        <v>17</v>
      </c>
      <c r="C8507" t="s">
        <v>874</v>
      </c>
      <c r="D8507" t="s">
        <v>11</v>
      </c>
      <c r="E8507">
        <v>24</v>
      </c>
      <c r="F8507" s="2">
        <f>DATE(2026,IF(Tabla1[[#This Row],[Mes de Fecha]]="Septiembre",9,10),Tabla1[[#This Row],[Día de Fecha]])</f>
        <v>46289</v>
      </c>
      <c r="I8507">
        <v>0</v>
      </c>
      <c r="J8507" s="1">
        <v>6592494</v>
      </c>
      <c r="K8507">
        <v>0</v>
      </c>
    </row>
    <row r="8508" spans="1:11" x14ac:dyDescent="0.25">
      <c r="A8508" t="s">
        <v>9</v>
      </c>
      <c r="B8508" t="s">
        <v>17</v>
      </c>
      <c r="C8508" t="s">
        <v>874</v>
      </c>
      <c r="D8508" t="s">
        <v>11</v>
      </c>
      <c r="E8508">
        <v>24</v>
      </c>
      <c r="F8508" s="2">
        <f>DATE(2026,IF(Tabla1[[#This Row],[Mes de Fecha]]="Septiembre",9,10),Tabla1[[#This Row],[Día de Fecha]])</f>
        <v>46289</v>
      </c>
      <c r="G8508">
        <v>1089479144</v>
      </c>
      <c r="H8508" t="s">
        <v>18</v>
      </c>
      <c r="I8508">
        <v>54</v>
      </c>
      <c r="J8508">
        <v>0</v>
      </c>
      <c r="K8508" s="1">
        <v>3006136</v>
      </c>
    </row>
    <row r="8509" spans="1:11" x14ac:dyDescent="0.25">
      <c r="A8509" t="s">
        <v>9</v>
      </c>
      <c r="B8509" t="s">
        <v>17</v>
      </c>
      <c r="C8509" t="s">
        <v>874</v>
      </c>
      <c r="D8509" t="s">
        <v>11</v>
      </c>
      <c r="E8509">
        <v>24</v>
      </c>
      <c r="F8509" s="2">
        <f>DATE(2026,IF(Tabla1[[#This Row],[Mes de Fecha]]="Septiembre",9,10),Tabla1[[#This Row],[Día de Fecha]])</f>
        <v>46289</v>
      </c>
      <c r="G8509">
        <v>1114837522</v>
      </c>
      <c r="H8509" t="s">
        <v>19</v>
      </c>
      <c r="I8509">
        <v>57</v>
      </c>
      <c r="J8509">
        <v>0</v>
      </c>
      <c r="K8509" s="1">
        <v>2869457</v>
      </c>
    </row>
    <row r="8510" spans="1:11" x14ac:dyDescent="0.25">
      <c r="A8510" t="s">
        <v>9</v>
      </c>
      <c r="B8510" t="s">
        <v>17</v>
      </c>
      <c r="C8510" t="s">
        <v>874</v>
      </c>
      <c r="D8510" t="s">
        <v>11</v>
      </c>
      <c r="E8510">
        <v>25</v>
      </c>
      <c r="F8510" s="2">
        <f>DATE(2026,IF(Tabla1[[#This Row],[Mes de Fecha]]="Septiembre",9,10),Tabla1[[#This Row],[Día de Fecha]])</f>
        <v>46290</v>
      </c>
      <c r="I8510">
        <v>0</v>
      </c>
      <c r="J8510" s="1">
        <v>7041142</v>
      </c>
      <c r="K8510">
        <v>0</v>
      </c>
    </row>
    <row r="8511" spans="1:11" x14ac:dyDescent="0.25">
      <c r="A8511" t="s">
        <v>9</v>
      </c>
      <c r="B8511" t="s">
        <v>17</v>
      </c>
      <c r="C8511" t="s">
        <v>874</v>
      </c>
      <c r="D8511" t="s">
        <v>11</v>
      </c>
      <c r="E8511">
        <v>25</v>
      </c>
      <c r="F8511" s="2">
        <f>DATE(2026,IF(Tabla1[[#This Row],[Mes de Fecha]]="Septiembre",9,10),Tabla1[[#This Row],[Día de Fecha]])</f>
        <v>46290</v>
      </c>
      <c r="G8511">
        <v>1089479144</v>
      </c>
      <c r="H8511" t="s">
        <v>18</v>
      </c>
      <c r="I8511">
        <v>69</v>
      </c>
      <c r="J8511">
        <v>0</v>
      </c>
      <c r="K8511" s="1">
        <v>3858447</v>
      </c>
    </row>
    <row r="8512" spans="1:11" x14ac:dyDescent="0.25">
      <c r="A8512" t="s">
        <v>9</v>
      </c>
      <c r="B8512" t="s">
        <v>17</v>
      </c>
      <c r="C8512" t="s">
        <v>874</v>
      </c>
      <c r="D8512" t="s">
        <v>11</v>
      </c>
      <c r="E8512">
        <v>25</v>
      </c>
      <c r="F8512" s="2">
        <f>DATE(2026,IF(Tabla1[[#This Row],[Mes de Fecha]]="Septiembre",9,10),Tabla1[[#This Row],[Día de Fecha]])</f>
        <v>46290</v>
      </c>
      <c r="G8512">
        <v>1114837522</v>
      </c>
      <c r="H8512" t="s">
        <v>19</v>
      </c>
      <c r="I8512">
        <v>74</v>
      </c>
      <c r="J8512">
        <v>0</v>
      </c>
      <c r="K8512" s="1">
        <v>3767903</v>
      </c>
    </row>
    <row r="8513" spans="1:11" x14ac:dyDescent="0.25">
      <c r="A8513" t="s">
        <v>9</v>
      </c>
      <c r="B8513" t="s">
        <v>17</v>
      </c>
      <c r="C8513" t="s">
        <v>874</v>
      </c>
      <c r="D8513" t="s">
        <v>11</v>
      </c>
      <c r="E8513">
        <v>26</v>
      </c>
      <c r="F8513" s="2">
        <f>DATE(2026,IF(Tabla1[[#This Row],[Mes de Fecha]]="Septiembre",9,10),Tabla1[[#This Row],[Día de Fecha]])</f>
        <v>46291</v>
      </c>
      <c r="I8513">
        <v>0</v>
      </c>
      <c r="J8513" s="1">
        <v>8878709</v>
      </c>
      <c r="K8513">
        <v>0</v>
      </c>
    </row>
    <row r="8514" spans="1:11" x14ac:dyDescent="0.25">
      <c r="A8514" t="s">
        <v>9</v>
      </c>
      <c r="B8514" t="s">
        <v>17</v>
      </c>
      <c r="C8514" t="s">
        <v>874</v>
      </c>
      <c r="D8514" t="s">
        <v>11</v>
      </c>
      <c r="E8514">
        <v>26</v>
      </c>
      <c r="F8514" s="2">
        <f>DATE(2026,IF(Tabla1[[#This Row],[Mes de Fecha]]="Septiembre",9,10),Tabla1[[#This Row],[Día de Fecha]])</f>
        <v>46291</v>
      </c>
      <c r="G8514">
        <v>1089479144</v>
      </c>
      <c r="H8514" t="s">
        <v>18</v>
      </c>
      <c r="I8514">
        <v>134</v>
      </c>
      <c r="J8514">
        <v>0</v>
      </c>
      <c r="K8514" s="1">
        <v>6495089</v>
      </c>
    </row>
    <row r="8515" spans="1:11" x14ac:dyDescent="0.25">
      <c r="A8515" t="s">
        <v>9</v>
      </c>
      <c r="B8515" t="s">
        <v>17</v>
      </c>
      <c r="C8515" t="s">
        <v>874</v>
      </c>
      <c r="D8515" t="s">
        <v>11</v>
      </c>
      <c r="E8515">
        <v>26</v>
      </c>
      <c r="F8515" s="2">
        <f>DATE(2026,IF(Tabla1[[#This Row],[Mes de Fecha]]="Septiembre",9,10),Tabla1[[#This Row],[Día de Fecha]])</f>
        <v>46291</v>
      </c>
      <c r="G8515">
        <v>1114837522</v>
      </c>
      <c r="H8515" t="s">
        <v>19</v>
      </c>
      <c r="I8515">
        <v>112</v>
      </c>
      <c r="J8515">
        <v>0</v>
      </c>
      <c r="K8515" s="1">
        <v>6312111</v>
      </c>
    </row>
    <row r="8516" spans="1:11" x14ac:dyDescent="0.25">
      <c r="A8516" t="s">
        <v>9</v>
      </c>
      <c r="B8516" t="s">
        <v>17</v>
      </c>
      <c r="C8516" t="s">
        <v>874</v>
      </c>
      <c r="D8516" t="s">
        <v>11</v>
      </c>
      <c r="E8516">
        <v>27</v>
      </c>
      <c r="F8516" s="2">
        <f>DATE(2026,IF(Tabla1[[#This Row],[Mes de Fecha]]="Septiembre",9,10),Tabla1[[#This Row],[Día de Fecha]])</f>
        <v>46292</v>
      </c>
      <c r="I8516">
        <v>0</v>
      </c>
      <c r="J8516" s="1">
        <v>4687875</v>
      </c>
      <c r="K8516">
        <v>0</v>
      </c>
    </row>
    <row r="8517" spans="1:11" x14ac:dyDescent="0.25">
      <c r="A8517" t="s">
        <v>9</v>
      </c>
      <c r="B8517" t="s">
        <v>17</v>
      </c>
      <c r="C8517" t="s">
        <v>874</v>
      </c>
      <c r="D8517" t="s">
        <v>11</v>
      </c>
      <c r="E8517">
        <v>27</v>
      </c>
      <c r="F8517" s="2">
        <f>DATE(2026,IF(Tabla1[[#This Row],[Mes de Fecha]]="Septiembre",9,10),Tabla1[[#This Row],[Día de Fecha]])</f>
        <v>46292</v>
      </c>
      <c r="G8517">
        <v>1114837522</v>
      </c>
      <c r="H8517" t="s">
        <v>19</v>
      </c>
      <c r="I8517">
        <v>76</v>
      </c>
      <c r="J8517">
        <v>0</v>
      </c>
      <c r="K8517" s="1">
        <v>3821434</v>
      </c>
    </row>
    <row r="8518" spans="1:11" x14ac:dyDescent="0.25">
      <c r="A8518" t="s">
        <v>9</v>
      </c>
      <c r="B8518" t="s">
        <v>17</v>
      </c>
      <c r="C8518" t="s">
        <v>874</v>
      </c>
      <c r="D8518" t="s">
        <v>11</v>
      </c>
      <c r="E8518">
        <v>28</v>
      </c>
      <c r="F8518" s="2">
        <f>DATE(2026,IF(Tabla1[[#This Row],[Mes de Fecha]]="Septiembre",9,10),Tabla1[[#This Row],[Día de Fecha]])</f>
        <v>46293</v>
      </c>
      <c r="I8518">
        <v>0</v>
      </c>
      <c r="J8518" s="1">
        <v>3843545</v>
      </c>
      <c r="K8518">
        <v>0</v>
      </c>
    </row>
    <row r="8519" spans="1:11" x14ac:dyDescent="0.25">
      <c r="A8519" t="s">
        <v>9</v>
      </c>
      <c r="B8519" t="s">
        <v>17</v>
      </c>
      <c r="C8519" t="s">
        <v>874</v>
      </c>
      <c r="D8519" t="s">
        <v>11</v>
      </c>
      <c r="E8519">
        <v>28</v>
      </c>
      <c r="F8519" s="2">
        <f>DATE(2026,IF(Tabla1[[#This Row],[Mes de Fecha]]="Septiembre",9,10),Tabla1[[#This Row],[Día de Fecha]])</f>
        <v>46293</v>
      </c>
      <c r="G8519">
        <v>1089479144</v>
      </c>
      <c r="H8519" t="s">
        <v>18</v>
      </c>
      <c r="I8519">
        <v>121</v>
      </c>
      <c r="J8519">
        <v>0</v>
      </c>
      <c r="K8519" s="1">
        <v>6592861</v>
      </c>
    </row>
    <row r="8520" spans="1:11" x14ac:dyDescent="0.25">
      <c r="A8520" t="s">
        <v>9</v>
      </c>
      <c r="B8520" t="s">
        <v>17</v>
      </c>
      <c r="C8520" t="s">
        <v>874</v>
      </c>
      <c r="D8520" t="s">
        <v>11</v>
      </c>
      <c r="E8520">
        <v>29</v>
      </c>
      <c r="F8520" s="2">
        <f>DATE(2026,IF(Tabla1[[#This Row],[Mes de Fecha]]="Septiembre",9,10),Tabla1[[#This Row],[Día de Fecha]])</f>
        <v>46294</v>
      </c>
      <c r="I8520">
        <v>0</v>
      </c>
      <c r="J8520" s="1">
        <v>4272885</v>
      </c>
      <c r="K8520">
        <v>0</v>
      </c>
    </row>
    <row r="8521" spans="1:11" x14ac:dyDescent="0.25">
      <c r="A8521" t="s">
        <v>9</v>
      </c>
      <c r="B8521" t="s">
        <v>17</v>
      </c>
      <c r="C8521" t="s">
        <v>874</v>
      </c>
      <c r="D8521" t="s">
        <v>11</v>
      </c>
      <c r="E8521">
        <v>29</v>
      </c>
      <c r="F8521" s="2">
        <f>DATE(2026,IF(Tabla1[[#This Row],[Mes de Fecha]]="Septiembre",9,10),Tabla1[[#This Row],[Día de Fecha]])</f>
        <v>46294</v>
      </c>
      <c r="G8521">
        <v>1089479144</v>
      </c>
      <c r="H8521" t="s">
        <v>18</v>
      </c>
      <c r="I8521">
        <v>38</v>
      </c>
      <c r="J8521">
        <v>0</v>
      </c>
      <c r="K8521" s="1">
        <v>1857565</v>
      </c>
    </row>
    <row r="8522" spans="1:11" x14ac:dyDescent="0.25">
      <c r="A8522" t="s">
        <v>9</v>
      </c>
      <c r="B8522" t="s">
        <v>17</v>
      </c>
      <c r="C8522" t="s">
        <v>874</v>
      </c>
      <c r="D8522" t="s">
        <v>11</v>
      </c>
      <c r="E8522">
        <v>29</v>
      </c>
      <c r="F8522" s="2">
        <f>DATE(2026,IF(Tabla1[[#This Row],[Mes de Fecha]]="Septiembre",9,10),Tabla1[[#This Row],[Día de Fecha]])</f>
        <v>46294</v>
      </c>
      <c r="G8522">
        <v>1114837522</v>
      </c>
      <c r="H8522" t="s">
        <v>19</v>
      </c>
      <c r="I8522">
        <v>32</v>
      </c>
      <c r="J8522">
        <v>0</v>
      </c>
      <c r="K8522" s="1">
        <v>1712775</v>
      </c>
    </row>
    <row r="8523" spans="1:11" x14ac:dyDescent="0.25">
      <c r="A8523" t="s">
        <v>9</v>
      </c>
      <c r="B8523" t="s">
        <v>17</v>
      </c>
      <c r="C8523" t="s">
        <v>874</v>
      </c>
      <c r="D8523" t="s">
        <v>11</v>
      </c>
      <c r="E8523">
        <v>30</v>
      </c>
      <c r="F8523" s="2">
        <f>DATE(2026,IF(Tabla1[[#This Row],[Mes de Fecha]]="Septiembre",9,10),Tabla1[[#This Row],[Día de Fecha]])</f>
        <v>46295</v>
      </c>
      <c r="I8523">
        <v>0</v>
      </c>
      <c r="J8523" s="1">
        <v>4525122</v>
      </c>
      <c r="K8523">
        <v>0</v>
      </c>
    </row>
    <row r="8524" spans="1:11" x14ac:dyDescent="0.25">
      <c r="A8524" t="s">
        <v>9</v>
      </c>
      <c r="B8524" t="s">
        <v>17</v>
      </c>
      <c r="C8524" t="s">
        <v>874</v>
      </c>
      <c r="D8524" t="s">
        <v>11</v>
      </c>
      <c r="E8524">
        <v>30</v>
      </c>
      <c r="F8524" s="2">
        <f>DATE(2026,IF(Tabla1[[#This Row],[Mes de Fecha]]="Septiembre",9,10),Tabla1[[#This Row],[Día de Fecha]])</f>
        <v>46295</v>
      </c>
      <c r="G8524">
        <v>1089479144</v>
      </c>
      <c r="H8524" t="s">
        <v>18</v>
      </c>
      <c r="I8524">
        <v>30</v>
      </c>
      <c r="J8524">
        <v>0</v>
      </c>
      <c r="K8524" s="1">
        <v>1801092</v>
      </c>
    </row>
    <row r="8525" spans="1:11" x14ac:dyDescent="0.25">
      <c r="A8525" t="s">
        <v>9</v>
      </c>
      <c r="B8525" t="s">
        <v>17</v>
      </c>
      <c r="C8525" t="s">
        <v>874</v>
      </c>
      <c r="D8525" t="s">
        <v>11</v>
      </c>
      <c r="E8525">
        <v>30</v>
      </c>
      <c r="F8525" s="2">
        <f>DATE(2026,IF(Tabla1[[#This Row],[Mes de Fecha]]="Septiembre",9,10),Tabla1[[#This Row],[Día de Fecha]])</f>
        <v>46295</v>
      </c>
      <c r="G8525">
        <v>1114837522</v>
      </c>
      <c r="H8525" t="s">
        <v>19</v>
      </c>
      <c r="I8525">
        <v>36</v>
      </c>
      <c r="J8525">
        <v>0</v>
      </c>
      <c r="K8525" s="1">
        <v>2006850</v>
      </c>
    </row>
    <row r="8526" spans="1:11" x14ac:dyDescent="0.25">
      <c r="A8526" t="s">
        <v>9</v>
      </c>
      <c r="B8526" t="s">
        <v>17</v>
      </c>
      <c r="C8526" t="s">
        <v>874</v>
      </c>
      <c r="D8526" t="s">
        <v>14</v>
      </c>
      <c r="E8526">
        <v>1</v>
      </c>
      <c r="F8526" s="2">
        <f>DATE(2026,IF(Tabla1[[#This Row],[Mes de Fecha]]="Septiembre",9,10),Tabla1[[#This Row],[Día de Fecha]])</f>
        <v>46296</v>
      </c>
      <c r="I8526">
        <v>0</v>
      </c>
      <c r="J8526" s="1">
        <v>4782047</v>
      </c>
      <c r="K8526">
        <v>0</v>
      </c>
    </row>
    <row r="8527" spans="1:11" x14ac:dyDescent="0.25">
      <c r="A8527" t="s">
        <v>9</v>
      </c>
      <c r="B8527" t="s">
        <v>17</v>
      </c>
      <c r="C8527" t="s">
        <v>874</v>
      </c>
      <c r="D8527" t="s">
        <v>14</v>
      </c>
      <c r="E8527">
        <v>1</v>
      </c>
      <c r="F8527" s="2">
        <f>DATE(2026,IF(Tabla1[[#This Row],[Mes de Fecha]]="Septiembre",9,10),Tabla1[[#This Row],[Día de Fecha]])</f>
        <v>46296</v>
      </c>
      <c r="G8527">
        <v>1089479144</v>
      </c>
      <c r="H8527" t="s">
        <v>18</v>
      </c>
      <c r="I8527">
        <v>41</v>
      </c>
      <c r="J8527">
        <v>0</v>
      </c>
      <c r="K8527" s="1">
        <v>2655631</v>
      </c>
    </row>
    <row r="8528" spans="1:11" x14ac:dyDescent="0.25">
      <c r="A8528" t="s">
        <v>9</v>
      </c>
      <c r="B8528" t="s">
        <v>17</v>
      </c>
      <c r="C8528" t="s">
        <v>874</v>
      </c>
      <c r="D8528" t="s">
        <v>14</v>
      </c>
      <c r="E8528">
        <v>1</v>
      </c>
      <c r="F8528" s="2">
        <f>DATE(2026,IF(Tabla1[[#This Row],[Mes de Fecha]]="Septiembre",9,10),Tabla1[[#This Row],[Día de Fecha]])</f>
        <v>46296</v>
      </c>
      <c r="G8528">
        <v>1114837522</v>
      </c>
      <c r="H8528" t="s">
        <v>19</v>
      </c>
      <c r="I8528">
        <v>49</v>
      </c>
      <c r="J8528">
        <v>0</v>
      </c>
      <c r="K8528" s="1">
        <v>2636473</v>
      </c>
    </row>
    <row r="8529" spans="1:11" x14ac:dyDescent="0.25">
      <c r="A8529" t="s">
        <v>9</v>
      </c>
      <c r="B8529" t="s">
        <v>17</v>
      </c>
      <c r="C8529" t="s">
        <v>874</v>
      </c>
      <c r="D8529" t="s">
        <v>14</v>
      </c>
      <c r="E8529">
        <v>2</v>
      </c>
      <c r="F8529" s="2">
        <f>DATE(2026,IF(Tabla1[[#This Row],[Mes de Fecha]]="Septiembre",9,10),Tabla1[[#This Row],[Día de Fecha]])</f>
        <v>46297</v>
      </c>
      <c r="I8529">
        <v>0</v>
      </c>
      <c r="J8529" s="1">
        <v>8367128</v>
      </c>
      <c r="K8529">
        <v>0</v>
      </c>
    </row>
    <row r="8530" spans="1:11" x14ac:dyDescent="0.25">
      <c r="A8530" t="s">
        <v>9</v>
      </c>
      <c r="B8530" t="s">
        <v>17</v>
      </c>
      <c r="C8530" t="s">
        <v>874</v>
      </c>
      <c r="D8530" t="s">
        <v>14</v>
      </c>
      <c r="E8530">
        <v>2</v>
      </c>
      <c r="F8530" s="2">
        <f>DATE(2026,IF(Tabla1[[#This Row],[Mes de Fecha]]="Septiembre",9,10),Tabla1[[#This Row],[Día de Fecha]])</f>
        <v>46297</v>
      </c>
      <c r="G8530">
        <v>1089479144</v>
      </c>
      <c r="H8530" t="s">
        <v>18</v>
      </c>
      <c r="I8530">
        <v>63</v>
      </c>
      <c r="J8530">
        <v>0</v>
      </c>
      <c r="K8530" s="1">
        <v>3736681</v>
      </c>
    </row>
    <row r="8531" spans="1:11" x14ac:dyDescent="0.25">
      <c r="A8531" t="s">
        <v>9</v>
      </c>
      <c r="B8531" t="s">
        <v>17</v>
      </c>
      <c r="C8531" t="s">
        <v>874</v>
      </c>
      <c r="D8531" t="s">
        <v>14</v>
      </c>
      <c r="E8531">
        <v>2</v>
      </c>
      <c r="F8531" s="2">
        <f>DATE(2026,IF(Tabla1[[#This Row],[Mes de Fecha]]="Septiembre",9,10),Tabla1[[#This Row],[Día de Fecha]])</f>
        <v>46297</v>
      </c>
      <c r="G8531">
        <v>1114837522</v>
      </c>
      <c r="H8531" t="s">
        <v>19</v>
      </c>
      <c r="I8531">
        <v>68</v>
      </c>
      <c r="J8531">
        <v>0</v>
      </c>
      <c r="K8531" s="1">
        <v>3750927</v>
      </c>
    </row>
    <row r="8532" spans="1:11" x14ac:dyDescent="0.25">
      <c r="A8532" t="s">
        <v>9</v>
      </c>
      <c r="B8532" t="s">
        <v>17</v>
      </c>
      <c r="C8532" t="s">
        <v>874</v>
      </c>
      <c r="D8532" t="s">
        <v>14</v>
      </c>
      <c r="E8532">
        <v>3</v>
      </c>
      <c r="F8532" s="2">
        <f>DATE(2026,IF(Tabla1[[#This Row],[Mes de Fecha]]="Septiembre",9,10),Tabla1[[#This Row],[Día de Fecha]])</f>
        <v>46298</v>
      </c>
      <c r="I8532">
        <v>0</v>
      </c>
      <c r="J8532" s="1">
        <v>9268740</v>
      </c>
      <c r="K8532">
        <v>0</v>
      </c>
    </row>
    <row r="8533" spans="1:11" x14ac:dyDescent="0.25">
      <c r="A8533" t="s">
        <v>9</v>
      </c>
      <c r="B8533" t="s">
        <v>17</v>
      </c>
      <c r="C8533" t="s">
        <v>874</v>
      </c>
      <c r="D8533" t="s">
        <v>14</v>
      </c>
      <c r="E8533">
        <v>3</v>
      </c>
      <c r="F8533" s="2">
        <f>DATE(2026,IF(Tabla1[[#This Row],[Mes de Fecha]]="Septiembre",9,10),Tabla1[[#This Row],[Día de Fecha]])</f>
        <v>46298</v>
      </c>
      <c r="G8533">
        <v>1089479144</v>
      </c>
      <c r="H8533" t="s">
        <v>18</v>
      </c>
      <c r="I8533">
        <v>97</v>
      </c>
      <c r="J8533">
        <v>0</v>
      </c>
      <c r="K8533" s="1">
        <v>5158748</v>
      </c>
    </row>
    <row r="8534" spans="1:11" x14ac:dyDescent="0.25">
      <c r="A8534" t="s">
        <v>9</v>
      </c>
      <c r="B8534" t="s">
        <v>17</v>
      </c>
      <c r="C8534" t="s">
        <v>874</v>
      </c>
      <c r="D8534" t="s">
        <v>14</v>
      </c>
      <c r="E8534">
        <v>3</v>
      </c>
      <c r="F8534" s="2">
        <f>DATE(2026,IF(Tabla1[[#This Row],[Mes de Fecha]]="Septiembre",9,10),Tabla1[[#This Row],[Día de Fecha]])</f>
        <v>46298</v>
      </c>
      <c r="G8534">
        <v>1114837522</v>
      </c>
      <c r="H8534" t="s">
        <v>19</v>
      </c>
      <c r="I8534">
        <v>101</v>
      </c>
      <c r="J8534">
        <v>0</v>
      </c>
      <c r="K8534" s="1">
        <v>5067521</v>
      </c>
    </row>
    <row r="8535" spans="1:11" x14ac:dyDescent="0.25">
      <c r="A8535" t="s">
        <v>9</v>
      </c>
      <c r="B8535" t="s">
        <v>17</v>
      </c>
      <c r="C8535" t="s">
        <v>874</v>
      </c>
      <c r="D8535" t="s">
        <v>14</v>
      </c>
      <c r="E8535">
        <v>4</v>
      </c>
      <c r="F8535" s="2">
        <f>DATE(2026,IF(Tabla1[[#This Row],[Mes de Fecha]]="Septiembre",9,10),Tabla1[[#This Row],[Día de Fecha]])</f>
        <v>46299</v>
      </c>
      <c r="I8535">
        <v>0</v>
      </c>
      <c r="J8535" s="1">
        <v>3453506</v>
      </c>
      <c r="K8535">
        <v>0</v>
      </c>
    </row>
    <row r="8536" spans="1:11" x14ac:dyDescent="0.25">
      <c r="A8536" t="s">
        <v>9</v>
      </c>
      <c r="B8536" t="s">
        <v>17</v>
      </c>
      <c r="C8536" t="s">
        <v>874</v>
      </c>
      <c r="D8536" t="s">
        <v>14</v>
      </c>
      <c r="E8536">
        <v>4</v>
      </c>
      <c r="F8536" s="2">
        <f>DATE(2026,IF(Tabla1[[#This Row],[Mes de Fecha]]="Septiembre",9,10),Tabla1[[#This Row],[Día de Fecha]])</f>
        <v>46299</v>
      </c>
      <c r="G8536">
        <v>1089479144</v>
      </c>
      <c r="H8536" t="s">
        <v>18</v>
      </c>
      <c r="I8536">
        <v>37</v>
      </c>
      <c r="J8536">
        <v>0</v>
      </c>
      <c r="K8536" s="1">
        <v>2174903</v>
      </c>
    </row>
    <row r="8537" spans="1:11" x14ac:dyDescent="0.25">
      <c r="A8537" t="s">
        <v>9</v>
      </c>
      <c r="B8537" t="s">
        <v>17</v>
      </c>
      <c r="C8537" t="s">
        <v>874</v>
      </c>
      <c r="D8537" t="s">
        <v>14</v>
      </c>
      <c r="E8537">
        <v>4</v>
      </c>
      <c r="F8537" s="2">
        <f>DATE(2026,IF(Tabla1[[#This Row],[Mes de Fecha]]="Septiembre",9,10),Tabla1[[#This Row],[Día de Fecha]])</f>
        <v>46299</v>
      </c>
      <c r="G8537">
        <v>1114837522</v>
      </c>
      <c r="H8537" t="s">
        <v>19</v>
      </c>
      <c r="I8537">
        <v>0</v>
      </c>
      <c r="J8537">
        <v>0</v>
      </c>
      <c r="K8537" s="1">
        <v>-14294</v>
      </c>
    </row>
    <row r="8538" spans="1:11" x14ac:dyDescent="0.25">
      <c r="A8538" t="s">
        <v>9</v>
      </c>
      <c r="B8538" t="s">
        <v>17</v>
      </c>
      <c r="C8538" t="s">
        <v>874</v>
      </c>
      <c r="D8538" t="s">
        <v>14</v>
      </c>
      <c r="E8538">
        <v>5</v>
      </c>
      <c r="F8538" s="2">
        <f>DATE(2026,IF(Tabla1[[#This Row],[Mes de Fecha]]="Septiembre",9,10),Tabla1[[#This Row],[Día de Fecha]])</f>
        <v>46300</v>
      </c>
      <c r="I8538">
        <v>0</v>
      </c>
      <c r="J8538" s="1">
        <v>2781178</v>
      </c>
      <c r="K8538">
        <v>0</v>
      </c>
    </row>
    <row r="8539" spans="1:11" x14ac:dyDescent="0.25">
      <c r="A8539" t="s">
        <v>9</v>
      </c>
      <c r="B8539" t="s">
        <v>17</v>
      </c>
      <c r="C8539" t="s">
        <v>874</v>
      </c>
      <c r="D8539" t="s">
        <v>14</v>
      </c>
      <c r="E8539">
        <v>5</v>
      </c>
      <c r="F8539" s="2">
        <f>DATE(2026,IF(Tabla1[[#This Row],[Mes de Fecha]]="Septiembre",9,10),Tabla1[[#This Row],[Día de Fecha]])</f>
        <v>46300</v>
      </c>
      <c r="G8539">
        <v>1114837522</v>
      </c>
      <c r="H8539" t="s">
        <v>19</v>
      </c>
      <c r="I8539">
        <v>45</v>
      </c>
      <c r="J8539">
        <v>0</v>
      </c>
      <c r="K8539" s="1">
        <v>2624039</v>
      </c>
    </row>
    <row r="8540" spans="1:11" x14ac:dyDescent="0.25">
      <c r="A8540" t="s">
        <v>9</v>
      </c>
      <c r="B8540" t="s">
        <v>17</v>
      </c>
      <c r="C8540" t="s">
        <v>874</v>
      </c>
      <c r="D8540" t="s">
        <v>14</v>
      </c>
      <c r="E8540">
        <v>6</v>
      </c>
      <c r="F8540" s="2">
        <f>DATE(2026,IF(Tabla1[[#This Row],[Mes de Fecha]]="Septiembre",9,10),Tabla1[[#This Row],[Día de Fecha]])</f>
        <v>46301</v>
      </c>
      <c r="I8540">
        <v>0</v>
      </c>
      <c r="J8540" s="1">
        <v>4422456</v>
      </c>
      <c r="K8540">
        <v>0</v>
      </c>
    </row>
    <row r="8541" spans="1:11" x14ac:dyDescent="0.25">
      <c r="A8541" t="s">
        <v>9</v>
      </c>
      <c r="B8541" t="s">
        <v>17</v>
      </c>
      <c r="C8541" t="s">
        <v>874</v>
      </c>
      <c r="D8541" t="s">
        <v>14</v>
      </c>
      <c r="E8541">
        <v>6</v>
      </c>
      <c r="F8541" s="2">
        <f>DATE(2026,IF(Tabla1[[#This Row],[Mes de Fecha]]="Septiembre",9,10),Tabla1[[#This Row],[Día de Fecha]])</f>
        <v>46301</v>
      </c>
      <c r="G8541">
        <v>1089479144</v>
      </c>
      <c r="H8541" t="s">
        <v>18</v>
      </c>
      <c r="I8541">
        <v>21</v>
      </c>
      <c r="J8541">
        <v>0</v>
      </c>
      <c r="K8541" s="1">
        <v>1205002</v>
      </c>
    </row>
    <row r="8542" spans="1:11" x14ac:dyDescent="0.25">
      <c r="A8542" t="s">
        <v>9</v>
      </c>
      <c r="B8542" t="s">
        <v>17</v>
      </c>
      <c r="C8542" t="s">
        <v>874</v>
      </c>
      <c r="D8542" t="s">
        <v>14</v>
      </c>
      <c r="E8542">
        <v>6</v>
      </c>
      <c r="F8542" s="2">
        <f>DATE(2026,IF(Tabla1[[#This Row],[Mes de Fecha]]="Septiembre",9,10),Tabla1[[#This Row],[Día de Fecha]])</f>
        <v>46301</v>
      </c>
      <c r="G8542">
        <v>1114837522</v>
      </c>
      <c r="H8542" t="s">
        <v>19</v>
      </c>
      <c r="I8542">
        <v>29</v>
      </c>
      <c r="J8542">
        <v>0</v>
      </c>
      <c r="K8542" s="1">
        <v>1288655</v>
      </c>
    </row>
    <row r="8543" spans="1:11" x14ac:dyDescent="0.25">
      <c r="A8543" t="s">
        <v>9</v>
      </c>
      <c r="B8543" t="s">
        <v>17</v>
      </c>
      <c r="C8543" t="s">
        <v>874</v>
      </c>
      <c r="D8543" t="s">
        <v>14</v>
      </c>
      <c r="E8543">
        <v>7</v>
      </c>
      <c r="F8543" s="2">
        <f>DATE(2026,IF(Tabla1[[#This Row],[Mes de Fecha]]="Septiembre",9,10),Tabla1[[#This Row],[Día de Fecha]])</f>
        <v>46302</v>
      </c>
      <c r="I8543">
        <v>0</v>
      </c>
      <c r="J8543" s="1">
        <v>231946</v>
      </c>
      <c r="K8543">
        <v>0</v>
      </c>
    </row>
    <row r="8544" spans="1:11" x14ac:dyDescent="0.25">
      <c r="A8544" t="s">
        <v>9</v>
      </c>
      <c r="B8544" t="s">
        <v>17</v>
      </c>
      <c r="C8544" t="s">
        <v>874</v>
      </c>
      <c r="D8544" t="s">
        <v>14</v>
      </c>
      <c r="E8544">
        <v>7</v>
      </c>
      <c r="F8544" s="2">
        <f>DATE(2026,IF(Tabla1[[#This Row],[Mes de Fecha]]="Septiembre",9,10),Tabla1[[#This Row],[Día de Fecha]])</f>
        <v>46302</v>
      </c>
      <c r="G8544">
        <v>1089479144</v>
      </c>
      <c r="H8544" t="s">
        <v>18</v>
      </c>
      <c r="I8544">
        <v>20</v>
      </c>
      <c r="J8544">
        <v>0</v>
      </c>
      <c r="K8544" s="1">
        <v>1280548</v>
      </c>
    </row>
    <row r="8545" spans="1:11" x14ac:dyDescent="0.25">
      <c r="A8545" t="s">
        <v>9</v>
      </c>
      <c r="B8545" t="s">
        <v>17</v>
      </c>
      <c r="C8545" t="s">
        <v>874</v>
      </c>
      <c r="D8545" t="s">
        <v>14</v>
      </c>
      <c r="E8545">
        <v>7</v>
      </c>
      <c r="F8545" s="2">
        <f>DATE(2026,IF(Tabla1[[#This Row],[Mes de Fecha]]="Septiembre",9,10),Tabla1[[#This Row],[Día de Fecha]])</f>
        <v>46302</v>
      </c>
      <c r="G8545">
        <v>1114837522</v>
      </c>
      <c r="H8545" t="s">
        <v>19</v>
      </c>
      <c r="I8545">
        <v>20</v>
      </c>
      <c r="J8545">
        <v>0</v>
      </c>
      <c r="K8545" s="1">
        <v>1190296</v>
      </c>
    </row>
    <row r="8546" spans="1:11" x14ac:dyDescent="0.25">
      <c r="A8546" t="s">
        <v>9</v>
      </c>
      <c r="B8546" t="s">
        <v>20</v>
      </c>
      <c r="C8546" t="s">
        <v>874</v>
      </c>
      <c r="D8546" t="s">
        <v>11</v>
      </c>
      <c r="E8546">
        <v>23</v>
      </c>
      <c r="F8546" s="2">
        <f>DATE(2026,IF(Tabla1[[#This Row],[Mes de Fecha]]="Septiembre",9,10),Tabla1[[#This Row],[Día de Fecha]])</f>
        <v>46288</v>
      </c>
      <c r="I8546">
        <v>0</v>
      </c>
      <c r="J8546" s="1">
        <v>2947978</v>
      </c>
      <c r="K8546">
        <v>0</v>
      </c>
    </row>
    <row r="8547" spans="1:11" x14ac:dyDescent="0.25">
      <c r="A8547" t="s">
        <v>9</v>
      </c>
      <c r="B8547" t="s">
        <v>20</v>
      </c>
      <c r="C8547" t="s">
        <v>874</v>
      </c>
      <c r="D8547" t="s">
        <v>11</v>
      </c>
      <c r="E8547">
        <v>23</v>
      </c>
      <c r="F8547" s="2">
        <f>DATE(2026,IF(Tabla1[[#This Row],[Mes de Fecha]]="Septiembre",9,10),Tabla1[[#This Row],[Día de Fecha]])</f>
        <v>46288</v>
      </c>
      <c r="G8547">
        <v>1061801968</v>
      </c>
      <c r="H8547" t="s">
        <v>21</v>
      </c>
      <c r="I8547">
        <v>3</v>
      </c>
      <c r="J8547">
        <v>0</v>
      </c>
      <c r="K8547" s="1">
        <v>281344</v>
      </c>
    </row>
    <row r="8548" spans="1:11" x14ac:dyDescent="0.25">
      <c r="A8548" t="s">
        <v>9</v>
      </c>
      <c r="B8548" t="s">
        <v>20</v>
      </c>
      <c r="C8548" t="s">
        <v>874</v>
      </c>
      <c r="D8548" t="s">
        <v>11</v>
      </c>
      <c r="E8548">
        <v>23</v>
      </c>
      <c r="F8548" s="2">
        <f>DATE(2026,IF(Tabla1[[#This Row],[Mes de Fecha]]="Septiembre",9,10),Tabla1[[#This Row],[Día de Fecha]])</f>
        <v>46288</v>
      </c>
      <c r="G8548">
        <v>1131024340</v>
      </c>
      <c r="H8548" t="s">
        <v>22</v>
      </c>
      <c r="I8548">
        <v>48</v>
      </c>
      <c r="J8548">
        <v>0</v>
      </c>
      <c r="K8548" s="1">
        <v>2808614</v>
      </c>
    </row>
    <row r="8549" spans="1:11" x14ac:dyDescent="0.25">
      <c r="A8549" t="s">
        <v>9</v>
      </c>
      <c r="B8549" t="s">
        <v>20</v>
      </c>
      <c r="C8549" t="s">
        <v>874</v>
      </c>
      <c r="D8549" t="s">
        <v>11</v>
      </c>
      <c r="E8549">
        <v>24</v>
      </c>
      <c r="F8549" s="2">
        <f>DATE(2026,IF(Tabla1[[#This Row],[Mes de Fecha]]="Septiembre",9,10),Tabla1[[#This Row],[Día de Fecha]])</f>
        <v>46289</v>
      </c>
      <c r="I8549">
        <v>0</v>
      </c>
      <c r="J8549" s="1">
        <v>7624036</v>
      </c>
      <c r="K8549">
        <v>0</v>
      </c>
    </row>
    <row r="8550" spans="1:11" x14ac:dyDescent="0.25">
      <c r="A8550" t="s">
        <v>9</v>
      </c>
      <c r="B8550" t="s">
        <v>20</v>
      </c>
      <c r="C8550" t="s">
        <v>874</v>
      </c>
      <c r="D8550" t="s">
        <v>11</v>
      </c>
      <c r="E8550">
        <v>24</v>
      </c>
      <c r="F8550" s="2">
        <f>DATE(2026,IF(Tabla1[[#This Row],[Mes de Fecha]]="Septiembre",9,10),Tabla1[[#This Row],[Día de Fecha]])</f>
        <v>46289</v>
      </c>
      <c r="G8550">
        <v>1061801968</v>
      </c>
      <c r="H8550" t="s">
        <v>21</v>
      </c>
      <c r="I8550">
        <v>57</v>
      </c>
      <c r="J8550">
        <v>0</v>
      </c>
      <c r="K8550" s="1">
        <v>2970217</v>
      </c>
    </row>
    <row r="8551" spans="1:11" x14ac:dyDescent="0.25">
      <c r="A8551" t="s">
        <v>9</v>
      </c>
      <c r="B8551" t="s">
        <v>20</v>
      </c>
      <c r="C8551" t="s">
        <v>874</v>
      </c>
      <c r="D8551" t="s">
        <v>11</v>
      </c>
      <c r="E8551">
        <v>24</v>
      </c>
      <c r="F8551" s="2">
        <f>DATE(2026,IF(Tabla1[[#This Row],[Mes de Fecha]]="Septiembre",9,10),Tabla1[[#This Row],[Día de Fecha]])</f>
        <v>46289</v>
      </c>
      <c r="G8551">
        <v>1131024340</v>
      </c>
      <c r="H8551" t="s">
        <v>22</v>
      </c>
      <c r="I8551">
        <v>85</v>
      </c>
      <c r="J8551">
        <v>0</v>
      </c>
      <c r="K8551" s="1">
        <v>5149792</v>
      </c>
    </row>
    <row r="8552" spans="1:11" x14ac:dyDescent="0.25">
      <c r="A8552" t="s">
        <v>9</v>
      </c>
      <c r="B8552" t="s">
        <v>20</v>
      </c>
      <c r="C8552" t="s">
        <v>874</v>
      </c>
      <c r="D8552" t="s">
        <v>11</v>
      </c>
      <c r="E8552">
        <v>25</v>
      </c>
      <c r="F8552" s="2">
        <f>DATE(2026,IF(Tabla1[[#This Row],[Mes de Fecha]]="Septiembre",9,10),Tabla1[[#This Row],[Día de Fecha]])</f>
        <v>46290</v>
      </c>
      <c r="I8552">
        <v>0</v>
      </c>
      <c r="J8552" s="1">
        <v>8142888</v>
      </c>
      <c r="K8552">
        <v>0</v>
      </c>
    </row>
    <row r="8553" spans="1:11" x14ac:dyDescent="0.25">
      <c r="A8553" t="s">
        <v>9</v>
      </c>
      <c r="B8553" t="s">
        <v>20</v>
      </c>
      <c r="C8553" t="s">
        <v>874</v>
      </c>
      <c r="D8553" t="s">
        <v>11</v>
      </c>
      <c r="E8553">
        <v>25</v>
      </c>
      <c r="F8553" s="2">
        <f>DATE(2026,IF(Tabla1[[#This Row],[Mes de Fecha]]="Septiembre",9,10),Tabla1[[#This Row],[Día de Fecha]])</f>
        <v>46290</v>
      </c>
      <c r="G8553">
        <v>1061801968</v>
      </c>
      <c r="H8553" t="s">
        <v>21</v>
      </c>
      <c r="I8553">
        <v>54</v>
      </c>
      <c r="J8553">
        <v>0</v>
      </c>
      <c r="K8553" s="1">
        <v>2661600</v>
      </c>
    </row>
    <row r="8554" spans="1:11" x14ac:dyDescent="0.25">
      <c r="A8554" t="s">
        <v>9</v>
      </c>
      <c r="B8554" t="s">
        <v>20</v>
      </c>
      <c r="C8554" t="s">
        <v>874</v>
      </c>
      <c r="D8554" t="s">
        <v>11</v>
      </c>
      <c r="E8554">
        <v>25</v>
      </c>
      <c r="F8554" s="2">
        <f>DATE(2026,IF(Tabla1[[#This Row],[Mes de Fecha]]="Septiembre",9,10),Tabla1[[#This Row],[Día de Fecha]])</f>
        <v>46290</v>
      </c>
      <c r="G8554">
        <v>1131024340</v>
      </c>
      <c r="H8554" t="s">
        <v>22</v>
      </c>
      <c r="I8554">
        <v>95</v>
      </c>
      <c r="J8554">
        <v>0</v>
      </c>
      <c r="K8554" s="1">
        <v>5653531</v>
      </c>
    </row>
    <row r="8555" spans="1:11" x14ac:dyDescent="0.25">
      <c r="A8555" t="s">
        <v>9</v>
      </c>
      <c r="B8555" t="s">
        <v>20</v>
      </c>
      <c r="C8555" t="s">
        <v>874</v>
      </c>
      <c r="D8555" t="s">
        <v>11</v>
      </c>
      <c r="E8555">
        <v>26</v>
      </c>
      <c r="F8555" s="2">
        <f>DATE(2026,IF(Tabla1[[#This Row],[Mes de Fecha]]="Septiembre",9,10),Tabla1[[#This Row],[Día de Fecha]])</f>
        <v>46291</v>
      </c>
      <c r="I8555">
        <v>0</v>
      </c>
      <c r="J8555" s="1">
        <v>10267973</v>
      </c>
      <c r="K8555">
        <v>0</v>
      </c>
    </row>
    <row r="8556" spans="1:11" x14ac:dyDescent="0.25">
      <c r="A8556" t="s">
        <v>9</v>
      </c>
      <c r="B8556" t="s">
        <v>20</v>
      </c>
      <c r="C8556" t="s">
        <v>874</v>
      </c>
      <c r="D8556" t="s">
        <v>11</v>
      </c>
      <c r="E8556">
        <v>26</v>
      </c>
      <c r="F8556" s="2">
        <f>DATE(2026,IF(Tabla1[[#This Row],[Mes de Fecha]]="Septiembre",9,10),Tabla1[[#This Row],[Día de Fecha]])</f>
        <v>46291</v>
      </c>
      <c r="G8556">
        <v>1061801968</v>
      </c>
      <c r="H8556" t="s">
        <v>21</v>
      </c>
      <c r="I8556">
        <v>113</v>
      </c>
      <c r="J8556">
        <v>0</v>
      </c>
      <c r="K8556" s="1">
        <v>5843956</v>
      </c>
    </row>
    <row r="8557" spans="1:11" x14ac:dyDescent="0.25">
      <c r="A8557" t="s">
        <v>9</v>
      </c>
      <c r="B8557" t="s">
        <v>20</v>
      </c>
      <c r="C8557" t="s">
        <v>874</v>
      </c>
      <c r="D8557" t="s">
        <v>11</v>
      </c>
      <c r="E8557">
        <v>26</v>
      </c>
      <c r="F8557" s="2">
        <f>DATE(2026,IF(Tabla1[[#This Row],[Mes de Fecha]]="Septiembre",9,10),Tabla1[[#This Row],[Día de Fecha]])</f>
        <v>46291</v>
      </c>
      <c r="G8557">
        <v>1131024340</v>
      </c>
      <c r="H8557" t="s">
        <v>22</v>
      </c>
      <c r="I8557">
        <v>172</v>
      </c>
      <c r="J8557">
        <v>0</v>
      </c>
      <c r="K8557" s="1">
        <v>9555808</v>
      </c>
    </row>
    <row r="8558" spans="1:11" x14ac:dyDescent="0.25">
      <c r="A8558" t="s">
        <v>9</v>
      </c>
      <c r="B8558" t="s">
        <v>20</v>
      </c>
      <c r="C8558" t="s">
        <v>874</v>
      </c>
      <c r="D8558" t="s">
        <v>11</v>
      </c>
      <c r="E8558">
        <v>27</v>
      </c>
      <c r="F8558" s="2">
        <f>DATE(2026,IF(Tabla1[[#This Row],[Mes de Fecha]]="Septiembre",9,10),Tabla1[[#This Row],[Día de Fecha]])</f>
        <v>46292</v>
      </c>
      <c r="I8558">
        <v>0</v>
      </c>
      <c r="J8558" s="1">
        <v>5421392</v>
      </c>
      <c r="K8558">
        <v>0</v>
      </c>
    </row>
    <row r="8559" spans="1:11" x14ac:dyDescent="0.25">
      <c r="A8559" t="s">
        <v>9</v>
      </c>
      <c r="B8559" t="s">
        <v>20</v>
      </c>
      <c r="C8559" t="s">
        <v>874</v>
      </c>
      <c r="D8559" t="s">
        <v>11</v>
      </c>
      <c r="E8559">
        <v>27</v>
      </c>
      <c r="F8559" s="2">
        <f>DATE(2026,IF(Tabla1[[#This Row],[Mes de Fecha]]="Septiembre",9,10),Tabla1[[#This Row],[Día de Fecha]])</f>
        <v>46292</v>
      </c>
      <c r="G8559">
        <v>1061801968</v>
      </c>
      <c r="H8559" t="s">
        <v>21</v>
      </c>
      <c r="I8559">
        <v>2</v>
      </c>
      <c r="J8559">
        <v>0</v>
      </c>
      <c r="K8559" s="1">
        <v>62941</v>
      </c>
    </row>
    <row r="8560" spans="1:11" x14ac:dyDescent="0.25">
      <c r="A8560" t="s">
        <v>9</v>
      </c>
      <c r="B8560" t="s">
        <v>20</v>
      </c>
      <c r="C8560" t="s">
        <v>874</v>
      </c>
      <c r="D8560" t="s">
        <v>11</v>
      </c>
      <c r="E8560">
        <v>27</v>
      </c>
      <c r="F8560" s="2">
        <f>DATE(2026,IF(Tabla1[[#This Row],[Mes de Fecha]]="Septiembre",9,10),Tabla1[[#This Row],[Día de Fecha]])</f>
        <v>46292</v>
      </c>
      <c r="G8560">
        <v>1131024340</v>
      </c>
      <c r="H8560" t="s">
        <v>22</v>
      </c>
      <c r="I8560">
        <v>83</v>
      </c>
      <c r="J8560">
        <v>0</v>
      </c>
      <c r="K8560" s="1">
        <v>4813408</v>
      </c>
    </row>
    <row r="8561" spans="1:11" x14ac:dyDescent="0.25">
      <c r="A8561" t="s">
        <v>9</v>
      </c>
      <c r="B8561" t="s">
        <v>20</v>
      </c>
      <c r="C8561" t="s">
        <v>874</v>
      </c>
      <c r="D8561" t="s">
        <v>11</v>
      </c>
      <c r="E8561">
        <v>28</v>
      </c>
      <c r="F8561" s="2">
        <f>DATE(2026,IF(Tabla1[[#This Row],[Mes de Fecha]]="Septiembre",9,10),Tabla1[[#This Row],[Día de Fecha]])</f>
        <v>46293</v>
      </c>
      <c r="I8561">
        <v>0</v>
      </c>
      <c r="J8561" s="1">
        <v>4444952</v>
      </c>
      <c r="K8561">
        <v>0</v>
      </c>
    </row>
    <row r="8562" spans="1:11" x14ac:dyDescent="0.25">
      <c r="A8562" t="s">
        <v>9</v>
      </c>
      <c r="B8562" t="s">
        <v>20</v>
      </c>
      <c r="C8562" t="s">
        <v>874</v>
      </c>
      <c r="D8562" t="s">
        <v>11</v>
      </c>
      <c r="E8562">
        <v>28</v>
      </c>
      <c r="F8562" s="2">
        <f>DATE(2026,IF(Tabla1[[#This Row],[Mes de Fecha]]="Septiembre",9,10),Tabla1[[#This Row],[Día de Fecha]])</f>
        <v>46293</v>
      </c>
      <c r="G8562">
        <v>1061801968</v>
      </c>
      <c r="H8562" t="s">
        <v>21</v>
      </c>
      <c r="I8562">
        <v>32</v>
      </c>
      <c r="J8562">
        <v>0</v>
      </c>
      <c r="K8562" s="1">
        <v>1561472</v>
      </c>
    </row>
    <row r="8563" spans="1:11" x14ac:dyDescent="0.25">
      <c r="A8563" t="s">
        <v>9</v>
      </c>
      <c r="B8563" t="s">
        <v>20</v>
      </c>
      <c r="C8563" t="s">
        <v>874</v>
      </c>
      <c r="D8563" t="s">
        <v>11</v>
      </c>
      <c r="E8563">
        <v>28</v>
      </c>
      <c r="F8563" s="2">
        <f>DATE(2026,IF(Tabla1[[#This Row],[Mes de Fecha]]="Septiembre",9,10),Tabla1[[#This Row],[Día de Fecha]])</f>
        <v>46293</v>
      </c>
      <c r="G8563">
        <v>1131024340</v>
      </c>
      <c r="H8563" t="s">
        <v>22</v>
      </c>
      <c r="I8563">
        <v>68</v>
      </c>
      <c r="J8563">
        <v>0</v>
      </c>
      <c r="K8563" s="1">
        <v>3402184</v>
      </c>
    </row>
    <row r="8564" spans="1:11" x14ac:dyDescent="0.25">
      <c r="A8564" t="s">
        <v>9</v>
      </c>
      <c r="B8564" t="s">
        <v>20</v>
      </c>
      <c r="C8564" t="s">
        <v>874</v>
      </c>
      <c r="D8564" t="s">
        <v>11</v>
      </c>
      <c r="E8564">
        <v>29</v>
      </c>
      <c r="F8564" s="2">
        <f>DATE(2026,IF(Tabla1[[#This Row],[Mes de Fecha]]="Septiembre",9,10),Tabla1[[#This Row],[Día de Fecha]])</f>
        <v>46294</v>
      </c>
      <c r="I8564">
        <v>0</v>
      </c>
      <c r="J8564" s="1">
        <v>4941473</v>
      </c>
      <c r="K8564">
        <v>0</v>
      </c>
    </row>
    <row r="8565" spans="1:11" x14ac:dyDescent="0.25">
      <c r="A8565" t="s">
        <v>9</v>
      </c>
      <c r="B8565" t="s">
        <v>20</v>
      </c>
      <c r="C8565" t="s">
        <v>874</v>
      </c>
      <c r="D8565" t="s">
        <v>11</v>
      </c>
      <c r="E8565">
        <v>29</v>
      </c>
      <c r="F8565" s="2">
        <f>DATE(2026,IF(Tabla1[[#This Row],[Mes de Fecha]]="Septiembre",9,10),Tabla1[[#This Row],[Día de Fecha]])</f>
        <v>46294</v>
      </c>
      <c r="G8565">
        <v>1061801968</v>
      </c>
      <c r="H8565" t="s">
        <v>21</v>
      </c>
      <c r="I8565">
        <v>76</v>
      </c>
      <c r="J8565">
        <v>0</v>
      </c>
      <c r="K8565" s="1">
        <v>4403995</v>
      </c>
    </row>
    <row r="8566" spans="1:11" x14ac:dyDescent="0.25">
      <c r="A8566" t="s">
        <v>9</v>
      </c>
      <c r="B8566" t="s">
        <v>20</v>
      </c>
      <c r="C8566" t="s">
        <v>874</v>
      </c>
      <c r="D8566" t="s">
        <v>11</v>
      </c>
      <c r="E8566">
        <v>29</v>
      </c>
      <c r="F8566" s="2">
        <f>DATE(2026,IF(Tabla1[[#This Row],[Mes de Fecha]]="Septiembre",9,10),Tabla1[[#This Row],[Día de Fecha]])</f>
        <v>46294</v>
      </c>
      <c r="G8566">
        <v>1131024340</v>
      </c>
      <c r="H8566" t="s">
        <v>22</v>
      </c>
      <c r="I8566">
        <v>6</v>
      </c>
      <c r="J8566">
        <v>0</v>
      </c>
      <c r="K8566" s="1">
        <v>373697</v>
      </c>
    </row>
    <row r="8567" spans="1:11" x14ac:dyDescent="0.25">
      <c r="A8567" t="s">
        <v>9</v>
      </c>
      <c r="B8567" t="s">
        <v>20</v>
      </c>
      <c r="C8567" t="s">
        <v>874</v>
      </c>
      <c r="D8567" t="s">
        <v>11</v>
      </c>
      <c r="E8567">
        <v>30</v>
      </c>
      <c r="F8567" s="2">
        <f>DATE(2026,IF(Tabla1[[#This Row],[Mes de Fecha]]="Septiembre",9,10),Tabla1[[#This Row],[Día de Fecha]])</f>
        <v>46295</v>
      </c>
      <c r="I8567">
        <v>0</v>
      </c>
      <c r="J8567" s="1">
        <v>5233178</v>
      </c>
      <c r="K8567">
        <v>0</v>
      </c>
    </row>
    <row r="8568" spans="1:11" x14ac:dyDescent="0.25">
      <c r="A8568" t="s">
        <v>9</v>
      </c>
      <c r="B8568" t="s">
        <v>20</v>
      </c>
      <c r="C8568" t="s">
        <v>874</v>
      </c>
      <c r="D8568" t="s">
        <v>11</v>
      </c>
      <c r="E8568">
        <v>30</v>
      </c>
      <c r="F8568" s="2">
        <f>DATE(2026,IF(Tabla1[[#This Row],[Mes de Fecha]]="Septiembre",9,10),Tabla1[[#This Row],[Día de Fecha]])</f>
        <v>46295</v>
      </c>
      <c r="G8568">
        <v>1061801968</v>
      </c>
      <c r="H8568" t="s">
        <v>21</v>
      </c>
      <c r="I8568">
        <v>40</v>
      </c>
      <c r="J8568">
        <v>0</v>
      </c>
      <c r="K8568" s="1">
        <v>2105295</v>
      </c>
    </row>
    <row r="8569" spans="1:11" x14ac:dyDescent="0.25">
      <c r="A8569" t="s">
        <v>9</v>
      </c>
      <c r="B8569" t="s">
        <v>20</v>
      </c>
      <c r="C8569" t="s">
        <v>874</v>
      </c>
      <c r="D8569" t="s">
        <v>11</v>
      </c>
      <c r="E8569">
        <v>30</v>
      </c>
      <c r="F8569" s="2">
        <f>DATE(2026,IF(Tabla1[[#This Row],[Mes de Fecha]]="Septiembre",9,10),Tabla1[[#This Row],[Día de Fecha]])</f>
        <v>46295</v>
      </c>
      <c r="G8569">
        <v>1131024340</v>
      </c>
      <c r="H8569" t="s">
        <v>22</v>
      </c>
      <c r="I8569">
        <v>33</v>
      </c>
      <c r="J8569">
        <v>0</v>
      </c>
      <c r="K8569" s="1">
        <v>1796809</v>
      </c>
    </row>
    <row r="8570" spans="1:11" x14ac:dyDescent="0.25">
      <c r="A8570" t="s">
        <v>9</v>
      </c>
      <c r="B8570" t="s">
        <v>20</v>
      </c>
      <c r="C8570" t="s">
        <v>874</v>
      </c>
      <c r="D8570" t="s">
        <v>14</v>
      </c>
      <c r="E8570">
        <v>1</v>
      </c>
      <c r="F8570" s="2">
        <f>DATE(2026,IF(Tabla1[[#This Row],[Mes de Fecha]]="Septiembre",9,10),Tabla1[[#This Row],[Día de Fecha]])</f>
        <v>46296</v>
      </c>
      <c r="I8570">
        <v>0</v>
      </c>
      <c r="J8570" s="1">
        <v>3948113</v>
      </c>
      <c r="K8570">
        <v>0</v>
      </c>
    </row>
    <row r="8571" spans="1:11" x14ac:dyDescent="0.25">
      <c r="A8571" t="s">
        <v>9</v>
      </c>
      <c r="B8571" t="s">
        <v>20</v>
      </c>
      <c r="C8571" t="s">
        <v>874</v>
      </c>
      <c r="D8571" t="s">
        <v>14</v>
      </c>
      <c r="E8571">
        <v>1</v>
      </c>
      <c r="F8571" s="2">
        <f>DATE(2026,IF(Tabla1[[#This Row],[Mes de Fecha]]="Septiembre",9,10),Tabla1[[#This Row],[Día de Fecha]])</f>
        <v>46296</v>
      </c>
      <c r="G8571">
        <v>1061801968</v>
      </c>
      <c r="H8571" t="s">
        <v>21</v>
      </c>
      <c r="I8571">
        <v>14</v>
      </c>
      <c r="J8571">
        <v>0</v>
      </c>
      <c r="K8571" s="1">
        <v>761935</v>
      </c>
    </row>
    <row r="8572" spans="1:11" x14ac:dyDescent="0.25">
      <c r="A8572" t="s">
        <v>9</v>
      </c>
      <c r="B8572" t="s">
        <v>20</v>
      </c>
      <c r="C8572" t="s">
        <v>874</v>
      </c>
      <c r="D8572" t="s">
        <v>14</v>
      </c>
      <c r="E8572">
        <v>1</v>
      </c>
      <c r="F8572" s="2">
        <f>DATE(2026,IF(Tabla1[[#This Row],[Mes de Fecha]]="Septiembre",9,10),Tabla1[[#This Row],[Día de Fecha]])</f>
        <v>46296</v>
      </c>
      <c r="G8572">
        <v>1131024340</v>
      </c>
      <c r="H8572" t="s">
        <v>22</v>
      </c>
      <c r="I8572">
        <v>54</v>
      </c>
      <c r="J8572">
        <v>0</v>
      </c>
      <c r="K8572" s="1">
        <v>2793785</v>
      </c>
    </row>
    <row r="8573" spans="1:11" x14ac:dyDescent="0.25">
      <c r="A8573" t="s">
        <v>9</v>
      </c>
      <c r="B8573" t="s">
        <v>20</v>
      </c>
      <c r="C8573" t="s">
        <v>874</v>
      </c>
      <c r="D8573" t="s">
        <v>14</v>
      </c>
      <c r="E8573">
        <v>2</v>
      </c>
      <c r="F8573" s="2">
        <f>DATE(2026,IF(Tabla1[[#This Row],[Mes de Fecha]]="Septiembre",9,10),Tabla1[[#This Row],[Día de Fecha]])</f>
        <v>46297</v>
      </c>
      <c r="I8573">
        <v>0</v>
      </c>
      <c r="J8573" s="1">
        <v>4141285</v>
      </c>
      <c r="K8573">
        <v>0</v>
      </c>
    </row>
    <row r="8574" spans="1:11" x14ac:dyDescent="0.25">
      <c r="A8574" t="s">
        <v>9</v>
      </c>
      <c r="B8574" t="s">
        <v>20</v>
      </c>
      <c r="C8574" t="s">
        <v>874</v>
      </c>
      <c r="D8574" t="s">
        <v>14</v>
      </c>
      <c r="E8574">
        <v>2</v>
      </c>
      <c r="F8574" s="2">
        <f>DATE(2026,IF(Tabla1[[#This Row],[Mes de Fecha]]="Septiembre",9,10),Tabla1[[#This Row],[Día de Fecha]])</f>
        <v>46297</v>
      </c>
      <c r="G8574">
        <v>1061801968</v>
      </c>
      <c r="H8574" t="s">
        <v>21</v>
      </c>
      <c r="I8574">
        <v>21</v>
      </c>
      <c r="J8574">
        <v>0</v>
      </c>
      <c r="K8574" s="1">
        <v>994835</v>
      </c>
    </row>
    <row r="8575" spans="1:11" x14ac:dyDescent="0.25">
      <c r="A8575" t="s">
        <v>9</v>
      </c>
      <c r="B8575" t="s">
        <v>20</v>
      </c>
      <c r="C8575" t="s">
        <v>874</v>
      </c>
      <c r="D8575" t="s">
        <v>14</v>
      </c>
      <c r="E8575">
        <v>2</v>
      </c>
      <c r="F8575" s="2">
        <f>DATE(2026,IF(Tabla1[[#This Row],[Mes de Fecha]]="Septiembre",9,10),Tabla1[[#This Row],[Día de Fecha]])</f>
        <v>46297</v>
      </c>
      <c r="G8575">
        <v>1131024340</v>
      </c>
      <c r="H8575" t="s">
        <v>22</v>
      </c>
      <c r="I8575">
        <v>108</v>
      </c>
      <c r="J8575">
        <v>0</v>
      </c>
      <c r="K8575" s="1">
        <v>5990593</v>
      </c>
    </row>
    <row r="8576" spans="1:11" x14ac:dyDescent="0.25">
      <c r="A8576" t="s">
        <v>9</v>
      </c>
      <c r="B8576" t="s">
        <v>20</v>
      </c>
      <c r="C8576" t="s">
        <v>874</v>
      </c>
      <c r="D8576" t="s">
        <v>14</v>
      </c>
      <c r="E8576">
        <v>3</v>
      </c>
      <c r="F8576" s="2">
        <f>DATE(2026,IF(Tabla1[[#This Row],[Mes de Fecha]]="Septiembre",9,10),Tabla1[[#This Row],[Día de Fecha]])</f>
        <v>46298</v>
      </c>
      <c r="I8576">
        <v>0</v>
      </c>
      <c r="J8576" s="1">
        <v>9024550</v>
      </c>
      <c r="K8576">
        <v>0</v>
      </c>
    </row>
    <row r="8577" spans="1:11" x14ac:dyDescent="0.25">
      <c r="A8577" t="s">
        <v>9</v>
      </c>
      <c r="B8577" t="s">
        <v>20</v>
      </c>
      <c r="C8577" t="s">
        <v>874</v>
      </c>
      <c r="D8577" t="s">
        <v>14</v>
      </c>
      <c r="E8577">
        <v>3</v>
      </c>
      <c r="F8577" s="2">
        <f>DATE(2026,IF(Tabla1[[#This Row],[Mes de Fecha]]="Septiembre",9,10),Tabla1[[#This Row],[Día de Fecha]])</f>
        <v>46298</v>
      </c>
      <c r="G8577">
        <v>1061801968</v>
      </c>
      <c r="H8577" t="s">
        <v>21</v>
      </c>
      <c r="I8577">
        <v>79</v>
      </c>
      <c r="J8577">
        <v>0</v>
      </c>
      <c r="K8577" s="1">
        <v>4022113</v>
      </c>
    </row>
    <row r="8578" spans="1:11" x14ac:dyDescent="0.25">
      <c r="A8578" t="s">
        <v>9</v>
      </c>
      <c r="B8578" t="s">
        <v>20</v>
      </c>
      <c r="C8578" t="s">
        <v>874</v>
      </c>
      <c r="D8578" t="s">
        <v>14</v>
      </c>
      <c r="E8578">
        <v>3</v>
      </c>
      <c r="F8578" s="2">
        <f>DATE(2026,IF(Tabla1[[#This Row],[Mes de Fecha]]="Septiembre",9,10),Tabla1[[#This Row],[Día de Fecha]])</f>
        <v>46298</v>
      </c>
      <c r="G8578">
        <v>1131024340</v>
      </c>
      <c r="H8578" t="s">
        <v>22</v>
      </c>
      <c r="I8578">
        <v>171</v>
      </c>
      <c r="J8578">
        <v>0</v>
      </c>
      <c r="K8578" s="1">
        <v>9826970</v>
      </c>
    </row>
    <row r="8579" spans="1:11" x14ac:dyDescent="0.25">
      <c r="A8579" t="s">
        <v>9</v>
      </c>
      <c r="B8579" t="s">
        <v>20</v>
      </c>
      <c r="C8579" t="s">
        <v>874</v>
      </c>
      <c r="D8579" t="s">
        <v>14</v>
      </c>
      <c r="E8579">
        <v>4</v>
      </c>
      <c r="F8579" s="2">
        <f>DATE(2026,IF(Tabla1[[#This Row],[Mes de Fecha]]="Septiembre",9,10),Tabla1[[#This Row],[Día de Fecha]])</f>
        <v>46299</v>
      </c>
      <c r="I8579">
        <v>0</v>
      </c>
      <c r="J8579" s="1">
        <v>3896399</v>
      </c>
      <c r="K8579">
        <v>0</v>
      </c>
    </row>
    <row r="8580" spans="1:11" x14ac:dyDescent="0.25">
      <c r="A8580" t="s">
        <v>9</v>
      </c>
      <c r="B8580" t="s">
        <v>20</v>
      </c>
      <c r="C8580" t="s">
        <v>874</v>
      </c>
      <c r="D8580" t="s">
        <v>14</v>
      </c>
      <c r="E8580">
        <v>4</v>
      </c>
      <c r="F8580" s="2">
        <f>DATE(2026,IF(Tabla1[[#This Row],[Mes de Fecha]]="Septiembre",9,10),Tabla1[[#This Row],[Día de Fecha]])</f>
        <v>46299</v>
      </c>
      <c r="G8580">
        <v>1131024340</v>
      </c>
      <c r="H8580" t="s">
        <v>22</v>
      </c>
      <c r="I8580">
        <v>44</v>
      </c>
      <c r="J8580">
        <v>0</v>
      </c>
      <c r="K8580" s="1">
        <v>2449667</v>
      </c>
    </row>
    <row r="8581" spans="1:11" x14ac:dyDescent="0.25">
      <c r="A8581" t="s">
        <v>9</v>
      </c>
      <c r="B8581" t="s">
        <v>20</v>
      </c>
      <c r="C8581" t="s">
        <v>874</v>
      </c>
      <c r="D8581" t="s">
        <v>14</v>
      </c>
      <c r="E8581">
        <v>5</v>
      </c>
      <c r="F8581" s="2">
        <f>DATE(2026,IF(Tabla1[[#This Row],[Mes de Fecha]]="Septiembre",9,10),Tabla1[[#This Row],[Día de Fecha]])</f>
        <v>46300</v>
      </c>
      <c r="I8581">
        <v>0</v>
      </c>
      <c r="J8581" s="1">
        <v>4024570</v>
      </c>
      <c r="K8581">
        <v>0</v>
      </c>
    </row>
    <row r="8582" spans="1:11" x14ac:dyDescent="0.25">
      <c r="A8582" t="s">
        <v>9</v>
      </c>
      <c r="B8582" t="s">
        <v>20</v>
      </c>
      <c r="C8582" t="s">
        <v>874</v>
      </c>
      <c r="D8582" t="s">
        <v>14</v>
      </c>
      <c r="E8582">
        <v>5</v>
      </c>
      <c r="F8582" s="2">
        <f>DATE(2026,IF(Tabla1[[#This Row],[Mes de Fecha]]="Septiembre",9,10),Tabla1[[#This Row],[Día de Fecha]])</f>
        <v>46300</v>
      </c>
      <c r="G8582">
        <v>1061801968</v>
      </c>
      <c r="H8582" t="s">
        <v>21</v>
      </c>
      <c r="I8582">
        <v>3</v>
      </c>
      <c r="J8582">
        <v>0</v>
      </c>
      <c r="K8582" s="1">
        <v>100714</v>
      </c>
    </row>
    <row r="8583" spans="1:11" x14ac:dyDescent="0.25">
      <c r="A8583" t="s">
        <v>9</v>
      </c>
      <c r="B8583" t="s">
        <v>20</v>
      </c>
      <c r="C8583" t="s">
        <v>874</v>
      </c>
      <c r="D8583" t="s">
        <v>14</v>
      </c>
      <c r="E8583">
        <v>5</v>
      </c>
      <c r="F8583" s="2">
        <f>DATE(2026,IF(Tabla1[[#This Row],[Mes de Fecha]]="Septiembre",9,10),Tabla1[[#This Row],[Día de Fecha]])</f>
        <v>46300</v>
      </c>
      <c r="G8583">
        <v>1131024340</v>
      </c>
      <c r="H8583" t="s">
        <v>22</v>
      </c>
      <c r="I8583">
        <v>39</v>
      </c>
      <c r="J8583">
        <v>0</v>
      </c>
      <c r="K8583" s="1">
        <v>2088530</v>
      </c>
    </row>
    <row r="8584" spans="1:11" x14ac:dyDescent="0.25">
      <c r="A8584" t="s">
        <v>9</v>
      </c>
      <c r="B8584" t="s">
        <v>20</v>
      </c>
      <c r="C8584" t="s">
        <v>874</v>
      </c>
      <c r="D8584" t="s">
        <v>14</v>
      </c>
      <c r="E8584">
        <v>6</v>
      </c>
      <c r="F8584" s="2">
        <f>DATE(2026,IF(Tabla1[[#This Row],[Mes de Fecha]]="Septiembre",9,10),Tabla1[[#This Row],[Día de Fecha]])</f>
        <v>46301</v>
      </c>
      <c r="I8584">
        <v>0</v>
      </c>
      <c r="J8584" s="1">
        <v>2137035</v>
      </c>
      <c r="K8584">
        <v>0</v>
      </c>
    </row>
    <row r="8585" spans="1:11" x14ac:dyDescent="0.25">
      <c r="A8585" t="s">
        <v>9</v>
      </c>
      <c r="B8585" t="s">
        <v>20</v>
      </c>
      <c r="C8585" t="s">
        <v>874</v>
      </c>
      <c r="D8585" t="s">
        <v>14</v>
      </c>
      <c r="E8585">
        <v>6</v>
      </c>
      <c r="F8585" s="2">
        <f>DATE(2026,IF(Tabla1[[#This Row],[Mes de Fecha]]="Septiembre",9,10),Tabla1[[#This Row],[Día de Fecha]])</f>
        <v>46301</v>
      </c>
      <c r="G8585">
        <v>1061801968</v>
      </c>
      <c r="H8585" t="s">
        <v>21</v>
      </c>
      <c r="I8585">
        <v>22</v>
      </c>
      <c r="J8585">
        <v>0</v>
      </c>
      <c r="K8585" s="1">
        <v>956935</v>
      </c>
    </row>
    <row r="8586" spans="1:11" x14ac:dyDescent="0.25">
      <c r="A8586" t="s">
        <v>9</v>
      </c>
      <c r="B8586" t="s">
        <v>20</v>
      </c>
      <c r="C8586" t="s">
        <v>874</v>
      </c>
      <c r="D8586" t="s">
        <v>14</v>
      </c>
      <c r="E8586">
        <v>6</v>
      </c>
      <c r="F8586" s="2">
        <f>DATE(2026,IF(Tabla1[[#This Row],[Mes de Fecha]]="Septiembre",9,10),Tabla1[[#This Row],[Día de Fecha]])</f>
        <v>46301</v>
      </c>
      <c r="G8586">
        <v>1131024340</v>
      </c>
      <c r="H8586" t="s">
        <v>22</v>
      </c>
      <c r="I8586">
        <v>52</v>
      </c>
      <c r="J8586">
        <v>0</v>
      </c>
      <c r="K8586" s="1">
        <v>2508028</v>
      </c>
    </row>
    <row r="8587" spans="1:11" x14ac:dyDescent="0.25">
      <c r="A8587" t="s">
        <v>9</v>
      </c>
      <c r="B8587" t="s">
        <v>20</v>
      </c>
      <c r="C8587" t="s">
        <v>874</v>
      </c>
      <c r="D8587" t="s">
        <v>14</v>
      </c>
      <c r="E8587">
        <v>7</v>
      </c>
      <c r="F8587" s="2">
        <f>DATE(2026,IF(Tabla1[[#This Row],[Mes de Fecha]]="Septiembre",9,10),Tabla1[[#This Row],[Día de Fecha]])</f>
        <v>46302</v>
      </c>
      <c r="I8587">
        <v>0</v>
      </c>
      <c r="J8587" s="1">
        <v>614640</v>
      </c>
      <c r="K8587">
        <v>0</v>
      </c>
    </row>
    <row r="8588" spans="1:11" x14ac:dyDescent="0.25">
      <c r="A8588" t="s">
        <v>9</v>
      </c>
      <c r="B8588" t="s">
        <v>20</v>
      </c>
      <c r="C8588" t="s">
        <v>874</v>
      </c>
      <c r="D8588" t="s">
        <v>14</v>
      </c>
      <c r="E8588">
        <v>7</v>
      </c>
      <c r="F8588" s="2">
        <f>DATE(2026,IF(Tabla1[[#This Row],[Mes de Fecha]]="Septiembre",9,10),Tabla1[[#This Row],[Día de Fecha]])</f>
        <v>46302</v>
      </c>
      <c r="G8588">
        <v>1061801968</v>
      </c>
      <c r="H8588" t="s">
        <v>21</v>
      </c>
      <c r="I8588">
        <v>14</v>
      </c>
      <c r="J8588">
        <v>0</v>
      </c>
      <c r="K8588" s="1">
        <v>684160</v>
      </c>
    </row>
    <row r="8589" spans="1:11" x14ac:dyDescent="0.25">
      <c r="A8589" t="s">
        <v>9</v>
      </c>
      <c r="B8589" t="s">
        <v>20</v>
      </c>
      <c r="C8589" t="s">
        <v>874</v>
      </c>
      <c r="D8589" t="s">
        <v>14</v>
      </c>
      <c r="E8589">
        <v>7</v>
      </c>
      <c r="F8589" s="2">
        <f>DATE(2026,IF(Tabla1[[#This Row],[Mes de Fecha]]="Septiembre",9,10),Tabla1[[#This Row],[Día de Fecha]])</f>
        <v>46302</v>
      </c>
      <c r="G8589">
        <v>1131024340</v>
      </c>
      <c r="H8589" t="s">
        <v>22</v>
      </c>
      <c r="I8589">
        <v>52</v>
      </c>
      <c r="J8589">
        <v>0</v>
      </c>
      <c r="K8589" s="1">
        <v>3060212</v>
      </c>
    </row>
    <row r="8590" spans="1:11" x14ac:dyDescent="0.25">
      <c r="A8590" t="s">
        <v>9</v>
      </c>
      <c r="B8590" t="s">
        <v>36</v>
      </c>
      <c r="C8590" t="s">
        <v>874</v>
      </c>
      <c r="D8590" t="s">
        <v>11</v>
      </c>
      <c r="E8590">
        <v>23</v>
      </c>
      <c r="F8590" s="2">
        <f>DATE(2026,IF(Tabla1[[#This Row],[Mes de Fecha]]="Septiembre",9,10),Tabla1[[#This Row],[Día de Fecha]])</f>
        <v>46288</v>
      </c>
      <c r="I8590">
        <v>0</v>
      </c>
      <c r="J8590" s="1">
        <v>1325083</v>
      </c>
      <c r="K8590">
        <v>0</v>
      </c>
    </row>
    <row r="8591" spans="1:11" x14ac:dyDescent="0.25">
      <c r="A8591" t="s">
        <v>9</v>
      </c>
      <c r="B8591" t="s">
        <v>36</v>
      </c>
      <c r="C8591" t="s">
        <v>874</v>
      </c>
      <c r="D8591" t="s">
        <v>11</v>
      </c>
      <c r="E8591">
        <v>23</v>
      </c>
      <c r="F8591" s="2">
        <f>DATE(2026,IF(Tabla1[[#This Row],[Mes de Fecha]]="Septiembre",9,10),Tabla1[[#This Row],[Día de Fecha]])</f>
        <v>46288</v>
      </c>
      <c r="G8591">
        <v>1004563904</v>
      </c>
      <c r="H8591" t="s">
        <v>37</v>
      </c>
      <c r="I8591">
        <v>43</v>
      </c>
      <c r="J8591">
        <v>0</v>
      </c>
      <c r="K8591" s="1">
        <v>2811220</v>
      </c>
    </row>
    <row r="8592" spans="1:11" x14ac:dyDescent="0.25">
      <c r="A8592" t="s">
        <v>9</v>
      </c>
      <c r="B8592" t="s">
        <v>36</v>
      </c>
      <c r="C8592" t="s">
        <v>874</v>
      </c>
      <c r="D8592" t="s">
        <v>11</v>
      </c>
      <c r="E8592">
        <v>23</v>
      </c>
      <c r="F8592" s="2">
        <f>DATE(2026,IF(Tabla1[[#This Row],[Mes de Fecha]]="Septiembre",9,10),Tabla1[[#This Row],[Día de Fecha]])</f>
        <v>46288</v>
      </c>
      <c r="G8592">
        <v>1004564278</v>
      </c>
      <c r="H8592" t="s">
        <v>38</v>
      </c>
      <c r="I8592">
        <v>40</v>
      </c>
      <c r="J8592">
        <v>0</v>
      </c>
      <c r="K8592" s="1">
        <v>2590760</v>
      </c>
    </row>
    <row r="8593" spans="1:11" x14ac:dyDescent="0.25">
      <c r="A8593" t="s">
        <v>9</v>
      </c>
      <c r="B8593" t="s">
        <v>36</v>
      </c>
      <c r="C8593" t="s">
        <v>874</v>
      </c>
      <c r="D8593" t="s">
        <v>11</v>
      </c>
      <c r="E8593">
        <v>24</v>
      </c>
      <c r="F8593" s="2">
        <f>DATE(2026,IF(Tabla1[[#This Row],[Mes de Fecha]]="Septiembre",9,10),Tabla1[[#This Row],[Día de Fecha]])</f>
        <v>46289</v>
      </c>
      <c r="I8593">
        <v>0</v>
      </c>
      <c r="J8593" s="1">
        <v>3426915</v>
      </c>
      <c r="K8593">
        <v>0</v>
      </c>
    </row>
    <row r="8594" spans="1:11" x14ac:dyDescent="0.25">
      <c r="A8594" t="s">
        <v>9</v>
      </c>
      <c r="B8594" t="s">
        <v>36</v>
      </c>
      <c r="C8594" t="s">
        <v>874</v>
      </c>
      <c r="D8594" t="s">
        <v>11</v>
      </c>
      <c r="E8594">
        <v>24</v>
      </c>
      <c r="F8594" s="2">
        <f>DATE(2026,IF(Tabla1[[#This Row],[Mes de Fecha]]="Septiembre",9,10),Tabla1[[#This Row],[Día de Fecha]])</f>
        <v>46289</v>
      </c>
      <c r="G8594">
        <v>1004563904</v>
      </c>
      <c r="H8594" t="s">
        <v>37</v>
      </c>
      <c r="I8594">
        <v>49</v>
      </c>
      <c r="J8594">
        <v>0</v>
      </c>
      <c r="K8594" s="1">
        <v>2628196</v>
      </c>
    </row>
    <row r="8595" spans="1:11" x14ac:dyDescent="0.25">
      <c r="A8595" t="s">
        <v>9</v>
      </c>
      <c r="B8595" t="s">
        <v>36</v>
      </c>
      <c r="C8595" t="s">
        <v>874</v>
      </c>
      <c r="D8595" t="s">
        <v>11</v>
      </c>
      <c r="E8595">
        <v>24</v>
      </c>
      <c r="F8595" s="2">
        <f>DATE(2026,IF(Tabla1[[#This Row],[Mes de Fecha]]="Septiembre",9,10),Tabla1[[#This Row],[Día de Fecha]])</f>
        <v>46289</v>
      </c>
      <c r="G8595">
        <v>1004564278</v>
      </c>
      <c r="H8595" t="s">
        <v>38</v>
      </c>
      <c r="I8595">
        <v>61</v>
      </c>
      <c r="J8595">
        <v>0</v>
      </c>
      <c r="K8595" s="1">
        <v>3383993</v>
      </c>
    </row>
    <row r="8596" spans="1:11" x14ac:dyDescent="0.25">
      <c r="A8596" t="s">
        <v>9</v>
      </c>
      <c r="B8596" t="s">
        <v>36</v>
      </c>
      <c r="C8596" t="s">
        <v>874</v>
      </c>
      <c r="D8596" t="s">
        <v>11</v>
      </c>
      <c r="E8596">
        <v>25</v>
      </c>
      <c r="F8596" s="2">
        <f>DATE(2026,IF(Tabla1[[#This Row],[Mes de Fecha]]="Septiembre",9,10),Tabla1[[#This Row],[Día de Fecha]])</f>
        <v>46290</v>
      </c>
      <c r="I8596">
        <v>0</v>
      </c>
      <c r="J8596" s="1">
        <v>3660134</v>
      </c>
      <c r="K8596">
        <v>0</v>
      </c>
    </row>
    <row r="8597" spans="1:11" x14ac:dyDescent="0.25">
      <c r="A8597" t="s">
        <v>9</v>
      </c>
      <c r="B8597" t="s">
        <v>36</v>
      </c>
      <c r="C8597" t="s">
        <v>874</v>
      </c>
      <c r="D8597" t="s">
        <v>11</v>
      </c>
      <c r="E8597">
        <v>25</v>
      </c>
      <c r="F8597" s="2">
        <f>DATE(2026,IF(Tabla1[[#This Row],[Mes de Fecha]]="Septiembre",9,10),Tabla1[[#This Row],[Día de Fecha]])</f>
        <v>46290</v>
      </c>
      <c r="G8597">
        <v>13069015</v>
      </c>
      <c r="H8597" t="s">
        <v>39</v>
      </c>
      <c r="I8597">
        <v>15</v>
      </c>
      <c r="J8597">
        <v>0</v>
      </c>
      <c r="K8597" s="1">
        <v>755675</v>
      </c>
    </row>
    <row r="8598" spans="1:11" x14ac:dyDescent="0.25">
      <c r="A8598" t="s">
        <v>9</v>
      </c>
      <c r="B8598" t="s">
        <v>36</v>
      </c>
      <c r="C8598" t="s">
        <v>874</v>
      </c>
      <c r="D8598" t="s">
        <v>11</v>
      </c>
      <c r="E8598">
        <v>25</v>
      </c>
      <c r="F8598" s="2">
        <f>DATE(2026,IF(Tabla1[[#This Row],[Mes de Fecha]]="Septiembre",9,10),Tabla1[[#This Row],[Día de Fecha]])</f>
        <v>46290</v>
      </c>
      <c r="G8598">
        <v>1004563904</v>
      </c>
      <c r="H8598" t="s">
        <v>37</v>
      </c>
      <c r="I8598">
        <v>49</v>
      </c>
      <c r="J8598">
        <v>0</v>
      </c>
      <c r="K8598" s="1">
        <v>2645004</v>
      </c>
    </row>
    <row r="8599" spans="1:11" x14ac:dyDescent="0.25">
      <c r="A8599" t="s">
        <v>9</v>
      </c>
      <c r="B8599" t="s">
        <v>36</v>
      </c>
      <c r="C8599" t="s">
        <v>874</v>
      </c>
      <c r="D8599" t="s">
        <v>11</v>
      </c>
      <c r="E8599">
        <v>25</v>
      </c>
      <c r="F8599" s="2">
        <f>DATE(2026,IF(Tabla1[[#This Row],[Mes de Fecha]]="Septiembre",9,10),Tabla1[[#This Row],[Día de Fecha]])</f>
        <v>46290</v>
      </c>
      <c r="G8599">
        <v>1004564278</v>
      </c>
      <c r="H8599" t="s">
        <v>38</v>
      </c>
      <c r="I8599">
        <v>58</v>
      </c>
      <c r="J8599">
        <v>0</v>
      </c>
      <c r="K8599" s="1">
        <v>3218153</v>
      </c>
    </row>
    <row r="8600" spans="1:11" x14ac:dyDescent="0.25">
      <c r="A8600" t="s">
        <v>9</v>
      </c>
      <c r="B8600" t="s">
        <v>36</v>
      </c>
      <c r="C8600" t="s">
        <v>874</v>
      </c>
      <c r="D8600" t="s">
        <v>11</v>
      </c>
      <c r="E8600">
        <v>26</v>
      </c>
      <c r="F8600" s="2">
        <f>DATE(2026,IF(Tabla1[[#This Row],[Mes de Fecha]]="Septiembre",9,10),Tabla1[[#This Row],[Día de Fecha]])</f>
        <v>46291</v>
      </c>
      <c r="I8600">
        <v>0</v>
      </c>
      <c r="J8600" s="1">
        <v>4615332</v>
      </c>
      <c r="K8600">
        <v>0</v>
      </c>
    </row>
    <row r="8601" spans="1:11" x14ac:dyDescent="0.25">
      <c r="A8601" t="s">
        <v>9</v>
      </c>
      <c r="B8601" t="s">
        <v>36</v>
      </c>
      <c r="C8601" t="s">
        <v>874</v>
      </c>
      <c r="D8601" t="s">
        <v>11</v>
      </c>
      <c r="E8601">
        <v>26</v>
      </c>
      <c r="F8601" s="2">
        <f>DATE(2026,IF(Tabla1[[#This Row],[Mes de Fecha]]="Septiembre",9,10),Tabla1[[#This Row],[Día de Fecha]])</f>
        <v>46291</v>
      </c>
      <c r="G8601">
        <v>13069015</v>
      </c>
      <c r="H8601" t="s">
        <v>39</v>
      </c>
      <c r="I8601">
        <v>58</v>
      </c>
      <c r="J8601">
        <v>0</v>
      </c>
      <c r="K8601" s="1">
        <v>2871491</v>
      </c>
    </row>
    <row r="8602" spans="1:11" x14ac:dyDescent="0.25">
      <c r="A8602" t="s">
        <v>9</v>
      </c>
      <c r="B8602" t="s">
        <v>36</v>
      </c>
      <c r="C8602" t="s">
        <v>874</v>
      </c>
      <c r="D8602" t="s">
        <v>11</v>
      </c>
      <c r="E8602">
        <v>26</v>
      </c>
      <c r="F8602" s="2">
        <f>DATE(2026,IF(Tabla1[[#This Row],[Mes de Fecha]]="Septiembre",9,10),Tabla1[[#This Row],[Día de Fecha]])</f>
        <v>46291</v>
      </c>
      <c r="G8602">
        <v>1004563904</v>
      </c>
      <c r="H8602" t="s">
        <v>37</v>
      </c>
      <c r="I8602">
        <v>47</v>
      </c>
      <c r="J8602">
        <v>0</v>
      </c>
      <c r="K8602" s="1">
        <v>2611220</v>
      </c>
    </row>
    <row r="8603" spans="1:11" x14ac:dyDescent="0.25">
      <c r="A8603" t="s">
        <v>9</v>
      </c>
      <c r="B8603" t="s">
        <v>36</v>
      </c>
      <c r="C8603" t="s">
        <v>874</v>
      </c>
      <c r="D8603" t="s">
        <v>11</v>
      </c>
      <c r="E8603">
        <v>26</v>
      </c>
      <c r="F8603" s="2">
        <f>DATE(2026,IF(Tabla1[[#This Row],[Mes de Fecha]]="Septiembre",9,10),Tabla1[[#This Row],[Día de Fecha]])</f>
        <v>46291</v>
      </c>
      <c r="G8603">
        <v>1004564278</v>
      </c>
      <c r="H8603" t="s">
        <v>38</v>
      </c>
      <c r="I8603">
        <v>47</v>
      </c>
      <c r="J8603">
        <v>0</v>
      </c>
      <c r="K8603" s="1">
        <v>2777419</v>
      </c>
    </row>
    <row r="8604" spans="1:11" x14ac:dyDescent="0.25">
      <c r="A8604" t="s">
        <v>9</v>
      </c>
      <c r="B8604" t="s">
        <v>36</v>
      </c>
      <c r="C8604" t="s">
        <v>874</v>
      </c>
      <c r="D8604" t="s">
        <v>11</v>
      </c>
      <c r="E8604">
        <v>27</v>
      </c>
      <c r="F8604" s="2">
        <f>DATE(2026,IF(Tabla1[[#This Row],[Mes de Fecha]]="Septiembre",9,10),Tabla1[[#This Row],[Día de Fecha]])</f>
        <v>46292</v>
      </c>
      <c r="I8604">
        <v>0</v>
      </c>
      <c r="J8604" s="1">
        <v>2436853</v>
      </c>
      <c r="K8604">
        <v>0</v>
      </c>
    </row>
    <row r="8605" spans="1:11" x14ac:dyDescent="0.25">
      <c r="A8605" t="s">
        <v>9</v>
      </c>
      <c r="B8605" t="s">
        <v>36</v>
      </c>
      <c r="C8605" t="s">
        <v>874</v>
      </c>
      <c r="D8605" t="s">
        <v>11</v>
      </c>
      <c r="E8605">
        <v>27</v>
      </c>
      <c r="F8605" s="2">
        <f>DATE(2026,IF(Tabla1[[#This Row],[Mes de Fecha]]="Septiembre",9,10),Tabla1[[#This Row],[Día de Fecha]])</f>
        <v>46292</v>
      </c>
      <c r="G8605">
        <v>13069015</v>
      </c>
      <c r="H8605" t="s">
        <v>39</v>
      </c>
      <c r="I8605">
        <v>22</v>
      </c>
      <c r="J8605">
        <v>0</v>
      </c>
      <c r="K8605" s="1">
        <v>1528405</v>
      </c>
    </row>
    <row r="8606" spans="1:11" x14ac:dyDescent="0.25">
      <c r="A8606" t="s">
        <v>9</v>
      </c>
      <c r="B8606" t="s">
        <v>36</v>
      </c>
      <c r="C8606" t="s">
        <v>874</v>
      </c>
      <c r="D8606" t="s">
        <v>11</v>
      </c>
      <c r="E8606">
        <v>27</v>
      </c>
      <c r="F8606" s="2">
        <f>DATE(2026,IF(Tabla1[[#This Row],[Mes de Fecha]]="Septiembre",9,10),Tabla1[[#This Row],[Día de Fecha]])</f>
        <v>46292</v>
      </c>
      <c r="G8606">
        <v>1004563904</v>
      </c>
      <c r="H8606" t="s">
        <v>37</v>
      </c>
      <c r="I8606">
        <v>7</v>
      </c>
      <c r="J8606">
        <v>0</v>
      </c>
      <c r="K8606" s="1">
        <v>419874</v>
      </c>
    </row>
    <row r="8607" spans="1:11" x14ac:dyDescent="0.25">
      <c r="A8607" t="s">
        <v>9</v>
      </c>
      <c r="B8607" t="s">
        <v>36</v>
      </c>
      <c r="C8607" t="s">
        <v>874</v>
      </c>
      <c r="D8607" t="s">
        <v>11</v>
      </c>
      <c r="E8607">
        <v>27</v>
      </c>
      <c r="F8607" s="2">
        <f>DATE(2026,IF(Tabla1[[#This Row],[Mes de Fecha]]="Septiembre",9,10),Tabla1[[#This Row],[Día de Fecha]])</f>
        <v>46292</v>
      </c>
      <c r="G8607">
        <v>1004564278</v>
      </c>
      <c r="H8607" t="s">
        <v>38</v>
      </c>
      <c r="I8607">
        <v>10</v>
      </c>
      <c r="J8607">
        <v>0</v>
      </c>
      <c r="K8607" s="1">
        <v>743278</v>
      </c>
    </row>
    <row r="8608" spans="1:11" x14ac:dyDescent="0.25">
      <c r="A8608" t="s">
        <v>9</v>
      </c>
      <c r="B8608" t="s">
        <v>36</v>
      </c>
      <c r="C8608" t="s">
        <v>874</v>
      </c>
      <c r="D8608" t="s">
        <v>11</v>
      </c>
      <c r="E8608">
        <v>28</v>
      </c>
      <c r="F8608" s="2">
        <f>DATE(2026,IF(Tabla1[[#This Row],[Mes de Fecha]]="Septiembre",9,10),Tabla1[[#This Row],[Día de Fecha]])</f>
        <v>46293</v>
      </c>
      <c r="I8608">
        <v>0</v>
      </c>
      <c r="J8608" s="1">
        <v>1997955</v>
      </c>
      <c r="K8608">
        <v>0</v>
      </c>
    </row>
    <row r="8609" spans="1:11" x14ac:dyDescent="0.25">
      <c r="A8609" t="s">
        <v>9</v>
      </c>
      <c r="B8609" t="s">
        <v>36</v>
      </c>
      <c r="C8609" t="s">
        <v>874</v>
      </c>
      <c r="D8609" t="s">
        <v>11</v>
      </c>
      <c r="E8609">
        <v>28</v>
      </c>
      <c r="F8609" s="2">
        <f>DATE(2026,IF(Tabla1[[#This Row],[Mes de Fecha]]="Septiembre",9,10),Tabla1[[#This Row],[Día de Fecha]])</f>
        <v>46293</v>
      </c>
      <c r="G8609">
        <v>1004563904</v>
      </c>
      <c r="H8609" t="s">
        <v>37</v>
      </c>
      <c r="I8609">
        <v>14</v>
      </c>
      <c r="J8609">
        <v>0</v>
      </c>
      <c r="K8609" s="1">
        <v>631681</v>
      </c>
    </row>
    <row r="8610" spans="1:11" x14ac:dyDescent="0.25">
      <c r="A8610" t="s">
        <v>9</v>
      </c>
      <c r="B8610" t="s">
        <v>36</v>
      </c>
      <c r="C8610" t="s">
        <v>874</v>
      </c>
      <c r="D8610" t="s">
        <v>11</v>
      </c>
      <c r="E8610">
        <v>28</v>
      </c>
      <c r="F8610" s="2">
        <f>DATE(2026,IF(Tabla1[[#This Row],[Mes de Fecha]]="Septiembre",9,10),Tabla1[[#This Row],[Día de Fecha]])</f>
        <v>46293</v>
      </c>
      <c r="G8610">
        <v>1004564278</v>
      </c>
      <c r="H8610" t="s">
        <v>38</v>
      </c>
      <c r="I8610">
        <v>10</v>
      </c>
      <c r="J8610">
        <v>0</v>
      </c>
      <c r="K8610" s="1">
        <v>606724</v>
      </c>
    </row>
    <row r="8611" spans="1:11" x14ac:dyDescent="0.25">
      <c r="A8611" t="s">
        <v>9</v>
      </c>
      <c r="B8611" t="s">
        <v>36</v>
      </c>
      <c r="C8611" t="s">
        <v>874</v>
      </c>
      <c r="D8611" t="s">
        <v>11</v>
      </c>
      <c r="E8611">
        <v>29</v>
      </c>
      <c r="F8611" s="2">
        <f>DATE(2026,IF(Tabla1[[#This Row],[Mes de Fecha]]="Septiembre",9,10),Tabla1[[#This Row],[Día de Fecha]])</f>
        <v>46294</v>
      </c>
      <c r="I8611">
        <v>0</v>
      </c>
      <c r="J8611" s="1">
        <v>2221136</v>
      </c>
      <c r="K8611">
        <v>0</v>
      </c>
    </row>
    <row r="8612" spans="1:11" x14ac:dyDescent="0.25">
      <c r="A8612" t="s">
        <v>9</v>
      </c>
      <c r="B8612" t="s">
        <v>36</v>
      </c>
      <c r="C8612" t="s">
        <v>874</v>
      </c>
      <c r="D8612" t="s">
        <v>11</v>
      </c>
      <c r="E8612">
        <v>29</v>
      </c>
      <c r="F8612" s="2">
        <f>DATE(2026,IF(Tabla1[[#This Row],[Mes de Fecha]]="Septiembre",9,10),Tabla1[[#This Row],[Día de Fecha]])</f>
        <v>46294</v>
      </c>
      <c r="G8612">
        <v>1004563904</v>
      </c>
      <c r="H8612" t="s">
        <v>37</v>
      </c>
      <c r="I8612">
        <v>31</v>
      </c>
      <c r="J8612">
        <v>0</v>
      </c>
      <c r="K8612" s="1">
        <v>1370253</v>
      </c>
    </row>
    <row r="8613" spans="1:11" x14ac:dyDescent="0.25">
      <c r="A8613" t="s">
        <v>9</v>
      </c>
      <c r="B8613" t="s">
        <v>36</v>
      </c>
      <c r="C8613" t="s">
        <v>874</v>
      </c>
      <c r="D8613" t="s">
        <v>11</v>
      </c>
      <c r="E8613">
        <v>29</v>
      </c>
      <c r="F8613" s="2">
        <f>DATE(2026,IF(Tabla1[[#This Row],[Mes de Fecha]]="Septiembre",9,10),Tabla1[[#This Row],[Día de Fecha]])</f>
        <v>46294</v>
      </c>
      <c r="G8613">
        <v>1004564278</v>
      </c>
      <c r="H8613" t="s">
        <v>38</v>
      </c>
      <c r="I8613">
        <v>21</v>
      </c>
      <c r="J8613">
        <v>0</v>
      </c>
      <c r="K8613" s="1">
        <v>921346</v>
      </c>
    </row>
    <row r="8614" spans="1:11" x14ac:dyDescent="0.25">
      <c r="A8614" t="s">
        <v>9</v>
      </c>
      <c r="B8614" t="s">
        <v>36</v>
      </c>
      <c r="C8614" t="s">
        <v>874</v>
      </c>
      <c r="D8614" t="s">
        <v>11</v>
      </c>
      <c r="E8614">
        <v>30</v>
      </c>
      <c r="F8614" s="2">
        <f>DATE(2026,IF(Tabla1[[#This Row],[Mes de Fecha]]="Septiembre",9,10),Tabla1[[#This Row],[Día de Fecha]])</f>
        <v>46295</v>
      </c>
      <c r="I8614">
        <v>0</v>
      </c>
      <c r="J8614" s="1">
        <v>2352252</v>
      </c>
      <c r="K8614">
        <v>0</v>
      </c>
    </row>
    <row r="8615" spans="1:11" x14ac:dyDescent="0.25">
      <c r="A8615" t="s">
        <v>9</v>
      </c>
      <c r="B8615" t="s">
        <v>36</v>
      </c>
      <c r="C8615" t="s">
        <v>874</v>
      </c>
      <c r="D8615" t="s">
        <v>11</v>
      </c>
      <c r="E8615">
        <v>30</v>
      </c>
      <c r="F8615" s="2">
        <f>DATE(2026,IF(Tabla1[[#This Row],[Mes de Fecha]]="Septiembre",9,10),Tabla1[[#This Row],[Día de Fecha]])</f>
        <v>46295</v>
      </c>
      <c r="G8615">
        <v>1004563904</v>
      </c>
      <c r="H8615" t="s">
        <v>37</v>
      </c>
      <c r="I8615">
        <v>22</v>
      </c>
      <c r="J8615">
        <v>0</v>
      </c>
      <c r="K8615" s="1">
        <v>1204918</v>
      </c>
    </row>
    <row r="8616" spans="1:11" x14ac:dyDescent="0.25">
      <c r="A8616" t="s">
        <v>9</v>
      </c>
      <c r="B8616" t="s">
        <v>36</v>
      </c>
      <c r="C8616" t="s">
        <v>874</v>
      </c>
      <c r="D8616" t="s">
        <v>11</v>
      </c>
      <c r="E8616">
        <v>30</v>
      </c>
      <c r="F8616" s="2">
        <f>DATE(2026,IF(Tabla1[[#This Row],[Mes de Fecha]]="Septiembre",9,10),Tabla1[[#This Row],[Día de Fecha]])</f>
        <v>46295</v>
      </c>
      <c r="G8616">
        <v>1004564278</v>
      </c>
      <c r="H8616" t="s">
        <v>38</v>
      </c>
      <c r="I8616">
        <v>20</v>
      </c>
      <c r="J8616">
        <v>0</v>
      </c>
      <c r="K8616" s="1">
        <v>940252</v>
      </c>
    </row>
    <row r="8617" spans="1:11" x14ac:dyDescent="0.25">
      <c r="A8617" t="s">
        <v>9</v>
      </c>
      <c r="B8617" t="s">
        <v>36</v>
      </c>
      <c r="C8617" t="s">
        <v>874</v>
      </c>
      <c r="D8617" t="s">
        <v>14</v>
      </c>
      <c r="E8617">
        <v>1</v>
      </c>
      <c r="F8617" s="2">
        <f>DATE(2026,IF(Tabla1[[#This Row],[Mes de Fecha]]="Septiembre",9,10),Tabla1[[#This Row],[Día de Fecha]])</f>
        <v>46296</v>
      </c>
      <c r="I8617">
        <v>0</v>
      </c>
      <c r="J8617" s="1">
        <v>6970817</v>
      </c>
      <c r="K8617">
        <v>0</v>
      </c>
    </row>
    <row r="8618" spans="1:11" x14ac:dyDescent="0.25">
      <c r="A8618" t="s">
        <v>9</v>
      </c>
      <c r="B8618" t="s">
        <v>36</v>
      </c>
      <c r="C8618" t="s">
        <v>874</v>
      </c>
      <c r="D8618" t="s">
        <v>14</v>
      </c>
      <c r="E8618">
        <v>1</v>
      </c>
      <c r="F8618" s="2">
        <f>DATE(2026,IF(Tabla1[[#This Row],[Mes de Fecha]]="Septiembre",9,10),Tabla1[[#This Row],[Día de Fecha]])</f>
        <v>46296</v>
      </c>
      <c r="G8618">
        <v>1004563904</v>
      </c>
      <c r="H8618" t="s">
        <v>37</v>
      </c>
      <c r="I8618">
        <v>32</v>
      </c>
      <c r="J8618">
        <v>0</v>
      </c>
      <c r="K8618" s="1">
        <v>1578026</v>
      </c>
    </row>
    <row r="8619" spans="1:11" x14ac:dyDescent="0.25">
      <c r="A8619" t="s">
        <v>9</v>
      </c>
      <c r="B8619" t="s">
        <v>36</v>
      </c>
      <c r="C8619" t="s">
        <v>874</v>
      </c>
      <c r="D8619" t="s">
        <v>14</v>
      </c>
      <c r="E8619">
        <v>1</v>
      </c>
      <c r="F8619" s="2">
        <f>DATE(2026,IF(Tabla1[[#This Row],[Mes de Fecha]]="Septiembre",9,10),Tabla1[[#This Row],[Día de Fecha]])</f>
        <v>46296</v>
      </c>
      <c r="G8619">
        <v>1004564278</v>
      </c>
      <c r="H8619" t="s">
        <v>38</v>
      </c>
      <c r="I8619">
        <v>24</v>
      </c>
      <c r="J8619">
        <v>0</v>
      </c>
      <c r="K8619" s="1">
        <v>1578742</v>
      </c>
    </row>
    <row r="8620" spans="1:11" x14ac:dyDescent="0.25">
      <c r="A8620" t="s">
        <v>9</v>
      </c>
      <c r="B8620" t="s">
        <v>36</v>
      </c>
      <c r="C8620" t="s">
        <v>874</v>
      </c>
      <c r="D8620" t="s">
        <v>14</v>
      </c>
      <c r="E8620">
        <v>2</v>
      </c>
      <c r="F8620" s="2">
        <f>DATE(2026,IF(Tabla1[[#This Row],[Mes de Fecha]]="Septiembre",9,10),Tabla1[[#This Row],[Día de Fecha]])</f>
        <v>46297</v>
      </c>
      <c r="I8620">
        <v>0</v>
      </c>
      <c r="J8620" s="1">
        <v>6785322</v>
      </c>
      <c r="K8620">
        <v>0</v>
      </c>
    </row>
    <row r="8621" spans="1:11" x14ac:dyDescent="0.25">
      <c r="A8621" t="s">
        <v>9</v>
      </c>
      <c r="B8621" t="s">
        <v>36</v>
      </c>
      <c r="C8621" t="s">
        <v>874</v>
      </c>
      <c r="D8621" t="s">
        <v>14</v>
      </c>
      <c r="E8621">
        <v>2</v>
      </c>
      <c r="F8621" s="2">
        <f>DATE(2026,IF(Tabla1[[#This Row],[Mes de Fecha]]="Septiembre",9,10),Tabla1[[#This Row],[Día de Fecha]])</f>
        <v>46297</v>
      </c>
      <c r="G8621">
        <v>1004563904</v>
      </c>
      <c r="H8621" t="s">
        <v>37</v>
      </c>
      <c r="I8621">
        <v>21</v>
      </c>
      <c r="J8621">
        <v>0</v>
      </c>
      <c r="K8621" s="1">
        <v>931766</v>
      </c>
    </row>
    <row r="8622" spans="1:11" x14ac:dyDescent="0.25">
      <c r="A8622" t="s">
        <v>9</v>
      </c>
      <c r="B8622" t="s">
        <v>36</v>
      </c>
      <c r="C8622" t="s">
        <v>874</v>
      </c>
      <c r="D8622" t="s">
        <v>14</v>
      </c>
      <c r="E8622">
        <v>2</v>
      </c>
      <c r="F8622" s="2">
        <f>DATE(2026,IF(Tabla1[[#This Row],[Mes de Fecha]]="Septiembre",9,10),Tabla1[[#This Row],[Día de Fecha]])</f>
        <v>46297</v>
      </c>
      <c r="G8622">
        <v>1004564278</v>
      </c>
      <c r="H8622" t="s">
        <v>38</v>
      </c>
      <c r="I8622">
        <v>39</v>
      </c>
      <c r="J8622">
        <v>0</v>
      </c>
      <c r="K8622" s="1">
        <v>2059162</v>
      </c>
    </row>
    <row r="8623" spans="1:11" x14ac:dyDescent="0.25">
      <c r="A8623" t="s">
        <v>9</v>
      </c>
      <c r="B8623" t="s">
        <v>36</v>
      </c>
      <c r="C8623" t="s">
        <v>874</v>
      </c>
      <c r="D8623" t="s">
        <v>14</v>
      </c>
      <c r="E8623">
        <v>3</v>
      </c>
      <c r="F8623" s="2">
        <f>DATE(2026,IF(Tabla1[[#This Row],[Mes de Fecha]]="Septiembre",9,10),Tabla1[[#This Row],[Día de Fecha]])</f>
        <v>46298</v>
      </c>
      <c r="I8623">
        <v>0</v>
      </c>
      <c r="J8623" s="1">
        <v>11130846</v>
      </c>
      <c r="K8623">
        <v>0</v>
      </c>
    </row>
    <row r="8624" spans="1:11" x14ac:dyDescent="0.25">
      <c r="A8624" t="s">
        <v>9</v>
      </c>
      <c r="B8624" t="s">
        <v>36</v>
      </c>
      <c r="C8624" t="s">
        <v>874</v>
      </c>
      <c r="D8624" t="s">
        <v>14</v>
      </c>
      <c r="E8624">
        <v>3</v>
      </c>
      <c r="F8624" s="2">
        <f>DATE(2026,IF(Tabla1[[#This Row],[Mes de Fecha]]="Septiembre",9,10),Tabla1[[#This Row],[Día de Fecha]])</f>
        <v>46298</v>
      </c>
      <c r="G8624">
        <v>1004563904</v>
      </c>
      <c r="H8624" t="s">
        <v>37</v>
      </c>
      <c r="I8624">
        <v>34</v>
      </c>
      <c r="J8624">
        <v>0</v>
      </c>
      <c r="K8624" s="1">
        <v>1685642</v>
      </c>
    </row>
    <row r="8625" spans="1:11" x14ac:dyDescent="0.25">
      <c r="A8625" t="s">
        <v>9</v>
      </c>
      <c r="B8625" t="s">
        <v>36</v>
      </c>
      <c r="C8625" t="s">
        <v>874</v>
      </c>
      <c r="D8625" t="s">
        <v>14</v>
      </c>
      <c r="E8625">
        <v>3</v>
      </c>
      <c r="F8625" s="2">
        <f>DATE(2026,IF(Tabla1[[#This Row],[Mes de Fecha]]="Septiembre",9,10),Tabla1[[#This Row],[Día de Fecha]])</f>
        <v>46298</v>
      </c>
      <c r="G8625">
        <v>1004564278</v>
      </c>
      <c r="H8625" t="s">
        <v>38</v>
      </c>
      <c r="I8625">
        <v>38</v>
      </c>
      <c r="J8625">
        <v>0</v>
      </c>
      <c r="K8625" s="1">
        <v>2293254</v>
      </c>
    </row>
    <row r="8626" spans="1:11" x14ac:dyDescent="0.25">
      <c r="A8626" t="s">
        <v>9</v>
      </c>
      <c r="B8626" t="s">
        <v>36</v>
      </c>
      <c r="C8626" t="s">
        <v>874</v>
      </c>
      <c r="D8626" t="s">
        <v>14</v>
      </c>
      <c r="E8626">
        <v>4</v>
      </c>
      <c r="F8626" s="2">
        <f>DATE(2026,IF(Tabla1[[#This Row],[Mes de Fecha]]="Septiembre",9,10),Tabla1[[#This Row],[Día de Fecha]])</f>
        <v>46299</v>
      </c>
      <c r="I8626">
        <v>0</v>
      </c>
      <c r="J8626" s="1">
        <v>3622209</v>
      </c>
      <c r="K8626">
        <v>0</v>
      </c>
    </row>
    <row r="8627" spans="1:11" x14ac:dyDescent="0.25">
      <c r="A8627" t="s">
        <v>9</v>
      </c>
      <c r="B8627" t="s">
        <v>36</v>
      </c>
      <c r="C8627" t="s">
        <v>874</v>
      </c>
      <c r="D8627" t="s">
        <v>14</v>
      </c>
      <c r="E8627">
        <v>4</v>
      </c>
      <c r="F8627" s="2">
        <f>DATE(2026,IF(Tabla1[[#This Row],[Mes de Fecha]]="Septiembre",9,10),Tabla1[[#This Row],[Día de Fecha]])</f>
        <v>46299</v>
      </c>
      <c r="G8627">
        <v>1004563904</v>
      </c>
      <c r="H8627" t="s">
        <v>37</v>
      </c>
      <c r="I8627">
        <v>17</v>
      </c>
      <c r="J8627">
        <v>0</v>
      </c>
      <c r="K8627" s="1">
        <v>910841</v>
      </c>
    </row>
    <row r="8628" spans="1:11" x14ac:dyDescent="0.25">
      <c r="A8628" t="s">
        <v>9</v>
      </c>
      <c r="B8628" t="s">
        <v>36</v>
      </c>
      <c r="C8628" t="s">
        <v>874</v>
      </c>
      <c r="D8628" t="s">
        <v>14</v>
      </c>
      <c r="E8628">
        <v>4</v>
      </c>
      <c r="F8628" s="2">
        <f>DATE(2026,IF(Tabla1[[#This Row],[Mes de Fecha]]="Septiembre",9,10),Tabla1[[#This Row],[Día de Fecha]])</f>
        <v>46299</v>
      </c>
      <c r="G8628">
        <v>1004564278</v>
      </c>
      <c r="H8628" t="s">
        <v>38</v>
      </c>
      <c r="I8628">
        <v>23</v>
      </c>
      <c r="J8628">
        <v>0</v>
      </c>
      <c r="K8628" s="1">
        <v>1406554</v>
      </c>
    </row>
    <row r="8629" spans="1:11" x14ac:dyDescent="0.25">
      <c r="A8629" t="s">
        <v>9</v>
      </c>
      <c r="B8629" t="s">
        <v>36</v>
      </c>
      <c r="C8629" t="s">
        <v>874</v>
      </c>
      <c r="D8629" t="s">
        <v>14</v>
      </c>
      <c r="E8629">
        <v>5</v>
      </c>
      <c r="F8629" s="2">
        <f>DATE(2026,IF(Tabla1[[#This Row],[Mes de Fecha]]="Septiembre",9,10),Tabla1[[#This Row],[Día de Fecha]])</f>
        <v>46300</v>
      </c>
      <c r="I8629">
        <v>0</v>
      </c>
      <c r="J8629" s="1">
        <v>5287076</v>
      </c>
      <c r="K8629">
        <v>0</v>
      </c>
    </row>
    <row r="8630" spans="1:11" x14ac:dyDescent="0.25">
      <c r="A8630" t="s">
        <v>9</v>
      </c>
      <c r="B8630" t="s">
        <v>36</v>
      </c>
      <c r="C8630" t="s">
        <v>874</v>
      </c>
      <c r="D8630" t="s">
        <v>14</v>
      </c>
      <c r="E8630">
        <v>5</v>
      </c>
      <c r="F8630" s="2">
        <f>DATE(2026,IF(Tabla1[[#This Row],[Mes de Fecha]]="Septiembre",9,10),Tabla1[[#This Row],[Día de Fecha]])</f>
        <v>46300</v>
      </c>
      <c r="G8630">
        <v>1004563904</v>
      </c>
      <c r="H8630" t="s">
        <v>37</v>
      </c>
      <c r="I8630">
        <v>9</v>
      </c>
      <c r="J8630">
        <v>0</v>
      </c>
      <c r="K8630" s="1">
        <v>461765</v>
      </c>
    </row>
    <row r="8631" spans="1:11" x14ac:dyDescent="0.25">
      <c r="A8631" t="s">
        <v>9</v>
      </c>
      <c r="B8631" t="s">
        <v>36</v>
      </c>
      <c r="C8631" t="s">
        <v>874</v>
      </c>
      <c r="D8631" t="s">
        <v>14</v>
      </c>
      <c r="E8631">
        <v>5</v>
      </c>
      <c r="F8631" s="2">
        <f>DATE(2026,IF(Tabla1[[#This Row],[Mes de Fecha]]="Septiembre",9,10),Tabla1[[#This Row],[Día de Fecha]])</f>
        <v>46300</v>
      </c>
      <c r="G8631">
        <v>1004564278</v>
      </c>
      <c r="H8631" t="s">
        <v>38</v>
      </c>
      <c r="I8631">
        <v>18</v>
      </c>
      <c r="J8631">
        <v>0</v>
      </c>
      <c r="K8631" s="1">
        <v>923488</v>
      </c>
    </row>
    <row r="8632" spans="1:11" x14ac:dyDescent="0.25">
      <c r="A8632" t="s">
        <v>9</v>
      </c>
      <c r="B8632" t="s">
        <v>36</v>
      </c>
      <c r="C8632" t="s">
        <v>874</v>
      </c>
      <c r="D8632" t="s">
        <v>14</v>
      </c>
      <c r="E8632">
        <v>6</v>
      </c>
      <c r="F8632" s="2">
        <f>DATE(2026,IF(Tabla1[[#This Row],[Mes de Fecha]]="Septiembre",9,10),Tabla1[[#This Row],[Día de Fecha]])</f>
        <v>46301</v>
      </c>
      <c r="I8632">
        <v>0</v>
      </c>
      <c r="J8632" s="1">
        <v>3090645</v>
      </c>
      <c r="K8632">
        <v>0</v>
      </c>
    </row>
    <row r="8633" spans="1:11" x14ac:dyDescent="0.25">
      <c r="A8633" t="s">
        <v>9</v>
      </c>
      <c r="B8633" t="s">
        <v>36</v>
      </c>
      <c r="C8633" t="s">
        <v>874</v>
      </c>
      <c r="D8633" t="s">
        <v>14</v>
      </c>
      <c r="E8633">
        <v>6</v>
      </c>
      <c r="F8633" s="2">
        <f>DATE(2026,IF(Tabla1[[#This Row],[Mes de Fecha]]="Septiembre",9,10),Tabla1[[#This Row],[Día de Fecha]])</f>
        <v>46301</v>
      </c>
      <c r="G8633">
        <v>1004563904</v>
      </c>
      <c r="H8633" t="s">
        <v>37</v>
      </c>
      <c r="I8633">
        <v>18</v>
      </c>
      <c r="J8633">
        <v>0</v>
      </c>
      <c r="K8633" s="1">
        <v>933670</v>
      </c>
    </row>
    <row r="8634" spans="1:11" x14ac:dyDescent="0.25">
      <c r="A8634" t="s">
        <v>9</v>
      </c>
      <c r="B8634" t="s">
        <v>36</v>
      </c>
      <c r="C8634" t="s">
        <v>874</v>
      </c>
      <c r="D8634" t="s">
        <v>14</v>
      </c>
      <c r="E8634">
        <v>6</v>
      </c>
      <c r="F8634" s="2">
        <f>DATE(2026,IF(Tabla1[[#This Row],[Mes de Fecha]]="Septiembre",9,10),Tabla1[[#This Row],[Día de Fecha]])</f>
        <v>46301</v>
      </c>
      <c r="G8634">
        <v>1004564278</v>
      </c>
      <c r="H8634" t="s">
        <v>38</v>
      </c>
      <c r="I8634">
        <v>18</v>
      </c>
      <c r="J8634">
        <v>0</v>
      </c>
      <c r="K8634" s="1">
        <v>765969</v>
      </c>
    </row>
    <row r="8635" spans="1:11" x14ac:dyDescent="0.25">
      <c r="A8635" t="s">
        <v>9</v>
      </c>
      <c r="B8635" t="s">
        <v>36</v>
      </c>
      <c r="C8635" t="s">
        <v>874</v>
      </c>
      <c r="D8635" t="s">
        <v>14</v>
      </c>
      <c r="E8635">
        <v>7</v>
      </c>
      <c r="F8635" s="2">
        <f>DATE(2026,IF(Tabla1[[#This Row],[Mes de Fecha]]="Septiembre",9,10),Tabla1[[#This Row],[Día de Fecha]])</f>
        <v>46302</v>
      </c>
      <c r="I8635">
        <v>0</v>
      </c>
      <c r="J8635" s="1">
        <v>312745</v>
      </c>
      <c r="K8635">
        <v>0</v>
      </c>
    </row>
    <row r="8636" spans="1:11" x14ac:dyDescent="0.25">
      <c r="A8636" t="s">
        <v>9</v>
      </c>
      <c r="B8636" t="s">
        <v>36</v>
      </c>
      <c r="C8636" t="s">
        <v>874</v>
      </c>
      <c r="D8636" t="s">
        <v>14</v>
      </c>
      <c r="E8636">
        <v>7</v>
      </c>
      <c r="F8636" s="2">
        <f>DATE(2026,IF(Tabla1[[#This Row],[Mes de Fecha]]="Septiembre",9,10),Tabla1[[#This Row],[Día de Fecha]])</f>
        <v>46302</v>
      </c>
      <c r="G8636">
        <v>1004563904</v>
      </c>
      <c r="H8636" t="s">
        <v>37</v>
      </c>
      <c r="I8636">
        <v>14</v>
      </c>
      <c r="J8636">
        <v>0</v>
      </c>
      <c r="K8636" s="1">
        <v>625379</v>
      </c>
    </row>
    <row r="8637" spans="1:11" x14ac:dyDescent="0.25">
      <c r="A8637" t="s">
        <v>9</v>
      </c>
      <c r="B8637" t="s">
        <v>36</v>
      </c>
      <c r="C8637" t="s">
        <v>874</v>
      </c>
      <c r="D8637" t="s">
        <v>14</v>
      </c>
      <c r="E8637">
        <v>7</v>
      </c>
      <c r="F8637" s="2">
        <f>DATE(2026,IF(Tabla1[[#This Row],[Mes de Fecha]]="Septiembre",9,10),Tabla1[[#This Row],[Día de Fecha]])</f>
        <v>46302</v>
      </c>
      <c r="G8637">
        <v>1004564278</v>
      </c>
      <c r="H8637" t="s">
        <v>38</v>
      </c>
      <c r="I8637">
        <v>25</v>
      </c>
      <c r="J8637">
        <v>0</v>
      </c>
      <c r="K8637" s="1">
        <v>1572312</v>
      </c>
    </row>
    <row r="8638" spans="1:11" x14ac:dyDescent="0.25">
      <c r="A8638" t="s">
        <v>326</v>
      </c>
      <c r="B8638" t="s">
        <v>523</v>
      </c>
      <c r="C8638" t="s">
        <v>874</v>
      </c>
      <c r="D8638" t="s">
        <v>11</v>
      </c>
      <c r="E8638">
        <v>23</v>
      </c>
      <c r="F8638" s="2">
        <f>DATE(2026,IF(Tabla1[[#This Row],[Mes de Fecha]]="Septiembre",9,10),Tabla1[[#This Row],[Día de Fecha]])</f>
        <v>46288</v>
      </c>
      <c r="I8638">
        <v>0</v>
      </c>
      <c r="J8638" s="1">
        <v>8713029</v>
      </c>
      <c r="K8638">
        <v>0</v>
      </c>
    </row>
    <row r="8639" spans="1:11" x14ac:dyDescent="0.25">
      <c r="A8639" t="s">
        <v>326</v>
      </c>
      <c r="B8639" t="s">
        <v>523</v>
      </c>
      <c r="C8639" t="s">
        <v>874</v>
      </c>
      <c r="D8639" t="s">
        <v>11</v>
      </c>
      <c r="E8639">
        <v>23</v>
      </c>
      <c r="F8639" s="2">
        <f>DATE(2026,IF(Tabla1[[#This Row],[Mes de Fecha]]="Septiembre",9,10),Tabla1[[#This Row],[Día de Fecha]])</f>
        <v>46288</v>
      </c>
      <c r="G8639">
        <v>1004217416</v>
      </c>
      <c r="H8639" t="s">
        <v>527</v>
      </c>
      <c r="I8639">
        <v>18</v>
      </c>
      <c r="J8639">
        <v>0</v>
      </c>
      <c r="K8639" s="1">
        <v>1385799</v>
      </c>
    </row>
    <row r="8640" spans="1:11" x14ac:dyDescent="0.25">
      <c r="A8640" t="s">
        <v>326</v>
      </c>
      <c r="B8640" t="s">
        <v>523</v>
      </c>
      <c r="C8640" t="s">
        <v>874</v>
      </c>
      <c r="D8640" t="s">
        <v>11</v>
      </c>
      <c r="E8640">
        <v>23</v>
      </c>
      <c r="F8640" s="2">
        <f>DATE(2026,IF(Tabla1[[#This Row],[Mes de Fecha]]="Septiembre",9,10),Tabla1[[#This Row],[Día de Fecha]])</f>
        <v>46288</v>
      </c>
      <c r="G8640">
        <v>1004236530</v>
      </c>
      <c r="H8640" t="s">
        <v>528</v>
      </c>
      <c r="I8640">
        <v>5</v>
      </c>
      <c r="J8640">
        <v>0</v>
      </c>
      <c r="K8640" s="1">
        <v>333824</v>
      </c>
    </row>
    <row r="8641" spans="1:11" x14ac:dyDescent="0.25">
      <c r="A8641" t="s">
        <v>326</v>
      </c>
      <c r="B8641" t="s">
        <v>523</v>
      </c>
      <c r="C8641" t="s">
        <v>874</v>
      </c>
      <c r="D8641" t="s">
        <v>11</v>
      </c>
      <c r="E8641">
        <v>23</v>
      </c>
      <c r="F8641" s="2">
        <f>DATE(2026,IF(Tabla1[[#This Row],[Mes de Fecha]]="Septiembre",9,10),Tabla1[[#This Row],[Día de Fecha]])</f>
        <v>46288</v>
      </c>
      <c r="G8641">
        <v>1085274203</v>
      </c>
      <c r="H8641" t="s">
        <v>524</v>
      </c>
      <c r="I8641">
        <v>89</v>
      </c>
      <c r="J8641">
        <v>0</v>
      </c>
      <c r="K8641" s="1">
        <v>5725218</v>
      </c>
    </row>
    <row r="8642" spans="1:11" x14ac:dyDescent="0.25">
      <c r="A8642" t="s">
        <v>326</v>
      </c>
      <c r="B8642" t="s">
        <v>523</v>
      </c>
      <c r="C8642" t="s">
        <v>874</v>
      </c>
      <c r="D8642" t="s">
        <v>11</v>
      </c>
      <c r="E8642">
        <v>23</v>
      </c>
      <c r="F8642" s="2">
        <f>DATE(2026,IF(Tabla1[[#This Row],[Mes de Fecha]]="Septiembre",9,10),Tabla1[[#This Row],[Día de Fecha]])</f>
        <v>46288</v>
      </c>
      <c r="G8642">
        <v>1233193345</v>
      </c>
      <c r="H8642" t="s">
        <v>525</v>
      </c>
      <c r="I8642">
        <v>57</v>
      </c>
      <c r="J8642">
        <v>0</v>
      </c>
      <c r="K8642" s="1">
        <v>3310633</v>
      </c>
    </row>
    <row r="8643" spans="1:11" x14ac:dyDescent="0.25">
      <c r="A8643" t="s">
        <v>326</v>
      </c>
      <c r="B8643" t="s">
        <v>523</v>
      </c>
      <c r="C8643" t="s">
        <v>874</v>
      </c>
      <c r="D8643" t="s">
        <v>11</v>
      </c>
      <c r="E8643">
        <v>24</v>
      </c>
      <c r="F8643" s="2">
        <f>DATE(2026,IF(Tabla1[[#This Row],[Mes de Fecha]]="Septiembre",9,10),Tabla1[[#This Row],[Día de Fecha]])</f>
        <v>46289</v>
      </c>
      <c r="I8643">
        <v>0</v>
      </c>
      <c r="J8643" s="1">
        <v>13310131</v>
      </c>
      <c r="K8643">
        <v>0</v>
      </c>
    </row>
    <row r="8644" spans="1:11" x14ac:dyDescent="0.25">
      <c r="A8644" t="s">
        <v>326</v>
      </c>
      <c r="B8644" t="s">
        <v>523</v>
      </c>
      <c r="C8644" t="s">
        <v>874</v>
      </c>
      <c r="D8644" t="s">
        <v>11</v>
      </c>
      <c r="E8644">
        <v>24</v>
      </c>
      <c r="F8644" s="2">
        <f>DATE(2026,IF(Tabla1[[#This Row],[Mes de Fecha]]="Septiembre",9,10),Tabla1[[#This Row],[Día de Fecha]])</f>
        <v>46289</v>
      </c>
      <c r="G8644">
        <v>1004217416</v>
      </c>
      <c r="H8644" t="s">
        <v>527</v>
      </c>
      <c r="I8644">
        <v>15</v>
      </c>
      <c r="J8644">
        <v>0</v>
      </c>
      <c r="K8644" s="1">
        <v>776682</v>
      </c>
    </row>
    <row r="8645" spans="1:11" x14ac:dyDescent="0.25">
      <c r="A8645" t="s">
        <v>326</v>
      </c>
      <c r="B8645" t="s">
        <v>523</v>
      </c>
      <c r="C8645" t="s">
        <v>874</v>
      </c>
      <c r="D8645" t="s">
        <v>11</v>
      </c>
      <c r="E8645">
        <v>24</v>
      </c>
      <c r="F8645" s="2">
        <f>DATE(2026,IF(Tabla1[[#This Row],[Mes de Fecha]]="Septiembre",9,10),Tabla1[[#This Row],[Día de Fecha]])</f>
        <v>46289</v>
      </c>
      <c r="G8645">
        <v>1085274203</v>
      </c>
      <c r="H8645" t="s">
        <v>524</v>
      </c>
      <c r="I8645">
        <v>95</v>
      </c>
      <c r="J8645">
        <v>0</v>
      </c>
      <c r="K8645" s="1">
        <v>5598870</v>
      </c>
    </row>
    <row r="8646" spans="1:11" x14ac:dyDescent="0.25">
      <c r="A8646" t="s">
        <v>326</v>
      </c>
      <c r="B8646" t="s">
        <v>523</v>
      </c>
      <c r="C8646" t="s">
        <v>874</v>
      </c>
      <c r="D8646" t="s">
        <v>11</v>
      </c>
      <c r="E8646">
        <v>24</v>
      </c>
      <c r="F8646" s="2">
        <f>DATE(2026,IF(Tabla1[[#This Row],[Mes de Fecha]]="Septiembre",9,10),Tabla1[[#This Row],[Día de Fecha]])</f>
        <v>46289</v>
      </c>
      <c r="G8646">
        <v>1233193345</v>
      </c>
      <c r="H8646" t="s">
        <v>525</v>
      </c>
      <c r="I8646">
        <v>110</v>
      </c>
      <c r="J8646">
        <v>0</v>
      </c>
      <c r="K8646" s="1">
        <v>6636009</v>
      </c>
    </row>
    <row r="8647" spans="1:11" x14ac:dyDescent="0.25">
      <c r="A8647" t="s">
        <v>326</v>
      </c>
      <c r="B8647" t="s">
        <v>523</v>
      </c>
      <c r="C8647" t="s">
        <v>874</v>
      </c>
      <c r="D8647" t="s">
        <v>11</v>
      </c>
      <c r="E8647">
        <v>25</v>
      </c>
      <c r="F8647" s="2">
        <f>DATE(2026,IF(Tabla1[[#This Row],[Mes de Fecha]]="Septiembre",9,10),Tabla1[[#This Row],[Día de Fecha]])</f>
        <v>46290</v>
      </c>
      <c r="I8647">
        <v>0</v>
      </c>
      <c r="J8647" s="1">
        <v>13280667</v>
      </c>
      <c r="K8647">
        <v>0</v>
      </c>
    </row>
    <row r="8648" spans="1:11" x14ac:dyDescent="0.25">
      <c r="A8648" t="s">
        <v>326</v>
      </c>
      <c r="B8648" t="s">
        <v>523</v>
      </c>
      <c r="C8648" t="s">
        <v>874</v>
      </c>
      <c r="D8648" t="s">
        <v>11</v>
      </c>
      <c r="E8648">
        <v>25</v>
      </c>
      <c r="F8648" s="2">
        <f>DATE(2026,IF(Tabla1[[#This Row],[Mes de Fecha]]="Septiembre",9,10),Tabla1[[#This Row],[Día de Fecha]])</f>
        <v>46290</v>
      </c>
      <c r="G8648">
        <v>1004191830</v>
      </c>
      <c r="H8648" t="s">
        <v>529</v>
      </c>
      <c r="I8648">
        <v>15</v>
      </c>
      <c r="J8648">
        <v>0</v>
      </c>
      <c r="K8648" s="1">
        <v>902647</v>
      </c>
    </row>
    <row r="8649" spans="1:11" x14ac:dyDescent="0.25">
      <c r="A8649" t="s">
        <v>326</v>
      </c>
      <c r="B8649" t="s">
        <v>523</v>
      </c>
      <c r="C8649" t="s">
        <v>874</v>
      </c>
      <c r="D8649" t="s">
        <v>11</v>
      </c>
      <c r="E8649">
        <v>25</v>
      </c>
      <c r="F8649" s="2">
        <f>DATE(2026,IF(Tabla1[[#This Row],[Mes de Fecha]]="Septiembre",9,10),Tabla1[[#This Row],[Día de Fecha]])</f>
        <v>46290</v>
      </c>
      <c r="G8649">
        <v>1004217416</v>
      </c>
      <c r="H8649" t="s">
        <v>527</v>
      </c>
      <c r="I8649">
        <v>16</v>
      </c>
      <c r="J8649">
        <v>0</v>
      </c>
      <c r="K8649" s="1">
        <v>1264036</v>
      </c>
    </row>
    <row r="8650" spans="1:11" x14ac:dyDescent="0.25">
      <c r="A8650" t="s">
        <v>326</v>
      </c>
      <c r="B8650" t="s">
        <v>523</v>
      </c>
      <c r="C8650" t="s">
        <v>874</v>
      </c>
      <c r="D8650" t="s">
        <v>11</v>
      </c>
      <c r="E8650">
        <v>25</v>
      </c>
      <c r="F8650" s="2">
        <f>DATE(2026,IF(Tabla1[[#This Row],[Mes de Fecha]]="Septiembre",9,10),Tabla1[[#This Row],[Día de Fecha]])</f>
        <v>46290</v>
      </c>
      <c r="G8650">
        <v>1085274203</v>
      </c>
      <c r="H8650" t="s">
        <v>524</v>
      </c>
      <c r="I8650">
        <v>68</v>
      </c>
      <c r="J8650">
        <v>0</v>
      </c>
      <c r="K8650" s="1">
        <v>3843617</v>
      </c>
    </row>
    <row r="8651" spans="1:11" x14ac:dyDescent="0.25">
      <c r="A8651" t="s">
        <v>326</v>
      </c>
      <c r="B8651" t="s">
        <v>523</v>
      </c>
      <c r="C8651" t="s">
        <v>874</v>
      </c>
      <c r="D8651" t="s">
        <v>11</v>
      </c>
      <c r="E8651">
        <v>25</v>
      </c>
      <c r="F8651" s="2">
        <f>DATE(2026,IF(Tabla1[[#This Row],[Mes de Fecha]]="Septiembre",9,10),Tabla1[[#This Row],[Día de Fecha]])</f>
        <v>46290</v>
      </c>
      <c r="G8651">
        <v>1233193345</v>
      </c>
      <c r="H8651" t="s">
        <v>525</v>
      </c>
      <c r="I8651">
        <v>89</v>
      </c>
      <c r="J8651">
        <v>0</v>
      </c>
      <c r="K8651" s="1">
        <v>5611689</v>
      </c>
    </row>
    <row r="8652" spans="1:11" x14ac:dyDescent="0.25">
      <c r="A8652" t="s">
        <v>326</v>
      </c>
      <c r="B8652" t="s">
        <v>523</v>
      </c>
      <c r="C8652" t="s">
        <v>874</v>
      </c>
      <c r="D8652" t="s">
        <v>11</v>
      </c>
      <c r="E8652">
        <v>26</v>
      </c>
      <c r="F8652" s="2">
        <f>DATE(2026,IF(Tabla1[[#This Row],[Mes de Fecha]]="Septiembre",9,10),Tabla1[[#This Row],[Día de Fecha]])</f>
        <v>46291</v>
      </c>
      <c r="I8652">
        <v>0</v>
      </c>
      <c r="J8652" s="1">
        <v>19086224</v>
      </c>
      <c r="K8652">
        <v>0</v>
      </c>
    </row>
    <row r="8653" spans="1:11" x14ac:dyDescent="0.25">
      <c r="A8653" t="s">
        <v>326</v>
      </c>
      <c r="B8653" t="s">
        <v>523</v>
      </c>
      <c r="C8653" t="s">
        <v>874</v>
      </c>
      <c r="D8653" t="s">
        <v>11</v>
      </c>
      <c r="E8653">
        <v>26</v>
      </c>
      <c r="F8653" s="2">
        <f>DATE(2026,IF(Tabla1[[#This Row],[Mes de Fecha]]="Septiembre",9,10),Tabla1[[#This Row],[Día de Fecha]])</f>
        <v>46291</v>
      </c>
      <c r="G8653">
        <v>1004191830</v>
      </c>
      <c r="H8653" t="s">
        <v>529</v>
      </c>
      <c r="I8653">
        <v>3</v>
      </c>
      <c r="J8653">
        <v>0</v>
      </c>
      <c r="K8653" s="1">
        <v>159538</v>
      </c>
    </row>
    <row r="8654" spans="1:11" x14ac:dyDescent="0.25">
      <c r="A8654" t="s">
        <v>326</v>
      </c>
      <c r="B8654" t="s">
        <v>523</v>
      </c>
      <c r="C8654" t="s">
        <v>874</v>
      </c>
      <c r="D8654" t="s">
        <v>11</v>
      </c>
      <c r="E8654">
        <v>26</v>
      </c>
      <c r="F8654" s="2">
        <f>DATE(2026,IF(Tabla1[[#This Row],[Mes de Fecha]]="Septiembre",9,10),Tabla1[[#This Row],[Día de Fecha]])</f>
        <v>46291</v>
      </c>
      <c r="G8654">
        <v>1004217416</v>
      </c>
      <c r="H8654" t="s">
        <v>527</v>
      </c>
      <c r="I8654">
        <v>15</v>
      </c>
      <c r="J8654">
        <v>0</v>
      </c>
      <c r="K8654" s="1">
        <v>848069</v>
      </c>
    </row>
    <row r="8655" spans="1:11" x14ac:dyDescent="0.25">
      <c r="A8655" t="s">
        <v>326</v>
      </c>
      <c r="B8655" t="s">
        <v>523</v>
      </c>
      <c r="C8655" t="s">
        <v>874</v>
      </c>
      <c r="D8655" t="s">
        <v>11</v>
      </c>
      <c r="E8655">
        <v>26</v>
      </c>
      <c r="F8655" s="2">
        <f>DATE(2026,IF(Tabla1[[#This Row],[Mes de Fecha]]="Septiembre",9,10),Tabla1[[#This Row],[Día de Fecha]])</f>
        <v>46291</v>
      </c>
      <c r="G8655">
        <v>1085274203</v>
      </c>
      <c r="H8655" t="s">
        <v>524</v>
      </c>
      <c r="I8655">
        <v>89</v>
      </c>
      <c r="J8655">
        <v>0</v>
      </c>
      <c r="K8655" s="1">
        <v>4972943</v>
      </c>
    </row>
    <row r="8656" spans="1:11" x14ac:dyDescent="0.25">
      <c r="A8656" t="s">
        <v>326</v>
      </c>
      <c r="B8656" t="s">
        <v>523</v>
      </c>
      <c r="C8656" t="s">
        <v>874</v>
      </c>
      <c r="D8656" t="s">
        <v>11</v>
      </c>
      <c r="E8656">
        <v>26</v>
      </c>
      <c r="F8656" s="2">
        <f>DATE(2026,IF(Tabla1[[#This Row],[Mes de Fecha]]="Septiembre",9,10),Tabla1[[#This Row],[Día de Fecha]])</f>
        <v>46291</v>
      </c>
      <c r="G8656">
        <v>1233193345</v>
      </c>
      <c r="H8656" t="s">
        <v>525</v>
      </c>
      <c r="I8656">
        <v>83</v>
      </c>
      <c r="J8656">
        <v>0</v>
      </c>
      <c r="K8656" s="1">
        <v>5863955</v>
      </c>
    </row>
    <row r="8657" spans="1:11" x14ac:dyDescent="0.25">
      <c r="A8657" t="s">
        <v>326</v>
      </c>
      <c r="B8657" t="s">
        <v>523</v>
      </c>
      <c r="C8657" t="s">
        <v>874</v>
      </c>
      <c r="D8657" t="s">
        <v>11</v>
      </c>
      <c r="E8657">
        <v>27</v>
      </c>
      <c r="F8657" s="2">
        <f>DATE(2026,IF(Tabla1[[#This Row],[Mes de Fecha]]="Septiembre",9,10),Tabla1[[#This Row],[Día de Fecha]])</f>
        <v>46292</v>
      </c>
      <c r="I8657">
        <v>0</v>
      </c>
      <c r="J8657" s="1">
        <v>15120133</v>
      </c>
      <c r="K8657">
        <v>0</v>
      </c>
    </row>
    <row r="8658" spans="1:11" x14ac:dyDescent="0.25">
      <c r="A8658" t="s">
        <v>326</v>
      </c>
      <c r="B8658" t="s">
        <v>523</v>
      </c>
      <c r="C8658" t="s">
        <v>874</v>
      </c>
      <c r="D8658" t="s">
        <v>11</v>
      </c>
      <c r="E8658">
        <v>27</v>
      </c>
      <c r="F8658" s="2">
        <f>DATE(2026,IF(Tabla1[[#This Row],[Mes de Fecha]]="Septiembre",9,10),Tabla1[[#This Row],[Día de Fecha]])</f>
        <v>46292</v>
      </c>
      <c r="G8658">
        <v>1004217416</v>
      </c>
      <c r="H8658" t="s">
        <v>527</v>
      </c>
      <c r="I8658">
        <v>26</v>
      </c>
      <c r="J8658">
        <v>0</v>
      </c>
      <c r="K8658" s="1">
        <v>1704747</v>
      </c>
    </row>
    <row r="8659" spans="1:11" x14ac:dyDescent="0.25">
      <c r="A8659" t="s">
        <v>326</v>
      </c>
      <c r="B8659" t="s">
        <v>523</v>
      </c>
      <c r="C8659" t="s">
        <v>874</v>
      </c>
      <c r="D8659" t="s">
        <v>11</v>
      </c>
      <c r="E8659">
        <v>27</v>
      </c>
      <c r="F8659" s="2">
        <f>DATE(2026,IF(Tabla1[[#This Row],[Mes de Fecha]]="Septiembre",9,10),Tabla1[[#This Row],[Día de Fecha]])</f>
        <v>46292</v>
      </c>
      <c r="G8659">
        <v>1085274203</v>
      </c>
      <c r="H8659" t="s">
        <v>524</v>
      </c>
      <c r="I8659">
        <v>46</v>
      </c>
      <c r="J8659">
        <v>0</v>
      </c>
      <c r="K8659" s="1">
        <v>3212358</v>
      </c>
    </row>
    <row r="8660" spans="1:11" x14ac:dyDescent="0.25">
      <c r="A8660" t="s">
        <v>326</v>
      </c>
      <c r="B8660" t="s">
        <v>523</v>
      </c>
      <c r="C8660" t="s">
        <v>874</v>
      </c>
      <c r="D8660" t="s">
        <v>11</v>
      </c>
      <c r="E8660">
        <v>27</v>
      </c>
      <c r="F8660" s="2">
        <f>DATE(2026,IF(Tabla1[[#This Row],[Mes de Fecha]]="Septiembre",9,10),Tabla1[[#This Row],[Día de Fecha]])</f>
        <v>46292</v>
      </c>
      <c r="G8660">
        <v>1233193345</v>
      </c>
      <c r="H8660" t="s">
        <v>525</v>
      </c>
      <c r="I8660">
        <v>45</v>
      </c>
      <c r="J8660">
        <v>0</v>
      </c>
      <c r="K8660" s="1">
        <v>3670337</v>
      </c>
    </row>
    <row r="8661" spans="1:11" x14ac:dyDescent="0.25">
      <c r="A8661" t="s">
        <v>326</v>
      </c>
      <c r="B8661" t="s">
        <v>523</v>
      </c>
      <c r="C8661" t="s">
        <v>874</v>
      </c>
      <c r="D8661" t="s">
        <v>11</v>
      </c>
      <c r="E8661">
        <v>28</v>
      </c>
      <c r="F8661" s="2">
        <f>DATE(2026,IF(Tabla1[[#This Row],[Mes de Fecha]]="Septiembre",9,10),Tabla1[[#This Row],[Día de Fecha]])</f>
        <v>46293</v>
      </c>
      <c r="I8661">
        <v>0</v>
      </c>
      <c r="J8661" s="1">
        <v>8321500</v>
      </c>
      <c r="K8661">
        <v>0</v>
      </c>
    </row>
    <row r="8662" spans="1:11" x14ac:dyDescent="0.25">
      <c r="A8662" t="s">
        <v>326</v>
      </c>
      <c r="B8662" t="s">
        <v>523</v>
      </c>
      <c r="C8662" t="s">
        <v>874</v>
      </c>
      <c r="D8662" t="s">
        <v>11</v>
      </c>
      <c r="E8662">
        <v>28</v>
      </c>
      <c r="F8662" s="2">
        <f>DATE(2026,IF(Tabla1[[#This Row],[Mes de Fecha]]="Septiembre",9,10),Tabla1[[#This Row],[Día de Fecha]])</f>
        <v>46293</v>
      </c>
      <c r="G8662">
        <v>1004217416</v>
      </c>
      <c r="H8662" t="s">
        <v>527</v>
      </c>
      <c r="I8662">
        <v>7</v>
      </c>
      <c r="J8662">
        <v>0</v>
      </c>
      <c r="K8662" s="1">
        <v>331640</v>
      </c>
    </row>
    <row r="8663" spans="1:11" x14ac:dyDescent="0.25">
      <c r="A8663" t="s">
        <v>326</v>
      </c>
      <c r="B8663" t="s">
        <v>523</v>
      </c>
      <c r="C8663" t="s">
        <v>874</v>
      </c>
      <c r="D8663" t="s">
        <v>11</v>
      </c>
      <c r="E8663">
        <v>28</v>
      </c>
      <c r="F8663" s="2">
        <f>DATE(2026,IF(Tabla1[[#This Row],[Mes de Fecha]]="Septiembre",9,10),Tabla1[[#This Row],[Día de Fecha]])</f>
        <v>46293</v>
      </c>
      <c r="G8663">
        <v>1085274203</v>
      </c>
      <c r="H8663" t="s">
        <v>524</v>
      </c>
      <c r="I8663">
        <v>68</v>
      </c>
      <c r="J8663">
        <v>0</v>
      </c>
      <c r="K8663" s="1">
        <v>4559959</v>
      </c>
    </row>
    <row r="8664" spans="1:11" x14ac:dyDescent="0.25">
      <c r="A8664" t="s">
        <v>326</v>
      </c>
      <c r="B8664" t="s">
        <v>523</v>
      </c>
      <c r="C8664" t="s">
        <v>874</v>
      </c>
      <c r="D8664" t="s">
        <v>11</v>
      </c>
      <c r="E8664">
        <v>28</v>
      </c>
      <c r="F8664" s="2">
        <f>DATE(2026,IF(Tabla1[[#This Row],[Mes de Fecha]]="Septiembre",9,10),Tabla1[[#This Row],[Día de Fecha]])</f>
        <v>46293</v>
      </c>
      <c r="G8664">
        <v>1233193345</v>
      </c>
      <c r="H8664" t="s">
        <v>525</v>
      </c>
      <c r="I8664">
        <v>51</v>
      </c>
      <c r="J8664">
        <v>0</v>
      </c>
      <c r="K8664" s="1">
        <v>2817146</v>
      </c>
    </row>
    <row r="8665" spans="1:11" x14ac:dyDescent="0.25">
      <c r="A8665" t="s">
        <v>326</v>
      </c>
      <c r="B8665" t="s">
        <v>523</v>
      </c>
      <c r="C8665" t="s">
        <v>874</v>
      </c>
      <c r="D8665" t="s">
        <v>11</v>
      </c>
      <c r="E8665">
        <v>29</v>
      </c>
      <c r="F8665" s="2">
        <f>DATE(2026,IF(Tabla1[[#This Row],[Mes de Fecha]]="Septiembre",9,10),Tabla1[[#This Row],[Día de Fecha]])</f>
        <v>46294</v>
      </c>
      <c r="I8665">
        <v>0</v>
      </c>
      <c r="J8665" s="1">
        <v>8888992</v>
      </c>
      <c r="K8665">
        <v>0</v>
      </c>
    </row>
    <row r="8666" spans="1:11" x14ac:dyDescent="0.25">
      <c r="A8666" t="s">
        <v>326</v>
      </c>
      <c r="B8666" t="s">
        <v>523</v>
      </c>
      <c r="C8666" t="s">
        <v>874</v>
      </c>
      <c r="D8666" t="s">
        <v>11</v>
      </c>
      <c r="E8666">
        <v>29</v>
      </c>
      <c r="F8666" s="2">
        <f>DATE(2026,IF(Tabla1[[#This Row],[Mes de Fecha]]="Septiembre",9,10),Tabla1[[#This Row],[Día de Fecha]])</f>
        <v>46294</v>
      </c>
      <c r="G8666">
        <v>1004191830</v>
      </c>
      <c r="H8666" t="s">
        <v>529</v>
      </c>
      <c r="I8666">
        <v>1</v>
      </c>
      <c r="J8666">
        <v>0</v>
      </c>
      <c r="K8666" s="1">
        <v>88193</v>
      </c>
    </row>
    <row r="8667" spans="1:11" x14ac:dyDescent="0.25">
      <c r="A8667" t="s">
        <v>326</v>
      </c>
      <c r="B8667" t="s">
        <v>523</v>
      </c>
      <c r="C8667" t="s">
        <v>874</v>
      </c>
      <c r="D8667" t="s">
        <v>11</v>
      </c>
      <c r="E8667">
        <v>29</v>
      </c>
      <c r="F8667" s="2">
        <f>DATE(2026,IF(Tabla1[[#This Row],[Mes de Fecha]]="Septiembre",9,10),Tabla1[[#This Row],[Día de Fecha]])</f>
        <v>46294</v>
      </c>
      <c r="G8667">
        <v>1004217416</v>
      </c>
      <c r="H8667" t="s">
        <v>527</v>
      </c>
      <c r="I8667">
        <v>19</v>
      </c>
      <c r="J8667">
        <v>0</v>
      </c>
      <c r="K8667" s="1">
        <v>1259708</v>
      </c>
    </row>
    <row r="8668" spans="1:11" x14ac:dyDescent="0.25">
      <c r="A8668" t="s">
        <v>326</v>
      </c>
      <c r="B8668" t="s">
        <v>523</v>
      </c>
      <c r="C8668" t="s">
        <v>874</v>
      </c>
      <c r="D8668" t="s">
        <v>11</v>
      </c>
      <c r="E8668">
        <v>29</v>
      </c>
      <c r="F8668" s="2">
        <f>DATE(2026,IF(Tabla1[[#This Row],[Mes de Fecha]]="Septiembre",9,10),Tabla1[[#This Row],[Día de Fecha]])</f>
        <v>46294</v>
      </c>
      <c r="G8668">
        <v>1085274203</v>
      </c>
      <c r="H8668" t="s">
        <v>524</v>
      </c>
      <c r="I8668">
        <v>37</v>
      </c>
      <c r="J8668">
        <v>0</v>
      </c>
      <c r="K8668" s="1">
        <v>2195673</v>
      </c>
    </row>
    <row r="8669" spans="1:11" x14ac:dyDescent="0.25">
      <c r="A8669" t="s">
        <v>326</v>
      </c>
      <c r="B8669" t="s">
        <v>523</v>
      </c>
      <c r="C8669" t="s">
        <v>874</v>
      </c>
      <c r="D8669" t="s">
        <v>11</v>
      </c>
      <c r="E8669">
        <v>29</v>
      </c>
      <c r="F8669" s="2">
        <f>DATE(2026,IF(Tabla1[[#This Row],[Mes de Fecha]]="Septiembre",9,10),Tabla1[[#This Row],[Día de Fecha]])</f>
        <v>46294</v>
      </c>
      <c r="G8669">
        <v>1233193345</v>
      </c>
      <c r="H8669" t="s">
        <v>525</v>
      </c>
      <c r="I8669">
        <v>33</v>
      </c>
      <c r="J8669">
        <v>0</v>
      </c>
      <c r="K8669" s="1">
        <v>1788364</v>
      </c>
    </row>
    <row r="8670" spans="1:11" x14ac:dyDescent="0.25">
      <c r="A8670" t="s">
        <v>326</v>
      </c>
      <c r="B8670" t="s">
        <v>523</v>
      </c>
      <c r="C8670" t="s">
        <v>874</v>
      </c>
      <c r="D8670" t="s">
        <v>11</v>
      </c>
      <c r="E8670">
        <v>30</v>
      </c>
      <c r="F8670" s="2">
        <f>DATE(2026,IF(Tabla1[[#This Row],[Mes de Fecha]]="Septiembre",9,10),Tabla1[[#This Row],[Día de Fecha]])</f>
        <v>46295</v>
      </c>
      <c r="I8670">
        <v>0</v>
      </c>
      <c r="J8670" s="1">
        <v>9182486</v>
      </c>
      <c r="K8670">
        <v>0</v>
      </c>
    </row>
    <row r="8671" spans="1:11" x14ac:dyDescent="0.25">
      <c r="A8671" t="s">
        <v>326</v>
      </c>
      <c r="B8671" t="s">
        <v>523</v>
      </c>
      <c r="C8671" t="s">
        <v>874</v>
      </c>
      <c r="D8671" t="s">
        <v>11</v>
      </c>
      <c r="E8671">
        <v>30</v>
      </c>
      <c r="F8671" s="2">
        <f>DATE(2026,IF(Tabla1[[#This Row],[Mes de Fecha]]="Septiembre",9,10),Tabla1[[#This Row],[Día de Fecha]])</f>
        <v>46295</v>
      </c>
      <c r="G8671">
        <v>1004217416</v>
      </c>
      <c r="H8671" t="s">
        <v>527</v>
      </c>
      <c r="I8671">
        <v>16</v>
      </c>
      <c r="J8671">
        <v>0</v>
      </c>
      <c r="K8671" s="1">
        <v>742984</v>
      </c>
    </row>
    <row r="8672" spans="1:11" x14ac:dyDescent="0.25">
      <c r="A8672" t="s">
        <v>326</v>
      </c>
      <c r="B8672" t="s">
        <v>523</v>
      </c>
      <c r="C8672" t="s">
        <v>874</v>
      </c>
      <c r="D8672" t="s">
        <v>11</v>
      </c>
      <c r="E8672">
        <v>30</v>
      </c>
      <c r="F8672" s="2">
        <f>DATE(2026,IF(Tabla1[[#This Row],[Mes de Fecha]]="Septiembre",9,10),Tabla1[[#This Row],[Día de Fecha]])</f>
        <v>46295</v>
      </c>
      <c r="G8672">
        <v>1085274203</v>
      </c>
      <c r="H8672" t="s">
        <v>524</v>
      </c>
      <c r="I8672">
        <v>19</v>
      </c>
      <c r="J8672">
        <v>0</v>
      </c>
      <c r="K8672" s="1">
        <v>1112648</v>
      </c>
    </row>
    <row r="8673" spans="1:11" x14ac:dyDescent="0.25">
      <c r="A8673" t="s">
        <v>326</v>
      </c>
      <c r="B8673" t="s">
        <v>523</v>
      </c>
      <c r="C8673" t="s">
        <v>874</v>
      </c>
      <c r="D8673" t="s">
        <v>11</v>
      </c>
      <c r="E8673">
        <v>30</v>
      </c>
      <c r="F8673" s="2">
        <f>DATE(2026,IF(Tabla1[[#This Row],[Mes de Fecha]]="Septiembre",9,10),Tabla1[[#This Row],[Día de Fecha]])</f>
        <v>46295</v>
      </c>
      <c r="G8673">
        <v>1233193345</v>
      </c>
      <c r="H8673" t="s">
        <v>525</v>
      </c>
      <c r="I8673">
        <v>58</v>
      </c>
      <c r="J8673">
        <v>0</v>
      </c>
      <c r="K8673" s="1">
        <v>4335758</v>
      </c>
    </row>
    <row r="8674" spans="1:11" x14ac:dyDescent="0.25">
      <c r="A8674" t="s">
        <v>326</v>
      </c>
      <c r="B8674" t="s">
        <v>523</v>
      </c>
      <c r="C8674" t="s">
        <v>874</v>
      </c>
      <c r="D8674" t="s">
        <v>14</v>
      </c>
      <c r="E8674">
        <v>1</v>
      </c>
      <c r="F8674" s="2">
        <f>DATE(2026,IF(Tabla1[[#This Row],[Mes de Fecha]]="Septiembre",9,10),Tabla1[[#This Row],[Día de Fecha]])</f>
        <v>46296</v>
      </c>
      <c r="I8674">
        <v>0</v>
      </c>
      <c r="J8674" s="1">
        <v>9146210</v>
      </c>
      <c r="K8674">
        <v>0</v>
      </c>
    </row>
    <row r="8675" spans="1:11" x14ac:dyDescent="0.25">
      <c r="A8675" t="s">
        <v>326</v>
      </c>
      <c r="B8675" t="s">
        <v>523</v>
      </c>
      <c r="C8675" t="s">
        <v>874</v>
      </c>
      <c r="D8675" t="s">
        <v>14</v>
      </c>
      <c r="E8675">
        <v>1</v>
      </c>
      <c r="F8675" s="2">
        <f>DATE(2026,IF(Tabla1[[#This Row],[Mes de Fecha]]="Septiembre",9,10),Tabla1[[#This Row],[Día de Fecha]])</f>
        <v>46296</v>
      </c>
      <c r="G8675">
        <v>1004191830</v>
      </c>
      <c r="H8675" t="s">
        <v>529</v>
      </c>
      <c r="I8675">
        <v>43</v>
      </c>
      <c r="J8675">
        <v>0</v>
      </c>
      <c r="K8675" s="1">
        <v>2741893</v>
      </c>
    </row>
    <row r="8676" spans="1:11" x14ac:dyDescent="0.25">
      <c r="A8676" t="s">
        <v>326</v>
      </c>
      <c r="B8676" t="s">
        <v>523</v>
      </c>
      <c r="C8676" t="s">
        <v>874</v>
      </c>
      <c r="D8676" t="s">
        <v>14</v>
      </c>
      <c r="E8676">
        <v>1</v>
      </c>
      <c r="F8676" s="2">
        <f>DATE(2026,IF(Tabla1[[#This Row],[Mes de Fecha]]="Septiembre",9,10),Tabla1[[#This Row],[Día de Fecha]])</f>
        <v>46296</v>
      </c>
      <c r="G8676">
        <v>1004217416</v>
      </c>
      <c r="H8676" t="s">
        <v>527</v>
      </c>
      <c r="I8676">
        <v>12</v>
      </c>
      <c r="J8676">
        <v>0</v>
      </c>
      <c r="K8676" s="1">
        <v>982690</v>
      </c>
    </row>
    <row r="8677" spans="1:11" x14ac:dyDescent="0.25">
      <c r="A8677" t="s">
        <v>326</v>
      </c>
      <c r="B8677" t="s">
        <v>523</v>
      </c>
      <c r="C8677" t="s">
        <v>874</v>
      </c>
      <c r="D8677" t="s">
        <v>14</v>
      </c>
      <c r="E8677">
        <v>1</v>
      </c>
      <c r="F8677" s="2">
        <f>DATE(2026,IF(Tabla1[[#This Row],[Mes de Fecha]]="Septiembre",9,10),Tabla1[[#This Row],[Día de Fecha]])</f>
        <v>46296</v>
      </c>
      <c r="G8677">
        <v>1085274203</v>
      </c>
      <c r="H8677" t="s">
        <v>524</v>
      </c>
      <c r="I8677">
        <v>24</v>
      </c>
      <c r="J8677">
        <v>0</v>
      </c>
      <c r="K8677" s="1">
        <v>1755253</v>
      </c>
    </row>
    <row r="8678" spans="1:11" x14ac:dyDescent="0.25">
      <c r="A8678" t="s">
        <v>326</v>
      </c>
      <c r="B8678" t="s">
        <v>523</v>
      </c>
      <c r="C8678" t="s">
        <v>874</v>
      </c>
      <c r="D8678" t="s">
        <v>14</v>
      </c>
      <c r="E8678">
        <v>1</v>
      </c>
      <c r="F8678" s="2">
        <f>DATE(2026,IF(Tabla1[[#This Row],[Mes de Fecha]]="Septiembre",9,10),Tabla1[[#This Row],[Día de Fecha]])</f>
        <v>46296</v>
      </c>
      <c r="G8678">
        <v>1085283938</v>
      </c>
      <c r="H8678" t="s">
        <v>530</v>
      </c>
      <c r="I8678">
        <v>-1</v>
      </c>
      <c r="J8678">
        <v>0</v>
      </c>
      <c r="K8678" s="1">
        <v>-41975</v>
      </c>
    </row>
    <row r="8679" spans="1:11" x14ac:dyDescent="0.25">
      <c r="A8679" t="s">
        <v>326</v>
      </c>
      <c r="B8679" t="s">
        <v>523</v>
      </c>
      <c r="C8679" t="s">
        <v>874</v>
      </c>
      <c r="D8679" t="s">
        <v>14</v>
      </c>
      <c r="E8679">
        <v>1</v>
      </c>
      <c r="F8679" s="2">
        <f>DATE(2026,IF(Tabla1[[#This Row],[Mes de Fecha]]="Septiembre",9,10),Tabla1[[#This Row],[Día de Fecha]])</f>
        <v>46296</v>
      </c>
      <c r="G8679">
        <v>1233193345</v>
      </c>
      <c r="H8679" t="s">
        <v>525</v>
      </c>
      <c r="I8679">
        <v>45</v>
      </c>
      <c r="J8679">
        <v>0</v>
      </c>
      <c r="K8679" s="1">
        <v>2941305</v>
      </c>
    </row>
    <row r="8680" spans="1:11" x14ac:dyDescent="0.25">
      <c r="A8680" t="s">
        <v>326</v>
      </c>
      <c r="B8680" t="s">
        <v>523</v>
      </c>
      <c r="C8680" t="s">
        <v>874</v>
      </c>
      <c r="D8680" t="s">
        <v>14</v>
      </c>
      <c r="E8680">
        <v>2</v>
      </c>
      <c r="F8680" s="2">
        <f>DATE(2026,IF(Tabla1[[#This Row],[Mes de Fecha]]="Septiembre",9,10),Tabla1[[#This Row],[Día de Fecha]])</f>
        <v>46297</v>
      </c>
      <c r="I8680">
        <v>0</v>
      </c>
      <c r="J8680" s="1">
        <v>8327155</v>
      </c>
      <c r="K8680">
        <v>0</v>
      </c>
    </row>
    <row r="8681" spans="1:11" x14ac:dyDescent="0.25">
      <c r="A8681" t="s">
        <v>326</v>
      </c>
      <c r="B8681" t="s">
        <v>523</v>
      </c>
      <c r="C8681" t="s">
        <v>874</v>
      </c>
      <c r="D8681" t="s">
        <v>14</v>
      </c>
      <c r="E8681">
        <v>2</v>
      </c>
      <c r="F8681" s="2">
        <f>DATE(2026,IF(Tabla1[[#This Row],[Mes de Fecha]]="Septiembre",9,10),Tabla1[[#This Row],[Día de Fecha]])</f>
        <v>46297</v>
      </c>
      <c r="G8681">
        <v>1004191830</v>
      </c>
      <c r="H8681" t="s">
        <v>529</v>
      </c>
      <c r="I8681">
        <v>12</v>
      </c>
      <c r="J8681">
        <v>0</v>
      </c>
      <c r="K8681" s="1">
        <v>768404</v>
      </c>
    </row>
    <row r="8682" spans="1:11" x14ac:dyDescent="0.25">
      <c r="A8682" t="s">
        <v>326</v>
      </c>
      <c r="B8682" t="s">
        <v>523</v>
      </c>
      <c r="C8682" t="s">
        <v>874</v>
      </c>
      <c r="D8682" t="s">
        <v>14</v>
      </c>
      <c r="E8682">
        <v>2</v>
      </c>
      <c r="F8682" s="2">
        <f>DATE(2026,IF(Tabla1[[#This Row],[Mes de Fecha]]="Septiembre",9,10),Tabla1[[#This Row],[Día de Fecha]])</f>
        <v>46297</v>
      </c>
      <c r="G8682">
        <v>1004217416</v>
      </c>
      <c r="H8682" t="s">
        <v>527</v>
      </c>
      <c r="I8682">
        <v>40</v>
      </c>
      <c r="J8682">
        <v>0</v>
      </c>
      <c r="K8682" s="1">
        <v>2582229</v>
      </c>
    </row>
    <row r="8683" spans="1:11" x14ac:dyDescent="0.25">
      <c r="A8683" t="s">
        <v>326</v>
      </c>
      <c r="B8683" t="s">
        <v>523</v>
      </c>
      <c r="C8683" t="s">
        <v>874</v>
      </c>
      <c r="D8683" t="s">
        <v>14</v>
      </c>
      <c r="E8683">
        <v>2</v>
      </c>
      <c r="F8683" s="2">
        <f>DATE(2026,IF(Tabla1[[#This Row],[Mes de Fecha]]="Septiembre",9,10),Tabla1[[#This Row],[Día de Fecha]])</f>
        <v>46297</v>
      </c>
      <c r="G8683">
        <v>1085274203</v>
      </c>
      <c r="H8683" t="s">
        <v>524</v>
      </c>
      <c r="I8683">
        <v>63</v>
      </c>
      <c r="J8683">
        <v>0</v>
      </c>
      <c r="K8683" s="1">
        <v>3606343</v>
      </c>
    </row>
    <row r="8684" spans="1:11" x14ac:dyDescent="0.25">
      <c r="A8684" t="s">
        <v>326</v>
      </c>
      <c r="B8684" t="s">
        <v>523</v>
      </c>
      <c r="C8684" t="s">
        <v>874</v>
      </c>
      <c r="D8684" t="s">
        <v>14</v>
      </c>
      <c r="E8684">
        <v>2</v>
      </c>
      <c r="F8684" s="2">
        <f>DATE(2026,IF(Tabla1[[#This Row],[Mes de Fecha]]="Septiembre",9,10),Tabla1[[#This Row],[Día de Fecha]])</f>
        <v>46297</v>
      </c>
      <c r="G8684">
        <v>1233193345</v>
      </c>
      <c r="H8684" t="s">
        <v>525</v>
      </c>
      <c r="I8684">
        <v>87</v>
      </c>
      <c r="J8684">
        <v>0</v>
      </c>
      <c r="K8684" s="1">
        <v>5659918</v>
      </c>
    </row>
    <row r="8685" spans="1:11" x14ac:dyDescent="0.25">
      <c r="A8685" t="s">
        <v>326</v>
      </c>
      <c r="B8685" t="s">
        <v>523</v>
      </c>
      <c r="C8685" t="s">
        <v>874</v>
      </c>
      <c r="D8685" t="s">
        <v>14</v>
      </c>
      <c r="E8685">
        <v>3</v>
      </c>
      <c r="F8685" s="2">
        <f>DATE(2026,IF(Tabla1[[#This Row],[Mes de Fecha]]="Septiembre",9,10),Tabla1[[#This Row],[Día de Fecha]])</f>
        <v>46298</v>
      </c>
      <c r="I8685">
        <v>0</v>
      </c>
      <c r="J8685" s="1">
        <v>11198741</v>
      </c>
      <c r="K8685">
        <v>0</v>
      </c>
    </row>
    <row r="8686" spans="1:11" x14ac:dyDescent="0.25">
      <c r="A8686" t="s">
        <v>326</v>
      </c>
      <c r="B8686" t="s">
        <v>523</v>
      </c>
      <c r="C8686" t="s">
        <v>874</v>
      </c>
      <c r="D8686" t="s">
        <v>14</v>
      </c>
      <c r="E8686">
        <v>3</v>
      </c>
      <c r="F8686" s="2">
        <f>DATE(2026,IF(Tabla1[[#This Row],[Mes de Fecha]]="Septiembre",9,10),Tabla1[[#This Row],[Día de Fecha]])</f>
        <v>46298</v>
      </c>
      <c r="G8686">
        <v>1004191830</v>
      </c>
      <c r="H8686" t="s">
        <v>529</v>
      </c>
      <c r="I8686">
        <v>5</v>
      </c>
      <c r="J8686">
        <v>0</v>
      </c>
      <c r="K8686" s="1">
        <v>251891</v>
      </c>
    </row>
    <row r="8687" spans="1:11" x14ac:dyDescent="0.25">
      <c r="A8687" t="s">
        <v>326</v>
      </c>
      <c r="B8687" t="s">
        <v>523</v>
      </c>
      <c r="C8687" t="s">
        <v>874</v>
      </c>
      <c r="D8687" t="s">
        <v>14</v>
      </c>
      <c r="E8687">
        <v>3</v>
      </c>
      <c r="F8687" s="2">
        <f>DATE(2026,IF(Tabla1[[#This Row],[Mes de Fecha]]="Septiembre",9,10),Tabla1[[#This Row],[Día de Fecha]])</f>
        <v>46298</v>
      </c>
      <c r="G8687">
        <v>1004217416</v>
      </c>
      <c r="H8687" t="s">
        <v>527</v>
      </c>
      <c r="I8687">
        <v>30</v>
      </c>
      <c r="J8687">
        <v>0</v>
      </c>
      <c r="K8687" s="1">
        <v>1575135</v>
      </c>
    </row>
    <row r="8688" spans="1:11" x14ac:dyDescent="0.25">
      <c r="A8688" t="s">
        <v>326</v>
      </c>
      <c r="B8688" t="s">
        <v>523</v>
      </c>
      <c r="C8688" t="s">
        <v>874</v>
      </c>
      <c r="D8688" t="s">
        <v>14</v>
      </c>
      <c r="E8688">
        <v>3</v>
      </c>
      <c r="F8688" s="2">
        <f>DATE(2026,IF(Tabla1[[#This Row],[Mes de Fecha]]="Septiembre",9,10),Tabla1[[#This Row],[Día de Fecha]])</f>
        <v>46298</v>
      </c>
      <c r="G8688">
        <v>1085274203</v>
      </c>
      <c r="H8688" t="s">
        <v>524</v>
      </c>
      <c r="I8688">
        <v>83</v>
      </c>
      <c r="J8688">
        <v>0</v>
      </c>
      <c r="K8688" s="1">
        <v>4488573</v>
      </c>
    </row>
    <row r="8689" spans="1:11" x14ac:dyDescent="0.25">
      <c r="A8689" t="s">
        <v>326</v>
      </c>
      <c r="B8689" t="s">
        <v>523</v>
      </c>
      <c r="C8689" t="s">
        <v>874</v>
      </c>
      <c r="D8689" t="s">
        <v>14</v>
      </c>
      <c r="E8689">
        <v>3</v>
      </c>
      <c r="F8689" s="2">
        <f>DATE(2026,IF(Tabla1[[#This Row],[Mes de Fecha]]="Septiembre",9,10),Tabla1[[#This Row],[Día de Fecha]])</f>
        <v>46298</v>
      </c>
      <c r="G8689">
        <v>1233193345</v>
      </c>
      <c r="H8689" t="s">
        <v>525</v>
      </c>
      <c r="I8689">
        <v>90</v>
      </c>
      <c r="J8689">
        <v>0</v>
      </c>
      <c r="K8689" s="1">
        <v>5797834</v>
      </c>
    </row>
    <row r="8690" spans="1:11" x14ac:dyDescent="0.25">
      <c r="A8690" t="s">
        <v>326</v>
      </c>
      <c r="B8690" t="s">
        <v>523</v>
      </c>
      <c r="C8690" t="s">
        <v>874</v>
      </c>
      <c r="D8690" t="s">
        <v>14</v>
      </c>
      <c r="E8690">
        <v>4</v>
      </c>
      <c r="F8690" s="2">
        <f>DATE(2026,IF(Tabla1[[#This Row],[Mes de Fecha]]="Septiembre",9,10),Tabla1[[#This Row],[Día de Fecha]])</f>
        <v>46299</v>
      </c>
      <c r="I8690">
        <v>0</v>
      </c>
      <c r="J8690" s="1">
        <v>9088797</v>
      </c>
      <c r="K8690">
        <v>0</v>
      </c>
    </row>
    <row r="8691" spans="1:11" x14ac:dyDescent="0.25">
      <c r="A8691" t="s">
        <v>326</v>
      </c>
      <c r="B8691" t="s">
        <v>523</v>
      </c>
      <c r="C8691" t="s">
        <v>874</v>
      </c>
      <c r="D8691" t="s">
        <v>14</v>
      </c>
      <c r="E8691">
        <v>4</v>
      </c>
      <c r="F8691" s="2">
        <f>DATE(2026,IF(Tabla1[[#This Row],[Mes de Fecha]]="Septiembre",9,10),Tabla1[[#This Row],[Día de Fecha]])</f>
        <v>46299</v>
      </c>
      <c r="G8691">
        <v>1004191830</v>
      </c>
      <c r="H8691" t="s">
        <v>529</v>
      </c>
      <c r="I8691">
        <v>24</v>
      </c>
      <c r="J8691">
        <v>0</v>
      </c>
      <c r="K8691" s="1">
        <v>1452732</v>
      </c>
    </row>
    <row r="8692" spans="1:11" x14ac:dyDescent="0.25">
      <c r="A8692" t="s">
        <v>326</v>
      </c>
      <c r="B8692" t="s">
        <v>523</v>
      </c>
      <c r="C8692" t="s">
        <v>874</v>
      </c>
      <c r="D8692" t="s">
        <v>14</v>
      </c>
      <c r="E8692">
        <v>4</v>
      </c>
      <c r="F8692" s="2">
        <f>DATE(2026,IF(Tabla1[[#This Row],[Mes de Fecha]]="Septiembre",9,10),Tabla1[[#This Row],[Día de Fecha]])</f>
        <v>46299</v>
      </c>
      <c r="G8692">
        <v>1004217416</v>
      </c>
      <c r="H8692" t="s">
        <v>527</v>
      </c>
      <c r="I8692">
        <v>27</v>
      </c>
      <c r="J8692">
        <v>0</v>
      </c>
      <c r="K8692" s="1">
        <v>1742439</v>
      </c>
    </row>
    <row r="8693" spans="1:11" x14ac:dyDescent="0.25">
      <c r="A8693" t="s">
        <v>326</v>
      </c>
      <c r="B8693" t="s">
        <v>523</v>
      </c>
      <c r="C8693" t="s">
        <v>874</v>
      </c>
      <c r="D8693" t="s">
        <v>14</v>
      </c>
      <c r="E8693">
        <v>4</v>
      </c>
      <c r="F8693" s="2">
        <f>DATE(2026,IF(Tabla1[[#This Row],[Mes de Fecha]]="Septiembre",9,10),Tabla1[[#This Row],[Día de Fecha]])</f>
        <v>46299</v>
      </c>
      <c r="G8693">
        <v>1233193345</v>
      </c>
      <c r="H8693" t="s">
        <v>525</v>
      </c>
      <c r="I8693">
        <v>92</v>
      </c>
      <c r="J8693">
        <v>0</v>
      </c>
      <c r="K8693" s="1">
        <v>6002229</v>
      </c>
    </row>
    <row r="8694" spans="1:11" x14ac:dyDescent="0.25">
      <c r="A8694" t="s">
        <v>326</v>
      </c>
      <c r="B8694" t="s">
        <v>523</v>
      </c>
      <c r="C8694" t="s">
        <v>874</v>
      </c>
      <c r="D8694" t="s">
        <v>14</v>
      </c>
      <c r="E8694">
        <v>5</v>
      </c>
      <c r="F8694" s="2">
        <f>DATE(2026,IF(Tabla1[[#This Row],[Mes de Fecha]]="Septiembre",9,10),Tabla1[[#This Row],[Día de Fecha]])</f>
        <v>46300</v>
      </c>
      <c r="I8694">
        <v>0</v>
      </c>
      <c r="J8694" s="1">
        <v>7026796</v>
      </c>
      <c r="K8694">
        <v>0</v>
      </c>
    </row>
    <row r="8695" spans="1:11" x14ac:dyDescent="0.25">
      <c r="A8695" t="s">
        <v>326</v>
      </c>
      <c r="B8695" t="s">
        <v>523</v>
      </c>
      <c r="C8695" t="s">
        <v>874</v>
      </c>
      <c r="D8695" t="s">
        <v>14</v>
      </c>
      <c r="E8695">
        <v>5</v>
      </c>
      <c r="F8695" s="2">
        <f>DATE(2026,IF(Tabla1[[#This Row],[Mes de Fecha]]="Septiembre",9,10),Tabla1[[#This Row],[Día de Fecha]])</f>
        <v>46300</v>
      </c>
      <c r="G8695">
        <v>1004191830</v>
      </c>
      <c r="H8695" t="s">
        <v>529</v>
      </c>
      <c r="I8695">
        <v>1</v>
      </c>
      <c r="J8695">
        <v>0</v>
      </c>
      <c r="K8695" s="1">
        <v>96597</v>
      </c>
    </row>
    <row r="8696" spans="1:11" x14ac:dyDescent="0.25">
      <c r="A8696" t="s">
        <v>326</v>
      </c>
      <c r="B8696" t="s">
        <v>523</v>
      </c>
      <c r="C8696" t="s">
        <v>874</v>
      </c>
      <c r="D8696" t="s">
        <v>14</v>
      </c>
      <c r="E8696">
        <v>5</v>
      </c>
      <c r="F8696" s="2">
        <f>DATE(2026,IF(Tabla1[[#This Row],[Mes de Fecha]]="Septiembre",9,10),Tabla1[[#This Row],[Día de Fecha]])</f>
        <v>46300</v>
      </c>
      <c r="G8696">
        <v>1004217416</v>
      </c>
      <c r="H8696" t="s">
        <v>527</v>
      </c>
      <c r="I8696">
        <v>17</v>
      </c>
      <c r="J8696">
        <v>0</v>
      </c>
      <c r="K8696" s="1">
        <v>1049623</v>
      </c>
    </row>
    <row r="8697" spans="1:11" x14ac:dyDescent="0.25">
      <c r="A8697" t="s">
        <v>326</v>
      </c>
      <c r="B8697" t="s">
        <v>523</v>
      </c>
      <c r="C8697" t="s">
        <v>874</v>
      </c>
      <c r="D8697" t="s">
        <v>14</v>
      </c>
      <c r="E8697">
        <v>5</v>
      </c>
      <c r="F8697" s="2">
        <f>DATE(2026,IF(Tabla1[[#This Row],[Mes de Fecha]]="Septiembre",9,10),Tabla1[[#This Row],[Día de Fecha]])</f>
        <v>46300</v>
      </c>
      <c r="G8697">
        <v>1085274203</v>
      </c>
      <c r="H8697" t="s">
        <v>524</v>
      </c>
      <c r="I8697">
        <v>62</v>
      </c>
      <c r="J8697">
        <v>0</v>
      </c>
      <c r="K8697" s="1">
        <v>3764161</v>
      </c>
    </row>
    <row r="8698" spans="1:11" x14ac:dyDescent="0.25">
      <c r="A8698" t="s">
        <v>326</v>
      </c>
      <c r="B8698" t="s">
        <v>523</v>
      </c>
      <c r="C8698" t="s">
        <v>874</v>
      </c>
      <c r="D8698" t="s">
        <v>14</v>
      </c>
      <c r="E8698">
        <v>5</v>
      </c>
      <c r="F8698" s="2">
        <f>DATE(2026,IF(Tabla1[[#This Row],[Mes de Fecha]]="Septiembre",9,10),Tabla1[[#This Row],[Día de Fecha]])</f>
        <v>46300</v>
      </c>
      <c r="G8698">
        <v>1233193345</v>
      </c>
      <c r="H8698" t="s">
        <v>525</v>
      </c>
      <c r="I8698">
        <v>79</v>
      </c>
      <c r="J8698">
        <v>0</v>
      </c>
      <c r="K8698" s="1">
        <v>5017357</v>
      </c>
    </row>
    <row r="8699" spans="1:11" x14ac:dyDescent="0.25">
      <c r="A8699" t="s">
        <v>326</v>
      </c>
      <c r="B8699" t="s">
        <v>523</v>
      </c>
      <c r="C8699" t="s">
        <v>874</v>
      </c>
      <c r="D8699" t="s">
        <v>14</v>
      </c>
      <c r="E8699">
        <v>6</v>
      </c>
      <c r="F8699" s="2">
        <f>DATE(2026,IF(Tabla1[[#This Row],[Mes de Fecha]]="Septiembre",9,10),Tabla1[[#This Row],[Día de Fecha]])</f>
        <v>46301</v>
      </c>
      <c r="I8699">
        <v>0</v>
      </c>
      <c r="J8699" s="1">
        <v>4735304</v>
      </c>
      <c r="K8699">
        <v>0</v>
      </c>
    </row>
    <row r="8700" spans="1:11" x14ac:dyDescent="0.25">
      <c r="A8700" t="s">
        <v>326</v>
      </c>
      <c r="B8700" t="s">
        <v>523</v>
      </c>
      <c r="C8700" t="s">
        <v>874</v>
      </c>
      <c r="D8700" t="s">
        <v>14</v>
      </c>
      <c r="E8700">
        <v>6</v>
      </c>
      <c r="F8700" s="2">
        <f>DATE(2026,IF(Tabla1[[#This Row],[Mes de Fecha]]="Septiembre",9,10),Tabla1[[#This Row],[Día de Fecha]])</f>
        <v>46301</v>
      </c>
      <c r="G8700">
        <v>1004191830</v>
      </c>
      <c r="H8700" t="s">
        <v>529</v>
      </c>
      <c r="I8700">
        <v>34</v>
      </c>
      <c r="J8700">
        <v>0</v>
      </c>
      <c r="K8700" s="1">
        <v>2015376</v>
      </c>
    </row>
    <row r="8701" spans="1:11" x14ac:dyDescent="0.25">
      <c r="A8701" t="s">
        <v>326</v>
      </c>
      <c r="B8701" t="s">
        <v>523</v>
      </c>
      <c r="C8701" t="s">
        <v>874</v>
      </c>
      <c r="D8701" t="s">
        <v>14</v>
      </c>
      <c r="E8701">
        <v>6</v>
      </c>
      <c r="F8701" s="2">
        <f>DATE(2026,IF(Tabla1[[#This Row],[Mes de Fecha]]="Septiembre",9,10),Tabla1[[#This Row],[Día de Fecha]])</f>
        <v>46301</v>
      </c>
      <c r="G8701">
        <v>1004217416</v>
      </c>
      <c r="H8701" t="s">
        <v>527</v>
      </c>
      <c r="I8701">
        <v>15</v>
      </c>
      <c r="J8701">
        <v>0</v>
      </c>
      <c r="K8701" s="1">
        <v>999329</v>
      </c>
    </row>
    <row r="8702" spans="1:11" x14ac:dyDescent="0.25">
      <c r="A8702" t="s">
        <v>326</v>
      </c>
      <c r="B8702" t="s">
        <v>523</v>
      </c>
      <c r="C8702" t="s">
        <v>874</v>
      </c>
      <c r="D8702" t="s">
        <v>14</v>
      </c>
      <c r="E8702">
        <v>6</v>
      </c>
      <c r="F8702" s="2">
        <f>DATE(2026,IF(Tabla1[[#This Row],[Mes de Fecha]]="Septiembre",9,10),Tabla1[[#This Row],[Día de Fecha]])</f>
        <v>46301</v>
      </c>
      <c r="G8702">
        <v>1085274203</v>
      </c>
      <c r="H8702" t="s">
        <v>524</v>
      </c>
      <c r="I8702">
        <v>30</v>
      </c>
      <c r="J8702">
        <v>0</v>
      </c>
      <c r="K8702" s="1">
        <v>1864244</v>
      </c>
    </row>
    <row r="8703" spans="1:11" x14ac:dyDescent="0.25">
      <c r="A8703" t="s">
        <v>326</v>
      </c>
      <c r="B8703" t="s">
        <v>523</v>
      </c>
      <c r="C8703" t="s">
        <v>874</v>
      </c>
      <c r="D8703" t="s">
        <v>14</v>
      </c>
      <c r="E8703">
        <v>6</v>
      </c>
      <c r="F8703" s="2">
        <f>DATE(2026,IF(Tabla1[[#This Row],[Mes de Fecha]]="Septiembre",9,10),Tabla1[[#This Row],[Día de Fecha]])</f>
        <v>46301</v>
      </c>
      <c r="G8703">
        <v>1233193345</v>
      </c>
      <c r="H8703" t="s">
        <v>525</v>
      </c>
      <c r="I8703">
        <v>14</v>
      </c>
      <c r="J8703">
        <v>0</v>
      </c>
      <c r="K8703" s="1">
        <v>1121177</v>
      </c>
    </row>
    <row r="8704" spans="1:11" x14ac:dyDescent="0.25">
      <c r="A8704" t="s">
        <v>326</v>
      </c>
      <c r="B8704" t="s">
        <v>523</v>
      </c>
      <c r="C8704" t="s">
        <v>874</v>
      </c>
      <c r="D8704" t="s">
        <v>14</v>
      </c>
      <c r="E8704">
        <v>7</v>
      </c>
      <c r="F8704" s="2">
        <f>DATE(2026,IF(Tabla1[[#This Row],[Mes de Fecha]]="Septiembre",9,10),Tabla1[[#This Row],[Día de Fecha]])</f>
        <v>46302</v>
      </c>
      <c r="I8704">
        <v>0</v>
      </c>
      <c r="J8704" s="1">
        <v>4672998</v>
      </c>
      <c r="K8704">
        <v>0</v>
      </c>
    </row>
    <row r="8705" spans="1:11" x14ac:dyDescent="0.25">
      <c r="A8705" t="s">
        <v>326</v>
      </c>
      <c r="B8705" t="s">
        <v>523</v>
      </c>
      <c r="C8705" t="s">
        <v>874</v>
      </c>
      <c r="D8705" t="s">
        <v>14</v>
      </c>
      <c r="E8705">
        <v>7</v>
      </c>
      <c r="F8705" s="2">
        <f>DATE(2026,IF(Tabla1[[#This Row],[Mes de Fecha]]="Septiembre",9,10),Tabla1[[#This Row],[Día de Fecha]])</f>
        <v>46302</v>
      </c>
      <c r="G8705">
        <v>1004191830</v>
      </c>
      <c r="H8705" t="s">
        <v>529</v>
      </c>
      <c r="I8705">
        <v>1</v>
      </c>
      <c r="J8705">
        <v>0</v>
      </c>
      <c r="K8705" s="1">
        <v>20966</v>
      </c>
    </row>
    <row r="8706" spans="1:11" x14ac:dyDescent="0.25">
      <c r="A8706" t="s">
        <v>326</v>
      </c>
      <c r="B8706" t="s">
        <v>523</v>
      </c>
      <c r="C8706" t="s">
        <v>874</v>
      </c>
      <c r="D8706" t="s">
        <v>14</v>
      </c>
      <c r="E8706">
        <v>7</v>
      </c>
      <c r="F8706" s="2">
        <f>DATE(2026,IF(Tabla1[[#This Row],[Mes de Fecha]]="Septiembre",9,10),Tabla1[[#This Row],[Día de Fecha]])</f>
        <v>46302</v>
      </c>
      <c r="G8706">
        <v>1004217416</v>
      </c>
      <c r="H8706" t="s">
        <v>527</v>
      </c>
      <c r="I8706">
        <v>11</v>
      </c>
      <c r="J8706">
        <v>0</v>
      </c>
      <c r="K8706" s="1">
        <v>600336</v>
      </c>
    </row>
    <row r="8707" spans="1:11" x14ac:dyDescent="0.25">
      <c r="A8707" t="s">
        <v>326</v>
      </c>
      <c r="B8707" t="s">
        <v>523</v>
      </c>
      <c r="C8707" t="s">
        <v>874</v>
      </c>
      <c r="D8707" t="s">
        <v>14</v>
      </c>
      <c r="E8707">
        <v>7</v>
      </c>
      <c r="F8707" s="2">
        <f>DATE(2026,IF(Tabla1[[#This Row],[Mes de Fecha]]="Septiembre",9,10),Tabla1[[#This Row],[Día de Fecha]])</f>
        <v>46302</v>
      </c>
      <c r="G8707">
        <v>1085274203</v>
      </c>
      <c r="H8707" t="s">
        <v>524</v>
      </c>
      <c r="I8707">
        <v>28</v>
      </c>
      <c r="J8707">
        <v>0</v>
      </c>
      <c r="K8707" s="1">
        <v>1969330</v>
      </c>
    </row>
    <row r="8708" spans="1:11" x14ac:dyDescent="0.25">
      <c r="A8708" t="s">
        <v>326</v>
      </c>
      <c r="B8708" t="s">
        <v>523</v>
      </c>
      <c r="C8708" t="s">
        <v>874</v>
      </c>
      <c r="D8708" t="s">
        <v>14</v>
      </c>
      <c r="E8708">
        <v>7</v>
      </c>
      <c r="F8708" s="2">
        <f>DATE(2026,IF(Tabla1[[#This Row],[Mes de Fecha]]="Septiembre",9,10),Tabla1[[#This Row],[Día de Fecha]])</f>
        <v>46302</v>
      </c>
      <c r="G8708">
        <v>1233193345</v>
      </c>
      <c r="H8708" t="s">
        <v>525</v>
      </c>
      <c r="I8708">
        <v>44</v>
      </c>
      <c r="J8708">
        <v>0</v>
      </c>
      <c r="K8708" s="1">
        <v>2239664</v>
      </c>
    </row>
    <row r="8709" spans="1:11" x14ac:dyDescent="0.25">
      <c r="A8709" t="s">
        <v>326</v>
      </c>
      <c r="B8709" t="s">
        <v>576</v>
      </c>
      <c r="C8709" t="s">
        <v>874</v>
      </c>
      <c r="D8709" t="s">
        <v>11</v>
      </c>
      <c r="E8709">
        <v>23</v>
      </c>
      <c r="F8709" s="2">
        <f>DATE(2026,IF(Tabla1[[#This Row],[Mes de Fecha]]="Septiembre",9,10),Tabla1[[#This Row],[Día de Fecha]])</f>
        <v>46288</v>
      </c>
      <c r="I8709">
        <v>0</v>
      </c>
      <c r="J8709" s="1">
        <v>19250200</v>
      </c>
      <c r="K8709">
        <v>0</v>
      </c>
    </row>
    <row r="8710" spans="1:11" x14ac:dyDescent="0.25">
      <c r="A8710" t="s">
        <v>326</v>
      </c>
      <c r="B8710" t="s">
        <v>576</v>
      </c>
      <c r="C8710" t="s">
        <v>874</v>
      </c>
      <c r="D8710" t="s">
        <v>11</v>
      </c>
      <c r="E8710">
        <v>23</v>
      </c>
      <c r="F8710" s="2">
        <f>DATE(2026,IF(Tabla1[[#This Row],[Mes de Fecha]]="Septiembre",9,10),Tabla1[[#This Row],[Día de Fecha]])</f>
        <v>46288</v>
      </c>
      <c r="G8710">
        <v>1004135195</v>
      </c>
      <c r="H8710" t="s">
        <v>580</v>
      </c>
      <c r="I8710">
        <v>9</v>
      </c>
      <c r="J8710">
        <v>0</v>
      </c>
      <c r="K8710" s="1">
        <v>507943</v>
      </c>
    </row>
    <row r="8711" spans="1:11" x14ac:dyDescent="0.25">
      <c r="A8711" t="s">
        <v>326</v>
      </c>
      <c r="B8711" t="s">
        <v>576</v>
      </c>
      <c r="C8711" t="s">
        <v>874</v>
      </c>
      <c r="D8711" t="s">
        <v>11</v>
      </c>
      <c r="E8711">
        <v>23</v>
      </c>
      <c r="F8711" s="2">
        <f>DATE(2026,IF(Tabla1[[#This Row],[Mes de Fecha]]="Septiembre",9,10),Tabla1[[#This Row],[Día de Fecha]])</f>
        <v>46288</v>
      </c>
      <c r="G8711">
        <v>1004215413</v>
      </c>
      <c r="H8711" t="s">
        <v>577</v>
      </c>
      <c r="I8711">
        <v>35</v>
      </c>
      <c r="J8711">
        <v>0</v>
      </c>
      <c r="K8711" s="1">
        <v>1405759</v>
      </c>
    </row>
    <row r="8712" spans="1:11" x14ac:dyDescent="0.25">
      <c r="A8712" t="s">
        <v>326</v>
      </c>
      <c r="B8712" t="s">
        <v>576</v>
      </c>
      <c r="C8712" t="s">
        <v>874</v>
      </c>
      <c r="D8712" t="s">
        <v>11</v>
      </c>
      <c r="E8712">
        <v>23</v>
      </c>
      <c r="F8712" s="2">
        <f>DATE(2026,IF(Tabla1[[#This Row],[Mes de Fecha]]="Septiembre",9,10),Tabla1[[#This Row],[Día de Fecha]])</f>
        <v>46288</v>
      </c>
      <c r="G8712">
        <v>1004235122</v>
      </c>
      <c r="H8712" t="s">
        <v>531</v>
      </c>
      <c r="I8712">
        <v>11</v>
      </c>
      <c r="J8712">
        <v>0</v>
      </c>
      <c r="K8712" s="1">
        <v>575169</v>
      </c>
    </row>
    <row r="8713" spans="1:11" x14ac:dyDescent="0.25">
      <c r="A8713" t="s">
        <v>326</v>
      </c>
      <c r="B8713" t="s">
        <v>576</v>
      </c>
      <c r="C8713" t="s">
        <v>874</v>
      </c>
      <c r="D8713" t="s">
        <v>11</v>
      </c>
      <c r="E8713">
        <v>23</v>
      </c>
      <c r="F8713" s="2">
        <f>DATE(2026,IF(Tabla1[[#This Row],[Mes de Fecha]]="Septiembre",9,10),Tabla1[[#This Row],[Día de Fecha]])</f>
        <v>46288</v>
      </c>
      <c r="G8713">
        <v>1030020471</v>
      </c>
      <c r="H8713" t="s">
        <v>581</v>
      </c>
      <c r="I8713">
        <v>13</v>
      </c>
      <c r="J8713">
        <v>0</v>
      </c>
      <c r="K8713" s="1">
        <v>497228</v>
      </c>
    </row>
    <row r="8714" spans="1:11" x14ac:dyDescent="0.25">
      <c r="A8714" t="s">
        <v>326</v>
      </c>
      <c r="B8714" t="s">
        <v>576</v>
      </c>
      <c r="C8714" t="s">
        <v>874</v>
      </c>
      <c r="D8714" t="s">
        <v>11</v>
      </c>
      <c r="E8714">
        <v>23</v>
      </c>
      <c r="F8714" s="2">
        <f>DATE(2026,IF(Tabla1[[#This Row],[Mes de Fecha]]="Septiembre",9,10),Tabla1[[#This Row],[Día de Fecha]])</f>
        <v>46288</v>
      </c>
      <c r="G8714">
        <v>1085283938</v>
      </c>
      <c r="H8714" t="s">
        <v>530</v>
      </c>
      <c r="I8714">
        <v>80</v>
      </c>
      <c r="J8714">
        <v>0</v>
      </c>
      <c r="K8714" s="1">
        <v>3725088</v>
      </c>
    </row>
    <row r="8715" spans="1:11" x14ac:dyDescent="0.25">
      <c r="A8715" t="s">
        <v>326</v>
      </c>
      <c r="B8715" t="s">
        <v>576</v>
      </c>
      <c r="C8715" t="s">
        <v>874</v>
      </c>
      <c r="D8715" t="s">
        <v>11</v>
      </c>
      <c r="E8715">
        <v>23</v>
      </c>
      <c r="F8715" s="2">
        <f>DATE(2026,IF(Tabla1[[#This Row],[Mes de Fecha]]="Septiembre",9,10),Tabla1[[#This Row],[Día de Fecha]])</f>
        <v>46288</v>
      </c>
      <c r="G8715">
        <v>1085305292</v>
      </c>
      <c r="H8715" t="s">
        <v>578</v>
      </c>
      <c r="I8715">
        <v>68</v>
      </c>
      <c r="J8715">
        <v>0</v>
      </c>
      <c r="K8715" s="1">
        <v>3143783</v>
      </c>
    </row>
    <row r="8716" spans="1:11" x14ac:dyDescent="0.25">
      <c r="A8716" t="s">
        <v>326</v>
      </c>
      <c r="B8716" t="s">
        <v>576</v>
      </c>
      <c r="C8716" t="s">
        <v>874</v>
      </c>
      <c r="D8716" t="s">
        <v>11</v>
      </c>
      <c r="E8716">
        <v>23</v>
      </c>
      <c r="F8716" s="2">
        <f>DATE(2026,IF(Tabla1[[#This Row],[Mes de Fecha]]="Septiembre",9,10),Tabla1[[#This Row],[Día de Fecha]])</f>
        <v>46288</v>
      </c>
      <c r="G8716">
        <v>1110040388</v>
      </c>
      <c r="H8716" t="s">
        <v>582</v>
      </c>
      <c r="I8716">
        <v>13</v>
      </c>
      <c r="J8716">
        <v>0</v>
      </c>
      <c r="K8716" s="1">
        <v>537059</v>
      </c>
    </row>
    <row r="8717" spans="1:11" x14ac:dyDescent="0.25">
      <c r="A8717" t="s">
        <v>326</v>
      </c>
      <c r="B8717" t="s">
        <v>576</v>
      </c>
      <c r="C8717" t="s">
        <v>874</v>
      </c>
      <c r="D8717" t="s">
        <v>11</v>
      </c>
      <c r="E8717">
        <v>24</v>
      </c>
      <c r="F8717" s="2">
        <f>DATE(2026,IF(Tabla1[[#This Row],[Mes de Fecha]]="Septiembre",9,10),Tabla1[[#This Row],[Día de Fecha]])</f>
        <v>46289</v>
      </c>
      <c r="I8717">
        <v>0</v>
      </c>
      <c r="J8717" s="1">
        <v>29406843</v>
      </c>
      <c r="K8717">
        <v>0</v>
      </c>
    </row>
    <row r="8718" spans="1:11" x14ac:dyDescent="0.25">
      <c r="A8718" t="s">
        <v>326</v>
      </c>
      <c r="B8718" t="s">
        <v>576</v>
      </c>
      <c r="C8718" t="s">
        <v>874</v>
      </c>
      <c r="D8718" t="s">
        <v>11</v>
      </c>
      <c r="E8718">
        <v>24</v>
      </c>
      <c r="F8718" s="2">
        <f>DATE(2026,IF(Tabla1[[#This Row],[Mes de Fecha]]="Septiembre",9,10),Tabla1[[#This Row],[Día de Fecha]])</f>
        <v>46289</v>
      </c>
      <c r="G8718">
        <v>1004135195</v>
      </c>
      <c r="H8718" t="s">
        <v>580</v>
      </c>
      <c r="I8718">
        <v>23</v>
      </c>
      <c r="J8718">
        <v>0</v>
      </c>
      <c r="K8718" s="1">
        <v>716934</v>
      </c>
    </row>
    <row r="8719" spans="1:11" x14ac:dyDescent="0.25">
      <c r="A8719" t="s">
        <v>326</v>
      </c>
      <c r="B8719" t="s">
        <v>576</v>
      </c>
      <c r="C8719" t="s">
        <v>874</v>
      </c>
      <c r="D8719" t="s">
        <v>11</v>
      </c>
      <c r="E8719">
        <v>24</v>
      </c>
      <c r="F8719" s="2">
        <f>DATE(2026,IF(Tabla1[[#This Row],[Mes de Fecha]]="Septiembre",9,10),Tabla1[[#This Row],[Día de Fecha]])</f>
        <v>46289</v>
      </c>
      <c r="G8719">
        <v>1004215413</v>
      </c>
      <c r="H8719" t="s">
        <v>577</v>
      </c>
      <c r="I8719">
        <v>71</v>
      </c>
      <c r="J8719">
        <v>0</v>
      </c>
      <c r="K8719" s="1">
        <v>3071975</v>
      </c>
    </row>
    <row r="8720" spans="1:11" x14ac:dyDescent="0.25">
      <c r="A8720" t="s">
        <v>326</v>
      </c>
      <c r="B8720" t="s">
        <v>576</v>
      </c>
      <c r="C8720" t="s">
        <v>874</v>
      </c>
      <c r="D8720" t="s">
        <v>11</v>
      </c>
      <c r="E8720">
        <v>24</v>
      </c>
      <c r="F8720" s="2">
        <f>DATE(2026,IF(Tabla1[[#This Row],[Mes de Fecha]]="Septiembre",9,10),Tabla1[[#This Row],[Día de Fecha]])</f>
        <v>46289</v>
      </c>
      <c r="G8720">
        <v>1004235122</v>
      </c>
      <c r="H8720" t="s">
        <v>531</v>
      </c>
      <c r="I8720">
        <v>14</v>
      </c>
      <c r="J8720">
        <v>0</v>
      </c>
      <c r="K8720" s="1">
        <v>629496</v>
      </c>
    </row>
    <row r="8721" spans="1:11" x14ac:dyDescent="0.25">
      <c r="A8721" t="s">
        <v>326</v>
      </c>
      <c r="B8721" t="s">
        <v>576</v>
      </c>
      <c r="C8721" t="s">
        <v>874</v>
      </c>
      <c r="D8721" t="s">
        <v>11</v>
      </c>
      <c r="E8721">
        <v>24</v>
      </c>
      <c r="F8721" s="2">
        <f>DATE(2026,IF(Tabla1[[#This Row],[Mes de Fecha]]="Septiembre",9,10),Tabla1[[#This Row],[Día de Fecha]])</f>
        <v>46289</v>
      </c>
      <c r="G8721">
        <v>1030020471</v>
      </c>
      <c r="H8721" t="s">
        <v>581</v>
      </c>
      <c r="I8721">
        <v>26</v>
      </c>
      <c r="J8721">
        <v>0</v>
      </c>
      <c r="K8721" s="1">
        <v>683193</v>
      </c>
    </row>
    <row r="8722" spans="1:11" x14ac:dyDescent="0.25">
      <c r="A8722" t="s">
        <v>326</v>
      </c>
      <c r="B8722" t="s">
        <v>576</v>
      </c>
      <c r="C8722" t="s">
        <v>874</v>
      </c>
      <c r="D8722" t="s">
        <v>11</v>
      </c>
      <c r="E8722">
        <v>24</v>
      </c>
      <c r="F8722" s="2">
        <f>DATE(2026,IF(Tabla1[[#This Row],[Mes de Fecha]]="Septiembre",9,10),Tabla1[[#This Row],[Día de Fecha]])</f>
        <v>46289</v>
      </c>
      <c r="G8722">
        <v>1085283938</v>
      </c>
      <c r="H8722" t="s">
        <v>530</v>
      </c>
      <c r="I8722">
        <v>144</v>
      </c>
      <c r="J8722">
        <v>0</v>
      </c>
      <c r="K8722" s="1">
        <v>6975636</v>
      </c>
    </row>
    <row r="8723" spans="1:11" x14ac:dyDescent="0.25">
      <c r="A8723" t="s">
        <v>326</v>
      </c>
      <c r="B8723" t="s">
        <v>576</v>
      </c>
      <c r="C8723" t="s">
        <v>874</v>
      </c>
      <c r="D8723" t="s">
        <v>11</v>
      </c>
      <c r="E8723">
        <v>24</v>
      </c>
      <c r="F8723" s="2">
        <f>DATE(2026,IF(Tabla1[[#This Row],[Mes de Fecha]]="Septiembre",9,10),Tabla1[[#This Row],[Día de Fecha]])</f>
        <v>46289</v>
      </c>
      <c r="G8723">
        <v>1085305292</v>
      </c>
      <c r="H8723" t="s">
        <v>578</v>
      </c>
      <c r="I8723">
        <v>156</v>
      </c>
      <c r="J8723">
        <v>0</v>
      </c>
      <c r="K8723" s="1">
        <v>6929504</v>
      </c>
    </row>
    <row r="8724" spans="1:11" x14ac:dyDescent="0.25">
      <c r="A8724" t="s">
        <v>326</v>
      </c>
      <c r="B8724" t="s">
        <v>576</v>
      </c>
      <c r="C8724" t="s">
        <v>874</v>
      </c>
      <c r="D8724" t="s">
        <v>11</v>
      </c>
      <c r="E8724">
        <v>24</v>
      </c>
      <c r="F8724" s="2">
        <f>DATE(2026,IF(Tabla1[[#This Row],[Mes de Fecha]]="Septiembre",9,10),Tabla1[[#This Row],[Día de Fecha]])</f>
        <v>46289</v>
      </c>
      <c r="G8724">
        <v>1110040388</v>
      </c>
      <c r="H8724" t="s">
        <v>582</v>
      </c>
      <c r="I8724">
        <v>26</v>
      </c>
      <c r="J8724">
        <v>0</v>
      </c>
      <c r="K8724" s="1">
        <v>695884</v>
      </c>
    </row>
    <row r="8725" spans="1:11" x14ac:dyDescent="0.25">
      <c r="A8725" t="s">
        <v>326</v>
      </c>
      <c r="B8725" t="s">
        <v>576</v>
      </c>
      <c r="C8725" t="s">
        <v>874</v>
      </c>
      <c r="D8725" t="s">
        <v>11</v>
      </c>
      <c r="E8725">
        <v>25</v>
      </c>
      <c r="F8725" s="2">
        <f>DATE(2026,IF(Tabla1[[#This Row],[Mes de Fecha]]="Septiembre",9,10),Tabla1[[#This Row],[Día de Fecha]])</f>
        <v>46290</v>
      </c>
      <c r="I8725">
        <v>0</v>
      </c>
      <c r="J8725" s="1">
        <v>29341743</v>
      </c>
      <c r="K8725">
        <v>0</v>
      </c>
    </row>
    <row r="8726" spans="1:11" x14ac:dyDescent="0.25">
      <c r="A8726" t="s">
        <v>326</v>
      </c>
      <c r="B8726" t="s">
        <v>576</v>
      </c>
      <c r="C8726" t="s">
        <v>874</v>
      </c>
      <c r="D8726" t="s">
        <v>11</v>
      </c>
      <c r="E8726">
        <v>25</v>
      </c>
      <c r="F8726" s="2">
        <f>DATE(2026,IF(Tabla1[[#This Row],[Mes de Fecha]]="Septiembre",9,10),Tabla1[[#This Row],[Día de Fecha]])</f>
        <v>46290</v>
      </c>
      <c r="G8726">
        <v>1004135195</v>
      </c>
      <c r="H8726" t="s">
        <v>580</v>
      </c>
      <c r="I8726">
        <v>9</v>
      </c>
      <c r="J8726">
        <v>0</v>
      </c>
      <c r="K8726" s="1">
        <v>423824</v>
      </c>
    </row>
    <row r="8727" spans="1:11" x14ac:dyDescent="0.25">
      <c r="A8727" t="s">
        <v>326</v>
      </c>
      <c r="B8727" t="s">
        <v>576</v>
      </c>
      <c r="C8727" t="s">
        <v>874</v>
      </c>
      <c r="D8727" t="s">
        <v>11</v>
      </c>
      <c r="E8727">
        <v>25</v>
      </c>
      <c r="F8727" s="2">
        <f>DATE(2026,IF(Tabla1[[#This Row],[Mes de Fecha]]="Septiembre",9,10),Tabla1[[#This Row],[Día de Fecha]])</f>
        <v>46290</v>
      </c>
      <c r="G8727">
        <v>1004215413</v>
      </c>
      <c r="H8727" t="s">
        <v>577</v>
      </c>
      <c r="I8727">
        <v>35</v>
      </c>
      <c r="J8727">
        <v>0</v>
      </c>
      <c r="K8727" s="1">
        <v>1830126</v>
      </c>
    </row>
    <row r="8728" spans="1:11" x14ac:dyDescent="0.25">
      <c r="A8728" t="s">
        <v>326</v>
      </c>
      <c r="B8728" t="s">
        <v>576</v>
      </c>
      <c r="C8728" t="s">
        <v>874</v>
      </c>
      <c r="D8728" t="s">
        <v>11</v>
      </c>
      <c r="E8728">
        <v>25</v>
      </c>
      <c r="F8728" s="2">
        <f>DATE(2026,IF(Tabla1[[#This Row],[Mes de Fecha]]="Septiembre",9,10),Tabla1[[#This Row],[Día de Fecha]])</f>
        <v>46290</v>
      </c>
      <c r="G8728">
        <v>1004235122</v>
      </c>
      <c r="H8728" t="s">
        <v>531</v>
      </c>
      <c r="I8728">
        <v>7</v>
      </c>
      <c r="J8728">
        <v>0</v>
      </c>
      <c r="K8728" s="1">
        <v>394623</v>
      </c>
    </row>
    <row r="8729" spans="1:11" x14ac:dyDescent="0.25">
      <c r="A8729" t="s">
        <v>326</v>
      </c>
      <c r="B8729" t="s">
        <v>576</v>
      </c>
      <c r="C8729" t="s">
        <v>874</v>
      </c>
      <c r="D8729" t="s">
        <v>11</v>
      </c>
      <c r="E8729">
        <v>25</v>
      </c>
      <c r="F8729" s="2">
        <f>DATE(2026,IF(Tabla1[[#This Row],[Mes de Fecha]]="Septiembre",9,10),Tabla1[[#This Row],[Día de Fecha]])</f>
        <v>46290</v>
      </c>
      <c r="G8729">
        <v>1030020471</v>
      </c>
      <c r="H8729" t="s">
        <v>581</v>
      </c>
      <c r="I8729">
        <v>15</v>
      </c>
      <c r="J8729">
        <v>0</v>
      </c>
      <c r="K8729" s="1">
        <v>873111</v>
      </c>
    </row>
    <row r="8730" spans="1:11" x14ac:dyDescent="0.25">
      <c r="A8730" t="s">
        <v>326</v>
      </c>
      <c r="B8730" t="s">
        <v>576</v>
      </c>
      <c r="C8730" t="s">
        <v>874</v>
      </c>
      <c r="D8730" t="s">
        <v>11</v>
      </c>
      <c r="E8730">
        <v>25</v>
      </c>
      <c r="F8730" s="2">
        <f>DATE(2026,IF(Tabla1[[#This Row],[Mes de Fecha]]="Septiembre",9,10),Tabla1[[#This Row],[Día de Fecha]])</f>
        <v>46290</v>
      </c>
      <c r="G8730">
        <v>1085283938</v>
      </c>
      <c r="H8730" t="s">
        <v>530</v>
      </c>
      <c r="I8730">
        <v>125</v>
      </c>
      <c r="J8730">
        <v>0</v>
      </c>
      <c r="K8730" s="1">
        <v>7306772</v>
      </c>
    </row>
    <row r="8731" spans="1:11" x14ac:dyDescent="0.25">
      <c r="A8731" t="s">
        <v>326</v>
      </c>
      <c r="B8731" t="s">
        <v>576</v>
      </c>
      <c r="C8731" t="s">
        <v>874</v>
      </c>
      <c r="D8731" t="s">
        <v>11</v>
      </c>
      <c r="E8731">
        <v>25</v>
      </c>
      <c r="F8731" s="2">
        <f>DATE(2026,IF(Tabla1[[#This Row],[Mes de Fecha]]="Septiembre",9,10),Tabla1[[#This Row],[Día de Fecha]])</f>
        <v>46290</v>
      </c>
      <c r="G8731">
        <v>1085305292</v>
      </c>
      <c r="H8731" t="s">
        <v>578</v>
      </c>
      <c r="I8731">
        <v>125</v>
      </c>
      <c r="J8731">
        <v>0</v>
      </c>
      <c r="K8731" s="1">
        <v>6963918</v>
      </c>
    </row>
    <row r="8732" spans="1:11" x14ac:dyDescent="0.25">
      <c r="A8732" t="s">
        <v>326</v>
      </c>
      <c r="B8732" t="s">
        <v>576</v>
      </c>
      <c r="C8732" t="s">
        <v>874</v>
      </c>
      <c r="D8732" t="s">
        <v>11</v>
      </c>
      <c r="E8732">
        <v>25</v>
      </c>
      <c r="F8732" s="2">
        <f>DATE(2026,IF(Tabla1[[#This Row],[Mes de Fecha]]="Septiembre",9,10),Tabla1[[#This Row],[Día de Fecha]])</f>
        <v>46290</v>
      </c>
      <c r="G8732">
        <v>1110040388</v>
      </c>
      <c r="H8732" t="s">
        <v>582</v>
      </c>
      <c r="I8732">
        <v>10</v>
      </c>
      <c r="J8732">
        <v>0</v>
      </c>
      <c r="K8732" s="1">
        <v>528068</v>
      </c>
    </row>
    <row r="8733" spans="1:11" x14ac:dyDescent="0.25">
      <c r="A8733" t="s">
        <v>326</v>
      </c>
      <c r="B8733" t="s">
        <v>576</v>
      </c>
      <c r="C8733" t="s">
        <v>874</v>
      </c>
      <c r="D8733" t="s">
        <v>11</v>
      </c>
      <c r="E8733">
        <v>26</v>
      </c>
      <c r="F8733" s="2">
        <f>DATE(2026,IF(Tabla1[[#This Row],[Mes de Fecha]]="Septiembre",9,10),Tabla1[[#This Row],[Día de Fecha]])</f>
        <v>46291</v>
      </c>
      <c r="I8733">
        <v>0</v>
      </c>
      <c r="J8733" s="1">
        <v>42168305</v>
      </c>
      <c r="K8733">
        <v>0</v>
      </c>
    </row>
    <row r="8734" spans="1:11" x14ac:dyDescent="0.25">
      <c r="A8734" t="s">
        <v>326</v>
      </c>
      <c r="B8734" t="s">
        <v>576</v>
      </c>
      <c r="C8734" t="s">
        <v>874</v>
      </c>
      <c r="D8734" t="s">
        <v>11</v>
      </c>
      <c r="E8734">
        <v>26</v>
      </c>
      <c r="F8734" s="2">
        <f>DATE(2026,IF(Tabla1[[#This Row],[Mes de Fecha]]="Septiembre",9,10),Tabla1[[#This Row],[Día de Fecha]])</f>
        <v>46291</v>
      </c>
      <c r="G8734">
        <v>1004135195</v>
      </c>
      <c r="H8734" t="s">
        <v>580</v>
      </c>
      <c r="I8734">
        <v>3</v>
      </c>
      <c r="J8734">
        <v>0</v>
      </c>
      <c r="K8734" s="1">
        <v>226722</v>
      </c>
    </row>
    <row r="8735" spans="1:11" x14ac:dyDescent="0.25">
      <c r="A8735" t="s">
        <v>326</v>
      </c>
      <c r="B8735" t="s">
        <v>576</v>
      </c>
      <c r="C8735" t="s">
        <v>874</v>
      </c>
      <c r="D8735" t="s">
        <v>11</v>
      </c>
      <c r="E8735">
        <v>26</v>
      </c>
      <c r="F8735" s="2">
        <f>DATE(2026,IF(Tabla1[[#This Row],[Mes de Fecha]]="Septiembre",9,10),Tabla1[[#This Row],[Día de Fecha]])</f>
        <v>46291</v>
      </c>
      <c r="G8735">
        <v>1004215413</v>
      </c>
      <c r="H8735" t="s">
        <v>577</v>
      </c>
      <c r="I8735">
        <v>38</v>
      </c>
      <c r="J8735">
        <v>0</v>
      </c>
      <c r="K8735" s="1">
        <v>2400549</v>
      </c>
    </row>
    <row r="8736" spans="1:11" x14ac:dyDescent="0.25">
      <c r="A8736" t="s">
        <v>326</v>
      </c>
      <c r="B8736" t="s">
        <v>576</v>
      </c>
      <c r="C8736" t="s">
        <v>874</v>
      </c>
      <c r="D8736" t="s">
        <v>11</v>
      </c>
      <c r="E8736">
        <v>26</v>
      </c>
      <c r="F8736" s="2">
        <f>DATE(2026,IF(Tabla1[[#This Row],[Mes de Fecha]]="Septiembre",9,10),Tabla1[[#This Row],[Día de Fecha]])</f>
        <v>46291</v>
      </c>
      <c r="G8736">
        <v>1004235122</v>
      </c>
      <c r="H8736" t="s">
        <v>531</v>
      </c>
      <c r="I8736">
        <v>8</v>
      </c>
      <c r="J8736">
        <v>0</v>
      </c>
      <c r="K8736" s="1">
        <v>325253</v>
      </c>
    </row>
    <row r="8737" spans="1:11" x14ac:dyDescent="0.25">
      <c r="A8737" t="s">
        <v>326</v>
      </c>
      <c r="B8737" t="s">
        <v>576</v>
      </c>
      <c r="C8737" t="s">
        <v>874</v>
      </c>
      <c r="D8737" t="s">
        <v>11</v>
      </c>
      <c r="E8737">
        <v>26</v>
      </c>
      <c r="F8737" s="2">
        <f>DATE(2026,IF(Tabla1[[#This Row],[Mes de Fecha]]="Septiembre",9,10),Tabla1[[#This Row],[Día de Fecha]])</f>
        <v>46291</v>
      </c>
      <c r="G8737">
        <v>1030020471</v>
      </c>
      <c r="H8737" t="s">
        <v>581</v>
      </c>
      <c r="I8737">
        <v>5</v>
      </c>
      <c r="J8737">
        <v>0</v>
      </c>
      <c r="K8737" s="1">
        <v>243446</v>
      </c>
    </row>
    <row r="8738" spans="1:11" x14ac:dyDescent="0.25">
      <c r="A8738" t="s">
        <v>326</v>
      </c>
      <c r="B8738" t="s">
        <v>576</v>
      </c>
      <c r="C8738" t="s">
        <v>874</v>
      </c>
      <c r="D8738" t="s">
        <v>11</v>
      </c>
      <c r="E8738">
        <v>26</v>
      </c>
      <c r="F8738" s="2">
        <f>DATE(2026,IF(Tabla1[[#This Row],[Mes de Fecha]]="Septiembre",9,10),Tabla1[[#This Row],[Día de Fecha]])</f>
        <v>46291</v>
      </c>
      <c r="G8738">
        <v>1085283938</v>
      </c>
      <c r="H8738" t="s">
        <v>530</v>
      </c>
      <c r="I8738">
        <v>261</v>
      </c>
      <c r="J8738">
        <v>0</v>
      </c>
      <c r="K8738" s="1">
        <v>14893590</v>
      </c>
    </row>
    <row r="8739" spans="1:11" x14ac:dyDescent="0.25">
      <c r="A8739" t="s">
        <v>326</v>
      </c>
      <c r="B8739" t="s">
        <v>576</v>
      </c>
      <c r="C8739" t="s">
        <v>874</v>
      </c>
      <c r="D8739" t="s">
        <v>11</v>
      </c>
      <c r="E8739">
        <v>26</v>
      </c>
      <c r="F8739" s="2">
        <f>DATE(2026,IF(Tabla1[[#This Row],[Mes de Fecha]]="Septiembre",9,10),Tabla1[[#This Row],[Día de Fecha]])</f>
        <v>46291</v>
      </c>
      <c r="G8739">
        <v>1085290212</v>
      </c>
      <c r="H8739" t="s">
        <v>583</v>
      </c>
      <c r="I8739">
        <v>-1</v>
      </c>
      <c r="J8739">
        <v>0</v>
      </c>
      <c r="K8739" s="1">
        <v>-113403</v>
      </c>
    </row>
    <row r="8740" spans="1:11" x14ac:dyDescent="0.25">
      <c r="A8740" t="s">
        <v>326</v>
      </c>
      <c r="B8740" t="s">
        <v>576</v>
      </c>
      <c r="C8740" t="s">
        <v>874</v>
      </c>
      <c r="D8740" t="s">
        <v>11</v>
      </c>
      <c r="E8740">
        <v>26</v>
      </c>
      <c r="F8740" s="2">
        <f>DATE(2026,IF(Tabla1[[#This Row],[Mes de Fecha]]="Septiembre",9,10),Tabla1[[#This Row],[Día de Fecha]])</f>
        <v>46291</v>
      </c>
      <c r="G8740">
        <v>1085305292</v>
      </c>
      <c r="H8740" t="s">
        <v>578</v>
      </c>
      <c r="I8740">
        <v>304</v>
      </c>
      <c r="J8740">
        <v>0</v>
      </c>
      <c r="K8740" s="1">
        <v>15114502</v>
      </c>
    </row>
    <row r="8741" spans="1:11" x14ac:dyDescent="0.25">
      <c r="A8741" t="s">
        <v>326</v>
      </c>
      <c r="B8741" t="s">
        <v>576</v>
      </c>
      <c r="C8741" t="s">
        <v>874</v>
      </c>
      <c r="D8741" t="s">
        <v>11</v>
      </c>
      <c r="E8741">
        <v>26</v>
      </c>
      <c r="F8741" s="2">
        <f>DATE(2026,IF(Tabla1[[#This Row],[Mes de Fecha]]="Septiembre",9,10),Tabla1[[#This Row],[Día de Fecha]])</f>
        <v>46291</v>
      </c>
      <c r="G8741">
        <v>1110040388</v>
      </c>
      <c r="H8741" t="s">
        <v>582</v>
      </c>
      <c r="I8741">
        <v>13</v>
      </c>
      <c r="J8741">
        <v>0</v>
      </c>
      <c r="K8741" s="1">
        <v>482480</v>
      </c>
    </row>
    <row r="8742" spans="1:11" x14ac:dyDescent="0.25">
      <c r="A8742" t="s">
        <v>326</v>
      </c>
      <c r="B8742" t="s">
        <v>576</v>
      </c>
      <c r="C8742" t="s">
        <v>874</v>
      </c>
      <c r="D8742" t="s">
        <v>11</v>
      </c>
      <c r="E8742">
        <v>26</v>
      </c>
      <c r="F8742" s="2">
        <f>DATE(2026,IF(Tabla1[[#This Row],[Mes de Fecha]]="Septiembre",9,10),Tabla1[[#This Row],[Día de Fecha]])</f>
        <v>46291</v>
      </c>
      <c r="G8742">
        <v>1233193345</v>
      </c>
      <c r="H8742" t="s">
        <v>525</v>
      </c>
      <c r="I8742">
        <v>-1</v>
      </c>
      <c r="J8742">
        <v>0</v>
      </c>
      <c r="K8742" s="1">
        <v>-41933</v>
      </c>
    </row>
    <row r="8743" spans="1:11" x14ac:dyDescent="0.25">
      <c r="A8743" t="s">
        <v>326</v>
      </c>
      <c r="B8743" t="s">
        <v>576</v>
      </c>
      <c r="C8743" t="s">
        <v>874</v>
      </c>
      <c r="D8743" t="s">
        <v>11</v>
      </c>
      <c r="E8743">
        <v>27</v>
      </c>
      <c r="F8743" s="2">
        <f>DATE(2026,IF(Tabla1[[#This Row],[Mes de Fecha]]="Septiembre",9,10),Tabla1[[#This Row],[Día de Fecha]])</f>
        <v>46292</v>
      </c>
      <c r="I8743">
        <v>0</v>
      </c>
      <c r="J8743" s="1">
        <v>33405787</v>
      </c>
      <c r="K8743">
        <v>0</v>
      </c>
    </row>
    <row r="8744" spans="1:11" x14ac:dyDescent="0.25">
      <c r="A8744" t="s">
        <v>326</v>
      </c>
      <c r="B8744" t="s">
        <v>576</v>
      </c>
      <c r="C8744" t="s">
        <v>874</v>
      </c>
      <c r="D8744" t="s">
        <v>11</v>
      </c>
      <c r="E8744">
        <v>27</v>
      </c>
      <c r="F8744" s="2">
        <f>DATE(2026,IF(Tabla1[[#This Row],[Mes de Fecha]]="Septiembre",9,10),Tabla1[[#This Row],[Día de Fecha]])</f>
        <v>46292</v>
      </c>
      <c r="G8744">
        <v>1004135195</v>
      </c>
      <c r="H8744" t="s">
        <v>580</v>
      </c>
      <c r="I8744">
        <v>5</v>
      </c>
      <c r="J8744">
        <v>0</v>
      </c>
      <c r="K8744" s="1">
        <v>247605</v>
      </c>
    </row>
    <row r="8745" spans="1:11" x14ac:dyDescent="0.25">
      <c r="A8745" t="s">
        <v>326</v>
      </c>
      <c r="B8745" t="s">
        <v>576</v>
      </c>
      <c r="C8745" t="s">
        <v>874</v>
      </c>
      <c r="D8745" t="s">
        <v>11</v>
      </c>
      <c r="E8745">
        <v>27</v>
      </c>
      <c r="F8745" s="2">
        <f>DATE(2026,IF(Tabla1[[#This Row],[Mes de Fecha]]="Septiembre",9,10),Tabla1[[#This Row],[Día de Fecha]])</f>
        <v>46292</v>
      </c>
      <c r="G8745">
        <v>1004215413</v>
      </c>
      <c r="H8745" t="s">
        <v>577</v>
      </c>
      <c r="I8745">
        <v>75</v>
      </c>
      <c r="J8745">
        <v>0</v>
      </c>
      <c r="K8745" s="1">
        <v>3933115</v>
      </c>
    </row>
    <row r="8746" spans="1:11" x14ac:dyDescent="0.25">
      <c r="A8746" t="s">
        <v>326</v>
      </c>
      <c r="B8746" t="s">
        <v>576</v>
      </c>
      <c r="C8746" t="s">
        <v>874</v>
      </c>
      <c r="D8746" t="s">
        <v>11</v>
      </c>
      <c r="E8746">
        <v>27</v>
      </c>
      <c r="F8746" s="2">
        <f>DATE(2026,IF(Tabla1[[#This Row],[Mes de Fecha]]="Septiembre",9,10),Tabla1[[#This Row],[Día de Fecha]])</f>
        <v>46292</v>
      </c>
      <c r="G8746">
        <v>1004235122</v>
      </c>
      <c r="H8746" t="s">
        <v>531</v>
      </c>
      <c r="I8746">
        <v>6</v>
      </c>
      <c r="J8746">
        <v>0</v>
      </c>
      <c r="K8746" s="1">
        <v>180379</v>
      </c>
    </row>
    <row r="8747" spans="1:11" x14ac:dyDescent="0.25">
      <c r="A8747" t="s">
        <v>326</v>
      </c>
      <c r="B8747" t="s">
        <v>576</v>
      </c>
      <c r="C8747" t="s">
        <v>874</v>
      </c>
      <c r="D8747" t="s">
        <v>11</v>
      </c>
      <c r="E8747">
        <v>27</v>
      </c>
      <c r="F8747" s="2">
        <f>DATE(2026,IF(Tabla1[[#This Row],[Mes de Fecha]]="Septiembre",9,10),Tabla1[[#This Row],[Día de Fecha]])</f>
        <v>46292</v>
      </c>
      <c r="G8747">
        <v>1030020471</v>
      </c>
      <c r="H8747" t="s">
        <v>581</v>
      </c>
      <c r="I8747">
        <v>5</v>
      </c>
      <c r="J8747">
        <v>0</v>
      </c>
      <c r="K8747" s="1">
        <v>167815</v>
      </c>
    </row>
    <row r="8748" spans="1:11" x14ac:dyDescent="0.25">
      <c r="A8748" t="s">
        <v>326</v>
      </c>
      <c r="B8748" t="s">
        <v>576</v>
      </c>
      <c r="C8748" t="s">
        <v>874</v>
      </c>
      <c r="D8748" t="s">
        <v>11</v>
      </c>
      <c r="E8748">
        <v>27</v>
      </c>
      <c r="F8748" s="2">
        <f>DATE(2026,IF(Tabla1[[#This Row],[Mes de Fecha]]="Septiembre",9,10),Tabla1[[#This Row],[Día de Fecha]])</f>
        <v>46292</v>
      </c>
      <c r="G8748">
        <v>1085283938</v>
      </c>
      <c r="H8748" t="s">
        <v>530</v>
      </c>
      <c r="I8748">
        <v>273</v>
      </c>
      <c r="J8748">
        <v>0</v>
      </c>
      <c r="K8748" s="1">
        <v>15722662</v>
      </c>
    </row>
    <row r="8749" spans="1:11" x14ac:dyDescent="0.25">
      <c r="A8749" t="s">
        <v>326</v>
      </c>
      <c r="B8749" t="s">
        <v>576</v>
      </c>
      <c r="C8749" t="s">
        <v>874</v>
      </c>
      <c r="D8749" t="s">
        <v>11</v>
      </c>
      <c r="E8749">
        <v>27</v>
      </c>
      <c r="F8749" s="2">
        <f>DATE(2026,IF(Tabla1[[#This Row],[Mes de Fecha]]="Septiembre",9,10),Tabla1[[#This Row],[Día de Fecha]])</f>
        <v>46292</v>
      </c>
      <c r="G8749">
        <v>1085305292</v>
      </c>
      <c r="H8749" t="s">
        <v>578</v>
      </c>
      <c r="I8749">
        <v>302</v>
      </c>
      <c r="J8749">
        <v>0</v>
      </c>
      <c r="K8749" s="1">
        <v>17130897</v>
      </c>
    </row>
    <row r="8750" spans="1:11" x14ac:dyDescent="0.25">
      <c r="A8750" t="s">
        <v>326</v>
      </c>
      <c r="B8750" t="s">
        <v>576</v>
      </c>
      <c r="C8750" t="s">
        <v>874</v>
      </c>
      <c r="D8750" t="s">
        <v>11</v>
      </c>
      <c r="E8750">
        <v>27</v>
      </c>
      <c r="F8750" s="2">
        <f>DATE(2026,IF(Tabla1[[#This Row],[Mes de Fecha]]="Septiembre",9,10),Tabla1[[#This Row],[Día de Fecha]])</f>
        <v>46292</v>
      </c>
      <c r="G8750">
        <v>1110040388</v>
      </c>
      <c r="H8750" t="s">
        <v>582</v>
      </c>
      <c r="I8750">
        <v>2</v>
      </c>
      <c r="J8750">
        <v>0</v>
      </c>
      <c r="K8750" s="1">
        <v>54495</v>
      </c>
    </row>
    <row r="8751" spans="1:11" x14ac:dyDescent="0.25">
      <c r="A8751" t="s">
        <v>326</v>
      </c>
      <c r="B8751" t="s">
        <v>576</v>
      </c>
      <c r="C8751" t="s">
        <v>874</v>
      </c>
      <c r="D8751" t="s">
        <v>11</v>
      </c>
      <c r="E8751">
        <v>28</v>
      </c>
      <c r="F8751" s="2">
        <f>DATE(2026,IF(Tabla1[[#This Row],[Mes de Fecha]]="Septiembre",9,10),Tabla1[[#This Row],[Día de Fecha]])</f>
        <v>46293</v>
      </c>
      <c r="I8751">
        <v>0</v>
      </c>
      <c r="J8751" s="1">
        <v>18385174</v>
      </c>
      <c r="K8751">
        <v>0</v>
      </c>
    </row>
    <row r="8752" spans="1:11" x14ac:dyDescent="0.25">
      <c r="A8752" t="s">
        <v>326</v>
      </c>
      <c r="B8752" t="s">
        <v>576</v>
      </c>
      <c r="C8752" t="s">
        <v>874</v>
      </c>
      <c r="D8752" t="s">
        <v>11</v>
      </c>
      <c r="E8752">
        <v>28</v>
      </c>
      <c r="F8752" s="2">
        <f>DATE(2026,IF(Tabla1[[#This Row],[Mes de Fecha]]="Septiembre",9,10),Tabla1[[#This Row],[Día de Fecha]])</f>
        <v>46293</v>
      </c>
      <c r="G8752">
        <v>1004135195</v>
      </c>
      <c r="H8752" t="s">
        <v>580</v>
      </c>
      <c r="I8752">
        <v>22</v>
      </c>
      <c r="J8752">
        <v>0</v>
      </c>
      <c r="K8752" s="1">
        <v>1044835</v>
      </c>
    </row>
    <row r="8753" spans="1:11" x14ac:dyDescent="0.25">
      <c r="A8753" t="s">
        <v>326</v>
      </c>
      <c r="B8753" t="s">
        <v>576</v>
      </c>
      <c r="C8753" t="s">
        <v>874</v>
      </c>
      <c r="D8753" t="s">
        <v>11</v>
      </c>
      <c r="E8753">
        <v>28</v>
      </c>
      <c r="F8753" s="2">
        <f>DATE(2026,IF(Tabla1[[#This Row],[Mes de Fecha]]="Septiembre",9,10),Tabla1[[#This Row],[Día de Fecha]])</f>
        <v>46293</v>
      </c>
      <c r="G8753">
        <v>1004215413</v>
      </c>
      <c r="H8753" t="s">
        <v>577</v>
      </c>
      <c r="I8753">
        <v>61</v>
      </c>
      <c r="J8753">
        <v>0</v>
      </c>
      <c r="K8753" s="1">
        <v>2819203</v>
      </c>
    </row>
    <row r="8754" spans="1:11" x14ac:dyDescent="0.25">
      <c r="A8754" t="s">
        <v>326</v>
      </c>
      <c r="B8754" t="s">
        <v>576</v>
      </c>
      <c r="C8754" t="s">
        <v>874</v>
      </c>
      <c r="D8754" t="s">
        <v>11</v>
      </c>
      <c r="E8754">
        <v>28</v>
      </c>
      <c r="F8754" s="2">
        <f>DATE(2026,IF(Tabla1[[#This Row],[Mes de Fecha]]="Septiembre",9,10),Tabla1[[#This Row],[Día de Fecha]])</f>
        <v>46293</v>
      </c>
      <c r="G8754">
        <v>1004235122</v>
      </c>
      <c r="H8754" t="s">
        <v>531</v>
      </c>
      <c r="I8754">
        <v>17</v>
      </c>
      <c r="J8754">
        <v>0</v>
      </c>
      <c r="K8754" s="1">
        <v>1133574</v>
      </c>
    </row>
    <row r="8755" spans="1:11" x14ac:dyDescent="0.25">
      <c r="A8755" t="s">
        <v>326</v>
      </c>
      <c r="B8755" t="s">
        <v>576</v>
      </c>
      <c r="C8755" t="s">
        <v>874</v>
      </c>
      <c r="D8755" t="s">
        <v>11</v>
      </c>
      <c r="E8755">
        <v>28</v>
      </c>
      <c r="F8755" s="2">
        <f>DATE(2026,IF(Tabla1[[#This Row],[Mes de Fecha]]="Septiembre",9,10),Tabla1[[#This Row],[Día de Fecha]])</f>
        <v>46293</v>
      </c>
      <c r="G8755">
        <v>1030020471</v>
      </c>
      <c r="H8755" t="s">
        <v>581</v>
      </c>
      <c r="I8755">
        <v>8</v>
      </c>
      <c r="J8755">
        <v>0</v>
      </c>
      <c r="K8755" s="1">
        <v>293613</v>
      </c>
    </row>
    <row r="8756" spans="1:11" x14ac:dyDescent="0.25">
      <c r="A8756" t="s">
        <v>326</v>
      </c>
      <c r="B8756" t="s">
        <v>576</v>
      </c>
      <c r="C8756" t="s">
        <v>874</v>
      </c>
      <c r="D8756" t="s">
        <v>11</v>
      </c>
      <c r="E8756">
        <v>28</v>
      </c>
      <c r="F8756" s="2">
        <f>DATE(2026,IF(Tabla1[[#This Row],[Mes de Fecha]]="Septiembre",9,10),Tabla1[[#This Row],[Día de Fecha]])</f>
        <v>46293</v>
      </c>
      <c r="G8756">
        <v>1085283938</v>
      </c>
      <c r="H8756" t="s">
        <v>530</v>
      </c>
      <c r="I8756">
        <v>72</v>
      </c>
      <c r="J8756">
        <v>0</v>
      </c>
      <c r="K8756" s="1">
        <v>4056812</v>
      </c>
    </row>
    <row r="8757" spans="1:11" x14ac:dyDescent="0.25">
      <c r="A8757" t="s">
        <v>326</v>
      </c>
      <c r="B8757" t="s">
        <v>576</v>
      </c>
      <c r="C8757" t="s">
        <v>874</v>
      </c>
      <c r="D8757" t="s">
        <v>11</v>
      </c>
      <c r="E8757">
        <v>28</v>
      </c>
      <c r="F8757" s="2">
        <f>DATE(2026,IF(Tabla1[[#This Row],[Mes de Fecha]]="Septiembre",9,10),Tabla1[[#This Row],[Día de Fecha]])</f>
        <v>46293</v>
      </c>
      <c r="G8757">
        <v>1085305292</v>
      </c>
      <c r="H8757" t="s">
        <v>578</v>
      </c>
      <c r="I8757">
        <v>80</v>
      </c>
      <c r="J8757">
        <v>0</v>
      </c>
      <c r="K8757" s="1">
        <v>4361428</v>
      </c>
    </row>
    <row r="8758" spans="1:11" x14ac:dyDescent="0.25">
      <c r="A8758" t="s">
        <v>326</v>
      </c>
      <c r="B8758" t="s">
        <v>576</v>
      </c>
      <c r="C8758" t="s">
        <v>874</v>
      </c>
      <c r="D8758" t="s">
        <v>11</v>
      </c>
      <c r="E8758">
        <v>28</v>
      </c>
      <c r="F8758" s="2">
        <f>DATE(2026,IF(Tabla1[[#This Row],[Mes de Fecha]]="Septiembre",9,10),Tabla1[[#This Row],[Día de Fecha]])</f>
        <v>46293</v>
      </c>
      <c r="G8758">
        <v>1110040388</v>
      </c>
      <c r="H8758" t="s">
        <v>582</v>
      </c>
      <c r="I8758">
        <v>16</v>
      </c>
      <c r="J8758">
        <v>0</v>
      </c>
      <c r="K8758" s="1">
        <v>599916</v>
      </c>
    </row>
    <row r="8759" spans="1:11" x14ac:dyDescent="0.25">
      <c r="A8759" t="s">
        <v>326</v>
      </c>
      <c r="B8759" t="s">
        <v>576</v>
      </c>
      <c r="C8759" t="s">
        <v>874</v>
      </c>
      <c r="D8759" t="s">
        <v>11</v>
      </c>
      <c r="E8759">
        <v>29</v>
      </c>
      <c r="F8759" s="2">
        <f>DATE(2026,IF(Tabla1[[#This Row],[Mes de Fecha]]="Septiembre",9,10),Tabla1[[#This Row],[Día de Fecha]])</f>
        <v>46294</v>
      </c>
      <c r="I8759">
        <v>0</v>
      </c>
      <c r="J8759" s="1">
        <v>19638962</v>
      </c>
      <c r="K8759">
        <v>0</v>
      </c>
    </row>
    <row r="8760" spans="1:11" x14ac:dyDescent="0.25">
      <c r="A8760" t="s">
        <v>326</v>
      </c>
      <c r="B8760" t="s">
        <v>576</v>
      </c>
      <c r="C8760" t="s">
        <v>874</v>
      </c>
      <c r="D8760" t="s">
        <v>11</v>
      </c>
      <c r="E8760">
        <v>29</v>
      </c>
      <c r="F8760" s="2">
        <f>DATE(2026,IF(Tabla1[[#This Row],[Mes de Fecha]]="Septiembre",9,10),Tabla1[[#This Row],[Día de Fecha]])</f>
        <v>46294</v>
      </c>
      <c r="G8760">
        <v>1004135195</v>
      </c>
      <c r="H8760" t="s">
        <v>580</v>
      </c>
      <c r="I8760">
        <v>14</v>
      </c>
      <c r="J8760">
        <v>0</v>
      </c>
      <c r="K8760" s="1">
        <v>759709</v>
      </c>
    </row>
    <row r="8761" spans="1:11" x14ac:dyDescent="0.25">
      <c r="A8761" t="s">
        <v>326</v>
      </c>
      <c r="B8761" t="s">
        <v>576</v>
      </c>
      <c r="C8761" t="s">
        <v>874</v>
      </c>
      <c r="D8761" t="s">
        <v>11</v>
      </c>
      <c r="E8761">
        <v>29</v>
      </c>
      <c r="F8761" s="2">
        <f>DATE(2026,IF(Tabla1[[#This Row],[Mes de Fecha]]="Septiembre",9,10),Tabla1[[#This Row],[Día de Fecha]])</f>
        <v>46294</v>
      </c>
      <c r="G8761">
        <v>1004215413</v>
      </c>
      <c r="H8761" t="s">
        <v>577</v>
      </c>
      <c r="I8761">
        <v>67</v>
      </c>
      <c r="J8761">
        <v>0</v>
      </c>
      <c r="K8761" s="1">
        <v>2962479</v>
      </c>
    </row>
    <row r="8762" spans="1:11" x14ac:dyDescent="0.25">
      <c r="A8762" t="s">
        <v>326</v>
      </c>
      <c r="B8762" t="s">
        <v>576</v>
      </c>
      <c r="C8762" t="s">
        <v>874</v>
      </c>
      <c r="D8762" t="s">
        <v>11</v>
      </c>
      <c r="E8762">
        <v>29</v>
      </c>
      <c r="F8762" s="2">
        <f>DATE(2026,IF(Tabla1[[#This Row],[Mes de Fecha]]="Septiembre",9,10),Tabla1[[#This Row],[Día de Fecha]])</f>
        <v>46294</v>
      </c>
      <c r="G8762">
        <v>1004235122</v>
      </c>
      <c r="H8762" t="s">
        <v>531</v>
      </c>
      <c r="I8762">
        <v>27</v>
      </c>
      <c r="J8762">
        <v>0</v>
      </c>
      <c r="K8762" s="1">
        <v>1191849</v>
      </c>
    </row>
    <row r="8763" spans="1:11" x14ac:dyDescent="0.25">
      <c r="A8763" t="s">
        <v>326</v>
      </c>
      <c r="B8763" t="s">
        <v>576</v>
      </c>
      <c r="C8763" t="s">
        <v>874</v>
      </c>
      <c r="D8763" t="s">
        <v>11</v>
      </c>
      <c r="E8763">
        <v>29</v>
      </c>
      <c r="F8763" s="2">
        <f>DATE(2026,IF(Tabla1[[#This Row],[Mes de Fecha]]="Septiembre",9,10),Tabla1[[#This Row],[Día de Fecha]])</f>
        <v>46294</v>
      </c>
      <c r="G8763">
        <v>1030020471</v>
      </c>
      <c r="H8763" t="s">
        <v>581</v>
      </c>
      <c r="I8763">
        <v>16</v>
      </c>
      <c r="J8763">
        <v>0</v>
      </c>
      <c r="K8763" s="1">
        <v>755462</v>
      </c>
    </row>
    <row r="8764" spans="1:11" x14ac:dyDescent="0.25">
      <c r="A8764" t="s">
        <v>326</v>
      </c>
      <c r="B8764" t="s">
        <v>576</v>
      </c>
      <c r="C8764" t="s">
        <v>874</v>
      </c>
      <c r="D8764" t="s">
        <v>11</v>
      </c>
      <c r="E8764">
        <v>29</v>
      </c>
      <c r="F8764" s="2">
        <f>DATE(2026,IF(Tabla1[[#This Row],[Mes de Fecha]]="Septiembre",9,10),Tabla1[[#This Row],[Día de Fecha]])</f>
        <v>46294</v>
      </c>
      <c r="G8764">
        <v>1085283938</v>
      </c>
      <c r="H8764" t="s">
        <v>530</v>
      </c>
      <c r="I8764">
        <v>90</v>
      </c>
      <c r="J8764">
        <v>0</v>
      </c>
      <c r="K8764" s="1">
        <v>4675717</v>
      </c>
    </row>
    <row r="8765" spans="1:11" x14ac:dyDescent="0.25">
      <c r="A8765" t="s">
        <v>326</v>
      </c>
      <c r="B8765" t="s">
        <v>576</v>
      </c>
      <c r="C8765" t="s">
        <v>874</v>
      </c>
      <c r="D8765" t="s">
        <v>11</v>
      </c>
      <c r="E8765">
        <v>29</v>
      </c>
      <c r="F8765" s="2">
        <f>DATE(2026,IF(Tabla1[[#This Row],[Mes de Fecha]]="Septiembre",9,10),Tabla1[[#This Row],[Día de Fecha]])</f>
        <v>46294</v>
      </c>
      <c r="G8765">
        <v>1085305292</v>
      </c>
      <c r="H8765" t="s">
        <v>578</v>
      </c>
      <c r="I8765">
        <v>87</v>
      </c>
      <c r="J8765">
        <v>0</v>
      </c>
      <c r="K8765" s="1">
        <v>4403030</v>
      </c>
    </row>
    <row r="8766" spans="1:11" x14ac:dyDescent="0.25">
      <c r="A8766" t="s">
        <v>326</v>
      </c>
      <c r="B8766" t="s">
        <v>576</v>
      </c>
      <c r="C8766" t="s">
        <v>874</v>
      </c>
      <c r="D8766" t="s">
        <v>11</v>
      </c>
      <c r="E8766">
        <v>29</v>
      </c>
      <c r="F8766" s="2">
        <f>DATE(2026,IF(Tabla1[[#This Row],[Mes de Fecha]]="Septiembre",9,10),Tabla1[[#This Row],[Día de Fecha]])</f>
        <v>46294</v>
      </c>
      <c r="G8766">
        <v>1110040388</v>
      </c>
      <c r="H8766" t="s">
        <v>582</v>
      </c>
      <c r="I8766">
        <v>19</v>
      </c>
      <c r="J8766">
        <v>0</v>
      </c>
      <c r="K8766" s="1">
        <v>918950</v>
      </c>
    </row>
    <row r="8767" spans="1:11" x14ac:dyDescent="0.25">
      <c r="A8767" t="s">
        <v>326</v>
      </c>
      <c r="B8767" t="s">
        <v>576</v>
      </c>
      <c r="C8767" t="s">
        <v>874</v>
      </c>
      <c r="D8767" t="s">
        <v>11</v>
      </c>
      <c r="E8767">
        <v>30</v>
      </c>
      <c r="F8767" s="2">
        <f>DATE(2026,IF(Tabla1[[#This Row],[Mes de Fecha]]="Septiembre",9,10),Tabla1[[#This Row],[Día de Fecha]])</f>
        <v>46295</v>
      </c>
      <c r="I8767">
        <v>0</v>
      </c>
      <c r="J8767" s="1">
        <v>20287401</v>
      </c>
      <c r="K8767">
        <v>0</v>
      </c>
    </row>
    <row r="8768" spans="1:11" x14ac:dyDescent="0.25">
      <c r="A8768" t="s">
        <v>326</v>
      </c>
      <c r="B8768" t="s">
        <v>576</v>
      </c>
      <c r="C8768" t="s">
        <v>874</v>
      </c>
      <c r="D8768" t="s">
        <v>11</v>
      </c>
      <c r="E8768">
        <v>30</v>
      </c>
      <c r="F8768" s="2">
        <f>DATE(2026,IF(Tabla1[[#This Row],[Mes de Fecha]]="Septiembre",9,10),Tabla1[[#This Row],[Día de Fecha]])</f>
        <v>46295</v>
      </c>
      <c r="G8768">
        <v>1004135195</v>
      </c>
      <c r="H8768" t="s">
        <v>580</v>
      </c>
      <c r="I8768">
        <v>26</v>
      </c>
      <c r="J8768">
        <v>0</v>
      </c>
      <c r="K8768" s="1">
        <v>1027564</v>
      </c>
    </row>
    <row r="8769" spans="1:11" x14ac:dyDescent="0.25">
      <c r="A8769" t="s">
        <v>326</v>
      </c>
      <c r="B8769" t="s">
        <v>576</v>
      </c>
      <c r="C8769" t="s">
        <v>874</v>
      </c>
      <c r="D8769" t="s">
        <v>11</v>
      </c>
      <c r="E8769">
        <v>30</v>
      </c>
      <c r="F8769" s="2">
        <f>DATE(2026,IF(Tabla1[[#This Row],[Mes de Fecha]]="Septiembre",9,10),Tabla1[[#This Row],[Día de Fecha]])</f>
        <v>46295</v>
      </c>
      <c r="G8769">
        <v>1004215413</v>
      </c>
      <c r="H8769" t="s">
        <v>577</v>
      </c>
      <c r="I8769">
        <v>53</v>
      </c>
      <c r="J8769">
        <v>0</v>
      </c>
      <c r="K8769" s="1">
        <v>2265381</v>
      </c>
    </row>
    <row r="8770" spans="1:11" x14ac:dyDescent="0.25">
      <c r="A8770" t="s">
        <v>326</v>
      </c>
      <c r="B8770" t="s">
        <v>576</v>
      </c>
      <c r="C8770" t="s">
        <v>874</v>
      </c>
      <c r="D8770" t="s">
        <v>11</v>
      </c>
      <c r="E8770">
        <v>30</v>
      </c>
      <c r="F8770" s="2">
        <f>DATE(2026,IF(Tabla1[[#This Row],[Mes de Fecha]]="Septiembre",9,10),Tabla1[[#This Row],[Día de Fecha]])</f>
        <v>46295</v>
      </c>
      <c r="G8770">
        <v>1004235122</v>
      </c>
      <c r="H8770" t="s">
        <v>531</v>
      </c>
      <c r="I8770">
        <v>27</v>
      </c>
      <c r="J8770">
        <v>0</v>
      </c>
      <c r="K8770" s="1">
        <v>1237481</v>
      </c>
    </row>
    <row r="8771" spans="1:11" x14ac:dyDescent="0.25">
      <c r="A8771" t="s">
        <v>326</v>
      </c>
      <c r="B8771" t="s">
        <v>576</v>
      </c>
      <c r="C8771" t="s">
        <v>874</v>
      </c>
      <c r="D8771" t="s">
        <v>11</v>
      </c>
      <c r="E8771">
        <v>30</v>
      </c>
      <c r="F8771" s="2">
        <f>DATE(2026,IF(Tabla1[[#This Row],[Mes de Fecha]]="Septiembre",9,10),Tabla1[[#This Row],[Día de Fecha]])</f>
        <v>46295</v>
      </c>
      <c r="G8771">
        <v>1030020471</v>
      </c>
      <c r="H8771" t="s">
        <v>581</v>
      </c>
      <c r="I8771">
        <v>26</v>
      </c>
      <c r="J8771">
        <v>0</v>
      </c>
      <c r="K8771" s="1">
        <v>1019076</v>
      </c>
    </row>
    <row r="8772" spans="1:11" x14ac:dyDescent="0.25">
      <c r="A8772" t="s">
        <v>326</v>
      </c>
      <c r="B8772" t="s">
        <v>576</v>
      </c>
      <c r="C8772" t="s">
        <v>874</v>
      </c>
      <c r="D8772" t="s">
        <v>11</v>
      </c>
      <c r="E8772">
        <v>30</v>
      </c>
      <c r="F8772" s="2">
        <f>DATE(2026,IF(Tabla1[[#This Row],[Mes de Fecha]]="Septiembre",9,10),Tabla1[[#This Row],[Día de Fecha]])</f>
        <v>46295</v>
      </c>
      <c r="G8772">
        <v>1085283938</v>
      </c>
      <c r="H8772" t="s">
        <v>530</v>
      </c>
      <c r="I8772">
        <v>139</v>
      </c>
      <c r="J8772">
        <v>0</v>
      </c>
      <c r="K8772" s="1">
        <v>7474795</v>
      </c>
    </row>
    <row r="8773" spans="1:11" x14ac:dyDescent="0.25">
      <c r="A8773" t="s">
        <v>326</v>
      </c>
      <c r="B8773" t="s">
        <v>576</v>
      </c>
      <c r="C8773" t="s">
        <v>874</v>
      </c>
      <c r="D8773" t="s">
        <v>11</v>
      </c>
      <c r="E8773">
        <v>30</v>
      </c>
      <c r="F8773" s="2">
        <f>DATE(2026,IF(Tabla1[[#This Row],[Mes de Fecha]]="Septiembre",9,10),Tabla1[[#This Row],[Día de Fecha]])</f>
        <v>46295</v>
      </c>
      <c r="G8773">
        <v>1085290212</v>
      </c>
      <c r="H8773" t="s">
        <v>583</v>
      </c>
      <c r="I8773">
        <v>-1</v>
      </c>
      <c r="J8773">
        <v>0</v>
      </c>
      <c r="K8773" s="1">
        <v>-37773</v>
      </c>
    </row>
    <row r="8774" spans="1:11" x14ac:dyDescent="0.25">
      <c r="A8774" t="s">
        <v>326</v>
      </c>
      <c r="B8774" t="s">
        <v>576</v>
      </c>
      <c r="C8774" t="s">
        <v>874</v>
      </c>
      <c r="D8774" t="s">
        <v>11</v>
      </c>
      <c r="E8774">
        <v>30</v>
      </c>
      <c r="F8774" s="2">
        <f>DATE(2026,IF(Tabla1[[#This Row],[Mes de Fecha]]="Septiembre",9,10),Tabla1[[#This Row],[Día de Fecha]])</f>
        <v>46295</v>
      </c>
      <c r="G8774">
        <v>1085305292</v>
      </c>
      <c r="H8774" t="s">
        <v>578</v>
      </c>
      <c r="I8774">
        <v>107</v>
      </c>
      <c r="J8774">
        <v>0</v>
      </c>
      <c r="K8774" s="1">
        <v>5167271</v>
      </c>
    </row>
    <row r="8775" spans="1:11" x14ac:dyDescent="0.25">
      <c r="A8775" t="s">
        <v>326</v>
      </c>
      <c r="B8775" t="s">
        <v>576</v>
      </c>
      <c r="C8775" t="s">
        <v>874</v>
      </c>
      <c r="D8775" t="s">
        <v>11</v>
      </c>
      <c r="E8775">
        <v>30</v>
      </c>
      <c r="F8775" s="2">
        <f>DATE(2026,IF(Tabla1[[#This Row],[Mes de Fecha]]="Septiembre",9,10),Tabla1[[#This Row],[Día de Fecha]])</f>
        <v>46295</v>
      </c>
      <c r="G8775">
        <v>1110040388</v>
      </c>
      <c r="H8775" t="s">
        <v>582</v>
      </c>
      <c r="I8775">
        <v>28</v>
      </c>
      <c r="J8775">
        <v>0</v>
      </c>
      <c r="K8775" s="1">
        <v>1303027</v>
      </c>
    </row>
    <row r="8776" spans="1:11" x14ac:dyDescent="0.25">
      <c r="A8776" t="s">
        <v>326</v>
      </c>
      <c r="B8776" t="s">
        <v>576</v>
      </c>
      <c r="C8776" t="s">
        <v>874</v>
      </c>
      <c r="D8776" t="s">
        <v>14</v>
      </c>
      <c r="E8776">
        <v>1</v>
      </c>
      <c r="F8776" s="2">
        <f>DATE(2026,IF(Tabla1[[#This Row],[Mes de Fecha]]="Septiembre",9,10),Tabla1[[#This Row],[Día de Fecha]])</f>
        <v>46296</v>
      </c>
      <c r="I8776">
        <v>0</v>
      </c>
      <c r="J8776" s="1">
        <v>20101486</v>
      </c>
      <c r="K8776">
        <v>0</v>
      </c>
    </row>
    <row r="8777" spans="1:11" x14ac:dyDescent="0.25">
      <c r="A8777" t="s">
        <v>326</v>
      </c>
      <c r="B8777" t="s">
        <v>576</v>
      </c>
      <c r="C8777" t="s">
        <v>874</v>
      </c>
      <c r="D8777" t="s">
        <v>14</v>
      </c>
      <c r="E8777">
        <v>1</v>
      </c>
      <c r="F8777" s="2">
        <f>DATE(2026,IF(Tabla1[[#This Row],[Mes de Fecha]]="Septiembre",9,10),Tabla1[[#This Row],[Día de Fecha]])</f>
        <v>46296</v>
      </c>
      <c r="G8777">
        <v>1004135195</v>
      </c>
      <c r="H8777" t="s">
        <v>580</v>
      </c>
      <c r="I8777">
        <v>4</v>
      </c>
      <c r="J8777">
        <v>0</v>
      </c>
      <c r="K8777" s="1">
        <v>106849</v>
      </c>
    </row>
    <row r="8778" spans="1:11" x14ac:dyDescent="0.25">
      <c r="A8778" t="s">
        <v>326</v>
      </c>
      <c r="B8778" t="s">
        <v>576</v>
      </c>
      <c r="C8778" t="s">
        <v>874</v>
      </c>
      <c r="D8778" t="s">
        <v>14</v>
      </c>
      <c r="E8778">
        <v>1</v>
      </c>
      <c r="F8778" s="2">
        <f>DATE(2026,IF(Tabla1[[#This Row],[Mes de Fecha]]="Septiembre",9,10),Tabla1[[#This Row],[Día de Fecha]])</f>
        <v>46296</v>
      </c>
      <c r="G8778">
        <v>1004215413</v>
      </c>
      <c r="H8778" t="s">
        <v>577</v>
      </c>
      <c r="I8778">
        <v>19</v>
      </c>
      <c r="J8778">
        <v>0</v>
      </c>
      <c r="K8778" s="1">
        <v>717099</v>
      </c>
    </row>
    <row r="8779" spans="1:11" x14ac:dyDescent="0.25">
      <c r="A8779" t="s">
        <v>326</v>
      </c>
      <c r="B8779" t="s">
        <v>576</v>
      </c>
      <c r="C8779" t="s">
        <v>874</v>
      </c>
      <c r="D8779" t="s">
        <v>14</v>
      </c>
      <c r="E8779">
        <v>1</v>
      </c>
      <c r="F8779" s="2">
        <f>DATE(2026,IF(Tabla1[[#This Row],[Mes de Fecha]]="Septiembre",9,10),Tabla1[[#This Row],[Día de Fecha]])</f>
        <v>46296</v>
      </c>
      <c r="G8779">
        <v>1004235122</v>
      </c>
      <c r="H8779" t="s">
        <v>531</v>
      </c>
      <c r="I8779">
        <v>8</v>
      </c>
      <c r="J8779">
        <v>0</v>
      </c>
      <c r="K8779" s="1">
        <v>516345</v>
      </c>
    </row>
    <row r="8780" spans="1:11" x14ac:dyDescent="0.25">
      <c r="A8780" t="s">
        <v>326</v>
      </c>
      <c r="B8780" t="s">
        <v>576</v>
      </c>
      <c r="C8780" t="s">
        <v>874</v>
      </c>
      <c r="D8780" t="s">
        <v>14</v>
      </c>
      <c r="E8780">
        <v>1</v>
      </c>
      <c r="F8780" s="2">
        <f>DATE(2026,IF(Tabla1[[#This Row],[Mes de Fecha]]="Septiembre",9,10),Tabla1[[#This Row],[Día de Fecha]])</f>
        <v>46296</v>
      </c>
      <c r="G8780">
        <v>1030020471</v>
      </c>
      <c r="H8780" t="s">
        <v>581</v>
      </c>
      <c r="I8780">
        <v>5</v>
      </c>
      <c r="J8780">
        <v>0</v>
      </c>
      <c r="K8780" s="1">
        <v>184538</v>
      </c>
    </row>
    <row r="8781" spans="1:11" x14ac:dyDescent="0.25">
      <c r="A8781" t="s">
        <v>326</v>
      </c>
      <c r="B8781" t="s">
        <v>576</v>
      </c>
      <c r="C8781" t="s">
        <v>874</v>
      </c>
      <c r="D8781" t="s">
        <v>14</v>
      </c>
      <c r="E8781">
        <v>1</v>
      </c>
      <c r="F8781" s="2">
        <f>DATE(2026,IF(Tabla1[[#This Row],[Mes de Fecha]]="Septiembre",9,10),Tabla1[[#This Row],[Día de Fecha]])</f>
        <v>46296</v>
      </c>
      <c r="G8781">
        <v>1085283938</v>
      </c>
      <c r="H8781" t="s">
        <v>530</v>
      </c>
      <c r="I8781">
        <v>224</v>
      </c>
      <c r="J8781">
        <v>0</v>
      </c>
      <c r="K8781" s="1">
        <v>9458829</v>
      </c>
    </row>
    <row r="8782" spans="1:11" x14ac:dyDescent="0.25">
      <c r="A8782" t="s">
        <v>326</v>
      </c>
      <c r="B8782" t="s">
        <v>576</v>
      </c>
      <c r="C8782" t="s">
        <v>874</v>
      </c>
      <c r="D8782" t="s">
        <v>14</v>
      </c>
      <c r="E8782">
        <v>1</v>
      </c>
      <c r="F8782" s="2">
        <f>DATE(2026,IF(Tabla1[[#This Row],[Mes de Fecha]]="Septiembre",9,10),Tabla1[[#This Row],[Día de Fecha]])</f>
        <v>46296</v>
      </c>
      <c r="G8782">
        <v>1085305292</v>
      </c>
      <c r="H8782" t="s">
        <v>578</v>
      </c>
      <c r="I8782">
        <v>176</v>
      </c>
      <c r="J8782">
        <v>0</v>
      </c>
      <c r="K8782" s="1">
        <v>9333576</v>
      </c>
    </row>
    <row r="8783" spans="1:11" x14ac:dyDescent="0.25">
      <c r="A8783" t="s">
        <v>326</v>
      </c>
      <c r="B8783" t="s">
        <v>576</v>
      </c>
      <c r="C8783" t="s">
        <v>874</v>
      </c>
      <c r="D8783" t="s">
        <v>14</v>
      </c>
      <c r="E8783">
        <v>1</v>
      </c>
      <c r="F8783" s="2">
        <f>DATE(2026,IF(Tabla1[[#This Row],[Mes de Fecha]]="Septiembre",9,10),Tabla1[[#This Row],[Día de Fecha]])</f>
        <v>46296</v>
      </c>
      <c r="G8783">
        <v>1110040388</v>
      </c>
      <c r="H8783" t="s">
        <v>582</v>
      </c>
      <c r="I8783">
        <v>5</v>
      </c>
      <c r="J8783">
        <v>0</v>
      </c>
      <c r="K8783" s="1">
        <v>276975</v>
      </c>
    </row>
    <row r="8784" spans="1:11" x14ac:dyDescent="0.25">
      <c r="A8784" t="s">
        <v>326</v>
      </c>
      <c r="B8784" t="s">
        <v>576</v>
      </c>
      <c r="C8784" t="s">
        <v>874</v>
      </c>
      <c r="D8784" t="s">
        <v>14</v>
      </c>
      <c r="E8784">
        <v>2</v>
      </c>
      <c r="F8784" s="2">
        <f>DATE(2026,IF(Tabla1[[#This Row],[Mes de Fecha]]="Septiembre",9,10),Tabla1[[#This Row],[Día de Fecha]])</f>
        <v>46297</v>
      </c>
      <c r="I8784">
        <v>0</v>
      </c>
      <c r="J8784" s="1">
        <v>30545637</v>
      </c>
      <c r="K8784">
        <v>0</v>
      </c>
    </row>
    <row r="8785" spans="1:11" x14ac:dyDescent="0.25">
      <c r="A8785" t="s">
        <v>326</v>
      </c>
      <c r="B8785" t="s">
        <v>576</v>
      </c>
      <c r="C8785" t="s">
        <v>874</v>
      </c>
      <c r="D8785" t="s">
        <v>14</v>
      </c>
      <c r="E8785">
        <v>2</v>
      </c>
      <c r="F8785" s="2">
        <f>DATE(2026,IF(Tabla1[[#This Row],[Mes de Fecha]]="Septiembre",9,10),Tabla1[[#This Row],[Día de Fecha]])</f>
        <v>46297</v>
      </c>
      <c r="G8785">
        <v>1004135195</v>
      </c>
      <c r="H8785" t="s">
        <v>580</v>
      </c>
      <c r="I8785">
        <v>30</v>
      </c>
      <c r="J8785">
        <v>0</v>
      </c>
      <c r="K8785" s="1">
        <v>1138907</v>
      </c>
    </row>
    <row r="8786" spans="1:11" x14ac:dyDescent="0.25">
      <c r="A8786" t="s">
        <v>326</v>
      </c>
      <c r="B8786" t="s">
        <v>576</v>
      </c>
      <c r="C8786" t="s">
        <v>874</v>
      </c>
      <c r="D8786" t="s">
        <v>14</v>
      </c>
      <c r="E8786">
        <v>2</v>
      </c>
      <c r="F8786" s="2">
        <f>DATE(2026,IF(Tabla1[[#This Row],[Mes de Fecha]]="Septiembre",9,10),Tabla1[[#This Row],[Día de Fecha]])</f>
        <v>46297</v>
      </c>
      <c r="G8786">
        <v>1004215413</v>
      </c>
      <c r="H8786" t="s">
        <v>577</v>
      </c>
      <c r="I8786">
        <v>60</v>
      </c>
      <c r="J8786">
        <v>0</v>
      </c>
      <c r="K8786" s="1">
        <v>2885213</v>
      </c>
    </row>
    <row r="8787" spans="1:11" x14ac:dyDescent="0.25">
      <c r="A8787" t="s">
        <v>326</v>
      </c>
      <c r="B8787" t="s">
        <v>576</v>
      </c>
      <c r="C8787" t="s">
        <v>874</v>
      </c>
      <c r="D8787" t="s">
        <v>14</v>
      </c>
      <c r="E8787">
        <v>2</v>
      </c>
      <c r="F8787" s="2">
        <f>DATE(2026,IF(Tabla1[[#This Row],[Mes de Fecha]]="Septiembre",9,10),Tabla1[[#This Row],[Día de Fecha]])</f>
        <v>46297</v>
      </c>
      <c r="G8787">
        <v>1004235122</v>
      </c>
      <c r="H8787" t="s">
        <v>531</v>
      </c>
      <c r="I8787">
        <v>25</v>
      </c>
      <c r="J8787">
        <v>0</v>
      </c>
      <c r="K8787" s="1">
        <v>1176975</v>
      </c>
    </row>
    <row r="8788" spans="1:11" x14ac:dyDescent="0.25">
      <c r="A8788" t="s">
        <v>326</v>
      </c>
      <c r="B8788" t="s">
        <v>576</v>
      </c>
      <c r="C8788" t="s">
        <v>874</v>
      </c>
      <c r="D8788" t="s">
        <v>14</v>
      </c>
      <c r="E8788">
        <v>2</v>
      </c>
      <c r="F8788" s="2">
        <f>DATE(2026,IF(Tabla1[[#This Row],[Mes de Fecha]]="Septiembre",9,10),Tabla1[[#This Row],[Día de Fecha]])</f>
        <v>46297</v>
      </c>
      <c r="G8788">
        <v>1030020471</v>
      </c>
      <c r="H8788" t="s">
        <v>581</v>
      </c>
      <c r="I8788">
        <v>31</v>
      </c>
      <c r="J8788">
        <v>0</v>
      </c>
      <c r="K8788" s="1">
        <v>1206092</v>
      </c>
    </row>
    <row r="8789" spans="1:11" x14ac:dyDescent="0.25">
      <c r="A8789" t="s">
        <v>326</v>
      </c>
      <c r="B8789" t="s">
        <v>576</v>
      </c>
      <c r="C8789" t="s">
        <v>874</v>
      </c>
      <c r="D8789" t="s">
        <v>14</v>
      </c>
      <c r="E8789">
        <v>2</v>
      </c>
      <c r="F8789" s="2">
        <f>DATE(2026,IF(Tabla1[[#This Row],[Mes de Fecha]]="Septiembre",9,10),Tabla1[[#This Row],[Día de Fecha]])</f>
        <v>46297</v>
      </c>
      <c r="G8789">
        <v>1085283938</v>
      </c>
      <c r="H8789" t="s">
        <v>530</v>
      </c>
      <c r="I8789">
        <v>109</v>
      </c>
      <c r="J8789">
        <v>0</v>
      </c>
      <c r="K8789" s="1">
        <v>5844161</v>
      </c>
    </row>
    <row r="8790" spans="1:11" x14ac:dyDescent="0.25">
      <c r="A8790" t="s">
        <v>326</v>
      </c>
      <c r="B8790" t="s">
        <v>576</v>
      </c>
      <c r="C8790" t="s">
        <v>874</v>
      </c>
      <c r="D8790" t="s">
        <v>14</v>
      </c>
      <c r="E8790">
        <v>2</v>
      </c>
      <c r="F8790" s="2">
        <f>DATE(2026,IF(Tabla1[[#This Row],[Mes de Fecha]]="Septiembre",9,10),Tabla1[[#This Row],[Día de Fecha]])</f>
        <v>46297</v>
      </c>
      <c r="G8790">
        <v>1085290212</v>
      </c>
      <c r="H8790" t="s">
        <v>583</v>
      </c>
      <c r="I8790">
        <v>-1</v>
      </c>
      <c r="J8790">
        <v>0</v>
      </c>
      <c r="K8790" s="1">
        <v>-46177</v>
      </c>
    </row>
    <row r="8791" spans="1:11" x14ac:dyDescent="0.25">
      <c r="A8791" t="s">
        <v>326</v>
      </c>
      <c r="B8791" t="s">
        <v>576</v>
      </c>
      <c r="C8791" t="s">
        <v>874</v>
      </c>
      <c r="D8791" t="s">
        <v>14</v>
      </c>
      <c r="E8791">
        <v>2</v>
      </c>
      <c r="F8791" s="2">
        <f>DATE(2026,IF(Tabla1[[#This Row],[Mes de Fecha]]="Septiembre",9,10),Tabla1[[#This Row],[Día de Fecha]])</f>
        <v>46297</v>
      </c>
      <c r="G8791">
        <v>1085305292</v>
      </c>
      <c r="H8791" t="s">
        <v>578</v>
      </c>
      <c r="I8791">
        <v>115</v>
      </c>
      <c r="J8791">
        <v>0</v>
      </c>
      <c r="K8791" s="1">
        <v>5474083</v>
      </c>
    </row>
    <row r="8792" spans="1:11" x14ac:dyDescent="0.25">
      <c r="A8792" t="s">
        <v>326</v>
      </c>
      <c r="B8792" t="s">
        <v>576</v>
      </c>
      <c r="C8792" t="s">
        <v>874</v>
      </c>
      <c r="D8792" t="s">
        <v>14</v>
      </c>
      <c r="E8792">
        <v>2</v>
      </c>
      <c r="F8792" s="2">
        <f>DATE(2026,IF(Tabla1[[#This Row],[Mes de Fecha]]="Septiembre",9,10),Tabla1[[#This Row],[Día de Fecha]])</f>
        <v>46297</v>
      </c>
      <c r="G8792">
        <v>1110040388</v>
      </c>
      <c r="H8792" t="s">
        <v>582</v>
      </c>
      <c r="I8792">
        <v>24</v>
      </c>
      <c r="J8792">
        <v>0</v>
      </c>
      <c r="K8792" s="1">
        <v>1086513</v>
      </c>
    </row>
    <row r="8793" spans="1:11" x14ac:dyDescent="0.25">
      <c r="A8793" t="s">
        <v>326</v>
      </c>
      <c r="B8793" t="s">
        <v>576</v>
      </c>
      <c r="C8793" t="s">
        <v>874</v>
      </c>
      <c r="D8793" t="s">
        <v>14</v>
      </c>
      <c r="E8793">
        <v>3</v>
      </c>
      <c r="F8793" s="2">
        <f>DATE(2026,IF(Tabla1[[#This Row],[Mes de Fecha]]="Septiembre",9,10),Tabla1[[#This Row],[Día de Fecha]])</f>
        <v>46298</v>
      </c>
      <c r="I8793">
        <v>0</v>
      </c>
      <c r="J8793" s="1">
        <v>30302279</v>
      </c>
      <c r="K8793">
        <v>0</v>
      </c>
    </row>
    <row r="8794" spans="1:11" x14ac:dyDescent="0.25">
      <c r="A8794" t="s">
        <v>326</v>
      </c>
      <c r="B8794" t="s">
        <v>576</v>
      </c>
      <c r="C8794" t="s">
        <v>874</v>
      </c>
      <c r="D8794" t="s">
        <v>14</v>
      </c>
      <c r="E8794">
        <v>3</v>
      </c>
      <c r="F8794" s="2">
        <f>DATE(2026,IF(Tabla1[[#This Row],[Mes de Fecha]]="Septiembre",9,10),Tabla1[[#This Row],[Día de Fecha]])</f>
        <v>46298</v>
      </c>
      <c r="G8794">
        <v>1004135195</v>
      </c>
      <c r="H8794" t="s">
        <v>580</v>
      </c>
      <c r="I8794">
        <v>31</v>
      </c>
      <c r="J8794">
        <v>0</v>
      </c>
      <c r="K8794" s="1">
        <v>1370252</v>
      </c>
    </row>
    <row r="8795" spans="1:11" x14ac:dyDescent="0.25">
      <c r="A8795" t="s">
        <v>326</v>
      </c>
      <c r="B8795" t="s">
        <v>576</v>
      </c>
      <c r="C8795" t="s">
        <v>874</v>
      </c>
      <c r="D8795" t="s">
        <v>14</v>
      </c>
      <c r="E8795">
        <v>3</v>
      </c>
      <c r="F8795" s="2">
        <f>DATE(2026,IF(Tabla1[[#This Row],[Mes de Fecha]]="Septiembre",9,10),Tabla1[[#This Row],[Día de Fecha]])</f>
        <v>46298</v>
      </c>
      <c r="G8795">
        <v>1004215413</v>
      </c>
      <c r="H8795" t="s">
        <v>577</v>
      </c>
      <c r="I8795">
        <v>122</v>
      </c>
      <c r="J8795">
        <v>0</v>
      </c>
      <c r="K8795" s="1">
        <v>5229978</v>
      </c>
    </row>
    <row r="8796" spans="1:11" x14ac:dyDescent="0.25">
      <c r="A8796" t="s">
        <v>326</v>
      </c>
      <c r="B8796" t="s">
        <v>576</v>
      </c>
      <c r="C8796" t="s">
        <v>874</v>
      </c>
      <c r="D8796" t="s">
        <v>14</v>
      </c>
      <c r="E8796">
        <v>3</v>
      </c>
      <c r="F8796" s="2">
        <f>DATE(2026,IF(Tabla1[[#This Row],[Mes de Fecha]]="Septiembre",9,10),Tabla1[[#This Row],[Día de Fecha]])</f>
        <v>46298</v>
      </c>
      <c r="G8796">
        <v>1004235122</v>
      </c>
      <c r="H8796" t="s">
        <v>531</v>
      </c>
      <c r="I8796">
        <v>47</v>
      </c>
      <c r="J8796">
        <v>0</v>
      </c>
      <c r="K8796" s="1">
        <v>2121976</v>
      </c>
    </row>
    <row r="8797" spans="1:11" x14ac:dyDescent="0.25">
      <c r="A8797" t="s">
        <v>326</v>
      </c>
      <c r="B8797" t="s">
        <v>576</v>
      </c>
      <c r="C8797" t="s">
        <v>874</v>
      </c>
      <c r="D8797" t="s">
        <v>14</v>
      </c>
      <c r="E8797">
        <v>3</v>
      </c>
      <c r="F8797" s="2">
        <f>DATE(2026,IF(Tabla1[[#This Row],[Mes de Fecha]]="Septiembre",9,10),Tabla1[[#This Row],[Día de Fecha]])</f>
        <v>46298</v>
      </c>
      <c r="G8797">
        <v>1030020471</v>
      </c>
      <c r="H8797" t="s">
        <v>581</v>
      </c>
      <c r="I8797">
        <v>48</v>
      </c>
      <c r="J8797">
        <v>0</v>
      </c>
      <c r="K8797" s="1">
        <v>1690932</v>
      </c>
    </row>
    <row r="8798" spans="1:11" x14ac:dyDescent="0.25">
      <c r="A8798" t="s">
        <v>326</v>
      </c>
      <c r="B8798" t="s">
        <v>576</v>
      </c>
      <c r="C8798" t="s">
        <v>874</v>
      </c>
      <c r="D8798" t="s">
        <v>14</v>
      </c>
      <c r="E8798">
        <v>3</v>
      </c>
      <c r="F8798" s="2">
        <f>DATE(2026,IF(Tabla1[[#This Row],[Mes de Fecha]]="Septiembre",9,10),Tabla1[[#This Row],[Día de Fecha]])</f>
        <v>46298</v>
      </c>
      <c r="G8798">
        <v>1085283938</v>
      </c>
      <c r="H8798" t="s">
        <v>530</v>
      </c>
      <c r="I8798">
        <v>268</v>
      </c>
      <c r="J8798">
        <v>0</v>
      </c>
      <c r="K8798" s="1">
        <v>14026922</v>
      </c>
    </row>
    <row r="8799" spans="1:11" x14ac:dyDescent="0.25">
      <c r="A8799" t="s">
        <v>326</v>
      </c>
      <c r="B8799" t="s">
        <v>576</v>
      </c>
      <c r="C8799" t="s">
        <v>874</v>
      </c>
      <c r="D8799" t="s">
        <v>14</v>
      </c>
      <c r="E8799">
        <v>3</v>
      </c>
      <c r="F8799" s="2">
        <f>DATE(2026,IF(Tabla1[[#This Row],[Mes de Fecha]]="Septiembre",9,10),Tabla1[[#This Row],[Día de Fecha]])</f>
        <v>46298</v>
      </c>
      <c r="G8799">
        <v>1085305292</v>
      </c>
      <c r="H8799" t="s">
        <v>578</v>
      </c>
      <c r="I8799">
        <v>229</v>
      </c>
      <c r="J8799">
        <v>0</v>
      </c>
      <c r="K8799" s="1">
        <v>11862899</v>
      </c>
    </row>
    <row r="8800" spans="1:11" x14ac:dyDescent="0.25">
      <c r="A8800" t="s">
        <v>326</v>
      </c>
      <c r="B8800" t="s">
        <v>576</v>
      </c>
      <c r="C8800" t="s">
        <v>874</v>
      </c>
      <c r="D8800" t="s">
        <v>14</v>
      </c>
      <c r="E8800">
        <v>3</v>
      </c>
      <c r="F8800" s="2">
        <f>DATE(2026,IF(Tabla1[[#This Row],[Mes de Fecha]]="Septiembre",9,10),Tabla1[[#This Row],[Día de Fecha]])</f>
        <v>46298</v>
      </c>
      <c r="G8800">
        <v>1107840490</v>
      </c>
      <c r="H8800" t="s">
        <v>353</v>
      </c>
      <c r="I8800">
        <v>-1</v>
      </c>
      <c r="J8800">
        <v>0</v>
      </c>
      <c r="K8800" s="1">
        <v>-54580</v>
      </c>
    </row>
    <row r="8801" spans="1:11" x14ac:dyDescent="0.25">
      <c r="A8801" t="s">
        <v>326</v>
      </c>
      <c r="B8801" t="s">
        <v>576</v>
      </c>
      <c r="C8801" t="s">
        <v>874</v>
      </c>
      <c r="D8801" t="s">
        <v>14</v>
      </c>
      <c r="E8801">
        <v>3</v>
      </c>
      <c r="F8801" s="2">
        <f>DATE(2026,IF(Tabla1[[#This Row],[Mes de Fecha]]="Septiembre",9,10),Tabla1[[#This Row],[Día de Fecha]])</f>
        <v>46298</v>
      </c>
      <c r="G8801">
        <v>1110040388</v>
      </c>
      <c r="H8801" t="s">
        <v>582</v>
      </c>
      <c r="I8801">
        <v>69</v>
      </c>
      <c r="J8801">
        <v>0</v>
      </c>
      <c r="K8801" s="1">
        <v>2736472</v>
      </c>
    </row>
    <row r="8802" spans="1:11" x14ac:dyDescent="0.25">
      <c r="A8802" t="s">
        <v>326</v>
      </c>
      <c r="B8802" t="s">
        <v>576</v>
      </c>
      <c r="C8802" t="s">
        <v>874</v>
      </c>
      <c r="D8802" t="s">
        <v>14</v>
      </c>
      <c r="E8802">
        <v>4</v>
      </c>
      <c r="F8802" s="2">
        <f>DATE(2026,IF(Tabla1[[#This Row],[Mes de Fecha]]="Septiembre",9,10),Tabla1[[#This Row],[Día de Fecha]])</f>
        <v>46299</v>
      </c>
      <c r="I8802">
        <v>0</v>
      </c>
      <c r="J8802" s="1">
        <v>32476215</v>
      </c>
      <c r="K8802">
        <v>0</v>
      </c>
    </row>
    <row r="8803" spans="1:11" x14ac:dyDescent="0.25">
      <c r="A8803" t="s">
        <v>326</v>
      </c>
      <c r="B8803" t="s">
        <v>576</v>
      </c>
      <c r="C8803" t="s">
        <v>874</v>
      </c>
      <c r="D8803" t="s">
        <v>14</v>
      </c>
      <c r="E8803">
        <v>4</v>
      </c>
      <c r="F8803" s="2">
        <f>DATE(2026,IF(Tabla1[[#This Row],[Mes de Fecha]]="Septiembre",9,10),Tabla1[[#This Row],[Día de Fecha]])</f>
        <v>46299</v>
      </c>
      <c r="G8803">
        <v>1004135195</v>
      </c>
      <c r="H8803" t="s">
        <v>580</v>
      </c>
      <c r="I8803">
        <v>41</v>
      </c>
      <c r="J8803">
        <v>0</v>
      </c>
      <c r="K8803" s="1">
        <v>2140675</v>
      </c>
    </row>
    <row r="8804" spans="1:11" x14ac:dyDescent="0.25">
      <c r="A8804" t="s">
        <v>326</v>
      </c>
      <c r="B8804" t="s">
        <v>576</v>
      </c>
      <c r="C8804" t="s">
        <v>874</v>
      </c>
      <c r="D8804" t="s">
        <v>14</v>
      </c>
      <c r="E8804">
        <v>4</v>
      </c>
      <c r="F8804" s="2">
        <f>DATE(2026,IF(Tabla1[[#This Row],[Mes de Fecha]]="Septiembre",9,10),Tabla1[[#This Row],[Día de Fecha]])</f>
        <v>46299</v>
      </c>
      <c r="G8804">
        <v>1004215413</v>
      </c>
      <c r="H8804" t="s">
        <v>577</v>
      </c>
      <c r="I8804">
        <v>89</v>
      </c>
      <c r="J8804">
        <v>0</v>
      </c>
      <c r="K8804" s="1">
        <v>4616722</v>
      </c>
    </row>
    <row r="8805" spans="1:11" x14ac:dyDescent="0.25">
      <c r="A8805" t="s">
        <v>326</v>
      </c>
      <c r="B8805" t="s">
        <v>576</v>
      </c>
      <c r="C8805" t="s">
        <v>874</v>
      </c>
      <c r="D8805" t="s">
        <v>14</v>
      </c>
      <c r="E8805">
        <v>4</v>
      </c>
      <c r="F8805" s="2">
        <f>DATE(2026,IF(Tabla1[[#This Row],[Mes de Fecha]]="Septiembre",9,10),Tabla1[[#This Row],[Día de Fecha]])</f>
        <v>46299</v>
      </c>
      <c r="G8805">
        <v>1004235122</v>
      </c>
      <c r="H8805" t="s">
        <v>531</v>
      </c>
      <c r="I8805">
        <v>54</v>
      </c>
      <c r="J8805">
        <v>0</v>
      </c>
      <c r="K8805" s="1">
        <v>2799455</v>
      </c>
    </row>
    <row r="8806" spans="1:11" x14ac:dyDescent="0.25">
      <c r="A8806" t="s">
        <v>326</v>
      </c>
      <c r="B8806" t="s">
        <v>576</v>
      </c>
      <c r="C8806" t="s">
        <v>874</v>
      </c>
      <c r="D8806" t="s">
        <v>14</v>
      </c>
      <c r="E8806">
        <v>4</v>
      </c>
      <c r="F8806" s="2">
        <f>DATE(2026,IF(Tabla1[[#This Row],[Mes de Fecha]]="Septiembre",9,10),Tabla1[[#This Row],[Día de Fecha]])</f>
        <v>46299</v>
      </c>
      <c r="G8806">
        <v>1030020471</v>
      </c>
      <c r="H8806" t="s">
        <v>581</v>
      </c>
      <c r="I8806">
        <v>54</v>
      </c>
      <c r="J8806">
        <v>0</v>
      </c>
      <c r="K8806" s="1">
        <v>2190126</v>
      </c>
    </row>
    <row r="8807" spans="1:11" x14ac:dyDescent="0.25">
      <c r="A8807" t="s">
        <v>326</v>
      </c>
      <c r="B8807" t="s">
        <v>576</v>
      </c>
      <c r="C8807" t="s">
        <v>874</v>
      </c>
      <c r="D8807" t="s">
        <v>14</v>
      </c>
      <c r="E8807">
        <v>4</v>
      </c>
      <c r="F8807" s="2">
        <f>DATE(2026,IF(Tabla1[[#This Row],[Mes de Fecha]]="Septiembre",9,10),Tabla1[[#This Row],[Día de Fecha]])</f>
        <v>46299</v>
      </c>
      <c r="G8807">
        <v>1085283938</v>
      </c>
      <c r="H8807" t="s">
        <v>530</v>
      </c>
      <c r="I8807">
        <v>240</v>
      </c>
      <c r="J8807">
        <v>0</v>
      </c>
      <c r="K8807" s="1">
        <v>12897395</v>
      </c>
    </row>
    <row r="8808" spans="1:11" x14ac:dyDescent="0.25">
      <c r="A8808" t="s">
        <v>326</v>
      </c>
      <c r="B8808" t="s">
        <v>576</v>
      </c>
      <c r="C8808" t="s">
        <v>874</v>
      </c>
      <c r="D8808" t="s">
        <v>14</v>
      </c>
      <c r="E8808">
        <v>4</v>
      </c>
      <c r="F8808" s="2">
        <f>DATE(2026,IF(Tabla1[[#This Row],[Mes de Fecha]]="Septiembre",9,10),Tabla1[[#This Row],[Día de Fecha]])</f>
        <v>46299</v>
      </c>
      <c r="G8808">
        <v>1085305292</v>
      </c>
      <c r="H8808" t="s">
        <v>578</v>
      </c>
      <c r="I8808">
        <v>253</v>
      </c>
      <c r="J8808">
        <v>0</v>
      </c>
      <c r="K8808" s="1">
        <v>12889045</v>
      </c>
    </row>
    <row r="8809" spans="1:11" x14ac:dyDescent="0.25">
      <c r="A8809" t="s">
        <v>326</v>
      </c>
      <c r="B8809" t="s">
        <v>576</v>
      </c>
      <c r="C8809" t="s">
        <v>874</v>
      </c>
      <c r="D8809" t="s">
        <v>14</v>
      </c>
      <c r="E8809">
        <v>4</v>
      </c>
      <c r="F8809" s="2">
        <f>DATE(2026,IF(Tabla1[[#This Row],[Mes de Fecha]]="Septiembre",9,10),Tabla1[[#This Row],[Día de Fecha]])</f>
        <v>46299</v>
      </c>
      <c r="G8809">
        <v>1110040388</v>
      </c>
      <c r="H8809" t="s">
        <v>582</v>
      </c>
      <c r="I8809">
        <v>50</v>
      </c>
      <c r="J8809">
        <v>0</v>
      </c>
      <c r="K8809" s="1">
        <v>2694624</v>
      </c>
    </row>
    <row r="8810" spans="1:11" x14ac:dyDescent="0.25">
      <c r="A8810" t="s">
        <v>326</v>
      </c>
      <c r="B8810" t="s">
        <v>576</v>
      </c>
      <c r="C8810" t="s">
        <v>874</v>
      </c>
      <c r="D8810" t="s">
        <v>14</v>
      </c>
      <c r="E8810">
        <v>4</v>
      </c>
      <c r="F8810" s="2">
        <f>DATE(2026,IF(Tabla1[[#This Row],[Mes de Fecha]]="Septiembre",9,10),Tabla1[[#This Row],[Día de Fecha]])</f>
        <v>46299</v>
      </c>
      <c r="G8810">
        <v>1113689444</v>
      </c>
      <c r="H8810" t="s">
        <v>378</v>
      </c>
      <c r="I8810">
        <v>-1</v>
      </c>
      <c r="J8810">
        <v>0</v>
      </c>
      <c r="K8810" s="1">
        <v>-33529</v>
      </c>
    </row>
    <row r="8811" spans="1:11" x14ac:dyDescent="0.25">
      <c r="A8811" t="s">
        <v>326</v>
      </c>
      <c r="B8811" t="s">
        <v>576</v>
      </c>
      <c r="C8811" t="s">
        <v>874</v>
      </c>
      <c r="D8811" t="s">
        <v>14</v>
      </c>
      <c r="E8811">
        <v>5</v>
      </c>
      <c r="F8811" s="2">
        <f>DATE(2026,IF(Tabla1[[#This Row],[Mes de Fecha]]="Septiembre",9,10),Tabla1[[#This Row],[Día de Fecha]])</f>
        <v>46300</v>
      </c>
      <c r="I8811">
        <v>0</v>
      </c>
      <c r="J8811" s="1">
        <v>16901322</v>
      </c>
      <c r="K8811">
        <v>0</v>
      </c>
    </row>
    <row r="8812" spans="1:11" x14ac:dyDescent="0.25">
      <c r="A8812" t="s">
        <v>326</v>
      </c>
      <c r="B8812" t="s">
        <v>576</v>
      </c>
      <c r="C8812" t="s">
        <v>874</v>
      </c>
      <c r="D8812" t="s">
        <v>14</v>
      </c>
      <c r="E8812">
        <v>5</v>
      </c>
      <c r="F8812" s="2">
        <f>DATE(2026,IF(Tabla1[[#This Row],[Mes de Fecha]]="Septiembre",9,10),Tabla1[[#This Row],[Día de Fecha]])</f>
        <v>46300</v>
      </c>
      <c r="G8812">
        <v>1004135195</v>
      </c>
      <c r="H8812" t="s">
        <v>580</v>
      </c>
      <c r="I8812">
        <v>0</v>
      </c>
      <c r="J8812">
        <v>0</v>
      </c>
      <c r="K8812" s="1">
        <v>-50420</v>
      </c>
    </row>
    <row r="8813" spans="1:11" x14ac:dyDescent="0.25">
      <c r="A8813" t="s">
        <v>326</v>
      </c>
      <c r="B8813" t="s">
        <v>576</v>
      </c>
      <c r="C8813" t="s">
        <v>874</v>
      </c>
      <c r="D8813" t="s">
        <v>14</v>
      </c>
      <c r="E8813">
        <v>5</v>
      </c>
      <c r="F8813" s="2">
        <f>DATE(2026,IF(Tabla1[[#This Row],[Mes de Fecha]]="Septiembre",9,10),Tabla1[[#This Row],[Día de Fecha]])</f>
        <v>46300</v>
      </c>
      <c r="G8813">
        <v>1004215413</v>
      </c>
      <c r="H8813" t="s">
        <v>577</v>
      </c>
      <c r="I8813">
        <v>50</v>
      </c>
      <c r="J8813">
        <v>0</v>
      </c>
      <c r="K8813" s="1">
        <v>2116808</v>
      </c>
    </row>
    <row r="8814" spans="1:11" x14ac:dyDescent="0.25">
      <c r="A8814" t="s">
        <v>326</v>
      </c>
      <c r="B8814" t="s">
        <v>576</v>
      </c>
      <c r="C8814" t="s">
        <v>874</v>
      </c>
      <c r="D8814" t="s">
        <v>14</v>
      </c>
      <c r="E8814">
        <v>5</v>
      </c>
      <c r="F8814" s="2">
        <f>DATE(2026,IF(Tabla1[[#This Row],[Mes de Fecha]]="Septiembre",9,10),Tabla1[[#This Row],[Día de Fecha]])</f>
        <v>46300</v>
      </c>
      <c r="G8814">
        <v>1004235122</v>
      </c>
      <c r="H8814" t="s">
        <v>531</v>
      </c>
      <c r="I8814">
        <v>8</v>
      </c>
      <c r="J8814">
        <v>0</v>
      </c>
      <c r="K8814" s="1">
        <v>470125</v>
      </c>
    </row>
    <row r="8815" spans="1:11" x14ac:dyDescent="0.25">
      <c r="A8815" t="s">
        <v>326</v>
      </c>
      <c r="B8815" t="s">
        <v>576</v>
      </c>
      <c r="C8815" t="s">
        <v>874</v>
      </c>
      <c r="D8815" t="s">
        <v>14</v>
      </c>
      <c r="E8815">
        <v>5</v>
      </c>
      <c r="F8815" s="2">
        <f>DATE(2026,IF(Tabla1[[#This Row],[Mes de Fecha]]="Septiembre",9,10),Tabla1[[#This Row],[Día de Fecha]])</f>
        <v>46300</v>
      </c>
      <c r="G8815">
        <v>1030020471</v>
      </c>
      <c r="H8815" t="s">
        <v>581</v>
      </c>
      <c r="I8815">
        <v>10</v>
      </c>
      <c r="J8815">
        <v>0</v>
      </c>
      <c r="K8815" s="1">
        <v>486764</v>
      </c>
    </row>
    <row r="8816" spans="1:11" x14ac:dyDescent="0.25">
      <c r="A8816" t="s">
        <v>326</v>
      </c>
      <c r="B8816" t="s">
        <v>576</v>
      </c>
      <c r="C8816" t="s">
        <v>874</v>
      </c>
      <c r="D8816" t="s">
        <v>14</v>
      </c>
      <c r="E8816">
        <v>5</v>
      </c>
      <c r="F8816" s="2">
        <f>DATE(2026,IF(Tabla1[[#This Row],[Mes de Fecha]]="Septiembre",9,10),Tabla1[[#This Row],[Día de Fecha]])</f>
        <v>46300</v>
      </c>
      <c r="G8816">
        <v>1085283938</v>
      </c>
      <c r="H8816" t="s">
        <v>530</v>
      </c>
      <c r="I8816">
        <v>115</v>
      </c>
      <c r="J8816">
        <v>0</v>
      </c>
      <c r="K8816" s="1">
        <v>6342567</v>
      </c>
    </row>
    <row r="8817" spans="1:11" x14ac:dyDescent="0.25">
      <c r="A8817" t="s">
        <v>326</v>
      </c>
      <c r="B8817" t="s">
        <v>576</v>
      </c>
      <c r="C8817" t="s">
        <v>874</v>
      </c>
      <c r="D8817" t="s">
        <v>14</v>
      </c>
      <c r="E8817">
        <v>5</v>
      </c>
      <c r="F8817" s="2">
        <f>DATE(2026,IF(Tabla1[[#This Row],[Mes de Fecha]]="Septiembre",9,10),Tabla1[[#This Row],[Día de Fecha]])</f>
        <v>46300</v>
      </c>
      <c r="G8817">
        <v>1085305292</v>
      </c>
      <c r="H8817" t="s">
        <v>578</v>
      </c>
      <c r="I8817">
        <v>111</v>
      </c>
      <c r="J8817">
        <v>0</v>
      </c>
      <c r="K8817" s="1">
        <v>6282019</v>
      </c>
    </row>
    <row r="8818" spans="1:11" x14ac:dyDescent="0.25">
      <c r="A8818" t="s">
        <v>326</v>
      </c>
      <c r="B8818" t="s">
        <v>576</v>
      </c>
      <c r="C8818" t="s">
        <v>874</v>
      </c>
      <c r="D8818" t="s">
        <v>14</v>
      </c>
      <c r="E8818">
        <v>5</v>
      </c>
      <c r="F8818" s="2">
        <f>DATE(2026,IF(Tabla1[[#This Row],[Mes de Fecha]]="Septiembre",9,10),Tabla1[[#This Row],[Día de Fecha]])</f>
        <v>46300</v>
      </c>
      <c r="G8818">
        <v>1110040388</v>
      </c>
      <c r="H8818" t="s">
        <v>582</v>
      </c>
      <c r="I8818">
        <v>18</v>
      </c>
      <c r="J8818">
        <v>0</v>
      </c>
      <c r="K8818" s="1">
        <v>401932</v>
      </c>
    </row>
    <row r="8819" spans="1:11" x14ac:dyDescent="0.25">
      <c r="A8819" t="s">
        <v>326</v>
      </c>
      <c r="B8819" t="s">
        <v>576</v>
      </c>
      <c r="C8819" t="s">
        <v>874</v>
      </c>
      <c r="D8819" t="s">
        <v>14</v>
      </c>
      <c r="E8819">
        <v>6</v>
      </c>
      <c r="F8819" s="2">
        <f>DATE(2026,IF(Tabla1[[#This Row],[Mes de Fecha]]="Septiembre",9,10),Tabla1[[#This Row],[Día de Fecha]])</f>
        <v>46301</v>
      </c>
      <c r="I8819">
        <v>0</v>
      </c>
      <c r="J8819" s="1">
        <v>9906717</v>
      </c>
      <c r="K8819">
        <v>0</v>
      </c>
    </row>
    <row r="8820" spans="1:11" x14ac:dyDescent="0.25">
      <c r="A8820" t="s">
        <v>326</v>
      </c>
      <c r="B8820" t="s">
        <v>576</v>
      </c>
      <c r="C8820" t="s">
        <v>874</v>
      </c>
      <c r="D8820" t="s">
        <v>14</v>
      </c>
      <c r="E8820">
        <v>6</v>
      </c>
      <c r="F8820" s="2">
        <f>DATE(2026,IF(Tabla1[[#This Row],[Mes de Fecha]]="Septiembre",9,10),Tabla1[[#This Row],[Día de Fecha]])</f>
        <v>46301</v>
      </c>
      <c r="G8820">
        <v>1004135195</v>
      </c>
      <c r="H8820" t="s">
        <v>580</v>
      </c>
      <c r="I8820">
        <v>-4</v>
      </c>
      <c r="J8820">
        <v>0</v>
      </c>
      <c r="K8820" s="1">
        <v>-235555</v>
      </c>
    </row>
    <row r="8821" spans="1:11" x14ac:dyDescent="0.25">
      <c r="A8821" t="s">
        <v>326</v>
      </c>
      <c r="B8821" t="s">
        <v>576</v>
      </c>
      <c r="C8821" t="s">
        <v>874</v>
      </c>
      <c r="D8821" t="s">
        <v>14</v>
      </c>
      <c r="E8821">
        <v>6</v>
      </c>
      <c r="F8821" s="2">
        <f>DATE(2026,IF(Tabla1[[#This Row],[Mes de Fecha]]="Septiembre",9,10),Tabla1[[#This Row],[Día de Fecha]])</f>
        <v>46301</v>
      </c>
      <c r="G8821">
        <v>1004215413</v>
      </c>
      <c r="H8821" t="s">
        <v>577</v>
      </c>
      <c r="I8821">
        <v>25</v>
      </c>
      <c r="J8821">
        <v>0</v>
      </c>
      <c r="K8821" s="1">
        <v>884873</v>
      </c>
    </row>
    <row r="8822" spans="1:11" x14ac:dyDescent="0.25">
      <c r="A8822" t="s">
        <v>326</v>
      </c>
      <c r="B8822" t="s">
        <v>576</v>
      </c>
      <c r="C8822" t="s">
        <v>874</v>
      </c>
      <c r="D8822" t="s">
        <v>14</v>
      </c>
      <c r="E8822">
        <v>6</v>
      </c>
      <c r="F8822" s="2">
        <f>DATE(2026,IF(Tabla1[[#This Row],[Mes de Fecha]]="Septiembre",9,10),Tabla1[[#This Row],[Día de Fecha]])</f>
        <v>46301</v>
      </c>
      <c r="G8822">
        <v>1004235122</v>
      </c>
      <c r="H8822" t="s">
        <v>531</v>
      </c>
      <c r="I8822">
        <v>23</v>
      </c>
      <c r="J8822">
        <v>0</v>
      </c>
      <c r="K8822" s="1">
        <v>906221</v>
      </c>
    </row>
    <row r="8823" spans="1:11" x14ac:dyDescent="0.25">
      <c r="A8823" t="s">
        <v>326</v>
      </c>
      <c r="B8823" t="s">
        <v>576</v>
      </c>
      <c r="C8823" t="s">
        <v>874</v>
      </c>
      <c r="D8823" t="s">
        <v>14</v>
      </c>
      <c r="E8823">
        <v>6</v>
      </c>
      <c r="F8823" s="2">
        <f>DATE(2026,IF(Tabla1[[#This Row],[Mes de Fecha]]="Septiembre",9,10),Tabla1[[#This Row],[Día de Fecha]])</f>
        <v>46301</v>
      </c>
      <c r="G8823">
        <v>1030020471</v>
      </c>
      <c r="H8823" t="s">
        <v>581</v>
      </c>
      <c r="I8823">
        <v>20</v>
      </c>
      <c r="J8823">
        <v>0</v>
      </c>
      <c r="K8823" s="1">
        <v>721513</v>
      </c>
    </row>
    <row r="8824" spans="1:11" x14ac:dyDescent="0.25">
      <c r="A8824" t="s">
        <v>326</v>
      </c>
      <c r="B8824" t="s">
        <v>576</v>
      </c>
      <c r="C8824" t="s">
        <v>874</v>
      </c>
      <c r="D8824" t="s">
        <v>14</v>
      </c>
      <c r="E8824">
        <v>6</v>
      </c>
      <c r="F8824" s="2">
        <f>DATE(2026,IF(Tabla1[[#This Row],[Mes de Fecha]]="Septiembre",9,10),Tabla1[[#This Row],[Día de Fecha]])</f>
        <v>46301</v>
      </c>
      <c r="G8824">
        <v>1085283938</v>
      </c>
      <c r="H8824" t="s">
        <v>530</v>
      </c>
      <c r="I8824">
        <v>93</v>
      </c>
      <c r="J8824">
        <v>0</v>
      </c>
      <c r="K8824" s="1">
        <v>5028339</v>
      </c>
    </row>
    <row r="8825" spans="1:11" x14ac:dyDescent="0.25">
      <c r="A8825" t="s">
        <v>326</v>
      </c>
      <c r="B8825" t="s">
        <v>576</v>
      </c>
      <c r="C8825" t="s">
        <v>874</v>
      </c>
      <c r="D8825" t="s">
        <v>14</v>
      </c>
      <c r="E8825">
        <v>6</v>
      </c>
      <c r="F8825" s="2">
        <f>DATE(2026,IF(Tabla1[[#This Row],[Mes de Fecha]]="Septiembre",9,10),Tabla1[[#This Row],[Día de Fecha]])</f>
        <v>46301</v>
      </c>
      <c r="G8825">
        <v>1085305292</v>
      </c>
      <c r="H8825" t="s">
        <v>578</v>
      </c>
      <c r="I8825">
        <v>101</v>
      </c>
      <c r="J8825">
        <v>0</v>
      </c>
      <c r="K8825" s="1">
        <v>5030658</v>
      </c>
    </row>
    <row r="8826" spans="1:11" x14ac:dyDescent="0.25">
      <c r="A8826" t="s">
        <v>326</v>
      </c>
      <c r="B8826" t="s">
        <v>576</v>
      </c>
      <c r="C8826" t="s">
        <v>874</v>
      </c>
      <c r="D8826" t="s">
        <v>14</v>
      </c>
      <c r="E8826">
        <v>6</v>
      </c>
      <c r="F8826" s="2">
        <f>DATE(2026,IF(Tabla1[[#This Row],[Mes de Fecha]]="Septiembre",9,10),Tabla1[[#This Row],[Día de Fecha]])</f>
        <v>46301</v>
      </c>
      <c r="G8826">
        <v>1110040388</v>
      </c>
      <c r="H8826" t="s">
        <v>582</v>
      </c>
      <c r="I8826">
        <v>16</v>
      </c>
      <c r="J8826">
        <v>0</v>
      </c>
      <c r="K8826" s="1">
        <v>488500</v>
      </c>
    </row>
    <row r="8827" spans="1:11" x14ac:dyDescent="0.25">
      <c r="A8827" t="s">
        <v>326</v>
      </c>
      <c r="B8827" t="s">
        <v>576</v>
      </c>
      <c r="C8827" t="s">
        <v>874</v>
      </c>
      <c r="D8827" t="s">
        <v>14</v>
      </c>
      <c r="E8827">
        <v>7</v>
      </c>
      <c r="F8827" s="2">
        <f>DATE(2026,IF(Tabla1[[#This Row],[Mes de Fecha]]="Septiembre",9,10),Tabla1[[#This Row],[Día de Fecha]])</f>
        <v>46302</v>
      </c>
      <c r="I8827">
        <v>0</v>
      </c>
      <c r="J8827" s="1">
        <v>9828883</v>
      </c>
      <c r="K8827">
        <v>0</v>
      </c>
    </row>
    <row r="8828" spans="1:11" x14ac:dyDescent="0.25">
      <c r="A8828" t="s">
        <v>326</v>
      </c>
      <c r="B8828" t="s">
        <v>576</v>
      </c>
      <c r="C8828" t="s">
        <v>874</v>
      </c>
      <c r="D8828" t="s">
        <v>14</v>
      </c>
      <c r="E8828">
        <v>7</v>
      </c>
      <c r="F8828" s="2">
        <f>DATE(2026,IF(Tabla1[[#This Row],[Mes de Fecha]]="Septiembre",9,10),Tabla1[[#This Row],[Día de Fecha]])</f>
        <v>46302</v>
      </c>
      <c r="G8828">
        <v>1004135195</v>
      </c>
      <c r="H8828" t="s">
        <v>580</v>
      </c>
      <c r="I8828">
        <v>3</v>
      </c>
      <c r="J8828">
        <v>0</v>
      </c>
      <c r="K8828" s="1">
        <v>-59161</v>
      </c>
    </row>
    <row r="8829" spans="1:11" x14ac:dyDescent="0.25">
      <c r="A8829" t="s">
        <v>326</v>
      </c>
      <c r="B8829" t="s">
        <v>576</v>
      </c>
      <c r="C8829" t="s">
        <v>874</v>
      </c>
      <c r="D8829" t="s">
        <v>14</v>
      </c>
      <c r="E8829">
        <v>7</v>
      </c>
      <c r="F8829" s="2">
        <f>DATE(2026,IF(Tabla1[[#This Row],[Mes de Fecha]]="Septiembre",9,10),Tabla1[[#This Row],[Día de Fecha]])</f>
        <v>46302</v>
      </c>
      <c r="G8829">
        <v>1004215413</v>
      </c>
      <c r="H8829" t="s">
        <v>577</v>
      </c>
      <c r="I8829">
        <v>36</v>
      </c>
      <c r="J8829">
        <v>0</v>
      </c>
      <c r="K8829" s="1">
        <v>1933114</v>
      </c>
    </row>
    <row r="8830" spans="1:11" x14ac:dyDescent="0.25">
      <c r="A8830" t="s">
        <v>326</v>
      </c>
      <c r="B8830" t="s">
        <v>576</v>
      </c>
      <c r="C8830" t="s">
        <v>874</v>
      </c>
      <c r="D8830" t="s">
        <v>14</v>
      </c>
      <c r="E8830">
        <v>7</v>
      </c>
      <c r="F8830" s="2">
        <f>DATE(2026,IF(Tabla1[[#This Row],[Mes de Fecha]]="Septiembre",9,10),Tabla1[[#This Row],[Día de Fecha]])</f>
        <v>46302</v>
      </c>
      <c r="G8830">
        <v>1004235122</v>
      </c>
      <c r="H8830" t="s">
        <v>531</v>
      </c>
      <c r="I8830">
        <v>36</v>
      </c>
      <c r="J8830">
        <v>0</v>
      </c>
      <c r="K8830" s="1">
        <v>1231684</v>
      </c>
    </row>
    <row r="8831" spans="1:11" x14ac:dyDescent="0.25">
      <c r="A8831" t="s">
        <v>326</v>
      </c>
      <c r="B8831" t="s">
        <v>576</v>
      </c>
      <c r="C8831" t="s">
        <v>874</v>
      </c>
      <c r="D8831" t="s">
        <v>14</v>
      </c>
      <c r="E8831">
        <v>7</v>
      </c>
      <c r="F8831" s="2">
        <f>DATE(2026,IF(Tabla1[[#This Row],[Mes de Fecha]]="Septiembre",9,10),Tabla1[[#This Row],[Día de Fecha]])</f>
        <v>46302</v>
      </c>
      <c r="G8831">
        <v>1030020471</v>
      </c>
      <c r="H8831" t="s">
        <v>581</v>
      </c>
      <c r="I8831">
        <v>34</v>
      </c>
      <c r="J8831">
        <v>0</v>
      </c>
      <c r="K8831" s="1">
        <v>1531724</v>
      </c>
    </row>
    <row r="8832" spans="1:11" x14ac:dyDescent="0.25">
      <c r="A8832" t="s">
        <v>326</v>
      </c>
      <c r="B8832" t="s">
        <v>576</v>
      </c>
      <c r="C8832" t="s">
        <v>874</v>
      </c>
      <c r="D8832" t="s">
        <v>14</v>
      </c>
      <c r="E8832">
        <v>7</v>
      </c>
      <c r="F8832" s="2">
        <f>DATE(2026,IF(Tabla1[[#This Row],[Mes de Fecha]]="Septiembre",9,10),Tabla1[[#This Row],[Día de Fecha]])</f>
        <v>46302</v>
      </c>
      <c r="G8832">
        <v>1055047967</v>
      </c>
      <c r="H8832" t="s">
        <v>584</v>
      </c>
      <c r="I8832">
        <v>-1</v>
      </c>
      <c r="J8832">
        <v>0</v>
      </c>
      <c r="K8832" s="1">
        <v>-50378</v>
      </c>
    </row>
    <row r="8833" spans="1:11" x14ac:dyDescent="0.25">
      <c r="A8833" t="s">
        <v>326</v>
      </c>
      <c r="B8833" t="s">
        <v>576</v>
      </c>
      <c r="C8833" t="s">
        <v>874</v>
      </c>
      <c r="D8833" t="s">
        <v>14</v>
      </c>
      <c r="E8833">
        <v>7</v>
      </c>
      <c r="F8833" s="2">
        <f>DATE(2026,IF(Tabla1[[#This Row],[Mes de Fecha]]="Septiembre",9,10),Tabla1[[#This Row],[Día de Fecha]])</f>
        <v>46302</v>
      </c>
      <c r="G8833">
        <v>1085283938</v>
      </c>
      <c r="H8833" t="s">
        <v>530</v>
      </c>
      <c r="I8833">
        <v>73</v>
      </c>
      <c r="J8833">
        <v>0</v>
      </c>
      <c r="K8833" s="1">
        <v>3737987</v>
      </c>
    </row>
    <row r="8834" spans="1:11" x14ac:dyDescent="0.25">
      <c r="A8834" t="s">
        <v>326</v>
      </c>
      <c r="B8834" t="s">
        <v>576</v>
      </c>
      <c r="C8834" t="s">
        <v>874</v>
      </c>
      <c r="D8834" t="s">
        <v>14</v>
      </c>
      <c r="E8834">
        <v>7</v>
      </c>
      <c r="F8834" s="2">
        <f>DATE(2026,IF(Tabla1[[#This Row],[Mes de Fecha]]="Septiembre",9,10),Tabla1[[#This Row],[Día de Fecha]])</f>
        <v>46302</v>
      </c>
      <c r="G8834">
        <v>1085305292</v>
      </c>
      <c r="H8834" t="s">
        <v>578</v>
      </c>
      <c r="I8834">
        <v>70</v>
      </c>
      <c r="J8834">
        <v>0</v>
      </c>
      <c r="K8834" s="1">
        <v>3508155</v>
      </c>
    </row>
    <row r="8835" spans="1:11" x14ac:dyDescent="0.25">
      <c r="A8835" t="s">
        <v>326</v>
      </c>
      <c r="B8835" t="s">
        <v>576</v>
      </c>
      <c r="C8835" t="s">
        <v>874</v>
      </c>
      <c r="D8835" t="s">
        <v>14</v>
      </c>
      <c r="E8835">
        <v>7</v>
      </c>
      <c r="F8835" s="2">
        <f>DATE(2026,IF(Tabla1[[#This Row],[Mes de Fecha]]="Septiembre",9,10),Tabla1[[#This Row],[Día de Fecha]])</f>
        <v>46302</v>
      </c>
      <c r="G8835">
        <v>1110040388</v>
      </c>
      <c r="H8835" t="s">
        <v>582</v>
      </c>
      <c r="I8835">
        <v>37</v>
      </c>
      <c r="J8835">
        <v>0</v>
      </c>
      <c r="K8835" s="1">
        <v>1401262</v>
      </c>
    </row>
    <row r="8836" spans="1:11" x14ac:dyDescent="0.25">
      <c r="A8836" t="s">
        <v>326</v>
      </c>
      <c r="B8836" t="s">
        <v>701</v>
      </c>
      <c r="C8836" t="s">
        <v>874</v>
      </c>
      <c r="D8836" t="s">
        <v>11</v>
      </c>
      <c r="E8836">
        <v>23</v>
      </c>
      <c r="F8836" s="2">
        <f>DATE(2026,IF(Tabla1[[#This Row],[Mes de Fecha]]="Septiembre",9,10),Tabla1[[#This Row],[Día de Fecha]])</f>
        <v>46288</v>
      </c>
      <c r="I8836">
        <v>0</v>
      </c>
      <c r="J8836" s="1">
        <v>12367820</v>
      </c>
      <c r="K8836">
        <v>0</v>
      </c>
    </row>
    <row r="8837" spans="1:11" x14ac:dyDescent="0.25">
      <c r="A8837" t="s">
        <v>326</v>
      </c>
      <c r="B8837" t="s">
        <v>701</v>
      </c>
      <c r="C8837" t="s">
        <v>874</v>
      </c>
      <c r="D8837" t="s">
        <v>11</v>
      </c>
      <c r="E8837">
        <v>23</v>
      </c>
      <c r="F8837" s="2">
        <f>DATE(2026,IF(Tabla1[[#This Row],[Mes de Fecha]]="Septiembre",9,10),Tabla1[[#This Row],[Día de Fecha]])</f>
        <v>46288</v>
      </c>
      <c r="G8837">
        <v>1004673313</v>
      </c>
      <c r="H8837" t="s">
        <v>702</v>
      </c>
      <c r="I8837">
        <v>147</v>
      </c>
      <c r="J8837">
        <v>0</v>
      </c>
      <c r="K8837" s="1">
        <v>8422313</v>
      </c>
    </row>
    <row r="8838" spans="1:11" x14ac:dyDescent="0.25">
      <c r="A8838" t="s">
        <v>326</v>
      </c>
      <c r="B8838" t="s">
        <v>701</v>
      </c>
      <c r="C8838" t="s">
        <v>874</v>
      </c>
      <c r="D8838" t="s">
        <v>11</v>
      </c>
      <c r="E8838">
        <v>23</v>
      </c>
      <c r="F8838" s="2">
        <f>DATE(2026,IF(Tabla1[[#This Row],[Mes de Fecha]]="Septiembre",9,10),Tabla1[[#This Row],[Día de Fecha]])</f>
        <v>46288</v>
      </c>
      <c r="G8838">
        <v>1004726971</v>
      </c>
      <c r="H8838" t="s">
        <v>706</v>
      </c>
      <c r="I8838">
        <v>21</v>
      </c>
      <c r="J8838">
        <v>0</v>
      </c>
      <c r="K8838" s="1">
        <v>1398153</v>
      </c>
    </row>
    <row r="8839" spans="1:11" x14ac:dyDescent="0.25">
      <c r="A8839" t="s">
        <v>326</v>
      </c>
      <c r="B8839" t="s">
        <v>701</v>
      </c>
      <c r="C8839" t="s">
        <v>874</v>
      </c>
      <c r="D8839" t="s">
        <v>11</v>
      </c>
      <c r="E8839">
        <v>23</v>
      </c>
      <c r="F8839" s="2">
        <f>DATE(2026,IF(Tabla1[[#This Row],[Mes de Fecha]]="Septiembre",9,10),Tabla1[[#This Row],[Día de Fecha]])</f>
        <v>46288</v>
      </c>
      <c r="G8839">
        <v>1085902274</v>
      </c>
      <c r="H8839" t="s">
        <v>703</v>
      </c>
      <c r="I8839">
        <v>152</v>
      </c>
      <c r="J8839">
        <v>0</v>
      </c>
      <c r="K8839" s="1">
        <v>8306895</v>
      </c>
    </row>
    <row r="8840" spans="1:11" x14ac:dyDescent="0.25">
      <c r="A8840" t="s">
        <v>326</v>
      </c>
      <c r="B8840" t="s">
        <v>701</v>
      </c>
      <c r="C8840" t="s">
        <v>874</v>
      </c>
      <c r="D8840" t="s">
        <v>11</v>
      </c>
      <c r="E8840">
        <v>23</v>
      </c>
      <c r="F8840" s="2">
        <f>DATE(2026,IF(Tabla1[[#This Row],[Mes de Fecha]]="Septiembre",9,10),Tabla1[[#This Row],[Día de Fecha]])</f>
        <v>46288</v>
      </c>
      <c r="G8840">
        <v>1085916984</v>
      </c>
      <c r="H8840" t="s">
        <v>707</v>
      </c>
      <c r="I8840">
        <v>33</v>
      </c>
      <c r="J8840">
        <v>0</v>
      </c>
      <c r="K8840" s="1">
        <v>2242102</v>
      </c>
    </row>
    <row r="8841" spans="1:11" x14ac:dyDescent="0.25">
      <c r="A8841" t="s">
        <v>326</v>
      </c>
      <c r="B8841" t="s">
        <v>701</v>
      </c>
      <c r="C8841" t="s">
        <v>874</v>
      </c>
      <c r="D8841" t="s">
        <v>11</v>
      </c>
      <c r="E8841">
        <v>23</v>
      </c>
      <c r="F8841" s="2">
        <f>DATE(2026,IF(Tabla1[[#This Row],[Mes de Fecha]]="Septiembre",9,10),Tabla1[[#This Row],[Día de Fecha]])</f>
        <v>46288</v>
      </c>
      <c r="G8841">
        <v>1085950446</v>
      </c>
      <c r="H8841" t="s">
        <v>705</v>
      </c>
      <c r="I8841">
        <v>29</v>
      </c>
      <c r="J8841">
        <v>0</v>
      </c>
      <c r="K8841" s="1">
        <v>1811723</v>
      </c>
    </row>
    <row r="8842" spans="1:11" x14ac:dyDescent="0.25">
      <c r="A8842" t="s">
        <v>326</v>
      </c>
      <c r="B8842" t="s">
        <v>701</v>
      </c>
      <c r="C8842" t="s">
        <v>874</v>
      </c>
      <c r="D8842" t="s">
        <v>11</v>
      </c>
      <c r="E8842">
        <v>24</v>
      </c>
      <c r="F8842" s="2">
        <f>DATE(2026,IF(Tabla1[[#This Row],[Mes de Fecha]]="Septiembre",9,10),Tabla1[[#This Row],[Día de Fecha]])</f>
        <v>46289</v>
      </c>
      <c r="I8842">
        <v>0</v>
      </c>
      <c r="J8842" s="1">
        <v>18893235</v>
      </c>
      <c r="K8842">
        <v>0</v>
      </c>
    </row>
    <row r="8843" spans="1:11" x14ac:dyDescent="0.25">
      <c r="A8843" t="s">
        <v>326</v>
      </c>
      <c r="B8843" t="s">
        <v>701</v>
      </c>
      <c r="C8843" t="s">
        <v>874</v>
      </c>
      <c r="D8843" t="s">
        <v>11</v>
      </c>
      <c r="E8843">
        <v>24</v>
      </c>
      <c r="F8843" s="2">
        <f>DATE(2026,IF(Tabla1[[#This Row],[Mes de Fecha]]="Septiembre",9,10),Tabla1[[#This Row],[Día de Fecha]])</f>
        <v>46289</v>
      </c>
      <c r="G8843">
        <v>1004673313</v>
      </c>
      <c r="H8843" t="s">
        <v>702</v>
      </c>
      <c r="I8843">
        <v>121</v>
      </c>
      <c r="J8843">
        <v>0</v>
      </c>
      <c r="K8843" s="1">
        <v>7340846</v>
      </c>
    </row>
    <row r="8844" spans="1:11" x14ac:dyDescent="0.25">
      <c r="A8844" t="s">
        <v>326</v>
      </c>
      <c r="B8844" t="s">
        <v>701</v>
      </c>
      <c r="C8844" t="s">
        <v>874</v>
      </c>
      <c r="D8844" t="s">
        <v>11</v>
      </c>
      <c r="E8844">
        <v>24</v>
      </c>
      <c r="F8844" s="2">
        <f>DATE(2026,IF(Tabla1[[#This Row],[Mes de Fecha]]="Septiembre",9,10),Tabla1[[#This Row],[Día de Fecha]])</f>
        <v>46289</v>
      </c>
      <c r="G8844">
        <v>1004726971</v>
      </c>
      <c r="H8844" t="s">
        <v>706</v>
      </c>
      <c r="I8844">
        <v>25</v>
      </c>
      <c r="J8844">
        <v>0</v>
      </c>
      <c r="K8844" s="1">
        <v>1299372</v>
      </c>
    </row>
    <row r="8845" spans="1:11" x14ac:dyDescent="0.25">
      <c r="A8845" t="s">
        <v>326</v>
      </c>
      <c r="B8845" t="s">
        <v>701</v>
      </c>
      <c r="C8845" t="s">
        <v>874</v>
      </c>
      <c r="D8845" t="s">
        <v>11</v>
      </c>
      <c r="E8845">
        <v>24</v>
      </c>
      <c r="F8845" s="2">
        <f>DATE(2026,IF(Tabla1[[#This Row],[Mes de Fecha]]="Septiembre",9,10),Tabla1[[#This Row],[Día de Fecha]])</f>
        <v>46289</v>
      </c>
      <c r="G8845">
        <v>1085902274</v>
      </c>
      <c r="H8845" t="s">
        <v>703</v>
      </c>
      <c r="I8845">
        <v>99</v>
      </c>
      <c r="J8845">
        <v>0</v>
      </c>
      <c r="K8845" s="1">
        <v>5306307</v>
      </c>
    </row>
    <row r="8846" spans="1:11" x14ac:dyDescent="0.25">
      <c r="A8846" t="s">
        <v>326</v>
      </c>
      <c r="B8846" t="s">
        <v>701</v>
      </c>
      <c r="C8846" t="s">
        <v>874</v>
      </c>
      <c r="D8846" t="s">
        <v>11</v>
      </c>
      <c r="E8846">
        <v>24</v>
      </c>
      <c r="F8846" s="2">
        <f>DATE(2026,IF(Tabla1[[#This Row],[Mes de Fecha]]="Septiembre",9,10),Tabla1[[#This Row],[Día de Fecha]])</f>
        <v>46289</v>
      </c>
      <c r="G8846">
        <v>1085916984</v>
      </c>
      <c r="H8846" t="s">
        <v>707</v>
      </c>
      <c r="I8846">
        <v>17</v>
      </c>
      <c r="J8846">
        <v>0</v>
      </c>
      <c r="K8846" s="1">
        <v>1087479</v>
      </c>
    </row>
    <row r="8847" spans="1:11" x14ac:dyDescent="0.25">
      <c r="A8847" t="s">
        <v>326</v>
      </c>
      <c r="B8847" t="s">
        <v>701</v>
      </c>
      <c r="C8847" t="s">
        <v>874</v>
      </c>
      <c r="D8847" t="s">
        <v>11</v>
      </c>
      <c r="E8847">
        <v>24</v>
      </c>
      <c r="F8847" s="2">
        <f>DATE(2026,IF(Tabla1[[#This Row],[Mes de Fecha]]="Septiembre",9,10),Tabla1[[#This Row],[Día de Fecha]])</f>
        <v>46289</v>
      </c>
      <c r="G8847">
        <v>1085920020</v>
      </c>
      <c r="H8847" t="s">
        <v>708</v>
      </c>
      <c r="I8847">
        <v>36</v>
      </c>
      <c r="J8847">
        <v>0</v>
      </c>
      <c r="K8847" s="1">
        <v>2095003</v>
      </c>
    </row>
    <row r="8848" spans="1:11" x14ac:dyDescent="0.25">
      <c r="A8848" t="s">
        <v>326</v>
      </c>
      <c r="B8848" t="s">
        <v>701</v>
      </c>
      <c r="C8848" t="s">
        <v>874</v>
      </c>
      <c r="D8848" t="s">
        <v>11</v>
      </c>
      <c r="E8848">
        <v>24</v>
      </c>
      <c r="F8848" s="2">
        <f>DATE(2026,IF(Tabla1[[#This Row],[Mes de Fecha]]="Septiembre",9,10),Tabla1[[#This Row],[Día de Fecha]])</f>
        <v>46289</v>
      </c>
      <c r="G8848">
        <v>1085950446</v>
      </c>
      <c r="H8848" t="s">
        <v>705</v>
      </c>
      <c r="I8848">
        <v>27</v>
      </c>
      <c r="J8848">
        <v>0</v>
      </c>
      <c r="K8848" s="1">
        <v>1761432</v>
      </c>
    </row>
    <row r="8849" spans="1:11" x14ac:dyDescent="0.25">
      <c r="A8849" t="s">
        <v>326</v>
      </c>
      <c r="B8849" t="s">
        <v>701</v>
      </c>
      <c r="C8849" t="s">
        <v>874</v>
      </c>
      <c r="D8849" t="s">
        <v>11</v>
      </c>
      <c r="E8849">
        <v>25</v>
      </c>
      <c r="F8849" s="2">
        <f>DATE(2026,IF(Tabla1[[#This Row],[Mes de Fecha]]="Septiembre",9,10),Tabla1[[#This Row],[Día de Fecha]])</f>
        <v>46290</v>
      </c>
      <c r="I8849">
        <v>0</v>
      </c>
      <c r="J8849" s="1">
        <v>18851411</v>
      </c>
      <c r="K8849">
        <v>0</v>
      </c>
    </row>
    <row r="8850" spans="1:11" x14ac:dyDescent="0.25">
      <c r="A8850" t="s">
        <v>326</v>
      </c>
      <c r="B8850" t="s">
        <v>701</v>
      </c>
      <c r="C8850" t="s">
        <v>874</v>
      </c>
      <c r="D8850" t="s">
        <v>11</v>
      </c>
      <c r="E8850">
        <v>25</v>
      </c>
      <c r="F8850" s="2">
        <f>DATE(2026,IF(Tabla1[[#This Row],[Mes de Fecha]]="Septiembre",9,10),Tabla1[[#This Row],[Día de Fecha]])</f>
        <v>46290</v>
      </c>
      <c r="G8850">
        <v>1004673313</v>
      </c>
      <c r="H8850" t="s">
        <v>702</v>
      </c>
      <c r="I8850">
        <v>75</v>
      </c>
      <c r="J8850">
        <v>0</v>
      </c>
      <c r="K8850" s="1">
        <v>4822483</v>
      </c>
    </row>
    <row r="8851" spans="1:11" x14ac:dyDescent="0.25">
      <c r="A8851" t="s">
        <v>326</v>
      </c>
      <c r="B8851" t="s">
        <v>701</v>
      </c>
      <c r="C8851" t="s">
        <v>874</v>
      </c>
      <c r="D8851" t="s">
        <v>11</v>
      </c>
      <c r="E8851">
        <v>25</v>
      </c>
      <c r="F8851" s="2">
        <f>DATE(2026,IF(Tabla1[[#This Row],[Mes de Fecha]]="Septiembre",9,10),Tabla1[[#This Row],[Día de Fecha]])</f>
        <v>46290</v>
      </c>
      <c r="G8851">
        <v>1004726971</v>
      </c>
      <c r="H8851" t="s">
        <v>706</v>
      </c>
      <c r="I8851">
        <v>18</v>
      </c>
      <c r="J8851">
        <v>0</v>
      </c>
      <c r="K8851" s="1">
        <v>1280757</v>
      </c>
    </row>
    <row r="8852" spans="1:11" x14ac:dyDescent="0.25">
      <c r="A8852" t="s">
        <v>326</v>
      </c>
      <c r="B8852" t="s">
        <v>701</v>
      </c>
      <c r="C8852" t="s">
        <v>874</v>
      </c>
      <c r="D8852" t="s">
        <v>11</v>
      </c>
      <c r="E8852">
        <v>25</v>
      </c>
      <c r="F8852" s="2">
        <f>DATE(2026,IF(Tabla1[[#This Row],[Mes de Fecha]]="Septiembre",9,10),Tabla1[[#This Row],[Día de Fecha]])</f>
        <v>46290</v>
      </c>
      <c r="G8852">
        <v>1085902274</v>
      </c>
      <c r="H8852" t="s">
        <v>703</v>
      </c>
      <c r="I8852">
        <v>63</v>
      </c>
      <c r="J8852">
        <v>0</v>
      </c>
      <c r="K8852" s="1">
        <v>4005591</v>
      </c>
    </row>
    <row r="8853" spans="1:11" x14ac:dyDescent="0.25">
      <c r="A8853" t="s">
        <v>326</v>
      </c>
      <c r="B8853" t="s">
        <v>701</v>
      </c>
      <c r="C8853" t="s">
        <v>874</v>
      </c>
      <c r="D8853" t="s">
        <v>11</v>
      </c>
      <c r="E8853">
        <v>25</v>
      </c>
      <c r="F8853" s="2">
        <f>DATE(2026,IF(Tabla1[[#This Row],[Mes de Fecha]]="Septiembre",9,10),Tabla1[[#This Row],[Día de Fecha]])</f>
        <v>46290</v>
      </c>
      <c r="G8853">
        <v>1085916984</v>
      </c>
      <c r="H8853" t="s">
        <v>707</v>
      </c>
      <c r="I8853">
        <v>36</v>
      </c>
      <c r="J8853">
        <v>0</v>
      </c>
      <c r="K8853" s="1">
        <v>1920336</v>
      </c>
    </row>
    <row r="8854" spans="1:11" x14ac:dyDescent="0.25">
      <c r="A8854" t="s">
        <v>326</v>
      </c>
      <c r="B8854" t="s">
        <v>701</v>
      </c>
      <c r="C8854" t="s">
        <v>874</v>
      </c>
      <c r="D8854" t="s">
        <v>11</v>
      </c>
      <c r="E8854">
        <v>25</v>
      </c>
      <c r="F8854" s="2">
        <f>DATE(2026,IF(Tabla1[[#This Row],[Mes de Fecha]]="Septiembre",9,10),Tabla1[[#This Row],[Día de Fecha]])</f>
        <v>46290</v>
      </c>
      <c r="G8854">
        <v>1085920020</v>
      </c>
      <c r="H8854" t="s">
        <v>708</v>
      </c>
      <c r="I8854">
        <v>33</v>
      </c>
      <c r="J8854">
        <v>0</v>
      </c>
      <c r="K8854" s="1">
        <v>2101388</v>
      </c>
    </row>
    <row r="8855" spans="1:11" x14ac:dyDescent="0.25">
      <c r="A8855" t="s">
        <v>326</v>
      </c>
      <c r="B8855" t="s">
        <v>701</v>
      </c>
      <c r="C8855" t="s">
        <v>874</v>
      </c>
      <c r="D8855" t="s">
        <v>11</v>
      </c>
      <c r="E8855">
        <v>25</v>
      </c>
      <c r="F8855" s="2">
        <f>DATE(2026,IF(Tabla1[[#This Row],[Mes de Fecha]]="Septiembre",9,10),Tabla1[[#This Row],[Día de Fecha]])</f>
        <v>46290</v>
      </c>
      <c r="G8855">
        <v>1085950446</v>
      </c>
      <c r="H8855" t="s">
        <v>705</v>
      </c>
      <c r="I8855">
        <v>28</v>
      </c>
      <c r="J8855">
        <v>0</v>
      </c>
      <c r="K8855" s="1">
        <v>1839162</v>
      </c>
    </row>
    <row r="8856" spans="1:11" x14ac:dyDescent="0.25">
      <c r="A8856" t="s">
        <v>326</v>
      </c>
      <c r="B8856" t="s">
        <v>701</v>
      </c>
      <c r="C8856" t="s">
        <v>874</v>
      </c>
      <c r="D8856" t="s">
        <v>11</v>
      </c>
      <c r="E8856">
        <v>26</v>
      </c>
      <c r="F8856" s="2">
        <f>DATE(2026,IF(Tabla1[[#This Row],[Mes de Fecha]]="Septiembre",9,10),Tabla1[[#This Row],[Día de Fecha]])</f>
        <v>46291</v>
      </c>
      <c r="I8856">
        <v>0</v>
      </c>
      <c r="J8856" s="1">
        <v>27092184</v>
      </c>
      <c r="K8856">
        <v>0</v>
      </c>
    </row>
    <row r="8857" spans="1:11" x14ac:dyDescent="0.25">
      <c r="A8857" t="s">
        <v>326</v>
      </c>
      <c r="B8857" t="s">
        <v>701</v>
      </c>
      <c r="C8857" t="s">
        <v>874</v>
      </c>
      <c r="D8857" t="s">
        <v>11</v>
      </c>
      <c r="E8857">
        <v>26</v>
      </c>
      <c r="F8857" s="2">
        <f>DATE(2026,IF(Tabla1[[#This Row],[Mes de Fecha]]="Septiembre",9,10),Tabla1[[#This Row],[Día de Fecha]])</f>
        <v>46291</v>
      </c>
      <c r="G8857">
        <v>1004673313</v>
      </c>
      <c r="H8857" t="s">
        <v>702</v>
      </c>
      <c r="I8857">
        <v>116</v>
      </c>
      <c r="J8857">
        <v>0</v>
      </c>
      <c r="K8857" s="1">
        <v>7921147</v>
      </c>
    </row>
    <row r="8858" spans="1:11" x14ac:dyDescent="0.25">
      <c r="A8858" t="s">
        <v>326</v>
      </c>
      <c r="B8858" t="s">
        <v>701</v>
      </c>
      <c r="C8858" t="s">
        <v>874</v>
      </c>
      <c r="D8858" t="s">
        <v>11</v>
      </c>
      <c r="E8858">
        <v>26</v>
      </c>
      <c r="F8858" s="2">
        <f>DATE(2026,IF(Tabla1[[#This Row],[Mes de Fecha]]="Septiembre",9,10),Tabla1[[#This Row],[Día de Fecha]])</f>
        <v>46291</v>
      </c>
      <c r="G8858">
        <v>1004726971</v>
      </c>
      <c r="H8858" t="s">
        <v>706</v>
      </c>
      <c r="I8858">
        <v>28</v>
      </c>
      <c r="J8858">
        <v>0</v>
      </c>
      <c r="K8858" s="1">
        <v>2099540</v>
      </c>
    </row>
    <row r="8859" spans="1:11" x14ac:dyDescent="0.25">
      <c r="A8859" t="s">
        <v>326</v>
      </c>
      <c r="B8859" t="s">
        <v>701</v>
      </c>
      <c r="C8859" t="s">
        <v>874</v>
      </c>
      <c r="D8859" t="s">
        <v>11</v>
      </c>
      <c r="E8859">
        <v>26</v>
      </c>
      <c r="F8859" s="2">
        <f>DATE(2026,IF(Tabla1[[#This Row],[Mes de Fecha]]="Septiembre",9,10),Tabla1[[#This Row],[Día de Fecha]])</f>
        <v>46291</v>
      </c>
      <c r="G8859">
        <v>1085902274</v>
      </c>
      <c r="H8859" t="s">
        <v>703</v>
      </c>
      <c r="I8859">
        <v>99</v>
      </c>
      <c r="J8859">
        <v>0</v>
      </c>
      <c r="K8859" s="1">
        <v>6468366</v>
      </c>
    </row>
    <row r="8860" spans="1:11" x14ac:dyDescent="0.25">
      <c r="A8860" t="s">
        <v>326</v>
      </c>
      <c r="B8860" t="s">
        <v>701</v>
      </c>
      <c r="C8860" t="s">
        <v>874</v>
      </c>
      <c r="D8860" t="s">
        <v>11</v>
      </c>
      <c r="E8860">
        <v>26</v>
      </c>
      <c r="F8860" s="2">
        <f>DATE(2026,IF(Tabla1[[#This Row],[Mes de Fecha]]="Septiembre",9,10),Tabla1[[#This Row],[Día de Fecha]])</f>
        <v>46291</v>
      </c>
      <c r="G8860">
        <v>1085916984</v>
      </c>
      <c r="H8860" t="s">
        <v>707</v>
      </c>
      <c r="I8860">
        <v>39</v>
      </c>
      <c r="J8860">
        <v>0</v>
      </c>
      <c r="K8860" s="1">
        <v>2519329</v>
      </c>
    </row>
    <row r="8861" spans="1:11" x14ac:dyDescent="0.25">
      <c r="A8861" t="s">
        <v>326</v>
      </c>
      <c r="B8861" t="s">
        <v>701</v>
      </c>
      <c r="C8861" t="s">
        <v>874</v>
      </c>
      <c r="D8861" t="s">
        <v>11</v>
      </c>
      <c r="E8861">
        <v>26</v>
      </c>
      <c r="F8861" s="2">
        <f>DATE(2026,IF(Tabla1[[#This Row],[Mes de Fecha]]="Septiembre",9,10),Tabla1[[#This Row],[Día de Fecha]])</f>
        <v>46291</v>
      </c>
      <c r="G8861">
        <v>1085920020</v>
      </c>
      <c r="H8861" t="s">
        <v>708</v>
      </c>
      <c r="I8861">
        <v>44</v>
      </c>
      <c r="J8861">
        <v>0</v>
      </c>
      <c r="K8861" s="1">
        <v>2657776</v>
      </c>
    </row>
    <row r="8862" spans="1:11" x14ac:dyDescent="0.25">
      <c r="A8862" t="s">
        <v>326</v>
      </c>
      <c r="B8862" t="s">
        <v>701</v>
      </c>
      <c r="C8862" t="s">
        <v>874</v>
      </c>
      <c r="D8862" t="s">
        <v>11</v>
      </c>
      <c r="E8862">
        <v>26</v>
      </c>
      <c r="F8862" s="2">
        <f>DATE(2026,IF(Tabla1[[#This Row],[Mes de Fecha]]="Septiembre",9,10),Tabla1[[#This Row],[Día de Fecha]])</f>
        <v>46291</v>
      </c>
      <c r="G8862">
        <v>1085950446</v>
      </c>
      <c r="H8862" t="s">
        <v>705</v>
      </c>
      <c r="I8862">
        <v>57</v>
      </c>
      <c r="J8862">
        <v>0</v>
      </c>
      <c r="K8862" s="1">
        <v>4016306</v>
      </c>
    </row>
    <row r="8863" spans="1:11" x14ac:dyDescent="0.25">
      <c r="A8863" t="s">
        <v>326</v>
      </c>
      <c r="B8863" t="s">
        <v>701</v>
      </c>
      <c r="C8863" t="s">
        <v>874</v>
      </c>
      <c r="D8863" t="s">
        <v>11</v>
      </c>
      <c r="E8863">
        <v>27</v>
      </c>
      <c r="F8863" s="2">
        <f>DATE(2026,IF(Tabla1[[#This Row],[Mes de Fecha]]="Septiembre",9,10),Tabla1[[#This Row],[Día de Fecha]])</f>
        <v>46292</v>
      </c>
      <c r="I8863">
        <v>0</v>
      </c>
      <c r="J8863" s="1">
        <v>21462462</v>
      </c>
      <c r="K8863">
        <v>0</v>
      </c>
    </row>
    <row r="8864" spans="1:11" x14ac:dyDescent="0.25">
      <c r="A8864" t="s">
        <v>326</v>
      </c>
      <c r="B8864" t="s">
        <v>701</v>
      </c>
      <c r="C8864" t="s">
        <v>874</v>
      </c>
      <c r="D8864" t="s">
        <v>11</v>
      </c>
      <c r="E8864">
        <v>27</v>
      </c>
      <c r="F8864" s="2">
        <f>DATE(2026,IF(Tabla1[[#This Row],[Mes de Fecha]]="Septiembre",9,10),Tabla1[[#This Row],[Día de Fecha]])</f>
        <v>46292</v>
      </c>
      <c r="G8864">
        <v>1004673313</v>
      </c>
      <c r="H8864" t="s">
        <v>702</v>
      </c>
      <c r="I8864">
        <v>83</v>
      </c>
      <c r="J8864">
        <v>0</v>
      </c>
      <c r="K8864" s="1">
        <v>5654038</v>
      </c>
    </row>
    <row r="8865" spans="1:11" x14ac:dyDescent="0.25">
      <c r="A8865" t="s">
        <v>326</v>
      </c>
      <c r="B8865" t="s">
        <v>701</v>
      </c>
      <c r="C8865" t="s">
        <v>874</v>
      </c>
      <c r="D8865" t="s">
        <v>11</v>
      </c>
      <c r="E8865">
        <v>27</v>
      </c>
      <c r="F8865" s="2">
        <f>DATE(2026,IF(Tabla1[[#This Row],[Mes de Fecha]]="Septiembre",9,10),Tabla1[[#This Row],[Día de Fecha]])</f>
        <v>46292</v>
      </c>
      <c r="G8865">
        <v>1004726971</v>
      </c>
      <c r="H8865" t="s">
        <v>706</v>
      </c>
      <c r="I8865">
        <v>26</v>
      </c>
      <c r="J8865">
        <v>0</v>
      </c>
      <c r="K8865" s="1">
        <v>1585045</v>
      </c>
    </row>
    <row r="8866" spans="1:11" x14ac:dyDescent="0.25">
      <c r="A8866" t="s">
        <v>326</v>
      </c>
      <c r="B8866" t="s">
        <v>701</v>
      </c>
      <c r="C8866" t="s">
        <v>874</v>
      </c>
      <c r="D8866" t="s">
        <v>11</v>
      </c>
      <c r="E8866">
        <v>27</v>
      </c>
      <c r="F8866" s="2">
        <f>DATE(2026,IF(Tabla1[[#This Row],[Mes de Fecha]]="Septiembre",9,10),Tabla1[[#This Row],[Día de Fecha]])</f>
        <v>46292</v>
      </c>
      <c r="G8866">
        <v>1085902274</v>
      </c>
      <c r="H8866" t="s">
        <v>703</v>
      </c>
      <c r="I8866">
        <v>126</v>
      </c>
      <c r="J8866">
        <v>0</v>
      </c>
      <c r="K8866" s="1">
        <v>7374543</v>
      </c>
    </row>
    <row r="8867" spans="1:11" x14ac:dyDescent="0.25">
      <c r="A8867" t="s">
        <v>326</v>
      </c>
      <c r="B8867" t="s">
        <v>701</v>
      </c>
      <c r="C8867" t="s">
        <v>874</v>
      </c>
      <c r="D8867" t="s">
        <v>11</v>
      </c>
      <c r="E8867">
        <v>27</v>
      </c>
      <c r="F8867" s="2">
        <f>DATE(2026,IF(Tabla1[[#This Row],[Mes de Fecha]]="Septiembre",9,10),Tabla1[[#This Row],[Día de Fecha]])</f>
        <v>46292</v>
      </c>
      <c r="G8867">
        <v>1085916984</v>
      </c>
      <c r="H8867" t="s">
        <v>707</v>
      </c>
      <c r="I8867">
        <v>36</v>
      </c>
      <c r="J8867">
        <v>0</v>
      </c>
      <c r="K8867" s="1">
        <v>2426767</v>
      </c>
    </row>
    <row r="8868" spans="1:11" x14ac:dyDescent="0.25">
      <c r="A8868" t="s">
        <v>326</v>
      </c>
      <c r="B8868" t="s">
        <v>701</v>
      </c>
      <c r="C8868" t="s">
        <v>874</v>
      </c>
      <c r="D8868" t="s">
        <v>11</v>
      </c>
      <c r="E8868">
        <v>27</v>
      </c>
      <c r="F8868" s="2">
        <f>DATE(2026,IF(Tabla1[[#This Row],[Mes de Fecha]]="Septiembre",9,10),Tabla1[[#This Row],[Día de Fecha]])</f>
        <v>46292</v>
      </c>
      <c r="G8868">
        <v>1085920020</v>
      </c>
      <c r="H8868" t="s">
        <v>708</v>
      </c>
      <c r="I8868">
        <v>49</v>
      </c>
      <c r="J8868">
        <v>0</v>
      </c>
      <c r="K8868" s="1">
        <v>3560715</v>
      </c>
    </row>
    <row r="8869" spans="1:11" x14ac:dyDescent="0.25">
      <c r="A8869" t="s">
        <v>326</v>
      </c>
      <c r="B8869" t="s">
        <v>701</v>
      </c>
      <c r="C8869" t="s">
        <v>874</v>
      </c>
      <c r="D8869" t="s">
        <v>11</v>
      </c>
      <c r="E8869">
        <v>27</v>
      </c>
      <c r="F8869" s="2">
        <f>DATE(2026,IF(Tabla1[[#This Row],[Mes de Fecha]]="Septiembre",9,10),Tabla1[[#This Row],[Día de Fecha]])</f>
        <v>46292</v>
      </c>
      <c r="G8869">
        <v>1085950446</v>
      </c>
      <c r="H8869" t="s">
        <v>705</v>
      </c>
      <c r="I8869">
        <v>18</v>
      </c>
      <c r="J8869">
        <v>0</v>
      </c>
      <c r="K8869" s="1">
        <v>1272355</v>
      </c>
    </row>
    <row r="8870" spans="1:11" x14ac:dyDescent="0.25">
      <c r="A8870" t="s">
        <v>326</v>
      </c>
      <c r="B8870" t="s">
        <v>701</v>
      </c>
      <c r="C8870" t="s">
        <v>874</v>
      </c>
      <c r="D8870" t="s">
        <v>11</v>
      </c>
      <c r="E8870">
        <v>28</v>
      </c>
      <c r="F8870" s="2">
        <f>DATE(2026,IF(Tabla1[[#This Row],[Mes de Fecha]]="Septiembre",9,10),Tabla1[[#This Row],[Día de Fecha]])</f>
        <v>46293</v>
      </c>
      <c r="I8870">
        <v>0</v>
      </c>
      <c r="J8870" s="1">
        <v>11812059</v>
      </c>
      <c r="K8870">
        <v>0</v>
      </c>
    </row>
    <row r="8871" spans="1:11" x14ac:dyDescent="0.25">
      <c r="A8871" t="s">
        <v>326</v>
      </c>
      <c r="B8871" t="s">
        <v>701</v>
      </c>
      <c r="C8871" t="s">
        <v>874</v>
      </c>
      <c r="D8871" t="s">
        <v>11</v>
      </c>
      <c r="E8871">
        <v>28</v>
      </c>
      <c r="F8871" s="2">
        <f>DATE(2026,IF(Tabla1[[#This Row],[Mes de Fecha]]="Septiembre",9,10),Tabla1[[#This Row],[Día de Fecha]])</f>
        <v>46293</v>
      </c>
      <c r="G8871">
        <v>1004673313</v>
      </c>
      <c r="H8871" t="s">
        <v>702</v>
      </c>
      <c r="I8871">
        <v>92</v>
      </c>
      <c r="J8871">
        <v>0</v>
      </c>
      <c r="K8871" s="1">
        <v>6220296</v>
      </c>
    </row>
    <row r="8872" spans="1:11" x14ac:dyDescent="0.25">
      <c r="A8872" t="s">
        <v>326</v>
      </c>
      <c r="B8872" t="s">
        <v>701</v>
      </c>
      <c r="C8872" t="s">
        <v>874</v>
      </c>
      <c r="D8872" t="s">
        <v>11</v>
      </c>
      <c r="E8872">
        <v>28</v>
      </c>
      <c r="F8872" s="2">
        <f>DATE(2026,IF(Tabla1[[#This Row],[Mes de Fecha]]="Septiembre",9,10),Tabla1[[#This Row],[Día de Fecha]])</f>
        <v>46293</v>
      </c>
      <c r="G8872">
        <v>1004726971</v>
      </c>
      <c r="H8872" t="s">
        <v>706</v>
      </c>
      <c r="I8872">
        <v>28</v>
      </c>
      <c r="J8872">
        <v>0</v>
      </c>
      <c r="K8872" s="1">
        <v>1832774</v>
      </c>
    </row>
    <row r="8873" spans="1:11" x14ac:dyDescent="0.25">
      <c r="A8873" t="s">
        <v>326</v>
      </c>
      <c r="B8873" t="s">
        <v>701</v>
      </c>
      <c r="C8873" t="s">
        <v>874</v>
      </c>
      <c r="D8873" t="s">
        <v>11</v>
      </c>
      <c r="E8873">
        <v>28</v>
      </c>
      <c r="F8873" s="2">
        <f>DATE(2026,IF(Tabla1[[#This Row],[Mes de Fecha]]="Septiembre",9,10),Tabla1[[#This Row],[Día de Fecha]])</f>
        <v>46293</v>
      </c>
      <c r="G8873">
        <v>1085902274</v>
      </c>
      <c r="H8873" t="s">
        <v>703</v>
      </c>
      <c r="I8873">
        <v>67</v>
      </c>
      <c r="J8873">
        <v>0</v>
      </c>
      <c r="K8873" s="1">
        <v>3417145</v>
      </c>
    </row>
    <row r="8874" spans="1:11" x14ac:dyDescent="0.25">
      <c r="A8874" t="s">
        <v>326</v>
      </c>
      <c r="B8874" t="s">
        <v>701</v>
      </c>
      <c r="C8874" t="s">
        <v>874</v>
      </c>
      <c r="D8874" t="s">
        <v>11</v>
      </c>
      <c r="E8874">
        <v>28</v>
      </c>
      <c r="F8874" s="2">
        <f>DATE(2026,IF(Tabla1[[#This Row],[Mes de Fecha]]="Septiembre",9,10),Tabla1[[#This Row],[Día de Fecha]])</f>
        <v>46293</v>
      </c>
      <c r="G8874">
        <v>1085920020</v>
      </c>
      <c r="H8874" t="s">
        <v>708</v>
      </c>
      <c r="I8874">
        <v>1</v>
      </c>
      <c r="J8874">
        <v>0</v>
      </c>
      <c r="K8874" s="1">
        <v>29370</v>
      </c>
    </row>
    <row r="8875" spans="1:11" x14ac:dyDescent="0.25">
      <c r="A8875" t="s">
        <v>326</v>
      </c>
      <c r="B8875" t="s">
        <v>701</v>
      </c>
      <c r="C8875" t="s">
        <v>874</v>
      </c>
      <c r="D8875" t="s">
        <v>11</v>
      </c>
      <c r="E8875">
        <v>29</v>
      </c>
      <c r="F8875" s="2">
        <f>DATE(2026,IF(Tabla1[[#This Row],[Mes de Fecha]]="Septiembre",9,10),Tabla1[[#This Row],[Día de Fecha]])</f>
        <v>46294</v>
      </c>
      <c r="I8875">
        <v>0</v>
      </c>
      <c r="J8875" s="1">
        <v>12617593</v>
      </c>
      <c r="K8875">
        <v>0</v>
      </c>
    </row>
    <row r="8876" spans="1:11" x14ac:dyDescent="0.25">
      <c r="A8876" t="s">
        <v>326</v>
      </c>
      <c r="B8876" t="s">
        <v>701</v>
      </c>
      <c r="C8876" t="s">
        <v>874</v>
      </c>
      <c r="D8876" t="s">
        <v>11</v>
      </c>
      <c r="E8876">
        <v>29</v>
      </c>
      <c r="F8876" s="2">
        <f>DATE(2026,IF(Tabla1[[#This Row],[Mes de Fecha]]="Septiembre",9,10),Tabla1[[#This Row],[Día de Fecha]])</f>
        <v>46294</v>
      </c>
      <c r="G8876">
        <v>1004673313</v>
      </c>
      <c r="H8876" t="s">
        <v>702</v>
      </c>
      <c r="I8876">
        <v>131</v>
      </c>
      <c r="J8876">
        <v>0</v>
      </c>
      <c r="K8876" s="1">
        <v>6475254</v>
      </c>
    </row>
    <row r="8877" spans="1:11" x14ac:dyDescent="0.25">
      <c r="A8877" t="s">
        <v>326</v>
      </c>
      <c r="B8877" t="s">
        <v>701</v>
      </c>
      <c r="C8877" t="s">
        <v>874</v>
      </c>
      <c r="D8877" t="s">
        <v>11</v>
      </c>
      <c r="E8877">
        <v>29</v>
      </c>
      <c r="F8877" s="2">
        <f>DATE(2026,IF(Tabla1[[#This Row],[Mes de Fecha]]="Septiembre",9,10),Tabla1[[#This Row],[Día de Fecha]])</f>
        <v>46294</v>
      </c>
      <c r="G8877">
        <v>1004726971</v>
      </c>
      <c r="H8877" t="s">
        <v>706</v>
      </c>
      <c r="I8877">
        <v>10</v>
      </c>
      <c r="J8877">
        <v>0</v>
      </c>
      <c r="K8877" s="1">
        <v>949160</v>
      </c>
    </row>
    <row r="8878" spans="1:11" x14ac:dyDescent="0.25">
      <c r="A8878" t="s">
        <v>326</v>
      </c>
      <c r="B8878" t="s">
        <v>701</v>
      </c>
      <c r="C8878" t="s">
        <v>874</v>
      </c>
      <c r="D8878" t="s">
        <v>11</v>
      </c>
      <c r="E8878">
        <v>29</v>
      </c>
      <c r="F8878" s="2">
        <f>DATE(2026,IF(Tabla1[[#This Row],[Mes de Fecha]]="Septiembre",9,10),Tabla1[[#This Row],[Día de Fecha]])</f>
        <v>46294</v>
      </c>
      <c r="G8878">
        <v>1085902274</v>
      </c>
      <c r="H8878" t="s">
        <v>703</v>
      </c>
      <c r="I8878">
        <v>88</v>
      </c>
      <c r="J8878">
        <v>0</v>
      </c>
      <c r="K8878" s="1">
        <v>5393114</v>
      </c>
    </row>
    <row r="8879" spans="1:11" x14ac:dyDescent="0.25">
      <c r="A8879" t="s">
        <v>326</v>
      </c>
      <c r="B8879" t="s">
        <v>701</v>
      </c>
      <c r="C8879" t="s">
        <v>874</v>
      </c>
      <c r="D8879" t="s">
        <v>11</v>
      </c>
      <c r="E8879">
        <v>29</v>
      </c>
      <c r="F8879" s="2">
        <f>DATE(2026,IF(Tabla1[[#This Row],[Mes de Fecha]]="Septiembre",9,10),Tabla1[[#This Row],[Día de Fecha]])</f>
        <v>46294</v>
      </c>
      <c r="G8879">
        <v>1085950446</v>
      </c>
      <c r="H8879" t="s">
        <v>705</v>
      </c>
      <c r="I8879">
        <v>0</v>
      </c>
      <c r="J8879">
        <v>0</v>
      </c>
      <c r="K8879" s="1">
        <v>54664</v>
      </c>
    </row>
    <row r="8880" spans="1:11" x14ac:dyDescent="0.25">
      <c r="A8880" t="s">
        <v>326</v>
      </c>
      <c r="B8880" t="s">
        <v>701</v>
      </c>
      <c r="C8880" t="s">
        <v>874</v>
      </c>
      <c r="D8880" t="s">
        <v>11</v>
      </c>
      <c r="E8880">
        <v>30</v>
      </c>
      <c r="F8880" s="2">
        <f>DATE(2026,IF(Tabla1[[#This Row],[Mes de Fecha]]="Septiembre",9,10),Tabla1[[#This Row],[Día de Fecha]])</f>
        <v>46295</v>
      </c>
      <c r="I8880">
        <v>0</v>
      </c>
      <c r="J8880" s="1">
        <v>13034196</v>
      </c>
      <c r="K8880">
        <v>0</v>
      </c>
    </row>
    <row r="8881" spans="1:11" x14ac:dyDescent="0.25">
      <c r="A8881" t="s">
        <v>326</v>
      </c>
      <c r="B8881" t="s">
        <v>701</v>
      </c>
      <c r="C8881" t="s">
        <v>874</v>
      </c>
      <c r="D8881" t="s">
        <v>11</v>
      </c>
      <c r="E8881">
        <v>30</v>
      </c>
      <c r="F8881" s="2">
        <f>DATE(2026,IF(Tabla1[[#This Row],[Mes de Fecha]]="Septiembre",9,10),Tabla1[[#This Row],[Día de Fecha]])</f>
        <v>46295</v>
      </c>
      <c r="G8881">
        <v>1004673313</v>
      </c>
      <c r="H8881" t="s">
        <v>702</v>
      </c>
      <c r="I8881">
        <v>93</v>
      </c>
      <c r="J8881">
        <v>0</v>
      </c>
      <c r="K8881" s="1">
        <v>5844412</v>
      </c>
    </row>
    <row r="8882" spans="1:11" x14ac:dyDescent="0.25">
      <c r="A8882" t="s">
        <v>326</v>
      </c>
      <c r="B8882" t="s">
        <v>701</v>
      </c>
      <c r="C8882" t="s">
        <v>874</v>
      </c>
      <c r="D8882" t="s">
        <v>11</v>
      </c>
      <c r="E8882">
        <v>30</v>
      </c>
      <c r="F8882" s="2">
        <f>DATE(2026,IF(Tabla1[[#This Row],[Mes de Fecha]]="Septiembre",9,10),Tabla1[[#This Row],[Día de Fecha]])</f>
        <v>46295</v>
      </c>
      <c r="G8882">
        <v>1085902274</v>
      </c>
      <c r="H8882" t="s">
        <v>703</v>
      </c>
      <c r="I8882">
        <v>91</v>
      </c>
      <c r="J8882">
        <v>0</v>
      </c>
      <c r="K8882" s="1">
        <v>6151474</v>
      </c>
    </row>
    <row r="8883" spans="1:11" x14ac:dyDescent="0.25">
      <c r="A8883" t="s">
        <v>326</v>
      </c>
      <c r="B8883" t="s">
        <v>701</v>
      </c>
      <c r="C8883" t="s">
        <v>874</v>
      </c>
      <c r="D8883" t="s">
        <v>11</v>
      </c>
      <c r="E8883">
        <v>30</v>
      </c>
      <c r="F8883" s="2">
        <f>DATE(2026,IF(Tabla1[[#This Row],[Mes de Fecha]]="Septiembre",9,10),Tabla1[[#This Row],[Día de Fecha]])</f>
        <v>46295</v>
      </c>
      <c r="G8883">
        <v>1085920020</v>
      </c>
      <c r="H8883" t="s">
        <v>708</v>
      </c>
      <c r="I8883">
        <v>0</v>
      </c>
      <c r="J8883">
        <v>0</v>
      </c>
      <c r="K8883" s="1">
        <v>-4160</v>
      </c>
    </row>
    <row r="8884" spans="1:11" x14ac:dyDescent="0.25">
      <c r="A8884" t="s">
        <v>326</v>
      </c>
      <c r="B8884" t="s">
        <v>701</v>
      </c>
      <c r="C8884" t="s">
        <v>874</v>
      </c>
      <c r="D8884" t="s">
        <v>14</v>
      </c>
      <c r="E8884">
        <v>1</v>
      </c>
      <c r="F8884" s="2">
        <f>DATE(2026,IF(Tabla1[[#This Row],[Mes de Fecha]]="Septiembre",9,10),Tabla1[[#This Row],[Día de Fecha]])</f>
        <v>46296</v>
      </c>
      <c r="I8884">
        <v>0</v>
      </c>
      <c r="J8884" s="1">
        <v>6887451</v>
      </c>
      <c r="K8884">
        <v>0</v>
      </c>
    </row>
    <row r="8885" spans="1:11" x14ac:dyDescent="0.25">
      <c r="A8885" t="s">
        <v>326</v>
      </c>
      <c r="B8885" t="s">
        <v>701</v>
      </c>
      <c r="C8885" t="s">
        <v>874</v>
      </c>
      <c r="D8885" t="s">
        <v>14</v>
      </c>
      <c r="E8885">
        <v>1</v>
      </c>
      <c r="F8885" s="2">
        <f>DATE(2026,IF(Tabla1[[#This Row],[Mes de Fecha]]="Septiembre",9,10),Tabla1[[#This Row],[Día de Fecha]])</f>
        <v>46296</v>
      </c>
      <c r="G8885">
        <v>1004673313</v>
      </c>
      <c r="H8885" t="s">
        <v>702</v>
      </c>
      <c r="I8885">
        <v>37</v>
      </c>
      <c r="J8885">
        <v>0</v>
      </c>
      <c r="K8885" s="1">
        <v>2878618</v>
      </c>
    </row>
    <row r="8886" spans="1:11" x14ac:dyDescent="0.25">
      <c r="A8886" t="s">
        <v>326</v>
      </c>
      <c r="B8886" t="s">
        <v>701</v>
      </c>
      <c r="C8886" t="s">
        <v>874</v>
      </c>
      <c r="D8886" t="s">
        <v>14</v>
      </c>
      <c r="E8886">
        <v>1</v>
      </c>
      <c r="F8886" s="2">
        <f>DATE(2026,IF(Tabla1[[#This Row],[Mes de Fecha]]="Septiembre",9,10),Tabla1[[#This Row],[Día de Fecha]])</f>
        <v>46296</v>
      </c>
      <c r="G8886">
        <v>1004726971</v>
      </c>
      <c r="H8886" t="s">
        <v>706</v>
      </c>
      <c r="I8886">
        <v>36</v>
      </c>
      <c r="J8886">
        <v>0</v>
      </c>
      <c r="K8886" s="1">
        <v>1811263</v>
      </c>
    </row>
    <row r="8887" spans="1:11" x14ac:dyDescent="0.25">
      <c r="A8887" t="s">
        <v>326</v>
      </c>
      <c r="B8887" t="s">
        <v>701</v>
      </c>
      <c r="C8887" t="s">
        <v>874</v>
      </c>
      <c r="D8887" t="s">
        <v>14</v>
      </c>
      <c r="E8887">
        <v>1</v>
      </c>
      <c r="F8887" s="2">
        <f>DATE(2026,IF(Tabla1[[#This Row],[Mes de Fecha]]="Septiembre",9,10),Tabla1[[#This Row],[Día de Fecha]])</f>
        <v>46296</v>
      </c>
      <c r="G8887">
        <v>1085902274</v>
      </c>
      <c r="H8887" t="s">
        <v>703</v>
      </c>
      <c r="I8887">
        <v>48</v>
      </c>
      <c r="J8887">
        <v>0</v>
      </c>
      <c r="K8887" s="1">
        <v>3273153</v>
      </c>
    </row>
    <row r="8888" spans="1:11" x14ac:dyDescent="0.25">
      <c r="A8888" t="s">
        <v>326</v>
      </c>
      <c r="B8888" t="s">
        <v>701</v>
      </c>
      <c r="C8888" t="s">
        <v>874</v>
      </c>
      <c r="D8888" t="s">
        <v>14</v>
      </c>
      <c r="E8888">
        <v>1</v>
      </c>
      <c r="F8888" s="2">
        <f>DATE(2026,IF(Tabla1[[#This Row],[Mes de Fecha]]="Septiembre",9,10),Tabla1[[#This Row],[Día de Fecha]])</f>
        <v>46296</v>
      </c>
      <c r="G8888">
        <v>1085916984</v>
      </c>
      <c r="H8888" t="s">
        <v>707</v>
      </c>
      <c r="I8888">
        <v>19</v>
      </c>
      <c r="J8888">
        <v>0</v>
      </c>
      <c r="K8888" s="1">
        <v>957144</v>
      </c>
    </row>
    <row r="8889" spans="1:11" x14ac:dyDescent="0.25">
      <c r="A8889" t="s">
        <v>326</v>
      </c>
      <c r="B8889" t="s">
        <v>701</v>
      </c>
      <c r="C8889" t="s">
        <v>874</v>
      </c>
      <c r="D8889" t="s">
        <v>14</v>
      </c>
      <c r="E8889">
        <v>1</v>
      </c>
      <c r="F8889" s="2">
        <f>DATE(2026,IF(Tabla1[[#This Row],[Mes de Fecha]]="Septiembre",9,10),Tabla1[[#This Row],[Día de Fecha]])</f>
        <v>46296</v>
      </c>
      <c r="G8889">
        <v>1085920020</v>
      </c>
      <c r="H8889" t="s">
        <v>708</v>
      </c>
      <c r="I8889">
        <v>21</v>
      </c>
      <c r="J8889">
        <v>0</v>
      </c>
      <c r="K8889" s="1">
        <v>1377228</v>
      </c>
    </row>
    <row r="8890" spans="1:11" x14ac:dyDescent="0.25">
      <c r="A8890" t="s">
        <v>326</v>
      </c>
      <c r="B8890" t="s">
        <v>701</v>
      </c>
      <c r="C8890" t="s">
        <v>874</v>
      </c>
      <c r="D8890" t="s">
        <v>14</v>
      </c>
      <c r="E8890">
        <v>1</v>
      </c>
      <c r="F8890" s="2">
        <f>DATE(2026,IF(Tabla1[[#This Row],[Mes de Fecha]]="Septiembre",9,10),Tabla1[[#This Row],[Día de Fecha]])</f>
        <v>46296</v>
      </c>
      <c r="G8890">
        <v>1085950446</v>
      </c>
      <c r="H8890" t="s">
        <v>705</v>
      </c>
      <c r="I8890">
        <v>31</v>
      </c>
      <c r="J8890">
        <v>0</v>
      </c>
      <c r="K8890" s="1">
        <v>2401891</v>
      </c>
    </row>
    <row r="8891" spans="1:11" x14ac:dyDescent="0.25">
      <c r="A8891" t="s">
        <v>326</v>
      </c>
      <c r="B8891" t="s">
        <v>701</v>
      </c>
      <c r="C8891" t="s">
        <v>874</v>
      </c>
      <c r="D8891" t="s">
        <v>14</v>
      </c>
      <c r="E8891">
        <v>2</v>
      </c>
      <c r="F8891" s="2">
        <f>DATE(2026,IF(Tabla1[[#This Row],[Mes de Fecha]]="Septiembre",9,10),Tabla1[[#This Row],[Día de Fecha]])</f>
        <v>46297</v>
      </c>
      <c r="I8891">
        <v>0</v>
      </c>
      <c r="J8891" s="1">
        <v>9844020</v>
      </c>
      <c r="K8891">
        <v>0</v>
      </c>
    </row>
    <row r="8892" spans="1:11" x14ac:dyDescent="0.25">
      <c r="A8892" t="s">
        <v>326</v>
      </c>
      <c r="B8892" t="s">
        <v>701</v>
      </c>
      <c r="C8892" t="s">
        <v>874</v>
      </c>
      <c r="D8892" t="s">
        <v>14</v>
      </c>
      <c r="E8892">
        <v>2</v>
      </c>
      <c r="F8892" s="2">
        <f>DATE(2026,IF(Tabla1[[#This Row],[Mes de Fecha]]="Septiembre",9,10),Tabla1[[#This Row],[Día de Fecha]])</f>
        <v>46297</v>
      </c>
      <c r="G8892">
        <v>1004673313</v>
      </c>
      <c r="H8892" t="s">
        <v>702</v>
      </c>
      <c r="I8892">
        <v>30</v>
      </c>
      <c r="J8892">
        <v>0</v>
      </c>
      <c r="K8892" s="1">
        <v>2122649</v>
      </c>
    </row>
    <row r="8893" spans="1:11" x14ac:dyDescent="0.25">
      <c r="A8893" t="s">
        <v>326</v>
      </c>
      <c r="B8893" t="s">
        <v>701</v>
      </c>
      <c r="C8893" t="s">
        <v>874</v>
      </c>
      <c r="D8893" t="s">
        <v>14</v>
      </c>
      <c r="E8893">
        <v>2</v>
      </c>
      <c r="F8893" s="2">
        <f>DATE(2026,IF(Tabla1[[#This Row],[Mes de Fecha]]="Septiembre",9,10),Tabla1[[#This Row],[Día de Fecha]])</f>
        <v>46297</v>
      </c>
      <c r="G8893">
        <v>1004726971</v>
      </c>
      <c r="H8893" t="s">
        <v>706</v>
      </c>
      <c r="I8893">
        <v>32</v>
      </c>
      <c r="J8893">
        <v>0</v>
      </c>
      <c r="K8893" s="1">
        <v>2271723</v>
      </c>
    </row>
    <row r="8894" spans="1:11" x14ac:dyDescent="0.25">
      <c r="A8894" t="s">
        <v>326</v>
      </c>
      <c r="B8894" t="s">
        <v>701</v>
      </c>
      <c r="C8894" t="s">
        <v>874</v>
      </c>
      <c r="D8894" t="s">
        <v>14</v>
      </c>
      <c r="E8894">
        <v>2</v>
      </c>
      <c r="F8894" s="2">
        <f>DATE(2026,IF(Tabla1[[#This Row],[Mes de Fecha]]="Septiembre",9,10),Tabla1[[#This Row],[Día de Fecha]])</f>
        <v>46297</v>
      </c>
      <c r="G8894">
        <v>1085902274</v>
      </c>
      <c r="H8894" t="s">
        <v>703</v>
      </c>
      <c r="I8894">
        <v>34</v>
      </c>
      <c r="J8894">
        <v>0</v>
      </c>
      <c r="K8894" s="1">
        <v>2469119</v>
      </c>
    </row>
    <row r="8895" spans="1:11" x14ac:dyDescent="0.25">
      <c r="A8895" t="s">
        <v>326</v>
      </c>
      <c r="B8895" t="s">
        <v>701</v>
      </c>
      <c r="C8895" t="s">
        <v>874</v>
      </c>
      <c r="D8895" t="s">
        <v>14</v>
      </c>
      <c r="E8895">
        <v>2</v>
      </c>
      <c r="F8895" s="2">
        <f>DATE(2026,IF(Tabla1[[#This Row],[Mes de Fecha]]="Septiembre",9,10),Tabla1[[#This Row],[Día de Fecha]])</f>
        <v>46297</v>
      </c>
      <c r="G8895">
        <v>1085916984</v>
      </c>
      <c r="H8895" t="s">
        <v>707</v>
      </c>
      <c r="I8895">
        <v>21</v>
      </c>
      <c r="J8895">
        <v>0</v>
      </c>
      <c r="K8895" s="1">
        <v>1389747</v>
      </c>
    </row>
    <row r="8896" spans="1:11" x14ac:dyDescent="0.25">
      <c r="A8896" t="s">
        <v>326</v>
      </c>
      <c r="B8896" t="s">
        <v>701</v>
      </c>
      <c r="C8896" t="s">
        <v>874</v>
      </c>
      <c r="D8896" t="s">
        <v>14</v>
      </c>
      <c r="E8896">
        <v>2</v>
      </c>
      <c r="F8896" s="2">
        <f>DATE(2026,IF(Tabla1[[#This Row],[Mes de Fecha]]="Septiembre",9,10),Tabla1[[#This Row],[Día de Fecha]])</f>
        <v>46297</v>
      </c>
      <c r="G8896">
        <v>1085920020</v>
      </c>
      <c r="H8896" t="s">
        <v>708</v>
      </c>
      <c r="I8896">
        <v>14</v>
      </c>
      <c r="J8896">
        <v>0</v>
      </c>
      <c r="K8896" s="1">
        <v>930085</v>
      </c>
    </row>
    <row r="8897" spans="1:11" x14ac:dyDescent="0.25">
      <c r="A8897" t="s">
        <v>326</v>
      </c>
      <c r="B8897" t="s">
        <v>701</v>
      </c>
      <c r="C8897" t="s">
        <v>874</v>
      </c>
      <c r="D8897" t="s">
        <v>14</v>
      </c>
      <c r="E8897">
        <v>2</v>
      </c>
      <c r="F8897" s="2">
        <f>DATE(2026,IF(Tabla1[[#This Row],[Mes de Fecha]]="Septiembre",9,10),Tabla1[[#This Row],[Día de Fecha]])</f>
        <v>46297</v>
      </c>
      <c r="G8897">
        <v>1085950446</v>
      </c>
      <c r="H8897" t="s">
        <v>705</v>
      </c>
      <c r="I8897">
        <v>21</v>
      </c>
      <c r="J8897">
        <v>0</v>
      </c>
      <c r="K8897" s="1">
        <v>1423489</v>
      </c>
    </row>
    <row r="8898" spans="1:11" x14ac:dyDescent="0.25">
      <c r="A8898" t="s">
        <v>326</v>
      </c>
      <c r="B8898" t="s">
        <v>701</v>
      </c>
      <c r="C8898" t="s">
        <v>874</v>
      </c>
      <c r="D8898" t="s">
        <v>14</v>
      </c>
      <c r="E8898">
        <v>3</v>
      </c>
      <c r="F8898" s="2">
        <f>DATE(2026,IF(Tabla1[[#This Row],[Mes de Fecha]]="Septiembre",9,10),Tabla1[[#This Row],[Día de Fecha]])</f>
        <v>46298</v>
      </c>
      <c r="I8898">
        <v>0</v>
      </c>
      <c r="J8898" s="1">
        <v>23158122</v>
      </c>
      <c r="K8898">
        <v>0</v>
      </c>
    </row>
    <row r="8899" spans="1:11" x14ac:dyDescent="0.25">
      <c r="A8899" t="s">
        <v>326</v>
      </c>
      <c r="B8899" t="s">
        <v>701</v>
      </c>
      <c r="C8899" t="s">
        <v>874</v>
      </c>
      <c r="D8899" t="s">
        <v>14</v>
      </c>
      <c r="E8899">
        <v>3</v>
      </c>
      <c r="F8899" s="2">
        <f>DATE(2026,IF(Tabla1[[#This Row],[Mes de Fecha]]="Septiembre",9,10),Tabla1[[#This Row],[Día de Fecha]])</f>
        <v>46298</v>
      </c>
      <c r="G8899">
        <v>1004673313</v>
      </c>
      <c r="H8899" t="s">
        <v>702</v>
      </c>
      <c r="I8899">
        <v>164</v>
      </c>
      <c r="J8899">
        <v>0</v>
      </c>
      <c r="K8899" s="1">
        <v>9829951</v>
      </c>
    </row>
    <row r="8900" spans="1:11" x14ac:dyDescent="0.25">
      <c r="A8900" t="s">
        <v>326</v>
      </c>
      <c r="B8900" t="s">
        <v>701</v>
      </c>
      <c r="C8900" t="s">
        <v>874</v>
      </c>
      <c r="D8900" t="s">
        <v>14</v>
      </c>
      <c r="E8900">
        <v>3</v>
      </c>
      <c r="F8900" s="2">
        <f>DATE(2026,IF(Tabla1[[#This Row],[Mes de Fecha]]="Septiembre",9,10),Tabla1[[#This Row],[Día de Fecha]])</f>
        <v>46298</v>
      </c>
      <c r="G8900">
        <v>1004726971</v>
      </c>
      <c r="H8900" t="s">
        <v>706</v>
      </c>
      <c r="I8900">
        <v>38</v>
      </c>
      <c r="J8900">
        <v>0</v>
      </c>
      <c r="K8900" s="1">
        <v>2474172</v>
      </c>
    </row>
    <row r="8901" spans="1:11" x14ac:dyDescent="0.25">
      <c r="A8901" t="s">
        <v>326</v>
      </c>
      <c r="B8901" t="s">
        <v>701</v>
      </c>
      <c r="C8901" t="s">
        <v>874</v>
      </c>
      <c r="D8901" t="s">
        <v>14</v>
      </c>
      <c r="E8901">
        <v>3</v>
      </c>
      <c r="F8901" s="2">
        <f>DATE(2026,IF(Tabla1[[#This Row],[Mes de Fecha]]="Septiembre",9,10),Tabla1[[#This Row],[Día de Fecha]])</f>
        <v>46298</v>
      </c>
      <c r="G8901">
        <v>1085902274</v>
      </c>
      <c r="H8901" t="s">
        <v>703</v>
      </c>
      <c r="I8901">
        <v>108</v>
      </c>
      <c r="J8901">
        <v>0</v>
      </c>
      <c r="K8901" s="1">
        <v>6394013</v>
      </c>
    </row>
    <row r="8902" spans="1:11" x14ac:dyDescent="0.25">
      <c r="A8902" t="s">
        <v>326</v>
      </c>
      <c r="B8902" t="s">
        <v>701</v>
      </c>
      <c r="C8902" t="s">
        <v>874</v>
      </c>
      <c r="D8902" t="s">
        <v>14</v>
      </c>
      <c r="E8902">
        <v>3</v>
      </c>
      <c r="F8902" s="2">
        <f>DATE(2026,IF(Tabla1[[#This Row],[Mes de Fecha]]="Septiembre",9,10),Tabla1[[#This Row],[Día de Fecha]])</f>
        <v>46298</v>
      </c>
      <c r="G8902">
        <v>1085916984</v>
      </c>
      <c r="H8902" t="s">
        <v>707</v>
      </c>
      <c r="I8902">
        <v>27</v>
      </c>
      <c r="J8902">
        <v>0</v>
      </c>
      <c r="K8902" s="1">
        <v>1724936</v>
      </c>
    </row>
    <row r="8903" spans="1:11" x14ac:dyDescent="0.25">
      <c r="A8903" t="s">
        <v>326</v>
      </c>
      <c r="B8903" t="s">
        <v>701</v>
      </c>
      <c r="C8903" t="s">
        <v>874</v>
      </c>
      <c r="D8903" t="s">
        <v>14</v>
      </c>
      <c r="E8903">
        <v>3</v>
      </c>
      <c r="F8903" s="2">
        <f>DATE(2026,IF(Tabla1[[#This Row],[Mes de Fecha]]="Septiembre",9,10),Tabla1[[#This Row],[Día de Fecha]])</f>
        <v>46298</v>
      </c>
      <c r="G8903">
        <v>1085920020</v>
      </c>
      <c r="H8903" t="s">
        <v>708</v>
      </c>
      <c r="I8903">
        <v>18</v>
      </c>
      <c r="J8903">
        <v>0</v>
      </c>
      <c r="K8903" s="1">
        <v>954624</v>
      </c>
    </row>
    <row r="8904" spans="1:11" x14ac:dyDescent="0.25">
      <c r="A8904" t="s">
        <v>326</v>
      </c>
      <c r="B8904" t="s">
        <v>701</v>
      </c>
      <c r="C8904" t="s">
        <v>874</v>
      </c>
      <c r="D8904" t="s">
        <v>14</v>
      </c>
      <c r="E8904">
        <v>3</v>
      </c>
      <c r="F8904" s="2">
        <f>DATE(2026,IF(Tabla1[[#This Row],[Mes de Fecha]]="Septiembre",9,10),Tabla1[[#This Row],[Día de Fecha]])</f>
        <v>46298</v>
      </c>
      <c r="G8904">
        <v>1085950446</v>
      </c>
      <c r="H8904" t="s">
        <v>705</v>
      </c>
      <c r="I8904">
        <v>39</v>
      </c>
      <c r="J8904">
        <v>0</v>
      </c>
      <c r="K8904" s="1">
        <v>2388439</v>
      </c>
    </row>
    <row r="8905" spans="1:11" x14ac:dyDescent="0.25">
      <c r="A8905" t="s">
        <v>326</v>
      </c>
      <c r="B8905" t="s">
        <v>701</v>
      </c>
      <c r="C8905" t="s">
        <v>874</v>
      </c>
      <c r="D8905" t="s">
        <v>14</v>
      </c>
      <c r="E8905">
        <v>4</v>
      </c>
      <c r="F8905" s="2">
        <f>DATE(2026,IF(Tabla1[[#This Row],[Mes de Fecha]]="Septiembre",9,10),Tabla1[[#This Row],[Día de Fecha]])</f>
        <v>46299</v>
      </c>
      <c r="I8905">
        <v>0</v>
      </c>
      <c r="J8905" s="1">
        <v>17845393</v>
      </c>
      <c r="K8905">
        <v>0</v>
      </c>
    </row>
    <row r="8906" spans="1:11" x14ac:dyDescent="0.25">
      <c r="A8906" t="s">
        <v>326</v>
      </c>
      <c r="B8906" t="s">
        <v>701</v>
      </c>
      <c r="C8906" t="s">
        <v>874</v>
      </c>
      <c r="D8906" t="s">
        <v>14</v>
      </c>
      <c r="E8906">
        <v>4</v>
      </c>
      <c r="F8906" s="2">
        <f>DATE(2026,IF(Tabla1[[#This Row],[Mes de Fecha]]="Septiembre",9,10),Tabla1[[#This Row],[Día de Fecha]])</f>
        <v>46299</v>
      </c>
      <c r="G8906">
        <v>1004673313</v>
      </c>
      <c r="H8906" t="s">
        <v>702</v>
      </c>
      <c r="I8906">
        <v>3</v>
      </c>
      <c r="J8906">
        <v>0</v>
      </c>
      <c r="K8906" s="1">
        <v>298193</v>
      </c>
    </row>
    <row r="8907" spans="1:11" x14ac:dyDescent="0.25">
      <c r="A8907" t="s">
        <v>326</v>
      </c>
      <c r="B8907" t="s">
        <v>701</v>
      </c>
      <c r="C8907" t="s">
        <v>874</v>
      </c>
      <c r="D8907" t="s">
        <v>14</v>
      </c>
      <c r="E8907">
        <v>4</v>
      </c>
      <c r="F8907" s="2">
        <f>DATE(2026,IF(Tabla1[[#This Row],[Mes de Fecha]]="Septiembre",9,10),Tabla1[[#This Row],[Día de Fecha]])</f>
        <v>46299</v>
      </c>
      <c r="G8907">
        <v>1004726971</v>
      </c>
      <c r="H8907" t="s">
        <v>706</v>
      </c>
      <c r="I8907">
        <v>33</v>
      </c>
      <c r="J8907">
        <v>0</v>
      </c>
      <c r="K8907" s="1">
        <v>2320004</v>
      </c>
    </row>
    <row r="8908" spans="1:11" x14ac:dyDescent="0.25">
      <c r="A8908" t="s">
        <v>326</v>
      </c>
      <c r="B8908" t="s">
        <v>701</v>
      </c>
      <c r="C8908" t="s">
        <v>874</v>
      </c>
      <c r="D8908" t="s">
        <v>14</v>
      </c>
      <c r="E8908">
        <v>4</v>
      </c>
      <c r="F8908" s="2">
        <f>DATE(2026,IF(Tabla1[[#This Row],[Mes de Fecha]]="Septiembre",9,10),Tabla1[[#This Row],[Día de Fecha]])</f>
        <v>46299</v>
      </c>
      <c r="G8908">
        <v>1085902274</v>
      </c>
      <c r="H8908" t="s">
        <v>703</v>
      </c>
      <c r="I8908">
        <v>109</v>
      </c>
      <c r="J8908">
        <v>0</v>
      </c>
      <c r="K8908" s="1">
        <v>8217734</v>
      </c>
    </row>
    <row r="8909" spans="1:11" x14ac:dyDescent="0.25">
      <c r="A8909" t="s">
        <v>326</v>
      </c>
      <c r="B8909" t="s">
        <v>701</v>
      </c>
      <c r="C8909" t="s">
        <v>874</v>
      </c>
      <c r="D8909" t="s">
        <v>14</v>
      </c>
      <c r="E8909">
        <v>4</v>
      </c>
      <c r="F8909" s="2">
        <f>DATE(2026,IF(Tabla1[[#This Row],[Mes de Fecha]]="Septiembre",9,10),Tabla1[[#This Row],[Día de Fecha]])</f>
        <v>46299</v>
      </c>
      <c r="G8909">
        <v>1085916984</v>
      </c>
      <c r="H8909" t="s">
        <v>707</v>
      </c>
      <c r="I8909">
        <v>29</v>
      </c>
      <c r="J8909">
        <v>0</v>
      </c>
      <c r="K8909" s="1">
        <v>2192019</v>
      </c>
    </row>
    <row r="8910" spans="1:11" x14ac:dyDescent="0.25">
      <c r="A8910" t="s">
        <v>326</v>
      </c>
      <c r="B8910" t="s">
        <v>701</v>
      </c>
      <c r="C8910" t="s">
        <v>874</v>
      </c>
      <c r="D8910" t="s">
        <v>14</v>
      </c>
      <c r="E8910">
        <v>4</v>
      </c>
      <c r="F8910" s="2">
        <f>DATE(2026,IF(Tabla1[[#This Row],[Mes de Fecha]]="Septiembre",9,10),Tabla1[[#This Row],[Día de Fecha]])</f>
        <v>46299</v>
      </c>
      <c r="G8910">
        <v>1085920020</v>
      </c>
      <c r="H8910" t="s">
        <v>708</v>
      </c>
      <c r="I8910">
        <v>48</v>
      </c>
      <c r="J8910">
        <v>0</v>
      </c>
      <c r="K8910" s="1">
        <v>3384415</v>
      </c>
    </row>
    <row r="8911" spans="1:11" x14ac:dyDescent="0.25">
      <c r="A8911" t="s">
        <v>326</v>
      </c>
      <c r="B8911" t="s">
        <v>701</v>
      </c>
      <c r="C8911" t="s">
        <v>874</v>
      </c>
      <c r="D8911" t="s">
        <v>14</v>
      </c>
      <c r="E8911">
        <v>4</v>
      </c>
      <c r="F8911" s="2">
        <f>DATE(2026,IF(Tabla1[[#This Row],[Mes de Fecha]]="Septiembre",9,10),Tabla1[[#This Row],[Día de Fecha]])</f>
        <v>46299</v>
      </c>
      <c r="G8911">
        <v>1085950446</v>
      </c>
      <c r="H8911" t="s">
        <v>705</v>
      </c>
      <c r="I8911">
        <v>44</v>
      </c>
      <c r="J8911">
        <v>0</v>
      </c>
      <c r="K8911" s="1">
        <v>3216550</v>
      </c>
    </row>
    <row r="8912" spans="1:11" x14ac:dyDescent="0.25">
      <c r="A8912" t="s">
        <v>326</v>
      </c>
      <c r="B8912" t="s">
        <v>701</v>
      </c>
      <c r="C8912" t="s">
        <v>874</v>
      </c>
      <c r="D8912" t="s">
        <v>14</v>
      </c>
      <c r="E8912">
        <v>5</v>
      </c>
      <c r="F8912" s="2">
        <f>DATE(2026,IF(Tabla1[[#This Row],[Mes de Fecha]]="Septiembre",9,10),Tabla1[[#This Row],[Día de Fecha]])</f>
        <v>46300</v>
      </c>
      <c r="I8912">
        <v>0</v>
      </c>
      <c r="J8912" s="1">
        <v>11551503</v>
      </c>
      <c r="K8912">
        <v>0</v>
      </c>
    </row>
    <row r="8913" spans="1:11" x14ac:dyDescent="0.25">
      <c r="A8913" t="s">
        <v>326</v>
      </c>
      <c r="B8913" t="s">
        <v>701</v>
      </c>
      <c r="C8913" t="s">
        <v>874</v>
      </c>
      <c r="D8913" t="s">
        <v>14</v>
      </c>
      <c r="E8913">
        <v>5</v>
      </c>
      <c r="F8913" s="2">
        <f>DATE(2026,IF(Tabla1[[#This Row],[Mes de Fecha]]="Septiembre",9,10),Tabla1[[#This Row],[Día de Fecha]])</f>
        <v>46300</v>
      </c>
      <c r="G8913">
        <v>1004673313</v>
      </c>
      <c r="H8913" t="s">
        <v>702</v>
      </c>
      <c r="I8913">
        <v>53</v>
      </c>
      <c r="J8913">
        <v>0</v>
      </c>
      <c r="K8913" s="1">
        <v>3602774</v>
      </c>
    </row>
    <row r="8914" spans="1:11" x14ac:dyDescent="0.25">
      <c r="A8914" t="s">
        <v>326</v>
      </c>
      <c r="B8914" t="s">
        <v>701</v>
      </c>
      <c r="C8914" t="s">
        <v>874</v>
      </c>
      <c r="D8914" t="s">
        <v>14</v>
      </c>
      <c r="E8914">
        <v>5</v>
      </c>
      <c r="F8914" s="2">
        <f>DATE(2026,IF(Tabla1[[#This Row],[Mes de Fecha]]="Septiembre",9,10),Tabla1[[#This Row],[Día de Fecha]])</f>
        <v>46300</v>
      </c>
      <c r="G8914">
        <v>1004726971</v>
      </c>
      <c r="H8914" t="s">
        <v>706</v>
      </c>
      <c r="I8914">
        <v>2</v>
      </c>
      <c r="J8914">
        <v>0</v>
      </c>
      <c r="K8914" s="1">
        <v>201597</v>
      </c>
    </row>
    <row r="8915" spans="1:11" x14ac:dyDescent="0.25">
      <c r="A8915" t="s">
        <v>326</v>
      </c>
      <c r="B8915" t="s">
        <v>701</v>
      </c>
      <c r="C8915" t="s">
        <v>874</v>
      </c>
      <c r="D8915" t="s">
        <v>14</v>
      </c>
      <c r="E8915">
        <v>5</v>
      </c>
      <c r="F8915" s="2">
        <f>DATE(2026,IF(Tabla1[[#This Row],[Mes de Fecha]]="Septiembre",9,10),Tabla1[[#This Row],[Día de Fecha]])</f>
        <v>46300</v>
      </c>
      <c r="G8915">
        <v>1085902274</v>
      </c>
      <c r="H8915" t="s">
        <v>703</v>
      </c>
      <c r="I8915">
        <v>48</v>
      </c>
      <c r="J8915">
        <v>0</v>
      </c>
      <c r="K8915" s="1">
        <v>3254246</v>
      </c>
    </row>
    <row r="8916" spans="1:11" x14ac:dyDescent="0.25">
      <c r="A8916" t="s">
        <v>326</v>
      </c>
      <c r="B8916" t="s">
        <v>701</v>
      </c>
      <c r="C8916" t="s">
        <v>874</v>
      </c>
      <c r="D8916" t="s">
        <v>14</v>
      </c>
      <c r="E8916">
        <v>5</v>
      </c>
      <c r="F8916" s="2">
        <f>DATE(2026,IF(Tabla1[[#This Row],[Mes de Fecha]]="Septiembre",9,10),Tabla1[[#This Row],[Día de Fecha]])</f>
        <v>46300</v>
      </c>
      <c r="G8916">
        <v>1085916984</v>
      </c>
      <c r="H8916" t="s">
        <v>707</v>
      </c>
      <c r="I8916">
        <v>11</v>
      </c>
      <c r="J8916">
        <v>0</v>
      </c>
      <c r="K8916" s="1">
        <v>741094</v>
      </c>
    </row>
    <row r="8917" spans="1:11" x14ac:dyDescent="0.25">
      <c r="A8917" t="s">
        <v>326</v>
      </c>
      <c r="B8917" t="s">
        <v>701</v>
      </c>
      <c r="C8917" t="s">
        <v>874</v>
      </c>
      <c r="D8917" t="s">
        <v>14</v>
      </c>
      <c r="E8917">
        <v>5</v>
      </c>
      <c r="F8917" s="2">
        <f>DATE(2026,IF(Tabla1[[#This Row],[Mes de Fecha]]="Septiembre",9,10),Tabla1[[#This Row],[Día de Fecha]])</f>
        <v>46300</v>
      </c>
      <c r="G8917">
        <v>1085920020</v>
      </c>
      <c r="H8917" t="s">
        <v>708</v>
      </c>
      <c r="I8917">
        <v>5</v>
      </c>
      <c r="J8917">
        <v>0</v>
      </c>
      <c r="K8917" s="1">
        <v>340126</v>
      </c>
    </row>
    <row r="8918" spans="1:11" x14ac:dyDescent="0.25">
      <c r="A8918" t="s">
        <v>326</v>
      </c>
      <c r="B8918" t="s">
        <v>701</v>
      </c>
      <c r="C8918" t="s">
        <v>874</v>
      </c>
      <c r="D8918" t="s">
        <v>14</v>
      </c>
      <c r="E8918">
        <v>6</v>
      </c>
      <c r="F8918" s="2">
        <f>DATE(2026,IF(Tabla1[[#This Row],[Mes de Fecha]]="Septiembre",9,10),Tabla1[[#This Row],[Día de Fecha]])</f>
        <v>46301</v>
      </c>
      <c r="I8918">
        <v>0</v>
      </c>
      <c r="J8918" s="1">
        <v>5532003</v>
      </c>
      <c r="K8918">
        <v>0</v>
      </c>
    </row>
    <row r="8919" spans="1:11" x14ac:dyDescent="0.25">
      <c r="A8919" t="s">
        <v>326</v>
      </c>
      <c r="B8919" t="s">
        <v>701</v>
      </c>
      <c r="C8919" t="s">
        <v>874</v>
      </c>
      <c r="D8919" t="s">
        <v>14</v>
      </c>
      <c r="E8919">
        <v>6</v>
      </c>
      <c r="F8919" s="2">
        <f>DATE(2026,IF(Tabla1[[#This Row],[Mes de Fecha]]="Septiembre",9,10),Tabla1[[#This Row],[Día de Fecha]])</f>
        <v>46301</v>
      </c>
      <c r="G8919">
        <v>1004673313</v>
      </c>
      <c r="H8919" t="s">
        <v>702</v>
      </c>
      <c r="I8919">
        <v>63</v>
      </c>
      <c r="J8919">
        <v>0</v>
      </c>
      <c r="K8919" s="1">
        <v>4766137</v>
      </c>
    </row>
    <row r="8920" spans="1:11" x14ac:dyDescent="0.25">
      <c r="A8920" t="s">
        <v>326</v>
      </c>
      <c r="B8920" t="s">
        <v>701</v>
      </c>
      <c r="C8920" t="s">
        <v>874</v>
      </c>
      <c r="D8920" t="s">
        <v>14</v>
      </c>
      <c r="E8920">
        <v>6</v>
      </c>
      <c r="F8920" s="2">
        <f>DATE(2026,IF(Tabla1[[#This Row],[Mes de Fecha]]="Septiembre",9,10),Tabla1[[#This Row],[Día de Fecha]])</f>
        <v>46301</v>
      </c>
      <c r="G8920">
        <v>1085902274</v>
      </c>
      <c r="H8920" t="s">
        <v>703</v>
      </c>
      <c r="I8920">
        <v>41</v>
      </c>
      <c r="J8920">
        <v>0</v>
      </c>
      <c r="K8920" s="1">
        <v>2630551</v>
      </c>
    </row>
    <row r="8921" spans="1:11" x14ac:dyDescent="0.25">
      <c r="A8921" t="s">
        <v>326</v>
      </c>
      <c r="B8921" t="s">
        <v>701</v>
      </c>
      <c r="C8921" t="s">
        <v>874</v>
      </c>
      <c r="D8921" t="s">
        <v>14</v>
      </c>
      <c r="E8921">
        <v>7</v>
      </c>
      <c r="F8921" s="2">
        <f>DATE(2026,IF(Tabla1[[#This Row],[Mes de Fecha]]="Septiembre",9,10),Tabla1[[#This Row],[Día de Fecha]])</f>
        <v>46302</v>
      </c>
      <c r="I8921">
        <v>0</v>
      </c>
      <c r="J8921" s="1">
        <v>5459212</v>
      </c>
      <c r="K8921">
        <v>0</v>
      </c>
    </row>
    <row r="8922" spans="1:11" x14ac:dyDescent="0.25">
      <c r="A8922" t="s">
        <v>326</v>
      </c>
      <c r="B8922" t="s">
        <v>701</v>
      </c>
      <c r="C8922" t="s">
        <v>874</v>
      </c>
      <c r="D8922" t="s">
        <v>14</v>
      </c>
      <c r="E8922">
        <v>7</v>
      </c>
      <c r="F8922" s="2">
        <f>DATE(2026,IF(Tabla1[[#This Row],[Mes de Fecha]]="Septiembre",9,10),Tabla1[[#This Row],[Día de Fecha]])</f>
        <v>46302</v>
      </c>
      <c r="G8922">
        <v>1004549931</v>
      </c>
      <c r="H8922" t="s">
        <v>709</v>
      </c>
      <c r="I8922">
        <v>-1</v>
      </c>
      <c r="J8922">
        <v>0</v>
      </c>
      <c r="K8922" s="1">
        <v>-126008</v>
      </c>
    </row>
    <row r="8923" spans="1:11" x14ac:dyDescent="0.25">
      <c r="A8923" t="s">
        <v>326</v>
      </c>
      <c r="B8923" t="s">
        <v>701</v>
      </c>
      <c r="C8923" t="s">
        <v>874</v>
      </c>
      <c r="D8923" t="s">
        <v>14</v>
      </c>
      <c r="E8923">
        <v>7</v>
      </c>
      <c r="F8923" s="2">
        <f>DATE(2026,IF(Tabla1[[#This Row],[Mes de Fecha]]="Septiembre",9,10),Tabla1[[#This Row],[Día de Fecha]])</f>
        <v>46302</v>
      </c>
      <c r="G8923">
        <v>1004673313</v>
      </c>
      <c r="H8923" t="s">
        <v>702</v>
      </c>
      <c r="I8923">
        <v>76</v>
      </c>
      <c r="J8923">
        <v>0</v>
      </c>
      <c r="K8923" s="1">
        <v>4983745</v>
      </c>
    </row>
    <row r="8924" spans="1:11" x14ac:dyDescent="0.25">
      <c r="A8924" t="s">
        <v>326</v>
      </c>
      <c r="B8924" t="s">
        <v>701</v>
      </c>
      <c r="C8924" t="s">
        <v>874</v>
      </c>
      <c r="D8924" t="s">
        <v>14</v>
      </c>
      <c r="E8924">
        <v>7</v>
      </c>
      <c r="F8924" s="2">
        <f>DATE(2026,IF(Tabla1[[#This Row],[Mes de Fecha]]="Septiembre",9,10),Tabla1[[#This Row],[Día de Fecha]])</f>
        <v>46302</v>
      </c>
      <c r="G8924">
        <v>1085902274</v>
      </c>
      <c r="H8924" t="s">
        <v>703</v>
      </c>
      <c r="I8924">
        <v>48</v>
      </c>
      <c r="J8924">
        <v>0</v>
      </c>
      <c r="K8924" s="1">
        <v>3312860</v>
      </c>
    </row>
    <row r="8925" spans="1:11" x14ac:dyDescent="0.25">
      <c r="A8925" t="s">
        <v>326</v>
      </c>
      <c r="B8925" t="s">
        <v>701</v>
      </c>
      <c r="C8925" t="s">
        <v>874</v>
      </c>
      <c r="D8925" t="s">
        <v>14</v>
      </c>
      <c r="E8925">
        <v>7</v>
      </c>
      <c r="F8925" s="2">
        <f>DATE(2026,IF(Tabla1[[#This Row],[Mes de Fecha]]="Septiembre",9,10),Tabla1[[#This Row],[Día de Fecha]])</f>
        <v>46302</v>
      </c>
      <c r="G8925">
        <v>1085920020</v>
      </c>
      <c r="H8925" t="s">
        <v>708</v>
      </c>
      <c r="I8925">
        <v>-2</v>
      </c>
      <c r="J8925">
        <v>0</v>
      </c>
      <c r="K8925" s="1">
        <v>-67059</v>
      </c>
    </row>
    <row r="8926" spans="1:11" x14ac:dyDescent="0.25">
      <c r="A8926" t="s">
        <v>326</v>
      </c>
      <c r="B8926" t="s">
        <v>789</v>
      </c>
      <c r="C8926" t="s">
        <v>874</v>
      </c>
      <c r="D8926" t="s">
        <v>11</v>
      </c>
      <c r="E8926">
        <v>23</v>
      </c>
      <c r="F8926" s="2">
        <f>DATE(2026,IF(Tabla1[[#This Row],[Mes de Fecha]]="Septiembre",9,10),Tabla1[[#This Row],[Día de Fecha]])</f>
        <v>46288</v>
      </c>
      <c r="I8926">
        <v>0</v>
      </c>
      <c r="J8926" s="1">
        <v>7443732</v>
      </c>
      <c r="K8926">
        <v>0</v>
      </c>
    </row>
    <row r="8927" spans="1:11" x14ac:dyDescent="0.25">
      <c r="A8927" t="s">
        <v>326</v>
      </c>
      <c r="B8927" t="s">
        <v>789</v>
      </c>
      <c r="C8927" t="s">
        <v>874</v>
      </c>
      <c r="D8927" t="s">
        <v>11</v>
      </c>
      <c r="E8927">
        <v>23</v>
      </c>
      <c r="F8927" s="2">
        <f>DATE(2026,IF(Tabla1[[#This Row],[Mes de Fecha]]="Septiembre",9,10),Tabla1[[#This Row],[Día de Fecha]])</f>
        <v>46288</v>
      </c>
      <c r="G8927">
        <v>1004549931</v>
      </c>
      <c r="H8927" t="s">
        <v>709</v>
      </c>
      <c r="I8927">
        <v>121</v>
      </c>
      <c r="J8927">
        <v>0</v>
      </c>
      <c r="K8927" s="1">
        <v>7082354</v>
      </c>
    </row>
    <row r="8928" spans="1:11" x14ac:dyDescent="0.25">
      <c r="A8928" t="s">
        <v>326</v>
      </c>
      <c r="B8928" t="s">
        <v>789</v>
      </c>
      <c r="C8928" t="s">
        <v>874</v>
      </c>
      <c r="D8928" t="s">
        <v>11</v>
      </c>
      <c r="E8928">
        <v>23</v>
      </c>
      <c r="F8928" s="2">
        <f>DATE(2026,IF(Tabla1[[#This Row],[Mes de Fecha]]="Septiembre",9,10),Tabla1[[#This Row],[Día de Fecha]])</f>
        <v>46288</v>
      </c>
      <c r="G8928">
        <v>1085948134</v>
      </c>
      <c r="H8928" t="s">
        <v>704</v>
      </c>
      <c r="I8928">
        <v>111</v>
      </c>
      <c r="J8928">
        <v>0</v>
      </c>
      <c r="K8928" s="1">
        <v>6234037</v>
      </c>
    </row>
    <row r="8929" spans="1:11" x14ac:dyDescent="0.25">
      <c r="A8929" t="s">
        <v>326</v>
      </c>
      <c r="B8929" t="s">
        <v>789</v>
      </c>
      <c r="C8929" t="s">
        <v>874</v>
      </c>
      <c r="D8929" t="s">
        <v>11</v>
      </c>
      <c r="E8929">
        <v>24</v>
      </c>
      <c r="F8929" s="2">
        <f>DATE(2026,IF(Tabla1[[#This Row],[Mes de Fecha]]="Septiembre",9,10),Tabla1[[#This Row],[Día de Fecha]])</f>
        <v>46289</v>
      </c>
      <c r="I8929">
        <v>0</v>
      </c>
      <c r="J8929" s="1">
        <v>11371135</v>
      </c>
      <c r="K8929">
        <v>0</v>
      </c>
    </row>
    <row r="8930" spans="1:11" x14ac:dyDescent="0.25">
      <c r="A8930" t="s">
        <v>326</v>
      </c>
      <c r="B8930" t="s">
        <v>789</v>
      </c>
      <c r="C8930" t="s">
        <v>874</v>
      </c>
      <c r="D8930" t="s">
        <v>11</v>
      </c>
      <c r="E8930">
        <v>24</v>
      </c>
      <c r="F8930" s="2">
        <f>DATE(2026,IF(Tabla1[[#This Row],[Mes de Fecha]]="Septiembre",9,10),Tabla1[[#This Row],[Día de Fecha]])</f>
        <v>46289</v>
      </c>
      <c r="G8930">
        <v>1004549931</v>
      </c>
      <c r="H8930" t="s">
        <v>709</v>
      </c>
      <c r="I8930">
        <v>105</v>
      </c>
      <c r="J8930">
        <v>0</v>
      </c>
      <c r="K8930" s="1">
        <v>5658996</v>
      </c>
    </row>
    <row r="8931" spans="1:11" x14ac:dyDescent="0.25">
      <c r="A8931" t="s">
        <v>326</v>
      </c>
      <c r="B8931" t="s">
        <v>789</v>
      </c>
      <c r="C8931" t="s">
        <v>874</v>
      </c>
      <c r="D8931" t="s">
        <v>11</v>
      </c>
      <c r="E8931">
        <v>24</v>
      </c>
      <c r="F8931" s="2">
        <f>DATE(2026,IF(Tabla1[[#This Row],[Mes de Fecha]]="Septiembre",9,10),Tabla1[[#This Row],[Día de Fecha]])</f>
        <v>46289</v>
      </c>
      <c r="G8931">
        <v>1065204635</v>
      </c>
      <c r="H8931" t="s">
        <v>790</v>
      </c>
      <c r="I8931">
        <v>35</v>
      </c>
      <c r="J8931">
        <v>0</v>
      </c>
      <c r="K8931" s="1">
        <v>2011010</v>
      </c>
    </row>
    <row r="8932" spans="1:11" x14ac:dyDescent="0.25">
      <c r="A8932" t="s">
        <v>326</v>
      </c>
      <c r="B8932" t="s">
        <v>789</v>
      </c>
      <c r="C8932" t="s">
        <v>874</v>
      </c>
      <c r="D8932" t="s">
        <v>11</v>
      </c>
      <c r="E8932">
        <v>24</v>
      </c>
      <c r="F8932" s="2">
        <f>DATE(2026,IF(Tabla1[[#This Row],[Mes de Fecha]]="Septiembre",9,10),Tabla1[[#This Row],[Día de Fecha]])</f>
        <v>46289</v>
      </c>
      <c r="G8932">
        <v>1085938010</v>
      </c>
      <c r="H8932" t="s">
        <v>791</v>
      </c>
      <c r="I8932">
        <v>11</v>
      </c>
      <c r="J8932">
        <v>0</v>
      </c>
      <c r="K8932" s="1">
        <v>566639</v>
      </c>
    </row>
    <row r="8933" spans="1:11" x14ac:dyDescent="0.25">
      <c r="A8933" t="s">
        <v>326</v>
      </c>
      <c r="B8933" t="s">
        <v>789</v>
      </c>
      <c r="C8933" t="s">
        <v>874</v>
      </c>
      <c r="D8933" t="s">
        <v>11</v>
      </c>
      <c r="E8933">
        <v>24</v>
      </c>
      <c r="F8933" s="2">
        <f>DATE(2026,IF(Tabla1[[#This Row],[Mes de Fecha]]="Septiembre",9,10),Tabla1[[#This Row],[Día de Fecha]])</f>
        <v>46289</v>
      </c>
      <c r="G8933">
        <v>1085948134</v>
      </c>
      <c r="H8933" t="s">
        <v>704</v>
      </c>
      <c r="I8933">
        <v>105</v>
      </c>
      <c r="J8933">
        <v>0</v>
      </c>
      <c r="K8933" s="1">
        <v>5111598</v>
      </c>
    </row>
    <row r="8934" spans="1:11" x14ac:dyDescent="0.25">
      <c r="A8934" t="s">
        <v>326</v>
      </c>
      <c r="B8934" t="s">
        <v>789</v>
      </c>
      <c r="C8934" t="s">
        <v>874</v>
      </c>
      <c r="D8934" t="s">
        <v>11</v>
      </c>
      <c r="E8934">
        <v>24</v>
      </c>
      <c r="F8934" s="2">
        <f>DATE(2026,IF(Tabla1[[#This Row],[Mes de Fecha]]="Septiembre",9,10),Tabla1[[#This Row],[Día de Fecha]])</f>
        <v>46289</v>
      </c>
      <c r="G8934">
        <v>1085950418</v>
      </c>
      <c r="H8934" t="s">
        <v>792</v>
      </c>
      <c r="I8934">
        <v>20</v>
      </c>
      <c r="J8934">
        <v>0</v>
      </c>
      <c r="K8934" s="1">
        <v>1085212</v>
      </c>
    </row>
    <row r="8935" spans="1:11" x14ac:dyDescent="0.25">
      <c r="A8935" t="s">
        <v>326</v>
      </c>
      <c r="B8935" t="s">
        <v>789</v>
      </c>
      <c r="C8935" t="s">
        <v>874</v>
      </c>
      <c r="D8935" t="s">
        <v>11</v>
      </c>
      <c r="E8935">
        <v>25</v>
      </c>
      <c r="F8935" s="2">
        <f>DATE(2026,IF(Tabla1[[#This Row],[Mes de Fecha]]="Septiembre",9,10),Tabla1[[#This Row],[Día de Fecha]])</f>
        <v>46290</v>
      </c>
      <c r="I8935">
        <v>0</v>
      </c>
      <c r="J8935" s="1">
        <v>11345963</v>
      </c>
      <c r="K8935">
        <v>0</v>
      </c>
    </row>
    <row r="8936" spans="1:11" x14ac:dyDescent="0.25">
      <c r="A8936" t="s">
        <v>326</v>
      </c>
      <c r="B8936" t="s">
        <v>789</v>
      </c>
      <c r="C8936" t="s">
        <v>874</v>
      </c>
      <c r="D8936" t="s">
        <v>11</v>
      </c>
      <c r="E8936">
        <v>25</v>
      </c>
      <c r="F8936" s="2">
        <f>DATE(2026,IF(Tabla1[[#This Row],[Mes de Fecha]]="Septiembre",9,10),Tabla1[[#This Row],[Día de Fecha]])</f>
        <v>46290</v>
      </c>
      <c r="G8936">
        <v>1004549931</v>
      </c>
      <c r="H8936" t="s">
        <v>709</v>
      </c>
      <c r="I8936">
        <v>76</v>
      </c>
      <c r="J8936">
        <v>0</v>
      </c>
      <c r="K8936" s="1">
        <v>4441936</v>
      </c>
    </row>
    <row r="8937" spans="1:11" x14ac:dyDescent="0.25">
      <c r="A8937" t="s">
        <v>326</v>
      </c>
      <c r="B8937" t="s">
        <v>789</v>
      </c>
      <c r="C8937" t="s">
        <v>874</v>
      </c>
      <c r="D8937" t="s">
        <v>11</v>
      </c>
      <c r="E8937">
        <v>25</v>
      </c>
      <c r="F8937" s="2">
        <f>DATE(2026,IF(Tabla1[[#This Row],[Mes de Fecha]]="Septiembre",9,10),Tabla1[[#This Row],[Día de Fecha]])</f>
        <v>46290</v>
      </c>
      <c r="G8937">
        <v>1065204635</v>
      </c>
      <c r="H8937" t="s">
        <v>790</v>
      </c>
      <c r="I8937">
        <v>45</v>
      </c>
      <c r="J8937">
        <v>0</v>
      </c>
      <c r="K8937" s="1">
        <v>2405632</v>
      </c>
    </row>
    <row r="8938" spans="1:11" x14ac:dyDescent="0.25">
      <c r="A8938" t="s">
        <v>326</v>
      </c>
      <c r="B8938" t="s">
        <v>789</v>
      </c>
      <c r="C8938" t="s">
        <v>874</v>
      </c>
      <c r="D8938" t="s">
        <v>11</v>
      </c>
      <c r="E8938">
        <v>25</v>
      </c>
      <c r="F8938" s="2">
        <f>DATE(2026,IF(Tabla1[[#This Row],[Mes de Fecha]]="Septiembre",9,10),Tabla1[[#This Row],[Día de Fecha]])</f>
        <v>46290</v>
      </c>
      <c r="G8938">
        <v>1085938010</v>
      </c>
      <c r="H8938" t="s">
        <v>791</v>
      </c>
      <c r="I8938">
        <v>12</v>
      </c>
      <c r="J8938">
        <v>0</v>
      </c>
      <c r="K8938" s="1">
        <v>608698</v>
      </c>
    </row>
    <row r="8939" spans="1:11" x14ac:dyDescent="0.25">
      <c r="A8939" t="s">
        <v>326</v>
      </c>
      <c r="B8939" t="s">
        <v>789</v>
      </c>
      <c r="C8939" t="s">
        <v>874</v>
      </c>
      <c r="D8939" t="s">
        <v>11</v>
      </c>
      <c r="E8939">
        <v>25</v>
      </c>
      <c r="F8939" s="2">
        <f>DATE(2026,IF(Tabla1[[#This Row],[Mes de Fecha]]="Septiembre",9,10),Tabla1[[#This Row],[Día de Fecha]])</f>
        <v>46290</v>
      </c>
      <c r="G8939">
        <v>1085948134</v>
      </c>
      <c r="H8939" t="s">
        <v>704</v>
      </c>
      <c r="I8939">
        <v>84</v>
      </c>
      <c r="J8939">
        <v>0</v>
      </c>
      <c r="K8939" s="1">
        <v>3886101</v>
      </c>
    </row>
    <row r="8940" spans="1:11" x14ac:dyDescent="0.25">
      <c r="A8940" t="s">
        <v>326</v>
      </c>
      <c r="B8940" t="s">
        <v>789</v>
      </c>
      <c r="C8940" t="s">
        <v>874</v>
      </c>
      <c r="D8940" t="s">
        <v>11</v>
      </c>
      <c r="E8940">
        <v>25</v>
      </c>
      <c r="F8940" s="2">
        <f>DATE(2026,IF(Tabla1[[#This Row],[Mes de Fecha]]="Septiembre",9,10),Tabla1[[#This Row],[Día de Fecha]])</f>
        <v>46290</v>
      </c>
      <c r="G8940">
        <v>1085950418</v>
      </c>
      <c r="H8940" t="s">
        <v>792</v>
      </c>
      <c r="I8940">
        <v>23</v>
      </c>
      <c r="J8940">
        <v>0</v>
      </c>
      <c r="K8940" s="1">
        <v>1763743</v>
      </c>
    </row>
    <row r="8941" spans="1:11" x14ac:dyDescent="0.25">
      <c r="A8941" t="s">
        <v>326</v>
      </c>
      <c r="B8941" t="s">
        <v>789</v>
      </c>
      <c r="C8941" t="s">
        <v>874</v>
      </c>
      <c r="D8941" t="s">
        <v>11</v>
      </c>
      <c r="E8941">
        <v>26</v>
      </c>
      <c r="F8941" s="2">
        <f>DATE(2026,IF(Tabla1[[#This Row],[Mes de Fecha]]="Septiembre",9,10),Tabla1[[#This Row],[Día de Fecha]])</f>
        <v>46291</v>
      </c>
      <c r="I8941">
        <v>0</v>
      </c>
      <c r="J8941" s="1">
        <v>16305780</v>
      </c>
      <c r="K8941">
        <v>0</v>
      </c>
    </row>
    <row r="8942" spans="1:11" x14ac:dyDescent="0.25">
      <c r="A8942" t="s">
        <v>326</v>
      </c>
      <c r="B8942" t="s">
        <v>789</v>
      </c>
      <c r="C8942" t="s">
        <v>874</v>
      </c>
      <c r="D8942" t="s">
        <v>11</v>
      </c>
      <c r="E8942">
        <v>26</v>
      </c>
      <c r="F8942" s="2">
        <f>DATE(2026,IF(Tabla1[[#This Row],[Mes de Fecha]]="Septiembre",9,10),Tabla1[[#This Row],[Día de Fecha]])</f>
        <v>46291</v>
      </c>
      <c r="G8942">
        <v>1004549931</v>
      </c>
      <c r="H8942" t="s">
        <v>709</v>
      </c>
      <c r="I8942">
        <v>88</v>
      </c>
      <c r="J8942">
        <v>0</v>
      </c>
      <c r="K8942" s="1">
        <v>6126304</v>
      </c>
    </row>
    <row r="8943" spans="1:11" x14ac:dyDescent="0.25">
      <c r="A8943" t="s">
        <v>326</v>
      </c>
      <c r="B8943" t="s">
        <v>789</v>
      </c>
      <c r="C8943" t="s">
        <v>874</v>
      </c>
      <c r="D8943" t="s">
        <v>11</v>
      </c>
      <c r="E8943">
        <v>26</v>
      </c>
      <c r="F8943" s="2">
        <f>DATE(2026,IF(Tabla1[[#This Row],[Mes de Fecha]]="Septiembre",9,10),Tabla1[[#This Row],[Día de Fecha]])</f>
        <v>46291</v>
      </c>
      <c r="G8943">
        <v>1065204635</v>
      </c>
      <c r="H8943" t="s">
        <v>790</v>
      </c>
      <c r="I8943">
        <v>22</v>
      </c>
      <c r="J8943">
        <v>0</v>
      </c>
      <c r="K8943" s="1">
        <v>1253237</v>
      </c>
    </row>
    <row r="8944" spans="1:11" x14ac:dyDescent="0.25">
      <c r="A8944" t="s">
        <v>326</v>
      </c>
      <c r="B8944" t="s">
        <v>789</v>
      </c>
      <c r="C8944" t="s">
        <v>874</v>
      </c>
      <c r="D8944" t="s">
        <v>11</v>
      </c>
      <c r="E8944">
        <v>26</v>
      </c>
      <c r="F8944" s="2">
        <f>DATE(2026,IF(Tabla1[[#This Row],[Mes de Fecha]]="Septiembre",9,10),Tabla1[[#This Row],[Día de Fecha]])</f>
        <v>46291</v>
      </c>
      <c r="G8944">
        <v>1085902274</v>
      </c>
      <c r="H8944" t="s">
        <v>703</v>
      </c>
      <c r="I8944">
        <v>-1</v>
      </c>
      <c r="J8944">
        <v>0</v>
      </c>
      <c r="K8944" s="1">
        <v>-138614</v>
      </c>
    </row>
    <row r="8945" spans="1:11" x14ac:dyDescent="0.25">
      <c r="A8945" t="s">
        <v>326</v>
      </c>
      <c r="B8945" t="s">
        <v>789</v>
      </c>
      <c r="C8945" t="s">
        <v>874</v>
      </c>
      <c r="D8945" t="s">
        <v>11</v>
      </c>
      <c r="E8945">
        <v>26</v>
      </c>
      <c r="F8945" s="2">
        <f>DATE(2026,IF(Tabla1[[#This Row],[Mes de Fecha]]="Septiembre",9,10),Tabla1[[#This Row],[Día de Fecha]])</f>
        <v>46291</v>
      </c>
      <c r="G8945">
        <v>1085938010</v>
      </c>
      <c r="H8945" t="s">
        <v>791</v>
      </c>
      <c r="I8945">
        <v>12</v>
      </c>
      <c r="J8945">
        <v>0</v>
      </c>
      <c r="K8945" s="1">
        <v>1001514</v>
      </c>
    </row>
    <row r="8946" spans="1:11" x14ac:dyDescent="0.25">
      <c r="A8946" t="s">
        <v>326</v>
      </c>
      <c r="B8946" t="s">
        <v>789</v>
      </c>
      <c r="C8946" t="s">
        <v>874</v>
      </c>
      <c r="D8946" t="s">
        <v>11</v>
      </c>
      <c r="E8946">
        <v>26</v>
      </c>
      <c r="F8946" s="2">
        <f>DATE(2026,IF(Tabla1[[#This Row],[Mes de Fecha]]="Septiembre",9,10),Tabla1[[#This Row],[Día de Fecha]])</f>
        <v>46291</v>
      </c>
      <c r="G8946">
        <v>1085948134</v>
      </c>
      <c r="H8946" t="s">
        <v>704</v>
      </c>
      <c r="I8946">
        <v>98</v>
      </c>
      <c r="J8946">
        <v>0</v>
      </c>
      <c r="K8946" s="1">
        <v>6062739</v>
      </c>
    </row>
    <row r="8947" spans="1:11" x14ac:dyDescent="0.25">
      <c r="A8947" t="s">
        <v>326</v>
      </c>
      <c r="B8947" t="s">
        <v>789</v>
      </c>
      <c r="C8947" t="s">
        <v>874</v>
      </c>
      <c r="D8947" t="s">
        <v>11</v>
      </c>
      <c r="E8947">
        <v>26</v>
      </c>
      <c r="F8947" s="2">
        <f>DATE(2026,IF(Tabla1[[#This Row],[Mes de Fecha]]="Septiembre",9,10),Tabla1[[#This Row],[Día de Fecha]])</f>
        <v>46291</v>
      </c>
      <c r="G8947">
        <v>1085950418</v>
      </c>
      <c r="H8947" t="s">
        <v>792</v>
      </c>
      <c r="I8947">
        <v>18</v>
      </c>
      <c r="J8947">
        <v>0</v>
      </c>
      <c r="K8947" s="1">
        <v>1121052</v>
      </c>
    </row>
    <row r="8948" spans="1:11" x14ac:dyDescent="0.25">
      <c r="A8948" t="s">
        <v>326</v>
      </c>
      <c r="B8948" t="s">
        <v>789</v>
      </c>
      <c r="C8948" t="s">
        <v>874</v>
      </c>
      <c r="D8948" t="s">
        <v>11</v>
      </c>
      <c r="E8948">
        <v>27</v>
      </c>
      <c r="F8948" s="2">
        <f>DATE(2026,IF(Tabla1[[#This Row],[Mes de Fecha]]="Septiembre",9,10),Tabla1[[#This Row],[Día de Fecha]])</f>
        <v>46292</v>
      </c>
      <c r="I8948">
        <v>0</v>
      </c>
      <c r="J8948" s="1">
        <v>12917459</v>
      </c>
      <c r="K8948">
        <v>0</v>
      </c>
    </row>
    <row r="8949" spans="1:11" x14ac:dyDescent="0.25">
      <c r="A8949" t="s">
        <v>326</v>
      </c>
      <c r="B8949" t="s">
        <v>789</v>
      </c>
      <c r="C8949" t="s">
        <v>874</v>
      </c>
      <c r="D8949" t="s">
        <v>11</v>
      </c>
      <c r="E8949">
        <v>27</v>
      </c>
      <c r="F8949" s="2">
        <f>DATE(2026,IF(Tabla1[[#This Row],[Mes de Fecha]]="Septiembre",9,10),Tabla1[[#This Row],[Día de Fecha]])</f>
        <v>46292</v>
      </c>
      <c r="G8949">
        <v>1004549931</v>
      </c>
      <c r="H8949" t="s">
        <v>709</v>
      </c>
      <c r="I8949">
        <v>31</v>
      </c>
      <c r="J8949">
        <v>0</v>
      </c>
      <c r="K8949" s="1">
        <v>2160338</v>
      </c>
    </row>
    <row r="8950" spans="1:11" x14ac:dyDescent="0.25">
      <c r="A8950" t="s">
        <v>326</v>
      </c>
      <c r="B8950" t="s">
        <v>789</v>
      </c>
      <c r="C8950" t="s">
        <v>874</v>
      </c>
      <c r="D8950" t="s">
        <v>11</v>
      </c>
      <c r="E8950">
        <v>27</v>
      </c>
      <c r="F8950" s="2">
        <f>DATE(2026,IF(Tabla1[[#This Row],[Mes de Fecha]]="Septiembre",9,10),Tabla1[[#This Row],[Día de Fecha]])</f>
        <v>46292</v>
      </c>
      <c r="G8950">
        <v>1004726971</v>
      </c>
      <c r="H8950" t="s">
        <v>706</v>
      </c>
      <c r="I8950">
        <v>-2</v>
      </c>
      <c r="J8950">
        <v>0</v>
      </c>
      <c r="K8950" s="1">
        <v>-188992</v>
      </c>
    </row>
    <row r="8951" spans="1:11" x14ac:dyDescent="0.25">
      <c r="A8951" t="s">
        <v>326</v>
      </c>
      <c r="B8951" t="s">
        <v>789</v>
      </c>
      <c r="C8951" t="s">
        <v>874</v>
      </c>
      <c r="D8951" t="s">
        <v>11</v>
      </c>
      <c r="E8951">
        <v>27</v>
      </c>
      <c r="F8951" s="2">
        <f>DATE(2026,IF(Tabla1[[#This Row],[Mes de Fecha]]="Septiembre",9,10),Tabla1[[#This Row],[Día de Fecha]])</f>
        <v>46292</v>
      </c>
      <c r="G8951">
        <v>1065204635</v>
      </c>
      <c r="H8951" t="s">
        <v>790</v>
      </c>
      <c r="I8951">
        <v>29</v>
      </c>
      <c r="J8951">
        <v>0</v>
      </c>
      <c r="K8951" s="1">
        <v>2179331</v>
      </c>
    </row>
    <row r="8952" spans="1:11" x14ac:dyDescent="0.25">
      <c r="A8952" t="s">
        <v>326</v>
      </c>
      <c r="B8952" t="s">
        <v>789</v>
      </c>
      <c r="C8952" t="s">
        <v>874</v>
      </c>
      <c r="D8952" t="s">
        <v>11</v>
      </c>
      <c r="E8952">
        <v>27</v>
      </c>
      <c r="F8952" s="2">
        <f>DATE(2026,IF(Tabla1[[#This Row],[Mes de Fecha]]="Septiembre",9,10),Tabla1[[#This Row],[Día de Fecha]])</f>
        <v>46292</v>
      </c>
      <c r="G8952">
        <v>1085920020</v>
      </c>
      <c r="H8952" t="s">
        <v>708</v>
      </c>
      <c r="I8952">
        <v>-1</v>
      </c>
      <c r="J8952">
        <v>0</v>
      </c>
      <c r="K8952" s="1">
        <v>-50378</v>
      </c>
    </row>
    <row r="8953" spans="1:11" x14ac:dyDescent="0.25">
      <c r="A8953" t="s">
        <v>326</v>
      </c>
      <c r="B8953" t="s">
        <v>789</v>
      </c>
      <c r="C8953" t="s">
        <v>874</v>
      </c>
      <c r="D8953" t="s">
        <v>11</v>
      </c>
      <c r="E8953">
        <v>27</v>
      </c>
      <c r="F8953" s="2">
        <f>DATE(2026,IF(Tabla1[[#This Row],[Mes de Fecha]]="Septiembre",9,10),Tabla1[[#This Row],[Día de Fecha]])</f>
        <v>46292</v>
      </c>
      <c r="G8953">
        <v>1085948134</v>
      </c>
      <c r="H8953" t="s">
        <v>704</v>
      </c>
      <c r="I8953">
        <v>29</v>
      </c>
      <c r="J8953">
        <v>0</v>
      </c>
      <c r="K8953" s="1">
        <v>2210886</v>
      </c>
    </row>
    <row r="8954" spans="1:11" x14ac:dyDescent="0.25">
      <c r="A8954" t="s">
        <v>326</v>
      </c>
      <c r="B8954" t="s">
        <v>789</v>
      </c>
      <c r="C8954" t="s">
        <v>874</v>
      </c>
      <c r="D8954" t="s">
        <v>11</v>
      </c>
      <c r="E8954">
        <v>28</v>
      </c>
      <c r="F8954" s="2">
        <f>DATE(2026,IF(Tabla1[[#This Row],[Mes de Fecha]]="Septiembre",9,10),Tabla1[[#This Row],[Día de Fecha]])</f>
        <v>46293</v>
      </c>
      <c r="I8954">
        <v>0</v>
      </c>
      <c r="J8954" s="1">
        <v>7273104</v>
      </c>
      <c r="K8954">
        <v>0</v>
      </c>
    </row>
    <row r="8955" spans="1:11" x14ac:dyDescent="0.25">
      <c r="A8955" t="s">
        <v>326</v>
      </c>
      <c r="B8955" t="s">
        <v>789</v>
      </c>
      <c r="C8955" t="s">
        <v>874</v>
      </c>
      <c r="D8955" t="s">
        <v>11</v>
      </c>
      <c r="E8955">
        <v>28</v>
      </c>
      <c r="F8955" s="2">
        <f>DATE(2026,IF(Tabla1[[#This Row],[Mes de Fecha]]="Septiembre",9,10),Tabla1[[#This Row],[Día de Fecha]])</f>
        <v>46293</v>
      </c>
      <c r="G8955">
        <v>1004549931</v>
      </c>
      <c r="H8955" t="s">
        <v>709</v>
      </c>
      <c r="I8955">
        <v>40</v>
      </c>
      <c r="J8955">
        <v>0</v>
      </c>
      <c r="K8955" s="1">
        <v>2882650</v>
      </c>
    </row>
    <row r="8956" spans="1:11" x14ac:dyDescent="0.25">
      <c r="A8956" t="s">
        <v>326</v>
      </c>
      <c r="B8956" t="s">
        <v>789</v>
      </c>
      <c r="C8956" t="s">
        <v>874</v>
      </c>
      <c r="D8956" t="s">
        <v>11</v>
      </c>
      <c r="E8956">
        <v>28</v>
      </c>
      <c r="F8956" s="2">
        <f>DATE(2026,IF(Tabla1[[#This Row],[Mes de Fecha]]="Septiembre",9,10),Tabla1[[#This Row],[Día de Fecha]])</f>
        <v>46293</v>
      </c>
      <c r="G8956">
        <v>1085938010</v>
      </c>
      <c r="H8956" t="s">
        <v>791</v>
      </c>
      <c r="I8956">
        <v>8</v>
      </c>
      <c r="J8956">
        <v>0</v>
      </c>
      <c r="K8956" s="1">
        <v>537437</v>
      </c>
    </row>
    <row r="8957" spans="1:11" x14ac:dyDescent="0.25">
      <c r="A8957" t="s">
        <v>326</v>
      </c>
      <c r="B8957" t="s">
        <v>789</v>
      </c>
      <c r="C8957" t="s">
        <v>874</v>
      </c>
      <c r="D8957" t="s">
        <v>11</v>
      </c>
      <c r="E8957">
        <v>28</v>
      </c>
      <c r="F8957" s="2">
        <f>DATE(2026,IF(Tabla1[[#This Row],[Mes de Fecha]]="Septiembre",9,10),Tabla1[[#This Row],[Día de Fecha]])</f>
        <v>46293</v>
      </c>
      <c r="G8957">
        <v>1085948134</v>
      </c>
      <c r="H8957" t="s">
        <v>704</v>
      </c>
      <c r="I8957">
        <v>52</v>
      </c>
      <c r="J8957">
        <v>0</v>
      </c>
      <c r="K8957" s="1">
        <v>3535421</v>
      </c>
    </row>
    <row r="8958" spans="1:11" x14ac:dyDescent="0.25">
      <c r="A8958" t="s">
        <v>326</v>
      </c>
      <c r="B8958" t="s">
        <v>789</v>
      </c>
      <c r="C8958" t="s">
        <v>874</v>
      </c>
      <c r="D8958" t="s">
        <v>11</v>
      </c>
      <c r="E8958">
        <v>28</v>
      </c>
      <c r="F8958" s="2">
        <f>DATE(2026,IF(Tabla1[[#This Row],[Mes de Fecha]]="Septiembre",9,10),Tabla1[[#This Row],[Día de Fecha]])</f>
        <v>46293</v>
      </c>
      <c r="G8958">
        <v>1085950418</v>
      </c>
      <c r="H8958" t="s">
        <v>792</v>
      </c>
      <c r="I8958">
        <v>15</v>
      </c>
      <c r="J8958">
        <v>0</v>
      </c>
      <c r="K8958" s="1">
        <v>1096009</v>
      </c>
    </row>
    <row r="8959" spans="1:11" x14ac:dyDescent="0.25">
      <c r="A8959" t="s">
        <v>326</v>
      </c>
      <c r="B8959" t="s">
        <v>789</v>
      </c>
      <c r="C8959" t="s">
        <v>874</v>
      </c>
      <c r="D8959" t="s">
        <v>11</v>
      </c>
      <c r="E8959">
        <v>29</v>
      </c>
      <c r="F8959" s="2">
        <f>DATE(2026,IF(Tabla1[[#This Row],[Mes de Fecha]]="Septiembre",9,10),Tabla1[[#This Row],[Día de Fecha]])</f>
        <v>46294</v>
      </c>
      <c r="I8959">
        <v>0</v>
      </c>
      <c r="J8959" s="1">
        <v>7430194</v>
      </c>
      <c r="K8959">
        <v>0</v>
      </c>
    </row>
    <row r="8960" spans="1:11" x14ac:dyDescent="0.25">
      <c r="A8960" t="s">
        <v>326</v>
      </c>
      <c r="B8960" t="s">
        <v>789</v>
      </c>
      <c r="C8960" t="s">
        <v>874</v>
      </c>
      <c r="D8960" t="s">
        <v>11</v>
      </c>
      <c r="E8960">
        <v>29</v>
      </c>
      <c r="F8960" s="2">
        <f>DATE(2026,IF(Tabla1[[#This Row],[Mes de Fecha]]="Septiembre",9,10),Tabla1[[#This Row],[Día de Fecha]])</f>
        <v>46294</v>
      </c>
      <c r="G8960">
        <v>1004549931</v>
      </c>
      <c r="H8960" t="s">
        <v>709</v>
      </c>
      <c r="I8960">
        <v>39</v>
      </c>
      <c r="J8960">
        <v>0</v>
      </c>
      <c r="K8960" s="1">
        <v>2281640</v>
      </c>
    </row>
    <row r="8961" spans="1:11" x14ac:dyDescent="0.25">
      <c r="A8961" t="s">
        <v>326</v>
      </c>
      <c r="B8961" t="s">
        <v>789</v>
      </c>
      <c r="C8961" t="s">
        <v>874</v>
      </c>
      <c r="D8961" t="s">
        <v>11</v>
      </c>
      <c r="E8961">
        <v>29</v>
      </c>
      <c r="F8961" s="2">
        <f>DATE(2026,IF(Tabla1[[#This Row],[Mes de Fecha]]="Septiembre",9,10),Tabla1[[#This Row],[Día de Fecha]])</f>
        <v>46294</v>
      </c>
      <c r="G8961">
        <v>1065204635</v>
      </c>
      <c r="H8961" t="s">
        <v>790</v>
      </c>
      <c r="I8961">
        <v>23</v>
      </c>
      <c r="J8961">
        <v>0</v>
      </c>
      <c r="K8961" s="1">
        <v>1475882</v>
      </c>
    </row>
    <row r="8962" spans="1:11" x14ac:dyDescent="0.25">
      <c r="A8962" t="s">
        <v>326</v>
      </c>
      <c r="B8962" t="s">
        <v>789</v>
      </c>
      <c r="C8962" t="s">
        <v>874</v>
      </c>
      <c r="D8962" t="s">
        <v>11</v>
      </c>
      <c r="E8962">
        <v>29</v>
      </c>
      <c r="F8962" s="2">
        <f>DATE(2026,IF(Tabla1[[#This Row],[Mes de Fecha]]="Septiembre",9,10),Tabla1[[#This Row],[Día de Fecha]])</f>
        <v>46294</v>
      </c>
      <c r="G8962">
        <v>1085938010</v>
      </c>
      <c r="H8962" t="s">
        <v>791</v>
      </c>
      <c r="I8962">
        <v>13</v>
      </c>
      <c r="J8962">
        <v>0</v>
      </c>
      <c r="K8962" s="1">
        <v>759663</v>
      </c>
    </row>
    <row r="8963" spans="1:11" x14ac:dyDescent="0.25">
      <c r="A8963" t="s">
        <v>326</v>
      </c>
      <c r="B8963" t="s">
        <v>789</v>
      </c>
      <c r="C8963" t="s">
        <v>874</v>
      </c>
      <c r="D8963" t="s">
        <v>11</v>
      </c>
      <c r="E8963">
        <v>29</v>
      </c>
      <c r="F8963" s="2">
        <f>DATE(2026,IF(Tabla1[[#This Row],[Mes de Fecha]]="Septiembre",9,10),Tabla1[[#This Row],[Día de Fecha]])</f>
        <v>46294</v>
      </c>
      <c r="G8963">
        <v>1085948134</v>
      </c>
      <c r="H8963" t="s">
        <v>704</v>
      </c>
      <c r="I8963">
        <v>31</v>
      </c>
      <c r="J8963">
        <v>0</v>
      </c>
      <c r="K8963" s="1">
        <v>1746473</v>
      </c>
    </row>
    <row r="8964" spans="1:11" x14ac:dyDescent="0.25">
      <c r="A8964" t="s">
        <v>326</v>
      </c>
      <c r="B8964" t="s">
        <v>789</v>
      </c>
      <c r="C8964" t="s">
        <v>874</v>
      </c>
      <c r="D8964" t="s">
        <v>11</v>
      </c>
      <c r="E8964">
        <v>29</v>
      </c>
      <c r="F8964" s="2">
        <f>DATE(2026,IF(Tabla1[[#This Row],[Mes de Fecha]]="Septiembre",9,10),Tabla1[[#This Row],[Día de Fecha]])</f>
        <v>46294</v>
      </c>
      <c r="G8964">
        <v>1085950418</v>
      </c>
      <c r="H8964" t="s">
        <v>792</v>
      </c>
      <c r="I8964">
        <v>22</v>
      </c>
      <c r="J8964">
        <v>0</v>
      </c>
      <c r="K8964" s="1">
        <v>1509498</v>
      </c>
    </row>
    <row r="8965" spans="1:11" x14ac:dyDescent="0.25">
      <c r="A8965" t="s">
        <v>326</v>
      </c>
      <c r="B8965" t="s">
        <v>789</v>
      </c>
      <c r="C8965" t="s">
        <v>874</v>
      </c>
      <c r="D8965" t="s">
        <v>11</v>
      </c>
      <c r="E8965">
        <v>30</v>
      </c>
      <c r="F8965" s="2">
        <f>DATE(2026,IF(Tabla1[[#This Row],[Mes de Fecha]]="Septiembre",9,10),Tabla1[[#This Row],[Día de Fecha]])</f>
        <v>46295</v>
      </c>
      <c r="I8965">
        <v>0</v>
      </c>
      <c r="J8965" s="1">
        <v>7844799</v>
      </c>
      <c r="K8965">
        <v>0</v>
      </c>
    </row>
    <row r="8966" spans="1:11" x14ac:dyDescent="0.25">
      <c r="A8966" t="s">
        <v>326</v>
      </c>
      <c r="B8966" t="s">
        <v>789</v>
      </c>
      <c r="C8966" t="s">
        <v>874</v>
      </c>
      <c r="D8966" t="s">
        <v>11</v>
      </c>
      <c r="E8966">
        <v>30</v>
      </c>
      <c r="F8966" s="2">
        <f>DATE(2026,IF(Tabla1[[#This Row],[Mes de Fecha]]="Septiembre",9,10),Tabla1[[#This Row],[Día de Fecha]])</f>
        <v>46295</v>
      </c>
      <c r="G8966">
        <v>1004549931</v>
      </c>
      <c r="H8966" t="s">
        <v>709</v>
      </c>
      <c r="I8966">
        <v>35</v>
      </c>
      <c r="J8966">
        <v>0</v>
      </c>
      <c r="K8966" s="1">
        <v>2376430</v>
      </c>
    </row>
    <row r="8967" spans="1:11" x14ac:dyDescent="0.25">
      <c r="A8967" t="s">
        <v>326</v>
      </c>
      <c r="B8967" t="s">
        <v>789</v>
      </c>
      <c r="C8967" t="s">
        <v>874</v>
      </c>
      <c r="D8967" t="s">
        <v>11</v>
      </c>
      <c r="E8967">
        <v>30</v>
      </c>
      <c r="F8967" s="2">
        <f>DATE(2026,IF(Tabla1[[#This Row],[Mes de Fecha]]="Septiembre",9,10),Tabla1[[#This Row],[Día de Fecha]])</f>
        <v>46295</v>
      </c>
      <c r="G8967">
        <v>1065204635</v>
      </c>
      <c r="H8967" t="s">
        <v>790</v>
      </c>
      <c r="I8967">
        <v>30</v>
      </c>
      <c r="J8967">
        <v>0</v>
      </c>
      <c r="K8967" s="1">
        <v>1851513</v>
      </c>
    </row>
    <row r="8968" spans="1:11" x14ac:dyDescent="0.25">
      <c r="A8968" t="s">
        <v>326</v>
      </c>
      <c r="B8968" t="s">
        <v>789</v>
      </c>
      <c r="C8968" t="s">
        <v>874</v>
      </c>
      <c r="D8968" t="s">
        <v>11</v>
      </c>
      <c r="E8968">
        <v>30</v>
      </c>
      <c r="F8968" s="2">
        <f>DATE(2026,IF(Tabla1[[#This Row],[Mes de Fecha]]="Septiembre",9,10),Tabla1[[#This Row],[Día de Fecha]])</f>
        <v>46295</v>
      </c>
      <c r="G8968">
        <v>1085938010</v>
      </c>
      <c r="H8968" t="s">
        <v>791</v>
      </c>
      <c r="I8968">
        <v>16</v>
      </c>
      <c r="J8968">
        <v>0</v>
      </c>
      <c r="K8968" s="1">
        <v>1074919</v>
      </c>
    </row>
    <row r="8969" spans="1:11" x14ac:dyDescent="0.25">
      <c r="A8969" t="s">
        <v>326</v>
      </c>
      <c r="B8969" t="s">
        <v>789</v>
      </c>
      <c r="C8969" t="s">
        <v>874</v>
      </c>
      <c r="D8969" t="s">
        <v>11</v>
      </c>
      <c r="E8969">
        <v>30</v>
      </c>
      <c r="F8969" s="2">
        <f>DATE(2026,IF(Tabla1[[#This Row],[Mes de Fecha]]="Septiembre",9,10),Tabla1[[#This Row],[Día de Fecha]])</f>
        <v>46295</v>
      </c>
      <c r="G8969">
        <v>1085948134</v>
      </c>
      <c r="H8969" t="s">
        <v>704</v>
      </c>
      <c r="I8969">
        <v>33</v>
      </c>
      <c r="J8969">
        <v>0</v>
      </c>
      <c r="K8969" s="1">
        <v>2590966</v>
      </c>
    </row>
    <row r="8970" spans="1:11" x14ac:dyDescent="0.25">
      <c r="A8970" t="s">
        <v>326</v>
      </c>
      <c r="B8970" t="s">
        <v>789</v>
      </c>
      <c r="C8970" t="s">
        <v>874</v>
      </c>
      <c r="D8970" t="s">
        <v>11</v>
      </c>
      <c r="E8970">
        <v>30</v>
      </c>
      <c r="F8970" s="2">
        <f>DATE(2026,IF(Tabla1[[#This Row],[Mes de Fecha]]="Septiembre",9,10),Tabla1[[#This Row],[Día de Fecha]])</f>
        <v>46295</v>
      </c>
      <c r="G8970">
        <v>1085950418</v>
      </c>
      <c r="H8970" t="s">
        <v>792</v>
      </c>
      <c r="I8970">
        <v>23</v>
      </c>
      <c r="J8970">
        <v>0</v>
      </c>
      <c r="K8970" s="1">
        <v>1570379</v>
      </c>
    </row>
    <row r="8971" spans="1:11" x14ac:dyDescent="0.25">
      <c r="A8971" t="s">
        <v>326</v>
      </c>
      <c r="B8971" t="s">
        <v>789</v>
      </c>
      <c r="C8971" t="s">
        <v>874</v>
      </c>
      <c r="D8971" t="s">
        <v>14</v>
      </c>
      <c r="E8971">
        <v>1</v>
      </c>
      <c r="F8971" s="2">
        <f>DATE(2026,IF(Tabla1[[#This Row],[Mes de Fecha]]="Septiembre",9,10),Tabla1[[#This Row],[Día de Fecha]])</f>
        <v>46296</v>
      </c>
      <c r="I8971">
        <v>0</v>
      </c>
      <c r="J8971" s="1">
        <v>5908541</v>
      </c>
      <c r="K8971">
        <v>0</v>
      </c>
    </row>
    <row r="8972" spans="1:11" x14ac:dyDescent="0.25">
      <c r="A8972" t="s">
        <v>326</v>
      </c>
      <c r="B8972" t="s">
        <v>789</v>
      </c>
      <c r="C8972" t="s">
        <v>874</v>
      </c>
      <c r="D8972" t="s">
        <v>14</v>
      </c>
      <c r="E8972">
        <v>1</v>
      </c>
      <c r="F8972" s="2">
        <f>DATE(2026,IF(Tabla1[[#This Row],[Mes de Fecha]]="Septiembre",9,10),Tabla1[[#This Row],[Día de Fecha]])</f>
        <v>46296</v>
      </c>
      <c r="G8972">
        <v>1004549931</v>
      </c>
      <c r="H8972" t="s">
        <v>709</v>
      </c>
      <c r="I8972">
        <v>50</v>
      </c>
      <c r="J8972">
        <v>0</v>
      </c>
      <c r="K8972" s="1">
        <v>2903110</v>
      </c>
    </row>
    <row r="8973" spans="1:11" x14ac:dyDescent="0.25">
      <c r="A8973" t="s">
        <v>326</v>
      </c>
      <c r="B8973" t="s">
        <v>789</v>
      </c>
      <c r="C8973" t="s">
        <v>874</v>
      </c>
      <c r="D8973" t="s">
        <v>14</v>
      </c>
      <c r="E8973">
        <v>1</v>
      </c>
      <c r="F8973" s="2">
        <f>DATE(2026,IF(Tabla1[[#This Row],[Mes de Fecha]]="Septiembre",9,10),Tabla1[[#This Row],[Día de Fecha]])</f>
        <v>46296</v>
      </c>
      <c r="G8973">
        <v>1065204635</v>
      </c>
      <c r="H8973" t="s">
        <v>790</v>
      </c>
      <c r="I8973">
        <v>19</v>
      </c>
      <c r="J8973">
        <v>0</v>
      </c>
      <c r="K8973" s="1">
        <v>1169326</v>
      </c>
    </row>
    <row r="8974" spans="1:11" x14ac:dyDescent="0.25">
      <c r="A8974" t="s">
        <v>326</v>
      </c>
      <c r="B8974" t="s">
        <v>789</v>
      </c>
      <c r="C8974" t="s">
        <v>874</v>
      </c>
      <c r="D8974" t="s">
        <v>14</v>
      </c>
      <c r="E8974">
        <v>1</v>
      </c>
      <c r="F8974" s="2">
        <f>DATE(2026,IF(Tabla1[[#This Row],[Mes de Fecha]]="Septiembre",9,10),Tabla1[[#This Row],[Día de Fecha]])</f>
        <v>46296</v>
      </c>
      <c r="G8974">
        <v>1085938010</v>
      </c>
      <c r="H8974" t="s">
        <v>791</v>
      </c>
      <c r="I8974">
        <v>17</v>
      </c>
      <c r="J8974">
        <v>0</v>
      </c>
      <c r="K8974" s="1">
        <v>1087521</v>
      </c>
    </row>
    <row r="8975" spans="1:11" x14ac:dyDescent="0.25">
      <c r="A8975" t="s">
        <v>326</v>
      </c>
      <c r="B8975" t="s">
        <v>789</v>
      </c>
      <c r="C8975" t="s">
        <v>874</v>
      </c>
      <c r="D8975" t="s">
        <v>14</v>
      </c>
      <c r="E8975">
        <v>1</v>
      </c>
      <c r="F8975" s="2">
        <f>DATE(2026,IF(Tabla1[[#This Row],[Mes de Fecha]]="Septiembre",9,10),Tabla1[[#This Row],[Día de Fecha]])</f>
        <v>46296</v>
      </c>
      <c r="G8975">
        <v>1085948134</v>
      </c>
      <c r="H8975" t="s">
        <v>704</v>
      </c>
      <c r="I8975">
        <v>58</v>
      </c>
      <c r="J8975">
        <v>0</v>
      </c>
      <c r="K8975" s="1">
        <v>4043240</v>
      </c>
    </row>
    <row r="8976" spans="1:11" x14ac:dyDescent="0.25">
      <c r="A8976" t="s">
        <v>326</v>
      </c>
      <c r="B8976" t="s">
        <v>789</v>
      </c>
      <c r="C8976" t="s">
        <v>874</v>
      </c>
      <c r="D8976" t="s">
        <v>14</v>
      </c>
      <c r="E8976">
        <v>1</v>
      </c>
      <c r="F8976" s="2">
        <f>DATE(2026,IF(Tabla1[[#This Row],[Mes de Fecha]]="Septiembre",9,10),Tabla1[[#This Row],[Día de Fecha]])</f>
        <v>46296</v>
      </c>
      <c r="G8976">
        <v>1085950418</v>
      </c>
      <c r="H8976" t="s">
        <v>792</v>
      </c>
      <c r="I8976">
        <v>10</v>
      </c>
      <c r="J8976">
        <v>0</v>
      </c>
      <c r="K8976" s="1">
        <v>684371</v>
      </c>
    </row>
    <row r="8977" spans="1:11" x14ac:dyDescent="0.25">
      <c r="A8977" t="s">
        <v>326</v>
      </c>
      <c r="B8977" t="s">
        <v>789</v>
      </c>
      <c r="C8977" t="s">
        <v>874</v>
      </c>
      <c r="D8977" t="s">
        <v>14</v>
      </c>
      <c r="E8977">
        <v>2</v>
      </c>
      <c r="F8977" s="2">
        <f>DATE(2026,IF(Tabla1[[#This Row],[Mes de Fecha]]="Septiembre",9,10),Tabla1[[#This Row],[Día de Fecha]])</f>
        <v>46297</v>
      </c>
      <c r="I8977">
        <v>0</v>
      </c>
      <c r="J8977" s="1">
        <v>8075490</v>
      </c>
      <c r="K8977">
        <v>0</v>
      </c>
    </row>
    <row r="8978" spans="1:11" x14ac:dyDescent="0.25">
      <c r="A8978" t="s">
        <v>326</v>
      </c>
      <c r="B8978" t="s">
        <v>789</v>
      </c>
      <c r="C8978" t="s">
        <v>874</v>
      </c>
      <c r="D8978" t="s">
        <v>14</v>
      </c>
      <c r="E8978">
        <v>2</v>
      </c>
      <c r="F8978" s="2">
        <f>DATE(2026,IF(Tabla1[[#This Row],[Mes de Fecha]]="Septiembre",9,10),Tabla1[[#This Row],[Día de Fecha]])</f>
        <v>46297</v>
      </c>
      <c r="G8978">
        <v>1004549931</v>
      </c>
      <c r="H8978" t="s">
        <v>709</v>
      </c>
      <c r="I8978">
        <v>46</v>
      </c>
      <c r="J8978">
        <v>0</v>
      </c>
      <c r="K8978" s="1">
        <v>2960129</v>
      </c>
    </row>
    <row r="8979" spans="1:11" x14ac:dyDescent="0.25">
      <c r="A8979" t="s">
        <v>326</v>
      </c>
      <c r="B8979" t="s">
        <v>789</v>
      </c>
      <c r="C8979" t="s">
        <v>874</v>
      </c>
      <c r="D8979" t="s">
        <v>14</v>
      </c>
      <c r="E8979">
        <v>2</v>
      </c>
      <c r="F8979" s="2">
        <f>DATE(2026,IF(Tabla1[[#This Row],[Mes de Fecha]]="Septiembre",9,10),Tabla1[[#This Row],[Día de Fecha]])</f>
        <v>46297</v>
      </c>
      <c r="G8979">
        <v>1065204635</v>
      </c>
      <c r="H8979" t="s">
        <v>790</v>
      </c>
      <c r="I8979">
        <v>9</v>
      </c>
      <c r="J8979">
        <v>0</v>
      </c>
      <c r="K8979" s="1">
        <v>533194</v>
      </c>
    </row>
    <row r="8980" spans="1:11" x14ac:dyDescent="0.25">
      <c r="A8980" t="s">
        <v>326</v>
      </c>
      <c r="B8980" t="s">
        <v>789</v>
      </c>
      <c r="C8980" t="s">
        <v>874</v>
      </c>
      <c r="D8980" t="s">
        <v>14</v>
      </c>
      <c r="E8980">
        <v>2</v>
      </c>
      <c r="F8980" s="2">
        <f>DATE(2026,IF(Tabla1[[#This Row],[Mes de Fecha]]="Septiembre",9,10),Tabla1[[#This Row],[Día de Fecha]])</f>
        <v>46297</v>
      </c>
      <c r="G8980">
        <v>1085938010</v>
      </c>
      <c r="H8980" t="s">
        <v>791</v>
      </c>
      <c r="I8980">
        <v>12</v>
      </c>
      <c r="J8980">
        <v>0</v>
      </c>
      <c r="K8980" s="1">
        <v>738992</v>
      </c>
    </row>
    <row r="8981" spans="1:11" x14ac:dyDescent="0.25">
      <c r="A8981" t="s">
        <v>326</v>
      </c>
      <c r="B8981" t="s">
        <v>789</v>
      </c>
      <c r="C8981" t="s">
        <v>874</v>
      </c>
      <c r="D8981" t="s">
        <v>14</v>
      </c>
      <c r="E8981">
        <v>2</v>
      </c>
      <c r="F8981" s="2">
        <f>DATE(2026,IF(Tabla1[[#This Row],[Mes de Fecha]]="Septiembre",9,10),Tabla1[[#This Row],[Día de Fecha]])</f>
        <v>46297</v>
      </c>
      <c r="G8981">
        <v>1085948134</v>
      </c>
      <c r="H8981" t="s">
        <v>704</v>
      </c>
      <c r="I8981">
        <v>34</v>
      </c>
      <c r="J8981">
        <v>0</v>
      </c>
      <c r="K8981" s="1">
        <v>2334539</v>
      </c>
    </row>
    <row r="8982" spans="1:11" x14ac:dyDescent="0.25">
      <c r="A8982" t="s">
        <v>326</v>
      </c>
      <c r="B8982" t="s">
        <v>789</v>
      </c>
      <c r="C8982" t="s">
        <v>874</v>
      </c>
      <c r="D8982" t="s">
        <v>14</v>
      </c>
      <c r="E8982">
        <v>2</v>
      </c>
      <c r="F8982" s="2">
        <f>DATE(2026,IF(Tabla1[[#This Row],[Mes de Fecha]]="Septiembre",9,10),Tabla1[[#This Row],[Día de Fecha]])</f>
        <v>46297</v>
      </c>
      <c r="G8982">
        <v>1085950418</v>
      </c>
      <c r="H8982" t="s">
        <v>792</v>
      </c>
      <c r="I8982">
        <v>17</v>
      </c>
      <c r="J8982">
        <v>0</v>
      </c>
      <c r="K8982" s="1">
        <v>1230337</v>
      </c>
    </row>
    <row r="8983" spans="1:11" x14ac:dyDescent="0.25">
      <c r="A8983" t="s">
        <v>326</v>
      </c>
      <c r="B8983" t="s">
        <v>789</v>
      </c>
      <c r="C8983" t="s">
        <v>874</v>
      </c>
      <c r="D8983" t="s">
        <v>14</v>
      </c>
      <c r="E8983">
        <v>3</v>
      </c>
      <c r="F8983" s="2">
        <f>DATE(2026,IF(Tabla1[[#This Row],[Mes de Fecha]]="Septiembre",9,10),Tabla1[[#This Row],[Día de Fecha]])</f>
        <v>46298</v>
      </c>
      <c r="I8983">
        <v>0</v>
      </c>
      <c r="J8983" s="1">
        <v>10667817</v>
      </c>
      <c r="K8983">
        <v>0</v>
      </c>
    </row>
    <row r="8984" spans="1:11" x14ac:dyDescent="0.25">
      <c r="A8984" t="s">
        <v>326</v>
      </c>
      <c r="B8984" t="s">
        <v>789</v>
      </c>
      <c r="C8984" t="s">
        <v>874</v>
      </c>
      <c r="D8984" t="s">
        <v>14</v>
      </c>
      <c r="E8984">
        <v>3</v>
      </c>
      <c r="F8984" s="2">
        <f>DATE(2026,IF(Tabla1[[#This Row],[Mes de Fecha]]="Septiembre",9,10),Tabla1[[#This Row],[Día de Fecha]])</f>
        <v>46298</v>
      </c>
      <c r="G8984">
        <v>1004549931</v>
      </c>
      <c r="H8984" t="s">
        <v>709</v>
      </c>
      <c r="I8984">
        <v>79</v>
      </c>
      <c r="J8984">
        <v>0</v>
      </c>
      <c r="K8984" s="1">
        <v>5230860</v>
      </c>
    </row>
    <row r="8985" spans="1:11" x14ac:dyDescent="0.25">
      <c r="A8985" t="s">
        <v>326</v>
      </c>
      <c r="B8985" t="s">
        <v>789</v>
      </c>
      <c r="C8985" t="s">
        <v>874</v>
      </c>
      <c r="D8985" t="s">
        <v>14</v>
      </c>
      <c r="E8985">
        <v>3</v>
      </c>
      <c r="F8985" s="2">
        <f>DATE(2026,IF(Tabla1[[#This Row],[Mes de Fecha]]="Septiembre",9,10),Tabla1[[#This Row],[Día de Fecha]])</f>
        <v>46298</v>
      </c>
      <c r="G8985">
        <v>1065204635</v>
      </c>
      <c r="H8985" t="s">
        <v>790</v>
      </c>
      <c r="I8985">
        <v>61</v>
      </c>
      <c r="J8985">
        <v>0</v>
      </c>
      <c r="K8985" s="1">
        <v>3819759</v>
      </c>
    </row>
    <row r="8986" spans="1:11" x14ac:dyDescent="0.25">
      <c r="A8986" t="s">
        <v>326</v>
      </c>
      <c r="B8986" t="s">
        <v>789</v>
      </c>
      <c r="C8986" t="s">
        <v>874</v>
      </c>
      <c r="D8986" t="s">
        <v>14</v>
      </c>
      <c r="E8986">
        <v>3</v>
      </c>
      <c r="F8986" s="2">
        <f>DATE(2026,IF(Tabla1[[#This Row],[Mes de Fecha]]="Septiembre",9,10),Tabla1[[#This Row],[Día de Fecha]])</f>
        <v>46298</v>
      </c>
      <c r="G8986">
        <v>1085948134</v>
      </c>
      <c r="H8986" t="s">
        <v>704</v>
      </c>
      <c r="I8986">
        <v>75</v>
      </c>
      <c r="J8986">
        <v>0</v>
      </c>
      <c r="K8986" s="1">
        <v>4916055</v>
      </c>
    </row>
    <row r="8987" spans="1:11" x14ac:dyDescent="0.25">
      <c r="A8987" t="s">
        <v>326</v>
      </c>
      <c r="B8987" t="s">
        <v>789</v>
      </c>
      <c r="C8987" t="s">
        <v>874</v>
      </c>
      <c r="D8987" t="s">
        <v>14</v>
      </c>
      <c r="E8987">
        <v>3</v>
      </c>
      <c r="F8987" s="2">
        <f>DATE(2026,IF(Tabla1[[#This Row],[Mes de Fecha]]="Septiembre",9,10),Tabla1[[#This Row],[Día de Fecha]])</f>
        <v>46298</v>
      </c>
      <c r="G8987">
        <v>1085950418</v>
      </c>
      <c r="H8987" t="s">
        <v>792</v>
      </c>
      <c r="I8987">
        <v>27</v>
      </c>
      <c r="J8987">
        <v>0</v>
      </c>
      <c r="K8987" s="1">
        <v>1876649</v>
      </c>
    </row>
    <row r="8988" spans="1:11" x14ac:dyDescent="0.25">
      <c r="A8988" t="s">
        <v>326</v>
      </c>
      <c r="B8988" t="s">
        <v>789</v>
      </c>
      <c r="C8988" t="s">
        <v>874</v>
      </c>
      <c r="D8988" t="s">
        <v>14</v>
      </c>
      <c r="E8988">
        <v>4</v>
      </c>
      <c r="F8988" s="2">
        <f>DATE(2026,IF(Tabla1[[#This Row],[Mes de Fecha]]="Septiembre",9,10),Tabla1[[#This Row],[Día de Fecha]])</f>
        <v>46299</v>
      </c>
      <c r="I8988">
        <v>0</v>
      </c>
      <c r="J8988" s="1">
        <v>3164313</v>
      </c>
      <c r="K8988">
        <v>0</v>
      </c>
    </row>
    <row r="8989" spans="1:11" x14ac:dyDescent="0.25">
      <c r="A8989" t="s">
        <v>326</v>
      </c>
      <c r="B8989" t="s">
        <v>789</v>
      </c>
      <c r="C8989" t="s">
        <v>874</v>
      </c>
      <c r="D8989" t="s">
        <v>14</v>
      </c>
      <c r="E8989">
        <v>4</v>
      </c>
      <c r="F8989" s="2">
        <f>DATE(2026,IF(Tabla1[[#This Row],[Mes de Fecha]]="Septiembre",9,10),Tabla1[[#This Row],[Día de Fecha]])</f>
        <v>46299</v>
      </c>
      <c r="G8989">
        <v>1004549931</v>
      </c>
      <c r="H8989" t="s">
        <v>709</v>
      </c>
      <c r="I8989">
        <v>32</v>
      </c>
      <c r="J8989">
        <v>0</v>
      </c>
      <c r="K8989" s="1">
        <v>2267525</v>
      </c>
    </row>
    <row r="8990" spans="1:11" x14ac:dyDescent="0.25">
      <c r="A8990" t="s">
        <v>326</v>
      </c>
      <c r="B8990" t="s">
        <v>789</v>
      </c>
      <c r="C8990" t="s">
        <v>874</v>
      </c>
      <c r="D8990" t="s">
        <v>14</v>
      </c>
      <c r="E8990">
        <v>4</v>
      </c>
      <c r="F8990" s="2">
        <f>DATE(2026,IF(Tabla1[[#This Row],[Mes de Fecha]]="Septiembre",9,10),Tabla1[[#This Row],[Día de Fecha]])</f>
        <v>46299</v>
      </c>
      <c r="G8990">
        <v>1065204635</v>
      </c>
      <c r="H8990" t="s">
        <v>790</v>
      </c>
      <c r="I8990">
        <v>17</v>
      </c>
      <c r="J8990">
        <v>0</v>
      </c>
      <c r="K8990" s="1">
        <v>1129539</v>
      </c>
    </row>
    <row r="8991" spans="1:11" x14ac:dyDescent="0.25">
      <c r="A8991" t="s">
        <v>326</v>
      </c>
      <c r="B8991" t="s">
        <v>789</v>
      </c>
      <c r="C8991" t="s">
        <v>874</v>
      </c>
      <c r="D8991" t="s">
        <v>14</v>
      </c>
      <c r="E8991">
        <v>4</v>
      </c>
      <c r="F8991" s="2">
        <f>DATE(2026,IF(Tabla1[[#This Row],[Mes de Fecha]]="Septiembre",9,10),Tabla1[[#This Row],[Día de Fecha]])</f>
        <v>46299</v>
      </c>
      <c r="G8991">
        <v>1085948134</v>
      </c>
      <c r="H8991" t="s">
        <v>704</v>
      </c>
      <c r="I8991">
        <v>21</v>
      </c>
      <c r="J8991">
        <v>0</v>
      </c>
      <c r="K8991" s="1">
        <v>1314034</v>
      </c>
    </row>
    <row r="8992" spans="1:11" x14ac:dyDescent="0.25">
      <c r="A8992" t="s">
        <v>326</v>
      </c>
      <c r="B8992" t="s">
        <v>789</v>
      </c>
      <c r="C8992" t="s">
        <v>874</v>
      </c>
      <c r="D8992" t="s">
        <v>14</v>
      </c>
      <c r="E8992">
        <v>5</v>
      </c>
      <c r="F8992" s="2">
        <f>DATE(2026,IF(Tabla1[[#This Row],[Mes de Fecha]]="Septiembre",9,10),Tabla1[[#This Row],[Día de Fecha]])</f>
        <v>46300</v>
      </c>
      <c r="I8992">
        <v>0</v>
      </c>
      <c r="J8992" s="1">
        <v>6079222</v>
      </c>
      <c r="K8992">
        <v>0</v>
      </c>
    </row>
    <row r="8993" spans="1:11" x14ac:dyDescent="0.25">
      <c r="A8993" t="s">
        <v>326</v>
      </c>
      <c r="B8993" t="s">
        <v>789</v>
      </c>
      <c r="C8993" t="s">
        <v>874</v>
      </c>
      <c r="D8993" t="s">
        <v>14</v>
      </c>
      <c r="E8993">
        <v>5</v>
      </c>
      <c r="F8993" s="2">
        <f>DATE(2026,IF(Tabla1[[#This Row],[Mes de Fecha]]="Septiembre",9,10),Tabla1[[#This Row],[Día de Fecha]])</f>
        <v>46300</v>
      </c>
      <c r="G8993">
        <v>1004549931</v>
      </c>
      <c r="H8993" t="s">
        <v>709</v>
      </c>
      <c r="I8993">
        <v>19</v>
      </c>
      <c r="J8993">
        <v>0</v>
      </c>
      <c r="K8993" s="1">
        <v>1322689</v>
      </c>
    </row>
    <row r="8994" spans="1:11" x14ac:dyDescent="0.25">
      <c r="A8994" t="s">
        <v>326</v>
      </c>
      <c r="B8994" t="s">
        <v>789</v>
      </c>
      <c r="C8994" t="s">
        <v>874</v>
      </c>
      <c r="D8994" t="s">
        <v>14</v>
      </c>
      <c r="E8994">
        <v>5</v>
      </c>
      <c r="F8994" s="2">
        <f>DATE(2026,IF(Tabla1[[#This Row],[Mes de Fecha]]="Septiembre",9,10),Tabla1[[#This Row],[Día de Fecha]])</f>
        <v>46300</v>
      </c>
      <c r="G8994">
        <v>1065204635</v>
      </c>
      <c r="H8994" t="s">
        <v>790</v>
      </c>
      <c r="I8994">
        <v>26</v>
      </c>
      <c r="J8994">
        <v>0</v>
      </c>
      <c r="K8994" s="1">
        <v>1889665</v>
      </c>
    </row>
    <row r="8995" spans="1:11" x14ac:dyDescent="0.25">
      <c r="A8995" t="s">
        <v>326</v>
      </c>
      <c r="B8995" t="s">
        <v>789</v>
      </c>
      <c r="C8995" t="s">
        <v>874</v>
      </c>
      <c r="D8995" t="s">
        <v>14</v>
      </c>
      <c r="E8995">
        <v>5</v>
      </c>
      <c r="F8995" s="2">
        <f>DATE(2026,IF(Tabla1[[#This Row],[Mes de Fecha]]="Septiembre",9,10),Tabla1[[#This Row],[Día de Fecha]])</f>
        <v>46300</v>
      </c>
      <c r="G8995">
        <v>1085948134</v>
      </c>
      <c r="H8995" t="s">
        <v>704</v>
      </c>
      <c r="I8995">
        <v>55</v>
      </c>
      <c r="J8995">
        <v>0</v>
      </c>
      <c r="K8995" s="1">
        <v>3882019</v>
      </c>
    </row>
    <row r="8996" spans="1:11" x14ac:dyDescent="0.25">
      <c r="A8996" t="s">
        <v>326</v>
      </c>
      <c r="B8996" t="s">
        <v>789</v>
      </c>
      <c r="C8996" t="s">
        <v>874</v>
      </c>
      <c r="D8996" t="s">
        <v>14</v>
      </c>
      <c r="E8996">
        <v>6</v>
      </c>
      <c r="F8996" s="2">
        <f>DATE(2026,IF(Tabla1[[#This Row],[Mes de Fecha]]="Septiembre",9,10),Tabla1[[#This Row],[Día de Fecha]])</f>
        <v>46301</v>
      </c>
      <c r="I8996">
        <v>0</v>
      </c>
      <c r="J8996" s="1">
        <v>4609134</v>
      </c>
      <c r="K8996">
        <v>0</v>
      </c>
    </row>
    <row r="8997" spans="1:11" x14ac:dyDescent="0.25">
      <c r="A8997" t="s">
        <v>326</v>
      </c>
      <c r="B8997" t="s">
        <v>789</v>
      </c>
      <c r="C8997" t="s">
        <v>874</v>
      </c>
      <c r="D8997" t="s">
        <v>14</v>
      </c>
      <c r="E8997">
        <v>6</v>
      </c>
      <c r="F8997" s="2">
        <f>DATE(2026,IF(Tabla1[[#This Row],[Mes de Fecha]]="Septiembre",9,10),Tabla1[[#This Row],[Día de Fecha]])</f>
        <v>46301</v>
      </c>
      <c r="G8997">
        <v>1004549931</v>
      </c>
      <c r="H8997" t="s">
        <v>709</v>
      </c>
      <c r="I8997">
        <v>32</v>
      </c>
      <c r="J8997">
        <v>0</v>
      </c>
      <c r="K8997" s="1">
        <v>2254918</v>
      </c>
    </row>
    <row r="8998" spans="1:11" x14ac:dyDescent="0.25">
      <c r="A8998" t="s">
        <v>326</v>
      </c>
      <c r="B8998" t="s">
        <v>789</v>
      </c>
      <c r="C8998" t="s">
        <v>874</v>
      </c>
      <c r="D8998" t="s">
        <v>14</v>
      </c>
      <c r="E8998">
        <v>6</v>
      </c>
      <c r="F8998" s="2">
        <f>DATE(2026,IF(Tabla1[[#This Row],[Mes de Fecha]]="Septiembre",9,10),Tabla1[[#This Row],[Día de Fecha]])</f>
        <v>46301</v>
      </c>
      <c r="G8998">
        <v>1065204635</v>
      </c>
      <c r="H8998" t="s">
        <v>790</v>
      </c>
      <c r="I8998">
        <v>13</v>
      </c>
      <c r="J8998">
        <v>0</v>
      </c>
      <c r="K8998" s="1">
        <v>869078</v>
      </c>
    </row>
    <row r="8999" spans="1:11" x14ac:dyDescent="0.25">
      <c r="A8999" t="s">
        <v>326</v>
      </c>
      <c r="B8999" t="s">
        <v>789</v>
      </c>
      <c r="C8999" t="s">
        <v>874</v>
      </c>
      <c r="D8999" t="s">
        <v>14</v>
      </c>
      <c r="E8999">
        <v>6</v>
      </c>
      <c r="F8999" s="2">
        <f>DATE(2026,IF(Tabla1[[#This Row],[Mes de Fecha]]="Septiembre",9,10),Tabla1[[#This Row],[Día de Fecha]])</f>
        <v>46301</v>
      </c>
      <c r="G8999">
        <v>1085948134</v>
      </c>
      <c r="H8999" t="s">
        <v>704</v>
      </c>
      <c r="I8999">
        <v>11</v>
      </c>
      <c r="J8999">
        <v>0</v>
      </c>
      <c r="K8999" s="1">
        <v>684413</v>
      </c>
    </row>
    <row r="9000" spans="1:11" x14ac:dyDescent="0.25">
      <c r="A9000" t="s">
        <v>326</v>
      </c>
      <c r="B9000" t="s">
        <v>789</v>
      </c>
      <c r="C9000" t="s">
        <v>874</v>
      </c>
      <c r="D9000" t="s">
        <v>14</v>
      </c>
      <c r="E9000">
        <v>7</v>
      </c>
      <c r="F9000" s="2">
        <f>DATE(2026,IF(Tabla1[[#This Row],[Mes de Fecha]]="Septiembre",9,10),Tabla1[[#This Row],[Día de Fecha]])</f>
        <v>46302</v>
      </c>
      <c r="I9000">
        <v>0</v>
      </c>
      <c r="J9000" s="1">
        <v>4548486</v>
      </c>
      <c r="K9000">
        <v>0</v>
      </c>
    </row>
    <row r="9001" spans="1:11" x14ac:dyDescent="0.25">
      <c r="A9001" t="s">
        <v>326</v>
      </c>
      <c r="B9001" t="s">
        <v>789</v>
      </c>
      <c r="C9001" t="s">
        <v>874</v>
      </c>
      <c r="D9001" t="s">
        <v>14</v>
      </c>
      <c r="E9001">
        <v>7</v>
      </c>
      <c r="F9001" s="2">
        <f>DATE(2026,IF(Tabla1[[#This Row],[Mes de Fecha]]="Septiembre",9,10),Tabla1[[#This Row],[Día de Fecha]])</f>
        <v>46302</v>
      </c>
      <c r="G9001">
        <v>1004549931</v>
      </c>
      <c r="H9001" t="s">
        <v>709</v>
      </c>
      <c r="I9001">
        <v>36</v>
      </c>
      <c r="J9001">
        <v>0</v>
      </c>
      <c r="K9001" s="1">
        <v>2592945</v>
      </c>
    </row>
    <row r="9002" spans="1:11" x14ac:dyDescent="0.25">
      <c r="A9002" t="s">
        <v>326</v>
      </c>
      <c r="B9002" t="s">
        <v>789</v>
      </c>
      <c r="C9002" t="s">
        <v>874</v>
      </c>
      <c r="D9002" t="s">
        <v>14</v>
      </c>
      <c r="E9002">
        <v>7</v>
      </c>
      <c r="F9002" s="2">
        <f>DATE(2026,IF(Tabla1[[#This Row],[Mes de Fecha]]="Septiembre",9,10),Tabla1[[#This Row],[Día de Fecha]])</f>
        <v>46302</v>
      </c>
      <c r="G9002">
        <v>1065204635</v>
      </c>
      <c r="H9002" t="s">
        <v>790</v>
      </c>
      <c r="I9002">
        <v>14</v>
      </c>
      <c r="J9002">
        <v>0</v>
      </c>
      <c r="K9002" s="1">
        <v>1142227</v>
      </c>
    </row>
    <row r="9003" spans="1:11" x14ac:dyDescent="0.25">
      <c r="A9003" t="s">
        <v>326</v>
      </c>
      <c r="B9003" t="s">
        <v>789</v>
      </c>
      <c r="C9003" t="s">
        <v>874</v>
      </c>
      <c r="D9003" t="s">
        <v>14</v>
      </c>
      <c r="E9003">
        <v>7</v>
      </c>
      <c r="F9003" s="2">
        <f>DATE(2026,IF(Tabla1[[#This Row],[Mes de Fecha]]="Septiembre",9,10),Tabla1[[#This Row],[Día de Fecha]])</f>
        <v>46302</v>
      </c>
      <c r="G9003">
        <v>1085902274</v>
      </c>
      <c r="H9003" t="s">
        <v>703</v>
      </c>
      <c r="I9003">
        <v>-1</v>
      </c>
      <c r="J9003">
        <v>0</v>
      </c>
      <c r="K9003" s="1">
        <v>-50378</v>
      </c>
    </row>
    <row r="9004" spans="1:11" x14ac:dyDescent="0.25">
      <c r="A9004" t="s">
        <v>326</v>
      </c>
      <c r="B9004" t="s">
        <v>789</v>
      </c>
      <c r="C9004" t="s">
        <v>874</v>
      </c>
      <c r="D9004" t="s">
        <v>14</v>
      </c>
      <c r="E9004">
        <v>7</v>
      </c>
      <c r="F9004" s="2">
        <f>DATE(2026,IF(Tabla1[[#This Row],[Mes de Fecha]]="Septiembre",9,10),Tabla1[[#This Row],[Día de Fecha]])</f>
        <v>46302</v>
      </c>
      <c r="G9004">
        <v>1085948134</v>
      </c>
      <c r="H9004" t="s">
        <v>704</v>
      </c>
      <c r="I9004">
        <v>33</v>
      </c>
      <c r="J9004">
        <v>0</v>
      </c>
      <c r="K9004" s="1">
        <v>2069917</v>
      </c>
    </row>
    <row r="9005" spans="1:11" x14ac:dyDescent="0.25">
      <c r="A9005" t="s">
        <v>326</v>
      </c>
      <c r="B9005" t="s">
        <v>805</v>
      </c>
      <c r="C9005" t="s">
        <v>874</v>
      </c>
      <c r="D9005" t="s">
        <v>11</v>
      </c>
      <c r="E9005">
        <v>23</v>
      </c>
      <c r="F9005" s="2">
        <f>DATE(2026,IF(Tabla1[[#This Row],[Mes de Fecha]]="Septiembre",9,10),Tabla1[[#This Row],[Día de Fecha]])</f>
        <v>46288</v>
      </c>
      <c r="I9005">
        <v>0</v>
      </c>
      <c r="J9005" s="1">
        <v>7800004</v>
      </c>
      <c r="K9005">
        <v>0</v>
      </c>
    </row>
    <row r="9006" spans="1:11" x14ac:dyDescent="0.25">
      <c r="A9006" t="s">
        <v>326</v>
      </c>
      <c r="B9006" t="s">
        <v>805</v>
      </c>
      <c r="C9006" t="s">
        <v>874</v>
      </c>
      <c r="D9006" t="s">
        <v>11</v>
      </c>
      <c r="E9006">
        <v>23</v>
      </c>
      <c r="F9006" s="2">
        <f>DATE(2026,IF(Tabla1[[#This Row],[Mes de Fecha]]="Septiembre",9,10),Tabla1[[#This Row],[Día de Fecha]])</f>
        <v>46288</v>
      </c>
      <c r="G9006">
        <v>1004236016</v>
      </c>
      <c r="H9006" t="s">
        <v>806</v>
      </c>
      <c r="I9006">
        <v>8</v>
      </c>
      <c r="J9006">
        <v>0</v>
      </c>
      <c r="K9006" s="1">
        <v>485377</v>
      </c>
    </row>
    <row r="9007" spans="1:11" x14ac:dyDescent="0.25">
      <c r="A9007" t="s">
        <v>326</v>
      </c>
      <c r="B9007" t="s">
        <v>805</v>
      </c>
      <c r="C9007" t="s">
        <v>874</v>
      </c>
      <c r="D9007" t="s">
        <v>11</v>
      </c>
      <c r="E9007">
        <v>23</v>
      </c>
      <c r="F9007" s="2">
        <f>DATE(2026,IF(Tabla1[[#This Row],[Mes de Fecha]]="Septiembre",9,10),Tabla1[[#This Row],[Día de Fecha]])</f>
        <v>46288</v>
      </c>
      <c r="G9007">
        <v>1055047967</v>
      </c>
      <c r="H9007" t="s">
        <v>584</v>
      </c>
      <c r="I9007">
        <v>30</v>
      </c>
      <c r="J9007">
        <v>0</v>
      </c>
      <c r="K9007" s="1">
        <v>1343278</v>
      </c>
    </row>
    <row r="9008" spans="1:11" x14ac:dyDescent="0.25">
      <c r="A9008" t="s">
        <v>326</v>
      </c>
      <c r="B9008" t="s">
        <v>805</v>
      </c>
      <c r="C9008" t="s">
        <v>874</v>
      </c>
      <c r="D9008" t="s">
        <v>11</v>
      </c>
      <c r="E9008">
        <v>23</v>
      </c>
      <c r="F9008" s="2">
        <f>DATE(2026,IF(Tabla1[[#This Row],[Mes de Fecha]]="Septiembre",9,10),Tabla1[[#This Row],[Día de Fecha]])</f>
        <v>46288</v>
      </c>
      <c r="G9008">
        <v>1082749357</v>
      </c>
      <c r="H9008" t="s">
        <v>526</v>
      </c>
      <c r="I9008">
        <v>42</v>
      </c>
      <c r="J9008">
        <v>0</v>
      </c>
      <c r="K9008" s="1">
        <v>2443572</v>
      </c>
    </row>
    <row r="9009" spans="1:11" x14ac:dyDescent="0.25">
      <c r="A9009" t="s">
        <v>326</v>
      </c>
      <c r="B9009" t="s">
        <v>805</v>
      </c>
      <c r="C9009" t="s">
        <v>874</v>
      </c>
      <c r="D9009" t="s">
        <v>11</v>
      </c>
      <c r="E9009">
        <v>23</v>
      </c>
      <c r="F9009" s="2">
        <f>DATE(2026,IF(Tabla1[[#This Row],[Mes de Fecha]]="Septiembre",9,10),Tabla1[[#This Row],[Día de Fecha]])</f>
        <v>46288</v>
      </c>
      <c r="G9009">
        <v>1085266049</v>
      </c>
      <c r="H9009" t="s">
        <v>585</v>
      </c>
      <c r="I9009">
        <v>15</v>
      </c>
      <c r="J9009">
        <v>0</v>
      </c>
      <c r="K9009" s="1">
        <v>955211</v>
      </c>
    </row>
    <row r="9010" spans="1:11" x14ac:dyDescent="0.25">
      <c r="A9010" t="s">
        <v>326</v>
      </c>
      <c r="B9010" t="s">
        <v>805</v>
      </c>
      <c r="C9010" t="s">
        <v>874</v>
      </c>
      <c r="D9010" t="s">
        <v>11</v>
      </c>
      <c r="E9010">
        <v>23</v>
      </c>
      <c r="F9010" s="2">
        <f>DATE(2026,IF(Tabla1[[#This Row],[Mes de Fecha]]="Septiembre",9,10),Tabla1[[#This Row],[Día de Fecha]])</f>
        <v>46288</v>
      </c>
      <c r="G9010">
        <v>1085290212</v>
      </c>
      <c r="H9010" t="s">
        <v>583</v>
      </c>
      <c r="I9010">
        <v>15</v>
      </c>
      <c r="J9010">
        <v>0</v>
      </c>
      <c r="K9010" s="1">
        <v>745170</v>
      </c>
    </row>
    <row r="9011" spans="1:11" x14ac:dyDescent="0.25">
      <c r="A9011" t="s">
        <v>326</v>
      </c>
      <c r="B9011" t="s">
        <v>805</v>
      </c>
      <c r="C9011" t="s">
        <v>874</v>
      </c>
      <c r="D9011" t="s">
        <v>11</v>
      </c>
      <c r="E9011">
        <v>24</v>
      </c>
      <c r="F9011" s="2">
        <f>DATE(2026,IF(Tabla1[[#This Row],[Mes de Fecha]]="Septiembre",9,10),Tabla1[[#This Row],[Día de Fecha]])</f>
        <v>46289</v>
      </c>
      <c r="I9011">
        <v>0</v>
      </c>
      <c r="J9011" s="1">
        <v>11915383</v>
      </c>
      <c r="K9011">
        <v>0</v>
      </c>
    </row>
    <row r="9012" spans="1:11" x14ac:dyDescent="0.25">
      <c r="A9012" t="s">
        <v>326</v>
      </c>
      <c r="B9012" t="s">
        <v>805</v>
      </c>
      <c r="C9012" t="s">
        <v>874</v>
      </c>
      <c r="D9012" t="s">
        <v>11</v>
      </c>
      <c r="E9012">
        <v>24</v>
      </c>
      <c r="F9012" s="2">
        <f>DATE(2026,IF(Tabla1[[#This Row],[Mes de Fecha]]="Septiembre",9,10),Tabla1[[#This Row],[Día de Fecha]])</f>
        <v>46289</v>
      </c>
      <c r="G9012">
        <v>1004236016</v>
      </c>
      <c r="H9012" t="s">
        <v>806</v>
      </c>
      <c r="I9012">
        <v>38</v>
      </c>
      <c r="J9012">
        <v>0</v>
      </c>
      <c r="K9012" s="1">
        <v>2456263</v>
      </c>
    </row>
    <row r="9013" spans="1:11" x14ac:dyDescent="0.25">
      <c r="A9013" t="s">
        <v>326</v>
      </c>
      <c r="B9013" t="s">
        <v>805</v>
      </c>
      <c r="C9013" t="s">
        <v>874</v>
      </c>
      <c r="D9013" t="s">
        <v>11</v>
      </c>
      <c r="E9013">
        <v>24</v>
      </c>
      <c r="F9013" s="2">
        <f>DATE(2026,IF(Tabla1[[#This Row],[Mes de Fecha]]="Septiembre",9,10),Tabla1[[#This Row],[Día de Fecha]])</f>
        <v>46289</v>
      </c>
      <c r="G9013">
        <v>1055047967</v>
      </c>
      <c r="H9013" t="s">
        <v>584</v>
      </c>
      <c r="I9013">
        <v>26</v>
      </c>
      <c r="J9013">
        <v>0</v>
      </c>
      <c r="K9013" s="1">
        <v>2064035</v>
      </c>
    </row>
    <row r="9014" spans="1:11" x14ac:dyDescent="0.25">
      <c r="A9014" t="s">
        <v>326</v>
      </c>
      <c r="B9014" t="s">
        <v>805</v>
      </c>
      <c r="C9014" t="s">
        <v>874</v>
      </c>
      <c r="D9014" t="s">
        <v>11</v>
      </c>
      <c r="E9014">
        <v>24</v>
      </c>
      <c r="F9014" s="2">
        <f>DATE(2026,IF(Tabla1[[#This Row],[Mes de Fecha]]="Septiembre",9,10),Tabla1[[#This Row],[Día de Fecha]])</f>
        <v>46289</v>
      </c>
      <c r="G9014">
        <v>1082749357</v>
      </c>
      <c r="H9014" t="s">
        <v>526</v>
      </c>
      <c r="I9014">
        <v>72</v>
      </c>
      <c r="J9014">
        <v>0</v>
      </c>
      <c r="K9014" s="1">
        <v>4477818</v>
      </c>
    </row>
    <row r="9015" spans="1:11" x14ac:dyDescent="0.25">
      <c r="A9015" t="s">
        <v>326</v>
      </c>
      <c r="B9015" t="s">
        <v>805</v>
      </c>
      <c r="C9015" t="s">
        <v>874</v>
      </c>
      <c r="D9015" t="s">
        <v>11</v>
      </c>
      <c r="E9015">
        <v>24</v>
      </c>
      <c r="F9015" s="2">
        <f>DATE(2026,IF(Tabla1[[#This Row],[Mes de Fecha]]="Septiembre",9,10),Tabla1[[#This Row],[Día de Fecha]])</f>
        <v>46289</v>
      </c>
      <c r="G9015">
        <v>1085266049</v>
      </c>
      <c r="H9015" t="s">
        <v>585</v>
      </c>
      <c r="I9015">
        <v>45</v>
      </c>
      <c r="J9015">
        <v>0</v>
      </c>
      <c r="K9015" s="1">
        <v>2518995</v>
      </c>
    </row>
    <row r="9016" spans="1:11" x14ac:dyDescent="0.25">
      <c r="A9016" t="s">
        <v>326</v>
      </c>
      <c r="B9016" t="s">
        <v>805</v>
      </c>
      <c r="C9016" t="s">
        <v>874</v>
      </c>
      <c r="D9016" t="s">
        <v>11</v>
      </c>
      <c r="E9016">
        <v>24</v>
      </c>
      <c r="F9016" s="2">
        <f>DATE(2026,IF(Tabla1[[#This Row],[Mes de Fecha]]="Septiembre",9,10),Tabla1[[#This Row],[Día de Fecha]])</f>
        <v>46289</v>
      </c>
      <c r="G9016">
        <v>1085290212</v>
      </c>
      <c r="H9016" t="s">
        <v>583</v>
      </c>
      <c r="I9016">
        <v>49</v>
      </c>
      <c r="J9016">
        <v>0</v>
      </c>
      <c r="K9016" s="1">
        <v>3527356</v>
      </c>
    </row>
    <row r="9017" spans="1:11" x14ac:dyDescent="0.25">
      <c r="A9017" t="s">
        <v>326</v>
      </c>
      <c r="B9017" t="s">
        <v>805</v>
      </c>
      <c r="C9017" t="s">
        <v>874</v>
      </c>
      <c r="D9017" t="s">
        <v>11</v>
      </c>
      <c r="E9017">
        <v>25</v>
      </c>
      <c r="F9017" s="2">
        <f>DATE(2026,IF(Tabla1[[#This Row],[Mes de Fecha]]="Septiembre",9,10),Tabla1[[#This Row],[Día de Fecha]])</f>
        <v>46290</v>
      </c>
      <c r="I9017">
        <v>0</v>
      </c>
      <c r="J9017" s="1">
        <v>11889005</v>
      </c>
      <c r="K9017">
        <v>0</v>
      </c>
    </row>
    <row r="9018" spans="1:11" x14ac:dyDescent="0.25">
      <c r="A9018" t="s">
        <v>326</v>
      </c>
      <c r="B9018" t="s">
        <v>805</v>
      </c>
      <c r="C9018" t="s">
        <v>874</v>
      </c>
      <c r="D9018" t="s">
        <v>11</v>
      </c>
      <c r="E9018">
        <v>25</v>
      </c>
      <c r="F9018" s="2">
        <f>DATE(2026,IF(Tabla1[[#This Row],[Mes de Fecha]]="Septiembre",9,10),Tabla1[[#This Row],[Día de Fecha]])</f>
        <v>46290</v>
      </c>
      <c r="G9018">
        <v>1004236016</v>
      </c>
      <c r="H9018" t="s">
        <v>806</v>
      </c>
      <c r="I9018">
        <v>33</v>
      </c>
      <c r="J9018">
        <v>0</v>
      </c>
      <c r="K9018" s="1">
        <v>1643404</v>
      </c>
    </row>
    <row r="9019" spans="1:11" x14ac:dyDescent="0.25">
      <c r="A9019" t="s">
        <v>326</v>
      </c>
      <c r="B9019" t="s">
        <v>805</v>
      </c>
      <c r="C9019" t="s">
        <v>874</v>
      </c>
      <c r="D9019" t="s">
        <v>11</v>
      </c>
      <c r="E9019">
        <v>25</v>
      </c>
      <c r="F9019" s="2">
        <f>DATE(2026,IF(Tabla1[[#This Row],[Mes de Fecha]]="Septiembre",9,10),Tabla1[[#This Row],[Día de Fecha]])</f>
        <v>46290</v>
      </c>
      <c r="G9019">
        <v>1055047967</v>
      </c>
      <c r="H9019" t="s">
        <v>584</v>
      </c>
      <c r="I9019">
        <v>32</v>
      </c>
      <c r="J9019">
        <v>0</v>
      </c>
      <c r="K9019" s="1">
        <v>1740257</v>
      </c>
    </row>
    <row r="9020" spans="1:11" x14ac:dyDescent="0.25">
      <c r="A9020" t="s">
        <v>326</v>
      </c>
      <c r="B9020" t="s">
        <v>805</v>
      </c>
      <c r="C9020" t="s">
        <v>874</v>
      </c>
      <c r="D9020" t="s">
        <v>11</v>
      </c>
      <c r="E9020">
        <v>25</v>
      </c>
      <c r="F9020" s="2">
        <f>DATE(2026,IF(Tabla1[[#This Row],[Mes de Fecha]]="Septiembre",9,10),Tabla1[[#This Row],[Día de Fecha]])</f>
        <v>46290</v>
      </c>
      <c r="G9020">
        <v>1082749357</v>
      </c>
      <c r="H9020" t="s">
        <v>526</v>
      </c>
      <c r="I9020">
        <v>68</v>
      </c>
      <c r="J9020">
        <v>0</v>
      </c>
      <c r="K9020" s="1">
        <v>4282737</v>
      </c>
    </row>
    <row r="9021" spans="1:11" x14ac:dyDescent="0.25">
      <c r="A9021" t="s">
        <v>326</v>
      </c>
      <c r="B9021" t="s">
        <v>805</v>
      </c>
      <c r="C9021" t="s">
        <v>874</v>
      </c>
      <c r="D9021" t="s">
        <v>11</v>
      </c>
      <c r="E9021">
        <v>25</v>
      </c>
      <c r="F9021" s="2">
        <f>DATE(2026,IF(Tabla1[[#This Row],[Mes de Fecha]]="Septiembre",9,10),Tabla1[[#This Row],[Día de Fecha]])</f>
        <v>46290</v>
      </c>
      <c r="G9021">
        <v>1085266049</v>
      </c>
      <c r="H9021" t="s">
        <v>585</v>
      </c>
      <c r="I9021">
        <v>48</v>
      </c>
      <c r="J9021">
        <v>0</v>
      </c>
      <c r="K9021" s="1">
        <v>2531558</v>
      </c>
    </row>
    <row r="9022" spans="1:11" x14ac:dyDescent="0.25">
      <c r="A9022" t="s">
        <v>326</v>
      </c>
      <c r="B9022" t="s">
        <v>805</v>
      </c>
      <c r="C9022" t="s">
        <v>874</v>
      </c>
      <c r="D9022" t="s">
        <v>11</v>
      </c>
      <c r="E9022">
        <v>25</v>
      </c>
      <c r="F9022" s="2">
        <f>DATE(2026,IF(Tabla1[[#This Row],[Mes de Fecha]]="Septiembre",9,10),Tabla1[[#This Row],[Día de Fecha]])</f>
        <v>46290</v>
      </c>
      <c r="G9022">
        <v>1085290212</v>
      </c>
      <c r="H9022" t="s">
        <v>583</v>
      </c>
      <c r="I9022">
        <v>59</v>
      </c>
      <c r="J9022">
        <v>0</v>
      </c>
      <c r="K9022" s="1">
        <v>3474376</v>
      </c>
    </row>
    <row r="9023" spans="1:11" x14ac:dyDescent="0.25">
      <c r="A9023" t="s">
        <v>326</v>
      </c>
      <c r="B9023" t="s">
        <v>805</v>
      </c>
      <c r="C9023" t="s">
        <v>874</v>
      </c>
      <c r="D9023" t="s">
        <v>11</v>
      </c>
      <c r="E9023">
        <v>25</v>
      </c>
      <c r="F9023" s="2">
        <f>DATE(2026,IF(Tabla1[[#This Row],[Mes de Fecha]]="Septiembre",9,10),Tabla1[[#This Row],[Día de Fecha]])</f>
        <v>46290</v>
      </c>
      <c r="G9023">
        <v>1233193345</v>
      </c>
      <c r="H9023" t="s">
        <v>525</v>
      </c>
      <c r="I9023">
        <v>-1</v>
      </c>
      <c r="J9023">
        <v>0</v>
      </c>
      <c r="K9023" s="1">
        <v>-54580</v>
      </c>
    </row>
    <row r="9024" spans="1:11" x14ac:dyDescent="0.25">
      <c r="A9024" t="s">
        <v>326</v>
      </c>
      <c r="B9024" t="s">
        <v>805</v>
      </c>
      <c r="C9024" t="s">
        <v>874</v>
      </c>
      <c r="D9024" t="s">
        <v>11</v>
      </c>
      <c r="E9024">
        <v>26</v>
      </c>
      <c r="F9024" s="2">
        <f>DATE(2026,IF(Tabla1[[#This Row],[Mes de Fecha]]="Septiembre",9,10),Tabla1[[#This Row],[Día de Fecha]])</f>
        <v>46291</v>
      </c>
      <c r="I9024">
        <v>0</v>
      </c>
      <c r="J9024" s="1">
        <v>17086208</v>
      </c>
      <c r="K9024">
        <v>0</v>
      </c>
    </row>
    <row r="9025" spans="1:11" x14ac:dyDescent="0.25">
      <c r="A9025" t="s">
        <v>326</v>
      </c>
      <c r="B9025" t="s">
        <v>805</v>
      </c>
      <c r="C9025" t="s">
        <v>874</v>
      </c>
      <c r="D9025" t="s">
        <v>11</v>
      </c>
      <c r="E9025">
        <v>26</v>
      </c>
      <c r="F9025" s="2">
        <f>DATE(2026,IF(Tabla1[[#This Row],[Mes de Fecha]]="Septiembre",9,10),Tabla1[[#This Row],[Día de Fecha]])</f>
        <v>46291</v>
      </c>
      <c r="G9025">
        <v>1004236016</v>
      </c>
      <c r="H9025" t="s">
        <v>806</v>
      </c>
      <c r="I9025">
        <v>50</v>
      </c>
      <c r="J9025">
        <v>0</v>
      </c>
      <c r="K9025" s="1">
        <v>3260424</v>
      </c>
    </row>
    <row r="9026" spans="1:11" x14ac:dyDescent="0.25">
      <c r="A9026" t="s">
        <v>326</v>
      </c>
      <c r="B9026" t="s">
        <v>805</v>
      </c>
      <c r="C9026" t="s">
        <v>874</v>
      </c>
      <c r="D9026" t="s">
        <v>11</v>
      </c>
      <c r="E9026">
        <v>26</v>
      </c>
      <c r="F9026" s="2">
        <f>DATE(2026,IF(Tabla1[[#This Row],[Mes de Fecha]]="Septiembre",9,10),Tabla1[[#This Row],[Día de Fecha]])</f>
        <v>46291</v>
      </c>
      <c r="G9026">
        <v>1055047967</v>
      </c>
      <c r="H9026" t="s">
        <v>584</v>
      </c>
      <c r="I9026">
        <v>43</v>
      </c>
      <c r="J9026">
        <v>0</v>
      </c>
      <c r="K9026" s="1">
        <v>2666222</v>
      </c>
    </row>
    <row r="9027" spans="1:11" x14ac:dyDescent="0.25">
      <c r="A9027" t="s">
        <v>326</v>
      </c>
      <c r="B9027" t="s">
        <v>805</v>
      </c>
      <c r="C9027" t="s">
        <v>874</v>
      </c>
      <c r="D9027" t="s">
        <v>11</v>
      </c>
      <c r="E9027">
        <v>26</v>
      </c>
      <c r="F9027" s="2">
        <f>DATE(2026,IF(Tabla1[[#This Row],[Mes de Fecha]]="Septiembre",9,10),Tabla1[[#This Row],[Día de Fecha]])</f>
        <v>46291</v>
      </c>
      <c r="G9027">
        <v>1082749357</v>
      </c>
      <c r="H9027" t="s">
        <v>526</v>
      </c>
      <c r="I9027">
        <v>93</v>
      </c>
      <c r="J9027">
        <v>0</v>
      </c>
      <c r="K9027" s="1">
        <v>5823703</v>
      </c>
    </row>
    <row r="9028" spans="1:11" x14ac:dyDescent="0.25">
      <c r="A9028" t="s">
        <v>326</v>
      </c>
      <c r="B9028" t="s">
        <v>805</v>
      </c>
      <c r="C9028" t="s">
        <v>874</v>
      </c>
      <c r="D9028" t="s">
        <v>11</v>
      </c>
      <c r="E9028">
        <v>26</v>
      </c>
      <c r="F9028" s="2">
        <f>DATE(2026,IF(Tabla1[[#This Row],[Mes de Fecha]]="Septiembre",9,10),Tabla1[[#This Row],[Día de Fecha]])</f>
        <v>46291</v>
      </c>
      <c r="G9028">
        <v>1085266049</v>
      </c>
      <c r="H9028" t="s">
        <v>585</v>
      </c>
      <c r="I9028">
        <v>49</v>
      </c>
      <c r="J9028">
        <v>0</v>
      </c>
      <c r="K9028" s="1">
        <v>3172271</v>
      </c>
    </row>
    <row r="9029" spans="1:11" x14ac:dyDescent="0.25">
      <c r="A9029" t="s">
        <v>326</v>
      </c>
      <c r="B9029" t="s">
        <v>805</v>
      </c>
      <c r="C9029" t="s">
        <v>874</v>
      </c>
      <c r="D9029" t="s">
        <v>11</v>
      </c>
      <c r="E9029">
        <v>26</v>
      </c>
      <c r="F9029" s="2">
        <f>DATE(2026,IF(Tabla1[[#This Row],[Mes de Fecha]]="Septiembre",9,10),Tabla1[[#This Row],[Día de Fecha]])</f>
        <v>46291</v>
      </c>
      <c r="G9029">
        <v>1085290212</v>
      </c>
      <c r="H9029" t="s">
        <v>583</v>
      </c>
      <c r="I9029">
        <v>88</v>
      </c>
      <c r="J9029">
        <v>0</v>
      </c>
      <c r="K9029" s="1">
        <v>5987694</v>
      </c>
    </row>
    <row r="9030" spans="1:11" x14ac:dyDescent="0.25">
      <c r="A9030" t="s">
        <v>326</v>
      </c>
      <c r="B9030" t="s">
        <v>805</v>
      </c>
      <c r="C9030" t="s">
        <v>874</v>
      </c>
      <c r="D9030" t="s">
        <v>11</v>
      </c>
      <c r="E9030">
        <v>27</v>
      </c>
      <c r="F9030" s="2">
        <f>DATE(2026,IF(Tabla1[[#This Row],[Mes de Fecha]]="Septiembre",9,10),Tabla1[[#This Row],[Día de Fecha]])</f>
        <v>46292</v>
      </c>
      <c r="I9030">
        <v>0</v>
      </c>
      <c r="J9030" s="1">
        <v>13535717</v>
      </c>
      <c r="K9030">
        <v>0</v>
      </c>
    </row>
    <row r="9031" spans="1:11" x14ac:dyDescent="0.25">
      <c r="A9031" t="s">
        <v>326</v>
      </c>
      <c r="B9031" t="s">
        <v>805</v>
      </c>
      <c r="C9031" t="s">
        <v>874</v>
      </c>
      <c r="D9031" t="s">
        <v>11</v>
      </c>
      <c r="E9031">
        <v>27</v>
      </c>
      <c r="F9031" s="2">
        <f>DATE(2026,IF(Tabla1[[#This Row],[Mes de Fecha]]="Septiembre",9,10),Tabla1[[#This Row],[Día de Fecha]])</f>
        <v>46292</v>
      </c>
      <c r="G9031">
        <v>1055047967</v>
      </c>
      <c r="H9031" t="s">
        <v>584</v>
      </c>
      <c r="I9031">
        <v>-2</v>
      </c>
      <c r="J9031">
        <v>0</v>
      </c>
      <c r="K9031" s="1">
        <v>-125967</v>
      </c>
    </row>
    <row r="9032" spans="1:11" x14ac:dyDescent="0.25">
      <c r="A9032" t="s">
        <v>326</v>
      </c>
      <c r="B9032" t="s">
        <v>805</v>
      </c>
      <c r="C9032" t="s">
        <v>874</v>
      </c>
      <c r="D9032" t="s">
        <v>11</v>
      </c>
      <c r="E9032">
        <v>27</v>
      </c>
      <c r="F9032" s="2">
        <f>DATE(2026,IF(Tabla1[[#This Row],[Mes de Fecha]]="Septiembre",9,10),Tabla1[[#This Row],[Día de Fecha]])</f>
        <v>46292</v>
      </c>
      <c r="G9032">
        <v>1082749357</v>
      </c>
      <c r="H9032" t="s">
        <v>526</v>
      </c>
      <c r="I9032">
        <v>37</v>
      </c>
      <c r="J9032">
        <v>0</v>
      </c>
      <c r="K9032" s="1">
        <v>2153826</v>
      </c>
    </row>
    <row r="9033" spans="1:11" x14ac:dyDescent="0.25">
      <c r="A9033" t="s">
        <v>326</v>
      </c>
      <c r="B9033" t="s">
        <v>805</v>
      </c>
      <c r="C9033" t="s">
        <v>874</v>
      </c>
      <c r="D9033" t="s">
        <v>11</v>
      </c>
      <c r="E9033">
        <v>27</v>
      </c>
      <c r="F9033" s="2">
        <f>DATE(2026,IF(Tabla1[[#This Row],[Mes de Fecha]]="Septiembre",9,10),Tabla1[[#This Row],[Día de Fecha]])</f>
        <v>46292</v>
      </c>
      <c r="G9033">
        <v>1085290212</v>
      </c>
      <c r="H9033" t="s">
        <v>583</v>
      </c>
      <c r="I9033">
        <v>24</v>
      </c>
      <c r="J9033">
        <v>0</v>
      </c>
      <c r="K9033" s="1">
        <v>1272061</v>
      </c>
    </row>
    <row r="9034" spans="1:11" x14ac:dyDescent="0.25">
      <c r="A9034" t="s">
        <v>326</v>
      </c>
      <c r="B9034" t="s">
        <v>805</v>
      </c>
      <c r="C9034" t="s">
        <v>874</v>
      </c>
      <c r="D9034" t="s">
        <v>11</v>
      </c>
      <c r="E9034">
        <v>28</v>
      </c>
      <c r="F9034" s="2">
        <f>DATE(2026,IF(Tabla1[[#This Row],[Mes de Fecha]]="Septiembre",9,10),Tabla1[[#This Row],[Día de Fecha]])</f>
        <v>46293</v>
      </c>
      <c r="I9034">
        <v>0</v>
      </c>
      <c r="J9034" s="1">
        <v>7621211</v>
      </c>
      <c r="K9034">
        <v>0</v>
      </c>
    </row>
    <row r="9035" spans="1:11" x14ac:dyDescent="0.25">
      <c r="A9035" t="s">
        <v>326</v>
      </c>
      <c r="B9035" t="s">
        <v>805</v>
      </c>
      <c r="C9035" t="s">
        <v>874</v>
      </c>
      <c r="D9035" t="s">
        <v>11</v>
      </c>
      <c r="E9035">
        <v>28</v>
      </c>
      <c r="F9035" s="2">
        <f>DATE(2026,IF(Tabla1[[#This Row],[Mes de Fecha]]="Septiembre",9,10),Tabla1[[#This Row],[Día de Fecha]])</f>
        <v>46293</v>
      </c>
      <c r="G9035">
        <v>1004236016</v>
      </c>
      <c r="H9035" t="s">
        <v>806</v>
      </c>
      <c r="I9035">
        <v>18</v>
      </c>
      <c r="J9035">
        <v>0</v>
      </c>
      <c r="K9035" s="1">
        <v>1104288</v>
      </c>
    </row>
    <row r="9036" spans="1:11" x14ac:dyDescent="0.25">
      <c r="A9036" t="s">
        <v>326</v>
      </c>
      <c r="B9036" t="s">
        <v>805</v>
      </c>
      <c r="C9036" t="s">
        <v>874</v>
      </c>
      <c r="D9036" t="s">
        <v>11</v>
      </c>
      <c r="E9036">
        <v>28</v>
      </c>
      <c r="F9036" s="2">
        <f>DATE(2026,IF(Tabla1[[#This Row],[Mes de Fecha]]="Septiembre",9,10),Tabla1[[#This Row],[Día de Fecha]])</f>
        <v>46293</v>
      </c>
      <c r="G9036">
        <v>1055047967</v>
      </c>
      <c r="H9036" t="s">
        <v>584</v>
      </c>
      <c r="I9036">
        <v>15</v>
      </c>
      <c r="J9036">
        <v>0</v>
      </c>
      <c r="K9036" s="1">
        <v>854329</v>
      </c>
    </row>
    <row r="9037" spans="1:11" x14ac:dyDescent="0.25">
      <c r="A9037" t="s">
        <v>326</v>
      </c>
      <c r="B9037" t="s">
        <v>805</v>
      </c>
      <c r="C9037" t="s">
        <v>874</v>
      </c>
      <c r="D9037" t="s">
        <v>11</v>
      </c>
      <c r="E9037">
        <v>28</v>
      </c>
      <c r="F9037" s="2">
        <f>DATE(2026,IF(Tabla1[[#This Row],[Mes de Fecha]]="Septiembre",9,10),Tabla1[[#This Row],[Día de Fecha]])</f>
        <v>46293</v>
      </c>
      <c r="G9037">
        <v>1082749357</v>
      </c>
      <c r="H9037" t="s">
        <v>526</v>
      </c>
      <c r="I9037">
        <v>13</v>
      </c>
      <c r="J9037">
        <v>0</v>
      </c>
      <c r="K9037" s="1">
        <v>1026767</v>
      </c>
    </row>
    <row r="9038" spans="1:11" x14ac:dyDescent="0.25">
      <c r="A9038" t="s">
        <v>326</v>
      </c>
      <c r="B9038" t="s">
        <v>805</v>
      </c>
      <c r="C9038" t="s">
        <v>874</v>
      </c>
      <c r="D9038" t="s">
        <v>11</v>
      </c>
      <c r="E9038">
        <v>28</v>
      </c>
      <c r="F9038" s="2">
        <f>DATE(2026,IF(Tabla1[[#This Row],[Mes de Fecha]]="Septiembre",9,10),Tabla1[[#This Row],[Día de Fecha]])</f>
        <v>46293</v>
      </c>
      <c r="G9038">
        <v>1085266049</v>
      </c>
      <c r="H9038" t="s">
        <v>585</v>
      </c>
      <c r="I9038">
        <v>28</v>
      </c>
      <c r="J9038">
        <v>0</v>
      </c>
      <c r="K9038" s="1">
        <v>2087018</v>
      </c>
    </row>
    <row r="9039" spans="1:11" x14ac:dyDescent="0.25">
      <c r="A9039" t="s">
        <v>326</v>
      </c>
      <c r="B9039" t="s">
        <v>805</v>
      </c>
      <c r="C9039" t="s">
        <v>874</v>
      </c>
      <c r="D9039" t="s">
        <v>11</v>
      </c>
      <c r="E9039">
        <v>28</v>
      </c>
      <c r="F9039" s="2">
        <f>DATE(2026,IF(Tabla1[[#This Row],[Mes de Fecha]]="Septiembre",9,10),Tabla1[[#This Row],[Día de Fecha]])</f>
        <v>46293</v>
      </c>
      <c r="G9039">
        <v>1085290212</v>
      </c>
      <c r="H9039" t="s">
        <v>583</v>
      </c>
      <c r="I9039">
        <v>34</v>
      </c>
      <c r="J9039">
        <v>0</v>
      </c>
      <c r="K9039" s="1">
        <v>2057356</v>
      </c>
    </row>
    <row r="9040" spans="1:11" x14ac:dyDescent="0.25">
      <c r="A9040" t="s">
        <v>326</v>
      </c>
      <c r="B9040" t="s">
        <v>805</v>
      </c>
      <c r="C9040" t="s">
        <v>874</v>
      </c>
      <c r="D9040" t="s">
        <v>11</v>
      </c>
      <c r="E9040">
        <v>29</v>
      </c>
      <c r="F9040" s="2">
        <f>DATE(2026,IF(Tabla1[[#This Row],[Mes de Fecha]]="Septiembre",9,10),Tabla1[[#This Row],[Día de Fecha]])</f>
        <v>46294</v>
      </c>
      <c r="I9040">
        <v>0</v>
      </c>
      <c r="J9040" s="1">
        <v>7785820</v>
      </c>
      <c r="K9040">
        <v>0</v>
      </c>
    </row>
    <row r="9041" spans="1:11" x14ac:dyDescent="0.25">
      <c r="A9041" t="s">
        <v>326</v>
      </c>
      <c r="B9041" t="s">
        <v>805</v>
      </c>
      <c r="C9041" t="s">
        <v>874</v>
      </c>
      <c r="D9041" t="s">
        <v>11</v>
      </c>
      <c r="E9041">
        <v>29</v>
      </c>
      <c r="F9041" s="2">
        <f>DATE(2026,IF(Tabla1[[#This Row],[Mes de Fecha]]="Septiembre",9,10),Tabla1[[#This Row],[Día de Fecha]])</f>
        <v>46294</v>
      </c>
      <c r="G9041">
        <v>1004236016</v>
      </c>
      <c r="H9041" t="s">
        <v>806</v>
      </c>
      <c r="I9041">
        <v>32</v>
      </c>
      <c r="J9041">
        <v>0</v>
      </c>
      <c r="K9041" s="1">
        <v>1769665</v>
      </c>
    </row>
    <row r="9042" spans="1:11" x14ac:dyDescent="0.25">
      <c r="A9042" t="s">
        <v>326</v>
      </c>
      <c r="B9042" t="s">
        <v>805</v>
      </c>
      <c r="C9042" t="s">
        <v>874</v>
      </c>
      <c r="D9042" t="s">
        <v>11</v>
      </c>
      <c r="E9042">
        <v>29</v>
      </c>
      <c r="F9042" s="2">
        <f>DATE(2026,IF(Tabla1[[#This Row],[Mes de Fecha]]="Septiembre",9,10),Tabla1[[#This Row],[Día de Fecha]])</f>
        <v>46294</v>
      </c>
      <c r="G9042">
        <v>1055047967</v>
      </c>
      <c r="H9042" t="s">
        <v>584</v>
      </c>
      <c r="I9042">
        <v>25</v>
      </c>
      <c r="J9042">
        <v>0</v>
      </c>
      <c r="K9042" s="1">
        <v>1391808</v>
      </c>
    </row>
    <row r="9043" spans="1:11" x14ac:dyDescent="0.25">
      <c r="A9043" t="s">
        <v>326</v>
      </c>
      <c r="B9043" t="s">
        <v>805</v>
      </c>
      <c r="C9043" t="s">
        <v>874</v>
      </c>
      <c r="D9043" t="s">
        <v>11</v>
      </c>
      <c r="E9043">
        <v>29</v>
      </c>
      <c r="F9043" s="2">
        <f>DATE(2026,IF(Tabla1[[#This Row],[Mes de Fecha]]="Septiembre",9,10),Tabla1[[#This Row],[Día de Fecha]])</f>
        <v>46294</v>
      </c>
      <c r="G9043">
        <v>1082749357</v>
      </c>
      <c r="H9043" t="s">
        <v>526</v>
      </c>
      <c r="I9043">
        <v>32</v>
      </c>
      <c r="J9043">
        <v>0</v>
      </c>
      <c r="K9043" s="1">
        <v>2023868</v>
      </c>
    </row>
    <row r="9044" spans="1:11" x14ac:dyDescent="0.25">
      <c r="A9044" t="s">
        <v>326</v>
      </c>
      <c r="B9044" t="s">
        <v>805</v>
      </c>
      <c r="C9044" t="s">
        <v>874</v>
      </c>
      <c r="D9044" t="s">
        <v>11</v>
      </c>
      <c r="E9044">
        <v>29</v>
      </c>
      <c r="F9044" s="2">
        <f>DATE(2026,IF(Tabla1[[#This Row],[Mes de Fecha]]="Septiembre",9,10),Tabla1[[#This Row],[Día de Fecha]])</f>
        <v>46294</v>
      </c>
      <c r="G9044">
        <v>1085266049</v>
      </c>
      <c r="H9044" t="s">
        <v>585</v>
      </c>
      <c r="I9044">
        <v>17</v>
      </c>
      <c r="J9044">
        <v>0</v>
      </c>
      <c r="K9044" s="1">
        <v>1074917</v>
      </c>
    </row>
    <row r="9045" spans="1:11" x14ac:dyDescent="0.25">
      <c r="A9045" t="s">
        <v>326</v>
      </c>
      <c r="B9045" t="s">
        <v>805</v>
      </c>
      <c r="C9045" t="s">
        <v>874</v>
      </c>
      <c r="D9045" t="s">
        <v>11</v>
      </c>
      <c r="E9045">
        <v>29</v>
      </c>
      <c r="F9045" s="2">
        <f>DATE(2026,IF(Tabla1[[#This Row],[Mes de Fecha]]="Septiembre",9,10),Tabla1[[#This Row],[Día de Fecha]])</f>
        <v>46294</v>
      </c>
      <c r="G9045">
        <v>1085290212</v>
      </c>
      <c r="H9045" t="s">
        <v>583</v>
      </c>
      <c r="I9045">
        <v>37</v>
      </c>
      <c r="J9045">
        <v>0</v>
      </c>
      <c r="K9045" s="1">
        <v>1966894</v>
      </c>
    </row>
    <row r="9046" spans="1:11" x14ac:dyDescent="0.25">
      <c r="A9046" t="s">
        <v>326</v>
      </c>
      <c r="B9046" t="s">
        <v>805</v>
      </c>
      <c r="C9046" t="s">
        <v>874</v>
      </c>
      <c r="D9046" t="s">
        <v>11</v>
      </c>
      <c r="E9046">
        <v>30</v>
      </c>
      <c r="F9046" s="2">
        <f>DATE(2026,IF(Tabla1[[#This Row],[Mes de Fecha]]="Septiembre",9,10),Tabla1[[#This Row],[Día de Fecha]])</f>
        <v>46295</v>
      </c>
      <c r="I9046">
        <v>0</v>
      </c>
      <c r="J9046" s="1">
        <v>8220265</v>
      </c>
      <c r="K9046">
        <v>0</v>
      </c>
    </row>
    <row r="9047" spans="1:11" x14ac:dyDescent="0.25">
      <c r="A9047" t="s">
        <v>326</v>
      </c>
      <c r="B9047" t="s">
        <v>805</v>
      </c>
      <c r="C9047" t="s">
        <v>874</v>
      </c>
      <c r="D9047" t="s">
        <v>11</v>
      </c>
      <c r="E9047">
        <v>30</v>
      </c>
      <c r="F9047" s="2">
        <f>DATE(2026,IF(Tabla1[[#This Row],[Mes de Fecha]]="Septiembre",9,10),Tabla1[[#This Row],[Día de Fecha]])</f>
        <v>46295</v>
      </c>
      <c r="G9047">
        <v>1004236016</v>
      </c>
      <c r="H9047" t="s">
        <v>806</v>
      </c>
      <c r="I9047">
        <v>30</v>
      </c>
      <c r="J9047">
        <v>0</v>
      </c>
      <c r="K9047" s="1">
        <v>1803279</v>
      </c>
    </row>
    <row r="9048" spans="1:11" x14ac:dyDescent="0.25">
      <c r="A9048" t="s">
        <v>326</v>
      </c>
      <c r="B9048" t="s">
        <v>805</v>
      </c>
      <c r="C9048" t="s">
        <v>874</v>
      </c>
      <c r="D9048" t="s">
        <v>11</v>
      </c>
      <c r="E9048">
        <v>30</v>
      </c>
      <c r="F9048" s="2">
        <f>DATE(2026,IF(Tabla1[[#This Row],[Mes de Fecha]]="Septiembre",9,10),Tabla1[[#This Row],[Día de Fecha]])</f>
        <v>46295</v>
      </c>
      <c r="G9048">
        <v>1055047967</v>
      </c>
      <c r="H9048" t="s">
        <v>584</v>
      </c>
      <c r="I9048">
        <v>21</v>
      </c>
      <c r="J9048">
        <v>0</v>
      </c>
      <c r="K9048" s="1">
        <v>1204959</v>
      </c>
    </row>
    <row r="9049" spans="1:11" x14ac:dyDescent="0.25">
      <c r="A9049" t="s">
        <v>326</v>
      </c>
      <c r="B9049" t="s">
        <v>805</v>
      </c>
      <c r="C9049" t="s">
        <v>874</v>
      </c>
      <c r="D9049" t="s">
        <v>11</v>
      </c>
      <c r="E9049">
        <v>30</v>
      </c>
      <c r="F9049" s="2">
        <f>DATE(2026,IF(Tabla1[[#This Row],[Mes de Fecha]]="Septiembre",9,10),Tabla1[[#This Row],[Día de Fecha]])</f>
        <v>46295</v>
      </c>
      <c r="G9049">
        <v>1082749357</v>
      </c>
      <c r="H9049" t="s">
        <v>526</v>
      </c>
      <c r="I9049">
        <v>22</v>
      </c>
      <c r="J9049">
        <v>0</v>
      </c>
      <c r="K9049" s="1">
        <v>1587312</v>
      </c>
    </row>
    <row r="9050" spans="1:11" x14ac:dyDescent="0.25">
      <c r="A9050" t="s">
        <v>326</v>
      </c>
      <c r="B9050" t="s">
        <v>805</v>
      </c>
      <c r="C9050" t="s">
        <v>874</v>
      </c>
      <c r="D9050" t="s">
        <v>11</v>
      </c>
      <c r="E9050">
        <v>30</v>
      </c>
      <c r="F9050" s="2">
        <f>DATE(2026,IF(Tabla1[[#This Row],[Mes de Fecha]]="Septiembre",9,10),Tabla1[[#This Row],[Día de Fecha]])</f>
        <v>46295</v>
      </c>
      <c r="G9050">
        <v>1085266049</v>
      </c>
      <c r="H9050" t="s">
        <v>585</v>
      </c>
      <c r="I9050">
        <v>27</v>
      </c>
      <c r="J9050">
        <v>0</v>
      </c>
      <c r="K9050" s="1">
        <v>1835000</v>
      </c>
    </row>
    <row r="9051" spans="1:11" x14ac:dyDescent="0.25">
      <c r="A9051" t="s">
        <v>326</v>
      </c>
      <c r="B9051" t="s">
        <v>805</v>
      </c>
      <c r="C9051" t="s">
        <v>874</v>
      </c>
      <c r="D9051" t="s">
        <v>11</v>
      </c>
      <c r="E9051">
        <v>30</v>
      </c>
      <c r="F9051" s="2">
        <f>DATE(2026,IF(Tabla1[[#This Row],[Mes de Fecha]]="Septiembre",9,10),Tabla1[[#This Row],[Día de Fecha]])</f>
        <v>46295</v>
      </c>
      <c r="G9051">
        <v>1085290212</v>
      </c>
      <c r="H9051" t="s">
        <v>583</v>
      </c>
      <c r="I9051">
        <v>49</v>
      </c>
      <c r="J9051">
        <v>0</v>
      </c>
      <c r="K9051" s="1">
        <v>2764623</v>
      </c>
    </row>
    <row r="9052" spans="1:11" x14ac:dyDescent="0.25">
      <c r="A9052" t="s">
        <v>326</v>
      </c>
      <c r="B9052" t="s">
        <v>805</v>
      </c>
      <c r="C9052" t="s">
        <v>874</v>
      </c>
      <c r="D9052" t="s">
        <v>14</v>
      </c>
      <c r="E9052">
        <v>1</v>
      </c>
      <c r="F9052" s="2">
        <f>DATE(2026,IF(Tabla1[[#This Row],[Mes de Fecha]]="Septiembre",9,10),Tabla1[[#This Row],[Día de Fecha]])</f>
        <v>46296</v>
      </c>
      <c r="I9052">
        <v>0</v>
      </c>
      <c r="J9052" s="1">
        <v>8946461</v>
      </c>
      <c r="K9052">
        <v>0</v>
      </c>
    </row>
    <row r="9053" spans="1:11" x14ac:dyDescent="0.25">
      <c r="A9053" t="s">
        <v>326</v>
      </c>
      <c r="B9053" t="s">
        <v>805</v>
      </c>
      <c r="C9053" t="s">
        <v>874</v>
      </c>
      <c r="D9053" t="s">
        <v>14</v>
      </c>
      <c r="E9053">
        <v>1</v>
      </c>
      <c r="F9053" s="2">
        <f>DATE(2026,IF(Tabla1[[#This Row],[Mes de Fecha]]="Septiembre",9,10),Tabla1[[#This Row],[Día de Fecha]])</f>
        <v>46296</v>
      </c>
      <c r="G9053">
        <v>1004236016</v>
      </c>
      <c r="H9053" t="s">
        <v>806</v>
      </c>
      <c r="I9053">
        <v>23</v>
      </c>
      <c r="J9053">
        <v>0</v>
      </c>
      <c r="K9053" s="1">
        <v>1440126</v>
      </c>
    </row>
    <row r="9054" spans="1:11" x14ac:dyDescent="0.25">
      <c r="A9054" t="s">
        <v>326</v>
      </c>
      <c r="B9054" t="s">
        <v>805</v>
      </c>
      <c r="C9054" t="s">
        <v>874</v>
      </c>
      <c r="D9054" t="s">
        <v>14</v>
      </c>
      <c r="E9054">
        <v>1</v>
      </c>
      <c r="F9054" s="2">
        <f>DATE(2026,IF(Tabla1[[#This Row],[Mes de Fecha]]="Septiembre",9,10),Tabla1[[#This Row],[Día de Fecha]])</f>
        <v>46296</v>
      </c>
      <c r="G9054">
        <v>1055047967</v>
      </c>
      <c r="H9054" t="s">
        <v>584</v>
      </c>
      <c r="I9054">
        <v>31</v>
      </c>
      <c r="J9054">
        <v>0</v>
      </c>
      <c r="K9054" s="1">
        <v>1635043</v>
      </c>
    </row>
    <row r="9055" spans="1:11" x14ac:dyDescent="0.25">
      <c r="A9055" t="s">
        <v>326</v>
      </c>
      <c r="B9055" t="s">
        <v>805</v>
      </c>
      <c r="C9055" t="s">
        <v>874</v>
      </c>
      <c r="D9055" t="s">
        <v>14</v>
      </c>
      <c r="E9055">
        <v>1</v>
      </c>
      <c r="F9055" s="2">
        <f>DATE(2026,IF(Tabla1[[#This Row],[Mes de Fecha]]="Septiembre",9,10),Tabla1[[#This Row],[Día de Fecha]])</f>
        <v>46296</v>
      </c>
      <c r="G9055">
        <v>1082749357</v>
      </c>
      <c r="H9055" t="s">
        <v>526</v>
      </c>
      <c r="I9055">
        <v>48</v>
      </c>
      <c r="J9055">
        <v>0</v>
      </c>
      <c r="K9055" s="1">
        <v>3117608</v>
      </c>
    </row>
    <row r="9056" spans="1:11" x14ac:dyDescent="0.25">
      <c r="A9056" t="s">
        <v>326</v>
      </c>
      <c r="B9056" t="s">
        <v>805</v>
      </c>
      <c r="C9056" t="s">
        <v>874</v>
      </c>
      <c r="D9056" t="s">
        <v>14</v>
      </c>
      <c r="E9056">
        <v>1</v>
      </c>
      <c r="F9056" s="2">
        <f>DATE(2026,IF(Tabla1[[#This Row],[Mes de Fecha]]="Septiembre",9,10),Tabla1[[#This Row],[Día de Fecha]])</f>
        <v>46296</v>
      </c>
      <c r="G9056">
        <v>1085266049</v>
      </c>
      <c r="H9056" t="s">
        <v>585</v>
      </c>
      <c r="I9056">
        <v>27</v>
      </c>
      <c r="J9056">
        <v>0</v>
      </c>
      <c r="K9056" s="1">
        <v>1484077</v>
      </c>
    </row>
    <row r="9057" spans="1:11" x14ac:dyDescent="0.25">
      <c r="A9057" t="s">
        <v>326</v>
      </c>
      <c r="B9057" t="s">
        <v>805</v>
      </c>
      <c r="C9057" t="s">
        <v>874</v>
      </c>
      <c r="D9057" t="s">
        <v>14</v>
      </c>
      <c r="E9057">
        <v>1</v>
      </c>
      <c r="F9057" s="2">
        <f>DATE(2026,IF(Tabla1[[#This Row],[Mes de Fecha]]="Septiembre",9,10),Tabla1[[#This Row],[Día de Fecha]])</f>
        <v>46296</v>
      </c>
      <c r="G9057">
        <v>1085290212</v>
      </c>
      <c r="H9057" t="s">
        <v>583</v>
      </c>
      <c r="I9057">
        <v>68</v>
      </c>
      <c r="J9057">
        <v>0</v>
      </c>
      <c r="K9057" s="1">
        <v>3805844</v>
      </c>
    </row>
    <row r="9058" spans="1:11" x14ac:dyDescent="0.25">
      <c r="A9058" t="s">
        <v>326</v>
      </c>
      <c r="B9058" t="s">
        <v>805</v>
      </c>
      <c r="C9058" t="s">
        <v>874</v>
      </c>
      <c r="D9058" t="s">
        <v>14</v>
      </c>
      <c r="E9058">
        <v>2</v>
      </c>
      <c r="F9058" s="2">
        <f>DATE(2026,IF(Tabla1[[#This Row],[Mes de Fecha]]="Septiembre",9,10),Tabla1[[#This Row],[Día de Fecha]])</f>
        <v>46297</v>
      </c>
      <c r="I9058">
        <v>0</v>
      </c>
      <c r="J9058" s="1">
        <v>9545869</v>
      </c>
      <c r="K9058">
        <v>0</v>
      </c>
    </row>
    <row r="9059" spans="1:11" x14ac:dyDescent="0.25">
      <c r="A9059" t="s">
        <v>326</v>
      </c>
      <c r="B9059" t="s">
        <v>805</v>
      </c>
      <c r="C9059" t="s">
        <v>874</v>
      </c>
      <c r="D9059" t="s">
        <v>14</v>
      </c>
      <c r="E9059">
        <v>2</v>
      </c>
      <c r="F9059" s="2">
        <f>DATE(2026,IF(Tabla1[[#This Row],[Mes de Fecha]]="Septiembre",9,10),Tabla1[[#This Row],[Día de Fecha]])</f>
        <v>46297</v>
      </c>
      <c r="G9059">
        <v>1004236016</v>
      </c>
      <c r="H9059" t="s">
        <v>806</v>
      </c>
      <c r="I9059">
        <v>23</v>
      </c>
      <c r="J9059">
        <v>0</v>
      </c>
      <c r="K9059" s="1">
        <v>1322481</v>
      </c>
    </row>
    <row r="9060" spans="1:11" x14ac:dyDescent="0.25">
      <c r="A9060" t="s">
        <v>326</v>
      </c>
      <c r="B9060" t="s">
        <v>805</v>
      </c>
      <c r="C9060" t="s">
        <v>874</v>
      </c>
      <c r="D9060" t="s">
        <v>14</v>
      </c>
      <c r="E9060">
        <v>2</v>
      </c>
      <c r="F9060" s="2">
        <f>DATE(2026,IF(Tabla1[[#This Row],[Mes de Fecha]]="Septiembre",9,10),Tabla1[[#This Row],[Día de Fecha]])</f>
        <v>46297</v>
      </c>
      <c r="G9060">
        <v>1055047967</v>
      </c>
      <c r="H9060" t="s">
        <v>584</v>
      </c>
      <c r="I9060">
        <v>21</v>
      </c>
      <c r="J9060">
        <v>0</v>
      </c>
      <c r="K9060" s="1">
        <v>1351934</v>
      </c>
    </row>
    <row r="9061" spans="1:11" x14ac:dyDescent="0.25">
      <c r="A9061" t="s">
        <v>326</v>
      </c>
      <c r="B9061" t="s">
        <v>805</v>
      </c>
      <c r="C9061" t="s">
        <v>874</v>
      </c>
      <c r="D9061" t="s">
        <v>14</v>
      </c>
      <c r="E9061">
        <v>2</v>
      </c>
      <c r="F9061" s="2">
        <f>DATE(2026,IF(Tabla1[[#This Row],[Mes de Fecha]]="Septiembre",9,10),Tabla1[[#This Row],[Día de Fecha]])</f>
        <v>46297</v>
      </c>
      <c r="G9061">
        <v>1082749357</v>
      </c>
      <c r="H9061" t="s">
        <v>526</v>
      </c>
      <c r="I9061">
        <v>22</v>
      </c>
      <c r="J9061">
        <v>0</v>
      </c>
      <c r="K9061" s="1">
        <v>1498992</v>
      </c>
    </row>
    <row r="9062" spans="1:11" x14ac:dyDescent="0.25">
      <c r="A9062" t="s">
        <v>326</v>
      </c>
      <c r="B9062" t="s">
        <v>805</v>
      </c>
      <c r="C9062" t="s">
        <v>874</v>
      </c>
      <c r="D9062" t="s">
        <v>14</v>
      </c>
      <c r="E9062">
        <v>2</v>
      </c>
      <c r="F9062" s="2">
        <f>DATE(2026,IF(Tabla1[[#This Row],[Mes de Fecha]]="Septiembre",9,10),Tabla1[[#This Row],[Día de Fecha]])</f>
        <v>46297</v>
      </c>
      <c r="G9062">
        <v>1085266049</v>
      </c>
      <c r="H9062" t="s">
        <v>585</v>
      </c>
      <c r="I9062">
        <v>17</v>
      </c>
      <c r="J9062">
        <v>0</v>
      </c>
      <c r="K9062" s="1">
        <v>1226052</v>
      </c>
    </row>
    <row r="9063" spans="1:11" x14ac:dyDescent="0.25">
      <c r="A9063" t="s">
        <v>326</v>
      </c>
      <c r="B9063" t="s">
        <v>805</v>
      </c>
      <c r="C9063" t="s">
        <v>874</v>
      </c>
      <c r="D9063" t="s">
        <v>14</v>
      </c>
      <c r="E9063">
        <v>2</v>
      </c>
      <c r="F9063" s="2">
        <f>DATE(2026,IF(Tabla1[[#This Row],[Mes de Fecha]]="Septiembre",9,10),Tabla1[[#This Row],[Día de Fecha]])</f>
        <v>46297</v>
      </c>
      <c r="G9063">
        <v>1085290212</v>
      </c>
      <c r="H9063" t="s">
        <v>583</v>
      </c>
      <c r="I9063">
        <v>34</v>
      </c>
      <c r="J9063">
        <v>0</v>
      </c>
      <c r="K9063" s="1">
        <v>1825801</v>
      </c>
    </row>
    <row r="9064" spans="1:11" x14ac:dyDescent="0.25">
      <c r="A9064" t="s">
        <v>326</v>
      </c>
      <c r="B9064" t="s">
        <v>805</v>
      </c>
      <c r="C9064" t="s">
        <v>874</v>
      </c>
      <c r="D9064" t="s">
        <v>14</v>
      </c>
      <c r="E9064">
        <v>3</v>
      </c>
      <c r="F9064" s="2">
        <f>DATE(2026,IF(Tabla1[[#This Row],[Mes de Fecha]]="Septiembre",9,10),Tabla1[[#This Row],[Día de Fecha]])</f>
        <v>46298</v>
      </c>
      <c r="I9064">
        <v>0</v>
      </c>
      <c r="J9064" s="1">
        <v>10980053</v>
      </c>
      <c r="K9064">
        <v>0</v>
      </c>
    </row>
    <row r="9065" spans="1:11" x14ac:dyDescent="0.25">
      <c r="A9065" t="s">
        <v>326</v>
      </c>
      <c r="B9065" t="s">
        <v>805</v>
      </c>
      <c r="C9065" t="s">
        <v>874</v>
      </c>
      <c r="D9065" t="s">
        <v>14</v>
      </c>
      <c r="E9065">
        <v>3</v>
      </c>
      <c r="F9065" s="2">
        <f>DATE(2026,IF(Tabla1[[#This Row],[Mes de Fecha]]="Septiembre",9,10),Tabla1[[#This Row],[Día de Fecha]])</f>
        <v>46298</v>
      </c>
      <c r="G9065">
        <v>1004236016</v>
      </c>
      <c r="H9065" t="s">
        <v>806</v>
      </c>
      <c r="I9065">
        <v>36</v>
      </c>
      <c r="J9065">
        <v>0</v>
      </c>
      <c r="K9065" s="1">
        <v>2024852</v>
      </c>
    </row>
    <row r="9066" spans="1:11" x14ac:dyDescent="0.25">
      <c r="A9066" t="s">
        <v>326</v>
      </c>
      <c r="B9066" t="s">
        <v>805</v>
      </c>
      <c r="C9066" t="s">
        <v>874</v>
      </c>
      <c r="D9066" t="s">
        <v>14</v>
      </c>
      <c r="E9066">
        <v>3</v>
      </c>
      <c r="F9066" s="2">
        <f>DATE(2026,IF(Tabla1[[#This Row],[Mes de Fecha]]="Septiembre",9,10),Tabla1[[#This Row],[Día de Fecha]])</f>
        <v>46298</v>
      </c>
      <c r="G9066">
        <v>1055047967</v>
      </c>
      <c r="H9066" t="s">
        <v>584</v>
      </c>
      <c r="I9066">
        <v>72</v>
      </c>
      <c r="J9066">
        <v>0</v>
      </c>
      <c r="K9066" s="1">
        <v>3296750</v>
      </c>
    </row>
    <row r="9067" spans="1:11" x14ac:dyDescent="0.25">
      <c r="A9067" t="s">
        <v>326</v>
      </c>
      <c r="B9067" t="s">
        <v>805</v>
      </c>
      <c r="C9067" t="s">
        <v>874</v>
      </c>
      <c r="D9067" t="s">
        <v>14</v>
      </c>
      <c r="E9067">
        <v>3</v>
      </c>
      <c r="F9067" s="2">
        <f>DATE(2026,IF(Tabla1[[#This Row],[Mes de Fecha]]="Septiembre",9,10),Tabla1[[#This Row],[Día de Fecha]])</f>
        <v>46298</v>
      </c>
      <c r="G9067">
        <v>1082749357</v>
      </c>
      <c r="H9067" t="s">
        <v>526</v>
      </c>
      <c r="I9067">
        <v>44</v>
      </c>
      <c r="J9067">
        <v>0</v>
      </c>
      <c r="K9067" s="1">
        <v>2599655</v>
      </c>
    </row>
    <row r="9068" spans="1:11" x14ac:dyDescent="0.25">
      <c r="A9068" t="s">
        <v>326</v>
      </c>
      <c r="B9068" t="s">
        <v>805</v>
      </c>
      <c r="C9068" t="s">
        <v>874</v>
      </c>
      <c r="D9068" t="s">
        <v>14</v>
      </c>
      <c r="E9068">
        <v>3</v>
      </c>
      <c r="F9068" s="2">
        <f>DATE(2026,IF(Tabla1[[#This Row],[Mes de Fecha]]="Septiembre",9,10),Tabla1[[#This Row],[Día de Fecha]])</f>
        <v>46298</v>
      </c>
      <c r="G9068">
        <v>1085266049</v>
      </c>
      <c r="H9068" t="s">
        <v>585</v>
      </c>
      <c r="I9068">
        <v>33</v>
      </c>
      <c r="J9068">
        <v>0</v>
      </c>
      <c r="K9068" s="1">
        <v>2119454</v>
      </c>
    </row>
    <row r="9069" spans="1:11" x14ac:dyDescent="0.25">
      <c r="A9069" t="s">
        <v>326</v>
      </c>
      <c r="B9069" t="s">
        <v>805</v>
      </c>
      <c r="C9069" t="s">
        <v>874</v>
      </c>
      <c r="D9069" t="s">
        <v>14</v>
      </c>
      <c r="E9069">
        <v>3</v>
      </c>
      <c r="F9069" s="2">
        <f>DATE(2026,IF(Tabla1[[#This Row],[Mes de Fecha]]="Septiembre",9,10),Tabla1[[#This Row],[Día de Fecha]])</f>
        <v>46298</v>
      </c>
      <c r="G9069">
        <v>1085274203</v>
      </c>
      <c r="H9069" t="s">
        <v>524</v>
      </c>
      <c r="I9069">
        <v>-1</v>
      </c>
      <c r="J9069">
        <v>0</v>
      </c>
      <c r="K9069" s="1">
        <v>-58781</v>
      </c>
    </row>
    <row r="9070" spans="1:11" x14ac:dyDescent="0.25">
      <c r="A9070" t="s">
        <v>326</v>
      </c>
      <c r="B9070" t="s">
        <v>805</v>
      </c>
      <c r="C9070" t="s">
        <v>874</v>
      </c>
      <c r="D9070" t="s">
        <v>14</v>
      </c>
      <c r="E9070">
        <v>3</v>
      </c>
      <c r="F9070" s="2">
        <f>DATE(2026,IF(Tabla1[[#This Row],[Mes de Fecha]]="Septiembre",9,10),Tabla1[[#This Row],[Día de Fecha]])</f>
        <v>46298</v>
      </c>
      <c r="G9070">
        <v>1085290212</v>
      </c>
      <c r="H9070" t="s">
        <v>583</v>
      </c>
      <c r="I9070">
        <v>79</v>
      </c>
      <c r="J9070">
        <v>0</v>
      </c>
      <c r="K9070" s="1">
        <v>4209149</v>
      </c>
    </row>
    <row r="9071" spans="1:11" x14ac:dyDescent="0.25">
      <c r="A9071" t="s">
        <v>326</v>
      </c>
      <c r="B9071" t="s">
        <v>805</v>
      </c>
      <c r="C9071" t="s">
        <v>874</v>
      </c>
      <c r="D9071" t="s">
        <v>14</v>
      </c>
      <c r="E9071">
        <v>4</v>
      </c>
      <c r="F9071" s="2">
        <f>DATE(2026,IF(Tabla1[[#This Row],[Mes de Fecha]]="Septiembre",9,10),Tabla1[[#This Row],[Día de Fecha]])</f>
        <v>46299</v>
      </c>
      <c r="I9071">
        <v>0</v>
      </c>
      <c r="J9071" s="1">
        <v>6285310</v>
      </c>
      <c r="K9071">
        <v>0</v>
      </c>
    </row>
    <row r="9072" spans="1:11" x14ac:dyDescent="0.25">
      <c r="A9072" t="s">
        <v>326</v>
      </c>
      <c r="B9072" t="s">
        <v>805</v>
      </c>
      <c r="C9072" t="s">
        <v>874</v>
      </c>
      <c r="D9072" t="s">
        <v>14</v>
      </c>
      <c r="E9072">
        <v>4</v>
      </c>
      <c r="F9072" s="2">
        <f>DATE(2026,IF(Tabla1[[#This Row],[Mes de Fecha]]="Septiembre",9,10),Tabla1[[#This Row],[Día de Fecha]])</f>
        <v>46299</v>
      </c>
      <c r="G9072">
        <v>1004236016</v>
      </c>
      <c r="H9072" t="s">
        <v>806</v>
      </c>
      <c r="I9072">
        <v>19</v>
      </c>
      <c r="J9072">
        <v>0</v>
      </c>
      <c r="K9072" s="1">
        <v>1022313</v>
      </c>
    </row>
    <row r="9073" spans="1:11" x14ac:dyDescent="0.25">
      <c r="A9073" t="s">
        <v>326</v>
      </c>
      <c r="B9073" t="s">
        <v>805</v>
      </c>
      <c r="C9073" t="s">
        <v>874</v>
      </c>
      <c r="D9073" t="s">
        <v>14</v>
      </c>
      <c r="E9073">
        <v>4</v>
      </c>
      <c r="F9073" s="2">
        <f>DATE(2026,IF(Tabla1[[#This Row],[Mes de Fecha]]="Septiembre",9,10),Tabla1[[#This Row],[Día de Fecha]])</f>
        <v>46299</v>
      </c>
      <c r="G9073">
        <v>1055047967</v>
      </c>
      <c r="H9073" t="s">
        <v>584</v>
      </c>
      <c r="I9073">
        <v>25</v>
      </c>
      <c r="J9073">
        <v>0</v>
      </c>
      <c r="K9073" s="1">
        <v>1564078</v>
      </c>
    </row>
    <row r="9074" spans="1:11" x14ac:dyDescent="0.25">
      <c r="A9074" t="s">
        <v>326</v>
      </c>
      <c r="B9074" t="s">
        <v>805</v>
      </c>
      <c r="C9074" t="s">
        <v>874</v>
      </c>
      <c r="D9074" t="s">
        <v>14</v>
      </c>
      <c r="E9074">
        <v>4</v>
      </c>
      <c r="F9074" s="2">
        <f>DATE(2026,IF(Tabla1[[#This Row],[Mes de Fecha]]="Septiembre",9,10),Tabla1[[#This Row],[Día de Fecha]])</f>
        <v>46299</v>
      </c>
      <c r="G9074">
        <v>1082749357</v>
      </c>
      <c r="H9074" t="s">
        <v>526</v>
      </c>
      <c r="I9074">
        <v>10</v>
      </c>
      <c r="J9074">
        <v>0</v>
      </c>
      <c r="K9074" s="1">
        <v>680253</v>
      </c>
    </row>
    <row r="9075" spans="1:11" x14ac:dyDescent="0.25">
      <c r="A9075" t="s">
        <v>326</v>
      </c>
      <c r="B9075" t="s">
        <v>805</v>
      </c>
      <c r="C9075" t="s">
        <v>874</v>
      </c>
      <c r="D9075" t="s">
        <v>14</v>
      </c>
      <c r="E9075">
        <v>4</v>
      </c>
      <c r="F9075" s="2">
        <f>DATE(2026,IF(Tabla1[[#This Row],[Mes de Fecha]]="Septiembre",9,10),Tabla1[[#This Row],[Día de Fecha]])</f>
        <v>46299</v>
      </c>
      <c r="G9075">
        <v>1085266049</v>
      </c>
      <c r="H9075" t="s">
        <v>585</v>
      </c>
      <c r="I9075">
        <v>12</v>
      </c>
      <c r="J9075">
        <v>0</v>
      </c>
      <c r="K9075" s="1">
        <v>738951</v>
      </c>
    </row>
    <row r="9076" spans="1:11" x14ac:dyDescent="0.25">
      <c r="A9076" t="s">
        <v>326</v>
      </c>
      <c r="B9076" t="s">
        <v>805</v>
      </c>
      <c r="C9076" t="s">
        <v>874</v>
      </c>
      <c r="D9076" t="s">
        <v>14</v>
      </c>
      <c r="E9076">
        <v>5</v>
      </c>
      <c r="F9076" s="2">
        <f>DATE(2026,IF(Tabla1[[#This Row],[Mes de Fecha]]="Septiembre",9,10),Tabla1[[#This Row],[Día de Fecha]])</f>
        <v>46300</v>
      </c>
      <c r="I9076">
        <v>0</v>
      </c>
      <c r="J9076" s="1">
        <v>9998885</v>
      </c>
      <c r="K9076">
        <v>0</v>
      </c>
    </row>
    <row r="9077" spans="1:11" x14ac:dyDescent="0.25">
      <c r="A9077" t="s">
        <v>326</v>
      </c>
      <c r="B9077" t="s">
        <v>805</v>
      </c>
      <c r="C9077" t="s">
        <v>874</v>
      </c>
      <c r="D9077" t="s">
        <v>14</v>
      </c>
      <c r="E9077">
        <v>5</v>
      </c>
      <c r="F9077" s="2">
        <f>DATE(2026,IF(Tabla1[[#This Row],[Mes de Fecha]]="Septiembre",9,10),Tabla1[[#This Row],[Día de Fecha]])</f>
        <v>46300</v>
      </c>
      <c r="G9077">
        <v>1004236016</v>
      </c>
      <c r="H9077" t="s">
        <v>806</v>
      </c>
      <c r="I9077">
        <v>18</v>
      </c>
      <c r="J9077">
        <v>0</v>
      </c>
      <c r="K9077" s="1">
        <v>1163109</v>
      </c>
    </row>
    <row r="9078" spans="1:11" x14ac:dyDescent="0.25">
      <c r="A9078" t="s">
        <v>326</v>
      </c>
      <c r="B9078" t="s">
        <v>805</v>
      </c>
      <c r="C9078" t="s">
        <v>874</v>
      </c>
      <c r="D9078" t="s">
        <v>14</v>
      </c>
      <c r="E9078">
        <v>5</v>
      </c>
      <c r="F9078" s="2">
        <f>DATE(2026,IF(Tabla1[[#This Row],[Mes de Fecha]]="Septiembre",9,10),Tabla1[[#This Row],[Día de Fecha]])</f>
        <v>46300</v>
      </c>
      <c r="G9078">
        <v>1055047967</v>
      </c>
      <c r="H9078" t="s">
        <v>584</v>
      </c>
      <c r="I9078">
        <v>21</v>
      </c>
      <c r="J9078">
        <v>0</v>
      </c>
      <c r="K9078" s="1">
        <v>1305842</v>
      </c>
    </row>
    <row r="9079" spans="1:11" x14ac:dyDescent="0.25">
      <c r="A9079" t="s">
        <v>326</v>
      </c>
      <c r="B9079" t="s">
        <v>805</v>
      </c>
      <c r="C9079" t="s">
        <v>874</v>
      </c>
      <c r="D9079" t="s">
        <v>14</v>
      </c>
      <c r="E9079">
        <v>5</v>
      </c>
      <c r="F9079" s="2">
        <f>DATE(2026,IF(Tabla1[[#This Row],[Mes de Fecha]]="Septiembre",9,10),Tabla1[[#This Row],[Día de Fecha]])</f>
        <v>46300</v>
      </c>
      <c r="G9079">
        <v>1082749357</v>
      </c>
      <c r="H9079" t="s">
        <v>526</v>
      </c>
      <c r="I9079">
        <v>11</v>
      </c>
      <c r="J9079">
        <v>0</v>
      </c>
      <c r="K9079" s="1">
        <v>661303</v>
      </c>
    </row>
    <row r="9080" spans="1:11" x14ac:dyDescent="0.25">
      <c r="A9080" t="s">
        <v>326</v>
      </c>
      <c r="B9080" t="s">
        <v>805</v>
      </c>
      <c r="C9080" t="s">
        <v>874</v>
      </c>
      <c r="D9080" t="s">
        <v>14</v>
      </c>
      <c r="E9080">
        <v>5</v>
      </c>
      <c r="F9080" s="2">
        <f>DATE(2026,IF(Tabla1[[#This Row],[Mes de Fecha]]="Septiembre",9,10),Tabla1[[#This Row],[Día de Fecha]])</f>
        <v>46300</v>
      </c>
      <c r="G9080">
        <v>1085266049</v>
      </c>
      <c r="H9080" t="s">
        <v>585</v>
      </c>
      <c r="I9080">
        <v>15</v>
      </c>
      <c r="J9080">
        <v>0</v>
      </c>
      <c r="K9080" s="1">
        <v>797648</v>
      </c>
    </row>
    <row r="9081" spans="1:11" x14ac:dyDescent="0.25">
      <c r="A9081" t="s">
        <v>326</v>
      </c>
      <c r="B9081" t="s">
        <v>805</v>
      </c>
      <c r="C9081" t="s">
        <v>874</v>
      </c>
      <c r="D9081" t="s">
        <v>14</v>
      </c>
      <c r="E9081">
        <v>5</v>
      </c>
      <c r="F9081" s="2">
        <f>DATE(2026,IF(Tabla1[[#This Row],[Mes de Fecha]]="Septiembre",9,10),Tabla1[[#This Row],[Día de Fecha]])</f>
        <v>46300</v>
      </c>
      <c r="G9081">
        <v>1085290212</v>
      </c>
      <c r="H9081" t="s">
        <v>583</v>
      </c>
      <c r="I9081">
        <v>15</v>
      </c>
      <c r="J9081">
        <v>0</v>
      </c>
      <c r="K9081" s="1">
        <v>873277</v>
      </c>
    </row>
    <row r="9082" spans="1:11" x14ac:dyDescent="0.25">
      <c r="A9082" t="s">
        <v>326</v>
      </c>
      <c r="B9082" t="s">
        <v>805</v>
      </c>
      <c r="C9082" t="s">
        <v>874</v>
      </c>
      <c r="D9082" t="s">
        <v>14</v>
      </c>
      <c r="E9082">
        <v>6</v>
      </c>
      <c r="F9082" s="2">
        <f>DATE(2026,IF(Tabla1[[#This Row],[Mes de Fecha]]="Septiembre",9,10),Tabla1[[#This Row],[Día de Fecha]])</f>
        <v>46301</v>
      </c>
      <c r="I9082">
        <v>0</v>
      </c>
      <c r="J9082" s="1">
        <v>5773707</v>
      </c>
      <c r="K9082">
        <v>0</v>
      </c>
    </row>
    <row r="9083" spans="1:11" x14ac:dyDescent="0.25">
      <c r="A9083" t="s">
        <v>326</v>
      </c>
      <c r="B9083" t="s">
        <v>805</v>
      </c>
      <c r="C9083" t="s">
        <v>874</v>
      </c>
      <c r="D9083" t="s">
        <v>14</v>
      </c>
      <c r="E9083">
        <v>6</v>
      </c>
      <c r="F9083" s="2">
        <f>DATE(2026,IF(Tabla1[[#This Row],[Mes de Fecha]]="Septiembre",9,10),Tabla1[[#This Row],[Día de Fecha]])</f>
        <v>46301</v>
      </c>
      <c r="G9083">
        <v>1004236016</v>
      </c>
      <c r="H9083" t="s">
        <v>806</v>
      </c>
      <c r="I9083">
        <v>16</v>
      </c>
      <c r="J9083">
        <v>0</v>
      </c>
      <c r="K9083" s="1">
        <v>1003445</v>
      </c>
    </row>
    <row r="9084" spans="1:11" x14ac:dyDescent="0.25">
      <c r="A9084" t="s">
        <v>326</v>
      </c>
      <c r="B9084" t="s">
        <v>805</v>
      </c>
      <c r="C9084" t="s">
        <v>874</v>
      </c>
      <c r="D9084" t="s">
        <v>14</v>
      </c>
      <c r="E9084">
        <v>6</v>
      </c>
      <c r="F9084" s="2">
        <f>DATE(2026,IF(Tabla1[[#This Row],[Mes de Fecha]]="Septiembre",9,10),Tabla1[[#This Row],[Día de Fecha]])</f>
        <v>46301</v>
      </c>
      <c r="G9084">
        <v>1055047967</v>
      </c>
      <c r="H9084" t="s">
        <v>584</v>
      </c>
      <c r="I9084">
        <v>23</v>
      </c>
      <c r="J9084">
        <v>0</v>
      </c>
      <c r="K9084" s="1">
        <v>1377145</v>
      </c>
    </row>
    <row r="9085" spans="1:11" x14ac:dyDescent="0.25">
      <c r="A9085" t="s">
        <v>326</v>
      </c>
      <c r="B9085" t="s">
        <v>805</v>
      </c>
      <c r="C9085" t="s">
        <v>874</v>
      </c>
      <c r="D9085" t="s">
        <v>14</v>
      </c>
      <c r="E9085">
        <v>6</v>
      </c>
      <c r="F9085" s="2">
        <f>DATE(2026,IF(Tabla1[[#This Row],[Mes de Fecha]]="Septiembre",9,10),Tabla1[[#This Row],[Día de Fecha]])</f>
        <v>46301</v>
      </c>
      <c r="G9085">
        <v>1082749357</v>
      </c>
      <c r="H9085" t="s">
        <v>526</v>
      </c>
      <c r="I9085">
        <v>19</v>
      </c>
      <c r="J9085">
        <v>0</v>
      </c>
      <c r="K9085" s="1">
        <v>1238657</v>
      </c>
    </row>
    <row r="9086" spans="1:11" x14ac:dyDescent="0.25">
      <c r="A9086" t="s">
        <v>326</v>
      </c>
      <c r="B9086" t="s">
        <v>805</v>
      </c>
      <c r="C9086" t="s">
        <v>874</v>
      </c>
      <c r="D9086" t="s">
        <v>14</v>
      </c>
      <c r="E9086">
        <v>6</v>
      </c>
      <c r="F9086" s="2">
        <f>DATE(2026,IF(Tabla1[[#This Row],[Mes de Fecha]]="Septiembre",9,10),Tabla1[[#This Row],[Día de Fecha]])</f>
        <v>46301</v>
      </c>
      <c r="G9086">
        <v>1085266049</v>
      </c>
      <c r="H9086" t="s">
        <v>585</v>
      </c>
      <c r="I9086">
        <v>1</v>
      </c>
      <c r="J9086">
        <v>0</v>
      </c>
      <c r="K9086" s="1">
        <v>96597</v>
      </c>
    </row>
    <row r="9087" spans="1:11" x14ac:dyDescent="0.25">
      <c r="A9087" t="s">
        <v>326</v>
      </c>
      <c r="B9087" t="s">
        <v>805</v>
      </c>
      <c r="C9087" t="s">
        <v>874</v>
      </c>
      <c r="D9087" t="s">
        <v>14</v>
      </c>
      <c r="E9087">
        <v>6</v>
      </c>
      <c r="F9087" s="2">
        <f>DATE(2026,IF(Tabla1[[#This Row],[Mes de Fecha]]="Septiembre",9,10),Tabla1[[#This Row],[Día de Fecha]])</f>
        <v>46301</v>
      </c>
      <c r="G9087">
        <v>1085290212</v>
      </c>
      <c r="H9087" t="s">
        <v>583</v>
      </c>
      <c r="I9087">
        <v>38</v>
      </c>
      <c r="J9087">
        <v>0</v>
      </c>
      <c r="K9087" s="1">
        <v>2422649</v>
      </c>
    </row>
    <row r="9088" spans="1:11" x14ac:dyDescent="0.25">
      <c r="A9088" t="s">
        <v>326</v>
      </c>
      <c r="B9088" t="s">
        <v>805</v>
      </c>
      <c r="C9088" t="s">
        <v>874</v>
      </c>
      <c r="D9088" t="s">
        <v>14</v>
      </c>
      <c r="E9088">
        <v>7</v>
      </c>
      <c r="F9088" s="2">
        <f>DATE(2026,IF(Tabla1[[#This Row],[Mes de Fecha]]="Septiembre",9,10),Tabla1[[#This Row],[Día de Fecha]])</f>
        <v>46302</v>
      </c>
      <c r="I9088">
        <v>0</v>
      </c>
      <c r="J9088" s="1">
        <v>5697736</v>
      </c>
      <c r="K9088">
        <v>0</v>
      </c>
    </row>
    <row r="9089" spans="1:11" x14ac:dyDescent="0.25">
      <c r="A9089" t="s">
        <v>326</v>
      </c>
      <c r="B9089" t="s">
        <v>805</v>
      </c>
      <c r="C9089" t="s">
        <v>874</v>
      </c>
      <c r="D9089" t="s">
        <v>14</v>
      </c>
      <c r="E9089">
        <v>7</v>
      </c>
      <c r="F9089" s="2">
        <f>DATE(2026,IF(Tabla1[[#This Row],[Mes de Fecha]]="Septiembre",9,10),Tabla1[[#This Row],[Día de Fecha]])</f>
        <v>46302</v>
      </c>
      <c r="G9089">
        <v>1004236016</v>
      </c>
      <c r="H9089" t="s">
        <v>806</v>
      </c>
      <c r="I9089">
        <v>27</v>
      </c>
      <c r="J9089">
        <v>0</v>
      </c>
      <c r="K9089" s="1">
        <v>1461008</v>
      </c>
    </row>
    <row r="9090" spans="1:11" x14ac:dyDescent="0.25">
      <c r="A9090" t="s">
        <v>326</v>
      </c>
      <c r="B9090" t="s">
        <v>805</v>
      </c>
      <c r="C9090" t="s">
        <v>874</v>
      </c>
      <c r="D9090" t="s">
        <v>14</v>
      </c>
      <c r="E9090">
        <v>7</v>
      </c>
      <c r="F9090" s="2">
        <f>DATE(2026,IF(Tabla1[[#This Row],[Mes de Fecha]]="Septiembre",9,10),Tabla1[[#This Row],[Día de Fecha]])</f>
        <v>46302</v>
      </c>
      <c r="G9090">
        <v>1055047967</v>
      </c>
      <c r="H9090" t="s">
        <v>584</v>
      </c>
      <c r="I9090">
        <v>21</v>
      </c>
      <c r="J9090">
        <v>0</v>
      </c>
      <c r="K9090" s="1">
        <v>1310044</v>
      </c>
    </row>
    <row r="9091" spans="1:11" x14ac:dyDescent="0.25">
      <c r="A9091" t="s">
        <v>326</v>
      </c>
      <c r="B9091" t="s">
        <v>805</v>
      </c>
      <c r="C9091" t="s">
        <v>874</v>
      </c>
      <c r="D9091" t="s">
        <v>14</v>
      </c>
      <c r="E9091">
        <v>7</v>
      </c>
      <c r="F9091" s="2">
        <f>DATE(2026,IF(Tabla1[[#This Row],[Mes de Fecha]]="Septiembre",9,10),Tabla1[[#This Row],[Día de Fecha]])</f>
        <v>46302</v>
      </c>
      <c r="G9091">
        <v>1082749357</v>
      </c>
      <c r="H9091" t="s">
        <v>526</v>
      </c>
      <c r="I9091">
        <v>34</v>
      </c>
      <c r="J9091">
        <v>0</v>
      </c>
      <c r="K9091" s="1">
        <v>2162356</v>
      </c>
    </row>
    <row r="9092" spans="1:11" x14ac:dyDescent="0.25">
      <c r="A9092" t="s">
        <v>326</v>
      </c>
      <c r="B9092" t="s">
        <v>805</v>
      </c>
      <c r="C9092" t="s">
        <v>874</v>
      </c>
      <c r="D9092" t="s">
        <v>14</v>
      </c>
      <c r="E9092">
        <v>7</v>
      </c>
      <c r="F9092" s="2">
        <f>DATE(2026,IF(Tabla1[[#This Row],[Mes de Fecha]]="Septiembre",9,10),Tabla1[[#This Row],[Día de Fecha]])</f>
        <v>46302</v>
      </c>
      <c r="G9092">
        <v>1085290212</v>
      </c>
      <c r="H9092" t="s">
        <v>583</v>
      </c>
      <c r="I9092">
        <v>38</v>
      </c>
      <c r="J9092">
        <v>0</v>
      </c>
      <c r="K9092" s="1">
        <v>2160087</v>
      </c>
    </row>
    <row r="9093" spans="1:11" x14ac:dyDescent="0.25">
      <c r="A9093" t="s">
        <v>9</v>
      </c>
      <c r="B9093" t="s">
        <v>49</v>
      </c>
      <c r="C9093" t="s">
        <v>875</v>
      </c>
      <c r="D9093" t="s">
        <v>11</v>
      </c>
      <c r="E9093">
        <v>23</v>
      </c>
      <c r="F9093" s="2">
        <f>DATE(2026,IF(Tabla1[[#This Row],[Mes de Fecha]]="Septiembre",9,10),Tabla1[[#This Row],[Día de Fecha]])</f>
        <v>46288</v>
      </c>
      <c r="I9093">
        <v>0</v>
      </c>
      <c r="J9093" s="1">
        <v>6801678</v>
      </c>
      <c r="K9093">
        <v>0</v>
      </c>
    </row>
    <row r="9094" spans="1:11" x14ac:dyDescent="0.25">
      <c r="A9094" t="s">
        <v>9</v>
      </c>
      <c r="B9094" t="s">
        <v>49</v>
      </c>
      <c r="C9094" t="s">
        <v>875</v>
      </c>
      <c r="D9094" t="s">
        <v>11</v>
      </c>
      <c r="E9094">
        <v>23</v>
      </c>
      <c r="F9094" s="2">
        <f>DATE(2026,IF(Tabla1[[#This Row],[Mes de Fecha]]="Septiembre",9,10),Tabla1[[#This Row],[Día de Fecha]])</f>
        <v>46288</v>
      </c>
      <c r="G9094">
        <v>5401602</v>
      </c>
      <c r="H9094" t="s">
        <v>52</v>
      </c>
      <c r="I9094">
        <v>42</v>
      </c>
      <c r="J9094">
        <v>0</v>
      </c>
      <c r="K9094" s="1">
        <v>1943615</v>
      </c>
    </row>
    <row r="9095" spans="1:11" x14ac:dyDescent="0.25">
      <c r="A9095" t="s">
        <v>9</v>
      </c>
      <c r="B9095" t="s">
        <v>49</v>
      </c>
      <c r="C9095" t="s">
        <v>875</v>
      </c>
      <c r="D9095" t="s">
        <v>11</v>
      </c>
      <c r="E9095">
        <v>23</v>
      </c>
      <c r="F9095" s="2">
        <f>DATE(2026,IF(Tabla1[[#This Row],[Mes de Fecha]]="Septiembre",9,10),Tabla1[[#This Row],[Día de Fecha]])</f>
        <v>46288</v>
      </c>
      <c r="G9095">
        <v>1005030326</v>
      </c>
      <c r="H9095" t="s">
        <v>55</v>
      </c>
      <c r="I9095">
        <v>47</v>
      </c>
      <c r="J9095">
        <v>0</v>
      </c>
      <c r="K9095" s="1">
        <v>2416096</v>
      </c>
    </row>
    <row r="9096" spans="1:11" x14ac:dyDescent="0.25">
      <c r="A9096" t="s">
        <v>9</v>
      </c>
      <c r="B9096" t="s">
        <v>49</v>
      </c>
      <c r="C9096" t="s">
        <v>875</v>
      </c>
      <c r="D9096" t="s">
        <v>11</v>
      </c>
      <c r="E9096">
        <v>23</v>
      </c>
      <c r="F9096" s="2">
        <f>DATE(2026,IF(Tabla1[[#This Row],[Mes de Fecha]]="Septiembre",9,10),Tabla1[[#This Row],[Día de Fecha]])</f>
        <v>46288</v>
      </c>
      <c r="G9096">
        <v>1091966973</v>
      </c>
      <c r="H9096" t="s">
        <v>50</v>
      </c>
      <c r="I9096">
        <v>45</v>
      </c>
      <c r="J9096">
        <v>0</v>
      </c>
      <c r="K9096" s="1">
        <v>2767018</v>
      </c>
    </row>
    <row r="9097" spans="1:11" x14ac:dyDescent="0.25">
      <c r="A9097" t="s">
        <v>9</v>
      </c>
      <c r="B9097" t="s">
        <v>49</v>
      </c>
      <c r="C9097" t="s">
        <v>875</v>
      </c>
      <c r="D9097" t="s">
        <v>11</v>
      </c>
      <c r="E9097">
        <v>23</v>
      </c>
      <c r="F9097" s="2">
        <f>DATE(2026,IF(Tabla1[[#This Row],[Mes de Fecha]]="Septiembre",9,10),Tabla1[[#This Row],[Día de Fecha]])</f>
        <v>46288</v>
      </c>
      <c r="G9097">
        <v>1094051083</v>
      </c>
      <c r="H9097" t="s">
        <v>51</v>
      </c>
      <c r="I9097">
        <v>68</v>
      </c>
      <c r="J9097">
        <v>0</v>
      </c>
      <c r="K9097" s="1">
        <v>3383700</v>
      </c>
    </row>
    <row r="9098" spans="1:11" x14ac:dyDescent="0.25">
      <c r="A9098" t="s">
        <v>9</v>
      </c>
      <c r="B9098" t="s">
        <v>49</v>
      </c>
      <c r="C9098" t="s">
        <v>875</v>
      </c>
      <c r="D9098" t="s">
        <v>11</v>
      </c>
      <c r="E9098">
        <v>23</v>
      </c>
      <c r="F9098" s="2">
        <f>DATE(2026,IF(Tabla1[[#This Row],[Mes de Fecha]]="Septiembre",9,10),Tabla1[[#This Row],[Día de Fecha]])</f>
        <v>46288</v>
      </c>
      <c r="G9098">
        <v>1192751831</v>
      </c>
      <c r="H9098" t="s">
        <v>53</v>
      </c>
      <c r="I9098">
        <v>69</v>
      </c>
      <c r="J9098">
        <v>0</v>
      </c>
      <c r="K9098" s="1">
        <v>3404670</v>
      </c>
    </row>
    <row r="9099" spans="1:11" x14ac:dyDescent="0.25">
      <c r="A9099" t="s">
        <v>9</v>
      </c>
      <c r="B9099" t="s">
        <v>49</v>
      </c>
      <c r="C9099" t="s">
        <v>875</v>
      </c>
      <c r="D9099" t="s">
        <v>11</v>
      </c>
      <c r="E9099">
        <v>24</v>
      </c>
      <c r="F9099" s="2">
        <f>DATE(2026,IF(Tabla1[[#This Row],[Mes de Fecha]]="Septiembre",9,10),Tabla1[[#This Row],[Día de Fecha]])</f>
        <v>46289</v>
      </c>
      <c r="I9099">
        <v>0</v>
      </c>
      <c r="J9099" s="1">
        <v>17590445</v>
      </c>
      <c r="K9099">
        <v>0</v>
      </c>
    </row>
    <row r="9100" spans="1:11" x14ac:dyDescent="0.25">
      <c r="A9100" t="s">
        <v>9</v>
      </c>
      <c r="B9100" t="s">
        <v>49</v>
      </c>
      <c r="C9100" t="s">
        <v>875</v>
      </c>
      <c r="D9100" t="s">
        <v>11</v>
      </c>
      <c r="E9100">
        <v>24</v>
      </c>
      <c r="F9100" s="2">
        <f>DATE(2026,IF(Tabla1[[#This Row],[Mes de Fecha]]="Septiembre",9,10),Tabla1[[#This Row],[Día de Fecha]])</f>
        <v>46289</v>
      </c>
      <c r="G9100">
        <v>5401602</v>
      </c>
      <c r="H9100" t="s">
        <v>52</v>
      </c>
      <c r="I9100">
        <v>8</v>
      </c>
      <c r="J9100">
        <v>0</v>
      </c>
      <c r="K9100" s="1">
        <v>377816</v>
      </c>
    </row>
    <row r="9101" spans="1:11" x14ac:dyDescent="0.25">
      <c r="A9101" t="s">
        <v>9</v>
      </c>
      <c r="B9101" t="s">
        <v>49</v>
      </c>
      <c r="C9101" t="s">
        <v>875</v>
      </c>
      <c r="D9101" t="s">
        <v>11</v>
      </c>
      <c r="E9101">
        <v>24</v>
      </c>
      <c r="F9101" s="2">
        <f>DATE(2026,IF(Tabla1[[#This Row],[Mes de Fecha]]="Septiembre",9,10),Tabla1[[#This Row],[Día de Fecha]])</f>
        <v>46289</v>
      </c>
      <c r="G9101">
        <v>1005030326</v>
      </c>
      <c r="H9101" t="s">
        <v>55</v>
      </c>
      <c r="I9101">
        <v>50</v>
      </c>
      <c r="J9101">
        <v>0</v>
      </c>
      <c r="K9101" s="1">
        <v>2617651</v>
      </c>
    </row>
    <row r="9102" spans="1:11" x14ac:dyDescent="0.25">
      <c r="A9102" t="s">
        <v>9</v>
      </c>
      <c r="B9102" t="s">
        <v>49</v>
      </c>
      <c r="C9102" t="s">
        <v>875</v>
      </c>
      <c r="D9102" t="s">
        <v>11</v>
      </c>
      <c r="E9102">
        <v>24</v>
      </c>
      <c r="F9102" s="2">
        <f>DATE(2026,IF(Tabla1[[#This Row],[Mes de Fecha]]="Septiembre",9,10),Tabla1[[#This Row],[Día de Fecha]])</f>
        <v>46289</v>
      </c>
      <c r="G9102">
        <v>1091966973</v>
      </c>
      <c r="H9102" t="s">
        <v>50</v>
      </c>
      <c r="I9102">
        <v>68</v>
      </c>
      <c r="J9102">
        <v>0</v>
      </c>
      <c r="K9102" s="1">
        <v>3467738</v>
      </c>
    </row>
    <row r="9103" spans="1:11" x14ac:dyDescent="0.25">
      <c r="A9103" t="s">
        <v>9</v>
      </c>
      <c r="B9103" t="s">
        <v>49</v>
      </c>
      <c r="C9103" t="s">
        <v>875</v>
      </c>
      <c r="D9103" t="s">
        <v>11</v>
      </c>
      <c r="E9103">
        <v>24</v>
      </c>
      <c r="F9103" s="2">
        <f>DATE(2026,IF(Tabla1[[#This Row],[Mes de Fecha]]="Septiembre",9,10),Tabla1[[#This Row],[Día de Fecha]])</f>
        <v>46289</v>
      </c>
      <c r="G9103">
        <v>1094051083</v>
      </c>
      <c r="H9103" t="s">
        <v>51</v>
      </c>
      <c r="I9103">
        <v>47</v>
      </c>
      <c r="J9103">
        <v>0</v>
      </c>
      <c r="K9103" s="1">
        <v>2220715</v>
      </c>
    </row>
    <row r="9104" spans="1:11" x14ac:dyDescent="0.25">
      <c r="A9104" t="s">
        <v>9</v>
      </c>
      <c r="B9104" t="s">
        <v>49</v>
      </c>
      <c r="C9104" t="s">
        <v>875</v>
      </c>
      <c r="D9104" t="s">
        <v>11</v>
      </c>
      <c r="E9104">
        <v>24</v>
      </c>
      <c r="F9104" s="2">
        <f>DATE(2026,IF(Tabla1[[#This Row],[Mes de Fecha]]="Septiembre",9,10),Tabla1[[#This Row],[Día de Fecha]])</f>
        <v>46289</v>
      </c>
      <c r="G9104">
        <v>1192751831</v>
      </c>
      <c r="H9104" t="s">
        <v>53</v>
      </c>
      <c r="I9104">
        <v>85</v>
      </c>
      <c r="J9104">
        <v>0</v>
      </c>
      <c r="K9104" s="1">
        <v>4282149</v>
      </c>
    </row>
    <row r="9105" spans="1:11" x14ac:dyDescent="0.25">
      <c r="A9105" t="s">
        <v>9</v>
      </c>
      <c r="B9105" t="s">
        <v>49</v>
      </c>
      <c r="C9105" t="s">
        <v>875</v>
      </c>
      <c r="D9105" t="s">
        <v>11</v>
      </c>
      <c r="E9105">
        <v>25</v>
      </c>
      <c r="F9105" s="2">
        <f>DATE(2026,IF(Tabla1[[#This Row],[Mes de Fecha]]="Septiembre",9,10),Tabla1[[#This Row],[Día de Fecha]])</f>
        <v>46290</v>
      </c>
      <c r="I9105">
        <v>0</v>
      </c>
      <c r="J9105" s="1">
        <v>18787553</v>
      </c>
      <c r="K9105">
        <v>0</v>
      </c>
    </row>
    <row r="9106" spans="1:11" x14ac:dyDescent="0.25">
      <c r="A9106" t="s">
        <v>9</v>
      </c>
      <c r="B9106" t="s">
        <v>49</v>
      </c>
      <c r="C9106" t="s">
        <v>875</v>
      </c>
      <c r="D9106" t="s">
        <v>11</v>
      </c>
      <c r="E9106">
        <v>25</v>
      </c>
      <c r="F9106" s="2">
        <f>DATE(2026,IF(Tabla1[[#This Row],[Mes de Fecha]]="Septiembre",9,10),Tabla1[[#This Row],[Día de Fecha]])</f>
        <v>46290</v>
      </c>
      <c r="G9106">
        <v>5401602</v>
      </c>
      <c r="H9106" t="s">
        <v>52</v>
      </c>
      <c r="I9106">
        <v>39</v>
      </c>
      <c r="J9106">
        <v>0</v>
      </c>
      <c r="K9106" s="1">
        <v>2042479</v>
      </c>
    </row>
    <row r="9107" spans="1:11" x14ac:dyDescent="0.25">
      <c r="A9107" t="s">
        <v>9</v>
      </c>
      <c r="B9107" t="s">
        <v>49</v>
      </c>
      <c r="C9107" t="s">
        <v>875</v>
      </c>
      <c r="D9107" t="s">
        <v>11</v>
      </c>
      <c r="E9107">
        <v>25</v>
      </c>
      <c r="F9107" s="2">
        <f>DATE(2026,IF(Tabla1[[#This Row],[Mes de Fecha]]="Septiembre",9,10),Tabla1[[#This Row],[Día de Fecha]])</f>
        <v>46290</v>
      </c>
      <c r="G9107">
        <v>1005030326</v>
      </c>
      <c r="H9107" t="s">
        <v>55</v>
      </c>
      <c r="I9107">
        <v>44</v>
      </c>
      <c r="J9107">
        <v>0</v>
      </c>
      <c r="K9107" s="1">
        <v>2050675</v>
      </c>
    </row>
    <row r="9108" spans="1:11" x14ac:dyDescent="0.25">
      <c r="A9108" t="s">
        <v>9</v>
      </c>
      <c r="B9108" t="s">
        <v>49</v>
      </c>
      <c r="C9108" t="s">
        <v>875</v>
      </c>
      <c r="D9108" t="s">
        <v>11</v>
      </c>
      <c r="E9108">
        <v>25</v>
      </c>
      <c r="F9108" s="2">
        <f>DATE(2026,IF(Tabla1[[#This Row],[Mes de Fecha]]="Septiembre",9,10),Tabla1[[#This Row],[Día de Fecha]])</f>
        <v>46290</v>
      </c>
      <c r="G9108">
        <v>1091966973</v>
      </c>
      <c r="H9108" t="s">
        <v>50</v>
      </c>
      <c r="I9108">
        <v>74</v>
      </c>
      <c r="J9108">
        <v>0</v>
      </c>
      <c r="K9108" s="1">
        <v>4169166</v>
      </c>
    </row>
    <row r="9109" spans="1:11" x14ac:dyDescent="0.25">
      <c r="A9109" t="s">
        <v>9</v>
      </c>
      <c r="B9109" t="s">
        <v>49</v>
      </c>
      <c r="C9109" t="s">
        <v>875</v>
      </c>
      <c r="D9109" t="s">
        <v>11</v>
      </c>
      <c r="E9109">
        <v>25</v>
      </c>
      <c r="F9109" s="2">
        <f>DATE(2026,IF(Tabla1[[#This Row],[Mes de Fecha]]="Septiembre",9,10),Tabla1[[#This Row],[Día de Fecha]])</f>
        <v>46290</v>
      </c>
      <c r="G9109">
        <v>1094051083</v>
      </c>
      <c r="H9109" t="s">
        <v>51</v>
      </c>
      <c r="I9109">
        <v>91</v>
      </c>
      <c r="J9109">
        <v>0</v>
      </c>
      <c r="K9109" s="1">
        <v>4968914</v>
      </c>
    </row>
    <row r="9110" spans="1:11" x14ac:dyDescent="0.25">
      <c r="A9110" t="s">
        <v>9</v>
      </c>
      <c r="B9110" t="s">
        <v>49</v>
      </c>
      <c r="C9110" t="s">
        <v>875</v>
      </c>
      <c r="D9110" t="s">
        <v>11</v>
      </c>
      <c r="E9110">
        <v>25</v>
      </c>
      <c r="F9110" s="2">
        <f>DATE(2026,IF(Tabla1[[#This Row],[Mes de Fecha]]="Septiembre",9,10),Tabla1[[#This Row],[Día de Fecha]])</f>
        <v>46290</v>
      </c>
      <c r="G9110">
        <v>1192751831</v>
      </c>
      <c r="H9110" t="s">
        <v>53</v>
      </c>
      <c r="I9110">
        <v>94</v>
      </c>
      <c r="J9110">
        <v>0</v>
      </c>
      <c r="K9110" s="1">
        <v>5012864</v>
      </c>
    </row>
    <row r="9111" spans="1:11" x14ac:dyDescent="0.25">
      <c r="A9111" t="s">
        <v>9</v>
      </c>
      <c r="B9111" t="s">
        <v>49</v>
      </c>
      <c r="C9111" t="s">
        <v>875</v>
      </c>
      <c r="D9111" t="s">
        <v>11</v>
      </c>
      <c r="E9111">
        <v>26</v>
      </c>
      <c r="F9111" s="2">
        <f>DATE(2026,IF(Tabla1[[#This Row],[Mes de Fecha]]="Septiembre",9,10),Tabla1[[#This Row],[Día de Fecha]])</f>
        <v>46291</v>
      </c>
      <c r="I9111">
        <v>0</v>
      </c>
      <c r="J9111" s="1">
        <v>23690633</v>
      </c>
      <c r="K9111">
        <v>0</v>
      </c>
    </row>
    <row r="9112" spans="1:11" x14ac:dyDescent="0.25">
      <c r="A9112" t="s">
        <v>9</v>
      </c>
      <c r="B9112" t="s">
        <v>49</v>
      </c>
      <c r="C9112" t="s">
        <v>875</v>
      </c>
      <c r="D9112" t="s">
        <v>11</v>
      </c>
      <c r="E9112">
        <v>26</v>
      </c>
      <c r="F9112" s="2">
        <f>DATE(2026,IF(Tabla1[[#This Row],[Mes de Fecha]]="Septiembre",9,10),Tabla1[[#This Row],[Día de Fecha]])</f>
        <v>46291</v>
      </c>
      <c r="G9112">
        <v>5401602</v>
      </c>
      <c r="H9112" t="s">
        <v>52</v>
      </c>
      <c r="I9112">
        <v>77</v>
      </c>
      <c r="J9112">
        <v>0</v>
      </c>
      <c r="K9112" s="1">
        <v>4425089</v>
      </c>
    </row>
    <row r="9113" spans="1:11" x14ac:dyDescent="0.25">
      <c r="A9113" t="s">
        <v>9</v>
      </c>
      <c r="B9113" t="s">
        <v>49</v>
      </c>
      <c r="C9113" t="s">
        <v>875</v>
      </c>
      <c r="D9113" t="s">
        <v>11</v>
      </c>
      <c r="E9113">
        <v>26</v>
      </c>
      <c r="F9113" s="2">
        <f>DATE(2026,IF(Tabla1[[#This Row],[Mes de Fecha]]="Septiembre",9,10),Tabla1[[#This Row],[Día de Fecha]])</f>
        <v>46291</v>
      </c>
      <c r="G9113">
        <v>1005030326</v>
      </c>
      <c r="H9113" t="s">
        <v>55</v>
      </c>
      <c r="I9113">
        <v>77</v>
      </c>
      <c r="J9113">
        <v>0</v>
      </c>
      <c r="K9113" s="1">
        <v>3950427</v>
      </c>
    </row>
    <row r="9114" spans="1:11" x14ac:dyDescent="0.25">
      <c r="A9114" t="s">
        <v>9</v>
      </c>
      <c r="B9114" t="s">
        <v>49</v>
      </c>
      <c r="C9114" t="s">
        <v>875</v>
      </c>
      <c r="D9114" t="s">
        <v>11</v>
      </c>
      <c r="E9114">
        <v>26</v>
      </c>
      <c r="F9114" s="2">
        <f>DATE(2026,IF(Tabla1[[#This Row],[Mes de Fecha]]="Septiembre",9,10),Tabla1[[#This Row],[Día de Fecha]])</f>
        <v>46291</v>
      </c>
      <c r="G9114">
        <v>1091966973</v>
      </c>
      <c r="H9114" t="s">
        <v>50</v>
      </c>
      <c r="I9114">
        <v>84</v>
      </c>
      <c r="J9114">
        <v>0</v>
      </c>
      <c r="K9114" s="1">
        <v>4710722</v>
      </c>
    </row>
    <row r="9115" spans="1:11" x14ac:dyDescent="0.25">
      <c r="A9115" t="s">
        <v>9</v>
      </c>
      <c r="B9115" t="s">
        <v>49</v>
      </c>
      <c r="C9115" t="s">
        <v>875</v>
      </c>
      <c r="D9115" t="s">
        <v>11</v>
      </c>
      <c r="E9115">
        <v>26</v>
      </c>
      <c r="F9115" s="2">
        <f>DATE(2026,IF(Tabla1[[#This Row],[Mes de Fecha]]="Septiembre",9,10),Tabla1[[#This Row],[Día de Fecha]])</f>
        <v>46291</v>
      </c>
      <c r="G9115">
        <v>1094051083</v>
      </c>
      <c r="H9115" t="s">
        <v>51</v>
      </c>
      <c r="I9115">
        <v>81</v>
      </c>
      <c r="J9115">
        <v>0</v>
      </c>
      <c r="K9115" s="1">
        <v>4206563</v>
      </c>
    </row>
    <row r="9116" spans="1:11" x14ac:dyDescent="0.25">
      <c r="A9116" t="s">
        <v>9</v>
      </c>
      <c r="B9116" t="s">
        <v>49</v>
      </c>
      <c r="C9116" t="s">
        <v>875</v>
      </c>
      <c r="D9116" t="s">
        <v>11</v>
      </c>
      <c r="E9116">
        <v>26</v>
      </c>
      <c r="F9116" s="2">
        <f>DATE(2026,IF(Tabla1[[#This Row],[Mes de Fecha]]="Septiembre",9,10),Tabla1[[#This Row],[Día de Fecha]])</f>
        <v>46291</v>
      </c>
      <c r="G9116">
        <v>1192751831</v>
      </c>
      <c r="H9116" t="s">
        <v>53</v>
      </c>
      <c r="I9116">
        <v>108</v>
      </c>
      <c r="J9116">
        <v>0</v>
      </c>
      <c r="K9116" s="1">
        <v>6132027</v>
      </c>
    </row>
    <row r="9117" spans="1:11" x14ac:dyDescent="0.25">
      <c r="A9117" t="s">
        <v>9</v>
      </c>
      <c r="B9117" t="s">
        <v>49</v>
      </c>
      <c r="C9117" t="s">
        <v>875</v>
      </c>
      <c r="D9117" t="s">
        <v>11</v>
      </c>
      <c r="E9117">
        <v>27</v>
      </c>
      <c r="F9117" s="2">
        <f>DATE(2026,IF(Tabla1[[#This Row],[Mes de Fecha]]="Septiembre",9,10),Tabla1[[#This Row],[Día de Fecha]])</f>
        <v>46292</v>
      </c>
      <c r="I9117">
        <v>0</v>
      </c>
      <c r="J9117" s="1">
        <v>12508427</v>
      </c>
      <c r="K9117">
        <v>0</v>
      </c>
    </row>
    <row r="9118" spans="1:11" x14ac:dyDescent="0.25">
      <c r="A9118" t="s">
        <v>9</v>
      </c>
      <c r="B9118" t="s">
        <v>49</v>
      </c>
      <c r="C9118" t="s">
        <v>875</v>
      </c>
      <c r="D9118" t="s">
        <v>11</v>
      </c>
      <c r="E9118">
        <v>27</v>
      </c>
      <c r="F9118" s="2">
        <f>DATE(2026,IF(Tabla1[[#This Row],[Mes de Fecha]]="Septiembre",9,10),Tabla1[[#This Row],[Día de Fecha]])</f>
        <v>46292</v>
      </c>
      <c r="G9118">
        <v>5401602</v>
      </c>
      <c r="H9118" t="s">
        <v>52</v>
      </c>
      <c r="I9118">
        <v>34</v>
      </c>
      <c r="J9118">
        <v>0</v>
      </c>
      <c r="K9118" s="1">
        <v>1620424</v>
      </c>
    </row>
    <row r="9119" spans="1:11" x14ac:dyDescent="0.25">
      <c r="A9119" t="s">
        <v>9</v>
      </c>
      <c r="B9119" t="s">
        <v>49</v>
      </c>
      <c r="C9119" t="s">
        <v>875</v>
      </c>
      <c r="D9119" t="s">
        <v>11</v>
      </c>
      <c r="E9119">
        <v>27</v>
      </c>
      <c r="F9119" s="2">
        <f>DATE(2026,IF(Tabla1[[#This Row],[Mes de Fecha]]="Septiembre",9,10),Tabla1[[#This Row],[Día de Fecha]])</f>
        <v>46292</v>
      </c>
      <c r="G9119">
        <v>1005030326</v>
      </c>
      <c r="H9119" t="s">
        <v>55</v>
      </c>
      <c r="I9119">
        <v>125</v>
      </c>
      <c r="J9119">
        <v>0</v>
      </c>
      <c r="K9119" s="1">
        <v>7385466</v>
      </c>
    </row>
    <row r="9120" spans="1:11" x14ac:dyDescent="0.25">
      <c r="A9120" t="s">
        <v>9</v>
      </c>
      <c r="B9120" t="s">
        <v>49</v>
      </c>
      <c r="C9120" t="s">
        <v>875</v>
      </c>
      <c r="D9120" t="s">
        <v>11</v>
      </c>
      <c r="E9120">
        <v>27</v>
      </c>
      <c r="F9120" s="2">
        <f>DATE(2026,IF(Tabla1[[#This Row],[Mes de Fecha]]="Septiembre",9,10),Tabla1[[#This Row],[Día de Fecha]])</f>
        <v>46292</v>
      </c>
      <c r="G9120">
        <v>1091966973</v>
      </c>
      <c r="H9120" t="s">
        <v>50</v>
      </c>
      <c r="I9120">
        <v>124</v>
      </c>
      <c r="J9120">
        <v>0</v>
      </c>
      <c r="K9120" s="1">
        <v>7253114</v>
      </c>
    </row>
    <row r="9121" spans="1:11" x14ac:dyDescent="0.25">
      <c r="A9121" t="s">
        <v>9</v>
      </c>
      <c r="B9121" t="s">
        <v>49</v>
      </c>
      <c r="C9121" t="s">
        <v>875</v>
      </c>
      <c r="D9121" t="s">
        <v>11</v>
      </c>
      <c r="E9121">
        <v>27</v>
      </c>
      <c r="F9121" s="2">
        <f>DATE(2026,IF(Tabla1[[#This Row],[Mes de Fecha]]="Septiembre",9,10),Tabla1[[#This Row],[Día de Fecha]])</f>
        <v>46292</v>
      </c>
      <c r="G9121">
        <v>1094051083</v>
      </c>
      <c r="H9121" t="s">
        <v>51</v>
      </c>
      <c r="I9121">
        <v>111</v>
      </c>
      <c r="J9121">
        <v>0</v>
      </c>
      <c r="K9121" s="1">
        <v>5978532</v>
      </c>
    </row>
    <row r="9122" spans="1:11" x14ac:dyDescent="0.25">
      <c r="A9122" t="s">
        <v>9</v>
      </c>
      <c r="B9122" t="s">
        <v>49</v>
      </c>
      <c r="C9122" t="s">
        <v>875</v>
      </c>
      <c r="D9122" t="s">
        <v>11</v>
      </c>
      <c r="E9122">
        <v>27</v>
      </c>
      <c r="F9122" s="2">
        <f>DATE(2026,IF(Tabla1[[#This Row],[Mes de Fecha]]="Septiembre",9,10),Tabla1[[#This Row],[Día de Fecha]])</f>
        <v>46292</v>
      </c>
      <c r="G9122">
        <v>1192751831</v>
      </c>
      <c r="H9122" t="s">
        <v>53</v>
      </c>
      <c r="I9122">
        <v>152</v>
      </c>
      <c r="J9122">
        <v>0</v>
      </c>
      <c r="K9122" s="1">
        <v>8361227</v>
      </c>
    </row>
    <row r="9123" spans="1:11" x14ac:dyDescent="0.25">
      <c r="A9123" t="s">
        <v>9</v>
      </c>
      <c r="B9123" t="s">
        <v>49</v>
      </c>
      <c r="C9123" t="s">
        <v>875</v>
      </c>
      <c r="D9123" t="s">
        <v>11</v>
      </c>
      <c r="E9123">
        <v>28</v>
      </c>
      <c r="F9123" s="2">
        <f>DATE(2026,IF(Tabla1[[#This Row],[Mes de Fecha]]="Septiembre",9,10),Tabla1[[#This Row],[Día de Fecha]])</f>
        <v>46293</v>
      </c>
      <c r="I9123">
        <v>0</v>
      </c>
      <c r="J9123" s="1">
        <v>10255549</v>
      </c>
      <c r="K9123">
        <v>0</v>
      </c>
    </row>
    <row r="9124" spans="1:11" x14ac:dyDescent="0.25">
      <c r="A9124" t="s">
        <v>9</v>
      </c>
      <c r="B9124" t="s">
        <v>49</v>
      </c>
      <c r="C9124" t="s">
        <v>875</v>
      </c>
      <c r="D9124" t="s">
        <v>11</v>
      </c>
      <c r="E9124">
        <v>28</v>
      </c>
      <c r="F9124" s="2">
        <f>DATE(2026,IF(Tabla1[[#This Row],[Mes de Fecha]]="Septiembre",9,10),Tabla1[[#This Row],[Día de Fecha]])</f>
        <v>46293</v>
      </c>
      <c r="G9124">
        <v>5401602</v>
      </c>
      <c r="H9124" t="s">
        <v>52</v>
      </c>
      <c r="I9124">
        <v>0</v>
      </c>
      <c r="J9124">
        <v>0</v>
      </c>
      <c r="K9124">
        <v>0</v>
      </c>
    </row>
    <row r="9125" spans="1:11" x14ac:dyDescent="0.25">
      <c r="A9125" t="s">
        <v>9</v>
      </c>
      <c r="B9125" t="s">
        <v>49</v>
      </c>
      <c r="C9125" t="s">
        <v>875</v>
      </c>
      <c r="D9125" t="s">
        <v>11</v>
      </c>
      <c r="E9125">
        <v>28</v>
      </c>
      <c r="F9125" s="2">
        <f>DATE(2026,IF(Tabla1[[#This Row],[Mes de Fecha]]="Septiembre",9,10),Tabla1[[#This Row],[Día de Fecha]])</f>
        <v>46293</v>
      </c>
      <c r="G9125">
        <v>1005030326</v>
      </c>
      <c r="H9125" t="s">
        <v>55</v>
      </c>
      <c r="I9125">
        <v>38</v>
      </c>
      <c r="J9125">
        <v>0</v>
      </c>
      <c r="K9125" s="1">
        <v>2330339</v>
      </c>
    </row>
    <row r="9126" spans="1:11" x14ac:dyDescent="0.25">
      <c r="A9126" t="s">
        <v>9</v>
      </c>
      <c r="B9126" t="s">
        <v>49</v>
      </c>
      <c r="C9126" t="s">
        <v>875</v>
      </c>
      <c r="D9126" t="s">
        <v>11</v>
      </c>
      <c r="E9126">
        <v>28</v>
      </c>
      <c r="F9126" s="2">
        <f>DATE(2026,IF(Tabla1[[#This Row],[Mes de Fecha]]="Septiembre",9,10),Tabla1[[#This Row],[Día de Fecha]])</f>
        <v>46293</v>
      </c>
      <c r="G9126">
        <v>1091966973</v>
      </c>
      <c r="H9126" t="s">
        <v>50</v>
      </c>
      <c r="I9126">
        <v>48</v>
      </c>
      <c r="J9126">
        <v>0</v>
      </c>
      <c r="K9126" s="1">
        <v>2504292</v>
      </c>
    </row>
    <row r="9127" spans="1:11" x14ac:dyDescent="0.25">
      <c r="A9127" t="s">
        <v>9</v>
      </c>
      <c r="B9127" t="s">
        <v>49</v>
      </c>
      <c r="C9127" t="s">
        <v>875</v>
      </c>
      <c r="D9127" t="s">
        <v>11</v>
      </c>
      <c r="E9127">
        <v>28</v>
      </c>
      <c r="F9127" s="2">
        <f>DATE(2026,IF(Tabla1[[#This Row],[Mes de Fecha]]="Septiembre",9,10),Tabla1[[#This Row],[Día de Fecha]])</f>
        <v>46293</v>
      </c>
      <c r="G9127">
        <v>1094051083</v>
      </c>
      <c r="H9127" t="s">
        <v>51</v>
      </c>
      <c r="I9127">
        <v>37</v>
      </c>
      <c r="J9127">
        <v>0</v>
      </c>
      <c r="K9127" s="1">
        <v>1990046</v>
      </c>
    </row>
    <row r="9128" spans="1:11" x14ac:dyDescent="0.25">
      <c r="A9128" t="s">
        <v>9</v>
      </c>
      <c r="B9128" t="s">
        <v>49</v>
      </c>
      <c r="C9128" t="s">
        <v>875</v>
      </c>
      <c r="D9128" t="s">
        <v>11</v>
      </c>
      <c r="E9128">
        <v>28</v>
      </c>
      <c r="F9128" s="2">
        <f>DATE(2026,IF(Tabla1[[#This Row],[Mes de Fecha]]="Septiembre",9,10),Tabla1[[#This Row],[Día de Fecha]])</f>
        <v>46293</v>
      </c>
      <c r="G9128">
        <v>1192751831</v>
      </c>
      <c r="H9128" t="s">
        <v>53</v>
      </c>
      <c r="I9128">
        <v>45</v>
      </c>
      <c r="J9128">
        <v>0</v>
      </c>
      <c r="K9128" s="1">
        <v>2378280</v>
      </c>
    </row>
    <row r="9129" spans="1:11" x14ac:dyDescent="0.25">
      <c r="A9129" t="s">
        <v>9</v>
      </c>
      <c r="B9129" t="s">
        <v>49</v>
      </c>
      <c r="C9129" t="s">
        <v>875</v>
      </c>
      <c r="D9129" t="s">
        <v>11</v>
      </c>
      <c r="E9129">
        <v>29</v>
      </c>
      <c r="F9129" s="2">
        <f>DATE(2026,IF(Tabla1[[#This Row],[Mes de Fecha]]="Septiembre",9,10),Tabla1[[#This Row],[Día de Fecha]])</f>
        <v>46294</v>
      </c>
      <c r="I9129">
        <v>0</v>
      </c>
      <c r="J9129" s="1">
        <v>11401140</v>
      </c>
      <c r="K9129">
        <v>0</v>
      </c>
    </row>
    <row r="9130" spans="1:11" x14ac:dyDescent="0.25">
      <c r="A9130" t="s">
        <v>9</v>
      </c>
      <c r="B9130" t="s">
        <v>49</v>
      </c>
      <c r="C9130" t="s">
        <v>875</v>
      </c>
      <c r="D9130" t="s">
        <v>11</v>
      </c>
      <c r="E9130">
        <v>29</v>
      </c>
      <c r="F9130" s="2">
        <f>DATE(2026,IF(Tabla1[[#This Row],[Mes de Fecha]]="Septiembre",9,10),Tabla1[[#This Row],[Día de Fecha]])</f>
        <v>46294</v>
      </c>
      <c r="G9130">
        <v>5401602</v>
      </c>
      <c r="H9130" t="s">
        <v>52</v>
      </c>
      <c r="I9130">
        <v>30</v>
      </c>
      <c r="J9130">
        <v>0</v>
      </c>
      <c r="K9130" s="1">
        <v>1729706</v>
      </c>
    </row>
    <row r="9131" spans="1:11" x14ac:dyDescent="0.25">
      <c r="A9131" t="s">
        <v>9</v>
      </c>
      <c r="B9131" t="s">
        <v>49</v>
      </c>
      <c r="C9131" t="s">
        <v>875</v>
      </c>
      <c r="D9131" t="s">
        <v>11</v>
      </c>
      <c r="E9131">
        <v>29</v>
      </c>
      <c r="F9131" s="2">
        <f>DATE(2026,IF(Tabla1[[#This Row],[Mes de Fecha]]="Septiembre",9,10),Tabla1[[#This Row],[Día de Fecha]])</f>
        <v>46294</v>
      </c>
      <c r="G9131">
        <v>1005030326</v>
      </c>
      <c r="H9131" t="s">
        <v>55</v>
      </c>
      <c r="I9131">
        <v>-2</v>
      </c>
      <c r="J9131">
        <v>0</v>
      </c>
      <c r="K9131" s="1">
        <v>-134370</v>
      </c>
    </row>
    <row r="9132" spans="1:11" x14ac:dyDescent="0.25">
      <c r="A9132" t="s">
        <v>9</v>
      </c>
      <c r="B9132" t="s">
        <v>49</v>
      </c>
      <c r="C9132" t="s">
        <v>875</v>
      </c>
      <c r="D9132" t="s">
        <v>11</v>
      </c>
      <c r="E9132">
        <v>29</v>
      </c>
      <c r="F9132" s="2">
        <f>DATE(2026,IF(Tabla1[[#This Row],[Mes de Fecha]]="Septiembre",9,10),Tabla1[[#This Row],[Día de Fecha]])</f>
        <v>46294</v>
      </c>
      <c r="G9132">
        <v>1091966973</v>
      </c>
      <c r="H9132" t="s">
        <v>50</v>
      </c>
      <c r="I9132">
        <v>76</v>
      </c>
      <c r="J9132">
        <v>0</v>
      </c>
      <c r="K9132" s="1">
        <v>4049334</v>
      </c>
    </row>
    <row r="9133" spans="1:11" x14ac:dyDescent="0.25">
      <c r="A9133" t="s">
        <v>9</v>
      </c>
      <c r="B9133" t="s">
        <v>49</v>
      </c>
      <c r="C9133" t="s">
        <v>875</v>
      </c>
      <c r="D9133" t="s">
        <v>11</v>
      </c>
      <c r="E9133">
        <v>29</v>
      </c>
      <c r="F9133" s="2">
        <f>DATE(2026,IF(Tabla1[[#This Row],[Mes de Fecha]]="Septiembre",9,10),Tabla1[[#This Row],[Día de Fecha]])</f>
        <v>46294</v>
      </c>
      <c r="G9133">
        <v>1094051083</v>
      </c>
      <c r="H9133" t="s">
        <v>51</v>
      </c>
      <c r="I9133">
        <v>0</v>
      </c>
      <c r="J9133">
        <v>0</v>
      </c>
      <c r="K9133" s="1">
        <v>-21008</v>
      </c>
    </row>
    <row r="9134" spans="1:11" x14ac:dyDescent="0.25">
      <c r="A9134" t="s">
        <v>9</v>
      </c>
      <c r="B9134" t="s">
        <v>49</v>
      </c>
      <c r="C9134" t="s">
        <v>875</v>
      </c>
      <c r="D9134" t="s">
        <v>11</v>
      </c>
      <c r="E9134">
        <v>29</v>
      </c>
      <c r="F9134" s="2">
        <f>DATE(2026,IF(Tabla1[[#This Row],[Mes de Fecha]]="Septiembre",9,10),Tabla1[[#This Row],[Día de Fecha]])</f>
        <v>46294</v>
      </c>
      <c r="G9134">
        <v>1192751831</v>
      </c>
      <c r="H9134" t="s">
        <v>53</v>
      </c>
      <c r="I9134">
        <v>89</v>
      </c>
      <c r="J9134">
        <v>0</v>
      </c>
      <c r="K9134" s="1">
        <v>4634925</v>
      </c>
    </row>
    <row r="9135" spans="1:11" x14ac:dyDescent="0.25">
      <c r="A9135" t="s">
        <v>9</v>
      </c>
      <c r="B9135" t="s">
        <v>49</v>
      </c>
      <c r="C9135" t="s">
        <v>875</v>
      </c>
      <c r="D9135" t="s">
        <v>11</v>
      </c>
      <c r="E9135">
        <v>30</v>
      </c>
      <c r="F9135" s="2">
        <f>DATE(2026,IF(Tabla1[[#This Row],[Mes de Fecha]]="Septiembre",9,10),Tabla1[[#This Row],[Día de Fecha]])</f>
        <v>46295</v>
      </c>
      <c r="I9135">
        <v>0</v>
      </c>
      <c r="J9135" s="1">
        <v>12074169</v>
      </c>
      <c r="K9135">
        <v>0</v>
      </c>
    </row>
    <row r="9136" spans="1:11" x14ac:dyDescent="0.25">
      <c r="A9136" t="s">
        <v>9</v>
      </c>
      <c r="B9136" t="s">
        <v>49</v>
      </c>
      <c r="C9136" t="s">
        <v>875</v>
      </c>
      <c r="D9136" t="s">
        <v>11</v>
      </c>
      <c r="E9136">
        <v>30</v>
      </c>
      <c r="F9136" s="2">
        <f>DATE(2026,IF(Tabla1[[#This Row],[Mes de Fecha]]="Septiembre",9,10),Tabla1[[#This Row],[Día de Fecha]])</f>
        <v>46295</v>
      </c>
      <c r="G9136">
        <v>5401602</v>
      </c>
      <c r="H9136" t="s">
        <v>52</v>
      </c>
      <c r="I9136">
        <v>89</v>
      </c>
      <c r="J9136">
        <v>0</v>
      </c>
      <c r="K9136" s="1">
        <v>4378536</v>
      </c>
    </row>
    <row r="9137" spans="1:11" x14ac:dyDescent="0.25">
      <c r="A9137" t="s">
        <v>9</v>
      </c>
      <c r="B9137" t="s">
        <v>49</v>
      </c>
      <c r="C9137" t="s">
        <v>875</v>
      </c>
      <c r="D9137" t="s">
        <v>11</v>
      </c>
      <c r="E9137">
        <v>30</v>
      </c>
      <c r="F9137" s="2">
        <f>DATE(2026,IF(Tabla1[[#This Row],[Mes de Fecha]]="Septiembre",9,10),Tabla1[[#This Row],[Día de Fecha]])</f>
        <v>46295</v>
      </c>
      <c r="G9137">
        <v>1005030326</v>
      </c>
      <c r="H9137" t="s">
        <v>55</v>
      </c>
      <c r="I9137">
        <v>50</v>
      </c>
      <c r="J9137">
        <v>0</v>
      </c>
      <c r="K9137" s="1">
        <v>2728870</v>
      </c>
    </row>
    <row r="9138" spans="1:11" x14ac:dyDescent="0.25">
      <c r="A9138" t="s">
        <v>9</v>
      </c>
      <c r="B9138" t="s">
        <v>49</v>
      </c>
      <c r="C9138" t="s">
        <v>875</v>
      </c>
      <c r="D9138" t="s">
        <v>11</v>
      </c>
      <c r="E9138">
        <v>30</v>
      </c>
      <c r="F9138" s="2">
        <f>DATE(2026,IF(Tabla1[[#This Row],[Mes de Fecha]]="Septiembre",9,10),Tabla1[[#This Row],[Día de Fecha]])</f>
        <v>46295</v>
      </c>
      <c r="G9138">
        <v>1091966973</v>
      </c>
      <c r="H9138" t="s">
        <v>50</v>
      </c>
      <c r="I9138">
        <v>42</v>
      </c>
      <c r="J9138">
        <v>0</v>
      </c>
      <c r="K9138" s="1">
        <v>2475130</v>
      </c>
    </row>
    <row r="9139" spans="1:11" x14ac:dyDescent="0.25">
      <c r="A9139" t="s">
        <v>9</v>
      </c>
      <c r="B9139" t="s">
        <v>49</v>
      </c>
      <c r="C9139" t="s">
        <v>875</v>
      </c>
      <c r="D9139" t="s">
        <v>11</v>
      </c>
      <c r="E9139">
        <v>30</v>
      </c>
      <c r="F9139" s="2">
        <f>DATE(2026,IF(Tabla1[[#This Row],[Mes de Fecha]]="Septiembre",9,10),Tabla1[[#This Row],[Día de Fecha]])</f>
        <v>46295</v>
      </c>
      <c r="G9139">
        <v>1094051083</v>
      </c>
      <c r="H9139" t="s">
        <v>51</v>
      </c>
      <c r="I9139">
        <v>48</v>
      </c>
      <c r="J9139">
        <v>0</v>
      </c>
      <c r="K9139" s="1">
        <v>2924455</v>
      </c>
    </row>
    <row r="9140" spans="1:11" x14ac:dyDescent="0.25">
      <c r="A9140" t="s">
        <v>9</v>
      </c>
      <c r="B9140" t="s">
        <v>49</v>
      </c>
      <c r="C9140" t="s">
        <v>875</v>
      </c>
      <c r="D9140" t="s">
        <v>14</v>
      </c>
      <c r="E9140">
        <v>1</v>
      </c>
      <c r="F9140" s="2">
        <f>DATE(2026,IF(Tabla1[[#This Row],[Mes de Fecha]]="Septiembre",9,10),Tabla1[[#This Row],[Día de Fecha]])</f>
        <v>46296</v>
      </c>
      <c r="I9140">
        <v>0</v>
      </c>
      <c r="J9140" s="1">
        <v>21188410</v>
      </c>
      <c r="K9140">
        <v>0</v>
      </c>
    </row>
    <row r="9141" spans="1:11" x14ac:dyDescent="0.25">
      <c r="A9141" t="s">
        <v>9</v>
      </c>
      <c r="B9141" t="s">
        <v>49</v>
      </c>
      <c r="C9141" t="s">
        <v>875</v>
      </c>
      <c r="D9141" t="s">
        <v>14</v>
      </c>
      <c r="E9141">
        <v>1</v>
      </c>
      <c r="F9141" s="2">
        <f>DATE(2026,IF(Tabla1[[#This Row],[Mes de Fecha]]="Septiembre",9,10),Tabla1[[#This Row],[Día de Fecha]])</f>
        <v>46296</v>
      </c>
      <c r="G9141">
        <v>5401602</v>
      </c>
      <c r="H9141" t="s">
        <v>52</v>
      </c>
      <c r="I9141">
        <v>31</v>
      </c>
      <c r="J9141">
        <v>0</v>
      </c>
      <c r="K9141" s="1">
        <v>1462861</v>
      </c>
    </row>
    <row r="9142" spans="1:11" x14ac:dyDescent="0.25">
      <c r="A9142" t="s">
        <v>9</v>
      </c>
      <c r="B9142" t="s">
        <v>49</v>
      </c>
      <c r="C9142" t="s">
        <v>875</v>
      </c>
      <c r="D9142" t="s">
        <v>14</v>
      </c>
      <c r="E9142">
        <v>1</v>
      </c>
      <c r="F9142" s="2">
        <f>DATE(2026,IF(Tabla1[[#This Row],[Mes de Fecha]]="Septiembre",9,10),Tabla1[[#This Row],[Día de Fecha]])</f>
        <v>46296</v>
      </c>
      <c r="G9142">
        <v>1005030326</v>
      </c>
      <c r="H9142" t="s">
        <v>55</v>
      </c>
      <c r="I9142">
        <v>101</v>
      </c>
      <c r="J9142">
        <v>0</v>
      </c>
      <c r="K9142" s="1">
        <v>5266728</v>
      </c>
    </row>
    <row r="9143" spans="1:11" x14ac:dyDescent="0.25">
      <c r="A9143" t="s">
        <v>9</v>
      </c>
      <c r="B9143" t="s">
        <v>49</v>
      </c>
      <c r="C9143" t="s">
        <v>875</v>
      </c>
      <c r="D9143" t="s">
        <v>14</v>
      </c>
      <c r="E9143">
        <v>1</v>
      </c>
      <c r="F9143" s="2">
        <f>DATE(2026,IF(Tabla1[[#This Row],[Mes de Fecha]]="Septiembre",9,10),Tabla1[[#This Row],[Día de Fecha]])</f>
        <v>46296</v>
      </c>
      <c r="G9143">
        <v>1091966973</v>
      </c>
      <c r="H9143" t="s">
        <v>50</v>
      </c>
      <c r="I9143">
        <v>-1</v>
      </c>
      <c r="J9143">
        <v>0</v>
      </c>
      <c r="K9143" s="1">
        <v>-67185</v>
      </c>
    </row>
    <row r="9144" spans="1:11" x14ac:dyDescent="0.25">
      <c r="A9144" t="s">
        <v>9</v>
      </c>
      <c r="B9144" t="s">
        <v>49</v>
      </c>
      <c r="C9144" t="s">
        <v>875</v>
      </c>
      <c r="D9144" t="s">
        <v>14</v>
      </c>
      <c r="E9144">
        <v>1</v>
      </c>
      <c r="F9144" s="2">
        <f>DATE(2026,IF(Tabla1[[#This Row],[Mes de Fecha]]="Septiembre",9,10),Tabla1[[#This Row],[Día de Fecha]])</f>
        <v>46296</v>
      </c>
      <c r="G9144">
        <v>1094051083</v>
      </c>
      <c r="H9144" t="s">
        <v>51</v>
      </c>
      <c r="I9144">
        <v>105</v>
      </c>
      <c r="J9144">
        <v>0</v>
      </c>
      <c r="K9144" s="1">
        <v>4894676</v>
      </c>
    </row>
    <row r="9145" spans="1:11" x14ac:dyDescent="0.25">
      <c r="A9145" t="s">
        <v>9</v>
      </c>
      <c r="B9145" t="s">
        <v>49</v>
      </c>
      <c r="C9145" t="s">
        <v>875</v>
      </c>
      <c r="D9145" t="s">
        <v>14</v>
      </c>
      <c r="E9145">
        <v>1</v>
      </c>
      <c r="F9145" s="2">
        <f>DATE(2026,IF(Tabla1[[#This Row],[Mes de Fecha]]="Septiembre",9,10),Tabla1[[#This Row],[Día de Fecha]])</f>
        <v>46296</v>
      </c>
      <c r="G9145">
        <v>1192751831</v>
      </c>
      <c r="H9145" t="s">
        <v>53</v>
      </c>
      <c r="I9145">
        <v>67</v>
      </c>
      <c r="J9145">
        <v>0</v>
      </c>
      <c r="K9145" s="1">
        <v>3513995</v>
      </c>
    </row>
    <row r="9146" spans="1:11" x14ac:dyDescent="0.25">
      <c r="A9146" t="s">
        <v>9</v>
      </c>
      <c r="B9146" t="s">
        <v>49</v>
      </c>
      <c r="C9146" t="s">
        <v>875</v>
      </c>
      <c r="D9146" t="s">
        <v>14</v>
      </c>
      <c r="E9146">
        <v>2</v>
      </c>
      <c r="F9146" s="2">
        <f>DATE(2026,IF(Tabla1[[#This Row],[Mes de Fecha]]="Septiembre",9,10),Tabla1[[#This Row],[Día de Fecha]])</f>
        <v>46297</v>
      </c>
      <c r="I9146">
        <v>0</v>
      </c>
      <c r="J9146" s="1">
        <v>20152731</v>
      </c>
      <c r="K9146">
        <v>0</v>
      </c>
    </row>
    <row r="9147" spans="1:11" x14ac:dyDescent="0.25">
      <c r="A9147" t="s">
        <v>9</v>
      </c>
      <c r="B9147" t="s">
        <v>49</v>
      </c>
      <c r="C9147" t="s">
        <v>875</v>
      </c>
      <c r="D9147" t="s">
        <v>14</v>
      </c>
      <c r="E9147">
        <v>2</v>
      </c>
      <c r="F9147" s="2">
        <f>DATE(2026,IF(Tabla1[[#This Row],[Mes de Fecha]]="Septiembre",9,10),Tabla1[[#This Row],[Día de Fecha]])</f>
        <v>46297</v>
      </c>
      <c r="G9147">
        <v>5401602</v>
      </c>
      <c r="H9147" t="s">
        <v>52</v>
      </c>
      <c r="I9147">
        <v>44</v>
      </c>
      <c r="J9147">
        <v>0</v>
      </c>
      <c r="K9147" s="1">
        <v>2508659</v>
      </c>
    </row>
    <row r="9148" spans="1:11" x14ac:dyDescent="0.25">
      <c r="A9148" t="s">
        <v>9</v>
      </c>
      <c r="B9148" t="s">
        <v>49</v>
      </c>
      <c r="C9148" t="s">
        <v>875</v>
      </c>
      <c r="D9148" t="s">
        <v>14</v>
      </c>
      <c r="E9148">
        <v>2</v>
      </c>
      <c r="F9148" s="2">
        <f>DATE(2026,IF(Tabla1[[#This Row],[Mes de Fecha]]="Septiembre",9,10),Tabla1[[#This Row],[Día de Fecha]])</f>
        <v>46297</v>
      </c>
      <c r="G9148">
        <v>1005030326</v>
      </c>
      <c r="H9148" t="s">
        <v>55</v>
      </c>
      <c r="I9148">
        <v>16</v>
      </c>
      <c r="J9148">
        <v>0</v>
      </c>
      <c r="K9148" s="1">
        <v>1100170</v>
      </c>
    </row>
    <row r="9149" spans="1:11" x14ac:dyDescent="0.25">
      <c r="A9149" t="s">
        <v>9</v>
      </c>
      <c r="B9149" t="s">
        <v>49</v>
      </c>
      <c r="C9149" t="s">
        <v>875</v>
      </c>
      <c r="D9149" t="s">
        <v>14</v>
      </c>
      <c r="E9149">
        <v>2</v>
      </c>
      <c r="F9149" s="2">
        <f>DATE(2026,IF(Tabla1[[#This Row],[Mes de Fecha]]="Septiembre",9,10),Tabla1[[#This Row],[Día de Fecha]])</f>
        <v>46297</v>
      </c>
      <c r="G9149">
        <v>1091966973</v>
      </c>
      <c r="H9149" t="s">
        <v>50</v>
      </c>
      <c r="I9149">
        <v>63</v>
      </c>
      <c r="J9149">
        <v>0</v>
      </c>
      <c r="K9149" s="1">
        <v>3324962</v>
      </c>
    </row>
    <row r="9150" spans="1:11" x14ac:dyDescent="0.25">
      <c r="A9150" t="s">
        <v>9</v>
      </c>
      <c r="B9150" t="s">
        <v>49</v>
      </c>
      <c r="C9150" t="s">
        <v>875</v>
      </c>
      <c r="D9150" t="s">
        <v>14</v>
      </c>
      <c r="E9150">
        <v>2</v>
      </c>
      <c r="F9150" s="2">
        <f>DATE(2026,IF(Tabla1[[#This Row],[Mes de Fecha]]="Septiembre",9,10),Tabla1[[#This Row],[Día de Fecha]])</f>
        <v>46297</v>
      </c>
      <c r="G9150">
        <v>1094051083</v>
      </c>
      <c r="H9150" t="s">
        <v>51</v>
      </c>
      <c r="I9150">
        <v>35</v>
      </c>
      <c r="J9150">
        <v>0</v>
      </c>
      <c r="K9150" s="1">
        <v>2023659</v>
      </c>
    </row>
    <row r="9151" spans="1:11" x14ac:dyDescent="0.25">
      <c r="A9151" t="s">
        <v>9</v>
      </c>
      <c r="B9151" t="s">
        <v>49</v>
      </c>
      <c r="C9151" t="s">
        <v>875</v>
      </c>
      <c r="D9151" t="s">
        <v>14</v>
      </c>
      <c r="E9151">
        <v>2</v>
      </c>
      <c r="F9151" s="2">
        <f>DATE(2026,IF(Tabla1[[#This Row],[Mes de Fecha]]="Septiembre",9,10),Tabla1[[#This Row],[Día de Fecha]])</f>
        <v>46297</v>
      </c>
      <c r="G9151">
        <v>1192751831</v>
      </c>
      <c r="H9151" t="s">
        <v>53</v>
      </c>
      <c r="I9151">
        <v>96</v>
      </c>
      <c r="J9151">
        <v>0</v>
      </c>
      <c r="K9151" s="1">
        <v>5159797</v>
      </c>
    </row>
    <row r="9152" spans="1:11" x14ac:dyDescent="0.25">
      <c r="A9152" t="s">
        <v>9</v>
      </c>
      <c r="B9152" t="s">
        <v>49</v>
      </c>
      <c r="C9152" t="s">
        <v>875</v>
      </c>
      <c r="D9152" t="s">
        <v>14</v>
      </c>
      <c r="E9152">
        <v>3</v>
      </c>
      <c r="F9152" s="2">
        <f>DATE(2026,IF(Tabla1[[#This Row],[Mes de Fecha]]="Septiembre",9,10),Tabla1[[#This Row],[Día de Fecha]])</f>
        <v>46298</v>
      </c>
      <c r="I9152">
        <v>0</v>
      </c>
      <c r="J9152" s="1">
        <v>23045981</v>
      </c>
      <c r="K9152">
        <v>0</v>
      </c>
    </row>
    <row r="9153" spans="1:11" x14ac:dyDescent="0.25">
      <c r="A9153" t="s">
        <v>9</v>
      </c>
      <c r="B9153" t="s">
        <v>49</v>
      </c>
      <c r="C9153" t="s">
        <v>875</v>
      </c>
      <c r="D9153" t="s">
        <v>14</v>
      </c>
      <c r="E9153">
        <v>3</v>
      </c>
      <c r="F9153" s="2">
        <f>DATE(2026,IF(Tabla1[[#This Row],[Mes de Fecha]]="Septiembre",9,10),Tabla1[[#This Row],[Día de Fecha]])</f>
        <v>46298</v>
      </c>
      <c r="G9153">
        <v>5401602</v>
      </c>
      <c r="H9153" t="s">
        <v>52</v>
      </c>
      <c r="I9153">
        <v>56</v>
      </c>
      <c r="J9153">
        <v>0</v>
      </c>
      <c r="K9153" s="1">
        <v>2615951</v>
      </c>
    </row>
    <row r="9154" spans="1:11" x14ac:dyDescent="0.25">
      <c r="A9154" t="s">
        <v>9</v>
      </c>
      <c r="B9154" t="s">
        <v>49</v>
      </c>
      <c r="C9154" t="s">
        <v>875</v>
      </c>
      <c r="D9154" t="s">
        <v>14</v>
      </c>
      <c r="E9154">
        <v>3</v>
      </c>
      <c r="F9154" s="2">
        <f>DATE(2026,IF(Tabla1[[#This Row],[Mes de Fecha]]="Septiembre",9,10),Tabla1[[#This Row],[Día de Fecha]])</f>
        <v>46298</v>
      </c>
      <c r="G9154">
        <v>1005030326</v>
      </c>
      <c r="H9154" t="s">
        <v>55</v>
      </c>
      <c r="I9154">
        <v>96</v>
      </c>
      <c r="J9154">
        <v>0</v>
      </c>
      <c r="K9154" s="1">
        <v>5222732</v>
      </c>
    </row>
    <row r="9155" spans="1:11" x14ac:dyDescent="0.25">
      <c r="A9155" t="s">
        <v>9</v>
      </c>
      <c r="B9155" t="s">
        <v>49</v>
      </c>
      <c r="C9155" t="s">
        <v>875</v>
      </c>
      <c r="D9155" t="s">
        <v>14</v>
      </c>
      <c r="E9155">
        <v>3</v>
      </c>
      <c r="F9155" s="2">
        <f>DATE(2026,IF(Tabla1[[#This Row],[Mes de Fecha]]="Septiembre",9,10),Tabla1[[#This Row],[Día de Fecha]])</f>
        <v>46298</v>
      </c>
      <c r="G9155">
        <v>1091966973</v>
      </c>
      <c r="H9155" t="s">
        <v>50</v>
      </c>
      <c r="I9155">
        <v>92</v>
      </c>
      <c r="J9155">
        <v>0</v>
      </c>
      <c r="K9155" s="1">
        <v>5382530</v>
      </c>
    </row>
    <row r="9156" spans="1:11" x14ac:dyDescent="0.25">
      <c r="A9156" t="s">
        <v>9</v>
      </c>
      <c r="B9156" t="s">
        <v>49</v>
      </c>
      <c r="C9156" t="s">
        <v>875</v>
      </c>
      <c r="D9156" t="s">
        <v>14</v>
      </c>
      <c r="E9156">
        <v>3</v>
      </c>
      <c r="F9156" s="2">
        <f>DATE(2026,IF(Tabla1[[#This Row],[Mes de Fecha]]="Septiembre",9,10),Tabla1[[#This Row],[Día de Fecha]])</f>
        <v>46298</v>
      </c>
      <c r="G9156">
        <v>1094051083</v>
      </c>
      <c r="H9156" t="s">
        <v>51</v>
      </c>
      <c r="I9156">
        <v>48</v>
      </c>
      <c r="J9156">
        <v>0</v>
      </c>
      <c r="K9156" s="1">
        <v>2577415</v>
      </c>
    </row>
    <row r="9157" spans="1:11" x14ac:dyDescent="0.25">
      <c r="A9157" t="s">
        <v>9</v>
      </c>
      <c r="B9157" t="s">
        <v>49</v>
      </c>
      <c r="C9157" t="s">
        <v>875</v>
      </c>
      <c r="D9157" t="s">
        <v>14</v>
      </c>
      <c r="E9157">
        <v>3</v>
      </c>
      <c r="F9157" s="2">
        <f>DATE(2026,IF(Tabla1[[#This Row],[Mes de Fecha]]="Septiembre",9,10),Tabla1[[#This Row],[Día de Fecha]])</f>
        <v>46298</v>
      </c>
      <c r="G9157">
        <v>1192751831</v>
      </c>
      <c r="H9157" t="s">
        <v>53</v>
      </c>
      <c r="I9157">
        <v>97</v>
      </c>
      <c r="J9157">
        <v>0</v>
      </c>
      <c r="K9157" s="1">
        <v>5702156</v>
      </c>
    </row>
    <row r="9158" spans="1:11" x14ac:dyDescent="0.25">
      <c r="A9158" t="s">
        <v>9</v>
      </c>
      <c r="B9158" t="s">
        <v>49</v>
      </c>
      <c r="C9158" t="s">
        <v>875</v>
      </c>
      <c r="D9158" t="s">
        <v>14</v>
      </c>
      <c r="E9158">
        <v>4</v>
      </c>
      <c r="F9158" s="2">
        <f>DATE(2026,IF(Tabla1[[#This Row],[Mes de Fecha]]="Septiembre",9,10),Tabla1[[#This Row],[Día de Fecha]])</f>
        <v>46299</v>
      </c>
      <c r="I9158">
        <v>0</v>
      </c>
      <c r="J9158" s="1">
        <v>29211126</v>
      </c>
      <c r="K9158">
        <v>0</v>
      </c>
    </row>
    <row r="9159" spans="1:11" x14ac:dyDescent="0.25">
      <c r="A9159" t="s">
        <v>9</v>
      </c>
      <c r="B9159" t="s">
        <v>49</v>
      </c>
      <c r="C9159" t="s">
        <v>875</v>
      </c>
      <c r="D9159" t="s">
        <v>14</v>
      </c>
      <c r="E9159">
        <v>4</v>
      </c>
      <c r="F9159" s="2">
        <f>DATE(2026,IF(Tabla1[[#This Row],[Mes de Fecha]]="Septiembre",9,10),Tabla1[[#This Row],[Día de Fecha]])</f>
        <v>46299</v>
      </c>
      <c r="G9159">
        <v>5401602</v>
      </c>
      <c r="H9159" t="s">
        <v>52</v>
      </c>
      <c r="I9159">
        <v>70</v>
      </c>
      <c r="J9159">
        <v>0</v>
      </c>
      <c r="K9159" s="1">
        <v>3686137</v>
      </c>
    </row>
    <row r="9160" spans="1:11" x14ac:dyDescent="0.25">
      <c r="A9160" t="s">
        <v>9</v>
      </c>
      <c r="B9160" t="s">
        <v>49</v>
      </c>
      <c r="C9160" t="s">
        <v>875</v>
      </c>
      <c r="D9160" t="s">
        <v>14</v>
      </c>
      <c r="E9160">
        <v>4</v>
      </c>
      <c r="F9160" s="2">
        <f>DATE(2026,IF(Tabla1[[#This Row],[Mes de Fecha]]="Septiembre",9,10),Tabla1[[#This Row],[Día de Fecha]])</f>
        <v>46299</v>
      </c>
      <c r="G9160">
        <v>1005030326</v>
      </c>
      <c r="H9160" t="s">
        <v>55</v>
      </c>
      <c r="I9160">
        <v>101</v>
      </c>
      <c r="J9160">
        <v>0</v>
      </c>
      <c r="K9160" s="1">
        <v>6146983</v>
      </c>
    </row>
    <row r="9161" spans="1:11" x14ac:dyDescent="0.25">
      <c r="A9161" t="s">
        <v>9</v>
      </c>
      <c r="B9161" t="s">
        <v>49</v>
      </c>
      <c r="C9161" t="s">
        <v>875</v>
      </c>
      <c r="D9161" t="s">
        <v>14</v>
      </c>
      <c r="E9161">
        <v>4</v>
      </c>
      <c r="F9161" s="2">
        <f>DATE(2026,IF(Tabla1[[#This Row],[Mes de Fecha]]="Septiembre",9,10),Tabla1[[#This Row],[Día de Fecha]])</f>
        <v>46299</v>
      </c>
      <c r="G9161">
        <v>1091966973</v>
      </c>
      <c r="H9161" t="s">
        <v>50</v>
      </c>
      <c r="I9161">
        <v>112</v>
      </c>
      <c r="J9161">
        <v>0</v>
      </c>
      <c r="K9161" s="1">
        <v>6728495</v>
      </c>
    </row>
    <row r="9162" spans="1:11" x14ac:dyDescent="0.25">
      <c r="A9162" t="s">
        <v>9</v>
      </c>
      <c r="B9162" t="s">
        <v>49</v>
      </c>
      <c r="C9162" t="s">
        <v>875</v>
      </c>
      <c r="D9162" t="s">
        <v>14</v>
      </c>
      <c r="E9162">
        <v>4</v>
      </c>
      <c r="F9162" s="2">
        <f>DATE(2026,IF(Tabla1[[#This Row],[Mes de Fecha]]="Septiembre",9,10),Tabla1[[#This Row],[Día de Fecha]])</f>
        <v>46299</v>
      </c>
      <c r="G9162">
        <v>1094051083</v>
      </c>
      <c r="H9162" t="s">
        <v>51</v>
      </c>
      <c r="I9162">
        <v>-1</v>
      </c>
      <c r="J9162">
        <v>0</v>
      </c>
      <c r="K9162" s="1">
        <v>-46177</v>
      </c>
    </row>
    <row r="9163" spans="1:11" x14ac:dyDescent="0.25">
      <c r="A9163" t="s">
        <v>9</v>
      </c>
      <c r="B9163" t="s">
        <v>49</v>
      </c>
      <c r="C9163" t="s">
        <v>875</v>
      </c>
      <c r="D9163" t="s">
        <v>14</v>
      </c>
      <c r="E9163">
        <v>4</v>
      </c>
      <c r="F9163" s="2">
        <f>DATE(2026,IF(Tabla1[[#This Row],[Mes de Fecha]]="Septiembre",9,10),Tabla1[[#This Row],[Día de Fecha]])</f>
        <v>46299</v>
      </c>
      <c r="G9163">
        <v>1192751831</v>
      </c>
      <c r="H9163" t="s">
        <v>53</v>
      </c>
      <c r="I9163">
        <v>154</v>
      </c>
      <c r="J9163">
        <v>0</v>
      </c>
      <c r="K9163" s="1">
        <v>8018710</v>
      </c>
    </row>
    <row r="9164" spans="1:11" x14ac:dyDescent="0.25">
      <c r="A9164" t="s">
        <v>9</v>
      </c>
      <c r="B9164" t="s">
        <v>49</v>
      </c>
      <c r="C9164" t="s">
        <v>875</v>
      </c>
      <c r="D9164" t="s">
        <v>14</v>
      </c>
      <c r="E9164">
        <v>5</v>
      </c>
      <c r="F9164" s="2">
        <f>DATE(2026,IF(Tabla1[[#This Row],[Mes de Fecha]]="Septiembre",9,10),Tabla1[[#This Row],[Día de Fecha]])</f>
        <v>46300</v>
      </c>
      <c r="I9164">
        <v>0</v>
      </c>
      <c r="J9164" s="1">
        <v>16941758</v>
      </c>
      <c r="K9164">
        <v>0</v>
      </c>
    </row>
    <row r="9165" spans="1:11" x14ac:dyDescent="0.25">
      <c r="A9165" t="s">
        <v>9</v>
      </c>
      <c r="B9165" t="s">
        <v>49</v>
      </c>
      <c r="C9165" t="s">
        <v>875</v>
      </c>
      <c r="D9165" t="s">
        <v>14</v>
      </c>
      <c r="E9165">
        <v>5</v>
      </c>
      <c r="F9165" s="2">
        <f>DATE(2026,IF(Tabla1[[#This Row],[Mes de Fecha]]="Septiembre",9,10),Tabla1[[#This Row],[Día de Fecha]])</f>
        <v>46300</v>
      </c>
      <c r="G9165">
        <v>5401602</v>
      </c>
      <c r="H9165" t="s">
        <v>52</v>
      </c>
      <c r="I9165">
        <v>27</v>
      </c>
      <c r="J9165">
        <v>0</v>
      </c>
      <c r="K9165" s="1">
        <v>1259371</v>
      </c>
    </row>
    <row r="9166" spans="1:11" x14ac:dyDescent="0.25">
      <c r="A9166" t="s">
        <v>9</v>
      </c>
      <c r="B9166" t="s">
        <v>49</v>
      </c>
      <c r="C9166" t="s">
        <v>875</v>
      </c>
      <c r="D9166" t="s">
        <v>14</v>
      </c>
      <c r="E9166">
        <v>5</v>
      </c>
      <c r="F9166" s="2">
        <f>DATE(2026,IF(Tabla1[[#This Row],[Mes de Fecha]]="Septiembre",9,10),Tabla1[[#This Row],[Día de Fecha]])</f>
        <v>46300</v>
      </c>
      <c r="G9166">
        <v>1005030326</v>
      </c>
      <c r="H9166" t="s">
        <v>55</v>
      </c>
      <c r="I9166">
        <v>34</v>
      </c>
      <c r="J9166">
        <v>0</v>
      </c>
      <c r="K9166" s="1">
        <v>2006978</v>
      </c>
    </row>
    <row r="9167" spans="1:11" x14ac:dyDescent="0.25">
      <c r="A9167" t="s">
        <v>9</v>
      </c>
      <c r="B9167" t="s">
        <v>49</v>
      </c>
      <c r="C9167" t="s">
        <v>875</v>
      </c>
      <c r="D9167" t="s">
        <v>14</v>
      </c>
      <c r="E9167">
        <v>5</v>
      </c>
      <c r="F9167" s="2">
        <f>DATE(2026,IF(Tabla1[[#This Row],[Mes de Fecha]]="Septiembre",9,10),Tabla1[[#This Row],[Día de Fecha]])</f>
        <v>46300</v>
      </c>
      <c r="G9167">
        <v>1091966973</v>
      </c>
      <c r="H9167" t="s">
        <v>50</v>
      </c>
      <c r="I9167">
        <v>64</v>
      </c>
      <c r="J9167">
        <v>0</v>
      </c>
      <c r="K9167" s="1">
        <v>3415383</v>
      </c>
    </row>
    <row r="9168" spans="1:11" x14ac:dyDescent="0.25">
      <c r="A9168" t="s">
        <v>9</v>
      </c>
      <c r="B9168" t="s">
        <v>49</v>
      </c>
      <c r="C9168" t="s">
        <v>875</v>
      </c>
      <c r="D9168" t="s">
        <v>14</v>
      </c>
      <c r="E9168">
        <v>5</v>
      </c>
      <c r="F9168" s="2">
        <f>DATE(2026,IF(Tabla1[[#This Row],[Mes de Fecha]]="Septiembre",9,10),Tabla1[[#This Row],[Día de Fecha]])</f>
        <v>46300</v>
      </c>
      <c r="G9168">
        <v>1192751831</v>
      </c>
      <c r="H9168" t="s">
        <v>53</v>
      </c>
      <c r="I9168">
        <v>89</v>
      </c>
      <c r="J9168">
        <v>0</v>
      </c>
      <c r="K9168" s="1">
        <v>5345006</v>
      </c>
    </row>
    <row r="9169" spans="1:11" x14ac:dyDescent="0.25">
      <c r="A9169" t="s">
        <v>9</v>
      </c>
      <c r="B9169" t="s">
        <v>49</v>
      </c>
      <c r="C9169" t="s">
        <v>875</v>
      </c>
      <c r="D9169" t="s">
        <v>14</v>
      </c>
      <c r="E9169">
        <v>6</v>
      </c>
      <c r="F9169" s="2">
        <f>DATE(2026,IF(Tabla1[[#This Row],[Mes de Fecha]]="Septiembre",9,10),Tabla1[[#This Row],[Día de Fecha]])</f>
        <v>46301</v>
      </c>
      <c r="I9169">
        <v>0</v>
      </c>
      <c r="J9169" s="1">
        <v>11339926</v>
      </c>
      <c r="K9169">
        <v>0</v>
      </c>
    </row>
    <row r="9170" spans="1:11" x14ac:dyDescent="0.25">
      <c r="A9170" t="s">
        <v>9</v>
      </c>
      <c r="B9170" t="s">
        <v>49</v>
      </c>
      <c r="C9170" t="s">
        <v>875</v>
      </c>
      <c r="D9170" t="s">
        <v>14</v>
      </c>
      <c r="E9170">
        <v>6</v>
      </c>
      <c r="F9170" s="2">
        <f>DATE(2026,IF(Tabla1[[#This Row],[Mes de Fecha]]="Septiembre",9,10),Tabla1[[#This Row],[Día de Fecha]])</f>
        <v>46301</v>
      </c>
      <c r="G9170">
        <v>5401602</v>
      </c>
      <c r="H9170" t="s">
        <v>52</v>
      </c>
      <c r="I9170">
        <v>97</v>
      </c>
      <c r="J9170">
        <v>0</v>
      </c>
      <c r="K9170" s="1">
        <v>3790045</v>
      </c>
    </row>
    <row r="9171" spans="1:11" x14ac:dyDescent="0.25">
      <c r="A9171" t="s">
        <v>9</v>
      </c>
      <c r="B9171" t="s">
        <v>49</v>
      </c>
      <c r="C9171" t="s">
        <v>875</v>
      </c>
      <c r="D9171" t="s">
        <v>14</v>
      </c>
      <c r="E9171">
        <v>6</v>
      </c>
      <c r="F9171" s="2">
        <f>DATE(2026,IF(Tabla1[[#This Row],[Mes de Fecha]]="Septiembre",9,10),Tabla1[[#This Row],[Día de Fecha]])</f>
        <v>46301</v>
      </c>
      <c r="G9171">
        <v>1005030326</v>
      </c>
      <c r="H9171" t="s">
        <v>55</v>
      </c>
      <c r="I9171">
        <v>-2</v>
      </c>
      <c r="J9171">
        <v>0</v>
      </c>
      <c r="K9171" s="1">
        <v>-151177</v>
      </c>
    </row>
    <row r="9172" spans="1:11" x14ac:dyDescent="0.25">
      <c r="A9172" t="s">
        <v>9</v>
      </c>
      <c r="B9172" t="s">
        <v>49</v>
      </c>
      <c r="C9172" t="s">
        <v>875</v>
      </c>
      <c r="D9172" t="s">
        <v>14</v>
      </c>
      <c r="E9172">
        <v>6</v>
      </c>
      <c r="F9172" s="2">
        <f>DATE(2026,IF(Tabla1[[#This Row],[Mes de Fecha]]="Septiembre",9,10),Tabla1[[#This Row],[Día de Fecha]])</f>
        <v>46301</v>
      </c>
      <c r="G9172">
        <v>1091966973</v>
      </c>
      <c r="H9172" t="s">
        <v>50</v>
      </c>
      <c r="I9172">
        <v>-1</v>
      </c>
      <c r="J9172">
        <v>0</v>
      </c>
      <c r="K9172" s="1">
        <v>-37773</v>
      </c>
    </row>
    <row r="9173" spans="1:11" x14ac:dyDescent="0.25">
      <c r="A9173" t="s">
        <v>9</v>
      </c>
      <c r="B9173" t="s">
        <v>49</v>
      </c>
      <c r="C9173" t="s">
        <v>875</v>
      </c>
      <c r="D9173" t="s">
        <v>14</v>
      </c>
      <c r="E9173">
        <v>6</v>
      </c>
      <c r="F9173" s="2">
        <f>DATE(2026,IF(Tabla1[[#This Row],[Mes de Fecha]]="Septiembre",9,10),Tabla1[[#This Row],[Día de Fecha]])</f>
        <v>46301</v>
      </c>
      <c r="G9173">
        <v>1192751831</v>
      </c>
      <c r="H9173" t="s">
        <v>53</v>
      </c>
      <c r="I9173">
        <v>98</v>
      </c>
      <c r="J9173">
        <v>0</v>
      </c>
      <c r="K9173" s="1">
        <v>5300513</v>
      </c>
    </row>
    <row r="9174" spans="1:11" x14ac:dyDescent="0.25">
      <c r="A9174" t="s">
        <v>9</v>
      </c>
      <c r="B9174" t="s">
        <v>49</v>
      </c>
      <c r="C9174" t="s">
        <v>875</v>
      </c>
      <c r="D9174" t="s">
        <v>14</v>
      </c>
      <c r="E9174">
        <v>7</v>
      </c>
      <c r="F9174" s="2">
        <f>DATE(2026,IF(Tabla1[[#This Row],[Mes de Fecha]]="Septiembre",9,10),Tabla1[[#This Row],[Día de Fecha]])</f>
        <v>46302</v>
      </c>
      <c r="I9174">
        <v>0</v>
      </c>
      <c r="J9174" s="1">
        <v>3926299</v>
      </c>
      <c r="K9174">
        <v>0</v>
      </c>
    </row>
    <row r="9175" spans="1:11" x14ac:dyDescent="0.25">
      <c r="A9175" t="s">
        <v>9</v>
      </c>
      <c r="B9175" t="s">
        <v>49</v>
      </c>
      <c r="C9175" t="s">
        <v>875</v>
      </c>
      <c r="D9175" t="s">
        <v>14</v>
      </c>
      <c r="E9175">
        <v>7</v>
      </c>
      <c r="F9175" s="2">
        <f>DATE(2026,IF(Tabla1[[#This Row],[Mes de Fecha]]="Septiembre",9,10),Tabla1[[#This Row],[Día de Fecha]])</f>
        <v>46302</v>
      </c>
      <c r="G9175">
        <v>5401602</v>
      </c>
      <c r="H9175" t="s">
        <v>52</v>
      </c>
      <c r="I9175">
        <v>36</v>
      </c>
      <c r="J9175">
        <v>0</v>
      </c>
      <c r="K9175" s="1">
        <v>2097187</v>
      </c>
    </row>
    <row r="9176" spans="1:11" x14ac:dyDescent="0.25">
      <c r="A9176" t="s">
        <v>9</v>
      </c>
      <c r="B9176" t="s">
        <v>49</v>
      </c>
      <c r="C9176" t="s">
        <v>875</v>
      </c>
      <c r="D9176" t="s">
        <v>14</v>
      </c>
      <c r="E9176">
        <v>7</v>
      </c>
      <c r="F9176" s="2">
        <f>DATE(2026,IF(Tabla1[[#This Row],[Mes de Fecha]]="Septiembre",9,10),Tabla1[[#This Row],[Día de Fecha]])</f>
        <v>46302</v>
      </c>
      <c r="G9176">
        <v>1005030326</v>
      </c>
      <c r="H9176" t="s">
        <v>55</v>
      </c>
      <c r="I9176">
        <v>30</v>
      </c>
      <c r="J9176">
        <v>0</v>
      </c>
      <c r="K9176" s="1">
        <v>1742437</v>
      </c>
    </row>
    <row r="9177" spans="1:11" x14ac:dyDescent="0.25">
      <c r="A9177" t="s">
        <v>9</v>
      </c>
      <c r="B9177" t="s">
        <v>49</v>
      </c>
      <c r="C9177" t="s">
        <v>875</v>
      </c>
      <c r="D9177" t="s">
        <v>14</v>
      </c>
      <c r="E9177">
        <v>7</v>
      </c>
      <c r="F9177" s="2">
        <f>DATE(2026,IF(Tabla1[[#This Row],[Mes de Fecha]]="Septiembre",9,10),Tabla1[[#This Row],[Día de Fecha]])</f>
        <v>46302</v>
      </c>
      <c r="G9177">
        <v>1091966973</v>
      </c>
      <c r="H9177" t="s">
        <v>50</v>
      </c>
      <c r="I9177">
        <v>16</v>
      </c>
      <c r="J9177">
        <v>0</v>
      </c>
      <c r="K9177" s="1">
        <v>1049749</v>
      </c>
    </row>
    <row r="9178" spans="1:11" x14ac:dyDescent="0.25">
      <c r="A9178" t="s">
        <v>9</v>
      </c>
      <c r="B9178" t="s">
        <v>49</v>
      </c>
      <c r="C9178" t="s">
        <v>875</v>
      </c>
      <c r="D9178" t="s">
        <v>14</v>
      </c>
      <c r="E9178">
        <v>7</v>
      </c>
      <c r="F9178" s="2">
        <f>DATE(2026,IF(Tabla1[[#This Row],[Mes de Fecha]]="Septiembre",9,10),Tabla1[[#This Row],[Día de Fecha]])</f>
        <v>46302</v>
      </c>
      <c r="G9178">
        <v>1192751831</v>
      </c>
      <c r="H9178" t="s">
        <v>53</v>
      </c>
      <c r="I9178">
        <v>48</v>
      </c>
      <c r="J9178">
        <v>0</v>
      </c>
      <c r="K9178" s="1">
        <v>2731180</v>
      </c>
    </row>
    <row r="9179" spans="1:11" x14ac:dyDescent="0.25">
      <c r="A9179" t="s">
        <v>9</v>
      </c>
      <c r="B9179" t="s">
        <v>90</v>
      </c>
      <c r="C9179" t="s">
        <v>875</v>
      </c>
      <c r="D9179" t="s">
        <v>11</v>
      </c>
      <c r="E9179">
        <v>23</v>
      </c>
      <c r="F9179" s="2">
        <f>DATE(2026,IF(Tabla1[[#This Row],[Mes de Fecha]]="Septiembre",9,10),Tabla1[[#This Row],[Día de Fecha]])</f>
        <v>46288</v>
      </c>
      <c r="I9179">
        <v>0</v>
      </c>
      <c r="J9179" s="1">
        <v>9861341</v>
      </c>
      <c r="K9179">
        <v>0</v>
      </c>
    </row>
    <row r="9180" spans="1:11" x14ac:dyDescent="0.25">
      <c r="A9180" t="s">
        <v>9</v>
      </c>
      <c r="B9180" t="s">
        <v>90</v>
      </c>
      <c r="C9180" t="s">
        <v>875</v>
      </c>
      <c r="D9180" t="s">
        <v>11</v>
      </c>
      <c r="E9180">
        <v>23</v>
      </c>
      <c r="F9180" s="2">
        <f>DATE(2026,IF(Tabla1[[#This Row],[Mes de Fecha]]="Septiembre",9,10),Tabla1[[#This Row],[Día de Fecha]])</f>
        <v>46288</v>
      </c>
      <c r="G9180">
        <v>37331941</v>
      </c>
      <c r="H9180" t="s">
        <v>91</v>
      </c>
      <c r="I9180">
        <v>121</v>
      </c>
      <c r="J9180">
        <v>0</v>
      </c>
      <c r="K9180" s="1">
        <v>6799590</v>
      </c>
    </row>
    <row r="9181" spans="1:11" x14ac:dyDescent="0.25">
      <c r="A9181" t="s">
        <v>9</v>
      </c>
      <c r="B9181" t="s">
        <v>90</v>
      </c>
      <c r="C9181" t="s">
        <v>875</v>
      </c>
      <c r="D9181" t="s">
        <v>11</v>
      </c>
      <c r="E9181">
        <v>23</v>
      </c>
      <c r="F9181" s="2">
        <f>DATE(2026,IF(Tabla1[[#This Row],[Mes de Fecha]]="Septiembre",9,10),Tabla1[[#This Row],[Día de Fecha]])</f>
        <v>46288</v>
      </c>
      <c r="G9181">
        <v>1007391643</v>
      </c>
      <c r="H9181" t="s">
        <v>94</v>
      </c>
      <c r="I9181">
        <v>137</v>
      </c>
      <c r="J9181">
        <v>0</v>
      </c>
      <c r="K9181" s="1">
        <v>7758111</v>
      </c>
    </row>
    <row r="9182" spans="1:11" x14ac:dyDescent="0.25">
      <c r="A9182" t="s">
        <v>9</v>
      </c>
      <c r="B9182" t="s">
        <v>90</v>
      </c>
      <c r="C9182" t="s">
        <v>875</v>
      </c>
      <c r="D9182" t="s">
        <v>11</v>
      </c>
      <c r="E9182">
        <v>23</v>
      </c>
      <c r="F9182" s="2">
        <f>DATE(2026,IF(Tabla1[[#This Row],[Mes de Fecha]]="Septiembre",9,10),Tabla1[[#This Row],[Día de Fecha]])</f>
        <v>46288</v>
      </c>
      <c r="G9182">
        <v>1091658144</v>
      </c>
      <c r="H9182" t="s">
        <v>95</v>
      </c>
      <c r="I9182">
        <v>179</v>
      </c>
      <c r="J9182">
        <v>0</v>
      </c>
      <c r="K9182" s="1">
        <v>9215181</v>
      </c>
    </row>
    <row r="9183" spans="1:11" x14ac:dyDescent="0.25">
      <c r="A9183" t="s">
        <v>9</v>
      </c>
      <c r="B9183" t="s">
        <v>90</v>
      </c>
      <c r="C9183" t="s">
        <v>875</v>
      </c>
      <c r="D9183" t="s">
        <v>11</v>
      </c>
      <c r="E9183">
        <v>23</v>
      </c>
      <c r="F9183" s="2">
        <f>DATE(2026,IF(Tabla1[[#This Row],[Mes de Fecha]]="Septiembre",9,10),Tabla1[[#This Row],[Día de Fecha]])</f>
        <v>46288</v>
      </c>
      <c r="G9183">
        <v>1091670348</v>
      </c>
      <c r="H9183" t="s">
        <v>92</v>
      </c>
      <c r="I9183">
        <v>129</v>
      </c>
      <c r="J9183">
        <v>0</v>
      </c>
      <c r="K9183" s="1">
        <v>7051352</v>
      </c>
    </row>
    <row r="9184" spans="1:11" x14ac:dyDescent="0.25">
      <c r="A9184" t="s">
        <v>9</v>
      </c>
      <c r="B9184" t="s">
        <v>90</v>
      </c>
      <c r="C9184" t="s">
        <v>875</v>
      </c>
      <c r="D9184" t="s">
        <v>11</v>
      </c>
      <c r="E9184">
        <v>23</v>
      </c>
      <c r="F9184" s="2">
        <f>DATE(2026,IF(Tabla1[[#This Row],[Mes de Fecha]]="Septiembre",9,10),Tabla1[[#This Row],[Día de Fecha]])</f>
        <v>46288</v>
      </c>
      <c r="G9184">
        <v>1092733374</v>
      </c>
      <c r="H9184" t="s">
        <v>93</v>
      </c>
      <c r="I9184">
        <v>75</v>
      </c>
      <c r="J9184">
        <v>0</v>
      </c>
      <c r="K9184" s="1">
        <v>4246855</v>
      </c>
    </row>
    <row r="9185" spans="1:11" x14ac:dyDescent="0.25">
      <c r="A9185" t="s">
        <v>9</v>
      </c>
      <c r="B9185" t="s">
        <v>90</v>
      </c>
      <c r="C9185" t="s">
        <v>875</v>
      </c>
      <c r="D9185" t="s">
        <v>11</v>
      </c>
      <c r="E9185">
        <v>24</v>
      </c>
      <c r="F9185" s="2">
        <f>DATE(2026,IF(Tabla1[[#This Row],[Mes de Fecha]]="Septiembre",9,10),Tabla1[[#This Row],[Día de Fecha]])</f>
        <v>46289</v>
      </c>
      <c r="I9185">
        <v>0</v>
      </c>
      <c r="J9185" s="1">
        <v>25503316</v>
      </c>
      <c r="K9185">
        <v>0</v>
      </c>
    </row>
    <row r="9186" spans="1:11" x14ac:dyDescent="0.25">
      <c r="A9186" t="s">
        <v>9</v>
      </c>
      <c r="B9186" t="s">
        <v>90</v>
      </c>
      <c r="C9186" t="s">
        <v>875</v>
      </c>
      <c r="D9186" t="s">
        <v>11</v>
      </c>
      <c r="E9186">
        <v>24</v>
      </c>
      <c r="F9186" s="2">
        <f>DATE(2026,IF(Tabla1[[#This Row],[Mes de Fecha]]="Septiembre",9,10),Tabla1[[#This Row],[Día de Fecha]])</f>
        <v>46289</v>
      </c>
      <c r="G9186">
        <v>37331941</v>
      </c>
      <c r="H9186" t="s">
        <v>91</v>
      </c>
      <c r="I9186">
        <v>63</v>
      </c>
      <c r="J9186">
        <v>0</v>
      </c>
      <c r="K9186" s="1">
        <v>3228452</v>
      </c>
    </row>
    <row r="9187" spans="1:11" x14ac:dyDescent="0.25">
      <c r="A9187" t="s">
        <v>9</v>
      </c>
      <c r="B9187" t="s">
        <v>90</v>
      </c>
      <c r="C9187" t="s">
        <v>875</v>
      </c>
      <c r="D9187" t="s">
        <v>11</v>
      </c>
      <c r="E9187">
        <v>24</v>
      </c>
      <c r="F9187" s="2">
        <f>DATE(2026,IF(Tabla1[[#This Row],[Mes de Fecha]]="Septiembre",9,10),Tabla1[[#This Row],[Día de Fecha]])</f>
        <v>46289</v>
      </c>
      <c r="G9187">
        <v>1007391643</v>
      </c>
      <c r="H9187" t="s">
        <v>94</v>
      </c>
      <c r="I9187">
        <v>66</v>
      </c>
      <c r="J9187">
        <v>0</v>
      </c>
      <c r="K9187" s="1">
        <v>3808155</v>
      </c>
    </row>
    <row r="9188" spans="1:11" x14ac:dyDescent="0.25">
      <c r="A9188" t="s">
        <v>9</v>
      </c>
      <c r="B9188" t="s">
        <v>90</v>
      </c>
      <c r="C9188" t="s">
        <v>875</v>
      </c>
      <c r="D9188" t="s">
        <v>11</v>
      </c>
      <c r="E9188">
        <v>24</v>
      </c>
      <c r="F9188" s="2">
        <f>DATE(2026,IF(Tabla1[[#This Row],[Mes de Fecha]]="Septiembre",9,10),Tabla1[[#This Row],[Día de Fecha]])</f>
        <v>46289</v>
      </c>
      <c r="G9188">
        <v>1091658144</v>
      </c>
      <c r="H9188" t="s">
        <v>95</v>
      </c>
      <c r="I9188">
        <v>186</v>
      </c>
      <c r="J9188">
        <v>0</v>
      </c>
      <c r="K9188" s="1">
        <v>9637204</v>
      </c>
    </row>
    <row r="9189" spans="1:11" x14ac:dyDescent="0.25">
      <c r="A9189" t="s">
        <v>9</v>
      </c>
      <c r="B9189" t="s">
        <v>90</v>
      </c>
      <c r="C9189" t="s">
        <v>875</v>
      </c>
      <c r="D9189" t="s">
        <v>11</v>
      </c>
      <c r="E9189">
        <v>24</v>
      </c>
      <c r="F9189" s="2">
        <f>DATE(2026,IF(Tabla1[[#This Row],[Mes de Fecha]]="Septiembre",9,10),Tabla1[[#This Row],[Día de Fecha]])</f>
        <v>46289</v>
      </c>
      <c r="G9189">
        <v>1091670348</v>
      </c>
      <c r="H9189" t="s">
        <v>92</v>
      </c>
      <c r="I9189">
        <v>104</v>
      </c>
      <c r="J9189">
        <v>0</v>
      </c>
      <c r="K9189" s="1">
        <v>6001899</v>
      </c>
    </row>
    <row r="9190" spans="1:11" x14ac:dyDescent="0.25">
      <c r="A9190" t="s">
        <v>9</v>
      </c>
      <c r="B9190" t="s">
        <v>90</v>
      </c>
      <c r="C9190" t="s">
        <v>875</v>
      </c>
      <c r="D9190" t="s">
        <v>11</v>
      </c>
      <c r="E9190">
        <v>24</v>
      </c>
      <c r="F9190" s="2">
        <f>DATE(2026,IF(Tabla1[[#This Row],[Mes de Fecha]]="Septiembre",9,10),Tabla1[[#This Row],[Día de Fecha]])</f>
        <v>46289</v>
      </c>
      <c r="G9190">
        <v>1092733374</v>
      </c>
      <c r="H9190" t="s">
        <v>93</v>
      </c>
      <c r="I9190">
        <v>99</v>
      </c>
      <c r="J9190">
        <v>0</v>
      </c>
      <c r="K9190" s="1">
        <v>4934921</v>
      </c>
    </row>
    <row r="9191" spans="1:11" x14ac:dyDescent="0.25">
      <c r="A9191" t="s">
        <v>9</v>
      </c>
      <c r="B9191" t="s">
        <v>90</v>
      </c>
      <c r="C9191" t="s">
        <v>875</v>
      </c>
      <c r="D9191" t="s">
        <v>11</v>
      </c>
      <c r="E9191">
        <v>25</v>
      </c>
      <c r="F9191" s="2">
        <f>DATE(2026,IF(Tabla1[[#This Row],[Mes de Fecha]]="Septiembre",9,10),Tabla1[[#This Row],[Día de Fecha]])</f>
        <v>46290</v>
      </c>
      <c r="I9191">
        <v>0</v>
      </c>
      <c r="J9191" s="1">
        <v>27238931</v>
      </c>
      <c r="K9191">
        <v>0</v>
      </c>
    </row>
    <row r="9192" spans="1:11" x14ac:dyDescent="0.25">
      <c r="A9192" t="s">
        <v>9</v>
      </c>
      <c r="B9192" t="s">
        <v>90</v>
      </c>
      <c r="C9192" t="s">
        <v>875</v>
      </c>
      <c r="D9192" t="s">
        <v>11</v>
      </c>
      <c r="E9192">
        <v>25</v>
      </c>
      <c r="F9192" s="2">
        <f>DATE(2026,IF(Tabla1[[#This Row],[Mes de Fecha]]="Septiembre",9,10),Tabla1[[#This Row],[Día de Fecha]])</f>
        <v>46290</v>
      </c>
      <c r="G9192">
        <v>37331941</v>
      </c>
      <c r="H9192" t="s">
        <v>91</v>
      </c>
      <c r="I9192">
        <v>152</v>
      </c>
      <c r="J9192">
        <v>0</v>
      </c>
      <c r="K9192" s="1">
        <v>8569250</v>
      </c>
    </row>
    <row r="9193" spans="1:11" x14ac:dyDescent="0.25">
      <c r="A9193" t="s">
        <v>9</v>
      </c>
      <c r="B9193" t="s">
        <v>90</v>
      </c>
      <c r="C9193" t="s">
        <v>875</v>
      </c>
      <c r="D9193" t="s">
        <v>11</v>
      </c>
      <c r="E9193">
        <v>25</v>
      </c>
      <c r="F9193" s="2">
        <f>DATE(2026,IF(Tabla1[[#This Row],[Mes de Fecha]]="Septiembre",9,10),Tabla1[[#This Row],[Día de Fecha]])</f>
        <v>46290</v>
      </c>
      <c r="G9193">
        <v>1007391643</v>
      </c>
      <c r="H9193" t="s">
        <v>94</v>
      </c>
      <c r="I9193">
        <v>87</v>
      </c>
      <c r="J9193">
        <v>0</v>
      </c>
      <c r="K9193" s="1">
        <v>5578281</v>
      </c>
    </row>
    <row r="9194" spans="1:11" x14ac:dyDescent="0.25">
      <c r="A9194" t="s">
        <v>9</v>
      </c>
      <c r="B9194" t="s">
        <v>90</v>
      </c>
      <c r="C9194" t="s">
        <v>875</v>
      </c>
      <c r="D9194" t="s">
        <v>11</v>
      </c>
      <c r="E9194">
        <v>25</v>
      </c>
      <c r="F9194" s="2">
        <f>DATE(2026,IF(Tabla1[[#This Row],[Mes de Fecha]]="Septiembre",9,10),Tabla1[[#This Row],[Día de Fecha]])</f>
        <v>46290</v>
      </c>
      <c r="G9194">
        <v>1091658144</v>
      </c>
      <c r="H9194" t="s">
        <v>95</v>
      </c>
      <c r="I9194">
        <v>144</v>
      </c>
      <c r="J9194">
        <v>0</v>
      </c>
      <c r="K9194" s="1">
        <v>7561186</v>
      </c>
    </row>
    <row r="9195" spans="1:11" x14ac:dyDescent="0.25">
      <c r="A9195" t="s">
        <v>9</v>
      </c>
      <c r="B9195" t="s">
        <v>90</v>
      </c>
      <c r="C9195" t="s">
        <v>875</v>
      </c>
      <c r="D9195" t="s">
        <v>11</v>
      </c>
      <c r="E9195">
        <v>25</v>
      </c>
      <c r="F9195" s="2">
        <f>DATE(2026,IF(Tabla1[[#This Row],[Mes de Fecha]]="Septiembre",9,10),Tabla1[[#This Row],[Día de Fecha]])</f>
        <v>46290</v>
      </c>
      <c r="G9195">
        <v>1091670348</v>
      </c>
      <c r="H9195" t="s">
        <v>92</v>
      </c>
      <c r="I9195">
        <v>84</v>
      </c>
      <c r="J9195">
        <v>0</v>
      </c>
      <c r="K9195" s="1">
        <v>4834669</v>
      </c>
    </row>
    <row r="9196" spans="1:11" x14ac:dyDescent="0.25">
      <c r="A9196" t="s">
        <v>9</v>
      </c>
      <c r="B9196" t="s">
        <v>90</v>
      </c>
      <c r="C9196" t="s">
        <v>875</v>
      </c>
      <c r="D9196" t="s">
        <v>11</v>
      </c>
      <c r="E9196">
        <v>25</v>
      </c>
      <c r="F9196" s="2">
        <f>DATE(2026,IF(Tabla1[[#This Row],[Mes de Fecha]]="Septiembre",9,10),Tabla1[[#This Row],[Día de Fecha]])</f>
        <v>46290</v>
      </c>
      <c r="G9196">
        <v>1092733374</v>
      </c>
      <c r="H9196" t="s">
        <v>93</v>
      </c>
      <c r="I9196">
        <v>106</v>
      </c>
      <c r="J9196">
        <v>0</v>
      </c>
      <c r="K9196" s="1">
        <v>6190930</v>
      </c>
    </row>
    <row r="9197" spans="1:11" x14ac:dyDescent="0.25">
      <c r="A9197" t="s">
        <v>9</v>
      </c>
      <c r="B9197" t="s">
        <v>90</v>
      </c>
      <c r="C9197" t="s">
        <v>875</v>
      </c>
      <c r="D9197" t="s">
        <v>11</v>
      </c>
      <c r="E9197">
        <v>25</v>
      </c>
      <c r="F9197" s="2">
        <f>DATE(2026,IF(Tabla1[[#This Row],[Mes de Fecha]]="Septiembre",9,10),Tabla1[[#This Row],[Día de Fecha]])</f>
        <v>46290</v>
      </c>
      <c r="G9197" t="s">
        <v>98</v>
      </c>
      <c r="H9197" t="s">
        <v>99</v>
      </c>
      <c r="I9197">
        <v>134</v>
      </c>
      <c r="J9197">
        <v>0</v>
      </c>
      <c r="K9197" s="1">
        <v>9586797</v>
      </c>
    </row>
    <row r="9198" spans="1:11" x14ac:dyDescent="0.25">
      <c r="A9198" t="s">
        <v>9</v>
      </c>
      <c r="B9198" t="s">
        <v>90</v>
      </c>
      <c r="C9198" t="s">
        <v>875</v>
      </c>
      <c r="D9198" t="s">
        <v>11</v>
      </c>
      <c r="E9198">
        <v>26</v>
      </c>
      <c r="F9198" s="2">
        <f>DATE(2026,IF(Tabla1[[#This Row],[Mes de Fecha]]="Septiembre",9,10),Tabla1[[#This Row],[Día de Fecha]])</f>
        <v>46291</v>
      </c>
      <c r="I9198">
        <v>0</v>
      </c>
      <c r="J9198" s="1">
        <v>34347609</v>
      </c>
      <c r="K9198">
        <v>0</v>
      </c>
    </row>
    <row r="9199" spans="1:11" x14ac:dyDescent="0.25">
      <c r="A9199" t="s">
        <v>9</v>
      </c>
      <c r="B9199" t="s">
        <v>90</v>
      </c>
      <c r="C9199" t="s">
        <v>875</v>
      </c>
      <c r="D9199" t="s">
        <v>11</v>
      </c>
      <c r="E9199">
        <v>26</v>
      </c>
      <c r="F9199" s="2">
        <f>DATE(2026,IF(Tabla1[[#This Row],[Mes de Fecha]]="Septiembre",9,10),Tabla1[[#This Row],[Día de Fecha]])</f>
        <v>46291</v>
      </c>
      <c r="G9199">
        <v>37331941</v>
      </c>
      <c r="H9199" t="s">
        <v>91</v>
      </c>
      <c r="I9199">
        <v>171</v>
      </c>
      <c r="J9199">
        <v>0</v>
      </c>
      <c r="K9199" s="1">
        <v>9244881</v>
      </c>
    </row>
    <row r="9200" spans="1:11" x14ac:dyDescent="0.25">
      <c r="A9200" t="s">
        <v>9</v>
      </c>
      <c r="B9200" t="s">
        <v>90</v>
      </c>
      <c r="C9200" t="s">
        <v>875</v>
      </c>
      <c r="D9200" t="s">
        <v>11</v>
      </c>
      <c r="E9200">
        <v>26</v>
      </c>
      <c r="F9200" s="2">
        <f>DATE(2026,IF(Tabla1[[#This Row],[Mes de Fecha]]="Septiembre",9,10),Tabla1[[#This Row],[Día de Fecha]])</f>
        <v>46291</v>
      </c>
      <c r="G9200">
        <v>1007391643</v>
      </c>
      <c r="H9200" t="s">
        <v>94</v>
      </c>
      <c r="I9200">
        <v>111</v>
      </c>
      <c r="J9200">
        <v>0</v>
      </c>
      <c r="K9200" s="1">
        <v>6035150</v>
      </c>
    </row>
    <row r="9201" spans="1:11" x14ac:dyDescent="0.25">
      <c r="A9201" t="s">
        <v>9</v>
      </c>
      <c r="B9201" t="s">
        <v>90</v>
      </c>
      <c r="C9201" t="s">
        <v>875</v>
      </c>
      <c r="D9201" t="s">
        <v>11</v>
      </c>
      <c r="E9201">
        <v>26</v>
      </c>
      <c r="F9201" s="2">
        <f>DATE(2026,IF(Tabla1[[#This Row],[Mes de Fecha]]="Septiembre",9,10),Tabla1[[#This Row],[Día de Fecha]])</f>
        <v>46291</v>
      </c>
      <c r="G9201">
        <v>1091658144</v>
      </c>
      <c r="H9201" t="s">
        <v>95</v>
      </c>
      <c r="I9201">
        <v>183</v>
      </c>
      <c r="J9201">
        <v>0</v>
      </c>
      <c r="K9201" s="1">
        <v>10256778</v>
      </c>
    </row>
    <row r="9202" spans="1:11" x14ac:dyDescent="0.25">
      <c r="A9202" t="s">
        <v>9</v>
      </c>
      <c r="B9202" t="s">
        <v>90</v>
      </c>
      <c r="C9202" t="s">
        <v>875</v>
      </c>
      <c r="D9202" t="s">
        <v>11</v>
      </c>
      <c r="E9202">
        <v>26</v>
      </c>
      <c r="F9202" s="2">
        <f>DATE(2026,IF(Tabla1[[#This Row],[Mes de Fecha]]="Septiembre",9,10),Tabla1[[#This Row],[Día de Fecha]])</f>
        <v>46291</v>
      </c>
      <c r="G9202">
        <v>1091670348</v>
      </c>
      <c r="H9202" t="s">
        <v>92</v>
      </c>
      <c r="I9202">
        <v>99</v>
      </c>
      <c r="J9202">
        <v>0</v>
      </c>
      <c r="K9202" s="1">
        <v>5327740</v>
      </c>
    </row>
    <row r="9203" spans="1:11" x14ac:dyDescent="0.25">
      <c r="A9203" t="s">
        <v>9</v>
      </c>
      <c r="B9203" t="s">
        <v>90</v>
      </c>
      <c r="C9203" t="s">
        <v>875</v>
      </c>
      <c r="D9203" t="s">
        <v>11</v>
      </c>
      <c r="E9203">
        <v>26</v>
      </c>
      <c r="F9203" s="2">
        <f>DATE(2026,IF(Tabla1[[#This Row],[Mes de Fecha]]="Septiembre",9,10),Tabla1[[#This Row],[Día de Fecha]])</f>
        <v>46291</v>
      </c>
      <c r="G9203">
        <v>1092733374</v>
      </c>
      <c r="H9203" t="s">
        <v>93</v>
      </c>
      <c r="I9203">
        <v>100</v>
      </c>
      <c r="J9203">
        <v>0</v>
      </c>
      <c r="K9203" s="1">
        <v>5228958</v>
      </c>
    </row>
    <row r="9204" spans="1:11" x14ac:dyDescent="0.25">
      <c r="A9204" t="s">
        <v>9</v>
      </c>
      <c r="B9204" t="s">
        <v>90</v>
      </c>
      <c r="C9204" t="s">
        <v>875</v>
      </c>
      <c r="D9204" t="s">
        <v>11</v>
      </c>
      <c r="E9204">
        <v>27</v>
      </c>
      <c r="F9204" s="2">
        <f>DATE(2026,IF(Tabla1[[#This Row],[Mes de Fecha]]="Septiembre",9,10),Tabla1[[#This Row],[Día de Fecha]])</f>
        <v>46292</v>
      </c>
      <c r="I9204">
        <v>0</v>
      </c>
      <c r="J9204" s="1">
        <v>18135210</v>
      </c>
      <c r="K9204">
        <v>0</v>
      </c>
    </row>
    <row r="9205" spans="1:11" x14ac:dyDescent="0.25">
      <c r="A9205" t="s">
        <v>9</v>
      </c>
      <c r="B9205" t="s">
        <v>90</v>
      </c>
      <c r="C9205" t="s">
        <v>875</v>
      </c>
      <c r="D9205" t="s">
        <v>11</v>
      </c>
      <c r="E9205">
        <v>27</v>
      </c>
      <c r="F9205" s="2">
        <f>DATE(2026,IF(Tabla1[[#This Row],[Mes de Fecha]]="Septiembre",9,10),Tabla1[[#This Row],[Día de Fecha]])</f>
        <v>46292</v>
      </c>
      <c r="G9205">
        <v>37331941</v>
      </c>
      <c r="H9205" t="s">
        <v>91</v>
      </c>
      <c r="I9205">
        <v>67</v>
      </c>
      <c r="J9205">
        <v>0</v>
      </c>
      <c r="K9205" s="1">
        <v>3471893</v>
      </c>
    </row>
    <row r="9206" spans="1:11" x14ac:dyDescent="0.25">
      <c r="A9206" t="s">
        <v>9</v>
      </c>
      <c r="B9206" t="s">
        <v>90</v>
      </c>
      <c r="C9206" t="s">
        <v>875</v>
      </c>
      <c r="D9206" t="s">
        <v>11</v>
      </c>
      <c r="E9206">
        <v>27</v>
      </c>
      <c r="F9206" s="2">
        <f>DATE(2026,IF(Tabla1[[#This Row],[Mes de Fecha]]="Septiembre",9,10),Tabla1[[#This Row],[Día de Fecha]])</f>
        <v>46292</v>
      </c>
      <c r="G9206">
        <v>1007391643</v>
      </c>
      <c r="H9206" t="s">
        <v>94</v>
      </c>
      <c r="I9206">
        <v>57</v>
      </c>
      <c r="J9206">
        <v>0</v>
      </c>
      <c r="K9206" s="1">
        <v>3039331</v>
      </c>
    </row>
    <row r="9207" spans="1:11" x14ac:dyDescent="0.25">
      <c r="A9207" t="s">
        <v>9</v>
      </c>
      <c r="B9207" t="s">
        <v>90</v>
      </c>
      <c r="C9207" t="s">
        <v>875</v>
      </c>
      <c r="D9207" t="s">
        <v>11</v>
      </c>
      <c r="E9207">
        <v>27</v>
      </c>
      <c r="F9207" s="2">
        <f>DATE(2026,IF(Tabla1[[#This Row],[Mes de Fecha]]="Septiembre",9,10),Tabla1[[#This Row],[Día de Fecha]])</f>
        <v>46292</v>
      </c>
      <c r="G9207">
        <v>1091658144</v>
      </c>
      <c r="H9207" t="s">
        <v>95</v>
      </c>
      <c r="I9207">
        <v>112</v>
      </c>
      <c r="J9207">
        <v>0</v>
      </c>
      <c r="K9207" s="1">
        <v>5881727</v>
      </c>
    </row>
    <row r="9208" spans="1:11" x14ac:dyDescent="0.25">
      <c r="A9208" t="s">
        <v>9</v>
      </c>
      <c r="B9208" t="s">
        <v>90</v>
      </c>
      <c r="C9208" t="s">
        <v>875</v>
      </c>
      <c r="D9208" t="s">
        <v>11</v>
      </c>
      <c r="E9208">
        <v>27</v>
      </c>
      <c r="F9208" s="2">
        <f>DATE(2026,IF(Tabla1[[#This Row],[Mes de Fecha]]="Septiembre",9,10),Tabla1[[#This Row],[Día de Fecha]])</f>
        <v>46292</v>
      </c>
      <c r="G9208">
        <v>1091670348</v>
      </c>
      <c r="H9208" t="s">
        <v>92</v>
      </c>
      <c r="I9208">
        <v>80</v>
      </c>
      <c r="J9208">
        <v>0</v>
      </c>
      <c r="K9208" s="1">
        <v>4355926</v>
      </c>
    </row>
    <row r="9209" spans="1:11" x14ac:dyDescent="0.25">
      <c r="A9209" t="s">
        <v>9</v>
      </c>
      <c r="B9209" t="s">
        <v>90</v>
      </c>
      <c r="C9209" t="s">
        <v>875</v>
      </c>
      <c r="D9209" t="s">
        <v>11</v>
      </c>
      <c r="E9209">
        <v>27</v>
      </c>
      <c r="F9209" s="2">
        <f>DATE(2026,IF(Tabla1[[#This Row],[Mes de Fecha]]="Septiembre",9,10),Tabla1[[#This Row],[Día de Fecha]])</f>
        <v>46292</v>
      </c>
      <c r="G9209">
        <v>1092733374</v>
      </c>
      <c r="H9209" t="s">
        <v>93</v>
      </c>
      <c r="I9209">
        <v>44</v>
      </c>
      <c r="J9209">
        <v>0</v>
      </c>
      <c r="K9209" s="1">
        <v>2304876</v>
      </c>
    </row>
    <row r="9210" spans="1:11" x14ac:dyDescent="0.25">
      <c r="A9210" t="s">
        <v>9</v>
      </c>
      <c r="B9210" t="s">
        <v>90</v>
      </c>
      <c r="C9210" t="s">
        <v>875</v>
      </c>
      <c r="D9210" t="s">
        <v>11</v>
      </c>
      <c r="E9210">
        <v>28</v>
      </c>
      <c r="F9210" s="2">
        <f>DATE(2026,IF(Tabla1[[#This Row],[Mes de Fecha]]="Septiembre",9,10),Tabla1[[#This Row],[Día de Fecha]])</f>
        <v>46293</v>
      </c>
      <c r="I9210">
        <v>0</v>
      </c>
      <c r="J9210" s="1">
        <v>14868896</v>
      </c>
      <c r="K9210">
        <v>0</v>
      </c>
    </row>
    <row r="9211" spans="1:11" x14ac:dyDescent="0.25">
      <c r="A9211" t="s">
        <v>9</v>
      </c>
      <c r="B9211" t="s">
        <v>90</v>
      </c>
      <c r="C9211" t="s">
        <v>875</v>
      </c>
      <c r="D9211" t="s">
        <v>11</v>
      </c>
      <c r="E9211">
        <v>28</v>
      </c>
      <c r="F9211" s="2">
        <f>DATE(2026,IF(Tabla1[[#This Row],[Mes de Fecha]]="Septiembre",9,10),Tabla1[[#This Row],[Día de Fecha]])</f>
        <v>46293</v>
      </c>
      <c r="G9211">
        <v>37331941</v>
      </c>
      <c r="H9211" t="s">
        <v>91</v>
      </c>
      <c r="I9211">
        <v>79</v>
      </c>
      <c r="J9211">
        <v>0</v>
      </c>
      <c r="K9211" s="1">
        <v>4252653</v>
      </c>
    </row>
    <row r="9212" spans="1:11" x14ac:dyDescent="0.25">
      <c r="A9212" t="s">
        <v>9</v>
      </c>
      <c r="B9212" t="s">
        <v>90</v>
      </c>
      <c r="C9212" t="s">
        <v>875</v>
      </c>
      <c r="D9212" t="s">
        <v>11</v>
      </c>
      <c r="E9212">
        <v>28</v>
      </c>
      <c r="F9212" s="2">
        <f>DATE(2026,IF(Tabla1[[#This Row],[Mes de Fecha]]="Septiembre",9,10),Tabla1[[#This Row],[Día de Fecha]])</f>
        <v>46293</v>
      </c>
      <c r="G9212">
        <v>1007391643</v>
      </c>
      <c r="H9212" t="s">
        <v>94</v>
      </c>
      <c r="I9212">
        <v>92</v>
      </c>
      <c r="J9212">
        <v>0</v>
      </c>
      <c r="K9212" s="1">
        <v>3873024</v>
      </c>
    </row>
    <row r="9213" spans="1:11" x14ac:dyDescent="0.25">
      <c r="A9213" t="s">
        <v>9</v>
      </c>
      <c r="B9213" t="s">
        <v>90</v>
      </c>
      <c r="C9213" t="s">
        <v>875</v>
      </c>
      <c r="D9213" t="s">
        <v>11</v>
      </c>
      <c r="E9213">
        <v>28</v>
      </c>
      <c r="F9213" s="2">
        <f>DATE(2026,IF(Tabla1[[#This Row],[Mes de Fecha]]="Septiembre",9,10),Tabla1[[#This Row],[Día de Fecha]])</f>
        <v>46293</v>
      </c>
      <c r="G9213">
        <v>1091658144</v>
      </c>
      <c r="H9213" t="s">
        <v>95</v>
      </c>
      <c r="I9213">
        <v>94</v>
      </c>
      <c r="J9213">
        <v>0</v>
      </c>
      <c r="K9213" s="1">
        <v>4694877</v>
      </c>
    </row>
    <row r="9214" spans="1:11" x14ac:dyDescent="0.25">
      <c r="A9214" t="s">
        <v>9</v>
      </c>
      <c r="B9214" t="s">
        <v>90</v>
      </c>
      <c r="C9214" t="s">
        <v>875</v>
      </c>
      <c r="D9214" t="s">
        <v>11</v>
      </c>
      <c r="E9214">
        <v>28</v>
      </c>
      <c r="F9214" s="2">
        <f>DATE(2026,IF(Tabla1[[#This Row],[Mes de Fecha]]="Septiembre",9,10),Tabla1[[#This Row],[Día de Fecha]])</f>
        <v>46293</v>
      </c>
      <c r="G9214">
        <v>1091670348</v>
      </c>
      <c r="H9214" t="s">
        <v>92</v>
      </c>
      <c r="I9214">
        <v>87</v>
      </c>
      <c r="J9214">
        <v>0</v>
      </c>
      <c r="K9214" s="1">
        <v>4518658</v>
      </c>
    </row>
    <row r="9215" spans="1:11" x14ac:dyDescent="0.25">
      <c r="A9215" t="s">
        <v>9</v>
      </c>
      <c r="B9215" t="s">
        <v>90</v>
      </c>
      <c r="C9215" t="s">
        <v>875</v>
      </c>
      <c r="D9215" t="s">
        <v>11</v>
      </c>
      <c r="E9215">
        <v>28</v>
      </c>
      <c r="F9215" s="2">
        <f>DATE(2026,IF(Tabla1[[#This Row],[Mes de Fecha]]="Septiembre",9,10),Tabla1[[#This Row],[Día de Fecha]])</f>
        <v>46293</v>
      </c>
      <c r="G9215">
        <v>1092733374</v>
      </c>
      <c r="H9215" t="s">
        <v>93</v>
      </c>
      <c r="I9215">
        <v>113</v>
      </c>
      <c r="J9215">
        <v>0</v>
      </c>
      <c r="K9215" s="1">
        <v>6063830</v>
      </c>
    </row>
    <row r="9216" spans="1:11" x14ac:dyDescent="0.25">
      <c r="A9216" t="s">
        <v>9</v>
      </c>
      <c r="B9216" t="s">
        <v>90</v>
      </c>
      <c r="C9216" t="s">
        <v>875</v>
      </c>
      <c r="D9216" t="s">
        <v>11</v>
      </c>
      <c r="E9216">
        <v>29</v>
      </c>
      <c r="F9216" s="2">
        <f>DATE(2026,IF(Tabla1[[#This Row],[Mes de Fecha]]="Septiembre",9,10),Tabla1[[#This Row],[Día de Fecha]])</f>
        <v>46294</v>
      </c>
      <c r="I9216">
        <v>0</v>
      </c>
      <c r="J9216" s="1">
        <v>16529820</v>
      </c>
      <c r="K9216">
        <v>0</v>
      </c>
    </row>
    <row r="9217" spans="1:11" x14ac:dyDescent="0.25">
      <c r="A9217" t="s">
        <v>9</v>
      </c>
      <c r="B9217" t="s">
        <v>90</v>
      </c>
      <c r="C9217" t="s">
        <v>875</v>
      </c>
      <c r="D9217" t="s">
        <v>11</v>
      </c>
      <c r="E9217">
        <v>29</v>
      </c>
      <c r="F9217" s="2">
        <f>DATE(2026,IF(Tabla1[[#This Row],[Mes de Fecha]]="Septiembre",9,10),Tabla1[[#This Row],[Día de Fecha]])</f>
        <v>46294</v>
      </c>
      <c r="G9217">
        <v>37331941</v>
      </c>
      <c r="H9217" t="s">
        <v>91</v>
      </c>
      <c r="I9217">
        <v>115</v>
      </c>
      <c r="J9217">
        <v>0</v>
      </c>
      <c r="K9217" s="1">
        <v>6307610</v>
      </c>
    </row>
    <row r="9218" spans="1:11" x14ac:dyDescent="0.25">
      <c r="A9218" t="s">
        <v>9</v>
      </c>
      <c r="B9218" t="s">
        <v>90</v>
      </c>
      <c r="C9218" t="s">
        <v>875</v>
      </c>
      <c r="D9218" t="s">
        <v>11</v>
      </c>
      <c r="E9218">
        <v>29</v>
      </c>
      <c r="F9218" s="2">
        <f>DATE(2026,IF(Tabla1[[#This Row],[Mes de Fecha]]="Septiembre",9,10),Tabla1[[#This Row],[Día de Fecha]])</f>
        <v>46294</v>
      </c>
      <c r="G9218">
        <v>1007391643</v>
      </c>
      <c r="H9218" t="s">
        <v>94</v>
      </c>
      <c r="I9218">
        <v>109</v>
      </c>
      <c r="J9218">
        <v>0</v>
      </c>
      <c r="K9218" s="1">
        <v>5225424</v>
      </c>
    </row>
    <row r="9219" spans="1:11" x14ac:dyDescent="0.25">
      <c r="A9219" t="s">
        <v>9</v>
      </c>
      <c r="B9219" t="s">
        <v>90</v>
      </c>
      <c r="C9219" t="s">
        <v>875</v>
      </c>
      <c r="D9219" t="s">
        <v>11</v>
      </c>
      <c r="E9219">
        <v>29</v>
      </c>
      <c r="F9219" s="2">
        <f>DATE(2026,IF(Tabla1[[#This Row],[Mes de Fecha]]="Septiembre",9,10),Tabla1[[#This Row],[Día de Fecha]])</f>
        <v>46294</v>
      </c>
      <c r="G9219">
        <v>1091658144</v>
      </c>
      <c r="H9219" t="s">
        <v>95</v>
      </c>
      <c r="I9219">
        <v>53</v>
      </c>
      <c r="J9219">
        <v>0</v>
      </c>
      <c r="K9219" s="1">
        <v>3056348</v>
      </c>
    </row>
    <row r="9220" spans="1:11" x14ac:dyDescent="0.25">
      <c r="A9220" t="s">
        <v>9</v>
      </c>
      <c r="B9220" t="s">
        <v>90</v>
      </c>
      <c r="C9220" t="s">
        <v>875</v>
      </c>
      <c r="D9220" t="s">
        <v>11</v>
      </c>
      <c r="E9220">
        <v>29</v>
      </c>
      <c r="F9220" s="2">
        <f>DATE(2026,IF(Tabla1[[#This Row],[Mes de Fecha]]="Septiembre",9,10),Tabla1[[#This Row],[Día de Fecha]])</f>
        <v>46294</v>
      </c>
      <c r="G9220">
        <v>1091670348</v>
      </c>
      <c r="H9220" t="s">
        <v>92</v>
      </c>
      <c r="I9220">
        <v>84</v>
      </c>
      <c r="J9220">
        <v>0</v>
      </c>
      <c r="K9220" s="1">
        <v>4417986</v>
      </c>
    </row>
    <row r="9221" spans="1:11" x14ac:dyDescent="0.25">
      <c r="A9221" t="s">
        <v>9</v>
      </c>
      <c r="B9221" t="s">
        <v>90</v>
      </c>
      <c r="C9221" t="s">
        <v>875</v>
      </c>
      <c r="D9221" t="s">
        <v>11</v>
      </c>
      <c r="E9221">
        <v>29</v>
      </c>
      <c r="F9221" s="2">
        <f>DATE(2026,IF(Tabla1[[#This Row],[Mes de Fecha]]="Septiembre",9,10),Tabla1[[#This Row],[Día de Fecha]])</f>
        <v>46294</v>
      </c>
      <c r="G9221">
        <v>1092733374</v>
      </c>
      <c r="H9221" t="s">
        <v>93</v>
      </c>
      <c r="I9221">
        <v>95</v>
      </c>
      <c r="J9221">
        <v>0</v>
      </c>
      <c r="K9221" s="1">
        <v>4604037</v>
      </c>
    </row>
    <row r="9222" spans="1:11" x14ac:dyDescent="0.25">
      <c r="A9222" t="s">
        <v>9</v>
      </c>
      <c r="B9222" t="s">
        <v>90</v>
      </c>
      <c r="C9222" t="s">
        <v>875</v>
      </c>
      <c r="D9222" t="s">
        <v>11</v>
      </c>
      <c r="E9222">
        <v>30</v>
      </c>
      <c r="F9222" s="2">
        <f>DATE(2026,IF(Tabla1[[#This Row],[Mes de Fecha]]="Septiembre",9,10),Tabla1[[#This Row],[Día de Fecha]])</f>
        <v>46295</v>
      </c>
      <c r="I9222">
        <v>0</v>
      </c>
      <c r="J9222" s="1">
        <v>17505604</v>
      </c>
      <c r="K9222">
        <v>0</v>
      </c>
    </row>
    <row r="9223" spans="1:11" x14ac:dyDescent="0.25">
      <c r="A9223" t="s">
        <v>9</v>
      </c>
      <c r="B9223" t="s">
        <v>90</v>
      </c>
      <c r="C9223" t="s">
        <v>875</v>
      </c>
      <c r="D9223" t="s">
        <v>11</v>
      </c>
      <c r="E9223">
        <v>30</v>
      </c>
      <c r="F9223" s="2">
        <f>DATE(2026,IF(Tabla1[[#This Row],[Mes de Fecha]]="Septiembre",9,10),Tabla1[[#This Row],[Día de Fecha]])</f>
        <v>46295</v>
      </c>
      <c r="G9223">
        <v>37331941</v>
      </c>
      <c r="H9223" t="s">
        <v>91</v>
      </c>
      <c r="I9223">
        <v>93</v>
      </c>
      <c r="J9223">
        <v>0</v>
      </c>
      <c r="K9223" s="1">
        <v>5264245</v>
      </c>
    </row>
    <row r="9224" spans="1:11" x14ac:dyDescent="0.25">
      <c r="A9224" t="s">
        <v>9</v>
      </c>
      <c r="B9224" t="s">
        <v>90</v>
      </c>
      <c r="C9224" t="s">
        <v>875</v>
      </c>
      <c r="D9224" t="s">
        <v>11</v>
      </c>
      <c r="E9224">
        <v>30</v>
      </c>
      <c r="F9224" s="2">
        <f>DATE(2026,IF(Tabla1[[#This Row],[Mes de Fecha]]="Septiembre",9,10),Tabla1[[#This Row],[Día de Fecha]])</f>
        <v>46295</v>
      </c>
      <c r="G9224">
        <v>1007391643</v>
      </c>
      <c r="H9224" t="s">
        <v>94</v>
      </c>
      <c r="I9224">
        <v>71</v>
      </c>
      <c r="J9224">
        <v>0</v>
      </c>
      <c r="K9224" s="1">
        <v>3819751</v>
      </c>
    </row>
    <row r="9225" spans="1:11" x14ac:dyDescent="0.25">
      <c r="A9225" t="s">
        <v>9</v>
      </c>
      <c r="B9225" t="s">
        <v>90</v>
      </c>
      <c r="C9225" t="s">
        <v>875</v>
      </c>
      <c r="D9225" t="s">
        <v>11</v>
      </c>
      <c r="E9225">
        <v>30</v>
      </c>
      <c r="F9225" s="2">
        <f>DATE(2026,IF(Tabla1[[#This Row],[Mes de Fecha]]="Septiembre",9,10),Tabla1[[#This Row],[Día de Fecha]])</f>
        <v>46295</v>
      </c>
      <c r="G9225">
        <v>1091658144</v>
      </c>
      <c r="H9225" t="s">
        <v>95</v>
      </c>
      <c r="I9225">
        <v>115</v>
      </c>
      <c r="J9225">
        <v>0</v>
      </c>
      <c r="K9225" s="1">
        <v>5737691</v>
      </c>
    </row>
    <row r="9226" spans="1:11" x14ac:dyDescent="0.25">
      <c r="A9226" t="s">
        <v>9</v>
      </c>
      <c r="B9226" t="s">
        <v>90</v>
      </c>
      <c r="C9226" t="s">
        <v>875</v>
      </c>
      <c r="D9226" t="s">
        <v>11</v>
      </c>
      <c r="E9226">
        <v>30</v>
      </c>
      <c r="F9226" s="2">
        <f>DATE(2026,IF(Tabla1[[#This Row],[Mes de Fecha]]="Septiembre",9,10),Tabla1[[#This Row],[Día de Fecha]])</f>
        <v>46295</v>
      </c>
      <c r="G9226">
        <v>1091670348</v>
      </c>
      <c r="H9226" t="s">
        <v>92</v>
      </c>
      <c r="I9226">
        <v>46</v>
      </c>
      <c r="J9226">
        <v>0</v>
      </c>
      <c r="K9226" s="1">
        <v>2243574</v>
      </c>
    </row>
    <row r="9227" spans="1:11" x14ac:dyDescent="0.25">
      <c r="A9227" t="s">
        <v>9</v>
      </c>
      <c r="B9227" t="s">
        <v>90</v>
      </c>
      <c r="C9227" t="s">
        <v>875</v>
      </c>
      <c r="D9227" t="s">
        <v>11</v>
      </c>
      <c r="E9227">
        <v>30</v>
      </c>
      <c r="F9227" s="2">
        <f>DATE(2026,IF(Tabla1[[#This Row],[Mes de Fecha]]="Septiembre",9,10),Tabla1[[#This Row],[Día de Fecha]])</f>
        <v>46295</v>
      </c>
      <c r="G9227">
        <v>1092733374</v>
      </c>
      <c r="H9227" t="s">
        <v>93</v>
      </c>
      <c r="I9227">
        <v>98</v>
      </c>
      <c r="J9227">
        <v>0</v>
      </c>
      <c r="K9227" s="1">
        <v>5192985</v>
      </c>
    </row>
    <row r="9228" spans="1:11" x14ac:dyDescent="0.25">
      <c r="A9228" t="s">
        <v>9</v>
      </c>
      <c r="B9228" t="s">
        <v>90</v>
      </c>
      <c r="C9228" t="s">
        <v>875</v>
      </c>
      <c r="D9228" t="s">
        <v>14</v>
      </c>
      <c r="E9228">
        <v>1</v>
      </c>
      <c r="F9228" s="2">
        <f>DATE(2026,IF(Tabla1[[#This Row],[Mes de Fecha]]="Septiembre",9,10),Tabla1[[#This Row],[Día de Fecha]])</f>
        <v>46296</v>
      </c>
      <c r="I9228">
        <v>0</v>
      </c>
      <c r="J9228" s="1">
        <v>33441198</v>
      </c>
      <c r="K9228">
        <v>0</v>
      </c>
    </row>
    <row r="9229" spans="1:11" x14ac:dyDescent="0.25">
      <c r="A9229" t="s">
        <v>9</v>
      </c>
      <c r="B9229" t="s">
        <v>90</v>
      </c>
      <c r="C9229" t="s">
        <v>875</v>
      </c>
      <c r="D9229" t="s">
        <v>14</v>
      </c>
      <c r="E9229">
        <v>1</v>
      </c>
      <c r="F9229" s="2">
        <f>DATE(2026,IF(Tabla1[[#This Row],[Mes de Fecha]]="Septiembre",9,10),Tabla1[[#This Row],[Día de Fecha]])</f>
        <v>46296</v>
      </c>
      <c r="G9229">
        <v>37331941</v>
      </c>
      <c r="H9229" t="s">
        <v>91</v>
      </c>
      <c r="I9229">
        <v>51</v>
      </c>
      <c r="J9229">
        <v>0</v>
      </c>
      <c r="K9229" s="1">
        <v>2753952</v>
      </c>
    </row>
    <row r="9230" spans="1:11" x14ac:dyDescent="0.25">
      <c r="A9230" t="s">
        <v>9</v>
      </c>
      <c r="B9230" t="s">
        <v>90</v>
      </c>
      <c r="C9230" t="s">
        <v>875</v>
      </c>
      <c r="D9230" t="s">
        <v>14</v>
      </c>
      <c r="E9230">
        <v>1</v>
      </c>
      <c r="F9230" s="2">
        <f>DATE(2026,IF(Tabla1[[#This Row],[Mes de Fecha]]="Septiembre",9,10),Tabla1[[#This Row],[Día de Fecha]])</f>
        <v>46296</v>
      </c>
      <c r="G9230">
        <v>1007391643</v>
      </c>
      <c r="H9230" t="s">
        <v>94</v>
      </c>
      <c r="I9230">
        <v>95</v>
      </c>
      <c r="J9230">
        <v>0</v>
      </c>
      <c r="K9230" s="1">
        <v>4759917</v>
      </c>
    </row>
    <row r="9231" spans="1:11" x14ac:dyDescent="0.25">
      <c r="A9231" t="s">
        <v>9</v>
      </c>
      <c r="B9231" t="s">
        <v>90</v>
      </c>
      <c r="C9231" t="s">
        <v>875</v>
      </c>
      <c r="D9231" t="s">
        <v>14</v>
      </c>
      <c r="E9231">
        <v>1</v>
      </c>
      <c r="F9231" s="2">
        <f>DATE(2026,IF(Tabla1[[#This Row],[Mes de Fecha]]="Septiembre",9,10),Tabla1[[#This Row],[Día de Fecha]])</f>
        <v>46296</v>
      </c>
      <c r="G9231">
        <v>1091658144</v>
      </c>
      <c r="H9231" t="s">
        <v>95</v>
      </c>
      <c r="I9231">
        <v>64</v>
      </c>
      <c r="J9231">
        <v>0</v>
      </c>
      <c r="K9231" s="1">
        <v>3106096</v>
      </c>
    </row>
    <row r="9232" spans="1:11" x14ac:dyDescent="0.25">
      <c r="A9232" t="s">
        <v>9</v>
      </c>
      <c r="B9232" t="s">
        <v>90</v>
      </c>
      <c r="C9232" t="s">
        <v>875</v>
      </c>
      <c r="D9232" t="s">
        <v>14</v>
      </c>
      <c r="E9232">
        <v>1</v>
      </c>
      <c r="F9232" s="2">
        <f>DATE(2026,IF(Tabla1[[#This Row],[Mes de Fecha]]="Septiembre",9,10),Tabla1[[#This Row],[Día de Fecha]])</f>
        <v>46296</v>
      </c>
      <c r="G9232">
        <v>1091670348</v>
      </c>
      <c r="H9232" t="s">
        <v>92</v>
      </c>
      <c r="I9232">
        <v>26</v>
      </c>
      <c r="J9232">
        <v>0</v>
      </c>
      <c r="K9232" s="1">
        <v>1406136</v>
      </c>
    </row>
    <row r="9233" spans="1:11" x14ac:dyDescent="0.25">
      <c r="A9233" t="s">
        <v>9</v>
      </c>
      <c r="B9233" t="s">
        <v>90</v>
      </c>
      <c r="C9233" t="s">
        <v>875</v>
      </c>
      <c r="D9233" t="s">
        <v>14</v>
      </c>
      <c r="E9233">
        <v>1</v>
      </c>
      <c r="F9233" s="2">
        <f>DATE(2026,IF(Tabla1[[#This Row],[Mes de Fecha]]="Septiembre",9,10),Tabla1[[#This Row],[Día de Fecha]])</f>
        <v>46296</v>
      </c>
      <c r="G9233">
        <v>1092733374</v>
      </c>
      <c r="H9233" t="s">
        <v>93</v>
      </c>
      <c r="I9233">
        <v>70</v>
      </c>
      <c r="J9233">
        <v>0</v>
      </c>
      <c r="K9233" s="1">
        <v>3111639</v>
      </c>
    </row>
    <row r="9234" spans="1:11" x14ac:dyDescent="0.25">
      <c r="A9234" t="s">
        <v>9</v>
      </c>
      <c r="B9234" t="s">
        <v>90</v>
      </c>
      <c r="C9234" t="s">
        <v>875</v>
      </c>
      <c r="D9234" t="s">
        <v>14</v>
      </c>
      <c r="E9234">
        <v>2</v>
      </c>
      <c r="F9234" s="2">
        <f>DATE(2026,IF(Tabla1[[#This Row],[Mes de Fecha]]="Septiembre",9,10),Tabla1[[#This Row],[Día de Fecha]])</f>
        <v>46297</v>
      </c>
      <c r="I9234">
        <v>0</v>
      </c>
      <c r="J9234" s="1">
        <v>20406474</v>
      </c>
      <c r="K9234">
        <v>0</v>
      </c>
    </row>
    <row r="9235" spans="1:11" x14ac:dyDescent="0.25">
      <c r="A9235" t="s">
        <v>9</v>
      </c>
      <c r="B9235" t="s">
        <v>90</v>
      </c>
      <c r="C9235" t="s">
        <v>875</v>
      </c>
      <c r="D9235" t="s">
        <v>14</v>
      </c>
      <c r="E9235">
        <v>2</v>
      </c>
      <c r="F9235" s="2">
        <f>DATE(2026,IF(Tabla1[[#This Row],[Mes de Fecha]]="Septiembre",9,10),Tabla1[[#This Row],[Día de Fecha]])</f>
        <v>46297</v>
      </c>
      <c r="G9235">
        <v>37331941</v>
      </c>
      <c r="H9235" t="s">
        <v>91</v>
      </c>
      <c r="I9235">
        <v>95</v>
      </c>
      <c r="J9235">
        <v>0</v>
      </c>
      <c r="K9235" s="1">
        <v>4707567</v>
      </c>
    </row>
    <row r="9236" spans="1:11" x14ac:dyDescent="0.25">
      <c r="A9236" t="s">
        <v>9</v>
      </c>
      <c r="B9236" t="s">
        <v>90</v>
      </c>
      <c r="C9236" t="s">
        <v>875</v>
      </c>
      <c r="D9236" t="s">
        <v>14</v>
      </c>
      <c r="E9236">
        <v>2</v>
      </c>
      <c r="F9236" s="2">
        <f>DATE(2026,IF(Tabla1[[#This Row],[Mes de Fecha]]="Septiembre",9,10),Tabla1[[#This Row],[Día de Fecha]])</f>
        <v>46297</v>
      </c>
      <c r="G9236">
        <v>1007391643</v>
      </c>
      <c r="H9236" t="s">
        <v>94</v>
      </c>
      <c r="I9236">
        <v>91</v>
      </c>
      <c r="J9236">
        <v>0</v>
      </c>
      <c r="K9236" s="1">
        <v>4195085</v>
      </c>
    </row>
    <row r="9237" spans="1:11" x14ac:dyDescent="0.25">
      <c r="A9237" t="s">
        <v>9</v>
      </c>
      <c r="B9237" t="s">
        <v>90</v>
      </c>
      <c r="C9237" t="s">
        <v>875</v>
      </c>
      <c r="D9237" t="s">
        <v>14</v>
      </c>
      <c r="E9237">
        <v>2</v>
      </c>
      <c r="F9237" s="2">
        <f>DATE(2026,IF(Tabla1[[#This Row],[Mes de Fecha]]="Septiembre",9,10),Tabla1[[#This Row],[Día de Fecha]])</f>
        <v>46297</v>
      </c>
      <c r="G9237">
        <v>1091658144</v>
      </c>
      <c r="H9237" t="s">
        <v>95</v>
      </c>
      <c r="I9237">
        <v>119</v>
      </c>
      <c r="J9237">
        <v>0</v>
      </c>
      <c r="K9237" s="1">
        <v>5414167</v>
      </c>
    </row>
    <row r="9238" spans="1:11" x14ac:dyDescent="0.25">
      <c r="A9238" t="s">
        <v>9</v>
      </c>
      <c r="B9238" t="s">
        <v>90</v>
      </c>
      <c r="C9238" t="s">
        <v>875</v>
      </c>
      <c r="D9238" t="s">
        <v>14</v>
      </c>
      <c r="E9238">
        <v>2</v>
      </c>
      <c r="F9238" s="2">
        <f>DATE(2026,IF(Tabla1[[#This Row],[Mes de Fecha]]="Septiembre",9,10),Tabla1[[#This Row],[Día de Fecha]])</f>
        <v>46297</v>
      </c>
      <c r="G9238">
        <v>1091670348</v>
      </c>
      <c r="H9238" t="s">
        <v>92</v>
      </c>
      <c r="I9238">
        <v>63</v>
      </c>
      <c r="J9238">
        <v>0</v>
      </c>
      <c r="K9238" s="1">
        <v>3701008</v>
      </c>
    </row>
    <row r="9239" spans="1:11" x14ac:dyDescent="0.25">
      <c r="A9239" t="s">
        <v>9</v>
      </c>
      <c r="B9239" t="s">
        <v>90</v>
      </c>
      <c r="C9239" t="s">
        <v>875</v>
      </c>
      <c r="D9239" t="s">
        <v>14</v>
      </c>
      <c r="E9239">
        <v>2</v>
      </c>
      <c r="F9239" s="2">
        <f>DATE(2026,IF(Tabla1[[#This Row],[Mes de Fecha]]="Septiembre",9,10),Tabla1[[#This Row],[Día de Fecha]])</f>
        <v>46297</v>
      </c>
      <c r="G9239">
        <v>1092733374</v>
      </c>
      <c r="H9239" t="s">
        <v>93</v>
      </c>
      <c r="I9239">
        <v>70</v>
      </c>
      <c r="J9239">
        <v>0</v>
      </c>
      <c r="K9239" s="1">
        <v>3227569</v>
      </c>
    </row>
    <row r="9240" spans="1:11" x14ac:dyDescent="0.25">
      <c r="A9240" t="s">
        <v>9</v>
      </c>
      <c r="B9240" t="s">
        <v>90</v>
      </c>
      <c r="C9240" t="s">
        <v>875</v>
      </c>
      <c r="D9240" t="s">
        <v>14</v>
      </c>
      <c r="E9240">
        <v>3</v>
      </c>
      <c r="F9240" s="2">
        <f>DATE(2026,IF(Tabla1[[#This Row],[Mes de Fecha]]="Septiembre",9,10),Tabla1[[#This Row],[Día de Fecha]])</f>
        <v>46298</v>
      </c>
      <c r="I9240">
        <v>0</v>
      </c>
      <c r="J9240" s="1">
        <v>32184693</v>
      </c>
      <c r="K9240">
        <v>0</v>
      </c>
    </row>
    <row r="9241" spans="1:11" x14ac:dyDescent="0.25">
      <c r="A9241" t="s">
        <v>9</v>
      </c>
      <c r="B9241" t="s">
        <v>90</v>
      </c>
      <c r="C9241" t="s">
        <v>875</v>
      </c>
      <c r="D9241" t="s">
        <v>14</v>
      </c>
      <c r="E9241">
        <v>3</v>
      </c>
      <c r="F9241" s="2">
        <f>DATE(2026,IF(Tabla1[[#This Row],[Mes de Fecha]]="Septiembre",9,10),Tabla1[[#This Row],[Día de Fecha]])</f>
        <v>46298</v>
      </c>
      <c r="G9241">
        <v>37331941</v>
      </c>
      <c r="H9241" t="s">
        <v>91</v>
      </c>
      <c r="I9241">
        <v>166</v>
      </c>
      <c r="J9241">
        <v>0</v>
      </c>
      <c r="K9241" s="1">
        <v>9316668</v>
      </c>
    </row>
    <row r="9242" spans="1:11" x14ac:dyDescent="0.25">
      <c r="A9242" t="s">
        <v>9</v>
      </c>
      <c r="B9242" t="s">
        <v>90</v>
      </c>
      <c r="C9242" t="s">
        <v>875</v>
      </c>
      <c r="D9242" t="s">
        <v>14</v>
      </c>
      <c r="E9242">
        <v>3</v>
      </c>
      <c r="F9242" s="2">
        <f>DATE(2026,IF(Tabla1[[#This Row],[Mes de Fecha]]="Septiembre",9,10),Tabla1[[#This Row],[Día de Fecha]])</f>
        <v>46298</v>
      </c>
      <c r="G9242">
        <v>1007391643</v>
      </c>
      <c r="H9242" t="s">
        <v>94</v>
      </c>
      <c r="I9242">
        <v>127</v>
      </c>
      <c r="J9242">
        <v>0</v>
      </c>
      <c r="K9242" s="1">
        <v>5909063</v>
      </c>
    </row>
    <row r="9243" spans="1:11" x14ac:dyDescent="0.25">
      <c r="A9243" t="s">
        <v>9</v>
      </c>
      <c r="B9243" t="s">
        <v>90</v>
      </c>
      <c r="C9243" t="s">
        <v>875</v>
      </c>
      <c r="D9243" t="s">
        <v>14</v>
      </c>
      <c r="E9243">
        <v>3</v>
      </c>
      <c r="F9243" s="2">
        <f>DATE(2026,IF(Tabla1[[#This Row],[Mes de Fecha]]="Septiembre",9,10),Tabla1[[#This Row],[Día de Fecha]])</f>
        <v>46298</v>
      </c>
      <c r="G9243">
        <v>1091658144</v>
      </c>
      <c r="H9243" t="s">
        <v>95</v>
      </c>
      <c r="I9243">
        <v>125</v>
      </c>
      <c r="J9243">
        <v>0</v>
      </c>
      <c r="K9243" s="1">
        <v>6135036</v>
      </c>
    </row>
    <row r="9244" spans="1:11" x14ac:dyDescent="0.25">
      <c r="A9244" t="s">
        <v>9</v>
      </c>
      <c r="B9244" t="s">
        <v>90</v>
      </c>
      <c r="C9244" t="s">
        <v>875</v>
      </c>
      <c r="D9244" t="s">
        <v>14</v>
      </c>
      <c r="E9244">
        <v>3</v>
      </c>
      <c r="F9244" s="2">
        <f>DATE(2026,IF(Tabla1[[#This Row],[Mes de Fecha]]="Septiembre",9,10),Tabla1[[#This Row],[Día de Fecha]])</f>
        <v>46298</v>
      </c>
      <c r="G9244">
        <v>1091670348</v>
      </c>
      <c r="H9244" t="s">
        <v>92</v>
      </c>
      <c r="I9244">
        <v>118</v>
      </c>
      <c r="J9244">
        <v>0</v>
      </c>
      <c r="K9244" s="1">
        <v>5500769</v>
      </c>
    </row>
    <row r="9245" spans="1:11" x14ac:dyDescent="0.25">
      <c r="A9245" t="s">
        <v>9</v>
      </c>
      <c r="B9245" t="s">
        <v>90</v>
      </c>
      <c r="C9245" t="s">
        <v>875</v>
      </c>
      <c r="D9245" t="s">
        <v>14</v>
      </c>
      <c r="E9245">
        <v>3</v>
      </c>
      <c r="F9245" s="2">
        <f>DATE(2026,IF(Tabla1[[#This Row],[Mes de Fecha]]="Septiembre",9,10),Tabla1[[#This Row],[Día de Fecha]])</f>
        <v>46298</v>
      </c>
      <c r="G9245">
        <v>1092733374</v>
      </c>
      <c r="H9245" t="s">
        <v>93</v>
      </c>
      <c r="I9245">
        <v>123</v>
      </c>
      <c r="J9245">
        <v>0</v>
      </c>
      <c r="K9245" s="1">
        <v>5527477</v>
      </c>
    </row>
    <row r="9246" spans="1:11" x14ac:dyDescent="0.25">
      <c r="A9246" t="s">
        <v>9</v>
      </c>
      <c r="B9246" t="s">
        <v>90</v>
      </c>
      <c r="C9246" t="s">
        <v>875</v>
      </c>
      <c r="D9246" t="s">
        <v>14</v>
      </c>
      <c r="E9246">
        <v>4</v>
      </c>
      <c r="F9246" s="2">
        <f>DATE(2026,IF(Tabla1[[#This Row],[Mes de Fecha]]="Septiembre",9,10),Tabla1[[#This Row],[Día de Fecha]])</f>
        <v>46299</v>
      </c>
      <c r="I9246">
        <v>0</v>
      </c>
      <c r="J9246" s="1">
        <v>12582987</v>
      </c>
      <c r="K9246">
        <v>0</v>
      </c>
    </row>
    <row r="9247" spans="1:11" x14ac:dyDescent="0.25">
      <c r="A9247" t="s">
        <v>9</v>
      </c>
      <c r="B9247" t="s">
        <v>90</v>
      </c>
      <c r="C9247" t="s">
        <v>875</v>
      </c>
      <c r="D9247" t="s">
        <v>14</v>
      </c>
      <c r="E9247">
        <v>4</v>
      </c>
      <c r="F9247" s="2">
        <f>DATE(2026,IF(Tabla1[[#This Row],[Mes de Fecha]]="Septiembre",9,10),Tabla1[[#This Row],[Día de Fecha]])</f>
        <v>46299</v>
      </c>
      <c r="G9247">
        <v>37331941</v>
      </c>
      <c r="H9247" t="s">
        <v>91</v>
      </c>
      <c r="I9247">
        <v>60</v>
      </c>
      <c r="J9247">
        <v>0</v>
      </c>
      <c r="K9247" s="1">
        <v>3320716</v>
      </c>
    </row>
    <row r="9248" spans="1:11" x14ac:dyDescent="0.25">
      <c r="A9248" t="s">
        <v>9</v>
      </c>
      <c r="B9248" t="s">
        <v>90</v>
      </c>
      <c r="C9248" t="s">
        <v>875</v>
      </c>
      <c r="D9248" t="s">
        <v>14</v>
      </c>
      <c r="E9248">
        <v>4</v>
      </c>
      <c r="F9248" s="2">
        <f>DATE(2026,IF(Tabla1[[#This Row],[Mes de Fecha]]="Septiembre",9,10),Tabla1[[#This Row],[Día de Fecha]])</f>
        <v>46299</v>
      </c>
      <c r="G9248">
        <v>1007391643</v>
      </c>
      <c r="H9248" t="s">
        <v>94</v>
      </c>
      <c r="I9248">
        <v>55</v>
      </c>
      <c r="J9248">
        <v>0</v>
      </c>
      <c r="K9248" s="1">
        <v>2757775</v>
      </c>
    </row>
    <row r="9249" spans="1:11" x14ac:dyDescent="0.25">
      <c r="A9249" t="s">
        <v>9</v>
      </c>
      <c r="B9249" t="s">
        <v>90</v>
      </c>
      <c r="C9249" t="s">
        <v>875</v>
      </c>
      <c r="D9249" t="s">
        <v>14</v>
      </c>
      <c r="E9249">
        <v>4</v>
      </c>
      <c r="F9249" s="2">
        <f>DATE(2026,IF(Tabla1[[#This Row],[Mes de Fecha]]="Septiembre",9,10),Tabla1[[#This Row],[Día de Fecha]])</f>
        <v>46299</v>
      </c>
      <c r="G9249">
        <v>1091658144</v>
      </c>
      <c r="H9249" t="s">
        <v>95</v>
      </c>
      <c r="I9249">
        <v>37</v>
      </c>
      <c r="J9249">
        <v>0</v>
      </c>
      <c r="K9249" s="1">
        <v>2179081</v>
      </c>
    </row>
    <row r="9250" spans="1:11" x14ac:dyDescent="0.25">
      <c r="A9250" t="s">
        <v>9</v>
      </c>
      <c r="B9250" t="s">
        <v>90</v>
      </c>
      <c r="C9250" t="s">
        <v>875</v>
      </c>
      <c r="D9250" t="s">
        <v>14</v>
      </c>
      <c r="E9250">
        <v>4</v>
      </c>
      <c r="F9250" s="2">
        <f>DATE(2026,IF(Tabla1[[#This Row],[Mes de Fecha]]="Septiembre",9,10),Tabla1[[#This Row],[Día de Fecha]])</f>
        <v>46299</v>
      </c>
      <c r="G9250">
        <v>1091670348</v>
      </c>
      <c r="H9250" t="s">
        <v>92</v>
      </c>
      <c r="I9250">
        <v>72</v>
      </c>
      <c r="J9250">
        <v>0</v>
      </c>
      <c r="K9250" s="1">
        <v>4051263</v>
      </c>
    </row>
    <row r="9251" spans="1:11" x14ac:dyDescent="0.25">
      <c r="A9251" t="s">
        <v>9</v>
      </c>
      <c r="B9251" t="s">
        <v>90</v>
      </c>
      <c r="C9251" t="s">
        <v>875</v>
      </c>
      <c r="D9251" t="s">
        <v>14</v>
      </c>
      <c r="E9251">
        <v>4</v>
      </c>
      <c r="F9251" s="2">
        <f>DATE(2026,IF(Tabla1[[#This Row],[Mes de Fecha]]="Septiembre",9,10),Tabla1[[#This Row],[Día de Fecha]])</f>
        <v>46299</v>
      </c>
      <c r="G9251">
        <v>1092733374</v>
      </c>
      <c r="H9251" t="s">
        <v>93</v>
      </c>
      <c r="I9251">
        <v>46</v>
      </c>
      <c r="J9251">
        <v>0</v>
      </c>
      <c r="K9251" s="1">
        <v>2724708</v>
      </c>
    </row>
    <row r="9252" spans="1:11" x14ac:dyDescent="0.25">
      <c r="A9252" t="s">
        <v>9</v>
      </c>
      <c r="B9252" t="s">
        <v>90</v>
      </c>
      <c r="C9252" t="s">
        <v>875</v>
      </c>
      <c r="D9252" t="s">
        <v>14</v>
      </c>
      <c r="E9252">
        <v>5</v>
      </c>
      <c r="F9252" s="2">
        <f>DATE(2026,IF(Tabla1[[#This Row],[Mes de Fecha]]="Septiembre",9,10),Tabla1[[#This Row],[Día de Fecha]])</f>
        <v>46300</v>
      </c>
      <c r="I9252">
        <v>0</v>
      </c>
      <c r="J9252" s="1">
        <v>22261461</v>
      </c>
      <c r="K9252">
        <v>0</v>
      </c>
    </row>
    <row r="9253" spans="1:11" x14ac:dyDescent="0.25">
      <c r="A9253" t="s">
        <v>9</v>
      </c>
      <c r="B9253" t="s">
        <v>90</v>
      </c>
      <c r="C9253" t="s">
        <v>875</v>
      </c>
      <c r="D9253" t="s">
        <v>14</v>
      </c>
      <c r="E9253">
        <v>5</v>
      </c>
      <c r="F9253" s="2">
        <f>DATE(2026,IF(Tabla1[[#This Row],[Mes de Fecha]]="Septiembre",9,10),Tabla1[[#This Row],[Día de Fecha]])</f>
        <v>46300</v>
      </c>
      <c r="G9253">
        <v>37331941</v>
      </c>
      <c r="H9253" t="s">
        <v>91</v>
      </c>
      <c r="I9253">
        <v>86</v>
      </c>
      <c r="J9253">
        <v>0</v>
      </c>
      <c r="K9253" s="1">
        <v>5357355</v>
      </c>
    </row>
    <row r="9254" spans="1:11" x14ac:dyDescent="0.25">
      <c r="A9254" t="s">
        <v>9</v>
      </c>
      <c r="B9254" t="s">
        <v>90</v>
      </c>
      <c r="C9254" t="s">
        <v>875</v>
      </c>
      <c r="D9254" t="s">
        <v>14</v>
      </c>
      <c r="E9254">
        <v>5</v>
      </c>
      <c r="F9254" s="2">
        <f>DATE(2026,IF(Tabla1[[#This Row],[Mes de Fecha]]="Septiembre",9,10),Tabla1[[#This Row],[Día de Fecha]])</f>
        <v>46300</v>
      </c>
      <c r="G9254">
        <v>1007391643</v>
      </c>
      <c r="H9254" t="s">
        <v>94</v>
      </c>
      <c r="I9254">
        <v>54</v>
      </c>
      <c r="J9254">
        <v>0</v>
      </c>
      <c r="K9254" s="1">
        <v>3194919</v>
      </c>
    </row>
    <row r="9255" spans="1:11" x14ac:dyDescent="0.25">
      <c r="A9255" t="s">
        <v>9</v>
      </c>
      <c r="B9255" t="s">
        <v>90</v>
      </c>
      <c r="C9255" t="s">
        <v>875</v>
      </c>
      <c r="D9255" t="s">
        <v>14</v>
      </c>
      <c r="E9255">
        <v>5</v>
      </c>
      <c r="F9255" s="2">
        <f>DATE(2026,IF(Tabla1[[#This Row],[Mes de Fecha]]="Septiembre",9,10),Tabla1[[#This Row],[Día de Fecha]])</f>
        <v>46300</v>
      </c>
      <c r="G9255">
        <v>1091658144</v>
      </c>
      <c r="H9255" t="s">
        <v>95</v>
      </c>
      <c r="I9255">
        <v>33</v>
      </c>
      <c r="J9255">
        <v>0</v>
      </c>
      <c r="K9255" s="1">
        <v>1796631</v>
      </c>
    </row>
    <row r="9256" spans="1:11" x14ac:dyDescent="0.25">
      <c r="A9256" t="s">
        <v>9</v>
      </c>
      <c r="B9256" t="s">
        <v>90</v>
      </c>
      <c r="C9256" t="s">
        <v>875</v>
      </c>
      <c r="D9256" t="s">
        <v>14</v>
      </c>
      <c r="E9256">
        <v>5</v>
      </c>
      <c r="F9256" s="2">
        <f>DATE(2026,IF(Tabla1[[#This Row],[Mes de Fecha]]="Septiembre",9,10),Tabla1[[#This Row],[Día de Fecha]])</f>
        <v>46300</v>
      </c>
      <c r="G9256">
        <v>1091670348</v>
      </c>
      <c r="H9256" t="s">
        <v>92</v>
      </c>
      <c r="I9256">
        <v>57</v>
      </c>
      <c r="J9256">
        <v>0</v>
      </c>
      <c r="K9256" s="1">
        <v>2981967</v>
      </c>
    </row>
    <row r="9257" spans="1:11" x14ac:dyDescent="0.25">
      <c r="A9257" t="s">
        <v>9</v>
      </c>
      <c r="B9257" t="s">
        <v>90</v>
      </c>
      <c r="C9257" t="s">
        <v>875</v>
      </c>
      <c r="D9257" t="s">
        <v>14</v>
      </c>
      <c r="E9257">
        <v>5</v>
      </c>
      <c r="F9257" s="2">
        <f>DATE(2026,IF(Tabla1[[#This Row],[Mes de Fecha]]="Septiembre",9,10),Tabla1[[#This Row],[Día de Fecha]])</f>
        <v>46300</v>
      </c>
      <c r="G9257">
        <v>1092733374</v>
      </c>
      <c r="H9257" t="s">
        <v>93</v>
      </c>
      <c r="I9257">
        <v>71</v>
      </c>
      <c r="J9257">
        <v>0</v>
      </c>
      <c r="K9257" s="1">
        <v>4306000</v>
      </c>
    </row>
    <row r="9258" spans="1:11" x14ac:dyDescent="0.25">
      <c r="A9258" t="s">
        <v>9</v>
      </c>
      <c r="B9258" t="s">
        <v>90</v>
      </c>
      <c r="C9258" t="s">
        <v>875</v>
      </c>
      <c r="D9258" t="s">
        <v>14</v>
      </c>
      <c r="E9258">
        <v>6</v>
      </c>
      <c r="F9258" s="2">
        <f>DATE(2026,IF(Tabla1[[#This Row],[Mes de Fecha]]="Septiembre",9,10),Tabla1[[#This Row],[Día de Fecha]])</f>
        <v>46301</v>
      </c>
      <c r="I9258">
        <v>0</v>
      </c>
      <c r="J9258" s="1">
        <v>13318952</v>
      </c>
      <c r="K9258">
        <v>0</v>
      </c>
    </row>
    <row r="9259" spans="1:11" x14ac:dyDescent="0.25">
      <c r="A9259" t="s">
        <v>9</v>
      </c>
      <c r="B9259" t="s">
        <v>90</v>
      </c>
      <c r="C9259" t="s">
        <v>875</v>
      </c>
      <c r="D9259" t="s">
        <v>14</v>
      </c>
      <c r="E9259">
        <v>6</v>
      </c>
      <c r="F9259" s="2">
        <f>DATE(2026,IF(Tabla1[[#This Row],[Mes de Fecha]]="Septiembre",9,10),Tabla1[[#This Row],[Día de Fecha]])</f>
        <v>46301</v>
      </c>
      <c r="G9259">
        <v>37331941</v>
      </c>
      <c r="H9259" t="s">
        <v>91</v>
      </c>
      <c r="I9259">
        <v>35</v>
      </c>
      <c r="J9259">
        <v>0</v>
      </c>
      <c r="K9259" s="1">
        <v>2124162</v>
      </c>
    </row>
    <row r="9260" spans="1:11" x14ac:dyDescent="0.25">
      <c r="A9260" t="s">
        <v>9</v>
      </c>
      <c r="B9260" t="s">
        <v>90</v>
      </c>
      <c r="C9260" t="s">
        <v>875</v>
      </c>
      <c r="D9260" t="s">
        <v>14</v>
      </c>
      <c r="E9260">
        <v>6</v>
      </c>
      <c r="F9260" s="2">
        <f>DATE(2026,IF(Tabla1[[#This Row],[Mes de Fecha]]="Septiembre",9,10),Tabla1[[#This Row],[Día de Fecha]])</f>
        <v>46301</v>
      </c>
      <c r="G9260">
        <v>1007391643</v>
      </c>
      <c r="H9260" t="s">
        <v>94</v>
      </c>
      <c r="I9260">
        <v>4</v>
      </c>
      <c r="J9260">
        <v>0</v>
      </c>
      <c r="K9260" s="1">
        <v>96472</v>
      </c>
    </row>
    <row r="9261" spans="1:11" x14ac:dyDescent="0.25">
      <c r="A9261" t="s">
        <v>9</v>
      </c>
      <c r="B9261" t="s">
        <v>90</v>
      </c>
      <c r="C9261" t="s">
        <v>875</v>
      </c>
      <c r="D9261" t="s">
        <v>14</v>
      </c>
      <c r="E9261">
        <v>6</v>
      </c>
      <c r="F9261" s="2">
        <f>DATE(2026,IF(Tabla1[[#This Row],[Mes de Fecha]]="Septiembre",9,10),Tabla1[[#This Row],[Día de Fecha]])</f>
        <v>46301</v>
      </c>
      <c r="G9261">
        <v>1091658144</v>
      </c>
      <c r="H9261" t="s">
        <v>95</v>
      </c>
      <c r="I9261">
        <v>54</v>
      </c>
      <c r="J9261">
        <v>0</v>
      </c>
      <c r="K9261" s="1">
        <v>2990925</v>
      </c>
    </row>
    <row r="9262" spans="1:11" x14ac:dyDescent="0.25">
      <c r="A9262" t="s">
        <v>9</v>
      </c>
      <c r="B9262" t="s">
        <v>90</v>
      </c>
      <c r="C9262" t="s">
        <v>875</v>
      </c>
      <c r="D9262" t="s">
        <v>14</v>
      </c>
      <c r="E9262">
        <v>6</v>
      </c>
      <c r="F9262" s="2">
        <f>DATE(2026,IF(Tabla1[[#This Row],[Mes de Fecha]]="Septiembre",9,10),Tabla1[[#This Row],[Día de Fecha]])</f>
        <v>46301</v>
      </c>
      <c r="G9262">
        <v>1091670348</v>
      </c>
      <c r="H9262" t="s">
        <v>92</v>
      </c>
      <c r="I9262">
        <v>0</v>
      </c>
      <c r="J9262">
        <v>0</v>
      </c>
      <c r="K9262" s="1">
        <v>25210</v>
      </c>
    </row>
    <row r="9263" spans="1:11" x14ac:dyDescent="0.25">
      <c r="A9263" t="s">
        <v>9</v>
      </c>
      <c r="B9263" t="s">
        <v>90</v>
      </c>
      <c r="C9263" t="s">
        <v>875</v>
      </c>
      <c r="D9263" t="s">
        <v>14</v>
      </c>
      <c r="E9263">
        <v>6</v>
      </c>
      <c r="F9263" s="2">
        <f>DATE(2026,IF(Tabla1[[#This Row],[Mes de Fecha]]="Septiembre",9,10),Tabla1[[#This Row],[Día de Fecha]])</f>
        <v>46301</v>
      </c>
      <c r="G9263">
        <v>1092733374</v>
      </c>
      <c r="H9263" t="s">
        <v>93</v>
      </c>
      <c r="I9263">
        <v>53</v>
      </c>
      <c r="J9263">
        <v>0</v>
      </c>
      <c r="K9263" s="1">
        <v>3287523</v>
      </c>
    </row>
    <row r="9264" spans="1:11" x14ac:dyDescent="0.25">
      <c r="A9264" t="s">
        <v>9</v>
      </c>
      <c r="B9264" t="s">
        <v>90</v>
      </c>
      <c r="C9264" t="s">
        <v>875</v>
      </c>
      <c r="D9264" t="s">
        <v>14</v>
      </c>
      <c r="E9264">
        <v>7</v>
      </c>
      <c r="F9264" s="2">
        <f>DATE(2026,IF(Tabla1[[#This Row],[Mes de Fecha]]="Septiembre",9,10),Tabla1[[#This Row],[Día de Fecha]])</f>
        <v>46302</v>
      </c>
      <c r="I9264">
        <v>0</v>
      </c>
      <c r="J9264" s="1">
        <v>8016773</v>
      </c>
      <c r="K9264">
        <v>0</v>
      </c>
    </row>
    <row r="9265" spans="1:11" x14ac:dyDescent="0.25">
      <c r="A9265" t="s">
        <v>9</v>
      </c>
      <c r="B9265" t="s">
        <v>90</v>
      </c>
      <c r="C9265" t="s">
        <v>875</v>
      </c>
      <c r="D9265" t="s">
        <v>14</v>
      </c>
      <c r="E9265">
        <v>7</v>
      </c>
      <c r="F9265" s="2">
        <f>DATE(2026,IF(Tabla1[[#This Row],[Mes de Fecha]]="Septiembre",9,10),Tabla1[[#This Row],[Día de Fecha]])</f>
        <v>46302</v>
      </c>
      <c r="G9265">
        <v>37331941</v>
      </c>
      <c r="H9265" t="s">
        <v>91</v>
      </c>
      <c r="I9265">
        <v>82</v>
      </c>
      <c r="J9265">
        <v>0</v>
      </c>
      <c r="K9265" s="1">
        <v>4567484</v>
      </c>
    </row>
    <row r="9266" spans="1:11" x14ac:dyDescent="0.25">
      <c r="A9266" t="s">
        <v>9</v>
      </c>
      <c r="B9266" t="s">
        <v>90</v>
      </c>
      <c r="C9266" t="s">
        <v>875</v>
      </c>
      <c r="D9266" t="s">
        <v>14</v>
      </c>
      <c r="E9266">
        <v>7</v>
      </c>
      <c r="F9266" s="2">
        <f>DATE(2026,IF(Tabla1[[#This Row],[Mes de Fecha]]="Septiembre",9,10),Tabla1[[#This Row],[Día de Fecha]])</f>
        <v>46302</v>
      </c>
      <c r="G9266">
        <v>1007391643</v>
      </c>
      <c r="H9266" t="s">
        <v>94</v>
      </c>
      <c r="I9266">
        <v>3</v>
      </c>
      <c r="J9266">
        <v>0</v>
      </c>
      <c r="K9266" s="1">
        <v>127984</v>
      </c>
    </row>
    <row r="9267" spans="1:11" x14ac:dyDescent="0.25">
      <c r="A9267" t="s">
        <v>9</v>
      </c>
      <c r="B9267" t="s">
        <v>90</v>
      </c>
      <c r="C9267" t="s">
        <v>875</v>
      </c>
      <c r="D9267" t="s">
        <v>14</v>
      </c>
      <c r="E9267">
        <v>7</v>
      </c>
      <c r="F9267" s="2">
        <f>DATE(2026,IF(Tabla1[[#This Row],[Mes de Fecha]]="Septiembre",9,10),Tabla1[[#This Row],[Día de Fecha]])</f>
        <v>46302</v>
      </c>
      <c r="G9267">
        <v>1091658144</v>
      </c>
      <c r="H9267" t="s">
        <v>95</v>
      </c>
      <c r="I9267">
        <v>138</v>
      </c>
      <c r="J9267">
        <v>0</v>
      </c>
      <c r="K9267" s="1">
        <v>6493915</v>
      </c>
    </row>
    <row r="9268" spans="1:11" x14ac:dyDescent="0.25">
      <c r="A9268" t="s">
        <v>9</v>
      </c>
      <c r="B9268" t="s">
        <v>90</v>
      </c>
      <c r="C9268" t="s">
        <v>875</v>
      </c>
      <c r="D9268" t="s">
        <v>14</v>
      </c>
      <c r="E9268">
        <v>7</v>
      </c>
      <c r="F9268" s="2">
        <f>DATE(2026,IF(Tabla1[[#This Row],[Mes de Fecha]]="Septiembre",9,10),Tabla1[[#This Row],[Día de Fecha]])</f>
        <v>46302</v>
      </c>
      <c r="G9268">
        <v>1091670348</v>
      </c>
      <c r="H9268" t="s">
        <v>92</v>
      </c>
      <c r="I9268">
        <v>18</v>
      </c>
      <c r="J9268">
        <v>0</v>
      </c>
      <c r="K9268" s="1">
        <v>961430</v>
      </c>
    </row>
    <row r="9269" spans="1:11" x14ac:dyDescent="0.25">
      <c r="A9269" t="s">
        <v>9</v>
      </c>
      <c r="B9269" t="s">
        <v>90</v>
      </c>
      <c r="C9269" t="s">
        <v>875</v>
      </c>
      <c r="D9269" t="s">
        <v>14</v>
      </c>
      <c r="E9269">
        <v>7</v>
      </c>
      <c r="F9269" s="2">
        <f>DATE(2026,IF(Tabla1[[#This Row],[Mes de Fecha]]="Septiembre",9,10),Tabla1[[#This Row],[Día de Fecha]])</f>
        <v>46302</v>
      </c>
      <c r="G9269">
        <v>1092733374</v>
      </c>
      <c r="H9269" t="s">
        <v>93</v>
      </c>
      <c r="I9269">
        <v>2</v>
      </c>
      <c r="J9269">
        <v>0</v>
      </c>
      <c r="K9269" s="1">
        <v>125967</v>
      </c>
    </row>
    <row r="9270" spans="1:11" x14ac:dyDescent="0.25">
      <c r="A9270" t="s">
        <v>9</v>
      </c>
      <c r="B9270" t="s">
        <v>108</v>
      </c>
      <c r="C9270" t="s">
        <v>875</v>
      </c>
      <c r="D9270" t="s">
        <v>11</v>
      </c>
      <c r="E9270">
        <v>23</v>
      </c>
      <c r="F9270" s="2">
        <f>DATE(2026,IF(Tabla1[[#This Row],[Mes de Fecha]]="Septiembre",9,10),Tabla1[[#This Row],[Día de Fecha]])</f>
        <v>46288</v>
      </c>
      <c r="I9270">
        <v>0</v>
      </c>
      <c r="J9270" s="1">
        <v>7709638</v>
      </c>
      <c r="K9270">
        <v>0</v>
      </c>
    </row>
    <row r="9271" spans="1:11" x14ac:dyDescent="0.25">
      <c r="A9271" t="s">
        <v>9</v>
      </c>
      <c r="B9271" t="s">
        <v>108</v>
      </c>
      <c r="C9271" t="s">
        <v>875</v>
      </c>
      <c r="D9271" t="s">
        <v>11</v>
      </c>
      <c r="E9271">
        <v>23</v>
      </c>
      <c r="F9271" s="2">
        <f>DATE(2026,IF(Tabla1[[#This Row],[Mes de Fecha]]="Septiembre",9,10),Tabla1[[#This Row],[Día de Fecha]])</f>
        <v>46288</v>
      </c>
      <c r="G9271">
        <v>91492611</v>
      </c>
      <c r="H9271" t="s">
        <v>97</v>
      </c>
      <c r="I9271">
        <v>186</v>
      </c>
      <c r="J9271">
        <v>0</v>
      </c>
      <c r="K9271" s="1">
        <v>9803251</v>
      </c>
    </row>
    <row r="9272" spans="1:11" x14ac:dyDescent="0.25">
      <c r="A9272" t="s">
        <v>9</v>
      </c>
      <c r="B9272" t="s">
        <v>108</v>
      </c>
      <c r="C9272" t="s">
        <v>875</v>
      </c>
      <c r="D9272" t="s">
        <v>11</v>
      </c>
      <c r="E9272">
        <v>23</v>
      </c>
      <c r="F9272" s="2">
        <f>DATE(2026,IF(Tabla1[[#This Row],[Mes de Fecha]]="Septiembre",9,10),Tabla1[[#This Row],[Día de Fecha]])</f>
        <v>46288</v>
      </c>
      <c r="G9272">
        <v>1005029713</v>
      </c>
      <c r="H9272" t="s">
        <v>109</v>
      </c>
      <c r="I9272">
        <v>229</v>
      </c>
      <c r="J9272">
        <v>0</v>
      </c>
      <c r="K9272" s="1">
        <v>12017702</v>
      </c>
    </row>
    <row r="9273" spans="1:11" x14ac:dyDescent="0.25">
      <c r="A9273" t="s">
        <v>9</v>
      </c>
      <c r="B9273" t="s">
        <v>108</v>
      </c>
      <c r="C9273" t="s">
        <v>875</v>
      </c>
      <c r="D9273" t="s">
        <v>11</v>
      </c>
      <c r="E9273">
        <v>24</v>
      </c>
      <c r="F9273" s="2">
        <f>DATE(2026,IF(Tabla1[[#This Row],[Mes de Fecha]]="Septiembre",9,10),Tabla1[[#This Row],[Día de Fecha]])</f>
        <v>46289</v>
      </c>
      <c r="I9273">
        <v>0</v>
      </c>
      <c r="J9273" s="1">
        <v>19938602</v>
      </c>
      <c r="K9273">
        <v>0</v>
      </c>
    </row>
    <row r="9274" spans="1:11" x14ac:dyDescent="0.25">
      <c r="A9274" t="s">
        <v>9</v>
      </c>
      <c r="B9274" t="s">
        <v>108</v>
      </c>
      <c r="C9274" t="s">
        <v>875</v>
      </c>
      <c r="D9274" t="s">
        <v>11</v>
      </c>
      <c r="E9274">
        <v>24</v>
      </c>
      <c r="F9274" s="2">
        <f>DATE(2026,IF(Tabla1[[#This Row],[Mes de Fecha]]="Septiembre",9,10),Tabla1[[#This Row],[Día de Fecha]])</f>
        <v>46289</v>
      </c>
      <c r="G9274">
        <v>91492611</v>
      </c>
      <c r="H9274" t="s">
        <v>97</v>
      </c>
      <c r="I9274">
        <v>189</v>
      </c>
      <c r="J9274">
        <v>0</v>
      </c>
      <c r="K9274" s="1">
        <v>9349171</v>
      </c>
    </row>
    <row r="9275" spans="1:11" x14ac:dyDescent="0.25">
      <c r="A9275" t="s">
        <v>9</v>
      </c>
      <c r="B9275" t="s">
        <v>108</v>
      </c>
      <c r="C9275" t="s">
        <v>875</v>
      </c>
      <c r="D9275" t="s">
        <v>11</v>
      </c>
      <c r="E9275">
        <v>24</v>
      </c>
      <c r="F9275" s="2">
        <f>DATE(2026,IF(Tabla1[[#This Row],[Mes de Fecha]]="Septiembre",9,10),Tabla1[[#This Row],[Día de Fecha]])</f>
        <v>46289</v>
      </c>
      <c r="G9275">
        <v>1005029713</v>
      </c>
      <c r="H9275" t="s">
        <v>109</v>
      </c>
      <c r="I9275">
        <v>201</v>
      </c>
      <c r="J9275">
        <v>0</v>
      </c>
      <c r="K9275" s="1">
        <v>11184800</v>
      </c>
    </row>
    <row r="9276" spans="1:11" x14ac:dyDescent="0.25">
      <c r="A9276" t="s">
        <v>9</v>
      </c>
      <c r="B9276" t="s">
        <v>108</v>
      </c>
      <c r="C9276" t="s">
        <v>875</v>
      </c>
      <c r="D9276" t="s">
        <v>11</v>
      </c>
      <c r="E9276">
        <v>25</v>
      </c>
      <c r="F9276" s="2">
        <f>DATE(2026,IF(Tabla1[[#This Row],[Mes de Fecha]]="Septiembre",9,10),Tabla1[[#This Row],[Día de Fecha]])</f>
        <v>46290</v>
      </c>
      <c r="I9276">
        <v>0</v>
      </c>
      <c r="J9276" s="1">
        <v>21295517</v>
      </c>
      <c r="K9276">
        <v>0</v>
      </c>
    </row>
    <row r="9277" spans="1:11" x14ac:dyDescent="0.25">
      <c r="A9277" t="s">
        <v>9</v>
      </c>
      <c r="B9277" t="s">
        <v>108</v>
      </c>
      <c r="C9277" t="s">
        <v>875</v>
      </c>
      <c r="D9277" t="s">
        <v>11</v>
      </c>
      <c r="E9277">
        <v>25</v>
      </c>
      <c r="F9277" s="2">
        <f>DATE(2026,IF(Tabla1[[#This Row],[Mes de Fecha]]="Septiembre",9,10),Tabla1[[#This Row],[Día de Fecha]])</f>
        <v>46290</v>
      </c>
      <c r="G9277">
        <v>91492611</v>
      </c>
      <c r="H9277" t="s">
        <v>97</v>
      </c>
      <c r="I9277">
        <v>185</v>
      </c>
      <c r="J9277">
        <v>0</v>
      </c>
      <c r="K9277" s="1">
        <v>10067696</v>
      </c>
    </row>
    <row r="9278" spans="1:11" x14ac:dyDescent="0.25">
      <c r="A9278" t="s">
        <v>9</v>
      </c>
      <c r="B9278" t="s">
        <v>108</v>
      </c>
      <c r="C9278" t="s">
        <v>875</v>
      </c>
      <c r="D9278" t="s">
        <v>11</v>
      </c>
      <c r="E9278">
        <v>25</v>
      </c>
      <c r="F9278" s="2">
        <f>DATE(2026,IF(Tabla1[[#This Row],[Mes de Fecha]]="Septiembre",9,10),Tabla1[[#This Row],[Día de Fecha]])</f>
        <v>46290</v>
      </c>
      <c r="G9278">
        <v>1005029713</v>
      </c>
      <c r="H9278" t="s">
        <v>109</v>
      </c>
      <c r="I9278">
        <v>148</v>
      </c>
      <c r="J9278">
        <v>0</v>
      </c>
      <c r="K9278" s="1">
        <v>7546314</v>
      </c>
    </row>
    <row r="9279" spans="1:11" x14ac:dyDescent="0.25">
      <c r="A9279" t="s">
        <v>9</v>
      </c>
      <c r="B9279" t="s">
        <v>108</v>
      </c>
      <c r="C9279" t="s">
        <v>875</v>
      </c>
      <c r="D9279" t="s">
        <v>11</v>
      </c>
      <c r="E9279">
        <v>26</v>
      </c>
      <c r="F9279" s="2">
        <f>DATE(2026,IF(Tabla1[[#This Row],[Mes de Fecha]]="Septiembre",9,10),Tabla1[[#This Row],[Día de Fecha]])</f>
        <v>46291</v>
      </c>
      <c r="I9279">
        <v>0</v>
      </c>
      <c r="J9279" s="1">
        <v>26853107</v>
      </c>
      <c r="K9279">
        <v>0</v>
      </c>
    </row>
    <row r="9280" spans="1:11" x14ac:dyDescent="0.25">
      <c r="A9280" t="s">
        <v>9</v>
      </c>
      <c r="B9280" t="s">
        <v>108</v>
      </c>
      <c r="C9280" t="s">
        <v>875</v>
      </c>
      <c r="D9280" t="s">
        <v>11</v>
      </c>
      <c r="E9280">
        <v>26</v>
      </c>
      <c r="F9280" s="2">
        <f>DATE(2026,IF(Tabla1[[#This Row],[Mes de Fecha]]="Septiembre",9,10),Tabla1[[#This Row],[Día de Fecha]])</f>
        <v>46291</v>
      </c>
      <c r="G9280">
        <v>91492611</v>
      </c>
      <c r="H9280" t="s">
        <v>97</v>
      </c>
      <c r="I9280">
        <v>263</v>
      </c>
      <c r="J9280">
        <v>0</v>
      </c>
      <c r="K9280" s="1">
        <v>13820899</v>
      </c>
    </row>
    <row r="9281" spans="1:11" x14ac:dyDescent="0.25">
      <c r="A9281" t="s">
        <v>9</v>
      </c>
      <c r="B9281" t="s">
        <v>108</v>
      </c>
      <c r="C9281" t="s">
        <v>875</v>
      </c>
      <c r="D9281" t="s">
        <v>11</v>
      </c>
      <c r="E9281">
        <v>26</v>
      </c>
      <c r="F9281" s="2">
        <f>DATE(2026,IF(Tabla1[[#This Row],[Mes de Fecha]]="Septiembre",9,10),Tabla1[[#This Row],[Día de Fecha]])</f>
        <v>46291</v>
      </c>
      <c r="G9281">
        <v>1005029713</v>
      </c>
      <c r="H9281" t="s">
        <v>109</v>
      </c>
      <c r="I9281">
        <v>244</v>
      </c>
      <c r="J9281">
        <v>0</v>
      </c>
      <c r="K9281" s="1">
        <v>12445648</v>
      </c>
    </row>
    <row r="9282" spans="1:11" x14ac:dyDescent="0.25">
      <c r="A9282" t="s">
        <v>9</v>
      </c>
      <c r="B9282" t="s">
        <v>108</v>
      </c>
      <c r="C9282" t="s">
        <v>875</v>
      </c>
      <c r="D9282" t="s">
        <v>11</v>
      </c>
      <c r="E9282">
        <v>27</v>
      </c>
      <c r="F9282" s="2">
        <f>DATE(2026,IF(Tabla1[[#This Row],[Mes de Fecha]]="Septiembre",9,10),Tabla1[[#This Row],[Día de Fecha]])</f>
        <v>46292</v>
      </c>
      <c r="I9282">
        <v>0</v>
      </c>
      <c r="J9282" s="1">
        <v>14178184</v>
      </c>
      <c r="K9282">
        <v>0</v>
      </c>
    </row>
    <row r="9283" spans="1:11" x14ac:dyDescent="0.25">
      <c r="A9283" t="s">
        <v>9</v>
      </c>
      <c r="B9283" t="s">
        <v>108</v>
      </c>
      <c r="C9283" t="s">
        <v>875</v>
      </c>
      <c r="D9283" t="s">
        <v>11</v>
      </c>
      <c r="E9283">
        <v>27</v>
      </c>
      <c r="F9283" s="2">
        <f>DATE(2026,IF(Tabla1[[#This Row],[Mes de Fecha]]="Septiembre",9,10),Tabla1[[#This Row],[Día de Fecha]])</f>
        <v>46292</v>
      </c>
      <c r="G9283">
        <v>91492611</v>
      </c>
      <c r="H9283" t="s">
        <v>97</v>
      </c>
      <c r="I9283">
        <v>48</v>
      </c>
      <c r="J9283">
        <v>0</v>
      </c>
      <c r="K9283" s="1">
        <v>2827777</v>
      </c>
    </row>
    <row r="9284" spans="1:11" x14ac:dyDescent="0.25">
      <c r="A9284" t="s">
        <v>9</v>
      </c>
      <c r="B9284" t="s">
        <v>108</v>
      </c>
      <c r="C9284" t="s">
        <v>875</v>
      </c>
      <c r="D9284" t="s">
        <v>11</v>
      </c>
      <c r="E9284">
        <v>27</v>
      </c>
      <c r="F9284" s="2">
        <f>DATE(2026,IF(Tabla1[[#This Row],[Mes de Fecha]]="Septiembre",9,10),Tabla1[[#This Row],[Día de Fecha]])</f>
        <v>46292</v>
      </c>
      <c r="G9284">
        <v>1005029713</v>
      </c>
      <c r="H9284" t="s">
        <v>109</v>
      </c>
      <c r="I9284">
        <v>135</v>
      </c>
      <c r="J9284">
        <v>0</v>
      </c>
      <c r="K9284" s="1">
        <v>7779589</v>
      </c>
    </row>
    <row r="9285" spans="1:11" x14ac:dyDescent="0.25">
      <c r="A9285" t="s">
        <v>9</v>
      </c>
      <c r="B9285" t="s">
        <v>108</v>
      </c>
      <c r="C9285" t="s">
        <v>875</v>
      </c>
      <c r="D9285" t="s">
        <v>11</v>
      </c>
      <c r="E9285">
        <v>28</v>
      </c>
      <c r="F9285" s="2">
        <f>DATE(2026,IF(Tabla1[[#This Row],[Mes de Fecha]]="Septiembre",9,10),Tabla1[[#This Row],[Día de Fecha]])</f>
        <v>46293</v>
      </c>
      <c r="I9285">
        <v>0</v>
      </c>
      <c r="J9285" s="1">
        <v>11624569</v>
      </c>
      <c r="K9285">
        <v>0</v>
      </c>
    </row>
    <row r="9286" spans="1:11" x14ac:dyDescent="0.25">
      <c r="A9286" t="s">
        <v>9</v>
      </c>
      <c r="B9286" t="s">
        <v>108</v>
      </c>
      <c r="C9286" t="s">
        <v>875</v>
      </c>
      <c r="D9286" t="s">
        <v>11</v>
      </c>
      <c r="E9286">
        <v>28</v>
      </c>
      <c r="F9286" s="2">
        <f>DATE(2026,IF(Tabla1[[#This Row],[Mes de Fecha]]="Septiembre",9,10),Tabla1[[#This Row],[Día de Fecha]])</f>
        <v>46293</v>
      </c>
      <c r="G9286">
        <v>91492611</v>
      </c>
      <c r="H9286" t="s">
        <v>97</v>
      </c>
      <c r="I9286">
        <v>93</v>
      </c>
      <c r="J9286">
        <v>0</v>
      </c>
      <c r="K9286" s="1">
        <v>4621771</v>
      </c>
    </row>
    <row r="9287" spans="1:11" x14ac:dyDescent="0.25">
      <c r="A9287" t="s">
        <v>9</v>
      </c>
      <c r="B9287" t="s">
        <v>108</v>
      </c>
      <c r="C9287" t="s">
        <v>875</v>
      </c>
      <c r="D9287" t="s">
        <v>11</v>
      </c>
      <c r="E9287">
        <v>28</v>
      </c>
      <c r="F9287" s="2">
        <f>DATE(2026,IF(Tabla1[[#This Row],[Mes de Fecha]]="Septiembre",9,10),Tabla1[[#This Row],[Día de Fecha]])</f>
        <v>46293</v>
      </c>
      <c r="G9287">
        <v>1005029713</v>
      </c>
      <c r="H9287" t="s">
        <v>109</v>
      </c>
      <c r="I9287">
        <v>149</v>
      </c>
      <c r="J9287">
        <v>0</v>
      </c>
      <c r="K9287" s="1">
        <v>7531311</v>
      </c>
    </row>
    <row r="9288" spans="1:11" x14ac:dyDescent="0.25">
      <c r="A9288" t="s">
        <v>9</v>
      </c>
      <c r="B9288" t="s">
        <v>108</v>
      </c>
      <c r="C9288" t="s">
        <v>875</v>
      </c>
      <c r="D9288" t="s">
        <v>11</v>
      </c>
      <c r="E9288">
        <v>29</v>
      </c>
      <c r="F9288" s="2">
        <f>DATE(2026,IF(Tabla1[[#This Row],[Mes de Fecha]]="Septiembre",9,10),Tabla1[[#This Row],[Día de Fecha]])</f>
        <v>46294</v>
      </c>
      <c r="I9288">
        <v>0</v>
      </c>
      <c r="J9288" s="1">
        <v>12923086</v>
      </c>
      <c r="K9288">
        <v>0</v>
      </c>
    </row>
    <row r="9289" spans="1:11" x14ac:dyDescent="0.25">
      <c r="A9289" t="s">
        <v>9</v>
      </c>
      <c r="B9289" t="s">
        <v>108</v>
      </c>
      <c r="C9289" t="s">
        <v>875</v>
      </c>
      <c r="D9289" t="s">
        <v>11</v>
      </c>
      <c r="E9289">
        <v>29</v>
      </c>
      <c r="F9289" s="2">
        <f>DATE(2026,IF(Tabla1[[#This Row],[Mes de Fecha]]="Septiembre",9,10),Tabla1[[#This Row],[Día de Fecha]])</f>
        <v>46294</v>
      </c>
      <c r="G9289">
        <v>91492611</v>
      </c>
      <c r="H9289" t="s">
        <v>97</v>
      </c>
      <c r="I9289">
        <v>112</v>
      </c>
      <c r="J9289">
        <v>0</v>
      </c>
      <c r="K9289" s="1">
        <v>5774630</v>
      </c>
    </row>
    <row r="9290" spans="1:11" x14ac:dyDescent="0.25">
      <c r="A9290" t="s">
        <v>9</v>
      </c>
      <c r="B9290" t="s">
        <v>108</v>
      </c>
      <c r="C9290" t="s">
        <v>875</v>
      </c>
      <c r="D9290" t="s">
        <v>11</v>
      </c>
      <c r="E9290">
        <v>29</v>
      </c>
      <c r="F9290" s="2">
        <f>DATE(2026,IF(Tabla1[[#This Row],[Mes de Fecha]]="Septiembre",9,10),Tabla1[[#This Row],[Día de Fecha]])</f>
        <v>46294</v>
      </c>
      <c r="G9290">
        <v>1005029713</v>
      </c>
      <c r="H9290" t="s">
        <v>109</v>
      </c>
      <c r="I9290">
        <v>126</v>
      </c>
      <c r="J9290">
        <v>0</v>
      </c>
      <c r="K9290" s="1">
        <v>6805093</v>
      </c>
    </row>
    <row r="9291" spans="1:11" x14ac:dyDescent="0.25">
      <c r="A9291" t="s">
        <v>9</v>
      </c>
      <c r="B9291" t="s">
        <v>108</v>
      </c>
      <c r="C9291" t="s">
        <v>875</v>
      </c>
      <c r="D9291" t="s">
        <v>11</v>
      </c>
      <c r="E9291">
        <v>30</v>
      </c>
      <c r="F9291" s="2">
        <f>DATE(2026,IF(Tabla1[[#This Row],[Mes de Fecha]]="Septiembre",9,10),Tabla1[[#This Row],[Día de Fecha]])</f>
        <v>46295</v>
      </c>
      <c r="I9291">
        <v>0</v>
      </c>
      <c r="J9291" s="1">
        <v>13685956</v>
      </c>
      <c r="K9291">
        <v>0</v>
      </c>
    </row>
    <row r="9292" spans="1:11" x14ac:dyDescent="0.25">
      <c r="A9292" t="s">
        <v>9</v>
      </c>
      <c r="B9292" t="s">
        <v>108</v>
      </c>
      <c r="C9292" t="s">
        <v>875</v>
      </c>
      <c r="D9292" t="s">
        <v>11</v>
      </c>
      <c r="E9292">
        <v>30</v>
      </c>
      <c r="F9292" s="2">
        <f>DATE(2026,IF(Tabla1[[#This Row],[Mes de Fecha]]="Septiembre",9,10),Tabla1[[#This Row],[Día de Fecha]])</f>
        <v>46295</v>
      </c>
      <c r="G9292">
        <v>91492611</v>
      </c>
      <c r="H9292" t="s">
        <v>97</v>
      </c>
      <c r="I9292">
        <v>134</v>
      </c>
      <c r="J9292">
        <v>0</v>
      </c>
      <c r="K9292" s="1">
        <v>7248327</v>
      </c>
    </row>
    <row r="9293" spans="1:11" x14ac:dyDescent="0.25">
      <c r="A9293" t="s">
        <v>9</v>
      </c>
      <c r="B9293" t="s">
        <v>108</v>
      </c>
      <c r="C9293" t="s">
        <v>875</v>
      </c>
      <c r="D9293" t="s">
        <v>11</v>
      </c>
      <c r="E9293">
        <v>30</v>
      </c>
      <c r="F9293" s="2">
        <f>DATE(2026,IF(Tabla1[[#This Row],[Mes de Fecha]]="Septiembre",9,10),Tabla1[[#This Row],[Día de Fecha]])</f>
        <v>46295</v>
      </c>
      <c r="G9293">
        <v>1005029713</v>
      </c>
      <c r="H9293" t="s">
        <v>109</v>
      </c>
      <c r="I9293">
        <v>144</v>
      </c>
      <c r="J9293">
        <v>0</v>
      </c>
      <c r="K9293" s="1">
        <v>7775388</v>
      </c>
    </row>
    <row r="9294" spans="1:11" x14ac:dyDescent="0.25">
      <c r="A9294" t="s">
        <v>9</v>
      </c>
      <c r="B9294" t="s">
        <v>108</v>
      </c>
      <c r="C9294" t="s">
        <v>875</v>
      </c>
      <c r="D9294" t="s">
        <v>14</v>
      </c>
      <c r="E9294">
        <v>1</v>
      </c>
      <c r="F9294" s="2">
        <f>DATE(2026,IF(Tabla1[[#This Row],[Mes de Fecha]]="Septiembre",9,10),Tabla1[[#This Row],[Día de Fecha]])</f>
        <v>46296</v>
      </c>
      <c r="I9294">
        <v>0</v>
      </c>
      <c r="J9294" s="1">
        <v>17765447</v>
      </c>
      <c r="K9294">
        <v>0</v>
      </c>
    </row>
    <row r="9295" spans="1:11" x14ac:dyDescent="0.25">
      <c r="A9295" t="s">
        <v>9</v>
      </c>
      <c r="B9295" t="s">
        <v>108</v>
      </c>
      <c r="C9295" t="s">
        <v>875</v>
      </c>
      <c r="D9295" t="s">
        <v>14</v>
      </c>
      <c r="E9295">
        <v>1</v>
      </c>
      <c r="F9295" s="2">
        <f>DATE(2026,IF(Tabla1[[#This Row],[Mes de Fecha]]="Septiembre",9,10),Tabla1[[#This Row],[Día de Fecha]])</f>
        <v>46296</v>
      </c>
      <c r="G9295">
        <v>91492611</v>
      </c>
      <c r="H9295" t="s">
        <v>97</v>
      </c>
      <c r="I9295">
        <v>146</v>
      </c>
      <c r="J9295">
        <v>0</v>
      </c>
      <c r="K9295" s="1">
        <v>7711979</v>
      </c>
    </row>
    <row r="9296" spans="1:11" x14ac:dyDescent="0.25">
      <c r="A9296" t="s">
        <v>9</v>
      </c>
      <c r="B9296" t="s">
        <v>108</v>
      </c>
      <c r="C9296" t="s">
        <v>875</v>
      </c>
      <c r="D9296" t="s">
        <v>14</v>
      </c>
      <c r="E9296">
        <v>1</v>
      </c>
      <c r="F9296" s="2">
        <f>DATE(2026,IF(Tabla1[[#This Row],[Mes de Fecha]]="Septiembre",9,10),Tabla1[[#This Row],[Día de Fecha]])</f>
        <v>46296</v>
      </c>
      <c r="G9296">
        <v>1005029713</v>
      </c>
      <c r="H9296" t="s">
        <v>109</v>
      </c>
      <c r="I9296">
        <v>119</v>
      </c>
      <c r="J9296">
        <v>0</v>
      </c>
      <c r="K9296" s="1">
        <v>6188155</v>
      </c>
    </row>
    <row r="9297" spans="1:11" x14ac:dyDescent="0.25">
      <c r="A9297" t="s">
        <v>9</v>
      </c>
      <c r="B9297" t="s">
        <v>108</v>
      </c>
      <c r="C9297" t="s">
        <v>875</v>
      </c>
      <c r="D9297" t="s">
        <v>14</v>
      </c>
      <c r="E9297">
        <v>1</v>
      </c>
      <c r="F9297" s="2">
        <f>DATE(2026,IF(Tabla1[[#This Row],[Mes de Fecha]]="Septiembre",9,10),Tabla1[[#This Row],[Día de Fecha]])</f>
        <v>46296</v>
      </c>
      <c r="G9297">
        <v>1091652812</v>
      </c>
      <c r="H9297" t="s">
        <v>110</v>
      </c>
      <c r="I9297">
        <v>1</v>
      </c>
      <c r="J9297">
        <v>0</v>
      </c>
      <c r="K9297" s="1">
        <v>75588</v>
      </c>
    </row>
    <row r="9298" spans="1:11" x14ac:dyDescent="0.25">
      <c r="A9298" t="s">
        <v>9</v>
      </c>
      <c r="B9298" t="s">
        <v>108</v>
      </c>
      <c r="C9298" t="s">
        <v>875</v>
      </c>
      <c r="D9298" t="s">
        <v>14</v>
      </c>
      <c r="E9298">
        <v>2</v>
      </c>
      <c r="F9298" s="2">
        <f>DATE(2026,IF(Tabla1[[#This Row],[Mes de Fecha]]="Septiembre",9,10),Tabla1[[#This Row],[Día de Fecha]])</f>
        <v>46297</v>
      </c>
      <c r="I9298">
        <v>0</v>
      </c>
      <c r="J9298" s="1">
        <v>17375957</v>
      </c>
      <c r="K9298">
        <v>0</v>
      </c>
    </row>
    <row r="9299" spans="1:11" x14ac:dyDescent="0.25">
      <c r="A9299" t="s">
        <v>9</v>
      </c>
      <c r="B9299" t="s">
        <v>108</v>
      </c>
      <c r="C9299" t="s">
        <v>875</v>
      </c>
      <c r="D9299" t="s">
        <v>14</v>
      </c>
      <c r="E9299">
        <v>2</v>
      </c>
      <c r="F9299" s="2">
        <f>DATE(2026,IF(Tabla1[[#This Row],[Mes de Fecha]]="Septiembre",9,10),Tabla1[[#This Row],[Día de Fecha]])</f>
        <v>46297</v>
      </c>
      <c r="G9299">
        <v>91492611</v>
      </c>
      <c r="H9299" t="s">
        <v>97</v>
      </c>
      <c r="I9299">
        <v>151</v>
      </c>
      <c r="J9299">
        <v>0</v>
      </c>
      <c r="K9299" s="1">
        <v>7463537</v>
      </c>
    </row>
    <row r="9300" spans="1:11" x14ac:dyDescent="0.25">
      <c r="A9300" t="s">
        <v>9</v>
      </c>
      <c r="B9300" t="s">
        <v>108</v>
      </c>
      <c r="C9300" t="s">
        <v>875</v>
      </c>
      <c r="D9300" t="s">
        <v>14</v>
      </c>
      <c r="E9300">
        <v>2</v>
      </c>
      <c r="F9300" s="2">
        <f>DATE(2026,IF(Tabla1[[#This Row],[Mes de Fecha]]="Septiembre",9,10),Tabla1[[#This Row],[Día de Fecha]])</f>
        <v>46297</v>
      </c>
      <c r="G9300">
        <v>1005029713</v>
      </c>
      <c r="H9300" t="s">
        <v>109</v>
      </c>
      <c r="I9300">
        <v>134</v>
      </c>
      <c r="J9300">
        <v>0</v>
      </c>
      <c r="K9300" s="1">
        <v>6712400</v>
      </c>
    </row>
    <row r="9301" spans="1:11" x14ac:dyDescent="0.25">
      <c r="A9301" t="s">
        <v>9</v>
      </c>
      <c r="B9301" t="s">
        <v>108</v>
      </c>
      <c r="C9301" t="s">
        <v>875</v>
      </c>
      <c r="D9301" t="s">
        <v>14</v>
      </c>
      <c r="E9301">
        <v>3</v>
      </c>
      <c r="F9301" s="2">
        <f>DATE(2026,IF(Tabla1[[#This Row],[Mes de Fecha]]="Septiembre",9,10),Tabla1[[#This Row],[Día de Fecha]])</f>
        <v>46298</v>
      </c>
      <c r="I9301">
        <v>0</v>
      </c>
      <c r="J9301" s="1">
        <v>23845062</v>
      </c>
      <c r="K9301">
        <v>0</v>
      </c>
    </row>
    <row r="9302" spans="1:11" x14ac:dyDescent="0.25">
      <c r="A9302" t="s">
        <v>9</v>
      </c>
      <c r="B9302" t="s">
        <v>108</v>
      </c>
      <c r="C9302" t="s">
        <v>875</v>
      </c>
      <c r="D9302" t="s">
        <v>14</v>
      </c>
      <c r="E9302">
        <v>3</v>
      </c>
      <c r="F9302" s="2">
        <f>DATE(2026,IF(Tabla1[[#This Row],[Mes de Fecha]]="Septiembre",9,10),Tabla1[[#This Row],[Día de Fecha]])</f>
        <v>46298</v>
      </c>
      <c r="G9302">
        <v>91492611</v>
      </c>
      <c r="H9302" t="s">
        <v>97</v>
      </c>
      <c r="I9302">
        <v>293</v>
      </c>
      <c r="J9302">
        <v>0</v>
      </c>
      <c r="K9302" s="1">
        <v>12807556</v>
      </c>
    </row>
    <row r="9303" spans="1:11" x14ac:dyDescent="0.25">
      <c r="A9303" t="s">
        <v>9</v>
      </c>
      <c r="B9303" t="s">
        <v>108</v>
      </c>
      <c r="C9303" t="s">
        <v>875</v>
      </c>
      <c r="D9303" t="s">
        <v>14</v>
      </c>
      <c r="E9303">
        <v>3</v>
      </c>
      <c r="F9303" s="2">
        <f>DATE(2026,IF(Tabla1[[#This Row],[Mes de Fecha]]="Septiembre",9,10),Tabla1[[#This Row],[Día de Fecha]])</f>
        <v>46298</v>
      </c>
      <c r="G9303">
        <v>1005029713</v>
      </c>
      <c r="H9303" t="s">
        <v>109</v>
      </c>
      <c r="I9303">
        <v>292</v>
      </c>
      <c r="J9303">
        <v>0</v>
      </c>
      <c r="K9303" s="1">
        <v>13100247</v>
      </c>
    </row>
    <row r="9304" spans="1:11" x14ac:dyDescent="0.25">
      <c r="A9304" t="s">
        <v>9</v>
      </c>
      <c r="B9304" t="s">
        <v>108</v>
      </c>
      <c r="C9304" t="s">
        <v>875</v>
      </c>
      <c r="D9304" t="s">
        <v>14</v>
      </c>
      <c r="E9304">
        <v>4</v>
      </c>
      <c r="F9304" s="2">
        <f>DATE(2026,IF(Tabla1[[#This Row],[Mes de Fecha]]="Septiembre",9,10),Tabla1[[#This Row],[Día de Fecha]])</f>
        <v>46299</v>
      </c>
      <c r="I9304">
        <v>0</v>
      </c>
      <c r="J9304" s="1">
        <v>9740658</v>
      </c>
      <c r="K9304">
        <v>0</v>
      </c>
    </row>
    <row r="9305" spans="1:11" x14ac:dyDescent="0.25">
      <c r="A9305" t="s">
        <v>9</v>
      </c>
      <c r="B9305" t="s">
        <v>108</v>
      </c>
      <c r="C9305" t="s">
        <v>875</v>
      </c>
      <c r="D9305" t="s">
        <v>14</v>
      </c>
      <c r="E9305">
        <v>4</v>
      </c>
      <c r="F9305" s="2">
        <f>DATE(2026,IF(Tabla1[[#This Row],[Mes de Fecha]]="Septiembre",9,10),Tabla1[[#This Row],[Día de Fecha]])</f>
        <v>46299</v>
      </c>
      <c r="G9305">
        <v>91492611</v>
      </c>
      <c r="H9305" t="s">
        <v>97</v>
      </c>
      <c r="I9305">
        <v>81</v>
      </c>
      <c r="J9305">
        <v>0</v>
      </c>
      <c r="K9305" s="1">
        <v>4038447</v>
      </c>
    </row>
    <row r="9306" spans="1:11" x14ac:dyDescent="0.25">
      <c r="A9306" t="s">
        <v>9</v>
      </c>
      <c r="B9306" t="s">
        <v>108</v>
      </c>
      <c r="C9306" t="s">
        <v>875</v>
      </c>
      <c r="D9306" t="s">
        <v>14</v>
      </c>
      <c r="E9306">
        <v>4</v>
      </c>
      <c r="F9306" s="2">
        <f>DATE(2026,IF(Tabla1[[#This Row],[Mes de Fecha]]="Septiembre",9,10),Tabla1[[#This Row],[Día de Fecha]])</f>
        <v>46299</v>
      </c>
      <c r="G9306">
        <v>1005029713</v>
      </c>
      <c r="H9306" t="s">
        <v>109</v>
      </c>
      <c r="I9306">
        <v>99</v>
      </c>
      <c r="J9306">
        <v>0</v>
      </c>
      <c r="K9306" s="1">
        <v>5438615</v>
      </c>
    </row>
    <row r="9307" spans="1:11" x14ac:dyDescent="0.25">
      <c r="A9307" t="s">
        <v>9</v>
      </c>
      <c r="B9307" t="s">
        <v>108</v>
      </c>
      <c r="C9307" t="s">
        <v>875</v>
      </c>
      <c r="D9307" t="s">
        <v>14</v>
      </c>
      <c r="E9307">
        <v>5</v>
      </c>
      <c r="F9307" s="2">
        <f>DATE(2026,IF(Tabla1[[#This Row],[Mes de Fecha]]="Septiembre",9,10),Tabla1[[#This Row],[Día de Fecha]])</f>
        <v>46300</v>
      </c>
      <c r="I9307">
        <v>0</v>
      </c>
      <c r="J9307" s="1">
        <v>10812962</v>
      </c>
      <c r="K9307">
        <v>0</v>
      </c>
    </row>
    <row r="9308" spans="1:11" x14ac:dyDescent="0.25">
      <c r="A9308" t="s">
        <v>9</v>
      </c>
      <c r="B9308" t="s">
        <v>108</v>
      </c>
      <c r="C9308" t="s">
        <v>875</v>
      </c>
      <c r="D9308" t="s">
        <v>14</v>
      </c>
      <c r="E9308">
        <v>5</v>
      </c>
      <c r="F9308" s="2">
        <f>DATE(2026,IF(Tabla1[[#This Row],[Mes de Fecha]]="Septiembre",9,10),Tabla1[[#This Row],[Día de Fecha]])</f>
        <v>46300</v>
      </c>
      <c r="G9308">
        <v>91492611</v>
      </c>
      <c r="H9308" t="s">
        <v>97</v>
      </c>
      <c r="I9308">
        <v>69</v>
      </c>
      <c r="J9308">
        <v>0</v>
      </c>
      <c r="K9308" s="1">
        <v>3185674</v>
      </c>
    </row>
    <row r="9309" spans="1:11" x14ac:dyDescent="0.25">
      <c r="A9309" t="s">
        <v>9</v>
      </c>
      <c r="B9309" t="s">
        <v>108</v>
      </c>
      <c r="C9309" t="s">
        <v>875</v>
      </c>
      <c r="D9309" t="s">
        <v>14</v>
      </c>
      <c r="E9309">
        <v>5</v>
      </c>
      <c r="F9309" s="2">
        <f>DATE(2026,IF(Tabla1[[#This Row],[Mes de Fecha]]="Septiembre",9,10),Tabla1[[#This Row],[Día de Fecha]])</f>
        <v>46300</v>
      </c>
      <c r="G9309">
        <v>1005029713</v>
      </c>
      <c r="H9309" t="s">
        <v>109</v>
      </c>
      <c r="I9309">
        <v>89</v>
      </c>
      <c r="J9309">
        <v>0</v>
      </c>
      <c r="K9309" s="1">
        <v>4317600</v>
      </c>
    </row>
    <row r="9310" spans="1:11" x14ac:dyDescent="0.25">
      <c r="A9310" t="s">
        <v>9</v>
      </c>
      <c r="B9310" t="s">
        <v>108</v>
      </c>
      <c r="C9310" t="s">
        <v>875</v>
      </c>
      <c r="D9310" t="s">
        <v>14</v>
      </c>
      <c r="E9310">
        <v>6</v>
      </c>
      <c r="F9310" s="2">
        <f>DATE(2026,IF(Tabla1[[#This Row],[Mes de Fecha]]="Septiembre",9,10),Tabla1[[#This Row],[Día de Fecha]])</f>
        <v>46301</v>
      </c>
      <c r="I9310">
        <v>0</v>
      </c>
      <c r="J9310" s="1">
        <v>4711103</v>
      </c>
      <c r="K9310">
        <v>0</v>
      </c>
    </row>
    <row r="9311" spans="1:11" x14ac:dyDescent="0.25">
      <c r="A9311" t="s">
        <v>9</v>
      </c>
      <c r="B9311" t="s">
        <v>108</v>
      </c>
      <c r="C9311" t="s">
        <v>875</v>
      </c>
      <c r="D9311" t="s">
        <v>14</v>
      </c>
      <c r="E9311">
        <v>6</v>
      </c>
      <c r="F9311" s="2">
        <f>DATE(2026,IF(Tabla1[[#This Row],[Mes de Fecha]]="Septiembre",9,10),Tabla1[[#This Row],[Día de Fecha]])</f>
        <v>46301</v>
      </c>
      <c r="G9311">
        <v>91492611</v>
      </c>
      <c r="H9311" t="s">
        <v>97</v>
      </c>
      <c r="I9311">
        <v>97</v>
      </c>
      <c r="J9311">
        <v>0</v>
      </c>
      <c r="K9311" s="1">
        <v>4784969</v>
      </c>
    </row>
    <row r="9312" spans="1:11" x14ac:dyDescent="0.25">
      <c r="A9312" t="s">
        <v>9</v>
      </c>
      <c r="B9312" t="s">
        <v>108</v>
      </c>
      <c r="C9312" t="s">
        <v>875</v>
      </c>
      <c r="D9312" t="s">
        <v>14</v>
      </c>
      <c r="E9312">
        <v>6</v>
      </c>
      <c r="F9312" s="2">
        <f>DATE(2026,IF(Tabla1[[#This Row],[Mes de Fecha]]="Septiembre",9,10),Tabla1[[#This Row],[Día de Fecha]])</f>
        <v>46301</v>
      </c>
      <c r="G9312">
        <v>1005029713</v>
      </c>
      <c r="H9312" t="s">
        <v>109</v>
      </c>
      <c r="I9312">
        <v>9</v>
      </c>
      <c r="J9312">
        <v>0</v>
      </c>
      <c r="K9312" s="1">
        <v>281062</v>
      </c>
    </row>
    <row r="9313" spans="1:11" x14ac:dyDescent="0.25">
      <c r="A9313" t="s">
        <v>9</v>
      </c>
      <c r="B9313" t="s">
        <v>108</v>
      </c>
      <c r="C9313" t="s">
        <v>875</v>
      </c>
      <c r="D9313" t="s">
        <v>14</v>
      </c>
      <c r="E9313">
        <v>6</v>
      </c>
      <c r="F9313" s="2">
        <f>DATE(2026,IF(Tabla1[[#This Row],[Mes de Fecha]]="Septiembre",9,10),Tabla1[[#This Row],[Día de Fecha]])</f>
        <v>46301</v>
      </c>
      <c r="G9313">
        <v>1091652812</v>
      </c>
      <c r="H9313" t="s">
        <v>110</v>
      </c>
      <c r="I9313">
        <v>2</v>
      </c>
      <c r="J9313">
        <v>0</v>
      </c>
      <c r="K9313" s="1">
        <v>121765</v>
      </c>
    </row>
    <row r="9314" spans="1:11" x14ac:dyDescent="0.25">
      <c r="A9314" t="s">
        <v>9</v>
      </c>
      <c r="B9314" t="s">
        <v>108</v>
      </c>
      <c r="C9314" t="s">
        <v>875</v>
      </c>
      <c r="D9314" t="s">
        <v>14</v>
      </c>
      <c r="E9314">
        <v>7</v>
      </c>
      <c r="F9314" s="2">
        <f>DATE(2026,IF(Tabla1[[#This Row],[Mes de Fecha]]="Septiembre",9,10),Tabla1[[#This Row],[Día de Fecha]])</f>
        <v>46302</v>
      </c>
      <c r="I9314">
        <v>0</v>
      </c>
      <c r="J9314" s="1">
        <v>4220053</v>
      </c>
      <c r="K9314">
        <v>0</v>
      </c>
    </row>
    <row r="9315" spans="1:11" x14ac:dyDescent="0.25">
      <c r="A9315" t="s">
        <v>9</v>
      </c>
      <c r="B9315" t="s">
        <v>108</v>
      </c>
      <c r="C9315" t="s">
        <v>875</v>
      </c>
      <c r="D9315" t="s">
        <v>14</v>
      </c>
      <c r="E9315">
        <v>7</v>
      </c>
      <c r="F9315" s="2">
        <f>DATE(2026,IF(Tabla1[[#This Row],[Mes de Fecha]]="Septiembre",9,10),Tabla1[[#This Row],[Día de Fecha]])</f>
        <v>46302</v>
      </c>
      <c r="G9315">
        <v>91492611</v>
      </c>
      <c r="H9315" t="s">
        <v>97</v>
      </c>
      <c r="I9315">
        <v>63</v>
      </c>
      <c r="J9315">
        <v>0</v>
      </c>
      <c r="K9315" s="1">
        <v>3009708</v>
      </c>
    </row>
    <row r="9316" spans="1:11" x14ac:dyDescent="0.25">
      <c r="A9316" t="s">
        <v>9</v>
      </c>
      <c r="B9316" t="s">
        <v>108</v>
      </c>
      <c r="C9316" t="s">
        <v>875</v>
      </c>
      <c r="D9316" t="s">
        <v>14</v>
      </c>
      <c r="E9316">
        <v>7</v>
      </c>
      <c r="F9316" s="2">
        <f>DATE(2026,IF(Tabla1[[#This Row],[Mes de Fecha]]="Septiembre",9,10),Tabla1[[#This Row],[Día de Fecha]])</f>
        <v>46302</v>
      </c>
      <c r="G9316">
        <v>1005029713</v>
      </c>
      <c r="H9316" t="s">
        <v>109</v>
      </c>
      <c r="I9316">
        <v>62</v>
      </c>
      <c r="J9316">
        <v>0</v>
      </c>
      <c r="K9316" s="1">
        <v>3024078</v>
      </c>
    </row>
    <row r="9317" spans="1:11" x14ac:dyDescent="0.25">
      <c r="A9317" t="s">
        <v>9</v>
      </c>
      <c r="B9317" t="s">
        <v>111</v>
      </c>
      <c r="C9317" t="s">
        <v>875</v>
      </c>
      <c r="D9317" t="s">
        <v>11</v>
      </c>
      <c r="E9317">
        <v>23</v>
      </c>
      <c r="F9317" s="2">
        <f>DATE(2026,IF(Tabla1[[#This Row],[Mes de Fecha]]="Septiembre",9,10),Tabla1[[#This Row],[Día de Fecha]])</f>
        <v>46288</v>
      </c>
      <c r="I9317">
        <v>0</v>
      </c>
      <c r="J9317" s="1">
        <v>3735014</v>
      </c>
      <c r="K9317">
        <v>0</v>
      </c>
    </row>
    <row r="9318" spans="1:11" x14ac:dyDescent="0.25">
      <c r="A9318" t="s">
        <v>9</v>
      </c>
      <c r="B9318" t="s">
        <v>111</v>
      </c>
      <c r="C9318" t="s">
        <v>875</v>
      </c>
      <c r="D9318" t="s">
        <v>11</v>
      </c>
      <c r="E9318">
        <v>23</v>
      </c>
      <c r="F9318" s="2">
        <f>DATE(2026,IF(Tabla1[[#This Row],[Mes de Fecha]]="Septiembre",9,10),Tabla1[[#This Row],[Día de Fecha]])</f>
        <v>46288</v>
      </c>
      <c r="G9318">
        <v>1005060348</v>
      </c>
      <c r="H9318" t="s">
        <v>112</v>
      </c>
      <c r="I9318">
        <v>116</v>
      </c>
      <c r="J9318">
        <v>0</v>
      </c>
      <c r="K9318" s="1">
        <v>6236728</v>
      </c>
    </row>
    <row r="9319" spans="1:11" x14ac:dyDescent="0.25">
      <c r="A9319" t="s">
        <v>9</v>
      </c>
      <c r="B9319" t="s">
        <v>111</v>
      </c>
      <c r="C9319" t="s">
        <v>875</v>
      </c>
      <c r="D9319" t="s">
        <v>11</v>
      </c>
      <c r="E9319">
        <v>23</v>
      </c>
      <c r="F9319" s="2">
        <f>DATE(2026,IF(Tabla1[[#This Row],[Mes de Fecha]]="Septiembre",9,10),Tabla1[[#This Row],[Día de Fecha]])</f>
        <v>46288</v>
      </c>
      <c r="G9319">
        <v>1093433285</v>
      </c>
      <c r="H9319" t="s">
        <v>96</v>
      </c>
      <c r="I9319">
        <v>134</v>
      </c>
      <c r="J9319">
        <v>0</v>
      </c>
      <c r="K9319" s="1">
        <v>5744373</v>
      </c>
    </row>
    <row r="9320" spans="1:11" x14ac:dyDescent="0.25">
      <c r="A9320" t="s">
        <v>9</v>
      </c>
      <c r="B9320" t="s">
        <v>111</v>
      </c>
      <c r="C9320" t="s">
        <v>875</v>
      </c>
      <c r="D9320" t="s">
        <v>11</v>
      </c>
      <c r="E9320">
        <v>23</v>
      </c>
      <c r="F9320" s="2">
        <f>DATE(2026,IF(Tabla1[[#This Row],[Mes de Fecha]]="Septiembre",9,10),Tabla1[[#This Row],[Día de Fecha]])</f>
        <v>46288</v>
      </c>
      <c r="G9320">
        <v>1094277871</v>
      </c>
      <c r="H9320" t="s">
        <v>113</v>
      </c>
      <c r="I9320">
        <v>108</v>
      </c>
      <c r="J9320">
        <v>0</v>
      </c>
      <c r="K9320" s="1">
        <v>5927373</v>
      </c>
    </row>
    <row r="9321" spans="1:11" x14ac:dyDescent="0.25">
      <c r="A9321" t="s">
        <v>9</v>
      </c>
      <c r="B9321" t="s">
        <v>111</v>
      </c>
      <c r="C9321" t="s">
        <v>875</v>
      </c>
      <c r="D9321" t="s">
        <v>11</v>
      </c>
      <c r="E9321">
        <v>24</v>
      </c>
      <c r="F9321" s="2">
        <f>DATE(2026,IF(Tabla1[[#This Row],[Mes de Fecha]]="Septiembre",9,10),Tabla1[[#This Row],[Día de Fecha]])</f>
        <v>46289</v>
      </c>
      <c r="I9321">
        <v>0</v>
      </c>
      <c r="J9321" s="1">
        <v>9659460</v>
      </c>
      <c r="K9321">
        <v>0</v>
      </c>
    </row>
    <row r="9322" spans="1:11" x14ac:dyDescent="0.25">
      <c r="A9322" t="s">
        <v>9</v>
      </c>
      <c r="B9322" t="s">
        <v>111</v>
      </c>
      <c r="C9322" t="s">
        <v>875</v>
      </c>
      <c r="D9322" t="s">
        <v>11</v>
      </c>
      <c r="E9322">
        <v>24</v>
      </c>
      <c r="F9322" s="2">
        <f>DATE(2026,IF(Tabla1[[#This Row],[Mes de Fecha]]="Septiembre",9,10),Tabla1[[#This Row],[Día de Fecha]])</f>
        <v>46289</v>
      </c>
      <c r="G9322">
        <v>1005060348</v>
      </c>
      <c r="H9322" t="s">
        <v>112</v>
      </c>
      <c r="I9322">
        <v>43</v>
      </c>
      <c r="J9322">
        <v>0</v>
      </c>
      <c r="K9322" s="1">
        <v>2750297</v>
      </c>
    </row>
    <row r="9323" spans="1:11" x14ac:dyDescent="0.25">
      <c r="A9323" t="s">
        <v>9</v>
      </c>
      <c r="B9323" t="s">
        <v>111</v>
      </c>
      <c r="C9323" t="s">
        <v>875</v>
      </c>
      <c r="D9323" t="s">
        <v>11</v>
      </c>
      <c r="E9323">
        <v>24</v>
      </c>
      <c r="F9323" s="2">
        <f>DATE(2026,IF(Tabla1[[#This Row],[Mes de Fecha]]="Septiembre",9,10),Tabla1[[#This Row],[Día de Fecha]])</f>
        <v>46289</v>
      </c>
      <c r="G9323">
        <v>1093433285</v>
      </c>
      <c r="H9323" t="s">
        <v>96</v>
      </c>
      <c r="I9323">
        <v>44</v>
      </c>
      <c r="J9323">
        <v>0</v>
      </c>
      <c r="K9323" s="1">
        <v>2943532</v>
      </c>
    </row>
    <row r="9324" spans="1:11" x14ac:dyDescent="0.25">
      <c r="A9324" t="s">
        <v>9</v>
      </c>
      <c r="B9324" t="s">
        <v>111</v>
      </c>
      <c r="C9324" t="s">
        <v>875</v>
      </c>
      <c r="D9324" t="s">
        <v>11</v>
      </c>
      <c r="E9324">
        <v>24</v>
      </c>
      <c r="F9324" s="2">
        <f>DATE(2026,IF(Tabla1[[#This Row],[Mes de Fecha]]="Septiembre",9,10),Tabla1[[#This Row],[Día de Fecha]])</f>
        <v>46289</v>
      </c>
      <c r="G9324">
        <v>1094277871</v>
      </c>
      <c r="H9324" t="s">
        <v>113</v>
      </c>
      <c r="I9324">
        <v>65</v>
      </c>
      <c r="J9324">
        <v>0</v>
      </c>
      <c r="K9324" s="1">
        <v>3555266</v>
      </c>
    </row>
    <row r="9325" spans="1:11" x14ac:dyDescent="0.25">
      <c r="A9325" t="s">
        <v>9</v>
      </c>
      <c r="B9325" t="s">
        <v>111</v>
      </c>
      <c r="C9325" t="s">
        <v>875</v>
      </c>
      <c r="D9325" t="s">
        <v>11</v>
      </c>
      <c r="E9325">
        <v>25</v>
      </c>
      <c r="F9325" s="2">
        <f>DATE(2026,IF(Tabla1[[#This Row],[Mes de Fecha]]="Septiembre",9,10),Tabla1[[#This Row],[Día de Fecha]])</f>
        <v>46290</v>
      </c>
      <c r="I9325">
        <v>0</v>
      </c>
      <c r="J9325" s="1">
        <v>10316834</v>
      </c>
      <c r="K9325">
        <v>0</v>
      </c>
    </row>
    <row r="9326" spans="1:11" x14ac:dyDescent="0.25">
      <c r="A9326" t="s">
        <v>9</v>
      </c>
      <c r="B9326" t="s">
        <v>111</v>
      </c>
      <c r="C9326" t="s">
        <v>875</v>
      </c>
      <c r="D9326" t="s">
        <v>11</v>
      </c>
      <c r="E9326">
        <v>25</v>
      </c>
      <c r="F9326" s="2">
        <f>DATE(2026,IF(Tabla1[[#This Row],[Mes de Fecha]]="Septiembre",9,10),Tabla1[[#This Row],[Día de Fecha]])</f>
        <v>46290</v>
      </c>
      <c r="G9326">
        <v>1005060348</v>
      </c>
      <c r="H9326" t="s">
        <v>112</v>
      </c>
      <c r="I9326">
        <v>54</v>
      </c>
      <c r="J9326">
        <v>0</v>
      </c>
      <c r="K9326" s="1">
        <v>3106982</v>
      </c>
    </row>
    <row r="9327" spans="1:11" x14ac:dyDescent="0.25">
      <c r="A9327" t="s">
        <v>9</v>
      </c>
      <c r="B9327" t="s">
        <v>111</v>
      </c>
      <c r="C9327" t="s">
        <v>875</v>
      </c>
      <c r="D9327" t="s">
        <v>11</v>
      </c>
      <c r="E9327">
        <v>25</v>
      </c>
      <c r="F9327" s="2">
        <f>DATE(2026,IF(Tabla1[[#This Row],[Mes de Fecha]]="Septiembre",9,10),Tabla1[[#This Row],[Día de Fecha]])</f>
        <v>46290</v>
      </c>
      <c r="G9327">
        <v>1093433285</v>
      </c>
      <c r="H9327" t="s">
        <v>96</v>
      </c>
      <c r="I9327">
        <v>53</v>
      </c>
      <c r="J9327">
        <v>0</v>
      </c>
      <c r="K9327" s="1">
        <v>3406197</v>
      </c>
    </row>
    <row r="9328" spans="1:11" x14ac:dyDescent="0.25">
      <c r="A9328" t="s">
        <v>9</v>
      </c>
      <c r="B9328" t="s">
        <v>111</v>
      </c>
      <c r="C9328" t="s">
        <v>875</v>
      </c>
      <c r="D9328" t="s">
        <v>11</v>
      </c>
      <c r="E9328">
        <v>25</v>
      </c>
      <c r="F9328" s="2">
        <f>DATE(2026,IF(Tabla1[[#This Row],[Mes de Fecha]]="Septiembre",9,10),Tabla1[[#This Row],[Día de Fecha]])</f>
        <v>46290</v>
      </c>
      <c r="G9328">
        <v>1094277871</v>
      </c>
      <c r="H9328" t="s">
        <v>113</v>
      </c>
      <c r="I9328">
        <v>72</v>
      </c>
      <c r="J9328">
        <v>0</v>
      </c>
      <c r="K9328" s="1">
        <v>4181858</v>
      </c>
    </row>
    <row r="9329" spans="1:11" x14ac:dyDescent="0.25">
      <c r="A9329" t="s">
        <v>9</v>
      </c>
      <c r="B9329" t="s">
        <v>111</v>
      </c>
      <c r="C9329" t="s">
        <v>875</v>
      </c>
      <c r="D9329" t="s">
        <v>11</v>
      </c>
      <c r="E9329">
        <v>26</v>
      </c>
      <c r="F9329" s="2">
        <f>DATE(2026,IF(Tabla1[[#This Row],[Mes de Fecha]]="Septiembre",9,10),Tabla1[[#This Row],[Día de Fecha]])</f>
        <v>46291</v>
      </c>
      <c r="I9329">
        <v>0</v>
      </c>
      <c r="J9329" s="1">
        <v>13009266</v>
      </c>
      <c r="K9329">
        <v>0</v>
      </c>
    </row>
    <row r="9330" spans="1:11" x14ac:dyDescent="0.25">
      <c r="A9330" t="s">
        <v>9</v>
      </c>
      <c r="B9330" t="s">
        <v>111</v>
      </c>
      <c r="C9330" t="s">
        <v>875</v>
      </c>
      <c r="D9330" t="s">
        <v>11</v>
      </c>
      <c r="E9330">
        <v>26</v>
      </c>
      <c r="F9330" s="2">
        <f>DATE(2026,IF(Tabla1[[#This Row],[Mes de Fecha]]="Septiembre",9,10),Tabla1[[#This Row],[Día de Fecha]])</f>
        <v>46291</v>
      </c>
      <c r="G9330">
        <v>1005060348</v>
      </c>
      <c r="H9330" t="s">
        <v>112</v>
      </c>
      <c r="I9330">
        <v>74</v>
      </c>
      <c r="J9330">
        <v>0</v>
      </c>
      <c r="K9330" s="1">
        <v>3786811</v>
      </c>
    </row>
    <row r="9331" spans="1:11" x14ac:dyDescent="0.25">
      <c r="A9331" t="s">
        <v>9</v>
      </c>
      <c r="B9331" t="s">
        <v>111</v>
      </c>
      <c r="C9331" t="s">
        <v>875</v>
      </c>
      <c r="D9331" t="s">
        <v>11</v>
      </c>
      <c r="E9331">
        <v>26</v>
      </c>
      <c r="F9331" s="2">
        <f>DATE(2026,IF(Tabla1[[#This Row],[Mes de Fecha]]="Septiembre",9,10),Tabla1[[#This Row],[Día de Fecha]])</f>
        <v>46291</v>
      </c>
      <c r="G9331">
        <v>1093433285</v>
      </c>
      <c r="H9331" t="s">
        <v>96</v>
      </c>
      <c r="I9331">
        <v>76</v>
      </c>
      <c r="J9331">
        <v>0</v>
      </c>
      <c r="K9331" s="1">
        <v>4190049</v>
      </c>
    </row>
    <row r="9332" spans="1:11" x14ac:dyDescent="0.25">
      <c r="A9332" t="s">
        <v>9</v>
      </c>
      <c r="B9332" t="s">
        <v>111</v>
      </c>
      <c r="C9332" t="s">
        <v>875</v>
      </c>
      <c r="D9332" t="s">
        <v>11</v>
      </c>
      <c r="E9332">
        <v>26</v>
      </c>
      <c r="F9332" s="2">
        <f>DATE(2026,IF(Tabla1[[#This Row],[Mes de Fecha]]="Septiembre",9,10),Tabla1[[#This Row],[Día de Fecha]])</f>
        <v>46291</v>
      </c>
      <c r="G9332">
        <v>1094277871</v>
      </c>
      <c r="H9332" t="s">
        <v>113</v>
      </c>
      <c r="I9332">
        <v>119</v>
      </c>
      <c r="J9332">
        <v>0</v>
      </c>
      <c r="K9332" s="1">
        <v>7330888</v>
      </c>
    </row>
    <row r="9333" spans="1:11" x14ac:dyDescent="0.25">
      <c r="A9333" t="s">
        <v>9</v>
      </c>
      <c r="B9333" t="s">
        <v>111</v>
      </c>
      <c r="C9333" t="s">
        <v>875</v>
      </c>
      <c r="D9333" t="s">
        <v>11</v>
      </c>
      <c r="E9333">
        <v>27</v>
      </c>
      <c r="F9333" s="2">
        <f>DATE(2026,IF(Tabla1[[#This Row],[Mes de Fecha]]="Septiembre",9,10),Tabla1[[#This Row],[Día de Fecha]])</f>
        <v>46292</v>
      </c>
      <c r="I9333">
        <v>0</v>
      </c>
      <c r="J9333" s="1">
        <v>6868766</v>
      </c>
      <c r="K9333">
        <v>0</v>
      </c>
    </row>
    <row r="9334" spans="1:11" x14ac:dyDescent="0.25">
      <c r="A9334" t="s">
        <v>9</v>
      </c>
      <c r="B9334" t="s">
        <v>111</v>
      </c>
      <c r="C9334" t="s">
        <v>875</v>
      </c>
      <c r="D9334" t="s">
        <v>11</v>
      </c>
      <c r="E9334">
        <v>27</v>
      </c>
      <c r="F9334" s="2">
        <f>DATE(2026,IF(Tabla1[[#This Row],[Mes de Fecha]]="Septiembre",9,10),Tabla1[[#This Row],[Día de Fecha]])</f>
        <v>46292</v>
      </c>
      <c r="G9334">
        <v>1005060348</v>
      </c>
      <c r="H9334" t="s">
        <v>112</v>
      </c>
      <c r="I9334">
        <v>71</v>
      </c>
      <c r="J9334">
        <v>0</v>
      </c>
      <c r="K9334" s="1">
        <v>4221560</v>
      </c>
    </row>
    <row r="9335" spans="1:11" x14ac:dyDescent="0.25">
      <c r="A9335" t="s">
        <v>9</v>
      </c>
      <c r="B9335" t="s">
        <v>111</v>
      </c>
      <c r="C9335" t="s">
        <v>875</v>
      </c>
      <c r="D9335" t="s">
        <v>11</v>
      </c>
      <c r="E9335">
        <v>27</v>
      </c>
      <c r="F9335" s="2">
        <f>DATE(2026,IF(Tabla1[[#This Row],[Mes de Fecha]]="Septiembre",9,10),Tabla1[[#This Row],[Día de Fecha]])</f>
        <v>46292</v>
      </c>
      <c r="G9335">
        <v>1093433285</v>
      </c>
      <c r="H9335" t="s">
        <v>96</v>
      </c>
      <c r="I9335">
        <v>29</v>
      </c>
      <c r="J9335">
        <v>0</v>
      </c>
      <c r="K9335" s="1">
        <v>1449959</v>
      </c>
    </row>
    <row r="9336" spans="1:11" x14ac:dyDescent="0.25">
      <c r="A9336" t="s">
        <v>9</v>
      </c>
      <c r="B9336" t="s">
        <v>111</v>
      </c>
      <c r="C9336" t="s">
        <v>875</v>
      </c>
      <c r="D9336" t="s">
        <v>11</v>
      </c>
      <c r="E9336">
        <v>27</v>
      </c>
      <c r="F9336" s="2">
        <f>DATE(2026,IF(Tabla1[[#This Row],[Mes de Fecha]]="Septiembre",9,10),Tabla1[[#This Row],[Día de Fecha]])</f>
        <v>46292</v>
      </c>
      <c r="G9336">
        <v>1094277871</v>
      </c>
      <c r="H9336" t="s">
        <v>113</v>
      </c>
      <c r="I9336">
        <v>60</v>
      </c>
      <c r="J9336">
        <v>0</v>
      </c>
      <c r="K9336" s="1">
        <v>3366808</v>
      </c>
    </row>
    <row r="9337" spans="1:11" x14ac:dyDescent="0.25">
      <c r="A9337" t="s">
        <v>9</v>
      </c>
      <c r="B9337" t="s">
        <v>111</v>
      </c>
      <c r="C9337" t="s">
        <v>875</v>
      </c>
      <c r="D9337" t="s">
        <v>11</v>
      </c>
      <c r="E9337">
        <v>28</v>
      </c>
      <c r="F9337" s="2">
        <f>DATE(2026,IF(Tabla1[[#This Row],[Mes de Fecha]]="Septiembre",9,10),Tabla1[[#This Row],[Día de Fecha]])</f>
        <v>46293</v>
      </c>
      <c r="I9337">
        <v>0</v>
      </c>
      <c r="J9337" s="1">
        <v>5631642</v>
      </c>
      <c r="K9337">
        <v>0</v>
      </c>
    </row>
    <row r="9338" spans="1:11" x14ac:dyDescent="0.25">
      <c r="A9338" t="s">
        <v>9</v>
      </c>
      <c r="B9338" t="s">
        <v>111</v>
      </c>
      <c r="C9338" t="s">
        <v>875</v>
      </c>
      <c r="D9338" t="s">
        <v>11</v>
      </c>
      <c r="E9338">
        <v>28</v>
      </c>
      <c r="F9338" s="2">
        <f>DATE(2026,IF(Tabla1[[#This Row],[Mes de Fecha]]="Septiembre",9,10),Tabla1[[#This Row],[Día de Fecha]])</f>
        <v>46293</v>
      </c>
      <c r="G9338">
        <v>1005060348</v>
      </c>
      <c r="H9338" t="s">
        <v>112</v>
      </c>
      <c r="I9338">
        <v>27</v>
      </c>
      <c r="J9338">
        <v>0</v>
      </c>
      <c r="K9338" s="1">
        <v>1593364</v>
      </c>
    </row>
    <row r="9339" spans="1:11" x14ac:dyDescent="0.25">
      <c r="A9339" t="s">
        <v>9</v>
      </c>
      <c r="B9339" t="s">
        <v>111</v>
      </c>
      <c r="C9339" t="s">
        <v>875</v>
      </c>
      <c r="D9339" t="s">
        <v>11</v>
      </c>
      <c r="E9339">
        <v>28</v>
      </c>
      <c r="F9339" s="2">
        <f>DATE(2026,IF(Tabla1[[#This Row],[Mes de Fecha]]="Septiembre",9,10),Tabla1[[#This Row],[Día de Fecha]])</f>
        <v>46293</v>
      </c>
      <c r="G9339">
        <v>1093433285</v>
      </c>
      <c r="H9339" t="s">
        <v>96</v>
      </c>
      <c r="I9339">
        <v>29</v>
      </c>
      <c r="J9339">
        <v>0</v>
      </c>
      <c r="K9339" s="1">
        <v>1692063</v>
      </c>
    </row>
    <row r="9340" spans="1:11" x14ac:dyDescent="0.25">
      <c r="A9340" t="s">
        <v>9</v>
      </c>
      <c r="B9340" t="s">
        <v>111</v>
      </c>
      <c r="C9340" t="s">
        <v>875</v>
      </c>
      <c r="D9340" t="s">
        <v>11</v>
      </c>
      <c r="E9340">
        <v>28</v>
      </c>
      <c r="F9340" s="2">
        <f>DATE(2026,IF(Tabla1[[#This Row],[Mes de Fecha]]="Septiembre",9,10),Tabla1[[#This Row],[Día de Fecha]])</f>
        <v>46293</v>
      </c>
      <c r="G9340">
        <v>1094277871</v>
      </c>
      <c r="H9340" t="s">
        <v>113</v>
      </c>
      <c r="I9340">
        <v>20</v>
      </c>
      <c r="J9340">
        <v>0</v>
      </c>
      <c r="K9340" s="1">
        <v>1196599</v>
      </c>
    </row>
    <row r="9341" spans="1:11" x14ac:dyDescent="0.25">
      <c r="A9341" t="s">
        <v>9</v>
      </c>
      <c r="B9341" t="s">
        <v>111</v>
      </c>
      <c r="C9341" t="s">
        <v>875</v>
      </c>
      <c r="D9341" t="s">
        <v>11</v>
      </c>
      <c r="E9341">
        <v>29</v>
      </c>
      <c r="F9341" s="2">
        <f>DATE(2026,IF(Tabla1[[#This Row],[Mes de Fecha]]="Septiembre",9,10),Tabla1[[#This Row],[Día de Fecha]])</f>
        <v>46294</v>
      </c>
      <c r="I9341">
        <v>0</v>
      </c>
      <c r="J9341" s="1">
        <v>6260721</v>
      </c>
      <c r="K9341">
        <v>0</v>
      </c>
    </row>
    <row r="9342" spans="1:11" x14ac:dyDescent="0.25">
      <c r="A9342" t="s">
        <v>9</v>
      </c>
      <c r="B9342" t="s">
        <v>111</v>
      </c>
      <c r="C9342" t="s">
        <v>875</v>
      </c>
      <c r="D9342" t="s">
        <v>11</v>
      </c>
      <c r="E9342">
        <v>29</v>
      </c>
      <c r="F9342" s="2">
        <f>DATE(2026,IF(Tabla1[[#This Row],[Mes de Fecha]]="Septiembre",9,10),Tabla1[[#This Row],[Día de Fecha]])</f>
        <v>46294</v>
      </c>
      <c r="G9342">
        <v>1005060348</v>
      </c>
      <c r="H9342" t="s">
        <v>112</v>
      </c>
      <c r="I9342">
        <v>37</v>
      </c>
      <c r="J9342">
        <v>0</v>
      </c>
      <c r="K9342" s="1">
        <v>2233699</v>
      </c>
    </row>
    <row r="9343" spans="1:11" x14ac:dyDescent="0.25">
      <c r="A9343" t="s">
        <v>9</v>
      </c>
      <c r="B9343" t="s">
        <v>111</v>
      </c>
      <c r="C9343" t="s">
        <v>875</v>
      </c>
      <c r="D9343" t="s">
        <v>11</v>
      </c>
      <c r="E9343">
        <v>29</v>
      </c>
      <c r="F9343" s="2">
        <f>DATE(2026,IF(Tabla1[[#This Row],[Mes de Fecha]]="Septiembre",9,10),Tabla1[[#This Row],[Día de Fecha]])</f>
        <v>46294</v>
      </c>
      <c r="G9343">
        <v>1093433285</v>
      </c>
      <c r="H9343" t="s">
        <v>96</v>
      </c>
      <c r="I9343">
        <v>16</v>
      </c>
      <c r="J9343">
        <v>0</v>
      </c>
      <c r="K9343" s="1">
        <v>927902</v>
      </c>
    </row>
    <row r="9344" spans="1:11" x14ac:dyDescent="0.25">
      <c r="A9344" t="s">
        <v>9</v>
      </c>
      <c r="B9344" t="s">
        <v>111</v>
      </c>
      <c r="C9344" t="s">
        <v>875</v>
      </c>
      <c r="D9344" t="s">
        <v>11</v>
      </c>
      <c r="E9344">
        <v>29</v>
      </c>
      <c r="F9344" s="2">
        <f>DATE(2026,IF(Tabla1[[#This Row],[Mes de Fecha]]="Septiembre",9,10),Tabla1[[#This Row],[Día de Fecha]])</f>
        <v>46294</v>
      </c>
      <c r="G9344">
        <v>1094277871</v>
      </c>
      <c r="H9344" t="s">
        <v>113</v>
      </c>
      <c r="I9344">
        <v>157</v>
      </c>
      <c r="J9344">
        <v>0</v>
      </c>
      <c r="K9344" s="1">
        <v>8883191</v>
      </c>
    </row>
    <row r="9345" spans="1:11" x14ac:dyDescent="0.25">
      <c r="A9345" t="s">
        <v>9</v>
      </c>
      <c r="B9345" t="s">
        <v>111</v>
      </c>
      <c r="C9345" t="s">
        <v>875</v>
      </c>
      <c r="D9345" t="s">
        <v>11</v>
      </c>
      <c r="E9345">
        <v>30</v>
      </c>
      <c r="F9345" s="2">
        <f>DATE(2026,IF(Tabla1[[#This Row],[Mes de Fecha]]="Septiembre",9,10),Tabla1[[#This Row],[Día de Fecha]])</f>
        <v>46295</v>
      </c>
      <c r="I9345">
        <v>0</v>
      </c>
      <c r="J9345" s="1">
        <v>6630299</v>
      </c>
      <c r="K9345">
        <v>0</v>
      </c>
    </row>
    <row r="9346" spans="1:11" x14ac:dyDescent="0.25">
      <c r="A9346" t="s">
        <v>9</v>
      </c>
      <c r="B9346" t="s">
        <v>111</v>
      </c>
      <c r="C9346" t="s">
        <v>875</v>
      </c>
      <c r="D9346" t="s">
        <v>11</v>
      </c>
      <c r="E9346">
        <v>30</v>
      </c>
      <c r="F9346" s="2">
        <f>DATE(2026,IF(Tabla1[[#This Row],[Mes de Fecha]]="Septiembre",9,10),Tabla1[[#This Row],[Día de Fecha]])</f>
        <v>46295</v>
      </c>
      <c r="G9346">
        <v>1005060348</v>
      </c>
      <c r="H9346" t="s">
        <v>112</v>
      </c>
      <c r="I9346">
        <v>30</v>
      </c>
      <c r="J9346">
        <v>0</v>
      </c>
      <c r="K9346" s="1">
        <v>1616220</v>
      </c>
    </row>
    <row r="9347" spans="1:11" x14ac:dyDescent="0.25">
      <c r="A9347" t="s">
        <v>9</v>
      </c>
      <c r="B9347" t="s">
        <v>111</v>
      </c>
      <c r="C9347" t="s">
        <v>875</v>
      </c>
      <c r="D9347" t="s">
        <v>11</v>
      </c>
      <c r="E9347">
        <v>30</v>
      </c>
      <c r="F9347" s="2">
        <f>DATE(2026,IF(Tabla1[[#This Row],[Mes de Fecha]]="Septiembre",9,10),Tabla1[[#This Row],[Día de Fecha]])</f>
        <v>46295</v>
      </c>
      <c r="G9347">
        <v>1093433285</v>
      </c>
      <c r="H9347" t="s">
        <v>96</v>
      </c>
      <c r="I9347">
        <v>32</v>
      </c>
      <c r="J9347">
        <v>0</v>
      </c>
      <c r="K9347" s="1">
        <v>2028028</v>
      </c>
    </row>
    <row r="9348" spans="1:11" x14ac:dyDescent="0.25">
      <c r="A9348" t="s">
        <v>9</v>
      </c>
      <c r="B9348" t="s">
        <v>111</v>
      </c>
      <c r="C9348" t="s">
        <v>875</v>
      </c>
      <c r="D9348" t="s">
        <v>11</v>
      </c>
      <c r="E9348">
        <v>30</v>
      </c>
      <c r="F9348" s="2">
        <f>DATE(2026,IF(Tabla1[[#This Row],[Mes de Fecha]]="Septiembre",9,10),Tabla1[[#This Row],[Día de Fecha]])</f>
        <v>46295</v>
      </c>
      <c r="G9348">
        <v>1094277871</v>
      </c>
      <c r="H9348" t="s">
        <v>113</v>
      </c>
      <c r="I9348">
        <v>36</v>
      </c>
      <c r="J9348">
        <v>0</v>
      </c>
      <c r="K9348" s="1">
        <v>2406053</v>
      </c>
    </row>
    <row r="9349" spans="1:11" x14ac:dyDescent="0.25">
      <c r="A9349" t="s">
        <v>9</v>
      </c>
      <c r="B9349" t="s">
        <v>111</v>
      </c>
      <c r="C9349" t="s">
        <v>875</v>
      </c>
      <c r="D9349" t="s">
        <v>14</v>
      </c>
      <c r="E9349">
        <v>1</v>
      </c>
      <c r="F9349" s="2">
        <f>DATE(2026,IF(Tabla1[[#This Row],[Mes de Fecha]]="Septiembre",9,10),Tabla1[[#This Row],[Día de Fecha]])</f>
        <v>46296</v>
      </c>
      <c r="I9349">
        <v>0</v>
      </c>
      <c r="J9349" s="1">
        <v>12837047</v>
      </c>
      <c r="K9349">
        <v>0</v>
      </c>
    </row>
    <row r="9350" spans="1:11" x14ac:dyDescent="0.25">
      <c r="A9350" t="s">
        <v>9</v>
      </c>
      <c r="B9350" t="s">
        <v>111</v>
      </c>
      <c r="C9350" t="s">
        <v>875</v>
      </c>
      <c r="D9350" t="s">
        <v>14</v>
      </c>
      <c r="E9350">
        <v>1</v>
      </c>
      <c r="F9350" s="2">
        <f>DATE(2026,IF(Tabla1[[#This Row],[Mes de Fecha]]="Septiembre",9,10),Tabla1[[#This Row],[Día de Fecha]])</f>
        <v>46296</v>
      </c>
      <c r="G9350">
        <v>1005060348</v>
      </c>
      <c r="H9350" t="s">
        <v>112</v>
      </c>
      <c r="I9350">
        <v>28</v>
      </c>
      <c r="J9350">
        <v>0</v>
      </c>
      <c r="K9350" s="1">
        <v>1498742</v>
      </c>
    </row>
    <row r="9351" spans="1:11" x14ac:dyDescent="0.25">
      <c r="A9351" t="s">
        <v>9</v>
      </c>
      <c r="B9351" t="s">
        <v>111</v>
      </c>
      <c r="C9351" t="s">
        <v>875</v>
      </c>
      <c r="D9351" t="s">
        <v>14</v>
      </c>
      <c r="E9351">
        <v>1</v>
      </c>
      <c r="F9351" s="2">
        <f>DATE(2026,IF(Tabla1[[#This Row],[Mes de Fecha]]="Septiembre",9,10),Tabla1[[#This Row],[Día de Fecha]])</f>
        <v>46296</v>
      </c>
      <c r="G9351">
        <v>1093433285</v>
      </c>
      <c r="H9351" t="s">
        <v>96</v>
      </c>
      <c r="I9351">
        <v>15</v>
      </c>
      <c r="J9351">
        <v>0</v>
      </c>
      <c r="K9351" s="1">
        <v>864876</v>
      </c>
    </row>
    <row r="9352" spans="1:11" x14ac:dyDescent="0.25">
      <c r="A9352" t="s">
        <v>9</v>
      </c>
      <c r="B9352" t="s">
        <v>111</v>
      </c>
      <c r="C9352" t="s">
        <v>875</v>
      </c>
      <c r="D9352" t="s">
        <v>14</v>
      </c>
      <c r="E9352">
        <v>1</v>
      </c>
      <c r="F9352" s="2">
        <f>DATE(2026,IF(Tabla1[[#This Row],[Mes de Fecha]]="Septiembre",9,10),Tabla1[[#This Row],[Día de Fecha]])</f>
        <v>46296</v>
      </c>
      <c r="G9352">
        <v>1094277871</v>
      </c>
      <c r="H9352" t="s">
        <v>113</v>
      </c>
      <c r="I9352">
        <v>41</v>
      </c>
      <c r="J9352">
        <v>0</v>
      </c>
      <c r="K9352" s="1">
        <v>2674751</v>
      </c>
    </row>
    <row r="9353" spans="1:11" x14ac:dyDescent="0.25">
      <c r="A9353" t="s">
        <v>9</v>
      </c>
      <c r="B9353" t="s">
        <v>111</v>
      </c>
      <c r="C9353" t="s">
        <v>875</v>
      </c>
      <c r="D9353" t="s">
        <v>14</v>
      </c>
      <c r="E9353">
        <v>2</v>
      </c>
      <c r="F9353" s="2">
        <f>DATE(2026,IF(Tabla1[[#This Row],[Mes de Fecha]]="Septiembre",9,10),Tabla1[[#This Row],[Día de Fecha]])</f>
        <v>46297</v>
      </c>
      <c r="I9353">
        <v>0</v>
      </c>
      <c r="J9353" s="1">
        <v>9196366</v>
      </c>
      <c r="K9353">
        <v>0</v>
      </c>
    </row>
    <row r="9354" spans="1:11" x14ac:dyDescent="0.25">
      <c r="A9354" t="s">
        <v>9</v>
      </c>
      <c r="B9354" t="s">
        <v>111</v>
      </c>
      <c r="C9354" t="s">
        <v>875</v>
      </c>
      <c r="D9354" t="s">
        <v>14</v>
      </c>
      <c r="E9354">
        <v>2</v>
      </c>
      <c r="F9354" s="2">
        <f>DATE(2026,IF(Tabla1[[#This Row],[Mes de Fecha]]="Septiembre",9,10),Tabla1[[#This Row],[Día de Fecha]])</f>
        <v>46297</v>
      </c>
      <c r="G9354">
        <v>1005060348</v>
      </c>
      <c r="H9354" t="s">
        <v>112</v>
      </c>
      <c r="I9354">
        <v>32</v>
      </c>
      <c r="J9354">
        <v>0</v>
      </c>
      <c r="K9354" s="1">
        <v>1670844</v>
      </c>
    </row>
    <row r="9355" spans="1:11" x14ac:dyDescent="0.25">
      <c r="A9355" t="s">
        <v>9</v>
      </c>
      <c r="B9355" t="s">
        <v>111</v>
      </c>
      <c r="C9355" t="s">
        <v>875</v>
      </c>
      <c r="D9355" t="s">
        <v>14</v>
      </c>
      <c r="E9355">
        <v>2</v>
      </c>
      <c r="F9355" s="2">
        <f>DATE(2026,IF(Tabla1[[#This Row],[Mes de Fecha]]="Septiembre",9,10),Tabla1[[#This Row],[Día de Fecha]])</f>
        <v>46297</v>
      </c>
      <c r="G9355">
        <v>1093433285</v>
      </c>
      <c r="H9355" t="s">
        <v>96</v>
      </c>
      <c r="I9355">
        <v>35</v>
      </c>
      <c r="J9355">
        <v>0</v>
      </c>
      <c r="K9355" s="1">
        <v>2414496</v>
      </c>
    </row>
    <row r="9356" spans="1:11" x14ac:dyDescent="0.25">
      <c r="A9356" t="s">
        <v>9</v>
      </c>
      <c r="B9356" t="s">
        <v>111</v>
      </c>
      <c r="C9356" t="s">
        <v>875</v>
      </c>
      <c r="D9356" t="s">
        <v>14</v>
      </c>
      <c r="E9356">
        <v>2</v>
      </c>
      <c r="F9356" s="2">
        <f>DATE(2026,IF(Tabla1[[#This Row],[Mes de Fecha]]="Septiembre",9,10),Tabla1[[#This Row],[Día de Fecha]])</f>
        <v>46297</v>
      </c>
      <c r="G9356">
        <v>1094277871</v>
      </c>
      <c r="H9356" t="s">
        <v>113</v>
      </c>
      <c r="I9356">
        <v>48</v>
      </c>
      <c r="J9356">
        <v>0</v>
      </c>
      <c r="K9356" s="1">
        <v>3016814</v>
      </c>
    </row>
    <row r="9357" spans="1:11" x14ac:dyDescent="0.25">
      <c r="A9357" t="s">
        <v>9</v>
      </c>
      <c r="B9357" t="s">
        <v>111</v>
      </c>
      <c r="C9357" t="s">
        <v>875</v>
      </c>
      <c r="D9357" t="s">
        <v>14</v>
      </c>
      <c r="E9357">
        <v>3</v>
      </c>
      <c r="F9357" s="2">
        <f>DATE(2026,IF(Tabla1[[#This Row],[Mes de Fecha]]="Septiembre",9,10),Tabla1[[#This Row],[Día de Fecha]])</f>
        <v>46298</v>
      </c>
      <c r="I9357">
        <v>0</v>
      </c>
      <c r="J9357" s="1">
        <v>15724476</v>
      </c>
      <c r="K9357">
        <v>0</v>
      </c>
    </row>
    <row r="9358" spans="1:11" x14ac:dyDescent="0.25">
      <c r="A9358" t="s">
        <v>9</v>
      </c>
      <c r="B9358" t="s">
        <v>111</v>
      </c>
      <c r="C9358" t="s">
        <v>875</v>
      </c>
      <c r="D9358" t="s">
        <v>14</v>
      </c>
      <c r="E9358">
        <v>3</v>
      </c>
      <c r="F9358" s="2">
        <f>DATE(2026,IF(Tabla1[[#This Row],[Mes de Fecha]]="Septiembre",9,10),Tabla1[[#This Row],[Día de Fecha]])</f>
        <v>46298</v>
      </c>
      <c r="G9358">
        <v>1005060348</v>
      </c>
      <c r="H9358" t="s">
        <v>112</v>
      </c>
      <c r="I9358">
        <v>40</v>
      </c>
      <c r="J9358">
        <v>0</v>
      </c>
      <c r="K9358" s="1">
        <v>2233255</v>
      </c>
    </row>
    <row r="9359" spans="1:11" x14ac:dyDescent="0.25">
      <c r="A9359" t="s">
        <v>9</v>
      </c>
      <c r="B9359" t="s">
        <v>111</v>
      </c>
      <c r="C9359" t="s">
        <v>875</v>
      </c>
      <c r="D9359" t="s">
        <v>14</v>
      </c>
      <c r="E9359">
        <v>3</v>
      </c>
      <c r="F9359" s="2">
        <f>DATE(2026,IF(Tabla1[[#This Row],[Mes de Fecha]]="Septiembre",9,10),Tabla1[[#This Row],[Día de Fecha]])</f>
        <v>46298</v>
      </c>
      <c r="G9359">
        <v>1093433285</v>
      </c>
      <c r="H9359" t="s">
        <v>96</v>
      </c>
      <c r="I9359">
        <v>55</v>
      </c>
      <c r="J9359">
        <v>0</v>
      </c>
      <c r="K9359" s="1">
        <v>2882784</v>
      </c>
    </row>
    <row r="9360" spans="1:11" x14ac:dyDescent="0.25">
      <c r="A9360" t="s">
        <v>9</v>
      </c>
      <c r="B9360" t="s">
        <v>111</v>
      </c>
      <c r="C9360" t="s">
        <v>875</v>
      </c>
      <c r="D9360" t="s">
        <v>14</v>
      </c>
      <c r="E9360">
        <v>3</v>
      </c>
      <c r="F9360" s="2">
        <f>DATE(2026,IF(Tabla1[[#This Row],[Mes de Fecha]]="Septiembre",9,10),Tabla1[[#This Row],[Día de Fecha]])</f>
        <v>46298</v>
      </c>
      <c r="G9360">
        <v>1094277871</v>
      </c>
      <c r="H9360" t="s">
        <v>113</v>
      </c>
      <c r="I9360">
        <v>67</v>
      </c>
      <c r="J9360">
        <v>0</v>
      </c>
      <c r="K9360" s="1">
        <v>3988416</v>
      </c>
    </row>
    <row r="9361" spans="1:11" x14ac:dyDescent="0.25">
      <c r="A9361" t="s">
        <v>9</v>
      </c>
      <c r="B9361" t="s">
        <v>111</v>
      </c>
      <c r="C9361" t="s">
        <v>875</v>
      </c>
      <c r="D9361" t="s">
        <v>14</v>
      </c>
      <c r="E9361">
        <v>4</v>
      </c>
      <c r="F9361" s="2">
        <f>DATE(2026,IF(Tabla1[[#This Row],[Mes de Fecha]]="Septiembre",9,10),Tabla1[[#This Row],[Día de Fecha]])</f>
        <v>46299</v>
      </c>
      <c r="I9361">
        <v>0</v>
      </c>
      <c r="J9361" s="1">
        <v>14026780</v>
      </c>
      <c r="K9361">
        <v>0</v>
      </c>
    </row>
    <row r="9362" spans="1:11" x14ac:dyDescent="0.25">
      <c r="A9362" t="s">
        <v>9</v>
      </c>
      <c r="B9362" t="s">
        <v>111</v>
      </c>
      <c r="C9362" t="s">
        <v>875</v>
      </c>
      <c r="D9362" t="s">
        <v>14</v>
      </c>
      <c r="E9362">
        <v>4</v>
      </c>
      <c r="F9362" s="2">
        <f>DATE(2026,IF(Tabla1[[#This Row],[Mes de Fecha]]="Septiembre",9,10),Tabla1[[#This Row],[Día de Fecha]])</f>
        <v>46299</v>
      </c>
      <c r="G9362">
        <v>1005060348</v>
      </c>
      <c r="H9362" t="s">
        <v>112</v>
      </c>
      <c r="I9362">
        <v>51</v>
      </c>
      <c r="J9362">
        <v>0</v>
      </c>
      <c r="K9362" s="1">
        <v>2465786</v>
      </c>
    </row>
    <row r="9363" spans="1:11" x14ac:dyDescent="0.25">
      <c r="A9363" t="s">
        <v>9</v>
      </c>
      <c r="B9363" t="s">
        <v>111</v>
      </c>
      <c r="C9363" t="s">
        <v>875</v>
      </c>
      <c r="D9363" t="s">
        <v>14</v>
      </c>
      <c r="E9363">
        <v>4</v>
      </c>
      <c r="F9363" s="2">
        <f>DATE(2026,IF(Tabla1[[#This Row],[Mes de Fecha]]="Septiembre",9,10),Tabla1[[#This Row],[Día de Fecha]])</f>
        <v>46299</v>
      </c>
      <c r="G9363">
        <v>1093433285</v>
      </c>
      <c r="H9363" t="s">
        <v>96</v>
      </c>
      <c r="I9363">
        <v>29</v>
      </c>
      <c r="J9363">
        <v>0</v>
      </c>
      <c r="K9363" s="1">
        <v>1781992</v>
      </c>
    </row>
    <row r="9364" spans="1:11" x14ac:dyDescent="0.25">
      <c r="A9364" t="s">
        <v>9</v>
      </c>
      <c r="B9364" t="s">
        <v>111</v>
      </c>
      <c r="C9364" t="s">
        <v>875</v>
      </c>
      <c r="D9364" t="s">
        <v>14</v>
      </c>
      <c r="E9364">
        <v>4</v>
      </c>
      <c r="F9364" s="2">
        <f>DATE(2026,IF(Tabla1[[#This Row],[Mes de Fecha]]="Septiembre",9,10),Tabla1[[#This Row],[Día de Fecha]])</f>
        <v>46299</v>
      </c>
      <c r="G9364">
        <v>1094277871</v>
      </c>
      <c r="H9364" t="s">
        <v>113</v>
      </c>
      <c r="I9364">
        <v>40</v>
      </c>
      <c r="J9364">
        <v>0</v>
      </c>
      <c r="K9364" s="1">
        <v>2573984</v>
      </c>
    </row>
    <row r="9365" spans="1:11" x14ac:dyDescent="0.25">
      <c r="A9365" t="s">
        <v>9</v>
      </c>
      <c r="B9365" t="s">
        <v>111</v>
      </c>
      <c r="C9365" t="s">
        <v>875</v>
      </c>
      <c r="D9365" t="s">
        <v>14</v>
      </c>
      <c r="E9365">
        <v>5</v>
      </c>
      <c r="F9365" s="2">
        <f>DATE(2026,IF(Tabla1[[#This Row],[Mes de Fecha]]="Septiembre",9,10),Tabla1[[#This Row],[Día de Fecha]])</f>
        <v>46300</v>
      </c>
      <c r="I9365">
        <v>0</v>
      </c>
      <c r="J9365" s="1">
        <v>10240433</v>
      </c>
      <c r="K9365">
        <v>0</v>
      </c>
    </row>
    <row r="9366" spans="1:11" x14ac:dyDescent="0.25">
      <c r="A9366" t="s">
        <v>9</v>
      </c>
      <c r="B9366" t="s">
        <v>111</v>
      </c>
      <c r="C9366" t="s">
        <v>875</v>
      </c>
      <c r="D9366" t="s">
        <v>14</v>
      </c>
      <c r="E9366">
        <v>5</v>
      </c>
      <c r="F9366" s="2">
        <f>DATE(2026,IF(Tabla1[[#This Row],[Mes de Fecha]]="Septiembre",9,10),Tabla1[[#This Row],[Día de Fecha]])</f>
        <v>46300</v>
      </c>
      <c r="G9366">
        <v>1005060348</v>
      </c>
      <c r="H9366" t="s">
        <v>112</v>
      </c>
      <c r="I9366">
        <v>107</v>
      </c>
      <c r="J9366">
        <v>0</v>
      </c>
      <c r="K9366" s="1">
        <v>5101811</v>
      </c>
    </row>
    <row r="9367" spans="1:11" x14ac:dyDescent="0.25">
      <c r="A9367" t="s">
        <v>9</v>
      </c>
      <c r="B9367" t="s">
        <v>111</v>
      </c>
      <c r="C9367" t="s">
        <v>875</v>
      </c>
      <c r="D9367" t="s">
        <v>14</v>
      </c>
      <c r="E9367">
        <v>5</v>
      </c>
      <c r="F9367" s="2">
        <f>DATE(2026,IF(Tabla1[[#This Row],[Mes de Fecha]]="Septiembre",9,10),Tabla1[[#This Row],[Día de Fecha]])</f>
        <v>46300</v>
      </c>
      <c r="G9367">
        <v>1093433285</v>
      </c>
      <c r="H9367" t="s">
        <v>96</v>
      </c>
      <c r="I9367">
        <v>22</v>
      </c>
      <c r="J9367">
        <v>0</v>
      </c>
      <c r="K9367" s="1">
        <v>1096639</v>
      </c>
    </row>
    <row r="9368" spans="1:11" x14ac:dyDescent="0.25">
      <c r="A9368" t="s">
        <v>9</v>
      </c>
      <c r="B9368" t="s">
        <v>111</v>
      </c>
      <c r="C9368" t="s">
        <v>875</v>
      </c>
      <c r="D9368" t="s">
        <v>14</v>
      </c>
      <c r="E9368">
        <v>5</v>
      </c>
      <c r="F9368" s="2">
        <f>DATE(2026,IF(Tabla1[[#This Row],[Mes de Fecha]]="Septiembre",9,10),Tabla1[[#This Row],[Día de Fecha]])</f>
        <v>46300</v>
      </c>
      <c r="G9368">
        <v>1094277871</v>
      </c>
      <c r="H9368" t="s">
        <v>113</v>
      </c>
      <c r="I9368">
        <v>93</v>
      </c>
      <c r="J9368">
        <v>0</v>
      </c>
      <c r="K9368" s="1">
        <v>4498876</v>
      </c>
    </row>
    <row r="9369" spans="1:11" x14ac:dyDescent="0.25">
      <c r="A9369" t="s">
        <v>9</v>
      </c>
      <c r="B9369" t="s">
        <v>111</v>
      </c>
      <c r="C9369" t="s">
        <v>875</v>
      </c>
      <c r="D9369" t="s">
        <v>14</v>
      </c>
      <c r="E9369">
        <v>6</v>
      </c>
      <c r="F9369" s="2">
        <f>DATE(2026,IF(Tabla1[[#This Row],[Mes de Fecha]]="Septiembre",9,10),Tabla1[[#This Row],[Día de Fecha]])</f>
        <v>46301</v>
      </c>
      <c r="I9369">
        <v>0</v>
      </c>
      <c r="J9369" s="1">
        <v>6705371</v>
      </c>
      <c r="K9369">
        <v>0</v>
      </c>
    </row>
    <row r="9370" spans="1:11" x14ac:dyDescent="0.25">
      <c r="A9370" t="s">
        <v>9</v>
      </c>
      <c r="B9370" t="s">
        <v>111</v>
      </c>
      <c r="C9370" t="s">
        <v>875</v>
      </c>
      <c r="D9370" t="s">
        <v>14</v>
      </c>
      <c r="E9370">
        <v>6</v>
      </c>
      <c r="F9370" s="2">
        <f>DATE(2026,IF(Tabla1[[#This Row],[Mes de Fecha]]="Septiembre",9,10),Tabla1[[#This Row],[Día de Fecha]])</f>
        <v>46301</v>
      </c>
      <c r="G9370">
        <v>1005060348</v>
      </c>
      <c r="H9370" t="s">
        <v>112</v>
      </c>
      <c r="I9370">
        <v>53</v>
      </c>
      <c r="J9370">
        <v>0</v>
      </c>
      <c r="K9370" s="1">
        <v>3468540</v>
      </c>
    </row>
    <row r="9371" spans="1:11" x14ac:dyDescent="0.25">
      <c r="A9371" t="s">
        <v>9</v>
      </c>
      <c r="B9371" t="s">
        <v>111</v>
      </c>
      <c r="C9371" t="s">
        <v>875</v>
      </c>
      <c r="D9371" t="s">
        <v>14</v>
      </c>
      <c r="E9371">
        <v>6</v>
      </c>
      <c r="F9371" s="2">
        <f>DATE(2026,IF(Tabla1[[#This Row],[Mes de Fecha]]="Septiembre",9,10),Tabla1[[#This Row],[Día de Fecha]])</f>
        <v>46301</v>
      </c>
      <c r="G9371">
        <v>1093433285</v>
      </c>
      <c r="H9371" t="s">
        <v>96</v>
      </c>
      <c r="I9371">
        <v>40</v>
      </c>
      <c r="J9371">
        <v>0</v>
      </c>
      <c r="K9371" s="1">
        <v>2031763</v>
      </c>
    </row>
    <row r="9372" spans="1:11" x14ac:dyDescent="0.25">
      <c r="A9372" t="s">
        <v>9</v>
      </c>
      <c r="B9372" t="s">
        <v>111</v>
      </c>
      <c r="C9372" t="s">
        <v>875</v>
      </c>
      <c r="D9372" t="s">
        <v>14</v>
      </c>
      <c r="E9372">
        <v>6</v>
      </c>
      <c r="F9372" s="2">
        <f>DATE(2026,IF(Tabla1[[#This Row],[Mes de Fecha]]="Septiembre",9,10),Tabla1[[#This Row],[Día de Fecha]])</f>
        <v>46301</v>
      </c>
      <c r="G9372">
        <v>1094277871</v>
      </c>
      <c r="H9372" t="s">
        <v>113</v>
      </c>
      <c r="I9372">
        <v>47</v>
      </c>
      <c r="J9372">
        <v>0</v>
      </c>
      <c r="K9372" s="1">
        <v>2353752</v>
      </c>
    </row>
    <row r="9373" spans="1:11" x14ac:dyDescent="0.25">
      <c r="A9373" t="s">
        <v>9</v>
      </c>
      <c r="B9373" t="s">
        <v>111</v>
      </c>
      <c r="C9373" t="s">
        <v>875</v>
      </c>
      <c r="D9373" t="s">
        <v>14</v>
      </c>
      <c r="E9373">
        <v>7</v>
      </c>
      <c r="F9373" s="2">
        <f>DATE(2026,IF(Tabla1[[#This Row],[Mes de Fecha]]="Septiembre",9,10),Tabla1[[#This Row],[Día de Fecha]])</f>
        <v>46302</v>
      </c>
      <c r="I9373">
        <v>0</v>
      </c>
      <c r="J9373" s="1">
        <v>1034338</v>
      </c>
      <c r="K9373">
        <v>0</v>
      </c>
    </row>
    <row r="9374" spans="1:11" x14ac:dyDescent="0.25">
      <c r="A9374" t="s">
        <v>9</v>
      </c>
      <c r="B9374" t="s">
        <v>111</v>
      </c>
      <c r="C9374" t="s">
        <v>875</v>
      </c>
      <c r="D9374" t="s">
        <v>14</v>
      </c>
      <c r="E9374">
        <v>7</v>
      </c>
      <c r="F9374" s="2">
        <f>DATE(2026,IF(Tabla1[[#This Row],[Mes de Fecha]]="Septiembre",9,10),Tabla1[[#This Row],[Día de Fecha]])</f>
        <v>46302</v>
      </c>
      <c r="G9374">
        <v>1005060348</v>
      </c>
      <c r="H9374" t="s">
        <v>112</v>
      </c>
      <c r="I9374">
        <v>32</v>
      </c>
      <c r="J9374">
        <v>0</v>
      </c>
      <c r="K9374" s="1">
        <v>1586554</v>
      </c>
    </row>
    <row r="9375" spans="1:11" x14ac:dyDescent="0.25">
      <c r="A9375" t="s">
        <v>9</v>
      </c>
      <c r="B9375" t="s">
        <v>111</v>
      </c>
      <c r="C9375" t="s">
        <v>875</v>
      </c>
      <c r="D9375" t="s">
        <v>14</v>
      </c>
      <c r="E9375">
        <v>7</v>
      </c>
      <c r="F9375" s="2">
        <f>DATE(2026,IF(Tabla1[[#This Row],[Mes de Fecha]]="Septiembre",9,10),Tabla1[[#This Row],[Día de Fecha]])</f>
        <v>46302</v>
      </c>
      <c r="G9375">
        <v>1093433285</v>
      </c>
      <c r="H9375" t="s">
        <v>96</v>
      </c>
      <c r="I9375">
        <v>23</v>
      </c>
      <c r="J9375">
        <v>0</v>
      </c>
      <c r="K9375" s="1">
        <v>1366556</v>
      </c>
    </row>
    <row r="9376" spans="1:11" x14ac:dyDescent="0.25">
      <c r="A9376" t="s">
        <v>9</v>
      </c>
      <c r="B9376" t="s">
        <v>111</v>
      </c>
      <c r="C9376" t="s">
        <v>875</v>
      </c>
      <c r="D9376" t="s">
        <v>14</v>
      </c>
      <c r="E9376">
        <v>7</v>
      </c>
      <c r="F9376" s="2">
        <f>DATE(2026,IF(Tabla1[[#This Row],[Mes de Fecha]]="Septiembre",9,10),Tabla1[[#This Row],[Día de Fecha]])</f>
        <v>46302</v>
      </c>
      <c r="G9376">
        <v>1094277871</v>
      </c>
      <c r="H9376" t="s">
        <v>113</v>
      </c>
      <c r="I9376">
        <v>33</v>
      </c>
      <c r="J9376">
        <v>0</v>
      </c>
      <c r="K9376" s="1">
        <v>1462564</v>
      </c>
    </row>
    <row r="9377" spans="1:11" x14ac:dyDescent="0.25">
      <c r="A9377" t="s">
        <v>9</v>
      </c>
      <c r="B9377" t="s">
        <v>153</v>
      </c>
      <c r="C9377" t="s">
        <v>875</v>
      </c>
      <c r="D9377" t="s">
        <v>11</v>
      </c>
      <c r="E9377">
        <v>23</v>
      </c>
      <c r="F9377" s="2">
        <f>DATE(2026,IF(Tabla1[[#This Row],[Mes de Fecha]]="Septiembre",9,10),Tabla1[[#This Row],[Día de Fecha]])</f>
        <v>46288</v>
      </c>
      <c r="I9377">
        <v>0</v>
      </c>
      <c r="J9377" s="1">
        <v>2183656</v>
      </c>
      <c r="K9377">
        <v>0</v>
      </c>
    </row>
    <row r="9378" spans="1:11" x14ac:dyDescent="0.25">
      <c r="A9378" t="s">
        <v>9</v>
      </c>
      <c r="B9378" t="s">
        <v>153</v>
      </c>
      <c r="C9378" t="s">
        <v>875</v>
      </c>
      <c r="D9378" t="s">
        <v>11</v>
      </c>
      <c r="E9378">
        <v>23</v>
      </c>
      <c r="F9378" s="2">
        <f>DATE(2026,IF(Tabla1[[#This Row],[Mes de Fecha]]="Septiembre",9,10),Tabla1[[#This Row],[Día de Fecha]])</f>
        <v>46288</v>
      </c>
      <c r="G9378">
        <v>1099323107</v>
      </c>
      <c r="H9378" t="s">
        <v>154</v>
      </c>
      <c r="I9378">
        <v>47</v>
      </c>
      <c r="J9378">
        <v>0</v>
      </c>
      <c r="K9378" s="1">
        <v>2577857</v>
      </c>
    </row>
    <row r="9379" spans="1:11" x14ac:dyDescent="0.25">
      <c r="A9379" t="s">
        <v>9</v>
      </c>
      <c r="B9379" t="s">
        <v>153</v>
      </c>
      <c r="C9379" t="s">
        <v>875</v>
      </c>
      <c r="D9379" t="s">
        <v>11</v>
      </c>
      <c r="E9379">
        <v>23</v>
      </c>
      <c r="F9379" s="2">
        <f>DATE(2026,IF(Tabla1[[#This Row],[Mes de Fecha]]="Septiembre",9,10),Tabla1[[#This Row],[Día de Fecha]])</f>
        <v>46288</v>
      </c>
      <c r="G9379">
        <v>1120558817</v>
      </c>
      <c r="H9379" t="s">
        <v>155</v>
      </c>
      <c r="I9379">
        <v>29</v>
      </c>
      <c r="J9379">
        <v>0</v>
      </c>
      <c r="K9379" s="1">
        <v>1689959</v>
      </c>
    </row>
    <row r="9380" spans="1:11" x14ac:dyDescent="0.25">
      <c r="A9380" t="s">
        <v>9</v>
      </c>
      <c r="B9380" t="s">
        <v>153</v>
      </c>
      <c r="C9380" t="s">
        <v>875</v>
      </c>
      <c r="D9380" t="s">
        <v>11</v>
      </c>
      <c r="E9380">
        <v>24</v>
      </c>
      <c r="F9380" s="2">
        <f>DATE(2026,IF(Tabla1[[#This Row],[Mes de Fecha]]="Septiembre",9,10),Tabla1[[#This Row],[Día de Fecha]])</f>
        <v>46289</v>
      </c>
      <c r="I9380">
        <v>0</v>
      </c>
      <c r="J9380" s="1">
        <v>5647357</v>
      </c>
      <c r="K9380">
        <v>0</v>
      </c>
    </row>
    <row r="9381" spans="1:11" x14ac:dyDescent="0.25">
      <c r="A9381" t="s">
        <v>9</v>
      </c>
      <c r="B9381" t="s">
        <v>153</v>
      </c>
      <c r="C9381" t="s">
        <v>875</v>
      </c>
      <c r="D9381" t="s">
        <v>11</v>
      </c>
      <c r="E9381">
        <v>24</v>
      </c>
      <c r="F9381" s="2">
        <f>DATE(2026,IF(Tabla1[[#This Row],[Mes de Fecha]]="Septiembre",9,10),Tabla1[[#This Row],[Día de Fecha]])</f>
        <v>46289</v>
      </c>
      <c r="G9381">
        <v>1099323107</v>
      </c>
      <c r="H9381" t="s">
        <v>154</v>
      </c>
      <c r="I9381">
        <v>47</v>
      </c>
      <c r="J9381">
        <v>0</v>
      </c>
      <c r="K9381" s="1">
        <v>2285841</v>
      </c>
    </row>
    <row r="9382" spans="1:11" x14ac:dyDescent="0.25">
      <c r="A9382" t="s">
        <v>9</v>
      </c>
      <c r="B9382" t="s">
        <v>153</v>
      </c>
      <c r="C9382" t="s">
        <v>875</v>
      </c>
      <c r="D9382" t="s">
        <v>11</v>
      </c>
      <c r="E9382">
        <v>24</v>
      </c>
      <c r="F9382" s="2">
        <f>DATE(2026,IF(Tabla1[[#This Row],[Mes de Fecha]]="Septiembre",9,10),Tabla1[[#This Row],[Día de Fecha]])</f>
        <v>46289</v>
      </c>
      <c r="G9382">
        <v>1120558817</v>
      </c>
      <c r="H9382" t="s">
        <v>155</v>
      </c>
      <c r="I9382">
        <v>41</v>
      </c>
      <c r="J9382">
        <v>0</v>
      </c>
      <c r="K9382" s="1">
        <v>2141136</v>
      </c>
    </row>
    <row r="9383" spans="1:11" x14ac:dyDescent="0.25">
      <c r="A9383" t="s">
        <v>9</v>
      </c>
      <c r="B9383" t="s">
        <v>153</v>
      </c>
      <c r="C9383" t="s">
        <v>875</v>
      </c>
      <c r="D9383" t="s">
        <v>11</v>
      </c>
      <c r="E9383">
        <v>25</v>
      </c>
      <c r="F9383" s="2">
        <f>DATE(2026,IF(Tabla1[[#This Row],[Mes de Fecha]]="Septiembre",9,10),Tabla1[[#This Row],[Día de Fecha]])</f>
        <v>46290</v>
      </c>
      <c r="I9383">
        <v>0</v>
      </c>
      <c r="J9383" s="1">
        <v>6031684</v>
      </c>
      <c r="K9383">
        <v>0</v>
      </c>
    </row>
    <row r="9384" spans="1:11" x14ac:dyDescent="0.25">
      <c r="A9384" t="s">
        <v>9</v>
      </c>
      <c r="B9384" t="s">
        <v>153</v>
      </c>
      <c r="C9384" t="s">
        <v>875</v>
      </c>
      <c r="D9384" t="s">
        <v>11</v>
      </c>
      <c r="E9384">
        <v>25</v>
      </c>
      <c r="F9384" s="2">
        <f>DATE(2026,IF(Tabla1[[#This Row],[Mes de Fecha]]="Septiembre",9,10),Tabla1[[#This Row],[Día de Fecha]])</f>
        <v>46290</v>
      </c>
      <c r="G9384">
        <v>1099323107</v>
      </c>
      <c r="H9384" t="s">
        <v>154</v>
      </c>
      <c r="I9384">
        <v>29</v>
      </c>
      <c r="J9384">
        <v>0</v>
      </c>
      <c r="K9384" s="1">
        <v>1511389</v>
      </c>
    </row>
    <row r="9385" spans="1:11" x14ac:dyDescent="0.25">
      <c r="A9385" t="s">
        <v>9</v>
      </c>
      <c r="B9385" t="s">
        <v>153</v>
      </c>
      <c r="C9385" t="s">
        <v>875</v>
      </c>
      <c r="D9385" t="s">
        <v>11</v>
      </c>
      <c r="E9385">
        <v>25</v>
      </c>
      <c r="F9385" s="2">
        <f>DATE(2026,IF(Tabla1[[#This Row],[Mes de Fecha]]="Septiembre",9,10),Tabla1[[#This Row],[Día de Fecha]])</f>
        <v>46290</v>
      </c>
      <c r="G9385">
        <v>1120558817</v>
      </c>
      <c r="H9385" t="s">
        <v>155</v>
      </c>
      <c r="I9385">
        <v>49</v>
      </c>
      <c r="J9385">
        <v>0</v>
      </c>
      <c r="K9385" s="1">
        <v>2922312</v>
      </c>
    </row>
    <row r="9386" spans="1:11" x14ac:dyDescent="0.25">
      <c r="A9386" t="s">
        <v>9</v>
      </c>
      <c r="B9386" t="s">
        <v>153</v>
      </c>
      <c r="C9386" t="s">
        <v>875</v>
      </c>
      <c r="D9386" t="s">
        <v>11</v>
      </c>
      <c r="E9386">
        <v>26</v>
      </c>
      <c r="F9386" s="2">
        <f>DATE(2026,IF(Tabla1[[#This Row],[Mes de Fecha]]="Septiembre",9,10),Tabla1[[#This Row],[Día de Fecha]])</f>
        <v>46291</v>
      </c>
      <c r="I9386">
        <v>0</v>
      </c>
      <c r="J9386" s="1">
        <v>7605803</v>
      </c>
      <c r="K9386">
        <v>0</v>
      </c>
    </row>
    <row r="9387" spans="1:11" x14ac:dyDescent="0.25">
      <c r="A9387" t="s">
        <v>9</v>
      </c>
      <c r="B9387" t="s">
        <v>153</v>
      </c>
      <c r="C9387" t="s">
        <v>875</v>
      </c>
      <c r="D9387" t="s">
        <v>11</v>
      </c>
      <c r="E9387">
        <v>26</v>
      </c>
      <c r="F9387" s="2">
        <f>DATE(2026,IF(Tabla1[[#This Row],[Mes de Fecha]]="Septiembre",9,10),Tabla1[[#This Row],[Día de Fecha]])</f>
        <v>46291</v>
      </c>
      <c r="G9387">
        <v>1099323107</v>
      </c>
      <c r="H9387" t="s">
        <v>154</v>
      </c>
      <c r="I9387">
        <v>42</v>
      </c>
      <c r="J9387">
        <v>0</v>
      </c>
      <c r="K9387" s="1">
        <v>2233330</v>
      </c>
    </row>
    <row r="9388" spans="1:11" x14ac:dyDescent="0.25">
      <c r="A9388" t="s">
        <v>9</v>
      </c>
      <c r="B9388" t="s">
        <v>153</v>
      </c>
      <c r="C9388" t="s">
        <v>875</v>
      </c>
      <c r="D9388" t="s">
        <v>11</v>
      </c>
      <c r="E9388">
        <v>26</v>
      </c>
      <c r="F9388" s="2">
        <f>DATE(2026,IF(Tabla1[[#This Row],[Mes de Fecha]]="Septiembre",9,10),Tabla1[[#This Row],[Día de Fecha]])</f>
        <v>46291</v>
      </c>
      <c r="G9388">
        <v>1120558817</v>
      </c>
      <c r="H9388" t="s">
        <v>155</v>
      </c>
      <c r="I9388">
        <v>72</v>
      </c>
      <c r="J9388">
        <v>0</v>
      </c>
      <c r="K9388" s="1">
        <v>4020041</v>
      </c>
    </row>
    <row r="9389" spans="1:11" x14ac:dyDescent="0.25">
      <c r="A9389" t="s">
        <v>9</v>
      </c>
      <c r="B9389" t="s">
        <v>153</v>
      </c>
      <c r="C9389" t="s">
        <v>875</v>
      </c>
      <c r="D9389" t="s">
        <v>11</v>
      </c>
      <c r="E9389">
        <v>27</v>
      </c>
      <c r="F9389" s="2">
        <f>DATE(2026,IF(Tabla1[[#This Row],[Mes de Fecha]]="Septiembre",9,10),Tabla1[[#This Row],[Día de Fecha]])</f>
        <v>46292</v>
      </c>
      <c r="I9389">
        <v>0</v>
      </c>
      <c r="J9389" s="1">
        <v>4015791</v>
      </c>
      <c r="K9389">
        <v>0</v>
      </c>
    </row>
    <row r="9390" spans="1:11" x14ac:dyDescent="0.25">
      <c r="A9390" t="s">
        <v>9</v>
      </c>
      <c r="B9390" t="s">
        <v>153</v>
      </c>
      <c r="C9390" t="s">
        <v>875</v>
      </c>
      <c r="D9390" t="s">
        <v>11</v>
      </c>
      <c r="E9390">
        <v>27</v>
      </c>
      <c r="F9390" s="2">
        <f>DATE(2026,IF(Tabla1[[#This Row],[Mes de Fecha]]="Septiembre",9,10),Tabla1[[#This Row],[Día de Fecha]])</f>
        <v>46292</v>
      </c>
      <c r="G9390">
        <v>1099323107</v>
      </c>
      <c r="H9390" t="s">
        <v>154</v>
      </c>
      <c r="I9390">
        <v>60</v>
      </c>
      <c r="J9390">
        <v>0</v>
      </c>
      <c r="K9390" s="1">
        <v>3030966</v>
      </c>
    </row>
    <row r="9391" spans="1:11" x14ac:dyDescent="0.25">
      <c r="A9391" t="s">
        <v>9</v>
      </c>
      <c r="B9391" t="s">
        <v>153</v>
      </c>
      <c r="C9391" t="s">
        <v>875</v>
      </c>
      <c r="D9391" t="s">
        <v>11</v>
      </c>
      <c r="E9391">
        <v>28</v>
      </c>
      <c r="F9391" s="2">
        <f>DATE(2026,IF(Tabla1[[#This Row],[Mes de Fecha]]="Septiembre",9,10),Tabla1[[#This Row],[Día de Fecha]])</f>
        <v>46293</v>
      </c>
      <c r="I9391">
        <v>0</v>
      </c>
      <c r="J9391" s="1">
        <v>3292511</v>
      </c>
      <c r="K9391">
        <v>0</v>
      </c>
    </row>
    <row r="9392" spans="1:11" x14ac:dyDescent="0.25">
      <c r="A9392" t="s">
        <v>9</v>
      </c>
      <c r="B9392" t="s">
        <v>153</v>
      </c>
      <c r="C9392" t="s">
        <v>875</v>
      </c>
      <c r="D9392" t="s">
        <v>11</v>
      </c>
      <c r="E9392">
        <v>28</v>
      </c>
      <c r="F9392" s="2">
        <f>DATE(2026,IF(Tabla1[[#This Row],[Mes de Fecha]]="Septiembre",9,10),Tabla1[[#This Row],[Día de Fecha]])</f>
        <v>46293</v>
      </c>
      <c r="G9392">
        <v>1099323107</v>
      </c>
      <c r="H9392" t="s">
        <v>154</v>
      </c>
      <c r="I9392">
        <v>63</v>
      </c>
      <c r="J9392">
        <v>0</v>
      </c>
      <c r="K9392" s="1">
        <v>3297564</v>
      </c>
    </row>
    <row r="9393" spans="1:11" x14ac:dyDescent="0.25">
      <c r="A9393" t="s">
        <v>9</v>
      </c>
      <c r="B9393" t="s">
        <v>153</v>
      </c>
      <c r="C9393" t="s">
        <v>875</v>
      </c>
      <c r="D9393" t="s">
        <v>11</v>
      </c>
      <c r="E9393">
        <v>29</v>
      </c>
      <c r="F9393" s="2">
        <f>DATE(2026,IF(Tabla1[[#This Row],[Mes de Fecha]]="Septiembre",9,10),Tabla1[[#This Row],[Día de Fecha]])</f>
        <v>46294</v>
      </c>
      <c r="I9393">
        <v>0</v>
      </c>
      <c r="J9393" s="1">
        <v>3660300</v>
      </c>
      <c r="K9393">
        <v>0</v>
      </c>
    </row>
    <row r="9394" spans="1:11" x14ac:dyDescent="0.25">
      <c r="A9394" t="s">
        <v>9</v>
      </c>
      <c r="B9394" t="s">
        <v>153</v>
      </c>
      <c r="C9394" t="s">
        <v>875</v>
      </c>
      <c r="D9394" t="s">
        <v>11</v>
      </c>
      <c r="E9394">
        <v>29</v>
      </c>
      <c r="F9394" s="2">
        <f>DATE(2026,IF(Tabla1[[#This Row],[Mes de Fecha]]="Septiembre",9,10),Tabla1[[#This Row],[Día de Fecha]])</f>
        <v>46294</v>
      </c>
      <c r="G9394">
        <v>1099323107</v>
      </c>
      <c r="H9394" t="s">
        <v>154</v>
      </c>
      <c r="I9394">
        <v>58</v>
      </c>
      <c r="J9394">
        <v>0</v>
      </c>
      <c r="K9394" s="1">
        <v>3379625</v>
      </c>
    </row>
    <row r="9395" spans="1:11" x14ac:dyDescent="0.25">
      <c r="A9395" t="s">
        <v>9</v>
      </c>
      <c r="B9395" t="s">
        <v>153</v>
      </c>
      <c r="C9395" t="s">
        <v>875</v>
      </c>
      <c r="D9395" t="s">
        <v>11</v>
      </c>
      <c r="E9395">
        <v>30</v>
      </c>
      <c r="F9395" s="2">
        <f>DATE(2026,IF(Tabla1[[#This Row],[Mes de Fecha]]="Septiembre",9,10),Tabla1[[#This Row],[Día de Fecha]])</f>
        <v>46295</v>
      </c>
      <c r="I9395">
        <v>0</v>
      </c>
      <c r="J9395" s="1">
        <v>3876376</v>
      </c>
      <c r="K9395">
        <v>0</v>
      </c>
    </row>
    <row r="9396" spans="1:11" x14ac:dyDescent="0.25">
      <c r="A9396" t="s">
        <v>9</v>
      </c>
      <c r="B9396" t="s">
        <v>153</v>
      </c>
      <c r="C9396" t="s">
        <v>875</v>
      </c>
      <c r="D9396" t="s">
        <v>11</v>
      </c>
      <c r="E9396">
        <v>30</v>
      </c>
      <c r="F9396" s="2">
        <f>DATE(2026,IF(Tabla1[[#This Row],[Mes de Fecha]]="Septiembre",9,10),Tabla1[[#This Row],[Día de Fecha]])</f>
        <v>46295</v>
      </c>
      <c r="G9396">
        <v>1099323107</v>
      </c>
      <c r="H9396" t="s">
        <v>154</v>
      </c>
      <c r="I9396">
        <v>55</v>
      </c>
      <c r="J9396">
        <v>0</v>
      </c>
      <c r="K9396" s="1">
        <v>3045842</v>
      </c>
    </row>
    <row r="9397" spans="1:11" x14ac:dyDescent="0.25">
      <c r="A9397" t="s">
        <v>9</v>
      </c>
      <c r="B9397" t="s">
        <v>153</v>
      </c>
      <c r="C9397" t="s">
        <v>875</v>
      </c>
      <c r="D9397" t="s">
        <v>11</v>
      </c>
      <c r="E9397">
        <v>30</v>
      </c>
      <c r="F9397" s="2">
        <f>DATE(2026,IF(Tabla1[[#This Row],[Mes de Fecha]]="Septiembre",9,10),Tabla1[[#This Row],[Día de Fecha]])</f>
        <v>46295</v>
      </c>
      <c r="G9397">
        <v>1120558817</v>
      </c>
      <c r="H9397" t="s">
        <v>155</v>
      </c>
      <c r="I9397">
        <v>-3</v>
      </c>
      <c r="J9397">
        <v>0</v>
      </c>
      <c r="K9397" s="1">
        <v>-184748</v>
      </c>
    </row>
    <row r="9398" spans="1:11" x14ac:dyDescent="0.25">
      <c r="A9398" t="s">
        <v>9</v>
      </c>
      <c r="B9398" t="s">
        <v>153</v>
      </c>
      <c r="C9398" t="s">
        <v>875</v>
      </c>
      <c r="D9398" t="s">
        <v>14</v>
      </c>
      <c r="E9398">
        <v>1</v>
      </c>
      <c r="F9398" s="2">
        <f>DATE(2026,IF(Tabla1[[#This Row],[Mes de Fecha]]="Septiembre",9,10),Tabla1[[#This Row],[Día de Fecha]])</f>
        <v>46296</v>
      </c>
      <c r="I9398">
        <v>0</v>
      </c>
      <c r="J9398" s="1">
        <v>4689301</v>
      </c>
      <c r="K9398">
        <v>0</v>
      </c>
    </row>
    <row r="9399" spans="1:11" x14ac:dyDescent="0.25">
      <c r="A9399" t="s">
        <v>9</v>
      </c>
      <c r="B9399" t="s">
        <v>153</v>
      </c>
      <c r="C9399" t="s">
        <v>875</v>
      </c>
      <c r="D9399" t="s">
        <v>14</v>
      </c>
      <c r="E9399">
        <v>1</v>
      </c>
      <c r="F9399" s="2">
        <f>DATE(2026,IF(Tabla1[[#This Row],[Mes de Fecha]]="Septiembre",9,10),Tabla1[[#This Row],[Día de Fecha]])</f>
        <v>46296</v>
      </c>
      <c r="G9399">
        <v>1099323107</v>
      </c>
      <c r="H9399" t="s">
        <v>154</v>
      </c>
      <c r="I9399">
        <v>75</v>
      </c>
      <c r="J9399">
        <v>0</v>
      </c>
      <c r="K9399" s="1">
        <v>4219158</v>
      </c>
    </row>
    <row r="9400" spans="1:11" x14ac:dyDescent="0.25">
      <c r="A9400" t="s">
        <v>9</v>
      </c>
      <c r="B9400" t="s">
        <v>153</v>
      </c>
      <c r="C9400" t="s">
        <v>875</v>
      </c>
      <c r="D9400" t="s">
        <v>14</v>
      </c>
      <c r="E9400">
        <v>2</v>
      </c>
      <c r="F9400" s="2">
        <f>DATE(2026,IF(Tabla1[[#This Row],[Mes de Fecha]]="Septiembre",9,10),Tabla1[[#This Row],[Día de Fecha]])</f>
        <v>46297</v>
      </c>
      <c r="I9400">
        <v>0</v>
      </c>
      <c r="J9400" s="1">
        <v>10220261</v>
      </c>
      <c r="K9400">
        <v>0</v>
      </c>
    </row>
    <row r="9401" spans="1:11" x14ac:dyDescent="0.25">
      <c r="A9401" t="s">
        <v>9</v>
      </c>
      <c r="B9401" t="s">
        <v>153</v>
      </c>
      <c r="C9401" t="s">
        <v>875</v>
      </c>
      <c r="D9401" t="s">
        <v>14</v>
      </c>
      <c r="E9401">
        <v>2</v>
      </c>
      <c r="F9401" s="2">
        <f>DATE(2026,IF(Tabla1[[#This Row],[Mes de Fecha]]="Septiembre",9,10),Tabla1[[#This Row],[Día de Fecha]])</f>
        <v>46297</v>
      </c>
      <c r="G9401">
        <v>1099323107</v>
      </c>
      <c r="H9401" t="s">
        <v>154</v>
      </c>
      <c r="I9401">
        <v>99</v>
      </c>
      <c r="J9401">
        <v>0</v>
      </c>
      <c r="K9401" s="1">
        <v>5714074</v>
      </c>
    </row>
    <row r="9402" spans="1:11" x14ac:dyDescent="0.25">
      <c r="A9402" t="s">
        <v>9</v>
      </c>
      <c r="B9402" t="s">
        <v>153</v>
      </c>
      <c r="C9402" t="s">
        <v>875</v>
      </c>
      <c r="D9402" t="s">
        <v>14</v>
      </c>
      <c r="E9402">
        <v>3</v>
      </c>
      <c r="F9402" s="2">
        <f>DATE(2026,IF(Tabla1[[#This Row],[Mes de Fecha]]="Septiembre",9,10),Tabla1[[#This Row],[Día de Fecha]])</f>
        <v>46298</v>
      </c>
      <c r="I9402">
        <v>0</v>
      </c>
      <c r="J9402" s="1">
        <v>9809349</v>
      </c>
      <c r="K9402">
        <v>0</v>
      </c>
    </row>
    <row r="9403" spans="1:11" x14ac:dyDescent="0.25">
      <c r="A9403" t="s">
        <v>9</v>
      </c>
      <c r="B9403" t="s">
        <v>153</v>
      </c>
      <c r="C9403" t="s">
        <v>875</v>
      </c>
      <c r="D9403" t="s">
        <v>14</v>
      </c>
      <c r="E9403">
        <v>3</v>
      </c>
      <c r="F9403" s="2">
        <f>DATE(2026,IF(Tabla1[[#This Row],[Mes de Fecha]]="Septiembre",9,10),Tabla1[[#This Row],[Día de Fecha]])</f>
        <v>46298</v>
      </c>
      <c r="G9403">
        <v>1099323107</v>
      </c>
      <c r="H9403" t="s">
        <v>154</v>
      </c>
      <c r="I9403">
        <v>114</v>
      </c>
      <c r="J9403">
        <v>0</v>
      </c>
      <c r="K9403" s="1">
        <v>5794752</v>
      </c>
    </row>
    <row r="9404" spans="1:11" x14ac:dyDescent="0.25">
      <c r="A9404" t="s">
        <v>9</v>
      </c>
      <c r="B9404" t="s">
        <v>153</v>
      </c>
      <c r="C9404" t="s">
        <v>875</v>
      </c>
      <c r="D9404" t="s">
        <v>14</v>
      </c>
      <c r="E9404">
        <v>4</v>
      </c>
      <c r="F9404" s="2">
        <f>DATE(2026,IF(Tabla1[[#This Row],[Mes de Fecha]]="Septiembre",9,10),Tabla1[[#This Row],[Día de Fecha]])</f>
        <v>46299</v>
      </c>
      <c r="I9404">
        <v>0</v>
      </c>
      <c r="J9404" s="1">
        <v>3554019</v>
      </c>
      <c r="K9404">
        <v>0</v>
      </c>
    </row>
    <row r="9405" spans="1:11" x14ac:dyDescent="0.25">
      <c r="A9405" t="s">
        <v>9</v>
      </c>
      <c r="B9405" t="s">
        <v>153</v>
      </c>
      <c r="C9405" t="s">
        <v>875</v>
      </c>
      <c r="D9405" t="s">
        <v>14</v>
      </c>
      <c r="E9405">
        <v>4</v>
      </c>
      <c r="F9405" s="2">
        <f>DATE(2026,IF(Tabla1[[#This Row],[Mes de Fecha]]="Septiembre",9,10),Tabla1[[#This Row],[Día de Fecha]])</f>
        <v>46299</v>
      </c>
      <c r="G9405">
        <v>1099323107</v>
      </c>
      <c r="H9405" t="s">
        <v>154</v>
      </c>
      <c r="I9405">
        <v>49</v>
      </c>
      <c r="J9405">
        <v>0</v>
      </c>
      <c r="K9405" s="1">
        <v>3240369</v>
      </c>
    </row>
    <row r="9406" spans="1:11" x14ac:dyDescent="0.25">
      <c r="A9406" t="s">
        <v>9</v>
      </c>
      <c r="B9406" t="s">
        <v>153</v>
      </c>
      <c r="C9406" t="s">
        <v>875</v>
      </c>
      <c r="D9406" t="s">
        <v>14</v>
      </c>
      <c r="E9406">
        <v>5</v>
      </c>
      <c r="F9406" s="2">
        <f>DATE(2026,IF(Tabla1[[#This Row],[Mes de Fecha]]="Septiembre",9,10),Tabla1[[#This Row],[Día de Fecha]])</f>
        <v>46300</v>
      </c>
      <c r="I9406">
        <v>0</v>
      </c>
      <c r="J9406" s="1">
        <v>6575720</v>
      </c>
      <c r="K9406">
        <v>0</v>
      </c>
    </row>
    <row r="9407" spans="1:11" x14ac:dyDescent="0.25">
      <c r="A9407" t="s">
        <v>9</v>
      </c>
      <c r="B9407" t="s">
        <v>153</v>
      </c>
      <c r="C9407" t="s">
        <v>875</v>
      </c>
      <c r="D9407" t="s">
        <v>14</v>
      </c>
      <c r="E9407">
        <v>5</v>
      </c>
      <c r="F9407" s="2">
        <f>DATE(2026,IF(Tabla1[[#This Row],[Mes de Fecha]]="Septiembre",9,10),Tabla1[[#This Row],[Día de Fecha]])</f>
        <v>46300</v>
      </c>
      <c r="G9407">
        <v>1099323107</v>
      </c>
      <c r="H9407" t="s">
        <v>154</v>
      </c>
      <c r="I9407">
        <v>52</v>
      </c>
      <c r="J9407">
        <v>0</v>
      </c>
      <c r="K9407" s="1">
        <v>3127943</v>
      </c>
    </row>
    <row r="9408" spans="1:11" x14ac:dyDescent="0.25">
      <c r="A9408" t="s">
        <v>9</v>
      </c>
      <c r="B9408" t="s">
        <v>153</v>
      </c>
      <c r="C9408" t="s">
        <v>875</v>
      </c>
      <c r="D9408" t="s">
        <v>14</v>
      </c>
      <c r="E9408">
        <v>6</v>
      </c>
      <c r="F9408" s="2">
        <f>DATE(2026,IF(Tabla1[[#This Row],[Mes de Fecha]]="Septiembre",9,10),Tabla1[[#This Row],[Día de Fecha]])</f>
        <v>46301</v>
      </c>
      <c r="I9408">
        <v>0</v>
      </c>
      <c r="J9408" s="1">
        <v>3616657</v>
      </c>
      <c r="K9408">
        <v>0</v>
      </c>
    </row>
    <row r="9409" spans="1:11" x14ac:dyDescent="0.25">
      <c r="A9409" t="s">
        <v>9</v>
      </c>
      <c r="B9409" t="s">
        <v>153</v>
      </c>
      <c r="C9409" t="s">
        <v>875</v>
      </c>
      <c r="D9409" t="s">
        <v>14</v>
      </c>
      <c r="E9409">
        <v>6</v>
      </c>
      <c r="F9409" s="2">
        <f>DATE(2026,IF(Tabla1[[#This Row],[Mes de Fecha]]="Septiembre",9,10),Tabla1[[#This Row],[Día de Fecha]])</f>
        <v>46301</v>
      </c>
      <c r="G9409">
        <v>1099323107</v>
      </c>
      <c r="H9409" t="s">
        <v>154</v>
      </c>
      <c r="I9409">
        <v>46</v>
      </c>
      <c r="J9409">
        <v>0</v>
      </c>
      <c r="K9409" s="1">
        <v>2500127</v>
      </c>
    </row>
    <row r="9410" spans="1:11" x14ac:dyDescent="0.25">
      <c r="A9410" t="s">
        <v>9</v>
      </c>
      <c r="B9410" t="s">
        <v>153</v>
      </c>
      <c r="C9410" t="s">
        <v>875</v>
      </c>
      <c r="D9410" t="s">
        <v>14</v>
      </c>
      <c r="E9410">
        <v>7</v>
      </c>
      <c r="F9410" s="2">
        <f>DATE(2026,IF(Tabla1[[#This Row],[Mes de Fecha]]="Septiembre",9,10),Tabla1[[#This Row],[Día de Fecha]])</f>
        <v>46302</v>
      </c>
      <c r="I9410">
        <v>0</v>
      </c>
      <c r="J9410" s="1">
        <v>1685795</v>
      </c>
      <c r="K9410">
        <v>0</v>
      </c>
    </row>
    <row r="9411" spans="1:11" x14ac:dyDescent="0.25">
      <c r="A9411" t="s">
        <v>9</v>
      </c>
      <c r="B9411" t="s">
        <v>153</v>
      </c>
      <c r="C9411" t="s">
        <v>875</v>
      </c>
      <c r="D9411" t="s">
        <v>14</v>
      </c>
      <c r="E9411">
        <v>7</v>
      </c>
      <c r="F9411" s="2">
        <f>DATE(2026,IF(Tabla1[[#This Row],[Mes de Fecha]]="Septiembre",9,10),Tabla1[[#This Row],[Día de Fecha]])</f>
        <v>46302</v>
      </c>
      <c r="G9411">
        <v>1099323107</v>
      </c>
      <c r="H9411" t="s">
        <v>154</v>
      </c>
      <c r="I9411">
        <v>72</v>
      </c>
      <c r="J9411">
        <v>0</v>
      </c>
      <c r="K9411" s="1">
        <v>4105800</v>
      </c>
    </row>
    <row r="9412" spans="1:11" x14ac:dyDescent="0.25">
      <c r="A9412" t="s">
        <v>9</v>
      </c>
      <c r="B9412" t="s">
        <v>212</v>
      </c>
      <c r="C9412" t="s">
        <v>875</v>
      </c>
      <c r="D9412" t="s">
        <v>11</v>
      </c>
      <c r="E9412">
        <v>23</v>
      </c>
      <c r="F9412" s="2">
        <f>DATE(2026,IF(Tabla1[[#This Row],[Mes de Fecha]]="Septiembre",9,10),Tabla1[[#This Row],[Día de Fecha]])</f>
        <v>46288</v>
      </c>
      <c r="I9412">
        <v>0</v>
      </c>
      <c r="J9412" s="1">
        <v>3740964</v>
      </c>
      <c r="K9412">
        <v>0</v>
      </c>
    </row>
    <row r="9413" spans="1:11" x14ac:dyDescent="0.25">
      <c r="A9413" t="s">
        <v>9</v>
      </c>
      <c r="B9413" t="s">
        <v>212</v>
      </c>
      <c r="C9413" t="s">
        <v>875</v>
      </c>
      <c r="D9413" t="s">
        <v>11</v>
      </c>
      <c r="E9413">
        <v>23</v>
      </c>
      <c r="F9413" s="2">
        <f>DATE(2026,IF(Tabla1[[#This Row],[Mes de Fecha]]="Septiembre",9,10),Tabla1[[#This Row],[Día de Fecha]])</f>
        <v>46288</v>
      </c>
      <c r="G9413">
        <v>37339994</v>
      </c>
      <c r="H9413" t="s">
        <v>213</v>
      </c>
      <c r="I9413">
        <v>92</v>
      </c>
      <c r="J9413">
        <v>0</v>
      </c>
      <c r="K9413" s="1">
        <v>4416307</v>
      </c>
    </row>
    <row r="9414" spans="1:11" x14ac:dyDescent="0.25">
      <c r="A9414" t="s">
        <v>9</v>
      </c>
      <c r="B9414" t="s">
        <v>212</v>
      </c>
      <c r="C9414" t="s">
        <v>875</v>
      </c>
      <c r="D9414" t="s">
        <v>11</v>
      </c>
      <c r="E9414">
        <v>23</v>
      </c>
      <c r="F9414" s="2">
        <f>DATE(2026,IF(Tabla1[[#This Row],[Mes de Fecha]]="Septiembre",9,10),Tabla1[[#This Row],[Día de Fecha]])</f>
        <v>46288</v>
      </c>
      <c r="G9414">
        <v>1092342906</v>
      </c>
      <c r="H9414" t="s">
        <v>214</v>
      </c>
      <c r="I9414">
        <v>76</v>
      </c>
      <c r="J9414">
        <v>0</v>
      </c>
      <c r="K9414" s="1">
        <v>4137565</v>
      </c>
    </row>
    <row r="9415" spans="1:11" x14ac:dyDescent="0.25">
      <c r="A9415" t="s">
        <v>9</v>
      </c>
      <c r="B9415" t="s">
        <v>212</v>
      </c>
      <c r="C9415" t="s">
        <v>875</v>
      </c>
      <c r="D9415" t="s">
        <v>11</v>
      </c>
      <c r="E9415">
        <v>24</v>
      </c>
      <c r="F9415" s="2">
        <f>DATE(2026,IF(Tabla1[[#This Row],[Mes de Fecha]]="Septiembre",9,10),Tabla1[[#This Row],[Día de Fecha]])</f>
        <v>46289</v>
      </c>
      <c r="I9415">
        <v>0</v>
      </c>
      <c r="J9415" s="1">
        <v>9674848</v>
      </c>
      <c r="K9415">
        <v>0</v>
      </c>
    </row>
    <row r="9416" spans="1:11" x14ac:dyDescent="0.25">
      <c r="A9416" t="s">
        <v>9</v>
      </c>
      <c r="B9416" t="s">
        <v>212</v>
      </c>
      <c r="C9416" t="s">
        <v>875</v>
      </c>
      <c r="D9416" t="s">
        <v>11</v>
      </c>
      <c r="E9416">
        <v>24</v>
      </c>
      <c r="F9416" s="2">
        <f>DATE(2026,IF(Tabla1[[#This Row],[Mes de Fecha]]="Septiembre",9,10),Tabla1[[#This Row],[Día de Fecha]])</f>
        <v>46289</v>
      </c>
      <c r="G9416">
        <v>37339994</v>
      </c>
      <c r="H9416" t="s">
        <v>213</v>
      </c>
      <c r="I9416">
        <v>169</v>
      </c>
      <c r="J9416">
        <v>0</v>
      </c>
      <c r="K9416" s="1">
        <v>8826944</v>
      </c>
    </row>
    <row r="9417" spans="1:11" x14ac:dyDescent="0.25">
      <c r="A9417" t="s">
        <v>9</v>
      </c>
      <c r="B9417" t="s">
        <v>212</v>
      </c>
      <c r="C9417" t="s">
        <v>875</v>
      </c>
      <c r="D9417" t="s">
        <v>11</v>
      </c>
      <c r="E9417">
        <v>25</v>
      </c>
      <c r="F9417" s="2">
        <f>DATE(2026,IF(Tabla1[[#This Row],[Mes de Fecha]]="Septiembre",9,10),Tabla1[[#This Row],[Día de Fecha]])</f>
        <v>46290</v>
      </c>
      <c r="I9417">
        <v>0</v>
      </c>
      <c r="J9417" s="1">
        <v>10333267</v>
      </c>
      <c r="K9417">
        <v>0</v>
      </c>
    </row>
    <row r="9418" spans="1:11" x14ac:dyDescent="0.25">
      <c r="A9418" t="s">
        <v>9</v>
      </c>
      <c r="B9418" t="s">
        <v>212</v>
      </c>
      <c r="C9418" t="s">
        <v>875</v>
      </c>
      <c r="D9418" t="s">
        <v>11</v>
      </c>
      <c r="E9418">
        <v>25</v>
      </c>
      <c r="F9418" s="2">
        <f>DATE(2026,IF(Tabla1[[#This Row],[Mes de Fecha]]="Septiembre",9,10),Tabla1[[#This Row],[Día de Fecha]])</f>
        <v>46290</v>
      </c>
      <c r="G9418">
        <v>37339994</v>
      </c>
      <c r="H9418" t="s">
        <v>213</v>
      </c>
      <c r="I9418">
        <v>92</v>
      </c>
      <c r="J9418">
        <v>0</v>
      </c>
      <c r="K9418" s="1">
        <v>4815469</v>
      </c>
    </row>
    <row r="9419" spans="1:11" x14ac:dyDescent="0.25">
      <c r="A9419" t="s">
        <v>9</v>
      </c>
      <c r="B9419" t="s">
        <v>212</v>
      </c>
      <c r="C9419" t="s">
        <v>875</v>
      </c>
      <c r="D9419" t="s">
        <v>11</v>
      </c>
      <c r="E9419">
        <v>25</v>
      </c>
      <c r="F9419" s="2">
        <f>DATE(2026,IF(Tabla1[[#This Row],[Mes de Fecha]]="Septiembre",9,10),Tabla1[[#This Row],[Día de Fecha]])</f>
        <v>46290</v>
      </c>
      <c r="G9419">
        <v>1092342906</v>
      </c>
      <c r="H9419" t="s">
        <v>214</v>
      </c>
      <c r="I9419">
        <v>76</v>
      </c>
      <c r="J9419">
        <v>0</v>
      </c>
      <c r="K9419" s="1">
        <v>4028329</v>
      </c>
    </row>
    <row r="9420" spans="1:11" x14ac:dyDescent="0.25">
      <c r="A9420" t="s">
        <v>9</v>
      </c>
      <c r="B9420" t="s">
        <v>212</v>
      </c>
      <c r="C9420" t="s">
        <v>875</v>
      </c>
      <c r="D9420" t="s">
        <v>11</v>
      </c>
      <c r="E9420">
        <v>26</v>
      </c>
      <c r="F9420" s="2">
        <f>DATE(2026,IF(Tabla1[[#This Row],[Mes de Fecha]]="Septiembre",9,10),Tabla1[[#This Row],[Día de Fecha]])</f>
        <v>46291</v>
      </c>
      <c r="I9420">
        <v>0</v>
      </c>
      <c r="J9420" s="1">
        <v>13029988</v>
      </c>
      <c r="K9420">
        <v>0</v>
      </c>
    </row>
    <row r="9421" spans="1:11" x14ac:dyDescent="0.25">
      <c r="A9421" t="s">
        <v>9</v>
      </c>
      <c r="B9421" t="s">
        <v>212</v>
      </c>
      <c r="C9421" t="s">
        <v>875</v>
      </c>
      <c r="D9421" t="s">
        <v>11</v>
      </c>
      <c r="E9421">
        <v>26</v>
      </c>
      <c r="F9421" s="2">
        <f>DATE(2026,IF(Tabla1[[#This Row],[Mes de Fecha]]="Septiembre",9,10),Tabla1[[#This Row],[Día de Fecha]])</f>
        <v>46291</v>
      </c>
      <c r="G9421">
        <v>37339994</v>
      </c>
      <c r="H9421" t="s">
        <v>213</v>
      </c>
      <c r="I9421">
        <v>140</v>
      </c>
      <c r="J9421">
        <v>0</v>
      </c>
      <c r="K9421" s="1">
        <v>7378585</v>
      </c>
    </row>
    <row r="9422" spans="1:11" x14ac:dyDescent="0.25">
      <c r="A9422" t="s">
        <v>9</v>
      </c>
      <c r="B9422" t="s">
        <v>212</v>
      </c>
      <c r="C9422" t="s">
        <v>875</v>
      </c>
      <c r="D9422" t="s">
        <v>11</v>
      </c>
      <c r="E9422">
        <v>26</v>
      </c>
      <c r="F9422" s="2">
        <f>DATE(2026,IF(Tabla1[[#This Row],[Mes de Fecha]]="Septiembre",9,10),Tabla1[[#This Row],[Día de Fecha]])</f>
        <v>46291</v>
      </c>
      <c r="G9422">
        <v>1092342906</v>
      </c>
      <c r="H9422" t="s">
        <v>214</v>
      </c>
      <c r="I9422">
        <v>133</v>
      </c>
      <c r="J9422">
        <v>0</v>
      </c>
      <c r="K9422" s="1">
        <v>6803251</v>
      </c>
    </row>
    <row r="9423" spans="1:11" x14ac:dyDescent="0.25">
      <c r="A9423" t="s">
        <v>9</v>
      </c>
      <c r="B9423" t="s">
        <v>212</v>
      </c>
      <c r="C9423" t="s">
        <v>875</v>
      </c>
      <c r="D9423" t="s">
        <v>11</v>
      </c>
      <c r="E9423">
        <v>27</v>
      </c>
      <c r="F9423" s="2">
        <f>DATE(2026,IF(Tabla1[[#This Row],[Mes de Fecha]]="Septiembre",9,10),Tabla1[[#This Row],[Día de Fecha]])</f>
        <v>46292</v>
      </c>
      <c r="I9423">
        <v>0</v>
      </c>
      <c r="J9423" s="1">
        <v>6879706</v>
      </c>
      <c r="K9423">
        <v>0</v>
      </c>
    </row>
    <row r="9424" spans="1:11" x14ac:dyDescent="0.25">
      <c r="A9424" t="s">
        <v>9</v>
      </c>
      <c r="B9424" t="s">
        <v>212</v>
      </c>
      <c r="C9424" t="s">
        <v>875</v>
      </c>
      <c r="D9424" t="s">
        <v>11</v>
      </c>
      <c r="E9424">
        <v>27</v>
      </c>
      <c r="F9424" s="2">
        <f>DATE(2026,IF(Tabla1[[#This Row],[Mes de Fecha]]="Septiembre",9,10),Tabla1[[#This Row],[Día de Fecha]])</f>
        <v>46292</v>
      </c>
      <c r="G9424">
        <v>37339994</v>
      </c>
      <c r="H9424" t="s">
        <v>213</v>
      </c>
      <c r="I9424">
        <v>39</v>
      </c>
      <c r="J9424">
        <v>0</v>
      </c>
      <c r="K9424" s="1">
        <v>2170633</v>
      </c>
    </row>
    <row r="9425" spans="1:11" x14ac:dyDescent="0.25">
      <c r="A9425" t="s">
        <v>9</v>
      </c>
      <c r="B9425" t="s">
        <v>212</v>
      </c>
      <c r="C9425" t="s">
        <v>875</v>
      </c>
      <c r="D9425" t="s">
        <v>11</v>
      </c>
      <c r="E9425">
        <v>27</v>
      </c>
      <c r="F9425" s="2">
        <f>DATE(2026,IF(Tabla1[[#This Row],[Mes de Fecha]]="Septiembre",9,10),Tabla1[[#This Row],[Día de Fecha]])</f>
        <v>46292</v>
      </c>
      <c r="G9425">
        <v>1092342906</v>
      </c>
      <c r="H9425" t="s">
        <v>214</v>
      </c>
      <c r="I9425">
        <v>53</v>
      </c>
      <c r="J9425">
        <v>0</v>
      </c>
      <c r="K9425" s="1">
        <v>2678449</v>
      </c>
    </row>
    <row r="9426" spans="1:11" x14ac:dyDescent="0.25">
      <c r="A9426" t="s">
        <v>9</v>
      </c>
      <c r="B9426" t="s">
        <v>212</v>
      </c>
      <c r="C9426" t="s">
        <v>875</v>
      </c>
      <c r="D9426" t="s">
        <v>11</v>
      </c>
      <c r="E9426">
        <v>28</v>
      </c>
      <c r="F9426" s="2">
        <f>DATE(2026,IF(Tabla1[[#This Row],[Mes de Fecha]]="Septiembre",9,10),Tabla1[[#This Row],[Día de Fecha]])</f>
        <v>46293</v>
      </c>
      <c r="I9426">
        <v>0</v>
      </c>
      <c r="J9426" s="1">
        <v>5640614</v>
      </c>
      <c r="K9426">
        <v>0</v>
      </c>
    </row>
    <row r="9427" spans="1:11" x14ac:dyDescent="0.25">
      <c r="A9427" t="s">
        <v>9</v>
      </c>
      <c r="B9427" t="s">
        <v>212</v>
      </c>
      <c r="C9427" t="s">
        <v>875</v>
      </c>
      <c r="D9427" t="s">
        <v>11</v>
      </c>
      <c r="E9427">
        <v>28</v>
      </c>
      <c r="F9427" s="2">
        <f>DATE(2026,IF(Tabla1[[#This Row],[Mes de Fecha]]="Septiembre",9,10),Tabla1[[#This Row],[Día de Fecha]])</f>
        <v>46293</v>
      </c>
      <c r="G9427">
        <v>37339994</v>
      </c>
      <c r="H9427" t="s">
        <v>213</v>
      </c>
      <c r="I9427">
        <v>85</v>
      </c>
      <c r="J9427">
        <v>0</v>
      </c>
      <c r="K9427" s="1">
        <v>4319836</v>
      </c>
    </row>
    <row r="9428" spans="1:11" x14ac:dyDescent="0.25">
      <c r="A9428" t="s">
        <v>9</v>
      </c>
      <c r="B9428" t="s">
        <v>212</v>
      </c>
      <c r="C9428" t="s">
        <v>875</v>
      </c>
      <c r="D9428" t="s">
        <v>11</v>
      </c>
      <c r="E9428">
        <v>28</v>
      </c>
      <c r="F9428" s="2">
        <f>DATE(2026,IF(Tabla1[[#This Row],[Mes de Fecha]]="Septiembre",9,10),Tabla1[[#This Row],[Día de Fecha]])</f>
        <v>46293</v>
      </c>
      <c r="G9428">
        <v>1092342906</v>
      </c>
      <c r="H9428" t="s">
        <v>214</v>
      </c>
      <c r="I9428">
        <v>33</v>
      </c>
      <c r="J9428">
        <v>0</v>
      </c>
      <c r="K9428" s="1">
        <v>1641431</v>
      </c>
    </row>
    <row r="9429" spans="1:11" x14ac:dyDescent="0.25">
      <c r="A9429" t="s">
        <v>9</v>
      </c>
      <c r="B9429" t="s">
        <v>212</v>
      </c>
      <c r="C9429" t="s">
        <v>875</v>
      </c>
      <c r="D9429" t="s">
        <v>11</v>
      </c>
      <c r="E9429">
        <v>29</v>
      </c>
      <c r="F9429" s="2">
        <f>DATE(2026,IF(Tabla1[[#This Row],[Mes de Fecha]]="Septiembre",9,10),Tabla1[[#This Row],[Día de Fecha]])</f>
        <v>46294</v>
      </c>
      <c r="I9429">
        <v>0</v>
      </c>
      <c r="J9429" s="1">
        <v>6270696</v>
      </c>
      <c r="K9429">
        <v>0</v>
      </c>
    </row>
    <row r="9430" spans="1:11" x14ac:dyDescent="0.25">
      <c r="A9430" t="s">
        <v>9</v>
      </c>
      <c r="B9430" t="s">
        <v>212</v>
      </c>
      <c r="C9430" t="s">
        <v>875</v>
      </c>
      <c r="D9430" t="s">
        <v>11</v>
      </c>
      <c r="E9430">
        <v>29</v>
      </c>
      <c r="F9430" s="2">
        <f>DATE(2026,IF(Tabla1[[#This Row],[Mes de Fecha]]="Septiembre",9,10),Tabla1[[#This Row],[Día de Fecha]])</f>
        <v>46294</v>
      </c>
      <c r="G9430">
        <v>37339994</v>
      </c>
      <c r="H9430" t="s">
        <v>213</v>
      </c>
      <c r="I9430">
        <v>63</v>
      </c>
      <c r="J9430">
        <v>0</v>
      </c>
      <c r="K9430" s="1">
        <v>3013909</v>
      </c>
    </row>
    <row r="9431" spans="1:11" x14ac:dyDescent="0.25">
      <c r="A9431" t="s">
        <v>9</v>
      </c>
      <c r="B9431" t="s">
        <v>212</v>
      </c>
      <c r="C9431" t="s">
        <v>875</v>
      </c>
      <c r="D9431" t="s">
        <v>11</v>
      </c>
      <c r="E9431">
        <v>29</v>
      </c>
      <c r="F9431" s="2">
        <f>DATE(2026,IF(Tabla1[[#This Row],[Mes de Fecha]]="Septiembre",9,10),Tabla1[[#This Row],[Día de Fecha]])</f>
        <v>46294</v>
      </c>
      <c r="G9431">
        <v>1092342906</v>
      </c>
      <c r="H9431" t="s">
        <v>214</v>
      </c>
      <c r="I9431">
        <v>56</v>
      </c>
      <c r="J9431">
        <v>0</v>
      </c>
      <c r="K9431" s="1">
        <v>2814671</v>
      </c>
    </row>
    <row r="9432" spans="1:11" x14ac:dyDescent="0.25">
      <c r="A9432" t="s">
        <v>9</v>
      </c>
      <c r="B9432" t="s">
        <v>212</v>
      </c>
      <c r="C9432" t="s">
        <v>875</v>
      </c>
      <c r="D9432" t="s">
        <v>11</v>
      </c>
      <c r="E9432">
        <v>30</v>
      </c>
      <c r="F9432" s="2">
        <f>DATE(2026,IF(Tabla1[[#This Row],[Mes de Fecha]]="Septiembre",9,10),Tabla1[[#This Row],[Día de Fecha]])</f>
        <v>46295</v>
      </c>
      <c r="I9432">
        <v>0</v>
      </c>
      <c r="J9432" s="1">
        <v>6640864</v>
      </c>
      <c r="K9432">
        <v>0</v>
      </c>
    </row>
    <row r="9433" spans="1:11" x14ac:dyDescent="0.25">
      <c r="A9433" t="s">
        <v>9</v>
      </c>
      <c r="B9433" t="s">
        <v>212</v>
      </c>
      <c r="C9433" t="s">
        <v>875</v>
      </c>
      <c r="D9433" t="s">
        <v>11</v>
      </c>
      <c r="E9433">
        <v>30</v>
      </c>
      <c r="F9433" s="2">
        <f>DATE(2026,IF(Tabla1[[#This Row],[Mes de Fecha]]="Septiembre",9,10),Tabla1[[#This Row],[Día de Fecha]])</f>
        <v>46295</v>
      </c>
      <c r="G9433">
        <v>37339994</v>
      </c>
      <c r="H9433" t="s">
        <v>213</v>
      </c>
      <c r="I9433">
        <v>55</v>
      </c>
      <c r="J9433">
        <v>0</v>
      </c>
      <c r="K9433" s="1">
        <v>2770761</v>
      </c>
    </row>
    <row r="9434" spans="1:11" x14ac:dyDescent="0.25">
      <c r="A9434" t="s">
        <v>9</v>
      </c>
      <c r="B9434" t="s">
        <v>212</v>
      </c>
      <c r="C9434" t="s">
        <v>875</v>
      </c>
      <c r="D9434" t="s">
        <v>11</v>
      </c>
      <c r="E9434">
        <v>30</v>
      </c>
      <c r="F9434" s="2">
        <f>DATE(2026,IF(Tabla1[[#This Row],[Mes de Fecha]]="Septiembre",9,10),Tabla1[[#This Row],[Día de Fecha]])</f>
        <v>46295</v>
      </c>
      <c r="G9434">
        <v>1092342906</v>
      </c>
      <c r="H9434" t="s">
        <v>214</v>
      </c>
      <c r="I9434">
        <v>72</v>
      </c>
      <c r="J9434">
        <v>0</v>
      </c>
      <c r="K9434" s="1">
        <v>3574333</v>
      </c>
    </row>
    <row r="9435" spans="1:11" x14ac:dyDescent="0.25">
      <c r="A9435" t="s">
        <v>9</v>
      </c>
      <c r="B9435" t="s">
        <v>212</v>
      </c>
      <c r="C9435" t="s">
        <v>875</v>
      </c>
      <c r="D9435" t="s">
        <v>14</v>
      </c>
      <c r="E9435">
        <v>1</v>
      </c>
      <c r="F9435" s="2">
        <f>DATE(2026,IF(Tabla1[[#This Row],[Mes de Fecha]]="Septiembre",9,10),Tabla1[[#This Row],[Día de Fecha]])</f>
        <v>46296</v>
      </c>
      <c r="I9435">
        <v>0</v>
      </c>
      <c r="J9435" s="1">
        <v>9040619</v>
      </c>
      <c r="K9435">
        <v>0</v>
      </c>
    </row>
    <row r="9436" spans="1:11" x14ac:dyDescent="0.25">
      <c r="A9436" t="s">
        <v>9</v>
      </c>
      <c r="B9436" t="s">
        <v>212</v>
      </c>
      <c r="C9436" t="s">
        <v>875</v>
      </c>
      <c r="D9436" t="s">
        <v>14</v>
      </c>
      <c r="E9436">
        <v>1</v>
      </c>
      <c r="F9436" s="2">
        <f>DATE(2026,IF(Tabla1[[#This Row],[Mes de Fecha]]="Septiembre",9,10),Tabla1[[#This Row],[Día de Fecha]])</f>
        <v>46296</v>
      </c>
      <c r="G9436">
        <v>37339994</v>
      </c>
      <c r="H9436" t="s">
        <v>213</v>
      </c>
      <c r="I9436">
        <v>166</v>
      </c>
      <c r="J9436">
        <v>0</v>
      </c>
      <c r="K9436" s="1">
        <v>8630899</v>
      </c>
    </row>
    <row r="9437" spans="1:11" x14ac:dyDescent="0.25">
      <c r="A9437" t="s">
        <v>9</v>
      </c>
      <c r="B9437" t="s">
        <v>212</v>
      </c>
      <c r="C9437" t="s">
        <v>875</v>
      </c>
      <c r="D9437" t="s">
        <v>14</v>
      </c>
      <c r="E9437">
        <v>2</v>
      </c>
      <c r="F9437" s="2">
        <f>DATE(2026,IF(Tabla1[[#This Row],[Mes de Fecha]]="Septiembre",9,10),Tabla1[[#This Row],[Día de Fecha]])</f>
        <v>46297</v>
      </c>
      <c r="I9437">
        <v>0</v>
      </c>
      <c r="J9437" s="1">
        <v>10653915</v>
      </c>
      <c r="K9437">
        <v>0</v>
      </c>
    </row>
    <row r="9438" spans="1:11" x14ac:dyDescent="0.25">
      <c r="A9438" t="s">
        <v>9</v>
      </c>
      <c r="B9438" t="s">
        <v>212</v>
      </c>
      <c r="C9438" t="s">
        <v>875</v>
      </c>
      <c r="D9438" t="s">
        <v>14</v>
      </c>
      <c r="E9438">
        <v>2</v>
      </c>
      <c r="F9438" s="2">
        <f>DATE(2026,IF(Tabla1[[#This Row],[Mes de Fecha]]="Septiembre",9,10),Tabla1[[#This Row],[Día de Fecha]])</f>
        <v>46297</v>
      </c>
      <c r="G9438">
        <v>37339994</v>
      </c>
      <c r="H9438" t="s">
        <v>213</v>
      </c>
      <c r="I9438">
        <v>91</v>
      </c>
      <c r="J9438">
        <v>0</v>
      </c>
      <c r="K9438" s="1">
        <v>4762568</v>
      </c>
    </row>
    <row r="9439" spans="1:11" x14ac:dyDescent="0.25">
      <c r="A9439" t="s">
        <v>9</v>
      </c>
      <c r="B9439" t="s">
        <v>212</v>
      </c>
      <c r="C9439" t="s">
        <v>875</v>
      </c>
      <c r="D9439" t="s">
        <v>14</v>
      </c>
      <c r="E9439">
        <v>2</v>
      </c>
      <c r="F9439" s="2">
        <f>DATE(2026,IF(Tabla1[[#This Row],[Mes de Fecha]]="Septiembre",9,10),Tabla1[[#This Row],[Día de Fecha]])</f>
        <v>46297</v>
      </c>
      <c r="G9439">
        <v>1092342906</v>
      </c>
      <c r="H9439" t="s">
        <v>214</v>
      </c>
      <c r="I9439">
        <v>53</v>
      </c>
      <c r="J9439">
        <v>0</v>
      </c>
      <c r="K9439" s="1">
        <v>2581432</v>
      </c>
    </row>
    <row r="9440" spans="1:11" x14ac:dyDescent="0.25">
      <c r="A9440" t="s">
        <v>9</v>
      </c>
      <c r="B9440" t="s">
        <v>212</v>
      </c>
      <c r="C9440" t="s">
        <v>875</v>
      </c>
      <c r="D9440" t="s">
        <v>14</v>
      </c>
      <c r="E9440">
        <v>3</v>
      </c>
      <c r="F9440" s="2">
        <f>DATE(2026,IF(Tabla1[[#This Row],[Mes de Fecha]]="Septiembre",9,10),Tabla1[[#This Row],[Día de Fecha]])</f>
        <v>46298</v>
      </c>
      <c r="I9440">
        <v>0</v>
      </c>
      <c r="J9440" s="1">
        <v>17295991</v>
      </c>
      <c r="K9440">
        <v>0</v>
      </c>
    </row>
    <row r="9441" spans="1:11" x14ac:dyDescent="0.25">
      <c r="A9441" t="s">
        <v>9</v>
      </c>
      <c r="B9441" t="s">
        <v>212</v>
      </c>
      <c r="C9441" t="s">
        <v>875</v>
      </c>
      <c r="D9441" t="s">
        <v>14</v>
      </c>
      <c r="E9441">
        <v>3</v>
      </c>
      <c r="F9441" s="2">
        <f>DATE(2026,IF(Tabla1[[#This Row],[Mes de Fecha]]="Septiembre",9,10),Tabla1[[#This Row],[Día de Fecha]])</f>
        <v>46298</v>
      </c>
      <c r="G9441">
        <v>37339994</v>
      </c>
      <c r="H9441" t="s">
        <v>213</v>
      </c>
      <c r="I9441">
        <v>123</v>
      </c>
      <c r="J9441">
        <v>0</v>
      </c>
      <c r="K9441" s="1">
        <v>6428356</v>
      </c>
    </row>
    <row r="9442" spans="1:11" x14ac:dyDescent="0.25">
      <c r="A9442" t="s">
        <v>9</v>
      </c>
      <c r="B9442" t="s">
        <v>212</v>
      </c>
      <c r="C9442" t="s">
        <v>875</v>
      </c>
      <c r="D9442" t="s">
        <v>14</v>
      </c>
      <c r="E9442">
        <v>3</v>
      </c>
      <c r="F9442" s="2">
        <f>DATE(2026,IF(Tabla1[[#This Row],[Mes de Fecha]]="Septiembre",9,10),Tabla1[[#This Row],[Día de Fecha]])</f>
        <v>46298</v>
      </c>
      <c r="G9442">
        <v>1092342906</v>
      </c>
      <c r="H9442" t="s">
        <v>214</v>
      </c>
      <c r="I9442">
        <v>113</v>
      </c>
      <c r="J9442">
        <v>0</v>
      </c>
      <c r="K9442" s="1">
        <v>5471061</v>
      </c>
    </row>
    <row r="9443" spans="1:11" x14ac:dyDescent="0.25">
      <c r="A9443" t="s">
        <v>9</v>
      </c>
      <c r="B9443" t="s">
        <v>212</v>
      </c>
      <c r="C9443" t="s">
        <v>875</v>
      </c>
      <c r="D9443" t="s">
        <v>14</v>
      </c>
      <c r="E9443">
        <v>4</v>
      </c>
      <c r="F9443" s="2">
        <f>DATE(2026,IF(Tabla1[[#This Row],[Mes de Fecha]]="Septiembre",9,10),Tabla1[[#This Row],[Día de Fecha]])</f>
        <v>46299</v>
      </c>
      <c r="I9443">
        <v>0</v>
      </c>
      <c r="J9443" s="1">
        <v>8312637</v>
      </c>
      <c r="K9443">
        <v>0</v>
      </c>
    </row>
    <row r="9444" spans="1:11" x14ac:dyDescent="0.25">
      <c r="A9444" t="s">
        <v>9</v>
      </c>
      <c r="B9444" t="s">
        <v>212</v>
      </c>
      <c r="C9444" t="s">
        <v>875</v>
      </c>
      <c r="D9444" t="s">
        <v>14</v>
      </c>
      <c r="E9444">
        <v>4</v>
      </c>
      <c r="F9444" s="2">
        <f>DATE(2026,IF(Tabla1[[#This Row],[Mes de Fecha]]="Septiembre",9,10),Tabla1[[#This Row],[Día de Fecha]])</f>
        <v>46299</v>
      </c>
      <c r="G9444">
        <v>37339994</v>
      </c>
      <c r="H9444" t="s">
        <v>213</v>
      </c>
      <c r="I9444">
        <v>57</v>
      </c>
      <c r="J9444">
        <v>0</v>
      </c>
      <c r="K9444" s="1">
        <v>2703367</v>
      </c>
    </row>
    <row r="9445" spans="1:11" x14ac:dyDescent="0.25">
      <c r="A9445" t="s">
        <v>9</v>
      </c>
      <c r="B9445" t="s">
        <v>212</v>
      </c>
      <c r="C9445" t="s">
        <v>875</v>
      </c>
      <c r="D9445" t="s">
        <v>14</v>
      </c>
      <c r="E9445">
        <v>4</v>
      </c>
      <c r="F9445" s="2">
        <f>DATE(2026,IF(Tabla1[[#This Row],[Mes de Fecha]]="Septiembre",9,10),Tabla1[[#This Row],[Día de Fecha]])</f>
        <v>46299</v>
      </c>
      <c r="G9445">
        <v>1092342906</v>
      </c>
      <c r="H9445" t="s">
        <v>214</v>
      </c>
      <c r="I9445">
        <v>89</v>
      </c>
      <c r="J9445">
        <v>0</v>
      </c>
      <c r="K9445" s="1">
        <v>4853241</v>
      </c>
    </row>
    <row r="9446" spans="1:11" x14ac:dyDescent="0.25">
      <c r="A9446" t="s">
        <v>9</v>
      </c>
      <c r="B9446" t="s">
        <v>212</v>
      </c>
      <c r="C9446" t="s">
        <v>875</v>
      </c>
      <c r="D9446" t="s">
        <v>14</v>
      </c>
      <c r="E9446">
        <v>5</v>
      </c>
      <c r="F9446" s="2">
        <f>DATE(2026,IF(Tabla1[[#This Row],[Mes de Fecha]]="Septiembre",9,10),Tabla1[[#This Row],[Día de Fecha]])</f>
        <v>46300</v>
      </c>
      <c r="I9446">
        <v>0</v>
      </c>
      <c r="J9446" s="1">
        <v>10235883</v>
      </c>
      <c r="K9446">
        <v>0</v>
      </c>
    </row>
    <row r="9447" spans="1:11" x14ac:dyDescent="0.25">
      <c r="A9447" t="s">
        <v>9</v>
      </c>
      <c r="B9447" t="s">
        <v>212</v>
      </c>
      <c r="C9447" t="s">
        <v>875</v>
      </c>
      <c r="D9447" t="s">
        <v>14</v>
      </c>
      <c r="E9447">
        <v>5</v>
      </c>
      <c r="F9447" s="2">
        <f>DATE(2026,IF(Tabla1[[#This Row],[Mes de Fecha]]="Septiembre",9,10),Tabla1[[#This Row],[Día de Fecha]])</f>
        <v>46300</v>
      </c>
      <c r="G9447">
        <v>37339994</v>
      </c>
      <c r="H9447" t="s">
        <v>213</v>
      </c>
      <c r="I9447">
        <v>91</v>
      </c>
      <c r="J9447">
        <v>0</v>
      </c>
      <c r="K9447" s="1">
        <v>4945425</v>
      </c>
    </row>
    <row r="9448" spans="1:11" x14ac:dyDescent="0.25">
      <c r="A9448" t="s">
        <v>9</v>
      </c>
      <c r="B9448" t="s">
        <v>212</v>
      </c>
      <c r="C9448" t="s">
        <v>875</v>
      </c>
      <c r="D9448" t="s">
        <v>14</v>
      </c>
      <c r="E9448">
        <v>5</v>
      </c>
      <c r="F9448" s="2">
        <f>DATE(2026,IF(Tabla1[[#This Row],[Mes de Fecha]]="Septiembre",9,10),Tabla1[[#This Row],[Día de Fecha]])</f>
        <v>46300</v>
      </c>
      <c r="G9448">
        <v>1092342906</v>
      </c>
      <c r="H9448" t="s">
        <v>214</v>
      </c>
      <c r="I9448">
        <v>75</v>
      </c>
      <c r="J9448">
        <v>0</v>
      </c>
      <c r="K9448" s="1">
        <v>3903994</v>
      </c>
    </row>
    <row r="9449" spans="1:11" x14ac:dyDescent="0.25">
      <c r="A9449" t="s">
        <v>9</v>
      </c>
      <c r="B9449" t="s">
        <v>212</v>
      </c>
      <c r="C9449" t="s">
        <v>875</v>
      </c>
      <c r="D9449" t="s">
        <v>14</v>
      </c>
      <c r="E9449">
        <v>6</v>
      </c>
      <c r="F9449" s="2">
        <f>DATE(2026,IF(Tabla1[[#This Row],[Mes de Fecha]]="Septiembre",9,10),Tabla1[[#This Row],[Día de Fecha]])</f>
        <v>46301</v>
      </c>
      <c r="I9449">
        <v>0</v>
      </c>
      <c r="J9449" s="1">
        <v>7516752</v>
      </c>
      <c r="K9449">
        <v>0</v>
      </c>
    </row>
    <row r="9450" spans="1:11" x14ac:dyDescent="0.25">
      <c r="A9450" t="s">
        <v>9</v>
      </c>
      <c r="B9450" t="s">
        <v>212</v>
      </c>
      <c r="C9450" t="s">
        <v>875</v>
      </c>
      <c r="D9450" t="s">
        <v>14</v>
      </c>
      <c r="E9450">
        <v>6</v>
      </c>
      <c r="F9450" s="2">
        <f>DATE(2026,IF(Tabla1[[#This Row],[Mes de Fecha]]="Septiembre",9,10),Tabla1[[#This Row],[Día de Fecha]])</f>
        <v>46301</v>
      </c>
      <c r="G9450">
        <v>37339994</v>
      </c>
      <c r="H9450" t="s">
        <v>213</v>
      </c>
      <c r="I9450">
        <v>30</v>
      </c>
      <c r="J9450">
        <v>0</v>
      </c>
      <c r="K9450" s="1">
        <v>1670967</v>
      </c>
    </row>
    <row r="9451" spans="1:11" x14ac:dyDescent="0.25">
      <c r="A9451" t="s">
        <v>9</v>
      </c>
      <c r="B9451" t="s">
        <v>212</v>
      </c>
      <c r="C9451" t="s">
        <v>875</v>
      </c>
      <c r="D9451" t="s">
        <v>14</v>
      </c>
      <c r="E9451">
        <v>6</v>
      </c>
      <c r="F9451" s="2">
        <f>DATE(2026,IF(Tabla1[[#This Row],[Mes de Fecha]]="Septiembre",9,10),Tabla1[[#This Row],[Día de Fecha]])</f>
        <v>46301</v>
      </c>
      <c r="G9451">
        <v>1092342906</v>
      </c>
      <c r="H9451" t="s">
        <v>214</v>
      </c>
      <c r="I9451">
        <v>29</v>
      </c>
      <c r="J9451">
        <v>0</v>
      </c>
      <c r="K9451" s="1">
        <v>1826513</v>
      </c>
    </row>
    <row r="9452" spans="1:11" x14ac:dyDescent="0.25">
      <c r="A9452" t="s">
        <v>9</v>
      </c>
      <c r="B9452" t="s">
        <v>212</v>
      </c>
      <c r="C9452" t="s">
        <v>875</v>
      </c>
      <c r="D9452" t="s">
        <v>14</v>
      </c>
      <c r="E9452">
        <v>7</v>
      </c>
      <c r="F9452" s="2">
        <f>DATE(2026,IF(Tabla1[[#This Row],[Mes de Fecha]]="Septiembre",9,10),Tabla1[[#This Row],[Día de Fecha]])</f>
        <v>46302</v>
      </c>
      <c r="I9452">
        <v>0</v>
      </c>
      <c r="J9452" s="1">
        <v>1299771</v>
      </c>
      <c r="K9452">
        <v>0</v>
      </c>
    </row>
    <row r="9453" spans="1:11" x14ac:dyDescent="0.25">
      <c r="A9453" t="s">
        <v>9</v>
      </c>
      <c r="B9453" t="s">
        <v>212</v>
      </c>
      <c r="C9453" t="s">
        <v>875</v>
      </c>
      <c r="D9453" t="s">
        <v>14</v>
      </c>
      <c r="E9453">
        <v>7</v>
      </c>
      <c r="F9453" s="2">
        <f>DATE(2026,IF(Tabla1[[#This Row],[Mes de Fecha]]="Septiembre",9,10),Tabla1[[#This Row],[Día de Fecha]])</f>
        <v>46302</v>
      </c>
      <c r="G9453">
        <v>37339994</v>
      </c>
      <c r="H9453" t="s">
        <v>213</v>
      </c>
      <c r="I9453">
        <v>31</v>
      </c>
      <c r="J9453">
        <v>0</v>
      </c>
      <c r="K9453" s="1">
        <v>1786430</v>
      </c>
    </row>
    <row r="9454" spans="1:11" x14ac:dyDescent="0.25">
      <c r="A9454" t="s">
        <v>9</v>
      </c>
      <c r="B9454" t="s">
        <v>212</v>
      </c>
      <c r="C9454" t="s">
        <v>875</v>
      </c>
      <c r="D9454" t="s">
        <v>14</v>
      </c>
      <c r="E9454">
        <v>7</v>
      </c>
      <c r="F9454" s="2">
        <f>DATE(2026,IF(Tabla1[[#This Row],[Mes de Fecha]]="Septiembre",9,10),Tabla1[[#This Row],[Día de Fecha]])</f>
        <v>46302</v>
      </c>
      <c r="G9454">
        <v>1092342906</v>
      </c>
      <c r="H9454" t="s">
        <v>214</v>
      </c>
      <c r="I9454">
        <v>68</v>
      </c>
      <c r="J9454">
        <v>0</v>
      </c>
      <c r="K9454" s="1">
        <v>4089420</v>
      </c>
    </row>
    <row r="9455" spans="1:11" x14ac:dyDescent="0.25">
      <c r="A9455" t="s">
        <v>9</v>
      </c>
      <c r="B9455" t="s">
        <v>219</v>
      </c>
      <c r="C9455" t="s">
        <v>875</v>
      </c>
      <c r="D9455" t="s">
        <v>11</v>
      </c>
      <c r="E9455">
        <v>23</v>
      </c>
      <c r="F9455" s="2">
        <f>DATE(2026,IF(Tabla1[[#This Row],[Mes de Fecha]]="Septiembre",9,10),Tabla1[[#This Row],[Día de Fecha]])</f>
        <v>46288</v>
      </c>
      <c r="I9455">
        <v>0</v>
      </c>
      <c r="J9455" s="1">
        <v>3543689</v>
      </c>
      <c r="K9455">
        <v>0</v>
      </c>
    </row>
    <row r="9456" spans="1:11" x14ac:dyDescent="0.25">
      <c r="A9456" t="s">
        <v>9</v>
      </c>
      <c r="B9456" t="s">
        <v>219</v>
      </c>
      <c r="C9456" t="s">
        <v>875</v>
      </c>
      <c r="D9456" t="s">
        <v>11</v>
      </c>
      <c r="E9456">
        <v>23</v>
      </c>
      <c r="F9456" s="2">
        <f>DATE(2026,IF(Tabla1[[#This Row],[Mes de Fecha]]="Septiembre",9,10),Tabla1[[#This Row],[Día de Fecha]])</f>
        <v>46288</v>
      </c>
      <c r="G9456">
        <v>1093734423</v>
      </c>
      <c r="H9456" t="s">
        <v>54</v>
      </c>
      <c r="I9456">
        <v>121</v>
      </c>
      <c r="J9456">
        <v>0</v>
      </c>
      <c r="K9456" s="1">
        <v>6263831</v>
      </c>
    </row>
    <row r="9457" spans="1:11" x14ac:dyDescent="0.25">
      <c r="A9457" t="s">
        <v>9</v>
      </c>
      <c r="B9457" t="s">
        <v>219</v>
      </c>
      <c r="C9457" t="s">
        <v>875</v>
      </c>
      <c r="D9457" t="s">
        <v>11</v>
      </c>
      <c r="E9457">
        <v>24</v>
      </c>
      <c r="F9457" s="2">
        <f>DATE(2026,IF(Tabla1[[#This Row],[Mes de Fecha]]="Septiembre",9,10),Tabla1[[#This Row],[Día de Fecha]])</f>
        <v>46289</v>
      </c>
      <c r="I9457">
        <v>0</v>
      </c>
      <c r="J9457" s="1">
        <v>9164656</v>
      </c>
      <c r="K9457">
        <v>0</v>
      </c>
    </row>
    <row r="9458" spans="1:11" x14ac:dyDescent="0.25">
      <c r="A9458" t="s">
        <v>9</v>
      </c>
      <c r="B9458" t="s">
        <v>219</v>
      </c>
      <c r="C9458" t="s">
        <v>875</v>
      </c>
      <c r="D9458" t="s">
        <v>11</v>
      </c>
      <c r="E9458">
        <v>24</v>
      </c>
      <c r="F9458" s="2">
        <f>DATE(2026,IF(Tabla1[[#This Row],[Mes de Fecha]]="Septiembre",9,10),Tabla1[[#This Row],[Día de Fecha]])</f>
        <v>46289</v>
      </c>
      <c r="G9458">
        <v>1093734423</v>
      </c>
      <c r="H9458" t="s">
        <v>54</v>
      </c>
      <c r="I9458">
        <v>81</v>
      </c>
      <c r="J9458">
        <v>0</v>
      </c>
      <c r="K9458" s="1">
        <v>3925178</v>
      </c>
    </row>
    <row r="9459" spans="1:11" x14ac:dyDescent="0.25">
      <c r="A9459" t="s">
        <v>9</v>
      </c>
      <c r="B9459" t="s">
        <v>219</v>
      </c>
      <c r="C9459" t="s">
        <v>875</v>
      </c>
      <c r="D9459" t="s">
        <v>11</v>
      </c>
      <c r="E9459">
        <v>25</v>
      </c>
      <c r="F9459" s="2">
        <f>DATE(2026,IF(Tabla1[[#This Row],[Mes de Fecha]]="Septiembre",9,10),Tabla1[[#This Row],[Día de Fecha]])</f>
        <v>46290</v>
      </c>
      <c r="I9459">
        <v>0</v>
      </c>
      <c r="J9459" s="1">
        <v>9788354</v>
      </c>
      <c r="K9459">
        <v>0</v>
      </c>
    </row>
    <row r="9460" spans="1:11" x14ac:dyDescent="0.25">
      <c r="A9460" t="s">
        <v>9</v>
      </c>
      <c r="B9460" t="s">
        <v>219</v>
      </c>
      <c r="C9460" t="s">
        <v>875</v>
      </c>
      <c r="D9460" t="s">
        <v>11</v>
      </c>
      <c r="E9460">
        <v>25</v>
      </c>
      <c r="F9460" s="2">
        <f>DATE(2026,IF(Tabla1[[#This Row],[Mes de Fecha]]="Septiembre",9,10),Tabla1[[#This Row],[Día de Fecha]])</f>
        <v>46290</v>
      </c>
      <c r="G9460">
        <v>1093734423</v>
      </c>
      <c r="H9460" t="s">
        <v>54</v>
      </c>
      <c r="I9460">
        <v>173</v>
      </c>
      <c r="J9460">
        <v>0</v>
      </c>
      <c r="K9460" s="1">
        <v>8562068</v>
      </c>
    </row>
    <row r="9461" spans="1:11" x14ac:dyDescent="0.25">
      <c r="A9461" t="s">
        <v>9</v>
      </c>
      <c r="B9461" t="s">
        <v>219</v>
      </c>
      <c r="C9461" t="s">
        <v>875</v>
      </c>
      <c r="D9461" t="s">
        <v>11</v>
      </c>
      <c r="E9461">
        <v>26</v>
      </c>
      <c r="F9461" s="2">
        <f>DATE(2026,IF(Tabla1[[#This Row],[Mes de Fecha]]="Septiembre",9,10),Tabla1[[#This Row],[Día de Fecha]])</f>
        <v>46291</v>
      </c>
      <c r="I9461">
        <v>0</v>
      </c>
      <c r="J9461" s="1">
        <v>12342867</v>
      </c>
      <c r="K9461">
        <v>0</v>
      </c>
    </row>
    <row r="9462" spans="1:11" x14ac:dyDescent="0.25">
      <c r="A9462" t="s">
        <v>9</v>
      </c>
      <c r="B9462" t="s">
        <v>219</v>
      </c>
      <c r="C9462" t="s">
        <v>875</v>
      </c>
      <c r="D9462" t="s">
        <v>11</v>
      </c>
      <c r="E9462">
        <v>26</v>
      </c>
      <c r="F9462" s="2">
        <f>DATE(2026,IF(Tabla1[[#This Row],[Mes de Fecha]]="Septiembre",9,10),Tabla1[[#This Row],[Día de Fecha]])</f>
        <v>46291</v>
      </c>
      <c r="G9462">
        <v>1093734423</v>
      </c>
      <c r="H9462" t="s">
        <v>54</v>
      </c>
      <c r="I9462">
        <v>223</v>
      </c>
      <c r="J9462">
        <v>0</v>
      </c>
      <c r="K9462" s="1">
        <v>11408545</v>
      </c>
    </row>
    <row r="9463" spans="1:11" x14ac:dyDescent="0.25">
      <c r="A9463" t="s">
        <v>9</v>
      </c>
      <c r="B9463" t="s">
        <v>219</v>
      </c>
      <c r="C9463" t="s">
        <v>875</v>
      </c>
      <c r="D9463" t="s">
        <v>11</v>
      </c>
      <c r="E9463">
        <v>27</v>
      </c>
      <c r="F9463" s="2">
        <f>DATE(2026,IF(Tabla1[[#This Row],[Mes de Fecha]]="Septiembre",9,10),Tabla1[[#This Row],[Día de Fecha]])</f>
        <v>46292</v>
      </c>
      <c r="I9463">
        <v>0</v>
      </c>
      <c r="J9463" s="1">
        <v>6516916</v>
      </c>
      <c r="K9463">
        <v>0</v>
      </c>
    </row>
    <row r="9464" spans="1:11" x14ac:dyDescent="0.25">
      <c r="A9464" t="s">
        <v>9</v>
      </c>
      <c r="B9464" t="s">
        <v>219</v>
      </c>
      <c r="C9464" t="s">
        <v>875</v>
      </c>
      <c r="D9464" t="s">
        <v>11</v>
      </c>
      <c r="E9464">
        <v>27</v>
      </c>
      <c r="F9464" s="2">
        <f>DATE(2026,IF(Tabla1[[#This Row],[Mes de Fecha]]="Septiembre",9,10),Tabla1[[#This Row],[Día de Fecha]])</f>
        <v>46292</v>
      </c>
      <c r="G9464">
        <v>1093734423</v>
      </c>
      <c r="H9464" t="s">
        <v>54</v>
      </c>
      <c r="I9464">
        <v>140</v>
      </c>
      <c r="J9464">
        <v>0</v>
      </c>
      <c r="K9464" s="1">
        <v>6825472</v>
      </c>
    </row>
    <row r="9465" spans="1:11" x14ac:dyDescent="0.25">
      <c r="A9465" t="s">
        <v>9</v>
      </c>
      <c r="B9465" t="s">
        <v>219</v>
      </c>
      <c r="C9465" t="s">
        <v>875</v>
      </c>
      <c r="D9465" t="s">
        <v>11</v>
      </c>
      <c r="E9465">
        <v>27</v>
      </c>
      <c r="F9465" s="2">
        <f>DATE(2026,IF(Tabla1[[#This Row],[Mes de Fecha]]="Septiembre",9,10),Tabla1[[#This Row],[Día de Fecha]])</f>
        <v>46292</v>
      </c>
      <c r="G9465">
        <v>1093788027</v>
      </c>
      <c r="H9465" t="s">
        <v>220</v>
      </c>
      <c r="I9465">
        <v>4</v>
      </c>
      <c r="J9465">
        <v>0</v>
      </c>
      <c r="K9465" s="1">
        <v>260337</v>
      </c>
    </row>
    <row r="9466" spans="1:11" x14ac:dyDescent="0.25">
      <c r="A9466" t="s">
        <v>9</v>
      </c>
      <c r="B9466" t="s">
        <v>219</v>
      </c>
      <c r="C9466" t="s">
        <v>875</v>
      </c>
      <c r="D9466" t="s">
        <v>11</v>
      </c>
      <c r="E9466">
        <v>28</v>
      </c>
      <c r="F9466" s="2">
        <f>DATE(2026,IF(Tabla1[[#This Row],[Mes de Fecha]]="Septiembre",9,10),Tabla1[[#This Row],[Día de Fecha]])</f>
        <v>46293</v>
      </c>
      <c r="I9466">
        <v>0</v>
      </c>
      <c r="J9466" s="1">
        <v>5343164</v>
      </c>
      <c r="K9466">
        <v>0</v>
      </c>
    </row>
    <row r="9467" spans="1:11" x14ac:dyDescent="0.25">
      <c r="A9467" t="s">
        <v>9</v>
      </c>
      <c r="B9467" t="s">
        <v>219</v>
      </c>
      <c r="C9467" t="s">
        <v>875</v>
      </c>
      <c r="D9467" t="s">
        <v>11</v>
      </c>
      <c r="E9467">
        <v>28</v>
      </c>
      <c r="F9467" s="2">
        <f>DATE(2026,IF(Tabla1[[#This Row],[Mes de Fecha]]="Septiembre",9,10),Tabla1[[#This Row],[Día de Fecha]])</f>
        <v>46293</v>
      </c>
      <c r="G9467">
        <v>1092342906</v>
      </c>
      <c r="H9467" t="s">
        <v>214</v>
      </c>
      <c r="I9467">
        <v>-2</v>
      </c>
      <c r="J9467">
        <v>0</v>
      </c>
      <c r="K9467" s="1">
        <v>-83950</v>
      </c>
    </row>
    <row r="9468" spans="1:11" x14ac:dyDescent="0.25">
      <c r="A9468" t="s">
        <v>9</v>
      </c>
      <c r="B9468" t="s">
        <v>219</v>
      </c>
      <c r="C9468" t="s">
        <v>875</v>
      </c>
      <c r="D9468" t="s">
        <v>11</v>
      </c>
      <c r="E9468">
        <v>28</v>
      </c>
      <c r="F9468" s="2">
        <f>DATE(2026,IF(Tabla1[[#This Row],[Mes de Fecha]]="Septiembre",9,10),Tabla1[[#This Row],[Día de Fecha]])</f>
        <v>46293</v>
      </c>
      <c r="G9468">
        <v>1093734423</v>
      </c>
      <c r="H9468" t="s">
        <v>54</v>
      </c>
      <c r="I9468">
        <v>112</v>
      </c>
      <c r="J9468">
        <v>0</v>
      </c>
      <c r="K9468" s="1">
        <v>5221943</v>
      </c>
    </row>
    <row r="9469" spans="1:11" x14ac:dyDescent="0.25">
      <c r="A9469" t="s">
        <v>9</v>
      </c>
      <c r="B9469" t="s">
        <v>219</v>
      </c>
      <c r="C9469" t="s">
        <v>875</v>
      </c>
      <c r="D9469" t="s">
        <v>11</v>
      </c>
      <c r="E9469">
        <v>29</v>
      </c>
      <c r="F9469" s="2">
        <f>DATE(2026,IF(Tabla1[[#This Row],[Mes de Fecha]]="Septiembre",9,10),Tabla1[[#This Row],[Día de Fecha]])</f>
        <v>46294</v>
      </c>
      <c r="I9469">
        <v>0</v>
      </c>
      <c r="J9469" s="1">
        <v>5940014</v>
      </c>
      <c r="K9469">
        <v>0</v>
      </c>
    </row>
    <row r="9470" spans="1:11" x14ac:dyDescent="0.25">
      <c r="A9470" t="s">
        <v>9</v>
      </c>
      <c r="B9470" t="s">
        <v>219</v>
      </c>
      <c r="C9470" t="s">
        <v>875</v>
      </c>
      <c r="D9470" t="s">
        <v>11</v>
      </c>
      <c r="E9470">
        <v>29</v>
      </c>
      <c r="F9470" s="2">
        <f>DATE(2026,IF(Tabla1[[#This Row],[Mes de Fecha]]="Septiembre",9,10),Tabla1[[#This Row],[Día de Fecha]])</f>
        <v>46294</v>
      </c>
      <c r="G9470">
        <v>1093734423</v>
      </c>
      <c r="H9470" t="s">
        <v>54</v>
      </c>
      <c r="I9470">
        <v>50</v>
      </c>
      <c r="J9470">
        <v>0</v>
      </c>
      <c r="K9470" s="1">
        <v>2262272</v>
      </c>
    </row>
    <row r="9471" spans="1:11" x14ac:dyDescent="0.25">
      <c r="A9471" t="s">
        <v>9</v>
      </c>
      <c r="B9471" t="s">
        <v>219</v>
      </c>
      <c r="C9471" t="s">
        <v>875</v>
      </c>
      <c r="D9471" t="s">
        <v>11</v>
      </c>
      <c r="E9471">
        <v>30</v>
      </c>
      <c r="F9471" s="2">
        <f>DATE(2026,IF(Tabla1[[#This Row],[Mes de Fecha]]="Septiembre",9,10),Tabla1[[#This Row],[Día de Fecha]])</f>
        <v>46295</v>
      </c>
      <c r="I9471">
        <v>0</v>
      </c>
      <c r="J9471" s="1">
        <v>6290668</v>
      </c>
      <c r="K9471">
        <v>0</v>
      </c>
    </row>
    <row r="9472" spans="1:11" x14ac:dyDescent="0.25">
      <c r="A9472" t="s">
        <v>9</v>
      </c>
      <c r="B9472" t="s">
        <v>219</v>
      </c>
      <c r="C9472" t="s">
        <v>875</v>
      </c>
      <c r="D9472" t="s">
        <v>11</v>
      </c>
      <c r="E9472">
        <v>30</v>
      </c>
      <c r="F9472" s="2">
        <f>DATE(2026,IF(Tabla1[[#This Row],[Mes de Fecha]]="Septiembre",9,10),Tabla1[[#This Row],[Día de Fecha]])</f>
        <v>46295</v>
      </c>
      <c r="G9472">
        <v>1093734423</v>
      </c>
      <c r="H9472" t="s">
        <v>54</v>
      </c>
      <c r="I9472">
        <v>125</v>
      </c>
      <c r="J9472">
        <v>0</v>
      </c>
      <c r="K9472" s="1">
        <v>6698331</v>
      </c>
    </row>
    <row r="9473" spans="1:11" x14ac:dyDescent="0.25">
      <c r="A9473" t="s">
        <v>9</v>
      </c>
      <c r="B9473" t="s">
        <v>219</v>
      </c>
      <c r="C9473" t="s">
        <v>875</v>
      </c>
      <c r="D9473" t="s">
        <v>14</v>
      </c>
      <c r="E9473">
        <v>1</v>
      </c>
      <c r="F9473" s="2">
        <f>DATE(2026,IF(Tabla1[[#This Row],[Mes de Fecha]]="Septiembre",9,10),Tabla1[[#This Row],[Día de Fecha]])</f>
        <v>46296</v>
      </c>
      <c r="I9473">
        <v>0</v>
      </c>
      <c r="J9473" s="1">
        <v>7862895</v>
      </c>
      <c r="K9473">
        <v>0</v>
      </c>
    </row>
    <row r="9474" spans="1:11" x14ac:dyDescent="0.25">
      <c r="A9474" t="s">
        <v>9</v>
      </c>
      <c r="B9474" t="s">
        <v>219</v>
      </c>
      <c r="C9474" t="s">
        <v>875</v>
      </c>
      <c r="D9474" t="s">
        <v>14</v>
      </c>
      <c r="E9474">
        <v>1</v>
      </c>
      <c r="F9474" s="2">
        <f>DATE(2026,IF(Tabla1[[#This Row],[Mes de Fecha]]="Septiembre",9,10),Tabla1[[#This Row],[Día de Fecha]])</f>
        <v>46296</v>
      </c>
      <c r="G9474">
        <v>1093734423</v>
      </c>
      <c r="H9474" t="s">
        <v>54</v>
      </c>
      <c r="I9474">
        <v>87</v>
      </c>
      <c r="J9474">
        <v>0</v>
      </c>
      <c r="K9474" s="1">
        <v>4162107</v>
      </c>
    </row>
    <row r="9475" spans="1:11" x14ac:dyDescent="0.25">
      <c r="A9475" t="s">
        <v>9</v>
      </c>
      <c r="B9475" t="s">
        <v>219</v>
      </c>
      <c r="C9475" t="s">
        <v>875</v>
      </c>
      <c r="D9475" t="s">
        <v>14</v>
      </c>
      <c r="E9475">
        <v>2</v>
      </c>
      <c r="F9475" s="2">
        <f>DATE(2026,IF(Tabla1[[#This Row],[Mes de Fecha]]="Septiembre",9,10),Tabla1[[#This Row],[Día de Fecha]])</f>
        <v>46297</v>
      </c>
      <c r="I9475">
        <v>0</v>
      </c>
      <c r="J9475" s="1">
        <v>17541263</v>
      </c>
      <c r="K9475">
        <v>0</v>
      </c>
    </row>
    <row r="9476" spans="1:11" x14ac:dyDescent="0.25">
      <c r="A9476" t="s">
        <v>9</v>
      </c>
      <c r="B9476" t="s">
        <v>219</v>
      </c>
      <c r="C9476" t="s">
        <v>875</v>
      </c>
      <c r="D9476" t="s">
        <v>14</v>
      </c>
      <c r="E9476">
        <v>2</v>
      </c>
      <c r="F9476" s="2">
        <f>DATE(2026,IF(Tabla1[[#This Row],[Mes de Fecha]]="Septiembre",9,10),Tabla1[[#This Row],[Día de Fecha]])</f>
        <v>46297</v>
      </c>
      <c r="G9476">
        <v>1093734423</v>
      </c>
      <c r="H9476" t="s">
        <v>54</v>
      </c>
      <c r="I9476">
        <v>125</v>
      </c>
      <c r="J9476">
        <v>0</v>
      </c>
      <c r="K9476" s="1">
        <v>6336861</v>
      </c>
    </row>
    <row r="9477" spans="1:11" x14ac:dyDescent="0.25">
      <c r="A9477" t="s">
        <v>9</v>
      </c>
      <c r="B9477" t="s">
        <v>219</v>
      </c>
      <c r="C9477" t="s">
        <v>875</v>
      </c>
      <c r="D9477" t="s">
        <v>14</v>
      </c>
      <c r="E9477">
        <v>3</v>
      </c>
      <c r="F9477" s="2">
        <f>DATE(2026,IF(Tabla1[[#This Row],[Mes de Fecha]]="Septiembre",9,10),Tabla1[[#This Row],[Día de Fecha]])</f>
        <v>46298</v>
      </c>
      <c r="I9477">
        <v>0</v>
      </c>
      <c r="J9477" s="1">
        <v>15124914</v>
      </c>
      <c r="K9477">
        <v>0</v>
      </c>
    </row>
    <row r="9478" spans="1:11" x14ac:dyDescent="0.25">
      <c r="A9478" t="s">
        <v>9</v>
      </c>
      <c r="B9478" t="s">
        <v>219</v>
      </c>
      <c r="C9478" t="s">
        <v>875</v>
      </c>
      <c r="D9478" t="s">
        <v>14</v>
      </c>
      <c r="E9478">
        <v>3</v>
      </c>
      <c r="F9478" s="2">
        <f>DATE(2026,IF(Tabla1[[#This Row],[Mes de Fecha]]="Septiembre",9,10),Tabla1[[#This Row],[Día de Fecha]])</f>
        <v>46298</v>
      </c>
      <c r="G9478">
        <v>1093734423</v>
      </c>
      <c r="H9478" t="s">
        <v>54</v>
      </c>
      <c r="I9478">
        <v>256</v>
      </c>
      <c r="J9478">
        <v>0</v>
      </c>
      <c r="K9478" s="1">
        <v>12650521</v>
      </c>
    </row>
    <row r="9479" spans="1:11" x14ac:dyDescent="0.25">
      <c r="A9479" t="s">
        <v>9</v>
      </c>
      <c r="B9479" t="s">
        <v>219</v>
      </c>
      <c r="C9479" t="s">
        <v>875</v>
      </c>
      <c r="D9479" t="s">
        <v>14</v>
      </c>
      <c r="E9479">
        <v>4</v>
      </c>
      <c r="F9479" s="2">
        <f>DATE(2026,IF(Tabla1[[#This Row],[Mes de Fecha]]="Septiembre",9,10),Tabla1[[#This Row],[Día de Fecha]])</f>
        <v>46299</v>
      </c>
      <c r="I9479">
        <v>0</v>
      </c>
      <c r="J9479" s="1">
        <v>8301043</v>
      </c>
      <c r="K9479">
        <v>0</v>
      </c>
    </row>
    <row r="9480" spans="1:11" x14ac:dyDescent="0.25">
      <c r="A9480" t="s">
        <v>9</v>
      </c>
      <c r="B9480" t="s">
        <v>219</v>
      </c>
      <c r="C9480" t="s">
        <v>875</v>
      </c>
      <c r="D9480" t="s">
        <v>14</v>
      </c>
      <c r="E9480">
        <v>4</v>
      </c>
      <c r="F9480" s="2">
        <f>DATE(2026,IF(Tabla1[[#This Row],[Mes de Fecha]]="Septiembre",9,10),Tabla1[[#This Row],[Día de Fecha]])</f>
        <v>46299</v>
      </c>
      <c r="G9480">
        <v>1093734423</v>
      </c>
      <c r="H9480" t="s">
        <v>54</v>
      </c>
      <c r="I9480">
        <v>98</v>
      </c>
      <c r="J9480">
        <v>0</v>
      </c>
      <c r="K9480" s="1">
        <v>5155305</v>
      </c>
    </row>
    <row r="9481" spans="1:11" x14ac:dyDescent="0.25">
      <c r="A9481" t="s">
        <v>9</v>
      </c>
      <c r="B9481" t="s">
        <v>219</v>
      </c>
      <c r="C9481" t="s">
        <v>875</v>
      </c>
      <c r="D9481" t="s">
        <v>14</v>
      </c>
      <c r="E9481">
        <v>5</v>
      </c>
      <c r="F9481" s="2">
        <f>DATE(2026,IF(Tabla1[[#This Row],[Mes de Fecha]]="Septiembre",9,10),Tabla1[[#This Row],[Día de Fecha]])</f>
        <v>46300</v>
      </c>
      <c r="I9481">
        <v>0</v>
      </c>
      <c r="J9481" s="1">
        <v>9310957</v>
      </c>
      <c r="K9481">
        <v>0</v>
      </c>
    </row>
    <row r="9482" spans="1:11" x14ac:dyDescent="0.25">
      <c r="A9482" t="s">
        <v>9</v>
      </c>
      <c r="B9482" t="s">
        <v>219</v>
      </c>
      <c r="C9482" t="s">
        <v>875</v>
      </c>
      <c r="D9482" t="s">
        <v>14</v>
      </c>
      <c r="E9482">
        <v>5</v>
      </c>
      <c r="F9482" s="2">
        <f>DATE(2026,IF(Tabla1[[#This Row],[Mes de Fecha]]="Septiembre",9,10),Tabla1[[#This Row],[Día de Fecha]])</f>
        <v>46300</v>
      </c>
      <c r="G9482">
        <v>1093734423</v>
      </c>
      <c r="H9482" t="s">
        <v>54</v>
      </c>
      <c r="I9482">
        <v>200</v>
      </c>
      <c r="J9482">
        <v>0</v>
      </c>
      <c r="K9482" s="1">
        <v>10866781</v>
      </c>
    </row>
    <row r="9483" spans="1:11" x14ac:dyDescent="0.25">
      <c r="A9483" t="s">
        <v>9</v>
      </c>
      <c r="B9483" t="s">
        <v>219</v>
      </c>
      <c r="C9483" t="s">
        <v>875</v>
      </c>
      <c r="D9483" t="s">
        <v>14</v>
      </c>
      <c r="E9483">
        <v>6</v>
      </c>
      <c r="F9483" s="2">
        <f>DATE(2026,IF(Tabla1[[#This Row],[Mes de Fecha]]="Septiembre",9,10),Tabla1[[#This Row],[Día de Fecha]])</f>
        <v>46301</v>
      </c>
      <c r="I9483">
        <v>0</v>
      </c>
      <c r="J9483" s="1">
        <v>3722649</v>
      </c>
      <c r="K9483">
        <v>0</v>
      </c>
    </row>
    <row r="9484" spans="1:11" x14ac:dyDescent="0.25">
      <c r="A9484" t="s">
        <v>9</v>
      </c>
      <c r="B9484" t="s">
        <v>219</v>
      </c>
      <c r="C9484" t="s">
        <v>875</v>
      </c>
      <c r="D9484" t="s">
        <v>14</v>
      </c>
      <c r="E9484">
        <v>6</v>
      </c>
      <c r="F9484" s="2">
        <f>DATE(2026,IF(Tabla1[[#This Row],[Mes de Fecha]]="Septiembre",9,10),Tabla1[[#This Row],[Día de Fecha]])</f>
        <v>46301</v>
      </c>
      <c r="G9484">
        <v>1093734423</v>
      </c>
      <c r="H9484" t="s">
        <v>54</v>
      </c>
      <c r="I9484">
        <v>143</v>
      </c>
      <c r="J9484">
        <v>0</v>
      </c>
      <c r="K9484" s="1">
        <v>7041816</v>
      </c>
    </row>
    <row r="9485" spans="1:11" x14ac:dyDescent="0.25">
      <c r="A9485" t="s">
        <v>9</v>
      </c>
      <c r="B9485" t="s">
        <v>219</v>
      </c>
      <c r="C9485" t="s">
        <v>875</v>
      </c>
      <c r="D9485" t="s">
        <v>14</v>
      </c>
      <c r="E9485">
        <v>7</v>
      </c>
      <c r="F9485" s="2">
        <f>DATE(2026,IF(Tabla1[[#This Row],[Mes de Fecha]]="Septiembre",9,10),Tabla1[[#This Row],[Día de Fecha]])</f>
        <v>46302</v>
      </c>
      <c r="I9485">
        <v>0</v>
      </c>
      <c r="J9485" s="1">
        <v>1570031</v>
      </c>
      <c r="K9485">
        <v>0</v>
      </c>
    </row>
    <row r="9486" spans="1:11" x14ac:dyDescent="0.25">
      <c r="A9486" t="s">
        <v>9</v>
      </c>
      <c r="B9486" t="s">
        <v>219</v>
      </c>
      <c r="C9486" t="s">
        <v>875</v>
      </c>
      <c r="D9486" t="s">
        <v>14</v>
      </c>
      <c r="E9486">
        <v>7</v>
      </c>
      <c r="F9486" s="2">
        <f>DATE(2026,IF(Tabla1[[#This Row],[Mes de Fecha]]="Septiembre",9,10),Tabla1[[#This Row],[Día de Fecha]])</f>
        <v>46302</v>
      </c>
      <c r="G9486">
        <v>1093734423</v>
      </c>
      <c r="H9486" t="s">
        <v>54</v>
      </c>
      <c r="I9486">
        <v>106</v>
      </c>
      <c r="J9486">
        <v>0</v>
      </c>
      <c r="K9486" s="1">
        <v>5762143</v>
      </c>
    </row>
    <row r="9487" spans="1:11" x14ac:dyDescent="0.25">
      <c r="A9487" t="s">
        <v>9</v>
      </c>
      <c r="B9487" t="s">
        <v>230</v>
      </c>
      <c r="C9487" t="s">
        <v>875</v>
      </c>
      <c r="D9487" t="s">
        <v>11</v>
      </c>
      <c r="E9487">
        <v>23</v>
      </c>
      <c r="F9487" s="2">
        <f>DATE(2026,IF(Tabla1[[#This Row],[Mes de Fecha]]="Septiembre",9,10),Tabla1[[#This Row],[Día de Fecha]])</f>
        <v>46288</v>
      </c>
      <c r="I9487">
        <v>0</v>
      </c>
      <c r="J9487" s="1">
        <v>1630918</v>
      </c>
      <c r="K9487">
        <v>0</v>
      </c>
    </row>
    <row r="9488" spans="1:11" x14ac:dyDescent="0.25">
      <c r="A9488" t="s">
        <v>9</v>
      </c>
      <c r="B9488" t="s">
        <v>230</v>
      </c>
      <c r="C9488" t="s">
        <v>875</v>
      </c>
      <c r="D9488" t="s">
        <v>11</v>
      </c>
      <c r="E9488">
        <v>23</v>
      </c>
      <c r="F9488" s="2">
        <f>DATE(2026,IF(Tabla1[[#This Row],[Mes de Fecha]]="Septiembre",9,10),Tabla1[[#This Row],[Día de Fecha]])</f>
        <v>46288</v>
      </c>
      <c r="G9488">
        <v>60264453</v>
      </c>
      <c r="H9488" t="s">
        <v>232</v>
      </c>
      <c r="I9488">
        <v>29</v>
      </c>
      <c r="J9488">
        <v>0</v>
      </c>
      <c r="K9488" s="1">
        <v>1364372</v>
      </c>
    </row>
    <row r="9489" spans="1:11" x14ac:dyDescent="0.25">
      <c r="A9489" t="s">
        <v>9</v>
      </c>
      <c r="B9489" t="s">
        <v>230</v>
      </c>
      <c r="C9489" t="s">
        <v>875</v>
      </c>
      <c r="D9489" t="s">
        <v>11</v>
      </c>
      <c r="E9489">
        <v>23</v>
      </c>
      <c r="F9489" s="2">
        <f>DATE(2026,IF(Tabla1[[#This Row],[Mes de Fecha]]="Septiembre",9,10),Tabla1[[#This Row],[Día de Fecha]])</f>
        <v>46288</v>
      </c>
      <c r="G9489">
        <v>1096946118</v>
      </c>
      <c r="H9489" t="s">
        <v>231</v>
      </c>
      <c r="I9489">
        <v>37</v>
      </c>
      <c r="J9489">
        <v>0</v>
      </c>
      <c r="K9489" s="1">
        <v>2292566</v>
      </c>
    </row>
    <row r="9490" spans="1:11" x14ac:dyDescent="0.25">
      <c r="A9490" t="s">
        <v>9</v>
      </c>
      <c r="B9490" t="s">
        <v>230</v>
      </c>
      <c r="C9490" t="s">
        <v>875</v>
      </c>
      <c r="D9490" t="s">
        <v>11</v>
      </c>
      <c r="E9490">
        <v>24</v>
      </c>
      <c r="F9490" s="2">
        <f>DATE(2026,IF(Tabla1[[#This Row],[Mes de Fecha]]="Septiembre",9,10),Tabla1[[#This Row],[Día de Fecha]])</f>
        <v>46289</v>
      </c>
      <c r="I9490">
        <v>0</v>
      </c>
      <c r="J9490" s="1">
        <v>4217862</v>
      </c>
      <c r="K9490">
        <v>0</v>
      </c>
    </row>
    <row r="9491" spans="1:11" x14ac:dyDescent="0.25">
      <c r="A9491" t="s">
        <v>9</v>
      </c>
      <c r="B9491" t="s">
        <v>230</v>
      </c>
      <c r="C9491" t="s">
        <v>875</v>
      </c>
      <c r="D9491" t="s">
        <v>11</v>
      </c>
      <c r="E9491">
        <v>24</v>
      </c>
      <c r="F9491" s="2">
        <f>DATE(2026,IF(Tabla1[[#This Row],[Mes de Fecha]]="Septiembre",9,10),Tabla1[[#This Row],[Día de Fecha]])</f>
        <v>46289</v>
      </c>
      <c r="G9491">
        <v>60264453</v>
      </c>
      <c r="H9491" t="s">
        <v>232</v>
      </c>
      <c r="I9491">
        <v>5</v>
      </c>
      <c r="J9491">
        <v>0</v>
      </c>
      <c r="K9491" s="1">
        <v>356933</v>
      </c>
    </row>
    <row r="9492" spans="1:11" x14ac:dyDescent="0.25">
      <c r="A9492" t="s">
        <v>9</v>
      </c>
      <c r="B9492" t="s">
        <v>230</v>
      </c>
      <c r="C9492" t="s">
        <v>875</v>
      </c>
      <c r="D9492" t="s">
        <v>11</v>
      </c>
      <c r="E9492">
        <v>24</v>
      </c>
      <c r="F9492" s="2">
        <f>DATE(2026,IF(Tabla1[[#This Row],[Mes de Fecha]]="Septiembre",9,10),Tabla1[[#This Row],[Día de Fecha]])</f>
        <v>46289</v>
      </c>
      <c r="G9492">
        <v>1096946118</v>
      </c>
      <c r="H9492" t="s">
        <v>231</v>
      </c>
      <c r="I9492">
        <v>42</v>
      </c>
      <c r="J9492">
        <v>0</v>
      </c>
      <c r="K9492" s="1">
        <v>2489834</v>
      </c>
    </row>
    <row r="9493" spans="1:11" x14ac:dyDescent="0.25">
      <c r="A9493" t="s">
        <v>9</v>
      </c>
      <c r="B9493" t="s">
        <v>230</v>
      </c>
      <c r="C9493" t="s">
        <v>875</v>
      </c>
      <c r="D9493" t="s">
        <v>11</v>
      </c>
      <c r="E9493">
        <v>25</v>
      </c>
      <c r="F9493" s="2">
        <f>DATE(2026,IF(Tabla1[[#This Row],[Mes de Fecha]]="Septiembre",9,10),Tabla1[[#This Row],[Día de Fecha]])</f>
        <v>46290</v>
      </c>
      <c r="I9493">
        <v>0</v>
      </c>
      <c r="J9493" s="1">
        <v>4504909</v>
      </c>
      <c r="K9493">
        <v>0</v>
      </c>
    </row>
    <row r="9494" spans="1:11" x14ac:dyDescent="0.25">
      <c r="A9494" t="s">
        <v>9</v>
      </c>
      <c r="B9494" t="s">
        <v>230</v>
      </c>
      <c r="C9494" t="s">
        <v>875</v>
      </c>
      <c r="D9494" t="s">
        <v>11</v>
      </c>
      <c r="E9494">
        <v>25</v>
      </c>
      <c r="F9494" s="2">
        <f>DATE(2026,IF(Tabla1[[#This Row],[Mes de Fecha]]="Septiembre",9,10),Tabla1[[#This Row],[Día de Fecha]])</f>
        <v>46290</v>
      </c>
      <c r="G9494">
        <v>60264453</v>
      </c>
      <c r="H9494" t="s">
        <v>232</v>
      </c>
      <c r="I9494">
        <v>35</v>
      </c>
      <c r="J9494">
        <v>0</v>
      </c>
      <c r="K9494" s="1">
        <v>1985926</v>
      </c>
    </row>
    <row r="9495" spans="1:11" x14ac:dyDescent="0.25">
      <c r="A9495" t="s">
        <v>9</v>
      </c>
      <c r="B9495" t="s">
        <v>230</v>
      </c>
      <c r="C9495" t="s">
        <v>875</v>
      </c>
      <c r="D9495" t="s">
        <v>11</v>
      </c>
      <c r="E9495">
        <v>25</v>
      </c>
      <c r="F9495" s="2">
        <f>DATE(2026,IF(Tabla1[[#This Row],[Mes de Fecha]]="Septiembre",9,10),Tabla1[[#This Row],[Día de Fecha]])</f>
        <v>46290</v>
      </c>
      <c r="G9495">
        <v>1096946118</v>
      </c>
      <c r="H9495" t="s">
        <v>231</v>
      </c>
      <c r="I9495">
        <v>68</v>
      </c>
      <c r="J9495">
        <v>0</v>
      </c>
      <c r="K9495" s="1">
        <v>3921517</v>
      </c>
    </row>
    <row r="9496" spans="1:11" x14ac:dyDescent="0.25">
      <c r="A9496" t="s">
        <v>9</v>
      </c>
      <c r="B9496" t="s">
        <v>230</v>
      </c>
      <c r="C9496" t="s">
        <v>875</v>
      </c>
      <c r="D9496" t="s">
        <v>11</v>
      </c>
      <c r="E9496">
        <v>26</v>
      </c>
      <c r="F9496" s="2">
        <f>DATE(2026,IF(Tabla1[[#This Row],[Mes de Fecha]]="Septiembre",9,10),Tabla1[[#This Row],[Día de Fecha]])</f>
        <v>46291</v>
      </c>
      <c r="I9496">
        <v>0</v>
      </c>
      <c r="J9496" s="1">
        <v>5680576</v>
      </c>
      <c r="K9496">
        <v>0</v>
      </c>
    </row>
    <row r="9497" spans="1:11" x14ac:dyDescent="0.25">
      <c r="A9497" t="s">
        <v>9</v>
      </c>
      <c r="B9497" t="s">
        <v>230</v>
      </c>
      <c r="C9497" t="s">
        <v>875</v>
      </c>
      <c r="D9497" t="s">
        <v>11</v>
      </c>
      <c r="E9497">
        <v>26</v>
      </c>
      <c r="F9497" s="2">
        <f>DATE(2026,IF(Tabla1[[#This Row],[Mes de Fecha]]="Septiembre",9,10),Tabla1[[#This Row],[Día de Fecha]])</f>
        <v>46291</v>
      </c>
      <c r="G9497">
        <v>60264453</v>
      </c>
      <c r="H9497" t="s">
        <v>232</v>
      </c>
      <c r="I9497">
        <v>51</v>
      </c>
      <c r="J9497">
        <v>0</v>
      </c>
      <c r="K9497" s="1">
        <v>3441138</v>
      </c>
    </row>
    <row r="9498" spans="1:11" x14ac:dyDescent="0.25">
      <c r="A9498" t="s">
        <v>9</v>
      </c>
      <c r="B9498" t="s">
        <v>230</v>
      </c>
      <c r="C9498" t="s">
        <v>875</v>
      </c>
      <c r="D9498" t="s">
        <v>11</v>
      </c>
      <c r="E9498">
        <v>26</v>
      </c>
      <c r="F9498" s="2">
        <f>DATE(2026,IF(Tabla1[[#This Row],[Mes de Fecha]]="Septiembre",9,10),Tabla1[[#This Row],[Día de Fecha]])</f>
        <v>46291</v>
      </c>
      <c r="G9498">
        <v>1096946118</v>
      </c>
      <c r="H9498" t="s">
        <v>231</v>
      </c>
      <c r="I9498">
        <v>72</v>
      </c>
      <c r="J9498">
        <v>0</v>
      </c>
      <c r="K9498" s="1">
        <v>4261640</v>
      </c>
    </row>
    <row r="9499" spans="1:11" x14ac:dyDescent="0.25">
      <c r="A9499" t="s">
        <v>9</v>
      </c>
      <c r="B9499" t="s">
        <v>230</v>
      </c>
      <c r="C9499" t="s">
        <v>875</v>
      </c>
      <c r="D9499" t="s">
        <v>11</v>
      </c>
      <c r="E9499">
        <v>27</v>
      </c>
      <c r="F9499" s="2">
        <f>DATE(2026,IF(Tabla1[[#This Row],[Mes de Fecha]]="Septiembre",9,10),Tabla1[[#This Row],[Día de Fecha]])</f>
        <v>46292</v>
      </c>
      <c r="I9499">
        <v>0</v>
      </c>
      <c r="J9499" s="1">
        <v>2999291</v>
      </c>
      <c r="K9499">
        <v>0</v>
      </c>
    </row>
    <row r="9500" spans="1:11" x14ac:dyDescent="0.25">
      <c r="A9500" t="s">
        <v>9</v>
      </c>
      <c r="B9500" t="s">
        <v>230</v>
      </c>
      <c r="C9500" t="s">
        <v>875</v>
      </c>
      <c r="D9500" t="s">
        <v>11</v>
      </c>
      <c r="E9500">
        <v>27</v>
      </c>
      <c r="F9500" s="2">
        <f>DATE(2026,IF(Tabla1[[#This Row],[Mes de Fecha]]="Septiembre",9,10),Tabla1[[#This Row],[Día de Fecha]])</f>
        <v>46292</v>
      </c>
      <c r="G9500">
        <v>60264453</v>
      </c>
      <c r="H9500" t="s">
        <v>232</v>
      </c>
      <c r="I9500">
        <v>2</v>
      </c>
      <c r="J9500">
        <v>0</v>
      </c>
      <c r="K9500">
        <v>-126</v>
      </c>
    </row>
    <row r="9501" spans="1:11" x14ac:dyDescent="0.25">
      <c r="A9501" t="s">
        <v>9</v>
      </c>
      <c r="B9501" t="s">
        <v>230</v>
      </c>
      <c r="C9501" t="s">
        <v>875</v>
      </c>
      <c r="D9501" t="s">
        <v>11</v>
      </c>
      <c r="E9501">
        <v>27</v>
      </c>
      <c r="F9501" s="2">
        <f>DATE(2026,IF(Tabla1[[#This Row],[Mes de Fecha]]="Septiembre",9,10),Tabla1[[#This Row],[Día de Fecha]])</f>
        <v>46292</v>
      </c>
      <c r="G9501">
        <v>1096946118</v>
      </c>
      <c r="H9501" t="s">
        <v>231</v>
      </c>
      <c r="I9501">
        <v>18</v>
      </c>
      <c r="J9501">
        <v>0</v>
      </c>
      <c r="K9501" s="1">
        <v>999245</v>
      </c>
    </row>
    <row r="9502" spans="1:11" x14ac:dyDescent="0.25">
      <c r="A9502" t="s">
        <v>9</v>
      </c>
      <c r="B9502" t="s">
        <v>230</v>
      </c>
      <c r="C9502" t="s">
        <v>875</v>
      </c>
      <c r="D9502" t="s">
        <v>11</v>
      </c>
      <c r="E9502">
        <v>28</v>
      </c>
      <c r="F9502" s="2">
        <f>DATE(2026,IF(Tabla1[[#This Row],[Mes de Fecha]]="Septiembre",9,10),Tabla1[[#This Row],[Día de Fecha]])</f>
        <v>46293</v>
      </c>
      <c r="I9502">
        <v>0</v>
      </c>
      <c r="J9502" s="1">
        <v>2459091</v>
      </c>
      <c r="K9502">
        <v>0</v>
      </c>
    </row>
    <row r="9503" spans="1:11" x14ac:dyDescent="0.25">
      <c r="A9503" t="s">
        <v>9</v>
      </c>
      <c r="B9503" t="s">
        <v>230</v>
      </c>
      <c r="C9503" t="s">
        <v>875</v>
      </c>
      <c r="D9503" t="s">
        <v>11</v>
      </c>
      <c r="E9503">
        <v>28</v>
      </c>
      <c r="F9503" s="2">
        <f>DATE(2026,IF(Tabla1[[#This Row],[Mes de Fecha]]="Septiembre",9,10),Tabla1[[#This Row],[Día de Fecha]])</f>
        <v>46293</v>
      </c>
      <c r="G9503">
        <v>60264453</v>
      </c>
      <c r="H9503" t="s">
        <v>232</v>
      </c>
      <c r="I9503">
        <v>16</v>
      </c>
      <c r="J9503">
        <v>0</v>
      </c>
      <c r="K9503" s="1">
        <v>944624</v>
      </c>
    </row>
    <row r="9504" spans="1:11" x14ac:dyDescent="0.25">
      <c r="A9504" t="s">
        <v>9</v>
      </c>
      <c r="B9504" t="s">
        <v>230</v>
      </c>
      <c r="C9504" t="s">
        <v>875</v>
      </c>
      <c r="D9504" t="s">
        <v>11</v>
      </c>
      <c r="E9504">
        <v>28</v>
      </c>
      <c r="F9504" s="2">
        <f>DATE(2026,IF(Tabla1[[#This Row],[Mes de Fecha]]="Septiembre",9,10),Tabla1[[#This Row],[Día de Fecha]])</f>
        <v>46293</v>
      </c>
      <c r="G9504">
        <v>1096946118</v>
      </c>
      <c r="H9504" t="s">
        <v>231</v>
      </c>
      <c r="I9504">
        <v>37</v>
      </c>
      <c r="J9504">
        <v>0</v>
      </c>
      <c r="K9504" s="1">
        <v>1756600</v>
      </c>
    </row>
    <row r="9505" spans="1:11" x14ac:dyDescent="0.25">
      <c r="A9505" t="s">
        <v>9</v>
      </c>
      <c r="B9505" t="s">
        <v>230</v>
      </c>
      <c r="C9505" t="s">
        <v>875</v>
      </c>
      <c r="D9505" t="s">
        <v>11</v>
      </c>
      <c r="E9505">
        <v>29</v>
      </c>
      <c r="F9505" s="2">
        <f>DATE(2026,IF(Tabla1[[#This Row],[Mes de Fecha]]="Septiembre",9,10),Tabla1[[#This Row],[Día de Fecha]])</f>
        <v>46294</v>
      </c>
      <c r="I9505">
        <v>0</v>
      </c>
      <c r="J9505" s="1">
        <v>2733783</v>
      </c>
      <c r="K9505">
        <v>0</v>
      </c>
    </row>
    <row r="9506" spans="1:11" x14ac:dyDescent="0.25">
      <c r="A9506" t="s">
        <v>9</v>
      </c>
      <c r="B9506" t="s">
        <v>230</v>
      </c>
      <c r="C9506" t="s">
        <v>875</v>
      </c>
      <c r="D9506" t="s">
        <v>11</v>
      </c>
      <c r="E9506">
        <v>29</v>
      </c>
      <c r="F9506" s="2">
        <f>DATE(2026,IF(Tabla1[[#This Row],[Mes de Fecha]]="Septiembre",9,10),Tabla1[[#This Row],[Día de Fecha]])</f>
        <v>46294</v>
      </c>
      <c r="G9506">
        <v>60264453</v>
      </c>
      <c r="H9506" t="s">
        <v>232</v>
      </c>
      <c r="I9506">
        <v>6</v>
      </c>
      <c r="J9506">
        <v>0</v>
      </c>
      <c r="K9506" s="1">
        <v>327479</v>
      </c>
    </row>
    <row r="9507" spans="1:11" x14ac:dyDescent="0.25">
      <c r="A9507" t="s">
        <v>9</v>
      </c>
      <c r="B9507" t="s">
        <v>230</v>
      </c>
      <c r="C9507" t="s">
        <v>875</v>
      </c>
      <c r="D9507" t="s">
        <v>11</v>
      </c>
      <c r="E9507">
        <v>29</v>
      </c>
      <c r="F9507" s="2">
        <f>DATE(2026,IF(Tabla1[[#This Row],[Mes de Fecha]]="Septiembre",9,10),Tabla1[[#This Row],[Día de Fecha]])</f>
        <v>46294</v>
      </c>
      <c r="G9507">
        <v>1096946118</v>
      </c>
      <c r="H9507" t="s">
        <v>231</v>
      </c>
      <c r="I9507">
        <v>24</v>
      </c>
      <c r="J9507">
        <v>0</v>
      </c>
      <c r="K9507" s="1">
        <v>1292899</v>
      </c>
    </row>
    <row r="9508" spans="1:11" x14ac:dyDescent="0.25">
      <c r="A9508" t="s">
        <v>9</v>
      </c>
      <c r="B9508" t="s">
        <v>230</v>
      </c>
      <c r="C9508" t="s">
        <v>875</v>
      </c>
      <c r="D9508" t="s">
        <v>11</v>
      </c>
      <c r="E9508">
        <v>30</v>
      </c>
      <c r="F9508" s="2">
        <f>DATE(2026,IF(Tabla1[[#This Row],[Mes de Fecha]]="Septiembre",9,10),Tabla1[[#This Row],[Día de Fecha]])</f>
        <v>46295</v>
      </c>
      <c r="I9508">
        <v>0</v>
      </c>
      <c r="J9508" s="1">
        <v>2895164</v>
      </c>
      <c r="K9508">
        <v>0</v>
      </c>
    </row>
    <row r="9509" spans="1:11" x14ac:dyDescent="0.25">
      <c r="A9509" t="s">
        <v>9</v>
      </c>
      <c r="B9509" t="s">
        <v>230</v>
      </c>
      <c r="C9509" t="s">
        <v>875</v>
      </c>
      <c r="D9509" t="s">
        <v>11</v>
      </c>
      <c r="E9509">
        <v>30</v>
      </c>
      <c r="F9509" s="2">
        <f>DATE(2026,IF(Tabla1[[#This Row],[Mes de Fecha]]="Septiembre",9,10),Tabla1[[#This Row],[Día de Fecha]])</f>
        <v>46295</v>
      </c>
      <c r="G9509">
        <v>60264453</v>
      </c>
      <c r="H9509" t="s">
        <v>232</v>
      </c>
      <c r="I9509">
        <v>14</v>
      </c>
      <c r="J9509">
        <v>0</v>
      </c>
      <c r="K9509" s="1">
        <v>898573</v>
      </c>
    </row>
    <row r="9510" spans="1:11" x14ac:dyDescent="0.25">
      <c r="A9510" t="s">
        <v>9</v>
      </c>
      <c r="B9510" t="s">
        <v>230</v>
      </c>
      <c r="C9510" t="s">
        <v>875</v>
      </c>
      <c r="D9510" t="s">
        <v>11</v>
      </c>
      <c r="E9510">
        <v>30</v>
      </c>
      <c r="F9510" s="2">
        <f>DATE(2026,IF(Tabla1[[#This Row],[Mes de Fecha]]="Septiembre",9,10),Tabla1[[#This Row],[Día de Fecha]])</f>
        <v>46295</v>
      </c>
      <c r="G9510">
        <v>1096946118</v>
      </c>
      <c r="H9510" t="s">
        <v>231</v>
      </c>
      <c r="I9510">
        <v>28</v>
      </c>
      <c r="J9510">
        <v>0</v>
      </c>
      <c r="K9510" s="1">
        <v>1532356</v>
      </c>
    </row>
    <row r="9511" spans="1:11" x14ac:dyDescent="0.25">
      <c r="A9511" t="s">
        <v>9</v>
      </c>
      <c r="B9511" t="s">
        <v>230</v>
      </c>
      <c r="C9511" t="s">
        <v>875</v>
      </c>
      <c r="D9511" t="s">
        <v>14</v>
      </c>
      <c r="E9511">
        <v>1</v>
      </c>
      <c r="F9511" s="2">
        <f>DATE(2026,IF(Tabla1[[#This Row],[Mes de Fecha]]="Septiembre",9,10),Tabla1[[#This Row],[Día de Fecha]])</f>
        <v>46296</v>
      </c>
      <c r="I9511">
        <v>0</v>
      </c>
      <c r="J9511" s="1">
        <v>6377407</v>
      </c>
      <c r="K9511">
        <v>0</v>
      </c>
    </row>
    <row r="9512" spans="1:11" x14ac:dyDescent="0.25">
      <c r="A9512" t="s">
        <v>9</v>
      </c>
      <c r="B9512" t="s">
        <v>230</v>
      </c>
      <c r="C9512" t="s">
        <v>875</v>
      </c>
      <c r="D9512" t="s">
        <v>14</v>
      </c>
      <c r="E9512">
        <v>1</v>
      </c>
      <c r="F9512" s="2">
        <f>DATE(2026,IF(Tabla1[[#This Row],[Mes de Fecha]]="Septiembre",9,10),Tabla1[[#This Row],[Día de Fecha]])</f>
        <v>46296</v>
      </c>
      <c r="G9512">
        <v>60264453</v>
      </c>
      <c r="H9512" t="s">
        <v>232</v>
      </c>
      <c r="I9512">
        <v>43</v>
      </c>
      <c r="J9512">
        <v>0</v>
      </c>
      <c r="K9512" s="1">
        <v>2250213</v>
      </c>
    </row>
    <row r="9513" spans="1:11" x14ac:dyDescent="0.25">
      <c r="A9513" t="s">
        <v>9</v>
      </c>
      <c r="B9513" t="s">
        <v>230</v>
      </c>
      <c r="C9513" t="s">
        <v>875</v>
      </c>
      <c r="D9513" t="s">
        <v>14</v>
      </c>
      <c r="E9513">
        <v>1</v>
      </c>
      <c r="F9513" s="2">
        <f>DATE(2026,IF(Tabla1[[#This Row],[Mes de Fecha]]="Septiembre",9,10),Tabla1[[#This Row],[Día de Fecha]])</f>
        <v>46296</v>
      </c>
      <c r="G9513">
        <v>1096946118</v>
      </c>
      <c r="H9513" t="s">
        <v>231</v>
      </c>
      <c r="I9513">
        <v>68</v>
      </c>
      <c r="J9513">
        <v>0</v>
      </c>
      <c r="K9513" s="1">
        <v>3971894</v>
      </c>
    </row>
    <row r="9514" spans="1:11" x14ac:dyDescent="0.25">
      <c r="A9514" t="s">
        <v>9</v>
      </c>
      <c r="B9514" t="s">
        <v>230</v>
      </c>
      <c r="C9514" t="s">
        <v>875</v>
      </c>
      <c r="D9514" t="s">
        <v>14</v>
      </c>
      <c r="E9514">
        <v>2</v>
      </c>
      <c r="F9514" s="2">
        <f>DATE(2026,IF(Tabla1[[#This Row],[Mes de Fecha]]="Septiembre",9,10),Tabla1[[#This Row],[Día de Fecha]])</f>
        <v>46297</v>
      </c>
      <c r="I9514">
        <v>0</v>
      </c>
      <c r="J9514" s="1">
        <v>5853564</v>
      </c>
      <c r="K9514">
        <v>0</v>
      </c>
    </row>
    <row r="9515" spans="1:11" x14ac:dyDescent="0.25">
      <c r="A9515" t="s">
        <v>9</v>
      </c>
      <c r="B9515" t="s">
        <v>230</v>
      </c>
      <c r="C9515" t="s">
        <v>875</v>
      </c>
      <c r="D9515" t="s">
        <v>14</v>
      </c>
      <c r="E9515">
        <v>2</v>
      </c>
      <c r="F9515" s="2">
        <f>DATE(2026,IF(Tabla1[[#This Row],[Mes de Fecha]]="Septiembre",9,10),Tabla1[[#This Row],[Día de Fecha]])</f>
        <v>46297</v>
      </c>
      <c r="G9515">
        <v>60264453</v>
      </c>
      <c r="H9515" t="s">
        <v>232</v>
      </c>
      <c r="I9515">
        <v>15</v>
      </c>
      <c r="J9515">
        <v>0</v>
      </c>
      <c r="K9515" s="1">
        <v>1100126</v>
      </c>
    </row>
    <row r="9516" spans="1:11" x14ac:dyDescent="0.25">
      <c r="A9516" t="s">
        <v>9</v>
      </c>
      <c r="B9516" t="s">
        <v>230</v>
      </c>
      <c r="C9516" t="s">
        <v>875</v>
      </c>
      <c r="D9516" t="s">
        <v>14</v>
      </c>
      <c r="E9516">
        <v>2</v>
      </c>
      <c r="F9516" s="2">
        <f>DATE(2026,IF(Tabla1[[#This Row],[Mes de Fecha]]="Septiembre",9,10),Tabla1[[#This Row],[Día de Fecha]])</f>
        <v>46297</v>
      </c>
      <c r="G9516">
        <v>1096946118</v>
      </c>
      <c r="H9516" t="s">
        <v>231</v>
      </c>
      <c r="I9516">
        <v>29</v>
      </c>
      <c r="J9516">
        <v>0</v>
      </c>
      <c r="K9516" s="1">
        <v>1765466</v>
      </c>
    </row>
    <row r="9517" spans="1:11" x14ac:dyDescent="0.25">
      <c r="A9517" t="s">
        <v>9</v>
      </c>
      <c r="B9517" t="s">
        <v>230</v>
      </c>
      <c r="C9517" t="s">
        <v>875</v>
      </c>
      <c r="D9517" t="s">
        <v>14</v>
      </c>
      <c r="E9517">
        <v>3</v>
      </c>
      <c r="F9517" s="2">
        <f>DATE(2026,IF(Tabla1[[#This Row],[Mes de Fecha]]="Septiembre",9,10),Tabla1[[#This Row],[Día de Fecha]])</f>
        <v>46298</v>
      </c>
      <c r="I9517">
        <v>0</v>
      </c>
      <c r="J9517" s="1">
        <v>8540702</v>
      </c>
      <c r="K9517">
        <v>0</v>
      </c>
    </row>
    <row r="9518" spans="1:11" x14ac:dyDescent="0.25">
      <c r="A9518" t="s">
        <v>9</v>
      </c>
      <c r="B9518" t="s">
        <v>230</v>
      </c>
      <c r="C9518" t="s">
        <v>875</v>
      </c>
      <c r="D9518" t="s">
        <v>14</v>
      </c>
      <c r="E9518">
        <v>3</v>
      </c>
      <c r="F9518" s="2">
        <f>DATE(2026,IF(Tabla1[[#This Row],[Mes de Fecha]]="Septiembre",9,10),Tabla1[[#This Row],[Día de Fecha]])</f>
        <v>46298</v>
      </c>
      <c r="G9518">
        <v>60264453</v>
      </c>
      <c r="H9518" t="s">
        <v>232</v>
      </c>
      <c r="I9518">
        <v>58</v>
      </c>
      <c r="J9518">
        <v>0</v>
      </c>
      <c r="K9518" s="1">
        <v>2523759</v>
      </c>
    </row>
    <row r="9519" spans="1:11" x14ac:dyDescent="0.25">
      <c r="A9519" t="s">
        <v>9</v>
      </c>
      <c r="B9519" t="s">
        <v>230</v>
      </c>
      <c r="C9519" t="s">
        <v>875</v>
      </c>
      <c r="D9519" t="s">
        <v>14</v>
      </c>
      <c r="E9519">
        <v>3</v>
      </c>
      <c r="F9519" s="2">
        <f>DATE(2026,IF(Tabla1[[#This Row],[Mes de Fecha]]="Septiembre",9,10),Tabla1[[#This Row],[Día de Fecha]])</f>
        <v>46298</v>
      </c>
      <c r="G9519">
        <v>1096946118</v>
      </c>
      <c r="H9519" t="s">
        <v>231</v>
      </c>
      <c r="I9519">
        <v>61</v>
      </c>
      <c r="J9519">
        <v>0</v>
      </c>
      <c r="K9519" s="1">
        <v>3605936</v>
      </c>
    </row>
    <row r="9520" spans="1:11" x14ac:dyDescent="0.25">
      <c r="A9520" t="s">
        <v>9</v>
      </c>
      <c r="B9520" t="s">
        <v>230</v>
      </c>
      <c r="C9520" t="s">
        <v>875</v>
      </c>
      <c r="D9520" t="s">
        <v>14</v>
      </c>
      <c r="E9520">
        <v>4</v>
      </c>
      <c r="F9520" s="2">
        <f>DATE(2026,IF(Tabla1[[#This Row],[Mes de Fecha]]="Septiembre",9,10),Tabla1[[#This Row],[Día de Fecha]])</f>
        <v>46299</v>
      </c>
      <c r="I9520">
        <v>0</v>
      </c>
      <c r="J9520" s="1">
        <v>4457745</v>
      </c>
      <c r="K9520">
        <v>0</v>
      </c>
    </row>
    <row r="9521" spans="1:11" x14ac:dyDescent="0.25">
      <c r="A9521" t="s">
        <v>9</v>
      </c>
      <c r="B9521" t="s">
        <v>230</v>
      </c>
      <c r="C9521" t="s">
        <v>875</v>
      </c>
      <c r="D9521" t="s">
        <v>14</v>
      </c>
      <c r="E9521">
        <v>4</v>
      </c>
      <c r="F9521" s="2">
        <f>DATE(2026,IF(Tabla1[[#This Row],[Mes de Fecha]]="Septiembre",9,10),Tabla1[[#This Row],[Día de Fecha]])</f>
        <v>46299</v>
      </c>
      <c r="G9521">
        <v>60264453</v>
      </c>
      <c r="H9521" t="s">
        <v>232</v>
      </c>
      <c r="I9521">
        <v>29</v>
      </c>
      <c r="J9521">
        <v>0</v>
      </c>
      <c r="K9521" s="1">
        <v>1916767</v>
      </c>
    </row>
    <row r="9522" spans="1:11" x14ac:dyDescent="0.25">
      <c r="A9522" t="s">
        <v>9</v>
      </c>
      <c r="B9522" t="s">
        <v>230</v>
      </c>
      <c r="C9522" t="s">
        <v>875</v>
      </c>
      <c r="D9522" t="s">
        <v>14</v>
      </c>
      <c r="E9522">
        <v>5</v>
      </c>
      <c r="F9522" s="2">
        <f>DATE(2026,IF(Tabla1[[#This Row],[Mes de Fecha]]="Septiembre",9,10),Tabla1[[#This Row],[Día de Fecha]])</f>
        <v>46300</v>
      </c>
      <c r="I9522">
        <v>0</v>
      </c>
      <c r="J9522" s="1">
        <v>3625075</v>
      </c>
      <c r="K9522">
        <v>0</v>
      </c>
    </row>
    <row r="9523" spans="1:11" x14ac:dyDescent="0.25">
      <c r="A9523" t="s">
        <v>9</v>
      </c>
      <c r="B9523" t="s">
        <v>230</v>
      </c>
      <c r="C9523" t="s">
        <v>875</v>
      </c>
      <c r="D9523" t="s">
        <v>14</v>
      </c>
      <c r="E9523">
        <v>5</v>
      </c>
      <c r="F9523" s="2">
        <f>DATE(2026,IF(Tabla1[[#This Row],[Mes de Fecha]]="Septiembre",9,10),Tabla1[[#This Row],[Día de Fecha]])</f>
        <v>46300</v>
      </c>
      <c r="G9523">
        <v>60264453</v>
      </c>
      <c r="H9523" t="s">
        <v>232</v>
      </c>
      <c r="I9523">
        <v>21</v>
      </c>
      <c r="J9523">
        <v>0</v>
      </c>
      <c r="K9523" s="1">
        <v>1217522</v>
      </c>
    </row>
    <row r="9524" spans="1:11" x14ac:dyDescent="0.25">
      <c r="A9524" t="s">
        <v>9</v>
      </c>
      <c r="B9524" t="s">
        <v>230</v>
      </c>
      <c r="C9524" t="s">
        <v>875</v>
      </c>
      <c r="D9524" t="s">
        <v>14</v>
      </c>
      <c r="E9524">
        <v>5</v>
      </c>
      <c r="F9524" s="2">
        <f>DATE(2026,IF(Tabla1[[#This Row],[Mes de Fecha]]="Septiembre",9,10),Tabla1[[#This Row],[Día de Fecha]])</f>
        <v>46300</v>
      </c>
      <c r="G9524">
        <v>1096946118</v>
      </c>
      <c r="H9524" t="s">
        <v>231</v>
      </c>
      <c r="I9524">
        <v>36</v>
      </c>
      <c r="J9524">
        <v>0</v>
      </c>
      <c r="K9524" s="1">
        <v>2057061</v>
      </c>
    </row>
    <row r="9525" spans="1:11" x14ac:dyDescent="0.25">
      <c r="A9525" t="s">
        <v>9</v>
      </c>
      <c r="B9525" t="s">
        <v>230</v>
      </c>
      <c r="C9525" t="s">
        <v>875</v>
      </c>
      <c r="D9525" t="s">
        <v>14</v>
      </c>
      <c r="E9525">
        <v>6</v>
      </c>
      <c r="F9525" s="2">
        <f>DATE(2026,IF(Tabla1[[#This Row],[Mes de Fecha]]="Septiembre",9,10),Tabla1[[#This Row],[Día de Fecha]])</f>
        <v>46301</v>
      </c>
      <c r="I9525">
        <v>0</v>
      </c>
      <c r="J9525" s="1">
        <v>2987804</v>
      </c>
      <c r="K9525">
        <v>0</v>
      </c>
    </row>
    <row r="9526" spans="1:11" x14ac:dyDescent="0.25">
      <c r="A9526" t="s">
        <v>9</v>
      </c>
      <c r="B9526" t="s">
        <v>230</v>
      </c>
      <c r="C9526" t="s">
        <v>875</v>
      </c>
      <c r="D9526" t="s">
        <v>14</v>
      </c>
      <c r="E9526">
        <v>6</v>
      </c>
      <c r="F9526" s="2">
        <f>DATE(2026,IF(Tabla1[[#This Row],[Mes de Fecha]]="Septiembre",9,10),Tabla1[[#This Row],[Día de Fecha]])</f>
        <v>46301</v>
      </c>
      <c r="G9526">
        <v>60264453</v>
      </c>
      <c r="H9526" t="s">
        <v>232</v>
      </c>
      <c r="I9526">
        <v>25</v>
      </c>
      <c r="J9526">
        <v>0</v>
      </c>
      <c r="K9526" s="1">
        <v>1440001</v>
      </c>
    </row>
    <row r="9527" spans="1:11" x14ac:dyDescent="0.25">
      <c r="A9527" t="s">
        <v>9</v>
      </c>
      <c r="B9527" t="s">
        <v>230</v>
      </c>
      <c r="C9527" t="s">
        <v>875</v>
      </c>
      <c r="D9527" t="s">
        <v>14</v>
      </c>
      <c r="E9527">
        <v>6</v>
      </c>
      <c r="F9527" s="2">
        <f>DATE(2026,IF(Tabla1[[#This Row],[Mes de Fecha]]="Septiembre",9,10),Tabla1[[#This Row],[Día de Fecha]])</f>
        <v>46301</v>
      </c>
      <c r="G9527">
        <v>1096946118</v>
      </c>
      <c r="H9527" t="s">
        <v>231</v>
      </c>
      <c r="I9527">
        <v>31</v>
      </c>
      <c r="J9527">
        <v>0</v>
      </c>
      <c r="K9527" s="1">
        <v>1637187</v>
      </c>
    </row>
    <row r="9528" spans="1:11" x14ac:dyDescent="0.25">
      <c r="A9528" t="s">
        <v>9</v>
      </c>
      <c r="B9528" t="s">
        <v>230</v>
      </c>
      <c r="C9528" t="s">
        <v>875</v>
      </c>
      <c r="D9528" t="s">
        <v>14</v>
      </c>
      <c r="E9528">
        <v>7</v>
      </c>
      <c r="F9528" s="2">
        <f>DATE(2026,IF(Tabla1[[#This Row],[Mes de Fecha]]="Septiembre",9,10),Tabla1[[#This Row],[Día de Fecha]])</f>
        <v>46302</v>
      </c>
      <c r="I9528">
        <v>0</v>
      </c>
      <c r="J9528" s="1">
        <v>1488549</v>
      </c>
      <c r="K9528">
        <v>0</v>
      </c>
    </row>
    <row r="9529" spans="1:11" x14ac:dyDescent="0.25">
      <c r="A9529" t="s">
        <v>9</v>
      </c>
      <c r="B9529" t="s">
        <v>230</v>
      </c>
      <c r="C9529" t="s">
        <v>875</v>
      </c>
      <c r="D9529" t="s">
        <v>14</v>
      </c>
      <c r="E9529">
        <v>7</v>
      </c>
      <c r="F9529" s="2">
        <f>DATE(2026,IF(Tabla1[[#This Row],[Mes de Fecha]]="Septiembre",9,10),Tabla1[[#This Row],[Día de Fecha]])</f>
        <v>46302</v>
      </c>
      <c r="G9529">
        <v>60264453</v>
      </c>
      <c r="H9529" t="s">
        <v>232</v>
      </c>
      <c r="I9529">
        <v>32</v>
      </c>
      <c r="J9529">
        <v>0</v>
      </c>
      <c r="K9529" s="1">
        <v>1736011</v>
      </c>
    </row>
    <row r="9530" spans="1:11" x14ac:dyDescent="0.25">
      <c r="A9530" t="s">
        <v>9</v>
      </c>
      <c r="B9530" t="s">
        <v>230</v>
      </c>
      <c r="C9530" t="s">
        <v>875</v>
      </c>
      <c r="D9530" t="s">
        <v>14</v>
      </c>
      <c r="E9530">
        <v>7</v>
      </c>
      <c r="F9530" s="2">
        <f>DATE(2026,IF(Tabla1[[#This Row],[Mes de Fecha]]="Septiembre",9,10),Tabla1[[#This Row],[Día de Fecha]])</f>
        <v>46302</v>
      </c>
      <c r="G9530">
        <v>1096946118</v>
      </c>
      <c r="H9530" t="s">
        <v>231</v>
      </c>
      <c r="I9530">
        <v>25</v>
      </c>
      <c r="J9530">
        <v>0</v>
      </c>
      <c r="K9530" s="1">
        <v>1349666</v>
      </c>
    </row>
    <row r="9531" spans="1:11" x14ac:dyDescent="0.25">
      <c r="A9531" t="s">
        <v>9</v>
      </c>
      <c r="B9531" t="s">
        <v>238</v>
      </c>
      <c r="C9531" t="s">
        <v>875</v>
      </c>
      <c r="D9531" t="s">
        <v>11</v>
      </c>
      <c r="E9531">
        <v>23</v>
      </c>
      <c r="F9531" s="2">
        <f>DATE(2026,IF(Tabla1[[#This Row],[Mes de Fecha]]="Septiembre",9,10),Tabla1[[#This Row],[Día de Fecha]])</f>
        <v>46288</v>
      </c>
      <c r="I9531">
        <v>0</v>
      </c>
      <c r="J9531" s="1">
        <v>2617191</v>
      </c>
      <c r="K9531">
        <v>0</v>
      </c>
    </row>
    <row r="9532" spans="1:11" x14ac:dyDescent="0.25">
      <c r="A9532" t="s">
        <v>9</v>
      </c>
      <c r="B9532" t="s">
        <v>238</v>
      </c>
      <c r="C9532" t="s">
        <v>875</v>
      </c>
      <c r="D9532" t="s">
        <v>11</v>
      </c>
      <c r="E9532">
        <v>23</v>
      </c>
      <c r="F9532" s="2">
        <f>DATE(2026,IF(Tabla1[[#This Row],[Mes de Fecha]]="Septiembre",9,10),Tabla1[[#This Row],[Día de Fecha]])</f>
        <v>46288</v>
      </c>
      <c r="G9532">
        <v>1066868083</v>
      </c>
      <c r="H9532" t="s">
        <v>240</v>
      </c>
      <c r="I9532">
        <v>71</v>
      </c>
      <c r="J9532">
        <v>0</v>
      </c>
      <c r="K9532" s="1">
        <v>3665088</v>
      </c>
    </row>
    <row r="9533" spans="1:11" x14ac:dyDescent="0.25">
      <c r="A9533" t="s">
        <v>9</v>
      </c>
      <c r="B9533" t="s">
        <v>238</v>
      </c>
      <c r="C9533" t="s">
        <v>875</v>
      </c>
      <c r="D9533" t="s">
        <v>11</v>
      </c>
      <c r="E9533">
        <v>23</v>
      </c>
      <c r="F9533" s="2">
        <f>DATE(2026,IF(Tabla1[[#This Row],[Mes de Fecha]]="Septiembre",9,10),Tabla1[[#This Row],[Día de Fecha]])</f>
        <v>46288</v>
      </c>
      <c r="G9533">
        <v>1067728540</v>
      </c>
      <c r="H9533" t="s">
        <v>239</v>
      </c>
      <c r="I9533">
        <v>25</v>
      </c>
      <c r="J9533">
        <v>0</v>
      </c>
      <c r="K9533" s="1">
        <v>1305672</v>
      </c>
    </row>
    <row r="9534" spans="1:11" x14ac:dyDescent="0.25">
      <c r="A9534" t="s">
        <v>9</v>
      </c>
      <c r="B9534" t="s">
        <v>238</v>
      </c>
      <c r="C9534" t="s">
        <v>875</v>
      </c>
      <c r="D9534" t="s">
        <v>11</v>
      </c>
      <c r="E9534">
        <v>24</v>
      </c>
      <c r="F9534" s="2">
        <f>DATE(2026,IF(Tabla1[[#This Row],[Mes de Fecha]]="Septiembre",9,10),Tabla1[[#This Row],[Día de Fecha]])</f>
        <v>46289</v>
      </c>
      <c r="I9534">
        <v>0</v>
      </c>
      <c r="J9534" s="1">
        <v>6768561</v>
      </c>
      <c r="K9534">
        <v>0</v>
      </c>
    </row>
    <row r="9535" spans="1:11" x14ac:dyDescent="0.25">
      <c r="A9535" t="s">
        <v>9</v>
      </c>
      <c r="B9535" t="s">
        <v>238</v>
      </c>
      <c r="C9535" t="s">
        <v>875</v>
      </c>
      <c r="D9535" t="s">
        <v>11</v>
      </c>
      <c r="E9535">
        <v>24</v>
      </c>
      <c r="F9535" s="2">
        <f>DATE(2026,IF(Tabla1[[#This Row],[Mes de Fecha]]="Septiembre",9,10),Tabla1[[#This Row],[Día de Fecha]])</f>
        <v>46289</v>
      </c>
      <c r="G9535">
        <v>1066868083</v>
      </c>
      <c r="H9535" t="s">
        <v>240</v>
      </c>
      <c r="I9535">
        <v>111</v>
      </c>
      <c r="J9535">
        <v>0</v>
      </c>
      <c r="K9535" s="1">
        <v>5949119</v>
      </c>
    </row>
    <row r="9536" spans="1:11" x14ac:dyDescent="0.25">
      <c r="A9536" t="s">
        <v>9</v>
      </c>
      <c r="B9536" t="s">
        <v>238</v>
      </c>
      <c r="C9536" t="s">
        <v>875</v>
      </c>
      <c r="D9536" t="s">
        <v>11</v>
      </c>
      <c r="E9536">
        <v>25</v>
      </c>
      <c r="F9536" s="2">
        <f>DATE(2026,IF(Tabla1[[#This Row],[Mes de Fecha]]="Septiembre",9,10),Tabla1[[#This Row],[Día de Fecha]])</f>
        <v>46290</v>
      </c>
      <c r="I9536">
        <v>0</v>
      </c>
      <c r="J9536" s="1">
        <v>7229192</v>
      </c>
      <c r="K9536">
        <v>0</v>
      </c>
    </row>
    <row r="9537" spans="1:11" x14ac:dyDescent="0.25">
      <c r="A9537" t="s">
        <v>9</v>
      </c>
      <c r="B9537" t="s">
        <v>238</v>
      </c>
      <c r="C9537" t="s">
        <v>875</v>
      </c>
      <c r="D9537" t="s">
        <v>11</v>
      </c>
      <c r="E9537">
        <v>25</v>
      </c>
      <c r="F9537" s="2">
        <f>DATE(2026,IF(Tabla1[[#This Row],[Mes de Fecha]]="Septiembre",9,10),Tabla1[[#This Row],[Día de Fecha]])</f>
        <v>46290</v>
      </c>
      <c r="G9537">
        <v>1066868083</v>
      </c>
      <c r="H9537" t="s">
        <v>240</v>
      </c>
      <c r="I9537">
        <v>91</v>
      </c>
      <c r="J9537">
        <v>0</v>
      </c>
      <c r="K9537" s="1">
        <v>4691561</v>
      </c>
    </row>
    <row r="9538" spans="1:11" x14ac:dyDescent="0.25">
      <c r="A9538" t="s">
        <v>9</v>
      </c>
      <c r="B9538" t="s">
        <v>238</v>
      </c>
      <c r="C9538" t="s">
        <v>875</v>
      </c>
      <c r="D9538" t="s">
        <v>11</v>
      </c>
      <c r="E9538">
        <v>25</v>
      </c>
      <c r="F9538" s="2">
        <f>DATE(2026,IF(Tabla1[[#This Row],[Mes de Fecha]]="Septiembre",9,10),Tabla1[[#This Row],[Día de Fecha]])</f>
        <v>46290</v>
      </c>
      <c r="G9538">
        <v>1067728540</v>
      </c>
      <c r="H9538" t="s">
        <v>239</v>
      </c>
      <c r="I9538">
        <v>27</v>
      </c>
      <c r="J9538">
        <v>0</v>
      </c>
      <c r="K9538" s="1">
        <v>1217354</v>
      </c>
    </row>
    <row r="9539" spans="1:11" x14ac:dyDescent="0.25">
      <c r="A9539" t="s">
        <v>9</v>
      </c>
      <c r="B9539" t="s">
        <v>238</v>
      </c>
      <c r="C9539" t="s">
        <v>875</v>
      </c>
      <c r="D9539" t="s">
        <v>11</v>
      </c>
      <c r="E9539">
        <v>26</v>
      </c>
      <c r="F9539" s="2">
        <f>DATE(2026,IF(Tabla1[[#This Row],[Mes de Fecha]]="Septiembre",9,10),Tabla1[[#This Row],[Día de Fecha]])</f>
        <v>46291</v>
      </c>
      <c r="I9539">
        <v>0</v>
      </c>
      <c r="J9539" s="1">
        <v>9115826</v>
      </c>
      <c r="K9539">
        <v>0</v>
      </c>
    </row>
    <row r="9540" spans="1:11" x14ac:dyDescent="0.25">
      <c r="A9540" t="s">
        <v>9</v>
      </c>
      <c r="B9540" t="s">
        <v>238</v>
      </c>
      <c r="C9540" t="s">
        <v>875</v>
      </c>
      <c r="D9540" t="s">
        <v>11</v>
      </c>
      <c r="E9540">
        <v>26</v>
      </c>
      <c r="F9540" s="2">
        <f>DATE(2026,IF(Tabla1[[#This Row],[Mes de Fecha]]="Septiembre",9,10),Tabla1[[#This Row],[Día de Fecha]])</f>
        <v>46291</v>
      </c>
      <c r="G9540">
        <v>1066868083</v>
      </c>
      <c r="H9540" t="s">
        <v>240</v>
      </c>
      <c r="I9540">
        <v>198</v>
      </c>
      <c r="J9540">
        <v>0</v>
      </c>
      <c r="K9540" s="1">
        <v>8948619</v>
      </c>
    </row>
    <row r="9541" spans="1:11" x14ac:dyDescent="0.25">
      <c r="A9541" t="s">
        <v>9</v>
      </c>
      <c r="B9541" t="s">
        <v>238</v>
      </c>
      <c r="C9541" t="s">
        <v>875</v>
      </c>
      <c r="D9541" t="s">
        <v>11</v>
      </c>
      <c r="E9541">
        <v>27</v>
      </c>
      <c r="F9541" s="2">
        <f>DATE(2026,IF(Tabla1[[#This Row],[Mes de Fecha]]="Septiembre",9,10),Tabla1[[#This Row],[Día de Fecha]])</f>
        <v>46292</v>
      </c>
      <c r="I9541">
        <v>0</v>
      </c>
      <c r="J9541" s="1">
        <v>4813070</v>
      </c>
      <c r="K9541">
        <v>0</v>
      </c>
    </row>
    <row r="9542" spans="1:11" x14ac:dyDescent="0.25">
      <c r="A9542" t="s">
        <v>9</v>
      </c>
      <c r="B9542" t="s">
        <v>238</v>
      </c>
      <c r="C9542" t="s">
        <v>875</v>
      </c>
      <c r="D9542" t="s">
        <v>11</v>
      </c>
      <c r="E9542">
        <v>27</v>
      </c>
      <c r="F9542" s="2">
        <f>DATE(2026,IF(Tabla1[[#This Row],[Mes de Fecha]]="Septiembre",9,10),Tabla1[[#This Row],[Día de Fecha]])</f>
        <v>46292</v>
      </c>
      <c r="G9542">
        <v>1066868083</v>
      </c>
      <c r="H9542" t="s">
        <v>240</v>
      </c>
      <c r="I9542">
        <v>89</v>
      </c>
      <c r="J9542">
        <v>0</v>
      </c>
      <c r="K9542" s="1">
        <v>4037525</v>
      </c>
    </row>
    <row r="9543" spans="1:11" x14ac:dyDescent="0.25">
      <c r="A9543" t="s">
        <v>9</v>
      </c>
      <c r="B9543" t="s">
        <v>238</v>
      </c>
      <c r="C9543" t="s">
        <v>875</v>
      </c>
      <c r="D9543" t="s">
        <v>11</v>
      </c>
      <c r="E9543">
        <v>27</v>
      </c>
      <c r="F9543" s="2">
        <f>DATE(2026,IF(Tabla1[[#This Row],[Mes de Fecha]]="Septiembre",9,10),Tabla1[[#This Row],[Día de Fecha]])</f>
        <v>46292</v>
      </c>
      <c r="G9543">
        <v>1067728540</v>
      </c>
      <c r="H9543" t="s">
        <v>239</v>
      </c>
      <c r="I9543">
        <v>5</v>
      </c>
      <c r="J9543">
        <v>0</v>
      </c>
      <c r="K9543" s="1">
        <v>281302</v>
      </c>
    </row>
    <row r="9544" spans="1:11" x14ac:dyDescent="0.25">
      <c r="A9544" t="s">
        <v>9</v>
      </c>
      <c r="B9544" t="s">
        <v>238</v>
      </c>
      <c r="C9544" t="s">
        <v>875</v>
      </c>
      <c r="D9544" t="s">
        <v>11</v>
      </c>
      <c r="E9544">
        <v>28</v>
      </c>
      <c r="F9544" s="2">
        <f>DATE(2026,IF(Tabla1[[#This Row],[Mes de Fecha]]="Septiembre",9,10),Tabla1[[#This Row],[Día de Fecha]])</f>
        <v>46293</v>
      </c>
      <c r="I9544">
        <v>0</v>
      </c>
      <c r="J9544" s="1">
        <v>3946192</v>
      </c>
      <c r="K9544">
        <v>0</v>
      </c>
    </row>
    <row r="9545" spans="1:11" x14ac:dyDescent="0.25">
      <c r="A9545" t="s">
        <v>9</v>
      </c>
      <c r="B9545" t="s">
        <v>238</v>
      </c>
      <c r="C9545" t="s">
        <v>875</v>
      </c>
      <c r="D9545" t="s">
        <v>11</v>
      </c>
      <c r="E9545">
        <v>28</v>
      </c>
      <c r="F9545" s="2">
        <f>DATE(2026,IF(Tabla1[[#This Row],[Mes de Fecha]]="Septiembre",9,10),Tabla1[[#This Row],[Día de Fecha]])</f>
        <v>46293</v>
      </c>
      <c r="G9545">
        <v>1066868083</v>
      </c>
      <c r="H9545" t="s">
        <v>240</v>
      </c>
      <c r="I9545">
        <v>1</v>
      </c>
      <c r="J9545">
        <v>0</v>
      </c>
      <c r="K9545" s="1">
        <v>58782</v>
      </c>
    </row>
    <row r="9546" spans="1:11" x14ac:dyDescent="0.25">
      <c r="A9546" t="s">
        <v>9</v>
      </c>
      <c r="B9546" t="s">
        <v>238</v>
      </c>
      <c r="C9546" t="s">
        <v>875</v>
      </c>
      <c r="D9546" t="s">
        <v>11</v>
      </c>
      <c r="E9546">
        <v>28</v>
      </c>
      <c r="F9546" s="2">
        <f>DATE(2026,IF(Tabla1[[#This Row],[Mes de Fecha]]="Septiembre",9,10),Tabla1[[#This Row],[Día de Fecha]])</f>
        <v>46293</v>
      </c>
      <c r="G9546">
        <v>1067728540</v>
      </c>
      <c r="H9546" t="s">
        <v>239</v>
      </c>
      <c r="I9546">
        <v>91</v>
      </c>
      <c r="J9546">
        <v>0</v>
      </c>
      <c r="K9546" s="1">
        <v>4764751</v>
      </c>
    </row>
    <row r="9547" spans="1:11" x14ac:dyDescent="0.25">
      <c r="A9547" t="s">
        <v>9</v>
      </c>
      <c r="B9547" t="s">
        <v>238</v>
      </c>
      <c r="C9547" t="s">
        <v>875</v>
      </c>
      <c r="D9547" t="s">
        <v>11</v>
      </c>
      <c r="E9547">
        <v>29</v>
      </c>
      <c r="F9547" s="2">
        <f>DATE(2026,IF(Tabla1[[#This Row],[Mes de Fecha]]="Septiembre",9,10),Tabla1[[#This Row],[Día de Fecha]])</f>
        <v>46294</v>
      </c>
      <c r="I9547">
        <v>0</v>
      </c>
      <c r="J9547" s="1">
        <v>4387001</v>
      </c>
      <c r="K9547">
        <v>0</v>
      </c>
    </row>
    <row r="9548" spans="1:11" x14ac:dyDescent="0.25">
      <c r="A9548" t="s">
        <v>9</v>
      </c>
      <c r="B9548" t="s">
        <v>238</v>
      </c>
      <c r="C9548" t="s">
        <v>875</v>
      </c>
      <c r="D9548" t="s">
        <v>11</v>
      </c>
      <c r="E9548">
        <v>29</v>
      </c>
      <c r="F9548" s="2">
        <f>DATE(2026,IF(Tabla1[[#This Row],[Mes de Fecha]]="Septiembre",9,10),Tabla1[[#This Row],[Día de Fecha]])</f>
        <v>46294</v>
      </c>
      <c r="G9548">
        <v>1066868083</v>
      </c>
      <c r="H9548" t="s">
        <v>240</v>
      </c>
      <c r="I9548">
        <v>56</v>
      </c>
      <c r="J9548">
        <v>0</v>
      </c>
      <c r="K9548" s="1">
        <v>2736853</v>
      </c>
    </row>
    <row r="9549" spans="1:11" x14ac:dyDescent="0.25">
      <c r="A9549" t="s">
        <v>9</v>
      </c>
      <c r="B9549" t="s">
        <v>238</v>
      </c>
      <c r="C9549" t="s">
        <v>875</v>
      </c>
      <c r="D9549" t="s">
        <v>11</v>
      </c>
      <c r="E9549">
        <v>29</v>
      </c>
      <c r="F9549" s="2">
        <f>DATE(2026,IF(Tabla1[[#This Row],[Mes de Fecha]]="Septiembre",9,10),Tabla1[[#This Row],[Día de Fecha]])</f>
        <v>46294</v>
      </c>
      <c r="G9549">
        <v>1067728540</v>
      </c>
      <c r="H9549" t="s">
        <v>239</v>
      </c>
      <c r="I9549">
        <v>5</v>
      </c>
      <c r="J9549">
        <v>0</v>
      </c>
      <c r="K9549" s="1">
        <v>382143</v>
      </c>
    </row>
    <row r="9550" spans="1:11" x14ac:dyDescent="0.25">
      <c r="A9550" t="s">
        <v>9</v>
      </c>
      <c r="B9550" t="s">
        <v>238</v>
      </c>
      <c r="C9550" t="s">
        <v>875</v>
      </c>
      <c r="D9550" t="s">
        <v>11</v>
      </c>
      <c r="E9550">
        <v>30</v>
      </c>
      <c r="F9550" s="2">
        <f>DATE(2026,IF(Tabla1[[#This Row],[Mes de Fecha]]="Septiembre",9,10),Tabla1[[#This Row],[Día de Fecha]])</f>
        <v>46295</v>
      </c>
      <c r="I9550">
        <v>0</v>
      </c>
      <c r="J9550" s="1">
        <v>4645973</v>
      </c>
      <c r="K9550">
        <v>0</v>
      </c>
    </row>
    <row r="9551" spans="1:11" x14ac:dyDescent="0.25">
      <c r="A9551" t="s">
        <v>9</v>
      </c>
      <c r="B9551" t="s">
        <v>238</v>
      </c>
      <c r="C9551" t="s">
        <v>875</v>
      </c>
      <c r="D9551" t="s">
        <v>11</v>
      </c>
      <c r="E9551">
        <v>30</v>
      </c>
      <c r="F9551" s="2">
        <f>DATE(2026,IF(Tabla1[[#This Row],[Mes de Fecha]]="Septiembre",9,10),Tabla1[[#This Row],[Día de Fecha]])</f>
        <v>46295</v>
      </c>
      <c r="G9551">
        <v>1066868083</v>
      </c>
      <c r="H9551" t="s">
        <v>240</v>
      </c>
      <c r="I9551">
        <v>29</v>
      </c>
      <c r="J9551">
        <v>0</v>
      </c>
      <c r="K9551" s="1">
        <v>1460800</v>
      </c>
    </row>
    <row r="9552" spans="1:11" x14ac:dyDescent="0.25">
      <c r="A9552" t="s">
        <v>9</v>
      </c>
      <c r="B9552" t="s">
        <v>238</v>
      </c>
      <c r="C9552" t="s">
        <v>875</v>
      </c>
      <c r="D9552" t="s">
        <v>11</v>
      </c>
      <c r="E9552">
        <v>30</v>
      </c>
      <c r="F9552" s="2">
        <f>DATE(2026,IF(Tabla1[[#This Row],[Mes de Fecha]]="Septiembre",9,10),Tabla1[[#This Row],[Día de Fecha]])</f>
        <v>46295</v>
      </c>
      <c r="G9552">
        <v>1067728540</v>
      </c>
      <c r="H9552" t="s">
        <v>239</v>
      </c>
      <c r="I9552">
        <v>0</v>
      </c>
      <c r="J9552">
        <v>0</v>
      </c>
      <c r="K9552" s="1">
        <v>-29411</v>
      </c>
    </row>
    <row r="9553" spans="1:11" x14ac:dyDescent="0.25">
      <c r="A9553" t="s">
        <v>9</v>
      </c>
      <c r="B9553" t="s">
        <v>238</v>
      </c>
      <c r="C9553" t="s">
        <v>875</v>
      </c>
      <c r="D9553" t="s">
        <v>14</v>
      </c>
      <c r="E9553">
        <v>1</v>
      </c>
      <c r="F9553" s="2">
        <f>DATE(2026,IF(Tabla1[[#This Row],[Mes de Fecha]]="Septiembre",9,10),Tabla1[[#This Row],[Día de Fecha]])</f>
        <v>46296</v>
      </c>
      <c r="I9553">
        <v>0</v>
      </c>
      <c r="J9553" s="1">
        <v>5836885</v>
      </c>
      <c r="K9553">
        <v>0</v>
      </c>
    </row>
    <row r="9554" spans="1:11" x14ac:dyDescent="0.25">
      <c r="A9554" t="s">
        <v>9</v>
      </c>
      <c r="B9554" t="s">
        <v>238</v>
      </c>
      <c r="C9554" t="s">
        <v>875</v>
      </c>
      <c r="D9554" t="s">
        <v>14</v>
      </c>
      <c r="E9554">
        <v>1</v>
      </c>
      <c r="F9554" s="2">
        <f>DATE(2026,IF(Tabla1[[#This Row],[Mes de Fecha]]="Septiembre",9,10),Tabla1[[#This Row],[Día de Fecha]])</f>
        <v>46296</v>
      </c>
      <c r="G9554">
        <v>1066868083</v>
      </c>
      <c r="H9554" t="s">
        <v>240</v>
      </c>
      <c r="I9554">
        <v>69</v>
      </c>
      <c r="J9554">
        <v>0</v>
      </c>
      <c r="K9554" s="1">
        <v>3608153</v>
      </c>
    </row>
    <row r="9555" spans="1:11" x14ac:dyDescent="0.25">
      <c r="A9555" t="s">
        <v>9</v>
      </c>
      <c r="B9555" t="s">
        <v>238</v>
      </c>
      <c r="C9555" t="s">
        <v>875</v>
      </c>
      <c r="D9555" t="s">
        <v>14</v>
      </c>
      <c r="E9555">
        <v>1</v>
      </c>
      <c r="F9555" s="2">
        <f>DATE(2026,IF(Tabla1[[#This Row],[Mes de Fecha]]="Septiembre",9,10),Tabla1[[#This Row],[Día de Fecha]])</f>
        <v>46296</v>
      </c>
      <c r="G9555">
        <v>1067728540</v>
      </c>
      <c r="H9555" t="s">
        <v>239</v>
      </c>
      <c r="I9555">
        <v>3</v>
      </c>
      <c r="J9555">
        <v>0</v>
      </c>
      <c r="K9555" s="1">
        <v>201555</v>
      </c>
    </row>
    <row r="9556" spans="1:11" x14ac:dyDescent="0.25">
      <c r="A9556" t="s">
        <v>9</v>
      </c>
      <c r="B9556" t="s">
        <v>238</v>
      </c>
      <c r="C9556" t="s">
        <v>875</v>
      </c>
      <c r="D9556" t="s">
        <v>14</v>
      </c>
      <c r="E9556">
        <v>2</v>
      </c>
      <c r="F9556" s="2">
        <f>DATE(2026,IF(Tabla1[[#This Row],[Mes de Fecha]]="Septiembre",9,10),Tabla1[[#This Row],[Día de Fecha]])</f>
        <v>46297</v>
      </c>
      <c r="I9556">
        <v>0</v>
      </c>
      <c r="J9556" s="1">
        <v>6956878</v>
      </c>
      <c r="K9556">
        <v>0</v>
      </c>
    </row>
    <row r="9557" spans="1:11" x14ac:dyDescent="0.25">
      <c r="A9557" t="s">
        <v>9</v>
      </c>
      <c r="B9557" t="s">
        <v>238</v>
      </c>
      <c r="C9557" t="s">
        <v>875</v>
      </c>
      <c r="D9557" t="s">
        <v>14</v>
      </c>
      <c r="E9557">
        <v>2</v>
      </c>
      <c r="F9557" s="2">
        <f>DATE(2026,IF(Tabla1[[#This Row],[Mes de Fecha]]="Septiembre",9,10),Tabla1[[#This Row],[Día de Fecha]])</f>
        <v>46297</v>
      </c>
      <c r="G9557">
        <v>1066868083</v>
      </c>
      <c r="H9557" t="s">
        <v>240</v>
      </c>
      <c r="I9557">
        <v>82</v>
      </c>
      <c r="J9557">
        <v>0</v>
      </c>
      <c r="K9557" s="1">
        <v>4027651</v>
      </c>
    </row>
    <row r="9558" spans="1:11" x14ac:dyDescent="0.25">
      <c r="A9558" t="s">
        <v>9</v>
      </c>
      <c r="B9558" t="s">
        <v>238</v>
      </c>
      <c r="C9558" t="s">
        <v>875</v>
      </c>
      <c r="D9558" t="s">
        <v>14</v>
      </c>
      <c r="E9558">
        <v>2</v>
      </c>
      <c r="F9558" s="2">
        <f>DATE(2026,IF(Tabla1[[#This Row],[Mes de Fecha]]="Septiembre",9,10),Tabla1[[#This Row],[Día de Fecha]])</f>
        <v>46297</v>
      </c>
      <c r="G9558">
        <v>1067728540</v>
      </c>
      <c r="H9558" t="s">
        <v>239</v>
      </c>
      <c r="I9558">
        <v>9</v>
      </c>
      <c r="J9558">
        <v>0</v>
      </c>
      <c r="K9558" s="1">
        <v>432354</v>
      </c>
    </row>
    <row r="9559" spans="1:11" x14ac:dyDescent="0.25">
      <c r="A9559" t="s">
        <v>9</v>
      </c>
      <c r="B9559" t="s">
        <v>238</v>
      </c>
      <c r="C9559" t="s">
        <v>875</v>
      </c>
      <c r="D9559" t="s">
        <v>14</v>
      </c>
      <c r="E9559">
        <v>3</v>
      </c>
      <c r="F9559" s="2">
        <f>DATE(2026,IF(Tabla1[[#This Row],[Mes de Fecha]]="Septiembre",9,10),Tabla1[[#This Row],[Día de Fecha]])</f>
        <v>46298</v>
      </c>
      <c r="I9559">
        <v>0</v>
      </c>
      <c r="J9559" s="1">
        <v>6011871</v>
      </c>
      <c r="K9559">
        <v>0</v>
      </c>
    </row>
    <row r="9560" spans="1:11" x14ac:dyDescent="0.25">
      <c r="A9560" t="s">
        <v>9</v>
      </c>
      <c r="B9560" t="s">
        <v>238</v>
      </c>
      <c r="C9560" t="s">
        <v>875</v>
      </c>
      <c r="D9560" t="s">
        <v>14</v>
      </c>
      <c r="E9560">
        <v>3</v>
      </c>
      <c r="F9560" s="2">
        <f>DATE(2026,IF(Tabla1[[#This Row],[Mes de Fecha]]="Septiembre",9,10),Tabla1[[#This Row],[Día de Fecha]])</f>
        <v>46298</v>
      </c>
      <c r="G9560">
        <v>1066868083</v>
      </c>
      <c r="H9560" t="s">
        <v>240</v>
      </c>
      <c r="I9560">
        <v>139</v>
      </c>
      <c r="J9560">
        <v>0</v>
      </c>
      <c r="K9560" s="1">
        <v>6210124</v>
      </c>
    </row>
    <row r="9561" spans="1:11" x14ac:dyDescent="0.25">
      <c r="A9561" t="s">
        <v>9</v>
      </c>
      <c r="B9561" t="s">
        <v>238</v>
      </c>
      <c r="C9561" t="s">
        <v>875</v>
      </c>
      <c r="D9561" t="s">
        <v>14</v>
      </c>
      <c r="E9561">
        <v>3</v>
      </c>
      <c r="F9561" s="2">
        <f>DATE(2026,IF(Tabla1[[#This Row],[Mes de Fecha]]="Septiembre",9,10),Tabla1[[#This Row],[Día de Fecha]])</f>
        <v>46298</v>
      </c>
      <c r="G9561">
        <v>1067728540</v>
      </c>
      <c r="H9561" t="s">
        <v>239</v>
      </c>
      <c r="I9561">
        <v>20</v>
      </c>
      <c r="J9561">
        <v>0</v>
      </c>
      <c r="K9561" s="1">
        <v>857883</v>
      </c>
    </row>
    <row r="9562" spans="1:11" x14ac:dyDescent="0.25">
      <c r="A9562" t="s">
        <v>9</v>
      </c>
      <c r="B9562" t="s">
        <v>238</v>
      </c>
      <c r="C9562" t="s">
        <v>875</v>
      </c>
      <c r="D9562" t="s">
        <v>14</v>
      </c>
      <c r="E9562">
        <v>4</v>
      </c>
      <c r="F9562" s="2">
        <f>DATE(2026,IF(Tabla1[[#This Row],[Mes de Fecha]]="Septiembre",9,10),Tabla1[[#This Row],[Día de Fecha]])</f>
        <v>46299</v>
      </c>
      <c r="I9562">
        <v>0</v>
      </c>
      <c r="J9562" s="1">
        <v>2915924</v>
      </c>
      <c r="K9562">
        <v>0</v>
      </c>
    </row>
    <row r="9563" spans="1:11" x14ac:dyDescent="0.25">
      <c r="A9563" t="s">
        <v>9</v>
      </c>
      <c r="B9563" t="s">
        <v>238</v>
      </c>
      <c r="C9563" t="s">
        <v>875</v>
      </c>
      <c r="D9563" t="s">
        <v>14</v>
      </c>
      <c r="E9563">
        <v>4</v>
      </c>
      <c r="F9563" s="2">
        <f>DATE(2026,IF(Tabla1[[#This Row],[Mes de Fecha]]="Septiembre",9,10),Tabla1[[#This Row],[Día de Fecha]])</f>
        <v>46299</v>
      </c>
      <c r="G9563">
        <v>1066868083</v>
      </c>
      <c r="H9563" t="s">
        <v>240</v>
      </c>
      <c r="I9563">
        <v>65</v>
      </c>
      <c r="J9563">
        <v>0</v>
      </c>
      <c r="K9563" s="1">
        <v>3488573</v>
      </c>
    </row>
    <row r="9564" spans="1:11" x14ac:dyDescent="0.25">
      <c r="A9564" t="s">
        <v>9</v>
      </c>
      <c r="B9564" t="s">
        <v>238</v>
      </c>
      <c r="C9564" t="s">
        <v>875</v>
      </c>
      <c r="D9564" t="s">
        <v>14</v>
      </c>
      <c r="E9564">
        <v>5</v>
      </c>
      <c r="F9564" s="2">
        <f>DATE(2026,IF(Tabla1[[#This Row],[Mes de Fecha]]="Septiembre",9,10),Tabla1[[#This Row],[Día de Fecha]])</f>
        <v>46300</v>
      </c>
      <c r="I9564">
        <v>0</v>
      </c>
      <c r="J9564" s="1">
        <v>9484922</v>
      </c>
      <c r="K9564">
        <v>0</v>
      </c>
    </row>
    <row r="9565" spans="1:11" x14ac:dyDescent="0.25">
      <c r="A9565" t="s">
        <v>9</v>
      </c>
      <c r="B9565" t="s">
        <v>238</v>
      </c>
      <c r="C9565" t="s">
        <v>875</v>
      </c>
      <c r="D9565" t="s">
        <v>14</v>
      </c>
      <c r="E9565">
        <v>5</v>
      </c>
      <c r="F9565" s="2">
        <f>DATE(2026,IF(Tabla1[[#This Row],[Mes de Fecha]]="Septiembre",9,10),Tabla1[[#This Row],[Día de Fecha]])</f>
        <v>46300</v>
      </c>
      <c r="G9565">
        <v>1066868083</v>
      </c>
      <c r="H9565" t="s">
        <v>240</v>
      </c>
      <c r="I9565">
        <v>101</v>
      </c>
      <c r="J9565">
        <v>0</v>
      </c>
      <c r="K9565" s="1">
        <v>5131671</v>
      </c>
    </row>
    <row r="9566" spans="1:11" x14ac:dyDescent="0.25">
      <c r="A9566" t="s">
        <v>9</v>
      </c>
      <c r="B9566" t="s">
        <v>238</v>
      </c>
      <c r="C9566" t="s">
        <v>875</v>
      </c>
      <c r="D9566" t="s">
        <v>14</v>
      </c>
      <c r="E9566">
        <v>5</v>
      </c>
      <c r="F9566" s="2">
        <f>DATE(2026,IF(Tabla1[[#This Row],[Mes de Fecha]]="Septiembre",9,10),Tabla1[[#This Row],[Día de Fecha]])</f>
        <v>46300</v>
      </c>
      <c r="G9566">
        <v>1067728540</v>
      </c>
      <c r="H9566" t="s">
        <v>239</v>
      </c>
      <c r="I9566">
        <v>13</v>
      </c>
      <c r="J9566">
        <v>0</v>
      </c>
      <c r="K9566" s="1">
        <v>814497</v>
      </c>
    </row>
    <row r="9567" spans="1:11" x14ac:dyDescent="0.25">
      <c r="A9567" t="s">
        <v>9</v>
      </c>
      <c r="B9567" t="s">
        <v>238</v>
      </c>
      <c r="C9567" t="s">
        <v>875</v>
      </c>
      <c r="D9567" t="s">
        <v>14</v>
      </c>
      <c r="E9567">
        <v>6</v>
      </c>
      <c r="F9567" s="2">
        <f>DATE(2026,IF(Tabla1[[#This Row],[Mes de Fecha]]="Septiembre",9,10),Tabla1[[#This Row],[Día de Fecha]])</f>
        <v>46301</v>
      </c>
      <c r="I9567">
        <v>0</v>
      </c>
      <c r="J9567" s="1">
        <v>4950074</v>
      </c>
      <c r="K9567">
        <v>0</v>
      </c>
    </row>
    <row r="9568" spans="1:11" x14ac:dyDescent="0.25">
      <c r="A9568" t="s">
        <v>9</v>
      </c>
      <c r="B9568" t="s">
        <v>238</v>
      </c>
      <c r="C9568" t="s">
        <v>875</v>
      </c>
      <c r="D9568" t="s">
        <v>14</v>
      </c>
      <c r="E9568">
        <v>6</v>
      </c>
      <c r="F9568" s="2">
        <f>DATE(2026,IF(Tabla1[[#This Row],[Mes de Fecha]]="Septiembre",9,10),Tabla1[[#This Row],[Día de Fecha]])</f>
        <v>46301</v>
      </c>
      <c r="G9568">
        <v>1066868083</v>
      </c>
      <c r="H9568" t="s">
        <v>240</v>
      </c>
      <c r="I9568">
        <v>2</v>
      </c>
      <c r="J9568">
        <v>0</v>
      </c>
      <c r="K9568" s="1">
        <v>41848</v>
      </c>
    </row>
    <row r="9569" spans="1:11" x14ac:dyDescent="0.25">
      <c r="A9569" t="s">
        <v>9</v>
      </c>
      <c r="B9569" t="s">
        <v>238</v>
      </c>
      <c r="C9569" t="s">
        <v>875</v>
      </c>
      <c r="D9569" t="s">
        <v>14</v>
      </c>
      <c r="E9569">
        <v>6</v>
      </c>
      <c r="F9569" s="2">
        <f>DATE(2026,IF(Tabla1[[#This Row],[Mes de Fecha]]="Septiembre",9,10),Tabla1[[#This Row],[Día de Fecha]])</f>
        <v>46301</v>
      </c>
      <c r="G9569">
        <v>1067728540</v>
      </c>
      <c r="H9569" t="s">
        <v>239</v>
      </c>
      <c r="I9569">
        <v>42</v>
      </c>
      <c r="J9569">
        <v>0</v>
      </c>
      <c r="K9569" s="1">
        <v>2262735</v>
      </c>
    </row>
    <row r="9570" spans="1:11" x14ac:dyDescent="0.25">
      <c r="A9570" t="s">
        <v>9</v>
      </c>
      <c r="B9570" t="s">
        <v>238</v>
      </c>
      <c r="C9570" t="s">
        <v>875</v>
      </c>
      <c r="D9570" t="s">
        <v>14</v>
      </c>
      <c r="E9570">
        <v>7</v>
      </c>
      <c r="F9570" s="2">
        <f>DATE(2026,IF(Tabla1[[#This Row],[Mes de Fecha]]="Septiembre",9,10),Tabla1[[#This Row],[Día de Fecha]])</f>
        <v>46302</v>
      </c>
      <c r="I9570">
        <v>0</v>
      </c>
      <c r="J9570" s="1">
        <v>1399823</v>
      </c>
      <c r="K9570">
        <v>0</v>
      </c>
    </row>
    <row r="9571" spans="1:11" x14ac:dyDescent="0.25">
      <c r="A9571" t="s">
        <v>9</v>
      </c>
      <c r="B9571" t="s">
        <v>238</v>
      </c>
      <c r="C9571" t="s">
        <v>875</v>
      </c>
      <c r="D9571" t="s">
        <v>14</v>
      </c>
      <c r="E9571">
        <v>7</v>
      </c>
      <c r="F9571" s="2">
        <f>DATE(2026,IF(Tabla1[[#This Row],[Mes de Fecha]]="Septiembre",9,10),Tabla1[[#This Row],[Día de Fecha]])</f>
        <v>46302</v>
      </c>
      <c r="G9571">
        <v>1066868083</v>
      </c>
      <c r="H9571" t="s">
        <v>240</v>
      </c>
      <c r="I9571">
        <v>42</v>
      </c>
      <c r="J9571">
        <v>0</v>
      </c>
      <c r="K9571" s="1">
        <v>2306851</v>
      </c>
    </row>
    <row r="9572" spans="1:11" x14ac:dyDescent="0.25">
      <c r="A9572" t="s">
        <v>9</v>
      </c>
      <c r="B9572" t="s">
        <v>238</v>
      </c>
      <c r="C9572" t="s">
        <v>875</v>
      </c>
      <c r="D9572" t="s">
        <v>14</v>
      </c>
      <c r="E9572">
        <v>7</v>
      </c>
      <c r="F9572" s="2">
        <f>DATE(2026,IF(Tabla1[[#This Row],[Mes de Fecha]]="Septiembre",9,10),Tabla1[[#This Row],[Día de Fecha]])</f>
        <v>46302</v>
      </c>
      <c r="G9572">
        <v>1067728540</v>
      </c>
      <c r="H9572" t="s">
        <v>239</v>
      </c>
      <c r="I9572">
        <v>11</v>
      </c>
      <c r="J9572">
        <v>0</v>
      </c>
      <c r="K9572" s="1">
        <v>621261</v>
      </c>
    </row>
    <row r="9573" spans="1:11" x14ac:dyDescent="0.25">
      <c r="A9573" t="s">
        <v>9</v>
      </c>
      <c r="B9573" t="s">
        <v>293</v>
      </c>
      <c r="C9573" t="s">
        <v>875</v>
      </c>
      <c r="D9573" t="s">
        <v>11</v>
      </c>
      <c r="E9573">
        <v>23</v>
      </c>
      <c r="F9573" s="2">
        <f>DATE(2026,IF(Tabla1[[#This Row],[Mes de Fecha]]="Septiembre",9,10),Tabla1[[#This Row],[Día de Fecha]])</f>
        <v>46288</v>
      </c>
      <c r="I9573">
        <v>0</v>
      </c>
      <c r="J9573" s="1">
        <v>1356560</v>
      </c>
      <c r="K9573">
        <v>0</v>
      </c>
    </row>
    <row r="9574" spans="1:11" x14ac:dyDescent="0.25">
      <c r="A9574" t="s">
        <v>9</v>
      </c>
      <c r="B9574" t="s">
        <v>293</v>
      </c>
      <c r="C9574" t="s">
        <v>875</v>
      </c>
      <c r="D9574" t="s">
        <v>11</v>
      </c>
      <c r="E9574">
        <v>23</v>
      </c>
      <c r="F9574" s="2">
        <f>DATE(2026,IF(Tabla1[[#This Row],[Mes de Fecha]]="Septiembre",9,10),Tabla1[[#This Row],[Día de Fecha]])</f>
        <v>46288</v>
      </c>
      <c r="G9574">
        <v>37328309</v>
      </c>
      <c r="H9574" t="s">
        <v>294</v>
      </c>
      <c r="I9574">
        <v>110</v>
      </c>
      <c r="J9574">
        <v>0</v>
      </c>
      <c r="K9574" s="1">
        <v>4758011</v>
      </c>
    </row>
    <row r="9575" spans="1:11" x14ac:dyDescent="0.25">
      <c r="A9575" t="s">
        <v>9</v>
      </c>
      <c r="B9575" t="s">
        <v>293</v>
      </c>
      <c r="C9575" t="s">
        <v>875</v>
      </c>
      <c r="D9575" t="s">
        <v>11</v>
      </c>
      <c r="E9575">
        <v>23</v>
      </c>
      <c r="F9575" s="2">
        <f>DATE(2026,IF(Tabla1[[#This Row],[Mes de Fecha]]="Septiembre",9,10),Tabla1[[#This Row],[Día de Fecha]])</f>
        <v>46288</v>
      </c>
      <c r="G9575">
        <v>1098714134</v>
      </c>
      <c r="H9575" t="s">
        <v>295</v>
      </c>
      <c r="I9575">
        <v>27</v>
      </c>
      <c r="J9575">
        <v>0</v>
      </c>
      <c r="K9575" s="1">
        <v>1278280</v>
      </c>
    </row>
    <row r="9576" spans="1:11" x14ac:dyDescent="0.25">
      <c r="A9576" t="s">
        <v>9</v>
      </c>
      <c r="B9576" t="s">
        <v>293</v>
      </c>
      <c r="C9576" t="s">
        <v>875</v>
      </c>
      <c r="D9576" t="s">
        <v>11</v>
      </c>
      <c r="E9576">
        <v>24</v>
      </c>
      <c r="F9576" s="2">
        <f>DATE(2026,IF(Tabla1[[#This Row],[Mes de Fecha]]="Septiembre",9,10),Tabla1[[#This Row],[Día de Fecha]])</f>
        <v>46289</v>
      </c>
      <c r="I9576">
        <v>0</v>
      </c>
      <c r="J9576" s="1">
        <v>3508325</v>
      </c>
      <c r="K9576">
        <v>0</v>
      </c>
    </row>
    <row r="9577" spans="1:11" x14ac:dyDescent="0.25">
      <c r="A9577" t="s">
        <v>9</v>
      </c>
      <c r="B9577" t="s">
        <v>293</v>
      </c>
      <c r="C9577" t="s">
        <v>875</v>
      </c>
      <c r="D9577" t="s">
        <v>11</v>
      </c>
      <c r="E9577">
        <v>24</v>
      </c>
      <c r="F9577" s="2">
        <f>DATE(2026,IF(Tabla1[[#This Row],[Mes de Fecha]]="Septiembre",9,10),Tabla1[[#This Row],[Día de Fecha]])</f>
        <v>46289</v>
      </c>
      <c r="G9577">
        <v>37328309</v>
      </c>
      <c r="H9577" t="s">
        <v>294</v>
      </c>
      <c r="I9577">
        <v>113</v>
      </c>
      <c r="J9577">
        <v>0</v>
      </c>
      <c r="K9577" s="1">
        <v>6089837</v>
      </c>
    </row>
    <row r="9578" spans="1:11" x14ac:dyDescent="0.25">
      <c r="A9578" t="s">
        <v>9</v>
      </c>
      <c r="B9578" t="s">
        <v>293</v>
      </c>
      <c r="C9578" t="s">
        <v>875</v>
      </c>
      <c r="D9578" t="s">
        <v>11</v>
      </c>
      <c r="E9578">
        <v>24</v>
      </c>
      <c r="F9578" s="2">
        <f>DATE(2026,IF(Tabla1[[#This Row],[Mes de Fecha]]="Septiembre",9,10),Tabla1[[#This Row],[Día de Fecha]])</f>
        <v>46289</v>
      </c>
      <c r="G9578">
        <v>1098714134</v>
      </c>
      <c r="H9578" t="s">
        <v>295</v>
      </c>
      <c r="I9578">
        <v>32</v>
      </c>
      <c r="J9578">
        <v>0</v>
      </c>
      <c r="K9578" s="1">
        <v>1452439</v>
      </c>
    </row>
    <row r="9579" spans="1:11" x14ac:dyDescent="0.25">
      <c r="A9579" t="s">
        <v>9</v>
      </c>
      <c r="B9579" t="s">
        <v>293</v>
      </c>
      <c r="C9579" t="s">
        <v>875</v>
      </c>
      <c r="D9579" t="s">
        <v>11</v>
      </c>
      <c r="E9579">
        <v>25</v>
      </c>
      <c r="F9579" s="2">
        <f>DATE(2026,IF(Tabla1[[#This Row],[Mes de Fecha]]="Septiembre",9,10),Tabla1[[#This Row],[Día de Fecha]])</f>
        <v>46290</v>
      </c>
      <c r="I9579">
        <v>0</v>
      </c>
      <c r="J9579" s="1">
        <v>3747083</v>
      </c>
      <c r="K9579">
        <v>0</v>
      </c>
    </row>
    <row r="9580" spans="1:11" x14ac:dyDescent="0.25">
      <c r="A9580" t="s">
        <v>9</v>
      </c>
      <c r="B9580" t="s">
        <v>293</v>
      </c>
      <c r="C9580" t="s">
        <v>875</v>
      </c>
      <c r="D9580" t="s">
        <v>11</v>
      </c>
      <c r="E9580">
        <v>25</v>
      </c>
      <c r="F9580" s="2">
        <f>DATE(2026,IF(Tabla1[[#This Row],[Mes de Fecha]]="Septiembre",9,10),Tabla1[[#This Row],[Día de Fecha]])</f>
        <v>46290</v>
      </c>
      <c r="G9580">
        <v>37328309</v>
      </c>
      <c r="H9580" t="s">
        <v>294</v>
      </c>
      <c r="I9580">
        <v>101</v>
      </c>
      <c r="J9580">
        <v>0</v>
      </c>
      <c r="K9580" s="1">
        <v>5189040</v>
      </c>
    </row>
    <row r="9581" spans="1:11" x14ac:dyDescent="0.25">
      <c r="A9581" t="s">
        <v>9</v>
      </c>
      <c r="B9581" t="s">
        <v>293</v>
      </c>
      <c r="C9581" t="s">
        <v>875</v>
      </c>
      <c r="D9581" t="s">
        <v>11</v>
      </c>
      <c r="E9581">
        <v>26</v>
      </c>
      <c r="F9581" s="2">
        <f>DATE(2026,IF(Tabla1[[#This Row],[Mes de Fecha]]="Septiembre",9,10),Tabla1[[#This Row],[Día de Fecha]])</f>
        <v>46291</v>
      </c>
      <c r="I9581">
        <v>0</v>
      </c>
      <c r="J9581" s="1">
        <v>4724976</v>
      </c>
      <c r="K9581">
        <v>0</v>
      </c>
    </row>
    <row r="9582" spans="1:11" x14ac:dyDescent="0.25">
      <c r="A9582" t="s">
        <v>9</v>
      </c>
      <c r="B9582" t="s">
        <v>293</v>
      </c>
      <c r="C9582" t="s">
        <v>875</v>
      </c>
      <c r="D9582" t="s">
        <v>11</v>
      </c>
      <c r="E9582">
        <v>26</v>
      </c>
      <c r="F9582" s="2">
        <f>DATE(2026,IF(Tabla1[[#This Row],[Mes de Fecha]]="Septiembre",9,10),Tabla1[[#This Row],[Día de Fecha]])</f>
        <v>46291</v>
      </c>
      <c r="G9582">
        <v>37328309</v>
      </c>
      <c r="H9582" t="s">
        <v>294</v>
      </c>
      <c r="I9582">
        <v>121</v>
      </c>
      <c r="J9582">
        <v>0</v>
      </c>
      <c r="K9582" s="1">
        <v>6278539</v>
      </c>
    </row>
    <row r="9583" spans="1:11" x14ac:dyDescent="0.25">
      <c r="A9583" t="s">
        <v>9</v>
      </c>
      <c r="B9583" t="s">
        <v>293</v>
      </c>
      <c r="C9583" t="s">
        <v>875</v>
      </c>
      <c r="D9583" t="s">
        <v>11</v>
      </c>
      <c r="E9583">
        <v>26</v>
      </c>
      <c r="F9583" s="2">
        <f>DATE(2026,IF(Tabla1[[#This Row],[Mes de Fecha]]="Septiembre",9,10),Tabla1[[#This Row],[Día de Fecha]])</f>
        <v>46291</v>
      </c>
      <c r="G9583">
        <v>1065245877</v>
      </c>
      <c r="H9583" t="s">
        <v>297</v>
      </c>
      <c r="I9583">
        <v>3</v>
      </c>
      <c r="J9583">
        <v>0</v>
      </c>
      <c r="K9583" s="1">
        <v>96513</v>
      </c>
    </row>
    <row r="9584" spans="1:11" x14ac:dyDescent="0.25">
      <c r="A9584" t="s">
        <v>9</v>
      </c>
      <c r="B9584" t="s">
        <v>293</v>
      </c>
      <c r="C9584" t="s">
        <v>875</v>
      </c>
      <c r="D9584" t="s">
        <v>11</v>
      </c>
      <c r="E9584">
        <v>26</v>
      </c>
      <c r="F9584" s="2">
        <f>DATE(2026,IF(Tabla1[[#This Row],[Mes de Fecha]]="Septiembre",9,10),Tabla1[[#This Row],[Día de Fecha]])</f>
        <v>46291</v>
      </c>
      <c r="G9584">
        <v>1098714134</v>
      </c>
      <c r="H9584" t="s">
        <v>295</v>
      </c>
      <c r="I9584">
        <v>43</v>
      </c>
      <c r="J9584">
        <v>0</v>
      </c>
      <c r="K9584" s="1">
        <v>1922566</v>
      </c>
    </row>
    <row r="9585" spans="1:11" x14ac:dyDescent="0.25">
      <c r="A9585" t="s">
        <v>9</v>
      </c>
      <c r="B9585" t="s">
        <v>293</v>
      </c>
      <c r="C9585" t="s">
        <v>875</v>
      </c>
      <c r="D9585" t="s">
        <v>11</v>
      </c>
      <c r="E9585">
        <v>27</v>
      </c>
      <c r="F9585" s="2">
        <f>DATE(2026,IF(Tabla1[[#This Row],[Mes de Fecha]]="Septiembre",9,10),Tabla1[[#This Row],[Día de Fecha]])</f>
        <v>46292</v>
      </c>
      <c r="I9585">
        <v>0</v>
      </c>
      <c r="J9585" s="1">
        <v>2494743</v>
      </c>
      <c r="K9585">
        <v>0</v>
      </c>
    </row>
    <row r="9586" spans="1:11" x14ac:dyDescent="0.25">
      <c r="A9586" t="s">
        <v>9</v>
      </c>
      <c r="B9586" t="s">
        <v>293</v>
      </c>
      <c r="C9586" t="s">
        <v>875</v>
      </c>
      <c r="D9586" t="s">
        <v>11</v>
      </c>
      <c r="E9586">
        <v>27</v>
      </c>
      <c r="F9586" s="2">
        <f>DATE(2026,IF(Tabla1[[#This Row],[Mes de Fecha]]="Septiembre",9,10),Tabla1[[#This Row],[Día de Fecha]])</f>
        <v>46292</v>
      </c>
      <c r="G9586">
        <v>37328309</v>
      </c>
      <c r="H9586" t="s">
        <v>294</v>
      </c>
      <c r="I9586">
        <v>56</v>
      </c>
      <c r="J9586">
        <v>0</v>
      </c>
      <c r="K9586" s="1">
        <v>2852647</v>
      </c>
    </row>
    <row r="9587" spans="1:11" x14ac:dyDescent="0.25">
      <c r="A9587" t="s">
        <v>9</v>
      </c>
      <c r="B9587" t="s">
        <v>293</v>
      </c>
      <c r="C9587" t="s">
        <v>875</v>
      </c>
      <c r="D9587" t="s">
        <v>11</v>
      </c>
      <c r="E9587">
        <v>27</v>
      </c>
      <c r="F9587" s="2">
        <f>DATE(2026,IF(Tabla1[[#This Row],[Mes de Fecha]]="Septiembre",9,10),Tabla1[[#This Row],[Día de Fecha]])</f>
        <v>46292</v>
      </c>
      <c r="G9587">
        <v>1065245877</v>
      </c>
      <c r="H9587" t="s">
        <v>297</v>
      </c>
      <c r="I9587">
        <v>2</v>
      </c>
      <c r="J9587">
        <v>0</v>
      </c>
      <c r="K9587" s="1">
        <v>146975</v>
      </c>
    </row>
    <row r="9588" spans="1:11" x14ac:dyDescent="0.25">
      <c r="A9588" t="s">
        <v>9</v>
      </c>
      <c r="B9588" t="s">
        <v>293</v>
      </c>
      <c r="C9588" t="s">
        <v>875</v>
      </c>
      <c r="D9588" t="s">
        <v>11</v>
      </c>
      <c r="E9588">
        <v>27</v>
      </c>
      <c r="F9588" s="2">
        <f>DATE(2026,IF(Tabla1[[#This Row],[Mes de Fecha]]="Septiembre",9,10),Tabla1[[#This Row],[Día de Fecha]])</f>
        <v>46292</v>
      </c>
      <c r="G9588">
        <v>1098714134</v>
      </c>
      <c r="H9588" t="s">
        <v>295</v>
      </c>
      <c r="I9588">
        <v>10</v>
      </c>
      <c r="J9588">
        <v>0</v>
      </c>
      <c r="K9588" s="1">
        <v>461766</v>
      </c>
    </row>
    <row r="9589" spans="1:11" x14ac:dyDescent="0.25">
      <c r="A9589" t="s">
        <v>9</v>
      </c>
      <c r="B9589" t="s">
        <v>293</v>
      </c>
      <c r="C9589" t="s">
        <v>875</v>
      </c>
      <c r="D9589" t="s">
        <v>11</v>
      </c>
      <c r="E9589">
        <v>28</v>
      </c>
      <c r="F9589" s="2">
        <f>DATE(2026,IF(Tabla1[[#This Row],[Mes de Fecha]]="Septiembre",9,10),Tabla1[[#This Row],[Día de Fecha]])</f>
        <v>46293</v>
      </c>
      <c r="I9589">
        <v>0</v>
      </c>
      <c r="J9589" s="1">
        <v>2045417</v>
      </c>
      <c r="K9589">
        <v>0</v>
      </c>
    </row>
    <row r="9590" spans="1:11" x14ac:dyDescent="0.25">
      <c r="A9590" t="s">
        <v>9</v>
      </c>
      <c r="B9590" t="s">
        <v>293</v>
      </c>
      <c r="C9590" t="s">
        <v>875</v>
      </c>
      <c r="D9590" t="s">
        <v>11</v>
      </c>
      <c r="E9590">
        <v>28</v>
      </c>
      <c r="F9590" s="2">
        <f>DATE(2026,IF(Tabla1[[#This Row],[Mes de Fecha]]="Septiembre",9,10),Tabla1[[#This Row],[Día de Fecha]])</f>
        <v>46293</v>
      </c>
      <c r="G9590">
        <v>37328309</v>
      </c>
      <c r="H9590" t="s">
        <v>294</v>
      </c>
      <c r="I9590">
        <v>64</v>
      </c>
      <c r="J9590">
        <v>0</v>
      </c>
      <c r="K9590" s="1">
        <v>3261432</v>
      </c>
    </row>
    <row r="9591" spans="1:11" x14ac:dyDescent="0.25">
      <c r="A9591" t="s">
        <v>9</v>
      </c>
      <c r="B9591" t="s">
        <v>293</v>
      </c>
      <c r="C9591" t="s">
        <v>875</v>
      </c>
      <c r="D9591" t="s">
        <v>11</v>
      </c>
      <c r="E9591">
        <v>28</v>
      </c>
      <c r="F9591" s="2">
        <f>DATE(2026,IF(Tabla1[[#This Row],[Mes de Fecha]]="Septiembre",9,10),Tabla1[[#This Row],[Día de Fecha]])</f>
        <v>46293</v>
      </c>
      <c r="G9591">
        <v>1065245127</v>
      </c>
      <c r="H9591" t="s">
        <v>296</v>
      </c>
      <c r="I9591">
        <v>1</v>
      </c>
      <c r="J9591">
        <v>0</v>
      </c>
      <c r="K9591" s="1">
        <v>50378</v>
      </c>
    </row>
    <row r="9592" spans="1:11" x14ac:dyDescent="0.25">
      <c r="A9592" t="s">
        <v>9</v>
      </c>
      <c r="B9592" t="s">
        <v>293</v>
      </c>
      <c r="C9592" t="s">
        <v>875</v>
      </c>
      <c r="D9592" t="s">
        <v>11</v>
      </c>
      <c r="E9592">
        <v>28</v>
      </c>
      <c r="F9592" s="2">
        <f>DATE(2026,IF(Tabla1[[#This Row],[Mes de Fecha]]="Septiembre",9,10),Tabla1[[#This Row],[Día de Fecha]])</f>
        <v>46293</v>
      </c>
      <c r="G9592">
        <v>1098714134</v>
      </c>
      <c r="H9592" t="s">
        <v>295</v>
      </c>
      <c r="I9592">
        <v>8</v>
      </c>
      <c r="J9592">
        <v>0</v>
      </c>
      <c r="K9592" s="1">
        <v>369370</v>
      </c>
    </row>
    <row r="9593" spans="1:11" x14ac:dyDescent="0.25">
      <c r="A9593" t="s">
        <v>9</v>
      </c>
      <c r="B9593" t="s">
        <v>293</v>
      </c>
      <c r="C9593" t="s">
        <v>875</v>
      </c>
      <c r="D9593" t="s">
        <v>11</v>
      </c>
      <c r="E9593">
        <v>29</v>
      </c>
      <c r="F9593" s="2">
        <f>DATE(2026,IF(Tabla1[[#This Row],[Mes de Fecha]]="Septiembre",9,10),Tabla1[[#This Row],[Día de Fecha]])</f>
        <v>46294</v>
      </c>
      <c r="I9593">
        <v>0</v>
      </c>
      <c r="J9593" s="1">
        <v>2273896</v>
      </c>
      <c r="K9593">
        <v>0</v>
      </c>
    </row>
    <row r="9594" spans="1:11" x14ac:dyDescent="0.25">
      <c r="A9594" t="s">
        <v>9</v>
      </c>
      <c r="B9594" t="s">
        <v>293</v>
      </c>
      <c r="C9594" t="s">
        <v>875</v>
      </c>
      <c r="D9594" t="s">
        <v>11</v>
      </c>
      <c r="E9594">
        <v>29</v>
      </c>
      <c r="F9594" s="2">
        <f>DATE(2026,IF(Tabla1[[#This Row],[Mes de Fecha]]="Septiembre",9,10),Tabla1[[#This Row],[Día de Fecha]])</f>
        <v>46294</v>
      </c>
      <c r="G9594">
        <v>37328309</v>
      </c>
      <c r="H9594" t="s">
        <v>294</v>
      </c>
      <c r="I9594">
        <v>64</v>
      </c>
      <c r="J9594">
        <v>0</v>
      </c>
      <c r="K9594" s="1">
        <v>3190340</v>
      </c>
    </row>
    <row r="9595" spans="1:11" x14ac:dyDescent="0.25">
      <c r="A9595" t="s">
        <v>9</v>
      </c>
      <c r="B9595" t="s">
        <v>293</v>
      </c>
      <c r="C9595" t="s">
        <v>875</v>
      </c>
      <c r="D9595" t="s">
        <v>11</v>
      </c>
      <c r="E9595">
        <v>29</v>
      </c>
      <c r="F9595" s="2">
        <f>DATE(2026,IF(Tabla1[[#This Row],[Mes de Fecha]]="Septiembre",9,10),Tabla1[[#This Row],[Día de Fecha]])</f>
        <v>46294</v>
      </c>
      <c r="G9595">
        <v>1065245877</v>
      </c>
      <c r="H9595" t="s">
        <v>297</v>
      </c>
      <c r="I9595">
        <v>8</v>
      </c>
      <c r="J9595">
        <v>0</v>
      </c>
      <c r="K9595" s="1">
        <v>403027</v>
      </c>
    </row>
    <row r="9596" spans="1:11" x14ac:dyDescent="0.25">
      <c r="A9596" t="s">
        <v>9</v>
      </c>
      <c r="B9596" t="s">
        <v>293</v>
      </c>
      <c r="C9596" t="s">
        <v>875</v>
      </c>
      <c r="D9596" t="s">
        <v>11</v>
      </c>
      <c r="E9596">
        <v>29</v>
      </c>
      <c r="F9596" s="2">
        <f>DATE(2026,IF(Tabla1[[#This Row],[Mes de Fecha]]="Septiembre",9,10),Tabla1[[#This Row],[Día de Fecha]])</f>
        <v>46294</v>
      </c>
      <c r="G9596">
        <v>1098714134</v>
      </c>
      <c r="H9596" t="s">
        <v>295</v>
      </c>
      <c r="I9596">
        <v>7</v>
      </c>
      <c r="J9596">
        <v>0</v>
      </c>
      <c r="K9596" s="1">
        <v>272732</v>
      </c>
    </row>
    <row r="9597" spans="1:11" x14ac:dyDescent="0.25">
      <c r="A9597" t="s">
        <v>9</v>
      </c>
      <c r="B9597" t="s">
        <v>293</v>
      </c>
      <c r="C9597" t="s">
        <v>875</v>
      </c>
      <c r="D9597" t="s">
        <v>11</v>
      </c>
      <c r="E9597">
        <v>30</v>
      </c>
      <c r="F9597" s="2">
        <f>DATE(2026,IF(Tabla1[[#This Row],[Mes de Fecha]]="Septiembre",9,10),Tabla1[[#This Row],[Día de Fecha]])</f>
        <v>46295</v>
      </c>
      <c r="I9597">
        <v>0</v>
      </c>
      <c r="J9597" s="1">
        <v>2408131</v>
      </c>
      <c r="K9597">
        <v>0</v>
      </c>
    </row>
    <row r="9598" spans="1:11" x14ac:dyDescent="0.25">
      <c r="A9598" t="s">
        <v>9</v>
      </c>
      <c r="B9598" t="s">
        <v>293</v>
      </c>
      <c r="C9598" t="s">
        <v>875</v>
      </c>
      <c r="D9598" t="s">
        <v>11</v>
      </c>
      <c r="E9598">
        <v>30</v>
      </c>
      <c r="F9598" s="2">
        <f>DATE(2026,IF(Tabla1[[#This Row],[Mes de Fecha]]="Septiembre",9,10),Tabla1[[#This Row],[Día de Fecha]])</f>
        <v>46295</v>
      </c>
      <c r="G9598">
        <v>37328309</v>
      </c>
      <c r="H9598" t="s">
        <v>294</v>
      </c>
      <c r="I9598">
        <v>82</v>
      </c>
      <c r="J9598">
        <v>0</v>
      </c>
      <c r="K9598" s="1">
        <v>4323744</v>
      </c>
    </row>
    <row r="9599" spans="1:11" x14ac:dyDescent="0.25">
      <c r="A9599" t="s">
        <v>9</v>
      </c>
      <c r="B9599" t="s">
        <v>293</v>
      </c>
      <c r="C9599" t="s">
        <v>875</v>
      </c>
      <c r="D9599" t="s">
        <v>11</v>
      </c>
      <c r="E9599">
        <v>30</v>
      </c>
      <c r="F9599" s="2">
        <f>DATE(2026,IF(Tabla1[[#This Row],[Mes de Fecha]]="Septiembre",9,10),Tabla1[[#This Row],[Día de Fecha]])</f>
        <v>46295</v>
      </c>
      <c r="G9599">
        <v>1098714134</v>
      </c>
      <c r="H9599" t="s">
        <v>295</v>
      </c>
      <c r="I9599">
        <v>-1</v>
      </c>
      <c r="J9599">
        <v>0</v>
      </c>
      <c r="K9599" s="1">
        <v>-75546</v>
      </c>
    </row>
    <row r="9600" spans="1:11" x14ac:dyDescent="0.25">
      <c r="A9600" t="s">
        <v>9</v>
      </c>
      <c r="B9600" t="s">
        <v>293</v>
      </c>
      <c r="C9600" t="s">
        <v>875</v>
      </c>
      <c r="D9600" t="s">
        <v>14</v>
      </c>
      <c r="E9600">
        <v>1</v>
      </c>
      <c r="F9600" s="2">
        <f>DATE(2026,IF(Tabla1[[#This Row],[Mes de Fecha]]="Septiembre",9,10),Tabla1[[#This Row],[Día de Fecha]])</f>
        <v>46296</v>
      </c>
      <c r="I9600">
        <v>0</v>
      </c>
      <c r="J9600" s="1">
        <v>6149268</v>
      </c>
      <c r="K9600">
        <v>0</v>
      </c>
    </row>
    <row r="9601" spans="1:11" x14ac:dyDescent="0.25">
      <c r="A9601" t="s">
        <v>9</v>
      </c>
      <c r="B9601" t="s">
        <v>293</v>
      </c>
      <c r="C9601" t="s">
        <v>875</v>
      </c>
      <c r="D9601" t="s">
        <v>14</v>
      </c>
      <c r="E9601">
        <v>1</v>
      </c>
      <c r="F9601" s="2">
        <f>DATE(2026,IF(Tabla1[[#This Row],[Mes de Fecha]]="Septiembre",9,10),Tabla1[[#This Row],[Día de Fecha]])</f>
        <v>46296</v>
      </c>
      <c r="G9601">
        <v>37328309</v>
      </c>
      <c r="H9601" t="s">
        <v>294</v>
      </c>
      <c r="I9601">
        <v>118</v>
      </c>
      <c r="J9601">
        <v>0</v>
      </c>
      <c r="K9601" s="1">
        <v>5986223</v>
      </c>
    </row>
    <row r="9602" spans="1:11" x14ac:dyDescent="0.25">
      <c r="A9602" t="s">
        <v>9</v>
      </c>
      <c r="B9602" t="s">
        <v>293</v>
      </c>
      <c r="C9602" t="s">
        <v>875</v>
      </c>
      <c r="D9602" t="s">
        <v>14</v>
      </c>
      <c r="E9602">
        <v>1</v>
      </c>
      <c r="F9602" s="2">
        <f>DATE(2026,IF(Tabla1[[#This Row],[Mes de Fecha]]="Septiembre",9,10),Tabla1[[#This Row],[Día de Fecha]])</f>
        <v>46296</v>
      </c>
      <c r="G9602">
        <v>1065245877</v>
      </c>
      <c r="H9602" t="s">
        <v>297</v>
      </c>
      <c r="I9602">
        <v>2</v>
      </c>
      <c r="J9602">
        <v>0</v>
      </c>
      <c r="K9602" s="1">
        <v>83950</v>
      </c>
    </row>
    <row r="9603" spans="1:11" x14ac:dyDescent="0.25">
      <c r="A9603" t="s">
        <v>9</v>
      </c>
      <c r="B9603" t="s">
        <v>293</v>
      </c>
      <c r="C9603" t="s">
        <v>875</v>
      </c>
      <c r="D9603" t="s">
        <v>14</v>
      </c>
      <c r="E9603">
        <v>2</v>
      </c>
      <c r="F9603" s="2">
        <f>DATE(2026,IF(Tabla1[[#This Row],[Mes de Fecha]]="Septiembre",9,10),Tabla1[[#This Row],[Día de Fecha]])</f>
        <v>46297</v>
      </c>
      <c r="I9603">
        <v>0</v>
      </c>
      <c r="J9603" s="1">
        <v>6014457</v>
      </c>
      <c r="K9603">
        <v>0</v>
      </c>
    </row>
    <row r="9604" spans="1:11" x14ac:dyDescent="0.25">
      <c r="A9604" t="s">
        <v>9</v>
      </c>
      <c r="B9604" t="s">
        <v>293</v>
      </c>
      <c r="C9604" t="s">
        <v>875</v>
      </c>
      <c r="D9604" t="s">
        <v>14</v>
      </c>
      <c r="E9604">
        <v>2</v>
      </c>
      <c r="F9604" s="2">
        <f>DATE(2026,IF(Tabla1[[#This Row],[Mes de Fecha]]="Septiembre",9,10),Tabla1[[#This Row],[Día de Fecha]])</f>
        <v>46297</v>
      </c>
      <c r="G9604">
        <v>37328309</v>
      </c>
      <c r="H9604" t="s">
        <v>294</v>
      </c>
      <c r="I9604">
        <v>83</v>
      </c>
      <c r="J9604">
        <v>0</v>
      </c>
      <c r="K9604" s="1">
        <v>4004794</v>
      </c>
    </row>
    <row r="9605" spans="1:11" x14ac:dyDescent="0.25">
      <c r="A9605" t="s">
        <v>9</v>
      </c>
      <c r="B9605" t="s">
        <v>293</v>
      </c>
      <c r="C9605" t="s">
        <v>875</v>
      </c>
      <c r="D9605" t="s">
        <v>14</v>
      </c>
      <c r="E9605">
        <v>2</v>
      </c>
      <c r="F9605" s="2">
        <f>DATE(2026,IF(Tabla1[[#This Row],[Mes de Fecha]]="Septiembre",9,10),Tabla1[[#This Row],[Día de Fecha]])</f>
        <v>46297</v>
      </c>
      <c r="G9605">
        <v>1065245877</v>
      </c>
      <c r="H9605" t="s">
        <v>297</v>
      </c>
      <c r="I9605">
        <v>5</v>
      </c>
      <c r="J9605">
        <v>0</v>
      </c>
      <c r="K9605" s="1">
        <v>298109</v>
      </c>
    </row>
    <row r="9606" spans="1:11" x14ac:dyDescent="0.25">
      <c r="A9606" t="s">
        <v>9</v>
      </c>
      <c r="B9606" t="s">
        <v>293</v>
      </c>
      <c r="C9606" t="s">
        <v>875</v>
      </c>
      <c r="D9606" t="s">
        <v>14</v>
      </c>
      <c r="E9606">
        <v>2</v>
      </c>
      <c r="F9606" s="2">
        <f>DATE(2026,IF(Tabla1[[#This Row],[Mes de Fecha]]="Septiembre",9,10),Tabla1[[#This Row],[Día de Fecha]])</f>
        <v>46297</v>
      </c>
      <c r="G9606">
        <v>1098714134</v>
      </c>
      <c r="H9606" t="s">
        <v>295</v>
      </c>
      <c r="I9606">
        <v>32</v>
      </c>
      <c r="J9606">
        <v>0</v>
      </c>
      <c r="K9606" s="1">
        <v>1527857</v>
      </c>
    </row>
    <row r="9607" spans="1:11" x14ac:dyDescent="0.25">
      <c r="A9607" t="s">
        <v>9</v>
      </c>
      <c r="B9607" t="s">
        <v>293</v>
      </c>
      <c r="C9607" t="s">
        <v>875</v>
      </c>
      <c r="D9607" t="s">
        <v>14</v>
      </c>
      <c r="E9607">
        <v>3</v>
      </c>
      <c r="F9607" s="2">
        <f>DATE(2026,IF(Tabla1[[#This Row],[Mes de Fecha]]="Septiembre",9,10),Tabla1[[#This Row],[Día de Fecha]])</f>
        <v>46298</v>
      </c>
      <c r="I9607">
        <v>0</v>
      </c>
      <c r="J9607" s="1">
        <v>8253647</v>
      </c>
      <c r="K9607">
        <v>0</v>
      </c>
    </row>
    <row r="9608" spans="1:11" x14ac:dyDescent="0.25">
      <c r="A9608" t="s">
        <v>9</v>
      </c>
      <c r="B9608" t="s">
        <v>293</v>
      </c>
      <c r="C9608" t="s">
        <v>875</v>
      </c>
      <c r="D9608" t="s">
        <v>14</v>
      </c>
      <c r="E9608">
        <v>3</v>
      </c>
      <c r="F9608" s="2">
        <f>DATE(2026,IF(Tabla1[[#This Row],[Mes de Fecha]]="Septiembre",9,10),Tabla1[[#This Row],[Día de Fecha]])</f>
        <v>46298</v>
      </c>
      <c r="G9608">
        <v>37328309</v>
      </c>
      <c r="H9608" t="s">
        <v>294</v>
      </c>
      <c r="I9608">
        <v>167</v>
      </c>
      <c r="J9608">
        <v>0</v>
      </c>
      <c r="K9608" s="1">
        <v>8177867</v>
      </c>
    </row>
    <row r="9609" spans="1:11" x14ac:dyDescent="0.25">
      <c r="A9609" t="s">
        <v>9</v>
      </c>
      <c r="B9609" t="s">
        <v>293</v>
      </c>
      <c r="C9609" t="s">
        <v>875</v>
      </c>
      <c r="D9609" t="s">
        <v>14</v>
      </c>
      <c r="E9609">
        <v>3</v>
      </c>
      <c r="F9609" s="2">
        <f>DATE(2026,IF(Tabla1[[#This Row],[Mes de Fecha]]="Septiembre",9,10),Tabla1[[#This Row],[Día de Fecha]])</f>
        <v>46298</v>
      </c>
      <c r="G9609">
        <v>1065245877</v>
      </c>
      <c r="H9609" t="s">
        <v>297</v>
      </c>
      <c r="I9609">
        <v>7</v>
      </c>
      <c r="J9609">
        <v>0</v>
      </c>
      <c r="K9609" s="1">
        <v>293412</v>
      </c>
    </row>
    <row r="9610" spans="1:11" x14ac:dyDescent="0.25">
      <c r="A9610" t="s">
        <v>9</v>
      </c>
      <c r="B9610" t="s">
        <v>293</v>
      </c>
      <c r="C9610" t="s">
        <v>875</v>
      </c>
      <c r="D9610" t="s">
        <v>14</v>
      </c>
      <c r="E9610">
        <v>4</v>
      </c>
      <c r="F9610" s="2">
        <f>DATE(2026,IF(Tabla1[[#This Row],[Mes de Fecha]]="Septiembre",9,10),Tabla1[[#This Row],[Día de Fecha]])</f>
        <v>46299</v>
      </c>
      <c r="I9610">
        <v>0</v>
      </c>
      <c r="J9610" s="1">
        <v>3371601</v>
      </c>
      <c r="K9610">
        <v>0</v>
      </c>
    </row>
    <row r="9611" spans="1:11" x14ac:dyDescent="0.25">
      <c r="A9611" t="s">
        <v>9</v>
      </c>
      <c r="B9611" t="s">
        <v>293</v>
      </c>
      <c r="C9611" t="s">
        <v>875</v>
      </c>
      <c r="D9611" t="s">
        <v>14</v>
      </c>
      <c r="E9611">
        <v>4</v>
      </c>
      <c r="F9611" s="2">
        <f>DATE(2026,IF(Tabla1[[#This Row],[Mes de Fecha]]="Septiembre",9,10),Tabla1[[#This Row],[Día de Fecha]])</f>
        <v>46299</v>
      </c>
      <c r="G9611">
        <v>37328309</v>
      </c>
      <c r="H9611" t="s">
        <v>294</v>
      </c>
      <c r="I9611">
        <v>61</v>
      </c>
      <c r="J9611">
        <v>0</v>
      </c>
      <c r="K9611" s="1">
        <v>2965551</v>
      </c>
    </row>
    <row r="9612" spans="1:11" x14ac:dyDescent="0.25">
      <c r="A9612" t="s">
        <v>9</v>
      </c>
      <c r="B9612" t="s">
        <v>293</v>
      </c>
      <c r="C9612" t="s">
        <v>875</v>
      </c>
      <c r="D9612" t="s">
        <v>14</v>
      </c>
      <c r="E9612">
        <v>5</v>
      </c>
      <c r="F9612" s="2">
        <f>DATE(2026,IF(Tabla1[[#This Row],[Mes de Fecha]]="Septiembre",9,10),Tabla1[[#This Row],[Día de Fecha]])</f>
        <v>46300</v>
      </c>
      <c r="I9612">
        <v>0</v>
      </c>
      <c r="J9612" s="1">
        <v>3742762</v>
      </c>
      <c r="K9612">
        <v>0</v>
      </c>
    </row>
    <row r="9613" spans="1:11" x14ac:dyDescent="0.25">
      <c r="A9613" t="s">
        <v>9</v>
      </c>
      <c r="B9613" t="s">
        <v>293</v>
      </c>
      <c r="C9613" t="s">
        <v>875</v>
      </c>
      <c r="D9613" t="s">
        <v>14</v>
      </c>
      <c r="E9613">
        <v>5</v>
      </c>
      <c r="F9613" s="2">
        <f>DATE(2026,IF(Tabla1[[#This Row],[Mes de Fecha]]="Septiembre",9,10),Tabla1[[#This Row],[Día de Fecha]])</f>
        <v>46300</v>
      </c>
      <c r="G9613">
        <v>37328309</v>
      </c>
      <c r="H9613" t="s">
        <v>294</v>
      </c>
      <c r="I9613">
        <v>88</v>
      </c>
      <c r="J9613">
        <v>0</v>
      </c>
      <c r="K9613" s="1">
        <v>4489589</v>
      </c>
    </row>
    <row r="9614" spans="1:11" x14ac:dyDescent="0.25">
      <c r="A9614" t="s">
        <v>9</v>
      </c>
      <c r="B9614" t="s">
        <v>293</v>
      </c>
      <c r="C9614" t="s">
        <v>875</v>
      </c>
      <c r="D9614" t="s">
        <v>14</v>
      </c>
      <c r="E9614">
        <v>5</v>
      </c>
      <c r="F9614" s="2">
        <f>DATE(2026,IF(Tabla1[[#This Row],[Mes de Fecha]]="Septiembre",9,10),Tabla1[[#This Row],[Día de Fecha]])</f>
        <v>46300</v>
      </c>
      <c r="G9614">
        <v>1065245127</v>
      </c>
      <c r="H9614" t="s">
        <v>296</v>
      </c>
      <c r="I9614">
        <v>1</v>
      </c>
      <c r="J9614">
        <v>0</v>
      </c>
      <c r="K9614" s="1">
        <v>54580</v>
      </c>
    </row>
    <row r="9615" spans="1:11" x14ac:dyDescent="0.25">
      <c r="A9615" t="s">
        <v>9</v>
      </c>
      <c r="B9615" t="s">
        <v>293</v>
      </c>
      <c r="C9615" t="s">
        <v>875</v>
      </c>
      <c r="D9615" t="s">
        <v>14</v>
      </c>
      <c r="E9615">
        <v>5</v>
      </c>
      <c r="F9615" s="2">
        <f>DATE(2026,IF(Tabla1[[#This Row],[Mes de Fecha]]="Septiembre",9,10),Tabla1[[#This Row],[Día de Fecha]])</f>
        <v>46300</v>
      </c>
      <c r="G9615">
        <v>1065245877</v>
      </c>
      <c r="H9615" t="s">
        <v>297</v>
      </c>
      <c r="I9615">
        <v>1</v>
      </c>
      <c r="J9615">
        <v>0</v>
      </c>
      <c r="K9615" s="1">
        <v>37773</v>
      </c>
    </row>
    <row r="9616" spans="1:11" x14ac:dyDescent="0.25">
      <c r="A9616" t="s">
        <v>9</v>
      </c>
      <c r="B9616" t="s">
        <v>293</v>
      </c>
      <c r="C9616" t="s">
        <v>875</v>
      </c>
      <c r="D9616" t="s">
        <v>14</v>
      </c>
      <c r="E9616">
        <v>5</v>
      </c>
      <c r="F9616" s="2">
        <f>DATE(2026,IF(Tabla1[[#This Row],[Mes de Fecha]]="Septiembre",9,10),Tabla1[[#This Row],[Día de Fecha]])</f>
        <v>46300</v>
      </c>
      <c r="G9616">
        <v>1098714134</v>
      </c>
      <c r="H9616" t="s">
        <v>295</v>
      </c>
      <c r="I9616">
        <v>-2</v>
      </c>
      <c r="J9616">
        <v>0</v>
      </c>
      <c r="K9616" s="1">
        <v>-83950</v>
      </c>
    </row>
    <row r="9617" spans="1:11" x14ac:dyDescent="0.25">
      <c r="A9617" t="s">
        <v>9</v>
      </c>
      <c r="B9617" t="s">
        <v>293</v>
      </c>
      <c r="C9617" t="s">
        <v>875</v>
      </c>
      <c r="D9617" t="s">
        <v>14</v>
      </c>
      <c r="E9617">
        <v>6</v>
      </c>
      <c r="F9617" s="2">
        <f>DATE(2026,IF(Tabla1[[#This Row],[Mes de Fecha]]="Septiembre",9,10),Tabla1[[#This Row],[Día de Fecha]])</f>
        <v>46301</v>
      </c>
      <c r="I9617">
        <v>0</v>
      </c>
      <c r="J9617" s="1">
        <v>627003</v>
      </c>
      <c r="K9617">
        <v>0</v>
      </c>
    </row>
    <row r="9618" spans="1:11" x14ac:dyDescent="0.25">
      <c r="A9618" t="s">
        <v>9</v>
      </c>
      <c r="B9618" t="s">
        <v>293</v>
      </c>
      <c r="C9618" t="s">
        <v>875</v>
      </c>
      <c r="D9618" t="s">
        <v>14</v>
      </c>
      <c r="E9618">
        <v>6</v>
      </c>
      <c r="F9618" s="2">
        <f>DATE(2026,IF(Tabla1[[#This Row],[Mes de Fecha]]="Septiembre",9,10),Tabla1[[#This Row],[Día de Fecha]])</f>
        <v>46301</v>
      </c>
      <c r="G9618">
        <v>37328309</v>
      </c>
      <c r="H9618" t="s">
        <v>294</v>
      </c>
      <c r="I9618">
        <v>58</v>
      </c>
      <c r="J9618">
        <v>0</v>
      </c>
      <c r="K9618" s="1">
        <v>3103263</v>
      </c>
    </row>
    <row r="9619" spans="1:11" x14ac:dyDescent="0.25">
      <c r="A9619" t="s">
        <v>9</v>
      </c>
      <c r="B9619" t="s">
        <v>293</v>
      </c>
      <c r="C9619" t="s">
        <v>875</v>
      </c>
      <c r="D9619" t="s">
        <v>14</v>
      </c>
      <c r="E9619">
        <v>6</v>
      </c>
      <c r="F9619" s="2">
        <f>DATE(2026,IF(Tabla1[[#This Row],[Mes de Fecha]]="Septiembre",9,10),Tabla1[[#This Row],[Día de Fecha]])</f>
        <v>46301</v>
      </c>
      <c r="G9619">
        <v>1065245877</v>
      </c>
      <c r="H9619" t="s">
        <v>297</v>
      </c>
      <c r="I9619">
        <v>2</v>
      </c>
      <c r="J9619">
        <v>0</v>
      </c>
      <c r="K9619" s="1">
        <v>46092</v>
      </c>
    </row>
    <row r="9620" spans="1:11" x14ac:dyDescent="0.25">
      <c r="A9620" t="s">
        <v>9</v>
      </c>
      <c r="B9620" t="s">
        <v>293</v>
      </c>
      <c r="C9620" t="s">
        <v>875</v>
      </c>
      <c r="D9620" t="s">
        <v>14</v>
      </c>
      <c r="E9620">
        <v>7</v>
      </c>
      <c r="F9620" s="2">
        <f>DATE(2026,IF(Tabla1[[#This Row],[Mes de Fecha]]="Septiembre",9,10),Tabla1[[#This Row],[Día de Fecha]])</f>
        <v>46302</v>
      </c>
      <c r="I9620">
        <v>0</v>
      </c>
      <c r="J9620" s="1">
        <v>550544</v>
      </c>
      <c r="K9620">
        <v>0</v>
      </c>
    </row>
    <row r="9621" spans="1:11" x14ac:dyDescent="0.25">
      <c r="A9621" t="s">
        <v>9</v>
      </c>
      <c r="B9621" t="s">
        <v>293</v>
      </c>
      <c r="C9621" t="s">
        <v>875</v>
      </c>
      <c r="D9621" t="s">
        <v>14</v>
      </c>
      <c r="E9621">
        <v>7</v>
      </c>
      <c r="F9621" s="2">
        <f>DATE(2026,IF(Tabla1[[#This Row],[Mes de Fecha]]="Septiembre",9,10),Tabla1[[#This Row],[Día de Fecha]])</f>
        <v>46302</v>
      </c>
      <c r="G9621">
        <v>37328309</v>
      </c>
      <c r="H9621" t="s">
        <v>294</v>
      </c>
      <c r="I9621">
        <v>70</v>
      </c>
      <c r="J9621">
        <v>0</v>
      </c>
      <c r="K9621" s="1">
        <v>3986053</v>
      </c>
    </row>
    <row r="9622" spans="1:11" x14ac:dyDescent="0.25">
      <c r="A9622" t="s">
        <v>9</v>
      </c>
      <c r="B9622" t="s">
        <v>308</v>
      </c>
      <c r="C9622" t="s">
        <v>875</v>
      </c>
      <c r="D9622" t="s">
        <v>11</v>
      </c>
      <c r="E9622">
        <v>23</v>
      </c>
      <c r="F9622" s="2">
        <f>DATE(2026,IF(Tabla1[[#This Row],[Mes de Fecha]]="Septiembre",9,10),Tabla1[[#This Row],[Día de Fecha]])</f>
        <v>46288</v>
      </c>
      <c r="I9622">
        <v>0</v>
      </c>
      <c r="J9622" s="1">
        <v>3254293</v>
      </c>
      <c r="K9622">
        <v>0</v>
      </c>
    </row>
    <row r="9623" spans="1:11" x14ac:dyDescent="0.25">
      <c r="A9623" t="s">
        <v>9</v>
      </c>
      <c r="B9623" t="s">
        <v>308</v>
      </c>
      <c r="C9623" t="s">
        <v>875</v>
      </c>
      <c r="D9623" t="s">
        <v>11</v>
      </c>
      <c r="E9623">
        <v>23</v>
      </c>
      <c r="F9623" s="2">
        <f>DATE(2026,IF(Tabla1[[#This Row],[Mes de Fecha]]="Septiembre",9,10),Tabla1[[#This Row],[Día de Fecha]])</f>
        <v>46288</v>
      </c>
      <c r="G9623">
        <v>1096230282</v>
      </c>
      <c r="H9623" t="s">
        <v>311</v>
      </c>
      <c r="I9623">
        <v>49</v>
      </c>
      <c r="J9623">
        <v>0</v>
      </c>
      <c r="K9623" s="1">
        <v>2376117</v>
      </c>
    </row>
    <row r="9624" spans="1:11" x14ac:dyDescent="0.25">
      <c r="A9624" t="s">
        <v>9</v>
      </c>
      <c r="B9624" t="s">
        <v>308</v>
      </c>
      <c r="C9624" t="s">
        <v>875</v>
      </c>
      <c r="D9624" t="s">
        <v>11</v>
      </c>
      <c r="E9624">
        <v>23</v>
      </c>
      <c r="F9624" s="2">
        <f>DATE(2026,IF(Tabla1[[#This Row],[Mes de Fecha]]="Septiembre",9,10),Tabla1[[#This Row],[Día de Fecha]])</f>
        <v>46288</v>
      </c>
      <c r="G9624">
        <v>1096246264</v>
      </c>
      <c r="H9624" t="s">
        <v>309</v>
      </c>
      <c r="I9624">
        <v>82</v>
      </c>
      <c r="J9624">
        <v>0</v>
      </c>
      <c r="K9624" s="1">
        <v>4101600</v>
      </c>
    </row>
    <row r="9625" spans="1:11" x14ac:dyDescent="0.25">
      <c r="A9625" t="s">
        <v>9</v>
      </c>
      <c r="B9625" t="s">
        <v>308</v>
      </c>
      <c r="C9625" t="s">
        <v>875</v>
      </c>
      <c r="D9625" t="s">
        <v>11</v>
      </c>
      <c r="E9625">
        <v>24</v>
      </c>
      <c r="F9625" s="2">
        <f>DATE(2026,IF(Tabla1[[#This Row],[Mes de Fecha]]="Septiembre",9,10),Tabla1[[#This Row],[Día de Fecha]])</f>
        <v>46289</v>
      </c>
      <c r="I9625">
        <v>0</v>
      </c>
      <c r="J9625" s="1">
        <v>8416224</v>
      </c>
      <c r="K9625">
        <v>0</v>
      </c>
    </row>
    <row r="9626" spans="1:11" x14ac:dyDescent="0.25">
      <c r="A9626" t="s">
        <v>9</v>
      </c>
      <c r="B9626" t="s">
        <v>308</v>
      </c>
      <c r="C9626" t="s">
        <v>875</v>
      </c>
      <c r="D9626" t="s">
        <v>11</v>
      </c>
      <c r="E9626">
        <v>24</v>
      </c>
      <c r="F9626" s="2">
        <f>DATE(2026,IF(Tabla1[[#This Row],[Mes de Fecha]]="Septiembre",9,10),Tabla1[[#This Row],[Día de Fecha]])</f>
        <v>46289</v>
      </c>
      <c r="G9626">
        <v>1096230282</v>
      </c>
      <c r="H9626" t="s">
        <v>311</v>
      </c>
      <c r="I9626">
        <v>38</v>
      </c>
      <c r="J9626">
        <v>0</v>
      </c>
      <c r="K9626" s="1">
        <v>1716894</v>
      </c>
    </row>
    <row r="9627" spans="1:11" x14ac:dyDescent="0.25">
      <c r="A9627" t="s">
        <v>9</v>
      </c>
      <c r="B9627" t="s">
        <v>308</v>
      </c>
      <c r="C9627" t="s">
        <v>875</v>
      </c>
      <c r="D9627" t="s">
        <v>11</v>
      </c>
      <c r="E9627">
        <v>24</v>
      </c>
      <c r="F9627" s="2">
        <f>DATE(2026,IF(Tabla1[[#This Row],[Mes de Fecha]]="Septiembre",9,10),Tabla1[[#This Row],[Día de Fecha]])</f>
        <v>46289</v>
      </c>
      <c r="G9627">
        <v>1096246264</v>
      </c>
      <c r="H9627" t="s">
        <v>309</v>
      </c>
      <c r="I9627">
        <v>112</v>
      </c>
      <c r="J9627">
        <v>0</v>
      </c>
      <c r="K9627" s="1">
        <v>5808323</v>
      </c>
    </row>
    <row r="9628" spans="1:11" x14ac:dyDescent="0.25">
      <c r="A9628" t="s">
        <v>9</v>
      </c>
      <c r="B9628" t="s">
        <v>308</v>
      </c>
      <c r="C9628" t="s">
        <v>875</v>
      </c>
      <c r="D9628" t="s">
        <v>11</v>
      </c>
      <c r="E9628">
        <v>25</v>
      </c>
      <c r="F9628" s="2">
        <f>DATE(2026,IF(Tabla1[[#This Row],[Mes de Fecha]]="Septiembre",9,10),Tabla1[[#This Row],[Día de Fecha]])</f>
        <v>46290</v>
      </c>
      <c r="I9628">
        <v>0</v>
      </c>
      <c r="J9628" s="1">
        <v>8988985</v>
      </c>
      <c r="K9628">
        <v>0</v>
      </c>
    </row>
    <row r="9629" spans="1:11" x14ac:dyDescent="0.25">
      <c r="A9629" t="s">
        <v>9</v>
      </c>
      <c r="B9629" t="s">
        <v>308</v>
      </c>
      <c r="C9629" t="s">
        <v>875</v>
      </c>
      <c r="D9629" t="s">
        <v>11</v>
      </c>
      <c r="E9629">
        <v>25</v>
      </c>
      <c r="F9629" s="2">
        <f>DATE(2026,IF(Tabla1[[#This Row],[Mes de Fecha]]="Septiembre",9,10),Tabla1[[#This Row],[Día de Fecha]])</f>
        <v>46290</v>
      </c>
      <c r="G9629">
        <v>1096205264</v>
      </c>
      <c r="H9629" t="s">
        <v>312</v>
      </c>
      <c r="I9629">
        <v>77</v>
      </c>
      <c r="J9629">
        <v>0</v>
      </c>
      <c r="K9629" s="1">
        <v>4089160</v>
      </c>
    </row>
    <row r="9630" spans="1:11" x14ac:dyDescent="0.25">
      <c r="A9630" t="s">
        <v>9</v>
      </c>
      <c r="B9630" t="s">
        <v>308</v>
      </c>
      <c r="C9630" t="s">
        <v>875</v>
      </c>
      <c r="D9630" t="s">
        <v>11</v>
      </c>
      <c r="E9630">
        <v>25</v>
      </c>
      <c r="F9630" s="2">
        <f>DATE(2026,IF(Tabla1[[#This Row],[Mes de Fecha]]="Septiembre",9,10),Tabla1[[#This Row],[Día de Fecha]])</f>
        <v>46290</v>
      </c>
      <c r="G9630">
        <v>1096230282</v>
      </c>
      <c r="H9630" t="s">
        <v>311</v>
      </c>
      <c r="I9630">
        <v>54</v>
      </c>
      <c r="J9630">
        <v>0</v>
      </c>
      <c r="K9630" s="1">
        <v>2827567</v>
      </c>
    </row>
    <row r="9631" spans="1:11" x14ac:dyDescent="0.25">
      <c r="A9631" t="s">
        <v>9</v>
      </c>
      <c r="B9631" t="s">
        <v>308</v>
      </c>
      <c r="C9631" t="s">
        <v>875</v>
      </c>
      <c r="D9631" t="s">
        <v>11</v>
      </c>
      <c r="E9631">
        <v>25</v>
      </c>
      <c r="F9631" s="2">
        <f>DATE(2026,IF(Tabla1[[#This Row],[Mes de Fecha]]="Septiembre",9,10),Tabla1[[#This Row],[Día de Fecha]])</f>
        <v>46290</v>
      </c>
      <c r="G9631">
        <v>1096252142</v>
      </c>
      <c r="H9631" t="s">
        <v>310</v>
      </c>
      <c r="I9631">
        <v>47</v>
      </c>
      <c r="J9631">
        <v>0</v>
      </c>
      <c r="K9631" s="1">
        <v>2420298</v>
      </c>
    </row>
    <row r="9632" spans="1:11" x14ac:dyDescent="0.25">
      <c r="A9632" t="s">
        <v>9</v>
      </c>
      <c r="B9632" t="s">
        <v>308</v>
      </c>
      <c r="C9632" t="s">
        <v>875</v>
      </c>
      <c r="D9632" t="s">
        <v>11</v>
      </c>
      <c r="E9632">
        <v>26</v>
      </c>
      <c r="F9632" s="2">
        <f>DATE(2026,IF(Tabla1[[#This Row],[Mes de Fecha]]="Septiembre",9,10),Tabla1[[#This Row],[Día de Fecha]])</f>
        <v>46291</v>
      </c>
      <c r="I9632">
        <v>0</v>
      </c>
      <c r="J9632" s="1">
        <v>11334883</v>
      </c>
      <c r="K9632">
        <v>0</v>
      </c>
    </row>
    <row r="9633" spans="1:11" x14ac:dyDescent="0.25">
      <c r="A9633" t="s">
        <v>9</v>
      </c>
      <c r="B9633" t="s">
        <v>308</v>
      </c>
      <c r="C9633" t="s">
        <v>875</v>
      </c>
      <c r="D9633" t="s">
        <v>11</v>
      </c>
      <c r="E9633">
        <v>26</v>
      </c>
      <c r="F9633" s="2">
        <f>DATE(2026,IF(Tabla1[[#This Row],[Mes de Fecha]]="Septiembre",9,10),Tabla1[[#This Row],[Día de Fecha]])</f>
        <v>46291</v>
      </c>
      <c r="G9633">
        <v>1096205264</v>
      </c>
      <c r="H9633" t="s">
        <v>312</v>
      </c>
      <c r="I9633">
        <v>147</v>
      </c>
      <c r="J9633">
        <v>0</v>
      </c>
      <c r="K9633" s="1">
        <v>6806704</v>
      </c>
    </row>
    <row r="9634" spans="1:11" x14ac:dyDescent="0.25">
      <c r="A9634" t="s">
        <v>9</v>
      </c>
      <c r="B9634" t="s">
        <v>308</v>
      </c>
      <c r="C9634" t="s">
        <v>875</v>
      </c>
      <c r="D9634" t="s">
        <v>11</v>
      </c>
      <c r="E9634">
        <v>26</v>
      </c>
      <c r="F9634" s="2">
        <f>DATE(2026,IF(Tabla1[[#This Row],[Mes de Fecha]]="Septiembre",9,10),Tabla1[[#This Row],[Día de Fecha]])</f>
        <v>46291</v>
      </c>
      <c r="G9634">
        <v>1096230282</v>
      </c>
      <c r="H9634" t="s">
        <v>311</v>
      </c>
      <c r="I9634">
        <v>97</v>
      </c>
      <c r="J9634">
        <v>0</v>
      </c>
      <c r="K9634" s="1">
        <v>3981391</v>
      </c>
    </row>
    <row r="9635" spans="1:11" x14ac:dyDescent="0.25">
      <c r="A9635" t="s">
        <v>9</v>
      </c>
      <c r="B9635" t="s">
        <v>308</v>
      </c>
      <c r="C9635" t="s">
        <v>875</v>
      </c>
      <c r="D9635" t="s">
        <v>11</v>
      </c>
      <c r="E9635">
        <v>26</v>
      </c>
      <c r="F9635" s="2">
        <f>DATE(2026,IF(Tabla1[[#This Row],[Mes de Fecha]]="Septiembre",9,10),Tabla1[[#This Row],[Día de Fecha]])</f>
        <v>46291</v>
      </c>
      <c r="G9635">
        <v>1096252142</v>
      </c>
      <c r="H9635" t="s">
        <v>310</v>
      </c>
      <c r="I9635">
        <v>82</v>
      </c>
      <c r="J9635">
        <v>0</v>
      </c>
      <c r="K9635" s="1">
        <v>4137190</v>
      </c>
    </row>
    <row r="9636" spans="1:11" x14ac:dyDescent="0.25">
      <c r="A9636" t="s">
        <v>9</v>
      </c>
      <c r="B9636" t="s">
        <v>308</v>
      </c>
      <c r="C9636" t="s">
        <v>875</v>
      </c>
      <c r="D9636" t="s">
        <v>11</v>
      </c>
      <c r="E9636">
        <v>27</v>
      </c>
      <c r="F9636" s="2">
        <f>DATE(2026,IF(Tabla1[[#This Row],[Mes de Fecha]]="Septiembre",9,10),Tabla1[[#This Row],[Día de Fecha]])</f>
        <v>46292</v>
      </c>
      <c r="I9636">
        <v>0</v>
      </c>
      <c r="J9636" s="1">
        <v>5984711</v>
      </c>
      <c r="K9636">
        <v>0</v>
      </c>
    </row>
    <row r="9637" spans="1:11" x14ac:dyDescent="0.25">
      <c r="A9637" t="s">
        <v>9</v>
      </c>
      <c r="B9637" t="s">
        <v>308</v>
      </c>
      <c r="C9637" t="s">
        <v>875</v>
      </c>
      <c r="D9637" t="s">
        <v>11</v>
      </c>
      <c r="E9637">
        <v>27</v>
      </c>
      <c r="F9637" s="2">
        <f>DATE(2026,IF(Tabla1[[#This Row],[Mes de Fecha]]="Septiembre",9,10),Tabla1[[#This Row],[Día de Fecha]])</f>
        <v>46292</v>
      </c>
      <c r="G9637">
        <v>1096205264</v>
      </c>
      <c r="H9637" t="s">
        <v>312</v>
      </c>
      <c r="I9637">
        <v>51</v>
      </c>
      <c r="J9637">
        <v>0</v>
      </c>
      <c r="K9637" s="1">
        <v>2466138</v>
      </c>
    </row>
    <row r="9638" spans="1:11" x14ac:dyDescent="0.25">
      <c r="A9638" t="s">
        <v>9</v>
      </c>
      <c r="B9638" t="s">
        <v>308</v>
      </c>
      <c r="C9638" t="s">
        <v>875</v>
      </c>
      <c r="D9638" t="s">
        <v>11</v>
      </c>
      <c r="E9638">
        <v>27</v>
      </c>
      <c r="F9638" s="2">
        <f>DATE(2026,IF(Tabla1[[#This Row],[Mes de Fecha]]="Septiembre",9,10),Tabla1[[#This Row],[Día de Fecha]])</f>
        <v>46292</v>
      </c>
      <c r="G9638">
        <v>1096230282</v>
      </c>
      <c r="H9638" t="s">
        <v>311</v>
      </c>
      <c r="I9638">
        <v>58</v>
      </c>
      <c r="J9638">
        <v>0</v>
      </c>
      <c r="K9638" s="1">
        <v>2762104</v>
      </c>
    </row>
    <row r="9639" spans="1:11" x14ac:dyDescent="0.25">
      <c r="A9639" t="s">
        <v>9</v>
      </c>
      <c r="B9639" t="s">
        <v>308</v>
      </c>
      <c r="C9639" t="s">
        <v>875</v>
      </c>
      <c r="D9639" t="s">
        <v>11</v>
      </c>
      <c r="E9639">
        <v>27</v>
      </c>
      <c r="F9639" s="2">
        <f>DATE(2026,IF(Tabla1[[#This Row],[Mes de Fecha]]="Septiembre",9,10),Tabla1[[#This Row],[Día de Fecha]])</f>
        <v>46292</v>
      </c>
      <c r="G9639">
        <v>1096252142</v>
      </c>
      <c r="H9639" t="s">
        <v>310</v>
      </c>
      <c r="I9639">
        <v>0</v>
      </c>
      <c r="J9639">
        <v>0</v>
      </c>
      <c r="K9639" s="1">
        <v>8403</v>
      </c>
    </row>
    <row r="9640" spans="1:11" x14ac:dyDescent="0.25">
      <c r="A9640" t="s">
        <v>9</v>
      </c>
      <c r="B9640" t="s">
        <v>308</v>
      </c>
      <c r="C9640" t="s">
        <v>875</v>
      </c>
      <c r="D9640" t="s">
        <v>11</v>
      </c>
      <c r="E9640">
        <v>28</v>
      </c>
      <c r="F9640" s="2">
        <f>DATE(2026,IF(Tabla1[[#This Row],[Mes de Fecha]]="Septiembre",9,10),Tabla1[[#This Row],[Día de Fecha]])</f>
        <v>46293</v>
      </c>
      <c r="I9640">
        <v>0</v>
      </c>
      <c r="J9640" s="1">
        <v>4906809</v>
      </c>
      <c r="K9640">
        <v>0</v>
      </c>
    </row>
    <row r="9641" spans="1:11" x14ac:dyDescent="0.25">
      <c r="A9641" t="s">
        <v>9</v>
      </c>
      <c r="B9641" t="s">
        <v>308</v>
      </c>
      <c r="C9641" t="s">
        <v>875</v>
      </c>
      <c r="D9641" t="s">
        <v>11</v>
      </c>
      <c r="E9641">
        <v>28</v>
      </c>
      <c r="F9641" s="2">
        <f>DATE(2026,IF(Tabla1[[#This Row],[Mes de Fecha]]="Septiembre",9,10),Tabla1[[#This Row],[Día de Fecha]])</f>
        <v>46293</v>
      </c>
      <c r="G9641">
        <v>1096230282</v>
      </c>
      <c r="H9641" t="s">
        <v>311</v>
      </c>
      <c r="I9641">
        <v>41</v>
      </c>
      <c r="J9641">
        <v>0</v>
      </c>
      <c r="K9641" s="1">
        <v>2122229</v>
      </c>
    </row>
    <row r="9642" spans="1:11" x14ac:dyDescent="0.25">
      <c r="A9642" t="s">
        <v>9</v>
      </c>
      <c r="B9642" t="s">
        <v>308</v>
      </c>
      <c r="C9642" t="s">
        <v>875</v>
      </c>
      <c r="D9642" t="s">
        <v>11</v>
      </c>
      <c r="E9642">
        <v>28</v>
      </c>
      <c r="F9642" s="2">
        <f>DATE(2026,IF(Tabla1[[#This Row],[Mes de Fecha]]="Septiembre",9,10),Tabla1[[#This Row],[Día de Fecha]])</f>
        <v>46293</v>
      </c>
      <c r="G9642">
        <v>1096246264</v>
      </c>
      <c r="H9642" t="s">
        <v>309</v>
      </c>
      <c r="I9642">
        <v>18</v>
      </c>
      <c r="J9642">
        <v>0</v>
      </c>
      <c r="K9642" s="1">
        <v>994958</v>
      </c>
    </row>
    <row r="9643" spans="1:11" x14ac:dyDescent="0.25">
      <c r="A9643" t="s">
        <v>9</v>
      </c>
      <c r="B9643" t="s">
        <v>308</v>
      </c>
      <c r="C9643" t="s">
        <v>875</v>
      </c>
      <c r="D9643" t="s">
        <v>11</v>
      </c>
      <c r="E9643">
        <v>28</v>
      </c>
      <c r="F9643" s="2">
        <f>DATE(2026,IF(Tabla1[[#This Row],[Mes de Fecha]]="Septiembre",9,10),Tabla1[[#This Row],[Día de Fecha]])</f>
        <v>46293</v>
      </c>
      <c r="G9643">
        <v>1096252142</v>
      </c>
      <c r="H9643" t="s">
        <v>310</v>
      </c>
      <c r="I9643">
        <v>49</v>
      </c>
      <c r="J9643">
        <v>0</v>
      </c>
      <c r="K9643" s="1">
        <v>2430672</v>
      </c>
    </row>
    <row r="9644" spans="1:11" x14ac:dyDescent="0.25">
      <c r="A9644" t="s">
        <v>9</v>
      </c>
      <c r="B9644" t="s">
        <v>308</v>
      </c>
      <c r="C9644" t="s">
        <v>875</v>
      </c>
      <c r="D9644" t="s">
        <v>11</v>
      </c>
      <c r="E9644">
        <v>29</v>
      </c>
      <c r="F9644" s="2">
        <f>DATE(2026,IF(Tabla1[[#This Row],[Mes de Fecha]]="Septiembre",9,10),Tabla1[[#This Row],[Día de Fecha]])</f>
        <v>46294</v>
      </c>
      <c r="I9644">
        <v>0</v>
      </c>
      <c r="J9644" s="1">
        <v>5454925</v>
      </c>
      <c r="K9644">
        <v>0</v>
      </c>
    </row>
    <row r="9645" spans="1:11" x14ac:dyDescent="0.25">
      <c r="A9645" t="s">
        <v>9</v>
      </c>
      <c r="B9645" t="s">
        <v>308</v>
      </c>
      <c r="C9645" t="s">
        <v>875</v>
      </c>
      <c r="D9645" t="s">
        <v>11</v>
      </c>
      <c r="E9645">
        <v>29</v>
      </c>
      <c r="F9645" s="2">
        <f>DATE(2026,IF(Tabla1[[#This Row],[Mes de Fecha]]="Septiembre",9,10),Tabla1[[#This Row],[Día de Fecha]])</f>
        <v>46294</v>
      </c>
      <c r="G9645">
        <v>1096230282</v>
      </c>
      <c r="H9645" t="s">
        <v>311</v>
      </c>
      <c r="I9645">
        <v>24</v>
      </c>
      <c r="J9645">
        <v>0</v>
      </c>
      <c r="K9645" s="1">
        <v>1118614</v>
      </c>
    </row>
    <row r="9646" spans="1:11" x14ac:dyDescent="0.25">
      <c r="A9646" t="s">
        <v>9</v>
      </c>
      <c r="B9646" t="s">
        <v>308</v>
      </c>
      <c r="C9646" t="s">
        <v>875</v>
      </c>
      <c r="D9646" t="s">
        <v>11</v>
      </c>
      <c r="E9646">
        <v>29</v>
      </c>
      <c r="F9646" s="2">
        <f>DATE(2026,IF(Tabla1[[#This Row],[Mes de Fecha]]="Septiembre",9,10),Tabla1[[#This Row],[Día de Fecha]])</f>
        <v>46294</v>
      </c>
      <c r="G9646">
        <v>1096252142</v>
      </c>
      <c r="H9646" t="s">
        <v>310</v>
      </c>
      <c r="I9646">
        <v>67</v>
      </c>
      <c r="J9646">
        <v>0</v>
      </c>
      <c r="K9646" s="1">
        <v>3389582</v>
      </c>
    </row>
    <row r="9647" spans="1:11" x14ac:dyDescent="0.25">
      <c r="A9647" t="s">
        <v>9</v>
      </c>
      <c r="B9647" t="s">
        <v>308</v>
      </c>
      <c r="C9647" t="s">
        <v>875</v>
      </c>
      <c r="D9647" t="s">
        <v>11</v>
      </c>
      <c r="E9647">
        <v>30</v>
      </c>
      <c r="F9647" s="2">
        <f>DATE(2026,IF(Tabla1[[#This Row],[Mes de Fecha]]="Septiembre",9,10),Tabla1[[#This Row],[Día de Fecha]])</f>
        <v>46295</v>
      </c>
      <c r="I9647">
        <v>0</v>
      </c>
      <c r="J9647" s="1">
        <v>5776935</v>
      </c>
      <c r="K9647">
        <v>0</v>
      </c>
    </row>
    <row r="9648" spans="1:11" x14ac:dyDescent="0.25">
      <c r="A9648" t="s">
        <v>9</v>
      </c>
      <c r="B9648" t="s">
        <v>308</v>
      </c>
      <c r="C9648" t="s">
        <v>875</v>
      </c>
      <c r="D9648" t="s">
        <v>11</v>
      </c>
      <c r="E9648">
        <v>30</v>
      </c>
      <c r="F9648" s="2">
        <f>DATE(2026,IF(Tabla1[[#This Row],[Mes de Fecha]]="Septiembre",9,10),Tabla1[[#This Row],[Día de Fecha]])</f>
        <v>46295</v>
      </c>
      <c r="G9648">
        <v>1096230282</v>
      </c>
      <c r="H9648" t="s">
        <v>311</v>
      </c>
      <c r="I9648">
        <v>57</v>
      </c>
      <c r="J9648">
        <v>0</v>
      </c>
      <c r="K9648" s="1">
        <v>2442692</v>
      </c>
    </row>
    <row r="9649" spans="1:11" x14ac:dyDescent="0.25">
      <c r="A9649" t="s">
        <v>9</v>
      </c>
      <c r="B9649" t="s">
        <v>308</v>
      </c>
      <c r="C9649" t="s">
        <v>875</v>
      </c>
      <c r="D9649" t="s">
        <v>11</v>
      </c>
      <c r="E9649">
        <v>30</v>
      </c>
      <c r="F9649" s="2">
        <f>DATE(2026,IF(Tabla1[[#This Row],[Mes de Fecha]]="Septiembre",9,10),Tabla1[[#This Row],[Día de Fecha]])</f>
        <v>46295</v>
      </c>
      <c r="G9649">
        <v>1096246264</v>
      </c>
      <c r="H9649" t="s">
        <v>309</v>
      </c>
      <c r="I9649">
        <v>43</v>
      </c>
      <c r="J9649">
        <v>0</v>
      </c>
      <c r="K9649" s="1">
        <v>2153361</v>
      </c>
    </row>
    <row r="9650" spans="1:11" x14ac:dyDescent="0.25">
      <c r="A9650" t="s">
        <v>9</v>
      </c>
      <c r="B9650" t="s">
        <v>308</v>
      </c>
      <c r="C9650" t="s">
        <v>875</v>
      </c>
      <c r="D9650" t="s">
        <v>14</v>
      </c>
      <c r="E9650">
        <v>1</v>
      </c>
      <c r="F9650" s="2">
        <f>DATE(2026,IF(Tabla1[[#This Row],[Mes de Fecha]]="Septiembre",9,10),Tabla1[[#This Row],[Día de Fecha]])</f>
        <v>46296</v>
      </c>
      <c r="I9650">
        <v>0</v>
      </c>
      <c r="J9650" s="1">
        <v>11728146</v>
      </c>
      <c r="K9650">
        <v>0</v>
      </c>
    </row>
    <row r="9651" spans="1:11" x14ac:dyDescent="0.25">
      <c r="A9651" t="s">
        <v>9</v>
      </c>
      <c r="B9651" t="s">
        <v>308</v>
      </c>
      <c r="C9651" t="s">
        <v>875</v>
      </c>
      <c r="D9651" t="s">
        <v>14</v>
      </c>
      <c r="E9651">
        <v>1</v>
      </c>
      <c r="F9651" s="2">
        <f>DATE(2026,IF(Tabla1[[#This Row],[Mes de Fecha]]="Septiembre",9,10),Tabla1[[#This Row],[Día de Fecha]])</f>
        <v>46296</v>
      </c>
      <c r="G9651">
        <v>1096230282</v>
      </c>
      <c r="H9651" t="s">
        <v>311</v>
      </c>
      <c r="I9651">
        <v>80</v>
      </c>
      <c r="J9651">
        <v>0</v>
      </c>
      <c r="K9651" s="1">
        <v>3555003</v>
      </c>
    </row>
    <row r="9652" spans="1:11" x14ac:dyDescent="0.25">
      <c r="A9652" t="s">
        <v>9</v>
      </c>
      <c r="B9652" t="s">
        <v>308</v>
      </c>
      <c r="C9652" t="s">
        <v>875</v>
      </c>
      <c r="D9652" t="s">
        <v>14</v>
      </c>
      <c r="E9652">
        <v>1</v>
      </c>
      <c r="F9652" s="2">
        <f>DATE(2026,IF(Tabla1[[#This Row],[Mes de Fecha]]="Septiembre",9,10),Tabla1[[#This Row],[Día de Fecha]])</f>
        <v>46296</v>
      </c>
      <c r="G9652">
        <v>1096246264</v>
      </c>
      <c r="H9652" t="s">
        <v>309</v>
      </c>
      <c r="I9652">
        <v>88</v>
      </c>
      <c r="J9652">
        <v>0</v>
      </c>
      <c r="K9652" s="1">
        <v>3693446</v>
      </c>
    </row>
    <row r="9653" spans="1:11" x14ac:dyDescent="0.25">
      <c r="A9653" t="s">
        <v>9</v>
      </c>
      <c r="B9653" t="s">
        <v>308</v>
      </c>
      <c r="C9653" t="s">
        <v>875</v>
      </c>
      <c r="D9653" t="s">
        <v>14</v>
      </c>
      <c r="E9653">
        <v>2</v>
      </c>
      <c r="F9653" s="2">
        <f>DATE(2026,IF(Tabla1[[#This Row],[Mes de Fecha]]="Septiembre",9,10),Tabla1[[#This Row],[Día de Fecha]])</f>
        <v>46297</v>
      </c>
      <c r="I9653">
        <v>0</v>
      </c>
      <c r="J9653" s="1">
        <v>14173814</v>
      </c>
      <c r="K9653">
        <v>0</v>
      </c>
    </row>
    <row r="9654" spans="1:11" x14ac:dyDescent="0.25">
      <c r="A9654" t="s">
        <v>9</v>
      </c>
      <c r="B9654" t="s">
        <v>308</v>
      </c>
      <c r="C9654" t="s">
        <v>875</v>
      </c>
      <c r="D9654" t="s">
        <v>14</v>
      </c>
      <c r="E9654">
        <v>2</v>
      </c>
      <c r="F9654" s="2">
        <f>DATE(2026,IF(Tabla1[[#This Row],[Mes de Fecha]]="Septiembre",9,10),Tabla1[[#This Row],[Día de Fecha]])</f>
        <v>46297</v>
      </c>
      <c r="G9654">
        <v>1096205264</v>
      </c>
      <c r="H9654" t="s">
        <v>312</v>
      </c>
      <c r="I9654">
        <v>66</v>
      </c>
      <c r="J9654">
        <v>0</v>
      </c>
      <c r="K9654" s="1">
        <v>2984247</v>
      </c>
    </row>
    <row r="9655" spans="1:11" x14ac:dyDescent="0.25">
      <c r="A9655" t="s">
        <v>9</v>
      </c>
      <c r="B9655" t="s">
        <v>308</v>
      </c>
      <c r="C9655" t="s">
        <v>875</v>
      </c>
      <c r="D9655" t="s">
        <v>14</v>
      </c>
      <c r="E9655">
        <v>2</v>
      </c>
      <c r="F9655" s="2">
        <f>DATE(2026,IF(Tabla1[[#This Row],[Mes de Fecha]]="Septiembre",9,10),Tabla1[[#This Row],[Día de Fecha]])</f>
        <v>46297</v>
      </c>
      <c r="G9655">
        <v>1096230282</v>
      </c>
      <c r="H9655" t="s">
        <v>311</v>
      </c>
      <c r="I9655">
        <v>26</v>
      </c>
      <c r="J9655">
        <v>0</v>
      </c>
      <c r="K9655" s="1">
        <v>1065926</v>
      </c>
    </row>
    <row r="9656" spans="1:11" x14ac:dyDescent="0.25">
      <c r="A9656" t="s">
        <v>9</v>
      </c>
      <c r="B9656" t="s">
        <v>308</v>
      </c>
      <c r="C9656" t="s">
        <v>875</v>
      </c>
      <c r="D9656" t="s">
        <v>14</v>
      </c>
      <c r="E9656">
        <v>2</v>
      </c>
      <c r="F9656" s="2">
        <f>DATE(2026,IF(Tabla1[[#This Row],[Mes de Fecha]]="Septiembre",9,10),Tabla1[[#This Row],[Día de Fecha]])</f>
        <v>46297</v>
      </c>
      <c r="G9656">
        <v>1096246264</v>
      </c>
      <c r="H9656" t="s">
        <v>309</v>
      </c>
      <c r="I9656">
        <v>22</v>
      </c>
      <c r="J9656">
        <v>0</v>
      </c>
      <c r="K9656" s="1">
        <v>1103782</v>
      </c>
    </row>
    <row r="9657" spans="1:11" x14ac:dyDescent="0.25">
      <c r="A9657" t="s">
        <v>9</v>
      </c>
      <c r="B9657" t="s">
        <v>308</v>
      </c>
      <c r="C9657" t="s">
        <v>875</v>
      </c>
      <c r="D9657" t="s">
        <v>14</v>
      </c>
      <c r="E9657">
        <v>2</v>
      </c>
      <c r="F9657" s="2">
        <f>DATE(2026,IF(Tabla1[[#This Row],[Mes de Fecha]]="Septiembre",9,10),Tabla1[[#This Row],[Día de Fecha]])</f>
        <v>46297</v>
      </c>
      <c r="G9657">
        <v>1096252142</v>
      </c>
      <c r="H9657" t="s">
        <v>310</v>
      </c>
      <c r="I9657">
        <v>40</v>
      </c>
      <c r="J9657">
        <v>0</v>
      </c>
      <c r="K9657" s="1">
        <v>2124203</v>
      </c>
    </row>
    <row r="9658" spans="1:11" x14ac:dyDescent="0.25">
      <c r="A9658" t="s">
        <v>9</v>
      </c>
      <c r="B9658" t="s">
        <v>308</v>
      </c>
      <c r="C9658" t="s">
        <v>875</v>
      </c>
      <c r="D9658" t="s">
        <v>14</v>
      </c>
      <c r="E9658">
        <v>3</v>
      </c>
      <c r="F9658" s="2">
        <f>DATE(2026,IF(Tabla1[[#This Row],[Mes de Fecha]]="Septiembre",9,10),Tabla1[[#This Row],[Día de Fecha]])</f>
        <v>46298</v>
      </c>
      <c r="I9658">
        <v>0</v>
      </c>
      <c r="J9658" s="1">
        <v>21966522</v>
      </c>
      <c r="K9658">
        <v>0</v>
      </c>
    </row>
    <row r="9659" spans="1:11" x14ac:dyDescent="0.25">
      <c r="A9659" t="s">
        <v>9</v>
      </c>
      <c r="B9659" t="s">
        <v>308</v>
      </c>
      <c r="C9659" t="s">
        <v>875</v>
      </c>
      <c r="D9659" t="s">
        <v>14</v>
      </c>
      <c r="E9659">
        <v>3</v>
      </c>
      <c r="F9659" s="2">
        <f>DATE(2026,IF(Tabla1[[#This Row],[Mes de Fecha]]="Septiembre",9,10),Tabla1[[#This Row],[Día de Fecha]])</f>
        <v>46298</v>
      </c>
      <c r="G9659">
        <v>1096205264</v>
      </c>
      <c r="H9659" t="s">
        <v>312</v>
      </c>
      <c r="I9659">
        <v>89</v>
      </c>
      <c r="J9659">
        <v>0</v>
      </c>
      <c r="K9659" s="1">
        <v>3952451</v>
      </c>
    </row>
    <row r="9660" spans="1:11" x14ac:dyDescent="0.25">
      <c r="A9660" t="s">
        <v>9</v>
      </c>
      <c r="B9660" t="s">
        <v>308</v>
      </c>
      <c r="C9660" t="s">
        <v>875</v>
      </c>
      <c r="D9660" t="s">
        <v>14</v>
      </c>
      <c r="E9660">
        <v>3</v>
      </c>
      <c r="F9660" s="2">
        <f>DATE(2026,IF(Tabla1[[#This Row],[Mes de Fecha]]="Septiembre",9,10),Tabla1[[#This Row],[Día de Fecha]])</f>
        <v>46298</v>
      </c>
      <c r="G9660">
        <v>1096230282</v>
      </c>
      <c r="H9660" t="s">
        <v>311</v>
      </c>
      <c r="I9660">
        <v>36</v>
      </c>
      <c r="J9660">
        <v>0</v>
      </c>
      <c r="K9660" s="1">
        <v>1589943</v>
      </c>
    </row>
    <row r="9661" spans="1:11" x14ac:dyDescent="0.25">
      <c r="A9661" t="s">
        <v>9</v>
      </c>
      <c r="B9661" t="s">
        <v>308</v>
      </c>
      <c r="C9661" t="s">
        <v>875</v>
      </c>
      <c r="D9661" t="s">
        <v>14</v>
      </c>
      <c r="E9661">
        <v>3</v>
      </c>
      <c r="F9661" s="2">
        <f>DATE(2026,IF(Tabla1[[#This Row],[Mes de Fecha]]="Septiembre",9,10),Tabla1[[#This Row],[Día de Fecha]])</f>
        <v>46298</v>
      </c>
      <c r="G9661">
        <v>1096246264</v>
      </c>
      <c r="H9661" t="s">
        <v>309</v>
      </c>
      <c r="I9661">
        <v>60</v>
      </c>
      <c r="J9661">
        <v>0</v>
      </c>
      <c r="K9661" s="1">
        <v>2922944</v>
      </c>
    </row>
    <row r="9662" spans="1:11" x14ac:dyDescent="0.25">
      <c r="A9662" t="s">
        <v>9</v>
      </c>
      <c r="B9662" t="s">
        <v>308</v>
      </c>
      <c r="C9662" t="s">
        <v>875</v>
      </c>
      <c r="D9662" t="s">
        <v>14</v>
      </c>
      <c r="E9662">
        <v>3</v>
      </c>
      <c r="F9662" s="2">
        <f>DATE(2026,IF(Tabla1[[#This Row],[Mes de Fecha]]="Septiembre",9,10),Tabla1[[#This Row],[Día de Fecha]])</f>
        <v>46298</v>
      </c>
      <c r="G9662">
        <v>1096252142</v>
      </c>
      <c r="H9662" t="s">
        <v>310</v>
      </c>
      <c r="I9662">
        <v>39</v>
      </c>
      <c r="J9662">
        <v>0</v>
      </c>
      <c r="K9662" s="1">
        <v>1847758</v>
      </c>
    </row>
    <row r="9663" spans="1:11" x14ac:dyDescent="0.25">
      <c r="A9663" t="s">
        <v>9</v>
      </c>
      <c r="B9663" t="s">
        <v>308</v>
      </c>
      <c r="C9663" t="s">
        <v>875</v>
      </c>
      <c r="D9663" t="s">
        <v>14</v>
      </c>
      <c r="E9663">
        <v>4</v>
      </c>
      <c r="F9663" s="2">
        <f>DATE(2026,IF(Tabla1[[#This Row],[Mes de Fecha]]="Septiembre",9,10),Tabla1[[#This Row],[Día de Fecha]])</f>
        <v>46299</v>
      </c>
      <c r="I9663">
        <v>0</v>
      </c>
      <c r="J9663" s="1">
        <v>9998840</v>
      </c>
      <c r="K9663">
        <v>0</v>
      </c>
    </row>
    <row r="9664" spans="1:11" x14ac:dyDescent="0.25">
      <c r="A9664" t="s">
        <v>9</v>
      </c>
      <c r="B9664" t="s">
        <v>308</v>
      </c>
      <c r="C9664" t="s">
        <v>875</v>
      </c>
      <c r="D9664" t="s">
        <v>14</v>
      </c>
      <c r="E9664">
        <v>4</v>
      </c>
      <c r="F9664" s="2">
        <f>DATE(2026,IF(Tabla1[[#This Row],[Mes de Fecha]]="Septiembre",9,10),Tabla1[[#This Row],[Día de Fecha]])</f>
        <v>46299</v>
      </c>
      <c r="G9664">
        <v>1096230282</v>
      </c>
      <c r="H9664" t="s">
        <v>311</v>
      </c>
      <c r="I9664">
        <v>41</v>
      </c>
      <c r="J9664">
        <v>0</v>
      </c>
      <c r="K9664" s="1">
        <v>2161976</v>
      </c>
    </row>
    <row r="9665" spans="1:11" x14ac:dyDescent="0.25">
      <c r="A9665" t="s">
        <v>9</v>
      </c>
      <c r="B9665" t="s">
        <v>308</v>
      </c>
      <c r="C9665" t="s">
        <v>875</v>
      </c>
      <c r="D9665" t="s">
        <v>14</v>
      </c>
      <c r="E9665">
        <v>4</v>
      </c>
      <c r="F9665" s="2">
        <f>DATE(2026,IF(Tabla1[[#This Row],[Mes de Fecha]]="Septiembre",9,10),Tabla1[[#This Row],[Día de Fecha]])</f>
        <v>46299</v>
      </c>
      <c r="G9665">
        <v>1096246264</v>
      </c>
      <c r="H9665" t="s">
        <v>309</v>
      </c>
      <c r="I9665">
        <v>96</v>
      </c>
      <c r="J9665">
        <v>0</v>
      </c>
      <c r="K9665" s="1">
        <v>4530802</v>
      </c>
    </row>
    <row r="9666" spans="1:11" x14ac:dyDescent="0.25">
      <c r="A9666" t="s">
        <v>9</v>
      </c>
      <c r="B9666" t="s">
        <v>308</v>
      </c>
      <c r="C9666" t="s">
        <v>875</v>
      </c>
      <c r="D9666" t="s">
        <v>14</v>
      </c>
      <c r="E9666">
        <v>5</v>
      </c>
      <c r="F9666" s="2">
        <f>DATE(2026,IF(Tabla1[[#This Row],[Mes de Fecha]]="Septiembre",9,10),Tabla1[[#This Row],[Día de Fecha]])</f>
        <v>46300</v>
      </c>
      <c r="I9666">
        <v>0</v>
      </c>
      <c r="J9666" s="1">
        <v>7147011</v>
      </c>
      <c r="K9666">
        <v>0</v>
      </c>
    </row>
    <row r="9667" spans="1:11" x14ac:dyDescent="0.25">
      <c r="A9667" t="s">
        <v>9</v>
      </c>
      <c r="B9667" t="s">
        <v>308</v>
      </c>
      <c r="C9667" t="s">
        <v>875</v>
      </c>
      <c r="D9667" t="s">
        <v>14</v>
      </c>
      <c r="E9667">
        <v>5</v>
      </c>
      <c r="F9667" s="2">
        <f>DATE(2026,IF(Tabla1[[#This Row],[Mes de Fecha]]="Septiembre",9,10),Tabla1[[#This Row],[Día de Fecha]])</f>
        <v>46300</v>
      </c>
      <c r="G9667">
        <v>1096230282</v>
      </c>
      <c r="H9667" t="s">
        <v>311</v>
      </c>
      <c r="I9667">
        <v>55</v>
      </c>
      <c r="J9667">
        <v>0</v>
      </c>
      <c r="K9667" s="1">
        <v>2253445</v>
      </c>
    </row>
    <row r="9668" spans="1:11" x14ac:dyDescent="0.25">
      <c r="A9668" t="s">
        <v>9</v>
      </c>
      <c r="B9668" t="s">
        <v>308</v>
      </c>
      <c r="C9668" t="s">
        <v>875</v>
      </c>
      <c r="D9668" t="s">
        <v>14</v>
      </c>
      <c r="E9668">
        <v>5</v>
      </c>
      <c r="F9668" s="2">
        <f>DATE(2026,IF(Tabla1[[#This Row],[Mes de Fecha]]="Septiembre",9,10),Tabla1[[#This Row],[Día de Fecha]])</f>
        <v>46300</v>
      </c>
      <c r="G9668">
        <v>1096246264</v>
      </c>
      <c r="H9668" t="s">
        <v>309</v>
      </c>
      <c r="I9668">
        <v>72</v>
      </c>
      <c r="J9668">
        <v>0</v>
      </c>
      <c r="K9668" s="1">
        <v>3633151</v>
      </c>
    </row>
    <row r="9669" spans="1:11" x14ac:dyDescent="0.25">
      <c r="A9669" t="s">
        <v>9</v>
      </c>
      <c r="B9669" t="s">
        <v>308</v>
      </c>
      <c r="C9669" t="s">
        <v>875</v>
      </c>
      <c r="D9669" t="s">
        <v>14</v>
      </c>
      <c r="E9669">
        <v>6</v>
      </c>
      <c r="F9669" s="2">
        <f>DATE(2026,IF(Tabla1[[#This Row],[Mes de Fecha]]="Septiembre",9,10),Tabla1[[#This Row],[Día de Fecha]])</f>
        <v>46301</v>
      </c>
      <c r="I9669">
        <v>0</v>
      </c>
      <c r="J9669" s="1">
        <v>1267776</v>
      </c>
      <c r="K9669">
        <v>0</v>
      </c>
    </row>
    <row r="9670" spans="1:11" x14ac:dyDescent="0.25">
      <c r="A9670" t="s">
        <v>9</v>
      </c>
      <c r="B9670" t="s">
        <v>308</v>
      </c>
      <c r="C9670" t="s">
        <v>875</v>
      </c>
      <c r="D9670" t="s">
        <v>14</v>
      </c>
      <c r="E9670">
        <v>6</v>
      </c>
      <c r="F9670" s="2">
        <f>DATE(2026,IF(Tabla1[[#This Row],[Mes de Fecha]]="Septiembre",9,10),Tabla1[[#This Row],[Día de Fecha]])</f>
        <v>46301</v>
      </c>
      <c r="G9670">
        <v>1096230282</v>
      </c>
      <c r="H9670" t="s">
        <v>311</v>
      </c>
      <c r="I9670">
        <v>26</v>
      </c>
      <c r="J9670">
        <v>0</v>
      </c>
      <c r="K9670" s="1">
        <v>1103699</v>
      </c>
    </row>
    <row r="9671" spans="1:11" x14ac:dyDescent="0.25">
      <c r="A9671" t="s">
        <v>9</v>
      </c>
      <c r="B9671" t="s">
        <v>308</v>
      </c>
      <c r="C9671" t="s">
        <v>875</v>
      </c>
      <c r="D9671" t="s">
        <v>14</v>
      </c>
      <c r="E9671">
        <v>6</v>
      </c>
      <c r="F9671" s="2">
        <f>DATE(2026,IF(Tabla1[[#This Row],[Mes de Fecha]]="Septiembre",9,10),Tabla1[[#This Row],[Día de Fecha]])</f>
        <v>46301</v>
      </c>
      <c r="G9671">
        <v>1096246264</v>
      </c>
      <c r="H9671" t="s">
        <v>309</v>
      </c>
      <c r="I9671">
        <v>27</v>
      </c>
      <c r="J9671">
        <v>0</v>
      </c>
      <c r="K9671" s="1">
        <v>1198235</v>
      </c>
    </row>
    <row r="9672" spans="1:11" x14ac:dyDescent="0.25">
      <c r="A9672" t="s">
        <v>9</v>
      </c>
      <c r="B9672" t="s">
        <v>308</v>
      </c>
      <c r="C9672" t="s">
        <v>875</v>
      </c>
      <c r="D9672" t="s">
        <v>14</v>
      </c>
      <c r="E9672">
        <v>7</v>
      </c>
      <c r="F9672" s="2">
        <f>DATE(2026,IF(Tabla1[[#This Row],[Mes de Fecha]]="Septiembre",9,10),Tabla1[[#This Row],[Día de Fecha]])</f>
        <v>46302</v>
      </c>
      <c r="I9672">
        <v>0</v>
      </c>
      <c r="J9672" s="1">
        <v>477728</v>
      </c>
      <c r="K9672">
        <v>0</v>
      </c>
    </row>
    <row r="9673" spans="1:11" x14ac:dyDescent="0.25">
      <c r="A9673" t="s">
        <v>9</v>
      </c>
      <c r="B9673" t="s">
        <v>308</v>
      </c>
      <c r="C9673" t="s">
        <v>875</v>
      </c>
      <c r="D9673" t="s">
        <v>14</v>
      </c>
      <c r="E9673">
        <v>7</v>
      </c>
      <c r="F9673" s="2">
        <f>DATE(2026,IF(Tabla1[[#This Row],[Mes de Fecha]]="Septiembre",9,10),Tabla1[[#This Row],[Día de Fecha]])</f>
        <v>46302</v>
      </c>
      <c r="G9673">
        <v>1096230282</v>
      </c>
      <c r="H9673" t="s">
        <v>311</v>
      </c>
      <c r="I9673">
        <v>32</v>
      </c>
      <c r="J9673">
        <v>0</v>
      </c>
      <c r="K9673" s="1">
        <v>1634915</v>
      </c>
    </row>
    <row r="9674" spans="1:11" x14ac:dyDescent="0.25">
      <c r="A9674" t="s">
        <v>9</v>
      </c>
      <c r="B9674" t="s">
        <v>308</v>
      </c>
      <c r="C9674" t="s">
        <v>875</v>
      </c>
      <c r="D9674" t="s">
        <v>14</v>
      </c>
      <c r="E9674">
        <v>7</v>
      </c>
      <c r="F9674" s="2">
        <f>DATE(2026,IF(Tabla1[[#This Row],[Mes de Fecha]]="Septiembre",9,10),Tabla1[[#This Row],[Día de Fecha]])</f>
        <v>46302</v>
      </c>
      <c r="G9674">
        <v>1096246264</v>
      </c>
      <c r="H9674" t="s">
        <v>309</v>
      </c>
      <c r="I9674">
        <v>28</v>
      </c>
      <c r="J9674">
        <v>0</v>
      </c>
      <c r="K9674" s="1">
        <v>1157984</v>
      </c>
    </row>
    <row r="9675" spans="1:11" x14ac:dyDescent="0.25">
      <c r="A9675" t="s">
        <v>9</v>
      </c>
      <c r="B9675" t="s">
        <v>313</v>
      </c>
      <c r="C9675" t="s">
        <v>875</v>
      </c>
      <c r="D9675" t="s">
        <v>11</v>
      </c>
      <c r="E9675">
        <v>23</v>
      </c>
      <c r="F9675" s="2">
        <f>DATE(2026,IF(Tabla1[[#This Row],[Mes de Fecha]]="Septiembre",9,10),Tabla1[[#This Row],[Día de Fecha]])</f>
        <v>46288</v>
      </c>
      <c r="I9675">
        <v>0</v>
      </c>
      <c r="J9675" s="1">
        <v>4212935</v>
      </c>
      <c r="K9675">
        <v>0</v>
      </c>
    </row>
    <row r="9676" spans="1:11" x14ac:dyDescent="0.25">
      <c r="A9676" t="s">
        <v>9</v>
      </c>
      <c r="B9676" t="s">
        <v>313</v>
      </c>
      <c r="C9676" t="s">
        <v>875</v>
      </c>
      <c r="D9676" t="s">
        <v>11</v>
      </c>
      <c r="E9676">
        <v>23</v>
      </c>
      <c r="F9676" s="2">
        <f>DATE(2026,IF(Tabla1[[#This Row],[Mes de Fecha]]="Septiembre",9,10),Tabla1[[#This Row],[Día de Fecha]])</f>
        <v>46288</v>
      </c>
      <c r="G9676">
        <v>53068903</v>
      </c>
      <c r="H9676" t="s">
        <v>315</v>
      </c>
      <c r="I9676">
        <v>6</v>
      </c>
      <c r="J9676">
        <v>0</v>
      </c>
      <c r="K9676" s="1">
        <v>331681</v>
      </c>
    </row>
    <row r="9677" spans="1:11" x14ac:dyDescent="0.25">
      <c r="A9677" t="s">
        <v>9</v>
      </c>
      <c r="B9677" t="s">
        <v>313</v>
      </c>
      <c r="C9677" t="s">
        <v>875</v>
      </c>
      <c r="D9677" t="s">
        <v>11</v>
      </c>
      <c r="E9677">
        <v>23</v>
      </c>
      <c r="F9677" s="2">
        <f>DATE(2026,IF(Tabla1[[#This Row],[Mes de Fecha]]="Septiembre",9,10),Tabla1[[#This Row],[Día de Fecha]])</f>
        <v>46288</v>
      </c>
      <c r="G9677">
        <v>1098785246</v>
      </c>
      <c r="H9677" t="s">
        <v>314</v>
      </c>
      <c r="I9677">
        <v>91</v>
      </c>
      <c r="J9677">
        <v>0</v>
      </c>
      <c r="K9677" s="1">
        <v>4870170</v>
      </c>
    </row>
    <row r="9678" spans="1:11" x14ac:dyDescent="0.25">
      <c r="A9678" t="s">
        <v>9</v>
      </c>
      <c r="B9678" t="s">
        <v>313</v>
      </c>
      <c r="C9678" t="s">
        <v>875</v>
      </c>
      <c r="D9678" t="s">
        <v>11</v>
      </c>
      <c r="E9678">
        <v>24</v>
      </c>
      <c r="F9678" s="2">
        <f>DATE(2026,IF(Tabla1[[#This Row],[Mes de Fecha]]="Septiembre",9,10),Tabla1[[#This Row],[Día de Fecha]])</f>
        <v>46289</v>
      </c>
      <c r="I9678">
        <v>0</v>
      </c>
      <c r="J9678" s="1">
        <v>10895461</v>
      </c>
      <c r="K9678">
        <v>0</v>
      </c>
    </row>
    <row r="9679" spans="1:11" x14ac:dyDescent="0.25">
      <c r="A9679" t="s">
        <v>9</v>
      </c>
      <c r="B9679" t="s">
        <v>313</v>
      </c>
      <c r="C9679" t="s">
        <v>875</v>
      </c>
      <c r="D9679" t="s">
        <v>11</v>
      </c>
      <c r="E9679">
        <v>24</v>
      </c>
      <c r="F9679" s="2">
        <f>DATE(2026,IF(Tabla1[[#This Row],[Mes de Fecha]]="Septiembre",9,10),Tabla1[[#This Row],[Día de Fecha]])</f>
        <v>46289</v>
      </c>
      <c r="G9679">
        <v>53068903</v>
      </c>
      <c r="H9679" t="s">
        <v>315</v>
      </c>
      <c r="I9679">
        <v>0</v>
      </c>
      <c r="J9679">
        <v>0</v>
      </c>
      <c r="K9679">
        <v>0</v>
      </c>
    </row>
    <row r="9680" spans="1:11" x14ac:dyDescent="0.25">
      <c r="A9680" t="s">
        <v>9</v>
      </c>
      <c r="B9680" t="s">
        <v>313</v>
      </c>
      <c r="C9680" t="s">
        <v>875</v>
      </c>
      <c r="D9680" t="s">
        <v>11</v>
      </c>
      <c r="E9680">
        <v>24</v>
      </c>
      <c r="F9680" s="2">
        <f>DATE(2026,IF(Tabla1[[#This Row],[Mes de Fecha]]="Septiembre",9,10),Tabla1[[#This Row],[Día de Fecha]])</f>
        <v>46289</v>
      </c>
      <c r="G9680">
        <v>1005199869</v>
      </c>
      <c r="H9680" t="s">
        <v>318</v>
      </c>
      <c r="I9680">
        <v>7</v>
      </c>
      <c r="J9680">
        <v>0</v>
      </c>
      <c r="K9680" s="1">
        <v>352689</v>
      </c>
    </row>
    <row r="9681" spans="1:11" x14ac:dyDescent="0.25">
      <c r="A9681" t="s">
        <v>9</v>
      </c>
      <c r="B9681" t="s">
        <v>313</v>
      </c>
      <c r="C9681" t="s">
        <v>875</v>
      </c>
      <c r="D9681" t="s">
        <v>11</v>
      </c>
      <c r="E9681">
        <v>24</v>
      </c>
      <c r="F9681" s="2">
        <f>DATE(2026,IF(Tabla1[[#This Row],[Mes de Fecha]]="Septiembre",9,10),Tabla1[[#This Row],[Día de Fecha]])</f>
        <v>46289</v>
      </c>
      <c r="G9681">
        <v>1098785246</v>
      </c>
      <c r="H9681" t="s">
        <v>314</v>
      </c>
      <c r="I9681">
        <v>97</v>
      </c>
      <c r="J9681">
        <v>0</v>
      </c>
      <c r="K9681" s="1">
        <v>5668194</v>
      </c>
    </row>
    <row r="9682" spans="1:11" x14ac:dyDescent="0.25">
      <c r="A9682" t="s">
        <v>9</v>
      </c>
      <c r="B9682" t="s">
        <v>313</v>
      </c>
      <c r="C9682" t="s">
        <v>875</v>
      </c>
      <c r="D9682" t="s">
        <v>11</v>
      </c>
      <c r="E9682">
        <v>25</v>
      </c>
      <c r="F9682" s="2">
        <f>DATE(2026,IF(Tabla1[[#This Row],[Mes de Fecha]]="Septiembre",9,10),Tabla1[[#This Row],[Día de Fecha]])</f>
        <v>46290</v>
      </c>
      <c r="I9682">
        <v>0</v>
      </c>
      <c r="J9682" s="1">
        <v>11636946</v>
      </c>
      <c r="K9682">
        <v>0</v>
      </c>
    </row>
    <row r="9683" spans="1:11" x14ac:dyDescent="0.25">
      <c r="A9683" t="s">
        <v>9</v>
      </c>
      <c r="B9683" t="s">
        <v>313</v>
      </c>
      <c r="C9683" t="s">
        <v>875</v>
      </c>
      <c r="D9683" t="s">
        <v>11</v>
      </c>
      <c r="E9683">
        <v>25</v>
      </c>
      <c r="F9683" s="2">
        <f>DATE(2026,IF(Tabla1[[#This Row],[Mes de Fecha]]="Septiembre",9,10),Tabla1[[#This Row],[Día de Fecha]])</f>
        <v>46290</v>
      </c>
      <c r="G9683">
        <v>53068903</v>
      </c>
      <c r="H9683" t="s">
        <v>315</v>
      </c>
      <c r="I9683">
        <v>55</v>
      </c>
      <c r="J9683">
        <v>0</v>
      </c>
      <c r="K9683" s="1">
        <v>3117440</v>
      </c>
    </row>
    <row r="9684" spans="1:11" x14ac:dyDescent="0.25">
      <c r="A9684" t="s">
        <v>9</v>
      </c>
      <c r="B9684" t="s">
        <v>313</v>
      </c>
      <c r="C9684" t="s">
        <v>875</v>
      </c>
      <c r="D9684" t="s">
        <v>11</v>
      </c>
      <c r="E9684">
        <v>25</v>
      </c>
      <c r="F9684" s="2">
        <f>DATE(2026,IF(Tabla1[[#This Row],[Mes de Fecha]]="Septiembre",9,10),Tabla1[[#This Row],[Día de Fecha]])</f>
        <v>46290</v>
      </c>
      <c r="G9684">
        <v>1005199869</v>
      </c>
      <c r="H9684" t="s">
        <v>318</v>
      </c>
      <c r="I9684">
        <v>12</v>
      </c>
      <c r="J9684">
        <v>0</v>
      </c>
      <c r="K9684" s="1">
        <v>633951</v>
      </c>
    </row>
    <row r="9685" spans="1:11" x14ac:dyDescent="0.25">
      <c r="A9685" t="s">
        <v>9</v>
      </c>
      <c r="B9685" t="s">
        <v>313</v>
      </c>
      <c r="C9685" t="s">
        <v>875</v>
      </c>
      <c r="D9685" t="s">
        <v>11</v>
      </c>
      <c r="E9685">
        <v>25</v>
      </c>
      <c r="F9685" s="2">
        <f>DATE(2026,IF(Tabla1[[#This Row],[Mes de Fecha]]="Septiembre",9,10),Tabla1[[#This Row],[Día de Fecha]])</f>
        <v>46290</v>
      </c>
      <c r="G9685">
        <v>1005372930</v>
      </c>
      <c r="H9685" t="s">
        <v>319</v>
      </c>
      <c r="I9685">
        <v>-1</v>
      </c>
      <c r="J9685">
        <v>0</v>
      </c>
      <c r="K9685" s="1">
        <v>-50378</v>
      </c>
    </row>
    <row r="9686" spans="1:11" x14ac:dyDescent="0.25">
      <c r="A9686" t="s">
        <v>9</v>
      </c>
      <c r="B9686" t="s">
        <v>313</v>
      </c>
      <c r="C9686" t="s">
        <v>875</v>
      </c>
      <c r="D9686" t="s">
        <v>11</v>
      </c>
      <c r="E9686">
        <v>25</v>
      </c>
      <c r="F9686" s="2">
        <f>DATE(2026,IF(Tabla1[[#This Row],[Mes de Fecha]]="Septiembre",9,10),Tabla1[[#This Row],[Día de Fecha]])</f>
        <v>46290</v>
      </c>
      <c r="G9686">
        <v>1098785246</v>
      </c>
      <c r="H9686" t="s">
        <v>314</v>
      </c>
      <c r="I9686">
        <v>82</v>
      </c>
      <c r="J9686">
        <v>0</v>
      </c>
      <c r="K9686" s="1">
        <v>4204542</v>
      </c>
    </row>
    <row r="9687" spans="1:11" x14ac:dyDescent="0.25">
      <c r="A9687" t="s">
        <v>9</v>
      </c>
      <c r="B9687" t="s">
        <v>313</v>
      </c>
      <c r="C9687" t="s">
        <v>875</v>
      </c>
      <c r="D9687" t="s">
        <v>11</v>
      </c>
      <c r="E9687">
        <v>26</v>
      </c>
      <c r="F9687" s="2">
        <f>DATE(2026,IF(Tabla1[[#This Row],[Mes de Fecha]]="Septiembre",9,10),Tabla1[[#This Row],[Día de Fecha]])</f>
        <v>46291</v>
      </c>
      <c r="I9687">
        <v>0</v>
      </c>
      <c r="J9687" s="1">
        <v>14673897</v>
      </c>
      <c r="K9687">
        <v>0</v>
      </c>
    </row>
    <row r="9688" spans="1:11" x14ac:dyDescent="0.25">
      <c r="A9688" t="s">
        <v>9</v>
      </c>
      <c r="B9688" t="s">
        <v>313</v>
      </c>
      <c r="C9688" t="s">
        <v>875</v>
      </c>
      <c r="D9688" t="s">
        <v>11</v>
      </c>
      <c r="E9688">
        <v>26</v>
      </c>
      <c r="F9688" s="2">
        <f>DATE(2026,IF(Tabla1[[#This Row],[Mes de Fecha]]="Septiembre",9,10),Tabla1[[#This Row],[Día de Fecha]])</f>
        <v>46291</v>
      </c>
      <c r="G9688">
        <v>53068903</v>
      </c>
      <c r="H9688" t="s">
        <v>315</v>
      </c>
      <c r="I9688">
        <v>51</v>
      </c>
      <c r="J9688">
        <v>0</v>
      </c>
      <c r="K9688" s="1">
        <v>3270886</v>
      </c>
    </row>
    <row r="9689" spans="1:11" x14ac:dyDescent="0.25">
      <c r="A9689" t="s">
        <v>9</v>
      </c>
      <c r="B9689" t="s">
        <v>313</v>
      </c>
      <c r="C9689" t="s">
        <v>875</v>
      </c>
      <c r="D9689" t="s">
        <v>11</v>
      </c>
      <c r="E9689">
        <v>26</v>
      </c>
      <c r="F9689" s="2">
        <f>DATE(2026,IF(Tabla1[[#This Row],[Mes de Fecha]]="Septiembre",9,10),Tabla1[[#This Row],[Día de Fecha]])</f>
        <v>46291</v>
      </c>
      <c r="G9689">
        <v>1005029713</v>
      </c>
      <c r="H9689" t="s">
        <v>109</v>
      </c>
      <c r="I9689">
        <v>-1</v>
      </c>
      <c r="J9689">
        <v>0</v>
      </c>
      <c r="K9689" s="1">
        <v>-37773</v>
      </c>
    </row>
    <row r="9690" spans="1:11" x14ac:dyDescent="0.25">
      <c r="A9690" t="s">
        <v>9</v>
      </c>
      <c r="B9690" t="s">
        <v>313</v>
      </c>
      <c r="C9690" t="s">
        <v>875</v>
      </c>
      <c r="D9690" t="s">
        <v>11</v>
      </c>
      <c r="E9690">
        <v>26</v>
      </c>
      <c r="F9690" s="2">
        <f>DATE(2026,IF(Tabla1[[#This Row],[Mes de Fecha]]="Septiembre",9,10),Tabla1[[#This Row],[Día de Fecha]])</f>
        <v>46291</v>
      </c>
      <c r="G9690">
        <v>1005199869</v>
      </c>
      <c r="H9690" t="s">
        <v>318</v>
      </c>
      <c r="I9690">
        <v>38</v>
      </c>
      <c r="J9690">
        <v>0</v>
      </c>
      <c r="K9690" s="1">
        <v>2002607</v>
      </c>
    </row>
    <row r="9691" spans="1:11" x14ac:dyDescent="0.25">
      <c r="A9691" t="s">
        <v>9</v>
      </c>
      <c r="B9691" t="s">
        <v>313</v>
      </c>
      <c r="C9691" t="s">
        <v>875</v>
      </c>
      <c r="D9691" t="s">
        <v>11</v>
      </c>
      <c r="E9691">
        <v>26</v>
      </c>
      <c r="F9691" s="2">
        <f>DATE(2026,IF(Tabla1[[#This Row],[Mes de Fecha]]="Septiembre",9,10),Tabla1[[#This Row],[Día de Fecha]])</f>
        <v>46291</v>
      </c>
      <c r="G9691">
        <v>1098785246</v>
      </c>
      <c r="H9691" t="s">
        <v>314</v>
      </c>
      <c r="I9691">
        <v>239</v>
      </c>
      <c r="J9691">
        <v>0</v>
      </c>
      <c r="K9691" s="1">
        <v>9894733</v>
      </c>
    </row>
    <row r="9692" spans="1:11" x14ac:dyDescent="0.25">
      <c r="A9692" t="s">
        <v>9</v>
      </c>
      <c r="B9692" t="s">
        <v>313</v>
      </c>
      <c r="C9692" t="s">
        <v>875</v>
      </c>
      <c r="D9692" t="s">
        <v>11</v>
      </c>
      <c r="E9692">
        <v>27</v>
      </c>
      <c r="F9692" s="2">
        <f>DATE(2026,IF(Tabla1[[#This Row],[Mes de Fecha]]="Septiembre",9,10),Tabla1[[#This Row],[Día de Fecha]])</f>
        <v>46292</v>
      </c>
      <c r="I9692">
        <v>0</v>
      </c>
      <c r="J9692" s="1">
        <v>7747676</v>
      </c>
      <c r="K9692">
        <v>0</v>
      </c>
    </row>
    <row r="9693" spans="1:11" x14ac:dyDescent="0.25">
      <c r="A9693" t="s">
        <v>9</v>
      </c>
      <c r="B9693" t="s">
        <v>313</v>
      </c>
      <c r="C9693" t="s">
        <v>875</v>
      </c>
      <c r="D9693" t="s">
        <v>11</v>
      </c>
      <c r="E9693">
        <v>27</v>
      </c>
      <c r="F9693" s="2">
        <f>DATE(2026,IF(Tabla1[[#This Row],[Mes de Fecha]]="Septiembre",9,10),Tabla1[[#This Row],[Día de Fecha]])</f>
        <v>46292</v>
      </c>
      <c r="G9693">
        <v>53068903</v>
      </c>
      <c r="H9693" t="s">
        <v>315</v>
      </c>
      <c r="I9693">
        <v>51</v>
      </c>
      <c r="J9693">
        <v>0</v>
      </c>
      <c r="K9693" s="1">
        <v>3136472</v>
      </c>
    </row>
    <row r="9694" spans="1:11" x14ac:dyDescent="0.25">
      <c r="A9694" t="s">
        <v>9</v>
      </c>
      <c r="B9694" t="s">
        <v>313</v>
      </c>
      <c r="C9694" t="s">
        <v>875</v>
      </c>
      <c r="D9694" t="s">
        <v>11</v>
      </c>
      <c r="E9694">
        <v>27</v>
      </c>
      <c r="F9694" s="2">
        <f>DATE(2026,IF(Tabla1[[#This Row],[Mes de Fecha]]="Septiembre",9,10),Tabla1[[#This Row],[Día de Fecha]])</f>
        <v>46292</v>
      </c>
      <c r="G9694">
        <v>1005199869</v>
      </c>
      <c r="H9694" t="s">
        <v>318</v>
      </c>
      <c r="I9694">
        <v>24</v>
      </c>
      <c r="J9694">
        <v>0</v>
      </c>
      <c r="K9694" s="1">
        <v>1362438</v>
      </c>
    </row>
    <row r="9695" spans="1:11" x14ac:dyDescent="0.25">
      <c r="A9695" t="s">
        <v>9</v>
      </c>
      <c r="B9695" t="s">
        <v>313</v>
      </c>
      <c r="C9695" t="s">
        <v>875</v>
      </c>
      <c r="D9695" t="s">
        <v>11</v>
      </c>
      <c r="E9695">
        <v>27</v>
      </c>
      <c r="F9695" s="2">
        <f>DATE(2026,IF(Tabla1[[#This Row],[Mes de Fecha]]="Septiembre",9,10),Tabla1[[#This Row],[Día de Fecha]])</f>
        <v>46292</v>
      </c>
      <c r="G9695">
        <v>1098785246</v>
      </c>
      <c r="H9695" t="s">
        <v>314</v>
      </c>
      <c r="I9695">
        <v>110</v>
      </c>
      <c r="J9695">
        <v>0</v>
      </c>
      <c r="K9695" s="1">
        <v>6247360</v>
      </c>
    </row>
    <row r="9696" spans="1:11" x14ac:dyDescent="0.25">
      <c r="A9696" t="s">
        <v>9</v>
      </c>
      <c r="B9696" t="s">
        <v>313</v>
      </c>
      <c r="C9696" t="s">
        <v>875</v>
      </c>
      <c r="D9696" t="s">
        <v>11</v>
      </c>
      <c r="E9696">
        <v>28</v>
      </c>
      <c r="F9696" s="2">
        <f>DATE(2026,IF(Tabla1[[#This Row],[Mes de Fecha]]="Septiembre",9,10),Tabla1[[#This Row],[Día de Fecha]])</f>
        <v>46293</v>
      </c>
      <c r="I9696">
        <v>0</v>
      </c>
      <c r="J9696" s="1">
        <v>6352254</v>
      </c>
      <c r="K9696">
        <v>0</v>
      </c>
    </row>
    <row r="9697" spans="1:11" x14ac:dyDescent="0.25">
      <c r="A9697" t="s">
        <v>9</v>
      </c>
      <c r="B9697" t="s">
        <v>313</v>
      </c>
      <c r="C9697" t="s">
        <v>875</v>
      </c>
      <c r="D9697" t="s">
        <v>11</v>
      </c>
      <c r="E9697">
        <v>28</v>
      </c>
      <c r="F9697" s="2">
        <f>DATE(2026,IF(Tabla1[[#This Row],[Mes de Fecha]]="Septiembre",9,10),Tabla1[[#This Row],[Día de Fecha]])</f>
        <v>46293</v>
      </c>
      <c r="G9697">
        <v>1005199869</v>
      </c>
      <c r="H9697" t="s">
        <v>318</v>
      </c>
      <c r="I9697">
        <v>2</v>
      </c>
      <c r="J9697">
        <v>0</v>
      </c>
      <c r="K9697" s="1">
        <v>88151</v>
      </c>
    </row>
    <row r="9698" spans="1:11" x14ac:dyDescent="0.25">
      <c r="A9698" t="s">
        <v>9</v>
      </c>
      <c r="B9698" t="s">
        <v>313</v>
      </c>
      <c r="C9698" t="s">
        <v>875</v>
      </c>
      <c r="D9698" t="s">
        <v>11</v>
      </c>
      <c r="E9698">
        <v>28</v>
      </c>
      <c r="F9698" s="2">
        <f>DATE(2026,IF(Tabla1[[#This Row],[Mes de Fecha]]="Septiembre",9,10),Tabla1[[#This Row],[Día de Fecha]])</f>
        <v>46293</v>
      </c>
      <c r="G9698">
        <v>1098785246</v>
      </c>
      <c r="H9698" t="s">
        <v>314</v>
      </c>
      <c r="I9698">
        <v>42</v>
      </c>
      <c r="J9698">
        <v>0</v>
      </c>
      <c r="K9698" s="1">
        <v>1655337</v>
      </c>
    </row>
    <row r="9699" spans="1:11" x14ac:dyDescent="0.25">
      <c r="A9699" t="s">
        <v>9</v>
      </c>
      <c r="B9699" t="s">
        <v>313</v>
      </c>
      <c r="C9699" t="s">
        <v>875</v>
      </c>
      <c r="D9699" t="s">
        <v>11</v>
      </c>
      <c r="E9699">
        <v>29</v>
      </c>
      <c r="F9699" s="2">
        <f>DATE(2026,IF(Tabla1[[#This Row],[Mes de Fecha]]="Septiembre",9,10),Tabla1[[#This Row],[Día de Fecha]])</f>
        <v>46294</v>
      </c>
      <c r="I9699">
        <v>0</v>
      </c>
      <c r="J9699" s="1">
        <v>7061827</v>
      </c>
      <c r="K9699">
        <v>0</v>
      </c>
    </row>
    <row r="9700" spans="1:11" x14ac:dyDescent="0.25">
      <c r="A9700" t="s">
        <v>9</v>
      </c>
      <c r="B9700" t="s">
        <v>313</v>
      </c>
      <c r="C9700" t="s">
        <v>875</v>
      </c>
      <c r="D9700" t="s">
        <v>11</v>
      </c>
      <c r="E9700">
        <v>29</v>
      </c>
      <c r="F9700" s="2">
        <f>DATE(2026,IF(Tabla1[[#This Row],[Mes de Fecha]]="Septiembre",9,10),Tabla1[[#This Row],[Día de Fecha]])</f>
        <v>46294</v>
      </c>
      <c r="G9700">
        <v>53068903</v>
      </c>
      <c r="H9700" t="s">
        <v>315</v>
      </c>
      <c r="I9700">
        <v>1</v>
      </c>
      <c r="J9700">
        <v>0</v>
      </c>
      <c r="K9700" s="1">
        <v>37773</v>
      </c>
    </row>
    <row r="9701" spans="1:11" x14ac:dyDescent="0.25">
      <c r="A9701" t="s">
        <v>9</v>
      </c>
      <c r="B9701" t="s">
        <v>313</v>
      </c>
      <c r="C9701" t="s">
        <v>875</v>
      </c>
      <c r="D9701" t="s">
        <v>11</v>
      </c>
      <c r="E9701">
        <v>29</v>
      </c>
      <c r="F9701" s="2">
        <f>DATE(2026,IF(Tabla1[[#This Row],[Mes de Fecha]]="Septiembre",9,10),Tabla1[[#This Row],[Día de Fecha]])</f>
        <v>46294</v>
      </c>
      <c r="G9701">
        <v>1005199869</v>
      </c>
      <c r="H9701" t="s">
        <v>318</v>
      </c>
      <c r="I9701">
        <v>19</v>
      </c>
      <c r="J9701">
        <v>0</v>
      </c>
      <c r="K9701" s="1">
        <v>616429</v>
      </c>
    </row>
    <row r="9702" spans="1:11" x14ac:dyDescent="0.25">
      <c r="A9702" t="s">
        <v>9</v>
      </c>
      <c r="B9702" t="s">
        <v>313</v>
      </c>
      <c r="C9702" t="s">
        <v>875</v>
      </c>
      <c r="D9702" t="s">
        <v>11</v>
      </c>
      <c r="E9702">
        <v>29</v>
      </c>
      <c r="F9702" s="2">
        <f>DATE(2026,IF(Tabla1[[#This Row],[Mes de Fecha]]="Septiembre",9,10),Tabla1[[#This Row],[Día de Fecha]])</f>
        <v>46294</v>
      </c>
      <c r="G9702">
        <v>1098785246</v>
      </c>
      <c r="H9702" t="s">
        <v>314</v>
      </c>
      <c r="I9702">
        <v>55</v>
      </c>
      <c r="J9702">
        <v>0</v>
      </c>
      <c r="K9702" s="1">
        <v>3245214</v>
      </c>
    </row>
    <row r="9703" spans="1:11" x14ac:dyDescent="0.25">
      <c r="A9703" t="s">
        <v>9</v>
      </c>
      <c r="B9703" t="s">
        <v>313</v>
      </c>
      <c r="C9703" t="s">
        <v>875</v>
      </c>
      <c r="D9703" t="s">
        <v>11</v>
      </c>
      <c r="E9703">
        <v>30</v>
      </c>
      <c r="F9703" s="2">
        <f>DATE(2026,IF(Tabla1[[#This Row],[Mes de Fecha]]="Septiembre",9,10),Tabla1[[#This Row],[Día de Fecha]])</f>
        <v>46295</v>
      </c>
      <c r="I9703">
        <v>0</v>
      </c>
      <c r="J9703" s="1">
        <v>7478700</v>
      </c>
      <c r="K9703">
        <v>0</v>
      </c>
    </row>
    <row r="9704" spans="1:11" x14ac:dyDescent="0.25">
      <c r="A9704" t="s">
        <v>9</v>
      </c>
      <c r="B9704" t="s">
        <v>313</v>
      </c>
      <c r="C9704" t="s">
        <v>875</v>
      </c>
      <c r="D9704" t="s">
        <v>11</v>
      </c>
      <c r="E9704">
        <v>30</v>
      </c>
      <c r="F9704" s="2">
        <f>DATE(2026,IF(Tabla1[[#This Row],[Mes de Fecha]]="Septiembre",9,10),Tabla1[[#This Row],[Día de Fecha]])</f>
        <v>46295</v>
      </c>
      <c r="G9704">
        <v>1005199869</v>
      </c>
      <c r="H9704" t="s">
        <v>318</v>
      </c>
      <c r="I9704">
        <v>33</v>
      </c>
      <c r="J9704">
        <v>0</v>
      </c>
      <c r="K9704" s="1">
        <v>1637142</v>
      </c>
    </row>
    <row r="9705" spans="1:11" x14ac:dyDescent="0.25">
      <c r="A9705" t="s">
        <v>9</v>
      </c>
      <c r="B9705" t="s">
        <v>313</v>
      </c>
      <c r="C9705" t="s">
        <v>875</v>
      </c>
      <c r="D9705" t="s">
        <v>11</v>
      </c>
      <c r="E9705">
        <v>30</v>
      </c>
      <c r="F9705" s="2">
        <f>DATE(2026,IF(Tabla1[[#This Row],[Mes de Fecha]]="Septiembre",9,10),Tabla1[[#This Row],[Día de Fecha]])</f>
        <v>46295</v>
      </c>
      <c r="G9705">
        <v>1098785246</v>
      </c>
      <c r="H9705" t="s">
        <v>314</v>
      </c>
      <c r="I9705">
        <v>69</v>
      </c>
      <c r="J9705">
        <v>0</v>
      </c>
      <c r="K9705" s="1">
        <v>3883449</v>
      </c>
    </row>
    <row r="9706" spans="1:11" x14ac:dyDescent="0.25">
      <c r="A9706" t="s">
        <v>9</v>
      </c>
      <c r="B9706" t="s">
        <v>313</v>
      </c>
      <c r="C9706" t="s">
        <v>875</v>
      </c>
      <c r="D9706" t="s">
        <v>14</v>
      </c>
      <c r="E9706">
        <v>1</v>
      </c>
      <c r="F9706" s="2">
        <f>DATE(2026,IF(Tabla1[[#This Row],[Mes de Fecha]]="Septiembre",9,10),Tabla1[[#This Row],[Día de Fecha]])</f>
        <v>46296</v>
      </c>
      <c r="I9706">
        <v>0</v>
      </c>
      <c r="J9706" s="1">
        <v>9103313</v>
      </c>
      <c r="K9706">
        <v>0</v>
      </c>
    </row>
    <row r="9707" spans="1:11" x14ac:dyDescent="0.25">
      <c r="A9707" t="s">
        <v>9</v>
      </c>
      <c r="B9707" t="s">
        <v>313</v>
      </c>
      <c r="C9707" t="s">
        <v>875</v>
      </c>
      <c r="D9707" t="s">
        <v>14</v>
      </c>
      <c r="E9707">
        <v>1</v>
      </c>
      <c r="F9707" s="2">
        <f>DATE(2026,IF(Tabla1[[#This Row],[Mes de Fecha]]="Septiembre",9,10),Tabla1[[#This Row],[Día de Fecha]])</f>
        <v>46296</v>
      </c>
      <c r="G9707">
        <v>1005199869</v>
      </c>
      <c r="H9707" t="s">
        <v>318</v>
      </c>
      <c r="I9707">
        <v>21</v>
      </c>
      <c r="J9707">
        <v>0</v>
      </c>
      <c r="K9707" s="1">
        <v>1040799</v>
      </c>
    </row>
    <row r="9708" spans="1:11" x14ac:dyDescent="0.25">
      <c r="A9708" t="s">
        <v>9</v>
      </c>
      <c r="B9708" t="s">
        <v>313</v>
      </c>
      <c r="C9708" t="s">
        <v>875</v>
      </c>
      <c r="D9708" t="s">
        <v>14</v>
      </c>
      <c r="E9708">
        <v>1</v>
      </c>
      <c r="F9708" s="2">
        <f>DATE(2026,IF(Tabla1[[#This Row],[Mes de Fecha]]="Septiembre",9,10),Tabla1[[#This Row],[Día de Fecha]])</f>
        <v>46296</v>
      </c>
      <c r="G9708">
        <v>1098785246</v>
      </c>
      <c r="H9708" t="s">
        <v>314</v>
      </c>
      <c r="I9708">
        <v>59</v>
      </c>
      <c r="J9708">
        <v>0</v>
      </c>
      <c r="K9708" s="1">
        <v>3816177</v>
      </c>
    </row>
    <row r="9709" spans="1:11" x14ac:dyDescent="0.25">
      <c r="A9709" t="s">
        <v>9</v>
      </c>
      <c r="B9709" t="s">
        <v>313</v>
      </c>
      <c r="C9709" t="s">
        <v>875</v>
      </c>
      <c r="D9709" t="s">
        <v>14</v>
      </c>
      <c r="E9709">
        <v>2</v>
      </c>
      <c r="F9709" s="2">
        <f>DATE(2026,IF(Tabla1[[#This Row],[Mes de Fecha]]="Septiembre",9,10),Tabla1[[#This Row],[Día de Fecha]])</f>
        <v>46297</v>
      </c>
      <c r="I9709">
        <v>0</v>
      </c>
      <c r="J9709" s="1">
        <v>15316962</v>
      </c>
      <c r="K9709">
        <v>0</v>
      </c>
    </row>
    <row r="9710" spans="1:11" x14ac:dyDescent="0.25">
      <c r="A9710" t="s">
        <v>9</v>
      </c>
      <c r="B9710" t="s">
        <v>313</v>
      </c>
      <c r="C9710" t="s">
        <v>875</v>
      </c>
      <c r="D9710" t="s">
        <v>14</v>
      </c>
      <c r="E9710">
        <v>2</v>
      </c>
      <c r="F9710" s="2">
        <f>DATE(2026,IF(Tabla1[[#This Row],[Mes de Fecha]]="Septiembre",9,10),Tabla1[[#This Row],[Día de Fecha]])</f>
        <v>46297</v>
      </c>
      <c r="G9710">
        <v>1005199869</v>
      </c>
      <c r="H9710" t="s">
        <v>318</v>
      </c>
      <c r="I9710">
        <v>21</v>
      </c>
      <c r="J9710">
        <v>0</v>
      </c>
      <c r="K9710" s="1">
        <v>1026345</v>
      </c>
    </row>
    <row r="9711" spans="1:11" x14ac:dyDescent="0.25">
      <c r="A9711" t="s">
        <v>9</v>
      </c>
      <c r="B9711" t="s">
        <v>313</v>
      </c>
      <c r="C9711" t="s">
        <v>875</v>
      </c>
      <c r="D9711" t="s">
        <v>14</v>
      </c>
      <c r="E9711">
        <v>2</v>
      </c>
      <c r="F9711" s="2">
        <f>DATE(2026,IF(Tabla1[[#This Row],[Mes de Fecha]]="Septiembre",9,10),Tabla1[[#This Row],[Día de Fecha]])</f>
        <v>46297</v>
      </c>
      <c r="G9711">
        <v>1098785246</v>
      </c>
      <c r="H9711" t="s">
        <v>314</v>
      </c>
      <c r="I9711">
        <v>115</v>
      </c>
      <c r="J9711">
        <v>0</v>
      </c>
      <c r="K9711" s="1">
        <v>6559961</v>
      </c>
    </row>
    <row r="9712" spans="1:11" x14ac:dyDescent="0.25">
      <c r="A9712" t="s">
        <v>9</v>
      </c>
      <c r="B9712" t="s">
        <v>313</v>
      </c>
      <c r="C9712" t="s">
        <v>875</v>
      </c>
      <c r="D9712" t="s">
        <v>14</v>
      </c>
      <c r="E9712">
        <v>3</v>
      </c>
      <c r="F9712" s="2">
        <f>DATE(2026,IF(Tabla1[[#This Row],[Mes de Fecha]]="Septiembre",9,10),Tabla1[[#This Row],[Día de Fecha]])</f>
        <v>46298</v>
      </c>
      <c r="I9712">
        <v>0</v>
      </c>
      <c r="J9712" s="1">
        <v>17055527</v>
      </c>
      <c r="K9712">
        <v>0</v>
      </c>
    </row>
    <row r="9713" spans="1:11" x14ac:dyDescent="0.25">
      <c r="A9713" t="s">
        <v>9</v>
      </c>
      <c r="B9713" t="s">
        <v>313</v>
      </c>
      <c r="C9713" t="s">
        <v>875</v>
      </c>
      <c r="D9713" t="s">
        <v>14</v>
      </c>
      <c r="E9713">
        <v>3</v>
      </c>
      <c r="F9713" s="2">
        <f>DATE(2026,IF(Tabla1[[#This Row],[Mes de Fecha]]="Septiembre",9,10),Tabla1[[#This Row],[Día de Fecha]])</f>
        <v>46298</v>
      </c>
      <c r="G9713">
        <v>53068903</v>
      </c>
      <c r="H9713" t="s">
        <v>315</v>
      </c>
      <c r="I9713">
        <v>2</v>
      </c>
      <c r="J9713">
        <v>0</v>
      </c>
      <c r="K9713" s="1">
        <v>88151</v>
      </c>
    </row>
    <row r="9714" spans="1:11" x14ac:dyDescent="0.25">
      <c r="A9714" t="s">
        <v>9</v>
      </c>
      <c r="B9714" t="s">
        <v>313</v>
      </c>
      <c r="C9714" t="s">
        <v>875</v>
      </c>
      <c r="D9714" t="s">
        <v>14</v>
      </c>
      <c r="E9714">
        <v>3</v>
      </c>
      <c r="F9714" s="2">
        <f>DATE(2026,IF(Tabla1[[#This Row],[Mes de Fecha]]="Septiembre",9,10),Tabla1[[#This Row],[Día de Fecha]])</f>
        <v>46298</v>
      </c>
      <c r="G9714">
        <v>63365763</v>
      </c>
      <c r="H9714" t="s">
        <v>316</v>
      </c>
      <c r="I9714">
        <v>-1</v>
      </c>
      <c r="J9714">
        <v>0</v>
      </c>
      <c r="K9714" s="1">
        <v>-54580</v>
      </c>
    </row>
    <row r="9715" spans="1:11" x14ac:dyDescent="0.25">
      <c r="A9715" t="s">
        <v>9</v>
      </c>
      <c r="B9715" t="s">
        <v>313</v>
      </c>
      <c r="C9715" t="s">
        <v>875</v>
      </c>
      <c r="D9715" t="s">
        <v>14</v>
      </c>
      <c r="E9715">
        <v>3</v>
      </c>
      <c r="F9715" s="2">
        <f>DATE(2026,IF(Tabla1[[#This Row],[Mes de Fecha]]="Septiembre",9,10),Tabla1[[#This Row],[Día de Fecha]])</f>
        <v>46298</v>
      </c>
      <c r="G9715">
        <v>1005199869</v>
      </c>
      <c r="H9715" t="s">
        <v>318</v>
      </c>
      <c r="I9715">
        <v>45</v>
      </c>
      <c r="J9715">
        <v>0</v>
      </c>
      <c r="K9715" s="1">
        <v>2622505</v>
      </c>
    </row>
    <row r="9716" spans="1:11" x14ac:dyDescent="0.25">
      <c r="A9716" t="s">
        <v>9</v>
      </c>
      <c r="B9716" t="s">
        <v>313</v>
      </c>
      <c r="C9716" t="s">
        <v>875</v>
      </c>
      <c r="D9716" t="s">
        <v>14</v>
      </c>
      <c r="E9716">
        <v>3</v>
      </c>
      <c r="F9716" s="2">
        <f>DATE(2026,IF(Tabla1[[#This Row],[Mes de Fecha]]="Septiembre",9,10),Tabla1[[#This Row],[Día de Fecha]])</f>
        <v>46298</v>
      </c>
      <c r="G9716">
        <v>1098785246</v>
      </c>
      <c r="H9716" t="s">
        <v>314</v>
      </c>
      <c r="I9716">
        <v>274</v>
      </c>
      <c r="J9716">
        <v>0</v>
      </c>
      <c r="K9716" s="1">
        <v>13456660</v>
      </c>
    </row>
    <row r="9717" spans="1:11" x14ac:dyDescent="0.25">
      <c r="A9717" t="s">
        <v>9</v>
      </c>
      <c r="B9717" t="s">
        <v>313</v>
      </c>
      <c r="C9717" t="s">
        <v>875</v>
      </c>
      <c r="D9717" t="s">
        <v>14</v>
      </c>
      <c r="E9717">
        <v>4</v>
      </c>
      <c r="F9717" s="2">
        <f>DATE(2026,IF(Tabla1[[#This Row],[Mes de Fecha]]="Septiembre",9,10),Tabla1[[#This Row],[Día de Fecha]])</f>
        <v>46299</v>
      </c>
      <c r="I9717">
        <v>0</v>
      </c>
      <c r="J9717" s="1">
        <v>18178797</v>
      </c>
      <c r="K9717">
        <v>0</v>
      </c>
    </row>
    <row r="9718" spans="1:11" x14ac:dyDescent="0.25">
      <c r="A9718" t="s">
        <v>9</v>
      </c>
      <c r="B9718" t="s">
        <v>313</v>
      </c>
      <c r="C9718" t="s">
        <v>875</v>
      </c>
      <c r="D9718" t="s">
        <v>14</v>
      </c>
      <c r="E9718">
        <v>4</v>
      </c>
      <c r="F9718" s="2">
        <f>DATE(2026,IF(Tabla1[[#This Row],[Mes de Fecha]]="Septiembre",9,10),Tabla1[[#This Row],[Día de Fecha]])</f>
        <v>46299</v>
      </c>
      <c r="G9718">
        <v>1005199869</v>
      </c>
      <c r="H9718" t="s">
        <v>318</v>
      </c>
      <c r="I9718">
        <v>34</v>
      </c>
      <c r="J9718">
        <v>0</v>
      </c>
      <c r="K9718" s="1">
        <v>1767399</v>
      </c>
    </row>
    <row r="9719" spans="1:11" x14ac:dyDescent="0.25">
      <c r="A9719" t="s">
        <v>9</v>
      </c>
      <c r="B9719" t="s">
        <v>313</v>
      </c>
      <c r="C9719" t="s">
        <v>875</v>
      </c>
      <c r="D9719" t="s">
        <v>14</v>
      </c>
      <c r="E9719">
        <v>4</v>
      </c>
      <c r="F9719" s="2">
        <f>DATE(2026,IF(Tabla1[[#This Row],[Mes de Fecha]]="Septiembre",9,10),Tabla1[[#This Row],[Día de Fecha]])</f>
        <v>46299</v>
      </c>
      <c r="G9719">
        <v>1005372930</v>
      </c>
      <c r="H9719" t="s">
        <v>319</v>
      </c>
      <c r="I9719">
        <v>-1</v>
      </c>
      <c r="J9719">
        <v>0</v>
      </c>
      <c r="K9719" s="1">
        <v>-54580</v>
      </c>
    </row>
    <row r="9720" spans="1:11" x14ac:dyDescent="0.25">
      <c r="A9720" t="s">
        <v>9</v>
      </c>
      <c r="B9720" t="s">
        <v>313</v>
      </c>
      <c r="C9720" t="s">
        <v>875</v>
      </c>
      <c r="D9720" t="s">
        <v>14</v>
      </c>
      <c r="E9720">
        <v>4</v>
      </c>
      <c r="F9720" s="2">
        <f>DATE(2026,IF(Tabla1[[#This Row],[Mes de Fecha]]="Septiembre",9,10),Tabla1[[#This Row],[Día de Fecha]])</f>
        <v>46299</v>
      </c>
      <c r="G9720">
        <v>1098785246</v>
      </c>
      <c r="H9720" t="s">
        <v>314</v>
      </c>
      <c r="I9720">
        <v>226</v>
      </c>
      <c r="J9720">
        <v>0</v>
      </c>
      <c r="K9720" s="1">
        <v>12468752</v>
      </c>
    </row>
    <row r="9721" spans="1:11" x14ac:dyDescent="0.25">
      <c r="A9721" t="s">
        <v>9</v>
      </c>
      <c r="B9721" t="s">
        <v>313</v>
      </c>
      <c r="C9721" t="s">
        <v>875</v>
      </c>
      <c r="D9721" t="s">
        <v>14</v>
      </c>
      <c r="E9721">
        <v>5</v>
      </c>
      <c r="F9721" s="2">
        <f>DATE(2026,IF(Tabla1[[#This Row],[Mes de Fecha]]="Septiembre",9,10),Tabla1[[#This Row],[Día de Fecha]])</f>
        <v>46300</v>
      </c>
      <c r="I9721">
        <v>0</v>
      </c>
      <c r="J9721" s="1">
        <v>7539402</v>
      </c>
      <c r="K9721">
        <v>0</v>
      </c>
    </row>
    <row r="9722" spans="1:11" x14ac:dyDescent="0.25">
      <c r="A9722" t="s">
        <v>9</v>
      </c>
      <c r="B9722" t="s">
        <v>313</v>
      </c>
      <c r="C9722" t="s">
        <v>875</v>
      </c>
      <c r="D9722" t="s">
        <v>14</v>
      </c>
      <c r="E9722">
        <v>5</v>
      </c>
      <c r="F9722" s="2">
        <f>DATE(2026,IF(Tabla1[[#This Row],[Mes de Fecha]]="Septiembre",9,10),Tabla1[[#This Row],[Día de Fecha]])</f>
        <v>46300</v>
      </c>
      <c r="G9722">
        <v>1098785246</v>
      </c>
      <c r="H9722" t="s">
        <v>314</v>
      </c>
      <c r="I9722">
        <v>109</v>
      </c>
      <c r="J9722">
        <v>0</v>
      </c>
      <c r="K9722" s="1">
        <v>6043453</v>
      </c>
    </row>
    <row r="9723" spans="1:11" x14ac:dyDescent="0.25">
      <c r="A9723" t="s">
        <v>9</v>
      </c>
      <c r="B9723" t="s">
        <v>313</v>
      </c>
      <c r="C9723" t="s">
        <v>875</v>
      </c>
      <c r="D9723" t="s">
        <v>14</v>
      </c>
      <c r="E9723">
        <v>6</v>
      </c>
      <c r="F9723" s="2">
        <f>DATE(2026,IF(Tabla1[[#This Row],[Mes de Fecha]]="Septiembre",9,10),Tabla1[[#This Row],[Día de Fecha]])</f>
        <v>46301</v>
      </c>
      <c r="I9723">
        <v>0</v>
      </c>
      <c r="J9723" s="1">
        <v>1742237</v>
      </c>
      <c r="K9723">
        <v>0</v>
      </c>
    </row>
    <row r="9724" spans="1:11" x14ac:dyDescent="0.25">
      <c r="A9724" t="s">
        <v>9</v>
      </c>
      <c r="B9724" t="s">
        <v>313</v>
      </c>
      <c r="C9724" t="s">
        <v>875</v>
      </c>
      <c r="D9724" t="s">
        <v>14</v>
      </c>
      <c r="E9724">
        <v>6</v>
      </c>
      <c r="F9724" s="2">
        <f>DATE(2026,IF(Tabla1[[#This Row],[Mes de Fecha]]="Septiembre",9,10),Tabla1[[#This Row],[Día de Fecha]])</f>
        <v>46301</v>
      </c>
      <c r="G9724">
        <v>53068903</v>
      </c>
      <c r="H9724" t="s">
        <v>315</v>
      </c>
      <c r="I9724">
        <v>-1</v>
      </c>
      <c r="J9724">
        <v>0</v>
      </c>
      <c r="K9724" s="1">
        <v>-62983</v>
      </c>
    </row>
    <row r="9725" spans="1:11" x14ac:dyDescent="0.25">
      <c r="A9725" t="s">
        <v>9</v>
      </c>
      <c r="B9725" t="s">
        <v>313</v>
      </c>
      <c r="C9725" t="s">
        <v>875</v>
      </c>
      <c r="D9725" t="s">
        <v>14</v>
      </c>
      <c r="E9725">
        <v>6</v>
      </c>
      <c r="F9725" s="2">
        <f>DATE(2026,IF(Tabla1[[#This Row],[Mes de Fecha]]="Septiembre",9,10),Tabla1[[#This Row],[Día de Fecha]])</f>
        <v>46301</v>
      </c>
      <c r="G9725">
        <v>1005199869</v>
      </c>
      <c r="H9725" t="s">
        <v>318</v>
      </c>
      <c r="I9725">
        <v>76</v>
      </c>
      <c r="J9725">
        <v>0</v>
      </c>
      <c r="K9725" s="1">
        <v>4013239</v>
      </c>
    </row>
    <row r="9726" spans="1:11" x14ac:dyDescent="0.25">
      <c r="A9726" t="s">
        <v>9</v>
      </c>
      <c r="B9726" t="s">
        <v>313</v>
      </c>
      <c r="C9726" t="s">
        <v>875</v>
      </c>
      <c r="D9726" t="s">
        <v>14</v>
      </c>
      <c r="E9726">
        <v>6</v>
      </c>
      <c r="F9726" s="2">
        <f>DATE(2026,IF(Tabla1[[#This Row],[Mes de Fecha]]="Septiembre",9,10),Tabla1[[#This Row],[Día de Fecha]])</f>
        <v>46301</v>
      </c>
      <c r="G9726">
        <v>1098785246</v>
      </c>
      <c r="H9726" t="s">
        <v>314</v>
      </c>
      <c r="I9726">
        <v>-1</v>
      </c>
      <c r="J9726">
        <v>0</v>
      </c>
      <c r="K9726" s="1">
        <v>-50378</v>
      </c>
    </row>
    <row r="9727" spans="1:11" x14ac:dyDescent="0.25">
      <c r="A9727" t="s">
        <v>9</v>
      </c>
      <c r="B9727" t="s">
        <v>313</v>
      </c>
      <c r="C9727" t="s">
        <v>875</v>
      </c>
      <c r="D9727" t="s">
        <v>14</v>
      </c>
      <c r="E9727">
        <v>7</v>
      </c>
      <c r="F9727" s="2">
        <f>DATE(2026,IF(Tabla1[[#This Row],[Mes de Fecha]]="Septiembre",9,10),Tabla1[[#This Row],[Día de Fecha]])</f>
        <v>46302</v>
      </c>
      <c r="I9727">
        <v>0</v>
      </c>
      <c r="J9727" s="1">
        <v>1551027</v>
      </c>
      <c r="K9727">
        <v>0</v>
      </c>
    </row>
    <row r="9728" spans="1:11" x14ac:dyDescent="0.25">
      <c r="A9728" t="s">
        <v>9</v>
      </c>
      <c r="B9728" t="s">
        <v>313</v>
      </c>
      <c r="C9728" t="s">
        <v>875</v>
      </c>
      <c r="D9728" t="s">
        <v>14</v>
      </c>
      <c r="E9728">
        <v>7</v>
      </c>
      <c r="F9728" s="2">
        <f>DATE(2026,IF(Tabla1[[#This Row],[Mes de Fecha]]="Septiembre",9,10),Tabla1[[#This Row],[Día de Fecha]])</f>
        <v>46302</v>
      </c>
      <c r="G9728">
        <v>1098785246</v>
      </c>
      <c r="H9728" t="s">
        <v>314</v>
      </c>
      <c r="I9728">
        <v>76</v>
      </c>
      <c r="J9728">
        <v>0</v>
      </c>
      <c r="K9728" s="1">
        <v>4202610</v>
      </c>
    </row>
    <row r="9729" spans="1:11" x14ac:dyDescent="0.25">
      <c r="A9729" t="s">
        <v>9</v>
      </c>
      <c r="B9729" t="s">
        <v>320</v>
      </c>
      <c r="C9729" t="s">
        <v>875</v>
      </c>
      <c r="D9729" t="s">
        <v>11</v>
      </c>
      <c r="E9729">
        <v>23</v>
      </c>
      <c r="F9729" s="2">
        <f>DATE(2026,IF(Tabla1[[#This Row],[Mes de Fecha]]="Septiembre",9,10),Tabla1[[#This Row],[Día de Fecha]])</f>
        <v>46288</v>
      </c>
      <c r="I9729">
        <v>0</v>
      </c>
      <c r="J9729" s="1">
        <v>7149281</v>
      </c>
      <c r="K9729">
        <v>0</v>
      </c>
    </row>
    <row r="9730" spans="1:11" x14ac:dyDescent="0.25">
      <c r="A9730" t="s">
        <v>9</v>
      </c>
      <c r="B9730" t="s">
        <v>320</v>
      </c>
      <c r="C9730" t="s">
        <v>875</v>
      </c>
      <c r="D9730" t="s">
        <v>11</v>
      </c>
      <c r="E9730">
        <v>23</v>
      </c>
      <c r="F9730" s="2">
        <f>DATE(2026,IF(Tabla1[[#This Row],[Mes de Fecha]]="Septiembre",9,10),Tabla1[[#This Row],[Día de Fecha]])</f>
        <v>46288</v>
      </c>
      <c r="G9730">
        <v>1005372930</v>
      </c>
      <c r="H9730" t="s">
        <v>319</v>
      </c>
      <c r="I9730">
        <v>53</v>
      </c>
      <c r="J9730">
        <v>0</v>
      </c>
      <c r="K9730" s="1">
        <v>2365422</v>
      </c>
    </row>
    <row r="9731" spans="1:11" x14ac:dyDescent="0.25">
      <c r="A9731" t="s">
        <v>9</v>
      </c>
      <c r="B9731" t="s">
        <v>320</v>
      </c>
      <c r="C9731" t="s">
        <v>875</v>
      </c>
      <c r="D9731" t="s">
        <v>11</v>
      </c>
      <c r="E9731">
        <v>23</v>
      </c>
      <c r="F9731" s="2">
        <f>DATE(2026,IF(Tabla1[[#This Row],[Mes de Fecha]]="Septiembre",9,10),Tabla1[[#This Row],[Día de Fecha]])</f>
        <v>46288</v>
      </c>
      <c r="G9731">
        <v>1095796180</v>
      </c>
      <c r="H9731" t="s">
        <v>321</v>
      </c>
      <c r="I9731">
        <v>38</v>
      </c>
      <c r="J9731">
        <v>0</v>
      </c>
      <c r="K9731" s="1">
        <v>1508907</v>
      </c>
    </row>
    <row r="9732" spans="1:11" x14ac:dyDescent="0.25">
      <c r="A9732" t="s">
        <v>9</v>
      </c>
      <c r="B9732" t="s">
        <v>320</v>
      </c>
      <c r="C9732" t="s">
        <v>875</v>
      </c>
      <c r="D9732" t="s">
        <v>11</v>
      </c>
      <c r="E9732">
        <v>23</v>
      </c>
      <c r="F9732" s="2">
        <f>DATE(2026,IF(Tabla1[[#This Row],[Mes de Fecha]]="Septiembre",9,10),Tabla1[[#This Row],[Día de Fecha]])</f>
        <v>46288</v>
      </c>
      <c r="G9732">
        <v>1098756916</v>
      </c>
      <c r="H9732" t="s">
        <v>322</v>
      </c>
      <c r="I9732">
        <v>26</v>
      </c>
      <c r="J9732">
        <v>0</v>
      </c>
      <c r="K9732" s="1">
        <v>1145964</v>
      </c>
    </row>
    <row r="9733" spans="1:11" x14ac:dyDescent="0.25">
      <c r="A9733" t="s">
        <v>9</v>
      </c>
      <c r="B9733" t="s">
        <v>320</v>
      </c>
      <c r="C9733" t="s">
        <v>875</v>
      </c>
      <c r="D9733" t="s">
        <v>11</v>
      </c>
      <c r="E9733">
        <v>23</v>
      </c>
      <c r="F9733" s="2">
        <f>DATE(2026,IF(Tabla1[[#This Row],[Mes de Fecha]]="Septiembre",9,10),Tabla1[[#This Row],[Día de Fecha]])</f>
        <v>46288</v>
      </c>
      <c r="G9733">
        <v>1098785246</v>
      </c>
      <c r="H9733" t="s">
        <v>314</v>
      </c>
      <c r="I9733">
        <v>4</v>
      </c>
      <c r="J9733">
        <v>0</v>
      </c>
      <c r="K9733" s="1">
        <v>121681</v>
      </c>
    </row>
    <row r="9734" spans="1:11" x14ac:dyDescent="0.25">
      <c r="A9734" t="s">
        <v>9</v>
      </c>
      <c r="B9734" t="s">
        <v>320</v>
      </c>
      <c r="C9734" t="s">
        <v>875</v>
      </c>
      <c r="D9734" t="s">
        <v>11</v>
      </c>
      <c r="E9734">
        <v>24</v>
      </c>
      <c r="F9734" s="2">
        <f>DATE(2026,IF(Tabla1[[#This Row],[Mes de Fecha]]="Septiembre",9,10),Tabla1[[#This Row],[Día de Fecha]])</f>
        <v>46289</v>
      </c>
      <c r="I9734">
        <v>0</v>
      </c>
      <c r="J9734" s="1">
        <v>18489415</v>
      </c>
      <c r="K9734">
        <v>0</v>
      </c>
    </row>
    <row r="9735" spans="1:11" x14ac:dyDescent="0.25">
      <c r="A9735" t="s">
        <v>9</v>
      </c>
      <c r="B9735" t="s">
        <v>320</v>
      </c>
      <c r="C9735" t="s">
        <v>875</v>
      </c>
      <c r="D9735" t="s">
        <v>11</v>
      </c>
      <c r="E9735">
        <v>24</v>
      </c>
      <c r="F9735" s="2">
        <f>DATE(2026,IF(Tabla1[[#This Row],[Mes de Fecha]]="Septiembre",9,10),Tabla1[[#This Row],[Día de Fecha]])</f>
        <v>46289</v>
      </c>
      <c r="G9735">
        <v>1005372930</v>
      </c>
      <c r="H9735" t="s">
        <v>319</v>
      </c>
      <c r="I9735">
        <v>56</v>
      </c>
      <c r="J9735">
        <v>0</v>
      </c>
      <c r="K9735" s="1">
        <v>2279163</v>
      </c>
    </row>
    <row r="9736" spans="1:11" x14ac:dyDescent="0.25">
      <c r="A9736" t="s">
        <v>9</v>
      </c>
      <c r="B9736" t="s">
        <v>320</v>
      </c>
      <c r="C9736" t="s">
        <v>875</v>
      </c>
      <c r="D9736" t="s">
        <v>11</v>
      </c>
      <c r="E9736">
        <v>24</v>
      </c>
      <c r="F9736" s="2">
        <f>DATE(2026,IF(Tabla1[[#This Row],[Mes de Fecha]]="Septiembre",9,10),Tabla1[[#This Row],[Día de Fecha]])</f>
        <v>46289</v>
      </c>
      <c r="G9736">
        <v>1095796180</v>
      </c>
      <c r="H9736" t="s">
        <v>321</v>
      </c>
      <c r="I9736">
        <v>56</v>
      </c>
      <c r="J9736">
        <v>0</v>
      </c>
      <c r="K9736" s="1">
        <v>2722438</v>
      </c>
    </row>
    <row r="9737" spans="1:11" x14ac:dyDescent="0.25">
      <c r="A9737" t="s">
        <v>9</v>
      </c>
      <c r="B9737" t="s">
        <v>320</v>
      </c>
      <c r="C9737" t="s">
        <v>875</v>
      </c>
      <c r="D9737" t="s">
        <v>11</v>
      </c>
      <c r="E9737">
        <v>24</v>
      </c>
      <c r="F9737" s="2">
        <f>DATE(2026,IF(Tabla1[[#This Row],[Mes de Fecha]]="Septiembre",9,10),Tabla1[[#This Row],[Día de Fecha]])</f>
        <v>46289</v>
      </c>
      <c r="G9737">
        <v>1098756916</v>
      </c>
      <c r="H9737" t="s">
        <v>322</v>
      </c>
      <c r="I9737">
        <v>16</v>
      </c>
      <c r="J9737">
        <v>0</v>
      </c>
      <c r="K9737" s="1">
        <v>696806</v>
      </c>
    </row>
    <row r="9738" spans="1:11" x14ac:dyDescent="0.25">
      <c r="A9738" t="s">
        <v>9</v>
      </c>
      <c r="B9738" t="s">
        <v>320</v>
      </c>
      <c r="C9738" t="s">
        <v>875</v>
      </c>
      <c r="D9738" t="s">
        <v>11</v>
      </c>
      <c r="E9738">
        <v>25</v>
      </c>
      <c r="F9738" s="2">
        <f>DATE(2026,IF(Tabla1[[#This Row],[Mes de Fecha]]="Septiembre",9,10),Tabla1[[#This Row],[Día de Fecha]])</f>
        <v>46290</v>
      </c>
      <c r="I9738">
        <v>0</v>
      </c>
      <c r="J9738" s="1">
        <v>19747705</v>
      </c>
      <c r="K9738">
        <v>0</v>
      </c>
    </row>
    <row r="9739" spans="1:11" x14ac:dyDescent="0.25">
      <c r="A9739" t="s">
        <v>9</v>
      </c>
      <c r="B9739" t="s">
        <v>320</v>
      </c>
      <c r="C9739" t="s">
        <v>875</v>
      </c>
      <c r="D9739" t="s">
        <v>11</v>
      </c>
      <c r="E9739">
        <v>25</v>
      </c>
      <c r="F9739" s="2">
        <f>DATE(2026,IF(Tabla1[[#This Row],[Mes de Fecha]]="Septiembre",9,10),Tabla1[[#This Row],[Día de Fecha]])</f>
        <v>46290</v>
      </c>
      <c r="G9739">
        <v>1005372930</v>
      </c>
      <c r="H9739" t="s">
        <v>319</v>
      </c>
      <c r="I9739">
        <v>63</v>
      </c>
      <c r="J9739">
        <v>0</v>
      </c>
      <c r="K9739" s="1">
        <v>2539371</v>
      </c>
    </row>
    <row r="9740" spans="1:11" x14ac:dyDescent="0.25">
      <c r="A9740" t="s">
        <v>9</v>
      </c>
      <c r="B9740" t="s">
        <v>320</v>
      </c>
      <c r="C9740" t="s">
        <v>875</v>
      </c>
      <c r="D9740" t="s">
        <v>11</v>
      </c>
      <c r="E9740">
        <v>25</v>
      </c>
      <c r="F9740" s="2">
        <f>DATE(2026,IF(Tabla1[[#This Row],[Mes de Fecha]]="Septiembre",9,10),Tabla1[[#This Row],[Día de Fecha]])</f>
        <v>46290</v>
      </c>
      <c r="G9740">
        <v>1095796180</v>
      </c>
      <c r="H9740" t="s">
        <v>321</v>
      </c>
      <c r="I9740">
        <v>75</v>
      </c>
      <c r="J9740">
        <v>0</v>
      </c>
      <c r="K9740" s="1">
        <v>3677525</v>
      </c>
    </row>
    <row r="9741" spans="1:11" x14ac:dyDescent="0.25">
      <c r="A9741" t="s">
        <v>9</v>
      </c>
      <c r="B9741" t="s">
        <v>320</v>
      </c>
      <c r="C9741" t="s">
        <v>875</v>
      </c>
      <c r="D9741" t="s">
        <v>11</v>
      </c>
      <c r="E9741">
        <v>25</v>
      </c>
      <c r="F9741" s="2">
        <f>DATE(2026,IF(Tabla1[[#This Row],[Mes de Fecha]]="Septiembre",9,10),Tabla1[[#This Row],[Día de Fecha]])</f>
        <v>46290</v>
      </c>
      <c r="G9741">
        <v>1098756916</v>
      </c>
      <c r="H9741" t="s">
        <v>322</v>
      </c>
      <c r="I9741">
        <v>39</v>
      </c>
      <c r="J9741">
        <v>0</v>
      </c>
      <c r="K9741" s="1">
        <v>1889116</v>
      </c>
    </row>
    <row r="9742" spans="1:11" x14ac:dyDescent="0.25">
      <c r="A9742" t="s">
        <v>9</v>
      </c>
      <c r="B9742" t="s">
        <v>320</v>
      </c>
      <c r="C9742" t="s">
        <v>875</v>
      </c>
      <c r="D9742" t="s">
        <v>11</v>
      </c>
      <c r="E9742">
        <v>26</v>
      </c>
      <c r="F9742" s="2">
        <f>DATE(2026,IF(Tabla1[[#This Row],[Mes de Fecha]]="Septiembre",9,10),Tabla1[[#This Row],[Día de Fecha]])</f>
        <v>46291</v>
      </c>
      <c r="I9742">
        <v>0</v>
      </c>
      <c r="J9742" s="1">
        <v>24901359</v>
      </c>
      <c r="K9742">
        <v>0</v>
      </c>
    </row>
    <row r="9743" spans="1:11" x14ac:dyDescent="0.25">
      <c r="A9743" t="s">
        <v>9</v>
      </c>
      <c r="B9743" t="s">
        <v>320</v>
      </c>
      <c r="C9743" t="s">
        <v>875</v>
      </c>
      <c r="D9743" t="s">
        <v>11</v>
      </c>
      <c r="E9743">
        <v>26</v>
      </c>
      <c r="F9743" s="2">
        <f>DATE(2026,IF(Tabla1[[#This Row],[Mes de Fecha]]="Septiembre",9,10),Tabla1[[#This Row],[Día de Fecha]])</f>
        <v>46291</v>
      </c>
      <c r="G9743">
        <v>1005372930</v>
      </c>
      <c r="H9743" t="s">
        <v>319</v>
      </c>
      <c r="I9743">
        <v>177</v>
      </c>
      <c r="J9743">
        <v>0</v>
      </c>
      <c r="K9743" s="1">
        <v>7413590</v>
      </c>
    </row>
    <row r="9744" spans="1:11" x14ac:dyDescent="0.25">
      <c r="A9744" t="s">
        <v>9</v>
      </c>
      <c r="B9744" t="s">
        <v>320</v>
      </c>
      <c r="C9744" t="s">
        <v>875</v>
      </c>
      <c r="D9744" t="s">
        <v>11</v>
      </c>
      <c r="E9744">
        <v>26</v>
      </c>
      <c r="F9744" s="2">
        <f>DATE(2026,IF(Tabla1[[#This Row],[Mes de Fecha]]="Septiembre",9,10),Tabla1[[#This Row],[Día de Fecha]])</f>
        <v>46291</v>
      </c>
      <c r="G9744">
        <v>1095796180</v>
      </c>
      <c r="H9744" t="s">
        <v>321</v>
      </c>
      <c r="I9744">
        <v>153</v>
      </c>
      <c r="J9744">
        <v>0</v>
      </c>
      <c r="K9744" s="1">
        <v>6433510</v>
      </c>
    </row>
    <row r="9745" spans="1:11" x14ac:dyDescent="0.25">
      <c r="A9745" t="s">
        <v>9</v>
      </c>
      <c r="B9745" t="s">
        <v>320</v>
      </c>
      <c r="C9745" t="s">
        <v>875</v>
      </c>
      <c r="D9745" t="s">
        <v>11</v>
      </c>
      <c r="E9745">
        <v>26</v>
      </c>
      <c r="F9745" s="2">
        <f>DATE(2026,IF(Tabla1[[#This Row],[Mes de Fecha]]="Septiembre",9,10),Tabla1[[#This Row],[Día de Fecha]])</f>
        <v>46291</v>
      </c>
      <c r="G9745">
        <v>1098756916</v>
      </c>
      <c r="H9745" t="s">
        <v>322</v>
      </c>
      <c r="I9745">
        <v>79</v>
      </c>
      <c r="J9745">
        <v>0</v>
      </c>
      <c r="K9745" s="1">
        <v>3227293</v>
      </c>
    </row>
    <row r="9746" spans="1:11" x14ac:dyDescent="0.25">
      <c r="A9746" t="s">
        <v>9</v>
      </c>
      <c r="B9746" t="s">
        <v>320</v>
      </c>
      <c r="C9746" t="s">
        <v>875</v>
      </c>
      <c r="D9746" t="s">
        <v>11</v>
      </c>
      <c r="E9746">
        <v>26</v>
      </c>
      <c r="F9746" s="2">
        <f>DATE(2026,IF(Tabla1[[#This Row],[Mes de Fecha]]="Septiembre",9,10),Tabla1[[#This Row],[Día de Fecha]])</f>
        <v>46291</v>
      </c>
      <c r="G9746">
        <v>1116830047</v>
      </c>
      <c r="H9746" t="s">
        <v>323</v>
      </c>
      <c r="I9746">
        <v>11</v>
      </c>
      <c r="J9746">
        <v>0</v>
      </c>
      <c r="K9746" s="1">
        <v>608698</v>
      </c>
    </row>
    <row r="9747" spans="1:11" x14ac:dyDescent="0.25">
      <c r="A9747" t="s">
        <v>9</v>
      </c>
      <c r="B9747" t="s">
        <v>320</v>
      </c>
      <c r="C9747" t="s">
        <v>875</v>
      </c>
      <c r="D9747" t="s">
        <v>11</v>
      </c>
      <c r="E9747">
        <v>27</v>
      </c>
      <c r="F9747" s="2">
        <f>DATE(2026,IF(Tabla1[[#This Row],[Mes de Fecha]]="Septiembre",9,10),Tabla1[[#This Row],[Día de Fecha]])</f>
        <v>46292</v>
      </c>
      <c r="I9747">
        <v>0</v>
      </c>
      <c r="J9747" s="1">
        <v>13147681</v>
      </c>
      <c r="K9747">
        <v>0</v>
      </c>
    </row>
    <row r="9748" spans="1:11" x14ac:dyDescent="0.25">
      <c r="A9748" t="s">
        <v>9</v>
      </c>
      <c r="B9748" t="s">
        <v>320</v>
      </c>
      <c r="C9748" t="s">
        <v>875</v>
      </c>
      <c r="D9748" t="s">
        <v>11</v>
      </c>
      <c r="E9748">
        <v>27</v>
      </c>
      <c r="F9748" s="2">
        <f>DATE(2026,IF(Tabla1[[#This Row],[Mes de Fecha]]="Septiembre",9,10),Tabla1[[#This Row],[Día de Fecha]])</f>
        <v>46292</v>
      </c>
      <c r="G9748">
        <v>1005372930</v>
      </c>
      <c r="H9748" t="s">
        <v>319</v>
      </c>
      <c r="I9748">
        <v>217</v>
      </c>
      <c r="J9748">
        <v>0</v>
      </c>
      <c r="K9748" s="1">
        <v>9905090</v>
      </c>
    </row>
    <row r="9749" spans="1:11" x14ac:dyDescent="0.25">
      <c r="A9749" t="s">
        <v>9</v>
      </c>
      <c r="B9749" t="s">
        <v>320</v>
      </c>
      <c r="C9749" t="s">
        <v>875</v>
      </c>
      <c r="D9749" t="s">
        <v>11</v>
      </c>
      <c r="E9749">
        <v>27</v>
      </c>
      <c r="F9749" s="2">
        <f>DATE(2026,IF(Tabla1[[#This Row],[Mes de Fecha]]="Septiembre",9,10),Tabla1[[#This Row],[Día de Fecha]])</f>
        <v>46292</v>
      </c>
      <c r="G9749">
        <v>1095796180</v>
      </c>
      <c r="H9749" t="s">
        <v>321</v>
      </c>
      <c r="I9749">
        <v>186</v>
      </c>
      <c r="J9749">
        <v>0</v>
      </c>
      <c r="K9749" s="1">
        <v>8626936</v>
      </c>
    </row>
    <row r="9750" spans="1:11" x14ac:dyDescent="0.25">
      <c r="A9750" t="s">
        <v>9</v>
      </c>
      <c r="B9750" t="s">
        <v>320</v>
      </c>
      <c r="C9750" t="s">
        <v>875</v>
      </c>
      <c r="D9750" t="s">
        <v>11</v>
      </c>
      <c r="E9750">
        <v>27</v>
      </c>
      <c r="F9750" s="2">
        <f>DATE(2026,IF(Tabla1[[#This Row],[Mes de Fecha]]="Septiembre",9,10),Tabla1[[#This Row],[Día de Fecha]])</f>
        <v>46292</v>
      </c>
      <c r="G9750">
        <v>1098756916</v>
      </c>
      <c r="H9750" t="s">
        <v>322</v>
      </c>
      <c r="I9750">
        <v>107</v>
      </c>
      <c r="J9750">
        <v>0</v>
      </c>
      <c r="K9750" s="1">
        <v>4820046</v>
      </c>
    </row>
    <row r="9751" spans="1:11" x14ac:dyDescent="0.25">
      <c r="A9751" t="s">
        <v>9</v>
      </c>
      <c r="B9751" t="s">
        <v>320</v>
      </c>
      <c r="C9751" t="s">
        <v>875</v>
      </c>
      <c r="D9751" t="s">
        <v>11</v>
      </c>
      <c r="E9751">
        <v>28</v>
      </c>
      <c r="F9751" s="2">
        <f>DATE(2026,IF(Tabla1[[#This Row],[Mes de Fecha]]="Septiembre",9,10),Tabla1[[#This Row],[Día de Fecha]])</f>
        <v>46293</v>
      </c>
      <c r="I9751">
        <v>0</v>
      </c>
      <c r="J9751" s="1">
        <v>10779667</v>
      </c>
      <c r="K9751">
        <v>0</v>
      </c>
    </row>
    <row r="9752" spans="1:11" x14ac:dyDescent="0.25">
      <c r="A9752" t="s">
        <v>9</v>
      </c>
      <c r="B9752" t="s">
        <v>320</v>
      </c>
      <c r="C9752" t="s">
        <v>875</v>
      </c>
      <c r="D9752" t="s">
        <v>11</v>
      </c>
      <c r="E9752">
        <v>28</v>
      </c>
      <c r="F9752" s="2">
        <f>DATE(2026,IF(Tabla1[[#This Row],[Mes de Fecha]]="Septiembre",9,10),Tabla1[[#This Row],[Día de Fecha]])</f>
        <v>46293</v>
      </c>
      <c r="G9752">
        <v>1005372930</v>
      </c>
      <c r="H9752" t="s">
        <v>319</v>
      </c>
      <c r="I9752">
        <v>38</v>
      </c>
      <c r="J9752">
        <v>0</v>
      </c>
      <c r="K9752" s="1">
        <v>1598994</v>
      </c>
    </row>
    <row r="9753" spans="1:11" x14ac:dyDescent="0.25">
      <c r="A9753" t="s">
        <v>9</v>
      </c>
      <c r="B9753" t="s">
        <v>320</v>
      </c>
      <c r="C9753" t="s">
        <v>875</v>
      </c>
      <c r="D9753" t="s">
        <v>11</v>
      </c>
      <c r="E9753">
        <v>28</v>
      </c>
      <c r="F9753" s="2">
        <f>DATE(2026,IF(Tabla1[[#This Row],[Mes de Fecha]]="Septiembre",9,10),Tabla1[[#This Row],[Día de Fecha]])</f>
        <v>46293</v>
      </c>
      <c r="G9753">
        <v>1095796180</v>
      </c>
      <c r="H9753" t="s">
        <v>321</v>
      </c>
      <c r="I9753">
        <v>53</v>
      </c>
      <c r="J9753">
        <v>0</v>
      </c>
      <c r="K9753" s="1">
        <v>2686177</v>
      </c>
    </row>
    <row r="9754" spans="1:11" x14ac:dyDescent="0.25">
      <c r="A9754" t="s">
        <v>9</v>
      </c>
      <c r="B9754" t="s">
        <v>320</v>
      </c>
      <c r="C9754" t="s">
        <v>875</v>
      </c>
      <c r="D9754" t="s">
        <v>11</v>
      </c>
      <c r="E9754">
        <v>28</v>
      </c>
      <c r="F9754" s="2">
        <f>DATE(2026,IF(Tabla1[[#This Row],[Mes de Fecha]]="Septiembre",9,10),Tabla1[[#This Row],[Día de Fecha]])</f>
        <v>46293</v>
      </c>
      <c r="G9754">
        <v>1098756916</v>
      </c>
      <c r="H9754" t="s">
        <v>322</v>
      </c>
      <c r="I9754">
        <v>18</v>
      </c>
      <c r="J9754">
        <v>0</v>
      </c>
      <c r="K9754" s="1">
        <v>877227</v>
      </c>
    </row>
    <row r="9755" spans="1:11" x14ac:dyDescent="0.25">
      <c r="A9755" t="s">
        <v>9</v>
      </c>
      <c r="B9755" t="s">
        <v>320</v>
      </c>
      <c r="C9755" t="s">
        <v>875</v>
      </c>
      <c r="D9755" t="s">
        <v>11</v>
      </c>
      <c r="E9755">
        <v>29</v>
      </c>
      <c r="F9755" s="2">
        <f>DATE(2026,IF(Tabla1[[#This Row],[Mes de Fecha]]="Septiembre",9,10),Tabla1[[#This Row],[Día de Fecha]])</f>
        <v>46294</v>
      </c>
      <c r="I9755">
        <v>0</v>
      </c>
      <c r="J9755" s="1">
        <v>11983801</v>
      </c>
      <c r="K9755">
        <v>0</v>
      </c>
    </row>
    <row r="9756" spans="1:11" x14ac:dyDescent="0.25">
      <c r="A9756" t="s">
        <v>9</v>
      </c>
      <c r="B9756" t="s">
        <v>320</v>
      </c>
      <c r="C9756" t="s">
        <v>875</v>
      </c>
      <c r="D9756" t="s">
        <v>11</v>
      </c>
      <c r="E9756">
        <v>29</v>
      </c>
      <c r="F9756" s="2">
        <f>DATE(2026,IF(Tabla1[[#This Row],[Mes de Fecha]]="Septiembre",9,10),Tabla1[[#This Row],[Día de Fecha]])</f>
        <v>46294</v>
      </c>
      <c r="G9756">
        <v>1005372930</v>
      </c>
      <c r="H9756" t="s">
        <v>319</v>
      </c>
      <c r="I9756">
        <v>97</v>
      </c>
      <c r="J9756">
        <v>0</v>
      </c>
      <c r="K9756" s="1">
        <v>3727017</v>
      </c>
    </row>
    <row r="9757" spans="1:11" x14ac:dyDescent="0.25">
      <c r="A9757" t="s">
        <v>9</v>
      </c>
      <c r="B9757" t="s">
        <v>320</v>
      </c>
      <c r="C9757" t="s">
        <v>875</v>
      </c>
      <c r="D9757" t="s">
        <v>11</v>
      </c>
      <c r="E9757">
        <v>29</v>
      </c>
      <c r="F9757" s="2">
        <f>DATE(2026,IF(Tabla1[[#This Row],[Mes de Fecha]]="Septiembre",9,10),Tabla1[[#This Row],[Día de Fecha]])</f>
        <v>46294</v>
      </c>
      <c r="G9757">
        <v>1095796180</v>
      </c>
      <c r="H9757" t="s">
        <v>321</v>
      </c>
      <c r="I9757">
        <v>116</v>
      </c>
      <c r="J9757">
        <v>0</v>
      </c>
      <c r="K9757" s="1">
        <v>4130924</v>
      </c>
    </row>
    <row r="9758" spans="1:11" x14ac:dyDescent="0.25">
      <c r="A9758" t="s">
        <v>9</v>
      </c>
      <c r="B9758" t="s">
        <v>320</v>
      </c>
      <c r="C9758" t="s">
        <v>875</v>
      </c>
      <c r="D9758" t="s">
        <v>11</v>
      </c>
      <c r="E9758">
        <v>29</v>
      </c>
      <c r="F9758" s="2">
        <f>DATE(2026,IF(Tabla1[[#This Row],[Mes de Fecha]]="Septiembre",9,10),Tabla1[[#This Row],[Día de Fecha]])</f>
        <v>46294</v>
      </c>
      <c r="G9758">
        <v>1098756916</v>
      </c>
      <c r="H9758" t="s">
        <v>322</v>
      </c>
      <c r="I9758">
        <v>11</v>
      </c>
      <c r="J9758">
        <v>0</v>
      </c>
      <c r="K9758" s="1">
        <v>356555</v>
      </c>
    </row>
    <row r="9759" spans="1:11" x14ac:dyDescent="0.25">
      <c r="A9759" t="s">
        <v>9</v>
      </c>
      <c r="B9759" t="s">
        <v>320</v>
      </c>
      <c r="C9759" t="s">
        <v>875</v>
      </c>
      <c r="D9759" t="s">
        <v>11</v>
      </c>
      <c r="E9759">
        <v>30</v>
      </c>
      <c r="F9759" s="2">
        <f>DATE(2026,IF(Tabla1[[#This Row],[Mes de Fecha]]="Septiembre",9,10),Tabla1[[#This Row],[Día de Fecha]])</f>
        <v>46295</v>
      </c>
      <c r="I9759">
        <v>0</v>
      </c>
      <c r="J9759" s="1">
        <v>12691226</v>
      </c>
      <c r="K9759">
        <v>0</v>
      </c>
    </row>
    <row r="9760" spans="1:11" x14ac:dyDescent="0.25">
      <c r="A9760" t="s">
        <v>9</v>
      </c>
      <c r="B9760" t="s">
        <v>320</v>
      </c>
      <c r="C9760" t="s">
        <v>875</v>
      </c>
      <c r="D9760" t="s">
        <v>11</v>
      </c>
      <c r="E9760">
        <v>30</v>
      </c>
      <c r="F9760" s="2">
        <f>DATE(2026,IF(Tabla1[[#This Row],[Mes de Fecha]]="Septiembre",9,10),Tabla1[[#This Row],[Día de Fecha]])</f>
        <v>46295</v>
      </c>
      <c r="G9760">
        <v>1005372930</v>
      </c>
      <c r="H9760" t="s">
        <v>319</v>
      </c>
      <c r="I9760">
        <v>166</v>
      </c>
      <c r="J9760">
        <v>0</v>
      </c>
      <c r="K9760" s="1">
        <v>5841935</v>
      </c>
    </row>
    <row r="9761" spans="1:11" x14ac:dyDescent="0.25">
      <c r="A9761" t="s">
        <v>9</v>
      </c>
      <c r="B9761" t="s">
        <v>320</v>
      </c>
      <c r="C9761" t="s">
        <v>875</v>
      </c>
      <c r="D9761" t="s">
        <v>11</v>
      </c>
      <c r="E9761">
        <v>30</v>
      </c>
      <c r="F9761" s="2">
        <f>DATE(2026,IF(Tabla1[[#This Row],[Mes de Fecha]]="Septiembre",9,10),Tabla1[[#This Row],[Día de Fecha]])</f>
        <v>46295</v>
      </c>
      <c r="G9761">
        <v>1095796180</v>
      </c>
      <c r="H9761" t="s">
        <v>321</v>
      </c>
      <c r="I9761">
        <v>140</v>
      </c>
      <c r="J9761">
        <v>0</v>
      </c>
      <c r="K9761" s="1">
        <v>4940882</v>
      </c>
    </row>
    <row r="9762" spans="1:11" x14ac:dyDescent="0.25">
      <c r="A9762" t="s">
        <v>9</v>
      </c>
      <c r="B9762" t="s">
        <v>320</v>
      </c>
      <c r="C9762" t="s">
        <v>875</v>
      </c>
      <c r="D9762" t="s">
        <v>11</v>
      </c>
      <c r="E9762">
        <v>30</v>
      </c>
      <c r="F9762" s="2">
        <f>DATE(2026,IF(Tabla1[[#This Row],[Mes de Fecha]]="Septiembre",9,10),Tabla1[[#This Row],[Día de Fecha]])</f>
        <v>46295</v>
      </c>
      <c r="G9762">
        <v>1098756916</v>
      </c>
      <c r="H9762" t="s">
        <v>322</v>
      </c>
      <c r="I9762">
        <v>5</v>
      </c>
      <c r="J9762">
        <v>0</v>
      </c>
      <c r="K9762" s="1">
        <v>151008</v>
      </c>
    </row>
    <row r="9763" spans="1:11" x14ac:dyDescent="0.25">
      <c r="A9763" t="s">
        <v>9</v>
      </c>
      <c r="B9763" t="s">
        <v>320</v>
      </c>
      <c r="C9763" t="s">
        <v>875</v>
      </c>
      <c r="D9763" t="s">
        <v>14</v>
      </c>
      <c r="E9763">
        <v>1</v>
      </c>
      <c r="F9763" s="2">
        <f>DATE(2026,IF(Tabla1[[#This Row],[Mes de Fecha]]="Septiembre",9,10),Tabla1[[#This Row],[Día de Fecha]])</f>
        <v>46296</v>
      </c>
      <c r="I9763">
        <v>0</v>
      </c>
      <c r="J9763" s="1">
        <v>7174240</v>
      </c>
      <c r="K9763">
        <v>0</v>
      </c>
    </row>
    <row r="9764" spans="1:11" x14ac:dyDescent="0.25">
      <c r="A9764" t="s">
        <v>9</v>
      </c>
      <c r="B9764" t="s">
        <v>320</v>
      </c>
      <c r="C9764" t="s">
        <v>875</v>
      </c>
      <c r="D9764" t="s">
        <v>14</v>
      </c>
      <c r="E9764">
        <v>1</v>
      </c>
      <c r="F9764" s="2">
        <f>DATE(2026,IF(Tabla1[[#This Row],[Mes de Fecha]]="Septiembre",9,10),Tabla1[[#This Row],[Día de Fecha]])</f>
        <v>46296</v>
      </c>
      <c r="G9764">
        <v>1005372930</v>
      </c>
      <c r="H9764" t="s">
        <v>319</v>
      </c>
      <c r="I9764">
        <v>119</v>
      </c>
      <c r="J9764">
        <v>0</v>
      </c>
      <c r="K9764" s="1">
        <v>4757481</v>
      </c>
    </row>
    <row r="9765" spans="1:11" x14ac:dyDescent="0.25">
      <c r="A9765" t="s">
        <v>9</v>
      </c>
      <c r="B9765" t="s">
        <v>320</v>
      </c>
      <c r="C9765" t="s">
        <v>875</v>
      </c>
      <c r="D9765" t="s">
        <v>14</v>
      </c>
      <c r="E9765">
        <v>1</v>
      </c>
      <c r="F9765" s="2">
        <f>DATE(2026,IF(Tabla1[[#This Row],[Mes de Fecha]]="Septiembre",9,10),Tabla1[[#This Row],[Día de Fecha]])</f>
        <v>46296</v>
      </c>
      <c r="G9765">
        <v>1095796180</v>
      </c>
      <c r="H9765" t="s">
        <v>321</v>
      </c>
      <c r="I9765">
        <v>102</v>
      </c>
      <c r="J9765">
        <v>0</v>
      </c>
      <c r="K9765" s="1">
        <v>3690588</v>
      </c>
    </row>
    <row r="9766" spans="1:11" x14ac:dyDescent="0.25">
      <c r="A9766" t="s">
        <v>9</v>
      </c>
      <c r="B9766" t="s">
        <v>320</v>
      </c>
      <c r="C9766" t="s">
        <v>875</v>
      </c>
      <c r="D9766" t="s">
        <v>14</v>
      </c>
      <c r="E9766">
        <v>1</v>
      </c>
      <c r="F9766" s="2">
        <f>DATE(2026,IF(Tabla1[[#This Row],[Mes de Fecha]]="Septiembre",9,10),Tabla1[[#This Row],[Día de Fecha]])</f>
        <v>46296</v>
      </c>
      <c r="G9766">
        <v>1098756916</v>
      </c>
      <c r="H9766" t="s">
        <v>322</v>
      </c>
      <c r="I9766">
        <v>7</v>
      </c>
      <c r="J9766">
        <v>0</v>
      </c>
      <c r="K9766" s="1">
        <v>201219</v>
      </c>
    </row>
    <row r="9767" spans="1:11" x14ac:dyDescent="0.25">
      <c r="A9767" t="s">
        <v>9</v>
      </c>
      <c r="B9767" t="s">
        <v>320</v>
      </c>
      <c r="C9767" t="s">
        <v>875</v>
      </c>
      <c r="D9767" t="s">
        <v>14</v>
      </c>
      <c r="E9767">
        <v>2</v>
      </c>
      <c r="F9767" s="2">
        <f>DATE(2026,IF(Tabla1[[#This Row],[Mes de Fecha]]="Septiembre",9,10),Tabla1[[#This Row],[Día de Fecha]])</f>
        <v>46297</v>
      </c>
      <c r="I9767">
        <v>0</v>
      </c>
      <c r="J9767" s="1">
        <v>12752770</v>
      </c>
      <c r="K9767">
        <v>0</v>
      </c>
    </row>
    <row r="9768" spans="1:11" x14ac:dyDescent="0.25">
      <c r="A9768" t="s">
        <v>9</v>
      </c>
      <c r="B9768" t="s">
        <v>320</v>
      </c>
      <c r="C9768" t="s">
        <v>875</v>
      </c>
      <c r="D9768" t="s">
        <v>14</v>
      </c>
      <c r="E9768">
        <v>2</v>
      </c>
      <c r="F9768" s="2">
        <f>DATE(2026,IF(Tabla1[[#This Row],[Mes de Fecha]]="Septiembre",9,10),Tabla1[[#This Row],[Día de Fecha]])</f>
        <v>46297</v>
      </c>
      <c r="G9768">
        <v>1005372930</v>
      </c>
      <c r="H9768" t="s">
        <v>319</v>
      </c>
      <c r="I9768">
        <v>109</v>
      </c>
      <c r="J9768">
        <v>0</v>
      </c>
      <c r="K9768" s="1">
        <v>4613359</v>
      </c>
    </row>
    <row r="9769" spans="1:11" x14ac:dyDescent="0.25">
      <c r="A9769" t="s">
        <v>9</v>
      </c>
      <c r="B9769" t="s">
        <v>320</v>
      </c>
      <c r="C9769" t="s">
        <v>875</v>
      </c>
      <c r="D9769" t="s">
        <v>14</v>
      </c>
      <c r="E9769">
        <v>2</v>
      </c>
      <c r="F9769" s="2">
        <f>DATE(2026,IF(Tabla1[[#This Row],[Mes de Fecha]]="Septiembre",9,10),Tabla1[[#This Row],[Día de Fecha]])</f>
        <v>46297</v>
      </c>
      <c r="G9769">
        <v>1098756916</v>
      </c>
      <c r="H9769" t="s">
        <v>322</v>
      </c>
      <c r="I9769">
        <v>69</v>
      </c>
      <c r="J9769">
        <v>0</v>
      </c>
      <c r="K9769" s="1">
        <v>2546260</v>
      </c>
    </row>
    <row r="9770" spans="1:11" x14ac:dyDescent="0.25">
      <c r="A9770" t="s">
        <v>9</v>
      </c>
      <c r="B9770" t="s">
        <v>320</v>
      </c>
      <c r="C9770" t="s">
        <v>875</v>
      </c>
      <c r="D9770" t="s">
        <v>14</v>
      </c>
      <c r="E9770">
        <v>3</v>
      </c>
      <c r="F9770" s="2">
        <f>DATE(2026,IF(Tabla1[[#This Row],[Mes de Fecha]]="Septiembre",9,10),Tabla1[[#This Row],[Día de Fecha]])</f>
        <v>46298</v>
      </c>
      <c r="I9770">
        <v>0</v>
      </c>
      <c r="J9770" s="1">
        <v>23457089</v>
      </c>
      <c r="K9770">
        <v>0</v>
      </c>
    </row>
    <row r="9771" spans="1:11" x14ac:dyDescent="0.25">
      <c r="A9771" t="s">
        <v>9</v>
      </c>
      <c r="B9771" t="s">
        <v>320</v>
      </c>
      <c r="C9771" t="s">
        <v>875</v>
      </c>
      <c r="D9771" t="s">
        <v>14</v>
      </c>
      <c r="E9771">
        <v>3</v>
      </c>
      <c r="F9771" s="2">
        <f>DATE(2026,IF(Tabla1[[#This Row],[Mes de Fecha]]="Septiembre",9,10),Tabla1[[#This Row],[Día de Fecha]])</f>
        <v>46298</v>
      </c>
      <c r="G9771">
        <v>1005372930</v>
      </c>
      <c r="H9771" t="s">
        <v>319</v>
      </c>
      <c r="I9771">
        <v>192</v>
      </c>
      <c r="J9771">
        <v>0</v>
      </c>
      <c r="K9771" s="1">
        <v>8660247</v>
      </c>
    </row>
    <row r="9772" spans="1:11" x14ac:dyDescent="0.25">
      <c r="A9772" t="s">
        <v>9</v>
      </c>
      <c r="B9772" t="s">
        <v>320</v>
      </c>
      <c r="C9772" t="s">
        <v>875</v>
      </c>
      <c r="D9772" t="s">
        <v>14</v>
      </c>
      <c r="E9772">
        <v>3</v>
      </c>
      <c r="F9772" s="2">
        <f>DATE(2026,IF(Tabla1[[#This Row],[Mes de Fecha]]="Septiembre",9,10),Tabla1[[#This Row],[Día de Fecha]])</f>
        <v>46298</v>
      </c>
      <c r="G9772">
        <v>1095796180</v>
      </c>
      <c r="H9772" t="s">
        <v>321</v>
      </c>
      <c r="I9772">
        <v>189</v>
      </c>
      <c r="J9772">
        <v>0</v>
      </c>
      <c r="K9772" s="1">
        <v>7949193</v>
      </c>
    </row>
    <row r="9773" spans="1:11" x14ac:dyDescent="0.25">
      <c r="A9773" t="s">
        <v>9</v>
      </c>
      <c r="B9773" t="s">
        <v>320</v>
      </c>
      <c r="C9773" t="s">
        <v>875</v>
      </c>
      <c r="D9773" t="s">
        <v>14</v>
      </c>
      <c r="E9773">
        <v>3</v>
      </c>
      <c r="F9773" s="2">
        <f>DATE(2026,IF(Tabla1[[#This Row],[Mes de Fecha]]="Septiembre",9,10),Tabla1[[#This Row],[Día de Fecha]])</f>
        <v>46298</v>
      </c>
      <c r="G9773">
        <v>1098756916</v>
      </c>
      <c r="H9773" t="s">
        <v>322</v>
      </c>
      <c r="I9773">
        <v>155</v>
      </c>
      <c r="J9773">
        <v>0</v>
      </c>
      <c r="K9773" s="1">
        <v>5793918</v>
      </c>
    </row>
    <row r="9774" spans="1:11" x14ac:dyDescent="0.25">
      <c r="A9774" t="s">
        <v>9</v>
      </c>
      <c r="B9774" t="s">
        <v>320</v>
      </c>
      <c r="C9774" t="s">
        <v>875</v>
      </c>
      <c r="D9774" t="s">
        <v>14</v>
      </c>
      <c r="E9774">
        <v>4</v>
      </c>
      <c r="F9774" s="2">
        <f>DATE(2026,IF(Tabla1[[#This Row],[Mes de Fecha]]="Septiembre",9,10),Tabla1[[#This Row],[Día de Fecha]])</f>
        <v>46299</v>
      </c>
      <c r="I9774">
        <v>0</v>
      </c>
      <c r="J9774" s="1">
        <v>26472495</v>
      </c>
      <c r="K9774">
        <v>0</v>
      </c>
    </row>
    <row r="9775" spans="1:11" x14ac:dyDescent="0.25">
      <c r="A9775" t="s">
        <v>9</v>
      </c>
      <c r="B9775" t="s">
        <v>320</v>
      </c>
      <c r="C9775" t="s">
        <v>875</v>
      </c>
      <c r="D9775" t="s">
        <v>14</v>
      </c>
      <c r="E9775">
        <v>4</v>
      </c>
      <c r="F9775" s="2">
        <f>DATE(2026,IF(Tabla1[[#This Row],[Mes de Fecha]]="Septiembre",9,10),Tabla1[[#This Row],[Día de Fecha]])</f>
        <v>46299</v>
      </c>
      <c r="G9775">
        <v>1005372930</v>
      </c>
      <c r="H9775" t="s">
        <v>319</v>
      </c>
      <c r="I9775">
        <v>202</v>
      </c>
      <c r="J9775">
        <v>0</v>
      </c>
      <c r="K9775" s="1">
        <v>9392697</v>
      </c>
    </row>
    <row r="9776" spans="1:11" x14ac:dyDescent="0.25">
      <c r="A9776" t="s">
        <v>9</v>
      </c>
      <c r="B9776" t="s">
        <v>320</v>
      </c>
      <c r="C9776" t="s">
        <v>875</v>
      </c>
      <c r="D9776" t="s">
        <v>14</v>
      </c>
      <c r="E9776">
        <v>4</v>
      </c>
      <c r="F9776" s="2">
        <f>DATE(2026,IF(Tabla1[[#This Row],[Mes de Fecha]]="Septiembre",9,10),Tabla1[[#This Row],[Día de Fecha]])</f>
        <v>46299</v>
      </c>
      <c r="G9776">
        <v>1095796180</v>
      </c>
      <c r="H9776" t="s">
        <v>321</v>
      </c>
      <c r="I9776">
        <v>216</v>
      </c>
      <c r="J9776">
        <v>0</v>
      </c>
      <c r="K9776" s="1">
        <v>9505296</v>
      </c>
    </row>
    <row r="9777" spans="1:11" x14ac:dyDescent="0.25">
      <c r="A9777" t="s">
        <v>9</v>
      </c>
      <c r="B9777" t="s">
        <v>320</v>
      </c>
      <c r="C9777" t="s">
        <v>875</v>
      </c>
      <c r="D9777" t="s">
        <v>14</v>
      </c>
      <c r="E9777">
        <v>4</v>
      </c>
      <c r="F9777" s="2">
        <f>DATE(2026,IF(Tabla1[[#This Row],[Mes de Fecha]]="Septiembre",9,10),Tabla1[[#This Row],[Día de Fecha]])</f>
        <v>46299</v>
      </c>
      <c r="G9777">
        <v>1098756916</v>
      </c>
      <c r="H9777" t="s">
        <v>322</v>
      </c>
      <c r="I9777">
        <v>103</v>
      </c>
      <c r="J9777">
        <v>0</v>
      </c>
      <c r="K9777" s="1">
        <v>3927060</v>
      </c>
    </row>
    <row r="9778" spans="1:11" x14ac:dyDescent="0.25">
      <c r="A9778" t="s">
        <v>9</v>
      </c>
      <c r="B9778" t="s">
        <v>320</v>
      </c>
      <c r="C9778" t="s">
        <v>875</v>
      </c>
      <c r="D9778" t="s">
        <v>14</v>
      </c>
      <c r="E9778">
        <v>5</v>
      </c>
      <c r="F9778" s="2">
        <f>DATE(2026,IF(Tabla1[[#This Row],[Mes de Fecha]]="Septiembre",9,10),Tabla1[[#This Row],[Día de Fecha]])</f>
        <v>46300</v>
      </c>
      <c r="I9778">
        <v>0</v>
      </c>
      <c r="J9778" s="1">
        <v>9514950</v>
      </c>
      <c r="K9778">
        <v>0</v>
      </c>
    </row>
    <row r="9779" spans="1:11" x14ac:dyDescent="0.25">
      <c r="A9779" t="s">
        <v>9</v>
      </c>
      <c r="B9779" t="s">
        <v>320</v>
      </c>
      <c r="C9779" t="s">
        <v>875</v>
      </c>
      <c r="D9779" t="s">
        <v>14</v>
      </c>
      <c r="E9779">
        <v>5</v>
      </c>
      <c r="F9779" s="2">
        <f>DATE(2026,IF(Tabla1[[#This Row],[Mes de Fecha]]="Septiembre",9,10),Tabla1[[#This Row],[Día de Fecha]])</f>
        <v>46300</v>
      </c>
      <c r="G9779">
        <v>1005372930</v>
      </c>
      <c r="H9779" t="s">
        <v>319</v>
      </c>
      <c r="I9779">
        <v>35</v>
      </c>
      <c r="J9779">
        <v>0</v>
      </c>
      <c r="K9779" s="1">
        <v>1523238</v>
      </c>
    </row>
    <row r="9780" spans="1:11" x14ac:dyDescent="0.25">
      <c r="A9780" t="s">
        <v>9</v>
      </c>
      <c r="B9780" t="s">
        <v>320</v>
      </c>
      <c r="C9780" t="s">
        <v>875</v>
      </c>
      <c r="D9780" t="s">
        <v>14</v>
      </c>
      <c r="E9780">
        <v>5</v>
      </c>
      <c r="F9780" s="2">
        <f>DATE(2026,IF(Tabla1[[#This Row],[Mes de Fecha]]="Septiembre",9,10),Tabla1[[#This Row],[Día de Fecha]])</f>
        <v>46300</v>
      </c>
      <c r="G9780">
        <v>1095796180</v>
      </c>
      <c r="H9780" t="s">
        <v>321</v>
      </c>
      <c r="I9780">
        <v>55</v>
      </c>
      <c r="J9780">
        <v>0</v>
      </c>
      <c r="K9780" s="1">
        <v>2539372</v>
      </c>
    </row>
    <row r="9781" spans="1:11" x14ac:dyDescent="0.25">
      <c r="A9781" t="s">
        <v>9</v>
      </c>
      <c r="B9781" t="s">
        <v>320</v>
      </c>
      <c r="C9781" t="s">
        <v>875</v>
      </c>
      <c r="D9781" t="s">
        <v>14</v>
      </c>
      <c r="E9781">
        <v>5</v>
      </c>
      <c r="F9781" s="2">
        <f>DATE(2026,IF(Tabla1[[#This Row],[Mes de Fecha]]="Septiembre",9,10),Tabla1[[#This Row],[Día de Fecha]])</f>
        <v>46300</v>
      </c>
      <c r="G9781">
        <v>1098756916</v>
      </c>
      <c r="H9781" t="s">
        <v>322</v>
      </c>
      <c r="I9781">
        <v>2</v>
      </c>
      <c r="J9781">
        <v>0</v>
      </c>
      <c r="K9781" s="1">
        <v>75462</v>
      </c>
    </row>
    <row r="9782" spans="1:11" x14ac:dyDescent="0.25">
      <c r="A9782" t="s">
        <v>9</v>
      </c>
      <c r="B9782" t="s">
        <v>320</v>
      </c>
      <c r="C9782" t="s">
        <v>875</v>
      </c>
      <c r="D9782" t="s">
        <v>14</v>
      </c>
      <c r="E9782">
        <v>6</v>
      </c>
      <c r="F9782" s="2">
        <f>DATE(2026,IF(Tabla1[[#This Row],[Mes de Fecha]]="Septiembre",9,10),Tabla1[[#This Row],[Día de Fecha]])</f>
        <v>46301</v>
      </c>
      <c r="I9782">
        <v>0</v>
      </c>
      <c r="J9782" s="1">
        <v>2711039</v>
      </c>
      <c r="K9782">
        <v>0</v>
      </c>
    </row>
    <row r="9783" spans="1:11" x14ac:dyDescent="0.25">
      <c r="A9783" t="s">
        <v>9</v>
      </c>
      <c r="B9783" t="s">
        <v>320</v>
      </c>
      <c r="C9783" t="s">
        <v>875</v>
      </c>
      <c r="D9783" t="s">
        <v>14</v>
      </c>
      <c r="E9783">
        <v>6</v>
      </c>
      <c r="F9783" s="2">
        <f>DATE(2026,IF(Tabla1[[#This Row],[Mes de Fecha]]="Septiembre",9,10),Tabla1[[#This Row],[Día de Fecha]])</f>
        <v>46301</v>
      </c>
      <c r="G9783">
        <v>1005372930</v>
      </c>
      <c r="H9783" t="s">
        <v>319</v>
      </c>
      <c r="I9783">
        <v>59</v>
      </c>
      <c r="J9783">
        <v>0</v>
      </c>
      <c r="K9783" s="1">
        <v>2632260</v>
      </c>
    </row>
    <row r="9784" spans="1:11" x14ac:dyDescent="0.25">
      <c r="A9784" t="s">
        <v>9</v>
      </c>
      <c r="B9784" t="s">
        <v>320</v>
      </c>
      <c r="C9784" t="s">
        <v>875</v>
      </c>
      <c r="D9784" t="s">
        <v>14</v>
      </c>
      <c r="E9784">
        <v>6</v>
      </c>
      <c r="F9784" s="2">
        <f>DATE(2026,IF(Tabla1[[#This Row],[Mes de Fecha]]="Septiembre",9,10),Tabla1[[#This Row],[Día de Fecha]])</f>
        <v>46301</v>
      </c>
      <c r="G9784">
        <v>1095796180</v>
      </c>
      <c r="H9784" t="s">
        <v>321</v>
      </c>
      <c r="I9784">
        <v>61</v>
      </c>
      <c r="J9784">
        <v>0</v>
      </c>
      <c r="K9784" s="1">
        <v>2610421</v>
      </c>
    </row>
    <row r="9785" spans="1:11" x14ac:dyDescent="0.25">
      <c r="A9785" t="s">
        <v>9</v>
      </c>
      <c r="B9785" t="s">
        <v>320</v>
      </c>
      <c r="C9785" t="s">
        <v>875</v>
      </c>
      <c r="D9785" t="s">
        <v>14</v>
      </c>
      <c r="E9785">
        <v>7</v>
      </c>
      <c r="F9785" s="2">
        <f>DATE(2026,IF(Tabla1[[#This Row],[Mes de Fecha]]="Septiembre",9,10),Tabla1[[#This Row],[Día de Fecha]])</f>
        <v>46302</v>
      </c>
      <c r="I9785">
        <v>0</v>
      </c>
      <c r="J9785" s="1">
        <v>2333858</v>
      </c>
      <c r="K9785">
        <v>0</v>
      </c>
    </row>
    <row r="9786" spans="1:11" x14ac:dyDescent="0.25">
      <c r="A9786" t="s">
        <v>9</v>
      </c>
      <c r="B9786" t="s">
        <v>320</v>
      </c>
      <c r="C9786" t="s">
        <v>875</v>
      </c>
      <c r="D9786" t="s">
        <v>14</v>
      </c>
      <c r="E9786">
        <v>7</v>
      </c>
      <c r="F9786" s="2">
        <f>DATE(2026,IF(Tabla1[[#This Row],[Mes de Fecha]]="Septiembre",9,10),Tabla1[[#This Row],[Día de Fecha]])</f>
        <v>46302</v>
      </c>
      <c r="G9786">
        <v>1005372930</v>
      </c>
      <c r="H9786" t="s">
        <v>319</v>
      </c>
      <c r="I9786">
        <v>72</v>
      </c>
      <c r="J9786">
        <v>0</v>
      </c>
      <c r="K9786" s="1">
        <v>3503397</v>
      </c>
    </row>
    <row r="9787" spans="1:11" x14ac:dyDescent="0.25">
      <c r="A9787" t="s">
        <v>9</v>
      </c>
      <c r="B9787" t="s">
        <v>320</v>
      </c>
      <c r="C9787" t="s">
        <v>875</v>
      </c>
      <c r="D9787" t="s">
        <v>14</v>
      </c>
      <c r="E9787">
        <v>7</v>
      </c>
      <c r="F9787" s="2">
        <f>DATE(2026,IF(Tabla1[[#This Row],[Mes de Fecha]]="Septiembre",9,10),Tabla1[[#This Row],[Día de Fecha]])</f>
        <v>46302</v>
      </c>
      <c r="G9787">
        <v>1095796180</v>
      </c>
      <c r="H9787" t="s">
        <v>321</v>
      </c>
      <c r="I9787">
        <v>81</v>
      </c>
      <c r="J9787">
        <v>0</v>
      </c>
      <c r="K9787" s="1">
        <v>3676762</v>
      </c>
    </row>
    <row r="9788" spans="1:11" x14ac:dyDescent="0.25">
      <c r="A9788" t="s">
        <v>9</v>
      </c>
      <c r="B9788" t="s">
        <v>324</v>
      </c>
      <c r="C9788" t="s">
        <v>875</v>
      </c>
      <c r="D9788" t="s">
        <v>11</v>
      </c>
      <c r="E9788">
        <v>23</v>
      </c>
      <c r="F9788" s="2">
        <f>DATE(2026,IF(Tabla1[[#This Row],[Mes de Fecha]]="Septiembre",9,10),Tabla1[[#This Row],[Día de Fecha]])</f>
        <v>46288</v>
      </c>
      <c r="I9788">
        <v>0</v>
      </c>
      <c r="J9788" s="1">
        <v>2248928</v>
      </c>
      <c r="K9788">
        <v>0</v>
      </c>
    </row>
    <row r="9789" spans="1:11" x14ac:dyDescent="0.25">
      <c r="A9789" t="s">
        <v>9</v>
      </c>
      <c r="B9789" t="s">
        <v>324</v>
      </c>
      <c r="C9789" t="s">
        <v>875</v>
      </c>
      <c r="D9789" t="s">
        <v>11</v>
      </c>
      <c r="E9789">
        <v>23</v>
      </c>
      <c r="F9789" s="2">
        <f>DATE(2026,IF(Tabla1[[#This Row],[Mes de Fecha]]="Septiembre",9,10),Tabla1[[#This Row],[Día de Fecha]])</f>
        <v>46288</v>
      </c>
      <c r="G9789">
        <v>63365763</v>
      </c>
      <c r="H9789" t="s">
        <v>316</v>
      </c>
      <c r="I9789">
        <v>24</v>
      </c>
      <c r="J9789">
        <v>0</v>
      </c>
      <c r="K9789" s="1">
        <v>1440127</v>
      </c>
    </row>
    <row r="9790" spans="1:11" x14ac:dyDescent="0.25">
      <c r="A9790" t="s">
        <v>9</v>
      </c>
      <c r="B9790" t="s">
        <v>324</v>
      </c>
      <c r="C9790" t="s">
        <v>875</v>
      </c>
      <c r="D9790" t="s">
        <v>11</v>
      </c>
      <c r="E9790">
        <v>23</v>
      </c>
      <c r="F9790" s="2">
        <f>DATE(2026,IF(Tabla1[[#This Row],[Mes de Fecha]]="Septiembre",9,10),Tabla1[[#This Row],[Día de Fecha]])</f>
        <v>46288</v>
      </c>
      <c r="G9790">
        <v>1064789363</v>
      </c>
      <c r="H9790" t="s">
        <v>325</v>
      </c>
      <c r="I9790">
        <v>9</v>
      </c>
      <c r="J9790">
        <v>0</v>
      </c>
      <c r="K9790" s="1">
        <v>432395</v>
      </c>
    </row>
    <row r="9791" spans="1:11" x14ac:dyDescent="0.25">
      <c r="A9791" t="s">
        <v>9</v>
      </c>
      <c r="B9791" t="s">
        <v>324</v>
      </c>
      <c r="C9791" t="s">
        <v>875</v>
      </c>
      <c r="D9791" t="s">
        <v>11</v>
      </c>
      <c r="E9791">
        <v>23</v>
      </c>
      <c r="F9791" s="2">
        <f>DATE(2026,IF(Tabla1[[#This Row],[Mes de Fecha]]="Septiembre",9,10),Tabla1[[#This Row],[Día de Fecha]])</f>
        <v>46288</v>
      </c>
      <c r="G9791">
        <v>1099369846</v>
      </c>
      <c r="H9791" t="s">
        <v>317</v>
      </c>
      <c r="I9791">
        <v>10</v>
      </c>
      <c r="J9791">
        <v>0</v>
      </c>
      <c r="K9791" s="1">
        <v>524790</v>
      </c>
    </row>
    <row r="9792" spans="1:11" x14ac:dyDescent="0.25">
      <c r="A9792" t="s">
        <v>9</v>
      </c>
      <c r="B9792" t="s">
        <v>324</v>
      </c>
      <c r="C9792" t="s">
        <v>875</v>
      </c>
      <c r="D9792" t="s">
        <v>11</v>
      </c>
      <c r="E9792">
        <v>24</v>
      </c>
      <c r="F9792" s="2">
        <f>DATE(2026,IF(Tabla1[[#This Row],[Mes de Fecha]]="Septiembre",9,10),Tabla1[[#This Row],[Día de Fecha]])</f>
        <v>46289</v>
      </c>
      <c r="I9792">
        <v>0</v>
      </c>
      <c r="J9792" s="1">
        <v>5816158</v>
      </c>
      <c r="K9792">
        <v>0</v>
      </c>
    </row>
    <row r="9793" spans="1:11" x14ac:dyDescent="0.25">
      <c r="A9793" t="s">
        <v>9</v>
      </c>
      <c r="B9793" t="s">
        <v>324</v>
      </c>
      <c r="C9793" t="s">
        <v>875</v>
      </c>
      <c r="D9793" t="s">
        <v>11</v>
      </c>
      <c r="E9793">
        <v>24</v>
      </c>
      <c r="F9793" s="2">
        <f>DATE(2026,IF(Tabla1[[#This Row],[Mes de Fecha]]="Septiembre",9,10),Tabla1[[#This Row],[Día de Fecha]])</f>
        <v>46289</v>
      </c>
      <c r="G9793">
        <v>63365763</v>
      </c>
      <c r="H9793" t="s">
        <v>316</v>
      </c>
      <c r="I9793">
        <v>43</v>
      </c>
      <c r="J9793">
        <v>0</v>
      </c>
      <c r="K9793" s="1">
        <v>2527607</v>
      </c>
    </row>
    <row r="9794" spans="1:11" x14ac:dyDescent="0.25">
      <c r="A9794" t="s">
        <v>9</v>
      </c>
      <c r="B9794" t="s">
        <v>324</v>
      </c>
      <c r="C9794" t="s">
        <v>875</v>
      </c>
      <c r="D9794" t="s">
        <v>11</v>
      </c>
      <c r="E9794">
        <v>24</v>
      </c>
      <c r="F9794" s="2">
        <f>DATE(2026,IF(Tabla1[[#This Row],[Mes de Fecha]]="Septiembre",9,10),Tabla1[[#This Row],[Día de Fecha]])</f>
        <v>46289</v>
      </c>
      <c r="G9794">
        <v>1099369846</v>
      </c>
      <c r="H9794" t="s">
        <v>317</v>
      </c>
      <c r="I9794">
        <v>26</v>
      </c>
      <c r="J9794">
        <v>0</v>
      </c>
      <c r="K9794" s="1">
        <v>1490505</v>
      </c>
    </row>
    <row r="9795" spans="1:11" x14ac:dyDescent="0.25">
      <c r="A9795" t="s">
        <v>9</v>
      </c>
      <c r="B9795" t="s">
        <v>324</v>
      </c>
      <c r="C9795" t="s">
        <v>875</v>
      </c>
      <c r="D9795" t="s">
        <v>11</v>
      </c>
      <c r="E9795">
        <v>25</v>
      </c>
      <c r="F9795" s="2">
        <f>DATE(2026,IF(Tabla1[[#This Row],[Mes de Fecha]]="Septiembre",9,10),Tabla1[[#This Row],[Día de Fecha]])</f>
        <v>46290</v>
      </c>
      <c r="I9795">
        <v>0</v>
      </c>
      <c r="J9795" s="1">
        <v>6211972</v>
      </c>
      <c r="K9795">
        <v>0</v>
      </c>
    </row>
    <row r="9796" spans="1:11" x14ac:dyDescent="0.25">
      <c r="A9796" t="s">
        <v>9</v>
      </c>
      <c r="B9796" t="s">
        <v>324</v>
      </c>
      <c r="C9796" t="s">
        <v>875</v>
      </c>
      <c r="D9796" t="s">
        <v>11</v>
      </c>
      <c r="E9796">
        <v>25</v>
      </c>
      <c r="F9796" s="2">
        <f>DATE(2026,IF(Tabla1[[#This Row],[Mes de Fecha]]="Septiembre",9,10),Tabla1[[#This Row],[Día de Fecha]])</f>
        <v>46290</v>
      </c>
      <c r="G9796">
        <v>63365763</v>
      </c>
      <c r="H9796" t="s">
        <v>316</v>
      </c>
      <c r="I9796">
        <v>39</v>
      </c>
      <c r="J9796">
        <v>0</v>
      </c>
      <c r="K9796" s="1">
        <v>1926934</v>
      </c>
    </row>
    <row r="9797" spans="1:11" x14ac:dyDescent="0.25">
      <c r="A9797" t="s">
        <v>9</v>
      </c>
      <c r="B9797" t="s">
        <v>324</v>
      </c>
      <c r="C9797" t="s">
        <v>875</v>
      </c>
      <c r="D9797" t="s">
        <v>11</v>
      </c>
      <c r="E9797">
        <v>25</v>
      </c>
      <c r="F9797" s="2">
        <f>DATE(2026,IF(Tabla1[[#This Row],[Mes de Fecha]]="Septiembre",9,10),Tabla1[[#This Row],[Día de Fecha]])</f>
        <v>46290</v>
      </c>
      <c r="G9797">
        <v>1099369846</v>
      </c>
      <c r="H9797" t="s">
        <v>317</v>
      </c>
      <c r="I9797">
        <v>49</v>
      </c>
      <c r="J9797">
        <v>0</v>
      </c>
      <c r="K9797" s="1">
        <v>2369794</v>
      </c>
    </row>
    <row r="9798" spans="1:11" x14ac:dyDescent="0.25">
      <c r="A9798" t="s">
        <v>9</v>
      </c>
      <c r="B9798" t="s">
        <v>324</v>
      </c>
      <c r="C9798" t="s">
        <v>875</v>
      </c>
      <c r="D9798" t="s">
        <v>11</v>
      </c>
      <c r="E9798">
        <v>26</v>
      </c>
      <c r="F9798" s="2">
        <f>DATE(2026,IF(Tabla1[[#This Row],[Mes de Fecha]]="Septiembre",9,10),Tabla1[[#This Row],[Día de Fecha]])</f>
        <v>46291</v>
      </c>
      <c r="I9798">
        <v>0</v>
      </c>
      <c r="J9798" s="1">
        <v>7833143</v>
      </c>
      <c r="K9798">
        <v>0</v>
      </c>
    </row>
    <row r="9799" spans="1:11" x14ac:dyDescent="0.25">
      <c r="A9799" t="s">
        <v>9</v>
      </c>
      <c r="B9799" t="s">
        <v>324</v>
      </c>
      <c r="C9799" t="s">
        <v>875</v>
      </c>
      <c r="D9799" t="s">
        <v>11</v>
      </c>
      <c r="E9799">
        <v>26</v>
      </c>
      <c r="F9799" s="2">
        <f>DATE(2026,IF(Tabla1[[#This Row],[Mes de Fecha]]="Septiembre",9,10),Tabla1[[#This Row],[Día de Fecha]])</f>
        <v>46291</v>
      </c>
      <c r="G9799">
        <v>63365763</v>
      </c>
      <c r="H9799" t="s">
        <v>316</v>
      </c>
      <c r="I9799">
        <v>34</v>
      </c>
      <c r="J9799">
        <v>0</v>
      </c>
      <c r="K9799" s="1">
        <v>1950256</v>
      </c>
    </row>
    <row r="9800" spans="1:11" x14ac:dyDescent="0.25">
      <c r="A9800" t="s">
        <v>9</v>
      </c>
      <c r="B9800" t="s">
        <v>324</v>
      </c>
      <c r="C9800" t="s">
        <v>875</v>
      </c>
      <c r="D9800" t="s">
        <v>11</v>
      </c>
      <c r="E9800">
        <v>26</v>
      </c>
      <c r="F9800" s="2">
        <f>DATE(2026,IF(Tabla1[[#This Row],[Mes de Fecha]]="Septiembre",9,10),Tabla1[[#This Row],[Día de Fecha]])</f>
        <v>46291</v>
      </c>
      <c r="G9800">
        <v>1064789363</v>
      </c>
      <c r="H9800" t="s">
        <v>325</v>
      </c>
      <c r="I9800">
        <v>9</v>
      </c>
      <c r="J9800">
        <v>0</v>
      </c>
      <c r="K9800" s="1">
        <v>499623</v>
      </c>
    </row>
    <row r="9801" spans="1:11" x14ac:dyDescent="0.25">
      <c r="A9801" t="s">
        <v>9</v>
      </c>
      <c r="B9801" t="s">
        <v>324</v>
      </c>
      <c r="C9801" t="s">
        <v>875</v>
      </c>
      <c r="D9801" t="s">
        <v>11</v>
      </c>
      <c r="E9801">
        <v>26</v>
      </c>
      <c r="F9801" s="2">
        <f>DATE(2026,IF(Tabla1[[#This Row],[Mes de Fecha]]="Septiembre",9,10),Tabla1[[#This Row],[Día de Fecha]])</f>
        <v>46291</v>
      </c>
      <c r="G9801">
        <v>1099369846</v>
      </c>
      <c r="H9801" t="s">
        <v>317</v>
      </c>
      <c r="I9801">
        <v>22</v>
      </c>
      <c r="J9801">
        <v>0</v>
      </c>
      <c r="K9801" s="1">
        <v>1293195</v>
      </c>
    </row>
    <row r="9802" spans="1:11" x14ac:dyDescent="0.25">
      <c r="A9802" t="s">
        <v>9</v>
      </c>
      <c r="B9802" t="s">
        <v>324</v>
      </c>
      <c r="C9802" t="s">
        <v>875</v>
      </c>
      <c r="D9802" t="s">
        <v>11</v>
      </c>
      <c r="E9802">
        <v>27</v>
      </c>
      <c r="F9802" s="2">
        <f>DATE(2026,IF(Tabla1[[#This Row],[Mes de Fecha]]="Septiembre",9,10),Tabla1[[#This Row],[Día de Fecha]])</f>
        <v>46292</v>
      </c>
      <c r="I9802">
        <v>0</v>
      </c>
      <c r="J9802" s="1">
        <v>4135823</v>
      </c>
      <c r="K9802">
        <v>0</v>
      </c>
    </row>
    <row r="9803" spans="1:11" x14ac:dyDescent="0.25">
      <c r="A9803" t="s">
        <v>9</v>
      </c>
      <c r="B9803" t="s">
        <v>324</v>
      </c>
      <c r="C9803" t="s">
        <v>875</v>
      </c>
      <c r="D9803" t="s">
        <v>11</v>
      </c>
      <c r="E9803">
        <v>27</v>
      </c>
      <c r="F9803" s="2">
        <f>DATE(2026,IF(Tabla1[[#This Row],[Mes de Fecha]]="Septiembre",9,10),Tabla1[[#This Row],[Día de Fecha]])</f>
        <v>46292</v>
      </c>
      <c r="G9803">
        <v>63365763</v>
      </c>
      <c r="H9803" t="s">
        <v>316</v>
      </c>
      <c r="I9803">
        <v>80</v>
      </c>
      <c r="J9803">
        <v>0</v>
      </c>
      <c r="K9803" s="1">
        <v>4299162</v>
      </c>
    </row>
    <row r="9804" spans="1:11" x14ac:dyDescent="0.25">
      <c r="A9804" t="s">
        <v>9</v>
      </c>
      <c r="B9804" t="s">
        <v>324</v>
      </c>
      <c r="C9804" t="s">
        <v>875</v>
      </c>
      <c r="D9804" t="s">
        <v>11</v>
      </c>
      <c r="E9804">
        <v>27</v>
      </c>
      <c r="F9804" s="2">
        <f>DATE(2026,IF(Tabla1[[#This Row],[Mes de Fecha]]="Septiembre",9,10),Tabla1[[#This Row],[Día de Fecha]])</f>
        <v>46292</v>
      </c>
      <c r="G9804">
        <v>1099369846</v>
      </c>
      <c r="H9804" t="s">
        <v>317</v>
      </c>
      <c r="I9804">
        <v>66</v>
      </c>
      <c r="J9804">
        <v>0</v>
      </c>
      <c r="K9804" s="1">
        <v>3207272</v>
      </c>
    </row>
    <row r="9805" spans="1:11" x14ac:dyDescent="0.25">
      <c r="A9805" t="s">
        <v>9</v>
      </c>
      <c r="B9805" t="s">
        <v>324</v>
      </c>
      <c r="C9805" t="s">
        <v>875</v>
      </c>
      <c r="D9805" t="s">
        <v>11</v>
      </c>
      <c r="E9805">
        <v>28</v>
      </c>
      <c r="F9805" s="2">
        <f>DATE(2026,IF(Tabla1[[#This Row],[Mes de Fecha]]="Septiembre",9,10),Tabla1[[#This Row],[Día de Fecha]])</f>
        <v>46293</v>
      </c>
      <c r="I9805">
        <v>0</v>
      </c>
      <c r="J9805" s="1">
        <v>3390925</v>
      </c>
      <c r="K9805">
        <v>0</v>
      </c>
    </row>
    <row r="9806" spans="1:11" x14ac:dyDescent="0.25">
      <c r="A9806" t="s">
        <v>9</v>
      </c>
      <c r="B9806" t="s">
        <v>324</v>
      </c>
      <c r="C9806" t="s">
        <v>875</v>
      </c>
      <c r="D9806" t="s">
        <v>11</v>
      </c>
      <c r="E9806">
        <v>28</v>
      </c>
      <c r="F9806" s="2">
        <f>DATE(2026,IF(Tabla1[[#This Row],[Mes de Fecha]]="Septiembre",9,10),Tabla1[[#This Row],[Día de Fecha]])</f>
        <v>46293</v>
      </c>
      <c r="G9806">
        <v>63365763</v>
      </c>
      <c r="H9806" t="s">
        <v>316</v>
      </c>
      <c r="I9806">
        <v>29</v>
      </c>
      <c r="J9806">
        <v>0</v>
      </c>
      <c r="K9806" s="1">
        <v>1406347</v>
      </c>
    </row>
    <row r="9807" spans="1:11" x14ac:dyDescent="0.25">
      <c r="A9807" t="s">
        <v>9</v>
      </c>
      <c r="B9807" t="s">
        <v>324</v>
      </c>
      <c r="C9807" t="s">
        <v>875</v>
      </c>
      <c r="D9807" t="s">
        <v>11</v>
      </c>
      <c r="E9807">
        <v>28</v>
      </c>
      <c r="F9807" s="2">
        <f>DATE(2026,IF(Tabla1[[#This Row],[Mes de Fecha]]="Septiembre",9,10),Tabla1[[#This Row],[Día de Fecha]])</f>
        <v>46293</v>
      </c>
      <c r="G9807">
        <v>1099369846</v>
      </c>
      <c r="H9807" t="s">
        <v>317</v>
      </c>
      <c r="I9807">
        <v>12</v>
      </c>
      <c r="J9807">
        <v>0</v>
      </c>
      <c r="K9807" s="1">
        <v>772605</v>
      </c>
    </row>
    <row r="9808" spans="1:11" x14ac:dyDescent="0.25">
      <c r="A9808" t="s">
        <v>9</v>
      </c>
      <c r="B9808" t="s">
        <v>324</v>
      </c>
      <c r="C9808" t="s">
        <v>875</v>
      </c>
      <c r="D9808" t="s">
        <v>11</v>
      </c>
      <c r="E9808">
        <v>29</v>
      </c>
      <c r="F9808" s="2">
        <f>DATE(2026,IF(Tabla1[[#This Row],[Mes de Fecha]]="Septiembre",9,10),Tabla1[[#This Row],[Día de Fecha]])</f>
        <v>46294</v>
      </c>
      <c r="I9808">
        <v>0</v>
      </c>
      <c r="J9808" s="1">
        <v>3769705</v>
      </c>
      <c r="K9808">
        <v>0</v>
      </c>
    </row>
    <row r="9809" spans="1:11" x14ac:dyDescent="0.25">
      <c r="A9809" t="s">
        <v>9</v>
      </c>
      <c r="B9809" t="s">
        <v>324</v>
      </c>
      <c r="C9809" t="s">
        <v>875</v>
      </c>
      <c r="D9809" t="s">
        <v>11</v>
      </c>
      <c r="E9809">
        <v>29</v>
      </c>
      <c r="F9809" s="2">
        <f>DATE(2026,IF(Tabla1[[#This Row],[Mes de Fecha]]="Septiembre",9,10),Tabla1[[#This Row],[Día de Fecha]])</f>
        <v>46294</v>
      </c>
      <c r="G9809">
        <v>63365763</v>
      </c>
      <c r="H9809" t="s">
        <v>316</v>
      </c>
      <c r="I9809">
        <v>27</v>
      </c>
      <c r="J9809">
        <v>0</v>
      </c>
      <c r="K9809" s="1">
        <v>1721555</v>
      </c>
    </row>
    <row r="9810" spans="1:11" x14ac:dyDescent="0.25">
      <c r="A9810" t="s">
        <v>9</v>
      </c>
      <c r="B9810" t="s">
        <v>324</v>
      </c>
      <c r="C9810" t="s">
        <v>875</v>
      </c>
      <c r="D9810" t="s">
        <v>11</v>
      </c>
      <c r="E9810">
        <v>29</v>
      </c>
      <c r="F9810" s="2">
        <f>DATE(2026,IF(Tabla1[[#This Row],[Mes de Fecha]]="Septiembre",9,10),Tabla1[[#This Row],[Día de Fecha]])</f>
        <v>46294</v>
      </c>
      <c r="G9810">
        <v>1099369846</v>
      </c>
      <c r="H9810" t="s">
        <v>317</v>
      </c>
      <c r="I9810">
        <v>18</v>
      </c>
      <c r="J9810">
        <v>0</v>
      </c>
      <c r="K9810" s="1">
        <v>883699</v>
      </c>
    </row>
    <row r="9811" spans="1:11" x14ac:dyDescent="0.25">
      <c r="A9811" t="s">
        <v>9</v>
      </c>
      <c r="B9811" t="s">
        <v>324</v>
      </c>
      <c r="C9811" t="s">
        <v>875</v>
      </c>
      <c r="D9811" t="s">
        <v>11</v>
      </c>
      <c r="E9811">
        <v>30</v>
      </c>
      <c r="F9811" s="2">
        <f>DATE(2026,IF(Tabla1[[#This Row],[Mes de Fecha]]="Septiembre",9,10),Tabla1[[#This Row],[Día de Fecha]])</f>
        <v>46295</v>
      </c>
      <c r="I9811">
        <v>0</v>
      </c>
      <c r="J9811" s="1">
        <v>3992237</v>
      </c>
      <c r="K9811">
        <v>0</v>
      </c>
    </row>
    <row r="9812" spans="1:11" x14ac:dyDescent="0.25">
      <c r="A9812" t="s">
        <v>9</v>
      </c>
      <c r="B9812" t="s">
        <v>324</v>
      </c>
      <c r="C9812" t="s">
        <v>875</v>
      </c>
      <c r="D9812" t="s">
        <v>11</v>
      </c>
      <c r="E9812">
        <v>30</v>
      </c>
      <c r="F9812" s="2">
        <f>DATE(2026,IF(Tabla1[[#This Row],[Mes de Fecha]]="Septiembre",9,10),Tabla1[[#This Row],[Día de Fecha]])</f>
        <v>46295</v>
      </c>
      <c r="G9812">
        <v>63365763</v>
      </c>
      <c r="H9812" t="s">
        <v>316</v>
      </c>
      <c r="I9812">
        <v>38</v>
      </c>
      <c r="J9812">
        <v>0</v>
      </c>
      <c r="K9812" s="1">
        <v>2588697</v>
      </c>
    </row>
    <row r="9813" spans="1:11" x14ac:dyDescent="0.25">
      <c r="A9813" t="s">
        <v>9</v>
      </c>
      <c r="B9813" t="s">
        <v>324</v>
      </c>
      <c r="C9813" t="s">
        <v>875</v>
      </c>
      <c r="D9813" t="s">
        <v>11</v>
      </c>
      <c r="E9813">
        <v>30</v>
      </c>
      <c r="F9813" s="2">
        <f>DATE(2026,IF(Tabla1[[#This Row],[Mes de Fecha]]="Septiembre",9,10),Tabla1[[#This Row],[Día de Fecha]])</f>
        <v>46295</v>
      </c>
      <c r="G9813">
        <v>1099369846</v>
      </c>
      <c r="H9813" t="s">
        <v>317</v>
      </c>
      <c r="I9813">
        <v>38</v>
      </c>
      <c r="J9813">
        <v>0</v>
      </c>
      <c r="K9813" s="1">
        <v>1975254</v>
      </c>
    </row>
    <row r="9814" spans="1:11" x14ac:dyDescent="0.25">
      <c r="A9814" t="s">
        <v>9</v>
      </c>
      <c r="B9814" t="s">
        <v>324</v>
      </c>
      <c r="C9814" t="s">
        <v>875</v>
      </c>
      <c r="D9814" t="s">
        <v>14</v>
      </c>
      <c r="E9814">
        <v>1</v>
      </c>
      <c r="F9814" s="2">
        <f>DATE(2026,IF(Tabla1[[#This Row],[Mes de Fecha]]="Septiembre",9,10),Tabla1[[#This Row],[Día de Fecha]])</f>
        <v>46296</v>
      </c>
      <c r="I9814">
        <v>0</v>
      </c>
      <c r="J9814" s="1">
        <v>3195028</v>
      </c>
      <c r="K9814">
        <v>0</v>
      </c>
    </row>
    <row r="9815" spans="1:11" x14ac:dyDescent="0.25">
      <c r="A9815" t="s">
        <v>9</v>
      </c>
      <c r="B9815" t="s">
        <v>324</v>
      </c>
      <c r="C9815" t="s">
        <v>875</v>
      </c>
      <c r="D9815" t="s">
        <v>14</v>
      </c>
      <c r="E9815">
        <v>1</v>
      </c>
      <c r="F9815" s="2">
        <f>DATE(2026,IF(Tabla1[[#This Row],[Mes de Fecha]]="Septiembre",9,10),Tabla1[[#This Row],[Día de Fecha]])</f>
        <v>46296</v>
      </c>
      <c r="G9815">
        <v>63365763</v>
      </c>
      <c r="H9815" t="s">
        <v>316</v>
      </c>
      <c r="I9815">
        <v>32</v>
      </c>
      <c r="J9815">
        <v>0</v>
      </c>
      <c r="K9815" s="1">
        <v>1624665</v>
      </c>
    </row>
    <row r="9816" spans="1:11" x14ac:dyDescent="0.25">
      <c r="A9816" t="s">
        <v>9</v>
      </c>
      <c r="B9816" t="s">
        <v>324</v>
      </c>
      <c r="C9816" t="s">
        <v>875</v>
      </c>
      <c r="D9816" t="s">
        <v>14</v>
      </c>
      <c r="E9816">
        <v>1</v>
      </c>
      <c r="F9816" s="2">
        <f>DATE(2026,IF(Tabla1[[#This Row],[Mes de Fecha]]="Septiembre",9,10),Tabla1[[#This Row],[Día de Fecha]])</f>
        <v>46296</v>
      </c>
      <c r="G9816">
        <v>1099369846</v>
      </c>
      <c r="H9816" t="s">
        <v>317</v>
      </c>
      <c r="I9816">
        <v>22</v>
      </c>
      <c r="J9816">
        <v>0</v>
      </c>
      <c r="K9816" s="1">
        <v>1276390</v>
      </c>
    </row>
    <row r="9817" spans="1:11" x14ac:dyDescent="0.25">
      <c r="A9817" t="s">
        <v>9</v>
      </c>
      <c r="B9817" t="s">
        <v>324</v>
      </c>
      <c r="C9817" t="s">
        <v>875</v>
      </c>
      <c r="D9817" t="s">
        <v>14</v>
      </c>
      <c r="E9817">
        <v>2</v>
      </c>
      <c r="F9817" s="2">
        <f>DATE(2026,IF(Tabla1[[#This Row],[Mes de Fecha]]="Septiembre",9,10),Tabla1[[#This Row],[Día de Fecha]])</f>
        <v>46297</v>
      </c>
      <c r="I9817">
        <v>0</v>
      </c>
      <c r="J9817" s="1">
        <v>5679415</v>
      </c>
      <c r="K9817">
        <v>0</v>
      </c>
    </row>
    <row r="9818" spans="1:11" x14ac:dyDescent="0.25">
      <c r="A9818" t="s">
        <v>9</v>
      </c>
      <c r="B9818" t="s">
        <v>324</v>
      </c>
      <c r="C9818" t="s">
        <v>875</v>
      </c>
      <c r="D9818" t="s">
        <v>14</v>
      </c>
      <c r="E9818">
        <v>2</v>
      </c>
      <c r="F9818" s="2">
        <f>DATE(2026,IF(Tabla1[[#This Row],[Mes de Fecha]]="Septiembre",9,10),Tabla1[[#This Row],[Día de Fecha]])</f>
        <v>46297</v>
      </c>
      <c r="G9818">
        <v>63365763</v>
      </c>
      <c r="H9818" t="s">
        <v>316</v>
      </c>
      <c r="I9818">
        <v>47</v>
      </c>
      <c r="J9818">
        <v>0</v>
      </c>
      <c r="K9818" s="1">
        <v>2993825</v>
      </c>
    </row>
    <row r="9819" spans="1:11" x14ac:dyDescent="0.25">
      <c r="A9819" t="s">
        <v>9</v>
      </c>
      <c r="B9819" t="s">
        <v>324</v>
      </c>
      <c r="C9819" t="s">
        <v>875</v>
      </c>
      <c r="D9819" t="s">
        <v>14</v>
      </c>
      <c r="E9819">
        <v>2</v>
      </c>
      <c r="F9819" s="2">
        <f>DATE(2026,IF(Tabla1[[#This Row],[Mes de Fecha]]="Septiembre",9,10),Tabla1[[#This Row],[Día de Fecha]])</f>
        <v>46297</v>
      </c>
      <c r="G9819">
        <v>1099369846</v>
      </c>
      <c r="H9819" t="s">
        <v>317</v>
      </c>
      <c r="I9819">
        <v>32</v>
      </c>
      <c r="J9819">
        <v>0</v>
      </c>
      <c r="K9819" s="1">
        <v>1534371</v>
      </c>
    </row>
    <row r="9820" spans="1:11" x14ac:dyDescent="0.25">
      <c r="A9820" t="s">
        <v>9</v>
      </c>
      <c r="B9820" t="s">
        <v>324</v>
      </c>
      <c r="C9820" t="s">
        <v>875</v>
      </c>
      <c r="D9820" t="s">
        <v>14</v>
      </c>
      <c r="E9820">
        <v>3</v>
      </c>
      <c r="F9820" s="2">
        <f>DATE(2026,IF(Tabla1[[#This Row],[Mes de Fecha]]="Septiembre",9,10),Tabla1[[#This Row],[Día de Fecha]])</f>
        <v>46298</v>
      </c>
      <c r="I9820">
        <v>0</v>
      </c>
      <c r="J9820" s="1">
        <v>10446552</v>
      </c>
      <c r="K9820">
        <v>0</v>
      </c>
    </row>
    <row r="9821" spans="1:11" x14ac:dyDescent="0.25">
      <c r="A9821" t="s">
        <v>9</v>
      </c>
      <c r="B9821" t="s">
        <v>324</v>
      </c>
      <c r="C9821" t="s">
        <v>875</v>
      </c>
      <c r="D9821" t="s">
        <v>14</v>
      </c>
      <c r="E9821">
        <v>3</v>
      </c>
      <c r="F9821" s="2">
        <f>DATE(2026,IF(Tabla1[[#This Row],[Mes de Fecha]]="Septiembre",9,10),Tabla1[[#This Row],[Día de Fecha]])</f>
        <v>46298</v>
      </c>
      <c r="G9821">
        <v>63365763</v>
      </c>
      <c r="H9821" t="s">
        <v>316</v>
      </c>
      <c r="I9821">
        <v>51</v>
      </c>
      <c r="J9821">
        <v>0</v>
      </c>
      <c r="K9821" s="1">
        <v>2777009</v>
      </c>
    </row>
    <row r="9822" spans="1:11" x14ac:dyDescent="0.25">
      <c r="A9822" t="s">
        <v>9</v>
      </c>
      <c r="B9822" t="s">
        <v>324</v>
      </c>
      <c r="C9822" t="s">
        <v>875</v>
      </c>
      <c r="D9822" t="s">
        <v>14</v>
      </c>
      <c r="E9822">
        <v>3</v>
      </c>
      <c r="F9822" s="2">
        <f>DATE(2026,IF(Tabla1[[#This Row],[Mes de Fecha]]="Septiembre",9,10),Tabla1[[#This Row],[Día de Fecha]])</f>
        <v>46298</v>
      </c>
      <c r="G9822">
        <v>1064789363</v>
      </c>
      <c r="H9822" t="s">
        <v>325</v>
      </c>
      <c r="I9822">
        <v>20</v>
      </c>
      <c r="J9822">
        <v>0</v>
      </c>
      <c r="K9822" s="1">
        <v>979043</v>
      </c>
    </row>
    <row r="9823" spans="1:11" x14ac:dyDescent="0.25">
      <c r="A9823" t="s">
        <v>9</v>
      </c>
      <c r="B9823" t="s">
        <v>324</v>
      </c>
      <c r="C9823" t="s">
        <v>875</v>
      </c>
      <c r="D9823" t="s">
        <v>14</v>
      </c>
      <c r="E9823">
        <v>3</v>
      </c>
      <c r="F9823" s="2">
        <f>DATE(2026,IF(Tabla1[[#This Row],[Mes de Fecha]]="Septiembre",9,10),Tabla1[[#This Row],[Día de Fecha]])</f>
        <v>46298</v>
      </c>
      <c r="G9823">
        <v>1099369846</v>
      </c>
      <c r="H9823" t="s">
        <v>317</v>
      </c>
      <c r="I9823">
        <v>50</v>
      </c>
      <c r="J9823">
        <v>0</v>
      </c>
      <c r="K9823" s="1">
        <v>2592995</v>
      </c>
    </row>
    <row r="9824" spans="1:11" x14ac:dyDescent="0.25">
      <c r="A9824" t="s">
        <v>9</v>
      </c>
      <c r="B9824" t="s">
        <v>324</v>
      </c>
      <c r="C9824" t="s">
        <v>875</v>
      </c>
      <c r="D9824" t="s">
        <v>14</v>
      </c>
      <c r="E9824">
        <v>4</v>
      </c>
      <c r="F9824" s="2">
        <f>DATE(2026,IF(Tabla1[[#This Row],[Mes de Fecha]]="Septiembre",9,10),Tabla1[[#This Row],[Día de Fecha]])</f>
        <v>46299</v>
      </c>
      <c r="I9824">
        <v>0</v>
      </c>
      <c r="J9824" s="1">
        <v>11789453</v>
      </c>
      <c r="K9824">
        <v>0</v>
      </c>
    </row>
    <row r="9825" spans="1:11" x14ac:dyDescent="0.25">
      <c r="A9825" t="s">
        <v>9</v>
      </c>
      <c r="B9825" t="s">
        <v>324</v>
      </c>
      <c r="C9825" t="s">
        <v>875</v>
      </c>
      <c r="D9825" t="s">
        <v>14</v>
      </c>
      <c r="E9825">
        <v>4</v>
      </c>
      <c r="F9825" s="2">
        <f>DATE(2026,IF(Tabla1[[#This Row],[Mes de Fecha]]="Septiembre",9,10),Tabla1[[#This Row],[Día de Fecha]])</f>
        <v>46299</v>
      </c>
      <c r="G9825">
        <v>63365763</v>
      </c>
      <c r="H9825" t="s">
        <v>316</v>
      </c>
      <c r="I9825">
        <v>73</v>
      </c>
      <c r="J9825">
        <v>0</v>
      </c>
      <c r="K9825" s="1">
        <v>4307857</v>
      </c>
    </row>
    <row r="9826" spans="1:11" x14ac:dyDescent="0.25">
      <c r="A9826" t="s">
        <v>9</v>
      </c>
      <c r="B9826" t="s">
        <v>324</v>
      </c>
      <c r="C9826" t="s">
        <v>875</v>
      </c>
      <c r="D9826" t="s">
        <v>14</v>
      </c>
      <c r="E9826">
        <v>4</v>
      </c>
      <c r="F9826" s="2">
        <f>DATE(2026,IF(Tabla1[[#This Row],[Mes de Fecha]]="Septiembre",9,10),Tabla1[[#This Row],[Día de Fecha]])</f>
        <v>46299</v>
      </c>
      <c r="G9826">
        <v>1099369846</v>
      </c>
      <c r="H9826" t="s">
        <v>317</v>
      </c>
      <c r="I9826">
        <v>50</v>
      </c>
      <c r="J9826">
        <v>0</v>
      </c>
      <c r="K9826" s="1">
        <v>2882270</v>
      </c>
    </row>
    <row r="9827" spans="1:11" x14ac:dyDescent="0.25">
      <c r="A9827" t="s">
        <v>9</v>
      </c>
      <c r="B9827" t="s">
        <v>324</v>
      </c>
      <c r="C9827" t="s">
        <v>875</v>
      </c>
      <c r="D9827" t="s">
        <v>14</v>
      </c>
      <c r="E9827">
        <v>5</v>
      </c>
      <c r="F9827" s="2">
        <f>DATE(2026,IF(Tabla1[[#This Row],[Mes de Fecha]]="Septiembre",9,10),Tabla1[[#This Row],[Día de Fecha]])</f>
        <v>46300</v>
      </c>
      <c r="I9827">
        <v>0</v>
      </c>
      <c r="J9827" s="1">
        <v>4237457</v>
      </c>
      <c r="K9827">
        <v>0</v>
      </c>
    </row>
    <row r="9828" spans="1:11" x14ac:dyDescent="0.25">
      <c r="A9828" t="s">
        <v>9</v>
      </c>
      <c r="B9828" t="s">
        <v>324</v>
      </c>
      <c r="C9828" t="s">
        <v>875</v>
      </c>
      <c r="D9828" t="s">
        <v>14</v>
      </c>
      <c r="E9828">
        <v>5</v>
      </c>
      <c r="F9828" s="2">
        <f>DATE(2026,IF(Tabla1[[#This Row],[Mes de Fecha]]="Septiembre",9,10),Tabla1[[#This Row],[Día de Fecha]])</f>
        <v>46300</v>
      </c>
      <c r="G9828">
        <v>63365763</v>
      </c>
      <c r="H9828" t="s">
        <v>316</v>
      </c>
      <c r="I9828">
        <v>52</v>
      </c>
      <c r="J9828">
        <v>0</v>
      </c>
      <c r="K9828" s="1">
        <v>3048239</v>
      </c>
    </row>
    <row r="9829" spans="1:11" x14ac:dyDescent="0.25">
      <c r="A9829" t="s">
        <v>9</v>
      </c>
      <c r="B9829" t="s">
        <v>324</v>
      </c>
      <c r="C9829" t="s">
        <v>875</v>
      </c>
      <c r="D9829" t="s">
        <v>14</v>
      </c>
      <c r="E9829">
        <v>5</v>
      </c>
      <c r="F9829" s="2">
        <f>DATE(2026,IF(Tabla1[[#This Row],[Mes de Fecha]]="Septiembre",9,10),Tabla1[[#This Row],[Día de Fecha]])</f>
        <v>46300</v>
      </c>
      <c r="G9829">
        <v>1099369846</v>
      </c>
      <c r="H9829" t="s">
        <v>317</v>
      </c>
      <c r="I9829">
        <v>61</v>
      </c>
      <c r="J9829">
        <v>0</v>
      </c>
      <c r="K9829" s="1">
        <v>2667606</v>
      </c>
    </row>
    <row r="9830" spans="1:11" x14ac:dyDescent="0.25">
      <c r="A9830" t="s">
        <v>9</v>
      </c>
      <c r="B9830" t="s">
        <v>324</v>
      </c>
      <c r="C9830" t="s">
        <v>875</v>
      </c>
      <c r="D9830" t="s">
        <v>14</v>
      </c>
      <c r="E9830">
        <v>6</v>
      </c>
      <c r="F9830" s="2">
        <f>DATE(2026,IF(Tabla1[[#This Row],[Mes de Fecha]]="Septiembre",9,10),Tabla1[[#This Row],[Día de Fecha]])</f>
        <v>46301</v>
      </c>
      <c r="I9830">
        <v>0</v>
      </c>
      <c r="J9830" s="1">
        <v>1207354</v>
      </c>
      <c r="K9830">
        <v>0</v>
      </c>
    </row>
    <row r="9831" spans="1:11" x14ac:dyDescent="0.25">
      <c r="A9831" t="s">
        <v>9</v>
      </c>
      <c r="B9831" t="s">
        <v>324</v>
      </c>
      <c r="C9831" t="s">
        <v>875</v>
      </c>
      <c r="D9831" t="s">
        <v>14</v>
      </c>
      <c r="E9831">
        <v>6</v>
      </c>
      <c r="F9831" s="2">
        <f>DATE(2026,IF(Tabla1[[#This Row],[Mes de Fecha]]="Septiembre",9,10),Tabla1[[#This Row],[Día de Fecha]])</f>
        <v>46301</v>
      </c>
      <c r="G9831">
        <v>63365763</v>
      </c>
      <c r="H9831" t="s">
        <v>316</v>
      </c>
      <c r="I9831">
        <v>33</v>
      </c>
      <c r="J9831">
        <v>0</v>
      </c>
      <c r="K9831" s="1">
        <v>1817942</v>
      </c>
    </row>
    <row r="9832" spans="1:11" x14ac:dyDescent="0.25">
      <c r="A9832" t="s">
        <v>9</v>
      </c>
      <c r="B9832" t="s">
        <v>324</v>
      </c>
      <c r="C9832" t="s">
        <v>875</v>
      </c>
      <c r="D9832" t="s">
        <v>14</v>
      </c>
      <c r="E9832">
        <v>6</v>
      </c>
      <c r="F9832" s="2">
        <f>DATE(2026,IF(Tabla1[[#This Row],[Mes de Fecha]]="Septiembre",9,10),Tabla1[[#This Row],[Día de Fecha]])</f>
        <v>46301</v>
      </c>
      <c r="G9832">
        <v>1099369846</v>
      </c>
      <c r="H9832" t="s">
        <v>317</v>
      </c>
      <c r="I9832">
        <v>22</v>
      </c>
      <c r="J9832">
        <v>0</v>
      </c>
      <c r="K9832" s="1">
        <v>1436050</v>
      </c>
    </row>
    <row r="9833" spans="1:11" x14ac:dyDescent="0.25">
      <c r="A9833" t="s">
        <v>9</v>
      </c>
      <c r="B9833" t="s">
        <v>324</v>
      </c>
      <c r="C9833" t="s">
        <v>875</v>
      </c>
      <c r="D9833" t="s">
        <v>14</v>
      </c>
      <c r="E9833">
        <v>7</v>
      </c>
      <c r="F9833" s="2">
        <f>DATE(2026,IF(Tabla1[[#This Row],[Mes de Fecha]]="Septiembre",9,10),Tabla1[[#This Row],[Día de Fecha]])</f>
        <v>46302</v>
      </c>
      <c r="I9833">
        <v>0</v>
      </c>
      <c r="J9833" s="1">
        <v>1039376</v>
      </c>
      <c r="K9833">
        <v>0</v>
      </c>
    </row>
    <row r="9834" spans="1:11" x14ac:dyDescent="0.25">
      <c r="A9834" t="s">
        <v>9</v>
      </c>
      <c r="B9834" t="s">
        <v>324</v>
      </c>
      <c r="C9834" t="s">
        <v>875</v>
      </c>
      <c r="D9834" t="s">
        <v>14</v>
      </c>
      <c r="E9834">
        <v>7</v>
      </c>
      <c r="F9834" s="2">
        <f>DATE(2026,IF(Tabla1[[#This Row],[Mes de Fecha]]="Septiembre",9,10),Tabla1[[#This Row],[Día de Fecha]])</f>
        <v>46302</v>
      </c>
      <c r="G9834">
        <v>63365763</v>
      </c>
      <c r="H9834" t="s">
        <v>316</v>
      </c>
      <c r="I9834">
        <v>39</v>
      </c>
      <c r="J9834">
        <v>0</v>
      </c>
      <c r="K9834" s="1">
        <v>2258866</v>
      </c>
    </row>
    <row r="9835" spans="1:11" x14ac:dyDescent="0.25">
      <c r="A9835" t="s">
        <v>9</v>
      </c>
      <c r="B9835" t="s">
        <v>324</v>
      </c>
      <c r="C9835" t="s">
        <v>875</v>
      </c>
      <c r="D9835" t="s">
        <v>14</v>
      </c>
      <c r="E9835">
        <v>7</v>
      </c>
      <c r="F9835" s="2">
        <f>DATE(2026,IF(Tabla1[[#This Row],[Mes de Fecha]]="Septiembre",9,10),Tabla1[[#This Row],[Día de Fecha]])</f>
        <v>46302</v>
      </c>
      <c r="G9835">
        <v>1099369846</v>
      </c>
      <c r="H9835" t="s">
        <v>317</v>
      </c>
      <c r="I9835">
        <v>5</v>
      </c>
      <c r="J9835">
        <v>0</v>
      </c>
      <c r="K9835" s="1">
        <v>235084</v>
      </c>
    </row>
    <row r="9836" spans="1:11" x14ac:dyDescent="0.25">
      <c r="A9836" t="s">
        <v>9</v>
      </c>
      <c r="B9836" t="s">
        <v>40</v>
      </c>
      <c r="C9836" t="s">
        <v>875</v>
      </c>
      <c r="D9836" t="s">
        <v>11</v>
      </c>
      <c r="E9836">
        <v>23</v>
      </c>
      <c r="F9836" s="2">
        <f>DATE(2026,IF(Tabla1[[#This Row],[Mes de Fecha]]="Septiembre",9,10),Tabla1[[#This Row],[Día de Fecha]])</f>
        <v>46288</v>
      </c>
      <c r="I9836">
        <v>0</v>
      </c>
      <c r="J9836" s="1">
        <v>1740604</v>
      </c>
      <c r="K9836">
        <v>0</v>
      </c>
    </row>
    <row r="9837" spans="1:11" x14ac:dyDescent="0.25">
      <c r="A9837" t="s">
        <v>9</v>
      </c>
      <c r="B9837" t="s">
        <v>40</v>
      </c>
      <c r="C9837" t="s">
        <v>875</v>
      </c>
      <c r="D9837" t="s">
        <v>11</v>
      </c>
      <c r="E9837">
        <v>23</v>
      </c>
      <c r="F9837" s="2">
        <f>DATE(2026,IF(Tabla1[[#This Row],[Mes de Fecha]]="Septiembre",9,10),Tabla1[[#This Row],[Día de Fecha]])</f>
        <v>46288</v>
      </c>
      <c r="G9837">
        <v>1005205978</v>
      </c>
      <c r="H9837" t="s">
        <v>41</v>
      </c>
      <c r="I9837">
        <v>86</v>
      </c>
      <c r="J9837">
        <v>0</v>
      </c>
      <c r="K9837" s="1">
        <v>4162421</v>
      </c>
    </row>
    <row r="9838" spans="1:11" x14ac:dyDescent="0.25">
      <c r="A9838" t="s">
        <v>9</v>
      </c>
      <c r="B9838" t="s">
        <v>40</v>
      </c>
      <c r="C9838" t="s">
        <v>875</v>
      </c>
      <c r="D9838" t="s">
        <v>11</v>
      </c>
      <c r="E9838">
        <v>24</v>
      </c>
      <c r="F9838" s="2">
        <f>DATE(2026,IF(Tabla1[[#This Row],[Mes de Fecha]]="Septiembre",9,10),Tabla1[[#This Row],[Día de Fecha]])</f>
        <v>46289</v>
      </c>
      <c r="I9838">
        <v>0</v>
      </c>
      <c r="J9838" s="1">
        <v>4501531</v>
      </c>
      <c r="K9838">
        <v>0</v>
      </c>
    </row>
    <row r="9839" spans="1:11" x14ac:dyDescent="0.25">
      <c r="A9839" t="s">
        <v>9</v>
      </c>
      <c r="B9839" t="s">
        <v>40</v>
      </c>
      <c r="C9839" t="s">
        <v>875</v>
      </c>
      <c r="D9839" t="s">
        <v>11</v>
      </c>
      <c r="E9839">
        <v>24</v>
      </c>
      <c r="F9839" s="2">
        <f>DATE(2026,IF(Tabla1[[#This Row],[Mes de Fecha]]="Septiembre",9,10),Tabla1[[#This Row],[Día de Fecha]])</f>
        <v>46289</v>
      </c>
      <c r="G9839">
        <v>1005205978</v>
      </c>
      <c r="H9839" t="s">
        <v>41</v>
      </c>
      <c r="I9839">
        <v>63</v>
      </c>
      <c r="J9839">
        <v>0</v>
      </c>
      <c r="K9839" s="1">
        <v>3085593</v>
      </c>
    </row>
    <row r="9840" spans="1:11" x14ac:dyDescent="0.25">
      <c r="A9840" t="s">
        <v>9</v>
      </c>
      <c r="B9840" t="s">
        <v>40</v>
      </c>
      <c r="C9840" t="s">
        <v>875</v>
      </c>
      <c r="D9840" t="s">
        <v>11</v>
      </c>
      <c r="E9840">
        <v>25</v>
      </c>
      <c r="F9840" s="2">
        <f>DATE(2026,IF(Tabla1[[#This Row],[Mes de Fecha]]="Septiembre",9,10),Tabla1[[#This Row],[Día de Fecha]])</f>
        <v>46290</v>
      </c>
      <c r="I9840">
        <v>0</v>
      </c>
      <c r="J9840" s="1">
        <v>4807883</v>
      </c>
      <c r="K9840">
        <v>0</v>
      </c>
    </row>
    <row r="9841" spans="1:11" x14ac:dyDescent="0.25">
      <c r="A9841" t="s">
        <v>9</v>
      </c>
      <c r="B9841" t="s">
        <v>40</v>
      </c>
      <c r="C9841" t="s">
        <v>875</v>
      </c>
      <c r="D9841" t="s">
        <v>11</v>
      </c>
      <c r="E9841">
        <v>25</v>
      </c>
      <c r="F9841" s="2">
        <f>DATE(2026,IF(Tabla1[[#This Row],[Mes de Fecha]]="Septiembre",9,10),Tabla1[[#This Row],[Día de Fecha]])</f>
        <v>46290</v>
      </c>
      <c r="G9841">
        <v>1005205978</v>
      </c>
      <c r="H9841" t="s">
        <v>41</v>
      </c>
      <c r="I9841">
        <v>74</v>
      </c>
      <c r="J9841">
        <v>0</v>
      </c>
      <c r="K9841" s="1">
        <v>3933874</v>
      </c>
    </row>
    <row r="9842" spans="1:11" x14ac:dyDescent="0.25">
      <c r="A9842" t="s">
        <v>9</v>
      </c>
      <c r="B9842" t="s">
        <v>40</v>
      </c>
      <c r="C9842" t="s">
        <v>875</v>
      </c>
      <c r="D9842" t="s">
        <v>11</v>
      </c>
      <c r="E9842">
        <v>26</v>
      </c>
      <c r="F9842" s="2">
        <f>DATE(2026,IF(Tabla1[[#This Row],[Mes de Fecha]]="Septiembre",9,10),Tabla1[[#This Row],[Día de Fecha]])</f>
        <v>46291</v>
      </c>
      <c r="I9842">
        <v>0</v>
      </c>
      <c r="J9842" s="1">
        <v>6062618</v>
      </c>
      <c r="K9842">
        <v>0</v>
      </c>
    </row>
    <row r="9843" spans="1:11" x14ac:dyDescent="0.25">
      <c r="A9843" t="s">
        <v>9</v>
      </c>
      <c r="B9843" t="s">
        <v>40</v>
      </c>
      <c r="C9843" t="s">
        <v>875</v>
      </c>
      <c r="D9843" t="s">
        <v>11</v>
      </c>
      <c r="E9843">
        <v>26</v>
      </c>
      <c r="F9843" s="2">
        <f>DATE(2026,IF(Tabla1[[#This Row],[Mes de Fecha]]="Septiembre",9,10),Tabla1[[#This Row],[Día de Fecha]])</f>
        <v>46291</v>
      </c>
      <c r="G9843">
        <v>1005205978</v>
      </c>
      <c r="H9843" t="s">
        <v>41</v>
      </c>
      <c r="I9843">
        <v>128</v>
      </c>
      <c r="J9843">
        <v>0</v>
      </c>
      <c r="K9843" s="1">
        <v>5590172</v>
      </c>
    </row>
    <row r="9844" spans="1:11" x14ac:dyDescent="0.25">
      <c r="A9844" t="s">
        <v>9</v>
      </c>
      <c r="B9844" t="s">
        <v>40</v>
      </c>
      <c r="C9844" t="s">
        <v>875</v>
      </c>
      <c r="D9844" t="s">
        <v>11</v>
      </c>
      <c r="E9844">
        <v>27</v>
      </c>
      <c r="F9844" s="2">
        <f>DATE(2026,IF(Tabla1[[#This Row],[Mes de Fecha]]="Septiembre",9,10),Tabla1[[#This Row],[Día de Fecha]])</f>
        <v>46292</v>
      </c>
      <c r="I9844">
        <v>0</v>
      </c>
      <c r="J9844" s="1">
        <v>3201005</v>
      </c>
      <c r="K9844">
        <v>0</v>
      </c>
    </row>
    <row r="9845" spans="1:11" x14ac:dyDescent="0.25">
      <c r="A9845" t="s">
        <v>9</v>
      </c>
      <c r="B9845" t="s">
        <v>40</v>
      </c>
      <c r="C9845" t="s">
        <v>875</v>
      </c>
      <c r="D9845" t="s">
        <v>11</v>
      </c>
      <c r="E9845">
        <v>27</v>
      </c>
      <c r="F9845" s="2">
        <f>DATE(2026,IF(Tabla1[[#This Row],[Mes de Fecha]]="Septiembre",9,10),Tabla1[[#This Row],[Día de Fecha]])</f>
        <v>46292</v>
      </c>
      <c r="G9845">
        <v>1005205978</v>
      </c>
      <c r="H9845" t="s">
        <v>41</v>
      </c>
      <c r="I9845">
        <v>90</v>
      </c>
      <c r="J9845">
        <v>0</v>
      </c>
      <c r="K9845" s="1">
        <v>4510511</v>
      </c>
    </row>
    <row r="9846" spans="1:11" x14ac:dyDescent="0.25">
      <c r="A9846" t="s">
        <v>9</v>
      </c>
      <c r="B9846" t="s">
        <v>40</v>
      </c>
      <c r="C9846" t="s">
        <v>875</v>
      </c>
      <c r="D9846" t="s">
        <v>11</v>
      </c>
      <c r="E9846">
        <v>28</v>
      </c>
      <c r="F9846" s="2">
        <f>DATE(2026,IF(Tabla1[[#This Row],[Mes de Fecha]]="Septiembre",9,10),Tabla1[[#This Row],[Día de Fecha]])</f>
        <v>46293</v>
      </c>
      <c r="I9846">
        <v>0</v>
      </c>
      <c r="J9846" s="1">
        <v>2624477</v>
      </c>
      <c r="K9846">
        <v>0</v>
      </c>
    </row>
    <row r="9847" spans="1:11" x14ac:dyDescent="0.25">
      <c r="A9847" t="s">
        <v>9</v>
      </c>
      <c r="B9847" t="s">
        <v>40</v>
      </c>
      <c r="C9847" t="s">
        <v>875</v>
      </c>
      <c r="D9847" t="s">
        <v>11</v>
      </c>
      <c r="E9847">
        <v>28</v>
      </c>
      <c r="F9847" s="2">
        <f>DATE(2026,IF(Tabla1[[#This Row],[Mes de Fecha]]="Septiembre",9,10),Tabla1[[#This Row],[Día de Fecha]])</f>
        <v>46293</v>
      </c>
      <c r="G9847">
        <v>1005205978</v>
      </c>
      <c r="H9847" t="s">
        <v>41</v>
      </c>
      <c r="I9847">
        <v>75</v>
      </c>
      <c r="J9847">
        <v>0</v>
      </c>
      <c r="K9847" s="1">
        <v>3595132</v>
      </c>
    </row>
    <row r="9848" spans="1:11" x14ac:dyDescent="0.25">
      <c r="A9848" t="s">
        <v>9</v>
      </c>
      <c r="B9848" t="s">
        <v>40</v>
      </c>
      <c r="C9848" t="s">
        <v>875</v>
      </c>
      <c r="D9848" t="s">
        <v>11</v>
      </c>
      <c r="E9848">
        <v>29</v>
      </c>
      <c r="F9848" s="2">
        <f>DATE(2026,IF(Tabla1[[#This Row],[Mes de Fecha]]="Septiembre",9,10),Tabla1[[#This Row],[Día de Fecha]])</f>
        <v>46294</v>
      </c>
      <c r="I9848">
        <v>0</v>
      </c>
      <c r="J9848" s="1">
        <v>2917641</v>
      </c>
      <c r="K9848">
        <v>0</v>
      </c>
    </row>
    <row r="9849" spans="1:11" x14ac:dyDescent="0.25">
      <c r="A9849" t="s">
        <v>9</v>
      </c>
      <c r="B9849" t="s">
        <v>40</v>
      </c>
      <c r="C9849" t="s">
        <v>875</v>
      </c>
      <c r="D9849" t="s">
        <v>11</v>
      </c>
      <c r="E9849">
        <v>29</v>
      </c>
      <c r="F9849" s="2">
        <f>DATE(2026,IF(Tabla1[[#This Row],[Mes de Fecha]]="Septiembre",9,10),Tabla1[[#This Row],[Día de Fecha]])</f>
        <v>46294</v>
      </c>
      <c r="G9849">
        <v>1005205978</v>
      </c>
      <c r="H9849" t="s">
        <v>41</v>
      </c>
      <c r="I9849">
        <v>58</v>
      </c>
      <c r="J9849">
        <v>0</v>
      </c>
      <c r="K9849" s="1">
        <v>2786934</v>
      </c>
    </row>
    <row r="9850" spans="1:11" x14ac:dyDescent="0.25">
      <c r="A9850" t="s">
        <v>9</v>
      </c>
      <c r="B9850" t="s">
        <v>40</v>
      </c>
      <c r="C9850" t="s">
        <v>875</v>
      </c>
      <c r="D9850" t="s">
        <v>11</v>
      </c>
      <c r="E9850">
        <v>30</v>
      </c>
      <c r="F9850" s="2">
        <f>DATE(2026,IF(Tabla1[[#This Row],[Mes de Fecha]]="Septiembre",9,10),Tabla1[[#This Row],[Día de Fecha]])</f>
        <v>46295</v>
      </c>
      <c r="I9850">
        <v>0</v>
      </c>
      <c r="J9850" s="1">
        <v>3089876</v>
      </c>
      <c r="K9850">
        <v>0</v>
      </c>
    </row>
    <row r="9851" spans="1:11" x14ac:dyDescent="0.25">
      <c r="A9851" t="s">
        <v>9</v>
      </c>
      <c r="B9851" t="s">
        <v>40</v>
      </c>
      <c r="C9851" t="s">
        <v>875</v>
      </c>
      <c r="D9851" t="s">
        <v>11</v>
      </c>
      <c r="E9851">
        <v>30</v>
      </c>
      <c r="F9851" s="2">
        <f>DATE(2026,IF(Tabla1[[#This Row],[Mes de Fecha]]="Septiembre",9,10),Tabla1[[#This Row],[Día de Fecha]])</f>
        <v>46295</v>
      </c>
      <c r="G9851">
        <v>1005205978</v>
      </c>
      <c r="H9851" t="s">
        <v>41</v>
      </c>
      <c r="I9851">
        <v>59</v>
      </c>
      <c r="J9851">
        <v>0</v>
      </c>
      <c r="K9851" s="1">
        <v>3003656</v>
      </c>
    </row>
    <row r="9852" spans="1:11" x14ac:dyDescent="0.25">
      <c r="A9852" t="s">
        <v>9</v>
      </c>
      <c r="B9852" t="s">
        <v>40</v>
      </c>
      <c r="C9852" t="s">
        <v>875</v>
      </c>
      <c r="D9852" t="s">
        <v>14</v>
      </c>
      <c r="E9852">
        <v>1</v>
      </c>
      <c r="F9852" s="2">
        <f>DATE(2026,IF(Tabla1[[#This Row],[Mes de Fecha]]="Septiembre",9,10),Tabla1[[#This Row],[Día de Fecha]])</f>
        <v>46296</v>
      </c>
      <c r="I9852">
        <v>0</v>
      </c>
      <c r="J9852" s="1">
        <v>5244486</v>
      </c>
      <c r="K9852">
        <v>0</v>
      </c>
    </row>
    <row r="9853" spans="1:11" x14ac:dyDescent="0.25">
      <c r="A9853" t="s">
        <v>9</v>
      </c>
      <c r="B9853" t="s">
        <v>40</v>
      </c>
      <c r="C9853" t="s">
        <v>875</v>
      </c>
      <c r="D9853" t="s">
        <v>14</v>
      </c>
      <c r="E9853">
        <v>1</v>
      </c>
      <c r="F9853" s="2">
        <f>DATE(2026,IF(Tabla1[[#This Row],[Mes de Fecha]]="Septiembre",9,10),Tabla1[[#This Row],[Día de Fecha]])</f>
        <v>46296</v>
      </c>
      <c r="G9853">
        <v>1005105764</v>
      </c>
      <c r="H9853" t="s">
        <v>42</v>
      </c>
      <c r="I9853">
        <v>4</v>
      </c>
      <c r="J9853">
        <v>0</v>
      </c>
      <c r="K9853" s="1">
        <v>348572</v>
      </c>
    </row>
    <row r="9854" spans="1:11" x14ac:dyDescent="0.25">
      <c r="A9854" t="s">
        <v>9</v>
      </c>
      <c r="B9854" t="s">
        <v>40</v>
      </c>
      <c r="C9854" t="s">
        <v>875</v>
      </c>
      <c r="D9854" t="s">
        <v>14</v>
      </c>
      <c r="E9854">
        <v>1</v>
      </c>
      <c r="F9854" s="2">
        <f>DATE(2026,IF(Tabla1[[#This Row],[Mes de Fecha]]="Septiembre",9,10),Tabla1[[#This Row],[Día de Fecha]])</f>
        <v>46296</v>
      </c>
      <c r="G9854">
        <v>1005205978</v>
      </c>
      <c r="H9854" t="s">
        <v>41</v>
      </c>
      <c r="I9854">
        <v>67</v>
      </c>
      <c r="J9854">
        <v>0</v>
      </c>
      <c r="K9854" s="1">
        <v>3360041</v>
      </c>
    </row>
    <row r="9855" spans="1:11" x14ac:dyDescent="0.25">
      <c r="A9855" t="s">
        <v>9</v>
      </c>
      <c r="B9855" t="s">
        <v>40</v>
      </c>
      <c r="C9855" t="s">
        <v>875</v>
      </c>
      <c r="D9855" t="s">
        <v>14</v>
      </c>
      <c r="E9855">
        <v>2</v>
      </c>
      <c r="F9855" s="2">
        <f>DATE(2026,IF(Tabla1[[#This Row],[Mes de Fecha]]="Septiembre",9,10),Tabla1[[#This Row],[Día de Fecha]])</f>
        <v>46297</v>
      </c>
      <c r="I9855">
        <v>0</v>
      </c>
      <c r="J9855" s="1">
        <v>4442854</v>
      </c>
      <c r="K9855">
        <v>0</v>
      </c>
    </row>
    <row r="9856" spans="1:11" x14ac:dyDescent="0.25">
      <c r="A9856" t="s">
        <v>9</v>
      </c>
      <c r="B9856" t="s">
        <v>40</v>
      </c>
      <c r="C9856" t="s">
        <v>875</v>
      </c>
      <c r="D9856" t="s">
        <v>14</v>
      </c>
      <c r="E9856">
        <v>2</v>
      </c>
      <c r="F9856" s="2">
        <f>DATE(2026,IF(Tabla1[[#This Row],[Mes de Fecha]]="Septiembre",9,10),Tabla1[[#This Row],[Día de Fecha]])</f>
        <v>46297</v>
      </c>
      <c r="G9856">
        <v>1005205978</v>
      </c>
      <c r="H9856" t="s">
        <v>41</v>
      </c>
      <c r="I9856">
        <v>69</v>
      </c>
      <c r="J9856">
        <v>0</v>
      </c>
      <c r="K9856" s="1">
        <v>3288871</v>
      </c>
    </row>
    <row r="9857" spans="1:11" x14ac:dyDescent="0.25">
      <c r="A9857" t="s">
        <v>9</v>
      </c>
      <c r="B9857" t="s">
        <v>40</v>
      </c>
      <c r="C9857" t="s">
        <v>875</v>
      </c>
      <c r="D9857" t="s">
        <v>14</v>
      </c>
      <c r="E9857">
        <v>3</v>
      </c>
      <c r="F9857" s="2">
        <f>DATE(2026,IF(Tabla1[[#This Row],[Mes de Fecha]]="Septiembre",9,10),Tabla1[[#This Row],[Día de Fecha]])</f>
        <v>46298</v>
      </c>
      <c r="I9857">
        <v>0</v>
      </c>
      <c r="J9857" s="1">
        <v>9467487</v>
      </c>
      <c r="K9857">
        <v>0</v>
      </c>
    </row>
    <row r="9858" spans="1:11" x14ac:dyDescent="0.25">
      <c r="A9858" t="s">
        <v>9</v>
      </c>
      <c r="B9858" t="s">
        <v>40</v>
      </c>
      <c r="C9858" t="s">
        <v>875</v>
      </c>
      <c r="D9858" t="s">
        <v>14</v>
      </c>
      <c r="E9858">
        <v>3</v>
      </c>
      <c r="F9858" s="2">
        <f>DATE(2026,IF(Tabla1[[#This Row],[Mes de Fecha]]="Septiembre",9,10),Tabla1[[#This Row],[Día de Fecha]])</f>
        <v>46298</v>
      </c>
      <c r="G9858">
        <v>1005205978</v>
      </c>
      <c r="H9858" t="s">
        <v>41</v>
      </c>
      <c r="I9858">
        <v>171</v>
      </c>
      <c r="J9858">
        <v>0</v>
      </c>
      <c r="K9858" s="1">
        <v>7887701</v>
      </c>
    </row>
    <row r="9859" spans="1:11" x14ac:dyDescent="0.25">
      <c r="A9859" t="s">
        <v>9</v>
      </c>
      <c r="B9859" t="s">
        <v>40</v>
      </c>
      <c r="C9859" t="s">
        <v>875</v>
      </c>
      <c r="D9859" t="s">
        <v>14</v>
      </c>
      <c r="E9859">
        <v>4</v>
      </c>
      <c r="F9859" s="2">
        <f>DATE(2026,IF(Tabla1[[#This Row],[Mes de Fecha]]="Septiembre",9,10),Tabla1[[#This Row],[Día de Fecha]])</f>
        <v>46299</v>
      </c>
      <c r="I9859">
        <v>0</v>
      </c>
      <c r="J9859" s="1">
        <v>5145177</v>
      </c>
      <c r="K9859">
        <v>0</v>
      </c>
    </row>
    <row r="9860" spans="1:11" x14ac:dyDescent="0.25">
      <c r="A9860" t="s">
        <v>9</v>
      </c>
      <c r="B9860" t="s">
        <v>40</v>
      </c>
      <c r="C9860" t="s">
        <v>875</v>
      </c>
      <c r="D9860" t="s">
        <v>14</v>
      </c>
      <c r="E9860">
        <v>4</v>
      </c>
      <c r="F9860" s="2">
        <f>DATE(2026,IF(Tabla1[[#This Row],[Mes de Fecha]]="Septiembre",9,10),Tabla1[[#This Row],[Día de Fecha]])</f>
        <v>46299</v>
      </c>
      <c r="G9860">
        <v>1005205978</v>
      </c>
      <c r="H9860" t="s">
        <v>41</v>
      </c>
      <c r="I9860">
        <v>127</v>
      </c>
      <c r="J9860">
        <v>0</v>
      </c>
      <c r="K9860" s="1">
        <v>6464796</v>
      </c>
    </row>
    <row r="9861" spans="1:11" x14ac:dyDescent="0.25">
      <c r="A9861" t="s">
        <v>9</v>
      </c>
      <c r="B9861" t="s">
        <v>40</v>
      </c>
      <c r="C9861" t="s">
        <v>875</v>
      </c>
      <c r="D9861" t="s">
        <v>14</v>
      </c>
      <c r="E9861">
        <v>5</v>
      </c>
      <c r="F9861" s="2">
        <f>DATE(2026,IF(Tabla1[[#This Row],[Mes de Fecha]]="Septiembre",9,10),Tabla1[[#This Row],[Día de Fecha]])</f>
        <v>46300</v>
      </c>
      <c r="I9861">
        <v>0</v>
      </c>
      <c r="J9861" s="1">
        <v>3623121</v>
      </c>
      <c r="K9861">
        <v>0</v>
      </c>
    </row>
    <row r="9862" spans="1:11" x14ac:dyDescent="0.25">
      <c r="A9862" t="s">
        <v>9</v>
      </c>
      <c r="B9862" t="s">
        <v>40</v>
      </c>
      <c r="C9862" t="s">
        <v>875</v>
      </c>
      <c r="D9862" t="s">
        <v>14</v>
      </c>
      <c r="E9862">
        <v>5</v>
      </c>
      <c r="F9862" s="2">
        <f>DATE(2026,IF(Tabla1[[#This Row],[Mes de Fecha]]="Septiembre",9,10),Tabla1[[#This Row],[Día de Fecha]])</f>
        <v>46300</v>
      </c>
      <c r="G9862">
        <v>1005205978</v>
      </c>
      <c r="H9862" t="s">
        <v>41</v>
      </c>
      <c r="I9862">
        <v>59</v>
      </c>
      <c r="J9862">
        <v>0</v>
      </c>
      <c r="K9862" s="1">
        <v>2976345</v>
      </c>
    </row>
    <row r="9863" spans="1:11" x14ac:dyDescent="0.25">
      <c r="A9863" t="s">
        <v>9</v>
      </c>
      <c r="B9863" t="s">
        <v>40</v>
      </c>
      <c r="C9863" t="s">
        <v>875</v>
      </c>
      <c r="D9863" t="s">
        <v>14</v>
      </c>
      <c r="E9863">
        <v>6</v>
      </c>
      <c r="F9863" s="2">
        <f>DATE(2026,IF(Tabla1[[#This Row],[Mes de Fecha]]="Septiembre",9,10),Tabla1[[#This Row],[Día de Fecha]])</f>
        <v>46301</v>
      </c>
      <c r="I9863">
        <v>0</v>
      </c>
      <c r="J9863" s="1">
        <v>2451909</v>
      </c>
      <c r="K9863">
        <v>0</v>
      </c>
    </row>
    <row r="9864" spans="1:11" x14ac:dyDescent="0.25">
      <c r="A9864" t="s">
        <v>9</v>
      </c>
      <c r="B9864" t="s">
        <v>40</v>
      </c>
      <c r="C9864" t="s">
        <v>875</v>
      </c>
      <c r="D9864" t="s">
        <v>14</v>
      </c>
      <c r="E9864">
        <v>6</v>
      </c>
      <c r="F9864" s="2">
        <f>DATE(2026,IF(Tabla1[[#This Row],[Mes de Fecha]]="Septiembre",9,10),Tabla1[[#This Row],[Día de Fecha]])</f>
        <v>46301</v>
      </c>
      <c r="G9864">
        <v>1005205978</v>
      </c>
      <c r="H9864" t="s">
        <v>41</v>
      </c>
      <c r="I9864">
        <v>80</v>
      </c>
      <c r="J9864">
        <v>0</v>
      </c>
      <c r="K9864" s="1">
        <v>4288406</v>
      </c>
    </row>
    <row r="9865" spans="1:11" x14ac:dyDescent="0.25">
      <c r="A9865" t="s">
        <v>9</v>
      </c>
      <c r="B9865" t="s">
        <v>40</v>
      </c>
      <c r="C9865" t="s">
        <v>875</v>
      </c>
      <c r="D9865" t="s">
        <v>14</v>
      </c>
      <c r="E9865">
        <v>7</v>
      </c>
      <c r="F9865" s="2">
        <f>DATE(2026,IF(Tabla1[[#This Row],[Mes de Fecha]]="Septiembre",9,10),Tabla1[[#This Row],[Día de Fecha]])</f>
        <v>46302</v>
      </c>
      <c r="I9865">
        <v>0</v>
      </c>
      <c r="J9865" s="1">
        <v>273050</v>
      </c>
      <c r="K9865">
        <v>0</v>
      </c>
    </row>
    <row r="9866" spans="1:11" x14ac:dyDescent="0.25">
      <c r="A9866" t="s">
        <v>9</v>
      </c>
      <c r="B9866" t="s">
        <v>40</v>
      </c>
      <c r="C9866" t="s">
        <v>875</v>
      </c>
      <c r="D9866" t="s">
        <v>14</v>
      </c>
      <c r="E9866">
        <v>7</v>
      </c>
      <c r="F9866" s="2">
        <f>DATE(2026,IF(Tabla1[[#This Row],[Mes de Fecha]]="Septiembre",9,10),Tabla1[[#This Row],[Día de Fecha]])</f>
        <v>46302</v>
      </c>
      <c r="G9866">
        <v>1005205978</v>
      </c>
      <c r="H9866" t="s">
        <v>41</v>
      </c>
      <c r="I9866">
        <v>77</v>
      </c>
      <c r="J9866">
        <v>0</v>
      </c>
      <c r="K9866" s="1">
        <v>4162187</v>
      </c>
    </row>
    <row r="9867" spans="1:11" x14ac:dyDescent="0.25">
      <c r="A9867" t="s">
        <v>326</v>
      </c>
      <c r="B9867" t="s">
        <v>412</v>
      </c>
      <c r="C9867" t="s">
        <v>875</v>
      </c>
      <c r="D9867" t="s">
        <v>11</v>
      </c>
      <c r="E9867">
        <v>23</v>
      </c>
      <c r="F9867" s="2">
        <f>DATE(2026,IF(Tabla1[[#This Row],[Mes de Fecha]]="Septiembre",9,10),Tabla1[[#This Row],[Día de Fecha]])</f>
        <v>46288</v>
      </c>
      <c r="I9867">
        <v>0</v>
      </c>
      <c r="J9867" s="1">
        <v>27958968</v>
      </c>
      <c r="K9867">
        <v>0</v>
      </c>
    </row>
    <row r="9868" spans="1:11" x14ac:dyDescent="0.25">
      <c r="A9868" t="s">
        <v>326</v>
      </c>
      <c r="B9868" t="s">
        <v>412</v>
      </c>
      <c r="C9868" t="s">
        <v>875</v>
      </c>
      <c r="D9868" t="s">
        <v>11</v>
      </c>
      <c r="E9868">
        <v>23</v>
      </c>
      <c r="F9868" s="2">
        <f>DATE(2026,IF(Tabla1[[#This Row],[Mes de Fecha]]="Septiembre",9,10),Tabla1[[#This Row],[Día de Fecha]])</f>
        <v>46288</v>
      </c>
      <c r="G9868">
        <v>1004879853</v>
      </c>
      <c r="H9868" t="s">
        <v>381</v>
      </c>
      <c r="I9868">
        <v>116</v>
      </c>
      <c r="J9868">
        <v>0</v>
      </c>
      <c r="K9868" s="1">
        <v>7190514</v>
      </c>
    </row>
    <row r="9869" spans="1:11" x14ac:dyDescent="0.25">
      <c r="A9869" t="s">
        <v>326</v>
      </c>
      <c r="B9869" t="s">
        <v>412</v>
      </c>
      <c r="C9869" t="s">
        <v>875</v>
      </c>
      <c r="D9869" t="s">
        <v>11</v>
      </c>
      <c r="E9869">
        <v>23</v>
      </c>
      <c r="F9869" s="2">
        <f>DATE(2026,IF(Tabla1[[#This Row],[Mes de Fecha]]="Septiembre",9,10),Tabla1[[#This Row],[Día de Fecha]])</f>
        <v>46288</v>
      </c>
      <c r="G9869">
        <v>1004925792</v>
      </c>
      <c r="H9869" t="s">
        <v>413</v>
      </c>
      <c r="I9869">
        <v>150</v>
      </c>
      <c r="J9869">
        <v>0</v>
      </c>
      <c r="K9869" s="1">
        <v>9619631</v>
      </c>
    </row>
    <row r="9870" spans="1:11" x14ac:dyDescent="0.25">
      <c r="A9870" t="s">
        <v>326</v>
      </c>
      <c r="B9870" t="s">
        <v>412</v>
      </c>
      <c r="C9870" t="s">
        <v>875</v>
      </c>
      <c r="D9870" t="s">
        <v>11</v>
      </c>
      <c r="E9870">
        <v>23</v>
      </c>
      <c r="F9870" s="2">
        <f>DATE(2026,IF(Tabla1[[#This Row],[Mes de Fecha]]="Septiembre",9,10),Tabla1[[#This Row],[Día de Fecha]])</f>
        <v>46288</v>
      </c>
      <c r="G9870">
        <v>1091357320</v>
      </c>
      <c r="H9870" t="s">
        <v>415</v>
      </c>
      <c r="I9870">
        <v>20</v>
      </c>
      <c r="J9870">
        <v>0</v>
      </c>
      <c r="K9870" s="1">
        <v>1051684</v>
      </c>
    </row>
    <row r="9871" spans="1:11" x14ac:dyDescent="0.25">
      <c r="A9871" t="s">
        <v>326</v>
      </c>
      <c r="B9871" t="s">
        <v>412</v>
      </c>
      <c r="C9871" t="s">
        <v>875</v>
      </c>
      <c r="D9871" t="s">
        <v>11</v>
      </c>
      <c r="E9871">
        <v>23</v>
      </c>
      <c r="F9871" s="2">
        <f>DATE(2026,IF(Tabla1[[#This Row],[Mes de Fecha]]="Septiembre",9,10),Tabla1[[#This Row],[Día de Fecha]])</f>
        <v>46288</v>
      </c>
      <c r="G9871">
        <v>1093294237</v>
      </c>
      <c r="H9871" t="s">
        <v>416</v>
      </c>
      <c r="I9871">
        <v>9</v>
      </c>
      <c r="J9871">
        <v>0</v>
      </c>
      <c r="K9871" s="1">
        <v>470211</v>
      </c>
    </row>
    <row r="9872" spans="1:11" x14ac:dyDescent="0.25">
      <c r="A9872" t="s">
        <v>326</v>
      </c>
      <c r="B9872" t="s">
        <v>412</v>
      </c>
      <c r="C9872" t="s">
        <v>875</v>
      </c>
      <c r="D9872" t="s">
        <v>11</v>
      </c>
      <c r="E9872">
        <v>23</v>
      </c>
      <c r="F9872" s="2">
        <f>DATE(2026,IF(Tabla1[[#This Row],[Mes de Fecha]]="Septiembre",9,10),Tabla1[[#This Row],[Día de Fecha]])</f>
        <v>46288</v>
      </c>
      <c r="G9872">
        <v>1094047894</v>
      </c>
      <c r="H9872" t="s">
        <v>414</v>
      </c>
      <c r="I9872">
        <v>147</v>
      </c>
      <c r="J9872">
        <v>0</v>
      </c>
      <c r="K9872" s="1">
        <v>9313076</v>
      </c>
    </row>
    <row r="9873" spans="1:11" x14ac:dyDescent="0.25">
      <c r="A9873" t="s">
        <v>326</v>
      </c>
      <c r="B9873" t="s">
        <v>412</v>
      </c>
      <c r="C9873" t="s">
        <v>875</v>
      </c>
      <c r="D9873" t="s">
        <v>11</v>
      </c>
      <c r="E9873">
        <v>23</v>
      </c>
      <c r="F9873" s="2">
        <f>DATE(2026,IF(Tabla1[[#This Row],[Mes de Fecha]]="Septiembre",9,10),Tabla1[[#This Row],[Día de Fecha]])</f>
        <v>46288</v>
      </c>
      <c r="G9873">
        <v>1127047270</v>
      </c>
      <c r="H9873" t="s">
        <v>417</v>
      </c>
      <c r="I9873">
        <v>23</v>
      </c>
      <c r="J9873">
        <v>0</v>
      </c>
      <c r="K9873" s="1">
        <v>1330926</v>
      </c>
    </row>
    <row r="9874" spans="1:11" x14ac:dyDescent="0.25">
      <c r="A9874" t="s">
        <v>326</v>
      </c>
      <c r="B9874" t="s">
        <v>412</v>
      </c>
      <c r="C9874" t="s">
        <v>875</v>
      </c>
      <c r="D9874" t="s">
        <v>11</v>
      </c>
      <c r="E9874">
        <v>24</v>
      </c>
      <c r="F9874" s="2">
        <f>DATE(2026,IF(Tabla1[[#This Row],[Mes de Fecha]]="Septiembre",9,10),Tabla1[[#This Row],[Día de Fecha]])</f>
        <v>46289</v>
      </c>
      <c r="I9874">
        <v>0</v>
      </c>
      <c r="J9874" s="1">
        <v>42710470</v>
      </c>
      <c r="K9874">
        <v>0</v>
      </c>
    </row>
    <row r="9875" spans="1:11" x14ac:dyDescent="0.25">
      <c r="A9875" t="s">
        <v>326</v>
      </c>
      <c r="B9875" t="s">
        <v>412</v>
      </c>
      <c r="C9875" t="s">
        <v>875</v>
      </c>
      <c r="D9875" t="s">
        <v>11</v>
      </c>
      <c r="E9875">
        <v>24</v>
      </c>
      <c r="F9875" s="2">
        <f>DATE(2026,IF(Tabla1[[#This Row],[Mes de Fecha]]="Septiembre",9,10),Tabla1[[#This Row],[Día de Fecha]])</f>
        <v>46289</v>
      </c>
      <c r="G9875">
        <v>1004879853</v>
      </c>
      <c r="H9875" t="s">
        <v>381</v>
      </c>
      <c r="I9875">
        <v>150</v>
      </c>
      <c r="J9875">
        <v>0</v>
      </c>
      <c r="K9875" s="1">
        <v>8640764</v>
      </c>
    </row>
    <row r="9876" spans="1:11" x14ac:dyDescent="0.25">
      <c r="A9876" t="s">
        <v>326</v>
      </c>
      <c r="B9876" t="s">
        <v>412</v>
      </c>
      <c r="C9876" t="s">
        <v>875</v>
      </c>
      <c r="D9876" t="s">
        <v>11</v>
      </c>
      <c r="E9876">
        <v>24</v>
      </c>
      <c r="F9876" s="2">
        <f>DATE(2026,IF(Tabla1[[#This Row],[Mes de Fecha]]="Septiembre",9,10),Tabla1[[#This Row],[Día de Fecha]])</f>
        <v>46289</v>
      </c>
      <c r="G9876">
        <v>1004925792</v>
      </c>
      <c r="H9876" t="s">
        <v>413</v>
      </c>
      <c r="I9876">
        <v>126</v>
      </c>
      <c r="J9876">
        <v>0</v>
      </c>
      <c r="K9876" s="1">
        <v>7494546</v>
      </c>
    </row>
    <row r="9877" spans="1:11" x14ac:dyDescent="0.25">
      <c r="A9877" t="s">
        <v>326</v>
      </c>
      <c r="B9877" t="s">
        <v>412</v>
      </c>
      <c r="C9877" t="s">
        <v>875</v>
      </c>
      <c r="D9877" t="s">
        <v>11</v>
      </c>
      <c r="E9877">
        <v>24</v>
      </c>
      <c r="F9877" s="2">
        <f>DATE(2026,IF(Tabla1[[#This Row],[Mes de Fecha]]="Septiembre",9,10),Tabla1[[#This Row],[Día de Fecha]])</f>
        <v>46289</v>
      </c>
      <c r="G9877">
        <v>1091357320</v>
      </c>
      <c r="H9877" t="s">
        <v>415</v>
      </c>
      <c r="I9877">
        <v>36</v>
      </c>
      <c r="J9877">
        <v>0</v>
      </c>
      <c r="K9877" s="1">
        <v>2143449</v>
      </c>
    </row>
    <row r="9878" spans="1:11" x14ac:dyDescent="0.25">
      <c r="A9878" t="s">
        <v>326</v>
      </c>
      <c r="B9878" t="s">
        <v>412</v>
      </c>
      <c r="C9878" t="s">
        <v>875</v>
      </c>
      <c r="D9878" t="s">
        <v>11</v>
      </c>
      <c r="E9878">
        <v>24</v>
      </c>
      <c r="F9878" s="2">
        <f>DATE(2026,IF(Tabla1[[#This Row],[Mes de Fecha]]="Septiembre",9,10),Tabla1[[#This Row],[Día de Fecha]])</f>
        <v>46289</v>
      </c>
      <c r="G9878">
        <v>1093294237</v>
      </c>
      <c r="H9878" t="s">
        <v>416</v>
      </c>
      <c r="I9878">
        <v>43</v>
      </c>
      <c r="J9878">
        <v>0</v>
      </c>
      <c r="K9878" s="1">
        <v>2519163</v>
      </c>
    </row>
    <row r="9879" spans="1:11" x14ac:dyDescent="0.25">
      <c r="A9879" t="s">
        <v>326</v>
      </c>
      <c r="B9879" t="s">
        <v>412</v>
      </c>
      <c r="C9879" t="s">
        <v>875</v>
      </c>
      <c r="D9879" t="s">
        <v>11</v>
      </c>
      <c r="E9879">
        <v>24</v>
      </c>
      <c r="F9879" s="2">
        <f>DATE(2026,IF(Tabla1[[#This Row],[Mes de Fecha]]="Septiembre",9,10),Tabla1[[#This Row],[Día de Fecha]])</f>
        <v>46289</v>
      </c>
      <c r="G9879">
        <v>1094047894</v>
      </c>
      <c r="H9879" t="s">
        <v>414</v>
      </c>
      <c r="I9879">
        <v>190</v>
      </c>
      <c r="J9879">
        <v>0</v>
      </c>
      <c r="K9879" s="1">
        <v>10996189</v>
      </c>
    </row>
    <row r="9880" spans="1:11" x14ac:dyDescent="0.25">
      <c r="A9880" t="s">
        <v>326</v>
      </c>
      <c r="B9880" t="s">
        <v>412</v>
      </c>
      <c r="C9880" t="s">
        <v>875</v>
      </c>
      <c r="D9880" t="s">
        <v>11</v>
      </c>
      <c r="E9880">
        <v>24</v>
      </c>
      <c r="F9880" s="2">
        <f>DATE(2026,IF(Tabla1[[#This Row],[Mes de Fecha]]="Septiembre",9,10),Tabla1[[#This Row],[Día de Fecha]])</f>
        <v>46289</v>
      </c>
      <c r="G9880">
        <v>1127047270</v>
      </c>
      <c r="H9880" t="s">
        <v>417</v>
      </c>
      <c r="I9880">
        <v>43</v>
      </c>
      <c r="J9880">
        <v>0</v>
      </c>
      <c r="K9880" s="1">
        <v>2422482</v>
      </c>
    </row>
    <row r="9881" spans="1:11" x14ac:dyDescent="0.25">
      <c r="A9881" t="s">
        <v>326</v>
      </c>
      <c r="B9881" t="s">
        <v>412</v>
      </c>
      <c r="C9881" t="s">
        <v>875</v>
      </c>
      <c r="D9881" t="s">
        <v>11</v>
      </c>
      <c r="E9881">
        <v>25</v>
      </c>
      <c r="F9881" s="2">
        <f>DATE(2026,IF(Tabla1[[#This Row],[Mes de Fecha]]="Septiembre",9,10),Tabla1[[#This Row],[Día de Fecha]])</f>
        <v>46290</v>
      </c>
      <c r="I9881">
        <v>0</v>
      </c>
      <c r="J9881" s="1">
        <v>42615919</v>
      </c>
      <c r="K9881">
        <v>0</v>
      </c>
    </row>
    <row r="9882" spans="1:11" x14ac:dyDescent="0.25">
      <c r="A9882" t="s">
        <v>326</v>
      </c>
      <c r="B9882" t="s">
        <v>412</v>
      </c>
      <c r="C9882" t="s">
        <v>875</v>
      </c>
      <c r="D9882" t="s">
        <v>11</v>
      </c>
      <c r="E9882">
        <v>25</v>
      </c>
      <c r="F9882" s="2">
        <f>DATE(2026,IF(Tabla1[[#This Row],[Mes de Fecha]]="Septiembre",9,10),Tabla1[[#This Row],[Día de Fecha]])</f>
        <v>46290</v>
      </c>
      <c r="G9882">
        <v>1004879853</v>
      </c>
      <c r="H9882" t="s">
        <v>381</v>
      </c>
      <c r="I9882">
        <v>224</v>
      </c>
      <c r="J9882">
        <v>0</v>
      </c>
      <c r="K9882" s="1">
        <v>13828676</v>
      </c>
    </row>
    <row r="9883" spans="1:11" x14ac:dyDescent="0.25">
      <c r="A9883" t="s">
        <v>326</v>
      </c>
      <c r="B9883" t="s">
        <v>412</v>
      </c>
      <c r="C9883" t="s">
        <v>875</v>
      </c>
      <c r="D9883" t="s">
        <v>11</v>
      </c>
      <c r="E9883">
        <v>25</v>
      </c>
      <c r="F9883" s="2">
        <f>DATE(2026,IF(Tabla1[[#This Row],[Mes de Fecha]]="Septiembre",9,10),Tabla1[[#This Row],[Día de Fecha]])</f>
        <v>46290</v>
      </c>
      <c r="G9883">
        <v>1004925792</v>
      </c>
      <c r="H9883" t="s">
        <v>413</v>
      </c>
      <c r="I9883">
        <v>0</v>
      </c>
      <c r="J9883">
        <v>0</v>
      </c>
      <c r="K9883" s="1">
        <v>33655</v>
      </c>
    </row>
    <row r="9884" spans="1:11" x14ac:dyDescent="0.25">
      <c r="A9884" t="s">
        <v>326</v>
      </c>
      <c r="B9884" t="s">
        <v>412</v>
      </c>
      <c r="C9884" t="s">
        <v>875</v>
      </c>
      <c r="D9884" t="s">
        <v>11</v>
      </c>
      <c r="E9884">
        <v>25</v>
      </c>
      <c r="F9884" s="2">
        <f>DATE(2026,IF(Tabla1[[#This Row],[Mes de Fecha]]="Septiembre",9,10),Tabla1[[#This Row],[Día de Fecha]])</f>
        <v>46290</v>
      </c>
      <c r="G9884">
        <v>1091357320</v>
      </c>
      <c r="H9884" t="s">
        <v>415</v>
      </c>
      <c r="I9884">
        <v>83</v>
      </c>
      <c r="J9884">
        <v>0</v>
      </c>
      <c r="K9884" s="1">
        <v>4891264</v>
      </c>
    </row>
    <row r="9885" spans="1:11" x14ac:dyDescent="0.25">
      <c r="A9885" t="s">
        <v>326</v>
      </c>
      <c r="B9885" t="s">
        <v>412</v>
      </c>
      <c r="C9885" t="s">
        <v>875</v>
      </c>
      <c r="D9885" t="s">
        <v>11</v>
      </c>
      <c r="E9885">
        <v>25</v>
      </c>
      <c r="F9885" s="2">
        <f>DATE(2026,IF(Tabla1[[#This Row],[Mes de Fecha]]="Septiembre",9,10),Tabla1[[#This Row],[Día de Fecha]])</f>
        <v>46290</v>
      </c>
      <c r="G9885">
        <v>1093294237</v>
      </c>
      <c r="H9885" t="s">
        <v>416</v>
      </c>
      <c r="I9885">
        <v>73</v>
      </c>
      <c r="J9885">
        <v>0</v>
      </c>
      <c r="K9885" s="1">
        <v>3723701</v>
      </c>
    </row>
    <row r="9886" spans="1:11" x14ac:dyDescent="0.25">
      <c r="A9886" t="s">
        <v>326</v>
      </c>
      <c r="B9886" t="s">
        <v>412</v>
      </c>
      <c r="C9886" t="s">
        <v>875</v>
      </c>
      <c r="D9886" t="s">
        <v>11</v>
      </c>
      <c r="E9886">
        <v>25</v>
      </c>
      <c r="F9886" s="2">
        <f>DATE(2026,IF(Tabla1[[#This Row],[Mes de Fecha]]="Septiembre",9,10),Tabla1[[#This Row],[Día de Fecha]])</f>
        <v>46290</v>
      </c>
      <c r="G9886">
        <v>1094047894</v>
      </c>
      <c r="H9886" t="s">
        <v>414</v>
      </c>
      <c r="I9886">
        <v>181</v>
      </c>
      <c r="J9886">
        <v>0</v>
      </c>
      <c r="K9886" s="1">
        <v>10649846</v>
      </c>
    </row>
    <row r="9887" spans="1:11" x14ac:dyDescent="0.25">
      <c r="A9887" t="s">
        <v>326</v>
      </c>
      <c r="B9887" t="s">
        <v>412</v>
      </c>
      <c r="C9887" t="s">
        <v>875</v>
      </c>
      <c r="D9887" t="s">
        <v>11</v>
      </c>
      <c r="E9887">
        <v>25</v>
      </c>
      <c r="F9887" s="2">
        <f>DATE(2026,IF(Tabla1[[#This Row],[Mes de Fecha]]="Septiembre",9,10),Tabla1[[#This Row],[Día de Fecha]])</f>
        <v>46290</v>
      </c>
      <c r="G9887">
        <v>1127047270</v>
      </c>
      <c r="H9887" t="s">
        <v>417</v>
      </c>
      <c r="I9887">
        <v>60</v>
      </c>
      <c r="J9887">
        <v>0</v>
      </c>
      <c r="K9887" s="1">
        <v>3562565</v>
      </c>
    </row>
    <row r="9888" spans="1:11" x14ac:dyDescent="0.25">
      <c r="A9888" t="s">
        <v>326</v>
      </c>
      <c r="B9888" t="s">
        <v>412</v>
      </c>
      <c r="C9888" t="s">
        <v>875</v>
      </c>
      <c r="D9888" t="s">
        <v>11</v>
      </c>
      <c r="E9888">
        <v>26</v>
      </c>
      <c r="F9888" s="2">
        <f>DATE(2026,IF(Tabla1[[#This Row],[Mes de Fecha]]="Septiembre",9,10),Tabla1[[#This Row],[Día de Fecha]])</f>
        <v>46291</v>
      </c>
      <c r="I9888">
        <v>0</v>
      </c>
      <c r="J9888" s="1">
        <v>61245198</v>
      </c>
      <c r="K9888">
        <v>0</v>
      </c>
    </row>
    <row r="9889" spans="1:11" x14ac:dyDescent="0.25">
      <c r="A9889" t="s">
        <v>326</v>
      </c>
      <c r="B9889" t="s">
        <v>412</v>
      </c>
      <c r="C9889" t="s">
        <v>875</v>
      </c>
      <c r="D9889" t="s">
        <v>11</v>
      </c>
      <c r="E9889">
        <v>26</v>
      </c>
      <c r="F9889" s="2">
        <f>DATE(2026,IF(Tabla1[[#This Row],[Mes de Fecha]]="Septiembre",9,10),Tabla1[[#This Row],[Día de Fecha]])</f>
        <v>46291</v>
      </c>
      <c r="G9889">
        <v>1004879853</v>
      </c>
      <c r="H9889" t="s">
        <v>381</v>
      </c>
      <c r="I9889">
        <v>252</v>
      </c>
      <c r="J9889">
        <v>0</v>
      </c>
      <c r="K9889" s="1">
        <v>14461818</v>
      </c>
    </row>
    <row r="9890" spans="1:11" x14ac:dyDescent="0.25">
      <c r="A9890" t="s">
        <v>326</v>
      </c>
      <c r="B9890" t="s">
        <v>412</v>
      </c>
      <c r="C9890" t="s">
        <v>875</v>
      </c>
      <c r="D9890" t="s">
        <v>11</v>
      </c>
      <c r="E9890">
        <v>26</v>
      </c>
      <c r="F9890" s="2">
        <f>DATE(2026,IF(Tabla1[[#This Row],[Mes de Fecha]]="Septiembre",9,10),Tabla1[[#This Row],[Día de Fecha]])</f>
        <v>46291</v>
      </c>
      <c r="G9890">
        <v>1091357320</v>
      </c>
      <c r="H9890" t="s">
        <v>415</v>
      </c>
      <c r="I9890">
        <v>92</v>
      </c>
      <c r="J9890">
        <v>0</v>
      </c>
      <c r="K9890" s="1">
        <v>5733326</v>
      </c>
    </row>
    <row r="9891" spans="1:11" x14ac:dyDescent="0.25">
      <c r="A9891" t="s">
        <v>326</v>
      </c>
      <c r="B9891" t="s">
        <v>412</v>
      </c>
      <c r="C9891" t="s">
        <v>875</v>
      </c>
      <c r="D9891" t="s">
        <v>11</v>
      </c>
      <c r="E9891">
        <v>26</v>
      </c>
      <c r="F9891" s="2">
        <f>DATE(2026,IF(Tabla1[[#This Row],[Mes de Fecha]]="Septiembre",9,10),Tabla1[[#This Row],[Día de Fecha]])</f>
        <v>46291</v>
      </c>
      <c r="G9891">
        <v>1092530235</v>
      </c>
      <c r="H9891" t="s">
        <v>418</v>
      </c>
      <c r="I9891">
        <v>-1</v>
      </c>
      <c r="J9891">
        <v>0</v>
      </c>
      <c r="K9891" s="1">
        <v>-46177</v>
      </c>
    </row>
    <row r="9892" spans="1:11" x14ac:dyDescent="0.25">
      <c r="A9892" t="s">
        <v>326</v>
      </c>
      <c r="B9892" t="s">
        <v>412</v>
      </c>
      <c r="C9892" t="s">
        <v>875</v>
      </c>
      <c r="D9892" t="s">
        <v>11</v>
      </c>
      <c r="E9892">
        <v>26</v>
      </c>
      <c r="F9892" s="2">
        <f>DATE(2026,IF(Tabla1[[#This Row],[Mes de Fecha]]="Septiembre",9,10),Tabla1[[#This Row],[Día de Fecha]])</f>
        <v>46291</v>
      </c>
      <c r="G9892">
        <v>1093294237</v>
      </c>
      <c r="H9892" t="s">
        <v>416</v>
      </c>
      <c r="I9892">
        <v>34</v>
      </c>
      <c r="J9892">
        <v>0</v>
      </c>
      <c r="K9892" s="1">
        <v>2137144</v>
      </c>
    </row>
    <row r="9893" spans="1:11" x14ac:dyDescent="0.25">
      <c r="A9893" t="s">
        <v>326</v>
      </c>
      <c r="B9893" t="s">
        <v>412</v>
      </c>
      <c r="C9893" t="s">
        <v>875</v>
      </c>
      <c r="D9893" t="s">
        <v>11</v>
      </c>
      <c r="E9893">
        <v>26</v>
      </c>
      <c r="F9893" s="2">
        <f>DATE(2026,IF(Tabla1[[#This Row],[Mes de Fecha]]="Septiembre",9,10),Tabla1[[#This Row],[Día de Fecha]])</f>
        <v>46291</v>
      </c>
      <c r="G9893">
        <v>1094047894</v>
      </c>
      <c r="H9893" t="s">
        <v>414</v>
      </c>
      <c r="I9893">
        <v>286</v>
      </c>
      <c r="J9893">
        <v>0</v>
      </c>
      <c r="K9893" s="1">
        <v>17166193</v>
      </c>
    </row>
    <row r="9894" spans="1:11" x14ac:dyDescent="0.25">
      <c r="A9894" t="s">
        <v>326</v>
      </c>
      <c r="B9894" t="s">
        <v>412</v>
      </c>
      <c r="C9894" t="s">
        <v>875</v>
      </c>
      <c r="D9894" t="s">
        <v>11</v>
      </c>
      <c r="E9894">
        <v>26</v>
      </c>
      <c r="F9894" s="2">
        <f>DATE(2026,IF(Tabla1[[#This Row],[Mes de Fecha]]="Septiembre",9,10),Tabla1[[#This Row],[Día de Fecha]])</f>
        <v>46291</v>
      </c>
      <c r="G9894">
        <v>1127047270</v>
      </c>
      <c r="H9894" t="s">
        <v>417</v>
      </c>
      <c r="I9894">
        <v>89</v>
      </c>
      <c r="J9894">
        <v>0</v>
      </c>
      <c r="K9894" s="1">
        <v>5542233</v>
      </c>
    </row>
    <row r="9895" spans="1:11" x14ac:dyDescent="0.25">
      <c r="A9895" t="s">
        <v>326</v>
      </c>
      <c r="B9895" t="s">
        <v>412</v>
      </c>
      <c r="C9895" t="s">
        <v>875</v>
      </c>
      <c r="D9895" t="s">
        <v>11</v>
      </c>
      <c r="E9895">
        <v>27</v>
      </c>
      <c r="F9895" s="2">
        <f>DATE(2026,IF(Tabla1[[#This Row],[Mes de Fecha]]="Septiembre",9,10),Tabla1[[#This Row],[Día de Fecha]])</f>
        <v>46292</v>
      </c>
      <c r="I9895">
        <v>0</v>
      </c>
      <c r="J9895" s="1">
        <v>48518524</v>
      </c>
      <c r="K9895">
        <v>0</v>
      </c>
    </row>
    <row r="9896" spans="1:11" x14ac:dyDescent="0.25">
      <c r="A9896" t="s">
        <v>326</v>
      </c>
      <c r="B9896" t="s">
        <v>412</v>
      </c>
      <c r="C9896" t="s">
        <v>875</v>
      </c>
      <c r="D9896" t="s">
        <v>11</v>
      </c>
      <c r="E9896">
        <v>27</v>
      </c>
      <c r="F9896" s="2">
        <f>DATE(2026,IF(Tabla1[[#This Row],[Mes de Fecha]]="Septiembre",9,10),Tabla1[[#This Row],[Día de Fecha]])</f>
        <v>46292</v>
      </c>
      <c r="G9896">
        <v>1004879853</v>
      </c>
      <c r="H9896" t="s">
        <v>381</v>
      </c>
      <c r="I9896">
        <v>263</v>
      </c>
      <c r="J9896">
        <v>0</v>
      </c>
      <c r="K9896" s="1">
        <v>15576742</v>
      </c>
    </row>
    <row r="9897" spans="1:11" x14ac:dyDescent="0.25">
      <c r="A9897" t="s">
        <v>326</v>
      </c>
      <c r="B9897" t="s">
        <v>412</v>
      </c>
      <c r="C9897" t="s">
        <v>875</v>
      </c>
      <c r="D9897" t="s">
        <v>11</v>
      </c>
      <c r="E9897">
        <v>27</v>
      </c>
      <c r="F9897" s="2">
        <f>DATE(2026,IF(Tabla1[[#This Row],[Mes de Fecha]]="Septiembre",9,10),Tabla1[[#This Row],[Día de Fecha]])</f>
        <v>46292</v>
      </c>
      <c r="G9897">
        <v>1030040455</v>
      </c>
      <c r="H9897" t="s">
        <v>419</v>
      </c>
      <c r="I9897">
        <v>-1</v>
      </c>
      <c r="J9897">
        <v>0</v>
      </c>
      <c r="K9897" s="1">
        <v>-46177</v>
      </c>
    </row>
    <row r="9898" spans="1:11" x14ac:dyDescent="0.25">
      <c r="A9898" t="s">
        <v>326</v>
      </c>
      <c r="B9898" t="s">
        <v>412</v>
      </c>
      <c r="C9898" t="s">
        <v>875</v>
      </c>
      <c r="D9898" t="s">
        <v>11</v>
      </c>
      <c r="E9898">
        <v>27</v>
      </c>
      <c r="F9898" s="2">
        <f>DATE(2026,IF(Tabla1[[#This Row],[Mes de Fecha]]="Septiembre",9,10),Tabla1[[#This Row],[Día de Fecha]])</f>
        <v>46292</v>
      </c>
      <c r="G9898">
        <v>1091357320</v>
      </c>
      <c r="H9898" t="s">
        <v>415</v>
      </c>
      <c r="I9898">
        <v>70</v>
      </c>
      <c r="J9898">
        <v>0</v>
      </c>
      <c r="K9898" s="1">
        <v>4097654</v>
      </c>
    </row>
    <row r="9899" spans="1:11" x14ac:dyDescent="0.25">
      <c r="A9899" t="s">
        <v>326</v>
      </c>
      <c r="B9899" t="s">
        <v>412</v>
      </c>
      <c r="C9899" t="s">
        <v>875</v>
      </c>
      <c r="D9899" t="s">
        <v>11</v>
      </c>
      <c r="E9899">
        <v>27</v>
      </c>
      <c r="F9899" s="2">
        <f>DATE(2026,IF(Tabla1[[#This Row],[Mes de Fecha]]="Septiembre",9,10),Tabla1[[#This Row],[Día de Fecha]])</f>
        <v>46292</v>
      </c>
      <c r="G9899">
        <v>1093294237</v>
      </c>
      <c r="H9899" t="s">
        <v>416</v>
      </c>
      <c r="I9899">
        <v>64</v>
      </c>
      <c r="J9899">
        <v>0</v>
      </c>
      <c r="K9899" s="1">
        <v>3900549</v>
      </c>
    </row>
    <row r="9900" spans="1:11" x14ac:dyDescent="0.25">
      <c r="A9900" t="s">
        <v>326</v>
      </c>
      <c r="B9900" t="s">
        <v>412</v>
      </c>
      <c r="C9900" t="s">
        <v>875</v>
      </c>
      <c r="D9900" t="s">
        <v>11</v>
      </c>
      <c r="E9900">
        <v>27</v>
      </c>
      <c r="F9900" s="2">
        <f>DATE(2026,IF(Tabla1[[#This Row],[Mes de Fecha]]="Septiembre",9,10),Tabla1[[#This Row],[Día de Fecha]])</f>
        <v>46292</v>
      </c>
      <c r="G9900">
        <v>1094047894</v>
      </c>
      <c r="H9900" t="s">
        <v>414</v>
      </c>
      <c r="I9900">
        <v>219</v>
      </c>
      <c r="J9900">
        <v>0</v>
      </c>
      <c r="K9900" s="1">
        <v>13398077</v>
      </c>
    </row>
    <row r="9901" spans="1:11" x14ac:dyDescent="0.25">
      <c r="A9901" t="s">
        <v>326</v>
      </c>
      <c r="B9901" t="s">
        <v>412</v>
      </c>
      <c r="C9901" t="s">
        <v>875</v>
      </c>
      <c r="D9901" t="s">
        <v>11</v>
      </c>
      <c r="E9901">
        <v>27</v>
      </c>
      <c r="F9901" s="2">
        <f>DATE(2026,IF(Tabla1[[#This Row],[Mes de Fecha]]="Septiembre",9,10),Tabla1[[#This Row],[Día de Fecha]])</f>
        <v>46292</v>
      </c>
      <c r="G9901">
        <v>1127047270</v>
      </c>
      <c r="H9901" t="s">
        <v>417</v>
      </c>
      <c r="I9901">
        <v>77</v>
      </c>
      <c r="J9901">
        <v>0</v>
      </c>
      <c r="K9901" s="1">
        <v>5672946</v>
      </c>
    </row>
    <row r="9902" spans="1:11" x14ac:dyDescent="0.25">
      <c r="A9902" t="s">
        <v>326</v>
      </c>
      <c r="B9902" t="s">
        <v>412</v>
      </c>
      <c r="C9902" t="s">
        <v>875</v>
      </c>
      <c r="D9902" t="s">
        <v>11</v>
      </c>
      <c r="E9902">
        <v>28</v>
      </c>
      <c r="F9902" s="2">
        <f>DATE(2026,IF(Tabla1[[#This Row],[Mes de Fecha]]="Septiembre",9,10),Tabla1[[#This Row],[Día de Fecha]])</f>
        <v>46293</v>
      </c>
      <c r="I9902">
        <v>0</v>
      </c>
      <c r="J9902" s="1">
        <v>26702606</v>
      </c>
      <c r="K9902">
        <v>0</v>
      </c>
    </row>
    <row r="9903" spans="1:11" x14ac:dyDescent="0.25">
      <c r="A9903" t="s">
        <v>326</v>
      </c>
      <c r="B9903" t="s">
        <v>412</v>
      </c>
      <c r="C9903" t="s">
        <v>875</v>
      </c>
      <c r="D9903" t="s">
        <v>11</v>
      </c>
      <c r="E9903">
        <v>28</v>
      </c>
      <c r="F9903" s="2">
        <f>DATE(2026,IF(Tabla1[[#This Row],[Mes de Fecha]]="Septiembre",9,10),Tabla1[[#This Row],[Día de Fecha]])</f>
        <v>46293</v>
      </c>
      <c r="G9903">
        <v>1004879853</v>
      </c>
      <c r="H9903" t="s">
        <v>381</v>
      </c>
      <c r="I9903">
        <v>108</v>
      </c>
      <c r="J9903">
        <v>0</v>
      </c>
      <c r="K9903" s="1">
        <v>6272697</v>
      </c>
    </row>
    <row r="9904" spans="1:11" x14ac:dyDescent="0.25">
      <c r="A9904" t="s">
        <v>326</v>
      </c>
      <c r="B9904" t="s">
        <v>412</v>
      </c>
      <c r="C9904" t="s">
        <v>875</v>
      </c>
      <c r="D9904" t="s">
        <v>11</v>
      </c>
      <c r="E9904">
        <v>28</v>
      </c>
      <c r="F9904" s="2">
        <f>DATE(2026,IF(Tabla1[[#This Row],[Mes de Fecha]]="Septiembre",9,10),Tabla1[[#This Row],[Día de Fecha]])</f>
        <v>46293</v>
      </c>
      <c r="G9904">
        <v>1004925792</v>
      </c>
      <c r="H9904" t="s">
        <v>413</v>
      </c>
      <c r="I9904">
        <v>57</v>
      </c>
      <c r="J9904">
        <v>0</v>
      </c>
      <c r="K9904" s="1">
        <v>3387542</v>
      </c>
    </row>
    <row r="9905" spans="1:11" x14ac:dyDescent="0.25">
      <c r="A9905" t="s">
        <v>326</v>
      </c>
      <c r="B9905" t="s">
        <v>412</v>
      </c>
      <c r="C9905" t="s">
        <v>875</v>
      </c>
      <c r="D9905" t="s">
        <v>11</v>
      </c>
      <c r="E9905">
        <v>28</v>
      </c>
      <c r="F9905" s="2">
        <f>DATE(2026,IF(Tabla1[[#This Row],[Mes de Fecha]]="Septiembre",9,10),Tabla1[[#This Row],[Día de Fecha]])</f>
        <v>46293</v>
      </c>
      <c r="G9905">
        <v>1091357320</v>
      </c>
      <c r="H9905" t="s">
        <v>415</v>
      </c>
      <c r="I9905">
        <v>14</v>
      </c>
      <c r="J9905">
        <v>0</v>
      </c>
      <c r="K9905" s="1">
        <v>991009</v>
      </c>
    </row>
    <row r="9906" spans="1:11" x14ac:dyDescent="0.25">
      <c r="A9906" t="s">
        <v>326</v>
      </c>
      <c r="B9906" t="s">
        <v>412</v>
      </c>
      <c r="C9906" t="s">
        <v>875</v>
      </c>
      <c r="D9906" t="s">
        <v>11</v>
      </c>
      <c r="E9906">
        <v>28</v>
      </c>
      <c r="F9906" s="2">
        <f>DATE(2026,IF(Tabla1[[#This Row],[Mes de Fecha]]="Septiembre",9,10),Tabla1[[#This Row],[Día de Fecha]])</f>
        <v>46293</v>
      </c>
      <c r="G9906">
        <v>1094047894</v>
      </c>
      <c r="H9906" t="s">
        <v>414</v>
      </c>
      <c r="I9906">
        <v>103</v>
      </c>
      <c r="J9906">
        <v>0</v>
      </c>
      <c r="K9906" s="1">
        <v>6205681</v>
      </c>
    </row>
    <row r="9907" spans="1:11" x14ac:dyDescent="0.25">
      <c r="A9907" t="s">
        <v>326</v>
      </c>
      <c r="B9907" t="s">
        <v>412</v>
      </c>
      <c r="C9907" t="s">
        <v>875</v>
      </c>
      <c r="D9907" t="s">
        <v>11</v>
      </c>
      <c r="E9907">
        <v>29</v>
      </c>
      <c r="F9907" s="2">
        <f>DATE(2026,IF(Tabla1[[#This Row],[Mes de Fecha]]="Septiembre",9,10),Tabla1[[#This Row],[Día de Fecha]])</f>
        <v>46294</v>
      </c>
      <c r="I9907">
        <v>0</v>
      </c>
      <c r="J9907" s="1">
        <v>28523607</v>
      </c>
      <c r="K9907">
        <v>0</v>
      </c>
    </row>
    <row r="9908" spans="1:11" x14ac:dyDescent="0.25">
      <c r="A9908" t="s">
        <v>326</v>
      </c>
      <c r="B9908" t="s">
        <v>412</v>
      </c>
      <c r="C9908" t="s">
        <v>875</v>
      </c>
      <c r="D9908" t="s">
        <v>11</v>
      </c>
      <c r="E9908">
        <v>29</v>
      </c>
      <c r="F9908" s="2">
        <f>DATE(2026,IF(Tabla1[[#This Row],[Mes de Fecha]]="Septiembre",9,10),Tabla1[[#This Row],[Día de Fecha]])</f>
        <v>46294</v>
      </c>
      <c r="G9908">
        <v>1004879853</v>
      </c>
      <c r="H9908" t="s">
        <v>381</v>
      </c>
      <c r="I9908">
        <v>126</v>
      </c>
      <c r="J9908">
        <v>0</v>
      </c>
      <c r="K9908" s="1">
        <v>7305469</v>
      </c>
    </row>
    <row r="9909" spans="1:11" x14ac:dyDescent="0.25">
      <c r="A9909" t="s">
        <v>326</v>
      </c>
      <c r="B9909" t="s">
        <v>412</v>
      </c>
      <c r="C9909" t="s">
        <v>875</v>
      </c>
      <c r="D9909" t="s">
        <v>11</v>
      </c>
      <c r="E9909">
        <v>29</v>
      </c>
      <c r="F9909" s="2">
        <f>DATE(2026,IF(Tabla1[[#This Row],[Mes de Fecha]]="Septiembre",9,10),Tabla1[[#This Row],[Día de Fecha]])</f>
        <v>46294</v>
      </c>
      <c r="G9909">
        <v>1004925792</v>
      </c>
      <c r="H9909" t="s">
        <v>413</v>
      </c>
      <c r="I9909">
        <v>48</v>
      </c>
      <c r="J9909">
        <v>0</v>
      </c>
      <c r="K9909" s="1">
        <v>2867691</v>
      </c>
    </row>
    <row r="9910" spans="1:11" x14ac:dyDescent="0.25">
      <c r="A9910" t="s">
        <v>326</v>
      </c>
      <c r="B9910" t="s">
        <v>412</v>
      </c>
      <c r="C9910" t="s">
        <v>875</v>
      </c>
      <c r="D9910" t="s">
        <v>11</v>
      </c>
      <c r="E9910">
        <v>29</v>
      </c>
      <c r="F9910" s="2">
        <f>DATE(2026,IF(Tabla1[[#This Row],[Mes de Fecha]]="Septiembre",9,10),Tabla1[[#This Row],[Día de Fecha]])</f>
        <v>46294</v>
      </c>
      <c r="G9910">
        <v>1091357320</v>
      </c>
      <c r="H9910" t="s">
        <v>415</v>
      </c>
      <c r="I9910">
        <v>41</v>
      </c>
      <c r="J9910">
        <v>0</v>
      </c>
      <c r="K9910" s="1">
        <v>2267186</v>
      </c>
    </row>
    <row r="9911" spans="1:11" x14ac:dyDescent="0.25">
      <c r="A9911" t="s">
        <v>326</v>
      </c>
      <c r="B9911" t="s">
        <v>412</v>
      </c>
      <c r="C9911" t="s">
        <v>875</v>
      </c>
      <c r="D9911" t="s">
        <v>11</v>
      </c>
      <c r="E9911">
        <v>29</v>
      </c>
      <c r="F9911" s="2">
        <f>DATE(2026,IF(Tabla1[[#This Row],[Mes de Fecha]]="Septiembre",9,10),Tabla1[[#This Row],[Día de Fecha]])</f>
        <v>46294</v>
      </c>
      <c r="G9911">
        <v>1094047894</v>
      </c>
      <c r="H9911" t="s">
        <v>414</v>
      </c>
      <c r="I9911">
        <v>146</v>
      </c>
      <c r="J9911">
        <v>0</v>
      </c>
      <c r="K9911" s="1">
        <v>9273203</v>
      </c>
    </row>
    <row r="9912" spans="1:11" x14ac:dyDescent="0.25">
      <c r="A9912" t="s">
        <v>326</v>
      </c>
      <c r="B9912" t="s">
        <v>412</v>
      </c>
      <c r="C9912" t="s">
        <v>875</v>
      </c>
      <c r="D9912" t="s">
        <v>11</v>
      </c>
      <c r="E9912">
        <v>29</v>
      </c>
      <c r="F9912" s="2">
        <f>DATE(2026,IF(Tabla1[[#This Row],[Mes de Fecha]]="Septiembre",9,10),Tabla1[[#This Row],[Día de Fecha]])</f>
        <v>46294</v>
      </c>
      <c r="G9912">
        <v>1127047270</v>
      </c>
      <c r="H9912" t="s">
        <v>417</v>
      </c>
      <c r="I9912">
        <v>2</v>
      </c>
      <c r="J9912">
        <v>0</v>
      </c>
      <c r="K9912" s="1">
        <v>92311</v>
      </c>
    </row>
    <row r="9913" spans="1:11" x14ac:dyDescent="0.25">
      <c r="A9913" t="s">
        <v>326</v>
      </c>
      <c r="B9913" t="s">
        <v>412</v>
      </c>
      <c r="C9913" t="s">
        <v>875</v>
      </c>
      <c r="D9913" t="s">
        <v>11</v>
      </c>
      <c r="E9913">
        <v>30</v>
      </c>
      <c r="F9913" s="2">
        <f>DATE(2026,IF(Tabla1[[#This Row],[Mes de Fecha]]="Septiembre",9,10),Tabla1[[#This Row],[Día de Fecha]])</f>
        <v>46295</v>
      </c>
      <c r="I9913">
        <v>0</v>
      </c>
      <c r="J9913" s="1">
        <v>29465399</v>
      </c>
      <c r="K9913">
        <v>0</v>
      </c>
    </row>
    <row r="9914" spans="1:11" x14ac:dyDescent="0.25">
      <c r="A9914" t="s">
        <v>326</v>
      </c>
      <c r="B9914" t="s">
        <v>412</v>
      </c>
      <c r="C9914" t="s">
        <v>875</v>
      </c>
      <c r="D9914" t="s">
        <v>11</v>
      </c>
      <c r="E9914">
        <v>30</v>
      </c>
      <c r="F9914" s="2">
        <f>DATE(2026,IF(Tabla1[[#This Row],[Mes de Fecha]]="Septiembre",9,10),Tabla1[[#This Row],[Día de Fecha]])</f>
        <v>46295</v>
      </c>
      <c r="G9914">
        <v>1004879853</v>
      </c>
      <c r="H9914" t="s">
        <v>381</v>
      </c>
      <c r="I9914">
        <v>188</v>
      </c>
      <c r="J9914">
        <v>0</v>
      </c>
      <c r="K9914" s="1">
        <v>10666268</v>
      </c>
    </row>
    <row r="9915" spans="1:11" x14ac:dyDescent="0.25">
      <c r="A9915" t="s">
        <v>326</v>
      </c>
      <c r="B9915" t="s">
        <v>412</v>
      </c>
      <c r="C9915" t="s">
        <v>875</v>
      </c>
      <c r="D9915" t="s">
        <v>11</v>
      </c>
      <c r="E9915">
        <v>30</v>
      </c>
      <c r="F9915" s="2">
        <f>DATE(2026,IF(Tabla1[[#This Row],[Mes de Fecha]]="Septiembre",9,10),Tabla1[[#This Row],[Día de Fecha]])</f>
        <v>46295</v>
      </c>
      <c r="G9915">
        <v>1004925792</v>
      </c>
      <c r="H9915" t="s">
        <v>413</v>
      </c>
      <c r="I9915">
        <v>60</v>
      </c>
      <c r="J9915">
        <v>0</v>
      </c>
      <c r="K9915" s="1">
        <v>3323070</v>
      </c>
    </row>
    <row r="9916" spans="1:11" x14ac:dyDescent="0.25">
      <c r="A9916" t="s">
        <v>326</v>
      </c>
      <c r="B9916" t="s">
        <v>412</v>
      </c>
      <c r="C9916" t="s">
        <v>875</v>
      </c>
      <c r="D9916" t="s">
        <v>11</v>
      </c>
      <c r="E9916">
        <v>30</v>
      </c>
      <c r="F9916" s="2">
        <f>DATE(2026,IF(Tabla1[[#This Row],[Mes de Fecha]]="Septiembre",9,10),Tabla1[[#This Row],[Día de Fecha]])</f>
        <v>46295</v>
      </c>
      <c r="G9916">
        <v>1091357320</v>
      </c>
      <c r="H9916" t="s">
        <v>415</v>
      </c>
      <c r="I9916">
        <v>19</v>
      </c>
      <c r="J9916">
        <v>0</v>
      </c>
      <c r="K9916" s="1">
        <v>961347</v>
      </c>
    </row>
    <row r="9917" spans="1:11" x14ac:dyDescent="0.25">
      <c r="A9917" t="s">
        <v>326</v>
      </c>
      <c r="B9917" t="s">
        <v>412</v>
      </c>
      <c r="C9917" t="s">
        <v>875</v>
      </c>
      <c r="D9917" t="s">
        <v>11</v>
      </c>
      <c r="E9917">
        <v>30</v>
      </c>
      <c r="F9917" s="2">
        <f>DATE(2026,IF(Tabla1[[#This Row],[Mes de Fecha]]="Septiembre",9,10),Tabla1[[#This Row],[Día de Fecha]])</f>
        <v>46295</v>
      </c>
      <c r="G9917">
        <v>1094047894</v>
      </c>
      <c r="H9917" t="s">
        <v>414</v>
      </c>
      <c r="I9917">
        <v>96</v>
      </c>
      <c r="J9917">
        <v>0</v>
      </c>
      <c r="K9917" s="1">
        <v>6071477</v>
      </c>
    </row>
    <row r="9918" spans="1:11" x14ac:dyDescent="0.25">
      <c r="A9918" t="s">
        <v>326</v>
      </c>
      <c r="B9918" t="s">
        <v>412</v>
      </c>
      <c r="C9918" t="s">
        <v>875</v>
      </c>
      <c r="D9918" t="s">
        <v>11</v>
      </c>
      <c r="E9918">
        <v>30</v>
      </c>
      <c r="F9918" s="2">
        <f>DATE(2026,IF(Tabla1[[#This Row],[Mes de Fecha]]="Septiembre",9,10),Tabla1[[#This Row],[Día de Fecha]])</f>
        <v>46295</v>
      </c>
      <c r="G9918">
        <v>1127047270</v>
      </c>
      <c r="H9918" t="s">
        <v>417</v>
      </c>
      <c r="I9918">
        <v>4</v>
      </c>
      <c r="J9918">
        <v>0</v>
      </c>
      <c r="K9918" s="1">
        <v>205715</v>
      </c>
    </row>
    <row r="9919" spans="1:11" x14ac:dyDescent="0.25">
      <c r="A9919" t="s">
        <v>326</v>
      </c>
      <c r="B9919" t="s">
        <v>412</v>
      </c>
      <c r="C9919" t="s">
        <v>875</v>
      </c>
      <c r="D9919" t="s">
        <v>14</v>
      </c>
      <c r="E9919">
        <v>1</v>
      </c>
      <c r="F9919" s="2">
        <f>DATE(2026,IF(Tabla1[[#This Row],[Mes de Fecha]]="Septiembre",9,10),Tabla1[[#This Row],[Día de Fecha]])</f>
        <v>46296</v>
      </c>
      <c r="I9919">
        <v>0</v>
      </c>
      <c r="J9919" s="1">
        <v>33275514</v>
      </c>
      <c r="K9919">
        <v>0</v>
      </c>
    </row>
    <row r="9920" spans="1:11" x14ac:dyDescent="0.25">
      <c r="A9920" t="s">
        <v>326</v>
      </c>
      <c r="B9920" t="s">
        <v>412</v>
      </c>
      <c r="C9920" t="s">
        <v>875</v>
      </c>
      <c r="D9920" t="s">
        <v>14</v>
      </c>
      <c r="E9920">
        <v>1</v>
      </c>
      <c r="F9920" s="2">
        <f>DATE(2026,IF(Tabla1[[#This Row],[Mes de Fecha]]="Septiembre",9,10),Tabla1[[#This Row],[Día de Fecha]])</f>
        <v>46296</v>
      </c>
      <c r="G9920">
        <v>1004879853</v>
      </c>
      <c r="H9920" t="s">
        <v>381</v>
      </c>
      <c r="I9920">
        <v>112</v>
      </c>
      <c r="J9920">
        <v>0</v>
      </c>
      <c r="K9920" s="1">
        <v>6734670</v>
      </c>
    </row>
    <row r="9921" spans="1:11" x14ac:dyDescent="0.25">
      <c r="A9921" t="s">
        <v>326</v>
      </c>
      <c r="B9921" t="s">
        <v>412</v>
      </c>
      <c r="C9921" t="s">
        <v>875</v>
      </c>
      <c r="D9921" t="s">
        <v>14</v>
      </c>
      <c r="E9921">
        <v>1</v>
      </c>
      <c r="F9921" s="2">
        <f>DATE(2026,IF(Tabla1[[#This Row],[Mes de Fecha]]="Septiembre",9,10),Tabla1[[#This Row],[Día de Fecha]])</f>
        <v>46296</v>
      </c>
      <c r="G9921">
        <v>1004925792</v>
      </c>
      <c r="H9921" t="s">
        <v>413</v>
      </c>
      <c r="I9921">
        <v>120</v>
      </c>
      <c r="J9921">
        <v>0</v>
      </c>
      <c r="K9921" s="1">
        <v>7309759</v>
      </c>
    </row>
    <row r="9922" spans="1:11" x14ac:dyDescent="0.25">
      <c r="A9922" t="s">
        <v>326</v>
      </c>
      <c r="B9922" t="s">
        <v>412</v>
      </c>
      <c r="C9922" t="s">
        <v>875</v>
      </c>
      <c r="D9922" t="s">
        <v>14</v>
      </c>
      <c r="E9922">
        <v>1</v>
      </c>
      <c r="F9922" s="2">
        <f>DATE(2026,IF(Tabla1[[#This Row],[Mes de Fecha]]="Septiembre",9,10),Tabla1[[#This Row],[Día de Fecha]])</f>
        <v>46296</v>
      </c>
      <c r="G9922">
        <v>1091357320</v>
      </c>
      <c r="H9922" t="s">
        <v>415</v>
      </c>
      <c r="I9922">
        <v>24</v>
      </c>
      <c r="J9922">
        <v>0</v>
      </c>
      <c r="K9922" s="1">
        <v>1377144</v>
      </c>
    </row>
    <row r="9923" spans="1:11" x14ac:dyDescent="0.25">
      <c r="A9923" t="s">
        <v>326</v>
      </c>
      <c r="B9923" t="s">
        <v>412</v>
      </c>
      <c r="C9923" t="s">
        <v>875</v>
      </c>
      <c r="D9923" t="s">
        <v>14</v>
      </c>
      <c r="E9923">
        <v>1</v>
      </c>
      <c r="F9923" s="2">
        <f>DATE(2026,IF(Tabla1[[#This Row],[Mes de Fecha]]="Septiembre",9,10),Tabla1[[#This Row],[Día de Fecha]])</f>
        <v>46296</v>
      </c>
      <c r="G9923">
        <v>1094047894</v>
      </c>
      <c r="H9923" t="s">
        <v>414</v>
      </c>
      <c r="I9923">
        <v>115</v>
      </c>
      <c r="J9923">
        <v>0</v>
      </c>
      <c r="K9923" s="1">
        <v>6663033</v>
      </c>
    </row>
    <row r="9924" spans="1:11" x14ac:dyDescent="0.25">
      <c r="A9924" t="s">
        <v>326</v>
      </c>
      <c r="B9924" t="s">
        <v>412</v>
      </c>
      <c r="C9924" t="s">
        <v>875</v>
      </c>
      <c r="D9924" t="s">
        <v>14</v>
      </c>
      <c r="E9924">
        <v>1</v>
      </c>
      <c r="F9924" s="2">
        <f>DATE(2026,IF(Tabla1[[#This Row],[Mes de Fecha]]="Septiembre",9,10),Tabla1[[#This Row],[Día de Fecha]])</f>
        <v>46296</v>
      </c>
      <c r="G9924">
        <v>1127047270</v>
      </c>
      <c r="H9924" t="s">
        <v>417</v>
      </c>
      <c r="I9924">
        <v>7</v>
      </c>
      <c r="J9924">
        <v>0</v>
      </c>
      <c r="K9924" s="1">
        <v>264412</v>
      </c>
    </row>
    <row r="9925" spans="1:11" x14ac:dyDescent="0.25">
      <c r="A9925" t="s">
        <v>326</v>
      </c>
      <c r="B9925" t="s">
        <v>412</v>
      </c>
      <c r="C9925" t="s">
        <v>875</v>
      </c>
      <c r="D9925" t="s">
        <v>14</v>
      </c>
      <c r="E9925">
        <v>2</v>
      </c>
      <c r="F9925" s="2">
        <f>DATE(2026,IF(Tabla1[[#This Row],[Mes de Fecha]]="Septiembre",9,10),Tabla1[[#This Row],[Día de Fecha]])</f>
        <v>46297</v>
      </c>
      <c r="I9925">
        <v>0</v>
      </c>
      <c r="J9925" s="1">
        <v>30861803</v>
      </c>
      <c r="K9925">
        <v>0</v>
      </c>
    </row>
    <row r="9926" spans="1:11" x14ac:dyDescent="0.25">
      <c r="A9926" t="s">
        <v>326</v>
      </c>
      <c r="B9926" t="s">
        <v>412</v>
      </c>
      <c r="C9926" t="s">
        <v>875</v>
      </c>
      <c r="D9926" t="s">
        <v>14</v>
      </c>
      <c r="E9926">
        <v>2</v>
      </c>
      <c r="F9926" s="2">
        <f>DATE(2026,IF(Tabla1[[#This Row],[Mes de Fecha]]="Septiembre",9,10),Tabla1[[#This Row],[Día de Fecha]])</f>
        <v>46297</v>
      </c>
      <c r="G9926">
        <v>1004879853</v>
      </c>
      <c r="H9926" t="s">
        <v>381</v>
      </c>
      <c r="I9926">
        <v>102</v>
      </c>
      <c r="J9926">
        <v>0</v>
      </c>
      <c r="K9926" s="1">
        <v>5638533</v>
      </c>
    </row>
    <row r="9927" spans="1:11" x14ac:dyDescent="0.25">
      <c r="A9927" t="s">
        <v>326</v>
      </c>
      <c r="B9927" t="s">
        <v>412</v>
      </c>
      <c r="C9927" t="s">
        <v>875</v>
      </c>
      <c r="D9927" t="s">
        <v>14</v>
      </c>
      <c r="E9927">
        <v>2</v>
      </c>
      <c r="F9927" s="2">
        <f>DATE(2026,IF(Tabla1[[#This Row],[Mes de Fecha]]="Septiembre",9,10),Tabla1[[#This Row],[Día de Fecha]])</f>
        <v>46297</v>
      </c>
      <c r="G9927">
        <v>1004925792</v>
      </c>
      <c r="H9927" t="s">
        <v>413</v>
      </c>
      <c r="I9927">
        <v>112</v>
      </c>
      <c r="J9927">
        <v>0</v>
      </c>
      <c r="K9927" s="1">
        <v>6356477</v>
      </c>
    </row>
    <row r="9928" spans="1:11" x14ac:dyDescent="0.25">
      <c r="A9928" t="s">
        <v>326</v>
      </c>
      <c r="B9928" t="s">
        <v>412</v>
      </c>
      <c r="C9928" t="s">
        <v>875</v>
      </c>
      <c r="D9928" t="s">
        <v>14</v>
      </c>
      <c r="E9928">
        <v>2</v>
      </c>
      <c r="F9928" s="2">
        <f>DATE(2026,IF(Tabla1[[#This Row],[Mes de Fecha]]="Septiembre",9,10),Tabla1[[#This Row],[Día de Fecha]])</f>
        <v>46297</v>
      </c>
      <c r="G9928">
        <v>1091357320</v>
      </c>
      <c r="H9928" t="s">
        <v>415</v>
      </c>
      <c r="I9928">
        <v>37</v>
      </c>
      <c r="J9928">
        <v>0</v>
      </c>
      <c r="K9928" s="1">
        <v>1973156</v>
      </c>
    </row>
    <row r="9929" spans="1:11" x14ac:dyDescent="0.25">
      <c r="A9929" t="s">
        <v>326</v>
      </c>
      <c r="B9929" t="s">
        <v>412</v>
      </c>
      <c r="C9929" t="s">
        <v>875</v>
      </c>
      <c r="D9929" t="s">
        <v>14</v>
      </c>
      <c r="E9929">
        <v>2</v>
      </c>
      <c r="F9929" s="2">
        <f>DATE(2026,IF(Tabla1[[#This Row],[Mes de Fecha]]="Septiembre",9,10),Tabla1[[#This Row],[Día de Fecha]])</f>
        <v>46297</v>
      </c>
      <c r="G9929">
        <v>1094047894</v>
      </c>
      <c r="H9929" t="s">
        <v>414</v>
      </c>
      <c r="I9929">
        <v>165</v>
      </c>
      <c r="J9929">
        <v>0</v>
      </c>
      <c r="K9929" s="1">
        <v>10175426</v>
      </c>
    </row>
    <row r="9930" spans="1:11" x14ac:dyDescent="0.25">
      <c r="A9930" t="s">
        <v>326</v>
      </c>
      <c r="B9930" t="s">
        <v>412</v>
      </c>
      <c r="C9930" t="s">
        <v>875</v>
      </c>
      <c r="D9930" t="s">
        <v>14</v>
      </c>
      <c r="E9930">
        <v>2</v>
      </c>
      <c r="F9930" s="2">
        <f>DATE(2026,IF(Tabla1[[#This Row],[Mes de Fecha]]="Septiembre",9,10),Tabla1[[#This Row],[Día de Fecha]])</f>
        <v>46297</v>
      </c>
      <c r="G9930">
        <v>1127047270</v>
      </c>
      <c r="H9930" t="s">
        <v>417</v>
      </c>
      <c r="I9930">
        <v>24</v>
      </c>
      <c r="J9930">
        <v>0</v>
      </c>
      <c r="K9930" s="1">
        <v>1230042</v>
      </c>
    </row>
    <row r="9931" spans="1:11" x14ac:dyDescent="0.25">
      <c r="A9931" t="s">
        <v>326</v>
      </c>
      <c r="B9931" t="s">
        <v>412</v>
      </c>
      <c r="C9931" t="s">
        <v>875</v>
      </c>
      <c r="D9931" t="s">
        <v>14</v>
      </c>
      <c r="E9931">
        <v>3</v>
      </c>
      <c r="F9931" s="2">
        <f>DATE(2026,IF(Tabla1[[#This Row],[Mes de Fecha]]="Septiembre",9,10),Tabla1[[#This Row],[Día de Fecha]])</f>
        <v>46298</v>
      </c>
      <c r="I9931">
        <v>0</v>
      </c>
      <c r="J9931" s="1">
        <v>45496765</v>
      </c>
      <c r="K9931">
        <v>0</v>
      </c>
    </row>
    <row r="9932" spans="1:11" x14ac:dyDescent="0.25">
      <c r="A9932" t="s">
        <v>326</v>
      </c>
      <c r="B9932" t="s">
        <v>412</v>
      </c>
      <c r="C9932" t="s">
        <v>875</v>
      </c>
      <c r="D9932" t="s">
        <v>14</v>
      </c>
      <c r="E9932">
        <v>3</v>
      </c>
      <c r="F9932" s="2">
        <f>DATE(2026,IF(Tabla1[[#This Row],[Mes de Fecha]]="Septiembre",9,10),Tabla1[[#This Row],[Día de Fecha]])</f>
        <v>46298</v>
      </c>
      <c r="G9932">
        <v>1004879853</v>
      </c>
      <c r="H9932" t="s">
        <v>381</v>
      </c>
      <c r="I9932">
        <v>153</v>
      </c>
      <c r="J9932">
        <v>0</v>
      </c>
      <c r="K9932" s="1">
        <v>8115961</v>
      </c>
    </row>
    <row r="9933" spans="1:11" x14ac:dyDescent="0.25">
      <c r="A9933" t="s">
        <v>326</v>
      </c>
      <c r="B9933" t="s">
        <v>412</v>
      </c>
      <c r="C9933" t="s">
        <v>875</v>
      </c>
      <c r="D9933" t="s">
        <v>14</v>
      </c>
      <c r="E9933">
        <v>3</v>
      </c>
      <c r="F9933" s="2">
        <f>DATE(2026,IF(Tabla1[[#This Row],[Mes de Fecha]]="Septiembre",9,10),Tabla1[[#This Row],[Día de Fecha]])</f>
        <v>46298</v>
      </c>
      <c r="G9933">
        <v>1004925792</v>
      </c>
      <c r="H9933" t="s">
        <v>413</v>
      </c>
      <c r="I9933">
        <v>164</v>
      </c>
      <c r="J9933">
        <v>0</v>
      </c>
      <c r="K9933" s="1">
        <v>8642050</v>
      </c>
    </row>
    <row r="9934" spans="1:11" x14ac:dyDescent="0.25">
      <c r="A9934" t="s">
        <v>326</v>
      </c>
      <c r="B9934" t="s">
        <v>412</v>
      </c>
      <c r="C9934" t="s">
        <v>875</v>
      </c>
      <c r="D9934" t="s">
        <v>14</v>
      </c>
      <c r="E9934">
        <v>3</v>
      </c>
      <c r="F9934" s="2">
        <f>DATE(2026,IF(Tabla1[[#This Row],[Mes de Fecha]]="Septiembre",9,10),Tabla1[[#This Row],[Día de Fecha]])</f>
        <v>46298</v>
      </c>
      <c r="G9934">
        <v>1091357320</v>
      </c>
      <c r="H9934" t="s">
        <v>415</v>
      </c>
      <c r="I9934">
        <v>73</v>
      </c>
      <c r="J9934">
        <v>0</v>
      </c>
      <c r="K9934" s="1">
        <v>4018071</v>
      </c>
    </row>
    <row r="9935" spans="1:11" x14ac:dyDescent="0.25">
      <c r="A9935" t="s">
        <v>326</v>
      </c>
      <c r="B9935" t="s">
        <v>412</v>
      </c>
      <c r="C9935" t="s">
        <v>875</v>
      </c>
      <c r="D9935" t="s">
        <v>14</v>
      </c>
      <c r="E9935">
        <v>3</v>
      </c>
      <c r="F9935" s="2">
        <f>DATE(2026,IF(Tabla1[[#This Row],[Mes de Fecha]]="Septiembre",9,10),Tabla1[[#This Row],[Día de Fecha]])</f>
        <v>46298</v>
      </c>
      <c r="G9935">
        <v>1094047894</v>
      </c>
      <c r="H9935" t="s">
        <v>414</v>
      </c>
      <c r="I9935">
        <v>196</v>
      </c>
      <c r="J9935">
        <v>0</v>
      </c>
      <c r="K9935" s="1">
        <v>10131415</v>
      </c>
    </row>
    <row r="9936" spans="1:11" x14ac:dyDescent="0.25">
      <c r="A9936" t="s">
        <v>326</v>
      </c>
      <c r="B9936" t="s">
        <v>412</v>
      </c>
      <c r="C9936" t="s">
        <v>875</v>
      </c>
      <c r="D9936" t="s">
        <v>14</v>
      </c>
      <c r="E9936">
        <v>3</v>
      </c>
      <c r="F9936" s="2">
        <f>DATE(2026,IF(Tabla1[[#This Row],[Mes de Fecha]]="Septiembre",9,10),Tabla1[[#This Row],[Día de Fecha]])</f>
        <v>46298</v>
      </c>
      <c r="G9936">
        <v>1127047270</v>
      </c>
      <c r="H9936" t="s">
        <v>417</v>
      </c>
      <c r="I9936">
        <v>27</v>
      </c>
      <c r="J9936">
        <v>0</v>
      </c>
      <c r="K9936" s="1">
        <v>1426689</v>
      </c>
    </row>
    <row r="9937" spans="1:11" x14ac:dyDescent="0.25">
      <c r="A9937" t="s">
        <v>326</v>
      </c>
      <c r="B9937" t="s">
        <v>412</v>
      </c>
      <c r="C9937" t="s">
        <v>875</v>
      </c>
      <c r="D9937" t="s">
        <v>14</v>
      </c>
      <c r="E9937">
        <v>4</v>
      </c>
      <c r="F9937" s="2">
        <f>DATE(2026,IF(Tabla1[[#This Row],[Mes de Fecha]]="Septiembre",9,10),Tabla1[[#This Row],[Día de Fecha]])</f>
        <v>46299</v>
      </c>
      <c r="I9937">
        <v>0</v>
      </c>
      <c r="J9937" s="1">
        <v>38608334</v>
      </c>
      <c r="K9937">
        <v>0</v>
      </c>
    </row>
    <row r="9938" spans="1:11" x14ac:dyDescent="0.25">
      <c r="A9938" t="s">
        <v>326</v>
      </c>
      <c r="B9938" t="s">
        <v>412</v>
      </c>
      <c r="C9938" t="s">
        <v>875</v>
      </c>
      <c r="D9938" t="s">
        <v>14</v>
      </c>
      <c r="E9938">
        <v>4</v>
      </c>
      <c r="F9938" s="2">
        <f>DATE(2026,IF(Tabla1[[#This Row],[Mes de Fecha]]="Septiembre",9,10),Tabla1[[#This Row],[Día de Fecha]])</f>
        <v>46299</v>
      </c>
      <c r="G9938">
        <v>1004879853</v>
      </c>
      <c r="H9938" t="s">
        <v>381</v>
      </c>
      <c r="I9938">
        <v>148</v>
      </c>
      <c r="J9938">
        <v>0</v>
      </c>
      <c r="K9938" s="1">
        <v>8907192</v>
      </c>
    </row>
    <row r="9939" spans="1:11" x14ac:dyDescent="0.25">
      <c r="A9939" t="s">
        <v>326</v>
      </c>
      <c r="B9939" t="s">
        <v>412</v>
      </c>
      <c r="C9939" t="s">
        <v>875</v>
      </c>
      <c r="D9939" t="s">
        <v>14</v>
      </c>
      <c r="E9939">
        <v>4</v>
      </c>
      <c r="F9939" s="2">
        <f>DATE(2026,IF(Tabla1[[#This Row],[Mes de Fecha]]="Septiembre",9,10),Tabla1[[#This Row],[Día de Fecha]])</f>
        <v>46299</v>
      </c>
      <c r="G9939">
        <v>1004925792</v>
      </c>
      <c r="H9939" t="s">
        <v>413</v>
      </c>
      <c r="I9939">
        <v>180</v>
      </c>
      <c r="J9939">
        <v>0</v>
      </c>
      <c r="K9939" s="1">
        <v>10666478</v>
      </c>
    </row>
    <row r="9940" spans="1:11" x14ac:dyDescent="0.25">
      <c r="A9940" t="s">
        <v>326</v>
      </c>
      <c r="B9940" t="s">
        <v>412</v>
      </c>
      <c r="C9940" t="s">
        <v>875</v>
      </c>
      <c r="D9940" t="s">
        <v>14</v>
      </c>
      <c r="E9940">
        <v>4</v>
      </c>
      <c r="F9940" s="2">
        <f>DATE(2026,IF(Tabla1[[#This Row],[Mes de Fecha]]="Septiembre",9,10),Tabla1[[#This Row],[Día de Fecha]])</f>
        <v>46299</v>
      </c>
      <c r="G9940">
        <v>1091357320</v>
      </c>
      <c r="H9940" t="s">
        <v>415</v>
      </c>
      <c r="I9940">
        <v>82</v>
      </c>
      <c r="J9940">
        <v>0</v>
      </c>
      <c r="K9940" s="1">
        <v>5309293</v>
      </c>
    </row>
    <row r="9941" spans="1:11" x14ac:dyDescent="0.25">
      <c r="A9941" t="s">
        <v>326</v>
      </c>
      <c r="B9941" t="s">
        <v>412</v>
      </c>
      <c r="C9941" t="s">
        <v>875</v>
      </c>
      <c r="D9941" t="s">
        <v>14</v>
      </c>
      <c r="E9941">
        <v>4</v>
      </c>
      <c r="F9941" s="2">
        <f>DATE(2026,IF(Tabla1[[#This Row],[Mes de Fecha]]="Septiembre",9,10),Tabla1[[#This Row],[Día de Fecha]])</f>
        <v>46299</v>
      </c>
      <c r="G9941">
        <v>1094047894</v>
      </c>
      <c r="H9941" t="s">
        <v>414</v>
      </c>
      <c r="I9941">
        <v>125</v>
      </c>
      <c r="J9941">
        <v>0</v>
      </c>
      <c r="K9941" s="1">
        <v>7322194</v>
      </c>
    </row>
    <row r="9942" spans="1:11" x14ac:dyDescent="0.25">
      <c r="A9942" t="s">
        <v>326</v>
      </c>
      <c r="B9942" t="s">
        <v>412</v>
      </c>
      <c r="C9942" t="s">
        <v>875</v>
      </c>
      <c r="D9942" t="s">
        <v>14</v>
      </c>
      <c r="E9942">
        <v>4</v>
      </c>
      <c r="F9942" s="2">
        <f>DATE(2026,IF(Tabla1[[#This Row],[Mes de Fecha]]="Septiembre",9,10),Tabla1[[#This Row],[Día de Fecha]])</f>
        <v>46299</v>
      </c>
      <c r="G9942">
        <v>1127047270</v>
      </c>
      <c r="H9942" t="s">
        <v>417</v>
      </c>
      <c r="I9942">
        <v>34</v>
      </c>
      <c r="J9942">
        <v>0</v>
      </c>
      <c r="K9942" s="1">
        <v>1987984</v>
      </c>
    </row>
    <row r="9943" spans="1:11" x14ac:dyDescent="0.25">
      <c r="A9943" t="s">
        <v>326</v>
      </c>
      <c r="B9943" t="s">
        <v>412</v>
      </c>
      <c r="C9943" t="s">
        <v>875</v>
      </c>
      <c r="D9943" t="s">
        <v>14</v>
      </c>
      <c r="E9943">
        <v>5</v>
      </c>
      <c r="F9943" s="2">
        <f>DATE(2026,IF(Tabla1[[#This Row],[Mes de Fecha]]="Septiembre",9,10),Tabla1[[#This Row],[Día de Fecha]])</f>
        <v>46300</v>
      </c>
      <c r="I9943">
        <v>0</v>
      </c>
      <c r="J9943" s="1">
        <v>21197584</v>
      </c>
      <c r="K9943">
        <v>0</v>
      </c>
    </row>
    <row r="9944" spans="1:11" x14ac:dyDescent="0.25">
      <c r="A9944" t="s">
        <v>326</v>
      </c>
      <c r="B9944" t="s">
        <v>412</v>
      </c>
      <c r="C9944" t="s">
        <v>875</v>
      </c>
      <c r="D9944" t="s">
        <v>14</v>
      </c>
      <c r="E9944">
        <v>5</v>
      </c>
      <c r="F9944" s="2">
        <f>DATE(2026,IF(Tabla1[[#This Row],[Mes de Fecha]]="Septiembre",9,10),Tabla1[[#This Row],[Día de Fecha]])</f>
        <v>46300</v>
      </c>
      <c r="G9944">
        <v>1004879853</v>
      </c>
      <c r="H9944" t="s">
        <v>381</v>
      </c>
      <c r="I9944">
        <v>117</v>
      </c>
      <c r="J9944">
        <v>0</v>
      </c>
      <c r="K9944" s="1">
        <v>6687903</v>
      </c>
    </row>
    <row r="9945" spans="1:11" x14ac:dyDescent="0.25">
      <c r="A9945" t="s">
        <v>326</v>
      </c>
      <c r="B9945" t="s">
        <v>412</v>
      </c>
      <c r="C9945" t="s">
        <v>875</v>
      </c>
      <c r="D9945" t="s">
        <v>14</v>
      </c>
      <c r="E9945">
        <v>5</v>
      </c>
      <c r="F9945" s="2">
        <f>DATE(2026,IF(Tabla1[[#This Row],[Mes de Fecha]]="Septiembre",9,10),Tabla1[[#This Row],[Día de Fecha]])</f>
        <v>46300</v>
      </c>
      <c r="G9945">
        <v>1004925792</v>
      </c>
      <c r="H9945" t="s">
        <v>413</v>
      </c>
      <c r="I9945">
        <v>145</v>
      </c>
      <c r="J9945">
        <v>0</v>
      </c>
      <c r="K9945" s="1">
        <v>8551942</v>
      </c>
    </row>
    <row r="9946" spans="1:11" x14ac:dyDescent="0.25">
      <c r="A9946" t="s">
        <v>326</v>
      </c>
      <c r="B9946" t="s">
        <v>412</v>
      </c>
      <c r="C9946" t="s">
        <v>875</v>
      </c>
      <c r="D9946" t="s">
        <v>14</v>
      </c>
      <c r="E9946">
        <v>5</v>
      </c>
      <c r="F9946" s="2">
        <f>DATE(2026,IF(Tabla1[[#This Row],[Mes de Fecha]]="Septiembre",9,10),Tabla1[[#This Row],[Día de Fecha]])</f>
        <v>46300</v>
      </c>
      <c r="G9946">
        <v>1091357320</v>
      </c>
      <c r="H9946" t="s">
        <v>415</v>
      </c>
      <c r="I9946">
        <v>12</v>
      </c>
      <c r="J9946">
        <v>0</v>
      </c>
      <c r="K9946" s="1">
        <v>617144</v>
      </c>
    </row>
    <row r="9947" spans="1:11" x14ac:dyDescent="0.25">
      <c r="A9947" t="s">
        <v>326</v>
      </c>
      <c r="B9947" t="s">
        <v>412</v>
      </c>
      <c r="C9947" t="s">
        <v>875</v>
      </c>
      <c r="D9947" t="s">
        <v>14</v>
      </c>
      <c r="E9947">
        <v>5</v>
      </c>
      <c r="F9947" s="2">
        <f>DATE(2026,IF(Tabla1[[#This Row],[Mes de Fecha]]="Septiembre",9,10),Tabla1[[#This Row],[Día de Fecha]])</f>
        <v>46300</v>
      </c>
      <c r="G9947">
        <v>1094047894</v>
      </c>
      <c r="H9947" t="s">
        <v>414</v>
      </c>
      <c r="I9947">
        <v>129</v>
      </c>
      <c r="J9947">
        <v>0</v>
      </c>
      <c r="K9947" s="1">
        <v>7351437</v>
      </c>
    </row>
    <row r="9948" spans="1:11" x14ac:dyDescent="0.25">
      <c r="A9948" t="s">
        <v>326</v>
      </c>
      <c r="B9948" t="s">
        <v>412</v>
      </c>
      <c r="C9948" t="s">
        <v>875</v>
      </c>
      <c r="D9948" t="s">
        <v>14</v>
      </c>
      <c r="E9948">
        <v>5</v>
      </c>
      <c r="F9948" s="2">
        <f>DATE(2026,IF(Tabla1[[#This Row],[Mes de Fecha]]="Septiembre",9,10),Tabla1[[#This Row],[Día de Fecha]])</f>
        <v>46300</v>
      </c>
      <c r="G9948">
        <v>1127047270</v>
      </c>
      <c r="H9948" t="s">
        <v>417</v>
      </c>
      <c r="I9948">
        <v>7</v>
      </c>
      <c r="J9948">
        <v>0</v>
      </c>
      <c r="K9948" s="1">
        <v>373614</v>
      </c>
    </row>
    <row r="9949" spans="1:11" x14ac:dyDescent="0.25">
      <c r="A9949" t="s">
        <v>326</v>
      </c>
      <c r="B9949" t="s">
        <v>412</v>
      </c>
      <c r="C9949" t="s">
        <v>875</v>
      </c>
      <c r="D9949" t="s">
        <v>14</v>
      </c>
      <c r="E9949">
        <v>6</v>
      </c>
      <c r="F9949" s="2">
        <f>DATE(2026,IF(Tabla1[[#This Row],[Mes de Fecha]]="Septiembre",9,10),Tabla1[[#This Row],[Día de Fecha]])</f>
        <v>46301</v>
      </c>
      <c r="I9949">
        <v>0</v>
      </c>
      <c r="J9949" s="1">
        <v>16559492</v>
      </c>
      <c r="K9949">
        <v>0</v>
      </c>
    </row>
    <row r="9950" spans="1:11" x14ac:dyDescent="0.25">
      <c r="A9950" t="s">
        <v>326</v>
      </c>
      <c r="B9950" t="s">
        <v>412</v>
      </c>
      <c r="C9950" t="s">
        <v>875</v>
      </c>
      <c r="D9950" t="s">
        <v>14</v>
      </c>
      <c r="E9950">
        <v>6</v>
      </c>
      <c r="F9950" s="2">
        <f>DATE(2026,IF(Tabla1[[#This Row],[Mes de Fecha]]="Septiembre",9,10),Tabla1[[#This Row],[Día de Fecha]])</f>
        <v>46301</v>
      </c>
      <c r="G9950">
        <v>1004879853</v>
      </c>
      <c r="H9950" t="s">
        <v>381</v>
      </c>
      <c r="I9950">
        <v>88</v>
      </c>
      <c r="J9950">
        <v>0</v>
      </c>
      <c r="K9950" s="1">
        <v>4979121</v>
      </c>
    </row>
    <row r="9951" spans="1:11" x14ac:dyDescent="0.25">
      <c r="A9951" t="s">
        <v>326</v>
      </c>
      <c r="B9951" t="s">
        <v>412</v>
      </c>
      <c r="C9951" t="s">
        <v>875</v>
      </c>
      <c r="D9951" t="s">
        <v>14</v>
      </c>
      <c r="E9951">
        <v>6</v>
      </c>
      <c r="F9951" s="2">
        <f>DATE(2026,IF(Tabla1[[#This Row],[Mes de Fecha]]="Septiembre",9,10),Tabla1[[#This Row],[Día de Fecha]])</f>
        <v>46301</v>
      </c>
      <c r="G9951">
        <v>1004925792</v>
      </c>
      <c r="H9951" t="s">
        <v>413</v>
      </c>
      <c r="I9951">
        <v>81</v>
      </c>
      <c r="J9951">
        <v>0</v>
      </c>
      <c r="K9951" s="1">
        <v>4399712</v>
      </c>
    </row>
    <row r="9952" spans="1:11" x14ac:dyDescent="0.25">
      <c r="A9952" t="s">
        <v>326</v>
      </c>
      <c r="B9952" t="s">
        <v>412</v>
      </c>
      <c r="C9952" t="s">
        <v>875</v>
      </c>
      <c r="D9952" t="s">
        <v>14</v>
      </c>
      <c r="E9952">
        <v>6</v>
      </c>
      <c r="F9952" s="2">
        <f>DATE(2026,IF(Tabla1[[#This Row],[Mes de Fecha]]="Septiembre",9,10),Tabla1[[#This Row],[Día de Fecha]])</f>
        <v>46301</v>
      </c>
      <c r="G9952">
        <v>1094047894</v>
      </c>
      <c r="H9952" t="s">
        <v>414</v>
      </c>
      <c r="I9952">
        <v>74</v>
      </c>
      <c r="J9952">
        <v>0</v>
      </c>
      <c r="K9952" s="1">
        <v>4452527</v>
      </c>
    </row>
    <row r="9953" spans="1:11" x14ac:dyDescent="0.25">
      <c r="A9953" t="s">
        <v>326</v>
      </c>
      <c r="B9953" t="s">
        <v>412</v>
      </c>
      <c r="C9953" t="s">
        <v>875</v>
      </c>
      <c r="D9953" t="s">
        <v>14</v>
      </c>
      <c r="E9953">
        <v>7</v>
      </c>
      <c r="F9953" s="2">
        <f>DATE(2026,IF(Tabla1[[#This Row],[Mes de Fecha]]="Septiembre",9,10),Tabla1[[#This Row],[Día de Fecha]])</f>
        <v>46302</v>
      </c>
      <c r="I9953">
        <v>0</v>
      </c>
      <c r="J9953" s="1">
        <v>16341604</v>
      </c>
      <c r="K9953">
        <v>0</v>
      </c>
    </row>
    <row r="9954" spans="1:11" x14ac:dyDescent="0.25">
      <c r="A9954" t="s">
        <v>326</v>
      </c>
      <c r="B9954" t="s">
        <v>412</v>
      </c>
      <c r="C9954" t="s">
        <v>875</v>
      </c>
      <c r="D9954" t="s">
        <v>14</v>
      </c>
      <c r="E9954">
        <v>7</v>
      </c>
      <c r="F9954" s="2">
        <f>DATE(2026,IF(Tabla1[[#This Row],[Mes de Fecha]]="Septiembre",9,10),Tabla1[[#This Row],[Día de Fecha]])</f>
        <v>46302</v>
      </c>
      <c r="G9954">
        <v>1004879853</v>
      </c>
      <c r="H9954" t="s">
        <v>381</v>
      </c>
      <c r="I9954">
        <v>85</v>
      </c>
      <c r="J9954">
        <v>0</v>
      </c>
      <c r="K9954" s="1">
        <v>4928916</v>
      </c>
    </row>
    <row r="9955" spans="1:11" x14ac:dyDescent="0.25">
      <c r="A9955" t="s">
        <v>326</v>
      </c>
      <c r="B9955" t="s">
        <v>412</v>
      </c>
      <c r="C9955" t="s">
        <v>875</v>
      </c>
      <c r="D9955" t="s">
        <v>14</v>
      </c>
      <c r="E9955">
        <v>7</v>
      </c>
      <c r="F9955" s="2">
        <f>DATE(2026,IF(Tabla1[[#This Row],[Mes de Fecha]]="Septiembre",9,10),Tabla1[[#This Row],[Día de Fecha]])</f>
        <v>46302</v>
      </c>
      <c r="G9955">
        <v>1004925792</v>
      </c>
      <c r="H9955" t="s">
        <v>413</v>
      </c>
      <c r="I9955">
        <v>84</v>
      </c>
      <c r="J9955">
        <v>0</v>
      </c>
      <c r="K9955" s="1">
        <v>5273451</v>
      </c>
    </row>
    <row r="9956" spans="1:11" x14ac:dyDescent="0.25">
      <c r="A9956" t="s">
        <v>326</v>
      </c>
      <c r="B9956" t="s">
        <v>412</v>
      </c>
      <c r="C9956" t="s">
        <v>875</v>
      </c>
      <c r="D9956" t="s">
        <v>14</v>
      </c>
      <c r="E9956">
        <v>7</v>
      </c>
      <c r="F9956" s="2">
        <f>DATE(2026,IF(Tabla1[[#This Row],[Mes de Fecha]]="Septiembre",9,10),Tabla1[[#This Row],[Día de Fecha]])</f>
        <v>46302</v>
      </c>
      <c r="G9956">
        <v>1091357320</v>
      </c>
      <c r="H9956" t="s">
        <v>415</v>
      </c>
      <c r="I9956">
        <v>7</v>
      </c>
      <c r="J9956">
        <v>0</v>
      </c>
      <c r="K9956" s="1">
        <v>512311</v>
      </c>
    </row>
    <row r="9957" spans="1:11" x14ac:dyDescent="0.25">
      <c r="A9957" t="s">
        <v>326</v>
      </c>
      <c r="B9957" t="s">
        <v>412</v>
      </c>
      <c r="C9957" t="s">
        <v>875</v>
      </c>
      <c r="D9957" t="s">
        <v>14</v>
      </c>
      <c r="E9957">
        <v>7</v>
      </c>
      <c r="F9957" s="2">
        <f>DATE(2026,IF(Tabla1[[#This Row],[Mes de Fecha]]="Septiembre",9,10),Tabla1[[#This Row],[Día de Fecha]])</f>
        <v>46302</v>
      </c>
      <c r="G9957">
        <v>1094047894</v>
      </c>
      <c r="H9957" t="s">
        <v>414</v>
      </c>
      <c r="I9957">
        <v>113</v>
      </c>
      <c r="J9957">
        <v>0</v>
      </c>
      <c r="K9957" s="1">
        <v>6759333</v>
      </c>
    </row>
    <row r="9958" spans="1:11" x14ac:dyDescent="0.25">
      <c r="A9958" t="s">
        <v>326</v>
      </c>
      <c r="B9958" t="s">
        <v>412</v>
      </c>
      <c r="C9958" t="s">
        <v>875</v>
      </c>
      <c r="D9958" t="s">
        <v>14</v>
      </c>
      <c r="E9958">
        <v>7</v>
      </c>
      <c r="F9958" s="2">
        <f>DATE(2026,IF(Tabla1[[#This Row],[Mes de Fecha]]="Septiembre",9,10),Tabla1[[#This Row],[Día de Fecha]])</f>
        <v>46302</v>
      </c>
      <c r="G9958">
        <v>1127047270</v>
      </c>
      <c r="H9958" t="s">
        <v>417</v>
      </c>
      <c r="I9958">
        <v>-1</v>
      </c>
      <c r="J9958">
        <v>0</v>
      </c>
      <c r="K9958" s="1">
        <v>-41975</v>
      </c>
    </row>
    <row r="9959" spans="1:11" x14ac:dyDescent="0.25">
      <c r="A9959" t="s">
        <v>326</v>
      </c>
      <c r="B9959" t="s">
        <v>532</v>
      </c>
      <c r="C9959" t="s">
        <v>875</v>
      </c>
      <c r="D9959" t="s">
        <v>11</v>
      </c>
      <c r="E9959">
        <v>23</v>
      </c>
      <c r="F9959" s="2">
        <f>DATE(2026,IF(Tabla1[[#This Row],[Mes de Fecha]]="Septiembre",9,10),Tabla1[[#This Row],[Día de Fecha]])</f>
        <v>46288</v>
      </c>
      <c r="I9959">
        <v>0</v>
      </c>
      <c r="J9959" s="1">
        <v>12774614</v>
      </c>
      <c r="K9959">
        <v>0</v>
      </c>
    </row>
    <row r="9960" spans="1:11" x14ac:dyDescent="0.25">
      <c r="A9960" t="s">
        <v>326</v>
      </c>
      <c r="B9960" t="s">
        <v>532</v>
      </c>
      <c r="C9960" t="s">
        <v>875</v>
      </c>
      <c r="D9960" t="s">
        <v>11</v>
      </c>
      <c r="E9960">
        <v>23</v>
      </c>
      <c r="F9960" s="2">
        <f>DATE(2026,IF(Tabla1[[#This Row],[Mes de Fecha]]="Septiembre",9,10),Tabla1[[#This Row],[Día de Fecha]])</f>
        <v>46288</v>
      </c>
      <c r="G9960">
        <v>37506130</v>
      </c>
      <c r="H9960" t="s">
        <v>533</v>
      </c>
      <c r="I9960">
        <v>115</v>
      </c>
      <c r="J9960">
        <v>0</v>
      </c>
      <c r="K9960" s="1">
        <v>6549791</v>
      </c>
    </row>
    <row r="9961" spans="1:11" x14ac:dyDescent="0.25">
      <c r="A9961" t="s">
        <v>326</v>
      </c>
      <c r="B9961" t="s">
        <v>532</v>
      </c>
      <c r="C9961" t="s">
        <v>875</v>
      </c>
      <c r="D9961" t="s">
        <v>11</v>
      </c>
      <c r="E9961">
        <v>23</v>
      </c>
      <c r="F9961" s="2">
        <f>DATE(2026,IF(Tabla1[[#This Row],[Mes de Fecha]]="Septiembre",9,10),Tabla1[[#This Row],[Día de Fecha]])</f>
        <v>46288</v>
      </c>
      <c r="G9961">
        <v>1090393438</v>
      </c>
      <c r="H9961" t="s">
        <v>534</v>
      </c>
      <c r="I9961">
        <v>62</v>
      </c>
      <c r="J9961">
        <v>0</v>
      </c>
      <c r="K9961" s="1">
        <v>3537313</v>
      </c>
    </row>
    <row r="9962" spans="1:11" x14ac:dyDescent="0.25">
      <c r="A9962" t="s">
        <v>326</v>
      </c>
      <c r="B9962" t="s">
        <v>532</v>
      </c>
      <c r="C9962" t="s">
        <v>875</v>
      </c>
      <c r="D9962" t="s">
        <v>11</v>
      </c>
      <c r="E9962">
        <v>23</v>
      </c>
      <c r="F9962" s="2">
        <f>DATE(2026,IF(Tabla1[[#This Row],[Mes de Fecha]]="Septiembre",9,10),Tabla1[[#This Row],[Día de Fecha]])</f>
        <v>46288</v>
      </c>
      <c r="G9962">
        <v>1090472880</v>
      </c>
      <c r="H9962" t="s">
        <v>537</v>
      </c>
      <c r="I9962">
        <v>27</v>
      </c>
      <c r="J9962">
        <v>0</v>
      </c>
      <c r="K9962" s="1">
        <v>1534583</v>
      </c>
    </row>
    <row r="9963" spans="1:11" x14ac:dyDescent="0.25">
      <c r="A9963" t="s">
        <v>326</v>
      </c>
      <c r="B9963" t="s">
        <v>532</v>
      </c>
      <c r="C9963" t="s">
        <v>875</v>
      </c>
      <c r="D9963" t="s">
        <v>11</v>
      </c>
      <c r="E9963">
        <v>23</v>
      </c>
      <c r="F9963" s="2">
        <f>DATE(2026,IF(Tabla1[[#This Row],[Mes de Fecha]]="Septiembre",9,10),Tabla1[[#This Row],[Día de Fecha]])</f>
        <v>46288</v>
      </c>
      <c r="G9963">
        <v>1090498655</v>
      </c>
      <c r="H9963" t="s">
        <v>535</v>
      </c>
      <c r="I9963">
        <v>84</v>
      </c>
      <c r="J9963">
        <v>0</v>
      </c>
      <c r="K9963" s="1">
        <v>4309501</v>
      </c>
    </row>
    <row r="9964" spans="1:11" x14ac:dyDescent="0.25">
      <c r="A9964" t="s">
        <v>326</v>
      </c>
      <c r="B9964" t="s">
        <v>532</v>
      </c>
      <c r="C9964" t="s">
        <v>875</v>
      </c>
      <c r="D9964" t="s">
        <v>11</v>
      </c>
      <c r="E9964">
        <v>23</v>
      </c>
      <c r="F9964" s="2">
        <f>DATE(2026,IF(Tabla1[[#This Row],[Mes de Fecha]]="Septiembre",9,10),Tabla1[[#This Row],[Día de Fecha]])</f>
        <v>46288</v>
      </c>
      <c r="G9964">
        <v>1092530235</v>
      </c>
      <c r="H9964" t="s">
        <v>418</v>
      </c>
      <c r="I9964">
        <v>19</v>
      </c>
      <c r="J9964">
        <v>0</v>
      </c>
      <c r="K9964" s="1">
        <v>873109</v>
      </c>
    </row>
    <row r="9965" spans="1:11" x14ac:dyDescent="0.25">
      <c r="A9965" t="s">
        <v>326</v>
      </c>
      <c r="B9965" t="s">
        <v>532</v>
      </c>
      <c r="C9965" t="s">
        <v>875</v>
      </c>
      <c r="D9965" t="s">
        <v>11</v>
      </c>
      <c r="E9965">
        <v>24</v>
      </c>
      <c r="F9965" s="2">
        <f>DATE(2026,IF(Tabla1[[#This Row],[Mes de Fecha]]="Septiembre",9,10),Tabla1[[#This Row],[Día de Fecha]])</f>
        <v>46289</v>
      </c>
      <c r="I9965">
        <v>0</v>
      </c>
      <c r="J9965" s="1">
        <v>19514664</v>
      </c>
      <c r="K9965">
        <v>0</v>
      </c>
    </row>
    <row r="9966" spans="1:11" x14ac:dyDescent="0.25">
      <c r="A9966" t="s">
        <v>326</v>
      </c>
      <c r="B9966" t="s">
        <v>532</v>
      </c>
      <c r="C9966" t="s">
        <v>875</v>
      </c>
      <c r="D9966" t="s">
        <v>11</v>
      </c>
      <c r="E9966">
        <v>24</v>
      </c>
      <c r="F9966" s="2">
        <f>DATE(2026,IF(Tabla1[[#This Row],[Mes de Fecha]]="Septiembre",9,10),Tabla1[[#This Row],[Día de Fecha]])</f>
        <v>46289</v>
      </c>
      <c r="G9966">
        <v>37506130</v>
      </c>
      <c r="H9966" t="s">
        <v>533</v>
      </c>
      <c r="I9966">
        <v>105</v>
      </c>
      <c r="J9966">
        <v>0</v>
      </c>
      <c r="K9966" s="1">
        <v>5772776</v>
      </c>
    </row>
    <row r="9967" spans="1:11" x14ac:dyDescent="0.25">
      <c r="A9967" t="s">
        <v>326</v>
      </c>
      <c r="B9967" t="s">
        <v>532</v>
      </c>
      <c r="C9967" t="s">
        <v>875</v>
      </c>
      <c r="D9967" t="s">
        <v>11</v>
      </c>
      <c r="E9967">
        <v>24</v>
      </c>
      <c r="F9967" s="2">
        <f>DATE(2026,IF(Tabla1[[#This Row],[Mes de Fecha]]="Septiembre",9,10),Tabla1[[#This Row],[Día de Fecha]])</f>
        <v>46289</v>
      </c>
      <c r="G9967">
        <v>63510426</v>
      </c>
      <c r="H9967" t="s">
        <v>536</v>
      </c>
      <c r="I9967">
        <v>-1</v>
      </c>
      <c r="J9967">
        <v>0</v>
      </c>
      <c r="K9967" s="1">
        <v>-142773</v>
      </c>
    </row>
    <row r="9968" spans="1:11" x14ac:dyDescent="0.25">
      <c r="A9968" t="s">
        <v>326</v>
      </c>
      <c r="B9968" t="s">
        <v>532</v>
      </c>
      <c r="C9968" t="s">
        <v>875</v>
      </c>
      <c r="D9968" t="s">
        <v>11</v>
      </c>
      <c r="E9968">
        <v>24</v>
      </c>
      <c r="F9968" s="2">
        <f>DATE(2026,IF(Tabla1[[#This Row],[Mes de Fecha]]="Septiembre",9,10),Tabla1[[#This Row],[Día de Fecha]])</f>
        <v>46289</v>
      </c>
      <c r="G9968">
        <v>1090393438</v>
      </c>
      <c r="H9968" t="s">
        <v>534</v>
      </c>
      <c r="I9968">
        <v>79</v>
      </c>
      <c r="J9968">
        <v>0</v>
      </c>
      <c r="K9968" s="1">
        <v>3891644</v>
      </c>
    </row>
    <row r="9969" spans="1:11" x14ac:dyDescent="0.25">
      <c r="A9969" t="s">
        <v>326</v>
      </c>
      <c r="B9969" t="s">
        <v>532</v>
      </c>
      <c r="C9969" t="s">
        <v>875</v>
      </c>
      <c r="D9969" t="s">
        <v>11</v>
      </c>
      <c r="E9969">
        <v>24</v>
      </c>
      <c r="F9969" s="2">
        <f>DATE(2026,IF(Tabla1[[#This Row],[Mes de Fecha]]="Septiembre",9,10),Tabla1[[#This Row],[Día de Fecha]])</f>
        <v>46289</v>
      </c>
      <c r="G9969">
        <v>1090472880</v>
      </c>
      <c r="H9969" t="s">
        <v>537</v>
      </c>
      <c r="I9969">
        <v>35</v>
      </c>
      <c r="J9969">
        <v>0</v>
      </c>
      <c r="K9969" s="1">
        <v>2023742</v>
      </c>
    </row>
    <row r="9970" spans="1:11" x14ac:dyDescent="0.25">
      <c r="A9970" t="s">
        <v>326</v>
      </c>
      <c r="B9970" t="s">
        <v>532</v>
      </c>
      <c r="C9970" t="s">
        <v>875</v>
      </c>
      <c r="D9970" t="s">
        <v>11</v>
      </c>
      <c r="E9970">
        <v>24</v>
      </c>
      <c r="F9970" s="2">
        <f>DATE(2026,IF(Tabla1[[#This Row],[Mes de Fecha]]="Septiembre",9,10),Tabla1[[#This Row],[Día de Fecha]])</f>
        <v>46289</v>
      </c>
      <c r="G9970">
        <v>1090498655</v>
      </c>
      <c r="H9970" t="s">
        <v>535</v>
      </c>
      <c r="I9970">
        <v>85</v>
      </c>
      <c r="J9970">
        <v>0</v>
      </c>
      <c r="K9970" s="1">
        <v>4868200</v>
      </c>
    </row>
    <row r="9971" spans="1:11" x14ac:dyDescent="0.25">
      <c r="A9971" t="s">
        <v>326</v>
      </c>
      <c r="B9971" t="s">
        <v>532</v>
      </c>
      <c r="C9971" t="s">
        <v>875</v>
      </c>
      <c r="D9971" t="s">
        <v>11</v>
      </c>
      <c r="E9971">
        <v>24</v>
      </c>
      <c r="F9971" s="2">
        <f>DATE(2026,IF(Tabla1[[#This Row],[Mes de Fecha]]="Septiembre",9,10),Tabla1[[#This Row],[Día de Fecha]])</f>
        <v>46289</v>
      </c>
      <c r="G9971">
        <v>1092530235</v>
      </c>
      <c r="H9971" t="s">
        <v>418</v>
      </c>
      <c r="I9971">
        <v>50</v>
      </c>
      <c r="J9971">
        <v>0</v>
      </c>
      <c r="K9971" s="1">
        <v>2707944</v>
      </c>
    </row>
    <row r="9972" spans="1:11" x14ac:dyDescent="0.25">
      <c r="A9972" t="s">
        <v>326</v>
      </c>
      <c r="B9972" t="s">
        <v>532</v>
      </c>
      <c r="C9972" t="s">
        <v>875</v>
      </c>
      <c r="D9972" t="s">
        <v>11</v>
      </c>
      <c r="E9972">
        <v>25</v>
      </c>
      <c r="F9972" s="2">
        <f>DATE(2026,IF(Tabla1[[#This Row],[Mes de Fecha]]="Septiembre",9,10),Tabla1[[#This Row],[Día de Fecha]])</f>
        <v>46290</v>
      </c>
      <c r="I9972">
        <v>0</v>
      </c>
      <c r="J9972" s="1">
        <v>19471462</v>
      </c>
      <c r="K9972">
        <v>0</v>
      </c>
    </row>
    <row r="9973" spans="1:11" x14ac:dyDescent="0.25">
      <c r="A9973" t="s">
        <v>326</v>
      </c>
      <c r="B9973" t="s">
        <v>532</v>
      </c>
      <c r="C9973" t="s">
        <v>875</v>
      </c>
      <c r="D9973" t="s">
        <v>11</v>
      </c>
      <c r="E9973">
        <v>25</v>
      </c>
      <c r="F9973" s="2">
        <f>DATE(2026,IF(Tabla1[[#This Row],[Mes de Fecha]]="Septiembre",9,10),Tabla1[[#This Row],[Día de Fecha]])</f>
        <v>46290</v>
      </c>
      <c r="G9973">
        <v>37506130</v>
      </c>
      <c r="H9973" t="s">
        <v>533</v>
      </c>
      <c r="I9973">
        <v>102</v>
      </c>
      <c r="J9973">
        <v>0</v>
      </c>
      <c r="K9973" s="1">
        <v>5735173</v>
      </c>
    </row>
    <row r="9974" spans="1:11" x14ac:dyDescent="0.25">
      <c r="A9974" t="s">
        <v>326</v>
      </c>
      <c r="B9974" t="s">
        <v>532</v>
      </c>
      <c r="C9974" t="s">
        <v>875</v>
      </c>
      <c r="D9974" t="s">
        <v>11</v>
      </c>
      <c r="E9974">
        <v>25</v>
      </c>
      <c r="F9974" s="2">
        <f>DATE(2026,IF(Tabla1[[#This Row],[Mes de Fecha]]="Septiembre",9,10),Tabla1[[#This Row],[Día de Fecha]])</f>
        <v>46290</v>
      </c>
      <c r="G9974">
        <v>1090393438</v>
      </c>
      <c r="H9974" t="s">
        <v>534</v>
      </c>
      <c r="I9974">
        <v>86</v>
      </c>
      <c r="J9974">
        <v>0</v>
      </c>
      <c r="K9974" s="1">
        <v>4674796</v>
      </c>
    </row>
    <row r="9975" spans="1:11" x14ac:dyDescent="0.25">
      <c r="A9975" t="s">
        <v>326</v>
      </c>
      <c r="B9975" t="s">
        <v>532</v>
      </c>
      <c r="C9975" t="s">
        <v>875</v>
      </c>
      <c r="D9975" t="s">
        <v>11</v>
      </c>
      <c r="E9975">
        <v>25</v>
      </c>
      <c r="F9975" s="2">
        <f>DATE(2026,IF(Tabla1[[#This Row],[Mes de Fecha]]="Septiembre",9,10),Tabla1[[#This Row],[Día de Fecha]])</f>
        <v>46290</v>
      </c>
      <c r="G9975">
        <v>1090472880</v>
      </c>
      <c r="H9975" t="s">
        <v>537</v>
      </c>
      <c r="I9975">
        <v>71</v>
      </c>
      <c r="J9975">
        <v>0</v>
      </c>
      <c r="K9975" s="1">
        <v>4089414</v>
      </c>
    </row>
    <row r="9976" spans="1:11" x14ac:dyDescent="0.25">
      <c r="A9976" t="s">
        <v>326</v>
      </c>
      <c r="B9976" t="s">
        <v>532</v>
      </c>
      <c r="C9976" t="s">
        <v>875</v>
      </c>
      <c r="D9976" t="s">
        <v>11</v>
      </c>
      <c r="E9976">
        <v>25</v>
      </c>
      <c r="F9976" s="2">
        <f>DATE(2026,IF(Tabla1[[#This Row],[Mes de Fecha]]="Septiembre",9,10),Tabla1[[#This Row],[Día de Fecha]])</f>
        <v>46290</v>
      </c>
      <c r="G9976">
        <v>1090498655</v>
      </c>
      <c r="H9976" t="s">
        <v>535</v>
      </c>
      <c r="I9976">
        <v>88</v>
      </c>
      <c r="J9976">
        <v>0</v>
      </c>
      <c r="K9976" s="1">
        <v>5454163</v>
      </c>
    </row>
    <row r="9977" spans="1:11" x14ac:dyDescent="0.25">
      <c r="A9977" t="s">
        <v>326</v>
      </c>
      <c r="B9977" t="s">
        <v>532</v>
      </c>
      <c r="C9977" t="s">
        <v>875</v>
      </c>
      <c r="D9977" t="s">
        <v>11</v>
      </c>
      <c r="E9977">
        <v>25</v>
      </c>
      <c r="F9977" s="2">
        <f>DATE(2026,IF(Tabla1[[#This Row],[Mes de Fecha]]="Septiembre",9,10),Tabla1[[#This Row],[Día de Fecha]])</f>
        <v>46290</v>
      </c>
      <c r="G9977">
        <v>1092530235</v>
      </c>
      <c r="H9977" t="s">
        <v>418</v>
      </c>
      <c r="I9977">
        <v>50</v>
      </c>
      <c r="J9977">
        <v>0</v>
      </c>
      <c r="K9977" s="1">
        <v>2577734</v>
      </c>
    </row>
    <row r="9978" spans="1:11" x14ac:dyDescent="0.25">
      <c r="A9978" t="s">
        <v>326</v>
      </c>
      <c r="B9978" t="s">
        <v>532</v>
      </c>
      <c r="C9978" t="s">
        <v>875</v>
      </c>
      <c r="D9978" t="s">
        <v>11</v>
      </c>
      <c r="E9978">
        <v>26</v>
      </c>
      <c r="F9978" s="2">
        <f>DATE(2026,IF(Tabla1[[#This Row],[Mes de Fecha]]="Septiembre",9,10),Tabla1[[#This Row],[Día de Fecha]])</f>
        <v>46291</v>
      </c>
      <c r="I9978">
        <v>0</v>
      </c>
      <c r="J9978" s="1">
        <v>27983287</v>
      </c>
      <c r="K9978">
        <v>0</v>
      </c>
    </row>
    <row r="9979" spans="1:11" x14ac:dyDescent="0.25">
      <c r="A9979" t="s">
        <v>326</v>
      </c>
      <c r="B9979" t="s">
        <v>532</v>
      </c>
      <c r="C9979" t="s">
        <v>875</v>
      </c>
      <c r="D9979" t="s">
        <v>11</v>
      </c>
      <c r="E9979">
        <v>26</v>
      </c>
      <c r="F9979" s="2">
        <f>DATE(2026,IF(Tabla1[[#This Row],[Mes de Fecha]]="Septiembre",9,10),Tabla1[[#This Row],[Día de Fecha]])</f>
        <v>46291</v>
      </c>
      <c r="G9979">
        <v>37506130</v>
      </c>
      <c r="H9979" t="s">
        <v>533</v>
      </c>
      <c r="I9979">
        <v>137</v>
      </c>
      <c r="J9979">
        <v>0</v>
      </c>
      <c r="K9979" s="1">
        <v>7935261</v>
      </c>
    </row>
    <row r="9980" spans="1:11" x14ac:dyDescent="0.25">
      <c r="A9980" t="s">
        <v>326</v>
      </c>
      <c r="B9980" t="s">
        <v>532</v>
      </c>
      <c r="C9980" t="s">
        <v>875</v>
      </c>
      <c r="D9980" t="s">
        <v>11</v>
      </c>
      <c r="E9980">
        <v>26</v>
      </c>
      <c r="F9980" s="2">
        <f>DATE(2026,IF(Tabla1[[#This Row],[Mes de Fecha]]="Septiembre",9,10),Tabla1[[#This Row],[Día de Fecha]])</f>
        <v>46291</v>
      </c>
      <c r="G9980">
        <v>1090393438</v>
      </c>
      <c r="H9980" t="s">
        <v>534</v>
      </c>
      <c r="I9980">
        <v>106</v>
      </c>
      <c r="J9980">
        <v>0</v>
      </c>
      <c r="K9980" s="1">
        <v>6190887</v>
      </c>
    </row>
    <row r="9981" spans="1:11" x14ac:dyDescent="0.25">
      <c r="A9981" t="s">
        <v>326</v>
      </c>
      <c r="B9981" t="s">
        <v>532</v>
      </c>
      <c r="C9981" t="s">
        <v>875</v>
      </c>
      <c r="D9981" t="s">
        <v>11</v>
      </c>
      <c r="E9981">
        <v>26</v>
      </c>
      <c r="F9981" s="2">
        <f>DATE(2026,IF(Tabla1[[#This Row],[Mes de Fecha]]="Septiembre",9,10),Tabla1[[#This Row],[Día de Fecha]])</f>
        <v>46291</v>
      </c>
      <c r="G9981">
        <v>1090472880</v>
      </c>
      <c r="H9981" t="s">
        <v>537</v>
      </c>
      <c r="I9981">
        <v>66</v>
      </c>
      <c r="J9981">
        <v>0</v>
      </c>
      <c r="K9981" s="1">
        <v>3520258</v>
      </c>
    </row>
    <row r="9982" spans="1:11" x14ac:dyDescent="0.25">
      <c r="A9982" t="s">
        <v>326</v>
      </c>
      <c r="B9982" t="s">
        <v>532</v>
      </c>
      <c r="C9982" t="s">
        <v>875</v>
      </c>
      <c r="D9982" t="s">
        <v>11</v>
      </c>
      <c r="E9982">
        <v>26</v>
      </c>
      <c r="F9982" s="2">
        <f>DATE(2026,IF(Tabla1[[#This Row],[Mes de Fecha]]="Septiembre",9,10),Tabla1[[#This Row],[Día de Fecha]])</f>
        <v>46291</v>
      </c>
      <c r="G9982">
        <v>1090498655</v>
      </c>
      <c r="H9982" t="s">
        <v>535</v>
      </c>
      <c r="I9982">
        <v>95</v>
      </c>
      <c r="J9982">
        <v>0</v>
      </c>
      <c r="K9982" s="1">
        <v>5588411</v>
      </c>
    </row>
    <row r="9983" spans="1:11" x14ac:dyDescent="0.25">
      <c r="A9983" t="s">
        <v>326</v>
      </c>
      <c r="B9983" t="s">
        <v>532</v>
      </c>
      <c r="C9983" t="s">
        <v>875</v>
      </c>
      <c r="D9983" t="s">
        <v>11</v>
      </c>
      <c r="E9983">
        <v>26</v>
      </c>
      <c r="F9983" s="2">
        <f>DATE(2026,IF(Tabla1[[#This Row],[Mes de Fecha]]="Septiembre",9,10),Tabla1[[#This Row],[Día de Fecha]])</f>
        <v>46291</v>
      </c>
      <c r="G9983">
        <v>1092530235</v>
      </c>
      <c r="H9983" t="s">
        <v>418</v>
      </c>
      <c r="I9983">
        <v>46</v>
      </c>
      <c r="J9983">
        <v>0</v>
      </c>
      <c r="K9983" s="1">
        <v>2670338</v>
      </c>
    </row>
    <row r="9984" spans="1:11" x14ac:dyDescent="0.25">
      <c r="A9984" t="s">
        <v>326</v>
      </c>
      <c r="B9984" t="s">
        <v>532</v>
      </c>
      <c r="C9984" t="s">
        <v>875</v>
      </c>
      <c r="D9984" t="s">
        <v>11</v>
      </c>
      <c r="E9984">
        <v>27</v>
      </c>
      <c r="F9984" s="2">
        <f>DATE(2026,IF(Tabla1[[#This Row],[Mes de Fecha]]="Septiembre",9,10),Tabla1[[#This Row],[Día de Fecha]])</f>
        <v>46292</v>
      </c>
      <c r="I9984">
        <v>0</v>
      </c>
      <c r="J9984" s="1">
        <v>22168398</v>
      </c>
      <c r="K9984">
        <v>0</v>
      </c>
    </row>
    <row r="9985" spans="1:11" x14ac:dyDescent="0.25">
      <c r="A9985" t="s">
        <v>326</v>
      </c>
      <c r="B9985" t="s">
        <v>532</v>
      </c>
      <c r="C9985" t="s">
        <v>875</v>
      </c>
      <c r="D9985" t="s">
        <v>11</v>
      </c>
      <c r="E9985">
        <v>27</v>
      </c>
      <c r="F9985" s="2">
        <f>DATE(2026,IF(Tabla1[[#This Row],[Mes de Fecha]]="Septiembre",9,10),Tabla1[[#This Row],[Día de Fecha]])</f>
        <v>46292</v>
      </c>
      <c r="G9985">
        <v>37506130</v>
      </c>
      <c r="H9985" t="s">
        <v>533</v>
      </c>
      <c r="I9985">
        <v>77</v>
      </c>
      <c r="J9985">
        <v>0</v>
      </c>
      <c r="K9985" s="1">
        <v>4578660</v>
      </c>
    </row>
    <row r="9986" spans="1:11" x14ac:dyDescent="0.25">
      <c r="A9986" t="s">
        <v>326</v>
      </c>
      <c r="B9986" t="s">
        <v>532</v>
      </c>
      <c r="C9986" t="s">
        <v>875</v>
      </c>
      <c r="D9986" t="s">
        <v>11</v>
      </c>
      <c r="E9986">
        <v>27</v>
      </c>
      <c r="F9986" s="2">
        <f>DATE(2026,IF(Tabla1[[#This Row],[Mes de Fecha]]="Septiembre",9,10),Tabla1[[#This Row],[Día de Fecha]])</f>
        <v>46292</v>
      </c>
      <c r="G9986">
        <v>1090393438</v>
      </c>
      <c r="H9986" t="s">
        <v>534</v>
      </c>
      <c r="I9986">
        <v>37</v>
      </c>
      <c r="J9986">
        <v>0</v>
      </c>
      <c r="K9986" s="1">
        <v>2212733</v>
      </c>
    </row>
    <row r="9987" spans="1:11" x14ac:dyDescent="0.25">
      <c r="A9987" t="s">
        <v>326</v>
      </c>
      <c r="B9987" t="s">
        <v>532</v>
      </c>
      <c r="C9987" t="s">
        <v>875</v>
      </c>
      <c r="D9987" t="s">
        <v>11</v>
      </c>
      <c r="E9987">
        <v>27</v>
      </c>
      <c r="F9987" s="2">
        <f>DATE(2026,IF(Tabla1[[#This Row],[Mes de Fecha]]="Septiembre",9,10),Tabla1[[#This Row],[Día de Fecha]])</f>
        <v>46292</v>
      </c>
      <c r="G9987">
        <v>1090472880</v>
      </c>
      <c r="H9987" t="s">
        <v>537</v>
      </c>
      <c r="I9987">
        <v>17</v>
      </c>
      <c r="J9987">
        <v>0</v>
      </c>
      <c r="K9987" s="1">
        <v>1003489</v>
      </c>
    </row>
    <row r="9988" spans="1:11" x14ac:dyDescent="0.25">
      <c r="A9988" t="s">
        <v>326</v>
      </c>
      <c r="B9988" t="s">
        <v>532</v>
      </c>
      <c r="C9988" t="s">
        <v>875</v>
      </c>
      <c r="D9988" t="s">
        <v>11</v>
      </c>
      <c r="E9988">
        <v>27</v>
      </c>
      <c r="F9988" s="2">
        <f>DATE(2026,IF(Tabla1[[#This Row],[Mes de Fecha]]="Septiembre",9,10),Tabla1[[#This Row],[Día de Fecha]])</f>
        <v>46292</v>
      </c>
      <c r="G9988">
        <v>1090498655</v>
      </c>
      <c r="H9988" t="s">
        <v>535</v>
      </c>
      <c r="I9988">
        <v>70</v>
      </c>
      <c r="J9988">
        <v>0</v>
      </c>
      <c r="K9988" s="1">
        <v>4476053</v>
      </c>
    </row>
    <row r="9989" spans="1:11" x14ac:dyDescent="0.25">
      <c r="A9989" t="s">
        <v>326</v>
      </c>
      <c r="B9989" t="s">
        <v>532</v>
      </c>
      <c r="C9989" t="s">
        <v>875</v>
      </c>
      <c r="D9989" t="s">
        <v>11</v>
      </c>
      <c r="E9989">
        <v>27</v>
      </c>
      <c r="F9989" s="2">
        <f>DATE(2026,IF(Tabla1[[#This Row],[Mes de Fecha]]="Septiembre",9,10),Tabla1[[#This Row],[Día de Fecha]])</f>
        <v>46292</v>
      </c>
      <c r="G9989">
        <v>1092530235</v>
      </c>
      <c r="H9989" t="s">
        <v>418</v>
      </c>
      <c r="I9989">
        <v>36</v>
      </c>
      <c r="J9989">
        <v>0</v>
      </c>
      <c r="K9989" s="1">
        <v>2101349</v>
      </c>
    </row>
    <row r="9990" spans="1:11" x14ac:dyDescent="0.25">
      <c r="A9990" t="s">
        <v>326</v>
      </c>
      <c r="B9990" t="s">
        <v>532</v>
      </c>
      <c r="C9990" t="s">
        <v>875</v>
      </c>
      <c r="D9990" t="s">
        <v>11</v>
      </c>
      <c r="E9990">
        <v>28</v>
      </c>
      <c r="F9990" s="2">
        <f>DATE(2026,IF(Tabla1[[#This Row],[Mes de Fecha]]="Septiembre",9,10),Tabla1[[#This Row],[Día de Fecha]])</f>
        <v>46293</v>
      </c>
      <c r="I9990">
        <v>0</v>
      </c>
      <c r="J9990" s="1">
        <v>12481792</v>
      </c>
      <c r="K9990">
        <v>0</v>
      </c>
    </row>
    <row r="9991" spans="1:11" x14ac:dyDescent="0.25">
      <c r="A9991" t="s">
        <v>326</v>
      </c>
      <c r="B9991" t="s">
        <v>532</v>
      </c>
      <c r="C9991" t="s">
        <v>875</v>
      </c>
      <c r="D9991" t="s">
        <v>11</v>
      </c>
      <c r="E9991">
        <v>28</v>
      </c>
      <c r="F9991" s="2">
        <f>DATE(2026,IF(Tabla1[[#This Row],[Mes de Fecha]]="Septiembre",9,10),Tabla1[[#This Row],[Día de Fecha]])</f>
        <v>46293</v>
      </c>
      <c r="G9991">
        <v>37506130</v>
      </c>
      <c r="H9991" t="s">
        <v>533</v>
      </c>
      <c r="I9991">
        <v>41</v>
      </c>
      <c r="J9991">
        <v>0</v>
      </c>
      <c r="K9991" s="1">
        <v>2481386</v>
      </c>
    </row>
    <row r="9992" spans="1:11" x14ac:dyDescent="0.25">
      <c r="A9992" t="s">
        <v>326</v>
      </c>
      <c r="B9992" t="s">
        <v>532</v>
      </c>
      <c r="C9992" t="s">
        <v>875</v>
      </c>
      <c r="D9992" t="s">
        <v>11</v>
      </c>
      <c r="E9992">
        <v>28</v>
      </c>
      <c r="F9992" s="2">
        <f>DATE(2026,IF(Tabla1[[#This Row],[Mes de Fecha]]="Septiembre",9,10),Tabla1[[#This Row],[Día de Fecha]])</f>
        <v>46293</v>
      </c>
      <c r="G9992">
        <v>1090393438</v>
      </c>
      <c r="H9992" t="s">
        <v>534</v>
      </c>
      <c r="I9992">
        <v>53</v>
      </c>
      <c r="J9992">
        <v>0</v>
      </c>
      <c r="K9992" s="1">
        <v>3308661</v>
      </c>
    </row>
    <row r="9993" spans="1:11" x14ac:dyDescent="0.25">
      <c r="A9993" t="s">
        <v>326</v>
      </c>
      <c r="B9993" t="s">
        <v>532</v>
      </c>
      <c r="C9993" t="s">
        <v>875</v>
      </c>
      <c r="D9993" t="s">
        <v>11</v>
      </c>
      <c r="E9993">
        <v>28</v>
      </c>
      <c r="F9993" s="2">
        <f>DATE(2026,IF(Tabla1[[#This Row],[Mes de Fecha]]="Septiembre",9,10),Tabla1[[#This Row],[Día de Fecha]])</f>
        <v>46293</v>
      </c>
      <c r="G9993">
        <v>1090472880</v>
      </c>
      <c r="H9993" t="s">
        <v>537</v>
      </c>
      <c r="I9993">
        <v>23</v>
      </c>
      <c r="J9993">
        <v>0</v>
      </c>
      <c r="K9993" s="1">
        <v>1620927</v>
      </c>
    </row>
    <row r="9994" spans="1:11" x14ac:dyDescent="0.25">
      <c r="A9994" t="s">
        <v>326</v>
      </c>
      <c r="B9994" t="s">
        <v>532</v>
      </c>
      <c r="C9994" t="s">
        <v>875</v>
      </c>
      <c r="D9994" t="s">
        <v>11</v>
      </c>
      <c r="E9994">
        <v>28</v>
      </c>
      <c r="F9994" s="2">
        <f>DATE(2026,IF(Tabla1[[#This Row],[Mes de Fecha]]="Septiembre",9,10),Tabla1[[#This Row],[Día de Fecha]])</f>
        <v>46293</v>
      </c>
      <c r="G9994">
        <v>1090498655</v>
      </c>
      <c r="H9994" t="s">
        <v>535</v>
      </c>
      <c r="I9994">
        <v>73</v>
      </c>
      <c r="J9994">
        <v>0</v>
      </c>
      <c r="K9994" s="1">
        <v>4219586</v>
      </c>
    </row>
    <row r="9995" spans="1:11" x14ac:dyDescent="0.25">
      <c r="A9995" t="s">
        <v>326</v>
      </c>
      <c r="B9995" t="s">
        <v>532</v>
      </c>
      <c r="C9995" t="s">
        <v>875</v>
      </c>
      <c r="D9995" t="s">
        <v>11</v>
      </c>
      <c r="E9995">
        <v>28</v>
      </c>
      <c r="F9995" s="2">
        <f>DATE(2026,IF(Tabla1[[#This Row],[Mes de Fecha]]="Septiembre",9,10),Tabla1[[#This Row],[Día de Fecha]])</f>
        <v>46293</v>
      </c>
      <c r="G9995">
        <v>1092530235</v>
      </c>
      <c r="H9995" t="s">
        <v>418</v>
      </c>
      <c r="I9995">
        <v>13</v>
      </c>
      <c r="J9995">
        <v>0</v>
      </c>
      <c r="K9995" s="1">
        <v>692733</v>
      </c>
    </row>
    <row r="9996" spans="1:11" x14ac:dyDescent="0.25">
      <c r="A9996" t="s">
        <v>326</v>
      </c>
      <c r="B9996" t="s">
        <v>532</v>
      </c>
      <c r="C9996" t="s">
        <v>875</v>
      </c>
      <c r="D9996" t="s">
        <v>11</v>
      </c>
      <c r="E9996">
        <v>29</v>
      </c>
      <c r="F9996" s="2">
        <f>DATE(2026,IF(Tabla1[[#This Row],[Mes de Fecha]]="Septiembre",9,10),Tabla1[[#This Row],[Día de Fecha]])</f>
        <v>46294</v>
      </c>
      <c r="I9996">
        <v>0</v>
      </c>
      <c r="J9996" s="1">
        <v>12751385</v>
      </c>
      <c r="K9996">
        <v>0</v>
      </c>
    </row>
    <row r="9997" spans="1:11" x14ac:dyDescent="0.25">
      <c r="A9997" t="s">
        <v>326</v>
      </c>
      <c r="B9997" t="s">
        <v>532</v>
      </c>
      <c r="C9997" t="s">
        <v>875</v>
      </c>
      <c r="D9997" t="s">
        <v>11</v>
      </c>
      <c r="E9997">
        <v>29</v>
      </c>
      <c r="F9997" s="2">
        <f>DATE(2026,IF(Tabla1[[#This Row],[Mes de Fecha]]="Septiembre",9,10),Tabla1[[#This Row],[Día de Fecha]])</f>
        <v>46294</v>
      </c>
      <c r="G9997">
        <v>37506130</v>
      </c>
      <c r="H9997" t="s">
        <v>533</v>
      </c>
      <c r="I9997">
        <v>54</v>
      </c>
      <c r="J9997">
        <v>0</v>
      </c>
      <c r="K9997" s="1">
        <v>2884206</v>
      </c>
    </row>
    <row r="9998" spans="1:11" x14ac:dyDescent="0.25">
      <c r="A9998" t="s">
        <v>326</v>
      </c>
      <c r="B9998" t="s">
        <v>532</v>
      </c>
      <c r="C9998" t="s">
        <v>875</v>
      </c>
      <c r="D9998" t="s">
        <v>11</v>
      </c>
      <c r="E9998">
        <v>29</v>
      </c>
      <c r="F9998" s="2">
        <f>DATE(2026,IF(Tabla1[[#This Row],[Mes de Fecha]]="Septiembre",9,10),Tabla1[[#This Row],[Día de Fecha]])</f>
        <v>46294</v>
      </c>
      <c r="G9998">
        <v>1090393438</v>
      </c>
      <c r="H9998" t="s">
        <v>534</v>
      </c>
      <c r="I9998">
        <v>46</v>
      </c>
      <c r="J9998">
        <v>0</v>
      </c>
      <c r="K9998" s="1">
        <v>2792105</v>
      </c>
    </row>
    <row r="9999" spans="1:11" x14ac:dyDescent="0.25">
      <c r="A9999" t="s">
        <v>326</v>
      </c>
      <c r="B9999" t="s">
        <v>532</v>
      </c>
      <c r="C9999" t="s">
        <v>875</v>
      </c>
      <c r="D9999" t="s">
        <v>11</v>
      </c>
      <c r="E9999">
        <v>29</v>
      </c>
      <c r="F9999" s="2">
        <f>DATE(2026,IF(Tabla1[[#This Row],[Mes de Fecha]]="Septiembre",9,10),Tabla1[[#This Row],[Día de Fecha]])</f>
        <v>46294</v>
      </c>
      <c r="G9999">
        <v>1090472880</v>
      </c>
      <c r="H9999" t="s">
        <v>537</v>
      </c>
      <c r="I9999">
        <v>11</v>
      </c>
      <c r="J9999">
        <v>0</v>
      </c>
      <c r="K9999" s="1">
        <v>755799</v>
      </c>
    </row>
    <row r="10000" spans="1:11" x14ac:dyDescent="0.25">
      <c r="A10000" t="s">
        <v>326</v>
      </c>
      <c r="B10000" t="s">
        <v>532</v>
      </c>
      <c r="C10000" t="s">
        <v>875</v>
      </c>
      <c r="D10000" t="s">
        <v>11</v>
      </c>
      <c r="E10000">
        <v>29</v>
      </c>
      <c r="F10000" s="2">
        <f>DATE(2026,IF(Tabla1[[#This Row],[Mes de Fecha]]="Septiembre",9,10),Tabla1[[#This Row],[Día de Fecha]])</f>
        <v>46294</v>
      </c>
      <c r="G10000">
        <v>1090498655</v>
      </c>
      <c r="H10000" t="s">
        <v>535</v>
      </c>
      <c r="I10000">
        <v>42</v>
      </c>
      <c r="J10000">
        <v>0</v>
      </c>
      <c r="K10000" s="1">
        <v>2355380</v>
      </c>
    </row>
    <row r="10001" spans="1:11" x14ac:dyDescent="0.25">
      <c r="A10001" t="s">
        <v>326</v>
      </c>
      <c r="B10001" t="s">
        <v>532</v>
      </c>
      <c r="C10001" t="s">
        <v>875</v>
      </c>
      <c r="D10001" t="s">
        <v>11</v>
      </c>
      <c r="E10001">
        <v>29</v>
      </c>
      <c r="F10001" s="2">
        <f>DATE(2026,IF(Tabla1[[#This Row],[Mes de Fecha]]="Septiembre",9,10),Tabla1[[#This Row],[Día de Fecha]])</f>
        <v>46294</v>
      </c>
      <c r="G10001">
        <v>1092530235</v>
      </c>
      <c r="H10001" t="s">
        <v>418</v>
      </c>
      <c r="I10001">
        <v>1</v>
      </c>
      <c r="J10001">
        <v>0</v>
      </c>
      <c r="K10001" s="1">
        <v>33572</v>
      </c>
    </row>
    <row r="10002" spans="1:11" x14ac:dyDescent="0.25">
      <c r="A10002" t="s">
        <v>326</v>
      </c>
      <c r="B10002" t="s">
        <v>532</v>
      </c>
      <c r="C10002" t="s">
        <v>875</v>
      </c>
      <c r="D10002" t="s">
        <v>11</v>
      </c>
      <c r="E10002">
        <v>30</v>
      </c>
      <c r="F10002" s="2">
        <f>DATE(2026,IF(Tabla1[[#This Row],[Mes de Fecha]]="Septiembre",9,10),Tabla1[[#This Row],[Día de Fecha]])</f>
        <v>46295</v>
      </c>
      <c r="I10002">
        <v>0</v>
      </c>
      <c r="J10002" s="1">
        <v>13462912</v>
      </c>
      <c r="K10002">
        <v>0</v>
      </c>
    </row>
    <row r="10003" spans="1:11" x14ac:dyDescent="0.25">
      <c r="A10003" t="s">
        <v>326</v>
      </c>
      <c r="B10003" t="s">
        <v>532</v>
      </c>
      <c r="C10003" t="s">
        <v>875</v>
      </c>
      <c r="D10003" t="s">
        <v>11</v>
      </c>
      <c r="E10003">
        <v>30</v>
      </c>
      <c r="F10003" s="2">
        <f>DATE(2026,IF(Tabla1[[#This Row],[Mes de Fecha]]="Septiembre",9,10),Tabla1[[#This Row],[Día de Fecha]])</f>
        <v>46295</v>
      </c>
      <c r="G10003">
        <v>37506130</v>
      </c>
      <c r="H10003" t="s">
        <v>533</v>
      </c>
      <c r="I10003">
        <v>10</v>
      </c>
      <c r="J10003">
        <v>0</v>
      </c>
      <c r="K10003" s="1">
        <v>562606</v>
      </c>
    </row>
    <row r="10004" spans="1:11" x14ac:dyDescent="0.25">
      <c r="A10004" t="s">
        <v>326</v>
      </c>
      <c r="B10004" t="s">
        <v>532</v>
      </c>
      <c r="C10004" t="s">
        <v>875</v>
      </c>
      <c r="D10004" t="s">
        <v>11</v>
      </c>
      <c r="E10004">
        <v>30</v>
      </c>
      <c r="F10004" s="2">
        <f>DATE(2026,IF(Tabla1[[#This Row],[Mes de Fecha]]="Septiembre",9,10),Tabla1[[#This Row],[Día de Fecha]])</f>
        <v>46295</v>
      </c>
      <c r="G10004">
        <v>1090393438</v>
      </c>
      <c r="H10004" t="s">
        <v>534</v>
      </c>
      <c r="I10004">
        <v>50</v>
      </c>
      <c r="J10004">
        <v>0</v>
      </c>
      <c r="K10004" s="1">
        <v>3174333</v>
      </c>
    </row>
    <row r="10005" spans="1:11" x14ac:dyDescent="0.25">
      <c r="A10005" t="s">
        <v>326</v>
      </c>
      <c r="B10005" t="s">
        <v>532</v>
      </c>
      <c r="C10005" t="s">
        <v>875</v>
      </c>
      <c r="D10005" t="s">
        <v>11</v>
      </c>
      <c r="E10005">
        <v>30</v>
      </c>
      <c r="F10005" s="2">
        <f>DATE(2026,IF(Tabla1[[#This Row],[Mes de Fecha]]="Septiembre",9,10),Tabla1[[#This Row],[Día de Fecha]])</f>
        <v>46295</v>
      </c>
      <c r="G10005">
        <v>1090472880</v>
      </c>
      <c r="H10005" t="s">
        <v>537</v>
      </c>
      <c r="I10005">
        <v>15</v>
      </c>
      <c r="J10005">
        <v>0</v>
      </c>
      <c r="K10005" s="1">
        <v>860715</v>
      </c>
    </row>
    <row r="10006" spans="1:11" x14ac:dyDescent="0.25">
      <c r="A10006" t="s">
        <v>326</v>
      </c>
      <c r="B10006" t="s">
        <v>532</v>
      </c>
      <c r="C10006" t="s">
        <v>875</v>
      </c>
      <c r="D10006" t="s">
        <v>11</v>
      </c>
      <c r="E10006">
        <v>30</v>
      </c>
      <c r="F10006" s="2">
        <f>DATE(2026,IF(Tabla1[[#This Row],[Mes de Fecha]]="Septiembre",9,10),Tabla1[[#This Row],[Día de Fecha]])</f>
        <v>46295</v>
      </c>
      <c r="G10006">
        <v>1090498655</v>
      </c>
      <c r="H10006" t="s">
        <v>535</v>
      </c>
      <c r="I10006">
        <v>101</v>
      </c>
      <c r="J10006">
        <v>0</v>
      </c>
      <c r="K10006" s="1">
        <v>5714250</v>
      </c>
    </row>
    <row r="10007" spans="1:11" x14ac:dyDescent="0.25">
      <c r="A10007" t="s">
        <v>326</v>
      </c>
      <c r="B10007" t="s">
        <v>532</v>
      </c>
      <c r="C10007" t="s">
        <v>875</v>
      </c>
      <c r="D10007" t="s">
        <v>11</v>
      </c>
      <c r="E10007">
        <v>30</v>
      </c>
      <c r="F10007" s="2">
        <f>DATE(2026,IF(Tabla1[[#This Row],[Mes de Fecha]]="Septiembre",9,10),Tabla1[[#This Row],[Día de Fecha]])</f>
        <v>46295</v>
      </c>
      <c r="G10007">
        <v>1092530235</v>
      </c>
      <c r="H10007" t="s">
        <v>418</v>
      </c>
      <c r="I10007">
        <v>7</v>
      </c>
      <c r="J10007">
        <v>0</v>
      </c>
      <c r="K10007" s="1">
        <v>239202</v>
      </c>
    </row>
    <row r="10008" spans="1:11" x14ac:dyDescent="0.25">
      <c r="A10008" t="s">
        <v>326</v>
      </c>
      <c r="B10008" t="s">
        <v>532</v>
      </c>
      <c r="C10008" t="s">
        <v>875</v>
      </c>
      <c r="D10008" t="s">
        <v>14</v>
      </c>
      <c r="E10008">
        <v>1</v>
      </c>
      <c r="F10008" s="2">
        <f>DATE(2026,IF(Tabla1[[#This Row],[Mes de Fecha]]="Septiembre",9,10),Tabla1[[#This Row],[Día de Fecha]])</f>
        <v>46296</v>
      </c>
      <c r="I10008">
        <v>0</v>
      </c>
      <c r="J10008" s="1">
        <v>15097833</v>
      </c>
      <c r="K10008">
        <v>0</v>
      </c>
    </row>
    <row r="10009" spans="1:11" x14ac:dyDescent="0.25">
      <c r="A10009" t="s">
        <v>326</v>
      </c>
      <c r="B10009" t="s">
        <v>532</v>
      </c>
      <c r="C10009" t="s">
        <v>875</v>
      </c>
      <c r="D10009" t="s">
        <v>14</v>
      </c>
      <c r="E10009">
        <v>1</v>
      </c>
      <c r="F10009" s="2">
        <f>DATE(2026,IF(Tabla1[[#This Row],[Mes de Fecha]]="Septiembre",9,10),Tabla1[[#This Row],[Día de Fecha]])</f>
        <v>46296</v>
      </c>
      <c r="G10009">
        <v>37506130</v>
      </c>
      <c r="H10009" t="s">
        <v>533</v>
      </c>
      <c r="I10009">
        <v>70</v>
      </c>
      <c r="J10009">
        <v>0</v>
      </c>
      <c r="K10009" s="1">
        <v>4169333</v>
      </c>
    </row>
    <row r="10010" spans="1:11" x14ac:dyDescent="0.25">
      <c r="A10010" t="s">
        <v>326</v>
      </c>
      <c r="B10010" t="s">
        <v>532</v>
      </c>
      <c r="C10010" t="s">
        <v>875</v>
      </c>
      <c r="D10010" t="s">
        <v>14</v>
      </c>
      <c r="E10010">
        <v>1</v>
      </c>
      <c r="F10010" s="2">
        <f>DATE(2026,IF(Tabla1[[#This Row],[Mes de Fecha]]="Septiembre",9,10),Tabla1[[#This Row],[Día de Fecha]])</f>
        <v>46296</v>
      </c>
      <c r="G10010">
        <v>1090393438</v>
      </c>
      <c r="H10010" t="s">
        <v>534</v>
      </c>
      <c r="I10010">
        <v>33</v>
      </c>
      <c r="J10010">
        <v>0</v>
      </c>
      <c r="K10010" s="1">
        <v>1965002</v>
      </c>
    </row>
    <row r="10011" spans="1:11" x14ac:dyDescent="0.25">
      <c r="A10011" t="s">
        <v>326</v>
      </c>
      <c r="B10011" t="s">
        <v>532</v>
      </c>
      <c r="C10011" t="s">
        <v>875</v>
      </c>
      <c r="D10011" t="s">
        <v>14</v>
      </c>
      <c r="E10011">
        <v>1</v>
      </c>
      <c r="F10011" s="2">
        <f>DATE(2026,IF(Tabla1[[#This Row],[Mes de Fecha]]="Septiembre",9,10),Tabla1[[#This Row],[Día de Fecha]])</f>
        <v>46296</v>
      </c>
      <c r="G10011">
        <v>1090472880</v>
      </c>
      <c r="H10011" t="s">
        <v>537</v>
      </c>
      <c r="I10011">
        <v>30</v>
      </c>
      <c r="J10011">
        <v>0</v>
      </c>
      <c r="K10011" s="1">
        <v>1603782</v>
      </c>
    </row>
    <row r="10012" spans="1:11" x14ac:dyDescent="0.25">
      <c r="A10012" t="s">
        <v>326</v>
      </c>
      <c r="B10012" t="s">
        <v>532</v>
      </c>
      <c r="C10012" t="s">
        <v>875</v>
      </c>
      <c r="D10012" t="s">
        <v>14</v>
      </c>
      <c r="E10012">
        <v>1</v>
      </c>
      <c r="F10012" s="2">
        <f>DATE(2026,IF(Tabla1[[#This Row],[Mes de Fecha]]="Septiembre",9,10),Tabla1[[#This Row],[Día de Fecha]])</f>
        <v>46296</v>
      </c>
      <c r="G10012">
        <v>1090498655</v>
      </c>
      <c r="H10012" t="s">
        <v>535</v>
      </c>
      <c r="I10012">
        <v>73</v>
      </c>
      <c r="J10012">
        <v>0</v>
      </c>
      <c r="K10012" s="1">
        <v>4106053</v>
      </c>
    </row>
    <row r="10013" spans="1:11" x14ac:dyDescent="0.25">
      <c r="A10013" t="s">
        <v>326</v>
      </c>
      <c r="B10013" t="s">
        <v>532</v>
      </c>
      <c r="C10013" t="s">
        <v>875</v>
      </c>
      <c r="D10013" t="s">
        <v>14</v>
      </c>
      <c r="E10013">
        <v>1</v>
      </c>
      <c r="F10013" s="2">
        <f>DATE(2026,IF(Tabla1[[#This Row],[Mes de Fecha]]="Septiembre",9,10),Tabla1[[#This Row],[Día de Fecha]])</f>
        <v>46296</v>
      </c>
      <c r="G10013">
        <v>1092530235</v>
      </c>
      <c r="H10013" t="s">
        <v>418</v>
      </c>
      <c r="I10013">
        <v>16</v>
      </c>
      <c r="J10013">
        <v>0</v>
      </c>
      <c r="K10013" s="1">
        <v>990883</v>
      </c>
    </row>
    <row r="10014" spans="1:11" x14ac:dyDescent="0.25">
      <c r="A10014" t="s">
        <v>326</v>
      </c>
      <c r="B10014" t="s">
        <v>532</v>
      </c>
      <c r="C10014" t="s">
        <v>875</v>
      </c>
      <c r="D10014" t="s">
        <v>14</v>
      </c>
      <c r="E10014">
        <v>2</v>
      </c>
      <c r="F10014" s="2">
        <f>DATE(2026,IF(Tabla1[[#This Row],[Mes de Fecha]]="Septiembre",9,10),Tabla1[[#This Row],[Día de Fecha]])</f>
        <v>46297</v>
      </c>
      <c r="I10014">
        <v>0</v>
      </c>
      <c r="J10014" s="1">
        <v>16055539</v>
      </c>
      <c r="K10014">
        <v>0</v>
      </c>
    </row>
    <row r="10015" spans="1:11" x14ac:dyDescent="0.25">
      <c r="A10015" t="s">
        <v>326</v>
      </c>
      <c r="B10015" t="s">
        <v>532</v>
      </c>
      <c r="C10015" t="s">
        <v>875</v>
      </c>
      <c r="D10015" t="s">
        <v>14</v>
      </c>
      <c r="E10015">
        <v>2</v>
      </c>
      <c r="F10015" s="2">
        <f>DATE(2026,IF(Tabla1[[#This Row],[Mes de Fecha]]="Septiembre",9,10),Tabla1[[#This Row],[Día de Fecha]])</f>
        <v>46297</v>
      </c>
      <c r="G10015">
        <v>37506130</v>
      </c>
      <c r="H10015" t="s">
        <v>533</v>
      </c>
      <c r="I10015">
        <v>60</v>
      </c>
      <c r="J10015">
        <v>0</v>
      </c>
      <c r="K10015" s="1">
        <v>3545761</v>
      </c>
    </row>
    <row r="10016" spans="1:11" x14ac:dyDescent="0.25">
      <c r="A10016" t="s">
        <v>326</v>
      </c>
      <c r="B10016" t="s">
        <v>532</v>
      </c>
      <c r="C10016" t="s">
        <v>875</v>
      </c>
      <c r="D10016" t="s">
        <v>14</v>
      </c>
      <c r="E10016">
        <v>2</v>
      </c>
      <c r="F10016" s="2">
        <f>DATE(2026,IF(Tabla1[[#This Row],[Mes de Fecha]]="Septiembre",9,10),Tabla1[[#This Row],[Día de Fecha]])</f>
        <v>46297</v>
      </c>
      <c r="G10016">
        <v>1090393438</v>
      </c>
      <c r="H10016" t="s">
        <v>534</v>
      </c>
      <c r="I10016">
        <v>64</v>
      </c>
      <c r="J10016">
        <v>0</v>
      </c>
      <c r="K10016" s="1">
        <v>3734666</v>
      </c>
    </row>
    <row r="10017" spans="1:11" x14ac:dyDescent="0.25">
      <c r="A10017" t="s">
        <v>326</v>
      </c>
      <c r="B10017" t="s">
        <v>532</v>
      </c>
      <c r="C10017" t="s">
        <v>875</v>
      </c>
      <c r="D10017" t="s">
        <v>14</v>
      </c>
      <c r="E10017">
        <v>2</v>
      </c>
      <c r="F10017" s="2">
        <f>DATE(2026,IF(Tabla1[[#This Row],[Mes de Fecha]]="Septiembre",9,10),Tabla1[[#This Row],[Día de Fecha]])</f>
        <v>46297</v>
      </c>
      <c r="G10017">
        <v>1090472880</v>
      </c>
      <c r="H10017" t="s">
        <v>537</v>
      </c>
      <c r="I10017">
        <v>22</v>
      </c>
      <c r="J10017">
        <v>0</v>
      </c>
      <c r="K10017" s="1">
        <v>1196513</v>
      </c>
    </row>
    <row r="10018" spans="1:11" x14ac:dyDescent="0.25">
      <c r="A10018" t="s">
        <v>326</v>
      </c>
      <c r="B10018" t="s">
        <v>532</v>
      </c>
      <c r="C10018" t="s">
        <v>875</v>
      </c>
      <c r="D10018" t="s">
        <v>14</v>
      </c>
      <c r="E10018">
        <v>2</v>
      </c>
      <c r="F10018" s="2">
        <f>DATE(2026,IF(Tabla1[[#This Row],[Mes de Fecha]]="Septiembre",9,10),Tabla1[[#This Row],[Día de Fecha]])</f>
        <v>46297</v>
      </c>
      <c r="G10018">
        <v>1090498655</v>
      </c>
      <c r="H10018" t="s">
        <v>535</v>
      </c>
      <c r="I10018">
        <v>55</v>
      </c>
      <c r="J10018">
        <v>0</v>
      </c>
      <c r="K10018" s="1">
        <v>3346435</v>
      </c>
    </row>
    <row r="10019" spans="1:11" x14ac:dyDescent="0.25">
      <c r="A10019" t="s">
        <v>326</v>
      </c>
      <c r="B10019" t="s">
        <v>532</v>
      </c>
      <c r="C10019" t="s">
        <v>875</v>
      </c>
      <c r="D10019" t="s">
        <v>14</v>
      </c>
      <c r="E10019">
        <v>2</v>
      </c>
      <c r="F10019" s="2">
        <f>DATE(2026,IF(Tabla1[[#This Row],[Mes de Fecha]]="Septiembre",9,10),Tabla1[[#This Row],[Día de Fecha]])</f>
        <v>46297</v>
      </c>
      <c r="G10019">
        <v>1092530235</v>
      </c>
      <c r="H10019" t="s">
        <v>418</v>
      </c>
      <c r="I10019">
        <v>20</v>
      </c>
      <c r="J10019">
        <v>0</v>
      </c>
      <c r="K10019" s="1">
        <v>971850</v>
      </c>
    </row>
    <row r="10020" spans="1:11" x14ac:dyDescent="0.25">
      <c r="A10020" t="s">
        <v>326</v>
      </c>
      <c r="B10020" t="s">
        <v>532</v>
      </c>
      <c r="C10020" t="s">
        <v>875</v>
      </c>
      <c r="D10020" t="s">
        <v>14</v>
      </c>
      <c r="E10020">
        <v>3</v>
      </c>
      <c r="F10020" s="2">
        <f>DATE(2026,IF(Tabla1[[#This Row],[Mes de Fecha]]="Septiembre",9,10),Tabla1[[#This Row],[Día de Fecha]])</f>
        <v>46298</v>
      </c>
      <c r="I10020">
        <v>0</v>
      </c>
      <c r="J10020" s="1">
        <v>25943837</v>
      </c>
      <c r="K10020">
        <v>0</v>
      </c>
    </row>
    <row r="10021" spans="1:11" x14ac:dyDescent="0.25">
      <c r="A10021" t="s">
        <v>326</v>
      </c>
      <c r="B10021" t="s">
        <v>532</v>
      </c>
      <c r="C10021" t="s">
        <v>875</v>
      </c>
      <c r="D10021" t="s">
        <v>14</v>
      </c>
      <c r="E10021">
        <v>3</v>
      </c>
      <c r="F10021" s="2">
        <f>DATE(2026,IF(Tabla1[[#This Row],[Mes de Fecha]]="Septiembre",9,10),Tabla1[[#This Row],[Día de Fecha]])</f>
        <v>46298</v>
      </c>
      <c r="G10021">
        <v>37506130</v>
      </c>
      <c r="H10021" t="s">
        <v>533</v>
      </c>
      <c r="I10021">
        <v>115</v>
      </c>
      <c r="J10021">
        <v>0</v>
      </c>
      <c r="K10021" s="1">
        <v>6083254</v>
      </c>
    </row>
    <row r="10022" spans="1:11" x14ac:dyDescent="0.25">
      <c r="A10022" t="s">
        <v>326</v>
      </c>
      <c r="B10022" t="s">
        <v>532</v>
      </c>
      <c r="C10022" t="s">
        <v>875</v>
      </c>
      <c r="D10022" t="s">
        <v>14</v>
      </c>
      <c r="E10022">
        <v>3</v>
      </c>
      <c r="F10022" s="2">
        <f>DATE(2026,IF(Tabla1[[#This Row],[Mes de Fecha]]="Septiembre",9,10),Tabla1[[#This Row],[Día de Fecha]])</f>
        <v>46298</v>
      </c>
      <c r="G10022">
        <v>1090393438</v>
      </c>
      <c r="H10022" t="s">
        <v>534</v>
      </c>
      <c r="I10022">
        <v>80</v>
      </c>
      <c r="J10022">
        <v>0</v>
      </c>
      <c r="K10022" s="1">
        <v>4441354</v>
      </c>
    </row>
    <row r="10023" spans="1:11" x14ac:dyDescent="0.25">
      <c r="A10023" t="s">
        <v>326</v>
      </c>
      <c r="B10023" t="s">
        <v>532</v>
      </c>
      <c r="C10023" t="s">
        <v>875</v>
      </c>
      <c r="D10023" t="s">
        <v>14</v>
      </c>
      <c r="E10023">
        <v>3</v>
      </c>
      <c r="F10023" s="2">
        <f>DATE(2026,IF(Tabla1[[#This Row],[Mes de Fecha]]="Septiembre",9,10),Tabla1[[#This Row],[Día de Fecha]])</f>
        <v>46298</v>
      </c>
      <c r="G10023">
        <v>1090472880</v>
      </c>
      <c r="H10023" t="s">
        <v>537</v>
      </c>
      <c r="I10023">
        <v>77</v>
      </c>
      <c r="J10023">
        <v>0</v>
      </c>
      <c r="K10023" s="1">
        <v>3738523</v>
      </c>
    </row>
    <row r="10024" spans="1:11" x14ac:dyDescent="0.25">
      <c r="A10024" t="s">
        <v>326</v>
      </c>
      <c r="B10024" t="s">
        <v>532</v>
      </c>
      <c r="C10024" t="s">
        <v>875</v>
      </c>
      <c r="D10024" t="s">
        <v>14</v>
      </c>
      <c r="E10024">
        <v>3</v>
      </c>
      <c r="F10024" s="2">
        <f>DATE(2026,IF(Tabla1[[#This Row],[Mes de Fecha]]="Septiembre",9,10),Tabla1[[#This Row],[Día de Fecha]])</f>
        <v>46298</v>
      </c>
      <c r="G10024">
        <v>1090498655</v>
      </c>
      <c r="H10024" t="s">
        <v>535</v>
      </c>
      <c r="I10024">
        <v>108</v>
      </c>
      <c r="J10024">
        <v>0</v>
      </c>
      <c r="K10024" s="1">
        <v>5838669</v>
      </c>
    </row>
    <row r="10025" spans="1:11" x14ac:dyDescent="0.25">
      <c r="A10025" t="s">
        <v>326</v>
      </c>
      <c r="B10025" t="s">
        <v>532</v>
      </c>
      <c r="C10025" t="s">
        <v>875</v>
      </c>
      <c r="D10025" t="s">
        <v>14</v>
      </c>
      <c r="E10025">
        <v>3</v>
      </c>
      <c r="F10025" s="2">
        <f>DATE(2026,IF(Tabla1[[#This Row],[Mes de Fecha]]="Septiembre",9,10),Tabla1[[#This Row],[Día de Fecha]])</f>
        <v>46298</v>
      </c>
      <c r="G10025">
        <v>1092530235</v>
      </c>
      <c r="H10025" t="s">
        <v>418</v>
      </c>
      <c r="I10025">
        <v>29</v>
      </c>
      <c r="J10025">
        <v>0</v>
      </c>
      <c r="K10025" s="1">
        <v>1307121</v>
      </c>
    </row>
    <row r="10026" spans="1:11" x14ac:dyDescent="0.25">
      <c r="A10026" t="s">
        <v>326</v>
      </c>
      <c r="B10026" t="s">
        <v>532</v>
      </c>
      <c r="C10026" t="s">
        <v>875</v>
      </c>
      <c r="D10026" t="s">
        <v>14</v>
      </c>
      <c r="E10026">
        <v>4</v>
      </c>
      <c r="F10026" s="2">
        <f>DATE(2026,IF(Tabla1[[#This Row],[Mes de Fecha]]="Septiembre",9,10),Tabla1[[#This Row],[Día de Fecha]])</f>
        <v>46299</v>
      </c>
      <c r="I10026">
        <v>0</v>
      </c>
      <c r="J10026" s="1">
        <v>12328594</v>
      </c>
      <c r="K10026">
        <v>0</v>
      </c>
    </row>
    <row r="10027" spans="1:11" x14ac:dyDescent="0.25">
      <c r="A10027" t="s">
        <v>326</v>
      </c>
      <c r="B10027" t="s">
        <v>532</v>
      </c>
      <c r="C10027" t="s">
        <v>875</v>
      </c>
      <c r="D10027" t="s">
        <v>14</v>
      </c>
      <c r="E10027">
        <v>4</v>
      </c>
      <c r="F10027" s="2">
        <f>DATE(2026,IF(Tabla1[[#This Row],[Mes de Fecha]]="Septiembre",9,10),Tabla1[[#This Row],[Día de Fecha]])</f>
        <v>46299</v>
      </c>
      <c r="G10027">
        <v>37506130</v>
      </c>
      <c r="H10027" t="s">
        <v>533</v>
      </c>
      <c r="I10027">
        <v>50</v>
      </c>
      <c r="J10027">
        <v>0</v>
      </c>
      <c r="K10027" s="1">
        <v>3441180</v>
      </c>
    </row>
    <row r="10028" spans="1:11" x14ac:dyDescent="0.25">
      <c r="A10028" t="s">
        <v>326</v>
      </c>
      <c r="B10028" t="s">
        <v>532</v>
      </c>
      <c r="C10028" t="s">
        <v>875</v>
      </c>
      <c r="D10028" t="s">
        <v>14</v>
      </c>
      <c r="E10028">
        <v>4</v>
      </c>
      <c r="F10028" s="2">
        <f>DATE(2026,IF(Tabla1[[#This Row],[Mes de Fecha]]="Septiembre",9,10),Tabla1[[#This Row],[Día de Fecha]])</f>
        <v>46299</v>
      </c>
      <c r="G10028">
        <v>1090393438</v>
      </c>
      <c r="H10028" t="s">
        <v>534</v>
      </c>
      <c r="I10028">
        <v>46</v>
      </c>
      <c r="J10028">
        <v>0</v>
      </c>
      <c r="K10028" s="1">
        <v>2621853</v>
      </c>
    </row>
    <row r="10029" spans="1:11" x14ac:dyDescent="0.25">
      <c r="A10029" t="s">
        <v>326</v>
      </c>
      <c r="B10029" t="s">
        <v>532</v>
      </c>
      <c r="C10029" t="s">
        <v>875</v>
      </c>
      <c r="D10029" t="s">
        <v>14</v>
      </c>
      <c r="E10029">
        <v>4</v>
      </c>
      <c r="F10029" s="2">
        <f>DATE(2026,IF(Tabla1[[#This Row],[Mes de Fecha]]="Septiembre",9,10),Tabla1[[#This Row],[Día de Fecha]])</f>
        <v>46299</v>
      </c>
      <c r="G10029">
        <v>1090472880</v>
      </c>
      <c r="H10029" t="s">
        <v>537</v>
      </c>
      <c r="I10029">
        <v>13</v>
      </c>
      <c r="J10029">
        <v>0</v>
      </c>
      <c r="K10029" s="1">
        <v>755757</v>
      </c>
    </row>
    <row r="10030" spans="1:11" x14ac:dyDescent="0.25">
      <c r="A10030" t="s">
        <v>326</v>
      </c>
      <c r="B10030" t="s">
        <v>532</v>
      </c>
      <c r="C10030" t="s">
        <v>875</v>
      </c>
      <c r="D10030" t="s">
        <v>14</v>
      </c>
      <c r="E10030">
        <v>4</v>
      </c>
      <c r="F10030" s="2">
        <f>DATE(2026,IF(Tabla1[[#This Row],[Mes de Fecha]]="Septiembre",9,10),Tabla1[[#This Row],[Día de Fecha]])</f>
        <v>46299</v>
      </c>
      <c r="G10030">
        <v>1090498655</v>
      </c>
      <c r="H10030" t="s">
        <v>535</v>
      </c>
      <c r="I10030">
        <v>48</v>
      </c>
      <c r="J10030">
        <v>0</v>
      </c>
      <c r="K10030" s="1">
        <v>2712229</v>
      </c>
    </row>
    <row r="10031" spans="1:11" x14ac:dyDescent="0.25">
      <c r="A10031" t="s">
        <v>326</v>
      </c>
      <c r="B10031" t="s">
        <v>532</v>
      </c>
      <c r="C10031" t="s">
        <v>875</v>
      </c>
      <c r="D10031" t="s">
        <v>14</v>
      </c>
      <c r="E10031">
        <v>4</v>
      </c>
      <c r="F10031" s="2">
        <f>DATE(2026,IF(Tabla1[[#This Row],[Mes de Fecha]]="Septiembre",9,10),Tabla1[[#This Row],[Día de Fecha]])</f>
        <v>46299</v>
      </c>
      <c r="G10031">
        <v>1092530235</v>
      </c>
      <c r="H10031" t="s">
        <v>418</v>
      </c>
      <c r="I10031">
        <v>31</v>
      </c>
      <c r="J10031">
        <v>0</v>
      </c>
      <c r="K10031" s="1">
        <v>1654036</v>
      </c>
    </row>
    <row r="10032" spans="1:11" x14ac:dyDescent="0.25">
      <c r="A10032" t="s">
        <v>326</v>
      </c>
      <c r="B10032" t="s">
        <v>532</v>
      </c>
      <c r="C10032" t="s">
        <v>875</v>
      </c>
      <c r="D10032" t="s">
        <v>14</v>
      </c>
      <c r="E10032">
        <v>5</v>
      </c>
      <c r="F10032" s="2">
        <f>DATE(2026,IF(Tabla1[[#This Row],[Mes de Fecha]]="Septiembre",9,10),Tabla1[[#This Row],[Día de Fecha]])</f>
        <v>46300</v>
      </c>
      <c r="I10032">
        <v>0</v>
      </c>
      <c r="J10032" s="1">
        <v>11036991</v>
      </c>
      <c r="K10032">
        <v>0</v>
      </c>
    </row>
    <row r="10033" spans="1:11" x14ac:dyDescent="0.25">
      <c r="A10033" t="s">
        <v>326</v>
      </c>
      <c r="B10033" t="s">
        <v>532</v>
      </c>
      <c r="C10033" t="s">
        <v>875</v>
      </c>
      <c r="D10033" t="s">
        <v>14</v>
      </c>
      <c r="E10033">
        <v>5</v>
      </c>
      <c r="F10033" s="2">
        <f>DATE(2026,IF(Tabla1[[#This Row],[Mes de Fecha]]="Septiembre",9,10),Tabla1[[#This Row],[Día de Fecha]])</f>
        <v>46300</v>
      </c>
      <c r="G10033">
        <v>37506130</v>
      </c>
      <c r="H10033" t="s">
        <v>533</v>
      </c>
      <c r="I10033">
        <v>97</v>
      </c>
      <c r="J10033">
        <v>0</v>
      </c>
      <c r="K10033" s="1">
        <v>5247906</v>
      </c>
    </row>
    <row r="10034" spans="1:11" x14ac:dyDescent="0.25">
      <c r="A10034" t="s">
        <v>326</v>
      </c>
      <c r="B10034" t="s">
        <v>532</v>
      </c>
      <c r="C10034" t="s">
        <v>875</v>
      </c>
      <c r="D10034" t="s">
        <v>14</v>
      </c>
      <c r="E10034">
        <v>5</v>
      </c>
      <c r="F10034" s="2">
        <f>DATE(2026,IF(Tabla1[[#This Row],[Mes de Fecha]]="Septiembre",9,10),Tabla1[[#This Row],[Día de Fecha]])</f>
        <v>46300</v>
      </c>
      <c r="G10034">
        <v>1004879853</v>
      </c>
      <c r="H10034" t="s">
        <v>381</v>
      </c>
      <c r="I10034">
        <v>-1</v>
      </c>
      <c r="J10034">
        <v>0</v>
      </c>
      <c r="K10034" s="1">
        <v>-71386</v>
      </c>
    </row>
    <row r="10035" spans="1:11" x14ac:dyDescent="0.25">
      <c r="A10035" t="s">
        <v>326</v>
      </c>
      <c r="B10035" t="s">
        <v>532</v>
      </c>
      <c r="C10035" t="s">
        <v>875</v>
      </c>
      <c r="D10035" t="s">
        <v>14</v>
      </c>
      <c r="E10035">
        <v>5</v>
      </c>
      <c r="F10035" s="2">
        <f>DATE(2026,IF(Tabla1[[#This Row],[Mes de Fecha]]="Septiembre",9,10),Tabla1[[#This Row],[Día de Fecha]])</f>
        <v>46300</v>
      </c>
      <c r="G10035">
        <v>1033486789</v>
      </c>
      <c r="H10035" t="s">
        <v>538</v>
      </c>
      <c r="I10035">
        <v>-1</v>
      </c>
      <c r="J10035">
        <v>0</v>
      </c>
      <c r="K10035" s="1">
        <v>-54580</v>
      </c>
    </row>
    <row r="10036" spans="1:11" x14ac:dyDescent="0.25">
      <c r="A10036" t="s">
        <v>326</v>
      </c>
      <c r="B10036" t="s">
        <v>532</v>
      </c>
      <c r="C10036" t="s">
        <v>875</v>
      </c>
      <c r="D10036" t="s">
        <v>14</v>
      </c>
      <c r="E10036">
        <v>5</v>
      </c>
      <c r="F10036" s="2">
        <f>DATE(2026,IF(Tabla1[[#This Row],[Mes de Fecha]]="Septiembre",9,10),Tabla1[[#This Row],[Día de Fecha]])</f>
        <v>46300</v>
      </c>
      <c r="G10036">
        <v>1090393438</v>
      </c>
      <c r="H10036" t="s">
        <v>534</v>
      </c>
      <c r="I10036">
        <v>80</v>
      </c>
      <c r="J10036">
        <v>0</v>
      </c>
      <c r="K10036" s="1">
        <v>4861717</v>
      </c>
    </row>
    <row r="10037" spans="1:11" x14ac:dyDescent="0.25">
      <c r="A10037" t="s">
        <v>326</v>
      </c>
      <c r="B10037" t="s">
        <v>532</v>
      </c>
      <c r="C10037" t="s">
        <v>875</v>
      </c>
      <c r="D10037" t="s">
        <v>14</v>
      </c>
      <c r="E10037">
        <v>5</v>
      </c>
      <c r="F10037" s="2">
        <f>DATE(2026,IF(Tabla1[[#This Row],[Mes de Fecha]]="Septiembre",9,10),Tabla1[[#This Row],[Día de Fecha]])</f>
        <v>46300</v>
      </c>
      <c r="G10037">
        <v>1090472880</v>
      </c>
      <c r="H10037" t="s">
        <v>537</v>
      </c>
      <c r="I10037">
        <v>10</v>
      </c>
      <c r="J10037">
        <v>0</v>
      </c>
      <c r="K10037" s="1">
        <v>419748</v>
      </c>
    </row>
    <row r="10038" spans="1:11" x14ac:dyDescent="0.25">
      <c r="A10038" t="s">
        <v>326</v>
      </c>
      <c r="B10038" t="s">
        <v>532</v>
      </c>
      <c r="C10038" t="s">
        <v>875</v>
      </c>
      <c r="D10038" t="s">
        <v>14</v>
      </c>
      <c r="E10038">
        <v>5</v>
      </c>
      <c r="F10038" s="2">
        <f>DATE(2026,IF(Tabla1[[#This Row],[Mes de Fecha]]="Septiembre",9,10),Tabla1[[#This Row],[Día de Fecha]])</f>
        <v>46300</v>
      </c>
      <c r="G10038">
        <v>1090498655</v>
      </c>
      <c r="H10038" t="s">
        <v>535</v>
      </c>
      <c r="I10038">
        <v>69</v>
      </c>
      <c r="J10038">
        <v>0</v>
      </c>
      <c r="K10038" s="1">
        <v>3980174</v>
      </c>
    </row>
    <row r="10039" spans="1:11" x14ac:dyDescent="0.25">
      <c r="A10039" t="s">
        <v>326</v>
      </c>
      <c r="B10039" t="s">
        <v>532</v>
      </c>
      <c r="C10039" t="s">
        <v>875</v>
      </c>
      <c r="D10039" t="s">
        <v>14</v>
      </c>
      <c r="E10039">
        <v>5</v>
      </c>
      <c r="F10039" s="2">
        <f>DATE(2026,IF(Tabla1[[#This Row],[Mes de Fecha]]="Septiembre",9,10),Tabla1[[#This Row],[Día de Fecha]])</f>
        <v>46300</v>
      </c>
      <c r="G10039">
        <v>1092530235</v>
      </c>
      <c r="H10039" t="s">
        <v>418</v>
      </c>
      <c r="I10039">
        <v>7</v>
      </c>
      <c r="J10039">
        <v>0</v>
      </c>
      <c r="K10039" s="1">
        <v>382059</v>
      </c>
    </row>
    <row r="10040" spans="1:11" x14ac:dyDescent="0.25">
      <c r="A10040" t="s">
        <v>326</v>
      </c>
      <c r="B10040" t="s">
        <v>532</v>
      </c>
      <c r="C10040" t="s">
        <v>875</v>
      </c>
      <c r="D10040" t="s">
        <v>14</v>
      </c>
      <c r="E10040">
        <v>5</v>
      </c>
      <c r="F10040" s="2">
        <f>DATE(2026,IF(Tabla1[[#This Row],[Mes de Fecha]]="Septiembre",9,10),Tabla1[[#This Row],[Día de Fecha]])</f>
        <v>46300</v>
      </c>
      <c r="G10040">
        <v>1148965693</v>
      </c>
      <c r="H10040" t="s">
        <v>391</v>
      </c>
      <c r="I10040">
        <v>-2</v>
      </c>
      <c r="J10040">
        <v>0</v>
      </c>
      <c r="K10040" s="1">
        <v>-67059</v>
      </c>
    </row>
    <row r="10041" spans="1:11" x14ac:dyDescent="0.25">
      <c r="A10041" t="s">
        <v>326</v>
      </c>
      <c r="B10041" t="s">
        <v>532</v>
      </c>
      <c r="C10041" t="s">
        <v>875</v>
      </c>
      <c r="D10041" t="s">
        <v>14</v>
      </c>
      <c r="E10041">
        <v>6</v>
      </c>
      <c r="F10041" s="2">
        <f>DATE(2026,IF(Tabla1[[#This Row],[Mes de Fecha]]="Septiembre",9,10),Tabla1[[#This Row],[Día de Fecha]])</f>
        <v>46301</v>
      </c>
      <c r="I10041">
        <v>0</v>
      </c>
      <c r="J10041" s="1">
        <v>7288492</v>
      </c>
      <c r="K10041">
        <v>0</v>
      </c>
    </row>
    <row r="10042" spans="1:11" x14ac:dyDescent="0.25">
      <c r="A10042" t="s">
        <v>326</v>
      </c>
      <c r="B10042" t="s">
        <v>532</v>
      </c>
      <c r="C10042" t="s">
        <v>875</v>
      </c>
      <c r="D10042" t="s">
        <v>14</v>
      </c>
      <c r="E10042">
        <v>6</v>
      </c>
      <c r="F10042" s="2">
        <f>DATE(2026,IF(Tabla1[[#This Row],[Mes de Fecha]]="Septiembre",9,10),Tabla1[[#This Row],[Día de Fecha]])</f>
        <v>46301</v>
      </c>
      <c r="G10042">
        <v>37506130</v>
      </c>
      <c r="H10042" t="s">
        <v>533</v>
      </c>
      <c r="I10042">
        <v>58</v>
      </c>
      <c r="J10042">
        <v>0</v>
      </c>
      <c r="K10042" s="1">
        <v>2913407</v>
      </c>
    </row>
    <row r="10043" spans="1:11" x14ac:dyDescent="0.25">
      <c r="A10043" t="s">
        <v>326</v>
      </c>
      <c r="B10043" t="s">
        <v>532</v>
      </c>
      <c r="C10043" t="s">
        <v>875</v>
      </c>
      <c r="D10043" t="s">
        <v>14</v>
      </c>
      <c r="E10043">
        <v>6</v>
      </c>
      <c r="F10043" s="2">
        <f>DATE(2026,IF(Tabla1[[#This Row],[Mes de Fecha]]="Septiembre",9,10),Tabla1[[#This Row],[Día de Fecha]])</f>
        <v>46301</v>
      </c>
      <c r="G10043">
        <v>1090393438</v>
      </c>
      <c r="H10043" t="s">
        <v>534</v>
      </c>
      <c r="I10043">
        <v>46</v>
      </c>
      <c r="J10043">
        <v>0</v>
      </c>
      <c r="K10043" s="1">
        <v>2458028</v>
      </c>
    </row>
    <row r="10044" spans="1:11" x14ac:dyDescent="0.25">
      <c r="A10044" t="s">
        <v>326</v>
      </c>
      <c r="B10044" t="s">
        <v>532</v>
      </c>
      <c r="C10044" t="s">
        <v>875</v>
      </c>
      <c r="D10044" t="s">
        <v>14</v>
      </c>
      <c r="E10044">
        <v>6</v>
      </c>
      <c r="F10044" s="2">
        <f>DATE(2026,IF(Tabla1[[#This Row],[Mes de Fecha]]="Septiembre",9,10),Tabla1[[#This Row],[Día de Fecha]])</f>
        <v>46301</v>
      </c>
      <c r="G10044">
        <v>1090498655</v>
      </c>
      <c r="H10044" t="s">
        <v>535</v>
      </c>
      <c r="I10044">
        <v>43</v>
      </c>
      <c r="J10044">
        <v>0</v>
      </c>
      <c r="K10044" s="1">
        <v>2048574</v>
      </c>
    </row>
    <row r="10045" spans="1:11" x14ac:dyDescent="0.25">
      <c r="A10045" t="s">
        <v>326</v>
      </c>
      <c r="B10045" t="s">
        <v>532</v>
      </c>
      <c r="C10045" t="s">
        <v>875</v>
      </c>
      <c r="D10045" t="s">
        <v>14</v>
      </c>
      <c r="E10045">
        <v>6</v>
      </c>
      <c r="F10045" s="2">
        <f>DATE(2026,IF(Tabla1[[#This Row],[Mes de Fecha]]="Septiembre",9,10),Tabla1[[#This Row],[Día de Fecha]])</f>
        <v>46301</v>
      </c>
      <c r="G10045">
        <v>1092530235</v>
      </c>
      <c r="H10045" t="s">
        <v>418</v>
      </c>
      <c r="I10045">
        <v>6</v>
      </c>
      <c r="J10045">
        <v>0</v>
      </c>
      <c r="K10045" s="1">
        <v>277018</v>
      </c>
    </row>
    <row r="10046" spans="1:11" x14ac:dyDescent="0.25">
      <c r="A10046" t="s">
        <v>326</v>
      </c>
      <c r="B10046" t="s">
        <v>532</v>
      </c>
      <c r="C10046" t="s">
        <v>875</v>
      </c>
      <c r="D10046" t="s">
        <v>14</v>
      </c>
      <c r="E10046">
        <v>6</v>
      </c>
      <c r="F10046" s="2">
        <f>DATE(2026,IF(Tabla1[[#This Row],[Mes de Fecha]]="Septiembre",9,10),Tabla1[[#This Row],[Día de Fecha]])</f>
        <v>46301</v>
      </c>
      <c r="G10046">
        <v>1127048399</v>
      </c>
      <c r="H10046" t="s">
        <v>539</v>
      </c>
      <c r="I10046">
        <v>-1</v>
      </c>
      <c r="J10046">
        <v>0</v>
      </c>
      <c r="K10046" s="1">
        <v>-83992</v>
      </c>
    </row>
    <row r="10047" spans="1:11" x14ac:dyDescent="0.25">
      <c r="A10047" t="s">
        <v>326</v>
      </c>
      <c r="B10047" t="s">
        <v>532</v>
      </c>
      <c r="C10047" t="s">
        <v>875</v>
      </c>
      <c r="D10047" t="s">
        <v>14</v>
      </c>
      <c r="E10047">
        <v>7</v>
      </c>
      <c r="F10047" s="2">
        <f>DATE(2026,IF(Tabla1[[#This Row],[Mes de Fecha]]="Septiembre",9,10),Tabla1[[#This Row],[Día de Fecha]])</f>
        <v>46302</v>
      </c>
      <c r="I10047">
        <v>0</v>
      </c>
      <c r="J10047" s="1">
        <v>7192588</v>
      </c>
      <c r="K10047">
        <v>0</v>
      </c>
    </row>
    <row r="10048" spans="1:11" x14ac:dyDescent="0.25">
      <c r="A10048" t="s">
        <v>326</v>
      </c>
      <c r="B10048" t="s">
        <v>532</v>
      </c>
      <c r="C10048" t="s">
        <v>875</v>
      </c>
      <c r="D10048" t="s">
        <v>14</v>
      </c>
      <c r="E10048">
        <v>7</v>
      </c>
      <c r="F10048" s="2">
        <f>DATE(2026,IF(Tabla1[[#This Row],[Mes de Fecha]]="Septiembre",9,10),Tabla1[[#This Row],[Día de Fecha]])</f>
        <v>46302</v>
      </c>
      <c r="G10048">
        <v>37506130</v>
      </c>
      <c r="H10048" t="s">
        <v>533</v>
      </c>
      <c r="I10048">
        <v>40</v>
      </c>
      <c r="J10048">
        <v>0</v>
      </c>
      <c r="K10048" s="1">
        <v>2273492</v>
      </c>
    </row>
    <row r="10049" spans="1:11" x14ac:dyDescent="0.25">
      <c r="A10049" t="s">
        <v>326</v>
      </c>
      <c r="B10049" t="s">
        <v>532</v>
      </c>
      <c r="C10049" t="s">
        <v>875</v>
      </c>
      <c r="D10049" t="s">
        <v>14</v>
      </c>
      <c r="E10049">
        <v>7</v>
      </c>
      <c r="F10049" s="2">
        <f>DATE(2026,IF(Tabla1[[#This Row],[Mes de Fecha]]="Septiembre",9,10),Tabla1[[#This Row],[Día de Fecha]])</f>
        <v>46302</v>
      </c>
      <c r="G10049">
        <v>1004925792</v>
      </c>
      <c r="H10049" t="s">
        <v>413</v>
      </c>
      <c r="I10049">
        <v>-2</v>
      </c>
      <c r="J10049">
        <v>0</v>
      </c>
      <c r="K10049" s="1">
        <v>-71345</v>
      </c>
    </row>
    <row r="10050" spans="1:11" x14ac:dyDescent="0.25">
      <c r="A10050" t="s">
        <v>326</v>
      </c>
      <c r="B10050" t="s">
        <v>532</v>
      </c>
      <c r="C10050" t="s">
        <v>875</v>
      </c>
      <c r="D10050" t="s">
        <v>14</v>
      </c>
      <c r="E10050">
        <v>7</v>
      </c>
      <c r="F10050" s="2">
        <f>DATE(2026,IF(Tabla1[[#This Row],[Mes de Fecha]]="Septiembre",9,10),Tabla1[[#This Row],[Día de Fecha]])</f>
        <v>46302</v>
      </c>
      <c r="G10050">
        <v>1090393438</v>
      </c>
      <c r="H10050" t="s">
        <v>534</v>
      </c>
      <c r="I10050">
        <v>43</v>
      </c>
      <c r="J10050">
        <v>0</v>
      </c>
      <c r="K10050" s="1">
        <v>2569541</v>
      </c>
    </row>
    <row r="10051" spans="1:11" x14ac:dyDescent="0.25">
      <c r="A10051" t="s">
        <v>326</v>
      </c>
      <c r="B10051" t="s">
        <v>532</v>
      </c>
      <c r="C10051" t="s">
        <v>875</v>
      </c>
      <c r="D10051" t="s">
        <v>14</v>
      </c>
      <c r="E10051">
        <v>7</v>
      </c>
      <c r="F10051" s="2">
        <f>DATE(2026,IF(Tabla1[[#This Row],[Mes de Fecha]]="Septiembre",9,10),Tabla1[[#This Row],[Día de Fecha]])</f>
        <v>46302</v>
      </c>
      <c r="G10051">
        <v>1090498655</v>
      </c>
      <c r="H10051" t="s">
        <v>535</v>
      </c>
      <c r="I10051">
        <v>29</v>
      </c>
      <c r="J10051">
        <v>0</v>
      </c>
      <c r="K10051" s="1">
        <v>1561769</v>
      </c>
    </row>
    <row r="10052" spans="1:11" x14ac:dyDescent="0.25">
      <c r="A10052" t="s">
        <v>326</v>
      </c>
      <c r="B10052" t="s">
        <v>532</v>
      </c>
      <c r="C10052" t="s">
        <v>875</v>
      </c>
      <c r="D10052" t="s">
        <v>14</v>
      </c>
      <c r="E10052">
        <v>7</v>
      </c>
      <c r="F10052" s="2">
        <f>DATE(2026,IF(Tabla1[[#This Row],[Mes de Fecha]]="Septiembre",9,10),Tabla1[[#This Row],[Día de Fecha]])</f>
        <v>46302</v>
      </c>
      <c r="G10052">
        <v>1092530235</v>
      </c>
      <c r="H10052" t="s">
        <v>418</v>
      </c>
      <c r="I10052">
        <v>10</v>
      </c>
      <c r="J10052">
        <v>0</v>
      </c>
      <c r="K10052" s="1">
        <v>520589</v>
      </c>
    </row>
    <row r="10053" spans="1:11" x14ac:dyDescent="0.25">
      <c r="A10053" t="s">
        <v>326</v>
      </c>
      <c r="B10053" t="s">
        <v>658</v>
      </c>
      <c r="C10053" t="s">
        <v>875</v>
      </c>
      <c r="D10053" t="s">
        <v>11</v>
      </c>
      <c r="E10053">
        <v>23</v>
      </c>
      <c r="F10053" s="2">
        <f>DATE(2026,IF(Tabla1[[#This Row],[Mes de Fecha]]="Septiembre",9,10),Tabla1[[#This Row],[Día de Fecha]])</f>
        <v>46288</v>
      </c>
      <c r="I10053">
        <v>0</v>
      </c>
      <c r="J10053" s="1">
        <v>13731531</v>
      </c>
      <c r="K10053">
        <v>0</v>
      </c>
    </row>
    <row r="10054" spans="1:11" x14ac:dyDescent="0.25">
      <c r="A10054" t="s">
        <v>326</v>
      </c>
      <c r="B10054" t="s">
        <v>658</v>
      </c>
      <c r="C10054" t="s">
        <v>875</v>
      </c>
      <c r="D10054" t="s">
        <v>11</v>
      </c>
      <c r="E10054">
        <v>23</v>
      </c>
      <c r="F10054" s="2">
        <f>DATE(2026,IF(Tabla1[[#This Row],[Mes de Fecha]]="Septiembre",9,10),Tabla1[[#This Row],[Día de Fecha]])</f>
        <v>46288</v>
      </c>
      <c r="G10054">
        <v>1003231065</v>
      </c>
      <c r="H10054" t="s">
        <v>659</v>
      </c>
      <c r="I10054">
        <v>116</v>
      </c>
      <c r="J10054">
        <v>0</v>
      </c>
      <c r="K10054" s="1">
        <v>5925633</v>
      </c>
    </row>
    <row r="10055" spans="1:11" x14ac:dyDescent="0.25">
      <c r="A10055" t="s">
        <v>326</v>
      </c>
      <c r="B10055" t="s">
        <v>658</v>
      </c>
      <c r="C10055" t="s">
        <v>875</v>
      </c>
      <c r="D10055" t="s">
        <v>11</v>
      </c>
      <c r="E10055">
        <v>23</v>
      </c>
      <c r="F10055" s="2">
        <f>DATE(2026,IF(Tabla1[[#This Row],[Mes de Fecha]]="Septiembre",9,10),Tabla1[[#This Row],[Día de Fecha]])</f>
        <v>46288</v>
      </c>
      <c r="G10055">
        <v>1065614711</v>
      </c>
      <c r="H10055" t="s">
        <v>660</v>
      </c>
      <c r="I10055">
        <v>107</v>
      </c>
      <c r="J10055">
        <v>0</v>
      </c>
      <c r="K10055" s="1">
        <v>6047905</v>
      </c>
    </row>
    <row r="10056" spans="1:11" x14ac:dyDescent="0.25">
      <c r="A10056" t="s">
        <v>326</v>
      </c>
      <c r="B10056" t="s">
        <v>658</v>
      </c>
      <c r="C10056" t="s">
        <v>875</v>
      </c>
      <c r="D10056" t="s">
        <v>11</v>
      </c>
      <c r="E10056">
        <v>23</v>
      </c>
      <c r="F10056" s="2">
        <f>DATE(2026,IF(Tabla1[[#This Row],[Mes de Fecha]]="Septiembre",9,10),Tabla1[[#This Row],[Día de Fecha]])</f>
        <v>46288</v>
      </c>
      <c r="G10056">
        <v>1067594141</v>
      </c>
      <c r="H10056" t="s">
        <v>663</v>
      </c>
      <c r="I10056">
        <v>28</v>
      </c>
      <c r="J10056">
        <v>0</v>
      </c>
      <c r="K10056" s="1">
        <v>1694204</v>
      </c>
    </row>
    <row r="10057" spans="1:11" x14ac:dyDescent="0.25">
      <c r="A10057" t="s">
        <v>326</v>
      </c>
      <c r="B10057" t="s">
        <v>658</v>
      </c>
      <c r="C10057" t="s">
        <v>875</v>
      </c>
      <c r="D10057" t="s">
        <v>11</v>
      </c>
      <c r="E10057">
        <v>23</v>
      </c>
      <c r="F10057" s="2">
        <f>DATE(2026,IF(Tabla1[[#This Row],[Mes de Fecha]]="Septiembre",9,10),Tabla1[[#This Row],[Día de Fecha]])</f>
        <v>46288</v>
      </c>
      <c r="G10057">
        <v>1082841571</v>
      </c>
      <c r="H10057" t="s">
        <v>664</v>
      </c>
      <c r="I10057">
        <v>37</v>
      </c>
      <c r="J10057">
        <v>0</v>
      </c>
      <c r="K10057" s="1">
        <v>2368194</v>
      </c>
    </row>
    <row r="10058" spans="1:11" x14ac:dyDescent="0.25">
      <c r="A10058" t="s">
        <v>326</v>
      </c>
      <c r="B10058" t="s">
        <v>658</v>
      </c>
      <c r="C10058" t="s">
        <v>875</v>
      </c>
      <c r="D10058" t="s">
        <v>11</v>
      </c>
      <c r="E10058">
        <v>23</v>
      </c>
      <c r="F10058" s="2">
        <f>DATE(2026,IF(Tabla1[[#This Row],[Mes de Fecha]]="Septiembre",9,10),Tabla1[[#This Row],[Día de Fecha]])</f>
        <v>46288</v>
      </c>
      <c r="G10058">
        <v>1098794789</v>
      </c>
      <c r="H10058" t="s">
        <v>665</v>
      </c>
      <c r="I10058">
        <v>59</v>
      </c>
      <c r="J10058">
        <v>0</v>
      </c>
      <c r="K10058" s="1">
        <v>3318873</v>
      </c>
    </row>
    <row r="10059" spans="1:11" x14ac:dyDescent="0.25">
      <c r="A10059" t="s">
        <v>326</v>
      </c>
      <c r="B10059" t="s">
        <v>658</v>
      </c>
      <c r="C10059" t="s">
        <v>875</v>
      </c>
      <c r="D10059" t="s">
        <v>11</v>
      </c>
      <c r="E10059">
        <v>24</v>
      </c>
      <c r="F10059" s="2">
        <f>DATE(2026,IF(Tabla1[[#This Row],[Mes de Fecha]]="Septiembre",9,10),Tabla1[[#This Row],[Día de Fecha]])</f>
        <v>46289</v>
      </c>
      <c r="I10059">
        <v>0</v>
      </c>
      <c r="J10059" s="1">
        <v>20976458</v>
      </c>
      <c r="K10059">
        <v>0</v>
      </c>
    </row>
    <row r="10060" spans="1:11" x14ac:dyDescent="0.25">
      <c r="A10060" t="s">
        <v>326</v>
      </c>
      <c r="B10060" t="s">
        <v>658</v>
      </c>
      <c r="C10060" t="s">
        <v>875</v>
      </c>
      <c r="D10060" t="s">
        <v>11</v>
      </c>
      <c r="E10060">
        <v>24</v>
      </c>
      <c r="F10060" s="2">
        <f>DATE(2026,IF(Tabla1[[#This Row],[Mes de Fecha]]="Septiembre",9,10),Tabla1[[#This Row],[Día de Fecha]])</f>
        <v>46289</v>
      </c>
      <c r="G10060">
        <v>1003231065</v>
      </c>
      <c r="H10060" t="s">
        <v>659</v>
      </c>
      <c r="I10060">
        <v>95</v>
      </c>
      <c r="J10060">
        <v>0</v>
      </c>
      <c r="K10060" s="1">
        <v>4899205</v>
      </c>
    </row>
    <row r="10061" spans="1:11" x14ac:dyDescent="0.25">
      <c r="A10061" t="s">
        <v>326</v>
      </c>
      <c r="B10061" t="s">
        <v>658</v>
      </c>
      <c r="C10061" t="s">
        <v>875</v>
      </c>
      <c r="D10061" t="s">
        <v>11</v>
      </c>
      <c r="E10061">
        <v>24</v>
      </c>
      <c r="F10061" s="2">
        <f>DATE(2026,IF(Tabla1[[#This Row],[Mes de Fecha]]="Septiembre",9,10),Tabla1[[#This Row],[Día de Fecha]])</f>
        <v>46289</v>
      </c>
      <c r="G10061">
        <v>1065614711</v>
      </c>
      <c r="H10061" t="s">
        <v>660</v>
      </c>
      <c r="I10061">
        <v>143</v>
      </c>
      <c r="J10061">
        <v>0</v>
      </c>
      <c r="K10061" s="1">
        <v>7430549</v>
      </c>
    </row>
    <row r="10062" spans="1:11" x14ac:dyDescent="0.25">
      <c r="A10062" t="s">
        <v>326</v>
      </c>
      <c r="B10062" t="s">
        <v>658</v>
      </c>
      <c r="C10062" t="s">
        <v>875</v>
      </c>
      <c r="D10062" t="s">
        <v>11</v>
      </c>
      <c r="E10062">
        <v>24</v>
      </c>
      <c r="F10062" s="2">
        <f>DATE(2026,IF(Tabla1[[#This Row],[Mes de Fecha]]="Septiembre",9,10),Tabla1[[#This Row],[Día de Fecha]])</f>
        <v>46289</v>
      </c>
      <c r="G10062">
        <v>1065667405</v>
      </c>
      <c r="H10062" t="s">
        <v>666</v>
      </c>
      <c r="I10062">
        <v>50</v>
      </c>
      <c r="J10062">
        <v>0</v>
      </c>
      <c r="K10062" s="1">
        <v>2628115</v>
      </c>
    </row>
    <row r="10063" spans="1:11" x14ac:dyDescent="0.25">
      <c r="A10063" t="s">
        <v>326</v>
      </c>
      <c r="B10063" t="s">
        <v>658</v>
      </c>
      <c r="C10063" t="s">
        <v>875</v>
      </c>
      <c r="D10063" t="s">
        <v>11</v>
      </c>
      <c r="E10063">
        <v>24</v>
      </c>
      <c r="F10063" s="2">
        <f>DATE(2026,IF(Tabla1[[#This Row],[Mes de Fecha]]="Septiembre",9,10),Tabla1[[#This Row],[Día de Fecha]])</f>
        <v>46289</v>
      </c>
      <c r="G10063">
        <v>1067594141</v>
      </c>
      <c r="H10063" t="s">
        <v>663</v>
      </c>
      <c r="I10063">
        <v>60</v>
      </c>
      <c r="J10063">
        <v>0</v>
      </c>
      <c r="K10063" s="1">
        <v>3266304</v>
      </c>
    </row>
    <row r="10064" spans="1:11" x14ac:dyDescent="0.25">
      <c r="A10064" t="s">
        <v>326</v>
      </c>
      <c r="B10064" t="s">
        <v>658</v>
      </c>
      <c r="C10064" t="s">
        <v>875</v>
      </c>
      <c r="D10064" t="s">
        <v>11</v>
      </c>
      <c r="E10064">
        <v>24</v>
      </c>
      <c r="F10064" s="2">
        <f>DATE(2026,IF(Tabla1[[#This Row],[Mes de Fecha]]="Septiembre",9,10),Tabla1[[#This Row],[Día de Fecha]])</f>
        <v>46289</v>
      </c>
      <c r="G10064">
        <v>1082841571</v>
      </c>
      <c r="H10064" t="s">
        <v>664</v>
      </c>
      <c r="I10064">
        <v>39</v>
      </c>
      <c r="J10064">
        <v>0</v>
      </c>
      <c r="K10064" s="1">
        <v>1853364</v>
      </c>
    </row>
    <row r="10065" spans="1:11" x14ac:dyDescent="0.25">
      <c r="A10065" t="s">
        <v>326</v>
      </c>
      <c r="B10065" t="s">
        <v>658</v>
      </c>
      <c r="C10065" t="s">
        <v>875</v>
      </c>
      <c r="D10065" t="s">
        <v>11</v>
      </c>
      <c r="E10065">
        <v>24</v>
      </c>
      <c r="F10065" s="2">
        <f>DATE(2026,IF(Tabla1[[#This Row],[Mes de Fecha]]="Septiembre",9,10),Tabla1[[#This Row],[Día de Fecha]])</f>
        <v>46289</v>
      </c>
      <c r="G10065">
        <v>1098794789</v>
      </c>
      <c r="H10065" t="s">
        <v>665</v>
      </c>
      <c r="I10065">
        <v>93</v>
      </c>
      <c r="J10065">
        <v>0</v>
      </c>
      <c r="K10065" s="1">
        <v>5813203</v>
      </c>
    </row>
    <row r="10066" spans="1:11" x14ac:dyDescent="0.25">
      <c r="A10066" t="s">
        <v>326</v>
      </c>
      <c r="B10066" t="s">
        <v>658</v>
      </c>
      <c r="C10066" t="s">
        <v>875</v>
      </c>
      <c r="D10066" t="s">
        <v>11</v>
      </c>
      <c r="E10066">
        <v>25</v>
      </c>
      <c r="F10066" s="2">
        <f>DATE(2026,IF(Tabla1[[#This Row],[Mes de Fecha]]="Septiembre",9,10),Tabla1[[#This Row],[Día de Fecha]])</f>
        <v>46290</v>
      </c>
      <c r="I10066">
        <v>0</v>
      </c>
      <c r="J10066" s="1">
        <v>20930024</v>
      </c>
      <c r="K10066">
        <v>0</v>
      </c>
    </row>
    <row r="10067" spans="1:11" x14ac:dyDescent="0.25">
      <c r="A10067" t="s">
        <v>326</v>
      </c>
      <c r="B10067" t="s">
        <v>658</v>
      </c>
      <c r="C10067" t="s">
        <v>875</v>
      </c>
      <c r="D10067" t="s">
        <v>11</v>
      </c>
      <c r="E10067">
        <v>25</v>
      </c>
      <c r="F10067" s="2">
        <f>DATE(2026,IF(Tabla1[[#This Row],[Mes de Fecha]]="Septiembre",9,10),Tabla1[[#This Row],[Día de Fecha]])</f>
        <v>46290</v>
      </c>
      <c r="G10067">
        <v>1003231065</v>
      </c>
      <c r="H10067" t="s">
        <v>659</v>
      </c>
      <c r="I10067">
        <v>78</v>
      </c>
      <c r="J10067">
        <v>0</v>
      </c>
      <c r="K10067" s="1">
        <v>4734079</v>
      </c>
    </row>
    <row r="10068" spans="1:11" x14ac:dyDescent="0.25">
      <c r="A10068" t="s">
        <v>326</v>
      </c>
      <c r="B10068" t="s">
        <v>658</v>
      </c>
      <c r="C10068" t="s">
        <v>875</v>
      </c>
      <c r="D10068" t="s">
        <v>11</v>
      </c>
      <c r="E10068">
        <v>25</v>
      </c>
      <c r="F10068" s="2">
        <f>DATE(2026,IF(Tabla1[[#This Row],[Mes de Fecha]]="Septiembre",9,10),Tabla1[[#This Row],[Día de Fecha]])</f>
        <v>46290</v>
      </c>
      <c r="G10068">
        <v>1065614711</v>
      </c>
      <c r="H10068" t="s">
        <v>660</v>
      </c>
      <c r="I10068">
        <v>70</v>
      </c>
      <c r="J10068">
        <v>0</v>
      </c>
      <c r="K10068" s="1">
        <v>4272187</v>
      </c>
    </row>
    <row r="10069" spans="1:11" x14ac:dyDescent="0.25">
      <c r="A10069" t="s">
        <v>326</v>
      </c>
      <c r="B10069" t="s">
        <v>658</v>
      </c>
      <c r="C10069" t="s">
        <v>875</v>
      </c>
      <c r="D10069" t="s">
        <v>11</v>
      </c>
      <c r="E10069">
        <v>25</v>
      </c>
      <c r="F10069" s="2">
        <f>DATE(2026,IF(Tabla1[[#This Row],[Mes de Fecha]]="Septiembre",9,10),Tabla1[[#This Row],[Día de Fecha]])</f>
        <v>46290</v>
      </c>
      <c r="G10069">
        <v>1065667405</v>
      </c>
      <c r="H10069" t="s">
        <v>666</v>
      </c>
      <c r="I10069">
        <v>46</v>
      </c>
      <c r="J10069">
        <v>0</v>
      </c>
      <c r="K10069" s="1">
        <v>2609374</v>
      </c>
    </row>
    <row r="10070" spans="1:11" x14ac:dyDescent="0.25">
      <c r="A10070" t="s">
        <v>326</v>
      </c>
      <c r="B10070" t="s">
        <v>658</v>
      </c>
      <c r="C10070" t="s">
        <v>875</v>
      </c>
      <c r="D10070" t="s">
        <v>11</v>
      </c>
      <c r="E10070">
        <v>25</v>
      </c>
      <c r="F10070" s="2">
        <f>DATE(2026,IF(Tabla1[[#This Row],[Mes de Fecha]]="Septiembre",9,10),Tabla1[[#This Row],[Día de Fecha]])</f>
        <v>46290</v>
      </c>
      <c r="G10070">
        <v>1067594141</v>
      </c>
      <c r="H10070" t="s">
        <v>663</v>
      </c>
      <c r="I10070">
        <v>28</v>
      </c>
      <c r="J10070">
        <v>0</v>
      </c>
      <c r="K10070" s="1">
        <v>1435800</v>
      </c>
    </row>
    <row r="10071" spans="1:11" x14ac:dyDescent="0.25">
      <c r="A10071" t="s">
        <v>326</v>
      </c>
      <c r="B10071" t="s">
        <v>658</v>
      </c>
      <c r="C10071" t="s">
        <v>875</v>
      </c>
      <c r="D10071" t="s">
        <v>11</v>
      </c>
      <c r="E10071">
        <v>25</v>
      </c>
      <c r="F10071" s="2">
        <f>DATE(2026,IF(Tabla1[[#This Row],[Mes de Fecha]]="Septiembre",9,10),Tabla1[[#This Row],[Día de Fecha]])</f>
        <v>46290</v>
      </c>
      <c r="G10071">
        <v>1082841571</v>
      </c>
      <c r="H10071" t="s">
        <v>664</v>
      </c>
      <c r="I10071">
        <v>34</v>
      </c>
      <c r="J10071">
        <v>0</v>
      </c>
      <c r="K10071" s="1">
        <v>1887228</v>
      </c>
    </row>
    <row r="10072" spans="1:11" x14ac:dyDescent="0.25">
      <c r="A10072" t="s">
        <v>326</v>
      </c>
      <c r="B10072" t="s">
        <v>658</v>
      </c>
      <c r="C10072" t="s">
        <v>875</v>
      </c>
      <c r="D10072" t="s">
        <v>11</v>
      </c>
      <c r="E10072">
        <v>25</v>
      </c>
      <c r="F10072" s="2">
        <f>DATE(2026,IF(Tabla1[[#This Row],[Mes de Fecha]]="Septiembre",9,10),Tabla1[[#This Row],[Día de Fecha]])</f>
        <v>46290</v>
      </c>
      <c r="G10072">
        <v>1098794789</v>
      </c>
      <c r="H10072" t="s">
        <v>665</v>
      </c>
      <c r="I10072">
        <v>45</v>
      </c>
      <c r="J10072">
        <v>0</v>
      </c>
      <c r="K10072" s="1">
        <v>2611559</v>
      </c>
    </row>
    <row r="10073" spans="1:11" x14ac:dyDescent="0.25">
      <c r="A10073" t="s">
        <v>326</v>
      </c>
      <c r="B10073" t="s">
        <v>658</v>
      </c>
      <c r="C10073" t="s">
        <v>875</v>
      </c>
      <c r="D10073" t="s">
        <v>11</v>
      </c>
      <c r="E10073">
        <v>26</v>
      </c>
      <c r="F10073" s="2">
        <f>DATE(2026,IF(Tabla1[[#This Row],[Mes de Fecha]]="Septiembre",9,10),Tabla1[[#This Row],[Día de Fecha]])</f>
        <v>46291</v>
      </c>
      <c r="I10073">
        <v>0</v>
      </c>
      <c r="J10073" s="1">
        <v>30079451</v>
      </c>
      <c r="K10073">
        <v>0</v>
      </c>
    </row>
    <row r="10074" spans="1:11" x14ac:dyDescent="0.25">
      <c r="A10074" t="s">
        <v>326</v>
      </c>
      <c r="B10074" t="s">
        <v>658</v>
      </c>
      <c r="C10074" t="s">
        <v>875</v>
      </c>
      <c r="D10074" t="s">
        <v>11</v>
      </c>
      <c r="E10074">
        <v>26</v>
      </c>
      <c r="F10074" s="2">
        <f>DATE(2026,IF(Tabla1[[#This Row],[Mes de Fecha]]="Septiembre",9,10),Tabla1[[#This Row],[Día de Fecha]])</f>
        <v>46291</v>
      </c>
      <c r="G10074">
        <v>1003231065</v>
      </c>
      <c r="H10074" t="s">
        <v>659</v>
      </c>
      <c r="I10074">
        <v>112</v>
      </c>
      <c r="J10074">
        <v>0</v>
      </c>
      <c r="K10074" s="1">
        <v>5709336</v>
      </c>
    </row>
    <row r="10075" spans="1:11" x14ac:dyDescent="0.25">
      <c r="A10075" t="s">
        <v>326</v>
      </c>
      <c r="B10075" t="s">
        <v>658</v>
      </c>
      <c r="C10075" t="s">
        <v>875</v>
      </c>
      <c r="D10075" t="s">
        <v>11</v>
      </c>
      <c r="E10075">
        <v>26</v>
      </c>
      <c r="F10075" s="2">
        <f>DATE(2026,IF(Tabla1[[#This Row],[Mes de Fecha]]="Septiembre",9,10),Tabla1[[#This Row],[Día de Fecha]])</f>
        <v>46291</v>
      </c>
      <c r="G10075">
        <v>1065614711</v>
      </c>
      <c r="H10075" t="s">
        <v>660</v>
      </c>
      <c r="I10075">
        <v>96</v>
      </c>
      <c r="J10075">
        <v>0</v>
      </c>
      <c r="K10075" s="1">
        <v>5575677</v>
      </c>
    </row>
    <row r="10076" spans="1:11" x14ac:dyDescent="0.25">
      <c r="A10076" t="s">
        <v>326</v>
      </c>
      <c r="B10076" t="s">
        <v>658</v>
      </c>
      <c r="C10076" t="s">
        <v>875</v>
      </c>
      <c r="D10076" t="s">
        <v>11</v>
      </c>
      <c r="E10076">
        <v>26</v>
      </c>
      <c r="F10076" s="2">
        <f>DATE(2026,IF(Tabla1[[#This Row],[Mes de Fecha]]="Septiembre",9,10),Tabla1[[#This Row],[Día de Fecha]])</f>
        <v>46291</v>
      </c>
      <c r="G10076">
        <v>1065667405</v>
      </c>
      <c r="H10076" t="s">
        <v>666</v>
      </c>
      <c r="I10076">
        <v>51</v>
      </c>
      <c r="J10076">
        <v>0</v>
      </c>
      <c r="K10076" s="1">
        <v>2846561</v>
      </c>
    </row>
    <row r="10077" spans="1:11" x14ac:dyDescent="0.25">
      <c r="A10077" t="s">
        <v>326</v>
      </c>
      <c r="B10077" t="s">
        <v>658</v>
      </c>
      <c r="C10077" t="s">
        <v>875</v>
      </c>
      <c r="D10077" t="s">
        <v>11</v>
      </c>
      <c r="E10077">
        <v>26</v>
      </c>
      <c r="F10077" s="2">
        <f>DATE(2026,IF(Tabla1[[#This Row],[Mes de Fecha]]="Septiembre",9,10),Tabla1[[#This Row],[Día de Fecha]])</f>
        <v>46291</v>
      </c>
      <c r="G10077">
        <v>1067594141</v>
      </c>
      <c r="H10077" t="s">
        <v>663</v>
      </c>
      <c r="I10077">
        <v>54</v>
      </c>
      <c r="J10077">
        <v>0</v>
      </c>
      <c r="K10077" s="1">
        <v>3140592</v>
      </c>
    </row>
    <row r="10078" spans="1:11" x14ac:dyDescent="0.25">
      <c r="A10078" t="s">
        <v>326</v>
      </c>
      <c r="B10078" t="s">
        <v>658</v>
      </c>
      <c r="C10078" t="s">
        <v>875</v>
      </c>
      <c r="D10078" t="s">
        <v>11</v>
      </c>
      <c r="E10078">
        <v>26</v>
      </c>
      <c r="F10078" s="2">
        <f>DATE(2026,IF(Tabla1[[#This Row],[Mes de Fecha]]="Septiembre",9,10),Tabla1[[#This Row],[Día de Fecha]])</f>
        <v>46291</v>
      </c>
      <c r="G10078">
        <v>1082841571</v>
      </c>
      <c r="H10078" t="s">
        <v>664</v>
      </c>
      <c r="I10078">
        <v>47</v>
      </c>
      <c r="J10078">
        <v>0</v>
      </c>
      <c r="K10078" s="1">
        <v>2718616</v>
      </c>
    </row>
    <row r="10079" spans="1:11" x14ac:dyDescent="0.25">
      <c r="A10079" t="s">
        <v>326</v>
      </c>
      <c r="B10079" t="s">
        <v>658</v>
      </c>
      <c r="C10079" t="s">
        <v>875</v>
      </c>
      <c r="D10079" t="s">
        <v>11</v>
      </c>
      <c r="E10079">
        <v>26</v>
      </c>
      <c r="F10079" s="2">
        <f>DATE(2026,IF(Tabla1[[#This Row],[Mes de Fecha]]="Septiembre",9,10),Tabla1[[#This Row],[Día de Fecha]])</f>
        <v>46291</v>
      </c>
      <c r="G10079">
        <v>1098794789</v>
      </c>
      <c r="H10079" t="s">
        <v>665</v>
      </c>
      <c r="I10079">
        <v>93</v>
      </c>
      <c r="J10079">
        <v>0</v>
      </c>
      <c r="K10079" s="1">
        <v>5370047</v>
      </c>
    </row>
    <row r="10080" spans="1:11" x14ac:dyDescent="0.25">
      <c r="A10080" t="s">
        <v>326</v>
      </c>
      <c r="B10080" t="s">
        <v>658</v>
      </c>
      <c r="C10080" t="s">
        <v>875</v>
      </c>
      <c r="D10080" t="s">
        <v>11</v>
      </c>
      <c r="E10080">
        <v>27</v>
      </c>
      <c r="F10080" s="2">
        <f>DATE(2026,IF(Tabla1[[#This Row],[Mes de Fecha]]="Septiembre",9,10),Tabla1[[#This Row],[Día de Fecha]])</f>
        <v>46292</v>
      </c>
      <c r="I10080">
        <v>0</v>
      </c>
      <c r="J10080" s="1">
        <v>23828978</v>
      </c>
      <c r="K10080">
        <v>0</v>
      </c>
    </row>
    <row r="10081" spans="1:11" x14ac:dyDescent="0.25">
      <c r="A10081" t="s">
        <v>326</v>
      </c>
      <c r="B10081" t="s">
        <v>658</v>
      </c>
      <c r="C10081" t="s">
        <v>875</v>
      </c>
      <c r="D10081" t="s">
        <v>11</v>
      </c>
      <c r="E10081">
        <v>27</v>
      </c>
      <c r="F10081" s="2">
        <f>DATE(2026,IF(Tabla1[[#This Row],[Mes de Fecha]]="Septiembre",9,10),Tabla1[[#This Row],[Día de Fecha]])</f>
        <v>46292</v>
      </c>
      <c r="G10081">
        <v>1003231065</v>
      </c>
      <c r="H10081" t="s">
        <v>659</v>
      </c>
      <c r="I10081">
        <v>103</v>
      </c>
      <c r="J10081">
        <v>0</v>
      </c>
      <c r="K10081" s="1">
        <v>5503540</v>
      </c>
    </row>
    <row r="10082" spans="1:11" x14ac:dyDescent="0.25">
      <c r="A10082" t="s">
        <v>326</v>
      </c>
      <c r="B10082" t="s">
        <v>658</v>
      </c>
      <c r="C10082" t="s">
        <v>875</v>
      </c>
      <c r="D10082" t="s">
        <v>11</v>
      </c>
      <c r="E10082">
        <v>27</v>
      </c>
      <c r="F10082" s="2">
        <f>DATE(2026,IF(Tabla1[[#This Row],[Mes de Fecha]]="Septiembre",9,10),Tabla1[[#This Row],[Día de Fecha]])</f>
        <v>46292</v>
      </c>
      <c r="G10082">
        <v>1065614711</v>
      </c>
      <c r="H10082" t="s">
        <v>660</v>
      </c>
      <c r="I10082">
        <v>95</v>
      </c>
      <c r="J10082">
        <v>0</v>
      </c>
      <c r="K10082" s="1">
        <v>5916057</v>
      </c>
    </row>
    <row r="10083" spans="1:11" x14ac:dyDescent="0.25">
      <c r="A10083" t="s">
        <v>326</v>
      </c>
      <c r="B10083" t="s">
        <v>658</v>
      </c>
      <c r="C10083" t="s">
        <v>875</v>
      </c>
      <c r="D10083" t="s">
        <v>11</v>
      </c>
      <c r="E10083">
        <v>27</v>
      </c>
      <c r="F10083" s="2">
        <f>DATE(2026,IF(Tabla1[[#This Row],[Mes de Fecha]]="Septiembre",9,10),Tabla1[[#This Row],[Día de Fecha]])</f>
        <v>46292</v>
      </c>
      <c r="G10083">
        <v>1065667405</v>
      </c>
      <c r="H10083" t="s">
        <v>666</v>
      </c>
      <c r="I10083">
        <v>50</v>
      </c>
      <c r="J10083">
        <v>0</v>
      </c>
      <c r="K10083" s="1">
        <v>2785466</v>
      </c>
    </row>
    <row r="10084" spans="1:11" x14ac:dyDescent="0.25">
      <c r="A10084" t="s">
        <v>326</v>
      </c>
      <c r="B10084" t="s">
        <v>658</v>
      </c>
      <c r="C10084" t="s">
        <v>875</v>
      </c>
      <c r="D10084" t="s">
        <v>11</v>
      </c>
      <c r="E10084">
        <v>27</v>
      </c>
      <c r="F10084" s="2">
        <f>DATE(2026,IF(Tabla1[[#This Row],[Mes de Fecha]]="Septiembre",9,10),Tabla1[[#This Row],[Día de Fecha]])</f>
        <v>46292</v>
      </c>
      <c r="G10084">
        <v>1067594141</v>
      </c>
      <c r="H10084" t="s">
        <v>663</v>
      </c>
      <c r="I10084">
        <v>49</v>
      </c>
      <c r="J10084">
        <v>0</v>
      </c>
      <c r="K10084" s="1">
        <v>2487274</v>
      </c>
    </row>
    <row r="10085" spans="1:11" x14ac:dyDescent="0.25">
      <c r="A10085" t="s">
        <v>326</v>
      </c>
      <c r="B10085" t="s">
        <v>658</v>
      </c>
      <c r="C10085" t="s">
        <v>875</v>
      </c>
      <c r="D10085" t="s">
        <v>11</v>
      </c>
      <c r="E10085">
        <v>27</v>
      </c>
      <c r="F10085" s="2">
        <f>DATE(2026,IF(Tabla1[[#This Row],[Mes de Fecha]]="Septiembre",9,10),Tabla1[[#This Row],[Día de Fecha]])</f>
        <v>46292</v>
      </c>
      <c r="G10085">
        <v>1082841571</v>
      </c>
      <c r="H10085" t="s">
        <v>664</v>
      </c>
      <c r="I10085">
        <v>50</v>
      </c>
      <c r="J10085">
        <v>0</v>
      </c>
      <c r="K10085" s="1">
        <v>3052442</v>
      </c>
    </row>
    <row r="10086" spans="1:11" x14ac:dyDescent="0.25">
      <c r="A10086" t="s">
        <v>326</v>
      </c>
      <c r="B10086" t="s">
        <v>658</v>
      </c>
      <c r="C10086" t="s">
        <v>875</v>
      </c>
      <c r="D10086" t="s">
        <v>11</v>
      </c>
      <c r="E10086">
        <v>27</v>
      </c>
      <c r="F10086" s="2">
        <f>DATE(2026,IF(Tabla1[[#This Row],[Mes de Fecha]]="Septiembre",9,10),Tabla1[[#This Row],[Día de Fecha]])</f>
        <v>46292</v>
      </c>
      <c r="G10086">
        <v>1098794789</v>
      </c>
      <c r="H10086" t="s">
        <v>665</v>
      </c>
      <c r="I10086">
        <v>95</v>
      </c>
      <c r="J10086">
        <v>0</v>
      </c>
      <c r="K10086" s="1">
        <v>5375724</v>
      </c>
    </row>
    <row r="10087" spans="1:11" x14ac:dyDescent="0.25">
      <c r="A10087" t="s">
        <v>326</v>
      </c>
      <c r="B10087" t="s">
        <v>658</v>
      </c>
      <c r="C10087" t="s">
        <v>875</v>
      </c>
      <c r="D10087" t="s">
        <v>11</v>
      </c>
      <c r="E10087">
        <v>28</v>
      </c>
      <c r="F10087" s="2">
        <f>DATE(2026,IF(Tabla1[[#This Row],[Mes de Fecha]]="Septiembre",9,10),Tabla1[[#This Row],[Día de Fecha]])</f>
        <v>46293</v>
      </c>
      <c r="I10087">
        <v>0</v>
      </c>
      <c r="J10087" s="1">
        <v>13114492</v>
      </c>
      <c r="K10087">
        <v>0</v>
      </c>
    </row>
    <row r="10088" spans="1:11" x14ac:dyDescent="0.25">
      <c r="A10088" t="s">
        <v>326</v>
      </c>
      <c r="B10088" t="s">
        <v>658</v>
      </c>
      <c r="C10088" t="s">
        <v>875</v>
      </c>
      <c r="D10088" t="s">
        <v>11</v>
      </c>
      <c r="E10088">
        <v>28</v>
      </c>
      <c r="F10088" s="2">
        <f>DATE(2026,IF(Tabla1[[#This Row],[Mes de Fecha]]="Septiembre",9,10),Tabla1[[#This Row],[Día de Fecha]])</f>
        <v>46293</v>
      </c>
      <c r="G10088">
        <v>1003231065</v>
      </c>
      <c r="H10088" t="s">
        <v>659</v>
      </c>
      <c r="I10088">
        <v>32</v>
      </c>
      <c r="J10088">
        <v>0</v>
      </c>
      <c r="K10088" s="1">
        <v>1494077</v>
      </c>
    </row>
    <row r="10089" spans="1:11" x14ac:dyDescent="0.25">
      <c r="A10089" t="s">
        <v>326</v>
      </c>
      <c r="B10089" t="s">
        <v>658</v>
      </c>
      <c r="C10089" t="s">
        <v>875</v>
      </c>
      <c r="D10089" t="s">
        <v>11</v>
      </c>
      <c r="E10089">
        <v>28</v>
      </c>
      <c r="F10089" s="2">
        <f>DATE(2026,IF(Tabla1[[#This Row],[Mes de Fecha]]="Septiembre",9,10),Tabla1[[#This Row],[Día de Fecha]])</f>
        <v>46293</v>
      </c>
      <c r="G10089">
        <v>1065614711</v>
      </c>
      <c r="H10089" t="s">
        <v>660</v>
      </c>
      <c r="I10089">
        <v>48</v>
      </c>
      <c r="J10089">
        <v>0</v>
      </c>
      <c r="K10089" s="1">
        <v>2665883</v>
      </c>
    </row>
    <row r="10090" spans="1:11" x14ac:dyDescent="0.25">
      <c r="A10090" t="s">
        <v>326</v>
      </c>
      <c r="B10090" t="s">
        <v>658</v>
      </c>
      <c r="C10090" t="s">
        <v>875</v>
      </c>
      <c r="D10090" t="s">
        <v>11</v>
      </c>
      <c r="E10090">
        <v>28</v>
      </c>
      <c r="F10090" s="2">
        <f>DATE(2026,IF(Tabla1[[#This Row],[Mes de Fecha]]="Septiembre",9,10),Tabla1[[#This Row],[Día de Fecha]])</f>
        <v>46293</v>
      </c>
      <c r="G10090">
        <v>1067594141</v>
      </c>
      <c r="H10090" t="s">
        <v>663</v>
      </c>
      <c r="I10090">
        <v>22</v>
      </c>
      <c r="J10090">
        <v>0</v>
      </c>
      <c r="K10090" s="1">
        <v>1070338</v>
      </c>
    </row>
    <row r="10091" spans="1:11" x14ac:dyDescent="0.25">
      <c r="A10091" t="s">
        <v>326</v>
      </c>
      <c r="B10091" t="s">
        <v>658</v>
      </c>
      <c r="C10091" t="s">
        <v>875</v>
      </c>
      <c r="D10091" t="s">
        <v>11</v>
      </c>
      <c r="E10091">
        <v>28</v>
      </c>
      <c r="F10091" s="2">
        <f>DATE(2026,IF(Tabla1[[#This Row],[Mes de Fecha]]="Septiembre",9,10),Tabla1[[#This Row],[Día de Fecha]])</f>
        <v>46293</v>
      </c>
      <c r="G10091">
        <v>1082841571</v>
      </c>
      <c r="H10091" t="s">
        <v>664</v>
      </c>
      <c r="I10091">
        <v>23</v>
      </c>
      <c r="J10091">
        <v>0</v>
      </c>
      <c r="K10091" s="1">
        <v>1994749</v>
      </c>
    </row>
    <row r="10092" spans="1:11" x14ac:dyDescent="0.25">
      <c r="A10092" t="s">
        <v>326</v>
      </c>
      <c r="B10092" t="s">
        <v>658</v>
      </c>
      <c r="C10092" t="s">
        <v>875</v>
      </c>
      <c r="D10092" t="s">
        <v>11</v>
      </c>
      <c r="E10092">
        <v>28</v>
      </c>
      <c r="F10092" s="2">
        <f>DATE(2026,IF(Tabla1[[#This Row],[Mes de Fecha]]="Septiembre",9,10),Tabla1[[#This Row],[Día de Fecha]])</f>
        <v>46293</v>
      </c>
      <c r="G10092">
        <v>1098794789</v>
      </c>
      <c r="H10092" t="s">
        <v>665</v>
      </c>
      <c r="I10092">
        <v>44</v>
      </c>
      <c r="J10092">
        <v>0</v>
      </c>
      <c r="K10092" s="1">
        <v>2258363</v>
      </c>
    </row>
    <row r="10093" spans="1:11" x14ac:dyDescent="0.25">
      <c r="A10093" t="s">
        <v>326</v>
      </c>
      <c r="B10093" t="s">
        <v>658</v>
      </c>
      <c r="C10093" t="s">
        <v>875</v>
      </c>
      <c r="D10093" t="s">
        <v>11</v>
      </c>
      <c r="E10093">
        <v>29</v>
      </c>
      <c r="F10093" s="2">
        <f>DATE(2026,IF(Tabla1[[#This Row],[Mes de Fecha]]="Septiembre",9,10),Tabla1[[#This Row],[Día de Fecha]])</f>
        <v>46294</v>
      </c>
      <c r="I10093">
        <v>0</v>
      </c>
      <c r="J10093" s="1">
        <v>14008845</v>
      </c>
      <c r="K10093">
        <v>0</v>
      </c>
    </row>
    <row r="10094" spans="1:11" x14ac:dyDescent="0.25">
      <c r="A10094" t="s">
        <v>326</v>
      </c>
      <c r="B10094" t="s">
        <v>658</v>
      </c>
      <c r="C10094" t="s">
        <v>875</v>
      </c>
      <c r="D10094" t="s">
        <v>11</v>
      </c>
      <c r="E10094">
        <v>29</v>
      </c>
      <c r="F10094" s="2">
        <f>DATE(2026,IF(Tabla1[[#This Row],[Mes de Fecha]]="Septiembre",9,10),Tabla1[[#This Row],[Día de Fecha]])</f>
        <v>46294</v>
      </c>
      <c r="G10094">
        <v>1003231065</v>
      </c>
      <c r="H10094" t="s">
        <v>659</v>
      </c>
      <c r="I10094">
        <v>45</v>
      </c>
      <c r="J10094">
        <v>0</v>
      </c>
      <c r="K10094" s="1">
        <v>2628153</v>
      </c>
    </row>
    <row r="10095" spans="1:11" x14ac:dyDescent="0.25">
      <c r="A10095" t="s">
        <v>326</v>
      </c>
      <c r="B10095" t="s">
        <v>658</v>
      </c>
      <c r="C10095" t="s">
        <v>875</v>
      </c>
      <c r="D10095" t="s">
        <v>11</v>
      </c>
      <c r="E10095">
        <v>29</v>
      </c>
      <c r="F10095" s="2">
        <f>DATE(2026,IF(Tabla1[[#This Row],[Mes de Fecha]]="Septiembre",9,10),Tabla1[[#This Row],[Día de Fecha]])</f>
        <v>46294</v>
      </c>
      <c r="G10095">
        <v>1065614711</v>
      </c>
      <c r="H10095" t="s">
        <v>660</v>
      </c>
      <c r="I10095">
        <v>44</v>
      </c>
      <c r="J10095">
        <v>0</v>
      </c>
      <c r="K10095" s="1">
        <v>2233407</v>
      </c>
    </row>
    <row r="10096" spans="1:11" x14ac:dyDescent="0.25">
      <c r="A10096" t="s">
        <v>326</v>
      </c>
      <c r="B10096" t="s">
        <v>658</v>
      </c>
      <c r="C10096" t="s">
        <v>875</v>
      </c>
      <c r="D10096" t="s">
        <v>11</v>
      </c>
      <c r="E10096">
        <v>29</v>
      </c>
      <c r="F10096" s="2">
        <f>DATE(2026,IF(Tabla1[[#This Row],[Mes de Fecha]]="Septiembre",9,10),Tabla1[[#This Row],[Día de Fecha]])</f>
        <v>46294</v>
      </c>
      <c r="G10096">
        <v>1067594141</v>
      </c>
      <c r="H10096" t="s">
        <v>663</v>
      </c>
      <c r="I10096">
        <v>26</v>
      </c>
      <c r="J10096">
        <v>0</v>
      </c>
      <c r="K10096" s="1">
        <v>1389625</v>
      </c>
    </row>
    <row r="10097" spans="1:11" x14ac:dyDescent="0.25">
      <c r="A10097" t="s">
        <v>326</v>
      </c>
      <c r="B10097" t="s">
        <v>658</v>
      </c>
      <c r="C10097" t="s">
        <v>875</v>
      </c>
      <c r="D10097" t="s">
        <v>11</v>
      </c>
      <c r="E10097">
        <v>29</v>
      </c>
      <c r="F10097" s="2">
        <f>DATE(2026,IF(Tabla1[[#This Row],[Mes de Fecha]]="Septiembre",9,10),Tabla1[[#This Row],[Día de Fecha]])</f>
        <v>46294</v>
      </c>
      <c r="G10097">
        <v>1082841571</v>
      </c>
      <c r="H10097" t="s">
        <v>664</v>
      </c>
      <c r="I10097">
        <v>11</v>
      </c>
      <c r="J10097">
        <v>0</v>
      </c>
      <c r="K10097" s="1">
        <v>522565</v>
      </c>
    </row>
    <row r="10098" spans="1:11" x14ac:dyDescent="0.25">
      <c r="A10098" t="s">
        <v>326</v>
      </c>
      <c r="B10098" t="s">
        <v>658</v>
      </c>
      <c r="C10098" t="s">
        <v>875</v>
      </c>
      <c r="D10098" t="s">
        <v>11</v>
      </c>
      <c r="E10098">
        <v>29</v>
      </c>
      <c r="F10098" s="2">
        <f>DATE(2026,IF(Tabla1[[#This Row],[Mes de Fecha]]="Septiembre",9,10),Tabla1[[#This Row],[Día de Fecha]])</f>
        <v>46294</v>
      </c>
      <c r="G10098">
        <v>1098794789</v>
      </c>
      <c r="H10098" t="s">
        <v>665</v>
      </c>
      <c r="I10098">
        <v>11</v>
      </c>
      <c r="J10098">
        <v>0</v>
      </c>
      <c r="K10098" s="1">
        <v>726430</v>
      </c>
    </row>
    <row r="10099" spans="1:11" x14ac:dyDescent="0.25">
      <c r="A10099" t="s">
        <v>326</v>
      </c>
      <c r="B10099" t="s">
        <v>658</v>
      </c>
      <c r="C10099" t="s">
        <v>875</v>
      </c>
      <c r="D10099" t="s">
        <v>11</v>
      </c>
      <c r="E10099">
        <v>30</v>
      </c>
      <c r="F10099" s="2">
        <f>DATE(2026,IF(Tabla1[[#This Row],[Mes de Fecha]]="Septiembre",9,10),Tabla1[[#This Row],[Día de Fecha]])</f>
        <v>46295</v>
      </c>
      <c r="I10099">
        <v>0</v>
      </c>
      <c r="J10099" s="1">
        <v>14471387</v>
      </c>
      <c r="K10099">
        <v>0</v>
      </c>
    </row>
    <row r="10100" spans="1:11" x14ac:dyDescent="0.25">
      <c r="A10100" t="s">
        <v>326</v>
      </c>
      <c r="B10100" t="s">
        <v>658</v>
      </c>
      <c r="C10100" t="s">
        <v>875</v>
      </c>
      <c r="D10100" t="s">
        <v>11</v>
      </c>
      <c r="E10100">
        <v>30</v>
      </c>
      <c r="F10100" s="2">
        <f>DATE(2026,IF(Tabla1[[#This Row],[Mes de Fecha]]="Septiembre",9,10),Tabla1[[#This Row],[Día de Fecha]])</f>
        <v>46295</v>
      </c>
      <c r="G10100">
        <v>1003231065</v>
      </c>
      <c r="H10100" t="s">
        <v>659</v>
      </c>
      <c r="I10100">
        <v>51</v>
      </c>
      <c r="J10100">
        <v>0</v>
      </c>
      <c r="K10100" s="1">
        <v>3199496</v>
      </c>
    </row>
    <row r="10101" spans="1:11" x14ac:dyDescent="0.25">
      <c r="A10101" t="s">
        <v>326</v>
      </c>
      <c r="B10101" t="s">
        <v>658</v>
      </c>
      <c r="C10101" t="s">
        <v>875</v>
      </c>
      <c r="D10101" t="s">
        <v>11</v>
      </c>
      <c r="E10101">
        <v>30</v>
      </c>
      <c r="F10101" s="2">
        <f>DATE(2026,IF(Tabla1[[#This Row],[Mes de Fecha]]="Septiembre",9,10),Tabla1[[#This Row],[Día de Fecha]])</f>
        <v>46295</v>
      </c>
      <c r="G10101">
        <v>1065614711</v>
      </c>
      <c r="H10101" t="s">
        <v>660</v>
      </c>
      <c r="I10101">
        <v>54</v>
      </c>
      <c r="J10101">
        <v>0</v>
      </c>
      <c r="K10101" s="1">
        <v>3115255</v>
      </c>
    </row>
    <row r="10102" spans="1:11" x14ac:dyDescent="0.25">
      <c r="A10102" t="s">
        <v>326</v>
      </c>
      <c r="B10102" t="s">
        <v>658</v>
      </c>
      <c r="C10102" t="s">
        <v>875</v>
      </c>
      <c r="D10102" t="s">
        <v>11</v>
      </c>
      <c r="E10102">
        <v>30</v>
      </c>
      <c r="F10102" s="2">
        <f>DATE(2026,IF(Tabla1[[#This Row],[Mes de Fecha]]="Septiembre",9,10),Tabla1[[#This Row],[Día de Fecha]])</f>
        <v>46295</v>
      </c>
      <c r="G10102">
        <v>1067594141</v>
      </c>
      <c r="H10102" t="s">
        <v>663</v>
      </c>
      <c r="I10102">
        <v>24</v>
      </c>
      <c r="J10102">
        <v>0</v>
      </c>
      <c r="K10102" s="1">
        <v>1190126</v>
      </c>
    </row>
    <row r="10103" spans="1:11" x14ac:dyDescent="0.25">
      <c r="A10103" t="s">
        <v>326</v>
      </c>
      <c r="B10103" t="s">
        <v>658</v>
      </c>
      <c r="C10103" t="s">
        <v>875</v>
      </c>
      <c r="D10103" t="s">
        <v>11</v>
      </c>
      <c r="E10103">
        <v>30</v>
      </c>
      <c r="F10103" s="2">
        <f>DATE(2026,IF(Tabla1[[#This Row],[Mes de Fecha]]="Septiembre",9,10),Tabla1[[#This Row],[Día de Fecha]])</f>
        <v>46295</v>
      </c>
      <c r="G10103">
        <v>1082841571</v>
      </c>
      <c r="H10103" t="s">
        <v>664</v>
      </c>
      <c r="I10103">
        <v>17</v>
      </c>
      <c r="J10103">
        <v>0</v>
      </c>
      <c r="K10103" s="1">
        <v>1053825</v>
      </c>
    </row>
    <row r="10104" spans="1:11" x14ac:dyDescent="0.25">
      <c r="A10104" t="s">
        <v>326</v>
      </c>
      <c r="B10104" t="s">
        <v>658</v>
      </c>
      <c r="C10104" t="s">
        <v>875</v>
      </c>
      <c r="D10104" t="s">
        <v>11</v>
      </c>
      <c r="E10104">
        <v>30</v>
      </c>
      <c r="F10104" s="2">
        <f>DATE(2026,IF(Tabla1[[#This Row],[Mes de Fecha]]="Septiembre",9,10),Tabla1[[#This Row],[Día de Fecha]])</f>
        <v>46295</v>
      </c>
      <c r="G10104">
        <v>1098794789</v>
      </c>
      <c r="H10104" t="s">
        <v>665</v>
      </c>
      <c r="I10104">
        <v>25</v>
      </c>
      <c r="J10104">
        <v>0</v>
      </c>
      <c r="K10104" s="1">
        <v>1221597</v>
      </c>
    </row>
    <row r="10105" spans="1:11" x14ac:dyDescent="0.25">
      <c r="A10105" t="s">
        <v>326</v>
      </c>
      <c r="B10105" t="s">
        <v>658</v>
      </c>
      <c r="C10105" t="s">
        <v>875</v>
      </c>
      <c r="D10105" t="s">
        <v>14</v>
      </c>
      <c r="E10105">
        <v>1</v>
      </c>
      <c r="F10105" s="2">
        <f>DATE(2026,IF(Tabla1[[#This Row],[Mes de Fecha]]="Septiembre",9,10),Tabla1[[#This Row],[Día de Fecha]])</f>
        <v>46296</v>
      </c>
      <c r="I10105">
        <v>0</v>
      </c>
      <c r="J10105" s="1">
        <v>14423024</v>
      </c>
      <c r="K10105">
        <v>0</v>
      </c>
    </row>
    <row r="10106" spans="1:11" x14ac:dyDescent="0.25">
      <c r="A10106" t="s">
        <v>326</v>
      </c>
      <c r="B10106" t="s">
        <v>658</v>
      </c>
      <c r="C10106" t="s">
        <v>875</v>
      </c>
      <c r="D10106" t="s">
        <v>14</v>
      </c>
      <c r="E10106">
        <v>1</v>
      </c>
      <c r="F10106" s="2">
        <f>DATE(2026,IF(Tabla1[[#This Row],[Mes de Fecha]]="Septiembre",9,10),Tabla1[[#This Row],[Día de Fecha]])</f>
        <v>46296</v>
      </c>
      <c r="G10106">
        <v>1003231065</v>
      </c>
      <c r="H10106" t="s">
        <v>659</v>
      </c>
      <c r="I10106">
        <v>46</v>
      </c>
      <c r="J10106">
        <v>0</v>
      </c>
      <c r="K10106" s="1">
        <v>2657645</v>
      </c>
    </row>
    <row r="10107" spans="1:11" x14ac:dyDescent="0.25">
      <c r="A10107" t="s">
        <v>326</v>
      </c>
      <c r="B10107" t="s">
        <v>658</v>
      </c>
      <c r="C10107" t="s">
        <v>875</v>
      </c>
      <c r="D10107" t="s">
        <v>14</v>
      </c>
      <c r="E10107">
        <v>1</v>
      </c>
      <c r="F10107" s="2">
        <f>DATE(2026,IF(Tabla1[[#This Row],[Mes de Fecha]]="Septiembre",9,10),Tabla1[[#This Row],[Día de Fecha]])</f>
        <v>46296</v>
      </c>
      <c r="G10107">
        <v>1065614711</v>
      </c>
      <c r="H10107" t="s">
        <v>660</v>
      </c>
      <c r="I10107">
        <v>48</v>
      </c>
      <c r="J10107">
        <v>0</v>
      </c>
      <c r="K10107" s="1">
        <v>2510548</v>
      </c>
    </row>
    <row r="10108" spans="1:11" x14ac:dyDescent="0.25">
      <c r="A10108" t="s">
        <v>326</v>
      </c>
      <c r="B10108" t="s">
        <v>658</v>
      </c>
      <c r="C10108" t="s">
        <v>875</v>
      </c>
      <c r="D10108" t="s">
        <v>14</v>
      </c>
      <c r="E10108">
        <v>1</v>
      </c>
      <c r="F10108" s="2">
        <f>DATE(2026,IF(Tabla1[[#This Row],[Mes de Fecha]]="Septiembre",9,10),Tabla1[[#This Row],[Día de Fecha]])</f>
        <v>46296</v>
      </c>
      <c r="G10108">
        <v>1065667405</v>
      </c>
      <c r="H10108" t="s">
        <v>666</v>
      </c>
      <c r="I10108">
        <v>32</v>
      </c>
      <c r="J10108">
        <v>0</v>
      </c>
      <c r="K10108" s="1">
        <v>1637314</v>
      </c>
    </row>
    <row r="10109" spans="1:11" x14ac:dyDescent="0.25">
      <c r="A10109" t="s">
        <v>326</v>
      </c>
      <c r="B10109" t="s">
        <v>658</v>
      </c>
      <c r="C10109" t="s">
        <v>875</v>
      </c>
      <c r="D10109" t="s">
        <v>14</v>
      </c>
      <c r="E10109">
        <v>1</v>
      </c>
      <c r="F10109" s="2">
        <f>DATE(2026,IF(Tabla1[[#This Row],[Mes de Fecha]]="Septiembre",9,10),Tabla1[[#This Row],[Día de Fecha]])</f>
        <v>46296</v>
      </c>
      <c r="G10109">
        <v>1067594141</v>
      </c>
      <c r="H10109" t="s">
        <v>663</v>
      </c>
      <c r="I10109">
        <v>22</v>
      </c>
      <c r="J10109">
        <v>0</v>
      </c>
      <c r="K10109" s="1">
        <v>1288992</v>
      </c>
    </row>
    <row r="10110" spans="1:11" x14ac:dyDescent="0.25">
      <c r="A10110" t="s">
        <v>326</v>
      </c>
      <c r="B10110" t="s">
        <v>658</v>
      </c>
      <c r="C10110" t="s">
        <v>875</v>
      </c>
      <c r="D10110" t="s">
        <v>14</v>
      </c>
      <c r="E10110">
        <v>1</v>
      </c>
      <c r="F10110" s="2">
        <f>DATE(2026,IF(Tabla1[[#This Row],[Mes de Fecha]]="Septiembre",9,10),Tabla1[[#This Row],[Día de Fecha]])</f>
        <v>46296</v>
      </c>
      <c r="G10110">
        <v>1082841571</v>
      </c>
      <c r="H10110" t="s">
        <v>664</v>
      </c>
      <c r="I10110">
        <v>15</v>
      </c>
      <c r="J10110">
        <v>0</v>
      </c>
      <c r="K10110" s="1">
        <v>827101</v>
      </c>
    </row>
    <row r="10111" spans="1:11" x14ac:dyDescent="0.25">
      <c r="A10111" t="s">
        <v>326</v>
      </c>
      <c r="B10111" t="s">
        <v>658</v>
      </c>
      <c r="C10111" t="s">
        <v>875</v>
      </c>
      <c r="D10111" t="s">
        <v>14</v>
      </c>
      <c r="E10111">
        <v>1</v>
      </c>
      <c r="F10111" s="2">
        <f>DATE(2026,IF(Tabla1[[#This Row],[Mes de Fecha]]="Septiembre",9,10),Tabla1[[#This Row],[Día de Fecha]])</f>
        <v>46296</v>
      </c>
      <c r="G10111">
        <v>1098794789</v>
      </c>
      <c r="H10111" t="s">
        <v>665</v>
      </c>
      <c r="I10111">
        <v>59</v>
      </c>
      <c r="J10111">
        <v>0</v>
      </c>
      <c r="K10111" s="1">
        <v>3341976</v>
      </c>
    </row>
    <row r="10112" spans="1:11" x14ac:dyDescent="0.25">
      <c r="A10112" t="s">
        <v>326</v>
      </c>
      <c r="B10112" t="s">
        <v>658</v>
      </c>
      <c r="C10112" t="s">
        <v>875</v>
      </c>
      <c r="D10112" t="s">
        <v>14</v>
      </c>
      <c r="E10112">
        <v>2</v>
      </c>
      <c r="F10112" s="2">
        <f>DATE(2026,IF(Tabla1[[#This Row],[Mes de Fecha]]="Septiembre",9,10),Tabla1[[#This Row],[Día de Fecha]])</f>
        <v>46297</v>
      </c>
      <c r="I10112">
        <v>0</v>
      </c>
      <c r="J10112" s="1">
        <v>8235810</v>
      </c>
      <c r="K10112">
        <v>0</v>
      </c>
    </row>
    <row r="10113" spans="1:11" x14ac:dyDescent="0.25">
      <c r="A10113" t="s">
        <v>326</v>
      </c>
      <c r="B10113" t="s">
        <v>658</v>
      </c>
      <c r="C10113" t="s">
        <v>875</v>
      </c>
      <c r="D10113" t="s">
        <v>14</v>
      </c>
      <c r="E10113">
        <v>2</v>
      </c>
      <c r="F10113" s="2">
        <f>DATE(2026,IF(Tabla1[[#This Row],[Mes de Fecha]]="Septiembre",9,10),Tabla1[[#This Row],[Día de Fecha]])</f>
        <v>46297</v>
      </c>
      <c r="G10113">
        <v>1003231065</v>
      </c>
      <c r="H10113" t="s">
        <v>659</v>
      </c>
      <c r="I10113">
        <v>45</v>
      </c>
      <c r="J10113">
        <v>0</v>
      </c>
      <c r="K10113" s="1">
        <v>2130335</v>
      </c>
    </row>
    <row r="10114" spans="1:11" x14ac:dyDescent="0.25">
      <c r="A10114" t="s">
        <v>326</v>
      </c>
      <c r="B10114" t="s">
        <v>658</v>
      </c>
      <c r="C10114" t="s">
        <v>875</v>
      </c>
      <c r="D10114" t="s">
        <v>14</v>
      </c>
      <c r="E10114">
        <v>2</v>
      </c>
      <c r="F10114" s="2">
        <f>DATE(2026,IF(Tabla1[[#This Row],[Mes de Fecha]]="Septiembre",9,10),Tabla1[[#This Row],[Día de Fecha]])</f>
        <v>46297</v>
      </c>
      <c r="G10114">
        <v>1065614711</v>
      </c>
      <c r="H10114" t="s">
        <v>660</v>
      </c>
      <c r="I10114">
        <v>58</v>
      </c>
      <c r="J10114">
        <v>0</v>
      </c>
      <c r="K10114" s="1">
        <v>2963869</v>
      </c>
    </row>
    <row r="10115" spans="1:11" x14ac:dyDescent="0.25">
      <c r="A10115" t="s">
        <v>326</v>
      </c>
      <c r="B10115" t="s">
        <v>658</v>
      </c>
      <c r="C10115" t="s">
        <v>875</v>
      </c>
      <c r="D10115" t="s">
        <v>14</v>
      </c>
      <c r="E10115">
        <v>2</v>
      </c>
      <c r="F10115" s="2">
        <f>DATE(2026,IF(Tabla1[[#This Row],[Mes de Fecha]]="Septiembre",9,10),Tabla1[[#This Row],[Día de Fecha]])</f>
        <v>46297</v>
      </c>
      <c r="G10115">
        <v>1065667405</v>
      </c>
      <c r="H10115" t="s">
        <v>666</v>
      </c>
      <c r="I10115">
        <v>42</v>
      </c>
      <c r="J10115">
        <v>0</v>
      </c>
      <c r="K10115" s="1">
        <v>2384790</v>
      </c>
    </row>
    <row r="10116" spans="1:11" x14ac:dyDescent="0.25">
      <c r="A10116" t="s">
        <v>326</v>
      </c>
      <c r="B10116" t="s">
        <v>658</v>
      </c>
      <c r="C10116" t="s">
        <v>875</v>
      </c>
      <c r="D10116" t="s">
        <v>14</v>
      </c>
      <c r="E10116">
        <v>2</v>
      </c>
      <c r="F10116" s="2">
        <f>DATE(2026,IF(Tabla1[[#This Row],[Mes de Fecha]]="Septiembre",9,10),Tabla1[[#This Row],[Día de Fecha]])</f>
        <v>46297</v>
      </c>
      <c r="G10116">
        <v>1067594141</v>
      </c>
      <c r="H10116" t="s">
        <v>663</v>
      </c>
      <c r="I10116">
        <v>20</v>
      </c>
      <c r="J10116">
        <v>0</v>
      </c>
      <c r="K10116" s="1">
        <v>1116807</v>
      </c>
    </row>
    <row r="10117" spans="1:11" x14ac:dyDescent="0.25">
      <c r="A10117" t="s">
        <v>326</v>
      </c>
      <c r="B10117" t="s">
        <v>658</v>
      </c>
      <c r="C10117" t="s">
        <v>875</v>
      </c>
      <c r="D10117" t="s">
        <v>14</v>
      </c>
      <c r="E10117">
        <v>2</v>
      </c>
      <c r="F10117" s="2">
        <f>DATE(2026,IF(Tabla1[[#This Row],[Mes de Fecha]]="Septiembre",9,10),Tabla1[[#This Row],[Día de Fecha]])</f>
        <v>46297</v>
      </c>
      <c r="G10117">
        <v>1082841571</v>
      </c>
      <c r="H10117" t="s">
        <v>664</v>
      </c>
      <c r="I10117">
        <v>32</v>
      </c>
      <c r="J10117">
        <v>0</v>
      </c>
      <c r="K10117" s="1">
        <v>1859833</v>
      </c>
    </row>
    <row r="10118" spans="1:11" x14ac:dyDescent="0.25">
      <c r="A10118" t="s">
        <v>326</v>
      </c>
      <c r="B10118" t="s">
        <v>658</v>
      </c>
      <c r="C10118" t="s">
        <v>875</v>
      </c>
      <c r="D10118" t="s">
        <v>14</v>
      </c>
      <c r="E10118">
        <v>2</v>
      </c>
      <c r="F10118" s="2">
        <f>DATE(2026,IF(Tabla1[[#This Row],[Mes de Fecha]]="Septiembre",9,10),Tabla1[[#This Row],[Día de Fecha]])</f>
        <v>46297</v>
      </c>
      <c r="G10118">
        <v>1098794789</v>
      </c>
      <c r="H10118" t="s">
        <v>665</v>
      </c>
      <c r="I10118">
        <v>44</v>
      </c>
      <c r="J10118">
        <v>0</v>
      </c>
      <c r="K10118" s="1">
        <v>2237650</v>
      </c>
    </row>
    <row r="10119" spans="1:11" x14ac:dyDescent="0.25">
      <c r="A10119" t="s">
        <v>326</v>
      </c>
      <c r="B10119" t="s">
        <v>658</v>
      </c>
      <c r="C10119" t="s">
        <v>875</v>
      </c>
      <c r="D10119" t="s">
        <v>14</v>
      </c>
      <c r="E10119">
        <v>3</v>
      </c>
      <c r="F10119" s="2">
        <f>DATE(2026,IF(Tabla1[[#This Row],[Mes de Fecha]]="Septiembre",9,10),Tabla1[[#This Row],[Día de Fecha]])</f>
        <v>46298</v>
      </c>
      <c r="I10119">
        <v>0</v>
      </c>
      <c r="J10119" s="1">
        <v>11818067</v>
      </c>
      <c r="K10119">
        <v>0</v>
      </c>
    </row>
    <row r="10120" spans="1:11" x14ac:dyDescent="0.25">
      <c r="A10120" t="s">
        <v>326</v>
      </c>
      <c r="B10120" t="s">
        <v>658</v>
      </c>
      <c r="C10120" t="s">
        <v>875</v>
      </c>
      <c r="D10120" t="s">
        <v>14</v>
      </c>
      <c r="E10120">
        <v>3</v>
      </c>
      <c r="F10120" s="2">
        <f>DATE(2026,IF(Tabla1[[#This Row],[Mes de Fecha]]="Septiembre",9,10),Tabla1[[#This Row],[Día de Fecha]])</f>
        <v>46298</v>
      </c>
      <c r="G10120">
        <v>1003231065</v>
      </c>
      <c r="H10120" t="s">
        <v>659</v>
      </c>
      <c r="I10120">
        <v>67</v>
      </c>
      <c r="J10120">
        <v>0</v>
      </c>
      <c r="K10120" s="1">
        <v>3481296</v>
      </c>
    </row>
    <row r="10121" spans="1:11" x14ac:dyDescent="0.25">
      <c r="A10121" t="s">
        <v>326</v>
      </c>
      <c r="B10121" t="s">
        <v>658</v>
      </c>
      <c r="C10121" t="s">
        <v>875</v>
      </c>
      <c r="D10121" t="s">
        <v>14</v>
      </c>
      <c r="E10121">
        <v>3</v>
      </c>
      <c r="F10121" s="2">
        <f>DATE(2026,IF(Tabla1[[#This Row],[Mes de Fecha]]="Septiembre",9,10),Tabla1[[#This Row],[Día de Fecha]])</f>
        <v>46298</v>
      </c>
      <c r="G10121">
        <v>1065614711</v>
      </c>
      <c r="H10121" t="s">
        <v>660</v>
      </c>
      <c r="I10121">
        <v>50</v>
      </c>
      <c r="J10121">
        <v>0</v>
      </c>
      <c r="K10121" s="1">
        <v>2497651</v>
      </c>
    </row>
    <row r="10122" spans="1:11" x14ac:dyDescent="0.25">
      <c r="A10122" t="s">
        <v>326</v>
      </c>
      <c r="B10122" t="s">
        <v>658</v>
      </c>
      <c r="C10122" t="s">
        <v>875</v>
      </c>
      <c r="D10122" t="s">
        <v>14</v>
      </c>
      <c r="E10122">
        <v>3</v>
      </c>
      <c r="F10122" s="2">
        <f>DATE(2026,IF(Tabla1[[#This Row],[Mes de Fecha]]="Septiembre",9,10),Tabla1[[#This Row],[Día de Fecha]])</f>
        <v>46298</v>
      </c>
      <c r="G10122">
        <v>1065667405</v>
      </c>
      <c r="H10122" t="s">
        <v>666</v>
      </c>
      <c r="I10122">
        <v>46</v>
      </c>
      <c r="J10122">
        <v>0</v>
      </c>
      <c r="K10122" s="1">
        <v>2355347</v>
      </c>
    </row>
    <row r="10123" spans="1:11" x14ac:dyDescent="0.25">
      <c r="A10123" t="s">
        <v>326</v>
      </c>
      <c r="B10123" t="s">
        <v>658</v>
      </c>
      <c r="C10123" t="s">
        <v>875</v>
      </c>
      <c r="D10123" t="s">
        <v>14</v>
      </c>
      <c r="E10123">
        <v>3</v>
      </c>
      <c r="F10123" s="2">
        <f>DATE(2026,IF(Tabla1[[#This Row],[Mes de Fecha]]="Septiembre",9,10),Tabla1[[#This Row],[Día de Fecha]])</f>
        <v>46298</v>
      </c>
      <c r="G10123">
        <v>1067594141</v>
      </c>
      <c r="H10123" t="s">
        <v>663</v>
      </c>
      <c r="I10123">
        <v>30</v>
      </c>
      <c r="J10123">
        <v>0</v>
      </c>
      <c r="K10123" s="1">
        <v>1537522</v>
      </c>
    </row>
    <row r="10124" spans="1:11" x14ac:dyDescent="0.25">
      <c r="A10124" t="s">
        <v>326</v>
      </c>
      <c r="B10124" t="s">
        <v>658</v>
      </c>
      <c r="C10124" t="s">
        <v>875</v>
      </c>
      <c r="D10124" t="s">
        <v>14</v>
      </c>
      <c r="E10124">
        <v>3</v>
      </c>
      <c r="F10124" s="2">
        <f>DATE(2026,IF(Tabla1[[#This Row],[Mes de Fecha]]="Septiembre",9,10),Tabla1[[#This Row],[Día de Fecha]])</f>
        <v>46298</v>
      </c>
      <c r="G10124">
        <v>1082841571</v>
      </c>
      <c r="H10124" t="s">
        <v>664</v>
      </c>
      <c r="I10124">
        <v>36</v>
      </c>
      <c r="J10124">
        <v>0</v>
      </c>
      <c r="K10124" s="1">
        <v>1760777</v>
      </c>
    </row>
    <row r="10125" spans="1:11" x14ac:dyDescent="0.25">
      <c r="A10125" t="s">
        <v>326</v>
      </c>
      <c r="B10125" t="s">
        <v>658</v>
      </c>
      <c r="C10125" t="s">
        <v>875</v>
      </c>
      <c r="D10125" t="s">
        <v>14</v>
      </c>
      <c r="E10125">
        <v>3</v>
      </c>
      <c r="F10125" s="2">
        <f>DATE(2026,IF(Tabla1[[#This Row],[Mes de Fecha]]="Septiembre",9,10),Tabla1[[#This Row],[Día de Fecha]])</f>
        <v>46298</v>
      </c>
      <c r="G10125">
        <v>1098794789</v>
      </c>
      <c r="H10125" t="s">
        <v>665</v>
      </c>
      <c r="I10125">
        <v>30</v>
      </c>
      <c r="J10125">
        <v>0</v>
      </c>
      <c r="K10125" s="1">
        <v>1524817</v>
      </c>
    </row>
    <row r="10126" spans="1:11" x14ac:dyDescent="0.25">
      <c r="A10126" t="s">
        <v>326</v>
      </c>
      <c r="B10126" t="s">
        <v>658</v>
      </c>
      <c r="C10126" t="s">
        <v>875</v>
      </c>
      <c r="D10126" t="s">
        <v>14</v>
      </c>
      <c r="E10126">
        <v>4</v>
      </c>
      <c r="F10126" s="2">
        <f>DATE(2026,IF(Tabla1[[#This Row],[Mes de Fecha]]="Septiembre",9,10),Tabla1[[#This Row],[Día de Fecha]])</f>
        <v>46299</v>
      </c>
      <c r="I10126">
        <v>0</v>
      </c>
      <c r="J10126" s="1">
        <v>9391187</v>
      </c>
      <c r="K10126">
        <v>0</v>
      </c>
    </row>
    <row r="10127" spans="1:11" x14ac:dyDescent="0.25">
      <c r="A10127" t="s">
        <v>326</v>
      </c>
      <c r="B10127" t="s">
        <v>658</v>
      </c>
      <c r="C10127" t="s">
        <v>875</v>
      </c>
      <c r="D10127" t="s">
        <v>14</v>
      </c>
      <c r="E10127">
        <v>4</v>
      </c>
      <c r="F10127" s="2">
        <f>DATE(2026,IF(Tabla1[[#This Row],[Mes de Fecha]]="Septiembre",9,10),Tabla1[[#This Row],[Día de Fecha]])</f>
        <v>46299</v>
      </c>
      <c r="G10127">
        <v>1003231065</v>
      </c>
      <c r="H10127" t="s">
        <v>659</v>
      </c>
      <c r="I10127">
        <v>40</v>
      </c>
      <c r="J10127">
        <v>0</v>
      </c>
      <c r="K10127" s="1">
        <v>1995248</v>
      </c>
    </row>
    <row r="10128" spans="1:11" x14ac:dyDescent="0.25">
      <c r="A10128" t="s">
        <v>326</v>
      </c>
      <c r="B10128" t="s">
        <v>658</v>
      </c>
      <c r="C10128" t="s">
        <v>875</v>
      </c>
      <c r="D10128" t="s">
        <v>14</v>
      </c>
      <c r="E10128">
        <v>4</v>
      </c>
      <c r="F10128" s="2">
        <f>DATE(2026,IF(Tabla1[[#This Row],[Mes de Fecha]]="Septiembre",9,10),Tabla1[[#This Row],[Día de Fecha]])</f>
        <v>46299</v>
      </c>
      <c r="G10128">
        <v>1065614711</v>
      </c>
      <c r="H10128" t="s">
        <v>660</v>
      </c>
      <c r="I10128">
        <v>39</v>
      </c>
      <c r="J10128">
        <v>0</v>
      </c>
      <c r="K10128" s="1">
        <v>2346640</v>
      </c>
    </row>
    <row r="10129" spans="1:11" x14ac:dyDescent="0.25">
      <c r="A10129" t="s">
        <v>326</v>
      </c>
      <c r="B10129" t="s">
        <v>658</v>
      </c>
      <c r="C10129" t="s">
        <v>875</v>
      </c>
      <c r="D10129" t="s">
        <v>14</v>
      </c>
      <c r="E10129">
        <v>4</v>
      </c>
      <c r="F10129" s="2">
        <f>DATE(2026,IF(Tabla1[[#This Row],[Mes de Fecha]]="Septiembre",9,10),Tabla1[[#This Row],[Día de Fecha]])</f>
        <v>46299</v>
      </c>
      <c r="G10129">
        <v>1065667405</v>
      </c>
      <c r="H10129" t="s">
        <v>666</v>
      </c>
      <c r="I10129">
        <v>54</v>
      </c>
      <c r="J10129">
        <v>0</v>
      </c>
      <c r="K10129" s="1">
        <v>2707817</v>
      </c>
    </row>
    <row r="10130" spans="1:11" x14ac:dyDescent="0.25">
      <c r="A10130" t="s">
        <v>326</v>
      </c>
      <c r="B10130" t="s">
        <v>658</v>
      </c>
      <c r="C10130" t="s">
        <v>875</v>
      </c>
      <c r="D10130" t="s">
        <v>14</v>
      </c>
      <c r="E10130">
        <v>4</v>
      </c>
      <c r="F10130" s="2">
        <f>DATE(2026,IF(Tabla1[[#This Row],[Mes de Fecha]]="Septiembre",9,10),Tabla1[[#This Row],[Día de Fecha]])</f>
        <v>46299</v>
      </c>
      <c r="G10130">
        <v>1067594141</v>
      </c>
      <c r="H10130" t="s">
        <v>663</v>
      </c>
      <c r="I10130">
        <v>43</v>
      </c>
      <c r="J10130">
        <v>0</v>
      </c>
      <c r="K10130" s="1">
        <v>2170299</v>
      </c>
    </row>
    <row r="10131" spans="1:11" x14ac:dyDescent="0.25">
      <c r="A10131" t="s">
        <v>326</v>
      </c>
      <c r="B10131" t="s">
        <v>658</v>
      </c>
      <c r="C10131" t="s">
        <v>875</v>
      </c>
      <c r="D10131" t="s">
        <v>14</v>
      </c>
      <c r="E10131">
        <v>4</v>
      </c>
      <c r="F10131" s="2">
        <f>DATE(2026,IF(Tabla1[[#This Row],[Mes de Fecha]]="Septiembre",9,10),Tabla1[[#This Row],[Día de Fecha]])</f>
        <v>46299</v>
      </c>
      <c r="G10131">
        <v>1082841571</v>
      </c>
      <c r="H10131" t="s">
        <v>664</v>
      </c>
      <c r="I10131">
        <v>33</v>
      </c>
      <c r="J10131">
        <v>0</v>
      </c>
      <c r="K10131" s="1">
        <v>1771684</v>
      </c>
    </row>
    <row r="10132" spans="1:11" x14ac:dyDescent="0.25">
      <c r="A10132" t="s">
        <v>326</v>
      </c>
      <c r="B10132" t="s">
        <v>658</v>
      </c>
      <c r="C10132" t="s">
        <v>875</v>
      </c>
      <c r="D10132" t="s">
        <v>14</v>
      </c>
      <c r="E10132">
        <v>4</v>
      </c>
      <c r="F10132" s="2">
        <f>DATE(2026,IF(Tabla1[[#This Row],[Mes de Fecha]]="Septiembre",9,10),Tabla1[[#This Row],[Día de Fecha]])</f>
        <v>46299</v>
      </c>
      <c r="G10132">
        <v>1098794789</v>
      </c>
      <c r="H10132" t="s">
        <v>665</v>
      </c>
      <c r="I10132">
        <v>37</v>
      </c>
      <c r="J10132">
        <v>0</v>
      </c>
      <c r="K10132" s="1">
        <v>2148860</v>
      </c>
    </row>
    <row r="10133" spans="1:11" x14ac:dyDescent="0.25">
      <c r="A10133" t="s">
        <v>326</v>
      </c>
      <c r="B10133" t="s">
        <v>658</v>
      </c>
      <c r="C10133" t="s">
        <v>875</v>
      </c>
      <c r="D10133" t="s">
        <v>14</v>
      </c>
      <c r="E10133">
        <v>5</v>
      </c>
      <c r="F10133" s="2">
        <f>DATE(2026,IF(Tabla1[[#This Row],[Mes de Fecha]]="Septiembre",9,10),Tabla1[[#This Row],[Día de Fecha]])</f>
        <v>46300</v>
      </c>
      <c r="I10133">
        <v>0</v>
      </c>
      <c r="J10133" s="1">
        <v>5946227</v>
      </c>
      <c r="K10133">
        <v>0</v>
      </c>
    </row>
    <row r="10134" spans="1:11" x14ac:dyDescent="0.25">
      <c r="A10134" t="s">
        <v>326</v>
      </c>
      <c r="B10134" t="s">
        <v>658</v>
      </c>
      <c r="C10134" t="s">
        <v>875</v>
      </c>
      <c r="D10134" t="s">
        <v>14</v>
      </c>
      <c r="E10134">
        <v>5</v>
      </c>
      <c r="F10134" s="2">
        <f>DATE(2026,IF(Tabla1[[#This Row],[Mes de Fecha]]="Septiembre",9,10),Tabla1[[#This Row],[Día de Fecha]])</f>
        <v>46300</v>
      </c>
      <c r="G10134">
        <v>1003231065</v>
      </c>
      <c r="H10134" t="s">
        <v>659</v>
      </c>
      <c r="I10134">
        <v>48</v>
      </c>
      <c r="J10134">
        <v>0</v>
      </c>
      <c r="K10134" s="1">
        <v>2762230</v>
      </c>
    </row>
    <row r="10135" spans="1:11" x14ac:dyDescent="0.25">
      <c r="A10135" t="s">
        <v>326</v>
      </c>
      <c r="B10135" t="s">
        <v>658</v>
      </c>
      <c r="C10135" t="s">
        <v>875</v>
      </c>
      <c r="D10135" t="s">
        <v>14</v>
      </c>
      <c r="E10135">
        <v>5</v>
      </c>
      <c r="F10135" s="2">
        <f>DATE(2026,IF(Tabla1[[#This Row],[Mes de Fecha]]="Septiembre",9,10),Tabla1[[#This Row],[Día de Fecha]])</f>
        <v>46300</v>
      </c>
      <c r="G10135">
        <v>1065614711</v>
      </c>
      <c r="H10135" t="s">
        <v>660</v>
      </c>
      <c r="I10135">
        <v>39</v>
      </c>
      <c r="J10135">
        <v>0</v>
      </c>
      <c r="K10135" s="1">
        <v>2157569</v>
      </c>
    </row>
    <row r="10136" spans="1:11" x14ac:dyDescent="0.25">
      <c r="A10136" t="s">
        <v>326</v>
      </c>
      <c r="B10136" t="s">
        <v>658</v>
      </c>
      <c r="C10136" t="s">
        <v>875</v>
      </c>
      <c r="D10136" t="s">
        <v>14</v>
      </c>
      <c r="E10136">
        <v>5</v>
      </c>
      <c r="F10136" s="2">
        <f>DATE(2026,IF(Tabla1[[#This Row],[Mes de Fecha]]="Septiembre",9,10),Tabla1[[#This Row],[Día de Fecha]])</f>
        <v>46300</v>
      </c>
      <c r="G10136">
        <v>1067594141</v>
      </c>
      <c r="H10136" t="s">
        <v>663</v>
      </c>
      <c r="I10136">
        <v>10</v>
      </c>
      <c r="J10136">
        <v>0</v>
      </c>
      <c r="K10136" s="1">
        <v>583613</v>
      </c>
    </row>
    <row r="10137" spans="1:11" x14ac:dyDescent="0.25">
      <c r="A10137" t="s">
        <v>326</v>
      </c>
      <c r="B10137" t="s">
        <v>658</v>
      </c>
      <c r="C10137" t="s">
        <v>875</v>
      </c>
      <c r="D10137" t="s">
        <v>14</v>
      </c>
      <c r="E10137">
        <v>5</v>
      </c>
      <c r="F10137" s="2">
        <f>DATE(2026,IF(Tabla1[[#This Row],[Mes de Fecha]]="Septiembre",9,10),Tabla1[[#This Row],[Día de Fecha]])</f>
        <v>46300</v>
      </c>
      <c r="G10137">
        <v>1082841571</v>
      </c>
      <c r="H10137" t="s">
        <v>664</v>
      </c>
      <c r="I10137">
        <v>11</v>
      </c>
      <c r="J10137">
        <v>0</v>
      </c>
      <c r="K10137" s="1">
        <v>612984</v>
      </c>
    </row>
    <row r="10138" spans="1:11" x14ac:dyDescent="0.25">
      <c r="A10138" t="s">
        <v>326</v>
      </c>
      <c r="B10138" t="s">
        <v>658</v>
      </c>
      <c r="C10138" t="s">
        <v>875</v>
      </c>
      <c r="D10138" t="s">
        <v>14</v>
      </c>
      <c r="E10138">
        <v>5</v>
      </c>
      <c r="F10138" s="2">
        <f>DATE(2026,IF(Tabla1[[#This Row],[Mes de Fecha]]="Septiembre",9,10),Tabla1[[#This Row],[Día de Fecha]])</f>
        <v>46300</v>
      </c>
      <c r="G10138">
        <v>1098794789</v>
      </c>
      <c r="H10138" t="s">
        <v>665</v>
      </c>
      <c r="I10138">
        <v>29</v>
      </c>
      <c r="J10138">
        <v>0</v>
      </c>
      <c r="K10138" s="1">
        <v>1809540</v>
      </c>
    </row>
    <row r="10139" spans="1:11" x14ac:dyDescent="0.25">
      <c r="A10139" t="s">
        <v>326</v>
      </c>
      <c r="B10139" t="s">
        <v>658</v>
      </c>
      <c r="C10139" t="s">
        <v>875</v>
      </c>
      <c r="D10139" t="s">
        <v>14</v>
      </c>
      <c r="E10139">
        <v>6</v>
      </c>
      <c r="F10139" s="2">
        <f>DATE(2026,IF(Tabla1[[#This Row],[Mes de Fecha]]="Septiembre",9,10),Tabla1[[#This Row],[Día de Fecha]])</f>
        <v>46301</v>
      </c>
      <c r="I10139">
        <v>0</v>
      </c>
      <c r="J10139" s="1">
        <v>2539640</v>
      </c>
      <c r="K10139">
        <v>0</v>
      </c>
    </row>
    <row r="10140" spans="1:11" x14ac:dyDescent="0.25">
      <c r="A10140" t="s">
        <v>326</v>
      </c>
      <c r="B10140" t="s">
        <v>658</v>
      </c>
      <c r="C10140" t="s">
        <v>875</v>
      </c>
      <c r="D10140" t="s">
        <v>14</v>
      </c>
      <c r="E10140">
        <v>6</v>
      </c>
      <c r="F10140" s="2">
        <f>DATE(2026,IF(Tabla1[[#This Row],[Mes de Fecha]]="Septiembre",9,10),Tabla1[[#This Row],[Día de Fecha]])</f>
        <v>46301</v>
      </c>
      <c r="G10140">
        <v>1003231065</v>
      </c>
      <c r="H10140" t="s">
        <v>659</v>
      </c>
      <c r="I10140">
        <v>20</v>
      </c>
      <c r="J10140">
        <v>0</v>
      </c>
      <c r="K10140" s="1">
        <v>1217650</v>
      </c>
    </row>
    <row r="10141" spans="1:11" x14ac:dyDescent="0.25">
      <c r="A10141" t="s">
        <v>326</v>
      </c>
      <c r="B10141" t="s">
        <v>658</v>
      </c>
      <c r="C10141" t="s">
        <v>875</v>
      </c>
      <c r="D10141" t="s">
        <v>14</v>
      </c>
      <c r="E10141">
        <v>6</v>
      </c>
      <c r="F10141" s="2">
        <f>DATE(2026,IF(Tabla1[[#This Row],[Mes de Fecha]]="Septiembre",9,10),Tabla1[[#This Row],[Día de Fecha]])</f>
        <v>46301</v>
      </c>
      <c r="G10141">
        <v>1065614711</v>
      </c>
      <c r="H10141" t="s">
        <v>660</v>
      </c>
      <c r="I10141">
        <v>7</v>
      </c>
      <c r="J10141">
        <v>0</v>
      </c>
      <c r="K10141" s="1">
        <v>318991</v>
      </c>
    </row>
    <row r="10142" spans="1:11" x14ac:dyDescent="0.25">
      <c r="A10142" t="s">
        <v>326</v>
      </c>
      <c r="B10142" t="s">
        <v>658</v>
      </c>
      <c r="C10142" t="s">
        <v>875</v>
      </c>
      <c r="D10142" t="s">
        <v>14</v>
      </c>
      <c r="E10142">
        <v>6</v>
      </c>
      <c r="F10142" s="2">
        <f>DATE(2026,IF(Tabla1[[#This Row],[Mes de Fecha]]="Septiembre",9,10),Tabla1[[#This Row],[Día de Fecha]])</f>
        <v>46301</v>
      </c>
      <c r="G10142">
        <v>1067594141</v>
      </c>
      <c r="H10142" t="s">
        <v>663</v>
      </c>
      <c r="I10142">
        <v>10</v>
      </c>
      <c r="J10142">
        <v>0</v>
      </c>
      <c r="K10142" s="1">
        <v>554203</v>
      </c>
    </row>
    <row r="10143" spans="1:11" x14ac:dyDescent="0.25">
      <c r="A10143" t="s">
        <v>326</v>
      </c>
      <c r="B10143" t="s">
        <v>658</v>
      </c>
      <c r="C10143" t="s">
        <v>875</v>
      </c>
      <c r="D10143" t="s">
        <v>14</v>
      </c>
      <c r="E10143">
        <v>6</v>
      </c>
      <c r="F10143" s="2">
        <f>DATE(2026,IF(Tabla1[[#This Row],[Mes de Fecha]]="Septiembre",9,10),Tabla1[[#This Row],[Día de Fecha]])</f>
        <v>46301</v>
      </c>
      <c r="G10143">
        <v>1082841571</v>
      </c>
      <c r="H10143" t="s">
        <v>664</v>
      </c>
      <c r="I10143">
        <v>7</v>
      </c>
      <c r="J10143">
        <v>0</v>
      </c>
      <c r="K10143" s="1">
        <v>415630</v>
      </c>
    </row>
    <row r="10144" spans="1:11" x14ac:dyDescent="0.25">
      <c r="A10144" t="s">
        <v>326</v>
      </c>
      <c r="B10144" t="s">
        <v>658</v>
      </c>
      <c r="C10144" t="s">
        <v>875</v>
      </c>
      <c r="D10144" t="s">
        <v>14</v>
      </c>
      <c r="E10144">
        <v>6</v>
      </c>
      <c r="F10144" s="2">
        <f>DATE(2026,IF(Tabla1[[#This Row],[Mes de Fecha]]="Septiembre",9,10),Tabla1[[#This Row],[Día de Fecha]])</f>
        <v>46301</v>
      </c>
      <c r="G10144">
        <v>1098794789</v>
      </c>
      <c r="H10144" t="s">
        <v>665</v>
      </c>
      <c r="I10144">
        <v>15</v>
      </c>
      <c r="J10144">
        <v>0</v>
      </c>
      <c r="K10144" s="1">
        <v>915338</v>
      </c>
    </row>
    <row r="10145" spans="1:11" x14ac:dyDescent="0.25">
      <c r="A10145" t="s">
        <v>326</v>
      </c>
      <c r="B10145" t="s">
        <v>658</v>
      </c>
      <c r="C10145" t="s">
        <v>875</v>
      </c>
      <c r="D10145" t="s">
        <v>14</v>
      </c>
      <c r="E10145">
        <v>7</v>
      </c>
      <c r="F10145" s="2">
        <f>DATE(2026,IF(Tabla1[[#This Row],[Mes de Fecha]]="Septiembre",9,10),Tabla1[[#This Row],[Día de Fecha]])</f>
        <v>46302</v>
      </c>
      <c r="I10145">
        <v>0</v>
      </c>
      <c r="J10145" s="1">
        <v>2506225</v>
      </c>
      <c r="K10145">
        <v>0</v>
      </c>
    </row>
    <row r="10146" spans="1:11" x14ac:dyDescent="0.25">
      <c r="A10146" t="s">
        <v>326</v>
      </c>
      <c r="B10146" t="s">
        <v>658</v>
      </c>
      <c r="C10146" t="s">
        <v>875</v>
      </c>
      <c r="D10146" t="s">
        <v>14</v>
      </c>
      <c r="E10146">
        <v>7</v>
      </c>
      <c r="F10146" s="2">
        <f>DATE(2026,IF(Tabla1[[#This Row],[Mes de Fecha]]="Septiembre",9,10),Tabla1[[#This Row],[Día de Fecha]])</f>
        <v>46302</v>
      </c>
      <c r="G10146">
        <v>1003231065</v>
      </c>
      <c r="H10146" t="s">
        <v>659</v>
      </c>
      <c r="I10146">
        <v>20</v>
      </c>
      <c r="J10146">
        <v>0</v>
      </c>
      <c r="K10146" s="1">
        <v>1074750</v>
      </c>
    </row>
    <row r="10147" spans="1:11" x14ac:dyDescent="0.25">
      <c r="A10147" t="s">
        <v>326</v>
      </c>
      <c r="B10147" t="s">
        <v>658</v>
      </c>
      <c r="C10147" t="s">
        <v>875</v>
      </c>
      <c r="D10147" t="s">
        <v>14</v>
      </c>
      <c r="E10147">
        <v>7</v>
      </c>
      <c r="F10147" s="2">
        <f>DATE(2026,IF(Tabla1[[#This Row],[Mes de Fecha]]="Septiembre",9,10),Tabla1[[#This Row],[Día de Fecha]])</f>
        <v>46302</v>
      </c>
      <c r="G10147">
        <v>1065614711</v>
      </c>
      <c r="H10147" t="s">
        <v>660</v>
      </c>
      <c r="I10147">
        <v>15</v>
      </c>
      <c r="J10147">
        <v>0</v>
      </c>
      <c r="K10147" s="1">
        <v>801893</v>
      </c>
    </row>
    <row r="10148" spans="1:11" x14ac:dyDescent="0.25">
      <c r="A10148" t="s">
        <v>326</v>
      </c>
      <c r="B10148" t="s">
        <v>658</v>
      </c>
      <c r="C10148" t="s">
        <v>875</v>
      </c>
      <c r="D10148" t="s">
        <v>14</v>
      </c>
      <c r="E10148">
        <v>7</v>
      </c>
      <c r="F10148" s="2">
        <f>DATE(2026,IF(Tabla1[[#This Row],[Mes de Fecha]]="Septiembre",9,10),Tabla1[[#This Row],[Día de Fecha]])</f>
        <v>46302</v>
      </c>
      <c r="G10148">
        <v>1067594141</v>
      </c>
      <c r="H10148" t="s">
        <v>663</v>
      </c>
      <c r="I10148">
        <v>5</v>
      </c>
      <c r="J10148">
        <v>0</v>
      </c>
      <c r="K10148" s="1">
        <v>293907</v>
      </c>
    </row>
    <row r="10149" spans="1:11" x14ac:dyDescent="0.25">
      <c r="A10149" t="s">
        <v>326</v>
      </c>
      <c r="B10149" t="s">
        <v>658</v>
      </c>
      <c r="C10149" t="s">
        <v>875</v>
      </c>
      <c r="D10149" t="s">
        <v>14</v>
      </c>
      <c r="E10149">
        <v>7</v>
      </c>
      <c r="F10149" s="2">
        <f>DATE(2026,IF(Tabla1[[#This Row],[Mes de Fecha]]="Septiembre",9,10),Tabla1[[#This Row],[Día de Fecha]])</f>
        <v>46302</v>
      </c>
      <c r="G10149">
        <v>1082841571</v>
      </c>
      <c r="H10149" t="s">
        <v>664</v>
      </c>
      <c r="I10149">
        <v>10</v>
      </c>
      <c r="J10149">
        <v>0</v>
      </c>
      <c r="K10149" s="1">
        <v>537396</v>
      </c>
    </row>
    <row r="10150" spans="1:11" x14ac:dyDescent="0.25">
      <c r="A10150" t="s">
        <v>326</v>
      </c>
      <c r="B10150" t="s">
        <v>658</v>
      </c>
      <c r="C10150" t="s">
        <v>875</v>
      </c>
      <c r="D10150" t="s">
        <v>14</v>
      </c>
      <c r="E10150">
        <v>7</v>
      </c>
      <c r="F10150" s="2">
        <f>DATE(2026,IF(Tabla1[[#This Row],[Mes de Fecha]]="Septiembre",9,10),Tabla1[[#This Row],[Día de Fecha]])</f>
        <v>46302</v>
      </c>
      <c r="G10150">
        <v>1098794789</v>
      </c>
      <c r="H10150" t="s">
        <v>665</v>
      </c>
      <c r="I10150">
        <v>16</v>
      </c>
      <c r="J10150">
        <v>0</v>
      </c>
      <c r="K10150" s="1">
        <v>776598</v>
      </c>
    </row>
    <row r="10151" spans="1:11" x14ac:dyDescent="0.25">
      <c r="A10151" t="s">
        <v>326</v>
      </c>
      <c r="B10151" t="s">
        <v>729</v>
      </c>
      <c r="C10151" t="s">
        <v>875</v>
      </c>
      <c r="D10151" t="s">
        <v>11</v>
      </c>
      <c r="E10151">
        <v>23</v>
      </c>
      <c r="F10151" s="2">
        <f>DATE(2026,IF(Tabla1[[#This Row],[Mes de Fecha]]="Septiembre",9,10),Tabla1[[#This Row],[Día de Fecha]])</f>
        <v>46288</v>
      </c>
      <c r="I10151">
        <v>0</v>
      </c>
      <c r="J10151" s="1">
        <v>14526974</v>
      </c>
      <c r="K10151">
        <v>0</v>
      </c>
    </row>
    <row r="10152" spans="1:11" x14ac:dyDescent="0.25">
      <c r="A10152" t="s">
        <v>326</v>
      </c>
      <c r="B10152" t="s">
        <v>729</v>
      </c>
      <c r="C10152" t="s">
        <v>875</v>
      </c>
      <c r="D10152" t="s">
        <v>11</v>
      </c>
      <c r="E10152">
        <v>23</v>
      </c>
      <c r="F10152" s="2">
        <f>DATE(2026,IF(Tabla1[[#This Row],[Mes de Fecha]]="Septiembre",9,10),Tabla1[[#This Row],[Día de Fecha]])</f>
        <v>46288</v>
      </c>
      <c r="G10152">
        <v>1003535194</v>
      </c>
      <c r="H10152" t="s">
        <v>730</v>
      </c>
      <c r="I10152">
        <v>21</v>
      </c>
      <c r="J10152">
        <v>0</v>
      </c>
      <c r="K10152" s="1">
        <v>1112565</v>
      </c>
    </row>
    <row r="10153" spans="1:11" x14ac:dyDescent="0.25">
      <c r="A10153" t="s">
        <v>326</v>
      </c>
      <c r="B10153" t="s">
        <v>729</v>
      </c>
      <c r="C10153" t="s">
        <v>875</v>
      </c>
      <c r="D10153" t="s">
        <v>11</v>
      </c>
      <c r="E10153">
        <v>23</v>
      </c>
      <c r="F10153" s="2">
        <f>DATE(2026,IF(Tabla1[[#This Row],[Mes de Fecha]]="Septiembre",9,10),Tabla1[[#This Row],[Día de Fecha]])</f>
        <v>46288</v>
      </c>
      <c r="G10153">
        <v>1004306662</v>
      </c>
      <c r="H10153" t="s">
        <v>662</v>
      </c>
      <c r="I10153">
        <v>89</v>
      </c>
      <c r="J10153">
        <v>0</v>
      </c>
      <c r="K10153" s="1">
        <v>4752525</v>
      </c>
    </row>
    <row r="10154" spans="1:11" x14ac:dyDescent="0.25">
      <c r="A10154" t="s">
        <v>326</v>
      </c>
      <c r="B10154" t="s">
        <v>729</v>
      </c>
      <c r="C10154" t="s">
        <v>875</v>
      </c>
      <c r="D10154" t="s">
        <v>11</v>
      </c>
      <c r="E10154">
        <v>23</v>
      </c>
      <c r="F10154" s="2">
        <f>DATE(2026,IF(Tabla1[[#This Row],[Mes de Fecha]]="Septiembre",9,10),Tabla1[[#This Row],[Día de Fecha]])</f>
        <v>46288</v>
      </c>
      <c r="G10154">
        <v>1065667405</v>
      </c>
      <c r="H10154" t="s">
        <v>666</v>
      </c>
      <c r="I10154">
        <v>51</v>
      </c>
      <c r="J10154">
        <v>0</v>
      </c>
      <c r="K10154" s="1">
        <v>3050297</v>
      </c>
    </row>
    <row r="10155" spans="1:11" x14ac:dyDescent="0.25">
      <c r="A10155" t="s">
        <v>326</v>
      </c>
      <c r="B10155" t="s">
        <v>729</v>
      </c>
      <c r="C10155" t="s">
        <v>875</v>
      </c>
      <c r="D10155" t="s">
        <v>11</v>
      </c>
      <c r="E10155">
        <v>23</v>
      </c>
      <c r="F10155" s="2">
        <f>DATE(2026,IF(Tabla1[[#This Row],[Mes de Fecha]]="Septiembre",9,10),Tabla1[[#This Row],[Día de Fecha]])</f>
        <v>46288</v>
      </c>
      <c r="G10155">
        <v>1065851754</v>
      </c>
      <c r="H10155" t="s">
        <v>731</v>
      </c>
      <c r="I10155">
        <v>10</v>
      </c>
      <c r="J10155">
        <v>0</v>
      </c>
      <c r="K10155" s="1">
        <v>554117</v>
      </c>
    </row>
    <row r="10156" spans="1:11" x14ac:dyDescent="0.25">
      <c r="A10156" t="s">
        <v>326</v>
      </c>
      <c r="B10156" t="s">
        <v>729</v>
      </c>
      <c r="C10156" t="s">
        <v>875</v>
      </c>
      <c r="D10156" t="s">
        <v>11</v>
      </c>
      <c r="E10156">
        <v>23</v>
      </c>
      <c r="F10156" s="2">
        <f>DATE(2026,IF(Tabla1[[#This Row],[Mes de Fecha]]="Septiembre",9,10),Tabla1[[#This Row],[Día de Fecha]])</f>
        <v>46288</v>
      </c>
      <c r="G10156">
        <v>1066270050</v>
      </c>
      <c r="H10156" t="s">
        <v>661</v>
      </c>
      <c r="I10156">
        <v>53</v>
      </c>
      <c r="J10156">
        <v>0</v>
      </c>
      <c r="K10156" s="1">
        <v>2959920</v>
      </c>
    </row>
    <row r="10157" spans="1:11" x14ac:dyDescent="0.25">
      <c r="A10157" t="s">
        <v>326</v>
      </c>
      <c r="B10157" t="s">
        <v>729</v>
      </c>
      <c r="C10157" t="s">
        <v>875</v>
      </c>
      <c r="D10157" t="s">
        <v>11</v>
      </c>
      <c r="E10157">
        <v>24</v>
      </c>
      <c r="F10157" s="2">
        <f>DATE(2026,IF(Tabla1[[#This Row],[Mes de Fecha]]="Septiembre",9,10),Tabla1[[#This Row],[Día de Fecha]])</f>
        <v>46289</v>
      </c>
      <c r="I10157">
        <v>0</v>
      </c>
      <c r="J10157" s="1">
        <v>22191588</v>
      </c>
      <c r="K10157">
        <v>0</v>
      </c>
    </row>
    <row r="10158" spans="1:11" x14ac:dyDescent="0.25">
      <c r="A10158" t="s">
        <v>326</v>
      </c>
      <c r="B10158" t="s">
        <v>729</v>
      </c>
      <c r="C10158" t="s">
        <v>875</v>
      </c>
      <c r="D10158" t="s">
        <v>11</v>
      </c>
      <c r="E10158">
        <v>24</v>
      </c>
      <c r="F10158" s="2">
        <f>DATE(2026,IF(Tabla1[[#This Row],[Mes de Fecha]]="Septiembre",9,10),Tabla1[[#This Row],[Día de Fecha]])</f>
        <v>46289</v>
      </c>
      <c r="G10158">
        <v>1003535194</v>
      </c>
      <c r="H10158" t="s">
        <v>730</v>
      </c>
      <c r="I10158">
        <v>49</v>
      </c>
      <c r="J10158">
        <v>0</v>
      </c>
      <c r="K10158" s="1">
        <v>2775213</v>
      </c>
    </row>
    <row r="10159" spans="1:11" x14ac:dyDescent="0.25">
      <c r="A10159" t="s">
        <v>326</v>
      </c>
      <c r="B10159" t="s">
        <v>729</v>
      </c>
      <c r="C10159" t="s">
        <v>875</v>
      </c>
      <c r="D10159" t="s">
        <v>11</v>
      </c>
      <c r="E10159">
        <v>24</v>
      </c>
      <c r="F10159" s="2">
        <f>DATE(2026,IF(Tabla1[[#This Row],[Mes de Fecha]]="Septiembre",9,10),Tabla1[[#This Row],[Día de Fecha]])</f>
        <v>46289</v>
      </c>
      <c r="G10159">
        <v>1004306662</v>
      </c>
      <c r="H10159" t="s">
        <v>662</v>
      </c>
      <c r="I10159">
        <v>140</v>
      </c>
      <c r="J10159">
        <v>0</v>
      </c>
      <c r="K10159" s="1">
        <v>7933115</v>
      </c>
    </row>
    <row r="10160" spans="1:11" x14ac:dyDescent="0.25">
      <c r="A10160" t="s">
        <v>326</v>
      </c>
      <c r="B10160" t="s">
        <v>729</v>
      </c>
      <c r="C10160" t="s">
        <v>875</v>
      </c>
      <c r="D10160" t="s">
        <v>11</v>
      </c>
      <c r="E10160">
        <v>24</v>
      </c>
      <c r="F10160" s="2">
        <f>DATE(2026,IF(Tabla1[[#This Row],[Mes de Fecha]]="Septiembre",9,10),Tabla1[[#This Row],[Día de Fecha]])</f>
        <v>46289</v>
      </c>
      <c r="G10160">
        <v>1065667405</v>
      </c>
      <c r="H10160" t="s">
        <v>666</v>
      </c>
      <c r="I10160">
        <v>2</v>
      </c>
      <c r="J10160">
        <v>0</v>
      </c>
      <c r="K10160" s="1">
        <v>159580</v>
      </c>
    </row>
    <row r="10161" spans="1:11" x14ac:dyDescent="0.25">
      <c r="A10161" t="s">
        <v>326</v>
      </c>
      <c r="B10161" t="s">
        <v>729</v>
      </c>
      <c r="C10161" t="s">
        <v>875</v>
      </c>
      <c r="D10161" t="s">
        <v>11</v>
      </c>
      <c r="E10161">
        <v>24</v>
      </c>
      <c r="F10161" s="2">
        <f>DATE(2026,IF(Tabla1[[#This Row],[Mes de Fecha]]="Septiembre",9,10),Tabla1[[#This Row],[Día de Fecha]])</f>
        <v>46289</v>
      </c>
      <c r="G10161">
        <v>1065851754</v>
      </c>
      <c r="H10161" t="s">
        <v>731</v>
      </c>
      <c r="I10161">
        <v>15</v>
      </c>
      <c r="J10161">
        <v>0</v>
      </c>
      <c r="K10161" s="1">
        <v>988868</v>
      </c>
    </row>
    <row r="10162" spans="1:11" x14ac:dyDescent="0.25">
      <c r="A10162" t="s">
        <v>326</v>
      </c>
      <c r="B10162" t="s">
        <v>729</v>
      </c>
      <c r="C10162" t="s">
        <v>875</v>
      </c>
      <c r="D10162" t="s">
        <v>11</v>
      </c>
      <c r="E10162">
        <v>24</v>
      </c>
      <c r="F10162" s="2">
        <f>DATE(2026,IF(Tabla1[[#This Row],[Mes de Fecha]]="Septiembre",9,10),Tabla1[[#This Row],[Día de Fecha]])</f>
        <v>46289</v>
      </c>
      <c r="G10162">
        <v>1066270050</v>
      </c>
      <c r="H10162" t="s">
        <v>661</v>
      </c>
      <c r="I10162">
        <v>113</v>
      </c>
      <c r="J10162">
        <v>0</v>
      </c>
      <c r="K10162" s="1">
        <v>6156980</v>
      </c>
    </row>
    <row r="10163" spans="1:11" x14ac:dyDescent="0.25">
      <c r="A10163" t="s">
        <v>326</v>
      </c>
      <c r="B10163" t="s">
        <v>729</v>
      </c>
      <c r="C10163" t="s">
        <v>875</v>
      </c>
      <c r="D10163" t="s">
        <v>11</v>
      </c>
      <c r="E10163">
        <v>25</v>
      </c>
      <c r="F10163" s="2">
        <f>DATE(2026,IF(Tabla1[[#This Row],[Mes de Fecha]]="Septiembre",9,10),Tabla1[[#This Row],[Día de Fecha]])</f>
        <v>46290</v>
      </c>
      <c r="I10163">
        <v>0</v>
      </c>
      <c r="J10163" s="1">
        <v>8971985</v>
      </c>
      <c r="K10163">
        <v>0</v>
      </c>
    </row>
    <row r="10164" spans="1:11" x14ac:dyDescent="0.25">
      <c r="A10164" t="s">
        <v>326</v>
      </c>
      <c r="B10164" t="s">
        <v>729</v>
      </c>
      <c r="C10164" t="s">
        <v>875</v>
      </c>
      <c r="D10164" t="s">
        <v>11</v>
      </c>
      <c r="E10164">
        <v>25</v>
      </c>
      <c r="F10164" s="2">
        <f>DATE(2026,IF(Tabla1[[#This Row],[Mes de Fecha]]="Septiembre",9,10),Tabla1[[#This Row],[Día de Fecha]])</f>
        <v>46290</v>
      </c>
      <c r="G10164">
        <v>1003535194</v>
      </c>
      <c r="H10164" t="s">
        <v>730</v>
      </c>
      <c r="I10164">
        <v>32</v>
      </c>
      <c r="J10164">
        <v>0</v>
      </c>
      <c r="K10164" s="1">
        <v>1757017</v>
      </c>
    </row>
    <row r="10165" spans="1:11" x14ac:dyDescent="0.25">
      <c r="A10165" t="s">
        <v>326</v>
      </c>
      <c r="B10165" t="s">
        <v>729</v>
      </c>
      <c r="C10165" t="s">
        <v>875</v>
      </c>
      <c r="D10165" t="s">
        <v>11</v>
      </c>
      <c r="E10165">
        <v>25</v>
      </c>
      <c r="F10165" s="2">
        <f>DATE(2026,IF(Tabla1[[#This Row],[Mes de Fecha]]="Septiembre",9,10),Tabla1[[#This Row],[Día de Fecha]])</f>
        <v>46290</v>
      </c>
      <c r="G10165">
        <v>1004306662</v>
      </c>
      <c r="H10165" t="s">
        <v>662</v>
      </c>
      <c r="I10165">
        <v>69</v>
      </c>
      <c r="J10165">
        <v>0</v>
      </c>
      <c r="K10165" s="1">
        <v>3724039</v>
      </c>
    </row>
    <row r="10166" spans="1:11" x14ac:dyDescent="0.25">
      <c r="A10166" t="s">
        <v>326</v>
      </c>
      <c r="B10166" t="s">
        <v>729</v>
      </c>
      <c r="C10166" t="s">
        <v>875</v>
      </c>
      <c r="D10166" t="s">
        <v>11</v>
      </c>
      <c r="E10166">
        <v>25</v>
      </c>
      <c r="F10166" s="2">
        <f>DATE(2026,IF(Tabla1[[#This Row],[Mes de Fecha]]="Septiembre",9,10),Tabla1[[#This Row],[Día de Fecha]])</f>
        <v>46290</v>
      </c>
      <c r="G10166">
        <v>1065574990</v>
      </c>
      <c r="H10166" t="s">
        <v>732</v>
      </c>
      <c r="I10166">
        <v>6</v>
      </c>
      <c r="J10166">
        <v>0</v>
      </c>
      <c r="K10166" s="1">
        <v>394706</v>
      </c>
    </row>
    <row r="10167" spans="1:11" x14ac:dyDescent="0.25">
      <c r="A10167" t="s">
        <v>326</v>
      </c>
      <c r="B10167" t="s">
        <v>729</v>
      </c>
      <c r="C10167" t="s">
        <v>875</v>
      </c>
      <c r="D10167" t="s">
        <v>11</v>
      </c>
      <c r="E10167">
        <v>25</v>
      </c>
      <c r="F10167" s="2">
        <f>DATE(2026,IF(Tabla1[[#This Row],[Mes de Fecha]]="Septiembre",9,10),Tabla1[[#This Row],[Día de Fecha]])</f>
        <v>46290</v>
      </c>
      <c r="G10167">
        <v>1065851754</v>
      </c>
      <c r="H10167" t="s">
        <v>731</v>
      </c>
      <c r="I10167">
        <v>8</v>
      </c>
      <c r="J10167">
        <v>0</v>
      </c>
      <c r="K10167" s="1">
        <v>430338</v>
      </c>
    </row>
    <row r="10168" spans="1:11" x14ac:dyDescent="0.25">
      <c r="A10168" t="s">
        <v>326</v>
      </c>
      <c r="B10168" t="s">
        <v>729</v>
      </c>
      <c r="C10168" t="s">
        <v>875</v>
      </c>
      <c r="D10168" t="s">
        <v>11</v>
      </c>
      <c r="E10168">
        <v>25</v>
      </c>
      <c r="F10168" s="2">
        <f>DATE(2026,IF(Tabla1[[#This Row],[Mes de Fecha]]="Septiembre",9,10),Tabla1[[#This Row],[Día de Fecha]])</f>
        <v>46290</v>
      </c>
      <c r="G10168">
        <v>1066270050</v>
      </c>
      <c r="H10168" t="s">
        <v>661</v>
      </c>
      <c r="I10168">
        <v>51</v>
      </c>
      <c r="J10168">
        <v>0</v>
      </c>
      <c r="K10168" s="1">
        <v>2665886</v>
      </c>
    </row>
    <row r="10169" spans="1:11" x14ac:dyDescent="0.25">
      <c r="A10169" t="s">
        <v>326</v>
      </c>
      <c r="B10169" t="s">
        <v>729</v>
      </c>
      <c r="C10169" t="s">
        <v>875</v>
      </c>
      <c r="D10169" t="s">
        <v>11</v>
      </c>
      <c r="E10169">
        <v>26</v>
      </c>
      <c r="F10169" s="2">
        <f>DATE(2026,IF(Tabla1[[#This Row],[Mes de Fecha]]="Septiembre",9,10),Tabla1[[#This Row],[Día de Fecha]])</f>
        <v>46291</v>
      </c>
      <c r="I10169">
        <v>0</v>
      </c>
      <c r="J10169" s="1">
        <v>31821900</v>
      </c>
      <c r="K10169">
        <v>0</v>
      </c>
    </row>
    <row r="10170" spans="1:11" x14ac:dyDescent="0.25">
      <c r="A10170" t="s">
        <v>326</v>
      </c>
      <c r="B10170" t="s">
        <v>729</v>
      </c>
      <c r="C10170" t="s">
        <v>875</v>
      </c>
      <c r="D10170" t="s">
        <v>11</v>
      </c>
      <c r="E10170">
        <v>26</v>
      </c>
      <c r="F10170" s="2">
        <f>DATE(2026,IF(Tabla1[[#This Row],[Mes de Fecha]]="Septiembre",9,10),Tabla1[[#This Row],[Día de Fecha]])</f>
        <v>46291</v>
      </c>
      <c r="G10170">
        <v>1003535194</v>
      </c>
      <c r="H10170" t="s">
        <v>730</v>
      </c>
      <c r="I10170">
        <v>53</v>
      </c>
      <c r="J10170">
        <v>0</v>
      </c>
      <c r="K10170" s="1">
        <v>2913702</v>
      </c>
    </row>
    <row r="10171" spans="1:11" x14ac:dyDescent="0.25">
      <c r="A10171" t="s">
        <v>326</v>
      </c>
      <c r="B10171" t="s">
        <v>729</v>
      </c>
      <c r="C10171" t="s">
        <v>875</v>
      </c>
      <c r="D10171" t="s">
        <v>11</v>
      </c>
      <c r="E10171">
        <v>26</v>
      </c>
      <c r="F10171" s="2">
        <f>DATE(2026,IF(Tabla1[[#This Row],[Mes de Fecha]]="Septiembre",9,10),Tabla1[[#This Row],[Día de Fecha]])</f>
        <v>46291</v>
      </c>
      <c r="G10171">
        <v>1004306662</v>
      </c>
      <c r="H10171" t="s">
        <v>662</v>
      </c>
      <c r="I10171">
        <v>163</v>
      </c>
      <c r="J10171">
        <v>0</v>
      </c>
      <c r="K10171" s="1">
        <v>8936447</v>
      </c>
    </row>
    <row r="10172" spans="1:11" x14ac:dyDescent="0.25">
      <c r="A10172" t="s">
        <v>326</v>
      </c>
      <c r="B10172" t="s">
        <v>729</v>
      </c>
      <c r="C10172" t="s">
        <v>875</v>
      </c>
      <c r="D10172" t="s">
        <v>11</v>
      </c>
      <c r="E10172">
        <v>26</v>
      </c>
      <c r="F10172" s="2">
        <f>DATE(2026,IF(Tabla1[[#This Row],[Mes de Fecha]]="Septiembre",9,10),Tabla1[[#This Row],[Día de Fecha]])</f>
        <v>46291</v>
      </c>
      <c r="G10172">
        <v>1065574990</v>
      </c>
      <c r="H10172" t="s">
        <v>732</v>
      </c>
      <c r="I10172">
        <v>46</v>
      </c>
      <c r="J10172">
        <v>0</v>
      </c>
      <c r="K10172" s="1">
        <v>2483365</v>
      </c>
    </row>
    <row r="10173" spans="1:11" x14ac:dyDescent="0.25">
      <c r="A10173" t="s">
        <v>326</v>
      </c>
      <c r="B10173" t="s">
        <v>729</v>
      </c>
      <c r="C10173" t="s">
        <v>875</v>
      </c>
      <c r="D10173" t="s">
        <v>11</v>
      </c>
      <c r="E10173">
        <v>26</v>
      </c>
      <c r="F10173" s="2">
        <f>DATE(2026,IF(Tabla1[[#This Row],[Mes de Fecha]]="Septiembre",9,10),Tabla1[[#This Row],[Día de Fecha]])</f>
        <v>46291</v>
      </c>
      <c r="G10173">
        <v>1065851754</v>
      </c>
      <c r="H10173" t="s">
        <v>731</v>
      </c>
      <c r="I10173">
        <v>-1</v>
      </c>
      <c r="J10173">
        <v>0</v>
      </c>
      <c r="K10173" s="1">
        <v>-46177</v>
      </c>
    </row>
    <row r="10174" spans="1:11" x14ac:dyDescent="0.25">
      <c r="A10174" t="s">
        <v>326</v>
      </c>
      <c r="B10174" t="s">
        <v>729</v>
      </c>
      <c r="C10174" t="s">
        <v>875</v>
      </c>
      <c r="D10174" t="s">
        <v>11</v>
      </c>
      <c r="E10174">
        <v>26</v>
      </c>
      <c r="F10174" s="2">
        <f>DATE(2026,IF(Tabla1[[#This Row],[Mes de Fecha]]="Septiembre",9,10),Tabla1[[#This Row],[Día de Fecha]])</f>
        <v>46291</v>
      </c>
      <c r="G10174">
        <v>1066270050</v>
      </c>
      <c r="H10174" t="s">
        <v>661</v>
      </c>
      <c r="I10174">
        <v>132</v>
      </c>
      <c r="J10174">
        <v>0</v>
      </c>
      <c r="K10174" s="1">
        <v>7633073</v>
      </c>
    </row>
    <row r="10175" spans="1:11" x14ac:dyDescent="0.25">
      <c r="A10175" t="s">
        <v>326</v>
      </c>
      <c r="B10175" t="s">
        <v>729</v>
      </c>
      <c r="C10175" t="s">
        <v>875</v>
      </c>
      <c r="D10175" t="s">
        <v>11</v>
      </c>
      <c r="E10175">
        <v>27</v>
      </c>
      <c r="F10175" s="2">
        <f>DATE(2026,IF(Tabla1[[#This Row],[Mes de Fecha]]="Septiembre",9,10),Tabla1[[#This Row],[Día de Fecha]])</f>
        <v>46292</v>
      </c>
      <c r="I10175">
        <v>0</v>
      </c>
      <c r="J10175" s="1">
        <v>25209351</v>
      </c>
      <c r="K10175">
        <v>0</v>
      </c>
    </row>
    <row r="10176" spans="1:11" x14ac:dyDescent="0.25">
      <c r="A10176" t="s">
        <v>326</v>
      </c>
      <c r="B10176" t="s">
        <v>729</v>
      </c>
      <c r="C10176" t="s">
        <v>875</v>
      </c>
      <c r="D10176" t="s">
        <v>11</v>
      </c>
      <c r="E10176">
        <v>27</v>
      </c>
      <c r="F10176" s="2">
        <f>DATE(2026,IF(Tabla1[[#This Row],[Mes de Fecha]]="Septiembre",9,10),Tabla1[[#This Row],[Día de Fecha]])</f>
        <v>46292</v>
      </c>
      <c r="G10176">
        <v>1003535194</v>
      </c>
      <c r="H10176" t="s">
        <v>730</v>
      </c>
      <c r="I10176">
        <v>58</v>
      </c>
      <c r="J10176">
        <v>0</v>
      </c>
      <c r="K10176" s="1">
        <v>3152901</v>
      </c>
    </row>
    <row r="10177" spans="1:11" x14ac:dyDescent="0.25">
      <c r="A10177" t="s">
        <v>326</v>
      </c>
      <c r="B10177" t="s">
        <v>729</v>
      </c>
      <c r="C10177" t="s">
        <v>875</v>
      </c>
      <c r="D10177" t="s">
        <v>11</v>
      </c>
      <c r="E10177">
        <v>27</v>
      </c>
      <c r="F10177" s="2">
        <f>DATE(2026,IF(Tabla1[[#This Row],[Mes de Fecha]]="Septiembre",9,10),Tabla1[[#This Row],[Día de Fecha]])</f>
        <v>46292</v>
      </c>
      <c r="G10177">
        <v>1004306662</v>
      </c>
      <c r="H10177" t="s">
        <v>662</v>
      </c>
      <c r="I10177">
        <v>158</v>
      </c>
      <c r="J10177">
        <v>0</v>
      </c>
      <c r="K10177" s="1">
        <v>8987026</v>
      </c>
    </row>
    <row r="10178" spans="1:11" x14ac:dyDescent="0.25">
      <c r="A10178" t="s">
        <v>326</v>
      </c>
      <c r="B10178" t="s">
        <v>729</v>
      </c>
      <c r="C10178" t="s">
        <v>875</v>
      </c>
      <c r="D10178" t="s">
        <v>11</v>
      </c>
      <c r="E10178">
        <v>27</v>
      </c>
      <c r="F10178" s="2">
        <f>DATE(2026,IF(Tabla1[[#This Row],[Mes de Fecha]]="Septiembre",9,10),Tabla1[[#This Row],[Día de Fecha]])</f>
        <v>46292</v>
      </c>
      <c r="G10178">
        <v>1065574990</v>
      </c>
      <c r="H10178" t="s">
        <v>732</v>
      </c>
      <c r="I10178">
        <v>28</v>
      </c>
      <c r="J10178">
        <v>0</v>
      </c>
      <c r="K10178" s="1">
        <v>1887439</v>
      </c>
    </row>
    <row r="10179" spans="1:11" x14ac:dyDescent="0.25">
      <c r="A10179" t="s">
        <v>326</v>
      </c>
      <c r="B10179" t="s">
        <v>729</v>
      </c>
      <c r="C10179" t="s">
        <v>875</v>
      </c>
      <c r="D10179" t="s">
        <v>11</v>
      </c>
      <c r="E10179">
        <v>27</v>
      </c>
      <c r="F10179" s="2">
        <f>DATE(2026,IF(Tabla1[[#This Row],[Mes de Fecha]]="Septiembre",9,10),Tabla1[[#This Row],[Día de Fecha]])</f>
        <v>46292</v>
      </c>
      <c r="G10179">
        <v>1066270050</v>
      </c>
      <c r="H10179" t="s">
        <v>661</v>
      </c>
      <c r="I10179">
        <v>112</v>
      </c>
      <c r="J10179">
        <v>0</v>
      </c>
      <c r="K10179" s="1">
        <v>6297572</v>
      </c>
    </row>
    <row r="10180" spans="1:11" x14ac:dyDescent="0.25">
      <c r="A10180" t="s">
        <v>326</v>
      </c>
      <c r="B10180" t="s">
        <v>729</v>
      </c>
      <c r="C10180" t="s">
        <v>875</v>
      </c>
      <c r="D10180" t="s">
        <v>11</v>
      </c>
      <c r="E10180">
        <v>28</v>
      </c>
      <c r="F10180" s="2">
        <f>DATE(2026,IF(Tabla1[[#This Row],[Mes de Fecha]]="Septiembre",9,10),Tabla1[[#This Row],[Día de Fecha]])</f>
        <v>46293</v>
      </c>
      <c r="I10180">
        <v>0</v>
      </c>
      <c r="J10180" s="1">
        <v>13874192</v>
      </c>
      <c r="K10180">
        <v>0</v>
      </c>
    </row>
    <row r="10181" spans="1:11" x14ac:dyDescent="0.25">
      <c r="A10181" t="s">
        <v>326</v>
      </c>
      <c r="B10181" t="s">
        <v>729</v>
      </c>
      <c r="C10181" t="s">
        <v>875</v>
      </c>
      <c r="D10181" t="s">
        <v>11</v>
      </c>
      <c r="E10181">
        <v>28</v>
      </c>
      <c r="F10181" s="2">
        <f>DATE(2026,IF(Tabla1[[#This Row],[Mes de Fecha]]="Septiembre",9,10),Tabla1[[#This Row],[Día de Fecha]])</f>
        <v>46293</v>
      </c>
      <c r="G10181">
        <v>1003535194</v>
      </c>
      <c r="H10181" t="s">
        <v>730</v>
      </c>
      <c r="I10181">
        <v>12</v>
      </c>
      <c r="J10181">
        <v>0</v>
      </c>
      <c r="K10181" s="1">
        <v>806220</v>
      </c>
    </row>
    <row r="10182" spans="1:11" x14ac:dyDescent="0.25">
      <c r="A10182" t="s">
        <v>326</v>
      </c>
      <c r="B10182" t="s">
        <v>729</v>
      </c>
      <c r="C10182" t="s">
        <v>875</v>
      </c>
      <c r="D10182" t="s">
        <v>11</v>
      </c>
      <c r="E10182">
        <v>28</v>
      </c>
      <c r="F10182" s="2">
        <f>DATE(2026,IF(Tabla1[[#This Row],[Mes de Fecha]]="Septiembre",9,10),Tabla1[[#This Row],[Día de Fecha]])</f>
        <v>46293</v>
      </c>
      <c r="G10182">
        <v>1004306662</v>
      </c>
      <c r="H10182" t="s">
        <v>662</v>
      </c>
      <c r="I10182">
        <v>29</v>
      </c>
      <c r="J10182">
        <v>0</v>
      </c>
      <c r="K10182" s="1">
        <v>1767606</v>
      </c>
    </row>
    <row r="10183" spans="1:11" x14ac:dyDescent="0.25">
      <c r="A10183" t="s">
        <v>326</v>
      </c>
      <c r="B10183" t="s">
        <v>729</v>
      </c>
      <c r="C10183" t="s">
        <v>875</v>
      </c>
      <c r="D10183" t="s">
        <v>11</v>
      </c>
      <c r="E10183">
        <v>28</v>
      </c>
      <c r="F10183" s="2">
        <f>DATE(2026,IF(Tabla1[[#This Row],[Mes de Fecha]]="Septiembre",9,10),Tabla1[[#This Row],[Día de Fecha]])</f>
        <v>46293</v>
      </c>
      <c r="G10183">
        <v>1065574990</v>
      </c>
      <c r="H10183" t="s">
        <v>732</v>
      </c>
      <c r="I10183">
        <v>2</v>
      </c>
      <c r="J10183">
        <v>0</v>
      </c>
      <c r="K10183" s="1">
        <v>83950</v>
      </c>
    </row>
    <row r="10184" spans="1:11" x14ac:dyDescent="0.25">
      <c r="A10184" t="s">
        <v>326</v>
      </c>
      <c r="B10184" t="s">
        <v>729</v>
      </c>
      <c r="C10184" t="s">
        <v>875</v>
      </c>
      <c r="D10184" t="s">
        <v>11</v>
      </c>
      <c r="E10184">
        <v>28</v>
      </c>
      <c r="F10184" s="2">
        <f>DATE(2026,IF(Tabla1[[#This Row],[Mes de Fecha]]="Septiembre",9,10),Tabla1[[#This Row],[Día de Fecha]])</f>
        <v>46293</v>
      </c>
      <c r="G10184">
        <v>1065667405</v>
      </c>
      <c r="H10184" t="s">
        <v>666</v>
      </c>
      <c r="I10184">
        <v>27</v>
      </c>
      <c r="J10184">
        <v>0</v>
      </c>
      <c r="K10184" s="1">
        <v>1708951</v>
      </c>
    </row>
    <row r="10185" spans="1:11" x14ac:dyDescent="0.25">
      <c r="A10185" t="s">
        <v>326</v>
      </c>
      <c r="B10185" t="s">
        <v>729</v>
      </c>
      <c r="C10185" t="s">
        <v>875</v>
      </c>
      <c r="D10185" t="s">
        <v>11</v>
      </c>
      <c r="E10185">
        <v>28</v>
      </c>
      <c r="F10185" s="2">
        <f>DATE(2026,IF(Tabla1[[#This Row],[Mes de Fecha]]="Septiembre",9,10),Tabla1[[#This Row],[Día de Fecha]])</f>
        <v>46293</v>
      </c>
      <c r="G10185">
        <v>1065827981</v>
      </c>
      <c r="H10185" t="s">
        <v>733</v>
      </c>
      <c r="I10185">
        <v>26</v>
      </c>
      <c r="J10185">
        <v>0</v>
      </c>
      <c r="K10185" s="1">
        <v>1192144</v>
      </c>
    </row>
    <row r="10186" spans="1:11" x14ac:dyDescent="0.25">
      <c r="A10186" t="s">
        <v>326</v>
      </c>
      <c r="B10186" t="s">
        <v>729</v>
      </c>
      <c r="C10186" t="s">
        <v>875</v>
      </c>
      <c r="D10186" t="s">
        <v>11</v>
      </c>
      <c r="E10186">
        <v>28</v>
      </c>
      <c r="F10186" s="2">
        <f>DATE(2026,IF(Tabla1[[#This Row],[Mes de Fecha]]="Septiembre",9,10),Tabla1[[#This Row],[Día de Fecha]])</f>
        <v>46293</v>
      </c>
      <c r="G10186">
        <v>1066270050</v>
      </c>
      <c r="H10186" t="s">
        <v>661</v>
      </c>
      <c r="I10186">
        <v>41</v>
      </c>
      <c r="J10186">
        <v>0</v>
      </c>
      <c r="K10186" s="1">
        <v>2422521</v>
      </c>
    </row>
    <row r="10187" spans="1:11" x14ac:dyDescent="0.25">
      <c r="A10187" t="s">
        <v>326</v>
      </c>
      <c r="B10187" t="s">
        <v>729</v>
      </c>
      <c r="C10187" t="s">
        <v>875</v>
      </c>
      <c r="D10187" t="s">
        <v>11</v>
      </c>
      <c r="E10187">
        <v>29</v>
      </c>
      <c r="F10187" s="2">
        <f>DATE(2026,IF(Tabla1[[#This Row],[Mes de Fecha]]="Septiembre",9,10),Tabla1[[#This Row],[Día de Fecha]])</f>
        <v>46294</v>
      </c>
      <c r="I10187">
        <v>0</v>
      </c>
      <c r="J10187" s="1">
        <v>14820357</v>
      </c>
      <c r="K10187">
        <v>0</v>
      </c>
    </row>
    <row r="10188" spans="1:11" x14ac:dyDescent="0.25">
      <c r="A10188" t="s">
        <v>326</v>
      </c>
      <c r="B10188" t="s">
        <v>729</v>
      </c>
      <c r="C10188" t="s">
        <v>875</v>
      </c>
      <c r="D10188" t="s">
        <v>11</v>
      </c>
      <c r="E10188">
        <v>29</v>
      </c>
      <c r="F10188" s="2">
        <f>DATE(2026,IF(Tabla1[[#This Row],[Mes de Fecha]]="Septiembre",9,10),Tabla1[[#This Row],[Día de Fecha]])</f>
        <v>46294</v>
      </c>
      <c r="G10188">
        <v>1003535194</v>
      </c>
      <c r="H10188" t="s">
        <v>730</v>
      </c>
      <c r="I10188">
        <v>10</v>
      </c>
      <c r="J10188">
        <v>0</v>
      </c>
      <c r="K10188" s="1">
        <v>640338</v>
      </c>
    </row>
    <row r="10189" spans="1:11" x14ac:dyDescent="0.25">
      <c r="A10189" t="s">
        <v>326</v>
      </c>
      <c r="B10189" t="s">
        <v>729</v>
      </c>
      <c r="C10189" t="s">
        <v>875</v>
      </c>
      <c r="D10189" t="s">
        <v>11</v>
      </c>
      <c r="E10189">
        <v>29</v>
      </c>
      <c r="F10189" s="2">
        <f>DATE(2026,IF(Tabla1[[#This Row],[Mes de Fecha]]="Septiembre",9,10),Tabla1[[#This Row],[Día de Fecha]])</f>
        <v>46294</v>
      </c>
      <c r="G10189">
        <v>1004306662</v>
      </c>
      <c r="H10189" t="s">
        <v>662</v>
      </c>
      <c r="I10189">
        <v>43</v>
      </c>
      <c r="J10189">
        <v>0</v>
      </c>
      <c r="K10189" s="1">
        <v>2598995</v>
      </c>
    </row>
    <row r="10190" spans="1:11" x14ac:dyDescent="0.25">
      <c r="A10190" t="s">
        <v>326</v>
      </c>
      <c r="B10190" t="s">
        <v>729</v>
      </c>
      <c r="C10190" t="s">
        <v>875</v>
      </c>
      <c r="D10190" t="s">
        <v>11</v>
      </c>
      <c r="E10190">
        <v>29</v>
      </c>
      <c r="F10190" s="2">
        <f>DATE(2026,IF(Tabla1[[#This Row],[Mes de Fecha]]="Septiembre",9,10),Tabla1[[#This Row],[Día de Fecha]])</f>
        <v>46294</v>
      </c>
      <c r="G10190">
        <v>1065574990</v>
      </c>
      <c r="H10190" t="s">
        <v>732</v>
      </c>
      <c r="I10190">
        <v>5</v>
      </c>
      <c r="J10190">
        <v>0</v>
      </c>
      <c r="K10190" s="1">
        <v>239286</v>
      </c>
    </row>
    <row r="10191" spans="1:11" x14ac:dyDescent="0.25">
      <c r="A10191" t="s">
        <v>326</v>
      </c>
      <c r="B10191" t="s">
        <v>729</v>
      </c>
      <c r="C10191" t="s">
        <v>875</v>
      </c>
      <c r="D10191" t="s">
        <v>11</v>
      </c>
      <c r="E10191">
        <v>29</v>
      </c>
      <c r="F10191" s="2">
        <f>DATE(2026,IF(Tabla1[[#This Row],[Mes de Fecha]]="Septiembre",9,10),Tabla1[[#This Row],[Día de Fecha]])</f>
        <v>46294</v>
      </c>
      <c r="G10191">
        <v>1065667405</v>
      </c>
      <c r="H10191" t="s">
        <v>666</v>
      </c>
      <c r="I10191">
        <v>44</v>
      </c>
      <c r="J10191">
        <v>0</v>
      </c>
      <c r="K10191" s="1">
        <v>2069581</v>
      </c>
    </row>
    <row r="10192" spans="1:11" x14ac:dyDescent="0.25">
      <c r="A10192" t="s">
        <v>326</v>
      </c>
      <c r="B10192" t="s">
        <v>729</v>
      </c>
      <c r="C10192" t="s">
        <v>875</v>
      </c>
      <c r="D10192" t="s">
        <v>11</v>
      </c>
      <c r="E10192">
        <v>29</v>
      </c>
      <c r="F10192" s="2">
        <f>DATE(2026,IF(Tabla1[[#This Row],[Mes de Fecha]]="Septiembre",9,10),Tabla1[[#This Row],[Día de Fecha]])</f>
        <v>46294</v>
      </c>
      <c r="G10192">
        <v>1065827981</v>
      </c>
      <c r="H10192" t="s">
        <v>733</v>
      </c>
      <c r="I10192">
        <v>1</v>
      </c>
      <c r="J10192">
        <v>0</v>
      </c>
      <c r="K10192" s="1">
        <v>50378</v>
      </c>
    </row>
    <row r="10193" spans="1:11" x14ac:dyDescent="0.25">
      <c r="A10193" t="s">
        <v>326</v>
      </c>
      <c r="B10193" t="s">
        <v>729</v>
      </c>
      <c r="C10193" t="s">
        <v>875</v>
      </c>
      <c r="D10193" t="s">
        <v>11</v>
      </c>
      <c r="E10193">
        <v>29</v>
      </c>
      <c r="F10193" s="2">
        <f>DATE(2026,IF(Tabla1[[#This Row],[Mes de Fecha]]="Septiembre",9,10),Tabla1[[#This Row],[Día de Fecha]])</f>
        <v>46294</v>
      </c>
      <c r="G10193">
        <v>1066270050</v>
      </c>
      <c r="H10193" t="s">
        <v>661</v>
      </c>
      <c r="I10193">
        <v>49</v>
      </c>
      <c r="J10193">
        <v>0</v>
      </c>
      <c r="K10193" s="1">
        <v>2754289</v>
      </c>
    </row>
    <row r="10194" spans="1:11" x14ac:dyDescent="0.25">
      <c r="A10194" t="s">
        <v>326</v>
      </c>
      <c r="B10194" t="s">
        <v>729</v>
      </c>
      <c r="C10194" t="s">
        <v>875</v>
      </c>
      <c r="D10194" t="s">
        <v>11</v>
      </c>
      <c r="E10194">
        <v>30</v>
      </c>
      <c r="F10194" s="2">
        <f>DATE(2026,IF(Tabla1[[#This Row],[Mes de Fecha]]="Septiembre",9,10),Tabla1[[#This Row],[Día de Fecha]])</f>
        <v>46295</v>
      </c>
      <c r="I10194">
        <v>0</v>
      </c>
      <c r="J10194" s="1">
        <v>15309689</v>
      </c>
      <c r="K10194">
        <v>0</v>
      </c>
    </row>
    <row r="10195" spans="1:11" x14ac:dyDescent="0.25">
      <c r="A10195" t="s">
        <v>326</v>
      </c>
      <c r="B10195" t="s">
        <v>729</v>
      </c>
      <c r="C10195" t="s">
        <v>875</v>
      </c>
      <c r="D10195" t="s">
        <v>11</v>
      </c>
      <c r="E10195">
        <v>30</v>
      </c>
      <c r="F10195" s="2">
        <f>DATE(2026,IF(Tabla1[[#This Row],[Mes de Fecha]]="Septiembre",9,10),Tabla1[[#This Row],[Día de Fecha]])</f>
        <v>46295</v>
      </c>
      <c r="G10195">
        <v>1003535194</v>
      </c>
      <c r="H10195" t="s">
        <v>730</v>
      </c>
      <c r="I10195">
        <v>14</v>
      </c>
      <c r="J10195">
        <v>0</v>
      </c>
      <c r="K10195" s="1">
        <v>917437</v>
      </c>
    </row>
    <row r="10196" spans="1:11" x14ac:dyDescent="0.25">
      <c r="A10196" t="s">
        <v>326</v>
      </c>
      <c r="B10196" t="s">
        <v>729</v>
      </c>
      <c r="C10196" t="s">
        <v>875</v>
      </c>
      <c r="D10196" t="s">
        <v>11</v>
      </c>
      <c r="E10196">
        <v>30</v>
      </c>
      <c r="F10196" s="2">
        <f>DATE(2026,IF(Tabla1[[#This Row],[Mes de Fecha]]="Septiembre",9,10),Tabla1[[#This Row],[Día de Fecha]])</f>
        <v>46295</v>
      </c>
      <c r="G10196">
        <v>1004306662</v>
      </c>
      <c r="H10196" t="s">
        <v>662</v>
      </c>
      <c r="I10196">
        <v>31</v>
      </c>
      <c r="J10196">
        <v>0</v>
      </c>
      <c r="K10196" s="1">
        <v>1923026</v>
      </c>
    </row>
    <row r="10197" spans="1:11" x14ac:dyDescent="0.25">
      <c r="A10197" t="s">
        <v>326</v>
      </c>
      <c r="B10197" t="s">
        <v>729</v>
      </c>
      <c r="C10197" t="s">
        <v>875</v>
      </c>
      <c r="D10197" t="s">
        <v>11</v>
      </c>
      <c r="E10197">
        <v>30</v>
      </c>
      <c r="F10197" s="2">
        <f>DATE(2026,IF(Tabla1[[#This Row],[Mes de Fecha]]="Septiembre",9,10),Tabla1[[#This Row],[Día de Fecha]])</f>
        <v>46295</v>
      </c>
      <c r="G10197">
        <v>1065574990</v>
      </c>
      <c r="H10197" t="s">
        <v>732</v>
      </c>
      <c r="I10197">
        <v>15</v>
      </c>
      <c r="J10197">
        <v>0</v>
      </c>
      <c r="K10197" s="1">
        <v>732522</v>
      </c>
    </row>
    <row r="10198" spans="1:11" x14ac:dyDescent="0.25">
      <c r="A10198" t="s">
        <v>326</v>
      </c>
      <c r="B10198" t="s">
        <v>729</v>
      </c>
      <c r="C10198" t="s">
        <v>875</v>
      </c>
      <c r="D10198" t="s">
        <v>11</v>
      </c>
      <c r="E10198">
        <v>30</v>
      </c>
      <c r="F10198" s="2">
        <f>DATE(2026,IF(Tabla1[[#This Row],[Mes de Fecha]]="Septiembre",9,10),Tabla1[[#This Row],[Día de Fecha]])</f>
        <v>46295</v>
      </c>
      <c r="G10198">
        <v>1065667405</v>
      </c>
      <c r="H10198" t="s">
        <v>666</v>
      </c>
      <c r="I10198">
        <v>18</v>
      </c>
      <c r="J10198">
        <v>0</v>
      </c>
      <c r="K10198" s="1">
        <v>1217733</v>
      </c>
    </row>
    <row r="10199" spans="1:11" x14ac:dyDescent="0.25">
      <c r="A10199" t="s">
        <v>326</v>
      </c>
      <c r="B10199" t="s">
        <v>729</v>
      </c>
      <c r="C10199" t="s">
        <v>875</v>
      </c>
      <c r="D10199" t="s">
        <v>11</v>
      </c>
      <c r="E10199">
        <v>30</v>
      </c>
      <c r="F10199" s="2">
        <f>DATE(2026,IF(Tabla1[[#This Row],[Mes de Fecha]]="Septiembre",9,10),Tabla1[[#This Row],[Día de Fecha]])</f>
        <v>46295</v>
      </c>
      <c r="G10199">
        <v>1065827981</v>
      </c>
      <c r="H10199" t="s">
        <v>733</v>
      </c>
      <c r="I10199">
        <v>25</v>
      </c>
      <c r="J10199">
        <v>0</v>
      </c>
      <c r="K10199" s="1">
        <v>1427480</v>
      </c>
    </row>
    <row r="10200" spans="1:11" x14ac:dyDescent="0.25">
      <c r="A10200" t="s">
        <v>326</v>
      </c>
      <c r="B10200" t="s">
        <v>729</v>
      </c>
      <c r="C10200" t="s">
        <v>875</v>
      </c>
      <c r="D10200" t="s">
        <v>11</v>
      </c>
      <c r="E10200">
        <v>30</v>
      </c>
      <c r="F10200" s="2">
        <f>DATE(2026,IF(Tabla1[[#This Row],[Mes de Fecha]]="Septiembre",9,10),Tabla1[[#This Row],[Día de Fecha]])</f>
        <v>46295</v>
      </c>
      <c r="G10200">
        <v>1066270050</v>
      </c>
      <c r="H10200" t="s">
        <v>661</v>
      </c>
      <c r="I10200">
        <v>26</v>
      </c>
      <c r="J10200">
        <v>0</v>
      </c>
      <c r="K10200" s="1">
        <v>1440086</v>
      </c>
    </row>
    <row r="10201" spans="1:11" x14ac:dyDescent="0.25">
      <c r="A10201" t="s">
        <v>326</v>
      </c>
      <c r="B10201" t="s">
        <v>729</v>
      </c>
      <c r="C10201" t="s">
        <v>875</v>
      </c>
      <c r="D10201" t="s">
        <v>14</v>
      </c>
      <c r="E10201">
        <v>1</v>
      </c>
      <c r="F10201" s="2">
        <f>DATE(2026,IF(Tabla1[[#This Row],[Mes de Fecha]]="Septiembre",9,10),Tabla1[[#This Row],[Día de Fecha]])</f>
        <v>46296</v>
      </c>
      <c r="I10201">
        <v>0</v>
      </c>
      <c r="J10201" s="1">
        <v>10124781</v>
      </c>
      <c r="K10201">
        <v>0</v>
      </c>
    </row>
    <row r="10202" spans="1:11" x14ac:dyDescent="0.25">
      <c r="A10202" t="s">
        <v>326</v>
      </c>
      <c r="B10202" t="s">
        <v>729</v>
      </c>
      <c r="C10202" t="s">
        <v>875</v>
      </c>
      <c r="D10202" t="s">
        <v>14</v>
      </c>
      <c r="E10202">
        <v>1</v>
      </c>
      <c r="F10202" s="2">
        <f>DATE(2026,IF(Tabla1[[#This Row],[Mes de Fecha]]="Septiembre",9,10),Tabla1[[#This Row],[Día de Fecha]])</f>
        <v>46296</v>
      </c>
      <c r="G10202">
        <v>1003535194</v>
      </c>
      <c r="H10202" t="s">
        <v>730</v>
      </c>
      <c r="I10202">
        <v>9</v>
      </c>
      <c r="J10202">
        <v>0</v>
      </c>
      <c r="K10202" s="1">
        <v>583656</v>
      </c>
    </row>
    <row r="10203" spans="1:11" x14ac:dyDescent="0.25">
      <c r="A10203" t="s">
        <v>326</v>
      </c>
      <c r="B10203" t="s">
        <v>729</v>
      </c>
      <c r="C10203" t="s">
        <v>875</v>
      </c>
      <c r="D10203" t="s">
        <v>14</v>
      </c>
      <c r="E10203">
        <v>1</v>
      </c>
      <c r="F10203" s="2">
        <f>DATE(2026,IF(Tabla1[[#This Row],[Mes de Fecha]]="Septiembre",9,10),Tabla1[[#This Row],[Día de Fecha]])</f>
        <v>46296</v>
      </c>
      <c r="G10203">
        <v>1004306662</v>
      </c>
      <c r="H10203" t="s">
        <v>662</v>
      </c>
      <c r="I10203">
        <v>67</v>
      </c>
      <c r="J10203">
        <v>0</v>
      </c>
      <c r="K10203" s="1">
        <v>4230300</v>
      </c>
    </row>
    <row r="10204" spans="1:11" x14ac:dyDescent="0.25">
      <c r="A10204" t="s">
        <v>326</v>
      </c>
      <c r="B10204" t="s">
        <v>729</v>
      </c>
      <c r="C10204" t="s">
        <v>875</v>
      </c>
      <c r="D10204" t="s">
        <v>14</v>
      </c>
      <c r="E10204">
        <v>1</v>
      </c>
      <c r="F10204" s="2">
        <f>DATE(2026,IF(Tabla1[[#This Row],[Mes de Fecha]]="Septiembre",9,10),Tabla1[[#This Row],[Día de Fecha]])</f>
        <v>46296</v>
      </c>
      <c r="G10204">
        <v>1065574990</v>
      </c>
      <c r="H10204" t="s">
        <v>732</v>
      </c>
      <c r="I10204">
        <v>11</v>
      </c>
      <c r="J10204">
        <v>0</v>
      </c>
      <c r="K10204" s="1">
        <v>650799</v>
      </c>
    </row>
    <row r="10205" spans="1:11" x14ac:dyDescent="0.25">
      <c r="A10205" t="s">
        <v>326</v>
      </c>
      <c r="B10205" t="s">
        <v>729</v>
      </c>
      <c r="C10205" t="s">
        <v>875</v>
      </c>
      <c r="D10205" t="s">
        <v>14</v>
      </c>
      <c r="E10205">
        <v>1</v>
      </c>
      <c r="F10205" s="2">
        <f>DATE(2026,IF(Tabla1[[#This Row],[Mes de Fecha]]="Septiembre",9,10),Tabla1[[#This Row],[Día de Fecha]])</f>
        <v>46296</v>
      </c>
      <c r="G10205">
        <v>1065827981</v>
      </c>
      <c r="H10205" t="s">
        <v>733</v>
      </c>
      <c r="I10205">
        <v>19</v>
      </c>
      <c r="J10205">
        <v>0</v>
      </c>
      <c r="K10205" s="1">
        <v>1093740</v>
      </c>
    </row>
    <row r="10206" spans="1:11" x14ac:dyDescent="0.25">
      <c r="A10206" t="s">
        <v>326</v>
      </c>
      <c r="B10206" t="s">
        <v>729</v>
      </c>
      <c r="C10206" t="s">
        <v>875</v>
      </c>
      <c r="D10206" t="s">
        <v>14</v>
      </c>
      <c r="E10206">
        <v>1</v>
      </c>
      <c r="F10206" s="2">
        <f>DATE(2026,IF(Tabla1[[#This Row],[Mes de Fecha]]="Septiembre",9,10),Tabla1[[#This Row],[Día de Fecha]])</f>
        <v>46296</v>
      </c>
      <c r="G10206">
        <v>1066270050</v>
      </c>
      <c r="H10206" t="s">
        <v>661</v>
      </c>
      <c r="I10206">
        <v>49</v>
      </c>
      <c r="J10206">
        <v>0</v>
      </c>
      <c r="K10206" s="1">
        <v>2911810</v>
      </c>
    </row>
    <row r="10207" spans="1:11" x14ac:dyDescent="0.25">
      <c r="A10207" t="s">
        <v>326</v>
      </c>
      <c r="B10207" t="s">
        <v>729</v>
      </c>
      <c r="C10207" t="s">
        <v>875</v>
      </c>
      <c r="D10207" t="s">
        <v>14</v>
      </c>
      <c r="E10207">
        <v>2</v>
      </c>
      <c r="F10207" s="2">
        <f>DATE(2026,IF(Tabla1[[#This Row],[Mes de Fecha]]="Septiembre",9,10),Tabla1[[#This Row],[Día de Fecha]])</f>
        <v>46297</v>
      </c>
      <c r="I10207">
        <v>0</v>
      </c>
      <c r="J10207" s="1">
        <v>7708035</v>
      </c>
      <c r="K10207">
        <v>0</v>
      </c>
    </row>
    <row r="10208" spans="1:11" x14ac:dyDescent="0.25">
      <c r="A10208" t="s">
        <v>326</v>
      </c>
      <c r="B10208" t="s">
        <v>729</v>
      </c>
      <c r="C10208" t="s">
        <v>875</v>
      </c>
      <c r="D10208" t="s">
        <v>14</v>
      </c>
      <c r="E10208">
        <v>2</v>
      </c>
      <c r="F10208" s="2">
        <f>DATE(2026,IF(Tabla1[[#This Row],[Mes de Fecha]]="Septiembre",9,10),Tabla1[[#This Row],[Día de Fecha]])</f>
        <v>46297</v>
      </c>
      <c r="G10208">
        <v>1003535194</v>
      </c>
      <c r="H10208" t="s">
        <v>730</v>
      </c>
      <c r="I10208">
        <v>16</v>
      </c>
      <c r="J10208">
        <v>0</v>
      </c>
      <c r="K10208" s="1">
        <v>860673</v>
      </c>
    </row>
    <row r="10209" spans="1:11" x14ac:dyDescent="0.25">
      <c r="A10209" t="s">
        <v>326</v>
      </c>
      <c r="B10209" t="s">
        <v>729</v>
      </c>
      <c r="C10209" t="s">
        <v>875</v>
      </c>
      <c r="D10209" t="s">
        <v>14</v>
      </c>
      <c r="E10209">
        <v>2</v>
      </c>
      <c r="F10209" s="2">
        <f>DATE(2026,IF(Tabla1[[#This Row],[Mes de Fecha]]="Septiembre",9,10),Tabla1[[#This Row],[Día de Fecha]])</f>
        <v>46297</v>
      </c>
      <c r="G10209">
        <v>1004306662</v>
      </c>
      <c r="H10209" t="s">
        <v>662</v>
      </c>
      <c r="I10209">
        <v>59</v>
      </c>
      <c r="J10209">
        <v>0</v>
      </c>
      <c r="K10209" s="1">
        <v>3360927</v>
      </c>
    </row>
    <row r="10210" spans="1:11" x14ac:dyDescent="0.25">
      <c r="A10210" t="s">
        <v>326</v>
      </c>
      <c r="B10210" t="s">
        <v>729</v>
      </c>
      <c r="C10210" t="s">
        <v>875</v>
      </c>
      <c r="D10210" t="s">
        <v>14</v>
      </c>
      <c r="E10210">
        <v>2</v>
      </c>
      <c r="F10210" s="2">
        <f>DATE(2026,IF(Tabla1[[#This Row],[Mes de Fecha]]="Septiembre",9,10),Tabla1[[#This Row],[Día de Fecha]])</f>
        <v>46297</v>
      </c>
      <c r="G10210">
        <v>1007222843</v>
      </c>
      <c r="H10210" t="s">
        <v>637</v>
      </c>
      <c r="I10210">
        <v>-1</v>
      </c>
      <c r="J10210">
        <v>0</v>
      </c>
      <c r="K10210" s="1">
        <v>-113403</v>
      </c>
    </row>
    <row r="10211" spans="1:11" x14ac:dyDescent="0.25">
      <c r="A10211" t="s">
        <v>326</v>
      </c>
      <c r="B10211" t="s">
        <v>729</v>
      </c>
      <c r="C10211" t="s">
        <v>875</v>
      </c>
      <c r="D10211" t="s">
        <v>14</v>
      </c>
      <c r="E10211">
        <v>2</v>
      </c>
      <c r="F10211" s="2">
        <f>DATE(2026,IF(Tabla1[[#This Row],[Mes de Fecha]]="Septiembre",9,10),Tabla1[[#This Row],[Día de Fecha]])</f>
        <v>46297</v>
      </c>
      <c r="G10211">
        <v>1065574990</v>
      </c>
      <c r="H10211" t="s">
        <v>732</v>
      </c>
      <c r="I10211">
        <v>6</v>
      </c>
      <c r="J10211">
        <v>0</v>
      </c>
      <c r="K10211" s="1">
        <v>331639</v>
      </c>
    </row>
    <row r="10212" spans="1:11" x14ac:dyDescent="0.25">
      <c r="A10212" t="s">
        <v>326</v>
      </c>
      <c r="B10212" t="s">
        <v>729</v>
      </c>
      <c r="C10212" t="s">
        <v>875</v>
      </c>
      <c r="D10212" t="s">
        <v>14</v>
      </c>
      <c r="E10212">
        <v>2</v>
      </c>
      <c r="F10212" s="2">
        <f>DATE(2026,IF(Tabla1[[#This Row],[Mes de Fecha]]="Septiembre",9,10),Tabla1[[#This Row],[Día de Fecha]])</f>
        <v>46297</v>
      </c>
      <c r="G10212">
        <v>1065827981</v>
      </c>
      <c r="H10212" t="s">
        <v>733</v>
      </c>
      <c r="I10212">
        <v>22</v>
      </c>
      <c r="J10212">
        <v>0</v>
      </c>
      <c r="K10212" s="1">
        <v>1284791</v>
      </c>
    </row>
    <row r="10213" spans="1:11" x14ac:dyDescent="0.25">
      <c r="A10213" t="s">
        <v>326</v>
      </c>
      <c r="B10213" t="s">
        <v>729</v>
      </c>
      <c r="C10213" t="s">
        <v>875</v>
      </c>
      <c r="D10213" t="s">
        <v>14</v>
      </c>
      <c r="E10213">
        <v>2</v>
      </c>
      <c r="F10213" s="2">
        <f>DATE(2026,IF(Tabla1[[#This Row],[Mes de Fecha]]="Septiembre",9,10),Tabla1[[#This Row],[Día de Fecha]])</f>
        <v>46297</v>
      </c>
      <c r="G10213">
        <v>1066270050</v>
      </c>
      <c r="H10213" t="s">
        <v>661</v>
      </c>
      <c r="I10213">
        <v>61</v>
      </c>
      <c r="J10213">
        <v>0</v>
      </c>
      <c r="K10213" s="1">
        <v>3408952</v>
      </c>
    </row>
    <row r="10214" spans="1:11" x14ac:dyDescent="0.25">
      <c r="A10214" t="s">
        <v>326</v>
      </c>
      <c r="B10214" t="s">
        <v>729</v>
      </c>
      <c r="C10214" t="s">
        <v>875</v>
      </c>
      <c r="D10214" t="s">
        <v>14</v>
      </c>
      <c r="E10214">
        <v>3</v>
      </c>
      <c r="F10214" s="2">
        <f>DATE(2026,IF(Tabla1[[#This Row],[Mes de Fecha]]="Septiembre",9,10),Tabla1[[#This Row],[Día de Fecha]])</f>
        <v>46298</v>
      </c>
      <c r="I10214">
        <v>0</v>
      </c>
      <c r="J10214" s="1">
        <v>13385787</v>
      </c>
      <c r="K10214">
        <v>0</v>
      </c>
    </row>
    <row r="10215" spans="1:11" x14ac:dyDescent="0.25">
      <c r="A10215" t="s">
        <v>326</v>
      </c>
      <c r="B10215" t="s">
        <v>729</v>
      </c>
      <c r="C10215" t="s">
        <v>875</v>
      </c>
      <c r="D10215" t="s">
        <v>14</v>
      </c>
      <c r="E10215">
        <v>3</v>
      </c>
      <c r="F10215" s="2">
        <f>DATE(2026,IF(Tabla1[[#This Row],[Mes de Fecha]]="Septiembre",9,10),Tabla1[[#This Row],[Día de Fecha]])</f>
        <v>46298</v>
      </c>
      <c r="G10215">
        <v>1003231065</v>
      </c>
      <c r="H10215" t="s">
        <v>659</v>
      </c>
      <c r="I10215">
        <v>-1</v>
      </c>
      <c r="J10215">
        <v>0</v>
      </c>
      <c r="K10215" s="1">
        <v>-54580</v>
      </c>
    </row>
    <row r="10216" spans="1:11" x14ac:dyDescent="0.25">
      <c r="A10216" t="s">
        <v>326</v>
      </c>
      <c r="B10216" t="s">
        <v>729</v>
      </c>
      <c r="C10216" t="s">
        <v>875</v>
      </c>
      <c r="D10216" t="s">
        <v>14</v>
      </c>
      <c r="E10216">
        <v>3</v>
      </c>
      <c r="F10216" s="2">
        <f>DATE(2026,IF(Tabla1[[#This Row],[Mes de Fecha]]="Septiembre",9,10),Tabla1[[#This Row],[Día de Fecha]])</f>
        <v>46298</v>
      </c>
      <c r="G10216">
        <v>1003535194</v>
      </c>
      <c r="H10216" t="s">
        <v>730</v>
      </c>
      <c r="I10216">
        <v>42</v>
      </c>
      <c r="J10216">
        <v>0</v>
      </c>
      <c r="K10216" s="1">
        <v>2437448</v>
      </c>
    </row>
    <row r="10217" spans="1:11" x14ac:dyDescent="0.25">
      <c r="A10217" t="s">
        <v>326</v>
      </c>
      <c r="B10217" t="s">
        <v>729</v>
      </c>
      <c r="C10217" t="s">
        <v>875</v>
      </c>
      <c r="D10217" t="s">
        <v>14</v>
      </c>
      <c r="E10217">
        <v>3</v>
      </c>
      <c r="F10217" s="2">
        <f>DATE(2026,IF(Tabla1[[#This Row],[Mes de Fecha]]="Septiembre",9,10),Tabla1[[#This Row],[Día de Fecha]])</f>
        <v>46298</v>
      </c>
      <c r="G10217">
        <v>1004306662</v>
      </c>
      <c r="H10217" t="s">
        <v>662</v>
      </c>
      <c r="I10217">
        <v>114</v>
      </c>
      <c r="J10217">
        <v>0</v>
      </c>
      <c r="K10217" s="1">
        <v>5982583</v>
      </c>
    </row>
    <row r="10218" spans="1:11" x14ac:dyDescent="0.25">
      <c r="A10218" t="s">
        <v>326</v>
      </c>
      <c r="B10218" t="s">
        <v>729</v>
      </c>
      <c r="C10218" t="s">
        <v>875</v>
      </c>
      <c r="D10218" t="s">
        <v>14</v>
      </c>
      <c r="E10218">
        <v>3</v>
      </c>
      <c r="F10218" s="2">
        <f>DATE(2026,IF(Tabla1[[#This Row],[Mes de Fecha]]="Septiembre",9,10),Tabla1[[#This Row],[Día de Fecha]])</f>
        <v>46298</v>
      </c>
      <c r="G10218">
        <v>1065574990</v>
      </c>
      <c r="H10218" t="s">
        <v>732</v>
      </c>
      <c r="I10218">
        <v>18</v>
      </c>
      <c r="J10218">
        <v>0</v>
      </c>
      <c r="K10218" s="1">
        <v>924464</v>
      </c>
    </row>
    <row r="10219" spans="1:11" x14ac:dyDescent="0.25">
      <c r="A10219" t="s">
        <v>326</v>
      </c>
      <c r="B10219" t="s">
        <v>729</v>
      </c>
      <c r="C10219" t="s">
        <v>875</v>
      </c>
      <c r="D10219" t="s">
        <v>14</v>
      </c>
      <c r="E10219">
        <v>3</v>
      </c>
      <c r="F10219" s="2">
        <f>DATE(2026,IF(Tabla1[[#This Row],[Mes de Fecha]]="Septiembre",9,10),Tabla1[[#This Row],[Día de Fecha]])</f>
        <v>46298</v>
      </c>
      <c r="G10219">
        <v>1065827981</v>
      </c>
      <c r="H10219" t="s">
        <v>733</v>
      </c>
      <c r="I10219">
        <v>46</v>
      </c>
      <c r="J10219">
        <v>0</v>
      </c>
      <c r="K10219" s="1">
        <v>2528809</v>
      </c>
    </row>
    <row r="10220" spans="1:11" x14ac:dyDescent="0.25">
      <c r="A10220" t="s">
        <v>326</v>
      </c>
      <c r="B10220" t="s">
        <v>729</v>
      </c>
      <c r="C10220" t="s">
        <v>875</v>
      </c>
      <c r="D10220" t="s">
        <v>14</v>
      </c>
      <c r="E10220">
        <v>3</v>
      </c>
      <c r="F10220" s="2">
        <f>DATE(2026,IF(Tabla1[[#This Row],[Mes de Fecha]]="Septiembre",9,10),Tabla1[[#This Row],[Día de Fecha]])</f>
        <v>46298</v>
      </c>
      <c r="G10220">
        <v>1066270050</v>
      </c>
      <c r="H10220" t="s">
        <v>661</v>
      </c>
      <c r="I10220">
        <v>67</v>
      </c>
      <c r="J10220">
        <v>0</v>
      </c>
      <c r="K10220" s="1">
        <v>3864842</v>
      </c>
    </row>
    <row r="10221" spans="1:11" x14ac:dyDescent="0.25">
      <c r="A10221" t="s">
        <v>326</v>
      </c>
      <c r="B10221" t="s">
        <v>729</v>
      </c>
      <c r="C10221" t="s">
        <v>875</v>
      </c>
      <c r="D10221" t="s">
        <v>14</v>
      </c>
      <c r="E10221">
        <v>4</v>
      </c>
      <c r="F10221" s="2">
        <f>DATE(2026,IF(Tabla1[[#This Row],[Mes de Fecha]]="Septiembre",9,10),Tabla1[[#This Row],[Día de Fecha]])</f>
        <v>46299</v>
      </c>
      <c r="I10221">
        <v>0</v>
      </c>
      <c r="J10221" s="1">
        <v>9858796</v>
      </c>
      <c r="K10221">
        <v>0</v>
      </c>
    </row>
    <row r="10222" spans="1:11" x14ac:dyDescent="0.25">
      <c r="A10222" t="s">
        <v>326</v>
      </c>
      <c r="B10222" t="s">
        <v>729</v>
      </c>
      <c r="C10222" t="s">
        <v>875</v>
      </c>
      <c r="D10222" t="s">
        <v>14</v>
      </c>
      <c r="E10222">
        <v>4</v>
      </c>
      <c r="F10222" s="2">
        <f>DATE(2026,IF(Tabla1[[#This Row],[Mes de Fecha]]="Septiembre",9,10),Tabla1[[#This Row],[Día de Fecha]])</f>
        <v>46299</v>
      </c>
      <c r="G10222">
        <v>1003535194</v>
      </c>
      <c r="H10222" t="s">
        <v>730</v>
      </c>
      <c r="I10222">
        <v>27</v>
      </c>
      <c r="J10222">
        <v>0</v>
      </c>
      <c r="K10222" s="1">
        <v>1488321</v>
      </c>
    </row>
    <row r="10223" spans="1:11" x14ac:dyDescent="0.25">
      <c r="A10223" t="s">
        <v>326</v>
      </c>
      <c r="B10223" t="s">
        <v>729</v>
      </c>
      <c r="C10223" t="s">
        <v>875</v>
      </c>
      <c r="D10223" t="s">
        <v>14</v>
      </c>
      <c r="E10223">
        <v>4</v>
      </c>
      <c r="F10223" s="2">
        <f>DATE(2026,IF(Tabla1[[#This Row],[Mes de Fecha]]="Septiembre",9,10),Tabla1[[#This Row],[Día de Fecha]])</f>
        <v>46299</v>
      </c>
      <c r="G10223">
        <v>1004306662</v>
      </c>
      <c r="H10223" t="s">
        <v>662</v>
      </c>
      <c r="I10223">
        <v>78</v>
      </c>
      <c r="J10223">
        <v>0</v>
      </c>
      <c r="K10223" s="1">
        <v>4813825</v>
      </c>
    </row>
    <row r="10224" spans="1:11" x14ac:dyDescent="0.25">
      <c r="A10224" t="s">
        <v>326</v>
      </c>
      <c r="B10224" t="s">
        <v>729</v>
      </c>
      <c r="C10224" t="s">
        <v>875</v>
      </c>
      <c r="D10224" t="s">
        <v>14</v>
      </c>
      <c r="E10224">
        <v>4</v>
      </c>
      <c r="F10224" s="2">
        <f>DATE(2026,IF(Tabla1[[#This Row],[Mes de Fecha]]="Septiembre",9,10),Tabla1[[#This Row],[Día de Fecha]])</f>
        <v>46299</v>
      </c>
      <c r="G10224">
        <v>1065574990</v>
      </c>
      <c r="H10224" t="s">
        <v>732</v>
      </c>
      <c r="I10224">
        <v>36</v>
      </c>
      <c r="J10224">
        <v>0</v>
      </c>
      <c r="K10224" s="1">
        <v>2330338</v>
      </c>
    </row>
    <row r="10225" spans="1:11" x14ac:dyDescent="0.25">
      <c r="A10225" t="s">
        <v>326</v>
      </c>
      <c r="B10225" t="s">
        <v>729</v>
      </c>
      <c r="C10225" t="s">
        <v>875</v>
      </c>
      <c r="D10225" t="s">
        <v>14</v>
      </c>
      <c r="E10225">
        <v>4</v>
      </c>
      <c r="F10225" s="2">
        <f>DATE(2026,IF(Tabla1[[#This Row],[Mes de Fecha]]="Septiembre",9,10),Tabla1[[#This Row],[Día de Fecha]])</f>
        <v>46299</v>
      </c>
      <c r="G10225">
        <v>1065827981</v>
      </c>
      <c r="H10225" t="s">
        <v>733</v>
      </c>
      <c r="I10225">
        <v>33</v>
      </c>
      <c r="J10225">
        <v>0</v>
      </c>
      <c r="K10225" s="1">
        <v>2048994</v>
      </c>
    </row>
    <row r="10226" spans="1:11" x14ac:dyDescent="0.25">
      <c r="A10226" t="s">
        <v>326</v>
      </c>
      <c r="B10226" t="s">
        <v>729</v>
      </c>
      <c r="C10226" t="s">
        <v>875</v>
      </c>
      <c r="D10226" t="s">
        <v>14</v>
      </c>
      <c r="E10226">
        <v>4</v>
      </c>
      <c r="F10226" s="2">
        <f>DATE(2026,IF(Tabla1[[#This Row],[Mes de Fecha]]="Septiembre",9,10),Tabla1[[#This Row],[Día de Fecha]])</f>
        <v>46299</v>
      </c>
      <c r="G10226">
        <v>1066270050</v>
      </c>
      <c r="H10226" t="s">
        <v>661</v>
      </c>
      <c r="I10226">
        <v>68</v>
      </c>
      <c r="J10226">
        <v>0</v>
      </c>
      <c r="K10226" s="1">
        <v>3978198</v>
      </c>
    </row>
    <row r="10227" spans="1:11" x14ac:dyDescent="0.25">
      <c r="A10227" t="s">
        <v>326</v>
      </c>
      <c r="B10227" t="s">
        <v>729</v>
      </c>
      <c r="C10227" t="s">
        <v>875</v>
      </c>
      <c r="D10227" t="s">
        <v>14</v>
      </c>
      <c r="E10227">
        <v>5</v>
      </c>
      <c r="F10227" s="2">
        <f>DATE(2026,IF(Tabla1[[#This Row],[Mes de Fecha]]="Septiembre",9,10),Tabla1[[#This Row],[Día de Fecha]])</f>
        <v>46300</v>
      </c>
      <c r="I10227">
        <v>0</v>
      </c>
      <c r="J10227" s="1">
        <v>6563440</v>
      </c>
      <c r="K10227">
        <v>0</v>
      </c>
    </row>
    <row r="10228" spans="1:11" x14ac:dyDescent="0.25">
      <c r="A10228" t="s">
        <v>326</v>
      </c>
      <c r="B10228" t="s">
        <v>729</v>
      </c>
      <c r="C10228" t="s">
        <v>875</v>
      </c>
      <c r="D10228" t="s">
        <v>14</v>
      </c>
      <c r="E10228">
        <v>5</v>
      </c>
      <c r="F10228" s="2">
        <f>DATE(2026,IF(Tabla1[[#This Row],[Mes de Fecha]]="Septiembre",9,10),Tabla1[[#This Row],[Día de Fecha]])</f>
        <v>46300</v>
      </c>
      <c r="G10228">
        <v>1003535194</v>
      </c>
      <c r="H10228" t="s">
        <v>730</v>
      </c>
      <c r="I10228">
        <v>17</v>
      </c>
      <c r="J10228">
        <v>0</v>
      </c>
      <c r="K10228" s="1">
        <v>1020294</v>
      </c>
    </row>
    <row r="10229" spans="1:11" x14ac:dyDescent="0.25">
      <c r="A10229" t="s">
        <v>326</v>
      </c>
      <c r="B10229" t="s">
        <v>729</v>
      </c>
      <c r="C10229" t="s">
        <v>875</v>
      </c>
      <c r="D10229" t="s">
        <v>14</v>
      </c>
      <c r="E10229">
        <v>5</v>
      </c>
      <c r="F10229" s="2">
        <f>DATE(2026,IF(Tabla1[[#This Row],[Mes de Fecha]]="Septiembre",9,10),Tabla1[[#This Row],[Día de Fecha]])</f>
        <v>46300</v>
      </c>
      <c r="G10229">
        <v>1004306662</v>
      </c>
      <c r="H10229" t="s">
        <v>662</v>
      </c>
      <c r="I10229">
        <v>40</v>
      </c>
      <c r="J10229">
        <v>0</v>
      </c>
      <c r="K10229" s="1">
        <v>2183070</v>
      </c>
    </row>
    <row r="10230" spans="1:11" x14ac:dyDescent="0.25">
      <c r="A10230" t="s">
        <v>326</v>
      </c>
      <c r="B10230" t="s">
        <v>729</v>
      </c>
      <c r="C10230" t="s">
        <v>875</v>
      </c>
      <c r="D10230" t="s">
        <v>14</v>
      </c>
      <c r="E10230">
        <v>5</v>
      </c>
      <c r="F10230" s="2">
        <f>DATE(2026,IF(Tabla1[[#This Row],[Mes de Fecha]]="Septiembre",9,10),Tabla1[[#This Row],[Día de Fecha]])</f>
        <v>46300</v>
      </c>
      <c r="G10230">
        <v>1065574990</v>
      </c>
      <c r="H10230" t="s">
        <v>732</v>
      </c>
      <c r="I10230">
        <v>13</v>
      </c>
      <c r="J10230">
        <v>0</v>
      </c>
      <c r="K10230" s="1">
        <v>768363</v>
      </c>
    </row>
    <row r="10231" spans="1:11" x14ac:dyDescent="0.25">
      <c r="A10231" t="s">
        <v>326</v>
      </c>
      <c r="B10231" t="s">
        <v>729</v>
      </c>
      <c r="C10231" t="s">
        <v>875</v>
      </c>
      <c r="D10231" t="s">
        <v>14</v>
      </c>
      <c r="E10231">
        <v>5</v>
      </c>
      <c r="F10231" s="2">
        <f>DATE(2026,IF(Tabla1[[#This Row],[Mes de Fecha]]="Septiembre",9,10),Tabla1[[#This Row],[Día de Fecha]])</f>
        <v>46300</v>
      </c>
      <c r="G10231">
        <v>1065667405</v>
      </c>
      <c r="H10231" t="s">
        <v>666</v>
      </c>
      <c r="I10231">
        <v>47</v>
      </c>
      <c r="J10231">
        <v>0</v>
      </c>
      <c r="K10231" s="1">
        <v>3102860</v>
      </c>
    </row>
    <row r="10232" spans="1:11" x14ac:dyDescent="0.25">
      <c r="A10232" t="s">
        <v>326</v>
      </c>
      <c r="B10232" t="s">
        <v>729</v>
      </c>
      <c r="C10232" t="s">
        <v>875</v>
      </c>
      <c r="D10232" t="s">
        <v>14</v>
      </c>
      <c r="E10232">
        <v>5</v>
      </c>
      <c r="F10232" s="2">
        <f>DATE(2026,IF(Tabla1[[#This Row],[Mes de Fecha]]="Septiembre",9,10),Tabla1[[#This Row],[Día de Fecha]])</f>
        <v>46300</v>
      </c>
      <c r="G10232">
        <v>1065827981</v>
      </c>
      <c r="H10232" t="s">
        <v>733</v>
      </c>
      <c r="I10232">
        <v>12</v>
      </c>
      <c r="J10232">
        <v>0</v>
      </c>
      <c r="K10232" s="1">
        <v>940631</v>
      </c>
    </row>
    <row r="10233" spans="1:11" x14ac:dyDescent="0.25">
      <c r="A10233" t="s">
        <v>326</v>
      </c>
      <c r="B10233" t="s">
        <v>729</v>
      </c>
      <c r="C10233" t="s">
        <v>875</v>
      </c>
      <c r="D10233" t="s">
        <v>14</v>
      </c>
      <c r="E10233">
        <v>5</v>
      </c>
      <c r="F10233" s="2">
        <f>DATE(2026,IF(Tabla1[[#This Row],[Mes de Fecha]]="Septiembre",9,10),Tabla1[[#This Row],[Día de Fecha]])</f>
        <v>46300</v>
      </c>
      <c r="G10233">
        <v>1066270050</v>
      </c>
      <c r="H10233" t="s">
        <v>661</v>
      </c>
      <c r="I10233">
        <v>50</v>
      </c>
      <c r="J10233">
        <v>0</v>
      </c>
      <c r="K10233" s="1">
        <v>3073449</v>
      </c>
    </row>
    <row r="10234" spans="1:11" x14ac:dyDescent="0.25">
      <c r="A10234" t="s">
        <v>326</v>
      </c>
      <c r="B10234" t="s">
        <v>729</v>
      </c>
      <c r="C10234" t="s">
        <v>875</v>
      </c>
      <c r="D10234" t="s">
        <v>14</v>
      </c>
      <c r="E10234">
        <v>6</v>
      </c>
      <c r="F10234" s="2">
        <f>DATE(2026,IF(Tabla1[[#This Row],[Mes de Fecha]]="Septiembre",9,10),Tabla1[[#This Row],[Día de Fecha]])</f>
        <v>46301</v>
      </c>
      <c r="I10234">
        <v>0</v>
      </c>
      <c r="J10234" s="1">
        <v>3755015</v>
      </c>
      <c r="K10234">
        <v>0</v>
      </c>
    </row>
    <row r="10235" spans="1:11" x14ac:dyDescent="0.25">
      <c r="A10235" t="s">
        <v>326</v>
      </c>
      <c r="B10235" t="s">
        <v>729</v>
      </c>
      <c r="C10235" t="s">
        <v>875</v>
      </c>
      <c r="D10235" t="s">
        <v>14</v>
      </c>
      <c r="E10235">
        <v>6</v>
      </c>
      <c r="F10235" s="2">
        <f>DATE(2026,IF(Tabla1[[#This Row],[Mes de Fecha]]="Septiembre",9,10),Tabla1[[#This Row],[Día de Fecha]])</f>
        <v>46301</v>
      </c>
      <c r="G10235">
        <v>1003535194</v>
      </c>
      <c r="H10235" t="s">
        <v>730</v>
      </c>
      <c r="I10235">
        <v>3</v>
      </c>
      <c r="J10235">
        <v>0</v>
      </c>
      <c r="K10235" s="1">
        <v>243571</v>
      </c>
    </row>
    <row r="10236" spans="1:11" x14ac:dyDescent="0.25">
      <c r="A10236" t="s">
        <v>326</v>
      </c>
      <c r="B10236" t="s">
        <v>729</v>
      </c>
      <c r="C10236" t="s">
        <v>875</v>
      </c>
      <c r="D10236" t="s">
        <v>14</v>
      </c>
      <c r="E10236">
        <v>6</v>
      </c>
      <c r="F10236" s="2">
        <f>DATE(2026,IF(Tabla1[[#This Row],[Mes de Fecha]]="Septiembre",9,10),Tabla1[[#This Row],[Día de Fecha]])</f>
        <v>46301</v>
      </c>
      <c r="G10236">
        <v>1004306662</v>
      </c>
      <c r="H10236" t="s">
        <v>662</v>
      </c>
      <c r="I10236">
        <v>19</v>
      </c>
      <c r="J10236">
        <v>0</v>
      </c>
      <c r="K10236" s="1">
        <v>1192355</v>
      </c>
    </row>
    <row r="10237" spans="1:11" x14ac:dyDescent="0.25">
      <c r="A10237" t="s">
        <v>326</v>
      </c>
      <c r="B10237" t="s">
        <v>729</v>
      </c>
      <c r="C10237" t="s">
        <v>875</v>
      </c>
      <c r="D10237" t="s">
        <v>14</v>
      </c>
      <c r="E10237">
        <v>6</v>
      </c>
      <c r="F10237" s="2">
        <f>DATE(2026,IF(Tabla1[[#This Row],[Mes de Fecha]]="Septiembre",9,10),Tabla1[[#This Row],[Día de Fecha]])</f>
        <v>46301</v>
      </c>
      <c r="G10237">
        <v>1065574990</v>
      </c>
      <c r="H10237" t="s">
        <v>732</v>
      </c>
      <c r="I10237">
        <v>7</v>
      </c>
      <c r="J10237">
        <v>0</v>
      </c>
      <c r="K10237" s="1">
        <v>331639</v>
      </c>
    </row>
    <row r="10238" spans="1:11" x14ac:dyDescent="0.25">
      <c r="A10238" t="s">
        <v>326</v>
      </c>
      <c r="B10238" t="s">
        <v>729</v>
      </c>
      <c r="C10238" t="s">
        <v>875</v>
      </c>
      <c r="D10238" t="s">
        <v>14</v>
      </c>
      <c r="E10238">
        <v>6</v>
      </c>
      <c r="F10238" s="2">
        <f>DATE(2026,IF(Tabla1[[#This Row],[Mes de Fecha]]="Septiembre",9,10),Tabla1[[#This Row],[Día de Fecha]])</f>
        <v>46301</v>
      </c>
      <c r="G10238">
        <v>1065667405</v>
      </c>
      <c r="H10238" t="s">
        <v>666</v>
      </c>
      <c r="I10238">
        <v>36</v>
      </c>
      <c r="J10238">
        <v>0</v>
      </c>
      <c r="K10238" s="1">
        <v>1647483</v>
      </c>
    </row>
    <row r="10239" spans="1:11" x14ac:dyDescent="0.25">
      <c r="A10239" t="s">
        <v>326</v>
      </c>
      <c r="B10239" t="s">
        <v>729</v>
      </c>
      <c r="C10239" t="s">
        <v>875</v>
      </c>
      <c r="D10239" t="s">
        <v>14</v>
      </c>
      <c r="E10239">
        <v>6</v>
      </c>
      <c r="F10239" s="2">
        <f>DATE(2026,IF(Tabla1[[#This Row],[Mes de Fecha]]="Septiembre",9,10),Tabla1[[#This Row],[Día de Fecha]])</f>
        <v>46301</v>
      </c>
      <c r="G10239">
        <v>1065827981</v>
      </c>
      <c r="H10239" t="s">
        <v>733</v>
      </c>
      <c r="I10239">
        <v>6</v>
      </c>
      <c r="J10239">
        <v>0</v>
      </c>
      <c r="K10239" s="1">
        <v>424118</v>
      </c>
    </row>
    <row r="10240" spans="1:11" x14ac:dyDescent="0.25">
      <c r="A10240" t="s">
        <v>326</v>
      </c>
      <c r="B10240" t="s">
        <v>729</v>
      </c>
      <c r="C10240" t="s">
        <v>875</v>
      </c>
      <c r="D10240" t="s">
        <v>14</v>
      </c>
      <c r="E10240">
        <v>6</v>
      </c>
      <c r="F10240" s="2">
        <f>DATE(2026,IF(Tabla1[[#This Row],[Mes de Fecha]]="Septiembre",9,10),Tabla1[[#This Row],[Día de Fecha]])</f>
        <v>46301</v>
      </c>
      <c r="G10240">
        <v>1066270050</v>
      </c>
      <c r="H10240" t="s">
        <v>661</v>
      </c>
      <c r="I10240">
        <v>27</v>
      </c>
      <c r="J10240">
        <v>0</v>
      </c>
      <c r="K10240" s="1">
        <v>1471432</v>
      </c>
    </row>
    <row r="10241" spans="1:11" x14ac:dyDescent="0.25">
      <c r="A10241" t="s">
        <v>326</v>
      </c>
      <c r="B10241" t="s">
        <v>729</v>
      </c>
      <c r="C10241" t="s">
        <v>875</v>
      </c>
      <c r="D10241" t="s">
        <v>14</v>
      </c>
      <c r="E10241">
        <v>7</v>
      </c>
      <c r="F10241" s="2">
        <f>DATE(2026,IF(Tabla1[[#This Row],[Mes de Fecha]]="Septiembre",9,10),Tabla1[[#This Row],[Día de Fecha]])</f>
        <v>46302</v>
      </c>
      <c r="I10241">
        <v>0</v>
      </c>
      <c r="J10241" s="1">
        <v>3705606</v>
      </c>
      <c r="K10241">
        <v>0</v>
      </c>
    </row>
    <row r="10242" spans="1:11" x14ac:dyDescent="0.25">
      <c r="A10242" t="s">
        <v>326</v>
      </c>
      <c r="B10242" t="s">
        <v>729</v>
      </c>
      <c r="C10242" t="s">
        <v>875</v>
      </c>
      <c r="D10242" t="s">
        <v>14</v>
      </c>
      <c r="E10242">
        <v>7</v>
      </c>
      <c r="F10242" s="2">
        <f>DATE(2026,IF(Tabla1[[#This Row],[Mes de Fecha]]="Septiembre",9,10),Tabla1[[#This Row],[Día de Fecha]])</f>
        <v>46302</v>
      </c>
      <c r="G10242">
        <v>1003535194</v>
      </c>
      <c r="H10242" t="s">
        <v>730</v>
      </c>
      <c r="I10242">
        <v>1</v>
      </c>
      <c r="J10242">
        <v>0</v>
      </c>
      <c r="K10242" s="1">
        <v>79790</v>
      </c>
    </row>
    <row r="10243" spans="1:11" x14ac:dyDescent="0.25">
      <c r="A10243" t="s">
        <v>326</v>
      </c>
      <c r="B10243" t="s">
        <v>729</v>
      </c>
      <c r="C10243" t="s">
        <v>875</v>
      </c>
      <c r="D10243" t="s">
        <v>14</v>
      </c>
      <c r="E10243">
        <v>7</v>
      </c>
      <c r="F10243" s="2">
        <f>DATE(2026,IF(Tabla1[[#This Row],[Mes de Fecha]]="Septiembre",9,10),Tabla1[[#This Row],[Día de Fecha]])</f>
        <v>46302</v>
      </c>
      <c r="G10243">
        <v>1004306662</v>
      </c>
      <c r="H10243" t="s">
        <v>662</v>
      </c>
      <c r="I10243">
        <v>24</v>
      </c>
      <c r="J10243">
        <v>0</v>
      </c>
      <c r="K10243" s="1">
        <v>1234245</v>
      </c>
    </row>
    <row r="10244" spans="1:11" x14ac:dyDescent="0.25">
      <c r="A10244" t="s">
        <v>326</v>
      </c>
      <c r="B10244" t="s">
        <v>729</v>
      </c>
      <c r="C10244" t="s">
        <v>875</v>
      </c>
      <c r="D10244" t="s">
        <v>14</v>
      </c>
      <c r="E10244">
        <v>7</v>
      </c>
      <c r="F10244" s="2">
        <f>DATE(2026,IF(Tabla1[[#This Row],[Mes de Fecha]]="Septiembre",9,10),Tabla1[[#This Row],[Día de Fecha]])</f>
        <v>46302</v>
      </c>
      <c r="G10244">
        <v>1065574990</v>
      </c>
      <c r="H10244" t="s">
        <v>732</v>
      </c>
      <c r="I10244">
        <v>3</v>
      </c>
      <c r="J10244">
        <v>0</v>
      </c>
      <c r="K10244" s="1">
        <v>176345</v>
      </c>
    </row>
    <row r="10245" spans="1:11" x14ac:dyDescent="0.25">
      <c r="A10245" t="s">
        <v>326</v>
      </c>
      <c r="B10245" t="s">
        <v>729</v>
      </c>
      <c r="C10245" t="s">
        <v>875</v>
      </c>
      <c r="D10245" t="s">
        <v>14</v>
      </c>
      <c r="E10245">
        <v>7</v>
      </c>
      <c r="F10245" s="2">
        <f>DATE(2026,IF(Tabla1[[#This Row],[Mes de Fecha]]="Septiembre",9,10),Tabla1[[#This Row],[Día de Fecha]])</f>
        <v>46302</v>
      </c>
      <c r="G10245">
        <v>1065667405</v>
      </c>
      <c r="H10245" t="s">
        <v>666</v>
      </c>
      <c r="I10245">
        <v>31</v>
      </c>
      <c r="J10245">
        <v>0</v>
      </c>
      <c r="K10245" s="1">
        <v>1294455</v>
      </c>
    </row>
    <row r="10246" spans="1:11" x14ac:dyDescent="0.25">
      <c r="A10246" t="s">
        <v>326</v>
      </c>
      <c r="B10246" t="s">
        <v>729</v>
      </c>
      <c r="C10246" t="s">
        <v>875</v>
      </c>
      <c r="D10246" t="s">
        <v>14</v>
      </c>
      <c r="E10246">
        <v>7</v>
      </c>
      <c r="F10246" s="2">
        <f>DATE(2026,IF(Tabla1[[#This Row],[Mes de Fecha]]="Septiembre",9,10),Tabla1[[#This Row],[Día de Fecha]])</f>
        <v>46302</v>
      </c>
      <c r="G10246">
        <v>1065827981</v>
      </c>
      <c r="H10246" t="s">
        <v>733</v>
      </c>
      <c r="I10246">
        <v>3</v>
      </c>
      <c r="J10246">
        <v>0</v>
      </c>
      <c r="K10246" s="1">
        <v>125925</v>
      </c>
    </row>
    <row r="10247" spans="1:11" x14ac:dyDescent="0.25">
      <c r="A10247" t="s">
        <v>326</v>
      </c>
      <c r="B10247" t="s">
        <v>729</v>
      </c>
      <c r="C10247" t="s">
        <v>875</v>
      </c>
      <c r="D10247" t="s">
        <v>14</v>
      </c>
      <c r="E10247">
        <v>7</v>
      </c>
      <c r="F10247" s="2">
        <f>DATE(2026,IF(Tabla1[[#This Row],[Mes de Fecha]]="Septiembre",9,10),Tabla1[[#This Row],[Día de Fecha]])</f>
        <v>46302</v>
      </c>
      <c r="G10247">
        <v>1066270050</v>
      </c>
      <c r="H10247" t="s">
        <v>661</v>
      </c>
      <c r="I10247">
        <v>21</v>
      </c>
      <c r="J10247">
        <v>0</v>
      </c>
      <c r="K10247" s="1">
        <v>1230172</v>
      </c>
    </row>
    <row r="10248" spans="1:11" x14ac:dyDescent="0.25">
      <c r="A10248" t="s">
        <v>326</v>
      </c>
      <c r="B10248" t="s">
        <v>760</v>
      </c>
      <c r="C10248" t="s">
        <v>875</v>
      </c>
      <c r="D10248" t="s">
        <v>11</v>
      </c>
      <c r="E10248">
        <v>23</v>
      </c>
      <c r="F10248" s="2">
        <f>DATE(2026,IF(Tabla1[[#This Row],[Mes de Fecha]]="Septiembre",9,10),Tabla1[[#This Row],[Día de Fecha]])</f>
        <v>46288</v>
      </c>
      <c r="I10248">
        <v>0</v>
      </c>
      <c r="J10248" s="1">
        <v>12523922</v>
      </c>
      <c r="K10248">
        <v>0</v>
      </c>
    </row>
    <row r="10249" spans="1:11" x14ac:dyDescent="0.25">
      <c r="A10249" t="s">
        <v>326</v>
      </c>
      <c r="B10249" t="s">
        <v>760</v>
      </c>
      <c r="C10249" t="s">
        <v>875</v>
      </c>
      <c r="D10249" t="s">
        <v>11</v>
      </c>
      <c r="E10249">
        <v>23</v>
      </c>
      <c r="F10249" s="2">
        <f>DATE(2026,IF(Tabla1[[#This Row],[Mes de Fecha]]="Septiembre",9,10),Tabla1[[#This Row],[Día de Fecha]])</f>
        <v>46288</v>
      </c>
      <c r="G10249">
        <v>63510426</v>
      </c>
      <c r="H10249" t="s">
        <v>536</v>
      </c>
      <c r="I10249">
        <v>150</v>
      </c>
      <c r="J10249">
        <v>0</v>
      </c>
      <c r="K10249" s="1">
        <v>8111223</v>
      </c>
    </row>
    <row r="10250" spans="1:11" x14ac:dyDescent="0.25">
      <c r="A10250" t="s">
        <v>326</v>
      </c>
      <c r="B10250" t="s">
        <v>760</v>
      </c>
      <c r="C10250" t="s">
        <v>875</v>
      </c>
      <c r="D10250" t="s">
        <v>11</v>
      </c>
      <c r="E10250">
        <v>23</v>
      </c>
      <c r="F10250" s="2">
        <f>DATE(2026,IF(Tabla1[[#This Row],[Mes de Fecha]]="Septiembre",9,10),Tabla1[[#This Row],[Día de Fecha]])</f>
        <v>46288</v>
      </c>
      <c r="G10250">
        <v>1004810740</v>
      </c>
      <c r="H10250" t="s">
        <v>540</v>
      </c>
      <c r="I10250">
        <v>82</v>
      </c>
      <c r="J10250">
        <v>0</v>
      </c>
      <c r="K10250" s="1">
        <v>4899795</v>
      </c>
    </row>
    <row r="10251" spans="1:11" x14ac:dyDescent="0.25">
      <c r="A10251" t="s">
        <v>326</v>
      </c>
      <c r="B10251" t="s">
        <v>760</v>
      </c>
      <c r="C10251" t="s">
        <v>875</v>
      </c>
      <c r="D10251" t="s">
        <v>11</v>
      </c>
      <c r="E10251">
        <v>23</v>
      </c>
      <c r="F10251" s="2">
        <f>DATE(2026,IF(Tabla1[[#This Row],[Mes de Fecha]]="Septiembre",9,10),Tabla1[[#This Row],[Día de Fecha]])</f>
        <v>46288</v>
      </c>
      <c r="G10251">
        <v>1005053897</v>
      </c>
      <c r="H10251" t="s">
        <v>761</v>
      </c>
      <c r="I10251">
        <v>89</v>
      </c>
      <c r="J10251">
        <v>0</v>
      </c>
      <c r="K10251" s="1">
        <v>5069581</v>
      </c>
    </row>
    <row r="10252" spans="1:11" x14ac:dyDescent="0.25">
      <c r="A10252" t="s">
        <v>326</v>
      </c>
      <c r="B10252" t="s">
        <v>760</v>
      </c>
      <c r="C10252" t="s">
        <v>875</v>
      </c>
      <c r="D10252" t="s">
        <v>11</v>
      </c>
      <c r="E10252">
        <v>23</v>
      </c>
      <c r="F10252" s="2">
        <f>DATE(2026,IF(Tabla1[[#This Row],[Mes de Fecha]]="Septiembre",9,10),Tabla1[[#This Row],[Día de Fecha]])</f>
        <v>46288</v>
      </c>
      <c r="G10252">
        <v>1093735711</v>
      </c>
      <c r="H10252" t="s">
        <v>762</v>
      </c>
      <c r="I10252">
        <v>21</v>
      </c>
      <c r="J10252">
        <v>0</v>
      </c>
      <c r="K10252" s="1">
        <v>1049455</v>
      </c>
    </row>
    <row r="10253" spans="1:11" x14ac:dyDescent="0.25">
      <c r="A10253" t="s">
        <v>326</v>
      </c>
      <c r="B10253" t="s">
        <v>760</v>
      </c>
      <c r="C10253" t="s">
        <v>875</v>
      </c>
      <c r="D10253" t="s">
        <v>11</v>
      </c>
      <c r="E10253">
        <v>23</v>
      </c>
      <c r="F10253" s="2">
        <f>DATE(2026,IF(Tabla1[[#This Row],[Mes de Fecha]]="Septiembre",9,10),Tabla1[[#This Row],[Día de Fecha]])</f>
        <v>46288</v>
      </c>
      <c r="G10253">
        <v>1115725913</v>
      </c>
      <c r="H10253" t="s">
        <v>763</v>
      </c>
      <c r="I10253">
        <v>8</v>
      </c>
      <c r="J10253">
        <v>0</v>
      </c>
      <c r="K10253" s="1">
        <v>621514</v>
      </c>
    </row>
    <row r="10254" spans="1:11" x14ac:dyDescent="0.25">
      <c r="A10254" t="s">
        <v>326</v>
      </c>
      <c r="B10254" t="s">
        <v>760</v>
      </c>
      <c r="C10254" t="s">
        <v>875</v>
      </c>
      <c r="D10254" t="s">
        <v>11</v>
      </c>
      <c r="E10254">
        <v>24</v>
      </c>
      <c r="F10254" s="2">
        <f>DATE(2026,IF(Tabla1[[#This Row],[Mes de Fecha]]="Septiembre",9,10),Tabla1[[#This Row],[Día de Fecha]])</f>
        <v>46289</v>
      </c>
      <c r="I10254">
        <v>0</v>
      </c>
      <c r="J10254" s="1">
        <v>19131699</v>
      </c>
      <c r="K10254">
        <v>0</v>
      </c>
    </row>
    <row r="10255" spans="1:11" x14ac:dyDescent="0.25">
      <c r="A10255" t="s">
        <v>326</v>
      </c>
      <c r="B10255" t="s">
        <v>760</v>
      </c>
      <c r="C10255" t="s">
        <v>875</v>
      </c>
      <c r="D10255" t="s">
        <v>11</v>
      </c>
      <c r="E10255">
        <v>24</v>
      </c>
      <c r="F10255" s="2">
        <f>DATE(2026,IF(Tabla1[[#This Row],[Mes de Fecha]]="Septiembre",9,10),Tabla1[[#This Row],[Día de Fecha]])</f>
        <v>46289</v>
      </c>
      <c r="G10255">
        <v>63510426</v>
      </c>
      <c r="H10255" t="s">
        <v>536</v>
      </c>
      <c r="I10255">
        <v>85</v>
      </c>
      <c r="J10255">
        <v>0</v>
      </c>
      <c r="K10255" s="1">
        <v>4532023</v>
      </c>
    </row>
    <row r="10256" spans="1:11" x14ac:dyDescent="0.25">
      <c r="A10256" t="s">
        <v>326</v>
      </c>
      <c r="B10256" t="s">
        <v>760</v>
      </c>
      <c r="C10256" t="s">
        <v>875</v>
      </c>
      <c r="D10256" t="s">
        <v>11</v>
      </c>
      <c r="E10256">
        <v>24</v>
      </c>
      <c r="F10256" s="2">
        <f>DATE(2026,IF(Tabla1[[#This Row],[Mes de Fecha]]="Septiembre",9,10),Tabla1[[#This Row],[Día de Fecha]])</f>
        <v>46289</v>
      </c>
      <c r="G10256">
        <v>1004810740</v>
      </c>
      <c r="H10256" t="s">
        <v>540</v>
      </c>
      <c r="I10256">
        <v>74</v>
      </c>
      <c r="J10256">
        <v>0</v>
      </c>
      <c r="K10256" s="1">
        <v>4429416</v>
      </c>
    </row>
    <row r="10257" spans="1:11" x14ac:dyDescent="0.25">
      <c r="A10257" t="s">
        <v>326</v>
      </c>
      <c r="B10257" t="s">
        <v>760</v>
      </c>
      <c r="C10257" t="s">
        <v>875</v>
      </c>
      <c r="D10257" t="s">
        <v>11</v>
      </c>
      <c r="E10257">
        <v>24</v>
      </c>
      <c r="F10257" s="2">
        <f>DATE(2026,IF(Tabla1[[#This Row],[Mes de Fecha]]="Septiembre",9,10),Tabla1[[#This Row],[Día de Fecha]])</f>
        <v>46289</v>
      </c>
      <c r="G10257">
        <v>1005053897</v>
      </c>
      <c r="H10257" t="s">
        <v>761</v>
      </c>
      <c r="I10257">
        <v>94</v>
      </c>
      <c r="J10257">
        <v>0</v>
      </c>
      <c r="K10257" s="1">
        <v>4907609</v>
      </c>
    </row>
    <row r="10258" spans="1:11" x14ac:dyDescent="0.25">
      <c r="A10258" t="s">
        <v>326</v>
      </c>
      <c r="B10258" t="s">
        <v>760</v>
      </c>
      <c r="C10258" t="s">
        <v>875</v>
      </c>
      <c r="D10258" t="s">
        <v>11</v>
      </c>
      <c r="E10258">
        <v>24</v>
      </c>
      <c r="F10258" s="2">
        <f>DATE(2026,IF(Tabla1[[#This Row],[Mes de Fecha]]="Septiembre",9,10),Tabla1[[#This Row],[Día de Fecha]])</f>
        <v>46289</v>
      </c>
      <c r="G10258">
        <v>1093735711</v>
      </c>
      <c r="H10258" t="s">
        <v>762</v>
      </c>
      <c r="I10258">
        <v>24</v>
      </c>
      <c r="J10258">
        <v>0</v>
      </c>
      <c r="K10258" s="1">
        <v>1255211</v>
      </c>
    </row>
    <row r="10259" spans="1:11" x14ac:dyDescent="0.25">
      <c r="A10259" t="s">
        <v>326</v>
      </c>
      <c r="B10259" t="s">
        <v>760</v>
      </c>
      <c r="C10259" t="s">
        <v>875</v>
      </c>
      <c r="D10259" t="s">
        <v>11</v>
      </c>
      <c r="E10259">
        <v>24</v>
      </c>
      <c r="F10259" s="2">
        <f>DATE(2026,IF(Tabla1[[#This Row],[Mes de Fecha]]="Septiembre",9,10),Tabla1[[#This Row],[Día de Fecha]])</f>
        <v>46289</v>
      </c>
      <c r="G10259">
        <v>1115725913</v>
      </c>
      <c r="H10259" t="s">
        <v>763</v>
      </c>
      <c r="I10259">
        <v>5</v>
      </c>
      <c r="J10259">
        <v>0</v>
      </c>
      <c r="K10259" s="1">
        <v>243488</v>
      </c>
    </row>
    <row r="10260" spans="1:11" x14ac:dyDescent="0.25">
      <c r="A10260" t="s">
        <v>326</v>
      </c>
      <c r="B10260" t="s">
        <v>760</v>
      </c>
      <c r="C10260" t="s">
        <v>875</v>
      </c>
      <c r="D10260" t="s">
        <v>11</v>
      </c>
      <c r="E10260">
        <v>25</v>
      </c>
      <c r="F10260" s="2">
        <f>DATE(2026,IF(Tabla1[[#This Row],[Mes de Fecha]]="Septiembre",9,10),Tabla1[[#This Row],[Día de Fecha]])</f>
        <v>46290</v>
      </c>
      <c r="I10260">
        <v>0</v>
      </c>
      <c r="J10260" s="1">
        <v>19089348</v>
      </c>
      <c r="K10260">
        <v>0</v>
      </c>
    </row>
    <row r="10261" spans="1:11" x14ac:dyDescent="0.25">
      <c r="A10261" t="s">
        <v>326</v>
      </c>
      <c r="B10261" t="s">
        <v>760</v>
      </c>
      <c r="C10261" t="s">
        <v>875</v>
      </c>
      <c r="D10261" t="s">
        <v>11</v>
      </c>
      <c r="E10261">
        <v>25</v>
      </c>
      <c r="F10261" s="2">
        <f>DATE(2026,IF(Tabla1[[#This Row],[Mes de Fecha]]="Septiembre",9,10),Tabla1[[#This Row],[Día de Fecha]])</f>
        <v>46290</v>
      </c>
      <c r="G10261">
        <v>63510426</v>
      </c>
      <c r="H10261" t="s">
        <v>536</v>
      </c>
      <c r="I10261">
        <v>121</v>
      </c>
      <c r="J10261">
        <v>0</v>
      </c>
      <c r="K10261" s="1">
        <v>6209124</v>
      </c>
    </row>
    <row r="10262" spans="1:11" x14ac:dyDescent="0.25">
      <c r="A10262" t="s">
        <v>326</v>
      </c>
      <c r="B10262" t="s">
        <v>760</v>
      </c>
      <c r="C10262" t="s">
        <v>875</v>
      </c>
      <c r="D10262" t="s">
        <v>11</v>
      </c>
      <c r="E10262">
        <v>25</v>
      </c>
      <c r="F10262" s="2">
        <f>DATE(2026,IF(Tabla1[[#This Row],[Mes de Fecha]]="Septiembre",9,10),Tabla1[[#This Row],[Día de Fecha]])</f>
        <v>46290</v>
      </c>
      <c r="G10262">
        <v>1004810740</v>
      </c>
      <c r="H10262" t="s">
        <v>540</v>
      </c>
      <c r="I10262">
        <v>123</v>
      </c>
      <c r="J10262">
        <v>0</v>
      </c>
      <c r="K10262" s="1">
        <v>7196350</v>
      </c>
    </row>
    <row r="10263" spans="1:11" x14ac:dyDescent="0.25">
      <c r="A10263" t="s">
        <v>326</v>
      </c>
      <c r="B10263" t="s">
        <v>760</v>
      </c>
      <c r="C10263" t="s">
        <v>875</v>
      </c>
      <c r="D10263" t="s">
        <v>11</v>
      </c>
      <c r="E10263">
        <v>25</v>
      </c>
      <c r="F10263" s="2">
        <f>DATE(2026,IF(Tabla1[[#This Row],[Mes de Fecha]]="Septiembre",9,10),Tabla1[[#This Row],[Día de Fecha]])</f>
        <v>46290</v>
      </c>
      <c r="G10263">
        <v>1005053897</v>
      </c>
      <c r="H10263" t="s">
        <v>761</v>
      </c>
      <c r="I10263">
        <v>91</v>
      </c>
      <c r="J10263">
        <v>0</v>
      </c>
      <c r="K10263" s="1">
        <v>4254545</v>
      </c>
    </row>
    <row r="10264" spans="1:11" x14ac:dyDescent="0.25">
      <c r="A10264" t="s">
        <v>326</v>
      </c>
      <c r="B10264" t="s">
        <v>760</v>
      </c>
      <c r="C10264" t="s">
        <v>875</v>
      </c>
      <c r="D10264" t="s">
        <v>11</v>
      </c>
      <c r="E10264">
        <v>25</v>
      </c>
      <c r="F10264" s="2">
        <f>DATE(2026,IF(Tabla1[[#This Row],[Mes de Fecha]]="Septiembre",9,10),Tabla1[[#This Row],[Día de Fecha]])</f>
        <v>46290</v>
      </c>
      <c r="G10264">
        <v>1093735711</v>
      </c>
      <c r="H10264" t="s">
        <v>762</v>
      </c>
      <c r="I10264">
        <v>19</v>
      </c>
      <c r="J10264">
        <v>0</v>
      </c>
      <c r="K10264" s="1">
        <v>921474</v>
      </c>
    </row>
    <row r="10265" spans="1:11" x14ac:dyDescent="0.25">
      <c r="A10265" t="s">
        <v>326</v>
      </c>
      <c r="B10265" t="s">
        <v>760</v>
      </c>
      <c r="C10265" t="s">
        <v>875</v>
      </c>
      <c r="D10265" t="s">
        <v>11</v>
      </c>
      <c r="E10265">
        <v>25</v>
      </c>
      <c r="F10265" s="2">
        <f>DATE(2026,IF(Tabla1[[#This Row],[Mes de Fecha]]="Septiembre",9,10),Tabla1[[#This Row],[Día de Fecha]])</f>
        <v>46290</v>
      </c>
      <c r="G10265">
        <v>1115725913</v>
      </c>
      <c r="H10265" t="s">
        <v>763</v>
      </c>
      <c r="I10265">
        <v>14</v>
      </c>
      <c r="J10265">
        <v>0</v>
      </c>
      <c r="K10265" s="1">
        <v>646430</v>
      </c>
    </row>
    <row r="10266" spans="1:11" x14ac:dyDescent="0.25">
      <c r="A10266" t="s">
        <v>326</v>
      </c>
      <c r="B10266" t="s">
        <v>760</v>
      </c>
      <c r="C10266" t="s">
        <v>875</v>
      </c>
      <c r="D10266" t="s">
        <v>11</v>
      </c>
      <c r="E10266">
        <v>26</v>
      </c>
      <c r="F10266" s="2">
        <f>DATE(2026,IF(Tabla1[[#This Row],[Mes de Fecha]]="Septiembre",9,10),Tabla1[[#This Row],[Día de Fecha]])</f>
        <v>46291</v>
      </c>
      <c r="I10266">
        <v>0</v>
      </c>
      <c r="J10266" s="1">
        <v>27434137</v>
      </c>
      <c r="K10266">
        <v>0</v>
      </c>
    </row>
    <row r="10267" spans="1:11" x14ac:dyDescent="0.25">
      <c r="A10267" t="s">
        <v>326</v>
      </c>
      <c r="B10267" t="s">
        <v>760</v>
      </c>
      <c r="C10267" t="s">
        <v>875</v>
      </c>
      <c r="D10267" t="s">
        <v>11</v>
      </c>
      <c r="E10267">
        <v>26</v>
      </c>
      <c r="F10267" s="2">
        <f>DATE(2026,IF(Tabla1[[#This Row],[Mes de Fecha]]="Septiembre",9,10),Tabla1[[#This Row],[Día de Fecha]])</f>
        <v>46291</v>
      </c>
      <c r="G10267">
        <v>63510426</v>
      </c>
      <c r="H10267" t="s">
        <v>536</v>
      </c>
      <c r="I10267">
        <v>153</v>
      </c>
      <c r="J10267">
        <v>0</v>
      </c>
      <c r="K10267" s="1">
        <v>8449300</v>
      </c>
    </row>
    <row r="10268" spans="1:11" x14ac:dyDescent="0.25">
      <c r="A10268" t="s">
        <v>326</v>
      </c>
      <c r="B10268" t="s">
        <v>760</v>
      </c>
      <c r="C10268" t="s">
        <v>875</v>
      </c>
      <c r="D10268" t="s">
        <v>11</v>
      </c>
      <c r="E10268">
        <v>26</v>
      </c>
      <c r="F10268" s="2">
        <f>DATE(2026,IF(Tabla1[[#This Row],[Mes de Fecha]]="Septiembre",9,10),Tabla1[[#This Row],[Día de Fecha]])</f>
        <v>46291</v>
      </c>
      <c r="G10268">
        <v>1004810740</v>
      </c>
      <c r="H10268" t="s">
        <v>540</v>
      </c>
      <c r="I10268">
        <v>139</v>
      </c>
      <c r="J10268">
        <v>0</v>
      </c>
      <c r="K10268" s="1">
        <v>8332318</v>
      </c>
    </row>
    <row r="10269" spans="1:11" x14ac:dyDescent="0.25">
      <c r="A10269" t="s">
        <v>326</v>
      </c>
      <c r="B10269" t="s">
        <v>760</v>
      </c>
      <c r="C10269" t="s">
        <v>875</v>
      </c>
      <c r="D10269" t="s">
        <v>11</v>
      </c>
      <c r="E10269">
        <v>26</v>
      </c>
      <c r="F10269" s="2">
        <f>DATE(2026,IF(Tabla1[[#This Row],[Mes de Fecha]]="Septiembre",9,10),Tabla1[[#This Row],[Día de Fecha]])</f>
        <v>46291</v>
      </c>
      <c r="G10269">
        <v>1005053897</v>
      </c>
      <c r="H10269" t="s">
        <v>761</v>
      </c>
      <c r="I10269">
        <v>116</v>
      </c>
      <c r="J10269">
        <v>0</v>
      </c>
      <c r="K10269" s="1">
        <v>6192450</v>
      </c>
    </row>
    <row r="10270" spans="1:11" x14ac:dyDescent="0.25">
      <c r="A10270" t="s">
        <v>326</v>
      </c>
      <c r="B10270" t="s">
        <v>760</v>
      </c>
      <c r="C10270" t="s">
        <v>875</v>
      </c>
      <c r="D10270" t="s">
        <v>11</v>
      </c>
      <c r="E10270">
        <v>26</v>
      </c>
      <c r="F10270" s="2">
        <f>DATE(2026,IF(Tabla1[[#This Row],[Mes de Fecha]]="Septiembre",9,10),Tabla1[[#This Row],[Día de Fecha]])</f>
        <v>46291</v>
      </c>
      <c r="G10270">
        <v>1093735711</v>
      </c>
      <c r="H10270" t="s">
        <v>762</v>
      </c>
      <c r="I10270">
        <v>25</v>
      </c>
      <c r="J10270">
        <v>0</v>
      </c>
      <c r="K10270" s="1">
        <v>1425422</v>
      </c>
    </row>
    <row r="10271" spans="1:11" x14ac:dyDescent="0.25">
      <c r="A10271" t="s">
        <v>326</v>
      </c>
      <c r="B10271" t="s">
        <v>760</v>
      </c>
      <c r="C10271" t="s">
        <v>875</v>
      </c>
      <c r="D10271" t="s">
        <v>11</v>
      </c>
      <c r="E10271">
        <v>26</v>
      </c>
      <c r="F10271" s="2">
        <f>DATE(2026,IF(Tabla1[[#This Row],[Mes de Fecha]]="Septiembre",9,10),Tabla1[[#This Row],[Día de Fecha]])</f>
        <v>46291</v>
      </c>
      <c r="G10271">
        <v>1115725913</v>
      </c>
      <c r="H10271" t="s">
        <v>763</v>
      </c>
      <c r="I10271">
        <v>17</v>
      </c>
      <c r="J10271">
        <v>0</v>
      </c>
      <c r="K10271" s="1">
        <v>801724</v>
      </c>
    </row>
    <row r="10272" spans="1:11" x14ac:dyDescent="0.25">
      <c r="A10272" t="s">
        <v>326</v>
      </c>
      <c r="B10272" t="s">
        <v>760</v>
      </c>
      <c r="C10272" t="s">
        <v>875</v>
      </c>
      <c r="D10272" t="s">
        <v>11</v>
      </c>
      <c r="E10272">
        <v>27</v>
      </c>
      <c r="F10272" s="2">
        <f>DATE(2026,IF(Tabla1[[#This Row],[Mes de Fecha]]="Septiembre",9,10),Tabla1[[#This Row],[Día de Fecha]])</f>
        <v>46292</v>
      </c>
      <c r="I10272">
        <v>0</v>
      </c>
      <c r="J10272" s="1">
        <v>21733359</v>
      </c>
      <c r="K10272">
        <v>0</v>
      </c>
    </row>
    <row r="10273" spans="1:11" x14ac:dyDescent="0.25">
      <c r="A10273" t="s">
        <v>326</v>
      </c>
      <c r="B10273" t="s">
        <v>760</v>
      </c>
      <c r="C10273" t="s">
        <v>875</v>
      </c>
      <c r="D10273" t="s">
        <v>11</v>
      </c>
      <c r="E10273">
        <v>27</v>
      </c>
      <c r="F10273" s="2">
        <f>DATE(2026,IF(Tabla1[[#This Row],[Mes de Fecha]]="Septiembre",9,10),Tabla1[[#This Row],[Día de Fecha]])</f>
        <v>46292</v>
      </c>
      <c r="G10273">
        <v>63510426</v>
      </c>
      <c r="H10273" t="s">
        <v>536</v>
      </c>
      <c r="I10273">
        <v>55</v>
      </c>
      <c r="J10273">
        <v>0</v>
      </c>
      <c r="K10273" s="1">
        <v>3703489</v>
      </c>
    </row>
    <row r="10274" spans="1:11" x14ac:dyDescent="0.25">
      <c r="A10274" t="s">
        <v>326</v>
      </c>
      <c r="B10274" t="s">
        <v>760</v>
      </c>
      <c r="C10274" t="s">
        <v>875</v>
      </c>
      <c r="D10274" t="s">
        <v>11</v>
      </c>
      <c r="E10274">
        <v>27</v>
      </c>
      <c r="F10274" s="2">
        <f>DATE(2026,IF(Tabla1[[#This Row],[Mes de Fecha]]="Septiembre",9,10),Tabla1[[#This Row],[Día de Fecha]])</f>
        <v>46292</v>
      </c>
      <c r="G10274">
        <v>1004810740</v>
      </c>
      <c r="H10274" t="s">
        <v>540</v>
      </c>
      <c r="I10274">
        <v>57</v>
      </c>
      <c r="J10274">
        <v>0</v>
      </c>
      <c r="K10274" s="1">
        <v>3522650</v>
      </c>
    </row>
    <row r="10275" spans="1:11" x14ac:dyDescent="0.25">
      <c r="A10275" t="s">
        <v>326</v>
      </c>
      <c r="B10275" t="s">
        <v>760</v>
      </c>
      <c r="C10275" t="s">
        <v>875</v>
      </c>
      <c r="D10275" t="s">
        <v>11</v>
      </c>
      <c r="E10275">
        <v>27</v>
      </c>
      <c r="F10275" s="2">
        <f>DATE(2026,IF(Tabla1[[#This Row],[Mes de Fecha]]="Septiembre",9,10),Tabla1[[#This Row],[Día de Fecha]])</f>
        <v>46292</v>
      </c>
      <c r="G10275">
        <v>1005053897</v>
      </c>
      <c r="H10275" t="s">
        <v>761</v>
      </c>
      <c r="I10275">
        <v>55</v>
      </c>
      <c r="J10275">
        <v>0</v>
      </c>
      <c r="K10275" s="1">
        <v>3424124</v>
      </c>
    </row>
    <row r="10276" spans="1:11" x14ac:dyDescent="0.25">
      <c r="A10276" t="s">
        <v>326</v>
      </c>
      <c r="B10276" t="s">
        <v>760</v>
      </c>
      <c r="C10276" t="s">
        <v>875</v>
      </c>
      <c r="D10276" t="s">
        <v>11</v>
      </c>
      <c r="E10276">
        <v>27</v>
      </c>
      <c r="F10276" s="2">
        <f>DATE(2026,IF(Tabla1[[#This Row],[Mes de Fecha]]="Septiembre",9,10),Tabla1[[#This Row],[Día de Fecha]])</f>
        <v>46292</v>
      </c>
      <c r="G10276">
        <v>1090471227</v>
      </c>
      <c r="H10276" t="s">
        <v>764</v>
      </c>
      <c r="I10276">
        <v>0</v>
      </c>
      <c r="J10276">
        <v>0</v>
      </c>
      <c r="K10276">
        <v>0</v>
      </c>
    </row>
    <row r="10277" spans="1:11" x14ac:dyDescent="0.25">
      <c r="A10277" t="s">
        <v>326</v>
      </c>
      <c r="B10277" t="s">
        <v>760</v>
      </c>
      <c r="C10277" t="s">
        <v>875</v>
      </c>
      <c r="D10277" t="s">
        <v>11</v>
      </c>
      <c r="E10277">
        <v>27</v>
      </c>
      <c r="F10277" s="2">
        <f>DATE(2026,IF(Tabla1[[#This Row],[Mes de Fecha]]="Septiembre",9,10),Tabla1[[#This Row],[Día de Fecha]])</f>
        <v>46292</v>
      </c>
      <c r="G10277">
        <v>1093735711</v>
      </c>
      <c r="H10277" t="s">
        <v>762</v>
      </c>
      <c r="I10277">
        <v>6</v>
      </c>
      <c r="J10277">
        <v>0</v>
      </c>
      <c r="K10277" s="1">
        <v>306471</v>
      </c>
    </row>
    <row r="10278" spans="1:11" x14ac:dyDescent="0.25">
      <c r="A10278" t="s">
        <v>326</v>
      </c>
      <c r="B10278" t="s">
        <v>760</v>
      </c>
      <c r="C10278" t="s">
        <v>875</v>
      </c>
      <c r="D10278" t="s">
        <v>11</v>
      </c>
      <c r="E10278">
        <v>27</v>
      </c>
      <c r="F10278" s="2">
        <f>DATE(2026,IF(Tabla1[[#This Row],[Mes de Fecha]]="Septiembre",9,10),Tabla1[[#This Row],[Día de Fecha]])</f>
        <v>46292</v>
      </c>
      <c r="G10278">
        <v>1115725913</v>
      </c>
      <c r="H10278" t="s">
        <v>763</v>
      </c>
      <c r="I10278">
        <v>7</v>
      </c>
      <c r="J10278">
        <v>0</v>
      </c>
      <c r="K10278" s="1">
        <v>340044</v>
      </c>
    </row>
    <row r="10279" spans="1:11" x14ac:dyDescent="0.25">
      <c r="A10279" t="s">
        <v>326</v>
      </c>
      <c r="B10279" t="s">
        <v>760</v>
      </c>
      <c r="C10279" t="s">
        <v>875</v>
      </c>
      <c r="D10279" t="s">
        <v>11</v>
      </c>
      <c r="E10279">
        <v>28</v>
      </c>
      <c r="F10279" s="2">
        <f>DATE(2026,IF(Tabla1[[#This Row],[Mes de Fecha]]="Septiembre",9,10),Tabla1[[#This Row],[Día de Fecha]])</f>
        <v>46293</v>
      </c>
      <c r="I10279">
        <v>0</v>
      </c>
      <c r="J10279" s="1">
        <v>12236847</v>
      </c>
      <c r="K10279">
        <v>0</v>
      </c>
    </row>
    <row r="10280" spans="1:11" x14ac:dyDescent="0.25">
      <c r="A10280" t="s">
        <v>326</v>
      </c>
      <c r="B10280" t="s">
        <v>760</v>
      </c>
      <c r="C10280" t="s">
        <v>875</v>
      </c>
      <c r="D10280" t="s">
        <v>11</v>
      </c>
      <c r="E10280">
        <v>28</v>
      </c>
      <c r="F10280" s="2">
        <f>DATE(2026,IF(Tabla1[[#This Row],[Mes de Fecha]]="Septiembre",9,10),Tabla1[[#This Row],[Día de Fecha]])</f>
        <v>46293</v>
      </c>
      <c r="G10280">
        <v>63510426</v>
      </c>
      <c r="H10280" t="s">
        <v>536</v>
      </c>
      <c r="I10280">
        <v>54</v>
      </c>
      <c r="J10280">
        <v>0</v>
      </c>
      <c r="K10280" s="1">
        <v>3405127</v>
      </c>
    </row>
    <row r="10281" spans="1:11" x14ac:dyDescent="0.25">
      <c r="A10281" t="s">
        <v>326</v>
      </c>
      <c r="B10281" t="s">
        <v>760</v>
      </c>
      <c r="C10281" t="s">
        <v>875</v>
      </c>
      <c r="D10281" t="s">
        <v>11</v>
      </c>
      <c r="E10281">
        <v>28</v>
      </c>
      <c r="F10281" s="2">
        <f>DATE(2026,IF(Tabla1[[#This Row],[Mes de Fecha]]="Septiembre",9,10),Tabla1[[#This Row],[Día de Fecha]])</f>
        <v>46293</v>
      </c>
      <c r="G10281">
        <v>1004810740</v>
      </c>
      <c r="H10281" t="s">
        <v>540</v>
      </c>
      <c r="I10281">
        <v>51</v>
      </c>
      <c r="J10281">
        <v>0</v>
      </c>
      <c r="K10281" s="1">
        <v>2993491</v>
      </c>
    </row>
    <row r="10282" spans="1:11" x14ac:dyDescent="0.25">
      <c r="A10282" t="s">
        <v>326</v>
      </c>
      <c r="B10282" t="s">
        <v>760</v>
      </c>
      <c r="C10282" t="s">
        <v>875</v>
      </c>
      <c r="D10282" t="s">
        <v>11</v>
      </c>
      <c r="E10282">
        <v>28</v>
      </c>
      <c r="F10282" s="2">
        <f>DATE(2026,IF(Tabla1[[#This Row],[Mes de Fecha]]="Septiembre",9,10),Tabla1[[#This Row],[Día de Fecha]])</f>
        <v>46293</v>
      </c>
      <c r="G10282">
        <v>1005053897</v>
      </c>
      <c r="H10282" t="s">
        <v>761</v>
      </c>
      <c r="I10282">
        <v>83</v>
      </c>
      <c r="J10282">
        <v>0</v>
      </c>
      <c r="K10282" s="1">
        <v>4740046</v>
      </c>
    </row>
    <row r="10283" spans="1:11" x14ac:dyDescent="0.25">
      <c r="A10283" t="s">
        <v>326</v>
      </c>
      <c r="B10283" t="s">
        <v>760</v>
      </c>
      <c r="C10283" t="s">
        <v>875</v>
      </c>
      <c r="D10283" t="s">
        <v>11</v>
      </c>
      <c r="E10283">
        <v>28</v>
      </c>
      <c r="F10283" s="2">
        <f>DATE(2026,IF(Tabla1[[#This Row],[Mes de Fecha]]="Septiembre",9,10),Tabla1[[#This Row],[Día de Fecha]])</f>
        <v>46293</v>
      </c>
      <c r="G10283">
        <v>1093735711</v>
      </c>
      <c r="H10283" t="s">
        <v>762</v>
      </c>
      <c r="I10283">
        <v>11</v>
      </c>
      <c r="J10283">
        <v>0</v>
      </c>
      <c r="K10283" s="1">
        <v>598321</v>
      </c>
    </row>
    <row r="10284" spans="1:11" x14ac:dyDescent="0.25">
      <c r="A10284" t="s">
        <v>326</v>
      </c>
      <c r="B10284" t="s">
        <v>760</v>
      </c>
      <c r="C10284" t="s">
        <v>875</v>
      </c>
      <c r="D10284" t="s">
        <v>11</v>
      </c>
      <c r="E10284">
        <v>28</v>
      </c>
      <c r="F10284" s="2">
        <f>DATE(2026,IF(Tabla1[[#This Row],[Mes de Fecha]]="Septiembre",9,10),Tabla1[[#This Row],[Día de Fecha]])</f>
        <v>46293</v>
      </c>
      <c r="G10284">
        <v>1115725913</v>
      </c>
      <c r="H10284" t="s">
        <v>763</v>
      </c>
      <c r="I10284">
        <v>9</v>
      </c>
      <c r="J10284">
        <v>0</v>
      </c>
      <c r="K10284" s="1">
        <v>566850</v>
      </c>
    </row>
    <row r="10285" spans="1:11" x14ac:dyDescent="0.25">
      <c r="A10285" t="s">
        <v>326</v>
      </c>
      <c r="B10285" t="s">
        <v>760</v>
      </c>
      <c r="C10285" t="s">
        <v>875</v>
      </c>
      <c r="D10285" t="s">
        <v>11</v>
      </c>
      <c r="E10285">
        <v>29</v>
      </c>
      <c r="F10285" s="2">
        <f>DATE(2026,IF(Tabla1[[#This Row],[Mes de Fecha]]="Septiembre",9,10),Tabla1[[#This Row],[Día de Fecha]])</f>
        <v>46294</v>
      </c>
      <c r="I10285">
        <v>0</v>
      </c>
      <c r="J10285" s="1">
        <v>12501149</v>
      </c>
      <c r="K10285">
        <v>0</v>
      </c>
    </row>
    <row r="10286" spans="1:11" x14ac:dyDescent="0.25">
      <c r="A10286" t="s">
        <v>326</v>
      </c>
      <c r="B10286" t="s">
        <v>760</v>
      </c>
      <c r="C10286" t="s">
        <v>875</v>
      </c>
      <c r="D10286" t="s">
        <v>11</v>
      </c>
      <c r="E10286">
        <v>29</v>
      </c>
      <c r="F10286" s="2">
        <f>DATE(2026,IF(Tabla1[[#This Row],[Mes de Fecha]]="Septiembre",9,10),Tabla1[[#This Row],[Día de Fecha]])</f>
        <v>46294</v>
      </c>
      <c r="G10286">
        <v>63510426</v>
      </c>
      <c r="H10286" t="s">
        <v>536</v>
      </c>
      <c r="I10286">
        <v>36</v>
      </c>
      <c r="J10286">
        <v>0</v>
      </c>
      <c r="K10286" s="1">
        <v>2120212</v>
      </c>
    </row>
    <row r="10287" spans="1:11" x14ac:dyDescent="0.25">
      <c r="A10287" t="s">
        <v>326</v>
      </c>
      <c r="B10287" t="s">
        <v>760</v>
      </c>
      <c r="C10287" t="s">
        <v>875</v>
      </c>
      <c r="D10287" t="s">
        <v>11</v>
      </c>
      <c r="E10287">
        <v>29</v>
      </c>
      <c r="F10287" s="2">
        <f>DATE(2026,IF(Tabla1[[#This Row],[Mes de Fecha]]="Septiembre",9,10),Tabla1[[#This Row],[Día de Fecha]])</f>
        <v>46294</v>
      </c>
      <c r="G10287">
        <v>1004810740</v>
      </c>
      <c r="H10287" t="s">
        <v>540</v>
      </c>
      <c r="I10287">
        <v>40</v>
      </c>
      <c r="J10287">
        <v>0</v>
      </c>
      <c r="K10287" s="1">
        <v>2185175</v>
      </c>
    </row>
    <row r="10288" spans="1:11" x14ac:dyDescent="0.25">
      <c r="A10288" t="s">
        <v>326</v>
      </c>
      <c r="B10288" t="s">
        <v>760</v>
      </c>
      <c r="C10288" t="s">
        <v>875</v>
      </c>
      <c r="D10288" t="s">
        <v>11</v>
      </c>
      <c r="E10288">
        <v>29</v>
      </c>
      <c r="F10288" s="2">
        <f>DATE(2026,IF(Tabla1[[#This Row],[Mes de Fecha]]="Septiembre",9,10),Tabla1[[#This Row],[Día de Fecha]])</f>
        <v>46294</v>
      </c>
      <c r="G10288">
        <v>1005053897</v>
      </c>
      <c r="H10288" t="s">
        <v>761</v>
      </c>
      <c r="I10288">
        <v>62</v>
      </c>
      <c r="J10288">
        <v>0</v>
      </c>
      <c r="K10288" s="1">
        <v>3417442</v>
      </c>
    </row>
    <row r="10289" spans="1:11" x14ac:dyDescent="0.25">
      <c r="A10289" t="s">
        <v>326</v>
      </c>
      <c r="B10289" t="s">
        <v>760</v>
      </c>
      <c r="C10289" t="s">
        <v>875</v>
      </c>
      <c r="D10289" t="s">
        <v>11</v>
      </c>
      <c r="E10289">
        <v>29</v>
      </c>
      <c r="F10289" s="2">
        <f>DATE(2026,IF(Tabla1[[#This Row],[Mes de Fecha]]="Septiembre",9,10),Tabla1[[#This Row],[Día de Fecha]])</f>
        <v>46294</v>
      </c>
      <c r="G10289">
        <v>1093735711</v>
      </c>
      <c r="H10289" t="s">
        <v>762</v>
      </c>
      <c r="I10289">
        <v>4</v>
      </c>
      <c r="J10289">
        <v>0</v>
      </c>
      <c r="K10289" s="1">
        <v>302312</v>
      </c>
    </row>
    <row r="10290" spans="1:11" x14ac:dyDescent="0.25">
      <c r="A10290" t="s">
        <v>326</v>
      </c>
      <c r="B10290" t="s">
        <v>760</v>
      </c>
      <c r="C10290" t="s">
        <v>875</v>
      </c>
      <c r="D10290" t="s">
        <v>11</v>
      </c>
      <c r="E10290">
        <v>30</v>
      </c>
      <c r="F10290" s="2">
        <f>DATE(2026,IF(Tabla1[[#This Row],[Mes de Fecha]]="Septiembre",9,10),Tabla1[[#This Row],[Día de Fecha]])</f>
        <v>46295</v>
      </c>
      <c r="I10290">
        <v>0</v>
      </c>
      <c r="J10290" s="1">
        <v>13198713</v>
      </c>
      <c r="K10290">
        <v>0</v>
      </c>
    </row>
    <row r="10291" spans="1:11" x14ac:dyDescent="0.25">
      <c r="A10291" t="s">
        <v>326</v>
      </c>
      <c r="B10291" t="s">
        <v>760</v>
      </c>
      <c r="C10291" t="s">
        <v>875</v>
      </c>
      <c r="D10291" t="s">
        <v>11</v>
      </c>
      <c r="E10291">
        <v>30</v>
      </c>
      <c r="F10291" s="2">
        <f>DATE(2026,IF(Tabla1[[#This Row],[Mes de Fecha]]="Septiembre",9,10),Tabla1[[#This Row],[Día de Fecha]])</f>
        <v>46295</v>
      </c>
      <c r="G10291">
        <v>63510426</v>
      </c>
      <c r="H10291" t="s">
        <v>536</v>
      </c>
      <c r="I10291">
        <v>56</v>
      </c>
      <c r="J10291">
        <v>0</v>
      </c>
      <c r="K10291" s="1">
        <v>3346306</v>
      </c>
    </row>
    <row r="10292" spans="1:11" x14ac:dyDescent="0.25">
      <c r="A10292" t="s">
        <v>326</v>
      </c>
      <c r="B10292" t="s">
        <v>760</v>
      </c>
      <c r="C10292" t="s">
        <v>875</v>
      </c>
      <c r="D10292" t="s">
        <v>11</v>
      </c>
      <c r="E10292">
        <v>30</v>
      </c>
      <c r="F10292" s="2">
        <f>DATE(2026,IF(Tabla1[[#This Row],[Mes de Fecha]]="Septiembre",9,10),Tabla1[[#This Row],[Día de Fecha]])</f>
        <v>46295</v>
      </c>
      <c r="G10292">
        <v>1004810740</v>
      </c>
      <c r="H10292" t="s">
        <v>540</v>
      </c>
      <c r="I10292">
        <v>107</v>
      </c>
      <c r="J10292">
        <v>0</v>
      </c>
      <c r="K10292" s="1">
        <v>6554125</v>
      </c>
    </row>
    <row r="10293" spans="1:11" x14ac:dyDescent="0.25">
      <c r="A10293" t="s">
        <v>326</v>
      </c>
      <c r="B10293" t="s">
        <v>760</v>
      </c>
      <c r="C10293" t="s">
        <v>875</v>
      </c>
      <c r="D10293" t="s">
        <v>11</v>
      </c>
      <c r="E10293">
        <v>30</v>
      </c>
      <c r="F10293" s="2">
        <f>DATE(2026,IF(Tabla1[[#This Row],[Mes de Fecha]]="Septiembre",9,10),Tabla1[[#This Row],[Día de Fecha]])</f>
        <v>46295</v>
      </c>
      <c r="G10293">
        <v>1005053897</v>
      </c>
      <c r="H10293" t="s">
        <v>761</v>
      </c>
      <c r="I10293">
        <v>69</v>
      </c>
      <c r="J10293">
        <v>0</v>
      </c>
      <c r="K10293" s="1">
        <v>4066393</v>
      </c>
    </row>
    <row r="10294" spans="1:11" x14ac:dyDescent="0.25">
      <c r="A10294" t="s">
        <v>326</v>
      </c>
      <c r="B10294" t="s">
        <v>760</v>
      </c>
      <c r="C10294" t="s">
        <v>875</v>
      </c>
      <c r="D10294" t="s">
        <v>11</v>
      </c>
      <c r="E10294">
        <v>30</v>
      </c>
      <c r="F10294" s="2">
        <f>DATE(2026,IF(Tabla1[[#This Row],[Mes de Fecha]]="Septiembre",9,10),Tabla1[[#This Row],[Día de Fecha]])</f>
        <v>46295</v>
      </c>
      <c r="G10294">
        <v>1093735711</v>
      </c>
      <c r="H10294" t="s">
        <v>762</v>
      </c>
      <c r="I10294">
        <v>14</v>
      </c>
      <c r="J10294">
        <v>0</v>
      </c>
      <c r="K10294" s="1">
        <v>911177</v>
      </c>
    </row>
    <row r="10295" spans="1:11" x14ac:dyDescent="0.25">
      <c r="A10295" t="s">
        <v>326</v>
      </c>
      <c r="B10295" t="s">
        <v>760</v>
      </c>
      <c r="C10295" t="s">
        <v>875</v>
      </c>
      <c r="D10295" t="s">
        <v>11</v>
      </c>
      <c r="E10295">
        <v>30</v>
      </c>
      <c r="F10295" s="2">
        <f>DATE(2026,IF(Tabla1[[#This Row],[Mes de Fecha]]="Septiembre",9,10),Tabla1[[#This Row],[Día de Fecha]])</f>
        <v>46295</v>
      </c>
      <c r="G10295">
        <v>1115725913</v>
      </c>
      <c r="H10295" t="s">
        <v>763</v>
      </c>
      <c r="I10295">
        <v>10</v>
      </c>
      <c r="J10295">
        <v>0</v>
      </c>
      <c r="K10295" s="1">
        <v>646598</v>
      </c>
    </row>
    <row r="10296" spans="1:11" x14ac:dyDescent="0.25">
      <c r="A10296" t="s">
        <v>326</v>
      </c>
      <c r="B10296" t="s">
        <v>760</v>
      </c>
      <c r="C10296" t="s">
        <v>875</v>
      </c>
      <c r="D10296" t="s">
        <v>11</v>
      </c>
      <c r="E10296">
        <v>30</v>
      </c>
      <c r="F10296" s="2">
        <f>DATE(2026,IF(Tabla1[[#This Row],[Mes de Fecha]]="Septiembre",9,10),Tabla1[[#This Row],[Día de Fecha]])</f>
        <v>46295</v>
      </c>
      <c r="G10296">
        <v>1148965693</v>
      </c>
      <c r="H10296" t="s">
        <v>391</v>
      </c>
      <c r="I10296">
        <v>-1</v>
      </c>
      <c r="J10296">
        <v>0</v>
      </c>
      <c r="K10296" s="1">
        <v>-83992</v>
      </c>
    </row>
    <row r="10297" spans="1:11" x14ac:dyDescent="0.25">
      <c r="A10297" t="s">
        <v>326</v>
      </c>
      <c r="B10297" t="s">
        <v>760</v>
      </c>
      <c r="C10297" t="s">
        <v>875</v>
      </c>
      <c r="D10297" t="s">
        <v>14</v>
      </c>
      <c r="E10297">
        <v>1</v>
      </c>
      <c r="F10297" s="2">
        <f>DATE(2026,IF(Tabla1[[#This Row],[Mes de Fecha]]="Septiembre",9,10),Tabla1[[#This Row],[Día de Fecha]])</f>
        <v>46296</v>
      </c>
      <c r="I10297">
        <v>0</v>
      </c>
      <c r="J10297" s="1">
        <v>18264197</v>
      </c>
      <c r="K10297">
        <v>0</v>
      </c>
    </row>
    <row r="10298" spans="1:11" x14ac:dyDescent="0.25">
      <c r="A10298" t="s">
        <v>326</v>
      </c>
      <c r="B10298" t="s">
        <v>760</v>
      </c>
      <c r="C10298" t="s">
        <v>875</v>
      </c>
      <c r="D10298" t="s">
        <v>14</v>
      </c>
      <c r="E10298">
        <v>1</v>
      </c>
      <c r="F10298" s="2">
        <f>DATE(2026,IF(Tabla1[[#This Row],[Mes de Fecha]]="Septiembre",9,10),Tabla1[[#This Row],[Día de Fecha]])</f>
        <v>46296</v>
      </c>
      <c r="G10298">
        <v>63510426</v>
      </c>
      <c r="H10298" t="s">
        <v>536</v>
      </c>
      <c r="I10298">
        <v>93</v>
      </c>
      <c r="J10298">
        <v>0</v>
      </c>
      <c r="K10298" s="1">
        <v>5331942</v>
      </c>
    </row>
    <row r="10299" spans="1:11" x14ac:dyDescent="0.25">
      <c r="A10299" t="s">
        <v>326</v>
      </c>
      <c r="B10299" t="s">
        <v>760</v>
      </c>
      <c r="C10299" t="s">
        <v>875</v>
      </c>
      <c r="D10299" t="s">
        <v>14</v>
      </c>
      <c r="E10299">
        <v>1</v>
      </c>
      <c r="F10299" s="2">
        <f>DATE(2026,IF(Tabla1[[#This Row],[Mes de Fecha]]="Septiembre",9,10),Tabla1[[#This Row],[Día de Fecha]])</f>
        <v>46296</v>
      </c>
      <c r="G10299">
        <v>1004810740</v>
      </c>
      <c r="H10299" t="s">
        <v>540</v>
      </c>
      <c r="I10299">
        <v>83</v>
      </c>
      <c r="J10299">
        <v>0</v>
      </c>
      <c r="K10299" s="1">
        <v>5273619</v>
      </c>
    </row>
    <row r="10300" spans="1:11" x14ac:dyDescent="0.25">
      <c r="A10300" t="s">
        <v>326</v>
      </c>
      <c r="B10300" t="s">
        <v>760</v>
      </c>
      <c r="C10300" t="s">
        <v>875</v>
      </c>
      <c r="D10300" t="s">
        <v>14</v>
      </c>
      <c r="E10300">
        <v>1</v>
      </c>
      <c r="F10300" s="2">
        <f>DATE(2026,IF(Tabla1[[#This Row],[Mes de Fecha]]="Septiembre",9,10),Tabla1[[#This Row],[Día de Fecha]])</f>
        <v>46296</v>
      </c>
      <c r="G10300">
        <v>1005053897</v>
      </c>
      <c r="H10300" t="s">
        <v>761</v>
      </c>
      <c r="I10300">
        <v>-3</v>
      </c>
      <c r="J10300">
        <v>0</v>
      </c>
      <c r="K10300" s="1">
        <v>-205714</v>
      </c>
    </row>
    <row r="10301" spans="1:11" x14ac:dyDescent="0.25">
      <c r="A10301" t="s">
        <v>326</v>
      </c>
      <c r="B10301" t="s">
        <v>760</v>
      </c>
      <c r="C10301" t="s">
        <v>875</v>
      </c>
      <c r="D10301" t="s">
        <v>14</v>
      </c>
      <c r="E10301">
        <v>1</v>
      </c>
      <c r="F10301" s="2">
        <f>DATE(2026,IF(Tabla1[[#This Row],[Mes de Fecha]]="Septiembre",9,10),Tabla1[[#This Row],[Día de Fecha]])</f>
        <v>46296</v>
      </c>
      <c r="G10301">
        <v>1093735711</v>
      </c>
      <c r="H10301" t="s">
        <v>762</v>
      </c>
      <c r="I10301">
        <v>17</v>
      </c>
      <c r="J10301">
        <v>0</v>
      </c>
      <c r="K10301" s="1">
        <v>860506</v>
      </c>
    </row>
    <row r="10302" spans="1:11" x14ac:dyDescent="0.25">
      <c r="A10302" t="s">
        <v>326</v>
      </c>
      <c r="B10302" t="s">
        <v>760</v>
      </c>
      <c r="C10302" t="s">
        <v>875</v>
      </c>
      <c r="D10302" t="s">
        <v>14</v>
      </c>
      <c r="E10302">
        <v>1</v>
      </c>
      <c r="F10302" s="2">
        <f>DATE(2026,IF(Tabla1[[#This Row],[Mes de Fecha]]="Septiembre",9,10),Tabla1[[#This Row],[Día de Fecha]])</f>
        <v>46296</v>
      </c>
      <c r="G10302">
        <v>1115725913</v>
      </c>
      <c r="H10302" t="s">
        <v>763</v>
      </c>
      <c r="I10302">
        <v>16</v>
      </c>
      <c r="J10302">
        <v>0</v>
      </c>
      <c r="K10302" s="1">
        <v>806009</v>
      </c>
    </row>
    <row r="10303" spans="1:11" x14ac:dyDescent="0.25">
      <c r="A10303" t="s">
        <v>326</v>
      </c>
      <c r="B10303" t="s">
        <v>760</v>
      </c>
      <c r="C10303" t="s">
        <v>875</v>
      </c>
      <c r="D10303" t="s">
        <v>14</v>
      </c>
      <c r="E10303">
        <v>2</v>
      </c>
      <c r="F10303" s="2">
        <f>DATE(2026,IF(Tabla1[[#This Row],[Mes de Fecha]]="Septiembre",9,10),Tabla1[[#This Row],[Día de Fecha]])</f>
        <v>46297</v>
      </c>
      <c r="I10303">
        <v>0</v>
      </c>
      <c r="J10303" s="1">
        <v>15916285</v>
      </c>
      <c r="K10303">
        <v>0</v>
      </c>
    </row>
    <row r="10304" spans="1:11" x14ac:dyDescent="0.25">
      <c r="A10304" t="s">
        <v>326</v>
      </c>
      <c r="B10304" t="s">
        <v>760</v>
      </c>
      <c r="C10304" t="s">
        <v>875</v>
      </c>
      <c r="D10304" t="s">
        <v>14</v>
      </c>
      <c r="E10304">
        <v>2</v>
      </c>
      <c r="F10304" s="2">
        <f>DATE(2026,IF(Tabla1[[#This Row],[Mes de Fecha]]="Septiembre",9,10),Tabla1[[#This Row],[Día de Fecha]])</f>
        <v>46297</v>
      </c>
      <c r="G10304">
        <v>63510426</v>
      </c>
      <c r="H10304" t="s">
        <v>536</v>
      </c>
      <c r="I10304">
        <v>92</v>
      </c>
      <c r="J10304">
        <v>0</v>
      </c>
      <c r="K10304" s="1">
        <v>5313283</v>
      </c>
    </row>
    <row r="10305" spans="1:11" x14ac:dyDescent="0.25">
      <c r="A10305" t="s">
        <v>326</v>
      </c>
      <c r="B10305" t="s">
        <v>760</v>
      </c>
      <c r="C10305" t="s">
        <v>875</v>
      </c>
      <c r="D10305" t="s">
        <v>14</v>
      </c>
      <c r="E10305">
        <v>2</v>
      </c>
      <c r="F10305" s="2">
        <f>DATE(2026,IF(Tabla1[[#This Row],[Mes de Fecha]]="Septiembre",9,10),Tabla1[[#This Row],[Día de Fecha]])</f>
        <v>46297</v>
      </c>
      <c r="G10305">
        <v>1004810740</v>
      </c>
      <c r="H10305" t="s">
        <v>540</v>
      </c>
      <c r="I10305">
        <v>94</v>
      </c>
      <c r="J10305">
        <v>0</v>
      </c>
      <c r="K10305" s="1">
        <v>5218413</v>
      </c>
    </row>
    <row r="10306" spans="1:11" x14ac:dyDescent="0.25">
      <c r="A10306" t="s">
        <v>326</v>
      </c>
      <c r="B10306" t="s">
        <v>760</v>
      </c>
      <c r="C10306" t="s">
        <v>875</v>
      </c>
      <c r="D10306" t="s">
        <v>14</v>
      </c>
      <c r="E10306">
        <v>2</v>
      </c>
      <c r="F10306" s="2">
        <f>DATE(2026,IF(Tabla1[[#This Row],[Mes de Fecha]]="Septiembre",9,10),Tabla1[[#This Row],[Día de Fecha]])</f>
        <v>46297</v>
      </c>
      <c r="G10306">
        <v>1093735711</v>
      </c>
      <c r="H10306" t="s">
        <v>762</v>
      </c>
      <c r="I10306">
        <v>11</v>
      </c>
      <c r="J10306">
        <v>0</v>
      </c>
      <c r="K10306" s="1">
        <v>579371</v>
      </c>
    </row>
    <row r="10307" spans="1:11" x14ac:dyDescent="0.25">
      <c r="A10307" t="s">
        <v>326</v>
      </c>
      <c r="B10307" t="s">
        <v>760</v>
      </c>
      <c r="C10307" t="s">
        <v>875</v>
      </c>
      <c r="D10307" t="s">
        <v>14</v>
      </c>
      <c r="E10307">
        <v>2</v>
      </c>
      <c r="F10307" s="2">
        <f>DATE(2026,IF(Tabla1[[#This Row],[Mes de Fecha]]="Septiembre",9,10),Tabla1[[#This Row],[Día de Fecha]])</f>
        <v>46297</v>
      </c>
      <c r="G10307">
        <v>1115725913</v>
      </c>
      <c r="H10307" t="s">
        <v>763</v>
      </c>
      <c r="I10307">
        <v>13</v>
      </c>
      <c r="J10307">
        <v>0</v>
      </c>
      <c r="K10307" s="1">
        <v>652774</v>
      </c>
    </row>
    <row r="10308" spans="1:11" x14ac:dyDescent="0.25">
      <c r="A10308" t="s">
        <v>326</v>
      </c>
      <c r="B10308" t="s">
        <v>760</v>
      </c>
      <c r="C10308" t="s">
        <v>875</v>
      </c>
      <c r="D10308" t="s">
        <v>14</v>
      </c>
      <c r="E10308">
        <v>3</v>
      </c>
      <c r="F10308" s="2">
        <f>DATE(2026,IF(Tabla1[[#This Row],[Mes de Fecha]]="Septiembre",9,10),Tabla1[[#This Row],[Día de Fecha]])</f>
        <v>46298</v>
      </c>
      <c r="I10308">
        <v>0</v>
      </c>
      <c r="J10308" s="1">
        <v>24973055</v>
      </c>
      <c r="K10308">
        <v>0</v>
      </c>
    </row>
    <row r="10309" spans="1:11" x14ac:dyDescent="0.25">
      <c r="A10309" t="s">
        <v>326</v>
      </c>
      <c r="B10309" t="s">
        <v>760</v>
      </c>
      <c r="C10309" t="s">
        <v>875</v>
      </c>
      <c r="D10309" t="s">
        <v>14</v>
      </c>
      <c r="E10309">
        <v>3</v>
      </c>
      <c r="F10309" s="2">
        <f>DATE(2026,IF(Tabla1[[#This Row],[Mes de Fecha]]="Septiembre",9,10),Tabla1[[#This Row],[Día de Fecha]])</f>
        <v>46298</v>
      </c>
      <c r="G10309">
        <v>63510426</v>
      </c>
      <c r="H10309" t="s">
        <v>536</v>
      </c>
      <c r="I10309">
        <v>126</v>
      </c>
      <c r="J10309">
        <v>0</v>
      </c>
      <c r="K10309" s="1">
        <v>6932318</v>
      </c>
    </row>
    <row r="10310" spans="1:11" x14ac:dyDescent="0.25">
      <c r="A10310" t="s">
        <v>326</v>
      </c>
      <c r="B10310" t="s">
        <v>760</v>
      </c>
      <c r="C10310" t="s">
        <v>875</v>
      </c>
      <c r="D10310" t="s">
        <v>14</v>
      </c>
      <c r="E10310">
        <v>3</v>
      </c>
      <c r="F10310" s="2">
        <f>DATE(2026,IF(Tabla1[[#This Row],[Mes de Fecha]]="Septiembre",9,10),Tabla1[[#This Row],[Día de Fecha]])</f>
        <v>46298</v>
      </c>
      <c r="G10310">
        <v>1004810740</v>
      </c>
      <c r="H10310" t="s">
        <v>540</v>
      </c>
      <c r="I10310">
        <v>132</v>
      </c>
      <c r="J10310">
        <v>0</v>
      </c>
      <c r="K10310" s="1">
        <v>6713320</v>
      </c>
    </row>
    <row r="10311" spans="1:11" x14ac:dyDescent="0.25">
      <c r="A10311" t="s">
        <v>326</v>
      </c>
      <c r="B10311" t="s">
        <v>760</v>
      </c>
      <c r="C10311" t="s">
        <v>875</v>
      </c>
      <c r="D10311" t="s">
        <v>14</v>
      </c>
      <c r="E10311">
        <v>3</v>
      </c>
      <c r="F10311" s="2">
        <f>DATE(2026,IF(Tabla1[[#This Row],[Mes de Fecha]]="Septiembre",9,10),Tabla1[[#This Row],[Día de Fecha]])</f>
        <v>46298</v>
      </c>
      <c r="G10311">
        <v>1093735711</v>
      </c>
      <c r="H10311" t="s">
        <v>762</v>
      </c>
      <c r="I10311">
        <v>27</v>
      </c>
      <c r="J10311">
        <v>0</v>
      </c>
      <c r="K10311" s="1">
        <v>1238362</v>
      </c>
    </row>
    <row r="10312" spans="1:11" x14ac:dyDescent="0.25">
      <c r="A10312" t="s">
        <v>326</v>
      </c>
      <c r="B10312" t="s">
        <v>760</v>
      </c>
      <c r="C10312" t="s">
        <v>875</v>
      </c>
      <c r="D10312" t="s">
        <v>14</v>
      </c>
      <c r="E10312">
        <v>3</v>
      </c>
      <c r="F10312" s="2">
        <f>DATE(2026,IF(Tabla1[[#This Row],[Mes de Fecha]]="Septiembre",9,10),Tabla1[[#This Row],[Día de Fecha]])</f>
        <v>46298</v>
      </c>
      <c r="G10312">
        <v>1115725913</v>
      </c>
      <c r="H10312" t="s">
        <v>763</v>
      </c>
      <c r="I10312">
        <v>26</v>
      </c>
      <c r="J10312">
        <v>0</v>
      </c>
      <c r="K10312" s="1">
        <v>1463607</v>
      </c>
    </row>
    <row r="10313" spans="1:11" x14ac:dyDescent="0.25">
      <c r="A10313" t="s">
        <v>326</v>
      </c>
      <c r="B10313" t="s">
        <v>760</v>
      </c>
      <c r="C10313" t="s">
        <v>875</v>
      </c>
      <c r="D10313" t="s">
        <v>14</v>
      </c>
      <c r="E10313">
        <v>4</v>
      </c>
      <c r="F10313" s="2">
        <f>DATE(2026,IF(Tabla1[[#This Row],[Mes de Fecha]]="Septiembre",9,10),Tabla1[[#This Row],[Día de Fecha]])</f>
        <v>46299</v>
      </c>
      <c r="I10313">
        <v>0</v>
      </c>
      <c r="J10313" s="1">
        <v>10559212</v>
      </c>
      <c r="K10313">
        <v>0</v>
      </c>
    </row>
    <row r="10314" spans="1:11" x14ac:dyDescent="0.25">
      <c r="A10314" t="s">
        <v>326</v>
      </c>
      <c r="B10314" t="s">
        <v>760</v>
      </c>
      <c r="C10314" t="s">
        <v>875</v>
      </c>
      <c r="D10314" t="s">
        <v>14</v>
      </c>
      <c r="E10314">
        <v>4</v>
      </c>
      <c r="F10314" s="2">
        <f>DATE(2026,IF(Tabla1[[#This Row],[Mes de Fecha]]="Septiembre",9,10),Tabla1[[#This Row],[Día de Fecha]])</f>
        <v>46299</v>
      </c>
      <c r="G10314">
        <v>63510426</v>
      </c>
      <c r="H10314" t="s">
        <v>536</v>
      </c>
      <c r="I10314">
        <v>60</v>
      </c>
      <c r="J10314">
        <v>0</v>
      </c>
      <c r="K10314" s="1">
        <v>4003784</v>
      </c>
    </row>
    <row r="10315" spans="1:11" x14ac:dyDescent="0.25">
      <c r="A10315" t="s">
        <v>326</v>
      </c>
      <c r="B10315" t="s">
        <v>760</v>
      </c>
      <c r="C10315" t="s">
        <v>875</v>
      </c>
      <c r="D10315" t="s">
        <v>14</v>
      </c>
      <c r="E10315">
        <v>4</v>
      </c>
      <c r="F10315" s="2">
        <f>DATE(2026,IF(Tabla1[[#This Row],[Mes de Fecha]]="Septiembre",9,10),Tabla1[[#This Row],[Día de Fecha]])</f>
        <v>46299</v>
      </c>
      <c r="G10315">
        <v>1004810740</v>
      </c>
      <c r="H10315" t="s">
        <v>540</v>
      </c>
      <c r="I10315">
        <v>71</v>
      </c>
      <c r="J10315">
        <v>0</v>
      </c>
      <c r="K10315" s="1">
        <v>4093406</v>
      </c>
    </row>
    <row r="10316" spans="1:11" x14ac:dyDescent="0.25">
      <c r="A10316" t="s">
        <v>326</v>
      </c>
      <c r="B10316" t="s">
        <v>760</v>
      </c>
      <c r="C10316" t="s">
        <v>875</v>
      </c>
      <c r="D10316" t="s">
        <v>14</v>
      </c>
      <c r="E10316">
        <v>4</v>
      </c>
      <c r="F10316" s="2">
        <f>DATE(2026,IF(Tabla1[[#This Row],[Mes de Fecha]]="Septiembre",9,10),Tabla1[[#This Row],[Día de Fecha]])</f>
        <v>46299</v>
      </c>
      <c r="G10316">
        <v>1093735711</v>
      </c>
      <c r="H10316" t="s">
        <v>762</v>
      </c>
      <c r="I10316">
        <v>7</v>
      </c>
      <c r="J10316">
        <v>0</v>
      </c>
      <c r="K10316" s="1">
        <v>466093</v>
      </c>
    </row>
    <row r="10317" spans="1:11" x14ac:dyDescent="0.25">
      <c r="A10317" t="s">
        <v>326</v>
      </c>
      <c r="B10317" t="s">
        <v>760</v>
      </c>
      <c r="C10317" t="s">
        <v>875</v>
      </c>
      <c r="D10317" t="s">
        <v>14</v>
      </c>
      <c r="E10317">
        <v>4</v>
      </c>
      <c r="F10317" s="2">
        <f>DATE(2026,IF(Tabla1[[#This Row],[Mes de Fecha]]="Septiembre",9,10),Tabla1[[#This Row],[Día de Fecha]])</f>
        <v>46299</v>
      </c>
      <c r="G10317">
        <v>1115725913</v>
      </c>
      <c r="H10317" t="s">
        <v>763</v>
      </c>
      <c r="I10317">
        <v>12</v>
      </c>
      <c r="J10317">
        <v>0</v>
      </c>
      <c r="K10317" s="1">
        <v>583490</v>
      </c>
    </row>
    <row r="10318" spans="1:11" x14ac:dyDescent="0.25">
      <c r="A10318" t="s">
        <v>326</v>
      </c>
      <c r="B10318" t="s">
        <v>760</v>
      </c>
      <c r="C10318" t="s">
        <v>875</v>
      </c>
      <c r="D10318" t="s">
        <v>14</v>
      </c>
      <c r="E10318">
        <v>5</v>
      </c>
      <c r="F10318" s="2">
        <f>DATE(2026,IF(Tabla1[[#This Row],[Mes de Fecha]]="Septiembre",9,10),Tabla1[[#This Row],[Día de Fecha]])</f>
        <v>46300</v>
      </c>
      <c r="I10318">
        <v>0</v>
      </c>
      <c r="J10318" s="1">
        <v>17148383</v>
      </c>
      <c r="K10318">
        <v>0</v>
      </c>
    </row>
    <row r="10319" spans="1:11" x14ac:dyDescent="0.25">
      <c r="A10319" t="s">
        <v>326</v>
      </c>
      <c r="B10319" t="s">
        <v>760</v>
      </c>
      <c r="C10319" t="s">
        <v>875</v>
      </c>
      <c r="D10319" t="s">
        <v>14</v>
      </c>
      <c r="E10319">
        <v>5</v>
      </c>
      <c r="F10319" s="2">
        <f>DATE(2026,IF(Tabla1[[#This Row],[Mes de Fecha]]="Septiembre",9,10),Tabla1[[#This Row],[Día de Fecha]])</f>
        <v>46300</v>
      </c>
      <c r="G10319">
        <v>63510426</v>
      </c>
      <c r="H10319" t="s">
        <v>536</v>
      </c>
      <c r="I10319">
        <v>67</v>
      </c>
      <c r="J10319">
        <v>0</v>
      </c>
      <c r="K10319" s="1">
        <v>4123074</v>
      </c>
    </row>
    <row r="10320" spans="1:11" x14ac:dyDescent="0.25">
      <c r="A10320" t="s">
        <v>326</v>
      </c>
      <c r="B10320" t="s">
        <v>760</v>
      </c>
      <c r="C10320" t="s">
        <v>875</v>
      </c>
      <c r="D10320" t="s">
        <v>14</v>
      </c>
      <c r="E10320">
        <v>5</v>
      </c>
      <c r="F10320" s="2">
        <f>DATE(2026,IF(Tabla1[[#This Row],[Mes de Fecha]]="Septiembre",9,10),Tabla1[[#This Row],[Día de Fecha]])</f>
        <v>46300</v>
      </c>
      <c r="G10320">
        <v>1004810740</v>
      </c>
      <c r="H10320" t="s">
        <v>540</v>
      </c>
      <c r="I10320">
        <v>62</v>
      </c>
      <c r="J10320">
        <v>0</v>
      </c>
      <c r="K10320" s="1">
        <v>3674620</v>
      </c>
    </row>
    <row r="10321" spans="1:11" x14ac:dyDescent="0.25">
      <c r="A10321" t="s">
        <v>326</v>
      </c>
      <c r="B10321" t="s">
        <v>760</v>
      </c>
      <c r="C10321" t="s">
        <v>875</v>
      </c>
      <c r="D10321" t="s">
        <v>14</v>
      </c>
      <c r="E10321">
        <v>5</v>
      </c>
      <c r="F10321" s="2">
        <f>DATE(2026,IF(Tabla1[[#This Row],[Mes de Fecha]]="Septiembre",9,10),Tabla1[[#This Row],[Día de Fecha]])</f>
        <v>46300</v>
      </c>
      <c r="G10321">
        <v>1093735711</v>
      </c>
      <c r="H10321" t="s">
        <v>762</v>
      </c>
      <c r="I10321">
        <v>1</v>
      </c>
      <c r="J10321">
        <v>0</v>
      </c>
      <c r="K10321" s="1">
        <v>37773</v>
      </c>
    </row>
    <row r="10322" spans="1:11" x14ac:dyDescent="0.25">
      <c r="A10322" t="s">
        <v>326</v>
      </c>
      <c r="B10322" t="s">
        <v>760</v>
      </c>
      <c r="C10322" t="s">
        <v>875</v>
      </c>
      <c r="D10322" t="s">
        <v>14</v>
      </c>
      <c r="E10322">
        <v>5</v>
      </c>
      <c r="F10322" s="2">
        <f>DATE(2026,IF(Tabla1[[#This Row],[Mes de Fecha]]="Septiembre",9,10),Tabla1[[#This Row],[Día de Fecha]])</f>
        <v>46300</v>
      </c>
      <c r="G10322">
        <v>1115725913</v>
      </c>
      <c r="H10322" t="s">
        <v>763</v>
      </c>
      <c r="I10322">
        <v>1</v>
      </c>
      <c r="J10322">
        <v>0</v>
      </c>
      <c r="K10322" s="1">
        <v>25168</v>
      </c>
    </row>
    <row r="10323" spans="1:11" x14ac:dyDescent="0.25">
      <c r="A10323" t="s">
        <v>326</v>
      </c>
      <c r="B10323" t="s">
        <v>760</v>
      </c>
      <c r="C10323" t="s">
        <v>875</v>
      </c>
      <c r="D10323" t="s">
        <v>14</v>
      </c>
      <c r="E10323">
        <v>6</v>
      </c>
      <c r="F10323" s="2">
        <f>DATE(2026,IF(Tabla1[[#This Row],[Mes de Fecha]]="Septiembre",9,10),Tabla1[[#This Row],[Día de Fecha]])</f>
        <v>46301</v>
      </c>
      <c r="I10323">
        <v>0</v>
      </c>
      <c r="J10323" s="1">
        <v>11513412</v>
      </c>
      <c r="K10323">
        <v>0</v>
      </c>
    </row>
    <row r="10324" spans="1:11" x14ac:dyDescent="0.25">
      <c r="A10324" t="s">
        <v>326</v>
      </c>
      <c r="B10324" t="s">
        <v>760</v>
      </c>
      <c r="C10324" t="s">
        <v>875</v>
      </c>
      <c r="D10324" t="s">
        <v>14</v>
      </c>
      <c r="E10324">
        <v>6</v>
      </c>
      <c r="F10324" s="2">
        <f>DATE(2026,IF(Tabla1[[#This Row],[Mes de Fecha]]="Septiembre",9,10),Tabla1[[#This Row],[Día de Fecha]])</f>
        <v>46301</v>
      </c>
      <c r="G10324">
        <v>63510426</v>
      </c>
      <c r="H10324" t="s">
        <v>536</v>
      </c>
      <c r="I10324">
        <v>43</v>
      </c>
      <c r="J10324">
        <v>0</v>
      </c>
      <c r="K10324" s="1">
        <v>2498028</v>
      </c>
    </row>
    <row r="10325" spans="1:11" x14ac:dyDescent="0.25">
      <c r="A10325" t="s">
        <v>326</v>
      </c>
      <c r="B10325" t="s">
        <v>760</v>
      </c>
      <c r="C10325" t="s">
        <v>875</v>
      </c>
      <c r="D10325" t="s">
        <v>14</v>
      </c>
      <c r="E10325">
        <v>6</v>
      </c>
      <c r="F10325" s="2">
        <f>DATE(2026,IF(Tabla1[[#This Row],[Mes de Fecha]]="Septiembre",9,10),Tabla1[[#This Row],[Día de Fecha]])</f>
        <v>46301</v>
      </c>
      <c r="G10325">
        <v>1004810740</v>
      </c>
      <c r="H10325" t="s">
        <v>540</v>
      </c>
      <c r="I10325">
        <v>43</v>
      </c>
      <c r="J10325">
        <v>0</v>
      </c>
      <c r="K10325" s="1">
        <v>2435131</v>
      </c>
    </row>
    <row r="10326" spans="1:11" x14ac:dyDescent="0.25">
      <c r="A10326" t="s">
        <v>326</v>
      </c>
      <c r="B10326" t="s">
        <v>760</v>
      </c>
      <c r="C10326" t="s">
        <v>875</v>
      </c>
      <c r="D10326" t="s">
        <v>14</v>
      </c>
      <c r="E10326">
        <v>6</v>
      </c>
      <c r="F10326" s="2">
        <f>DATE(2026,IF(Tabla1[[#This Row],[Mes de Fecha]]="Septiembre",9,10),Tabla1[[#This Row],[Día de Fecha]])</f>
        <v>46301</v>
      </c>
      <c r="G10326">
        <v>1093735711</v>
      </c>
      <c r="H10326" t="s">
        <v>762</v>
      </c>
      <c r="I10326">
        <v>3</v>
      </c>
      <c r="J10326">
        <v>0</v>
      </c>
      <c r="K10326" s="1">
        <v>151135</v>
      </c>
    </row>
    <row r="10327" spans="1:11" x14ac:dyDescent="0.25">
      <c r="A10327" t="s">
        <v>326</v>
      </c>
      <c r="B10327" t="s">
        <v>760</v>
      </c>
      <c r="C10327" t="s">
        <v>875</v>
      </c>
      <c r="D10327" t="s">
        <v>14</v>
      </c>
      <c r="E10327">
        <v>6</v>
      </c>
      <c r="F10327" s="2">
        <f>DATE(2026,IF(Tabla1[[#This Row],[Mes de Fecha]]="Septiembre",9,10),Tabla1[[#This Row],[Día de Fecha]])</f>
        <v>46301</v>
      </c>
      <c r="G10327">
        <v>1094047894</v>
      </c>
      <c r="H10327" t="s">
        <v>414</v>
      </c>
      <c r="I10327">
        <v>-1</v>
      </c>
      <c r="J10327">
        <v>0</v>
      </c>
      <c r="K10327" s="1">
        <v>-46177</v>
      </c>
    </row>
    <row r="10328" spans="1:11" x14ac:dyDescent="0.25">
      <c r="A10328" t="s">
        <v>326</v>
      </c>
      <c r="B10328" t="s">
        <v>760</v>
      </c>
      <c r="C10328" t="s">
        <v>875</v>
      </c>
      <c r="D10328" t="s">
        <v>14</v>
      </c>
      <c r="E10328">
        <v>6</v>
      </c>
      <c r="F10328" s="2">
        <f>DATE(2026,IF(Tabla1[[#This Row],[Mes de Fecha]]="Septiembre",9,10),Tabla1[[#This Row],[Día de Fecha]])</f>
        <v>46301</v>
      </c>
      <c r="G10328">
        <v>1115725913</v>
      </c>
      <c r="H10328" t="s">
        <v>763</v>
      </c>
      <c r="I10328">
        <v>2</v>
      </c>
      <c r="J10328">
        <v>0</v>
      </c>
      <c r="K10328" s="1">
        <v>113361</v>
      </c>
    </row>
    <row r="10329" spans="1:11" x14ac:dyDescent="0.25">
      <c r="A10329" t="s">
        <v>326</v>
      </c>
      <c r="B10329" t="s">
        <v>760</v>
      </c>
      <c r="C10329" t="s">
        <v>875</v>
      </c>
      <c r="D10329" t="s">
        <v>14</v>
      </c>
      <c r="E10329">
        <v>7</v>
      </c>
      <c r="F10329" s="2">
        <f>DATE(2026,IF(Tabla1[[#This Row],[Mes de Fecha]]="Septiembre",9,10),Tabla1[[#This Row],[Día de Fecha]])</f>
        <v>46302</v>
      </c>
      <c r="I10329">
        <v>0</v>
      </c>
      <c r="J10329" s="1">
        <v>11361924</v>
      </c>
      <c r="K10329">
        <v>0</v>
      </c>
    </row>
    <row r="10330" spans="1:11" x14ac:dyDescent="0.25">
      <c r="A10330" t="s">
        <v>326</v>
      </c>
      <c r="B10330" t="s">
        <v>760</v>
      </c>
      <c r="C10330" t="s">
        <v>875</v>
      </c>
      <c r="D10330" t="s">
        <v>14</v>
      </c>
      <c r="E10330">
        <v>7</v>
      </c>
      <c r="F10330" s="2">
        <f>DATE(2026,IF(Tabla1[[#This Row],[Mes de Fecha]]="Septiembre",9,10),Tabla1[[#This Row],[Día de Fecha]])</f>
        <v>46302</v>
      </c>
      <c r="G10330">
        <v>37506130</v>
      </c>
      <c r="H10330" t="s">
        <v>533</v>
      </c>
      <c r="I10330">
        <v>-1</v>
      </c>
      <c r="J10330">
        <v>0</v>
      </c>
      <c r="K10330" s="1">
        <v>-105000</v>
      </c>
    </row>
    <row r="10331" spans="1:11" x14ac:dyDescent="0.25">
      <c r="A10331" t="s">
        <v>326</v>
      </c>
      <c r="B10331" t="s">
        <v>760</v>
      </c>
      <c r="C10331" t="s">
        <v>875</v>
      </c>
      <c r="D10331" t="s">
        <v>14</v>
      </c>
      <c r="E10331">
        <v>7</v>
      </c>
      <c r="F10331" s="2">
        <f>DATE(2026,IF(Tabla1[[#This Row],[Mes de Fecha]]="Septiembre",9,10),Tabla1[[#This Row],[Día de Fecha]])</f>
        <v>46302</v>
      </c>
      <c r="G10331">
        <v>63510426</v>
      </c>
      <c r="H10331" t="s">
        <v>536</v>
      </c>
      <c r="I10331">
        <v>62</v>
      </c>
      <c r="J10331">
        <v>0</v>
      </c>
      <c r="K10331" s="1">
        <v>3387987</v>
      </c>
    </row>
    <row r="10332" spans="1:11" x14ac:dyDescent="0.25">
      <c r="A10332" t="s">
        <v>326</v>
      </c>
      <c r="B10332" t="s">
        <v>760</v>
      </c>
      <c r="C10332" t="s">
        <v>875</v>
      </c>
      <c r="D10332" t="s">
        <v>14</v>
      </c>
      <c r="E10332">
        <v>7</v>
      </c>
      <c r="F10332" s="2">
        <f>DATE(2026,IF(Tabla1[[#This Row],[Mes de Fecha]]="Septiembre",9,10),Tabla1[[#This Row],[Día de Fecha]])</f>
        <v>46302</v>
      </c>
      <c r="G10332">
        <v>1004810740</v>
      </c>
      <c r="H10332" t="s">
        <v>540</v>
      </c>
      <c r="I10332">
        <v>55</v>
      </c>
      <c r="J10332">
        <v>0</v>
      </c>
      <c r="K10332" s="1">
        <v>3463913</v>
      </c>
    </row>
    <row r="10333" spans="1:11" x14ac:dyDescent="0.25">
      <c r="A10333" t="s">
        <v>326</v>
      </c>
      <c r="B10333" t="s">
        <v>760</v>
      </c>
      <c r="C10333" t="s">
        <v>875</v>
      </c>
      <c r="D10333" t="s">
        <v>14</v>
      </c>
      <c r="E10333">
        <v>7</v>
      </c>
      <c r="F10333" s="2">
        <f>DATE(2026,IF(Tabla1[[#This Row],[Mes de Fecha]]="Septiembre",9,10),Tabla1[[#This Row],[Día de Fecha]])</f>
        <v>46302</v>
      </c>
      <c r="G10333">
        <v>1093735711</v>
      </c>
      <c r="H10333" t="s">
        <v>762</v>
      </c>
      <c r="I10333">
        <v>2</v>
      </c>
      <c r="J10333">
        <v>0</v>
      </c>
      <c r="K10333" s="1">
        <v>104958</v>
      </c>
    </row>
    <row r="10334" spans="1:11" x14ac:dyDescent="0.25">
      <c r="A10334" t="s">
        <v>326</v>
      </c>
      <c r="B10334" t="s">
        <v>760</v>
      </c>
      <c r="C10334" t="s">
        <v>875</v>
      </c>
      <c r="D10334" t="s">
        <v>14</v>
      </c>
      <c r="E10334">
        <v>7</v>
      </c>
      <c r="F10334" s="2">
        <f>DATE(2026,IF(Tabla1[[#This Row],[Mes de Fecha]]="Septiembre",9,10),Tabla1[[#This Row],[Día de Fecha]])</f>
        <v>46302</v>
      </c>
      <c r="G10334">
        <v>1115725913</v>
      </c>
      <c r="H10334" t="s">
        <v>763</v>
      </c>
      <c r="I10334">
        <v>2</v>
      </c>
      <c r="J10334">
        <v>0</v>
      </c>
      <c r="K10334" s="1">
        <v>67143</v>
      </c>
    </row>
    <row r="10335" spans="1:11" x14ac:dyDescent="0.25">
      <c r="A10335" t="s">
        <v>326</v>
      </c>
      <c r="B10335" t="s">
        <v>803</v>
      </c>
      <c r="C10335" t="s">
        <v>875</v>
      </c>
      <c r="D10335" t="s">
        <v>11</v>
      </c>
      <c r="E10335">
        <v>23</v>
      </c>
      <c r="F10335" s="2">
        <f>DATE(2026,IF(Tabla1[[#This Row],[Mes de Fecha]]="Septiembre",9,10),Tabla1[[#This Row],[Día de Fecha]])</f>
        <v>46288</v>
      </c>
      <c r="I10335">
        <v>0</v>
      </c>
      <c r="J10335" s="1">
        <v>15063509</v>
      </c>
      <c r="K10335">
        <v>0</v>
      </c>
    </row>
    <row r="10336" spans="1:11" x14ac:dyDescent="0.25">
      <c r="A10336" t="s">
        <v>326</v>
      </c>
      <c r="B10336" t="s">
        <v>803</v>
      </c>
      <c r="C10336" t="s">
        <v>875</v>
      </c>
      <c r="D10336" t="s">
        <v>11</v>
      </c>
      <c r="E10336">
        <v>23</v>
      </c>
      <c r="F10336" s="2">
        <f>DATE(2026,IF(Tabla1[[#This Row],[Mes de Fecha]]="Septiembre",9,10),Tabla1[[#This Row],[Día de Fecha]])</f>
        <v>46288</v>
      </c>
      <c r="G10336">
        <v>1004846203</v>
      </c>
      <c r="H10336" t="s">
        <v>420</v>
      </c>
      <c r="I10336">
        <v>16</v>
      </c>
      <c r="J10336">
        <v>0</v>
      </c>
      <c r="K10336" s="1">
        <v>764035</v>
      </c>
    </row>
    <row r="10337" spans="1:11" x14ac:dyDescent="0.25">
      <c r="A10337" t="s">
        <v>326</v>
      </c>
      <c r="B10337" t="s">
        <v>803</v>
      </c>
      <c r="C10337" t="s">
        <v>875</v>
      </c>
      <c r="D10337" t="s">
        <v>11</v>
      </c>
      <c r="E10337">
        <v>23</v>
      </c>
      <c r="F10337" s="2">
        <f>DATE(2026,IF(Tabla1[[#This Row],[Mes de Fecha]]="Septiembre",9,10),Tabla1[[#This Row],[Día de Fecha]])</f>
        <v>46288</v>
      </c>
      <c r="G10337">
        <v>1030040455</v>
      </c>
      <c r="H10337" t="s">
        <v>419</v>
      </c>
      <c r="I10337">
        <v>132</v>
      </c>
      <c r="J10337">
        <v>0</v>
      </c>
      <c r="K10337" s="1">
        <v>6280174</v>
      </c>
    </row>
    <row r="10338" spans="1:11" x14ac:dyDescent="0.25">
      <c r="A10338" t="s">
        <v>326</v>
      </c>
      <c r="B10338" t="s">
        <v>803</v>
      </c>
      <c r="C10338" t="s">
        <v>875</v>
      </c>
      <c r="D10338" t="s">
        <v>11</v>
      </c>
      <c r="E10338">
        <v>23</v>
      </c>
      <c r="F10338" s="2">
        <f>DATE(2026,IF(Tabla1[[#This Row],[Mes de Fecha]]="Septiembre",9,10),Tabla1[[#This Row],[Día de Fecha]])</f>
        <v>46288</v>
      </c>
      <c r="G10338">
        <v>1127048399</v>
      </c>
      <c r="H10338" t="s">
        <v>539</v>
      </c>
      <c r="I10338">
        <v>27</v>
      </c>
      <c r="J10338">
        <v>0</v>
      </c>
      <c r="K10338" s="1">
        <v>1780377</v>
      </c>
    </row>
    <row r="10339" spans="1:11" x14ac:dyDescent="0.25">
      <c r="A10339" t="s">
        <v>326</v>
      </c>
      <c r="B10339" t="s">
        <v>803</v>
      </c>
      <c r="C10339" t="s">
        <v>875</v>
      </c>
      <c r="D10339" t="s">
        <v>11</v>
      </c>
      <c r="E10339">
        <v>23</v>
      </c>
      <c r="F10339" s="2">
        <f>DATE(2026,IF(Tabla1[[#This Row],[Mes de Fecha]]="Septiembre",9,10),Tabla1[[#This Row],[Día de Fecha]])</f>
        <v>46288</v>
      </c>
      <c r="G10339">
        <v>1148965693</v>
      </c>
      <c r="H10339" t="s">
        <v>391</v>
      </c>
      <c r="I10339">
        <v>90</v>
      </c>
      <c r="J10339">
        <v>0</v>
      </c>
      <c r="K10339" s="1">
        <v>5359625</v>
      </c>
    </row>
    <row r="10340" spans="1:11" x14ac:dyDescent="0.25">
      <c r="A10340" t="s">
        <v>326</v>
      </c>
      <c r="B10340" t="s">
        <v>803</v>
      </c>
      <c r="C10340" t="s">
        <v>875</v>
      </c>
      <c r="D10340" t="s">
        <v>11</v>
      </c>
      <c r="E10340">
        <v>23</v>
      </c>
      <c r="F10340" s="2">
        <f>DATE(2026,IF(Tabla1[[#This Row],[Mes de Fecha]]="Septiembre",9,10),Tabla1[[#This Row],[Día de Fecha]])</f>
        <v>46288</v>
      </c>
      <c r="G10340">
        <v>1193438645</v>
      </c>
      <c r="H10340" t="s">
        <v>421</v>
      </c>
      <c r="I10340">
        <v>108</v>
      </c>
      <c r="J10340">
        <v>0</v>
      </c>
      <c r="K10340" s="1">
        <v>5993319</v>
      </c>
    </row>
    <row r="10341" spans="1:11" x14ac:dyDescent="0.25">
      <c r="A10341" t="s">
        <v>326</v>
      </c>
      <c r="B10341" t="s">
        <v>803</v>
      </c>
      <c r="C10341" t="s">
        <v>875</v>
      </c>
      <c r="D10341" t="s">
        <v>11</v>
      </c>
      <c r="E10341">
        <v>24</v>
      </c>
      <c r="F10341" s="2">
        <f>DATE(2026,IF(Tabla1[[#This Row],[Mes de Fecha]]="Septiembre",9,10),Tabla1[[#This Row],[Día de Fecha]])</f>
        <v>46289</v>
      </c>
      <c r="I10341">
        <v>0</v>
      </c>
      <c r="J10341" s="1">
        <v>23011207</v>
      </c>
      <c r="K10341">
        <v>0</v>
      </c>
    </row>
    <row r="10342" spans="1:11" x14ac:dyDescent="0.25">
      <c r="A10342" t="s">
        <v>326</v>
      </c>
      <c r="B10342" t="s">
        <v>803</v>
      </c>
      <c r="C10342" t="s">
        <v>875</v>
      </c>
      <c r="D10342" t="s">
        <v>11</v>
      </c>
      <c r="E10342">
        <v>24</v>
      </c>
      <c r="F10342" s="2">
        <f>DATE(2026,IF(Tabla1[[#This Row],[Mes de Fecha]]="Septiembre",9,10),Tabla1[[#This Row],[Día de Fecha]])</f>
        <v>46289</v>
      </c>
      <c r="G10342">
        <v>63510426</v>
      </c>
      <c r="H10342" t="s">
        <v>536</v>
      </c>
      <c r="I10342">
        <v>-1</v>
      </c>
      <c r="J10342">
        <v>0</v>
      </c>
      <c r="K10342" s="1">
        <v>-75546</v>
      </c>
    </row>
    <row r="10343" spans="1:11" x14ac:dyDescent="0.25">
      <c r="A10343" t="s">
        <v>326</v>
      </c>
      <c r="B10343" t="s">
        <v>803</v>
      </c>
      <c r="C10343" t="s">
        <v>875</v>
      </c>
      <c r="D10343" t="s">
        <v>11</v>
      </c>
      <c r="E10343">
        <v>24</v>
      </c>
      <c r="F10343" s="2">
        <f>DATE(2026,IF(Tabla1[[#This Row],[Mes de Fecha]]="Septiembre",9,10),Tabla1[[#This Row],[Día de Fecha]])</f>
        <v>46289</v>
      </c>
      <c r="G10343">
        <v>1004846203</v>
      </c>
      <c r="H10343" t="s">
        <v>420</v>
      </c>
      <c r="I10343">
        <v>39</v>
      </c>
      <c r="J10343">
        <v>0</v>
      </c>
      <c r="K10343" s="1">
        <v>2002565</v>
      </c>
    </row>
    <row r="10344" spans="1:11" x14ac:dyDescent="0.25">
      <c r="A10344" t="s">
        <v>326</v>
      </c>
      <c r="B10344" t="s">
        <v>803</v>
      </c>
      <c r="C10344" t="s">
        <v>875</v>
      </c>
      <c r="D10344" t="s">
        <v>11</v>
      </c>
      <c r="E10344">
        <v>24</v>
      </c>
      <c r="F10344" s="2">
        <f>DATE(2026,IF(Tabla1[[#This Row],[Mes de Fecha]]="Septiembre",9,10),Tabla1[[#This Row],[Día de Fecha]])</f>
        <v>46289</v>
      </c>
      <c r="G10344">
        <v>1030040455</v>
      </c>
      <c r="H10344" t="s">
        <v>419</v>
      </c>
      <c r="I10344">
        <v>101</v>
      </c>
      <c r="J10344">
        <v>0</v>
      </c>
      <c r="K10344" s="1">
        <v>6088240</v>
      </c>
    </row>
    <row r="10345" spans="1:11" x14ac:dyDescent="0.25">
      <c r="A10345" t="s">
        <v>326</v>
      </c>
      <c r="B10345" t="s">
        <v>803</v>
      </c>
      <c r="C10345" t="s">
        <v>875</v>
      </c>
      <c r="D10345" t="s">
        <v>11</v>
      </c>
      <c r="E10345">
        <v>24</v>
      </c>
      <c r="F10345" s="2">
        <f>DATE(2026,IF(Tabla1[[#This Row],[Mes de Fecha]]="Septiembre",9,10),Tabla1[[#This Row],[Día de Fecha]])</f>
        <v>46289</v>
      </c>
      <c r="G10345">
        <v>1127048399</v>
      </c>
      <c r="H10345" t="s">
        <v>539</v>
      </c>
      <c r="I10345">
        <v>24</v>
      </c>
      <c r="J10345">
        <v>0</v>
      </c>
      <c r="K10345" s="1">
        <v>1622942</v>
      </c>
    </row>
    <row r="10346" spans="1:11" x14ac:dyDescent="0.25">
      <c r="A10346" t="s">
        <v>326</v>
      </c>
      <c r="B10346" t="s">
        <v>803</v>
      </c>
      <c r="C10346" t="s">
        <v>875</v>
      </c>
      <c r="D10346" t="s">
        <v>11</v>
      </c>
      <c r="E10346">
        <v>24</v>
      </c>
      <c r="F10346" s="2">
        <f>DATE(2026,IF(Tabla1[[#This Row],[Mes de Fecha]]="Septiembre",9,10),Tabla1[[#This Row],[Día de Fecha]])</f>
        <v>46289</v>
      </c>
      <c r="G10346">
        <v>1148965693</v>
      </c>
      <c r="H10346" t="s">
        <v>391</v>
      </c>
      <c r="I10346">
        <v>79</v>
      </c>
      <c r="J10346">
        <v>0</v>
      </c>
      <c r="K10346" s="1">
        <v>4488238</v>
      </c>
    </row>
    <row r="10347" spans="1:11" x14ac:dyDescent="0.25">
      <c r="A10347" t="s">
        <v>326</v>
      </c>
      <c r="B10347" t="s">
        <v>803</v>
      </c>
      <c r="C10347" t="s">
        <v>875</v>
      </c>
      <c r="D10347" t="s">
        <v>11</v>
      </c>
      <c r="E10347">
        <v>24</v>
      </c>
      <c r="F10347" s="2">
        <f>DATE(2026,IF(Tabla1[[#This Row],[Mes de Fecha]]="Septiembre",9,10),Tabla1[[#This Row],[Día de Fecha]])</f>
        <v>46289</v>
      </c>
      <c r="G10347">
        <v>1193438645</v>
      </c>
      <c r="H10347" t="s">
        <v>421</v>
      </c>
      <c r="I10347">
        <v>62</v>
      </c>
      <c r="J10347">
        <v>0</v>
      </c>
      <c r="K10347" s="1">
        <v>3575708</v>
      </c>
    </row>
    <row r="10348" spans="1:11" x14ac:dyDescent="0.25">
      <c r="A10348" t="s">
        <v>326</v>
      </c>
      <c r="B10348" t="s">
        <v>803</v>
      </c>
      <c r="C10348" t="s">
        <v>875</v>
      </c>
      <c r="D10348" t="s">
        <v>11</v>
      </c>
      <c r="E10348">
        <v>25</v>
      </c>
      <c r="F10348" s="2">
        <f>DATE(2026,IF(Tabla1[[#This Row],[Mes de Fecha]]="Septiembre",9,10),Tabla1[[#This Row],[Día de Fecha]])</f>
        <v>46290</v>
      </c>
      <c r="I10348">
        <v>0</v>
      </c>
      <c r="J10348" s="1">
        <v>22960263</v>
      </c>
      <c r="K10348">
        <v>0</v>
      </c>
    </row>
    <row r="10349" spans="1:11" x14ac:dyDescent="0.25">
      <c r="A10349" t="s">
        <v>326</v>
      </c>
      <c r="B10349" t="s">
        <v>803</v>
      </c>
      <c r="C10349" t="s">
        <v>875</v>
      </c>
      <c r="D10349" t="s">
        <v>11</v>
      </c>
      <c r="E10349">
        <v>25</v>
      </c>
      <c r="F10349" s="2">
        <f>DATE(2026,IF(Tabla1[[#This Row],[Mes de Fecha]]="Septiembre",9,10),Tabla1[[#This Row],[Día de Fecha]])</f>
        <v>46290</v>
      </c>
      <c r="G10349">
        <v>1004846203</v>
      </c>
      <c r="H10349" t="s">
        <v>420</v>
      </c>
      <c r="I10349">
        <v>31</v>
      </c>
      <c r="J10349">
        <v>0</v>
      </c>
      <c r="K10349" s="1">
        <v>1729790</v>
      </c>
    </row>
    <row r="10350" spans="1:11" x14ac:dyDescent="0.25">
      <c r="A10350" t="s">
        <v>326</v>
      </c>
      <c r="B10350" t="s">
        <v>803</v>
      </c>
      <c r="C10350" t="s">
        <v>875</v>
      </c>
      <c r="D10350" t="s">
        <v>11</v>
      </c>
      <c r="E10350">
        <v>25</v>
      </c>
      <c r="F10350" s="2">
        <f>DATE(2026,IF(Tabla1[[#This Row],[Mes de Fecha]]="Septiembre",9,10),Tabla1[[#This Row],[Día de Fecha]])</f>
        <v>46290</v>
      </c>
      <c r="G10350">
        <v>1030040455</v>
      </c>
      <c r="H10350" t="s">
        <v>419</v>
      </c>
      <c r="I10350">
        <v>104</v>
      </c>
      <c r="J10350">
        <v>0</v>
      </c>
      <c r="K10350" s="1">
        <v>6445045</v>
      </c>
    </row>
    <row r="10351" spans="1:11" x14ac:dyDescent="0.25">
      <c r="A10351" t="s">
        <v>326</v>
      </c>
      <c r="B10351" t="s">
        <v>803</v>
      </c>
      <c r="C10351" t="s">
        <v>875</v>
      </c>
      <c r="D10351" t="s">
        <v>11</v>
      </c>
      <c r="E10351">
        <v>25</v>
      </c>
      <c r="F10351" s="2">
        <f>DATE(2026,IF(Tabla1[[#This Row],[Mes de Fecha]]="Septiembre",9,10),Tabla1[[#This Row],[Día de Fecha]])</f>
        <v>46290</v>
      </c>
      <c r="G10351">
        <v>1127048399</v>
      </c>
      <c r="H10351" t="s">
        <v>539</v>
      </c>
      <c r="I10351">
        <v>33</v>
      </c>
      <c r="J10351">
        <v>0</v>
      </c>
      <c r="K10351" s="1">
        <v>1950254</v>
      </c>
    </row>
    <row r="10352" spans="1:11" x14ac:dyDescent="0.25">
      <c r="A10352" t="s">
        <v>326</v>
      </c>
      <c r="B10352" t="s">
        <v>803</v>
      </c>
      <c r="C10352" t="s">
        <v>875</v>
      </c>
      <c r="D10352" t="s">
        <v>11</v>
      </c>
      <c r="E10352">
        <v>25</v>
      </c>
      <c r="F10352" s="2">
        <f>DATE(2026,IF(Tabla1[[#This Row],[Mes de Fecha]]="Septiembre",9,10),Tabla1[[#This Row],[Día de Fecha]])</f>
        <v>46290</v>
      </c>
      <c r="G10352">
        <v>1148965693</v>
      </c>
      <c r="H10352" t="s">
        <v>391</v>
      </c>
      <c r="I10352">
        <v>104</v>
      </c>
      <c r="J10352">
        <v>0</v>
      </c>
      <c r="K10352" s="1">
        <v>5350674</v>
      </c>
    </row>
    <row r="10353" spans="1:11" x14ac:dyDescent="0.25">
      <c r="A10353" t="s">
        <v>326</v>
      </c>
      <c r="B10353" t="s">
        <v>803</v>
      </c>
      <c r="C10353" t="s">
        <v>875</v>
      </c>
      <c r="D10353" t="s">
        <v>11</v>
      </c>
      <c r="E10353">
        <v>25</v>
      </c>
      <c r="F10353" s="2">
        <f>DATE(2026,IF(Tabla1[[#This Row],[Mes de Fecha]]="Septiembre",9,10),Tabla1[[#This Row],[Día de Fecha]])</f>
        <v>46290</v>
      </c>
      <c r="G10353">
        <v>1193438645</v>
      </c>
      <c r="H10353" t="s">
        <v>421</v>
      </c>
      <c r="I10353">
        <v>75</v>
      </c>
      <c r="J10353">
        <v>0</v>
      </c>
      <c r="K10353" s="1">
        <v>4129205</v>
      </c>
    </row>
    <row r="10354" spans="1:11" x14ac:dyDescent="0.25">
      <c r="A10354" t="s">
        <v>326</v>
      </c>
      <c r="B10354" t="s">
        <v>803</v>
      </c>
      <c r="C10354" t="s">
        <v>875</v>
      </c>
      <c r="D10354" t="s">
        <v>11</v>
      </c>
      <c r="E10354">
        <v>26</v>
      </c>
      <c r="F10354" s="2">
        <f>DATE(2026,IF(Tabla1[[#This Row],[Mes de Fecha]]="Septiembre",9,10),Tabla1[[#This Row],[Día de Fecha]])</f>
        <v>46291</v>
      </c>
      <c r="I10354">
        <v>0</v>
      </c>
      <c r="J10354" s="1">
        <v>32997201</v>
      </c>
      <c r="K10354">
        <v>0</v>
      </c>
    </row>
    <row r="10355" spans="1:11" x14ac:dyDescent="0.25">
      <c r="A10355" t="s">
        <v>326</v>
      </c>
      <c r="B10355" t="s">
        <v>803</v>
      </c>
      <c r="C10355" t="s">
        <v>875</v>
      </c>
      <c r="D10355" t="s">
        <v>11</v>
      </c>
      <c r="E10355">
        <v>26</v>
      </c>
      <c r="F10355" s="2">
        <f>DATE(2026,IF(Tabla1[[#This Row],[Mes de Fecha]]="Septiembre",9,10),Tabla1[[#This Row],[Día de Fecha]])</f>
        <v>46291</v>
      </c>
      <c r="G10355">
        <v>1004846203</v>
      </c>
      <c r="H10355" t="s">
        <v>420</v>
      </c>
      <c r="I10355">
        <v>47</v>
      </c>
      <c r="J10355">
        <v>0</v>
      </c>
      <c r="K10355" s="1">
        <v>2790046</v>
      </c>
    </row>
    <row r="10356" spans="1:11" x14ac:dyDescent="0.25">
      <c r="A10356" t="s">
        <v>326</v>
      </c>
      <c r="B10356" t="s">
        <v>803</v>
      </c>
      <c r="C10356" t="s">
        <v>875</v>
      </c>
      <c r="D10356" t="s">
        <v>11</v>
      </c>
      <c r="E10356">
        <v>26</v>
      </c>
      <c r="F10356" s="2">
        <f>DATE(2026,IF(Tabla1[[#This Row],[Mes de Fecha]]="Septiembre",9,10),Tabla1[[#This Row],[Día de Fecha]])</f>
        <v>46291</v>
      </c>
      <c r="G10356">
        <v>1030040455</v>
      </c>
      <c r="H10356" t="s">
        <v>419</v>
      </c>
      <c r="I10356">
        <v>114</v>
      </c>
      <c r="J10356">
        <v>0</v>
      </c>
      <c r="K10356" s="1">
        <v>7091687</v>
      </c>
    </row>
    <row r="10357" spans="1:11" x14ac:dyDescent="0.25">
      <c r="A10357" t="s">
        <v>326</v>
      </c>
      <c r="B10357" t="s">
        <v>803</v>
      </c>
      <c r="C10357" t="s">
        <v>875</v>
      </c>
      <c r="D10357" t="s">
        <v>11</v>
      </c>
      <c r="E10357">
        <v>26</v>
      </c>
      <c r="F10357" s="2">
        <f>DATE(2026,IF(Tabla1[[#This Row],[Mes de Fecha]]="Septiembre",9,10),Tabla1[[#This Row],[Día de Fecha]])</f>
        <v>46291</v>
      </c>
      <c r="G10357">
        <v>1127048399</v>
      </c>
      <c r="H10357" t="s">
        <v>539</v>
      </c>
      <c r="I10357">
        <v>42</v>
      </c>
      <c r="J10357">
        <v>0</v>
      </c>
      <c r="K10357" s="1">
        <v>2426810</v>
      </c>
    </row>
    <row r="10358" spans="1:11" x14ac:dyDescent="0.25">
      <c r="A10358" t="s">
        <v>326</v>
      </c>
      <c r="B10358" t="s">
        <v>803</v>
      </c>
      <c r="C10358" t="s">
        <v>875</v>
      </c>
      <c r="D10358" t="s">
        <v>11</v>
      </c>
      <c r="E10358">
        <v>26</v>
      </c>
      <c r="F10358" s="2">
        <f>DATE(2026,IF(Tabla1[[#This Row],[Mes de Fecha]]="Septiembre",9,10),Tabla1[[#This Row],[Día de Fecha]])</f>
        <v>46291</v>
      </c>
      <c r="G10358">
        <v>1148965693</v>
      </c>
      <c r="H10358" t="s">
        <v>391</v>
      </c>
      <c r="I10358">
        <v>102</v>
      </c>
      <c r="J10358">
        <v>0</v>
      </c>
      <c r="K10358" s="1">
        <v>6052317</v>
      </c>
    </row>
    <row r="10359" spans="1:11" x14ac:dyDescent="0.25">
      <c r="A10359" t="s">
        <v>326</v>
      </c>
      <c r="B10359" t="s">
        <v>803</v>
      </c>
      <c r="C10359" t="s">
        <v>875</v>
      </c>
      <c r="D10359" t="s">
        <v>11</v>
      </c>
      <c r="E10359">
        <v>26</v>
      </c>
      <c r="F10359" s="2">
        <f>DATE(2026,IF(Tabla1[[#This Row],[Mes de Fecha]]="Septiembre",9,10),Tabla1[[#This Row],[Día de Fecha]])</f>
        <v>46291</v>
      </c>
      <c r="G10359">
        <v>1193438645</v>
      </c>
      <c r="H10359" t="s">
        <v>421</v>
      </c>
      <c r="I10359">
        <v>91</v>
      </c>
      <c r="J10359">
        <v>0</v>
      </c>
      <c r="K10359" s="1">
        <v>5617943</v>
      </c>
    </row>
    <row r="10360" spans="1:11" x14ac:dyDescent="0.25">
      <c r="A10360" t="s">
        <v>326</v>
      </c>
      <c r="B10360" t="s">
        <v>803</v>
      </c>
      <c r="C10360" t="s">
        <v>875</v>
      </c>
      <c r="D10360" t="s">
        <v>11</v>
      </c>
      <c r="E10360">
        <v>27</v>
      </c>
      <c r="F10360" s="2">
        <f>DATE(2026,IF(Tabla1[[#This Row],[Mes de Fecha]]="Septiembre",9,10),Tabla1[[#This Row],[Día de Fecha]])</f>
        <v>46292</v>
      </c>
      <c r="I10360">
        <v>0</v>
      </c>
      <c r="J10360" s="1">
        <v>26140426</v>
      </c>
      <c r="K10360">
        <v>0</v>
      </c>
    </row>
    <row r="10361" spans="1:11" x14ac:dyDescent="0.25">
      <c r="A10361" t="s">
        <v>326</v>
      </c>
      <c r="B10361" t="s">
        <v>803</v>
      </c>
      <c r="C10361" t="s">
        <v>875</v>
      </c>
      <c r="D10361" t="s">
        <v>11</v>
      </c>
      <c r="E10361">
        <v>27</v>
      </c>
      <c r="F10361" s="2">
        <f>DATE(2026,IF(Tabla1[[#This Row],[Mes de Fecha]]="Septiembre",9,10),Tabla1[[#This Row],[Día de Fecha]])</f>
        <v>46292</v>
      </c>
      <c r="G10361">
        <v>1004846203</v>
      </c>
      <c r="H10361" t="s">
        <v>420</v>
      </c>
      <c r="I10361">
        <v>64</v>
      </c>
      <c r="J10361">
        <v>0</v>
      </c>
      <c r="K10361" s="1">
        <v>3661096</v>
      </c>
    </row>
    <row r="10362" spans="1:11" x14ac:dyDescent="0.25">
      <c r="A10362" t="s">
        <v>326</v>
      </c>
      <c r="B10362" t="s">
        <v>803</v>
      </c>
      <c r="C10362" t="s">
        <v>875</v>
      </c>
      <c r="D10362" t="s">
        <v>11</v>
      </c>
      <c r="E10362">
        <v>27</v>
      </c>
      <c r="F10362" s="2">
        <f>DATE(2026,IF(Tabla1[[#This Row],[Mes de Fecha]]="Septiembre",9,10),Tabla1[[#This Row],[Día de Fecha]])</f>
        <v>46292</v>
      </c>
      <c r="G10362">
        <v>1030040455</v>
      </c>
      <c r="H10362" t="s">
        <v>419</v>
      </c>
      <c r="I10362">
        <v>150</v>
      </c>
      <c r="J10362">
        <v>0</v>
      </c>
      <c r="K10362" s="1">
        <v>9357110</v>
      </c>
    </row>
    <row r="10363" spans="1:11" x14ac:dyDescent="0.25">
      <c r="A10363" t="s">
        <v>326</v>
      </c>
      <c r="B10363" t="s">
        <v>803</v>
      </c>
      <c r="C10363" t="s">
        <v>875</v>
      </c>
      <c r="D10363" t="s">
        <v>11</v>
      </c>
      <c r="E10363">
        <v>27</v>
      </c>
      <c r="F10363" s="2">
        <f>DATE(2026,IF(Tabla1[[#This Row],[Mes de Fecha]]="Septiembre",9,10),Tabla1[[#This Row],[Día de Fecha]])</f>
        <v>46292</v>
      </c>
      <c r="G10363">
        <v>1127048399</v>
      </c>
      <c r="H10363" t="s">
        <v>539</v>
      </c>
      <c r="I10363">
        <v>78</v>
      </c>
      <c r="J10363">
        <v>0</v>
      </c>
      <c r="K10363" s="1">
        <v>4358031</v>
      </c>
    </row>
    <row r="10364" spans="1:11" x14ac:dyDescent="0.25">
      <c r="A10364" t="s">
        <v>326</v>
      </c>
      <c r="B10364" t="s">
        <v>803</v>
      </c>
      <c r="C10364" t="s">
        <v>875</v>
      </c>
      <c r="D10364" t="s">
        <v>11</v>
      </c>
      <c r="E10364">
        <v>27</v>
      </c>
      <c r="F10364" s="2">
        <f>DATE(2026,IF(Tabla1[[#This Row],[Mes de Fecha]]="Septiembre",9,10),Tabla1[[#This Row],[Día de Fecha]])</f>
        <v>46292</v>
      </c>
      <c r="G10364">
        <v>1148965693</v>
      </c>
      <c r="H10364" t="s">
        <v>391</v>
      </c>
      <c r="I10364">
        <v>191</v>
      </c>
      <c r="J10364">
        <v>0</v>
      </c>
      <c r="K10364" s="1">
        <v>10920394</v>
      </c>
    </row>
    <row r="10365" spans="1:11" x14ac:dyDescent="0.25">
      <c r="A10365" t="s">
        <v>326</v>
      </c>
      <c r="B10365" t="s">
        <v>803</v>
      </c>
      <c r="C10365" t="s">
        <v>875</v>
      </c>
      <c r="D10365" t="s">
        <v>11</v>
      </c>
      <c r="E10365">
        <v>27</v>
      </c>
      <c r="F10365" s="2">
        <f>DATE(2026,IF(Tabla1[[#This Row],[Mes de Fecha]]="Septiembre",9,10),Tabla1[[#This Row],[Día de Fecha]])</f>
        <v>46292</v>
      </c>
      <c r="G10365">
        <v>1193438645</v>
      </c>
      <c r="H10365" t="s">
        <v>421</v>
      </c>
      <c r="I10365">
        <v>128</v>
      </c>
      <c r="J10365">
        <v>0</v>
      </c>
      <c r="K10365" s="1">
        <v>7769798</v>
      </c>
    </row>
    <row r="10366" spans="1:11" x14ac:dyDescent="0.25">
      <c r="A10366" t="s">
        <v>326</v>
      </c>
      <c r="B10366" t="s">
        <v>803</v>
      </c>
      <c r="C10366" t="s">
        <v>875</v>
      </c>
      <c r="D10366" t="s">
        <v>11</v>
      </c>
      <c r="E10366">
        <v>28</v>
      </c>
      <c r="F10366" s="2">
        <f>DATE(2026,IF(Tabla1[[#This Row],[Mes de Fecha]]="Septiembre",9,10),Tabla1[[#This Row],[Día de Fecha]])</f>
        <v>46293</v>
      </c>
      <c r="I10366">
        <v>0</v>
      </c>
      <c r="J10366" s="1">
        <v>14386617</v>
      </c>
      <c r="K10366">
        <v>0</v>
      </c>
    </row>
    <row r="10367" spans="1:11" x14ac:dyDescent="0.25">
      <c r="A10367" t="s">
        <v>326</v>
      </c>
      <c r="B10367" t="s">
        <v>803</v>
      </c>
      <c r="C10367" t="s">
        <v>875</v>
      </c>
      <c r="D10367" t="s">
        <v>11</v>
      </c>
      <c r="E10367">
        <v>28</v>
      </c>
      <c r="F10367" s="2">
        <f>DATE(2026,IF(Tabla1[[#This Row],[Mes de Fecha]]="Septiembre",9,10),Tabla1[[#This Row],[Día de Fecha]])</f>
        <v>46293</v>
      </c>
      <c r="G10367">
        <v>1004846203</v>
      </c>
      <c r="H10367" t="s">
        <v>420</v>
      </c>
      <c r="I10367">
        <v>11</v>
      </c>
      <c r="J10367">
        <v>0</v>
      </c>
      <c r="K10367" s="1">
        <v>726431</v>
      </c>
    </row>
    <row r="10368" spans="1:11" x14ac:dyDescent="0.25">
      <c r="A10368" t="s">
        <v>326</v>
      </c>
      <c r="B10368" t="s">
        <v>803</v>
      </c>
      <c r="C10368" t="s">
        <v>875</v>
      </c>
      <c r="D10368" t="s">
        <v>11</v>
      </c>
      <c r="E10368">
        <v>28</v>
      </c>
      <c r="F10368" s="2">
        <f>DATE(2026,IF(Tabla1[[#This Row],[Mes de Fecha]]="Septiembre",9,10),Tabla1[[#This Row],[Día de Fecha]])</f>
        <v>46293</v>
      </c>
      <c r="G10368">
        <v>1030040455</v>
      </c>
      <c r="H10368" t="s">
        <v>419</v>
      </c>
      <c r="I10368">
        <v>42</v>
      </c>
      <c r="J10368">
        <v>0</v>
      </c>
      <c r="K10368" s="1">
        <v>2834287</v>
      </c>
    </row>
    <row r="10369" spans="1:11" x14ac:dyDescent="0.25">
      <c r="A10369" t="s">
        <v>326</v>
      </c>
      <c r="B10369" t="s">
        <v>803</v>
      </c>
      <c r="C10369" t="s">
        <v>875</v>
      </c>
      <c r="D10369" t="s">
        <v>11</v>
      </c>
      <c r="E10369">
        <v>28</v>
      </c>
      <c r="F10369" s="2">
        <f>DATE(2026,IF(Tabla1[[#This Row],[Mes de Fecha]]="Septiembre",9,10),Tabla1[[#This Row],[Día de Fecha]])</f>
        <v>46293</v>
      </c>
      <c r="G10369">
        <v>1148965693</v>
      </c>
      <c r="H10369" t="s">
        <v>391</v>
      </c>
      <c r="I10369">
        <v>35</v>
      </c>
      <c r="J10369">
        <v>0</v>
      </c>
      <c r="K10369" s="1">
        <v>2153994</v>
      </c>
    </row>
    <row r="10370" spans="1:11" x14ac:dyDescent="0.25">
      <c r="A10370" t="s">
        <v>326</v>
      </c>
      <c r="B10370" t="s">
        <v>803</v>
      </c>
      <c r="C10370" t="s">
        <v>875</v>
      </c>
      <c r="D10370" t="s">
        <v>11</v>
      </c>
      <c r="E10370">
        <v>28</v>
      </c>
      <c r="F10370" s="2">
        <f>DATE(2026,IF(Tabla1[[#This Row],[Mes de Fecha]]="Septiembre",9,10),Tabla1[[#This Row],[Día de Fecha]])</f>
        <v>46293</v>
      </c>
      <c r="G10370">
        <v>1193438645</v>
      </c>
      <c r="H10370" t="s">
        <v>421</v>
      </c>
      <c r="I10370">
        <v>35</v>
      </c>
      <c r="J10370">
        <v>0</v>
      </c>
      <c r="K10370" s="1">
        <v>2200215</v>
      </c>
    </row>
    <row r="10371" spans="1:11" x14ac:dyDescent="0.25">
      <c r="A10371" t="s">
        <v>326</v>
      </c>
      <c r="B10371" t="s">
        <v>803</v>
      </c>
      <c r="C10371" t="s">
        <v>875</v>
      </c>
      <c r="D10371" t="s">
        <v>11</v>
      </c>
      <c r="E10371">
        <v>29</v>
      </c>
      <c r="F10371" s="2">
        <f>DATE(2026,IF(Tabla1[[#This Row],[Mes de Fecha]]="Septiembre",9,10),Tabla1[[#This Row],[Día de Fecha]])</f>
        <v>46294</v>
      </c>
      <c r="I10371">
        <v>0</v>
      </c>
      <c r="J10371" s="1">
        <v>15367724</v>
      </c>
      <c r="K10371">
        <v>0</v>
      </c>
    </row>
    <row r="10372" spans="1:11" x14ac:dyDescent="0.25">
      <c r="A10372" t="s">
        <v>326</v>
      </c>
      <c r="B10372" t="s">
        <v>803</v>
      </c>
      <c r="C10372" t="s">
        <v>875</v>
      </c>
      <c r="D10372" t="s">
        <v>11</v>
      </c>
      <c r="E10372">
        <v>29</v>
      </c>
      <c r="F10372" s="2">
        <f>DATE(2026,IF(Tabla1[[#This Row],[Mes de Fecha]]="Septiembre",9,10),Tabla1[[#This Row],[Día de Fecha]])</f>
        <v>46294</v>
      </c>
      <c r="G10372">
        <v>1030040455</v>
      </c>
      <c r="H10372" t="s">
        <v>419</v>
      </c>
      <c r="I10372">
        <v>10</v>
      </c>
      <c r="J10372">
        <v>0</v>
      </c>
      <c r="K10372" s="1">
        <v>554244</v>
      </c>
    </row>
    <row r="10373" spans="1:11" x14ac:dyDescent="0.25">
      <c r="A10373" t="s">
        <v>326</v>
      </c>
      <c r="B10373" t="s">
        <v>803</v>
      </c>
      <c r="C10373" t="s">
        <v>875</v>
      </c>
      <c r="D10373" t="s">
        <v>11</v>
      </c>
      <c r="E10373">
        <v>29</v>
      </c>
      <c r="F10373" s="2">
        <f>DATE(2026,IF(Tabla1[[#This Row],[Mes de Fecha]]="Septiembre",9,10),Tabla1[[#This Row],[Día de Fecha]])</f>
        <v>46294</v>
      </c>
      <c r="G10373">
        <v>1127048399</v>
      </c>
      <c r="H10373" t="s">
        <v>539</v>
      </c>
      <c r="I10373">
        <v>3</v>
      </c>
      <c r="J10373">
        <v>0</v>
      </c>
      <c r="K10373" s="1">
        <v>134328</v>
      </c>
    </row>
    <row r="10374" spans="1:11" x14ac:dyDescent="0.25">
      <c r="A10374" t="s">
        <v>326</v>
      </c>
      <c r="B10374" t="s">
        <v>803</v>
      </c>
      <c r="C10374" t="s">
        <v>875</v>
      </c>
      <c r="D10374" t="s">
        <v>11</v>
      </c>
      <c r="E10374">
        <v>29</v>
      </c>
      <c r="F10374" s="2">
        <f>DATE(2026,IF(Tabla1[[#This Row],[Mes de Fecha]]="Septiembre",9,10),Tabla1[[#This Row],[Día de Fecha]])</f>
        <v>46294</v>
      </c>
      <c r="G10374">
        <v>1148965693</v>
      </c>
      <c r="H10374" t="s">
        <v>391</v>
      </c>
      <c r="I10374">
        <v>32</v>
      </c>
      <c r="J10374">
        <v>0</v>
      </c>
      <c r="K10374" s="1">
        <v>1969246</v>
      </c>
    </row>
    <row r="10375" spans="1:11" x14ac:dyDescent="0.25">
      <c r="A10375" t="s">
        <v>326</v>
      </c>
      <c r="B10375" t="s">
        <v>803</v>
      </c>
      <c r="C10375" t="s">
        <v>875</v>
      </c>
      <c r="D10375" t="s">
        <v>11</v>
      </c>
      <c r="E10375">
        <v>29</v>
      </c>
      <c r="F10375" s="2">
        <f>DATE(2026,IF(Tabla1[[#This Row],[Mes de Fecha]]="Septiembre",9,10),Tabla1[[#This Row],[Día de Fecha]])</f>
        <v>46294</v>
      </c>
      <c r="G10375">
        <v>1193438645</v>
      </c>
      <c r="H10375" t="s">
        <v>421</v>
      </c>
      <c r="I10375">
        <v>57</v>
      </c>
      <c r="J10375">
        <v>0</v>
      </c>
      <c r="K10375" s="1">
        <v>3220254</v>
      </c>
    </row>
    <row r="10376" spans="1:11" x14ac:dyDescent="0.25">
      <c r="A10376" t="s">
        <v>326</v>
      </c>
      <c r="B10376" t="s">
        <v>803</v>
      </c>
      <c r="C10376" t="s">
        <v>875</v>
      </c>
      <c r="D10376" t="s">
        <v>11</v>
      </c>
      <c r="E10376">
        <v>30</v>
      </c>
      <c r="F10376" s="2">
        <f>DATE(2026,IF(Tabla1[[#This Row],[Mes de Fecha]]="Septiembre",9,10),Tabla1[[#This Row],[Día de Fecha]])</f>
        <v>46295</v>
      </c>
      <c r="I10376">
        <v>0</v>
      </c>
      <c r="J10376" s="1">
        <v>15875132</v>
      </c>
      <c r="K10376">
        <v>0</v>
      </c>
    </row>
    <row r="10377" spans="1:11" x14ac:dyDescent="0.25">
      <c r="A10377" t="s">
        <v>326</v>
      </c>
      <c r="B10377" t="s">
        <v>803</v>
      </c>
      <c r="C10377" t="s">
        <v>875</v>
      </c>
      <c r="D10377" t="s">
        <v>11</v>
      </c>
      <c r="E10377">
        <v>30</v>
      </c>
      <c r="F10377" s="2">
        <f>DATE(2026,IF(Tabla1[[#This Row],[Mes de Fecha]]="Septiembre",9,10),Tabla1[[#This Row],[Día de Fecha]])</f>
        <v>46295</v>
      </c>
      <c r="G10377">
        <v>1004846203</v>
      </c>
      <c r="H10377" t="s">
        <v>420</v>
      </c>
      <c r="I10377">
        <v>12</v>
      </c>
      <c r="J10377">
        <v>0</v>
      </c>
      <c r="K10377" s="1">
        <v>776807</v>
      </c>
    </row>
    <row r="10378" spans="1:11" x14ac:dyDescent="0.25">
      <c r="A10378" t="s">
        <v>326</v>
      </c>
      <c r="B10378" t="s">
        <v>803</v>
      </c>
      <c r="C10378" t="s">
        <v>875</v>
      </c>
      <c r="D10378" t="s">
        <v>11</v>
      </c>
      <c r="E10378">
        <v>30</v>
      </c>
      <c r="F10378" s="2">
        <f>DATE(2026,IF(Tabla1[[#This Row],[Mes de Fecha]]="Septiembre",9,10),Tabla1[[#This Row],[Día de Fecha]])</f>
        <v>46295</v>
      </c>
      <c r="G10378">
        <v>1030040455</v>
      </c>
      <c r="H10378" t="s">
        <v>419</v>
      </c>
      <c r="I10378">
        <v>16</v>
      </c>
      <c r="J10378">
        <v>0</v>
      </c>
      <c r="K10378" s="1">
        <v>782986</v>
      </c>
    </row>
    <row r="10379" spans="1:11" x14ac:dyDescent="0.25">
      <c r="A10379" t="s">
        <v>326</v>
      </c>
      <c r="B10379" t="s">
        <v>803</v>
      </c>
      <c r="C10379" t="s">
        <v>875</v>
      </c>
      <c r="D10379" t="s">
        <v>11</v>
      </c>
      <c r="E10379">
        <v>30</v>
      </c>
      <c r="F10379" s="2">
        <f>DATE(2026,IF(Tabla1[[#This Row],[Mes de Fecha]]="Septiembre",9,10),Tabla1[[#This Row],[Día de Fecha]])</f>
        <v>46295</v>
      </c>
      <c r="G10379">
        <v>1127048399</v>
      </c>
      <c r="H10379" t="s">
        <v>539</v>
      </c>
      <c r="I10379">
        <v>8</v>
      </c>
      <c r="J10379">
        <v>0</v>
      </c>
      <c r="K10379" s="1">
        <v>306387</v>
      </c>
    </row>
    <row r="10380" spans="1:11" x14ac:dyDescent="0.25">
      <c r="A10380" t="s">
        <v>326</v>
      </c>
      <c r="B10380" t="s">
        <v>803</v>
      </c>
      <c r="C10380" t="s">
        <v>875</v>
      </c>
      <c r="D10380" t="s">
        <v>11</v>
      </c>
      <c r="E10380">
        <v>30</v>
      </c>
      <c r="F10380" s="2">
        <f>DATE(2026,IF(Tabla1[[#This Row],[Mes de Fecha]]="Septiembre",9,10),Tabla1[[#This Row],[Día de Fecha]])</f>
        <v>46295</v>
      </c>
      <c r="G10380">
        <v>1148965693</v>
      </c>
      <c r="H10380" t="s">
        <v>391</v>
      </c>
      <c r="I10380">
        <v>44</v>
      </c>
      <c r="J10380">
        <v>0</v>
      </c>
      <c r="K10380" s="1">
        <v>2330045</v>
      </c>
    </row>
    <row r="10381" spans="1:11" x14ac:dyDescent="0.25">
      <c r="A10381" t="s">
        <v>326</v>
      </c>
      <c r="B10381" t="s">
        <v>803</v>
      </c>
      <c r="C10381" t="s">
        <v>875</v>
      </c>
      <c r="D10381" t="s">
        <v>11</v>
      </c>
      <c r="E10381">
        <v>30</v>
      </c>
      <c r="F10381" s="2">
        <f>DATE(2026,IF(Tabla1[[#This Row],[Mes de Fecha]]="Septiembre",9,10),Tabla1[[#This Row],[Día de Fecha]])</f>
        <v>46295</v>
      </c>
      <c r="G10381">
        <v>1193438645</v>
      </c>
      <c r="H10381" t="s">
        <v>421</v>
      </c>
      <c r="I10381">
        <v>62</v>
      </c>
      <c r="J10381">
        <v>0</v>
      </c>
      <c r="K10381" s="1">
        <v>4062487</v>
      </c>
    </row>
    <row r="10382" spans="1:11" x14ac:dyDescent="0.25">
      <c r="A10382" t="s">
        <v>326</v>
      </c>
      <c r="B10382" t="s">
        <v>803</v>
      </c>
      <c r="C10382" t="s">
        <v>875</v>
      </c>
      <c r="D10382" t="s">
        <v>14</v>
      </c>
      <c r="E10382">
        <v>1</v>
      </c>
      <c r="F10382" s="2">
        <f>DATE(2026,IF(Tabla1[[#This Row],[Mes de Fecha]]="Septiembre",9,10),Tabla1[[#This Row],[Día de Fecha]])</f>
        <v>46296</v>
      </c>
      <c r="I10382">
        <v>0</v>
      </c>
      <c r="J10382" s="1">
        <v>14531468</v>
      </c>
      <c r="K10382">
        <v>0</v>
      </c>
    </row>
    <row r="10383" spans="1:11" x14ac:dyDescent="0.25">
      <c r="A10383" t="s">
        <v>326</v>
      </c>
      <c r="B10383" t="s">
        <v>803</v>
      </c>
      <c r="C10383" t="s">
        <v>875</v>
      </c>
      <c r="D10383" t="s">
        <v>14</v>
      </c>
      <c r="E10383">
        <v>1</v>
      </c>
      <c r="F10383" s="2">
        <f>DATE(2026,IF(Tabla1[[#This Row],[Mes de Fecha]]="Septiembre",9,10),Tabla1[[#This Row],[Día de Fecha]])</f>
        <v>46296</v>
      </c>
      <c r="G10383">
        <v>1004846203</v>
      </c>
      <c r="H10383" t="s">
        <v>420</v>
      </c>
      <c r="I10383">
        <v>6</v>
      </c>
      <c r="J10383">
        <v>0</v>
      </c>
      <c r="K10383" s="1">
        <v>428320</v>
      </c>
    </row>
    <row r="10384" spans="1:11" x14ac:dyDescent="0.25">
      <c r="A10384" t="s">
        <v>326</v>
      </c>
      <c r="B10384" t="s">
        <v>803</v>
      </c>
      <c r="C10384" t="s">
        <v>875</v>
      </c>
      <c r="D10384" t="s">
        <v>14</v>
      </c>
      <c r="E10384">
        <v>1</v>
      </c>
      <c r="F10384" s="2">
        <f>DATE(2026,IF(Tabla1[[#This Row],[Mes de Fecha]]="Septiembre",9,10),Tabla1[[#This Row],[Día de Fecha]])</f>
        <v>46296</v>
      </c>
      <c r="G10384">
        <v>1030040455</v>
      </c>
      <c r="H10384" t="s">
        <v>419</v>
      </c>
      <c r="I10384">
        <v>47</v>
      </c>
      <c r="J10384">
        <v>0</v>
      </c>
      <c r="K10384" s="1">
        <v>3153493</v>
      </c>
    </row>
    <row r="10385" spans="1:11" x14ac:dyDescent="0.25">
      <c r="A10385" t="s">
        <v>326</v>
      </c>
      <c r="B10385" t="s">
        <v>803</v>
      </c>
      <c r="C10385" t="s">
        <v>875</v>
      </c>
      <c r="D10385" t="s">
        <v>14</v>
      </c>
      <c r="E10385">
        <v>1</v>
      </c>
      <c r="F10385" s="2">
        <f>DATE(2026,IF(Tabla1[[#This Row],[Mes de Fecha]]="Septiembre",9,10),Tabla1[[#This Row],[Día de Fecha]])</f>
        <v>46296</v>
      </c>
      <c r="G10385">
        <v>1127048399</v>
      </c>
      <c r="H10385" t="s">
        <v>539</v>
      </c>
      <c r="I10385">
        <v>21</v>
      </c>
      <c r="J10385">
        <v>0</v>
      </c>
      <c r="K10385" s="1">
        <v>1377228</v>
      </c>
    </row>
    <row r="10386" spans="1:11" x14ac:dyDescent="0.25">
      <c r="A10386" t="s">
        <v>326</v>
      </c>
      <c r="B10386" t="s">
        <v>803</v>
      </c>
      <c r="C10386" t="s">
        <v>875</v>
      </c>
      <c r="D10386" t="s">
        <v>14</v>
      </c>
      <c r="E10386">
        <v>1</v>
      </c>
      <c r="F10386" s="2">
        <f>DATE(2026,IF(Tabla1[[#This Row],[Mes de Fecha]]="Septiembre",9,10),Tabla1[[#This Row],[Día de Fecha]])</f>
        <v>46296</v>
      </c>
      <c r="G10386">
        <v>1148965693</v>
      </c>
      <c r="H10386" t="s">
        <v>391</v>
      </c>
      <c r="I10386">
        <v>37</v>
      </c>
      <c r="J10386">
        <v>0</v>
      </c>
      <c r="K10386" s="1">
        <v>2172776</v>
      </c>
    </row>
    <row r="10387" spans="1:11" x14ac:dyDescent="0.25">
      <c r="A10387" t="s">
        <v>326</v>
      </c>
      <c r="B10387" t="s">
        <v>803</v>
      </c>
      <c r="C10387" t="s">
        <v>875</v>
      </c>
      <c r="D10387" t="s">
        <v>14</v>
      </c>
      <c r="E10387">
        <v>1</v>
      </c>
      <c r="F10387" s="2">
        <f>DATE(2026,IF(Tabla1[[#This Row],[Mes de Fecha]]="Septiembre",9,10),Tabla1[[#This Row],[Día de Fecha]])</f>
        <v>46296</v>
      </c>
      <c r="G10387">
        <v>1193438645</v>
      </c>
      <c r="H10387" t="s">
        <v>421</v>
      </c>
      <c r="I10387">
        <v>32</v>
      </c>
      <c r="J10387">
        <v>0</v>
      </c>
      <c r="K10387" s="1">
        <v>1738113</v>
      </c>
    </row>
    <row r="10388" spans="1:11" x14ac:dyDescent="0.25">
      <c r="A10388" t="s">
        <v>326</v>
      </c>
      <c r="B10388" t="s">
        <v>803</v>
      </c>
      <c r="C10388" t="s">
        <v>875</v>
      </c>
      <c r="D10388" t="s">
        <v>14</v>
      </c>
      <c r="E10388">
        <v>2</v>
      </c>
      <c r="F10388" s="2">
        <f>DATE(2026,IF(Tabla1[[#This Row],[Mes de Fecha]]="Septiembre",9,10),Tabla1[[#This Row],[Día de Fecha]])</f>
        <v>46297</v>
      </c>
      <c r="I10388">
        <v>0</v>
      </c>
      <c r="J10388" s="1">
        <v>14313290</v>
      </c>
      <c r="K10388">
        <v>0</v>
      </c>
    </row>
    <row r="10389" spans="1:11" x14ac:dyDescent="0.25">
      <c r="A10389" t="s">
        <v>326</v>
      </c>
      <c r="B10389" t="s">
        <v>803</v>
      </c>
      <c r="C10389" t="s">
        <v>875</v>
      </c>
      <c r="D10389" t="s">
        <v>14</v>
      </c>
      <c r="E10389">
        <v>2</v>
      </c>
      <c r="F10389" s="2">
        <f>DATE(2026,IF(Tabla1[[#This Row],[Mes de Fecha]]="Septiembre",9,10),Tabla1[[#This Row],[Día de Fecha]])</f>
        <v>46297</v>
      </c>
      <c r="G10389">
        <v>1004846203</v>
      </c>
      <c r="H10389" t="s">
        <v>420</v>
      </c>
      <c r="I10389">
        <v>11</v>
      </c>
      <c r="J10389">
        <v>0</v>
      </c>
      <c r="K10389" s="1">
        <v>516345</v>
      </c>
    </row>
    <row r="10390" spans="1:11" x14ac:dyDescent="0.25">
      <c r="A10390" t="s">
        <v>326</v>
      </c>
      <c r="B10390" t="s">
        <v>803</v>
      </c>
      <c r="C10390" t="s">
        <v>875</v>
      </c>
      <c r="D10390" t="s">
        <v>14</v>
      </c>
      <c r="E10390">
        <v>2</v>
      </c>
      <c r="F10390" s="2">
        <f>DATE(2026,IF(Tabla1[[#This Row],[Mes de Fecha]]="Septiembre",9,10),Tabla1[[#This Row],[Día de Fecha]])</f>
        <v>46297</v>
      </c>
      <c r="G10390">
        <v>1030040455</v>
      </c>
      <c r="H10390" t="s">
        <v>419</v>
      </c>
      <c r="I10390">
        <v>59</v>
      </c>
      <c r="J10390">
        <v>0</v>
      </c>
      <c r="K10390" s="1">
        <v>3568872</v>
      </c>
    </row>
    <row r="10391" spans="1:11" x14ac:dyDescent="0.25">
      <c r="A10391" t="s">
        <v>326</v>
      </c>
      <c r="B10391" t="s">
        <v>803</v>
      </c>
      <c r="C10391" t="s">
        <v>875</v>
      </c>
      <c r="D10391" t="s">
        <v>14</v>
      </c>
      <c r="E10391">
        <v>2</v>
      </c>
      <c r="F10391" s="2">
        <f>DATE(2026,IF(Tabla1[[#This Row],[Mes de Fecha]]="Septiembre",9,10),Tabla1[[#This Row],[Día de Fecha]])</f>
        <v>46297</v>
      </c>
      <c r="G10391">
        <v>1127048399</v>
      </c>
      <c r="H10391" t="s">
        <v>539</v>
      </c>
      <c r="I10391">
        <v>17</v>
      </c>
      <c r="J10391">
        <v>0</v>
      </c>
      <c r="K10391" s="1">
        <v>1032900</v>
      </c>
    </row>
    <row r="10392" spans="1:11" x14ac:dyDescent="0.25">
      <c r="A10392" t="s">
        <v>326</v>
      </c>
      <c r="B10392" t="s">
        <v>803</v>
      </c>
      <c r="C10392" t="s">
        <v>875</v>
      </c>
      <c r="D10392" t="s">
        <v>14</v>
      </c>
      <c r="E10392">
        <v>2</v>
      </c>
      <c r="F10392" s="2">
        <f>DATE(2026,IF(Tabla1[[#This Row],[Mes de Fecha]]="Septiembre",9,10),Tabla1[[#This Row],[Día de Fecha]])</f>
        <v>46297</v>
      </c>
      <c r="G10392">
        <v>1148965693</v>
      </c>
      <c r="H10392" t="s">
        <v>391</v>
      </c>
      <c r="I10392">
        <v>53</v>
      </c>
      <c r="J10392">
        <v>0</v>
      </c>
      <c r="K10392" s="1">
        <v>3081642</v>
      </c>
    </row>
    <row r="10393" spans="1:11" x14ac:dyDescent="0.25">
      <c r="A10393" t="s">
        <v>326</v>
      </c>
      <c r="B10393" t="s">
        <v>803</v>
      </c>
      <c r="C10393" t="s">
        <v>875</v>
      </c>
      <c r="D10393" t="s">
        <v>14</v>
      </c>
      <c r="E10393">
        <v>2</v>
      </c>
      <c r="F10393" s="2">
        <f>DATE(2026,IF(Tabla1[[#This Row],[Mes de Fecha]]="Septiembre",9,10),Tabla1[[#This Row],[Día de Fecha]])</f>
        <v>46297</v>
      </c>
      <c r="G10393">
        <v>1193438645</v>
      </c>
      <c r="H10393" t="s">
        <v>421</v>
      </c>
      <c r="I10393">
        <v>31</v>
      </c>
      <c r="J10393">
        <v>0</v>
      </c>
      <c r="K10393" s="1">
        <v>1992398</v>
      </c>
    </row>
    <row r="10394" spans="1:11" x14ac:dyDescent="0.25">
      <c r="A10394" t="s">
        <v>326</v>
      </c>
      <c r="B10394" t="s">
        <v>803</v>
      </c>
      <c r="C10394" t="s">
        <v>875</v>
      </c>
      <c r="D10394" t="s">
        <v>14</v>
      </c>
      <c r="E10394">
        <v>3</v>
      </c>
      <c r="F10394" s="2">
        <f>DATE(2026,IF(Tabla1[[#This Row],[Mes de Fecha]]="Septiembre",9,10),Tabla1[[#This Row],[Día de Fecha]])</f>
        <v>46298</v>
      </c>
      <c r="I10394">
        <v>0</v>
      </c>
      <c r="J10394" s="1">
        <v>21328225</v>
      </c>
      <c r="K10394">
        <v>0</v>
      </c>
    </row>
    <row r="10395" spans="1:11" x14ac:dyDescent="0.25">
      <c r="A10395" t="s">
        <v>326</v>
      </c>
      <c r="B10395" t="s">
        <v>803</v>
      </c>
      <c r="C10395" t="s">
        <v>875</v>
      </c>
      <c r="D10395" t="s">
        <v>14</v>
      </c>
      <c r="E10395">
        <v>3</v>
      </c>
      <c r="F10395" s="2">
        <f>DATE(2026,IF(Tabla1[[#This Row],[Mes de Fecha]]="Septiembre",9,10),Tabla1[[#This Row],[Día de Fecha]])</f>
        <v>46298</v>
      </c>
      <c r="G10395">
        <v>1004846203</v>
      </c>
      <c r="H10395" t="s">
        <v>420</v>
      </c>
      <c r="I10395">
        <v>50</v>
      </c>
      <c r="J10395">
        <v>0</v>
      </c>
      <c r="K10395" s="1">
        <v>2687113</v>
      </c>
    </row>
    <row r="10396" spans="1:11" x14ac:dyDescent="0.25">
      <c r="A10396" t="s">
        <v>326</v>
      </c>
      <c r="B10396" t="s">
        <v>803</v>
      </c>
      <c r="C10396" t="s">
        <v>875</v>
      </c>
      <c r="D10396" t="s">
        <v>14</v>
      </c>
      <c r="E10396">
        <v>3</v>
      </c>
      <c r="F10396" s="2">
        <f>DATE(2026,IF(Tabla1[[#This Row],[Mes de Fecha]]="Septiembre",9,10),Tabla1[[#This Row],[Día de Fecha]])</f>
        <v>46298</v>
      </c>
      <c r="G10396">
        <v>1030040455</v>
      </c>
      <c r="H10396" t="s">
        <v>419</v>
      </c>
      <c r="I10396">
        <v>137</v>
      </c>
      <c r="J10396">
        <v>0</v>
      </c>
      <c r="K10396" s="1">
        <v>8282116</v>
      </c>
    </row>
    <row r="10397" spans="1:11" x14ac:dyDescent="0.25">
      <c r="A10397" t="s">
        <v>326</v>
      </c>
      <c r="B10397" t="s">
        <v>803</v>
      </c>
      <c r="C10397" t="s">
        <v>875</v>
      </c>
      <c r="D10397" t="s">
        <v>14</v>
      </c>
      <c r="E10397">
        <v>3</v>
      </c>
      <c r="F10397" s="2">
        <f>DATE(2026,IF(Tabla1[[#This Row],[Mes de Fecha]]="Septiembre",9,10),Tabla1[[#This Row],[Día de Fecha]])</f>
        <v>46298</v>
      </c>
      <c r="G10397">
        <v>1127048399</v>
      </c>
      <c r="H10397" t="s">
        <v>539</v>
      </c>
      <c r="I10397">
        <v>35</v>
      </c>
      <c r="J10397">
        <v>0</v>
      </c>
      <c r="K10397" s="1">
        <v>1722209</v>
      </c>
    </row>
    <row r="10398" spans="1:11" x14ac:dyDescent="0.25">
      <c r="A10398" t="s">
        <v>326</v>
      </c>
      <c r="B10398" t="s">
        <v>803</v>
      </c>
      <c r="C10398" t="s">
        <v>875</v>
      </c>
      <c r="D10398" t="s">
        <v>14</v>
      </c>
      <c r="E10398">
        <v>3</v>
      </c>
      <c r="F10398" s="2">
        <f>DATE(2026,IF(Tabla1[[#This Row],[Mes de Fecha]]="Septiembre",9,10),Tabla1[[#This Row],[Día de Fecha]])</f>
        <v>46298</v>
      </c>
      <c r="G10398">
        <v>1148965693</v>
      </c>
      <c r="H10398" t="s">
        <v>391</v>
      </c>
      <c r="I10398">
        <v>102</v>
      </c>
      <c r="J10398">
        <v>0</v>
      </c>
      <c r="K10398" s="1">
        <v>6072881</v>
      </c>
    </row>
    <row r="10399" spans="1:11" x14ac:dyDescent="0.25">
      <c r="A10399" t="s">
        <v>326</v>
      </c>
      <c r="B10399" t="s">
        <v>803</v>
      </c>
      <c r="C10399" t="s">
        <v>875</v>
      </c>
      <c r="D10399" t="s">
        <v>14</v>
      </c>
      <c r="E10399">
        <v>3</v>
      </c>
      <c r="F10399" s="2">
        <f>DATE(2026,IF(Tabla1[[#This Row],[Mes de Fecha]]="Septiembre",9,10),Tabla1[[#This Row],[Día de Fecha]])</f>
        <v>46298</v>
      </c>
      <c r="G10399">
        <v>1193438645</v>
      </c>
      <c r="H10399" t="s">
        <v>421</v>
      </c>
      <c r="I10399">
        <v>90</v>
      </c>
      <c r="J10399">
        <v>0</v>
      </c>
      <c r="K10399" s="1">
        <v>4924491</v>
      </c>
    </row>
    <row r="10400" spans="1:11" x14ac:dyDescent="0.25">
      <c r="A10400" t="s">
        <v>326</v>
      </c>
      <c r="B10400" t="s">
        <v>803</v>
      </c>
      <c r="C10400" t="s">
        <v>875</v>
      </c>
      <c r="D10400" t="s">
        <v>14</v>
      </c>
      <c r="E10400">
        <v>4</v>
      </c>
      <c r="F10400" s="2">
        <f>DATE(2026,IF(Tabla1[[#This Row],[Mes de Fecha]]="Septiembre",9,10),Tabla1[[#This Row],[Día de Fecha]])</f>
        <v>46299</v>
      </c>
      <c r="I10400">
        <v>0</v>
      </c>
      <c r="J10400" s="1">
        <v>21165409</v>
      </c>
      <c r="K10400">
        <v>0</v>
      </c>
    </row>
    <row r="10401" spans="1:11" x14ac:dyDescent="0.25">
      <c r="A10401" t="s">
        <v>326</v>
      </c>
      <c r="B10401" t="s">
        <v>803</v>
      </c>
      <c r="C10401" t="s">
        <v>875</v>
      </c>
      <c r="D10401" t="s">
        <v>14</v>
      </c>
      <c r="E10401">
        <v>4</v>
      </c>
      <c r="F10401" s="2">
        <f>DATE(2026,IF(Tabla1[[#This Row],[Mes de Fecha]]="Septiembre",9,10),Tabla1[[#This Row],[Día de Fecha]])</f>
        <v>46299</v>
      </c>
      <c r="G10401">
        <v>1004846203</v>
      </c>
      <c r="H10401" t="s">
        <v>420</v>
      </c>
      <c r="I10401">
        <v>60</v>
      </c>
      <c r="J10401">
        <v>0</v>
      </c>
      <c r="K10401" s="1">
        <v>3541560</v>
      </c>
    </row>
    <row r="10402" spans="1:11" x14ac:dyDescent="0.25">
      <c r="A10402" t="s">
        <v>326</v>
      </c>
      <c r="B10402" t="s">
        <v>803</v>
      </c>
      <c r="C10402" t="s">
        <v>875</v>
      </c>
      <c r="D10402" t="s">
        <v>14</v>
      </c>
      <c r="E10402">
        <v>4</v>
      </c>
      <c r="F10402" s="2">
        <f>DATE(2026,IF(Tabla1[[#This Row],[Mes de Fecha]]="Septiembre",9,10),Tabla1[[#This Row],[Día de Fecha]])</f>
        <v>46299</v>
      </c>
      <c r="G10402">
        <v>1030040455</v>
      </c>
      <c r="H10402" t="s">
        <v>419</v>
      </c>
      <c r="I10402">
        <v>127</v>
      </c>
      <c r="J10402">
        <v>0</v>
      </c>
      <c r="K10402" s="1">
        <v>8082868</v>
      </c>
    </row>
    <row r="10403" spans="1:11" x14ac:dyDescent="0.25">
      <c r="A10403" t="s">
        <v>326</v>
      </c>
      <c r="B10403" t="s">
        <v>803</v>
      </c>
      <c r="C10403" t="s">
        <v>875</v>
      </c>
      <c r="D10403" t="s">
        <v>14</v>
      </c>
      <c r="E10403">
        <v>4</v>
      </c>
      <c r="F10403" s="2">
        <f>DATE(2026,IF(Tabla1[[#This Row],[Mes de Fecha]]="Septiembre",9,10),Tabla1[[#This Row],[Día de Fecha]])</f>
        <v>46299</v>
      </c>
      <c r="G10403">
        <v>1127048399</v>
      </c>
      <c r="H10403" t="s">
        <v>539</v>
      </c>
      <c r="I10403">
        <v>62</v>
      </c>
      <c r="J10403">
        <v>0</v>
      </c>
      <c r="K10403" s="1">
        <v>4196937</v>
      </c>
    </row>
    <row r="10404" spans="1:11" x14ac:dyDescent="0.25">
      <c r="A10404" t="s">
        <v>326</v>
      </c>
      <c r="B10404" t="s">
        <v>803</v>
      </c>
      <c r="C10404" t="s">
        <v>875</v>
      </c>
      <c r="D10404" t="s">
        <v>14</v>
      </c>
      <c r="E10404">
        <v>4</v>
      </c>
      <c r="F10404" s="2">
        <f>DATE(2026,IF(Tabla1[[#This Row],[Mes de Fecha]]="Septiembre",9,10),Tabla1[[#This Row],[Día de Fecha]])</f>
        <v>46299</v>
      </c>
      <c r="G10404">
        <v>1148965693</v>
      </c>
      <c r="H10404" t="s">
        <v>391</v>
      </c>
      <c r="I10404">
        <v>110</v>
      </c>
      <c r="J10404">
        <v>0</v>
      </c>
      <c r="K10404" s="1">
        <v>6747490</v>
      </c>
    </row>
    <row r="10405" spans="1:11" x14ac:dyDescent="0.25">
      <c r="A10405" t="s">
        <v>326</v>
      </c>
      <c r="B10405" t="s">
        <v>803</v>
      </c>
      <c r="C10405" t="s">
        <v>875</v>
      </c>
      <c r="D10405" t="s">
        <v>14</v>
      </c>
      <c r="E10405">
        <v>4</v>
      </c>
      <c r="F10405" s="2">
        <f>DATE(2026,IF(Tabla1[[#This Row],[Mes de Fecha]]="Septiembre",9,10),Tabla1[[#This Row],[Día de Fecha]])</f>
        <v>46299</v>
      </c>
      <c r="G10405">
        <v>1193438645</v>
      </c>
      <c r="H10405" t="s">
        <v>421</v>
      </c>
      <c r="I10405">
        <v>89</v>
      </c>
      <c r="J10405">
        <v>0</v>
      </c>
      <c r="K10405" s="1">
        <v>5674837</v>
      </c>
    </row>
    <row r="10406" spans="1:11" x14ac:dyDescent="0.25">
      <c r="A10406" t="s">
        <v>326</v>
      </c>
      <c r="B10406" t="s">
        <v>803</v>
      </c>
      <c r="C10406" t="s">
        <v>875</v>
      </c>
      <c r="D10406" t="s">
        <v>14</v>
      </c>
      <c r="E10406">
        <v>5</v>
      </c>
      <c r="F10406" s="2">
        <f>DATE(2026,IF(Tabla1[[#This Row],[Mes de Fecha]]="Septiembre",9,10),Tabla1[[#This Row],[Día de Fecha]])</f>
        <v>46300</v>
      </c>
      <c r="I10406">
        <v>0</v>
      </c>
      <c r="J10406" s="1">
        <v>4335906</v>
      </c>
      <c r="K10406">
        <v>0</v>
      </c>
    </row>
    <row r="10407" spans="1:11" x14ac:dyDescent="0.25">
      <c r="A10407" t="s">
        <v>326</v>
      </c>
      <c r="B10407" t="s">
        <v>803</v>
      </c>
      <c r="C10407" t="s">
        <v>875</v>
      </c>
      <c r="D10407" t="s">
        <v>14</v>
      </c>
      <c r="E10407">
        <v>5</v>
      </c>
      <c r="F10407" s="2">
        <f>DATE(2026,IF(Tabla1[[#This Row],[Mes de Fecha]]="Septiembre",9,10),Tabla1[[#This Row],[Día de Fecha]])</f>
        <v>46300</v>
      </c>
      <c r="G10407">
        <v>1004846203</v>
      </c>
      <c r="H10407" t="s">
        <v>420</v>
      </c>
      <c r="I10407">
        <v>11</v>
      </c>
      <c r="J10407">
        <v>0</v>
      </c>
      <c r="K10407" s="1">
        <v>621388</v>
      </c>
    </row>
    <row r="10408" spans="1:11" x14ac:dyDescent="0.25">
      <c r="A10408" t="s">
        <v>326</v>
      </c>
      <c r="B10408" t="s">
        <v>803</v>
      </c>
      <c r="C10408" t="s">
        <v>875</v>
      </c>
      <c r="D10408" t="s">
        <v>14</v>
      </c>
      <c r="E10408">
        <v>5</v>
      </c>
      <c r="F10408" s="2">
        <f>DATE(2026,IF(Tabla1[[#This Row],[Mes de Fecha]]="Septiembre",9,10),Tabla1[[#This Row],[Día de Fecha]])</f>
        <v>46300</v>
      </c>
      <c r="G10408">
        <v>1004879853</v>
      </c>
      <c r="H10408" t="s">
        <v>381</v>
      </c>
      <c r="I10408">
        <v>-1</v>
      </c>
      <c r="J10408">
        <v>0</v>
      </c>
      <c r="K10408" s="1">
        <v>-58781</v>
      </c>
    </row>
    <row r="10409" spans="1:11" x14ac:dyDescent="0.25">
      <c r="A10409" t="s">
        <v>326</v>
      </c>
      <c r="B10409" t="s">
        <v>803</v>
      </c>
      <c r="C10409" t="s">
        <v>875</v>
      </c>
      <c r="D10409" t="s">
        <v>14</v>
      </c>
      <c r="E10409">
        <v>5</v>
      </c>
      <c r="F10409" s="2">
        <f>DATE(2026,IF(Tabla1[[#This Row],[Mes de Fecha]]="Septiembre",9,10),Tabla1[[#This Row],[Día de Fecha]])</f>
        <v>46300</v>
      </c>
      <c r="G10409">
        <v>1030040455</v>
      </c>
      <c r="H10409" t="s">
        <v>419</v>
      </c>
      <c r="I10409">
        <v>29</v>
      </c>
      <c r="J10409">
        <v>0</v>
      </c>
      <c r="K10409" s="1">
        <v>1723530</v>
      </c>
    </row>
    <row r="10410" spans="1:11" x14ac:dyDescent="0.25">
      <c r="A10410" t="s">
        <v>326</v>
      </c>
      <c r="B10410" t="s">
        <v>803</v>
      </c>
      <c r="C10410" t="s">
        <v>875</v>
      </c>
      <c r="D10410" t="s">
        <v>14</v>
      </c>
      <c r="E10410">
        <v>5</v>
      </c>
      <c r="F10410" s="2">
        <f>DATE(2026,IF(Tabla1[[#This Row],[Mes de Fecha]]="Septiembre",9,10),Tabla1[[#This Row],[Día de Fecha]])</f>
        <v>46300</v>
      </c>
      <c r="G10410">
        <v>1127048399</v>
      </c>
      <c r="H10410" t="s">
        <v>539</v>
      </c>
      <c r="I10410">
        <v>9</v>
      </c>
      <c r="J10410">
        <v>0</v>
      </c>
      <c r="K10410" s="1">
        <v>627774</v>
      </c>
    </row>
    <row r="10411" spans="1:11" x14ac:dyDescent="0.25">
      <c r="A10411" t="s">
        <v>326</v>
      </c>
      <c r="B10411" t="s">
        <v>803</v>
      </c>
      <c r="C10411" t="s">
        <v>875</v>
      </c>
      <c r="D10411" t="s">
        <v>14</v>
      </c>
      <c r="E10411">
        <v>5</v>
      </c>
      <c r="F10411" s="2">
        <f>DATE(2026,IF(Tabla1[[#This Row],[Mes de Fecha]]="Septiembre",9,10),Tabla1[[#This Row],[Día de Fecha]])</f>
        <v>46300</v>
      </c>
      <c r="G10411">
        <v>1148965693</v>
      </c>
      <c r="H10411" t="s">
        <v>391</v>
      </c>
      <c r="I10411">
        <v>24</v>
      </c>
      <c r="J10411">
        <v>0</v>
      </c>
      <c r="K10411" s="1">
        <v>1513642</v>
      </c>
    </row>
    <row r="10412" spans="1:11" x14ac:dyDescent="0.25">
      <c r="A10412" t="s">
        <v>326</v>
      </c>
      <c r="B10412" t="s">
        <v>803</v>
      </c>
      <c r="C10412" t="s">
        <v>875</v>
      </c>
      <c r="D10412" t="s">
        <v>14</v>
      </c>
      <c r="E10412">
        <v>5</v>
      </c>
      <c r="F10412" s="2">
        <f>DATE(2026,IF(Tabla1[[#This Row],[Mes de Fecha]]="Septiembre",9,10),Tabla1[[#This Row],[Día de Fecha]])</f>
        <v>46300</v>
      </c>
      <c r="G10412">
        <v>1193438645</v>
      </c>
      <c r="H10412" t="s">
        <v>421</v>
      </c>
      <c r="I10412">
        <v>35</v>
      </c>
      <c r="J10412">
        <v>0</v>
      </c>
      <c r="K10412" s="1">
        <v>1962821</v>
      </c>
    </row>
    <row r="10413" spans="1:11" x14ac:dyDescent="0.25">
      <c r="A10413" t="s">
        <v>326</v>
      </c>
      <c r="B10413" t="s">
        <v>803</v>
      </c>
      <c r="C10413" t="s">
        <v>875</v>
      </c>
      <c r="D10413" t="s">
        <v>14</v>
      </c>
      <c r="E10413">
        <v>6</v>
      </c>
      <c r="F10413" s="2">
        <f>DATE(2026,IF(Tabla1[[#This Row],[Mes de Fecha]]="Septiembre",9,10),Tabla1[[#This Row],[Día de Fecha]])</f>
        <v>46301</v>
      </c>
      <c r="I10413">
        <v>0</v>
      </c>
      <c r="J10413" s="1">
        <v>3779943</v>
      </c>
      <c r="K10413">
        <v>0</v>
      </c>
    </row>
    <row r="10414" spans="1:11" x14ac:dyDescent="0.25">
      <c r="A10414" t="s">
        <v>326</v>
      </c>
      <c r="B10414" t="s">
        <v>803</v>
      </c>
      <c r="C10414" t="s">
        <v>875</v>
      </c>
      <c r="D10414" t="s">
        <v>14</v>
      </c>
      <c r="E10414">
        <v>6</v>
      </c>
      <c r="F10414" s="2">
        <f>DATE(2026,IF(Tabla1[[#This Row],[Mes de Fecha]]="Septiembre",9,10),Tabla1[[#This Row],[Día de Fecha]])</f>
        <v>46301</v>
      </c>
      <c r="G10414">
        <v>1004846203</v>
      </c>
      <c r="H10414" t="s">
        <v>420</v>
      </c>
      <c r="I10414">
        <v>3</v>
      </c>
      <c r="J10414">
        <v>0</v>
      </c>
      <c r="K10414" s="1">
        <v>172143</v>
      </c>
    </row>
    <row r="10415" spans="1:11" x14ac:dyDescent="0.25">
      <c r="A10415" t="s">
        <v>326</v>
      </c>
      <c r="B10415" t="s">
        <v>803</v>
      </c>
      <c r="C10415" t="s">
        <v>875</v>
      </c>
      <c r="D10415" t="s">
        <v>14</v>
      </c>
      <c r="E10415">
        <v>6</v>
      </c>
      <c r="F10415" s="2">
        <f>DATE(2026,IF(Tabla1[[#This Row],[Mes de Fecha]]="Septiembre",9,10),Tabla1[[#This Row],[Día de Fecha]])</f>
        <v>46301</v>
      </c>
      <c r="G10415">
        <v>1030040455</v>
      </c>
      <c r="H10415" t="s">
        <v>419</v>
      </c>
      <c r="I10415">
        <v>34</v>
      </c>
      <c r="J10415">
        <v>0</v>
      </c>
      <c r="K10415" s="1">
        <v>1885086</v>
      </c>
    </row>
    <row r="10416" spans="1:11" x14ac:dyDescent="0.25">
      <c r="A10416" t="s">
        <v>326</v>
      </c>
      <c r="B10416" t="s">
        <v>803</v>
      </c>
      <c r="C10416" t="s">
        <v>875</v>
      </c>
      <c r="D10416" t="s">
        <v>14</v>
      </c>
      <c r="E10416">
        <v>6</v>
      </c>
      <c r="F10416" s="2">
        <f>DATE(2026,IF(Tabla1[[#This Row],[Mes de Fecha]]="Septiembre",9,10),Tabla1[[#This Row],[Día de Fecha]])</f>
        <v>46301</v>
      </c>
      <c r="G10416">
        <v>1127048399</v>
      </c>
      <c r="H10416" t="s">
        <v>539</v>
      </c>
      <c r="I10416">
        <v>-1</v>
      </c>
      <c r="J10416">
        <v>0</v>
      </c>
      <c r="K10416" s="1">
        <v>-37773</v>
      </c>
    </row>
    <row r="10417" spans="1:11" x14ac:dyDescent="0.25">
      <c r="A10417" t="s">
        <v>326</v>
      </c>
      <c r="B10417" t="s">
        <v>803</v>
      </c>
      <c r="C10417" t="s">
        <v>875</v>
      </c>
      <c r="D10417" t="s">
        <v>14</v>
      </c>
      <c r="E10417">
        <v>6</v>
      </c>
      <c r="F10417" s="2">
        <f>DATE(2026,IF(Tabla1[[#This Row],[Mes de Fecha]]="Septiembre",9,10),Tabla1[[#This Row],[Día de Fecha]])</f>
        <v>46301</v>
      </c>
      <c r="G10417">
        <v>1148965693</v>
      </c>
      <c r="H10417" t="s">
        <v>391</v>
      </c>
      <c r="I10417">
        <v>31</v>
      </c>
      <c r="J10417">
        <v>0</v>
      </c>
      <c r="K10417" s="1">
        <v>1521767</v>
      </c>
    </row>
    <row r="10418" spans="1:11" x14ac:dyDescent="0.25">
      <c r="A10418" t="s">
        <v>326</v>
      </c>
      <c r="B10418" t="s">
        <v>803</v>
      </c>
      <c r="C10418" t="s">
        <v>875</v>
      </c>
      <c r="D10418" t="s">
        <v>14</v>
      </c>
      <c r="E10418">
        <v>6</v>
      </c>
      <c r="F10418" s="2">
        <f>DATE(2026,IF(Tabla1[[#This Row],[Mes de Fecha]]="Septiembre",9,10),Tabla1[[#This Row],[Día de Fecha]])</f>
        <v>46301</v>
      </c>
      <c r="G10418">
        <v>1193438645</v>
      </c>
      <c r="H10418" t="s">
        <v>421</v>
      </c>
      <c r="I10418">
        <v>24</v>
      </c>
      <c r="J10418">
        <v>0</v>
      </c>
      <c r="K10418" s="1">
        <v>1280508</v>
      </c>
    </row>
    <row r="10419" spans="1:11" x14ac:dyDescent="0.25">
      <c r="A10419" t="s">
        <v>326</v>
      </c>
      <c r="B10419" t="s">
        <v>803</v>
      </c>
      <c r="C10419" t="s">
        <v>875</v>
      </c>
      <c r="D10419" t="s">
        <v>14</v>
      </c>
      <c r="E10419">
        <v>7</v>
      </c>
      <c r="F10419" s="2">
        <f>DATE(2026,IF(Tabla1[[#This Row],[Mes de Fecha]]="Septiembre",9,10),Tabla1[[#This Row],[Día de Fecha]])</f>
        <v>46302</v>
      </c>
      <c r="I10419">
        <v>0</v>
      </c>
      <c r="J10419" s="1">
        <v>3730207</v>
      </c>
      <c r="K10419">
        <v>0</v>
      </c>
    </row>
    <row r="10420" spans="1:11" x14ac:dyDescent="0.25">
      <c r="A10420" t="s">
        <v>326</v>
      </c>
      <c r="B10420" t="s">
        <v>803</v>
      </c>
      <c r="C10420" t="s">
        <v>875</v>
      </c>
      <c r="D10420" t="s">
        <v>14</v>
      </c>
      <c r="E10420">
        <v>7</v>
      </c>
      <c r="F10420" s="2">
        <f>DATE(2026,IF(Tabla1[[#This Row],[Mes de Fecha]]="Septiembre",9,10),Tabla1[[#This Row],[Día de Fecha]])</f>
        <v>46302</v>
      </c>
      <c r="G10420">
        <v>1004846203</v>
      </c>
      <c r="H10420" t="s">
        <v>420</v>
      </c>
      <c r="I10420">
        <v>30</v>
      </c>
      <c r="J10420">
        <v>0</v>
      </c>
      <c r="K10420" s="1">
        <v>1994456</v>
      </c>
    </row>
    <row r="10421" spans="1:11" x14ac:dyDescent="0.25">
      <c r="A10421" t="s">
        <v>326</v>
      </c>
      <c r="B10421" t="s">
        <v>803</v>
      </c>
      <c r="C10421" t="s">
        <v>875</v>
      </c>
      <c r="D10421" t="s">
        <v>14</v>
      </c>
      <c r="E10421">
        <v>7</v>
      </c>
      <c r="F10421" s="2">
        <f>DATE(2026,IF(Tabla1[[#This Row],[Mes de Fecha]]="Septiembre",9,10),Tabla1[[#This Row],[Día de Fecha]])</f>
        <v>46302</v>
      </c>
      <c r="G10421">
        <v>1030040455</v>
      </c>
      <c r="H10421" t="s">
        <v>419</v>
      </c>
      <c r="I10421">
        <v>50</v>
      </c>
      <c r="J10421">
        <v>0</v>
      </c>
      <c r="K10421" s="1">
        <v>3052315</v>
      </c>
    </row>
    <row r="10422" spans="1:11" x14ac:dyDescent="0.25">
      <c r="A10422" t="s">
        <v>326</v>
      </c>
      <c r="B10422" t="s">
        <v>803</v>
      </c>
      <c r="C10422" t="s">
        <v>875</v>
      </c>
      <c r="D10422" t="s">
        <v>14</v>
      </c>
      <c r="E10422">
        <v>7</v>
      </c>
      <c r="F10422" s="2">
        <f>DATE(2026,IF(Tabla1[[#This Row],[Mes de Fecha]]="Septiembre",9,10),Tabla1[[#This Row],[Día de Fecha]])</f>
        <v>46302</v>
      </c>
      <c r="G10422">
        <v>1127048399</v>
      </c>
      <c r="H10422" t="s">
        <v>539</v>
      </c>
      <c r="I10422">
        <v>3</v>
      </c>
      <c r="J10422">
        <v>0</v>
      </c>
      <c r="K10422" s="1">
        <v>104916</v>
      </c>
    </row>
    <row r="10423" spans="1:11" x14ac:dyDescent="0.25">
      <c r="A10423" t="s">
        <v>326</v>
      </c>
      <c r="B10423" t="s">
        <v>803</v>
      </c>
      <c r="C10423" t="s">
        <v>875</v>
      </c>
      <c r="D10423" t="s">
        <v>14</v>
      </c>
      <c r="E10423">
        <v>7</v>
      </c>
      <c r="F10423" s="2">
        <f>DATE(2026,IF(Tabla1[[#This Row],[Mes de Fecha]]="Septiembre",9,10),Tabla1[[#This Row],[Día de Fecha]])</f>
        <v>46302</v>
      </c>
      <c r="G10423">
        <v>1148965693</v>
      </c>
      <c r="H10423" t="s">
        <v>391</v>
      </c>
      <c r="I10423">
        <v>35</v>
      </c>
      <c r="J10423">
        <v>0</v>
      </c>
      <c r="K10423" s="1">
        <v>1836474</v>
      </c>
    </row>
    <row r="10424" spans="1:11" x14ac:dyDescent="0.25">
      <c r="A10424" t="s">
        <v>326</v>
      </c>
      <c r="B10424" t="s">
        <v>803</v>
      </c>
      <c r="C10424" t="s">
        <v>875</v>
      </c>
      <c r="D10424" t="s">
        <v>14</v>
      </c>
      <c r="E10424">
        <v>7</v>
      </c>
      <c r="F10424" s="2">
        <f>DATE(2026,IF(Tabla1[[#This Row],[Mes de Fecha]]="Septiembre",9,10),Tabla1[[#This Row],[Día de Fecha]])</f>
        <v>46302</v>
      </c>
      <c r="G10424">
        <v>1193438645</v>
      </c>
      <c r="H10424" t="s">
        <v>421</v>
      </c>
      <c r="I10424">
        <v>58</v>
      </c>
      <c r="J10424">
        <v>0</v>
      </c>
      <c r="K10424" s="1">
        <v>2929963</v>
      </c>
    </row>
    <row r="10425" spans="1:11" x14ac:dyDescent="0.25">
      <c r="A10425" t="s">
        <v>326</v>
      </c>
      <c r="B10425" t="s">
        <v>856</v>
      </c>
      <c r="C10425" t="s">
        <v>875</v>
      </c>
      <c r="D10425" t="s">
        <v>11</v>
      </c>
      <c r="E10425">
        <v>23</v>
      </c>
      <c r="F10425" s="2">
        <f>DATE(2026,IF(Tabla1[[#This Row],[Mes de Fecha]]="Septiembre",9,10),Tabla1[[#This Row],[Día de Fecha]])</f>
        <v>46288</v>
      </c>
      <c r="I10425">
        <v>0</v>
      </c>
      <c r="J10425" s="1">
        <v>5168746</v>
      </c>
      <c r="K10425">
        <v>0</v>
      </c>
    </row>
    <row r="10426" spans="1:11" x14ac:dyDescent="0.25">
      <c r="A10426" t="s">
        <v>326</v>
      </c>
      <c r="B10426" t="s">
        <v>856</v>
      </c>
      <c r="C10426" t="s">
        <v>875</v>
      </c>
      <c r="D10426" t="s">
        <v>11</v>
      </c>
      <c r="E10426">
        <v>23</v>
      </c>
      <c r="F10426" s="2">
        <f>DATE(2026,IF(Tabla1[[#This Row],[Mes de Fecha]]="Septiembre",9,10),Tabla1[[#This Row],[Día de Fecha]])</f>
        <v>46288</v>
      </c>
      <c r="G10426">
        <v>1006572292</v>
      </c>
      <c r="H10426" t="s">
        <v>859</v>
      </c>
      <c r="I10426">
        <v>53</v>
      </c>
      <c r="J10426">
        <v>0</v>
      </c>
      <c r="K10426" s="1">
        <v>1336724</v>
      </c>
    </row>
    <row r="10427" spans="1:11" x14ac:dyDescent="0.25">
      <c r="A10427" t="s">
        <v>326</v>
      </c>
      <c r="B10427" t="s">
        <v>856</v>
      </c>
      <c r="C10427" t="s">
        <v>875</v>
      </c>
      <c r="D10427" t="s">
        <v>11</v>
      </c>
      <c r="E10427">
        <v>23</v>
      </c>
      <c r="F10427" s="2">
        <f>DATE(2026,IF(Tabla1[[#This Row],[Mes de Fecha]]="Septiembre",9,10),Tabla1[[#This Row],[Día de Fecha]])</f>
        <v>46288</v>
      </c>
      <c r="G10427">
        <v>1118816729</v>
      </c>
      <c r="H10427" t="s">
        <v>857</v>
      </c>
      <c r="I10427">
        <v>59</v>
      </c>
      <c r="J10427">
        <v>0</v>
      </c>
      <c r="K10427" s="1">
        <v>1691851</v>
      </c>
    </row>
    <row r="10428" spans="1:11" x14ac:dyDescent="0.25">
      <c r="A10428" t="s">
        <v>326</v>
      </c>
      <c r="B10428" t="s">
        <v>856</v>
      </c>
      <c r="C10428" t="s">
        <v>875</v>
      </c>
      <c r="D10428" t="s">
        <v>11</v>
      </c>
      <c r="E10428">
        <v>23</v>
      </c>
      <c r="F10428" s="2">
        <f>DATE(2026,IF(Tabla1[[#This Row],[Mes de Fecha]]="Septiembre",9,10),Tabla1[[#This Row],[Día de Fecha]])</f>
        <v>46288</v>
      </c>
      <c r="G10428">
        <v>1118836017</v>
      </c>
      <c r="H10428" t="s">
        <v>858</v>
      </c>
      <c r="I10428">
        <v>101</v>
      </c>
      <c r="J10428">
        <v>0</v>
      </c>
      <c r="K10428" s="1">
        <v>2140171</v>
      </c>
    </row>
    <row r="10429" spans="1:11" x14ac:dyDescent="0.25">
      <c r="A10429" t="s">
        <v>326</v>
      </c>
      <c r="B10429" t="s">
        <v>856</v>
      </c>
      <c r="C10429" t="s">
        <v>875</v>
      </c>
      <c r="D10429" t="s">
        <v>11</v>
      </c>
      <c r="E10429">
        <v>24</v>
      </c>
      <c r="F10429" s="2">
        <f>DATE(2026,IF(Tabla1[[#This Row],[Mes de Fecha]]="Septiembre",9,10),Tabla1[[#This Row],[Día de Fecha]])</f>
        <v>46289</v>
      </c>
      <c r="I10429">
        <v>0</v>
      </c>
      <c r="J10429" s="1">
        <v>7725008</v>
      </c>
      <c r="K10429">
        <v>0</v>
      </c>
    </row>
    <row r="10430" spans="1:11" x14ac:dyDescent="0.25">
      <c r="A10430" t="s">
        <v>326</v>
      </c>
      <c r="B10430" t="s">
        <v>856</v>
      </c>
      <c r="C10430" t="s">
        <v>875</v>
      </c>
      <c r="D10430" t="s">
        <v>11</v>
      </c>
      <c r="E10430">
        <v>24</v>
      </c>
      <c r="F10430" s="2">
        <f>DATE(2026,IF(Tabla1[[#This Row],[Mes de Fecha]]="Septiembre",9,10),Tabla1[[#This Row],[Día de Fecha]])</f>
        <v>46289</v>
      </c>
      <c r="G10430">
        <v>1006572292</v>
      </c>
      <c r="H10430" t="s">
        <v>859</v>
      </c>
      <c r="I10430">
        <v>24</v>
      </c>
      <c r="J10430">
        <v>0</v>
      </c>
      <c r="K10430" s="1">
        <v>1221555</v>
      </c>
    </row>
    <row r="10431" spans="1:11" x14ac:dyDescent="0.25">
      <c r="A10431" t="s">
        <v>326</v>
      </c>
      <c r="B10431" t="s">
        <v>856</v>
      </c>
      <c r="C10431" t="s">
        <v>875</v>
      </c>
      <c r="D10431" t="s">
        <v>11</v>
      </c>
      <c r="E10431">
        <v>24</v>
      </c>
      <c r="F10431" s="2">
        <f>DATE(2026,IF(Tabla1[[#This Row],[Mes de Fecha]]="Septiembre",9,10),Tabla1[[#This Row],[Día de Fecha]])</f>
        <v>46289</v>
      </c>
      <c r="G10431">
        <v>1118816729</v>
      </c>
      <c r="H10431" t="s">
        <v>857</v>
      </c>
      <c r="I10431">
        <v>71</v>
      </c>
      <c r="J10431">
        <v>0</v>
      </c>
      <c r="K10431" s="1">
        <v>3158283</v>
      </c>
    </row>
    <row r="10432" spans="1:11" x14ac:dyDescent="0.25">
      <c r="A10432" t="s">
        <v>326</v>
      </c>
      <c r="B10432" t="s">
        <v>856</v>
      </c>
      <c r="C10432" t="s">
        <v>875</v>
      </c>
      <c r="D10432" t="s">
        <v>11</v>
      </c>
      <c r="E10432">
        <v>24</v>
      </c>
      <c r="F10432" s="2">
        <f>DATE(2026,IF(Tabla1[[#This Row],[Mes de Fecha]]="Septiembre",9,10),Tabla1[[#This Row],[Día de Fecha]])</f>
        <v>46289</v>
      </c>
      <c r="G10432">
        <v>1118836017</v>
      </c>
      <c r="H10432" t="s">
        <v>858</v>
      </c>
      <c r="I10432">
        <v>69</v>
      </c>
      <c r="J10432">
        <v>0</v>
      </c>
      <c r="K10432" s="1">
        <v>3345170</v>
      </c>
    </row>
    <row r="10433" spans="1:11" x14ac:dyDescent="0.25">
      <c r="A10433" t="s">
        <v>326</v>
      </c>
      <c r="B10433" t="s">
        <v>856</v>
      </c>
      <c r="C10433" t="s">
        <v>875</v>
      </c>
      <c r="D10433" t="s">
        <v>11</v>
      </c>
      <c r="E10433">
        <v>25</v>
      </c>
      <c r="F10433" s="2">
        <f>DATE(2026,IF(Tabla1[[#This Row],[Mes de Fecha]]="Septiembre",9,10),Tabla1[[#This Row],[Día de Fecha]])</f>
        <v>46290</v>
      </c>
      <c r="I10433">
        <v>0</v>
      </c>
      <c r="J10433" s="1">
        <v>8094629</v>
      </c>
      <c r="K10433">
        <v>0</v>
      </c>
    </row>
    <row r="10434" spans="1:11" x14ac:dyDescent="0.25">
      <c r="A10434" t="s">
        <v>326</v>
      </c>
      <c r="B10434" t="s">
        <v>856</v>
      </c>
      <c r="C10434" t="s">
        <v>875</v>
      </c>
      <c r="D10434" t="s">
        <v>11</v>
      </c>
      <c r="E10434">
        <v>25</v>
      </c>
      <c r="F10434" s="2">
        <f>DATE(2026,IF(Tabla1[[#This Row],[Mes de Fecha]]="Septiembre",9,10),Tabla1[[#This Row],[Día de Fecha]])</f>
        <v>46290</v>
      </c>
      <c r="G10434">
        <v>1006572292</v>
      </c>
      <c r="H10434" t="s">
        <v>859</v>
      </c>
      <c r="I10434">
        <v>41</v>
      </c>
      <c r="J10434">
        <v>0</v>
      </c>
      <c r="K10434" s="1">
        <v>1867985</v>
      </c>
    </row>
    <row r="10435" spans="1:11" x14ac:dyDescent="0.25">
      <c r="A10435" t="s">
        <v>326</v>
      </c>
      <c r="B10435" t="s">
        <v>856</v>
      </c>
      <c r="C10435" t="s">
        <v>875</v>
      </c>
      <c r="D10435" t="s">
        <v>11</v>
      </c>
      <c r="E10435">
        <v>25</v>
      </c>
      <c r="F10435" s="2">
        <f>DATE(2026,IF(Tabla1[[#This Row],[Mes de Fecha]]="Septiembre",9,10),Tabla1[[#This Row],[Día de Fecha]])</f>
        <v>46290</v>
      </c>
      <c r="G10435">
        <v>1118816729</v>
      </c>
      <c r="H10435" t="s">
        <v>857</v>
      </c>
      <c r="I10435">
        <v>38</v>
      </c>
      <c r="J10435">
        <v>0</v>
      </c>
      <c r="K10435" s="1">
        <v>2162271</v>
      </c>
    </row>
    <row r="10436" spans="1:11" x14ac:dyDescent="0.25">
      <c r="A10436" t="s">
        <v>326</v>
      </c>
      <c r="B10436" t="s">
        <v>856</v>
      </c>
      <c r="C10436" t="s">
        <v>875</v>
      </c>
      <c r="D10436" t="s">
        <v>11</v>
      </c>
      <c r="E10436">
        <v>25</v>
      </c>
      <c r="F10436" s="2">
        <f>DATE(2026,IF(Tabla1[[#This Row],[Mes de Fecha]]="Septiembre",9,10),Tabla1[[#This Row],[Día de Fecha]])</f>
        <v>46290</v>
      </c>
      <c r="G10436">
        <v>1118836017</v>
      </c>
      <c r="H10436" t="s">
        <v>858</v>
      </c>
      <c r="I10436">
        <v>50</v>
      </c>
      <c r="J10436">
        <v>0</v>
      </c>
      <c r="K10436" s="1">
        <v>2825548</v>
      </c>
    </row>
    <row r="10437" spans="1:11" x14ac:dyDescent="0.25">
      <c r="A10437" t="s">
        <v>326</v>
      </c>
      <c r="B10437" t="s">
        <v>856</v>
      </c>
      <c r="C10437" t="s">
        <v>875</v>
      </c>
      <c r="D10437" t="s">
        <v>11</v>
      </c>
      <c r="E10437">
        <v>25</v>
      </c>
      <c r="F10437" s="2">
        <f>DATE(2026,IF(Tabla1[[#This Row],[Mes de Fecha]]="Septiembre",9,10),Tabla1[[#This Row],[Día de Fecha]])</f>
        <v>46290</v>
      </c>
      <c r="G10437">
        <v>1123410212</v>
      </c>
      <c r="I10437">
        <v>16</v>
      </c>
      <c r="J10437">
        <v>0</v>
      </c>
      <c r="K10437" s="1">
        <v>1238824</v>
      </c>
    </row>
    <row r="10438" spans="1:11" x14ac:dyDescent="0.25">
      <c r="A10438" t="s">
        <v>326</v>
      </c>
      <c r="B10438" t="s">
        <v>856</v>
      </c>
      <c r="C10438" t="s">
        <v>875</v>
      </c>
      <c r="D10438" t="s">
        <v>11</v>
      </c>
      <c r="E10438">
        <v>26</v>
      </c>
      <c r="F10438" s="2">
        <f>DATE(2026,IF(Tabla1[[#This Row],[Mes de Fecha]]="Septiembre",9,10),Tabla1[[#This Row],[Día de Fecha]])</f>
        <v>46291</v>
      </c>
      <c r="I10438">
        <v>0</v>
      </c>
      <c r="J10438" s="1">
        <v>13954285</v>
      </c>
      <c r="K10438">
        <v>0</v>
      </c>
    </row>
    <row r="10439" spans="1:11" x14ac:dyDescent="0.25">
      <c r="A10439" t="s">
        <v>326</v>
      </c>
      <c r="B10439" t="s">
        <v>856</v>
      </c>
      <c r="C10439" t="s">
        <v>875</v>
      </c>
      <c r="D10439" t="s">
        <v>11</v>
      </c>
      <c r="E10439">
        <v>26</v>
      </c>
      <c r="F10439" s="2">
        <f>DATE(2026,IF(Tabla1[[#This Row],[Mes de Fecha]]="Septiembre",9,10),Tabla1[[#This Row],[Día de Fecha]])</f>
        <v>46291</v>
      </c>
      <c r="G10439">
        <v>1006572292</v>
      </c>
      <c r="H10439" t="s">
        <v>859</v>
      </c>
      <c r="I10439">
        <v>24</v>
      </c>
      <c r="J10439">
        <v>0</v>
      </c>
      <c r="K10439" s="1">
        <v>1167019</v>
      </c>
    </row>
    <row r="10440" spans="1:11" x14ac:dyDescent="0.25">
      <c r="A10440" t="s">
        <v>326</v>
      </c>
      <c r="B10440" t="s">
        <v>856</v>
      </c>
      <c r="C10440" t="s">
        <v>875</v>
      </c>
      <c r="D10440" t="s">
        <v>11</v>
      </c>
      <c r="E10440">
        <v>26</v>
      </c>
      <c r="F10440" s="2">
        <f>DATE(2026,IF(Tabla1[[#This Row],[Mes de Fecha]]="Septiembre",9,10),Tabla1[[#This Row],[Día de Fecha]])</f>
        <v>46291</v>
      </c>
      <c r="G10440">
        <v>1118816729</v>
      </c>
      <c r="H10440" t="s">
        <v>857</v>
      </c>
      <c r="I10440">
        <v>59</v>
      </c>
      <c r="J10440">
        <v>0</v>
      </c>
      <c r="K10440" s="1">
        <v>3289459</v>
      </c>
    </row>
    <row r="10441" spans="1:11" x14ac:dyDescent="0.25">
      <c r="A10441" t="s">
        <v>326</v>
      </c>
      <c r="B10441" t="s">
        <v>856</v>
      </c>
      <c r="C10441" t="s">
        <v>875</v>
      </c>
      <c r="D10441" t="s">
        <v>11</v>
      </c>
      <c r="E10441">
        <v>26</v>
      </c>
      <c r="F10441" s="2">
        <f>DATE(2026,IF(Tabla1[[#This Row],[Mes de Fecha]]="Septiembre",9,10),Tabla1[[#This Row],[Día de Fecha]])</f>
        <v>46291</v>
      </c>
      <c r="G10441">
        <v>1118836017</v>
      </c>
      <c r="H10441" t="s">
        <v>858</v>
      </c>
      <c r="I10441">
        <v>48</v>
      </c>
      <c r="J10441">
        <v>0</v>
      </c>
      <c r="K10441" s="1">
        <v>2522987</v>
      </c>
    </row>
    <row r="10442" spans="1:11" x14ac:dyDescent="0.25">
      <c r="A10442" t="s">
        <v>326</v>
      </c>
      <c r="B10442" t="s">
        <v>856</v>
      </c>
      <c r="C10442" t="s">
        <v>875</v>
      </c>
      <c r="D10442" t="s">
        <v>11</v>
      </c>
      <c r="E10442">
        <v>26</v>
      </c>
      <c r="F10442" s="2">
        <f>DATE(2026,IF(Tabla1[[#This Row],[Mes de Fecha]]="Septiembre",9,10),Tabla1[[#This Row],[Día de Fecha]])</f>
        <v>46291</v>
      </c>
      <c r="G10442">
        <v>1123410212</v>
      </c>
      <c r="I10442">
        <v>45</v>
      </c>
      <c r="J10442">
        <v>0</v>
      </c>
      <c r="K10442" s="1">
        <v>2300466</v>
      </c>
    </row>
    <row r="10443" spans="1:11" x14ac:dyDescent="0.25">
      <c r="A10443" t="s">
        <v>326</v>
      </c>
      <c r="B10443" t="s">
        <v>856</v>
      </c>
      <c r="C10443" t="s">
        <v>875</v>
      </c>
      <c r="D10443" t="s">
        <v>11</v>
      </c>
      <c r="E10443">
        <v>27</v>
      </c>
      <c r="F10443" s="2">
        <f>DATE(2026,IF(Tabla1[[#This Row],[Mes de Fecha]]="Septiembre",9,10),Tabla1[[#This Row],[Día de Fecha]])</f>
        <v>46292</v>
      </c>
      <c r="I10443">
        <v>0</v>
      </c>
      <c r="J10443" s="1">
        <v>11054603</v>
      </c>
      <c r="K10443">
        <v>0</v>
      </c>
    </row>
    <row r="10444" spans="1:11" x14ac:dyDescent="0.25">
      <c r="A10444" t="s">
        <v>326</v>
      </c>
      <c r="B10444" t="s">
        <v>856</v>
      </c>
      <c r="C10444" t="s">
        <v>875</v>
      </c>
      <c r="D10444" t="s">
        <v>11</v>
      </c>
      <c r="E10444">
        <v>27</v>
      </c>
      <c r="F10444" s="2">
        <f>DATE(2026,IF(Tabla1[[#This Row],[Mes de Fecha]]="Septiembre",9,10),Tabla1[[#This Row],[Día de Fecha]])</f>
        <v>46292</v>
      </c>
      <c r="G10444">
        <v>1006572292</v>
      </c>
      <c r="H10444" t="s">
        <v>859</v>
      </c>
      <c r="I10444">
        <v>24</v>
      </c>
      <c r="J10444">
        <v>0</v>
      </c>
      <c r="K10444" s="1">
        <v>1351936</v>
      </c>
    </row>
    <row r="10445" spans="1:11" x14ac:dyDescent="0.25">
      <c r="A10445" t="s">
        <v>326</v>
      </c>
      <c r="B10445" t="s">
        <v>856</v>
      </c>
      <c r="C10445" t="s">
        <v>875</v>
      </c>
      <c r="D10445" t="s">
        <v>11</v>
      </c>
      <c r="E10445">
        <v>27</v>
      </c>
      <c r="F10445" s="2">
        <f>DATE(2026,IF(Tabla1[[#This Row],[Mes de Fecha]]="Septiembre",9,10),Tabla1[[#This Row],[Día de Fecha]])</f>
        <v>46292</v>
      </c>
      <c r="G10445">
        <v>1118816729</v>
      </c>
      <c r="H10445" t="s">
        <v>857</v>
      </c>
      <c r="I10445">
        <v>17</v>
      </c>
      <c r="J10445">
        <v>0</v>
      </c>
      <c r="K10445" s="1">
        <v>902649</v>
      </c>
    </row>
    <row r="10446" spans="1:11" x14ac:dyDescent="0.25">
      <c r="A10446" t="s">
        <v>326</v>
      </c>
      <c r="B10446" t="s">
        <v>856</v>
      </c>
      <c r="C10446" t="s">
        <v>875</v>
      </c>
      <c r="D10446" t="s">
        <v>11</v>
      </c>
      <c r="E10446">
        <v>27</v>
      </c>
      <c r="F10446" s="2">
        <f>DATE(2026,IF(Tabla1[[#This Row],[Mes de Fecha]]="Septiembre",9,10),Tabla1[[#This Row],[Día de Fecha]])</f>
        <v>46292</v>
      </c>
      <c r="G10446">
        <v>1118836017</v>
      </c>
      <c r="H10446" t="s">
        <v>858</v>
      </c>
      <c r="I10446">
        <v>28</v>
      </c>
      <c r="J10446">
        <v>0</v>
      </c>
      <c r="K10446" s="1">
        <v>1456725</v>
      </c>
    </row>
    <row r="10447" spans="1:11" x14ac:dyDescent="0.25">
      <c r="A10447" t="s">
        <v>326</v>
      </c>
      <c r="B10447" t="s">
        <v>856</v>
      </c>
      <c r="C10447" t="s">
        <v>875</v>
      </c>
      <c r="D10447" t="s">
        <v>11</v>
      </c>
      <c r="E10447">
        <v>27</v>
      </c>
      <c r="F10447" s="2">
        <f>DATE(2026,IF(Tabla1[[#This Row],[Mes de Fecha]]="Septiembre",9,10),Tabla1[[#This Row],[Día de Fecha]])</f>
        <v>46292</v>
      </c>
      <c r="G10447">
        <v>1123410212</v>
      </c>
      <c r="I10447">
        <v>27</v>
      </c>
      <c r="J10447">
        <v>0</v>
      </c>
      <c r="K10447" s="1">
        <v>1376853</v>
      </c>
    </row>
    <row r="10448" spans="1:11" x14ac:dyDescent="0.25">
      <c r="A10448" t="s">
        <v>326</v>
      </c>
      <c r="B10448" t="s">
        <v>856</v>
      </c>
      <c r="C10448" t="s">
        <v>875</v>
      </c>
      <c r="D10448" t="s">
        <v>11</v>
      </c>
      <c r="E10448">
        <v>28</v>
      </c>
      <c r="F10448" s="2">
        <f>DATE(2026,IF(Tabla1[[#This Row],[Mes de Fecha]]="Septiembre",9,10),Tabla1[[#This Row],[Día de Fecha]])</f>
        <v>46293</v>
      </c>
      <c r="I10448">
        <v>0</v>
      </c>
      <c r="J10448" s="1">
        <v>6083997</v>
      </c>
      <c r="K10448">
        <v>0</v>
      </c>
    </row>
    <row r="10449" spans="1:11" x14ac:dyDescent="0.25">
      <c r="A10449" t="s">
        <v>326</v>
      </c>
      <c r="B10449" t="s">
        <v>856</v>
      </c>
      <c r="C10449" t="s">
        <v>875</v>
      </c>
      <c r="D10449" t="s">
        <v>11</v>
      </c>
      <c r="E10449">
        <v>28</v>
      </c>
      <c r="F10449" s="2">
        <f>DATE(2026,IF(Tabla1[[#This Row],[Mes de Fecha]]="Septiembre",9,10),Tabla1[[#This Row],[Día de Fecha]])</f>
        <v>46293</v>
      </c>
      <c r="G10449">
        <v>1006572292</v>
      </c>
      <c r="H10449" t="s">
        <v>859</v>
      </c>
      <c r="I10449">
        <v>20</v>
      </c>
      <c r="J10449">
        <v>0</v>
      </c>
      <c r="K10449" s="1">
        <v>1196599</v>
      </c>
    </row>
    <row r="10450" spans="1:11" x14ac:dyDescent="0.25">
      <c r="A10450" t="s">
        <v>326</v>
      </c>
      <c r="B10450" t="s">
        <v>856</v>
      </c>
      <c r="C10450" t="s">
        <v>875</v>
      </c>
      <c r="D10450" t="s">
        <v>11</v>
      </c>
      <c r="E10450">
        <v>28</v>
      </c>
      <c r="F10450" s="2">
        <f>DATE(2026,IF(Tabla1[[#This Row],[Mes de Fecha]]="Septiembre",9,10),Tabla1[[#This Row],[Día de Fecha]])</f>
        <v>46293</v>
      </c>
      <c r="G10450">
        <v>1118816729</v>
      </c>
      <c r="H10450" t="s">
        <v>857</v>
      </c>
      <c r="I10450">
        <v>45</v>
      </c>
      <c r="J10450">
        <v>0</v>
      </c>
      <c r="K10450" s="1">
        <v>2443492</v>
      </c>
    </row>
    <row r="10451" spans="1:11" x14ac:dyDescent="0.25">
      <c r="A10451" t="s">
        <v>326</v>
      </c>
      <c r="B10451" t="s">
        <v>856</v>
      </c>
      <c r="C10451" t="s">
        <v>875</v>
      </c>
      <c r="D10451" t="s">
        <v>11</v>
      </c>
      <c r="E10451">
        <v>28</v>
      </c>
      <c r="F10451" s="2">
        <f>DATE(2026,IF(Tabla1[[#This Row],[Mes de Fecha]]="Septiembre",9,10),Tabla1[[#This Row],[Día de Fecha]])</f>
        <v>46293</v>
      </c>
      <c r="G10451">
        <v>1118836017</v>
      </c>
      <c r="H10451" t="s">
        <v>858</v>
      </c>
      <c r="I10451">
        <v>35</v>
      </c>
      <c r="J10451">
        <v>0</v>
      </c>
      <c r="K10451" s="1">
        <v>1208067</v>
      </c>
    </row>
    <row r="10452" spans="1:11" x14ac:dyDescent="0.25">
      <c r="A10452" t="s">
        <v>326</v>
      </c>
      <c r="B10452" t="s">
        <v>856</v>
      </c>
      <c r="C10452" t="s">
        <v>875</v>
      </c>
      <c r="D10452" t="s">
        <v>11</v>
      </c>
      <c r="E10452">
        <v>28</v>
      </c>
      <c r="F10452" s="2">
        <f>DATE(2026,IF(Tabla1[[#This Row],[Mes de Fecha]]="Septiembre",9,10),Tabla1[[#This Row],[Día de Fecha]])</f>
        <v>46293</v>
      </c>
      <c r="G10452">
        <v>1123410212</v>
      </c>
      <c r="I10452">
        <v>14</v>
      </c>
      <c r="J10452">
        <v>0</v>
      </c>
      <c r="K10452" s="1">
        <v>726263</v>
      </c>
    </row>
    <row r="10453" spans="1:11" x14ac:dyDescent="0.25">
      <c r="A10453" t="s">
        <v>326</v>
      </c>
      <c r="B10453" t="s">
        <v>856</v>
      </c>
      <c r="C10453" t="s">
        <v>875</v>
      </c>
      <c r="D10453" t="s">
        <v>11</v>
      </c>
      <c r="E10453">
        <v>29</v>
      </c>
      <c r="F10453" s="2">
        <f>DATE(2026,IF(Tabla1[[#This Row],[Mes de Fecha]]="Septiembre",9,10),Tabla1[[#This Row],[Día de Fecha]])</f>
        <v>46294</v>
      </c>
      <c r="I10453">
        <v>0</v>
      </c>
      <c r="J10453" s="1">
        <v>6498901</v>
      </c>
      <c r="K10453">
        <v>0</v>
      </c>
    </row>
    <row r="10454" spans="1:11" x14ac:dyDescent="0.25">
      <c r="A10454" t="s">
        <v>326</v>
      </c>
      <c r="B10454" t="s">
        <v>856</v>
      </c>
      <c r="C10454" t="s">
        <v>875</v>
      </c>
      <c r="D10454" t="s">
        <v>11</v>
      </c>
      <c r="E10454">
        <v>29</v>
      </c>
      <c r="F10454" s="2">
        <f>DATE(2026,IF(Tabla1[[#This Row],[Mes de Fecha]]="Septiembre",9,10),Tabla1[[#This Row],[Día de Fecha]])</f>
        <v>46294</v>
      </c>
      <c r="G10454">
        <v>1006572292</v>
      </c>
      <c r="H10454" t="s">
        <v>859</v>
      </c>
      <c r="I10454">
        <v>32</v>
      </c>
      <c r="J10454">
        <v>0</v>
      </c>
      <c r="K10454" s="1">
        <v>1257019</v>
      </c>
    </row>
    <row r="10455" spans="1:11" x14ac:dyDescent="0.25">
      <c r="A10455" t="s">
        <v>326</v>
      </c>
      <c r="B10455" t="s">
        <v>856</v>
      </c>
      <c r="C10455" t="s">
        <v>875</v>
      </c>
      <c r="D10455" t="s">
        <v>11</v>
      </c>
      <c r="E10455">
        <v>29</v>
      </c>
      <c r="F10455" s="2">
        <f>DATE(2026,IF(Tabla1[[#This Row],[Mes de Fecha]]="Septiembre",9,10),Tabla1[[#This Row],[Día de Fecha]])</f>
        <v>46294</v>
      </c>
      <c r="G10455">
        <v>1118816729</v>
      </c>
      <c r="H10455" t="s">
        <v>857</v>
      </c>
      <c r="I10455">
        <v>23</v>
      </c>
      <c r="J10455">
        <v>0</v>
      </c>
      <c r="K10455" s="1">
        <v>1186011</v>
      </c>
    </row>
    <row r="10456" spans="1:11" x14ac:dyDescent="0.25">
      <c r="A10456" t="s">
        <v>326</v>
      </c>
      <c r="B10456" t="s">
        <v>856</v>
      </c>
      <c r="C10456" t="s">
        <v>875</v>
      </c>
      <c r="D10456" t="s">
        <v>11</v>
      </c>
      <c r="E10456">
        <v>29</v>
      </c>
      <c r="F10456" s="2">
        <f>DATE(2026,IF(Tabla1[[#This Row],[Mes de Fecha]]="Septiembre",9,10),Tabla1[[#This Row],[Día de Fecha]])</f>
        <v>46294</v>
      </c>
      <c r="G10456">
        <v>1118836017</v>
      </c>
      <c r="H10456" t="s">
        <v>858</v>
      </c>
      <c r="I10456">
        <v>28</v>
      </c>
      <c r="J10456">
        <v>0</v>
      </c>
      <c r="K10456" s="1">
        <v>1448278</v>
      </c>
    </row>
    <row r="10457" spans="1:11" x14ac:dyDescent="0.25">
      <c r="A10457" t="s">
        <v>326</v>
      </c>
      <c r="B10457" t="s">
        <v>856</v>
      </c>
      <c r="C10457" t="s">
        <v>875</v>
      </c>
      <c r="D10457" t="s">
        <v>11</v>
      </c>
      <c r="E10457">
        <v>29</v>
      </c>
      <c r="F10457" s="2">
        <f>DATE(2026,IF(Tabla1[[#This Row],[Mes de Fecha]]="Septiembre",9,10),Tabla1[[#This Row],[Día de Fecha]])</f>
        <v>46294</v>
      </c>
      <c r="G10457">
        <v>1123410212</v>
      </c>
      <c r="I10457">
        <v>13</v>
      </c>
      <c r="J10457">
        <v>0</v>
      </c>
      <c r="K10457" s="1">
        <v>827187</v>
      </c>
    </row>
    <row r="10458" spans="1:11" x14ac:dyDescent="0.25">
      <c r="A10458" t="s">
        <v>326</v>
      </c>
      <c r="B10458" t="s">
        <v>856</v>
      </c>
      <c r="C10458" t="s">
        <v>875</v>
      </c>
      <c r="D10458" t="s">
        <v>11</v>
      </c>
      <c r="E10458">
        <v>30</v>
      </c>
      <c r="F10458" s="2">
        <f>DATE(2026,IF(Tabla1[[#This Row],[Mes de Fecha]]="Septiembre",9,10),Tabla1[[#This Row],[Día de Fecha]])</f>
        <v>46295</v>
      </c>
      <c r="I10458">
        <v>0</v>
      </c>
      <c r="J10458" s="1">
        <v>6713484</v>
      </c>
      <c r="K10458">
        <v>0</v>
      </c>
    </row>
    <row r="10459" spans="1:11" x14ac:dyDescent="0.25">
      <c r="A10459" t="s">
        <v>326</v>
      </c>
      <c r="B10459" t="s">
        <v>856</v>
      </c>
      <c r="C10459" t="s">
        <v>875</v>
      </c>
      <c r="D10459" t="s">
        <v>11</v>
      </c>
      <c r="E10459">
        <v>30</v>
      </c>
      <c r="F10459" s="2">
        <f>DATE(2026,IF(Tabla1[[#This Row],[Mes de Fecha]]="Septiembre",9,10),Tabla1[[#This Row],[Día de Fecha]])</f>
        <v>46295</v>
      </c>
      <c r="G10459">
        <v>1006572292</v>
      </c>
      <c r="H10459" t="s">
        <v>859</v>
      </c>
      <c r="I10459">
        <v>14</v>
      </c>
      <c r="J10459">
        <v>0</v>
      </c>
      <c r="K10459" s="1">
        <v>734709</v>
      </c>
    </row>
    <row r="10460" spans="1:11" x14ac:dyDescent="0.25">
      <c r="A10460" t="s">
        <v>326</v>
      </c>
      <c r="B10460" t="s">
        <v>856</v>
      </c>
      <c r="C10460" t="s">
        <v>875</v>
      </c>
      <c r="D10460" t="s">
        <v>11</v>
      </c>
      <c r="E10460">
        <v>30</v>
      </c>
      <c r="F10460" s="2">
        <f>DATE(2026,IF(Tabla1[[#This Row],[Mes de Fecha]]="Septiembre",9,10),Tabla1[[#This Row],[Día de Fecha]])</f>
        <v>46295</v>
      </c>
      <c r="G10460">
        <v>1118816729</v>
      </c>
      <c r="H10460" t="s">
        <v>857</v>
      </c>
      <c r="I10460">
        <v>27</v>
      </c>
      <c r="J10460">
        <v>0</v>
      </c>
      <c r="K10460" s="1">
        <v>1570213</v>
      </c>
    </row>
    <row r="10461" spans="1:11" x14ac:dyDescent="0.25">
      <c r="A10461" t="s">
        <v>326</v>
      </c>
      <c r="B10461" t="s">
        <v>856</v>
      </c>
      <c r="C10461" t="s">
        <v>875</v>
      </c>
      <c r="D10461" t="s">
        <v>11</v>
      </c>
      <c r="E10461">
        <v>30</v>
      </c>
      <c r="F10461" s="2">
        <f>DATE(2026,IF(Tabla1[[#This Row],[Mes de Fecha]]="Septiembre",9,10),Tabla1[[#This Row],[Día de Fecha]])</f>
        <v>46295</v>
      </c>
      <c r="G10461">
        <v>1118836017</v>
      </c>
      <c r="H10461" t="s">
        <v>858</v>
      </c>
      <c r="I10461">
        <v>37</v>
      </c>
      <c r="J10461">
        <v>0</v>
      </c>
      <c r="K10461" s="1">
        <v>2002651</v>
      </c>
    </row>
    <row r="10462" spans="1:11" x14ac:dyDescent="0.25">
      <c r="A10462" t="s">
        <v>326</v>
      </c>
      <c r="B10462" t="s">
        <v>856</v>
      </c>
      <c r="C10462" t="s">
        <v>875</v>
      </c>
      <c r="D10462" t="s">
        <v>11</v>
      </c>
      <c r="E10462">
        <v>30</v>
      </c>
      <c r="F10462" s="2">
        <f>DATE(2026,IF(Tabla1[[#This Row],[Mes de Fecha]]="Septiembre",9,10),Tabla1[[#This Row],[Día de Fecha]])</f>
        <v>46295</v>
      </c>
      <c r="G10462">
        <v>1123410212</v>
      </c>
      <c r="I10462">
        <v>21</v>
      </c>
      <c r="J10462">
        <v>0</v>
      </c>
      <c r="K10462" s="1">
        <v>1141936</v>
      </c>
    </row>
    <row r="10463" spans="1:11" x14ac:dyDescent="0.25">
      <c r="A10463" t="s">
        <v>326</v>
      </c>
      <c r="B10463" t="s">
        <v>856</v>
      </c>
      <c r="C10463" t="s">
        <v>875</v>
      </c>
      <c r="D10463" t="s">
        <v>14</v>
      </c>
      <c r="E10463">
        <v>1</v>
      </c>
      <c r="F10463" s="2">
        <f>DATE(2026,IF(Tabla1[[#This Row],[Mes de Fecha]]="Septiembre",9,10),Tabla1[[#This Row],[Día de Fecha]])</f>
        <v>46296</v>
      </c>
      <c r="I10463">
        <v>0</v>
      </c>
      <c r="J10463" s="1">
        <v>6392356</v>
      </c>
      <c r="K10463">
        <v>0</v>
      </c>
    </row>
    <row r="10464" spans="1:11" x14ac:dyDescent="0.25">
      <c r="A10464" t="s">
        <v>326</v>
      </c>
      <c r="B10464" t="s">
        <v>856</v>
      </c>
      <c r="C10464" t="s">
        <v>875</v>
      </c>
      <c r="D10464" t="s">
        <v>14</v>
      </c>
      <c r="E10464">
        <v>1</v>
      </c>
      <c r="F10464" s="2">
        <f>DATE(2026,IF(Tabla1[[#This Row],[Mes de Fecha]]="Septiembre",9,10),Tabla1[[#This Row],[Día de Fecha]])</f>
        <v>46296</v>
      </c>
      <c r="G10464">
        <v>1006572292</v>
      </c>
      <c r="H10464" t="s">
        <v>859</v>
      </c>
      <c r="I10464">
        <v>28</v>
      </c>
      <c r="J10464">
        <v>0</v>
      </c>
      <c r="K10464" s="1">
        <v>1547104</v>
      </c>
    </row>
    <row r="10465" spans="1:11" x14ac:dyDescent="0.25">
      <c r="A10465" t="s">
        <v>326</v>
      </c>
      <c r="B10465" t="s">
        <v>856</v>
      </c>
      <c r="C10465" t="s">
        <v>875</v>
      </c>
      <c r="D10465" t="s">
        <v>14</v>
      </c>
      <c r="E10465">
        <v>1</v>
      </c>
      <c r="F10465" s="2">
        <f>DATE(2026,IF(Tabla1[[#This Row],[Mes de Fecha]]="Septiembre",9,10),Tabla1[[#This Row],[Día de Fecha]])</f>
        <v>46296</v>
      </c>
      <c r="G10465">
        <v>1118816729</v>
      </c>
      <c r="H10465" t="s">
        <v>857</v>
      </c>
      <c r="I10465">
        <v>37</v>
      </c>
      <c r="J10465">
        <v>0</v>
      </c>
      <c r="K10465" s="1">
        <v>2006768</v>
      </c>
    </row>
    <row r="10466" spans="1:11" x14ac:dyDescent="0.25">
      <c r="A10466" t="s">
        <v>326</v>
      </c>
      <c r="B10466" t="s">
        <v>856</v>
      </c>
      <c r="C10466" t="s">
        <v>875</v>
      </c>
      <c r="D10466" t="s">
        <v>14</v>
      </c>
      <c r="E10466">
        <v>1</v>
      </c>
      <c r="F10466" s="2">
        <f>DATE(2026,IF(Tabla1[[#This Row],[Mes de Fecha]]="Septiembre",9,10),Tabla1[[#This Row],[Día de Fecha]])</f>
        <v>46296</v>
      </c>
      <c r="G10466">
        <v>1118836017</v>
      </c>
      <c r="H10466" t="s">
        <v>858</v>
      </c>
      <c r="I10466">
        <v>40</v>
      </c>
      <c r="J10466">
        <v>0</v>
      </c>
      <c r="K10466" s="1">
        <v>2294500</v>
      </c>
    </row>
    <row r="10467" spans="1:11" x14ac:dyDescent="0.25">
      <c r="A10467" t="s">
        <v>326</v>
      </c>
      <c r="B10467" t="s">
        <v>856</v>
      </c>
      <c r="C10467" t="s">
        <v>875</v>
      </c>
      <c r="D10467" t="s">
        <v>14</v>
      </c>
      <c r="E10467">
        <v>1</v>
      </c>
      <c r="F10467" s="2">
        <f>DATE(2026,IF(Tabla1[[#This Row],[Mes de Fecha]]="Septiembre",9,10),Tabla1[[#This Row],[Día de Fecha]])</f>
        <v>46296</v>
      </c>
      <c r="G10467">
        <v>1123410212</v>
      </c>
      <c r="I10467">
        <v>20</v>
      </c>
      <c r="J10467">
        <v>0</v>
      </c>
      <c r="K10467" s="1">
        <v>1167230</v>
      </c>
    </row>
    <row r="10468" spans="1:11" x14ac:dyDescent="0.25">
      <c r="A10468" t="s">
        <v>326</v>
      </c>
      <c r="B10468" t="s">
        <v>856</v>
      </c>
      <c r="C10468" t="s">
        <v>875</v>
      </c>
      <c r="D10468" t="s">
        <v>14</v>
      </c>
      <c r="E10468">
        <v>2</v>
      </c>
      <c r="F10468" s="2">
        <f>DATE(2026,IF(Tabla1[[#This Row],[Mes de Fecha]]="Septiembre",9,10),Tabla1[[#This Row],[Día de Fecha]])</f>
        <v>46297</v>
      </c>
      <c r="I10468">
        <v>0</v>
      </c>
      <c r="J10468" s="1">
        <v>6053713</v>
      </c>
      <c r="K10468">
        <v>0</v>
      </c>
    </row>
    <row r="10469" spans="1:11" x14ac:dyDescent="0.25">
      <c r="A10469" t="s">
        <v>326</v>
      </c>
      <c r="B10469" t="s">
        <v>856</v>
      </c>
      <c r="C10469" t="s">
        <v>875</v>
      </c>
      <c r="D10469" t="s">
        <v>14</v>
      </c>
      <c r="E10469">
        <v>2</v>
      </c>
      <c r="F10469" s="2">
        <f>DATE(2026,IF(Tabla1[[#This Row],[Mes de Fecha]]="Septiembre",9,10),Tabla1[[#This Row],[Día de Fecha]])</f>
        <v>46297</v>
      </c>
      <c r="G10469">
        <v>1006572292</v>
      </c>
      <c r="H10469" t="s">
        <v>859</v>
      </c>
      <c r="I10469">
        <v>21</v>
      </c>
      <c r="J10469">
        <v>0</v>
      </c>
      <c r="K10469" s="1">
        <v>1129286</v>
      </c>
    </row>
    <row r="10470" spans="1:11" x14ac:dyDescent="0.25">
      <c r="A10470" t="s">
        <v>326</v>
      </c>
      <c r="B10470" t="s">
        <v>856</v>
      </c>
      <c r="C10470" t="s">
        <v>875</v>
      </c>
      <c r="D10470" t="s">
        <v>14</v>
      </c>
      <c r="E10470">
        <v>2</v>
      </c>
      <c r="F10470" s="2">
        <f>DATE(2026,IF(Tabla1[[#This Row],[Mes de Fecha]]="Septiembre",9,10),Tabla1[[#This Row],[Día de Fecha]])</f>
        <v>46297</v>
      </c>
      <c r="G10470">
        <v>1118816729</v>
      </c>
      <c r="H10470" t="s">
        <v>857</v>
      </c>
      <c r="I10470">
        <v>46</v>
      </c>
      <c r="J10470">
        <v>0</v>
      </c>
      <c r="K10470" s="1">
        <v>2964415</v>
      </c>
    </row>
    <row r="10471" spans="1:11" x14ac:dyDescent="0.25">
      <c r="A10471" t="s">
        <v>326</v>
      </c>
      <c r="B10471" t="s">
        <v>856</v>
      </c>
      <c r="C10471" t="s">
        <v>875</v>
      </c>
      <c r="D10471" t="s">
        <v>14</v>
      </c>
      <c r="E10471">
        <v>2</v>
      </c>
      <c r="F10471" s="2">
        <f>DATE(2026,IF(Tabla1[[#This Row],[Mes de Fecha]]="Septiembre",9,10),Tabla1[[#This Row],[Día de Fecha]])</f>
        <v>46297</v>
      </c>
      <c r="G10471">
        <v>1118836017</v>
      </c>
      <c r="H10471" t="s">
        <v>858</v>
      </c>
      <c r="I10471">
        <v>29</v>
      </c>
      <c r="J10471">
        <v>0</v>
      </c>
      <c r="K10471" s="1">
        <v>1473531</v>
      </c>
    </row>
    <row r="10472" spans="1:11" x14ac:dyDescent="0.25">
      <c r="A10472" t="s">
        <v>326</v>
      </c>
      <c r="B10472" t="s">
        <v>856</v>
      </c>
      <c r="C10472" t="s">
        <v>875</v>
      </c>
      <c r="D10472" t="s">
        <v>14</v>
      </c>
      <c r="E10472">
        <v>2</v>
      </c>
      <c r="F10472" s="2">
        <f>DATE(2026,IF(Tabla1[[#This Row],[Mes de Fecha]]="Septiembre",9,10),Tabla1[[#This Row],[Día de Fecha]])</f>
        <v>46297</v>
      </c>
      <c r="G10472">
        <v>1123410212</v>
      </c>
      <c r="I10472">
        <v>26</v>
      </c>
      <c r="J10472">
        <v>0</v>
      </c>
      <c r="K10472" s="1">
        <v>1271978</v>
      </c>
    </row>
    <row r="10473" spans="1:11" x14ac:dyDescent="0.25">
      <c r="A10473" t="s">
        <v>326</v>
      </c>
      <c r="B10473" t="s">
        <v>856</v>
      </c>
      <c r="C10473" t="s">
        <v>875</v>
      </c>
      <c r="D10473" t="s">
        <v>14</v>
      </c>
      <c r="E10473">
        <v>3</v>
      </c>
      <c r="F10473" s="2">
        <f>DATE(2026,IF(Tabla1[[#This Row],[Mes de Fecha]]="Septiembre",9,10),Tabla1[[#This Row],[Día de Fecha]])</f>
        <v>46298</v>
      </c>
      <c r="I10473">
        <v>0</v>
      </c>
      <c r="J10473" s="1">
        <v>9756749</v>
      </c>
      <c r="K10473">
        <v>0</v>
      </c>
    </row>
    <row r="10474" spans="1:11" x14ac:dyDescent="0.25">
      <c r="A10474" t="s">
        <v>326</v>
      </c>
      <c r="B10474" t="s">
        <v>856</v>
      </c>
      <c r="C10474" t="s">
        <v>875</v>
      </c>
      <c r="D10474" t="s">
        <v>14</v>
      </c>
      <c r="E10474">
        <v>3</v>
      </c>
      <c r="F10474" s="2">
        <f>DATE(2026,IF(Tabla1[[#This Row],[Mes de Fecha]]="Septiembre",9,10),Tabla1[[#This Row],[Día de Fecha]])</f>
        <v>46298</v>
      </c>
      <c r="G10474">
        <v>1006572292</v>
      </c>
      <c r="H10474" t="s">
        <v>859</v>
      </c>
      <c r="I10474">
        <v>37</v>
      </c>
      <c r="J10474">
        <v>0</v>
      </c>
      <c r="K10474" s="1">
        <v>2021296</v>
      </c>
    </row>
    <row r="10475" spans="1:11" x14ac:dyDescent="0.25">
      <c r="A10475" t="s">
        <v>326</v>
      </c>
      <c r="B10475" t="s">
        <v>856</v>
      </c>
      <c r="C10475" t="s">
        <v>875</v>
      </c>
      <c r="D10475" t="s">
        <v>14</v>
      </c>
      <c r="E10475">
        <v>3</v>
      </c>
      <c r="F10475" s="2">
        <f>DATE(2026,IF(Tabla1[[#This Row],[Mes de Fecha]]="Septiembre",9,10),Tabla1[[#This Row],[Día de Fecha]])</f>
        <v>46298</v>
      </c>
      <c r="G10475">
        <v>1118816729</v>
      </c>
      <c r="H10475" t="s">
        <v>857</v>
      </c>
      <c r="I10475">
        <v>39</v>
      </c>
      <c r="J10475">
        <v>0</v>
      </c>
      <c r="K10475" s="1">
        <v>2111826</v>
      </c>
    </row>
    <row r="10476" spans="1:11" x14ac:dyDescent="0.25">
      <c r="A10476" t="s">
        <v>326</v>
      </c>
      <c r="B10476" t="s">
        <v>856</v>
      </c>
      <c r="C10476" t="s">
        <v>875</v>
      </c>
      <c r="D10476" t="s">
        <v>14</v>
      </c>
      <c r="E10476">
        <v>3</v>
      </c>
      <c r="F10476" s="2">
        <f>DATE(2026,IF(Tabla1[[#This Row],[Mes de Fecha]]="Septiembre",9,10),Tabla1[[#This Row],[Día de Fecha]])</f>
        <v>46298</v>
      </c>
      <c r="G10476">
        <v>1118836017</v>
      </c>
      <c r="H10476" t="s">
        <v>858</v>
      </c>
      <c r="I10476">
        <v>51</v>
      </c>
      <c r="J10476">
        <v>0</v>
      </c>
      <c r="K10476" s="1">
        <v>2679281</v>
      </c>
    </row>
    <row r="10477" spans="1:11" x14ac:dyDescent="0.25">
      <c r="A10477" t="s">
        <v>326</v>
      </c>
      <c r="B10477" t="s">
        <v>856</v>
      </c>
      <c r="C10477" t="s">
        <v>875</v>
      </c>
      <c r="D10477" t="s">
        <v>14</v>
      </c>
      <c r="E10477">
        <v>3</v>
      </c>
      <c r="F10477" s="2">
        <f>DATE(2026,IF(Tabla1[[#This Row],[Mes de Fecha]]="Septiembre",9,10),Tabla1[[#This Row],[Día de Fecha]])</f>
        <v>46298</v>
      </c>
      <c r="G10477">
        <v>1123410212</v>
      </c>
      <c r="I10477">
        <v>34</v>
      </c>
      <c r="J10477">
        <v>0</v>
      </c>
      <c r="K10477" s="1">
        <v>1784297</v>
      </c>
    </row>
    <row r="10478" spans="1:11" x14ac:dyDescent="0.25">
      <c r="A10478" t="s">
        <v>326</v>
      </c>
      <c r="B10478" t="s">
        <v>856</v>
      </c>
      <c r="C10478" t="s">
        <v>875</v>
      </c>
      <c r="D10478" t="s">
        <v>14</v>
      </c>
      <c r="E10478">
        <v>4</v>
      </c>
      <c r="F10478" s="2">
        <f>DATE(2026,IF(Tabla1[[#This Row],[Mes de Fecha]]="Septiembre",9,10),Tabla1[[#This Row],[Día de Fecha]])</f>
        <v>46299</v>
      </c>
      <c r="I10478">
        <v>0</v>
      </c>
      <c r="J10478" s="1">
        <v>8205292</v>
      </c>
      <c r="K10478">
        <v>0</v>
      </c>
    </row>
    <row r="10479" spans="1:11" x14ac:dyDescent="0.25">
      <c r="A10479" t="s">
        <v>326</v>
      </c>
      <c r="B10479" t="s">
        <v>856</v>
      </c>
      <c r="C10479" t="s">
        <v>875</v>
      </c>
      <c r="D10479" t="s">
        <v>14</v>
      </c>
      <c r="E10479">
        <v>4</v>
      </c>
      <c r="F10479" s="2">
        <f>DATE(2026,IF(Tabla1[[#This Row],[Mes de Fecha]]="Septiembre",9,10),Tabla1[[#This Row],[Día de Fecha]])</f>
        <v>46299</v>
      </c>
      <c r="G10479">
        <v>1006572292</v>
      </c>
      <c r="H10479" t="s">
        <v>859</v>
      </c>
      <c r="I10479">
        <v>27</v>
      </c>
      <c r="J10479">
        <v>0</v>
      </c>
      <c r="K10479" s="1">
        <v>1419037</v>
      </c>
    </row>
    <row r="10480" spans="1:11" x14ac:dyDescent="0.25">
      <c r="A10480" t="s">
        <v>326</v>
      </c>
      <c r="B10480" t="s">
        <v>856</v>
      </c>
      <c r="C10480" t="s">
        <v>875</v>
      </c>
      <c r="D10480" t="s">
        <v>14</v>
      </c>
      <c r="E10480">
        <v>4</v>
      </c>
      <c r="F10480" s="2">
        <f>DATE(2026,IF(Tabla1[[#This Row],[Mes de Fecha]]="Septiembre",9,10),Tabla1[[#This Row],[Día de Fecha]])</f>
        <v>46299</v>
      </c>
      <c r="G10480">
        <v>1118816729</v>
      </c>
      <c r="H10480" t="s">
        <v>857</v>
      </c>
      <c r="I10480">
        <v>30</v>
      </c>
      <c r="J10480">
        <v>0</v>
      </c>
      <c r="K10480" s="1">
        <v>1897776</v>
      </c>
    </row>
    <row r="10481" spans="1:11" x14ac:dyDescent="0.25">
      <c r="A10481" t="s">
        <v>326</v>
      </c>
      <c r="B10481" t="s">
        <v>856</v>
      </c>
      <c r="C10481" t="s">
        <v>875</v>
      </c>
      <c r="D10481" t="s">
        <v>14</v>
      </c>
      <c r="E10481">
        <v>4</v>
      </c>
      <c r="F10481" s="2">
        <f>DATE(2026,IF(Tabla1[[#This Row],[Mes de Fecha]]="Septiembre",9,10),Tabla1[[#This Row],[Día de Fecha]])</f>
        <v>46299</v>
      </c>
      <c r="G10481">
        <v>1118836017</v>
      </c>
      <c r="H10481" t="s">
        <v>858</v>
      </c>
      <c r="I10481">
        <v>58</v>
      </c>
      <c r="J10481">
        <v>0</v>
      </c>
      <c r="K10481" s="1">
        <v>2762105</v>
      </c>
    </row>
    <row r="10482" spans="1:11" x14ac:dyDescent="0.25">
      <c r="A10482" t="s">
        <v>326</v>
      </c>
      <c r="B10482" t="s">
        <v>856</v>
      </c>
      <c r="C10482" t="s">
        <v>875</v>
      </c>
      <c r="D10482" t="s">
        <v>14</v>
      </c>
      <c r="E10482">
        <v>4</v>
      </c>
      <c r="F10482" s="2">
        <f>DATE(2026,IF(Tabla1[[#This Row],[Mes de Fecha]]="Septiembre",9,10),Tabla1[[#This Row],[Día de Fecha]])</f>
        <v>46299</v>
      </c>
      <c r="G10482">
        <v>1123410212</v>
      </c>
      <c r="I10482">
        <v>21</v>
      </c>
      <c r="J10482">
        <v>0</v>
      </c>
      <c r="K10482" s="1">
        <v>1213363</v>
      </c>
    </row>
    <row r="10483" spans="1:11" x14ac:dyDescent="0.25">
      <c r="A10483" t="s">
        <v>326</v>
      </c>
      <c r="B10483" t="s">
        <v>856</v>
      </c>
      <c r="C10483" t="s">
        <v>875</v>
      </c>
      <c r="D10483" t="s">
        <v>14</v>
      </c>
      <c r="E10483">
        <v>5</v>
      </c>
      <c r="F10483" s="2">
        <f>DATE(2026,IF(Tabla1[[#This Row],[Mes de Fecha]]="Septiembre",9,10),Tabla1[[#This Row],[Día de Fecha]])</f>
        <v>46300</v>
      </c>
      <c r="I10483">
        <v>0</v>
      </c>
      <c r="J10483" s="1">
        <v>4650448</v>
      </c>
      <c r="K10483">
        <v>0</v>
      </c>
    </row>
    <row r="10484" spans="1:11" x14ac:dyDescent="0.25">
      <c r="A10484" t="s">
        <v>326</v>
      </c>
      <c r="B10484" t="s">
        <v>856</v>
      </c>
      <c r="C10484" t="s">
        <v>875</v>
      </c>
      <c r="D10484" t="s">
        <v>14</v>
      </c>
      <c r="E10484">
        <v>5</v>
      </c>
      <c r="F10484" s="2">
        <f>DATE(2026,IF(Tabla1[[#This Row],[Mes de Fecha]]="Septiembre",9,10),Tabla1[[#This Row],[Día de Fecha]])</f>
        <v>46300</v>
      </c>
      <c r="G10484">
        <v>1006572292</v>
      </c>
      <c r="H10484" t="s">
        <v>859</v>
      </c>
      <c r="I10484">
        <v>20</v>
      </c>
      <c r="J10484">
        <v>0</v>
      </c>
      <c r="K10484" s="1">
        <v>641556</v>
      </c>
    </row>
    <row r="10485" spans="1:11" x14ac:dyDescent="0.25">
      <c r="A10485" t="s">
        <v>326</v>
      </c>
      <c r="B10485" t="s">
        <v>856</v>
      </c>
      <c r="C10485" t="s">
        <v>875</v>
      </c>
      <c r="D10485" t="s">
        <v>14</v>
      </c>
      <c r="E10485">
        <v>5</v>
      </c>
      <c r="F10485" s="2">
        <f>DATE(2026,IF(Tabla1[[#This Row],[Mes de Fecha]]="Septiembre",9,10),Tabla1[[#This Row],[Día de Fecha]])</f>
        <v>46300</v>
      </c>
      <c r="G10485">
        <v>1118816729</v>
      </c>
      <c r="H10485" t="s">
        <v>857</v>
      </c>
      <c r="I10485">
        <v>36</v>
      </c>
      <c r="J10485">
        <v>0</v>
      </c>
      <c r="K10485" s="1">
        <v>1845090</v>
      </c>
    </row>
    <row r="10486" spans="1:11" x14ac:dyDescent="0.25">
      <c r="A10486" t="s">
        <v>326</v>
      </c>
      <c r="B10486" t="s">
        <v>856</v>
      </c>
      <c r="C10486" t="s">
        <v>875</v>
      </c>
      <c r="D10486" t="s">
        <v>14</v>
      </c>
      <c r="E10486">
        <v>5</v>
      </c>
      <c r="F10486" s="2">
        <f>DATE(2026,IF(Tabla1[[#This Row],[Mes de Fecha]]="Septiembre",9,10),Tabla1[[#This Row],[Día de Fecha]])</f>
        <v>46300</v>
      </c>
      <c r="G10486">
        <v>1118836017</v>
      </c>
      <c r="H10486" t="s">
        <v>858</v>
      </c>
      <c r="I10486">
        <v>35</v>
      </c>
      <c r="J10486">
        <v>0</v>
      </c>
      <c r="K10486" s="1">
        <v>1901724</v>
      </c>
    </row>
    <row r="10487" spans="1:11" x14ac:dyDescent="0.25">
      <c r="A10487" t="s">
        <v>326</v>
      </c>
      <c r="B10487" t="s">
        <v>856</v>
      </c>
      <c r="C10487" t="s">
        <v>875</v>
      </c>
      <c r="D10487" t="s">
        <v>14</v>
      </c>
      <c r="E10487">
        <v>5</v>
      </c>
      <c r="F10487" s="2">
        <f>DATE(2026,IF(Tabla1[[#This Row],[Mes de Fecha]]="Septiembre",9,10),Tabla1[[#This Row],[Día de Fecha]])</f>
        <v>46300</v>
      </c>
      <c r="G10487">
        <v>1123410212</v>
      </c>
      <c r="I10487">
        <v>13</v>
      </c>
      <c r="J10487">
        <v>0</v>
      </c>
      <c r="K10487" s="1">
        <v>722101</v>
      </c>
    </row>
    <row r="10488" spans="1:11" x14ac:dyDescent="0.25">
      <c r="A10488" t="s">
        <v>326</v>
      </c>
      <c r="B10488" t="s">
        <v>856</v>
      </c>
      <c r="C10488" t="s">
        <v>875</v>
      </c>
      <c r="D10488" t="s">
        <v>14</v>
      </c>
      <c r="E10488">
        <v>6</v>
      </c>
      <c r="F10488" s="2">
        <f>DATE(2026,IF(Tabla1[[#This Row],[Mes de Fecha]]="Septiembre",9,10),Tabla1[[#This Row],[Día de Fecha]])</f>
        <v>46301</v>
      </c>
      <c r="I10488">
        <v>0</v>
      </c>
      <c r="J10488" s="1">
        <v>2970023</v>
      </c>
      <c r="K10488">
        <v>0</v>
      </c>
    </row>
    <row r="10489" spans="1:11" x14ac:dyDescent="0.25">
      <c r="A10489" t="s">
        <v>326</v>
      </c>
      <c r="B10489" t="s">
        <v>856</v>
      </c>
      <c r="C10489" t="s">
        <v>875</v>
      </c>
      <c r="D10489" t="s">
        <v>14</v>
      </c>
      <c r="E10489">
        <v>6</v>
      </c>
      <c r="F10489" s="2">
        <f>DATE(2026,IF(Tabla1[[#This Row],[Mes de Fecha]]="Septiembre",9,10),Tabla1[[#This Row],[Día de Fecha]])</f>
        <v>46301</v>
      </c>
      <c r="G10489">
        <v>1006572292</v>
      </c>
      <c r="H10489" t="s">
        <v>859</v>
      </c>
      <c r="I10489">
        <v>8</v>
      </c>
      <c r="J10489">
        <v>0</v>
      </c>
      <c r="K10489" s="1">
        <v>423993</v>
      </c>
    </row>
    <row r="10490" spans="1:11" x14ac:dyDescent="0.25">
      <c r="A10490" t="s">
        <v>326</v>
      </c>
      <c r="B10490" t="s">
        <v>856</v>
      </c>
      <c r="C10490" t="s">
        <v>875</v>
      </c>
      <c r="D10490" t="s">
        <v>14</v>
      </c>
      <c r="E10490">
        <v>6</v>
      </c>
      <c r="F10490" s="2">
        <f>DATE(2026,IF(Tabla1[[#This Row],[Mes de Fecha]]="Septiembre",9,10),Tabla1[[#This Row],[Día de Fecha]])</f>
        <v>46301</v>
      </c>
      <c r="G10490">
        <v>1118816729</v>
      </c>
      <c r="H10490" t="s">
        <v>857</v>
      </c>
      <c r="I10490">
        <v>26</v>
      </c>
      <c r="J10490">
        <v>0</v>
      </c>
      <c r="K10490" s="1">
        <v>1599710</v>
      </c>
    </row>
    <row r="10491" spans="1:11" x14ac:dyDescent="0.25">
      <c r="A10491" t="s">
        <v>326</v>
      </c>
      <c r="B10491" t="s">
        <v>856</v>
      </c>
      <c r="C10491" t="s">
        <v>875</v>
      </c>
      <c r="D10491" t="s">
        <v>14</v>
      </c>
      <c r="E10491">
        <v>6</v>
      </c>
      <c r="F10491" s="2">
        <f>DATE(2026,IF(Tabla1[[#This Row],[Mes de Fecha]]="Septiembre",9,10),Tabla1[[#This Row],[Día de Fecha]])</f>
        <v>46301</v>
      </c>
      <c r="G10491">
        <v>1118836017</v>
      </c>
      <c r="H10491" t="s">
        <v>858</v>
      </c>
      <c r="I10491">
        <v>30</v>
      </c>
      <c r="J10491">
        <v>0</v>
      </c>
      <c r="K10491" s="1">
        <v>1973448</v>
      </c>
    </row>
    <row r="10492" spans="1:11" x14ac:dyDescent="0.25">
      <c r="A10492" t="s">
        <v>326</v>
      </c>
      <c r="B10492" t="s">
        <v>856</v>
      </c>
      <c r="C10492" t="s">
        <v>875</v>
      </c>
      <c r="D10492" t="s">
        <v>14</v>
      </c>
      <c r="E10492">
        <v>6</v>
      </c>
      <c r="F10492" s="2">
        <f>DATE(2026,IF(Tabla1[[#This Row],[Mes de Fecha]]="Septiembre",9,10),Tabla1[[#This Row],[Día de Fecha]])</f>
        <v>46301</v>
      </c>
      <c r="G10492">
        <v>1123410212</v>
      </c>
      <c r="I10492">
        <v>7</v>
      </c>
      <c r="J10492">
        <v>0</v>
      </c>
      <c r="K10492" s="1">
        <v>426176</v>
      </c>
    </row>
    <row r="10493" spans="1:11" x14ac:dyDescent="0.25">
      <c r="A10493" t="s">
        <v>326</v>
      </c>
      <c r="B10493" t="s">
        <v>856</v>
      </c>
      <c r="C10493" t="s">
        <v>875</v>
      </c>
      <c r="D10493" t="s">
        <v>14</v>
      </c>
      <c r="E10493">
        <v>7</v>
      </c>
      <c r="F10493" s="2">
        <f>DATE(2026,IF(Tabla1[[#This Row],[Mes de Fecha]]="Septiembre",9,10),Tabla1[[#This Row],[Día de Fecha]])</f>
        <v>46302</v>
      </c>
      <c r="I10493">
        <v>0</v>
      </c>
      <c r="J10493" s="1">
        <v>2930946</v>
      </c>
      <c r="K10493">
        <v>0</v>
      </c>
    </row>
    <row r="10494" spans="1:11" x14ac:dyDescent="0.25">
      <c r="A10494" t="s">
        <v>326</v>
      </c>
      <c r="B10494" t="s">
        <v>856</v>
      </c>
      <c r="C10494" t="s">
        <v>875</v>
      </c>
      <c r="D10494" t="s">
        <v>14</v>
      </c>
      <c r="E10494">
        <v>7</v>
      </c>
      <c r="F10494" s="2">
        <f>DATE(2026,IF(Tabla1[[#This Row],[Mes de Fecha]]="Septiembre",9,10),Tabla1[[#This Row],[Día de Fecha]])</f>
        <v>46302</v>
      </c>
      <c r="G10494">
        <v>1006572292</v>
      </c>
      <c r="H10494" t="s">
        <v>859</v>
      </c>
      <c r="I10494">
        <v>4</v>
      </c>
      <c r="J10494">
        <v>0</v>
      </c>
      <c r="K10494" s="1">
        <v>226723</v>
      </c>
    </row>
    <row r="10495" spans="1:11" x14ac:dyDescent="0.25">
      <c r="A10495" t="s">
        <v>326</v>
      </c>
      <c r="B10495" t="s">
        <v>856</v>
      </c>
      <c r="C10495" t="s">
        <v>875</v>
      </c>
      <c r="D10495" t="s">
        <v>14</v>
      </c>
      <c r="E10495">
        <v>7</v>
      </c>
      <c r="F10495" s="2">
        <f>DATE(2026,IF(Tabla1[[#This Row],[Mes de Fecha]]="Septiembre",9,10),Tabla1[[#This Row],[Día de Fecha]])</f>
        <v>46302</v>
      </c>
      <c r="G10495">
        <v>1118816729</v>
      </c>
      <c r="H10495" t="s">
        <v>857</v>
      </c>
      <c r="I10495">
        <v>38</v>
      </c>
      <c r="J10495">
        <v>0</v>
      </c>
      <c r="K10495" s="1">
        <v>1719740</v>
      </c>
    </row>
    <row r="10496" spans="1:11" x14ac:dyDescent="0.25">
      <c r="A10496" t="s">
        <v>326</v>
      </c>
      <c r="B10496" t="s">
        <v>856</v>
      </c>
      <c r="C10496" t="s">
        <v>875</v>
      </c>
      <c r="D10496" t="s">
        <v>14</v>
      </c>
      <c r="E10496">
        <v>7</v>
      </c>
      <c r="F10496" s="2">
        <f>DATE(2026,IF(Tabla1[[#This Row],[Mes de Fecha]]="Septiembre",9,10),Tabla1[[#This Row],[Día de Fecha]])</f>
        <v>46302</v>
      </c>
      <c r="G10496">
        <v>1118836017</v>
      </c>
      <c r="H10496" t="s">
        <v>858</v>
      </c>
      <c r="I10496">
        <v>30</v>
      </c>
      <c r="J10496">
        <v>0</v>
      </c>
      <c r="K10496" s="1">
        <v>1742359</v>
      </c>
    </row>
    <row r="10497" spans="1:11" x14ac:dyDescent="0.25">
      <c r="A10497" t="s">
        <v>326</v>
      </c>
      <c r="B10497" t="s">
        <v>856</v>
      </c>
      <c r="C10497" t="s">
        <v>875</v>
      </c>
      <c r="D10497" t="s">
        <v>14</v>
      </c>
      <c r="E10497">
        <v>7</v>
      </c>
      <c r="F10497" s="2">
        <f>DATE(2026,IF(Tabla1[[#This Row],[Mes de Fecha]]="Septiembre",9,10),Tabla1[[#This Row],[Día de Fecha]])</f>
        <v>46302</v>
      </c>
      <c r="G10497">
        <v>1123410212</v>
      </c>
      <c r="I10497">
        <v>2</v>
      </c>
      <c r="J10497">
        <v>0</v>
      </c>
      <c r="K10497" s="1">
        <v>71345</v>
      </c>
    </row>
    <row r="10498" spans="1:11" x14ac:dyDescent="0.25">
      <c r="A10498" t="s">
        <v>9</v>
      </c>
      <c r="B10498" t="s">
        <v>138</v>
      </c>
      <c r="C10498" t="s">
        <v>876</v>
      </c>
      <c r="D10498" t="s">
        <v>11</v>
      </c>
      <c r="E10498">
        <v>23</v>
      </c>
      <c r="F10498" s="2">
        <f>DATE(2026,IF(Tabla1[[#This Row],[Mes de Fecha]]="Septiembre",9,10),Tabla1[[#This Row],[Día de Fecha]])</f>
        <v>46288</v>
      </c>
      <c r="I10498">
        <v>0</v>
      </c>
      <c r="J10498" s="1">
        <v>4074179</v>
      </c>
      <c r="K10498">
        <v>0</v>
      </c>
    </row>
    <row r="10499" spans="1:11" x14ac:dyDescent="0.25">
      <c r="A10499" t="s">
        <v>9</v>
      </c>
      <c r="B10499" t="s">
        <v>138</v>
      </c>
      <c r="C10499" t="s">
        <v>876</v>
      </c>
      <c r="D10499" t="s">
        <v>11</v>
      </c>
      <c r="E10499">
        <v>23</v>
      </c>
      <c r="F10499" s="2">
        <f>DATE(2026,IF(Tabla1[[#This Row],[Mes de Fecha]]="Septiembre",9,10),Tabla1[[#This Row],[Día de Fecha]])</f>
        <v>46288</v>
      </c>
      <c r="G10499">
        <v>55066633</v>
      </c>
      <c r="H10499" t="s">
        <v>139</v>
      </c>
      <c r="I10499">
        <v>20</v>
      </c>
      <c r="J10499">
        <v>0</v>
      </c>
      <c r="K10499" s="1">
        <v>1051640</v>
      </c>
    </row>
    <row r="10500" spans="1:11" x14ac:dyDescent="0.25">
      <c r="A10500" t="s">
        <v>9</v>
      </c>
      <c r="B10500" t="s">
        <v>138</v>
      </c>
      <c r="C10500" t="s">
        <v>876</v>
      </c>
      <c r="D10500" t="s">
        <v>11</v>
      </c>
      <c r="E10500">
        <v>23</v>
      </c>
      <c r="F10500" s="2">
        <f>DATE(2026,IF(Tabla1[[#This Row],[Mes de Fecha]]="Septiembre",9,10),Tabla1[[#This Row],[Día de Fecha]])</f>
        <v>46288</v>
      </c>
      <c r="G10500">
        <v>1077874164</v>
      </c>
      <c r="H10500" t="s">
        <v>140</v>
      </c>
      <c r="I10500">
        <v>92</v>
      </c>
      <c r="J10500">
        <v>0</v>
      </c>
      <c r="K10500" s="1">
        <v>4863373</v>
      </c>
    </row>
    <row r="10501" spans="1:11" x14ac:dyDescent="0.25">
      <c r="A10501" t="s">
        <v>9</v>
      </c>
      <c r="B10501" t="s">
        <v>138</v>
      </c>
      <c r="C10501" t="s">
        <v>876</v>
      </c>
      <c r="D10501" t="s">
        <v>11</v>
      </c>
      <c r="E10501">
        <v>24</v>
      </c>
      <c r="F10501" s="2">
        <f>DATE(2026,IF(Tabla1[[#This Row],[Mes de Fecha]]="Septiembre",9,10),Tabla1[[#This Row],[Día de Fecha]])</f>
        <v>46289</v>
      </c>
      <c r="I10501">
        <v>0</v>
      </c>
      <c r="J10501" s="1">
        <v>10536611</v>
      </c>
      <c r="K10501">
        <v>0</v>
      </c>
    </row>
    <row r="10502" spans="1:11" x14ac:dyDescent="0.25">
      <c r="A10502" t="s">
        <v>9</v>
      </c>
      <c r="B10502" t="s">
        <v>138</v>
      </c>
      <c r="C10502" t="s">
        <v>876</v>
      </c>
      <c r="D10502" t="s">
        <v>11</v>
      </c>
      <c r="E10502">
        <v>24</v>
      </c>
      <c r="F10502" s="2">
        <f>DATE(2026,IF(Tabla1[[#This Row],[Mes de Fecha]]="Septiembre",9,10),Tabla1[[#This Row],[Día de Fecha]])</f>
        <v>46289</v>
      </c>
      <c r="G10502">
        <v>55066633</v>
      </c>
      <c r="H10502" t="s">
        <v>139</v>
      </c>
      <c r="I10502">
        <v>45</v>
      </c>
      <c r="J10502">
        <v>0</v>
      </c>
      <c r="K10502" s="1">
        <v>2441387</v>
      </c>
    </row>
    <row r="10503" spans="1:11" x14ac:dyDescent="0.25">
      <c r="A10503" t="s">
        <v>9</v>
      </c>
      <c r="B10503" t="s">
        <v>138</v>
      </c>
      <c r="C10503" t="s">
        <v>876</v>
      </c>
      <c r="D10503" t="s">
        <v>11</v>
      </c>
      <c r="E10503">
        <v>24</v>
      </c>
      <c r="F10503" s="2">
        <f>DATE(2026,IF(Tabla1[[#This Row],[Mes de Fecha]]="Septiembre",9,10),Tabla1[[#This Row],[Día de Fecha]])</f>
        <v>46289</v>
      </c>
      <c r="G10503">
        <v>1077874164</v>
      </c>
      <c r="H10503" t="s">
        <v>140</v>
      </c>
      <c r="I10503">
        <v>95</v>
      </c>
      <c r="J10503">
        <v>0</v>
      </c>
      <c r="K10503" s="1">
        <v>5447572</v>
      </c>
    </row>
    <row r="10504" spans="1:11" x14ac:dyDescent="0.25">
      <c r="A10504" t="s">
        <v>9</v>
      </c>
      <c r="B10504" t="s">
        <v>138</v>
      </c>
      <c r="C10504" t="s">
        <v>876</v>
      </c>
      <c r="D10504" t="s">
        <v>11</v>
      </c>
      <c r="E10504">
        <v>25</v>
      </c>
      <c r="F10504" s="2">
        <f>DATE(2026,IF(Tabla1[[#This Row],[Mes de Fecha]]="Septiembre",9,10),Tabla1[[#This Row],[Día de Fecha]])</f>
        <v>46290</v>
      </c>
      <c r="I10504">
        <v>0</v>
      </c>
      <c r="J10504" s="1">
        <v>11253675</v>
      </c>
      <c r="K10504">
        <v>0</v>
      </c>
    </row>
    <row r="10505" spans="1:11" x14ac:dyDescent="0.25">
      <c r="A10505" t="s">
        <v>9</v>
      </c>
      <c r="B10505" t="s">
        <v>138</v>
      </c>
      <c r="C10505" t="s">
        <v>876</v>
      </c>
      <c r="D10505" t="s">
        <v>11</v>
      </c>
      <c r="E10505">
        <v>25</v>
      </c>
      <c r="F10505" s="2">
        <f>DATE(2026,IF(Tabla1[[#This Row],[Mes de Fecha]]="Septiembre",9,10),Tabla1[[#This Row],[Día de Fecha]])</f>
        <v>46290</v>
      </c>
      <c r="G10505">
        <v>55066633</v>
      </c>
      <c r="H10505" t="s">
        <v>139</v>
      </c>
      <c r="I10505">
        <v>5</v>
      </c>
      <c r="J10505">
        <v>0</v>
      </c>
      <c r="K10505" s="1">
        <v>249706</v>
      </c>
    </row>
    <row r="10506" spans="1:11" x14ac:dyDescent="0.25">
      <c r="A10506" t="s">
        <v>9</v>
      </c>
      <c r="B10506" t="s">
        <v>138</v>
      </c>
      <c r="C10506" t="s">
        <v>876</v>
      </c>
      <c r="D10506" t="s">
        <v>11</v>
      </c>
      <c r="E10506">
        <v>25</v>
      </c>
      <c r="F10506" s="2">
        <f>DATE(2026,IF(Tabla1[[#This Row],[Mes de Fecha]]="Septiembre",9,10),Tabla1[[#This Row],[Día de Fecha]])</f>
        <v>46290</v>
      </c>
      <c r="G10506">
        <v>1077874164</v>
      </c>
      <c r="H10506" t="s">
        <v>140</v>
      </c>
      <c r="I10506">
        <v>255</v>
      </c>
      <c r="J10506">
        <v>0</v>
      </c>
      <c r="K10506" s="1">
        <v>14320521</v>
      </c>
    </row>
    <row r="10507" spans="1:11" x14ac:dyDescent="0.25">
      <c r="A10507" t="s">
        <v>9</v>
      </c>
      <c r="B10507" t="s">
        <v>138</v>
      </c>
      <c r="C10507" t="s">
        <v>876</v>
      </c>
      <c r="D10507" t="s">
        <v>11</v>
      </c>
      <c r="E10507">
        <v>26</v>
      </c>
      <c r="F10507" s="2">
        <f>DATE(2026,IF(Tabla1[[#This Row],[Mes de Fecha]]="Septiembre",9,10),Tabla1[[#This Row],[Día de Fecha]])</f>
        <v>46291</v>
      </c>
      <c r="I10507">
        <v>0</v>
      </c>
      <c r="J10507" s="1">
        <v>14190597</v>
      </c>
      <c r="K10507">
        <v>0</v>
      </c>
    </row>
    <row r="10508" spans="1:11" x14ac:dyDescent="0.25">
      <c r="A10508" t="s">
        <v>9</v>
      </c>
      <c r="B10508" t="s">
        <v>138</v>
      </c>
      <c r="C10508" t="s">
        <v>876</v>
      </c>
      <c r="D10508" t="s">
        <v>11</v>
      </c>
      <c r="E10508">
        <v>26</v>
      </c>
      <c r="F10508" s="2">
        <f>DATE(2026,IF(Tabla1[[#This Row],[Mes de Fecha]]="Septiembre",9,10),Tabla1[[#This Row],[Día de Fecha]])</f>
        <v>46291</v>
      </c>
      <c r="G10508">
        <v>55066633</v>
      </c>
      <c r="H10508" t="s">
        <v>139</v>
      </c>
      <c r="I10508">
        <v>40</v>
      </c>
      <c r="J10508">
        <v>0</v>
      </c>
      <c r="K10508" s="1">
        <v>2195756</v>
      </c>
    </row>
    <row r="10509" spans="1:11" x14ac:dyDescent="0.25">
      <c r="A10509" t="s">
        <v>9</v>
      </c>
      <c r="B10509" t="s">
        <v>138</v>
      </c>
      <c r="C10509" t="s">
        <v>876</v>
      </c>
      <c r="D10509" t="s">
        <v>11</v>
      </c>
      <c r="E10509">
        <v>26</v>
      </c>
      <c r="F10509" s="2">
        <f>DATE(2026,IF(Tabla1[[#This Row],[Mes de Fecha]]="Septiembre",9,10),Tabla1[[#This Row],[Día de Fecha]])</f>
        <v>46291</v>
      </c>
      <c r="G10509">
        <v>1077874164</v>
      </c>
      <c r="H10509" t="s">
        <v>140</v>
      </c>
      <c r="I10509">
        <v>338</v>
      </c>
      <c r="J10509">
        <v>0</v>
      </c>
      <c r="K10509" s="1">
        <v>17795305</v>
      </c>
    </row>
    <row r="10510" spans="1:11" x14ac:dyDescent="0.25">
      <c r="A10510" t="s">
        <v>9</v>
      </c>
      <c r="B10510" t="s">
        <v>138</v>
      </c>
      <c r="C10510" t="s">
        <v>876</v>
      </c>
      <c r="D10510" t="s">
        <v>11</v>
      </c>
      <c r="E10510">
        <v>27</v>
      </c>
      <c r="F10510" s="2">
        <f>DATE(2026,IF(Tabla1[[#This Row],[Mes de Fecha]]="Septiembre",9,10),Tabla1[[#This Row],[Día de Fecha]])</f>
        <v>46292</v>
      </c>
      <c r="I10510">
        <v>0</v>
      </c>
      <c r="J10510" s="1">
        <v>7492503</v>
      </c>
      <c r="K10510">
        <v>0</v>
      </c>
    </row>
    <row r="10511" spans="1:11" x14ac:dyDescent="0.25">
      <c r="A10511" t="s">
        <v>9</v>
      </c>
      <c r="B10511" t="s">
        <v>138</v>
      </c>
      <c r="C10511" t="s">
        <v>876</v>
      </c>
      <c r="D10511" t="s">
        <v>11</v>
      </c>
      <c r="E10511">
        <v>27</v>
      </c>
      <c r="F10511" s="2">
        <f>DATE(2026,IF(Tabla1[[#This Row],[Mes de Fecha]]="Septiembre",9,10),Tabla1[[#This Row],[Día de Fecha]])</f>
        <v>46292</v>
      </c>
      <c r="G10511">
        <v>55066633</v>
      </c>
      <c r="H10511" t="s">
        <v>139</v>
      </c>
      <c r="I10511">
        <v>77</v>
      </c>
      <c r="J10511">
        <v>0</v>
      </c>
      <c r="K10511" s="1">
        <v>3818701</v>
      </c>
    </row>
    <row r="10512" spans="1:11" x14ac:dyDescent="0.25">
      <c r="A10512" t="s">
        <v>9</v>
      </c>
      <c r="B10512" t="s">
        <v>138</v>
      </c>
      <c r="C10512" t="s">
        <v>876</v>
      </c>
      <c r="D10512" t="s">
        <v>11</v>
      </c>
      <c r="E10512">
        <v>27</v>
      </c>
      <c r="F10512" s="2">
        <f>DATE(2026,IF(Tabla1[[#This Row],[Mes de Fecha]]="Septiembre",9,10),Tabla1[[#This Row],[Día de Fecha]])</f>
        <v>46292</v>
      </c>
      <c r="G10512">
        <v>1077874164</v>
      </c>
      <c r="H10512" t="s">
        <v>140</v>
      </c>
      <c r="I10512">
        <v>106</v>
      </c>
      <c r="J10512">
        <v>0</v>
      </c>
      <c r="K10512" s="1">
        <v>5864963</v>
      </c>
    </row>
    <row r="10513" spans="1:11" x14ac:dyDescent="0.25">
      <c r="A10513" t="s">
        <v>9</v>
      </c>
      <c r="B10513" t="s">
        <v>138</v>
      </c>
      <c r="C10513" t="s">
        <v>876</v>
      </c>
      <c r="D10513" t="s">
        <v>11</v>
      </c>
      <c r="E10513">
        <v>28</v>
      </c>
      <c r="F10513" s="2">
        <f>DATE(2026,IF(Tabla1[[#This Row],[Mes de Fecha]]="Septiembre",9,10),Tabla1[[#This Row],[Día de Fecha]])</f>
        <v>46293</v>
      </c>
      <c r="I10513">
        <v>0</v>
      </c>
      <c r="J10513" s="1">
        <v>6143035</v>
      </c>
      <c r="K10513">
        <v>0</v>
      </c>
    </row>
    <row r="10514" spans="1:11" x14ac:dyDescent="0.25">
      <c r="A10514" t="s">
        <v>9</v>
      </c>
      <c r="B10514" t="s">
        <v>138</v>
      </c>
      <c r="C10514" t="s">
        <v>876</v>
      </c>
      <c r="D10514" t="s">
        <v>11</v>
      </c>
      <c r="E10514">
        <v>28</v>
      </c>
      <c r="F10514" s="2">
        <f>DATE(2026,IF(Tabla1[[#This Row],[Mes de Fecha]]="Septiembre",9,10),Tabla1[[#This Row],[Día de Fecha]])</f>
        <v>46293</v>
      </c>
      <c r="G10514">
        <v>55066633</v>
      </c>
      <c r="H10514" t="s">
        <v>139</v>
      </c>
      <c r="I10514">
        <v>65</v>
      </c>
      <c r="J10514">
        <v>0</v>
      </c>
      <c r="K10514" s="1">
        <v>2866807</v>
      </c>
    </row>
    <row r="10515" spans="1:11" x14ac:dyDescent="0.25">
      <c r="A10515" t="s">
        <v>9</v>
      </c>
      <c r="B10515" t="s">
        <v>138</v>
      </c>
      <c r="C10515" t="s">
        <v>876</v>
      </c>
      <c r="D10515" t="s">
        <v>11</v>
      </c>
      <c r="E10515">
        <v>28</v>
      </c>
      <c r="F10515" s="2">
        <f>DATE(2026,IF(Tabla1[[#This Row],[Mes de Fecha]]="Septiembre",9,10),Tabla1[[#This Row],[Día de Fecha]])</f>
        <v>46293</v>
      </c>
      <c r="G10515">
        <v>1077874164</v>
      </c>
      <c r="H10515" t="s">
        <v>140</v>
      </c>
      <c r="I10515">
        <v>65</v>
      </c>
      <c r="J10515">
        <v>0</v>
      </c>
      <c r="K10515" s="1">
        <v>3291307</v>
      </c>
    </row>
    <row r="10516" spans="1:11" x14ac:dyDescent="0.25">
      <c r="A10516" t="s">
        <v>9</v>
      </c>
      <c r="B10516" t="s">
        <v>138</v>
      </c>
      <c r="C10516" t="s">
        <v>876</v>
      </c>
      <c r="D10516" t="s">
        <v>11</v>
      </c>
      <c r="E10516">
        <v>29</v>
      </c>
      <c r="F10516" s="2">
        <f>DATE(2026,IF(Tabla1[[#This Row],[Mes de Fecha]]="Septiembre",9,10),Tabla1[[#This Row],[Día de Fecha]])</f>
        <v>46294</v>
      </c>
      <c r="I10516">
        <v>0</v>
      </c>
      <c r="J10516" s="1">
        <v>6829240</v>
      </c>
      <c r="K10516">
        <v>0</v>
      </c>
    </row>
    <row r="10517" spans="1:11" x14ac:dyDescent="0.25">
      <c r="A10517" t="s">
        <v>9</v>
      </c>
      <c r="B10517" t="s">
        <v>138</v>
      </c>
      <c r="C10517" t="s">
        <v>876</v>
      </c>
      <c r="D10517" t="s">
        <v>11</v>
      </c>
      <c r="E10517">
        <v>29</v>
      </c>
      <c r="F10517" s="2">
        <f>DATE(2026,IF(Tabla1[[#This Row],[Mes de Fecha]]="Septiembre",9,10),Tabla1[[#This Row],[Día de Fecha]])</f>
        <v>46294</v>
      </c>
      <c r="G10517">
        <v>55066633</v>
      </c>
      <c r="H10517" t="s">
        <v>139</v>
      </c>
      <c r="I10517">
        <v>57</v>
      </c>
      <c r="J10517">
        <v>0</v>
      </c>
      <c r="K10517" s="1">
        <v>2320547</v>
      </c>
    </row>
    <row r="10518" spans="1:11" x14ac:dyDescent="0.25">
      <c r="A10518" t="s">
        <v>9</v>
      </c>
      <c r="B10518" t="s">
        <v>138</v>
      </c>
      <c r="C10518" t="s">
        <v>876</v>
      </c>
      <c r="D10518" t="s">
        <v>11</v>
      </c>
      <c r="E10518">
        <v>29</v>
      </c>
      <c r="F10518" s="2">
        <f>DATE(2026,IF(Tabla1[[#This Row],[Mes de Fecha]]="Septiembre",9,10),Tabla1[[#This Row],[Día de Fecha]])</f>
        <v>46294</v>
      </c>
      <c r="G10518">
        <v>1077874164</v>
      </c>
      <c r="H10518" t="s">
        <v>140</v>
      </c>
      <c r="I10518">
        <v>70</v>
      </c>
      <c r="J10518">
        <v>0</v>
      </c>
      <c r="K10518" s="1">
        <v>2882148</v>
      </c>
    </row>
    <row r="10519" spans="1:11" x14ac:dyDescent="0.25">
      <c r="A10519" t="s">
        <v>9</v>
      </c>
      <c r="B10519" t="s">
        <v>138</v>
      </c>
      <c r="C10519" t="s">
        <v>876</v>
      </c>
      <c r="D10519" t="s">
        <v>11</v>
      </c>
      <c r="E10519">
        <v>30</v>
      </c>
      <c r="F10519" s="2">
        <f>DATE(2026,IF(Tabla1[[#This Row],[Mes de Fecha]]="Septiembre",9,10),Tabla1[[#This Row],[Día de Fecha]])</f>
        <v>46295</v>
      </c>
      <c r="I10519">
        <v>0</v>
      </c>
      <c r="J10519" s="1">
        <v>7232381</v>
      </c>
      <c r="K10519">
        <v>0</v>
      </c>
    </row>
    <row r="10520" spans="1:11" x14ac:dyDescent="0.25">
      <c r="A10520" t="s">
        <v>9</v>
      </c>
      <c r="B10520" t="s">
        <v>138</v>
      </c>
      <c r="C10520" t="s">
        <v>876</v>
      </c>
      <c r="D10520" t="s">
        <v>11</v>
      </c>
      <c r="E10520">
        <v>30</v>
      </c>
      <c r="F10520" s="2">
        <f>DATE(2026,IF(Tabla1[[#This Row],[Mes de Fecha]]="Septiembre",9,10),Tabla1[[#This Row],[Día de Fecha]])</f>
        <v>46295</v>
      </c>
      <c r="G10520">
        <v>55066633</v>
      </c>
      <c r="H10520" t="s">
        <v>139</v>
      </c>
      <c r="I10520">
        <v>134</v>
      </c>
      <c r="J10520">
        <v>0</v>
      </c>
      <c r="K10520" s="1">
        <v>7067522</v>
      </c>
    </row>
    <row r="10521" spans="1:11" x14ac:dyDescent="0.25">
      <c r="A10521" t="s">
        <v>9</v>
      </c>
      <c r="B10521" t="s">
        <v>138</v>
      </c>
      <c r="C10521" t="s">
        <v>876</v>
      </c>
      <c r="D10521" t="s">
        <v>11</v>
      </c>
      <c r="E10521">
        <v>30</v>
      </c>
      <c r="F10521" s="2">
        <f>DATE(2026,IF(Tabla1[[#This Row],[Mes de Fecha]]="Septiembre",9,10),Tabla1[[#This Row],[Día de Fecha]])</f>
        <v>46295</v>
      </c>
      <c r="G10521">
        <v>1077874164</v>
      </c>
      <c r="H10521" t="s">
        <v>140</v>
      </c>
      <c r="I10521">
        <v>18</v>
      </c>
      <c r="J10521">
        <v>0</v>
      </c>
      <c r="K10521" s="1">
        <v>1026514</v>
      </c>
    </row>
    <row r="10522" spans="1:11" x14ac:dyDescent="0.25">
      <c r="A10522" t="s">
        <v>9</v>
      </c>
      <c r="B10522" t="s">
        <v>138</v>
      </c>
      <c r="C10522" t="s">
        <v>876</v>
      </c>
      <c r="D10522" t="s">
        <v>14</v>
      </c>
      <c r="E10522">
        <v>1</v>
      </c>
      <c r="F10522" s="2">
        <f>DATE(2026,IF(Tabla1[[#This Row],[Mes de Fecha]]="Septiembre",9,10),Tabla1[[#This Row],[Día de Fecha]])</f>
        <v>46296</v>
      </c>
      <c r="I10522">
        <v>0</v>
      </c>
      <c r="J10522" s="1">
        <v>6901442</v>
      </c>
      <c r="K10522">
        <v>0</v>
      </c>
    </row>
    <row r="10523" spans="1:11" x14ac:dyDescent="0.25">
      <c r="A10523" t="s">
        <v>9</v>
      </c>
      <c r="B10523" t="s">
        <v>138</v>
      </c>
      <c r="C10523" t="s">
        <v>876</v>
      </c>
      <c r="D10523" t="s">
        <v>14</v>
      </c>
      <c r="E10523">
        <v>1</v>
      </c>
      <c r="F10523" s="2">
        <f>DATE(2026,IF(Tabla1[[#This Row],[Mes de Fecha]]="Septiembre",9,10),Tabla1[[#This Row],[Día de Fecha]])</f>
        <v>46296</v>
      </c>
      <c r="G10523">
        <v>55066633</v>
      </c>
      <c r="H10523" t="s">
        <v>139</v>
      </c>
      <c r="I10523">
        <v>76</v>
      </c>
      <c r="J10523">
        <v>0</v>
      </c>
      <c r="K10523" s="1">
        <v>3807527</v>
      </c>
    </row>
    <row r="10524" spans="1:11" x14ac:dyDescent="0.25">
      <c r="A10524" t="s">
        <v>9</v>
      </c>
      <c r="B10524" t="s">
        <v>138</v>
      </c>
      <c r="C10524" t="s">
        <v>876</v>
      </c>
      <c r="D10524" t="s">
        <v>14</v>
      </c>
      <c r="E10524">
        <v>1</v>
      </c>
      <c r="F10524" s="2">
        <f>DATE(2026,IF(Tabla1[[#This Row],[Mes de Fecha]]="Septiembre",9,10),Tabla1[[#This Row],[Día de Fecha]])</f>
        <v>46296</v>
      </c>
      <c r="G10524">
        <v>1077874164</v>
      </c>
      <c r="H10524" t="s">
        <v>140</v>
      </c>
      <c r="I10524">
        <v>47</v>
      </c>
      <c r="J10524">
        <v>0</v>
      </c>
      <c r="K10524" s="1">
        <v>2325553</v>
      </c>
    </row>
    <row r="10525" spans="1:11" x14ac:dyDescent="0.25">
      <c r="A10525" t="s">
        <v>9</v>
      </c>
      <c r="B10525" t="s">
        <v>138</v>
      </c>
      <c r="C10525" t="s">
        <v>876</v>
      </c>
      <c r="D10525" t="s">
        <v>14</v>
      </c>
      <c r="E10525">
        <v>2</v>
      </c>
      <c r="F10525" s="2">
        <f>DATE(2026,IF(Tabla1[[#This Row],[Mes de Fecha]]="Septiembre",9,10),Tabla1[[#This Row],[Día de Fecha]])</f>
        <v>46297</v>
      </c>
      <c r="I10525">
        <v>0</v>
      </c>
      <c r="J10525" s="1">
        <v>10538119</v>
      </c>
      <c r="K10525">
        <v>0</v>
      </c>
    </row>
    <row r="10526" spans="1:11" x14ac:dyDescent="0.25">
      <c r="A10526" t="s">
        <v>9</v>
      </c>
      <c r="B10526" t="s">
        <v>138</v>
      </c>
      <c r="C10526" t="s">
        <v>876</v>
      </c>
      <c r="D10526" t="s">
        <v>14</v>
      </c>
      <c r="E10526">
        <v>2</v>
      </c>
      <c r="F10526" s="2">
        <f>DATE(2026,IF(Tabla1[[#This Row],[Mes de Fecha]]="Septiembre",9,10),Tabla1[[#This Row],[Día de Fecha]])</f>
        <v>46297</v>
      </c>
      <c r="G10526">
        <v>55066633</v>
      </c>
      <c r="H10526" t="s">
        <v>139</v>
      </c>
      <c r="I10526">
        <v>65</v>
      </c>
      <c r="J10526">
        <v>0</v>
      </c>
      <c r="K10526" s="1">
        <v>3591516</v>
      </c>
    </row>
    <row r="10527" spans="1:11" x14ac:dyDescent="0.25">
      <c r="A10527" t="s">
        <v>9</v>
      </c>
      <c r="B10527" t="s">
        <v>138</v>
      </c>
      <c r="C10527" t="s">
        <v>876</v>
      </c>
      <c r="D10527" t="s">
        <v>14</v>
      </c>
      <c r="E10527">
        <v>2</v>
      </c>
      <c r="F10527" s="2">
        <f>DATE(2026,IF(Tabla1[[#This Row],[Mes de Fecha]]="Septiembre",9,10),Tabla1[[#This Row],[Día de Fecha]])</f>
        <v>46297</v>
      </c>
      <c r="G10527">
        <v>1077874164</v>
      </c>
      <c r="H10527" t="s">
        <v>140</v>
      </c>
      <c r="I10527">
        <v>83</v>
      </c>
      <c r="J10527">
        <v>0</v>
      </c>
      <c r="K10527" s="1">
        <v>4294875</v>
      </c>
    </row>
    <row r="10528" spans="1:11" x14ac:dyDescent="0.25">
      <c r="A10528" t="s">
        <v>9</v>
      </c>
      <c r="B10528" t="s">
        <v>138</v>
      </c>
      <c r="C10528" t="s">
        <v>876</v>
      </c>
      <c r="D10528" t="s">
        <v>14</v>
      </c>
      <c r="E10528">
        <v>3</v>
      </c>
      <c r="F10528" s="2">
        <f>DATE(2026,IF(Tabla1[[#This Row],[Mes de Fecha]]="Septiembre",9,10),Tabla1[[#This Row],[Día de Fecha]])</f>
        <v>46298</v>
      </c>
      <c r="I10528">
        <v>0</v>
      </c>
      <c r="J10528" s="1">
        <v>10318937</v>
      </c>
      <c r="K10528">
        <v>0</v>
      </c>
    </row>
    <row r="10529" spans="1:11" x14ac:dyDescent="0.25">
      <c r="A10529" t="s">
        <v>9</v>
      </c>
      <c r="B10529" t="s">
        <v>138</v>
      </c>
      <c r="C10529" t="s">
        <v>876</v>
      </c>
      <c r="D10529" t="s">
        <v>14</v>
      </c>
      <c r="E10529">
        <v>3</v>
      </c>
      <c r="F10529" s="2">
        <f>DATE(2026,IF(Tabla1[[#This Row],[Mes de Fecha]]="Septiembre",9,10),Tabla1[[#This Row],[Día de Fecha]])</f>
        <v>46298</v>
      </c>
      <c r="G10529">
        <v>55066633</v>
      </c>
      <c r="H10529" t="s">
        <v>139</v>
      </c>
      <c r="I10529">
        <v>0</v>
      </c>
      <c r="J10529">
        <v>0</v>
      </c>
      <c r="K10529" s="1">
        <v>4202</v>
      </c>
    </row>
    <row r="10530" spans="1:11" x14ac:dyDescent="0.25">
      <c r="A10530" t="s">
        <v>9</v>
      </c>
      <c r="B10530" t="s">
        <v>138</v>
      </c>
      <c r="C10530" t="s">
        <v>876</v>
      </c>
      <c r="D10530" t="s">
        <v>14</v>
      </c>
      <c r="E10530">
        <v>3</v>
      </c>
      <c r="F10530" s="2">
        <f>DATE(2026,IF(Tabla1[[#This Row],[Mes de Fecha]]="Septiembre",9,10),Tabla1[[#This Row],[Día de Fecha]])</f>
        <v>46298</v>
      </c>
      <c r="G10530">
        <v>1077874164</v>
      </c>
      <c r="H10530" t="s">
        <v>140</v>
      </c>
      <c r="I10530">
        <v>201</v>
      </c>
      <c r="J10530">
        <v>0</v>
      </c>
      <c r="K10530" s="1">
        <v>10277592</v>
      </c>
    </row>
    <row r="10531" spans="1:11" x14ac:dyDescent="0.25">
      <c r="A10531" t="s">
        <v>9</v>
      </c>
      <c r="B10531" t="s">
        <v>138</v>
      </c>
      <c r="C10531" t="s">
        <v>876</v>
      </c>
      <c r="D10531" t="s">
        <v>14</v>
      </c>
      <c r="E10531">
        <v>4</v>
      </c>
      <c r="F10531" s="2">
        <f>DATE(2026,IF(Tabla1[[#This Row],[Mes de Fecha]]="Septiembre",9,10),Tabla1[[#This Row],[Día de Fecha]])</f>
        <v>46299</v>
      </c>
      <c r="I10531">
        <v>0</v>
      </c>
      <c r="J10531" s="1">
        <v>4721870</v>
      </c>
      <c r="K10531">
        <v>0</v>
      </c>
    </row>
    <row r="10532" spans="1:11" x14ac:dyDescent="0.25">
      <c r="A10532" t="s">
        <v>9</v>
      </c>
      <c r="B10532" t="s">
        <v>138</v>
      </c>
      <c r="C10532" t="s">
        <v>876</v>
      </c>
      <c r="D10532" t="s">
        <v>14</v>
      </c>
      <c r="E10532">
        <v>4</v>
      </c>
      <c r="F10532" s="2">
        <f>DATE(2026,IF(Tabla1[[#This Row],[Mes de Fecha]]="Septiembre",9,10),Tabla1[[#This Row],[Día de Fecha]])</f>
        <v>46299</v>
      </c>
      <c r="G10532">
        <v>55066633</v>
      </c>
      <c r="H10532" t="s">
        <v>139</v>
      </c>
      <c r="I10532">
        <v>52</v>
      </c>
      <c r="J10532">
        <v>0</v>
      </c>
      <c r="K10532" s="1">
        <v>2245296</v>
      </c>
    </row>
    <row r="10533" spans="1:11" x14ac:dyDescent="0.25">
      <c r="A10533" t="s">
        <v>9</v>
      </c>
      <c r="B10533" t="s">
        <v>138</v>
      </c>
      <c r="C10533" t="s">
        <v>876</v>
      </c>
      <c r="D10533" t="s">
        <v>14</v>
      </c>
      <c r="E10533">
        <v>4</v>
      </c>
      <c r="F10533" s="2">
        <f>DATE(2026,IF(Tabla1[[#This Row],[Mes de Fecha]]="Septiembre",9,10),Tabla1[[#This Row],[Día de Fecha]])</f>
        <v>46299</v>
      </c>
      <c r="G10533">
        <v>1077874164</v>
      </c>
      <c r="H10533" t="s">
        <v>140</v>
      </c>
      <c r="I10533">
        <v>16</v>
      </c>
      <c r="J10533">
        <v>0</v>
      </c>
      <c r="K10533" s="1">
        <v>758900</v>
      </c>
    </row>
    <row r="10534" spans="1:11" x14ac:dyDescent="0.25">
      <c r="A10534" t="s">
        <v>9</v>
      </c>
      <c r="B10534" t="s">
        <v>138</v>
      </c>
      <c r="C10534" t="s">
        <v>876</v>
      </c>
      <c r="D10534" t="s">
        <v>14</v>
      </c>
      <c r="E10534">
        <v>5</v>
      </c>
      <c r="F10534" s="2">
        <f>DATE(2026,IF(Tabla1[[#This Row],[Mes de Fecha]]="Septiembre",9,10),Tabla1[[#This Row],[Día de Fecha]])</f>
        <v>46300</v>
      </c>
      <c r="I10534">
        <v>0</v>
      </c>
      <c r="J10534" s="1">
        <v>6337129</v>
      </c>
      <c r="K10534">
        <v>0</v>
      </c>
    </row>
    <row r="10535" spans="1:11" x14ac:dyDescent="0.25">
      <c r="A10535" t="s">
        <v>9</v>
      </c>
      <c r="B10535" t="s">
        <v>138</v>
      </c>
      <c r="C10535" t="s">
        <v>876</v>
      </c>
      <c r="D10535" t="s">
        <v>14</v>
      </c>
      <c r="E10535">
        <v>5</v>
      </c>
      <c r="F10535" s="2">
        <f>DATE(2026,IF(Tabla1[[#This Row],[Mes de Fecha]]="Septiembre",9,10),Tabla1[[#This Row],[Día de Fecha]])</f>
        <v>46300</v>
      </c>
      <c r="G10535">
        <v>55066633</v>
      </c>
      <c r="H10535" t="s">
        <v>139</v>
      </c>
      <c r="I10535">
        <v>76</v>
      </c>
      <c r="J10535">
        <v>0</v>
      </c>
      <c r="K10535" s="1">
        <v>3870465</v>
      </c>
    </row>
    <row r="10536" spans="1:11" x14ac:dyDescent="0.25">
      <c r="A10536" t="s">
        <v>9</v>
      </c>
      <c r="B10536" t="s">
        <v>138</v>
      </c>
      <c r="C10536" t="s">
        <v>876</v>
      </c>
      <c r="D10536" t="s">
        <v>14</v>
      </c>
      <c r="E10536">
        <v>5</v>
      </c>
      <c r="F10536" s="2">
        <f>DATE(2026,IF(Tabla1[[#This Row],[Mes de Fecha]]="Septiembre",9,10),Tabla1[[#This Row],[Día de Fecha]])</f>
        <v>46300</v>
      </c>
      <c r="G10536">
        <v>1077874164</v>
      </c>
      <c r="H10536" t="s">
        <v>140</v>
      </c>
      <c r="I10536">
        <v>16</v>
      </c>
      <c r="J10536">
        <v>0</v>
      </c>
      <c r="K10536" s="1">
        <v>1056338</v>
      </c>
    </row>
    <row r="10537" spans="1:11" x14ac:dyDescent="0.25">
      <c r="A10537" t="s">
        <v>9</v>
      </c>
      <c r="B10537" t="s">
        <v>138</v>
      </c>
      <c r="C10537" t="s">
        <v>876</v>
      </c>
      <c r="D10537" t="s">
        <v>14</v>
      </c>
      <c r="E10537">
        <v>6</v>
      </c>
      <c r="F10537" s="2">
        <f>DATE(2026,IF(Tabla1[[#This Row],[Mes de Fecha]]="Septiembre",9,10),Tabla1[[#This Row],[Día de Fecha]])</f>
        <v>46301</v>
      </c>
      <c r="I10537">
        <v>0</v>
      </c>
      <c r="J10537" s="1">
        <v>1971162</v>
      </c>
      <c r="K10537">
        <v>0</v>
      </c>
    </row>
    <row r="10538" spans="1:11" x14ac:dyDescent="0.25">
      <c r="A10538" t="s">
        <v>9</v>
      </c>
      <c r="B10538" t="s">
        <v>138</v>
      </c>
      <c r="C10538" t="s">
        <v>876</v>
      </c>
      <c r="D10538" t="s">
        <v>14</v>
      </c>
      <c r="E10538">
        <v>6</v>
      </c>
      <c r="F10538" s="2">
        <f>DATE(2026,IF(Tabla1[[#This Row],[Mes de Fecha]]="Septiembre",9,10),Tabla1[[#This Row],[Día de Fecha]])</f>
        <v>46301</v>
      </c>
      <c r="G10538">
        <v>55066633</v>
      </c>
      <c r="H10538" t="s">
        <v>139</v>
      </c>
      <c r="I10538">
        <v>8</v>
      </c>
      <c r="J10538">
        <v>0</v>
      </c>
      <c r="K10538" s="1">
        <v>562647</v>
      </c>
    </row>
    <row r="10539" spans="1:11" x14ac:dyDescent="0.25">
      <c r="A10539" t="s">
        <v>9</v>
      </c>
      <c r="B10539" t="s">
        <v>138</v>
      </c>
      <c r="C10539" t="s">
        <v>876</v>
      </c>
      <c r="D10539" t="s">
        <v>14</v>
      </c>
      <c r="E10539">
        <v>6</v>
      </c>
      <c r="F10539" s="2">
        <f>DATE(2026,IF(Tabla1[[#This Row],[Mes de Fecha]]="Septiembre",9,10),Tabla1[[#This Row],[Día de Fecha]])</f>
        <v>46301</v>
      </c>
      <c r="G10539">
        <v>1077874164</v>
      </c>
      <c r="H10539" t="s">
        <v>140</v>
      </c>
      <c r="I10539">
        <v>38</v>
      </c>
      <c r="J10539">
        <v>0</v>
      </c>
      <c r="K10539" s="1">
        <v>2103029</v>
      </c>
    </row>
    <row r="10540" spans="1:11" x14ac:dyDescent="0.25">
      <c r="A10540" t="s">
        <v>9</v>
      </c>
      <c r="B10540" t="s">
        <v>138</v>
      </c>
      <c r="C10540" t="s">
        <v>876</v>
      </c>
      <c r="D10540" t="s">
        <v>14</v>
      </c>
      <c r="E10540">
        <v>7</v>
      </c>
      <c r="F10540" s="2">
        <f>DATE(2026,IF(Tabla1[[#This Row],[Mes de Fecha]]="Septiembre",9,10),Tabla1[[#This Row],[Día de Fecha]])</f>
        <v>46302</v>
      </c>
      <c r="I10540">
        <v>0</v>
      </c>
      <c r="J10540" s="1">
        <v>4538675</v>
      </c>
      <c r="K10540">
        <v>0</v>
      </c>
    </row>
    <row r="10541" spans="1:11" x14ac:dyDescent="0.25">
      <c r="A10541" t="s">
        <v>9</v>
      </c>
      <c r="B10541" t="s">
        <v>138</v>
      </c>
      <c r="C10541" t="s">
        <v>876</v>
      </c>
      <c r="D10541" t="s">
        <v>14</v>
      </c>
      <c r="E10541">
        <v>7</v>
      </c>
      <c r="F10541" s="2">
        <f>DATE(2026,IF(Tabla1[[#This Row],[Mes de Fecha]]="Septiembre",9,10),Tabla1[[#This Row],[Día de Fecha]])</f>
        <v>46302</v>
      </c>
      <c r="G10541">
        <v>55066633</v>
      </c>
      <c r="H10541" t="s">
        <v>139</v>
      </c>
      <c r="I10541">
        <v>1</v>
      </c>
      <c r="J10541">
        <v>0</v>
      </c>
      <c r="K10541" s="1">
        <v>50336</v>
      </c>
    </row>
    <row r="10542" spans="1:11" x14ac:dyDescent="0.25">
      <c r="A10542" t="s">
        <v>9</v>
      </c>
      <c r="B10542" t="s">
        <v>138</v>
      </c>
      <c r="C10542" t="s">
        <v>876</v>
      </c>
      <c r="D10542" t="s">
        <v>14</v>
      </c>
      <c r="E10542">
        <v>7</v>
      </c>
      <c r="F10542" s="2">
        <f>DATE(2026,IF(Tabla1[[#This Row],[Mes de Fecha]]="Septiembre",9,10),Tabla1[[#This Row],[Día de Fecha]])</f>
        <v>46302</v>
      </c>
      <c r="G10542">
        <v>1077874164</v>
      </c>
      <c r="H10542" t="s">
        <v>140</v>
      </c>
      <c r="I10542">
        <v>39</v>
      </c>
      <c r="J10542">
        <v>0</v>
      </c>
      <c r="K10542" s="1">
        <v>2344515</v>
      </c>
    </row>
    <row r="10543" spans="1:11" x14ac:dyDescent="0.25">
      <c r="A10543" t="s">
        <v>9</v>
      </c>
      <c r="B10543" t="s">
        <v>221</v>
      </c>
      <c r="C10543" t="s">
        <v>876</v>
      </c>
      <c r="D10543" t="s">
        <v>11</v>
      </c>
      <c r="E10543">
        <v>23</v>
      </c>
      <c r="F10543" s="2">
        <f>DATE(2026,IF(Tabla1[[#This Row],[Mes de Fecha]]="Septiembre",9,10),Tabla1[[#This Row],[Día de Fecha]])</f>
        <v>46288</v>
      </c>
      <c r="I10543">
        <v>0</v>
      </c>
      <c r="J10543" s="1">
        <v>3285216</v>
      </c>
      <c r="K10543">
        <v>0</v>
      </c>
    </row>
    <row r="10544" spans="1:11" x14ac:dyDescent="0.25">
      <c r="A10544" t="s">
        <v>9</v>
      </c>
      <c r="B10544" t="s">
        <v>221</v>
      </c>
      <c r="C10544" t="s">
        <v>876</v>
      </c>
      <c r="D10544" t="s">
        <v>11</v>
      </c>
      <c r="E10544">
        <v>23</v>
      </c>
      <c r="F10544" s="2">
        <f>DATE(2026,IF(Tabla1[[#This Row],[Mes de Fecha]]="Septiembre",9,10),Tabla1[[#This Row],[Día de Fecha]])</f>
        <v>46288</v>
      </c>
      <c r="G10544">
        <v>1006410301</v>
      </c>
      <c r="H10544" t="s">
        <v>222</v>
      </c>
      <c r="I10544">
        <v>65</v>
      </c>
      <c r="J10544">
        <v>0</v>
      </c>
      <c r="K10544" s="1">
        <v>3497278</v>
      </c>
    </row>
    <row r="10545" spans="1:11" x14ac:dyDescent="0.25">
      <c r="A10545" t="s">
        <v>9</v>
      </c>
      <c r="B10545" t="s">
        <v>221</v>
      </c>
      <c r="C10545" t="s">
        <v>876</v>
      </c>
      <c r="D10545" t="s">
        <v>11</v>
      </c>
      <c r="E10545">
        <v>24</v>
      </c>
      <c r="F10545" s="2">
        <f>DATE(2026,IF(Tabla1[[#This Row],[Mes de Fecha]]="Septiembre",9,10),Tabla1[[#This Row],[Día de Fecha]])</f>
        <v>46289</v>
      </c>
      <c r="I10545">
        <v>0</v>
      </c>
      <c r="J10545" s="1">
        <v>8496200</v>
      </c>
      <c r="K10545">
        <v>0</v>
      </c>
    </row>
    <row r="10546" spans="1:11" x14ac:dyDescent="0.25">
      <c r="A10546" t="s">
        <v>9</v>
      </c>
      <c r="B10546" t="s">
        <v>221</v>
      </c>
      <c r="C10546" t="s">
        <v>876</v>
      </c>
      <c r="D10546" t="s">
        <v>11</v>
      </c>
      <c r="E10546">
        <v>24</v>
      </c>
      <c r="F10546" s="2">
        <f>DATE(2026,IF(Tabla1[[#This Row],[Mes de Fecha]]="Septiembre",9,10),Tabla1[[#This Row],[Día de Fecha]])</f>
        <v>46289</v>
      </c>
      <c r="G10546">
        <v>1006410301</v>
      </c>
      <c r="H10546" t="s">
        <v>222</v>
      </c>
      <c r="I10546">
        <v>130</v>
      </c>
      <c r="J10546">
        <v>0</v>
      </c>
      <c r="K10546" s="1">
        <v>6910510</v>
      </c>
    </row>
    <row r="10547" spans="1:11" x14ac:dyDescent="0.25">
      <c r="A10547" t="s">
        <v>9</v>
      </c>
      <c r="B10547" t="s">
        <v>221</v>
      </c>
      <c r="C10547" t="s">
        <v>876</v>
      </c>
      <c r="D10547" t="s">
        <v>11</v>
      </c>
      <c r="E10547">
        <v>25</v>
      </c>
      <c r="F10547" s="2">
        <f>DATE(2026,IF(Tabla1[[#This Row],[Mes de Fecha]]="Septiembre",9,10),Tabla1[[#This Row],[Día de Fecha]])</f>
        <v>46290</v>
      </c>
      <c r="I10547">
        <v>0</v>
      </c>
      <c r="J10547" s="1">
        <v>9074405</v>
      </c>
      <c r="K10547">
        <v>0</v>
      </c>
    </row>
    <row r="10548" spans="1:11" x14ac:dyDescent="0.25">
      <c r="A10548" t="s">
        <v>9</v>
      </c>
      <c r="B10548" t="s">
        <v>221</v>
      </c>
      <c r="C10548" t="s">
        <v>876</v>
      </c>
      <c r="D10548" t="s">
        <v>11</v>
      </c>
      <c r="E10548">
        <v>25</v>
      </c>
      <c r="F10548" s="2">
        <f>DATE(2026,IF(Tabla1[[#This Row],[Mes de Fecha]]="Septiembre",9,10),Tabla1[[#This Row],[Día de Fecha]])</f>
        <v>46290</v>
      </c>
      <c r="G10548">
        <v>1006410301</v>
      </c>
      <c r="H10548" t="s">
        <v>222</v>
      </c>
      <c r="I10548">
        <v>62</v>
      </c>
      <c r="J10548">
        <v>0</v>
      </c>
      <c r="K10548" s="1">
        <v>3489000</v>
      </c>
    </row>
    <row r="10549" spans="1:11" x14ac:dyDescent="0.25">
      <c r="A10549" t="s">
        <v>9</v>
      </c>
      <c r="B10549" t="s">
        <v>221</v>
      </c>
      <c r="C10549" t="s">
        <v>876</v>
      </c>
      <c r="D10549" t="s">
        <v>11</v>
      </c>
      <c r="E10549">
        <v>25</v>
      </c>
      <c r="F10549" s="2">
        <f>DATE(2026,IF(Tabla1[[#This Row],[Mes de Fecha]]="Septiembre",9,10),Tabla1[[#This Row],[Día de Fecha]])</f>
        <v>46290</v>
      </c>
      <c r="G10549">
        <v>1081733616</v>
      </c>
      <c r="H10549" t="s">
        <v>223</v>
      </c>
      <c r="I10549">
        <v>107</v>
      </c>
      <c r="J10549">
        <v>0</v>
      </c>
      <c r="K10549" s="1">
        <v>5819042</v>
      </c>
    </row>
    <row r="10550" spans="1:11" x14ac:dyDescent="0.25">
      <c r="A10550" t="s">
        <v>9</v>
      </c>
      <c r="B10550" t="s">
        <v>221</v>
      </c>
      <c r="C10550" t="s">
        <v>876</v>
      </c>
      <c r="D10550" t="s">
        <v>11</v>
      </c>
      <c r="E10550">
        <v>26</v>
      </c>
      <c r="F10550" s="2">
        <f>DATE(2026,IF(Tabla1[[#This Row],[Mes de Fecha]]="Septiembre",9,10),Tabla1[[#This Row],[Día de Fecha]])</f>
        <v>46291</v>
      </c>
      <c r="I10550">
        <v>0</v>
      </c>
      <c r="J10550" s="1">
        <v>11442596</v>
      </c>
      <c r="K10550">
        <v>0</v>
      </c>
    </row>
    <row r="10551" spans="1:11" x14ac:dyDescent="0.25">
      <c r="A10551" t="s">
        <v>9</v>
      </c>
      <c r="B10551" t="s">
        <v>221</v>
      </c>
      <c r="C10551" t="s">
        <v>876</v>
      </c>
      <c r="D10551" t="s">
        <v>11</v>
      </c>
      <c r="E10551">
        <v>26</v>
      </c>
      <c r="F10551" s="2">
        <f>DATE(2026,IF(Tabla1[[#This Row],[Mes de Fecha]]="Septiembre",9,10),Tabla1[[#This Row],[Día de Fecha]])</f>
        <v>46291</v>
      </c>
      <c r="G10551">
        <v>1006410301</v>
      </c>
      <c r="H10551" t="s">
        <v>222</v>
      </c>
      <c r="I10551">
        <v>135</v>
      </c>
      <c r="J10551">
        <v>0</v>
      </c>
      <c r="K10551" s="1">
        <v>7050560</v>
      </c>
    </row>
    <row r="10552" spans="1:11" x14ac:dyDescent="0.25">
      <c r="A10552" t="s">
        <v>9</v>
      </c>
      <c r="B10552" t="s">
        <v>221</v>
      </c>
      <c r="C10552" t="s">
        <v>876</v>
      </c>
      <c r="D10552" t="s">
        <v>11</v>
      </c>
      <c r="E10552">
        <v>26</v>
      </c>
      <c r="F10552" s="2">
        <f>DATE(2026,IF(Tabla1[[#This Row],[Mes de Fecha]]="Septiembre",9,10),Tabla1[[#This Row],[Día de Fecha]])</f>
        <v>46291</v>
      </c>
      <c r="G10552">
        <v>1081733616</v>
      </c>
      <c r="H10552" t="s">
        <v>223</v>
      </c>
      <c r="I10552">
        <v>108</v>
      </c>
      <c r="J10552">
        <v>0</v>
      </c>
      <c r="K10552" s="1">
        <v>6045638</v>
      </c>
    </row>
    <row r="10553" spans="1:11" x14ac:dyDescent="0.25">
      <c r="A10553" t="s">
        <v>9</v>
      </c>
      <c r="B10553" t="s">
        <v>221</v>
      </c>
      <c r="C10553" t="s">
        <v>876</v>
      </c>
      <c r="D10553" t="s">
        <v>11</v>
      </c>
      <c r="E10553">
        <v>27</v>
      </c>
      <c r="F10553" s="2">
        <f>DATE(2026,IF(Tabla1[[#This Row],[Mes de Fecha]]="Septiembre",9,10),Tabla1[[#This Row],[Día de Fecha]])</f>
        <v>46292</v>
      </c>
      <c r="I10553">
        <v>0</v>
      </c>
      <c r="J10553" s="1">
        <v>6041580</v>
      </c>
      <c r="K10553">
        <v>0</v>
      </c>
    </row>
    <row r="10554" spans="1:11" x14ac:dyDescent="0.25">
      <c r="A10554" t="s">
        <v>9</v>
      </c>
      <c r="B10554" t="s">
        <v>221</v>
      </c>
      <c r="C10554" t="s">
        <v>876</v>
      </c>
      <c r="D10554" t="s">
        <v>11</v>
      </c>
      <c r="E10554">
        <v>27</v>
      </c>
      <c r="F10554" s="2">
        <f>DATE(2026,IF(Tabla1[[#This Row],[Mes de Fecha]]="Septiembre",9,10),Tabla1[[#This Row],[Día de Fecha]])</f>
        <v>46292</v>
      </c>
      <c r="G10554">
        <v>1006410301</v>
      </c>
      <c r="H10554" t="s">
        <v>222</v>
      </c>
      <c r="I10554">
        <v>76</v>
      </c>
      <c r="J10554">
        <v>0</v>
      </c>
      <c r="K10554" s="1">
        <v>3756810</v>
      </c>
    </row>
    <row r="10555" spans="1:11" x14ac:dyDescent="0.25">
      <c r="A10555" t="s">
        <v>9</v>
      </c>
      <c r="B10555" t="s">
        <v>221</v>
      </c>
      <c r="C10555" t="s">
        <v>876</v>
      </c>
      <c r="D10555" t="s">
        <v>11</v>
      </c>
      <c r="E10555">
        <v>27</v>
      </c>
      <c r="F10555" s="2">
        <f>DATE(2026,IF(Tabla1[[#This Row],[Mes de Fecha]]="Septiembre",9,10),Tabla1[[#This Row],[Día de Fecha]])</f>
        <v>46292</v>
      </c>
      <c r="G10555">
        <v>1081733616</v>
      </c>
      <c r="H10555" t="s">
        <v>223</v>
      </c>
      <c r="I10555">
        <v>77</v>
      </c>
      <c r="J10555">
        <v>0</v>
      </c>
      <c r="K10555" s="1">
        <v>4284291</v>
      </c>
    </row>
    <row r="10556" spans="1:11" x14ac:dyDescent="0.25">
      <c r="A10556" t="s">
        <v>9</v>
      </c>
      <c r="B10556" t="s">
        <v>221</v>
      </c>
      <c r="C10556" t="s">
        <v>876</v>
      </c>
      <c r="D10556" t="s">
        <v>11</v>
      </c>
      <c r="E10556">
        <v>28</v>
      </c>
      <c r="F10556" s="2">
        <f>DATE(2026,IF(Tabla1[[#This Row],[Mes de Fecha]]="Septiembre",9,10),Tabla1[[#This Row],[Día de Fecha]])</f>
        <v>46293</v>
      </c>
      <c r="I10556">
        <v>0</v>
      </c>
      <c r="J10556" s="1">
        <v>4953438</v>
      </c>
      <c r="K10556">
        <v>0</v>
      </c>
    </row>
    <row r="10557" spans="1:11" x14ac:dyDescent="0.25">
      <c r="A10557" t="s">
        <v>9</v>
      </c>
      <c r="B10557" t="s">
        <v>221</v>
      </c>
      <c r="C10557" t="s">
        <v>876</v>
      </c>
      <c r="D10557" t="s">
        <v>11</v>
      </c>
      <c r="E10557">
        <v>28</v>
      </c>
      <c r="F10557" s="2">
        <f>DATE(2026,IF(Tabla1[[#This Row],[Mes de Fecha]]="Septiembre",9,10),Tabla1[[#This Row],[Día de Fecha]])</f>
        <v>46293</v>
      </c>
      <c r="G10557">
        <v>1006410301</v>
      </c>
      <c r="H10557" t="s">
        <v>222</v>
      </c>
      <c r="I10557">
        <v>90</v>
      </c>
      <c r="J10557">
        <v>0</v>
      </c>
      <c r="K10557" s="1">
        <v>5166182</v>
      </c>
    </row>
    <row r="10558" spans="1:11" x14ac:dyDescent="0.25">
      <c r="A10558" t="s">
        <v>9</v>
      </c>
      <c r="B10558" t="s">
        <v>221</v>
      </c>
      <c r="C10558" t="s">
        <v>876</v>
      </c>
      <c r="D10558" t="s">
        <v>11</v>
      </c>
      <c r="E10558">
        <v>28</v>
      </c>
      <c r="F10558" s="2">
        <f>DATE(2026,IF(Tabla1[[#This Row],[Mes de Fecha]]="Septiembre",9,10),Tabla1[[#This Row],[Día de Fecha]])</f>
        <v>46293</v>
      </c>
      <c r="G10558">
        <v>1081733616</v>
      </c>
      <c r="H10558" t="s">
        <v>223</v>
      </c>
      <c r="I10558">
        <v>16</v>
      </c>
      <c r="J10558">
        <v>0</v>
      </c>
      <c r="K10558" s="1">
        <v>772354</v>
      </c>
    </row>
    <row r="10559" spans="1:11" x14ac:dyDescent="0.25">
      <c r="A10559" t="s">
        <v>9</v>
      </c>
      <c r="B10559" t="s">
        <v>221</v>
      </c>
      <c r="C10559" t="s">
        <v>876</v>
      </c>
      <c r="D10559" t="s">
        <v>11</v>
      </c>
      <c r="E10559">
        <v>29</v>
      </c>
      <c r="F10559" s="2">
        <f>DATE(2026,IF(Tabla1[[#This Row],[Mes de Fecha]]="Septiembre",9,10),Tabla1[[#This Row],[Día de Fecha]])</f>
        <v>46294</v>
      </c>
      <c r="I10559">
        <v>0</v>
      </c>
      <c r="J10559" s="1">
        <v>5506759</v>
      </c>
      <c r="K10559">
        <v>0</v>
      </c>
    </row>
    <row r="10560" spans="1:11" x14ac:dyDescent="0.25">
      <c r="A10560" t="s">
        <v>9</v>
      </c>
      <c r="B10560" t="s">
        <v>221</v>
      </c>
      <c r="C10560" t="s">
        <v>876</v>
      </c>
      <c r="D10560" t="s">
        <v>11</v>
      </c>
      <c r="E10560">
        <v>29</v>
      </c>
      <c r="F10560" s="2">
        <f>DATE(2026,IF(Tabla1[[#This Row],[Mes de Fecha]]="Septiembre",9,10),Tabla1[[#This Row],[Día de Fecha]])</f>
        <v>46294</v>
      </c>
      <c r="G10560">
        <v>1006410301</v>
      </c>
      <c r="H10560" t="s">
        <v>222</v>
      </c>
      <c r="I10560">
        <v>134</v>
      </c>
      <c r="J10560">
        <v>0</v>
      </c>
      <c r="K10560" s="1">
        <v>7052610</v>
      </c>
    </row>
    <row r="10561" spans="1:11" x14ac:dyDescent="0.25">
      <c r="A10561" t="s">
        <v>9</v>
      </c>
      <c r="B10561" t="s">
        <v>221</v>
      </c>
      <c r="C10561" t="s">
        <v>876</v>
      </c>
      <c r="D10561" t="s">
        <v>11</v>
      </c>
      <c r="E10561">
        <v>29</v>
      </c>
      <c r="F10561" s="2">
        <f>DATE(2026,IF(Tabla1[[#This Row],[Mes de Fecha]]="Septiembre",9,10),Tabla1[[#This Row],[Día de Fecha]])</f>
        <v>46294</v>
      </c>
      <c r="G10561">
        <v>1081733616</v>
      </c>
      <c r="H10561" t="s">
        <v>223</v>
      </c>
      <c r="I10561">
        <v>26</v>
      </c>
      <c r="J10561">
        <v>0</v>
      </c>
      <c r="K10561" s="1">
        <v>1196261</v>
      </c>
    </row>
    <row r="10562" spans="1:11" x14ac:dyDescent="0.25">
      <c r="A10562" t="s">
        <v>9</v>
      </c>
      <c r="B10562" t="s">
        <v>221</v>
      </c>
      <c r="C10562" t="s">
        <v>876</v>
      </c>
      <c r="D10562" t="s">
        <v>11</v>
      </c>
      <c r="E10562">
        <v>30</v>
      </c>
      <c r="F10562" s="2">
        <f>DATE(2026,IF(Tabla1[[#This Row],[Mes de Fecha]]="Septiembre",9,10),Tabla1[[#This Row],[Día de Fecha]])</f>
        <v>46295</v>
      </c>
      <c r="I10562">
        <v>0</v>
      </c>
      <c r="J10562" s="1">
        <v>5831834</v>
      </c>
      <c r="K10562">
        <v>0</v>
      </c>
    </row>
    <row r="10563" spans="1:11" x14ac:dyDescent="0.25">
      <c r="A10563" t="s">
        <v>9</v>
      </c>
      <c r="B10563" t="s">
        <v>221</v>
      </c>
      <c r="C10563" t="s">
        <v>876</v>
      </c>
      <c r="D10563" t="s">
        <v>11</v>
      </c>
      <c r="E10563">
        <v>30</v>
      </c>
      <c r="F10563" s="2">
        <f>DATE(2026,IF(Tabla1[[#This Row],[Mes de Fecha]]="Septiembre",9,10),Tabla1[[#This Row],[Día de Fecha]])</f>
        <v>46295</v>
      </c>
      <c r="G10563">
        <v>1006410301</v>
      </c>
      <c r="H10563" t="s">
        <v>222</v>
      </c>
      <c r="I10563">
        <v>35</v>
      </c>
      <c r="J10563">
        <v>0</v>
      </c>
      <c r="K10563" s="1">
        <v>1712733</v>
      </c>
    </row>
    <row r="10564" spans="1:11" x14ac:dyDescent="0.25">
      <c r="A10564" t="s">
        <v>9</v>
      </c>
      <c r="B10564" t="s">
        <v>221</v>
      </c>
      <c r="C10564" t="s">
        <v>876</v>
      </c>
      <c r="D10564" t="s">
        <v>11</v>
      </c>
      <c r="E10564">
        <v>30</v>
      </c>
      <c r="F10564" s="2">
        <f>DATE(2026,IF(Tabla1[[#This Row],[Mes de Fecha]]="Septiembre",9,10),Tabla1[[#This Row],[Día de Fecha]])</f>
        <v>46295</v>
      </c>
      <c r="G10564">
        <v>1081733616</v>
      </c>
      <c r="H10564" t="s">
        <v>223</v>
      </c>
      <c r="I10564">
        <v>108</v>
      </c>
      <c r="J10564">
        <v>0</v>
      </c>
      <c r="K10564" s="1">
        <v>5789037</v>
      </c>
    </row>
    <row r="10565" spans="1:11" x14ac:dyDescent="0.25">
      <c r="A10565" t="s">
        <v>9</v>
      </c>
      <c r="B10565" t="s">
        <v>221</v>
      </c>
      <c r="C10565" t="s">
        <v>876</v>
      </c>
      <c r="D10565" t="s">
        <v>14</v>
      </c>
      <c r="E10565">
        <v>1</v>
      </c>
      <c r="F10565" s="2">
        <f>DATE(2026,IF(Tabla1[[#This Row],[Mes de Fecha]]="Septiembre",9,10),Tabla1[[#This Row],[Día de Fecha]])</f>
        <v>46296</v>
      </c>
      <c r="I10565">
        <v>0</v>
      </c>
      <c r="J10565" s="1">
        <v>13502782</v>
      </c>
      <c r="K10565">
        <v>0</v>
      </c>
    </row>
    <row r="10566" spans="1:11" x14ac:dyDescent="0.25">
      <c r="A10566" t="s">
        <v>9</v>
      </c>
      <c r="B10566" t="s">
        <v>221</v>
      </c>
      <c r="C10566" t="s">
        <v>876</v>
      </c>
      <c r="D10566" t="s">
        <v>14</v>
      </c>
      <c r="E10566">
        <v>1</v>
      </c>
      <c r="F10566" s="2">
        <f>DATE(2026,IF(Tabla1[[#This Row],[Mes de Fecha]]="Septiembre",9,10),Tabla1[[#This Row],[Día de Fecha]])</f>
        <v>46296</v>
      </c>
      <c r="G10566">
        <v>1006410301</v>
      </c>
      <c r="H10566" t="s">
        <v>222</v>
      </c>
      <c r="I10566">
        <v>120</v>
      </c>
      <c r="J10566">
        <v>0</v>
      </c>
      <c r="K10566" s="1">
        <v>6679590</v>
      </c>
    </row>
    <row r="10567" spans="1:11" x14ac:dyDescent="0.25">
      <c r="A10567" t="s">
        <v>9</v>
      </c>
      <c r="B10567" t="s">
        <v>221</v>
      </c>
      <c r="C10567" t="s">
        <v>876</v>
      </c>
      <c r="D10567" t="s">
        <v>14</v>
      </c>
      <c r="E10567">
        <v>1</v>
      </c>
      <c r="F10567" s="2">
        <f>DATE(2026,IF(Tabla1[[#This Row],[Mes de Fecha]]="Septiembre",9,10),Tabla1[[#This Row],[Día de Fecha]])</f>
        <v>46296</v>
      </c>
      <c r="G10567">
        <v>1081733616</v>
      </c>
      <c r="H10567" t="s">
        <v>223</v>
      </c>
      <c r="I10567">
        <v>6</v>
      </c>
      <c r="J10567">
        <v>0</v>
      </c>
      <c r="K10567" s="1">
        <v>260253</v>
      </c>
    </row>
    <row r="10568" spans="1:11" x14ac:dyDescent="0.25">
      <c r="A10568" t="s">
        <v>9</v>
      </c>
      <c r="B10568" t="s">
        <v>221</v>
      </c>
      <c r="C10568" t="s">
        <v>876</v>
      </c>
      <c r="D10568" t="s">
        <v>14</v>
      </c>
      <c r="E10568">
        <v>2</v>
      </c>
      <c r="F10568" s="2">
        <f>DATE(2026,IF(Tabla1[[#This Row],[Mes de Fecha]]="Septiembre",9,10),Tabla1[[#This Row],[Día de Fecha]])</f>
        <v>46297</v>
      </c>
      <c r="I10568">
        <v>0</v>
      </c>
      <c r="J10568" s="1">
        <v>13159507</v>
      </c>
      <c r="K10568">
        <v>0</v>
      </c>
    </row>
    <row r="10569" spans="1:11" x14ac:dyDescent="0.25">
      <c r="A10569" t="s">
        <v>9</v>
      </c>
      <c r="B10569" t="s">
        <v>221</v>
      </c>
      <c r="C10569" t="s">
        <v>876</v>
      </c>
      <c r="D10569" t="s">
        <v>14</v>
      </c>
      <c r="E10569">
        <v>2</v>
      </c>
      <c r="F10569" s="2">
        <f>DATE(2026,IF(Tabla1[[#This Row],[Mes de Fecha]]="Septiembre",9,10),Tabla1[[#This Row],[Día de Fecha]])</f>
        <v>46297</v>
      </c>
      <c r="G10569">
        <v>1006410301</v>
      </c>
      <c r="H10569" t="s">
        <v>222</v>
      </c>
      <c r="I10569">
        <v>53</v>
      </c>
      <c r="J10569">
        <v>0</v>
      </c>
      <c r="K10569" s="1">
        <v>2541729</v>
      </c>
    </row>
    <row r="10570" spans="1:11" x14ac:dyDescent="0.25">
      <c r="A10570" t="s">
        <v>9</v>
      </c>
      <c r="B10570" t="s">
        <v>221</v>
      </c>
      <c r="C10570" t="s">
        <v>876</v>
      </c>
      <c r="D10570" t="s">
        <v>14</v>
      </c>
      <c r="E10570">
        <v>2</v>
      </c>
      <c r="F10570" s="2">
        <f>DATE(2026,IF(Tabla1[[#This Row],[Mes de Fecha]]="Septiembre",9,10),Tabla1[[#This Row],[Día de Fecha]])</f>
        <v>46297</v>
      </c>
      <c r="G10570">
        <v>1081733616</v>
      </c>
      <c r="H10570" t="s">
        <v>223</v>
      </c>
      <c r="I10570">
        <v>24</v>
      </c>
      <c r="J10570">
        <v>0</v>
      </c>
      <c r="K10570" s="1">
        <v>1213279</v>
      </c>
    </row>
    <row r="10571" spans="1:11" x14ac:dyDescent="0.25">
      <c r="A10571" t="s">
        <v>9</v>
      </c>
      <c r="B10571" t="s">
        <v>221</v>
      </c>
      <c r="C10571" t="s">
        <v>876</v>
      </c>
      <c r="D10571" t="s">
        <v>14</v>
      </c>
      <c r="E10571">
        <v>3</v>
      </c>
      <c r="F10571" s="2">
        <f>DATE(2026,IF(Tabla1[[#This Row],[Mes de Fecha]]="Septiembre",9,10),Tabla1[[#This Row],[Día de Fecha]])</f>
        <v>46298</v>
      </c>
      <c r="I10571">
        <v>0</v>
      </c>
      <c r="J10571" s="1">
        <v>11885135</v>
      </c>
      <c r="K10571">
        <v>0</v>
      </c>
    </row>
    <row r="10572" spans="1:11" x14ac:dyDescent="0.25">
      <c r="A10572" t="s">
        <v>9</v>
      </c>
      <c r="B10572" t="s">
        <v>221</v>
      </c>
      <c r="C10572" t="s">
        <v>876</v>
      </c>
      <c r="D10572" t="s">
        <v>14</v>
      </c>
      <c r="E10572">
        <v>3</v>
      </c>
      <c r="F10572" s="2">
        <f>DATE(2026,IF(Tabla1[[#This Row],[Mes de Fecha]]="Septiembre",9,10),Tabla1[[#This Row],[Día de Fecha]])</f>
        <v>46298</v>
      </c>
      <c r="G10572">
        <v>1006410301</v>
      </c>
      <c r="H10572" t="s">
        <v>222</v>
      </c>
      <c r="I10572">
        <v>110</v>
      </c>
      <c r="J10572">
        <v>0</v>
      </c>
      <c r="K10572" s="1">
        <v>5531061</v>
      </c>
    </row>
    <row r="10573" spans="1:11" x14ac:dyDescent="0.25">
      <c r="A10573" t="s">
        <v>9</v>
      </c>
      <c r="B10573" t="s">
        <v>221</v>
      </c>
      <c r="C10573" t="s">
        <v>876</v>
      </c>
      <c r="D10573" t="s">
        <v>14</v>
      </c>
      <c r="E10573">
        <v>3</v>
      </c>
      <c r="F10573" s="2">
        <f>DATE(2026,IF(Tabla1[[#This Row],[Mes de Fecha]]="Septiembre",9,10),Tabla1[[#This Row],[Día de Fecha]])</f>
        <v>46298</v>
      </c>
      <c r="G10573">
        <v>1081733616</v>
      </c>
      <c r="H10573" t="s">
        <v>223</v>
      </c>
      <c r="I10573">
        <v>85</v>
      </c>
      <c r="J10573">
        <v>0</v>
      </c>
      <c r="K10573" s="1">
        <v>4521117</v>
      </c>
    </row>
    <row r="10574" spans="1:11" x14ac:dyDescent="0.25">
      <c r="A10574" t="s">
        <v>9</v>
      </c>
      <c r="B10574" t="s">
        <v>221</v>
      </c>
      <c r="C10574" t="s">
        <v>876</v>
      </c>
      <c r="D10574" t="s">
        <v>14</v>
      </c>
      <c r="E10574">
        <v>4</v>
      </c>
      <c r="F10574" s="2">
        <f>DATE(2026,IF(Tabla1[[#This Row],[Mes de Fecha]]="Septiembre",9,10),Tabla1[[#This Row],[Día de Fecha]])</f>
        <v>46299</v>
      </c>
      <c r="I10574">
        <v>0</v>
      </c>
      <c r="J10574" s="1">
        <v>4887316</v>
      </c>
      <c r="K10574">
        <v>0</v>
      </c>
    </row>
    <row r="10575" spans="1:11" x14ac:dyDescent="0.25">
      <c r="A10575" t="s">
        <v>9</v>
      </c>
      <c r="B10575" t="s">
        <v>221</v>
      </c>
      <c r="C10575" t="s">
        <v>876</v>
      </c>
      <c r="D10575" t="s">
        <v>14</v>
      </c>
      <c r="E10575">
        <v>4</v>
      </c>
      <c r="F10575" s="2">
        <f>DATE(2026,IF(Tabla1[[#This Row],[Mes de Fecha]]="Septiembre",9,10),Tabla1[[#This Row],[Día de Fecha]])</f>
        <v>46299</v>
      </c>
      <c r="G10575">
        <v>1006410301</v>
      </c>
      <c r="H10575" t="s">
        <v>222</v>
      </c>
      <c r="I10575">
        <v>59</v>
      </c>
      <c r="J10575">
        <v>0</v>
      </c>
      <c r="K10575" s="1">
        <v>3276381</v>
      </c>
    </row>
    <row r="10576" spans="1:11" x14ac:dyDescent="0.25">
      <c r="A10576" t="s">
        <v>9</v>
      </c>
      <c r="B10576" t="s">
        <v>221</v>
      </c>
      <c r="C10576" t="s">
        <v>876</v>
      </c>
      <c r="D10576" t="s">
        <v>14</v>
      </c>
      <c r="E10576">
        <v>4</v>
      </c>
      <c r="F10576" s="2">
        <f>DATE(2026,IF(Tabla1[[#This Row],[Mes de Fecha]]="Septiembre",9,10),Tabla1[[#This Row],[Día de Fecha]])</f>
        <v>46299</v>
      </c>
      <c r="G10576">
        <v>1081733616</v>
      </c>
      <c r="H10576" t="s">
        <v>223</v>
      </c>
      <c r="I10576">
        <v>0</v>
      </c>
      <c r="J10576">
        <v>0</v>
      </c>
      <c r="K10576" s="1">
        <v>12605</v>
      </c>
    </row>
    <row r="10577" spans="1:11" x14ac:dyDescent="0.25">
      <c r="A10577" t="s">
        <v>9</v>
      </c>
      <c r="B10577" t="s">
        <v>221</v>
      </c>
      <c r="C10577" t="s">
        <v>876</v>
      </c>
      <c r="D10577" t="s">
        <v>14</v>
      </c>
      <c r="E10577">
        <v>5</v>
      </c>
      <c r="F10577" s="2">
        <f>DATE(2026,IF(Tabla1[[#This Row],[Mes de Fecha]]="Septiembre",9,10),Tabla1[[#This Row],[Día de Fecha]])</f>
        <v>46300</v>
      </c>
      <c r="I10577">
        <v>0</v>
      </c>
      <c r="J10577" s="1">
        <v>9365665</v>
      </c>
      <c r="K10577">
        <v>0</v>
      </c>
    </row>
    <row r="10578" spans="1:11" x14ac:dyDescent="0.25">
      <c r="A10578" t="s">
        <v>9</v>
      </c>
      <c r="B10578" t="s">
        <v>221</v>
      </c>
      <c r="C10578" t="s">
        <v>876</v>
      </c>
      <c r="D10578" t="s">
        <v>14</v>
      </c>
      <c r="E10578">
        <v>5</v>
      </c>
      <c r="F10578" s="2">
        <f>DATE(2026,IF(Tabla1[[#This Row],[Mes de Fecha]]="Septiembre",9,10),Tabla1[[#This Row],[Día de Fecha]])</f>
        <v>46300</v>
      </c>
      <c r="G10578">
        <v>1006410301</v>
      </c>
      <c r="H10578" t="s">
        <v>222</v>
      </c>
      <c r="I10578">
        <v>111</v>
      </c>
      <c r="J10578">
        <v>0</v>
      </c>
      <c r="K10578" s="1">
        <v>6581720</v>
      </c>
    </row>
    <row r="10579" spans="1:11" x14ac:dyDescent="0.25">
      <c r="A10579" t="s">
        <v>9</v>
      </c>
      <c r="B10579" t="s">
        <v>221</v>
      </c>
      <c r="C10579" t="s">
        <v>876</v>
      </c>
      <c r="D10579" t="s">
        <v>14</v>
      </c>
      <c r="E10579">
        <v>5</v>
      </c>
      <c r="F10579" s="2">
        <f>DATE(2026,IF(Tabla1[[#This Row],[Mes de Fecha]]="Septiembre",9,10),Tabla1[[#This Row],[Día de Fecha]])</f>
        <v>46300</v>
      </c>
      <c r="G10579">
        <v>1081733616</v>
      </c>
      <c r="H10579" t="s">
        <v>223</v>
      </c>
      <c r="I10579">
        <v>-1</v>
      </c>
      <c r="J10579">
        <v>0</v>
      </c>
      <c r="K10579" s="1">
        <v>-43664</v>
      </c>
    </row>
    <row r="10580" spans="1:11" x14ac:dyDescent="0.25">
      <c r="A10580" t="s">
        <v>9</v>
      </c>
      <c r="B10580" t="s">
        <v>221</v>
      </c>
      <c r="C10580" t="s">
        <v>876</v>
      </c>
      <c r="D10580" t="s">
        <v>14</v>
      </c>
      <c r="E10580">
        <v>6</v>
      </c>
      <c r="F10580" s="2">
        <f>DATE(2026,IF(Tabla1[[#This Row],[Mes de Fecha]]="Septiembre",9,10),Tabla1[[#This Row],[Día de Fecha]])</f>
        <v>46301</v>
      </c>
      <c r="I10580">
        <v>0</v>
      </c>
      <c r="J10580" s="1">
        <v>5717178</v>
      </c>
      <c r="K10580">
        <v>0</v>
      </c>
    </row>
    <row r="10581" spans="1:11" x14ac:dyDescent="0.25">
      <c r="A10581" t="s">
        <v>9</v>
      </c>
      <c r="B10581" t="s">
        <v>221</v>
      </c>
      <c r="C10581" t="s">
        <v>876</v>
      </c>
      <c r="D10581" t="s">
        <v>14</v>
      </c>
      <c r="E10581">
        <v>6</v>
      </c>
      <c r="F10581" s="2">
        <f>DATE(2026,IF(Tabla1[[#This Row],[Mes de Fecha]]="Septiembre",9,10),Tabla1[[#This Row],[Día de Fecha]])</f>
        <v>46301</v>
      </c>
      <c r="G10581">
        <v>1006410301</v>
      </c>
      <c r="H10581" t="s">
        <v>222</v>
      </c>
      <c r="I10581">
        <v>65</v>
      </c>
      <c r="J10581">
        <v>0</v>
      </c>
      <c r="K10581" s="1">
        <v>3465029</v>
      </c>
    </row>
    <row r="10582" spans="1:11" x14ac:dyDescent="0.25">
      <c r="A10582" t="s">
        <v>9</v>
      </c>
      <c r="B10582" t="s">
        <v>221</v>
      </c>
      <c r="C10582" t="s">
        <v>876</v>
      </c>
      <c r="D10582" t="s">
        <v>14</v>
      </c>
      <c r="E10582">
        <v>6</v>
      </c>
      <c r="F10582" s="2">
        <f>DATE(2026,IF(Tabla1[[#This Row],[Mes de Fecha]]="Septiembre",9,10),Tabla1[[#This Row],[Día de Fecha]])</f>
        <v>46301</v>
      </c>
      <c r="G10582">
        <v>1081733616</v>
      </c>
      <c r="H10582" t="s">
        <v>223</v>
      </c>
      <c r="I10582">
        <v>-1</v>
      </c>
      <c r="J10582">
        <v>0</v>
      </c>
      <c r="K10582" s="1">
        <v>-31941</v>
      </c>
    </row>
    <row r="10583" spans="1:11" x14ac:dyDescent="0.25">
      <c r="A10583" t="s">
        <v>9</v>
      </c>
      <c r="B10583" t="s">
        <v>221</v>
      </c>
      <c r="C10583" t="s">
        <v>876</v>
      </c>
      <c r="D10583" t="s">
        <v>14</v>
      </c>
      <c r="E10583">
        <v>7</v>
      </c>
      <c r="F10583" s="2">
        <f>DATE(2026,IF(Tabla1[[#This Row],[Mes de Fecha]]="Septiembre",9,10),Tabla1[[#This Row],[Día de Fecha]])</f>
        <v>46302</v>
      </c>
      <c r="I10583">
        <v>0</v>
      </c>
      <c r="J10583" s="1">
        <v>3030122</v>
      </c>
      <c r="K10583">
        <v>0</v>
      </c>
    </row>
    <row r="10584" spans="1:11" x14ac:dyDescent="0.25">
      <c r="A10584" t="s">
        <v>9</v>
      </c>
      <c r="B10584" t="s">
        <v>221</v>
      </c>
      <c r="C10584" t="s">
        <v>876</v>
      </c>
      <c r="D10584" t="s">
        <v>14</v>
      </c>
      <c r="E10584">
        <v>7</v>
      </c>
      <c r="F10584" s="2">
        <f>DATE(2026,IF(Tabla1[[#This Row],[Mes de Fecha]]="Septiembre",9,10),Tabla1[[#This Row],[Día de Fecha]])</f>
        <v>46302</v>
      </c>
      <c r="G10584">
        <v>1006410301</v>
      </c>
      <c r="H10584" t="s">
        <v>222</v>
      </c>
      <c r="I10584">
        <v>70</v>
      </c>
      <c r="J10584">
        <v>0</v>
      </c>
      <c r="K10584" s="1">
        <v>4103955</v>
      </c>
    </row>
    <row r="10585" spans="1:11" x14ac:dyDescent="0.25">
      <c r="A10585" t="s">
        <v>9</v>
      </c>
      <c r="B10585" t="s">
        <v>221</v>
      </c>
      <c r="C10585" t="s">
        <v>876</v>
      </c>
      <c r="D10585" t="s">
        <v>14</v>
      </c>
      <c r="E10585">
        <v>7</v>
      </c>
      <c r="F10585" s="2">
        <f>DATE(2026,IF(Tabla1[[#This Row],[Mes de Fecha]]="Septiembre",9,10),Tabla1[[#This Row],[Día de Fecha]])</f>
        <v>46302</v>
      </c>
      <c r="G10585">
        <v>1081733616</v>
      </c>
      <c r="H10585" t="s">
        <v>223</v>
      </c>
      <c r="I10585">
        <v>-1</v>
      </c>
      <c r="J10585">
        <v>0</v>
      </c>
      <c r="K10585" s="1">
        <v>-46177</v>
      </c>
    </row>
    <row r="10586" spans="1:11" x14ac:dyDescent="0.25">
      <c r="A10586" t="s">
        <v>9</v>
      </c>
      <c r="B10586" t="s">
        <v>224</v>
      </c>
      <c r="C10586" t="s">
        <v>876</v>
      </c>
      <c r="D10586" t="s">
        <v>11</v>
      </c>
      <c r="E10586">
        <v>23</v>
      </c>
      <c r="F10586" s="2">
        <f>DATE(2026,IF(Tabla1[[#This Row],[Mes de Fecha]]="Septiembre",9,10),Tabla1[[#This Row],[Día de Fecha]])</f>
        <v>46288</v>
      </c>
      <c r="I10586">
        <v>0</v>
      </c>
      <c r="J10586" s="1">
        <v>1778172</v>
      </c>
      <c r="K10586">
        <v>0</v>
      </c>
    </row>
    <row r="10587" spans="1:11" x14ac:dyDescent="0.25">
      <c r="A10587" t="s">
        <v>9</v>
      </c>
      <c r="B10587" t="s">
        <v>224</v>
      </c>
      <c r="C10587" t="s">
        <v>876</v>
      </c>
      <c r="D10587" t="s">
        <v>11</v>
      </c>
      <c r="E10587">
        <v>23</v>
      </c>
      <c r="F10587" s="2">
        <f>DATE(2026,IF(Tabla1[[#This Row],[Mes de Fecha]]="Septiembre",9,10),Tabla1[[#This Row],[Día de Fecha]])</f>
        <v>46288</v>
      </c>
      <c r="G10587">
        <v>1075212086</v>
      </c>
      <c r="H10587" t="s">
        <v>227</v>
      </c>
      <c r="I10587">
        <v>40</v>
      </c>
      <c r="J10587">
        <v>0</v>
      </c>
      <c r="K10587" s="1">
        <v>2162186</v>
      </c>
    </row>
    <row r="10588" spans="1:11" x14ac:dyDescent="0.25">
      <c r="A10588" t="s">
        <v>9</v>
      </c>
      <c r="B10588" t="s">
        <v>224</v>
      </c>
      <c r="C10588" t="s">
        <v>876</v>
      </c>
      <c r="D10588" t="s">
        <v>11</v>
      </c>
      <c r="E10588">
        <v>24</v>
      </c>
      <c r="F10588" s="2">
        <f>DATE(2026,IF(Tabla1[[#This Row],[Mes de Fecha]]="Septiembre",9,10),Tabla1[[#This Row],[Día de Fecha]])</f>
        <v>46289</v>
      </c>
      <c r="I10588">
        <v>0</v>
      </c>
      <c r="J10588" s="1">
        <v>4598701</v>
      </c>
      <c r="K10588">
        <v>0</v>
      </c>
    </row>
    <row r="10589" spans="1:11" x14ac:dyDescent="0.25">
      <c r="A10589" t="s">
        <v>9</v>
      </c>
      <c r="B10589" t="s">
        <v>224</v>
      </c>
      <c r="C10589" t="s">
        <v>876</v>
      </c>
      <c r="D10589" t="s">
        <v>11</v>
      </c>
      <c r="E10589">
        <v>24</v>
      </c>
      <c r="F10589" s="2">
        <f>DATE(2026,IF(Tabla1[[#This Row],[Mes de Fecha]]="Septiembre",9,10),Tabla1[[#This Row],[Día de Fecha]])</f>
        <v>46289</v>
      </c>
      <c r="G10589">
        <v>1075218460</v>
      </c>
      <c r="H10589" t="s">
        <v>226</v>
      </c>
      <c r="I10589">
        <v>52</v>
      </c>
      <c r="J10589">
        <v>0</v>
      </c>
      <c r="K10589" s="1">
        <v>2968407</v>
      </c>
    </row>
    <row r="10590" spans="1:11" x14ac:dyDescent="0.25">
      <c r="A10590" t="s">
        <v>9</v>
      </c>
      <c r="B10590" t="s">
        <v>224</v>
      </c>
      <c r="C10590" t="s">
        <v>876</v>
      </c>
      <c r="D10590" t="s">
        <v>11</v>
      </c>
      <c r="E10590">
        <v>25</v>
      </c>
      <c r="F10590" s="2">
        <f>DATE(2026,IF(Tabla1[[#This Row],[Mes de Fecha]]="Septiembre",9,10),Tabla1[[#This Row],[Día de Fecha]])</f>
        <v>46290</v>
      </c>
      <c r="I10590">
        <v>0</v>
      </c>
      <c r="J10590" s="1">
        <v>4911662</v>
      </c>
      <c r="K10590">
        <v>0</v>
      </c>
    </row>
    <row r="10591" spans="1:11" x14ac:dyDescent="0.25">
      <c r="A10591" t="s">
        <v>9</v>
      </c>
      <c r="B10591" t="s">
        <v>224</v>
      </c>
      <c r="C10591" t="s">
        <v>876</v>
      </c>
      <c r="D10591" t="s">
        <v>11</v>
      </c>
      <c r="E10591">
        <v>25</v>
      </c>
      <c r="F10591" s="2">
        <f>DATE(2026,IF(Tabla1[[#This Row],[Mes de Fecha]]="Septiembre",9,10),Tabla1[[#This Row],[Día de Fecha]])</f>
        <v>46290</v>
      </c>
      <c r="G10591">
        <v>1075218460</v>
      </c>
      <c r="H10591" t="s">
        <v>226</v>
      </c>
      <c r="I10591">
        <v>56</v>
      </c>
      <c r="J10591">
        <v>0</v>
      </c>
      <c r="K10591" s="1">
        <v>3369497</v>
      </c>
    </row>
    <row r="10592" spans="1:11" x14ac:dyDescent="0.25">
      <c r="A10592" t="s">
        <v>9</v>
      </c>
      <c r="B10592" t="s">
        <v>224</v>
      </c>
      <c r="C10592" t="s">
        <v>876</v>
      </c>
      <c r="D10592" t="s">
        <v>11</v>
      </c>
      <c r="E10592">
        <v>26</v>
      </c>
      <c r="F10592" s="2">
        <f>DATE(2026,IF(Tabla1[[#This Row],[Mes de Fecha]]="Septiembre",9,10),Tabla1[[#This Row],[Día de Fecha]])</f>
        <v>46291</v>
      </c>
      <c r="I10592">
        <v>0</v>
      </c>
      <c r="J10592" s="1">
        <v>6193485</v>
      </c>
      <c r="K10592">
        <v>0</v>
      </c>
    </row>
    <row r="10593" spans="1:11" x14ac:dyDescent="0.25">
      <c r="A10593" t="s">
        <v>9</v>
      </c>
      <c r="B10593" t="s">
        <v>224</v>
      </c>
      <c r="C10593" t="s">
        <v>876</v>
      </c>
      <c r="D10593" t="s">
        <v>11</v>
      </c>
      <c r="E10593">
        <v>26</v>
      </c>
      <c r="F10593" s="2">
        <f>DATE(2026,IF(Tabla1[[#This Row],[Mes de Fecha]]="Septiembre",9,10),Tabla1[[#This Row],[Día de Fecha]])</f>
        <v>46291</v>
      </c>
      <c r="G10593">
        <v>1075212086</v>
      </c>
      <c r="H10593" t="s">
        <v>227</v>
      </c>
      <c r="I10593">
        <v>43</v>
      </c>
      <c r="J10593">
        <v>0</v>
      </c>
      <c r="K10593" s="1">
        <v>1905380</v>
      </c>
    </row>
    <row r="10594" spans="1:11" x14ac:dyDescent="0.25">
      <c r="A10594" t="s">
        <v>9</v>
      </c>
      <c r="B10594" t="s">
        <v>224</v>
      </c>
      <c r="C10594" t="s">
        <v>876</v>
      </c>
      <c r="D10594" t="s">
        <v>11</v>
      </c>
      <c r="E10594">
        <v>26</v>
      </c>
      <c r="F10594" s="2">
        <f>DATE(2026,IF(Tabla1[[#This Row],[Mes de Fecha]]="Septiembre",9,10),Tabla1[[#This Row],[Día de Fecha]])</f>
        <v>46291</v>
      </c>
      <c r="G10594">
        <v>1075218460</v>
      </c>
      <c r="H10594" t="s">
        <v>226</v>
      </c>
      <c r="I10594">
        <v>1</v>
      </c>
      <c r="J10594">
        <v>0</v>
      </c>
      <c r="K10594" s="1">
        <v>25126</v>
      </c>
    </row>
    <row r="10595" spans="1:11" x14ac:dyDescent="0.25">
      <c r="A10595" t="s">
        <v>9</v>
      </c>
      <c r="B10595" t="s">
        <v>224</v>
      </c>
      <c r="C10595" t="s">
        <v>876</v>
      </c>
      <c r="D10595" t="s">
        <v>11</v>
      </c>
      <c r="E10595">
        <v>27</v>
      </c>
      <c r="F10595" s="2">
        <f>DATE(2026,IF(Tabla1[[#This Row],[Mes de Fecha]]="Septiembre",9,10),Tabla1[[#This Row],[Día de Fecha]])</f>
        <v>46292</v>
      </c>
      <c r="I10595">
        <v>0</v>
      </c>
      <c r="J10595" s="1">
        <v>3270102</v>
      </c>
      <c r="K10595">
        <v>0</v>
      </c>
    </row>
    <row r="10596" spans="1:11" x14ac:dyDescent="0.25">
      <c r="A10596" t="s">
        <v>9</v>
      </c>
      <c r="B10596" t="s">
        <v>224</v>
      </c>
      <c r="C10596" t="s">
        <v>876</v>
      </c>
      <c r="D10596" t="s">
        <v>11</v>
      </c>
      <c r="E10596">
        <v>27</v>
      </c>
      <c r="F10596" s="2">
        <f>DATE(2026,IF(Tabla1[[#This Row],[Mes de Fecha]]="Septiembre",9,10),Tabla1[[#This Row],[Día de Fecha]])</f>
        <v>46292</v>
      </c>
      <c r="G10596">
        <v>1007681582</v>
      </c>
      <c r="H10596" t="s">
        <v>225</v>
      </c>
      <c r="I10596">
        <v>-1</v>
      </c>
      <c r="J10596">
        <v>0</v>
      </c>
      <c r="K10596" s="1">
        <v>-41975</v>
      </c>
    </row>
    <row r="10597" spans="1:11" x14ac:dyDescent="0.25">
      <c r="A10597" t="s">
        <v>9</v>
      </c>
      <c r="B10597" t="s">
        <v>224</v>
      </c>
      <c r="C10597" t="s">
        <v>876</v>
      </c>
      <c r="D10597" t="s">
        <v>11</v>
      </c>
      <c r="E10597">
        <v>27</v>
      </c>
      <c r="F10597" s="2">
        <f>DATE(2026,IF(Tabla1[[#This Row],[Mes de Fecha]]="Septiembre",9,10),Tabla1[[#This Row],[Día de Fecha]])</f>
        <v>46292</v>
      </c>
      <c r="G10597">
        <v>1075212086</v>
      </c>
      <c r="H10597" t="s">
        <v>227</v>
      </c>
      <c r="I10597">
        <v>90</v>
      </c>
      <c r="J10597">
        <v>0</v>
      </c>
      <c r="K10597" s="1">
        <v>4642816</v>
      </c>
    </row>
    <row r="10598" spans="1:11" x14ac:dyDescent="0.25">
      <c r="A10598" t="s">
        <v>9</v>
      </c>
      <c r="B10598" t="s">
        <v>224</v>
      </c>
      <c r="C10598" t="s">
        <v>876</v>
      </c>
      <c r="D10598" t="s">
        <v>11</v>
      </c>
      <c r="E10598">
        <v>27</v>
      </c>
      <c r="F10598" s="2">
        <f>DATE(2026,IF(Tabla1[[#This Row],[Mes de Fecha]]="Septiembre",9,10),Tabla1[[#This Row],[Día de Fecha]])</f>
        <v>46292</v>
      </c>
      <c r="G10598">
        <v>1075218460</v>
      </c>
      <c r="H10598" t="s">
        <v>226</v>
      </c>
      <c r="I10598">
        <v>4</v>
      </c>
      <c r="J10598">
        <v>0</v>
      </c>
      <c r="K10598" s="1">
        <v>193109</v>
      </c>
    </row>
    <row r="10599" spans="1:11" x14ac:dyDescent="0.25">
      <c r="A10599" t="s">
        <v>9</v>
      </c>
      <c r="B10599" t="s">
        <v>224</v>
      </c>
      <c r="C10599" t="s">
        <v>876</v>
      </c>
      <c r="D10599" t="s">
        <v>11</v>
      </c>
      <c r="E10599">
        <v>28</v>
      </c>
      <c r="F10599" s="2">
        <f>DATE(2026,IF(Tabla1[[#This Row],[Mes de Fecha]]="Septiembre",9,10),Tabla1[[#This Row],[Día de Fecha]])</f>
        <v>46293</v>
      </c>
      <c r="I10599">
        <v>0</v>
      </c>
      <c r="J10599" s="1">
        <v>2681128</v>
      </c>
      <c r="K10599">
        <v>0</v>
      </c>
    </row>
    <row r="10600" spans="1:11" x14ac:dyDescent="0.25">
      <c r="A10600" t="s">
        <v>9</v>
      </c>
      <c r="B10600" t="s">
        <v>224</v>
      </c>
      <c r="C10600" t="s">
        <v>876</v>
      </c>
      <c r="D10600" t="s">
        <v>11</v>
      </c>
      <c r="E10600">
        <v>28</v>
      </c>
      <c r="F10600" s="2">
        <f>DATE(2026,IF(Tabla1[[#This Row],[Mes de Fecha]]="Septiembre",9,10),Tabla1[[#This Row],[Día de Fecha]])</f>
        <v>46293</v>
      </c>
      <c r="G10600">
        <v>1075218460</v>
      </c>
      <c r="H10600" t="s">
        <v>226</v>
      </c>
      <c r="I10600">
        <v>20</v>
      </c>
      <c r="J10600">
        <v>0</v>
      </c>
      <c r="K10600" s="1">
        <v>963449</v>
      </c>
    </row>
    <row r="10601" spans="1:11" x14ac:dyDescent="0.25">
      <c r="A10601" t="s">
        <v>9</v>
      </c>
      <c r="B10601" t="s">
        <v>224</v>
      </c>
      <c r="C10601" t="s">
        <v>876</v>
      </c>
      <c r="D10601" t="s">
        <v>11</v>
      </c>
      <c r="E10601">
        <v>29</v>
      </c>
      <c r="F10601" s="2">
        <f>DATE(2026,IF(Tabla1[[#This Row],[Mes de Fecha]]="Septiembre",9,10),Tabla1[[#This Row],[Día de Fecha]])</f>
        <v>46294</v>
      </c>
      <c r="I10601">
        <v>0</v>
      </c>
      <c r="J10601" s="1">
        <v>2980621</v>
      </c>
      <c r="K10601">
        <v>0</v>
      </c>
    </row>
    <row r="10602" spans="1:11" x14ac:dyDescent="0.25">
      <c r="A10602" t="s">
        <v>9</v>
      </c>
      <c r="B10602" t="s">
        <v>224</v>
      </c>
      <c r="C10602" t="s">
        <v>876</v>
      </c>
      <c r="D10602" t="s">
        <v>11</v>
      </c>
      <c r="E10602">
        <v>29</v>
      </c>
      <c r="F10602" s="2">
        <f>DATE(2026,IF(Tabla1[[#This Row],[Mes de Fecha]]="Septiembre",9,10),Tabla1[[#This Row],[Día de Fecha]])</f>
        <v>46294</v>
      </c>
      <c r="G10602">
        <v>1075212086</v>
      </c>
      <c r="H10602" t="s">
        <v>227</v>
      </c>
      <c r="I10602">
        <v>0</v>
      </c>
      <c r="J10602">
        <v>0</v>
      </c>
      <c r="K10602">
        <v>0</v>
      </c>
    </row>
    <row r="10603" spans="1:11" x14ac:dyDescent="0.25">
      <c r="A10603" t="s">
        <v>9</v>
      </c>
      <c r="B10603" t="s">
        <v>224</v>
      </c>
      <c r="C10603" t="s">
        <v>876</v>
      </c>
      <c r="D10603" t="s">
        <v>11</v>
      </c>
      <c r="E10603">
        <v>29</v>
      </c>
      <c r="F10603" s="2">
        <f>DATE(2026,IF(Tabla1[[#This Row],[Mes de Fecha]]="Septiembre",9,10),Tabla1[[#This Row],[Día de Fecha]])</f>
        <v>46294</v>
      </c>
      <c r="G10603">
        <v>1075218460</v>
      </c>
      <c r="H10603" t="s">
        <v>226</v>
      </c>
      <c r="I10603">
        <v>69</v>
      </c>
      <c r="J10603">
        <v>0</v>
      </c>
      <c r="K10603" s="1">
        <v>3040760</v>
      </c>
    </row>
    <row r="10604" spans="1:11" x14ac:dyDescent="0.25">
      <c r="A10604" t="s">
        <v>9</v>
      </c>
      <c r="B10604" t="s">
        <v>224</v>
      </c>
      <c r="C10604" t="s">
        <v>876</v>
      </c>
      <c r="D10604" t="s">
        <v>11</v>
      </c>
      <c r="E10604">
        <v>30</v>
      </c>
      <c r="F10604" s="2">
        <f>DATE(2026,IF(Tabla1[[#This Row],[Mes de Fecha]]="Septiembre",9,10),Tabla1[[#This Row],[Día de Fecha]])</f>
        <v>46295</v>
      </c>
      <c r="I10604">
        <v>0</v>
      </c>
      <c r="J10604" s="1">
        <v>3156570</v>
      </c>
      <c r="K10604">
        <v>0</v>
      </c>
    </row>
    <row r="10605" spans="1:11" x14ac:dyDescent="0.25">
      <c r="A10605" t="s">
        <v>9</v>
      </c>
      <c r="B10605" t="s">
        <v>224</v>
      </c>
      <c r="C10605" t="s">
        <v>876</v>
      </c>
      <c r="D10605" t="s">
        <v>11</v>
      </c>
      <c r="E10605">
        <v>30</v>
      </c>
      <c r="F10605" s="2">
        <f>DATE(2026,IF(Tabla1[[#This Row],[Mes de Fecha]]="Septiembre",9,10),Tabla1[[#This Row],[Día de Fecha]])</f>
        <v>46295</v>
      </c>
      <c r="G10605">
        <v>1075212086</v>
      </c>
      <c r="H10605" t="s">
        <v>227</v>
      </c>
      <c r="I10605">
        <v>44</v>
      </c>
      <c r="J10605">
        <v>0</v>
      </c>
      <c r="K10605" s="1">
        <v>2006346</v>
      </c>
    </row>
    <row r="10606" spans="1:11" x14ac:dyDescent="0.25">
      <c r="A10606" t="s">
        <v>9</v>
      </c>
      <c r="B10606" t="s">
        <v>224</v>
      </c>
      <c r="C10606" t="s">
        <v>876</v>
      </c>
      <c r="D10606" t="s">
        <v>11</v>
      </c>
      <c r="E10606">
        <v>30</v>
      </c>
      <c r="F10606" s="2">
        <f>DATE(2026,IF(Tabla1[[#This Row],[Mes de Fecha]]="Septiembre",9,10),Tabla1[[#This Row],[Día de Fecha]])</f>
        <v>46295</v>
      </c>
      <c r="G10606">
        <v>1075218460</v>
      </c>
      <c r="H10606" t="s">
        <v>226</v>
      </c>
      <c r="I10606">
        <v>0</v>
      </c>
      <c r="J10606">
        <v>0</v>
      </c>
      <c r="K10606" s="1">
        <v>16807</v>
      </c>
    </row>
    <row r="10607" spans="1:11" x14ac:dyDescent="0.25">
      <c r="A10607" t="s">
        <v>9</v>
      </c>
      <c r="B10607" t="s">
        <v>224</v>
      </c>
      <c r="C10607" t="s">
        <v>876</v>
      </c>
      <c r="D10607" t="s">
        <v>14</v>
      </c>
      <c r="E10607">
        <v>1</v>
      </c>
      <c r="F10607" s="2">
        <f>DATE(2026,IF(Tabla1[[#This Row],[Mes de Fecha]]="Septiembre",9,10),Tabla1[[#This Row],[Día de Fecha]])</f>
        <v>46296</v>
      </c>
      <c r="I10607">
        <v>0</v>
      </c>
      <c r="J10607" s="1">
        <v>3615122</v>
      </c>
      <c r="K10607">
        <v>0</v>
      </c>
    </row>
    <row r="10608" spans="1:11" x14ac:dyDescent="0.25">
      <c r="A10608" t="s">
        <v>9</v>
      </c>
      <c r="B10608" t="s">
        <v>224</v>
      </c>
      <c r="C10608" t="s">
        <v>876</v>
      </c>
      <c r="D10608" t="s">
        <v>14</v>
      </c>
      <c r="E10608">
        <v>1</v>
      </c>
      <c r="F10608" s="2">
        <f>DATE(2026,IF(Tabla1[[#This Row],[Mes de Fecha]]="Septiembre",9,10),Tabla1[[#This Row],[Día de Fecha]])</f>
        <v>46296</v>
      </c>
      <c r="G10608">
        <v>1075212086</v>
      </c>
      <c r="H10608" t="s">
        <v>227</v>
      </c>
      <c r="I10608">
        <v>0</v>
      </c>
      <c r="J10608">
        <v>0</v>
      </c>
      <c r="K10608">
        <v>-1</v>
      </c>
    </row>
    <row r="10609" spans="1:11" x14ac:dyDescent="0.25">
      <c r="A10609" t="s">
        <v>9</v>
      </c>
      <c r="B10609" t="s">
        <v>224</v>
      </c>
      <c r="C10609" t="s">
        <v>876</v>
      </c>
      <c r="D10609" t="s">
        <v>14</v>
      </c>
      <c r="E10609">
        <v>1</v>
      </c>
      <c r="F10609" s="2">
        <f>DATE(2026,IF(Tabla1[[#This Row],[Mes de Fecha]]="Septiembre",9,10),Tabla1[[#This Row],[Día de Fecha]])</f>
        <v>46296</v>
      </c>
      <c r="G10609">
        <v>1075218460</v>
      </c>
      <c r="H10609" t="s">
        <v>226</v>
      </c>
      <c r="I10609">
        <v>50</v>
      </c>
      <c r="J10609">
        <v>0</v>
      </c>
      <c r="K10609" s="1">
        <v>2375883</v>
      </c>
    </row>
    <row r="10610" spans="1:11" x14ac:dyDescent="0.25">
      <c r="A10610" t="s">
        <v>9</v>
      </c>
      <c r="B10610" t="s">
        <v>224</v>
      </c>
      <c r="C10610" t="s">
        <v>876</v>
      </c>
      <c r="D10610" t="s">
        <v>14</v>
      </c>
      <c r="E10610">
        <v>2</v>
      </c>
      <c r="F10610" s="2">
        <f>DATE(2026,IF(Tabla1[[#This Row],[Mes de Fecha]]="Septiembre",9,10),Tabla1[[#This Row],[Día de Fecha]])</f>
        <v>46297</v>
      </c>
      <c r="I10610">
        <v>0</v>
      </c>
      <c r="J10610" s="1">
        <v>3553782</v>
      </c>
      <c r="K10610">
        <v>0</v>
      </c>
    </row>
    <row r="10611" spans="1:11" x14ac:dyDescent="0.25">
      <c r="A10611" t="s">
        <v>9</v>
      </c>
      <c r="B10611" t="s">
        <v>224</v>
      </c>
      <c r="C10611" t="s">
        <v>876</v>
      </c>
      <c r="D10611" t="s">
        <v>14</v>
      </c>
      <c r="E10611">
        <v>2</v>
      </c>
      <c r="F10611" s="2">
        <f>DATE(2026,IF(Tabla1[[#This Row],[Mes de Fecha]]="Septiembre",9,10),Tabla1[[#This Row],[Día de Fecha]])</f>
        <v>46297</v>
      </c>
      <c r="G10611">
        <v>1007681582</v>
      </c>
      <c r="H10611" t="s">
        <v>225</v>
      </c>
      <c r="I10611">
        <v>52</v>
      </c>
      <c r="J10611">
        <v>0</v>
      </c>
      <c r="K10611" s="1">
        <v>2377481</v>
      </c>
    </row>
    <row r="10612" spans="1:11" x14ac:dyDescent="0.25">
      <c r="A10612" t="s">
        <v>9</v>
      </c>
      <c r="B10612" t="s">
        <v>224</v>
      </c>
      <c r="C10612" t="s">
        <v>876</v>
      </c>
      <c r="D10612" t="s">
        <v>14</v>
      </c>
      <c r="E10612">
        <v>3</v>
      </c>
      <c r="F10612" s="2">
        <f>DATE(2026,IF(Tabla1[[#This Row],[Mes de Fecha]]="Septiembre",9,10),Tabla1[[#This Row],[Día de Fecha]])</f>
        <v>46298</v>
      </c>
      <c r="I10612">
        <v>0</v>
      </c>
      <c r="J10612" s="1">
        <v>8656096</v>
      </c>
      <c r="K10612">
        <v>0</v>
      </c>
    </row>
    <row r="10613" spans="1:11" x14ac:dyDescent="0.25">
      <c r="A10613" t="s">
        <v>9</v>
      </c>
      <c r="B10613" t="s">
        <v>224</v>
      </c>
      <c r="C10613" t="s">
        <v>876</v>
      </c>
      <c r="D10613" t="s">
        <v>14</v>
      </c>
      <c r="E10613">
        <v>3</v>
      </c>
      <c r="F10613" s="2">
        <f>DATE(2026,IF(Tabla1[[#This Row],[Mes de Fecha]]="Septiembre",9,10),Tabla1[[#This Row],[Día de Fecha]])</f>
        <v>46298</v>
      </c>
      <c r="G10613">
        <v>1007681582</v>
      </c>
      <c r="H10613" t="s">
        <v>225</v>
      </c>
      <c r="I10613">
        <v>101</v>
      </c>
      <c r="J10613">
        <v>0</v>
      </c>
      <c r="K10613" s="1">
        <v>4725737</v>
      </c>
    </row>
    <row r="10614" spans="1:11" x14ac:dyDescent="0.25">
      <c r="A10614" t="s">
        <v>9</v>
      </c>
      <c r="B10614" t="s">
        <v>224</v>
      </c>
      <c r="C10614" t="s">
        <v>876</v>
      </c>
      <c r="D10614" t="s">
        <v>14</v>
      </c>
      <c r="E10614">
        <v>3</v>
      </c>
      <c r="F10614" s="2">
        <f>DATE(2026,IF(Tabla1[[#This Row],[Mes de Fecha]]="Septiembre",9,10),Tabla1[[#This Row],[Día de Fecha]])</f>
        <v>46298</v>
      </c>
      <c r="G10614">
        <v>1075218460</v>
      </c>
      <c r="H10614" t="s">
        <v>226</v>
      </c>
      <c r="I10614">
        <v>1</v>
      </c>
      <c r="J10614">
        <v>0</v>
      </c>
      <c r="K10614" s="1">
        <v>52479</v>
      </c>
    </row>
    <row r="10615" spans="1:11" x14ac:dyDescent="0.25">
      <c r="A10615" t="s">
        <v>9</v>
      </c>
      <c r="B10615" t="s">
        <v>224</v>
      </c>
      <c r="C10615" t="s">
        <v>876</v>
      </c>
      <c r="D10615" t="s">
        <v>14</v>
      </c>
      <c r="E10615">
        <v>4</v>
      </c>
      <c r="F10615" s="2">
        <f>DATE(2026,IF(Tabla1[[#This Row],[Mes de Fecha]]="Septiembre",9,10),Tabla1[[#This Row],[Día de Fecha]])</f>
        <v>46299</v>
      </c>
      <c r="I10615">
        <v>0</v>
      </c>
      <c r="J10615" s="1">
        <v>7205315</v>
      </c>
      <c r="K10615">
        <v>0</v>
      </c>
    </row>
    <row r="10616" spans="1:11" x14ac:dyDescent="0.25">
      <c r="A10616" t="s">
        <v>9</v>
      </c>
      <c r="B10616" t="s">
        <v>224</v>
      </c>
      <c r="C10616" t="s">
        <v>876</v>
      </c>
      <c r="D10616" t="s">
        <v>14</v>
      </c>
      <c r="E10616">
        <v>4</v>
      </c>
      <c r="F10616" s="2">
        <f>DATE(2026,IF(Tabla1[[#This Row],[Mes de Fecha]]="Septiembre",9,10),Tabla1[[#This Row],[Día de Fecha]])</f>
        <v>46299</v>
      </c>
      <c r="G10616">
        <v>1007681582</v>
      </c>
      <c r="H10616" t="s">
        <v>225</v>
      </c>
      <c r="I10616">
        <v>67</v>
      </c>
      <c r="J10616">
        <v>0</v>
      </c>
      <c r="K10616" s="1">
        <v>3282820</v>
      </c>
    </row>
    <row r="10617" spans="1:11" x14ac:dyDescent="0.25">
      <c r="A10617" t="s">
        <v>9</v>
      </c>
      <c r="B10617" t="s">
        <v>224</v>
      </c>
      <c r="C10617" t="s">
        <v>876</v>
      </c>
      <c r="D10617" t="s">
        <v>14</v>
      </c>
      <c r="E10617">
        <v>4</v>
      </c>
      <c r="F10617" s="2">
        <f>DATE(2026,IF(Tabla1[[#This Row],[Mes de Fecha]]="Septiembre",9,10),Tabla1[[#This Row],[Día de Fecha]])</f>
        <v>46299</v>
      </c>
      <c r="G10617">
        <v>1075212086</v>
      </c>
      <c r="H10617" t="s">
        <v>227</v>
      </c>
      <c r="I10617">
        <v>50</v>
      </c>
      <c r="J10617">
        <v>0</v>
      </c>
      <c r="K10617" s="1">
        <v>2411557</v>
      </c>
    </row>
    <row r="10618" spans="1:11" x14ac:dyDescent="0.25">
      <c r="A10618" t="s">
        <v>9</v>
      </c>
      <c r="B10618" t="s">
        <v>224</v>
      </c>
      <c r="C10618" t="s">
        <v>876</v>
      </c>
      <c r="D10618" t="s">
        <v>14</v>
      </c>
      <c r="E10618">
        <v>4</v>
      </c>
      <c r="F10618" s="2">
        <f>DATE(2026,IF(Tabla1[[#This Row],[Mes de Fecha]]="Septiembre",9,10),Tabla1[[#This Row],[Día de Fecha]])</f>
        <v>46299</v>
      </c>
      <c r="G10618">
        <v>1075218460</v>
      </c>
      <c r="H10618" t="s">
        <v>226</v>
      </c>
      <c r="I10618">
        <v>-1</v>
      </c>
      <c r="J10618">
        <v>0</v>
      </c>
      <c r="K10618" s="1">
        <v>-41975</v>
      </c>
    </row>
    <row r="10619" spans="1:11" x14ac:dyDescent="0.25">
      <c r="A10619" t="s">
        <v>9</v>
      </c>
      <c r="B10619" t="s">
        <v>224</v>
      </c>
      <c r="C10619" t="s">
        <v>876</v>
      </c>
      <c r="D10619" t="s">
        <v>14</v>
      </c>
      <c r="E10619">
        <v>5</v>
      </c>
      <c r="F10619" s="2">
        <f>DATE(2026,IF(Tabla1[[#This Row],[Mes de Fecha]]="Septiembre",9,10),Tabla1[[#This Row],[Día de Fecha]])</f>
        <v>46300</v>
      </c>
      <c r="I10619">
        <v>0</v>
      </c>
      <c r="J10619" s="1">
        <v>4432332</v>
      </c>
      <c r="K10619">
        <v>0</v>
      </c>
    </row>
    <row r="10620" spans="1:11" x14ac:dyDescent="0.25">
      <c r="A10620" t="s">
        <v>9</v>
      </c>
      <c r="B10620" t="s">
        <v>224</v>
      </c>
      <c r="C10620" t="s">
        <v>876</v>
      </c>
      <c r="D10620" t="s">
        <v>14</v>
      </c>
      <c r="E10620">
        <v>5</v>
      </c>
      <c r="F10620" s="2">
        <f>DATE(2026,IF(Tabla1[[#This Row],[Mes de Fecha]]="Septiembre",9,10),Tabla1[[#This Row],[Día de Fecha]])</f>
        <v>46300</v>
      </c>
      <c r="G10620">
        <v>1007681582</v>
      </c>
      <c r="H10620" t="s">
        <v>225</v>
      </c>
      <c r="I10620">
        <v>21</v>
      </c>
      <c r="J10620">
        <v>0</v>
      </c>
      <c r="K10620" s="1">
        <v>1020086</v>
      </c>
    </row>
    <row r="10621" spans="1:11" x14ac:dyDescent="0.25">
      <c r="A10621" t="s">
        <v>9</v>
      </c>
      <c r="B10621" t="s">
        <v>224</v>
      </c>
      <c r="C10621" t="s">
        <v>876</v>
      </c>
      <c r="D10621" t="s">
        <v>14</v>
      </c>
      <c r="E10621">
        <v>5</v>
      </c>
      <c r="F10621" s="2">
        <f>DATE(2026,IF(Tabla1[[#This Row],[Mes de Fecha]]="Septiembre",9,10),Tabla1[[#This Row],[Día de Fecha]])</f>
        <v>46300</v>
      </c>
      <c r="G10621">
        <v>1075212086</v>
      </c>
      <c r="H10621" t="s">
        <v>227</v>
      </c>
      <c r="I10621">
        <v>21</v>
      </c>
      <c r="J10621">
        <v>0</v>
      </c>
      <c r="K10621" s="1">
        <v>1007440</v>
      </c>
    </row>
    <row r="10622" spans="1:11" x14ac:dyDescent="0.25">
      <c r="A10622" t="s">
        <v>9</v>
      </c>
      <c r="B10622" t="s">
        <v>224</v>
      </c>
      <c r="C10622" t="s">
        <v>876</v>
      </c>
      <c r="D10622" t="s">
        <v>14</v>
      </c>
      <c r="E10622">
        <v>6</v>
      </c>
      <c r="F10622" s="2">
        <f>DATE(2026,IF(Tabla1[[#This Row],[Mes de Fecha]]="Septiembre",9,10),Tabla1[[#This Row],[Día de Fecha]])</f>
        <v>46301</v>
      </c>
      <c r="I10622">
        <v>0</v>
      </c>
      <c r="J10622" s="1">
        <v>2794218</v>
      </c>
      <c r="K10622">
        <v>0</v>
      </c>
    </row>
    <row r="10623" spans="1:11" x14ac:dyDescent="0.25">
      <c r="A10623" t="s">
        <v>9</v>
      </c>
      <c r="B10623" t="s">
        <v>224</v>
      </c>
      <c r="C10623" t="s">
        <v>876</v>
      </c>
      <c r="D10623" t="s">
        <v>14</v>
      </c>
      <c r="E10623">
        <v>6</v>
      </c>
      <c r="F10623" s="2">
        <f>DATE(2026,IF(Tabla1[[#This Row],[Mes de Fecha]]="Septiembre",9,10),Tabla1[[#This Row],[Día de Fecha]])</f>
        <v>46301</v>
      </c>
      <c r="G10623">
        <v>1007681582</v>
      </c>
      <c r="H10623" t="s">
        <v>225</v>
      </c>
      <c r="I10623">
        <v>62</v>
      </c>
      <c r="J10623">
        <v>0</v>
      </c>
      <c r="K10623" s="1">
        <v>3240798</v>
      </c>
    </row>
    <row r="10624" spans="1:11" x14ac:dyDescent="0.25">
      <c r="A10624" t="s">
        <v>9</v>
      </c>
      <c r="B10624" t="s">
        <v>224</v>
      </c>
      <c r="C10624" t="s">
        <v>876</v>
      </c>
      <c r="D10624" t="s">
        <v>14</v>
      </c>
      <c r="E10624">
        <v>7</v>
      </c>
      <c r="F10624" s="2">
        <f>DATE(2026,IF(Tabla1[[#This Row],[Mes de Fecha]]="Septiembre",9,10),Tabla1[[#This Row],[Día de Fecha]])</f>
        <v>46302</v>
      </c>
      <c r="I10624">
        <v>0</v>
      </c>
      <c r="J10624" s="1">
        <v>2594603</v>
      </c>
      <c r="K10624">
        <v>0</v>
      </c>
    </row>
    <row r="10625" spans="1:11" x14ac:dyDescent="0.25">
      <c r="A10625" t="s">
        <v>9</v>
      </c>
      <c r="B10625" t="s">
        <v>224</v>
      </c>
      <c r="C10625" t="s">
        <v>876</v>
      </c>
      <c r="D10625" t="s">
        <v>14</v>
      </c>
      <c r="E10625">
        <v>7</v>
      </c>
      <c r="F10625" s="2">
        <f>DATE(2026,IF(Tabla1[[#This Row],[Mes de Fecha]]="Septiembre",9,10),Tabla1[[#This Row],[Día de Fecha]])</f>
        <v>46302</v>
      </c>
      <c r="G10625">
        <v>1007681582</v>
      </c>
      <c r="H10625" t="s">
        <v>225</v>
      </c>
      <c r="I10625">
        <v>49</v>
      </c>
      <c r="J10625">
        <v>0</v>
      </c>
      <c r="K10625" s="1">
        <v>2253910</v>
      </c>
    </row>
    <row r="10626" spans="1:11" x14ac:dyDescent="0.25">
      <c r="A10626" t="s">
        <v>9</v>
      </c>
      <c r="B10626" t="s">
        <v>241</v>
      </c>
      <c r="C10626" t="s">
        <v>876</v>
      </c>
      <c r="D10626" t="s">
        <v>11</v>
      </c>
      <c r="E10626">
        <v>23</v>
      </c>
      <c r="F10626" s="2">
        <f>DATE(2026,IF(Tabla1[[#This Row],[Mes de Fecha]]="Septiembre",9,10),Tabla1[[#This Row],[Día de Fecha]])</f>
        <v>46288</v>
      </c>
      <c r="I10626">
        <v>0</v>
      </c>
      <c r="J10626" s="1">
        <v>5311740</v>
      </c>
      <c r="K10626">
        <v>0</v>
      </c>
    </row>
    <row r="10627" spans="1:11" x14ac:dyDescent="0.25">
      <c r="A10627" t="s">
        <v>9</v>
      </c>
      <c r="B10627" t="s">
        <v>241</v>
      </c>
      <c r="C10627" t="s">
        <v>876</v>
      </c>
      <c r="D10627" t="s">
        <v>11</v>
      </c>
      <c r="E10627">
        <v>23</v>
      </c>
      <c r="F10627" s="2">
        <f>DATE(2026,IF(Tabla1[[#This Row],[Mes de Fecha]]="Septiembre",9,10),Tabla1[[#This Row],[Día de Fecha]])</f>
        <v>46288</v>
      </c>
      <c r="G10627">
        <v>36296690</v>
      </c>
      <c r="H10627" t="s">
        <v>244</v>
      </c>
      <c r="I10627">
        <v>15</v>
      </c>
      <c r="J10627">
        <v>0</v>
      </c>
      <c r="K10627" s="1">
        <v>1011975</v>
      </c>
    </row>
    <row r="10628" spans="1:11" x14ac:dyDescent="0.25">
      <c r="A10628" t="s">
        <v>9</v>
      </c>
      <c r="B10628" t="s">
        <v>241</v>
      </c>
      <c r="C10628" t="s">
        <v>876</v>
      </c>
      <c r="D10628" t="s">
        <v>11</v>
      </c>
      <c r="E10628">
        <v>23</v>
      </c>
      <c r="F10628" s="2">
        <f>DATE(2026,IF(Tabla1[[#This Row],[Mes de Fecha]]="Septiembre",9,10),Tabla1[[#This Row],[Día de Fecha]])</f>
        <v>46288</v>
      </c>
      <c r="G10628">
        <v>103884474</v>
      </c>
      <c r="H10628" t="s">
        <v>242</v>
      </c>
      <c r="I10628">
        <v>27</v>
      </c>
      <c r="J10628">
        <v>0</v>
      </c>
      <c r="K10628" s="1">
        <v>1377061</v>
      </c>
    </row>
    <row r="10629" spans="1:11" x14ac:dyDescent="0.25">
      <c r="A10629" t="s">
        <v>9</v>
      </c>
      <c r="B10629" t="s">
        <v>241</v>
      </c>
      <c r="C10629" t="s">
        <v>876</v>
      </c>
      <c r="D10629" t="s">
        <v>11</v>
      </c>
      <c r="E10629">
        <v>23</v>
      </c>
      <c r="F10629" s="2">
        <f>DATE(2026,IF(Tabla1[[#This Row],[Mes de Fecha]]="Septiembre",9,10),Tabla1[[#This Row],[Día de Fecha]])</f>
        <v>46288</v>
      </c>
      <c r="G10629">
        <v>1007600493</v>
      </c>
      <c r="H10629" t="s">
        <v>245</v>
      </c>
      <c r="I10629">
        <v>26</v>
      </c>
      <c r="J10629">
        <v>0</v>
      </c>
      <c r="K10629" s="1">
        <v>1608151</v>
      </c>
    </row>
    <row r="10630" spans="1:11" x14ac:dyDescent="0.25">
      <c r="A10630" t="s">
        <v>9</v>
      </c>
      <c r="B10630" t="s">
        <v>241</v>
      </c>
      <c r="C10630" t="s">
        <v>876</v>
      </c>
      <c r="D10630" t="s">
        <v>11</v>
      </c>
      <c r="E10630">
        <v>23</v>
      </c>
      <c r="F10630" s="2">
        <f>DATE(2026,IF(Tabla1[[#This Row],[Mes de Fecha]]="Septiembre",9,10),Tabla1[[#This Row],[Día de Fecha]])</f>
        <v>46288</v>
      </c>
      <c r="G10630">
        <v>1080190058</v>
      </c>
      <c r="H10630" t="s">
        <v>243</v>
      </c>
      <c r="I10630">
        <v>53</v>
      </c>
      <c r="J10630">
        <v>0</v>
      </c>
      <c r="K10630" s="1">
        <v>2871770</v>
      </c>
    </row>
    <row r="10631" spans="1:11" x14ac:dyDescent="0.25">
      <c r="A10631" t="s">
        <v>9</v>
      </c>
      <c r="B10631" t="s">
        <v>241</v>
      </c>
      <c r="C10631" t="s">
        <v>876</v>
      </c>
      <c r="D10631" t="s">
        <v>11</v>
      </c>
      <c r="E10631">
        <v>24</v>
      </c>
      <c r="F10631" s="2">
        <f>DATE(2026,IF(Tabla1[[#This Row],[Mes de Fecha]]="Septiembre",9,10),Tabla1[[#This Row],[Día de Fecha]])</f>
        <v>46289</v>
      </c>
      <c r="I10631">
        <v>0</v>
      </c>
      <c r="J10631" s="1">
        <v>13737174</v>
      </c>
      <c r="K10631">
        <v>0</v>
      </c>
    </row>
    <row r="10632" spans="1:11" x14ac:dyDescent="0.25">
      <c r="A10632" t="s">
        <v>9</v>
      </c>
      <c r="B10632" t="s">
        <v>241</v>
      </c>
      <c r="C10632" t="s">
        <v>876</v>
      </c>
      <c r="D10632" t="s">
        <v>11</v>
      </c>
      <c r="E10632">
        <v>24</v>
      </c>
      <c r="F10632" s="2">
        <f>DATE(2026,IF(Tabla1[[#This Row],[Mes de Fecha]]="Septiembre",9,10),Tabla1[[#This Row],[Día de Fecha]])</f>
        <v>46289</v>
      </c>
      <c r="G10632">
        <v>36296690</v>
      </c>
      <c r="H10632" t="s">
        <v>244</v>
      </c>
      <c r="I10632">
        <v>11</v>
      </c>
      <c r="J10632">
        <v>0</v>
      </c>
      <c r="K10632" s="1">
        <v>713825</v>
      </c>
    </row>
    <row r="10633" spans="1:11" x14ac:dyDescent="0.25">
      <c r="A10633" t="s">
        <v>9</v>
      </c>
      <c r="B10633" t="s">
        <v>241</v>
      </c>
      <c r="C10633" t="s">
        <v>876</v>
      </c>
      <c r="D10633" t="s">
        <v>11</v>
      </c>
      <c r="E10633">
        <v>24</v>
      </c>
      <c r="F10633" s="2">
        <f>DATE(2026,IF(Tabla1[[#This Row],[Mes de Fecha]]="Septiembre",9,10),Tabla1[[#This Row],[Día de Fecha]])</f>
        <v>46289</v>
      </c>
      <c r="G10633">
        <v>103884474</v>
      </c>
      <c r="H10633" t="s">
        <v>242</v>
      </c>
      <c r="I10633">
        <v>16</v>
      </c>
      <c r="J10633">
        <v>0</v>
      </c>
      <c r="K10633" s="1">
        <v>839666</v>
      </c>
    </row>
    <row r="10634" spans="1:11" x14ac:dyDescent="0.25">
      <c r="A10634" t="s">
        <v>9</v>
      </c>
      <c r="B10634" t="s">
        <v>241</v>
      </c>
      <c r="C10634" t="s">
        <v>876</v>
      </c>
      <c r="D10634" t="s">
        <v>11</v>
      </c>
      <c r="E10634">
        <v>24</v>
      </c>
      <c r="F10634" s="2">
        <f>DATE(2026,IF(Tabla1[[#This Row],[Mes de Fecha]]="Septiembre",9,10),Tabla1[[#This Row],[Día de Fecha]])</f>
        <v>46289</v>
      </c>
      <c r="G10634">
        <v>1007600493</v>
      </c>
      <c r="H10634" t="s">
        <v>245</v>
      </c>
      <c r="I10634">
        <v>34</v>
      </c>
      <c r="J10634">
        <v>0</v>
      </c>
      <c r="K10634" s="1">
        <v>2091009</v>
      </c>
    </row>
    <row r="10635" spans="1:11" x14ac:dyDescent="0.25">
      <c r="A10635" t="s">
        <v>9</v>
      </c>
      <c r="B10635" t="s">
        <v>241</v>
      </c>
      <c r="C10635" t="s">
        <v>876</v>
      </c>
      <c r="D10635" t="s">
        <v>11</v>
      </c>
      <c r="E10635">
        <v>24</v>
      </c>
      <c r="F10635" s="2">
        <f>DATE(2026,IF(Tabla1[[#This Row],[Mes de Fecha]]="Septiembre",9,10),Tabla1[[#This Row],[Día de Fecha]])</f>
        <v>46289</v>
      </c>
      <c r="G10635">
        <v>1080190058</v>
      </c>
      <c r="H10635" t="s">
        <v>243</v>
      </c>
      <c r="I10635">
        <v>92</v>
      </c>
      <c r="J10635">
        <v>0</v>
      </c>
      <c r="K10635" s="1">
        <v>4901603</v>
      </c>
    </row>
    <row r="10636" spans="1:11" x14ac:dyDescent="0.25">
      <c r="A10636" t="s">
        <v>9</v>
      </c>
      <c r="B10636" t="s">
        <v>241</v>
      </c>
      <c r="C10636" t="s">
        <v>876</v>
      </c>
      <c r="D10636" t="s">
        <v>11</v>
      </c>
      <c r="E10636">
        <v>25</v>
      </c>
      <c r="F10636" s="2">
        <f>DATE(2026,IF(Tabla1[[#This Row],[Mes de Fecha]]="Septiembre",9,10),Tabla1[[#This Row],[Día de Fecha]])</f>
        <v>46290</v>
      </c>
      <c r="I10636">
        <v>0</v>
      </c>
      <c r="J10636" s="1">
        <v>14672054</v>
      </c>
      <c r="K10636">
        <v>0</v>
      </c>
    </row>
    <row r="10637" spans="1:11" x14ac:dyDescent="0.25">
      <c r="A10637" t="s">
        <v>9</v>
      </c>
      <c r="B10637" t="s">
        <v>241</v>
      </c>
      <c r="C10637" t="s">
        <v>876</v>
      </c>
      <c r="D10637" t="s">
        <v>11</v>
      </c>
      <c r="E10637">
        <v>25</v>
      </c>
      <c r="F10637" s="2">
        <f>DATE(2026,IF(Tabla1[[#This Row],[Mes de Fecha]]="Septiembre",9,10),Tabla1[[#This Row],[Día de Fecha]])</f>
        <v>46290</v>
      </c>
      <c r="G10637">
        <v>36296690</v>
      </c>
      <c r="H10637" t="s">
        <v>244</v>
      </c>
      <c r="I10637">
        <v>62</v>
      </c>
      <c r="J10637">
        <v>0</v>
      </c>
      <c r="K10637" s="1">
        <v>3583532</v>
      </c>
    </row>
    <row r="10638" spans="1:11" x14ac:dyDescent="0.25">
      <c r="A10638" t="s">
        <v>9</v>
      </c>
      <c r="B10638" t="s">
        <v>241</v>
      </c>
      <c r="C10638" t="s">
        <v>876</v>
      </c>
      <c r="D10638" t="s">
        <v>11</v>
      </c>
      <c r="E10638">
        <v>25</v>
      </c>
      <c r="F10638" s="2">
        <f>DATE(2026,IF(Tabla1[[#This Row],[Mes de Fecha]]="Septiembre",9,10),Tabla1[[#This Row],[Día de Fecha]])</f>
        <v>46290</v>
      </c>
      <c r="G10638">
        <v>103884474</v>
      </c>
      <c r="H10638" t="s">
        <v>242</v>
      </c>
      <c r="I10638">
        <v>44</v>
      </c>
      <c r="J10638">
        <v>0</v>
      </c>
      <c r="K10638" s="1">
        <v>2573825</v>
      </c>
    </row>
    <row r="10639" spans="1:11" x14ac:dyDescent="0.25">
      <c r="A10639" t="s">
        <v>9</v>
      </c>
      <c r="B10639" t="s">
        <v>241</v>
      </c>
      <c r="C10639" t="s">
        <v>876</v>
      </c>
      <c r="D10639" t="s">
        <v>11</v>
      </c>
      <c r="E10639">
        <v>25</v>
      </c>
      <c r="F10639" s="2">
        <f>DATE(2026,IF(Tabla1[[#This Row],[Mes de Fecha]]="Septiembre",9,10),Tabla1[[#This Row],[Día de Fecha]])</f>
        <v>46290</v>
      </c>
      <c r="G10639">
        <v>1080190058</v>
      </c>
      <c r="H10639" t="s">
        <v>243</v>
      </c>
      <c r="I10639">
        <v>48</v>
      </c>
      <c r="J10639">
        <v>0</v>
      </c>
      <c r="K10639" s="1">
        <v>3006345</v>
      </c>
    </row>
    <row r="10640" spans="1:11" x14ac:dyDescent="0.25">
      <c r="A10640" t="s">
        <v>9</v>
      </c>
      <c r="B10640" t="s">
        <v>241</v>
      </c>
      <c r="C10640" t="s">
        <v>876</v>
      </c>
      <c r="D10640" t="s">
        <v>11</v>
      </c>
      <c r="E10640">
        <v>26</v>
      </c>
      <c r="F10640" s="2">
        <f>DATE(2026,IF(Tabla1[[#This Row],[Mes de Fecha]]="Septiembre",9,10),Tabla1[[#This Row],[Día de Fecha]])</f>
        <v>46291</v>
      </c>
      <c r="I10640">
        <v>0</v>
      </c>
      <c r="J10640" s="1">
        <v>18501086</v>
      </c>
      <c r="K10640">
        <v>0</v>
      </c>
    </row>
    <row r="10641" spans="1:11" x14ac:dyDescent="0.25">
      <c r="A10641" t="s">
        <v>9</v>
      </c>
      <c r="B10641" t="s">
        <v>241</v>
      </c>
      <c r="C10641" t="s">
        <v>876</v>
      </c>
      <c r="D10641" t="s">
        <v>11</v>
      </c>
      <c r="E10641">
        <v>26</v>
      </c>
      <c r="F10641" s="2">
        <f>DATE(2026,IF(Tabla1[[#This Row],[Mes de Fecha]]="Septiembre",9,10),Tabla1[[#This Row],[Día de Fecha]])</f>
        <v>46291</v>
      </c>
      <c r="G10641">
        <v>36296690</v>
      </c>
      <c r="H10641" t="s">
        <v>244</v>
      </c>
      <c r="I10641">
        <v>81</v>
      </c>
      <c r="J10641">
        <v>0</v>
      </c>
      <c r="K10641" s="1">
        <v>4397823</v>
      </c>
    </row>
    <row r="10642" spans="1:11" x14ac:dyDescent="0.25">
      <c r="A10642" t="s">
        <v>9</v>
      </c>
      <c r="B10642" t="s">
        <v>241</v>
      </c>
      <c r="C10642" t="s">
        <v>876</v>
      </c>
      <c r="D10642" t="s">
        <v>11</v>
      </c>
      <c r="E10642">
        <v>26</v>
      </c>
      <c r="F10642" s="2">
        <f>DATE(2026,IF(Tabla1[[#This Row],[Mes de Fecha]]="Septiembre",9,10),Tabla1[[#This Row],[Día de Fecha]])</f>
        <v>46291</v>
      </c>
      <c r="G10642">
        <v>103884474</v>
      </c>
      <c r="H10642" t="s">
        <v>242</v>
      </c>
      <c r="I10642">
        <v>94</v>
      </c>
      <c r="J10642">
        <v>0</v>
      </c>
      <c r="K10642" s="1">
        <v>5174629</v>
      </c>
    </row>
    <row r="10643" spans="1:11" x14ac:dyDescent="0.25">
      <c r="A10643" t="s">
        <v>9</v>
      </c>
      <c r="B10643" t="s">
        <v>241</v>
      </c>
      <c r="C10643" t="s">
        <v>876</v>
      </c>
      <c r="D10643" t="s">
        <v>11</v>
      </c>
      <c r="E10643">
        <v>26</v>
      </c>
      <c r="F10643" s="2">
        <f>DATE(2026,IF(Tabla1[[#This Row],[Mes de Fecha]]="Septiembre",9,10),Tabla1[[#This Row],[Día de Fecha]])</f>
        <v>46291</v>
      </c>
      <c r="G10643">
        <v>1007600493</v>
      </c>
      <c r="H10643" t="s">
        <v>245</v>
      </c>
      <c r="I10643">
        <v>59</v>
      </c>
      <c r="J10643">
        <v>0</v>
      </c>
      <c r="K10643" s="1">
        <v>3806348</v>
      </c>
    </row>
    <row r="10644" spans="1:11" x14ac:dyDescent="0.25">
      <c r="A10644" t="s">
        <v>9</v>
      </c>
      <c r="B10644" t="s">
        <v>241</v>
      </c>
      <c r="C10644" t="s">
        <v>876</v>
      </c>
      <c r="D10644" t="s">
        <v>11</v>
      </c>
      <c r="E10644">
        <v>26</v>
      </c>
      <c r="F10644" s="2">
        <f>DATE(2026,IF(Tabla1[[#This Row],[Mes de Fecha]]="Septiembre",9,10),Tabla1[[#This Row],[Día de Fecha]])</f>
        <v>46291</v>
      </c>
      <c r="G10644">
        <v>1080190058</v>
      </c>
      <c r="H10644" t="s">
        <v>243</v>
      </c>
      <c r="I10644">
        <v>122</v>
      </c>
      <c r="J10644">
        <v>0</v>
      </c>
      <c r="K10644" s="1">
        <v>6936139</v>
      </c>
    </row>
    <row r="10645" spans="1:11" x14ac:dyDescent="0.25">
      <c r="A10645" t="s">
        <v>9</v>
      </c>
      <c r="B10645" t="s">
        <v>241</v>
      </c>
      <c r="C10645" t="s">
        <v>876</v>
      </c>
      <c r="D10645" t="s">
        <v>11</v>
      </c>
      <c r="E10645">
        <v>27</v>
      </c>
      <c r="F10645" s="2">
        <f>DATE(2026,IF(Tabla1[[#This Row],[Mes de Fecha]]="Septiembre",9,10),Tabla1[[#This Row],[Día de Fecha]])</f>
        <v>46292</v>
      </c>
      <c r="I10645">
        <v>0</v>
      </c>
      <c r="J10645" s="1">
        <v>9768399</v>
      </c>
      <c r="K10645">
        <v>0</v>
      </c>
    </row>
    <row r="10646" spans="1:11" x14ac:dyDescent="0.25">
      <c r="A10646" t="s">
        <v>9</v>
      </c>
      <c r="B10646" t="s">
        <v>241</v>
      </c>
      <c r="C10646" t="s">
        <v>876</v>
      </c>
      <c r="D10646" t="s">
        <v>11</v>
      </c>
      <c r="E10646">
        <v>27</v>
      </c>
      <c r="F10646" s="2">
        <f>DATE(2026,IF(Tabla1[[#This Row],[Mes de Fecha]]="Septiembre",9,10),Tabla1[[#This Row],[Día de Fecha]])</f>
        <v>46292</v>
      </c>
      <c r="G10646">
        <v>36296690</v>
      </c>
      <c r="H10646" t="s">
        <v>244</v>
      </c>
      <c r="I10646">
        <v>2</v>
      </c>
      <c r="J10646">
        <v>0</v>
      </c>
      <c r="K10646" s="1">
        <v>134370</v>
      </c>
    </row>
    <row r="10647" spans="1:11" x14ac:dyDescent="0.25">
      <c r="A10647" t="s">
        <v>9</v>
      </c>
      <c r="B10647" t="s">
        <v>241</v>
      </c>
      <c r="C10647" t="s">
        <v>876</v>
      </c>
      <c r="D10647" t="s">
        <v>11</v>
      </c>
      <c r="E10647">
        <v>27</v>
      </c>
      <c r="F10647" s="2">
        <f>DATE(2026,IF(Tabla1[[#This Row],[Mes de Fecha]]="Septiembre",9,10),Tabla1[[#This Row],[Día de Fecha]])</f>
        <v>46292</v>
      </c>
      <c r="G10647">
        <v>103884474</v>
      </c>
      <c r="H10647" t="s">
        <v>242</v>
      </c>
      <c r="I10647">
        <v>37</v>
      </c>
      <c r="J10647">
        <v>0</v>
      </c>
      <c r="K10647" s="1">
        <v>2582437</v>
      </c>
    </row>
    <row r="10648" spans="1:11" x14ac:dyDescent="0.25">
      <c r="A10648" t="s">
        <v>9</v>
      </c>
      <c r="B10648" t="s">
        <v>241</v>
      </c>
      <c r="C10648" t="s">
        <v>876</v>
      </c>
      <c r="D10648" t="s">
        <v>11</v>
      </c>
      <c r="E10648">
        <v>27</v>
      </c>
      <c r="F10648" s="2">
        <f>DATE(2026,IF(Tabla1[[#This Row],[Mes de Fecha]]="Septiembre",9,10),Tabla1[[#This Row],[Día de Fecha]])</f>
        <v>46292</v>
      </c>
      <c r="G10648">
        <v>1007600493</v>
      </c>
      <c r="H10648" t="s">
        <v>245</v>
      </c>
      <c r="I10648">
        <v>27</v>
      </c>
      <c r="J10648">
        <v>0</v>
      </c>
      <c r="K10648" s="1">
        <v>1813993</v>
      </c>
    </row>
    <row r="10649" spans="1:11" x14ac:dyDescent="0.25">
      <c r="A10649" t="s">
        <v>9</v>
      </c>
      <c r="B10649" t="s">
        <v>241</v>
      </c>
      <c r="C10649" t="s">
        <v>876</v>
      </c>
      <c r="D10649" t="s">
        <v>11</v>
      </c>
      <c r="E10649">
        <v>27</v>
      </c>
      <c r="F10649" s="2">
        <f>DATE(2026,IF(Tabla1[[#This Row],[Mes de Fecha]]="Septiembre",9,10),Tabla1[[#This Row],[Día de Fecha]])</f>
        <v>46292</v>
      </c>
      <c r="G10649">
        <v>1080190058</v>
      </c>
      <c r="H10649" t="s">
        <v>243</v>
      </c>
      <c r="I10649">
        <v>73</v>
      </c>
      <c r="J10649">
        <v>0</v>
      </c>
      <c r="K10649" s="1">
        <v>4072567</v>
      </c>
    </row>
    <row r="10650" spans="1:11" x14ac:dyDescent="0.25">
      <c r="A10650" t="s">
        <v>9</v>
      </c>
      <c r="B10650" t="s">
        <v>241</v>
      </c>
      <c r="C10650" t="s">
        <v>876</v>
      </c>
      <c r="D10650" t="s">
        <v>11</v>
      </c>
      <c r="E10650">
        <v>28</v>
      </c>
      <c r="F10650" s="2">
        <f>DATE(2026,IF(Tabla1[[#This Row],[Mes de Fecha]]="Septiembre",9,10),Tabla1[[#This Row],[Día de Fecha]])</f>
        <v>46293</v>
      </c>
      <c r="I10650">
        <v>0</v>
      </c>
      <c r="J10650" s="1">
        <v>8009024</v>
      </c>
      <c r="K10650">
        <v>0</v>
      </c>
    </row>
    <row r="10651" spans="1:11" x14ac:dyDescent="0.25">
      <c r="A10651" t="s">
        <v>9</v>
      </c>
      <c r="B10651" t="s">
        <v>241</v>
      </c>
      <c r="C10651" t="s">
        <v>876</v>
      </c>
      <c r="D10651" t="s">
        <v>11</v>
      </c>
      <c r="E10651">
        <v>28</v>
      </c>
      <c r="F10651" s="2">
        <f>DATE(2026,IF(Tabla1[[#This Row],[Mes de Fecha]]="Septiembre",9,10),Tabla1[[#This Row],[Día de Fecha]])</f>
        <v>46293</v>
      </c>
      <c r="G10651">
        <v>36296690</v>
      </c>
      <c r="H10651" t="s">
        <v>244</v>
      </c>
      <c r="I10651">
        <v>28</v>
      </c>
      <c r="J10651">
        <v>0</v>
      </c>
      <c r="K10651" s="1">
        <v>1469416</v>
      </c>
    </row>
    <row r="10652" spans="1:11" x14ac:dyDescent="0.25">
      <c r="A10652" t="s">
        <v>9</v>
      </c>
      <c r="B10652" t="s">
        <v>241</v>
      </c>
      <c r="C10652" t="s">
        <v>876</v>
      </c>
      <c r="D10652" t="s">
        <v>11</v>
      </c>
      <c r="E10652">
        <v>28</v>
      </c>
      <c r="F10652" s="2">
        <f>DATE(2026,IF(Tabla1[[#This Row],[Mes de Fecha]]="Septiembre",9,10),Tabla1[[#This Row],[Día de Fecha]])</f>
        <v>46293</v>
      </c>
      <c r="G10652">
        <v>103884474</v>
      </c>
      <c r="H10652" t="s">
        <v>242</v>
      </c>
      <c r="I10652">
        <v>8</v>
      </c>
      <c r="J10652">
        <v>0</v>
      </c>
      <c r="K10652" s="1">
        <v>403026</v>
      </c>
    </row>
    <row r="10653" spans="1:11" x14ac:dyDescent="0.25">
      <c r="A10653" t="s">
        <v>9</v>
      </c>
      <c r="B10653" t="s">
        <v>241</v>
      </c>
      <c r="C10653" t="s">
        <v>876</v>
      </c>
      <c r="D10653" t="s">
        <v>11</v>
      </c>
      <c r="E10653">
        <v>28</v>
      </c>
      <c r="F10653" s="2">
        <f>DATE(2026,IF(Tabla1[[#This Row],[Mes de Fecha]]="Septiembre",9,10),Tabla1[[#This Row],[Día de Fecha]])</f>
        <v>46293</v>
      </c>
      <c r="G10653">
        <v>1007600493</v>
      </c>
      <c r="H10653" t="s">
        <v>245</v>
      </c>
      <c r="I10653">
        <v>70</v>
      </c>
      <c r="J10653">
        <v>0</v>
      </c>
      <c r="K10653" s="1">
        <v>4072648</v>
      </c>
    </row>
    <row r="10654" spans="1:11" x14ac:dyDescent="0.25">
      <c r="A10654" t="s">
        <v>9</v>
      </c>
      <c r="B10654" t="s">
        <v>241</v>
      </c>
      <c r="C10654" t="s">
        <v>876</v>
      </c>
      <c r="D10654" t="s">
        <v>11</v>
      </c>
      <c r="E10654">
        <v>28</v>
      </c>
      <c r="F10654" s="2">
        <f>DATE(2026,IF(Tabla1[[#This Row],[Mes de Fecha]]="Septiembre",9,10),Tabla1[[#This Row],[Día de Fecha]])</f>
        <v>46293</v>
      </c>
      <c r="G10654">
        <v>1080190058</v>
      </c>
      <c r="H10654" t="s">
        <v>243</v>
      </c>
      <c r="I10654">
        <v>49</v>
      </c>
      <c r="J10654">
        <v>0</v>
      </c>
      <c r="K10654" s="1">
        <v>2783531</v>
      </c>
    </row>
    <row r="10655" spans="1:11" x14ac:dyDescent="0.25">
      <c r="A10655" t="s">
        <v>9</v>
      </c>
      <c r="B10655" t="s">
        <v>241</v>
      </c>
      <c r="C10655" t="s">
        <v>876</v>
      </c>
      <c r="D10655" t="s">
        <v>11</v>
      </c>
      <c r="E10655">
        <v>28</v>
      </c>
      <c r="F10655" s="2">
        <f>DATE(2026,IF(Tabla1[[#This Row],[Mes de Fecha]]="Septiembre",9,10),Tabla1[[#This Row],[Día de Fecha]])</f>
        <v>46293</v>
      </c>
      <c r="G10655">
        <v>1083875947</v>
      </c>
      <c r="H10655" t="s">
        <v>246</v>
      </c>
      <c r="I10655">
        <v>-1</v>
      </c>
      <c r="J10655">
        <v>0</v>
      </c>
      <c r="K10655" s="1">
        <v>-100756</v>
      </c>
    </row>
    <row r="10656" spans="1:11" x14ac:dyDescent="0.25">
      <c r="A10656" t="s">
        <v>9</v>
      </c>
      <c r="B10656" t="s">
        <v>241</v>
      </c>
      <c r="C10656" t="s">
        <v>876</v>
      </c>
      <c r="D10656" t="s">
        <v>11</v>
      </c>
      <c r="E10656">
        <v>29</v>
      </c>
      <c r="F10656" s="2">
        <f>DATE(2026,IF(Tabla1[[#This Row],[Mes de Fecha]]="Septiembre",9,10),Tabla1[[#This Row],[Día de Fecha]])</f>
        <v>46294</v>
      </c>
      <c r="I10656">
        <v>0</v>
      </c>
      <c r="J10656" s="1">
        <v>8903666</v>
      </c>
      <c r="K10656">
        <v>0</v>
      </c>
    </row>
    <row r="10657" spans="1:11" x14ac:dyDescent="0.25">
      <c r="A10657" t="s">
        <v>9</v>
      </c>
      <c r="B10657" t="s">
        <v>241</v>
      </c>
      <c r="C10657" t="s">
        <v>876</v>
      </c>
      <c r="D10657" t="s">
        <v>11</v>
      </c>
      <c r="E10657">
        <v>29</v>
      </c>
      <c r="F10657" s="2">
        <f>DATE(2026,IF(Tabla1[[#This Row],[Mes de Fecha]]="Septiembre",9,10),Tabla1[[#This Row],[Día de Fecha]])</f>
        <v>46294</v>
      </c>
      <c r="G10657">
        <v>36296690</v>
      </c>
      <c r="H10657" t="s">
        <v>244</v>
      </c>
      <c r="I10657">
        <v>32</v>
      </c>
      <c r="J10657">
        <v>0</v>
      </c>
      <c r="K10657" s="1">
        <v>1588994</v>
      </c>
    </row>
    <row r="10658" spans="1:11" x14ac:dyDescent="0.25">
      <c r="A10658" t="s">
        <v>9</v>
      </c>
      <c r="B10658" t="s">
        <v>241</v>
      </c>
      <c r="C10658" t="s">
        <v>876</v>
      </c>
      <c r="D10658" t="s">
        <v>11</v>
      </c>
      <c r="E10658">
        <v>29</v>
      </c>
      <c r="F10658" s="2">
        <f>DATE(2026,IF(Tabla1[[#This Row],[Mes de Fecha]]="Septiembre",9,10),Tabla1[[#This Row],[Día de Fecha]])</f>
        <v>46294</v>
      </c>
      <c r="G10658">
        <v>103884474</v>
      </c>
      <c r="H10658" t="s">
        <v>242</v>
      </c>
      <c r="I10658">
        <v>31</v>
      </c>
      <c r="J10658">
        <v>0</v>
      </c>
      <c r="K10658" s="1">
        <v>1860043</v>
      </c>
    </row>
    <row r="10659" spans="1:11" x14ac:dyDescent="0.25">
      <c r="A10659" t="s">
        <v>9</v>
      </c>
      <c r="B10659" t="s">
        <v>241</v>
      </c>
      <c r="C10659" t="s">
        <v>876</v>
      </c>
      <c r="D10659" t="s">
        <v>11</v>
      </c>
      <c r="E10659">
        <v>29</v>
      </c>
      <c r="F10659" s="2">
        <f>DATE(2026,IF(Tabla1[[#This Row],[Mes de Fecha]]="Septiembre",9,10),Tabla1[[#This Row],[Día de Fecha]])</f>
        <v>46294</v>
      </c>
      <c r="G10659">
        <v>1080190058</v>
      </c>
      <c r="H10659" t="s">
        <v>243</v>
      </c>
      <c r="I10659">
        <v>58</v>
      </c>
      <c r="J10659">
        <v>0</v>
      </c>
      <c r="K10659" s="1">
        <v>3300085</v>
      </c>
    </row>
    <row r="10660" spans="1:11" x14ac:dyDescent="0.25">
      <c r="A10660" t="s">
        <v>9</v>
      </c>
      <c r="B10660" t="s">
        <v>241</v>
      </c>
      <c r="C10660" t="s">
        <v>876</v>
      </c>
      <c r="D10660" t="s">
        <v>11</v>
      </c>
      <c r="E10660">
        <v>30</v>
      </c>
      <c r="F10660" s="2">
        <f>DATE(2026,IF(Tabla1[[#This Row],[Mes de Fecha]]="Septiembre",9,10),Tabla1[[#This Row],[Día de Fecha]])</f>
        <v>46295</v>
      </c>
      <c r="I10660">
        <v>0</v>
      </c>
      <c r="J10660" s="1">
        <v>9429265</v>
      </c>
      <c r="K10660">
        <v>0</v>
      </c>
    </row>
    <row r="10661" spans="1:11" x14ac:dyDescent="0.25">
      <c r="A10661" t="s">
        <v>9</v>
      </c>
      <c r="B10661" t="s">
        <v>241</v>
      </c>
      <c r="C10661" t="s">
        <v>876</v>
      </c>
      <c r="D10661" t="s">
        <v>11</v>
      </c>
      <c r="E10661">
        <v>30</v>
      </c>
      <c r="F10661" s="2">
        <f>DATE(2026,IF(Tabla1[[#This Row],[Mes de Fecha]]="Septiembre",9,10),Tabla1[[#This Row],[Día de Fecha]])</f>
        <v>46295</v>
      </c>
      <c r="G10661">
        <v>36296690</v>
      </c>
      <c r="H10661" t="s">
        <v>244</v>
      </c>
      <c r="I10661">
        <v>14</v>
      </c>
      <c r="J10661">
        <v>0</v>
      </c>
      <c r="K10661" s="1">
        <v>686389</v>
      </c>
    </row>
    <row r="10662" spans="1:11" x14ac:dyDescent="0.25">
      <c r="A10662" t="s">
        <v>9</v>
      </c>
      <c r="B10662" t="s">
        <v>241</v>
      </c>
      <c r="C10662" t="s">
        <v>876</v>
      </c>
      <c r="D10662" t="s">
        <v>11</v>
      </c>
      <c r="E10662">
        <v>30</v>
      </c>
      <c r="F10662" s="2">
        <f>DATE(2026,IF(Tabla1[[#This Row],[Mes de Fecha]]="Septiembre",9,10),Tabla1[[#This Row],[Día de Fecha]])</f>
        <v>46295</v>
      </c>
      <c r="G10662">
        <v>103884474</v>
      </c>
      <c r="H10662" t="s">
        <v>242</v>
      </c>
      <c r="I10662">
        <v>38</v>
      </c>
      <c r="J10662">
        <v>0</v>
      </c>
      <c r="K10662" s="1">
        <v>2265129</v>
      </c>
    </row>
    <row r="10663" spans="1:11" x14ac:dyDescent="0.25">
      <c r="A10663" t="s">
        <v>9</v>
      </c>
      <c r="B10663" t="s">
        <v>241</v>
      </c>
      <c r="C10663" t="s">
        <v>876</v>
      </c>
      <c r="D10663" t="s">
        <v>11</v>
      </c>
      <c r="E10663">
        <v>30</v>
      </c>
      <c r="F10663" s="2">
        <f>DATE(2026,IF(Tabla1[[#This Row],[Mes de Fecha]]="Septiembre",9,10),Tabla1[[#This Row],[Día de Fecha]])</f>
        <v>46295</v>
      </c>
      <c r="G10663">
        <v>1007600493</v>
      </c>
      <c r="H10663" t="s">
        <v>245</v>
      </c>
      <c r="I10663">
        <v>64</v>
      </c>
      <c r="J10663">
        <v>0</v>
      </c>
      <c r="K10663" s="1">
        <v>3337565</v>
      </c>
    </row>
    <row r="10664" spans="1:11" x14ac:dyDescent="0.25">
      <c r="A10664" t="s">
        <v>9</v>
      </c>
      <c r="B10664" t="s">
        <v>241</v>
      </c>
      <c r="C10664" t="s">
        <v>876</v>
      </c>
      <c r="D10664" t="s">
        <v>11</v>
      </c>
      <c r="E10664">
        <v>30</v>
      </c>
      <c r="F10664" s="2">
        <f>DATE(2026,IF(Tabla1[[#This Row],[Mes de Fecha]]="Septiembre",9,10),Tabla1[[#This Row],[Día de Fecha]])</f>
        <v>46295</v>
      </c>
      <c r="G10664">
        <v>1080190058</v>
      </c>
      <c r="H10664" t="s">
        <v>243</v>
      </c>
      <c r="I10664">
        <v>40</v>
      </c>
      <c r="J10664">
        <v>0</v>
      </c>
      <c r="K10664" s="1">
        <v>2410085</v>
      </c>
    </row>
    <row r="10665" spans="1:11" x14ac:dyDescent="0.25">
      <c r="A10665" t="s">
        <v>9</v>
      </c>
      <c r="B10665" t="s">
        <v>241</v>
      </c>
      <c r="C10665" t="s">
        <v>876</v>
      </c>
      <c r="D10665" t="s">
        <v>14</v>
      </c>
      <c r="E10665">
        <v>1</v>
      </c>
      <c r="F10665" s="2">
        <f>DATE(2026,IF(Tabla1[[#This Row],[Mes de Fecha]]="Septiembre",9,10),Tabla1[[#This Row],[Día de Fecha]])</f>
        <v>46296</v>
      </c>
      <c r="I10665">
        <v>0</v>
      </c>
      <c r="J10665" s="1">
        <v>12584989</v>
      </c>
      <c r="K10665">
        <v>0</v>
      </c>
    </row>
    <row r="10666" spans="1:11" x14ac:dyDescent="0.25">
      <c r="A10666" t="s">
        <v>9</v>
      </c>
      <c r="B10666" t="s">
        <v>241</v>
      </c>
      <c r="C10666" t="s">
        <v>876</v>
      </c>
      <c r="D10666" t="s">
        <v>14</v>
      </c>
      <c r="E10666">
        <v>1</v>
      </c>
      <c r="F10666" s="2">
        <f>DATE(2026,IF(Tabla1[[#This Row],[Mes de Fecha]]="Septiembre",9,10),Tabla1[[#This Row],[Día de Fecha]])</f>
        <v>46296</v>
      </c>
      <c r="G10666">
        <v>36296690</v>
      </c>
      <c r="H10666" t="s">
        <v>244</v>
      </c>
      <c r="I10666">
        <v>23</v>
      </c>
      <c r="J10666">
        <v>0</v>
      </c>
      <c r="K10666" s="1">
        <v>1213322</v>
      </c>
    </row>
    <row r="10667" spans="1:11" x14ac:dyDescent="0.25">
      <c r="A10667" t="s">
        <v>9</v>
      </c>
      <c r="B10667" t="s">
        <v>241</v>
      </c>
      <c r="C10667" t="s">
        <v>876</v>
      </c>
      <c r="D10667" t="s">
        <v>14</v>
      </c>
      <c r="E10667">
        <v>1</v>
      </c>
      <c r="F10667" s="2">
        <f>DATE(2026,IF(Tabla1[[#This Row],[Mes de Fecha]]="Septiembre",9,10),Tabla1[[#This Row],[Día de Fecha]])</f>
        <v>46296</v>
      </c>
      <c r="G10667">
        <v>103884474</v>
      </c>
      <c r="H10667" t="s">
        <v>242</v>
      </c>
      <c r="I10667">
        <v>40</v>
      </c>
      <c r="J10667">
        <v>0</v>
      </c>
      <c r="K10667" s="1">
        <v>2246220</v>
      </c>
    </row>
    <row r="10668" spans="1:11" x14ac:dyDescent="0.25">
      <c r="A10668" t="s">
        <v>9</v>
      </c>
      <c r="B10668" t="s">
        <v>241</v>
      </c>
      <c r="C10668" t="s">
        <v>876</v>
      </c>
      <c r="D10668" t="s">
        <v>14</v>
      </c>
      <c r="E10668">
        <v>1</v>
      </c>
      <c r="F10668" s="2">
        <f>DATE(2026,IF(Tabla1[[#This Row],[Mes de Fecha]]="Septiembre",9,10),Tabla1[[#This Row],[Día de Fecha]])</f>
        <v>46296</v>
      </c>
      <c r="G10668">
        <v>1007600493</v>
      </c>
      <c r="H10668" t="s">
        <v>245</v>
      </c>
      <c r="I10668">
        <v>13</v>
      </c>
      <c r="J10668">
        <v>0</v>
      </c>
      <c r="K10668" s="1">
        <v>638110</v>
      </c>
    </row>
    <row r="10669" spans="1:11" x14ac:dyDescent="0.25">
      <c r="A10669" t="s">
        <v>9</v>
      </c>
      <c r="B10669" t="s">
        <v>241</v>
      </c>
      <c r="C10669" t="s">
        <v>876</v>
      </c>
      <c r="D10669" t="s">
        <v>14</v>
      </c>
      <c r="E10669">
        <v>1</v>
      </c>
      <c r="F10669" s="2">
        <f>DATE(2026,IF(Tabla1[[#This Row],[Mes de Fecha]]="Septiembre",9,10),Tabla1[[#This Row],[Día de Fecha]])</f>
        <v>46296</v>
      </c>
      <c r="G10669">
        <v>1080190058</v>
      </c>
      <c r="H10669" t="s">
        <v>243</v>
      </c>
      <c r="I10669">
        <v>51</v>
      </c>
      <c r="J10669">
        <v>0</v>
      </c>
      <c r="K10669" s="1">
        <v>3323446</v>
      </c>
    </row>
    <row r="10670" spans="1:11" x14ac:dyDescent="0.25">
      <c r="A10670" t="s">
        <v>9</v>
      </c>
      <c r="B10670" t="s">
        <v>241</v>
      </c>
      <c r="C10670" t="s">
        <v>876</v>
      </c>
      <c r="D10670" t="s">
        <v>14</v>
      </c>
      <c r="E10670">
        <v>2</v>
      </c>
      <c r="F10670" s="2">
        <f>DATE(2026,IF(Tabla1[[#This Row],[Mes de Fecha]]="Septiembre",9,10),Tabla1[[#This Row],[Día de Fecha]])</f>
        <v>46297</v>
      </c>
      <c r="I10670">
        <v>0</v>
      </c>
      <c r="J10670" s="1">
        <v>12684843</v>
      </c>
      <c r="K10670">
        <v>0</v>
      </c>
    </row>
    <row r="10671" spans="1:11" x14ac:dyDescent="0.25">
      <c r="A10671" t="s">
        <v>9</v>
      </c>
      <c r="B10671" t="s">
        <v>241</v>
      </c>
      <c r="C10671" t="s">
        <v>876</v>
      </c>
      <c r="D10671" t="s">
        <v>14</v>
      </c>
      <c r="E10671">
        <v>2</v>
      </c>
      <c r="F10671" s="2">
        <f>DATE(2026,IF(Tabla1[[#This Row],[Mes de Fecha]]="Septiembre",9,10),Tabla1[[#This Row],[Día de Fecha]])</f>
        <v>46297</v>
      </c>
      <c r="G10671">
        <v>36296690</v>
      </c>
      <c r="H10671" t="s">
        <v>244</v>
      </c>
      <c r="I10671">
        <v>38</v>
      </c>
      <c r="J10671">
        <v>0</v>
      </c>
      <c r="K10671" s="1">
        <v>2158067</v>
      </c>
    </row>
    <row r="10672" spans="1:11" x14ac:dyDescent="0.25">
      <c r="A10672" t="s">
        <v>9</v>
      </c>
      <c r="B10672" t="s">
        <v>241</v>
      </c>
      <c r="C10672" t="s">
        <v>876</v>
      </c>
      <c r="D10672" t="s">
        <v>14</v>
      </c>
      <c r="E10672">
        <v>2</v>
      </c>
      <c r="F10672" s="2">
        <f>DATE(2026,IF(Tabla1[[#This Row],[Mes de Fecha]]="Septiembre",9,10),Tabla1[[#This Row],[Día de Fecha]])</f>
        <v>46297</v>
      </c>
      <c r="G10672">
        <v>103884474</v>
      </c>
      <c r="H10672" t="s">
        <v>242</v>
      </c>
      <c r="I10672">
        <v>33</v>
      </c>
      <c r="J10672">
        <v>0</v>
      </c>
      <c r="K10672" s="1">
        <v>1763362</v>
      </c>
    </row>
    <row r="10673" spans="1:11" x14ac:dyDescent="0.25">
      <c r="A10673" t="s">
        <v>9</v>
      </c>
      <c r="B10673" t="s">
        <v>241</v>
      </c>
      <c r="C10673" t="s">
        <v>876</v>
      </c>
      <c r="D10673" t="s">
        <v>14</v>
      </c>
      <c r="E10673">
        <v>2</v>
      </c>
      <c r="F10673" s="2">
        <f>DATE(2026,IF(Tabla1[[#This Row],[Mes de Fecha]]="Septiembre",9,10),Tabla1[[#This Row],[Día de Fecha]])</f>
        <v>46297</v>
      </c>
      <c r="G10673">
        <v>1007600493</v>
      </c>
      <c r="H10673" t="s">
        <v>245</v>
      </c>
      <c r="I10673">
        <v>32</v>
      </c>
      <c r="J10673">
        <v>0</v>
      </c>
      <c r="K10673" s="1">
        <v>2114206</v>
      </c>
    </row>
    <row r="10674" spans="1:11" x14ac:dyDescent="0.25">
      <c r="A10674" t="s">
        <v>9</v>
      </c>
      <c r="B10674" t="s">
        <v>241</v>
      </c>
      <c r="C10674" t="s">
        <v>876</v>
      </c>
      <c r="D10674" t="s">
        <v>14</v>
      </c>
      <c r="E10674">
        <v>2</v>
      </c>
      <c r="F10674" s="2">
        <f>DATE(2026,IF(Tabla1[[#This Row],[Mes de Fecha]]="Septiembre",9,10),Tabla1[[#This Row],[Día de Fecha]])</f>
        <v>46297</v>
      </c>
      <c r="G10674">
        <v>1080190058</v>
      </c>
      <c r="H10674" t="s">
        <v>243</v>
      </c>
      <c r="I10674">
        <v>63</v>
      </c>
      <c r="J10674">
        <v>0</v>
      </c>
      <c r="K10674" s="1">
        <v>3751515</v>
      </c>
    </row>
    <row r="10675" spans="1:11" x14ac:dyDescent="0.25">
      <c r="A10675" t="s">
        <v>9</v>
      </c>
      <c r="B10675" t="s">
        <v>241</v>
      </c>
      <c r="C10675" t="s">
        <v>876</v>
      </c>
      <c r="D10675" t="s">
        <v>14</v>
      </c>
      <c r="E10675">
        <v>3</v>
      </c>
      <c r="F10675" s="2">
        <f>DATE(2026,IF(Tabla1[[#This Row],[Mes de Fecha]]="Septiembre",9,10),Tabla1[[#This Row],[Día de Fecha]])</f>
        <v>46298</v>
      </c>
      <c r="I10675">
        <v>0</v>
      </c>
      <c r="J10675" s="1">
        <v>28051395</v>
      </c>
      <c r="K10675">
        <v>0</v>
      </c>
    </row>
    <row r="10676" spans="1:11" x14ac:dyDescent="0.25">
      <c r="A10676" t="s">
        <v>9</v>
      </c>
      <c r="B10676" t="s">
        <v>241</v>
      </c>
      <c r="C10676" t="s">
        <v>876</v>
      </c>
      <c r="D10676" t="s">
        <v>14</v>
      </c>
      <c r="E10676">
        <v>3</v>
      </c>
      <c r="F10676" s="2">
        <f>DATE(2026,IF(Tabla1[[#This Row],[Mes de Fecha]]="Septiembre",9,10),Tabla1[[#This Row],[Día de Fecha]])</f>
        <v>46298</v>
      </c>
      <c r="G10676">
        <v>36296690</v>
      </c>
      <c r="H10676" t="s">
        <v>244</v>
      </c>
      <c r="I10676">
        <v>100</v>
      </c>
      <c r="J10676">
        <v>0</v>
      </c>
      <c r="K10676" s="1">
        <v>4950744</v>
      </c>
    </row>
    <row r="10677" spans="1:11" x14ac:dyDescent="0.25">
      <c r="A10677" t="s">
        <v>9</v>
      </c>
      <c r="B10677" t="s">
        <v>241</v>
      </c>
      <c r="C10677" t="s">
        <v>876</v>
      </c>
      <c r="D10677" t="s">
        <v>14</v>
      </c>
      <c r="E10677">
        <v>3</v>
      </c>
      <c r="F10677" s="2">
        <f>DATE(2026,IF(Tabla1[[#This Row],[Mes de Fecha]]="Septiembre",9,10),Tabla1[[#This Row],[Día de Fecha]])</f>
        <v>46298</v>
      </c>
      <c r="G10677">
        <v>103884474</v>
      </c>
      <c r="H10677" t="s">
        <v>242</v>
      </c>
      <c r="I10677">
        <v>71</v>
      </c>
      <c r="J10677">
        <v>0</v>
      </c>
      <c r="K10677" s="1">
        <v>3723384</v>
      </c>
    </row>
    <row r="10678" spans="1:11" x14ac:dyDescent="0.25">
      <c r="A10678" t="s">
        <v>9</v>
      </c>
      <c r="B10678" t="s">
        <v>241</v>
      </c>
      <c r="C10678" t="s">
        <v>876</v>
      </c>
      <c r="D10678" t="s">
        <v>14</v>
      </c>
      <c r="E10678">
        <v>3</v>
      </c>
      <c r="F10678" s="2">
        <f>DATE(2026,IF(Tabla1[[#This Row],[Mes de Fecha]]="Septiembre",9,10),Tabla1[[#This Row],[Día de Fecha]])</f>
        <v>46298</v>
      </c>
      <c r="G10678">
        <v>1007600493</v>
      </c>
      <c r="H10678" t="s">
        <v>245</v>
      </c>
      <c r="I10678">
        <v>64</v>
      </c>
      <c r="J10678">
        <v>0</v>
      </c>
      <c r="K10678" s="1">
        <v>3400810</v>
      </c>
    </row>
    <row r="10679" spans="1:11" x14ac:dyDescent="0.25">
      <c r="A10679" t="s">
        <v>9</v>
      </c>
      <c r="B10679" t="s">
        <v>241</v>
      </c>
      <c r="C10679" t="s">
        <v>876</v>
      </c>
      <c r="D10679" t="s">
        <v>14</v>
      </c>
      <c r="E10679">
        <v>3</v>
      </c>
      <c r="F10679" s="2">
        <f>DATE(2026,IF(Tabla1[[#This Row],[Mes de Fecha]]="Septiembre",9,10),Tabla1[[#This Row],[Día de Fecha]])</f>
        <v>46298</v>
      </c>
      <c r="G10679">
        <v>1080190058</v>
      </c>
      <c r="H10679" t="s">
        <v>243</v>
      </c>
      <c r="I10679">
        <v>58</v>
      </c>
      <c r="J10679">
        <v>0</v>
      </c>
      <c r="K10679" s="1">
        <v>3176770</v>
      </c>
    </row>
    <row r="10680" spans="1:11" x14ac:dyDescent="0.25">
      <c r="A10680" t="s">
        <v>9</v>
      </c>
      <c r="B10680" t="s">
        <v>241</v>
      </c>
      <c r="C10680" t="s">
        <v>876</v>
      </c>
      <c r="D10680" t="s">
        <v>14</v>
      </c>
      <c r="E10680">
        <v>4</v>
      </c>
      <c r="F10680" s="2">
        <f>DATE(2026,IF(Tabla1[[#This Row],[Mes de Fecha]]="Septiembre",9,10),Tabla1[[#This Row],[Día de Fecha]])</f>
        <v>46299</v>
      </c>
      <c r="I10680">
        <v>0</v>
      </c>
      <c r="J10680" s="1">
        <v>9475430</v>
      </c>
      <c r="K10680">
        <v>0</v>
      </c>
    </row>
    <row r="10681" spans="1:11" x14ac:dyDescent="0.25">
      <c r="A10681" t="s">
        <v>9</v>
      </c>
      <c r="B10681" t="s">
        <v>241</v>
      </c>
      <c r="C10681" t="s">
        <v>876</v>
      </c>
      <c r="D10681" t="s">
        <v>14</v>
      </c>
      <c r="E10681">
        <v>4</v>
      </c>
      <c r="F10681" s="2">
        <f>DATE(2026,IF(Tabla1[[#This Row],[Mes de Fecha]]="Septiembre",9,10),Tabla1[[#This Row],[Día de Fecha]])</f>
        <v>46299</v>
      </c>
      <c r="G10681">
        <v>36296690</v>
      </c>
      <c r="H10681" t="s">
        <v>244</v>
      </c>
      <c r="I10681">
        <v>62</v>
      </c>
      <c r="J10681">
        <v>0</v>
      </c>
      <c r="K10681" s="1">
        <v>3449077</v>
      </c>
    </row>
    <row r="10682" spans="1:11" x14ac:dyDescent="0.25">
      <c r="A10682" t="s">
        <v>9</v>
      </c>
      <c r="B10682" t="s">
        <v>241</v>
      </c>
      <c r="C10682" t="s">
        <v>876</v>
      </c>
      <c r="D10682" t="s">
        <v>14</v>
      </c>
      <c r="E10682">
        <v>4</v>
      </c>
      <c r="F10682" s="2">
        <f>DATE(2026,IF(Tabla1[[#This Row],[Mes de Fecha]]="Septiembre",9,10),Tabla1[[#This Row],[Día de Fecha]])</f>
        <v>46299</v>
      </c>
      <c r="G10682">
        <v>103884474</v>
      </c>
      <c r="H10682" t="s">
        <v>242</v>
      </c>
      <c r="I10682">
        <v>1</v>
      </c>
      <c r="J10682">
        <v>0</v>
      </c>
      <c r="K10682" s="1">
        <v>44488</v>
      </c>
    </row>
    <row r="10683" spans="1:11" x14ac:dyDescent="0.25">
      <c r="A10683" t="s">
        <v>9</v>
      </c>
      <c r="B10683" t="s">
        <v>241</v>
      </c>
      <c r="C10683" t="s">
        <v>876</v>
      </c>
      <c r="D10683" t="s">
        <v>14</v>
      </c>
      <c r="E10683">
        <v>4</v>
      </c>
      <c r="F10683" s="2">
        <f>DATE(2026,IF(Tabla1[[#This Row],[Mes de Fecha]]="Septiembre",9,10),Tabla1[[#This Row],[Día de Fecha]])</f>
        <v>46299</v>
      </c>
      <c r="G10683">
        <v>1080190058</v>
      </c>
      <c r="H10683" t="s">
        <v>243</v>
      </c>
      <c r="I10683">
        <v>57</v>
      </c>
      <c r="J10683">
        <v>0</v>
      </c>
      <c r="K10683" s="1">
        <v>3400445</v>
      </c>
    </row>
    <row r="10684" spans="1:11" x14ac:dyDescent="0.25">
      <c r="A10684" t="s">
        <v>9</v>
      </c>
      <c r="B10684" t="s">
        <v>241</v>
      </c>
      <c r="C10684" t="s">
        <v>876</v>
      </c>
      <c r="D10684" t="s">
        <v>14</v>
      </c>
      <c r="E10684">
        <v>5</v>
      </c>
      <c r="F10684" s="2">
        <f>DATE(2026,IF(Tabla1[[#This Row],[Mes de Fecha]]="Septiembre",9,10),Tabla1[[#This Row],[Día de Fecha]])</f>
        <v>46300</v>
      </c>
      <c r="I10684">
        <v>0</v>
      </c>
      <c r="J10684" s="1">
        <v>13644430</v>
      </c>
      <c r="K10684">
        <v>0</v>
      </c>
    </row>
    <row r="10685" spans="1:11" x14ac:dyDescent="0.25">
      <c r="A10685" t="s">
        <v>9</v>
      </c>
      <c r="B10685" t="s">
        <v>241</v>
      </c>
      <c r="C10685" t="s">
        <v>876</v>
      </c>
      <c r="D10685" t="s">
        <v>14</v>
      </c>
      <c r="E10685">
        <v>5</v>
      </c>
      <c r="F10685" s="2">
        <f>DATE(2026,IF(Tabla1[[#This Row],[Mes de Fecha]]="Septiembre",9,10),Tabla1[[#This Row],[Día de Fecha]])</f>
        <v>46300</v>
      </c>
      <c r="G10685">
        <v>36296690</v>
      </c>
      <c r="H10685" t="s">
        <v>244</v>
      </c>
      <c r="I10685">
        <v>34</v>
      </c>
      <c r="J10685">
        <v>0</v>
      </c>
      <c r="K10685" s="1">
        <v>2309458</v>
      </c>
    </row>
    <row r="10686" spans="1:11" x14ac:dyDescent="0.25">
      <c r="A10686" t="s">
        <v>9</v>
      </c>
      <c r="B10686" t="s">
        <v>241</v>
      </c>
      <c r="C10686" t="s">
        <v>876</v>
      </c>
      <c r="D10686" t="s">
        <v>14</v>
      </c>
      <c r="E10686">
        <v>5</v>
      </c>
      <c r="F10686" s="2">
        <f>DATE(2026,IF(Tabla1[[#This Row],[Mes de Fecha]]="Septiembre",9,10),Tabla1[[#This Row],[Día de Fecha]])</f>
        <v>46300</v>
      </c>
      <c r="G10686">
        <v>103884474</v>
      </c>
      <c r="H10686" t="s">
        <v>242</v>
      </c>
      <c r="I10686">
        <v>50</v>
      </c>
      <c r="J10686">
        <v>0</v>
      </c>
      <c r="K10686" s="1">
        <v>2761719</v>
      </c>
    </row>
    <row r="10687" spans="1:11" x14ac:dyDescent="0.25">
      <c r="A10687" t="s">
        <v>9</v>
      </c>
      <c r="B10687" t="s">
        <v>241</v>
      </c>
      <c r="C10687" t="s">
        <v>876</v>
      </c>
      <c r="D10687" t="s">
        <v>14</v>
      </c>
      <c r="E10687">
        <v>5</v>
      </c>
      <c r="F10687" s="2">
        <f>DATE(2026,IF(Tabla1[[#This Row],[Mes de Fecha]]="Septiembre",9,10),Tabla1[[#This Row],[Día de Fecha]])</f>
        <v>46300</v>
      </c>
      <c r="G10687">
        <v>1007600493</v>
      </c>
      <c r="H10687" t="s">
        <v>245</v>
      </c>
      <c r="I10687">
        <v>12</v>
      </c>
      <c r="J10687">
        <v>0</v>
      </c>
      <c r="K10687" s="1">
        <v>510001</v>
      </c>
    </row>
    <row r="10688" spans="1:11" x14ac:dyDescent="0.25">
      <c r="A10688" t="s">
        <v>9</v>
      </c>
      <c r="B10688" t="s">
        <v>241</v>
      </c>
      <c r="C10688" t="s">
        <v>876</v>
      </c>
      <c r="D10688" t="s">
        <v>14</v>
      </c>
      <c r="E10688">
        <v>5</v>
      </c>
      <c r="F10688" s="2">
        <f>DATE(2026,IF(Tabla1[[#This Row],[Mes de Fecha]]="Septiembre",9,10),Tabla1[[#This Row],[Día de Fecha]])</f>
        <v>46300</v>
      </c>
      <c r="G10688">
        <v>1080190058</v>
      </c>
      <c r="H10688" t="s">
        <v>243</v>
      </c>
      <c r="I10688">
        <v>81</v>
      </c>
      <c r="J10688">
        <v>0</v>
      </c>
      <c r="K10688" s="1">
        <v>4586855</v>
      </c>
    </row>
    <row r="10689" spans="1:11" x14ac:dyDescent="0.25">
      <c r="A10689" t="s">
        <v>9</v>
      </c>
      <c r="B10689" t="s">
        <v>241</v>
      </c>
      <c r="C10689" t="s">
        <v>876</v>
      </c>
      <c r="D10689" t="s">
        <v>14</v>
      </c>
      <c r="E10689">
        <v>6</v>
      </c>
      <c r="F10689" s="2">
        <f>DATE(2026,IF(Tabla1[[#This Row],[Mes de Fecha]]="Septiembre",9,10),Tabla1[[#This Row],[Día de Fecha]])</f>
        <v>46301</v>
      </c>
      <c r="I10689">
        <v>0</v>
      </c>
      <c r="J10689" s="1">
        <v>5522787</v>
      </c>
      <c r="K10689">
        <v>0</v>
      </c>
    </row>
    <row r="10690" spans="1:11" x14ac:dyDescent="0.25">
      <c r="A10690" t="s">
        <v>9</v>
      </c>
      <c r="B10690" t="s">
        <v>241</v>
      </c>
      <c r="C10690" t="s">
        <v>876</v>
      </c>
      <c r="D10690" t="s">
        <v>14</v>
      </c>
      <c r="E10690">
        <v>6</v>
      </c>
      <c r="F10690" s="2">
        <f>DATE(2026,IF(Tabla1[[#This Row],[Mes de Fecha]]="Septiembre",9,10),Tabla1[[#This Row],[Día de Fecha]])</f>
        <v>46301</v>
      </c>
      <c r="G10690">
        <v>36296690</v>
      </c>
      <c r="H10690" t="s">
        <v>244</v>
      </c>
      <c r="I10690">
        <v>26</v>
      </c>
      <c r="J10690">
        <v>0</v>
      </c>
      <c r="K10690" s="1">
        <v>1494707</v>
      </c>
    </row>
    <row r="10691" spans="1:11" x14ac:dyDescent="0.25">
      <c r="A10691" t="s">
        <v>9</v>
      </c>
      <c r="B10691" t="s">
        <v>241</v>
      </c>
      <c r="C10691" t="s">
        <v>876</v>
      </c>
      <c r="D10691" t="s">
        <v>14</v>
      </c>
      <c r="E10691">
        <v>6</v>
      </c>
      <c r="F10691" s="2">
        <f>DATE(2026,IF(Tabla1[[#This Row],[Mes de Fecha]]="Septiembre",9,10),Tabla1[[#This Row],[Día de Fecha]])</f>
        <v>46301</v>
      </c>
      <c r="G10691">
        <v>103884474</v>
      </c>
      <c r="H10691" t="s">
        <v>242</v>
      </c>
      <c r="I10691">
        <v>13</v>
      </c>
      <c r="J10691">
        <v>0</v>
      </c>
      <c r="K10691" s="1">
        <v>797773</v>
      </c>
    </row>
    <row r="10692" spans="1:11" x14ac:dyDescent="0.25">
      <c r="A10692" t="s">
        <v>9</v>
      </c>
      <c r="B10692" t="s">
        <v>241</v>
      </c>
      <c r="C10692" t="s">
        <v>876</v>
      </c>
      <c r="D10692" t="s">
        <v>14</v>
      </c>
      <c r="E10692">
        <v>6</v>
      </c>
      <c r="F10692" s="2">
        <f>DATE(2026,IF(Tabla1[[#This Row],[Mes de Fecha]]="Septiembre",9,10),Tabla1[[#This Row],[Día de Fecha]])</f>
        <v>46301</v>
      </c>
      <c r="G10692">
        <v>1007600493</v>
      </c>
      <c r="H10692" t="s">
        <v>245</v>
      </c>
      <c r="I10692">
        <v>-1</v>
      </c>
      <c r="J10692">
        <v>0</v>
      </c>
      <c r="K10692" s="1">
        <v>-40302</v>
      </c>
    </row>
    <row r="10693" spans="1:11" x14ac:dyDescent="0.25">
      <c r="A10693" t="s">
        <v>9</v>
      </c>
      <c r="B10693" t="s">
        <v>241</v>
      </c>
      <c r="C10693" t="s">
        <v>876</v>
      </c>
      <c r="D10693" t="s">
        <v>14</v>
      </c>
      <c r="E10693">
        <v>6</v>
      </c>
      <c r="F10693" s="2">
        <f>DATE(2026,IF(Tabla1[[#This Row],[Mes de Fecha]]="Septiembre",9,10),Tabla1[[#This Row],[Día de Fecha]])</f>
        <v>46301</v>
      </c>
      <c r="G10693">
        <v>1080190058</v>
      </c>
      <c r="H10693" t="s">
        <v>243</v>
      </c>
      <c r="I10693">
        <v>40</v>
      </c>
      <c r="J10693">
        <v>0</v>
      </c>
      <c r="K10693" s="1">
        <v>2371421</v>
      </c>
    </row>
    <row r="10694" spans="1:11" x14ac:dyDescent="0.25">
      <c r="A10694" t="s">
        <v>9</v>
      </c>
      <c r="B10694" t="s">
        <v>241</v>
      </c>
      <c r="C10694" t="s">
        <v>876</v>
      </c>
      <c r="D10694" t="s">
        <v>14</v>
      </c>
      <c r="E10694">
        <v>7</v>
      </c>
      <c r="F10694" s="2">
        <f>DATE(2026,IF(Tabla1[[#This Row],[Mes de Fecha]]="Septiembre",9,10),Tabla1[[#This Row],[Día de Fecha]])</f>
        <v>46302</v>
      </c>
      <c r="I10694">
        <v>0</v>
      </c>
      <c r="J10694" s="1">
        <v>2254806</v>
      </c>
      <c r="K10694">
        <v>0</v>
      </c>
    </row>
    <row r="10695" spans="1:11" x14ac:dyDescent="0.25">
      <c r="A10695" t="s">
        <v>9</v>
      </c>
      <c r="B10695" t="s">
        <v>241</v>
      </c>
      <c r="C10695" t="s">
        <v>876</v>
      </c>
      <c r="D10695" t="s">
        <v>14</v>
      </c>
      <c r="E10695">
        <v>7</v>
      </c>
      <c r="F10695" s="2">
        <f>DATE(2026,IF(Tabla1[[#This Row],[Mes de Fecha]]="Septiembre",9,10),Tabla1[[#This Row],[Día de Fecha]])</f>
        <v>46302</v>
      </c>
      <c r="G10695">
        <v>36296690</v>
      </c>
      <c r="H10695" t="s">
        <v>244</v>
      </c>
      <c r="I10695">
        <v>13</v>
      </c>
      <c r="J10695">
        <v>0</v>
      </c>
      <c r="K10695" s="1">
        <v>715841</v>
      </c>
    </row>
    <row r="10696" spans="1:11" x14ac:dyDescent="0.25">
      <c r="A10696" t="s">
        <v>9</v>
      </c>
      <c r="B10696" t="s">
        <v>241</v>
      </c>
      <c r="C10696" t="s">
        <v>876</v>
      </c>
      <c r="D10696" t="s">
        <v>14</v>
      </c>
      <c r="E10696">
        <v>7</v>
      </c>
      <c r="F10696" s="2">
        <f>DATE(2026,IF(Tabla1[[#This Row],[Mes de Fecha]]="Septiembre",9,10),Tabla1[[#This Row],[Día de Fecha]])</f>
        <v>46302</v>
      </c>
      <c r="G10696">
        <v>1007600493</v>
      </c>
      <c r="H10696" t="s">
        <v>245</v>
      </c>
      <c r="I10696">
        <v>40</v>
      </c>
      <c r="J10696">
        <v>0</v>
      </c>
      <c r="K10696" s="1">
        <v>2344874</v>
      </c>
    </row>
    <row r="10697" spans="1:11" x14ac:dyDescent="0.25">
      <c r="A10697" t="s">
        <v>9</v>
      </c>
      <c r="B10697" t="s">
        <v>241</v>
      </c>
      <c r="C10697" t="s">
        <v>876</v>
      </c>
      <c r="D10697" t="s">
        <v>14</v>
      </c>
      <c r="E10697">
        <v>7</v>
      </c>
      <c r="F10697" s="2">
        <f>DATE(2026,IF(Tabla1[[#This Row],[Mes de Fecha]]="Septiembre",9,10),Tabla1[[#This Row],[Día de Fecha]])</f>
        <v>46302</v>
      </c>
      <c r="G10697">
        <v>1080190058</v>
      </c>
      <c r="H10697" t="s">
        <v>243</v>
      </c>
      <c r="I10697">
        <v>61</v>
      </c>
      <c r="J10697">
        <v>0</v>
      </c>
      <c r="K10697" s="1">
        <v>3673870</v>
      </c>
    </row>
    <row r="10698" spans="1:11" x14ac:dyDescent="0.25">
      <c r="A10698" t="s">
        <v>9</v>
      </c>
      <c r="B10698" t="s">
        <v>266</v>
      </c>
      <c r="C10698" t="s">
        <v>876</v>
      </c>
      <c r="D10698" t="s">
        <v>11</v>
      </c>
      <c r="E10698">
        <v>23</v>
      </c>
      <c r="F10698" s="2">
        <f>DATE(2026,IF(Tabla1[[#This Row],[Mes de Fecha]]="Septiembre",9,10),Tabla1[[#This Row],[Día de Fecha]])</f>
        <v>46288</v>
      </c>
      <c r="I10698">
        <v>0</v>
      </c>
      <c r="J10698" s="1">
        <v>2398471</v>
      </c>
      <c r="K10698">
        <v>0</v>
      </c>
    </row>
    <row r="10699" spans="1:11" x14ac:dyDescent="0.25">
      <c r="A10699" t="s">
        <v>9</v>
      </c>
      <c r="B10699" t="s">
        <v>266</v>
      </c>
      <c r="C10699" t="s">
        <v>876</v>
      </c>
      <c r="D10699" t="s">
        <v>11</v>
      </c>
      <c r="E10699">
        <v>23</v>
      </c>
      <c r="F10699" s="2">
        <f>DATE(2026,IF(Tabla1[[#This Row],[Mes de Fecha]]="Septiembre",9,10),Tabla1[[#This Row],[Día de Fecha]])</f>
        <v>46288</v>
      </c>
      <c r="G10699">
        <v>1016592940</v>
      </c>
      <c r="H10699" t="s">
        <v>267</v>
      </c>
      <c r="I10699">
        <v>25</v>
      </c>
      <c r="J10699">
        <v>0</v>
      </c>
      <c r="K10699" s="1">
        <v>1120800</v>
      </c>
    </row>
    <row r="10700" spans="1:11" x14ac:dyDescent="0.25">
      <c r="A10700" t="s">
        <v>9</v>
      </c>
      <c r="B10700" t="s">
        <v>266</v>
      </c>
      <c r="C10700" t="s">
        <v>876</v>
      </c>
      <c r="D10700" t="s">
        <v>11</v>
      </c>
      <c r="E10700">
        <v>23</v>
      </c>
      <c r="F10700" s="2">
        <f>DATE(2026,IF(Tabla1[[#This Row],[Mes de Fecha]]="Septiembre",9,10),Tabla1[[#This Row],[Día de Fecha]])</f>
        <v>46288</v>
      </c>
      <c r="G10700">
        <v>1105687595</v>
      </c>
      <c r="H10700" t="s">
        <v>268</v>
      </c>
      <c r="I10700">
        <v>29</v>
      </c>
      <c r="J10700">
        <v>0</v>
      </c>
      <c r="K10700" s="1">
        <v>1536600</v>
      </c>
    </row>
    <row r="10701" spans="1:11" x14ac:dyDescent="0.25">
      <c r="A10701" t="s">
        <v>9</v>
      </c>
      <c r="B10701" t="s">
        <v>266</v>
      </c>
      <c r="C10701" t="s">
        <v>876</v>
      </c>
      <c r="D10701" t="s">
        <v>11</v>
      </c>
      <c r="E10701">
        <v>24</v>
      </c>
      <c r="F10701" s="2">
        <f>DATE(2026,IF(Tabla1[[#This Row],[Mes de Fecha]]="Septiembre",9,10),Tabla1[[#This Row],[Día de Fecha]])</f>
        <v>46289</v>
      </c>
      <c r="I10701">
        <v>0</v>
      </c>
      <c r="J10701" s="1">
        <v>6202904</v>
      </c>
      <c r="K10701">
        <v>0</v>
      </c>
    </row>
    <row r="10702" spans="1:11" x14ac:dyDescent="0.25">
      <c r="A10702" t="s">
        <v>9</v>
      </c>
      <c r="B10702" t="s">
        <v>266</v>
      </c>
      <c r="C10702" t="s">
        <v>876</v>
      </c>
      <c r="D10702" t="s">
        <v>11</v>
      </c>
      <c r="E10702">
        <v>24</v>
      </c>
      <c r="F10702" s="2">
        <f>DATE(2026,IF(Tabla1[[#This Row],[Mes de Fecha]]="Septiembre",9,10),Tabla1[[#This Row],[Día de Fecha]])</f>
        <v>46289</v>
      </c>
      <c r="G10702">
        <v>1016592940</v>
      </c>
      <c r="H10702" t="s">
        <v>267</v>
      </c>
      <c r="I10702">
        <v>32</v>
      </c>
      <c r="J10702">
        <v>0</v>
      </c>
      <c r="K10702" s="1">
        <v>1467146</v>
      </c>
    </row>
    <row r="10703" spans="1:11" x14ac:dyDescent="0.25">
      <c r="A10703" t="s">
        <v>9</v>
      </c>
      <c r="B10703" t="s">
        <v>266</v>
      </c>
      <c r="C10703" t="s">
        <v>876</v>
      </c>
      <c r="D10703" t="s">
        <v>11</v>
      </c>
      <c r="E10703">
        <v>24</v>
      </c>
      <c r="F10703" s="2">
        <f>DATE(2026,IF(Tabla1[[#This Row],[Mes de Fecha]]="Septiembre",9,10),Tabla1[[#This Row],[Día de Fecha]])</f>
        <v>46289</v>
      </c>
      <c r="G10703">
        <v>1105687595</v>
      </c>
      <c r="H10703" t="s">
        <v>268</v>
      </c>
      <c r="I10703">
        <v>28</v>
      </c>
      <c r="J10703">
        <v>0</v>
      </c>
      <c r="K10703" s="1">
        <v>1456849</v>
      </c>
    </row>
    <row r="10704" spans="1:11" x14ac:dyDescent="0.25">
      <c r="A10704" t="s">
        <v>9</v>
      </c>
      <c r="B10704" t="s">
        <v>266</v>
      </c>
      <c r="C10704" t="s">
        <v>876</v>
      </c>
      <c r="D10704" t="s">
        <v>11</v>
      </c>
      <c r="E10704">
        <v>25</v>
      </c>
      <c r="F10704" s="2">
        <f>DATE(2026,IF(Tabla1[[#This Row],[Mes de Fecha]]="Septiembre",9,10),Tabla1[[#This Row],[Día de Fecha]])</f>
        <v>46290</v>
      </c>
      <c r="I10704">
        <v>0</v>
      </c>
      <c r="J10704" s="1">
        <v>6625041</v>
      </c>
      <c r="K10704">
        <v>0</v>
      </c>
    </row>
    <row r="10705" spans="1:11" x14ac:dyDescent="0.25">
      <c r="A10705" t="s">
        <v>9</v>
      </c>
      <c r="B10705" t="s">
        <v>266</v>
      </c>
      <c r="C10705" t="s">
        <v>876</v>
      </c>
      <c r="D10705" t="s">
        <v>11</v>
      </c>
      <c r="E10705">
        <v>25</v>
      </c>
      <c r="F10705" s="2">
        <f>DATE(2026,IF(Tabla1[[#This Row],[Mes de Fecha]]="Septiembre",9,10),Tabla1[[#This Row],[Día de Fecha]])</f>
        <v>46290</v>
      </c>
      <c r="G10705">
        <v>1016592940</v>
      </c>
      <c r="H10705" t="s">
        <v>267</v>
      </c>
      <c r="I10705">
        <v>53</v>
      </c>
      <c r="J10705">
        <v>0</v>
      </c>
      <c r="K10705" s="1">
        <v>2920044</v>
      </c>
    </row>
    <row r="10706" spans="1:11" x14ac:dyDescent="0.25">
      <c r="A10706" t="s">
        <v>9</v>
      </c>
      <c r="B10706" t="s">
        <v>266</v>
      </c>
      <c r="C10706" t="s">
        <v>876</v>
      </c>
      <c r="D10706" t="s">
        <v>11</v>
      </c>
      <c r="E10706">
        <v>25</v>
      </c>
      <c r="F10706" s="2">
        <f>DATE(2026,IF(Tabla1[[#This Row],[Mes de Fecha]]="Septiembre",9,10),Tabla1[[#This Row],[Día de Fecha]])</f>
        <v>46290</v>
      </c>
      <c r="G10706">
        <v>1105687595</v>
      </c>
      <c r="H10706" t="s">
        <v>268</v>
      </c>
      <c r="I10706">
        <v>51</v>
      </c>
      <c r="J10706">
        <v>0</v>
      </c>
      <c r="K10706" s="1">
        <v>2394922</v>
      </c>
    </row>
    <row r="10707" spans="1:11" x14ac:dyDescent="0.25">
      <c r="A10707" t="s">
        <v>9</v>
      </c>
      <c r="B10707" t="s">
        <v>266</v>
      </c>
      <c r="C10707" t="s">
        <v>876</v>
      </c>
      <c r="D10707" t="s">
        <v>11</v>
      </c>
      <c r="E10707">
        <v>26</v>
      </c>
      <c r="F10707" s="2">
        <f>DATE(2026,IF(Tabla1[[#This Row],[Mes de Fecha]]="Septiembre",9,10),Tabla1[[#This Row],[Día de Fecha]])</f>
        <v>46291</v>
      </c>
      <c r="I10707">
        <v>0</v>
      </c>
      <c r="J10707" s="1">
        <v>8354006</v>
      </c>
      <c r="K10707">
        <v>0</v>
      </c>
    </row>
    <row r="10708" spans="1:11" x14ac:dyDescent="0.25">
      <c r="A10708" t="s">
        <v>9</v>
      </c>
      <c r="B10708" t="s">
        <v>266</v>
      </c>
      <c r="C10708" t="s">
        <v>876</v>
      </c>
      <c r="D10708" t="s">
        <v>11</v>
      </c>
      <c r="E10708">
        <v>26</v>
      </c>
      <c r="F10708" s="2">
        <f>DATE(2026,IF(Tabla1[[#This Row],[Mes de Fecha]]="Septiembre",9,10),Tabla1[[#This Row],[Día de Fecha]])</f>
        <v>46291</v>
      </c>
      <c r="G10708">
        <v>1016592940</v>
      </c>
      <c r="H10708" t="s">
        <v>267</v>
      </c>
      <c r="I10708">
        <v>221</v>
      </c>
      <c r="J10708">
        <v>0</v>
      </c>
      <c r="K10708" s="1">
        <v>6544455</v>
      </c>
    </row>
    <row r="10709" spans="1:11" x14ac:dyDescent="0.25">
      <c r="A10709" t="s">
        <v>9</v>
      </c>
      <c r="B10709" t="s">
        <v>266</v>
      </c>
      <c r="C10709" t="s">
        <v>876</v>
      </c>
      <c r="D10709" t="s">
        <v>11</v>
      </c>
      <c r="E10709">
        <v>26</v>
      </c>
      <c r="F10709" s="2">
        <f>DATE(2026,IF(Tabla1[[#This Row],[Mes de Fecha]]="Septiembre",9,10),Tabla1[[#This Row],[Día de Fecha]])</f>
        <v>46291</v>
      </c>
      <c r="G10709">
        <v>1105687595</v>
      </c>
      <c r="H10709" t="s">
        <v>268</v>
      </c>
      <c r="I10709">
        <v>317</v>
      </c>
      <c r="J10709">
        <v>0</v>
      </c>
      <c r="K10709" s="1">
        <v>9027964</v>
      </c>
    </row>
    <row r="10710" spans="1:11" x14ac:dyDescent="0.25">
      <c r="A10710" t="s">
        <v>9</v>
      </c>
      <c r="B10710" t="s">
        <v>266</v>
      </c>
      <c r="C10710" t="s">
        <v>876</v>
      </c>
      <c r="D10710" t="s">
        <v>11</v>
      </c>
      <c r="E10710">
        <v>27</v>
      </c>
      <c r="F10710" s="2">
        <f>DATE(2026,IF(Tabla1[[#This Row],[Mes de Fecha]]="Septiembre",9,10),Tabla1[[#This Row],[Día de Fecha]])</f>
        <v>46292</v>
      </c>
      <c r="I10710">
        <v>0</v>
      </c>
      <c r="J10710" s="1">
        <v>4410835</v>
      </c>
      <c r="K10710">
        <v>0</v>
      </c>
    </row>
    <row r="10711" spans="1:11" x14ac:dyDescent="0.25">
      <c r="A10711" t="s">
        <v>9</v>
      </c>
      <c r="B10711" t="s">
        <v>266</v>
      </c>
      <c r="C10711" t="s">
        <v>876</v>
      </c>
      <c r="D10711" t="s">
        <v>11</v>
      </c>
      <c r="E10711">
        <v>27</v>
      </c>
      <c r="F10711" s="2">
        <f>DATE(2026,IF(Tabla1[[#This Row],[Mes de Fecha]]="Septiembre",9,10),Tabla1[[#This Row],[Día de Fecha]])</f>
        <v>46292</v>
      </c>
      <c r="G10711">
        <v>1016592940</v>
      </c>
      <c r="H10711" t="s">
        <v>267</v>
      </c>
      <c r="I10711">
        <v>49</v>
      </c>
      <c r="J10711">
        <v>0</v>
      </c>
      <c r="K10711" s="1">
        <v>2905506</v>
      </c>
    </row>
    <row r="10712" spans="1:11" x14ac:dyDescent="0.25">
      <c r="A10712" t="s">
        <v>9</v>
      </c>
      <c r="B10712" t="s">
        <v>266</v>
      </c>
      <c r="C10712" t="s">
        <v>876</v>
      </c>
      <c r="D10712" t="s">
        <v>11</v>
      </c>
      <c r="E10712">
        <v>27</v>
      </c>
      <c r="F10712" s="2">
        <f>DATE(2026,IF(Tabla1[[#This Row],[Mes de Fecha]]="Septiembre",9,10),Tabla1[[#This Row],[Día de Fecha]])</f>
        <v>46292</v>
      </c>
      <c r="G10712">
        <v>1105687595</v>
      </c>
      <c r="H10712" t="s">
        <v>268</v>
      </c>
      <c r="I10712">
        <v>35</v>
      </c>
      <c r="J10712">
        <v>0</v>
      </c>
      <c r="K10712" s="1">
        <v>1925002</v>
      </c>
    </row>
    <row r="10713" spans="1:11" x14ac:dyDescent="0.25">
      <c r="A10713" t="s">
        <v>9</v>
      </c>
      <c r="B10713" t="s">
        <v>266</v>
      </c>
      <c r="C10713" t="s">
        <v>876</v>
      </c>
      <c r="D10713" t="s">
        <v>11</v>
      </c>
      <c r="E10713">
        <v>28</v>
      </c>
      <c r="F10713" s="2">
        <f>DATE(2026,IF(Tabla1[[#This Row],[Mes de Fecha]]="Septiembre",9,10),Tabla1[[#This Row],[Día de Fecha]])</f>
        <v>46293</v>
      </c>
      <c r="I10713">
        <v>0</v>
      </c>
      <c r="J10713" s="1">
        <v>3616405</v>
      </c>
      <c r="K10713">
        <v>0</v>
      </c>
    </row>
    <row r="10714" spans="1:11" x14ac:dyDescent="0.25">
      <c r="A10714" t="s">
        <v>9</v>
      </c>
      <c r="B10714" t="s">
        <v>266</v>
      </c>
      <c r="C10714" t="s">
        <v>876</v>
      </c>
      <c r="D10714" t="s">
        <v>11</v>
      </c>
      <c r="E10714">
        <v>28</v>
      </c>
      <c r="F10714" s="2">
        <f>DATE(2026,IF(Tabla1[[#This Row],[Mes de Fecha]]="Septiembre",9,10),Tabla1[[#This Row],[Día de Fecha]])</f>
        <v>46293</v>
      </c>
      <c r="G10714">
        <v>1016592940</v>
      </c>
      <c r="H10714" t="s">
        <v>267</v>
      </c>
      <c r="I10714">
        <v>31</v>
      </c>
      <c r="J10714">
        <v>0</v>
      </c>
      <c r="K10714" s="1">
        <v>1473489</v>
      </c>
    </row>
    <row r="10715" spans="1:11" x14ac:dyDescent="0.25">
      <c r="A10715" t="s">
        <v>9</v>
      </c>
      <c r="B10715" t="s">
        <v>266</v>
      </c>
      <c r="C10715" t="s">
        <v>876</v>
      </c>
      <c r="D10715" t="s">
        <v>11</v>
      </c>
      <c r="E10715">
        <v>28</v>
      </c>
      <c r="F10715" s="2">
        <f>DATE(2026,IF(Tabla1[[#This Row],[Mes de Fecha]]="Septiembre",9,10),Tabla1[[#This Row],[Día de Fecha]])</f>
        <v>46293</v>
      </c>
      <c r="G10715">
        <v>1105687595</v>
      </c>
      <c r="H10715" t="s">
        <v>268</v>
      </c>
      <c r="I10715">
        <v>14</v>
      </c>
      <c r="J10715">
        <v>0</v>
      </c>
      <c r="K10715" s="1">
        <v>642186</v>
      </c>
    </row>
    <row r="10716" spans="1:11" x14ac:dyDescent="0.25">
      <c r="A10716" t="s">
        <v>9</v>
      </c>
      <c r="B10716" t="s">
        <v>266</v>
      </c>
      <c r="C10716" t="s">
        <v>876</v>
      </c>
      <c r="D10716" t="s">
        <v>11</v>
      </c>
      <c r="E10716">
        <v>29</v>
      </c>
      <c r="F10716" s="2">
        <f>DATE(2026,IF(Tabla1[[#This Row],[Mes de Fecha]]="Septiembre",9,10),Tabla1[[#This Row],[Día de Fecha]])</f>
        <v>46294</v>
      </c>
      <c r="I10716">
        <v>0</v>
      </c>
      <c r="J10716" s="1">
        <v>4020374</v>
      </c>
      <c r="K10716">
        <v>0</v>
      </c>
    </row>
    <row r="10717" spans="1:11" x14ac:dyDescent="0.25">
      <c r="A10717" t="s">
        <v>9</v>
      </c>
      <c r="B10717" t="s">
        <v>266</v>
      </c>
      <c r="C10717" t="s">
        <v>876</v>
      </c>
      <c r="D10717" t="s">
        <v>11</v>
      </c>
      <c r="E10717">
        <v>29</v>
      </c>
      <c r="F10717" s="2">
        <f>DATE(2026,IF(Tabla1[[#This Row],[Mes de Fecha]]="Septiembre",9,10),Tabla1[[#This Row],[Día de Fecha]])</f>
        <v>46294</v>
      </c>
      <c r="G10717">
        <v>1016592940</v>
      </c>
      <c r="H10717" t="s">
        <v>267</v>
      </c>
      <c r="I10717">
        <v>9</v>
      </c>
      <c r="J10717">
        <v>0</v>
      </c>
      <c r="K10717" s="1">
        <v>390295</v>
      </c>
    </row>
    <row r="10718" spans="1:11" x14ac:dyDescent="0.25">
      <c r="A10718" t="s">
        <v>9</v>
      </c>
      <c r="B10718" t="s">
        <v>266</v>
      </c>
      <c r="C10718" t="s">
        <v>876</v>
      </c>
      <c r="D10718" t="s">
        <v>11</v>
      </c>
      <c r="E10718">
        <v>29</v>
      </c>
      <c r="F10718" s="2">
        <f>DATE(2026,IF(Tabla1[[#This Row],[Mes de Fecha]]="Septiembre",9,10),Tabla1[[#This Row],[Día de Fecha]])</f>
        <v>46294</v>
      </c>
      <c r="G10718">
        <v>1105687595</v>
      </c>
      <c r="H10718" t="s">
        <v>268</v>
      </c>
      <c r="I10718">
        <v>48</v>
      </c>
      <c r="J10718">
        <v>0</v>
      </c>
      <c r="K10718" s="1">
        <v>2615506</v>
      </c>
    </row>
    <row r="10719" spans="1:11" x14ac:dyDescent="0.25">
      <c r="A10719" t="s">
        <v>9</v>
      </c>
      <c r="B10719" t="s">
        <v>266</v>
      </c>
      <c r="C10719" t="s">
        <v>876</v>
      </c>
      <c r="D10719" t="s">
        <v>11</v>
      </c>
      <c r="E10719">
        <v>30</v>
      </c>
      <c r="F10719" s="2">
        <f>DATE(2026,IF(Tabla1[[#This Row],[Mes de Fecha]]="Septiembre",9,10),Tabla1[[#This Row],[Día de Fecha]])</f>
        <v>46295</v>
      </c>
      <c r="I10719">
        <v>0</v>
      </c>
      <c r="J10719" s="1">
        <v>4257704</v>
      </c>
      <c r="K10719">
        <v>0</v>
      </c>
    </row>
    <row r="10720" spans="1:11" x14ac:dyDescent="0.25">
      <c r="A10720" t="s">
        <v>9</v>
      </c>
      <c r="B10720" t="s">
        <v>266</v>
      </c>
      <c r="C10720" t="s">
        <v>876</v>
      </c>
      <c r="D10720" t="s">
        <v>11</v>
      </c>
      <c r="E10720">
        <v>30</v>
      </c>
      <c r="F10720" s="2">
        <f>DATE(2026,IF(Tabla1[[#This Row],[Mes de Fecha]]="Septiembre",9,10),Tabla1[[#This Row],[Día de Fecha]])</f>
        <v>46295</v>
      </c>
      <c r="G10720">
        <v>1016592940</v>
      </c>
      <c r="H10720" t="s">
        <v>267</v>
      </c>
      <c r="I10720">
        <v>41</v>
      </c>
      <c r="J10720">
        <v>0</v>
      </c>
      <c r="K10720" s="1">
        <v>1882648</v>
      </c>
    </row>
    <row r="10721" spans="1:11" x14ac:dyDescent="0.25">
      <c r="A10721" t="s">
        <v>9</v>
      </c>
      <c r="B10721" t="s">
        <v>266</v>
      </c>
      <c r="C10721" t="s">
        <v>876</v>
      </c>
      <c r="D10721" t="s">
        <v>11</v>
      </c>
      <c r="E10721">
        <v>30</v>
      </c>
      <c r="F10721" s="2">
        <f>DATE(2026,IF(Tabla1[[#This Row],[Mes de Fecha]]="Septiembre",9,10),Tabla1[[#This Row],[Día de Fecha]])</f>
        <v>46295</v>
      </c>
      <c r="G10721">
        <v>1105687595</v>
      </c>
      <c r="H10721" t="s">
        <v>268</v>
      </c>
      <c r="I10721">
        <v>28</v>
      </c>
      <c r="J10721">
        <v>0</v>
      </c>
      <c r="K10721" s="1">
        <v>1435633</v>
      </c>
    </row>
    <row r="10722" spans="1:11" x14ac:dyDescent="0.25">
      <c r="A10722" t="s">
        <v>9</v>
      </c>
      <c r="B10722" t="s">
        <v>266</v>
      </c>
      <c r="C10722" t="s">
        <v>876</v>
      </c>
      <c r="D10722" t="s">
        <v>14</v>
      </c>
      <c r="E10722">
        <v>1</v>
      </c>
      <c r="F10722" s="2">
        <f>DATE(2026,IF(Tabla1[[#This Row],[Mes de Fecha]]="Septiembre",9,10),Tabla1[[#This Row],[Día de Fecha]])</f>
        <v>46296</v>
      </c>
      <c r="I10722">
        <v>0</v>
      </c>
      <c r="J10722" s="1">
        <v>5470848</v>
      </c>
      <c r="K10722">
        <v>0</v>
      </c>
    </row>
    <row r="10723" spans="1:11" x14ac:dyDescent="0.25">
      <c r="A10723" t="s">
        <v>9</v>
      </c>
      <c r="B10723" t="s">
        <v>266</v>
      </c>
      <c r="C10723" t="s">
        <v>876</v>
      </c>
      <c r="D10723" t="s">
        <v>14</v>
      </c>
      <c r="E10723">
        <v>1</v>
      </c>
      <c r="F10723" s="2">
        <f>DATE(2026,IF(Tabla1[[#This Row],[Mes de Fecha]]="Septiembre",9,10),Tabla1[[#This Row],[Día de Fecha]])</f>
        <v>46296</v>
      </c>
      <c r="G10723">
        <v>1016592940</v>
      </c>
      <c r="H10723" t="s">
        <v>267</v>
      </c>
      <c r="I10723">
        <v>34</v>
      </c>
      <c r="J10723">
        <v>0</v>
      </c>
      <c r="K10723" s="1">
        <v>1550841</v>
      </c>
    </row>
    <row r="10724" spans="1:11" x14ac:dyDescent="0.25">
      <c r="A10724" t="s">
        <v>9</v>
      </c>
      <c r="B10724" t="s">
        <v>266</v>
      </c>
      <c r="C10724" t="s">
        <v>876</v>
      </c>
      <c r="D10724" t="s">
        <v>14</v>
      </c>
      <c r="E10724">
        <v>1</v>
      </c>
      <c r="F10724" s="2">
        <f>DATE(2026,IF(Tabla1[[#This Row],[Mes de Fecha]]="Septiembre",9,10),Tabla1[[#This Row],[Día de Fecha]])</f>
        <v>46296</v>
      </c>
      <c r="G10724">
        <v>1105687595</v>
      </c>
      <c r="H10724" t="s">
        <v>268</v>
      </c>
      <c r="I10724">
        <v>33</v>
      </c>
      <c r="J10724">
        <v>0</v>
      </c>
      <c r="K10724" s="1">
        <v>1563405</v>
      </c>
    </row>
    <row r="10725" spans="1:11" x14ac:dyDescent="0.25">
      <c r="A10725" t="s">
        <v>9</v>
      </c>
      <c r="B10725" t="s">
        <v>266</v>
      </c>
      <c r="C10725" t="s">
        <v>876</v>
      </c>
      <c r="D10725" t="s">
        <v>14</v>
      </c>
      <c r="E10725">
        <v>2</v>
      </c>
      <c r="F10725" s="2">
        <f>DATE(2026,IF(Tabla1[[#This Row],[Mes de Fecha]]="Septiembre",9,10),Tabla1[[#This Row],[Día de Fecha]])</f>
        <v>46297</v>
      </c>
      <c r="I10725">
        <v>0</v>
      </c>
      <c r="J10725" s="1">
        <v>4719071</v>
      </c>
      <c r="K10725">
        <v>0</v>
      </c>
    </row>
    <row r="10726" spans="1:11" x14ac:dyDescent="0.25">
      <c r="A10726" t="s">
        <v>9</v>
      </c>
      <c r="B10726" t="s">
        <v>266</v>
      </c>
      <c r="C10726" t="s">
        <v>876</v>
      </c>
      <c r="D10726" t="s">
        <v>14</v>
      </c>
      <c r="E10726">
        <v>2</v>
      </c>
      <c r="F10726" s="2">
        <f>DATE(2026,IF(Tabla1[[#This Row],[Mes de Fecha]]="Septiembre",9,10),Tabla1[[#This Row],[Día de Fecha]])</f>
        <v>46297</v>
      </c>
      <c r="G10726">
        <v>1016592940</v>
      </c>
      <c r="H10726" t="s">
        <v>267</v>
      </c>
      <c r="I10726">
        <v>38</v>
      </c>
      <c r="J10726">
        <v>0</v>
      </c>
      <c r="K10726" s="1">
        <v>1636766</v>
      </c>
    </row>
    <row r="10727" spans="1:11" x14ac:dyDescent="0.25">
      <c r="A10727" t="s">
        <v>9</v>
      </c>
      <c r="B10727" t="s">
        <v>266</v>
      </c>
      <c r="C10727" t="s">
        <v>876</v>
      </c>
      <c r="D10727" t="s">
        <v>14</v>
      </c>
      <c r="E10727">
        <v>2</v>
      </c>
      <c r="F10727" s="2">
        <f>DATE(2026,IF(Tabla1[[#This Row],[Mes de Fecha]]="Septiembre",9,10),Tabla1[[#This Row],[Día de Fecha]])</f>
        <v>46297</v>
      </c>
      <c r="G10727">
        <v>1105687595</v>
      </c>
      <c r="H10727" t="s">
        <v>268</v>
      </c>
      <c r="I10727">
        <v>36</v>
      </c>
      <c r="J10727">
        <v>0</v>
      </c>
      <c r="K10727" s="1">
        <v>1677019</v>
      </c>
    </row>
    <row r="10728" spans="1:11" x14ac:dyDescent="0.25">
      <c r="A10728" t="s">
        <v>9</v>
      </c>
      <c r="B10728" t="s">
        <v>266</v>
      </c>
      <c r="C10728" t="s">
        <v>876</v>
      </c>
      <c r="D10728" t="s">
        <v>14</v>
      </c>
      <c r="E10728">
        <v>3</v>
      </c>
      <c r="F10728" s="2">
        <f>DATE(2026,IF(Tabla1[[#This Row],[Mes de Fecha]]="Septiembre",9,10),Tabla1[[#This Row],[Día de Fecha]])</f>
        <v>46298</v>
      </c>
      <c r="I10728">
        <v>0</v>
      </c>
      <c r="J10728" s="1">
        <v>7936909</v>
      </c>
      <c r="K10728">
        <v>0</v>
      </c>
    </row>
    <row r="10729" spans="1:11" x14ac:dyDescent="0.25">
      <c r="A10729" t="s">
        <v>9</v>
      </c>
      <c r="B10729" t="s">
        <v>266</v>
      </c>
      <c r="C10729" t="s">
        <v>876</v>
      </c>
      <c r="D10729" t="s">
        <v>14</v>
      </c>
      <c r="E10729">
        <v>3</v>
      </c>
      <c r="F10729" s="2">
        <f>DATE(2026,IF(Tabla1[[#This Row],[Mes de Fecha]]="Septiembre",9,10),Tabla1[[#This Row],[Día de Fecha]])</f>
        <v>46298</v>
      </c>
      <c r="G10729">
        <v>1016592940</v>
      </c>
      <c r="H10729" t="s">
        <v>267</v>
      </c>
      <c r="I10729">
        <v>70</v>
      </c>
      <c r="J10729">
        <v>0</v>
      </c>
      <c r="K10729" s="1">
        <v>3542224</v>
      </c>
    </row>
    <row r="10730" spans="1:11" x14ac:dyDescent="0.25">
      <c r="A10730" t="s">
        <v>9</v>
      </c>
      <c r="B10730" t="s">
        <v>266</v>
      </c>
      <c r="C10730" t="s">
        <v>876</v>
      </c>
      <c r="D10730" t="s">
        <v>14</v>
      </c>
      <c r="E10730">
        <v>3</v>
      </c>
      <c r="F10730" s="2">
        <f>DATE(2026,IF(Tabla1[[#This Row],[Mes de Fecha]]="Septiembre",9,10),Tabla1[[#This Row],[Día de Fecha]])</f>
        <v>46298</v>
      </c>
      <c r="G10730">
        <v>1093588059</v>
      </c>
      <c r="H10730" t="s">
        <v>269</v>
      </c>
      <c r="I10730">
        <v>-2</v>
      </c>
      <c r="J10730">
        <v>0</v>
      </c>
      <c r="K10730" s="1">
        <v>-61689</v>
      </c>
    </row>
    <row r="10731" spans="1:11" x14ac:dyDescent="0.25">
      <c r="A10731" t="s">
        <v>9</v>
      </c>
      <c r="B10731" t="s">
        <v>266</v>
      </c>
      <c r="C10731" t="s">
        <v>876</v>
      </c>
      <c r="D10731" t="s">
        <v>14</v>
      </c>
      <c r="E10731">
        <v>3</v>
      </c>
      <c r="F10731" s="2">
        <f>DATE(2026,IF(Tabla1[[#This Row],[Mes de Fecha]]="Septiembre",9,10),Tabla1[[#This Row],[Día de Fecha]])</f>
        <v>46298</v>
      </c>
      <c r="G10731">
        <v>1105687595</v>
      </c>
      <c r="H10731" t="s">
        <v>268</v>
      </c>
      <c r="I10731">
        <v>63</v>
      </c>
      <c r="J10731">
        <v>0</v>
      </c>
      <c r="K10731" s="1">
        <v>3161616</v>
      </c>
    </row>
    <row r="10732" spans="1:11" x14ac:dyDescent="0.25">
      <c r="A10732" t="s">
        <v>9</v>
      </c>
      <c r="B10732" t="s">
        <v>266</v>
      </c>
      <c r="C10732" t="s">
        <v>876</v>
      </c>
      <c r="D10732" t="s">
        <v>14</v>
      </c>
      <c r="E10732">
        <v>4</v>
      </c>
      <c r="F10732" s="2">
        <f>DATE(2026,IF(Tabla1[[#This Row],[Mes de Fecha]]="Septiembre",9,10),Tabla1[[#This Row],[Día de Fecha]])</f>
        <v>46299</v>
      </c>
      <c r="I10732">
        <v>0</v>
      </c>
      <c r="J10732" s="1">
        <v>2309290</v>
      </c>
      <c r="K10732">
        <v>0</v>
      </c>
    </row>
    <row r="10733" spans="1:11" x14ac:dyDescent="0.25">
      <c r="A10733" t="s">
        <v>9</v>
      </c>
      <c r="B10733" t="s">
        <v>266</v>
      </c>
      <c r="C10733" t="s">
        <v>876</v>
      </c>
      <c r="D10733" t="s">
        <v>14</v>
      </c>
      <c r="E10733">
        <v>4</v>
      </c>
      <c r="F10733" s="2">
        <f>DATE(2026,IF(Tabla1[[#This Row],[Mes de Fecha]]="Septiembre",9,10),Tabla1[[#This Row],[Día de Fecha]])</f>
        <v>46299</v>
      </c>
      <c r="G10733">
        <v>1016592940</v>
      </c>
      <c r="H10733" t="s">
        <v>267</v>
      </c>
      <c r="I10733">
        <v>45</v>
      </c>
      <c r="J10733">
        <v>0</v>
      </c>
      <c r="K10733" s="1">
        <v>2077566</v>
      </c>
    </row>
    <row r="10734" spans="1:11" x14ac:dyDescent="0.25">
      <c r="A10734" t="s">
        <v>9</v>
      </c>
      <c r="B10734" t="s">
        <v>266</v>
      </c>
      <c r="C10734" t="s">
        <v>876</v>
      </c>
      <c r="D10734" t="s">
        <v>14</v>
      </c>
      <c r="E10734">
        <v>5</v>
      </c>
      <c r="F10734" s="2">
        <f>DATE(2026,IF(Tabla1[[#This Row],[Mes de Fecha]]="Septiembre",9,10),Tabla1[[#This Row],[Día de Fecha]])</f>
        <v>46300</v>
      </c>
      <c r="I10734">
        <v>0</v>
      </c>
      <c r="J10734" s="1">
        <v>5125670</v>
      </c>
      <c r="K10734">
        <v>0</v>
      </c>
    </row>
    <row r="10735" spans="1:11" x14ac:dyDescent="0.25">
      <c r="A10735" t="s">
        <v>9</v>
      </c>
      <c r="B10735" t="s">
        <v>266</v>
      </c>
      <c r="C10735" t="s">
        <v>876</v>
      </c>
      <c r="D10735" t="s">
        <v>14</v>
      </c>
      <c r="E10735">
        <v>5</v>
      </c>
      <c r="F10735" s="2">
        <f>DATE(2026,IF(Tabla1[[#This Row],[Mes de Fecha]]="Septiembre",9,10),Tabla1[[#This Row],[Día de Fecha]])</f>
        <v>46300</v>
      </c>
      <c r="G10735">
        <v>1016592940</v>
      </c>
      <c r="H10735" t="s">
        <v>267</v>
      </c>
      <c r="I10735">
        <v>24</v>
      </c>
      <c r="J10735">
        <v>0</v>
      </c>
      <c r="K10735" s="1">
        <v>1238405</v>
      </c>
    </row>
    <row r="10736" spans="1:11" x14ac:dyDescent="0.25">
      <c r="A10736" t="s">
        <v>9</v>
      </c>
      <c r="B10736" t="s">
        <v>266</v>
      </c>
      <c r="C10736" t="s">
        <v>876</v>
      </c>
      <c r="D10736" t="s">
        <v>14</v>
      </c>
      <c r="E10736">
        <v>5</v>
      </c>
      <c r="F10736" s="2">
        <f>DATE(2026,IF(Tabla1[[#This Row],[Mes de Fecha]]="Septiembre",9,10),Tabla1[[#This Row],[Día de Fecha]])</f>
        <v>46300</v>
      </c>
      <c r="G10736">
        <v>1105687595</v>
      </c>
      <c r="H10736" t="s">
        <v>268</v>
      </c>
      <c r="I10736">
        <v>20</v>
      </c>
      <c r="J10736">
        <v>0</v>
      </c>
      <c r="K10736" s="1">
        <v>914959</v>
      </c>
    </row>
    <row r="10737" spans="1:11" x14ac:dyDescent="0.25">
      <c r="A10737" t="s">
        <v>9</v>
      </c>
      <c r="B10737" t="s">
        <v>266</v>
      </c>
      <c r="C10737" t="s">
        <v>876</v>
      </c>
      <c r="D10737" t="s">
        <v>14</v>
      </c>
      <c r="E10737">
        <v>6</v>
      </c>
      <c r="F10737" s="2">
        <f>DATE(2026,IF(Tabla1[[#This Row],[Mes de Fecha]]="Septiembre",9,10),Tabla1[[#This Row],[Día de Fecha]])</f>
        <v>46301</v>
      </c>
      <c r="I10737">
        <v>0</v>
      </c>
      <c r="J10737" s="1">
        <v>3154695</v>
      </c>
      <c r="K10737">
        <v>0</v>
      </c>
    </row>
    <row r="10738" spans="1:11" x14ac:dyDescent="0.25">
      <c r="A10738" t="s">
        <v>9</v>
      </c>
      <c r="B10738" t="s">
        <v>266</v>
      </c>
      <c r="C10738" t="s">
        <v>876</v>
      </c>
      <c r="D10738" t="s">
        <v>14</v>
      </c>
      <c r="E10738">
        <v>6</v>
      </c>
      <c r="F10738" s="2">
        <f>DATE(2026,IF(Tabla1[[#This Row],[Mes de Fecha]]="Septiembre",9,10),Tabla1[[#This Row],[Día de Fecha]])</f>
        <v>46301</v>
      </c>
      <c r="G10738">
        <v>1016592940</v>
      </c>
      <c r="H10738" t="s">
        <v>267</v>
      </c>
      <c r="I10738">
        <v>25</v>
      </c>
      <c r="J10738">
        <v>0</v>
      </c>
      <c r="K10738" s="1">
        <v>1034497</v>
      </c>
    </row>
    <row r="10739" spans="1:11" x14ac:dyDescent="0.25">
      <c r="A10739" t="s">
        <v>9</v>
      </c>
      <c r="B10739" t="s">
        <v>266</v>
      </c>
      <c r="C10739" t="s">
        <v>876</v>
      </c>
      <c r="D10739" t="s">
        <v>14</v>
      </c>
      <c r="E10739">
        <v>6</v>
      </c>
      <c r="F10739" s="2">
        <f>DATE(2026,IF(Tabla1[[#This Row],[Mes de Fecha]]="Septiembre",9,10),Tabla1[[#This Row],[Día de Fecha]])</f>
        <v>46301</v>
      </c>
      <c r="G10739">
        <v>1105687595</v>
      </c>
      <c r="H10739" t="s">
        <v>268</v>
      </c>
      <c r="I10739">
        <v>9</v>
      </c>
      <c r="J10739">
        <v>0</v>
      </c>
      <c r="K10739" s="1">
        <v>641189</v>
      </c>
    </row>
    <row r="10740" spans="1:11" x14ac:dyDescent="0.25">
      <c r="A10740" t="s">
        <v>9</v>
      </c>
      <c r="B10740" t="s">
        <v>266</v>
      </c>
      <c r="C10740" t="s">
        <v>876</v>
      </c>
      <c r="D10740" t="s">
        <v>14</v>
      </c>
      <c r="E10740">
        <v>7</v>
      </c>
      <c r="F10740" s="2">
        <f>DATE(2026,IF(Tabla1[[#This Row],[Mes de Fecha]]="Septiembre",9,10),Tabla1[[#This Row],[Día de Fecha]])</f>
        <v>46302</v>
      </c>
      <c r="I10740">
        <v>0</v>
      </c>
      <c r="J10740" s="1">
        <v>1216212</v>
      </c>
      <c r="K10740">
        <v>0</v>
      </c>
    </row>
    <row r="10741" spans="1:11" x14ac:dyDescent="0.25">
      <c r="A10741" t="s">
        <v>9</v>
      </c>
      <c r="B10741" t="s">
        <v>266</v>
      </c>
      <c r="C10741" t="s">
        <v>876</v>
      </c>
      <c r="D10741" t="s">
        <v>14</v>
      </c>
      <c r="E10741">
        <v>7</v>
      </c>
      <c r="F10741" s="2">
        <f>DATE(2026,IF(Tabla1[[#This Row],[Mes de Fecha]]="Septiembre",9,10),Tabla1[[#This Row],[Día de Fecha]])</f>
        <v>46302</v>
      </c>
      <c r="G10741">
        <v>1016592940</v>
      </c>
      <c r="H10741" t="s">
        <v>267</v>
      </c>
      <c r="I10741">
        <v>21</v>
      </c>
      <c r="J10741">
        <v>0</v>
      </c>
      <c r="K10741" s="1">
        <v>1389706</v>
      </c>
    </row>
    <row r="10742" spans="1:11" x14ac:dyDescent="0.25">
      <c r="A10742" t="s">
        <v>9</v>
      </c>
      <c r="B10742" t="s">
        <v>266</v>
      </c>
      <c r="C10742" t="s">
        <v>876</v>
      </c>
      <c r="D10742" t="s">
        <v>14</v>
      </c>
      <c r="E10742">
        <v>7</v>
      </c>
      <c r="F10742" s="2">
        <f>DATE(2026,IF(Tabla1[[#This Row],[Mes de Fecha]]="Septiembre",9,10),Tabla1[[#This Row],[Día de Fecha]])</f>
        <v>46302</v>
      </c>
      <c r="G10742">
        <v>1105687595</v>
      </c>
      <c r="H10742" t="s">
        <v>268</v>
      </c>
      <c r="I10742">
        <v>60</v>
      </c>
      <c r="J10742">
        <v>0</v>
      </c>
      <c r="K10742" s="1">
        <v>3425590</v>
      </c>
    </row>
    <row r="10743" spans="1:11" x14ac:dyDescent="0.25">
      <c r="A10743" t="s">
        <v>9</v>
      </c>
      <c r="B10743" t="s">
        <v>277</v>
      </c>
      <c r="C10743" t="s">
        <v>876</v>
      </c>
      <c r="D10743" t="s">
        <v>11</v>
      </c>
      <c r="E10743">
        <v>23</v>
      </c>
      <c r="F10743" s="2">
        <f>DATE(2026,IF(Tabla1[[#This Row],[Mes de Fecha]]="Septiembre",9,10),Tabla1[[#This Row],[Día de Fecha]])</f>
        <v>46288</v>
      </c>
      <c r="I10743">
        <v>0</v>
      </c>
      <c r="J10743" s="1">
        <v>2378696</v>
      </c>
      <c r="K10743">
        <v>0</v>
      </c>
    </row>
    <row r="10744" spans="1:11" x14ac:dyDescent="0.25">
      <c r="A10744" t="s">
        <v>9</v>
      </c>
      <c r="B10744" t="s">
        <v>277</v>
      </c>
      <c r="C10744" t="s">
        <v>876</v>
      </c>
      <c r="D10744" t="s">
        <v>11</v>
      </c>
      <c r="E10744">
        <v>23</v>
      </c>
      <c r="F10744" s="2">
        <f>DATE(2026,IF(Tabla1[[#This Row],[Mes de Fecha]]="Septiembre",9,10),Tabla1[[#This Row],[Día de Fecha]])</f>
        <v>46288</v>
      </c>
      <c r="G10744">
        <v>1081397733</v>
      </c>
      <c r="H10744" t="s">
        <v>278</v>
      </c>
      <c r="I10744">
        <v>-1</v>
      </c>
      <c r="J10744">
        <v>0</v>
      </c>
      <c r="K10744" s="1">
        <v>-58740</v>
      </c>
    </row>
    <row r="10745" spans="1:11" x14ac:dyDescent="0.25">
      <c r="A10745" t="s">
        <v>9</v>
      </c>
      <c r="B10745" t="s">
        <v>277</v>
      </c>
      <c r="C10745" t="s">
        <v>876</v>
      </c>
      <c r="D10745" t="s">
        <v>11</v>
      </c>
      <c r="E10745">
        <v>23</v>
      </c>
      <c r="F10745" s="2">
        <f>DATE(2026,IF(Tabla1[[#This Row],[Mes de Fecha]]="Septiembre",9,10),Tabla1[[#This Row],[Día de Fecha]])</f>
        <v>46288</v>
      </c>
      <c r="G10745">
        <v>1081414164</v>
      </c>
      <c r="H10745" t="s">
        <v>279</v>
      </c>
      <c r="I10745">
        <v>165</v>
      </c>
      <c r="J10745">
        <v>0</v>
      </c>
      <c r="K10745" s="1">
        <v>8990951</v>
      </c>
    </row>
    <row r="10746" spans="1:11" x14ac:dyDescent="0.25">
      <c r="A10746" t="s">
        <v>9</v>
      </c>
      <c r="B10746" t="s">
        <v>277</v>
      </c>
      <c r="C10746" t="s">
        <v>876</v>
      </c>
      <c r="D10746" t="s">
        <v>11</v>
      </c>
      <c r="E10746">
        <v>24</v>
      </c>
      <c r="F10746" s="2">
        <f>DATE(2026,IF(Tabla1[[#This Row],[Mes de Fecha]]="Septiembre",9,10),Tabla1[[#This Row],[Día de Fecha]])</f>
        <v>46289</v>
      </c>
      <c r="I10746">
        <v>0</v>
      </c>
      <c r="J10746" s="1">
        <v>6151766</v>
      </c>
      <c r="K10746">
        <v>0</v>
      </c>
    </row>
    <row r="10747" spans="1:11" x14ac:dyDescent="0.25">
      <c r="A10747" t="s">
        <v>9</v>
      </c>
      <c r="B10747" t="s">
        <v>277</v>
      </c>
      <c r="C10747" t="s">
        <v>876</v>
      </c>
      <c r="D10747" t="s">
        <v>11</v>
      </c>
      <c r="E10747">
        <v>24</v>
      </c>
      <c r="F10747" s="2">
        <f>DATE(2026,IF(Tabla1[[#This Row],[Mes de Fecha]]="Septiembre",9,10),Tabla1[[#This Row],[Día de Fecha]])</f>
        <v>46289</v>
      </c>
      <c r="G10747">
        <v>1081414164</v>
      </c>
      <c r="H10747" t="s">
        <v>279</v>
      </c>
      <c r="I10747">
        <v>114</v>
      </c>
      <c r="J10747">
        <v>0</v>
      </c>
      <c r="K10747" s="1">
        <v>6087656</v>
      </c>
    </row>
    <row r="10748" spans="1:11" x14ac:dyDescent="0.25">
      <c r="A10748" t="s">
        <v>9</v>
      </c>
      <c r="B10748" t="s">
        <v>277</v>
      </c>
      <c r="C10748" t="s">
        <v>876</v>
      </c>
      <c r="D10748" t="s">
        <v>11</v>
      </c>
      <c r="E10748">
        <v>25</v>
      </c>
      <c r="F10748" s="2">
        <f>DATE(2026,IF(Tabla1[[#This Row],[Mes de Fecha]]="Septiembre",9,10),Tabla1[[#This Row],[Día de Fecha]])</f>
        <v>46290</v>
      </c>
      <c r="I10748">
        <v>0</v>
      </c>
      <c r="J10748" s="1">
        <v>6570423</v>
      </c>
      <c r="K10748">
        <v>0</v>
      </c>
    </row>
    <row r="10749" spans="1:11" x14ac:dyDescent="0.25">
      <c r="A10749" t="s">
        <v>9</v>
      </c>
      <c r="B10749" t="s">
        <v>277</v>
      </c>
      <c r="C10749" t="s">
        <v>876</v>
      </c>
      <c r="D10749" t="s">
        <v>11</v>
      </c>
      <c r="E10749">
        <v>25</v>
      </c>
      <c r="F10749" s="2">
        <f>DATE(2026,IF(Tabla1[[#This Row],[Mes de Fecha]]="Septiembre",9,10),Tabla1[[#This Row],[Día de Fecha]])</f>
        <v>46290</v>
      </c>
      <c r="G10749">
        <v>1081414164</v>
      </c>
      <c r="H10749" t="s">
        <v>279</v>
      </c>
      <c r="I10749">
        <v>98</v>
      </c>
      <c r="J10749">
        <v>0</v>
      </c>
      <c r="K10749" s="1">
        <v>5069415</v>
      </c>
    </row>
    <row r="10750" spans="1:11" x14ac:dyDescent="0.25">
      <c r="A10750" t="s">
        <v>9</v>
      </c>
      <c r="B10750" t="s">
        <v>277</v>
      </c>
      <c r="C10750" t="s">
        <v>876</v>
      </c>
      <c r="D10750" t="s">
        <v>11</v>
      </c>
      <c r="E10750">
        <v>26</v>
      </c>
      <c r="F10750" s="2">
        <f>DATE(2026,IF(Tabla1[[#This Row],[Mes de Fecha]]="Septiembre",9,10),Tabla1[[#This Row],[Día de Fecha]])</f>
        <v>46291</v>
      </c>
      <c r="I10750">
        <v>0</v>
      </c>
      <c r="J10750" s="1">
        <v>8285138</v>
      </c>
      <c r="K10750">
        <v>0</v>
      </c>
    </row>
    <row r="10751" spans="1:11" x14ac:dyDescent="0.25">
      <c r="A10751" t="s">
        <v>9</v>
      </c>
      <c r="B10751" t="s">
        <v>277</v>
      </c>
      <c r="C10751" t="s">
        <v>876</v>
      </c>
      <c r="D10751" t="s">
        <v>11</v>
      </c>
      <c r="E10751">
        <v>26</v>
      </c>
      <c r="F10751" s="2">
        <f>DATE(2026,IF(Tabla1[[#This Row],[Mes de Fecha]]="Septiembre",9,10),Tabla1[[#This Row],[Día de Fecha]])</f>
        <v>46291</v>
      </c>
      <c r="G10751">
        <v>1081414164</v>
      </c>
      <c r="H10751" t="s">
        <v>279</v>
      </c>
      <c r="I10751">
        <v>152</v>
      </c>
      <c r="J10751">
        <v>0</v>
      </c>
      <c r="K10751" s="1">
        <v>7955808</v>
      </c>
    </row>
    <row r="10752" spans="1:11" x14ac:dyDescent="0.25">
      <c r="A10752" t="s">
        <v>9</v>
      </c>
      <c r="B10752" t="s">
        <v>277</v>
      </c>
      <c r="C10752" t="s">
        <v>876</v>
      </c>
      <c r="D10752" t="s">
        <v>11</v>
      </c>
      <c r="E10752">
        <v>27</v>
      </c>
      <c r="F10752" s="2">
        <f>DATE(2026,IF(Tabla1[[#This Row],[Mes de Fecha]]="Septiembre",9,10),Tabla1[[#This Row],[Día de Fecha]])</f>
        <v>46292</v>
      </c>
      <c r="I10752">
        <v>0</v>
      </c>
      <c r="J10752" s="1">
        <v>4374476</v>
      </c>
      <c r="K10752">
        <v>0</v>
      </c>
    </row>
    <row r="10753" spans="1:11" x14ac:dyDescent="0.25">
      <c r="A10753" t="s">
        <v>9</v>
      </c>
      <c r="B10753" t="s">
        <v>277</v>
      </c>
      <c r="C10753" t="s">
        <v>876</v>
      </c>
      <c r="D10753" t="s">
        <v>11</v>
      </c>
      <c r="E10753">
        <v>27</v>
      </c>
      <c r="F10753" s="2">
        <f>DATE(2026,IF(Tabla1[[#This Row],[Mes de Fecha]]="Septiembre",9,10),Tabla1[[#This Row],[Día de Fecha]])</f>
        <v>46292</v>
      </c>
      <c r="G10753">
        <v>1081414164</v>
      </c>
      <c r="H10753" t="s">
        <v>279</v>
      </c>
      <c r="I10753">
        <v>94</v>
      </c>
      <c r="J10753">
        <v>0</v>
      </c>
      <c r="K10753" s="1">
        <v>4752232</v>
      </c>
    </row>
    <row r="10754" spans="1:11" x14ac:dyDescent="0.25">
      <c r="A10754" t="s">
        <v>9</v>
      </c>
      <c r="B10754" t="s">
        <v>277</v>
      </c>
      <c r="C10754" t="s">
        <v>876</v>
      </c>
      <c r="D10754" t="s">
        <v>11</v>
      </c>
      <c r="E10754">
        <v>28</v>
      </c>
      <c r="F10754" s="2">
        <f>DATE(2026,IF(Tabla1[[#This Row],[Mes de Fecha]]="Septiembre",9,10),Tabla1[[#This Row],[Día de Fecha]])</f>
        <v>46293</v>
      </c>
      <c r="I10754">
        <v>0</v>
      </c>
      <c r="J10754" s="1">
        <v>3586591</v>
      </c>
      <c r="K10754">
        <v>0</v>
      </c>
    </row>
    <row r="10755" spans="1:11" x14ac:dyDescent="0.25">
      <c r="A10755" t="s">
        <v>9</v>
      </c>
      <c r="B10755" t="s">
        <v>277</v>
      </c>
      <c r="C10755" t="s">
        <v>876</v>
      </c>
      <c r="D10755" t="s">
        <v>11</v>
      </c>
      <c r="E10755">
        <v>28</v>
      </c>
      <c r="F10755" s="2">
        <f>DATE(2026,IF(Tabla1[[#This Row],[Mes de Fecha]]="Septiembre",9,10),Tabla1[[#This Row],[Día de Fecha]])</f>
        <v>46293</v>
      </c>
      <c r="G10755">
        <v>1081414164</v>
      </c>
      <c r="H10755" t="s">
        <v>279</v>
      </c>
      <c r="I10755">
        <v>83</v>
      </c>
      <c r="J10755">
        <v>0</v>
      </c>
      <c r="K10755" s="1">
        <v>4143239</v>
      </c>
    </row>
    <row r="10756" spans="1:11" x14ac:dyDescent="0.25">
      <c r="A10756" t="s">
        <v>9</v>
      </c>
      <c r="B10756" t="s">
        <v>277</v>
      </c>
      <c r="C10756" t="s">
        <v>876</v>
      </c>
      <c r="D10756" t="s">
        <v>11</v>
      </c>
      <c r="E10756">
        <v>29</v>
      </c>
      <c r="F10756" s="2">
        <f>DATE(2026,IF(Tabla1[[#This Row],[Mes de Fecha]]="Septiembre",9,10),Tabla1[[#This Row],[Día de Fecha]])</f>
        <v>46294</v>
      </c>
      <c r="I10756">
        <v>0</v>
      </c>
      <c r="J10756" s="1">
        <v>3987230</v>
      </c>
      <c r="K10756">
        <v>0</v>
      </c>
    </row>
    <row r="10757" spans="1:11" x14ac:dyDescent="0.25">
      <c r="A10757" t="s">
        <v>9</v>
      </c>
      <c r="B10757" t="s">
        <v>277</v>
      </c>
      <c r="C10757" t="s">
        <v>876</v>
      </c>
      <c r="D10757" t="s">
        <v>11</v>
      </c>
      <c r="E10757">
        <v>29</v>
      </c>
      <c r="F10757" s="2">
        <f>DATE(2026,IF(Tabla1[[#This Row],[Mes de Fecha]]="Septiembre",9,10),Tabla1[[#This Row],[Día de Fecha]])</f>
        <v>46294</v>
      </c>
      <c r="G10757">
        <v>1081414164</v>
      </c>
      <c r="H10757" t="s">
        <v>279</v>
      </c>
      <c r="I10757">
        <v>63</v>
      </c>
      <c r="J10757">
        <v>0</v>
      </c>
      <c r="K10757" s="1">
        <v>3490842</v>
      </c>
    </row>
    <row r="10758" spans="1:11" x14ac:dyDescent="0.25">
      <c r="A10758" t="s">
        <v>9</v>
      </c>
      <c r="B10758" t="s">
        <v>277</v>
      </c>
      <c r="C10758" t="s">
        <v>876</v>
      </c>
      <c r="D10758" t="s">
        <v>11</v>
      </c>
      <c r="E10758">
        <v>30</v>
      </c>
      <c r="F10758" s="2">
        <f>DATE(2026,IF(Tabla1[[#This Row],[Mes de Fecha]]="Septiembre",9,10),Tabla1[[#This Row],[Día de Fecha]])</f>
        <v>46295</v>
      </c>
      <c r="I10758">
        <v>0</v>
      </c>
      <c r="J10758" s="1">
        <v>4222605</v>
      </c>
      <c r="K10758">
        <v>0</v>
      </c>
    </row>
    <row r="10759" spans="1:11" x14ac:dyDescent="0.25">
      <c r="A10759" t="s">
        <v>9</v>
      </c>
      <c r="B10759" t="s">
        <v>277</v>
      </c>
      <c r="C10759" t="s">
        <v>876</v>
      </c>
      <c r="D10759" t="s">
        <v>11</v>
      </c>
      <c r="E10759">
        <v>30</v>
      </c>
      <c r="F10759" s="2">
        <f>DATE(2026,IF(Tabla1[[#This Row],[Mes de Fecha]]="Septiembre",9,10),Tabla1[[#This Row],[Día de Fecha]])</f>
        <v>46295</v>
      </c>
      <c r="G10759">
        <v>1081414164</v>
      </c>
      <c r="H10759" t="s">
        <v>279</v>
      </c>
      <c r="I10759">
        <v>65</v>
      </c>
      <c r="J10759">
        <v>0</v>
      </c>
      <c r="K10759" s="1">
        <v>2751096</v>
      </c>
    </row>
    <row r="10760" spans="1:11" x14ac:dyDescent="0.25">
      <c r="A10760" t="s">
        <v>9</v>
      </c>
      <c r="B10760" t="s">
        <v>277</v>
      </c>
      <c r="C10760" t="s">
        <v>876</v>
      </c>
      <c r="D10760" t="s">
        <v>14</v>
      </c>
      <c r="E10760">
        <v>1</v>
      </c>
      <c r="F10760" s="2">
        <f>DATE(2026,IF(Tabla1[[#This Row],[Mes de Fecha]]="Septiembre",9,10),Tabla1[[#This Row],[Día de Fecha]])</f>
        <v>46296</v>
      </c>
      <c r="I10760">
        <v>0</v>
      </c>
      <c r="J10760" s="1">
        <v>3679391</v>
      </c>
      <c r="K10760">
        <v>0</v>
      </c>
    </row>
    <row r="10761" spans="1:11" x14ac:dyDescent="0.25">
      <c r="A10761" t="s">
        <v>9</v>
      </c>
      <c r="B10761" t="s">
        <v>277</v>
      </c>
      <c r="C10761" t="s">
        <v>876</v>
      </c>
      <c r="D10761" t="s">
        <v>14</v>
      </c>
      <c r="E10761">
        <v>1</v>
      </c>
      <c r="F10761" s="2">
        <f>DATE(2026,IF(Tabla1[[#This Row],[Mes de Fecha]]="Septiembre",9,10),Tabla1[[#This Row],[Día de Fecha]])</f>
        <v>46296</v>
      </c>
      <c r="G10761">
        <v>1081414164</v>
      </c>
      <c r="H10761" t="s">
        <v>279</v>
      </c>
      <c r="I10761">
        <v>79</v>
      </c>
      <c r="J10761">
        <v>0</v>
      </c>
      <c r="K10761" s="1">
        <v>3596894</v>
      </c>
    </row>
    <row r="10762" spans="1:11" x14ac:dyDescent="0.25">
      <c r="A10762" t="s">
        <v>9</v>
      </c>
      <c r="B10762" t="s">
        <v>277</v>
      </c>
      <c r="C10762" t="s">
        <v>876</v>
      </c>
      <c r="D10762" t="s">
        <v>14</v>
      </c>
      <c r="E10762">
        <v>2</v>
      </c>
      <c r="F10762" s="2">
        <f>DATE(2026,IF(Tabla1[[#This Row],[Mes de Fecha]]="Septiembre",9,10),Tabla1[[#This Row],[Día de Fecha]])</f>
        <v>46297</v>
      </c>
      <c r="I10762">
        <v>0</v>
      </c>
      <c r="J10762" s="1">
        <v>5618225</v>
      </c>
      <c r="K10762">
        <v>0</v>
      </c>
    </row>
    <row r="10763" spans="1:11" x14ac:dyDescent="0.25">
      <c r="A10763" t="s">
        <v>9</v>
      </c>
      <c r="B10763" t="s">
        <v>277</v>
      </c>
      <c r="C10763" t="s">
        <v>876</v>
      </c>
      <c r="D10763" t="s">
        <v>14</v>
      </c>
      <c r="E10763">
        <v>2</v>
      </c>
      <c r="F10763" s="2">
        <f>DATE(2026,IF(Tabla1[[#This Row],[Mes de Fecha]]="Septiembre",9,10),Tabla1[[#This Row],[Día de Fecha]])</f>
        <v>46297</v>
      </c>
      <c r="G10763">
        <v>1081414164</v>
      </c>
      <c r="H10763" t="s">
        <v>279</v>
      </c>
      <c r="I10763">
        <v>108</v>
      </c>
      <c r="J10763">
        <v>0</v>
      </c>
      <c r="K10763" s="1">
        <v>5144251</v>
      </c>
    </row>
    <row r="10764" spans="1:11" x14ac:dyDescent="0.25">
      <c r="A10764" t="s">
        <v>9</v>
      </c>
      <c r="B10764" t="s">
        <v>277</v>
      </c>
      <c r="C10764" t="s">
        <v>876</v>
      </c>
      <c r="D10764" t="s">
        <v>14</v>
      </c>
      <c r="E10764">
        <v>3</v>
      </c>
      <c r="F10764" s="2">
        <f>DATE(2026,IF(Tabla1[[#This Row],[Mes de Fecha]]="Septiembre",9,10),Tabla1[[#This Row],[Día de Fecha]])</f>
        <v>46298</v>
      </c>
      <c r="I10764">
        <v>0</v>
      </c>
      <c r="J10764" s="1">
        <v>5501369</v>
      </c>
      <c r="K10764">
        <v>0</v>
      </c>
    </row>
    <row r="10765" spans="1:11" x14ac:dyDescent="0.25">
      <c r="A10765" t="s">
        <v>9</v>
      </c>
      <c r="B10765" t="s">
        <v>277</v>
      </c>
      <c r="C10765" t="s">
        <v>876</v>
      </c>
      <c r="D10765" t="s">
        <v>14</v>
      </c>
      <c r="E10765">
        <v>3</v>
      </c>
      <c r="F10765" s="2">
        <f>DATE(2026,IF(Tabla1[[#This Row],[Mes de Fecha]]="Septiembre",9,10),Tabla1[[#This Row],[Día de Fecha]])</f>
        <v>46298</v>
      </c>
      <c r="G10765">
        <v>1081414164</v>
      </c>
      <c r="H10765" t="s">
        <v>279</v>
      </c>
      <c r="I10765">
        <v>173</v>
      </c>
      <c r="J10765">
        <v>0</v>
      </c>
      <c r="K10765" s="1">
        <v>8533978</v>
      </c>
    </row>
    <row r="10766" spans="1:11" x14ac:dyDescent="0.25">
      <c r="A10766" t="s">
        <v>9</v>
      </c>
      <c r="B10766" t="s">
        <v>277</v>
      </c>
      <c r="C10766" t="s">
        <v>876</v>
      </c>
      <c r="D10766" t="s">
        <v>14</v>
      </c>
      <c r="E10766">
        <v>4</v>
      </c>
      <c r="F10766" s="2">
        <f>DATE(2026,IF(Tabla1[[#This Row],[Mes de Fecha]]="Septiembre",9,10),Tabla1[[#This Row],[Día de Fecha]])</f>
        <v>46299</v>
      </c>
      <c r="I10766">
        <v>0</v>
      </c>
      <c r="J10766" s="1">
        <v>2517386</v>
      </c>
      <c r="K10766">
        <v>0</v>
      </c>
    </row>
    <row r="10767" spans="1:11" x14ac:dyDescent="0.25">
      <c r="A10767" t="s">
        <v>9</v>
      </c>
      <c r="B10767" t="s">
        <v>277</v>
      </c>
      <c r="C10767" t="s">
        <v>876</v>
      </c>
      <c r="D10767" t="s">
        <v>14</v>
      </c>
      <c r="E10767">
        <v>4</v>
      </c>
      <c r="F10767" s="2">
        <f>DATE(2026,IF(Tabla1[[#This Row],[Mes de Fecha]]="Septiembre",9,10),Tabla1[[#This Row],[Día de Fecha]])</f>
        <v>46299</v>
      </c>
      <c r="G10767">
        <v>1081414164</v>
      </c>
      <c r="H10767" t="s">
        <v>279</v>
      </c>
      <c r="I10767">
        <v>76</v>
      </c>
      <c r="J10767">
        <v>0</v>
      </c>
      <c r="K10767" s="1">
        <v>3868654</v>
      </c>
    </row>
    <row r="10768" spans="1:11" x14ac:dyDescent="0.25">
      <c r="A10768" t="s">
        <v>9</v>
      </c>
      <c r="B10768" t="s">
        <v>277</v>
      </c>
      <c r="C10768" t="s">
        <v>876</v>
      </c>
      <c r="D10768" t="s">
        <v>14</v>
      </c>
      <c r="E10768">
        <v>5</v>
      </c>
      <c r="F10768" s="2">
        <f>DATE(2026,IF(Tabla1[[#This Row],[Mes de Fecha]]="Septiembre",9,10),Tabla1[[#This Row],[Día de Fecha]])</f>
        <v>46300</v>
      </c>
      <c r="I10768">
        <v>0</v>
      </c>
      <c r="J10768" s="1">
        <v>3378537</v>
      </c>
      <c r="K10768">
        <v>0</v>
      </c>
    </row>
    <row r="10769" spans="1:11" x14ac:dyDescent="0.25">
      <c r="A10769" t="s">
        <v>9</v>
      </c>
      <c r="B10769" t="s">
        <v>277</v>
      </c>
      <c r="C10769" t="s">
        <v>876</v>
      </c>
      <c r="D10769" t="s">
        <v>14</v>
      </c>
      <c r="E10769">
        <v>5</v>
      </c>
      <c r="F10769" s="2">
        <f>DATE(2026,IF(Tabla1[[#This Row],[Mes de Fecha]]="Septiembre",9,10),Tabla1[[#This Row],[Día de Fecha]])</f>
        <v>46300</v>
      </c>
      <c r="G10769">
        <v>1081414164</v>
      </c>
      <c r="H10769" t="s">
        <v>279</v>
      </c>
      <c r="I10769">
        <v>80</v>
      </c>
      <c r="J10769">
        <v>0</v>
      </c>
      <c r="K10769" s="1">
        <v>4263885</v>
      </c>
    </row>
    <row r="10770" spans="1:11" x14ac:dyDescent="0.25">
      <c r="A10770" t="s">
        <v>9</v>
      </c>
      <c r="B10770" t="s">
        <v>277</v>
      </c>
      <c r="C10770" t="s">
        <v>876</v>
      </c>
      <c r="D10770" t="s">
        <v>14</v>
      </c>
      <c r="E10770">
        <v>6</v>
      </c>
      <c r="F10770" s="2">
        <f>DATE(2026,IF(Tabla1[[#This Row],[Mes de Fecha]]="Septiembre",9,10),Tabla1[[#This Row],[Día de Fecha]])</f>
        <v>46301</v>
      </c>
      <c r="I10770">
        <v>0</v>
      </c>
      <c r="J10770" s="1">
        <v>871287</v>
      </c>
      <c r="K10770">
        <v>0</v>
      </c>
    </row>
    <row r="10771" spans="1:11" x14ac:dyDescent="0.25">
      <c r="A10771" t="s">
        <v>9</v>
      </c>
      <c r="B10771" t="s">
        <v>277</v>
      </c>
      <c r="C10771" t="s">
        <v>876</v>
      </c>
      <c r="D10771" t="s">
        <v>14</v>
      </c>
      <c r="E10771">
        <v>6</v>
      </c>
      <c r="F10771" s="2">
        <f>DATE(2026,IF(Tabla1[[#This Row],[Mes de Fecha]]="Septiembre",9,10),Tabla1[[#This Row],[Día de Fecha]])</f>
        <v>46301</v>
      </c>
      <c r="G10771">
        <v>1081397733</v>
      </c>
      <c r="H10771" t="s">
        <v>278</v>
      </c>
      <c r="I10771">
        <v>-1</v>
      </c>
      <c r="J10771">
        <v>0</v>
      </c>
      <c r="K10771" s="1">
        <v>-218403</v>
      </c>
    </row>
    <row r="10772" spans="1:11" x14ac:dyDescent="0.25">
      <c r="A10772" t="s">
        <v>9</v>
      </c>
      <c r="B10772" t="s">
        <v>277</v>
      </c>
      <c r="C10772" t="s">
        <v>876</v>
      </c>
      <c r="D10772" t="s">
        <v>14</v>
      </c>
      <c r="E10772">
        <v>6</v>
      </c>
      <c r="F10772" s="2">
        <f>DATE(2026,IF(Tabla1[[#This Row],[Mes de Fecha]]="Septiembre",9,10),Tabla1[[#This Row],[Día de Fecha]])</f>
        <v>46301</v>
      </c>
      <c r="G10772">
        <v>1081414164</v>
      </c>
      <c r="H10772" t="s">
        <v>279</v>
      </c>
      <c r="I10772">
        <v>71</v>
      </c>
      <c r="J10772">
        <v>0</v>
      </c>
      <c r="K10772" s="1">
        <v>3725676</v>
      </c>
    </row>
    <row r="10773" spans="1:11" x14ac:dyDescent="0.25">
      <c r="A10773" t="s">
        <v>9</v>
      </c>
      <c r="B10773" t="s">
        <v>277</v>
      </c>
      <c r="C10773" t="s">
        <v>876</v>
      </c>
      <c r="D10773" t="s">
        <v>14</v>
      </c>
      <c r="E10773">
        <v>7</v>
      </c>
      <c r="F10773" s="2">
        <f>DATE(2026,IF(Tabla1[[#This Row],[Mes de Fecha]]="Septiembre",9,10),Tabla1[[#This Row],[Día de Fecha]])</f>
        <v>46302</v>
      </c>
      <c r="I10773">
        <v>0</v>
      </c>
      <c r="J10773" s="1">
        <v>949985</v>
      </c>
      <c r="K10773">
        <v>0</v>
      </c>
    </row>
    <row r="10774" spans="1:11" x14ac:dyDescent="0.25">
      <c r="A10774" t="s">
        <v>9</v>
      </c>
      <c r="B10774" t="s">
        <v>277</v>
      </c>
      <c r="C10774" t="s">
        <v>876</v>
      </c>
      <c r="D10774" t="s">
        <v>14</v>
      </c>
      <c r="E10774">
        <v>7</v>
      </c>
      <c r="F10774" s="2">
        <f>DATE(2026,IF(Tabla1[[#This Row],[Mes de Fecha]]="Septiembre",9,10),Tabla1[[#This Row],[Día de Fecha]])</f>
        <v>46302</v>
      </c>
      <c r="G10774">
        <v>1081414164</v>
      </c>
      <c r="H10774" t="s">
        <v>279</v>
      </c>
      <c r="I10774">
        <v>55</v>
      </c>
      <c r="J10774">
        <v>0</v>
      </c>
      <c r="K10774" s="1">
        <v>2997439</v>
      </c>
    </row>
    <row r="10775" spans="1:11" x14ac:dyDescent="0.25">
      <c r="A10775" t="s">
        <v>9</v>
      </c>
      <c r="B10775" t="s">
        <v>298</v>
      </c>
      <c r="C10775" t="s">
        <v>876</v>
      </c>
      <c r="D10775" t="s">
        <v>11</v>
      </c>
      <c r="E10775">
        <v>23</v>
      </c>
      <c r="F10775" s="2">
        <f>DATE(2026,IF(Tabla1[[#This Row],[Mes de Fecha]]="Septiembre",9,10),Tabla1[[#This Row],[Día de Fecha]])</f>
        <v>46288</v>
      </c>
      <c r="I10775">
        <v>0</v>
      </c>
      <c r="J10775" s="1">
        <v>2636155</v>
      </c>
      <c r="K10775">
        <v>0</v>
      </c>
    </row>
    <row r="10776" spans="1:11" x14ac:dyDescent="0.25">
      <c r="A10776" t="s">
        <v>9</v>
      </c>
      <c r="B10776" t="s">
        <v>298</v>
      </c>
      <c r="C10776" t="s">
        <v>876</v>
      </c>
      <c r="D10776" t="s">
        <v>11</v>
      </c>
      <c r="E10776">
        <v>23</v>
      </c>
      <c r="F10776" s="2">
        <f>DATE(2026,IF(Tabla1[[#This Row],[Mes de Fecha]]="Septiembre",9,10),Tabla1[[#This Row],[Día de Fecha]])</f>
        <v>46288</v>
      </c>
      <c r="G10776">
        <v>1003951543</v>
      </c>
      <c r="H10776" t="s">
        <v>299</v>
      </c>
      <c r="I10776">
        <v>14</v>
      </c>
      <c r="J10776">
        <v>0</v>
      </c>
      <c r="K10776" s="1">
        <v>554076</v>
      </c>
    </row>
    <row r="10777" spans="1:11" x14ac:dyDescent="0.25">
      <c r="A10777" t="s">
        <v>9</v>
      </c>
      <c r="B10777" t="s">
        <v>298</v>
      </c>
      <c r="C10777" t="s">
        <v>876</v>
      </c>
      <c r="D10777" t="s">
        <v>11</v>
      </c>
      <c r="E10777">
        <v>23</v>
      </c>
      <c r="F10777" s="2">
        <f>DATE(2026,IF(Tabla1[[#This Row],[Mes de Fecha]]="Septiembre",9,10),Tabla1[[#This Row],[Día de Fecha]])</f>
        <v>46288</v>
      </c>
      <c r="G10777">
        <v>1075300516</v>
      </c>
      <c r="H10777" t="s">
        <v>300</v>
      </c>
      <c r="I10777">
        <v>115</v>
      </c>
      <c r="J10777">
        <v>0</v>
      </c>
      <c r="K10777" s="1">
        <v>6201143</v>
      </c>
    </row>
    <row r="10778" spans="1:11" x14ac:dyDescent="0.25">
      <c r="A10778" t="s">
        <v>9</v>
      </c>
      <c r="B10778" t="s">
        <v>298</v>
      </c>
      <c r="C10778" t="s">
        <v>876</v>
      </c>
      <c r="D10778" t="s">
        <v>11</v>
      </c>
      <c r="E10778">
        <v>24</v>
      </c>
      <c r="F10778" s="2">
        <f>DATE(2026,IF(Tabla1[[#This Row],[Mes de Fecha]]="Septiembre",9,10),Tabla1[[#This Row],[Día de Fecha]])</f>
        <v>46289</v>
      </c>
      <c r="I10778">
        <v>0</v>
      </c>
      <c r="J10778" s="1">
        <v>6817599</v>
      </c>
      <c r="K10778">
        <v>0</v>
      </c>
    </row>
    <row r="10779" spans="1:11" x14ac:dyDescent="0.25">
      <c r="A10779" t="s">
        <v>9</v>
      </c>
      <c r="B10779" t="s">
        <v>298</v>
      </c>
      <c r="C10779" t="s">
        <v>876</v>
      </c>
      <c r="D10779" t="s">
        <v>11</v>
      </c>
      <c r="E10779">
        <v>24</v>
      </c>
      <c r="F10779" s="2">
        <f>DATE(2026,IF(Tabla1[[#This Row],[Mes de Fecha]]="Septiembre",9,10),Tabla1[[#This Row],[Día de Fecha]])</f>
        <v>46289</v>
      </c>
      <c r="G10779">
        <v>1003951543</v>
      </c>
      <c r="H10779" t="s">
        <v>299</v>
      </c>
      <c r="I10779">
        <v>1</v>
      </c>
      <c r="J10779">
        <v>0</v>
      </c>
      <c r="K10779" s="1">
        <v>109202</v>
      </c>
    </row>
    <row r="10780" spans="1:11" x14ac:dyDescent="0.25">
      <c r="A10780" t="s">
        <v>9</v>
      </c>
      <c r="B10780" t="s">
        <v>298</v>
      </c>
      <c r="C10780" t="s">
        <v>876</v>
      </c>
      <c r="D10780" t="s">
        <v>11</v>
      </c>
      <c r="E10780">
        <v>24</v>
      </c>
      <c r="F10780" s="2">
        <f>DATE(2026,IF(Tabla1[[#This Row],[Mes de Fecha]]="Septiembre",9,10),Tabla1[[#This Row],[Día de Fecha]])</f>
        <v>46289</v>
      </c>
      <c r="G10780">
        <v>1075300516</v>
      </c>
      <c r="H10780" t="s">
        <v>300</v>
      </c>
      <c r="I10780">
        <v>91</v>
      </c>
      <c r="J10780">
        <v>0</v>
      </c>
      <c r="K10780" s="1">
        <v>4365931</v>
      </c>
    </row>
    <row r="10781" spans="1:11" x14ac:dyDescent="0.25">
      <c r="A10781" t="s">
        <v>9</v>
      </c>
      <c r="B10781" t="s">
        <v>298</v>
      </c>
      <c r="C10781" t="s">
        <v>876</v>
      </c>
      <c r="D10781" t="s">
        <v>11</v>
      </c>
      <c r="E10781">
        <v>25</v>
      </c>
      <c r="F10781" s="2">
        <f>DATE(2026,IF(Tabla1[[#This Row],[Mes de Fecha]]="Septiembre",9,10),Tabla1[[#This Row],[Día de Fecha]])</f>
        <v>46290</v>
      </c>
      <c r="I10781">
        <v>0</v>
      </c>
      <c r="J10781" s="1">
        <v>7281572</v>
      </c>
      <c r="K10781">
        <v>0</v>
      </c>
    </row>
    <row r="10782" spans="1:11" x14ac:dyDescent="0.25">
      <c r="A10782" t="s">
        <v>9</v>
      </c>
      <c r="B10782" t="s">
        <v>298</v>
      </c>
      <c r="C10782" t="s">
        <v>876</v>
      </c>
      <c r="D10782" t="s">
        <v>11</v>
      </c>
      <c r="E10782">
        <v>25</v>
      </c>
      <c r="F10782" s="2">
        <f>DATE(2026,IF(Tabla1[[#This Row],[Mes de Fecha]]="Septiembre",9,10),Tabla1[[#This Row],[Día de Fecha]])</f>
        <v>46290</v>
      </c>
      <c r="G10782">
        <v>1075300516</v>
      </c>
      <c r="H10782" t="s">
        <v>300</v>
      </c>
      <c r="I10782">
        <v>194</v>
      </c>
      <c r="J10782">
        <v>0</v>
      </c>
      <c r="K10782" s="1">
        <v>10084297</v>
      </c>
    </row>
    <row r="10783" spans="1:11" x14ac:dyDescent="0.25">
      <c r="A10783" t="s">
        <v>9</v>
      </c>
      <c r="B10783" t="s">
        <v>298</v>
      </c>
      <c r="C10783" t="s">
        <v>876</v>
      </c>
      <c r="D10783" t="s">
        <v>11</v>
      </c>
      <c r="E10783">
        <v>26</v>
      </c>
      <c r="F10783" s="2">
        <f>DATE(2026,IF(Tabla1[[#This Row],[Mes de Fecha]]="Septiembre",9,10),Tabla1[[#This Row],[Día de Fecha]])</f>
        <v>46291</v>
      </c>
      <c r="I10783">
        <v>0</v>
      </c>
      <c r="J10783" s="1">
        <v>9181878</v>
      </c>
      <c r="K10783">
        <v>0</v>
      </c>
    </row>
    <row r="10784" spans="1:11" x14ac:dyDescent="0.25">
      <c r="A10784" t="s">
        <v>9</v>
      </c>
      <c r="B10784" t="s">
        <v>298</v>
      </c>
      <c r="C10784" t="s">
        <v>876</v>
      </c>
      <c r="D10784" t="s">
        <v>11</v>
      </c>
      <c r="E10784">
        <v>26</v>
      </c>
      <c r="F10784" s="2">
        <f>DATE(2026,IF(Tabla1[[#This Row],[Mes de Fecha]]="Septiembre",9,10),Tabla1[[#This Row],[Día de Fecha]])</f>
        <v>46291</v>
      </c>
      <c r="G10784">
        <v>1003951543</v>
      </c>
      <c r="H10784" t="s">
        <v>299</v>
      </c>
      <c r="I10784">
        <v>29</v>
      </c>
      <c r="J10784">
        <v>0</v>
      </c>
      <c r="K10784" s="1">
        <v>1471347</v>
      </c>
    </row>
    <row r="10785" spans="1:11" x14ac:dyDescent="0.25">
      <c r="A10785" t="s">
        <v>9</v>
      </c>
      <c r="B10785" t="s">
        <v>298</v>
      </c>
      <c r="C10785" t="s">
        <v>876</v>
      </c>
      <c r="D10785" t="s">
        <v>11</v>
      </c>
      <c r="E10785">
        <v>26</v>
      </c>
      <c r="F10785" s="2">
        <f>DATE(2026,IF(Tabla1[[#This Row],[Mes de Fecha]]="Septiembre",9,10),Tabla1[[#This Row],[Día de Fecha]])</f>
        <v>46291</v>
      </c>
      <c r="G10785">
        <v>1075300516</v>
      </c>
      <c r="H10785" t="s">
        <v>300</v>
      </c>
      <c r="I10785">
        <v>53</v>
      </c>
      <c r="J10785">
        <v>0</v>
      </c>
      <c r="K10785" s="1">
        <v>2711564</v>
      </c>
    </row>
    <row r="10786" spans="1:11" x14ac:dyDescent="0.25">
      <c r="A10786" t="s">
        <v>9</v>
      </c>
      <c r="B10786" t="s">
        <v>298</v>
      </c>
      <c r="C10786" t="s">
        <v>876</v>
      </c>
      <c r="D10786" t="s">
        <v>11</v>
      </c>
      <c r="E10786">
        <v>26</v>
      </c>
      <c r="F10786" s="2">
        <f>DATE(2026,IF(Tabla1[[#This Row],[Mes de Fecha]]="Septiembre",9,10),Tabla1[[#This Row],[Día de Fecha]])</f>
        <v>46291</v>
      </c>
      <c r="G10786">
        <v>1117812502</v>
      </c>
      <c r="H10786" t="s">
        <v>301</v>
      </c>
      <c r="I10786">
        <v>24</v>
      </c>
      <c r="J10786">
        <v>0</v>
      </c>
      <c r="K10786" s="1">
        <v>1431725</v>
      </c>
    </row>
    <row r="10787" spans="1:11" x14ac:dyDescent="0.25">
      <c r="A10787" t="s">
        <v>9</v>
      </c>
      <c r="B10787" t="s">
        <v>298</v>
      </c>
      <c r="C10787" t="s">
        <v>876</v>
      </c>
      <c r="D10787" t="s">
        <v>11</v>
      </c>
      <c r="E10787">
        <v>26</v>
      </c>
      <c r="F10787" s="2">
        <f>DATE(2026,IF(Tabla1[[#This Row],[Mes de Fecha]]="Septiembre",9,10),Tabla1[[#This Row],[Día de Fecha]])</f>
        <v>46291</v>
      </c>
      <c r="G10787">
        <v>1117813657</v>
      </c>
      <c r="H10787" t="s">
        <v>302</v>
      </c>
      <c r="I10787">
        <v>58</v>
      </c>
      <c r="J10787">
        <v>0</v>
      </c>
      <c r="K10787" s="1">
        <v>3140384</v>
      </c>
    </row>
    <row r="10788" spans="1:11" x14ac:dyDescent="0.25">
      <c r="A10788" t="s">
        <v>9</v>
      </c>
      <c r="B10788" t="s">
        <v>298</v>
      </c>
      <c r="C10788" t="s">
        <v>876</v>
      </c>
      <c r="D10788" t="s">
        <v>11</v>
      </c>
      <c r="E10788">
        <v>26</v>
      </c>
      <c r="F10788" s="2">
        <f>DATE(2026,IF(Tabla1[[#This Row],[Mes de Fecha]]="Septiembre",9,10),Tabla1[[#This Row],[Día de Fecha]])</f>
        <v>46291</v>
      </c>
      <c r="G10788">
        <v>1117816461</v>
      </c>
      <c r="H10788" t="s">
        <v>303</v>
      </c>
      <c r="I10788">
        <v>76</v>
      </c>
      <c r="J10788">
        <v>0</v>
      </c>
      <c r="K10788" s="1">
        <v>3662571</v>
      </c>
    </row>
    <row r="10789" spans="1:11" x14ac:dyDescent="0.25">
      <c r="A10789" t="s">
        <v>9</v>
      </c>
      <c r="B10789" t="s">
        <v>298</v>
      </c>
      <c r="C10789" t="s">
        <v>876</v>
      </c>
      <c r="D10789" t="s">
        <v>11</v>
      </c>
      <c r="E10789">
        <v>27</v>
      </c>
      <c r="F10789" s="2">
        <f>DATE(2026,IF(Tabla1[[#This Row],[Mes de Fecha]]="Septiembre",9,10),Tabla1[[#This Row],[Día de Fecha]])</f>
        <v>46292</v>
      </c>
      <c r="I10789">
        <v>0</v>
      </c>
      <c r="J10789" s="1">
        <v>4847946</v>
      </c>
      <c r="K10789">
        <v>0</v>
      </c>
    </row>
    <row r="10790" spans="1:11" x14ac:dyDescent="0.25">
      <c r="A10790" t="s">
        <v>9</v>
      </c>
      <c r="B10790" t="s">
        <v>298</v>
      </c>
      <c r="C10790" t="s">
        <v>876</v>
      </c>
      <c r="D10790" t="s">
        <v>11</v>
      </c>
      <c r="E10790">
        <v>27</v>
      </c>
      <c r="F10790" s="2">
        <f>DATE(2026,IF(Tabla1[[#This Row],[Mes de Fecha]]="Septiembre",9,10),Tabla1[[#This Row],[Día de Fecha]])</f>
        <v>46292</v>
      </c>
      <c r="G10790">
        <v>1003951543</v>
      </c>
      <c r="H10790" t="s">
        <v>299</v>
      </c>
      <c r="I10790">
        <v>4</v>
      </c>
      <c r="J10790">
        <v>0</v>
      </c>
      <c r="K10790" s="1">
        <v>184665</v>
      </c>
    </row>
    <row r="10791" spans="1:11" x14ac:dyDescent="0.25">
      <c r="A10791" t="s">
        <v>9</v>
      </c>
      <c r="B10791" t="s">
        <v>298</v>
      </c>
      <c r="C10791" t="s">
        <v>876</v>
      </c>
      <c r="D10791" t="s">
        <v>11</v>
      </c>
      <c r="E10791">
        <v>27</v>
      </c>
      <c r="F10791" s="2">
        <f>DATE(2026,IF(Tabla1[[#This Row],[Mes de Fecha]]="Septiembre",9,10),Tabla1[[#This Row],[Día de Fecha]])</f>
        <v>46292</v>
      </c>
      <c r="G10791">
        <v>1075300516</v>
      </c>
      <c r="H10791" t="s">
        <v>300</v>
      </c>
      <c r="I10791">
        <v>7</v>
      </c>
      <c r="J10791">
        <v>0</v>
      </c>
      <c r="K10791" s="1">
        <v>289537</v>
      </c>
    </row>
    <row r="10792" spans="1:11" x14ac:dyDescent="0.25">
      <c r="A10792" t="s">
        <v>9</v>
      </c>
      <c r="B10792" t="s">
        <v>298</v>
      </c>
      <c r="C10792" t="s">
        <v>876</v>
      </c>
      <c r="D10792" t="s">
        <v>11</v>
      </c>
      <c r="E10792">
        <v>27</v>
      </c>
      <c r="F10792" s="2">
        <f>DATE(2026,IF(Tabla1[[#This Row],[Mes de Fecha]]="Septiembre",9,10),Tabla1[[#This Row],[Día de Fecha]])</f>
        <v>46292</v>
      </c>
      <c r="G10792">
        <v>1117812502</v>
      </c>
      <c r="H10792" t="s">
        <v>301</v>
      </c>
      <c r="I10792">
        <v>1</v>
      </c>
      <c r="J10792">
        <v>0</v>
      </c>
      <c r="K10792" s="1">
        <v>14664</v>
      </c>
    </row>
    <row r="10793" spans="1:11" x14ac:dyDescent="0.25">
      <c r="A10793" t="s">
        <v>9</v>
      </c>
      <c r="B10793" t="s">
        <v>298</v>
      </c>
      <c r="C10793" t="s">
        <v>876</v>
      </c>
      <c r="D10793" t="s">
        <v>11</v>
      </c>
      <c r="E10793">
        <v>27</v>
      </c>
      <c r="F10793" s="2">
        <f>DATE(2026,IF(Tabla1[[#This Row],[Mes de Fecha]]="Septiembre",9,10),Tabla1[[#This Row],[Día de Fecha]])</f>
        <v>46292</v>
      </c>
      <c r="G10793">
        <v>1117813657</v>
      </c>
      <c r="H10793" t="s">
        <v>302</v>
      </c>
      <c r="I10793">
        <v>38</v>
      </c>
      <c r="J10793">
        <v>0</v>
      </c>
      <c r="K10793" s="1">
        <v>2004667</v>
      </c>
    </row>
    <row r="10794" spans="1:11" x14ac:dyDescent="0.25">
      <c r="A10794" t="s">
        <v>9</v>
      </c>
      <c r="B10794" t="s">
        <v>298</v>
      </c>
      <c r="C10794" t="s">
        <v>876</v>
      </c>
      <c r="D10794" t="s">
        <v>11</v>
      </c>
      <c r="E10794">
        <v>27</v>
      </c>
      <c r="F10794" s="2">
        <f>DATE(2026,IF(Tabla1[[#This Row],[Mes de Fecha]]="Septiembre",9,10),Tabla1[[#This Row],[Día de Fecha]])</f>
        <v>46292</v>
      </c>
      <c r="G10794">
        <v>1117816461</v>
      </c>
      <c r="H10794" t="s">
        <v>303</v>
      </c>
      <c r="I10794">
        <v>34</v>
      </c>
      <c r="J10794">
        <v>0</v>
      </c>
      <c r="K10794" s="1">
        <v>1677019</v>
      </c>
    </row>
    <row r="10795" spans="1:11" x14ac:dyDescent="0.25">
      <c r="A10795" t="s">
        <v>9</v>
      </c>
      <c r="B10795" t="s">
        <v>298</v>
      </c>
      <c r="C10795" t="s">
        <v>876</v>
      </c>
      <c r="D10795" t="s">
        <v>11</v>
      </c>
      <c r="E10795">
        <v>28</v>
      </c>
      <c r="F10795" s="2">
        <f>DATE(2026,IF(Tabla1[[#This Row],[Mes de Fecha]]="Septiembre",9,10),Tabla1[[#This Row],[Día de Fecha]])</f>
        <v>46293</v>
      </c>
      <c r="I10795">
        <v>0</v>
      </c>
      <c r="J10795" s="1">
        <v>3974785</v>
      </c>
      <c r="K10795">
        <v>0</v>
      </c>
    </row>
    <row r="10796" spans="1:11" x14ac:dyDescent="0.25">
      <c r="A10796" t="s">
        <v>9</v>
      </c>
      <c r="B10796" t="s">
        <v>298</v>
      </c>
      <c r="C10796" t="s">
        <v>876</v>
      </c>
      <c r="D10796" t="s">
        <v>11</v>
      </c>
      <c r="E10796">
        <v>28</v>
      </c>
      <c r="F10796" s="2">
        <f>DATE(2026,IF(Tabla1[[#This Row],[Mes de Fecha]]="Septiembre",9,10),Tabla1[[#This Row],[Día de Fecha]])</f>
        <v>46293</v>
      </c>
      <c r="G10796">
        <v>1003951543</v>
      </c>
      <c r="H10796" t="s">
        <v>299</v>
      </c>
      <c r="I10796">
        <v>15</v>
      </c>
      <c r="J10796">
        <v>0</v>
      </c>
      <c r="K10796" s="1">
        <v>579161</v>
      </c>
    </row>
    <row r="10797" spans="1:11" x14ac:dyDescent="0.25">
      <c r="A10797" t="s">
        <v>9</v>
      </c>
      <c r="B10797" t="s">
        <v>298</v>
      </c>
      <c r="C10797" t="s">
        <v>876</v>
      </c>
      <c r="D10797" t="s">
        <v>11</v>
      </c>
      <c r="E10797">
        <v>28</v>
      </c>
      <c r="F10797" s="2">
        <f>DATE(2026,IF(Tabla1[[#This Row],[Mes de Fecha]]="Septiembre",9,10),Tabla1[[#This Row],[Día de Fecha]])</f>
        <v>46293</v>
      </c>
      <c r="G10797">
        <v>1075300516</v>
      </c>
      <c r="H10797" t="s">
        <v>300</v>
      </c>
      <c r="I10797">
        <v>4</v>
      </c>
      <c r="J10797">
        <v>0</v>
      </c>
      <c r="K10797" s="1">
        <v>230923</v>
      </c>
    </row>
    <row r="10798" spans="1:11" x14ac:dyDescent="0.25">
      <c r="A10798" t="s">
        <v>9</v>
      </c>
      <c r="B10798" t="s">
        <v>298</v>
      </c>
      <c r="C10798" t="s">
        <v>876</v>
      </c>
      <c r="D10798" t="s">
        <v>11</v>
      </c>
      <c r="E10798">
        <v>28</v>
      </c>
      <c r="F10798" s="2">
        <f>DATE(2026,IF(Tabla1[[#This Row],[Mes de Fecha]]="Septiembre",9,10),Tabla1[[#This Row],[Día de Fecha]])</f>
        <v>46293</v>
      </c>
      <c r="G10798">
        <v>1117813657</v>
      </c>
      <c r="H10798" t="s">
        <v>302</v>
      </c>
      <c r="I10798">
        <v>44</v>
      </c>
      <c r="J10798">
        <v>0</v>
      </c>
      <c r="K10798" s="1">
        <v>2304748</v>
      </c>
    </row>
    <row r="10799" spans="1:11" x14ac:dyDescent="0.25">
      <c r="A10799" t="s">
        <v>9</v>
      </c>
      <c r="B10799" t="s">
        <v>298</v>
      </c>
      <c r="C10799" t="s">
        <v>876</v>
      </c>
      <c r="D10799" t="s">
        <v>11</v>
      </c>
      <c r="E10799">
        <v>28</v>
      </c>
      <c r="F10799" s="2">
        <f>DATE(2026,IF(Tabla1[[#This Row],[Mes de Fecha]]="Septiembre",9,10),Tabla1[[#This Row],[Día de Fecha]])</f>
        <v>46293</v>
      </c>
      <c r="G10799">
        <v>1117816461</v>
      </c>
      <c r="H10799" t="s">
        <v>303</v>
      </c>
      <c r="I10799">
        <v>63</v>
      </c>
      <c r="J10799">
        <v>0</v>
      </c>
      <c r="K10799" s="1">
        <v>3036935</v>
      </c>
    </row>
    <row r="10800" spans="1:11" x14ac:dyDescent="0.25">
      <c r="A10800" t="s">
        <v>9</v>
      </c>
      <c r="B10800" t="s">
        <v>298</v>
      </c>
      <c r="C10800" t="s">
        <v>876</v>
      </c>
      <c r="D10800" t="s">
        <v>11</v>
      </c>
      <c r="E10800">
        <v>29</v>
      </c>
      <c r="F10800" s="2">
        <f>DATE(2026,IF(Tabla1[[#This Row],[Mes de Fecha]]="Septiembre",9,10),Tabla1[[#This Row],[Día de Fecha]])</f>
        <v>46294</v>
      </c>
      <c r="I10800">
        <v>0</v>
      </c>
      <c r="J10800" s="1">
        <v>4418787</v>
      </c>
      <c r="K10800">
        <v>0</v>
      </c>
    </row>
    <row r="10801" spans="1:11" x14ac:dyDescent="0.25">
      <c r="A10801" t="s">
        <v>9</v>
      </c>
      <c r="B10801" t="s">
        <v>298</v>
      </c>
      <c r="C10801" t="s">
        <v>876</v>
      </c>
      <c r="D10801" t="s">
        <v>11</v>
      </c>
      <c r="E10801">
        <v>29</v>
      </c>
      <c r="F10801" s="2">
        <f>DATE(2026,IF(Tabla1[[#This Row],[Mes de Fecha]]="Septiembre",9,10),Tabla1[[#This Row],[Día de Fecha]])</f>
        <v>46294</v>
      </c>
      <c r="G10801">
        <v>1003951543</v>
      </c>
      <c r="H10801" t="s">
        <v>299</v>
      </c>
      <c r="I10801">
        <v>10</v>
      </c>
      <c r="J10801">
        <v>0</v>
      </c>
      <c r="K10801" s="1">
        <v>438573</v>
      </c>
    </row>
    <row r="10802" spans="1:11" x14ac:dyDescent="0.25">
      <c r="A10802" t="s">
        <v>9</v>
      </c>
      <c r="B10802" t="s">
        <v>298</v>
      </c>
      <c r="C10802" t="s">
        <v>876</v>
      </c>
      <c r="D10802" t="s">
        <v>11</v>
      </c>
      <c r="E10802">
        <v>29</v>
      </c>
      <c r="F10802" s="2">
        <f>DATE(2026,IF(Tabla1[[#This Row],[Mes de Fecha]]="Septiembre",9,10),Tabla1[[#This Row],[Día de Fecha]])</f>
        <v>46294</v>
      </c>
      <c r="G10802">
        <v>1075300516</v>
      </c>
      <c r="H10802" t="s">
        <v>300</v>
      </c>
      <c r="I10802">
        <v>10</v>
      </c>
      <c r="J10802">
        <v>0</v>
      </c>
      <c r="K10802" s="1">
        <v>377691</v>
      </c>
    </row>
    <row r="10803" spans="1:11" x14ac:dyDescent="0.25">
      <c r="A10803" t="s">
        <v>9</v>
      </c>
      <c r="B10803" t="s">
        <v>298</v>
      </c>
      <c r="C10803" t="s">
        <v>876</v>
      </c>
      <c r="D10803" t="s">
        <v>11</v>
      </c>
      <c r="E10803">
        <v>29</v>
      </c>
      <c r="F10803" s="2">
        <f>DATE(2026,IF(Tabla1[[#This Row],[Mes de Fecha]]="Septiembre",9,10),Tabla1[[#This Row],[Día de Fecha]])</f>
        <v>46294</v>
      </c>
      <c r="G10803">
        <v>1117813657</v>
      </c>
      <c r="H10803" t="s">
        <v>302</v>
      </c>
      <c r="I10803">
        <v>28</v>
      </c>
      <c r="J10803">
        <v>0</v>
      </c>
      <c r="K10803" s="1">
        <v>1454707</v>
      </c>
    </row>
    <row r="10804" spans="1:11" x14ac:dyDescent="0.25">
      <c r="A10804" t="s">
        <v>9</v>
      </c>
      <c r="B10804" t="s">
        <v>298</v>
      </c>
      <c r="C10804" t="s">
        <v>876</v>
      </c>
      <c r="D10804" t="s">
        <v>11</v>
      </c>
      <c r="E10804">
        <v>29</v>
      </c>
      <c r="F10804" s="2">
        <f>DATE(2026,IF(Tabla1[[#This Row],[Mes de Fecha]]="Septiembre",9,10),Tabla1[[#This Row],[Día de Fecha]])</f>
        <v>46294</v>
      </c>
      <c r="G10804">
        <v>1117816461</v>
      </c>
      <c r="H10804" t="s">
        <v>303</v>
      </c>
      <c r="I10804">
        <v>84</v>
      </c>
      <c r="J10804">
        <v>0</v>
      </c>
      <c r="K10804" s="1">
        <v>4512649</v>
      </c>
    </row>
    <row r="10805" spans="1:11" x14ac:dyDescent="0.25">
      <c r="A10805" t="s">
        <v>9</v>
      </c>
      <c r="B10805" t="s">
        <v>298</v>
      </c>
      <c r="C10805" t="s">
        <v>876</v>
      </c>
      <c r="D10805" t="s">
        <v>11</v>
      </c>
      <c r="E10805">
        <v>30</v>
      </c>
      <c r="F10805" s="2">
        <f>DATE(2026,IF(Tabla1[[#This Row],[Mes de Fecha]]="Septiembre",9,10),Tabla1[[#This Row],[Día de Fecha]])</f>
        <v>46295</v>
      </c>
      <c r="I10805">
        <v>0</v>
      </c>
      <c r="J10805" s="1">
        <v>4679634</v>
      </c>
      <c r="K10805">
        <v>0</v>
      </c>
    </row>
    <row r="10806" spans="1:11" x14ac:dyDescent="0.25">
      <c r="A10806" t="s">
        <v>9</v>
      </c>
      <c r="B10806" t="s">
        <v>298</v>
      </c>
      <c r="C10806" t="s">
        <v>876</v>
      </c>
      <c r="D10806" t="s">
        <v>11</v>
      </c>
      <c r="E10806">
        <v>30</v>
      </c>
      <c r="F10806" s="2">
        <f>DATE(2026,IF(Tabla1[[#This Row],[Mes de Fecha]]="Septiembre",9,10),Tabla1[[#This Row],[Día de Fecha]])</f>
        <v>46295</v>
      </c>
      <c r="G10806">
        <v>1003951543</v>
      </c>
      <c r="H10806" t="s">
        <v>299</v>
      </c>
      <c r="I10806">
        <v>23</v>
      </c>
      <c r="J10806">
        <v>0</v>
      </c>
      <c r="K10806" s="1">
        <v>1305633</v>
      </c>
    </row>
    <row r="10807" spans="1:11" x14ac:dyDescent="0.25">
      <c r="A10807" t="s">
        <v>9</v>
      </c>
      <c r="B10807" t="s">
        <v>298</v>
      </c>
      <c r="C10807" t="s">
        <v>876</v>
      </c>
      <c r="D10807" t="s">
        <v>11</v>
      </c>
      <c r="E10807">
        <v>30</v>
      </c>
      <c r="F10807" s="2">
        <f>DATE(2026,IF(Tabla1[[#This Row],[Mes de Fecha]]="Septiembre",9,10),Tabla1[[#This Row],[Día de Fecha]])</f>
        <v>46295</v>
      </c>
      <c r="G10807">
        <v>1117813657</v>
      </c>
      <c r="H10807" t="s">
        <v>302</v>
      </c>
      <c r="I10807">
        <v>18</v>
      </c>
      <c r="J10807">
        <v>0</v>
      </c>
      <c r="K10807" s="1">
        <v>965591</v>
      </c>
    </row>
    <row r="10808" spans="1:11" x14ac:dyDescent="0.25">
      <c r="A10808" t="s">
        <v>9</v>
      </c>
      <c r="B10808" t="s">
        <v>298</v>
      </c>
      <c r="C10808" t="s">
        <v>876</v>
      </c>
      <c r="D10808" t="s">
        <v>11</v>
      </c>
      <c r="E10808">
        <v>30</v>
      </c>
      <c r="F10808" s="2">
        <f>DATE(2026,IF(Tabla1[[#This Row],[Mes de Fecha]]="Septiembre",9,10),Tabla1[[#This Row],[Día de Fecha]])</f>
        <v>46295</v>
      </c>
      <c r="G10808">
        <v>1117816461</v>
      </c>
      <c r="H10808" t="s">
        <v>303</v>
      </c>
      <c r="I10808">
        <v>41</v>
      </c>
      <c r="J10808">
        <v>0</v>
      </c>
      <c r="K10808" s="1">
        <v>2021305</v>
      </c>
    </row>
    <row r="10809" spans="1:11" x14ac:dyDescent="0.25">
      <c r="A10809" t="s">
        <v>9</v>
      </c>
      <c r="B10809" t="s">
        <v>298</v>
      </c>
      <c r="C10809" t="s">
        <v>876</v>
      </c>
      <c r="D10809" t="s">
        <v>14</v>
      </c>
      <c r="E10809">
        <v>1</v>
      </c>
      <c r="F10809" s="2">
        <f>DATE(2026,IF(Tabla1[[#This Row],[Mes de Fecha]]="Septiembre",9,10),Tabla1[[#This Row],[Día de Fecha]])</f>
        <v>46296</v>
      </c>
      <c r="I10809">
        <v>0</v>
      </c>
      <c r="J10809" s="1">
        <v>16758382</v>
      </c>
      <c r="K10809">
        <v>0</v>
      </c>
    </row>
    <row r="10810" spans="1:11" x14ac:dyDescent="0.25">
      <c r="A10810" t="s">
        <v>9</v>
      </c>
      <c r="B10810" t="s">
        <v>298</v>
      </c>
      <c r="C10810" t="s">
        <v>876</v>
      </c>
      <c r="D10810" t="s">
        <v>14</v>
      </c>
      <c r="E10810">
        <v>1</v>
      </c>
      <c r="F10810" s="2">
        <f>DATE(2026,IF(Tabla1[[#This Row],[Mes de Fecha]]="Septiembre",9,10),Tabla1[[#This Row],[Día de Fecha]])</f>
        <v>46296</v>
      </c>
      <c r="G10810">
        <v>1003951543</v>
      </c>
      <c r="H10810" t="s">
        <v>299</v>
      </c>
      <c r="I10810">
        <v>25</v>
      </c>
      <c r="J10810">
        <v>0</v>
      </c>
      <c r="K10810" s="1">
        <v>1250885</v>
      </c>
    </row>
    <row r="10811" spans="1:11" x14ac:dyDescent="0.25">
      <c r="A10811" t="s">
        <v>9</v>
      </c>
      <c r="B10811" t="s">
        <v>298</v>
      </c>
      <c r="C10811" t="s">
        <v>876</v>
      </c>
      <c r="D10811" t="s">
        <v>14</v>
      </c>
      <c r="E10811">
        <v>1</v>
      </c>
      <c r="F10811" s="2">
        <f>DATE(2026,IF(Tabla1[[#This Row],[Mes de Fecha]]="Septiembre",9,10),Tabla1[[#This Row],[Día de Fecha]])</f>
        <v>46296</v>
      </c>
      <c r="G10811">
        <v>1075300516</v>
      </c>
      <c r="H10811" t="s">
        <v>300</v>
      </c>
      <c r="I10811">
        <v>0</v>
      </c>
      <c r="J10811">
        <v>0</v>
      </c>
      <c r="K10811" s="1">
        <v>25211</v>
      </c>
    </row>
    <row r="10812" spans="1:11" x14ac:dyDescent="0.25">
      <c r="A10812" t="s">
        <v>9</v>
      </c>
      <c r="B10812" t="s">
        <v>298</v>
      </c>
      <c r="C10812" t="s">
        <v>876</v>
      </c>
      <c r="D10812" t="s">
        <v>14</v>
      </c>
      <c r="E10812">
        <v>1</v>
      </c>
      <c r="F10812" s="2">
        <f>DATE(2026,IF(Tabla1[[#This Row],[Mes de Fecha]]="Septiembre",9,10),Tabla1[[#This Row],[Día de Fecha]])</f>
        <v>46296</v>
      </c>
      <c r="G10812">
        <v>1117813657</v>
      </c>
      <c r="H10812" t="s">
        <v>302</v>
      </c>
      <c r="I10812">
        <v>26</v>
      </c>
      <c r="J10812">
        <v>0</v>
      </c>
      <c r="K10812" s="1">
        <v>1328658</v>
      </c>
    </row>
    <row r="10813" spans="1:11" x14ac:dyDescent="0.25">
      <c r="A10813" t="s">
        <v>9</v>
      </c>
      <c r="B10813" t="s">
        <v>298</v>
      </c>
      <c r="C10813" t="s">
        <v>876</v>
      </c>
      <c r="D10813" t="s">
        <v>14</v>
      </c>
      <c r="E10813">
        <v>1</v>
      </c>
      <c r="F10813" s="2">
        <f>DATE(2026,IF(Tabla1[[#This Row],[Mes de Fecha]]="Septiembre",9,10),Tabla1[[#This Row],[Día de Fecha]])</f>
        <v>46296</v>
      </c>
      <c r="G10813">
        <v>1117816461</v>
      </c>
      <c r="H10813" t="s">
        <v>303</v>
      </c>
      <c r="I10813">
        <v>65</v>
      </c>
      <c r="J10813">
        <v>0</v>
      </c>
      <c r="K10813" s="1">
        <v>3347905</v>
      </c>
    </row>
    <row r="10814" spans="1:11" x14ac:dyDescent="0.25">
      <c r="A10814" t="s">
        <v>9</v>
      </c>
      <c r="B10814" t="s">
        <v>298</v>
      </c>
      <c r="C10814" t="s">
        <v>876</v>
      </c>
      <c r="D10814" t="s">
        <v>14</v>
      </c>
      <c r="E10814">
        <v>2</v>
      </c>
      <c r="F10814" s="2">
        <f>DATE(2026,IF(Tabla1[[#This Row],[Mes de Fecha]]="Septiembre",9,10),Tabla1[[#This Row],[Día de Fecha]])</f>
        <v>46297</v>
      </c>
      <c r="I10814">
        <v>0</v>
      </c>
      <c r="J10814" s="1">
        <v>16332339</v>
      </c>
      <c r="K10814">
        <v>0</v>
      </c>
    </row>
    <row r="10815" spans="1:11" x14ac:dyDescent="0.25">
      <c r="A10815" t="s">
        <v>9</v>
      </c>
      <c r="B10815" t="s">
        <v>298</v>
      </c>
      <c r="C10815" t="s">
        <v>876</v>
      </c>
      <c r="D10815" t="s">
        <v>14</v>
      </c>
      <c r="E10815">
        <v>2</v>
      </c>
      <c r="F10815" s="2">
        <f>DATE(2026,IF(Tabla1[[#This Row],[Mes de Fecha]]="Septiembre",9,10),Tabla1[[#This Row],[Día de Fecha]])</f>
        <v>46297</v>
      </c>
      <c r="G10815">
        <v>1003951543</v>
      </c>
      <c r="H10815" t="s">
        <v>299</v>
      </c>
      <c r="I10815">
        <v>22</v>
      </c>
      <c r="J10815">
        <v>0</v>
      </c>
      <c r="K10815" s="1">
        <v>1137564</v>
      </c>
    </row>
    <row r="10816" spans="1:11" x14ac:dyDescent="0.25">
      <c r="A10816" t="s">
        <v>9</v>
      </c>
      <c r="B10816" t="s">
        <v>298</v>
      </c>
      <c r="C10816" t="s">
        <v>876</v>
      </c>
      <c r="D10816" t="s">
        <v>14</v>
      </c>
      <c r="E10816">
        <v>2</v>
      </c>
      <c r="F10816" s="2">
        <f>DATE(2026,IF(Tabla1[[#This Row],[Mes de Fecha]]="Septiembre",9,10),Tabla1[[#This Row],[Día de Fecha]])</f>
        <v>46297</v>
      </c>
      <c r="G10816">
        <v>1075300516</v>
      </c>
      <c r="H10816" t="s">
        <v>300</v>
      </c>
      <c r="I10816">
        <v>3</v>
      </c>
      <c r="J10816">
        <v>0</v>
      </c>
      <c r="K10816" s="1">
        <v>167941</v>
      </c>
    </row>
    <row r="10817" spans="1:11" x14ac:dyDescent="0.25">
      <c r="A10817" t="s">
        <v>9</v>
      </c>
      <c r="B10817" t="s">
        <v>298</v>
      </c>
      <c r="C10817" t="s">
        <v>876</v>
      </c>
      <c r="D10817" t="s">
        <v>14</v>
      </c>
      <c r="E10817">
        <v>2</v>
      </c>
      <c r="F10817" s="2">
        <f>DATE(2026,IF(Tabla1[[#This Row],[Mes de Fecha]]="Septiembre",9,10),Tabla1[[#This Row],[Día de Fecha]])</f>
        <v>46297</v>
      </c>
      <c r="G10817">
        <v>1117813657</v>
      </c>
      <c r="H10817" t="s">
        <v>302</v>
      </c>
      <c r="I10817">
        <v>19</v>
      </c>
      <c r="J10817">
        <v>0</v>
      </c>
      <c r="K10817" s="1">
        <v>755338</v>
      </c>
    </row>
    <row r="10818" spans="1:11" x14ac:dyDescent="0.25">
      <c r="A10818" t="s">
        <v>9</v>
      </c>
      <c r="B10818" t="s">
        <v>298</v>
      </c>
      <c r="C10818" t="s">
        <v>876</v>
      </c>
      <c r="D10818" t="s">
        <v>14</v>
      </c>
      <c r="E10818">
        <v>2</v>
      </c>
      <c r="F10818" s="2">
        <f>DATE(2026,IF(Tabla1[[#This Row],[Mes de Fecha]]="Septiembre",9,10),Tabla1[[#This Row],[Día de Fecha]])</f>
        <v>46297</v>
      </c>
      <c r="G10818">
        <v>1117816461</v>
      </c>
      <c r="H10818" t="s">
        <v>303</v>
      </c>
      <c r="I10818">
        <v>42</v>
      </c>
      <c r="J10818">
        <v>0</v>
      </c>
      <c r="K10818" s="1">
        <v>2136810</v>
      </c>
    </row>
    <row r="10819" spans="1:11" x14ac:dyDescent="0.25">
      <c r="A10819" t="s">
        <v>9</v>
      </c>
      <c r="B10819" t="s">
        <v>298</v>
      </c>
      <c r="C10819" t="s">
        <v>876</v>
      </c>
      <c r="D10819" t="s">
        <v>14</v>
      </c>
      <c r="E10819">
        <v>3</v>
      </c>
      <c r="F10819" s="2">
        <f>DATE(2026,IF(Tabla1[[#This Row],[Mes de Fecha]]="Septiembre",9,10),Tabla1[[#This Row],[Día de Fecha]])</f>
        <v>46298</v>
      </c>
      <c r="I10819">
        <v>0</v>
      </c>
      <c r="J10819" s="1">
        <v>14750708</v>
      </c>
      <c r="K10819">
        <v>0</v>
      </c>
    </row>
    <row r="10820" spans="1:11" x14ac:dyDescent="0.25">
      <c r="A10820" t="s">
        <v>9</v>
      </c>
      <c r="B10820" t="s">
        <v>298</v>
      </c>
      <c r="C10820" t="s">
        <v>876</v>
      </c>
      <c r="D10820" t="s">
        <v>14</v>
      </c>
      <c r="E10820">
        <v>3</v>
      </c>
      <c r="F10820" s="2">
        <f>DATE(2026,IF(Tabla1[[#This Row],[Mes de Fecha]]="Septiembre",9,10),Tabla1[[#This Row],[Día de Fecha]])</f>
        <v>46298</v>
      </c>
      <c r="G10820">
        <v>1003951543</v>
      </c>
      <c r="H10820" t="s">
        <v>299</v>
      </c>
      <c r="I10820">
        <v>33</v>
      </c>
      <c r="J10820">
        <v>0</v>
      </c>
      <c r="K10820" s="1">
        <v>1790103</v>
      </c>
    </row>
    <row r="10821" spans="1:11" x14ac:dyDescent="0.25">
      <c r="A10821" t="s">
        <v>9</v>
      </c>
      <c r="B10821" t="s">
        <v>298</v>
      </c>
      <c r="C10821" t="s">
        <v>876</v>
      </c>
      <c r="D10821" t="s">
        <v>14</v>
      </c>
      <c r="E10821">
        <v>3</v>
      </c>
      <c r="F10821" s="2">
        <f>DATE(2026,IF(Tabla1[[#This Row],[Mes de Fecha]]="Septiembre",9,10),Tabla1[[#This Row],[Día de Fecha]])</f>
        <v>46298</v>
      </c>
      <c r="G10821">
        <v>1075300516</v>
      </c>
      <c r="H10821" t="s">
        <v>300</v>
      </c>
      <c r="I10821">
        <v>5</v>
      </c>
      <c r="J10821">
        <v>0</v>
      </c>
      <c r="K10821" s="1">
        <v>164421</v>
      </c>
    </row>
    <row r="10822" spans="1:11" x14ac:dyDescent="0.25">
      <c r="A10822" t="s">
        <v>9</v>
      </c>
      <c r="B10822" t="s">
        <v>298</v>
      </c>
      <c r="C10822" t="s">
        <v>876</v>
      </c>
      <c r="D10822" t="s">
        <v>14</v>
      </c>
      <c r="E10822">
        <v>3</v>
      </c>
      <c r="F10822" s="2">
        <f>DATE(2026,IF(Tabla1[[#This Row],[Mes de Fecha]]="Septiembre",9,10),Tabla1[[#This Row],[Día de Fecha]])</f>
        <v>46298</v>
      </c>
      <c r="G10822">
        <v>1117813657</v>
      </c>
      <c r="H10822" t="s">
        <v>302</v>
      </c>
      <c r="I10822">
        <v>24</v>
      </c>
      <c r="J10822">
        <v>0</v>
      </c>
      <c r="K10822" s="1">
        <v>1124605</v>
      </c>
    </row>
    <row r="10823" spans="1:11" x14ac:dyDescent="0.25">
      <c r="A10823" t="s">
        <v>9</v>
      </c>
      <c r="B10823" t="s">
        <v>298</v>
      </c>
      <c r="C10823" t="s">
        <v>876</v>
      </c>
      <c r="D10823" t="s">
        <v>14</v>
      </c>
      <c r="E10823">
        <v>3</v>
      </c>
      <c r="F10823" s="2">
        <f>DATE(2026,IF(Tabla1[[#This Row],[Mes de Fecha]]="Septiembre",9,10),Tabla1[[#This Row],[Día de Fecha]])</f>
        <v>46298</v>
      </c>
      <c r="G10823">
        <v>1117816461</v>
      </c>
      <c r="H10823" t="s">
        <v>303</v>
      </c>
      <c r="I10823">
        <v>79</v>
      </c>
      <c r="J10823">
        <v>0</v>
      </c>
      <c r="K10823" s="1">
        <v>3468596</v>
      </c>
    </row>
    <row r="10824" spans="1:11" x14ac:dyDescent="0.25">
      <c r="A10824" t="s">
        <v>9</v>
      </c>
      <c r="B10824" t="s">
        <v>298</v>
      </c>
      <c r="C10824" t="s">
        <v>876</v>
      </c>
      <c r="D10824" t="s">
        <v>14</v>
      </c>
      <c r="E10824">
        <v>4</v>
      </c>
      <c r="F10824" s="2">
        <f>DATE(2026,IF(Tabla1[[#This Row],[Mes de Fecha]]="Septiembre",9,10),Tabla1[[#This Row],[Día de Fecha]])</f>
        <v>46299</v>
      </c>
      <c r="I10824">
        <v>0</v>
      </c>
      <c r="J10824" s="1">
        <v>6065678</v>
      </c>
      <c r="K10824">
        <v>0</v>
      </c>
    </row>
    <row r="10825" spans="1:11" x14ac:dyDescent="0.25">
      <c r="A10825" t="s">
        <v>9</v>
      </c>
      <c r="B10825" t="s">
        <v>298</v>
      </c>
      <c r="C10825" t="s">
        <v>876</v>
      </c>
      <c r="D10825" t="s">
        <v>14</v>
      </c>
      <c r="E10825">
        <v>4</v>
      </c>
      <c r="F10825" s="2">
        <f>DATE(2026,IF(Tabla1[[#This Row],[Mes de Fecha]]="Septiembre",9,10),Tabla1[[#This Row],[Día de Fecha]])</f>
        <v>46299</v>
      </c>
      <c r="G10825">
        <v>1003951543</v>
      </c>
      <c r="H10825" t="s">
        <v>299</v>
      </c>
      <c r="I10825">
        <v>33</v>
      </c>
      <c r="J10825">
        <v>0</v>
      </c>
      <c r="K10825" s="1">
        <v>1960632</v>
      </c>
    </row>
    <row r="10826" spans="1:11" x14ac:dyDescent="0.25">
      <c r="A10826" t="s">
        <v>9</v>
      </c>
      <c r="B10826" t="s">
        <v>298</v>
      </c>
      <c r="C10826" t="s">
        <v>876</v>
      </c>
      <c r="D10826" t="s">
        <v>14</v>
      </c>
      <c r="E10826">
        <v>4</v>
      </c>
      <c r="F10826" s="2">
        <f>DATE(2026,IF(Tabla1[[#This Row],[Mes de Fecha]]="Septiembre",9,10),Tabla1[[#This Row],[Día de Fecha]])</f>
        <v>46299</v>
      </c>
      <c r="G10826">
        <v>1075300516</v>
      </c>
      <c r="H10826" t="s">
        <v>300</v>
      </c>
      <c r="I10826">
        <v>5</v>
      </c>
      <c r="J10826">
        <v>0</v>
      </c>
      <c r="K10826" s="1">
        <v>184538</v>
      </c>
    </row>
    <row r="10827" spans="1:11" x14ac:dyDescent="0.25">
      <c r="A10827" t="s">
        <v>9</v>
      </c>
      <c r="B10827" t="s">
        <v>298</v>
      </c>
      <c r="C10827" t="s">
        <v>876</v>
      </c>
      <c r="D10827" t="s">
        <v>14</v>
      </c>
      <c r="E10827">
        <v>4</v>
      </c>
      <c r="F10827" s="2">
        <f>DATE(2026,IF(Tabla1[[#This Row],[Mes de Fecha]]="Septiembre",9,10),Tabla1[[#This Row],[Día de Fecha]])</f>
        <v>46299</v>
      </c>
      <c r="G10827">
        <v>1117813657</v>
      </c>
      <c r="H10827" t="s">
        <v>302</v>
      </c>
      <c r="I10827">
        <v>2</v>
      </c>
      <c r="J10827">
        <v>0</v>
      </c>
      <c r="K10827" s="1">
        <v>92352</v>
      </c>
    </row>
    <row r="10828" spans="1:11" x14ac:dyDescent="0.25">
      <c r="A10828" t="s">
        <v>9</v>
      </c>
      <c r="B10828" t="s">
        <v>298</v>
      </c>
      <c r="C10828" t="s">
        <v>876</v>
      </c>
      <c r="D10828" t="s">
        <v>14</v>
      </c>
      <c r="E10828">
        <v>4</v>
      </c>
      <c r="F10828" s="2">
        <f>DATE(2026,IF(Tabla1[[#This Row],[Mes de Fecha]]="Septiembre",9,10),Tabla1[[#This Row],[Día de Fecha]])</f>
        <v>46299</v>
      </c>
      <c r="G10828">
        <v>1117816461</v>
      </c>
      <c r="H10828" t="s">
        <v>303</v>
      </c>
      <c r="I10828">
        <v>56</v>
      </c>
      <c r="J10828">
        <v>0</v>
      </c>
      <c r="K10828" s="1">
        <v>2883191</v>
      </c>
    </row>
    <row r="10829" spans="1:11" x14ac:dyDescent="0.25">
      <c r="A10829" t="s">
        <v>9</v>
      </c>
      <c r="B10829" t="s">
        <v>298</v>
      </c>
      <c r="C10829" t="s">
        <v>876</v>
      </c>
      <c r="D10829" t="s">
        <v>14</v>
      </c>
      <c r="E10829">
        <v>5</v>
      </c>
      <c r="F10829" s="2">
        <f>DATE(2026,IF(Tabla1[[#This Row],[Mes de Fecha]]="Septiembre",9,10),Tabla1[[#This Row],[Día de Fecha]])</f>
        <v>46300</v>
      </c>
      <c r="I10829">
        <v>0</v>
      </c>
      <c r="J10829" s="1">
        <v>11623783</v>
      </c>
      <c r="K10829">
        <v>0</v>
      </c>
    </row>
    <row r="10830" spans="1:11" x14ac:dyDescent="0.25">
      <c r="A10830" t="s">
        <v>9</v>
      </c>
      <c r="B10830" t="s">
        <v>298</v>
      </c>
      <c r="C10830" t="s">
        <v>876</v>
      </c>
      <c r="D10830" t="s">
        <v>14</v>
      </c>
      <c r="E10830">
        <v>5</v>
      </c>
      <c r="F10830" s="2">
        <f>DATE(2026,IF(Tabla1[[#This Row],[Mes de Fecha]]="Septiembre",9,10),Tabla1[[#This Row],[Día de Fecha]])</f>
        <v>46300</v>
      </c>
      <c r="G10830">
        <v>1003951543</v>
      </c>
      <c r="H10830" t="s">
        <v>299</v>
      </c>
      <c r="I10830">
        <v>17</v>
      </c>
      <c r="J10830">
        <v>0</v>
      </c>
      <c r="K10830" s="1">
        <v>1045423</v>
      </c>
    </row>
    <row r="10831" spans="1:11" x14ac:dyDescent="0.25">
      <c r="A10831" t="s">
        <v>9</v>
      </c>
      <c r="B10831" t="s">
        <v>298</v>
      </c>
      <c r="C10831" t="s">
        <v>876</v>
      </c>
      <c r="D10831" t="s">
        <v>14</v>
      </c>
      <c r="E10831">
        <v>5</v>
      </c>
      <c r="F10831" s="2">
        <f>DATE(2026,IF(Tabla1[[#This Row],[Mes de Fecha]]="Septiembre",9,10),Tabla1[[#This Row],[Día de Fecha]])</f>
        <v>46300</v>
      </c>
      <c r="G10831">
        <v>1075300516</v>
      </c>
      <c r="H10831" t="s">
        <v>300</v>
      </c>
      <c r="I10831">
        <v>0</v>
      </c>
      <c r="J10831">
        <v>0</v>
      </c>
      <c r="K10831">
        <v>0</v>
      </c>
    </row>
    <row r="10832" spans="1:11" x14ac:dyDescent="0.25">
      <c r="A10832" t="s">
        <v>9</v>
      </c>
      <c r="B10832" t="s">
        <v>298</v>
      </c>
      <c r="C10832" t="s">
        <v>876</v>
      </c>
      <c r="D10832" t="s">
        <v>14</v>
      </c>
      <c r="E10832">
        <v>5</v>
      </c>
      <c r="F10832" s="2">
        <f>DATE(2026,IF(Tabla1[[#This Row],[Mes de Fecha]]="Septiembre",9,10),Tabla1[[#This Row],[Día de Fecha]])</f>
        <v>46300</v>
      </c>
      <c r="G10832">
        <v>1117813657</v>
      </c>
      <c r="H10832" t="s">
        <v>302</v>
      </c>
      <c r="I10832">
        <v>0</v>
      </c>
      <c r="J10832">
        <v>0</v>
      </c>
      <c r="K10832" s="1">
        <v>35714</v>
      </c>
    </row>
    <row r="10833" spans="1:11" x14ac:dyDescent="0.25">
      <c r="A10833" t="s">
        <v>9</v>
      </c>
      <c r="B10833" t="s">
        <v>298</v>
      </c>
      <c r="C10833" t="s">
        <v>876</v>
      </c>
      <c r="D10833" t="s">
        <v>14</v>
      </c>
      <c r="E10833">
        <v>5</v>
      </c>
      <c r="F10833" s="2">
        <f>DATE(2026,IF(Tabla1[[#This Row],[Mes de Fecha]]="Septiembre",9,10),Tabla1[[#This Row],[Día de Fecha]])</f>
        <v>46300</v>
      </c>
      <c r="G10833">
        <v>1117816461</v>
      </c>
      <c r="H10833" t="s">
        <v>303</v>
      </c>
      <c r="I10833">
        <v>97</v>
      </c>
      <c r="J10833">
        <v>0</v>
      </c>
      <c r="K10833" s="1">
        <v>4424990</v>
      </c>
    </row>
    <row r="10834" spans="1:11" x14ac:dyDescent="0.25">
      <c r="A10834" t="s">
        <v>9</v>
      </c>
      <c r="B10834" t="s">
        <v>298</v>
      </c>
      <c r="C10834" t="s">
        <v>876</v>
      </c>
      <c r="D10834" t="s">
        <v>14</v>
      </c>
      <c r="E10834">
        <v>6</v>
      </c>
      <c r="F10834" s="2">
        <f>DATE(2026,IF(Tabla1[[#This Row],[Mes de Fecha]]="Septiembre",9,10),Tabla1[[#This Row],[Día de Fecha]])</f>
        <v>46301</v>
      </c>
      <c r="I10834">
        <v>0</v>
      </c>
      <c r="J10834" s="1">
        <v>1791055</v>
      </c>
      <c r="K10834">
        <v>0</v>
      </c>
    </row>
    <row r="10835" spans="1:11" x14ac:dyDescent="0.25">
      <c r="A10835" t="s">
        <v>9</v>
      </c>
      <c r="B10835" t="s">
        <v>298</v>
      </c>
      <c r="C10835" t="s">
        <v>876</v>
      </c>
      <c r="D10835" t="s">
        <v>14</v>
      </c>
      <c r="E10835">
        <v>6</v>
      </c>
      <c r="F10835" s="2">
        <f>DATE(2026,IF(Tabla1[[#This Row],[Mes de Fecha]]="Septiembre",9,10),Tabla1[[#This Row],[Día de Fecha]])</f>
        <v>46301</v>
      </c>
      <c r="G10835">
        <v>1003951543</v>
      </c>
      <c r="H10835" t="s">
        <v>299</v>
      </c>
      <c r="I10835">
        <v>31</v>
      </c>
      <c r="J10835">
        <v>0</v>
      </c>
      <c r="K10835" s="1">
        <v>1392428</v>
      </c>
    </row>
    <row r="10836" spans="1:11" x14ac:dyDescent="0.25">
      <c r="A10836" t="s">
        <v>9</v>
      </c>
      <c r="B10836" t="s">
        <v>298</v>
      </c>
      <c r="C10836" t="s">
        <v>876</v>
      </c>
      <c r="D10836" t="s">
        <v>14</v>
      </c>
      <c r="E10836">
        <v>6</v>
      </c>
      <c r="F10836" s="2">
        <f>DATE(2026,IF(Tabla1[[#This Row],[Mes de Fecha]]="Septiembre",9,10),Tabla1[[#This Row],[Día de Fecha]])</f>
        <v>46301</v>
      </c>
      <c r="G10836">
        <v>1117816461</v>
      </c>
      <c r="H10836" t="s">
        <v>303</v>
      </c>
      <c r="I10836">
        <v>34</v>
      </c>
      <c r="J10836">
        <v>0</v>
      </c>
      <c r="K10836" s="1">
        <v>1687273</v>
      </c>
    </row>
    <row r="10837" spans="1:11" x14ac:dyDescent="0.25">
      <c r="A10837" t="s">
        <v>9</v>
      </c>
      <c r="B10837" t="s">
        <v>298</v>
      </c>
      <c r="C10837" t="s">
        <v>876</v>
      </c>
      <c r="D10837" t="s">
        <v>14</v>
      </c>
      <c r="E10837">
        <v>7</v>
      </c>
      <c r="F10837" s="2">
        <f>DATE(2026,IF(Tabla1[[#This Row],[Mes de Fecha]]="Septiembre",9,10),Tabla1[[#This Row],[Día de Fecha]])</f>
        <v>46302</v>
      </c>
      <c r="I10837">
        <v>0</v>
      </c>
      <c r="J10837" s="1">
        <v>2192289</v>
      </c>
      <c r="K10837">
        <v>0</v>
      </c>
    </row>
    <row r="10838" spans="1:11" x14ac:dyDescent="0.25">
      <c r="A10838" t="s">
        <v>9</v>
      </c>
      <c r="B10838" t="s">
        <v>298</v>
      </c>
      <c r="C10838" t="s">
        <v>876</v>
      </c>
      <c r="D10838" t="s">
        <v>14</v>
      </c>
      <c r="E10838">
        <v>7</v>
      </c>
      <c r="F10838" s="2">
        <f>DATE(2026,IF(Tabla1[[#This Row],[Mes de Fecha]]="Septiembre",9,10),Tabla1[[#This Row],[Día de Fecha]])</f>
        <v>46302</v>
      </c>
      <c r="G10838">
        <v>83044704</v>
      </c>
      <c r="H10838" t="s">
        <v>304</v>
      </c>
      <c r="I10838">
        <v>2</v>
      </c>
      <c r="J10838">
        <v>0</v>
      </c>
      <c r="K10838" s="1">
        <v>172185</v>
      </c>
    </row>
    <row r="10839" spans="1:11" x14ac:dyDescent="0.25">
      <c r="A10839" t="s">
        <v>9</v>
      </c>
      <c r="B10839" t="s">
        <v>298</v>
      </c>
      <c r="C10839" t="s">
        <v>876</v>
      </c>
      <c r="D10839" t="s">
        <v>14</v>
      </c>
      <c r="E10839">
        <v>7</v>
      </c>
      <c r="F10839" s="2">
        <f>DATE(2026,IF(Tabla1[[#This Row],[Mes de Fecha]]="Septiembre",9,10),Tabla1[[#This Row],[Día de Fecha]])</f>
        <v>46302</v>
      </c>
      <c r="G10839">
        <v>1003951543</v>
      </c>
      <c r="H10839" t="s">
        <v>299</v>
      </c>
      <c r="I10839">
        <v>23</v>
      </c>
      <c r="J10839">
        <v>0</v>
      </c>
      <c r="K10839" s="1">
        <v>984244</v>
      </c>
    </row>
    <row r="10840" spans="1:11" x14ac:dyDescent="0.25">
      <c r="A10840" t="s">
        <v>9</v>
      </c>
      <c r="B10840" t="s">
        <v>298</v>
      </c>
      <c r="C10840" t="s">
        <v>876</v>
      </c>
      <c r="D10840" t="s">
        <v>14</v>
      </c>
      <c r="E10840">
        <v>7</v>
      </c>
      <c r="F10840" s="2">
        <f>DATE(2026,IF(Tabla1[[#This Row],[Mes de Fecha]]="Septiembre",9,10),Tabla1[[#This Row],[Día de Fecha]])</f>
        <v>46302</v>
      </c>
      <c r="G10840">
        <v>1117816461</v>
      </c>
      <c r="H10840" t="s">
        <v>303</v>
      </c>
      <c r="I10840">
        <v>35</v>
      </c>
      <c r="J10840">
        <v>0</v>
      </c>
      <c r="K10840" s="1">
        <v>1813280</v>
      </c>
    </row>
    <row r="10841" spans="1:11" x14ac:dyDescent="0.25">
      <c r="A10841" t="s">
        <v>9</v>
      </c>
      <c r="B10841" t="s">
        <v>31</v>
      </c>
      <c r="C10841" t="s">
        <v>876</v>
      </c>
      <c r="D10841" t="s">
        <v>11</v>
      </c>
      <c r="E10841">
        <v>23</v>
      </c>
      <c r="F10841" s="2">
        <f>DATE(2026,IF(Tabla1[[#This Row],[Mes de Fecha]]="Septiembre",9,10),Tabla1[[#This Row],[Día de Fecha]])</f>
        <v>46288</v>
      </c>
      <c r="I10841">
        <v>0</v>
      </c>
      <c r="J10841" s="1">
        <v>2021322</v>
      </c>
      <c r="K10841">
        <v>0</v>
      </c>
    </row>
    <row r="10842" spans="1:11" x14ac:dyDescent="0.25">
      <c r="A10842" t="s">
        <v>9</v>
      </c>
      <c r="B10842" t="s">
        <v>31</v>
      </c>
      <c r="C10842" t="s">
        <v>876</v>
      </c>
      <c r="D10842" t="s">
        <v>11</v>
      </c>
      <c r="E10842">
        <v>23</v>
      </c>
      <c r="F10842" s="2">
        <f>DATE(2026,IF(Tabla1[[#This Row],[Mes de Fecha]]="Septiembre",9,10),Tabla1[[#This Row],[Día de Fecha]])</f>
        <v>46288</v>
      </c>
      <c r="G10842">
        <v>1106894527</v>
      </c>
      <c r="H10842" t="s">
        <v>32</v>
      </c>
      <c r="I10842">
        <v>10</v>
      </c>
      <c r="J10842">
        <v>0</v>
      </c>
      <c r="K10842" s="1">
        <v>524791</v>
      </c>
    </row>
    <row r="10843" spans="1:11" x14ac:dyDescent="0.25">
      <c r="A10843" t="s">
        <v>9</v>
      </c>
      <c r="B10843" t="s">
        <v>31</v>
      </c>
      <c r="C10843" t="s">
        <v>876</v>
      </c>
      <c r="D10843" t="s">
        <v>11</v>
      </c>
      <c r="E10843">
        <v>23</v>
      </c>
      <c r="F10843" s="2">
        <f>DATE(2026,IF(Tabla1[[#This Row],[Mes de Fecha]]="Septiembre",9,10),Tabla1[[#This Row],[Día de Fecha]])</f>
        <v>46288</v>
      </c>
      <c r="G10843">
        <v>1106898701</v>
      </c>
      <c r="H10843" t="s">
        <v>34</v>
      </c>
      <c r="I10843">
        <v>17</v>
      </c>
      <c r="J10843">
        <v>0</v>
      </c>
      <c r="K10843" s="1">
        <v>906849</v>
      </c>
    </row>
    <row r="10844" spans="1:11" x14ac:dyDescent="0.25">
      <c r="A10844" t="s">
        <v>9</v>
      </c>
      <c r="B10844" t="s">
        <v>31</v>
      </c>
      <c r="C10844" t="s">
        <v>876</v>
      </c>
      <c r="D10844" t="s">
        <v>11</v>
      </c>
      <c r="E10844">
        <v>23</v>
      </c>
      <c r="F10844" s="2">
        <f>DATE(2026,IF(Tabla1[[#This Row],[Mes de Fecha]]="Septiembre",9,10),Tabla1[[#This Row],[Día de Fecha]])</f>
        <v>46288</v>
      </c>
      <c r="G10844">
        <v>1106899440</v>
      </c>
      <c r="H10844" t="s">
        <v>33</v>
      </c>
      <c r="I10844">
        <v>9</v>
      </c>
      <c r="J10844">
        <v>0</v>
      </c>
      <c r="K10844" s="1">
        <v>617270</v>
      </c>
    </row>
    <row r="10845" spans="1:11" x14ac:dyDescent="0.25">
      <c r="A10845" t="s">
        <v>9</v>
      </c>
      <c r="B10845" t="s">
        <v>31</v>
      </c>
      <c r="C10845" t="s">
        <v>876</v>
      </c>
      <c r="D10845" t="s">
        <v>11</v>
      </c>
      <c r="E10845">
        <v>24</v>
      </c>
      <c r="F10845" s="2">
        <f>DATE(2026,IF(Tabla1[[#This Row],[Mes de Fecha]]="Septiembre",9,10),Tabla1[[#This Row],[Día de Fecha]])</f>
        <v>46289</v>
      </c>
      <c r="I10845">
        <v>0</v>
      </c>
      <c r="J10845" s="1">
        <v>5227528</v>
      </c>
      <c r="K10845">
        <v>0</v>
      </c>
    </row>
    <row r="10846" spans="1:11" x14ac:dyDescent="0.25">
      <c r="A10846" t="s">
        <v>9</v>
      </c>
      <c r="B10846" t="s">
        <v>31</v>
      </c>
      <c r="C10846" t="s">
        <v>876</v>
      </c>
      <c r="D10846" t="s">
        <v>11</v>
      </c>
      <c r="E10846">
        <v>24</v>
      </c>
      <c r="F10846" s="2">
        <f>DATE(2026,IF(Tabla1[[#This Row],[Mes de Fecha]]="Septiembre",9,10),Tabla1[[#This Row],[Día de Fecha]])</f>
        <v>46289</v>
      </c>
      <c r="G10846">
        <v>1106894527</v>
      </c>
      <c r="H10846" t="s">
        <v>32</v>
      </c>
      <c r="I10846">
        <v>29</v>
      </c>
      <c r="J10846">
        <v>0</v>
      </c>
      <c r="K10846" s="1">
        <v>1332817</v>
      </c>
    </row>
    <row r="10847" spans="1:11" x14ac:dyDescent="0.25">
      <c r="A10847" t="s">
        <v>9</v>
      </c>
      <c r="B10847" t="s">
        <v>31</v>
      </c>
      <c r="C10847" t="s">
        <v>876</v>
      </c>
      <c r="D10847" t="s">
        <v>11</v>
      </c>
      <c r="E10847">
        <v>24</v>
      </c>
      <c r="F10847" s="2">
        <f>DATE(2026,IF(Tabla1[[#This Row],[Mes de Fecha]]="Septiembre",9,10),Tabla1[[#This Row],[Día de Fecha]])</f>
        <v>46289</v>
      </c>
      <c r="G10847">
        <v>1106898701</v>
      </c>
      <c r="H10847" t="s">
        <v>34</v>
      </c>
      <c r="I10847">
        <v>16</v>
      </c>
      <c r="J10847">
        <v>0</v>
      </c>
      <c r="K10847" s="1">
        <v>747226</v>
      </c>
    </row>
    <row r="10848" spans="1:11" x14ac:dyDescent="0.25">
      <c r="A10848" t="s">
        <v>9</v>
      </c>
      <c r="B10848" t="s">
        <v>31</v>
      </c>
      <c r="C10848" t="s">
        <v>876</v>
      </c>
      <c r="D10848" t="s">
        <v>11</v>
      </c>
      <c r="E10848">
        <v>24</v>
      </c>
      <c r="F10848" s="2">
        <f>DATE(2026,IF(Tabla1[[#This Row],[Mes de Fecha]]="Septiembre",9,10),Tabla1[[#This Row],[Día de Fecha]])</f>
        <v>46289</v>
      </c>
      <c r="G10848">
        <v>1106899440</v>
      </c>
      <c r="H10848" t="s">
        <v>33</v>
      </c>
      <c r="I10848">
        <v>2</v>
      </c>
      <c r="J10848">
        <v>0</v>
      </c>
      <c r="K10848" s="1">
        <v>125966</v>
      </c>
    </row>
    <row r="10849" spans="1:11" x14ac:dyDescent="0.25">
      <c r="A10849" t="s">
        <v>9</v>
      </c>
      <c r="B10849" t="s">
        <v>31</v>
      </c>
      <c r="C10849" t="s">
        <v>876</v>
      </c>
      <c r="D10849" t="s">
        <v>11</v>
      </c>
      <c r="E10849">
        <v>25</v>
      </c>
      <c r="F10849" s="2">
        <f>DATE(2026,IF(Tabla1[[#This Row],[Mes de Fecha]]="Septiembre",9,10),Tabla1[[#This Row],[Día de Fecha]])</f>
        <v>46290</v>
      </c>
      <c r="I10849">
        <v>0</v>
      </c>
      <c r="J10849" s="1">
        <v>5583287</v>
      </c>
      <c r="K10849">
        <v>0</v>
      </c>
    </row>
    <row r="10850" spans="1:11" x14ac:dyDescent="0.25">
      <c r="A10850" t="s">
        <v>9</v>
      </c>
      <c r="B10850" t="s">
        <v>31</v>
      </c>
      <c r="C10850" t="s">
        <v>876</v>
      </c>
      <c r="D10850" t="s">
        <v>11</v>
      </c>
      <c r="E10850">
        <v>25</v>
      </c>
      <c r="F10850" s="2">
        <f>DATE(2026,IF(Tabla1[[#This Row],[Mes de Fecha]]="Septiembre",9,10),Tabla1[[#This Row],[Día de Fecha]])</f>
        <v>46290</v>
      </c>
      <c r="G10850">
        <v>1106894527</v>
      </c>
      <c r="H10850" t="s">
        <v>32</v>
      </c>
      <c r="I10850">
        <v>36</v>
      </c>
      <c r="J10850">
        <v>0</v>
      </c>
      <c r="K10850" s="1">
        <v>2002691</v>
      </c>
    </row>
    <row r="10851" spans="1:11" x14ac:dyDescent="0.25">
      <c r="A10851" t="s">
        <v>9</v>
      </c>
      <c r="B10851" t="s">
        <v>31</v>
      </c>
      <c r="C10851" t="s">
        <v>876</v>
      </c>
      <c r="D10851" t="s">
        <v>11</v>
      </c>
      <c r="E10851">
        <v>25</v>
      </c>
      <c r="F10851" s="2">
        <f>DATE(2026,IF(Tabla1[[#This Row],[Mes de Fecha]]="Septiembre",9,10),Tabla1[[#This Row],[Día de Fecha]])</f>
        <v>46290</v>
      </c>
      <c r="G10851">
        <v>1106898701</v>
      </c>
      <c r="H10851" t="s">
        <v>34</v>
      </c>
      <c r="I10851">
        <v>27</v>
      </c>
      <c r="J10851">
        <v>0</v>
      </c>
      <c r="K10851" s="1">
        <v>1416935</v>
      </c>
    </row>
    <row r="10852" spans="1:11" x14ac:dyDescent="0.25">
      <c r="A10852" t="s">
        <v>9</v>
      </c>
      <c r="B10852" t="s">
        <v>31</v>
      </c>
      <c r="C10852" t="s">
        <v>876</v>
      </c>
      <c r="D10852" t="s">
        <v>11</v>
      </c>
      <c r="E10852">
        <v>25</v>
      </c>
      <c r="F10852" s="2">
        <f>DATE(2026,IF(Tabla1[[#This Row],[Mes de Fecha]]="Septiembre",9,10),Tabla1[[#This Row],[Día de Fecha]])</f>
        <v>46290</v>
      </c>
      <c r="G10852">
        <v>1106899440</v>
      </c>
      <c r="H10852" t="s">
        <v>33</v>
      </c>
      <c r="I10852">
        <v>19</v>
      </c>
      <c r="J10852">
        <v>0</v>
      </c>
      <c r="K10852" s="1">
        <v>879455</v>
      </c>
    </row>
    <row r="10853" spans="1:11" x14ac:dyDescent="0.25">
      <c r="A10853" t="s">
        <v>9</v>
      </c>
      <c r="B10853" t="s">
        <v>31</v>
      </c>
      <c r="C10853" t="s">
        <v>876</v>
      </c>
      <c r="D10853" t="s">
        <v>11</v>
      </c>
      <c r="E10853">
        <v>26</v>
      </c>
      <c r="F10853" s="2">
        <f>DATE(2026,IF(Tabla1[[#This Row],[Mes de Fecha]]="Septiembre",9,10),Tabla1[[#This Row],[Día de Fecha]])</f>
        <v>46291</v>
      </c>
      <c r="I10853">
        <v>0</v>
      </c>
      <c r="J10853" s="1">
        <v>7040378</v>
      </c>
      <c r="K10853">
        <v>0</v>
      </c>
    </row>
    <row r="10854" spans="1:11" x14ac:dyDescent="0.25">
      <c r="A10854" t="s">
        <v>9</v>
      </c>
      <c r="B10854" t="s">
        <v>31</v>
      </c>
      <c r="C10854" t="s">
        <v>876</v>
      </c>
      <c r="D10854" t="s">
        <v>11</v>
      </c>
      <c r="E10854">
        <v>26</v>
      </c>
      <c r="F10854" s="2">
        <f>DATE(2026,IF(Tabla1[[#This Row],[Mes de Fecha]]="Septiembre",9,10),Tabla1[[#This Row],[Día de Fecha]])</f>
        <v>46291</v>
      </c>
      <c r="G10854">
        <v>1005855606</v>
      </c>
      <c r="H10854" t="s">
        <v>35</v>
      </c>
      <c r="I10854">
        <v>20</v>
      </c>
      <c r="J10854">
        <v>0</v>
      </c>
      <c r="K10854" s="1">
        <v>1009664</v>
      </c>
    </row>
    <row r="10855" spans="1:11" x14ac:dyDescent="0.25">
      <c r="A10855" t="s">
        <v>9</v>
      </c>
      <c r="B10855" t="s">
        <v>31</v>
      </c>
      <c r="C10855" t="s">
        <v>876</v>
      </c>
      <c r="D10855" t="s">
        <v>11</v>
      </c>
      <c r="E10855">
        <v>26</v>
      </c>
      <c r="F10855" s="2">
        <f>DATE(2026,IF(Tabla1[[#This Row],[Mes de Fecha]]="Septiembre",9,10),Tabla1[[#This Row],[Día de Fecha]])</f>
        <v>46291</v>
      </c>
      <c r="G10855">
        <v>1106894527</v>
      </c>
      <c r="H10855" t="s">
        <v>32</v>
      </c>
      <c r="I10855">
        <v>44</v>
      </c>
      <c r="J10855">
        <v>0</v>
      </c>
      <c r="K10855" s="1">
        <v>2538027</v>
      </c>
    </row>
    <row r="10856" spans="1:11" x14ac:dyDescent="0.25">
      <c r="A10856" t="s">
        <v>9</v>
      </c>
      <c r="B10856" t="s">
        <v>31</v>
      </c>
      <c r="C10856" t="s">
        <v>876</v>
      </c>
      <c r="D10856" t="s">
        <v>11</v>
      </c>
      <c r="E10856">
        <v>26</v>
      </c>
      <c r="F10856" s="2">
        <f>DATE(2026,IF(Tabla1[[#This Row],[Mes de Fecha]]="Septiembre",9,10),Tabla1[[#This Row],[Día de Fecha]])</f>
        <v>46291</v>
      </c>
      <c r="G10856">
        <v>1106898701</v>
      </c>
      <c r="H10856" t="s">
        <v>34</v>
      </c>
      <c r="I10856">
        <v>54</v>
      </c>
      <c r="J10856">
        <v>0</v>
      </c>
      <c r="K10856" s="1">
        <v>2722437</v>
      </c>
    </row>
    <row r="10857" spans="1:11" x14ac:dyDescent="0.25">
      <c r="A10857" t="s">
        <v>9</v>
      </c>
      <c r="B10857" t="s">
        <v>31</v>
      </c>
      <c r="C10857" t="s">
        <v>876</v>
      </c>
      <c r="D10857" t="s">
        <v>11</v>
      </c>
      <c r="E10857">
        <v>26</v>
      </c>
      <c r="F10857" s="2">
        <f>DATE(2026,IF(Tabla1[[#This Row],[Mes de Fecha]]="Septiembre",9,10),Tabla1[[#This Row],[Día de Fecha]])</f>
        <v>46291</v>
      </c>
      <c r="G10857">
        <v>1106899440</v>
      </c>
      <c r="H10857" t="s">
        <v>33</v>
      </c>
      <c r="I10857">
        <v>1</v>
      </c>
      <c r="J10857">
        <v>0</v>
      </c>
      <c r="K10857" s="1">
        <v>33572</v>
      </c>
    </row>
    <row r="10858" spans="1:11" x14ac:dyDescent="0.25">
      <c r="A10858" t="s">
        <v>9</v>
      </c>
      <c r="B10858" t="s">
        <v>31</v>
      </c>
      <c r="C10858" t="s">
        <v>876</v>
      </c>
      <c r="D10858" t="s">
        <v>11</v>
      </c>
      <c r="E10858">
        <v>27</v>
      </c>
      <c r="F10858" s="2">
        <f>DATE(2026,IF(Tabla1[[#This Row],[Mes de Fecha]]="Septiembre",9,10),Tabla1[[#This Row],[Día de Fecha]])</f>
        <v>46292</v>
      </c>
      <c r="I10858">
        <v>0</v>
      </c>
      <c r="J10858" s="1">
        <v>3717254</v>
      </c>
      <c r="K10858">
        <v>0</v>
      </c>
    </row>
    <row r="10859" spans="1:11" x14ac:dyDescent="0.25">
      <c r="A10859" t="s">
        <v>9</v>
      </c>
      <c r="B10859" t="s">
        <v>31</v>
      </c>
      <c r="C10859" t="s">
        <v>876</v>
      </c>
      <c r="D10859" t="s">
        <v>11</v>
      </c>
      <c r="E10859">
        <v>27</v>
      </c>
      <c r="F10859" s="2">
        <f>DATE(2026,IF(Tabla1[[#This Row],[Mes de Fecha]]="Septiembre",9,10),Tabla1[[#This Row],[Día de Fecha]])</f>
        <v>46292</v>
      </c>
      <c r="G10859">
        <v>1106894527</v>
      </c>
      <c r="H10859" t="s">
        <v>32</v>
      </c>
      <c r="I10859">
        <v>26</v>
      </c>
      <c r="J10859">
        <v>0</v>
      </c>
      <c r="K10859" s="1">
        <v>1360253</v>
      </c>
    </row>
    <row r="10860" spans="1:11" x14ac:dyDescent="0.25">
      <c r="A10860" t="s">
        <v>9</v>
      </c>
      <c r="B10860" t="s">
        <v>31</v>
      </c>
      <c r="C10860" t="s">
        <v>876</v>
      </c>
      <c r="D10860" t="s">
        <v>11</v>
      </c>
      <c r="E10860">
        <v>27</v>
      </c>
      <c r="F10860" s="2">
        <f>DATE(2026,IF(Tabla1[[#This Row],[Mes de Fecha]]="Septiembre",9,10),Tabla1[[#This Row],[Día de Fecha]])</f>
        <v>46292</v>
      </c>
      <c r="G10860">
        <v>1106898701</v>
      </c>
      <c r="H10860" t="s">
        <v>34</v>
      </c>
      <c r="I10860">
        <v>4</v>
      </c>
      <c r="J10860">
        <v>0</v>
      </c>
      <c r="K10860" s="1">
        <v>256135</v>
      </c>
    </row>
    <row r="10861" spans="1:11" x14ac:dyDescent="0.25">
      <c r="A10861" t="s">
        <v>9</v>
      </c>
      <c r="B10861" t="s">
        <v>31</v>
      </c>
      <c r="C10861" t="s">
        <v>876</v>
      </c>
      <c r="D10861" t="s">
        <v>11</v>
      </c>
      <c r="E10861">
        <v>27</v>
      </c>
      <c r="F10861" s="2">
        <f>DATE(2026,IF(Tabla1[[#This Row],[Mes de Fecha]]="Septiembre",9,10),Tabla1[[#This Row],[Día de Fecha]])</f>
        <v>46292</v>
      </c>
      <c r="G10861">
        <v>1106899440</v>
      </c>
      <c r="H10861" t="s">
        <v>33</v>
      </c>
      <c r="I10861">
        <v>6</v>
      </c>
      <c r="J10861">
        <v>0</v>
      </c>
      <c r="K10861" s="1">
        <v>251807</v>
      </c>
    </row>
    <row r="10862" spans="1:11" x14ac:dyDescent="0.25">
      <c r="A10862" t="s">
        <v>9</v>
      </c>
      <c r="B10862" t="s">
        <v>31</v>
      </c>
      <c r="C10862" t="s">
        <v>876</v>
      </c>
      <c r="D10862" t="s">
        <v>11</v>
      </c>
      <c r="E10862">
        <v>28</v>
      </c>
      <c r="F10862" s="2">
        <f>DATE(2026,IF(Tabla1[[#This Row],[Mes de Fecha]]="Septiembre",9,10),Tabla1[[#This Row],[Día de Fecha]])</f>
        <v>46293</v>
      </c>
      <c r="I10862">
        <v>0</v>
      </c>
      <c r="J10862" s="1">
        <v>3047744</v>
      </c>
      <c r="K10862">
        <v>0</v>
      </c>
    </row>
    <row r="10863" spans="1:11" x14ac:dyDescent="0.25">
      <c r="A10863" t="s">
        <v>9</v>
      </c>
      <c r="B10863" t="s">
        <v>31</v>
      </c>
      <c r="C10863" t="s">
        <v>876</v>
      </c>
      <c r="D10863" t="s">
        <v>11</v>
      </c>
      <c r="E10863">
        <v>28</v>
      </c>
      <c r="F10863" s="2">
        <f>DATE(2026,IF(Tabla1[[#This Row],[Mes de Fecha]]="Septiembre",9,10),Tabla1[[#This Row],[Día de Fecha]])</f>
        <v>46293</v>
      </c>
      <c r="G10863">
        <v>1106894527</v>
      </c>
      <c r="H10863" t="s">
        <v>32</v>
      </c>
      <c r="I10863">
        <v>27</v>
      </c>
      <c r="J10863">
        <v>0</v>
      </c>
      <c r="K10863" s="1">
        <v>1135169</v>
      </c>
    </row>
    <row r="10864" spans="1:11" x14ac:dyDescent="0.25">
      <c r="A10864" t="s">
        <v>9</v>
      </c>
      <c r="B10864" t="s">
        <v>31</v>
      </c>
      <c r="C10864" t="s">
        <v>876</v>
      </c>
      <c r="D10864" t="s">
        <v>11</v>
      </c>
      <c r="E10864">
        <v>28</v>
      </c>
      <c r="F10864" s="2">
        <f>DATE(2026,IF(Tabla1[[#This Row],[Mes de Fecha]]="Septiembre",9,10),Tabla1[[#This Row],[Día de Fecha]])</f>
        <v>46293</v>
      </c>
      <c r="G10864">
        <v>1106898701</v>
      </c>
      <c r="H10864" t="s">
        <v>34</v>
      </c>
      <c r="I10864">
        <v>-1</v>
      </c>
      <c r="J10864">
        <v>0</v>
      </c>
      <c r="K10864" s="1">
        <v>-75588</v>
      </c>
    </row>
    <row r="10865" spans="1:11" x14ac:dyDescent="0.25">
      <c r="A10865" t="s">
        <v>9</v>
      </c>
      <c r="B10865" t="s">
        <v>31</v>
      </c>
      <c r="C10865" t="s">
        <v>876</v>
      </c>
      <c r="D10865" t="s">
        <v>11</v>
      </c>
      <c r="E10865">
        <v>28</v>
      </c>
      <c r="F10865" s="2">
        <f>DATE(2026,IF(Tabla1[[#This Row],[Mes de Fecha]]="Septiembre",9,10),Tabla1[[#This Row],[Día de Fecha]])</f>
        <v>46293</v>
      </c>
      <c r="G10865">
        <v>1106899440</v>
      </c>
      <c r="H10865" t="s">
        <v>33</v>
      </c>
      <c r="I10865">
        <v>11</v>
      </c>
      <c r="J10865">
        <v>0</v>
      </c>
      <c r="K10865" s="1">
        <v>447017</v>
      </c>
    </row>
    <row r="10866" spans="1:11" x14ac:dyDescent="0.25">
      <c r="A10866" t="s">
        <v>9</v>
      </c>
      <c r="B10866" t="s">
        <v>31</v>
      </c>
      <c r="C10866" t="s">
        <v>876</v>
      </c>
      <c r="D10866" t="s">
        <v>11</v>
      </c>
      <c r="E10866">
        <v>29</v>
      </c>
      <c r="F10866" s="2">
        <f>DATE(2026,IF(Tabla1[[#This Row],[Mes de Fecha]]="Septiembre",9,10),Tabla1[[#This Row],[Día de Fecha]])</f>
        <v>46294</v>
      </c>
      <c r="I10866">
        <v>0</v>
      </c>
      <c r="J10866" s="1">
        <v>3388189</v>
      </c>
      <c r="K10866">
        <v>0</v>
      </c>
    </row>
    <row r="10867" spans="1:11" x14ac:dyDescent="0.25">
      <c r="A10867" t="s">
        <v>9</v>
      </c>
      <c r="B10867" t="s">
        <v>31</v>
      </c>
      <c r="C10867" t="s">
        <v>876</v>
      </c>
      <c r="D10867" t="s">
        <v>11</v>
      </c>
      <c r="E10867">
        <v>29</v>
      </c>
      <c r="F10867" s="2">
        <f>DATE(2026,IF(Tabla1[[#This Row],[Mes de Fecha]]="Septiembre",9,10),Tabla1[[#This Row],[Día de Fecha]])</f>
        <v>46294</v>
      </c>
      <c r="G10867">
        <v>1106894527</v>
      </c>
      <c r="H10867" t="s">
        <v>32</v>
      </c>
      <c r="I10867">
        <v>27</v>
      </c>
      <c r="J10867">
        <v>0</v>
      </c>
      <c r="K10867" s="1">
        <v>1534538</v>
      </c>
    </row>
    <row r="10868" spans="1:11" x14ac:dyDescent="0.25">
      <c r="A10868" t="s">
        <v>9</v>
      </c>
      <c r="B10868" t="s">
        <v>31</v>
      </c>
      <c r="C10868" t="s">
        <v>876</v>
      </c>
      <c r="D10868" t="s">
        <v>11</v>
      </c>
      <c r="E10868">
        <v>29</v>
      </c>
      <c r="F10868" s="2">
        <f>DATE(2026,IF(Tabla1[[#This Row],[Mes de Fecha]]="Septiembre",9,10),Tabla1[[#This Row],[Día de Fecha]])</f>
        <v>46294</v>
      </c>
      <c r="G10868">
        <v>1106899440</v>
      </c>
      <c r="H10868" t="s">
        <v>33</v>
      </c>
      <c r="I10868">
        <v>26</v>
      </c>
      <c r="J10868">
        <v>0</v>
      </c>
      <c r="K10868" s="1">
        <v>1414790</v>
      </c>
    </row>
    <row r="10869" spans="1:11" x14ac:dyDescent="0.25">
      <c r="A10869" t="s">
        <v>9</v>
      </c>
      <c r="B10869" t="s">
        <v>31</v>
      </c>
      <c r="C10869" t="s">
        <v>876</v>
      </c>
      <c r="D10869" t="s">
        <v>11</v>
      </c>
      <c r="E10869">
        <v>30</v>
      </c>
      <c r="F10869" s="2">
        <f>DATE(2026,IF(Tabla1[[#This Row],[Mes de Fecha]]="Septiembre",9,10),Tabla1[[#This Row],[Día de Fecha]])</f>
        <v>46295</v>
      </c>
      <c r="I10869">
        <v>0</v>
      </c>
      <c r="J10869" s="1">
        <v>3588197</v>
      </c>
      <c r="K10869">
        <v>0</v>
      </c>
    </row>
    <row r="10870" spans="1:11" x14ac:dyDescent="0.25">
      <c r="A10870" t="s">
        <v>9</v>
      </c>
      <c r="B10870" t="s">
        <v>31</v>
      </c>
      <c r="C10870" t="s">
        <v>876</v>
      </c>
      <c r="D10870" t="s">
        <v>11</v>
      </c>
      <c r="E10870">
        <v>30</v>
      </c>
      <c r="F10870" s="2">
        <f>DATE(2026,IF(Tabla1[[#This Row],[Mes de Fecha]]="Septiembre",9,10),Tabla1[[#This Row],[Día de Fecha]])</f>
        <v>46295</v>
      </c>
      <c r="G10870">
        <v>1106894527</v>
      </c>
      <c r="H10870" t="s">
        <v>32</v>
      </c>
      <c r="I10870">
        <v>30</v>
      </c>
      <c r="J10870">
        <v>0</v>
      </c>
      <c r="K10870" s="1">
        <v>1616306</v>
      </c>
    </row>
    <row r="10871" spans="1:11" x14ac:dyDescent="0.25">
      <c r="A10871" t="s">
        <v>9</v>
      </c>
      <c r="B10871" t="s">
        <v>31</v>
      </c>
      <c r="C10871" t="s">
        <v>876</v>
      </c>
      <c r="D10871" t="s">
        <v>11</v>
      </c>
      <c r="E10871">
        <v>30</v>
      </c>
      <c r="F10871" s="2">
        <f>DATE(2026,IF(Tabla1[[#This Row],[Mes de Fecha]]="Septiembre",9,10),Tabla1[[#This Row],[Día de Fecha]])</f>
        <v>46295</v>
      </c>
      <c r="G10871">
        <v>1106898701</v>
      </c>
      <c r="H10871" t="s">
        <v>34</v>
      </c>
      <c r="I10871">
        <v>17</v>
      </c>
      <c r="J10871">
        <v>0</v>
      </c>
      <c r="K10871" s="1">
        <v>797439</v>
      </c>
    </row>
    <row r="10872" spans="1:11" x14ac:dyDescent="0.25">
      <c r="A10872" t="s">
        <v>9</v>
      </c>
      <c r="B10872" t="s">
        <v>31</v>
      </c>
      <c r="C10872" t="s">
        <v>876</v>
      </c>
      <c r="D10872" t="s">
        <v>11</v>
      </c>
      <c r="E10872">
        <v>30</v>
      </c>
      <c r="F10872" s="2">
        <f>DATE(2026,IF(Tabla1[[#This Row],[Mes de Fecha]]="Septiembre",9,10),Tabla1[[#This Row],[Día de Fecha]])</f>
        <v>46295</v>
      </c>
      <c r="G10872">
        <v>1106899440</v>
      </c>
      <c r="H10872" t="s">
        <v>33</v>
      </c>
      <c r="I10872">
        <v>26</v>
      </c>
      <c r="J10872">
        <v>0</v>
      </c>
      <c r="K10872" s="1">
        <v>1263533</v>
      </c>
    </row>
    <row r="10873" spans="1:11" x14ac:dyDescent="0.25">
      <c r="A10873" t="s">
        <v>9</v>
      </c>
      <c r="B10873" t="s">
        <v>31</v>
      </c>
      <c r="C10873" t="s">
        <v>876</v>
      </c>
      <c r="D10873" t="s">
        <v>14</v>
      </c>
      <c r="E10873">
        <v>1</v>
      </c>
      <c r="F10873" s="2">
        <f>DATE(2026,IF(Tabla1[[#This Row],[Mes de Fecha]]="Septiembre",9,10),Tabla1[[#This Row],[Día de Fecha]])</f>
        <v>46296</v>
      </c>
      <c r="I10873">
        <v>0</v>
      </c>
      <c r="J10873" s="1">
        <v>6055491</v>
      </c>
      <c r="K10873">
        <v>0</v>
      </c>
    </row>
    <row r="10874" spans="1:11" x14ac:dyDescent="0.25">
      <c r="A10874" t="s">
        <v>9</v>
      </c>
      <c r="B10874" t="s">
        <v>31</v>
      </c>
      <c r="C10874" t="s">
        <v>876</v>
      </c>
      <c r="D10874" t="s">
        <v>14</v>
      </c>
      <c r="E10874">
        <v>1</v>
      </c>
      <c r="F10874" s="2">
        <f>DATE(2026,IF(Tabla1[[#This Row],[Mes de Fecha]]="Septiembre",9,10),Tabla1[[#This Row],[Día de Fecha]])</f>
        <v>46296</v>
      </c>
      <c r="G10874">
        <v>1106894527</v>
      </c>
      <c r="H10874" t="s">
        <v>32</v>
      </c>
      <c r="I10874">
        <v>47</v>
      </c>
      <c r="J10874">
        <v>0</v>
      </c>
      <c r="K10874" s="1">
        <v>2581893</v>
      </c>
    </row>
    <row r="10875" spans="1:11" x14ac:dyDescent="0.25">
      <c r="A10875" t="s">
        <v>9</v>
      </c>
      <c r="B10875" t="s">
        <v>31</v>
      </c>
      <c r="C10875" t="s">
        <v>876</v>
      </c>
      <c r="D10875" t="s">
        <v>14</v>
      </c>
      <c r="E10875">
        <v>1</v>
      </c>
      <c r="F10875" s="2">
        <f>DATE(2026,IF(Tabla1[[#This Row],[Mes de Fecha]]="Septiembre",9,10),Tabla1[[#This Row],[Día de Fecha]])</f>
        <v>46296</v>
      </c>
      <c r="G10875">
        <v>1106898701</v>
      </c>
      <c r="H10875" t="s">
        <v>34</v>
      </c>
      <c r="I10875">
        <v>33</v>
      </c>
      <c r="J10875">
        <v>0</v>
      </c>
      <c r="K10875" s="1">
        <v>1601475</v>
      </c>
    </row>
    <row r="10876" spans="1:11" x14ac:dyDescent="0.25">
      <c r="A10876" t="s">
        <v>9</v>
      </c>
      <c r="B10876" t="s">
        <v>31</v>
      </c>
      <c r="C10876" t="s">
        <v>876</v>
      </c>
      <c r="D10876" t="s">
        <v>14</v>
      </c>
      <c r="E10876">
        <v>1</v>
      </c>
      <c r="F10876" s="2">
        <f>DATE(2026,IF(Tabla1[[#This Row],[Mes de Fecha]]="Septiembre",9,10),Tabla1[[#This Row],[Día de Fecha]])</f>
        <v>46296</v>
      </c>
      <c r="G10876">
        <v>1106899440</v>
      </c>
      <c r="H10876" t="s">
        <v>33</v>
      </c>
      <c r="I10876">
        <v>6</v>
      </c>
      <c r="J10876">
        <v>0</v>
      </c>
      <c r="K10876" s="1">
        <v>239286</v>
      </c>
    </row>
    <row r="10877" spans="1:11" x14ac:dyDescent="0.25">
      <c r="A10877" t="s">
        <v>9</v>
      </c>
      <c r="B10877" t="s">
        <v>31</v>
      </c>
      <c r="C10877" t="s">
        <v>876</v>
      </c>
      <c r="D10877" t="s">
        <v>14</v>
      </c>
      <c r="E10877">
        <v>2</v>
      </c>
      <c r="F10877" s="2">
        <f>DATE(2026,IF(Tabla1[[#This Row],[Mes de Fecha]]="Septiembre",9,10),Tabla1[[#This Row],[Día de Fecha]])</f>
        <v>46297</v>
      </c>
      <c r="I10877">
        <v>0</v>
      </c>
      <c r="J10877" s="1">
        <v>5788735</v>
      </c>
      <c r="K10877">
        <v>0</v>
      </c>
    </row>
    <row r="10878" spans="1:11" x14ac:dyDescent="0.25">
      <c r="A10878" t="s">
        <v>9</v>
      </c>
      <c r="B10878" t="s">
        <v>31</v>
      </c>
      <c r="C10878" t="s">
        <v>876</v>
      </c>
      <c r="D10878" t="s">
        <v>14</v>
      </c>
      <c r="E10878">
        <v>2</v>
      </c>
      <c r="F10878" s="2">
        <f>DATE(2026,IF(Tabla1[[#This Row],[Mes de Fecha]]="Septiembre",9,10),Tabla1[[#This Row],[Día de Fecha]])</f>
        <v>46297</v>
      </c>
      <c r="G10878">
        <v>1005855606</v>
      </c>
      <c r="H10878" t="s">
        <v>35</v>
      </c>
      <c r="I10878">
        <v>18</v>
      </c>
      <c r="J10878">
        <v>0</v>
      </c>
      <c r="K10878" s="1">
        <v>759751</v>
      </c>
    </row>
    <row r="10879" spans="1:11" x14ac:dyDescent="0.25">
      <c r="A10879" t="s">
        <v>9</v>
      </c>
      <c r="B10879" t="s">
        <v>31</v>
      </c>
      <c r="C10879" t="s">
        <v>876</v>
      </c>
      <c r="D10879" t="s">
        <v>14</v>
      </c>
      <c r="E10879">
        <v>2</v>
      </c>
      <c r="F10879" s="2">
        <f>DATE(2026,IF(Tabla1[[#This Row],[Mes de Fecha]]="Septiembre",9,10),Tabla1[[#This Row],[Día de Fecha]])</f>
        <v>46297</v>
      </c>
      <c r="G10879">
        <v>1106894527</v>
      </c>
      <c r="H10879" t="s">
        <v>32</v>
      </c>
      <c r="I10879">
        <v>23</v>
      </c>
      <c r="J10879">
        <v>0</v>
      </c>
      <c r="K10879" s="1">
        <v>1442187</v>
      </c>
    </row>
    <row r="10880" spans="1:11" x14ac:dyDescent="0.25">
      <c r="A10880" t="s">
        <v>9</v>
      </c>
      <c r="B10880" t="s">
        <v>31</v>
      </c>
      <c r="C10880" t="s">
        <v>876</v>
      </c>
      <c r="D10880" t="s">
        <v>14</v>
      </c>
      <c r="E10880">
        <v>2</v>
      </c>
      <c r="F10880" s="2">
        <f>DATE(2026,IF(Tabla1[[#This Row],[Mes de Fecha]]="Septiembre",9,10),Tabla1[[#This Row],[Día de Fecha]])</f>
        <v>46297</v>
      </c>
      <c r="G10880">
        <v>1106898701</v>
      </c>
      <c r="H10880" t="s">
        <v>34</v>
      </c>
      <c r="I10880">
        <v>30</v>
      </c>
      <c r="J10880">
        <v>0</v>
      </c>
      <c r="K10880" s="1">
        <v>1757103</v>
      </c>
    </row>
    <row r="10881" spans="1:11" x14ac:dyDescent="0.25">
      <c r="A10881" t="s">
        <v>9</v>
      </c>
      <c r="B10881" t="s">
        <v>31</v>
      </c>
      <c r="C10881" t="s">
        <v>876</v>
      </c>
      <c r="D10881" t="s">
        <v>14</v>
      </c>
      <c r="E10881">
        <v>2</v>
      </c>
      <c r="F10881" s="2">
        <f>DATE(2026,IF(Tabla1[[#This Row],[Mes de Fecha]]="Septiembre",9,10),Tabla1[[#This Row],[Día de Fecha]])</f>
        <v>46297</v>
      </c>
      <c r="G10881">
        <v>1106899440</v>
      </c>
      <c r="H10881" t="s">
        <v>33</v>
      </c>
      <c r="I10881">
        <v>15</v>
      </c>
      <c r="J10881">
        <v>0</v>
      </c>
      <c r="K10881" s="1">
        <v>705210</v>
      </c>
    </row>
    <row r="10882" spans="1:11" x14ac:dyDescent="0.25">
      <c r="A10882" t="s">
        <v>9</v>
      </c>
      <c r="B10882" t="s">
        <v>31</v>
      </c>
      <c r="C10882" t="s">
        <v>876</v>
      </c>
      <c r="D10882" t="s">
        <v>14</v>
      </c>
      <c r="E10882">
        <v>3</v>
      </c>
      <c r="F10882" s="2">
        <f>DATE(2026,IF(Tabla1[[#This Row],[Mes de Fecha]]="Septiembre",9,10),Tabla1[[#This Row],[Día de Fecha]])</f>
        <v>46298</v>
      </c>
      <c r="I10882">
        <v>0</v>
      </c>
      <c r="J10882" s="1">
        <v>8585938</v>
      </c>
      <c r="K10882">
        <v>0</v>
      </c>
    </row>
    <row r="10883" spans="1:11" x14ac:dyDescent="0.25">
      <c r="A10883" t="s">
        <v>9</v>
      </c>
      <c r="B10883" t="s">
        <v>31</v>
      </c>
      <c r="C10883" t="s">
        <v>876</v>
      </c>
      <c r="D10883" t="s">
        <v>14</v>
      </c>
      <c r="E10883">
        <v>3</v>
      </c>
      <c r="F10883" s="2">
        <f>DATE(2026,IF(Tabla1[[#This Row],[Mes de Fecha]]="Septiembre",9,10),Tabla1[[#This Row],[Día de Fecha]])</f>
        <v>46298</v>
      </c>
      <c r="G10883">
        <v>1005855606</v>
      </c>
      <c r="H10883" t="s">
        <v>35</v>
      </c>
      <c r="I10883">
        <v>31</v>
      </c>
      <c r="J10883">
        <v>0</v>
      </c>
      <c r="K10883" s="1">
        <v>1676396</v>
      </c>
    </row>
    <row r="10884" spans="1:11" x14ac:dyDescent="0.25">
      <c r="A10884" t="s">
        <v>9</v>
      </c>
      <c r="B10884" t="s">
        <v>31</v>
      </c>
      <c r="C10884" t="s">
        <v>876</v>
      </c>
      <c r="D10884" t="s">
        <v>14</v>
      </c>
      <c r="E10884">
        <v>3</v>
      </c>
      <c r="F10884" s="2">
        <f>DATE(2026,IF(Tabla1[[#This Row],[Mes de Fecha]]="Septiembre",9,10),Tabla1[[#This Row],[Día de Fecha]])</f>
        <v>46298</v>
      </c>
      <c r="G10884">
        <v>1106894527</v>
      </c>
      <c r="H10884" t="s">
        <v>32</v>
      </c>
      <c r="I10884">
        <v>34</v>
      </c>
      <c r="J10884">
        <v>0</v>
      </c>
      <c r="K10884" s="1">
        <v>1837490</v>
      </c>
    </row>
    <row r="10885" spans="1:11" x14ac:dyDescent="0.25">
      <c r="A10885" t="s">
        <v>9</v>
      </c>
      <c r="B10885" t="s">
        <v>31</v>
      </c>
      <c r="C10885" t="s">
        <v>876</v>
      </c>
      <c r="D10885" t="s">
        <v>14</v>
      </c>
      <c r="E10885">
        <v>3</v>
      </c>
      <c r="F10885" s="2">
        <f>DATE(2026,IF(Tabla1[[#This Row],[Mes de Fecha]]="Septiembre",9,10),Tabla1[[#This Row],[Día de Fecha]])</f>
        <v>46298</v>
      </c>
      <c r="G10885">
        <v>1106898701</v>
      </c>
      <c r="H10885" t="s">
        <v>34</v>
      </c>
      <c r="I10885">
        <v>20</v>
      </c>
      <c r="J10885">
        <v>0</v>
      </c>
      <c r="K10885" s="1">
        <v>1048255</v>
      </c>
    </row>
    <row r="10886" spans="1:11" x14ac:dyDescent="0.25">
      <c r="A10886" t="s">
        <v>9</v>
      </c>
      <c r="B10886" t="s">
        <v>31</v>
      </c>
      <c r="C10886" t="s">
        <v>876</v>
      </c>
      <c r="D10886" t="s">
        <v>14</v>
      </c>
      <c r="E10886">
        <v>4</v>
      </c>
      <c r="F10886" s="2">
        <f>DATE(2026,IF(Tabla1[[#This Row],[Mes de Fecha]]="Septiembre",9,10),Tabla1[[#This Row],[Día de Fecha]])</f>
        <v>46299</v>
      </c>
      <c r="I10886">
        <v>0</v>
      </c>
      <c r="J10886" s="1">
        <v>3865568</v>
      </c>
      <c r="K10886">
        <v>0</v>
      </c>
    </row>
    <row r="10887" spans="1:11" x14ac:dyDescent="0.25">
      <c r="A10887" t="s">
        <v>9</v>
      </c>
      <c r="B10887" t="s">
        <v>31</v>
      </c>
      <c r="C10887" t="s">
        <v>876</v>
      </c>
      <c r="D10887" t="s">
        <v>14</v>
      </c>
      <c r="E10887">
        <v>4</v>
      </c>
      <c r="F10887" s="2">
        <f>DATE(2026,IF(Tabla1[[#This Row],[Mes de Fecha]]="Septiembre",9,10),Tabla1[[#This Row],[Día de Fecha]])</f>
        <v>46299</v>
      </c>
      <c r="G10887">
        <v>1106898701</v>
      </c>
      <c r="H10887" t="s">
        <v>34</v>
      </c>
      <c r="I10887">
        <v>40</v>
      </c>
      <c r="J10887">
        <v>0</v>
      </c>
      <c r="K10887" s="1">
        <v>2235590</v>
      </c>
    </row>
    <row r="10888" spans="1:11" x14ac:dyDescent="0.25">
      <c r="A10888" t="s">
        <v>9</v>
      </c>
      <c r="B10888" t="s">
        <v>31</v>
      </c>
      <c r="C10888" t="s">
        <v>876</v>
      </c>
      <c r="D10888" t="s">
        <v>14</v>
      </c>
      <c r="E10888">
        <v>4</v>
      </c>
      <c r="F10888" s="2">
        <f>DATE(2026,IF(Tabla1[[#This Row],[Mes de Fecha]]="Septiembre",9,10),Tabla1[[#This Row],[Día de Fecha]])</f>
        <v>46299</v>
      </c>
      <c r="G10888">
        <v>1106899440</v>
      </c>
      <c r="H10888" t="s">
        <v>33</v>
      </c>
      <c r="I10888">
        <v>14</v>
      </c>
      <c r="J10888">
        <v>0</v>
      </c>
      <c r="K10888" s="1">
        <v>663194</v>
      </c>
    </row>
    <row r="10889" spans="1:11" x14ac:dyDescent="0.25">
      <c r="A10889" t="s">
        <v>9</v>
      </c>
      <c r="B10889" t="s">
        <v>31</v>
      </c>
      <c r="C10889" t="s">
        <v>876</v>
      </c>
      <c r="D10889" t="s">
        <v>14</v>
      </c>
      <c r="E10889">
        <v>5</v>
      </c>
      <c r="F10889" s="2">
        <f>DATE(2026,IF(Tabla1[[#This Row],[Mes de Fecha]]="Septiembre",9,10),Tabla1[[#This Row],[Día de Fecha]])</f>
        <v>46300</v>
      </c>
      <c r="I10889">
        <v>0</v>
      </c>
      <c r="J10889" s="1">
        <v>4017766</v>
      </c>
      <c r="K10889">
        <v>0</v>
      </c>
    </row>
    <row r="10890" spans="1:11" x14ac:dyDescent="0.25">
      <c r="A10890" t="s">
        <v>9</v>
      </c>
      <c r="B10890" t="s">
        <v>31</v>
      </c>
      <c r="C10890" t="s">
        <v>876</v>
      </c>
      <c r="D10890" t="s">
        <v>14</v>
      </c>
      <c r="E10890">
        <v>5</v>
      </c>
      <c r="F10890" s="2">
        <f>DATE(2026,IF(Tabla1[[#This Row],[Mes de Fecha]]="Septiembre",9,10),Tabla1[[#This Row],[Día de Fecha]])</f>
        <v>46300</v>
      </c>
      <c r="G10890">
        <v>1106894527</v>
      </c>
      <c r="H10890" t="s">
        <v>32</v>
      </c>
      <c r="I10890">
        <v>2</v>
      </c>
      <c r="J10890">
        <v>0</v>
      </c>
      <c r="K10890">
        <v>-168</v>
      </c>
    </row>
    <row r="10891" spans="1:11" x14ac:dyDescent="0.25">
      <c r="A10891" t="s">
        <v>9</v>
      </c>
      <c r="B10891" t="s">
        <v>31</v>
      </c>
      <c r="C10891" t="s">
        <v>876</v>
      </c>
      <c r="D10891" t="s">
        <v>14</v>
      </c>
      <c r="E10891">
        <v>5</v>
      </c>
      <c r="F10891" s="2">
        <f>DATE(2026,IF(Tabla1[[#This Row],[Mes de Fecha]]="Septiembre",9,10),Tabla1[[#This Row],[Día de Fecha]])</f>
        <v>46300</v>
      </c>
      <c r="G10891">
        <v>1106898701</v>
      </c>
      <c r="H10891" t="s">
        <v>34</v>
      </c>
      <c r="I10891">
        <v>28</v>
      </c>
      <c r="J10891">
        <v>0</v>
      </c>
      <c r="K10891" s="1">
        <v>1111935</v>
      </c>
    </row>
    <row r="10892" spans="1:11" x14ac:dyDescent="0.25">
      <c r="A10892" t="s">
        <v>9</v>
      </c>
      <c r="B10892" t="s">
        <v>31</v>
      </c>
      <c r="C10892" t="s">
        <v>876</v>
      </c>
      <c r="D10892" t="s">
        <v>14</v>
      </c>
      <c r="E10892">
        <v>5</v>
      </c>
      <c r="F10892" s="2">
        <f>DATE(2026,IF(Tabla1[[#This Row],[Mes de Fecha]]="Septiembre",9,10),Tabla1[[#This Row],[Día de Fecha]])</f>
        <v>46300</v>
      </c>
      <c r="G10892">
        <v>1106899440</v>
      </c>
      <c r="H10892" t="s">
        <v>33</v>
      </c>
      <c r="I10892">
        <v>16</v>
      </c>
      <c r="J10892">
        <v>0</v>
      </c>
      <c r="K10892" s="1">
        <v>774496</v>
      </c>
    </row>
    <row r="10893" spans="1:11" x14ac:dyDescent="0.25">
      <c r="A10893" t="s">
        <v>9</v>
      </c>
      <c r="B10893" t="s">
        <v>31</v>
      </c>
      <c r="C10893" t="s">
        <v>876</v>
      </c>
      <c r="D10893" t="s">
        <v>14</v>
      </c>
      <c r="E10893">
        <v>6</v>
      </c>
      <c r="F10893" s="2">
        <f>DATE(2026,IF(Tabla1[[#This Row],[Mes de Fecha]]="Septiembre",9,10),Tabla1[[#This Row],[Día de Fecha]])</f>
        <v>46301</v>
      </c>
      <c r="I10893">
        <v>0</v>
      </c>
      <c r="J10893" s="1">
        <v>4288310</v>
      </c>
      <c r="K10893">
        <v>0</v>
      </c>
    </row>
    <row r="10894" spans="1:11" x14ac:dyDescent="0.25">
      <c r="A10894" t="s">
        <v>9</v>
      </c>
      <c r="B10894" t="s">
        <v>31</v>
      </c>
      <c r="C10894" t="s">
        <v>876</v>
      </c>
      <c r="D10894" t="s">
        <v>14</v>
      </c>
      <c r="E10894">
        <v>6</v>
      </c>
      <c r="F10894" s="2">
        <f>DATE(2026,IF(Tabla1[[#This Row],[Mes de Fecha]]="Septiembre",9,10),Tabla1[[#This Row],[Día de Fecha]])</f>
        <v>46301</v>
      </c>
      <c r="G10894">
        <v>1106894527</v>
      </c>
      <c r="H10894" t="s">
        <v>32</v>
      </c>
      <c r="I10894">
        <v>27</v>
      </c>
      <c r="J10894">
        <v>0</v>
      </c>
      <c r="K10894" s="1">
        <v>1387353</v>
      </c>
    </row>
    <row r="10895" spans="1:11" x14ac:dyDescent="0.25">
      <c r="A10895" t="s">
        <v>9</v>
      </c>
      <c r="B10895" t="s">
        <v>31</v>
      </c>
      <c r="C10895" t="s">
        <v>876</v>
      </c>
      <c r="D10895" t="s">
        <v>14</v>
      </c>
      <c r="E10895">
        <v>6</v>
      </c>
      <c r="F10895" s="2">
        <f>DATE(2026,IF(Tabla1[[#This Row],[Mes de Fecha]]="Septiembre",9,10),Tabla1[[#This Row],[Día de Fecha]])</f>
        <v>46301</v>
      </c>
      <c r="G10895">
        <v>1106899440</v>
      </c>
      <c r="H10895" t="s">
        <v>33</v>
      </c>
      <c r="I10895">
        <v>16</v>
      </c>
      <c r="J10895">
        <v>0</v>
      </c>
      <c r="K10895" s="1">
        <v>919371</v>
      </c>
    </row>
    <row r="10896" spans="1:11" x14ac:dyDescent="0.25">
      <c r="A10896" t="s">
        <v>9</v>
      </c>
      <c r="B10896" t="s">
        <v>31</v>
      </c>
      <c r="C10896" t="s">
        <v>876</v>
      </c>
      <c r="D10896" t="s">
        <v>14</v>
      </c>
      <c r="E10896">
        <v>7</v>
      </c>
      <c r="F10896" s="2">
        <f>DATE(2026,IF(Tabla1[[#This Row],[Mes de Fecha]]="Septiembre",9,10),Tabla1[[#This Row],[Día de Fecha]])</f>
        <v>46302</v>
      </c>
      <c r="I10896">
        <v>0</v>
      </c>
      <c r="J10896" s="1">
        <v>2275022</v>
      </c>
      <c r="K10896">
        <v>0</v>
      </c>
    </row>
    <row r="10897" spans="1:11" x14ac:dyDescent="0.25">
      <c r="A10897" t="s">
        <v>9</v>
      </c>
      <c r="B10897" t="s">
        <v>31</v>
      </c>
      <c r="C10897" t="s">
        <v>876</v>
      </c>
      <c r="D10897" t="s">
        <v>14</v>
      </c>
      <c r="E10897">
        <v>7</v>
      </c>
      <c r="F10897" s="2">
        <f>DATE(2026,IF(Tabla1[[#This Row],[Mes de Fecha]]="Septiembre",9,10),Tabla1[[#This Row],[Día de Fecha]])</f>
        <v>46302</v>
      </c>
      <c r="G10897">
        <v>1106894527</v>
      </c>
      <c r="H10897" t="s">
        <v>32</v>
      </c>
      <c r="I10897">
        <v>22</v>
      </c>
      <c r="J10897">
        <v>0</v>
      </c>
      <c r="K10897" s="1">
        <v>856180</v>
      </c>
    </row>
    <row r="10898" spans="1:11" x14ac:dyDescent="0.25">
      <c r="A10898" t="s">
        <v>9</v>
      </c>
      <c r="B10898" t="s">
        <v>31</v>
      </c>
      <c r="C10898" t="s">
        <v>876</v>
      </c>
      <c r="D10898" t="s">
        <v>14</v>
      </c>
      <c r="E10898">
        <v>7</v>
      </c>
      <c r="F10898" s="2">
        <f>DATE(2026,IF(Tabla1[[#This Row],[Mes de Fecha]]="Septiembre",9,10),Tabla1[[#This Row],[Día de Fecha]])</f>
        <v>46302</v>
      </c>
      <c r="G10898">
        <v>1106898701</v>
      </c>
      <c r="H10898" t="s">
        <v>34</v>
      </c>
      <c r="I10898">
        <v>1</v>
      </c>
      <c r="J10898">
        <v>0</v>
      </c>
      <c r="K10898" s="1">
        <v>20966</v>
      </c>
    </row>
    <row r="10899" spans="1:11" x14ac:dyDescent="0.25">
      <c r="A10899" t="s">
        <v>9</v>
      </c>
      <c r="B10899" t="s">
        <v>31</v>
      </c>
      <c r="C10899" t="s">
        <v>876</v>
      </c>
      <c r="D10899" t="s">
        <v>14</v>
      </c>
      <c r="E10899">
        <v>7</v>
      </c>
      <c r="F10899" s="2">
        <f>DATE(2026,IF(Tabla1[[#This Row],[Mes de Fecha]]="Septiembre",9,10),Tabla1[[#This Row],[Día de Fecha]])</f>
        <v>46302</v>
      </c>
      <c r="G10899">
        <v>1106899440</v>
      </c>
      <c r="H10899" t="s">
        <v>33</v>
      </c>
      <c r="I10899">
        <v>18</v>
      </c>
      <c r="J10899">
        <v>0</v>
      </c>
      <c r="K10899" s="1">
        <v>864665</v>
      </c>
    </row>
    <row r="10900" spans="1:11" x14ac:dyDescent="0.25">
      <c r="A10900" t="s">
        <v>326</v>
      </c>
      <c r="B10900" t="s">
        <v>552</v>
      </c>
      <c r="C10900" t="s">
        <v>876</v>
      </c>
      <c r="D10900" t="s">
        <v>11</v>
      </c>
      <c r="E10900">
        <v>23</v>
      </c>
      <c r="F10900" s="2">
        <f>DATE(2026,IF(Tabla1[[#This Row],[Mes de Fecha]]="Septiembre",9,10),Tabla1[[#This Row],[Día de Fecha]])</f>
        <v>46288</v>
      </c>
      <c r="I10900">
        <v>0</v>
      </c>
      <c r="J10900" s="1">
        <v>11979767</v>
      </c>
      <c r="K10900">
        <v>0</v>
      </c>
    </row>
    <row r="10901" spans="1:11" x14ac:dyDescent="0.25">
      <c r="A10901" t="s">
        <v>326</v>
      </c>
      <c r="B10901" t="s">
        <v>552</v>
      </c>
      <c r="C10901" t="s">
        <v>876</v>
      </c>
      <c r="D10901" t="s">
        <v>11</v>
      </c>
      <c r="E10901">
        <v>23</v>
      </c>
      <c r="F10901" s="2">
        <f>DATE(2026,IF(Tabla1[[#This Row],[Mes de Fecha]]="Septiembre",9,10),Tabla1[[#This Row],[Día de Fecha]])</f>
        <v>46288</v>
      </c>
      <c r="G10901">
        <v>1004248452</v>
      </c>
      <c r="H10901" t="s">
        <v>558</v>
      </c>
      <c r="I10901">
        <v>11</v>
      </c>
      <c r="J10901">
        <v>0</v>
      </c>
      <c r="K10901" s="1">
        <v>701219</v>
      </c>
    </row>
    <row r="10902" spans="1:11" x14ac:dyDescent="0.25">
      <c r="A10902" t="s">
        <v>326</v>
      </c>
      <c r="B10902" t="s">
        <v>552</v>
      </c>
      <c r="C10902" t="s">
        <v>876</v>
      </c>
      <c r="D10902" t="s">
        <v>11</v>
      </c>
      <c r="E10902">
        <v>23</v>
      </c>
      <c r="F10902" s="2">
        <f>DATE(2026,IF(Tabla1[[#This Row],[Mes de Fecha]]="Septiembre",9,10),Tabla1[[#This Row],[Día de Fecha]])</f>
        <v>46288</v>
      </c>
      <c r="G10902">
        <v>1010087804</v>
      </c>
      <c r="H10902" t="s">
        <v>553</v>
      </c>
      <c r="I10902">
        <v>53</v>
      </c>
      <c r="J10902">
        <v>0</v>
      </c>
      <c r="K10902" s="1">
        <v>2999792</v>
      </c>
    </row>
    <row r="10903" spans="1:11" x14ac:dyDescent="0.25">
      <c r="A10903" t="s">
        <v>326</v>
      </c>
      <c r="B10903" t="s">
        <v>552</v>
      </c>
      <c r="C10903" t="s">
        <v>876</v>
      </c>
      <c r="D10903" t="s">
        <v>11</v>
      </c>
      <c r="E10903">
        <v>23</v>
      </c>
      <c r="F10903" s="2">
        <f>DATE(2026,IF(Tabla1[[#This Row],[Mes de Fecha]]="Septiembre",9,10),Tabla1[[#This Row],[Día de Fecha]])</f>
        <v>46288</v>
      </c>
      <c r="G10903">
        <v>1075270226</v>
      </c>
      <c r="H10903" t="s">
        <v>554</v>
      </c>
      <c r="I10903">
        <v>81</v>
      </c>
      <c r="J10903">
        <v>0</v>
      </c>
      <c r="K10903" s="1">
        <v>4372524</v>
      </c>
    </row>
    <row r="10904" spans="1:11" x14ac:dyDescent="0.25">
      <c r="A10904" t="s">
        <v>326</v>
      </c>
      <c r="B10904" t="s">
        <v>552</v>
      </c>
      <c r="C10904" t="s">
        <v>876</v>
      </c>
      <c r="D10904" t="s">
        <v>11</v>
      </c>
      <c r="E10904">
        <v>23</v>
      </c>
      <c r="F10904" s="2">
        <f>DATE(2026,IF(Tabla1[[#This Row],[Mes de Fecha]]="Septiembre",9,10),Tabla1[[#This Row],[Día de Fecha]])</f>
        <v>46288</v>
      </c>
      <c r="G10904">
        <v>1075284277</v>
      </c>
      <c r="H10904" t="s">
        <v>559</v>
      </c>
      <c r="I10904">
        <v>21</v>
      </c>
      <c r="J10904">
        <v>0</v>
      </c>
      <c r="K10904" s="1">
        <v>990714</v>
      </c>
    </row>
    <row r="10905" spans="1:11" x14ac:dyDescent="0.25">
      <c r="A10905" t="s">
        <v>326</v>
      </c>
      <c r="B10905" t="s">
        <v>552</v>
      </c>
      <c r="C10905" t="s">
        <v>876</v>
      </c>
      <c r="D10905" t="s">
        <v>11</v>
      </c>
      <c r="E10905">
        <v>24</v>
      </c>
      <c r="F10905" s="2">
        <f>DATE(2026,IF(Tabla1[[#This Row],[Mes de Fecha]]="Septiembre",9,10),Tabla1[[#This Row],[Día de Fecha]])</f>
        <v>46289</v>
      </c>
      <c r="I10905">
        <v>0</v>
      </c>
      <c r="J10905" s="1">
        <v>18300441</v>
      </c>
      <c r="K10905">
        <v>0</v>
      </c>
    </row>
    <row r="10906" spans="1:11" x14ac:dyDescent="0.25">
      <c r="A10906" t="s">
        <v>326</v>
      </c>
      <c r="B10906" t="s">
        <v>552</v>
      </c>
      <c r="C10906" t="s">
        <v>876</v>
      </c>
      <c r="D10906" t="s">
        <v>11</v>
      </c>
      <c r="E10906">
        <v>24</v>
      </c>
      <c r="F10906" s="2">
        <f>DATE(2026,IF(Tabla1[[#This Row],[Mes de Fecha]]="Septiembre",9,10),Tabla1[[#This Row],[Día de Fecha]])</f>
        <v>46289</v>
      </c>
      <c r="G10906">
        <v>1004248452</v>
      </c>
      <c r="H10906" t="s">
        <v>558</v>
      </c>
      <c r="I10906">
        <v>26</v>
      </c>
      <c r="J10906">
        <v>0</v>
      </c>
      <c r="K10906" s="1">
        <v>1236137</v>
      </c>
    </row>
    <row r="10907" spans="1:11" x14ac:dyDescent="0.25">
      <c r="A10907" t="s">
        <v>326</v>
      </c>
      <c r="B10907" t="s">
        <v>552</v>
      </c>
      <c r="C10907" t="s">
        <v>876</v>
      </c>
      <c r="D10907" t="s">
        <v>11</v>
      </c>
      <c r="E10907">
        <v>24</v>
      </c>
      <c r="F10907" s="2">
        <f>DATE(2026,IF(Tabla1[[#This Row],[Mes de Fecha]]="Septiembre",9,10),Tabla1[[#This Row],[Día de Fecha]])</f>
        <v>46289</v>
      </c>
      <c r="G10907">
        <v>1010087804</v>
      </c>
      <c r="H10907" t="s">
        <v>553</v>
      </c>
      <c r="I10907">
        <v>67</v>
      </c>
      <c r="J10907">
        <v>0</v>
      </c>
      <c r="K10907" s="1">
        <v>3482359</v>
      </c>
    </row>
    <row r="10908" spans="1:11" x14ac:dyDescent="0.25">
      <c r="A10908" t="s">
        <v>326</v>
      </c>
      <c r="B10908" t="s">
        <v>552</v>
      </c>
      <c r="C10908" t="s">
        <v>876</v>
      </c>
      <c r="D10908" t="s">
        <v>11</v>
      </c>
      <c r="E10908">
        <v>24</v>
      </c>
      <c r="F10908" s="2">
        <f>DATE(2026,IF(Tabla1[[#This Row],[Mes de Fecha]]="Septiembre",9,10),Tabla1[[#This Row],[Día de Fecha]])</f>
        <v>46289</v>
      </c>
      <c r="G10908">
        <v>1075270226</v>
      </c>
      <c r="H10908" t="s">
        <v>554</v>
      </c>
      <c r="I10908">
        <v>93</v>
      </c>
      <c r="J10908">
        <v>0</v>
      </c>
      <c r="K10908" s="1">
        <v>4682943</v>
      </c>
    </row>
    <row r="10909" spans="1:11" x14ac:dyDescent="0.25">
      <c r="A10909" t="s">
        <v>326</v>
      </c>
      <c r="B10909" t="s">
        <v>552</v>
      </c>
      <c r="C10909" t="s">
        <v>876</v>
      </c>
      <c r="D10909" t="s">
        <v>11</v>
      </c>
      <c r="E10909">
        <v>24</v>
      </c>
      <c r="F10909" s="2">
        <f>DATE(2026,IF(Tabla1[[#This Row],[Mes de Fecha]]="Septiembre",9,10),Tabla1[[#This Row],[Día de Fecha]])</f>
        <v>46289</v>
      </c>
      <c r="G10909">
        <v>1075284277</v>
      </c>
      <c r="H10909" t="s">
        <v>559</v>
      </c>
      <c r="I10909">
        <v>16</v>
      </c>
      <c r="J10909">
        <v>0</v>
      </c>
      <c r="K10909" s="1">
        <v>816556</v>
      </c>
    </row>
    <row r="10910" spans="1:11" x14ac:dyDescent="0.25">
      <c r="A10910" t="s">
        <v>326</v>
      </c>
      <c r="B10910" t="s">
        <v>552</v>
      </c>
      <c r="C10910" t="s">
        <v>876</v>
      </c>
      <c r="D10910" t="s">
        <v>11</v>
      </c>
      <c r="E10910">
        <v>25</v>
      </c>
      <c r="F10910" s="2">
        <f>DATE(2026,IF(Tabla1[[#This Row],[Mes de Fecha]]="Septiembre",9,10),Tabla1[[#This Row],[Día de Fecha]])</f>
        <v>46290</v>
      </c>
      <c r="I10910">
        <v>0</v>
      </c>
      <c r="J10910" s="1">
        <v>18259928</v>
      </c>
      <c r="K10910">
        <v>0</v>
      </c>
    </row>
    <row r="10911" spans="1:11" x14ac:dyDescent="0.25">
      <c r="A10911" t="s">
        <v>326</v>
      </c>
      <c r="B10911" t="s">
        <v>552</v>
      </c>
      <c r="C10911" t="s">
        <v>876</v>
      </c>
      <c r="D10911" t="s">
        <v>11</v>
      </c>
      <c r="E10911">
        <v>25</v>
      </c>
      <c r="F10911" s="2">
        <f>DATE(2026,IF(Tabla1[[#This Row],[Mes de Fecha]]="Septiembre",9,10),Tabla1[[#This Row],[Día de Fecha]])</f>
        <v>46290</v>
      </c>
      <c r="G10911">
        <v>1004248452</v>
      </c>
      <c r="H10911" t="s">
        <v>558</v>
      </c>
      <c r="I10911">
        <v>29</v>
      </c>
      <c r="J10911">
        <v>0</v>
      </c>
      <c r="K10911" s="1">
        <v>1536558</v>
      </c>
    </row>
    <row r="10912" spans="1:11" x14ac:dyDescent="0.25">
      <c r="A10912" t="s">
        <v>326</v>
      </c>
      <c r="B10912" t="s">
        <v>552</v>
      </c>
      <c r="C10912" t="s">
        <v>876</v>
      </c>
      <c r="D10912" t="s">
        <v>11</v>
      </c>
      <c r="E10912">
        <v>25</v>
      </c>
      <c r="F10912" s="2">
        <f>DATE(2026,IF(Tabla1[[#This Row],[Mes de Fecha]]="Septiembre",9,10),Tabla1[[#This Row],[Día de Fecha]])</f>
        <v>46290</v>
      </c>
      <c r="G10912">
        <v>1010087804</v>
      </c>
      <c r="H10912" t="s">
        <v>553</v>
      </c>
      <c r="I10912">
        <v>80</v>
      </c>
      <c r="J10912">
        <v>0</v>
      </c>
      <c r="K10912" s="1">
        <v>4143618</v>
      </c>
    </row>
    <row r="10913" spans="1:11" x14ac:dyDescent="0.25">
      <c r="A10913" t="s">
        <v>326</v>
      </c>
      <c r="B10913" t="s">
        <v>552</v>
      </c>
      <c r="C10913" t="s">
        <v>876</v>
      </c>
      <c r="D10913" t="s">
        <v>11</v>
      </c>
      <c r="E10913">
        <v>25</v>
      </c>
      <c r="F10913" s="2">
        <f>DATE(2026,IF(Tabla1[[#This Row],[Mes de Fecha]]="Septiembre",9,10),Tabla1[[#This Row],[Día de Fecha]])</f>
        <v>46290</v>
      </c>
      <c r="G10913">
        <v>1075270226</v>
      </c>
      <c r="H10913" t="s">
        <v>554</v>
      </c>
      <c r="I10913">
        <v>80</v>
      </c>
      <c r="J10913">
        <v>0</v>
      </c>
      <c r="K10913" s="1">
        <v>4729790</v>
      </c>
    </row>
    <row r="10914" spans="1:11" x14ac:dyDescent="0.25">
      <c r="A10914" t="s">
        <v>326</v>
      </c>
      <c r="B10914" t="s">
        <v>552</v>
      </c>
      <c r="C10914" t="s">
        <v>876</v>
      </c>
      <c r="D10914" t="s">
        <v>11</v>
      </c>
      <c r="E10914">
        <v>25</v>
      </c>
      <c r="F10914" s="2">
        <f>DATE(2026,IF(Tabla1[[#This Row],[Mes de Fecha]]="Septiembre",9,10),Tabla1[[#This Row],[Día de Fecha]])</f>
        <v>46290</v>
      </c>
      <c r="G10914">
        <v>1075284277</v>
      </c>
      <c r="H10914" t="s">
        <v>559</v>
      </c>
      <c r="I10914">
        <v>27</v>
      </c>
      <c r="J10914">
        <v>0</v>
      </c>
      <c r="K10914" s="1">
        <v>1599666</v>
      </c>
    </row>
    <row r="10915" spans="1:11" x14ac:dyDescent="0.25">
      <c r="A10915" t="s">
        <v>326</v>
      </c>
      <c r="B10915" t="s">
        <v>552</v>
      </c>
      <c r="C10915" t="s">
        <v>876</v>
      </c>
      <c r="D10915" t="s">
        <v>11</v>
      </c>
      <c r="E10915">
        <v>26</v>
      </c>
      <c r="F10915" s="2">
        <f>DATE(2026,IF(Tabla1[[#This Row],[Mes de Fecha]]="Septiembre",9,10),Tabla1[[#This Row],[Día de Fecha]])</f>
        <v>46291</v>
      </c>
      <c r="I10915">
        <v>0</v>
      </c>
      <c r="J10915" s="1">
        <v>26242143</v>
      </c>
      <c r="K10915">
        <v>0</v>
      </c>
    </row>
    <row r="10916" spans="1:11" x14ac:dyDescent="0.25">
      <c r="A10916" t="s">
        <v>326</v>
      </c>
      <c r="B10916" t="s">
        <v>552</v>
      </c>
      <c r="C10916" t="s">
        <v>876</v>
      </c>
      <c r="D10916" t="s">
        <v>11</v>
      </c>
      <c r="E10916">
        <v>26</v>
      </c>
      <c r="F10916" s="2">
        <f>DATE(2026,IF(Tabla1[[#This Row],[Mes de Fecha]]="Septiembre",9,10),Tabla1[[#This Row],[Día de Fecha]])</f>
        <v>46291</v>
      </c>
      <c r="G10916">
        <v>1004248452</v>
      </c>
      <c r="H10916" t="s">
        <v>558</v>
      </c>
      <c r="I10916">
        <v>78</v>
      </c>
      <c r="J10916">
        <v>0</v>
      </c>
      <c r="K10916" s="1">
        <v>4383200</v>
      </c>
    </row>
    <row r="10917" spans="1:11" x14ac:dyDescent="0.25">
      <c r="A10917" t="s">
        <v>326</v>
      </c>
      <c r="B10917" t="s">
        <v>552</v>
      </c>
      <c r="C10917" t="s">
        <v>876</v>
      </c>
      <c r="D10917" t="s">
        <v>11</v>
      </c>
      <c r="E10917">
        <v>26</v>
      </c>
      <c r="F10917" s="2">
        <f>DATE(2026,IF(Tabla1[[#This Row],[Mes de Fecha]]="Septiembre",9,10),Tabla1[[#This Row],[Día de Fecha]])</f>
        <v>46291</v>
      </c>
      <c r="G10917">
        <v>1010087804</v>
      </c>
      <c r="H10917" t="s">
        <v>553</v>
      </c>
      <c r="I10917">
        <v>112</v>
      </c>
      <c r="J10917">
        <v>0</v>
      </c>
      <c r="K10917" s="1">
        <v>6587566</v>
      </c>
    </row>
    <row r="10918" spans="1:11" x14ac:dyDescent="0.25">
      <c r="A10918" t="s">
        <v>326</v>
      </c>
      <c r="B10918" t="s">
        <v>552</v>
      </c>
      <c r="C10918" t="s">
        <v>876</v>
      </c>
      <c r="D10918" t="s">
        <v>11</v>
      </c>
      <c r="E10918">
        <v>26</v>
      </c>
      <c r="F10918" s="2">
        <f>DATE(2026,IF(Tabla1[[#This Row],[Mes de Fecha]]="Septiembre",9,10),Tabla1[[#This Row],[Día de Fecha]])</f>
        <v>46291</v>
      </c>
      <c r="G10918">
        <v>1075270226</v>
      </c>
      <c r="H10918" t="s">
        <v>554</v>
      </c>
      <c r="I10918">
        <v>130</v>
      </c>
      <c r="J10918">
        <v>0</v>
      </c>
      <c r="K10918" s="1">
        <v>6645516</v>
      </c>
    </row>
    <row r="10919" spans="1:11" x14ac:dyDescent="0.25">
      <c r="A10919" t="s">
        <v>326</v>
      </c>
      <c r="B10919" t="s">
        <v>552</v>
      </c>
      <c r="C10919" t="s">
        <v>876</v>
      </c>
      <c r="D10919" t="s">
        <v>11</v>
      </c>
      <c r="E10919">
        <v>26</v>
      </c>
      <c r="F10919" s="2">
        <f>DATE(2026,IF(Tabla1[[#This Row],[Mes de Fecha]]="Septiembre",9,10),Tabla1[[#This Row],[Día de Fecha]])</f>
        <v>46291</v>
      </c>
      <c r="G10919">
        <v>1075284277</v>
      </c>
      <c r="H10919" t="s">
        <v>559</v>
      </c>
      <c r="I10919">
        <v>61</v>
      </c>
      <c r="J10919">
        <v>0</v>
      </c>
      <c r="K10919" s="1">
        <v>3728532</v>
      </c>
    </row>
    <row r="10920" spans="1:11" x14ac:dyDescent="0.25">
      <c r="A10920" t="s">
        <v>326</v>
      </c>
      <c r="B10920" t="s">
        <v>552</v>
      </c>
      <c r="C10920" t="s">
        <v>876</v>
      </c>
      <c r="D10920" t="s">
        <v>11</v>
      </c>
      <c r="E10920">
        <v>27</v>
      </c>
      <c r="F10920" s="2">
        <f>DATE(2026,IF(Tabla1[[#This Row],[Mes de Fecha]]="Septiembre",9,10),Tabla1[[#This Row],[Día de Fecha]])</f>
        <v>46292</v>
      </c>
      <c r="I10920">
        <v>0</v>
      </c>
      <c r="J10920" s="1">
        <v>20789060</v>
      </c>
      <c r="K10920">
        <v>0</v>
      </c>
    </row>
    <row r="10921" spans="1:11" x14ac:dyDescent="0.25">
      <c r="A10921" t="s">
        <v>326</v>
      </c>
      <c r="B10921" t="s">
        <v>552</v>
      </c>
      <c r="C10921" t="s">
        <v>876</v>
      </c>
      <c r="D10921" t="s">
        <v>11</v>
      </c>
      <c r="E10921">
        <v>27</v>
      </c>
      <c r="F10921" s="2">
        <f>DATE(2026,IF(Tabla1[[#This Row],[Mes de Fecha]]="Septiembre",9,10),Tabla1[[#This Row],[Día de Fecha]])</f>
        <v>46292</v>
      </c>
      <c r="G10921">
        <v>1004248452</v>
      </c>
      <c r="H10921" t="s">
        <v>558</v>
      </c>
      <c r="I10921">
        <v>56</v>
      </c>
      <c r="J10921">
        <v>0</v>
      </c>
      <c r="K10921" s="1">
        <v>2854667</v>
      </c>
    </row>
    <row r="10922" spans="1:11" x14ac:dyDescent="0.25">
      <c r="A10922" t="s">
        <v>326</v>
      </c>
      <c r="B10922" t="s">
        <v>552</v>
      </c>
      <c r="C10922" t="s">
        <v>876</v>
      </c>
      <c r="D10922" t="s">
        <v>11</v>
      </c>
      <c r="E10922">
        <v>27</v>
      </c>
      <c r="F10922" s="2">
        <f>DATE(2026,IF(Tabla1[[#This Row],[Mes de Fecha]]="Septiembre",9,10),Tabla1[[#This Row],[Día de Fecha]])</f>
        <v>46292</v>
      </c>
      <c r="G10922">
        <v>1010087804</v>
      </c>
      <c r="H10922" t="s">
        <v>553</v>
      </c>
      <c r="I10922">
        <v>106</v>
      </c>
      <c r="J10922">
        <v>0</v>
      </c>
      <c r="K10922" s="1">
        <v>5745552</v>
      </c>
    </row>
    <row r="10923" spans="1:11" x14ac:dyDescent="0.25">
      <c r="A10923" t="s">
        <v>326</v>
      </c>
      <c r="B10923" t="s">
        <v>552</v>
      </c>
      <c r="C10923" t="s">
        <v>876</v>
      </c>
      <c r="D10923" t="s">
        <v>11</v>
      </c>
      <c r="E10923">
        <v>27</v>
      </c>
      <c r="F10923" s="2">
        <f>DATE(2026,IF(Tabla1[[#This Row],[Mes de Fecha]]="Septiembre",9,10),Tabla1[[#This Row],[Día de Fecha]])</f>
        <v>46292</v>
      </c>
      <c r="G10923">
        <v>1075270226</v>
      </c>
      <c r="H10923" t="s">
        <v>554</v>
      </c>
      <c r="I10923">
        <v>116</v>
      </c>
      <c r="J10923">
        <v>0</v>
      </c>
      <c r="K10923" s="1">
        <v>7041051</v>
      </c>
    </row>
    <row r="10924" spans="1:11" x14ac:dyDescent="0.25">
      <c r="A10924" t="s">
        <v>326</v>
      </c>
      <c r="B10924" t="s">
        <v>552</v>
      </c>
      <c r="C10924" t="s">
        <v>876</v>
      </c>
      <c r="D10924" t="s">
        <v>11</v>
      </c>
      <c r="E10924">
        <v>27</v>
      </c>
      <c r="F10924" s="2">
        <f>DATE(2026,IF(Tabla1[[#This Row],[Mes de Fecha]]="Septiembre",9,10),Tabla1[[#This Row],[Día de Fecha]])</f>
        <v>46292</v>
      </c>
      <c r="G10924">
        <v>1075284277</v>
      </c>
      <c r="H10924" t="s">
        <v>559</v>
      </c>
      <c r="I10924">
        <v>41</v>
      </c>
      <c r="J10924">
        <v>0</v>
      </c>
      <c r="K10924" s="1">
        <v>2321768</v>
      </c>
    </row>
    <row r="10925" spans="1:11" x14ac:dyDescent="0.25">
      <c r="A10925" t="s">
        <v>326</v>
      </c>
      <c r="B10925" t="s">
        <v>552</v>
      </c>
      <c r="C10925" t="s">
        <v>876</v>
      </c>
      <c r="D10925" t="s">
        <v>11</v>
      </c>
      <c r="E10925">
        <v>27</v>
      </c>
      <c r="F10925" s="2">
        <f>DATE(2026,IF(Tabla1[[#This Row],[Mes de Fecha]]="Septiembre",9,10),Tabla1[[#This Row],[Día de Fecha]])</f>
        <v>46292</v>
      </c>
      <c r="G10925">
        <v>1075295484</v>
      </c>
      <c r="H10925" t="s">
        <v>560</v>
      </c>
      <c r="I10925">
        <v>-1</v>
      </c>
      <c r="J10925">
        <v>0</v>
      </c>
      <c r="K10925" s="1">
        <v>-41975</v>
      </c>
    </row>
    <row r="10926" spans="1:11" x14ac:dyDescent="0.25">
      <c r="A10926" t="s">
        <v>326</v>
      </c>
      <c r="B10926" t="s">
        <v>552</v>
      </c>
      <c r="C10926" t="s">
        <v>876</v>
      </c>
      <c r="D10926" t="s">
        <v>11</v>
      </c>
      <c r="E10926">
        <v>28</v>
      </c>
      <c r="F10926" s="2">
        <f>DATE(2026,IF(Tabla1[[#This Row],[Mes de Fecha]]="Septiembre",9,10),Tabla1[[#This Row],[Día de Fecha]])</f>
        <v>46293</v>
      </c>
      <c r="I10926">
        <v>0</v>
      </c>
      <c r="J10926" s="1">
        <v>11441444</v>
      </c>
      <c r="K10926">
        <v>0</v>
      </c>
    </row>
    <row r="10927" spans="1:11" x14ac:dyDescent="0.25">
      <c r="A10927" t="s">
        <v>326</v>
      </c>
      <c r="B10927" t="s">
        <v>552</v>
      </c>
      <c r="C10927" t="s">
        <v>876</v>
      </c>
      <c r="D10927" t="s">
        <v>11</v>
      </c>
      <c r="E10927">
        <v>28</v>
      </c>
      <c r="F10927" s="2">
        <f>DATE(2026,IF(Tabla1[[#This Row],[Mes de Fecha]]="Septiembre",9,10),Tabla1[[#This Row],[Día de Fecha]])</f>
        <v>46293</v>
      </c>
      <c r="G10927">
        <v>1004248452</v>
      </c>
      <c r="H10927" t="s">
        <v>558</v>
      </c>
      <c r="I10927">
        <v>25</v>
      </c>
      <c r="J10927">
        <v>0</v>
      </c>
      <c r="K10927" s="1">
        <v>1450630</v>
      </c>
    </row>
    <row r="10928" spans="1:11" x14ac:dyDescent="0.25">
      <c r="A10928" t="s">
        <v>326</v>
      </c>
      <c r="B10928" t="s">
        <v>552</v>
      </c>
      <c r="C10928" t="s">
        <v>876</v>
      </c>
      <c r="D10928" t="s">
        <v>11</v>
      </c>
      <c r="E10928">
        <v>28</v>
      </c>
      <c r="F10928" s="2">
        <f>DATE(2026,IF(Tabla1[[#This Row],[Mes de Fecha]]="Septiembre",9,10),Tabla1[[#This Row],[Día de Fecha]])</f>
        <v>46293</v>
      </c>
      <c r="G10928">
        <v>1010087804</v>
      </c>
      <c r="H10928" t="s">
        <v>553</v>
      </c>
      <c r="I10928">
        <v>36</v>
      </c>
      <c r="J10928">
        <v>0</v>
      </c>
      <c r="K10928" s="1">
        <v>1985717</v>
      </c>
    </row>
    <row r="10929" spans="1:11" x14ac:dyDescent="0.25">
      <c r="A10929" t="s">
        <v>326</v>
      </c>
      <c r="B10929" t="s">
        <v>552</v>
      </c>
      <c r="C10929" t="s">
        <v>876</v>
      </c>
      <c r="D10929" t="s">
        <v>11</v>
      </c>
      <c r="E10929">
        <v>28</v>
      </c>
      <c r="F10929" s="2">
        <f>DATE(2026,IF(Tabla1[[#This Row],[Mes de Fecha]]="Septiembre",9,10),Tabla1[[#This Row],[Día de Fecha]])</f>
        <v>46293</v>
      </c>
      <c r="G10929">
        <v>1075270226</v>
      </c>
      <c r="H10929" t="s">
        <v>554</v>
      </c>
      <c r="I10929">
        <v>71</v>
      </c>
      <c r="J10929">
        <v>0</v>
      </c>
      <c r="K10929" s="1">
        <v>3101893</v>
      </c>
    </row>
    <row r="10930" spans="1:11" x14ac:dyDescent="0.25">
      <c r="A10930" t="s">
        <v>326</v>
      </c>
      <c r="B10930" t="s">
        <v>552</v>
      </c>
      <c r="C10930" t="s">
        <v>876</v>
      </c>
      <c r="D10930" t="s">
        <v>11</v>
      </c>
      <c r="E10930">
        <v>28</v>
      </c>
      <c r="F10930" s="2">
        <f>DATE(2026,IF(Tabla1[[#This Row],[Mes de Fecha]]="Septiembre",9,10),Tabla1[[#This Row],[Día de Fecha]])</f>
        <v>46293</v>
      </c>
      <c r="G10930">
        <v>1075284277</v>
      </c>
      <c r="H10930" t="s">
        <v>559</v>
      </c>
      <c r="I10930">
        <v>15</v>
      </c>
      <c r="J10930">
        <v>0</v>
      </c>
      <c r="K10930" s="1">
        <v>646262</v>
      </c>
    </row>
    <row r="10931" spans="1:11" x14ac:dyDescent="0.25">
      <c r="A10931" t="s">
        <v>326</v>
      </c>
      <c r="B10931" t="s">
        <v>552</v>
      </c>
      <c r="C10931" t="s">
        <v>876</v>
      </c>
      <c r="D10931" t="s">
        <v>11</v>
      </c>
      <c r="E10931">
        <v>29</v>
      </c>
      <c r="F10931" s="2">
        <f>DATE(2026,IF(Tabla1[[#This Row],[Mes de Fecha]]="Septiembre",9,10),Tabla1[[#This Row],[Día de Fecha]])</f>
        <v>46294</v>
      </c>
      <c r="I10931">
        <v>0</v>
      </c>
      <c r="J10931" s="1">
        <v>12221701</v>
      </c>
      <c r="K10931">
        <v>0</v>
      </c>
    </row>
    <row r="10932" spans="1:11" x14ac:dyDescent="0.25">
      <c r="A10932" t="s">
        <v>326</v>
      </c>
      <c r="B10932" t="s">
        <v>552</v>
      </c>
      <c r="C10932" t="s">
        <v>876</v>
      </c>
      <c r="D10932" t="s">
        <v>11</v>
      </c>
      <c r="E10932">
        <v>29</v>
      </c>
      <c r="F10932" s="2">
        <f>DATE(2026,IF(Tabla1[[#This Row],[Mes de Fecha]]="Septiembre",9,10),Tabla1[[#This Row],[Día de Fecha]])</f>
        <v>46294</v>
      </c>
      <c r="G10932">
        <v>1004248452</v>
      </c>
      <c r="H10932" t="s">
        <v>558</v>
      </c>
      <c r="I10932">
        <v>5</v>
      </c>
      <c r="J10932">
        <v>0</v>
      </c>
      <c r="K10932" s="1">
        <v>352689</v>
      </c>
    </row>
    <row r="10933" spans="1:11" x14ac:dyDescent="0.25">
      <c r="A10933" t="s">
        <v>326</v>
      </c>
      <c r="B10933" t="s">
        <v>552</v>
      </c>
      <c r="C10933" t="s">
        <v>876</v>
      </c>
      <c r="D10933" t="s">
        <v>11</v>
      </c>
      <c r="E10933">
        <v>29</v>
      </c>
      <c r="F10933" s="2">
        <f>DATE(2026,IF(Tabla1[[#This Row],[Mes de Fecha]]="Septiembre",9,10),Tabla1[[#This Row],[Día de Fecha]])</f>
        <v>46294</v>
      </c>
      <c r="G10933">
        <v>1010087804</v>
      </c>
      <c r="H10933" t="s">
        <v>553</v>
      </c>
      <c r="I10933">
        <v>30</v>
      </c>
      <c r="J10933">
        <v>0</v>
      </c>
      <c r="K10933" s="1">
        <v>1559865</v>
      </c>
    </row>
    <row r="10934" spans="1:11" x14ac:dyDescent="0.25">
      <c r="A10934" t="s">
        <v>326</v>
      </c>
      <c r="B10934" t="s">
        <v>552</v>
      </c>
      <c r="C10934" t="s">
        <v>876</v>
      </c>
      <c r="D10934" t="s">
        <v>11</v>
      </c>
      <c r="E10934">
        <v>29</v>
      </c>
      <c r="F10934" s="2">
        <f>DATE(2026,IF(Tabla1[[#This Row],[Mes de Fecha]]="Septiembre",9,10),Tabla1[[#This Row],[Día de Fecha]])</f>
        <v>46294</v>
      </c>
      <c r="G10934">
        <v>1075240964</v>
      </c>
      <c r="H10934" t="s">
        <v>556</v>
      </c>
      <c r="I10934">
        <v>-1</v>
      </c>
      <c r="J10934">
        <v>0</v>
      </c>
      <c r="K10934" s="1">
        <v>-46177</v>
      </c>
    </row>
    <row r="10935" spans="1:11" x14ac:dyDescent="0.25">
      <c r="A10935" t="s">
        <v>326</v>
      </c>
      <c r="B10935" t="s">
        <v>552</v>
      </c>
      <c r="C10935" t="s">
        <v>876</v>
      </c>
      <c r="D10935" t="s">
        <v>11</v>
      </c>
      <c r="E10935">
        <v>29</v>
      </c>
      <c r="F10935" s="2">
        <f>DATE(2026,IF(Tabla1[[#This Row],[Mes de Fecha]]="Septiembre",9,10),Tabla1[[#This Row],[Día de Fecha]])</f>
        <v>46294</v>
      </c>
      <c r="G10935">
        <v>1075270226</v>
      </c>
      <c r="H10935" t="s">
        <v>554</v>
      </c>
      <c r="I10935">
        <v>36</v>
      </c>
      <c r="J10935">
        <v>0</v>
      </c>
      <c r="K10935" s="1">
        <v>2120339</v>
      </c>
    </row>
    <row r="10936" spans="1:11" x14ac:dyDescent="0.25">
      <c r="A10936" t="s">
        <v>326</v>
      </c>
      <c r="B10936" t="s">
        <v>552</v>
      </c>
      <c r="C10936" t="s">
        <v>876</v>
      </c>
      <c r="D10936" t="s">
        <v>11</v>
      </c>
      <c r="E10936">
        <v>29</v>
      </c>
      <c r="F10936" s="2">
        <f>DATE(2026,IF(Tabla1[[#This Row],[Mes de Fecha]]="Septiembre",9,10),Tabla1[[#This Row],[Día de Fecha]])</f>
        <v>46294</v>
      </c>
      <c r="G10936">
        <v>1075284277</v>
      </c>
      <c r="H10936" t="s">
        <v>559</v>
      </c>
      <c r="I10936">
        <v>36</v>
      </c>
      <c r="J10936">
        <v>0</v>
      </c>
      <c r="K10936" s="1">
        <v>1885001</v>
      </c>
    </row>
    <row r="10937" spans="1:11" x14ac:dyDescent="0.25">
      <c r="A10937" t="s">
        <v>326</v>
      </c>
      <c r="B10937" t="s">
        <v>552</v>
      </c>
      <c r="C10937" t="s">
        <v>876</v>
      </c>
      <c r="D10937" t="s">
        <v>11</v>
      </c>
      <c r="E10937">
        <v>30</v>
      </c>
      <c r="F10937" s="2">
        <f>DATE(2026,IF(Tabla1[[#This Row],[Mes de Fecha]]="Septiembre",9,10),Tabla1[[#This Row],[Día de Fecha]])</f>
        <v>46295</v>
      </c>
      <c r="I10937">
        <v>0</v>
      </c>
      <c r="J10937" s="1">
        <v>12625236</v>
      </c>
      <c r="K10937">
        <v>0</v>
      </c>
    </row>
    <row r="10938" spans="1:11" x14ac:dyDescent="0.25">
      <c r="A10938" t="s">
        <v>326</v>
      </c>
      <c r="B10938" t="s">
        <v>552</v>
      </c>
      <c r="C10938" t="s">
        <v>876</v>
      </c>
      <c r="D10938" t="s">
        <v>11</v>
      </c>
      <c r="E10938">
        <v>30</v>
      </c>
      <c r="F10938" s="2">
        <f>DATE(2026,IF(Tabla1[[#This Row],[Mes de Fecha]]="Septiembre",9,10),Tabla1[[#This Row],[Día de Fecha]])</f>
        <v>46295</v>
      </c>
      <c r="G10938">
        <v>1004248452</v>
      </c>
      <c r="H10938" t="s">
        <v>558</v>
      </c>
      <c r="I10938">
        <v>51</v>
      </c>
      <c r="J10938">
        <v>0</v>
      </c>
      <c r="K10938" s="1">
        <v>2758196</v>
      </c>
    </row>
    <row r="10939" spans="1:11" x14ac:dyDescent="0.25">
      <c r="A10939" t="s">
        <v>326</v>
      </c>
      <c r="B10939" t="s">
        <v>552</v>
      </c>
      <c r="C10939" t="s">
        <v>876</v>
      </c>
      <c r="D10939" t="s">
        <v>11</v>
      </c>
      <c r="E10939">
        <v>30</v>
      </c>
      <c r="F10939" s="2">
        <f>DATE(2026,IF(Tabla1[[#This Row],[Mes de Fecha]]="Septiembre",9,10),Tabla1[[#This Row],[Día de Fecha]])</f>
        <v>46295</v>
      </c>
      <c r="G10939">
        <v>1010087804</v>
      </c>
      <c r="H10939" t="s">
        <v>553</v>
      </c>
      <c r="I10939">
        <v>43</v>
      </c>
      <c r="J10939">
        <v>0</v>
      </c>
      <c r="K10939" s="1">
        <v>2262818</v>
      </c>
    </row>
    <row r="10940" spans="1:11" x14ac:dyDescent="0.25">
      <c r="A10940" t="s">
        <v>326</v>
      </c>
      <c r="B10940" t="s">
        <v>552</v>
      </c>
      <c r="C10940" t="s">
        <v>876</v>
      </c>
      <c r="D10940" t="s">
        <v>11</v>
      </c>
      <c r="E10940">
        <v>30</v>
      </c>
      <c r="F10940" s="2">
        <f>DATE(2026,IF(Tabla1[[#This Row],[Mes de Fecha]]="Septiembre",9,10),Tabla1[[#This Row],[Día de Fecha]])</f>
        <v>46295</v>
      </c>
      <c r="G10940">
        <v>1075270226</v>
      </c>
      <c r="H10940" t="s">
        <v>554</v>
      </c>
      <c r="I10940">
        <v>57</v>
      </c>
      <c r="J10940">
        <v>0</v>
      </c>
      <c r="K10940" s="1">
        <v>3211688</v>
      </c>
    </row>
    <row r="10941" spans="1:11" x14ac:dyDescent="0.25">
      <c r="A10941" t="s">
        <v>326</v>
      </c>
      <c r="B10941" t="s">
        <v>552</v>
      </c>
      <c r="C10941" t="s">
        <v>876</v>
      </c>
      <c r="D10941" t="s">
        <v>11</v>
      </c>
      <c r="E10941">
        <v>30</v>
      </c>
      <c r="F10941" s="2">
        <f>DATE(2026,IF(Tabla1[[#This Row],[Mes de Fecha]]="Septiembre",9,10),Tabla1[[#This Row],[Día de Fecha]])</f>
        <v>46295</v>
      </c>
      <c r="G10941">
        <v>1075284277</v>
      </c>
      <c r="H10941" t="s">
        <v>559</v>
      </c>
      <c r="I10941">
        <v>19</v>
      </c>
      <c r="J10941">
        <v>0</v>
      </c>
      <c r="K10941" s="1">
        <v>1167270</v>
      </c>
    </row>
    <row r="10942" spans="1:11" x14ac:dyDescent="0.25">
      <c r="A10942" t="s">
        <v>326</v>
      </c>
      <c r="B10942" t="s">
        <v>552</v>
      </c>
      <c r="C10942" t="s">
        <v>876</v>
      </c>
      <c r="D10942" t="s">
        <v>14</v>
      </c>
      <c r="E10942">
        <v>1</v>
      </c>
      <c r="F10942" s="2">
        <f>DATE(2026,IF(Tabla1[[#This Row],[Mes de Fecha]]="Septiembre",9,10),Tabla1[[#This Row],[Día de Fecha]])</f>
        <v>46296</v>
      </c>
      <c r="I10942">
        <v>0</v>
      </c>
      <c r="J10942" s="1">
        <v>11087004</v>
      </c>
      <c r="K10942">
        <v>0</v>
      </c>
    </row>
    <row r="10943" spans="1:11" x14ac:dyDescent="0.25">
      <c r="A10943" t="s">
        <v>326</v>
      </c>
      <c r="B10943" t="s">
        <v>552</v>
      </c>
      <c r="C10943" t="s">
        <v>876</v>
      </c>
      <c r="D10943" t="s">
        <v>14</v>
      </c>
      <c r="E10943">
        <v>1</v>
      </c>
      <c r="F10943" s="2">
        <f>DATE(2026,IF(Tabla1[[#This Row],[Mes de Fecha]]="Septiembre",9,10),Tabla1[[#This Row],[Día de Fecha]])</f>
        <v>46296</v>
      </c>
      <c r="G10943">
        <v>1004248452</v>
      </c>
      <c r="H10943" t="s">
        <v>558</v>
      </c>
      <c r="I10943">
        <v>21</v>
      </c>
      <c r="J10943">
        <v>0</v>
      </c>
      <c r="K10943" s="1">
        <v>1039035</v>
      </c>
    </row>
    <row r="10944" spans="1:11" x14ac:dyDescent="0.25">
      <c r="A10944" t="s">
        <v>326</v>
      </c>
      <c r="B10944" t="s">
        <v>552</v>
      </c>
      <c r="C10944" t="s">
        <v>876</v>
      </c>
      <c r="D10944" t="s">
        <v>14</v>
      </c>
      <c r="E10944">
        <v>1</v>
      </c>
      <c r="F10944" s="2">
        <f>DATE(2026,IF(Tabla1[[#This Row],[Mes de Fecha]]="Septiembre",9,10),Tabla1[[#This Row],[Día de Fecha]])</f>
        <v>46296</v>
      </c>
      <c r="G10944">
        <v>1010087804</v>
      </c>
      <c r="H10944" t="s">
        <v>553</v>
      </c>
      <c r="I10944">
        <v>47</v>
      </c>
      <c r="J10944">
        <v>0</v>
      </c>
      <c r="K10944" s="1">
        <v>2934960</v>
      </c>
    </row>
    <row r="10945" spans="1:11" x14ac:dyDescent="0.25">
      <c r="A10945" t="s">
        <v>326</v>
      </c>
      <c r="B10945" t="s">
        <v>552</v>
      </c>
      <c r="C10945" t="s">
        <v>876</v>
      </c>
      <c r="D10945" t="s">
        <v>14</v>
      </c>
      <c r="E10945">
        <v>1</v>
      </c>
      <c r="F10945" s="2">
        <f>DATE(2026,IF(Tabla1[[#This Row],[Mes de Fecha]]="Septiembre",9,10),Tabla1[[#This Row],[Día de Fecha]])</f>
        <v>46296</v>
      </c>
      <c r="G10945">
        <v>1075270226</v>
      </c>
      <c r="H10945" t="s">
        <v>554</v>
      </c>
      <c r="I10945">
        <v>64</v>
      </c>
      <c r="J10945">
        <v>0</v>
      </c>
      <c r="K10945" s="1">
        <v>3856225</v>
      </c>
    </row>
    <row r="10946" spans="1:11" x14ac:dyDescent="0.25">
      <c r="A10946" t="s">
        <v>326</v>
      </c>
      <c r="B10946" t="s">
        <v>552</v>
      </c>
      <c r="C10946" t="s">
        <v>876</v>
      </c>
      <c r="D10946" t="s">
        <v>14</v>
      </c>
      <c r="E10946">
        <v>1</v>
      </c>
      <c r="F10946" s="2">
        <f>DATE(2026,IF(Tabla1[[#This Row],[Mes de Fecha]]="Septiembre",9,10),Tabla1[[#This Row],[Día de Fecha]])</f>
        <v>46296</v>
      </c>
      <c r="G10946">
        <v>1075284277</v>
      </c>
      <c r="H10946" t="s">
        <v>559</v>
      </c>
      <c r="I10946">
        <v>27</v>
      </c>
      <c r="J10946">
        <v>0</v>
      </c>
      <c r="K10946" s="1">
        <v>1196305</v>
      </c>
    </row>
    <row r="10947" spans="1:11" x14ac:dyDescent="0.25">
      <c r="A10947" t="s">
        <v>326</v>
      </c>
      <c r="B10947" t="s">
        <v>552</v>
      </c>
      <c r="C10947" t="s">
        <v>876</v>
      </c>
      <c r="D10947" t="s">
        <v>14</v>
      </c>
      <c r="E10947">
        <v>2</v>
      </c>
      <c r="F10947" s="2">
        <f>DATE(2026,IF(Tabla1[[#This Row],[Mes de Fecha]]="Septiembre",9,10),Tabla1[[#This Row],[Día de Fecha]])</f>
        <v>46297</v>
      </c>
      <c r="I10947">
        <v>0</v>
      </c>
      <c r="J10947" s="1">
        <v>10447092</v>
      </c>
      <c r="K10947">
        <v>0</v>
      </c>
    </row>
    <row r="10948" spans="1:11" x14ac:dyDescent="0.25">
      <c r="A10948" t="s">
        <v>326</v>
      </c>
      <c r="B10948" t="s">
        <v>552</v>
      </c>
      <c r="C10948" t="s">
        <v>876</v>
      </c>
      <c r="D10948" t="s">
        <v>14</v>
      </c>
      <c r="E10948">
        <v>2</v>
      </c>
      <c r="F10948" s="2">
        <f>DATE(2026,IF(Tabla1[[#This Row],[Mes de Fecha]]="Septiembre",9,10),Tabla1[[#This Row],[Día de Fecha]])</f>
        <v>46297</v>
      </c>
      <c r="G10948">
        <v>1004248452</v>
      </c>
      <c r="H10948" t="s">
        <v>558</v>
      </c>
      <c r="I10948">
        <v>24</v>
      </c>
      <c r="J10948">
        <v>0</v>
      </c>
      <c r="K10948" s="1">
        <v>1164960</v>
      </c>
    </row>
    <row r="10949" spans="1:11" x14ac:dyDescent="0.25">
      <c r="A10949" t="s">
        <v>326</v>
      </c>
      <c r="B10949" t="s">
        <v>552</v>
      </c>
      <c r="C10949" t="s">
        <v>876</v>
      </c>
      <c r="D10949" t="s">
        <v>14</v>
      </c>
      <c r="E10949">
        <v>2</v>
      </c>
      <c r="F10949" s="2">
        <f>DATE(2026,IF(Tabla1[[#This Row],[Mes de Fecha]]="Septiembre",9,10),Tabla1[[#This Row],[Día de Fecha]])</f>
        <v>46297</v>
      </c>
      <c r="G10949">
        <v>1010087804</v>
      </c>
      <c r="H10949" t="s">
        <v>553</v>
      </c>
      <c r="I10949">
        <v>53</v>
      </c>
      <c r="J10949">
        <v>0</v>
      </c>
      <c r="K10949" s="1">
        <v>2941014</v>
      </c>
    </row>
    <row r="10950" spans="1:11" x14ac:dyDescent="0.25">
      <c r="A10950" t="s">
        <v>326</v>
      </c>
      <c r="B10950" t="s">
        <v>552</v>
      </c>
      <c r="C10950" t="s">
        <v>876</v>
      </c>
      <c r="D10950" t="s">
        <v>14</v>
      </c>
      <c r="E10950">
        <v>2</v>
      </c>
      <c r="F10950" s="2">
        <f>DATE(2026,IF(Tabla1[[#This Row],[Mes de Fecha]]="Septiembre",9,10),Tabla1[[#This Row],[Día de Fecha]])</f>
        <v>46297</v>
      </c>
      <c r="G10950">
        <v>1075270226</v>
      </c>
      <c r="H10950" t="s">
        <v>554</v>
      </c>
      <c r="I10950">
        <v>68</v>
      </c>
      <c r="J10950">
        <v>0</v>
      </c>
      <c r="K10950" s="1">
        <v>3517988</v>
      </c>
    </row>
    <row r="10951" spans="1:11" x14ac:dyDescent="0.25">
      <c r="A10951" t="s">
        <v>326</v>
      </c>
      <c r="B10951" t="s">
        <v>552</v>
      </c>
      <c r="C10951" t="s">
        <v>876</v>
      </c>
      <c r="D10951" t="s">
        <v>14</v>
      </c>
      <c r="E10951">
        <v>2</v>
      </c>
      <c r="F10951" s="2">
        <f>DATE(2026,IF(Tabla1[[#This Row],[Mes de Fecha]]="Septiembre",9,10),Tabla1[[#This Row],[Día de Fecha]])</f>
        <v>46297</v>
      </c>
      <c r="G10951">
        <v>1075284277</v>
      </c>
      <c r="H10951" t="s">
        <v>559</v>
      </c>
      <c r="I10951">
        <v>19</v>
      </c>
      <c r="J10951">
        <v>0</v>
      </c>
      <c r="K10951" s="1">
        <v>1079035</v>
      </c>
    </row>
    <row r="10952" spans="1:11" x14ac:dyDescent="0.25">
      <c r="A10952" t="s">
        <v>326</v>
      </c>
      <c r="B10952" t="s">
        <v>552</v>
      </c>
      <c r="C10952" t="s">
        <v>876</v>
      </c>
      <c r="D10952" t="s">
        <v>14</v>
      </c>
      <c r="E10952">
        <v>3</v>
      </c>
      <c r="F10952" s="2">
        <f>DATE(2026,IF(Tabla1[[#This Row],[Mes de Fecha]]="Septiembre",9,10),Tabla1[[#This Row],[Día de Fecha]])</f>
        <v>46298</v>
      </c>
      <c r="I10952">
        <v>0</v>
      </c>
      <c r="J10952" s="1">
        <v>13503584</v>
      </c>
      <c r="K10952">
        <v>0</v>
      </c>
    </row>
    <row r="10953" spans="1:11" x14ac:dyDescent="0.25">
      <c r="A10953" t="s">
        <v>326</v>
      </c>
      <c r="B10953" t="s">
        <v>552</v>
      </c>
      <c r="C10953" t="s">
        <v>876</v>
      </c>
      <c r="D10953" t="s">
        <v>14</v>
      </c>
      <c r="E10953">
        <v>3</v>
      </c>
      <c r="F10953" s="2">
        <f>DATE(2026,IF(Tabla1[[#This Row],[Mes de Fecha]]="Septiembre",9,10),Tabla1[[#This Row],[Día de Fecha]])</f>
        <v>46298</v>
      </c>
      <c r="G10953">
        <v>1004248452</v>
      </c>
      <c r="H10953" t="s">
        <v>558</v>
      </c>
      <c r="I10953">
        <v>58</v>
      </c>
      <c r="J10953">
        <v>0</v>
      </c>
      <c r="K10953" s="1">
        <v>3173348</v>
      </c>
    </row>
    <row r="10954" spans="1:11" x14ac:dyDescent="0.25">
      <c r="A10954" t="s">
        <v>326</v>
      </c>
      <c r="B10954" t="s">
        <v>552</v>
      </c>
      <c r="C10954" t="s">
        <v>876</v>
      </c>
      <c r="D10954" t="s">
        <v>14</v>
      </c>
      <c r="E10954">
        <v>3</v>
      </c>
      <c r="F10954" s="2">
        <f>DATE(2026,IF(Tabla1[[#This Row],[Mes de Fecha]]="Septiembre",9,10),Tabla1[[#This Row],[Día de Fecha]])</f>
        <v>46298</v>
      </c>
      <c r="G10954">
        <v>1010087804</v>
      </c>
      <c r="H10954" t="s">
        <v>553</v>
      </c>
      <c r="I10954">
        <v>103</v>
      </c>
      <c r="J10954">
        <v>0</v>
      </c>
      <c r="K10954" s="1">
        <v>5378748</v>
      </c>
    </row>
    <row r="10955" spans="1:11" x14ac:dyDescent="0.25">
      <c r="A10955" t="s">
        <v>326</v>
      </c>
      <c r="B10955" t="s">
        <v>552</v>
      </c>
      <c r="C10955" t="s">
        <v>876</v>
      </c>
      <c r="D10955" t="s">
        <v>14</v>
      </c>
      <c r="E10955">
        <v>3</v>
      </c>
      <c r="F10955" s="2">
        <f>DATE(2026,IF(Tabla1[[#This Row],[Mes de Fecha]]="Septiembre",9,10),Tabla1[[#This Row],[Día de Fecha]])</f>
        <v>46298</v>
      </c>
      <c r="G10955">
        <v>1075243559</v>
      </c>
      <c r="H10955" t="s">
        <v>561</v>
      </c>
      <c r="I10955">
        <v>-1</v>
      </c>
      <c r="J10955">
        <v>0</v>
      </c>
      <c r="K10955" s="1">
        <v>-54580</v>
      </c>
    </row>
    <row r="10956" spans="1:11" x14ac:dyDescent="0.25">
      <c r="A10956" t="s">
        <v>326</v>
      </c>
      <c r="B10956" t="s">
        <v>552</v>
      </c>
      <c r="C10956" t="s">
        <v>876</v>
      </c>
      <c r="D10956" t="s">
        <v>14</v>
      </c>
      <c r="E10956">
        <v>3</v>
      </c>
      <c r="F10956" s="2">
        <f>DATE(2026,IF(Tabla1[[#This Row],[Mes de Fecha]]="Septiembre",9,10),Tabla1[[#This Row],[Día de Fecha]])</f>
        <v>46298</v>
      </c>
      <c r="G10956">
        <v>1075270226</v>
      </c>
      <c r="H10956" t="s">
        <v>554</v>
      </c>
      <c r="I10956">
        <v>125</v>
      </c>
      <c r="J10956">
        <v>0</v>
      </c>
      <c r="K10956" s="1">
        <v>6236970</v>
      </c>
    </row>
    <row r="10957" spans="1:11" x14ac:dyDescent="0.25">
      <c r="A10957" t="s">
        <v>326</v>
      </c>
      <c r="B10957" t="s">
        <v>552</v>
      </c>
      <c r="C10957" t="s">
        <v>876</v>
      </c>
      <c r="D10957" t="s">
        <v>14</v>
      </c>
      <c r="E10957">
        <v>3</v>
      </c>
      <c r="F10957" s="2">
        <f>DATE(2026,IF(Tabla1[[#This Row],[Mes de Fecha]]="Septiembre",9,10),Tabla1[[#This Row],[Día de Fecha]])</f>
        <v>46298</v>
      </c>
      <c r="G10957">
        <v>1075284277</v>
      </c>
      <c r="H10957" t="s">
        <v>559</v>
      </c>
      <c r="I10957">
        <v>64</v>
      </c>
      <c r="J10957">
        <v>0</v>
      </c>
      <c r="K10957" s="1">
        <v>3157981</v>
      </c>
    </row>
    <row r="10958" spans="1:11" x14ac:dyDescent="0.25">
      <c r="A10958" t="s">
        <v>326</v>
      </c>
      <c r="B10958" t="s">
        <v>552</v>
      </c>
      <c r="C10958" t="s">
        <v>876</v>
      </c>
      <c r="D10958" t="s">
        <v>14</v>
      </c>
      <c r="E10958">
        <v>4</v>
      </c>
      <c r="F10958" s="2">
        <f>DATE(2026,IF(Tabla1[[#This Row],[Mes de Fecha]]="Septiembre",9,10),Tabla1[[#This Row],[Día de Fecha]])</f>
        <v>46299</v>
      </c>
      <c r="I10958">
        <v>0</v>
      </c>
      <c r="J10958" s="1">
        <v>11808888</v>
      </c>
      <c r="K10958">
        <v>0</v>
      </c>
    </row>
    <row r="10959" spans="1:11" x14ac:dyDescent="0.25">
      <c r="A10959" t="s">
        <v>326</v>
      </c>
      <c r="B10959" t="s">
        <v>552</v>
      </c>
      <c r="C10959" t="s">
        <v>876</v>
      </c>
      <c r="D10959" t="s">
        <v>14</v>
      </c>
      <c r="E10959">
        <v>4</v>
      </c>
      <c r="F10959" s="2">
        <f>DATE(2026,IF(Tabla1[[#This Row],[Mes de Fecha]]="Septiembre",9,10),Tabla1[[#This Row],[Día de Fecha]])</f>
        <v>46299</v>
      </c>
      <c r="G10959">
        <v>1004248452</v>
      </c>
      <c r="H10959" t="s">
        <v>558</v>
      </c>
      <c r="I10959">
        <v>53</v>
      </c>
      <c r="J10959">
        <v>0</v>
      </c>
      <c r="K10959" s="1">
        <v>3084240</v>
      </c>
    </row>
    <row r="10960" spans="1:11" x14ac:dyDescent="0.25">
      <c r="A10960" t="s">
        <v>326</v>
      </c>
      <c r="B10960" t="s">
        <v>552</v>
      </c>
      <c r="C10960" t="s">
        <v>876</v>
      </c>
      <c r="D10960" t="s">
        <v>14</v>
      </c>
      <c r="E10960">
        <v>4</v>
      </c>
      <c r="F10960" s="2">
        <f>DATE(2026,IF(Tabla1[[#This Row],[Mes de Fecha]]="Septiembre",9,10),Tabla1[[#This Row],[Día de Fecha]])</f>
        <v>46299</v>
      </c>
      <c r="G10960">
        <v>1010087804</v>
      </c>
      <c r="H10960" t="s">
        <v>553</v>
      </c>
      <c r="I10960">
        <v>86</v>
      </c>
      <c r="J10960">
        <v>0</v>
      </c>
      <c r="K10960" s="1">
        <v>4615847</v>
      </c>
    </row>
    <row r="10961" spans="1:11" x14ac:dyDescent="0.25">
      <c r="A10961" t="s">
        <v>326</v>
      </c>
      <c r="B10961" t="s">
        <v>552</v>
      </c>
      <c r="C10961" t="s">
        <v>876</v>
      </c>
      <c r="D10961" t="s">
        <v>14</v>
      </c>
      <c r="E10961">
        <v>4</v>
      </c>
      <c r="F10961" s="2">
        <f>DATE(2026,IF(Tabla1[[#This Row],[Mes de Fecha]]="Septiembre",9,10),Tabla1[[#This Row],[Día de Fecha]])</f>
        <v>46299</v>
      </c>
      <c r="G10961">
        <v>1075218260</v>
      </c>
      <c r="H10961" t="s">
        <v>562</v>
      </c>
      <c r="I10961">
        <v>-1</v>
      </c>
      <c r="J10961">
        <v>0</v>
      </c>
      <c r="K10961" s="1">
        <v>-67185</v>
      </c>
    </row>
    <row r="10962" spans="1:11" x14ac:dyDescent="0.25">
      <c r="A10962" t="s">
        <v>326</v>
      </c>
      <c r="B10962" t="s">
        <v>552</v>
      </c>
      <c r="C10962" t="s">
        <v>876</v>
      </c>
      <c r="D10962" t="s">
        <v>14</v>
      </c>
      <c r="E10962">
        <v>4</v>
      </c>
      <c r="F10962" s="2">
        <f>DATE(2026,IF(Tabla1[[#This Row],[Mes de Fecha]]="Septiembre",9,10),Tabla1[[#This Row],[Día de Fecha]])</f>
        <v>46299</v>
      </c>
      <c r="G10962">
        <v>1075270226</v>
      </c>
      <c r="H10962" t="s">
        <v>554</v>
      </c>
      <c r="I10962">
        <v>98</v>
      </c>
      <c r="J10962">
        <v>0</v>
      </c>
      <c r="K10962" s="1">
        <v>6293957</v>
      </c>
    </row>
    <row r="10963" spans="1:11" x14ac:dyDescent="0.25">
      <c r="A10963" t="s">
        <v>326</v>
      </c>
      <c r="B10963" t="s">
        <v>552</v>
      </c>
      <c r="C10963" t="s">
        <v>876</v>
      </c>
      <c r="D10963" t="s">
        <v>14</v>
      </c>
      <c r="E10963">
        <v>4</v>
      </c>
      <c r="F10963" s="2">
        <f>DATE(2026,IF(Tabla1[[#This Row],[Mes de Fecha]]="Septiembre",9,10),Tabla1[[#This Row],[Día de Fecha]])</f>
        <v>46299</v>
      </c>
      <c r="G10963">
        <v>1075284277</v>
      </c>
      <c r="H10963" t="s">
        <v>559</v>
      </c>
      <c r="I10963">
        <v>51</v>
      </c>
      <c r="J10963">
        <v>0</v>
      </c>
      <c r="K10963" s="1">
        <v>2821349</v>
      </c>
    </row>
    <row r="10964" spans="1:11" x14ac:dyDescent="0.25">
      <c r="A10964" t="s">
        <v>326</v>
      </c>
      <c r="B10964" t="s">
        <v>552</v>
      </c>
      <c r="C10964" t="s">
        <v>876</v>
      </c>
      <c r="D10964" t="s">
        <v>14</v>
      </c>
      <c r="E10964">
        <v>5</v>
      </c>
      <c r="F10964" s="2">
        <f>DATE(2026,IF(Tabla1[[#This Row],[Mes de Fecha]]="Septiembre",9,10),Tabla1[[#This Row],[Día de Fecha]])</f>
        <v>46300</v>
      </c>
      <c r="I10964">
        <v>0</v>
      </c>
      <c r="J10964" s="1">
        <v>8566189</v>
      </c>
      <c r="K10964">
        <v>0</v>
      </c>
    </row>
    <row r="10965" spans="1:11" x14ac:dyDescent="0.25">
      <c r="A10965" t="s">
        <v>326</v>
      </c>
      <c r="B10965" t="s">
        <v>552</v>
      </c>
      <c r="C10965" t="s">
        <v>876</v>
      </c>
      <c r="D10965" t="s">
        <v>14</v>
      </c>
      <c r="E10965">
        <v>5</v>
      </c>
      <c r="F10965" s="2">
        <f>DATE(2026,IF(Tabla1[[#This Row],[Mes de Fecha]]="Septiembre",9,10),Tabla1[[#This Row],[Día de Fecha]])</f>
        <v>46300</v>
      </c>
      <c r="G10965">
        <v>1004248452</v>
      </c>
      <c r="H10965" t="s">
        <v>558</v>
      </c>
      <c r="I10965">
        <v>40</v>
      </c>
      <c r="J10965">
        <v>0</v>
      </c>
      <c r="K10965" s="1">
        <v>1979288</v>
      </c>
    </row>
    <row r="10966" spans="1:11" x14ac:dyDescent="0.25">
      <c r="A10966" t="s">
        <v>326</v>
      </c>
      <c r="B10966" t="s">
        <v>552</v>
      </c>
      <c r="C10966" t="s">
        <v>876</v>
      </c>
      <c r="D10966" t="s">
        <v>14</v>
      </c>
      <c r="E10966">
        <v>5</v>
      </c>
      <c r="F10966" s="2">
        <f>DATE(2026,IF(Tabla1[[#This Row],[Mes de Fecha]]="Septiembre",9,10),Tabla1[[#This Row],[Día de Fecha]])</f>
        <v>46300</v>
      </c>
      <c r="G10966">
        <v>1010087804</v>
      </c>
      <c r="H10966" t="s">
        <v>553</v>
      </c>
      <c r="I10966">
        <v>17</v>
      </c>
      <c r="J10966">
        <v>0</v>
      </c>
      <c r="K10966" s="1">
        <v>869034</v>
      </c>
    </row>
    <row r="10967" spans="1:11" x14ac:dyDescent="0.25">
      <c r="A10967" t="s">
        <v>326</v>
      </c>
      <c r="B10967" t="s">
        <v>552</v>
      </c>
      <c r="C10967" t="s">
        <v>876</v>
      </c>
      <c r="D10967" t="s">
        <v>14</v>
      </c>
      <c r="E10967">
        <v>5</v>
      </c>
      <c r="F10967" s="2">
        <f>DATE(2026,IF(Tabla1[[#This Row],[Mes de Fecha]]="Septiembre",9,10),Tabla1[[#This Row],[Día de Fecha]])</f>
        <v>46300</v>
      </c>
      <c r="G10967">
        <v>1075243559</v>
      </c>
      <c r="H10967" t="s">
        <v>561</v>
      </c>
      <c r="I10967">
        <v>-2</v>
      </c>
      <c r="J10967">
        <v>0</v>
      </c>
      <c r="K10967" s="1">
        <v>-87319</v>
      </c>
    </row>
    <row r="10968" spans="1:11" x14ac:dyDescent="0.25">
      <c r="A10968" t="s">
        <v>326</v>
      </c>
      <c r="B10968" t="s">
        <v>552</v>
      </c>
      <c r="C10968" t="s">
        <v>876</v>
      </c>
      <c r="D10968" t="s">
        <v>14</v>
      </c>
      <c r="E10968">
        <v>5</v>
      </c>
      <c r="F10968" s="2">
        <f>DATE(2026,IF(Tabla1[[#This Row],[Mes de Fecha]]="Septiembre",9,10),Tabla1[[#This Row],[Día de Fecha]])</f>
        <v>46300</v>
      </c>
      <c r="G10968">
        <v>1075270226</v>
      </c>
      <c r="H10968" t="s">
        <v>554</v>
      </c>
      <c r="I10968">
        <v>34</v>
      </c>
      <c r="J10968">
        <v>0</v>
      </c>
      <c r="K10968" s="1">
        <v>2059913</v>
      </c>
    </row>
    <row r="10969" spans="1:11" x14ac:dyDescent="0.25">
      <c r="A10969" t="s">
        <v>326</v>
      </c>
      <c r="B10969" t="s">
        <v>552</v>
      </c>
      <c r="C10969" t="s">
        <v>876</v>
      </c>
      <c r="D10969" t="s">
        <v>14</v>
      </c>
      <c r="E10969">
        <v>5</v>
      </c>
      <c r="F10969" s="2">
        <f>DATE(2026,IF(Tabla1[[#This Row],[Mes de Fecha]]="Septiembre",9,10),Tabla1[[#This Row],[Día de Fecha]])</f>
        <v>46300</v>
      </c>
      <c r="G10969">
        <v>1075284277</v>
      </c>
      <c r="H10969" t="s">
        <v>559</v>
      </c>
      <c r="I10969">
        <v>42</v>
      </c>
      <c r="J10969">
        <v>0</v>
      </c>
      <c r="K10969" s="1">
        <v>2678868</v>
      </c>
    </row>
    <row r="10970" spans="1:11" x14ac:dyDescent="0.25">
      <c r="A10970" t="s">
        <v>326</v>
      </c>
      <c r="B10970" t="s">
        <v>552</v>
      </c>
      <c r="C10970" t="s">
        <v>876</v>
      </c>
      <c r="D10970" t="s">
        <v>14</v>
      </c>
      <c r="E10970">
        <v>5</v>
      </c>
      <c r="F10970" s="2">
        <f>DATE(2026,IF(Tabla1[[#This Row],[Mes de Fecha]]="Septiembre",9,10),Tabla1[[#This Row],[Día de Fecha]])</f>
        <v>46300</v>
      </c>
      <c r="G10970">
        <v>1075306881</v>
      </c>
      <c r="H10970" t="s">
        <v>557</v>
      </c>
      <c r="I10970">
        <v>-1</v>
      </c>
      <c r="J10970">
        <v>0</v>
      </c>
      <c r="K10970" s="1">
        <v>-29353</v>
      </c>
    </row>
    <row r="10971" spans="1:11" x14ac:dyDescent="0.25">
      <c r="A10971" t="s">
        <v>326</v>
      </c>
      <c r="B10971" t="s">
        <v>552</v>
      </c>
      <c r="C10971" t="s">
        <v>876</v>
      </c>
      <c r="D10971" t="s">
        <v>14</v>
      </c>
      <c r="E10971">
        <v>6</v>
      </c>
      <c r="F10971" s="2">
        <f>DATE(2026,IF(Tabla1[[#This Row],[Mes de Fecha]]="Septiembre",9,10),Tabla1[[#This Row],[Día de Fecha]])</f>
        <v>46301</v>
      </c>
      <c r="I10971">
        <v>0</v>
      </c>
      <c r="J10971" s="1">
        <v>7478022</v>
      </c>
      <c r="K10971">
        <v>0</v>
      </c>
    </row>
    <row r="10972" spans="1:11" x14ac:dyDescent="0.25">
      <c r="A10972" t="s">
        <v>326</v>
      </c>
      <c r="B10972" t="s">
        <v>552</v>
      </c>
      <c r="C10972" t="s">
        <v>876</v>
      </c>
      <c r="D10972" t="s">
        <v>14</v>
      </c>
      <c r="E10972">
        <v>6</v>
      </c>
      <c r="F10972" s="2">
        <f>DATE(2026,IF(Tabla1[[#This Row],[Mes de Fecha]]="Septiembre",9,10),Tabla1[[#This Row],[Día de Fecha]])</f>
        <v>46301</v>
      </c>
      <c r="G10972">
        <v>1004248452</v>
      </c>
      <c r="H10972" t="s">
        <v>558</v>
      </c>
      <c r="I10972">
        <v>15</v>
      </c>
      <c r="J10972">
        <v>0</v>
      </c>
      <c r="K10972" s="1">
        <v>1226262</v>
      </c>
    </row>
    <row r="10973" spans="1:11" x14ac:dyDescent="0.25">
      <c r="A10973" t="s">
        <v>326</v>
      </c>
      <c r="B10973" t="s">
        <v>552</v>
      </c>
      <c r="C10973" t="s">
        <v>876</v>
      </c>
      <c r="D10973" t="s">
        <v>14</v>
      </c>
      <c r="E10973">
        <v>6</v>
      </c>
      <c r="F10973" s="2">
        <f>DATE(2026,IF(Tabla1[[#This Row],[Mes de Fecha]]="Septiembre",9,10),Tabla1[[#This Row],[Día de Fecha]])</f>
        <v>46301</v>
      </c>
      <c r="G10973">
        <v>1010087804</v>
      </c>
      <c r="H10973" t="s">
        <v>553</v>
      </c>
      <c r="I10973">
        <v>21</v>
      </c>
      <c r="J10973">
        <v>0</v>
      </c>
      <c r="K10973" s="1">
        <v>1396178</v>
      </c>
    </row>
    <row r="10974" spans="1:11" x14ac:dyDescent="0.25">
      <c r="A10974" t="s">
        <v>326</v>
      </c>
      <c r="B10974" t="s">
        <v>552</v>
      </c>
      <c r="C10974" t="s">
        <v>876</v>
      </c>
      <c r="D10974" t="s">
        <v>14</v>
      </c>
      <c r="E10974">
        <v>6</v>
      </c>
      <c r="F10974" s="2">
        <f>DATE(2026,IF(Tabla1[[#This Row],[Mes de Fecha]]="Septiembre",9,10),Tabla1[[#This Row],[Día de Fecha]])</f>
        <v>46301</v>
      </c>
      <c r="G10974">
        <v>1075270226</v>
      </c>
      <c r="H10974" t="s">
        <v>554</v>
      </c>
      <c r="I10974">
        <v>25</v>
      </c>
      <c r="J10974">
        <v>0</v>
      </c>
      <c r="K10974" s="1">
        <v>1738447</v>
      </c>
    </row>
    <row r="10975" spans="1:11" x14ac:dyDescent="0.25">
      <c r="A10975" t="s">
        <v>326</v>
      </c>
      <c r="B10975" t="s">
        <v>552</v>
      </c>
      <c r="C10975" t="s">
        <v>876</v>
      </c>
      <c r="D10975" t="s">
        <v>14</v>
      </c>
      <c r="E10975">
        <v>6</v>
      </c>
      <c r="F10975" s="2">
        <f>DATE(2026,IF(Tabla1[[#This Row],[Mes de Fecha]]="Septiembre",9,10),Tabla1[[#This Row],[Día de Fecha]])</f>
        <v>46301</v>
      </c>
      <c r="G10975">
        <v>1075284277</v>
      </c>
      <c r="H10975" t="s">
        <v>559</v>
      </c>
      <c r="I10975">
        <v>18</v>
      </c>
      <c r="J10975">
        <v>0</v>
      </c>
      <c r="K10975" s="1">
        <v>995042</v>
      </c>
    </row>
    <row r="10976" spans="1:11" x14ac:dyDescent="0.25">
      <c r="A10976" t="s">
        <v>326</v>
      </c>
      <c r="B10976" t="s">
        <v>552</v>
      </c>
      <c r="C10976" t="s">
        <v>876</v>
      </c>
      <c r="D10976" t="s">
        <v>14</v>
      </c>
      <c r="E10976">
        <v>6</v>
      </c>
      <c r="F10976" s="2">
        <f>DATE(2026,IF(Tabla1[[#This Row],[Mes de Fecha]]="Septiembre",9,10),Tabla1[[#This Row],[Día de Fecha]])</f>
        <v>46301</v>
      </c>
      <c r="G10976">
        <v>1083984650</v>
      </c>
      <c r="H10976" t="s">
        <v>563</v>
      </c>
      <c r="I10976">
        <v>-1</v>
      </c>
      <c r="J10976">
        <v>0</v>
      </c>
      <c r="K10976" s="1">
        <v>-54580</v>
      </c>
    </row>
    <row r="10977" spans="1:11" x14ac:dyDescent="0.25">
      <c r="A10977" t="s">
        <v>326</v>
      </c>
      <c r="B10977" t="s">
        <v>552</v>
      </c>
      <c r="C10977" t="s">
        <v>876</v>
      </c>
      <c r="D10977" t="s">
        <v>14</v>
      </c>
      <c r="E10977">
        <v>7</v>
      </c>
      <c r="F10977" s="2">
        <f>DATE(2026,IF(Tabla1[[#This Row],[Mes de Fecha]]="Septiembre",9,10),Tabla1[[#This Row],[Día de Fecha]])</f>
        <v>46302</v>
      </c>
      <c r="I10977">
        <v>0</v>
      </c>
      <c r="J10977" s="1">
        <v>7379628</v>
      </c>
      <c r="K10977">
        <v>0</v>
      </c>
    </row>
    <row r="10978" spans="1:11" x14ac:dyDescent="0.25">
      <c r="A10978" t="s">
        <v>326</v>
      </c>
      <c r="B10978" t="s">
        <v>552</v>
      </c>
      <c r="C10978" t="s">
        <v>876</v>
      </c>
      <c r="D10978" t="s">
        <v>14</v>
      </c>
      <c r="E10978">
        <v>7</v>
      </c>
      <c r="F10978" s="2">
        <f>DATE(2026,IF(Tabla1[[#This Row],[Mes de Fecha]]="Septiembre",9,10),Tabla1[[#This Row],[Día de Fecha]])</f>
        <v>46302</v>
      </c>
      <c r="G10978">
        <v>1004248452</v>
      </c>
      <c r="H10978" t="s">
        <v>558</v>
      </c>
      <c r="I10978">
        <v>24</v>
      </c>
      <c r="J10978">
        <v>0</v>
      </c>
      <c r="K10978" s="1">
        <v>1162774</v>
      </c>
    </row>
    <row r="10979" spans="1:11" x14ac:dyDescent="0.25">
      <c r="A10979" t="s">
        <v>326</v>
      </c>
      <c r="B10979" t="s">
        <v>552</v>
      </c>
      <c r="C10979" t="s">
        <v>876</v>
      </c>
      <c r="D10979" t="s">
        <v>14</v>
      </c>
      <c r="E10979">
        <v>7</v>
      </c>
      <c r="F10979" s="2">
        <f>DATE(2026,IF(Tabla1[[#This Row],[Mes de Fecha]]="Septiembre",9,10),Tabla1[[#This Row],[Día de Fecha]])</f>
        <v>46302</v>
      </c>
      <c r="G10979">
        <v>1010087804</v>
      </c>
      <c r="H10979" t="s">
        <v>553</v>
      </c>
      <c r="I10979">
        <v>29</v>
      </c>
      <c r="J10979">
        <v>0</v>
      </c>
      <c r="K10979" s="1">
        <v>1828573</v>
      </c>
    </row>
    <row r="10980" spans="1:11" x14ac:dyDescent="0.25">
      <c r="A10980" t="s">
        <v>326</v>
      </c>
      <c r="B10980" t="s">
        <v>552</v>
      </c>
      <c r="C10980" t="s">
        <v>876</v>
      </c>
      <c r="D10980" t="s">
        <v>14</v>
      </c>
      <c r="E10980">
        <v>7</v>
      </c>
      <c r="F10980" s="2">
        <f>DATE(2026,IF(Tabla1[[#This Row],[Mes de Fecha]]="Septiembre",9,10),Tabla1[[#This Row],[Día de Fecha]])</f>
        <v>46302</v>
      </c>
      <c r="G10980">
        <v>1075243559</v>
      </c>
      <c r="H10980" t="s">
        <v>561</v>
      </c>
      <c r="I10980">
        <v>-1</v>
      </c>
      <c r="J10980">
        <v>0</v>
      </c>
      <c r="K10980" s="1">
        <v>-58781</v>
      </c>
    </row>
    <row r="10981" spans="1:11" x14ac:dyDescent="0.25">
      <c r="A10981" t="s">
        <v>326</v>
      </c>
      <c r="B10981" t="s">
        <v>552</v>
      </c>
      <c r="C10981" t="s">
        <v>876</v>
      </c>
      <c r="D10981" t="s">
        <v>14</v>
      </c>
      <c r="E10981">
        <v>7</v>
      </c>
      <c r="F10981" s="2">
        <f>DATE(2026,IF(Tabla1[[#This Row],[Mes de Fecha]]="Septiembre",9,10),Tabla1[[#This Row],[Día de Fecha]])</f>
        <v>46302</v>
      </c>
      <c r="G10981">
        <v>1075270226</v>
      </c>
      <c r="H10981" t="s">
        <v>554</v>
      </c>
      <c r="I10981">
        <v>33</v>
      </c>
      <c r="J10981">
        <v>0</v>
      </c>
      <c r="K10981" s="1">
        <v>1758993</v>
      </c>
    </row>
    <row r="10982" spans="1:11" x14ac:dyDescent="0.25">
      <c r="A10982" t="s">
        <v>326</v>
      </c>
      <c r="B10982" t="s">
        <v>552</v>
      </c>
      <c r="C10982" t="s">
        <v>876</v>
      </c>
      <c r="D10982" t="s">
        <v>14</v>
      </c>
      <c r="E10982">
        <v>7</v>
      </c>
      <c r="F10982" s="2">
        <f>DATE(2026,IF(Tabla1[[#This Row],[Mes de Fecha]]="Septiembre",9,10),Tabla1[[#This Row],[Día de Fecha]])</f>
        <v>46302</v>
      </c>
      <c r="G10982">
        <v>1075284277</v>
      </c>
      <c r="H10982" t="s">
        <v>559</v>
      </c>
      <c r="I10982">
        <v>22</v>
      </c>
      <c r="J10982">
        <v>0</v>
      </c>
      <c r="K10982" s="1">
        <v>1120841</v>
      </c>
    </row>
    <row r="10983" spans="1:11" x14ac:dyDescent="0.25">
      <c r="A10983" t="s">
        <v>326</v>
      </c>
      <c r="B10983" t="s">
        <v>570</v>
      </c>
      <c r="C10983" t="s">
        <v>876</v>
      </c>
      <c r="D10983" t="s">
        <v>11</v>
      </c>
      <c r="E10983">
        <v>23</v>
      </c>
      <c r="F10983" s="2">
        <f>DATE(2026,IF(Tabla1[[#This Row],[Mes de Fecha]]="Septiembre",9,10),Tabla1[[#This Row],[Día de Fecha]])</f>
        <v>46288</v>
      </c>
      <c r="I10983">
        <v>0</v>
      </c>
      <c r="J10983" s="1">
        <v>14935802</v>
      </c>
      <c r="K10983">
        <v>0</v>
      </c>
    </row>
    <row r="10984" spans="1:11" x14ac:dyDescent="0.25">
      <c r="A10984" t="s">
        <v>326</v>
      </c>
      <c r="B10984" t="s">
        <v>570</v>
      </c>
      <c r="C10984" t="s">
        <v>876</v>
      </c>
      <c r="D10984" t="s">
        <v>11</v>
      </c>
      <c r="E10984">
        <v>23</v>
      </c>
      <c r="F10984" s="2">
        <f>DATE(2026,IF(Tabla1[[#This Row],[Mes de Fecha]]="Septiembre",9,10),Tabla1[[#This Row],[Día de Fecha]])</f>
        <v>46288</v>
      </c>
      <c r="G10984">
        <v>1007284908</v>
      </c>
      <c r="H10984" t="s">
        <v>572</v>
      </c>
      <c r="I10984">
        <v>30</v>
      </c>
      <c r="J10984">
        <v>0</v>
      </c>
      <c r="K10984" s="1">
        <v>1628951</v>
      </c>
    </row>
    <row r="10985" spans="1:11" x14ac:dyDescent="0.25">
      <c r="A10985" t="s">
        <v>326</v>
      </c>
      <c r="B10985" t="s">
        <v>570</v>
      </c>
      <c r="C10985" t="s">
        <v>876</v>
      </c>
      <c r="D10985" t="s">
        <v>11</v>
      </c>
      <c r="E10985">
        <v>23</v>
      </c>
      <c r="F10985" s="2">
        <f>DATE(2026,IF(Tabla1[[#This Row],[Mes de Fecha]]="Septiembre",9,10),Tabla1[[#This Row],[Día de Fecha]])</f>
        <v>46288</v>
      </c>
      <c r="G10985">
        <v>1007475255</v>
      </c>
      <c r="H10985" t="s">
        <v>573</v>
      </c>
      <c r="I10985">
        <v>38</v>
      </c>
      <c r="J10985">
        <v>0</v>
      </c>
      <c r="K10985" s="1">
        <v>2178993</v>
      </c>
    </row>
    <row r="10986" spans="1:11" x14ac:dyDescent="0.25">
      <c r="A10986" t="s">
        <v>326</v>
      </c>
      <c r="B10986" t="s">
        <v>570</v>
      </c>
      <c r="C10986" t="s">
        <v>876</v>
      </c>
      <c r="D10986" t="s">
        <v>11</v>
      </c>
      <c r="E10986">
        <v>23</v>
      </c>
      <c r="F10986" s="2">
        <f>DATE(2026,IF(Tabla1[[#This Row],[Mes de Fecha]]="Septiembre",9,10),Tabla1[[#This Row],[Día de Fecha]])</f>
        <v>46288</v>
      </c>
      <c r="G10986">
        <v>1075288352</v>
      </c>
      <c r="H10986" t="s">
        <v>574</v>
      </c>
      <c r="I10986">
        <v>36</v>
      </c>
      <c r="J10986">
        <v>0</v>
      </c>
      <c r="K10986" s="1">
        <v>1725255</v>
      </c>
    </row>
    <row r="10987" spans="1:11" x14ac:dyDescent="0.25">
      <c r="A10987" t="s">
        <v>326</v>
      </c>
      <c r="B10987" t="s">
        <v>570</v>
      </c>
      <c r="C10987" t="s">
        <v>876</v>
      </c>
      <c r="D10987" t="s">
        <v>11</v>
      </c>
      <c r="E10987">
        <v>23</v>
      </c>
      <c r="F10987" s="2">
        <f>DATE(2026,IF(Tabla1[[#This Row],[Mes de Fecha]]="Septiembre",9,10),Tabla1[[#This Row],[Día de Fecha]])</f>
        <v>46288</v>
      </c>
      <c r="G10987">
        <v>1079534051</v>
      </c>
      <c r="H10987" t="s">
        <v>457</v>
      </c>
      <c r="I10987">
        <v>38</v>
      </c>
      <c r="J10987">
        <v>0</v>
      </c>
      <c r="K10987" s="1">
        <v>2174837</v>
      </c>
    </row>
    <row r="10988" spans="1:11" x14ac:dyDescent="0.25">
      <c r="A10988" t="s">
        <v>326</v>
      </c>
      <c r="B10988" t="s">
        <v>570</v>
      </c>
      <c r="C10988" t="s">
        <v>876</v>
      </c>
      <c r="D10988" t="s">
        <v>11</v>
      </c>
      <c r="E10988">
        <v>23</v>
      </c>
      <c r="F10988" s="2">
        <f>DATE(2026,IF(Tabla1[[#This Row],[Mes de Fecha]]="Septiembre",9,10),Tabla1[[#This Row],[Día de Fecha]])</f>
        <v>46288</v>
      </c>
      <c r="G10988">
        <v>1083897961</v>
      </c>
      <c r="H10988" t="s">
        <v>571</v>
      </c>
      <c r="I10988">
        <v>111</v>
      </c>
      <c r="J10988">
        <v>0</v>
      </c>
      <c r="K10988" s="1">
        <v>5736766</v>
      </c>
    </row>
    <row r="10989" spans="1:11" x14ac:dyDescent="0.25">
      <c r="A10989" t="s">
        <v>326</v>
      </c>
      <c r="B10989" t="s">
        <v>570</v>
      </c>
      <c r="C10989" t="s">
        <v>876</v>
      </c>
      <c r="D10989" t="s">
        <v>11</v>
      </c>
      <c r="E10989">
        <v>24</v>
      </c>
      <c r="F10989" s="2">
        <f>DATE(2026,IF(Tabla1[[#This Row],[Mes de Fecha]]="Septiembre",9,10),Tabla1[[#This Row],[Día de Fecha]])</f>
        <v>46289</v>
      </c>
      <c r="I10989">
        <v>0</v>
      </c>
      <c r="J10989" s="1">
        <v>22816117</v>
      </c>
      <c r="K10989">
        <v>0</v>
      </c>
    </row>
    <row r="10990" spans="1:11" x14ac:dyDescent="0.25">
      <c r="A10990" t="s">
        <v>326</v>
      </c>
      <c r="B10990" t="s">
        <v>570</v>
      </c>
      <c r="C10990" t="s">
        <v>876</v>
      </c>
      <c r="D10990" t="s">
        <v>11</v>
      </c>
      <c r="E10990">
        <v>24</v>
      </c>
      <c r="F10990" s="2">
        <f>DATE(2026,IF(Tabla1[[#This Row],[Mes de Fecha]]="Septiembre",9,10),Tabla1[[#This Row],[Día de Fecha]])</f>
        <v>46289</v>
      </c>
      <c r="G10990">
        <v>1007284908</v>
      </c>
      <c r="H10990" t="s">
        <v>572</v>
      </c>
      <c r="I10990">
        <v>54</v>
      </c>
      <c r="J10990">
        <v>0</v>
      </c>
      <c r="K10990" s="1">
        <v>3371639</v>
      </c>
    </row>
    <row r="10991" spans="1:11" x14ac:dyDescent="0.25">
      <c r="A10991" t="s">
        <v>326</v>
      </c>
      <c r="B10991" t="s">
        <v>570</v>
      </c>
      <c r="C10991" t="s">
        <v>876</v>
      </c>
      <c r="D10991" t="s">
        <v>11</v>
      </c>
      <c r="E10991">
        <v>24</v>
      </c>
      <c r="F10991" s="2">
        <f>DATE(2026,IF(Tabla1[[#This Row],[Mes de Fecha]]="Septiembre",9,10),Tabla1[[#This Row],[Día de Fecha]])</f>
        <v>46289</v>
      </c>
      <c r="G10991">
        <v>1007475255</v>
      </c>
      <c r="H10991" t="s">
        <v>573</v>
      </c>
      <c r="I10991">
        <v>47</v>
      </c>
      <c r="J10991">
        <v>0</v>
      </c>
      <c r="K10991" s="1">
        <v>2439079</v>
      </c>
    </row>
    <row r="10992" spans="1:11" x14ac:dyDescent="0.25">
      <c r="A10992" t="s">
        <v>326</v>
      </c>
      <c r="B10992" t="s">
        <v>570</v>
      </c>
      <c r="C10992" t="s">
        <v>876</v>
      </c>
      <c r="D10992" t="s">
        <v>11</v>
      </c>
      <c r="E10992">
        <v>24</v>
      </c>
      <c r="F10992" s="2">
        <f>DATE(2026,IF(Tabla1[[#This Row],[Mes de Fecha]]="Septiembre",9,10),Tabla1[[#This Row],[Día de Fecha]])</f>
        <v>46289</v>
      </c>
      <c r="G10992">
        <v>1075288352</v>
      </c>
      <c r="H10992" t="s">
        <v>574</v>
      </c>
      <c r="I10992">
        <v>45</v>
      </c>
      <c r="J10992">
        <v>0</v>
      </c>
      <c r="K10992" s="1">
        <v>2689247</v>
      </c>
    </row>
    <row r="10993" spans="1:11" x14ac:dyDescent="0.25">
      <c r="A10993" t="s">
        <v>326</v>
      </c>
      <c r="B10993" t="s">
        <v>570</v>
      </c>
      <c r="C10993" t="s">
        <v>876</v>
      </c>
      <c r="D10993" t="s">
        <v>11</v>
      </c>
      <c r="E10993">
        <v>24</v>
      </c>
      <c r="F10993" s="2">
        <f>DATE(2026,IF(Tabla1[[#This Row],[Mes de Fecha]]="Septiembre",9,10),Tabla1[[#This Row],[Día de Fecha]])</f>
        <v>46289</v>
      </c>
      <c r="G10993">
        <v>1075306881</v>
      </c>
      <c r="H10993" t="s">
        <v>557</v>
      </c>
      <c r="I10993">
        <v>-2</v>
      </c>
      <c r="J10993">
        <v>0</v>
      </c>
      <c r="K10993" s="1">
        <v>-79748</v>
      </c>
    </row>
    <row r="10994" spans="1:11" x14ac:dyDescent="0.25">
      <c r="A10994" t="s">
        <v>326</v>
      </c>
      <c r="B10994" t="s">
        <v>570</v>
      </c>
      <c r="C10994" t="s">
        <v>876</v>
      </c>
      <c r="D10994" t="s">
        <v>11</v>
      </c>
      <c r="E10994">
        <v>24</v>
      </c>
      <c r="F10994" s="2">
        <f>DATE(2026,IF(Tabla1[[#This Row],[Mes de Fecha]]="Septiembre",9,10),Tabla1[[#This Row],[Día de Fecha]])</f>
        <v>46289</v>
      </c>
      <c r="G10994">
        <v>1079534051</v>
      </c>
      <c r="H10994" t="s">
        <v>457</v>
      </c>
      <c r="I10994">
        <v>114</v>
      </c>
      <c r="J10994">
        <v>0</v>
      </c>
      <c r="K10994" s="1">
        <v>6215638</v>
      </c>
    </row>
    <row r="10995" spans="1:11" x14ac:dyDescent="0.25">
      <c r="A10995" t="s">
        <v>326</v>
      </c>
      <c r="B10995" t="s">
        <v>570</v>
      </c>
      <c r="C10995" t="s">
        <v>876</v>
      </c>
      <c r="D10995" t="s">
        <v>11</v>
      </c>
      <c r="E10995">
        <v>24</v>
      </c>
      <c r="F10995" s="2">
        <f>DATE(2026,IF(Tabla1[[#This Row],[Mes de Fecha]]="Septiembre",9,10),Tabla1[[#This Row],[Día de Fecha]])</f>
        <v>46289</v>
      </c>
      <c r="G10995">
        <v>1083897961</v>
      </c>
      <c r="H10995" t="s">
        <v>571</v>
      </c>
      <c r="I10995">
        <v>114</v>
      </c>
      <c r="J10995">
        <v>0</v>
      </c>
      <c r="K10995" s="1">
        <v>7171603</v>
      </c>
    </row>
    <row r="10996" spans="1:11" x14ac:dyDescent="0.25">
      <c r="A10996" t="s">
        <v>326</v>
      </c>
      <c r="B10996" t="s">
        <v>570</v>
      </c>
      <c r="C10996" t="s">
        <v>876</v>
      </c>
      <c r="D10996" t="s">
        <v>11</v>
      </c>
      <c r="E10996">
        <v>25</v>
      </c>
      <c r="F10996" s="2">
        <f>DATE(2026,IF(Tabla1[[#This Row],[Mes de Fecha]]="Septiembre",9,10),Tabla1[[#This Row],[Día de Fecha]])</f>
        <v>46290</v>
      </c>
      <c r="I10996">
        <v>0</v>
      </c>
      <c r="J10996" s="1">
        <v>22765611</v>
      </c>
      <c r="K10996">
        <v>0</v>
      </c>
    </row>
    <row r="10997" spans="1:11" x14ac:dyDescent="0.25">
      <c r="A10997" t="s">
        <v>326</v>
      </c>
      <c r="B10997" t="s">
        <v>570</v>
      </c>
      <c r="C10997" t="s">
        <v>876</v>
      </c>
      <c r="D10997" t="s">
        <v>11</v>
      </c>
      <c r="E10997">
        <v>25</v>
      </c>
      <c r="F10997" s="2">
        <f>DATE(2026,IF(Tabla1[[#This Row],[Mes de Fecha]]="Septiembre",9,10),Tabla1[[#This Row],[Día de Fecha]])</f>
        <v>46290</v>
      </c>
      <c r="G10997">
        <v>1007284908</v>
      </c>
      <c r="H10997" t="s">
        <v>572</v>
      </c>
      <c r="I10997">
        <v>38</v>
      </c>
      <c r="J10997">
        <v>0</v>
      </c>
      <c r="K10997" s="1">
        <v>2212481</v>
      </c>
    </row>
    <row r="10998" spans="1:11" x14ac:dyDescent="0.25">
      <c r="A10998" t="s">
        <v>326</v>
      </c>
      <c r="B10998" t="s">
        <v>570</v>
      </c>
      <c r="C10998" t="s">
        <v>876</v>
      </c>
      <c r="D10998" t="s">
        <v>11</v>
      </c>
      <c r="E10998">
        <v>25</v>
      </c>
      <c r="F10998" s="2">
        <f>DATE(2026,IF(Tabla1[[#This Row],[Mes de Fecha]]="Septiembre",9,10),Tabla1[[#This Row],[Día de Fecha]])</f>
        <v>46290</v>
      </c>
      <c r="G10998">
        <v>1007475255</v>
      </c>
      <c r="H10998" t="s">
        <v>573</v>
      </c>
      <c r="I10998">
        <v>26</v>
      </c>
      <c r="J10998">
        <v>0</v>
      </c>
      <c r="K10998" s="1">
        <v>1452691</v>
      </c>
    </row>
    <row r="10999" spans="1:11" x14ac:dyDescent="0.25">
      <c r="A10999" t="s">
        <v>326</v>
      </c>
      <c r="B10999" t="s">
        <v>570</v>
      </c>
      <c r="C10999" t="s">
        <v>876</v>
      </c>
      <c r="D10999" t="s">
        <v>11</v>
      </c>
      <c r="E10999">
        <v>25</v>
      </c>
      <c r="F10999" s="2">
        <f>DATE(2026,IF(Tabla1[[#This Row],[Mes de Fecha]]="Septiembre",9,10),Tabla1[[#This Row],[Día de Fecha]])</f>
        <v>46290</v>
      </c>
      <c r="G10999">
        <v>1075288352</v>
      </c>
      <c r="H10999" t="s">
        <v>574</v>
      </c>
      <c r="I10999">
        <v>32</v>
      </c>
      <c r="J10999">
        <v>0</v>
      </c>
      <c r="K10999" s="1">
        <v>1784289</v>
      </c>
    </row>
    <row r="11000" spans="1:11" x14ac:dyDescent="0.25">
      <c r="A11000" t="s">
        <v>326</v>
      </c>
      <c r="B11000" t="s">
        <v>570</v>
      </c>
      <c r="C11000" t="s">
        <v>876</v>
      </c>
      <c r="D11000" t="s">
        <v>11</v>
      </c>
      <c r="E11000">
        <v>25</v>
      </c>
      <c r="F11000" s="2">
        <f>DATE(2026,IF(Tabla1[[#This Row],[Mes de Fecha]]="Septiembre",9,10),Tabla1[[#This Row],[Día de Fecha]])</f>
        <v>46290</v>
      </c>
      <c r="G11000">
        <v>1079534051</v>
      </c>
      <c r="H11000" t="s">
        <v>457</v>
      </c>
      <c r="I11000">
        <v>49</v>
      </c>
      <c r="J11000">
        <v>0</v>
      </c>
      <c r="K11000" s="1">
        <v>2720507</v>
      </c>
    </row>
    <row r="11001" spans="1:11" x14ac:dyDescent="0.25">
      <c r="A11001" t="s">
        <v>326</v>
      </c>
      <c r="B11001" t="s">
        <v>570</v>
      </c>
      <c r="C11001" t="s">
        <v>876</v>
      </c>
      <c r="D11001" t="s">
        <v>11</v>
      </c>
      <c r="E11001">
        <v>25</v>
      </c>
      <c r="F11001" s="2">
        <f>DATE(2026,IF(Tabla1[[#This Row],[Mes de Fecha]]="Septiembre",9,10),Tabla1[[#This Row],[Día de Fecha]])</f>
        <v>46290</v>
      </c>
      <c r="G11001">
        <v>1083897961</v>
      </c>
      <c r="H11001" t="s">
        <v>571</v>
      </c>
      <c r="I11001">
        <v>80</v>
      </c>
      <c r="J11001">
        <v>0</v>
      </c>
      <c r="K11001" s="1">
        <v>4883030</v>
      </c>
    </row>
    <row r="11002" spans="1:11" x14ac:dyDescent="0.25">
      <c r="A11002" t="s">
        <v>326</v>
      </c>
      <c r="B11002" t="s">
        <v>570</v>
      </c>
      <c r="C11002" t="s">
        <v>876</v>
      </c>
      <c r="D11002" t="s">
        <v>11</v>
      </c>
      <c r="E11002">
        <v>26</v>
      </c>
      <c r="F11002" s="2">
        <f>DATE(2026,IF(Tabla1[[#This Row],[Mes de Fecha]]="Septiembre",9,10),Tabla1[[#This Row],[Día de Fecha]])</f>
        <v>46291</v>
      </c>
      <c r="I11002">
        <v>0</v>
      </c>
      <c r="J11002" s="1">
        <v>32717454</v>
      </c>
      <c r="K11002">
        <v>0</v>
      </c>
    </row>
    <row r="11003" spans="1:11" x14ac:dyDescent="0.25">
      <c r="A11003" t="s">
        <v>326</v>
      </c>
      <c r="B11003" t="s">
        <v>570</v>
      </c>
      <c r="C11003" t="s">
        <v>876</v>
      </c>
      <c r="D11003" t="s">
        <v>11</v>
      </c>
      <c r="E11003">
        <v>26</v>
      </c>
      <c r="F11003" s="2">
        <f>DATE(2026,IF(Tabla1[[#This Row],[Mes de Fecha]]="Septiembre",9,10),Tabla1[[#This Row],[Día de Fecha]])</f>
        <v>46291</v>
      </c>
      <c r="G11003">
        <v>1007284908</v>
      </c>
      <c r="H11003" t="s">
        <v>572</v>
      </c>
      <c r="I11003">
        <v>55</v>
      </c>
      <c r="J11003">
        <v>0</v>
      </c>
      <c r="K11003" s="1">
        <v>3424040</v>
      </c>
    </row>
    <row r="11004" spans="1:11" x14ac:dyDescent="0.25">
      <c r="A11004" t="s">
        <v>326</v>
      </c>
      <c r="B11004" t="s">
        <v>570</v>
      </c>
      <c r="C11004" t="s">
        <v>876</v>
      </c>
      <c r="D11004" t="s">
        <v>11</v>
      </c>
      <c r="E11004">
        <v>26</v>
      </c>
      <c r="F11004" s="2">
        <f>DATE(2026,IF(Tabla1[[#This Row],[Mes de Fecha]]="Septiembre",9,10),Tabla1[[#This Row],[Día de Fecha]])</f>
        <v>46291</v>
      </c>
      <c r="G11004">
        <v>1007475255</v>
      </c>
      <c r="H11004" t="s">
        <v>573</v>
      </c>
      <c r="I11004">
        <v>86</v>
      </c>
      <c r="J11004">
        <v>0</v>
      </c>
      <c r="K11004" s="1">
        <v>3627524</v>
      </c>
    </row>
    <row r="11005" spans="1:11" x14ac:dyDescent="0.25">
      <c r="A11005" t="s">
        <v>326</v>
      </c>
      <c r="B11005" t="s">
        <v>570</v>
      </c>
      <c r="C11005" t="s">
        <v>876</v>
      </c>
      <c r="D11005" t="s">
        <v>11</v>
      </c>
      <c r="E11005">
        <v>26</v>
      </c>
      <c r="F11005" s="2">
        <f>DATE(2026,IF(Tabla1[[#This Row],[Mes de Fecha]]="Septiembre",9,10),Tabla1[[#This Row],[Día de Fecha]])</f>
        <v>46291</v>
      </c>
      <c r="G11005">
        <v>1075288352</v>
      </c>
      <c r="H11005" t="s">
        <v>574</v>
      </c>
      <c r="I11005">
        <v>49</v>
      </c>
      <c r="J11005">
        <v>0</v>
      </c>
      <c r="K11005" s="1">
        <v>2762401</v>
      </c>
    </row>
    <row r="11006" spans="1:11" x14ac:dyDescent="0.25">
      <c r="A11006" t="s">
        <v>326</v>
      </c>
      <c r="B11006" t="s">
        <v>570</v>
      </c>
      <c r="C11006" t="s">
        <v>876</v>
      </c>
      <c r="D11006" t="s">
        <v>11</v>
      </c>
      <c r="E11006">
        <v>26</v>
      </c>
      <c r="F11006" s="2">
        <f>DATE(2026,IF(Tabla1[[#This Row],[Mes de Fecha]]="Septiembre",9,10),Tabla1[[#This Row],[Día de Fecha]])</f>
        <v>46291</v>
      </c>
      <c r="G11006">
        <v>1079534051</v>
      </c>
      <c r="H11006" t="s">
        <v>457</v>
      </c>
      <c r="I11006">
        <v>101</v>
      </c>
      <c r="J11006">
        <v>0</v>
      </c>
      <c r="K11006" s="1">
        <v>5190807</v>
      </c>
    </row>
    <row r="11007" spans="1:11" x14ac:dyDescent="0.25">
      <c r="A11007" t="s">
        <v>326</v>
      </c>
      <c r="B11007" t="s">
        <v>570</v>
      </c>
      <c r="C11007" t="s">
        <v>876</v>
      </c>
      <c r="D11007" t="s">
        <v>11</v>
      </c>
      <c r="E11007">
        <v>26</v>
      </c>
      <c r="F11007" s="2">
        <f>DATE(2026,IF(Tabla1[[#This Row],[Mes de Fecha]]="Septiembre",9,10),Tabla1[[#This Row],[Día de Fecha]])</f>
        <v>46291</v>
      </c>
      <c r="G11007">
        <v>1083897961</v>
      </c>
      <c r="H11007" t="s">
        <v>571</v>
      </c>
      <c r="I11007">
        <v>149</v>
      </c>
      <c r="J11007">
        <v>0</v>
      </c>
      <c r="K11007" s="1">
        <v>9130010</v>
      </c>
    </row>
    <row r="11008" spans="1:11" x14ac:dyDescent="0.25">
      <c r="A11008" t="s">
        <v>326</v>
      </c>
      <c r="B11008" t="s">
        <v>570</v>
      </c>
      <c r="C11008" t="s">
        <v>876</v>
      </c>
      <c r="D11008" t="s">
        <v>11</v>
      </c>
      <c r="E11008">
        <v>27</v>
      </c>
      <c r="F11008" s="2">
        <f>DATE(2026,IF(Tabla1[[#This Row],[Mes de Fecha]]="Septiembre",9,10),Tabla1[[#This Row],[Día de Fecha]])</f>
        <v>46292</v>
      </c>
      <c r="I11008">
        <v>0</v>
      </c>
      <c r="J11008" s="1">
        <v>25918808</v>
      </c>
      <c r="K11008">
        <v>0</v>
      </c>
    </row>
    <row r="11009" spans="1:11" x14ac:dyDescent="0.25">
      <c r="A11009" t="s">
        <v>326</v>
      </c>
      <c r="B11009" t="s">
        <v>570</v>
      </c>
      <c r="C11009" t="s">
        <v>876</v>
      </c>
      <c r="D11009" t="s">
        <v>11</v>
      </c>
      <c r="E11009">
        <v>27</v>
      </c>
      <c r="F11009" s="2">
        <f>DATE(2026,IF(Tabla1[[#This Row],[Mes de Fecha]]="Septiembre",9,10),Tabla1[[#This Row],[Día de Fecha]])</f>
        <v>46292</v>
      </c>
      <c r="G11009">
        <v>1007284908</v>
      </c>
      <c r="H11009" t="s">
        <v>572</v>
      </c>
      <c r="I11009">
        <v>67</v>
      </c>
      <c r="J11009">
        <v>0</v>
      </c>
      <c r="K11009" s="1">
        <v>4080972</v>
      </c>
    </row>
    <row r="11010" spans="1:11" x14ac:dyDescent="0.25">
      <c r="A11010" t="s">
        <v>326</v>
      </c>
      <c r="B11010" t="s">
        <v>570</v>
      </c>
      <c r="C11010" t="s">
        <v>876</v>
      </c>
      <c r="D11010" t="s">
        <v>11</v>
      </c>
      <c r="E11010">
        <v>27</v>
      </c>
      <c r="F11010" s="2">
        <f>DATE(2026,IF(Tabla1[[#This Row],[Mes de Fecha]]="Septiembre",9,10),Tabla1[[#This Row],[Día de Fecha]])</f>
        <v>46292</v>
      </c>
      <c r="G11010">
        <v>1007475255</v>
      </c>
      <c r="H11010" t="s">
        <v>573</v>
      </c>
      <c r="I11010">
        <v>74</v>
      </c>
      <c r="J11010">
        <v>0</v>
      </c>
      <c r="K11010" s="1">
        <v>4750890</v>
      </c>
    </row>
    <row r="11011" spans="1:11" x14ac:dyDescent="0.25">
      <c r="A11011" t="s">
        <v>326</v>
      </c>
      <c r="B11011" t="s">
        <v>570</v>
      </c>
      <c r="C11011" t="s">
        <v>876</v>
      </c>
      <c r="D11011" t="s">
        <v>11</v>
      </c>
      <c r="E11011">
        <v>27</v>
      </c>
      <c r="F11011" s="2">
        <f>DATE(2026,IF(Tabla1[[#This Row],[Mes de Fecha]]="Septiembre",9,10),Tabla1[[#This Row],[Día de Fecha]])</f>
        <v>46292</v>
      </c>
      <c r="G11011">
        <v>1075288352</v>
      </c>
      <c r="H11011" t="s">
        <v>574</v>
      </c>
      <c r="I11011">
        <v>61</v>
      </c>
      <c r="J11011">
        <v>0</v>
      </c>
      <c r="K11011" s="1">
        <v>3579205</v>
      </c>
    </row>
    <row r="11012" spans="1:11" x14ac:dyDescent="0.25">
      <c r="A11012" t="s">
        <v>326</v>
      </c>
      <c r="B11012" t="s">
        <v>570</v>
      </c>
      <c r="C11012" t="s">
        <v>876</v>
      </c>
      <c r="D11012" t="s">
        <v>11</v>
      </c>
      <c r="E11012">
        <v>27</v>
      </c>
      <c r="F11012" s="2">
        <f>DATE(2026,IF(Tabla1[[#This Row],[Mes de Fecha]]="Septiembre",9,10),Tabla1[[#This Row],[Día de Fecha]])</f>
        <v>46292</v>
      </c>
      <c r="G11012">
        <v>1079534051</v>
      </c>
      <c r="H11012" t="s">
        <v>457</v>
      </c>
      <c r="I11012">
        <v>63</v>
      </c>
      <c r="J11012">
        <v>0</v>
      </c>
      <c r="K11012" s="1">
        <v>3986773</v>
      </c>
    </row>
    <row r="11013" spans="1:11" x14ac:dyDescent="0.25">
      <c r="A11013" t="s">
        <v>326</v>
      </c>
      <c r="B11013" t="s">
        <v>570</v>
      </c>
      <c r="C11013" t="s">
        <v>876</v>
      </c>
      <c r="D11013" t="s">
        <v>11</v>
      </c>
      <c r="E11013">
        <v>27</v>
      </c>
      <c r="F11013" s="2">
        <f>DATE(2026,IF(Tabla1[[#This Row],[Mes de Fecha]]="Septiembre",9,10),Tabla1[[#This Row],[Día de Fecha]])</f>
        <v>46292</v>
      </c>
      <c r="G11013">
        <v>1083897961</v>
      </c>
      <c r="H11013" t="s">
        <v>571</v>
      </c>
      <c r="I11013">
        <v>111</v>
      </c>
      <c r="J11013">
        <v>0</v>
      </c>
      <c r="K11013" s="1">
        <v>7121228</v>
      </c>
    </row>
    <row r="11014" spans="1:11" x14ac:dyDescent="0.25">
      <c r="A11014" t="s">
        <v>326</v>
      </c>
      <c r="B11014" t="s">
        <v>570</v>
      </c>
      <c r="C11014" t="s">
        <v>876</v>
      </c>
      <c r="D11014" t="s">
        <v>11</v>
      </c>
      <c r="E11014">
        <v>28</v>
      </c>
      <c r="F11014" s="2">
        <f>DATE(2026,IF(Tabla1[[#This Row],[Mes de Fecha]]="Septiembre",9,10),Tabla1[[#This Row],[Día de Fecha]])</f>
        <v>46293</v>
      </c>
      <c r="I11014">
        <v>0</v>
      </c>
      <c r="J11014" s="1">
        <v>14264647</v>
      </c>
      <c r="K11014">
        <v>0</v>
      </c>
    </row>
    <row r="11015" spans="1:11" x14ac:dyDescent="0.25">
      <c r="A11015" t="s">
        <v>326</v>
      </c>
      <c r="B11015" t="s">
        <v>570</v>
      </c>
      <c r="C11015" t="s">
        <v>876</v>
      </c>
      <c r="D11015" t="s">
        <v>11</v>
      </c>
      <c r="E11015">
        <v>28</v>
      </c>
      <c r="F11015" s="2">
        <f>DATE(2026,IF(Tabla1[[#This Row],[Mes de Fecha]]="Septiembre",9,10),Tabla1[[#This Row],[Día de Fecha]])</f>
        <v>46293</v>
      </c>
      <c r="G11015">
        <v>1007284908</v>
      </c>
      <c r="H11015" t="s">
        <v>572</v>
      </c>
      <c r="I11015">
        <v>24</v>
      </c>
      <c r="J11015">
        <v>0</v>
      </c>
      <c r="K11015" s="1">
        <v>1036597</v>
      </c>
    </row>
    <row r="11016" spans="1:11" x14ac:dyDescent="0.25">
      <c r="A11016" t="s">
        <v>326</v>
      </c>
      <c r="B11016" t="s">
        <v>570</v>
      </c>
      <c r="C11016" t="s">
        <v>876</v>
      </c>
      <c r="D11016" t="s">
        <v>11</v>
      </c>
      <c r="E11016">
        <v>28</v>
      </c>
      <c r="F11016" s="2">
        <f>DATE(2026,IF(Tabla1[[#This Row],[Mes de Fecha]]="Septiembre",9,10),Tabla1[[#This Row],[Día de Fecha]])</f>
        <v>46293</v>
      </c>
      <c r="G11016">
        <v>1007475255</v>
      </c>
      <c r="H11016" t="s">
        <v>573</v>
      </c>
      <c r="I11016">
        <v>18</v>
      </c>
      <c r="J11016">
        <v>0</v>
      </c>
      <c r="K11016" s="1">
        <v>1016010</v>
      </c>
    </row>
    <row r="11017" spans="1:11" x14ac:dyDescent="0.25">
      <c r="A11017" t="s">
        <v>326</v>
      </c>
      <c r="B11017" t="s">
        <v>570</v>
      </c>
      <c r="C11017" t="s">
        <v>876</v>
      </c>
      <c r="D11017" t="s">
        <v>11</v>
      </c>
      <c r="E11017">
        <v>28</v>
      </c>
      <c r="F11017" s="2">
        <f>DATE(2026,IF(Tabla1[[#This Row],[Mes de Fecha]]="Septiembre",9,10),Tabla1[[#This Row],[Día de Fecha]])</f>
        <v>46293</v>
      </c>
      <c r="G11017">
        <v>1075288352</v>
      </c>
      <c r="H11017" t="s">
        <v>574</v>
      </c>
      <c r="I11017">
        <v>33</v>
      </c>
      <c r="J11017">
        <v>0</v>
      </c>
      <c r="K11017" s="1">
        <v>1838869</v>
      </c>
    </row>
    <row r="11018" spans="1:11" x14ac:dyDescent="0.25">
      <c r="A11018" t="s">
        <v>326</v>
      </c>
      <c r="B11018" t="s">
        <v>570</v>
      </c>
      <c r="C11018" t="s">
        <v>876</v>
      </c>
      <c r="D11018" t="s">
        <v>11</v>
      </c>
      <c r="E11018">
        <v>28</v>
      </c>
      <c r="F11018" s="2">
        <f>DATE(2026,IF(Tabla1[[#This Row],[Mes de Fecha]]="Septiembre",9,10),Tabla1[[#This Row],[Día de Fecha]])</f>
        <v>46293</v>
      </c>
      <c r="G11018">
        <v>1079534051</v>
      </c>
      <c r="H11018" t="s">
        <v>457</v>
      </c>
      <c r="I11018">
        <v>35</v>
      </c>
      <c r="J11018">
        <v>0</v>
      </c>
      <c r="K11018" s="1">
        <v>1655759</v>
      </c>
    </row>
    <row r="11019" spans="1:11" x14ac:dyDescent="0.25">
      <c r="A11019" t="s">
        <v>326</v>
      </c>
      <c r="B11019" t="s">
        <v>570</v>
      </c>
      <c r="C11019" t="s">
        <v>876</v>
      </c>
      <c r="D11019" t="s">
        <v>11</v>
      </c>
      <c r="E11019">
        <v>28</v>
      </c>
      <c r="F11019" s="2">
        <f>DATE(2026,IF(Tabla1[[#This Row],[Mes de Fecha]]="Septiembre",9,10),Tabla1[[#This Row],[Día de Fecha]])</f>
        <v>46293</v>
      </c>
      <c r="G11019">
        <v>1083897961</v>
      </c>
      <c r="H11019" t="s">
        <v>571</v>
      </c>
      <c r="I11019">
        <v>50</v>
      </c>
      <c r="J11019">
        <v>0</v>
      </c>
      <c r="K11019" s="1">
        <v>2756348</v>
      </c>
    </row>
    <row r="11020" spans="1:11" x14ac:dyDescent="0.25">
      <c r="A11020" t="s">
        <v>326</v>
      </c>
      <c r="B11020" t="s">
        <v>570</v>
      </c>
      <c r="C11020" t="s">
        <v>876</v>
      </c>
      <c r="D11020" t="s">
        <v>11</v>
      </c>
      <c r="E11020">
        <v>29</v>
      </c>
      <c r="F11020" s="2">
        <f>DATE(2026,IF(Tabla1[[#This Row],[Mes de Fecha]]="Septiembre",9,10),Tabla1[[#This Row],[Día de Fecha]])</f>
        <v>46294</v>
      </c>
      <c r="I11020">
        <v>0</v>
      </c>
      <c r="J11020" s="1">
        <v>15237435</v>
      </c>
      <c r="K11020">
        <v>0</v>
      </c>
    </row>
    <row r="11021" spans="1:11" x14ac:dyDescent="0.25">
      <c r="A11021" t="s">
        <v>326</v>
      </c>
      <c r="B11021" t="s">
        <v>570</v>
      </c>
      <c r="C11021" t="s">
        <v>876</v>
      </c>
      <c r="D11021" t="s">
        <v>11</v>
      </c>
      <c r="E11021">
        <v>29</v>
      </c>
      <c r="F11021" s="2">
        <f>DATE(2026,IF(Tabla1[[#This Row],[Mes de Fecha]]="Septiembre",9,10),Tabla1[[#This Row],[Día de Fecha]])</f>
        <v>46294</v>
      </c>
      <c r="G11021">
        <v>1007475255</v>
      </c>
      <c r="H11021" t="s">
        <v>573</v>
      </c>
      <c r="I11021">
        <v>29</v>
      </c>
      <c r="J11021">
        <v>0</v>
      </c>
      <c r="K11021" s="1">
        <v>1801219</v>
      </c>
    </row>
    <row r="11022" spans="1:11" x14ac:dyDescent="0.25">
      <c r="A11022" t="s">
        <v>326</v>
      </c>
      <c r="B11022" t="s">
        <v>570</v>
      </c>
      <c r="C11022" t="s">
        <v>876</v>
      </c>
      <c r="D11022" t="s">
        <v>11</v>
      </c>
      <c r="E11022">
        <v>29</v>
      </c>
      <c r="F11022" s="2">
        <f>DATE(2026,IF(Tabla1[[#This Row],[Mes de Fecha]]="Septiembre",9,10),Tabla1[[#This Row],[Día de Fecha]])</f>
        <v>46294</v>
      </c>
      <c r="G11022">
        <v>1075288352</v>
      </c>
      <c r="H11022" t="s">
        <v>574</v>
      </c>
      <c r="I11022">
        <v>35</v>
      </c>
      <c r="J11022">
        <v>0</v>
      </c>
      <c r="K11022" s="1">
        <v>2011052</v>
      </c>
    </row>
    <row r="11023" spans="1:11" x14ac:dyDescent="0.25">
      <c r="A11023" t="s">
        <v>326</v>
      </c>
      <c r="B11023" t="s">
        <v>570</v>
      </c>
      <c r="C11023" t="s">
        <v>876</v>
      </c>
      <c r="D11023" t="s">
        <v>11</v>
      </c>
      <c r="E11023">
        <v>29</v>
      </c>
      <c r="F11023" s="2">
        <f>DATE(2026,IF(Tabla1[[#This Row],[Mes de Fecha]]="Septiembre",9,10),Tabla1[[#This Row],[Día de Fecha]])</f>
        <v>46294</v>
      </c>
      <c r="G11023">
        <v>1079534051</v>
      </c>
      <c r="H11023" t="s">
        <v>457</v>
      </c>
      <c r="I11023">
        <v>24</v>
      </c>
      <c r="J11023">
        <v>0</v>
      </c>
      <c r="K11023" s="1">
        <v>1534708</v>
      </c>
    </row>
    <row r="11024" spans="1:11" x14ac:dyDescent="0.25">
      <c r="A11024" t="s">
        <v>326</v>
      </c>
      <c r="B11024" t="s">
        <v>570</v>
      </c>
      <c r="C11024" t="s">
        <v>876</v>
      </c>
      <c r="D11024" t="s">
        <v>11</v>
      </c>
      <c r="E11024">
        <v>29</v>
      </c>
      <c r="F11024" s="2">
        <f>DATE(2026,IF(Tabla1[[#This Row],[Mes de Fecha]]="Septiembre",9,10),Tabla1[[#This Row],[Día de Fecha]])</f>
        <v>46294</v>
      </c>
      <c r="G11024">
        <v>1083897961</v>
      </c>
      <c r="H11024" t="s">
        <v>571</v>
      </c>
      <c r="I11024">
        <v>50</v>
      </c>
      <c r="J11024">
        <v>0</v>
      </c>
      <c r="K11024" s="1">
        <v>3233071</v>
      </c>
    </row>
    <row r="11025" spans="1:11" x14ac:dyDescent="0.25">
      <c r="A11025" t="s">
        <v>326</v>
      </c>
      <c r="B11025" t="s">
        <v>570</v>
      </c>
      <c r="C11025" t="s">
        <v>876</v>
      </c>
      <c r="D11025" t="s">
        <v>11</v>
      </c>
      <c r="E11025">
        <v>30</v>
      </c>
      <c r="F11025" s="2">
        <f>DATE(2026,IF(Tabla1[[#This Row],[Mes de Fecha]]="Septiembre",9,10),Tabla1[[#This Row],[Día de Fecha]])</f>
        <v>46295</v>
      </c>
      <c r="I11025">
        <v>0</v>
      </c>
      <c r="J11025" s="1">
        <v>15740543</v>
      </c>
      <c r="K11025">
        <v>0</v>
      </c>
    </row>
    <row r="11026" spans="1:11" x14ac:dyDescent="0.25">
      <c r="A11026" t="s">
        <v>326</v>
      </c>
      <c r="B11026" t="s">
        <v>570</v>
      </c>
      <c r="C11026" t="s">
        <v>876</v>
      </c>
      <c r="D11026" t="s">
        <v>11</v>
      </c>
      <c r="E11026">
        <v>30</v>
      </c>
      <c r="F11026" s="2">
        <f>DATE(2026,IF(Tabla1[[#This Row],[Mes de Fecha]]="Septiembre",9,10),Tabla1[[#This Row],[Día de Fecha]])</f>
        <v>46295</v>
      </c>
      <c r="G11026">
        <v>1007284908</v>
      </c>
      <c r="H11026" t="s">
        <v>572</v>
      </c>
      <c r="I11026">
        <v>34</v>
      </c>
      <c r="J11026">
        <v>0</v>
      </c>
      <c r="K11026" s="1">
        <v>1725169</v>
      </c>
    </row>
    <row r="11027" spans="1:11" x14ac:dyDescent="0.25">
      <c r="A11027" t="s">
        <v>326</v>
      </c>
      <c r="B11027" t="s">
        <v>570</v>
      </c>
      <c r="C11027" t="s">
        <v>876</v>
      </c>
      <c r="D11027" t="s">
        <v>11</v>
      </c>
      <c r="E11027">
        <v>30</v>
      </c>
      <c r="F11027" s="2">
        <f>DATE(2026,IF(Tabla1[[#This Row],[Mes de Fecha]]="Septiembre",9,10),Tabla1[[#This Row],[Día de Fecha]])</f>
        <v>46295</v>
      </c>
      <c r="G11027">
        <v>1079534051</v>
      </c>
      <c r="H11027" t="s">
        <v>457</v>
      </c>
      <c r="I11027">
        <v>28</v>
      </c>
      <c r="J11027">
        <v>0</v>
      </c>
      <c r="K11027" s="1">
        <v>1359920</v>
      </c>
    </row>
    <row r="11028" spans="1:11" x14ac:dyDescent="0.25">
      <c r="A11028" t="s">
        <v>326</v>
      </c>
      <c r="B11028" t="s">
        <v>570</v>
      </c>
      <c r="C11028" t="s">
        <v>876</v>
      </c>
      <c r="D11028" t="s">
        <v>11</v>
      </c>
      <c r="E11028">
        <v>30</v>
      </c>
      <c r="F11028" s="2">
        <f>DATE(2026,IF(Tabla1[[#This Row],[Mes de Fecha]]="Septiembre",9,10),Tabla1[[#This Row],[Día de Fecha]])</f>
        <v>46295</v>
      </c>
      <c r="G11028">
        <v>1083897961</v>
      </c>
      <c r="H11028" t="s">
        <v>571</v>
      </c>
      <c r="I11028">
        <v>55</v>
      </c>
      <c r="J11028">
        <v>0</v>
      </c>
      <c r="K11028" s="1">
        <v>3762275</v>
      </c>
    </row>
    <row r="11029" spans="1:11" x14ac:dyDescent="0.25">
      <c r="A11029" t="s">
        <v>326</v>
      </c>
      <c r="B11029" t="s">
        <v>570</v>
      </c>
      <c r="C11029" t="s">
        <v>876</v>
      </c>
      <c r="D11029" t="s">
        <v>14</v>
      </c>
      <c r="E11029">
        <v>1</v>
      </c>
      <c r="F11029" s="2">
        <f>DATE(2026,IF(Tabla1[[#This Row],[Mes de Fecha]]="Septiembre",9,10),Tabla1[[#This Row],[Día de Fecha]])</f>
        <v>46296</v>
      </c>
      <c r="I11029">
        <v>0</v>
      </c>
      <c r="J11029" s="1">
        <v>11014527</v>
      </c>
      <c r="K11029">
        <v>0</v>
      </c>
    </row>
    <row r="11030" spans="1:11" x14ac:dyDescent="0.25">
      <c r="A11030" t="s">
        <v>326</v>
      </c>
      <c r="B11030" t="s">
        <v>570</v>
      </c>
      <c r="C11030" t="s">
        <v>876</v>
      </c>
      <c r="D11030" t="s">
        <v>14</v>
      </c>
      <c r="E11030">
        <v>1</v>
      </c>
      <c r="F11030" s="2">
        <f>DATE(2026,IF(Tabla1[[#This Row],[Mes de Fecha]]="Septiembre",9,10),Tabla1[[#This Row],[Día de Fecha]])</f>
        <v>46296</v>
      </c>
      <c r="G11030">
        <v>1007284908</v>
      </c>
      <c r="H11030" t="s">
        <v>572</v>
      </c>
      <c r="I11030">
        <v>25</v>
      </c>
      <c r="J11030">
        <v>0</v>
      </c>
      <c r="K11030" s="1">
        <v>1490423</v>
      </c>
    </row>
    <row r="11031" spans="1:11" x14ac:dyDescent="0.25">
      <c r="A11031" t="s">
        <v>326</v>
      </c>
      <c r="B11031" t="s">
        <v>570</v>
      </c>
      <c r="C11031" t="s">
        <v>876</v>
      </c>
      <c r="D11031" t="s">
        <v>14</v>
      </c>
      <c r="E11031">
        <v>1</v>
      </c>
      <c r="F11031" s="2">
        <f>DATE(2026,IF(Tabla1[[#This Row],[Mes de Fecha]]="Septiembre",9,10),Tabla1[[#This Row],[Día de Fecha]])</f>
        <v>46296</v>
      </c>
      <c r="G11031">
        <v>1007475255</v>
      </c>
      <c r="H11031" t="s">
        <v>573</v>
      </c>
      <c r="I11031">
        <v>24</v>
      </c>
      <c r="J11031">
        <v>0</v>
      </c>
      <c r="K11031" s="1">
        <v>1402355</v>
      </c>
    </row>
    <row r="11032" spans="1:11" x14ac:dyDescent="0.25">
      <c r="A11032" t="s">
        <v>326</v>
      </c>
      <c r="B11032" t="s">
        <v>570</v>
      </c>
      <c r="C11032" t="s">
        <v>876</v>
      </c>
      <c r="D11032" t="s">
        <v>14</v>
      </c>
      <c r="E11032">
        <v>1</v>
      </c>
      <c r="F11032" s="2">
        <f>DATE(2026,IF(Tabla1[[#This Row],[Mes de Fecha]]="Septiembre",9,10),Tabla1[[#This Row],[Día de Fecha]])</f>
        <v>46296</v>
      </c>
      <c r="G11032">
        <v>1075288352</v>
      </c>
      <c r="H11032" t="s">
        <v>574</v>
      </c>
      <c r="I11032">
        <v>29</v>
      </c>
      <c r="J11032">
        <v>0</v>
      </c>
      <c r="K11032" s="1">
        <v>1765464</v>
      </c>
    </row>
    <row r="11033" spans="1:11" x14ac:dyDescent="0.25">
      <c r="A11033" t="s">
        <v>326</v>
      </c>
      <c r="B11033" t="s">
        <v>570</v>
      </c>
      <c r="C11033" t="s">
        <v>876</v>
      </c>
      <c r="D11033" t="s">
        <v>14</v>
      </c>
      <c r="E11033">
        <v>1</v>
      </c>
      <c r="F11033" s="2">
        <f>DATE(2026,IF(Tabla1[[#This Row],[Mes de Fecha]]="Septiembre",9,10),Tabla1[[#This Row],[Día de Fecha]])</f>
        <v>46296</v>
      </c>
      <c r="G11033">
        <v>1079534051</v>
      </c>
      <c r="H11033" t="s">
        <v>457</v>
      </c>
      <c r="I11033">
        <v>21</v>
      </c>
      <c r="J11033">
        <v>0</v>
      </c>
      <c r="K11033" s="1">
        <v>1049414</v>
      </c>
    </row>
    <row r="11034" spans="1:11" x14ac:dyDescent="0.25">
      <c r="A11034" t="s">
        <v>326</v>
      </c>
      <c r="B11034" t="s">
        <v>570</v>
      </c>
      <c r="C11034" t="s">
        <v>876</v>
      </c>
      <c r="D11034" t="s">
        <v>14</v>
      </c>
      <c r="E11034">
        <v>1</v>
      </c>
      <c r="F11034" s="2">
        <f>DATE(2026,IF(Tabla1[[#This Row],[Mes de Fecha]]="Septiembre",9,10),Tabla1[[#This Row],[Día de Fecha]])</f>
        <v>46296</v>
      </c>
      <c r="G11034">
        <v>1083897961</v>
      </c>
      <c r="H11034" t="s">
        <v>571</v>
      </c>
      <c r="I11034">
        <v>33</v>
      </c>
      <c r="J11034">
        <v>0</v>
      </c>
      <c r="K11034" s="1">
        <v>1958615</v>
      </c>
    </row>
    <row r="11035" spans="1:11" x14ac:dyDescent="0.25">
      <c r="A11035" t="s">
        <v>326</v>
      </c>
      <c r="B11035" t="s">
        <v>570</v>
      </c>
      <c r="C11035" t="s">
        <v>876</v>
      </c>
      <c r="D11035" t="s">
        <v>14</v>
      </c>
      <c r="E11035">
        <v>2</v>
      </c>
      <c r="F11035" s="2">
        <f>DATE(2026,IF(Tabla1[[#This Row],[Mes de Fecha]]="Septiembre",9,10),Tabla1[[#This Row],[Día de Fecha]])</f>
        <v>46297</v>
      </c>
      <c r="I11035">
        <v>0</v>
      </c>
      <c r="J11035" s="1">
        <v>12436127</v>
      </c>
      <c r="K11035">
        <v>0</v>
      </c>
    </row>
    <row r="11036" spans="1:11" x14ac:dyDescent="0.25">
      <c r="A11036" t="s">
        <v>326</v>
      </c>
      <c r="B11036" t="s">
        <v>570</v>
      </c>
      <c r="C11036" t="s">
        <v>876</v>
      </c>
      <c r="D11036" t="s">
        <v>14</v>
      </c>
      <c r="E11036">
        <v>2</v>
      </c>
      <c r="F11036" s="2">
        <f>DATE(2026,IF(Tabla1[[#This Row],[Mes de Fecha]]="Septiembre",9,10),Tabla1[[#This Row],[Día de Fecha]])</f>
        <v>46297</v>
      </c>
      <c r="G11036">
        <v>1007284908</v>
      </c>
      <c r="H11036" t="s">
        <v>572</v>
      </c>
      <c r="I11036">
        <v>15</v>
      </c>
      <c r="J11036">
        <v>0</v>
      </c>
      <c r="K11036" s="1">
        <v>806053</v>
      </c>
    </row>
    <row r="11037" spans="1:11" x14ac:dyDescent="0.25">
      <c r="A11037" t="s">
        <v>326</v>
      </c>
      <c r="B11037" t="s">
        <v>570</v>
      </c>
      <c r="C11037" t="s">
        <v>876</v>
      </c>
      <c r="D11037" t="s">
        <v>14</v>
      </c>
      <c r="E11037">
        <v>2</v>
      </c>
      <c r="F11037" s="2">
        <f>DATE(2026,IF(Tabla1[[#This Row],[Mes de Fecha]]="Septiembre",9,10),Tabla1[[#This Row],[Día de Fecha]])</f>
        <v>46297</v>
      </c>
      <c r="G11037">
        <v>1007475255</v>
      </c>
      <c r="H11037" t="s">
        <v>573</v>
      </c>
      <c r="I11037">
        <v>34</v>
      </c>
      <c r="J11037">
        <v>0</v>
      </c>
      <c r="K11037" s="1">
        <v>1569622</v>
      </c>
    </row>
    <row r="11038" spans="1:11" x14ac:dyDescent="0.25">
      <c r="A11038" t="s">
        <v>326</v>
      </c>
      <c r="B11038" t="s">
        <v>570</v>
      </c>
      <c r="C11038" t="s">
        <v>876</v>
      </c>
      <c r="D11038" t="s">
        <v>14</v>
      </c>
      <c r="E11038">
        <v>2</v>
      </c>
      <c r="F11038" s="2">
        <f>DATE(2026,IF(Tabla1[[#This Row],[Mes de Fecha]]="Septiembre",9,10),Tabla1[[#This Row],[Día de Fecha]])</f>
        <v>46297</v>
      </c>
      <c r="G11038">
        <v>1075288352</v>
      </c>
      <c r="H11038" t="s">
        <v>574</v>
      </c>
      <c r="I11038">
        <v>23</v>
      </c>
      <c r="J11038">
        <v>0</v>
      </c>
      <c r="K11038" s="1">
        <v>1314078</v>
      </c>
    </row>
    <row r="11039" spans="1:11" x14ac:dyDescent="0.25">
      <c r="A11039" t="s">
        <v>326</v>
      </c>
      <c r="B11039" t="s">
        <v>570</v>
      </c>
      <c r="C11039" t="s">
        <v>876</v>
      </c>
      <c r="D11039" t="s">
        <v>14</v>
      </c>
      <c r="E11039">
        <v>2</v>
      </c>
      <c r="F11039" s="2">
        <f>DATE(2026,IF(Tabla1[[#This Row],[Mes de Fecha]]="Septiembre",9,10),Tabla1[[#This Row],[Día de Fecha]])</f>
        <v>46297</v>
      </c>
      <c r="G11039">
        <v>1079534051</v>
      </c>
      <c r="H11039" t="s">
        <v>457</v>
      </c>
      <c r="I11039">
        <v>70</v>
      </c>
      <c r="J11039">
        <v>0</v>
      </c>
      <c r="K11039" s="1">
        <v>4312061</v>
      </c>
    </row>
    <row r="11040" spans="1:11" x14ac:dyDescent="0.25">
      <c r="A11040" t="s">
        <v>326</v>
      </c>
      <c r="B11040" t="s">
        <v>570</v>
      </c>
      <c r="C11040" t="s">
        <v>876</v>
      </c>
      <c r="D11040" t="s">
        <v>14</v>
      </c>
      <c r="E11040">
        <v>2</v>
      </c>
      <c r="F11040" s="2">
        <f>DATE(2026,IF(Tabla1[[#This Row],[Mes de Fecha]]="Septiembre",9,10),Tabla1[[#This Row],[Día de Fecha]])</f>
        <v>46297</v>
      </c>
      <c r="G11040">
        <v>1083897961</v>
      </c>
      <c r="H11040" t="s">
        <v>571</v>
      </c>
      <c r="I11040">
        <v>85</v>
      </c>
      <c r="J11040">
        <v>0</v>
      </c>
      <c r="K11040" s="1">
        <v>4067313</v>
      </c>
    </row>
    <row r="11041" spans="1:11" x14ac:dyDescent="0.25">
      <c r="A11041" t="s">
        <v>326</v>
      </c>
      <c r="B11041" t="s">
        <v>570</v>
      </c>
      <c r="C11041" t="s">
        <v>876</v>
      </c>
      <c r="D11041" t="s">
        <v>14</v>
      </c>
      <c r="E11041">
        <v>3</v>
      </c>
      <c r="F11041" s="2">
        <f>DATE(2026,IF(Tabla1[[#This Row],[Mes de Fecha]]="Septiembre",9,10),Tabla1[[#This Row],[Día de Fecha]])</f>
        <v>46298</v>
      </c>
      <c r="I11041">
        <v>0</v>
      </c>
      <c r="J11041" s="1">
        <v>14584933</v>
      </c>
      <c r="K11041">
        <v>0</v>
      </c>
    </row>
    <row r="11042" spans="1:11" x14ac:dyDescent="0.25">
      <c r="A11042" t="s">
        <v>326</v>
      </c>
      <c r="B11042" t="s">
        <v>570</v>
      </c>
      <c r="C11042" t="s">
        <v>876</v>
      </c>
      <c r="D11042" t="s">
        <v>14</v>
      </c>
      <c r="E11042">
        <v>3</v>
      </c>
      <c r="F11042" s="2">
        <f>DATE(2026,IF(Tabla1[[#This Row],[Mes de Fecha]]="Septiembre",9,10),Tabla1[[#This Row],[Día de Fecha]])</f>
        <v>46298</v>
      </c>
      <c r="G11042">
        <v>1007284908</v>
      </c>
      <c r="H11042" t="s">
        <v>572</v>
      </c>
      <c r="I11042">
        <v>21</v>
      </c>
      <c r="J11042">
        <v>0</v>
      </c>
      <c r="K11042" s="1">
        <v>998472</v>
      </c>
    </row>
    <row r="11043" spans="1:11" x14ac:dyDescent="0.25">
      <c r="A11043" t="s">
        <v>326</v>
      </c>
      <c r="B11043" t="s">
        <v>570</v>
      </c>
      <c r="C11043" t="s">
        <v>876</v>
      </c>
      <c r="D11043" t="s">
        <v>14</v>
      </c>
      <c r="E11043">
        <v>3</v>
      </c>
      <c r="F11043" s="2">
        <f>DATE(2026,IF(Tabla1[[#This Row],[Mes de Fecha]]="Septiembre",9,10),Tabla1[[#This Row],[Día de Fecha]])</f>
        <v>46298</v>
      </c>
      <c r="G11043">
        <v>1007475255</v>
      </c>
      <c r="H11043" t="s">
        <v>573</v>
      </c>
      <c r="I11043">
        <v>59</v>
      </c>
      <c r="J11043">
        <v>0</v>
      </c>
      <c r="K11043" s="1">
        <v>3052448</v>
      </c>
    </row>
    <row r="11044" spans="1:11" x14ac:dyDescent="0.25">
      <c r="A11044" t="s">
        <v>326</v>
      </c>
      <c r="B11044" t="s">
        <v>570</v>
      </c>
      <c r="C11044" t="s">
        <v>876</v>
      </c>
      <c r="D11044" t="s">
        <v>14</v>
      </c>
      <c r="E11044">
        <v>3</v>
      </c>
      <c r="F11044" s="2">
        <f>DATE(2026,IF(Tabla1[[#This Row],[Mes de Fecha]]="Septiembre",9,10),Tabla1[[#This Row],[Día de Fecha]])</f>
        <v>46298</v>
      </c>
      <c r="G11044">
        <v>1075288352</v>
      </c>
      <c r="H11044" t="s">
        <v>574</v>
      </c>
      <c r="I11044">
        <v>54</v>
      </c>
      <c r="J11044">
        <v>0</v>
      </c>
      <c r="K11044" s="1">
        <v>2971406</v>
      </c>
    </row>
    <row r="11045" spans="1:11" x14ac:dyDescent="0.25">
      <c r="A11045" t="s">
        <v>326</v>
      </c>
      <c r="B11045" t="s">
        <v>570</v>
      </c>
      <c r="C11045" t="s">
        <v>876</v>
      </c>
      <c r="D11045" t="s">
        <v>14</v>
      </c>
      <c r="E11045">
        <v>3</v>
      </c>
      <c r="F11045" s="2">
        <f>DATE(2026,IF(Tabla1[[#This Row],[Mes de Fecha]]="Septiembre",9,10),Tabla1[[#This Row],[Día de Fecha]])</f>
        <v>46298</v>
      </c>
      <c r="G11045">
        <v>1079534051</v>
      </c>
      <c r="H11045" t="s">
        <v>457</v>
      </c>
      <c r="I11045">
        <v>85</v>
      </c>
      <c r="J11045">
        <v>0</v>
      </c>
      <c r="K11045" s="1">
        <v>4745565</v>
      </c>
    </row>
    <row r="11046" spans="1:11" x14ac:dyDescent="0.25">
      <c r="A11046" t="s">
        <v>326</v>
      </c>
      <c r="B11046" t="s">
        <v>570</v>
      </c>
      <c r="C11046" t="s">
        <v>876</v>
      </c>
      <c r="D11046" t="s">
        <v>14</v>
      </c>
      <c r="E11046">
        <v>3</v>
      </c>
      <c r="F11046" s="2">
        <f>DATE(2026,IF(Tabla1[[#This Row],[Mes de Fecha]]="Septiembre",9,10),Tabla1[[#This Row],[Día de Fecha]])</f>
        <v>46298</v>
      </c>
      <c r="G11046">
        <v>1083897961</v>
      </c>
      <c r="H11046" t="s">
        <v>571</v>
      </c>
      <c r="I11046">
        <v>126</v>
      </c>
      <c r="J11046">
        <v>0</v>
      </c>
      <c r="K11046" s="1">
        <v>6316734</v>
      </c>
    </row>
    <row r="11047" spans="1:11" x14ac:dyDescent="0.25">
      <c r="A11047" t="s">
        <v>326</v>
      </c>
      <c r="B11047" t="s">
        <v>570</v>
      </c>
      <c r="C11047" t="s">
        <v>876</v>
      </c>
      <c r="D11047" t="s">
        <v>14</v>
      </c>
      <c r="E11047">
        <v>4</v>
      </c>
      <c r="F11047" s="2">
        <f>DATE(2026,IF(Tabla1[[#This Row],[Mes de Fecha]]="Septiembre",9,10),Tabla1[[#This Row],[Día de Fecha]])</f>
        <v>46299</v>
      </c>
      <c r="I11047">
        <v>0</v>
      </c>
      <c r="J11047" s="1">
        <v>13756490</v>
      </c>
      <c r="K11047">
        <v>0</v>
      </c>
    </row>
    <row r="11048" spans="1:11" x14ac:dyDescent="0.25">
      <c r="A11048" t="s">
        <v>326</v>
      </c>
      <c r="B11048" t="s">
        <v>570</v>
      </c>
      <c r="C11048" t="s">
        <v>876</v>
      </c>
      <c r="D11048" t="s">
        <v>14</v>
      </c>
      <c r="E11048">
        <v>4</v>
      </c>
      <c r="F11048" s="2">
        <f>DATE(2026,IF(Tabla1[[#This Row],[Mes de Fecha]]="Septiembre",9,10),Tabla1[[#This Row],[Día de Fecha]])</f>
        <v>46299</v>
      </c>
      <c r="G11048">
        <v>1007284908</v>
      </c>
      <c r="H11048" t="s">
        <v>572</v>
      </c>
      <c r="I11048">
        <v>23</v>
      </c>
      <c r="J11048">
        <v>0</v>
      </c>
      <c r="K11048" s="1">
        <v>1366642</v>
      </c>
    </row>
    <row r="11049" spans="1:11" x14ac:dyDescent="0.25">
      <c r="A11049" t="s">
        <v>326</v>
      </c>
      <c r="B11049" t="s">
        <v>570</v>
      </c>
      <c r="C11049" t="s">
        <v>876</v>
      </c>
      <c r="D11049" t="s">
        <v>14</v>
      </c>
      <c r="E11049">
        <v>4</v>
      </c>
      <c r="F11049" s="2">
        <f>DATE(2026,IF(Tabla1[[#This Row],[Mes de Fecha]]="Septiembre",9,10),Tabla1[[#This Row],[Día de Fecha]])</f>
        <v>46299</v>
      </c>
      <c r="G11049">
        <v>1007475255</v>
      </c>
      <c r="H11049" t="s">
        <v>573</v>
      </c>
      <c r="I11049">
        <v>40</v>
      </c>
      <c r="J11049">
        <v>0</v>
      </c>
      <c r="K11049" s="1">
        <v>2189246</v>
      </c>
    </row>
    <row r="11050" spans="1:11" x14ac:dyDescent="0.25">
      <c r="A11050" t="s">
        <v>326</v>
      </c>
      <c r="B11050" t="s">
        <v>570</v>
      </c>
      <c r="C11050" t="s">
        <v>876</v>
      </c>
      <c r="D11050" t="s">
        <v>14</v>
      </c>
      <c r="E11050">
        <v>4</v>
      </c>
      <c r="F11050" s="2">
        <f>DATE(2026,IF(Tabla1[[#This Row],[Mes de Fecha]]="Septiembre",9,10),Tabla1[[#This Row],[Día de Fecha]])</f>
        <v>46299</v>
      </c>
      <c r="G11050">
        <v>1075288352</v>
      </c>
      <c r="H11050" t="s">
        <v>574</v>
      </c>
      <c r="I11050">
        <v>59</v>
      </c>
      <c r="J11050">
        <v>0</v>
      </c>
      <c r="K11050" s="1">
        <v>2772107</v>
      </c>
    </row>
    <row r="11051" spans="1:11" x14ac:dyDescent="0.25">
      <c r="A11051" t="s">
        <v>326</v>
      </c>
      <c r="B11051" t="s">
        <v>570</v>
      </c>
      <c r="C11051" t="s">
        <v>876</v>
      </c>
      <c r="D11051" t="s">
        <v>14</v>
      </c>
      <c r="E11051">
        <v>4</v>
      </c>
      <c r="F11051" s="2">
        <f>DATE(2026,IF(Tabla1[[#This Row],[Mes de Fecha]]="Septiembre",9,10),Tabla1[[#This Row],[Día de Fecha]])</f>
        <v>46299</v>
      </c>
      <c r="G11051">
        <v>1079534051</v>
      </c>
      <c r="H11051" t="s">
        <v>457</v>
      </c>
      <c r="I11051">
        <v>41</v>
      </c>
      <c r="J11051">
        <v>0</v>
      </c>
      <c r="K11051" s="1">
        <v>2046513</v>
      </c>
    </row>
    <row r="11052" spans="1:11" x14ac:dyDescent="0.25">
      <c r="A11052" t="s">
        <v>326</v>
      </c>
      <c r="B11052" t="s">
        <v>570</v>
      </c>
      <c r="C11052" t="s">
        <v>876</v>
      </c>
      <c r="D11052" t="s">
        <v>14</v>
      </c>
      <c r="E11052">
        <v>4</v>
      </c>
      <c r="F11052" s="2">
        <f>DATE(2026,IF(Tabla1[[#This Row],[Mes de Fecha]]="Septiembre",9,10),Tabla1[[#This Row],[Día de Fecha]])</f>
        <v>46299</v>
      </c>
      <c r="G11052">
        <v>1083897961</v>
      </c>
      <c r="H11052" t="s">
        <v>571</v>
      </c>
      <c r="I11052">
        <v>70</v>
      </c>
      <c r="J11052">
        <v>0</v>
      </c>
      <c r="K11052" s="1">
        <v>3491003</v>
      </c>
    </row>
    <row r="11053" spans="1:11" x14ac:dyDescent="0.25">
      <c r="A11053" t="s">
        <v>326</v>
      </c>
      <c r="B11053" t="s">
        <v>570</v>
      </c>
      <c r="C11053" t="s">
        <v>876</v>
      </c>
      <c r="D11053" t="s">
        <v>14</v>
      </c>
      <c r="E11053">
        <v>5</v>
      </c>
      <c r="F11053" s="2">
        <f>DATE(2026,IF(Tabla1[[#This Row],[Mes de Fecha]]="Septiembre",9,10),Tabla1[[#This Row],[Día de Fecha]])</f>
        <v>46300</v>
      </c>
      <c r="I11053">
        <v>0</v>
      </c>
      <c r="J11053" s="1">
        <v>5368678</v>
      </c>
      <c r="K11053">
        <v>0</v>
      </c>
    </row>
    <row r="11054" spans="1:11" x14ac:dyDescent="0.25">
      <c r="A11054" t="s">
        <v>326</v>
      </c>
      <c r="B11054" t="s">
        <v>570</v>
      </c>
      <c r="C11054" t="s">
        <v>876</v>
      </c>
      <c r="D11054" t="s">
        <v>14</v>
      </c>
      <c r="E11054">
        <v>5</v>
      </c>
      <c r="F11054" s="2">
        <f>DATE(2026,IF(Tabla1[[#This Row],[Mes de Fecha]]="Septiembre",9,10),Tabla1[[#This Row],[Día de Fecha]])</f>
        <v>46300</v>
      </c>
      <c r="G11054">
        <v>1075288352</v>
      </c>
      <c r="H11054" t="s">
        <v>574</v>
      </c>
      <c r="I11054">
        <v>3</v>
      </c>
      <c r="J11054">
        <v>0</v>
      </c>
      <c r="K11054" s="1">
        <v>159538</v>
      </c>
    </row>
    <row r="11055" spans="1:11" x14ac:dyDescent="0.25">
      <c r="A11055" t="s">
        <v>326</v>
      </c>
      <c r="B11055" t="s">
        <v>570</v>
      </c>
      <c r="C11055" t="s">
        <v>876</v>
      </c>
      <c r="D11055" t="s">
        <v>14</v>
      </c>
      <c r="E11055">
        <v>5</v>
      </c>
      <c r="F11055" s="2">
        <f>DATE(2026,IF(Tabla1[[#This Row],[Mes de Fecha]]="Septiembre",9,10),Tabla1[[#This Row],[Día de Fecha]])</f>
        <v>46300</v>
      </c>
      <c r="G11055">
        <v>1079534051</v>
      </c>
      <c r="H11055" t="s">
        <v>457</v>
      </c>
      <c r="I11055">
        <v>45</v>
      </c>
      <c r="J11055">
        <v>0</v>
      </c>
      <c r="K11055" s="1">
        <v>2178279</v>
      </c>
    </row>
    <row r="11056" spans="1:11" x14ac:dyDescent="0.25">
      <c r="A11056" t="s">
        <v>326</v>
      </c>
      <c r="B11056" t="s">
        <v>570</v>
      </c>
      <c r="C11056" t="s">
        <v>876</v>
      </c>
      <c r="D11056" t="s">
        <v>14</v>
      </c>
      <c r="E11056">
        <v>5</v>
      </c>
      <c r="F11056" s="2">
        <f>DATE(2026,IF(Tabla1[[#This Row],[Mes de Fecha]]="Septiembre",9,10),Tabla1[[#This Row],[Día de Fecha]])</f>
        <v>46300</v>
      </c>
      <c r="G11056">
        <v>1083897961</v>
      </c>
      <c r="H11056" t="s">
        <v>571</v>
      </c>
      <c r="I11056">
        <v>97</v>
      </c>
      <c r="J11056">
        <v>0</v>
      </c>
      <c r="K11056" s="1">
        <v>4975735</v>
      </c>
    </row>
    <row r="11057" spans="1:11" x14ac:dyDescent="0.25">
      <c r="A11057" t="s">
        <v>326</v>
      </c>
      <c r="B11057" t="s">
        <v>570</v>
      </c>
      <c r="C11057" t="s">
        <v>876</v>
      </c>
      <c r="D11057" t="s">
        <v>14</v>
      </c>
      <c r="E11057">
        <v>6</v>
      </c>
      <c r="F11057" s="2">
        <f>DATE(2026,IF(Tabla1[[#This Row],[Mes de Fecha]]="Septiembre",9,10),Tabla1[[#This Row],[Día de Fecha]])</f>
        <v>46301</v>
      </c>
      <c r="I11057">
        <v>0</v>
      </c>
      <c r="J11057" s="1">
        <v>4984398</v>
      </c>
      <c r="K11057">
        <v>0</v>
      </c>
    </row>
    <row r="11058" spans="1:11" x14ac:dyDescent="0.25">
      <c r="A11058" t="s">
        <v>326</v>
      </c>
      <c r="B11058" t="s">
        <v>570</v>
      </c>
      <c r="C11058" t="s">
        <v>876</v>
      </c>
      <c r="D11058" t="s">
        <v>14</v>
      </c>
      <c r="E11058">
        <v>6</v>
      </c>
      <c r="F11058" s="2">
        <f>DATE(2026,IF(Tabla1[[#This Row],[Mes de Fecha]]="Septiembre",9,10),Tabla1[[#This Row],[Día de Fecha]])</f>
        <v>46301</v>
      </c>
      <c r="G11058">
        <v>1007475255</v>
      </c>
      <c r="H11058" t="s">
        <v>573</v>
      </c>
      <c r="I11058">
        <v>1</v>
      </c>
      <c r="J11058">
        <v>0</v>
      </c>
      <c r="K11058" s="1">
        <v>12521</v>
      </c>
    </row>
    <row r="11059" spans="1:11" x14ac:dyDescent="0.25">
      <c r="A11059" t="s">
        <v>326</v>
      </c>
      <c r="B11059" t="s">
        <v>570</v>
      </c>
      <c r="C11059" t="s">
        <v>876</v>
      </c>
      <c r="D11059" t="s">
        <v>14</v>
      </c>
      <c r="E11059">
        <v>6</v>
      </c>
      <c r="F11059" s="2">
        <f>DATE(2026,IF(Tabla1[[#This Row],[Mes de Fecha]]="Septiembre",9,10),Tabla1[[#This Row],[Día de Fecha]])</f>
        <v>46301</v>
      </c>
      <c r="G11059">
        <v>1075288352</v>
      </c>
      <c r="H11059" t="s">
        <v>574</v>
      </c>
      <c r="I11059">
        <v>1</v>
      </c>
      <c r="J11059">
        <v>0</v>
      </c>
      <c r="K11059" s="1">
        <v>46966</v>
      </c>
    </row>
    <row r="11060" spans="1:11" x14ac:dyDescent="0.25">
      <c r="A11060" t="s">
        <v>326</v>
      </c>
      <c r="B11060" t="s">
        <v>570</v>
      </c>
      <c r="C11060" t="s">
        <v>876</v>
      </c>
      <c r="D11060" t="s">
        <v>14</v>
      </c>
      <c r="E11060">
        <v>6</v>
      </c>
      <c r="F11060" s="2">
        <f>DATE(2026,IF(Tabla1[[#This Row],[Mes de Fecha]]="Septiembre",9,10),Tabla1[[#This Row],[Día de Fecha]])</f>
        <v>46301</v>
      </c>
      <c r="G11060">
        <v>1079534051</v>
      </c>
      <c r="H11060" t="s">
        <v>457</v>
      </c>
      <c r="I11060">
        <v>28</v>
      </c>
      <c r="J11060">
        <v>0</v>
      </c>
      <c r="K11060" s="1">
        <v>1524557</v>
      </c>
    </row>
    <row r="11061" spans="1:11" x14ac:dyDescent="0.25">
      <c r="A11061" t="s">
        <v>326</v>
      </c>
      <c r="B11061" t="s">
        <v>570</v>
      </c>
      <c r="C11061" t="s">
        <v>876</v>
      </c>
      <c r="D11061" t="s">
        <v>14</v>
      </c>
      <c r="E11061">
        <v>6</v>
      </c>
      <c r="F11061" s="2">
        <f>DATE(2026,IF(Tabla1[[#This Row],[Mes de Fecha]]="Septiembre",9,10),Tabla1[[#This Row],[Día de Fecha]])</f>
        <v>46301</v>
      </c>
      <c r="G11061">
        <v>1083897961</v>
      </c>
      <c r="H11061" t="s">
        <v>571</v>
      </c>
      <c r="I11061">
        <v>29</v>
      </c>
      <c r="J11061">
        <v>0</v>
      </c>
      <c r="K11061" s="1">
        <v>1568817</v>
      </c>
    </row>
    <row r="11062" spans="1:11" x14ac:dyDescent="0.25">
      <c r="A11062" t="s">
        <v>326</v>
      </c>
      <c r="B11062" t="s">
        <v>570</v>
      </c>
      <c r="C11062" t="s">
        <v>876</v>
      </c>
      <c r="D11062" t="s">
        <v>14</v>
      </c>
      <c r="E11062">
        <v>7</v>
      </c>
      <c r="F11062" s="2">
        <f>DATE(2026,IF(Tabla1[[#This Row],[Mes de Fecha]]="Septiembre",9,10),Tabla1[[#This Row],[Día de Fecha]])</f>
        <v>46302</v>
      </c>
      <c r="I11062">
        <v>0</v>
      </c>
      <c r="J11062" s="1">
        <v>4932056</v>
      </c>
      <c r="K11062">
        <v>0</v>
      </c>
    </row>
    <row r="11063" spans="1:11" x14ac:dyDescent="0.25">
      <c r="A11063" t="s">
        <v>326</v>
      </c>
      <c r="B11063" t="s">
        <v>570</v>
      </c>
      <c r="C11063" t="s">
        <v>876</v>
      </c>
      <c r="D11063" t="s">
        <v>14</v>
      </c>
      <c r="E11063">
        <v>7</v>
      </c>
      <c r="F11063" s="2">
        <f>DATE(2026,IF(Tabla1[[#This Row],[Mes de Fecha]]="Septiembre",9,10),Tabla1[[#This Row],[Día de Fecha]])</f>
        <v>46302</v>
      </c>
      <c r="G11063">
        <v>1075288352</v>
      </c>
      <c r="H11063" t="s">
        <v>574</v>
      </c>
      <c r="I11063">
        <v>0</v>
      </c>
      <c r="J11063">
        <v>0</v>
      </c>
      <c r="K11063" s="1">
        <v>8404</v>
      </c>
    </row>
    <row r="11064" spans="1:11" x14ac:dyDescent="0.25">
      <c r="A11064" t="s">
        <v>326</v>
      </c>
      <c r="B11064" t="s">
        <v>570</v>
      </c>
      <c r="C11064" t="s">
        <v>876</v>
      </c>
      <c r="D11064" t="s">
        <v>14</v>
      </c>
      <c r="E11064">
        <v>7</v>
      </c>
      <c r="F11064" s="2">
        <f>DATE(2026,IF(Tabla1[[#This Row],[Mes de Fecha]]="Septiembre",9,10),Tabla1[[#This Row],[Día de Fecha]])</f>
        <v>46302</v>
      </c>
      <c r="G11064">
        <v>1079534051</v>
      </c>
      <c r="H11064" t="s">
        <v>457</v>
      </c>
      <c r="I11064">
        <v>26</v>
      </c>
      <c r="J11064">
        <v>0</v>
      </c>
      <c r="K11064" s="1">
        <v>1221554</v>
      </c>
    </row>
    <row r="11065" spans="1:11" x14ac:dyDescent="0.25">
      <c r="A11065" t="s">
        <v>326</v>
      </c>
      <c r="B11065" t="s">
        <v>570</v>
      </c>
      <c r="C11065" t="s">
        <v>876</v>
      </c>
      <c r="D11065" t="s">
        <v>14</v>
      </c>
      <c r="E11065">
        <v>7</v>
      </c>
      <c r="F11065" s="2">
        <f>DATE(2026,IF(Tabla1[[#This Row],[Mes de Fecha]]="Septiembre",9,10),Tabla1[[#This Row],[Día de Fecha]])</f>
        <v>46302</v>
      </c>
      <c r="G11065">
        <v>1083897961</v>
      </c>
      <c r="H11065" t="s">
        <v>571</v>
      </c>
      <c r="I11065">
        <v>50</v>
      </c>
      <c r="J11065">
        <v>0</v>
      </c>
      <c r="K11065" s="1">
        <v>2165718</v>
      </c>
    </row>
    <row r="11066" spans="1:11" x14ac:dyDescent="0.25">
      <c r="A11066" t="s">
        <v>326</v>
      </c>
      <c r="B11066" t="s">
        <v>613</v>
      </c>
      <c r="C11066" t="s">
        <v>876</v>
      </c>
      <c r="D11066" t="s">
        <v>11</v>
      </c>
      <c r="E11066">
        <v>23</v>
      </c>
      <c r="F11066" s="2">
        <f>DATE(2026,IF(Tabla1[[#This Row],[Mes de Fecha]]="Septiembre",9,10),Tabla1[[#This Row],[Día de Fecha]])</f>
        <v>46288</v>
      </c>
      <c r="I11066">
        <v>0</v>
      </c>
      <c r="J11066" s="1">
        <v>12391792</v>
      </c>
      <c r="K11066">
        <v>0</v>
      </c>
    </row>
    <row r="11067" spans="1:11" x14ac:dyDescent="0.25">
      <c r="A11067" t="s">
        <v>326</v>
      </c>
      <c r="B11067" t="s">
        <v>613</v>
      </c>
      <c r="C11067" t="s">
        <v>876</v>
      </c>
      <c r="D11067" t="s">
        <v>11</v>
      </c>
      <c r="E11067">
        <v>23</v>
      </c>
      <c r="F11067" s="2">
        <f>DATE(2026,IF(Tabla1[[#This Row],[Mes de Fecha]]="Septiembre",9,10),Tabla1[[#This Row],[Día de Fecha]])</f>
        <v>46288</v>
      </c>
      <c r="G11067">
        <v>1005692463</v>
      </c>
      <c r="H11067" t="s">
        <v>620</v>
      </c>
      <c r="I11067">
        <v>14</v>
      </c>
      <c r="J11067">
        <v>0</v>
      </c>
      <c r="K11067" s="1">
        <v>696893</v>
      </c>
    </row>
    <row r="11068" spans="1:11" x14ac:dyDescent="0.25">
      <c r="A11068" t="s">
        <v>326</v>
      </c>
      <c r="B11068" t="s">
        <v>613</v>
      </c>
      <c r="C11068" t="s">
        <v>876</v>
      </c>
      <c r="D11068" t="s">
        <v>11</v>
      </c>
      <c r="E11068">
        <v>23</v>
      </c>
      <c r="F11068" s="2">
        <f>DATE(2026,IF(Tabla1[[#This Row],[Mes de Fecha]]="Septiembre",9,10),Tabla1[[#This Row],[Día de Fecha]])</f>
        <v>46288</v>
      </c>
      <c r="G11068">
        <v>1006027144</v>
      </c>
      <c r="H11068" t="s">
        <v>618</v>
      </c>
      <c r="I11068">
        <v>13</v>
      </c>
      <c r="J11068">
        <v>0</v>
      </c>
      <c r="K11068" s="1">
        <v>640126</v>
      </c>
    </row>
    <row r="11069" spans="1:11" x14ac:dyDescent="0.25">
      <c r="A11069" t="s">
        <v>326</v>
      </c>
      <c r="B11069" t="s">
        <v>613</v>
      </c>
      <c r="C11069" t="s">
        <v>876</v>
      </c>
      <c r="D11069" t="s">
        <v>11</v>
      </c>
      <c r="E11069">
        <v>23</v>
      </c>
      <c r="F11069" s="2">
        <f>DATE(2026,IF(Tabla1[[#This Row],[Mes de Fecha]]="Septiembre",9,10),Tabla1[[#This Row],[Día de Fecha]])</f>
        <v>46288</v>
      </c>
      <c r="G11069">
        <v>1007371954</v>
      </c>
      <c r="H11069" t="s">
        <v>475</v>
      </c>
      <c r="I11069">
        <v>48</v>
      </c>
      <c r="J11069">
        <v>0</v>
      </c>
      <c r="K11069" s="1">
        <v>2401221</v>
      </c>
    </row>
    <row r="11070" spans="1:11" x14ac:dyDescent="0.25">
      <c r="A11070" t="s">
        <v>326</v>
      </c>
      <c r="B11070" t="s">
        <v>613</v>
      </c>
      <c r="C11070" t="s">
        <v>876</v>
      </c>
      <c r="D11070" t="s">
        <v>11</v>
      </c>
      <c r="E11070">
        <v>23</v>
      </c>
      <c r="F11070" s="2">
        <f>DATE(2026,IF(Tabla1[[#This Row],[Mes de Fecha]]="Septiembre",9,10),Tabla1[[#This Row],[Día de Fecha]])</f>
        <v>46288</v>
      </c>
      <c r="G11070">
        <v>1107977576</v>
      </c>
      <c r="H11070" t="s">
        <v>619</v>
      </c>
      <c r="I11070">
        <v>27</v>
      </c>
      <c r="J11070">
        <v>0</v>
      </c>
      <c r="K11070" s="1">
        <v>1519833</v>
      </c>
    </row>
    <row r="11071" spans="1:11" x14ac:dyDescent="0.25">
      <c r="A11071" t="s">
        <v>326</v>
      </c>
      <c r="B11071" t="s">
        <v>613</v>
      </c>
      <c r="C11071" t="s">
        <v>876</v>
      </c>
      <c r="D11071" t="s">
        <v>11</v>
      </c>
      <c r="E11071">
        <v>23</v>
      </c>
      <c r="F11071" s="2">
        <f>DATE(2026,IF(Tabla1[[#This Row],[Mes de Fecha]]="Septiembre",9,10),Tabla1[[#This Row],[Día de Fecha]])</f>
        <v>46288</v>
      </c>
      <c r="G11071">
        <v>1110485736</v>
      </c>
      <c r="H11071" t="s">
        <v>614</v>
      </c>
      <c r="I11071">
        <v>103</v>
      </c>
      <c r="J11071">
        <v>0</v>
      </c>
      <c r="K11071" s="1">
        <v>5682607</v>
      </c>
    </row>
    <row r="11072" spans="1:11" x14ac:dyDescent="0.25">
      <c r="A11072" t="s">
        <v>326</v>
      </c>
      <c r="B11072" t="s">
        <v>613</v>
      </c>
      <c r="C11072" t="s">
        <v>876</v>
      </c>
      <c r="D11072" t="s">
        <v>11</v>
      </c>
      <c r="E11072">
        <v>23</v>
      </c>
      <c r="F11072" s="2">
        <f>DATE(2026,IF(Tabla1[[#This Row],[Mes de Fecha]]="Septiembre",9,10),Tabla1[[#This Row],[Día de Fecha]])</f>
        <v>46288</v>
      </c>
      <c r="G11072">
        <v>1110570386</v>
      </c>
      <c r="H11072" t="s">
        <v>615</v>
      </c>
      <c r="I11072">
        <v>68</v>
      </c>
      <c r="J11072">
        <v>0</v>
      </c>
      <c r="K11072" s="1">
        <v>3198573</v>
      </c>
    </row>
    <row r="11073" spans="1:11" x14ac:dyDescent="0.25">
      <c r="A11073" t="s">
        <v>326</v>
      </c>
      <c r="B11073" t="s">
        <v>613</v>
      </c>
      <c r="C11073" t="s">
        <v>876</v>
      </c>
      <c r="D11073" t="s">
        <v>11</v>
      </c>
      <c r="E11073">
        <v>24</v>
      </c>
      <c r="F11073" s="2">
        <f>DATE(2026,IF(Tabla1[[#This Row],[Mes de Fecha]]="Septiembre",9,10),Tabla1[[#This Row],[Día de Fecha]])</f>
        <v>46289</v>
      </c>
      <c r="I11073">
        <v>0</v>
      </c>
      <c r="J11073" s="1">
        <v>18929859</v>
      </c>
      <c r="K11073">
        <v>0</v>
      </c>
    </row>
    <row r="11074" spans="1:11" x14ac:dyDescent="0.25">
      <c r="A11074" t="s">
        <v>326</v>
      </c>
      <c r="B11074" t="s">
        <v>613</v>
      </c>
      <c r="C11074" t="s">
        <v>876</v>
      </c>
      <c r="D11074" t="s">
        <v>11</v>
      </c>
      <c r="E11074">
        <v>24</v>
      </c>
      <c r="F11074" s="2">
        <f>DATE(2026,IF(Tabla1[[#This Row],[Mes de Fecha]]="Septiembre",9,10),Tabla1[[#This Row],[Día de Fecha]])</f>
        <v>46289</v>
      </c>
      <c r="G11074">
        <v>1005692463</v>
      </c>
      <c r="H11074" t="s">
        <v>620</v>
      </c>
      <c r="I11074">
        <v>34</v>
      </c>
      <c r="J11074">
        <v>0</v>
      </c>
      <c r="K11074" s="1">
        <v>1943909</v>
      </c>
    </row>
    <row r="11075" spans="1:11" x14ac:dyDescent="0.25">
      <c r="A11075" t="s">
        <v>326</v>
      </c>
      <c r="B11075" t="s">
        <v>613</v>
      </c>
      <c r="C11075" t="s">
        <v>876</v>
      </c>
      <c r="D11075" t="s">
        <v>11</v>
      </c>
      <c r="E11075">
        <v>24</v>
      </c>
      <c r="F11075" s="2">
        <f>DATE(2026,IF(Tabla1[[#This Row],[Mes de Fecha]]="Septiembre",9,10),Tabla1[[#This Row],[Día de Fecha]])</f>
        <v>46289</v>
      </c>
      <c r="G11075">
        <v>1006027144</v>
      </c>
      <c r="H11075" t="s">
        <v>618</v>
      </c>
      <c r="I11075">
        <v>24</v>
      </c>
      <c r="J11075">
        <v>0</v>
      </c>
      <c r="K11075" s="1">
        <v>1162692</v>
      </c>
    </row>
    <row r="11076" spans="1:11" x14ac:dyDescent="0.25">
      <c r="A11076" t="s">
        <v>326</v>
      </c>
      <c r="B11076" t="s">
        <v>613</v>
      </c>
      <c r="C11076" t="s">
        <v>876</v>
      </c>
      <c r="D11076" t="s">
        <v>11</v>
      </c>
      <c r="E11076">
        <v>24</v>
      </c>
      <c r="F11076" s="2">
        <f>DATE(2026,IF(Tabla1[[#This Row],[Mes de Fecha]]="Septiembre",9,10),Tabla1[[#This Row],[Día de Fecha]])</f>
        <v>46289</v>
      </c>
      <c r="G11076">
        <v>1007371954</v>
      </c>
      <c r="H11076" t="s">
        <v>475</v>
      </c>
      <c r="I11076">
        <v>19</v>
      </c>
      <c r="J11076">
        <v>0</v>
      </c>
      <c r="K11076" s="1">
        <v>822648</v>
      </c>
    </row>
    <row r="11077" spans="1:11" x14ac:dyDescent="0.25">
      <c r="A11077" t="s">
        <v>326</v>
      </c>
      <c r="B11077" t="s">
        <v>613</v>
      </c>
      <c r="C11077" t="s">
        <v>876</v>
      </c>
      <c r="D11077" t="s">
        <v>11</v>
      </c>
      <c r="E11077">
        <v>24</v>
      </c>
      <c r="F11077" s="2">
        <f>DATE(2026,IF(Tabla1[[#This Row],[Mes de Fecha]]="Septiembre",9,10),Tabla1[[#This Row],[Día de Fecha]])</f>
        <v>46289</v>
      </c>
      <c r="G11077">
        <v>1107977576</v>
      </c>
      <c r="H11077" t="s">
        <v>619</v>
      </c>
      <c r="I11077">
        <v>29</v>
      </c>
      <c r="J11077">
        <v>0</v>
      </c>
      <c r="K11077" s="1">
        <v>1511346</v>
      </c>
    </row>
    <row r="11078" spans="1:11" x14ac:dyDescent="0.25">
      <c r="A11078" t="s">
        <v>326</v>
      </c>
      <c r="B11078" t="s">
        <v>613</v>
      </c>
      <c r="C11078" t="s">
        <v>876</v>
      </c>
      <c r="D11078" t="s">
        <v>11</v>
      </c>
      <c r="E11078">
        <v>24</v>
      </c>
      <c r="F11078" s="2">
        <f>DATE(2026,IF(Tabla1[[#This Row],[Mes de Fecha]]="Septiembre",9,10),Tabla1[[#This Row],[Día de Fecha]])</f>
        <v>46289</v>
      </c>
      <c r="G11078">
        <v>1110485736</v>
      </c>
      <c r="H11078" t="s">
        <v>614</v>
      </c>
      <c r="I11078">
        <v>34</v>
      </c>
      <c r="J11078">
        <v>0</v>
      </c>
      <c r="K11078" s="1">
        <v>1767395</v>
      </c>
    </row>
    <row r="11079" spans="1:11" x14ac:dyDescent="0.25">
      <c r="A11079" t="s">
        <v>326</v>
      </c>
      <c r="B11079" t="s">
        <v>613</v>
      </c>
      <c r="C11079" t="s">
        <v>876</v>
      </c>
      <c r="D11079" t="s">
        <v>11</v>
      </c>
      <c r="E11079">
        <v>24</v>
      </c>
      <c r="F11079" s="2">
        <f>DATE(2026,IF(Tabla1[[#This Row],[Mes de Fecha]]="Septiembre",9,10),Tabla1[[#This Row],[Día de Fecha]])</f>
        <v>46289</v>
      </c>
      <c r="G11079">
        <v>1110570386</v>
      </c>
      <c r="H11079" t="s">
        <v>615</v>
      </c>
      <c r="I11079">
        <v>30</v>
      </c>
      <c r="J11079">
        <v>0</v>
      </c>
      <c r="K11079" s="1">
        <v>1473154</v>
      </c>
    </row>
    <row r="11080" spans="1:11" x14ac:dyDescent="0.25">
      <c r="A11080" t="s">
        <v>326</v>
      </c>
      <c r="B11080" t="s">
        <v>613</v>
      </c>
      <c r="C11080" t="s">
        <v>876</v>
      </c>
      <c r="D11080" t="s">
        <v>11</v>
      </c>
      <c r="E11080">
        <v>25</v>
      </c>
      <c r="F11080" s="2">
        <f>DATE(2026,IF(Tabla1[[#This Row],[Mes de Fecha]]="Septiembre",9,10),Tabla1[[#This Row],[Día de Fecha]])</f>
        <v>46290</v>
      </c>
      <c r="I11080">
        <v>0</v>
      </c>
      <c r="J11080" s="1">
        <v>18887951</v>
      </c>
      <c r="K11080">
        <v>0</v>
      </c>
    </row>
    <row r="11081" spans="1:11" x14ac:dyDescent="0.25">
      <c r="A11081" t="s">
        <v>326</v>
      </c>
      <c r="B11081" t="s">
        <v>613</v>
      </c>
      <c r="C11081" t="s">
        <v>876</v>
      </c>
      <c r="D11081" t="s">
        <v>11</v>
      </c>
      <c r="E11081">
        <v>25</v>
      </c>
      <c r="F11081" s="2">
        <f>DATE(2026,IF(Tabla1[[#This Row],[Mes de Fecha]]="Septiembre",9,10),Tabla1[[#This Row],[Día de Fecha]])</f>
        <v>46290</v>
      </c>
      <c r="G11081">
        <v>1005692463</v>
      </c>
      <c r="H11081" t="s">
        <v>620</v>
      </c>
      <c r="I11081">
        <v>26</v>
      </c>
      <c r="J11081">
        <v>0</v>
      </c>
      <c r="K11081" s="1">
        <v>1416852</v>
      </c>
    </row>
    <row r="11082" spans="1:11" x14ac:dyDescent="0.25">
      <c r="A11082" t="s">
        <v>326</v>
      </c>
      <c r="B11082" t="s">
        <v>613</v>
      </c>
      <c r="C11082" t="s">
        <v>876</v>
      </c>
      <c r="D11082" t="s">
        <v>11</v>
      </c>
      <c r="E11082">
        <v>25</v>
      </c>
      <c r="F11082" s="2">
        <f>DATE(2026,IF(Tabla1[[#This Row],[Mes de Fecha]]="Septiembre",9,10),Tabla1[[#This Row],[Día de Fecha]])</f>
        <v>46290</v>
      </c>
      <c r="G11082">
        <v>1006027144</v>
      </c>
      <c r="H11082" t="s">
        <v>618</v>
      </c>
      <c r="I11082">
        <v>43</v>
      </c>
      <c r="J11082">
        <v>0</v>
      </c>
      <c r="K11082" s="1">
        <v>2258576</v>
      </c>
    </row>
    <row r="11083" spans="1:11" x14ac:dyDescent="0.25">
      <c r="A11083" t="s">
        <v>326</v>
      </c>
      <c r="B11083" t="s">
        <v>613</v>
      </c>
      <c r="C11083" t="s">
        <v>876</v>
      </c>
      <c r="D11083" t="s">
        <v>11</v>
      </c>
      <c r="E11083">
        <v>25</v>
      </c>
      <c r="F11083" s="2">
        <f>DATE(2026,IF(Tabla1[[#This Row],[Mes de Fecha]]="Septiembre",9,10),Tabla1[[#This Row],[Día de Fecha]])</f>
        <v>46290</v>
      </c>
      <c r="G11083">
        <v>1007371954</v>
      </c>
      <c r="H11083" t="s">
        <v>475</v>
      </c>
      <c r="I11083">
        <v>31</v>
      </c>
      <c r="J11083">
        <v>0</v>
      </c>
      <c r="K11083" s="1">
        <v>1662396</v>
      </c>
    </row>
    <row r="11084" spans="1:11" x14ac:dyDescent="0.25">
      <c r="A11084" t="s">
        <v>326</v>
      </c>
      <c r="B11084" t="s">
        <v>613</v>
      </c>
      <c r="C11084" t="s">
        <v>876</v>
      </c>
      <c r="D11084" t="s">
        <v>11</v>
      </c>
      <c r="E11084">
        <v>25</v>
      </c>
      <c r="F11084" s="2">
        <f>DATE(2026,IF(Tabla1[[#This Row],[Mes de Fecha]]="Septiembre",9,10),Tabla1[[#This Row],[Día de Fecha]])</f>
        <v>46290</v>
      </c>
      <c r="G11084">
        <v>1107977576</v>
      </c>
      <c r="H11084" t="s">
        <v>619</v>
      </c>
      <c r="I11084">
        <v>19</v>
      </c>
      <c r="J11084">
        <v>0</v>
      </c>
      <c r="K11084" s="1">
        <v>1055884</v>
      </c>
    </row>
    <row r="11085" spans="1:11" x14ac:dyDescent="0.25">
      <c r="A11085" t="s">
        <v>326</v>
      </c>
      <c r="B11085" t="s">
        <v>613</v>
      </c>
      <c r="C11085" t="s">
        <v>876</v>
      </c>
      <c r="D11085" t="s">
        <v>11</v>
      </c>
      <c r="E11085">
        <v>25</v>
      </c>
      <c r="F11085" s="2">
        <f>DATE(2026,IF(Tabla1[[#This Row],[Mes de Fecha]]="Septiembre",9,10),Tabla1[[#This Row],[Día de Fecha]])</f>
        <v>46290</v>
      </c>
      <c r="G11085">
        <v>1110485736</v>
      </c>
      <c r="H11085" t="s">
        <v>614</v>
      </c>
      <c r="I11085">
        <v>79</v>
      </c>
      <c r="J11085">
        <v>0</v>
      </c>
      <c r="K11085" s="1">
        <v>3724881</v>
      </c>
    </row>
    <row r="11086" spans="1:11" x14ac:dyDescent="0.25">
      <c r="A11086" t="s">
        <v>326</v>
      </c>
      <c r="B11086" t="s">
        <v>613</v>
      </c>
      <c r="C11086" t="s">
        <v>876</v>
      </c>
      <c r="D11086" t="s">
        <v>11</v>
      </c>
      <c r="E11086">
        <v>25</v>
      </c>
      <c r="F11086" s="2">
        <f>DATE(2026,IF(Tabla1[[#This Row],[Mes de Fecha]]="Septiembre",9,10),Tabla1[[#This Row],[Día de Fecha]])</f>
        <v>46290</v>
      </c>
      <c r="G11086">
        <v>1110570386</v>
      </c>
      <c r="H11086" t="s">
        <v>615</v>
      </c>
      <c r="I11086">
        <v>50</v>
      </c>
      <c r="J11086">
        <v>0</v>
      </c>
      <c r="K11086" s="1">
        <v>2363028</v>
      </c>
    </row>
    <row r="11087" spans="1:11" x14ac:dyDescent="0.25">
      <c r="A11087" t="s">
        <v>326</v>
      </c>
      <c r="B11087" t="s">
        <v>613</v>
      </c>
      <c r="C11087" t="s">
        <v>876</v>
      </c>
      <c r="D11087" t="s">
        <v>11</v>
      </c>
      <c r="E11087">
        <v>26</v>
      </c>
      <c r="F11087" s="2">
        <f>DATE(2026,IF(Tabla1[[#This Row],[Mes de Fecha]]="Septiembre",9,10),Tabla1[[#This Row],[Día de Fecha]])</f>
        <v>46291</v>
      </c>
      <c r="I11087">
        <v>0</v>
      </c>
      <c r="J11087" s="1">
        <v>27144700</v>
      </c>
      <c r="K11087">
        <v>0</v>
      </c>
    </row>
    <row r="11088" spans="1:11" x14ac:dyDescent="0.25">
      <c r="A11088" t="s">
        <v>326</v>
      </c>
      <c r="B11088" t="s">
        <v>613</v>
      </c>
      <c r="C11088" t="s">
        <v>876</v>
      </c>
      <c r="D11088" t="s">
        <v>11</v>
      </c>
      <c r="E11088">
        <v>26</v>
      </c>
      <c r="F11088" s="2">
        <f>DATE(2026,IF(Tabla1[[#This Row],[Mes de Fecha]]="Septiembre",9,10),Tabla1[[#This Row],[Día de Fecha]])</f>
        <v>46291</v>
      </c>
      <c r="G11088">
        <v>1005692463</v>
      </c>
      <c r="H11088" t="s">
        <v>620</v>
      </c>
      <c r="I11088">
        <v>5</v>
      </c>
      <c r="J11088">
        <v>0</v>
      </c>
      <c r="K11088" s="1">
        <v>352647</v>
      </c>
    </row>
    <row r="11089" spans="1:11" x14ac:dyDescent="0.25">
      <c r="A11089" t="s">
        <v>326</v>
      </c>
      <c r="B11089" t="s">
        <v>613</v>
      </c>
      <c r="C11089" t="s">
        <v>876</v>
      </c>
      <c r="D11089" t="s">
        <v>11</v>
      </c>
      <c r="E11089">
        <v>26</v>
      </c>
      <c r="F11089" s="2">
        <f>DATE(2026,IF(Tabla1[[#This Row],[Mes de Fecha]]="Septiembre",9,10),Tabla1[[#This Row],[Día de Fecha]])</f>
        <v>46291</v>
      </c>
      <c r="G11089">
        <v>1006027144</v>
      </c>
      <c r="H11089" t="s">
        <v>618</v>
      </c>
      <c r="I11089">
        <v>50</v>
      </c>
      <c r="J11089">
        <v>0</v>
      </c>
      <c r="K11089" s="1">
        <v>2331600</v>
      </c>
    </row>
    <row r="11090" spans="1:11" x14ac:dyDescent="0.25">
      <c r="A11090" t="s">
        <v>326</v>
      </c>
      <c r="B11090" t="s">
        <v>613</v>
      </c>
      <c r="C11090" t="s">
        <v>876</v>
      </c>
      <c r="D11090" t="s">
        <v>11</v>
      </c>
      <c r="E11090">
        <v>26</v>
      </c>
      <c r="F11090" s="2">
        <f>DATE(2026,IF(Tabla1[[#This Row],[Mes de Fecha]]="Septiembre",9,10),Tabla1[[#This Row],[Día de Fecha]])</f>
        <v>46291</v>
      </c>
      <c r="G11090">
        <v>1007371954</v>
      </c>
      <c r="H11090" t="s">
        <v>475</v>
      </c>
      <c r="I11090">
        <v>50</v>
      </c>
      <c r="J11090">
        <v>0</v>
      </c>
      <c r="K11090" s="1">
        <v>2816935</v>
      </c>
    </row>
    <row r="11091" spans="1:11" x14ac:dyDescent="0.25">
      <c r="A11091" t="s">
        <v>326</v>
      </c>
      <c r="B11091" t="s">
        <v>613</v>
      </c>
      <c r="C11091" t="s">
        <v>876</v>
      </c>
      <c r="D11091" t="s">
        <v>11</v>
      </c>
      <c r="E11091">
        <v>26</v>
      </c>
      <c r="F11091" s="2">
        <f>DATE(2026,IF(Tabla1[[#This Row],[Mes de Fecha]]="Septiembre",9,10),Tabla1[[#This Row],[Día de Fecha]])</f>
        <v>46291</v>
      </c>
      <c r="G11091">
        <v>1107977576</v>
      </c>
      <c r="H11091" t="s">
        <v>619</v>
      </c>
      <c r="I11091">
        <v>48</v>
      </c>
      <c r="J11091">
        <v>0</v>
      </c>
      <c r="K11091" s="1">
        <v>2550380</v>
      </c>
    </row>
    <row r="11092" spans="1:11" x14ac:dyDescent="0.25">
      <c r="A11092" t="s">
        <v>326</v>
      </c>
      <c r="B11092" t="s">
        <v>613</v>
      </c>
      <c r="C11092" t="s">
        <v>876</v>
      </c>
      <c r="D11092" t="s">
        <v>11</v>
      </c>
      <c r="E11092">
        <v>26</v>
      </c>
      <c r="F11092" s="2">
        <f>DATE(2026,IF(Tabla1[[#This Row],[Mes de Fecha]]="Septiembre",9,10),Tabla1[[#This Row],[Día de Fecha]])</f>
        <v>46291</v>
      </c>
      <c r="G11092">
        <v>1110485736</v>
      </c>
      <c r="H11092" t="s">
        <v>614</v>
      </c>
      <c r="I11092">
        <v>87</v>
      </c>
      <c r="J11092">
        <v>0</v>
      </c>
      <c r="K11092" s="1">
        <v>4846730</v>
      </c>
    </row>
    <row r="11093" spans="1:11" x14ac:dyDescent="0.25">
      <c r="A11093" t="s">
        <v>326</v>
      </c>
      <c r="B11093" t="s">
        <v>613</v>
      </c>
      <c r="C11093" t="s">
        <v>876</v>
      </c>
      <c r="D11093" t="s">
        <v>11</v>
      </c>
      <c r="E11093">
        <v>26</v>
      </c>
      <c r="F11093" s="2">
        <f>DATE(2026,IF(Tabla1[[#This Row],[Mes de Fecha]]="Septiembre",9,10),Tabla1[[#This Row],[Día de Fecha]])</f>
        <v>46291</v>
      </c>
      <c r="G11093">
        <v>1110506146</v>
      </c>
      <c r="H11093" t="s">
        <v>617</v>
      </c>
      <c r="I11093">
        <v>-2</v>
      </c>
      <c r="J11093">
        <v>0</v>
      </c>
      <c r="K11093" s="1">
        <v>-193109</v>
      </c>
    </row>
    <row r="11094" spans="1:11" x14ac:dyDescent="0.25">
      <c r="A11094" t="s">
        <v>326</v>
      </c>
      <c r="B11094" t="s">
        <v>613</v>
      </c>
      <c r="C11094" t="s">
        <v>876</v>
      </c>
      <c r="D11094" t="s">
        <v>11</v>
      </c>
      <c r="E11094">
        <v>26</v>
      </c>
      <c r="F11094" s="2">
        <f>DATE(2026,IF(Tabla1[[#This Row],[Mes de Fecha]]="Septiembre",9,10),Tabla1[[#This Row],[Día de Fecha]])</f>
        <v>46291</v>
      </c>
      <c r="G11094">
        <v>1110570386</v>
      </c>
      <c r="H11094" t="s">
        <v>615</v>
      </c>
      <c r="I11094">
        <v>71</v>
      </c>
      <c r="J11094">
        <v>0</v>
      </c>
      <c r="K11094" s="1">
        <v>3223617</v>
      </c>
    </row>
    <row r="11095" spans="1:11" x14ac:dyDescent="0.25">
      <c r="A11095" t="s">
        <v>326</v>
      </c>
      <c r="B11095" t="s">
        <v>613</v>
      </c>
      <c r="C11095" t="s">
        <v>876</v>
      </c>
      <c r="D11095" t="s">
        <v>11</v>
      </c>
      <c r="E11095">
        <v>27</v>
      </c>
      <c r="F11095" s="2">
        <f>DATE(2026,IF(Tabla1[[#This Row],[Mes de Fecha]]="Septiembre",9,10),Tabla1[[#This Row],[Día de Fecha]])</f>
        <v>46292</v>
      </c>
      <c r="I11095">
        <v>0</v>
      </c>
      <c r="J11095" s="1">
        <v>21504067</v>
      </c>
      <c r="K11095">
        <v>0</v>
      </c>
    </row>
    <row r="11096" spans="1:11" x14ac:dyDescent="0.25">
      <c r="A11096" t="s">
        <v>326</v>
      </c>
      <c r="B11096" t="s">
        <v>613</v>
      </c>
      <c r="C11096" t="s">
        <v>876</v>
      </c>
      <c r="D11096" t="s">
        <v>11</v>
      </c>
      <c r="E11096">
        <v>27</v>
      </c>
      <c r="F11096" s="2">
        <f>DATE(2026,IF(Tabla1[[#This Row],[Mes de Fecha]]="Septiembre",9,10),Tabla1[[#This Row],[Día de Fecha]])</f>
        <v>46292</v>
      </c>
      <c r="G11096">
        <v>1005692463</v>
      </c>
      <c r="H11096" t="s">
        <v>620</v>
      </c>
      <c r="I11096">
        <v>11</v>
      </c>
      <c r="J11096">
        <v>0</v>
      </c>
      <c r="K11096" s="1">
        <v>751598</v>
      </c>
    </row>
    <row r="11097" spans="1:11" x14ac:dyDescent="0.25">
      <c r="A11097" t="s">
        <v>326</v>
      </c>
      <c r="B11097" t="s">
        <v>613</v>
      </c>
      <c r="C11097" t="s">
        <v>876</v>
      </c>
      <c r="D11097" t="s">
        <v>11</v>
      </c>
      <c r="E11097">
        <v>27</v>
      </c>
      <c r="F11097" s="2">
        <f>DATE(2026,IF(Tabla1[[#This Row],[Mes de Fecha]]="Septiembre",9,10),Tabla1[[#This Row],[Día de Fecha]])</f>
        <v>46292</v>
      </c>
      <c r="G11097">
        <v>1006027144</v>
      </c>
      <c r="H11097" t="s">
        <v>618</v>
      </c>
      <c r="I11097">
        <v>9</v>
      </c>
      <c r="J11097">
        <v>0</v>
      </c>
      <c r="K11097" s="1">
        <v>596177</v>
      </c>
    </row>
    <row r="11098" spans="1:11" x14ac:dyDescent="0.25">
      <c r="A11098" t="s">
        <v>326</v>
      </c>
      <c r="B11098" t="s">
        <v>613</v>
      </c>
      <c r="C11098" t="s">
        <v>876</v>
      </c>
      <c r="D11098" t="s">
        <v>11</v>
      </c>
      <c r="E11098">
        <v>27</v>
      </c>
      <c r="F11098" s="2">
        <f>DATE(2026,IF(Tabla1[[#This Row],[Mes de Fecha]]="Septiembre",9,10),Tabla1[[#This Row],[Día de Fecha]])</f>
        <v>46292</v>
      </c>
      <c r="G11098">
        <v>1007371954</v>
      </c>
      <c r="H11098" t="s">
        <v>475</v>
      </c>
      <c r="I11098">
        <v>16</v>
      </c>
      <c r="J11098">
        <v>0</v>
      </c>
      <c r="K11098" s="1">
        <v>1022354</v>
      </c>
    </row>
    <row r="11099" spans="1:11" x14ac:dyDescent="0.25">
      <c r="A11099" t="s">
        <v>326</v>
      </c>
      <c r="B11099" t="s">
        <v>613</v>
      </c>
      <c r="C11099" t="s">
        <v>876</v>
      </c>
      <c r="D11099" t="s">
        <v>11</v>
      </c>
      <c r="E11099">
        <v>27</v>
      </c>
      <c r="F11099" s="2">
        <f>DATE(2026,IF(Tabla1[[#This Row],[Mes de Fecha]]="Septiembre",9,10),Tabla1[[#This Row],[Día de Fecha]])</f>
        <v>46292</v>
      </c>
      <c r="G11099">
        <v>1107977576</v>
      </c>
      <c r="H11099" t="s">
        <v>619</v>
      </c>
      <c r="I11099">
        <v>17</v>
      </c>
      <c r="J11099">
        <v>0</v>
      </c>
      <c r="K11099" s="1">
        <v>992983</v>
      </c>
    </row>
    <row r="11100" spans="1:11" x14ac:dyDescent="0.25">
      <c r="A11100" t="s">
        <v>326</v>
      </c>
      <c r="B11100" t="s">
        <v>613</v>
      </c>
      <c r="C11100" t="s">
        <v>876</v>
      </c>
      <c r="D11100" t="s">
        <v>11</v>
      </c>
      <c r="E11100">
        <v>27</v>
      </c>
      <c r="F11100" s="2">
        <f>DATE(2026,IF(Tabla1[[#This Row],[Mes de Fecha]]="Septiembre",9,10),Tabla1[[#This Row],[Día de Fecha]])</f>
        <v>46292</v>
      </c>
      <c r="G11100">
        <v>1110485736</v>
      </c>
      <c r="H11100" t="s">
        <v>614</v>
      </c>
      <c r="I11100">
        <v>34</v>
      </c>
      <c r="J11100">
        <v>0</v>
      </c>
      <c r="K11100" s="1">
        <v>2044708</v>
      </c>
    </row>
    <row r="11101" spans="1:11" x14ac:dyDescent="0.25">
      <c r="A11101" t="s">
        <v>326</v>
      </c>
      <c r="B11101" t="s">
        <v>613</v>
      </c>
      <c r="C11101" t="s">
        <v>876</v>
      </c>
      <c r="D11101" t="s">
        <v>11</v>
      </c>
      <c r="E11101">
        <v>27</v>
      </c>
      <c r="F11101" s="2">
        <f>DATE(2026,IF(Tabla1[[#This Row],[Mes de Fecha]]="Septiembre",9,10),Tabla1[[#This Row],[Día de Fecha]])</f>
        <v>46292</v>
      </c>
      <c r="G11101">
        <v>1110570386</v>
      </c>
      <c r="H11101" t="s">
        <v>615</v>
      </c>
      <c r="I11101">
        <v>31</v>
      </c>
      <c r="J11101">
        <v>0</v>
      </c>
      <c r="K11101" s="1">
        <v>1603572</v>
      </c>
    </row>
    <row r="11102" spans="1:11" x14ac:dyDescent="0.25">
      <c r="A11102" t="s">
        <v>326</v>
      </c>
      <c r="B11102" t="s">
        <v>613</v>
      </c>
      <c r="C11102" t="s">
        <v>876</v>
      </c>
      <c r="D11102" t="s">
        <v>11</v>
      </c>
      <c r="E11102">
        <v>28</v>
      </c>
      <c r="F11102" s="2">
        <f>DATE(2026,IF(Tabla1[[#This Row],[Mes de Fecha]]="Septiembre",9,10),Tabla1[[#This Row],[Día de Fecha]])</f>
        <v>46293</v>
      </c>
      <c r="I11102">
        <v>0</v>
      </c>
      <c r="J11102" s="1">
        <v>12107747</v>
      </c>
      <c r="K11102">
        <v>0</v>
      </c>
    </row>
    <row r="11103" spans="1:11" x14ac:dyDescent="0.25">
      <c r="A11103" t="s">
        <v>326</v>
      </c>
      <c r="B11103" t="s">
        <v>613</v>
      </c>
      <c r="C11103" t="s">
        <v>876</v>
      </c>
      <c r="D11103" t="s">
        <v>11</v>
      </c>
      <c r="E11103">
        <v>28</v>
      </c>
      <c r="F11103" s="2">
        <f>DATE(2026,IF(Tabla1[[#This Row],[Mes de Fecha]]="Septiembre",9,10),Tabla1[[#This Row],[Día de Fecha]])</f>
        <v>46293</v>
      </c>
      <c r="G11103">
        <v>1005692463</v>
      </c>
      <c r="H11103" t="s">
        <v>620</v>
      </c>
      <c r="I11103">
        <v>22</v>
      </c>
      <c r="J11103">
        <v>0</v>
      </c>
      <c r="K11103" s="1">
        <v>1156515</v>
      </c>
    </row>
    <row r="11104" spans="1:11" x14ac:dyDescent="0.25">
      <c r="A11104" t="s">
        <v>326</v>
      </c>
      <c r="B11104" t="s">
        <v>613</v>
      </c>
      <c r="C11104" t="s">
        <v>876</v>
      </c>
      <c r="D11104" t="s">
        <v>11</v>
      </c>
      <c r="E11104">
        <v>28</v>
      </c>
      <c r="F11104" s="2">
        <f>DATE(2026,IF(Tabla1[[#This Row],[Mes de Fecha]]="Septiembre",9,10),Tabla1[[#This Row],[Día de Fecha]])</f>
        <v>46293</v>
      </c>
      <c r="G11104">
        <v>1006027144</v>
      </c>
      <c r="H11104" t="s">
        <v>618</v>
      </c>
      <c r="I11104">
        <v>30</v>
      </c>
      <c r="J11104">
        <v>0</v>
      </c>
      <c r="K11104" s="1">
        <v>1633154</v>
      </c>
    </row>
    <row r="11105" spans="1:11" x14ac:dyDescent="0.25">
      <c r="A11105" t="s">
        <v>326</v>
      </c>
      <c r="B11105" t="s">
        <v>613</v>
      </c>
      <c r="C11105" t="s">
        <v>876</v>
      </c>
      <c r="D11105" t="s">
        <v>11</v>
      </c>
      <c r="E11105">
        <v>28</v>
      </c>
      <c r="F11105" s="2">
        <f>DATE(2026,IF(Tabla1[[#This Row],[Mes de Fecha]]="Septiembre",9,10),Tabla1[[#This Row],[Día de Fecha]])</f>
        <v>46293</v>
      </c>
      <c r="G11105">
        <v>1007371954</v>
      </c>
      <c r="H11105" t="s">
        <v>475</v>
      </c>
      <c r="I11105">
        <v>30</v>
      </c>
      <c r="J11105">
        <v>0</v>
      </c>
      <c r="K11105" s="1">
        <v>1702565</v>
      </c>
    </row>
    <row r="11106" spans="1:11" x14ac:dyDescent="0.25">
      <c r="A11106" t="s">
        <v>326</v>
      </c>
      <c r="B11106" t="s">
        <v>613</v>
      </c>
      <c r="C11106" t="s">
        <v>876</v>
      </c>
      <c r="D11106" t="s">
        <v>11</v>
      </c>
      <c r="E11106">
        <v>28</v>
      </c>
      <c r="F11106" s="2">
        <f>DATE(2026,IF(Tabla1[[#This Row],[Mes de Fecha]]="Septiembre",9,10),Tabla1[[#This Row],[Día de Fecha]])</f>
        <v>46293</v>
      </c>
      <c r="G11106">
        <v>1107977576</v>
      </c>
      <c r="H11106" t="s">
        <v>619</v>
      </c>
      <c r="I11106">
        <v>13</v>
      </c>
      <c r="J11106">
        <v>0</v>
      </c>
      <c r="K11106" s="1">
        <v>835548</v>
      </c>
    </row>
    <row r="11107" spans="1:11" x14ac:dyDescent="0.25">
      <c r="A11107" t="s">
        <v>326</v>
      </c>
      <c r="B11107" t="s">
        <v>613</v>
      </c>
      <c r="C11107" t="s">
        <v>876</v>
      </c>
      <c r="D11107" t="s">
        <v>11</v>
      </c>
      <c r="E11107">
        <v>28</v>
      </c>
      <c r="F11107" s="2">
        <f>DATE(2026,IF(Tabla1[[#This Row],[Mes de Fecha]]="Septiembre",9,10),Tabla1[[#This Row],[Día de Fecha]])</f>
        <v>46293</v>
      </c>
      <c r="G11107">
        <v>1110485736</v>
      </c>
      <c r="H11107" t="s">
        <v>614</v>
      </c>
      <c r="I11107">
        <v>32</v>
      </c>
      <c r="J11107">
        <v>0</v>
      </c>
      <c r="K11107" s="1">
        <v>1817817</v>
      </c>
    </row>
    <row r="11108" spans="1:11" x14ac:dyDescent="0.25">
      <c r="A11108" t="s">
        <v>326</v>
      </c>
      <c r="B11108" t="s">
        <v>613</v>
      </c>
      <c r="C11108" t="s">
        <v>876</v>
      </c>
      <c r="D11108" t="s">
        <v>11</v>
      </c>
      <c r="E11108">
        <v>28</v>
      </c>
      <c r="F11108" s="2">
        <f>DATE(2026,IF(Tabla1[[#This Row],[Mes de Fecha]]="Septiembre",9,10),Tabla1[[#This Row],[Día de Fecha]])</f>
        <v>46293</v>
      </c>
      <c r="G11108">
        <v>1110570386</v>
      </c>
      <c r="H11108" t="s">
        <v>615</v>
      </c>
      <c r="I11108">
        <v>22</v>
      </c>
      <c r="J11108">
        <v>0</v>
      </c>
      <c r="K11108" s="1">
        <v>1135589</v>
      </c>
    </row>
    <row r="11109" spans="1:11" x14ac:dyDescent="0.25">
      <c r="A11109" t="s">
        <v>326</v>
      </c>
      <c r="B11109" t="s">
        <v>613</v>
      </c>
      <c r="C11109" t="s">
        <v>876</v>
      </c>
      <c r="D11109" t="s">
        <v>11</v>
      </c>
      <c r="E11109">
        <v>29</v>
      </c>
      <c r="F11109" s="2">
        <f>DATE(2026,IF(Tabla1[[#This Row],[Mes de Fecha]]="Septiembre",9,10),Tabla1[[#This Row],[Día de Fecha]])</f>
        <v>46294</v>
      </c>
      <c r="I11109">
        <v>0</v>
      </c>
      <c r="J11109" s="1">
        <v>12369259</v>
      </c>
      <c r="K11109">
        <v>0</v>
      </c>
    </row>
    <row r="11110" spans="1:11" x14ac:dyDescent="0.25">
      <c r="A11110" t="s">
        <v>326</v>
      </c>
      <c r="B11110" t="s">
        <v>613</v>
      </c>
      <c r="C11110" t="s">
        <v>876</v>
      </c>
      <c r="D11110" t="s">
        <v>11</v>
      </c>
      <c r="E11110">
        <v>29</v>
      </c>
      <c r="F11110" s="2">
        <f>DATE(2026,IF(Tabla1[[#This Row],[Mes de Fecha]]="Septiembre",9,10),Tabla1[[#This Row],[Día de Fecha]])</f>
        <v>46294</v>
      </c>
      <c r="G11110">
        <v>1005692463</v>
      </c>
      <c r="H11110" t="s">
        <v>620</v>
      </c>
      <c r="I11110">
        <v>30</v>
      </c>
      <c r="J11110">
        <v>0</v>
      </c>
      <c r="K11110" s="1">
        <v>1729582</v>
      </c>
    </row>
    <row r="11111" spans="1:11" x14ac:dyDescent="0.25">
      <c r="A11111" t="s">
        <v>326</v>
      </c>
      <c r="B11111" t="s">
        <v>613</v>
      </c>
      <c r="C11111" t="s">
        <v>876</v>
      </c>
      <c r="D11111" t="s">
        <v>11</v>
      </c>
      <c r="E11111">
        <v>29</v>
      </c>
      <c r="F11111" s="2">
        <f>DATE(2026,IF(Tabla1[[#This Row],[Mes de Fecha]]="Septiembre",9,10),Tabla1[[#This Row],[Día de Fecha]])</f>
        <v>46294</v>
      </c>
      <c r="G11111">
        <v>1006027144</v>
      </c>
      <c r="H11111" t="s">
        <v>618</v>
      </c>
      <c r="I11111">
        <v>15</v>
      </c>
      <c r="J11111">
        <v>0</v>
      </c>
      <c r="K11111" s="1">
        <v>759750</v>
      </c>
    </row>
    <row r="11112" spans="1:11" x14ac:dyDescent="0.25">
      <c r="A11112" t="s">
        <v>326</v>
      </c>
      <c r="B11112" t="s">
        <v>613</v>
      </c>
      <c r="C11112" t="s">
        <v>876</v>
      </c>
      <c r="D11112" t="s">
        <v>11</v>
      </c>
      <c r="E11112">
        <v>29</v>
      </c>
      <c r="F11112" s="2">
        <f>DATE(2026,IF(Tabla1[[#This Row],[Mes de Fecha]]="Septiembre",9,10),Tabla1[[#This Row],[Día de Fecha]])</f>
        <v>46294</v>
      </c>
      <c r="G11112">
        <v>1007371954</v>
      </c>
      <c r="H11112" t="s">
        <v>475</v>
      </c>
      <c r="I11112">
        <v>9</v>
      </c>
      <c r="J11112">
        <v>0</v>
      </c>
      <c r="K11112" s="1">
        <v>514369</v>
      </c>
    </row>
    <row r="11113" spans="1:11" x14ac:dyDescent="0.25">
      <c r="A11113" t="s">
        <v>326</v>
      </c>
      <c r="B11113" t="s">
        <v>613</v>
      </c>
      <c r="C11113" t="s">
        <v>876</v>
      </c>
      <c r="D11113" t="s">
        <v>11</v>
      </c>
      <c r="E11113">
        <v>29</v>
      </c>
      <c r="F11113" s="2">
        <f>DATE(2026,IF(Tabla1[[#This Row],[Mes de Fecha]]="Septiembre",9,10),Tabla1[[#This Row],[Día de Fecha]])</f>
        <v>46294</v>
      </c>
      <c r="G11113">
        <v>1107977576</v>
      </c>
      <c r="H11113" t="s">
        <v>619</v>
      </c>
      <c r="I11113">
        <v>19</v>
      </c>
      <c r="J11113">
        <v>0</v>
      </c>
      <c r="K11113" s="1">
        <v>965462</v>
      </c>
    </row>
    <row r="11114" spans="1:11" x14ac:dyDescent="0.25">
      <c r="A11114" t="s">
        <v>326</v>
      </c>
      <c r="B11114" t="s">
        <v>613</v>
      </c>
      <c r="C11114" t="s">
        <v>876</v>
      </c>
      <c r="D11114" t="s">
        <v>11</v>
      </c>
      <c r="E11114">
        <v>29</v>
      </c>
      <c r="F11114" s="2">
        <f>DATE(2026,IF(Tabla1[[#This Row],[Mes de Fecha]]="Septiembre",9,10),Tabla1[[#This Row],[Día de Fecha]])</f>
        <v>46294</v>
      </c>
      <c r="G11114">
        <v>1110485736</v>
      </c>
      <c r="H11114" t="s">
        <v>614</v>
      </c>
      <c r="I11114">
        <v>61</v>
      </c>
      <c r="J11114">
        <v>0</v>
      </c>
      <c r="K11114" s="1">
        <v>3514160</v>
      </c>
    </row>
    <row r="11115" spans="1:11" x14ac:dyDescent="0.25">
      <c r="A11115" t="s">
        <v>326</v>
      </c>
      <c r="B11115" t="s">
        <v>613</v>
      </c>
      <c r="C11115" t="s">
        <v>876</v>
      </c>
      <c r="D11115" t="s">
        <v>11</v>
      </c>
      <c r="E11115">
        <v>29</v>
      </c>
      <c r="F11115" s="2">
        <f>DATE(2026,IF(Tabla1[[#This Row],[Mes de Fecha]]="Septiembre",9,10),Tabla1[[#This Row],[Día de Fecha]])</f>
        <v>46294</v>
      </c>
      <c r="G11115">
        <v>1110570386</v>
      </c>
      <c r="H11115" t="s">
        <v>615</v>
      </c>
      <c r="I11115">
        <v>9</v>
      </c>
      <c r="J11115">
        <v>0</v>
      </c>
      <c r="K11115" s="1">
        <v>335758</v>
      </c>
    </row>
    <row r="11116" spans="1:11" x14ac:dyDescent="0.25">
      <c r="A11116" t="s">
        <v>326</v>
      </c>
      <c r="B11116" t="s">
        <v>613</v>
      </c>
      <c r="C11116" t="s">
        <v>876</v>
      </c>
      <c r="D11116" t="s">
        <v>11</v>
      </c>
      <c r="E11116">
        <v>30</v>
      </c>
      <c r="F11116" s="2">
        <f>DATE(2026,IF(Tabla1[[#This Row],[Mes de Fecha]]="Septiembre",9,10),Tabla1[[#This Row],[Día de Fecha]])</f>
        <v>46295</v>
      </c>
      <c r="I11116">
        <v>0</v>
      </c>
      <c r="J11116" s="1">
        <v>13059461</v>
      </c>
      <c r="K11116">
        <v>0</v>
      </c>
    </row>
    <row r="11117" spans="1:11" x14ac:dyDescent="0.25">
      <c r="A11117" t="s">
        <v>326</v>
      </c>
      <c r="B11117" t="s">
        <v>613</v>
      </c>
      <c r="C11117" t="s">
        <v>876</v>
      </c>
      <c r="D11117" t="s">
        <v>11</v>
      </c>
      <c r="E11117">
        <v>30</v>
      </c>
      <c r="F11117" s="2">
        <f>DATE(2026,IF(Tabla1[[#This Row],[Mes de Fecha]]="Septiembre",9,10),Tabla1[[#This Row],[Día de Fecha]])</f>
        <v>46295</v>
      </c>
      <c r="G11117">
        <v>1005692463</v>
      </c>
      <c r="H11117" t="s">
        <v>620</v>
      </c>
      <c r="I11117">
        <v>30</v>
      </c>
      <c r="J11117">
        <v>0</v>
      </c>
      <c r="K11117" s="1">
        <v>1679329</v>
      </c>
    </row>
    <row r="11118" spans="1:11" x14ac:dyDescent="0.25">
      <c r="A11118" t="s">
        <v>326</v>
      </c>
      <c r="B11118" t="s">
        <v>613</v>
      </c>
      <c r="C11118" t="s">
        <v>876</v>
      </c>
      <c r="D11118" t="s">
        <v>11</v>
      </c>
      <c r="E11118">
        <v>30</v>
      </c>
      <c r="F11118" s="2">
        <f>DATE(2026,IF(Tabla1[[#This Row],[Mes de Fecha]]="Septiembre",9,10),Tabla1[[#This Row],[Día de Fecha]])</f>
        <v>46295</v>
      </c>
      <c r="G11118">
        <v>1006027144</v>
      </c>
      <c r="H11118" t="s">
        <v>618</v>
      </c>
      <c r="I11118">
        <v>28</v>
      </c>
      <c r="J11118">
        <v>0</v>
      </c>
      <c r="K11118" s="1">
        <v>1439834</v>
      </c>
    </row>
    <row r="11119" spans="1:11" x14ac:dyDescent="0.25">
      <c r="A11119" t="s">
        <v>326</v>
      </c>
      <c r="B11119" t="s">
        <v>613</v>
      </c>
      <c r="C11119" t="s">
        <v>876</v>
      </c>
      <c r="D11119" t="s">
        <v>11</v>
      </c>
      <c r="E11119">
        <v>30</v>
      </c>
      <c r="F11119" s="2">
        <f>DATE(2026,IF(Tabla1[[#This Row],[Mes de Fecha]]="Septiembre",9,10),Tabla1[[#This Row],[Día de Fecha]])</f>
        <v>46295</v>
      </c>
      <c r="G11119">
        <v>1007371954</v>
      </c>
      <c r="H11119" t="s">
        <v>475</v>
      </c>
      <c r="I11119">
        <v>34</v>
      </c>
      <c r="J11119">
        <v>0</v>
      </c>
      <c r="K11119" s="1">
        <v>2002523</v>
      </c>
    </row>
    <row r="11120" spans="1:11" x14ac:dyDescent="0.25">
      <c r="A11120" t="s">
        <v>326</v>
      </c>
      <c r="B11120" t="s">
        <v>613</v>
      </c>
      <c r="C11120" t="s">
        <v>876</v>
      </c>
      <c r="D11120" t="s">
        <v>11</v>
      </c>
      <c r="E11120">
        <v>30</v>
      </c>
      <c r="F11120" s="2">
        <f>DATE(2026,IF(Tabla1[[#This Row],[Mes de Fecha]]="Septiembre",9,10),Tabla1[[#This Row],[Día de Fecha]])</f>
        <v>46295</v>
      </c>
      <c r="G11120">
        <v>1107977576</v>
      </c>
      <c r="H11120" t="s">
        <v>619</v>
      </c>
      <c r="I11120">
        <v>22</v>
      </c>
      <c r="J11120">
        <v>0</v>
      </c>
      <c r="K11120" s="1">
        <v>1066263</v>
      </c>
    </row>
    <row r="11121" spans="1:11" x14ac:dyDescent="0.25">
      <c r="A11121" t="s">
        <v>326</v>
      </c>
      <c r="B11121" t="s">
        <v>613</v>
      </c>
      <c r="C11121" t="s">
        <v>876</v>
      </c>
      <c r="D11121" t="s">
        <v>11</v>
      </c>
      <c r="E11121">
        <v>30</v>
      </c>
      <c r="F11121" s="2">
        <f>DATE(2026,IF(Tabla1[[#This Row],[Mes de Fecha]]="Septiembre",9,10),Tabla1[[#This Row],[Día de Fecha]])</f>
        <v>46295</v>
      </c>
      <c r="G11121">
        <v>1110485736</v>
      </c>
      <c r="H11121" t="s">
        <v>614</v>
      </c>
      <c r="I11121">
        <v>53</v>
      </c>
      <c r="J11121">
        <v>0</v>
      </c>
      <c r="K11121" s="1">
        <v>3020802</v>
      </c>
    </row>
    <row r="11122" spans="1:11" x14ac:dyDescent="0.25">
      <c r="A11122" t="s">
        <v>326</v>
      </c>
      <c r="B11122" t="s">
        <v>613</v>
      </c>
      <c r="C11122" t="s">
        <v>876</v>
      </c>
      <c r="D11122" t="s">
        <v>11</v>
      </c>
      <c r="E11122">
        <v>30</v>
      </c>
      <c r="F11122" s="2">
        <f>DATE(2026,IF(Tabla1[[#This Row],[Mes de Fecha]]="Septiembre",9,10),Tabla1[[#This Row],[Día de Fecha]])</f>
        <v>46295</v>
      </c>
      <c r="G11122">
        <v>1110570386</v>
      </c>
      <c r="H11122" t="s">
        <v>615</v>
      </c>
      <c r="I11122">
        <v>31</v>
      </c>
      <c r="J11122">
        <v>0</v>
      </c>
      <c r="K11122" s="1">
        <v>1590759</v>
      </c>
    </row>
    <row r="11123" spans="1:11" x14ac:dyDescent="0.25">
      <c r="A11123" t="s">
        <v>326</v>
      </c>
      <c r="B11123" t="s">
        <v>613</v>
      </c>
      <c r="C11123" t="s">
        <v>876</v>
      </c>
      <c r="D11123" t="s">
        <v>14</v>
      </c>
      <c r="E11123">
        <v>1</v>
      </c>
      <c r="F11123" s="2">
        <f>DATE(2026,IF(Tabla1[[#This Row],[Mes de Fecha]]="Septiembre",9,10),Tabla1[[#This Row],[Día de Fecha]])</f>
        <v>46296</v>
      </c>
      <c r="I11123">
        <v>0</v>
      </c>
      <c r="J11123" s="1">
        <v>10606780</v>
      </c>
      <c r="K11123">
        <v>0</v>
      </c>
    </row>
    <row r="11124" spans="1:11" x14ac:dyDescent="0.25">
      <c r="A11124" t="s">
        <v>326</v>
      </c>
      <c r="B11124" t="s">
        <v>613</v>
      </c>
      <c r="C11124" t="s">
        <v>876</v>
      </c>
      <c r="D11124" t="s">
        <v>14</v>
      </c>
      <c r="E11124">
        <v>1</v>
      </c>
      <c r="F11124" s="2">
        <f>DATE(2026,IF(Tabla1[[#This Row],[Mes de Fecha]]="Septiembre",9,10),Tabla1[[#This Row],[Día de Fecha]])</f>
        <v>46296</v>
      </c>
      <c r="G11124">
        <v>1005692463</v>
      </c>
      <c r="H11124" t="s">
        <v>620</v>
      </c>
      <c r="I11124">
        <v>24</v>
      </c>
      <c r="J11124">
        <v>0</v>
      </c>
      <c r="K11124" s="1">
        <v>1297185</v>
      </c>
    </row>
    <row r="11125" spans="1:11" x14ac:dyDescent="0.25">
      <c r="A11125" t="s">
        <v>326</v>
      </c>
      <c r="B11125" t="s">
        <v>613</v>
      </c>
      <c r="C11125" t="s">
        <v>876</v>
      </c>
      <c r="D11125" t="s">
        <v>14</v>
      </c>
      <c r="E11125">
        <v>1</v>
      </c>
      <c r="F11125" s="2">
        <f>DATE(2026,IF(Tabla1[[#This Row],[Mes de Fecha]]="Septiembre",9,10),Tabla1[[#This Row],[Día de Fecha]])</f>
        <v>46296</v>
      </c>
      <c r="G11125">
        <v>1006027144</v>
      </c>
      <c r="H11125" t="s">
        <v>618</v>
      </c>
      <c r="I11125">
        <v>33</v>
      </c>
      <c r="J11125">
        <v>0</v>
      </c>
      <c r="K11125" s="1">
        <v>1645590</v>
      </c>
    </row>
    <row r="11126" spans="1:11" x14ac:dyDescent="0.25">
      <c r="A11126" t="s">
        <v>326</v>
      </c>
      <c r="B11126" t="s">
        <v>613</v>
      </c>
      <c r="C11126" t="s">
        <v>876</v>
      </c>
      <c r="D11126" t="s">
        <v>14</v>
      </c>
      <c r="E11126">
        <v>1</v>
      </c>
      <c r="F11126" s="2">
        <f>DATE(2026,IF(Tabla1[[#This Row],[Mes de Fecha]]="Septiembre",9,10),Tabla1[[#This Row],[Día de Fecha]])</f>
        <v>46296</v>
      </c>
      <c r="G11126">
        <v>1007371954</v>
      </c>
      <c r="H11126" t="s">
        <v>475</v>
      </c>
      <c r="I11126">
        <v>26</v>
      </c>
      <c r="J11126">
        <v>0</v>
      </c>
      <c r="K11126" s="1">
        <v>1528197</v>
      </c>
    </row>
    <row r="11127" spans="1:11" x14ac:dyDescent="0.25">
      <c r="A11127" t="s">
        <v>326</v>
      </c>
      <c r="B11127" t="s">
        <v>613</v>
      </c>
      <c r="C11127" t="s">
        <v>876</v>
      </c>
      <c r="D11127" t="s">
        <v>14</v>
      </c>
      <c r="E11127">
        <v>1</v>
      </c>
      <c r="F11127" s="2">
        <f>DATE(2026,IF(Tabla1[[#This Row],[Mes de Fecha]]="Septiembre",9,10),Tabla1[[#This Row],[Día de Fecha]])</f>
        <v>46296</v>
      </c>
      <c r="G11127">
        <v>1107977576</v>
      </c>
      <c r="H11127" t="s">
        <v>619</v>
      </c>
      <c r="I11127">
        <v>48</v>
      </c>
      <c r="J11127">
        <v>0</v>
      </c>
      <c r="K11127" s="1">
        <v>2319244</v>
      </c>
    </row>
    <row r="11128" spans="1:11" x14ac:dyDescent="0.25">
      <c r="A11128" t="s">
        <v>326</v>
      </c>
      <c r="B11128" t="s">
        <v>613</v>
      </c>
      <c r="C11128" t="s">
        <v>876</v>
      </c>
      <c r="D11128" t="s">
        <v>14</v>
      </c>
      <c r="E11128">
        <v>1</v>
      </c>
      <c r="F11128" s="2">
        <f>DATE(2026,IF(Tabla1[[#This Row],[Mes de Fecha]]="Septiembre",9,10),Tabla1[[#This Row],[Día de Fecha]])</f>
        <v>46296</v>
      </c>
      <c r="G11128">
        <v>1110485736</v>
      </c>
      <c r="H11128" t="s">
        <v>614</v>
      </c>
      <c r="I11128">
        <v>64</v>
      </c>
      <c r="J11128">
        <v>0</v>
      </c>
      <c r="K11128" s="1">
        <v>3337525</v>
      </c>
    </row>
    <row r="11129" spans="1:11" x14ac:dyDescent="0.25">
      <c r="A11129" t="s">
        <v>326</v>
      </c>
      <c r="B11129" t="s">
        <v>613</v>
      </c>
      <c r="C11129" t="s">
        <v>876</v>
      </c>
      <c r="D11129" t="s">
        <v>14</v>
      </c>
      <c r="E11129">
        <v>1</v>
      </c>
      <c r="F11129" s="2">
        <f>DATE(2026,IF(Tabla1[[#This Row],[Mes de Fecha]]="Septiembre",9,10),Tabla1[[#This Row],[Día de Fecha]])</f>
        <v>46296</v>
      </c>
      <c r="G11129">
        <v>1110570386</v>
      </c>
      <c r="H11129" t="s">
        <v>615</v>
      </c>
      <c r="I11129">
        <v>31</v>
      </c>
      <c r="J11129">
        <v>0</v>
      </c>
      <c r="K11129" s="1">
        <v>1523744</v>
      </c>
    </row>
    <row r="11130" spans="1:11" x14ac:dyDescent="0.25">
      <c r="A11130" t="s">
        <v>326</v>
      </c>
      <c r="B11130" t="s">
        <v>613</v>
      </c>
      <c r="C11130" t="s">
        <v>876</v>
      </c>
      <c r="D11130" t="s">
        <v>14</v>
      </c>
      <c r="E11130">
        <v>2</v>
      </c>
      <c r="F11130" s="2">
        <f>DATE(2026,IF(Tabla1[[#This Row],[Mes de Fecha]]="Septiembre",9,10),Tabla1[[#This Row],[Día de Fecha]])</f>
        <v>46297</v>
      </c>
      <c r="I11130">
        <v>0</v>
      </c>
      <c r="J11130" s="1">
        <v>10436112</v>
      </c>
      <c r="K11130">
        <v>0</v>
      </c>
    </row>
    <row r="11131" spans="1:11" x14ac:dyDescent="0.25">
      <c r="A11131" t="s">
        <v>326</v>
      </c>
      <c r="B11131" t="s">
        <v>613</v>
      </c>
      <c r="C11131" t="s">
        <v>876</v>
      </c>
      <c r="D11131" t="s">
        <v>14</v>
      </c>
      <c r="E11131">
        <v>2</v>
      </c>
      <c r="F11131" s="2">
        <f>DATE(2026,IF(Tabla1[[#This Row],[Mes de Fecha]]="Septiembre",9,10),Tabla1[[#This Row],[Día de Fecha]])</f>
        <v>46297</v>
      </c>
      <c r="G11131">
        <v>1005692463</v>
      </c>
      <c r="H11131" t="s">
        <v>620</v>
      </c>
      <c r="I11131">
        <v>22</v>
      </c>
      <c r="J11131">
        <v>0</v>
      </c>
      <c r="K11131" s="1">
        <v>1236470</v>
      </c>
    </row>
    <row r="11132" spans="1:11" x14ac:dyDescent="0.25">
      <c r="A11132" t="s">
        <v>326</v>
      </c>
      <c r="B11132" t="s">
        <v>613</v>
      </c>
      <c r="C11132" t="s">
        <v>876</v>
      </c>
      <c r="D11132" t="s">
        <v>14</v>
      </c>
      <c r="E11132">
        <v>2</v>
      </c>
      <c r="F11132" s="2">
        <f>DATE(2026,IF(Tabla1[[#This Row],[Mes de Fecha]]="Septiembre",9,10),Tabla1[[#This Row],[Día de Fecha]])</f>
        <v>46297</v>
      </c>
      <c r="G11132">
        <v>1006027144</v>
      </c>
      <c r="H11132" t="s">
        <v>618</v>
      </c>
      <c r="I11132">
        <v>22</v>
      </c>
      <c r="J11132">
        <v>0</v>
      </c>
      <c r="K11132" s="1">
        <v>965381</v>
      </c>
    </row>
    <row r="11133" spans="1:11" x14ac:dyDescent="0.25">
      <c r="A11133" t="s">
        <v>326</v>
      </c>
      <c r="B11133" t="s">
        <v>613</v>
      </c>
      <c r="C11133" t="s">
        <v>876</v>
      </c>
      <c r="D11133" t="s">
        <v>14</v>
      </c>
      <c r="E11133">
        <v>2</v>
      </c>
      <c r="F11133" s="2">
        <f>DATE(2026,IF(Tabla1[[#This Row],[Mes de Fecha]]="Septiembre",9,10),Tabla1[[#This Row],[Día de Fecha]])</f>
        <v>46297</v>
      </c>
      <c r="G11133">
        <v>1007371954</v>
      </c>
      <c r="H11133" t="s">
        <v>475</v>
      </c>
      <c r="I11133">
        <v>19</v>
      </c>
      <c r="J11133">
        <v>0</v>
      </c>
      <c r="K11133" s="1">
        <v>1120840</v>
      </c>
    </row>
    <row r="11134" spans="1:11" x14ac:dyDescent="0.25">
      <c r="A11134" t="s">
        <v>326</v>
      </c>
      <c r="B11134" t="s">
        <v>613</v>
      </c>
      <c r="C11134" t="s">
        <v>876</v>
      </c>
      <c r="D11134" t="s">
        <v>14</v>
      </c>
      <c r="E11134">
        <v>2</v>
      </c>
      <c r="F11134" s="2">
        <f>DATE(2026,IF(Tabla1[[#This Row],[Mes de Fecha]]="Septiembre",9,10),Tabla1[[#This Row],[Día de Fecha]])</f>
        <v>46297</v>
      </c>
      <c r="G11134">
        <v>1007463963</v>
      </c>
      <c r="H11134" t="s">
        <v>621</v>
      </c>
      <c r="I11134">
        <v>-1</v>
      </c>
      <c r="J11134">
        <v>0</v>
      </c>
      <c r="K11134" s="1">
        <v>-29370</v>
      </c>
    </row>
    <row r="11135" spans="1:11" x14ac:dyDescent="0.25">
      <c r="A11135" t="s">
        <v>326</v>
      </c>
      <c r="B11135" t="s">
        <v>613</v>
      </c>
      <c r="C11135" t="s">
        <v>876</v>
      </c>
      <c r="D11135" t="s">
        <v>14</v>
      </c>
      <c r="E11135">
        <v>2</v>
      </c>
      <c r="F11135" s="2">
        <f>DATE(2026,IF(Tabla1[[#This Row],[Mes de Fecha]]="Septiembre",9,10),Tabla1[[#This Row],[Día de Fecha]])</f>
        <v>46297</v>
      </c>
      <c r="G11135">
        <v>1107977576</v>
      </c>
      <c r="H11135" t="s">
        <v>619</v>
      </c>
      <c r="I11135">
        <v>21</v>
      </c>
      <c r="J11135">
        <v>0</v>
      </c>
      <c r="K11135" s="1">
        <v>1129243</v>
      </c>
    </row>
    <row r="11136" spans="1:11" x14ac:dyDescent="0.25">
      <c r="A11136" t="s">
        <v>326</v>
      </c>
      <c r="B11136" t="s">
        <v>613</v>
      </c>
      <c r="C11136" t="s">
        <v>876</v>
      </c>
      <c r="D11136" t="s">
        <v>14</v>
      </c>
      <c r="E11136">
        <v>2</v>
      </c>
      <c r="F11136" s="2">
        <f>DATE(2026,IF(Tabla1[[#This Row],[Mes de Fecha]]="Septiembre",9,10),Tabla1[[#This Row],[Día de Fecha]])</f>
        <v>46297</v>
      </c>
      <c r="G11136">
        <v>1110485736</v>
      </c>
      <c r="H11136" t="s">
        <v>614</v>
      </c>
      <c r="I11136">
        <v>46</v>
      </c>
      <c r="J11136">
        <v>0</v>
      </c>
      <c r="K11136" s="1">
        <v>2390717</v>
      </c>
    </row>
    <row r="11137" spans="1:11" x14ac:dyDescent="0.25">
      <c r="A11137" t="s">
        <v>326</v>
      </c>
      <c r="B11137" t="s">
        <v>613</v>
      </c>
      <c r="C11137" t="s">
        <v>876</v>
      </c>
      <c r="D11137" t="s">
        <v>14</v>
      </c>
      <c r="E11137">
        <v>2</v>
      </c>
      <c r="F11137" s="2">
        <f>DATE(2026,IF(Tabla1[[#This Row],[Mes de Fecha]]="Septiembre",9,10),Tabla1[[#This Row],[Día de Fecha]])</f>
        <v>46297</v>
      </c>
      <c r="G11137">
        <v>1110570386</v>
      </c>
      <c r="H11137" t="s">
        <v>615</v>
      </c>
      <c r="I11137">
        <v>34</v>
      </c>
      <c r="J11137">
        <v>0</v>
      </c>
      <c r="K11137" s="1">
        <v>1460590</v>
      </c>
    </row>
    <row r="11138" spans="1:11" x14ac:dyDescent="0.25">
      <c r="A11138" t="s">
        <v>326</v>
      </c>
      <c r="B11138" t="s">
        <v>613</v>
      </c>
      <c r="C11138" t="s">
        <v>876</v>
      </c>
      <c r="D11138" t="s">
        <v>14</v>
      </c>
      <c r="E11138">
        <v>3</v>
      </c>
      <c r="F11138" s="2">
        <f>DATE(2026,IF(Tabla1[[#This Row],[Mes de Fecha]]="Septiembre",9,10),Tabla1[[#This Row],[Día de Fecha]])</f>
        <v>46298</v>
      </c>
      <c r="I11138">
        <v>0</v>
      </c>
      <c r="J11138" s="1">
        <v>22186512</v>
      </c>
      <c r="K11138">
        <v>0</v>
      </c>
    </row>
    <row r="11139" spans="1:11" x14ac:dyDescent="0.25">
      <c r="A11139" t="s">
        <v>326</v>
      </c>
      <c r="B11139" t="s">
        <v>613</v>
      </c>
      <c r="C11139" t="s">
        <v>876</v>
      </c>
      <c r="D11139" t="s">
        <v>14</v>
      </c>
      <c r="E11139">
        <v>3</v>
      </c>
      <c r="F11139" s="2">
        <f>DATE(2026,IF(Tabla1[[#This Row],[Mes de Fecha]]="Septiembre",9,10),Tabla1[[#This Row],[Día de Fecha]])</f>
        <v>46298</v>
      </c>
      <c r="G11139">
        <v>1005692463</v>
      </c>
      <c r="H11139" t="s">
        <v>620</v>
      </c>
      <c r="I11139">
        <v>40</v>
      </c>
      <c r="J11139">
        <v>0</v>
      </c>
      <c r="K11139" s="1">
        <v>2289471</v>
      </c>
    </row>
    <row r="11140" spans="1:11" x14ac:dyDescent="0.25">
      <c r="A11140" t="s">
        <v>326</v>
      </c>
      <c r="B11140" t="s">
        <v>613</v>
      </c>
      <c r="C11140" t="s">
        <v>876</v>
      </c>
      <c r="D11140" t="s">
        <v>14</v>
      </c>
      <c r="E11140">
        <v>3</v>
      </c>
      <c r="F11140" s="2">
        <f>DATE(2026,IF(Tabla1[[#This Row],[Mes de Fecha]]="Septiembre",9,10),Tabla1[[#This Row],[Día de Fecha]])</f>
        <v>46298</v>
      </c>
      <c r="G11140">
        <v>1006027144</v>
      </c>
      <c r="H11140" t="s">
        <v>618</v>
      </c>
      <c r="I11140">
        <v>65</v>
      </c>
      <c r="J11140">
        <v>0</v>
      </c>
      <c r="K11140" s="1">
        <v>3024744</v>
      </c>
    </row>
    <row r="11141" spans="1:11" x14ac:dyDescent="0.25">
      <c r="A11141" t="s">
        <v>326</v>
      </c>
      <c r="B11141" t="s">
        <v>613</v>
      </c>
      <c r="C11141" t="s">
        <v>876</v>
      </c>
      <c r="D11141" t="s">
        <v>14</v>
      </c>
      <c r="E11141">
        <v>3</v>
      </c>
      <c r="F11141" s="2">
        <f>DATE(2026,IF(Tabla1[[#This Row],[Mes de Fecha]]="Septiembre",9,10),Tabla1[[#This Row],[Día de Fecha]])</f>
        <v>46298</v>
      </c>
      <c r="G11141">
        <v>1107977576</v>
      </c>
      <c r="H11141" t="s">
        <v>619</v>
      </c>
      <c r="I11141">
        <v>64</v>
      </c>
      <c r="J11141">
        <v>0</v>
      </c>
      <c r="K11141" s="1">
        <v>3074649</v>
      </c>
    </row>
    <row r="11142" spans="1:11" x14ac:dyDescent="0.25">
      <c r="A11142" t="s">
        <v>326</v>
      </c>
      <c r="B11142" t="s">
        <v>613</v>
      </c>
      <c r="C11142" t="s">
        <v>876</v>
      </c>
      <c r="D11142" t="s">
        <v>14</v>
      </c>
      <c r="E11142">
        <v>3</v>
      </c>
      <c r="F11142" s="2">
        <f>DATE(2026,IF(Tabla1[[#This Row],[Mes de Fecha]]="Septiembre",9,10),Tabla1[[#This Row],[Día de Fecha]])</f>
        <v>46298</v>
      </c>
      <c r="G11142">
        <v>1110485736</v>
      </c>
      <c r="H11142" t="s">
        <v>614</v>
      </c>
      <c r="I11142">
        <v>141</v>
      </c>
      <c r="J11142">
        <v>0</v>
      </c>
      <c r="K11142" s="1">
        <v>6793433</v>
      </c>
    </row>
    <row r="11143" spans="1:11" x14ac:dyDescent="0.25">
      <c r="A11143" t="s">
        <v>326</v>
      </c>
      <c r="B11143" t="s">
        <v>613</v>
      </c>
      <c r="C11143" t="s">
        <v>876</v>
      </c>
      <c r="D11143" t="s">
        <v>14</v>
      </c>
      <c r="E11143">
        <v>3</v>
      </c>
      <c r="F11143" s="2">
        <f>DATE(2026,IF(Tabla1[[#This Row],[Mes de Fecha]]="Septiembre",9,10),Tabla1[[#This Row],[Día de Fecha]])</f>
        <v>46298</v>
      </c>
      <c r="G11143">
        <v>1110506146</v>
      </c>
      <c r="H11143" t="s">
        <v>617</v>
      </c>
      <c r="I11143">
        <v>-1</v>
      </c>
      <c r="J11143">
        <v>0</v>
      </c>
      <c r="K11143" s="1">
        <v>-83949</v>
      </c>
    </row>
    <row r="11144" spans="1:11" x14ac:dyDescent="0.25">
      <c r="A11144" t="s">
        <v>326</v>
      </c>
      <c r="B11144" t="s">
        <v>613</v>
      </c>
      <c r="C11144" t="s">
        <v>876</v>
      </c>
      <c r="D11144" t="s">
        <v>14</v>
      </c>
      <c r="E11144">
        <v>3</v>
      </c>
      <c r="F11144" s="2">
        <f>DATE(2026,IF(Tabla1[[#This Row],[Mes de Fecha]]="Septiembre",9,10),Tabla1[[#This Row],[Día de Fecha]])</f>
        <v>46298</v>
      </c>
      <c r="G11144">
        <v>1110570386</v>
      </c>
      <c r="H11144" t="s">
        <v>615</v>
      </c>
      <c r="I11144">
        <v>128</v>
      </c>
      <c r="J11144">
        <v>0</v>
      </c>
      <c r="K11144" s="1">
        <v>6155692</v>
      </c>
    </row>
    <row r="11145" spans="1:11" x14ac:dyDescent="0.25">
      <c r="A11145" t="s">
        <v>326</v>
      </c>
      <c r="B11145" t="s">
        <v>613</v>
      </c>
      <c r="C11145" t="s">
        <v>876</v>
      </c>
      <c r="D11145" t="s">
        <v>14</v>
      </c>
      <c r="E11145">
        <v>4</v>
      </c>
      <c r="F11145" s="2">
        <f>DATE(2026,IF(Tabla1[[#This Row],[Mes de Fecha]]="Septiembre",9,10),Tabla1[[#This Row],[Día de Fecha]])</f>
        <v>46299</v>
      </c>
      <c r="I11145">
        <v>0</v>
      </c>
      <c r="J11145" s="1">
        <v>4613468</v>
      </c>
      <c r="K11145">
        <v>0</v>
      </c>
    </row>
    <row r="11146" spans="1:11" x14ac:dyDescent="0.25">
      <c r="A11146" t="s">
        <v>326</v>
      </c>
      <c r="B11146" t="s">
        <v>613</v>
      </c>
      <c r="C11146" t="s">
        <v>876</v>
      </c>
      <c r="D11146" t="s">
        <v>14</v>
      </c>
      <c r="E11146">
        <v>4</v>
      </c>
      <c r="F11146" s="2">
        <f>DATE(2026,IF(Tabla1[[#This Row],[Mes de Fecha]]="Septiembre",9,10),Tabla1[[#This Row],[Día de Fecha]])</f>
        <v>46299</v>
      </c>
      <c r="G11146">
        <v>1005692463</v>
      </c>
      <c r="H11146" t="s">
        <v>620</v>
      </c>
      <c r="I11146">
        <v>3</v>
      </c>
      <c r="J11146">
        <v>0</v>
      </c>
      <c r="K11146" s="1">
        <v>222563</v>
      </c>
    </row>
    <row r="11147" spans="1:11" x14ac:dyDescent="0.25">
      <c r="A11147" t="s">
        <v>326</v>
      </c>
      <c r="B11147" t="s">
        <v>613</v>
      </c>
      <c r="C11147" t="s">
        <v>876</v>
      </c>
      <c r="D11147" t="s">
        <v>14</v>
      </c>
      <c r="E11147">
        <v>4</v>
      </c>
      <c r="F11147" s="2">
        <f>DATE(2026,IF(Tabla1[[#This Row],[Mes de Fecha]]="Septiembre",9,10),Tabla1[[#This Row],[Día de Fecha]])</f>
        <v>46299</v>
      </c>
      <c r="G11147">
        <v>1006027144</v>
      </c>
      <c r="H11147" t="s">
        <v>618</v>
      </c>
      <c r="I11147">
        <v>23</v>
      </c>
      <c r="J11147">
        <v>0</v>
      </c>
      <c r="K11147" s="1">
        <v>1335044</v>
      </c>
    </row>
    <row r="11148" spans="1:11" x14ac:dyDescent="0.25">
      <c r="A11148" t="s">
        <v>326</v>
      </c>
      <c r="B11148" t="s">
        <v>613</v>
      </c>
      <c r="C11148" t="s">
        <v>876</v>
      </c>
      <c r="D11148" t="s">
        <v>14</v>
      </c>
      <c r="E11148">
        <v>4</v>
      </c>
      <c r="F11148" s="2">
        <f>DATE(2026,IF(Tabla1[[#This Row],[Mes de Fecha]]="Septiembre",9,10),Tabla1[[#This Row],[Día de Fecha]])</f>
        <v>46299</v>
      </c>
      <c r="G11148">
        <v>1107977576</v>
      </c>
      <c r="H11148" t="s">
        <v>619</v>
      </c>
      <c r="I11148">
        <v>18</v>
      </c>
      <c r="J11148">
        <v>0</v>
      </c>
      <c r="K11148" s="1">
        <v>847772</v>
      </c>
    </row>
    <row r="11149" spans="1:11" x14ac:dyDescent="0.25">
      <c r="A11149" t="s">
        <v>326</v>
      </c>
      <c r="B11149" t="s">
        <v>613</v>
      </c>
      <c r="C11149" t="s">
        <v>876</v>
      </c>
      <c r="D11149" t="s">
        <v>14</v>
      </c>
      <c r="E11149">
        <v>4</v>
      </c>
      <c r="F11149" s="2">
        <f>DATE(2026,IF(Tabla1[[#This Row],[Mes de Fecha]]="Septiembre",9,10),Tabla1[[#This Row],[Día de Fecha]])</f>
        <v>46299</v>
      </c>
      <c r="G11149">
        <v>1110485736</v>
      </c>
      <c r="H11149" t="s">
        <v>614</v>
      </c>
      <c r="I11149">
        <v>53</v>
      </c>
      <c r="J11149">
        <v>0</v>
      </c>
      <c r="K11149" s="1">
        <v>2879415</v>
      </c>
    </row>
    <row r="11150" spans="1:11" x14ac:dyDescent="0.25">
      <c r="A11150" t="s">
        <v>326</v>
      </c>
      <c r="B11150" t="s">
        <v>613</v>
      </c>
      <c r="C11150" t="s">
        <v>876</v>
      </c>
      <c r="D11150" t="s">
        <v>14</v>
      </c>
      <c r="E11150">
        <v>4</v>
      </c>
      <c r="F11150" s="2">
        <f>DATE(2026,IF(Tabla1[[#This Row],[Mes de Fecha]]="Septiembre",9,10),Tabla1[[#This Row],[Día de Fecha]])</f>
        <v>46299</v>
      </c>
      <c r="G11150">
        <v>1110570386</v>
      </c>
      <c r="H11150" t="s">
        <v>615</v>
      </c>
      <c r="I11150">
        <v>24</v>
      </c>
      <c r="J11150">
        <v>0</v>
      </c>
      <c r="K11150" s="1">
        <v>1259412</v>
      </c>
    </row>
    <row r="11151" spans="1:11" x14ac:dyDescent="0.25">
      <c r="A11151" t="s">
        <v>326</v>
      </c>
      <c r="B11151" t="s">
        <v>613</v>
      </c>
      <c r="C11151" t="s">
        <v>876</v>
      </c>
      <c r="D11151" t="s">
        <v>14</v>
      </c>
      <c r="E11151">
        <v>5</v>
      </c>
      <c r="F11151" s="2">
        <f>DATE(2026,IF(Tabla1[[#This Row],[Mes de Fecha]]="Septiembre",9,10),Tabla1[[#This Row],[Día de Fecha]])</f>
        <v>46300</v>
      </c>
      <c r="I11151">
        <v>0</v>
      </c>
      <c r="J11151" s="1">
        <v>8168690</v>
      </c>
      <c r="K11151">
        <v>0</v>
      </c>
    </row>
    <row r="11152" spans="1:11" x14ac:dyDescent="0.25">
      <c r="A11152" t="s">
        <v>326</v>
      </c>
      <c r="B11152" t="s">
        <v>613</v>
      </c>
      <c r="C11152" t="s">
        <v>876</v>
      </c>
      <c r="D11152" t="s">
        <v>14</v>
      </c>
      <c r="E11152">
        <v>5</v>
      </c>
      <c r="F11152" s="2">
        <f>DATE(2026,IF(Tabla1[[#This Row],[Mes de Fecha]]="Septiembre",9,10),Tabla1[[#This Row],[Día de Fecha]])</f>
        <v>46300</v>
      </c>
      <c r="G11152">
        <v>1005692463</v>
      </c>
      <c r="H11152" t="s">
        <v>620</v>
      </c>
      <c r="I11152">
        <v>34</v>
      </c>
      <c r="J11152">
        <v>0</v>
      </c>
      <c r="K11152" s="1">
        <v>1403867</v>
      </c>
    </row>
    <row r="11153" spans="1:11" x14ac:dyDescent="0.25">
      <c r="A11153" t="s">
        <v>326</v>
      </c>
      <c r="B11153" t="s">
        <v>613</v>
      </c>
      <c r="C11153" t="s">
        <v>876</v>
      </c>
      <c r="D11153" t="s">
        <v>14</v>
      </c>
      <c r="E11153">
        <v>5</v>
      </c>
      <c r="F11153" s="2">
        <f>DATE(2026,IF(Tabla1[[#This Row],[Mes de Fecha]]="Septiembre",9,10),Tabla1[[#This Row],[Día de Fecha]])</f>
        <v>46300</v>
      </c>
      <c r="G11153">
        <v>1006027144</v>
      </c>
      <c r="H11153" t="s">
        <v>618</v>
      </c>
      <c r="I11153">
        <v>34</v>
      </c>
      <c r="J11153">
        <v>0</v>
      </c>
      <c r="K11153" s="1">
        <v>1660128</v>
      </c>
    </row>
    <row r="11154" spans="1:11" x14ac:dyDescent="0.25">
      <c r="A11154" t="s">
        <v>326</v>
      </c>
      <c r="B11154" t="s">
        <v>613</v>
      </c>
      <c r="C11154" t="s">
        <v>876</v>
      </c>
      <c r="D11154" t="s">
        <v>14</v>
      </c>
      <c r="E11154">
        <v>5</v>
      </c>
      <c r="F11154" s="2">
        <f>DATE(2026,IF(Tabla1[[#This Row],[Mes de Fecha]]="Septiembre",9,10),Tabla1[[#This Row],[Día de Fecha]])</f>
        <v>46300</v>
      </c>
      <c r="G11154">
        <v>1107977576</v>
      </c>
      <c r="H11154" t="s">
        <v>619</v>
      </c>
      <c r="I11154">
        <v>26</v>
      </c>
      <c r="J11154">
        <v>0</v>
      </c>
      <c r="K11154" s="1">
        <v>1452437</v>
      </c>
    </row>
    <row r="11155" spans="1:11" x14ac:dyDescent="0.25">
      <c r="A11155" t="s">
        <v>326</v>
      </c>
      <c r="B11155" t="s">
        <v>613</v>
      </c>
      <c r="C11155" t="s">
        <v>876</v>
      </c>
      <c r="D11155" t="s">
        <v>14</v>
      </c>
      <c r="E11155">
        <v>5</v>
      </c>
      <c r="F11155" s="2">
        <f>DATE(2026,IF(Tabla1[[#This Row],[Mes de Fecha]]="Septiembre",9,10),Tabla1[[#This Row],[Día de Fecha]])</f>
        <v>46300</v>
      </c>
      <c r="G11155">
        <v>1110485736</v>
      </c>
      <c r="H11155" t="s">
        <v>614</v>
      </c>
      <c r="I11155">
        <v>67</v>
      </c>
      <c r="J11155">
        <v>0</v>
      </c>
      <c r="K11155" s="1">
        <v>3410593</v>
      </c>
    </row>
    <row r="11156" spans="1:11" x14ac:dyDescent="0.25">
      <c r="A11156" t="s">
        <v>326</v>
      </c>
      <c r="B11156" t="s">
        <v>613</v>
      </c>
      <c r="C11156" t="s">
        <v>876</v>
      </c>
      <c r="D11156" t="s">
        <v>14</v>
      </c>
      <c r="E11156">
        <v>5</v>
      </c>
      <c r="F11156" s="2">
        <f>DATE(2026,IF(Tabla1[[#This Row],[Mes de Fecha]]="Septiembre",9,10),Tabla1[[#This Row],[Día de Fecha]])</f>
        <v>46300</v>
      </c>
      <c r="G11156">
        <v>1110570386</v>
      </c>
      <c r="H11156" t="s">
        <v>615</v>
      </c>
      <c r="I11156">
        <v>50</v>
      </c>
      <c r="J11156">
        <v>0</v>
      </c>
      <c r="K11156" s="1">
        <v>2592270</v>
      </c>
    </row>
    <row r="11157" spans="1:11" x14ac:dyDescent="0.25">
      <c r="A11157" t="s">
        <v>326</v>
      </c>
      <c r="B11157" t="s">
        <v>613</v>
      </c>
      <c r="C11157" t="s">
        <v>876</v>
      </c>
      <c r="D11157" t="s">
        <v>14</v>
      </c>
      <c r="E11157">
        <v>6</v>
      </c>
      <c r="F11157" s="2">
        <f>DATE(2026,IF(Tabla1[[#This Row],[Mes de Fecha]]="Septiembre",9,10),Tabla1[[#This Row],[Día de Fecha]])</f>
        <v>46301</v>
      </c>
      <c r="I11157">
        <v>0</v>
      </c>
      <c r="J11157" s="1">
        <v>4750498</v>
      </c>
      <c r="K11157">
        <v>0</v>
      </c>
    </row>
    <row r="11158" spans="1:11" x14ac:dyDescent="0.25">
      <c r="A11158" t="s">
        <v>326</v>
      </c>
      <c r="B11158" t="s">
        <v>613</v>
      </c>
      <c r="C11158" t="s">
        <v>876</v>
      </c>
      <c r="D11158" t="s">
        <v>14</v>
      </c>
      <c r="E11158">
        <v>6</v>
      </c>
      <c r="F11158" s="2">
        <f>DATE(2026,IF(Tabla1[[#This Row],[Mes de Fecha]]="Septiembre",9,10),Tabla1[[#This Row],[Día de Fecha]])</f>
        <v>46301</v>
      </c>
      <c r="G11158">
        <v>1005692463</v>
      </c>
      <c r="H11158" t="s">
        <v>620</v>
      </c>
      <c r="I11158">
        <v>17</v>
      </c>
      <c r="J11158">
        <v>0</v>
      </c>
      <c r="K11158" s="1">
        <v>1022271</v>
      </c>
    </row>
    <row r="11159" spans="1:11" x14ac:dyDescent="0.25">
      <c r="A11159" t="s">
        <v>326</v>
      </c>
      <c r="B11159" t="s">
        <v>613</v>
      </c>
      <c r="C11159" t="s">
        <v>876</v>
      </c>
      <c r="D11159" t="s">
        <v>14</v>
      </c>
      <c r="E11159">
        <v>6</v>
      </c>
      <c r="F11159" s="2">
        <f>DATE(2026,IF(Tabla1[[#This Row],[Mes de Fecha]]="Septiembre",9,10),Tabla1[[#This Row],[Día de Fecha]])</f>
        <v>46301</v>
      </c>
      <c r="G11159">
        <v>1005716262</v>
      </c>
      <c r="H11159" t="s">
        <v>517</v>
      </c>
      <c r="I11159">
        <v>-1</v>
      </c>
      <c r="J11159">
        <v>0</v>
      </c>
      <c r="K11159" s="1">
        <v>-50378</v>
      </c>
    </row>
    <row r="11160" spans="1:11" x14ac:dyDescent="0.25">
      <c r="A11160" t="s">
        <v>326</v>
      </c>
      <c r="B11160" t="s">
        <v>613</v>
      </c>
      <c r="C11160" t="s">
        <v>876</v>
      </c>
      <c r="D11160" t="s">
        <v>14</v>
      </c>
      <c r="E11160">
        <v>6</v>
      </c>
      <c r="F11160" s="2">
        <f>DATE(2026,IF(Tabla1[[#This Row],[Mes de Fecha]]="Septiembre",9,10),Tabla1[[#This Row],[Día de Fecha]])</f>
        <v>46301</v>
      </c>
      <c r="G11160">
        <v>1006027144</v>
      </c>
      <c r="H11160" t="s">
        <v>618</v>
      </c>
      <c r="I11160">
        <v>14</v>
      </c>
      <c r="J11160">
        <v>0</v>
      </c>
      <c r="K11160" s="1">
        <v>789200</v>
      </c>
    </row>
    <row r="11161" spans="1:11" x14ac:dyDescent="0.25">
      <c r="A11161" t="s">
        <v>326</v>
      </c>
      <c r="B11161" t="s">
        <v>613</v>
      </c>
      <c r="C11161" t="s">
        <v>876</v>
      </c>
      <c r="D11161" t="s">
        <v>14</v>
      </c>
      <c r="E11161">
        <v>6</v>
      </c>
      <c r="F11161" s="2">
        <f>DATE(2026,IF(Tabla1[[#This Row],[Mes de Fecha]]="Septiembre",9,10),Tabla1[[#This Row],[Día de Fecha]])</f>
        <v>46301</v>
      </c>
      <c r="G11161">
        <v>1107977576</v>
      </c>
      <c r="H11161" t="s">
        <v>619</v>
      </c>
      <c r="I11161">
        <v>15</v>
      </c>
      <c r="J11161">
        <v>0</v>
      </c>
      <c r="K11161" s="1">
        <v>749245</v>
      </c>
    </row>
    <row r="11162" spans="1:11" x14ac:dyDescent="0.25">
      <c r="A11162" t="s">
        <v>326</v>
      </c>
      <c r="B11162" t="s">
        <v>613</v>
      </c>
      <c r="C11162" t="s">
        <v>876</v>
      </c>
      <c r="D11162" t="s">
        <v>14</v>
      </c>
      <c r="E11162">
        <v>6</v>
      </c>
      <c r="F11162" s="2">
        <f>DATE(2026,IF(Tabla1[[#This Row],[Mes de Fecha]]="Septiembre",9,10),Tabla1[[#This Row],[Día de Fecha]])</f>
        <v>46301</v>
      </c>
      <c r="G11162">
        <v>1110485736</v>
      </c>
      <c r="H11162" t="s">
        <v>614</v>
      </c>
      <c r="I11162">
        <v>18</v>
      </c>
      <c r="J11162">
        <v>0</v>
      </c>
      <c r="K11162" s="1">
        <v>906681</v>
      </c>
    </row>
    <row r="11163" spans="1:11" x14ac:dyDescent="0.25">
      <c r="A11163" t="s">
        <v>326</v>
      </c>
      <c r="B11163" t="s">
        <v>613</v>
      </c>
      <c r="C11163" t="s">
        <v>876</v>
      </c>
      <c r="D11163" t="s">
        <v>14</v>
      </c>
      <c r="E11163">
        <v>6</v>
      </c>
      <c r="F11163" s="2">
        <f>DATE(2026,IF(Tabla1[[#This Row],[Mes de Fecha]]="Septiembre",9,10),Tabla1[[#This Row],[Día de Fecha]])</f>
        <v>46301</v>
      </c>
      <c r="G11163">
        <v>1110570386</v>
      </c>
      <c r="H11163" t="s">
        <v>615</v>
      </c>
      <c r="I11163">
        <v>25</v>
      </c>
      <c r="J11163">
        <v>0</v>
      </c>
      <c r="K11163" s="1">
        <v>1137986</v>
      </c>
    </row>
    <row r="11164" spans="1:11" x14ac:dyDescent="0.25">
      <c r="A11164" t="s">
        <v>326</v>
      </c>
      <c r="B11164" t="s">
        <v>613</v>
      </c>
      <c r="C11164" t="s">
        <v>876</v>
      </c>
      <c r="D11164" t="s">
        <v>14</v>
      </c>
      <c r="E11164">
        <v>7</v>
      </c>
      <c r="F11164" s="2">
        <f>DATE(2026,IF(Tabla1[[#This Row],[Mes de Fecha]]="Septiembre",9,10),Tabla1[[#This Row],[Día de Fecha]])</f>
        <v>46302</v>
      </c>
      <c r="I11164">
        <v>0</v>
      </c>
      <c r="J11164" s="1">
        <v>4687992</v>
      </c>
      <c r="K11164">
        <v>0</v>
      </c>
    </row>
    <row r="11165" spans="1:11" x14ac:dyDescent="0.25">
      <c r="A11165" t="s">
        <v>326</v>
      </c>
      <c r="B11165" t="s">
        <v>613</v>
      </c>
      <c r="C11165" t="s">
        <v>876</v>
      </c>
      <c r="D11165" t="s">
        <v>14</v>
      </c>
      <c r="E11165">
        <v>7</v>
      </c>
      <c r="F11165" s="2">
        <f>DATE(2026,IF(Tabla1[[#This Row],[Mes de Fecha]]="Septiembre",9,10),Tabla1[[#This Row],[Día de Fecha]])</f>
        <v>46302</v>
      </c>
      <c r="G11165">
        <v>1005692463</v>
      </c>
      <c r="H11165" t="s">
        <v>620</v>
      </c>
      <c r="I11165">
        <v>14</v>
      </c>
      <c r="J11165">
        <v>0</v>
      </c>
      <c r="K11165" s="1">
        <v>490882</v>
      </c>
    </row>
    <row r="11166" spans="1:11" x14ac:dyDescent="0.25">
      <c r="A11166" t="s">
        <v>326</v>
      </c>
      <c r="B11166" t="s">
        <v>613</v>
      </c>
      <c r="C11166" t="s">
        <v>876</v>
      </c>
      <c r="D11166" t="s">
        <v>14</v>
      </c>
      <c r="E11166">
        <v>7</v>
      </c>
      <c r="F11166" s="2">
        <f>DATE(2026,IF(Tabla1[[#This Row],[Mes de Fecha]]="Septiembre",9,10),Tabla1[[#This Row],[Día de Fecha]])</f>
        <v>46302</v>
      </c>
      <c r="G11166">
        <v>1006027144</v>
      </c>
      <c r="H11166" t="s">
        <v>618</v>
      </c>
      <c r="I11166">
        <v>17</v>
      </c>
      <c r="J11166">
        <v>0</v>
      </c>
      <c r="K11166" s="1">
        <v>898277</v>
      </c>
    </row>
    <row r="11167" spans="1:11" x14ac:dyDescent="0.25">
      <c r="A11167" t="s">
        <v>326</v>
      </c>
      <c r="B11167" t="s">
        <v>613</v>
      </c>
      <c r="C11167" t="s">
        <v>876</v>
      </c>
      <c r="D11167" t="s">
        <v>14</v>
      </c>
      <c r="E11167">
        <v>7</v>
      </c>
      <c r="F11167" s="2">
        <f>DATE(2026,IF(Tabla1[[#This Row],[Mes de Fecha]]="Septiembre",9,10),Tabla1[[#This Row],[Día de Fecha]])</f>
        <v>46302</v>
      </c>
      <c r="G11167">
        <v>1007371954</v>
      </c>
      <c r="H11167" t="s">
        <v>475</v>
      </c>
      <c r="I11167">
        <v>15</v>
      </c>
      <c r="J11167">
        <v>0</v>
      </c>
      <c r="K11167" s="1">
        <v>709329</v>
      </c>
    </row>
    <row r="11168" spans="1:11" x14ac:dyDescent="0.25">
      <c r="A11168" t="s">
        <v>326</v>
      </c>
      <c r="B11168" t="s">
        <v>613</v>
      </c>
      <c r="C11168" t="s">
        <v>876</v>
      </c>
      <c r="D11168" t="s">
        <v>14</v>
      </c>
      <c r="E11168">
        <v>7</v>
      </c>
      <c r="F11168" s="2">
        <f>DATE(2026,IF(Tabla1[[#This Row],[Mes de Fecha]]="Septiembre",9,10),Tabla1[[#This Row],[Día de Fecha]])</f>
        <v>46302</v>
      </c>
      <c r="G11168">
        <v>1107977576</v>
      </c>
      <c r="H11168" t="s">
        <v>619</v>
      </c>
      <c r="I11168">
        <v>22</v>
      </c>
      <c r="J11168">
        <v>0</v>
      </c>
      <c r="K11168" s="1">
        <v>1099667</v>
      </c>
    </row>
    <row r="11169" spans="1:11" x14ac:dyDescent="0.25">
      <c r="A11169" t="s">
        <v>326</v>
      </c>
      <c r="B11169" t="s">
        <v>613</v>
      </c>
      <c r="C11169" t="s">
        <v>876</v>
      </c>
      <c r="D11169" t="s">
        <v>14</v>
      </c>
      <c r="E11169">
        <v>7</v>
      </c>
      <c r="F11169" s="2">
        <f>DATE(2026,IF(Tabla1[[#This Row],[Mes de Fecha]]="Septiembre",9,10),Tabla1[[#This Row],[Día de Fecha]])</f>
        <v>46302</v>
      </c>
      <c r="G11169">
        <v>1110485736</v>
      </c>
      <c r="H11169" t="s">
        <v>614</v>
      </c>
      <c r="I11169">
        <v>34</v>
      </c>
      <c r="J11169">
        <v>0</v>
      </c>
      <c r="K11169" s="1">
        <v>1756768</v>
      </c>
    </row>
    <row r="11170" spans="1:11" x14ac:dyDescent="0.25">
      <c r="A11170" t="s">
        <v>326</v>
      </c>
      <c r="B11170" t="s">
        <v>613</v>
      </c>
      <c r="C11170" t="s">
        <v>876</v>
      </c>
      <c r="D11170" t="s">
        <v>14</v>
      </c>
      <c r="E11170">
        <v>7</v>
      </c>
      <c r="F11170" s="2">
        <f>DATE(2026,IF(Tabla1[[#This Row],[Mes de Fecha]]="Septiembre",9,10),Tabla1[[#This Row],[Día de Fecha]])</f>
        <v>46302</v>
      </c>
      <c r="G11170">
        <v>1110570386</v>
      </c>
      <c r="H11170" t="s">
        <v>615</v>
      </c>
      <c r="I11170">
        <v>13</v>
      </c>
      <c r="J11170">
        <v>0</v>
      </c>
      <c r="K11170" s="1">
        <v>554076</v>
      </c>
    </row>
    <row r="11171" spans="1:11" x14ac:dyDescent="0.25">
      <c r="A11171" t="s">
        <v>326</v>
      </c>
      <c r="B11171" t="s">
        <v>622</v>
      </c>
      <c r="C11171" t="s">
        <v>876</v>
      </c>
      <c r="D11171" t="s">
        <v>11</v>
      </c>
      <c r="E11171">
        <v>23</v>
      </c>
      <c r="F11171" s="2">
        <f>DATE(2026,IF(Tabla1[[#This Row],[Mes de Fecha]]="Septiembre",9,10),Tabla1[[#This Row],[Día de Fecha]])</f>
        <v>46288</v>
      </c>
      <c r="I11171">
        <v>0</v>
      </c>
      <c r="J11171" s="1">
        <v>7325360</v>
      </c>
      <c r="K11171">
        <v>0</v>
      </c>
    </row>
    <row r="11172" spans="1:11" x14ac:dyDescent="0.25">
      <c r="A11172" t="s">
        <v>326</v>
      </c>
      <c r="B11172" t="s">
        <v>622</v>
      </c>
      <c r="C11172" t="s">
        <v>876</v>
      </c>
      <c r="D11172" t="s">
        <v>11</v>
      </c>
      <c r="E11172">
        <v>23</v>
      </c>
      <c r="F11172" s="2">
        <f>DATE(2026,IF(Tabla1[[#This Row],[Mes de Fecha]]="Septiembre",9,10),Tabla1[[#This Row],[Día de Fecha]])</f>
        <v>46288</v>
      </c>
      <c r="G11172">
        <v>1075240964</v>
      </c>
      <c r="H11172" t="s">
        <v>556</v>
      </c>
      <c r="I11172">
        <v>48</v>
      </c>
      <c r="J11172">
        <v>0</v>
      </c>
      <c r="K11172" s="1">
        <v>2680719</v>
      </c>
    </row>
    <row r="11173" spans="1:11" x14ac:dyDescent="0.25">
      <c r="A11173" t="s">
        <v>326</v>
      </c>
      <c r="B11173" t="s">
        <v>622</v>
      </c>
      <c r="C11173" t="s">
        <v>876</v>
      </c>
      <c r="D11173" t="s">
        <v>11</v>
      </c>
      <c r="E11173">
        <v>23</v>
      </c>
      <c r="F11173" s="2">
        <f>DATE(2026,IF(Tabla1[[#This Row],[Mes de Fecha]]="Septiembre",9,10),Tabla1[[#This Row],[Día de Fecha]])</f>
        <v>46288</v>
      </c>
      <c r="G11173">
        <v>1075295484</v>
      </c>
      <c r="H11173" t="s">
        <v>560</v>
      </c>
      <c r="I11173">
        <v>33</v>
      </c>
      <c r="J11173">
        <v>0</v>
      </c>
      <c r="K11173" s="1">
        <v>1591053</v>
      </c>
    </row>
    <row r="11174" spans="1:11" x14ac:dyDescent="0.25">
      <c r="A11174" t="s">
        <v>326</v>
      </c>
      <c r="B11174" t="s">
        <v>622</v>
      </c>
      <c r="C11174" t="s">
        <v>876</v>
      </c>
      <c r="D11174" t="s">
        <v>11</v>
      </c>
      <c r="E11174">
        <v>23</v>
      </c>
      <c r="F11174" s="2">
        <f>DATE(2026,IF(Tabla1[[#This Row],[Mes de Fecha]]="Septiembre",9,10),Tabla1[[#This Row],[Día de Fecha]])</f>
        <v>46288</v>
      </c>
      <c r="G11174">
        <v>1075303153</v>
      </c>
      <c r="H11174" t="s">
        <v>564</v>
      </c>
      <c r="I11174">
        <v>9</v>
      </c>
      <c r="J11174">
        <v>0</v>
      </c>
      <c r="K11174" s="1">
        <v>402984</v>
      </c>
    </row>
    <row r="11175" spans="1:11" x14ac:dyDescent="0.25">
      <c r="A11175" t="s">
        <v>326</v>
      </c>
      <c r="B11175" t="s">
        <v>622</v>
      </c>
      <c r="C11175" t="s">
        <v>876</v>
      </c>
      <c r="D11175" t="s">
        <v>11</v>
      </c>
      <c r="E11175">
        <v>23</v>
      </c>
      <c r="F11175" s="2">
        <f>DATE(2026,IF(Tabla1[[#This Row],[Mes de Fecha]]="Septiembre",9,10),Tabla1[[#This Row],[Día de Fecha]])</f>
        <v>46288</v>
      </c>
      <c r="G11175">
        <v>1079409046</v>
      </c>
      <c r="H11175" t="s">
        <v>623</v>
      </c>
      <c r="I11175">
        <v>2</v>
      </c>
      <c r="J11175">
        <v>0</v>
      </c>
      <c r="K11175" s="1">
        <v>88152</v>
      </c>
    </row>
    <row r="11176" spans="1:11" x14ac:dyDescent="0.25">
      <c r="A11176" t="s">
        <v>326</v>
      </c>
      <c r="B11176" t="s">
        <v>622</v>
      </c>
      <c r="C11176" t="s">
        <v>876</v>
      </c>
      <c r="D11176" t="s">
        <v>11</v>
      </c>
      <c r="E11176">
        <v>24</v>
      </c>
      <c r="F11176" s="2">
        <f>DATE(2026,IF(Tabla1[[#This Row],[Mes de Fecha]]="Septiembre",9,10),Tabla1[[#This Row],[Día de Fecha]])</f>
        <v>46289</v>
      </c>
      <c r="I11176">
        <v>0</v>
      </c>
      <c r="J11176" s="1">
        <v>11190312</v>
      </c>
      <c r="K11176">
        <v>0</v>
      </c>
    </row>
    <row r="11177" spans="1:11" x14ac:dyDescent="0.25">
      <c r="A11177" t="s">
        <v>326</v>
      </c>
      <c r="B11177" t="s">
        <v>622</v>
      </c>
      <c r="C11177" t="s">
        <v>876</v>
      </c>
      <c r="D11177" t="s">
        <v>11</v>
      </c>
      <c r="E11177">
        <v>24</v>
      </c>
      <c r="F11177" s="2">
        <f>DATE(2026,IF(Tabla1[[#This Row],[Mes de Fecha]]="Septiembre",9,10),Tabla1[[#This Row],[Día de Fecha]])</f>
        <v>46289</v>
      </c>
      <c r="G11177">
        <v>1075240964</v>
      </c>
      <c r="H11177" t="s">
        <v>556</v>
      </c>
      <c r="I11177">
        <v>48</v>
      </c>
      <c r="J11177">
        <v>0</v>
      </c>
      <c r="K11177" s="1">
        <v>2661809</v>
      </c>
    </row>
    <row r="11178" spans="1:11" x14ac:dyDescent="0.25">
      <c r="A11178" t="s">
        <v>326</v>
      </c>
      <c r="B11178" t="s">
        <v>622</v>
      </c>
      <c r="C11178" t="s">
        <v>876</v>
      </c>
      <c r="D11178" t="s">
        <v>11</v>
      </c>
      <c r="E11178">
        <v>24</v>
      </c>
      <c r="F11178" s="2">
        <f>DATE(2026,IF(Tabla1[[#This Row],[Mes de Fecha]]="Septiembre",9,10),Tabla1[[#This Row],[Día de Fecha]])</f>
        <v>46289</v>
      </c>
      <c r="G11178">
        <v>1075295484</v>
      </c>
      <c r="H11178" t="s">
        <v>560</v>
      </c>
      <c r="I11178">
        <v>45</v>
      </c>
      <c r="J11178">
        <v>0</v>
      </c>
      <c r="K11178" s="1">
        <v>2830003</v>
      </c>
    </row>
    <row r="11179" spans="1:11" x14ac:dyDescent="0.25">
      <c r="A11179" t="s">
        <v>326</v>
      </c>
      <c r="B11179" t="s">
        <v>622</v>
      </c>
      <c r="C11179" t="s">
        <v>876</v>
      </c>
      <c r="D11179" t="s">
        <v>11</v>
      </c>
      <c r="E11179">
        <v>24</v>
      </c>
      <c r="F11179" s="2">
        <f>DATE(2026,IF(Tabla1[[#This Row],[Mes de Fecha]]="Septiembre",9,10),Tabla1[[#This Row],[Día de Fecha]])</f>
        <v>46289</v>
      </c>
      <c r="G11179">
        <v>1075303153</v>
      </c>
      <c r="H11179" t="s">
        <v>564</v>
      </c>
      <c r="I11179">
        <v>28</v>
      </c>
      <c r="J11179">
        <v>0</v>
      </c>
      <c r="K11179" s="1">
        <v>1456807</v>
      </c>
    </row>
    <row r="11180" spans="1:11" x14ac:dyDescent="0.25">
      <c r="A11180" t="s">
        <v>326</v>
      </c>
      <c r="B11180" t="s">
        <v>622</v>
      </c>
      <c r="C11180" t="s">
        <v>876</v>
      </c>
      <c r="D11180" t="s">
        <v>11</v>
      </c>
      <c r="E11180">
        <v>24</v>
      </c>
      <c r="F11180" s="2">
        <f>DATE(2026,IF(Tabla1[[#This Row],[Mes de Fecha]]="Septiembre",9,10),Tabla1[[#This Row],[Día de Fecha]])</f>
        <v>46289</v>
      </c>
      <c r="G11180">
        <v>1079409046</v>
      </c>
      <c r="H11180" t="s">
        <v>623</v>
      </c>
      <c r="I11180">
        <v>12</v>
      </c>
      <c r="J11180">
        <v>0</v>
      </c>
      <c r="K11180" s="1">
        <v>612901</v>
      </c>
    </row>
    <row r="11181" spans="1:11" x14ac:dyDescent="0.25">
      <c r="A11181" t="s">
        <v>326</v>
      </c>
      <c r="B11181" t="s">
        <v>622</v>
      </c>
      <c r="C11181" t="s">
        <v>876</v>
      </c>
      <c r="D11181" t="s">
        <v>11</v>
      </c>
      <c r="E11181">
        <v>25</v>
      </c>
      <c r="F11181" s="2">
        <f>DATE(2026,IF(Tabla1[[#This Row],[Mes de Fecha]]="Septiembre",9,10),Tabla1[[#This Row],[Día de Fecha]])</f>
        <v>46290</v>
      </c>
      <c r="I11181">
        <v>0</v>
      </c>
      <c r="J11181" s="1">
        <v>5928323</v>
      </c>
      <c r="K11181">
        <v>0</v>
      </c>
    </row>
    <row r="11182" spans="1:11" x14ac:dyDescent="0.25">
      <c r="A11182" t="s">
        <v>326</v>
      </c>
      <c r="B11182" t="s">
        <v>622</v>
      </c>
      <c r="C11182" t="s">
        <v>876</v>
      </c>
      <c r="D11182" t="s">
        <v>11</v>
      </c>
      <c r="E11182">
        <v>25</v>
      </c>
      <c r="F11182" s="2">
        <f>DATE(2026,IF(Tabla1[[#This Row],[Mes de Fecha]]="Septiembre",9,10),Tabla1[[#This Row],[Día de Fecha]])</f>
        <v>46290</v>
      </c>
      <c r="G11182">
        <v>1075240964</v>
      </c>
      <c r="H11182" t="s">
        <v>556</v>
      </c>
      <c r="I11182">
        <v>27</v>
      </c>
      <c r="J11182">
        <v>0</v>
      </c>
      <c r="K11182" s="1">
        <v>1461050</v>
      </c>
    </row>
    <row r="11183" spans="1:11" x14ac:dyDescent="0.25">
      <c r="A11183" t="s">
        <v>326</v>
      </c>
      <c r="B11183" t="s">
        <v>622</v>
      </c>
      <c r="C11183" t="s">
        <v>876</v>
      </c>
      <c r="D11183" t="s">
        <v>11</v>
      </c>
      <c r="E11183">
        <v>25</v>
      </c>
      <c r="F11183" s="2">
        <f>DATE(2026,IF(Tabla1[[#This Row],[Mes de Fecha]]="Septiembre",9,10),Tabla1[[#This Row],[Día de Fecha]])</f>
        <v>46290</v>
      </c>
      <c r="G11183">
        <v>1075295484</v>
      </c>
      <c r="H11183" t="s">
        <v>560</v>
      </c>
      <c r="I11183">
        <v>46</v>
      </c>
      <c r="J11183">
        <v>0</v>
      </c>
      <c r="K11183" s="1">
        <v>2779539</v>
      </c>
    </row>
    <row r="11184" spans="1:11" x14ac:dyDescent="0.25">
      <c r="A11184" t="s">
        <v>326</v>
      </c>
      <c r="B11184" t="s">
        <v>622</v>
      </c>
      <c r="C11184" t="s">
        <v>876</v>
      </c>
      <c r="D11184" t="s">
        <v>11</v>
      </c>
      <c r="E11184">
        <v>25</v>
      </c>
      <c r="F11184" s="2">
        <f>DATE(2026,IF(Tabla1[[#This Row],[Mes de Fecha]]="Septiembre",9,10),Tabla1[[#This Row],[Día de Fecha]])</f>
        <v>46290</v>
      </c>
      <c r="G11184">
        <v>1075303153</v>
      </c>
      <c r="H11184" t="s">
        <v>564</v>
      </c>
      <c r="I11184">
        <v>21</v>
      </c>
      <c r="J11184">
        <v>0</v>
      </c>
      <c r="K11184" s="1">
        <v>923491</v>
      </c>
    </row>
    <row r="11185" spans="1:11" x14ac:dyDescent="0.25">
      <c r="A11185" t="s">
        <v>326</v>
      </c>
      <c r="B11185" t="s">
        <v>622</v>
      </c>
      <c r="C11185" t="s">
        <v>876</v>
      </c>
      <c r="D11185" t="s">
        <v>11</v>
      </c>
      <c r="E11185">
        <v>25</v>
      </c>
      <c r="F11185" s="2">
        <f>DATE(2026,IF(Tabla1[[#This Row],[Mes de Fecha]]="Septiembre",9,10),Tabla1[[#This Row],[Día de Fecha]])</f>
        <v>46290</v>
      </c>
      <c r="G11185">
        <v>1079409046</v>
      </c>
      <c r="H11185" t="s">
        <v>623</v>
      </c>
      <c r="I11185">
        <v>11</v>
      </c>
      <c r="J11185">
        <v>0</v>
      </c>
      <c r="K11185" s="1">
        <v>764244</v>
      </c>
    </row>
    <row r="11186" spans="1:11" x14ac:dyDescent="0.25">
      <c r="A11186" t="s">
        <v>326</v>
      </c>
      <c r="B11186" t="s">
        <v>622</v>
      </c>
      <c r="C11186" t="s">
        <v>876</v>
      </c>
      <c r="D11186" t="s">
        <v>11</v>
      </c>
      <c r="E11186">
        <v>26</v>
      </c>
      <c r="F11186" s="2">
        <f>DATE(2026,IF(Tabla1[[#This Row],[Mes de Fecha]]="Septiembre",9,10),Tabla1[[#This Row],[Día de Fecha]])</f>
        <v>46291</v>
      </c>
      <c r="I11186">
        <v>0</v>
      </c>
      <c r="J11186" s="1">
        <v>16046492</v>
      </c>
      <c r="K11186">
        <v>0</v>
      </c>
    </row>
    <row r="11187" spans="1:11" x14ac:dyDescent="0.25">
      <c r="A11187" t="s">
        <v>326</v>
      </c>
      <c r="B11187" t="s">
        <v>622</v>
      </c>
      <c r="C11187" t="s">
        <v>876</v>
      </c>
      <c r="D11187" t="s">
        <v>11</v>
      </c>
      <c r="E11187">
        <v>26</v>
      </c>
      <c r="F11187" s="2">
        <f>DATE(2026,IF(Tabla1[[#This Row],[Mes de Fecha]]="Septiembre",9,10),Tabla1[[#This Row],[Día de Fecha]])</f>
        <v>46291</v>
      </c>
      <c r="G11187">
        <v>1075240964</v>
      </c>
      <c r="H11187" t="s">
        <v>556</v>
      </c>
      <c r="I11187">
        <v>96</v>
      </c>
      <c r="J11187">
        <v>0</v>
      </c>
      <c r="K11187" s="1">
        <v>5081985</v>
      </c>
    </row>
    <row r="11188" spans="1:11" x14ac:dyDescent="0.25">
      <c r="A11188" t="s">
        <v>326</v>
      </c>
      <c r="B11188" t="s">
        <v>622</v>
      </c>
      <c r="C11188" t="s">
        <v>876</v>
      </c>
      <c r="D11188" t="s">
        <v>11</v>
      </c>
      <c r="E11188">
        <v>26</v>
      </c>
      <c r="F11188" s="2">
        <f>DATE(2026,IF(Tabla1[[#This Row],[Mes de Fecha]]="Septiembre",9,10),Tabla1[[#This Row],[Día de Fecha]])</f>
        <v>46291</v>
      </c>
      <c r="G11188">
        <v>1075295484</v>
      </c>
      <c r="H11188" t="s">
        <v>560</v>
      </c>
      <c r="I11188">
        <v>95</v>
      </c>
      <c r="J11188">
        <v>0</v>
      </c>
      <c r="K11188" s="1">
        <v>5025176</v>
      </c>
    </row>
    <row r="11189" spans="1:11" x14ac:dyDescent="0.25">
      <c r="A11189" t="s">
        <v>326</v>
      </c>
      <c r="B11189" t="s">
        <v>622</v>
      </c>
      <c r="C11189" t="s">
        <v>876</v>
      </c>
      <c r="D11189" t="s">
        <v>11</v>
      </c>
      <c r="E11189">
        <v>26</v>
      </c>
      <c r="F11189" s="2">
        <f>DATE(2026,IF(Tabla1[[#This Row],[Mes de Fecha]]="Septiembre",9,10),Tabla1[[#This Row],[Día de Fecha]])</f>
        <v>46291</v>
      </c>
      <c r="G11189">
        <v>1075303153</v>
      </c>
      <c r="H11189" t="s">
        <v>564</v>
      </c>
      <c r="I11189">
        <v>9</v>
      </c>
      <c r="J11189">
        <v>0</v>
      </c>
      <c r="K11189" s="1">
        <v>455505</v>
      </c>
    </row>
    <row r="11190" spans="1:11" x14ac:dyDescent="0.25">
      <c r="A11190" t="s">
        <v>326</v>
      </c>
      <c r="B11190" t="s">
        <v>622</v>
      </c>
      <c r="C11190" t="s">
        <v>876</v>
      </c>
      <c r="D11190" t="s">
        <v>11</v>
      </c>
      <c r="E11190">
        <v>26</v>
      </c>
      <c r="F11190" s="2">
        <f>DATE(2026,IF(Tabla1[[#This Row],[Mes de Fecha]]="Septiembre",9,10),Tabla1[[#This Row],[Día de Fecha]])</f>
        <v>46291</v>
      </c>
      <c r="G11190">
        <v>1079409046</v>
      </c>
      <c r="H11190" t="s">
        <v>623</v>
      </c>
      <c r="I11190">
        <v>19</v>
      </c>
      <c r="J11190">
        <v>0</v>
      </c>
      <c r="K11190" s="1">
        <v>1125255</v>
      </c>
    </row>
    <row r="11191" spans="1:11" x14ac:dyDescent="0.25">
      <c r="A11191" t="s">
        <v>326</v>
      </c>
      <c r="B11191" t="s">
        <v>622</v>
      </c>
      <c r="C11191" t="s">
        <v>876</v>
      </c>
      <c r="D11191" t="s">
        <v>11</v>
      </c>
      <c r="E11191">
        <v>27</v>
      </c>
      <c r="F11191" s="2">
        <f>DATE(2026,IF(Tabla1[[#This Row],[Mes de Fecha]]="Septiembre",9,10),Tabla1[[#This Row],[Día de Fecha]])</f>
        <v>46292</v>
      </c>
      <c r="I11191">
        <v>0</v>
      </c>
      <c r="J11191" s="1">
        <v>12712048</v>
      </c>
      <c r="K11191">
        <v>0</v>
      </c>
    </row>
    <row r="11192" spans="1:11" x14ac:dyDescent="0.25">
      <c r="A11192" t="s">
        <v>326</v>
      </c>
      <c r="B11192" t="s">
        <v>622</v>
      </c>
      <c r="C11192" t="s">
        <v>876</v>
      </c>
      <c r="D11192" t="s">
        <v>11</v>
      </c>
      <c r="E11192">
        <v>27</v>
      </c>
      <c r="F11192" s="2">
        <f>DATE(2026,IF(Tabla1[[#This Row],[Mes de Fecha]]="Septiembre",9,10),Tabla1[[#This Row],[Día de Fecha]])</f>
        <v>46292</v>
      </c>
      <c r="G11192">
        <v>1075240964</v>
      </c>
      <c r="H11192" t="s">
        <v>556</v>
      </c>
      <c r="I11192">
        <v>12</v>
      </c>
      <c r="J11192">
        <v>0</v>
      </c>
      <c r="K11192" s="1">
        <v>516261</v>
      </c>
    </row>
    <row r="11193" spans="1:11" x14ac:dyDescent="0.25">
      <c r="A11193" t="s">
        <v>326</v>
      </c>
      <c r="B11193" t="s">
        <v>622</v>
      </c>
      <c r="C11193" t="s">
        <v>876</v>
      </c>
      <c r="D11193" t="s">
        <v>11</v>
      </c>
      <c r="E11193">
        <v>27</v>
      </c>
      <c r="F11193" s="2">
        <f>DATE(2026,IF(Tabla1[[#This Row],[Mes de Fecha]]="Septiembre",9,10),Tabla1[[#This Row],[Día de Fecha]])</f>
        <v>46292</v>
      </c>
      <c r="G11193">
        <v>1075295484</v>
      </c>
      <c r="H11193" t="s">
        <v>560</v>
      </c>
      <c r="I11193">
        <v>9</v>
      </c>
      <c r="J11193">
        <v>0</v>
      </c>
      <c r="K11193" s="1">
        <v>375632</v>
      </c>
    </row>
    <row r="11194" spans="1:11" x14ac:dyDescent="0.25">
      <c r="A11194" t="s">
        <v>326</v>
      </c>
      <c r="B11194" t="s">
        <v>622</v>
      </c>
      <c r="C11194" t="s">
        <v>876</v>
      </c>
      <c r="D11194" t="s">
        <v>11</v>
      </c>
      <c r="E11194">
        <v>28</v>
      </c>
      <c r="F11194" s="2">
        <f>DATE(2026,IF(Tabla1[[#This Row],[Mes de Fecha]]="Septiembre",9,10),Tabla1[[#This Row],[Día de Fecha]])</f>
        <v>46293</v>
      </c>
      <c r="I11194">
        <v>0</v>
      </c>
      <c r="J11194" s="1">
        <v>7157449</v>
      </c>
      <c r="K11194">
        <v>0</v>
      </c>
    </row>
    <row r="11195" spans="1:11" x14ac:dyDescent="0.25">
      <c r="A11195" t="s">
        <v>326</v>
      </c>
      <c r="B11195" t="s">
        <v>622</v>
      </c>
      <c r="C11195" t="s">
        <v>876</v>
      </c>
      <c r="D11195" t="s">
        <v>11</v>
      </c>
      <c r="E11195">
        <v>28</v>
      </c>
      <c r="F11195" s="2">
        <f>DATE(2026,IF(Tabla1[[#This Row],[Mes de Fecha]]="Septiembre",9,10),Tabla1[[#This Row],[Día de Fecha]])</f>
        <v>46293</v>
      </c>
      <c r="G11195">
        <v>1075240964</v>
      </c>
      <c r="H11195" t="s">
        <v>556</v>
      </c>
      <c r="I11195">
        <v>48</v>
      </c>
      <c r="J11195">
        <v>0</v>
      </c>
      <c r="K11195" s="1">
        <v>2668071</v>
      </c>
    </row>
    <row r="11196" spans="1:11" x14ac:dyDescent="0.25">
      <c r="A11196" t="s">
        <v>326</v>
      </c>
      <c r="B11196" t="s">
        <v>622</v>
      </c>
      <c r="C11196" t="s">
        <v>876</v>
      </c>
      <c r="D11196" t="s">
        <v>11</v>
      </c>
      <c r="E11196">
        <v>28</v>
      </c>
      <c r="F11196" s="2">
        <f>DATE(2026,IF(Tabla1[[#This Row],[Mes de Fecha]]="Septiembre",9,10),Tabla1[[#This Row],[Día de Fecha]])</f>
        <v>46293</v>
      </c>
      <c r="G11196">
        <v>1075295484</v>
      </c>
      <c r="H11196" t="s">
        <v>560</v>
      </c>
      <c r="I11196">
        <v>65</v>
      </c>
      <c r="J11196">
        <v>0</v>
      </c>
      <c r="K11196" s="1">
        <v>3524415</v>
      </c>
    </row>
    <row r="11197" spans="1:11" x14ac:dyDescent="0.25">
      <c r="A11197" t="s">
        <v>326</v>
      </c>
      <c r="B11197" t="s">
        <v>622</v>
      </c>
      <c r="C11197" t="s">
        <v>876</v>
      </c>
      <c r="D11197" t="s">
        <v>11</v>
      </c>
      <c r="E11197">
        <v>28</v>
      </c>
      <c r="F11197" s="2">
        <f>DATE(2026,IF(Tabla1[[#This Row],[Mes de Fecha]]="Septiembre",9,10),Tabla1[[#This Row],[Día de Fecha]])</f>
        <v>46293</v>
      </c>
      <c r="G11197">
        <v>1075303153</v>
      </c>
      <c r="H11197" t="s">
        <v>564</v>
      </c>
      <c r="I11197">
        <v>2</v>
      </c>
      <c r="J11197">
        <v>0</v>
      </c>
      <c r="K11197" s="1">
        <v>142774</v>
      </c>
    </row>
    <row r="11198" spans="1:11" x14ac:dyDescent="0.25">
      <c r="A11198" t="s">
        <v>326</v>
      </c>
      <c r="B11198" t="s">
        <v>622</v>
      </c>
      <c r="C11198" t="s">
        <v>876</v>
      </c>
      <c r="D11198" t="s">
        <v>11</v>
      </c>
      <c r="E11198">
        <v>28</v>
      </c>
      <c r="F11198" s="2">
        <f>DATE(2026,IF(Tabla1[[#This Row],[Mes de Fecha]]="Septiembre",9,10),Tabla1[[#This Row],[Día de Fecha]])</f>
        <v>46293</v>
      </c>
      <c r="G11198">
        <v>1079409046</v>
      </c>
      <c r="H11198" t="s">
        <v>623</v>
      </c>
      <c r="I11198">
        <v>1</v>
      </c>
      <c r="J11198">
        <v>0</v>
      </c>
      <c r="K11198" s="1">
        <v>41975</v>
      </c>
    </row>
    <row r="11199" spans="1:11" x14ac:dyDescent="0.25">
      <c r="A11199" t="s">
        <v>326</v>
      </c>
      <c r="B11199" t="s">
        <v>622</v>
      </c>
      <c r="C11199" t="s">
        <v>876</v>
      </c>
      <c r="D11199" t="s">
        <v>11</v>
      </c>
      <c r="E11199">
        <v>29</v>
      </c>
      <c r="F11199" s="2">
        <f>DATE(2026,IF(Tabla1[[#This Row],[Mes de Fecha]]="Septiembre",9,10),Tabla1[[#This Row],[Día de Fecha]])</f>
        <v>46294</v>
      </c>
      <c r="I11199">
        <v>0</v>
      </c>
      <c r="J11199" s="1">
        <v>7312043</v>
      </c>
      <c r="K11199">
        <v>0</v>
      </c>
    </row>
    <row r="11200" spans="1:11" x14ac:dyDescent="0.25">
      <c r="A11200" t="s">
        <v>326</v>
      </c>
      <c r="B11200" t="s">
        <v>622</v>
      </c>
      <c r="C11200" t="s">
        <v>876</v>
      </c>
      <c r="D11200" t="s">
        <v>11</v>
      </c>
      <c r="E11200">
        <v>29</v>
      </c>
      <c r="F11200" s="2">
        <f>DATE(2026,IF(Tabla1[[#This Row],[Mes de Fecha]]="Septiembre",9,10),Tabla1[[#This Row],[Día de Fecha]])</f>
        <v>46294</v>
      </c>
      <c r="G11200">
        <v>1075240964</v>
      </c>
      <c r="H11200" t="s">
        <v>556</v>
      </c>
      <c r="I11200">
        <v>44</v>
      </c>
      <c r="J11200">
        <v>0</v>
      </c>
      <c r="K11200" s="1">
        <v>2388869</v>
      </c>
    </row>
    <row r="11201" spans="1:11" x14ac:dyDescent="0.25">
      <c r="A11201" t="s">
        <v>326</v>
      </c>
      <c r="B11201" t="s">
        <v>622</v>
      </c>
      <c r="C11201" t="s">
        <v>876</v>
      </c>
      <c r="D11201" t="s">
        <v>11</v>
      </c>
      <c r="E11201">
        <v>29</v>
      </c>
      <c r="F11201" s="2">
        <f>DATE(2026,IF(Tabla1[[#This Row],[Mes de Fecha]]="Septiembre",9,10),Tabla1[[#This Row],[Día de Fecha]])</f>
        <v>46294</v>
      </c>
      <c r="G11201">
        <v>1075295484</v>
      </c>
      <c r="H11201" t="s">
        <v>560</v>
      </c>
      <c r="I11201">
        <v>52</v>
      </c>
      <c r="J11201">
        <v>0</v>
      </c>
      <c r="K11201" s="1">
        <v>3106978</v>
      </c>
    </row>
    <row r="11202" spans="1:11" x14ac:dyDescent="0.25">
      <c r="A11202" t="s">
        <v>326</v>
      </c>
      <c r="B11202" t="s">
        <v>622</v>
      </c>
      <c r="C11202" t="s">
        <v>876</v>
      </c>
      <c r="D11202" t="s">
        <v>11</v>
      </c>
      <c r="E11202">
        <v>29</v>
      </c>
      <c r="F11202" s="2">
        <f>DATE(2026,IF(Tabla1[[#This Row],[Mes de Fecha]]="Septiembre",9,10),Tabla1[[#This Row],[Día de Fecha]])</f>
        <v>46294</v>
      </c>
      <c r="G11202">
        <v>1075303153</v>
      </c>
      <c r="H11202" t="s">
        <v>564</v>
      </c>
      <c r="I11202">
        <v>3</v>
      </c>
      <c r="J11202">
        <v>0</v>
      </c>
      <c r="K11202" s="1">
        <v>167941</v>
      </c>
    </row>
    <row r="11203" spans="1:11" x14ac:dyDescent="0.25">
      <c r="A11203" t="s">
        <v>326</v>
      </c>
      <c r="B11203" t="s">
        <v>622</v>
      </c>
      <c r="C11203" t="s">
        <v>876</v>
      </c>
      <c r="D11203" t="s">
        <v>11</v>
      </c>
      <c r="E11203">
        <v>29</v>
      </c>
      <c r="F11203" s="2">
        <f>DATE(2026,IF(Tabla1[[#This Row],[Mes de Fecha]]="Septiembre",9,10),Tabla1[[#This Row],[Día de Fecha]])</f>
        <v>46294</v>
      </c>
      <c r="G11203">
        <v>1079409046</v>
      </c>
      <c r="H11203" t="s">
        <v>623</v>
      </c>
      <c r="I11203">
        <v>4</v>
      </c>
      <c r="J11203">
        <v>0</v>
      </c>
      <c r="K11203" s="1">
        <v>218319</v>
      </c>
    </row>
    <row r="11204" spans="1:11" x14ac:dyDescent="0.25">
      <c r="A11204" t="s">
        <v>326</v>
      </c>
      <c r="B11204" t="s">
        <v>622</v>
      </c>
      <c r="C11204" t="s">
        <v>876</v>
      </c>
      <c r="D11204" t="s">
        <v>11</v>
      </c>
      <c r="E11204">
        <v>30</v>
      </c>
      <c r="F11204" s="2">
        <f>DATE(2026,IF(Tabla1[[#This Row],[Mes de Fecha]]="Septiembre",9,10),Tabla1[[#This Row],[Día de Fecha]])</f>
        <v>46295</v>
      </c>
      <c r="I11204">
        <v>0</v>
      </c>
      <c r="J11204" s="1">
        <v>7720050</v>
      </c>
      <c r="K11204">
        <v>0</v>
      </c>
    </row>
    <row r="11205" spans="1:11" x14ac:dyDescent="0.25">
      <c r="A11205" t="s">
        <v>326</v>
      </c>
      <c r="B11205" t="s">
        <v>622</v>
      </c>
      <c r="C11205" t="s">
        <v>876</v>
      </c>
      <c r="D11205" t="s">
        <v>11</v>
      </c>
      <c r="E11205">
        <v>30</v>
      </c>
      <c r="F11205" s="2">
        <f>DATE(2026,IF(Tabla1[[#This Row],[Mes de Fecha]]="Septiembre",9,10),Tabla1[[#This Row],[Día de Fecha]])</f>
        <v>46295</v>
      </c>
      <c r="G11205">
        <v>1075240964</v>
      </c>
      <c r="H11205" t="s">
        <v>556</v>
      </c>
      <c r="I11205">
        <v>52</v>
      </c>
      <c r="J11205">
        <v>0</v>
      </c>
      <c r="K11205" s="1">
        <v>2730968</v>
      </c>
    </row>
    <row r="11206" spans="1:11" x14ac:dyDescent="0.25">
      <c r="A11206" t="s">
        <v>326</v>
      </c>
      <c r="B11206" t="s">
        <v>622</v>
      </c>
      <c r="C11206" t="s">
        <v>876</v>
      </c>
      <c r="D11206" t="s">
        <v>11</v>
      </c>
      <c r="E11206">
        <v>30</v>
      </c>
      <c r="F11206" s="2">
        <f>DATE(2026,IF(Tabla1[[#This Row],[Mes de Fecha]]="Septiembre",9,10),Tabla1[[#This Row],[Día de Fecha]])</f>
        <v>46295</v>
      </c>
      <c r="G11206">
        <v>1075295484</v>
      </c>
      <c r="H11206" t="s">
        <v>560</v>
      </c>
      <c r="I11206">
        <v>108</v>
      </c>
      <c r="J11206">
        <v>0</v>
      </c>
      <c r="K11206" s="1">
        <v>5856773</v>
      </c>
    </row>
    <row r="11207" spans="1:11" x14ac:dyDescent="0.25">
      <c r="A11207" t="s">
        <v>326</v>
      </c>
      <c r="B11207" t="s">
        <v>622</v>
      </c>
      <c r="C11207" t="s">
        <v>876</v>
      </c>
      <c r="D11207" t="s">
        <v>11</v>
      </c>
      <c r="E11207">
        <v>30</v>
      </c>
      <c r="F11207" s="2">
        <f>DATE(2026,IF(Tabla1[[#This Row],[Mes de Fecha]]="Septiembre",9,10),Tabla1[[#This Row],[Día de Fecha]])</f>
        <v>46295</v>
      </c>
      <c r="G11207">
        <v>1075303153</v>
      </c>
      <c r="H11207" t="s">
        <v>564</v>
      </c>
      <c r="I11207">
        <v>14</v>
      </c>
      <c r="J11207">
        <v>0</v>
      </c>
      <c r="K11207" s="1">
        <v>717858</v>
      </c>
    </row>
    <row r="11208" spans="1:11" x14ac:dyDescent="0.25">
      <c r="A11208" t="s">
        <v>326</v>
      </c>
      <c r="B11208" t="s">
        <v>622</v>
      </c>
      <c r="C11208" t="s">
        <v>876</v>
      </c>
      <c r="D11208" t="s">
        <v>11</v>
      </c>
      <c r="E11208">
        <v>30</v>
      </c>
      <c r="F11208" s="2">
        <f>DATE(2026,IF(Tabla1[[#This Row],[Mes de Fecha]]="Septiembre",9,10),Tabla1[[#This Row],[Día de Fecha]])</f>
        <v>46295</v>
      </c>
      <c r="G11208">
        <v>1079409046</v>
      </c>
      <c r="H11208" t="s">
        <v>623</v>
      </c>
      <c r="I11208">
        <v>13</v>
      </c>
      <c r="J11208">
        <v>0</v>
      </c>
      <c r="K11208" s="1">
        <v>663320</v>
      </c>
    </row>
    <row r="11209" spans="1:11" x14ac:dyDescent="0.25">
      <c r="A11209" t="s">
        <v>326</v>
      </c>
      <c r="B11209" t="s">
        <v>622</v>
      </c>
      <c r="C11209" t="s">
        <v>876</v>
      </c>
      <c r="D11209" t="s">
        <v>14</v>
      </c>
      <c r="E11209">
        <v>1</v>
      </c>
      <c r="F11209" s="2">
        <f>DATE(2026,IF(Tabla1[[#This Row],[Mes de Fecha]]="Septiembre",9,10),Tabla1[[#This Row],[Día de Fecha]])</f>
        <v>46296</v>
      </c>
      <c r="I11209">
        <v>0</v>
      </c>
      <c r="J11209" s="1">
        <v>11987352</v>
      </c>
      <c r="K11209">
        <v>0</v>
      </c>
    </row>
    <row r="11210" spans="1:11" x14ac:dyDescent="0.25">
      <c r="A11210" t="s">
        <v>326</v>
      </c>
      <c r="B11210" t="s">
        <v>622</v>
      </c>
      <c r="C11210" t="s">
        <v>876</v>
      </c>
      <c r="D11210" t="s">
        <v>14</v>
      </c>
      <c r="E11210">
        <v>1</v>
      </c>
      <c r="F11210" s="2">
        <f>DATE(2026,IF(Tabla1[[#This Row],[Mes de Fecha]]="Septiembre",9,10),Tabla1[[#This Row],[Día de Fecha]])</f>
        <v>46296</v>
      </c>
      <c r="G11210">
        <v>1075240964</v>
      </c>
      <c r="H11210" t="s">
        <v>556</v>
      </c>
      <c r="I11210">
        <v>39</v>
      </c>
      <c r="J11210">
        <v>0</v>
      </c>
      <c r="K11210" s="1">
        <v>1865929</v>
      </c>
    </row>
    <row r="11211" spans="1:11" x14ac:dyDescent="0.25">
      <c r="A11211" t="s">
        <v>326</v>
      </c>
      <c r="B11211" t="s">
        <v>622</v>
      </c>
      <c r="C11211" t="s">
        <v>876</v>
      </c>
      <c r="D11211" t="s">
        <v>14</v>
      </c>
      <c r="E11211">
        <v>1</v>
      </c>
      <c r="F11211" s="2">
        <f>DATE(2026,IF(Tabla1[[#This Row],[Mes de Fecha]]="Septiembre",9,10),Tabla1[[#This Row],[Día de Fecha]])</f>
        <v>46296</v>
      </c>
      <c r="G11211">
        <v>1075295484</v>
      </c>
      <c r="H11211" t="s">
        <v>560</v>
      </c>
      <c r="I11211">
        <v>51</v>
      </c>
      <c r="J11211">
        <v>0</v>
      </c>
      <c r="K11211" s="1">
        <v>2369711</v>
      </c>
    </row>
    <row r="11212" spans="1:11" x14ac:dyDescent="0.25">
      <c r="A11212" t="s">
        <v>326</v>
      </c>
      <c r="B11212" t="s">
        <v>622</v>
      </c>
      <c r="C11212" t="s">
        <v>876</v>
      </c>
      <c r="D11212" t="s">
        <v>14</v>
      </c>
      <c r="E11212">
        <v>1</v>
      </c>
      <c r="F11212" s="2">
        <f>DATE(2026,IF(Tabla1[[#This Row],[Mes de Fecha]]="Septiembre",9,10),Tabla1[[#This Row],[Día de Fecha]])</f>
        <v>46296</v>
      </c>
      <c r="G11212">
        <v>1075303153</v>
      </c>
      <c r="H11212" t="s">
        <v>564</v>
      </c>
      <c r="I11212">
        <v>7</v>
      </c>
      <c r="J11212">
        <v>0</v>
      </c>
      <c r="K11212" s="1">
        <v>440885</v>
      </c>
    </row>
    <row r="11213" spans="1:11" x14ac:dyDescent="0.25">
      <c r="A11213" t="s">
        <v>326</v>
      </c>
      <c r="B11213" t="s">
        <v>622</v>
      </c>
      <c r="C11213" t="s">
        <v>876</v>
      </c>
      <c r="D11213" t="s">
        <v>14</v>
      </c>
      <c r="E11213">
        <v>1</v>
      </c>
      <c r="F11213" s="2">
        <f>DATE(2026,IF(Tabla1[[#This Row],[Mes de Fecha]]="Septiembre",9,10),Tabla1[[#This Row],[Día de Fecha]])</f>
        <v>46296</v>
      </c>
      <c r="G11213">
        <v>1079409046</v>
      </c>
      <c r="H11213" t="s">
        <v>623</v>
      </c>
      <c r="I11213">
        <v>10</v>
      </c>
      <c r="J11213">
        <v>0</v>
      </c>
      <c r="K11213" s="1">
        <v>528993</v>
      </c>
    </row>
    <row r="11214" spans="1:11" x14ac:dyDescent="0.25">
      <c r="A11214" t="s">
        <v>326</v>
      </c>
      <c r="B11214" t="s">
        <v>622</v>
      </c>
      <c r="C11214" t="s">
        <v>876</v>
      </c>
      <c r="D11214" t="s">
        <v>14</v>
      </c>
      <c r="E11214">
        <v>2</v>
      </c>
      <c r="F11214" s="2">
        <f>DATE(2026,IF(Tabla1[[#This Row],[Mes de Fecha]]="Septiembre",9,10),Tabla1[[#This Row],[Día de Fecha]])</f>
        <v>46297</v>
      </c>
      <c r="I11214">
        <v>0</v>
      </c>
      <c r="J11214" s="1">
        <v>8953433</v>
      </c>
      <c r="K11214">
        <v>0</v>
      </c>
    </row>
    <row r="11215" spans="1:11" x14ac:dyDescent="0.25">
      <c r="A11215" t="s">
        <v>326</v>
      </c>
      <c r="B11215" t="s">
        <v>622</v>
      </c>
      <c r="C11215" t="s">
        <v>876</v>
      </c>
      <c r="D11215" t="s">
        <v>14</v>
      </c>
      <c r="E11215">
        <v>2</v>
      </c>
      <c r="F11215" s="2">
        <f>DATE(2026,IF(Tabla1[[#This Row],[Mes de Fecha]]="Septiembre",9,10),Tabla1[[#This Row],[Día de Fecha]])</f>
        <v>46297</v>
      </c>
      <c r="G11215">
        <v>1075240964</v>
      </c>
      <c r="H11215" t="s">
        <v>556</v>
      </c>
      <c r="I11215">
        <v>71</v>
      </c>
      <c r="J11215">
        <v>0</v>
      </c>
      <c r="K11215" s="1">
        <v>4114160</v>
      </c>
    </row>
    <row r="11216" spans="1:11" x14ac:dyDescent="0.25">
      <c r="A11216" t="s">
        <v>326</v>
      </c>
      <c r="B11216" t="s">
        <v>622</v>
      </c>
      <c r="C11216" t="s">
        <v>876</v>
      </c>
      <c r="D11216" t="s">
        <v>14</v>
      </c>
      <c r="E11216">
        <v>2</v>
      </c>
      <c r="F11216" s="2">
        <f>DATE(2026,IF(Tabla1[[#This Row],[Mes de Fecha]]="Septiembre",9,10),Tabla1[[#This Row],[Día de Fecha]])</f>
        <v>46297</v>
      </c>
      <c r="G11216">
        <v>1075295484</v>
      </c>
      <c r="H11216" t="s">
        <v>560</v>
      </c>
      <c r="I11216">
        <v>54</v>
      </c>
      <c r="J11216">
        <v>0</v>
      </c>
      <c r="K11216" s="1">
        <v>2768620</v>
      </c>
    </row>
    <row r="11217" spans="1:11" x14ac:dyDescent="0.25">
      <c r="A11217" t="s">
        <v>326</v>
      </c>
      <c r="B11217" t="s">
        <v>622</v>
      </c>
      <c r="C11217" t="s">
        <v>876</v>
      </c>
      <c r="D11217" t="s">
        <v>14</v>
      </c>
      <c r="E11217">
        <v>2</v>
      </c>
      <c r="F11217" s="2">
        <f>DATE(2026,IF(Tabla1[[#This Row],[Mes de Fecha]]="Septiembre",9,10),Tabla1[[#This Row],[Día de Fecha]])</f>
        <v>46297</v>
      </c>
      <c r="G11217">
        <v>1075303153</v>
      </c>
      <c r="H11217" t="s">
        <v>564</v>
      </c>
      <c r="I11217">
        <v>13</v>
      </c>
      <c r="J11217">
        <v>0</v>
      </c>
      <c r="K11217" s="1">
        <v>671682</v>
      </c>
    </row>
    <row r="11218" spans="1:11" x14ac:dyDescent="0.25">
      <c r="A11218" t="s">
        <v>326</v>
      </c>
      <c r="B11218" t="s">
        <v>622</v>
      </c>
      <c r="C11218" t="s">
        <v>876</v>
      </c>
      <c r="D11218" t="s">
        <v>14</v>
      </c>
      <c r="E11218">
        <v>2</v>
      </c>
      <c r="F11218" s="2">
        <f>DATE(2026,IF(Tabla1[[#This Row],[Mes de Fecha]]="Septiembre",9,10),Tabla1[[#This Row],[Día de Fecha]])</f>
        <v>46297</v>
      </c>
      <c r="G11218">
        <v>1079409046</v>
      </c>
      <c r="H11218" t="s">
        <v>623</v>
      </c>
      <c r="I11218">
        <v>15</v>
      </c>
      <c r="J11218">
        <v>0</v>
      </c>
      <c r="K11218" s="1">
        <v>774580</v>
      </c>
    </row>
    <row r="11219" spans="1:11" x14ac:dyDescent="0.25">
      <c r="A11219" t="s">
        <v>326</v>
      </c>
      <c r="B11219" t="s">
        <v>622</v>
      </c>
      <c r="C11219" t="s">
        <v>876</v>
      </c>
      <c r="D11219" t="s">
        <v>14</v>
      </c>
      <c r="E11219">
        <v>3</v>
      </c>
      <c r="F11219" s="2">
        <f>DATE(2026,IF(Tabla1[[#This Row],[Mes de Fecha]]="Septiembre",9,10),Tabla1[[#This Row],[Día de Fecha]])</f>
        <v>46298</v>
      </c>
      <c r="I11219">
        <v>0</v>
      </c>
      <c r="J11219" s="1">
        <v>10795839</v>
      </c>
      <c r="K11219">
        <v>0</v>
      </c>
    </row>
    <row r="11220" spans="1:11" x14ac:dyDescent="0.25">
      <c r="A11220" t="s">
        <v>326</v>
      </c>
      <c r="B11220" t="s">
        <v>622</v>
      </c>
      <c r="C11220" t="s">
        <v>876</v>
      </c>
      <c r="D11220" t="s">
        <v>14</v>
      </c>
      <c r="E11220">
        <v>3</v>
      </c>
      <c r="F11220" s="2">
        <f>DATE(2026,IF(Tabla1[[#This Row],[Mes de Fecha]]="Septiembre",9,10),Tabla1[[#This Row],[Día de Fecha]])</f>
        <v>46298</v>
      </c>
      <c r="G11220">
        <v>1075240964</v>
      </c>
      <c r="H11220" t="s">
        <v>556</v>
      </c>
      <c r="I11220">
        <v>74</v>
      </c>
      <c r="J11220">
        <v>0</v>
      </c>
      <c r="K11220" s="1">
        <v>3615485</v>
      </c>
    </row>
    <row r="11221" spans="1:11" x14ac:dyDescent="0.25">
      <c r="A11221" t="s">
        <v>326</v>
      </c>
      <c r="B11221" t="s">
        <v>622</v>
      </c>
      <c r="C11221" t="s">
        <v>876</v>
      </c>
      <c r="D11221" t="s">
        <v>14</v>
      </c>
      <c r="E11221">
        <v>3</v>
      </c>
      <c r="F11221" s="2">
        <f>DATE(2026,IF(Tabla1[[#This Row],[Mes de Fecha]]="Septiembre",9,10),Tabla1[[#This Row],[Día de Fecha]])</f>
        <v>46298</v>
      </c>
      <c r="G11221">
        <v>1075295484</v>
      </c>
      <c r="H11221" t="s">
        <v>560</v>
      </c>
      <c r="I11221">
        <v>81</v>
      </c>
      <c r="J11221">
        <v>0</v>
      </c>
      <c r="K11221" s="1">
        <v>3971937</v>
      </c>
    </row>
    <row r="11222" spans="1:11" x14ac:dyDescent="0.25">
      <c r="A11222" t="s">
        <v>326</v>
      </c>
      <c r="B11222" t="s">
        <v>622</v>
      </c>
      <c r="C11222" t="s">
        <v>876</v>
      </c>
      <c r="D11222" t="s">
        <v>14</v>
      </c>
      <c r="E11222">
        <v>3</v>
      </c>
      <c r="F11222" s="2">
        <f>DATE(2026,IF(Tabla1[[#This Row],[Mes de Fecha]]="Septiembre",9,10),Tabla1[[#This Row],[Día de Fecha]])</f>
        <v>46298</v>
      </c>
      <c r="G11222">
        <v>1075303153</v>
      </c>
      <c r="H11222" t="s">
        <v>564</v>
      </c>
      <c r="I11222">
        <v>33</v>
      </c>
      <c r="J11222">
        <v>0</v>
      </c>
      <c r="K11222" s="1">
        <v>1859910</v>
      </c>
    </row>
    <row r="11223" spans="1:11" x14ac:dyDescent="0.25">
      <c r="A11223" t="s">
        <v>326</v>
      </c>
      <c r="B11223" t="s">
        <v>622</v>
      </c>
      <c r="C11223" t="s">
        <v>876</v>
      </c>
      <c r="D11223" t="s">
        <v>14</v>
      </c>
      <c r="E11223">
        <v>3</v>
      </c>
      <c r="F11223" s="2">
        <f>DATE(2026,IF(Tabla1[[#This Row],[Mes de Fecha]]="Septiembre",9,10),Tabla1[[#This Row],[Día de Fecha]])</f>
        <v>46298</v>
      </c>
      <c r="G11223">
        <v>1079409046</v>
      </c>
      <c r="H11223" t="s">
        <v>623</v>
      </c>
      <c r="I11223">
        <v>16</v>
      </c>
      <c r="J11223">
        <v>0</v>
      </c>
      <c r="K11223" s="1">
        <v>891833</v>
      </c>
    </row>
    <row r="11224" spans="1:11" x14ac:dyDescent="0.25">
      <c r="A11224" t="s">
        <v>326</v>
      </c>
      <c r="B11224" t="s">
        <v>622</v>
      </c>
      <c r="C11224" t="s">
        <v>876</v>
      </c>
      <c r="D11224" t="s">
        <v>14</v>
      </c>
      <c r="E11224">
        <v>4</v>
      </c>
      <c r="F11224" s="2">
        <f>DATE(2026,IF(Tabla1[[#This Row],[Mes de Fecha]]="Septiembre",9,10),Tabla1[[#This Row],[Día de Fecha]])</f>
        <v>46299</v>
      </c>
      <c r="I11224">
        <v>0</v>
      </c>
      <c r="J11224" s="1">
        <v>1045283</v>
      </c>
      <c r="K11224">
        <v>0</v>
      </c>
    </row>
    <row r="11225" spans="1:11" x14ac:dyDescent="0.25">
      <c r="A11225" t="s">
        <v>326</v>
      </c>
      <c r="B11225" t="s">
        <v>622</v>
      </c>
      <c r="C11225" t="s">
        <v>876</v>
      </c>
      <c r="D11225" t="s">
        <v>14</v>
      </c>
      <c r="E11225">
        <v>4</v>
      </c>
      <c r="F11225" s="2">
        <f>DATE(2026,IF(Tabla1[[#This Row],[Mes de Fecha]]="Septiembre",9,10),Tabla1[[#This Row],[Día de Fecha]])</f>
        <v>46299</v>
      </c>
      <c r="G11225">
        <v>1075240964</v>
      </c>
      <c r="H11225" t="s">
        <v>556</v>
      </c>
      <c r="I11225">
        <v>34</v>
      </c>
      <c r="J11225">
        <v>0</v>
      </c>
      <c r="K11225" s="1">
        <v>2006977</v>
      </c>
    </row>
    <row r="11226" spans="1:11" x14ac:dyDescent="0.25">
      <c r="A11226" t="s">
        <v>326</v>
      </c>
      <c r="B11226" t="s">
        <v>622</v>
      </c>
      <c r="C11226" t="s">
        <v>876</v>
      </c>
      <c r="D11226" t="s">
        <v>14</v>
      </c>
      <c r="E11226">
        <v>4</v>
      </c>
      <c r="F11226" s="2">
        <f>DATE(2026,IF(Tabla1[[#This Row],[Mes de Fecha]]="Septiembre",9,10),Tabla1[[#This Row],[Día de Fecha]])</f>
        <v>46299</v>
      </c>
      <c r="G11226">
        <v>1075295484</v>
      </c>
      <c r="H11226" t="s">
        <v>560</v>
      </c>
      <c r="I11226">
        <v>20</v>
      </c>
      <c r="J11226">
        <v>0</v>
      </c>
      <c r="K11226" s="1">
        <v>1360463</v>
      </c>
    </row>
    <row r="11227" spans="1:11" x14ac:dyDescent="0.25">
      <c r="A11227" t="s">
        <v>326</v>
      </c>
      <c r="B11227" t="s">
        <v>622</v>
      </c>
      <c r="C11227" t="s">
        <v>876</v>
      </c>
      <c r="D11227" t="s">
        <v>14</v>
      </c>
      <c r="E11227">
        <v>4</v>
      </c>
      <c r="F11227" s="2">
        <f>DATE(2026,IF(Tabla1[[#This Row],[Mes de Fecha]]="Septiembre",9,10),Tabla1[[#This Row],[Día de Fecha]])</f>
        <v>46299</v>
      </c>
      <c r="G11227">
        <v>1075303153</v>
      </c>
      <c r="H11227" t="s">
        <v>564</v>
      </c>
      <c r="I11227">
        <v>14</v>
      </c>
      <c r="J11227">
        <v>0</v>
      </c>
      <c r="K11227" s="1">
        <v>827058</v>
      </c>
    </row>
    <row r="11228" spans="1:11" x14ac:dyDescent="0.25">
      <c r="A11228" t="s">
        <v>326</v>
      </c>
      <c r="B11228" t="s">
        <v>622</v>
      </c>
      <c r="C11228" t="s">
        <v>876</v>
      </c>
      <c r="D11228" t="s">
        <v>14</v>
      </c>
      <c r="E11228">
        <v>4</v>
      </c>
      <c r="F11228" s="2">
        <f>DATE(2026,IF(Tabla1[[#This Row],[Mes de Fecha]]="Septiembre",9,10),Tabla1[[#This Row],[Día de Fecha]])</f>
        <v>46299</v>
      </c>
      <c r="G11228">
        <v>1079409046</v>
      </c>
      <c r="H11228" t="s">
        <v>623</v>
      </c>
      <c r="I11228">
        <v>6</v>
      </c>
      <c r="J11228">
        <v>0</v>
      </c>
      <c r="K11228" s="1">
        <v>365252</v>
      </c>
    </row>
    <row r="11229" spans="1:11" x14ac:dyDescent="0.25">
      <c r="A11229" t="s">
        <v>326</v>
      </c>
      <c r="B11229" t="s">
        <v>622</v>
      </c>
      <c r="C11229" t="s">
        <v>876</v>
      </c>
      <c r="D11229" t="s">
        <v>14</v>
      </c>
      <c r="E11229">
        <v>5</v>
      </c>
      <c r="F11229" s="2">
        <f>DATE(2026,IF(Tabla1[[#This Row],[Mes de Fecha]]="Septiembre",9,10),Tabla1[[#This Row],[Día de Fecha]])</f>
        <v>46300</v>
      </c>
      <c r="I11229">
        <v>0</v>
      </c>
      <c r="J11229" s="1">
        <v>4476854</v>
      </c>
      <c r="K11229">
        <v>0</v>
      </c>
    </row>
    <row r="11230" spans="1:11" x14ac:dyDescent="0.25">
      <c r="A11230" t="s">
        <v>326</v>
      </c>
      <c r="B11230" t="s">
        <v>622</v>
      </c>
      <c r="C11230" t="s">
        <v>876</v>
      </c>
      <c r="D11230" t="s">
        <v>14</v>
      </c>
      <c r="E11230">
        <v>5</v>
      </c>
      <c r="F11230" s="2">
        <f>DATE(2026,IF(Tabla1[[#This Row],[Mes de Fecha]]="Septiembre",9,10),Tabla1[[#This Row],[Día de Fecha]])</f>
        <v>46300</v>
      </c>
      <c r="G11230">
        <v>1075240964</v>
      </c>
      <c r="H11230" t="s">
        <v>556</v>
      </c>
      <c r="I11230">
        <v>14</v>
      </c>
      <c r="J11230">
        <v>0</v>
      </c>
      <c r="K11230" s="1">
        <v>845967</v>
      </c>
    </row>
    <row r="11231" spans="1:11" x14ac:dyDescent="0.25">
      <c r="A11231" t="s">
        <v>326</v>
      </c>
      <c r="B11231" t="s">
        <v>622</v>
      </c>
      <c r="C11231" t="s">
        <v>876</v>
      </c>
      <c r="D11231" t="s">
        <v>14</v>
      </c>
      <c r="E11231">
        <v>5</v>
      </c>
      <c r="F11231" s="2">
        <f>DATE(2026,IF(Tabla1[[#This Row],[Mes de Fecha]]="Septiembre",9,10),Tabla1[[#This Row],[Día de Fecha]])</f>
        <v>46300</v>
      </c>
      <c r="G11231">
        <v>1075295484</v>
      </c>
      <c r="H11231" t="s">
        <v>560</v>
      </c>
      <c r="I11231">
        <v>29</v>
      </c>
      <c r="J11231">
        <v>0</v>
      </c>
      <c r="K11231" s="1">
        <v>1639500</v>
      </c>
    </row>
    <row r="11232" spans="1:11" x14ac:dyDescent="0.25">
      <c r="A11232" t="s">
        <v>326</v>
      </c>
      <c r="B11232" t="s">
        <v>622</v>
      </c>
      <c r="C11232" t="s">
        <v>876</v>
      </c>
      <c r="D11232" t="s">
        <v>14</v>
      </c>
      <c r="E11232">
        <v>5</v>
      </c>
      <c r="F11232" s="2">
        <f>DATE(2026,IF(Tabla1[[#This Row],[Mes de Fecha]]="Septiembre",9,10),Tabla1[[#This Row],[Día de Fecha]])</f>
        <v>46300</v>
      </c>
      <c r="G11232">
        <v>1075303153</v>
      </c>
      <c r="H11232" t="s">
        <v>564</v>
      </c>
      <c r="I11232">
        <v>8</v>
      </c>
      <c r="J11232">
        <v>0</v>
      </c>
      <c r="K11232" s="1">
        <v>499622</v>
      </c>
    </row>
    <row r="11233" spans="1:11" x14ac:dyDescent="0.25">
      <c r="A11233" t="s">
        <v>326</v>
      </c>
      <c r="B11233" t="s">
        <v>622</v>
      </c>
      <c r="C11233" t="s">
        <v>876</v>
      </c>
      <c r="D11233" t="s">
        <v>14</v>
      </c>
      <c r="E11233">
        <v>5</v>
      </c>
      <c r="F11233" s="2">
        <f>DATE(2026,IF(Tabla1[[#This Row],[Mes de Fecha]]="Septiembre",9,10),Tabla1[[#This Row],[Día de Fecha]])</f>
        <v>46300</v>
      </c>
      <c r="G11233">
        <v>1079409046</v>
      </c>
      <c r="H11233" t="s">
        <v>623</v>
      </c>
      <c r="I11233">
        <v>12</v>
      </c>
      <c r="J11233">
        <v>0</v>
      </c>
      <c r="K11233" s="1">
        <v>596136</v>
      </c>
    </row>
    <row r="11234" spans="1:11" x14ac:dyDescent="0.25">
      <c r="A11234" t="s">
        <v>326</v>
      </c>
      <c r="B11234" t="s">
        <v>622</v>
      </c>
      <c r="C11234" t="s">
        <v>876</v>
      </c>
      <c r="D11234" t="s">
        <v>14</v>
      </c>
      <c r="E11234">
        <v>6</v>
      </c>
      <c r="F11234" s="2">
        <f>DATE(2026,IF(Tabla1[[#This Row],[Mes de Fecha]]="Septiembre",9,10),Tabla1[[#This Row],[Día de Fecha]])</f>
        <v>46301</v>
      </c>
      <c r="I11234">
        <v>0</v>
      </c>
      <c r="J11234" s="1">
        <v>4439732</v>
      </c>
      <c r="K11234">
        <v>0</v>
      </c>
    </row>
    <row r="11235" spans="1:11" x14ac:dyDescent="0.25">
      <c r="A11235" t="s">
        <v>326</v>
      </c>
      <c r="B11235" t="s">
        <v>622</v>
      </c>
      <c r="C11235" t="s">
        <v>876</v>
      </c>
      <c r="D11235" t="s">
        <v>14</v>
      </c>
      <c r="E11235">
        <v>6</v>
      </c>
      <c r="F11235" s="2">
        <f>DATE(2026,IF(Tabla1[[#This Row],[Mes de Fecha]]="Septiembre",9,10),Tabla1[[#This Row],[Día de Fecha]])</f>
        <v>46301</v>
      </c>
      <c r="G11235">
        <v>1075240964</v>
      </c>
      <c r="H11235" t="s">
        <v>556</v>
      </c>
      <c r="I11235">
        <v>13</v>
      </c>
      <c r="J11235">
        <v>0</v>
      </c>
      <c r="K11235" s="1">
        <v>755801</v>
      </c>
    </row>
    <row r="11236" spans="1:11" x14ac:dyDescent="0.25">
      <c r="A11236" t="s">
        <v>326</v>
      </c>
      <c r="B11236" t="s">
        <v>622</v>
      </c>
      <c r="C11236" t="s">
        <v>876</v>
      </c>
      <c r="D11236" t="s">
        <v>14</v>
      </c>
      <c r="E11236">
        <v>6</v>
      </c>
      <c r="F11236" s="2">
        <f>DATE(2026,IF(Tabla1[[#This Row],[Mes de Fecha]]="Septiembre",9,10),Tabla1[[#This Row],[Día de Fecha]])</f>
        <v>46301</v>
      </c>
      <c r="G11236">
        <v>1075295484</v>
      </c>
      <c r="H11236" t="s">
        <v>560</v>
      </c>
      <c r="I11236">
        <v>16</v>
      </c>
      <c r="J11236">
        <v>0</v>
      </c>
      <c r="K11236" s="1">
        <v>767983</v>
      </c>
    </row>
    <row r="11237" spans="1:11" x14ac:dyDescent="0.25">
      <c r="A11237" t="s">
        <v>326</v>
      </c>
      <c r="B11237" t="s">
        <v>622</v>
      </c>
      <c r="C11237" t="s">
        <v>876</v>
      </c>
      <c r="D11237" t="s">
        <v>14</v>
      </c>
      <c r="E11237">
        <v>6</v>
      </c>
      <c r="F11237" s="2">
        <f>DATE(2026,IF(Tabla1[[#This Row],[Mes de Fecha]]="Septiembre",9,10),Tabla1[[#This Row],[Día de Fecha]])</f>
        <v>46301</v>
      </c>
      <c r="G11237">
        <v>1075303153</v>
      </c>
      <c r="H11237" t="s">
        <v>564</v>
      </c>
      <c r="I11237">
        <v>4</v>
      </c>
      <c r="J11237">
        <v>0</v>
      </c>
      <c r="K11237" s="1">
        <v>184707</v>
      </c>
    </row>
    <row r="11238" spans="1:11" x14ac:dyDescent="0.25">
      <c r="A11238" t="s">
        <v>326</v>
      </c>
      <c r="B11238" t="s">
        <v>622</v>
      </c>
      <c r="C11238" t="s">
        <v>876</v>
      </c>
      <c r="D11238" t="s">
        <v>14</v>
      </c>
      <c r="E11238">
        <v>6</v>
      </c>
      <c r="F11238" s="2">
        <f>DATE(2026,IF(Tabla1[[#This Row],[Mes de Fecha]]="Septiembre",9,10),Tabla1[[#This Row],[Día de Fecha]])</f>
        <v>46301</v>
      </c>
      <c r="G11238">
        <v>1079409046</v>
      </c>
      <c r="H11238" t="s">
        <v>623</v>
      </c>
      <c r="I11238">
        <v>8</v>
      </c>
      <c r="J11238">
        <v>0</v>
      </c>
      <c r="K11238" s="1">
        <v>398825</v>
      </c>
    </row>
    <row r="11239" spans="1:11" x14ac:dyDescent="0.25">
      <c r="A11239" t="s">
        <v>326</v>
      </c>
      <c r="B11239" t="s">
        <v>622</v>
      </c>
      <c r="C11239" t="s">
        <v>876</v>
      </c>
      <c r="D11239" t="s">
        <v>14</v>
      </c>
      <c r="E11239">
        <v>7</v>
      </c>
      <c r="F11239" s="2">
        <f>DATE(2026,IF(Tabla1[[#This Row],[Mes de Fecha]]="Septiembre",9,10),Tabla1[[#This Row],[Día de Fecha]])</f>
        <v>46302</v>
      </c>
      <c r="I11239">
        <v>0</v>
      </c>
      <c r="J11239" s="1">
        <v>4381314</v>
      </c>
      <c r="K11239">
        <v>0</v>
      </c>
    </row>
    <row r="11240" spans="1:11" x14ac:dyDescent="0.25">
      <c r="A11240" t="s">
        <v>326</v>
      </c>
      <c r="B11240" t="s">
        <v>622</v>
      </c>
      <c r="C11240" t="s">
        <v>876</v>
      </c>
      <c r="D11240" t="s">
        <v>14</v>
      </c>
      <c r="E11240">
        <v>7</v>
      </c>
      <c r="F11240" s="2">
        <f>DATE(2026,IF(Tabla1[[#This Row],[Mes de Fecha]]="Septiembre",9,10),Tabla1[[#This Row],[Día de Fecha]])</f>
        <v>46302</v>
      </c>
      <c r="G11240">
        <v>1075240964</v>
      </c>
      <c r="H11240" t="s">
        <v>556</v>
      </c>
      <c r="I11240">
        <v>16</v>
      </c>
      <c r="J11240">
        <v>0</v>
      </c>
      <c r="K11240" s="1">
        <v>881641</v>
      </c>
    </row>
    <row r="11241" spans="1:11" x14ac:dyDescent="0.25">
      <c r="A11241" t="s">
        <v>326</v>
      </c>
      <c r="B11241" t="s">
        <v>622</v>
      </c>
      <c r="C11241" t="s">
        <v>876</v>
      </c>
      <c r="D11241" t="s">
        <v>14</v>
      </c>
      <c r="E11241">
        <v>7</v>
      </c>
      <c r="F11241" s="2">
        <f>DATE(2026,IF(Tabla1[[#This Row],[Mes de Fecha]]="Septiembre",9,10),Tabla1[[#This Row],[Día de Fecha]])</f>
        <v>46302</v>
      </c>
      <c r="G11241">
        <v>1075284277</v>
      </c>
      <c r="H11241" t="s">
        <v>559</v>
      </c>
      <c r="I11241">
        <v>-1</v>
      </c>
      <c r="J11241">
        <v>0</v>
      </c>
      <c r="K11241" s="1">
        <v>-37773</v>
      </c>
    </row>
    <row r="11242" spans="1:11" x14ac:dyDescent="0.25">
      <c r="A11242" t="s">
        <v>326</v>
      </c>
      <c r="B11242" t="s">
        <v>622</v>
      </c>
      <c r="C11242" t="s">
        <v>876</v>
      </c>
      <c r="D11242" t="s">
        <v>14</v>
      </c>
      <c r="E11242">
        <v>7</v>
      </c>
      <c r="F11242" s="2">
        <f>DATE(2026,IF(Tabla1[[#This Row],[Mes de Fecha]]="Septiembre",9,10),Tabla1[[#This Row],[Día de Fecha]])</f>
        <v>46302</v>
      </c>
      <c r="G11242">
        <v>1075295484</v>
      </c>
      <c r="H11242" t="s">
        <v>560</v>
      </c>
      <c r="I11242">
        <v>25</v>
      </c>
      <c r="J11242">
        <v>0</v>
      </c>
      <c r="K11242" s="1">
        <v>1332943</v>
      </c>
    </row>
    <row r="11243" spans="1:11" x14ac:dyDescent="0.25">
      <c r="A11243" t="s">
        <v>326</v>
      </c>
      <c r="B11243" t="s">
        <v>622</v>
      </c>
      <c r="C11243" t="s">
        <v>876</v>
      </c>
      <c r="D11243" t="s">
        <v>14</v>
      </c>
      <c r="E11243">
        <v>7</v>
      </c>
      <c r="F11243" s="2">
        <f>DATE(2026,IF(Tabla1[[#This Row],[Mes de Fecha]]="Septiembre",9,10),Tabla1[[#This Row],[Día de Fecha]])</f>
        <v>46302</v>
      </c>
      <c r="G11243">
        <v>1075303153</v>
      </c>
      <c r="H11243" t="s">
        <v>564</v>
      </c>
      <c r="I11243">
        <v>1</v>
      </c>
      <c r="J11243">
        <v>0</v>
      </c>
      <c r="K11243" s="1">
        <v>79790</v>
      </c>
    </row>
    <row r="11244" spans="1:11" x14ac:dyDescent="0.25">
      <c r="A11244" t="s">
        <v>326</v>
      </c>
      <c r="B11244" t="s">
        <v>622</v>
      </c>
      <c r="C11244" t="s">
        <v>876</v>
      </c>
      <c r="D11244" t="s">
        <v>14</v>
      </c>
      <c r="E11244">
        <v>7</v>
      </c>
      <c r="F11244" s="2">
        <f>DATE(2026,IF(Tabla1[[#This Row],[Mes de Fecha]]="Septiembre",9,10),Tabla1[[#This Row],[Día de Fecha]])</f>
        <v>46302</v>
      </c>
      <c r="G11244">
        <v>1079409046</v>
      </c>
      <c r="H11244" t="s">
        <v>623</v>
      </c>
      <c r="I11244">
        <v>5</v>
      </c>
      <c r="J11244">
        <v>0</v>
      </c>
      <c r="K11244" s="1">
        <v>302311</v>
      </c>
    </row>
    <row r="11245" spans="1:11" x14ac:dyDescent="0.25">
      <c r="A11245" t="s">
        <v>326</v>
      </c>
      <c r="B11245" t="s">
        <v>648</v>
      </c>
      <c r="C11245" t="s">
        <v>876</v>
      </c>
      <c r="D11245" t="s">
        <v>11</v>
      </c>
      <c r="E11245">
        <v>23</v>
      </c>
      <c r="F11245" s="2">
        <f>DATE(2026,IF(Tabla1[[#This Row],[Mes de Fecha]]="Septiembre",9,10),Tabla1[[#This Row],[Día de Fecha]])</f>
        <v>46288</v>
      </c>
      <c r="I11245">
        <v>0</v>
      </c>
      <c r="J11245" s="1">
        <v>16069344</v>
      </c>
      <c r="K11245">
        <v>0</v>
      </c>
    </row>
    <row r="11246" spans="1:11" x14ac:dyDescent="0.25">
      <c r="A11246" t="s">
        <v>326</v>
      </c>
      <c r="B11246" t="s">
        <v>648</v>
      </c>
      <c r="C11246" t="s">
        <v>876</v>
      </c>
      <c r="D11246" t="s">
        <v>11</v>
      </c>
      <c r="E11246">
        <v>23</v>
      </c>
      <c r="F11246" s="2">
        <f>DATE(2026,IF(Tabla1[[#This Row],[Mes de Fecha]]="Septiembre",9,10),Tabla1[[#This Row],[Día de Fecha]])</f>
        <v>46288</v>
      </c>
      <c r="G11246">
        <v>1006507172</v>
      </c>
      <c r="H11246" t="s">
        <v>650</v>
      </c>
      <c r="I11246">
        <v>64</v>
      </c>
      <c r="J11246">
        <v>0</v>
      </c>
      <c r="K11246" s="1">
        <v>3596009</v>
      </c>
    </row>
    <row r="11247" spans="1:11" x14ac:dyDescent="0.25">
      <c r="A11247" t="s">
        <v>326</v>
      </c>
      <c r="B11247" t="s">
        <v>648</v>
      </c>
      <c r="C11247" t="s">
        <v>876</v>
      </c>
      <c r="D11247" t="s">
        <v>11</v>
      </c>
      <c r="E11247">
        <v>23</v>
      </c>
      <c r="F11247" s="2">
        <f>DATE(2026,IF(Tabla1[[#This Row],[Mes de Fecha]]="Septiembre",9,10),Tabla1[[#This Row],[Día de Fecha]])</f>
        <v>46288</v>
      </c>
      <c r="G11247">
        <v>1073701531</v>
      </c>
      <c r="H11247" t="s">
        <v>649</v>
      </c>
      <c r="I11247">
        <v>69</v>
      </c>
      <c r="J11247">
        <v>0</v>
      </c>
      <c r="K11247" s="1">
        <v>4032734</v>
      </c>
    </row>
    <row r="11248" spans="1:11" x14ac:dyDescent="0.25">
      <c r="A11248" t="s">
        <v>326</v>
      </c>
      <c r="B11248" t="s">
        <v>648</v>
      </c>
      <c r="C11248" t="s">
        <v>876</v>
      </c>
      <c r="D11248" t="s">
        <v>11</v>
      </c>
      <c r="E11248">
        <v>23</v>
      </c>
      <c r="F11248" s="2">
        <f>DATE(2026,IF(Tabla1[[#This Row],[Mes de Fecha]]="Septiembre",9,10),Tabla1[[#This Row],[Día de Fecha]])</f>
        <v>46288</v>
      </c>
      <c r="G11248">
        <v>1117489558</v>
      </c>
      <c r="H11248" t="s">
        <v>651</v>
      </c>
      <c r="I11248">
        <v>30</v>
      </c>
      <c r="J11248">
        <v>0</v>
      </c>
      <c r="K11248" s="1">
        <v>1689919</v>
      </c>
    </row>
    <row r="11249" spans="1:11" x14ac:dyDescent="0.25">
      <c r="A11249" t="s">
        <v>326</v>
      </c>
      <c r="B11249" t="s">
        <v>648</v>
      </c>
      <c r="C11249" t="s">
        <v>876</v>
      </c>
      <c r="D11249" t="s">
        <v>11</v>
      </c>
      <c r="E11249">
        <v>23</v>
      </c>
      <c r="F11249" s="2">
        <f>DATE(2026,IF(Tabla1[[#This Row],[Mes de Fecha]]="Septiembre",9,10),Tabla1[[#This Row],[Día de Fecha]])</f>
        <v>46288</v>
      </c>
      <c r="G11249">
        <v>1117497460</v>
      </c>
      <c r="H11249" t="s">
        <v>652</v>
      </c>
      <c r="I11249">
        <v>38</v>
      </c>
      <c r="J11249">
        <v>0</v>
      </c>
      <c r="K11249" s="1">
        <v>2118113</v>
      </c>
    </row>
    <row r="11250" spans="1:11" x14ac:dyDescent="0.25">
      <c r="A11250" t="s">
        <v>326</v>
      </c>
      <c r="B11250" t="s">
        <v>648</v>
      </c>
      <c r="C11250" t="s">
        <v>876</v>
      </c>
      <c r="D11250" t="s">
        <v>11</v>
      </c>
      <c r="E11250">
        <v>24</v>
      </c>
      <c r="F11250" s="2">
        <f>DATE(2026,IF(Tabla1[[#This Row],[Mes de Fecha]]="Septiembre",9,10),Tabla1[[#This Row],[Día de Fecha]])</f>
        <v>46289</v>
      </c>
      <c r="I11250">
        <v>0</v>
      </c>
      <c r="J11250" s="1">
        <v>24547726</v>
      </c>
      <c r="K11250">
        <v>0</v>
      </c>
    </row>
    <row r="11251" spans="1:11" x14ac:dyDescent="0.25">
      <c r="A11251" t="s">
        <v>326</v>
      </c>
      <c r="B11251" t="s">
        <v>648</v>
      </c>
      <c r="C11251" t="s">
        <v>876</v>
      </c>
      <c r="D11251" t="s">
        <v>11</v>
      </c>
      <c r="E11251">
        <v>24</v>
      </c>
      <c r="F11251" s="2">
        <f>DATE(2026,IF(Tabla1[[#This Row],[Mes de Fecha]]="Septiembre",9,10),Tabla1[[#This Row],[Día de Fecha]])</f>
        <v>46289</v>
      </c>
      <c r="G11251">
        <v>1006507172</v>
      </c>
      <c r="H11251" t="s">
        <v>650</v>
      </c>
      <c r="I11251">
        <v>136</v>
      </c>
      <c r="J11251">
        <v>0</v>
      </c>
      <c r="K11251" s="1">
        <v>7924878</v>
      </c>
    </row>
    <row r="11252" spans="1:11" x14ac:dyDescent="0.25">
      <c r="A11252" t="s">
        <v>326</v>
      </c>
      <c r="B11252" t="s">
        <v>648</v>
      </c>
      <c r="C11252" t="s">
        <v>876</v>
      </c>
      <c r="D11252" t="s">
        <v>11</v>
      </c>
      <c r="E11252">
        <v>24</v>
      </c>
      <c r="F11252" s="2">
        <f>DATE(2026,IF(Tabla1[[#This Row],[Mes de Fecha]]="Septiembre",9,10),Tabla1[[#This Row],[Día de Fecha]])</f>
        <v>46289</v>
      </c>
      <c r="G11252">
        <v>1073701531</v>
      </c>
      <c r="H11252" t="s">
        <v>649</v>
      </c>
      <c r="I11252">
        <v>133</v>
      </c>
      <c r="J11252">
        <v>0</v>
      </c>
      <c r="K11252" s="1">
        <v>7653958</v>
      </c>
    </row>
    <row r="11253" spans="1:11" x14ac:dyDescent="0.25">
      <c r="A11253" t="s">
        <v>326</v>
      </c>
      <c r="B11253" t="s">
        <v>648</v>
      </c>
      <c r="C11253" t="s">
        <v>876</v>
      </c>
      <c r="D11253" t="s">
        <v>11</v>
      </c>
      <c r="E11253">
        <v>24</v>
      </c>
      <c r="F11253" s="2">
        <f>DATE(2026,IF(Tabla1[[#This Row],[Mes de Fecha]]="Septiembre",9,10),Tabla1[[#This Row],[Día de Fecha]])</f>
        <v>46289</v>
      </c>
      <c r="G11253">
        <v>1117489558</v>
      </c>
      <c r="H11253" t="s">
        <v>651</v>
      </c>
      <c r="I11253">
        <v>20</v>
      </c>
      <c r="J11253">
        <v>0</v>
      </c>
      <c r="K11253" s="1">
        <v>1053782</v>
      </c>
    </row>
    <row r="11254" spans="1:11" x14ac:dyDescent="0.25">
      <c r="A11254" t="s">
        <v>326</v>
      </c>
      <c r="B11254" t="s">
        <v>648</v>
      </c>
      <c r="C11254" t="s">
        <v>876</v>
      </c>
      <c r="D11254" t="s">
        <v>11</v>
      </c>
      <c r="E11254">
        <v>24</v>
      </c>
      <c r="F11254" s="2">
        <f>DATE(2026,IF(Tabla1[[#This Row],[Mes de Fecha]]="Septiembre",9,10),Tabla1[[#This Row],[Día de Fecha]])</f>
        <v>46289</v>
      </c>
      <c r="G11254">
        <v>1117497460</v>
      </c>
      <c r="H11254" t="s">
        <v>652</v>
      </c>
      <c r="I11254">
        <v>23</v>
      </c>
      <c r="J11254">
        <v>0</v>
      </c>
      <c r="K11254" s="1">
        <v>1154499</v>
      </c>
    </row>
    <row r="11255" spans="1:11" x14ac:dyDescent="0.25">
      <c r="A11255" t="s">
        <v>326</v>
      </c>
      <c r="B11255" t="s">
        <v>648</v>
      </c>
      <c r="C11255" t="s">
        <v>876</v>
      </c>
      <c r="D11255" t="s">
        <v>11</v>
      </c>
      <c r="E11255">
        <v>25</v>
      </c>
      <c r="F11255" s="2">
        <f>DATE(2026,IF(Tabla1[[#This Row],[Mes de Fecha]]="Septiembre",9,10),Tabla1[[#This Row],[Día de Fecha]])</f>
        <v>46290</v>
      </c>
      <c r="I11255">
        <v>0</v>
      </c>
      <c r="J11255" s="1">
        <v>24493384</v>
      </c>
      <c r="K11255">
        <v>0</v>
      </c>
    </row>
    <row r="11256" spans="1:11" x14ac:dyDescent="0.25">
      <c r="A11256" t="s">
        <v>326</v>
      </c>
      <c r="B11256" t="s">
        <v>648</v>
      </c>
      <c r="C11256" t="s">
        <v>876</v>
      </c>
      <c r="D11256" t="s">
        <v>11</v>
      </c>
      <c r="E11256">
        <v>25</v>
      </c>
      <c r="F11256" s="2">
        <f>DATE(2026,IF(Tabla1[[#This Row],[Mes de Fecha]]="Septiembre",9,10),Tabla1[[#This Row],[Día de Fecha]])</f>
        <v>46290</v>
      </c>
      <c r="G11256">
        <v>1006507172</v>
      </c>
      <c r="H11256" t="s">
        <v>650</v>
      </c>
      <c r="I11256">
        <v>150</v>
      </c>
      <c r="J11256">
        <v>0</v>
      </c>
      <c r="K11256" s="1">
        <v>8044000</v>
      </c>
    </row>
    <row r="11257" spans="1:11" x14ac:dyDescent="0.25">
      <c r="A11257" t="s">
        <v>326</v>
      </c>
      <c r="B11257" t="s">
        <v>648</v>
      </c>
      <c r="C11257" t="s">
        <v>876</v>
      </c>
      <c r="D11257" t="s">
        <v>11</v>
      </c>
      <c r="E11257">
        <v>25</v>
      </c>
      <c r="F11257" s="2">
        <f>DATE(2026,IF(Tabla1[[#This Row],[Mes de Fecha]]="Septiembre",9,10),Tabla1[[#This Row],[Día de Fecha]])</f>
        <v>46290</v>
      </c>
      <c r="G11257">
        <v>1073701531</v>
      </c>
      <c r="H11257" t="s">
        <v>649</v>
      </c>
      <c r="I11257">
        <v>139</v>
      </c>
      <c r="J11257">
        <v>0</v>
      </c>
      <c r="K11257" s="1">
        <v>8042489</v>
      </c>
    </row>
    <row r="11258" spans="1:11" x14ac:dyDescent="0.25">
      <c r="A11258" t="s">
        <v>326</v>
      </c>
      <c r="B11258" t="s">
        <v>648</v>
      </c>
      <c r="C11258" t="s">
        <v>876</v>
      </c>
      <c r="D11258" t="s">
        <v>11</v>
      </c>
      <c r="E11258">
        <v>25</v>
      </c>
      <c r="F11258" s="2">
        <f>DATE(2026,IF(Tabla1[[#This Row],[Mes de Fecha]]="Septiembre",9,10),Tabla1[[#This Row],[Día de Fecha]])</f>
        <v>46290</v>
      </c>
      <c r="G11258">
        <v>1117489558</v>
      </c>
      <c r="H11258" t="s">
        <v>651</v>
      </c>
      <c r="I11258">
        <v>15</v>
      </c>
      <c r="J11258">
        <v>0</v>
      </c>
      <c r="K11258" s="1">
        <v>730421</v>
      </c>
    </row>
    <row r="11259" spans="1:11" x14ac:dyDescent="0.25">
      <c r="A11259" t="s">
        <v>326</v>
      </c>
      <c r="B11259" t="s">
        <v>648</v>
      </c>
      <c r="C11259" t="s">
        <v>876</v>
      </c>
      <c r="D11259" t="s">
        <v>11</v>
      </c>
      <c r="E11259">
        <v>25</v>
      </c>
      <c r="F11259" s="2">
        <f>DATE(2026,IF(Tabla1[[#This Row],[Mes de Fecha]]="Septiembre",9,10),Tabla1[[#This Row],[Día de Fecha]])</f>
        <v>46290</v>
      </c>
      <c r="G11259">
        <v>1117497460</v>
      </c>
      <c r="H11259" t="s">
        <v>652</v>
      </c>
      <c r="I11259">
        <v>20</v>
      </c>
      <c r="J11259">
        <v>0</v>
      </c>
      <c r="K11259" s="1">
        <v>1007524</v>
      </c>
    </row>
    <row r="11260" spans="1:11" x14ac:dyDescent="0.25">
      <c r="A11260" t="s">
        <v>326</v>
      </c>
      <c r="B11260" t="s">
        <v>648</v>
      </c>
      <c r="C11260" t="s">
        <v>876</v>
      </c>
      <c r="D11260" t="s">
        <v>11</v>
      </c>
      <c r="E11260">
        <v>26</v>
      </c>
      <c r="F11260" s="2">
        <f>DATE(2026,IF(Tabla1[[#This Row],[Mes de Fecha]]="Septiembre",9,10),Tabla1[[#This Row],[Día de Fecha]])</f>
        <v>46291</v>
      </c>
      <c r="I11260">
        <v>0</v>
      </c>
      <c r="J11260" s="1">
        <v>35200512</v>
      </c>
      <c r="K11260">
        <v>0</v>
      </c>
    </row>
    <row r="11261" spans="1:11" x14ac:dyDescent="0.25">
      <c r="A11261" t="s">
        <v>326</v>
      </c>
      <c r="B11261" t="s">
        <v>648</v>
      </c>
      <c r="C11261" t="s">
        <v>876</v>
      </c>
      <c r="D11261" t="s">
        <v>11</v>
      </c>
      <c r="E11261">
        <v>26</v>
      </c>
      <c r="F11261" s="2">
        <f>DATE(2026,IF(Tabla1[[#This Row],[Mes de Fecha]]="Septiembre",9,10),Tabla1[[#This Row],[Día de Fecha]])</f>
        <v>46291</v>
      </c>
      <c r="G11261">
        <v>1006507172</v>
      </c>
      <c r="H11261" t="s">
        <v>650</v>
      </c>
      <c r="I11261">
        <v>239</v>
      </c>
      <c r="J11261">
        <v>0</v>
      </c>
      <c r="K11261" s="1">
        <v>13783879</v>
      </c>
    </row>
    <row r="11262" spans="1:11" x14ac:dyDescent="0.25">
      <c r="A11262" t="s">
        <v>326</v>
      </c>
      <c r="B11262" t="s">
        <v>648</v>
      </c>
      <c r="C11262" t="s">
        <v>876</v>
      </c>
      <c r="D11262" t="s">
        <v>11</v>
      </c>
      <c r="E11262">
        <v>26</v>
      </c>
      <c r="F11262" s="2">
        <f>DATE(2026,IF(Tabla1[[#This Row],[Mes de Fecha]]="Septiembre",9,10),Tabla1[[#This Row],[Día de Fecha]])</f>
        <v>46291</v>
      </c>
      <c r="G11262">
        <v>1073701531</v>
      </c>
      <c r="H11262" t="s">
        <v>649</v>
      </c>
      <c r="I11262">
        <v>233</v>
      </c>
      <c r="J11262">
        <v>0</v>
      </c>
      <c r="K11262" s="1">
        <v>13525853</v>
      </c>
    </row>
    <row r="11263" spans="1:11" x14ac:dyDescent="0.25">
      <c r="A11263" t="s">
        <v>326</v>
      </c>
      <c r="B11263" t="s">
        <v>648</v>
      </c>
      <c r="C11263" t="s">
        <v>876</v>
      </c>
      <c r="D11263" t="s">
        <v>11</v>
      </c>
      <c r="E11263">
        <v>26</v>
      </c>
      <c r="F11263" s="2">
        <f>DATE(2026,IF(Tabla1[[#This Row],[Mes de Fecha]]="Septiembre",9,10),Tabla1[[#This Row],[Día de Fecha]])</f>
        <v>46291</v>
      </c>
      <c r="G11263">
        <v>1117489558</v>
      </c>
      <c r="H11263" t="s">
        <v>651</v>
      </c>
      <c r="I11263">
        <v>31</v>
      </c>
      <c r="J11263">
        <v>0</v>
      </c>
      <c r="K11263" s="1">
        <v>1998702</v>
      </c>
    </row>
    <row r="11264" spans="1:11" x14ac:dyDescent="0.25">
      <c r="A11264" t="s">
        <v>326</v>
      </c>
      <c r="B11264" t="s">
        <v>648</v>
      </c>
      <c r="C11264" t="s">
        <v>876</v>
      </c>
      <c r="D11264" t="s">
        <v>11</v>
      </c>
      <c r="E11264">
        <v>26</v>
      </c>
      <c r="F11264" s="2">
        <f>DATE(2026,IF(Tabla1[[#This Row],[Mes de Fecha]]="Septiembre",9,10),Tabla1[[#This Row],[Día de Fecha]])</f>
        <v>46291</v>
      </c>
      <c r="G11264">
        <v>1117497460</v>
      </c>
      <c r="H11264" t="s">
        <v>652</v>
      </c>
      <c r="I11264">
        <v>37</v>
      </c>
      <c r="J11264">
        <v>0</v>
      </c>
      <c r="K11264" s="1">
        <v>2099287</v>
      </c>
    </row>
    <row r="11265" spans="1:11" x14ac:dyDescent="0.25">
      <c r="A11265" t="s">
        <v>326</v>
      </c>
      <c r="B11265" t="s">
        <v>648</v>
      </c>
      <c r="C11265" t="s">
        <v>876</v>
      </c>
      <c r="D11265" t="s">
        <v>11</v>
      </c>
      <c r="E11265">
        <v>27</v>
      </c>
      <c r="F11265" s="2">
        <f>DATE(2026,IF(Tabla1[[#This Row],[Mes de Fecha]]="Septiembre",9,10),Tabla1[[#This Row],[Día de Fecha]])</f>
        <v>46292</v>
      </c>
      <c r="I11265">
        <v>0</v>
      </c>
      <c r="J11265" s="1">
        <v>27885889</v>
      </c>
      <c r="K11265">
        <v>0</v>
      </c>
    </row>
    <row r="11266" spans="1:11" x14ac:dyDescent="0.25">
      <c r="A11266" t="s">
        <v>326</v>
      </c>
      <c r="B11266" t="s">
        <v>648</v>
      </c>
      <c r="C11266" t="s">
        <v>876</v>
      </c>
      <c r="D11266" t="s">
        <v>11</v>
      </c>
      <c r="E11266">
        <v>27</v>
      </c>
      <c r="F11266" s="2">
        <f>DATE(2026,IF(Tabla1[[#This Row],[Mes de Fecha]]="Septiembre",9,10),Tabla1[[#This Row],[Día de Fecha]])</f>
        <v>46292</v>
      </c>
      <c r="G11266">
        <v>1006507172</v>
      </c>
      <c r="H11266" t="s">
        <v>650</v>
      </c>
      <c r="I11266">
        <v>180</v>
      </c>
      <c r="J11266">
        <v>0</v>
      </c>
      <c r="K11266" s="1">
        <v>10088917</v>
      </c>
    </row>
    <row r="11267" spans="1:11" x14ac:dyDescent="0.25">
      <c r="A11267" t="s">
        <v>326</v>
      </c>
      <c r="B11267" t="s">
        <v>648</v>
      </c>
      <c r="C11267" t="s">
        <v>876</v>
      </c>
      <c r="D11267" t="s">
        <v>11</v>
      </c>
      <c r="E11267">
        <v>27</v>
      </c>
      <c r="F11267" s="2">
        <f>DATE(2026,IF(Tabla1[[#This Row],[Mes de Fecha]]="Septiembre",9,10),Tabla1[[#This Row],[Día de Fecha]])</f>
        <v>46292</v>
      </c>
      <c r="G11267">
        <v>1073701531</v>
      </c>
      <c r="H11267" t="s">
        <v>649</v>
      </c>
      <c r="I11267">
        <v>178</v>
      </c>
      <c r="J11267">
        <v>0</v>
      </c>
      <c r="K11267" s="1">
        <v>10187783</v>
      </c>
    </row>
    <row r="11268" spans="1:11" x14ac:dyDescent="0.25">
      <c r="A11268" t="s">
        <v>326</v>
      </c>
      <c r="B11268" t="s">
        <v>648</v>
      </c>
      <c r="C11268" t="s">
        <v>876</v>
      </c>
      <c r="D11268" t="s">
        <v>11</v>
      </c>
      <c r="E11268">
        <v>27</v>
      </c>
      <c r="F11268" s="2">
        <f>DATE(2026,IF(Tabla1[[#This Row],[Mes de Fecha]]="Septiembre",9,10),Tabla1[[#This Row],[Día de Fecha]])</f>
        <v>46292</v>
      </c>
      <c r="G11268">
        <v>1117489558</v>
      </c>
      <c r="H11268" t="s">
        <v>651</v>
      </c>
      <c r="I11268">
        <v>23</v>
      </c>
      <c r="J11268">
        <v>0</v>
      </c>
      <c r="K11268" s="1">
        <v>1030424</v>
      </c>
    </row>
    <row r="11269" spans="1:11" x14ac:dyDescent="0.25">
      <c r="A11269" t="s">
        <v>326</v>
      </c>
      <c r="B11269" t="s">
        <v>648</v>
      </c>
      <c r="C11269" t="s">
        <v>876</v>
      </c>
      <c r="D11269" t="s">
        <v>11</v>
      </c>
      <c r="E11269">
        <v>27</v>
      </c>
      <c r="F11269" s="2">
        <f>DATE(2026,IF(Tabla1[[#This Row],[Mes de Fecha]]="Septiembre",9,10),Tabla1[[#This Row],[Día de Fecha]])</f>
        <v>46292</v>
      </c>
      <c r="G11269">
        <v>1117497460</v>
      </c>
      <c r="H11269" t="s">
        <v>652</v>
      </c>
      <c r="I11269">
        <v>23</v>
      </c>
      <c r="J11269">
        <v>0</v>
      </c>
      <c r="K11269" s="1">
        <v>1108279</v>
      </c>
    </row>
    <row r="11270" spans="1:11" x14ac:dyDescent="0.25">
      <c r="A11270" t="s">
        <v>326</v>
      </c>
      <c r="B11270" t="s">
        <v>648</v>
      </c>
      <c r="C11270" t="s">
        <v>876</v>
      </c>
      <c r="D11270" t="s">
        <v>11</v>
      </c>
      <c r="E11270">
        <v>28</v>
      </c>
      <c r="F11270" s="2">
        <f>DATE(2026,IF(Tabla1[[#This Row],[Mes de Fecha]]="Septiembre",9,10),Tabla1[[#This Row],[Día de Fecha]])</f>
        <v>46293</v>
      </c>
      <c r="I11270">
        <v>0</v>
      </c>
      <c r="J11270" s="1">
        <v>15347250</v>
      </c>
      <c r="K11270">
        <v>0</v>
      </c>
    </row>
    <row r="11271" spans="1:11" x14ac:dyDescent="0.25">
      <c r="A11271" t="s">
        <v>326</v>
      </c>
      <c r="B11271" t="s">
        <v>648</v>
      </c>
      <c r="C11271" t="s">
        <v>876</v>
      </c>
      <c r="D11271" t="s">
        <v>11</v>
      </c>
      <c r="E11271">
        <v>28</v>
      </c>
      <c r="F11271" s="2">
        <f>DATE(2026,IF(Tabla1[[#This Row],[Mes de Fecha]]="Septiembre",9,10),Tabla1[[#This Row],[Día de Fecha]])</f>
        <v>46293</v>
      </c>
      <c r="G11271">
        <v>1006507172</v>
      </c>
      <c r="H11271" t="s">
        <v>650</v>
      </c>
      <c r="I11271">
        <v>105</v>
      </c>
      <c r="J11271">
        <v>0</v>
      </c>
      <c r="K11271" s="1">
        <v>5554374</v>
      </c>
    </row>
    <row r="11272" spans="1:11" x14ac:dyDescent="0.25">
      <c r="A11272" t="s">
        <v>326</v>
      </c>
      <c r="B11272" t="s">
        <v>648</v>
      </c>
      <c r="C11272" t="s">
        <v>876</v>
      </c>
      <c r="D11272" t="s">
        <v>11</v>
      </c>
      <c r="E11272">
        <v>28</v>
      </c>
      <c r="F11272" s="2">
        <f>DATE(2026,IF(Tabla1[[#This Row],[Mes de Fecha]]="Septiembre",9,10),Tabla1[[#This Row],[Día de Fecha]])</f>
        <v>46293</v>
      </c>
      <c r="G11272">
        <v>1006529235</v>
      </c>
      <c r="H11272" t="s">
        <v>653</v>
      </c>
      <c r="I11272">
        <v>3</v>
      </c>
      <c r="J11272">
        <v>0</v>
      </c>
      <c r="K11272" s="1">
        <v>159539</v>
      </c>
    </row>
    <row r="11273" spans="1:11" x14ac:dyDescent="0.25">
      <c r="A11273" t="s">
        <v>326</v>
      </c>
      <c r="B11273" t="s">
        <v>648</v>
      </c>
      <c r="C11273" t="s">
        <v>876</v>
      </c>
      <c r="D11273" t="s">
        <v>11</v>
      </c>
      <c r="E11273">
        <v>28</v>
      </c>
      <c r="F11273" s="2">
        <f>DATE(2026,IF(Tabla1[[#This Row],[Mes de Fecha]]="Septiembre",9,10),Tabla1[[#This Row],[Día de Fecha]])</f>
        <v>46293</v>
      </c>
      <c r="G11273">
        <v>1073701531</v>
      </c>
      <c r="H11273" t="s">
        <v>649</v>
      </c>
      <c r="I11273">
        <v>64</v>
      </c>
      <c r="J11273">
        <v>0</v>
      </c>
      <c r="K11273" s="1">
        <v>3577146</v>
      </c>
    </row>
    <row r="11274" spans="1:11" x14ac:dyDescent="0.25">
      <c r="A11274" t="s">
        <v>326</v>
      </c>
      <c r="B11274" t="s">
        <v>648</v>
      </c>
      <c r="C11274" t="s">
        <v>876</v>
      </c>
      <c r="D11274" t="s">
        <v>11</v>
      </c>
      <c r="E11274">
        <v>28</v>
      </c>
      <c r="F11274" s="2">
        <f>DATE(2026,IF(Tabla1[[#This Row],[Mes de Fecha]]="Septiembre",9,10),Tabla1[[#This Row],[Día de Fecha]])</f>
        <v>46293</v>
      </c>
      <c r="G11274">
        <v>1117489558</v>
      </c>
      <c r="H11274" t="s">
        <v>651</v>
      </c>
      <c r="I11274">
        <v>1</v>
      </c>
      <c r="J11274">
        <v>0</v>
      </c>
      <c r="K11274" s="1">
        <v>29370</v>
      </c>
    </row>
    <row r="11275" spans="1:11" x14ac:dyDescent="0.25">
      <c r="A11275" t="s">
        <v>326</v>
      </c>
      <c r="B11275" t="s">
        <v>648</v>
      </c>
      <c r="C11275" t="s">
        <v>876</v>
      </c>
      <c r="D11275" t="s">
        <v>11</v>
      </c>
      <c r="E11275">
        <v>28</v>
      </c>
      <c r="F11275" s="2">
        <f>DATE(2026,IF(Tabla1[[#This Row],[Mes de Fecha]]="Septiembre",9,10),Tabla1[[#This Row],[Día de Fecha]])</f>
        <v>46293</v>
      </c>
      <c r="G11275">
        <v>1117497460</v>
      </c>
      <c r="H11275" t="s">
        <v>652</v>
      </c>
      <c r="I11275">
        <v>4</v>
      </c>
      <c r="J11275">
        <v>0</v>
      </c>
      <c r="K11275" s="1">
        <v>172101</v>
      </c>
    </row>
    <row r="11276" spans="1:11" x14ac:dyDescent="0.25">
      <c r="A11276" t="s">
        <v>326</v>
      </c>
      <c r="B11276" t="s">
        <v>648</v>
      </c>
      <c r="C11276" t="s">
        <v>876</v>
      </c>
      <c r="D11276" t="s">
        <v>11</v>
      </c>
      <c r="E11276">
        <v>29</v>
      </c>
      <c r="F11276" s="2">
        <f>DATE(2026,IF(Tabla1[[#This Row],[Mes de Fecha]]="Septiembre",9,10),Tabla1[[#This Row],[Día de Fecha]])</f>
        <v>46294</v>
      </c>
      <c r="I11276">
        <v>0</v>
      </c>
      <c r="J11276" s="1">
        <v>16393864</v>
      </c>
      <c r="K11276">
        <v>0</v>
      </c>
    </row>
    <row r="11277" spans="1:11" x14ac:dyDescent="0.25">
      <c r="A11277" t="s">
        <v>326</v>
      </c>
      <c r="B11277" t="s">
        <v>648</v>
      </c>
      <c r="C11277" t="s">
        <v>876</v>
      </c>
      <c r="D11277" t="s">
        <v>11</v>
      </c>
      <c r="E11277">
        <v>29</v>
      </c>
      <c r="F11277" s="2">
        <f>DATE(2026,IF(Tabla1[[#This Row],[Mes de Fecha]]="Septiembre",9,10),Tabla1[[#This Row],[Día de Fecha]])</f>
        <v>46294</v>
      </c>
      <c r="G11277">
        <v>1006507172</v>
      </c>
      <c r="H11277" t="s">
        <v>650</v>
      </c>
      <c r="I11277">
        <v>112</v>
      </c>
      <c r="J11277">
        <v>0</v>
      </c>
      <c r="K11277" s="1">
        <v>6436479</v>
      </c>
    </row>
    <row r="11278" spans="1:11" x14ac:dyDescent="0.25">
      <c r="A11278" t="s">
        <v>326</v>
      </c>
      <c r="B11278" t="s">
        <v>648</v>
      </c>
      <c r="C11278" t="s">
        <v>876</v>
      </c>
      <c r="D11278" t="s">
        <v>11</v>
      </c>
      <c r="E11278">
        <v>29</v>
      </c>
      <c r="F11278" s="2">
        <f>DATE(2026,IF(Tabla1[[#This Row],[Mes de Fecha]]="Septiembre",9,10),Tabla1[[#This Row],[Día de Fecha]])</f>
        <v>46294</v>
      </c>
      <c r="G11278">
        <v>1073701531</v>
      </c>
      <c r="H11278" t="s">
        <v>649</v>
      </c>
      <c r="I11278">
        <v>109</v>
      </c>
      <c r="J11278">
        <v>0</v>
      </c>
      <c r="K11278" s="1">
        <v>6110897</v>
      </c>
    </row>
    <row r="11279" spans="1:11" x14ac:dyDescent="0.25">
      <c r="A11279" t="s">
        <v>326</v>
      </c>
      <c r="B11279" t="s">
        <v>648</v>
      </c>
      <c r="C11279" t="s">
        <v>876</v>
      </c>
      <c r="D11279" t="s">
        <v>11</v>
      </c>
      <c r="E11279">
        <v>30</v>
      </c>
      <c r="F11279" s="2">
        <f>DATE(2026,IF(Tabla1[[#This Row],[Mes de Fecha]]="Septiembre",9,10),Tabla1[[#This Row],[Día de Fecha]])</f>
        <v>46295</v>
      </c>
      <c r="I11279">
        <v>0</v>
      </c>
      <c r="J11279" s="1">
        <v>16935158</v>
      </c>
      <c r="K11279">
        <v>0</v>
      </c>
    </row>
    <row r="11280" spans="1:11" x14ac:dyDescent="0.25">
      <c r="A11280" t="s">
        <v>326</v>
      </c>
      <c r="B11280" t="s">
        <v>648</v>
      </c>
      <c r="C11280" t="s">
        <v>876</v>
      </c>
      <c r="D11280" t="s">
        <v>11</v>
      </c>
      <c r="E11280">
        <v>30</v>
      </c>
      <c r="F11280" s="2">
        <f>DATE(2026,IF(Tabla1[[#This Row],[Mes de Fecha]]="Septiembre",9,10),Tabla1[[#This Row],[Día de Fecha]])</f>
        <v>46295</v>
      </c>
      <c r="G11280">
        <v>1006507172</v>
      </c>
      <c r="H11280" t="s">
        <v>650</v>
      </c>
      <c r="I11280">
        <v>143</v>
      </c>
      <c r="J11280">
        <v>0</v>
      </c>
      <c r="K11280" s="1">
        <v>8212195</v>
      </c>
    </row>
    <row r="11281" spans="1:11" x14ac:dyDescent="0.25">
      <c r="A11281" t="s">
        <v>326</v>
      </c>
      <c r="B11281" t="s">
        <v>648</v>
      </c>
      <c r="C11281" t="s">
        <v>876</v>
      </c>
      <c r="D11281" t="s">
        <v>11</v>
      </c>
      <c r="E11281">
        <v>30</v>
      </c>
      <c r="F11281" s="2">
        <f>DATE(2026,IF(Tabla1[[#This Row],[Mes de Fecha]]="Septiembre",9,10),Tabla1[[#This Row],[Día de Fecha]])</f>
        <v>46295</v>
      </c>
      <c r="G11281">
        <v>1006529235</v>
      </c>
      <c r="H11281" t="s">
        <v>653</v>
      </c>
      <c r="I11281">
        <v>19</v>
      </c>
      <c r="J11281">
        <v>0</v>
      </c>
      <c r="K11281" s="1">
        <v>969792</v>
      </c>
    </row>
    <row r="11282" spans="1:11" x14ac:dyDescent="0.25">
      <c r="A11282" t="s">
        <v>326</v>
      </c>
      <c r="B11282" t="s">
        <v>648</v>
      </c>
      <c r="C11282" t="s">
        <v>876</v>
      </c>
      <c r="D11282" t="s">
        <v>11</v>
      </c>
      <c r="E11282">
        <v>30</v>
      </c>
      <c r="F11282" s="2">
        <f>DATE(2026,IF(Tabla1[[#This Row],[Mes de Fecha]]="Septiembre",9,10),Tabla1[[#This Row],[Día de Fecha]])</f>
        <v>46295</v>
      </c>
      <c r="G11282">
        <v>1073701531</v>
      </c>
      <c r="H11282" t="s">
        <v>649</v>
      </c>
      <c r="I11282">
        <v>67</v>
      </c>
      <c r="J11282">
        <v>0</v>
      </c>
      <c r="K11282" s="1">
        <v>3236473</v>
      </c>
    </row>
    <row r="11283" spans="1:11" x14ac:dyDescent="0.25">
      <c r="A11283" t="s">
        <v>326</v>
      </c>
      <c r="B11283" t="s">
        <v>648</v>
      </c>
      <c r="C11283" t="s">
        <v>876</v>
      </c>
      <c r="D11283" t="s">
        <v>11</v>
      </c>
      <c r="E11283">
        <v>30</v>
      </c>
      <c r="F11283" s="2">
        <f>DATE(2026,IF(Tabla1[[#This Row],[Mes de Fecha]]="Septiembre",9,10),Tabla1[[#This Row],[Día de Fecha]])</f>
        <v>46295</v>
      </c>
      <c r="G11283">
        <v>1117489558</v>
      </c>
      <c r="H11283" t="s">
        <v>651</v>
      </c>
      <c r="I11283">
        <v>7</v>
      </c>
      <c r="J11283">
        <v>0</v>
      </c>
      <c r="K11283" s="1">
        <v>377858</v>
      </c>
    </row>
    <row r="11284" spans="1:11" x14ac:dyDescent="0.25">
      <c r="A11284" t="s">
        <v>326</v>
      </c>
      <c r="B11284" t="s">
        <v>648</v>
      </c>
      <c r="C11284" t="s">
        <v>876</v>
      </c>
      <c r="D11284" t="s">
        <v>14</v>
      </c>
      <c r="E11284">
        <v>1</v>
      </c>
      <c r="F11284" s="2">
        <f>DATE(2026,IF(Tabla1[[#This Row],[Mes de Fecha]]="Septiembre",9,10),Tabla1[[#This Row],[Día de Fecha]])</f>
        <v>46296</v>
      </c>
      <c r="I11284">
        <v>0</v>
      </c>
      <c r="J11284" s="1">
        <v>21735170</v>
      </c>
      <c r="K11284">
        <v>0</v>
      </c>
    </row>
    <row r="11285" spans="1:11" x14ac:dyDescent="0.25">
      <c r="A11285" t="s">
        <v>326</v>
      </c>
      <c r="B11285" t="s">
        <v>648</v>
      </c>
      <c r="C11285" t="s">
        <v>876</v>
      </c>
      <c r="D11285" t="s">
        <v>14</v>
      </c>
      <c r="E11285">
        <v>1</v>
      </c>
      <c r="F11285" s="2">
        <f>DATE(2026,IF(Tabla1[[#This Row],[Mes de Fecha]]="Septiembre",9,10),Tabla1[[#This Row],[Día de Fecha]])</f>
        <v>46296</v>
      </c>
      <c r="G11285">
        <v>1006507172</v>
      </c>
      <c r="H11285" t="s">
        <v>650</v>
      </c>
      <c r="I11285">
        <v>119</v>
      </c>
      <c r="J11285">
        <v>0</v>
      </c>
      <c r="K11285" s="1">
        <v>7230475</v>
      </c>
    </row>
    <row r="11286" spans="1:11" x14ac:dyDescent="0.25">
      <c r="A11286" t="s">
        <v>326</v>
      </c>
      <c r="B11286" t="s">
        <v>648</v>
      </c>
      <c r="C11286" t="s">
        <v>876</v>
      </c>
      <c r="D11286" t="s">
        <v>14</v>
      </c>
      <c r="E11286">
        <v>1</v>
      </c>
      <c r="F11286" s="2">
        <f>DATE(2026,IF(Tabla1[[#This Row],[Mes de Fecha]]="Septiembre",9,10),Tabla1[[#This Row],[Día de Fecha]])</f>
        <v>46296</v>
      </c>
      <c r="G11286">
        <v>1073701531</v>
      </c>
      <c r="H11286" t="s">
        <v>649</v>
      </c>
      <c r="I11286">
        <v>117</v>
      </c>
      <c r="J11286">
        <v>0</v>
      </c>
      <c r="K11286" s="1">
        <v>6839583</v>
      </c>
    </row>
    <row r="11287" spans="1:11" x14ac:dyDescent="0.25">
      <c r="A11287" t="s">
        <v>326</v>
      </c>
      <c r="B11287" t="s">
        <v>648</v>
      </c>
      <c r="C11287" t="s">
        <v>876</v>
      </c>
      <c r="D11287" t="s">
        <v>14</v>
      </c>
      <c r="E11287">
        <v>1</v>
      </c>
      <c r="F11287" s="2">
        <f>DATE(2026,IF(Tabla1[[#This Row],[Mes de Fecha]]="Septiembre",9,10),Tabla1[[#This Row],[Día de Fecha]])</f>
        <v>46296</v>
      </c>
      <c r="G11287">
        <v>1117489558</v>
      </c>
      <c r="H11287" t="s">
        <v>651</v>
      </c>
      <c r="I11287">
        <v>8</v>
      </c>
      <c r="J11287">
        <v>0</v>
      </c>
      <c r="K11287" s="1">
        <v>436598</v>
      </c>
    </row>
    <row r="11288" spans="1:11" x14ac:dyDescent="0.25">
      <c r="A11288" t="s">
        <v>326</v>
      </c>
      <c r="B11288" t="s">
        <v>648</v>
      </c>
      <c r="C11288" t="s">
        <v>876</v>
      </c>
      <c r="D11288" t="s">
        <v>14</v>
      </c>
      <c r="E11288">
        <v>1</v>
      </c>
      <c r="F11288" s="2">
        <f>DATE(2026,IF(Tabla1[[#This Row],[Mes de Fecha]]="Septiembre",9,10),Tabla1[[#This Row],[Día de Fecha]])</f>
        <v>46296</v>
      </c>
      <c r="G11288">
        <v>1117497460</v>
      </c>
      <c r="H11288" t="s">
        <v>652</v>
      </c>
      <c r="I11288">
        <v>7</v>
      </c>
      <c r="J11288">
        <v>0</v>
      </c>
      <c r="K11288" s="1">
        <v>344245</v>
      </c>
    </row>
    <row r="11289" spans="1:11" x14ac:dyDescent="0.25">
      <c r="A11289" t="s">
        <v>326</v>
      </c>
      <c r="B11289" t="s">
        <v>648</v>
      </c>
      <c r="C11289" t="s">
        <v>876</v>
      </c>
      <c r="D11289" t="s">
        <v>14</v>
      </c>
      <c r="E11289">
        <v>2</v>
      </c>
      <c r="F11289" s="2">
        <f>DATE(2026,IF(Tabla1[[#This Row],[Mes de Fecha]]="Septiembre",9,10),Tabla1[[#This Row],[Día de Fecha]])</f>
        <v>46297</v>
      </c>
      <c r="I11289">
        <v>0</v>
      </c>
      <c r="J11289" s="1">
        <v>15932028</v>
      </c>
      <c r="K11289">
        <v>0</v>
      </c>
    </row>
    <row r="11290" spans="1:11" x14ac:dyDescent="0.25">
      <c r="A11290" t="s">
        <v>326</v>
      </c>
      <c r="B11290" t="s">
        <v>648</v>
      </c>
      <c r="C11290" t="s">
        <v>876</v>
      </c>
      <c r="D11290" t="s">
        <v>14</v>
      </c>
      <c r="E11290">
        <v>2</v>
      </c>
      <c r="F11290" s="2">
        <f>DATE(2026,IF(Tabla1[[#This Row],[Mes de Fecha]]="Septiembre",9,10),Tabla1[[#This Row],[Día de Fecha]])</f>
        <v>46297</v>
      </c>
      <c r="G11290">
        <v>1006507172</v>
      </c>
      <c r="H11290" t="s">
        <v>650</v>
      </c>
      <c r="I11290">
        <v>145</v>
      </c>
      <c r="J11290">
        <v>0</v>
      </c>
      <c r="K11290" s="1">
        <v>8586185</v>
      </c>
    </row>
    <row r="11291" spans="1:11" x14ac:dyDescent="0.25">
      <c r="A11291" t="s">
        <v>326</v>
      </c>
      <c r="B11291" t="s">
        <v>648</v>
      </c>
      <c r="C11291" t="s">
        <v>876</v>
      </c>
      <c r="D11291" t="s">
        <v>14</v>
      </c>
      <c r="E11291">
        <v>2</v>
      </c>
      <c r="F11291" s="2">
        <f>DATE(2026,IF(Tabla1[[#This Row],[Mes de Fecha]]="Septiembre",9,10),Tabla1[[#This Row],[Día de Fecha]])</f>
        <v>46297</v>
      </c>
      <c r="G11291">
        <v>1006529235</v>
      </c>
      <c r="H11291" t="s">
        <v>653</v>
      </c>
      <c r="I11291">
        <v>2</v>
      </c>
      <c r="J11291">
        <v>0</v>
      </c>
      <c r="K11291" s="1">
        <v>62899</v>
      </c>
    </row>
    <row r="11292" spans="1:11" x14ac:dyDescent="0.25">
      <c r="A11292" t="s">
        <v>326</v>
      </c>
      <c r="B11292" t="s">
        <v>648</v>
      </c>
      <c r="C11292" t="s">
        <v>876</v>
      </c>
      <c r="D11292" t="s">
        <v>14</v>
      </c>
      <c r="E11292">
        <v>2</v>
      </c>
      <c r="F11292" s="2">
        <f>DATE(2026,IF(Tabla1[[#This Row],[Mes de Fecha]]="Septiembre",9,10),Tabla1[[#This Row],[Día de Fecha]])</f>
        <v>46297</v>
      </c>
      <c r="G11292">
        <v>1073701531</v>
      </c>
      <c r="H11292" t="s">
        <v>649</v>
      </c>
      <c r="I11292">
        <v>149</v>
      </c>
      <c r="J11292">
        <v>0</v>
      </c>
      <c r="K11292" s="1">
        <v>8737148</v>
      </c>
    </row>
    <row r="11293" spans="1:11" x14ac:dyDescent="0.25">
      <c r="A11293" t="s">
        <v>326</v>
      </c>
      <c r="B11293" t="s">
        <v>648</v>
      </c>
      <c r="C11293" t="s">
        <v>876</v>
      </c>
      <c r="D11293" t="s">
        <v>14</v>
      </c>
      <c r="E11293">
        <v>2</v>
      </c>
      <c r="F11293" s="2">
        <f>DATE(2026,IF(Tabla1[[#This Row],[Mes de Fecha]]="Septiembre",9,10),Tabla1[[#This Row],[Día de Fecha]])</f>
        <v>46297</v>
      </c>
      <c r="G11293">
        <v>1117489558</v>
      </c>
      <c r="H11293" t="s">
        <v>651</v>
      </c>
      <c r="I11293">
        <v>2</v>
      </c>
      <c r="J11293">
        <v>0</v>
      </c>
      <c r="K11293" s="1">
        <v>210000</v>
      </c>
    </row>
    <row r="11294" spans="1:11" x14ac:dyDescent="0.25">
      <c r="A11294" t="s">
        <v>326</v>
      </c>
      <c r="B11294" t="s">
        <v>648</v>
      </c>
      <c r="C11294" t="s">
        <v>876</v>
      </c>
      <c r="D11294" t="s">
        <v>14</v>
      </c>
      <c r="E11294">
        <v>2</v>
      </c>
      <c r="F11294" s="2">
        <f>DATE(2026,IF(Tabla1[[#This Row],[Mes de Fecha]]="Septiembre",9,10),Tabla1[[#This Row],[Día de Fecha]])</f>
        <v>46297</v>
      </c>
      <c r="G11294">
        <v>1117497460</v>
      </c>
      <c r="H11294" t="s">
        <v>652</v>
      </c>
      <c r="I11294">
        <v>3</v>
      </c>
      <c r="J11294">
        <v>0</v>
      </c>
      <c r="K11294" s="1">
        <v>104916</v>
      </c>
    </row>
    <row r="11295" spans="1:11" x14ac:dyDescent="0.25">
      <c r="A11295" t="s">
        <v>326</v>
      </c>
      <c r="B11295" t="s">
        <v>648</v>
      </c>
      <c r="C11295" t="s">
        <v>876</v>
      </c>
      <c r="D11295" t="s">
        <v>14</v>
      </c>
      <c r="E11295">
        <v>3</v>
      </c>
      <c r="F11295" s="2">
        <f>DATE(2026,IF(Tabla1[[#This Row],[Mes de Fecha]]="Septiembre",9,10),Tabla1[[#This Row],[Día de Fecha]])</f>
        <v>46298</v>
      </c>
      <c r="I11295">
        <v>0</v>
      </c>
      <c r="J11295" s="1">
        <v>12992814</v>
      </c>
      <c r="K11295">
        <v>0</v>
      </c>
    </row>
    <row r="11296" spans="1:11" x14ac:dyDescent="0.25">
      <c r="A11296" t="s">
        <v>326</v>
      </c>
      <c r="B11296" t="s">
        <v>648</v>
      </c>
      <c r="C11296" t="s">
        <v>876</v>
      </c>
      <c r="D11296" t="s">
        <v>14</v>
      </c>
      <c r="E11296">
        <v>3</v>
      </c>
      <c r="F11296" s="2">
        <f>DATE(2026,IF(Tabla1[[#This Row],[Mes de Fecha]]="Septiembre",9,10),Tabla1[[#This Row],[Día de Fecha]])</f>
        <v>46298</v>
      </c>
      <c r="G11296">
        <v>1006507172</v>
      </c>
      <c r="H11296" t="s">
        <v>650</v>
      </c>
      <c r="I11296">
        <v>166</v>
      </c>
      <c r="J11296">
        <v>0</v>
      </c>
      <c r="K11296" s="1">
        <v>8673050</v>
      </c>
    </row>
    <row r="11297" spans="1:11" x14ac:dyDescent="0.25">
      <c r="A11297" t="s">
        <v>326</v>
      </c>
      <c r="B11297" t="s">
        <v>648</v>
      </c>
      <c r="C11297" t="s">
        <v>876</v>
      </c>
      <c r="D11297" t="s">
        <v>14</v>
      </c>
      <c r="E11297">
        <v>3</v>
      </c>
      <c r="F11297" s="2">
        <f>DATE(2026,IF(Tabla1[[#This Row],[Mes de Fecha]]="Septiembre",9,10),Tabla1[[#This Row],[Día de Fecha]])</f>
        <v>46298</v>
      </c>
      <c r="G11297">
        <v>1006529235</v>
      </c>
      <c r="H11297" t="s">
        <v>653</v>
      </c>
      <c r="I11297">
        <v>5</v>
      </c>
      <c r="J11297">
        <v>0</v>
      </c>
      <c r="K11297" s="1">
        <v>350219</v>
      </c>
    </row>
    <row r="11298" spans="1:11" x14ac:dyDescent="0.25">
      <c r="A11298" t="s">
        <v>326</v>
      </c>
      <c r="B11298" t="s">
        <v>648</v>
      </c>
      <c r="C11298" t="s">
        <v>876</v>
      </c>
      <c r="D11298" t="s">
        <v>14</v>
      </c>
      <c r="E11298">
        <v>3</v>
      </c>
      <c r="F11298" s="2">
        <f>DATE(2026,IF(Tabla1[[#This Row],[Mes de Fecha]]="Septiembre",9,10),Tabla1[[#This Row],[Día de Fecha]])</f>
        <v>46298</v>
      </c>
      <c r="G11298">
        <v>1073701531</v>
      </c>
      <c r="H11298" t="s">
        <v>649</v>
      </c>
      <c r="I11298">
        <v>166</v>
      </c>
      <c r="J11298">
        <v>0</v>
      </c>
      <c r="K11298" s="1">
        <v>8789954</v>
      </c>
    </row>
    <row r="11299" spans="1:11" x14ac:dyDescent="0.25">
      <c r="A11299" t="s">
        <v>326</v>
      </c>
      <c r="B11299" t="s">
        <v>648</v>
      </c>
      <c r="C11299" t="s">
        <v>876</v>
      </c>
      <c r="D11299" t="s">
        <v>14</v>
      </c>
      <c r="E11299">
        <v>3</v>
      </c>
      <c r="F11299" s="2">
        <f>DATE(2026,IF(Tabla1[[#This Row],[Mes de Fecha]]="Septiembre",9,10),Tabla1[[#This Row],[Día de Fecha]])</f>
        <v>46298</v>
      </c>
      <c r="G11299">
        <v>1117489558</v>
      </c>
      <c r="H11299" t="s">
        <v>651</v>
      </c>
      <c r="I11299">
        <v>9</v>
      </c>
      <c r="J11299">
        <v>0</v>
      </c>
      <c r="K11299" s="1">
        <v>434950</v>
      </c>
    </row>
    <row r="11300" spans="1:11" x14ac:dyDescent="0.25">
      <c r="A11300" t="s">
        <v>326</v>
      </c>
      <c r="B11300" t="s">
        <v>648</v>
      </c>
      <c r="C11300" t="s">
        <v>876</v>
      </c>
      <c r="D11300" t="s">
        <v>14</v>
      </c>
      <c r="E11300">
        <v>3</v>
      </c>
      <c r="F11300" s="2">
        <f>DATE(2026,IF(Tabla1[[#This Row],[Mes de Fecha]]="Septiembre",9,10),Tabla1[[#This Row],[Día de Fecha]])</f>
        <v>46298</v>
      </c>
      <c r="G11300">
        <v>1117497460</v>
      </c>
      <c r="H11300" t="s">
        <v>652</v>
      </c>
      <c r="I11300">
        <v>6</v>
      </c>
      <c r="J11300">
        <v>0</v>
      </c>
      <c r="K11300" s="1">
        <v>390538</v>
      </c>
    </row>
    <row r="11301" spans="1:11" x14ac:dyDescent="0.25">
      <c r="A11301" t="s">
        <v>326</v>
      </c>
      <c r="B11301" t="s">
        <v>648</v>
      </c>
      <c r="C11301" t="s">
        <v>876</v>
      </c>
      <c r="D11301" t="s">
        <v>14</v>
      </c>
      <c r="E11301">
        <v>4</v>
      </c>
      <c r="F11301" s="2">
        <f>DATE(2026,IF(Tabla1[[#This Row],[Mes de Fecha]]="Septiembre",9,10),Tabla1[[#This Row],[Día de Fecha]])</f>
        <v>46299</v>
      </c>
      <c r="I11301">
        <v>0</v>
      </c>
      <c r="J11301" s="1">
        <v>8534468</v>
      </c>
      <c r="K11301">
        <v>0</v>
      </c>
    </row>
    <row r="11302" spans="1:11" x14ac:dyDescent="0.25">
      <c r="A11302" t="s">
        <v>326</v>
      </c>
      <c r="B11302" t="s">
        <v>648</v>
      </c>
      <c r="C11302" t="s">
        <v>876</v>
      </c>
      <c r="D11302" t="s">
        <v>14</v>
      </c>
      <c r="E11302">
        <v>4</v>
      </c>
      <c r="F11302" s="2">
        <f>DATE(2026,IF(Tabla1[[#This Row],[Mes de Fecha]]="Septiembre",9,10),Tabla1[[#This Row],[Día de Fecha]])</f>
        <v>46299</v>
      </c>
      <c r="G11302">
        <v>1006507172</v>
      </c>
      <c r="H11302" t="s">
        <v>650</v>
      </c>
      <c r="I11302">
        <v>137</v>
      </c>
      <c r="J11302">
        <v>0</v>
      </c>
      <c r="K11302" s="1">
        <v>7548376</v>
      </c>
    </row>
    <row r="11303" spans="1:11" x14ac:dyDescent="0.25">
      <c r="A11303" t="s">
        <v>326</v>
      </c>
      <c r="B11303" t="s">
        <v>648</v>
      </c>
      <c r="C11303" t="s">
        <v>876</v>
      </c>
      <c r="D11303" t="s">
        <v>14</v>
      </c>
      <c r="E11303">
        <v>4</v>
      </c>
      <c r="F11303" s="2">
        <f>DATE(2026,IF(Tabla1[[#This Row],[Mes de Fecha]]="Septiembre",9,10),Tabla1[[#This Row],[Día de Fecha]])</f>
        <v>46299</v>
      </c>
      <c r="G11303">
        <v>1006529235</v>
      </c>
      <c r="H11303" t="s">
        <v>653</v>
      </c>
      <c r="I11303">
        <v>3</v>
      </c>
      <c r="J11303">
        <v>0</v>
      </c>
      <c r="K11303" s="1">
        <v>155336</v>
      </c>
    </row>
    <row r="11304" spans="1:11" x14ac:dyDescent="0.25">
      <c r="A11304" t="s">
        <v>326</v>
      </c>
      <c r="B11304" t="s">
        <v>648</v>
      </c>
      <c r="C11304" t="s">
        <v>876</v>
      </c>
      <c r="D11304" t="s">
        <v>14</v>
      </c>
      <c r="E11304">
        <v>4</v>
      </c>
      <c r="F11304" s="2">
        <f>DATE(2026,IF(Tabla1[[#This Row],[Mes de Fecha]]="Septiembre",9,10),Tabla1[[#This Row],[Día de Fecha]])</f>
        <v>46299</v>
      </c>
      <c r="G11304">
        <v>1073701531</v>
      </c>
      <c r="H11304" t="s">
        <v>649</v>
      </c>
      <c r="I11304">
        <v>129</v>
      </c>
      <c r="J11304">
        <v>0</v>
      </c>
      <c r="K11304" s="1">
        <v>7432517</v>
      </c>
    </row>
    <row r="11305" spans="1:11" x14ac:dyDescent="0.25">
      <c r="A11305" t="s">
        <v>326</v>
      </c>
      <c r="B11305" t="s">
        <v>648</v>
      </c>
      <c r="C11305" t="s">
        <v>876</v>
      </c>
      <c r="D11305" t="s">
        <v>14</v>
      </c>
      <c r="E11305">
        <v>4</v>
      </c>
      <c r="F11305" s="2">
        <f>DATE(2026,IF(Tabla1[[#This Row],[Mes de Fecha]]="Septiembre",9,10),Tabla1[[#This Row],[Día de Fecha]])</f>
        <v>46299</v>
      </c>
      <c r="G11305">
        <v>1117489558</v>
      </c>
      <c r="H11305" t="s">
        <v>651</v>
      </c>
      <c r="I11305">
        <v>11</v>
      </c>
      <c r="J11305">
        <v>0</v>
      </c>
      <c r="K11305" s="1">
        <v>625589</v>
      </c>
    </row>
    <row r="11306" spans="1:11" x14ac:dyDescent="0.25">
      <c r="A11306" t="s">
        <v>326</v>
      </c>
      <c r="B11306" t="s">
        <v>648</v>
      </c>
      <c r="C11306" t="s">
        <v>876</v>
      </c>
      <c r="D11306" t="s">
        <v>14</v>
      </c>
      <c r="E11306">
        <v>4</v>
      </c>
      <c r="F11306" s="2">
        <f>DATE(2026,IF(Tabla1[[#This Row],[Mes de Fecha]]="Septiembre",9,10),Tabla1[[#This Row],[Día de Fecha]])</f>
        <v>46299</v>
      </c>
      <c r="G11306">
        <v>1117497460</v>
      </c>
      <c r="H11306" t="s">
        <v>652</v>
      </c>
      <c r="I11306">
        <v>8</v>
      </c>
      <c r="J11306">
        <v>0</v>
      </c>
      <c r="K11306" s="1">
        <v>344203</v>
      </c>
    </row>
    <row r="11307" spans="1:11" x14ac:dyDescent="0.25">
      <c r="A11307" t="s">
        <v>326</v>
      </c>
      <c r="B11307" t="s">
        <v>648</v>
      </c>
      <c r="C11307" t="s">
        <v>876</v>
      </c>
      <c r="D11307" t="s">
        <v>14</v>
      </c>
      <c r="E11307">
        <v>5</v>
      </c>
      <c r="F11307" s="2">
        <f>DATE(2026,IF(Tabla1[[#This Row],[Mes de Fecha]]="Septiembre",9,10),Tabla1[[#This Row],[Día de Fecha]])</f>
        <v>46300</v>
      </c>
      <c r="I11307">
        <v>0</v>
      </c>
      <c r="J11307" s="1">
        <v>3028855</v>
      </c>
      <c r="K11307">
        <v>0</v>
      </c>
    </row>
    <row r="11308" spans="1:11" x14ac:dyDescent="0.25">
      <c r="A11308" t="s">
        <v>326</v>
      </c>
      <c r="B11308" t="s">
        <v>648</v>
      </c>
      <c r="C11308" t="s">
        <v>876</v>
      </c>
      <c r="D11308" t="s">
        <v>14</v>
      </c>
      <c r="E11308">
        <v>5</v>
      </c>
      <c r="F11308" s="2">
        <f>DATE(2026,IF(Tabla1[[#This Row],[Mes de Fecha]]="Septiembre",9,10),Tabla1[[#This Row],[Día de Fecha]])</f>
        <v>46300</v>
      </c>
      <c r="G11308">
        <v>1006507172</v>
      </c>
      <c r="H11308" t="s">
        <v>650</v>
      </c>
      <c r="I11308">
        <v>65</v>
      </c>
      <c r="J11308">
        <v>0</v>
      </c>
      <c r="K11308" s="1">
        <v>3505383</v>
      </c>
    </row>
    <row r="11309" spans="1:11" x14ac:dyDescent="0.25">
      <c r="A11309" t="s">
        <v>326</v>
      </c>
      <c r="B11309" t="s">
        <v>648</v>
      </c>
      <c r="C11309" t="s">
        <v>876</v>
      </c>
      <c r="D11309" t="s">
        <v>14</v>
      </c>
      <c r="E11309">
        <v>5</v>
      </c>
      <c r="F11309" s="2">
        <f>DATE(2026,IF(Tabla1[[#This Row],[Mes de Fecha]]="Septiembre",9,10),Tabla1[[#This Row],[Día de Fecha]])</f>
        <v>46300</v>
      </c>
      <c r="G11309">
        <v>1006529235</v>
      </c>
      <c r="H11309" t="s">
        <v>653</v>
      </c>
      <c r="I11309">
        <v>9</v>
      </c>
      <c r="J11309">
        <v>0</v>
      </c>
      <c r="K11309" s="1">
        <v>524832</v>
      </c>
    </row>
    <row r="11310" spans="1:11" x14ac:dyDescent="0.25">
      <c r="A11310" t="s">
        <v>326</v>
      </c>
      <c r="B11310" t="s">
        <v>648</v>
      </c>
      <c r="C11310" t="s">
        <v>876</v>
      </c>
      <c r="D11310" t="s">
        <v>14</v>
      </c>
      <c r="E11310">
        <v>5</v>
      </c>
      <c r="F11310" s="2">
        <f>DATE(2026,IF(Tabla1[[#This Row],[Mes de Fecha]]="Septiembre",9,10),Tabla1[[#This Row],[Día de Fecha]])</f>
        <v>46300</v>
      </c>
      <c r="G11310">
        <v>1073701531</v>
      </c>
      <c r="H11310" t="s">
        <v>649</v>
      </c>
      <c r="I11310">
        <v>57</v>
      </c>
      <c r="J11310">
        <v>0</v>
      </c>
      <c r="K11310" s="1">
        <v>3271884</v>
      </c>
    </row>
    <row r="11311" spans="1:11" x14ac:dyDescent="0.25">
      <c r="A11311" t="s">
        <v>326</v>
      </c>
      <c r="B11311" t="s">
        <v>648</v>
      </c>
      <c r="C11311" t="s">
        <v>876</v>
      </c>
      <c r="D11311" t="s">
        <v>14</v>
      </c>
      <c r="E11311">
        <v>5</v>
      </c>
      <c r="F11311" s="2">
        <f>DATE(2026,IF(Tabla1[[#This Row],[Mes de Fecha]]="Septiembre",9,10),Tabla1[[#This Row],[Día de Fecha]])</f>
        <v>46300</v>
      </c>
      <c r="G11311">
        <v>1117489558</v>
      </c>
      <c r="H11311" t="s">
        <v>651</v>
      </c>
      <c r="I11311">
        <v>13</v>
      </c>
      <c r="J11311">
        <v>0</v>
      </c>
      <c r="K11311" s="1">
        <v>751513</v>
      </c>
    </row>
    <row r="11312" spans="1:11" x14ac:dyDescent="0.25">
      <c r="A11312" t="s">
        <v>326</v>
      </c>
      <c r="B11312" t="s">
        <v>648</v>
      </c>
      <c r="C11312" t="s">
        <v>876</v>
      </c>
      <c r="D11312" t="s">
        <v>14</v>
      </c>
      <c r="E11312">
        <v>5</v>
      </c>
      <c r="F11312" s="2">
        <f>DATE(2026,IF(Tabla1[[#This Row],[Mes de Fecha]]="Septiembre",9,10),Tabla1[[#This Row],[Día de Fecha]])</f>
        <v>46300</v>
      </c>
      <c r="G11312">
        <v>1117497460</v>
      </c>
      <c r="H11312" t="s">
        <v>652</v>
      </c>
      <c r="I11312">
        <v>9</v>
      </c>
      <c r="J11312">
        <v>0</v>
      </c>
      <c r="K11312" s="1">
        <v>474413</v>
      </c>
    </row>
    <row r="11313" spans="1:11" x14ac:dyDescent="0.25">
      <c r="A11313" t="s">
        <v>326</v>
      </c>
      <c r="B11313" t="s">
        <v>648</v>
      </c>
      <c r="C11313" t="s">
        <v>876</v>
      </c>
      <c r="D11313" t="s">
        <v>14</v>
      </c>
      <c r="E11313">
        <v>6</v>
      </c>
      <c r="F11313" s="2">
        <f>DATE(2026,IF(Tabla1[[#This Row],[Mes de Fecha]]="Septiembre",9,10),Tabla1[[#This Row],[Día de Fecha]])</f>
        <v>46301</v>
      </c>
      <c r="I11313">
        <v>0</v>
      </c>
      <c r="J11313" s="1">
        <v>6147741</v>
      </c>
      <c r="K11313">
        <v>0</v>
      </c>
    </row>
    <row r="11314" spans="1:11" x14ac:dyDescent="0.25">
      <c r="A11314" t="s">
        <v>326</v>
      </c>
      <c r="B11314" t="s">
        <v>648</v>
      </c>
      <c r="C11314" t="s">
        <v>876</v>
      </c>
      <c r="D11314" t="s">
        <v>14</v>
      </c>
      <c r="E11314">
        <v>6</v>
      </c>
      <c r="F11314" s="2">
        <f>DATE(2026,IF(Tabla1[[#This Row],[Mes de Fecha]]="Septiembre",9,10),Tabla1[[#This Row],[Día de Fecha]])</f>
        <v>46301</v>
      </c>
      <c r="G11314">
        <v>1006507172</v>
      </c>
      <c r="H11314" t="s">
        <v>650</v>
      </c>
      <c r="I11314">
        <v>53</v>
      </c>
      <c r="J11314">
        <v>0</v>
      </c>
      <c r="K11314" s="1">
        <v>2898953</v>
      </c>
    </row>
    <row r="11315" spans="1:11" x14ac:dyDescent="0.25">
      <c r="A11315" t="s">
        <v>326</v>
      </c>
      <c r="B11315" t="s">
        <v>648</v>
      </c>
      <c r="C11315" t="s">
        <v>876</v>
      </c>
      <c r="D11315" t="s">
        <v>14</v>
      </c>
      <c r="E11315">
        <v>6</v>
      </c>
      <c r="F11315" s="2">
        <f>DATE(2026,IF(Tabla1[[#This Row],[Mes de Fecha]]="Septiembre",9,10),Tabla1[[#This Row],[Día de Fecha]])</f>
        <v>46301</v>
      </c>
      <c r="G11315">
        <v>1073701531</v>
      </c>
      <c r="H11315" t="s">
        <v>649</v>
      </c>
      <c r="I11315">
        <v>49</v>
      </c>
      <c r="J11315">
        <v>0</v>
      </c>
      <c r="K11315" s="1">
        <v>2897022</v>
      </c>
    </row>
    <row r="11316" spans="1:11" x14ac:dyDescent="0.25">
      <c r="A11316" t="s">
        <v>326</v>
      </c>
      <c r="B11316" t="s">
        <v>648</v>
      </c>
      <c r="C11316" t="s">
        <v>876</v>
      </c>
      <c r="D11316" t="s">
        <v>14</v>
      </c>
      <c r="E11316">
        <v>6</v>
      </c>
      <c r="F11316" s="2">
        <f>DATE(2026,IF(Tabla1[[#This Row],[Mes de Fecha]]="Septiembre",9,10),Tabla1[[#This Row],[Día de Fecha]])</f>
        <v>46301</v>
      </c>
      <c r="G11316">
        <v>1117489558</v>
      </c>
      <c r="H11316" t="s">
        <v>651</v>
      </c>
      <c r="I11316">
        <v>4</v>
      </c>
      <c r="J11316">
        <v>0</v>
      </c>
      <c r="K11316" s="1">
        <v>155336</v>
      </c>
    </row>
    <row r="11317" spans="1:11" x14ac:dyDescent="0.25">
      <c r="A11317" t="s">
        <v>326</v>
      </c>
      <c r="B11317" t="s">
        <v>648</v>
      </c>
      <c r="C11317" t="s">
        <v>876</v>
      </c>
      <c r="D11317" t="s">
        <v>14</v>
      </c>
      <c r="E11317">
        <v>6</v>
      </c>
      <c r="F11317" s="2">
        <f>DATE(2026,IF(Tabla1[[#This Row],[Mes de Fecha]]="Septiembre",9,10),Tabla1[[#This Row],[Día de Fecha]])</f>
        <v>46301</v>
      </c>
      <c r="G11317">
        <v>1117497460</v>
      </c>
      <c r="H11317" t="s">
        <v>652</v>
      </c>
      <c r="I11317">
        <v>1</v>
      </c>
      <c r="J11317">
        <v>0</v>
      </c>
      <c r="K11317" s="1">
        <v>67185</v>
      </c>
    </row>
    <row r="11318" spans="1:11" x14ac:dyDescent="0.25">
      <c r="A11318" t="s">
        <v>326</v>
      </c>
      <c r="B11318" t="s">
        <v>648</v>
      </c>
      <c r="C11318" t="s">
        <v>876</v>
      </c>
      <c r="D11318" t="s">
        <v>14</v>
      </c>
      <c r="E11318">
        <v>7</v>
      </c>
      <c r="F11318" s="2">
        <f>DATE(2026,IF(Tabla1[[#This Row],[Mes de Fecha]]="Septiembre",9,10),Tabla1[[#This Row],[Día de Fecha]])</f>
        <v>46302</v>
      </c>
      <c r="I11318">
        <v>0</v>
      </c>
      <c r="J11318" s="1">
        <v>6066851</v>
      </c>
      <c r="K11318">
        <v>0</v>
      </c>
    </row>
    <row r="11319" spans="1:11" x14ac:dyDescent="0.25">
      <c r="A11319" t="s">
        <v>326</v>
      </c>
      <c r="B11319" t="s">
        <v>648</v>
      </c>
      <c r="C11319" t="s">
        <v>876</v>
      </c>
      <c r="D11319" t="s">
        <v>14</v>
      </c>
      <c r="E11319">
        <v>7</v>
      </c>
      <c r="F11319" s="2">
        <f>DATE(2026,IF(Tabla1[[#This Row],[Mes de Fecha]]="Septiembre",9,10),Tabla1[[#This Row],[Día de Fecha]])</f>
        <v>46302</v>
      </c>
      <c r="G11319">
        <v>1006507172</v>
      </c>
      <c r="H11319" t="s">
        <v>650</v>
      </c>
      <c r="I11319">
        <v>46</v>
      </c>
      <c r="J11319">
        <v>0</v>
      </c>
      <c r="K11319" s="1">
        <v>2579962</v>
      </c>
    </row>
    <row r="11320" spans="1:11" x14ac:dyDescent="0.25">
      <c r="A11320" t="s">
        <v>326</v>
      </c>
      <c r="B11320" t="s">
        <v>648</v>
      </c>
      <c r="C11320" t="s">
        <v>876</v>
      </c>
      <c r="D11320" t="s">
        <v>14</v>
      </c>
      <c r="E11320">
        <v>7</v>
      </c>
      <c r="F11320" s="2">
        <f>DATE(2026,IF(Tabla1[[#This Row],[Mes de Fecha]]="Septiembre",9,10),Tabla1[[#This Row],[Día de Fecha]])</f>
        <v>46302</v>
      </c>
      <c r="G11320">
        <v>1006529235</v>
      </c>
      <c r="H11320" t="s">
        <v>653</v>
      </c>
      <c r="I11320">
        <v>2</v>
      </c>
      <c r="J11320">
        <v>0</v>
      </c>
      <c r="K11320" s="1">
        <v>92353</v>
      </c>
    </row>
    <row r="11321" spans="1:11" x14ac:dyDescent="0.25">
      <c r="A11321" t="s">
        <v>326</v>
      </c>
      <c r="B11321" t="s">
        <v>648</v>
      </c>
      <c r="C11321" t="s">
        <v>876</v>
      </c>
      <c r="D11321" t="s">
        <v>14</v>
      </c>
      <c r="E11321">
        <v>7</v>
      </c>
      <c r="F11321" s="2">
        <f>DATE(2026,IF(Tabla1[[#This Row],[Mes de Fecha]]="Septiembre",9,10),Tabla1[[#This Row],[Día de Fecha]])</f>
        <v>46302</v>
      </c>
      <c r="G11321">
        <v>1073701531</v>
      </c>
      <c r="H11321" t="s">
        <v>649</v>
      </c>
      <c r="I11321">
        <v>59</v>
      </c>
      <c r="J11321">
        <v>0</v>
      </c>
      <c r="K11321" s="1">
        <v>3442691</v>
      </c>
    </row>
    <row r="11322" spans="1:11" x14ac:dyDescent="0.25">
      <c r="A11322" t="s">
        <v>326</v>
      </c>
      <c r="B11322" t="s">
        <v>648</v>
      </c>
      <c r="C11322" t="s">
        <v>876</v>
      </c>
      <c r="D11322" t="s">
        <v>14</v>
      </c>
      <c r="E11322">
        <v>7</v>
      </c>
      <c r="F11322" s="2">
        <f>DATE(2026,IF(Tabla1[[#This Row],[Mes de Fecha]]="Septiembre",9,10),Tabla1[[#This Row],[Día de Fecha]])</f>
        <v>46302</v>
      </c>
      <c r="G11322">
        <v>1117489558</v>
      </c>
      <c r="H11322" t="s">
        <v>651</v>
      </c>
      <c r="I11322">
        <v>4</v>
      </c>
      <c r="J11322">
        <v>0</v>
      </c>
      <c r="K11322" s="1">
        <v>184707</v>
      </c>
    </row>
    <row r="11323" spans="1:11" x14ac:dyDescent="0.25">
      <c r="A11323" t="s">
        <v>326</v>
      </c>
      <c r="B11323" t="s">
        <v>648</v>
      </c>
      <c r="C11323" t="s">
        <v>876</v>
      </c>
      <c r="D11323" t="s">
        <v>14</v>
      </c>
      <c r="E11323">
        <v>7</v>
      </c>
      <c r="F11323" s="2">
        <f>DATE(2026,IF(Tabla1[[#This Row],[Mes de Fecha]]="Septiembre",9,10),Tabla1[[#This Row],[Día de Fecha]])</f>
        <v>46302</v>
      </c>
      <c r="G11323">
        <v>1117497460</v>
      </c>
      <c r="H11323" t="s">
        <v>652</v>
      </c>
      <c r="I11323">
        <v>5</v>
      </c>
      <c r="J11323">
        <v>0</v>
      </c>
      <c r="K11323" s="1">
        <v>277101</v>
      </c>
    </row>
    <row r="11324" spans="1:11" x14ac:dyDescent="0.25">
      <c r="A11324" t="s">
        <v>326</v>
      </c>
      <c r="B11324" t="s">
        <v>684</v>
      </c>
      <c r="C11324" t="s">
        <v>876</v>
      </c>
      <c r="D11324" t="s">
        <v>11</v>
      </c>
      <c r="E11324">
        <v>23</v>
      </c>
      <c r="F11324" s="2">
        <f>DATE(2026,IF(Tabla1[[#This Row],[Mes de Fecha]]="Septiembre",9,10),Tabla1[[#This Row],[Día de Fecha]])</f>
        <v>46288</v>
      </c>
      <c r="I11324">
        <v>0</v>
      </c>
      <c r="J11324" s="1">
        <v>11672319</v>
      </c>
      <c r="K11324">
        <v>0</v>
      </c>
    </row>
    <row r="11325" spans="1:11" x14ac:dyDescent="0.25">
      <c r="A11325" t="s">
        <v>326</v>
      </c>
      <c r="B11325" t="s">
        <v>684</v>
      </c>
      <c r="C11325" t="s">
        <v>876</v>
      </c>
      <c r="D11325" t="s">
        <v>11</v>
      </c>
      <c r="E11325">
        <v>23</v>
      </c>
      <c r="F11325" s="2">
        <f>DATE(2026,IF(Tabla1[[#This Row],[Mes de Fecha]]="Septiembre",9,10),Tabla1[[#This Row],[Día de Fecha]])</f>
        <v>46288</v>
      </c>
      <c r="G11325">
        <v>1005716262</v>
      </c>
      <c r="H11325" t="s">
        <v>517</v>
      </c>
      <c r="I11325">
        <v>12</v>
      </c>
      <c r="J11325">
        <v>0</v>
      </c>
      <c r="K11325" s="1">
        <v>621346</v>
      </c>
    </row>
    <row r="11326" spans="1:11" x14ac:dyDescent="0.25">
      <c r="A11326" t="s">
        <v>326</v>
      </c>
      <c r="B11326" t="s">
        <v>684</v>
      </c>
      <c r="C11326" t="s">
        <v>876</v>
      </c>
      <c r="D11326" t="s">
        <v>11</v>
      </c>
      <c r="E11326">
        <v>23</v>
      </c>
      <c r="F11326" s="2">
        <f>DATE(2026,IF(Tabla1[[#This Row],[Mes de Fecha]]="Septiembre",9,10),Tabla1[[#This Row],[Día de Fecha]])</f>
        <v>46288</v>
      </c>
      <c r="G11326">
        <v>1007371954</v>
      </c>
      <c r="H11326" t="s">
        <v>475</v>
      </c>
      <c r="I11326">
        <v>-3</v>
      </c>
      <c r="J11326">
        <v>0</v>
      </c>
      <c r="K11326" s="1">
        <v>-125965</v>
      </c>
    </row>
    <row r="11327" spans="1:11" x14ac:dyDescent="0.25">
      <c r="A11327" t="s">
        <v>326</v>
      </c>
      <c r="B11327" t="s">
        <v>684</v>
      </c>
      <c r="C11327" t="s">
        <v>876</v>
      </c>
      <c r="D11327" t="s">
        <v>11</v>
      </c>
      <c r="E11327">
        <v>23</v>
      </c>
      <c r="F11327" s="2">
        <f>DATE(2026,IF(Tabla1[[#This Row],[Mes de Fecha]]="Septiembre",9,10),Tabla1[[#This Row],[Día de Fecha]])</f>
        <v>46288</v>
      </c>
      <c r="G11327">
        <v>1007463963</v>
      </c>
      <c r="H11327" t="s">
        <v>621</v>
      </c>
      <c r="I11327">
        <v>6</v>
      </c>
      <c r="J11327">
        <v>0</v>
      </c>
      <c r="K11327" s="1">
        <v>369496</v>
      </c>
    </row>
    <row r="11328" spans="1:11" x14ac:dyDescent="0.25">
      <c r="A11328" t="s">
        <v>326</v>
      </c>
      <c r="B11328" t="s">
        <v>684</v>
      </c>
      <c r="C11328" t="s">
        <v>876</v>
      </c>
      <c r="D11328" t="s">
        <v>11</v>
      </c>
      <c r="E11328">
        <v>23</v>
      </c>
      <c r="F11328" s="2">
        <f>DATE(2026,IF(Tabla1[[#This Row],[Mes de Fecha]]="Septiembre",9,10),Tabla1[[#This Row],[Día de Fecha]])</f>
        <v>46288</v>
      </c>
      <c r="G11328">
        <v>1110506146</v>
      </c>
      <c r="H11328" t="s">
        <v>617</v>
      </c>
      <c r="I11328">
        <v>60</v>
      </c>
      <c r="J11328">
        <v>0</v>
      </c>
      <c r="K11328" s="1">
        <v>2993196</v>
      </c>
    </row>
    <row r="11329" spans="1:11" x14ac:dyDescent="0.25">
      <c r="A11329" t="s">
        <v>326</v>
      </c>
      <c r="B11329" t="s">
        <v>684</v>
      </c>
      <c r="C11329" t="s">
        <v>876</v>
      </c>
      <c r="D11329" t="s">
        <v>11</v>
      </c>
      <c r="E11329">
        <v>23</v>
      </c>
      <c r="F11329" s="2">
        <f>DATE(2026,IF(Tabla1[[#This Row],[Mes de Fecha]]="Septiembre",9,10),Tabla1[[#This Row],[Día de Fecha]])</f>
        <v>46288</v>
      </c>
      <c r="G11329">
        <v>1110519557</v>
      </c>
      <c r="H11329" t="s">
        <v>685</v>
      </c>
      <c r="I11329">
        <v>4</v>
      </c>
      <c r="J11329">
        <v>0</v>
      </c>
      <c r="K11329" s="1">
        <v>306556</v>
      </c>
    </row>
    <row r="11330" spans="1:11" x14ac:dyDescent="0.25">
      <c r="A11330" t="s">
        <v>326</v>
      </c>
      <c r="B11330" t="s">
        <v>684</v>
      </c>
      <c r="C11330" t="s">
        <v>876</v>
      </c>
      <c r="D11330" t="s">
        <v>11</v>
      </c>
      <c r="E11330">
        <v>23</v>
      </c>
      <c r="F11330" s="2">
        <f>DATE(2026,IF(Tabla1[[#This Row],[Mes de Fecha]]="Septiembre",9,10),Tabla1[[#This Row],[Día de Fecha]])</f>
        <v>46288</v>
      </c>
      <c r="G11330">
        <v>1110548386</v>
      </c>
      <c r="H11330" t="s">
        <v>616</v>
      </c>
      <c r="I11330">
        <v>45</v>
      </c>
      <c r="J11330">
        <v>0</v>
      </c>
      <c r="K11330" s="1">
        <v>2674583</v>
      </c>
    </row>
    <row r="11331" spans="1:11" x14ac:dyDescent="0.25">
      <c r="A11331" t="s">
        <v>326</v>
      </c>
      <c r="B11331" t="s">
        <v>684</v>
      </c>
      <c r="C11331" t="s">
        <v>876</v>
      </c>
      <c r="D11331" t="s">
        <v>11</v>
      </c>
      <c r="E11331">
        <v>24</v>
      </c>
      <c r="F11331" s="2">
        <f>DATE(2026,IF(Tabla1[[#This Row],[Mes de Fecha]]="Septiembre",9,10),Tabla1[[#This Row],[Día de Fecha]])</f>
        <v>46289</v>
      </c>
      <c r="I11331">
        <v>0</v>
      </c>
      <c r="J11331" s="1">
        <v>17830779</v>
      </c>
      <c r="K11331">
        <v>0</v>
      </c>
    </row>
    <row r="11332" spans="1:11" x14ac:dyDescent="0.25">
      <c r="A11332" t="s">
        <v>326</v>
      </c>
      <c r="B11332" t="s">
        <v>684</v>
      </c>
      <c r="C11332" t="s">
        <v>876</v>
      </c>
      <c r="D11332" t="s">
        <v>11</v>
      </c>
      <c r="E11332">
        <v>24</v>
      </c>
      <c r="F11332" s="2">
        <f>DATE(2026,IF(Tabla1[[#This Row],[Mes de Fecha]]="Septiembre",9,10),Tabla1[[#This Row],[Día de Fecha]])</f>
        <v>46289</v>
      </c>
      <c r="G11332">
        <v>1005716262</v>
      </c>
      <c r="H11332" t="s">
        <v>517</v>
      </c>
      <c r="I11332">
        <v>12</v>
      </c>
      <c r="J11332">
        <v>0</v>
      </c>
      <c r="K11332" s="1">
        <v>638152</v>
      </c>
    </row>
    <row r="11333" spans="1:11" x14ac:dyDescent="0.25">
      <c r="A11333" t="s">
        <v>326</v>
      </c>
      <c r="B11333" t="s">
        <v>684</v>
      </c>
      <c r="C11333" t="s">
        <v>876</v>
      </c>
      <c r="D11333" t="s">
        <v>11</v>
      </c>
      <c r="E11333">
        <v>24</v>
      </c>
      <c r="F11333" s="2">
        <f>DATE(2026,IF(Tabla1[[#This Row],[Mes de Fecha]]="Septiembre",9,10),Tabla1[[#This Row],[Día de Fecha]])</f>
        <v>46289</v>
      </c>
      <c r="G11333">
        <v>1007371954</v>
      </c>
      <c r="H11333" t="s">
        <v>475</v>
      </c>
      <c r="I11333">
        <v>-2</v>
      </c>
      <c r="J11333">
        <v>0</v>
      </c>
      <c r="K11333" s="1">
        <v>-277143</v>
      </c>
    </row>
    <row r="11334" spans="1:11" x14ac:dyDescent="0.25">
      <c r="A11334" t="s">
        <v>326</v>
      </c>
      <c r="B11334" t="s">
        <v>684</v>
      </c>
      <c r="C11334" t="s">
        <v>876</v>
      </c>
      <c r="D11334" t="s">
        <v>11</v>
      </c>
      <c r="E11334">
        <v>24</v>
      </c>
      <c r="F11334" s="2">
        <f>DATE(2026,IF(Tabla1[[#This Row],[Mes de Fecha]]="Septiembre",9,10),Tabla1[[#This Row],[Día de Fecha]])</f>
        <v>46289</v>
      </c>
      <c r="G11334">
        <v>1007463963</v>
      </c>
      <c r="H11334" t="s">
        <v>621</v>
      </c>
      <c r="I11334">
        <v>11</v>
      </c>
      <c r="J11334">
        <v>0</v>
      </c>
      <c r="K11334" s="1">
        <v>688614</v>
      </c>
    </row>
    <row r="11335" spans="1:11" x14ac:dyDescent="0.25">
      <c r="A11335" t="s">
        <v>326</v>
      </c>
      <c r="B11335" t="s">
        <v>684</v>
      </c>
      <c r="C11335" t="s">
        <v>876</v>
      </c>
      <c r="D11335" t="s">
        <v>11</v>
      </c>
      <c r="E11335">
        <v>24</v>
      </c>
      <c r="F11335" s="2">
        <f>DATE(2026,IF(Tabla1[[#This Row],[Mes de Fecha]]="Septiembre",9,10),Tabla1[[#This Row],[Día de Fecha]])</f>
        <v>46289</v>
      </c>
      <c r="G11335">
        <v>1110506146</v>
      </c>
      <c r="H11335" t="s">
        <v>617</v>
      </c>
      <c r="I11335">
        <v>38</v>
      </c>
      <c r="J11335">
        <v>0</v>
      </c>
      <c r="K11335" s="1">
        <v>2330296</v>
      </c>
    </row>
    <row r="11336" spans="1:11" x14ac:dyDescent="0.25">
      <c r="A11336" t="s">
        <v>326</v>
      </c>
      <c r="B11336" t="s">
        <v>684</v>
      </c>
      <c r="C11336" t="s">
        <v>876</v>
      </c>
      <c r="D11336" t="s">
        <v>11</v>
      </c>
      <c r="E11336">
        <v>24</v>
      </c>
      <c r="F11336" s="2">
        <f>DATE(2026,IF(Tabla1[[#This Row],[Mes de Fecha]]="Septiembre",9,10),Tabla1[[#This Row],[Día de Fecha]])</f>
        <v>46289</v>
      </c>
      <c r="G11336">
        <v>1110519557</v>
      </c>
      <c r="H11336" t="s">
        <v>685</v>
      </c>
      <c r="I11336">
        <v>16</v>
      </c>
      <c r="J11336">
        <v>0</v>
      </c>
      <c r="K11336" s="1">
        <v>696808</v>
      </c>
    </row>
    <row r="11337" spans="1:11" x14ac:dyDescent="0.25">
      <c r="A11337" t="s">
        <v>326</v>
      </c>
      <c r="B11337" t="s">
        <v>684</v>
      </c>
      <c r="C11337" t="s">
        <v>876</v>
      </c>
      <c r="D11337" t="s">
        <v>11</v>
      </c>
      <c r="E11337">
        <v>24</v>
      </c>
      <c r="F11337" s="2">
        <f>DATE(2026,IF(Tabla1[[#This Row],[Mes de Fecha]]="Septiembre",9,10),Tabla1[[#This Row],[Día de Fecha]])</f>
        <v>46289</v>
      </c>
      <c r="G11337">
        <v>1110548386</v>
      </c>
      <c r="H11337" t="s">
        <v>616</v>
      </c>
      <c r="I11337">
        <v>54</v>
      </c>
      <c r="J11337">
        <v>0</v>
      </c>
      <c r="K11337" s="1">
        <v>3010340</v>
      </c>
    </row>
    <row r="11338" spans="1:11" x14ac:dyDescent="0.25">
      <c r="A11338" t="s">
        <v>326</v>
      </c>
      <c r="B11338" t="s">
        <v>684</v>
      </c>
      <c r="C11338" t="s">
        <v>876</v>
      </c>
      <c r="D11338" t="s">
        <v>11</v>
      </c>
      <c r="E11338">
        <v>25</v>
      </c>
      <c r="F11338" s="2">
        <f>DATE(2026,IF(Tabla1[[#This Row],[Mes de Fecha]]="Septiembre",9,10),Tabla1[[#This Row],[Día de Fecha]])</f>
        <v>46290</v>
      </c>
      <c r="I11338">
        <v>0</v>
      </c>
      <c r="J11338" s="1">
        <v>17791306</v>
      </c>
      <c r="K11338">
        <v>0</v>
      </c>
    </row>
    <row r="11339" spans="1:11" x14ac:dyDescent="0.25">
      <c r="A11339" t="s">
        <v>326</v>
      </c>
      <c r="B11339" t="s">
        <v>684</v>
      </c>
      <c r="C11339" t="s">
        <v>876</v>
      </c>
      <c r="D11339" t="s">
        <v>11</v>
      </c>
      <c r="E11339">
        <v>25</v>
      </c>
      <c r="F11339" s="2">
        <f>DATE(2026,IF(Tabla1[[#This Row],[Mes de Fecha]]="Septiembre",9,10),Tabla1[[#This Row],[Día de Fecha]])</f>
        <v>46290</v>
      </c>
      <c r="G11339">
        <v>1005716262</v>
      </c>
      <c r="H11339" t="s">
        <v>517</v>
      </c>
      <c r="I11339">
        <v>42</v>
      </c>
      <c r="J11339">
        <v>0</v>
      </c>
      <c r="K11339" s="1">
        <v>2313365</v>
      </c>
    </row>
    <row r="11340" spans="1:11" x14ac:dyDescent="0.25">
      <c r="A11340" t="s">
        <v>326</v>
      </c>
      <c r="B11340" t="s">
        <v>684</v>
      </c>
      <c r="C11340" t="s">
        <v>876</v>
      </c>
      <c r="D11340" t="s">
        <v>11</v>
      </c>
      <c r="E11340">
        <v>25</v>
      </c>
      <c r="F11340" s="2">
        <f>DATE(2026,IF(Tabla1[[#This Row],[Mes de Fecha]]="Septiembre",9,10),Tabla1[[#This Row],[Día de Fecha]])</f>
        <v>46290</v>
      </c>
      <c r="G11340">
        <v>1007463963</v>
      </c>
      <c r="H11340" t="s">
        <v>621</v>
      </c>
      <c r="I11340">
        <v>31</v>
      </c>
      <c r="J11340">
        <v>0</v>
      </c>
      <c r="K11340" s="1">
        <v>1582733</v>
      </c>
    </row>
    <row r="11341" spans="1:11" x14ac:dyDescent="0.25">
      <c r="A11341" t="s">
        <v>326</v>
      </c>
      <c r="B11341" t="s">
        <v>684</v>
      </c>
      <c r="C11341" t="s">
        <v>876</v>
      </c>
      <c r="D11341" t="s">
        <v>11</v>
      </c>
      <c r="E11341">
        <v>25</v>
      </c>
      <c r="F11341" s="2">
        <f>DATE(2026,IF(Tabla1[[#This Row],[Mes de Fecha]]="Septiembre",9,10),Tabla1[[#This Row],[Día de Fecha]])</f>
        <v>46290</v>
      </c>
      <c r="G11341">
        <v>1110506146</v>
      </c>
      <c r="H11341" t="s">
        <v>617</v>
      </c>
      <c r="I11341">
        <v>75</v>
      </c>
      <c r="J11341">
        <v>0</v>
      </c>
      <c r="K11341" s="1">
        <v>4524165</v>
      </c>
    </row>
    <row r="11342" spans="1:11" x14ac:dyDescent="0.25">
      <c r="A11342" t="s">
        <v>326</v>
      </c>
      <c r="B11342" t="s">
        <v>684</v>
      </c>
      <c r="C11342" t="s">
        <v>876</v>
      </c>
      <c r="D11342" t="s">
        <v>11</v>
      </c>
      <c r="E11342">
        <v>25</v>
      </c>
      <c r="F11342" s="2">
        <f>DATE(2026,IF(Tabla1[[#This Row],[Mes de Fecha]]="Septiembre",9,10),Tabla1[[#This Row],[Día de Fecha]])</f>
        <v>46290</v>
      </c>
      <c r="G11342">
        <v>1110519557</v>
      </c>
      <c r="H11342" t="s">
        <v>685</v>
      </c>
      <c r="I11342">
        <v>35</v>
      </c>
      <c r="J11342">
        <v>0</v>
      </c>
      <c r="K11342" s="1">
        <v>1754750</v>
      </c>
    </row>
    <row r="11343" spans="1:11" x14ac:dyDescent="0.25">
      <c r="A11343" t="s">
        <v>326</v>
      </c>
      <c r="B11343" t="s">
        <v>684</v>
      </c>
      <c r="C11343" t="s">
        <v>876</v>
      </c>
      <c r="D11343" t="s">
        <v>11</v>
      </c>
      <c r="E11343">
        <v>25</v>
      </c>
      <c r="F11343" s="2">
        <f>DATE(2026,IF(Tabla1[[#This Row],[Mes de Fecha]]="Septiembre",9,10),Tabla1[[#This Row],[Día de Fecha]])</f>
        <v>46290</v>
      </c>
      <c r="G11343">
        <v>1110548386</v>
      </c>
      <c r="H11343" t="s">
        <v>616</v>
      </c>
      <c r="I11343">
        <v>75</v>
      </c>
      <c r="J11343">
        <v>0</v>
      </c>
      <c r="K11343" s="1">
        <v>4480047</v>
      </c>
    </row>
    <row r="11344" spans="1:11" x14ac:dyDescent="0.25">
      <c r="A11344" t="s">
        <v>326</v>
      </c>
      <c r="B11344" t="s">
        <v>684</v>
      </c>
      <c r="C11344" t="s">
        <v>876</v>
      </c>
      <c r="D11344" t="s">
        <v>11</v>
      </c>
      <c r="E11344">
        <v>26</v>
      </c>
      <c r="F11344" s="2">
        <f>DATE(2026,IF(Tabla1[[#This Row],[Mes de Fecha]]="Septiembre",9,10),Tabla1[[#This Row],[Día de Fecha]])</f>
        <v>46291</v>
      </c>
      <c r="I11344">
        <v>0</v>
      </c>
      <c r="J11344" s="1">
        <v>25568666</v>
      </c>
      <c r="K11344">
        <v>0</v>
      </c>
    </row>
    <row r="11345" spans="1:11" x14ac:dyDescent="0.25">
      <c r="A11345" t="s">
        <v>326</v>
      </c>
      <c r="B11345" t="s">
        <v>684</v>
      </c>
      <c r="C11345" t="s">
        <v>876</v>
      </c>
      <c r="D11345" t="s">
        <v>11</v>
      </c>
      <c r="E11345">
        <v>26</v>
      </c>
      <c r="F11345" s="2">
        <f>DATE(2026,IF(Tabla1[[#This Row],[Mes de Fecha]]="Septiembre",9,10),Tabla1[[#This Row],[Día de Fecha]])</f>
        <v>46291</v>
      </c>
      <c r="G11345">
        <v>1005716262</v>
      </c>
      <c r="H11345" t="s">
        <v>517</v>
      </c>
      <c r="I11345">
        <v>64</v>
      </c>
      <c r="J11345">
        <v>0</v>
      </c>
      <c r="K11345" s="1">
        <v>3675885</v>
      </c>
    </row>
    <row r="11346" spans="1:11" x14ac:dyDescent="0.25">
      <c r="A11346" t="s">
        <v>326</v>
      </c>
      <c r="B11346" t="s">
        <v>684</v>
      </c>
      <c r="C11346" t="s">
        <v>876</v>
      </c>
      <c r="D11346" t="s">
        <v>11</v>
      </c>
      <c r="E11346">
        <v>26</v>
      </c>
      <c r="F11346" s="2">
        <f>DATE(2026,IF(Tabla1[[#This Row],[Mes de Fecha]]="Septiembre",9,10),Tabla1[[#This Row],[Día de Fecha]])</f>
        <v>46291</v>
      </c>
      <c r="G11346">
        <v>1007463963</v>
      </c>
      <c r="H11346" t="s">
        <v>621</v>
      </c>
      <c r="I11346">
        <v>37</v>
      </c>
      <c r="J11346">
        <v>0</v>
      </c>
      <c r="K11346" s="1">
        <v>2113996</v>
      </c>
    </row>
    <row r="11347" spans="1:11" x14ac:dyDescent="0.25">
      <c r="A11347" t="s">
        <v>326</v>
      </c>
      <c r="B11347" t="s">
        <v>684</v>
      </c>
      <c r="C11347" t="s">
        <v>876</v>
      </c>
      <c r="D11347" t="s">
        <v>11</v>
      </c>
      <c r="E11347">
        <v>26</v>
      </c>
      <c r="F11347" s="2">
        <f>DATE(2026,IF(Tabla1[[#This Row],[Mes de Fecha]]="Septiembre",9,10),Tabla1[[#This Row],[Día de Fecha]])</f>
        <v>46291</v>
      </c>
      <c r="G11347">
        <v>1110506146</v>
      </c>
      <c r="H11347" t="s">
        <v>617</v>
      </c>
      <c r="I11347">
        <v>114</v>
      </c>
      <c r="J11347">
        <v>0</v>
      </c>
      <c r="K11347" s="1">
        <v>7089671</v>
      </c>
    </row>
    <row r="11348" spans="1:11" x14ac:dyDescent="0.25">
      <c r="A11348" t="s">
        <v>326</v>
      </c>
      <c r="B11348" t="s">
        <v>684</v>
      </c>
      <c r="C11348" t="s">
        <v>876</v>
      </c>
      <c r="D11348" t="s">
        <v>11</v>
      </c>
      <c r="E11348">
        <v>26</v>
      </c>
      <c r="F11348" s="2">
        <f>DATE(2026,IF(Tabla1[[#This Row],[Mes de Fecha]]="Septiembre",9,10),Tabla1[[#This Row],[Día de Fecha]])</f>
        <v>46291</v>
      </c>
      <c r="G11348">
        <v>1110519557</v>
      </c>
      <c r="H11348" t="s">
        <v>685</v>
      </c>
      <c r="I11348">
        <v>44</v>
      </c>
      <c r="J11348">
        <v>0</v>
      </c>
      <c r="K11348" s="1">
        <v>1996051</v>
      </c>
    </row>
    <row r="11349" spans="1:11" x14ac:dyDescent="0.25">
      <c r="A11349" t="s">
        <v>326</v>
      </c>
      <c r="B11349" t="s">
        <v>684</v>
      </c>
      <c r="C11349" t="s">
        <v>876</v>
      </c>
      <c r="D11349" t="s">
        <v>11</v>
      </c>
      <c r="E11349">
        <v>26</v>
      </c>
      <c r="F11349" s="2">
        <f>DATE(2026,IF(Tabla1[[#This Row],[Mes de Fecha]]="Septiembre",9,10),Tabla1[[#This Row],[Día de Fecha]])</f>
        <v>46291</v>
      </c>
      <c r="G11349">
        <v>1110548386</v>
      </c>
      <c r="H11349" t="s">
        <v>616</v>
      </c>
      <c r="I11349">
        <v>139</v>
      </c>
      <c r="J11349">
        <v>0</v>
      </c>
      <c r="K11349" s="1">
        <v>7620222</v>
      </c>
    </row>
    <row r="11350" spans="1:11" x14ac:dyDescent="0.25">
      <c r="A11350" t="s">
        <v>326</v>
      </c>
      <c r="B11350" t="s">
        <v>684</v>
      </c>
      <c r="C11350" t="s">
        <v>876</v>
      </c>
      <c r="D11350" t="s">
        <v>11</v>
      </c>
      <c r="E11350">
        <v>27</v>
      </c>
      <c r="F11350" s="2">
        <f>DATE(2026,IF(Tabla1[[#This Row],[Mes de Fecha]]="Septiembre",9,10),Tabla1[[#This Row],[Día de Fecha]])</f>
        <v>46292</v>
      </c>
      <c r="I11350">
        <v>0</v>
      </c>
      <c r="J11350" s="1">
        <v>20255529</v>
      </c>
      <c r="K11350">
        <v>0</v>
      </c>
    </row>
    <row r="11351" spans="1:11" x14ac:dyDescent="0.25">
      <c r="A11351" t="s">
        <v>326</v>
      </c>
      <c r="B11351" t="s">
        <v>684</v>
      </c>
      <c r="C11351" t="s">
        <v>876</v>
      </c>
      <c r="D11351" t="s">
        <v>11</v>
      </c>
      <c r="E11351">
        <v>27</v>
      </c>
      <c r="F11351" s="2">
        <f>DATE(2026,IF(Tabla1[[#This Row],[Mes de Fecha]]="Septiembre",9,10),Tabla1[[#This Row],[Día de Fecha]])</f>
        <v>46292</v>
      </c>
      <c r="G11351">
        <v>1005716262</v>
      </c>
      <c r="H11351" t="s">
        <v>517</v>
      </c>
      <c r="I11351">
        <v>50</v>
      </c>
      <c r="J11351">
        <v>0</v>
      </c>
      <c r="K11351" s="1">
        <v>2857061</v>
      </c>
    </row>
    <row r="11352" spans="1:11" x14ac:dyDescent="0.25">
      <c r="A11352" t="s">
        <v>326</v>
      </c>
      <c r="B11352" t="s">
        <v>684</v>
      </c>
      <c r="C11352" t="s">
        <v>876</v>
      </c>
      <c r="D11352" t="s">
        <v>11</v>
      </c>
      <c r="E11352">
        <v>27</v>
      </c>
      <c r="F11352" s="2">
        <f>DATE(2026,IF(Tabla1[[#This Row],[Mes de Fecha]]="Septiembre",9,10),Tabla1[[#This Row],[Día de Fecha]])</f>
        <v>46292</v>
      </c>
      <c r="G11352">
        <v>1007463963</v>
      </c>
      <c r="H11352" t="s">
        <v>621</v>
      </c>
      <c r="I11352">
        <v>49</v>
      </c>
      <c r="J11352">
        <v>0</v>
      </c>
      <c r="K11352" s="1">
        <v>2901134</v>
      </c>
    </row>
    <row r="11353" spans="1:11" x14ac:dyDescent="0.25">
      <c r="A11353" t="s">
        <v>326</v>
      </c>
      <c r="B11353" t="s">
        <v>684</v>
      </c>
      <c r="C11353" t="s">
        <v>876</v>
      </c>
      <c r="D11353" t="s">
        <v>11</v>
      </c>
      <c r="E11353">
        <v>27</v>
      </c>
      <c r="F11353" s="2">
        <f>DATE(2026,IF(Tabla1[[#This Row],[Mes de Fecha]]="Septiembre",9,10),Tabla1[[#This Row],[Día de Fecha]])</f>
        <v>46292</v>
      </c>
      <c r="G11353">
        <v>1110506146</v>
      </c>
      <c r="H11353" t="s">
        <v>617</v>
      </c>
      <c r="I11353">
        <v>118</v>
      </c>
      <c r="J11353">
        <v>0</v>
      </c>
      <c r="K11353" s="1">
        <v>6826979</v>
      </c>
    </row>
    <row r="11354" spans="1:11" x14ac:dyDescent="0.25">
      <c r="A11354" t="s">
        <v>326</v>
      </c>
      <c r="B11354" t="s">
        <v>684</v>
      </c>
      <c r="C11354" t="s">
        <v>876</v>
      </c>
      <c r="D11354" t="s">
        <v>11</v>
      </c>
      <c r="E11354">
        <v>27</v>
      </c>
      <c r="F11354" s="2">
        <f>DATE(2026,IF(Tabla1[[#This Row],[Mes de Fecha]]="Septiembre",9,10),Tabla1[[#This Row],[Día de Fecha]])</f>
        <v>46292</v>
      </c>
      <c r="G11354">
        <v>1110519557</v>
      </c>
      <c r="H11354" t="s">
        <v>685</v>
      </c>
      <c r="I11354">
        <v>41</v>
      </c>
      <c r="J11354">
        <v>0</v>
      </c>
      <c r="K11354" s="1">
        <v>2416307</v>
      </c>
    </row>
    <row r="11355" spans="1:11" x14ac:dyDescent="0.25">
      <c r="A11355" t="s">
        <v>326</v>
      </c>
      <c r="B11355" t="s">
        <v>684</v>
      </c>
      <c r="C11355" t="s">
        <v>876</v>
      </c>
      <c r="D11355" t="s">
        <v>11</v>
      </c>
      <c r="E11355">
        <v>27</v>
      </c>
      <c r="F11355" s="2">
        <f>DATE(2026,IF(Tabla1[[#This Row],[Mes de Fecha]]="Septiembre",9,10),Tabla1[[#This Row],[Día de Fecha]])</f>
        <v>46292</v>
      </c>
      <c r="G11355">
        <v>1110548386</v>
      </c>
      <c r="H11355" t="s">
        <v>616</v>
      </c>
      <c r="I11355">
        <v>131</v>
      </c>
      <c r="J11355">
        <v>0</v>
      </c>
      <c r="K11355" s="1">
        <v>7493544</v>
      </c>
    </row>
    <row r="11356" spans="1:11" x14ac:dyDescent="0.25">
      <c r="A11356" t="s">
        <v>326</v>
      </c>
      <c r="B11356" t="s">
        <v>684</v>
      </c>
      <c r="C11356" t="s">
        <v>876</v>
      </c>
      <c r="D11356" t="s">
        <v>11</v>
      </c>
      <c r="E11356">
        <v>28</v>
      </c>
      <c r="F11356" s="2">
        <f>DATE(2026,IF(Tabla1[[#This Row],[Mes de Fecha]]="Septiembre",9,10),Tabla1[[#This Row],[Día de Fecha]])</f>
        <v>46293</v>
      </c>
      <c r="I11356">
        <v>0</v>
      </c>
      <c r="J11356" s="1">
        <v>11147814</v>
      </c>
      <c r="K11356">
        <v>0</v>
      </c>
    </row>
    <row r="11357" spans="1:11" x14ac:dyDescent="0.25">
      <c r="A11357" t="s">
        <v>326</v>
      </c>
      <c r="B11357" t="s">
        <v>684</v>
      </c>
      <c r="C11357" t="s">
        <v>876</v>
      </c>
      <c r="D11357" t="s">
        <v>11</v>
      </c>
      <c r="E11357">
        <v>28</v>
      </c>
      <c r="F11357" s="2">
        <f>DATE(2026,IF(Tabla1[[#This Row],[Mes de Fecha]]="Septiembre",9,10),Tabla1[[#This Row],[Día de Fecha]])</f>
        <v>46293</v>
      </c>
      <c r="G11357">
        <v>1005716262</v>
      </c>
      <c r="H11357" t="s">
        <v>517</v>
      </c>
      <c r="I11357">
        <v>8</v>
      </c>
      <c r="J11357">
        <v>0</v>
      </c>
      <c r="K11357" s="1">
        <v>558487</v>
      </c>
    </row>
    <row r="11358" spans="1:11" x14ac:dyDescent="0.25">
      <c r="A11358" t="s">
        <v>326</v>
      </c>
      <c r="B11358" t="s">
        <v>684</v>
      </c>
      <c r="C11358" t="s">
        <v>876</v>
      </c>
      <c r="D11358" t="s">
        <v>11</v>
      </c>
      <c r="E11358">
        <v>28</v>
      </c>
      <c r="F11358" s="2">
        <f>DATE(2026,IF(Tabla1[[#This Row],[Mes de Fecha]]="Septiembre",9,10),Tabla1[[#This Row],[Día de Fecha]])</f>
        <v>46293</v>
      </c>
      <c r="G11358">
        <v>1007463963</v>
      </c>
      <c r="H11358" t="s">
        <v>621</v>
      </c>
      <c r="I11358">
        <v>19</v>
      </c>
      <c r="J11358">
        <v>0</v>
      </c>
      <c r="K11358" s="1">
        <v>1230296</v>
      </c>
    </row>
    <row r="11359" spans="1:11" x14ac:dyDescent="0.25">
      <c r="A11359" t="s">
        <v>326</v>
      </c>
      <c r="B11359" t="s">
        <v>684</v>
      </c>
      <c r="C11359" t="s">
        <v>876</v>
      </c>
      <c r="D11359" t="s">
        <v>11</v>
      </c>
      <c r="E11359">
        <v>28</v>
      </c>
      <c r="F11359" s="2">
        <f>DATE(2026,IF(Tabla1[[#This Row],[Mes de Fecha]]="Septiembre",9,10),Tabla1[[#This Row],[Día de Fecha]])</f>
        <v>46293</v>
      </c>
      <c r="G11359">
        <v>1110506146</v>
      </c>
      <c r="H11359" t="s">
        <v>617</v>
      </c>
      <c r="I11359">
        <v>65</v>
      </c>
      <c r="J11359">
        <v>0</v>
      </c>
      <c r="K11359" s="1">
        <v>3116510</v>
      </c>
    </row>
    <row r="11360" spans="1:11" x14ac:dyDescent="0.25">
      <c r="A11360" t="s">
        <v>326</v>
      </c>
      <c r="B11360" t="s">
        <v>684</v>
      </c>
      <c r="C11360" t="s">
        <v>876</v>
      </c>
      <c r="D11360" t="s">
        <v>11</v>
      </c>
      <c r="E11360">
        <v>28</v>
      </c>
      <c r="F11360" s="2">
        <f>DATE(2026,IF(Tabla1[[#This Row],[Mes de Fecha]]="Septiembre",9,10),Tabla1[[#This Row],[Día de Fecha]])</f>
        <v>46293</v>
      </c>
      <c r="G11360">
        <v>1110519557</v>
      </c>
      <c r="H11360" t="s">
        <v>685</v>
      </c>
      <c r="I11360">
        <v>14</v>
      </c>
      <c r="J11360">
        <v>0</v>
      </c>
      <c r="K11360" s="1">
        <v>852354</v>
      </c>
    </row>
    <row r="11361" spans="1:11" x14ac:dyDescent="0.25">
      <c r="A11361" t="s">
        <v>326</v>
      </c>
      <c r="B11361" t="s">
        <v>684</v>
      </c>
      <c r="C11361" t="s">
        <v>876</v>
      </c>
      <c r="D11361" t="s">
        <v>11</v>
      </c>
      <c r="E11361">
        <v>28</v>
      </c>
      <c r="F11361" s="2">
        <f>DATE(2026,IF(Tabla1[[#This Row],[Mes de Fecha]]="Septiembre",9,10),Tabla1[[#This Row],[Día de Fecha]])</f>
        <v>46293</v>
      </c>
      <c r="G11361">
        <v>1110548386</v>
      </c>
      <c r="H11361" t="s">
        <v>616</v>
      </c>
      <c r="I11361">
        <v>62</v>
      </c>
      <c r="J11361">
        <v>0</v>
      </c>
      <c r="K11361" s="1">
        <v>3434412</v>
      </c>
    </row>
    <row r="11362" spans="1:11" x14ac:dyDescent="0.25">
      <c r="A11362" t="s">
        <v>326</v>
      </c>
      <c r="B11362" t="s">
        <v>684</v>
      </c>
      <c r="C11362" t="s">
        <v>876</v>
      </c>
      <c r="D11362" t="s">
        <v>11</v>
      </c>
      <c r="E11362">
        <v>29</v>
      </c>
      <c r="F11362" s="2">
        <f>DATE(2026,IF(Tabla1[[#This Row],[Mes de Fecha]]="Septiembre",9,10),Tabla1[[#This Row],[Día de Fecha]])</f>
        <v>46294</v>
      </c>
      <c r="I11362">
        <v>0</v>
      </c>
      <c r="J11362" s="1">
        <v>11908044</v>
      </c>
      <c r="K11362">
        <v>0</v>
      </c>
    </row>
    <row r="11363" spans="1:11" x14ac:dyDescent="0.25">
      <c r="A11363" t="s">
        <v>326</v>
      </c>
      <c r="B11363" t="s">
        <v>684</v>
      </c>
      <c r="C11363" t="s">
        <v>876</v>
      </c>
      <c r="D11363" t="s">
        <v>11</v>
      </c>
      <c r="E11363">
        <v>29</v>
      </c>
      <c r="F11363" s="2">
        <f>DATE(2026,IF(Tabla1[[#This Row],[Mes de Fecha]]="Septiembre",9,10),Tabla1[[#This Row],[Día de Fecha]])</f>
        <v>46294</v>
      </c>
      <c r="G11363">
        <v>1005716262</v>
      </c>
      <c r="H11363" t="s">
        <v>517</v>
      </c>
      <c r="I11363">
        <v>32</v>
      </c>
      <c r="J11363">
        <v>0</v>
      </c>
      <c r="K11363" s="1">
        <v>1685507</v>
      </c>
    </row>
    <row r="11364" spans="1:11" x14ac:dyDescent="0.25">
      <c r="A11364" t="s">
        <v>326</v>
      </c>
      <c r="B11364" t="s">
        <v>684</v>
      </c>
      <c r="C11364" t="s">
        <v>876</v>
      </c>
      <c r="D11364" t="s">
        <v>11</v>
      </c>
      <c r="E11364">
        <v>29</v>
      </c>
      <c r="F11364" s="2">
        <f>DATE(2026,IF(Tabla1[[#This Row],[Mes de Fecha]]="Septiembre",9,10),Tabla1[[#This Row],[Día de Fecha]])</f>
        <v>46294</v>
      </c>
      <c r="G11364">
        <v>1007463963</v>
      </c>
      <c r="H11364" t="s">
        <v>621</v>
      </c>
      <c r="I11364">
        <v>17</v>
      </c>
      <c r="J11364">
        <v>0</v>
      </c>
      <c r="K11364" s="1">
        <v>904750</v>
      </c>
    </row>
    <row r="11365" spans="1:11" x14ac:dyDescent="0.25">
      <c r="A11365" t="s">
        <v>326</v>
      </c>
      <c r="B11365" t="s">
        <v>684</v>
      </c>
      <c r="C11365" t="s">
        <v>876</v>
      </c>
      <c r="D11365" t="s">
        <v>11</v>
      </c>
      <c r="E11365">
        <v>29</v>
      </c>
      <c r="F11365" s="2">
        <f>DATE(2026,IF(Tabla1[[#This Row],[Mes de Fecha]]="Septiembre",9,10),Tabla1[[#This Row],[Día de Fecha]])</f>
        <v>46294</v>
      </c>
      <c r="G11365">
        <v>1110506146</v>
      </c>
      <c r="H11365" t="s">
        <v>617</v>
      </c>
      <c r="I11365">
        <v>36</v>
      </c>
      <c r="J11365">
        <v>0</v>
      </c>
      <c r="K11365" s="1">
        <v>2225298</v>
      </c>
    </row>
    <row r="11366" spans="1:11" x14ac:dyDescent="0.25">
      <c r="A11366" t="s">
        <v>326</v>
      </c>
      <c r="B11366" t="s">
        <v>684</v>
      </c>
      <c r="C11366" t="s">
        <v>876</v>
      </c>
      <c r="D11366" t="s">
        <v>11</v>
      </c>
      <c r="E11366">
        <v>29</v>
      </c>
      <c r="F11366" s="2">
        <f>DATE(2026,IF(Tabla1[[#This Row],[Mes de Fecha]]="Septiembre",9,10),Tabla1[[#This Row],[Día de Fecha]])</f>
        <v>46294</v>
      </c>
      <c r="G11366">
        <v>1110519557</v>
      </c>
      <c r="H11366" t="s">
        <v>685</v>
      </c>
      <c r="I11366">
        <v>11</v>
      </c>
      <c r="J11366">
        <v>0</v>
      </c>
      <c r="K11366" s="1">
        <v>575127</v>
      </c>
    </row>
    <row r="11367" spans="1:11" x14ac:dyDescent="0.25">
      <c r="A11367" t="s">
        <v>326</v>
      </c>
      <c r="B11367" t="s">
        <v>684</v>
      </c>
      <c r="C11367" t="s">
        <v>876</v>
      </c>
      <c r="D11367" t="s">
        <v>11</v>
      </c>
      <c r="E11367">
        <v>29</v>
      </c>
      <c r="F11367" s="2">
        <f>DATE(2026,IF(Tabla1[[#This Row],[Mes de Fecha]]="Septiembre",9,10),Tabla1[[#This Row],[Día de Fecha]])</f>
        <v>46294</v>
      </c>
      <c r="G11367">
        <v>1110548386</v>
      </c>
      <c r="H11367" t="s">
        <v>616</v>
      </c>
      <c r="I11367">
        <v>31</v>
      </c>
      <c r="J11367">
        <v>0</v>
      </c>
      <c r="K11367" s="1">
        <v>1679288</v>
      </c>
    </row>
    <row r="11368" spans="1:11" x14ac:dyDescent="0.25">
      <c r="A11368" t="s">
        <v>326</v>
      </c>
      <c r="B11368" t="s">
        <v>684</v>
      </c>
      <c r="C11368" t="s">
        <v>876</v>
      </c>
      <c r="D11368" t="s">
        <v>11</v>
      </c>
      <c r="E11368">
        <v>30</v>
      </c>
      <c r="F11368" s="2">
        <f>DATE(2026,IF(Tabla1[[#This Row],[Mes de Fecha]]="Septiembre",9,10),Tabla1[[#This Row],[Día de Fecha]])</f>
        <v>46295</v>
      </c>
      <c r="I11368">
        <v>0</v>
      </c>
      <c r="J11368" s="1">
        <v>12301224</v>
      </c>
      <c r="K11368">
        <v>0</v>
      </c>
    </row>
    <row r="11369" spans="1:11" x14ac:dyDescent="0.25">
      <c r="A11369" t="s">
        <v>326</v>
      </c>
      <c r="B11369" t="s">
        <v>684</v>
      </c>
      <c r="C11369" t="s">
        <v>876</v>
      </c>
      <c r="D11369" t="s">
        <v>11</v>
      </c>
      <c r="E11369">
        <v>30</v>
      </c>
      <c r="F11369" s="2">
        <f>DATE(2026,IF(Tabla1[[#This Row],[Mes de Fecha]]="Septiembre",9,10),Tabla1[[#This Row],[Día de Fecha]])</f>
        <v>46295</v>
      </c>
      <c r="G11369">
        <v>1005716262</v>
      </c>
      <c r="H11369" t="s">
        <v>517</v>
      </c>
      <c r="I11369">
        <v>58</v>
      </c>
      <c r="J11369">
        <v>0</v>
      </c>
      <c r="K11369" s="1">
        <v>3171641</v>
      </c>
    </row>
    <row r="11370" spans="1:11" x14ac:dyDescent="0.25">
      <c r="A11370" t="s">
        <v>326</v>
      </c>
      <c r="B11370" t="s">
        <v>684</v>
      </c>
      <c r="C11370" t="s">
        <v>876</v>
      </c>
      <c r="D11370" t="s">
        <v>11</v>
      </c>
      <c r="E11370">
        <v>30</v>
      </c>
      <c r="F11370" s="2">
        <f>DATE(2026,IF(Tabla1[[#This Row],[Mes de Fecha]]="Septiembre",9,10),Tabla1[[#This Row],[Día de Fecha]])</f>
        <v>46295</v>
      </c>
      <c r="G11370">
        <v>1007463963</v>
      </c>
      <c r="H11370" t="s">
        <v>621</v>
      </c>
      <c r="I11370">
        <v>26</v>
      </c>
      <c r="J11370">
        <v>0</v>
      </c>
      <c r="K11370" s="1">
        <v>1502984</v>
      </c>
    </row>
    <row r="11371" spans="1:11" x14ac:dyDescent="0.25">
      <c r="A11371" t="s">
        <v>326</v>
      </c>
      <c r="B11371" t="s">
        <v>684</v>
      </c>
      <c r="C11371" t="s">
        <v>876</v>
      </c>
      <c r="D11371" t="s">
        <v>11</v>
      </c>
      <c r="E11371">
        <v>30</v>
      </c>
      <c r="F11371" s="2">
        <f>DATE(2026,IF(Tabla1[[#This Row],[Mes de Fecha]]="Septiembre",9,10),Tabla1[[#This Row],[Día de Fecha]])</f>
        <v>46295</v>
      </c>
      <c r="G11371">
        <v>1110506146</v>
      </c>
      <c r="H11371" t="s">
        <v>617</v>
      </c>
      <c r="I11371">
        <v>64</v>
      </c>
      <c r="J11371">
        <v>0</v>
      </c>
      <c r="K11371" s="1">
        <v>3459333</v>
      </c>
    </row>
    <row r="11372" spans="1:11" x14ac:dyDescent="0.25">
      <c r="A11372" t="s">
        <v>326</v>
      </c>
      <c r="B11372" t="s">
        <v>684</v>
      </c>
      <c r="C11372" t="s">
        <v>876</v>
      </c>
      <c r="D11372" t="s">
        <v>11</v>
      </c>
      <c r="E11372">
        <v>30</v>
      </c>
      <c r="F11372" s="2">
        <f>DATE(2026,IF(Tabla1[[#This Row],[Mes de Fecha]]="Septiembre",9,10),Tabla1[[#This Row],[Día de Fecha]])</f>
        <v>46295</v>
      </c>
      <c r="G11372">
        <v>1110519557</v>
      </c>
      <c r="H11372" t="s">
        <v>685</v>
      </c>
      <c r="I11372">
        <v>22</v>
      </c>
      <c r="J11372">
        <v>0</v>
      </c>
      <c r="K11372" s="1">
        <v>1549457</v>
      </c>
    </row>
    <row r="11373" spans="1:11" x14ac:dyDescent="0.25">
      <c r="A11373" t="s">
        <v>326</v>
      </c>
      <c r="B11373" t="s">
        <v>684</v>
      </c>
      <c r="C11373" t="s">
        <v>876</v>
      </c>
      <c r="D11373" t="s">
        <v>11</v>
      </c>
      <c r="E11373">
        <v>30</v>
      </c>
      <c r="F11373" s="2">
        <f>DATE(2026,IF(Tabla1[[#This Row],[Mes de Fecha]]="Septiembre",9,10),Tabla1[[#This Row],[Día de Fecha]])</f>
        <v>46295</v>
      </c>
      <c r="G11373">
        <v>1110548386</v>
      </c>
      <c r="H11373" t="s">
        <v>616</v>
      </c>
      <c r="I11373">
        <v>-2</v>
      </c>
      <c r="J11373">
        <v>0</v>
      </c>
      <c r="K11373" s="1">
        <v>-125967</v>
      </c>
    </row>
    <row r="11374" spans="1:11" x14ac:dyDescent="0.25">
      <c r="A11374" t="s">
        <v>326</v>
      </c>
      <c r="B11374" t="s">
        <v>684</v>
      </c>
      <c r="C11374" t="s">
        <v>876</v>
      </c>
      <c r="D11374" t="s">
        <v>14</v>
      </c>
      <c r="E11374">
        <v>1</v>
      </c>
      <c r="F11374" s="2">
        <f>DATE(2026,IF(Tabla1[[#This Row],[Mes de Fecha]]="Septiembre",9,10),Tabla1[[#This Row],[Día de Fecha]])</f>
        <v>46296</v>
      </c>
      <c r="I11374">
        <v>0</v>
      </c>
      <c r="J11374" s="1">
        <v>10055304</v>
      </c>
      <c r="K11374">
        <v>0</v>
      </c>
    </row>
    <row r="11375" spans="1:11" x14ac:dyDescent="0.25">
      <c r="A11375" t="s">
        <v>326</v>
      </c>
      <c r="B11375" t="s">
        <v>684</v>
      </c>
      <c r="C11375" t="s">
        <v>876</v>
      </c>
      <c r="D11375" t="s">
        <v>14</v>
      </c>
      <c r="E11375">
        <v>1</v>
      </c>
      <c r="F11375" s="2">
        <f>DATE(2026,IF(Tabla1[[#This Row],[Mes de Fecha]]="Septiembre",9,10),Tabla1[[#This Row],[Día de Fecha]])</f>
        <v>46296</v>
      </c>
      <c r="G11375">
        <v>1005716262</v>
      </c>
      <c r="H11375" t="s">
        <v>517</v>
      </c>
      <c r="I11375">
        <v>37</v>
      </c>
      <c r="J11375">
        <v>0</v>
      </c>
      <c r="K11375" s="1">
        <v>1899494</v>
      </c>
    </row>
    <row r="11376" spans="1:11" x14ac:dyDescent="0.25">
      <c r="A11376" t="s">
        <v>326</v>
      </c>
      <c r="B11376" t="s">
        <v>684</v>
      </c>
      <c r="C11376" t="s">
        <v>876</v>
      </c>
      <c r="D11376" t="s">
        <v>14</v>
      </c>
      <c r="E11376">
        <v>1</v>
      </c>
      <c r="F11376" s="2">
        <f>DATE(2026,IF(Tabla1[[#This Row],[Mes de Fecha]]="Septiembre",9,10),Tabla1[[#This Row],[Día de Fecha]])</f>
        <v>46296</v>
      </c>
      <c r="G11376">
        <v>1007463963</v>
      </c>
      <c r="H11376" t="s">
        <v>621</v>
      </c>
      <c r="I11376">
        <v>25</v>
      </c>
      <c r="J11376">
        <v>0</v>
      </c>
      <c r="K11376" s="1">
        <v>1713109</v>
      </c>
    </row>
    <row r="11377" spans="1:11" x14ac:dyDescent="0.25">
      <c r="A11377" t="s">
        <v>326</v>
      </c>
      <c r="B11377" t="s">
        <v>684</v>
      </c>
      <c r="C11377" t="s">
        <v>876</v>
      </c>
      <c r="D11377" t="s">
        <v>14</v>
      </c>
      <c r="E11377">
        <v>1</v>
      </c>
      <c r="F11377" s="2">
        <f>DATE(2026,IF(Tabla1[[#This Row],[Mes de Fecha]]="Septiembre",9,10),Tabla1[[#This Row],[Día de Fecha]])</f>
        <v>46296</v>
      </c>
      <c r="G11377">
        <v>1110506146</v>
      </c>
      <c r="H11377" t="s">
        <v>617</v>
      </c>
      <c r="I11377">
        <v>63</v>
      </c>
      <c r="J11377">
        <v>0</v>
      </c>
      <c r="K11377" s="1">
        <v>3705171</v>
      </c>
    </row>
    <row r="11378" spans="1:11" x14ac:dyDescent="0.25">
      <c r="A11378" t="s">
        <v>326</v>
      </c>
      <c r="B11378" t="s">
        <v>684</v>
      </c>
      <c r="C11378" t="s">
        <v>876</v>
      </c>
      <c r="D11378" t="s">
        <v>14</v>
      </c>
      <c r="E11378">
        <v>1</v>
      </c>
      <c r="F11378" s="2">
        <f>DATE(2026,IF(Tabla1[[#This Row],[Mes de Fecha]]="Septiembre",9,10),Tabla1[[#This Row],[Día de Fecha]])</f>
        <v>46296</v>
      </c>
      <c r="G11378">
        <v>1110519557</v>
      </c>
      <c r="H11378" t="s">
        <v>685</v>
      </c>
      <c r="I11378">
        <v>14</v>
      </c>
      <c r="J11378">
        <v>0</v>
      </c>
      <c r="K11378" s="1">
        <v>768278</v>
      </c>
    </row>
    <row r="11379" spans="1:11" x14ac:dyDescent="0.25">
      <c r="A11379" t="s">
        <v>326</v>
      </c>
      <c r="B11379" t="s">
        <v>684</v>
      </c>
      <c r="C11379" t="s">
        <v>876</v>
      </c>
      <c r="D11379" t="s">
        <v>14</v>
      </c>
      <c r="E11379">
        <v>1</v>
      </c>
      <c r="F11379" s="2">
        <f>DATE(2026,IF(Tabla1[[#This Row],[Mes de Fecha]]="Septiembre",9,10),Tabla1[[#This Row],[Día de Fecha]])</f>
        <v>46296</v>
      </c>
      <c r="G11379">
        <v>1110548386</v>
      </c>
      <c r="H11379" t="s">
        <v>616</v>
      </c>
      <c r="I11379">
        <v>-1</v>
      </c>
      <c r="J11379">
        <v>0</v>
      </c>
      <c r="K11379" s="1">
        <v>-71386</v>
      </c>
    </row>
    <row r="11380" spans="1:11" x14ac:dyDescent="0.25">
      <c r="A11380" t="s">
        <v>326</v>
      </c>
      <c r="B11380" t="s">
        <v>684</v>
      </c>
      <c r="C11380" t="s">
        <v>876</v>
      </c>
      <c r="D11380" t="s">
        <v>14</v>
      </c>
      <c r="E11380">
        <v>2</v>
      </c>
      <c r="F11380" s="2">
        <f>DATE(2026,IF(Tabla1[[#This Row],[Mes de Fecha]]="Septiembre",9,10),Tabla1[[#This Row],[Día de Fecha]])</f>
        <v>46297</v>
      </c>
      <c r="I11380">
        <v>0</v>
      </c>
      <c r="J11380" s="1">
        <v>9940743</v>
      </c>
      <c r="K11380">
        <v>0</v>
      </c>
    </row>
    <row r="11381" spans="1:11" x14ac:dyDescent="0.25">
      <c r="A11381" t="s">
        <v>326</v>
      </c>
      <c r="B11381" t="s">
        <v>684</v>
      </c>
      <c r="C11381" t="s">
        <v>876</v>
      </c>
      <c r="D11381" t="s">
        <v>14</v>
      </c>
      <c r="E11381">
        <v>2</v>
      </c>
      <c r="F11381" s="2">
        <f>DATE(2026,IF(Tabla1[[#This Row],[Mes de Fecha]]="Septiembre",9,10),Tabla1[[#This Row],[Día de Fecha]])</f>
        <v>46297</v>
      </c>
      <c r="G11381">
        <v>1005716262</v>
      </c>
      <c r="H11381" t="s">
        <v>517</v>
      </c>
      <c r="I11381">
        <v>49</v>
      </c>
      <c r="J11381">
        <v>0</v>
      </c>
      <c r="K11381" s="1">
        <v>2558785</v>
      </c>
    </row>
    <row r="11382" spans="1:11" x14ac:dyDescent="0.25">
      <c r="A11382" t="s">
        <v>326</v>
      </c>
      <c r="B11382" t="s">
        <v>684</v>
      </c>
      <c r="C11382" t="s">
        <v>876</v>
      </c>
      <c r="D11382" t="s">
        <v>14</v>
      </c>
      <c r="E11382">
        <v>2</v>
      </c>
      <c r="F11382" s="2">
        <f>DATE(2026,IF(Tabla1[[#This Row],[Mes de Fecha]]="Septiembre",9,10),Tabla1[[#This Row],[Día de Fecha]])</f>
        <v>46297</v>
      </c>
      <c r="G11382">
        <v>1007463963</v>
      </c>
      <c r="H11382" t="s">
        <v>621</v>
      </c>
      <c r="I11382">
        <v>23</v>
      </c>
      <c r="J11382">
        <v>0</v>
      </c>
      <c r="K11382" s="1">
        <v>1186010</v>
      </c>
    </row>
    <row r="11383" spans="1:11" x14ac:dyDescent="0.25">
      <c r="A11383" t="s">
        <v>326</v>
      </c>
      <c r="B11383" t="s">
        <v>684</v>
      </c>
      <c r="C11383" t="s">
        <v>876</v>
      </c>
      <c r="D11383" t="s">
        <v>14</v>
      </c>
      <c r="E11383">
        <v>2</v>
      </c>
      <c r="F11383" s="2">
        <f>DATE(2026,IF(Tabla1[[#This Row],[Mes de Fecha]]="Septiembre",9,10),Tabla1[[#This Row],[Día de Fecha]])</f>
        <v>46297</v>
      </c>
      <c r="G11383">
        <v>1110506146</v>
      </c>
      <c r="H11383" t="s">
        <v>617</v>
      </c>
      <c r="I11383">
        <v>35</v>
      </c>
      <c r="J11383">
        <v>0</v>
      </c>
      <c r="K11383" s="1">
        <v>1908154</v>
      </c>
    </row>
    <row r="11384" spans="1:11" x14ac:dyDescent="0.25">
      <c r="A11384" t="s">
        <v>326</v>
      </c>
      <c r="B11384" t="s">
        <v>684</v>
      </c>
      <c r="C11384" t="s">
        <v>876</v>
      </c>
      <c r="D11384" t="s">
        <v>14</v>
      </c>
      <c r="E11384">
        <v>2</v>
      </c>
      <c r="F11384" s="2">
        <f>DATE(2026,IF(Tabla1[[#This Row],[Mes de Fecha]]="Septiembre",9,10),Tabla1[[#This Row],[Día de Fecha]])</f>
        <v>46297</v>
      </c>
      <c r="G11384">
        <v>1110519557</v>
      </c>
      <c r="H11384" t="s">
        <v>685</v>
      </c>
      <c r="I11384">
        <v>27</v>
      </c>
      <c r="J11384">
        <v>0</v>
      </c>
      <c r="K11384" s="1">
        <v>1313910</v>
      </c>
    </row>
    <row r="11385" spans="1:11" x14ac:dyDescent="0.25">
      <c r="A11385" t="s">
        <v>326</v>
      </c>
      <c r="B11385" t="s">
        <v>684</v>
      </c>
      <c r="C11385" t="s">
        <v>876</v>
      </c>
      <c r="D11385" t="s">
        <v>14</v>
      </c>
      <c r="E11385">
        <v>3</v>
      </c>
      <c r="F11385" s="2">
        <f>DATE(2026,IF(Tabla1[[#This Row],[Mes de Fecha]]="Septiembre",9,10),Tabla1[[#This Row],[Día de Fecha]])</f>
        <v>46298</v>
      </c>
      <c r="I11385">
        <v>0</v>
      </c>
      <c r="J11385" s="1">
        <v>15220811</v>
      </c>
      <c r="K11385">
        <v>0</v>
      </c>
    </row>
    <row r="11386" spans="1:11" x14ac:dyDescent="0.25">
      <c r="A11386" t="s">
        <v>326</v>
      </c>
      <c r="B11386" t="s">
        <v>684</v>
      </c>
      <c r="C11386" t="s">
        <v>876</v>
      </c>
      <c r="D11386" t="s">
        <v>14</v>
      </c>
      <c r="E11386">
        <v>3</v>
      </c>
      <c r="F11386" s="2">
        <f>DATE(2026,IF(Tabla1[[#This Row],[Mes de Fecha]]="Septiembre",9,10),Tabla1[[#This Row],[Día de Fecha]])</f>
        <v>46298</v>
      </c>
      <c r="G11386">
        <v>1005716262</v>
      </c>
      <c r="H11386" t="s">
        <v>517</v>
      </c>
      <c r="I11386">
        <v>90</v>
      </c>
      <c r="J11386">
        <v>0</v>
      </c>
      <c r="K11386" s="1">
        <v>4222764</v>
      </c>
    </row>
    <row r="11387" spans="1:11" x14ac:dyDescent="0.25">
      <c r="A11387" t="s">
        <v>326</v>
      </c>
      <c r="B11387" t="s">
        <v>684</v>
      </c>
      <c r="C11387" t="s">
        <v>876</v>
      </c>
      <c r="D11387" t="s">
        <v>14</v>
      </c>
      <c r="E11387">
        <v>3</v>
      </c>
      <c r="F11387" s="2">
        <f>DATE(2026,IF(Tabla1[[#This Row],[Mes de Fecha]]="Septiembre",9,10),Tabla1[[#This Row],[Día de Fecha]])</f>
        <v>46298</v>
      </c>
      <c r="G11387">
        <v>1007463963</v>
      </c>
      <c r="H11387" t="s">
        <v>621</v>
      </c>
      <c r="I11387">
        <v>44</v>
      </c>
      <c r="J11387">
        <v>0</v>
      </c>
      <c r="K11387" s="1">
        <v>1962963</v>
      </c>
    </row>
    <row r="11388" spans="1:11" x14ac:dyDescent="0.25">
      <c r="A11388" t="s">
        <v>326</v>
      </c>
      <c r="B11388" t="s">
        <v>684</v>
      </c>
      <c r="C11388" t="s">
        <v>876</v>
      </c>
      <c r="D11388" t="s">
        <v>14</v>
      </c>
      <c r="E11388">
        <v>3</v>
      </c>
      <c r="F11388" s="2">
        <f>DATE(2026,IF(Tabla1[[#This Row],[Mes de Fecha]]="Septiembre",9,10),Tabla1[[#This Row],[Día de Fecha]])</f>
        <v>46298</v>
      </c>
      <c r="G11388">
        <v>1110506146</v>
      </c>
      <c r="H11388" t="s">
        <v>617</v>
      </c>
      <c r="I11388">
        <v>163</v>
      </c>
      <c r="J11388">
        <v>0</v>
      </c>
      <c r="K11388" s="1">
        <v>8424030</v>
      </c>
    </row>
    <row r="11389" spans="1:11" x14ac:dyDescent="0.25">
      <c r="A11389" t="s">
        <v>326</v>
      </c>
      <c r="B11389" t="s">
        <v>684</v>
      </c>
      <c r="C11389" t="s">
        <v>876</v>
      </c>
      <c r="D11389" t="s">
        <v>14</v>
      </c>
      <c r="E11389">
        <v>3</v>
      </c>
      <c r="F11389" s="2">
        <f>DATE(2026,IF(Tabla1[[#This Row],[Mes de Fecha]]="Septiembre",9,10),Tabla1[[#This Row],[Día de Fecha]])</f>
        <v>46298</v>
      </c>
      <c r="G11389">
        <v>1110519557</v>
      </c>
      <c r="H11389" t="s">
        <v>685</v>
      </c>
      <c r="I11389">
        <v>53</v>
      </c>
      <c r="J11389">
        <v>0</v>
      </c>
      <c r="K11389" s="1">
        <v>2626381</v>
      </c>
    </row>
    <row r="11390" spans="1:11" x14ac:dyDescent="0.25">
      <c r="A11390" t="s">
        <v>326</v>
      </c>
      <c r="B11390" t="s">
        <v>684</v>
      </c>
      <c r="C11390" t="s">
        <v>876</v>
      </c>
      <c r="D11390" t="s">
        <v>14</v>
      </c>
      <c r="E11390">
        <v>3</v>
      </c>
      <c r="F11390" s="2">
        <f>DATE(2026,IF(Tabla1[[#This Row],[Mes de Fecha]]="Septiembre",9,10),Tabla1[[#This Row],[Día de Fecha]])</f>
        <v>46298</v>
      </c>
      <c r="G11390">
        <v>1110548386</v>
      </c>
      <c r="H11390" t="s">
        <v>616</v>
      </c>
      <c r="I11390">
        <v>-2</v>
      </c>
      <c r="J11390">
        <v>0</v>
      </c>
      <c r="K11390" s="1">
        <v>-79748</v>
      </c>
    </row>
    <row r="11391" spans="1:11" x14ac:dyDescent="0.25">
      <c r="A11391" t="s">
        <v>326</v>
      </c>
      <c r="B11391" t="s">
        <v>684</v>
      </c>
      <c r="C11391" t="s">
        <v>876</v>
      </c>
      <c r="D11391" t="s">
        <v>14</v>
      </c>
      <c r="E11391">
        <v>4</v>
      </c>
      <c r="F11391" s="2">
        <f>DATE(2026,IF(Tabla1[[#This Row],[Mes de Fecha]]="Septiembre",9,10),Tabla1[[#This Row],[Día de Fecha]])</f>
        <v>46299</v>
      </c>
      <c r="I11391">
        <v>0</v>
      </c>
      <c r="J11391" s="1">
        <v>16683323</v>
      </c>
      <c r="K11391">
        <v>0</v>
      </c>
    </row>
    <row r="11392" spans="1:11" x14ac:dyDescent="0.25">
      <c r="A11392" t="s">
        <v>326</v>
      </c>
      <c r="B11392" t="s">
        <v>684</v>
      </c>
      <c r="C11392" t="s">
        <v>876</v>
      </c>
      <c r="D11392" t="s">
        <v>14</v>
      </c>
      <c r="E11392">
        <v>4</v>
      </c>
      <c r="F11392" s="2">
        <f>DATE(2026,IF(Tabla1[[#This Row],[Mes de Fecha]]="Septiembre",9,10),Tabla1[[#This Row],[Día de Fecha]])</f>
        <v>46299</v>
      </c>
      <c r="G11392">
        <v>1005716262</v>
      </c>
      <c r="H11392" t="s">
        <v>517</v>
      </c>
      <c r="I11392">
        <v>91</v>
      </c>
      <c r="J11392">
        <v>0</v>
      </c>
      <c r="K11392" s="1">
        <v>5420510</v>
      </c>
    </row>
    <row r="11393" spans="1:11" x14ac:dyDescent="0.25">
      <c r="A11393" t="s">
        <v>326</v>
      </c>
      <c r="B11393" t="s">
        <v>684</v>
      </c>
      <c r="C11393" t="s">
        <v>876</v>
      </c>
      <c r="D11393" t="s">
        <v>14</v>
      </c>
      <c r="E11393">
        <v>4</v>
      </c>
      <c r="F11393" s="2">
        <f>DATE(2026,IF(Tabla1[[#This Row],[Mes de Fecha]]="Septiembre",9,10),Tabla1[[#This Row],[Día de Fecha]])</f>
        <v>46299</v>
      </c>
      <c r="G11393">
        <v>1007463963</v>
      </c>
      <c r="H11393" t="s">
        <v>621</v>
      </c>
      <c r="I11393">
        <v>76</v>
      </c>
      <c r="J11393">
        <v>0</v>
      </c>
      <c r="K11393" s="1">
        <v>4643704</v>
      </c>
    </row>
    <row r="11394" spans="1:11" x14ac:dyDescent="0.25">
      <c r="A11394" t="s">
        <v>326</v>
      </c>
      <c r="B11394" t="s">
        <v>684</v>
      </c>
      <c r="C11394" t="s">
        <v>876</v>
      </c>
      <c r="D11394" t="s">
        <v>14</v>
      </c>
      <c r="E11394">
        <v>4</v>
      </c>
      <c r="F11394" s="2">
        <f>DATE(2026,IF(Tabla1[[#This Row],[Mes de Fecha]]="Septiembre",9,10),Tabla1[[#This Row],[Día de Fecha]])</f>
        <v>46299</v>
      </c>
      <c r="G11394">
        <v>1110506146</v>
      </c>
      <c r="H11394" t="s">
        <v>617</v>
      </c>
      <c r="I11394">
        <v>155</v>
      </c>
      <c r="J11394">
        <v>0</v>
      </c>
      <c r="K11394" s="1">
        <v>8572986</v>
      </c>
    </row>
    <row r="11395" spans="1:11" x14ac:dyDescent="0.25">
      <c r="A11395" t="s">
        <v>326</v>
      </c>
      <c r="B11395" t="s">
        <v>684</v>
      </c>
      <c r="C11395" t="s">
        <v>876</v>
      </c>
      <c r="D11395" t="s">
        <v>14</v>
      </c>
      <c r="E11395">
        <v>4</v>
      </c>
      <c r="F11395" s="2">
        <f>DATE(2026,IF(Tabla1[[#This Row],[Mes de Fecha]]="Septiembre",9,10),Tabla1[[#This Row],[Día de Fecha]])</f>
        <v>46299</v>
      </c>
      <c r="G11395">
        <v>1110519557</v>
      </c>
      <c r="H11395" t="s">
        <v>685</v>
      </c>
      <c r="I11395">
        <v>28</v>
      </c>
      <c r="J11395">
        <v>0</v>
      </c>
      <c r="K11395" s="1">
        <v>1278238</v>
      </c>
    </row>
    <row r="11396" spans="1:11" x14ac:dyDescent="0.25">
      <c r="A11396" t="s">
        <v>326</v>
      </c>
      <c r="B11396" t="s">
        <v>684</v>
      </c>
      <c r="C11396" t="s">
        <v>876</v>
      </c>
      <c r="D11396" t="s">
        <v>14</v>
      </c>
      <c r="E11396">
        <v>4</v>
      </c>
      <c r="F11396" s="2">
        <f>DATE(2026,IF(Tabla1[[#This Row],[Mes de Fecha]]="Septiembre",9,10),Tabla1[[#This Row],[Día de Fecha]])</f>
        <v>46299</v>
      </c>
      <c r="G11396">
        <v>1110548386</v>
      </c>
      <c r="H11396" t="s">
        <v>616</v>
      </c>
      <c r="I11396">
        <v>-2</v>
      </c>
      <c r="J11396">
        <v>0</v>
      </c>
      <c r="K11396" s="1">
        <v>-125967</v>
      </c>
    </row>
    <row r="11397" spans="1:11" x14ac:dyDescent="0.25">
      <c r="A11397" t="s">
        <v>326</v>
      </c>
      <c r="B11397" t="s">
        <v>684</v>
      </c>
      <c r="C11397" t="s">
        <v>876</v>
      </c>
      <c r="D11397" t="s">
        <v>14</v>
      </c>
      <c r="E11397">
        <v>5</v>
      </c>
      <c r="F11397" s="2">
        <f>DATE(2026,IF(Tabla1[[#This Row],[Mes de Fecha]]="Septiembre",9,10),Tabla1[[#This Row],[Día de Fecha]])</f>
        <v>46300</v>
      </c>
      <c r="I11397">
        <v>0</v>
      </c>
      <c r="J11397" s="1">
        <v>8741250</v>
      </c>
      <c r="K11397">
        <v>0</v>
      </c>
    </row>
    <row r="11398" spans="1:11" x14ac:dyDescent="0.25">
      <c r="A11398" t="s">
        <v>326</v>
      </c>
      <c r="B11398" t="s">
        <v>684</v>
      </c>
      <c r="C11398" t="s">
        <v>876</v>
      </c>
      <c r="D11398" t="s">
        <v>14</v>
      </c>
      <c r="E11398">
        <v>5</v>
      </c>
      <c r="F11398" s="2">
        <f>DATE(2026,IF(Tabla1[[#This Row],[Mes de Fecha]]="Septiembre",9,10),Tabla1[[#This Row],[Día de Fecha]])</f>
        <v>46300</v>
      </c>
      <c r="G11398">
        <v>1005716262</v>
      </c>
      <c r="H11398" t="s">
        <v>517</v>
      </c>
      <c r="I11398">
        <v>51</v>
      </c>
      <c r="J11398">
        <v>0</v>
      </c>
      <c r="K11398" s="1">
        <v>2943153</v>
      </c>
    </row>
    <row r="11399" spans="1:11" x14ac:dyDescent="0.25">
      <c r="A11399" t="s">
        <v>326</v>
      </c>
      <c r="B11399" t="s">
        <v>684</v>
      </c>
      <c r="C11399" t="s">
        <v>876</v>
      </c>
      <c r="D11399" t="s">
        <v>14</v>
      </c>
      <c r="E11399">
        <v>5</v>
      </c>
      <c r="F11399" s="2">
        <f>DATE(2026,IF(Tabla1[[#This Row],[Mes de Fecha]]="Septiembre",9,10),Tabla1[[#This Row],[Día de Fecha]])</f>
        <v>46300</v>
      </c>
      <c r="G11399">
        <v>1007463963</v>
      </c>
      <c r="H11399" t="s">
        <v>621</v>
      </c>
      <c r="I11399">
        <v>1</v>
      </c>
      <c r="J11399">
        <v>0</v>
      </c>
      <c r="K11399" s="1">
        <v>67143</v>
      </c>
    </row>
    <row r="11400" spans="1:11" x14ac:dyDescent="0.25">
      <c r="A11400" t="s">
        <v>326</v>
      </c>
      <c r="B11400" t="s">
        <v>684</v>
      </c>
      <c r="C11400" t="s">
        <v>876</v>
      </c>
      <c r="D11400" t="s">
        <v>14</v>
      </c>
      <c r="E11400">
        <v>5</v>
      </c>
      <c r="F11400" s="2">
        <f>DATE(2026,IF(Tabla1[[#This Row],[Mes de Fecha]]="Septiembre",9,10),Tabla1[[#This Row],[Día de Fecha]])</f>
        <v>46300</v>
      </c>
      <c r="G11400">
        <v>1110485736</v>
      </c>
      <c r="H11400" t="s">
        <v>614</v>
      </c>
      <c r="I11400">
        <v>-1</v>
      </c>
      <c r="J11400">
        <v>0</v>
      </c>
      <c r="K11400" s="1">
        <v>-83949</v>
      </c>
    </row>
    <row r="11401" spans="1:11" x14ac:dyDescent="0.25">
      <c r="A11401" t="s">
        <v>326</v>
      </c>
      <c r="B11401" t="s">
        <v>684</v>
      </c>
      <c r="C11401" t="s">
        <v>876</v>
      </c>
      <c r="D11401" t="s">
        <v>14</v>
      </c>
      <c r="E11401">
        <v>5</v>
      </c>
      <c r="F11401" s="2">
        <f>DATE(2026,IF(Tabla1[[#This Row],[Mes de Fecha]]="Septiembre",9,10),Tabla1[[#This Row],[Día de Fecha]])</f>
        <v>46300</v>
      </c>
      <c r="G11401">
        <v>1110506146</v>
      </c>
      <c r="H11401" t="s">
        <v>617</v>
      </c>
      <c r="I11401">
        <v>48</v>
      </c>
      <c r="J11401">
        <v>0</v>
      </c>
      <c r="K11401" s="1">
        <v>2575591</v>
      </c>
    </row>
    <row r="11402" spans="1:11" x14ac:dyDescent="0.25">
      <c r="A11402" t="s">
        <v>326</v>
      </c>
      <c r="B11402" t="s">
        <v>684</v>
      </c>
      <c r="C11402" t="s">
        <v>876</v>
      </c>
      <c r="D11402" t="s">
        <v>14</v>
      </c>
      <c r="E11402">
        <v>5</v>
      </c>
      <c r="F11402" s="2">
        <f>DATE(2026,IF(Tabla1[[#This Row],[Mes de Fecha]]="Septiembre",9,10),Tabla1[[#This Row],[Día de Fecha]])</f>
        <v>46300</v>
      </c>
      <c r="G11402">
        <v>1110519557</v>
      </c>
      <c r="H11402" t="s">
        <v>685</v>
      </c>
      <c r="I11402">
        <v>9</v>
      </c>
      <c r="J11402">
        <v>0</v>
      </c>
      <c r="K11402" s="1">
        <v>386051</v>
      </c>
    </row>
    <row r="11403" spans="1:11" x14ac:dyDescent="0.25">
      <c r="A11403" t="s">
        <v>326</v>
      </c>
      <c r="B11403" t="s">
        <v>684</v>
      </c>
      <c r="C11403" t="s">
        <v>876</v>
      </c>
      <c r="D11403" t="s">
        <v>14</v>
      </c>
      <c r="E11403">
        <v>5</v>
      </c>
      <c r="F11403" s="2">
        <f>DATE(2026,IF(Tabla1[[#This Row],[Mes de Fecha]]="Septiembre",9,10),Tabla1[[#This Row],[Día de Fecha]])</f>
        <v>46300</v>
      </c>
      <c r="G11403">
        <v>1110548386</v>
      </c>
      <c r="H11403" t="s">
        <v>616</v>
      </c>
      <c r="I11403">
        <v>-1</v>
      </c>
      <c r="J11403">
        <v>0</v>
      </c>
      <c r="K11403" s="1">
        <v>-41975</v>
      </c>
    </row>
    <row r="11404" spans="1:11" x14ac:dyDescent="0.25">
      <c r="A11404" t="s">
        <v>326</v>
      </c>
      <c r="B11404" t="s">
        <v>684</v>
      </c>
      <c r="C11404" t="s">
        <v>876</v>
      </c>
      <c r="D11404" t="s">
        <v>14</v>
      </c>
      <c r="E11404">
        <v>6</v>
      </c>
      <c r="F11404" s="2">
        <f>DATE(2026,IF(Tabla1[[#This Row],[Mes de Fecha]]="Septiembre",9,10),Tabla1[[#This Row],[Día de Fecha]])</f>
        <v>46301</v>
      </c>
      <c r="I11404">
        <v>0</v>
      </c>
      <c r="J11404" s="1">
        <v>4880816</v>
      </c>
      <c r="K11404">
        <v>0</v>
      </c>
    </row>
    <row r="11405" spans="1:11" x14ac:dyDescent="0.25">
      <c r="A11405" t="s">
        <v>326</v>
      </c>
      <c r="B11405" t="s">
        <v>684</v>
      </c>
      <c r="C11405" t="s">
        <v>876</v>
      </c>
      <c r="D11405" t="s">
        <v>14</v>
      </c>
      <c r="E11405">
        <v>6</v>
      </c>
      <c r="F11405" s="2">
        <f>DATE(2026,IF(Tabla1[[#This Row],[Mes de Fecha]]="Septiembre",9,10),Tabla1[[#This Row],[Día de Fecha]])</f>
        <v>46301</v>
      </c>
      <c r="G11405">
        <v>1005716262</v>
      </c>
      <c r="H11405" t="s">
        <v>517</v>
      </c>
      <c r="I11405">
        <v>82</v>
      </c>
      <c r="J11405">
        <v>0</v>
      </c>
      <c r="K11405" s="1">
        <v>5244253</v>
      </c>
    </row>
    <row r="11406" spans="1:11" x14ac:dyDescent="0.25">
      <c r="A11406" t="s">
        <v>326</v>
      </c>
      <c r="B11406" t="s">
        <v>684</v>
      </c>
      <c r="C11406" t="s">
        <v>876</v>
      </c>
      <c r="D11406" t="s">
        <v>14</v>
      </c>
      <c r="E11406">
        <v>6</v>
      </c>
      <c r="F11406" s="2">
        <f>DATE(2026,IF(Tabla1[[#This Row],[Mes de Fecha]]="Septiembre",9,10),Tabla1[[#This Row],[Día de Fecha]])</f>
        <v>46301</v>
      </c>
      <c r="G11406">
        <v>1007463963</v>
      </c>
      <c r="H11406" t="s">
        <v>621</v>
      </c>
      <c r="I11406">
        <v>-2</v>
      </c>
      <c r="J11406">
        <v>0</v>
      </c>
      <c r="K11406" s="1">
        <v>-130168</v>
      </c>
    </row>
    <row r="11407" spans="1:11" x14ac:dyDescent="0.25">
      <c r="A11407" t="s">
        <v>326</v>
      </c>
      <c r="B11407" t="s">
        <v>684</v>
      </c>
      <c r="C11407" t="s">
        <v>876</v>
      </c>
      <c r="D11407" t="s">
        <v>14</v>
      </c>
      <c r="E11407">
        <v>6</v>
      </c>
      <c r="F11407" s="2">
        <f>DATE(2026,IF(Tabla1[[#This Row],[Mes de Fecha]]="Septiembre",9,10),Tabla1[[#This Row],[Día de Fecha]])</f>
        <v>46301</v>
      </c>
      <c r="G11407">
        <v>1110506146</v>
      </c>
      <c r="H11407" t="s">
        <v>617</v>
      </c>
      <c r="I11407">
        <v>42</v>
      </c>
      <c r="J11407">
        <v>0</v>
      </c>
      <c r="K11407" s="1">
        <v>2441392</v>
      </c>
    </row>
    <row r="11408" spans="1:11" x14ac:dyDescent="0.25">
      <c r="A11408" t="s">
        <v>326</v>
      </c>
      <c r="B11408" t="s">
        <v>684</v>
      </c>
      <c r="C11408" t="s">
        <v>876</v>
      </c>
      <c r="D11408" t="s">
        <v>14</v>
      </c>
      <c r="E11408">
        <v>6</v>
      </c>
      <c r="F11408" s="2">
        <f>DATE(2026,IF(Tabla1[[#This Row],[Mes de Fecha]]="Septiembre",9,10),Tabla1[[#This Row],[Día de Fecha]])</f>
        <v>46301</v>
      </c>
      <c r="G11408">
        <v>1110519557</v>
      </c>
      <c r="H11408" t="s">
        <v>685</v>
      </c>
      <c r="I11408">
        <v>1</v>
      </c>
      <c r="J11408">
        <v>0</v>
      </c>
      <c r="K11408" s="1">
        <v>109202</v>
      </c>
    </row>
    <row r="11409" spans="1:11" x14ac:dyDescent="0.25">
      <c r="A11409" t="s">
        <v>326</v>
      </c>
      <c r="B11409" t="s">
        <v>684</v>
      </c>
      <c r="C11409" t="s">
        <v>876</v>
      </c>
      <c r="D11409" t="s">
        <v>14</v>
      </c>
      <c r="E11409">
        <v>7</v>
      </c>
      <c r="F11409" s="2">
        <f>DATE(2026,IF(Tabla1[[#This Row],[Mes de Fecha]]="Septiembre",9,10),Tabla1[[#This Row],[Día de Fecha]])</f>
        <v>46302</v>
      </c>
      <c r="I11409">
        <v>0</v>
      </c>
      <c r="J11409" s="1">
        <v>4816596</v>
      </c>
      <c r="K11409">
        <v>0</v>
      </c>
    </row>
    <row r="11410" spans="1:11" x14ac:dyDescent="0.25">
      <c r="A11410" t="s">
        <v>326</v>
      </c>
      <c r="B11410" t="s">
        <v>684</v>
      </c>
      <c r="C11410" t="s">
        <v>876</v>
      </c>
      <c r="D11410" t="s">
        <v>14</v>
      </c>
      <c r="E11410">
        <v>7</v>
      </c>
      <c r="F11410" s="2">
        <f>DATE(2026,IF(Tabla1[[#This Row],[Mes de Fecha]]="Septiembre",9,10),Tabla1[[#This Row],[Día de Fecha]])</f>
        <v>46302</v>
      </c>
      <c r="G11410">
        <v>1005716262</v>
      </c>
      <c r="H11410" t="s">
        <v>517</v>
      </c>
      <c r="I11410">
        <v>47</v>
      </c>
      <c r="J11410">
        <v>0</v>
      </c>
      <c r="K11410" s="1">
        <v>2691178</v>
      </c>
    </row>
    <row r="11411" spans="1:11" x14ac:dyDescent="0.25">
      <c r="A11411" t="s">
        <v>326</v>
      </c>
      <c r="B11411" t="s">
        <v>684</v>
      </c>
      <c r="C11411" t="s">
        <v>876</v>
      </c>
      <c r="D11411" t="s">
        <v>14</v>
      </c>
      <c r="E11411">
        <v>7</v>
      </c>
      <c r="F11411" s="2">
        <f>DATE(2026,IF(Tabla1[[#This Row],[Mes de Fecha]]="Septiembre",9,10),Tabla1[[#This Row],[Día de Fecha]])</f>
        <v>46302</v>
      </c>
      <c r="G11411">
        <v>1110506146</v>
      </c>
      <c r="H11411" t="s">
        <v>617</v>
      </c>
      <c r="I11411">
        <v>69</v>
      </c>
      <c r="J11411">
        <v>0</v>
      </c>
      <c r="K11411" s="1">
        <v>3696515</v>
      </c>
    </row>
    <row r="11412" spans="1:11" x14ac:dyDescent="0.25">
      <c r="A11412" t="s">
        <v>326</v>
      </c>
      <c r="B11412" t="s">
        <v>766</v>
      </c>
      <c r="C11412" t="s">
        <v>876</v>
      </c>
      <c r="D11412" t="s">
        <v>11</v>
      </c>
      <c r="E11412">
        <v>23</v>
      </c>
      <c r="F11412" s="2">
        <f>DATE(2026,IF(Tabla1[[#This Row],[Mes de Fecha]]="Septiembre",9,10),Tabla1[[#This Row],[Día de Fecha]])</f>
        <v>46288</v>
      </c>
      <c r="I11412">
        <v>0</v>
      </c>
      <c r="J11412" s="1">
        <v>11053342</v>
      </c>
      <c r="K11412">
        <v>0</v>
      </c>
    </row>
    <row r="11413" spans="1:11" x14ac:dyDescent="0.25">
      <c r="A11413" t="s">
        <v>326</v>
      </c>
      <c r="B11413" t="s">
        <v>766</v>
      </c>
      <c r="C11413" t="s">
        <v>876</v>
      </c>
      <c r="D11413" t="s">
        <v>11</v>
      </c>
      <c r="E11413">
        <v>23</v>
      </c>
      <c r="F11413" s="2">
        <f>DATE(2026,IF(Tabla1[[#This Row],[Mes de Fecha]]="Septiembre",9,10),Tabla1[[#This Row],[Día de Fecha]])</f>
        <v>46288</v>
      </c>
      <c r="G11413">
        <v>1003813404</v>
      </c>
      <c r="H11413" t="s">
        <v>767</v>
      </c>
      <c r="I11413">
        <v>15</v>
      </c>
      <c r="J11413">
        <v>0</v>
      </c>
      <c r="K11413" s="1">
        <v>967817</v>
      </c>
    </row>
    <row r="11414" spans="1:11" x14ac:dyDescent="0.25">
      <c r="A11414" t="s">
        <v>326</v>
      </c>
      <c r="B11414" t="s">
        <v>766</v>
      </c>
      <c r="C11414" t="s">
        <v>876</v>
      </c>
      <c r="D11414" t="s">
        <v>11</v>
      </c>
      <c r="E11414">
        <v>23</v>
      </c>
      <c r="F11414" s="2">
        <f>DATE(2026,IF(Tabla1[[#This Row],[Mes de Fecha]]="Septiembre",9,10),Tabla1[[#This Row],[Día de Fecha]])</f>
        <v>46288</v>
      </c>
      <c r="G11414">
        <v>1004155911</v>
      </c>
      <c r="H11414" t="s">
        <v>768</v>
      </c>
      <c r="I11414">
        <v>27</v>
      </c>
      <c r="J11414">
        <v>0</v>
      </c>
      <c r="K11414" s="1">
        <v>1507058</v>
      </c>
    </row>
    <row r="11415" spans="1:11" x14ac:dyDescent="0.25">
      <c r="A11415" t="s">
        <v>326</v>
      </c>
      <c r="B11415" t="s">
        <v>766</v>
      </c>
      <c r="C11415" t="s">
        <v>876</v>
      </c>
      <c r="D11415" t="s">
        <v>11</v>
      </c>
      <c r="E11415">
        <v>23</v>
      </c>
      <c r="F11415" s="2">
        <f>DATE(2026,IF(Tabla1[[#This Row],[Mes de Fecha]]="Septiembre",9,10),Tabla1[[#This Row],[Día de Fecha]])</f>
        <v>46288</v>
      </c>
      <c r="G11415">
        <v>1075243559</v>
      </c>
      <c r="H11415" t="s">
        <v>561</v>
      </c>
      <c r="I11415">
        <v>50</v>
      </c>
      <c r="J11415">
        <v>0</v>
      </c>
      <c r="K11415" s="1">
        <v>2436681</v>
      </c>
    </row>
    <row r="11416" spans="1:11" x14ac:dyDescent="0.25">
      <c r="A11416" t="s">
        <v>326</v>
      </c>
      <c r="B11416" t="s">
        <v>766</v>
      </c>
      <c r="C11416" t="s">
        <v>876</v>
      </c>
      <c r="D11416" t="s">
        <v>11</v>
      </c>
      <c r="E11416">
        <v>23</v>
      </c>
      <c r="F11416" s="2">
        <f>DATE(2026,IF(Tabla1[[#This Row],[Mes de Fecha]]="Septiembre",9,10),Tabla1[[#This Row],[Día de Fecha]])</f>
        <v>46288</v>
      </c>
      <c r="G11416">
        <v>1075306881</v>
      </c>
      <c r="H11416" t="s">
        <v>557</v>
      </c>
      <c r="I11416">
        <v>93</v>
      </c>
      <c r="J11416">
        <v>0</v>
      </c>
      <c r="K11416" s="1">
        <v>4167988</v>
      </c>
    </row>
    <row r="11417" spans="1:11" x14ac:dyDescent="0.25">
      <c r="A11417" t="s">
        <v>326</v>
      </c>
      <c r="B11417" t="s">
        <v>766</v>
      </c>
      <c r="C11417" t="s">
        <v>876</v>
      </c>
      <c r="D11417" t="s">
        <v>11</v>
      </c>
      <c r="E11417">
        <v>23</v>
      </c>
      <c r="F11417" s="2">
        <f>DATE(2026,IF(Tabla1[[#This Row],[Mes de Fecha]]="Septiembre",9,10),Tabla1[[#This Row],[Día de Fecha]])</f>
        <v>46288</v>
      </c>
      <c r="G11417">
        <v>1128626377</v>
      </c>
      <c r="H11417" t="s">
        <v>769</v>
      </c>
      <c r="I11417">
        <v>14</v>
      </c>
      <c r="J11417">
        <v>0</v>
      </c>
      <c r="K11417" s="1">
        <v>675841</v>
      </c>
    </row>
    <row r="11418" spans="1:11" x14ac:dyDescent="0.25">
      <c r="A11418" t="s">
        <v>326</v>
      </c>
      <c r="B11418" t="s">
        <v>766</v>
      </c>
      <c r="C11418" t="s">
        <v>876</v>
      </c>
      <c r="D11418" t="s">
        <v>11</v>
      </c>
      <c r="E11418">
        <v>24</v>
      </c>
      <c r="F11418" s="2">
        <f>DATE(2026,IF(Tabla1[[#This Row],[Mes de Fecha]]="Septiembre",9,10),Tabla1[[#This Row],[Día de Fecha]])</f>
        <v>46289</v>
      </c>
      <c r="I11418">
        <v>0</v>
      </c>
      <c r="J11418" s="1">
        <v>16885226</v>
      </c>
      <c r="K11418">
        <v>0</v>
      </c>
    </row>
    <row r="11419" spans="1:11" x14ac:dyDescent="0.25">
      <c r="A11419" t="s">
        <v>326</v>
      </c>
      <c r="B11419" t="s">
        <v>766</v>
      </c>
      <c r="C11419" t="s">
        <v>876</v>
      </c>
      <c r="D11419" t="s">
        <v>11</v>
      </c>
      <c r="E11419">
        <v>24</v>
      </c>
      <c r="F11419" s="2">
        <f>DATE(2026,IF(Tabla1[[#This Row],[Mes de Fecha]]="Septiembre",9,10),Tabla1[[#This Row],[Día de Fecha]])</f>
        <v>46289</v>
      </c>
      <c r="G11419">
        <v>1003813404</v>
      </c>
      <c r="H11419" t="s">
        <v>767</v>
      </c>
      <c r="I11419">
        <v>20</v>
      </c>
      <c r="J11419">
        <v>0</v>
      </c>
      <c r="K11419" s="1">
        <v>881304</v>
      </c>
    </row>
    <row r="11420" spans="1:11" x14ac:dyDescent="0.25">
      <c r="A11420" t="s">
        <v>326</v>
      </c>
      <c r="B11420" t="s">
        <v>766</v>
      </c>
      <c r="C11420" t="s">
        <v>876</v>
      </c>
      <c r="D11420" t="s">
        <v>11</v>
      </c>
      <c r="E11420">
        <v>24</v>
      </c>
      <c r="F11420" s="2">
        <f>DATE(2026,IF(Tabla1[[#This Row],[Mes de Fecha]]="Septiembre",9,10),Tabla1[[#This Row],[Día de Fecha]])</f>
        <v>46289</v>
      </c>
      <c r="G11420">
        <v>1004155911</v>
      </c>
      <c r="H11420" t="s">
        <v>768</v>
      </c>
      <c r="I11420">
        <v>17</v>
      </c>
      <c r="J11420">
        <v>0</v>
      </c>
      <c r="K11420" s="1">
        <v>885672</v>
      </c>
    </row>
    <row r="11421" spans="1:11" x14ac:dyDescent="0.25">
      <c r="A11421" t="s">
        <v>326</v>
      </c>
      <c r="B11421" t="s">
        <v>766</v>
      </c>
      <c r="C11421" t="s">
        <v>876</v>
      </c>
      <c r="D11421" t="s">
        <v>11</v>
      </c>
      <c r="E11421">
        <v>24</v>
      </c>
      <c r="F11421" s="2">
        <f>DATE(2026,IF(Tabla1[[#This Row],[Mes de Fecha]]="Septiembre",9,10),Tabla1[[#This Row],[Día de Fecha]])</f>
        <v>46289</v>
      </c>
      <c r="G11421">
        <v>1075243559</v>
      </c>
      <c r="H11421" t="s">
        <v>561</v>
      </c>
      <c r="I11421">
        <v>66</v>
      </c>
      <c r="J11421">
        <v>0</v>
      </c>
      <c r="K11421" s="1">
        <v>2894078</v>
      </c>
    </row>
    <row r="11422" spans="1:11" x14ac:dyDescent="0.25">
      <c r="A11422" t="s">
        <v>326</v>
      </c>
      <c r="B11422" t="s">
        <v>766</v>
      </c>
      <c r="C11422" t="s">
        <v>876</v>
      </c>
      <c r="D11422" t="s">
        <v>11</v>
      </c>
      <c r="E11422">
        <v>24</v>
      </c>
      <c r="F11422" s="2">
        <f>DATE(2026,IF(Tabla1[[#This Row],[Mes de Fecha]]="Septiembre",9,10),Tabla1[[#This Row],[Día de Fecha]])</f>
        <v>46289</v>
      </c>
      <c r="G11422">
        <v>1075306881</v>
      </c>
      <c r="H11422" t="s">
        <v>557</v>
      </c>
      <c r="I11422">
        <v>91</v>
      </c>
      <c r="J11422">
        <v>0</v>
      </c>
      <c r="K11422" s="1">
        <v>3926652</v>
      </c>
    </row>
    <row r="11423" spans="1:11" x14ac:dyDescent="0.25">
      <c r="A11423" t="s">
        <v>326</v>
      </c>
      <c r="B11423" t="s">
        <v>766</v>
      </c>
      <c r="C11423" t="s">
        <v>876</v>
      </c>
      <c r="D11423" t="s">
        <v>11</v>
      </c>
      <c r="E11423">
        <v>24</v>
      </c>
      <c r="F11423" s="2">
        <f>DATE(2026,IF(Tabla1[[#This Row],[Mes de Fecha]]="Septiembre",9,10),Tabla1[[#This Row],[Día de Fecha]])</f>
        <v>46289</v>
      </c>
      <c r="G11423">
        <v>1128626377</v>
      </c>
      <c r="H11423" t="s">
        <v>769</v>
      </c>
      <c r="I11423">
        <v>20</v>
      </c>
      <c r="J11423">
        <v>0</v>
      </c>
      <c r="K11423" s="1">
        <v>852102</v>
      </c>
    </row>
    <row r="11424" spans="1:11" x14ac:dyDescent="0.25">
      <c r="A11424" t="s">
        <v>326</v>
      </c>
      <c r="B11424" t="s">
        <v>766</v>
      </c>
      <c r="C11424" t="s">
        <v>876</v>
      </c>
      <c r="D11424" t="s">
        <v>11</v>
      </c>
      <c r="E11424">
        <v>25</v>
      </c>
      <c r="F11424" s="2">
        <f>DATE(2026,IF(Tabla1[[#This Row],[Mes de Fecha]]="Septiembre",9,10),Tabla1[[#This Row],[Día de Fecha]])</f>
        <v>46290</v>
      </c>
      <c r="I11424">
        <v>0</v>
      </c>
      <c r="J11424" s="1">
        <v>16847849</v>
      </c>
      <c r="K11424">
        <v>0</v>
      </c>
    </row>
    <row r="11425" spans="1:11" x14ac:dyDescent="0.25">
      <c r="A11425" t="s">
        <v>326</v>
      </c>
      <c r="B11425" t="s">
        <v>766</v>
      </c>
      <c r="C11425" t="s">
        <v>876</v>
      </c>
      <c r="D11425" t="s">
        <v>11</v>
      </c>
      <c r="E11425">
        <v>25</v>
      </c>
      <c r="F11425" s="2">
        <f>DATE(2026,IF(Tabla1[[#This Row],[Mes de Fecha]]="Septiembre",9,10),Tabla1[[#This Row],[Día de Fecha]])</f>
        <v>46290</v>
      </c>
      <c r="G11425">
        <v>1003813404</v>
      </c>
      <c r="H11425" t="s">
        <v>767</v>
      </c>
      <c r="I11425">
        <v>12</v>
      </c>
      <c r="J11425">
        <v>0</v>
      </c>
      <c r="K11425" s="1">
        <v>726304</v>
      </c>
    </row>
    <row r="11426" spans="1:11" x14ac:dyDescent="0.25">
      <c r="A11426" t="s">
        <v>326</v>
      </c>
      <c r="B11426" t="s">
        <v>766</v>
      </c>
      <c r="C11426" t="s">
        <v>876</v>
      </c>
      <c r="D11426" t="s">
        <v>11</v>
      </c>
      <c r="E11426">
        <v>25</v>
      </c>
      <c r="F11426" s="2">
        <f>DATE(2026,IF(Tabla1[[#This Row],[Mes de Fecha]]="Septiembre",9,10),Tabla1[[#This Row],[Día de Fecha]])</f>
        <v>46290</v>
      </c>
      <c r="G11426">
        <v>1004155911</v>
      </c>
      <c r="H11426" t="s">
        <v>768</v>
      </c>
      <c r="I11426">
        <v>37</v>
      </c>
      <c r="J11426">
        <v>0</v>
      </c>
      <c r="K11426" s="1">
        <v>1731345</v>
      </c>
    </row>
    <row r="11427" spans="1:11" x14ac:dyDescent="0.25">
      <c r="A11427" t="s">
        <v>326</v>
      </c>
      <c r="B11427" t="s">
        <v>766</v>
      </c>
      <c r="C11427" t="s">
        <v>876</v>
      </c>
      <c r="D11427" t="s">
        <v>11</v>
      </c>
      <c r="E11427">
        <v>25</v>
      </c>
      <c r="F11427" s="2">
        <f>DATE(2026,IF(Tabla1[[#This Row],[Mes de Fecha]]="Septiembre",9,10),Tabla1[[#This Row],[Día de Fecha]])</f>
        <v>46290</v>
      </c>
      <c r="G11427">
        <v>1075243559</v>
      </c>
      <c r="H11427" t="s">
        <v>561</v>
      </c>
      <c r="I11427">
        <v>83</v>
      </c>
      <c r="J11427">
        <v>0</v>
      </c>
      <c r="K11427" s="1">
        <v>3634371</v>
      </c>
    </row>
    <row r="11428" spans="1:11" x14ac:dyDescent="0.25">
      <c r="A11428" t="s">
        <v>326</v>
      </c>
      <c r="B11428" t="s">
        <v>766</v>
      </c>
      <c r="C11428" t="s">
        <v>876</v>
      </c>
      <c r="D11428" t="s">
        <v>11</v>
      </c>
      <c r="E11428">
        <v>25</v>
      </c>
      <c r="F11428" s="2">
        <f>DATE(2026,IF(Tabla1[[#This Row],[Mes de Fecha]]="Septiembre",9,10),Tabla1[[#This Row],[Día de Fecha]])</f>
        <v>46290</v>
      </c>
      <c r="G11428">
        <v>1075306881</v>
      </c>
      <c r="H11428" t="s">
        <v>557</v>
      </c>
      <c r="I11428">
        <v>86</v>
      </c>
      <c r="J11428">
        <v>0</v>
      </c>
      <c r="K11428" s="1">
        <v>4295802</v>
      </c>
    </row>
    <row r="11429" spans="1:11" x14ac:dyDescent="0.25">
      <c r="A11429" t="s">
        <v>326</v>
      </c>
      <c r="B11429" t="s">
        <v>766</v>
      </c>
      <c r="C11429" t="s">
        <v>876</v>
      </c>
      <c r="D11429" t="s">
        <v>11</v>
      </c>
      <c r="E11429">
        <v>25</v>
      </c>
      <c r="F11429" s="2">
        <f>DATE(2026,IF(Tabla1[[#This Row],[Mes de Fecha]]="Septiembre",9,10),Tabla1[[#This Row],[Día de Fecha]])</f>
        <v>46290</v>
      </c>
      <c r="G11429">
        <v>1128626377</v>
      </c>
      <c r="H11429" t="s">
        <v>769</v>
      </c>
      <c r="I11429">
        <v>22</v>
      </c>
      <c r="J11429">
        <v>0</v>
      </c>
      <c r="K11429" s="1">
        <v>1435842</v>
      </c>
    </row>
    <row r="11430" spans="1:11" x14ac:dyDescent="0.25">
      <c r="A11430" t="s">
        <v>326</v>
      </c>
      <c r="B11430" t="s">
        <v>766</v>
      </c>
      <c r="C11430" t="s">
        <v>876</v>
      </c>
      <c r="D11430" t="s">
        <v>11</v>
      </c>
      <c r="E11430">
        <v>26</v>
      </c>
      <c r="F11430" s="2">
        <f>DATE(2026,IF(Tabla1[[#This Row],[Mes de Fecha]]="Septiembre",9,10),Tabla1[[#This Row],[Día de Fecha]])</f>
        <v>46291</v>
      </c>
      <c r="I11430">
        <v>0</v>
      </c>
      <c r="J11430" s="1">
        <v>24212777</v>
      </c>
      <c r="K11430">
        <v>0</v>
      </c>
    </row>
    <row r="11431" spans="1:11" x14ac:dyDescent="0.25">
      <c r="A11431" t="s">
        <v>326</v>
      </c>
      <c r="B11431" t="s">
        <v>766</v>
      </c>
      <c r="C11431" t="s">
        <v>876</v>
      </c>
      <c r="D11431" t="s">
        <v>11</v>
      </c>
      <c r="E11431">
        <v>26</v>
      </c>
      <c r="F11431" s="2">
        <f>DATE(2026,IF(Tabla1[[#This Row],[Mes de Fecha]]="Septiembre",9,10),Tabla1[[#This Row],[Día de Fecha]])</f>
        <v>46291</v>
      </c>
      <c r="G11431">
        <v>1003813404</v>
      </c>
      <c r="H11431" t="s">
        <v>767</v>
      </c>
      <c r="I11431">
        <v>22</v>
      </c>
      <c r="J11431">
        <v>0</v>
      </c>
      <c r="K11431" s="1">
        <v>1120883</v>
      </c>
    </row>
    <row r="11432" spans="1:11" x14ac:dyDescent="0.25">
      <c r="A11432" t="s">
        <v>326</v>
      </c>
      <c r="B11432" t="s">
        <v>766</v>
      </c>
      <c r="C11432" t="s">
        <v>876</v>
      </c>
      <c r="D11432" t="s">
        <v>11</v>
      </c>
      <c r="E11432">
        <v>26</v>
      </c>
      <c r="F11432" s="2">
        <f>DATE(2026,IF(Tabla1[[#This Row],[Mes de Fecha]]="Septiembre",9,10),Tabla1[[#This Row],[Día de Fecha]])</f>
        <v>46291</v>
      </c>
      <c r="G11432">
        <v>1004155911</v>
      </c>
      <c r="H11432" t="s">
        <v>768</v>
      </c>
      <c r="I11432">
        <v>44</v>
      </c>
      <c r="J11432">
        <v>0</v>
      </c>
      <c r="K11432" s="1">
        <v>1985297</v>
      </c>
    </row>
    <row r="11433" spans="1:11" x14ac:dyDescent="0.25">
      <c r="A11433" t="s">
        <v>326</v>
      </c>
      <c r="B11433" t="s">
        <v>766</v>
      </c>
      <c r="C11433" t="s">
        <v>876</v>
      </c>
      <c r="D11433" t="s">
        <v>11</v>
      </c>
      <c r="E11433">
        <v>26</v>
      </c>
      <c r="F11433" s="2">
        <f>DATE(2026,IF(Tabla1[[#This Row],[Mes de Fecha]]="Septiembre",9,10),Tabla1[[#This Row],[Día de Fecha]])</f>
        <v>46291</v>
      </c>
      <c r="G11433">
        <v>1075243559</v>
      </c>
      <c r="H11433" t="s">
        <v>561</v>
      </c>
      <c r="I11433">
        <v>144</v>
      </c>
      <c r="J11433">
        <v>0</v>
      </c>
      <c r="K11433" s="1">
        <v>6757270</v>
      </c>
    </row>
    <row r="11434" spans="1:11" x14ac:dyDescent="0.25">
      <c r="A11434" t="s">
        <v>326</v>
      </c>
      <c r="B11434" t="s">
        <v>766</v>
      </c>
      <c r="C11434" t="s">
        <v>876</v>
      </c>
      <c r="D11434" t="s">
        <v>11</v>
      </c>
      <c r="E11434">
        <v>26</v>
      </c>
      <c r="F11434" s="2">
        <f>DATE(2026,IF(Tabla1[[#This Row],[Mes de Fecha]]="Septiembre",9,10),Tabla1[[#This Row],[Día de Fecha]])</f>
        <v>46291</v>
      </c>
      <c r="G11434">
        <v>1075306881</v>
      </c>
      <c r="H11434" t="s">
        <v>557</v>
      </c>
      <c r="I11434">
        <v>220</v>
      </c>
      <c r="J11434">
        <v>0</v>
      </c>
      <c r="K11434" s="1">
        <v>10775008</v>
      </c>
    </row>
    <row r="11435" spans="1:11" x14ac:dyDescent="0.25">
      <c r="A11435" t="s">
        <v>326</v>
      </c>
      <c r="B11435" t="s">
        <v>766</v>
      </c>
      <c r="C11435" t="s">
        <v>876</v>
      </c>
      <c r="D11435" t="s">
        <v>11</v>
      </c>
      <c r="E11435">
        <v>26</v>
      </c>
      <c r="F11435" s="2">
        <f>DATE(2026,IF(Tabla1[[#This Row],[Mes de Fecha]]="Septiembre",9,10),Tabla1[[#This Row],[Día de Fecha]])</f>
        <v>46291</v>
      </c>
      <c r="G11435">
        <v>1128626377</v>
      </c>
      <c r="H11435" t="s">
        <v>769</v>
      </c>
      <c r="I11435">
        <v>46</v>
      </c>
      <c r="J11435">
        <v>0</v>
      </c>
      <c r="K11435" s="1">
        <v>2254121</v>
      </c>
    </row>
    <row r="11436" spans="1:11" x14ac:dyDescent="0.25">
      <c r="A11436" t="s">
        <v>326</v>
      </c>
      <c r="B11436" t="s">
        <v>766</v>
      </c>
      <c r="C11436" t="s">
        <v>876</v>
      </c>
      <c r="D11436" t="s">
        <v>11</v>
      </c>
      <c r="E11436">
        <v>27</v>
      </c>
      <c r="F11436" s="2">
        <f>DATE(2026,IF(Tabla1[[#This Row],[Mes de Fecha]]="Septiembre",9,10),Tabla1[[#This Row],[Día de Fecha]])</f>
        <v>46292</v>
      </c>
      <c r="I11436">
        <v>0</v>
      </c>
      <c r="J11436" s="1">
        <v>19181395</v>
      </c>
      <c r="K11436">
        <v>0</v>
      </c>
    </row>
    <row r="11437" spans="1:11" x14ac:dyDescent="0.25">
      <c r="A11437" t="s">
        <v>326</v>
      </c>
      <c r="B11437" t="s">
        <v>766</v>
      </c>
      <c r="C11437" t="s">
        <v>876</v>
      </c>
      <c r="D11437" t="s">
        <v>11</v>
      </c>
      <c r="E11437">
        <v>27</v>
      </c>
      <c r="F11437" s="2">
        <f>DATE(2026,IF(Tabla1[[#This Row],[Mes de Fecha]]="Septiembre",9,10),Tabla1[[#This Row],[Día de Fecha]])</f>
        <v>46292</v>
      </c>
      <c r="G11437">
        <v>1003813404</v>
      </c>
      <c r="H11437" t="s">
        <v>767</v>
      </c>
      <c r="I11437">
        <v>28</v>
      </c>
      <c r="J11437">
        <v>0</v>
      </c>
      <c r="K11437" s="1">
        <v>1553363</v>
      </c>
    </row>
    <row r="11438" spans="1:11" x14ac:dyDescent="0.25">
      <c r="A11438" t="s">
        <v>326</v>
      </c>
      <c r="B11438" t="s">
        <v>766</v>
      </c>
      <c r="C11438" t="s">
        <v>876</v>
      </c>
      <c r="D11438" t="s">
        <v>11</v>
      </c>
      <c r="E11438">
        <v>27</v>
      </c>
      <c r="F11438" s="2">
        <f>DATE(2026,IF(Tabla1[[#This Row],[Mes de Fecha]]="Septiembre",9,10),Tabla1[[#This Row],[Día de Fecha]])</f>
        <v>46292</v>
      </c>
      <c r="G11438">
        <v>1004155911</v>
      </c>
      <c r="H11438" t="s">
        <v>768</v>
      </c>
      <c r="I11438">
        <v>37</v>
      </c>
      <c r="J11438">
        <v>0</v>
      </c>
      <c r="K11438" s="1">
        <v>2040339</v>
      </c>
    </row>
    <row r="11439" spans="1:11" x14ac:dyDescent="0.25">
      <c r="A11439" t="s">
        <v>326</v>
      </c>
      <c r="B11439" t="s">
        <v>766</v>
      </c>
      <c r="C11439" t="s">
        <v>876</v>
      </c>
      <c r="D11439" t="s">
        <v>11</v>
      </c>
      <c r="E11439">
        <v>27</v>
      </c>
      <c r="F11439" s="2">
        <f>DATE(2026,IF(Tabla1[[#This Row],[Mes de Fecha]]="Septiembre",9,10),Tabla1[[#This Row],[Día de Fecha]])</f>
        <v>46292</v>
      </c>
      <c r="G11439">
        <v>1075243559</v>
      </c>
      <c r="H11439" t="s">
        <v>561</v>
      </c>
      <c r="I11439">
        <v>125</v>
      </c>
      <c r="J11439">
        <v>0</v>
      </c>
      <c r="K11439" s="1">
        <v>6950006</v>
      </c>
    </row>
    <row r="11440" spans="1:11" x14ac:dyDescent="0.25">
      <c r="A11440" t="s">
        <v>326</v>
      </c>
      <c r="B11440" t="s">
        <v>766</v>
      </c>
      <c r="C11440" t="s">
        <v>876</v>
      </c>
      <c r="D11440" t="s">
        <v>11</v>
      </c>
      <c r="E11440">
        <v>27</v>
      </c>
      <c r="F11440" s="2">
        <f>DATE(2026,IF(Tabla1[[#This Row],[Mes de Fecha]]="Septiembre",9,10),Tabla1[[#This Row],[Día de Fecha]])</f>
        <v>46292</v>
      </c>
      <c r="G11440">
        <v>1075306881</v>
      </c>
      <c r="H11440" t="s">
        <v>557</v>
      </c>
      <c r="I11440">
        <v>148</v>
      </c>
      <c r="J11440">
        <v>0</v>
      </c>
      <c r="K11440" s="1">
        <v>7509542</v>
      </c>
    </row>
    <row r="11441" spans="1:11" x14ac:dyDescent="0.25">
      <c r="A11441" t="s">
        <v>326</v>
      </c>
      <c r="B11441" t="s">
        <v>766</v>
      </c>
      <c r="C11441" t="s">
        <v>876</v>
      </c>
      <c r="D11441" t="s">
        <v>11</v>
      </c>
      <c r="E11441">
        <v>27</v>
      </c>
      <c r="F11441" s="2">
        <f>DATE(2026,IF(Tabla1[[#This Row],[Mes de Fecha]]="Septiembre",9,10),Tabla1[[#This Row],[Día de Fecha]])</f>
        <v>46292</v>
      </c>
      <c r="G11441">
        <v>1128626377</v>
      </c>
      <c r="H11441" t="s">
        <v>769</v>
      </c>
      <c r="I11441">
        <v>67</v>
      </c>
      <c r="J11441">
        <v>0</v>
      </c>
      <c r="K11441" s="1">
        <v>3490425</v>
      </c>
    </row>
    <row r="11442" spans="1:11" x14ac:dyDescent="0.25">
      <c r="A11442" t="s">
        <v>326</v>
      </c>
      <c r="B11442" t="s">
        <v>766</v>
      </c>
      <c r="C11442" t="s">
        <v>876</v>
      </c>
      <c r="D11442" t="s">
        <v>11</v>
      </c>
      <c r="E11442">
        <v>28</v>
      </c>
      <c r="F11442" s="2">
        <f>DATE(2026,IF(Tabla1[[#This Row],[Mes de Fecha]]="Septiembre",9,10),Tabla1[[#This Row],[Día de Fecha]])</f>
        <v>46293</v>
      </c>
      <c r="I11442">
        <v>0</v>
      </c>
      <c r="J11442" s="1">
        <v>10556652</v>
      </c>
      <c r="K11442">
        <v>0</v>
      </c>
    </row>
    <row r="11443" spans="1:11" x14ac:dyDescent="0.25">
      <c r="A11443" t="s">
        <v>326</v>
      </c>
      <c r="B11443" t="s">
        <v>766</v>
      </c>
      <c r="C11443" t="s">
        <v>876</v>
      </c>
      <c r="D11443" t="s">
        <v>11</v>
      </c>
      <c r="E11443">
        <v>28</v>
      </c>
      <c r="F11443" s="2">
        <f>DATE(2026,IF(Tabla1[[#This Row],[Mes de Fecha]]="Septiembre",9,10),Tabla1[[#This Row],[Día de Fecha]])</f>
        <v>46293</v>
      </c>
      <c r="G11443">
        <v>1003813404</v>
      </c>
      <c r="H11443" t="s">
        <v>767</v>
      </c>
      <c r="I11443">
        <v>12</v>
      </c>
      <c r="J11443">
        <v>0</v>
      </c>
      <c r="K11443" s="1">
        <v>400421</v>
      </c>
    </row>
    <row r="11444" spans="1:11" x14ac:dyDescent="0.25">
      <c r="A11444" t="s">
        <v>326</v>
      </c>
      <c r="B11444" t="s">
        <v>766</v>
      </c>
      <c r="C11444" t="s">
        <v>876</v>
      </c>
      <c r="D11444" t="s">
        <v>11</v>
      </c>
      <c r="E11444">
        <v>28</v>
      </c>
      <c r="F11444" s="2">
        <f>DATE(2026,IF(Tabla1[[#This Row],[Mes de Fecha]]="Septiembre",9,10),Tabla1[[#This Row],[Día de Fecha]])</f>
        <v>46293</v>
      </c>
      <c r="G11444">
        <v>1075243559</v>
      </c>
      <c r="H11444" t="s">
        <v>561</v>
      </c>
      <c r="I11444">
        <v>60</v>
      </c>
      <c r="J11444">
        <v>0</v>
      </c>
      <c r="K11444" s="1">
        <v>2441849</v>
      </c>
    </row>
    <row r="11445" spans="1:11" x14ac:dyDescent="0.25">
      <c r="A11445" t="s">
        <v>326</v>
      </c>
      <c r="B11445" t="s">
        <v>766</v>
      </c>
      <c r="C11445" t="s">
        <v>876</v>
      </c>
      <c r="D11445" t="s">
        <v>11</v>
      </c>
      <c r="E11445">
        <v>28</v>
      </c>
      <c r="F11445" s="2">
        <f>DATE(2026,IF(Tabla1[[#This Row],[Mes de Fecha]]="Septiembre",9,10),Tabla1[[#This Row],[Día de Fecha]])</f>
        <v>46293</v>
      </c>
      <c r="G11445">
        <v>1075306881</v>
      </c>
      <c r="H11445" t="s">
        <v>557</v>
      </c>
      <c r="I11445">
        <v>122</v>
      </c>
      <c r="J11445">
        <v>0</v>
      </c>
      <c r="K11445" s="1">
        <v>3957985</v>
      </c>
    </row>
    <row r="11446" spans="1:11" x14ac:dyDescent="0.25">
      <c r="A11446" t="s">
        <v>326</v>
      </c>
      <c r="B11446" t="s">
        <v>766</v>
      </c>
      <c r="C11446" t="s">
        <v>876</v>
      </c>
      <c r="D11446" t="s">
        <v>11</v>
      </c>
      <c r="E11446">
        <v>28</v>
      </c>
      <c r="F11446" s="2">
        <f>DATE(2026,IF(Tabla1[[#This Row],[Mes de Fecha]]="Septiembre",9,10),Tabla1[[#This Row],[Día de Fecha]])</f>
        <v>46293</v>
      </c>
      <c r="G11446">
        <v>1128626377</v>
      </c>
      <c r="H11446" t="s">
        <v>769</v>
      </c>
      <c r="I11446">
        <v>35</v>
      </c>
      <c r="J11446">
        <v>0</v>
      </c>
      <c r="K11446" s="1">
        <v>1710419</v>
      </c>
    </row>
    <row r="11447" spans="1:11" x14ac:dyDescent="0.25">
      <c r="A11447" t="s">
        <v>326</v>
      </c>
      <c r="B11447" t="s">
        <v>766</v>
      </c>
      <c r="C11447" t="s">
        <v>876</v>
      </c>
      <c r="D11447" t="s">
        <v>11</v>
      </c>
      <c r="E11447">
        <v>29</v>
      </c>
      <c r="F11447" s="2">
        <f>DATE(2026,IF(Tabla1[[#This Row],[Mes de Fecha]]="Septiembre",9,10),Tabla1[[#This Row],[Día de Fecha]])</f>
        <v>46294</v>
      </c>
      <c r="I11447">
        <v>0</v>
      </c>
      <c r="J11447" s="1">
        <v>11276570</v>
      </c>
      <c r="K11447">
        <v>0</v>
      </c>
    </row>
    <row r="11448" spans="1:11" x14ac:dyDescent="0.25">
      <c r="A11448" t="s">
        <v>326</v>
      </c>
      <c r="B11448" t="s">
        <v>766</v>
      </c>
      <c r="C11448" t="s">
        <v>876</v>
      </c>
      <c r="D11448" t="s">
        <v>11</v>
      </c>
      <c r="E11448">
        <v>29</v>
      </c>
      <c r="F11448" s="2">
        <f>DATE(2026,IF(Tabla1[[#This Row],[Mes de Fecha]]="Septiembre",9,10),Tabla1[[#This Row],[Día de Fecha]])</f>
        <v>46294</v>
      </c>
      <c r="G11448">
        <v>1003813404</v>
      </c>
      <c r="H11448" t="s">
        <v>767</v>
      </c>
      <c r="I11448">
        <v>38</v>
      </c>
      <c r="J11448">
        <v>0</v>
      </c>
      <c r="K11448" s="1">
        <v>1190421</v>
      </c>
    </row>
    <row r="11449" spans="1:11" x14ac:dyDescent="0.25">
      <c r="A11449" t="s">
        <v>326</v>
      </c>
      <c r="B11449" t="s">
        <v>766</v>
      </c>
      <c r="C11449" t="s">
        <v>876</v>
      </c>
      <c r="D11449" t="s">
        <v>11</v>
      </c>
      <c r="E11449">
        <v>29</v>
      </c>
      <c r="F11449" s="2">
        <f>DATE(2026,IF(Tabla1[[#This Row],[Mes de Fecha]]="Septiembre",9,10),Tabla1[[#This Row],[Día de Fecha]])</f>
        <v>46294</v>
      </c>
      <c r="G11449">
        <v>1004155911</v>
      </c>
      <c r="H11449" t="s">
        <v>768</v>
      </c>
      <c r="I11449">
        <v>50</v>
      </c>
      <c r="J11449">
        <v>0</v>
      </c>
      <c r="K11449" s="1">
        <v>1958783</v>
      </c>
    </row>
    <row r="11450" spans="1:11" x14ac:dyDescent="0.25">
      <c r="A11450" t="s">
        <v>326</v>
      </c>
      <c r="B11450" t="s">
        <v>766</v>
      </c>
      <c r="C11450" t="s">
        <v>876</v>
      </c>
      <c r="D11450" t="s">
        <v>11</v>
      </c>
      <c r="E11450">
        <v>29</v>
      </c>
      <c r="F11450" s="2">
        <f>DATE(2026,IF(Tabla1[[#This Row],[Mes de Fecha]]="Septiembre",9,10),Tabla1[[#This Row],[Día de Fecha]])</f>
        <v>46294</v>
      </c>
      <c r="G11450">
        <v>1075243559</v>
      </c>
      <c r="H11450" t="s">
        <v>561</v>
      </c>
      <c r="I11450">
        <v>77</v>
      </c>
      <c r="J11450">
        <v>0</v>
      </c>
      <c r="K11450" s="1">
        <v>3241264</v>
      </c>
    </row>
    <row r="11451" spans="1:11" x14ac:dyDescent="0.25">
      <c r="A11451" t="s">
        <v>326</v>
      </c>
      <c r="B11451" t="s">
        <v>766</v>
      </c>
      <c r="C11451" t="s">
        <v>876</v>
      </c>
      <c r="D11451" t="s">
        <v>11</v>
      </c>
      <c r="E11451">
        <v>29</v>
      </c>
      <c r="F11451" s="2">
        <f>DATE(2026,IF(Tabla1[[#This Row],[Mes de Fecha]]="Septiembre",9,10),Tabla1[[#This Row],[Día de Fecha]])</f>
        <v>46294</v>
      </c>
      <c r="G11451">
        <v>1075306881</v>
      </c>
      <c r="H11451" t="s">
        <v>557</v>
      </c>
      <c r="I11451">
        <v>40</v>
      </c>
      <c r="J11451">
        <v>0</v>
      </c>
      <c r="K11451" s="1">
        <v>1661428</v>
      </c>
    </row>
    <row r="11452" spans="1:11" x14ac:dyDescent="0.25">
      <c r="A11452" t="s">
        <v>326</v>
      </c>
      <c r="B11452" t="s">
        <v>766</v>
      </c>
      <c r="C11452" t="s">
        <v>876</v>
      </c>
      <c r="D11452" t="s">
        <v>11</v>
      </c>
      <c r="E11452">
        <v>30</v>
      </c>
      <c r="F11452" s="2">
        <f>DATE(2026,IF(Tabla1[[#This Row],[Mes de Fecha]]="Septiembre",9,10),Tabla1[[#This Row],[Día de Fecha]])</f>
        <v>46295</v>
      </c>
      <c r="I11452">
        <v>0</v>
      </c>
      <c r="J11452" s="1">
        <v>11648899</v>
      </c>
      <c r="K11452">
        <v>0</v>
      </c>
    </row>
    <row r="11453" spans="1:11" x14ac:dyDescent="0.25">
      <c r="A11453" t="s">
        <v>326</v>
      </c>
      <c r="B11453" t="s">
        <v>766</v>
      </c>
      <c r="C11453" t="s">
        <v>876</v>
      </c>
      <c r="D11453" t="s">
        <v>11</v>
      </c>
      <c r="E11453">
        <v>30</v>
      </c>
      <c r="F11453" s="2">
        <f>DATE(2026,IF(Tabla1[[#This Row],[Mes de Fecha]]="Septiembre",9,10),Tabla1[[#This Row],[Día de Fecha]])</f>
        <v>46295</v>
      </c>
      <c r="G11453">
        <v>1004155911</v>
      </c>
      <c r="H11453" t="s">
        <v>768</v>
      </c>
      <c r="I11453">
        <v>62</v>
      </c>
      <c r="J11453">
        <v>0</v>
      </c>
      <c r="K11453" s="1">
        <v>2091891</v>
      </c>
    </row>
    <row r="11454" spans="1:11" x14ac:dyDescent="0.25">
      <c r="A11454" t="s">
        <v>326</v>
      </c>
      <c r="B11454" t="s">
        <v>766</v>
      </c>
      <c r="C11454" t="s">
        <v>876</v>
      </c>
      <c r="D11454" t="s">
        <v>11</v>
      </c>
      <c r="E11454">
        <v>30</v>
      </c>
      <c r="F11454" s="2">
        <f>DATE(2026,IF(Tabla1[[#This Row],[Mes de Fecha]]="Septiembre",9,10),Tabla1[[#This Row],[Día de Fecha]])</f>
        <v>46295</v>
      </c>
      <c r="G11454">
        <v>1075243559</v>
      </c>
      <c r="H11454" t="s">
        <v>561</v>
      </c>
      <c r="I11454">
        <v>96</v>
      </c>
      <c r="J11454">
        <v>0</v>
      </c>
      <c r="K11454" s="1">
        <v>3872539</v>
      </c>
    </row>
    <row r="11455" spans="1:11" x14ac:dyDescent="0.25">
      <c r="A11455" t="s">
        <v>326</v>
      </c>
      <c r="B11455" t="s">
        <v>766</v>
      </c>
      <c r="C11455" t="s">
        <v>876</v>
      </c>
      <c r="D11455" t="s">
        <v>11</v>
      </c>
      <c r="E11455">
        <v>30</v>
      </c>
      <c r="F11455" s="2">
        <f>DATE(2026,IF(Tabla1[[#This Row],[Mes de Fecha]]="Septiembre",9,10),Tabla1[[#This Row],[Día de Fecha]])</f>
        <v>46295</v>
      </c>
      <c r="G11455">
        <v>1075306881</v>
      </c>
      <c r="H11455" t="s">
        <v>557</v>
      </c>
      <c r="I11455">
        <v>126</v>
      </c>
      <c r="J11455">
        <v>0</v>
      </c>
      <c r="K11455" s="1">
        <v>5453027</v>
      </c>
    </row>
    <row r="11456" spans="1:11" x14ac:dyDescent="0.25">
      <c r="A11456" t="s">
        <v>326</v>
      </c>
      <c r="B11456" t="s">
        <v>766</v>
      </c>
      <c r="C11456" t="s">
        <v>876</v>
      </c>
      <c r="D11456" t="s">
        <v>11</v>
      </c>
      <c r="E11456">
        <v>30</v>
      </c>
      <c r="F11456" s="2">
        <f>DATE(2026,IF(Tabla1[[#This Row],[Mes de Fecha]]="Septiembre",9,10),Tabla1[[#This Row],[Día de Fecha]])</f>
        <v>46295</v>
      </c>
      <c r="G11456">
        <v>1128626377</v>
      </c>
      <c r="H11456" t="s">
        <v>769</v>
      </c>
      <c r="I11456">
        <v>24</v>
      </c>
      <c r="J11456">
        <v>0</v>
      </c>
      <c r="K11456" s="1">
        <v>956556</v>
      </c>
    </row>
    <row r="11457" spans="1:11" x14ac:dyDescent="0.25">
      <c r="A11457" t="s">
        <v>326</v>
      </c>
      <c r="B11457" t="s">
        <v>766</v>
      </c>
      <c r="C11457" t="s">
        <v>876</v>
      </c>
      <c r="D11457" t="s">
        <v>14</v>
      </c>
      <c r="E11457">
        <v>1</v>
      </c>
      <c r="F11457" s="2">
        <f>DATE(2026,IF(Tabla1[[#This Row],[Mes de Fecha]]="Septiembre",9,10),Tabla1[[#This Row],[Día de Fecha]])</f>
        <v>46296</v>
      </c>
      <c r="I11457">
        <v>0</v>
      </c>
      <c r="J11457" s="1">
        <v>13654863</v>
      </c>
      <c r="K11457">
        <v>0</v>
      </c>
    </row>
    <row r="11458" spans="1:11" x14ac:dyDescent="0.25">
      <c r="A11458" t="s">
        <v>326</v>
      </c>
      <c r="B11458" t="s">
        <v>766</v>
      </c>
      <c r="C11458" t="s">
        <v>876</v>
      </c>
      <c r="D11458" t="s">
        <v>14</v>
      </c>
      <c r="E11458">
        <v>1</v>
      </c>
      <c r="F11458" s="2">
        <f>DATE(2026,IF(Tabla1[[#This Row],[Mes de Fecha]]="Septiembre",9,10),Tabla1[[#This Row],[Día de Fecha]])</f>
        <v>46296</v>
      </c>
      <c r="G11458">
        <v>1003813404</v>
      </c>
      <c r="H11458" t="s">
        <v>767</v>
      </c>
      <c r="I11458">
        <v>28</v>
      </c>
      <c r="J11458">
        <v>0</v>
      </c>
      <c r="K11458" s="1">
        <v>1153953</v>
      </c>
    </row>
    <row r="11459" spans="1:11" x14ac:dyDescent="0.25">
      <c r="A11459" t="s">
        <v>326</v>
      </c>
      <c r="B11459" t="s">
        <v>766</v>
      </c>
      <c r="C11459" t="s">
        <v>876</v>
      </c>
      <c r="D11459" t="s">
        <v>14</v>
      </c>
      <c r="E11459">
        <v>1</v>
      </c>
      <c r="F11459" s="2">
        <f>DATE(2026,IF(Tabla1[[#This Row],[Mes de Fecha]]="Septiembre",9,10),Tabla1[[#This Row],[Día de Fecha]])</f>
        <v>46296</v>
      </c>
      <c r="G11459">
        <v>1004155911</v>
      </c>
      <c r="H11459" t="s">
        <v>768</v>
      </c>
      <c r="I11459">
        <v>47</v>
      </c>
      <c r="J11459">
        <v>0</v>
      </c>
      <c r="K11459" s="1">
        <v>1419076</v>
      </c>
    </row>
    <row r="11460" spans="1:11" x14ac:dyDescent="0.25">
      <c r="A11460" t="s">
        <v>326</v>
      </c>
      <c r="B11460" t="s">
        <v>766</v>
      </c>
      <c r="C11460" t="s">
        <v>876</v>
      </c>
      <c r="D11460" t="s">
        <v>14</v>
      </c>
      <c r="E11460">
        <v>1</v>
      </c>
      <c r="F11460" s="2">
        <f>DATE(2026,IF(Tabla1[[#This Row],[Mes de Fecha]]="Septiembre",9,10),Tabla1[[#This Row],[Día de Fecha]])</f>
        <v>46296</v>
      </c>
      <c r="G11460">
        <v>1075243559</v>
      </c>
      <c r="H11460" t="s">
        <v>561</v>
      </c>
      <c r="I11460">
        <v>78</v>
      </c>
      <c r="J11460">
        <v>0</v>
      </c>
      <c r="K11460" s="1">
        <v>3311114</v>
      </c>
    </row>
    <row r="11461" spans="1:11" x14ac:dyDescent="0.25">
      <c r="A11461" t="s">
        <v>326</v>
      </c>
      <c r="B11461" t="s">
        <v>766</v>
      </c>
      <c r="C11461" t="s">
        <v>876</v>
      </c>
      <c r="D11461" t="s">
        <v>14</v>
      </c>
      <c r="E11461">
        <v>1</v>
      </c>
      <c r="F11461" s="2">
        <f>DATE(2026,IF(Tabla1[[#This Row],[Mes de Fecha]]="Septiembre",9,10),Tabla1[[#This Row],[Día de Fecha]])</f>
        <v>46296</v>
      </c>
      <c r="G11461">
        <v>1075306881</v>
      </c>
      <c r="H11461" t="s">
        <v>557</v>
      </c>
      <c r="I11461">
        <v>97</v>
      </c>
      <c r="J11461">
        <v>0</v>
      </c>
      <c r="K11461" s="1">
        <v>4347523</v>
      </c>
    </row>
    <row r="11462" spans="1:11" x14ac:dyDescent="0.25">
      <c r="A11462" t="s">
        <v>326</v>
      </c>
      <c r="B11462" t="s">
        <v>766</v>
      </c>
      <c r="C11462" t="s">
        <v>876</v>
      </c>
      <c r="D11462" t="s">
        <v>14</v>
      </c>
      <c r="E11462">
        <v>1</v>
      </c>
      <c r="F11462" s="2">
        <f>DATE(2026,IF(Tabla1[[#This Row],[Mes de Fecha]]="Septiembre",9,10),Tabla1[[#This Row],[Día de Fecha]])</f>
        <v>46296</v>
      </c>
      <c r="G11462">
        <v>1128626377</v>
      </c>
      <c r="H11462" t="s">
        <v>769</v>
      </c>
      <c r="I11462">
        <v>38</v>
      </c>
      <c r="J11462">
        <v>0</v>
      </c>
      <c r="K11462" s="1">
        <v>1659411</v>
      </c>
    </row>
    <row r="11463" spans="1:11" x14ac:dyDescent="0.25">
      <c r="A11463" t="s">
        <v>326</v>
      </c>
      <c r="B11463" t="s">
        <v>766</v>
      </c>
      <c r="C11463" t="s">
        <v>876</v>
      </c>
      <c r="D11463" t="s">
        <v>14</v>
      </c>
      <c r="E11463">
        <v>2</v>
      </c>
      <c r="F11463" s="2">
        <f>DATE(2026,IF(Tabla1[[#This Row],[Mes de Fecha]]="Septiembre",9,10),Tabla1[[#This Row],[Día de Fecha]])</f>
        <v>46297</v>
      </c>
      <c r="I11463">
        <v>0</v>
      </c>
      <c r="J11463" s="1">
        <v>14872234</v>
      </c>
      <c r="K11463">
        <v>0</v>
      </c>
    </row>
    <row r="11464" spans="1:11" x14ac:dyDescent="0.25">
      <c r="A11464" t="s">
        <v>326</v>
      </c>
      <c r="B11464" t="s">
        <v>766</v>
      </c>
      <c r="C11464" t="s">
        <v>876</v>
      </c>
      <c r="D11464" t="s">
        <v>14</v>
      </c>
      <c r="E11464">
        <v>2</v>
      </c>
      <c r="F11464" s="2">
        <f>DATE(2026,IF(Tabla1[[#This Row],[Mes de Fecha]]="Septiembre",9,10),Tabla1[[#This Row],[Día de Fecha]])</f>
        <v>46297</v>
      </c>
      <c r="G11464">
        <v>1003813404</v>
      </c>
      <c r="H11464" t="s">
        <v>767</v>
      </c>
      <c r="I11464">
        <v>23</v>
      </c>
      <c r="J11464">
        <v>0</v>
      </c>
      <c r="K11464" s="1">
        <v>734034</v>
      </c>
    </row>
    <row r="11465" spans="1:11" x14ac:dyDescent="0.25">
      <c r="A11465" t="s">
        <v>326</v>
      </c>
      <c r="B11465" t="s">
        <v>766</v>
      </c>
      <c r="C11465" t="s">
        <v>876</v>
      </c>
      <c r="D11465" t="s">
        <v>14</v>
      </c>
      <c r="E11465">
        <v>2</v>
      </c>
      <c r="F11465" s="2">
        <f>DATE(2026,IF(Tabla1[[#This Row],[Mes de Fecha]]="Septiembre",9,10),Tabla1[[#This Row],[Día de Fecha]])</f>
        <v>46297</v>
      </c>
      <c r="G11465">
        <v>1004155911</v>
      </c>
      <c r="H11465" t="s">
        <v>768</v>
      </c>
      <c r="I11465">
        <v>28</v>
      </c>
      <c r="J11465">
        <v>0</v>
      </c>
      <c r="K11465" s="1">
        <v>1090714</v>
      </c>
    </row>
    <row r="11466" spans="1:11" x14ac:dyDescent="0.25">
      <c r="A11466" t="s">
        <v>326</v>
      </c>
      <c r="B11466" t="s">
        <v>766</v>
      </c>
      <c r="C11466" t="s">
        <v>876</v>
      </c>
      <c r="D11466" t="s">
        <v>14</v>
      </c>
      <c r="E11466">
        <v>2</v>
      </c>
      <c r="F11466" s="2">
        <f>DATE(2026,IF(Tabla1[[#This Row],[Mes de Fecha]]="Septiembre",9,10),Tabla1[[#This Row],[Día de Fecha]])</f>
        <v>46297</v>
      </c>
      <c r="G11466">
        <v>1075243559</v>
      </c>
      <c r="H11466" t="s">
        <v>561</v>
      </c>
      <c r="I11466">
        <v>121</v>
      </c>
      <c r="J11466">
        <v>0</v>
      </c>
      <c r="K11466" s="1">
        <v>5094163</v>
      </c>
    </row>
    <row r="11467" spans="1:11" x14ac:dyDescent="0.25">
      <c r="A11467" t="s">
        <v>326</v>
      </c>
      <c r="B11467" t="s">
        <v>766</v>
      </c>
      <c r="C11467" t="s">
        <v>876</v>
      </c>
      <c r="D11467" t="s">
        <v>14</v>
      </c>
      <c r="E11467">
        <v>2</v>
      </c>
      <c r="F11467" s="2">
        <f>DATE(2026,IF(Tabla1[[#This Row],[Mes de Fecha]]="Septiembre",9,10),Tabla1[[#This Row],[Día de Fecha]])</f>
        <v>46297</v>
      </c>
      <c r="G11467">
        <v>1075306881</v>
      </c>
      <c r="H11467" t="s">
        <v>557</v>
      </c>
      <c r="I11467">
        <v>136</v>
      </c>
      <c r="J11467">
        <v>0</v>
      </c>
      <c r="K11467" s="1">
        <v>5508448</v>
      </c>
    </row>
    <row r="11468" spans="1:11" x14ac:dyDescent="0.25">
      <c r="A11468" t="s">
        <v>326</v>
      </c>
      <c r="B11468" t="s">
        <v>766</v>
      </c>
      <c r="C11468" t="s">
        <v>876</v>
      </c>
      <c r="D11468" t="s">
        <v>14</v>
      </c>
      <c r="E11468">
        <v>2</v>
      </c>
      <c r="F11468" s="2">
        <f>DATE(2026,IF(Tabla1[[#This Row],[Mes de Fecha]]="Septiembre",9,10),Tabla1[[#This Row],[Día de Fecha]])</f>
        <v>46297</v>
      </c>
      <c r="G11468">
        <v>1128626377</v>
      </c>
      <c r="H11468" t="s">
        <v>769</v>
      </c>
      <c r="I11468">
        <v>36</v>
      </c>
      <c r="J11468">
        <v>0</v>
      </c>
      <c r="K11468" s="1">
        <v>1480981</v>
      </c>
    </row>
    <row r="11469" spans="1:11" x14ac:dyDescent="0.25">
      <c r="A11469" t="s">
        <v>326</v>
      </c>
      <c r="B11469" t="s">
        <v>766</v>
      </c>
      <c r="C11469" t="s">
        <v>876</v>
      </c>
      <c r="D11469" t="s">
        <v>14</v>
      </c>
      <c r="E11469">
        <v>3</v>
      </c>
      <c r="F11469" s="2">
        <f>DATE(2026,IF(Tabla1[[#This Row],[Mes de Fecha]]="Septiembre",9,10),Tabla1[[#This Row],[Día de Fecha]])</f>
        <v>46298</v>
      </c>
      <c r="I11469">
        <v>0</v>
      </c>
      <c r="J11469" s="1">
        <v>19465046</v>
      </c>
      <c r="K11469">
        <v>0</v>
      </c>
    </row>
    <row r="11470" spans="1:11" x14ac:dyDescent="0.25">
      <c r="A11470" t="s">
        <v>326</v>
      </c>
      <c r="B11470" t="s">
        <v>766</v>
      </c>
      <c r="C11470" t="s">
        <v>876</v>
      </c>
      <c r="D11470" t="s">
        <v>14</v>
      </c>
      <c r="E11470">
        <v>3</v>
      </c>
      <c r="F11470" s="2">
        <f>DATE(2026,IF(Tabla1[[#This Row],[Mes de Fecha]]="Septiembre",9,10),Tabla1[[#This Row],[Día de Fecha]])</f>
        <v>46298</v>
      </c>
      <c r="G11470">
        <v>1003813404</v>
      </c>
      <c r="H11470" t="s">
        <v>767</v>
      </c>
      <c r="I11470">
        <v>33</v>
      </c>
      <c r="J11470">
        <v>0</v>
      </c>
      <c r="K11470" s="1">
        <v>1247044</v>
      </c>
    </row>
    <row r="11471" spans="1:11" x14ac:dyDescent="0.25">
      <c r="A11471" t="s">
        <v>326</v>
      </c>
      <c r="B11471" t="s">
        <v>766</v>
      </c>
      <c r="C11471" t="s">
        <v>876</v>
      </c>
      <c r="D11471" t="s">
        <v>14</v>
      </c>
      <c r="E11471">
        <v>3</v>
      </c>
      <c r="F11471" s="2">
        <f>DATE(2026,IF(Tabla1[[#This Row],[Mes de Fecha]]="Septiembre",9,10),Tabla1[[#This Row],[Día de Fecha]])</f>
        <v>46298</v>
      </c>
      <c r="G11471">
        <v>1004155911</v>
      </c>
      <c r="H11471" t="s">
        <v>768</v>
      </c>
      <c r="I11471">
        <v>68</v>
      </c>
      <c r="J11471">
        <v>0</v>
      </c>
      <c r="K11471" s="1">
        <v>2198562</v>
      </c>
    </row>
    <row r="11472" spans="1:11" x14ac:dyDescent="0.25">
      <c r="A11472" t="s">
        <v>326</v>
      </c>
      <c r="B11472" t="s">
        <v>766</v>
      </c>
      <c r="C11472" t="s">
        <v>876</v>
      </c>
      <c r="D11472" t="s">
        <v>14</v>
      </c>
      <c r="E11472">
        <v>3</v>
      </c>
      <c r="F11472" s="2">
        <f>DATE(2026,IF(Tabla1[[#This Row],[Mes de Fecha]]="Septiembre",9,10),Tabla1[[#This Row],[Día de Fecha]])</f>
        <v>46298</v>
      </c>
      <c r="G11472">
        <v>1075243559</v>
      </c>
      <c r="H11472" t="s">
        <v>561</v>
      </c>
      <c r="I11472">
        <v>142</v>
      </c>
      <c r="J11472">
        <v>0</v>
      </c>
      <c r="K11472" s="1">
        <v>5882750</v>
      </c>
    </row>
    <row r="11473" spans="1:11" x14ac:dyDescent="0.25">
      <c r="A11473" t="s">
        <v>326</v>
      </c>
      <c r="B11473" t="s">
        <v>766</v>
      </c>
      <c r="C11473" t="s">
        <v>876</v>
      </c>
      <c r="D11473" t="s">
        <v>14</v>
      </c>
      <c r="E11473">
        <v>3</v>
      </c>
      <c r="F11473" s="2">
        <f>DATE(2026,IF(Tabla1[[#This Row],[Mes de Fecha]]="Septiembre",9,10),Tabla1[[#This Row],[Día de Fecha]])</f>
        <v>46298</v>
      </c>
      <c r="G11473">
        <v>1075306881</v>
      </c>
      <c r="H11473" t="s">
        <v>557</v>
      </c>
      <c r="I11473">
        <v>180</v>
      </c>
      <c r="J11473">
        <v>0</v>
      </c>
      <c r="K11473" s="1">
        <v>7885584</v>
      </c>
    </row>
    <row r="11474" spans="1:11" x14ac:dyDescent="0.25">
      <c r="A11474" t="s">
        <v>326</v>
      </c>
      <c r="B11474" t="s">
        <v>766</v>
      </c>
      <c r="C11474" t="s">
        <v>876</v>
      </c>
      <c r="D11474" t="s">
        <v>14</v>
      </c>
      <c r="E11474">
        <v>3</v>
      </c>
      <c r="F11474" s="2">
        <f>DATE(2026,IF(Tabla1[[#This Row],[Mes de Fecha]]="Septiembre",9,10),Tabla1[[#This Row],[Día de Fecha]])</f>
        <v>46298</v>
      </c>
      <c r="G11474">
        <v>1128626377</v>
      </c>
      <c r="H11474" t="s">
        <v>769</v>
      </c>
      <c r="I11474">
        <v>57</v>
      </c>
      <c r="J11474">
        <v>0</v>
      </c>
      <c r="K11474" s="1">
        <v>2595296</v>
      </c>
    </row>
    <row r="11475" spans="1:11" x14ac:dyDescent="0.25">
      <c r="A11475" t="s">
        <v>326</v>
      </c>
      <c r="B11475" t="s">
        <v>766</v>
      </c>
      <c r="C11475" t="s">
        <v>876</v>
      </c>
      <c r="D11475" t="s">
        <v>14</v>
      </c>
      <c r="E11475">
        <v>4</v>
      </c>
      <c r="F11475" s="2">
        <f>DATE(2026,IF(Tabla1[[#This Row],[Mes de Fecha]]="Septiembre",9,10),Tabla1[[#This Row],[Día de Fecha]])</f>
        <v>46299</v>
      </c>
      <c r="I11475">
        <v>0</v>
      </c>
      <c r="J11475" s="1">
        <v>14957245</v>
      </c>
      <c r="K11475">
        <v>0</v>
      </c>
    </row>
    <row r="11476" spans="1:11" x14ac:dyDescent="0.25">
      <c r="A11476" t="s">
        <v>326</v>
      </c>
      <c r="B11476" t="s">
        <v>766</v>
      </c>
      <c r="C11476" t="s">
        <v>876</v>
      </c>
      <c r="D11476" t="s">
        <v>14</v>
      </c>
      <c r="E11476">
        <v>4</v>
      </c>
      <c r="F11476" s="2">
        <f>DATE(2026,IF(Tabla1[[#This Row],[Mes de Fecha]]="Septiembre",9,10),Tabla1[[#This Row],[Día de Fecha]])</f>
        <v>46299</v>
      </c>
      <c r="G11476">
        <v>1003813404</v>
      </c>
      <c r="H11476" t="s">
        <v>767</v>
      </c>
      <c r="I11476">
        <v>17</v>
      </c>
      <c r="J11476">
        <v>0</v>
      </c>
      <c r="K11476" s="1">
        <v>713236</v>
      </c>
    </row>
    <row r="11477" spans="1:11" x14ac:dyDescent="0.25">
      <c r="A11477" t="s">
        <v>326</v>
      </c>
      <c r="B11477" t="s">
        <v>766</v>
      </c>
      <c r="C11477" t="s">
        <v>876</v>
      </c>
      <c r="D11477" t="s">
        <v>14</v>
      </c>
      <c r="E11477">
        <v>4</v>
      </c>
      <c r="F11477" s="2">
        <f>DATE(2026,IF(Tabla1[[#This Row],[Mes de Fecha]]="Septiembre",9,10),Tabla1[[#This Row],[Día de Fecha]])</f>
        <v>46299</v>
      </c>
      <c r="G11477">
        <v>1004155911</v>
      </c>
      <c r="H11477" t="s">
        <v>768</v>
      </c>
      <c r="I11477">
        <v>58</v>
      </c>
      <c r="J11477">
        <v>0</v>
      </c>
      <c r="K11477" s="1">
        <v>2698151</v>
      </c>
    </row>
    <row r="11478" spans="1:11" x14ac:dyDescent="0.25">
      <c r="A11478" t="s">
        <v>326</v>
      </c>
      <c r="B11478" t="s">
        <v>766</v>
      </c>
      <c r="C11478" t="s">
        <v>876</v>
      </c>
      <c r="D11478" t="s">
        <v>14</v>
      </c>
      <c r="E11478">
        <v>4</v>
      </c>
      <c r="F11478" s="2">
        <f>DATE(2026,IF(Tabla1[[#This Row],[Mes de Fecha]]="Septiembre",9,10),Tabla1[[#This Row],[Día de Fecha]])</f>
        <v>46299</v>
      </c>
      <c r="G11478">
        <v>1075243559</v>
      </c>
      <c r="H11478" t="s">
        <v>561</v>
      </c>
      <c r="I11478">
        <v>120</v>
      </c>
      <c r="J11478">
        <v>0</v>
      </c>
      <c r="K11478" s="1">
        <v>6012455</v>
      </c>
    </row>
    <row r="11479" spans="1:11" x14ac:dyDescent="0.25">
      <c r="A11479" t="s">
        <v>326</v>
      </c>
      <c r="B11479" t="s">
        <v>766</v>
      </c>
      <c r="C11479" t="s">
        <v>876</v>
      </c>
      <c r="D11479" t="s">
        <v>14</v>
      </c>
      <c r="E11479">
        <v>4</v>
      </c>
      <c r="F11479" s="2">
        <f>DATE(2026,IF(Tabla1[[#This Row],[Mes de Fecha]]="Septiembre",9,10),Tabla1[[#This Row],[Día de Fecha]])</f>
        <v>46299</v>
      </c>
      <c r="G11479">
        <v>1075306881</v>
      </c>
      <c r="H11479" t="s">
        <v>557</v>
      </c>
      <c r="I11479">
        <v>123</v>
      </c>
      <c r="J11479">
        <v>0</v>
      </c>
      <c r="K11479" s="1">
        <v>5950802</v>
      </c>
    </row>
    <row r="11480" spans="1:11" x14ac:dyDescent="0.25">
      <c r="A11480" t="s">
        <v>326</v>
      </c>
      <c r="B11480" t="s">
        <v>766</v>
      </c>
      <c r="C11480" t="s">
        <v>876</v>
      </c>
      <c r="D11480" t="s">
        <v>14</v>
      </c>
      <c r="E11480">
        <v>4</v>
      </c>
      <c r="F11480" s="2">
        <f>DATE(2026,IF(Tabla1[[#This Row],[Mes de Fecha]]="Septiembre",9,10),Tabla1[[#This Row],[Día de Fecha]])</f>
        <v>46299</v>
      </c>
      <c r="G11480">
        <v>1128626377</v>
      </c>
      <c r="H11480" t="s">
        <v>769</v>
      </c>
      <c r="I11480">
        <v>63</v>
      </c>
      <c r="J11480">
        <v>0</v>
      </c>
      <c r="K11480" s="1">
        <v>2712691</v>
      </c>
    </row>
    <row r="11481" spans="1:11" x14ac:dyDescent="0.25">
      <c r="A11481" t="s">
        <v>326</v>
      </c>
      <c r="B11481" t="s">
        <v>766</v>
      </c>
      <c r="C11481" t="s">
        <v>876</v>
      </c>
      <c r="D11481" t="s">
        <v>14</v>
      </c>
      <c r="E11481">
        <v>5</v>
      </c>
      <c r="F11481" s="2">
        <f>DATE(2026,IF(Tabla1[[#This Row],[Mes de Fecha]]="Septiembre",9,10),Tabla1[[#This Row],[Día de Fecha]])</f>
        <v>46300</v>
      </c>
      <c r="I11481">
        <v>0</v>
      </c>
      <c r="J11481" s="1">
        <v>7015224</v>
      </c>
      <c r="K11481">
        <v>0</v>
      </c>
    </row>
    <row r="11482" spans="1:11" x14ac:dyDescent="0.25">
      <c r="A11482" t="s">
        <v>326</v>
      </c>
      <c r="B11482" t="s">
        <v>766</v>
      </c>
      <c r="C11482" t="s">
        <v>876</v>
      </c>
      <c r="D11482" t="s">
        <v>14</v>
      </c>
      <c r="E11482">
        <v>5</v>
      </c>
      <c r="F11482" s="2">
        <f>DATE(2026,IF(Tabla1[[#This Row],[Mes de Fecha]]="Septiembre",9,10),Tabla1[[#This Row],[Día de Fecha]])</f>
        <v>46300</v>
      </c>
      <c r="G11482">
        <v>1004155911</v>
      </c>
      <c r="H11482" t="s">
        <v>768</v>
      </c>
      <c r="I11482">
        <v>3</v>
      </c>
      <c r="J11482">
        <v>0</v>
      </c>
      <c r="K11482" s="1">
        <v>123823</v>
      </c>
    </row>
    <row r="11483" spans="1:11" x14ac:dyDescent="0.25">
      <c r="A11483" t="s">
        <v>326</v>
      </c>
      <c r="B11483" t="s">
        <v>766</v>
      </c>
      <c r="C11483" t="s">
        <v>876</v>
      </c>
      <c r="D11483" t="s">
        <v>14</v>
      </c>
      <c r="E11483">
        <v>5</v>
      </c>
      <c r="F11483" s="2">
        <f>DATE(2026,IF(Tabla1[[#This Row],[Mes de Fecha]]="Septiembre",9,10),Tabla1[[#This Row],[Día de Fecha]])</f>
        <v>46300</v>
      </c>
      <c r="G11483">
        <v>1075243559</v>
      </c>
      <c r="H11483" t="s">
        <v>561</v>
      </c>
      <c r="I11483">
        <v>101</v>
      </c>
      <c r="J11483">
        <v>0</v>
      </c>
      <c r="K11483" s="1">
        <v>4355505</v>
      </c>
    </row>
    <row r="11484" spans="1:11" x14ac:dyDescent="0.25">
      <c r="A11484" t="s">
        <v>326</v>
      </c>
      <c r="B11484" t="s">
        <v>766</v>
      </c>
      <c r="C11484" t="s">
        <v>876</v>
      </c>
      <c r="D11484" t="s">
        <v>14</v>
      </c>
      <c r="E11484">
        <v>5</v>
      </c>
      <c r="F11484" s="2">
        <f>DATE(2026,IF(Tabla1[[#This Row],[Mes de Fecha]]="Septiembre",9,10),Tabla1[[#This Row],[Día de Fecha]])</f>
        <v>46300</v>
      </c>
      <c r="G11484">
        <v>1075306881</v>
      </c>
      <c r="H11484" t="s">
        <v>557</v>
      </c>
      <c r="I11484">
        <v>73</v>
      </c>
      <c r="J11484">
        <v>0</v>
      </c>
      <c r="K11484" s="1">
        <v>2829539</v>
      </c>
    </row>
    <row r="11485" spans="1:11" x14ac:dyDescent="0.25">
      <c r="A11485" t="s">
        <v>326</v>
      </c>
      <c r="B11485" t="s">
        <v>766</v>
      </c>
      <c r="C11485" t="s">
        <v>876</v>
      </c>
      <c r="D11485" t="s">
        <v>14</v>
      </c>
      <c r="E11485">
        <v>6</v>
      </c>
      <c r="F11485" s="2">
        <f>DATE(2026,IF(Tabla1[[#This Row],[Mes de Fecha]]="Septiembre",9,10),Tabla1[[#This Row],[Día de Fecha]])</f>
        <v>46301</v>
      </c>
      <c r="I11485">
        <v>0</v>
      </c>
      <c r="J11485" s="1">
        <v>4021302</v>
      </c>
      <c r="K11485">
        <v>0</v>
      </c>
    </row>
    <row r="11486" spans="1:11" x14ac:dyDescent="0.25">
      <c r="A11486" t="s">
        <v>326</v>
      </c>
      <c r="B11486" t="s">
        <v>766</v>
      </c>
      <c r="C11486" t="s">
        <v>876</v>
      </c>
      <c r="D11486" t="s">
        <v>14</v>
      </c>
      <c r="E11486">
        <v>6</v>
      </c>
      <c r="F11486" s="2">
        <f>DATE(2026,IF(Tabla1[[#This Row],[Mes de Fecha]]="Septiembre",9,10),Tabla1[[#This Row],[Día de Fecha]])</f>
        <v>46301</v>
      </c>
      <c r="G11486">
        <v>1003813404</v>
      </c>
      <c r="H11486" t="s">
        <v>767</v>
      </c>
      <c r="I11486">
        <v>13</v>
      </c>
      <c r="J11486">
        <v>0</v>
      </c>
      <c r="K11486" s="1">
        <v>511638</v>
      </c>
    </row>
    <row r="11487" spans="1:11" x14ac:dyDescent="0.25">
      <c r="A11487" t="s">
        <v>326</v>
      </c>
      <c r="B11487" t="s">
        <v>766</v>
      </c>
      <c r="C11487" t="s">
        <v>876</v>
      </c>
      <c r="D11487" t="s">
        <v>14</v>
      </c>
      <c r="E11487">
        <v>6</v>
      </c>
      <c r="F11487" s="2">
        <f>DATE(2026,IF(Tabla1[[#This Row],[Mes de Fecha]]="Septiembre",9,10),Tabla1[[#This Row],[Día de Fecha]])</f>
        <v>46301</v>
      </c>
      <c r="G11487">
        <v>1004155911</v>
      </c>
      <c r="H11487" t="s">
        <v>768</v>
      </c>
      <c r="I11487">
        <v>26</v>
      </c>
      <c r="J11487">
        <v>0</v>
      </c>
      <c r="K11487" s="1">
        <v>1055295</v>
      </c>
    </row>
    <row r="11488" spans="1:11" x14ac:dyDescent="0.25">
      <c r="A11488" t="s">
        <v>326</v>
      </c>
      <c r="B11488" t="s">
        <v>766</v>
      </c>
      <c r="C11488" t="s">
        <v>876</v>
      </c>
      <c r="D11488" t="s">
        <v>14</v>
      </c>
      <c r="E11488">
        <v>6</v>
      </c>
      <c r="F11488" s="2">
        <f>DATE(2026,IF(Tabla1[[#This Row],[Mes de Fecha]]="Septiembre",9,10),Tabla1[[#This Row],[Día de Fecha]])</f>
        <v>46301</v>
      </c>
      <c r="G11488">
        <v>1075243559</v>
      </c>
      <c r="H11488" t="s">
        <v>561</v>
      </c>
      <c r="I11488">
        <v>0</v>
      </c>
      <c r="J11488">
        <v>0</v>
      </c>
      <c r="K11488" s="1">
        <v>16891</v>
      </c>
    </row>
    <row r="11489" spans="1:11" x14ac:dyDescent="0.25">
      <c r="A11489" t="s">
        <v>326</v>
      </c>
      <c r="B11489" t="s">
        <v>766</v>
      </c>
      <c r="C11489" t="s">
        <v>876</v>
      </c>
      <c r="D11489" t="s">
        <v>14</v>
      </c>
      <c r="E11489">
        <v>6</v>
      </c>
      <c r="F11489" s="2">
        <f>DATE(2026,IF(Tabla1[[#This Row],[Mes de Fecha]]="Septiembre",9,10),Tabla1[[#This Row],[Día de Fecha]])</f>
        <v>46301</v>
      </c>
      <c r="G11489">
        <v>1075306881</v>
      </c>
      <c r="H11489" t="s">
        <v>557</v>
      </c>
      <c r="I11489">
        <v>86</v>
      </c>
      <c r="J11489">
        <v>0</v>
      </c>
      <c r="K11489" s="1">
        <v>3293405</v>
      </c>
    </row>
    <row r="11490" spans="1:11" x14ac:dyDescent="0.25">
      <c r="A11490" t="s">
        <v>326</v>
      </c>
      <c r="B11490" t="s">
        <v>766</v>
      </c>
      <c r="C11490" t="s">
        <v>876</v>
      </c>
      <c r="D11490" t="s">
        <v>14</v>
      </c>
      <c r="E11490">
        <v>7</v>
      </c>
      <c r="F11490" s="2">
        <f>DATE(2026,IF(Tabla1[[#This Row],[Mes de Fecha]]="Septiembre",9,10),Tabla1[[#This Row],[Día de Fecha]])</f>
        <v>46302</v>
      </c>
      <c r="I11490">
        <v>0</v>
      </c>
      <c r="J11490" s="1">
        <v>3989708</v>
      </c>
      <c r="K11490">
        <v>0</v>
      </c>
    </row>
    <row r="11491" spans="1:11" x14ac:dyDescent="0.25">
      <c r="A11491" t="s">
        <v>326</v>
      </c>
      <c r="B11491" t="s">
        <v>766</v>
      </c>
      <c r="C11491" t="s">
        <v>876</v>
      </c>
      <c r="D11491" t="s">
        <v>14</v>
      </c>
      <c r="E11491">
        <v>7</v>
      </c>
      <c r="F11491" s="2">
        <f>DATE(2026,IF(Tabla1[[#This Row],[Mes de Fecha]]="Septiembre",9,10),Tabla1[[#This Row],[Día de Fecha]])</f>
        <v>46302</v>
      </c>
      <c r="G11491">
        <v>1003813404</v>
      </c>
      <c r="H11491" t="s">
        <v>767</v>
      </c>
      <c r="I11491">
        <v>8</v>
      </c>
      <c r="J11491">
        <v>0</v>
      </c>
      <c r="K11491" s="1">
        <v>222311</v>
      </c>
    </row>
    <row r="11492" spans="1:11" x14ac:dyDescent="0.25">
      <c r="A11492" t="s">
        <v>326</v>
      </c>
      <c r="B11492" t="s">
        <v>766</v>
      </c>
      <c r="C11492" t="s">
        <v>876</v>
      </c>
      <c r="D11492" t="s">
        <v>14</v>
      </c>
      <c r="E11492">
        <v>7</v>
      </c>
      <c r="F11492" s="2">
        <f>DATE(2026,IF(Tabla1[[#This Row],[Mes de Fecha]]="Septiembre",9,10),Tabla1[[#This Row],[Día de Fecha]])</f>
        <v>46302</v>
      </c>
      <c r="G11492">
        <v>1075243559</v>
      </c>
      <c r="H11492" t="s">
        <v>561</v>
      </c>
      <c r="I11492">
        <v>48</v>
      </c>
      <c r="J11492">
        <v>0</v>
      </c>
      <c r="K11492" s="1">
        <v>1938321</v>
      </c>
    </row>
    <row r="11493" spans="1:11" x14ac:dyDescent="0.25">
      <c r="A11493" t="s">
        <v>326</v>
      </c>
      <c r="B11493" t="s">
        <v>766</v>
      </c>
      <c r="C11493" t="s">
        <v>876</v>
      </c>
      <c r="D11493" t="s">
        <v>14</v>
      </c>
      <c r="E11493">
        <v>7</v>
      </c>
      <c r="F11493" s="2">
        <f>DATE(2026,IF(Tabla1[[#This Row],[Mes de Fecha]]="Septiembre",9,10),Tabla1[[#This Row],[Día de Fecha]])</f>
        <v>46302</v>
      </c>
      <c r="G11493">
        <v>1075306881</v>
      </c>
      <c r="H11493" t="s">
        <v>557</v>
      </c>
      <c r="I11493">
        <v>53</v>
      </c>
      <c r="J11493">
        <v>0</v>
      </c>
      <c r="K11493" s="1">
        <v>2094639</v>
      </c>
    </row>
    <row r="11494" spans="1:11" x14ac:dyDescent="0.25">
      <c r="A11494" t="s">
        <v>326</v>
      </c>
      <c r="B11494" t="s">
        <v>766</v>
      </c>
      <c r="C11494" t="s">
        <v>876</v>
      </c>
      <c r="D11494" t="s">
        <v>14</v>
      </c>
      <c r="E11494">
        <v>7</v>
      </c>
      <c r="F11494" s="2">
        <f>DATE(2026,IF(Tabla1[[#This Row],[Mes de Fecha]]="Septiembre",9,10),Tabla1[[#This Row],[Día de Fecha]])</f>
        <v>46302</v>
      </c>
      <c r="G11494">
        <v>1128626377</v>
      </c>
      <c r="H11494" t="s">
        <v>769</v>
      </c>
      <c r="I11494">
        <v>9</v>
      </c>
      <c r="J11494">
        <v>0</v>
      </c>
      <c r="K11494" s="1">
        <v>428110</v>
      </c>
    </row>
    <row r="11495" spans="1:11" x14ac:dyDescent="0.25">
      <c r="A11495" t="s">
        <v>326</v>
      </c>
      <c r="B11495" t="s">
        <v>824</v>
      </c>
      <c r="C11495" t="s">
        <v>876</v>
      </c>
      <c r="D11495" t="s">
        <v>11</v>
      </c>
      <c r="E11495">
        <v>23</v>
      </c>
      <c r="F11495" s="2">
        <f>DATE(2026,IF(Tabla1[[#This Row],[Mes de Fecha]]="Septiembre",9,10),Tabla1[[#This Row],[Día de Fecha]])</f>
        <v>46288</v>
      </c>
      <c r="I11495">
        <v>0</v>
      </c>
      <c r="J11495" s="1">
        <v>4670874</v>
      </c>
      <c r="K11495">
        <v>0</v>
      </c>
    </row>
    <row r="11496" spans="1:11" x14ac:dyDescent="0.25">
      <c r="A11496" t="s">
        <v>326</v>
      </c>
      <c r="B11496" t="s">
        <v>824</v>
      </c>
      <c r="C11496" t="s">
        <v>876</v>
      </c>
      <c r="D11496" t="s">
        <v>11</v>
      </c>
      <c r="E11496">
        <v>23</v>
      </c>
      <c r="F11496" s="2">
        <f>DATE(2026,IF(Tabla1[[#This Row],[Mes de Fecha]]="Septiembre",9,10),Tabla1[[#This Row],[Día de Fecha]])</f>
        <v>46288</v>
      </c>
      <c r="G11496">
        <v>1075218260</v>
      </c>
      <c r="H11496" t="s">
        <v>562</v>
      </c>
      <c r="I11496">
        <v>25</v>
      </c>
      <c r="J11496">
        <v>0</v>
      </c>
      <c r="K11496" s="1">
        <v>1404330</v>
      </c>
    </row>
    <row r="11497" spans="1:11" x14ac:dyDescent="0.25">
      <c r="A11497" t="s">
        <v>326</v>
      </c>
      <c r="B11497" t="s">
        <v>824</v>
      </c>
      <c r="C11497" t="s">
        <v>876</v>
      </c>
      <c r="D11497" t="s">
        <v>11</v>
      </c>
      <c r="E11497">
        <v>23</v>
      </c>
      <c r="F11497" s="2">
        <f>DATE(2026,IF(Tabla1[[#This Row],[Mes de Fecha]]="Septiembre",9,10),Tabla1[[#This Row],[Día de Fecha]])</f>
        <v>46288</v>
      </c>
      <c r="G11497">
        <v>1075307490</v>
      </c>
      <c r="H11497" t="s">
        <v>825</v>
      </c>
      <c r="I11497">
        <v>8</v>
      </c>
      <c r="J11497">
        <v>0</v>
      </c>
      <c r="K11497" s="1">
        <v>356808</v>
      </c>
    </row>
    <row r="11498" spans="1:11" x14ac:dyDescent="0.25">
      <c r="A11498" t="s">
        <v>326</v>
      </c>
      <c r="B11498" t="s">
        <v>824</v>
      </c>
      <c r="C11498" t="s">
        <v>876</v>
      </c>
      <c r="D11498" t="s">
        <v>11</v>
      </c>
      <c r="E11498">
        <v>23</v>
      </c>
      <c r="F11498" s="2">
        <f>DATE(2026,IF(Tabla1[[#This Row],[Mes de Fecha]]="Septiembre",9,10),Tabla1[[#This Row],[Día de Fecha]])</f>
        <v>46288</v>
      </c>
      <c r="G11498">
        <v>1075790352</v>
      </c>
      <c r="H11498" t="s">
        <v>826</v>
      </c>
      <c r="I11498">
        <v>3</v>
      </c>
      <c r="J11498">
        <v>0</v>
      </c>
      <c r="K11498" s="1">
        <v>113320</v>
      </c>
    </row>
    <row r="11499" spans="1:11" x14ac:dyDescent="0.25">
      <c r="A11499" t="s">
        <v>326</v>
      </c>
      <c r="B11499" t="s">
        <v>824</v>
      </c>
      <c r="C11499" t="s">
        <v>876</v>
      </c>
      <c r="D11499" t="s">
        <v>11</v>
      </c>
      <c r="E11499">
        <v>23</v>
      </c>
      <c r="F11499" s="2">
        <f>DATE(2026,IF(Tabla1[[#This Row],[Mes de Fecha]]="Septiembre",9,10),Tabla1[[#This Row],[Día de Fecha]])</f>
        <v>46288</v>
      </c>
      <c r="G11499">
        <v>1083984650</v>
      </c>
      <c r="H11499" t="s">
        <v>563</v>
      </c>
      <c r="I11499">
        <v>28</v>
      </c>
      <c r="J11499">
        <v>0</v>
      </c>
      <c r="K11499" s="1">
        <v>1463067</v>
      </c>
    </row>
    <row r="11500" spans="1:11" x14ac:dyDescent="0.25">
      <c r="A11500" t="s">
        <v>326</v>
      </c>
      <c r="B11500" t="s">
        <v>824</v>
      </c>
      <c r="C11500" t="s">
        <v>876</v>
      </c>
      <c r="D11500" t="s">
        <v>11</v>
      </c>
      <c r="E11500">
        <v>24</v>
      </c>
      <c r="F11500" s="2">
        <f>DATE(2026,IF(Tabla1[[#This Row],[Mes de Fecha]]="Septiembre",9,10),Tabla1[[#This Row],[Día de Fecha]])</f>
        <v>46289</v>
      </c>
      <c r="I11500">
        <v>0</v>
      </c>
      <c r="J11500" s="1">
        <v>7135284</v>
      </c>
      <c r="K11500">
        <v>0</v>
      </c>
    </row>
    <row r="11501" spans="1:11" x14ac:dyDescent="0.25">
      <c r="A11501" t="s">
        <v>326</v>
      </c>
      <c r="B11501" t="s">
        <v>824</v>
      </c>
      <c r="C11501" t="s">
        <v>876</v>
      </c>
      <c r="D11501" t="s">
        <v>11</v>
      </c>
      <c r="E11501">
        <v>24</v>
      </c>
      <c r="F11501" s="2">
        <f>DATE(2026,IF(Tabla1[[#This Row],[Mes de Fecha]]="Septiembre",9,10),Tabla1[[#This Row],[Día de Fecha]])</f>
        <v>46289</v>
      </c>
      <c r="G11501">
        <v>1075218260</v>
      </c>
      <c r="H11501" t="s">
        <v>562</v>
      </c>
      <c r="I11501">
        <v>25</v>
      </c>
      <c r="J11501">
        <v>0</v>
      </c>
      <c r="K11501" s="1">
        <v>1620717</v>
      </c>
    </row>
    <row r="11502" spans="1:11" x14ac:dyDescent="0.25">
      <c r="A11502" t="s">
        <v>326</v>
      </c>
      <c r="B11502" t="s">
        <v>824</v>
      </c>
      <c r="C11502" t="s">
        <v>876</v>
      </c>
      <c r="D11502" t="s">
        <v>11</v>
      </c>
      <c r="E11502">
        <v>24</v>
      </c>
      <c r="F11502" s="2">
        <f>DATE(2026,IF(Tabla1[[#This Row],[Mes de Fecha]]="Septiembre",9,10),Tabla1[[#This Row],[Día de Fecha]])</f>
        <v>46289</v>
      </c>
      <c r="G11502">
        <v>1075307490</v>
      </c>
      <c r="H11502" t="s">
        <v>825</v>
      </c>
      <c r="I11502">
        <v>8</v>
      </c>
      <c r="J11502">
        <v>0</v>
      </c>
      <c r="K11502" s="1">
        <v>386219</v>
      </c>
    </row>
    <row r="11503" spans="1:11" x14ac:dyDescent="0.25">
      <c r="A11503" t="s">
        <v>326</v>
      </c>
      <c r="B11503" t="s">
        <v>824</v>
      </c>
      <c r="C11503" t="s">
        <v>876</v>
      </c>
      <c r="D11503" t="s">
        <v>11</v>
      </c>
      <c r="E11503">
        <v>24</v>
      </c>
      <c r="F11503" s="2">
        <f>DATE(2026,IF(Tabla1[[#This Row],[Mes de Fecha]]="Septiembre",9,10),Tabla1[[#This Row],[Día de Fecha]])</f>
        <v>46289</v>
      </c>
      <c r="G11503">
        <v>1075790352</v>
      </c>
      <c r="H11503" t="s">
        <v>826</v>
      </c>
      <c r="I11503">
        <v>7</v>
      </c>
      <c r="J11503">
        <v>0</v>
      </c>
      <c r="K11503" s="1">
        <v>340043</v>
      </c>
    </row>
    <row r="11504" spans="1:11" x14ac:dyDescent="0.25">
      <c r="A11504" t="s">
        <v>326</v>
      </c>
      <c r="B11504" t="s">
        <v>824</v>
      </c>
      <c r="C11504" t="s">
        <v>876</v>
      </c>
      <c r="D11504" t="s">
        <v>11</v>
      </c>
      <c r="E11504">
        <v>24</v>
      </c>
      <c r="F11504" s="2">
        <f>DATE(2026,IF(Tabla1[[#This Row],[Mes de Fecha]]="Septiembre",9,10),Tabla1[[#This Row],[Día de Fecha]])</f>
        <v>46289</v>
      </c>
      <c r="G11504">
        <v>1083984650</v>
      </c>
      <c r="H11504" t="s">
        <v>563</v>
      </c>
      <c r="I11504">
        <v>23</v>
      </c>
      <c r="J11504">
        <v>0</v>
      </c>
      <c r="K11504" s="1">
        <v>1091430</v>
      </c>
    </row>
    <row r="11505" spans="1:11" x14ac:dyDescent="0.25">
      <c r="A11505" t="s">
        <v>326</v>
      </c>
      <c r="B11505" t="s">
        <v>824</v>
      </c>
      <c r="C11505" t="s">
        <v>876</v>
      </c>
      <c r="D11505" t="s">
        <v>11</v>
      </c>
      <c r="E11505">
        <v>25</v>
      </c>
      <c r="F11505" s="2">
        <f>DATE(2026,IF(Tabla1[[#This Row],[Mes de Fecha]]="Septiembre",9,10),Tabla1[[#This Row],[Día de Fecha]])</f>
        <v>46290</v>
      </c>
      <c r="I11505">
        <v>0</v>
      </c>
      <c r="J11505" s="1">
        <v>7119485</v>
      </c>
      <c r="K11505">
        <v>0</v>
      </c>
    </row>
    <row r="11506" spans="1:11" x14ac:dyDescent="0.25">
      <c r="A11506" t="s">
        <v>326</v>
      </c>
      <c r="B11506" t="s">
        <v>824</v>
      </c>
      <c r="C11506" t="s">
        <v>876</v>
      </c>
      <c r="D11506" t="s">
        <v>11</v>
      </c>
      <c r="E11506">
        <v>25</v>
      </c>
      <c r="F11506" s="2">
        <f>DATE(2026,IF(Tabla1[[#This Row],[Mes de Fecha]]="Septiembre",9,10),Tabla1[[#This Row],[Día de Fecha]])</f>
        <v>46290</v>
      </c>
      <c r="G11506">
        <v>1075218260</v>
      </c>
      <c r="H11506" t="s">
        <v>562</v>
      </c>
      <c r="I11506">
        <v>32</v>
      </c>
      <c r="J11506">
        <v>0</v>
      </c>
      <c r="K11506" s="1">
        <v>1643573</v>
      </c>
    </row>
    <row r="11507" spans="1:11" x14ac:dyDescent="0.25">
      <c r="A11507" t="s">
        <v>326</v>
      </c>
      <c r="B11507" t="s">
        <v>824</v>
      </c>
      <c r="C11507" t="s">
        <v>876</v>
      </c>
      <c r="D11507" t="s">
        <v>11</v>
      </c>
      <c r="E11507">
        <v>25</v>
      </c>
      <c r="F11507" s="2">
        <f>DATE(2026,IF(Tabla1[[#This Row],[Mes de Fecha]]="Septiembre",9,10),Tabla1[[#This Row],[Día de Fecha]])</f>
        <v>46290</v>
      </c>
      <c r="G11507">
        <v>1075307490</v>
      </c>
      <c r="H11507" t="s">
        <v>825</v>
      </c>
      <c r="I11507">
        <v>7</v>
      </c>
      <c r="J11507">
        <v>0</v>
      </c>
      <c r="K11507" s="1">
        <v>344244</v>
      </c>
    </row>
    <row r="11508" spans="1:11" x14ac:dyDescent="0.25">
      <c r="A11508" t="s">
        <v>326</v>
      </c>
      <c r="B11508" t="s">
        <v>824</v>
      </c>
      <c r="C11508" t="s">
        <v>876</v>
      </c>
      <c r="D11508" t="s">
        <v>11</v>
      </c>
      <c r="E11508">
        <v>25</v>
      </c>
      <c r="F11508" s="2">
        <f>DATE(2026,IF(Tabla1[[#This Row],[Mes de Fecha]]="Septiembre",9,10),Tabla1[[#This Row],[Día de Fecha]])</f>
        <v>46290</v>
      </c>
      <c r="G11508">
        <v>1075790352</v>
      </c>
      <c r="H11508" t="s">
        <v>826</v>
      </c>
      <c r="I11508">
        <v>5</v>
      </c>
      <c r="J11508">
        <v>0</v>
      </c>
      <c r="K11508" s="1">
        <v>226682</v>
      </c>
    </row>
    <row r="11509" spans="1:11" x14ac:dyDescent="0.25">
      <c r="A11509" t="s">
        <v>326</v>
      </c>
      <c r="B11509" t="s">
        <v>824</v>
      </c>
      <c r="C11509" t="s">
        <v>876</v>
      </c>
      <c r="D11509" t="s">
        <v>11</v>
      </c>
      <c r="E11509">
        <v>25</v>
      </c>
      <c r="F11509" s="2">
        <f>DATE(2026,IF(Tabla1[[#This Row],[Mes de Fecha]]="Septiembre",9,10),Tabla1[[#This Row],[Día de Fecha]])</f>
        <v>46290</v>
      </c>
      <c r="G11509">
        <v>1083984650</v>
      </c>
      <c r="H11509" t="s">
        <v>563</v>
      </c>
      <c r="I11509">
        <v>29</v>
      </c>
      <c r="J11509">
        <v>0</v>
      </c>
      <c r="K11509" s="1">
        <v>1662651</v>
      </c>
    </row>
    <row r="11510" spans="1:11" x14ac:dyDescent="0.25">
      <c r="A11510" t="s">
        <v>326</v>
      </c>
      <c r="B11510" t="s">
        <v>824</v>
      </c>
      <c r="C11510" t="s">
        <v>876</v>
      </c>
      <c r="D11510" t="s">
        <v>11</v>
      </c>
      <c r="E11510">
        <v>26</v>
      </c>
      <c r="F11510" s="2">
        <f>DATE(2026,IF(Tabla1[[#This Row],[Mes de Fecha]]="Septiembre",9,10),Tabla1[[#This Row],[Día de Fecha]])</f>
        <v>46291</v>
      </c>
      <c r="I11510">
        <v>0</v>
      </c>
      <c r="J11510" s="1">
        <v>10231724</v>
      </c>
      <c r="K11510">
        <v>0</v>
      </c>
    </row>
    <row r="11511" spans="1:11" x14ac:dyDescent="0.25">
      <c r="A11511" t="s">
        <v>326</v>
      </c>
      <c r="B11511" t="s">
        <v>824</v>
      </c>
      <c r="C11511" t="s">
        <v>876</v>
      </c>
      <c r="D11511" t="s">
        <v>11</v>
      </c>
      <c r="E11511">
        <v>26</v>
      </c>
      <c r="F11511" s="2">
        <f>DATE(2026,IF(Tabla1[[#This Row],[Mes de Fecha]]="Septiembre",9,10),Tabla1[[#This Row],[Día de Fecha]])</f>
        <v>46291</v>
      </c>
      <c r="G11511">
        <v>1075218260</v>
      </c>
      <c r="H11511" t="s">
        <v>562</v>
      </c>
      <c r="I11511">
        <v>61</v>
      </c>
      <c r="J11511">
        <v>0</v>
      </c>
      <c r="K11511" s="1">
        <v>3749456</v>
      </c>
    </row>
    <row r="11512" spans="1:11" x14ac:dyDescent="0.25">
      <c r="A11512" t="s">
        <v>326</v>
      </c>
      <c r="B11512" t="s">
        <v>824</v>
      </c>
      <c r="C11512" t="s">
        <v>876</v>
      </c>
      <c r="D11512" t="s">
        <v>11</v>
      </c>
      <c r="E11512">
        <v>26</v>
      </c>
      <c r="F11512" s="2">
        <f>DATE(2026,IF(Tabla1[[#This Row],[Mes de Fecha]]="Septiembre",9,10),Tabla1[[#This Row],[Día de Fecha]])</f>
        <v>46291</v>
      </c>
      <c r="G11512">
        <v>1075307490</v>
      </c>
      <c r="H11512" t="s">
        <v>825</v>
      </c>
      <c r="I11512">
        <v>7</v>
      </c>
      <c r="J11512">
        <v>0</v>
      </c>
      <c r="K11512" s="1">
        <v>371555</v>
      </c>
    </row>
    <row r="11513" spans="1:11" x14ac:dyDescent="0.25">
      <c r="A11513" t="s">
        <v>326</v>
      </c>
      <c r="B11513" t="s">
        <v>824</v>
      </c>
      <c r="C11513" t="s">
        <v>876</v>
      </c>
      <c r="D11513" t="s">
        <v>11</v>
      </c>
      <c r="E11513">
        <v>26</v>
      </c>
      <c r="F11513" s="2">
        <f>DATE(2026,IF(Tabla1[[#This Row],[Mes de Fecha]]="Septiembre",9,10),Tabla1[[#This Row],[Día de Fecha]])</f>
        <v>46291</v>
      </c>
      <c r="G11513">
        <v>1075790352</v>
      </c>
      <c r="H11513" t="s">
        <v>826</v>
      </c>
      <c r="I11513">
        <v>9</v>
      </c>
      <c r="J11513">
        <v>0</v>
      </c>
      <c r="K11513" s="1">
        <v>453405</v>
      </c>
    </row>
    <row r="11514" spans="1:11" x14ac:dyDescent="0.25">
      <c r="A11514" t="s">
        <v>326</v>
      </c>
      <c r="B11514" t="s">
        <v>824</v>
      </c>
      <c r="C11514" t="s">
        <v>876</v>
      </c>
      <c r="D11514" t="s">
        <v>11</v>
      </c>
      <c r="E11514">
        <v>26</v>
      </c>
      <c r="F11514" s="2">
        <f>DATE(2026,IF(Tabla1[[#This Row],[Mes de Fecha]]="Septiembre",9,10),Tabla1[[#This Row],[Día de Fecha]])</f>
        <v>46291</v>
      </c>
      <c r="G11514">
        <v>1083984650</v>
      </c>
      <c r="H11514" t="s">
        <v>563</v>
      </c>
      <c r="I11514">
        <v>51</v>
      </c>
      <c r="J11514">
        <v>0</v>
      </c>
      <c r="K11514" s="1">
        <v>2850760</v>
      </c>
    </row>
    <row r="11515" spans="1:11" x14ac:dyDescent="0.25">
      <c r="A11515" t="s">
        <v>326</v>
      </c>
      <c r="B11515" t="s">
        <v>824</v>
      </c>
      <c r="C11515" t="s">
        <v>876</v>
      </c>
      <c r="D11515" t="s">
        <v>11</v>
      </c>
      <c r="E11515">
        <v>27</v>
      </c>
      <c r="F11515" s="2">
        <f>DATE(2026,IF(Tabla1[[#This Row],[Mes de Fecha]]="Septiembre",9,10),Tabla1[[#This Row],[Día de Fecha]])</f>
        <v>46292</v>
      </c>
      <c r="I11515">
        <v>0</v>
      </c>
      <c r="J11515" s="1">
        <v>8105587</v>
      </c>
      <c r="K11515">
        <v>0</v>
      </c>
    </row>
    <row r="11516" spans="1:11" x14ac:dyDescent="0.25">
      <c r="A11516" t="s">
        <v>326</v>
      </c>
      <c r="B11516" t="s">
        <v>824</v>
      </c>
      <c r="C11516" t="s">
        <v>876</v>
      </c>
      <c r="D11516" t="s">
        <v>11</v>
      </c>
      <c r="E11516">
        <v>27</v>
      </c>
      <c r="F11516" s="2">
        <f>DATE(2026,IF(Tabla1[[#This Row],[Mes de Fecha]]="Septiembre",9,10),Tabla1[[#This Row],[Día de Fecha]])</f>
        <v>46292</v>
      </c>
      <c r="G11516">
        <v>1075218260</v>
      </c>
      <c r="H11516" t="s">
        <v>562</v>
      </c>
      <c r="I11516">
        <v>40</v>
      </c>
      <c r="J11516">
        <v>0</v>
      </c>
      <c r="K11516" s="1">
        <v>2170548</v>
      </c>
    </row>
    <row r="11517" spans="1:11" x14ac:dyDescent="0.25">
      <c r="A11517" t="s">
        <v>326</v>
      </c>
      <c r="B11517" t="s">
        <v>824</v>
      </c>
      <c r="C11517" t="s">
        <v>876</v>
      </c>
      <c r="D11517" t="s">
        <v>11</v>
      </c>
      <c r="E11517">
        <v>27</v>
      </c>
      <c r="F11517" s="2">
        <f>DATE(2026,IF(Tabla1[[#This Row],[Mes de Fecha]]="Septiembre",9,10),Tabla1[[#This Row],[Día de Fecha]])</f>
        <v>46292</v>
      </c>
      <c r="G11517">
        <v>1075307490</v>
      </c>
      <c r="H11517" t="s">
        <v>825</v>
      </c>
      <c r="I11517">
        <v>9</v>
      </c>
      <c r="J11517">
        <v>0</v>
      </c>
      <c r="K11517" s="1">
        <v>541597</v>
      </c>
    </row>
    <row r="11518" spans="1:11" x14ac:dyDescent="0.25">
      <c r="A11518" t="s">
        <v>326</v>
      </c>
      <c r="B11518" t="s">
        <v>824</v>
      </c>
      <c r="C11518" t="s">
        <v>876</v>
      </c>
      <c r="D11518" t="s">
        <v>11</v>
      </c>
      <c r="E11518">
        <v>27</v>
      </c>
      <c r="F11518" s="2">
        <f>DATE(2026,IF(Tabla1[[#This Row],[Mes de Fecha]]="Septiembre",9,10),Tabla1[[#This Row],[Día de Fecha]])</f>
        <v>46292</v>
      </c>
      <c r="G11518">
        <v>1075790352</v>
      </c>
      <c r="H11518" t="s">
        <v>826</v>
      </c>
      <c r="I11518">
        <v>10</v>
      </c>
      <c r="J11518">
        <v>0</v>
      </c>
      <c r="K11518" s="1">
        <v>528993</v>
      </c>
    </row>
    <row r="11519" spans="1:11" x14ac:dyDescent="0.25">
      <c r="A11519" t="s">
        <v>326</v>
      </c>
      <c r="B11519" t="s">
        <v>824</v>
      </c>
      <c r="C11519" t="s">
        <v>876</v>
      </c>
      <c r="D11519" t="s">
        <v>11</v>
      </c>
      <c r="E11519">
        <v>27</v>
      </c>
      <c r="F11519" s="2">
        <f>DATE(2026,IF(Tabla1[[#This Row],[Mes de Fecha]]="Septiembre",9,10),Tabla1[[#This Row],[Día de Fecha]])</f>
        <v>46292</v>
      </c>
      <c r="G11519">
        <v>1083984650</v>
      </c>
      <c r="H11519" t="s">
        <v>563</v>
      </c>
      <c r="I11519">
        <v>43</v>
      </c>
      <c r="J11519">
        <v>0</v>
      </c>
      <c r="K11519" s="1">
        <v>2598952</v>
      </c>
    </row>
    <row r="11520" spans="1:11" x14ac:dyDescent="0.25">
      <c r="A11520" t="s">
        <v>326</v>
      </c>
      <c r="B11520" t="s">
        <v>824</v>
      </c>
      <c r="C11520" t="s">
        <v>876</v>
      </c>
      <c r="D11520" t="s">
        <v>11</v>
      </c>
      <c r="E11520">
        <v>28</v>
      </c>
      <c r="F11520" s="2">
        <f>DATE(2026,IF(Tabla1[[#This Row],[Mes de Fecha]]="Septiembre",9,10),Tabla1[[#This Row],[Día de Fecha]])</f>
        <v>46293</v>
      </c>
      <c r="I11520">
        <v>0</v>
      </c>
      <c r="J11520" s="1">
        <v>4460982</v>
      </c>
      <c r="K11520">
        <v>0</v>
      </c>
    </row>
    <row r="11521" spans="1:11" x14ac:dyDescent="0.25">
      <c r="A11521" t="s">
        <v>326</v>
      </c>
      <c r="B11521" t="s">
        <v>824</v>
      </c>
      <c r="C11521" t="s">
        <v>876</v>
      </c>
      <c r="D11521" t="s">
        <v>11</v>
      </c>
      <c r="E11521">
        <v>28</v>
      </c>
      <c r="F11521" s="2">
        <f>DATE(2026,IF(Tabla1[[#This Row],[Mes de Fecha]]="Septiembre",9,10),Tabla1[[#This Row],[Día de Fecha]])</f>
        <v>46293</v>
      </c>
      <c r="G11521">
        <v>1075218260</v>
      </c>
      <c r="H11521" t="s">
        <v>562</v>
      </c>
      <c r="I11521">
        <v>19</v>
      </c>
      <c r="J11521">
        <v>0</v>
      </c>
      <c r="K11521" s="1">
        <v>1196639</v>
      </c>
    </row>
    <row r="11522" spans="1:11" x14ac:dyDescent="0.25">
      <c r="A11522" t="s">
        <v>326</v>
      </c>
      <c r="B11522" t="s">
        <v>824</v>
      </c>
      <c r="C11522" t="s">
        <v>876</v>
      </c>
      <c r="D11522" t="s">
        <v>11</v>
      </c>
      <c r="E11522">
        <v>28</v>
      </c>
      <c r="F11522" s="2">
        <f>DATE(2026,IF(Tabla1[[#This Row],[Mes de Fecha]]="Septiembre",9,10),Tabla1[[#This Row],[Día de Fecha]])</f>
        <v>46293</v>
      </c>
      <c r="G11522">
        <v>1075307490</v>
      </c>
      <c r="H11522" t="s">
        <v>825</v>
      </c>
      <c r="I11522">
        <v>5</v>
      </c>
      <c r="J11522">
        <v>0</v>
      </c>
      <c r="K11522" s="1">
        <v>314916</v>
      </c>
    </row>
    <row r="11523" spans="1:11" x14ac:dyDescent="0.25">
      <c r="A11523" t="s">
        <v>326</v>
      </c>
      <c r="B11523" t="s">
        <v>824</v>
      </c>
      <c r="C11523" t="s">
        <v>876</v>
      </c>
      <c r="D11523" t="s">
        <v>11</v>
      </c>
      <c r="E11523">
        <v>28</v>
      </c>
      <c r="F11523" s="2">
        <f>DATE(2026,IF(Tabla1[[#This Row],[Mes de Fecha]]="Septiembre",9,10),Tabla1[[#This Row],[Día de Fecha]])</f>
        <v>46293</v>
      </c>
      <c r="G11523">
        <v>1075790352</v>
      </c>
      <c r="H11523" t="s">
        <v>826</v>
      </c>
      <c r="I11523">
        <v>10</v>
      </c>
      <c r="J11523">
        <v>0</v>
      </c>
      <c r="K11523" s="1">
        <v>423949</v>
      </c>
    </row>
    <row r="11524" spans="1:11" x14ac:dyDescent="0.25">
      <c r="A11524" t="s">
        <v>326</v>
      </c>
      <c r="B11524" t="s">
        <v>824</v>
      </c>
      <c r="C11524" t="s">
        <v>876</v>
      </c>
      <c r="D11524" t="s">
        <v>11</v>
      </c>
      <c r="E11524">
        <v>28</v>
      </c>
      <c r="F11524" s="2">
        <f>DATE(2026,IF(Tabla1[[#This Row],[Mes de Fecha]]="Septiembre",9,10),Tabla1[[#This Row],[Día de Fecha]])</f>
        <v>46293</v>
      </c>
      <c r="G11524">
        <v>1083984650</v>
      </c>
      <c r="H11524" t="s">
        <v>563</v>
      </c>
      <c r="I11524">
        <v>30</v>
      </c>
      <c r="J11524">
        <v>0</v>
      </c>
      <c r="K11524" s="1">
        <v>1872606</v>
      </c>
    </row>
    <row r="11525" spans="1:11" x14ac:dyDescent="0.25">
      <c r="A11525" t="s">
        <v>326</v>
      </c>
      <c r="B11525" t="s">
        <v>824</v>
      </c>
      <c r="C11525" t="s">
        <v>876</v>
      </c>
      <c r="D11525" t="s">
        <v>11</v>
      </c>
      <c r="E11525">
        <v>29</v>
      </c>
      <c r="F11525" s="2">
        <f>DATE(2026,IF(Tabla1[[#This Row],[Mes de Fecha]]="Septiembre",9,10),Tabla1[[#This Row],[Día de Fecha]])</f>
        <v>46294</v>
      </c>
      <c r="I11525">
        <v>0</v>
      </c>
      <c r="J11525" s="1">
        <v>4765203</v>
      </c>
      <c r="K11525">
        <v>0</v>
      </c>
    </row>
    <row r="11526" spans="1:11" x14ac:dyDescent="0.25">
      <c r="A11526" t="s">
        <v>326</v>
      </c>
      <c r="B11526" t="s">
        <v>824</v>
      </c>
      <c r="C11526" t="s">
        <v>876</v>
      </c>
      <c r="D11526" t="s">
        <v>11</v>
      </c>
      <c r="E11526">
        <v>29</v>
      </c>
      <c r="F11526" s="2">
        <f>DATE(2026,IF(Tabla1[[#This Row],[Mes de Fecha]]="Septiembre",9,10),Tabla1[[#This Row],[Día de Fecha]])</f>
        <v>46294</v>
      </c>
      <c r="G11526">
        <v>1075218260</v>
      </c>
      <c r="H11526" t="s">
        <v>562</v>
      </c>
      <c r="I11526">
        <v>24</v>
      </c>
      <c r="J11526">
        <v>0</v>
      </c>
      <c r="K11526" s="1">
        <v>1545085</v>
      </c>
    </row>
    <row r="11527" spans="1:11" x14ac:dyDescent="0.25">
      <c r="A11527" t="s">
        <v>326</v>
      </c>
      <c r="B11527" t="s">
        <v>824</v>
      </c>
      <c r="C11527" t="s">
        <v>876</v>
      </c>
      <c r="D11527" t="s">
        <v>11</v>
      </c>
      <c r="E11527">
        <v>29</v>
      </c>
      <c r="F11527" s="2">
        <f>DATE(2026,IF(Tabla1[[#This Row],[Mes de Fecha]]="Septiembre",9,10),Tabla1[[#This Row],[Día de Fecha]])</f>
        <v>46294</v>
      </c>
      <c r="G11527">
        <v>1075307490</v>
      </c>
      <c r="H11527" t="s">
        <v>825</v>
      </c>
      <c r="I11527">
        <v>7</v>
      </c>
      <c r="J11527">
        <v>0</v>
      </c>
      <c r="K11527" s="1">
        <v>352605</v>
      </c>
    </row>
    <row r="11528" spans="1:11" x14ac:dyDescent="0.25">
      <c r="A11528" t="s">
        <v>326</v>
      </c>
      <c r="B11528" t="s">
        <v>824</v>
      </c>
      <c r="C11528" t="s">
        <v>876</v>
      </c>
      <c r="D11528" t="s">
        <v>11</v>
      </c>
      <c r="E11528">
        <v>29</v>
      </c>
      <c r="F11528" s="2">
        <f>DATE(2026,IF(Tabla1[[#This Row],[Mes de Fecha]]="Septiembre",9,10),Tabla1[[#This Row],[Día de Fecha]])</f>
        <v>46294</v>
      </c>
      <c r="G11528">
        <v>1075790352</v>
      </c>
      <c r="H11528" t="s">
        <v>826</v>
      </c>
      <c r="I11528">
        <v>14</v>
      </c>
      <c r="J11528">
        <v>0</v>
      </c>
      <c r="K11528" s="1">
        <v>663151</v>
      </c>
    </row>
    <row r="11529" spans="1:11" x14ac:dyDescent="0.25">
      <c r="A11529" t="s">
        <v>326</v>
      </c>
      <c r="B11529" t="s">
        <v>824</v>
      </c>
      <c r="C11529" t="s">
        <v>876</v>
      </c>
      <c r="D11529" t="s">
        <v>11</v>
      </c>
      <c r="E11529">
        <v>29</v>
      </c>
      <c r="F11529" s="2">
        <f>DATE(2026,IF(Tabla1[[#This Row],[Mes de Fecha]]="Septiembre",9,10),Tabla1[[#This Row],[Día de Fecha]])</f>
        <v>46294</v>
      </c>
      <c r="G11529">
        <v>1083984650</v>
      </c>
      <c r="H11529" t="s">
        <v>563</v>
      </c>
      <c r="I11529">
        <v>34</v>
      </c>
      <c r="J11529">
        <v>0</v>
      </c>
      <c r="K11529" s="1">
        <v>1828280</v>
      </c>
    </row>
    <row r="11530" spans="1:11" x14ac:dyDescent="0.25">
      <c r="A11530" t="s">
        <v>326</v>
      </c>
      <c r="B11530" t="s">
        <v>824</v>
      </c>
      <c r="C11530" t="s">
        <v>876</v>
      </c>
      <c r="D11530" t="s">
        <v>11</v>
      </c>
      <c r="E11530">
        <v>30</v>
      </c>
      <c r="F11530" s="2">
        <f>DATE(2026,IF(Tabla1[[#This Row],[Mes de Fecha]]="Septiembre",9,10),Tabla1[[#This Row],[Día de Fecha]])</f>
        <v>46295</v>
      </c>
      <c r="I11530">
        <v>0</v>
      </c>
      <c r="J11530" s="1">
        <v>4922538</v>
      </c>
      <c r="K11530">
        <v>0</v>
      </c>
    </row>
    <row r="11531" spans="1:11" x14ac:dyDescent="0.25">
      <c r="A11531" t="s">
        <v>326</v>
      </c>
      <c r="B11531" t="s">
        <v>824</v>
      </c>
      <c r="C11531" t="s">
        <v>876</v>
      </c>
      <c r="D11531" t="s">
        <v>11</v>
      </c>
      <c r="E11531">
        <v>30</v>
      </c>
      <c r="F11531" s="2">
        <f>DATE(2026,IF(Tabla1[[#This Row],[Mes de Fecha]]="Septiembre",9,10),Tabla1[[#This Row],[Día de Fecha]])</f>
        <v>46295</v>
      </c>
      <c r="G11531">
        <v>1004155911</v>
      </c>
      <c r="H11531" t="s">
        <v>768</v>
      </c>
      <c r="I11531">
        <v>-1</v>
      </c>
      <c r="J11531">
        <v>0</v>
      </c>
      <c r="K11531" s="1">
        <v>-50336</v>
      </c>
    </row>
    <row r="11532" spans="1:11" x14ac:dyDescent="0.25">
      <c r="A11532" t="s">
        <v>326</v>
      </c>
      <c r="B11532" t="s">
        <v>824</v>
      </c>
      <c r="C11532" t="s">
        <v>876</v>
      </c>
      <c r="D11532" t="s">
        <v>11</v>
      </c>
      <c r="E11532">
        <v>30</v>
      </c>
      <c r="F11532" s="2">
        <f>DATE(2026,IF(Tabla1[[#This Row],[Mes de Fecha]]="Septiembre",9,10),Tabla1[[#This Row],[Día de Fecha]])</f>
        <v>46295</v>
      </c>
      <c r="G11532">
        <v>1075218260</v>
      </c>
      <c r="H11532" t="s">
        <v>562</v>
      </c>
      <c r="I11532">
        <v>23</v>
      </c>
      <c r="J11532">
        <v>0</v>
      </c>
      <c r="K11532" s="1">
        <v>1103597</v>
      </c>
    </row>
    <row r="11533" spans="1:11" x14ac:dyDescent="0.25">
      <c r="A11533" t="s">
        <v>326</v>
      </c>
      <c r="B11533" t="s">
        <v>824</v>
      </c>
      <c r="C11533" t="s">
        <v>876</v>
      </c>
      <c r="D11533" t="s">
        <v>11</v>
      </c>
      <c r="E11533">
        <v>30</v>
      </c>
      <c r="F11533" s="2">
        <f>DATE(2026,IF(Tabla1[[#This Row],[Mes de Fecha]]="Septiembre",9,10),Tabla1[[#This Row],[Día de Fecha]])</f>
        <v>46295</v>
      </c>
      <c r="G11533">
        <v>1075307490</v>
      </c>
      <c r="H11533" t="s">
        <v>825</v>
      </c>
      <c r="I11533">
        <v>6</v>
      </c>
      <c r="J11533">
        <v>0</v>
      </c>
      <c r="K11533" s="1">
        <v>319076</v>
      </c>
    </row>
    <row r="11534" spans="1:11" x14ac:dyDescent="0.25">
      <c r="A11534" t="s">
        <v>326</v>
      </c>
      <c r="B11534" t="s">
        <v>824</v>
      </c>
      <c r="C11534" t="s">
        <v>876</v>
      </c>
      <c r="D11534" t="s">
        <v>11</v>
      </c>
      <c r="E11534">
        <v>30</v>
      </c>
      <c r="F11534" s="2">
        <f>DATE(2026,IF(Tabla1[[#This Row],[Mes de Fecha]]="Septiembre",9,10),Tabla1[[#This Row],[Día de Fecha]])</f>
        <v>46295</v>
      </c>
      <c r="G11534">
        <v>1075790352</v>
      </c>
      <c r="H11534" t="s">
        <v>826</v>
      </c>
      <c r="I11534">
        <v>13</v>
      </c>
      <c r="J11534">
        <v>0</v>
      </c>
      <c r="K11534" s="1">
        <v>806178</v>
      </c>
    </row>
    <row r="11535" spans="1:11" x14ac:dyDescent="0.25">
      <c r="A11535" t="s">
        <v>326</v>
      </c>
      <c r="B11535" t="s">
        <v>824</v>
      </c>
      <c r="C11535" t="s">
        <v>876</v>
      </c>
      <c r="D11535" t="s">
        <v>11</v>
      </c>
      <c r="E11535">
        <v>30</v>
      </c>
      <c r="F11535" s="2">
        <f>DATE(2026,IF(Tabla1[[#This Row],[Mes de Fecha]]="Septiembre",9,10),Tabla1[[#This Row],[Día de Fecha]])</f>
        <v>46295</v>
      </c>
      <c r="G11535">
        <v>1083984650</v>
      </c>
      <c r="H11535" t="s">
        <v>563</v>
      </c>
      <c r="I11535">
        <v>18</v>
      </c>
      <c r="J11535">
        <v>0</v>
      </c>
      <c r="K11535" s="1">
        <v>854287</v>
      </c>
    </row>
    <row r="11536" spans="1:11" x14ac:dyDescent="0.25">
      <c r="A11536" t="s">
        <v>326</v>
      </c>
      <c r="B11536" t="s">
        <v>824</v>
      </c>
      <c r="C11536" t="s">
        <v>876</v>
      </c>
      <c r="D11536" t="s">
        <v>14</v>
      </c>
      <c r="E11536">
        <v>1</v>
      </c>
      <c r="F11536" s="2">
        <f>DATE(2026,IF(Tabla1[[#This Row],[Mes de Fecha]]="Septiembre",9,10),Tabla1[[#This Row],[Día de Fecha]])</f>
        <v>46296</v>
      </c>
      <c r="I11536">
        <v>0</v>
      </c>
      <c r="J11536" s="1">
        <v>4711291</v>
      </c>
      <c r="K11536">
        <v>0</v>
      </c>
    </row>
    <row r="11537" spans="1:11" x14ac:dyDescent="0.25">
      <c r="A11537" t="s">
        <v>326</v>
      </c>
      <c r="B11537" t="s">
        <v>824</v>
      </c>
      <c r="C11537" t="s">
        <v>876</v>
      </c>
      <c r="D11537" t="s">
        <v>14</v>
      </c>
      <c r="E11537">
        <v>1</v>
      </c>
      <c r="F11537" s="2">
        <f>DATE(2026,IF(Tabla1[[#This Row],[Mes de Fecha]]="Septiembre",9,10),Tabla1[[#This Row],[Día de Fecha]])</f>
        <v>46296</v>
      </c>
      <c r="G11537">
        <v>1075218260</v>
      </c>
      <c r="H11537" t="s">
        <v>562</v>
      </c>
      <c r="I11537">
        <v>23</v>
      </c>
      <c r="J11537">
        <v>0</v>
      </c>
      <c r="K11537" s="1">
        <v>1541010</v>
      </c>
    </row>
    <row r="11538" spans="1:11" x14ac:dyDescent="0.25">
      <c r="A11538" t="s">
        <v>326</v>
      </c>
      <c r="B11538" t="s">
        <v>824</v>
      </c>
      <c r="C11538" t="s">
        <v>876</v>
      </c>
      <c r="D11538" t="s">
        <v>14</v>
      </c>
      <c r="E11538">
        <v>1</v>
      </c>
      <c r="F11538" s="2">
        <f>DATE(2026,IF(Tabla1[[#This Row],[Mes de Fecha]]="Septiembre",9,10),Tabla1[[#This Row],[Día de Fecha]])</f>
        <v>46296</v>
      </c>
      <c r="G11538">
        <v>1075307490</v>
      </c>
      <c r="H11538" t="s">
        <v>825</v>
      </c>
      <c r="I11538">
        <v>9</v>
      </c>
      <c r="J11538">
        <v>0</v>
      </c>
      <c r="K11538" s="1">
        <v>461808</v>
      </c>
    </row>
    <row r="11539" spans="1:11" x14ac:dyDescent="0.25">
      <c r="A11539" t="s">
        <v>326</v>
      </c>
      <c r="B11539" t="s">
        <v>824</v>
      </c>
      <c r="C11539" t="s">
        <v>876</v>
      </c>
      <c r="D11539" t="s">
        <v>14</v>
      </c>
      <c r="E11539">
        <v>1</v>
      </c>
      <c r="F11539" s="2">
        <f>DATE(2026,IF(Tabla1[[#This Row],[Mes de Fecha]]="Septiembre",9,10),Tabla1[[#This Row],[Día de Fecha]])</f>
        <v>46296</v>
      </c>
      <c r="G11539">
        <v>1075790352</v>
      </c>
      <c r="H11539" t="s">
        <v>826</v>
      </c>
      <c r="I11539">
        <v>17</v>
      </c>
      <c r="J11539">
        <v>0</v>
      </c>
      <c r="K11539" s="1">
        <v>1230338</v>
      </c>
    </row>
    <row r="11540" spans="1:11" x14ac:dyDescent="0.25">
      <c r="A11540" t="s">
        <v>326</v>
      </c>
      <c r="B11540" t="s">
        <v>824</v>
      </c>
      <c r="C11540" t="s">
        <v>876</v>
      </c>
      <c r="D11540" t="s">
        <v>14</v>
      </c>
      <c r="E11540">
        <v>1</v>
      </c>
      <c r="F11540" s="2">
        <f>DATE(2026,IF(Tabla1[[#This Row],[Mes de Fecha]]="Septiembre",9,10),Tabla1[[#This Row],[Día de Fecha]])</f>
        <v>46296</v>
      </c>
      <c r="G11540">
        <v>1083984650</v>
      </c>
      <c r="H11540" t="s">
        <v>563</v>
      </c>
      <c r="I11540">
        <v>11</v>
      </c>
      <c r="J11540">
        <v>0</v>
      </c>
      <c r="K11540" s="1">
        <v>621387</v>
      </c>
    </row>
    <row r="11541" spans="1:11" x14ac:dyDescent="0.25">
      <c r="A11541" t="s">
        <v>326</v>
      </c>
      <c r="B11541" t="s">
        <v>824</v>
      </c>
      <c r="C11541" t="s">
        <v>876</v>
      </c>
      <c r="D11541" t="s">
        <v>14</v>
      </c>
      <c r="E11541">
        <v>2</v>
      </c>
      <c r="F11541" s="2">
        <f>DATE(2026,IF(Tabla1[[#This Row],[Mes de Fecha]]="Septiembre",9,10),Tabla1[[#This Row],[Día de Fecha]])</f>
        <v>46297</v>
      </c>
      <c r="I11541">
        <v>0</v>
      </c>
      <c r="J11541" s="1">
        <v>6364544</v>
      </c>
      <c r="K11541">
        <v>0</v>
      </c>
    </row>
    <row r="11542" spans="1:11" x14ac:dyDescent="0.25">
      <c r="A11542" t="s">
        <v>326</v>
      </c>
      <c r="B11542" t="s">
        <v>824</v>
      </c>
      <c r="C11542" t="s">
        <v>876</v>
      </c>
      <c r="D11542" t="s">
        <v>14</v>
      </c>
      <c r="E11542">
        <v>2</v>
      </c>
      <c r="F11542" s="2">
        <f>DATE(2026,IF(Tabla1[[#This Row],[Mes de Fecha]]="Septiembre",9,10),Tabla1[[#This Row],[Día de Fecha]])</f>
        <v>46297</v>
      </c>
      <c r="G11542">
        <v>1075218260</v>
      </c>
      <c r="H11542" t="s">
        <v>562</v>
      </c>
      <c r="I11542">
        <v>60</v>
      </c>
      <c r="J11542">
        <v>0</v>
      </c>
      <c r="K11542" s="1">
        <v>3358488</v>
      </c>
    </row>
    <row r="11543" spans="1:11" x14ac:dyDescent="0.25">
      <c r="A11543" t="s">
        <v>326</v>
      </c>
      <c r="B11543" t="s">
        <v>824</v>
      </c>
      <c r="C11543" t="s">
        <v>876</v>
      </c>
      <c r="D11543" t="s">
        <v>14</v>
      </c>
      <c r="E11543">
        <v>2</v>
      </c>
      <c r="F11543" s="2">
        <f>DATE(2026,IF(Tabla1[[#This Row],[Mes de Fecha]]="Septiembre",9,10),Tabla1[[#This Row],[Día de Fecha]])</f>
        <v>46297</v>
      </c>
      <c r="G11543">
        <v>1075307490</v>
      </c>
      <c r="H11543" t="s">
        <v>825</v>
      </c>
      <c r="I11543">
        <v>23</v>
      </c>
      <c r="J11543">
        <v>0</v>
      </c>
      <c r="K11543" s="1">
        <v>1511513</v>
      </c>
    </row>
    <row r="11544" spans="1:11" x14ac:dyDescent="0.25">
      <c r="A11544" t="s">
        <v>326</v>
      </c>
      <c r="B11544" t="s">
        <v>824</v>
      </c>
      <c r="C11544" t="s">
        <v>876</v>
      </c>
      <c r="D11544" t="s">
        <v>14</v>
      </c>
      <c r="E11544">
        <v>2</v>
      </c>
      <c r="F11544" s="2">
        <f>DATE(2026,IF(Tabla1[[#This Row],[Mes de Fecha]]="Septiembre",9,10),Tabla1[[#This Row],[Día de Fecha]])</f>
        <v>46297</v>
      </c>
      <c r="G11544">
        <v>1075790352</v>
      </c>
      <c r="H11544" t="s">
        <v>826</v>
      </c>
      <c r="I11544">
        <v>11</v>
      </c>
      <c r="J11544">
        <v>0</v>
      </c>
      <c r="K11544" s="1">
        <v>415463</v>
      </c>
    </row>
    <row r="11545" spans="1:11" x14ac:dyDescent="0.25">
      <c r="A11545" t="s">
        <v>326</v>
      </c>
      <c r="B11545" t="s">
        <v>824</v>
      </c>
      <c r="C11545" t="s">
        <v>876</v>
      </c>
      <c r="D11545" t="s">
        <v>14</v>
      </c>
      <c r="E11545">
        <v>2</v>
      </c>
      <c r="F11545" s="2">
        <f>DATE(2026,IF(Tabla1[[#This Row],[Mes de Fecha]]="Septiembre",9,10),Tabla1[[#This Row],[Día de Fecha]])</f>
        <v>46297</v>
      </c>
      <c r="G11545">
        <v>1083984650</v>
      </c>
      <c r="H11545" t="s">
        <v>563</v>
      </c>
      <c r="I11545">
        <v>25</v>
      </c>
      <c r="J11545">
        <v>0</v>
      </c>
      <c r="K11545" s="1">
        <v>1141721</v>
      </c>
    </row>
    <row r="11546" spans="1:11" x14ac:dyDescent="0.25">
      <c r="A11546" t="s">
        <v>326</v>
      </c>
      <c r="B11546" t="s">
        <v>824</v>
      </c>
      <c r="C11546" t="s">
        <v>876</v>
      </c>
      <c r="D11546" t="s">
        <v>14</v>
      </c>
      <c r="E11546">
        <v>3</v>
      </c>
      <c r="F11546" s="2">
        <f>DATE(2026,IF(Tabla1[[#This Row],[Mes de Fecha]]="Septiembre",9,10),Tabla1[[#This Row],[Día de Fecha]])</f>
        <v>46298</v>
      </c>
      <c r="I11546">
        <v>0</v>
      </c>
      <c r="J11546" s="1">
        <v>7270809</v>
      </c>
      <c r="K11546">
        <v>0</v>
      </c>
    </row>
    <row r="11547" spans="1:11" x14ac:dyDescent="0.25">
      <c r="A11547" t="s">
        <v>326</v>
      </c>
      <c r="B11547" t="s">
        <v>824</v>
      </c>
      <c r="C11547" t="s">
        <v>876</v>
      </c>
      <c r="D11547" t="s">
        <v>14</v>
      </c>
      <c r="E11547">
        <v>3</v>
      </c>
      <c r="F11547" s="2">
        <f>DATE(2026,IF(Tabla1[[#This Row],[Mes de Fecha]]="Septiembre",9,10),Tabla1[[#This Row],[Día de Fecha]])</f>
        <v>46298</v>
      </c>
      <c r="G11547">
        <v>1075218260</v>
      </c>
      <c r="H11547" t="s">
        <v>562</v>
      </c>
      <c r="I11547">
        <v>51</v>
      </c>
      <c r="J11547">
        <v>0</v>
      </c>
      <c r="K11547" s="1">
        <v>2533237</v>
      </c>
    </row>
    <row r="11548" spans="1:11" x14ac:dyDescent="0.25">
      <c r="A11548" t="s">
        <v>326</v>
      </c>
      <c r="B11548" t="s">
        <v>824</v>
      </c>
      <c r="C11548" t="s">
        <v>876</v>
      </c>
      <c r="D11548" t="s">
        <v>14</v>
      </c>
      <c r="E11548">
        <v>3</v>
      </c>
      <c r="F11548" s="2">
        <f>DATE(2026,IF(Tabla1[[#This Row],[Mes de Fecha]]="Septiembre",9,10),Tabla1[[#This Row],[Día de Fecha]])</f>
        <v>46298</v>
      </c>
      <c r="G11548">
        <v>1075307490</v>
      </c>
      <c r="H11548" t="s">
        <v>825</v>
      </c>
      <c r="I11548">
        <v>8</v>
      </c>
      <c r="J11548">
        <v>0</v>
      </c>
      <c r="K11548" s="1">
        <v>338295</v>
      </c>
    </row>
    <row r="11549" spans="1:11" x14ac:dyDescent="0.25">
      <c r="A11549" t="s">
        <v>326</v>
      </c>
      <c r="B11549" t="s">
        <v>824</v>
      </c>
      <c r="C11549" t="s">
        <v>876</v>
      </c>
      <c r="D11549" t="s">
        <v>14</v>
      </c>
      <c r="E11549">
        <v>3</v>
      </c>
      <c r="F11549" s="2">
        <f>DATE(2026,IF(Tabla1[[#This Row],[Mes de Fecha]]="Septiembre",9,10),Tabla1[[#This Row],[Día de Fecha]])</f>
        <v>46298</v>
      </c>
      <c r="G11549">
        <v>1075790352</v>
      </c>
      <c r="H11549" t="s">
        <v>826</v>
      </c>
      <c r="I11549">
        <v>14</v>
      </c>
      <c r="J11549">
        <v>0</v>
      </c>
      <c r="K11549" s="1">
        <v>576344</v>
      </c>
    </row>
    <row r="11550" spans="1:11" x14ac:dyDescent="0.25">
      <c r="A11550" t="s">
        <v>326</v>
      </c>
      <c r="B11550" t="s">
        <v>824</v>
      </c>
      <c r="C11550" t="s">
        <v>876</v>
      </c>
      <c r="D11550" t="s">
        <v>14</v>
      </c>
      <c r="E11550">
        <v>3</v>
      </c>
      <c r="F11550" s="2">
        <f>DATE(2026,IF(Tabla1[[#This Row],[Mes de Fecha]]="Septiembre",9,10),Tabla1[[#This Row],[Día de Fecha]])</f>
        <v>46298</v>
      </c>
      <c r="G11550">
        <v>1083984650</v>
      </c>
      <c r="H11550" t="s">
        <v>563</v>
      </c>
      <c r="I11550">
        <v>74</v>
      </c>
      <c r="J11550">
        <v>0</v>
      </c>
      <c r="K11550" s="1">
        <v>3478979</v>
      </c>
    </row>
    <row r="11551" spans="1:11" x14ac:dyDescent="0.25">
      <c r="A11551" t="s">
        <v>326</v>
      </c>
      <c r="B11551" t="s">
        <v>824</v>
      </c>
      <c r="C11551" t="s">
        <v>876</v>
      </c>
      <c r="D11551" t="s">
        <v>14</v>
      </c>
      <c r="E11551">
        <v>4</v>
      </c>
      <c r="F11551" s="2">
        <f>DATE(2026,IF(Tabla1[[#This Row],[Mes de Fecha]]="Septiembre",9,10),Tabla1[[#This Row],[Día de Fecha]])</f>
        <v>46299</v>
      </c>
      <c r="I11551">
        <v>0</v>
      </c>
      <c r="J11551" s="1">
        <v>6893988</v>
      </c>
      <c r="K11551">
        <v>0</v>
      </c>
    </row>
    <row r="11552" spans="1:11" x14ac:dyDescent="0.25">
      <c r="A11552" t="s">
        <v>326</v>
      </c>
      <c r="B11552" t="s">
        <v>824</v>
      </c>
      <c r="C11552" t="s">
        <v>876</v>
      </c>
      <c r="D11552" t="s">
        <v>14</v>
      </c>
      <c r="E11552">
        <v>4</v>
      </c>
      <c r="F11552" s="2">
        <f>DATE(2026,IF(Tabla1[[#This Row],[Mes de Fecha]]="Septiembre",9,10),Tabla1[[#This Row],[Día de Fecha]])</f>
        <v>46299</v>
      </c>
      <c r="G11552">
        <v>1075218260</v>
      </c>
      <c r="H11552" t="s">
        <v>562</v>
      </c>
      <c r="I11552">
        <v>41</v>
      </c>
      <c r="J11552">
        <v>0</v>
      </c>
      <c r="K11552" s="1">
        <v>2538111</v>
      </c>
    </row>
    <row r="11553" spans="1:11" x14ac:dyDescent="0.25">
      <c r="A11553" t="s">
        <v>326</v>
      </c>
      <c r="B11553" t="s">
        <v>824</v>
      </c>
      <c r="C11553" t="s">
        <v>876</v>
      </c>
      <c r="D11553" t="s">
        <v>14</v>
      </c>
      <c r="E11553">
        <v>4</v>
      </c>
      <c r="F11553" s="2">
        <f>DATE(2026,IF(Tabla1[[#This Row],[Mes de Fecha]]="Septiembre",9,10),Tabla1[[#This Row],[Día de Fecha]])</f>
        <v>46299</v>
      </c>
      <c r="G11553">
        <v>1075307490</v>
      </c>
      <c r="H11553" t="s">
        <v>825</v>
      </c>
      <c r="I11553">
        <v>11</v>
      </c>
      <c r="J11553">
        <v>0</v>
      </c>
      <c r="K11553" s="1">
        <v>480588</v>
      </c>
    </row>
    <row r="11554" spans="1:11" x14ac:dyDescent="0.25">
      <c r="A11554" t="s">
        <v>326</v>
      </c>
      <c r="B11554" t="s">
        <v>824</v>
      </c>
      <c r="C11554" t="s">
        <v>876</v>
      </c>
      <c r="D11554" t="s">
        <v>14</v>
      </c>
      <c r="E11554">
        <v>4</v>
      </c>
      <c r="F11554" s="2">
        <f>DATE(2026,IF(Tabla1[[#This Row],[Mes de Fecha]]="Septiembre",9,10),Tabla1[[#This Row],[Día de Fecha]])</f>
        <v>46299</v>
      </c>
      <c r="G11554">
        <v>1075790352</v>
      </c>
      <c r="H11554" t="s">
        <v>826</v>
      </c>
      <c r="I11554">
        <v>9</v>
      </c>
      <c r="J11554">
        <v>0</v>
      </c>
      <c r="K11554" s="1">
        <v>423991</v>
      </c>
    </row>
    <row r="11555" spans="1:11" x14ac:dyDescent="0.25">
      <c r="A11555" t="s">
        <v>326</v>
      </c>
      <c r="B11555" t="s">
        <v>824</v>
      </c>
      <c r="C11555" t="s">
        <v>876</v>
      </c>
      <c r="D11555" t="s">
        <v>14</v>
      </c>
      <c r="E11555">
        <v>4</v>
      </c>
      <c r="F11555" s="2">
        <f>DATE(2026,IF(Tabla1[[#This Row],[Mes de Fecha]]="Septiembre",9,10),Tabla1[[#This Row],[Día de Fecha]])</f>
        <v>46299</v>
      </c>
      <c r="G11555">
        <v>1083984650</v>
      </c>
      <c r="H11555" t="s">
        <v>563</v>
      </c>
      <c r="I11555">
        <v>49</v>
      </c>
      <c r="J11555">
        <v>0</v>
      </c>
      <c r="K11555" s="1">
        <v>2255926</v>
      </c>
    </row>
    <row r="11556" spans="1:11" x14ac:dyDescent="0.25">
      <c r="A11556" t="s">
        <v>326</v>
      </c>
      <c r="B11556" t="s">
        <v>824</v>
      </c>
      <c r="C11556" t="s">
        <v>876</v>
      </c>
      <c r="D11556" t="s">
        <v>14</v>
      </c>
      <c r="E11556">
        <v>5</v>
      </c>
      <c r="F11556" s="2">
        <f>DATE(2026,IF(Tabla1[[#This Row],[Mes de Fecha]]="Septiembre",9,10),Tabla1[[#This Row],[Día de Fecha]])</f>
        <v>46300</v>
      </c>
      <c r="I11556">
        <v>0</v>
      </c>
      <c r="J11556" s="1">
        <v>3017305</v>
      </c>
      <c r="K11556">
        <v>0</v>
      </c>
    </row>
    <row r="11557" spans="1:11" x14ac:dyDescent="0.25">
      <c r="A11557" t="s">
        <v>326</v>
      </c>
      <c r="B11557" t="s">
        <v>824</v>
      </c>
      <c r="C11557" t="s">
        <v>876</v>
      </c>
      <c r="D11557" t="s">
        <v>14</v>
      </c>
      <c r="E11557">
        <v>5</v>
      </c>
      <c r="F11557" s="2">
        <f>DATE(2026,IF(Tabla1[[#This Row],[Mes de Fecha]]="Septiembre",9,10),Tabla1[[#This Row],[Día de Fecha]])</f>
        <v>46300</v>
      </c>
      <c r="G11557">
        <v>1075218260</v>
      </c>
      <c r="H11557" t="s">
        <v>562</v>
      </c>
      <c r="I11557">
        <v>30</v>
      </c>
      <c r="J11557">
        <v>0</v>
      </c>
      <c r="K11557" s="1">
        <v>1755001</v>
      </c>
    </row>
    <row r="11558" spans="1:11" x14ac:dyDescent="0.25">
      <c r="A11558" t="s">
        <v>326</v>
      </c>
      <c r="B11558" t="s">
        <v>824</v>
      </c>
      <c r="C11558" t="s">
        <v>876</v>
      </c>
      <c r="D11558" t="s">
        <v>14</v>
      </c>
      <c r="E11558">
        <v>5</v>
      </c>
      <c r="F11558" s="2">
        <f>DATE(2026,IF(Tabla1[[#This Row],[Mes de Fecha]]="Septiembre",9,10),Tabla1[[#This Row],[Día de Fecha]])</f>
        <v>46300</v>
      </c>
      <c r="G11558">
        <v>1075307490</v>
      </c>
      <c r="H11558" t="s">
        <v>825</v>
      </c>
      <c r="I11558">
        <v>1</v>
      </c>
      <c r="J11558">
        <v>0</v>
      </c>
      <c r="K11558" s="1">
        <v>67185</v>
      </c>
    </row>
    <row r="11559" spans="1:11" x14ac:dyDescent="0.25">
      <c r="A11559" t="s">
        <v>326</v>
      </c>
      <c r="B11559" t="s">
        <v>824</v>
      </c>
      <c r="C11559" t="s">
        <v>876</v>
      </c>
      <c r="D11559" t="s">
        <v>14</v>
      </c>
      <c r="E11559">
        <v>5</v>
      </c>
      <c r="F11559" s="2">
        <f>DATE(2026,IF(Tabla1[[#This Row],[Mes de Fecha]]="Septiembre",9,10),Tabla1[[#This Row],[Día de Fecha]])</f>
        <v>46300</v>
      </c>
      <c r="G11559">
        <v>1075790352</v>
      </c>
      <c r="H11559" t="s">
        <v>826</v>
      </c>
      <c r="I11559">
        <v>1</v>
      </c>
      <c r="J11559">
        <v>0</v>
      </c>
      <c r="K11559" s="1">
        <v>109202</v>
      </c>
    </row>
    <row r="11560" spans="1:11" x14ac:dyDescent="0.25">
      <c r="A11560" t="s">
        <v>326</v>
      </c>
      <c r="B11560" t="s">
        <v>824</v>
      </c>
      <c r="C11560" t="s">
        <v>876</v>
      </c>
      <c r="D11560" t="s">
        <v>14</v>
      </c>
      <c r="E11560">
        <v>5</v>
      </c>
      <c r="F11560" s="2">
        <f>DATE(2026,IF(Tabla1[[#This Row],[Mes de Fecha]]="Septiembre",9,10),Tabla1[[#This Row],[Día de Fecha]])</f>
        <v>46300</v>
      </c>
      <c r="G11560">
        <v>1083984650</v>
      </c>
      <c r="H11560" t="s">
        <v>563</v>
      </c>
      <c r="I11560">
        <v>16</v>
      </c>
      <c r="J11560">
        <v>0</v>
      </c>
      <c r="K11560" s="1">
        <v>879498</v>
      </c>
    </row>
    <row r="11561" spans="1:11" x14ac:dyDescent="0.25">
      <c r="A11561" t="s">
        <v>326</v>
      </c>
      <c r="B11561" t="s">
        <v>824</v>
      </c>
      <c r="C11561" t="s">
        <v>876</v>
      </c>
      <c r="D11561" t="s">
        <v>14</v>
      </c>
      <c r="E11561">
        <v>6</v>
      </c>
      <c r="F11561" s="2">
        <f>DATE(2026,IF(Tabla1[[#This Row],[Mes de Fecha]]="Septiembre",9,10),Tabla1[[#This Row],[Día de Fecha]])</f>
        <v>46301</v>
      </c>
      <c r="I11561">
        <v>0</v>
      </c>
      <c r="J11561" s="1">
        <v>2789204</v>
      </c>
      <c r="K11561">
        <v>0</v>
      </c>
    </row>
    <row r="11562" spans="1:11" x14ac:dyDescent="0.25">
      <c r="A11562" t="s">
        <v>326</v>
      </c>
      <c r="B11562" t="s">
        <v>824</v>
      </c>
      <c r="C11562" t="s">
        <v>876</v>
      </c>
      <c r="D11562" t="s">
        <v>14</v>
      </c>
      <c r="E11562">
        <v>6</v>
      </c>
      <c r="F11562" s="2">
        <f>DATE(2026,IF(Tabla1[[#This Row],[Mes de Fecha]]="Septiembre",9,10),Tabla1[[#This Row],[Día de Fecha]])</f>
        <v>46301</v>
      </c>
      <c r="G11562">
        <v>1075218260</v>
      </c>
      <c r="H11562" t="s">
        <v>562</v>
      </c>
      <c r="I11562">
        <v>15</v>
      </c>
      <c r="J11562">
        <v>0</v>
      </c>
      <c r="K11562" s="1">
        <v>677900</v>
      </c>
    </row>
    <row r="11563" spans="1:11" x14ac:dyDescent="0.25">
      <c r="A11563" t="s">
        <v>326</v>
      </c>
      <c r="B11563" t="s">
        <v>824</v>
      </c>
      <c r="C11563" t="s">
        <v>876</v>
      </c>
      <c r="D11563" t="s">
        <v>14</v>
      </c>
      <c r="E11563">
        <v>6</v>
      </c>
      <c r="F11563" s="2">
        <f>DATE(2026,IF(Tabla1[[#This Row],[Mes de Fecha]]="Septiembre",9,10),Tabla1[[#This Row],[Día de Fecha]])</f>
        <v>46301</v>
      </c>
      <c r="G11563">
        <v>1075306881</v>
      </c>
      <c r="H11563" t="s">
        <v>557</v>
      </c>
      <c r="I11563">
        <v>-1</v>
      </c>
      <c r="J11563">
        <v>0</v>
      </c>
      <c r="K11563" s="1">
        <v>-41975</v>
      </c>
    </row>
    <row r="11564" spans="1:11" x14ac:dyDescent="0.25">
      <c r="A11564" t="s">
        <v>326</v>
      </c>
      <c r="B11564" t="s">
        <v>824</v>
      </c>
      <c r="C11564" t="s">
        <v>876</v>
      </c>
      <c r="D11564" t="s">
        <v>14</v>
      </c>
      <c r="E11564">
        <v>6</v>
      </c>
      <c r="F11564" s="2">
        <f>DATE(2026,IF(Tabla1[[#This Row],[Mes de Fecha]]="Septiembre",9,10),Tabla1[[#This Row],[Día de Fecha]])</f>
        <v>46301</v>
      </c>
      <c r="G11564">
        <v>1075307490</v>
      </c>
      <c r="H11564" t="s">
        <v>825</v>
      </c>
      <c r="I11564">
        <v>9</v>
      </c>
      <c r="J11564">
        <v>0</v>
      </c>
      <c r="K11564" s="1">
        <v>541639</v>
      </c>
    </row>
    <row r="11565" spans="1:11" x14ac:dyDescent="0.25">
      <c r="A11565" t="s">
        <v>326</v>
      </c>
      <c r="B11565" t="s">
        <v>824</v>
      </c>
      <c r="C11565" t="s">
        <v>876</v>
      </c>
      <c r="D11565" t="s">
        <v>14</v>
      </c>
      <c r="E11565">
        <v>6</v>
      </c>
      <c r="F11565" s="2">
        <f>DATE(2026,IF(Tabla1[[#This Row],[Mes de Fecha]]="Septiembre",9,10),Tabla1[[#This Row],[Día de Fecha]])</f>
        <v>46301</v>
      </c>
      <c r="G11565">
        <v>1075790352</v>
      </c>
      <c r="H11565" t="s">
        <v>826</v>
      </c>
      <c r="I11565">
        <v>3</v>
      </c>
      <c r="J11565">
        <v>0</v>
      </c>
      <c r="K11565" s="1">
        <v>151135</v>
      </c>
    </row>
    <row r="11566" spans="1:11" x14ac:dyDescent="0.25">
      <c r="A11566" t="s">
        <v>326</v>
      </c>
      <c r="B11566" t="s">
        <v>824</v>
      </c>
      <c r="C11566" t="s">
        <v>876</v>
      </c>
      <c r="D11566" t="s">
        <v>14</v>
      </c>
      <c r="E11566">
        <v>6</v>
      </c>
      <c r="F11566" s="2">
        <f>DATE(2026,IF(Tabla1[[#This Row],[Mes de Fecha]]="Septiembre",9,10),Tabla1[[#This Row],[Día de Fecha]])</f>
        <v>46301</v>
      </c>
      <c r="G11566">
        <v>1083984650</v>
      </c>
      <c r="H11566" t="s">
        <v>563</v>
      </c>
      <c r="I11566">
        <v>14</v>
      </c>
      <c r="J11566">
        <v>0</v>
      </c>
      <c r="K11566" s="1">
        <v>982523</v>
      </c>
    </row>
    <row r="11567" spans="1:11" x14ac:dyDescent="0.25">
      <c r="A11567" t="s">
        <v>326</v>
      </c>
      <c r="B11567" t="s">
        <v>824</v>
      </c>
      <c r="C11567" t="s">
        <v>876</v>
      </c>
      <c r="D11567" t="s">
        <v>14</v>
      </c>
      <c r="E11567">
        <v>7</v>
      </c>
      <c r="F11567" s="2">
        <f>DATE(2026,IF(Tabla1[[#This Row],[Mes de Fecha]]="Septiembre",9,10),Tabla1[[#This Row],[Día de Fecha]])</f>
        <v>46302</v>
      </c>
      <c r="I11567">
        <v>0</v>
      </c>
      <c r="J11567" s="1">
        <v>2752504</v>
      </c>
      <c r="K11567">
        <v>0</v>
      </c>
    </row>
    <row r="11568" spans="1:11" x14ac:dyDescent="0.25">
      <c r="A11568" t="s">
        <v>326</v>
      </c>
      <c r="B11568" t="s">
        <v>824</v>
      </c>
      <c r="C11568" t="s">
        <v>876</v>
      </c>
      <c r="D11568" t="s">
        <v>14</v>
      </c>
      <c r="E11568">
        <v>7</v>
      </c>
      <c r="F11568" s="2">
        <f>DATE(2026,IF(Tabla1[[#This Row],[Mes de Fecha]]="Septiembre",9,10),Tabla1[[#This Row],[Día de Fecha]])</f>
        <v>46302</v>
      </c>
      <c r="G11568">
        <v>1075218260</v>
      </c>
      <c r="H11568" t="s">
        <v>562</v>
      </c>
      <c r="I11568">
        <v>26</v>
      </c>
      <c r="J11568">
        <v>0</v>
      </c>
      <c r="K11568" s="1">
        <v>1337842</v>
      </c>
    </row>
    <row r="11569" spans="1:11" x14ac:dyDescent="0.25">
      <c r="A11569" t="s">
        <v>326</v>
      </c>
      <c r="B11569" t="s">
        <v>824</v>
      </c>
      <c r="C11569" t="s">
        <v>876</v>
      </c>
      <c r="D11569" t="s">
        <v>14</v>
      </c>
      <c r="E11569">
        <v>7</v>
      </c>
      <c r="F11569" s="2">
        <f>DATE(2026,IF(Tabla1[[#This Row],[Mes de Fecha]]="Septiembre",9,10),Tabla1[[#This Row],[Día de Fecha]])</f>
        <v>46302</v>
      </c>
      <c r="G11569">
        <v>1075307490</v>
      </c>
      <c r="H11569" t="s">
        <v>825</v>
      </c>
      <c r="I11569">
        <v>7</v>
      </c>
      <c r="J11569">
        <v>0</v>
      </c>
      <c r="K11569" s="1">
        <v>398823</v>
      </c>
    </row>
    <row r="11570" spans="1:11" x14ac:dyDescent="0.25">
      <c r="A11570" t="s">
        <v>326</v>
      </c>
      <c r="B11570" t="s">
        <v>824</v>
      </c>
      <c r="C11570" t="s">
        <v>876</v>
      </c>
      <c r="D11570" t="s">
        <v>14</v>
      </c>
      <c r="E11570">
        <v>7</v>
      </c>
      <c r="F11570" s="2">
        <f>DATE(2026,IF(Tabla1[[#This Row],[Mes de Fecha]]="Septiembre",9,10),Tabla1[[#This Row],[Día de Fecha]])</f>
        <v>46302</v>
      </c>
      <c r="G11570">
        <v>1075790352</v>
      </c>
      <c r="H11570" t="s">
        <v>826</v>
      </c>
      <c r="I11570">
        <v>2</v>
      </c>
      <c r="J11570">
        <v>0</v>
      </c>
      <c r="K11570" s="1">
        <v>99067</v>
      </c>
    </row>
    <row r="11571" spans="1:11" x14ac:dyDescent="0.25">
      <c r="A11571" t="s">
        <v>326</v>
      </c>
      <c r="B11571" t="s">
        <v>824</v>
      </c>
      <c r="C11571" t="s">
        <v>876</v>
      </c>
      <c r="D11571" t="s">
        <v>14</v>
      </c>
      <c r="E11571">
        <v>7</v>
      </c>
      <c r="F11571" s="2">
        <f>DATE(2026,IF(Tabla1[[#This Row],[Mes de Fecha]]="Septiembre",9,10),Tabla1[[#This Row],[Día de Fecha]])</f>
        <v>46302</v>
      </c>
      <c r="G11571">
        <v>1083984650</v>
      </c>
      <c r="H11571" t="s">
        <v>563</v>
      </c>
      <c r="I11571">
        <v>24</v>
      </c>
      <c r="J11571">
        <v>0</v>
      </c>
      <c r="K11571" s="1">
        <v>1282521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Base2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BI</dc:creator>
  <cp:lastModifiedBy>Analista Retail</cp:lastModifiedBy>
  <dcterms:created xsi:type="dcterms:W3CDTF">2015-06-05T18:19:34Z</dcterms:created>
  <dcterms:modified xsi:type="dcterms:W3CDTF">2026-10-21T16:35:22Z</dcterms:modified>
</cp:coreProperties>
</file>